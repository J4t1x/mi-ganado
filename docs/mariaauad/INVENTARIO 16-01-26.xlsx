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ia Ercira\Downloads\"/>
    </mc:Choice>
  </mc:AlternateContent>
  <xr:revisionPtr revIDLastSave="0" documentId="13_ncr:1_{9BB5DDBD-E3E6-4A7F-8994-1075415956E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d" sheetId="5" r:id="rId1"/>
    <sheet name="tros(as)" sheetId="26" r:id="rId2"/>
    <sheet name="inventario" sheetId="41" r:id="rId3"/>
    <sheet name="predios sipec al 16-01-26" sheetId="37" r:id="rId4"/>
    <sheet name="iden_sipec" sheetId="9" r:id="rId5"/>
    <sheet name="chip_toros" sheetId="14" r:id="rId6"/>
    <sheet name="cambio_diio" sheetId="18" r:id="rId7"/>
    <sheet name="sinap" sheetId="35" r:id="rId8"/>
    <sheet name="manejos_25" sheetId="39" r:id="rId9"/>
  </sheets>
  <definedNames>
    <definedName name="_xlnm._FilterDatabase" localSheetId="2" hidden="1">inventario!$A$1:$T$2084</definedName>
    <definedName name="_xlnm._FilterDatabase" localSheetId="3" hidden="1">'predios sipec al 16-01-26'!$A$1:$H$1728</definedName>
    <definedName name="_xlnm._FilterDatabase" localSheetId="7" hidden="1">sinap!$A$1:$S$1933</definedName>
    <definedName name="_xlnm._FilterDatabase" localSheetId="1" hidden="1">'tros(as)'!$A$1:$W$390</definedName>
  </definedNames>
  <calcPr calcId="191029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S390" i="26" l="1"/>
  <c r="R390" i="26"/>
  <c r="Q390" i="26"/>
  <c r="P390" i="26"/>
  <c r="O390" i="26"/>
  <c r="N390" i="26"/>
  <c r="M390" i="26"/>
  <c r="L390" i="26"/>
  <c r="K390" i="26"/>
  <c r="J390" i="26"/>
  <c r="S389" i="26"/>
  <c r="R389" i="26"/>
  <c r="Q389" i="26"/>
  <c r="P389" i="26"/>
  <c r="O389" i="26"/>
  <c r="N389" i="26"/>
  <c r="M389" i="26"/>
  <c r="L389" i="26"/>
  <c r="K389" i="26"/>
  <c r="J389" i="26"/>
  <c r="S388" i="26"/>
  <c r="R388" i="26"/>
  <c r="Q388" i="26"/>
  <c r="P388" i="26"/>
  <c r="O388" i="26"/>
  <c r="N388" i="26"/>
  <c r="M388" i="26"/>
  <c r="L388" i="26"/>
  <c r="K388" i="26"/>
  <c r="J388" i="26"/>
  <c r="S387" i="26"/>
  <c r="R387" i="26"/>
  <c r="Q387" i="26"/>
  <c r="P387" i="26"/>
  <c r="O387" i="26"/>
  <c r="N387" i="26"/>
  <c r="M387" i="26"/>
  <c r="L387" i="26"/>
  <c r="K387" i="26"/>
  <c r="J387" i="26"/>
  <c r="S386" i="26"/>
  <c r="R386" i="26"/>
  <c r="Q386" i="26"/>
  <c r="P386" i="26"/>
  <c r="O386" i="26"/>
  <c r="N386" i="26"/>
  <c r="M386" i="26"/>
  <c r="L386" i="26"/>
  <c r="K386" i="26"/>
  <c r="J386" i="26"/>
  <c r="S385" i="26"/>
  <c r="R385" i="26"/>
  <c r="Q385" i="26"/>
  <c r="P385" i="26"/>
  <c r="O385" i="26"/>
  <c r="N385" i="26"/>
  <c r="M385" i="26"/>
  <c r="L385" i="26"/>
  <c r="K385" i="26"/>
  <c r="J385" i="26"/>
  <c r="S384" i="26"/>
  <c r="R384" i="26"/>
  <c r="Q384" i="26"/>
  <c r="P384" i="26"/>
  <c r="O384" i="26"/>
  <c r="N384" i="26"/>
  <c r="M384" i="26"/>
  <c r="L384" i="26"/>
  <c r="K384" i="26"/>
  <c r="J384" i="26"/>
  <c r="S383" i="26"/>
  <c r="R383" i="26"/>
  <c r="Q383" i="26"/>
  <c r="P383" i="26"/>
  <c r="O383" i="26"/>
  <c r="N383" i="26"/>
  <c r="M383" i="26"/>
  <c r="L383" i="26"/>
  <c r="K383" i="26"/>
  <c r="J383" i="26"/>
  <c r="S382" i="26"/>
  <c r="R382" i="26"/>
  <c r="Q382" i="26"/>
  <c r="P382" i="26"/>
  <c r="O382" i="26"/>
  <c r="N382" i="26"/>
  <c r="M382" i="26"/>
  <c r="L382" i="26"/>
  <c r="K382" i="26"/>
  <c r="J382" i="26"/>
  <c r="S381" i="26"/>
  <c r="R381" i="26"/>
  <c r="Q381" i="26"/>
  <c r="P381" i="26"/>
  <c r="O381" i="26"/>
  <c r="N381" i="26"/>
  <c r="M381" i="26"/>
  <c r="L381" i="26"/>
  <c r="K381" i="26"/>
  <c r="J381" i="26"/>
  <c r="S380" i="26"/>
  <c r="R380" i="26"/>
  <c r="Q380" i="26"/>
  <c r="P380" i="26"/>
  <c r="O380" i="26"/>
  <c r="N380" i="26"/>
  <c r="M380" i="26"/>
  <c r="L380" i="26"/>
  <c r="K380" i="26"/>
  <c r="J380" i="26"/>
  <c r="S379" i="26"/>
  <c r="R379" i="26"/>
  <c r="Q379" i="26"/>
  <c r="P379" i="26"/>
  <c r="O379" i="26"/>
  <c r="N379" i="26"/>
  <c r="M379" i="26"/>
  <c r="L379" i="26"/>
  <c r="K379" i="26"/>
  <c r="J379" i="26"/>
  <c r="S378" i="26"/>
  <c r="R378" i="26"/>
  <c r="Q378" i="26"/>
  <c r="P378" i="26"/>
  <c r="O378" i="26"/>
  <c r="N378" i="26"/>
  <c r="M378" i="26"/>
  <c r="L378" i="26"/>
  <c r="K378" i="26"/>
  <c r="J378" i="26"/>
  <c r="S377" i="26"/>
  <c r="R377" i="26"/>
  <c r="Q377" i="26"/>
  <c r="P377" i="26"/>
  <c r="O377" i="26"/>
  <c r="N377" i="26"/>
  <c r="M377" i="26"/>
  <c r="L377" i="26"/>
  <c r="K377" i="26"/>
  <c r="J377" i="26"/>
  <c r="S376" i="26"/>
  <c r="R376" i="26"/>
  <c r="Q376" i="26"/>
  <c r="P376" i="26"/>
  <c r="O376" i="26"/>
  <c r="N376" i="26"/>
  <c r="M376" i="26"/>
  <c r="L376" i="26"/>
  <c r="K376" i="26"/>
  <c r="J376" i="26"/>
  <c r="S375" i="26"/>
  <c r="R375" i="26"/>
  <c r="Q375" i="26"/>
  <c r="P375" i="26"/>
  <c r="O375" i="26"/>
  <c r="N375" i="26"/>
  <c r="M375" i="26"/>
  <c r="L375" i="26"/>
  <c r="K375" i="26"/>
  <c r="J375" i="26"/>
  <c r="S374" i="26"/>
  <c r="R374" i="26"/>
  <c r="Q374" i="26"/>
  <c r="P374" i="26"/>
  <c r="O374" i="26"/>
  <c r="N374" i="26"/>
  <c r="M374" i="26"/>
  <c r="L374" i="26"/>
  <c r="K374" i="26"/>
  <c r="J374" i="26"/>
  <c r="S373" i="26"/>
  <c r="R373" i="26"/>
  <c r="Q373" i="26"/>
  <c r="P373" i="26"/>
  <c r="O373" i="26"/>
  <c r="N373" i="26"/>
  <c r="M373" i="26"/>
  <c r="L373" i="26"/>
  <c r="K373" i="26"/>
  <c r="J373" i="26"/>
  <c r="S372" i="26"/>
  <c r="R372" i="26"/>
  <c r="Q372" i="26"/>
  <c r="P372" i="26"/>
  <c r="O372" i="26"/>
  <c r="N372" i="26"/>
  <c r="M372" i="26"/>
  <c r="L372" i="26"/>
  <c r="K372" i="26"/>
  <c r="J372" i="26"/>
  <c r="S371" i="26"/>
  <c r="R371" i="26"/>
  <c r="Q371" i="26"/>
  <c r="P371" i="26"/>
  <c r="O371" i="26"/>
  <c r="N371" i="26"/>
  <c r="M371" i="26"/>
  <c r="L371" i="26"/>
  <c r="K371" i="26"/>
  <c r="J371" i="26"/>
  <c r="S370" i="26"/>
  <c r="R370" i="26"/>
  <c r="Q370" i="26"/>
  <c r="P370" i="26"/>
  <c r="O370" i="26"/>
  <c r="N370" i="26"/>
  <c r="M370" i="26"/>
  <c r="L370" i="26"/>
  <c r="K370" i="26"/>
  <c r="J370" i="26"/>
  <c r="S369" i="26"/>
  <c r="R369" i="26"/>
  <c r="Q369" i="26"/>
  <c r="P369" i="26"/>
  <c r="O369" i="26"/>
  <c r="N369" i="26"/>
  <c r="M369" i="26"/>
  <c r="L369" i="26"/>
  <c r="K369" i="26"/>
  <c r="J369" i="26"/>
  <c r="S368" i="26"/>
  <c r="R368" i="26"/>
  <c r="Q368" i="26"/>
  <c r="P368" i="26"/>
  <c r="O368" i="26"/>
  <c r="N368" i="26"/>
  <c r="M368" i="26"/>
  <c r="L368" i="26"/>
  <c r="K368" i="26"/>
  <c r="J368" i="26"/>
  <c r="S367" i="26"/>
  <c r="R367" i="26"/>
  <c r="Q367" i="26"/>
  <c r="P367" i="26"/>
  <c r="O367" i="26"/>
  <c r="N367" i="26"/>
  <c r="M367" i="26"/>
  <c r="L367" i="26"/>
  <c r="K367" i="26"/>
  <c r="J367" i="26"/>
  <c r="S366" i="26"/>
  <c r="R366" i="26"/>
  <c r="Q366" i="26"/>
  <c r="P366" i="26"/>
  <c r="O366" i="26"/>
  <c r="N366" i="26"/>
  <c r="M366" i="26"/>
  <c r="L366" i="26"/>
  <c r="K366" i="26"/>
  <c r="J366" i="26"/>
  <c r="S365" i="26"/>
  <c r="R365" i="26"/>
  <c r="Q365" i="26"/>
  <c r="P365" i="26"/>
  <c r="O365" i="26"/>
  <c r="N365" i="26"/>
  <c r="M365" i="26"/>
  <c r="L365" i="26"/>
  <c r="K365" i="26"/>
  <c r="J365" i="26"/>
  <c r="S364" i="26"/>
  <c r="R364" i="26"/>
  <c r="Q364" i="26"/>
  <c r="P364" i="26"/>
  <c r="O364" i="26"/>
  <c r="N364" i="26"/>
  <c r="M364" i="26"/>
  <c r="L364" i="26"/>
  <c r="K364" i="26"/>
  <c r="J364" i="26"/>
  <c r="S363" i="26"/>
  <c r="R363" i="26"/>
  <c r="Q363" i="26"/>
  <c r="P363" i="26"/>
  <c r="O363" i="26"/>
  <c r="N363" i="26"/>
  <c r="M363" i="26"/>
  <c r="L363" i="26"/>
  <c r="K363" i="26"/>
  <c r="J363" i="26"/>
  <c r="S362" i="26"/>
  <c r="R362" i="26"/>
  <c r="Q362" i="26"/>
  <c r="P362" i="26"/>
  <c r="O362" i="26"/>
  <c r="N362" i="26"/>
  <c r="M362" i="26"/>
  <c r="L362" i="26"/>
  <c r="K362" i="26"/>
  <c r="J362" i="26"/>
  <c r="S361" i="26"/>
  <c r="R361" i="26"/>
  <c r="Q361" i="26"/>
  <c r="P361" i="26"/>
  <c r="O361" i="26"/>
  <c r="N361" i="26"/>
  <c r="M361" i="26"/>
  <c r="L361" i="26"/>
  <c r="K361" i="26"/>
  <c r="J361" i="26"/>
  <c r="S360" i="26"/>
  <c r="R360" i="26"/>
  <c r="Q360" i="26"/>
  <c r="P360" i="26"/>
  <c r="O360" i="26"/>
  <c r="N360" i="26"/>
  <c r="M360" i="26"/>
  <c r="L360" i="26"/>
  <c r="K360" i="26"/>
  <c r="J360" i="26"/>
  <c r="S359" i="26"/>
  <c r="R359" i="26"/>
  <c r="Q359" i="26"/>
  <c r="P359" i="26"/>
  <c r="O359" i="26"/>
  <c r="N359" i="26"/>
  <c r="M359" i="26"/>
  <c r="L359" i="26"/>
  <c r="K359" i="26"/>
  <c r="J359" i="26"/>
  <c r="S358" i="26"/>
  <c r="R358" i="26"/>
  <c r="Q358" i="26"/>
  <c r="P358" i="26"/>
  <c r="O358" i="26"/>
  <c r="N358" i="26"/>
  <c r="M358" i="26"/>
  <c r="L358" i="26"/>
  <c r="K358" i="26"/>
  <c r="J358" i="26"/>
  <c r="S357" i="26"/>
  <c r="R357" i="26"/>
  <c r="Q357" i="26"/>
  <c r="P357" i="26"/>
  <c r="O357" i="26"/>
  <c r="N357" i="26"/>
  <c r="M357" i="26"/>
  <c r="L357" i="26"/>
  <c r="K357" i="26"/>
  <c r="J357" i="26"/>
  <c r="S356" i="26"/>
  <c r="R356" i="26"/>
  <c r="Q356" i="26"/>
  <c r="P356" i="26"/>
  <c r="O356" i="26"/>
  <c r="N356" i="26"/>
  <c r="M356" i="26"/>
  <c r="L356" i="26"/>
  <c r="K356" i="26"/>
  <c r="J356" i="26"/>
  <c r="S355" i="26"/>
  <c r="R355" i="26"/>
  <c r="Q355" i="26"/>
  <c r="P355" i="26"/>
  <c r="O355" i="26"/>
  <c r="N355" i="26"/>
  <c r="M355" i="26"/>
  <c r="L355" i="26"/>
  <c r="K355" i="26"/>
  <c r="J355" i="26"/>
  <c r="S354" i="26"/>
  <c r="R354" i="26"/>
  <c r="Q354" i="26"/>
  <c r="P354" i="26"/>
  <c r="O354" i="26"/>
  <c r="N354" i="26"/>
  <c r="M354" i="26"/>
  <c r="L354" i="26"/>
  <c r="K354" i="26"/>
  <c r="J354" i="26"/>
  <c r="S353" i="26"/>
  <c r="R353" i="26"/>
  <c r="Q353" i="26"/>
  <c r="P353" i="26"/>
  <c r="O353" i="26"/>
  <c r="N353" i="26"/>
  <c r="M353" i="26"/>
  <c r="L353" i="26"/>
  <c r="K353" i="26"/>
  <c r="J353" i="26"/>
  <c r="S352" i="26"/>
  <c r="R352" i="26"/>
  <c r="Q352" i="26"/>
  <c r="P352" i="26"/>
  <c r="O352" i="26"/>
  <c r="N352" i="26"/>
  <c r="M352" i="26"/>
  <c r="L352" i="26"/>
  <c r="K352" i="26"/>
  <c r="J352" i="26"/>
  <c r="S351" i="26"/>
  <c r="R351" i="26"/>
  <c r="Q351" i="26"/>
  <c r="P351" i="26"/>
  <c r="O351" i="26"/>
  <c r="N351" i="26"/>
  <c r="M351" i="26"/>
  <c r="L351" i="26"/>
  <c r="K351" i="26"/>
  <c r="J351" i="26"/>
  <c r="S350" i="26"/>
  <c r="R350" i="26"/>
  <c r="Q350" i="26"/>
  <c r="P350" i="26"/>
  <c r="O350" i="26"/>
  <c r="N350" i="26"/>
  <c r="M350" i="26"/>
  <c r="L350" i="26"/>
  <c r="K350" i="26"/>
  <c r="J350" i="26"/>
  <c r="S349" i="26"/>
  <c r="R349" i="26"/>
  <c r="Q349" i="26"/>
  <c r="P349" i="26"/>
  <c r="O349" i="26"/>
  <c r="N349" i="26"/>
  <c r="M349" i="26"/>
  <c r="L349" i="26"/>
  <c r="K349" i="26"/>
  <c r="J349" i="26"/>
  <c r="S348" i="26"/>
  <c r="R348" i="26"/>
  <c r="Q348" i="26"/>
  <c r="P348" i="26"/>
  <c r="O348" i="26"/>
  <c r="N348" i="26"/>
  <c r="M348" i="26"/>
  <c r="L348" i="26"/>
  <c r="K348" i="26"/>
  <c r="J348" i="26"/>
  <c r="S347" i="26"/>
  <c r="R347" i="26"/>
  <c r="Q347" i="26"/>
  <c r="P347" i="26"/>
  <c r="O347" i="26"/>
  <c r="N347" i="26"/>
  <c r="M347" i="26"/>
  <c r="L347" i="26"/>
  <c r="K347" i="26"/>
  <c r="J347" i="26"/>
  <c r="S346" i="26"/>
  <c r="R346" i="26"/>
  <c r="Q346" i="26"/>
  <c r="P346" i="26"/>
  <c r="O346" i="26"/>
  <c r="N346" i="26"/>
  <c r="M346" i="26"/>
  <c r="L346" i="26"/>
  <c r="K346" i="26"/>
  <c r="J346" i="26"/>
  <c r="S345" i="26"/>
  <c r="R345" i="26"/>
  <c r="Q345" i="26"/>
  <c r="P345" i="26"/>
  <c r="O345" i="26"/>
  <c r="N345" i="26"/>
  <c r="M345" i="26"/>
  <c r="L345" i="26"/>
  <c r="K345" i="26"/>
  <c r="J345" i="26"/>
  <c r="S344" i="26"/>
  <c r="R344" i="26"/>
  <c r="Q344" i="26"/>
  <c r="P344" i="26"/>
  <c r="O344" i="26"/>
  <c r="N344" i="26"/>
  <c r="M344" i="26"/>
  <c r="L344" i="26"/>
  <c r="K344" i="26"/>
  <c r="J344" i="26"/>
  <c r="S343" i="26"/>
  <c r="R343" i="26"/>
  <c r="Q343" i="26"/>
  <c r="P343" i="26"/>
  <c r="O343" i="26"/>
  <c r="N343" i="26"/>
  <c r="M343" i="26"/>
  <c r="L343" i="26"/>
  <c r="K343" i="26"/>
  <c r="J343" i="26"/>
  <c r="S342" i="26"/>
  <c r="R342" i="26"/>
  <c r="Q342" i="26"/>
  <c r="P342" i="26"/>
  <c r="O342" i="26"/>
  <c r="N342" i="26"/>
  <c r="M342" i="26"/>
  <c r="L342" i="26"/>
  <c r="K342" i="26"/>
  <c r="J342" i="26"/>
  <c r="S341" i="26"/>
  <c r="R341" i="26"/>
  <c r="Q341" i="26"/>
  <c r="P341" i="26"/>
  <c r="O341" i="26"/>
  <c r="N341" i="26"/>
  <c r="M341" i="26"/>
  <c r="L341" i="26"/>
  <c r="K341" i="26"/>
  <c r="J341" i="26"/>
  <c r="S340" i="26"/>
  <c r="R340" i="26"/>
  <c r="Q340" i="26"/>
  <c r="P340" i="26"/>
  <c r="O340" i="26"/>
  <c r="N340" i="26"/>
  <c r="M340" i="26"/>
  <c r="L340" i="26"/>
  <c r="K340" i="26"/>
  <c r="J340" i="26"/>
  <c r="S339" i="26"/>
  <c r="R339" i="26"/>
  <c r="Q339" i="26"/>
  <c r="P339" i="26"/>
  <c r="O339" i="26"/>
  <c r="N339" i="26"/>
  <c r="M339" i="26"/>
  <c r="L339" i="26"/>
  <c r="K339" i="26"/>
  <c r="J339" i="26"/>
  <c r="S338" i="26"/>
  <c r="R338" i="26"/>
  <c r="Q338" i="26"/>
  <c r="P338" i="26"/>
  <c r="O338" i="26"/>
  <c r="N338" i="26"/>
  <c r="M338" i="26"/>
  <c r="L338" i="26"/>
  <c r="K338" i="26"/>
  <c r="J338" i="26"/>
  <c r="S337" i="26"/>
  <c r="R337" i="26"/>
  <c r="Q337" i="26"/>
  <c r="P337" i="26"/>
  <c r="O337" i="26"/>
  <c r="N337" i="26"/>
  <c r="M337" i="26"/>
  <c r="L337" i="26"/>
  <c r="K337" i="26"/>
  <c r="J337" i="26"/>
  <c r="S336" i="26"/>
  <c r="R336" i="26"/>
  <c r="Q336" i="26"/>
  <c r="P336" i="26"/>
  <c r="O336" i="26"/>
  <c r="N336" i="26"/>
  <c r="M336" i="26"/>
  <c r="L336" i="26"/>
  <c r="K336" i="26"/>
  <c r="J336" i="26"/>
  <c r="S335" i="26"/>
  <c r="R335" i="26"/>
  <c r="Q335" i="26"/>
  <c r="P335" i="26"/>
  <c r="O335" i="26"/>
  <c r="N335" i="26"/>
  <c r="M335" i="26"/>
  <c r="L335" i="26"/>
  <c r="K335" i="26"/>
  <c r="J335" i="26"/>
  <c r="S334" i="26"/>
  <c r="R334" i="26"/>
  <c r="Q334" i="26"/>
  <c r="P334" i="26"/>
  <c r="O334" i="26"/>
  <c r="N334" i="26"/>
  <c r="M334" i="26"/>
  <c r="L334" i="26"/>
  <c r="K334" i="26"/>
  <c r="J334" i="26"/>
  <c r="S333" i="26"/>
  <c r="R333" i="26"/>
  <c r="Q333" i="26"/>
  <c r="P333" i="26"/>
  <c r="O333" i="26"/>
  <c r="N333" i="26"/>
  <c r="M333" i="26"/>
  <c r="L333" i="26"/>
  <c r="K333" i="26"/>
  <c r="J333" i="26"/>
  <c r="S332" i="26"/>
  <c r="R332" i="26"/>
  <c r="Q332" i="26"/>
  <c r="P332" i="26"/>
  <c r="O332" i="26"/>
  <c r="N332" i="26"/>
  <c r="M332" i="26"/>
  <c r="L332" i="26"/>
  <c r="K332" i="26"/>
  <c r="J332" i="26"/>
  <c r="S331" i="26"/>
  <c r="R331" i="26"/>
  <c r="Q331" i="26"/>
  <c r="P331" i="26"/>
  <c r="O331" i="26"/>
  <c r="N331" i="26"/>
  <c r="M331" i="26"/>
  <c r="L331" i="26"/>
  <c r="K331" i="26"/>
  <c r="J331" i="26"/>
  <c r="S330" i="26"/>
  <c r="R330" i="26"/>
  <c r="Q330" i="26"/>
  <c r="P330" i="26"/>
  <c r="O330" i="26"/>
  <c r="N330" i="26"/>
  <c r="M330" i="26"/>
  <c r="L330" i="26"/>
  <c r="K330" i="26"/>
  <c r="J330" i="26"/>
  <c r="S329" i="26"/>
  <c r="R329" i="26"/>
  <c r="Q329" i="26"/>
  <c r="P329" i="26"/>
  <c r="O329" i="26"/>
  <c r="N329" i="26"/>
  <c r="M329" i="26"/>
  <c r="L329" i="26"/>
  <c r="K329" i="26"/>
  <c r="J329" i="26"/>
  <c r="S328" i="26"/>
  <c r="R328" i="26"/>
  <c r="Q328" i="26"/>
  <c r="P328" i="26"/>
  <c r="O328" i="26"/>
  <c r="N328" i="26"/>
  <c r="M328" i="26"/>
  <c r="L328" i="26"/>
  <c r="K328" i="26"/>
  <c r="J328" i="26"/>
  <c r="S327" i="26"/>
  <c r="R327" i="26"/>
  <c r="Q327" i="26"/>
  <c r="P327" i="26"/>
  <c r="O327" i="26"/>
  <c r="N327" i="26"/>
  <c r="M327" i="26"/>
  <c r="L327" i="26"/>
  <c r="K327" i="26"/>
  <c r="J327" i="26"/>
  <c r="S326" i="26"/>
  <c r="R326" i="26"/>
  <c r="Q326" i="26"/>
  <c r="P326" i="26"/>
  <c r="O326" i="26"/>
  <c r="N326" i="26"/>
  <c r="M326" i="26"/>
  <c r="L326" i="26"/>
  <c r="K326" i="26"/>
  <c r="J326" i="26"/>
  <c r="S325" i="26"/>
  <c r="R325" i="26"/>
  <c r="Q325" i="26"/>
  <c r="P325" i="26"/>
  <c r="O325" i="26"/>
  <c r="N325" i="26"/>
  <c r="M325" i="26"/>
  <c r="L325" i="26"/>
  <c r="K325" i="26"/>
  <c r="J325" i="26"/>
  <c r="S324" i="26"/>
  <c r="R324" i="26"/>
  <c r="Q324" i="26"/>
  <c r="P324" i="26"/>
  <c r="O324" i="26"/>
  <c r="N324" i="26"/>
  <c r="M324" i="26"/>
  <c r="L324" i="26"/>
  <c r="K324" i="26"/>
  <c r="J324" i="26"/>
  <c r="S323" i="26"/>
  <c r="R323" i="26"/>
  <c r="Q323" i="26"/>
  <c r="P323" i="26"/>
  <c r="O323" i="26"/>
  <c r="N323" i="26"/>
  <c r="M323" i="26"/>
  <c r="L323" i="26"/>
  <c r="K323" i="26"/>
  <c r="J323" i="26"/>
  <c r="S322" i="26"/>
  <c r="R322" i="26"/>
  <c r="Q322" i="26"/>
  <c r="P322" i="26"/>
  <c r="O322" i="26"/>
  <c r="N322" i="26"/>
  <c r="M322" i="26"/>
  <c r="L322" i="26"/>
  <c r="K322" i="26"/>
  <c r="J322" i="26"/>
  <c r="S321" i="26"/>
  <c r="R321" i="26"/>
  <c r="Q321" i="26"/>
  <c r="P321" i="26"/>
  <c r="O321" i="26"/>
  <c r="N321" i="26"/>
  <c r="M321" i="26"/>
  <c r="L321" i="26"/>
  <c r="K321" i="26"/>
  <c r="J321" i="26"/>
  <c r="S320" i="26"/>
  <c r="R320" i="26"/>
  <c r="Q320" i="26"/>
  <c r="P320" i="26"/>
  <c r="O320" i="26"/>
  <c r="N320" i="26"/>
  <c r="M320" i="26"/>
  <c r="L320" i="26"/>
  <c r="K320" i="26"/>
  <c r="J320" i="26"/>
  <c r="S319" i="26"/>
  <c r="R319" i="26"/>
  <c r="Q319" i="26"/>
  <c r="P319" i="26"/>
  <c r="O319" i="26"/>
  <c r="N319" i="26"/>
  <c r="M319" i="26"/>
  <c r="L319" i="26"/>
  <c r="K319" i="26"/>
  <c r="J319" i="26"/>
  <c r="S318" i="26"/>
  <c r="R318" i="26"/>
  <c r="Q318" i="26"/>
  <c r="P318" i="26"/>
  <c r="O318" i="26"/>
  <c r="N318" i="26"/>
  <c r="M318" i="26"/>
  <c r="L318" i="26"/>
  <c r="K318" i="26"/>
  <c r="J318" i="26"/>
  <c r="S317" i="26"/>
  <c r="R317" i="26"/>
  <c r="Q317" i="26"/>
  <c r="P317" i="26"/>
  <c r="O317" i="26"/>
  <c r="N317" i="26"/>
  <c r="M317" i="26"/>
  <c r="L317" i="26"/>
  <c r="K317" i="26"/>
  <c r="J317" i="26"/>
  <c r="S316" i="26"/>
  <c r="R316" i="26"/>
  <c r="Q316" i="26"/>
  <c r="P316" i="26"/>
  <c r="O316" i="26"/>
  <c r="N316" i="26"/>
  <c r="M316" i="26"/>
  <c r="L316" i="26"/>
  <c r="K316" i="26"/>
  <c r="J316" i="26"/>
  <c r="S315" i="26"/>
  <c r="R315" i="26"/>
  <c r="Q315" i="26"/>
  <c r="P315" i="26"/>
  <c r="O315" i="26"/>
  <c r="N315" i="26"/>
  <c r="M315" i="26"/>
  <c r="L315" i="26"/>
  <c r="K315" i="26"/>
  <c r="J315" i="26"/>
  <c r="S314" i="26"/>
  <c r="R314" i="26"/>
  <c r="Q314" i="26"/>
  <c r="P314" i="26"/>
  <c r="O314" i="26"/>
  <c r="N314" i="26"/>
  <c r="M314" i="26"/>
  <c r="L314" i="26"/>
  <c r="K314" i="26"/>
  <c r="J314" i="26"/>
  <c r="S313" i="26"/>
  <c r="R313" i="26"/>
  <c r="Q313" i="26"/>
  <c r="P313" i="26"/>
  <c r="O313" i="26"/>
  <c r="N313" i="26"/>
  <c r="M313" i="26"/>
  <c r="L313" i="26"/>
  <c r="K313" i="26"/>
  <c r="J313" i="26"/>
  <c r="S312" i="26"/>
  <c r="R312" i="26"/>
  <c r="Q312" i="26"/>
  <c r="P312" i="26"/>
  <c r="O312" i="26"/>
  <c r="N312" i="26"/>
  <c r="M312" i="26"/>
  <c r="L312" i="26"/>
  <c r="K312" i="26"/>
  <c r="J312" i="26"/>
  <c r="S311" i="26"/>
  <c r="R311" i="26"/>
  <c r="Q311" i="26"/>
  <c r="P311" i="26"/>
  <c r="O311" i="26"/>
  <c r="N311" i="26"/>
  <c r="M311" i="26"/>
  <c r="L311" i="26"/>
  <c r="K311" i="26"/>
  <c r="J311" i="26"/>
  <c r="S310" i="26"/>
  <c r="R310" i="26"/>
  <c r="Q310" i="26"/>
  <c r="P310" i="26"/>
  <c r="O310" i="26"/>
  <c r="N310" i="26"/>
  <c r="M310" i="26"/>
  <c r="L310" i="26"/>
  <c r="K310" i="26"/>
  <c r="J310" i="26"/>
  <c r="S309" i="26"/>
  <c r="R309" i="26"/>
  <c r="Q309" i="26"/>
  <c r="P309" i="26"/>
  <c r="O309" i="26"/>
  <c r="N309" i="26"/>
  <c r="M309" i="26"/>
  <c r="L309" i="26"/>
  <c r="K309" i="26"/>
  <c r="J309" i="26"/>
  <c r="S308" i="26"/>
  <c r="R308" i="26"/>
  <c r="Q308" i="26"/>
  <c r="P308" i="26"/>
  <c r="O308" i="26"/>
  <c r="N308" i="26"/>
  <c r="M308" i="26"/>
  <c r="L308" i="26"/>
  <c r="K308" i="26"/>
  <c r="J308" i="26"/>
  <c r="S307" i="26"/>
  <c r="R307" i="26"/>
  <c r="Q307" i="26"/>
  <c r="P307" i="26"/>
  <c r="O307" i="26"/>
  <c r="N307" i="26"/>
  <c r="M307" i="26"/>
  <c r="L307" i="26"/>
  <c r="K307" i="26"/>
  <c r="J307" i="26"/>
  <c r="S306" i="26"/>
  <c r="R306" i="26"/>
  <c r="Q306" i="26"/>
  <c r="P306" i="26"/>
  <c r="O306" i="26"/>
  <c r="N306" i="26"/>
  <c r="M306" i="26"/>
  <c r="L306" i="26"/>
  <c r="K306" i="26"/>
  <c r="J306" i="26"/>
  <c r="S305" i="26"/>
  <c r="R305" i="26"/>
  <c r="Q305" i="26"/>
  <c r="P305" i="26"/>
  <c r="O305" i="26"/>
  <c r="N305" i="26"/>
  <c r="M305" i="26"/>
  <c r="L305" i="26"/>
  <c r="K305" i="26"/>
  <c r="J305" i="26"/>
  <c r="S304" i="26"/>
  <c r="R304" i="26"/>
  <c r="Q304" i="26"/>
  <c r="P304" i="26"/>
  <c r="O304" i="26"/>
  <c r="N304" i="26"/>
  <c r="M304" i="26"/>
  <c r="L304" i="26"/>
  <c r="K304" i="26"/>
  <c r="J304" i="26"/>
  <c r="S303" i="26"/>
  <c r="R303" i="26"/>
  <c r="Q303" i="26"/>
  <c r="P303" i="26"/>
  <c r="O303" i="26"/>
  <c r="N303" i="26"/>
  <c r="M303" i="26"/>
  <c r="L303" i="26"/>
  <c r="K303" i="26"/>
  <c r="J303" i="26"/>
  <c r="S302" i="26"/>
  <c r="R302" i="26"/>
  <c r="Q302" i="26"/>
  <c r="P302" i="26"/>
  <c r="O302" i="26"/>
  <c r="N302" i="26"/>
  <c r="M302" i="26"/>
  <c r="L302" i="26"/>
  <c r="K302" i="26"/>
  <c r="J302" i="26"/>
  <c r="S301" i="26"/>
  <c r="R301" i="26"/>
  <c r="Q301" i="26"/>
  <c r="P301" i="26"/>
  <c r="O301" i="26"/>
  <c r="N301" i="26"/>
  <c r="M301" i="26"/>
  <c r="L301" i="26"/>
  <c r="K301" i="26"/>
  <c r="J301" i="26"/>
  <c r="S300" i="26"/>
  <c r="R300" i="26"/>
  <c r="Q300" i="26"/>
  <c r="P300" i="26"/>
  <c r="O300" i="26"/>
  <c r="N300" i="26"/>
  <c r="M300" i="26"/>
  <c r="L300" i="26"/>
  <c r="K300" i="26"/>
  <c r="J300" i="26"/>
  <c r="S299" i="26"/>
  <c r="R299" i="26"/>
  <c r="Q299" i="26"/>
  <c r="P299" i="26"/>
  <c r="O299" i="26"/>
  <c r="N299" i="26"/>
  <c r="M299" i="26"/>
  <c r="L299" i="26"/>
  <c r="K299" i="26"/>
  <c r="J299" i="26"/>
  <c r="S298" i="26"/>
  <c r="R298" i="26"/>
  <c r="Q298" i="26"/>
  <c r="P298" i="26"/>
  <c r="O298" i="26"/>
  <c r="N298" i="26"/>
  <c r="M298" i="26"/>
  <c r="L298" i="26"/>
  <c r="K298" i="26"/>
  <c r="J298" i="26"/>
  <c r="S297" i="26"/>
  <c r="R297" i="26"/>
  <c r="Q297" i="26"/>
  <c r="P297" i="26"/>
  <c r="O297" i="26"/>
  <c r="N297" i="26"/>
  <c r="M297" i="26"/>
  <c r="L297" i="26"/>
  <c r="K297" i="26"/>
  <c r="J297" i="26"/>
  <c r="S296" i="26"/>
  <c r="R296" i="26"/>
  <c r="Q296" i="26"/>
  <c r="P296" i="26"/>
  <c r="O296" i="26"/>
  <c r="N296" i="26"/>
  <c r="M296" i="26"/>
  <c r="L296" i="26"/>
  <c r="K296" i="26"/>
  <c r="J296" i="26"/>
  <c r="S295" i="26"/>
  <c r="R295" i="26"/>
  <c r="Q295" i="26"/>
  <c r="P295" i="26"/>
  <c r="O295" i="26"/>
  <c r="N295" i="26"/>
  <c r="M295" i="26"/>
  <c r="L295" i="26"/>
  <c r="K295" i="26"/>
  <c r="J295" i="26"/>
  <c r="S294" i="26"/>
  <c r="R294" i="26"/>
  <c r="Q294" i="26"/>
  <c r="P294" i="26"/>
  <c r="O294" i="26"/>
  <c r="N294" i="26"/>
  <c r="M294" i="26"/>
  <c r="L294" i="26"/>
  <c r="K294" i="26"/>
  <c r="J294" i="26"/>
  <c r="S293" i="26"/>
  <c r="R293" i="26"/>
  <c r="Q293" i="26"/>
  <c r="P293" i="26"/>
  <c r="O293" i="26"/>
  <c r="N293" i="26"/>
  <c r="M293" i="26"/>
  <c r="L293" i="26"/>
  <c r="K293" i="26"/>
  <c r="J293" i="26"/>
  <c r="S292" i="26"/>
  <c r="R292" i="26"/>
  <c r="Q292" i="26"/>
  <c r="P292" i="26"/>
  <c r="O292" i="26"/>
  <c r="N292" i="26"/>
  <c r="M292" i="26"/>
  <c r="L292" i="26"/>
  <c r="K292" i="26"/>
  <c r="J292" i="26"/>
  <c r="S291" i="26"/>
  <c r="R291" i="26"/>
  <c r="Q291" i="26"/>
  <c r="P291" i="26"/>
  <c r="O291" i="26"/>
  <c r="N291" i="26"/>
  <c r="M291" i="26"/>
  <c r="L291" i="26"/>
  <c r="K291" i="26"/>
  <c r="J291" i="26"/>
  <c r="S290" i="26"/>
  <c r="R290" i="26"/>
  <c r="Q290" i="26"/>
  <c r="P290" i="26"/>
  <c r="O290" i="26"/>
  <c r="N290" i="26"/>
  <c r="M290" i="26"/>
  <c r="L290" i="26"/>
  <c r="K290" i="26"/>
  <c r="J290" i="26"/>
  <c r="S289" i="26"/>
  <c r="R289" i="26"/>
  <c r="Q289" i="26"/>
  <c r="P289" i="26"/>
  <c r="O289" i="26"/>
  <c r="N289" i="26"/>
  <c r="M289" i="26"/>
  <c r="L289" i="26"/>
  <c r="K289" i="26"/>
  <c r="J289" i="26"/>
  <c r="S288" i="26"/>
  <c r="R288" i="26"/>
  <c r="Q288" i="26"/>
  <c r="P288" i="26"/>
  <c r="O288" i="26"/>
  <c r="N288" i="26"/>
  <c r="M288" i="26"/>
  <c r="L288" i="26"/>
  <c r="K288" i="26"/>
  <c r="J288" i="26"/>
  <c r="S287" i="26"/>
  <c r="R287" i="26"/>
  <c r="Q287" i="26"/>
  <c r="P287" i="26"/>
  <c r="O287" i="26"/>
  <c r="N287" i="26"/>
  <c r="M287" i="26"/>
  <c r="L287" i="26"/>
  <c r="K287" i="26"/>
  <c r="J287" i="26"/>
  <c r="S286" i="26"/>
  <c r="R286" i="26"/>
  <c r="Q286" i="26"/>
  <c r="P286" i="26"/>
  <c r="O286" i="26"/>
  <c r="N286" i="26"/>
  <c r="M286" i="26"/>
  <c r="L286" i="26"/>
  <c r="K286" i="26"/>
  <c r="J286" i="26"/>
  <c r="S285" i="26"/>
  <c r="R285" i="26"/>
  <c r="Q285" i="26"/>
  <c r="P285" i="26"/>
  <c r="O285" i="26"/>
  <c r="N285" i="26"/>
  <c r="M285" i="26"/>
  <c r="L285" i="26"/>
  <c r="K285" i="26"/>
  <c r="J285" i="26"/>
  <c r="S284" i="26"/>
  <c r="R284" i="26"/>
  <c r="Q284" i="26"/>
  <c r="P284" i="26"/>
  <c r="O284" i="26"/>
  <c r="N284" i="26"/>
  <c r="M284" i="26"/>
  <c r="L284" i="26"/>
  <c r="K284" i="26"/>
  <c r="J284" i="26"/>
  <c r="S283" i="26"/>
  <c r="R283" i="26"/>
  <c r="Q283" i="26"/>
  <c r="P283" i="26"/>
  <c r="O283" i="26"/>
  <c r="N283" i="26"/>
  <c r="M283" i="26"/>
  <c r="L283" i="26"/>
  <c r="K283" i="26"/>
  <c r="J283" i="26"/>
  <c r="S282" i="26"/>
  <c r="R282" i="26"/>
  <c r="Q282" i="26"/>
  <c r="P282" i="26"/>
  <c r="O282" i="26"/>
  <c r="N282" i="26"/>
  <c r="M282" i="26"/>
  <c r="L282" i="26"/>
  <c r="K282" i="26"/>
  <c r="J282" i="26"/>
  <c r="S281" i="26"/>
  <c r="R281" i="26"/>
  <c r="Q281" i="26"/>
  <c r="P281" i="26"/>
  <c r="O281" i="26"/>
  <c r="N281" i="26"/>
  <c r="M281" i="26"/>
  <c r="L281" i="26"/>
  <c r="K281" i="26"/>
  <c r="J281" i="26"/>
  <c r="S280" i="26"/>
  <c r="R280" i="26"/>
  <c r="Q280" i="26"/>
  <c r="P280" i="26"/>
  <c r="O280" i="26"/>
  <c r="N280" i="26"/>
  <c r="M280" i="26"/>
  <c r="L280" i="26"/>
  <c r="K280" i="26"/>
  <c r="J280" i="26"/>
  <c r="S279" i="26"/>
  <c r="R279" i="26"/>
  <c r="Q279" i="26"/>
  <c r="P279" i="26"/>
  <c r="O279" i="26"/>
  <c r="N279" i="26"/>
  <c r="M279" i="26"/>
  <c r="L279" i="26"/>
  <c r="K279" i="26"/>
  <c r="J279" i="26"/>
  <c r="S278" i="26"/>
  <c r="R278" i="26"/>
  <c r="Q278" i="26"/>
  <c r="P278" i="26"/>
  <c r="O278" i="26"/>
  <c r="N278" i="26"/>
  <c r="M278" i="26"/>
  <c r="L278" i="26"/>
  <c r="K278" i="26"/>
  <c r="J278" i="26"/>
  <c r="S277" i="26"/>
  <c r="R277" i="26"/>
  <c r="Q277" i="26"/>
  <c r="P277" i="26"/>
  <c r="O277" i="26"/>
  <c r="N277" i="26"/>
  <c r="M277" i="26"/>
  <c r="L277" i="26"/>
  <c r="K277" i="26"/>
  <c r="J277" i="26"/>
  <c r="S276" i="26"/>
  <c r="R276" i="26"/>
  <c r="Q276" i="26"/>
  <c r="P276" i="26"/>
  <c r="O276" i="26"/>
  <c r="N276" i="26"/>
  <c r="M276" i="26"/>
  <c r="L276" i="26"/>
  <c r="K276" i="26"/>
  <c r="J276" i="26"/>
  <c r="S275" i="26"/>
  <c r="R275" i="26"/>
  <c r="Q275" i="26"/>
  <c r="P275" i="26"/>
  <c r="O275" i="26"/>
  <c r="N275" i="26"/>
  <c r="M275" i="26"/>
  <c r="L275" i="26"/>
  <c r="K275" i="26"/>
  <c r="J275" i="26"/>
  <c r="S274" i="26"/>
  <c r="R274" i="26"/>
  <c r="Q274" i="26"/>
  <c r="P274" i="26"/>
  <c r="O274" i="26"/>
  <c r="N274" i="26"/>
  <c r="M274" i="26"/>
  <c r="L274" i="26"/>
  <c r="K274" i="26"/>
  <c r="J274" i="26"/>
  <c r="S273" i="26"/>
  <c r="R273" i="26"/>
  <c r="Q273" i="26"/>
  <c r="P273" i="26"/>
  <c r="O273" i="26"/>
  <c r="N273" i="26"/>
  <c r="M273" i="26"/>
  <c r="L273" i="26"/>
  <c r="K273" i="26"/>
  <c r="J273" i="26"/>
  <c r="S272" i="26"/>
  <c r="R272" i="26"/>
  <c r="Q272" i="26"/>
  <c r="P272" i="26"/>
  <c r="O272" i="26"/>
  <c r="N272" i="26"/>
  <c r="M272" i="26"/>
  <c r="L272" i="26"/>
  <c r="K272" i="26"/>
  <c r="J272" i="26"/>
  <c r="S271" i="26"/>
  <c r="R271" i="26"/>
  <c r="Q271" i="26"/>
  <c r="P271" i="26"/>
  <c r="O271" i="26"/>
  <c r="N271" i="26"/>
  <c r="M271" i="26"/>
  <c r="L271" i="26"/>
  <c r="K271" i="26"/>
  <c r="J271" i="26"/>
  <c r="S270" i="26"/>
  <c r="R270" i="26"/>
  <c r="Q270" i="26"/>
  <c r="P270" i="26"/>
  <c r="O270" i="26"/>
  <c r="N270" i="26"/>
  <c r="M270" i="26"/>
  <c r="L270" i="26"/>
  <c r="K270" i="26"/>
  <c r="J270" i="26"/>
  <c r="S269" i="26"/>
  <c r="R269" i="26"/>
  <c r="Q269" i="26"/>
  <c r="P269" i="26"/>
  <c r="O269" i="26"/>
  <c r="N269" i="26"/>
  <c r="M269" i="26"/>
  <c r="L269" i="26"/>
  <c r="K269" i="26"/>
  <c r="J269" i="26"/>
  <c r="S268" i="26"/>
  <c r="R268" i="26"/>
  <c r="Q268" i="26"/>
  <c r="P268" i="26"/>
  <c r="O268" i="26"/>
  <c r="N268" i="26"/>
  <c r="M268" i="26"/>
  <c r="L268" i="26"/>
  <c r="K268" i="26"/>
  <c r="J268" i="26"/>
  <c r="S267" i="26"/>
  <c r="R267" i="26"/>
  <c r="Q267" i="26"/>
  <c r="P267" i="26"/>
  <c r="O267" i="26"/>
  <c r="N267" i="26"/>
  <c r="M267" i="26"/>
  <c r="L267" i="26"/>
  <c r="K267" i="26"/>
  <c r="J267" i="26"/>
  <c r="S266" i="26"/>
  <c r="R266" i="26"/>
  <c r="Q266" i="26"/>
  <c r="P266" i="26"/>
  <c r="O266" i="26"/>
  <c r="N266" i="26"/>
  <c r="M266" i="26"/>
  <c r="L266" i="26"/>
  <c r="K266" i="26"/>
  <c r="J266" i="26"/>
  <c r="S265" i="26"/>
  <c r="R265" i="26"/>
  <c r="Q265" i="26"/>
  <c r="P265" i="26"/>
  <c r="O265" i="26"/>
  <c r="N265" i="26"/>
  <c r="M265" i="26"/>
  <c r="L265" i="26"/>
  <c r="K265" i="26"/>
  <c r="J265" i="26"/>
  <c r="S264" i="26"/>
  <c r="R264" i="26"/>
  <c r="Q264" i="26"/>
  <c r="P264" i="26"/>
  <c r="O264" i="26"/>
  <c r="N264" i="26"/>
  <c r="M264" i="26"/>
  <c r="L264" i="26"/>
  <c r="K264" i="26"/>
  <c r="J264" i="26"/>
  <c r="S263" i="26"/>
  <c r="R263" i="26"/>
  <c r="Q263" i="26"/>
  <c r="P263" i="26"/>
  <c r="O263" i="26"/>
  <c r="N263" i="26"/>
  <c r="M263" i="26"/>
  <c r="L263" i="26"/>
  <c r="K263" i="26"/>
  <c r="J263" i="26"/>
  <c r="S262" i="26"/>
  <c r="R262" i="26"/>
  <c r="Q262" i="26"/>
  <c r="P262" i="26"/>
  <c r="O262" i="26"/>
  <c r="N262" i="26"/>
  <c r="M262" i="26"/>
  <c r="L262" i="26"/>
  <c r="K262" i="26"/>
  <c r="J262" i="26"/>
  <c r="S261" i="26"/>
  <c r="R261" i="26"/>
  <c r="Q261" i="26"/>
  <c r="P261" i="26"/>
  <c r="O261" i="26"/>
  <c r="N261" i="26"/>
  <c r="M261" i="26"/>
  <c r="L261" i="26"/>
  <c r="K261" i="26"/>
  <c r="J261" i="26"/>
  <c r="S260" i="26"/>
  <c r="R260" i="26"/>
  <c r="Q260" i="26"/>
  <c r="P260" i="26"/>
  <c r="O260" i="26"/>
  <c r="N260" i="26"/>
  <c r="M260" i="26"/>
  <c r="L260" i="26"/>
  <c r="K260" i="26"/>
  <c r="J260" i="26"/>
  <c r="S259" i="26"/>
  <c r="R259" i="26"/>
  <c r="Q259" i="26"/>
  <c r="P259" i="26"/>
  <c r="O259" i="26"/>
  <c r="N259" i="26"/>
  <c r="M259" i="26"/>
  <c r="L259" i="26"/>
  <c r="K259" i="26"/>
  <c r="J259" i="26"/>
  <c r="S258" i="26"/>
  <c r="R258" i="26"/>
  <c r="Q258" i="26"/>
  <c r="P258" i="26"/>
  <c r="O258" i="26"/>
  <c r="N258" i="26"/>
  <c r="M258" i="26"/>
  <c r="L258" i="26"/>
  <c r="K258" i="26"/>
  <c r="J258" i="26"/>
  <c r="S257" i="26"/>
  <c r="R257" i="26"/>
  <c r="Q257" i="26"/>
  <c r="P257" i="26"/>
  <c r="O257" i="26"/>
  <c r="N257" i="26"/>
  <c r="M257" i="26"/>
  <c r="L257" i="26"/>
  <c r="K257" i="26"/>
  <c r="J257" i="26"/>
  <c r="S256" i="26"/>
  <c r="R256" i="26"/>
  <c r="Q256" i="26"/>
  <c r="P256" i="26"/>
  <c r="O256" i="26"/>
  <c r="N256" i="26"/>
  <c r="M256" i="26"/>
  <c r="L256" i="26"/>
  <c r="K256" i="26"/>
  <c r="J256" i="26"/>
  <c r="S255" i="26"/>
  <c r="R255" i="26"/>
  <c r="Q255" i="26"/>
  <c r="P255" i="26"/>
  <c r="O255" i="26"/>
  <c r="N255" i="26"/>
  <c r="M255" i="26"/>
  <c r="L255" i="26"/>
  <c r="K255" i="26"/>
  <c r="J255" i="26"/>
  <c r="S254" i="26"/>
  <c r="R254" i="26"/>
  <c r="Q254" i="26"/>
  <c r="P254" i="26"/>
  <c r="O254" i="26"/>
  <c r="N254" i="26"/>
  <c r="M254" i="26"/>
  <c r="L254" i="26"/>
  <c r="K254" i="26"/>
  <c r="J254" i="26"/>
  <c r="S253" i="26"/>
  <c r="R253" i="26"/>
  <c r="Q253" i="26"/>
  <c r="P253" i="26"/>
  <c r="O253" i="26"/>
  <c r="N253" i="26"/>
  <c r="M253" i="26"/>
  <c r="L253" i="26"/>
  <c r="K253" i="26"/>
  <c r="J253" i="26"/>
  <c r="S252" i="26"/>
  <c r="R252" i="26"/>
  <c r="Q252" i="26"/>
  <c r="P252" i="26"/>
  <c r="O252" i="26"/>
  <c r="N252" i="26"/>
  <c r="M252" i="26"/>
  <c r="L252" i="26"/>
  <c r="K252" i="26"/>
  <c r="J252" i="26"/>
  <c r="S251" i="26"/>
  <c r="R251" i="26"/>
  <c r="Q251" i="26"/>
  <c r="P251" i="26"/>
  <c r="O251" i="26"/>
  <c r="N251" i="26"/>
  <c r="M251" i="26"/>
  <c r="L251" i="26"/>
  <c r="K251" i="26"/>
  <c r="J251" i="26"/>
  <c r="S250" i="26"/>
  <c r="R250" i="26"/>
  <c r="Q250" i="26"/>
  <c r="P250" i="26"/>
  <c r="O250" i="26"/>
  <c r="N250" i="26"/>
  <c r="M250" i="26"/>
  <c r="L250" i="26"/>
  <c r="K250" i="26"/>
  <c r="J250" i="26"/>
  <c r="S249" i="26"/>
  <c r="R249" i="26"/>
  <c r="Q249" i="26"/>
  <c r="P249" i="26"/>
  <c r="O249" i="26"/>
  <c r="N249" i="26"/>
  <c r="M249" i="26"/>
  <c r="L249" i="26"/>
  <c r="K249" i="26"/>
  <c r="J249" i="26"/>
  <c r="S248" i="26"/>
  <c r="R248" i="26"/>
  <c r="Q248" i="26"/>
  <c r="P248" i="26"/>
  <c r="O248" i="26"/>
  <c r="N248" i="26"/>
  <c r="M248" i="26"/>
  <c r="L248" i="26"/>
  <c r="K248" i="26"/>
  <c r="J248" i="26"/>
  <c r="S247" i="26"/>
  <c r="R247" i="26"/>
  <c r="Q247" i="26"/>
  <c r="P247" i="26"/>
  <c r="O247" i="26"/>
  <c r="N247" i="26"/>
  <c r="M247" i="26"/>
  <c r="L247" i="26"/>
  <c r="K247" i="26"/>
  <c r="J247" i="26"/>
  <c r="S246" i="26"/>
  <c r="R246" i="26"/>
  <c r="Q246" i="26"/>
  <c r="P246" i="26"/>
  <c r="O246" i="26"/>
  <c r="N246" i="26"/>
  <c r="M246" i="26"/>
  <c r="L246" i="26"/>
  <c r="K246" i="26"/>
  <c r="J246" i="26"/>
  <c r="S245" i="26"/>
  <c r="R245" i="26"/>
  <c r="Q245" i="26"/>
  <c r="P245" i="26"/>
  <c r="O245" i="26"/>
  <c r="N245" i="26"/>
  <c r="M245" i="26"/>
  <c r="L245" i="26"/>
  <c r="K245" i="26"/>
  <c r="J245" i="26"/>
  <c r="S244" i="26"/>
  <c r="R244" i="26"/>
  <c r="Q244" i="26"/>
  <c r="P244" i="26"/>
  <c r="O244" i="26"/>
  <c r="N244" i="26"/>
  <c r="M244" i="26"/>
  <c r="L244" i="26"/>
  <c r="K244" i="26"/>
  <c r="J244" i="26"/>
  <c r="S243" i="26"/>
  <c r="R243" i="26"/>
  <c r="Q243" i="26"/>
  <c r="P243" i="26"/>
  <c r="O243" i="26"/>
  <c r="N243" i="26"/>
  <c r="M243" i="26"/>
  <c r="L243" i="26"/>
  <c r="K243" i="26"/>
  <c r="J243" i="26"/>
  <c r="S242" i="26"/>
  <c r="R242" i="26"/>
  <c r="Q242" i="26"/>
  <c r="P242" i="26"/>
  <c r="O242" i="26"/>
  <c r="N242" i="26"/>
  <c r="M242" i="26"/>
  <c r="L242" i="26"/>
  <c r="K242" i="26"/>
  <c r="J242" i="26"/>
  <c r="S241" i="26"/>
  <c r="R241" i="26"/>
  <c r="Q241" i="26"/>
  <c r="P241" i="26"/>
  <c r="O241" i="26"/>
  <c r="N241" i="26"/>
  <c r="M241" i="26"/>
  <c r="L241" i="26"/>
  <c r="K241" i="26"/>
  <c r="J241" i="26"/>
  <c r="S240" i="26"/>
  <c r="R240" i="26"/>
  <c r="Q240" i="26"/>
  <c r="P240" i="26"/>
  <c r="O240" i="26"/>
  <c r="N240" i="26"/>
  <c r="M240" i="26"/>
  <c r="L240" i="26"/>
  <c r="K240" i="26"/>
  <c r="J240" i="26"/>
  <c r="S239" i="26"/>
  <c r="R239" i="26"/>
  <c r="Q239" i="26"/>
  <c r="P239" i="26"/>
  <c r="O239" i="26"/>
  <c r="N239" i="26"/>
  <c r="M239" i="26"/>
  <c r="L239" i="26"/>
  <c r="K239" i="26"/>
  <c r="J239" i="26"/>
  <c r="S238" i="26"/>
  <c r="R238" i="26"/>
  <c r="Q238" i="26"/>
  <c r="P238" i="26"/>
  <c r="O238" i="26"/>
  <c r="N238" i="26"/>
  <c r="M238" i="26"/>
  <c r="L238" i="26"/>
  <c r="K238" i="26"/>
  <c r="J238" i="26"/>
  <c r="S237" i="26"/>
  <c r="R237" i="26"/>
  <c r="Q237" i="26"/>
  <c r="P237" i="26"/>
  <c r="O237" i="26"/>
  <c r="N237" i="26"/>
  <c r="M237" i="26"/>
  <c r="L237" i="26"/>
  <c r="K237" i="26"/>
  <c r="J237" i="26"/>
  <c r="S236" i="26"/>
  <c r="R236" i="26"/>
  <c r="Q236" i="26"/>
  <c r="P236" i="26"/>
  <c r="O236" i="26"/>
  <c r="N236" i="26"/>
  <c r="M236" i="26"/>
  <c r="L236" i="26"/>
  <c r="K236" i="26"/>
  <c r="J236" i="26"/>
  <c r="S235" i="26"/>
  <c r="R235" i="26"/>
  <c r="Q235" i="26"/>
  <c r="P235" i="26"/>
  <c r="O235" i="26"/>
  <c r="N235" i="26"/>
  <c r="M235" i="26"/>
  <c r="L235" i="26"/>
  <c r="K235" i="26"/>
  <c r="J235" i="26"/>
  <c r="S234" i="26"/>
  <c r="R234" i="26"/>
  <c r="Q234" i="26"/>
  <c r="P234" i="26"/>
  <c r="O234" i="26"/>
  <c r="N234" i="26"/>
  <c r="M234" i="26"/>
  <c r="L234" i="26"/>
  <c r="K234" i="26"/>
  <c r="J234" i="26"/>
  <c r="S233" i="26"/>
  <c r="R233" i="26"/>
  <c r="Q233" i="26"/>
  <c r="P233" i="26"/>
  <c r="O233" i="26"/>
  <c r="N233" i="26"/>
  <c r="M233" i="26"/>
  <c r="L233" i="26"/>
  <c r="K233" i="26"/>
  <c r="J233" i="26"/>
  <c r="S232" i="26"/>
  <c r="R232" i="26"/>
  <c r="Q232" i="26"/>
  <c r="P232" i="26"/>
  <c r="O232" i="26"/>
  <c r="N232" i="26"/>
  <c r="M232" i="26"/>
  <c r="L232" i="26"/>
  <c r="K232" i="26"/>
  <c r="J232" i="26"/>
  <c r="S231" i="26"/>
  <c r="R231" i="26"/>
  <c r="Q231" i="26"/>
  <c r="P231" i="26"/>
  <c r="O231" i="26"/>
  <c r="N231" i="26"/>
  <c r="M231" i="26"/>
  <c r="L231" i="26"/>
  <c r="K231" i="26"/>
  <c r="J231" i="26"/>
  <c r="S230" i="26"/>
  <c r="R230" i="26"/>
  <c r="Q230" i="26"/>
  <c r="P230" i="26"/>
  <c r="O230" i="26"/>
  <c r="N230" i="26"/>
  <c r="M230" i="26"/>
  <c r="L230" i="26"/>
  <c r="K230" i="26"/>
  <c r="J230" i="26"/>
  <c r="S229" i="26"/>
  <c r="R229" i="26"/>
  <c r="Q229" i="26"/>
  <c r="P229" i="26"/>
  <c r="O229" i="26"/>
  <c r="N229" i="26"/>
  <c r="M229" i="26"/>
  <c r="L229" i="26"/>
  <c r="K229" i="26"/>
  <c r="J229" i="26"/>
  <c r="S228" i="26"/>
  <c r="R228" i="26"/>
  <c r="Q228" i="26"/>
  <c r="P228" i="26"/>
  <c r="O228" i="26"/>
  <c r="N228" i="26"/>
  <c r="M228" i="26"/>
  <c r="L228" i="26"/>
  <c r="K228" i="26"/>
  <c r="J228" i="26"/>
  <c r="S227" i="26"/>
  <c r="R227" i="26"/>
  <c r="Q227" i="26"/>
  <c r="P227" i="26"/>
  <c r="O227" i="26"/>
  <c r="N227" i="26"/>
  <c r="M227" i="26"/>
  <c r="L227" i="26"/>
  <c r="K227" i="26"/>
  <c r="J227" i="26"/>
  <c r="S226" i="26"/>
  <c r="R226" i="26"/>
  <c r="Q226" i="26"/>
  <c r="P226" i="26"/>
  <c r="O226" i="26"/>
  <c r="N226" i="26"/>
  <c r="M226" i="26"/>
  <c r="L226" i="26"/>
  <c r="K226" i="26"/>
  <c r="J226" i="26"/>
  <c r="S225" i="26"/>
  <c r="R225" i="26"/>
  <c r="Q225" i="26"/>
  <c r="P225" i="26"/>
  <c r="O225" i="26"/>
  <c r="N225" i="26"/>
  <c r="M225" i="26"/>
  <c r="L225" i="26"/>
  <c r="K225" i="26"/>
  <c r="J225" i="26"/>
  <c r="S224" i="26"/>
  <c r="R224" i="26"/>
  <c r="Q224" i="26"/>
  <c r="P224" i="26"/>
  <c r="O224" i="26"/>
  <c r="N224" i="26"/>
  <c r="M224" i="26"/>
  <c r="L224" i="26"/>
  <c r="K224" i="26"/>
  <c r="J224" i="26"/>
  <c r="S223" i="26"/>
  <c r="R223" i="26"/>
  <c r="Q223" i="26"/>
  <c r="P223" i="26"/>
  <c r="O223" i="26"/>
  <c r="N223" i="26"/>
  <c r="M223" i="26"/>
  <c r="L223" i="26"/>
  <c r="K223" i="26"/>
  <c r="J223" i="26"/>
  <c r="S222" i="26"/>
  <c r="R222" i="26"/>
  <c r="Q222" i="26"/>
  <c r="P222" i="26"/>
  <c r="O222" i="26"/>
  <c r="N222" i="26"/>
  <c r="M222" i="26"/>
  <c r="L222" i="26"/>
  <c r="K222" i="26"/>
  <c r="J222" i="26"/>
  <c r="S221" i="26"/>
  <c r="R221" i="26"/>
  <c r="Q221" i="26"/>
  <c r="P221" i="26"/>
  <c r="O221" i="26"/>
  <c r="N221" i="26"/>
  <c r="M221" i="26"/>
  <c r="L221" i="26"/>
  <c r="K221" i="26"/>
  <c r="J221" i="26"/>
  <c r="S220" i="26"/>
  <c r="R220" i="26"/>
  <c r="Q220" i="26"/>
  <c r="P220" i="26"/>
  <c r="O220" i="26"/>
  <c r="N220" i="26"/>
  <c r="M220" i="26"/>
  <c r="L220" i="26"/>
  <c r="K220" i="26"/>
  <c r="J220" i="26"/>
  <c r="S219" i="26"/>
  <c r="R219" i="26"/>
  <c r="Q219" i="26"/>
  <c r="P219" i="26"/>
  <c r="O219" i="26"/>
  <c r="N219" i="26"/>
  <c r="M219" i="26"/>
  <c r="L219" i="26"/>
  <c r="K219" i="26"/>
  <c r="J219" i="26"/>
  <c r="S218" i="26"/>
  <c r="R218" i="26"/>
  <c r="Q218" i="26"/>
  <c r="P218" i="26"/>
  <c r="O218" i="26"/>
  <c r="N218" i="26"/>
  <c r="M218" i="26"/>
  <c r="L218" i="26"/>
  <c r="K218" i="26"/>
  <c r="J218" i="26"/>
  <c r="S217" i="26"/>
  <c r="R217" i="26"/>
  <c r="Q217" i="26"/>
  <c r="P217" i="26"/>
  <c r="O217" i="26"/>
  <c r="N217" i="26"/>
  <c r="M217" i="26"/>
  <c r="L217" i="26"/>
  <c r="K217" i="26"/>
  <c r="J217" i="26"/>
  <c r="S216" i="26"/>
  <c r="R216" i="26"/>
  <c r="Q216" i="26"/>
  <c r="P216" i="26"/>
  <c r="O216" i="26"/>
  <c r="N216" i="26"/>
  <c r="M216" i="26"/>
  <c r="L216" i="26"/>
  <c r="K216" i="26"/>
  <c r="J216" i="26"/>
  <c r="S215" i="26"/>
  <c r="R215" i="26"/>
  <c r="Q215" i="26"/>
  <c r="P215" i="26"/>
  <c r="O215" i="26"/>
  <c r="N215" i="26"/>
  <c r="M215" i="26"/>
  <c r="L215" i="26"/>
  <c r="K215" i="26"/>
  <c r="J215" i="26"/>
  <c r="S214" i="26"/>
  <c r="R214" i="26"/>
  <c r="Q214" i="26"/>
  <c r="P214" i="26"/>
  <c r="O214" i="26"/>
  <c r="N214" i="26"/>
  <c r="M214" i="26"/>
  <c r="L214" i="26"/>
  <c r="K214" i="26"/>
  <c r="J214" i="26"/>
  <c r="S213" i="26"/>
  <c r="R213" i="26"/>
  <c r="Q213" i="26"/>
  <c r="P213" i="26"/>
  <c r="O213" i="26"/>
  <c r="N213" i="26"/>
  <c r="M213" i="26"/>
  <c r="L213" i="26"/>
  <c r="K213" i="26"/>
  <c r="J213" i="26"/>
  <c r="S212" i="26"/>
  <c r="R212" i="26"/>
  <c r="Q212" i="26"/>
  <c r="P212" i="26"/>
  <c r="O212" i="26"/>
  <c r="N212" i="26"/>
  <c r="M212" i="26"/>
  <c r="L212" i="26"/>
  <c r="K212" i="26"/>
  <c r="J212" i="26"/>
  <c r="S211" i="26"/>
  <c r="R211" i="26"/>
  <c r="Q211" i="26"/>
  <c r="P211" i="26"/>
  <c r="O211" i="26"/>
  <c r="N211" i="26"/>
  <c r="M211" i="26"/>
  <c r="L211" i="26"/>
  <c r="K211" i="26"/>
  <c r="J211" i="26"/>
  <c r="S210" i="26"/>
  <c r="R210" i="26"/>
  <c r="Q210" i="26"/>
  <c r="P210" i="26"/>
  <c r="O210" i="26"/>
  <c r="N210" i="26"/>
  <c r="M210" i="26"/>
  <c r="L210" i="26"/>
  <c r="K210" i="26"/>
  <c r="J210" i="26"/>
  <c r="S209" i="26"/>
  <c r="R209" i="26"/>
  <c r="Q209" i="26"/>
  <c r="P209" i="26"/>
  <c r="O209" i="26"/>
  <c r="N209" i="26"/>
  <c r="M209" i="26"/>
  <c r="L209" i="26"/>
  <c r="K209" i="26"/>
  <c r="J209" i="26"/>
  <c r="S208" i="26"/>
  <c r="R208" i="26"/>
  <c r="Q208" i="26"/>
  <c r="P208" i="26"/>
  <c r="O208" i="26"/>
  <c r="N208" i="26"/>
  <c r="M208" i="26"/>
  <c r="L208" i="26"/>
  <c r="K208" i="26"/>
  <c r="J208" i="26"/>
  <c r="S207" i="26"/>
  <c r="R207" i="26"/>
  <c r="Q207" i="26"/>
  <c r="P207" i="26"/>
  <c r="O207" i="26"/>
  <c r="N207" i="26"/>
  <c r="M207" i="26"/>
  <c r="L207" i="26"/>
  <c r="K207" i="26"/>
  <c r="J207" i="26"/>
  <c r="S206" i="26"/>
  <c r="R206" i="26"/>
  <c r="Q206" i="26"/>
  <c r="P206" i="26"/>
  <c r="O206" i="26"/>
  <c r="N206" i="26"/>
  <c r="M206" i="26"/>
  <c r="L206" i="26"/>
  <c r="K206" i="26"/>
  <c r="J206" i="26"/>
  <c r="S205" i="26"/>
  <c r="R205" i="26"/>
  <c r="Q205" i="26"/>
  <c r="P205" i="26"/>
  <c r="O205" i="26"/>
  <c r="N205" i="26"/>
  <c r="M205" i="26"/>
  <c r="L205" i="26"/>
  <c r="K205" i="26"/>
  <c r="J205" i="26"/>
  <c r="S204" i="26"/>
  <c r="R204" i="26"/>
  <c r="Q204" i="26"/>
  <c r="P204" i="26"/>
  <c r="O204" i="26"/>
  <c r="N204" i="26"/>
  <c r="M204" i="26"/>
  <c r="L204" i="26"/>
  <c r="K204" i="26"/>
  <c r="J204" i="26"/>
  <c r="S203" i="26"/>
  <c r="R203" i="26"/>
  <c r="Q203" i="26"/>
  <c r="P203" i="26"/>
  <c r="O203" i="26"/>
  <c r="N203" i="26"/>
  <c r="M203" i="26"/>
  <c r="L203" i="26"/>
  <c r="K203" i="26"/>
  <c r="J203" i="26"/>
  <c r="S202" i="26"/>
  <c r="R202" i="26"/>
  <c r="Q202" i="26"/>
  <c r="P202" i="26"/>
  <c r="O202" i="26"/>
  <c r="N202" i="26"/>
  <c r="M202" i="26"/>
  <c r="L202" i="26"/>
  <c r="K202" i="26"/>
  <c r="J202" i="26"/>
  <c r="S201" i="26"/>
  <c r="R201" i="26"/>
  <c r="Q201" i="26"/>
  <c r="P201" i="26"/>
  <c r="O201" i="26"/>
  <c r="N201" i="26"/>
  <c r="M201" i="26"/>
  <c r="L201" i="26"/>
  <c r="K201" i="26"/>
  <c r="J201" i="26"/>
  <c r="S200" i="26"/>
  <c r="R200" i="26"/>
  <c r="Q200" i="26"/>
  <c r="P200" i="26"/>
  <c r="O200" i="26"/>
  <c r="N200" i="26"/>
  <c r="M200" i="26"/>
  <c r="L200" i="26"/>
  <c r="K200" i="26"/>
  <c r="J200" i="26"/>
  <c r="S199" i="26"/>
  <c r="R199" i="26"/>
  <c r="Q199" i="26"/>
  <c r="P199" i="26"/>
  <c r="O199" i="26"/>
  <c r="N199" i="26"/>
  <c r="M199" i="26"/>
  <c r="L199" i="26"/>
  <c r="K199" i="26"/>
  <c r="J199" i="26"/>
  <c r="S198" i="26"/>
  <c r="R198" i="26"/>
  <c r="Q198" i="26"/>
  <c r="P198" i="26"/>
  <c r="O198" i="26"/>
  <c r="N198" i="26"/>
  <c r="M198" i="26"/>
  <c r="L198" i="26"/>
  <c r="K198" i="26"/>
  <c r="J198" i="26"/>
  <c r="S197" i="26"/>
  <c r="R197" i="26"/>
  <c r="Q197" i="26"/>
  <c r="P197" i="26"/>
  <c r="O197" i="26"/>
  <c r="N197" i="26"/>
  <c r="M197" i="26"/>
  <c r="L197" i="26"/>
  <c r="K197" i="26"/>
  <c r="J197" i="26"/>
  <c r="S196" i="26"/>
  <c r="R196" i="26"/>
  <c r="Q196" i="26"/>
  <c r="P196" i="26"/>
  <c r="O196" i="26"/>
  <c r="N196" i="26"/>
  <c r="M196" i="26"/>
  <c r="L196" i="26"/>
  <c r="K196" i="26"/>
  <c r="J196" i="26"/>
  <c r="S195" i="26"/>
  <c r="R195" i="26"/>
  <c r="Q195" i="26"/>
  <c r="P195" i="26"/>
  <c r="O195" i="26"/>
  <c r="N195" i="26"/>
  <c r="M195" i="26"/>
  <c r="L195" i="26"/>
  <c r="K195" i="26"/>
  <c r="J195" i="26"/>
  <c r="S194" i="26"/>
  <c r="R194" i="26"/>
  <c r="Q194" i="26"/>
  <c r="P194" i="26"/>
  <c r="O194" i="26"/>
  <c r="N194" i="26"/>
  <c r="M194" i="26"/>
  <c r="L194" i="26"/>
  <c r="K194" i="26"/>
  <c r="J194" i="26"/>
  <c r="S193" i="26"/>
  <c r="R193" i="26"/>
  <c r="Q193" i="26"/>
  <c r="P193" i="26"/>
  <c r="O193" i="26"/>
  <c r="N193" i="26"/>
  <c r="M193" i="26"/>
  <c r="L193" i="26"/>
  <c r="K193" i="26"/>
  <c r="J193" i="26"/>
  <c r="S192" i="26"/>
  <c r="R192" i="26"/>
  <c r="Q192" i="26"/>
  <c r="P192" i="26"/>
  <c r="O192" i="26"/>
  <c r="N192" i="26"/>
  <c r="M192" i="26"/>
  <c r="L192" i="26"/>
  <c r="K192" i="26"/>
  <c r="J192" i="26"/>
  <c r="S191" i="26"/>
  <c r="R191" i="26"/>
  <c r="Q191" i="26"/>
  <c r="P191" i="26"/>
  <c r="O191" i="26"/>
  <c r="N191" i="26"/>
  <c r="M191" i="26"/>
  <c r="L191" i="26"/>
  <c r="K191" i="26"/>
  <c r="J191" i="26"/>
  <c r="S190" i="26"/>
  <c r="R190" i="26"/>
  <c r="Q190" i="26"/>
  <c r="P190" i="26"/>
  <c r="O190" i="26"/>
  <c r="N190" i="26"/>
  <c r="M190" i="26"/>
  <c r="L190" i="26"/>
  <c r="K190" i="26"/>
  <c r="J190" i="26"/>
  <c r="S189" i="26"/>
  <c r="R189" i="26"/>
  <c r="Q189" i="26"/>
  <c r="P189" i="26"/>
  <c r="O189" i="26"/>
  <c r="N189" i="26"/>
  <c r="M189" i="26"/>
  <c r="L189" i="26"/>
  <c r="K189" i="26"/>
  <c r="J189" i="26"/>
  <c r="S188" i="26"/>
  <c r="R188" i="26"/>
  <c r="Q188" i="26"/>
  <c r="P188" i="26"/>
  <c r="O188" i="26"/>
  <c r="N188" i="26"/>
  <c r="M188" i="26"/>
  <c r="L188" i="26"/>
  <c r="K188" i="26"/>
  <c r="J188" i="26"/>
  <c r="S187" i="26"/>
  <c r="R187" i="26"/>
  <c r="Q187" i="26"/>
  <c r="P187" i="26"/>
  <c r="O187" i="26"/>
  <c r="N187" i="26"/>
  <c r="M187" i="26"/>
  <c r="L187" i="26"/>
  <c r="K187" i="26"/>
  <c r="J187" i="26"/>
  <c r="S186" i="26"/>
  <c r="R186" i="26"/>
  <c r="Q186" i="26"/>
  <c r="P186" i="26"/>
  <c r="O186" i="26"/>
  <c r="N186" i="26"/>
  <c r="M186" i="26"/>
  <c r="L186" i="26"/>
  <c r="K186" i="26"/>
  <c r="J186" i="26"/>
  <c r="S185" i="26"/>
  <c r="R185" i="26"/>
  <c r="Q185" i="26"/>
  <c r="P185" i="26"/>
  <c r="O185" i="26"/>
  <c r="N185" i="26"/>
  <c r="M185" i="26"/>
  <c r="L185" i="26"/>
  <c r="K185" i="26"/>
  <c r="J185" i="26"/>
  <c r="S184" i="26"/>
  <c r="R184" i="26"/>
  <c r="Q184" i="26"/>
  <c r="P184" i="26"/>
  <c r="O184" i="26"/>
  <c r="N184" i="26"/>
  <c r="M184" i="26"/>
  <c r="L184" i="26"/>
  <c r="K184" i="26"/>
  <c r="J184" i="26"/>
  <c r="S183" i="26"/>
  <c r="R183" i="26"/>
  <c r="Q183" i="26"/>
  <c r="P183" i="26"/>
  <c r="O183" i="26"/>
  <c r="N183" i="26"/>
  <c r="M183" i="26"/>
  <c r="L183" i="26"/>
  <c r="K183" i="26"/>
  <c r="J183" i="26"/>
  <c r="S182" i="26"/>
  <c r="R182" i="26"/>
  <c r="Q182" i="26"/>
  <c r="P182" i="26"/>
  <c r="O182" i="26"/>
  <c r="N182" i="26"/>
  <c r="M182" i="26"/>
  <c r="L182" i="26"/>
  <c r="K182" i="26"/>
  <c r="J182" i="26"/>
  <c r="S181" i="26"/>
  <c r="R181" i="26"/>
  <c r="Q181" i="26"/>
  <c r="P181" i="26"/>
  <c r="O181" i="26"/>
  <c r="N181" i="26"/>
  <c r="M181" i="26"/>
  <c r="L181" i="26"/>
  <c r="K181" i="26"/>
  <c r="J181" i="26"/>
  <c r="S180" i="26"/>
  <c r="R180" i="26"/>
  <c r="Q180" i="26"/>
  <c r="P180" i="26"/>
  <c r="O180" i="26"/>
  <c r="N180" i="26"/>
  <c r="M180" i="26"/>
  <c r="L180" i="26"/>
  <c r="K180" i="26"/>
  <c r="J180" i="26"/>
  <c r="S179" i="26"/>
  <c r="R179" i="26"/>
  <c r="Q179" i="26"/>
  <c r="P179" i="26"/>
  <c r="O179" i="26"/>
  <c r="N179" i="26"/>
  <c r="M179" i="26"/>
  <c r="L179" i="26"/>
  <c r="K179" i="26"/>
  <c r="J179" i="26"/>
  <c r="S178" i="26"/>
  <c r="R178" i="26"/>
  <c r="Q178" i="26"/>
  <c r="P178" i="26"/>
  <c r="O178" i="26"/>
  <c r="N178" i="26"/>
  <c r="M178" i="26"/>
  <c r="L178" i="26"/>
  <c r="K178" i="26"/>
  <c r="J178" i="26"/>
  <c r="S177" i="26"/>
  <c r="R177" i="26"/>
  <c r="Q177" i="26"/>
  <c r="P177" i="26"/>
  <c r="O177" i="26"/>
  <c r="N177" i="26"/>
  <c r="M177" i="26"/>
  <c r="L177" i="26"/>
  <c r="K177" i="26"/>
  <c r="J177" i="26"/>
  <c r="S176" i="26"/>
  <c r="R176" i="26"/>
  <c r="Q176" i="26"/>
  <c r="P176" i="26"/>
  <c r="O176" i="26"/>
  <c r="N176" i="26"/>
  <c r="M176" i="26"/>
  <c r="L176" i="26"/>
  <c r="K176" i="26"/>
  <c r="J176" i="26"/>
  <c r="S175" i="26"/>
  <c r="R175" i="26"/>
  <c r="Q175" i="26"/>
  <c r="P175" i="26"/>
  <c r="O175" i="26"/>
  <c r="N175" i="26"/>
  <c r="M175" i="26"/>
  <c r="L175" i="26"/>
  <c r="K175" i="26"/>
  <c r="J175" i="26"/>
  <c r="S174" i="26"/>
  <c r="R174" i="26"/>
  <c r="Q174" i="26"/>
  <c r="P174" i="26"/>
  <c r="O174" i="26"/>
  <c r="N174" i="26"/>
  <c r="M174" i="26"/>
  <c r="L174" i="26"/>
  <c r="K174" i="26"/>
  <c r="J174" i="26"/>
  <c r="S173" i="26"/>
  <c r="R173" i="26"/>
  <c r="Q173" i="26"/>
  <c r="P173" i="26"/>
  <c r="O173" i="26"/>
  <c r="N173" i="26"/>
  <c r="M173" i="26"/>
  <c r="L173" i="26"/>
  <c r="K173" i="26"/>
  <c r="J173" i="26"/>
  <c r="S172" i="26"/>
  <c r="R172" i="26"/>
  <c r="Q172" i="26"/>
  <c r="P172" i="26"/>
  <c r="O172" i="26"/>
  <c r="N172" i="26"/>
  <c r="M172" i="26"/>
  <c r="L172" i="26"/>
  <c r="K172" i="26"/>
  <c r="J172" i="26"/>
  <c r="S171" i="26"/>
  <c r="R171" i="26"/>
  <c r="Q171" i="26"/>
  <c r="P171" i="26"/>
  <c r="O171" i="26"/>
  <c r="N171" i="26"/>
  <c r="M171" i="26"/>
  <c r="L171" i="26"/>
  <c r="K171" i="26"/>
  <c r="J171" i="26"/>
  <c r="S170" i="26"/>
  <c r="R170" i="26"/>
  <c r="Q170" i="26"/>
  <c r="P170" i="26"/>
  <c r="O170" i="26"/>
  <c r="N170" i="26"/>
  <c r="M170" i="26"/>
  <c r="L170" i="26"/>
  <c r="K170" i="26"/>
  <c r="J170" i="26"/>
  <c r="S169" i="26"/>
  <c r="R169" i="26"/>
  <c r="Q169" i="26"/>
  <c r="P169" i="26"/>
  <c r="O169" i="26"/>
  <c r="N169" i="26"/>
  <c r="M169" i="26"/>
  <c r="L169" i="26"/>
  <c r="K169" i="26"/>
  <c r="J169" i="26"/>
  <c r="S168" i="26"/>
  <c r="R168" i="26"/>
  <c r="Q168" i="26"/>
  <c r="P168" i="26"/>
  <c r="O168" i="26"/>
  <c r="N168" i="26"/>
  <c r="M168" i="26"/>
  <c r="L168" i="26"/>
  <c r="K168" i="26"/>
  <c r="J168" i="26"/>
  <c r="S167" i="26"/>
  <c r="R167" i="26"/>
  <c r="Q167" i="26"/>
  <c r="P167" i="26"/>
  <c r="O167" i="26"/>
  <c r="N167" i="26"/>
  <c r="M167" i="26"/>
  <c r="L167" i="26"/>
  <c r="K167" i="26"/>
  <c r="J167" i="26"/>
  <c r="S166" i="26"/>
  <c r="R166" i="26"/>
  <c r="Q166" i="26"/>
  <c r="P166" i="26"/>
  <c r="O166" i="26"/>
  <c r="N166" i="26"/>
  <c r="M166" i="26"/>
  <c r="L166" i="26"/>
  <c r="K166" i="26"/>
  <c r="J166" i="26"/>
  <c r="S165" i="26"/>
  <c r="R165" i="26"/>
  <c r="Q165" i="26"/>
  <c r="P165" i="26"/>
  <c r="O165" i="26"/>
  <c r="N165" i="26"/>
  <c r="M165" i="26"/>
  <c r="L165" i="26"/>
  <c r="K165" i="26"/>
  <c r="J165" i="26"/>
  <c r="S164" i="26"/>
  <c r="R164" i="26"/>
  <c r="Q164" i="26"/>
  <c r="P164" i="26"/>
  <c r="O164" i="26"/>
  <c r="N164" i="26"/>
  <c r="M164" i="26"/>
  <c r="L164" i="26"/>
  <c r="K164" i="26"/>
  <c r="J164" i="26"/>
  <c r="S163" i="26"/>
  <c r="R163" i="26"/>
  <c r="Q163" i="26"/>
  <c r="P163" i="26"/>
  <c r="O163" i="26"/>
  <c r="N163" i="26"/>
  <c r="M163" i="26"/>
  <c r="L163" i="26"/>
  <c r="K163" i="26"/>
  <c r="J163" i="26"/>
  <c r="S162" i="26"/>
  <c r="R162" i="26"/>
  <c r="Q162" i="26"/>
  <c r="P162" i="26"/>
  <c r="O162" i="26"/>
  <c r="N162" i="26"/>
  <c r="M162" i="26"/>
  <c r="L162" i="26"/>
  <c r="K162" i="26"/>
  <c r="J162" i="26"/>
  <c r="S161" i="26"/>
  <c r="R161" i="26"/>
  <c r="Q161" i="26"/>
  <c r="P161" i="26"/>
  <c r="O161" i="26"/>
  <c r="N161" i="26"/>
  <c r="M161" i="26"/>
  <c r="L161" i="26"/>
  <c r="K161" i="26"/>
  <c r="J161" i="26"/>
  <c r="S160" i="26"/>
  <c r="R160" i="26"/>
  <c r="Q160" i="26"/>
  <c r="P160" i="26"/>
  <c r="O160" i="26"/>
  <c r="N160" i="26"/>
  <c r="M160" i="26"/>
  <c r="L160" i="26"/>
  <c r="K160" i="26"/>
  <c r="J160" i="26"/>
  <c r="S159" i="26"/>
  <c r="R159" i="26"/>
  <c r="Q159" i="26"/>
  <c r="P159" i="26"/>
  <c r="O159" i="26"/>
  <c r="N159" i="26"/>
  <c r="M159" i="26"/>
  <c r="L159" i="26"/>
  <c r="K159" i="26"/>
  <c r="J159" i="26"/>
  <c r="S158" i="26"/>
  <c r="R158" i="26"/>
  <c r="Q158" i="26"/>
  <c r="P158" i="26"/>
  <c r="O158" i="26"/>
  <c r="N158" i="26"/>
  <c r="M158" i="26"/>
  <c r="L158" i="26"/>
  <c r="K158" i="26"/>
  <c r="J158" i="26"/>
  <c r="S157" i="26"/>
  <c r="R157" i="26"/>
  <c r="Q157" i="26"/>
  <c r="P157" i="26"/>
  <c r="O157" i="26"/>
  <c r="N157" i="26"/>
  <c r="M157" i="26"/>
  <c r="L157" i="26"/>
  <c r="K157" i="26"/>
  <c r="J157" i="26"/>
  <c r="S156" i="26"/>
  <c r="R156" i="26"/>
  <c r="Q156" i="26"/>
  <c r="P156" i="26"/>
  <c r="O156" i="26"/>
  <c r="N156" i="26"/>
  <c r="M156" i="26"/>
  <c r="L156" i="26"/>
  <c r="K156" i="26"/>
  <c r="J156" i="26"/>
  <c r="S155" i="26"/>
  <c r="R155" i="26"/>
  <c r="Q155" i="26"/>
  <c r="P155" i="26"/>
  <c r="O155" i="26"/>
  <c r="N155" i="26"/>
  <c r="M155" i="26"/>
  <c r="L155" i="26"/>
  <c r="K155" i="26"/>
  <c r="J155" i="26"/>
  <c r="S154" i="26"/>
  <c r="R154" i="26"/>
  <c r="Q154" i="26"/>
  <c r="P154" i="26"/>
  <c r="O154" i="26"/>
  <c r="N154" i="26"/>
  <c r="M154" i="26"/>
  <c r="L154" i="26"/>
  <c r="K154" i="26"/>
  <c r="J154" i="26"/>
  <c r="S153" i="26"/>
  <c r="R153" i="26"/>
  <c r="Q153" i="26"/>
  <c r="P153" i="26"/>
  <c r="O153" i="26"/>
  <c r="N153" i="26"/>
  <c r="M153" i="26"/>
  <c r="L153" i="26"/>
  <c r="K153" i="26"/>
  <c r="J153" i="26"/>
  <c r="S152" i="26"/>
  <c r="R152" i="26"/>
  <c r="Q152" i="26"/>
  <c r="P152" i="26"/>
  <c r="O152" i="26"/>
  <c r="N152" i="26"/>
  <c r="M152" i="26"/>
  <c r="L152" i="26"/>
  <c r="K152" i="26"/>
  <c r="J152" i="26"/>
  <c r="S151" i="26"/>
  <c r="R151" i="26"/>
  <c r="Q151" i="26"/>
  <c r="P151" i="26"/>
  <c r="O151" i="26"/>
  <c r="N151" i="26"/>
  <c r="M151" i="26"/>
  <c r="L151" i="26"/>
  <c r="K151" i="26"/>
  <c r="J151" i="26"/>
  <c r="S150" i="26"/>
  <c r="R150" i="26"/>
  <c r="Q150" i="26"/>
  <c r="P150" i="26"/>
  <c r="O150" i="26"/>
  <c r="N150" i="26"/>
  <c r="M150" i="26"/>
  <c r="L150" i="26"/>
  <c r="K150" i="26"/>
  <c r="J150" i="26"/>
  <c r="S149" i="26"/>
  <c r="R149" i="26"/>
  <c r="Q149" i="26"/>
  <c r="P149" i="26"/>
  <c r="O149" i="26"/>
  <c r="N149" i="26"/>
  <c r="M149" i="26"/>
  <c r="L149" i="26"/>
  <c r="K149" i="26"/>
  <c r="J149" i="26"/>
  <c r="S148" i="26"/>
  <c r="R148" i="26"/>
  <c r="Q148" i="26"/>
  <c r="P148" i="26"/>
  <c r="O148" i="26"/>
  <c r="N148" i="26"/>
  <c r="M148" i="26"/>
  <c r="L148" i="26"/>
  <c r="K148" i="26"/>
  <c r="J148" i="26"/>
  <c r="S147" i="26"/>
  <c r="R147" i="26"/>
  <c r="Q147" i="26"/>
  <c r="P147" i="26"/>
  <c r="O147" i="26"/>
  <c r="N147" i="26"/>
  <c r="M147" i="26"/>
  <c r="L147" i="26"/>
  <c r="K147" i="26"/>
  <c r="J147" i="26"/>
  <c r="S146" i="26"/>
  <c r="R146" i="26"/>
  <c r="Q146" i="26"/>
  <c r="P146" i="26"/>
  <c r="O146" i="26"/>
  <c r="N146" i="26"/>
  <c r="M146" i="26"/>
  <c r="L146" i="26"/>
  <c r="K146" i="26"/>
  <c r="J146" i="26"/>
  <c r="S145" i="26"/>
  <c r="R145" i="26"/>
  <c r="Q145" i="26"/>
  <c r="P145" i="26"/>
  <c r="O145" i="26"/>
  <c r="N145" i="26"/>
  <c r="M145" i="26"/>
  <c r="L145" i="26"/>
  <c r="K145" i="26"/>
  <c r="J145" i="26"/>
  <c r="S144" i="26"/>
  <c r="R144" i="26"/>
  <c r="Q144" i="26"/>
  <c r="P144" i="26"/>
  <c r="O144" i="26"/>
  <c r="N144" i="26"/>
  <c r="M144" i="26"/>
  <c r="L144" i="26"/>
  <c r="K144" i="26"/>
  <c r="J144" i="26"/>
  <c r="S143" i="26"/>
  <c r="R143" i="26"/>
  <c r="Q143" i="26"/>
  <c r="P143" i="26"/>
  <c r="O143" i="26"/>
  <c r="N143" i="26"/>
  <c r="M143" i="26"/>
  <c r="L143" i="26"/>
  <c r="K143" i="26"/>
  <c r="J143" i="26"/>
  <c r="S142" i="26"/>
  <c r="R142" i="26"/>
  <c r="Q142" i="26"/>
  <c r="P142" i="26"/>
  <c r="O142" i="26"/>
  <c r="N142" i="26"/>
  <c r="M142" i="26"/>
  <c r="L142" i="26"/>
  <c r="K142" i="26"/>
  <c r="J142" i="26"/>
  <c r="S141" i="26"/>
  <c r="R141" i="26"/>
  <c r="Q141" i="26"/>
  <c r="P141" i="26"/>
  <c r="O141" i="26"/>
  <c r="N141" i="26"/>
  <c r="M141" i="26"/>
  <c r="L141" i="26"/>
  <c r="K141" i="26"/>
  <c r="J141" i="26"/>
  <c r="S140" i="26"/>
  <c r="R140" i="26"/>
  <c r="Q140" i="26"/>
  <c r="P140" i="26"/>
  <c r="O140" i="26"/>
  <c r="N140" i="26"/>
  <c r="M140" i="26"/>
  <c r="L140" i="26"/>
  <c r="K140" i="26"/>
  <c r="J140" i="26"/>
  <c r="S139" i="26"/>
  <c r="R139" i="26"/>
  <c r="Q139" i="26"/>
  <c r="P139" i="26"/>
  <c r="O139" i="26"/>
  <c r="N139" i="26"/>
  <c r="M139" i="26"/>
  <c r="L139" i="26"/>
  <c r="K139" i="26"/>
  <c r="J139" i="26"/>
  <c r="S138" i="26"/>
  <c r="R138" i="26"/>
  <c r="Q138" i="26"/>
  <c r="P138" i="26"/>
  <c r="O138" i="26"/>
  <c r="N138" i="26"/>
  <c r="M138" i="26"/>
  <c r="L138" i="26"/>
  <c r="K138" i="26"/>
  <c r="J138" i="26"/>
  <c r="S137" i="26"/>
  <c r="R137" i="26"/>
  <c r="Q137" i="26"/>
  <c r="P137" i="26"/>
  <c r="O137" i="26"/>
  <c r="N137" i="26"/>
  <c r="M137" i="26"/>
  <c r="L137" i="26"/>
  <c r="K137" i="26"/>
  <c r="J137" i="26"/>
  <c r="S136" i="26"/>
  <c r="R136" i="26"/>
  <c r="Q136" i="26"/>
  <c r="P136" i="26"/>
  <c r="O136" i="26"/>
  <c r="N136" i="26"/>
  <c r="M136" i="26"/>
  <c r="L136" i="26"/>
  <c r="K136" i="26"/>
  <c r="J136" i="26"/>
  <c r="S135" i="26"/>
  <c r="R135" i="26"/>
  <c r="Q135" i="26"/>
  <c r="P135" i="26"/>
  <c r="O135" i="26"/>
  <c r="N135" i="26"/>
  <c r="M135" i="26"/>
  <c r="L135" i="26"/>
  <c r="K135" i="26"/>
  <c r="J135" i="26"/>
  <c r="S134" i="26"/>
  <c r="R134" i="26"/>
  <c r="Q134" i="26"/>
  <c r="P134" i="26"/>
  <c r="O134" i="26"/>
  <c r="N134" i="26"/>
  <c r="M134" i="26"/>
  <c r="L134" i="26"/>
  <c r="K134" i="26"/>
  <c r="J134" i="26"/>
  <c r="S133" i="26"/>
  <c r="R133" i="26"/>
  <c r="Q133" i="26"/>
  <c r="P133" i="26"/>
  <c r="O133" i="26"/>
  <c r="N133" i="26"/>
  <c r="M133" i="26"/>
  <c r="L133" i="26"/>
  <c r="K133" i="26"/>
  <c r="J133" i="26"/>
  <c r="S132" i="26"/>
  <c r="R132" i="26"/>
  <c r="Q132" i="26"/>
  <c r="P132" i="26"/>
  <c r="O132" i="26"/>
  <c r="N132" i="26"/>
  <c r="M132" i="26"/>
  <c r="L132" i="26"/>
  <c r="K132" i="26"/>
  <c r="J132" i="26"/>
  <c r="S131" i="26"/>
  <c r="R131" i="26"/>
  <c r="Q131" i="26"/>
  <c r="P131" i="26"/>
  <c r="O131" i="26"/>
  <c r="N131" i="26"/>
  <c r="M131" i="26"/>
  <c r="L131" i="26"/>
  <c r="K131" i="26"/>
  <c r="J131" i="26"/>
  <c r="S130" i="26"/>
  <c r="R130" i="26"/>
  <c r="Q130" i="26"/>
  <c r="P130" i="26"/>
  <c r="O130" i="26"/>
  <c r="N130" i="26"/>
  <c r="M130" i="26"/>
  <c r="L130" i="26"/>
  <c r="K130" i="26"/>
  <c r="J130" i="26"/>
  <c r="S129" i="26"/>
  <c r="R129" i="26"/>
  <c r="Q129" i="26"/>
  <c r="P129" i="26"/>
  <c r="O129" i="26"/>
  <c r="N129" i="26"/>
  <c r="M129" i="26"/>
  <c r="L129" i="26"/>
  <c r="K129" i="26"/>
  <c r="J129" i="26"/>
  <c r="S128" i="26"/>
  <c r="R128" i="26"/>
  <c r="Q128" i="26"/>
  <c r="P128" i="26"/>
  <c r="O128" i="26"/>
  <c r="N128" i="26"/>
  <c r="M128" i="26"/>
  <c r="L128" i="26"/>
  <c r="K128" i="26"/>
  <c r="J128" i="26"/>
  <c r="S127" i="26"/>
  <c r="R127" i="26"/>
  <c r="Q127" i="26"/>
  <c r="P127" i="26"/>
  <c r="O127" i="26"/>
  <c r="N127" i="26"/>
  <c r="M127" i="26"/>
  <c r="L127" i="26"/>
  <c r="K127" i="26"/>
  <c r="J127" i="26"/>
  <c r="S126" i="26"/>
  <c r="R126" i="26"/>
  <c r="Q126" i="26"/>
  <c r="P126" i="26"/>
  <c r="O126" i="26"/>
  <c r="N126" i="26"/>
  <c r="M126" i="26"/>
  <c r="L126" i="26"/>
  <c r="K126" i="26"/>
  <c r="J126" i="26"/>
  <c r="S125" i="26"/>
  <c r="R125" i="26"/>
  <c r="Q125" i="26"/>
  <c r="P125" i="26"/>
  <c r="O125" i="26"/>
  <c r="N125" i="26"/>
  <c r="M125" i="26"/>
  <c r="L125" i="26"/>
  <c r="K125" i="26"/>
  <c r="J125" i="26"/>
  <c r="S124" i="26"/>
  <c r="R124" i="26"/>
  <c r="Q124" i="26"/>
  <c r="P124" i="26"/>
  <c r="O124" i="26"/>
  <c r="N124" i="26"/>
  <c r="M124" i="26"/>
  <c r="L124" i="26"/>
  <c r="K124" i="26"/>
  <c r="J124" i="26"/>
  <c r="S123" i="26"/>
  <c r="R123" i="26"/>
  <c r="Q123" i="26"/>
  <c r="P123" i="26"/>
  <c r="O123" i="26"/>
  <c r="N123" i="26"/>
  <c r="M123" i="26"/>
  <c r="L123" i="26"/>
  <c r="K123" i="26"/>
  <c r="J123" i="26"/>
  <c r="S122" i="26"/>
  <c r="R122" i="26"/>
  <c r="Q122" i="26"/>
  <c r="P122" i="26"/>
  <c r="O122" i="26"/>
  <c r="N122" i="26"/>
  <c r="M122" i="26"/>
  <c r="L122" i="26"/>
  <c r="K122" i="26"/>
  <c r="J122" i="26"/>
  <c r="S121" i="26"/>
  <c r="R121" i="26"/>
  <c r="Q121" i="26"/>
  <c r="P121" i="26"/>
  <c r="O121" i="26"/>
  <c r="N121" i="26"/>
  <c r="M121" i="26"/>
  <c r="L121" i="26"/>
  <c r="K121" i="26"/>
  <c r="J121" i="26"/>
  <c r="S120" i="26"/>
  <c r="R120" i="26"/>
  <c r="Q120" i="26"/>
  <c r="P120" i="26"/>
  <c r="O120" i="26"/>
  <c r="N120" i="26"/>
  <c r="M120" i="26"/>
  <c r="L120" i="26"/>
  <c r="K120" i="26"/>
  <c r="J120" i="26"/>
  <c r="S119" i="26"/>
  <c r="R119" i="26"/>
  <c r="Q119" i="26"/>
  <c r="P119" i="26"/>
  <c r="O119" i="26"/>
  <c r="N119" i="26"/>
  <c r="M119" i="26"/>
  <c r="L119" i="26"/>
  <c r="K119" i="26"/>
  <c r="J119" i="26"/>
  <c r="S118" i="26"/>
  <c r="R118" i="26"/>
  <c r="Q118" i="26"/>
  <c r="P118" i="26"/>
  <c r="O118" i="26"/>
  <c r="N118" i="26"/>
  <c r="M118" i="26"/>
  <c r="L118" i="26"/>
  <c r="K118" i="26"/>
  <c r="J118" i="26"/>
  <c r="S117" i="26"/>
  <c r="R117" i="26"/>
  <c r="Q117" i="26"/>
  <c r="P117" i="26"/>
  <c r="O117" i="26"/>
  <c r="N117" i="26"/>
  <c r="M117" i="26"/>
  <c r="L117" i="26"/>
  <c r="K117" i="26"/>
  <c r="J117" i="26"/>
  <c r="S116" i="26"/>
  <c r="R116" i="26"/>
  <c r="Q116" i="26"/>
  <c r="P116" i="26"/>
  <c r="O116" i="26"/>
  <c r="N116" i="26"/>
  <c r="M116" i="26"/>
  <c r="L116" i="26"/>
  <c r="K116" i="26"/>
  <c r="J116" i="26"/>
  <c r="S115" i="26"/>
  <c r="R115" i="26"/>
  <c r="Q115" i="26"/>
  <c r="P115" i="26"/>
  <c r="O115" i="26"/>
  <c r="N115" i="26"/>
  <c r="M115" i="26"/>
  <c r="L115" i="26"/>
  <c r="K115" i="26"/>
  <c r="J115" i="26"/>
  <c r="S114" i="26"/>
  <c r="R114" i="26"/>
  <c r="Q114" i="26"/>
  <c r="P114" i="26"/>
  <c r="O114" i="26"/>
  <c r="N114" i="26"/>
  <c r="M114" i="26"/>
  <c r="L114" i="26"/>
  <c r="K114" i="26"/>
  <c r="J114" i="26"/>
  <c r="S113" i="26"/>
  <c r="R113" i="26"/>
  <c r="Q113" i="26"/>
  <c r="P113" i="26"/>
  <c r="O113" i="26"/>
  <c r="N113" i="26"/>
  <c r="M113" i="26"/>
  <c r="L113" i="26"/>
  <c r="K113" i="26"/>
  <c r="J113" i="26"/>
  <c r="S112" i="26"/>
  <c r="R112" i="26"/>
  <c r="Q112" i="26"/>
  <c r="P112" i="26"/>
  <c r="O112" i="26"/>
  <c r="N112" i="26"/>
  <c r="M112" i="26"/>
  <c r="L112" i="26"/>
  <c r="K112" i="26"/>
  <c r="J112" i="26"/>
  <c r="S111" i="26"/>
  <c r="R111" i="26"/>
  <c r="Q111" i="26"/>
  <c r="P111" i="26"/>
  <c r="O111" i="26"/>
  <c r="N111" i="26"/>
  <c r="M111" i="26"/>
  <c r="L111" i="26"/>
  <c r="K111" i="26"/>
  <c r="J111" i="26"/>
  <c r="S110" i="26"/>
  <c r="R110" i="26"/>
  <c r="Q110" i="26"/>
  <c r="P110" i="26"/>
  <c r="O110" i="26"/>
  <c r="N110" i="26"/>
  <c r="M110" i="26"/>
  <c r="L110" i="26"/>
  <c r="K110" i="26"/>
  <c r="J110" i="26"/>
  <c r="S109" i="26"/>
  <c r="R109" i="26"/>
  <c r="Q109" i="26"/>
  <c r="P109" i="26"/>
  <c r="O109" i="26"/>
  <c r="N109" i="26"/>
  <c r="M109" i="26"/>
  <c r="L109" i="26"/>
  <c r="K109" i="26"/>
  <c r="J109" i="26"/>
  <c r="S108" i="26"/>
  <c r="R108" i="26"/>
  <c r="Q108" i="26"/>
  <c r="P108" i="26"/>
  <c r="O108" i="26"/>
  <c r="N108" i="26"/>
  <c r="M108" i="26"/>
  <c r="L108" i="26"/>
  <c r="K108" i="26"/>
  <c r="J108" i="26"/>
  <c r="S107" i="26"/>
  <c r="R107" i="26"/>
  <c r="Q107" i="26"/>
  <c r="P107" i="26"/>
  <c r="O107" i="26"/>
  <c r="N107" i="26"/>
  <c r="M107" i="26"/>
  <c r="L107" i="26"/>
  <c r="K107" i="26"/>
  <c r="J107" i="26"/>
  <c r="S106" i="26"/>
  <c r="R106" i="26"/>
  <c r="Q106" i="26"/>
  <c r="P106" i="26"/>
  <c r="O106" i="26"/>
  <c r="N106" i="26"/>
  <c r="M106" i="26"/>
  <c r="L106" i="26"/>
  <c r="K106" i="26"/>
  <c r="J106" i="26"/>
  <c r="S105" i="26"/>
  <c r="R105" i="26"/>
  <c r="Q105" i="26"/>
  <c r="P105" i="26"/>
  <c r="O105" i="26"/>
  <c r="N105" i="26"/>
  <c r="M105" i="26"/>
  <c r="L105" i="26"/>
  <c r="K105" i="26"/>
  <c r="J105" i="26"/>
  <c r="S104" i="26"/>
  <c r="R104" i="26"/>
  <c r="Q104" i="26"/>
  <c r="P104" i="26"/>
  <c r="O104" i="26"/>
  <c r="N104" i="26"/>
  <c r="M104" i="26"/>
  <c r="L104" i="26"/>
  <c r="K104" i="26"/>
  <c r="J104" i="26"/>
  <c r="S103" i="26"/>
  <c r="R103" i="26"/>
  <c r="Q103" i="26"/>
  <c r="P103" i="26"/>
  <c r="O103" i="26"/>
  <c r="N103" i="26"/>
  <c r="M103" i="26"/>
  <c r="L103" i="26"/>
  <c r="K103" i="26"/>
  <c r="J103" i="26"/>
  <c r="S102" i="26"/>
  <c r="R102" i="26"/>
  <c r="Q102" i="26"/>
  <c r="P102" i="26"/>
  <c r="O102" i="26"/>
  <c r="N102" i="26"/>
  <c r="M102" i="26"/>
  <c r="L102" i="26"/>
  <c r="K102" i="26"/>
  <c r="J102" i="26"/>
  <c r="S101" i="26"/>
  <c r="R101" i="26"/>
  <c r="Q101" i="26"/>
  <c r="P101" i="26"/>
  <c r="O101" i="26"/>
  <c r="N101" i="26"/>
  <c r="M101" i="26"/>
  <c r="L101" i="26"/>
  <c r="K101" i="26"/>
  <c r="J101" i="26"/>
  <c r="S100" i="26"/>
  <c r="R100" i="26"/>
  <c r="Q100" i="26"/>
  <c r="P100" i="26"/>
  <c r="O100" i="26"/>
  <c r="N100" i="26"/>
  <c r="M100" i="26"/>
  <c r="L100" i="26"/>
  <c r="K100" i="26"/>
  <c r="J100" i="26"/>
  <c r="S99" i="26"/>
  <c r="R99" i="26"/>
  <c r="Q99" i="26"/>
  <c r="P99" i="26"/>
  <c r="O99" i="26"/>
  <c r="N99" i="26"/>
  <c r="M99" i="26"/>
  <c r="L99" i="26"/>
  <c r="K99" i="26"/>
  <c r="J99" i="26"/>
  <c r="S98" i="26"/>
  <c r="R98" i="26"/>
  <c r="Q98" i="26"/>
  <c r="P98" i="26"/>
  <c r="O98" i="26"/>
  <c r="N98" i="26"/>
  <c r="M98" i="26"/>
  <c r="L98" i="26"/>
  <c r="K98" i="26"/>
  <c r="J98" i="26"/>
  <c r="S97" i="26"/>
  <c r="R97" i="26"/>
  <c r="Q97" i="26"/>
  <c r="P97" i="26"/>
  <c r="O97" i="26"/>
  <c r="N97" i="26"/>
  <c r="M97" i="26"/>
  <c r="L97" i="26"/>
  <c r="K97" i="26"/>
  <c r="J97" i="26"/>
  <c r="S96" i="26"/>
  <c r="R96" i="26"/>
  <c r="Q96" i="26"/>
  <c r="P96" i="26"/>
  <c r="O96" i="26"/>
  <c r="N96" i="26"/>
  <c r="M96" i="26"/>
  <c r="L96" i="26"/>
  <c r="K96" i="26"/>
  <c r="J96" i="26"/>
  <c r="S95" i="26"/>
  <c r="R95" i="26"/>
  <c r="Q95" i="26"/>
  <c r="P95" i="26"/>
  <c r="O95" i="26"/>
  <c r="N95" i="26"/>
  <c r="M95" i="26"/>
  <c r="L95" i="26"/>
  <c r="K95" i="26"/>
  <c r="J95" i="26"/>
  <c r="S94" i="26"/>
  <c r="R94" i="26"/>
  <c r="Q94" i="26"/>
  <c r="P94" i="26"/>
  <c r="O94" i="26"/>
  <c r="N94" i="26"/>
  <c r="M94" i="26"/>
  <c r="L94" i="26"/>
  <c r="K94" i="26"/>
  <c r="J94" i="26"/>
  <c r="S93" i="26"/>
  <c r="R93" i="26"/>
  <c r="Q93" i="26"/>
  <c r="P93" i="26"/>
  <c r="O93" i="26"/>
  <c r="N93" i="26"/>
  <c r="M93" i="26"/>
  <c r="L93" i="26"/>
  <c r="K93" i="26"/>
  <c r="J93" i="26"/>
  <c r="S92" i="26"/>
  <c r="R92" i="26"/>
  <c r="Q92" i="26"/>
  <c r="P92" i="26"/>
  <c r="O92" i="26"/>
  <c r="N92" i="26"/>
  <c r="M92" i="26"/>
  <c r="L92" i="26"/>
  <c r="K92" i="26"/>
  <c r="J92" i="26"/>
  <c r="S91" i="26"/>
  <c r="R91" i="26"/>
  <c r="Q91" i="26"/>
  <c r="P91" i="26"/>
  <c r="O91" i="26"/>
  <c r="N91" i="26"/>
  <c r="M91" i="26"/>
  <c r="L91" i="26"/>
  <c r="K91" i="26"/>
  <c r="J91" i="26"/>
  <c r="S90" i="26"/>
  <c r="R90" i="26"/>
  <c r="Q90" i="26"/>
  <c r="P90" i="26"/>
  <c r="O90" i="26"/>
  <c r="N90" i="26"/>
  <c r="M90" i="26"/>
  <c r="L90" i="26"/>
  <c r="K90" i="26"/>
  <c r="J90" i="26"/>
  <c r="S89" i="26"/>
  <c r="R89" i="26"/>
  <c r="Q89" i="26"/>
  <c r="P89" i="26"/>
  <c r="O89" i="26"/>
  <c r="N89" i="26"/>
  <c r="M89" i="26"/>
  <c r="L89" i="26"/>
  <c r="K89" i="26"/>
  <c r="J89" i="26"/>
  <c r="S88" i="26"/>
  <c r="R88" i="26"/>
  <c r="Q88" i="26"/>
  <c r="P88" i="26"/>
  <c r="O88" i="26"/>
  <c r="N88" i="26"/>
  <c r="M88" i="26"/>
  <c r="L88" i="26"/>
  <c r="K88" i="26"/>
  <c r="J88" i="26"/>
  <c r="S87" i="26"/>
  <c r="R87" i="26"/>
  <c r="Q87" i="26"/>
  <c r="P87" i="26"/>
  <c r="O87" i="26"/>
  <c r="N87" i="26"/>
  <c r="M87" i="26"/>
  <c r="L87" i="26"/>
  <c r="K87" i="26"/>
  <c r="J87" i="26"/>
  <c r="S86" i="26"/>
  <c r="R86" i="26"/>
  <c r="Q86" i="26"/>
  <c r="P86" i="26"/>
  <c r="O86" i="26"/>
  <c r="N86" i="26"/>
  <c r="M86" i="26"/>
  <c r="L86" i="26"/>
  <c r="K86" i="26"/>
  <c r="J86" i="26"/>
  <c r="S85" i="26"/>
  <c r="R85" i="26"/>
  <c r="Q85" i="26"/>
  <c r="P85" i="26"/>
  <c r="O85" i="26"/>
  <c r="N85" i="26"/>
  <c r="M85" i="26"/>
  <c r="L85" i="26"/>
  <c r="K85" i="26"/>
  <c r="J85" i="26"/>
  <c r="S84" i="26"/>
  <c r="R84" i="26"/>
  <c r="Q84" i="26"/>
  <c r="P84" i="26"/>
  <c r="O84" i="26"/>
  <c r="N84" i="26"/>
  <c r="M84" i="26"/>
  <c r="L84" i="26"/>
  <c r="K84" i="26"/>
  <c r="J84" i="26"/>
  <c r="S83" i="26"/>
  <c r="R83" i="26"/>
  <c r="Q83" i="26"/>
  <c r="P83" i="26"/>
  <c r="O83" i="26"/>
  <c r="N83" i="26"/>
  <c r="M83" i="26"/>
  <c r="L83" i="26"/>
  <c r="K83" i="26"/>
  <c r="J83" i="26"/>
  <c r="S82" i="26"/>
  <c r="R82" i="26"/>
  <c r="Q82" i="26"/>
  <c r="P82" i="26"/>
  <c r="O82" i="26"/>
  <c r="N82" i="26"/>
  <c r="M82" i="26"/>
  <c r="L82" i="26"/>
  <c r="K82" i="26"/>
  <c r="J82" i="26"/>
  <c r="S81" i="26"/>
  <c r="R81" i="26"/>
  <c r="Q81" i="26"/>
  <c r="P81" i="26"/>
  <c r="O81" i="26"/>
  <c r="N81" i="26"/>
  <c r="M81" i="26"/>
  <c r="L81" i="26"/>
  <c r="K81" i="26"/>
  <c r="J81" i="26"/>
  <c r="S80" i="26"/>
  <c r="R80" i="26"/>
  <c r="Q80" i="26"/>
  <c r="P80" i="26"/>
  <c r="O80" i="26"/>
  <c r="N80" i="26"/>
  <c r="M80" i="26"/>
  <c r="L80" i="26"/>
  <c r="K80" i="26"/>
  <c r="J80" i="26"/>
  <c r="S79" i="26"/>
  <c r="R79" i="26"/>
  <c r="Q79" i="26"/>
  <c r="P79" i="26"/>
  <c r="O79" i="26"/>
  <c r="N79" i="26"/>
  <c r="M79" i="26"/>
  <c r="L79" i="26"/>
  <c r="K79" i="26"/>
  <c r="J79" i="26"/>
  <c r="S78" i="26"/>
  <c r="R78" i="26"/>
  <c r="Q78" i="26"/>
  <c r="P78" i="26"/>
  <c r="O78" i="26"/>
  <c r="N78" i="26"/>
  <c r="M78" i="26"/>
  <c r="L78" i="26"/>
  <c r="K78" i="26"/>
  <c r="J78" i="26"/>
  <c r="S77" i="26"/>
  <c r="R77" i="26"/>
  <c r="Q77" i="26"/>
  <c r="P77" i="26"/>
  <c r="O77" i="26"/>
  <c r="N77" i="26"/>
  <c r="M77" i="26"/>
  <c r="L77" i="26"/>
  <c r="K77" i="26"/>
  <c r="J77" i="26"/>
  <c r="S76" i="26"/>
  <c r="R76" i="26"/>
  <c r="Q76" i="26"/>
  <c r="P76" i="26"/>
  <c r="O76" i="26"/>
  <c r="N76" i="26"/>
  <c r="M76" i="26"/>
  <c r="L76" i="26"/>
  <c r="K76" i="26"/>
  <c r="J76" i="26"/>
  <c r="S75" i="26"/>
  <c r="R75" i="26"/>
  <c r="Q75" i="26"/>
  <c r="P75" i="26"/>
  <c r="O75" i="26"/>
  <c r="N75" i="26"/>
  <c r="M75" i="26"/>
  <c r="L75" i="26"/>
  <c r="K75" i="26"/>
  <c r="J75" i="26"/>
  <c r="S74" i="26"/>
  <c r="R74" i="26"/>
  <c r="Q74" i="26"/>
  <c r="P74" i="26"/>
  <c r="O74" i="26"/>
  <c r="N74" i="26"/>
  <c r="M74" i="26"/>
  <c r="L74" i="26"/>
  <c r="K74" i="26"/>
  <c r="J74" i="26"/>
  <c r="S73" i="26"/>
  <c r="R73" i="26"/>
  <c r="Q73" i="26"/>
  <c r="P73" i="26"/>
  <c r="O73" i="26"/>
  <c r="N73" i="26"/>
  <c r="M73" i="26"/>
  <c r="L73" i="26"/>
  <c r="K73" i="26"/>
  <c r="J73" i="26"/>
  <c r="S72" i="26"/>
  <c r="R72" i="26"/>
  <c r="Q72" i="26"/>
  <c r="P72" i="26"/>
  <c r="O72" i="26"/>
  <c r="N72" i="26"/>
  <c r="M72" i="26"/>
  <c r="L72" i="26"/>
  <c r="K72" i="26"/>
  <c r="J72" i="26"/>
  <c r="S71" i="26"/>
  <c r="R71" i="26"/>
  <c r="Q71" i="26"/>
  <c r="P71" i="26"/>
  <c r="O71" i="26"/>
  <c r="N71" i="26"/>
  <c r="M71" i="26"/>
  <c r="L71" i="26"/>
  <c r="K71" i="26"/>
  <c r="J71" i="26"/>
  <c r="S70" i="26"/>
  <c r="R70" i="26"/>
  <c r="Q70" i="26"/>
  <c r="P70" i="26"/>
  <c r="O70" i="26"/>
  <c r="N70" i="26"/>
  <c r="M70" i="26"/>
  <c r="L70" i="26"/>
  <c r="K70" i="26"/>
  <c r="J70" i="26"/>
  <c r="S69" i="26"/>
  <c r="R69" i="26"/>
  <c r="Q69" i="26"/>
  <c r="P69" i="26"/>
  <c r="O69" i="26"/>
  <c r="N69" i="26"/>
  <c r="M69" i="26"/>
  <c r="L69" i="26"/>
  <c r="K69" i="26"/>
  <c r="J69" i="26"/>
  <c r="S68" i="26"/>
  <c r="R68" i="26"/>
  <c r="Q68" i="26"/>
  <c r="P68" i="26"/>
  <c r="O68" i="26"/>
  <c r="N68" i="26"/>
  <c r="M68" i="26"/>
  <c r="L68" i="26"/>
  <c r="K68" i="26"/>
  <c r="J68" i="26"/>
  <c r="S67" i="26"/>
  <c r="R67" i="26"/>
  <c r="Q67" i="26"/>
  <c r="P67" i="26"/>
  <c r="O67" i="26"/>
  <c r="N67" i="26"/>
  <c r="M67" i="26"/>
  <c r="L67" i="26"/>
  <c r="K67" i="26"/>
  <c r="J67" i="26"/>
  <c r="S66" i="26"/>
  <c r="R66" i="26"/>
  <c r="Q66" i="26"/>
  <c r="P66" i="26"/>
  <c r="O66" i="26"/>
  <c r="N66" i="26"/>
  <c r="M66" i="26"/>
  <c r="L66" i="26"/>
  <c r="K66" i="26"/>
  <c r="J66" i="26"/>
  <c r="S65" i="26"/>
  <c r="R65" i="26"/>
  <c r="Q65" i="26"/>
  <c r="P65" i="26"/>
  <c r="O65" i="26"/>
  <c r="N65" i="26"/>
  <c r="M65" i="26"/>
  <c r="L65" i="26"/>
  <c r="K65" i="26"/>
  <c r="J65" i="26"/>
  <c r="S64" i="26"/>
  <c r="R64" i="26"/>
  <c r="Q64" i="26"/>
  <c r="P64" i="26"/>
  <c r="O64" i="26"/>
  <c r="N64" i="26"/>
  <c r="M64" i="26"/>
  <c r="L64" i="26"/>
  <c r="K64" i="26"/>
  <c r="J64" i="26"/>
  <c r="S63" i="26"/>
  <c r="R63" i="26"/>
  <c r="Q63" i="26"/>
  <c r="P63" i="26"/>
  <c r="O63" i="26"/>
  <c r="N63" i="26"/>
  <c r="M63" i="26"/>
  <c r="L63" i="26"/>
  <c r="K63" i="26"/>
  <c r="J63" i="26"/>
  <c r="S62" i="26"/>
  <c r="R62" i="26"/>
  <c r="Q62" i="26"/>
  <c r="P62" i="26"/>
  <c r="O62" i="26"/>
  <c r="N62" i="26"/>
  <c r="M62" i="26"/>
  <c r="L62" i="26"/>
  <c r="K62" i="26"/>
  <c r="J62" i="26"/>
  <c r="S61" i="26"/>
  <c r="R61" i="26"/>
  <c r="Q61" i="26"/>
  <c r="P61" i="26"/>
  <c r="O61" i="26"/>
  <c r="N61" i="26"/>
  <c r="M61" i="26"/>
  <c r="L61" i="26"/>
  <c r="K61" i="26"/>
  <c r="J61" i="26"/>
  <c r="S60" i="26"/>
  <c r="R60" i="26"/>
  <c r="Q60" i="26"/>
  <c r="P60" i="26"/>
  <c r="O60" i="26"/>
  <c r="N60" i="26"/>
  <c r="M60" i="26"/>
  <c r="L60" i="26"/>
  <c r="K60" i="26"/>
  <c r="J60" i="26"/>
  <c r="S59" i="26"/>
  <c r="R59" i="26"/>
  <c r="Q59" i="26"/>
  <c r="P59" i="26"/>
  <c r="O59" i="26"/>
  <c r="N59" i="26"/>
  <c r="M59" i="26"/>
  <c r="L59" i="26"/>
  <c r="K59" i="26"/>
  <c r="J59" i="26"/>
  <c r="S58" i="26"/>
  <c r="R58" i="26"/>
  <c r="Q58" i="26"/>
  <c r="P58" i="26"/>
  <c r="O58" i="26"/>
  <c r="N58" i="26"/>
  <c r="M58" i="26"/>
  <c r="L58" i="26"/>
  <c r="K58" i="26"/>
  <c r="J58" i="26"/>
  <c r="S57" i="26"/>
  <c r="R57" i="26"/>
  <c r="Q57" i="26"/>
  <c r="P57" i="26"/>
  <c r="O57" i="26"/>
  <c r="N57" i="26"/>
  <c r="M57" i="26"/>
  <c r="L57" i="26"/>
  <c r="K57" i="26"/>
  <c r="J57" i="26"/>
  <c r="S56" i="26"/>
  <c r="R56" i="26"/>
  <c r="Q56" i="26"/>
  <c r="P56" i="26"/>
  <c r="O56" i="26"/>
  <c r="N56" i="26"/>
  <c r="M56" i="26"/>
  <c r="L56" i="26"/>
  <c r="K56" i="26"/>
  <c r="J56" i="26"/>
  <c r="S55" i="26"/>
  <c r="R55" i="26"/>
  <c r="Q55" i="26"/>
  <c r="P55" i="26"/>
  <c r="O55" i="26"/>
  <c r="N55" i="26"/>
  <c r="M55" i="26"/>
  <c r="L55" i="26"/>
  <c r="K55" i="26"/>
  <c r="J55" i="26"/>
  <c r="S54" i="26"/>
  <c r="R54" i="26"/>
  <c r="Q54" i="26"/>
  <c r="P54" i="26"/>
  <c r="O54" i="26"/>
  <c r="N54" i="26"/>
  <c r="M54" i="26"/>
  <c r="L54" i="26"/>
  <c r="K54" i="26"/>
  <c r="J54" i="26"/>
  <c r="S53" i="26"/>
  <c r="R53" i="26"/>
  <c r="Q53" i="26"/>
  <c r="P53" i="26"/>
  <c r="O53" i="26"/>
  <c r="N53" i="26"/>
  <c r="M53" i="26"/>
  <c r="L53" i="26"/>
  <c r="K53" i="26"/>
  <c r="J53" i="26"/>
  <c r="S52" i="26"/>
  <c r="R52" i="26"/>
  <c r="Q52" i="26"/>
  <c r="P52" i="26"/>
  <c r="O52" i="26"/>
  <c r="N52" i="26"/>
  <c r="M52" i="26"/>
  <c r="L52" i="26"/>
  <c r="K52" i="26"/>
  <c r="J52" i="26"/>
  <c r="S51" i="26"/>
  <c r="R51" i="26"/>
  <c r="Q51" i="26"/>
  <c r="P51" i="26"/>
  <c r="O51" i="26"/>
  <c r="N51" i="26"/>
  <c r="M51" i="26"/>
  <c r="L51" i="26"/>
  <c r="K51" i="26"/>
  <c r="J51" i="26"/>
  <c r="S50" i="26"/>
  <c r="R50" i="26"/>
  <c r="Q50" i="26"/>
  <c r="P50" i="26"/>
  <c r="O50" i="26"/>
  <c r="N50" i="26"/>
  <c r="M50" i="26"/>
  <c r="L50" i="26"/>
  <c r="K50" i="26"/>
  <c r="J50" i="26"/>
  <c r="S49" i="26"/>
  <c r="R49" i="26"/>
  <c r="Q49" i="26"/>
  <c r="P49" i="26"/>
  <c r="O49" i="26"/>
  <c r="N49" i="26"/>
  <c r="M49" i="26"/>
  <c r="L49" i="26"/>
  <c r="K49" i="26"/>
  <c r="J49" i="26"/>
  <c r="S48" i="26"/>
  <c r="R48" i="26"/>
  <c r="Q48" i="26"/>
  <c r="P48" i="26"/>
  <c r="O48" i="26"/>
  <c r="N48" i="26"/>
  <c r="M48" i="26"/>
  <c r="L48" i="26"/>
  <c r="K48" i="26"/>
  <c r="J48" i="26"/>
  <c r="S47" i="26"/>
  <c r="R47" i="26"/>
  <c r="Q47" i="26"/>
  <c r="P47" i="26"/>
  <c r="O47" i="26"/>
  <c r="N47" i="26"/>
  <c r="M47" i="26"/>
  <c r="L47" i="26"/>
  <c r="K47" i="26"/>
  <c r="J47" i="26"/>
  <c r="S46" i="26"/>
  <c r="R46" i="26"/>
  <c r="Q46" i="26"/>
  <c r="P46" i="26"/>
  <c r="O46" i="26"/>
  <c r="N46" i="26"/>
  <c r="M46" i="26"/>
  <c r="L46" i="26"/>
  <c r="K46" i="26"/>
  <c r="J46" i="26"/>
  <c r="S45" i="26"/>
  <c r="R45" i="26"/>
  <c r="Q45" i="26"/>
  <c r="P45" i="26"/>
  <c r="O45" i="26"/>
  <c r="N45" i="26"/>
  <c r="M45" i="26"/>
  <c r="L45" i="26"/>
  <c r="K45" i="26"/>
  <c r="J45" i="26"/>
  <c r="S44" i="26"/>
  <c r="R44" i="26"/>
  <c r="Q44" i="26"/>
  <c r="P44" i="26"/>
  <c r="O44" i="26"/>
  <c r="N44" i="26"/>
  <c r="M44" i="26"/>
  <c r="L44" i="26"/>
  <c r="K44" i="26"/>
  <c r="J44" i="26"/>
  <c r="S43" i="26"/>
  <c r="R43" i="26"/>
  <c r="Q43" i="26"/>
  <c r="P43" i="26"/>
  <c r="O43" i="26"/>
  <c r="N43" i="26"/>
  <c r="M43" i="26"/>
  <c r="L43" i="26"/>
  <c r="K43" i="26"/>
  <c r="J43" i="26"/>
  <c r="S42" i="26"/>
  <c r="R42" i="26"/>
  <c r="Q42" i="26"/>
  <c r="P42" i="26"/>
  <c r="O42" i="26"/>
  <c r="N42" i="26"/>
  <c r="M42" i="26"/>
  <c r="L42" i="26"/>
  <c r="K42" i="26"/>
  <c r="J42" i="26"/>
  <c r="S41" i="26"/>
  <c r="R41" i="26"/>
  <c r="Q41" i="26"/>
  <c r="P41" i="26"/>
  <c r="O41" i="26"/>
  <c r="N41" i="26"/>
  <c r="M41" i="26"/>
  <c r="L41" i="26"/>
  <c r="K41" i="26"/>
  <c r="J41" i="26"/>
  <c r="S40" i="26"/>
  <c r="R40" i="26"/>
  <c r="Q40" i="26"/>
  <c r="P40" i="26"/>
  <c r="O40" i="26"/>
  <c r="N40" i="26"/>
  <c r="M40" i="26"/>
  <c r="L40" i="26"/>
  <c r="K40" i="26"/>
  <c r="J40" i="26"/>
  <c r="S39" i="26"/>
  <c r="R39" i="26"/>
  <c r="Q39" i="26"/>
  <c r="P39" i="26"/>
  <c r="O39" i="26"/>
  <c r="N39" i="26"/>
  <c r="M39" i="26"/>
  <c r="L39" i="26"/>
  <c r="K39" i="26"/>
  <c r="J39" i="26"/>
  <c r="S38" i="26"/>
  <c r="R38" i="26"/>
  <c r="Q38" i="26"/>
  <c r="P38" i="26"/>
  <c r="O38" i="26"/>
  <c r="N38" i="26"/>
  <c r="M38" i="26"/>
  <c r="L38" i="26"/>
  <c r="K38" i="26"/>
  <c r="J38" i="26"/>
  <c r="S37" i="26"/>
  <c r="R37" i="26"/>
  <c r="Q37" i="26"/>
  <c r="P37" i="26"/>
  <c r="O37" i="26"/>
  <c r="N37" i="26"/>
  <c r="M37" i="26"/>
  <c r="L37" i="26"/>
  <c r="K37" i="26"/>
  <c r="J37" i="26"/>
  <c r="S36" i="26"/>
  <c r="R36" i="26"/>
  <c r="Q36" i="26"/>
  <c r="P36" i="26"/>
  <c r="O36" i="26"/>
  <c r="N36" i="26"/>
  <c r="M36" i="26"/>
  <c r="L36" i="26"/>
  <c r="K36" i="26"/>
  <c r="J36" i="26"/>
  <c r="S35" i="26"/>
  <c r="R35" i="26"/>
  <c r="Q35" i="26"/>
  <c r="P35" i="26"/>
  <c r="O35" i="26"/>
  <c r="N35" i="26"/>
  <c r="M35" i="26"/>
  <c r="L35" i="26"/>
  <c r="K35" i="26"/>
  <c r="J35" i="26"/>
  <c r="S34" i="26"/>
  <c r="R34" i="26"/>
  <c r="Q34" i="26"/>
  <c r="P34" i="26"/>
  <c r="O34" i="26"/>
  <c r="N34" i="26"/>
  <c r="M34" i="26"/>
  <c r="L34" i="26"/>
  <c r="K34" i="26"/>
  <c r="J34" i="26"/>
  <c r="S33" i="26"/>
  <c r="R33" i="26"/>
  <c r="Q33" i="26"/>
  <c r="P33" i="26"/>
  <c r="O33" i="26"/>
  <c r="N33" i="26"/>
  <c r="M33" i="26"/>
  <c r="L33" i="26"/>
  <c r="K33" i="26"/>
  <c r="J33" i="26"/>
  <c r="S32" i="26"/>
  <c r="R32" i="26"/>
  <c r="Q32" i="26"/>
  <c r="P32" i="26"/>
  <c r="O32" i="26"/>
  <c r="N32" i="26"/>
  <c r="M32" i="26"/>
  <c r="L32" i="26"/>
  <c r="K32" i="26"/>
  <c r="J32" i="26"/>
  <c r="S31" i="26"/>
  <c r="R31" i="26"/>
  <c r="Q31" i="26"/>
  <c r="P31" i="26"/>
  <c r="O31" i="26"/>
  <c r="N31" i="26"/>
  <c r="M31" i="26"/>
  <c r="L31" i="26"/>
  <c r="K31" i="26"/>
  <c r="J31" i="26"/>
  <c r="S30" i="26"/>
  <c r="R30" i="26"/>
  <c r="Q30" i="26"/>
  <c r="P30" i="26"/>
  <c r="O30" i="26"/>
  <c r="N30" i="26"/>
  <c r="M30" i="26"/>
  <c r="L30" i="26"/>
  <c r="K30" i="26"/>
  <c r="J30" i="26"/>
  <c r="S29" i="26"/>
  <c r="R29" i="26"/>
  <c r="Q29" i="26"/>
  <c r="P29" i="26"/>
  <c r="O29" i="26"/>
  <c r="N29" i="26"/>
  <c r="M29" i="26"/>
  <c r="L29" i="26"/>
  <c r="K29" i="26"/>
  <c r="J29" i="26"/>
  <c r="S28" i="26"/>
  <c r="R28" i="26"/>
  <c r="Q28" i="26"/>
  <c r="P28" i="26"/>
  <c r="O28" i="26"/>
  <c r="N28" i="26"/>
  <c r="M28" i="26"/>
  <c r="L28" i="26"/>
  <c r="K28" i="26"/>
  <c r="J28" i="26"/>
  <c r="S27" i="26"/>
  <c r="R27" i="26"/>
  <c r="Q27" i="26"/>
  <c r="P27" i="26"/>
  <c r="O27" i="26"/>
  <c r="N27" i="26"/>
  <c r="M27" i="26"/>
  <c r="L27" i="26"/>
  <c r="K27" i="26"/>
  <c r="J27" i="26"/>
  <c r="S26" i="26"/>
  <c r="R26" i="26"/>
  <c r="Q26" i="26"/>
  <c r="P26" i="26"/>
  <c r="O26" i="26"/>
  <c r="N26" i="26"/>
  <c r="M26" i="26"/>
  <c r="L26" i="26"/>
  <c r="K26" i="26"/>
  <c r="J26" i="26"/>
  <c r="S25" i="26"/>
  <c r="R25" i="26"/>
  <c r="Q25" i="26"/>
  <c r="P25" i="26"/>
  <c r="O25" i="26"/>
  <c r="N25" i="26"/>
  <c r="M25" i="26"/>
  <c r="L25" i="26"/>
  <c r="K25" i="26"/>
  <c r="J25" i="26"/>
  <c r="S24" i="26"/>
  <c r="R24" i="26"/>
  <c r="Q24" i="26"/>
  <c r="P24" i="26"/>
  <c r="O24" i="26"/>
  <c r="N24" i="26"/>
  <c r="M24" i="26"/>
  <c r="L24" i="26"/>
  <c r="K24" i="26"/>
  <c r="J24" i="26"/>
  <c r="S23" i="26"/>
  <c r="R23" i="26"/>
  <c r="Q23" i="26"/>
  <c r="P23" i="26"/>
  <c r="O23" i="26"/>
  <c r="N23" i="26"/>
  <c r="M23" i="26"/>
  <c r="L23" i="26"/>
  <c r="K23" i="26"/>
  <c r="J23" i="26"/>
  <c r="S22" i="26"/>
  <c r="R22" i="26"/>
  <c r="Q22" i="26"/>
  <c r="P22" i="26"/>
  <c r="O22" i="26"/>
  <c r="N22" i="26"/>
  <c r="M22" i="26"/>
  <c r="L22" i="26"/>
  <c r="K22" i="26"/>
  <c r="J22" i="26"/>
  <c r="S21" i="26"/>
  <c r="R21" i="26"/>
  <c r="Q21" i="26"/>
  <c r="P21" i="26"/>
  <c r="O21" i="26"/>
  <c r="N21" i="26"/>
  <c r="M21" i="26"/>
  <c r="L21" i="26"/>
  <c r="K21" i="26"/>
  <c r="J21" i="26"/>
  <c r="S20" i="26"/>
  <c r="R20" i="26"/>
  <c r="Q20" i="26"/>
  <c r="P20" i="26"/>
  <c r="O20" i="26"/>
  <c r="N20" i="26"/>
  <c r="M20" i="26"/>
  <c r="L20" i="26"/>
  <c r="K20" i="26"/>
  <c r="J20" i="26"/>
  <c r="S19" i="26"/>
  <c r="R19" i="26"/>
  <c r="Q19" i="26"/>
  <c r="P19" i="26"/>
  <c r="O19" i="26"/>
  <c r="N19" i="26"/>
  <c r="M19" i="26"/>
  <c r="L19" i="26"/>
  <c r="K19" i="26"/>
  <c r="J19" i="26"/>
  <c r="S18" i="26"/>
  <c r="R18" i="26"/>
  <c r="Q18" i="26"/>
  <c r="P18" i="26"/>
  <c r="O18" i="26"/>
  <c r="N18" i="26"/>
  <c r="M18" i="26"/>
  <c r="L18" i="26"/>
  <c r="K18" i="26"/>
  <c r="J18" i="26"/>
  <c r="S17" i="26"/>
  <c r="R17" i="26"/>
  <c r="Q17" i="26"/>
  <c r="P17" i="26"/>
  <c r="O17" i="26"/>
  <c r="N17" i="26"/>
  <c r="M17" i="26"/>
  <c r="L17" i="26"/>
  <c r="K17" i="26"/>
  <c r="J17" i="26"/>
  <c r="S16" i="26"/>
  <c r="R16" i="26"/>
  <c r="Q16" i="26"/>
  <c r="P16" i="26"/>
  <c r="O16" i="26"/>
  <c r="N16" i="26"/>
  <c r="M16" i="26"/>
  <c r="L16" i="26"/>
  <c r="K16" i="26"/>
  <c r="J16" i="26"/>
  <c r="S15" i="26"/>
  <c r="R15" i="26"/>
  <c r="Q15" i="26"/>
  <c r="P15" i="26"/>
  <c r="O15" i="26"/>
  <c r="N15" i="26"/>
  <c r="M15" i="26"/>
  <c r="L15" i="26"/>
  <c r="K15" i="26"/>
  <c r="J15" i="26"/>
  <c r="S14" i="26"/>
  <c r="R14" i="26"/>
  <c r="Q14" i="26"/>
  <c r="P14" i="26"/>
  <c r="O14" i="26"/>
  <c r="N14" i="26"/>
  <c r="M14" i="26"/>
  <c r="L14" i="26"/>
  <c r="K14" i="26"/>
  <c r="J14" i="26"/>
  <c r="S13" i="26"/>
  <c r="R13" i="26"/>
  <c r="Q13" i="26"/>
  <c r="P13" i="26"/>
  <c r="O13" i="26"/>
  <c r="N13" i="26"/>
  <c r="M13" i="26"/>
  <c r="L13" i="26"/>
  <c r="K13" i="26"/>
  <c r="J13" i="26"/>
  <c r="S12" i="26"/>
  <c r="R12" i="26"/>
  <c r="Q12" i="26"/>
  <c r="P12" i="26"/>
  <c r="O12" i="26"/>
  <c r="N12" i="26"/>
  <c r="M12" i="26"/>
  <c r="L12" i="26"/>
  <c r="K12" i="26"/>
  <c r="J12" i="26"/>
  <c r="S11" i="26"/>
  <c r="R11" i="26"/>
  <c r="Q11" i="26"/>
  <c r="P11" i="26"/>
  <c r="O11" i="26"/>
  <c r="N11" i="26"/>
  <c r="M11" i="26"/>
  <c r="L11" i="26"/>
  <c r="K11" i="26"/>
  <c r="J11" i="26"/>
  <c r="S10" i="26"/>
  <c r="R10" i="26"/>
  <c r="Q10" i="26"/>
  <c r="P10" i="26"/>
  <c r="O10" i="26"/>
  <c r="N10" i="26"/>
  <c r="M10" i="26"/>
  <c r="L10" i="26"/>
  <c r="K10" i="26"/>
  <c r="J10" i="26"/>
  <c r="S9" i="26"/>
  <c r="R9" i="26"/>
  <c r="Q9" i="26"/>
  <c r="P9" i="26"/>
  <c r="O9" i="26"/>
  <c r="N9" i="26"/>
  <c r="M9" i="26"/>
  <c r="L9" i="26"/>
  <c r="K9" i="26"/>
  <c r="J9" i="26"/>
  <c r="S8" i="26"/>
  <c r="R8" i="26"/>
  <c r="Q8" i="26"/>
  <c r="P8" i="26"/>
  <c r="O8" i="26"/>
  <c r="N8" i="26"/>
  <c r="M8" i="26"/>
  <c r="L8" i="26"/>
  <c r="K8" i="26"/>
  <c r="J8" i="26"/>
  <c r="S7" i="26"/>
  <c r="R7" i="26"/>
  <c r="Q7" i="26"/>
  <c r="P7" i="26"/>
  <c r="O7" i="26"/>
  <c r="N7" i="26"/>
  <c r="M7" i="26"/>
  <c r="L7" i="26"/>
  <c r="K7" i="26"/>
  <c r="J7" i="26"/>
  <c r="S6" i="26"/>
  <c r="R6" i="26"/>
  <c r="Q6" i="26"/>
  <c r="P6" i="26"/>
  <c r="O6" i="26"/>
  <c r="N6" i="26"/>
  <c r="M6" i="26"/>
  <c r="L6" i="26"/>
  <c r="K6" i="26"/>
  <c r="J6" i="26"/>
  <c r="S5" i="26"/>
  <c r="R5" i="26"/>
  <c r="Q5" i="26"/>
  <c r="P5" i="26"/>
  <c r="O5" i="26"/>
  <c r="N5" i="26"/>
  <c r="M5" i="26"/>
  <c r="L5" i="26"/>
  <c r="K5" i="26"/>
  <c r="J5" i="26"/>
  <c r="S4" i="26"/>
  <c r="R4" i="26"/>
  <c r="Q4" i="26"/>
  <c r="P4" i="26"/>
  <c r="O4" i="26"/>
  <c r="N4" i="26"/>
  <c r="M4" i="26"/>
  <c r="L4" i="26"/>
  <c r="K4" i="26"/>
  <c r="J4" i="26"/>
  <c r="S3" i="26"/>
  <c r="R3" i="26"/>
  <c r="Q3" i="26"/>
  <c r="P3" i="26"/>
  <c r="O3" i="26"/>
  <c r="N3" i="26"/>
  <c r="M3" i="26"/>
  <c r="L3" i="26"/>
  <c r="K3" i="26"/>
  <c r="J3" i="26"/>
  <c r="S2" i="26"/>
  <c r="R2" i="26"/>
  <c r="Q2" i="26"/>
  <c r="P2" i="26"/>
  <c r="O2" i="26"/>
  <c r="N2" i="26"/>
  <c r="M2" i="26"/>
  <c r="L2" i="26"/>
  <c r="K2" i="26"/>
  <c r="J2" i="26"/>
  <c r="J1751" i="41"/>
  <c r="K1751" i="41"/>
  <c r="L1751" i="41"/>
  <c r="M1751" i="41"/>
  <c r="N1751" i="41"/>
  <c r="O1751" i="41"/>
  <c r="P1751" i="41"/>
  <c r="Q1751" i="41"/>
  <c r="R1751" i="41"/>
  <c r="S1751" i="41"/>
  <c r="J1362" i="41"/>
  <c r="J333" i="41"/>
  <c r="K333" i="41"/>
  <c r="L333" i="41"/>
  <c r="M333" i="41"/>
  <c r="N333" i="41"/>
  <c r="O333" i="41"/>
  <c r="P333" i="41"/>
  <c r="Q333" i="41"/>
  <c r="R333" i="41"/>
  <c r="S333" i="41"/>
  <c r="J334" i="41"/>
  <c r="K334" i="41"/>
  <c r="L334" i="41"/>
  <c r="M334" i="41"/>
  <c r="N334" i="41"/>
  <c r="O334" i="41"/>
  <c r="P334" i="41"/>
  <c r="Q334" i="41"/>
  <c r="R334" i="41"/>
  <c r="S334" i="41"/>
  <c r="J335" i="41"/>
  <c r="K335" i="41"/>
  <c r="L335" i="41"/>
  <c r="M335" i="41"/>
  <c r="N335" i="41"/>
  <c r="O335" i="41"/>
  <c r="P335" i="41"/>
  <c r="Q335" i="41"/>
  <c r="R335" i="41"/>
  <c r="S335" i="41"/>
  <c r="J336" i="41"/>
  <c r="K336" i="41"/>
  <c r="L336" i="41"/>
  <c r="M336" i="41"/>
  <c r="N336" i="41"/>
  <c r="O336" i="41"/>
  <c r="P336" i="41"/>
  <c r="Q336" i="41"/>
  <c r="R336" i="41"/>
  <c r="S336" i="41"/>
  <c r="J337" i="41"/>
  <c r="K337" i="41"/>
  <c r="L337" i="41"/>
  <c r="M337" i="41"/>
  <c r="N337" i="41"/>
  <c r="O337" i="41"/>
  <c r="P337" i="41"/>
  <c r="Q337" i="41"/>
  <c r="R337" i="41"/>
  <c r="S337" i="41"/>
  <c r="J338" i="41"/>
  <c r="K338" i="41"/>
  <c r="L338" i="41"/>
  <c r="M338" i="41"/>
  <c r="N338" i="41"/>
  <c r="O338" i="41"/>
  <c r="P338" i="41"/>
  <c r="Q338" i="41"/>
  <c r="R338" i="41"/>
  <c r="S338" i="41"/>
  <c r="J339" i="41"/>
  <c r="K339" i="41"/>
  <c r="L339" i="41"/>
  <c r="M339" i="41"/>
  <c r="N339" i="41"/>
  <c r="O339" i="41"/>
  <c r="P339" i="41"/>
  <c r="Q339" i="41"/>
  <c r="R339" i="41"/>
  <c r="S339" i="41"/>
  <c r="J340" i="41"/>
  <c r="K340" i="41"/>
  <c r="L340" i="41"/>
  <c r="M340" i="41"/>
  <c r="N340" i="41"/>
  <c r="O340" i="41"/>
  <c r="P340" i="41"/>
  <c r="Q340" i="41"/>
  <c r="R340" i="41"/>
  <c r="S340" i="41"/>
  <c r="J341" i="41"/>
  <c r="K341" i="41"/>
  <c r="L341" i="41"/>
  <c r="M341" i="41"/>
  <c r="N341" i="41"/>
  <c r="O341" i="41"/>
  <c r="P341" i="41"/>
  <c r="Q341" i="41"/>
  <c r="R341" i="41"/>
  <c r="S341" i="41"/>
  <c r="J342" i="41"/>
  <c r="K342" i="41"/>
  <c r="L342" i="41"/>
  <c r="M342" i="41"/>
  <c r="N342" i="41"/>
  <c r="O342" i="41"/>
  <c r="P342" i="41"/>
  <c r="Q342" i="41"/>
  <c r="R342" i="41"/>
  <c r="S342" i="41"/>
  <c r="J343" i="41"/>
  <c r="K343" i="41"/>
  <c r="L343" i="41"/>
  <c r="M343" i="41"/>
  <c r="N343" i="41"/>
  <c r="O343" i="41"/>
  <c r="P343" i="41"/>
  <c r="Q343" i="41"/>
  <c r="R343" i="41"/>
  <c r="S343" i="41"/>
  <c r="J344" i="41"/>
  <c r="K344" i="41"/>
  <c r="L344" i="41"/>
  <c r="M344" i="41"/>
  <c r="N344" i="41"/>
  <c r="O344" i="41"/>
  <c r="P344" i="41"/>
  <c r="Q344" i="41"/>
  <c r="R344" i="41"/>
  <c r="S344" i="41"/>
  <c r="J345" i="41"/>
  <c r="K345" i="41"/>
  <c r="L345" i="41"/>
  <c r="M345" i="41"/>
  <c r="N345" i="41"/>
  <c r="O345" i="41"/>
  <c r="P345" i="41"/>
  <c r="Q345" i="41"/>
  <c r="R345" i="41"/>
  <c r="S345" i="41"/>
  <c r="J346" i="41"/>
  <c r="K346" i="41"/>
  <c r="L346" i="41"/>
  <c r="M346" i="41"/>
  <c r="N346" i="41"/>
  <c r="O346" i="41"/>
  <c r="P346" i="41"/>
  <c r="Q346" i="41"/>
  <c r="R346" i="41"/>
  <c r="S346" i="41"/>
  <c r="J347" i="41"/>
  <c r="K347" i="41"/>
  <c r="L347" i="41"/>
  <c r="M347" i="41"/>
  <c r="N347" i="41"/>
  <c r="O347" i="41"/>
  <c r="P347" i="41"/>
  <c r="Q347" i="41"/>
  <c r="R347" i="41"/>
  <c r="S347" i="41"/>
  <c r="J348" i="41"/>
  <c r="K348" i="41"/>
  <c r="L348" i="41"/>
  <c r="M348" i="41"/>
  <c r="N348" i="41"/>
  <c r="O348" i="41"/>
  <c r="P348" i="41"/>
  <c r="Q348" i="41"/>
  <c r="R348" i="41"/>
  <c r="S348" i="41"/>
  <c r="J349" i="41"/>
  <c r="K349" i="41"/>
  <c r="L349" i="41"/>
  <c r="M349" i="41"/>
  <c r="N349" i="41"/>
  <c r="O349" i="41"/>
  <c r="P349" i="41"/>
  <c r="Q349" i="41"/>
  <c r="R349" i="41"/>
  <c r="S349" i="41"/>
  <c r="J350" i="41"/>
  <c r="K350" i="41"/>
  <c r="L350" i="41"/>
  <c r="M350" i="41"/>
  <c r="N350" i="41"/>
  <c r="O350" i="41"/>
  <c r="P350" i="41"/>
  <c r="Q350" i="41"/>
  <c r="R350" i="41"/>
  <c r="S350" i="41"/>
  <c r="J351" i="41"/>
  <c r="K351" i="41"/>
  <c r="L351" i="41"/>
  <c r="M351" i="41"/>
  <c r="N351" i="41"/>
  <c r="O351" i="41"/>
  <c r="P351" i="41"/>
  <c r="Q351" i="41"/>
  <c r="R351" i="41"/>
  <c r="S351" i="41"/>
  <c r="J352" i="41"/>
  <c r="K352" i="41"/>
  <c r="L352" i="41"/>
  <c r="M352" i="41"/>
  <c r="N352" i="41"/>
  <c r="O352" i="41"/>
  <c r="P352" i="41"/>
  <c r="Q352" i="41"/>
  <c r="R352" i="41"/>
  <c r="S352" i="41"/>
  <c r="J353" i="41"/>
  <c r="K353" i="41"/>
  <c r="L353" i="41"/>
  <c r="M353" i="41"/>
  <c r="N353" i="41"/>
  <c r="O353" i="41"/>
  <c r="P353" i="41"/>
  <c r="Q353" i="41"/>
  <c r="R353" i="41"/>
  <c r="S353" i="41"/>
  <c r="J354" i="41"/>
  <c r="K354" i="41"/>
  <c r="L354" i="41"/>
  <c r="M354" i="41"/>
  <c r="N354" i="41"/>
  <c r="O354" i="41"/>
  <c r="P354" i="41"/>
  <c r="Q354" i="41"/>
  <c r="R354" i="41"/>
  <c r="S354" i="41"/>
  <c r="J355" i="41"/>
  <c r="K355" i="41"/>
  <c r="L355" i="41"/>
  <c r="M355" i="41"/>
  <c r="N355" i="41"/>
  <c r="O355" i="41"/>
  <c r="P355" i="41"/>
  <c r="Q355" i="41"/>
  <c r="R355" i="41"/>
  <c r="S355" i="41"/>
  <c r="J356" i="41"/>
  <c r="K356" i="41"/>
  <c r="L356" i="41"/>
  <c r="M356" i="41"/>
  <c r="N356" i="41"/>
  <c r="O356" i="41"/>
  <c r="P356" i="41"/>
  <c r="Q356" i="41"/>
  <c r="R356" i="41"/>
  <c r="S356" i="41"/>
  <c r="J357" i="41"/>
  <c r="K357" i="41"/>
  <c r="L357" i="41"/>
  <c r="M357" i="41"/>
  <c r="N357" i="41"/>
  <c r="O357" i="41"/>
  <c r="P357" i="41"/>
  <c r="Q357" i="41"/>
  <c r="R357" i="41"/>
  <c r="S357" i="41"/>
  <c r="J358" i="41"/>
  <c r="K358" i="41"/>
  <c r="L358" i="41"/>
  <c r="M358" i="41"/>
  <c r="N358" i="41"/>
  <c r="O358" i="41"/>
  <c r="P358" i="41"/>
  <c r="Q358" i="41"/>
  <c r="R358" i="41"/>
  <c r="S358" i="41"/>
  <c r="J359" i="41"/>
  <c r="K359" i="41"/>
  <c r="L359" i="41"/>
  <c r="M359" i="41"/>
  <c r="N359" i="41"/>
  <c r="O359" i="41"/>
  <c r="P359" i="41"/>
  <c r="Q359" i="41"/>
  <c r="R359" i="41"/>
  <c r="S359" i="41"/>
  <c r="J360" i="41"/>
  <c r="K360" i="41"/>
  <c r="L360" i="41"/>
  <c r="M360" i="41"/>
  <c r="N360" i="41"/>
  <c r="O360" i="41"/>
  <c r="P360" i="41"/>
  <c r="Q360" i="41"/>
  <c r="R360" i="41"/>
  <c r="S360" i="41"/>
  <c r="J361" i="41"/>
  <c r="K361" i="41"/>
  <c r="L361" i="41"/>
  <c r="M361" i="41"/>
  <c r="N361" i="41"/>
  <c r="O361" i="41"/>
  <c r="P361" i="41"/>
  <c r="Q361" i="41"/>
  <c r="R361" i="41"/>
  <c r="S361" i="41"/>
  <c r="J362" i="41"/>
  <c r="K362" i="41"/>
  <c r="L362" i="41"/>
  <c r="M362" i="41"/>
  <c r="N362" i="41"/>
  <c r="O362" i="41"/>
  <c r="P362" i="41"/>
  <c r="Q362" i="41"/>
  <c r="R362" i="41"/>
  <c r="S362" i="41"/>
  <c r="J363" i="41"/>
  <c r="K363" i="41"/>
  <c r="L363" i="41"/>
  <c r="M363" i="41"/>
  <c r="N363" i="41"/>
  <c r="O363" i="41"/>
  <c r="P363" i="41"/>
  <c r="Q363" i="41"/>
  <c r="R363" i="41"/>
  <c r="S363" i="41"/>
  <c r="J364" i="41"/>
  <c r="K364" i="41"/>
  <c r="L364" i="41"/>
  <c r="M364" i="41"/>
  <c r="N364" i="41"/>
  <c r="O364" i="41"/>
  <c r="P364" i="41"/>
  <c r="Q364" i="41"/>
  <c r="R364" i="41"/>
  <c r="S364" i="41"/>
  <c r="J365" i="41"/>
  <c r="K365" i="41"/>
  <c r="L365" i="41"/>
  <c r="M365" i="41"/>
  <c r="N365" i="41"/>
  <c r="O365" i="41"/>
  <c r="P365" i="41"/>
  <c r="Q365" i="41"/>
  <c r="R365" i="41"/>
  <c r="S365" i="41"/>
  <c r="J366" i="41"/>
  <c r="K366" i="41"/>
  <c r="L366" i="41"/>
  <c r="M366" i="41"/>
  <c r="N366" i="41"/>
  <c r="O366" i="41"/>
  <c r="P366" i="41"/>
  <c r="Q366" i="41"/>
  <c r="R366" i="41"/>
  <c r="S366" i="41"/>
  <c r="J367" i="41"/>
  <c r="K367" i="41"/>
  <c r="L367" i="41"/>
  <c r="M367" i="41"/>
  <c r="N367" i="41"/>
  <c r="O367" i="41"/>
  <c r="P367" i="41"/>
  <c r="Q367" i="41"/>
  <c r="R367" i="41"/>
  <c r="S367" i="41"/>
  <c r="J368" i="41"/>
  <c r="K368" i="41"/>
  <c r="L368" i="41"/>
  <c r="M368" i="41"/>
  <c r="N368" i="41"/>
  <c r="O368" i="41"/>
  <c r="P368" i="41"/>
  <c r="Q368" i="41"/>
  <c r="R368" i="41"/>
  <c r="S368" i="41"/>
  <c r="J369" i="41"/>
  <c r="K369" i="41"/>
  <c r="L369" i="41"/>
  <c r="M369" i="41"/>
  <c r="N369" i="41"/>
  <c r="O369" i="41"/>
  <c r="P369" i="41"/>
  <c r="Q369" i="41"/>
  <c r="R369" i="41"/>
  <c r="S369" i="41"/>
  <c r="J370" i="41"/>
  <c r="K370" i="41"/>
  <c r="L370" i="41"/>
  <c r="M370" i="41"/>
  <c r="N370" i="41"/>
  <c r="O370" i="41"/>
  <c r="P370" i="41"/>
  <c r="Q370" i="41"/>
  <c r="R370" i="41"/>
  <c r="S370" i="41"/>
  <c r="J371" i="41"/>
  <c r="K371" i="41"/>
  <c r="L371" i="41"/>
  <c r="M371" i="41"/>
  <c r="N371" i="41"/>
  <c r="O371" i="41"/>
  <c r="P371" i="41"/>
  <c r="Q371" i="41"/>
  <c r="R371" i="41"/>
  <c r="S371" i="41"/>
  <c r="J372" i="41"/>
  <c r="K372" i="41"/>
  <c r="L372" i="41"/>
  <c r="M372" i="41"/>
  <c r="N372" i="41"/>
  <c r="O372" i="41"/>
  <c r="P372" i="41"/>
  <c r="Q372" i="41"/>
  <c r="R372" i="41"/>
  <c r="S372" i="41"/>
  <c r="J373" i="41"/>
  <c r="K373" i="41"/>
  <c r="L373" i="41"/>
  <c r="M373" i="41"/>
  <c r="N373" i="41"/>
  <c r="O373" i="41"/>
  <c r="P373" i="41"/>
  <c r="Q373" i="41"/>
  <c r="R373" i="41"/>
  <c r="S373" i="41"/>
  <c r="J374" i="41"/>
  <c r="K374" i="41"/>
  <c r="L374" i="41"/>
  <c r="M374" i="41"/>
  <c r="N374" i="41"/>
  <c r="O374" i="41"/>
  <c r="P374" i="41"/>
  <c r="Q374" i="41"/>
  <c r="R374" i="41"/>
  <c r="S374" i="41"/>
  <c r="J375" i="41"/>
  <c r="K375" i="41"/>
  <c r="L375" i="41"/>
  <c r="M375" i="41"/>
  <c r="N375" i="41"/>
  <c r="O375" i="41"/>
  <c r="P375" i="41"/>
  <c r="Q375" i="41"/>
  <c r="R375" i="41"/>
  <c r="S375" i="41"/>
  <c r="J376" i="41"/>
  <c r="K376" i="41"/>
  <c r="L376" i="41"/>
  <c r="M376" i="41"/>
  <c r="N376" i="41"/>
  <c r="O376" i="41"/>
  <c r="P376" i="41"/>
  <c r="Q376" i="41"/>
  <c r="R376" i="41"/>
  <c r="S376" i="41"/>
  <c r="J377" i="41"/>
  <c r="K377" i="41"/>
  <c r="L377" i="41"/>
  <c r="M377" i="41"/>
  <c r="N377" i="41"/>
  <c r="O377" i="41"/>
  <c r="P377" i="41"/>
  <c r="Q377" i="41"/>
  <c r="R377" i="41"/>
  <c r="S377" i="41"/>
  <c r="J378" i="41"/>
  <c r="K378" i="41"/>
  <c r="L378" i="41"/>
  <c r="M378" i="41"/>
  <c r="N378" i="41"/>
  <c r="O378" i="41"/>
  <c r="P378" i="41"/>
  <c r="Q378" i="41"/>
  <c r="R378" i="41"/>
  <c r="S378" i="41"/>
  <c r="J379" i="41"/>
  <c r="K379" i="41"/>
  <c r="L379" i="41"/>
  <c r="M379" i="41"/>
  <c r="N379" i="41"/>
  <c r="O379" i="41"/>
  <c r="P379" i="41"/>
  <c r="Q379" i="41"/>
  <c r="R379" i="41"/>
  <c r="S379" i="41"/>
  <c r="J380" i="41"/>
  <c r="K380" i="41"/>
  <c r="L380" i="41"/>
  <c r="M380" i="41"/>
  <c r="N380" i="41"/>
  <c r="O380" i="41"/>
  <c r="P380" i="41"/>
  <c r="Q380" i="41"/>
  <c r="R380" i="41"/>
  <c r="S380" i="41"/>
  <c r="J381" i="41"/>
  <c r="K381" i="41"/>
  <c r="L381" i="41"/>
  <c r="M381" i="41"/>
  <c r="N381" i="41"/>
  <c r="O381" i="41"/>
  <c r="P381" i="41"/>
  <c r="Q381" i="41"/>
  <c r="R381" i="41"/>
  <c r="S381" i="41"/>
  <c r="J382" i="41"/>
  <c r="K382" i="41"/>
  <c r="L382" i="41"/>
  <c r="M382" i="41"/>
  <c r="N382" i="41"/>
  <c r="O382" i="41"/>
  <c r="P382" i="41"/>
  <c r="Q382" i="41"/>
  <c r="R382" i="41"/>
  <c r="S382" i="41"/>
  <c r="J383" i="41"/>
  <c r="K383" i="41"/>
  <c r="L383" i="41"/>
  <c r="M383" i="41"/>
  <c r="N383" i="41"/>
  <c r="O383" i="41"/>
  <c r="P383" i="41"/>
  <c r="Q383" i="41"/>
  <c r="R383" i="41"/>
  <c r="S383" i="41"/>
  <c r="J384" i="41"/>
  <c r="K384" i="41"/>
  <c r="L384" i="41"/>
  <c r="M384" i="41"/>
  <c r="N384" i="41"/>
  <c r="O384" i="41"/>
  <c r="P384" i="41"/>
  <c r="Q384" i="41"/>
  <c r="R384" i="41"/>
  <c r="S384" i="41"/>
  <c r="J385" i="41"/>
  <c r="K385" i="41"/>
  <c r="L385" i="41"/>
  <c r="M385" i="41"/>
  <c r="N385" i="41"/>
  <c r="O385" i="41"/>
  <c r="P385" i="41"/>
  <c r="Q385" i="41"/>
  <c r="R385" i="41"/>
  <c r="S385" i="41"/>
  <c r="J386" i="41"/>
  <c r="K386" i="41"/>
  <c r="L386" i="41"/>
  <c r="M386" i="41"/>
  <c r="N386" i="41"/>
  <c r="O386" i="41"/>
  <c r="P386" i="41"/>
  <c r="Q386" i="41"/>
  <c r="R386" i="41"/>
  <c r="S386" i="41"/>
  <c r="J387" i="41"/>
  <c r="K387" i="41"/>
  <c r="L387" i="41"/>
  <c r="M387" i="41"/>
  <c r="N387" i="41"/>
  <c r="O387" i="41"/>
  <c r="P387" i="41"/>
  <c r="Q387" i="41"/>
  <c r="R387" i="41"/>
  <c r="S387" i="41"/>
  <c r="J388" i="41"/>
  <c r="K388" i="41"/>
  <c r="L388" i="41"/>
  <c r="M388" i="41"/>
  <c r="N388" i="41"/>
  <c r="O388" i="41"/>
  <c r="P388" i="41"/>
  <c r="Q388" i="41"/>
  <c r="R388" i="41"/>
  <c r="S388" i="41"/>
  <c r="J389" i="41"/>
  <c r="K389" i="41"/>
  <c r="L389" i="41"/>
  <c r="M389" i="41"/>
  <c r="N389" i="41"/>
  <c r="O389" i="41"/>
  <c r="P389" i="41"/>
  <c r="Q389" i="41"/>
  <c r="R389" i="41"/>
  <c r="S389" i="41"/>
  <c r="J390" i="41"/>
  <c r="K390" i="41"/>
  <c r="L390" i="41"/>
  <c r="M390" i="41"/>
  <c r="N390" i="41"/>
  <c r="O390" i="41"/>
  <c r="P390" i="41"/>
  <c r="Q390" i="41"/>
  <c r="R390" i="41"/>
  <c r="S390" i="41"/>
  <c r="J391" i="41"/>
  <c r="K391" i="41"/>
  <c r="L391" i="41"/>
  <c r="M391" i="41"/>
  <c r="N391" i="41"/>
  <c r="O391" i="41"/>
  <c r="P391" i="41"/>
  <c r="Q391" i="41"/>
  <c r="R391" i="41"/>
  <c r="S391" i="41"/>
  <c r="J392" i="41"/>
  <c r="K392" i="41"/>
  <c r="L392" i="41"/>
  <c r="M392" i="41"/>
  <c r="N392" i="41"/>
  <c r="O392" i="41"/>
  <c r="P392" i="41"/>
  <c r="Q392" i="41"/>
  <c r="R392" i="41"/>
  <c r="S392" i="41"/>
  <c r="J393" i="41"/>
  <c r="K393" i="41"/>
  <c r="L393" i="41"/>
  <c r="M393" i="41"/>
  <c r="N393" i="41"/>
  <c r="O393" i="41"/>
  <c r="P393" i="41"/>
  <c r="Q393" i="41"/>
  <c r="R393" i="41"/>
  <c r="S393" i="41"/>
  <c r="J394" i="41"/>
  <c r="K394" i="41"/>
  <c r="L394" i="41"/>
  <c r="M394" i="41"/>
  <c r="N394" i="41"/>
  <c r="O394" i="41"/>
  <c r="P394" i="41"/>
  <c r="Q394" i="41"/>
  <c r="R394" i="41"/>
  <c r="S394" i="41"/>
  <c r="J395" i="41"/>
  <c r="K395" i="41"/>
  <c r="L395" i="41"/>
  <c r="M395" i="41"/>
  <c r="N395" i="41"/>
  <c r="O395" i="41"/>
  <c r="P395" i="41"/>
  <c r="Q395" i="41"/>
  <c r="R395" i="41"/>
  <c r="S395" i="41"/>
  <c r="J396" i="41"/>
  <c r="K396" i="41"/>
  <c r="L396" i="41"/>
  <c r="M396" i="41"/>
  <c r="N396" i="41"/>
  <c r="O396" i="41"/>
  <c r="P396" i="41"/>
  <c r="Q396" i="41"/>
  <c r="R396" i="41"/>
  <c r="S396" i="41"/>
  <c r="J397" i="41"/>
  <c r="K397" i="41"/>
  <c r="L397" i="41"/>
  <c r="M397" i="41"/>
  <c r="N397" i="41"/>
  <c r="O397" i="41"/>
  <c r="P397" i="41"/>
  <c r="Q397" i="41"/>
  <c r="R397" i="41"/>
  <c r="S397" i="41"/>
  <c r="J398" i="41"/>
  <c r="K398" i="41"/>
  <c r="L398" i="41"/>
  <c r="M398" i="41"/>
  <c r="N398" i="41"/>
  <c r="O398" i="41"/>
  <c r="P398" i="41"/>
  <c r="Q398" i="41"/>
  <c r="R398" i="41"/>
  <c r="S398" i="41"/>
  <c r="J399" i="41"/>
  <c r="K399" i="41"/>
  <c r="L399" i="41"/>
  <c r="M399" i="41"/>
  <c r="N399" i="41"/>
  <c r="O399" i="41"/>
  <c r="P399" i="41"/>
  <c r="Q399" i="41"/>
  <c r="R399" i="41"/>
  <c r="S399" i="41"/>
  <c r="J400" i="41"/>
  <c r="K400" i="41"/>
  <c r="L400" i="41"/>
  <c r="M400" i="41"/>
  <c r="N400" i="41"/>
  <c r="O400" i="41"/>
  <c r="P400" i="41"/>
  <c r="Q400" i="41"/>
  <c r="R400" i="41"/>
  <c r="S400" i="41"/>
  <c r="J401" i="41"/>
  <c r="K401" i="41"/>
  <c r="L401" i="41"/>
  <c r="M401" i="41"/>
  <c r="N401" i="41"/>
  <c r="O401" i="41"/>
  <c r="P401" i="41"/>
  <c r="Q401" i="41"/>
  <c r="R401" i="41"/>
  <c r="S401" i="41"/>
  <c r="J402" i="41"/>
  <c r="K402" i="41"/>
  <c r="L402" i="41"/>
  <c r="M402" i="41"/>
  <c r="N402" i="41"/>
  <c r="O402" i="41"/>
  <c r="P402" i="41"/>
  <c r="Q402" i="41"/>
  <c r="R402" i="41"/>
  <c r="S402" i="41"/>
  <c r="J403" i="41"/>
  <c r="K403" i="41"/>
  <c r="L403" i="41"/>
  <c r="M403" i="41"/>
  <c r="N403" i="41"/>
  <c r="O403" i="41"/>
  <c r="P403" i="41"/>
  <c r="Q403" i="41"/>
  <c r="R403" i="41"/>
  <c r="S403" i="41"/>
  <c r="J404" i="41"/>
  <c r="K404" i="41"/>
  <c r="L404" i="41"/>
  <c r="M404" i="41"/>
  <c r="N404" i="41"/>
  <c r="O404" i="41"/>
  <c r="P404" i="41"/>
  <c r="Q404" i="41"/>
  <c r="R404" i="41"/>
  <c r="S404" i="41"/>
  <c r="J405" i="41"/>
  <c r="K405" i="41"/>
  <c r="L405" i="41"/>
  <c r="M405" i="41"/>
  <c r="N405" i="41"/>
  <c r="O405" i="41"/>
  <c r="P405" i="41"/>
  <c r="Q405" i="41"/>
  <c r="R405" i="41"/>
  <c r="S405" i="41"/>
  <c r="J406" i="41"/>
  <c r="K406" i="41"/>
  <c r="L406" i="41"/>
  <c r="M406" i="41"/>
  <c r="N406" i="41"/>
  <c r="O406" i="41"/>
  <c r="P406" i="41"/>
  <c r="Q406" i="41"/>
  <c r="R406" i="41"/>
  <c r="S406" i="41"/>
  <c r="J407" i="41"/>
  <c r="K407" i="41"/>
  <c r="L407" i="41"/>
  <c r="M407" i="41"/>
  <c r="N407" i="41"/>
  <c r="O407" i="41"/>
  <c r="P407" i="41"/>
  <c r="Q407" i="41"/>
  <c r="R407" i="41"/>
  <c r="S407" i="41"/>
  <c r="J408" i="41"/>
  <c r="K408" i="41"/>
  <c r="L408" i="41"/>
  <c r="M408" i="41"/>
  <c r="N408" i="41"/>
  <c r="O408" i="41"/>
  <c r="P408" i="41"/>
  <c r="Q408" i="41"/>
  <c r="R408" i="41"/>
  <c r="S408" i="41"/>
  <c r="J409" i="41"/>
  <c r="K409" i="41"/>
  <c r="L409" i="41"/>
  <c r="M409" i="41"/>
  <c r="N409" i="41"/>
  <c r="O409" i="41"/>
  <c r="P409" i="41"/>
  <c r="Q409" i="41"/>
  <c r="R409" i="41"/>
  <c r="S409" i="41"/>
  <c r="J410" i="41"/>
  <c r="K410" i="41"/>
  <c r="L410" i="41"/>
  <c r="M410" i="41"/>
  <c r="N410" i="41"/>
  <c r="O410" i="41"/>
  <c r="P410" i="41"/>
  <c r="Q410" i="41"/>
  <c r="R410" i="41"/>
  <c r="S410" i="41"/>
  <c r="J411" i="41"/>
  <c r="K411" i="41"/>
  <c r="L411" i="41"/>
  <c r="M411" i="41"/>
  <c r="N411" i="41"/>
  <c r="O411" i="41"/>
  <c r="P411" i="41"/>
  <c r="Q411" i="41"/>
  <c r="R411" i="41"/>
  <c r="S411" i="41"/>
  <c r="J412" i="41"/>
  <c r="K412" i="41"/>
  <c r="L412" i="41"/>
  <c r="M412" i="41"/>
  <c r="N412" i="41"/>
  <c r="O412" i="41"/>
  <c r="P412" i="41"/>
  <c r="Q412" i="41"/>
  <c r="R412" i="41"/>
  <c r="S412" i="41"/>
  <c r="J413" i="41"/>
  <c r="K413" i="41"/>
  <c r="L413" i="41"/>
  <c r="M413" i="41"/>
  <c r="N413" i="41"/>
  <c r="O413" i="41"/>
  <c r="P413" i="41"/>
  <c r="Q413" i="41"/>
  <c r="R413" i="41"/>
  <c r="S413" i="41"/>
  <c r="J414" i="41"/>
  <c r="K414" i="41"/>
  <c r="L414" i="41"/>
  <c r="M414" i="41"/>
  <c r="N414" i="41"/>
  <c r="O414" i="41"/>
  <c r="P414" i="41"/>
  <c r="Q414" i="41"/>
  <c r="R414" i="41"/>
  <c r="S414" i="41"/>
  <c r="J415" i="41"/>
  <c r="K415" i="41"/>
  <c r="L415" i="41"/>
  <c r="M415" i="41"/>
  <c r="N415" i="41"/>
  <c r="O415" i="41"/>
  <c r="P415" i="41"/>
  <c r="Q415" i="41"/>
  <c r="R415" i="41"/>
  <c r="S415" i="41"/>
  <c r="J416" i="41"/>
  <c r="K416" i="41"/>
  <c r="L416" i="41"/>
  <c r="M416" i="41"/>
  <c r="N416" i="41"/>
  <c r="O416" i="41"/>
  <c r="P416" i="41"/>
  <c r="Q416" i="41"/>
  <c r="R416" i="41"/>
  <c r="S416" i="41"/>
  <c r="J417" i="41"/>
  <c r="K417" i="41"/>
  <c r="L417" i="41"/>
  <c r="M417" i="41"/>
  <c r="N417" i="41"/>
  <c r="O417" i="41"/>
  <c r="P417" i="41"/>
  <c r="Q417" i="41"/>
  <c r="R417" i="41"/>
  <c r="S417" i="41"/>
  <c r="J418" i="41"/>
  <c r="K418" i="41"/>
  <c r="L418" i="41"/>
  <c r="M418" i="41"/>
  <c r="N418" i="41"/>
  <c r="O418" i="41"/>
  <c r="P418" i="41"/>
  <c r="Q418" i="41"/>
  <c r="R418" i="41"/>
  <c r="S418" i="41"/>
  <c r="J419" i="41"/>
  <c r="K419" i="41"/>
  <c r="L419" i="41"/>
  <c r="M419" i="41"/>
  <c r="N419" i="41"/>
  <c r="O419" i="41"/>
  <c r="P419" i="41"/>
  <c r="Q419" i="41"/>
  <c r="R419" i="41"/>
  <c r="S419" i="41"/>
  <c r="J420" i="41"/>
  <c r="K420" i="41"/>
  <c r="L420" i="41"/>
  <c r="M420" i="41"/>
  <c r="N420" i="41"/>
  <c r="O420" i="41"/>
  <c r="P420" i="41"/>
  <c r="Q420" i="41"/>
  <c r="R420" i="41"/>
  <c r="S420" i="41"/>
  <c r="J421" i="41"/>
  <c r="K421" i="41"/>
  <c r="L421" i="41"/>
  <c r="M421" i="41"/>
  <c r="N421" i="41"/>
  <c r="O421" i="41"/>
  <c r="P421" i="41"/>
  <c r="Q421" i="41"/>
  <c r="R421" i="41"/>
  <c r="S421" i="41"/>
  <c r="J422" i="41"/>
  <c r="K422" i="41"/>
  <c r="L422" i="41"/>
  <c r="M422" i="41"/>
  <c r="N422" i="41"/>
  <c r="O422" i="41"/>
  <c r="P422" i="41"/>
  <c r="Q422" i="41"/>
  <c r="R422" i="41"/>
  <c r="S422" i="41"/>
  <c r="J423" i="41"/>
  <c r="K423" i="41"/>
  <c r="L423" i="41"/>
  <c r="M423" i="41"/>
  <c r="N423" i="41"/>
  <c r="O423" i="41"/>
  <c r="P423" i="41"/>
  <c r="Q423" i="41"/>
  <c r="R423" i="41"/>
  <c r="S423" i="41"/>
  <c r="J424" i="41"/>
  <c r="K424" i="41"/>
  <c r="L424" i="41"/>
  <c r="M424" i="41"/>
  <c r="N424" i="41"/>
  <c r="O424" i="41"/>
  <c r="P424" i="41"/>
  <c r="Q424" i="41"/>
  <c r="R424" i="41"/>
  <c r="S424" i="41"/>
  <c r="J425" i="41"/>
  <c r="K425" i="41"/>
  <c r="L425" i="41"/>
  <c r="M425" i="41"/>
  <c r="N425" i="41"/>
  <c r="O425" i="41"/>
  <c r="P425" i="41"/>
  <c r="Q425" i="41"/>
  <c r="R425" i="41"/>
  <c r="S425" i="41"/>
  <c r="J426" i="41"/>
  <c r="K426" i="41"/>
  <c r="L426" i="41"/>
  <c r="M426" i="41"/>
  <c r="N426" i="41"/>
  <c r="O426" i="41"/>
  <c r="P426" i="41"/>
  <c r="Q426" i="41"/>
  <c r="R426" i="41"/>
  <c r="S426" i="41"/>
  <c r="J427" i="41"/>
  <c r="K427" i="41"/>
  <c r="L427" i="41"/>
  <c r="M427" i="41"/>
  <c r="N427" i="41"/>
  <c r="O427" i="41"/>
  <c r="P427" i="41"/>
  <c r="Q427" i="41"/>
  <c r="R427" i="41"/>
  <c r="S427" i="41"/>
  <c r="J428" i="41"/>
  <c r="K428" i="41"/>
  <c r="L428" i="41"/>
  <c r="M428" i="41"/>
  <c r="N428" i="41"/>
  <c r="O428" i="41"/>
  <c r="P428" i="41"/>
  <c r="Q428" i="41"/>
  <c r="R428" i="41"/>
  <c r="S428" i="41"/>
  <c r="J429" i="41"/>
  <c r="K429" i="41"/>
  <c r="L429" i="41"/>
  <c r="M429" i="41"/>
  <c r="N429" i="41"/>
  <c r="O429" i="41"/>
  <c r="P429" i="41"/>
  <c r="Q429" i="41"/>
  <c r="R429" i="41"/>
  <c r="S429" i="41"/>
  <c r="J430" i="41"/>
  <c r="K430" i="41"/>
  <c r="L430" i="41"/>
  <c r="M430" i="41"/>
  <c r="N430" i="41"/>
  <c r="O430" i="41"/>
  <c r="P430" i="41"/>
  <c r="Q430" i="41"/>
  <c r="R430" i="41"/>
  <c r="S430" i="41"/>
  <c r="J431" i="41"/>
  <c r="K431" i="41"/>
  <c r="L431" i="41"/>
  <c r="M431" i="41"/>
  <c r="N431" i="41"/>
  <c r="O431" i="41"/>
  <c r="P431" i="41"/>
  <c r="Q431" i="41"/>
  <c r="R431" i="41"/>
  <c r="S431" i="41"/>
  <c r="J432" i="41"/>
  <c r="K432" i="41"/>
  <c r="L432" i="41"/>
  <c r="M432" i="41"/>
  <c r="N432" i="41"/>
  <c r="O432" i="41"/>
  <c r="P432" i="41"/>
  <c r="Q432" i="41"/>
  <c r="R432" i="41"/>
  <c r="S432" i="41"/>
  <c r="J433" i="41"/>
  <c r="K433" i="41"/>
  <c r="L433" i="41"/>
  <c r="M433" i="41"/>
  <c r="N433" i="41"/>
  <c r="O433" i="41"/>
  <c r="P433" i="41"/>
  <c r="Q433" i="41"/>
  <c r="R433" i="41"/>
  <c r="S433" i="41"/>
  <c r="J434" i="41"/>
  <c r="K434" i="41"/>
  <c r="L434" i="41"/>
  <c r="M434" i="41"/>
  <c r="N434" i="41"/>
  <c r="O434" i="41"/>
  <c r="P434" i="41"/>
  <c r="Q434" i="41"/>
  <c r="R434" i="41"/>
  <c r="S434" i="41"/>
  <c r="J435" i="41"/>
  <c r="K435" i="41"/>
  <c r="L435" i="41"/>
  <c r="M435" i="41"/>
  <c r="N435" i="41"/>
  <c r="O435" i="41"/>
  <c r="P435" i="41"/>
  <c r="Q435" i="41"/>
  <c r="R435" i="41"/>
  <c r="S435" i="41"/>
  <c r="J436" i="41"/>
  <c r="K436" i="41"/>
  <c r="L436" i="41"/>
  <c r="M436" i="41"/>
  <c r="N436" i="41"/>
  <c r="O436" i="41"/>
  <c r="P436" i="41"/>
  <c r="Q436" i="41"/>
  <c r="R436" i="41"/>
  <c r="S436" i="41"/>
  <c r="J437" i="41"/>
  <c r="K437" i="41"/>
  <c r="L437" i="41"/>
  <c r="M437" i="41"/>
  <c r="N437" i="41"/>
  <c r="O437" i="41"/>
  <c r="P437" i="41"/>
  <c r="Q437" i="41"/>
  <c r="R437" i="41"/>
  <c r="S437" i="41"/>
  <c r="J438" i="41"/>
  <c r="K438" i="41"/>
  <c r="L438" i="41"/>
  <c r="M438" i="41"/>
  <c r="N438" i="41"/>
  <c r="O438" i="41"/>
  <c r="P438" i="41"/>
  <c r="Q438" i="41"/>
  <c r="R438" i="41"/>
  <c r="S438" i="41"/>
  <c r="J439" i="41"/>
  <c r="K439" i="41"/>
  <c r="L439" i="41"/>
  <c r="M439" i="41"/>
  <c r="N439" i="41"/>
  <c r="O439" i="41"/>
  <c r="P439" i="41"/>
  <c r="Q439" i="41"/>
  <c r="R439" i="41"/>
  <c r="S439" i="41"/>
  <c r="J440" i="41"/>
  <c r="K440" i="41"/>
  <c r="L440" i="41"/>
  <c r="M440" i="41"/>
  <c r="N440" i="41"/>
  <c r="O440" i="41"/>
  <c r="P440" i="41"/>
  <c r="Q440" i="41"/>
  <c r="R440" i="41"/>
  <c r="S440" i="41"/>
  <c r="J441" i="41"/>
  <c r="K441" i="41"/>
  <c r="L441" i="41"/>
  <c r="M441" i="41"/>
  <c r="N441" i="41"/>
  <c r="O441" i="41"/>
  <c r="P441" i="41"/>
  <c r="Q441" i="41"/>
  <c r="R441" i="41"/>
  <c r="S441" i="41"/>
  <c r="J442" i="41"/>
  <c r="K442" i="41"/>
  <c r="L442" i="41"/>
  <c r="M442" i="41"/>
  <c r="N442" i="41"/>
  <c r="O442" i="41"/>
  <c r="P442" i="41"/>
  <c r="Q442" i="41"/>
  <c r="R442" i="41"/>
  <c r="S442" i="41"/>
  <c r="J443" i="41"/>
  <c r="K443" i="41"/>
  <c r="L443" i="41"/>
  <c r="M443" i="41"/>
  <c r="N443" i="41"/>
  <c r="O443" i="41"/>
  <c r="P443" i="41"/>
  <c r="Q443" i="41"/>
  <c r="R443" i="41"/>
  <c r="S443" i="41"/>
  <c r="J444" i="41"/>
  <c r="K444" i="41"/>
  <c r="L444" i="41"/>
  <c r="M444" i="41"/>
  <c r="N444" i="41"/>
  <c r="O444" i="41"/>
  <c r="P444" i="41"/>
  <c r="Q444" i="41"/>
  <c r="R444" i="41"/>
  <c r="S444" i="41"/>
  <c r="J445" i="41"/>
  <c r="K445" i="41"/>
  <c r="L445" i="41"/>
  <c r="M445" i="41"/>
  <c r="N445" i="41"/>
  <c r="O445" i="41"/>
  <c r="P445" i="41"/>
  <c r="Q445" i="41"/>
  <c r="R445" i="41"/>
  <c r="S445" i="41"/>
  <c r="J446" i="41"/>
  <c r="K446" i="41"/>
  <c r="L446" i="41"/>
  <c r="M446" i="41"/>
  <c r="N446" i="41"/>
  <c r="O446" i="41"/>
  <c r="P446" i="41"/>
  <c r="Q446" i="41"/>
  <c r="R446" i="41"/>
  <c r="S446" i="41"/>
  <c r="J447" i="41"/>
  <c r="K447" i="41"/>
  <c r="L447" i="41"/>
  <c r="M447" i="41"/>
  <c r="N447" i="41"/>
  <c r="O447" i="41"/>
  <c r="P447" i="41"/>
  <c r="Q447" i="41"/>
  <c r="R447" i="41"/>
  <c r="S447" i="41"/>
  <c r="J448" i="41"/>
  <c r="K448" i="41"/>
  <c r="L448" i="41"/>
  <c r="M448" i="41"/>
  <c r="N448" i="41"/>
  <c r="O448" i="41"/>
  <c r="P448" i="41"/>
  <c r="Q448" i="41"/>
  <c r="R448" i="41"/>
  <c r="S448" i="41"/>
  <c r="J449" i="41"/>
  <c r="K449" i="41"/>
  <c r="L449" i="41"/>
  <c r="M449" i="41"/>
  <c r="N449" i="41"/>
  <c r="O449" i="41"/>
  <c r="P449" i="41"/>
  <c r="Q449" i="41"/>
  <c r="R449" i="41"/>
  <c r="S449" i="41"/>
  <c r="J450" i="41"/>
  <c r="K450" i="41"/>
  <c r="L450" i="41"/>
  <c r="M450" i="41"/>
  <c r="N450" i="41"/>
  <c r="O450" i="41"/>
  <c r="P450" i="41"/>
  <c r="Q450" i="41"/>
  <c r="R450" i="41"/>
  <c r="S450" i="41"/>
  <c r="J451" i="41"/>
  <c r="K451" i="41"/>
  <c r="L451" i="41"/>
  <c r="M451" i="41"/>
  <c r="N451" i="41"/>
  <c r="O451" i="41"/>
  <c r="P451" i="41"/>
  <c r="Q451" i="41"/>
  <c r="R451" i="41"/>
  <c r="S451" i="41"/>
  <c r="J452" i="41"/>
  <c r="K452" i="41"/>
  <c r="L452" i="41"/>
  <c r="M452" i="41"/>
  <c r="N452" i="41"/>
  <c r="O452" i="41"/>
  <c r="P452" i="41"/>
  <c r="Q452" i="41"/>
  <c r="R452" i="41"/>
  <c r="S452" i="41"/>
  <c r="J453" i="41"/>
  <c r="K453" i="41"/>
  <c r="L453" i="41"/>
  <c r="M453" i="41"/>
  <c r="N453" i="41"/>
  <c r="O453" i="41"/>
  <c r="P453" i="41"/>
  <c r="Q453" i="41"/>
  <c r="R453" i="41"/>
  <c r="S453" i="41"/>
  <c r="J454" i="41"/>
  <c r="K454" i="41"/>
  <c r="L454" i="41"/>
  <c r="M454" i="41"/>
  <c r="N454" i="41"/>
  <c r="O454" i="41"/>
  <c r="P454" i="41"/>
  <c r="Q454" i="41"/>
  <c r="R454" i="41"/>
  <c r="S454" i="41"/>
  <c r="J455" i="41"/>
  <c r="K455" i="41"/>
  <c r="L455" i="41"/>
  <c r="M455" i="41"/>
  <c r="N455" i="41"/>
  <c r="O455" i="41"/>
  <c r="P455" i="41"/>
  <c r="Q455" i="41"/>
  <c r="R455" i="41"/>
  <c r="S455" i="41"/>
  <c r="J456" i="41"/>
  <c r="K456" i="41"/>
  <c r="L456" i="41"/>
  <c r="M456" i="41"/>
  <c r="N456" i="41"/>
  <c r="O456" i="41"/>
  <c r="P456" i="41"/>
  <c r="Q456" i="41"/>
  <c r="R456" i="41"/>
  <c r="S456" i="41"/>
  <c r="J457" i="41"/>
  <c r="K457" i="41"/>
  <c r="L457" i="41"/>
  <c r="M457" i="41"/>
  <c r="N457" i="41"/>
  <c r="O457" i="41"/>
  <c r="P457" i="41"/>
  <c r="Q457" i="41"/>
  <c r="R457" i="41"/>
  <c r="S457" i="41"/>
  <c r="J458" i="41"/>
  <c r="K458" i="41"/>
  <c r="L458" i="41"/>
  <c r="M458" i="41"/>
  <c r="N458" i="41"/>
  <c r="O458" i="41"/>
  <c r="P458" i="41"/>
  <c r="Q458" i="41"/>
  <c r="R458" i="41"/>
  <c r="S458" i="41"/>
  <c r="J459" i="41"/>
  <c r="K459" i="41"/>
  <c r="L459" i="41"/>
  <c r="M459" i="41"/>
  <c r="N459" i="41"/>
  <c r="O459" i="41"/>
  <c r="P459" i="41"/>
  <c r="Q459" i="41"/>
  <c r="R459" i="41"/>
  <c r="S459" i="41"/>
  <c r="J460" i="41"/>
  <c r="K460" i="41"/>
  <c r="L460" i="41"/>
  <c r="M460" i="41"/>
  <c r="N460" i="41"/>
  <c r="O460" i="41"/>
  <c r="P460" i="41"/>
  <c r="Q460" i="41"/>
  <c r="R460" i="41"/>
  <c r="S460" i="41"/>
  <c r="J461" i="41"/>
  <c r="K461" i="41"/>
  <c r="L461" i="41"/>
  <c r="M461" i="41"/>
  <c r="N461" i="41"/>
  <c r="O461" i="41"/>
  <c r="P461" i="41"/>
  <c r="Q461" i="41"/>
  <c r="R461" i="41"/>
  <c r="S461" i="41"/>
  <c r="J462" i="41"/>
  <c r="K462" i="41"/>
  <c r="L462" i="41"/>
  <c r="M462" i="41"/>
  <c r="N462" i="41"/>
  <c r="O462" i="41"/>
  <c r="P462" i="41"/>
  <c r="Q462" i="41"/>
  <c r="R462" i="41"/>
  <c r="S462" i="41"/>
  <c r="J463" i="41"/>
  <c r="K463" i="41"/>
  <c r="L463" i="41"/>
  <c r="M463" i="41"/>
  <c r="N463" i="41"/>
  <c r="O463" i="41"/>
  <c r="P463" i="41"/>
  <c r="Q463" i="41"/>
  <c r="R463" i="41"/>
  <c r="S463" i="41"/>
  <c r="J464" i="41"/>
  <c r="K464" i="41"/>
  <c r="L464" i="41"/>
  <c r="M464" i="41"/>
  <c r="N464" i="41"/>
  <c r="O464" i="41"/>
  <c r="P464" i="41"/>
  <c r="Q464" i="41"/>
  <c r="R464" i="41"/>
  <c r="S464" i="41"/>
  <c r="J465" i="41"/>
  <c r="K465" i="41"/>
  <c r="L465" i="41"/>
  <c r="M465" i="41"/>
  <c r="N465" i="41"/>
  <c r="O465" i="41"/>
  <c r="P465" i="41"/>
  <c r="Q465" i="41"/>
  <c r="R465" i="41"/>
  <c r="S465" i="41"/>
  <c r="J466" i="41"/>
  <c r="K466" i="41"/>
  <c r="L466" i="41"/>
  <c r="M466" i="41"/>
  <c r="N466" i="41"/>
  <c r="O466" i="41"/>
  <c r="P466" i="41"/>
  <c r="Q466" i="41"/>
  <c r="R466" i="41"/>
  <c r="S466" i="41"/>
  <c r="J467" i="41"/>
  <c r="K467" i="41"/>
  <c r="L467" i="41"/>
  <c r="M467" i="41"/>
  <c r="N467" i="41"/>
  <c r="O467" i="41"/>
  <c r="P467" i="41"/>
  <c r="Q467" i="41"/>
  <c r="R467" i="41"/>
  <c r="S467" i="41"/>
  <c r="J468" i="41"/>
  <c r="K468" i="41"/>
  <c r="L468" i="41"/>
  <c r="M468" i="41"/>
  <c r="N468" i="41"/>
  <c r="O468" i="41"/>
  <c r="P468" i="41"/>
  <c r="Q468" i="41"/>
  <c r="R468" i="41"/>
  <c r="S468" i="41"/>
  <c r="J469" i="41"/>
  <c r="K469" i="41"/>
  <c r="L469" i="41"/>
  <c r="M469" i="41"/>
  <c r="N469" i="41"/>
  <c r="O469" i="41"/>
  <c r="P469" i="41"/>
  <c r="Q469" i="41"/>
  <c r="R469" i="41"/>
  <c r="S469" i="41"/>
  <c r="J470" i="41"/>
  <c r="K470" i="41"/>
  <c r="L470" i="41"/>
  <c r="M470" i="41"/>
  <c r="N470" i="41"/>
  <c r="O470" i="41"/>
  <c r="P470" i="41"/>
  <c r="Q470" i="41"/>
  <c r="R470" i="41"/>
  <c r="S470" i="41"/>
  <c r="J471" i="41"/>
  <c r="K471" i="41"/>
  <c r="L471" i="41"/>
  <c r="M471" i="41"/>
  <c r="N471" i="41"/>
  <c r="O471" i="41"/>
  <c r="P471" i="41"/>
  <c r="Q471" i="41"/>
  <c r="R471" i="41"/>
  <c r="S471" i="41"/>
  <c r="J472" i="41"/>
  <c r="K472" i="41"/>
  <c r="L472" i="41"/>
  <c r="M472" i="41"/>
  <c r="N472" i="41"/>
  <c r="O472" i="41"/>
  <c r="P472" i="41"/>
  <c r="Q472" i="41"/>
  <c r="R472" i="41"/>
  <c r="S472" i="41"/>
  <c r="J473" i="41"/>
  <c r="K473" i="41"/>
  <c r="L473" i="41"/>
  <c r="M473" i="41"/>
  <c r="N473" i="41"/>
  <c r="O473" i="41"/>
  <c r="P473" i="41"/>
  <c r="Q473" i="41"/>
  <c r="R473" i="41"/>
  <c r="S473" i="41"/>
  <c r="J474" i="41"/>
  <c r="K474" i="41"/>
  <c r="L474" i="41"/>
  <c r="M474" i="41"/>
  <c r="N474" i="41"/>
  <c r="O474" i="41"/>
  <c r="P474" i="41"/>
  <c r="Q474" i="41"/>
  <c r="R474" i="41"/>
  <c r="S474" i="41"/>
  <c r="J475" i="41"/>
  <c r="K475" i="41"/>
  <c r="L475" i="41"/>
  <c r="M475" i="41"/>
  <c r="N475" i="41"/>
  <c r="O475" i="41"/>
  <c r="P475" i="41"/>
  <c r="Q475" i="41"/>
  <c r="R475" i="41"/>
  <c r="S475" i="41"/>
  <c r="J476" i="41"/>
  <c r="K476" i="41"/>
  <c r="L476" i="41"/>
  <c r="M476" i="41"/>
  <c r="N476" i="41"/>
  <c r="O476" i="41"/>
  <c r="P476" i="41"/>
  <c r="Q476" i="41"/>
  <c r="R476" i="41"/>
  <c r="S476" i="41"/>
  <c r="J477" i="41"/>
  <c r="K477" i="41"/>
  <c r="L477" i="41"/>
  <c r="M477" i="41"/>
  <c r="N477" i="41"/>
  <c r="O477" i="41"/>
  <c r="P477" i="41"/>
  <c r="Q477" i="41"/>
  <c r="R477" i="41"/>
  <c r="S477" i="41"/>
  <c r="J478" i="41"/>
  <c r="K478" i="41"/>
  <c r="L478" i="41"/>
  <c r="M478" i="41"/>
  <c r="N478" i="41"/>
  <c r="O478" i="41"/>
  <c r="P478" i="41"/>
  <c r="Q478" i="41"/>
  <c r="R478" i="41"/>
  <c r="S478" i="41"/>
  <c r="J479" i="41"/>
  <c r="K479" i="41"/>
  <c r="L479" i="41"/>
  <c r="M479" i="41"/>
  <c r="N479" i="41"/>
  <c r="O479" i="41"/>
  <c r="P479" i="41"/>
  <c r="Q479" i="41"/>
  <c r="R479" i="41"/>
  <c r="S479" i="41"/>
  <c r="J480" i="41"/>
  <c r="K480" i="41"/>
  <c r="L480" i="41"/>
  <c r="M480" i="41"/>
  <c r="N480" i="41"/>
  <c r="O480" i="41"/>
  <c r="P480" i="41"/>
  <c r="Q480" i="41"/>
  <c r="R480" i="41"/>
  <c r="S480" i="41"/>
  <c r="J481" i="41"/>
  <c r="K481" i="41"/>
  <c r="L481" i="41"/>
  <c r="M481" i="41"/>
  <c r="N481" i="41"/>
  <c r="O481" i="41"/>
  <c r="P481" i="41"/>
  <c r="Q481" i="41"/>
  <c r="R481" i="41"/>
  <c r="S481" i="41"/>
  <c r="J482" i="41"/>
  <c r="K482" i="41"/>
  <c r="L482" i="41"/>
  <c r="M482" i="41"/>
  <c r="N482" i="41"/>
  <c r="O482" i="41"/>
  <c r="P482" i="41"/>
  <c r="Q482" i="41"/>
  <c r="R482" i="41"/>
  <c r="S482" i="41"/>
  <c r="J483" i="41"/>
  <c r="K483" i="41"/>
  <c r="L483" i="41"/>
  <c r="M483" i="41"/>
  <c r="N483" i="41"/>
  <c r="O483" i="41"/>
  <c r="P483" i="41"/>
  <c r="Q483" i="41"/>
  <c r="R483" i="41"/>
  <c r="S483" i="41"/>
  <c r="J484" i="41"/>
  <c r="K484" i="41"/>
  <c r="L484" i="41"/>
  <c r="M484" i="41"/>
  <c r="N484" i="41"/>
  <c r="O484" i="41"/>
  <c r="P484" i="41"/>
  <c r="Q484" i="41"/>
  <c r="R484" i="41"/>
  <c r="S484" i="41"/>
  <c r="J485" i="41"/>
  <c r="K485" i="41"/>
  <c r="L485" i="41"/>
  <c r="M485" i="41"/>
  <c r="N485" i="41"/>
  <c r="O485" i="41"/>
  <c r="P485" i="41"/>
  <c r="Q485" i="41"/>
  <c r="R485" i="41"/>
  <c r="S485" i="41"/>
  <c r="J486" i="41"/>
  <c r="K486" i="41"/>
  <c r="L486" i="41"/>
  <c r="M486" i="41"/>
  <c r="N486" i="41"/>
  <c r="O486" i="41"/>
  <c r="P486" i="41"/>
  <c r="Q486" i="41"/>
  <c r="R486" i="41"/>
  <c r="S486" i="41"/>
  <c r="J487" i="41"/>
  <c r="K487" i="41"/>
  <c r="L487" i="41"/>
  <c r="M487" i="41"/>
  <c r="N487" i="41"/>
  <c r="O487" i="41"/>
  <c r="P487" i="41"/>
  <c r="Q487" i="41"/>
  <c r="R487" i="41"/>
  <c r="S487" i="41"/>
  <c r="J488" i="41"/>
  <c r="K488" i="41"/>
  <c r="L488" i="41"/>
  <c r="M488" i="41"/>
  <c r="N488" i="41"/>
  <c r="O488" i="41"/>
  <c r="P488" i="41"/>
  <c r="Q488" i="41"/>
  <c r="R488" i="41"/>
  <c r="S488" i="41"/>
  <c r="J489" i="41"/>
  <c r="K489" i="41"/>
  <c r="L489" i="41"/>
  <c r="M489" i="41"/>
  <c r="N489" i="41"/>
  <c r="O489" i="41"/>
  <c r="P489" i="41"/>
  <c r="Q489" i="41"/>
  <c r="R489" i="41"/>
  <c r="S489" i="41"/>
  <c r="J490" i="41"/>
  <c r="K490" i="41"/>
  <c r="L490" i="41"/>
  <c r="M490" i="41"/>
  <c r="N490" i="41"/>
  <c r="O490" i="41"/>
  <c r="P490" i="41"/>
  <c r="Q490" i="41"/>
  <c r="R490" i="41"/>
  <c r="S490" i="41"/>
  <c r="J491" i="41"/>
  <c r="K491" i="41"/>
  <c r="L491" i="41"/>
  <c r="M491" i="41"/>
  <c r="N491" i="41"/>
  <c r="O491" i="41"/>
  <c r="P491" i="41"/>
  <c r="Q491" i="41"/>
  <c r="R491" i="41"/>
  <c r="S491" i="41"/>
  <c r="J492" i="41"/>
  <c r="K492" i="41"/>
  <c r="L492" i="41"/>
  <c r="M492" i="41"/>
  <c r="N492" i="41"/>
  <c r="O492" i="41"/>
  <c r="P492" i="41"/>
  <c r="Q492" i="41"/>
  <c r="R492" i="41"/>
  <c r="S492" i="41"/>
  <c r="J493" i="41"/>
  <c r="K493" i="41"/>
  <c r="L493" i="41"/>
  <c r="M493" i="41"/>
  <c r="N493" i="41"/>
  <c r="O493" i="41"/>
  <c r="P493" i="41"/>
  <c r="Q493" i="41"/>
  <c r="R493" i="41"/>
  <c r="S493" i="41"/>
  <c r="J494" i="41"/>
  <c r="K494" i="41"/>
  <c r="L494" i="41"/>
  <c r="M494" i="41"/>
  <c r="N494" i="41"/>
  <c r="O494" i="41"/>
  <c r="P494" i="41"/>
  <c r="Q494" i="41"/>
  <c r="R494" i="41"/>
  <c r="S494" i="41"/>
  <c r="J495" i="41"/>
  <c r="K495" i="41"/>
  <c r="L495" i="41"/>
  <c r="M495" i="41"/>
  <c r="N495" i="41"/>
  <c r="O495" i="41"/>
  <c r="P495" i="41"/>
  <c r="Q495" i="41"/>
  <c r="R495" i="41"/>
  <c r="S495" i="41"/>
  <c r="J496" i="41"/>
  <c r="K496" i="41"/>
  <c r="L496" i="41"/>
  <c r="M496" i="41"/>
  <c r="N496" i="41"/>
  <c r="O496" i="41"/>
  <c r="P496" i="41"/>
  <c r="Q496" i="41"/>
  <c r="R496" i="41"/>
  <c r="S496" i="41"/>
  <c r="J497" i="41"/>
  <c r="K497" i="41"/>
  <c r="L497" i="41"/>
  <c r="M497" i="41"/>
  <c r="N497" i="41"/>
  <c r="O497" i="41"/>
  <c r="P497" i="41"/>
  <c r="Q497" i="41"/>
  <c r="R497" i="41"/>
  <c r="S497" i="41"/>
  <c r="J498" i="41"/>
  <c r="K498" i="41"/>
  <c r="L498" i="41"/>
  <c r="M498" i="41"/>
  <c r="N498" i="41"/>
  <c r="O498" i="41"/>
  <c r="P498" i="41"/>
  <c r="Q498" i="41"/>
  <c r="R498" i="41"/>
  <c r="S498" i="41"/>
  <c r="J499" i="41"/>
  <c r="K499" i="41"/>
  <c r="L499" i="41"/>
  <c r="M499" i="41"/>
  <c r="N499" i="41"/>
  <c r="O499" i="41"/>
  <c r="P499" i="41"/>
  <c r="Q499" i="41"/>
  <c r="R499" i="41"/>
  <c r="S499" i="41"/>
  <c r="J500" i="41"/>
  <c r="K500" i="41"/>
  <c r="L500" i="41"/>
  <c r="M500" i="41"/>
  <c r="N500" i="41"/>
  <c r="O500" i="41"/>
  <c r="P500" i="41"/>
  <c r="Q500" i="41"/>
  <c r="R500" i="41"/>
  <c r="S500" i="41"/>
  <c r="J501" i="41"/>
  <c r="K501" i="41"/>
  <c r="L501" i="41"/>
  <c r="M501" i="41"/>
  <c r="N501" i="41"/>
  <c r="O501" i="41"/>
  <c r="P501" i="41"/>
  <c r="Q501" i="41"/>
  <c r="R501" i="41"/>
  <c r="S501" i="41"/>
  <c r="J502" i="41"/>
  <c r="K502" i="41"/>
  <c r="L502" i="41"/>
  <c r="M502" i="41"/>
  <c r="N502" i="41"/>
  <c r="O502" i="41"/>
  <c r="P502" i="41"/>
  <c r="Q502" i="41"/>
  <c r="R502" i="41"/>
  <c r="S502" i="41"/>
  <c r="J503" i="41"/>
  <c r="K503" i="41"/>
  <c r="L503" i="41"/>
  <c r="M503" i="41"/>
  <c r="N503" i="41"/>
  <c r="O503" i="41"/>
  <c r="P503" i="41"/>
  <c r="Q503" i="41"/>
  <c r="R503" i="41"/>
  <c r="S503" i="41"/>
  <c r="J504" i="41"/>
  <c r="K504" i="41"/>
  <c r="L504" i="41"/>
  <c r="M504" i="41"/>
  <c r="N504" i="41"/>
  <c r="O504" i="41"/>
  <c r="P504" i="41"/>
  <c r="Q504" i="41"/>
  <c r="R504" i="41"/>
  <c r="S504" i="41"/>
  <c r="J505" i="41"/>
  <c r="K505" i="41"/>
  <c r="L505" i="41"/>
  <c r="M505" i="41"/>
  <c r="N505" i="41"/>
  <c r="O505" i="41"/>
  <c r="P505" i="41"/>
  <c r="Q505" i="41"/>
  <c r="R505" i="41"/>
  <c r="S505" i="41"/>
  <c r="J506" i="41"/>
  <c r="K506" i="41"/>
  <c r="L506" i="41"/>
  <c r="M506" i="41"/>
  <c r="N506" i="41"/>
  <c r="O506" i="41"/>
  <c r="P506" i="41"/>
  <c r="Q506" i="41"/>
  <c r="R506" i="41"/>
  <c r="S506" i="41"/>
  <c r="J507" i="41"/>
  <c r="K507" i="41"/>
  <c r="L507" i="41"/>
  <c r="M507" i="41"/>
  <c r="N507" i="41"/>
  <c r="O507" i="41"/>
  <c r="P507" i="41"/>
  <c r="Q507" i="41"/>
  <c r="R507" i="41"/>
  <c r="S507" i="41"/>
  <c r="J508" i="41"/>
  <c r="K508" i="41"/>
  <c r="L508" i="41"/>
  <c r="M508" i="41"/>
  <c r="N508" i="41"/>
  <c r="O508" i="41"/>
  <c r="P508" i="41"/>
  <c r="Q508" i="41"/>
  <c r="R508" i="41"/>
  <c r="S508" i="41"/>
  <c r="J509" i="41"/>
  <c r="K509" i="41"/>
  <c r="L509" i="41"/>
  <c r="M509" i="41"/>
  <c r="N509" i="41"/>
  <c r="O509" i="41"/>
  <c r="P509" i="41"/>
  <c r="Q509" i="41"/>
  <c r="R509" i="41"/>
  <c r="S509" i="41"/>
  <c r="J510" i="41"/>
  <c r="K510" i="41"/>
  <c r="L510" i="41"/>
  <c r="M510" i="41"/>
  <c r="N510" i="41"/>
  <c r="O510" i="41"/>
  <c r="P510" i="41"/>
  <c r="Q510" i="41"/>
  <c r="R510" i="41"/>
  <c r="S510" i="41"/>
  <c r="J511" i="41"/>
  <c r="K511" i="41"/>
  <c r="L511" i="41"/>
  <c r="M511" i="41"/>
  <c r="N511" i="41"/>
  <c r="O511" i="41"/>
  <c r="P511" i="41"/>
  <c r="Q511" i="41"/>
  <c r="R511" i="41"/>
  <c r="S511" i="41"/>
  <c r="J512" i="41"/>
  <c r="K512" i="41"/>
  <c r="L512" i="41"/>
  <c r="M512" i="41"/>
  <c r="N512" i="41"/>
  <c r="O512" i="41"/>
  <c r="P512" i="41"/>
  <c r="Q512" i="41"/>
  <c r="R512" i="41"/>
  <c r="S512" i="41"/>
  <c r="J513" i="41"/>
  <c r="K513" i="41"/>
  <c r="L513" i="41"/>
  <c r="M513" i="41"/>
  <c r="N513" i="41"/>
  <c r="O513" i="41"/>
  <c r="P513" i="41"/>
  <c r="Q513" i="41"/>
  <c r="R513" i="41"/>
  <c r="S513" i="41"/>
  <c r="J514" i="41"/>
  <c r="K514" i="41"/>
  <c r="L514" i="41"/>
  <c r="M514" i="41"/>
  <c r="N514" i="41"/>
  <c r="O514" i="41"/>
  <c r="P514" i="41"/>
  <c r="Q514" i="41"/>
  <c r="R514" i="41"/>
  <c r="S514" i="41"/>
  <c r="J515" i="41"/>
  <c r="K515" i="41"/>
  <c r="L515" i="41"/>
  <c r="M515" i="41"/>
  <c r="N515" i="41"/>
  <c r="O515" i="41"/>
  <c r="P515" i="41"/>
  <c r="Q515" i="41"/>
  <c r="R515" i="41"/>
  <c r="S515" i="41"/>
  <c r="J516" i="41"/>
  <c r="K516" i="41"/>
  <c r="L516" i="41"/>
  <c r="M516" i="41"/>
  <c r="N516" i="41"/>
  <c r="O516" i="41"/>
  <c r="P516" i="41"/>
  <c r="Q516" i="41"/>
  <c r="R516" i="41"/>
  <c r="S516" i="41"/>
  <c r="J517" i="41"/>
  <c r="K517" i="41"/>
  <c r="L517" i="41"/>
  <c r="M517" i="41"/>
  <c r="N517" i="41"/>
  <c r="O517" i="41"/>
  <c r="P517" i="41"/>
  <c r="Q517" i="41"/>
  <c r="R517" i="41"/>
  <c r="S517" i="41"/>
  <c r="J518" i="41"/>
  <c r="K518" i="41"/>
  <c r="L518" i="41"/>
  <c r="M518" i="41"/>
  <c r="N518" i="41"/>
  <c r="O518" i="41"/>
  <c r="P518" i="41"/>
  <c r="Q518" i="41"/>
  <c r="R518" i="41"/>
  <c r="S518" i="41"/>
  <c r="J519" i="41"/>
  <c r="K519" i="41"/>
  <c r="L519" i="41"/>
  <c r="M519" i="41"/>
  <c r="N519" i="41"/>
  <c r="O519" i="41"/>
  <c r="P519" i="41"/>
  <c r="Q519" i="41"/>
  <c r="R519" i="41"/>
  <c r="S519" i="41"/>
  <c r="J520" i="41"/>
  <c r="K520" i="41"/>
  <c r="L520" i="41"/>
  <c r="M520" i="41"/>
  <c r="N520" i="41"/>
  <c r="O520" i="41"/>
  <c r="P520" i="41"/>
  <c r="Q520" i="41"/>
  <c r="R520" i="41"/>
  <c r="S520" i="41"/>
  <c r="J521" i="41"/>
  <c r="K521" i="41"/>
  <c r="L521" i="41"/>
  <c r="M521" i="41"/>
  <c r="N521" i="41"/>
  <c r="O521" i="41"/>
  <c r="P521" i="41"/>
  <c r="Q521" i="41"/>
  <c r="R521" i="41"/>
  <c r="S521" i="41"/>
  <c r="J522" i="41"/>
  <c r="K522" i="41"/>
  <c r="L522" i="41"/>
  <c r="M522" i="41"/>
  <c r="N522" i="41"/>
  <c r="O522" i="41"/>
  <c r="P522" i="41"/>
  <c r="Q522" i="41"/>
  <c r="R522" i="41"/>
  <c r="S522" i="41"/>
  <c r="J523" i="41"/>
  <c r="K523" i="41"/>
  <c r="L523" i="41"/>
  <c r="M523" i="41"/>
  <c r="N523" i="41"/>
  <c r="O523" i="41"/>
  <c r="P523" i="41"/>
  <c r="Q523" i="41"/>
  <c r="R523" i="41"/>
  <c r="S523" i="41"/>
  <c r="J524" i="41"/>
  <c r="K524" i="41"/>
  <c r="L524" i="41"/>
  <c r="M524" i="41"/>
  <c r="N524" i="41"/>
  <c r="O524" i="41"/>
  <c r="P524" i="41"/>
  <c r="Q524" i="41"/>
  <c r="R524" i="41"/>
  <c r="S524" i="41"/>
  <c r="J525" i="41"/>
  <c r="K525" i="41"/>
  <c r="L525" i="41"/>
  <c r="M525" i="41"/>
  <c r="N525" i="41"/>
  <c r="O525" i="41"/>
  <c r="P525" i="41"/>
  <c r="Q525" i="41"/>
  <c r="R525" i="41"/>
  <c r="S525" i="41"/>
  <c r="J526" i="41"/>
  <c r="K526" i="41"/>
  <c r="L526" i="41"/>
  <c r="M526" i="41"/>
  <c r="N526" i="41"/>
  <c r="O526" i="41"/>
  <c r="P526" i="41"/>
  <c r="Q526" i="41"/>
  <c r="R526" i="41"/>
  <c r="S526" i="41"/>
  <c r="J527" i="41"/>
  <c r="K527" i="41"/>
  <c r="L527" i="41"/>
  <c r="M527" i="41"/>
  <c r="N527" i="41"/>
  <c r="O527" i="41"/>
  <c r="P527" i="41"/>
  <c r="Q527" i="41"/>
  <c r="R527" i="41"/>
  <c r="S527" i="41"/>
  <c r="J528" i="41"/>
  <c r="K528" i="41"/>
  <c r="L528" i="41"/>
  <c r="M528" i="41"/>
  <c r="N528" i="41"/>
  <c r="O528" i="41"/>
  <c r="P528" i="41"/>
  <c r="Q528" i="41"/>
  <c r="R528" i="41"/>
  <c r="S528" i="41"/>
  <c r="J529" i="41"/>
  <c r="K529" i="41"/>
  <c r="L529" i="41"/>
  <c r="M529" i="41"/>
  <c r="N529" i="41"/>
  <c r="O529" i="41"/>
  <c r="P529" i="41"/>
  <c r="Q529" i="41"/>
  <c r="R529" i="41"/>
  <c r="S529" i="41"/>
  <c r="J530" i="41"/>
  <c r="K530" i="41"/>
  <c r="L530" i="41"/>
  <c r="M530" i="41"/>
  <c r="N530" i="41"/>
  <c r="O530" i="41"/>
  <c r="P530" i="41"/>
  <c r="Q530" i="41"/>
  <c r="R530" i="41"/>
  <c r="S530" i="41"/>
  <c r="J531" i="41"/>
  <c r="K531" i="41"/>
  <c r="L531" i="41"/>
  <c r="M531" i="41"/>
  <c r="N531" i="41"/>
  <c r="O531" i="41"/>
  <c r="P531" i="41"/>
  <c r="Q531" i="41"/>
  <c r="R531" i="41"/>
  <c r="S531" i="41"/>
  <c r="J532" i="41"/>
  <c r="K532" i="41"/>
  <c r="L532" i="41"/>
  <c r="M532" i="41"/>
  <c r="N532" i="41"/>
  <c r="O532" i="41"/>
  <c r="P532" i="41"/>
  <c r="Q532" i="41"/>
  <c r="R532" i="41"/>
  <c r="S532" i="41"/>
  <c r="J533" i="41"/>
  <c r="K533" i="41"/>
  <c r="L533" i="41"/>
  <c r="M533" i="41"/>
  <c r="N533" i="41"/>
  <c r="O533" i="41"/>
  <c r="P533" i="41"/>
  <c r="Q533" i="41"/>
  <c r="R533" i="41"/>
  <c r="S533" i="41"/>
  <c r="J534" i="41"/>
  <c r="K534" i="41"/>
  <c r="L534" i="41"/>
  <c r="M534" i="41"/>
  <c r="N534" i="41"/>
  <c r="O534" i="41"/>
  <c r="P534" i="41"/>
  <c r="Q534" i="41"/>
  <c r="R534" i="41"/>
  <c r="S534" i="41"/>
  <c r="J535" i="41"/>
  <c r="K535" i="41"/>
  <c r="L535" i="41"/>
  <c r="M535" i="41"/>
  <c r="N535" i="41"/>
  <c r="O535" i="41"/>
  <c r="P535" i="41"/>
  <c r="Q535" i="41"/>
  <c r="R535" i="41"/>
  <c r="S535" i="41"/>
  <c r="J536" i="41"/>
  <c r="K536" i="41"/>
  <c r="L536" i="41"/>
  <c r="M536" i="41"/>
  <c r="N536" i="41"/>
  <c r="O536" i="41"/>
  <c r="P536" i="41"/>
  <c r="Q536" i="41"/>
  <c r="R536" i="41"/>
  <c r="S536" i="41"/>
  <c r="J537" i="41"/>
  <c r="K537" i="41"/>
  <c r="L537" i="41"/>
  <c r="M537" i="41"/>
  <c r="N537" i="41"/>
  <c r="O537" i="41"/>
  <c r="P537" i="41"/>
  <c r="Q537" i="41"/>
  <c r="R537" i="41"/>
  <c r="S537" i="41"/>
  <c r="J538" i="41"/>
  <c r="K538" i="41"/>
  <c r="L538" i="41"/>
  <c r="M538" i="41"/>
  <c r="N538" i="41"/>
  <c r="O538" i="41"/>
  <c r="P538" i="41"/>
  <c r="Q538" i="41"/>
  <c r="R538" i="41"/>
  <c r="S538" i="41"/>
  <c r="J539" i="41"/>
  <c r="K539" i="41"/>
  <c r="L539" i="41"/>
  <c r="M539" i="41"/>
  <c r="N539" i="41"/>
  <c r="O539" i="41"/>
  <c r="P539" i="41"/>
  <c r="Q539" i="41"/>
  <c r="R539" i="41"/>
  <c r="S539" i="41"/>
  <c r="J540" i="41"/>
  <c r="K540" i="41"/>
  <c r="L540" i="41"/>
  <c r="M540" i="41"/>
  <c r="N540" i="41"/>
  <c r="O540" i="41"/>
  <c r="P540" i="41"/>
  <c r="Q540" i="41"/>
  <c r="R540" i="41"/>
  <c r="S540" i="41"/>
  <c r="J541" i="41"/>
  <c r="K541" i="41"/>
  <c r="L541" i="41"/>
  <c r="M541" i="41"/>
  <c r="N541" i="41"/>
  <c r="O541" i="41"/>
  <c r="P541" i="41"/>
  <c r="Q541" i="41"/>
  <c r="R541" i="41"/>
  <c r="S541" i="41"/>
  <c r="J542" i="41"/>
  <c r="K542" i="41"/>
  <c r="L542" i="41"/>
  <c r="M542" i="41"/>
  <c r="N542" i="41"/>
  <c r="O542" i="41"/>
  <c r="P542" i="41"/>
  <c r="Q542" i="41"/>
  <c r="R542" i="41"/>
  <c r="S542" i="41"/>
  <c r="J543" i="41"/>
  <c r="K543" i="41"/>
  <c r="L543" i="41"/>
  <c r="M543" i="41"/>
  <c r="N543" i="41"/>
  <c r="O543" i="41"/>
  <c r="P543" i="41"/>
  <c r="Q543" i="41"/>
  <c r="R543" i="41"/>
  <c r="S543" i="41"/>
  <c r="J544" i="41"/>
  <c r="K544" i="41"/>
  <c r="L544" i="41"/>
  <c r="M544" i="41"/>
  <c r="N544" i="41"/>
  <c r="O544" i="41"/>
  <c r="P544" i="41"/>
  <c r="Q544" i="41"/>
  <c r="R544" i="41"/>
  <c r="S544" i="41"/>
  <c r="J545" i="41"/>
  <c r="K545" i="41"/>
  <c r="L545" i="41"/>
  <c r="M545" i="41"/>
  <c r="N545" i="41"/>
  <c r="O545" i="41"/>
  <c r="P545" i="41"/>
  <c r="Q545" i="41"/>
  <c r="R545" i="41"/>
  <c r="S545" i="41"/>
  <c r="J546" i="41"/>
  <c r="K546" i="41"/>
  <c r="L546" i="41"/>
  <c r="M546" i="41"/>
  <c r="N546" i="41"/>
  <c r="O546" i="41"/>
  <c r="P546" i="41"/>
  <c r="Q546" i="41"/>
  <c r="R546" i="41"/>
  <c r="S546" i="41"/>
  <c r="J547" i="41"/>
  <c r="K547" i="41"/>
  <c r="L547" i="41"/>
  <c r="M547" i="41"/>
  <c r="N547" i="41"/>
  <c r="O547" i="41"/>
  <c r="P547" i="41"/>
  <c r="Q547" i="41"/>
  <c r="R547" i="41"/>
  <c r="S547" i="41"/>
  <c r="J548" i="41"/>
  <c r="K548" i="41"/>
  <c r="L548" i="41"/>
  <c r="M548" i="41"/>
  <c r="N548" i="41"/>
  <c r="O548" i="41"/>
  <c r="P548" i="41"/>
  <c r="Q548" i="41"/>
  <c r="R548" i="41"/>
  <c r="S548" i="41"/>
  <c r="J549" i="41"/>
  <c r="K549" i="41"/>
  <c r="L549" i="41"/>
  <c r="M549" i="41"/>
  <c r="N549" i="41"/>
  <c r="O549" i="41"/>
  <c r="P549" i="41"/>
  <c r="Q549" i="41"/>
  <c r="R549" i="41"/>
  <c r="S549" i="41"/>
  <c r="J550" i="41"/>
  <c r="K550" i="41"/>
  <c r="L550" i="41"/>
  <c r="M550" i="41"/>
  <c r="N550" i="41"/>
  <c r="O550" i="41"/>
  <c r="P550" i="41"/>
  <c r="Q550" i="41"/>
  <c r="R550" i="41"/>
  <c r="S550" i="41"/>
  <c r="J551" i="41"/>
  <c r="K551" i="41"/>
  <c r="L551" i="41"/>
  <c r="M551" i="41"/>
  <c r="N551" i="41"/>
  <c r="O551" i="41"/>
  <c r="P551" i="41"/>
  <c r="Q551" i="41"/>
  <c r="R551" i="41"/>
  <c r="S551" i="41"/>
  <c r="J552" i="41"/>
  <c r="K552" i="41"/>
  <c r="L552" i="41"/>
  <c r="M552" i="41"/>
  <c r="N552" i="41"/>
  <c r="O552" i="41"/>
  <c r="P552" i="41"/>
  <c r="Q552" i="41"/>
  <c r="R552" i="41"/>
  <c r="S552" i="41"/>
  <c r="J553" i="41"/>
  <c r="K553" i="41"/>
  <c r="L553" i="41"/>
  <c r="M553" i="41"/>
  <c r="N553" i="41"/>
  <c r="O553" i="41"/>
  <c r="P553" i="41"/>
  <c r="Q553" i="41"/>
  <c r="R553" i="41"/>
  <c r="S553" i="41"/>
  <c r="J554" i="41"/>
  <c r="K554" i="41"/>
  <c r="L554" i="41"/>
  <c r="M554" i="41"/>
  <c r="N554" i="41"/>
  <c r="O554" i="41"/>
  <c r="P554" i="41"/>
  <c r="Q554" i="41"/>
  <c r="R554" i="41"/>
  <c r="S554" i="41"/>
  <c r="J555" i="41"/>
  <c r="K555" i="41"/>
  <c r="L555" i="41"/>
  <c r="M555" i="41"/>
  <c r="N555" i="41"/>
  <c r="O555" i="41"/>
  <c r="P555" i="41"/>
  <c r="Q555" i="41"/>
  <c r="R555" i="41"/>
  <c r="S555" i="41"/>
  <c r="J556" i="41"/>
  <c r="K556" i="41"/>
  <c r="L556" i="41"/>
  <c r="M556" i="41"/>
  <c r="N556" i="41"/>
  <c r="O556" i="41"/>
  <c r="P556" i="41"/>
  <c r="Q556" i="41"/>
  <c r="R556" i="41"/>
  <c r="S556" i="41"/>
  <c r="J557" i="41"/>
  <c r="K557" i="41"/>
  <c r="L557" i="41"/>
  <c r="M557" i="41"/>
  <c r="N557" i="41"/>
  <c r="O557" i="41"/>
  <c r="P557" i="41"/>
  <c r="Q557" i="41"/>
  <c r="R557" i="41"/>
  <c r="S557" i="41"/>
  <c r="J558" i="41"/>
  <c r="K558" i="41"/>
  <c r="L558" i="41"/>
  <c r="M558" i="41"/>
  <c r="N558" i="41"/>
  <c r="O558" i="41"/>
  <c r="P558" i="41"/>
  <c r="Q558" i="41"/>
  <c r="R558" i="41"/>
  <c r="S558" i="41"/>
  <c r="J559" i="41"/>
  <c r="K559" i="41"/>
  <c r="L559" i="41"/>
  <c r="M559" i="41"/>
  <c r="N559" i="41"/>
  <c r="O559" i="41"/>
  <c r="P559" i="41"/>
  <c r="Q559" i="41"/>
  <c r="R559" i="41"/>
  <c r="S559" i="41"/>
  <c r="J560" i="41"/>
  <c r="K560" i="41"/>
  <c r="L560" i="41"/>
  <c r="M560" i="41"/>
  <c r="N560" i="41"/>
  <c r="O560" i="41"/>
  <c r="P560" i="41"/>
  <c r="Q560" i="41"/>
  <c r="R560" i="41"/>
  <c r="S560" i="41"/>
  <c r="J561" i="41"/>
  <c r="K561" i="41"/>
  <c r="L561" i="41"/>
  <c r="M561" i="41"/>
  <c r="N561" i="41"/>
  <c r="O561" i="41"/>
  <c r="P561" i="41"/>
  <c r="Q561" i="41"/>
  <c r="R561" i="41"/>
  <c r="S561" i="41"/>
  <c r="J562" i="41"/>
  <c r="K562" i="41"/>
  <c r="L562" i="41"/>
  <c r="M562" i="41"/>
  <c r="N562" i="41"/>
  <c r="O562" i="41"/>
  <c r="P562" i="41"/>
  <c r="Q562" i="41"/>
  <c r="R562" i="41"/>
  <c r="S562" i="41"/>
  <c r="J563" i="41"/>
  <c r="K563" i="41"/>
  <c r="L563" i="41"/>
  <c r="M563" i="41"/>
  <c r="N563" i="41"/>
  <c r="O563" i="41"/>
  <c r="P563" i="41"/>
  <c r="Q563" i="41"/>
  <c r="R563" i="41"/>
  <c r="S563" i="41"/>
  <c r="J564" i="41"/>
  <c r="K564" i="41"/>
  <c r="L564" i="41"/>
  <c r="M564" i="41"/>
  <c r="N564" i="41"/>
  <c r="O564" i="41"/>
  <c r="P564" i="41"/>
  <c r="Q564" i="41"/>
  <c r="R564" i="41"/>
  <c r="S564" i="41"/>
  <c r="J565" i="41"/>
  <c r="K565" i="41"/>
  <c r="L565" i="41"/>
  <c r="M565" i="41"/>
  <c r="N565" i="41"/>
  <c r="O565" i="41"/>
  <c r="P565" i="41"/>
  <c r="Q565" i="41"/>
  <c r="R565" i="41"/>
  <c r="S565" i="41"/>
  <c r="J566" i="41"/>
  <c r="K566" i="41"/>
  <c r="L566" i="41"/>
  <c r="M566" i="41"/>
  <c r="N566" i="41"/>
  <c r="O566" i="41"/>
  <c r="P566" i="41"/>
  <c r="Q566" i="41"/>
  <c r="R566" i="41"/>
  <c r="S566" i="41"/>
  <c r="J567" i="41"/>
  <c r="K567" i="41"/>
  <c r="L567" i="41"/>
  <c r="M567" i="41"/>
  <c r="N567" i="41"/>
  <c r="O567" i="41"/>
  <c r="P567" i="41"/>
  <c r="Q567" i="41"/>
  <c r="R567" i="41"/>
  <c r="S567" i="41"/>
  <c r="J568" i="41"/>
  <c r="K568" i="41"/>
  <c r="L568" i="41"/>
  <c r="M568" i="41"/>
  <c r="N568" i="41"/>
  <c r="O568" i="41"/>
  <c r="P568" i="41"/>
  <c r="Q568" i="41"/>
  <c r="R568" i="41"/>
  <c r="S568" i="41"/>
  <c r="J569" i="41"/>
  <c r="K569" i="41"/>
  <c r="L569" i="41"/>
  <c r="M569" i="41"/>
  <c r="N569" i="41"/>
  <c r="O569" i="41"/>
  <c r="P569" i="41"/>
  <c r="Q569" i="41"/>
  <c r="R569" i="41"/>
  <c r="S569" i="41"/>
  <c r="J570" i="41"/>
  <c r="K570" i="41"/>
  <c r="L570" i="41"/>
  <c r="M570" i="41"/>
  <c r="N570" i="41"/>
  <c r="O570" i="41"/>
  <c r="P570" i="41"/>
  <c r="Q570" i="41"/>
  <c r="R570" i="41"/>
  <c r="S570" i="41"/>
  <c r="J571" i="41"/>
  <c r="K571" i="41"/>
  <c r="L571" i="41"/>
  <c r="M571" i="41"/>
  <c r="N571" i="41"/>
  <c r="O571" i="41"/>
  <c r="P571" i="41"/>
  <c r="Q571" i="41"/>
  <c r="R571" i="41"/>
  <c r="S571" i="41"/>
  <c r="J572" i="41"/>
  <c r="K572" i="41"/>
  <c r="L572" i="41"/>
  <c r="M572" i="41"/>
  <c r="N572" i="41"/>
  <c r="O572" i="41"/>
  <c r="P572" i="41"/>
  <c r="Q572" i="41"/>
  <c r="R572" i="41"/>
  <c r="S572" i="41"/>
  <c r="J573" i="41"/>
  <c r="K573" i="41"/>
  <c r="L573" i="41"/>
  <c r="M573" i="41"/>
  <c r="N573" i="41"/>
  <c r="O573" i="41"/>
  <c r="P573" i="41"/>
  <c r="Q573" i="41"/>
  <c r="R573" i="41"/>
  <c r="S573" i="41"/>
  <c r="J574" i="41"/>
  <c r="K574" i="41"/>
  <c r="L574" i="41"/>
  <c r="M574" i="41"/>
  <c r="N574" i="41"/>
  <c r="O574" i="41"/>
  <c r="P574" i="41"/>
  <c r="Q574" i="41"/>
  <c r="R574" i="41"/>
  <c r="S574" i="41"/>
  <c r="J575" i="41"/>
  <c r="K575" i="41"/>
  <c r="L575" i="41"/>
  <c r="M575" i="41"/>
  <c r="N575" i="41"/>
  <c r="O575" i="41"/>
  <c r="P575" i="41"/>
  <c r="Q575" i="41"/>
  <c r="R575" i="41"/>
  <c r="S575" i="41"/>
  <c r="J576" i="41"/>
  <c r="K576" i="41"/>
  <c r="L576" i="41"/>
  <c r="M576" i="41"/>
  <c r="N576" i="41"/>
  <c r="O576" i="41"/>
  <c r="P576" i="41"/>
  <c r="Q576" i="41"/>
  <c r="R576" i="41"/>
  <c r="S576" i="41"/>
  <c r="J577" i="41"/>
  <c r="K577" i="41"/>
  <c r="L577" i="41"/>
  <c r="M577" i="41"/>
  <c r="N577" i="41"/>
  <c r="O577" i="41"/>
  <c r="P577" i="41"/>
  <c r="Q577" i="41"/>
  <c r="R577" i="41"/>
  <c r="S577" i="41"/>
  <c r="J578" i="41"/>
  <c r="K578" i="41"/>
  <c r="L578" i="41"/>
  <c r="M578" i="41"/>
  <c r="N578" i="41"/>
  <c r="O578" i="41"/>
  <c r="P578" i="41"/>
  <c r="Q578" i="41"/>
  <c r="R578" i="41"/>
  <c r="S578" i="41"/>
  <c r="J579" i="41"/>
  <c r="K579" i="41"/>
  <c r="L579" i="41"/>
  <c r="M579" i="41"/>
  <c r="N579" i="41"/>
  <c r="O579" i="41"/>
  <c r="P579" i="41"/>
  <c r="Q579" i="41"/>
  <c r="R579" i="41"/>
  <c r="S579" i="41"/>
  <c r="J580" i="41"/>
  <c r="K580" i="41"/>
  <c r="L580" i="41"/>
  <c r="M580" i="41"/>
  <c r="N580" i="41"/>
  <c r="O580" i="41"/>
  <c r="P580" i="41"/>
  <c r="Q580" i="41"/>
  <c r="R580" i="41"/>
  <c r="S580" i="41"/>
  <c r="J581" i="41"/>
  <c r="K581" i="41"/>
  <c r="L581" i="41"/>
  <c r="M581" i="41"/>
  <c r="N581" i="41"/>
  <c r="O581" i="41"/>
  <c r="P581" i="41"/>
  <c r="Q581" i="41"/>
  <c r="R581" i="41"/>
  <c r="S581" i="41"/>
  <c r="J582" i="41"/>
  <c r="K582" i="41"/>
  <c r="L582" i="41"/>
  <c r="M582" i="41"/>
  <c r="N582" i="41"/>
  <c r="O582" i="41"/>
  <c r="P582" i="41"/>
  <c r="Q582" i="41"/>
  <c r="R582" i="41"/>
  <c r="S582" i="41"/>
  <c r="J583" i="41"/>
  <c r="K583" i="41"/>
  <c r="L583" i="41"/>
  <c r="M583" i="41"/>
  <c r="N583" i="41"/>
  <c r="O583" i="41"/>
  <c r="P583" i="41"/>
  <c r="Q583" i="41"/>
  <c r="R583" i="41"/>
  <c r="S583" i="41"/>
  <c r="J584" i="41"/>
  <c r="K584" i="41"/>
  <c r="L584" i="41"/>
  <c r="M584" i="41"/>
  <c r="N584" i="41"/>
  <c r="O584" i="41"/>
  <c r="P584" i="41"/>
  <c r="Q584" i="41"/>
  <c r="R584" i="41"/>
  <c r="S584" i="41"/>
  <c r="J585" i="41"/>
  <c r="K585" i="41"/>
  <c r="L585" i="41"/>
  <c r="M585" i="41"/>
  <c r="N585" i="41"/>
  <c r="O585" i="41"/>
  <c r="P585" i="41"/>
  <c r="Q585" i="41"/>
  <c r="R585" i="41"/>
  <c r="S585" i="41"/>
  <c r="J586" i="41"/>
  <c r="K586" i="41"/>
  <c r="L586" i="41"/>
  <c r="M586" i="41"/>
  <c r="N586" i="41"/>
  <c r="O586" i="41"/>
  <c r="P586" i="41"/>
  <c r="Q586" i="41"/>
  <c r="R586" i="41"/>
  <c r="S586" i="41"/>
  <c r="J587" i="41"/>
  <c r="K587" i="41"/>
  <c r="L587" i="41"/>
  <c r="M587" i="41"/>
  <c r="N587" i="41"/>
  <c r="O587" i="41"/>
  <c r="P587" i="41"/>
  <c r="Q587" i="41"/>
  <c r="R587" i="41"/>
  <c r="S587" i="41"/>
  <c r="J588" i="41"/>
  <c r="K588" i="41"/>
  <c r="L588" i="41"/>
  <c r="M588" i="41"/>
  <c r="N588" i="41"/>
  <c r="O588" i="41"/>
  <c r="P588" i="41"/>
  <c r="Q588" i="41"/>
  <c r="R588" i="41"/>
  <c r="S588" i="41"/>
  <c r="J589" i="41"/>
  <c r="K589" i="41"/>
  <c r="L589" i="41"/>
  <c r="M589" i="41"/>
  <c r="N589" i="41"/>
  <c r="O589" i="41"/>
  <c r="P589" i="41"/>
  <c r="Q589" i="41"/>
  <c r="R589" i="41"/>
  <c r="S589" i="41"/>
  <c r="J590" i="41"/>
  <c r="K590" i="41"/>
  <c r="L590" i="41"/>
  <c r="M590" i="41"/>
  <c r="N590" i="41"/>
  <c r="O590" i="41"/>
  <c r="P590" i="41"/>
  <c r="Q590" i="41"/>
  <c r="R590" i="41"/>
  <c r="S590" i="41"/>
  <c r="J591" i="41"/>
  <c r="K591" i="41"/>
  <c r="L591" i="41"/>
  <c r="M591" i="41"/>
  <c r="N591" i="41"/>
  <c r="O591" i="41"/>
  <c r="P591" i="41"/>
  <c r="Q591" i="41"/>
  <c r="R591" i="41"/>
  <c r="S591" i="41"/>
  <c r="J592" i="41"/>
  <c r="K592" i="41"/>
  <c r="L592" i="41"/>
  <c r="M592" i="41"/>
  <c r="N592" i="41"/>
  <c r="O592" i="41"/>
  <c r="P592" i="41"/>
  <c r="Q592" i="41"/>
  <c r="R592" i="41"/>
  <c r="S592" i="41"/>
  <c r="J593" i="41"/>
  <c r="K593" i="41"/>
  <c r="L593" i="41"/>
  <c r="M593" i="41"/>
  <c r="N593" i="41"/>
  <c r="O593" i="41"/>
  <c r="P593" i="41"/>
  <c r="Q593" i="41"/>
  <c r="R593" i="41"/>
  <c r="S593" i="41"/>
  <c r="J594" i="41"/>
  <c r="K594" i="41"/>
  <c r="L594" i="41"/>
  <c r="M594" i="41"/>
  <c r="N594" i="41"/>
  <c r="O594" i="41"/>
  <c r="P594" i="41"/>
  <c r="Q594" i="41"/>
  <c r="R594" i="41"/>
  <c r="S594" i="41"/>
  <c r="J595" i="41"/>
  <c r="K595" i="41"/>
  <c r="L595" i="41"/>
  <c r="M595" i="41"/>
  <c r="N595" i="41"/>
  <c r="O595" i="41"/>
  <c r="P595" i="41"/>
  <c r="Q595" i="41"/>
  <c r="R595" i="41"/>
  <c r="S595" i="41"/>
  <c r="J596" i="41"/>
  <c r="K596" i="41"/>
  <c r="L596" i="41"/>
  <c r="M596" i="41"/>
  <c r="N596" i="41"/>
  <c r="O596" i="41"/>
  <c r="P596" i="41"/>
  <c r="Q596" i="41"/>
  <c r="R596" i="41"/>
  <c r="S596" i="41"/>
  <c r="J597" i="41"/>
  <c r="K597" i="41"/>
  <c r="L597" i="41"/>
  <c r="M597" i="41"/>
  <c r="N597" i="41"/>
  <c r="O597" i="41"/>
  <c r="P597" i="41"/>
  <c r="Q597" i="41"/>
  <c r="R597" i="41"/>
  <c r="S597" i="41"/>
  <c r="J598" i="41"/>
  <c r="K598" i="41"/>
  <c r="L598" i="41"/>
  <c r="M598" i="41"/>
  <c r="N598" i="41"/>
  <c r="O598" i="41"/>
  <c r="P598" i="41"/>
  <c r="Q598" i="41"/>
  <c r="R598" i="41"/>
  <c r="S598" i="41"/>
  <c r="J599" i="41"/>
  <c r="K599" i="41"/>
  <c r="L599" i="41"/>
  <c r="M599" i="41"/>
  <c r="N599" i="41"/>
  <c r="O599" i="41"/>
  <c r="P599" i="41"/>
  <c r="Q599" i="41"/>
  <c r="R599" i="41"/>
  <c r="S599" i="41"/>
  <c r="J600" i="41"/>
  <c r="K600" i="41"/>
  <c r="L600" i="41"/>
  <c r="M600" i="41"/>
  <c r="N600" i="41"/>
  <c r="O600" i="41"/>
  <c r="P600" i="41"/>
  <c r="Q600" i="41"/>
  <c r="R600" i="41"/>
  <c r="S600" i="41"/>
  <c r="J601" i="41"/>
  <c r="K601" i="41"/>
  <c r="L601" i="41"/>
  <c r="M601" i="41"/>
  <c r="N601" i="41"/>
  <c r="O601" i="41"/>
  <c r="P601" i="41"/>
  <c r="Q601" i="41"/>
  <c r="R601" i="41"/>
  <c r="S601" i="41"/>
  <c r="J602" i="41"/>
  <c r="K602" i="41"/>
  <c r="L602" i="41"/>
  <c r="M602" i="41"/>
  <c r="N602" i="41"/>
  <c r="O602" i="41"/>
  <c r="P602" i="41"/>
  <c r="Q602" i="41"/>
  <c r="R602" i="41"/>
  <c r="S602" i="41"/>
  <c r="J603" i="41"/>
  <c r="K603" i="41"/>
  <c r="L603" i="41"/>
  <c r="M603" i="41"/>
  <c r="N603" i="41"/>
  <c r="O603" i="41"/>
  <c r="P603" i="41"/>
  <c r="Q603" i="41"/>
  <c r="R603" i="41"/>
  <c r="S603" i="41"/>
  <c r="J604" i="41"/>
  <c r="K604" i="41"/>
  <c r="L604" i="41"/>
  <c r="M604" i="41"/>
  <c r="N604" i="41"/>
  <c r="O604" i="41"/>
  <c r="P604" i="41"/>
  <c r="Q604" i="41"/>
  <c r="R604" i="41"/>
  <c r="S604" i="41"/>
  <c r="J605" i="41"/>
  <c r="K605" i="41"/>
  <c r="L605" i="41"/>
  <c r="M605" i="41"/>
  <c r="N605" i="41"/>
  <c r="O605" i="41"/>
  <c r="P605" i="41"/>
  <c r="Q605" i="41"/>
  <c r="R605" i="41"/>
  <c r="S605" i="41"/>
  <c r="J606" i="41"/>
  <c r="K606" i="41"/>
  <c r="L606" i="41"/>
  <c r="M606" i="41"/>
  <c r="N606" i="41"/>
  <c r="O606" i="41"/>
  <c r="P606" i="41"/>
  <c r="Q606" i="41"/>
  <c r="R606" i="41"/>
  <c r="S606" i="41"/>
  <c r="J607" i="41"/>
  <c r="K607" i="41"/>
  <c r="L607" i="41"/>
  <c r="M607" i="41"/>
  <c r="N607" i="41"/>
  <c r="O607" i="41"/>
  <c r="P607" i="41"/>
  <c r="Q607" i="41"/>
  <c r="R607" i="41"/>
  <c r="S607" i="41"/>
  <c r="J608" i="41"/>
  <c r="K608" i="41"/>
  <c r="L608" i="41"/>
  <c r="M608" i="41"/>
  <c r="N608" i="41"/>
  <c r="O608" i="41"/>
  <c r="P608" i="41"/>
  <c r="Q608" i="41"/>
  <c r="R608" i="41"/>
  <c r="S608" i="41"/>
  <c r="J609" i="41"/>
  <c r="K609" i="41"/>
  <c r="L609" i="41"/>
  <c r="M609" i="41"/>
  <c r="N609" i="41"/>
  <c r="O609" i="41"/>
  <c r="P609" i="41"/>
  <c r="Q609" i="41"/>
  <c r="R609" i="41"/>
  <c r="S609" i="41"/>
  <c r="J610" i="41"/>
  <c r="K610" i="41"/>
  <c r="L610" i="41"/>
  <c r="M610" i="41"/>
  <c r="N610" i="41"/>
  <c r="O610" i="41"/>
  <c r="P610" i="41"/>
  <c r="Q610" i="41"/>
  <c r="R610" i="41"/>
  <c r="S610" i="41"/>
  <c r="J611" i="41"/>
  <c r="K611" i="41"/>
  <c r="L611" i="41"/>
  <c r="M611" i="41"/>
  <c r="N611" i="41"/>
  <c r="O611" i="41"/>
  <c r="P611" i="41"/>
  <c r="Q611" i="41"/>
  <c r="R611" i="41"/>
  <c r="S611" i="41"/>
  <c r="J612" i="41"/>
  <c r="K612" i="41"/>
  <c r="L612" i="41"/>
  <c r="M612" i="41"/>
  <c r="N612" i="41"/>
  <c r="O612" i="41"/>
  <c r="P612" i="41"/>
  <c r="Q612" i="41"/>
  <c r="R612" i="41"/>
  <c r="S612" i="41"/>
  <c r="J613" i="41"/>
  <c r="K613" i="41"/>
  <c r="L613" i="41"/>
  <c r="M613" i="41"/>
  <c r="N613" i="41"/>
  <c r="O613" i="41"/>
  <c r="P613" i="41"/>
  <c r="Q613" i="41"/>
  <c r="R613" i="41"/>
  <c r="S613" i="41"/>
  <c r="J614" i="41"/>
  <c r="K614" i="41"/>
  <c r="L614" i="41"/>
  <c r="M614" i="41"/>
  <c r="N614" i="41"/>
  <c r="O614" i="41"/>
  <c r="P614" i="41"/>
  <c r="Q614" i="41"/>
  <c r="R614" i="41"/>
  <c r="S614" i="41"/>
  <c r="J615" i="41"/>
  <c r="K615" i="41"/>
  <c r="L615" i="41"/>
  <c r="M615" i="41"/>
  <c r="N615" i="41"/>
  <c r="O615" i="41"/>
  <c r="P615" i="41"/>
  <c r="Q615" i="41"/>
  <c r="R615" i="41"/>
  <c r="S615" i="41"/>
  <c r="J616" i="41"/>
  <c r="K616" i="41"/>
  <c r="L616" i="41"/>
  <c r="M616" i="41"/>
  <c r="N616" i="41"/>
  <c r="O616" i="41"/>
  <c r="P616" i="41"/>
  <c r="Q616" i="41"/>
  <c r="R616" i="41"/>
  <c r="S616" i="41"/>
  <c r="J617" i="41"/>
  <c r="K617" i="41"/>
  <c r="L617" i="41"/>
  <c r="M617" i="41"/>
  <c r="N617" i="41"/>
  <c r="O617" i="41"/>
  <c r="P617" i="41"/>
  <c r="Q617" i="41"/>
  <c r="R617" i="41"/>
  <c r="S617" i="41"/>
  <c r="J618" i="41"/>
  <c r="K618" i="41"/>
  <c r="L618" i="41"/>
  <c r="M618" i="41"/>
  <c r="N618" i="41"/>
  <c r="O618" i="41"/>
  <c r="P618" i="41"/>
  <c r="Q618" i="41"/>
  <c r="R618" i="41"/>
  <c r="S618" i="41"/>
  <c r="J619" i="41"/>
  <c r="K619" i="41"/>
  <c r="L619" i="41"/>
  <c r="M619" i="41"/>
  <c r="N619" i="41"/>
  <c r="O619" i="41"/>
  <c r="P619" i="41"/>
  <c r="Q619" i="41"/>
  <c r="R619" i="41"/>
  <c r="S619" i="41"/>
  <c r="J620" i="41"/>
  <c r="K620" i="41"/>
  <c r="L620" i="41"/>
  <c r="M620" i="41"/>
  <c r="N620" i="41"/>
  <c r="O620" i="41"/>
  <c r="P620" i="41"/>
  <c r="Q620" i="41"/>
  <c r="R620" i="41"/>
  <c r="S620" i="41"/>
  <c r="J621" i="41"/>
  <c r="K621" i="41"/>
  <c r="L621" i="41"/>
  <c r="M621" i="41"/>
  <c r="N621" i="41"/>
  <c r="O621" i="41"/>
  <c r="P621" i="41"/>
  <c r="Q621" i="41"/>
  <c r="R621" i="41"/>
  <c r="S621" i="41"/>
  <c r="J622" i="41"/>
  <c r="K622" i="41"/>
  <c r="L622" i="41"/>
  <c r="M622" i="41"/>
  <c r="N622" i="41"/>
  <c r="O622" i="41"/>
  <c r="P622" i="41"/>
  <c r="Q622" i="41"/>
  <c r="R622" i="41"/>
  <c r="S622" i="41"/>
  <c r="J623" i="41"/>
  <c r="K623" i="41"/>
  <c r="L623" i="41"/>
  <c r="M623" i="41"/>
  <c r="N623" i="41"/>
  <c r="O623" i="41"/>
  <c r="P623" i="41"/>
  <c r="Q623" i="41"/>
  <c r="R623" i="41"/>
  <c r="S623" i="41"/>
  <c r="J624" i="41"/>
  <c r="K624" i="41"/>
  <c r="L624" i="41"/>
  <c r="M624" i="41"/>
  <c r="N624" i="41"/>
  <c r="O624" i="41"/>
  <c r="P624" i="41"/>
  <c r="Q624" i="41"/>
  <c r="R624" i="41"/>
  <c r="S624" i="41"/>
  <c r="J625" i="41"/>
  <c r="K625" i="41"/>
  <c r="L625" i="41"/>
  <c r="M625" i="41"/>
  <c r="N625" i="41"/>
  <c r="O625" i="41"/>
  <c r="P625" i="41"/>
  <c r="Q625" i="41"/>
  <c r="R625" i="41"/>
  <c r="S625" i="41"/>
  <c r="J626" i="41"/>
  <c r="K626" i="41"/>
  <c r="L626" i="41"/>
  <c r="M626" i="41"/>
  <c r="N626" i="41"/>
  <c r="O626" i="41"/>
  <c r="P626" i="41"/>
  <c r="Q626" i="41"/>
  <c r="R626" i="41"/>
  <c r="S626" i="41"/>
  <c r="J627" i="41"/>
  <c r="K627" i="41"/>
  <c r="L627" i="41"/>
  <c r="M627" i="41"/>
  <c r="N627" i="41"/>
  <c r="O627" i="41"/>
  <c r="P627" i="41"/>
  <c r="Q627" i="41"/>
  <c r="R627" i="41"/>
  <c r="S627" i="41"/>
  <c r="J628" i="41"/>
  <c r="K628" i="41"/>
  <c r="L628" i="41"/>
  <c r="M628" i="41"/>
  <c r="N628" i="41"/>
  <c r="O628" i="41"/>
  <c r="P628" i="41"/>
  <c r="Q628" i="41"/>
  <c r="R628" i="41"/>
  <c r="S628" i="41"/>
  <c r="J629" i="41"/>
  <c r="K629" i="41"/>
  <c r="L629" i="41"/>
  <c r="M629" i="41"/>
  <c r="N629" i="41"/>
  <c r="O629" i="41"/>
  <c r="P629" i="41"/>
  <c r="Q629" i="41"/>
  <c r="R629" i="41"/>
  <c r="S629" i="41"/>
  <c r="J630" i="41"/>
  <c r="K630" i="41"/>
  <c r="L630" i="41"/>
  <c r="M630" i="41"/>
  <c r="N630" i="41"/>
  <c r="O630" i="41"/>
  <c r="P630" i="41"/>
  <c r="Q630" i="41"/>
  <c r="R630" i="41"/>
  <c r="S630" i="41"/>
  <c r="J631" i="41"/>
  <c r="K631" i="41"/>
  <c r="L631" i="41"/>
  <c r="M631" i="41"/>
  <c r="N631" i="41"/>
  <c r="O631" i="41"/>
  <c r="P631" i="41"/>
  <c r="Q631" i="41"/>
  <c r="R631" i="41"/>
  <c r="S631" i="41"/>
  <c r="J632" i="41"/>
  <c r="K632" i="41"/>
  <c r="L632" i="41"/>
  <c r="M632" i="41"/>
  <c r="N632" i="41"/>
  <c r="O632" i="41"/>
  <c r="P632" i="41"/>
  <c r="Q632" i="41"/>
  <c r="R632" i="41"/>
  <c r="S632" i="41"/>
  <c r="J633" i="41"/>
  <c r="K633" i="41"/>
  <c r="L633" i="41"/>
  <c r="M633" i="41"/>
  <c r="N633" i="41"/>
  <c r="O633" i="41"/>
  <c r="P633" i="41"/>
  <c r="Q633" i="41"/>
  <c r="R633" i="41"/>
  <c r="S633" i="41"/>
  <c r="J634" i="41"/>
  <c r="K634" i="41"/>
  <c r="L634" i="41"/>
  <c r="M634" i="41"/>
  <c r="N634" i="41"/>
  <c r="O634" i="41"/>
  <c r="P634" i="41"/>
  <c r="Q634" i="41"/>
  <c r="R634" i="41"/>
  <c r="S634" i="41"/>
  <c r="J635" i="41"/>
  <c r="K635" i="41"/>
  <c r="L635" i="41"/>
  <c r="M635" i="41"/>
  <c r="N635" i="41"/>
  <c r="O635" i="41"/>
  <c r="P635" i="41"/>
  <c r="Q635" i="41"/>
  <c r="R635" i="41"/>
  <c r="S635" i="41"/>
  <c r="J636" i="41"/>
  <c r="K636" i="41"/>
  <c r="L636" i="41"/>
  <c r="M636" i="41"/>
  <c r="N636" i="41"/>
  <c r="O636" i="41"/>
  <c r="P636" i="41"/>
  <c r="Q636" i="41"/>
  <c r="R636" i="41"/>
  <c r="S636" i="41"/>
  <c r="J637" i="41"/>
  <c r="K637" i="41"/>
  <c r="L637" i="41"/>
  <c r="M637" i="41"/>
  <c r="N637" i="41"/>
  <c r="O637" i="41"/>
  <c r="P637" i="41"/>
  <c r="Q637" i="41"/>
  <c r="R637" i="41"/>
  <c r="S637" i="41"/>
  <c r="J638" i="41"/>
  <c r="K638" i="41"/>
  <c r="L638" i="41"/>
  <c r="M638" i="41"/>
  <c r="N638" i="41"/>
  <c r="O638" i="41"/>
  <c r="P638" i="41"/>
  <c r="Q638" i="41"/>
  <c r="R638" i="41"/>
  <c r="S638" i="41"/>
  <c r="J639" i="41"/>
  <c r="K639" i="41"/>
  <c r="L639" i="41"/>
  <c r="M639" i="41"/>
  <c r="N639" i="41"/>
  <c r="O639" i="41"/>
  <c r="P639" i="41"/>
  <c r="Q639" i="41"/>
  <c r="R639" i="41"/>
  <c r="S639" i="41"/>
  <c r="J640" i="41"/>
  <c r="K640" i="41"/>
  <c r="L640" i="41"/>
  <c r="M640" i="41"/>
  <c r="N640" i="41"/>
  <c r="O640" i="41"/>
  <c r="P640" i="41"/>
  <c r="Q640" i="41"/>
  <c r="R640" i="41"/>
  <c r="S640" i="41"/>
  <c r="J641" i="41"/>
  <c r="K641" i="41"/>
  <c r="L641" i="41"/>
  <c r="M641" i="41"/>
  <c r="N641" i="41"/>
  <c r="O641" i="41"/>
  <c r="P641" i="41"/>
  <c r="Q641" i="41"/>
  <c r="R641" i="41"/>
  <c r="S641" i="41"/>
  <c r="J642" i="41"/>
  <c r="K642" i="41"/>
  <c r="L642" i="41"/>
  <c r="M642" i="41"/>
  <c r="N642" i="41"/>
  <c r="O642" i="41"/>
  <c r="P642" i="41"/>
  <c r="Q642" i="41"/>
  <c r="R642" i="41"/>
  <c r="S642" i="41"/>
  <c r="J643" i="41"/>
  <c r="K643" i="41"/>
  <c r="L643" i="41"/>
  <c r="M643" i="41"/>
  <c r="N643" i="41"/>
  <c r="O643" i="41"/>
  <c r="P643" i="41"/>
  <c r="Q643" i="41"/>
  <c r="R643" i="41"/>
  <c r="S643" i="41"/>
  <c r="J644" i="41"/>
  <c r="K644" i="41"/>
  <c r="L644" i="41"/>
  <c r="M644" i="41"/>
  <c r="N644" i="41"/>
  <c r="O644" i="41"/>
  <c r="P644" i="41"/>
  <c r="Q644" i="41"/>
  <c r="R644" i="41"/>
  <c r="S644" i="41"/>
  <c r="J645" i="41"/>
  <c r="K645" i="41"/>
  <c r="L645" i="41"/>
  <c r="M645" i="41"/>
  <c r="N645" i="41"/>
  <c r="O645" i="41"/>
  <c r="P645" i="41"/>
  <c r="Q645" i="41"/>
  <c r="R645" i="41"/>
  <c r="S645" i="41"/>
  <c r="J646" i="41"/>
  <c r="K646" i="41"/>
  <c r="L646" i="41"/>
  <c r="M646" i="41"/>
  <c r="N646" i="41"/>
  <c r="O646" i="41"/>
  <c r="P646" i="41"/>
  <c r="Q646" i="41"/>
  <c r="R646" i="41"/>
  <c r="S646" i="41"/>
  <c r="J647" i="41"/>
  <c r="K647" i="41"/>
  <c r="L647" i="41"/>
  <c r="M647" i="41"/>
  <c r="N647" i="41"/>
  <c r="O647" i="41"/>
  <c r="P647" i="41"/>
  <c r="Q647" i="41"/>
  <c r="R647" i="41"/>
  <c r="S647" i="41"/>
  <c r="J648" i="41"/>
  <c r="K648" i="41"/>
  <c r="L648" i="41"/>
  <c r="M648" i="41"/>
  <c r="N648" i="41"/>
  <c r="O648" i="41"/>
  <c r="P648" i="41"/>
  <c r="Q648" i="41"/>
  <c r="R648" i="41"/>
  <c r="S648" i="41"/>
  <c r="J649" i="41"/>
  <c r="K649" i="41"/>
  <c r="L649" i="41"/>
  <c r="M649" i="41"/>
  <c r="N649" i="41"/>
  <c r="O649" i="41"/>
  <c r="P649" i="41"/>
  <c r="Q649" i="41"/>
  <c r="R649" i="41"/>
  <c r="S649" i="41"/>
  <c r="J650" i="41"/>
  <c r="K650" i="41"/>
  <c r="L650" i="41"/>
  <c r="M650" i="41"/>
  <c r="N650" i="41"/>
  <c r="O650" i="41"/>
  <c r="P650" i="41"/>
  <c r="Q650" i="41"/>
  <c r="R650" i="41"/>
  <c r="S650" i="41"/>
  <c r="J651" i="41"/>
  <c r="K651" i="41"/>
  <c r="L651" i="41"/>
  <c r="M651" i="41"/>
  <c r="N651" i="41"/>
  <c r="O651" i="41"/>
  <c r="P651" i="41"/>
  <c r="Q651" i="41"/>
  <c r="R651" i="41"/>
  <c r="S651" i="41"/>
  <c r="J652" i="41"/>
  <c r="K652" i="41"/>
  <c r="L652" i="41"/>
  <c r="M652" i="41"/>
  <c r="N652" i="41"/>
  <c r="O652" i="41"/>
  <c r="P652" i="41"/>
  <c r="Q652" i="41"/>
  <c r="R652" i="41"/>
  <c r="S652" i="41"/>
  <c r="J653" i="41"/>
  <c r="K653" i="41"/>
  <c r="L653" i="41"/>
  <c r="M653" i="41"/>
  <c r="N653" i="41"/>
  <c r="O653" i="41"/>
  <c r="P653" i="41"/>
  <c r="Q653" i="41"/>
  <c r="R653" i="41"/>
  <c r="S653" i="41"/>
  <c r="J654" i="41"/>
  <c r="K654" i="41"/>
  <c r="L654" i="41"/>
  <c r="M654" i="41"/>
  <c r="N654" i="41"/>
  <c r="O654" i="41"/>
  <c r="P654" i="41"/>
  <c r="Q654" i="41"/>
  <c r="R654" i="41"/>
  <c r="S654" i="41"/>
  <c r="J655" i="41"/>
  <c r="K655" i="41"/>
  <c r="L655" i="41"/>
  <c r="M655" i="41"/>
  <c r="N655" i="41"/>
  <c r="O655" i="41"/>
  <c r="P655" i="41"/>
  <c r="Q655" i="41"/>
  <c r="R655" i="41"/>
  <c r="S655" i="41"/>
  <c r="J656" i="41"/>
  <c r="K656" i="41"/>
  <c r="L656" i="41"/>
  <c r="M656" i="41"/>
  <c r="N656" i="41"/>
  <c r="O656" i="41"/>
  <c r="P656" i="41"/>
  <c r="Q656" i="41"/>
  <c r="R656" i="41"/>
  <c r="S656" i="41"/>
  <c r="J657" i="41"/>
  <c r="K657" i="41"/>
  <c r="L657" i="41"/>
  <c r="M657" i="41"/>
  <c r="N657" i="41"/>
  <c r="O657" i="41"/>
  <c r="P657" i="41"/>
  <c r="Q657" i="41"/>
  <c r="R657" i="41"/>
  <c r="S657" i="41"/>
  <c r="J658" i="41"/>
  <c r="K658" i="41"/>
  <c r="L658" i="41"/>
  <c r="M658" i="41"/>
  <c r="N658" i="41"/>
  <c r="O658" i="41"/>
  <c r="P658" i="41"/>
  <c r="Q658" i="41"/>
  <c r="R658" i="41"/>
  <c r="S658" i="41"/>
  <c r="J659" i="41"/>
  <c r="K659" i="41"/>
  <c r="L659" i="41"/>
  <c r="M659" i="41"/>
  <c r="N659" i="41"/>
  <c r="O659" i="41"/>
  <c r="P659" i="41"/>
  <c r="Q659" i="41"/>
  <c r="R659" i="41"/>
  <c r="S659" i="41"/>
  <c r="J660" i="41"/>
  <c r="K660" i="41"/>
  <c r="L660" i="41"/>
  <c r="M660" i="41"/>
  <c r="N660" i="41"/>
  <c r="O660" i="41"/>
  <c r="P660" i="41"/>
  <c r="Q660" i="41"/>
  <c r="R660" i="41"/>
  <c r="S660" i="41"/>
  <c r="J661" i="41"/>
  <c r="K661" i="41"/>
  <c r="L661" i="41"/>
  <c r="M661" i="41"/>
  <c r="N661" i="41"/>
  <c r="O661" i="41"/>
  <c r="P661" i="41"/>
  <c r="Q661" i="41"/>
  <c r="R661" i="41"/>
  <c r="S661" i="41"/>
  <c r="J662" i="41"/>
  <c r="K662" i="41"/>
  <c r="L662" i="41"/>
  <c r="M662" i="41"/>
  <c r="N662" i="41"/>
  <c r="O662" i="41"/>
  <c r="P662" i="41"/>
  <c r="Q662" i="41"/>
  <c r="R662" i="41"/>
  <c r="S662" i="41"/>
  <c r="J663" i="41"/>
  <c r="K663" i="41"/>
  <c r="L663" i="41"/>
  <c r="M663" i="41"/>
  <c r="N663" i="41"/>
  <c r="O663" i="41"/>
  <c r="P663" i="41"/>
  <c r="Q663" i="41"/>
  <c r="R663" i="41"/>
  <c r="S663" i="41"/>
  <c r="J664" i="41"/>
  <c r="K664" i="41"/>
  <c r="L664" i="41"/>
  <c r="M664" i="41"/>
  <c r="N664" i="41"/>
  <c r="O664" i="41"/>
  <c r="P664" i="41"/>
  <c r="Q664" i="41"/>
  <c r="R664" i="41"/>
  <c r="S664" i="41"/>
  <c r="J665" i="41"/>
  <c r="K665" i="41"/>
  <c r="L665" i="41"/>
  <c r="M665" i="41"/>
  <c r="N665" i="41"/>
  <c r="O665" i="41"/>
  <c r="P665" i="41"/>
  <c r="Q665" i="41"/>
  <c r="R665" i="41"/>
  <c r="S665" i="41"/>
  <c r="J666" i="41"/>
  <c r="K666" i="41"/>
  <c r="L666" i="41"/>
  <c r="M666" i="41"/>
  <c r="N666" i="41"/>
  <c r="O666" i="41"/>
  <c r="P666" i="41"/>
  <c r="Q666" i="41"/>
  <c r="R666" i="41"/>
  <c r="S666" i="41"/>
  <c r="J667" i="41"/>
  <c r="K667" i="41"/>
  <c r="L667" i="41"/>
  <c r="M667" i="41"/>
  <c r="N667" i="41"/>
  <c r="O667" i="41"/>
  <c r="P667" i="41"/>
  <c r="Q667" i="41"/>
  <c r="R667" i="41"/>
  <c r="S667" i="41"/>
  <c r="J668" i="41"/>
  <c r="K668" i="41"/>
  <c r="L668" i="41"/>
  <c r="M668" i="41"/>
  <c r="N668" i="41"/>
  <c r="O668" i="41"/>
  <c r="P668" i="41"/>
  <c r="Q668" i="41"/>
  <c r="R668" i="41"/>
  <c r="S668" i="41"/>
  <c r="J669" i="41"/>
  <c r="K669" i="41"/>
  <c r="L669" i="41"/>
  <c r="M669" i="41"/>
  <c r="N669" i="41"/>
  <c r="O669" i="41"/>
  <c r="P669" i="41"/>
  <c r="Q669" i="41"/>
  <c r="R669" i="41"/>
  <c r="S669" i="41"/>
  <c r="J670" i="41"/>
  <c r="K670" i="41"/>
  <c r="L670" i="41"/>
  <c r="M670" i="41"/>
  <c r="N670" i="41"/>
  <c r="O670" i="41"/>
  <c r="P670" i="41"/>
  <c r="Q670" i="41"/>
  <c r="R670" i="41"/>
  <c r="S670" i="41"/>
  <c r="J671" i="41"/>
  <c r="K671" i="41"/>
  <c r="L671" i="41"/>
  <c r="M671" i="41"/>
  <c r="N671" i="41"/>
  <c r="O671" i="41"/>
  <c r="P671" i="41"/>
  <c r="Q671" i="41"/>
  <c r="R671" i="41"/>
  <c r="S671" i="41"/>
  <c r="J672" i="41"/>
  <c r="K672" i="41"/>
  <c r="L672" i="41"/>
  <c r="M672" i="41"/>
  <c r="N672" i="41"/>
  <c r="O672" i="41"/>
  <c r="P672" i="41"/>
  <c r="Q672" i="41"/>
  <c r="R672" i="41"/>
  <c r="S672" i="41"/>
  <c r="J673" i="41"/>
  <c r="K673" i="41"/>
  <c r="L673" i="41"/>
  <c r="M673" i="41"/>
  <c r="N673" i="41"/>
  <c r="O673" i="41"/>
  <c r="P673" i="41"/>
  <c r="Q673" i="41"/>
  <c r="R673" i="41"/>
  <c r="S673" i="41"/>
  <c r="J674" i="41"/>
  <c r="K674" i="41"/>
  <c r="L674" i="41"/>
  <c r="M674" i="41"/>
  <c r="N674" i="41"/>
  <c r="O674" i="41"/>
  <c r="P674" i="41"/>
  <c r="Q674" i="41"/>
  <c r="R674" i="41"/>
  <c r="S674" i="41"/>
  <c r="J675" i="41"/>
  <c r="K675" i="41"/>
  <c r="L675" i="41"/>
  <c r="M675" i="41"/>
  <c r="N675" i="41"/>
  <c r="O675" i="41"/>
  <c r="P675" i="41"/>
  <c r="Q675" i="41"/>
  <c r="R675" i="41"/>
  <c r="S675" i="41"/>
  <c r="J676" i="41"/>
  <c r="K676" i="41"/>
  <c r="L676" i="41"/>
  <c r="M676" i="41"/>
  <c r="N676" i="41"/>
  <c r="O676" i="41"/>
  <c r="P676" i="41"/>
  <c r="Q676" i="41"/>
  <c r="R676" i="41"/>
  <c r="S676" i="41"/>
  <c r="J677" i="41"/>
  <c r="K677" i="41"/>
  <c r="L677" i="41"/>
  <c r="M677" i="41"/>
  <c r="N677" i="41"/>
  <c r="O677" i="41"/>
  <c r="P677" i="41"/>
  <c r="Q677" i="41"/>
  <c r="R677" i="41"/>
  <c r="S677" i="41"/>
  <c r="J678" i="41"/>
  <c r="K678" i="41"/>
  <c r="L678" i="41"/>
  <c r="M678" i="41"/>
  <c r="N678" i="41"/>
  <c r="O678" i="41"/>
  <c r="P678" i="41"/>
  <c r="Q678" i="41"/>
  <c r="R678" i="41"/>
  <c r="S678" i="41"/>
  <c r="J679" i="41"/>
  <c r="K679" i="41"/>
  <c r="L679" i="41"/>
  <c r="M679" i="41"/>
  <c r="N679" i="41"/>
  <c r="O679" i="41"/>
  <c r="P679" i="41"/>
  <c r="Q679" i="41"/>
  <c r="R679" i="41"/>
  <c r="S679" i="41"/>
  <c r="J680" i="41"/>
  <c r="K680" i="41"/>
  <c r="L680" i="41"/>
  <c r="M680" i="41"/>
  <c r="N680" i="41"/>
  <c r="O680" i="41"/>
  <c r="P680" i="41"/>
  <c r="Q680" i="41"/>
  <c r="R680" i="41"/>
  <c r="S680" i="41"/>
  <c r="J681" i="41"/>
  <c r="K681" i="41"/>
  <c r="L681" i="41"/>
  <c r="M681" i="41"/>
  <c r="N681" i="41"/>
  <c r="O681" i="41"/>
  <c r="P681" i="41"/>
  <c r="Q681" i="41"/>
  <c r="R681" i="41"/>
  <c r="S681" i="41"/>
  <c r="J682" i="41"/>
  <c r="K682" i="41"/>
  <c r="L682" i="41"/>
  <c r="M682" i="41"/>
  <c r="N682" i="41"/>
  <c r="O682" i="41"/>
  <c r="P682" i="41"/>
  <c r="Q682" i="41"/>
  <c r="R682" i="41"/>
  <c r="S682" i="41"/>
  <c r="J683" i="41"/>
  <c r="K683" i="41"/>
  <c r="L683" i="41"/>
  <c r="M683" i="41"/>
  <c r="N683" i="41"/>
  <c r="O683" i="41"/>
  <c r="P683" i="41"/>
  <c r="Q683" i="41"/>
  <c r="R683" i="41"/>
  <c r="S683" i="41"/>
  <c r="J684" i="41"/>
  <c r="K684" i="41"/>
  <c r="L684" i="41"/>
  <c r="M684" i="41"/>
  <c r="N684" i="41"/>
  <c r="O684" i="41"/>
  <c r="P684" i="41"/>
  <c r="Q684" i="41"/>
  <c r="R684" i="41"/>
  <c r="S684" i="41"/>
  <c r="J685" i="41"/>
  <c r="K685" i="41"/>
  <c r="L685" i="41"/>
  <c r="M685" i="41"/>
  <c r="N685" i="41"/>
  <c r="O685" i="41"/>
  <c r="P685" i="41"/>
  <c r="Q685" i="41"/>
  <c r="R685" i="41"/>
  <c r="S685" i="41"/>
  <c r="J686" i="41"/>
  <c r="K686" i="41"/>
  <c r="L686" i="41"/>
  <c r="M686" i="41"/>
  <c r="N686" i="41"/>
  <c r="O686" i="41"/>
  <c r="P686" i="41"/>
  <c r="Q686" i="41"/>
  <c r="R686" i="41"/>
  <c r="S686" i="41"/>
  <c r="J687" i="41"/>
  <c r="K687" i="41"/>
  <c r="L687" i="41"/>
  <c r="M687" i="41"/>
  <c r="N687" i="41"/>
  <c r="O687" i="41"/>
  <c r="P687" i="41"/>
  <c r="Q687" i="41"/>
  <c r="R687" i="41"/>
  <c r="S687" i="41"/>
  <c r="J688" i="41"/>
  <c r="K688" i="41"/>
  <c r="L688" i="41"/>
  <c r="M688" i="41"/>
  <c r="N688" i="41"/>
  <c r="O688" i="41"/>
  <c r="P688" i="41"/>
  <c r="Q688" i="41"/>
  <c r="R688" i="41"/>
  <c r="S688" i="41"/>
  <c r="J689" i="41"/>
  <c r="K689" i="41"/>
  <c r="L689" i="41"/>
  <c r="M689" i="41"/>
  <c r="N689" i="41"/>
  <c r="O689" i="41"/>
  <c r="P689" i="41"/>
  <c r="Q689" i="41"/>
  <c r="R689" i="41"/>
  <c r="S689" i="41"/>
  <c r="J690" i="41"/>
  <c r="K690" i="41"/>
  <c r="L690" i="41"/>
  <c r="M690" i="41"/>
  <c r="N690" i="41"/>
  <c r="O690" i="41"/>
  <c r="P690" i="41"/>
  <c r="Q690" i="41"/>
  <c r="R690" i="41"/>
  <c r="S690" i="41"/>
  <c r="J691" i="41"/>
  <c r="K691" i="41"/>
  <c r="L691" i="41"/>
  <c r="M691" i="41"/>
  <c r="N691" i="41"/>
  <c r="O691" i="41"/>
  <c r="P691" i="41"/>
  <c r="Q691" i="41"/>
  <c r="R691" i="41"/>
  <c r="S691" i="41"/>
  <c r="J692" i="41"/>
  <c r="K692" i="41"/>
  <c r="L692" i="41"/>
  <c r="M692" i="41"/>
  <c r="N692" i="41"/>
  <c r="O692" i="41"/>
  <c r="P692" i="41"/>
  <c r="Q692" i="41"/>
  <c r="R692" i="41"/>
  <c r="S692" i="41"/>
  <c r="J693" i="41"/>
  <c r="K693" i="41"/>
  <c r="L693" i="41"/>
  <c r="M693" i="41"/>
  <c r="N693" i="41"/>
  <c r="O693" i="41"/>
  <c r="P693" i="41"/>
  <c r="Q693" i="41"/>
  <c r="R693" i="41"/>
  <c r="S693" i="41"/>
  <c r="J694" i="41"/>
  <c r="K694" i="41"/>
  <c r="L694" i="41"/>
  <c r="M694" i="41"/>
  <c r="N694" i="41"/>
  <c r="O694" i="41"/>
  <c r="P694" i="41"/>
  <c r="Q694" i="41"/>
  <c r="R694" i="41"/>
  <c r="S694" i="41"/>
  <c r="J695" i="41"/>
  <c r="K695" i="41"/>
  <c r="L695" i="41"/>
  <c r="M695" i="41"/>
  <c r="N695" i="41"/>
  <c r="O695" i="41"/>
  <c r="P695" i="41"/>
  <c r="Q695" i="41"/>
  <c r="R695" i="41"/>
  <c r="S695" i="41"/>
  <c r="J696" i="41"/>
  <c r="K696" i="41"/>
  <c r="L696" i="41"/>
  <c r="M696" i="41"/>
  <c r="N696" i="41"/>
  <c r="O696" i="41"/>
  <c r="P696" i="41"/>
  <c r="Q696" i="41"/>
  <c r="R696" i="41"/>
  <c r="S696" i="41"/>
  <c r="J697" i="41"/>
  <c r="K697" i="41"/>
  <c r="L697" i="41"/>
  <c r="M697" i="41"/>
  <c r="N697" i="41"/>
  <c r="O697" i="41"/>
  <c r="P697" i="41"/>
  <c r="Q697" i="41"/>
  <c r="R697" i="41"/>
  <c r="S697" i="41"/>
  <c r="J698" i="41"/>
  <c r="K698" i="41"/>
  <c r="L698" i="41"/>
  <c r="M698" i="41"/>
  <c r="N698" i="41"/>
  <c r="O698" i="41"/>
  <c r="P698" i="41"/>
  <c r="Q698" i="41"/>
  <c r="R698" i="41"/>
  <c r="S698" i="41"/>
  <c r="J699" i="41"/>
  <c r="K699" i="41"/>
  <c r="L699" i="41"/>
  <c r="M699" i="41"/>
  <c r="N699" i="41"/>
  <c r="O699" i="41"/>
  <c r="P699" i="41"/>
  <c r="Q699" i="41"/>
  <c r="R699" i="41"/>
  <c r="S699" i="41"/>
  <c r="J700" i="41"/>
  <c r="K700" i="41"/>
  <c r="L700" i="41"/>
  <c r="M700" i="41"/>
  <c r="N700" i="41"/>
  <c r="O700" i="41"/>
  <c r="P700" i="41"/>
  <c r="Q700" i="41"/>
  <c r="R700" i="41"/>
  <c r="S700" i="41"/>
  <c r="J701" i="41"/>
  <c r="K701" i="41"/>
  <c r="L701" i="41"/>
  <c r="M701" i="41"/>
  <c r="N701" i="41"/>
  <c r="O701" i="41"/>
  <c r="P701" i="41"/>
  <c r="Q701" i="41"/>
  <c r="R701" i="41"/>
  <c r="S701" i="41"/>
  <c r="J702" i="41"/>
  <c r="K702" i="41"/>
  <c r="L702" i="41"/>
  <c r="M702" i="41"/>
  <c r="N702" i="41"/>
  <c r="O702" i="41"/>
  <c r="P702" i="41"/>
  <c r="Q702" i="41"/>
  <c r="R702" i="41"/>
  <c r="S702" i="41"/>
  <c r="J703" i="41"/>
  <c r="K703" i="41"/>
  <c r="L703" i="41"/>
  <c r="M703" i="41"/>
  <c r="N703" i="41"/>
  <c r="O703" i="41"/>
  <c r="P703" i="41"/>
  <c r="Q703" i="41"/>
  <c r="R703" i="41"/>
  <c r="S703" i="41"/>
  <c r="J704" i="41"/>
  <c r="K704" i="41"/>
  <c r="L704" i="41"/>
  <c r="M704" i="41"/>
  <c r="N704" i="41"/>
  <c r="O704" i="41"/>
  <c r="P704" i="41"/>
  <c r="Q704" i="41"/>
  <c r="R704" i="41"/>
  <c r="S704" i="41"/>
  <c r="J705" i="41"/>
  <c r="K705" i="41"/>
  <c r="L705" i="41"/>
  <c r="M705" i="41"/>
  <c r="N705" i="41"/>
  <c r="O705" i="41"/>
  <c r="P705" i="41"/>
  <c r="Q705" i="41"/>
  <c r="R705" i="41"/>
  <c r="S705" i="41"/>
  <c r="J706" i="41"/>
  <c r="K706" i="41"/>
  <c r="L706" i="41"/>
  <c r="M706" i="41"/>
  <c r="N706" i="41"/>
  <c r="O706" i="41"/>
  <c r="P706" i="41"/>
  <c r="Q706" i="41"/>
  <c r="R706" i="41"/>
  <c r="S706" i="41"/>
  <c r="J707" i="41"/>
  <c r="K707" i="41"/>
  <c r="L707" i="41"/>
  <c r="M707" i="41"/>
  <c r="N707" i="41"/>
  <c r="O707" i="41"/>
  <c r="P707" i="41"/>
  <c r="Q707" i="41"/>
  <c r="R707" i="41"/>
  <c r="S707" i="41"/>
  <c r="J708" i="41"/>
  <c r="K708" i="41"/>
  <c r="L708" i="41"/>
  <c r="M708" i="41"/>
  <c r="N708" i="41"/>
  <c r="O708" i="41"/>
  <c r="P708" i="41"/>
  <c r="Q708" i="41"/>
  <c r="R708" i="41"/>
  <c r="S708" i="41"/>
  <c r="J709" i="41"/>
  <c r="K709" i="41"/>
  <c r="L709" i="41"/>
  <c r="M709" i="41"/>
  <c r="N709" i="41"/>
  <c r="O709" i="41"/>
  <c r="P709" i="41"/>
  <c r="Q709" i="41"/>
  <c r="R709" i="41"/>
  <c r="S709" i="41"/>
  <c r="J710" i="41"/>
  <c r="K710" i="41"/>
  <c r="L710" i="41"/>
  <c r="M710" i="41"/>
  <c r="N710" i="41"/>
  <c r="O710" i="41"/>
  <c r="P710" i="41"/>
  <c r="Q710" i="41"/>
  <c r="R710" i="41"/>
  <c r="S710" i="41"/>
  <c r="J711" i="41"/>
  <c r="K711" i="41"/>
  <c r="L711" i="41"/>
  <c r="M711" i="41"/>
  <c r="N711" i="41"/>
  <c r="O711" i="41"/>
  <c r="P711" i="41"/>
  <c r="Q711" i="41"/>
  <c r="R711" i="41"/>
  <c r="S711" i="41"/>
  <c r="J712" i="41"/>
  <c r="K712" i="41"/>
  <c r="L712" i="41"/>
  <c r="M712" i="41"/>
  <c r="N712" i="41"/>
  <c r="O712" i="41"/>
  <c r="P712" i="41"/>
  <c r="Q712" i="41"/>
  <c r="R712" i="41"/>
  <c r="S712" i="41"/>
  <c r="J713" i="41"/>
  <c r="K713" i="41"/>
  <c r="L713" i="41"/>
  <c r="M713" i="41"/>
  <c r="N713" i="41"/>
  <c r="O713" i="41"/>
  <c r="P713" i="41"/>
  <c r="Q713" i="41"/>
  <c r="R713" i="41"/>
  <c r="S713" i="41"/>
  <c r="J714" i="41"/>
  <c r="K714" i="41"/>
  <c r="L714" i="41"/>
  <c r="M714" i="41"/>
  <c r="N714" i="41"/>
  <c r="O714" i="41"/>
  <c r="P714" i="41"/>
  <c r="Q714" i="41"/>
  <c r="R714" i="41"/>
  <c r="S714" i="41"/>
  <c r="J715" i="41"/>
  <c r="K715" i="41"/>
  <c r="L715" i="41"/>
  <c r="M715" i="41"/>
  <c r="N715" i="41"/>
  <c r="O715" i="41"/>
  <c r="P715" i="41"/>
  <c r="Q715" i="41"/>
  <c r="R715" i="41"/>
  <c r="S715" i="41"/>
  <c r="J716" i="41"/>
  <c r="K716" i="41"/>
  <c r="L716" i="41"/>
  <c r="M716" i="41"/>
  <c r="N716" i="41"/>
  <c r="O716" i="41"/>
  <c r="P716" i="41"/>
  <c r="Q716" i="41"/>
  <c r="R716" i="41"/>
  <c r="S716" i="41"/>
  <c r="J717" i="41"/>
  <c r="K717" i="41"/>
  <c r="L717" i="41"/>
  <c r="M717" i="41"/>
  <c r="N717" i="41"/>
  <c r="O717" i="41"/>
  <c r="P717" i="41"/>
  <c r="Q717" i="41"/>
  <c r="R717" i="41"/>
  <c r="S717" i="41"/>
  <c r="J718" i="41"/>
  <c r="K718" i="41"/>
  <c r="L718" i="41"/>
  <c r="M718" i="41"/>
  <c r="N718" i="41"/>
  <c r="O718" i="41"/>
  <c r="P718" i="41"/>
  <c r="Q718" i="41"/>
  <c r="R718" i="41"/>
  <c r="S718" i="41"/>
  <c r="J719" i="41"/>
  <c r="K719" i="41"/>
  <c r="L719" i="41"/>
  <c r="M719" i="41"/>
  <c r="N719" i="41"/>
  <c r="O719" i="41"/>
  <c r="P719" i="41"/>
  <c r="Q719" i="41"/>
  <c r="R719" i="41"/>
  <c r="S719" i="41"/>
  <c r="J720" i="41"/>
  <c r="K720" i="41"/>
  <c r="L720" i="41"/>
  <c r="M720" i="41"/>
  <c r="N720" i="41"/>
  <c r="O720" i="41"/>
  <c r="P720" i="41"/>
  <c r="Q720" i="41"/>
  <c r="R720" i="41"/>
  <c r="S720" i="41"/>
  <c r="J721" i="41"/>
  <c r="K721" i="41"/>
  <c r="L721" i="41"/>
  <c r="M721" i="41"/>
  <c r="N721" i="41"/>
  <c r="O721" i="41"/>
  <c r="P721" i="41"/>
  <c r="Q721" i="41"/>
  <c r="R721" i="41"/>
  <c r="S721" i="41"/>
  <c r="J722" i="41"/>
  <c r="K722" i="41"/>
  <c r="L722" i="41"/>
  <c r="M722" i="41"/>
  <c r="N722" i="41"/>
  <c r="O722" i="41"/>
  <c r="P722" i="41"/>
  <c r="Q722" i="41"/>
  <c r="R722" i="41"/>
  <c r="S722" i="41"/>
  <c r="J723" i="41"/>
  <c r="K723" i="41"/>
  <c r="L723" i="41"/>
  <c r="M723" i="41"/>
  <c r="N723" i="41"/>
  <c r="O723" i="41"/>
  <c r="P723" i="41"/>
  <c r="Q723" i="41"/>
  <c r="R723" i="41"/>
  <c r="S723" i="41"/>
  <c r="J724" i="41"/>
  <c r="K724" i="41"/>
  <c r="L724" i="41"/>
  <c r="M724" i="41"/>
  <c r="N724" i="41"/>
  <c r="O724" i="41"/>
  <c r="P724" i="41"/>
  <c r="Q724" i="41"/>
  <c r="R724" i="41"/>
  <c r="S724" i="41"/>
  <c r="J725" i="41"/>
  <c r="K725" i="41"/>
  <c r="L725" i="41"/>
  <c r="M725" i="41"/>
  <c r="N725" i="41"/>
  <c r="O725" i="41"/>
  <c r="P725" i="41"/>
  <c r="Q725" i="41"/>
  <c r="R725" i="41"/>
  <c r="S725" i="41"/>
  <c r="J726" i="41"/>
  <c r="K726" i="41"/>
  <c r="L726" i="41"/>
  <c r="M726" i="41"/>
  <c r="N726" i="41"/>
  <c r="O726" i="41"/>
  <c r="P726" i="41"/>
  <c r="Q726" i="41"/>
  <c r="R726" i="41"/>
  <c r="S726" i="41"/>
  <c r="J727" i="41"/>
  <c r="K727" i="41"/>
  <c r="L727" i="41"/>
  <c r="M727" i="41"/>
  <c r="N727" i="41"/>
  <c r="O727" i="41"/>
  <c r="P727" i="41"/>
  <c r="Q727" i="41"/>
  <c r="R727" i="41"/>
  <c r="S727" i="41"/>
  <c r="J728" i="41"/>
  <c r="K728" i="41"/>
  <c r="L728" i="41"/>
  <c r="M728" i="41"/>
  <c r="N728" i="41"/>
  <c r="O728" i="41"/>
  <c r="P728" i="41"/>
  <c r="Q728" i="41"/>
  <c r="R728" i="41"/>
  <c r="S728" i="41"/>
  <c r="J729" i="41"/>
  <c r="K729" i="41"/>
  <c r="L729" i="41"/>
  <c r="M729" i="41"/>
  <c r="N729" i="41"/>
  <c r="O729" i="41"/>
  <c r="P729" i="41"/>
  <c r="Q729" i="41"/>
  <c r="R729" i="41"/>
  <c r="S729" i="41"/>
  <c r="J730" i="41"/>
  <c r="K730" i="41"/>
  <c r="L730" i="41"/>
  <c r="M730" i="41"/>
  <c r="N730" i="41"/>
  <c r="O730" i="41"/>
  <c r="P730" i="41"/>
  <c r="Q730" i="41"/>
  <c r="R730" i="41"/>
  <c r="S730" i="41"/>
  <c r="J731" i="41"/>
  <c r="K731" i="41"/>
  <c r="L731" i="41"/>
  <c r="M731" i="41"/>
  <c r="N731" i="41"/>
  <c r="O731" i="41"/>
  <c r="P731" i="41"/>
  <c r="Q731" i="41"/>
  <c r="R731" i="41"/>
  <c r="S731" i="41"/>
  <c r="J732" i="41"/>
  <c r="K732" i="41"/>
  <c r="L732" i="41"/>
  <c r="M732" i="41"/>
  <c r="N732" i="41"/>
  <c r="O732" i="41"/>
  <c r="P732" i="41"/>
  <c r="Q732" i="41"/>
  <c r="R732" i="41"/>
  <c r="S732" i="41"/>
  <c r="J733" i="41"/>
  <c r="K733" i="41"/>
  <c r="L733" i="41"/>
  <c r="M733" i="41"/>
  <c r="N733" i="41"/>
  <c r="O733" i="41"/>
  <c r="P733" i="41"/>
  <c r="Q733" i="41"/>
  <c r="R733" i="41"/>
  <c r="S733" i="41"/>
  <c r="J734" i="41"/>
  <c r="K734" i="41"/>
  <c r="L734" i="41"/>
  <c r="M734" i="41"/>
  <c r="N734" i="41"/>
  <c r="O734" i="41"/>
  <c r="P734" i="41"/>
  <c r="Q734" i="41"/>
  <c r="R734" i="41"/>
  <c r="S734" i="41"/>
  <c r="J735" i="41"/>
  <c r="K735" i="41"/>
  <c r="L735" i="41"/>
  <c r="M735" i="41"/>
  <c r="N735" i="41"/>
  <c r="O735" i="41"/>
  <c r="P735" i="41"/>
  <c r="Q735" i="41"/>
  <c r="R735" i="41"/>
  <c r="S735" i="41"/>
  <c r="J736" i="41"/>
  <c r="K736" i="41"/>
  <c r="L736" i="41"/>
  <c r="M736" i="41"/>
  <c r="N736" i="41"/>
  <c r="O736" i="41"/>
  <c r="P736" i="41"/>
  <c r="Q736" i="41"/>
  <c r="R736" i="41"/>
  <c r="S736" i="41"/>
  <c r="J737" i="41"/>
  <c r="K737" i="41"/>
  <c r="L737" i="41"/>
  <c r="M737" i="41"/>
  <c r="N737" i="41"/>
  <c r="O737" i="41"/>
  <c r="P737" i="41"/>
  <c r="Q737" i="41"/>
  <c r="R737" i="41"/>
  <c r="S737" i="41"/>
  <c r="J738" i="41"/>
  <c r="K738" i="41"/>
  <c r="L738" i="41"/>
  <c r="M738" i="41"/>
  <c r="N738" i="41"/>
  <c r="O738" i="41"/>
  <c r="P738" i="41"/>
  <c r="Q738" i="41"/>
  <c r="R738" i="41"/>
  <c r="S738" i="41"/>
  <c r="J739" i="41"/>
  <c r="K739" i="41"/>
  <c r="L739" i="41"/>
  <c r="M739" i="41"/>
  <c r="N739" i="41"/>
  <c r="O739" i="41"/>
  <c r="P739" i="41"/>
  <c r="Q739" i="41"/>
  <c r="R739" i="41"/>
  <c r="S739" i="41"/>
  <c r="J740" i="41"/>
  <c r="K740" i="41"/>
  <c r="L740" i="41"/>
  <c r="M740" i="41"/>
  <c r="N740" i="41"/>
  <c r="O740" i="41"/>
  <c r="P740" i="41"/>
  <c r="Q740" i="41"/>
  <c r="R740" i="41"/>
  <c r="S740" i="41"/>
  <c r="J741" i="41"/>
  <c r="K741" i="41"/>
  <c r="L741" i="41"/>
  <c r="M741" i="41"/>
  <c r="N741" i="41"/>
  <c r="O741" i="41"/>
  <c r="P741" i="41"/>
  <c r="Q741" i="41"/>
  <c r="R741" i="41"/>
  <c r="S741" i="41"/>
  <c r="J742" i="41"/>
  <c r="K742" i="41"/>
  <c r="L742" i="41"/>
  <c r="M742" i="41"/>
  <c r="N742" i="41"/>
  <c r="O742" i="41"/>
  <c r="P742" i="41"/>
  <c r="Q742" i="41"/>
  <c r="R742" i="41"/>
  <c r="S742" i="41"/>
  <c r="J743" i="41"/>
  <c r="K743" i="41"/>
  <c r="L743" i="41"/>
  <c r="M743" i="41"/>
  <c r="N743" i="41"/>
  <c r="O743" i="41"/>
  <c r="P743" i="41"/>
  <c r="Q743" i="41"/>
  <c r="R743" i="41"/>
  <c r="S743" i="41"/>
  <c r="J744" i="41"/>
  <c r="K744" i="41"/>
  <c r="L744" i="41"/>
  <c r="M744" i="41"/>
  <c r="N744" i="41"/>
  <c r="O744" i="41"/>
  <c r="P744" i="41"/>
  <c r="Q744" i="41"/>
  <c r="R744" i="41"/>
  <c r="S744" i="41"/>
  <c r="J745" i="41"/>
  <c r="K745" i="41"/>
  <c r="L745" i="41"/>
  <c r="M745" i="41"/>
  <c r="N745" i="41"/>
  <c r="O745" i="41"/>
  <c r="P745" i="41"/>
  <c r="Q745" i="41"/>
  <c r="R745" i="41"/>
  <c r="S745" i="41"/>
  <c r="J746" i="41"/>
  <c r="K746" i="41"/>
  <c r="L746" i="41"/>
  <c r="M746" i="41"/>
  <c r="N746" i="41"/>
  <c r="O746" i="41"/>
  <c r="P746" i="41"/>
  <c r="Q746" i="41"/>
  <c r="R746" i="41"/>
  <c r="S746" i="41"/>
  <c r="J747" i="41"/>
  <c r="K747" i="41"/>
  <c r="L747" i="41"/>
  <c r="M747" i="41"/>
  <c r="N747" i="41"/>
  <c r="O747" i="41"/>
  <c r="P747" i="41"/>
  <c r="Q747" i="41"/>
  <c r="R747" i="41"/>
  <c r="S747" i="41"/>
  <c r="J748" i="41"/>
  <c r="K748" i="41"/>
  <c r="L748" i="41"/>
  <c r="M748" i="41"/>
  <c r="N748" i="41"/>
  <c r="O748" i="41"/>
  <c r="P748" i="41"/>
  <c r="Q748" i="41"/>
  <c r="R748" i="41"/>
  <c r="S748" i="41"/>
  <c r="J749" i="41"/>
  <c r="K749" i="41"/>
  <c r="L749" i="41"/>
  <c r="M749" i="41"/>
  <c r="N749" i="41"/>
  <c r="O749" i="41"/>
  <c r="P749" i="41"/>
  <c r="Q749" i="41"/>
  <c r="R749" i="41"/>
  <c r="S749" i="41"/>
  <c r="J750" i="41"/>
  <c r="K750" i="41"/>
  <c r="L750" i="41"/>
  <c r="M750" i="41"/>
  <c r="N750" i="41"/>
  <c r="O750" i="41"/>
  <c r="P750" i="41"/>
  <c r="Q750" i="41"/>
  <c r="R750" i="41"/>
  <c r="S750" i="41"/>
  <c r="J751" i="41"/>
  <c r="K751" i="41"/>
  <c r="L751" i="41"/>
  <c r="M751" i="41"/>
  <c r="N751" i="41"/>
  <c r="O751" i="41"/>
  <c r="P751" i="41"/>
  <c r="Q751" i="41"/>
  <c r="R751" i="41"/>
  <c r="S751" i="41"/>
  <c r="J752" i="41"/>
  <c r="K752" i="41"/>
  <c r="L752" i="41"/>
  <c r="M752" i="41"/>
  <c r="N752" i="41"/>
  <c r="O752" i="41"/>
  <c r="P752" i="41"/>
  <c r="Q752" i="41"/>
  <c r="R752" i="41"/>
  <c r="S752" i="41"/>
  <c r="J753" i="41"/>
  <c r="K753" i="41"/>
  <c r="L753" i="41"/>
  <c r="M753" i="41"/>
  <c r="N753" i="41"/>
  <c r="O753" i="41"/>
  <c r="P753" i="41"/>
  <c r="Q753" i="41"/>
  <c r="R753" i="41"/>
  <c r="S753" i="41"/>
  <c r="J754" i="41"/>
  <c r="K754" i="41"/>
  <c r="L754" i="41"/>
  <c r="M754" i="41"/>
  <c r="N754" i="41"/>
  <c r="O754" i="41"/>
  <c r="P754" i="41"/>
  <c r="Q754" i="41"/>
  <c r="R754" i="41"/>
  <c r="S754" i="41"/>
  <c r="J755" i="41"/>
  <c r="K755" i="41"/>
  <c r="L755" i="41"/>
  <c r="M755" i="41"/>
  <c r="N755" i="41"/>
  <c r="O755" i="41"/>
  <c r="P755" i="41"/>
  <c r="Q755" i="41"/>
  <c r="R755" i="41"/>
  <c r="S755" i="41"/>
  <c r="J756" i="41"/>
  <c r="K756" i="41"/>
  <c r="L756" i="41"/>
  <c r="M756" i="41"/>
  <c r="N756" i="41"/>
  <c r="O756" i="41"/>
  <c r="P756" i="41"/>
  <c r="Q756" i="41"/>
  <c r="R756" i="41"/>
  <c r="S756" i="41"/>
  <c r="J757" i="41"/>
  <c r="K757" i="41"/>
  <c r="L757" i="41"/>
  <c r="M757" i="41"/>
  <c r="N757" i="41"/>
  <c r="O757" i="41"/>
  <c r="P757" i="41"/>
  <c r="Q757" i="41"/>
  <c r="R757" i="41"/>
  <c r="S757" i="41"/>
  <c r="J758" i="41"/>
  <c r="K758" i="41"/>
  <c r="L758" i="41"/>
  <c r="M758" i="41"/>
  <c r="N758" i="41"/>
  <c r="O758" i="41"/>
  <c r="P758" i="41"/>
  <c r="Q758" i="41"/>
  <c r="R758" i="41"/>
  <c r="S758" i="41"/>
  <c r="J759" i="41"/>
  <c r="K759" i="41"/>
  <c r="L759" i="41"/>
  <c r="M759" i="41"/>
  <c r="N759" i="41"/>
  <c r="O759" i="41"/>
  <c r="P759" i="41"/>
  <c r="Q759" i="41"/>
  <c r="R759" i="41"/>
  <c r="S759" i="41"/>
  <c r="J760" i="41"/>
  <c r="K760" i="41"/>
  <c r="L760" i="41"/>
  <c r="M760" i="41"/>
  <c r="N760" i="41"/>
  <c r="O760" i="41"/>
  <c r="P760" i="41"/>
  <c r="Q760" i="41"/>
  <c r="R760" i="41"/>
  <c r="S760" i="41"/>
  <c r="J761" i="41"/>
  <c r="K761" i="41"/>
  <c r="L761" i="41"/>
  <c r="M761" i="41"/>
  <c r="N761" i="41"/>
  <c r="O761" i="41"/>
  <c r="P761" i="41"/>
  <c r="Q761" i="41"/>
  <c r="R761" i="41"/>
  <c r="S761" i="41"/>
  <c r="J762" i="41"/>
  <c r="K762" i="41"/>
  <c r="L762" i="41"/>
  <c r="M762" i="41"/>
  <c r="N762" i="41"/>
  <c r="O762" i="41"/>
  <c r="P762" i="41"/>
  <c r="Q762" i="41"/>
  <c r="R762" i="41"/>
  <c r="S762" i="41"/>
  <c r="J763" i="41"/>
  <c r="K763" i="41"/>
  <c r="L763" i="41"/>
  <c r="M763" i="41"/>
  <c r="N763" i="41"/>
  <c r="O763" i="41"/>
  <c r="P763" i="41"/>
  <c r="Q763" i="41"/>
  <c r="R763" i="41"/>
  <c r="S763" i="41"/>
  <c r="J764" i="41"/>
  <c r="K764" i="41"/>
  <c r="L764" i="41"/>
  <c r="M764" i="41"/>
  <c r="N764" i="41"/>
  <c r="O764" i="41"/>
  <c r="P764" i="41"/>
  <c r="Q764" i="41"/>
  <c r="R764" i="41"/>
  <c r="S764" i="41"/>
  <c r="J765" i="41"/>
  <c r="K765" i="41"/>
  <c r="L765" i="41"/>
  <c r="M765" i="41"/>
  <c r="N765" i="41"/>
  <c r="O765" i="41"/>
  <c r="P765" i="41"/>
  <c r="Q765" i="41"/>
  <c r="R765" i="41"/>
  <c r="S765" i="41"/>
  <c r="J766" i="41"/>
  <c r="K766" i="41"/>
  <c r="L766" i="41"/>
  <c r="M766" i="41"/>
  <c r="N766" i="41"/>
  <c r="O766" i="41"/>
  <c r="P766" i="41"/>
  <c r="Q766" i="41"/>
  <c r="R766" i="41"/>
  <c r="S766" i="41"/>
  <c r="J767" i="41"/>
  <c r="K767" i="41"/>
  <c r="L767" i="41"/>
  <c r="M767" i="41"/>
  <c r="N767" i="41"/>
  <c r="O767" i="41"/>
  <c r="P767" i="41"/>
  <c r="Q767" i="41"/>
  <c r="R767" i="41"/>
  <c r="S767" i="41"/>
  <c r="J768" i="41"/>
  <c r="K768" i="41"/>
  <c r="L768" i="41"/>
  <c r="M768" i="41"/>
  <c r="N768" i="41"/>
  <c r="O768" i="41"/>
  <c r="P768" i="41"/>
  <c r="Q768" i="41"/>
  <c r="R768" i="41"/>
  <c r="S768" i="41"/>
  <c r="J769" i="41"/>
  <c r="K769" i="41"/>
  <c r="L769" i="41"/>
  <c r="M769" i="41"/>
  <c r="N769" i="41"/>
  <c r="O769" i="41"/>
  <c r="P769" i="41"/>
  <c r="Q769" i="41"/>
  <c r="R769" i="41"/>
  <c r="S769" i="41"/>
  <c r="J770" i="41"/>
  <c r="K770" i="41"/>
  <c r="L770" i="41"/>
  <c r="M770" i="41"/>
  <c r="N770" i="41"/>
  <c r="O770" i="41"/>
  <c r="P770" i="41"/>
  <c r="Q770" i="41"/>
  <c r="R770" i="41"/>
  <c r="S770" i="41"/>
  <c r="J771" i="41"/>
  <c r="K771" i="41"/>
  <c r="L771" i="41"/>
  <c r="M771" i="41"/>
  <c r="N771" i="41"/>
  <c r="O771" i="41"/>
  <c r="P771" i="41"/>
  <c r="Q771" i="41"/>
  <c r="R771" i="41"/>
  <c r="S771" i="41"/>
  <c r="J772" i="41"/>
  <c r="K772" i="41"/>
  <c r="L772" i="41"/>
  <c r="M772" i="41"/>
  <c r="N772" i="41"/>
  <c r="O772" i="41"/>
  <c r="P772" i="41"/>
  <c r="Q772" i="41"/>
  <c r="R772" i="41"/>
  <c r="S772" i="41"/>
  <c r="J773" i="41"/>
  <c r="K773" i="41"/>
  <c r="L773" i="41"/>
  <c r="M773" i="41"/>
  <c r="N773" i="41"/>
  <c r="O773" i="41"/>
  <c r="P773" i="41"/>
  <c r="Q773" i="41"/>
  <c r="R773" i="41"/>
  <c r="S773" i="41"/>
  <c r="J774" i="41"/>
  <c r="K774" i="41"/>
  <c r="L774" i="41"/>
  <c r="M774" i="41"/>
  <c r="N774" i="41"/>
  <c r="O774" i="41"/>
  <c r="P774" i="41"/>
  <c r="Q774" i="41"/>
  <c r="R774" i="41"/>
  <c r="S774" i="41"/>
  <c r="J775" i="41"/>
  <c r="K775" i="41"/>
  <c r="L775" i="41"/>
  <c r="M775" i="41"/>
  <c r="N775" i="41"/>
  <c r="O775" i="41"/>
  <c r="P775" i="41"/>
  <c r="Q775" i="41"/>
  <c r="R775" i="41"/>
  <c r="S775" i="41"/>
  <c r="J776" i="41"/>
  <c r="K776" i="41"/>
  <c r="L776" i="41"/>
  <c r="M776" i="41"/>
  <c r="N776" i="41"/>
  <c r="O776" i="41"/>
  <c r="P776" i="41"/>
  <c r="Q776" i="41"/>
  <c r="R776" i="41"/>
  <c r="S776" i="41"/>
  <c r="J777" i="41"/>
  <c r="K777" i="41"/>
  <c r="L777" i="41"/>
  <c r="M777" i="41"/>
  <c r="N777" i="41"/>
  <c r="O777" i="41"/>
  <c r="P777" i="41"/>
  <c r="Q777" i="41"/>
  <c r="R777" i="41"/>
  <c r="S777" i="41"/>
  <c r="J778" i="41"/>
  <c r="K778" i="41"/>
  <c r="L778" i="41"/>
  <c r="M778" i="41"/>
  <c r="N778" i="41"/>
  <c r="O778" i="41"/>
  <c r="P778" i="41"/>
  <c r="Q778" i="41"/>
  <c r="R778" i="41"/>
  <c r="S778" i="41"/>
  <c r="J779" i="41"/>
  <c r="K779" i="41"/>
  <c r="L779" i="41"/>
  <c r="M779" i="41"/>
  <c r="N779" i="41"/>
  <c r="O779" i="41"/>
  <c r="P779" i="41"/>
  <c r="Q779" i="41"/>
  <c r="R779" i="41"/>
  <c r="S779" i="41"/>
  <c r="J780" i="41"/>
  <c r="K780" i="41"/>
  <c r="L780" i="41"/>
  <c r="M780" i="41"/>
  <c r="N780" i="41"/>
  <c r="O780" i="41"/>
  <c r="P780" i="41"/>
  <c r="Q780" i="41"/>
  <c r="R780" i="41"/>
  <c r="S780" i="41"/>
  <c r="J781" i="41"/>
  <c r="K781" i="41"/>
  <c r="L781" i="41"/>
  <c r="M781" i="41"/>
  <c r="N781" i="41"/>
  <c r="O781" i="41"/>
  <c r="P781" i="41"/>
  <c r="Q781" i="41"/>
  <c r="R781" i="41"/>
  <c r="S781" i="41"/>
  <c r="J782" i="41"/>
  <c r="K782" i="41"/>
  <c r="L782" i="41"/>
  <c r="M782" i="41"/>
  <c r="N782" i="41"/>
  <c r="O782" i="41"/>
  <c r="P782" i="41"/>
  <c r="Q782" i="41"/>
  <c r="R782" i="41"/>
  <c r="S782" i="41"/>
  <c r="J783" i="41"/>
  <c r="K783" i="41"/>
  <c r="L783" i="41"/>
  <c r="M783" i="41"/>
  <c r="N783" i="41"/>
  <c r="O783" i="41"/>
  <c r="P783" i="41"/>
  <c r="Q783" i="41"/>
  <c r="R783" i="41"/>
  <c r="S783" i="41"/>
  <c r="J784" i="41"/>
  <c r="K784" i="41"/>
  <c r="L784" i="41"/>
  <c r="M784" i="41"/>
  <c r="N784" i="41"/>
  <c r="O784" i="41"/>
  <c r="P784" i="41"/>
  <c r="Q784" i="41"/>
  <c r="R784" i="41"/>
  <c r="S784" i="41"/>
  <c r="J785" i="41"/>
  <c r="K785" i="41"/>
  <c r="L785" i="41"/>
  <c r="M785" i="41"/>
  <c r="N785" i="41"/>
  <c r="O785" i="41"/>
  <c r="P785" i="41"/>
  <c r="Q785" i="41"/>
  <c r="R785" i="41"/>
  <c r="S785" i="41"/>
  <c r="J786" i="41"/>
  <c r="K786" i="41"/>
  <c r="L786" i="41"/>
  <c r="M786" i="41"/>
  <c r="N786" i="41"/>
  <c r="O786" i="41"/>
  <c r="P786" i="41"/>
  <c r="Q786" i="41"/>
  <c r="R786" i="41"/>
  <c r="S786" i="41"/>
  <c r="J787" i="41"/>
  <c r="K787" i="41"/>
  <c r="L787" i="41"/>
  <c r="M787" i="41"/>
  <c r="N787" i="41"/>
  <c r="O787" i="41"/>
  <c r="P787" i="41"/>
  <c r="Q787" i="41"/>
  <c r="R787" i="41"/>
  <c r="S787" i="41"/>
  <c r="J788" i="41"/>
  <c r="K788" i="41"/>
  <c r="L788" i="41"/>
  <c r="M788" i="41"/>
  <c r="N788" i="41"/>
  <c r="O788" i="41"/>
  <c r="P788" i="41"/>
  <c r="Q788" i="41"/>
  <c r="R788" i="41"/>
  <c r="S788" i="41"/>
  <c r="J789" i="41"/>
  <c r="K789" i="41"/>
  <c r="L789" i="41"/>
  <c r="M789" i="41"/>
  <c r="N789" i="41"/>
  <c r="O789" i="41"/>
  <c r="P789" i="41"/>
  <c r="Q789" i="41"/>
  <c r="R789" i="41"/>
  <c r="S789" i="41"/>
  <c r="J790" i="41"/>
  <c r="K790" i="41"/>
  <c r="L790" i="41"/>
  <c r="M790" i="41"/>
  <c r="N790" i="41"/>
  <c r="O790" i="41"/>
  <c r="P790" i="41"/>
  <c r="Q790" i="41"/>
  <c r="R790" i="41"/>
  <c r="S790" i="41"/>
  <c r="J791" i="41"/>
  <c r="K791" i="41"/>
  <c r="L791" i="41"/>
  <c r="M791" i="41"/>
  <c r="N791" i="41"/>
  <c r="O791" i="41"/>
  <c r="P791" i="41"/>
  <c r="Q791" i="41"/>
  <c r="R791" i="41"/>
  <c r="S791" i="41"/>
  <c r="J792" i="41"/>
  <c r="K792" i="41"/>
  <c r="L792" i="41"/>
  <c r="M792" i="41"/>
  <c r="N792" i="41"/>
  <c r="O792" i="41"/>
  <c r="P792" i="41"/>
  <c r="Q792" i="41"/>
  <c r="R792" i="41"/>
  <c r="S792" i="41"/>
  <c r="J793" i="41"/>
  <c r="K793" i="41"/>
  <c r="L793" i="41"/>
  <c r="M793" i="41"/>
  <c r="N793" i="41"/>
  <c r="O793" i="41"/>
  <c r="P793" i="41"/>
  <c r="Q793" i="41"/>
  <c r="R793" i="41"/>
  <c r="S793" i="41"/>
  <c r="J794" i="41"/>
  <c r="K794" i="41"/>
  <c r="L794" i="41"/>
  <c r="M794" i="41"/>
  <c r="N794" i="41"/>
  <c r="O794" i="41"/>
  <c r="P794" i="41"/>
  <c r="Q794" i="41"/>
  <c r="R794" i="41"/>
  <c r="S794" i="41"/>
  <c r="J795" i="41"/>
  <c r="K795" i="41"/>
  <c r="L795" i="41"/>
  <c r="M795" i="41"/>
  <c r="N795" i="41"/>
  <c r="O795" i="41"/>
  <c r="P795" i="41"/>
  <c r="Q795" i="41"/>
  <c r="R795" i="41"/>
  <c r="S795" i="41"/>
  <c r="J796" i="41"/>
  <c r="K796" i="41"/>
  <c r="L796" i="41"/>
  <c r="M796" i="41"/>
  <c r="N796" i="41"/>
  <c r="O796" i="41"/>
  <c r="P796" i="41"/>
  <c r="Q796" i="41"/>
  <c r="R796" i="41"/>
  <c r="S796" i="41"/>
  <c r="J797" i="41"/>
  <c r="K797" i="41"/>
  <c r="L797" i="41"/>
  <c r="M797" i="41"/>
  <c r="N797" i="41"/>
  <c r="O797" i="41"/>
  <c r="P797" i="41"/>
  <c r="Q797" i="41"/>
  <c r="R797" i="41"/>
  <c r="S797" i="41"/>
  <c r="J798" i="41"/>
  <c r="K798" i="41"/>
  <c r="L798" i="41"/>
  <c r="M798" i="41"/>
  <c r="N798" i="41"/>
  <c r="O798" i="41"/>
  <c r="P798" i="41"/>
  <c r="Q798" i="41"/>
  <c r="R798" i="41"/>
  <c r="S798" i="41"/>
  <c r="J799" i="41"/>
  <c r="K799" i="41"/>
  <c r="L799" i="41"/>
  <c r="M799" i="41"/>
  <c r="N799" i="41"/>
  <c r="O799" i="41"/>
  <c r="P799" i="41"/>
  <c r="Q799" i="41"/>
  <c r="R799" i="41"/>
  <c r="S799" i="41"/>
  <c r="J800" i="41"/>
  <c r="K800" i="41"/>
  <c r="L800" i="41"/>
  <c r="M800" i="41"/>
  <c r="N800" i="41"/>
  <c r="O800" i="41"/>
  <c r="P800" i="41"/>
  <c r="Q800" i="41"/>
  <c r="R800" i="41"/>
  <c r="S800" i="41"/>
  <c r="J801" i="41"/>
  <c r="K801" i="41"/>
  <c r="L801" i="41"/>
  <c r="M801" i="41"/>
  <c r="N801" i="41"/>
  <c r="O801" i="41"/>
  <c r="P801" i="41"/>
  <c r="Q801" i="41"/>
  <c r="R801" i="41"/>
  <c r="S801" i="41"/>
  <c r="J802" i="41"/>
  <c r="K802" i="41"/>
  <c r="L802" i="41"/>
  <c r="M802" i="41"/>
  <c r="N802" i="41"/>
  <c r="O802" i="41"/>
  <c r="P802" i="41"/>
  <c r="Q802" i="41"/>
  <c r="R802" i="41"/>
  <c r="S802" i="41"/>
  <c r="J803" i="41"/>
  <c r="K803" i="41"/>
  <c r="L803" i="41"/>
  <c r="M803" i="41"/>
  <c r="N803" i="41"/>
  <c r="O803" i="41"/>
  <c r="P803" i="41"/>
  <c r="Q803" i="41"/>
  <c r="R803" i="41"/>
  <c r="S803" i="41"/>
  <c r="J804" i="41"/>
  <c r="K804" i="41"/>
  <c r="L804" i="41"/>
  <c r="M804" i="41"/>
  <c r="N804" i="41"/>
  <c r="O804" i="41"/>
  <c r="P804" i="41"/>
  <c r="Q804" i="41"/>
  <c r="R804" i="41"/>
  <c r="S804" i="41"/>
  <c r="J805" i="41"/>
  <c r="K805" i="41"/>
  <c r="L805" i="41"/>
  <c r="M805" i="41"/>
  <c r="N805" i="41"/>
  <c r="O805" i="41"/>
  <c r="P805" i="41"/>
  <c r="Q805" i="41"/>
  <c r="R805" i="41"/>
  <c r="S805" i="41"/>
  <c r="J806" i="41"/>
  <c r="K806" i="41"/>
  <c r="L806" i="41"/>
  <c r="M806" i="41"/>
  <c r="N806" i="41"/>
  <c r="O806" i="41"/>
  <c r="P806" i="41"/>
  <c r="Q806" i="41"/>
  <c r="R806" i="41"/>
  <c r="S806" i="41"/>
  <c r="J807" i="41"/>
  <c r="K807" i="41"/>
  <c r="L807" i="41"/>
  <c r="M807" i="41"/>
  <c r="N807" i="41"/>
  <c r="O807" i="41"/>
  <c r="P807" i="41"/>
  <c r="Q807" i="41"/>
  <c r="R807" i="41"/>
  <c r="S807" i="41"/>
  <c r="J808" i="41"/>
  <c r="K808" i="41"/>
  <c r="L808" i="41"/>
  <c r="M808" i="41"/>
  <c r="N808" i="41"/>
  <c r="O808" i="41"/>
  <c r="P808" i="41"/>
  <c r="Q808" i="41"/>
  <c r="R808" i="41"/>
  <c r="S808" i="41"/>
  <c r="J809" i="41"/>
  <c r="K809" i="41"/>
  <c r="L809" i="41"/>
  <c r="M809" i="41"/>
  <c r="N809" i="41"/>
  <c r="O809" i="41"/>
  <c r="P809" i="41"/>
  <c r="Q809" i="41"/>
  <c r="R809" i="41"/>
  <c r="S809" i="41"/>
  <c r="J810" i="41"/>
  <c r="K810" i="41"/>
  <c r="L810" i="41"/>
  <c r="M810" i="41"/>
  <c r="N810" i="41"/>
  <c r="O810" i="41"/>
  <c r="P810" i="41"/>
  <c r="Q810" i="41"/>
  <c r="R810" i="41"/>
  <c r="S810" i="41"/>
  <c r="J811" i="41"/>
  <c r="K811" i="41"/>
  <c r="L811" i="41"/>
  <c r="M811" i="41"/>
  <c r="N811" i="41"/>
  <c r="O811" i="41"/>
  <c r="P811" i="41"/>
  <c r="Q811" i="41"/>
  <c r="R811" i="41"/>
  <c r="S811" i="41"/>
  <c r="J812" i="41"/>
  <c r="K812" i="41"/>
  <c r="L812" i="41"/>
  <c r="M812" i="41"/>
  <c r="N812" i="41"/>
  <c r="O812" i="41"/>
  <c r="P812" i="41"/>
  <c r="Q812" i="41"/>
  <c r="R812" i="41"/>
  <c r="S812" i="41"/>
  <c r="J813" i="41"/>
  <c r="K813" i="41"/>
  <c r="L813" i="41"/>
  <c r="M813" i="41"/>
  <c r="N813" i="41"/>
  <c r="O813" i="41"/>
  <c r="P813" i="41"/>
  <c r="Q813" i="41"/>
  <c r="R813" i="41"/>
  <c r="S813" i="41"/>
  <c r="J814" i="41"/>
  <c r="K814" i="41"/>
  <c r="L814" i="41"/>
  <c r="M814" i="41"/>
  <c r="N814" i="41"/>
  <c r="O814" i="41"/>
  <c r="P814" i="41"/>
  <c r="Q814" i="41"/>
  <c r="R814" i="41"/>
  <c r="S814" i="41"/>
  <c r="J815" i="41"/>
  <c r="K815" i="41"/>
  <c r="L815" i="41"/>
  <c r="M815" i="41"/>
  <c r="N815" i="41"/>
  <c r="O815" i="41"/>
  <c r="P815" i="41"/>
  <c r="Q815" i="41"/>
  <c r="R815" i="41"/>
  <c r="S815" i="41"/>
  <c r="J816" i="41"/>
  <c r="K816" i="41"/>
  <c r="L816" i="41"/>
  <c r="M816" i="41"/>
  <c r="N816" i="41"/>
  <c r="O816" i="41"/>
  <c r="P816" i="41"/>
  <c r="Q816" i="41"/>
  <c r="R816" i="41"/>
  <c r="S816" i="41"/>
  <c r="J817" i="41"/>
  <c r="K817" i="41"/>
  <c r="L817" i="41"/>
  <c r="M817" i="41"/>
  <c r="N817" i="41"/>
  <c r="O817" i="41"/>
  <c r="P817" i="41"/>
  <c r="Q817" i="41"/>
  <c r="R817" i="41"/>
  <c r="S817" i="41"/>
  <c r="J818" i="41"/>
  <c r="K818" i="41"/>
  <c r="L818" i="41"/>
  <c r="M818" i="41"/>
  <c r="N818" i="41"/>
  <c r="O818" i="41"/>
  <c r="P818" i="41"/>
  <c r="Q818" i="41"/>
  <c r="R818" i="41"/>
  <c r="S818" i="41"/>
  <c r="J819" i="41"/>
  <c r="K819" i="41"/>
  <c r="L819" i="41"/>
  <c r="M819" i="41"/>
  <c r="N819" i="41"/>
  <c r="O819" i="41"/>
  <c r="P819" i="41"/>
  <c r="Q819" i="41"/>
  <c r="R819" i="41"/>
  <c r="S819" i="41"/>
  <c r="J820" i="41"/>
  <c r="K820" i="41"/>
  <c r="L820" i="41"/>
  <c r="M820" i="41"/>
  <c r="N820" i="41"/>
  <c r="O820" i="41"/>
  <c r="P820" i="41"/>
  <c r="Q820" i="41"/>
  <c r="R820" i="41"/>
  <c r="S820" i="41"/>
  <c r="J821" i="41"/>
  <c r="K821" i="41"/>
  <c r="L821" i="41"/>
  <c r="M821" i="41"/>
  <c r="N821" i="41"/>
  <c r="O821" i="41"/>
  <c r="P821" i="41"/>
  <c r="Q821" i="41"/>
  <c r="R821" i="41"/>
  <c r="S821" i="41"/>
  <c r="J822" i="41"/>
  <c r="K822" i="41"/>
  <c r="L822" i="41"/>
  <c r="M822" i="41"/>
  <c r="N822" i="41"/>
  <c r="O822" i="41"/>
  <c r="P822" i="41"/>
  <c r="Q822" i="41"/>
  <c r="R822" i="41"/>
  <c r="S822" i="41"/>
  <c r="J823" i="41"/>
  <c r="K823" i="41"/>
  <c r="L823" i="41"/>
  <c r="M823" i="41"/>
  <c r="N823" i="41"/>
  <c r="O823" i="41"/>
  <c r="P823" i="41"/>
  <c r="Q823" i="41"/>
  <c r="R823" i="41"/>
  <c r="S823" i="41"/>
  <c r="J824" i="41"/>
  <c r="K824" i="41"/>
  <c r="L824" i="41"/>
  <c r="M824" i="41"/>
  <c r="N824" i="41"/>
  <c r="O824" i="41"/>
  <c r="P824" i="41"/>
  <c r="Q824" i="41"/>
  <c r="R824" i="41"/>
  <c r="S824" i="41"/>
  <c r="J825" i="41"/>
  <c r="K825" i="41"/>
  <c r="L825" i="41"/>
  <c r="M825" i="41"/>
  <c r="N825" i="41"/>
  <c r="O825" i="41"/>
  <c r="P825" i="41"/>
  <c r="Q825" i="41"/>
  <c r="R825" i="41"/>
  <c r="S825" i="41"/>
  <c r="J826" i="41"/>
  <c r="K826" i="41"/>
  <c r="L826" i="41"/>
  <c r="M826" i="41"/>
  <c r="N826" i="41"/>
  <c r="O826" i="41"/>
  <c r="P826" i="41"/>
  <c r="Q826" i="41"/>
  <c r="R826" i="41"/>
  <c r="S826" i="41"/>
  <c r="J827" i="41"/>
  <c r="K827" i="41"/>
  <c r="L827" i="41"/>
  <c r="M827" i="41"/>
  <c r="N827" i="41"/>
  <c r="O827" i="41"/>
  <c r="P827" i="41"/>
  <c r="Q827" i="41"/>
  <c r="R827" i="41"/>
  <c r="S827" i="41"/>
  <c r="J828" i="41"/>
  <c r="K828" i="41"/>
  <c r="L828" i="41"/>
  <c r="M828" i="41"/>
  <c r="N828" i="41"/>
  <c r="O828" i="41"/>
  <c r="P828" i="41"/>
  <c r="Q828" i="41"/>
  <c r="R828" i="41"/>
  <c r="S828" i="41"/>
  <c r="J829" i="41"/>
  <c r="K829" i="41"/>
  <c r="L829" i="41"/>
  <c r="M829" i="41"/>
  <c r="N829" i="41"/>
  <c r="O829" i="41"/>
  <c r="P829" i="41"/>
  <c r="Q829" i="41"/>
  <c r="R829" i="41"/>
  <c r="S829" i="41"/>
  <c r="J830" i="41"/>
  <c r="K830" i="41"/>
  <c r="L830" i="41"/>
  <c r="M830" i="41"/>
  <c r="N830" i="41"/>
  <c r="O830" i="41"/>
  <c r="P830" i="41"/>
  <c r="Q830" i="41"/>
  <c r="R830" i="41"/>
  <c r="S830" i="41"/>
  <c r="J831" i="41"/>
  <c r="K831" i="41"/>
  <c r="L831" i="41"/>
  <c r="M831" i="41"/>
  <c r="N831" i="41"/>
  <c r="O831" i="41"/>
  <c r="P831" i="41"/>
  <c r="Q831" i="41"/>
  <c r="R831" i="41"/>
  <c r="S831" i="41"/>
  <c r="J832" i="41"/>
  <c r="K832" i="41"/>
  <c r="L832" i="41"/>
  <c r="M832" i="41"/>
  <c r="N832" i="41"/>
  <c r="O832" i="41"/>
  <c r="P832" i="41"/>
  <c r="Q832" i="41"/>
  <c r="R832" i="41"/>
  <c r="S832" i="41"/>
  <c r="J833" i="41"/>
  <c r="K833" i="41"/>
  <c r="L833" i="41"/>
  <c r="M833" i="41"/>
  <c r="N833" i="41"/>
  <c r="O833" i="41"/>
  <c r="P833" i="41"/>
  <c r="Q833" i="41"/>
  <c r="R833" i="41"/>
  <c r="S833" i="41"/>
  <c r="J834" i="41"/>
  <c r="K834" i="41"/>
  <c r="L834" i="41"/>
  <c r="M834" i="41"/>
  <c r="N834" i="41"/>
  <c r="O834" i="41"/>
  <c r="P834" i="41"/>
  <c r="Q834" i="41"/>
  <c r="R834" i="41"/>
  <c r="S834" i="41"/>
  <c r="J835" i="41"/>
  <c r="K835" i="41"/>
  <c r="L835" i="41"/>
  <c r="M835" i="41"/>
  <c r="N835" i="41"/>
  <c r="O835" i="41"/>
  <c r="P835" i="41"/>
  <c r="Q835" i="41"/>
  <c r="R835" i="41"/>
  <c r="S835" i="41"/>
  <c r="J836" i="41"/>
  <c r="K836" i="41"/>
  <c r="L836" i="41"/>
  <c r="M836" i="41"/>
  <c r="N836" i="41"/>
  <c r="O836" i="41"/>
  <c r="P836" i="41"/>
  <c r="Q836" i="41"/>
  <c r="R836" i="41"/>
  <c r="S836" i="41"/>
  <c r="J837" i="41"/>
  <c r="K837" i="41"/>
  <c r="L837" i="41"/>
  <c r="M837" i="41"/>
  <c r="N837" i="41"/>
  <c r="O837" i="41"/>
  <c r="P837" i="41"/>
  <c r="Q837" i="41"/>
  <c r="R837" i="41"/>
  <c r="S837" i="41"/>
  <c r="J838" i="41"/>
  <c r="K838" i="41"/>
  <c r="L838" i="41"/>
  <c r="M838" i="41"/>
  <c r="N838" i="41"/>
  <c r="O838" i="41"/>
  <c r="P838" i="41"/>
  <c r="Q838" i="41"/>
  <c r="R838" i="41"/>
  <c r="S838" i="41"/>
  <c r="J839" i="41"/>
  <c r="K839" i="41"/>
  <c r="L839" i="41"/>
  <c r="M839" i="41"/>
  <c r="N839" i="41"/>
  <c r="O839" i="41"/>
  <c r="P839" i="41"/>
  <c r="Q839" i="41"/>
  <c r="R839" i="41"/>
  <c r="S839" i="41"/>
  <c r="J840" i="41"/>
  <c r="K840" i="41"/>
  <c r="L840" i="41"/>
  <c r="M840" i="41"/>
  <c r="N840" i="41"/>
  <c r="O840" i="41"/>
  <c r="P840" i="41"/>
  <c r="Q840" i="41"/>
  <c r="R840" i="41"/>
  <c r="S840" i="41"/>
  <c r="J841" i="41"/>
  <c r="K841" i="41"/>
  <c r="L841" i="41"/>
  <c r="M841" i="41"/>
  <c r="N841" i="41"/>
  <c r="O841" i="41"/>
  <c r="P841" i="41"/>
  <c r="Q841" i="41"/>
  <c r="R841" i="41"/>
  <c r="S841" i="41"/>
  <c r="J842" i="41"/>
  <c r="K842" i="41"/>
  <c r="L842" i="41"/>
  <c r="M842" i="41"/>
  <c r="N842" i="41"/>
  <c r="O842" i="41"/>
  <c r="P842" i="41"/>
  <c r="Q842" i="41"/>
  <c r="R842" i="41"/>
  <c r="S842" i="41"/>
  <c r="J843" i="41"/>
  <c r="K843" i="41"/>
  <c r="L843" i="41"/>
  <c r="M843" i="41"/>
  <c r="N843" i="41"/>
  <c r="O843" i="41"/>
  <c r="P843" i="41"/>
  <c r="Q843" i="41"/>
  <c r="R843" i="41"/>
  <c r="S843" i="41"/>
  <c r="J844" i="41"/>
  <c r="K844" i="41"/>
  <c r="L844" i="41"/>
  <c r="M844" i="41"/>
  <c r="N844" i="41"/>
  <c r="O844" i="41"/>
  <c r="P844" i="41"/>
  <c r="Q844" i="41"/>
  <c r="R844" i="41"/>
  <c r="S844" i="41"/>
  <c r="J845" i="41"/>
  <c r="K845" i="41"/>
  <c r="L845" i="41"/>
  <c r="M845" i="41"/>
  <c r="N845" i="41"/>
  <c r="O845" i="41"/>
  <c r="P845" i="41"/>
  <c r="Q845" i="41"/>
  <c r="R845" i="41"/>
  <c r="S845" i="41"/>
  <c r="J846" i="41"/>
  <c r="K846" i="41"/>
  <c r="L846" i="41"/>
  <c r="M846" i="41"/>
  <c r="N846" i="41"/>
  <c r="O846" i="41"/>
  <c r="P846" i="41"/>
  <c r="Q846" i="41"/>
  <c r="R846" i="41"/>
  <c r="S846" i="41"/>
  <c r="J847" i="41"/>
  <c r="K847" i="41"/>
  <c r="L847" i="41"/>
  <c r="M847" i="41"/>
  <c r="N847" i="41"/>
  <c r="O847" i="41"/>
  <c r="P847" i="41"/>
  <c r="Q847" i="41"/>
  <c r="R847" i="41"/>
  <c r="S847" i="41"/>
  <c r="J848" i="41"/>
  <c r="K848" i="41"/>
  <c r="L848" i="41"/>
  <c r="M848" i="41"/>
  <c r="N848" i="41"/>
  <c r="O848" i="41"/>
  <c r="P848" i="41"/>
  <c r="Q848" i="41"/>
  <c r="R848" i="41"/>
  <c r="S848" i="41"/>
  <c r="J849" i="41"/>
  <c r="K849" i="41"/>
  <c r="L849" i="41"/>
  <c r="M849" i="41"/>
  <c r="N849" i="41"/>
  <c r="O849" i="41"/>
  <c r="P849" i="41"/>
  <c r="Q849" i="41"/>
  <c r="R849" i="41"/>
  <c r="S849" i="41"/>
  <c r="J850" i="41"/>
  <c r="K850" i="41"/>
  <c r="L850" i="41"/>
  <c r="M850" i="41"/>
  <c r="N850" i="41"/>
  <c r="O850" i="41"/>
  <c r="P850" i="41"/>
  <c r="Q850" i="41"/>
  <c r="R850" i="41"/>
  <c r="S850" i="41"/>
  <c r="J851" i="41"/>
  <c r="K851" i="41"/>
  <c r="L851" i="41"/>
  <c r="M851" i="41"/>
  <c r="N851" i="41"/>
  <c r="O851" i="41"/>
  <c r="P851" i="41"/>
  <c r="Q851" i="41"/>
  <c r="R851" i="41"/>
  <c r="S851" i="41"/>
  <c r="J852" i="41"/>
  <c r="K852" i="41"/>
  <c r="L852" i="41"/>
  <c r="M852" i="41"/>
  <c r="N852" i="41"/>
  <c r="O852" i="41"/>
  <c r="P852" i="41"/>
  <c r="Q852" i="41"/>
  <c r="R852" i="41"/>
  <c r="S852" i="41"/>
  <c r="J853" i="41"/>
  <c r="K853" i="41"/>
  <c r="L853" i="41"/>
  <c r="M853" i="41"/>
  <c r="N853" i="41"/>
  <c r="O853" i="41"/>
  <c r="P853" i="41"/>
  <c r="Q853" i="41"/>
  <c r="R853" i="41"/>
  <c r="S853" i="41"/>
  <c r="J854" i="41"/>
  <c r="K854" i="41"/>
  <c r="L854" i="41"/>
  <c r="M854" i="41"/>
  <c r="N854" i="41"/>
  <c r="O854" i="41"/>
  <c r="P854" i="41"/>
  <c r="Q854" i="41"/>
  <c r="R854" i="41"/>
  <c r="S854" i="41"/>
  <c r="J855" i="41"/>
  <c r="K855" i="41"/>
  <c r="L855" i="41"/>
  <c r="M855" i="41"/>
  <c r="N855" i="41"/>
  <c r="O855" i="41"/>
  <c r="P855" i="41"/>
  <c r="Q855" i="41"/>
  <c r="R855" i="41"/>
  <c r="S855" i="41"/>
  <c r="J856" i="41"/>
  <c r="K856" i="41"/>
  <c r="L856" i="41"/>
  <c r="M856" i="41"/>
  <c r="N856" i="41"/>
  <c r="O856" i="41"/>
  <c r="P856" i="41"/>
  <c r="Q856" i="41"/>
  <c r="R856" i="41"/>
  <c r="S856" i="41"/>
  <c r="J857" i="41"/>
  <c r="K857" i="41"/>
  <c r="L857" i="41"/>
  <c r="M857" i="41"/>
  <c r="N857" i="41"/>
  <c r="O857" i="41"/>
  <c r="P857" i="41"/>
  <c r="Q857" i="41"/>
  <c r="R857" i="41"/>
  <c r="S857" i="41"/>
  <c r="J858" i="41"/>
  <c r="K858" i="41"/>
  <c r="L858" i="41"/>
  <c r="M858" i="41"/>
  <c r="N858" i="41"/>
  <c r="O858" i="41"/>
  <c r="P858" i="41"/>
  <c r="Q858" i="41"/>
  <c r="R858" i="41"/>
  <c r="S858" i="41"/>
  <c r="J859" i="41"/>
  <c r="K859" i="41"/>
  <c r="L859" i="41"/>
  <c r="M859" i="41"/>
  <c r="N859" i="41"/>
  <c r="O859" i="41"/>
  <c r="P859" i="41"/>
  <c r="Q859" i="41"/>
  <c r="R859" i="41"/>
  <c r="S859" i="41"/>
  <c r="J860" i="41"/>
  <c r="K860" i="41"/>
  <c r="L860" i="41"/>
  <c r="M860" i="41"/>
  <c r="N860" i="41"/>
  <c r="O860" i="41"/>
  <c r="P860" i="41"/>
  <c r="Q860" i="41"/>
  <c r="R860" i="41"/>
  <c r="S860" i="41"/>
  <c r="J861" i="41"/>
  <c r="K861" i="41"/>
  <c r="L861" i="41"/>
  <c r="M861" i="41"/>
  <c r="N861" i="41"/>
  <c r="O861" i="41"/>
  <c r="P861" i="41"/>
  <c r="Q861" i="41"/>
  <c r="R861" i="41"/>
  <c r="S861" i="41"/>
  <c r="J862" i="41"/>
  <c r="K862" i="41"/>
  <c r="L862" i="41"/>
  <c r="M862" i="41"/>
  <c r="N862" i="41"/>
  <c r="O862" i="41"/>
  <c r="P862" i="41"/>
  <c r="Q862" i="41"/>
  <c r="R862" i="41"/>
  <c r="S862" i="41"/>
  <c r="J863" i="41"/>
  <c r="K863" i="41"/>
  <c r="L863" i="41"/>
  <c r="M863" i="41"/>
  <c r="N863" i="41"/>
  <c r="O863" i="41"/>
  <c r="P863" i="41"/>
  <c r="Q863" i="41"/>
  <c r="R863" i="41"/>
  <c r="S863" i="41"/>
  <c r="J864" i="41"/>
  <c r="K864" i="41"/>
  <c r="L864" i="41"/>
  <c r="M864" i="41"/>
  <c r="N864" i="41"/>
  <c r="O864" i="41"/>
  <c r="P864" i="41"/>
  <c r="Q864" i="41"/>
  <c r="R864" i="41"/>
  <c r="S864" i="41"/>
  <c r="J865" i="41"/>
  <c r="K865" i="41"/>
  <c r="L865" i="41"/>
  <c r="M865" i="41"/>
  <c r="N865" i="41"/>
  <c r="O865" i="41"/>
  <c r="P865" i="41"/>
  <c r="Q865" i="41"/>
  <c r="R865" i="41"/>
  <c r="S865" i="41"/>
  <c r="J866" i="41"/>
  <c r="K866" i="41"/>
  <c r="L866" i="41"/>
  <c r="M866" i="41"/>
  <c r="N866" i="41"/>
  <c r="O866" i="41"/>
  <c r="P866" i="41"/>
  <c r="Q866" i="41"/>
  <c r="R866" i="41"/>
  <c r="S866" i="41"/>
  <c r="J867" i="41"/>
  <c r="K867" i="41"/>
  <c r="L867" i="41"/>
  <c r="M867" i="41"/>
  <c r="N867" i="41"/>
  <c r="O867" i="41"/>
  <c r="P867" i="41"/>
  <c r="Q867" i="41"/>
  <c r="R867" i="41"/>
  <c r="S867" i="41"/>
  <c r="J868" i="41"/>
  <c r="K868" i="41"/>
  <c r="L868" i="41"/>
  <c r="M868" i="41"/>
  <c r="N868" i="41"/>
  <c r="O868" i="41"/>
  <c r="P868" i="41"/>
  <c r="Q868" i="41"/>
  <c r="R868" i="41"/>
  <c r="S868" i="41"/>
  <c r="J869" i="41"/>
  <c r="K869" i="41"/>
  <c r="L869" i="41"/>
  <c r="M869" i="41"/>
  <c r="N869" i="41"/>
  <c r="O869" i="41"/>
  <c r="P869" i="41"/>
  <c r="Q869" i="41"/>
  <c r="R869" i="41"/>
  <c r="S869" i="41"/>
  <c r="J870" i="41"/>
  <c r="K870" i="41"/>
  <c r="L870" i="41"/>
  <c r="M870" i="41"/>
  <c r="N870" i="41"/>
  <c r="O870" i="41"/>
  <c r="P870" i="41"/>
  <c r="Q870" i="41"/>
  <c r="R870" i="41"/>
  <c r="S870" i="41"/>
  <c r="J871" i="41"/>
  <c r="K871" i="41"/>
  <c r="L871" i="41"/>
  <c r="M871" i="41"/>
  <c r="N871" i="41"/>
  <c r="O871" i="41"/>
  <c r="P871" i="41"/>
  <c r="Q871" i="41"/>
  <c r="R871" i="41"/>
  <c r="S871" i="41"/>
  <c r="J872" i="41"/>
  <c r="K872" i="41"/>
  <c r="L872" i="41"/>
  <c r="M872" i="41"/>
  <c r="N872" i="41"/>
  <c r="O872" i="41"/>
  <c r="P872" i="41"/>
  <c r="Q872" i="41"/>
  <c r="R872" i="41"/>
  <c r="S872" i="41"/>
  <c r="J873" i="41"/>
  <c r="K873" i="41"/>
  <c r="L873" i="41"/>
  <c r="M873" i="41"/>
  <c r="N873" i="41"/>
  <c r="O873" i="41"/>
  <c r="P873" i="41"/>
  <c r="Q873" i="41"/>
  <c r="R873" i="41"/>
  <c r="S873" i="41"/>
  <c r="J874" i="41"/>
  <c r="K874" i="41"/>
  <c r="L874" i="41"/>
  <c r="M874" i="41"/>
  <c r="N874" i="41"/>
  <c r="O874" i="41"/>
  <c r="P874" i="41"/>
  <c r="Q874" i="41"/>
  <c r="R874" i="41"/>
  <c r="S874" i="41"/>
  <c r="J875" i="41"/>
  <c r="K875" i="41"/>
  <c r="L875" i="41"/>
  <c r="M875" i="41"/>
  <c r="N875" i="41"/>
  <c r="O875" i="41"/>
  <c r="P875" i="41"/>
  <c r="Q875" i="41"/>
  <c r="R875" i="41"/>
  <c r="S875" i="41"/>
  <c r="J876" i="41"/>
  <c r="K876" i="41"/>
  <c r="L876" i="41"/>
  <c r="M876" i="41"/>
  <c r="N876" i="41"/>
  <c r="O876" i="41"/>
  <c r="P876" i="41"/>
  <c r="Q876" i="41"/>
  <c r="R876" i="41"/>
  <c r="S876" i="41"/>
  <c r="J877" i="41"/>
  <c r="K877" i="41"/>
  <c r="L877" i="41"/>
  <c r="M877" i="41"/>
  <c r="N877" i="41"/>
  <c r="O877" i="41"/>
  <c r="P877" i="41"/>
  <c r="Q877" i="41"/>
  <c r="R877" i="41"/>
  <c r="S877" i="41"/>
  <c r="J878" i="41"/>
  <c r="K878" i="41"/>
  <c r="L878" i="41"/>
  <c r="M878" i="41"/>
  <c r="N878" i="41"/>
  <c r="O878" i="41"/>
  <c r="P878" i="41"/>
  <c r="Q878" i="41"/>
  <c r="R878" i="41"/>
  <c r="S878" i="41"/>
  <c r="J879" i="41"/>
  <c r="K879" i="41"/>
  <c r="L879" i="41"/>
  <c r="M879" i="41"/>
  <c r="N879" i="41"/>
  <c r="O879" i="41"/>
  <c r="P879" i="41"/>
  <c r="Q879" i="41"/>
  <c r="R879" i="41"/>
  <c r="S879" i="41"/>
  <c r="J880" i="41"/>
  <c r="K880" i="41"/>
  <c r="L880" i="41"/>
  <c r="M880" i="41"/>
  <c r="N880" i="41"/>
  <c r="O880" i="41"/>
  <c r="P880" i="41"/>
  <c r="Q880" i="41"/>
  <c r="R880" i="41"/>
  <c r="S880" i="41"/>
  <c r="J881" i="41"/>
  <c r="K881" i="41"/>
  <c r="L881" i="41"/>
  <c r="M881" i="41"/>
  <c r="N881" i="41"/>
  <c r="O881" i="41"/>
  <c r="P881" i="41"/>
  <c r="Q881" i="41"/>
  <c r="R881" i="41"/>
  <c r="S881" i="41"/>
  <c r="J882" i="41"/>
  <c r="K882" i="41"/>
  <c r="L882" i="41"/>
  <c r="M882" i="41"/>
  <c r="N882" i="41"/>
  <c r="O882" i="41"/>
  <c r="P882" i="41"/>
  <c r="Q882" i="41"/>
  <c r="R882" i="41"/>
  <c r="S882" i="41"/>
  <c r="J883" i="41"/>
  <c r="K883" i="41"/>
  <c r="L883" i="41"/>
  <c r="M883" i="41"/>
  <c r="N883" i="41"/>
  <c r="O883" i="41"/>
  <c r="P883" i="41"/>
  <c r="Q883" i="41"/>
  <c r="R883" i="41"/>
  <c r="S883" i="41"/>
  <c r="J884" i="41"/>
  <c r="K884" i="41"/>
  <c r="L884" i="41"/>
  <c r="M884" i="41"/>
  <c r="N884" i="41"/>
  <c r="O884" i="41"/>
  <c r="P884" i="41"/>
  <c r="Q884" i="41"/>
  <c r="R884" i="41"/>
  <c r="S884" i="41"/>
  <c r="J885" i="41"/>
  <c r="K885" i="41"/>
  <c r="L885" i="41"/>
  <c r="M885" i="41"/>
  <c r="N885" i="41"/>
  <c r="O885" i="41"/>
  <c r="P885" i="41"/>
  <c r="Q885" i="41"/>
  <c r="R885" i="41"/>
  <c r="S885" i="41"/>
  <c r="J886" i="41"/>
  <c r="K886" i="41"/>
  <c r="L886" i="41"/>
  <c r="M886" i="41"/>
  <c r="N886" i="41"/>
  <c r="O886" i="41"/>
  <c r="P886" i="41"/>
  <c r="Q886" i="41"/>
  <c r="R886" i="41"/>
  <c r="S886" i="41"/>
  <c r="J887" i="41"/>
  <c r="K887" i="41"/>
  <c r="L887" i="41"/>
  <c r="M887" i="41"/>
  <c r="N887" i="41"/>
  <c r="O887" i="41"/>
  <c r="P887" i="41"/>
  <c r="Q887" i="41"/>
  <c r="R887" i="41"/>
  <c r="S887" i="41"/>
  <c r="J888" i="41"/>
  <c r="K888" i="41"/>
  <c r="L888" i="41"/>
  <c r="M888" i="41"/>
  <c r="N888" i="41"/>
  <c r="O888" i="41"/>
  <c r="P888" i="41"/>
  <c r="Q888" i="41"/>
  <c r="R888" i="41"/>
  <c r="S888" i="41"/>
  <c r="J889" i="41"/>
  <c r="K889" i="41"/>
  <c r="L889" i="41"/>
  <c r="M889" i="41"/>
  <c r="N889" i="41"/>
  <c r="O889" i="41"/>
  <c r="P889" i="41"/>
  <c r="Q889" i="41"/>
  <c r="R889" i="41"/>
  <c r="S889" i="41"/>
  <c r="J890" i="41"/>
  <c r="K890" i="41"/>
  <c r="L890" i="41"/>
  <c r="M890" i="41"/>
  <c r="N890" i="41"/>
  <c r="O890" i="41"/>
  <c r="P890" i="41"/>
  <c r="Q890" i="41"/>
  <c r="R890" i="41"/>
  <c r="S890" i="41"/>
  <c r="J891" i="41"/>
  <c r="K891" i="41"/>
  <c r="L891" i="41"/>
  <c r="M891" i="41"/>
  <c r="N891" i="41"/>
  <c r="O891" i="41"/>
  <c r="P891" i="41"/>
  <c r="Q891" i="41"/>
  <c r="R891" i="41"/>
  <c r="S891" i="41"/>
  <c r="J892" i="41"/>
  <c r="K892" i="41"/>
  <c r="L892" i="41"/>
  <c r="M892" i="41"/>
  <c r="N892" i="41"/>
  <c r="O892" i="41"/>
  <c r="P892" i="41"/>
  <c r="Q892" i="41"/>
  <c r="R892" i="41"/>
  <c r="S892" i="41"/>
  <c r="J893" i="41"/>
  <c r="K893" i="41"/>
  <c r="L893" i="41"/>
  <c r="M893" i="41"/>
  <c r="N893" i="41"/>
  <c r="O893" i="41"/>
  <c r="P893" i="41"/>
  <c r="Q893" i="41"/>
  <c r="R893" i="41"/>
  <c r="S893" i="41"/>
  <c r="J894" i="41"/>
  <c r="K894" i="41"/>
  <c r="L894" i="41"/>
  <c r="M894" i="41"/>
  <c r="N894" i="41"/>
  <c r="O894" i="41"/>
  <c r="P894" i="41"/>
  <c r="Q894" i="41"/>
  <c r="R894" i="41"/>
  <c r="S894" i="41"/>
  <c r="J895" i="41"/>
  <c r="K895" i="41"/>
  <c r="L895" i="41"/>
  <c r="M895" i="41"/>
  <c r="N895" i="41"/>
  <c r="O895" i="41"/>
  <c r="P895" i="41"/>
  <c r="Q895" i="41"/>
  <c r="R895" i="41"/>
  <c r="S895" i="41"/>
  <c r="J896" i="41"/>
  <c r="K896" i="41"/>
  <c r="L896" i="41"/>
  <c r="M896" i="41"/>
  <c r="N896" i="41"/>
  <c r="O896" i="41"/>
  <c r="P896" i="41"/>
  <c r="Q896" i="41"/>
  <c r="R896" i="41"/>
  <c r="S896" i="41"/>
  <c r="J897" i="41"/>
  <c r="K897" i="41"/>
  <c r="L897" i="41"/>
  <c r="M897" i="41"/>
  <c r="N897" i="41"/>
  <c r="O897" i="41"/>
  <c r="P897" i="41"/>
  <c r="Q897" i="41"/>
  <c r="R897" i="41"/>
  <c r="S897" i="41"/>
  <c r="J898" i="41"/>
  <c r="K898" i="41"/>
  <c r="L898" i="41"/>
  <c r="M898" i="41"/>
  <c r="N898" i="41"/>
  <c r="O898" i="41"/>
  <c r="P898" i="41"/>
  <c r="Q898" i="41"/>
  <c r="R898" i="41"/>
  <c r="S898" i="41"/>
  <c r="J899" i="41"/>
  <c r="K899" i="41"/>
  <c r="L899" i="41"/>
  <c r="M899" i="41"/>
  <c r="N899" i="41"/>
  <c r="O899" i="41"/>
  <c r="P899" i="41"/>
  <c r="Q899" i="41"/>
  <c r="R899" i="41"/>
  <c r="S899" i="41"/>
  <c r="J900" i="41"/>
  <c r="K900" i="41"/>
  <c r="L900" i="41"/>
  <c r="M900" i="41"/>
  <c r="N900" i="41"/>
  <c r="O900" i="41"/>
  <c r="P900" i="41"/>
  <c r="Q900" i="41"/>
  <c r="R900" i="41"/>
  <c r="S900" i="41"/>
  <c r="J901" i="41"/>
  <c r="K901" i="41"/>
  <c r="L901" i="41"/>
  <c r="M901" i="41"/>
  <c r="N901" i="41"/>
  <c r="O901" i="41"/>
  <c r="P901" i="41"/>
  <c r="Q901" i="41"/>
  <c r="R901" i="41"/>
  <c r="S901" i="41"/>
  <c r="J902" i="41"/>
  <c r="K902" i="41"/>
  <c r="L902" i="41"/>
  <c r="M902" i="41"/>
  <c r="N902" i="41"/>
  <c r="O902" i="41"/>
  <c r="P902" i="41"/>
  <c r="Q902" i="41"/>
  <c r="R902" i="41"/>
  <c r="S902" i="41"/>
  <c r="J903" i="41"/>
  <c r="K903" i="41"/>
  <c r="L903" i="41"/>
  <c r="M903" i="41"/>
  <c r="N903" i="41"/>
  <c r="O903" i="41"/>
  <c r="P903" i="41"/>
  <c r="Q903" i="41"/>
  <c r="R903" i="41"/>
  <c r="S903" i="41"/>
  <c r="J904" i="41"/>
  <c r="K904" i="41"/>
  <c r="L904" i="41"/>
  <c r="M904" i="41"/>
  <c r="N904" i="41"/>
  <c r="O904" i="41"/>
  <c r="P904" i="41"/>
  <c r="Q904" i="41"/>
  <c r="R904" i="41"/>
  <c r="S904" i="41"/>
  <c r="J905" i="41"/>
  <c r="K905" i="41"/>
  <c r="L905" i="41"/>
  <c r="M905" i="41"/>
  <c r="N905" i="41"/>
  <c r="O905" i="41"/>
  <c r="P905" i="41"/>
  <c r="Q905" i="41"/>
  <c r="R905" i="41"/>
  <c r="S905" i="41"/>
  <c r="J906" i="41"/>
  <c r="K906" i="41"/>
  <c r="L906" i="41"/>
  <c r="M906" i="41"/>
  <c r="N906" i="41"/>
  <c r="O906" i="41"/>
  <c r="P906" i="41"/>
  <c r="Q906" i="41"/>
  <c r="R906" i="41"/>
  <c r="S906" i="41"/>
  <c r="J907" i="41"/>
  <c r="K907" i="41"/>
  <c r="L907" i="41"/>
  <c r="M907" i="41"/>
  <c r="N907" i="41"/>
  <c r="O907" i="41"/>
  <c r="P907" i="41"/>
  <c r="Q907" i="41"/>
  <c r="R907" i="41"/>
  <c r="S907" i="41"/>
  <c r="J908" i="41"/>
  <c r="K908" i="41"/>
  <c r="L908" i="41"/>
  <c r="M908" i="41"/>
  <c r="N908" i="41"/>
  <c r="O908" i="41"/>
  <c r="P908" i="41"/>
  <c r="Q908" i="41"/>
  <c r="R908" i="41"/>
  <c r="S908" i="41"/>
  <c r="J909" i="41"/>
  <c r="K909" i="41"/>
  <c r="L909" i="41"/>
  <c r="M909" i="41"/>
  <c r="N909" i="41"/>
  <c r="O909" i="41"/>
  <c r="P909" i="41"/>
  <c r="Q909" i="41"/>
  <c r="R909" i="41"/>
  <c r="S909" i="41"/>
  <c r="J910" i="41"/>
  <c r="K910" i="41"/>
  <c r="L910" i="41"/>
  <c r="M910" i="41"/>
  <c r="N910" i="41"/>
  <c r="O910" i="41"/>
  <c r="P910" i="41"/>
  <c r="Q910" i="41"/>
  <c r="R910" i="41"/>
  <c r="S910" i="41"/>
  <c r="J911" i="41"/>
  <c r="K911" i="41"/>
  <c r="L911" i="41"/>
  <c r="M911" i="41"/>
  <c r="N911" i="41"/>
  <c r="O911" i="41"/>
  <c r="P911" i="41"/>
  <c r="Q911" i="41"/>
  <c r="R911" i="41"/>
  <c r="S911" i="41"/>
  <c r="J912" i="41"/>
  <c r="K912" i="41"/>
  <c r="L912" i="41"/>
  <c r="M912" i="41"/>
  <c r="N912" i="41"/>
  <c r="O912" i="41"/>
  <c r="P912" i="41"/>
  <c r="Q912" i="41"/>
  <c r="R912" i="41"/>
  <c r="S912" i="41"/>
  <c r="J913" i="41"/>
  <c r="K913" i="41"/>
  <c r="L913" i="41"/>
  <c r="M913" i="41"/>
  <c r="N913" i="41"/>
  <c r="O913" i="41"/>
  <c r="P913" i="41"/>
  <c r="Q913" i="41"/>
  <c r="R913" i="41"/>
  <c r="S913" i="41"/>
  <c r="J914" i="41"/>
  <c r="K914" i="41"/>
  <c r="L914" i="41"/>
  <c r="M914" i="41"/>
  <c r="N914" i="41"/>
  <c r="O914" i="41"/>
  <c r="P914" i="41"/>
  <c r="Q914" i="41"/>
  <c r="R914" i="41"/>
  <c r="S914" i="41"/>
  <c r="J915" i="41"/>
  <c r="K915" i="41"/>
  <c r="L915" i="41"/>
  <c r="M915" i="41"/>
  <c r="N915" i="41"/>
  <c r="O915" i="41"/>
  <c r="P915" i="41"/>
  <c r="Q915" i="41"/>
  <c r="R915" i="41"/>
  <c r="S915" i="41"/>
  <c r="J916" i="41"/>
  <c r="K916" i="41"/>
  <c r="L916" i="41"/>
  <c r="M916" i="41"/>
  <c r="N916" i="41"/>
  <c r="O916" i="41"/>
  <c r="P916" i="41"/>
  <c r="Q916" i="41"/>
  <c r="R916" i="41"/>
  <c r="S916" i="41"/>
  <c r="J917" i="41"/>
  <c r="K917" i="41"/>
  <c r="L917" i="41"/>
  <c r="M917" i="41"/>
  <c r="N917" i="41"/>
  <c r="O917" i="41"/>
  <c r="P917" i="41"/>
  <c r="Q917" i="41"/>
  <c r="R917" i="41"/>
  <c r="S917" i="41"/>
  <c r="J918" i="41"/>
  <c r="K918" i="41"/>
  <c r="L918" i="41"/>
  <c r="M918" i="41"/>
  <c r="N918" i="41"/>
  <c r="O918" i="41"/>
  <c r="P918" i="41"/>
  <c r="Q918" i="41"/>
  <c r="R918" i="41"/>
  <c r="S918" i="41"/>
  <c r="J919" i="41"/>
  <c r="K919" i="41"/>
  <c r="L919" i="41"/>
  <c r="M919" i="41"/>
  <c r="N919" i="41"/>
  <c r="O919" i="41"/>
  <c r="P919" i="41"/>
  <c r="Q919" i="41"/>
  <c r="R919" i="41"/>
  <c r="S919" i="41"/>
  <c r="J920" i="41"/>
  <c r="K920" i="41"/>
  <c r="L920" i="41"/>
  <c r="M920" i="41"/>
  <c r="N920" i="41"/>
  <c r="O920" i="41"/>
  <c r="P920" i="41"/>
  <c r="Q920" i="41"/>
  <c r="R920" i="41"/>
  <c r="S920" i="41"/>
  <c r="J921" i="41"/>
  <c r="K921" i="41"/>
  <c r="L921" i="41"/>
  <c r="M921" i="41"/>
  <c r="N921" i="41"/>
  <c r="O921" i="41"/>
  <c r="P921" i="41"/>
  <c r="Q921" i="41"/>
  <c r="R921" i="41"/>
  <c r="S921" i="41"/>
  <c r="J922" i="41"/>
  <c r="K922" i="41"/>
  <c r="L922" i="41"/>
  <c r="M922" i="41"/>
  <c r="N922" i="41"/>
  <c r="O922" i="41"/>
  <c r="P922" i="41"/>
  <c r="Q922" i="41"/>
  <c r="R922" i="41"/>
  <c r="S922" i="41"/>
  <c r="J923" i="41"/>
  <c r="K923" i="41"/>
  <c r="L923" i="41"/>
  <c r="M923" i="41"/>
  <c r="N923" i="41"/>
  <c r="O923" i="41"/>
  <c r="P923" i="41"/>
  <c r="Q923" i="41"/>
  <c r="R923" i="41"/>
  <c r="S923" i="41"/>
  <c r="J924" i="41"/>
  <c r="K924" i="41"/>
  <c r="L924" i="41"/>
  <c r="M924" i="41"/>
  <c r="N924" i="41"/>
  <c r="O924" i="41"/>
  <c r="P924" i="41"/>
  <c r="Q924" i="41"/>
  <c r="R924" i="41"/>
  <c r="S924" i="41"/>
  <c r="J925" i="41"/>
  <c r="K925" i="41"/>
  <c r="L925" i="41"/>
  <c r="M925" i="41"/>
  <c r="N925" i="41"/>
  <c r="O925" i="41"/>
  <c r="P925" i="41"/>
  <c r="Q925" i="41"/>
  <c r="R925" i="41"/>
  <c r="S925" i="41"/>
  <c r="J926" i="41"/>
  <c r="K926" i="41"/>
  <c r="L926" i="41"/>
  <c r="M926" i="41"/>
  <c r="N926" i="41"/>
  <c r="O926" i="41"/>
  <c r="P926" i="41"/>
  <c r="Q926" i="41"/>
  <c r="R926" i="41"/>
  <c r="S926" i="41"/>
  <c r="J927" i="41"/>
  <c r="K927" i="41"/>
  <c r="L927" i="41"/>
  <c r="M927" i="41"/>
  <c r="N927" i="41"/>
  <c r="O927" i="41"/>
  <c r="P927" i="41"/>
  <c r="Q927" i="41"/>
  <c r="R927" i="41"/>
  <c r="S927" i="41"/>
  <c r="J928" i="41"/>
  <c r="K928" i="41"/>
  <c r="L928" i="41"/>
  <c r="M928" i="41"/>
  <c r="N928" i="41"/>
  <c r="O928" i="41"/>
  <c r="P928" i="41"/>
  <c r="Q928" i="41"/>
  <c r="R928" i="41"/>
  <c r="S928" i="41"/>
  <c r="J929" i="41"/>
  <c r="K929" i="41"/>
  <c r="L929" i="41"/>
  <c r="M929" i="41"/>
  <c r="N929" i="41"/>
  <c r="O929" i="41"/>
  <c r="P929" i="41"/>
  <c r="Q929" i="41"/>
  <c r="R929" i="41"/>
  <c r="S929" i="41"/>
  <c r="J930" i="41"/>
  <c r="K930" i="41"/>
  <c r="L930" i="41"/>
  <c r="M930" i="41"/>
  <c r="N930" i="41"/>
  <c r="O930" i="41"/>
  <c r="P930" i="41"/>
  <c r="Q930" i="41"/>
  <c r="R930" i="41"/>
  <c r="S930" i="41"/>
  <c r="J931" i="41"/>
  <c r="K931" i="41"/>
  <c r="L931" i="41"/>
  <c r="M931" i="41"/>
  <c r="N931" i="41"/>
  <c r="O931" i="41"/>
  <c r="P931" i="41"/>
  <c r="Q931" i="41"/>
  <c r="R931" i="41"/>
  <c r="S931" i="41"/>
  <c r="J932" i="41"/>
  <c r="K932" i="41"/>
  <c r="L932" i="41"/>
  <c r="M932" i="41"/>
  <c r="N932" i="41"/>
  <c r="O932" i="41"/>
  <c r="P932" i="41"/>
  <c r="Q932" i="41"/>
  <c r="R932" i="41"/>
  <c r="S932" i="41"/>
  <c r="J933" i="41"/>
  <c r="K933" i="41"/>
  <c r="L933" i="41"/>
  <c r="M933" i="41"/>
  <c r="N933" i="41"/>
  <c r="O933" i="41"/>
  <c r="P933" i="41"/>
  <c r="Q933" i="41"/>
  <c r="R933" i="41"/>
  <c r="S933" i="41"/>
  <c r="J934" i="41"/>
  <c r="K934" i="41"/>
  <c r="L934" i="41"/>
  <c r="M934" i="41"/>
  <c r="N934" i="41"/>
  <c r="O934" i="41"/>
  <c r="P934" i="41"/>
  <c r="Q934" i="41"/>
  <c r="R934" i="41"/>
  <c r="S934" i="41"/>
  <c r="J935" i="41"/>
  <c r="K935" i="41"/>
  <c r="L935" i="41"/>
  <c r="M935" i="41"/>
  <c r="N935" i="41"/>
  <c r="O935" i="41"/>
  <c r="P935" i="41"/>
  <c r="Q935" i="41"/>
  <c r="R935" i="41"/>
  <c r="S935" i="41"/>
  <c r="J936" i="41"/>
  <c r="K936" i="41"/>
  <c r="L936" i="41"/>
  <c r="M936" i="41"/>
  <c r="N936" i="41"/>
  <c r="O936" i="41"/>
  <c r="P936" i="41"/>
  <c r="Q936" i="41"/>
  <c r="R936" i="41"/>
  <c r="S936" i="41"/>
  <c r="J937" i="41"/>
  <c r="K937" i="41"/>
  <c r="L937" i="41"/>
  <c r="M937" i="41"/>
  <c r="N937" i="41"/>
  <c r="O937" i="41"/>
  <c r="P937" i="41"/>
  <c r="Q937" i="41"/>
  <c r="R937" i="41"/>
  <c r="S937" i="41"/>
  <c r="J938" i="41"/>
  <c r="K938" i="41"/>
  <c r="L938" i="41"/>
  <c r="M938" i="41"/>
  <c r="N938" i="41"/>
  <c r="O938" i="41"/>
  <c r="P938" i="41"/>
  <c r="Q938" i="41"/>
  <c r="R938" i="41"/>
  <c r="S938" i="41"/>
  <c r="J939" i="41"/>
  <c r="K939" i="41"/>
  <c r="L939" i="41"/>
  <c r="M939" i="41"/>
  <c r="N939" i="41"/>
  <c r="O939" i="41"/>
  <c r="P939" i="41"/>
  <c r="Q939" i="41"/>
  <c r="R939" i="41"/>
  <c r="S939" i="41"/>
  <c r="J940" i="41"/>
  <c r="K940" i="41"/>
  <c r="L940" i="41"/>
  <c r="M940" i="41"/>
  <c r="N940" i="41"/>
  <c r="O940" i="41"/>
  <c r="P940" i="41"/>
  <c r="Q940" i="41"/>
  <c r="R940" i="41"/>
  <c r="S940" i="41"/>
  <c r="J941" i="41"/>
  <c r="K941" i="41"/>
  <c r="L941" i="41"/>
  <c r="M941" i="41"/>
  <c r="N941" i="41"/>
  <c r="O941" i="41"/>
  <c r="P941" i="41"/>
  <c r="Q941" i="41"/>
  <c r="R941" i="41"/>
  <c r="S941" i="41"/>
  <c r="J942" i="41"/>
  <c r="K942" i="41"/>
  <c r="L942" i="41"/>
  <c r="M942" i="41"/>
  <c r="N942" i="41"/>
  <c r="O942" i="41"/>
  <c r="P942" i="41"/>
  <c r="Q942" i="41"/>
  <c r="R942" i="41"/>
  <c r="S942" i="41"/>
  <c r="J943" i="41"/>
  <c r="K943" i="41"/>
  <c r="L943" i="41"/>
  <c r="M943" i="41"/>
  <c r="N943" i="41"/>
  <c r="O943" i="41"/>
  <c r="P943" i="41"/>
  <c r="Q943" i="41"/>
  <c r="R943" i="41"/>
  <c r="S943" i="41"/>
  <c r="J944" i="41"/>
  <c r="K944" i="41"/>
  <c r="L944" i="41"/>
  <c r="M944" i="41"/>
  <c r="N944" i="41"/>
  <c r="O944" i="41"/>
  <c r="P944" i="41"/>
  <c r="Q944" i="41"/>
  <c r="R944" i="41"/>
  <c r="S944" i="41"/>
  <c r="J945" i="41"/>
  <c r="K945" i="41"/>
  <c r="L945" i="41"/>
  <c r="M945" i="41"/>
  <c r="N945" i="41"/>
  <c r="O945" i="41"/>
  <c r="P945" i="41"/>
  <c r="Q945" i="41"/>
  <c r="R945" i="41"/>
  <c r="S945" i="41"/>
  <c r="J946" i="41"/>
  <c r="K946" i="41"/>
  <c r="L946" i="41"/>
  <c r="M946" i="41"/>
  <c r="N946" i="41"/>
  <c r="O946" i="41"/>
  <c r="P946" i="41"/>
  <c r="Q946" i="41"/>
  <c r="R946" i="41"/>
  <c r="S946" i="41"/>
  <c r="J947" i="41"/>
  <c r="K947" i="41"/>
  <c r="L947" i="41"/>
  <c r="M947" i="41"/>
  <c r="N947" i="41"/>
  <c r="O947" i="41"/>
  <c r="P947" i="41"/>
  <c r="Q947" i="41"/>
  <c r="R947" i="41"/>
  <c r="S947" i="41"/>
  <c r="J948" i="41"/>
  <c r="K948" i="41"/>
  <c r="L948" i="41"/>
  <c r="M948" i="41"/>
  <c r="N948" i="41"/>
  <c r="O948" i="41"/>
  <c r="P948" i="41"/>
  <c r="Q948" i="41"/>
  <c r="R948" i="41"/>
  <c r="S948" i="41"/>
  <c r="J949" i="41"/>
  <c r="K949" i="41"/>
  <c r="L949" i="41"/>
  <c r="M949" i="41"/>
  <c r="N949" i="41"/>
  <c r="O949" i="41"/>
  <c r="P949" i="41"/>
  <c r="Q949" i="41"/>
  <c r="R949" i="41"/>
  <c r="S949" i="41"/>
  <c r="J950" i="41"/>
  <c r="K950" i="41"/>
  <c r="L950" i="41"/>
  <c r="M950" i="41"/>
  <c r="N950" i="41"/>
  <c r="O950" i="41"/>
  <c r="P950" i="41"/>
  <c r="Q950" i="41"/>
  <c r="R950" i="41"/>
  <c r="S950" i="41"/>
  <c r="J951" i="41"/>
  <c r="K951" i="41"/>
  <c r="L951" i="41"/>
  <c r="M951" i="41"/>
  <c r="N951" i="41"/>
  <c r="O951" i="41"/>
  <c r="P951" i="41"/>
  <c r="Q951" i="41"/>
  <c r="R951" i="41"/>
  <c r="S951" i="41"/>
  <c r="J952" i="41"/>
  <c r="K952" i="41"/>
  <c r="L952" i="41"/>
  <c r="M952" i="41"/>
  <c r="N952" i="41"/>
  <c r="O952" i="41"/>
  <c r="P952" i="41"/>
  <c r="Q952" i="41"/>
  <c r="R952" i="41"/>
  <c r="S952" i="41"/>
  <c r="J953" i="41"/>
  <c r="K953" i="41"/>
  <c r="L953" i="41"/>
  <c r="M953" i="41"/>
  <c r="N953" i="41"/>
  <c r="O953" i="41"/>
  <c r="P953" i="41"/>
  <c r="Q953" i="41"/>
  <c r="R953" i="41"/>
  <c r="S953" i="41"/>
  <c r="J954" i="41"/>
  <c r="K954" i="41"/>
  <c r="L954" i="41"/>
  <c r="M954" i="41"/>
  <c r="N954" i="41"/>
  <c r="O954" i="41"/>
  <c r="P954" i="41"/>
  <c r="Q954" i="41"/>
  <c r="R954" i="41"/>
  <c r="S954" i="41"/>
  <c r="J955" i="41"/>
  <c r="K955" i="41"/>
  <c r="L955" i="41"/>
  <c r="M955" i="41"/>
  <c r="N955" i="41"/>
  <c r="O955" i="41"/>
  <c r="P955" i="41"/>
  <c r="Q955" i="41"/>
  <c r="R955" i="41"/>
  <c r="S955" i="41"/>
  <c r="J956" i="41"/>
  <c r="K956" i="41"/>
  <c r="L956" i="41"/>
  <c r="M956" i="41"/>
  <c r="N956" i="41"/>
  <c r="O956" i="41"/>
  <c r="P956" i="41"/>
  <c r="Q956" i="41"/>
  <c r="R956" i="41"/>
  <c r="S956" i="41"/>
  <c r="J957" i="41"/>
  <c r="K957" i="41"/>
  <c r="L957" i="41"/>
  <c r="M957" i="41"/>
  <c r="N957" i="41"/>
  <c r="O957" i="41"/>
  <c r="P957" i="41"/>
  <c r="Q957" i="41"/>
  <c r="R957" i="41"/>
  <c r="S957" i="41"/>
  <c r="J958" i="41"/>
  <c r="K958" i="41"/>
  <c r="L958" i="41"/>
  <c r="M958" i="41"/>
  <c r="N958" i="41"/>
  <c r="O958" i="41"/>
  <c r="P958" i="41"/>
  <c r="Q958" i="41"/>
  <c r="R958" i="41"/>
  <c r="S958" i="41"/>
  <c r="J959" i="41"/>
  <c r="K959" i="41"/>
  <c r="L959" i="41"/>
  <c r="M959" i="41"/>
  <c r="N959" i="41"/>
  <c r="O959" i="41"/>
  <c r="P959" i="41"/>
  <c r="Q959" i="41"/>
  <c r="R959" i="41"/>
  <c r="S959" i="41"/>
  <c r="J960" i="41"/>
  <c r="K960" i="41"/>
  <c r="L960" i="41"/>
  <c r="M960" i="41"/>
  <c r="N960" i="41"/>
  <c r="O960" i="41"/>
  <c r="P960" i="41"/>
  <c r="Q960" i="41"/>
  <c r="R960" i="41"/>
  <c r="S960" i="41"/>
  <c r="J961" i="41"/>
  <c r="K961" i="41"/>
  <c r="L961" i="41"/>
  <c r="M961" i="41"/>
  <c r="N961" i="41"/>
  <c r="O961" i="41"/>
  <c r="P961" i="41"/>
  <c r="Q961" i="41"/>
  <c r="R961" i="41"/>
  <c r="S961" i="41"/>
  <c r="J962" i="41"/>
  <c r="K962" i="41"/>
  <c r="L962" i="41"/>
  <c r="M962" i="41"/>
  <c r="N962" i="41"/>
  <c r="O962" i="41"/>
  <c r="P962" i="41"/>
  <c r="Q962" i="41"/>
  <c r="R962" i="41"/>
  <c r="S962" i="41"/>
  <c r="J963" i="41"/>
  <c r="K963" i="41"/>
  <c r="L963" i="41"/>
  <c r="M963" i="41"/>
  <c r="N963" i="41"/>
  <c r="O963" i="41"/>
  <c r="P963" i="41"/>
  <c r="Q963" i="41"/>
  <c r="R963" i="41"/>
  <c r="S963" i="41"/>
  <c r="J964" i="41"/>
  <c r="K964" i="41"/>
  <c r="L964" i="41"/>
  <c r="M964" i="41"/>
  <c r="N964" i="41"/>
  <c r="O964" i="41"/>
  <c r="P964" i="41"/>
  <c r="Q964" i="41"/>
  <c r="R964" i="41"/>
  <c r="S964" i="41"/>
  <c r="J965" i="41"/>
  <c r="K965" i="41"/>
  <c r="L965" i="41"/>
  <c r="M965" i="41"/>
  <c r="N965" i="41"/>
  <c r="O965" i="41"/>
  <c r="P965" i="41"/>
  <c r="Q965" i="41"/>
  <c r="R965" i="41"/>
  <c r="S965" i="41"/>
  <c r="J966" i="41"/>
  <c r="K966" i="41"/>
  <c r="L966" i="41"/>
  <c r="M966" i="41"/>
  <c r="N966" i="41"/>
  <c r="O966" i="41"/>
  <c r="P966" i="41"/>
  <c r="Q966" i="41"/>
  <c r="R966" i="41"/>
  <c r="S966" i="41"/>
  <c r="J967" i="41"/>
  <c r="K967" i="41"/>
  <c r="L967" i="41"/>
  <c r="M967" i="41"/>
  <c r="N967" i="41"/>
  <c r="O967" i="41"/>
  <c r="P967" i="41"/>
  <c r="Q967" i="41"/>
  <c r="R967" i="41"/>
  <c r="S967" i="41"/>
  <c r="J968" i="41"/>
  <c r="K968" i="41"/>
  <c r="L968" i="41"/>
  <c r="M968" i="41"/>
  <c r="N968" i="41"/>
  <c r="O968" i="41"/>
  <c r="P968" i="41"/>
  <c r="Q968" i="41"/>
  <c r="R968" i="41"/>
  <c r="S968" i="41"/>
  <c r="J969" i="41"/>
  <c r="K969" i="41"/>
  <c r="L969" i="41"/>
  <c r="M969" i="41"/>
  <c r="N969" i="41"/>
  <c r="O969" i="41"/>
  <c r="P969" i="41"/>
  <c r="Q969" i="41"/>
  <c r="R969" i="41"/>
  <c r="S969" i="41"/>
  <c r="J970" i="41"/>
  <c r="K970" i="41"/>
  <c r="L970" i="41"/>
  <c r="M970" i="41"/>
  <c r="N970" i="41"/>
  <c r="O970" i="41"/>
  <c r="P970" i="41"/>
  <c r="Q970" i="41"/>
  <c r="R970" i="41"/>
  <c r="S970" i="41"/>
  <c r="J971" i="41"/>
  <c r="K971" i="41"/>
  <c r="L971" i="41"/>
  <c r="M971" i="41"/>
  <c r="N971" i="41"/>
  <c r="O971" i="41"/>
  <c r="P971" i="41"/>
  <c r="Q971" i="41"/>
  <c r="R971" i="41"/>
  <c r="S971" i="41"/>
  <c r="J972" i="41"/>
  <c r="K972" i="41"/>
  <c r="L972" i="41"/>
  <c r="M972" i="41"/>
  <c r="N972" i="41"/>
  <c r="O972" i="41"/>
  <c r="P972" i="41"/>
  <c r="Q972" i="41"/>
  <c r="R972" i="41"/>
  <c r="S972" i="41"/>
  <c r="J973" i="41"/>
  <c r="K973" i="41"/>
  <c r="L973" i="41"/>
  <c r="M973" i="41"/>
  <c r="N973" i="41"/>
  <c r="O973" i="41"/>
  <c r="P973" i="41"/>
  <c r="Q973" i="41"/>
  <c r="R973" i="41"/>
  <c r="S973" i="41"/>
  <c r="J974" i="41"/>
  <c r="K974" i="41"/>
  <c r="L974" i="41"/>
  <c r="M974" i="41"/>
  <c r="N974" i="41"/>
  <c r="O974" i="41"/>
  <c r="P974" i="41"/>
  <c r="Q974" i="41"/>
  <c r="R974" i="41"/>
  <c r="S974" i="41"/>
  <c r="J975" i="41"/>
  <c r="K975" i="41"/>
  <c r="L975" i="41"/>
  <c r="M975" i="41"/>
  <c r="N975" i="41"/>
  <c r="O975" i="41"/>
  <c r="P975" i="41"/>
  <c r="Q975" i="41"/>
  <c r="R975" i="41"/>
  <c r="S975" i="41"/>
  <c r="J976" i="41"/>
  <c r="K976" i="41"/>
  <c r="L976" i="41"/>
  <c r="M976" i="41"/>
  <c r="N976" i="41"/>
  <c r="O976" i="41"/>
  <c r="P976" i="41"/>
  <c r="Q976" i="41"/>
  <c r="R976" i="41"/>
  <c r="S976" i="41"/>
  <c r="J977" i="41"/>
  <c r="K977" i="41"/>
  <c r="L977" i="41"/>
  <c r="M977" i="41"/>
  <c r="N977" i="41"/>
  <c r="O977" i="41"/>
  <c r="P977" i="41"/>
  <c r="Q977" i="41"/>
  <c r="R977" i="41"/>
  <c r="S977" i="41"/>
  <c r="J978" i="41"/>
  <c r="K978" i="41"/>
  <c r="L978" i="41"/>
  <c r="M978" i="41"/>
  <c r="N978" i="41"/>
  <c r="O978" i="41"/>
  <c r="P978" i="41"/>
  <c r="Q978" i="41"/>
  <c r="R978" i="41"/>
  <c r="S978" i="41"/>
  <c r="J979" i="41"/>
  <c r="K979" i="41"/>
  <c r="L979" i="41"/>
  <c r="M979" i="41"/>
  <c r="N979" i="41"/>
  <c r="O979" i="41"/>
  <c r="P979" i="41"/>
  <c r="Q979" i="41"/>
  <c r="R979" i="41"/>
  <c r="S979" i="41"/>
  <c r="J980" i="41"/>
  <c r="K980" i="41"/>
  <c r="L980" i="41"/>
  <c r="M980" i="41"/>
  <c r="N980" i="41"/>
  <c r="O980" i="41"/>
  <c r="P980" i="41"/>
  <c r="Q980" i="41"/>
  <c r="R980" i="41"/>
  <c r="S980" i="41"/>
  <c r="J981" i="41"/>
  <c r="K981" i="41"/>
  <c r="L981" i="41"/>
  <c r="M981" i="41"/>
  <c r="N981" i="41"/>
  <c r="O981" i="41"/>
  <c r="P981" i="41"/>
  <c r="Q981" i="41"/>
  <c r="R981" i="41"/>
  <c r="S981" i="41"/>
  <c r="J982" i="41"/>
  <c r="K982" i="41"/>
  <c r="L982" i="41"/>
  <c r="M982" i="41"/>
  <c r="N982" i="41"/>
  <c r="O982" i="41"/>
  <c r="P982" i="41"/>
  <c r="Q982" i="41"/>
  <c r="R982" i="41"/>
  <c r="S982" i="41"/>
  <c r="J983" i="41"/>
  <c r="K983" i="41"/>
  <c r="L983" i="41"/>
  <c r="M983" i="41"/>
  <c r="N983" i="41"/>
  <c r="O983" i="41"/>
  <c r="P983" i="41"/>
  <c r="Q983" i="41"/>
  <c r="R983" i="41"/>
  <c r="S983" i="41"/>
  <c r="J984" i="41"/>
  <c r="K984" i="41"/>
  <c r="L984" i="41"/>
  <c r="M984" i="41"/>
  <c r="N984" i="41"/>
  <c r="O984" i="41"/>
  <c r="P984" i="41"/>
  <c r="Q984" i="41"/>
  <c r="R984" i="41"/>
  <c r="S984" i="41"/>
  <c r="J985" i="41"/>
  <c r="K985" i="41"/>
  <c r="L985" i="41"/>
  <c r="M985" i="41"/>
  <c r="N985" i="41"/>
  <c r="O985" i="41"/>
  <c r="P985" i="41"/>
  <c r="Q985" i="41"/>
  <c r="R985" i="41"/>
  <c r="S985" i="41"/>
  <c r="J986" i="41"/>
  <c r="K986" i="41"/>
  <c r="L986" i="41"/>
  <c r="M986" i="41"/>
  <c r="N986" i="41"/>
  <c r="O986" i="41"/>
  <c r="P986" i="41"/>
  <c r="Q986" i="41"/>
  <c r="R986" i="41"/>
  <c r="S986" i="41"/>
  <c r="J987" i="41"/>
  <c r="K987" i="41"/>
  <c r="L987" i="41"/>
  <c r="M987" i="41"/>
  <c r="N987" i="41"/>
  <c r="O987" i="41"/>
  <c r="P987" i="41"/>
  <c r="Q987" i="41"/>
  <c r="R987" i="41"/>
  <c r="S987" i="41"/>
  <c r="J988" i="41"/>
  <c r="K988" i="41"/>
  <c r="L988" i="41"/>
  <c r="M988" i="41"/>
  <c r="N988" i="41"/>
  <c r="O988" i="41"/>
  <c r="P988" i="41"/>
  <c r="Q988" i="41"/>
  <c r="R988" i="41"/>
  <c r="S988" i="41"/>
  <c r="J989" i="41"/>
  <c r="K989" i="41"/>
  <c r="L989" i="41"/>
  <c r="M989" i="41"/>
  <c r="N989" i="41"/>
  <c r="O989" i="41"/>
  <c r="P989" i="41"/>
  <c r="Q989" i="41"/>
  <c r="R989" i="41"/>
  <c r="S989" i="41"/>
  <c r="J990" i="41"/>
  <c r="K990" i="41"/>
  <c r="L990" i="41"/>
  <c r="M990" i="41"/>
  <c r="N990" i="41"/>
  <c r="O990" i="41"/>
  <c r="P990" i="41"/>
  <c r="Q990" i="41"/>
  <c r="R990" i="41"/>
  <c r="S990" i="41"/>
  <c r="J991" i="41"/>
  <c r="K991" i="41"/>
  <c r="L991" i="41"/>
  <c r="M991" i="41"/>
  <c r="N991" i="41"/>
  <c r="O991" i="41"/>
  <c r="P991" i="41"/>
  <c r="Q991" i="41"/>
  <c r="R991" i="41"/>
  <c r="S991" i="41"/>
  <c r="J992" i="41"/>
  <c r="K992" i="41"/>
  <c r="L992" i="41"/>
  <c r="M992" i="41"/>
  <c r="N992" i="41"/>
  <c r="O992" i="41"/>
  <c r="P992" i="41"/>
  <c r="Q992" i="41"/>
  <c r="R992" i="41"/>
  <c r="S992" i="41"/>
  <c r="J993" i="41"/>
  <c r="K993" i="41"/>
  <c r="L993" i="41"/>
  <c r="M993" i="41"/>
  <c r="N993" i="41"/>
  <c r="O993" i="41"/>
  <c r="P993" i="41"/>
  <c r="Q993" i="41"/>
  <c r="R993" i="41"/>
  <c r="S993" i="41"/>
  <c r="J994" i="41"/>
  <c r="K994" i="41"/>
  <c r="L994" i="41"/>
  <c r="M994" i="41"/>
  <c r="N994" i="41"/>
  <c r="O994" i="41"/>
  <c r="P994" i="41"/>
  <c r="Q994" i="41"/>
  <c r="R994" i="41"/>
  <c r="S994" i="41"/>
  <c r="J995" i="41"/>
  <c r="K995" i="41"/>
  <c r="L995" i="41"/>
  <c r="M995" i="41"/>
  <c r="N995" i="41"/>
  <c r="O995" i="41"/>
  <c r="P995" i="41"/>
  <c r="Q995" i="41"/>
  <c r="R995" i="41"/>
  <c r="S995" i="41"/>
  <c r="J996" i="41"/>
  <c r="K996" i="41"/>
  <c r="L996" i="41"/>
  <c r="M996" i="41"/>
  <c r="N996" i="41"/>
  <c r="O996" i="41"/>
  <c r="P996" i="41"/>
  <c r="Q996" i="41"/>
  <c r="R996" i="41"/>
  <c r="S996" i="41"/>
  <c r="J997" i="41"/>
  <c r="K997" i="41"/>
  <c r="L997" i="41"/>
  <c r="M997" i="41"/>
  <c r="N997" i="41"/>
  <c r="O997" i="41"/>
  <c r="P997" i="41"/>
  <c r="Q997" i="41"/>
  <c r="R997" i="41"/>
  <c r="S997" i="41"/>
  <c r="J998" i="41"/>
  <c r="K998" i="41"/>
  <c r="L998" i="41"/>
  <c r="M998" i="41"/>
  <c r="N998" i="41"/>
  <c r="O998" i="41"/>
  <c r="P998" i="41"/>
  <c r="Q998" i="41"/>
  <c r="R998" i="41"/>
  <c r="S998" i="41"/>
  <c r="J999" i="41"/>
  <c r="K999" i="41"/>
  <c r="L999" i="41"/>
  <c r="M999" i="41"/>
  <c r="N999" i="41"/>
  <c r="O999" i="41"/>
  <c r="P999" i="41"/>
  <c r="Q999" i="41"/>
  <c r="R999" i="41"/>
  <c r="S999" i="41"/>
  <c r="J1000" i="41"/>
  <c r="K1000" i="41"/>
  <c r="L1000" i="41"/>
  <c r="M1000" i="41"/>
  <c r="N1000" i="41"/>
  <c r="O1000" i="41"/>
  <c r="P1000" i="41"/>
  <c r="Q1000" i="41"/>
  <c r="R1000" i="41"/>
  <c r="S1000" i="41"/>
  <c r="J1001" i="41"/>
  <c r="K1001" i="41"/>
  <c r="L1001" i="41"/>
  <c r="M1001" i="41"/>
  <c r="N1001" i="41"/>
  <c r="O1001" i="41"/>
  <c r="P1001" i="41"/>
  <c r="Q1001" i="41"/>
  <c r="R1001" i="41"/>
  <c r="S1001" i="41"/>
  <c r="J1002" i="41"/>
  <c r="K1002" i="41"/>
  <c r="L1002" i="41"/>
  <c r="M1002" i="41"/>
  <c r="N1002" i="41"/>
  <c r="O1002" i="41"/>
  <c r="P1002" i="41"/>
  <c r="Q1002" i="41"/>
  <c r="R1002" i="41"/>
  <c r="S1002" i="41"/>
  <c r="J1003" i="41"/>
  <c r="K1003" i="41"/>
  <c r="L1003" i="41"/>
  <c r="M1003" i="41"/>
  <c r="N1003" i="41"/>
  <c r="O1003" i="41"/>
  <c r="P1003" i="41"/>
  <c r="Q1003" i="41"/>
  <c r="R1003" i="41"/>
  <c r="S1003" i="41"/>
  <c r="J1004" i="41"/>
  <c r="K1004" i="41"/>
  <c r="L1004" i="41"/>
  <c r="M1004" i="41"/>
  <c r="N1004" i="41"/>
  <c r="O1004" i="41"/>
  <c r="P1004" i="41"/>
  <c r="Q1004" i="41"/>
  <c r="R1004" i="41"/>
  <c r="S1004" i="41"/>
  <c r="J1005" i="41"/>
  <c r="K1005" i="41"/>
  <c r="L1005" i="41"/>
  <c r="M1005" i="41"/>
  <c r="N1005" i="41"/>
  <c r="O1005" i="41"/>
  <c r="P1005" i="41"/>
  <c r="Q1005" i="41"/>
  <c r="R1005" i="41"/>
  <c r="S1005" i="41"/>
  <c r="J1006" i="41"/>
  <c r="K1006" i="41"/>
  <c r="L1006" i="41"/>
  <c r="M1006" i="41"/>
  <c r="N1006" i="41"/>
  <c r="O1006" i="41"/>
  <c r="P1006" i="41"/>
  <c r="Q1006" i="41"/>
  <c r="R1006" i="41"/>
  <c r="S1006" i="41"/>
  <c r="J1007" i="41"/>
  <c r="K1007" i="41"/>
  <c r="L1007" i="41"/>
  <c r="M1007" i="41"/>
  <c r="N1007" i="41"/>
  <c r="O1007" i="41"/>
  <c r="P1007" i="41"/>
  <c r="Q1007" i="41"/>
  <c r="R1007" i="41"/>
  <c r="S1007" i="41"/>
  <c r="J1008" i="41"/>
  <c r="K1008" i="41"/>
  <c r="L1008" i="41"/>
  <c r="M1008" i="41"/>
  <c r="N1008" i="41"/>
  <c r="O1008" i="41"/>
  <c r="P1008" i="41"/>
  <c r="Q1008" i="41"/>
  <c r="R1008" i="41"/>
  <c r="S1008" i="41"/>
  <c r="J1009" i="41"/>
  <c r="K1009" i="41"/>
  <c r="L1009" i="41"/>
  <c r="M1009" i="41"/>
  <c r="N1009" i="41"/>
  <c r="O1009" i="41"/>
  <c r="P1009" i="41"/>
  <c r="Q1009" i="41"/>
  <c r="R1009" i="41"/>
  <c r="S1009" i="41"/>
  <c r="J1010" i="41"/>
  <c r="K1010" i="41"/>
  <c r="L1010" i="41"/>
  <c r="M1010" i="41"/>
  <c r="N1010" i="41"/>
  <c r="O1010" i="41"/>
  <c r="P1010" i="41"/>
  <c r="Q1010" i="41"/>
  <c r="R1010" i="41"/>
  <c r="S1010" i="41"/>
  <c r="J1011" i="41"/>
  <c r="K1011" i="41"/>
  <c r="L1011" i="41"/>
  <c r="M1011" i="41"/>
  <c r="N1011" i="41"/>
  <c r="O1011" i="41"/>
  <c r="P1011" i="41"/>
  <c r="Q1011" i="41"/>
  <c r="R1011" i="41"/>
  <c r="S1011" i="41"/>
  <c r="J1012" i="41"/>
  <c r="K1012" i="41"/>
  <c r="L1012" i="41"/>
  <c r="M1012" i="41"/>
  <c r="N1012" i="41"/>
  <c r="O1012" i="41"/>
  <c r="P1012" i="41"/>
  <c r="Q1012" i="41"/>
  <c r="R1012" i="41"/>
  <c r="S1012" i="41"/>
  <c r="J1013" i="41"/>
  <c r="K1013" i="41"/>
  <c r="L1013" i="41"/>
  <c r="M1013" i="41"/>
  <c r="N1013" i="41"/>
  <c r="O1013" i="41"/>
  <c r="P1013" i="41"/>
  <c r="Q1013" i="41"/>
  <c r="R1013" i="41"/>
  <c r="S1013" i="41"/>
  <c r="J1014" i="41"/>
  <c r="K1014" i="41"/>
  <c r="L1014" i="41"/>
  <c r="M1014" i="41"/>
  <c r="N1014" i="41"/>
  <c r="O1014" i="41"/>
  <c r="P1014" i="41"/>
  <c r="Q1014" i="41"/>
  <c r="R1014" i="41"/>
  <c r="S1014" i="41"/>
  <c r="J1015" i="41"/>
  <c r="K1015" i="41"/>
  <c r="L1015" i="41"/>
  <c r="M1015" i="41"/>
  <c r="N1015" i="41"/>
  <c r="O1015" i="41"/>
  <c r="P1015" i="41"/>
  <c r="Q1015" i="41"/>
  <c r="R1015" i="41"/>
  <c r="S1015" i="41"/>
  <c r="J1016" i="41"/>
  <c r="K1016" i="41"/>
  <c r="L1016" i="41"/>
  <c r="M1016" i="41"/>
  <c r="N1016" i="41"/>
  <c r="O1016" i="41"/>
  <c r="P1016" i="41"/>
  <c r="Q1016" i="41"/>
  <c r="R1016" i="41"/>
  <c r="S1016" i="41"/>
  <c r="J1017" i="41"/>
  <c r="K1017" i="41"/>
  <c r="L1017" i="41"/>
  <c r="M1017" i="41"/>
  <c r="N1017" i="41"/>
  <c r="O1017" i="41"/>
  <c r="P1017" i="41"/>
  <c r="Q1017" i="41"/>
  <c r="R1017" i="41"/>
  <c r="S1017" i="41"/>
  <c r="J1018" i="41"/>
  <c r="K1018" i="41"/>
  <c r="L1018" i="41"/>
  <c r="M1018" i="41"/>
  <c r="N1018" i="41"/>
  <c r="O1018" i="41"/>
  <c r="P1018" i="41"/>
  <c r="Q1018" i="41"/>
  <c r="R1018" i="41"/>
  <c r="S1018" i="41"/>
  <c r="J1019" i="41"/>
  <c r="K1019" i="41"/>
  <c r="L1019" i="41"/>
  <c r="M1019" i="41"/>
  <c r="N1019" i="41"/>
  <c r="O1019" i="41"/>
  <c r="P1019" i="41"/>
  <c r="Q1019" i="41"/>
  <c r="R1019" i="41"/>
  <c r="S1019" i="41"/>
  <c r="J1020" i="41"/>
  <c r="K1020" i="41"/>
  <c r="L1020" i="41"/>
  <c r="M1020" i="41"/>
  <c r="N1020" i="41"/>
  <c r="O1020" i="41"/>
  <c r="P1020" i="41"/>
  <c r="Q1020" i="41"/>
  <c r="R1020" i="41"/>
  <c r="S1020" i="41"/>
  <c r="J1021" i="41"/>
  <c r="K1021" i="41"/>
  <c r="L1021" i="41"/>
  <c r="M1021" i="41"/>
  <c r="N1021" i="41"/>
  <c r="O1021" i="41"/>
  <c r="P1021" i="41"/>
  <c r="Q1021" i="41"/>
  <c r="R1021" i="41"/>
  <c r="S1021" i="41"/>
  <c r="J1022" i="41"/>
  <c r="K1022" i="41"/>
  <c r="L1022" i="41"/>
  <c r="M1022" i="41"/>
  <c r="N1022" i="41"/>
  <c r="O1022" i="41"/>
  <c r="P1022" i="41"/>
  <c r="Q1022" i="41"/>
  <c r="R1022" i="41"/>
  <c r="S1022" i="41"/>
  <c r="J1023" i="41"/>
  <c r="K1023" i="41"/>
  <c r="L1023" i="41"/>
  <c r="M1023" i="41"/>
  <c r="N1023" i="41"/>
  <c r="O1023" i="41"/>
  <c r="P1023" i="41"/>
  <c r="Q1023" i="41"/>
  <c r="R1023" i="41"/>
  <c r="S1023" i="41"/>
  <c r="J1024" i="41"/>
  <c r="K1024" i="41"/>
  <c r="L1024" i="41"/>
  <c r="M1024" i="41"/>
  <c r="N1024" i="41"/>
  <c r="O1024" i="41"/>
  <c r="P1024" i="41"/>
  <c r="Q1024" i="41"/>
  <c r="R1024" i="41"/>
  <c r="S1024" i="41"/>
  <c r="J1025" i="41"/>
  <c r="K1025" i="41"/>
  <c r="L1025" i="41"/>
  <c r="M1025" i="41"/>
  <c r="N1025" i="41"/>
  <c r="O1025" i="41"/>
  <c r="P1025" i="41"/>
  <c r="Q1025" i="41"/>
  <c r="R1025" i="41"/>
  <c r="S1025" i="41"/>
  <c r="J1026" i="41"/>
  <c r="K1026" i="41"/>
  <c r="L1026" i="41"/>
  <c r="M1026" i="41"/>
  <c r="N1026" i="41"/>
  <c r="O1026" i="41"/>
  <c r="P1026" i="41"/>
  <c r="Q1026" i="41"/>
  <c r="R1026" i="41"/>
  <c r="S1026" i="41"/>
  <c r="J1027" i="41"/>
  <c r="K1027" i="41"/>
  <c r="L1027" i="41"/>
  <c r="M1027" i="41"/>
  <c r="N1027" i="41"/>
  <c r="O1027" i="41"/>
  <c r="P1027" i="41"/>
  <c r="Q1027" i="41"/>
  <c r="R1027" i="41"/>
  <c r="S1027" i="41"/>
  <c r="J1028" i="41"/>
  <c r="K1028" i="41"/>
  <c r="L1028" i="41"/>
  <c r="M1028" i="41"/>
  <c r="N1028" i="41"/>
  <c r="O1028" i="41"/>
  <c r="P1028" i="41"/>
  <c r="Q1028" i="41"/>
  <c r="R1028" i="41"/>
  <c r="S1028" i="41"/>
  <c r="J1029" i="41"/>
  <c r="K1029" i="41"/>
  <c r="L1029" i="41"/>
  <c r="M1029" i="41"/>
  <c r="N1029" i="41"/>
  <c r="O1029" i="41"/>
  <c r="P1029" i="41"/>
  <c r="Q1029" i="41"/>
  <c r="R1029" i="41"/>
  <c r="S1029" i="41"/>
  <c r="J1030" i="41"/>
  <c r="K1030" i="41"/>
  <c r="L1030" i="41"/>
  <c r="M1030" i="41"/>
  <c r="N1030" i="41"/>
  <c r="O1030" i="41"/>
  <c r="P1030" i="41"/>
  <c r="Q1030" i="41"/>
  <c r="R1030" i="41"/>
  <c r="S1030" i="41"/>
  <c r="J1031" i="41"/>
  <c r="K1031" i="41"/>
  <c r="L1031" i="41"/>
  <c r="M1031" i="41"/>
  <c r="N1031" i="41"/>
  <c r="O1031" i="41"/>
  <c r="P1031" i="41"/>
  <c r="Q1031" i="41"/>
  <c r="R1031" i="41"/>
  <c r="S1031" i="41"/>
  <c r="J1032" i="41"/>
  <c r="K1032" i="41"/>
  <c r="L1032" i="41"/>
  <c r="M1032" i="41"/>
  <c r="N1032" i="41"/>
  <c r="O1032" i="41"/>
  <c r="P1032" i="41"/>
  <c r="Q1032" i="41"/>
  <c r="R1032" i="41"/>
  <c r="S1032" i="41"/>
  <c r="J1033" i="41"/>
  <c r="K1033" i="41"/>
  <c r="L1033" i="41"/>
  <c r="M1033" i="41"/>
  <c r="N1033" i="41"/>
  <c r="O1033" i="41"/>
  <c r="P1033" i="41"/>
  <c r="Q1033" i="41"/>
  <c r="R1033" i="41"/>
  <c r="S1033" i="41"/>
  <c r="J1034" i="41"/>
  <c r="K1034" i="41"/>
  <c r="L1034" i="41"/>
  <c r="M1034" i="41"/>
  <c r="N1034" i="41"/>
  <c r="O1034" i="41"/>
  <c r="P1034" i="41"/>
  <c r="Q1034" i="41"/>
  <c r="R1034" i="41"/>
  <c r="S1034" i="41"/>
  <c r="J1035" i="41"/>
  <c r="K1035" i="41"/>
  <c r="L1035" i="41"/>
  <c r="M1035" i="41"/>
  <c r="N1035" i="41"/>
  <c r="O1035" i="41"/>
  <c r="P1035" i="41"/>
  <c r="Q1035" i="41"/>
  <c r="R1035" i="41"/>
  <c r="S1035" i="41"/>
  <c r="J1036" i="41"/>
  <c r="K1036" i="41"/>
  <c r="L1036" i="41"/>
  <c r="M1036" i="41"/>
  <c r="N1036" i="41"/>
  <c r="O1036" i="41"/>
  <c r="P1036" i="41"/>
  <c r="Q1036" i="41"/>
  <c r="R1036" i="41"/>
  <c r="S1036" i="41"/>
  <c r="J1037" i="41"/>
  <c r="K1037" i="41"/>
  <c r="L1037" i="41"/>
  <c r="M1037" i="41"/>
  <c r="N1037" i="41"/>
  <c r="O1037" i="41"/>
  <c r="P1037" i="41"/>
  <c r="Q1037" i="41"/>
  <c r="R1037" i="41"/>
  <c r="S1037" i="41"/>
  <c r="J1038" i="41"/>
  <c r="K1038" i="41"/>
  <c r="L1038" i="41"/>
  <c r="M1038" i="41"/>
  <c r="N1038" i="41"/>
  <c r="O1038" i="41"/>
  <c r="P1038" i="41"/>
  <c r="Q1038" i="41"/>
  <c r="R1038" i="41"/>
  <c r="S1038" i="41"/>
  <c r="J1039" i="41"/>
  <c r="K1039" i="41"/>
  <c r="L1039" i="41"/>
  <c r="M1039" i="41"/>
  <c r="N1039" i="41"/>
  <c r="O1039" i="41"/>
  <c r="P1039" i="41"/>
  <c r="Q1039" i="41"/>
  <c r="R1039" i="41"/>
  <c r="S1039" i="41"/>
  <c r="J1040" i="41"/>
  <c r="K1040" i="41"/>
  <c r="L1040" i="41"/>
  <c r="M1040" i="41"/>
  <c r="N1040" i="41"/>
  <c r="O1040" i="41"/>
  <c r="P1040" i="41"/>
  <c r="Q1040" i="41"/>
  <c r="R1040" i="41"/>
  <c r="S1040" i="41"/>
  <c r="J1041" i="41"/>
  <c r="K1041" i="41"/>
  <c r="L1041" i="41"/>
  <c r="M1041" i="41"/>
  <c r="N1041" i="41"/>
  <c r="O1041" i="41"/>
  <c r="P1041" i="41"/>
  <c r="Q1041" i="41"/>
  <c r="R1041" i="41"/>
  <c r="S1041" i="41"/>
  <c r="J1042" i="41"/>
  <c r="K1042" i="41"/>
  <c r="L1042" i="41"/>
  <c r="M1042" i="41"/>
  <c r="N1042" i="41"/>
  <c r="O1042" i="41"/>
  <c r="P1042" i="41"/>
  <c r="Q1042" i="41"/>
  <c r="R1042" i="41"/>
  <c r="S1042" i="41"/>
  <c r="J1043" i="41"/>
  <c r="K1043" i="41"/>
  <c r="L1043" i="41"/>
  <c r="M1043" i="41"/>
  <c r="N1043" i="41"/>
  <c r="O1043" i="41"/>
  <c r="P1043" i="41"/>
  <c r="Q1043" i="41"/>
  <c r="R1043" i="41"/>
  <c r="S1043" i="41"/>
  <c r="J1044" i="41"/>
  <c r="K1044" i="41"/>
  <c r="L1044" i="41"/>
  <c r="M1044" i="41"/>
  <c r="N1044" i="41"/>
  <c r="O1044" i="41"/>
  <c r="P1044" i="41"/>
  <c r="Q1044" i="41"/>
  <c r="R1044" i="41"/>
  <c r="S1044" i="41"/>
  <c r="J1045" i="41"/>
  <c r="K1045" i="41"/>
  <c r="L1045" i="41"/>
  <c r="M1045" i="41"/>
  <c r="N1045" i="41"/>
  <c r="O1045" i="41"/>
  <c r="P1045" i="41"/>
  <c r="Q1045" i="41"/>
  <c r="R1045" i="41"/>
  <c r="S1045" i="41"/>
  <c r="J1046" i="41"/>
  <c r="K1046" i="41"/>
  <c r="L1046" i="41"/>
  <c r="M1046" i="41"/>
  <c r="N1046" i="41"/>
  <c r="O1046" i="41"/>
  <c r="P1046" i="41"/>
  <c r="Q1046" i="41"/>
  <c r="R1046" i="41"/>
  <c r="S1046" i="41"/>
  <c r="J1047" i="41"/>
  <c r="K1047" i="41"/>
  <c r="L1047" i="41"/>
  <c r="M1047" i="41"/>
  <c r="N1047" i="41"/>
  <c r="O1047" i="41"/>
  <c r="P1047" i="41"/>
  <c r="Q1047" i="41"/>
  <c r="R1047" i="41"/>
  <c r="S1047" i="41"/>
  <c r="J1048" i="41"/>
  <c r="K1048" i="41"/>
  <c r="L1048" i="41"/>
  <c r="M1048" i="41"/>
  <c r="N1048" i="41"/>
  <c r="O1048" i="41"/>
  <c r="P1048" i="41"/>
  <c r="Q1048" i="41"/>
  <c r="R1048" i="41"/>
  <c r="S1048" i="41"/>
  <c r="J1049" i="41"/>
  <c r="K1049" i="41"/>
  <c r="L1049" i="41"/>
  <c r="M1049" i="41"/>
  <c r="N1049" i="41"/>
  <c r="O1049" i="41"/>
  <c r="P1049" i="41"/>
  <c r="Q1049" i="41"/>
  <c r="R1049" i="41"/>
  <c r="S1049" i="41"/>
  <c r="J1050" i="41"/>
  <c r="K1050" i="41"/>
  <c r="L1050" i="41"/>
  <c r="M1050" i="41"/>
  <c r="N1050" i="41"/>
  <c r="O1050" i="41"/>
  <c r="P1050" i="41"/>
  <c r="Q1050" i="41"/>
  <c r="R1050" i="41"/>
  <c r="S1050" i="41"/>
  <c r="J1051" i="41"/>
  <c r="K1051" i="41"/>
  <c r="L1051" i="41"/>
  <c r="M1051" i="41"/>
  <c r="N1051" i="41"/>
  <c r="O1051" i="41"/>
  <c r="P1051" i="41"/>
  <c r="Q1051" i="41"/>
  <c r="R1051" i="41"/>
  <c r="S1051" i="41"/>
  <c r="J1052" i="41"/>
  <c r="K1052" i="41"/>
  <c r="L1052" i="41"/>
  <c r="M1052" i="41"/>
  <c r="N1052" i="41"/>
  <c r="O1052" i="41"/>
  <c r="P1052" i="41"/>
  <c r="Q1052" i="41"/>
  <c r="R1052" i="41"/>
  <c r="S1052" i="41"/>
  <c r="J1053" i="41"/>
  <c r="K1053" i="41"/>
  <c r="L1053" i="41"/>
  <c r="M1053" i="41"/>
  <c r="N1053" i="41"/>
  <c r="O1053" i="41"/>
  <c r="P1053" i="41"/>
  <c r="Q1053" i="41"/>
  <c r="R1053" i="41"/>
  <c r="S1053" i="41"/>
  <c r="J1054" i="41"/>
  <c r="K1054" i="41"/>
  <c r="L1054" i="41"/>
  <c r="M1054" i="41"/>
  <c r="N1054" i="41"/>
  <c r="O1054" i="41"/>
  <c r="P1054" i="41"/>
  <c r="Q1054" i="41"/>
  <c r="R1054" i="41"/>
  <c r="S1054" i="41"/>
  <c r="J1055" i="41"/>
  <c r="K1055" i="41"/>
  <c r="L1055" i="41"/>
  <c r="M1055" i="41"/>
  <c r="N1055" i="41"/>
  <c r="O1055" i="41"/>
  <c r="P1055" i="41"/>
  <c r="Q1055" i="41"/>
  <c r="R1055" i="41"/>
  <c r="S1055" i="41"/>
  <c r="J1056" i="41"/>
  <c r="K1056" i="41"/>
  <c r="L1056" i="41"/>
  <c r="M1056" i="41"/>
  <c r="N1056" i="41"/>
  <c r="O1056" i="41"/>
  <c r="P1056" i="41"/>
  <c r="Q1056" i="41"/>
  <c r="R1056" i="41"/>
  <c r="S1056" i="41"/>
  <c r="J1057" i="41"/>
  <c r="K1057" i="41"/>
  <c r="L1057" i="41"/>
  <c r="M1057" i="41"/>
  <c r="N1057" i="41"/>
  <c r="O1057" i="41"/>
  <c r="P1057" i="41"/>
  <c r="Q1057" i="41"/>
  <c r="R1057" i="41"/>
  <c r="S1057" i="41"/>
  <c r="J1058" i="41"/>
  <c r="K1058" i="41"/>
  <c r="L1058" i="41"/>
  <c r="M1058" i="41"/>
  <c r="N1058" i="41"/>
  <c r="O1058" i="41"/>
  <c r="P1058" i="41"/>
  <c r="Q1058" i="41"/>
  <c r="R1058" i="41"/>
  <c r="S1058" i="41"/>
  <c r="J1059" i="41"/>
  <c r="K1059" i="41"/>
  <c r="L1059" i="41"/>
  <c r="M1059" i="41"/>
  <c r="N1059" i="41"/>
  <c r="O1059" i="41"/>
  <c r="P1059" i="41"/>
  <c r="Q1059" i="41"/>
  <c r="R1059" i="41"/>
  <c r="S1059" i="41"/>
  <c r="J1060" i="41"/>
  <c r="K1060" i="41"/>
  <c r="L1060" i="41"/>
  <c r="M1060" i="41"/>
  <c r="N1060" i="41"/>
  <c r="O1060" i="41"/>
  <c r="P1060" i="41"/>
  <c r="Q1060" i="41"/>
  <c r="R1060" i="41"/>
  <c r="S1060" i="41"/>
  <c r="J1061" i="41"/>
  <c r="K1061" i="41"/>
  <c r="L1061" i="41"/>
  <c r="M1061" i="41"/>
  <c r="N1061" i="41"/>
  <c r="O1061" i="41"/>
  <c r="P1061" i="41"/>
  <c r="Q1061" i="41"/>
  <c r="R1061" i="41"/>
  <c r="S1061" i="41"/>
  <c r="J1062" i="41"/>
  <c r="K1062" i="41"/>
  <c r="L1062" i="41"/>
  <c r="M1062" i="41"/>
  <c r="N1062" i="41"/>
  <c r="O1062" i="41"/>
  <c r="P1062" i="41"/>
  <c r="Q1062" i="41"/>
  <c r="R1062" i="41"/>
  <c r="S1062" i="41"/>
  <c r="J1063" i="41"/>
  <c r="K1063" i="41"/>
  <c r="L1063" i="41"/>
  <c r="M1063" i="41"/>
  <c r="N1063" i="41"/>
  <c r="O1063" i="41"/>
  <c r="P1063" i="41"/>
  <c r="Q1063" i="41"/>
  <c r="R1063" i="41"/>
  <c r="S1063" i="41"/>
  <c r="J1064" i="41"/>
  <c r="K1064" i="41"/>
  <c r="L1064" i="41"/>
  <c r="M1064" i="41"/>
  <c r="N1064" i="41"/>
  <c r="O1064" i="41"/>
  <c r="P1064" i="41"/>
  <c r="Q1064" i="41"/>
  <c r="R1064" i="41"/>
  <c r="S1064" i="41"/>
  <c r="J1065" i="41"/>
  <c r="K1065" i="41"/>
  <c r="L1065" i="41"/>
  <c r="M1065" i="41"/>
  <c r="N1065" i="41"/>
  <c r="O1065" i="41"/>
  <c r="P1065" i="41"/>
  <c r="Q1065" i="41"/>
  <c r="R1065" i="41"/>
  <c r="S1065" i="41"/>
  <c r="J1066" i="41"/>
  <c r="K1066" i="41"/>
  <c r="L1066" i="41"/>
  <c r="M1066" i="41"/>
  <c r="N1066" i="41"/>
  <c r="O1066" i="41"/>
  <c r="P1066" i="41"/>
  <c r="Q1066" i="41"/>
  <c r="R1066" i="41"/>
  <c r="S1066" i="41"/>
  <c r="J1067" i="41"/>
  <c r="K1067" i="41"/>
  <c r="L1067" i="41"/>
  <c r="M1067" i="41"/>
  <c r="N1067" i="41"/>
  <c r="O1067" i="41"/>
  <c r="P1067" i="41"/>
  <c r="Q1067" i="41"/>
  <c r="R1067" i="41"/>
  <c r="S1067" i="41"/>
  <c r="J1068" i="41"/>
  <c r="K1068" i="41"/>
  <c r="L1068" i="41"/>
  <c r="M1068" i="41"/>
  <c r="N1068" i="41"/>
  <c r="O1068" i="41"/>
  <c r="P1068" i="41"/>
  <c r="Q1068" i="41"/>
  <c r="R1068" i="41"/>
  <c r="S1068" i="41"/>
  <c r="J1069" i="41"/>
  <c r="K1069" i="41"/>
  <c r="L1069" i="41"/>
  <c r="M1069" i="41"/>
  <c r="N1069" i="41"/>
  <c r="O1069" i="41"/>
  <c r="P1069" i="41"/>
  <c r="Q1069" i="41"/>
  <c r="R1069" i="41"/>
  <c r="S1069" i="41"/>
  <c r="J1070" i="41"/>
  <c r="K1070" i="41"/>
  <c r="L1070" i="41"/>
  <c r="M1070" i="41"/>
  <c r="N1070" i="41"/>
  <c r="O1070" i="41"/>
  <c r="P1070" i="41"/>
  <c r="Q1070" i="41"/>
  <c r="R1070" i="41"/>
  <c r="S1070" i="41"/>
  <c r="J1071" i="41"/>
  <c r="K1071" i="41"/>
  <c r="L1071" i="41"/>
  <c r="M1071" i="41"/>
  <c r="N1071" i="41"/>
  <c r="O1071" i="41"/>
  <c r="P1071" i="41"/>
  <c r="Q1071" i="41"/>
  <c r="R1071" i="41"/>
  <c r="S1071" i="41"/>
  <c r="J1072" i="41"/>
  <c r="K1072" i="41"/>
  <c r="L1072" i="41"/>
  <c r="M1072" i="41"/>
  <c r="N1072" i="41"/>
  <c r="O1072" i="41"/>
  <c r="P1072" i="41"/>
  <c r="Q1072" i="41"/>
  <c r="R1072" i="41"/>
  <c r="S1072" i="41"/>
  <c r="J1073" i="41"/>
  <c r="K1073" i="41"/>
  <c r="L1073" i="41"/>
  <c r="M1073" i="41"/>
  <c r="N1073" i="41"/>
  <c r="O1073" i="41"/>
  <c r="P1073" i="41"/>
  <c r="Q1073" i="41"/>
  <c r="R1073" i="41"/>
  <c r="S1073" i="41"/>
  <c r="J1074" i="41"/>
  <c r="K1074" i="41"/>
  <c r="L1074" i="41"/>
  <c r="M1074" i="41"/>
  <c r="N1074" i="41"/>
  <c r="O1074" i="41"/>
  <c r="P1074" i="41"/>
  <c r="Q1074" i="41"/>
  <c r="R1074" i="41"/>
  <c r="S1074" i="41"/>
  <c r="J1075" i="41"/>
  <c r="K1075" i="41"/>
  <c r="L1075" i="41"/>
  <c r="M1075" i="41"/>
  <c r="N1075" i="41"/>
  <c r="O1075" i="41"/>
  <c r="P1075" i="41"/>
  <c r="Q1075" i="41"/>
  <c r="R1075" i="41"/>
  <c r="S1075" i="41"/>
  <c r="J1076" i="41"/>
  <c r="K1076" i="41"/>
  <c r="L1076" i="41"/>
  <c r="M1076" i="41"/>
  <c r="N1076" i="41"/>
  <c r="O1076" i="41"/>
  <c r="P1076" i="41"/>
  <c r="Q1076" i="41"/>
  <c r="R1076" i="41"/>
  <c r="S1076" i="41"/>
  <c r="J1077" i="41"/>
  <c r="K1077" i="41"/>
  <c r="L1077" i="41"/>
  <c r="M1077" i="41"/>
  <c r="N1077" i="41"/>
  <c r="O1077" i="41"/>
  <c r="P1077" i="41"/>
  <c r="Q1077" i="41"/>
  <c r="R1077" i="41"/>
  <c r="S1077" i="41"/>
  <c r="J1078" i="41"/>
  <c r="K1078" i="41"/>
  <c r="L1078" i="41"/>
  <c r="M1078" i="41"/>
  <c r="N1078" i="41"/>
  <c r="O1078" i="41"/>
  <c r="P1078" i="41"/>
  <c r="Q1078" i="41"/>
  <c r="R1078" i="41"/>
  <c r="S1078" i="41"/>
  <c r="J1079" i="41"/>
  <c r="K1079" i="41"/>
  <c r="L1079" i="41"/>
  <c r="M1079" i="41"/>
  <c r="N1079" i="41"/>
  <c r="O1079" i="41"/>
  <c r="P1079" i="41"/>
  <c r="Q1079" i="41"/>
  <c r="R1079" i="41"/>
  <c r="S1079" i="41"/>
  <c r="J1080" i="41"/>
  <c r="K1080" i="41"/>
  <c r="L1080" i="41"/>
  <c r="M1080" i="41"/>
  <c r="N1080" i="41"/>
  <c r="O1080" i="41"/>
  <c r="P1080" i="41"/>
  <c r="Q1080" i="41"/>
  <c r="R1080" i="41"/>
  <c r="S1080" i="41"/>
  <c r="J1081" i="41"/>
  <c r="K1081" i="41"/>
  <c r="L1081" i="41"/>
  <c r="M1081" i="41"/>
  <c r="N1081" i="41"/>
  <c r="O1081" i="41"/>
  <c r="P1081" i="41"/>
  <c r="Q1081" i="41"/>
  <c r="R1081" i="41"/>
  <c r="S1081" i="41"/>
  <c r="J1082" i="41"/>
  <c r="K1082" i="41"/>
  <c r="L1082" i="41"/>
  <c r="M1082" i="41"/>
  <c r="N1082" i="41"/>
  <c r="O1082" i="41"/>
  <c r="P1082" i="41"/>
  <c r="Q1082" i="41"/>
  <c r="R1082" i="41"/>
  <c r="S1082" i="41"/>
  <c r="J1083" i="41"/>
  <c r="K1083" i="41"/>
  <c r="L1083" i="41"/>
  <c r="M1083" i="41"/>
  <c r="N1083" i="41"/>
  <c r="O1083" i="41"/>
  <c r="P1083" i="41"/>
  <c r="Q1083" i="41"/>
  <c r="R1083" i="41"/>
  <c r="S1083" i="41"/>
  <c r="J1084" i="41"/>
  <c r="K1084" i="41"/>
  <c r="L1084" i="41"/>
  <c r="M1084" i="41"/>
  <c r="N1084" i="41"/>
  <c r="O1084" i="41"/>
  <c r="P1084" i="41"/>
  <c r="Q1084" i="41"/>
  <c r="R1084" i="41"/>
  <c r="S1084" i="41"/>
  <c r="J1085" i="41"/>
  <c r="K1085" i="41"/>
  <c r="L1085" i="41"/>
  <c r="M1085" i="41"/>
  <c r="N1085" i="41"/>
  <c r="O1085" i="41"/>
  <c r="P1085" i="41"/>
  <c r="Q1085" i="41"/>
  <c r="R1085" i="41"/>
  <c r="S1085" i="41"/>
  <c r="J1086" i="41"/>
  <c r="K1086" i="41"/>
  <c r="L1086" i="41"/>
  <c r="M1086" i="41"/>
  <c r="N1086" i="41"/>
  <c r="O1086" i="41"/>
  <c r="P1086" i="41"/>
  <c r="Q1086" i="41"/>
  <c r="R1086" i="41"/>
  <c r="S1086" i="41"/>
  <c r="J1087" i="41"/>
  <c r="K1087" i="41"/>
  <c r="L1087" i="41"/>
  <c r="M1087" i="41"/>
  <c r="N1087" i="41"/>
  <c r="O1087" i="41"/>
  <c r="P1087" i="41"/>
  <c r="Q1087" i="41"/>
  <c r="R1087" i="41"/>
  <c r="S1087" i="41"/>
  <c r="J1088" i="41"/>
  <c r="K1088" i="41"/>
  <c r="L1088" i="41"/>
  <c r="M1088" i="41"/>
  <c r="N1088" i="41"/>
  <c r="O1088" i="41"/>
  <c r="P1088" i="41"/>
  <c r="Q1088" i="41"/>
  <c r="R1088" i="41"/>
  <c r="S1088" i="41"/>
  <c r="J1089" i="41"/>
  <c r="K1089" i="41"/>
  <c r="L1089" i="41"/>
  <c r="M1089" i="41"/>
  <c r="N1089" i="41"/>
  <c r="O1089" i="41"/>
  <c r="P1089" i="41"/>
  <c r="Q1089" i="41"/>
  <c r="R1089" i="41"/>
  <c r="S1089" i="41"/>
  <c r="J1090" i="41"/>
  <c r="K1090" i="41"/>
  <c r="L1090" i="41"/>
  <c r="M1090" i="41"/>
  <c r="N1090" i="41"/>
  <c r="O1090" i="41"/>
  <c r="P1090" i="41"/>
  <c r="Q1090" i="41"/>
  <c r="R1090" i="41"/>
  <c r="S1090" i="41"/>
  <c r="J1091" i="41"/>
  <c r="K1091" i="41"/>
  <c r="L1091" i="41"/>
  <c r="M1091" i="41"/>
  <c r="N1091" i="41"/>
  <c r="O1091" i="41"/>
  <c r="P1091" i="41"/>
  <c r="Q1091" i="41"/>
  <c r="R1091" i="41"/>
  <c r="S1091" i="41"/>
  <c r="J1092" i="41"/>
  <c r="K1092" i="41"/>
  <c r="L1092" i="41"/>
  <c r="M1092" i="41"/>
  <c r="N1092" i="41"/>
  <c r="O1092" i="41"/>
  <c r="P1092" i="41"/>
  <c r="Q1092" i="41"/>
  <c r="R1092" i="41"/>
  <c r="S1092" i="41"/>
  <c r="J1093" i="41"/>
  <c r="K1093" i="41"/>
  <c r="L1093" i="41"/>
  <c r="M1093" i="41"/>
  <c r="N1093" i="41"/>
  <c r="O1093" i="41"/>
  <c r="P1093" i="41"/>
  <c r="Q1093" i="41"/>
  <c r="R1093" i="41"/>
  <c r="S1093" i="41"/>
  <c r="J1094" i="41"/>
  <c r="K1094" i="41"/>
  <c r="L1094" i="41"/>
  <c r="M1094" i="41"/>
  <c r="N1094" i="41"/>
  <c r="O1094" i="41"/>
  <c r="P1094" i="41"/>
  <c r="Q1094" i="41"/>
  <c r="R1094" i="41"/>
  <c r="S1094" i="41"/>
  <c r="J1095" i="41"/>
  <c r="K1095" i="41"/>
  <c r="L1095" i="41"/>
  <c r="M1095" i="41"/>
  <c r="N1095" i="41"/>
  <c r="O1095" i="41"/>
  <c r="P1095" i="41"/>
  <c r="Q1095" i="41"/>
  <c r="R1095" i="41"/>
  <c r="S1095" i="41"/>
  <c r="J1096" i="41"/>
  <c r="K1096" i="41"/>
  <c r="L1096" i="41"/>
  <c r="M1096" i="41"/>
  <c r="N1096" i="41"/>
  <c r="O1096" i="41"/>
  <c r="P1096" i="41"/>
  <c r="Q1096" i="41"/>
  <c r="R1096" i="41"/>
  <c r="S1096" i="41"/>
  <c r="J1097" i="41"/>
  <c r="K1097" i="41"/>
  <c r="L1097" i="41"/>
  <c r="M1097" i="41"/>
  <c r="N1097" i="41"/>
  <c r="O1097" i="41"/>
  <c r="P1097" i="41"/>
  <c r="Q1097" i="41"/>
  <c r="R1097" i="41"/>
  <c r="S1097" i="41"/>
  <c r="J1098" i="41"/>
  <c r="K1098" i="41"/>
  <c r="L1098" i="41"/>
  <c r="M1098" i="41"/>
  <c r="N1098" i="41"/>
  <c r="O1098" i="41"/>
  <c r="P1098" i="41"/>
  <c r="Q1098" i="41"/>
  <c r="R1098" i="41"/>
  <c r="S1098" i="41"/>
  <c r="J1099" i="41"/>
  <c r="K1099" i="41"/>
  <c r="L1099" i="41"/>
  <c r="M1099" i="41"/>
  <c r="N1099" i="41"/>
  <c r="O1099" i="41"/>
  <c r="P1099" i="41"/>
  <c r="Q1099" i="41"/>
  <c r="R1099" i="41"/>
  <c r="S1099" i="41"/>
  <c r="J1100" i="41"/>
  <c r="K1100" i="41"/>
  <c r="L1100" i="41"/>
  <c r="M1100" i="41"/>
  <c r="N1100" i="41"/>
  <c r="O1100" i="41"/>
  <c r="P1100" i="41"/>
  <c r="Q1100" i="41"/>
  <c r="R1100" i="41"/>
  <c r="S1100" i="41"/>
  <c r="J1101" i="41"/>
  <c r="K1101" i="41"/>
  <c r="L1101" i="41"/>
  <c r="M1101" i="41"/>
  <c r="N1101" i="41"/>
  <c r="O1101" i="41"/>
  <c r="P1101" i="41"/>
  <c r="Q1101" i="41"/>
  <c r="R1101" i="41"/>
  <c r="S1101" i="41"/>
  <c r="J1102" i="41"/>
  <c r="K1102" i="41"/>
  <c r="L1102" i="41"/>
  <c r="M1102" i="41"/>
  <c r="N1102" i="41"/>
  <c r="O1102" i="41"/>
  <c r="P1102" i="41"/>
  <c r="Q1102" i="41"/>
  <c r="R1102" i="41"/>
  <c r="S1102" i="41"/>
  <c r="J1103" i="41"/>
  <c r="K1103" i="41"/>
  <c r="L1103" i="41"/>
  <c r="M1103" i="41"/>
  <c r="N1103" i="41"/>
  <c r="O1103" i="41"/>
  <c r="P1103" i="41"/>
  <c r="Q1103" i="41"/>
  <c r="R1103" i="41"/>
  <c r="S1103" i="41"/>
  <c r="J1104" i="41"/>
  <c r="K1104" i="41"/>
  <c r="L1104" i="41"/>
  <c r="M1104" i="41"/>
  <c r="N1104" i="41"/>
  <c r="O1104" i="41"/>
  <c r="P1104" i="41"/>
  <c r="Q1104" i="41"/>
  <c r="R1104" i="41"/>
  <c r="S1104" i="41"/>
  <c r="J1105" i="41"/>
  <c r="K1105" i="41"/>
  <c r="L1105" i="41"/>
  <c r="M1105" i="41"/>
  <c r="N1105" i="41"/>
  <c r="O1105" i="41"/>
  <c r="P1105" i="41"/>
  <c r="Q1105" i="41"/>
  <c r="R1105" i="41"/>
  <c r="S1105" i="41"/>
  <c r="J1106" i="41"/>
  <c r="K1106" i="41"/>
  <c r="L1106" i="41"/>
  <c r="M1106" i="41"/>
  <c r="N1106" i="41"/>
  <c r="O1106" i="41"/>
  <c r="P1106" i="41"/>
  <c r="Q1106" i="41"/>
  <c r="R1106" i="41"/>
  <c r="S1106" i="41"/>
  <c r="J1107" i="41"/>
  <c r="K1107" i="41"/>
  <c r="L1107" i="41"/>
  <c r="M1107" i="41"/>
  <c r="N1107" i="41"/>
  <c r="O1107" i="41"/>
  <c r="P1107" i="41"/>
  <c r="Q1107" i="41"/>
  <c r="R1107" i="41"/>
  <c r="S1107" i="41"/>
  <c r="J1108" i="41"/>
  <c r="K1108" i="41"/>
  <c r="L1108" i="41"/>
  <c r="M1108" i="41"/>
  <c r="N1108" i="41"/>
  <c r="O1108" i="41"/>
  <c r="P1108" i="41"/>
  <c r="Q1108" i="41"/>
  <c r="R1108" i="41"/>
  <c r="S1108" i="41"/>
  <c r="J1109" i="41"/>
  <c r="K1109" i="41"/>
  <c r="L1109" i="41"/>
  <c r="M1109" i="41"/>
  <c r="N1109" i="41"/>
  <c r="O1109" i="41"/>
  <c r="P1109" i="41"/>
  <c r="Q1109" i="41"/>
  <c r="R1109" i="41"/>
  <c r="S1109" i="41"/>
  <c r="J1110" i="41"/>
  <c r="K1110" i="41"/>
  <c r="L1110" i="41"/>
  <c r="M1110" i="41"/>
  <c r="N1110" i="41"/>
  <c r="O1110" i="41"/>
  <c r="P1110" i="41"/>
  <c r="Q1110" i="41"/>
  <c r="R1110" i="41"/>
  <c r="S1110" i="41"/>
  <c r="J1111" i="41"/>
  <c r="K1111" i="41"/>
  <c r="L1111" i="41"/>
  <c r="M1111" i="41"/>
  <c r="N1111" i="41"/>
  <c r="O1111" i="41"/>
  <c r="P1111" i="41"/>
  <c r="Q1111" i="41"/>
  <c r="R1111" i="41"/>
  <c r="S1111" i="41"/>
  <c r="J1112" i="41"/>
  <c r="K1112" i="41"/>
  <c r="L1112" i="41"/>
  <c r="M1112" i="41"/>
  <c r="N1112" i="41"/>
  <c r="O1112" i="41"/>
  <c r="P1112" i="41"/>
  <c r="Q1112" i="41"/>
  <c r="R1112" i="41"/>
  <c r="S1112" i="41"/>
  <c r="J1113" i="41"/>
  <c r="K1113" i="41"/>
  <c r="L1113" i="41"/>
  <c r="M1113" i="41"/>
  <c r="N1113" i="41"/>
  <c r="O1113" i="41"/>
  <c r="P1113" i="41"/>
  <c r="Q1113" i="41"/>
  <c r="R1113" i="41"/>
  <c r="S1113" i="41"/>
  <c r="J1114" i="41"/>
  <c r="K1114" i="41"/>
  <c r="L1114" i="41"/>
  <c r="M1114" i="41"/>
  <c r="N1114" i="41"/>
  <c r="O1114" i="41"/>
  <c r="P1114" i="41"/>
  <c r="Q1114" i="41"/>
  <c r="R1114" i="41"/>
  <c r="S1114" i="41"/>
  <c r="J1115" i="41"/>
  <c r="K1115" i="41"/>
  <c r="L1115" i="41"/>
  <c r="M1115" i="41"/>
  <c r="N1115" i="41"/>
  <c r="O1115" i="41"/>
  <c r="P1115" i="41"/>
  <c r="Q1115" i="41"/>
  <c r="R1115" i="41"/>
  <c r="S1115" i="41"/>
  <c r="J1116" i="41"/>
  <c r="K1116" i="41"/>
  <c r="L1116" i="41"/>
  <c r="M1116" i="41"/>
  <c r="N1116" i="41"/>
  <c r="O1116" i="41"/>
  <c r="P1116" i="41"/>
  <c r="Q1116" i="41"/>
  <c r="R1116" i="41"/>
  <c r="S1116" i="41"/>
  <c r="J1117" i="41"/>
  <c r="K1117" i="41"/>
  <c r="L1117" i="41"/>
  <c r="M1117" i="41"/>
  <c r="N1117" i="41"/>
  <c r="O1117" i="41"/>
  <c r="P1117" i="41"/>
  <c r="Q1117" i="41"/>
  <c r="R1117" i="41"/>
  <c r="S1117" i="41"/>
  <c r="J1118" i="41"/>
  <c r="K1118" i="41"/>
  <c r="L1118" i="41"/>
  <c r="M1118" i="41"/>
  <c r="N1118" i="41"/>
  <c r="O1118" i="41"/>
  <c r="P1118" i="41"/>
  <c r="Q1118" i="41"/>
  <c r="R1118" i="41"/>
  <c r="S1118" i="41"/>
  <c r="J1119" i="41"/>
  <c r="K1119" i="41"/>
  <c r="L1119" i="41"/>
  <c r="M1119" i="41"/>
  <c r="N1119" i="41"/>
  <c r="O1119" i="41"/>
  <c r="P1119" i="41"/>
  <c r="Q1119" i="41"/>
  <c r="R1119" i="41"/>
  <c r="S1119" i="41"/>
  <c r="J1120" i="41"/>
  <c r="K1120" i="41"/>
  <c r="L1120" i="41"/>
  <c r="M1120" i="41"/>
  <c r="N1120" i="41"/>
  <c r="O1120" i="41"/>
  <c r="P1120" i="41"/>
  <c r="Q1120" i="41"/>
  <c r="R1120" i="41"/>
  <c r="S1120" i="41"/>
  <c r="J1121" i="41"/>
  <c r="K1121" i="41"/>
  <c r="L1121" i="41"/>
  <c r="M1121" i="41"/>
  <c r="N1121" i="41"/>
  <c r="O1121" i="41"/>
  <c r="P1121" i="41"/>
  <c r="Q1121" i="41"/>
  <c r="R1121" i="41"/>
  <c r="S1121" i="41"/>
  <c r="J1122" i="41"/>
  <c r="K1122" i="41"/>
  <c r="L1122" i="41"/>
  <c r="M1122" i="41"/>
  <c r="N1122" i="41"/>
  <c r="O1122" i="41"/>
  <c r="P1122" i="41"/>
  <c r="Q1122" i="41"/>
  <c r="R1122" i="41"/>
  <c r="S1122" i="41"/>
  <c r="J1123" i="41"/>
  <c r="K1123" i="41"/>
  <c r="L1123" i="41"/>
  <c r="M1123" i="41"/>
  <c r="N1123" i="41"/>
  <c r="O1123" i="41"/>
  <c r="P1123" i="41"/>
  <c r="Q1123" i="41"/>
  <c r="R1123" i="41"/>
  <c r="S1123" i="41"/>
  <c r="J1124" i="41"/>
  <c r="K1124" i="41"/>
  <c r="L1124" i="41"/>
  <c r="M1124" i="41"/>
  <c r="N1124" i="41"/>
  <c r="O1124" i="41"/>
  <c r="P1124" i="41"/>
  <c r="Q1124" i="41"/>
  <c r="R1124" i="41"/>
  <c r="S1124" i="41"/>
  <c r="J1125" i="41"/>
  <c r="K1125" i="41"/>
  <c r="L1125" i="41"/>
  <c r="M1125" i="41"/>
  <c r="N1125" i="41"/>
  <c r="O1125" i="41"/>
  <c r="P1125" i="41"/>
  <c r="Q1125" i="41"/>
  <c r="R1125" i="41"/>
  <c r="S1125" i="41"/>
  <c r="J1126" i="41"/>
  <c r="K1126" i="41"/>
  <c r="L1126" i="41"/>
  <c r="M1126" i="41"/>
  <c r="N1126" i="41"/>
  <c r="O1126" i="41"/>
  <c r="P1126" i="41"/>
  <c r="Q1126" i="41"/>
  <c r="R1126" i="41"/>
  <c r="S1126" i="41"/>
  <c r="J1127" i="41"/>
  <c r="K1127" i="41"/>
  <c r="L1127" i="41"/>
  <c r="M1127" i="41"/>
  <c r="N1127" i="41"/>
  <c r="O1127" i="41"/>
  <c r="P1127" i="41"/>
  <c r="Q1127" i="41"/>
  <c r="R1127" i="41"/>
  <c r="S1127" i="41"/>
  <c r="J1128" i="41"/>
  <c r="K1128" i="41"/>
  <c r="L1128" i="41"/>
  <c r="M1128" i="41"/>
  <c r="N1128" i="41"/>
  <c r="O1128" i="41"/>
  <c r="P1128" i="41"/>
  <c r="Q1128" i="41"/>
  <c r="R1128" i="41"/>
  <c r="S1128" i="41"/>
  <c r="J1129" i="41"/>
  <c r="K1129" i="41"/>
  <c r="L1129" i="41"/>
  <c r="M1129" i="41"/>
  <c r="N1129" i="41"/>
  <c r="O1129" i="41"/>
  <c r="P1129" i="41"/>
  <c r="Q1129" i="41"/>
  <c r="R1129" i="41"/>
  <c r="S1129" i="41"/>
  <c r="J1130" i="41"/>
  <c r="K1130" i="41"/>
  <c r="L1130" i="41"/>
  <c r="M1130" i="41"/>
  <c r="N1130" i="41"/>
  <c r="O1130" i="41"/>
  <c r="P1130" i="41"/>
  <c r="Q1130" i="41"/>
  <c r="R1130" i="41"/>
  <c r="S1130" i="41"/>
  <c r="J1131" i="41"/>
  <c r="K1131" i="41"/>
  <c r="L1131" i="41"/>
  <c r="M1131" i="41"/>
  <c r="N1131" i="41"/>
  <c r="O1131" i="41"/>
  <c r="P1131" i="41"/>
  <c r="Q1131" i="41"/>
  <c r="R1131" i="41"/>
  <c r="S1131" i="41"/>
  <c r="J1132" i="41"/>
  <c r="K1132" i="41"/>
  <c r="L1132" i="41"/>
  <c r="M1132" i="41"/>
  <c r="N1132" i="41"/>
  <c r="O1132" i="41"/>
  <c r="P1132" i="41"/>
  <c r="Q1132" i="41"/>
  <c r="R1132" i="41"/>
  <c r="S1132" i="41"/>
  <c r="J1133" i="41"/>
  <c r="K1133" i="41"/>
  <c r="L1133" i="41"/>
  <c r="M1133" i="41"/>
  <c r="N1133" i="41"/>
  <c r="O1133" i="41"/>
  <c r="P1133" i="41"/>
  <c r="Q1133" i="41"/>
  <c r="R1133" i="41"/>
  <c r="S1133" i="41"/>
  <c r="J1134" i="41"/>
  <c r="K1134" i="41"/>
  <c r="L1134" i="41"/>
  <c r="M1134" i="41"/>
  <c r="N1134" i="41"/>
  <c r="O1134" i="41"/>
  <c r="P1134" i="41"/>
  <c r="Q1134" i="41"/>
  <c r="R1134" i="41"/>
  <c r="S1134" i="41"/>
  <c r="J1135" i="41"/>
  <c r="K1135" i="41"/>
  <c r="L1135" i="41"/>
  <c r="M1135" i="41"/>
  <c r="N1135" i="41"/>
  <c r="O1135" i="41"/>
  <c r="P1135" i="41"/>
  <c r="Q1135" i="41"/>
  <c r="R1135" i="41"/>
  <c r="S1135" i="41"/>
  <c r="J1136" i="41"/>
  <c r="K1136" i="41"/>
  <c r="L1136" i="41"/>
  <c r="M1136" i="41"/>
  <c r="N1136" i="41"/>
  <c r="O1136" i="41"/>
  <c r="P1136" i="41"/>
  <c r="Q1136" i="41"/>
  <c r="R1136" i="41"/>
  <c r="S1136" i="41"/>
  <c r="J1137" i="41"/>
  <c r="K1137" i="41"/>
  <c r="L1137" i="41"/>
  <c r="M1137" i="41"/>
  <c r="N1137" i="41"/>
  <c r="O1137" i="41"/>
  <c r="P1137" i="41"/>
  <c r="Q1137" i="41"/>
  <c r="R1137" i="41"/>
  <c r="S1137" i="41"/>
  <c r="J1138" i="41"/>
  <c r="K1138" i="41"/>
  <c r="L1138" i="41"/>
  <c r="M1138" i="41"/>
  <c r="N1138" i="41"/>
  <c r="O1138" i="41"/>
  <c r="P1138" i="41"/>
  <c r="Q1138" i="41"/>
  <c r="R1138" i="41"/>
  <c r="S1138" i="41"/>
  <c r="J1139" i="41"/>
  <c r="K1139" i="41"/>
  <c r="L1139" i="41"/>
  <c r="M1139" i="41"/>
  <c r="N1139" i="41"/>
  <c r="O1139" i="41"/>
  <c r="P1139" i="41"/>
  <c r="Q1139" i="41"/>
  <c r="R1139" i="41"/>
  <c r="S1139" i="41"/>
  <c r="J1140" i="41"/>
  <c r="K1140" i="41"/>
  <c r="L1140" i="41"/>
  <c r="M1140" i="41"/>
  <c r="N1140" i="41"/>
  <c r="O1140" i="41"/>
  <c r="P1140" i="41"/>
  <c r="Q1140" i="41"/>
  <c r="R1140" i="41"/>
  <c r="S1140" i="41"/>
  <c r="J1141" i="41"/>
  <c r="K1141" i="41"/>
  <c r="L1141" i="41"/>
  <c r="M1141" i="41"/>
  <c r="N1141" i="41"/>
  <c r="O1141" i="41"/>
  <c r="P1141" i="41"/>
  <c r="Q1141" i="41"/>
  <c r="R1141" i="41"/>
  <c r="S1141" i="41"/>
  <c r="J1142" i="41"/>
  <c r="K1142" i="41"/>
  <c r="L1142" i="41"/>
  <c r="M1142" i="41"/>
  <c r="N1142" i="41"/>
  <c r="O1142" i="41"/>
  <c r="P1142" i="41"/>
  <c r="Q1142" i="41"/>
  <c r="R1142" i="41"/>
  <c r="S1142" i="41"/>
  <c r="J1143" i="41"/>
  <c r="K1143" i="41"/>
  <c r="L1143" i="41"/>
  <c r="M1143" i="41"/>
  <c r="N1143" i="41"/>
  <c r="O1143" i="41"/>
  <c r="P1143" i="41"/>
  <c r="Q1143" i="41"/>
  <c r="R1143" i="41"/>
  <c r="S1143" i="41"/>
  <c r="J1144" i="41"/>
  <c r="K1144" i="41"/>
  <c r="L1144" i="41"/>
  <c r="M1144" i="41"/>
  <c r="N1144" i="41"/>
  <c r="O1144" i="41"/>
  <c r="P1144" i="41"/>
  <c r="Q1144" i="41"/>
  <c r="R1144" i="41"/>
  <c r="S1144" i="41"/>
  <c r="J1145" i="41"/>
  <c r="K1145" i="41"/>
  <c r="L1145" i="41"/>
  <c r="M1145" i="41"/>
  <c r="N1145" i="41"/>
  <c r="O1145" i="41"/>
  <c r="P1145" i="41"/>
  <c r="Q1145" i="41"/>
  <c r="R1145" i="41"/>
  <c r="S1145" i="41"/>
  <c r="J1146" i="41"/>
  <c r="K1146" i="41"/>
  <c r="L1146" i="41"/>
  <c r="M1146" i="41"/>
  <c r="N1146" i="41"/>
  <c r="O1146" i="41"/>
  <c r="P1146" i="41"/>
  <c r="Q1146" i="41"/>
  <c r="R1146" i="41"/>
  <c r="S1146" i="41"/>
  <c r="J1147" i="41"/>
  <c r="K1147" i="41"/>
  <c r="L1147" i="41"/>
  <c r="M1147" i="41"/>
  <c r="N1147" i="41"/>
  <c r="O1147" i="41"/>
  <c r="P1147" i="41"/>
  <c r="Q1147" i="41"/>
  <c r="R1147" i="41"/>
  <c r="S1147" i="41"/>
  <c r="J1148" i="41"/>
  <c r="K1148" i="41"/>
  <c r="L1148" i="41"/>
  <c r="M1148" i="41"/>
  <c r="N1148" i="41"/>
  <c r="O1148" i="41"/>
  <c r="P1148" i="41"/>
  <c r="Q1148" i="41"/>
  <c r="R1148" i="41"/>
  <c r="S1148" i="41"/>
  <c r="J1149" i="41"/>
  <c r="K1149" i="41"/>
  <c r="L1149" i="41"/>
  <c r="M1149" i="41"/>
  <c r="N1149" i="41"/>
  <c r="O1149" i="41"/>
  <c r="P1149" i="41"/>
  <c r="Q1149" i="41"/>
  <c r="R1149" i="41"/>
  <c r="S1149" i="41"/>
  <c r="J1150" i="41"/>
  <c r="K1150" i="41"/>
  <c r="L1150" i="41"/>
  <c r="M1150" i="41"/>
  <c r="N1150" i="41"/>
  <c r="O1150" i="41"/>
  <c r="P1150" i="41"/>
  <c r="Q1150" i="41"/>
  <c r="R1150" i="41"/>
  <c r="S1150" i="41"/>
  <c r="J1151" i="41"/>
  <c r="K1151" i="41"/>
  <c r="L1151" i="41"/>
  <c r="M1151" i="41"/>
  <c r="N1151" i="41"/>
  <c r="O1151" i="41"/>
  <c r="P1151" i="41"/>
  <c r="Q1151" i="41"/>
  <c r="R1151" i="41"/>
  <c r="S1151" i="41"/>
  <c r="J1152" i="41"/>
  <c r="K1152" i="41"/>
  <c r="L1152" i="41"/>
  <c r="M1152" i="41"/>
  <c r="N1152" i="41"/>
  <c r="O1152" i="41"/>
  <c r="P1152" i="41"/>
  <c r="Q1152" i="41"/>
  <c r="R1152" i="41"/>
  <c r="S1152" i="41"/>
  <c r="J1153" i="41"/>
  <c r="K1153" i="41"/>
  <c r="L1153" i="41"/>
  <c r="M1153" i="41"/>
  <c r="N1153" i="41"/>
  <c r="O1153" i="41"/>
  <c r="P1153" i="41"/>
  <c r="Q1153" i="41"/>
  <c r="R1153" i="41"/>
  <c r="S1153" i="41"/>
  <c r="J1154" i="41"/>
  <c r="K1154" i="41"/>
  <c r="L1154" i="41"/>
  <c r="M1154" i="41"/>
  <c r="N1154" i="41"/>
  <c r="O1154" i="41"/>
  <c r="P1154" i="41"/>
  <c r="Q1154" i="41"/>
  <c r="R1154" i="41"/>
  <c r="S1154" i="41"/>
  <c r="J1155" i="41"/>
  <c r="K1155" i="41"/>
  <c r="L1155" i="41"/>
  <c r="M1155" i="41"/>
  <c r="N1155" i="41"/>
  <c r="O1155" i="41"/>
  <c r="P1155" i="41"/>
  <c r="Q1155" i="41"/>
  <c r="R1155" i="41"/>
  <c r="S1155" i="41"/>
  <c r="J1156" i="41"/>
  <c r="K1156" i="41"/>
  <c r="L1156" i="41"/>
  <c r="M1156" i="41"/>
  <c r="N1156" i="41"/>
  <c r="O1156" i="41"/>
  <c r="P1156" i="41"/>
  <c r="Q1156" i="41"/>
  <c r="R1156" i="41"/>
  <c r="S1156" i="41"/>
  <c r="J1157" i="41"/>
  <c r="K1157" i="41"/>
  <c r="L1157" i="41"/>
  <c r="M1157" i="41"/>
  <c r="N1157" i="41"/>
  <c r="O1157" i="41"/>
  <c r="P1157" i="41"/>
  <c r="Q1157" i="41"/>
  <c r="R1157" i="41"/>
  <c r="S1157" i="41"/>
  <c r="J1158" i="41"/>
  <c r="K1158" i="41"/>
  <c r="L1158" i="41"/>
  <c r="M1158" i="41"/>
  <c r="N1158" i="41"/>
  <c r="O1158" i="41"/>
  <c r="P1158" i="41"/>
  <c r="Q1158" i="41"/>
  <c r="R1158" i="41"/>
  <c r="S1158" i="41"/>
  <c r="J1159" i="41"/>
  <c r="K1159" i="41"/>
  <c r="L1159" i="41"/>
  <c r="M1159" i="41"/>
  <c r="N1159" i="41"/>
  <c r="O1159" i="41"/>
  <c r="P1159" i="41"/>
  <c r="Q1159" i="41"/>
  <c r="R1159" i="41"/>
  <c r="S1159" i="41"/>
  <c r="J1160" i="41"/>
  <c r="K1160" i="41"/>
  <c r="L1160" i="41"/>
  <c r="M1160" i="41"/>
  <c r="N1160" i="41"/>
  <c r="O1160" i="41"/>
  <c r="P1160" i="41"/>
  <c r="Q1160" i="41"/>
  <c r="R1160" i="41"/>
  <c r="S1160" i="41"/>
  <c r="J1161" i="41"/>
  <c r="K1161" i="41"/>
  <c r="L1161" i="41"/>
  <c r="M1161" i="41"/>
  <c r="N1161" i="41"/>
  <c r="O1161" i="41"/>
  <c r="P1161" i="41"/>
  <c r="Q1161" i="41"/>
  <c r="R1161" i="41"/>
  <c r="S1161" i="41"/>
  <c r="J1162" i="41"/>
  <c r="K1162" i="41"/>
  <c r="L1162" i="41"/>
  <c r="M1162" i="41"/>
  <c r="N1162" i="41"/>
  <c r="O1162" i="41"/>
  <c r="P1162" i="41"/>
  <c r="Q1162" i="41"/>
  <c r="R1162" i="41"/>
  <c r="S1162" i="41"/>
  <c r="J1163" i="41"/>
  <c r="K1163" i="41"/>
  <c r="L1163" i="41"/>
  <c r="M1163" i="41"/>
  <c r="N1163" i="41"/>
  <c r="O1163" i="41"/>
  <c r="P1163" i="41"/>
  <c r="Q1163" i="41"/>
  <c r="R1163" i="41"/>
  <c r="S1163" i="41"/>
  <c r="J1164" i="41"/>
  <c r="K1164" i="41"/>
  <c r="L1164" i="41"/>
  <c r="M1164" i="41"/>
  <c r="N1164" i="41"/>
  <c r="O1164" i="41"/>
  <c r="P1164" i="41"/>
  <c r="Q1164" i="41"/>
  <c r="R1164" i="41"/>
  <c r="S1164" i="41"/>
  <c r="J1165" i="41"/>
  <c r="K1165" i="41"/>
  <c r="L1165" i="41"/>
  <c r="M1165" i="41"/>
  <c r="N1165" i="41"/>
  <c r="O1165" i="41"/>
  <c r="P1165" i="41"/>
  <c r="Q1165" i="41"/>
  <c r="R1165" i="41"/>
  <c r="S1165" i="41"/>
  <c r="J1166" i="41"/>
  <c r="K1166" i="41"/>
  <c r="L1166" i="41"/>
  <c r="M1166" i="41"/>
  <c r="N1166" i="41"/>
  <c r="O1166" i="41"/>
  <c r="P1166" i="41"/>
  <c r="Q1166" i="41"/>
  <c r="R1166" i="41"/>
  <c r="S1166" i="41"/>
  <c r="J1167" i="41"/>
  <c r="K1167" i="41"/>
  <c r="L1167" i="41"/>
  <c r="M1167" i="41"/>
  <c r="N1167" i="41"/>
  <c r="O1167" i="41"/>
  <c r="P1167" i="41"/>
  <c r="Q1167" i="41"/>
  <c r="R1167" i="41"/>
  <c r="S1167" i="41"/>
  <c r="J1168" i="41"/>
  <c r="K1168" i="41"/>
  <c r="L1168" i="41"/>
  <c r="M1168" i="41"/>
  <c r="N1168" i="41"/>
  <c r="O1168" i="41"/>
  <c r="P1168" i="41"/>
  <c r="Q1168" i="41"/>
  <c r="R1168" i="41"/>
  <c r="S1168" i="41"/>
  <c r="J1169" i="41"/>
  <c r="K1169" i="41"/>
  <c r="L1169" i="41"/>
  <c r="M1169" i="41"/>
  <c r="N1169" i="41"/>
  <c r="O1169" i="41"/>
  <c r="P1169" i="41"/>
  <c r="Q1169" i="41"/>
  <c r="R1169" i="41"/>
  <c r="S1169" i="41"/>
  <c r="J1170" i="41"/>
  <c r="K1170" i="41"/>
  <c r="L1170" i="41"/>
  <c r="M1170" i="41"/>
  <c r="N1170" i="41"/>
  <c r="O1170" i="41"/>
  <c r="P1170" i="41"/>
  <c r="Q1170" i="41"/>
  <c r="R1170" i="41"/>
  <c r="S1170" i="41"/>
  <c r="J1171" i="41"/>
  <c r="K1171" i="41"/>
  <c r="L1171" i="41"/>
  <c r="M1171" i="41"/>
  <c r="N1171" i="41"/>
  <c r="O1171" i="41"/>
  <c r="P1171" i="41"/>
  <c r="Q1171" i="41"/>
  <c r="R1171" i="41"/>
  <c r="S1171" i="41"/>
  <c r="J1172" i="41"/>
  <c r="K1172" i="41"/>
  <c r="L1172" i="41"/>
  <c r="M1172" i="41"/>
  <c r="N1172" i="41"/>
  <c r="O1172" i="41"/>
  <c r="P1172" i="41"/>
  <c r="Q1172" i="41"/>
  <c r="R1172" i="41"/>
  <c r="S1172" i="41"/>
  <c r="J1173" i="41"/>
  <c r="K1173" i="41"/>
  <c r="L1173" i="41"/>
  <c r="M1173" i="41"/>
  <c r="N1173" i="41"/>
  <c r="O1173" i="41"/>
  <c r="P1173" i="41"/>
  <c r="Q1173" i="41"/>
  <c r="R1173" i="41"/>
  <c r="S1173" i="41"/>
  <c r="J1174" i="41"/>
  <c r="K1174" i="41"/>
  <c r="L1174" i="41"/>
  <c r="M1174" i="41"/>
  <c r="N1174" i="41"/>
  <c r="O1174" i="41"/>
  <c r="P1174" i="41"/>
  <c r="Q1174" i="41"/>
  <c r="R1174" i="41"/>
  <c r="S1174" i="41"/>
  <c r="J1175" i="41"/>
  <c r="K1175" i="41"/>
  <c r="L1175" i="41"/>
  <c r="M1175" i="41"/>
  <c r="N1175" i="41"/>
  <c r="O1175" i="41"/>
  <c r="P1175" i="41"/>
  <c r="Q1175" i="41"/>
  <c r="R1175" i="41"/>
  <c r="S1175" i="41"/>
  <c r="J1176" i="41"/>
  <c r="K1176" i="41"/>
  <c r="L1176" i="41"/>
  <c r="M1176" i="41"/>
  <c r="N1176" i="41"/>
  <c r="O1176" i="41"/>
  <c r="P1176" i="41"/>
  <c r="Q1176" i="41"/>
  <c r="R1176" i="41"/>
  <c r="S1176" i="41"/>
  <c r="J1177" i="41"/>
  <c r="K1177" i="41"/>
  <c r="L1177" i="41"/>
  <c r="M1177" i="41"/>
  <c r="N1177" i="41"/>
  <c r="O1177" i="41"/>
  <c r="P1177" i="41"/>
  <c r="Q1177" i="41"/>
  <c r="R1177" i="41"/>
  <c r="S1177" i="41"/>
  <c r="J1178" i="41"/>
  <c r="K1178" i="41"/>
  <c r="L1178" i="41"/>
  <c r="M1178" i="41"/>
  <c r="N1178" i="41"/>
  <c r="O1178" i="41"/>
  <c r="P1178" i="41"/>
  <c r="Q1178" i="41"/>
  <c r="R1178" i="41"/>
  <c r="S1178" i="41"/>
  <c r="J1179" i="41"/>
  <c r="K1179" i="41"/>
  <c r="L1179" i="41"/>
  <c r="M1179" i="41"/>
  <c r="N1179" i="41"/>
  <c r="O1179" i="41"/>
  <c r="P1179" i="41"/>
  <c r="Q1179" i="41"/>
  <c r="R1179" i="41"/>
  <c r="S1179" i="41"/>
  <c r="J1180" i="41"/>
  <c r="K1180" i="41"/>
  <c r="L1180" i="41"/>
  <c r="M1180" i="41"/>
  <c r="N1180" i="41"/>
  <c r="O1180" i="41"/>
  <c r="P1180" i="41"/>
  <c r="Q1180" i="41"/>
  <c r="R1180" i="41"/>
  <c r="S1180" i="41"/>
  <c r="J1181" i="41"/>
  <c r="K1181" i="41"/>
  <c r="L1181" i="41"/>
  <c r="M1181" i="41"/>
  <c r="N1181" i="41"/>
  <c r="O1181" i="41"/>
  <c r="P1181" i="41"/>
  <c r="Q1181" i="41"/>
  <c r="R1181" i="41"/>
  <c r="S1181" i="41"/>
  <c r="J1182" i="41"/>
  <c r="K1182" i="41"/>
  <c r="L1182" i="41"/>
  <c r="M1182" i="41"/>
  <c r="N1182" i="41"/>
  <c r="O1182" i="41"/>
  <c r="P1182" i="41"/>
  <c r="Q1182" i="41"/>
  <c r="R1182" i="41"/>
  <c r="S1182" i="41"/>
  <c r="J1183" i="41"/>
  <c r="K1183" i="41"/>
  <c r="L1183" i="41"/>
  <c r="M1183" i="41"/>
  <c r="N1183" i="41"/>
  <c r="O1183" i="41"/>
  <c r="P1183" i="41"/>
  <c r="Q1183" i="41"/>
  <c r="R1183" i="41"/>
  <c r="S1183" i="41"/>
  <c r="J1184" i="41"/>
  <c r="K1184" i="41"/>
  <c r="L1184" i="41"/>
  <c r="M1184" i="41"/>
  <c r="N1184" i="41"/>
  <c r="O1184" i="41"/>
  <c r="P1184" i="41"/>
  <c r="Q1184" i="41"/>
  <c r="R1184" i="41"/>
  <c r="S1184" i="41"/>
  <c r="J1185" i="41"/>
  <c r="K1185" i="41"/>
  <c r="L1185" i="41"/>
  <c r="M1185" i="41"/>
  <c r="N1185" i="41"/>
  <c r="O1185" i="41"/>
  <c r="P1185" i="41"/>
  <c r="Q1185" i="41"/>
  <c r="R1185" i="41"/>
  <c r="S1185" i="41"/>
  <c r="J1186" i="41"/>
  <c r="K1186" i="41"/>
  <c r="L1186" i="41"/>
  <c r="M1186" i="41"/>
  <c r="N1186" i="41"/>
  <c r="O1186" i="41"/>
  <c r="P1186" i="41"/>
  <c r="Q1186" i="41"/>
  <c r="R1186" i="41"/>
  <c r="S1186" i="41"/>
  <c r="J1187" i="41"/>
  <c r="K1187" i="41"/>
  <c r="L1187" i="41"/>
  <c r="M1187" i="41"/>
  <c r="N1187" i="41"/>
  <c r="O1187" i="41"/>
  <c r="P1187" i="41"/>
  <c r="Q1187" i="41"/>
  <c r="R1187" i="41"/>
  <c r="S1187" i="41"/>
  <c r="J1188" i="41"/>
  <c r="K1188" i="41"/>
  <c r="L1188" i="41"/>
  <c r="M1188" i="41"/>
  <c r="N1188" i="41"/>
  <c r="O1188" i="41"/>
  <c r="P1188" i="41"/>
  <c r="Q1188" i="41"/>
  <c r="R1188" i="41"/>
  <c r="S1188" i="41"/>
  <c r="J1189" i="41"/>
  <c r="K1189" i="41"/>
  <c r="L1189" i="41"/>
  <c r="M1189" i="41"/>
  <c r="N1189" i="41"/>
  <c r="O1189" i="41"/>
  <c r="P1189" i="41"/>
  <c r="Q1189" i="41"/>
  <c r="R1189" i="41"/>
  <c r="S1189" i="41"/>
  <c r="J1190" i="41"/>
  <c r="K1190" i="41"/>
  <c r="L1190" i="41"/>
  <c r="M1190" i="41"/>
  <c r="N1190" i="41"/>
  <c r="O1190" i="41"/>
  <c r="P1190" i="41"/>
  <c r="Q1190" i="41"/>
  <c r="R1190" i="41"/>
  <c r="S1190" i="41"/>
  <c r="J1191" i="41"/>
  <c r="K1191" i="41"/>
  <c r="L1191" i="41"/>
  <c r="M1191" i="41"/>
  <c r="N1191" i="41"/>
  <c r="O1191" i="41"/>
  <c r="P1191" i="41"/>
  <c r="Q1191" i="41"/>
  <c r="R1191" i="41"/>
  <c r="S1191" i="41"/>
  <c r="J1192" i="41"/>
  <c r="K1192" i="41"/>
  <c r="L1192" i="41"/>
  <c r="M1192" i="41"/>
  <c r="N1192" i="41"/>
  <c r="O1192" i="41"/>
  <c r="P1192" i="41"/>
  <c r="Q1192" i="41"/>
  <c r="R1192" i="41"/>
  <c r="S1192" i="41"/>
  <c r="J1193" i="41"/>
  <c r="K1193" i="41"/>
  <c r="L1193" i="41"/>
  <c r="M1193" i="41"/>
  <c r="N1193" i="41"/>
  <c r="O1193" i="41"/>
  <c r="P1193" i="41"/>
  <c r="Q1193" i="41"/>
  <c r="R1193" i="41"/>
  <c r="S1193" i="41"/>
  <c r="J1194" i="41"/>
  <c r="K1194" i="41"/>
  <c r="L1194" i="41"/>
  <c r="M1194" i="41"/>
  <c r="N1194" i="41"/>
  <c r="O1194" i="41"/>
  <c r="P1194" i="41"/>
  <c r="Q1194" i="41"/>
  <c r="R1194" i="41"/>
  <c r="S1194" i="41"/>
  <c r="J1195" i="41"/>
  <c r="K1195" i="41"/>
  <c r="L1195" i="41"/>
  <c r="M1195" i="41"/>
  <c r="N1195" i="41"/>
  <c r="O1195" i="41"/>
  <c r="P1195" i="41"/>
  <c r="Q1195" i="41"/>
  <c r="R1195" i="41"/>
  <c r="S1195" i="41"/>
  <c r="J1196" i="41"/>
  <c r="K1196" i="41"/>
  <c r="L1196" i="41"/>
  <c r="M1196" i="41"/>
  <c r="N1196" i="41"/>
  <c r="O1196" i="41"/>
  <c r="P1196" i="41"/>
  <c r="Q1196" i="41"/>
  <c r="R1196" i="41"/>
  <c r="S1196" i="41"/>
  <c r="J1197" i="41"/>
  <c r="K1197" i="41"/>
  <c r="L1197" i="41"/>
  <c r="M1197" i="41"/>
  <c r="N1197" i="41"/>
  <c r="O1197" i="41"/>
  <c r="P1197" i="41"/>
  <c r="Q1197" i="41"/>
  <c r="R1197" i="41"/>
  <c r="S1197" i="41"/>
  <c r="J1198" i="41"/>
  <c r="K1198" i="41"/>
  <c r="L1198" i="41"/>
  <c r="M1198" i="41"/>
  <c r="N1198" i="41"/>
  <c r="O1198" i="41"/>
  <c r="P1198" i="41"/>
  <c r="Q1198" i="41"/>
  <c r="R1198" i="41"/>
  <c r="S1198" i="41"/>
  <c r="J1199" i="41"/>
  <c r="K1199" i="41"/>
  <c r="L1199" i="41"/>
  <c r="M1199" i="41"/>
  <c r="N1199" i="41"/>
  <c r="O1199" i="41"/>
  <c r="P1199" i="41"/>
  <c r="Q1199" i="41"/>
  <c r="R1199" i="41"/>
  <c r="S1199" i="41"/>
  <c r="J1200" i="41"/>
  <c r="K1200" i="41"/>
  <c r="L1200" i="41"/>
  <c r="M1200" i="41"/>
  <c r="N1200" i="41"/>
  <c r="O1200" i="41"/>
  <c r="P1200" i="41"/>
  <c r="Q1200" i="41"/>
  <c r="R1200" i="41"/>
  <c r="S1200" i="41"/>
  <c r="J1201" i="41"/>
  <c r="K1201" i="41"/>
  <c r="L1201" i="41"/>
  <c r="M1201" i="41"/>
  <c r="N1201" i="41"/>
  <c r="O1201" i="41"/>
  <c r="P1201" i="41"/>
  <c r="Q1201" i="41"/>
  <c r="R1201" i="41"/>
  <c r="S1201" i="41"/>
  <c r="J1202" i="41"/>
  <c r="K1202" i="41"/>
  <c r="L1202" i="41"/>
  <c r="M1202" i="41"/>
  <c r="N1202" i="41"/>
  <c r="O1202" i="41"/>
  <c r="P1202" i="41"/>
  <c r="Q1202" i="41"/>
  <c r="R1202" i="41"/>
  <c r="S1202" i="41"/>
  <c r="J1203" i="41"/>
  <c r="K1203" i="41"/>
  <c r="L1203" i="41"/>
  <c r="M1203" i="41"/>
  <c r="N1203" i="41"/>
  <c r="O1203" i="41"/>
  <c r="P1203" i="41"/>
  <c r="Q1203" i="41"/>
  <c r="R1203" i="41"/>
  <c r="S1203" i="41"/>
  <c r="J1204" i="41"/>
  <c r="K1204" i="41"/>
  <c r="L1204" i="41"/>
  <c r="M1204" i="41"/>
  <c r="N1204" i="41"/>
  <c r="O1204" i="41"/>
  <c r="P1204" i="41"/>
  <c r="Q1204" i="41"/>
  <c r="R1204" i="41"/>
  <c r="S1204" i="41"/>
  <c r="J1205" i="41"/>
  <c r="K1205" i="41"/>
  <c r="L1205" i="41"/>
  <c r="M1205" i="41"/>
  <c r="N1205" i="41"/>
  <c r="O1205" i="41"/>
  <c r="P1205" i="41"/>
  <c r="Q1205" i="41"/>
  <c r="R1205" i="41"/>
  <c r="S1205" i="41"/>
  <c r="J1206" i="41"/>
  <c r="K1206" i="41"/>
  <c r="L1206" i="41"/>
  <c r="M1206" i="41"/>
  <c r="N1206" i="41"/>
  <c r="O1206" i="41"/>
  <c r="P1206" i="41"/>
  <c r="Q1206" i="41"/>
  <c r="R1206" i="41"/>
  <c r="S1206" i="41"/>
  <c r="J1207" i="41"/>
  <c r="K1207" i="41"/>
  <c r="L1207" i="41"/>
  <c r="M1207" i="41"/>
  <c r="N1207" i="41"/>
  <c r="O1207" i="41"/>
  <c r="P1207" i="41"/>
  <c r="Q1207" i="41"/>
  <c r="R1207" i="41"/>
  <c r="S1207" i="41"/>
  <c r="J1208" i="41"/>
  <c r="K1208" i="41"/>
  <c r="L1208" i="41"/>
  <c r="M1208" i="41"/>
  <c r="N1208" i="41"/>
  <c r="O1208" i="41"/>
  <c r="P1208" i="41"/>
  <c r="Q1208" i="41"/>
  <c r="R1208" i="41"/>
  <c r="S1208" i="41"/>
  <c r="J1209" i="41"/>
  <c r="K1209" i="41"/>
  <c r="L1209" i="41"/>
  <c r="M1209" i="41"/>
  <c r="N1209" i="41"/>
  <c r="O1209" i="41"/>
  <c r="P1209" i="41"/>
  <c r="Q1209" i="41"/>
  <c r="R1209" i="41"/>
  <c r="S1209" i="41"/>
  <c r="J1210" i="41"/>
  <c r="K1210" i="41"/>
  <c r="L1210" i="41"/>
  <c r="M1210" i="41"/>
  <c r="N1210" i="41"/>
  <c r="O1210" i="41"/>
  <c r="P1210" i="41"/>
  <c r="Q1210" i="41"/>
  <c r="R1210" i="41"/>
  <c r="S1210" i="41"/>
  <c r="J1211" i="41"/>
  <c r="K1211" i="41"/>
  <c r="L1211" i="41"/>
  <c r="M1211" i="41"/>
  <c r="N1211" i="41"/>
  <c r="O1211" i="41"/>
  <c r="P1211" i="41"/>
  <c r="Q1211" i="41"/>
  <c r="R1211" i="41"/>
  <c r="S1211" i="41"/>
  <c r="J1212" i="41"/>
  <c r="K1212" i="41"/>
  <c r="L1212" i="41"/>
  <c r="M1212" i="41"/>
  <c r="N1212" i="41"/>
  <c r="O1212" i="41"/>
  <c r="P1212" i="41"/>
  <c r="Q1212" i="41"/>
  <c r="R1212" i="41"/>
  <c r="S1212" i="41"/>
  <c r="J1213" i="41"/>
  <c r="K1213" i="41"/>
  <c r="L1213" i="41"/>
  <c r="M1213" i="41"/>
  <c r="N1213" i="41"/>
  <c r="O1213" i="41"/>
  <c r="P1213" i="41"/>
  <c r="Q1213" i="41"/>
  <c r="R1213" i="41"/>
  <c r="S1213" i="41"/>
  <c r="J1214" i="41"/>
  <c r="K1214" i="41"/>
  <c r="L1214" i="41"/>
  <c r="M1214" i="41"/>
  <c r="N1214" i="41"/>
  <c r="O1214" i="41"/>
  <c r="P1214" i="41"/>
  <c r="Q1214" i="41"/>
  <c r="R1214" i="41"/>
  <c r="S1214" i="41"/>
  <c r="J1215" i="41"/>
  <c r="K1215" i="41"/>
  <c r="L1215" i="41"/>
  <c r="M1215" i="41"/>
  <c r="N1215" i="41"/>
  <c r="O1215" i="41"/>
  <c r="P1215" i="41"/>
  <c r="Q1215" i="41"/>
  <c r="R1215" i="41"/>
  <c r="S1215" i="41"/>
  <c r="J1216" i="41"/>
  <c r="K1216" i="41"/>
  <c r="L1216" i="41"/>
  <c r="M1216" i="41"/>
  <c r="N1216" i="41"/>
  <c r="O1216" i="41"/>
  <c r="P1216" i="41"/>
  <c r="Q1216" i="41"/>
  <c r="R1216" i="41"/>
  <c r="S1216" i="41"/>
  <c r="J1217" i="41"/>
  <c r="K1217" i="41"/>
  <c r="L1217" i="41"/>
  <c r="M1217" i="41"/>
  <c r="N1217" i="41"/>
  <c r="O1217" i="41"/>
  <c r="P1217" i="41"/>
  <c r="Q1217" i="41"/>
  <c r="R1217" i="41"/>
  <c r="S1217" i="41"/>
  <c r="J1218" i="41"/>
  <c r="K1218" i="41"/>
  <c r="L1218" i="41"/>
  <c r="M1218" i="41"/>
  <c r="N1218" i="41"/>
  <c r="O1218" i="41"/>
  <c r="P1218" i="41"/>
  <c r="Q1218" i="41"/>
  <c r="R1218" i="41"/>
  <c r="S1218" i="41"/>
  <c r="J1219" i="41"/>
  <c r="K1219" i="41"/>
  <c r="L1219" i="41"/>
  <c r="M1219" i="41"/>
  <c r="N1219" i="41"/>
  <c r="O1219" i="41"/>
  <c r="P1219" i="41"/>
  <c r="Q1219" i="41"/>
  <c r="R1219" i="41"/>
  <c r="S1219" i="41"/>
  <c r="J1220" i="41"/>
  <c r="K1220" i="41"/>
  <c r="L1220" i="41"/>
  <c r="M1220" i="41"/>
  <c r="N1220" i="41"/>
  <c r="O1220" i="41"/>
  <c r="P1220" i="41"/>
  <c r="Q1220" i="41"/>
  <c r="R1220" i="41"/>
  <c r="S1220" i="41"/>
  <c r="J1221" i="41"/>
  <c r="K1221" i="41"/>
  <c r="L1221" i="41"/>
  <c r="M1221" i="41"/>
  <c r="N1221" i="41"/>
  <c r="O1221" i="41"/>
  <c r="P1221" i="41"/>
  <c r="Q1221" i="41"/>
  <c r="R1221" i="41"/>
  <c r="S1221" i="41"/>
  <c r="J1222" i="41"/>
  <c r="K1222" i="41"/>
  <c r="L1222" i="41"/>
  <c r="M1222" i="41"/>
  <c r="N1222" i="41"/>
  <c r="O1222" i="41"/>
  <c r="P1222" i="41"/>
  <c r="Q1222" i="41"/>
  <c r="R1222" i="41"/>
  <c r="S1222" i="41"/>
  <c r="J1223" i="41"/>
  <c r="K1223" i="41"/>
  <c r="L1223" i="41"/>
  <c r="M1223" i="41"/>
  <c r="N1223" i="41"/>
  <c r="O1223" i="41"/>
  <c r="P1223" i="41"/>
  <c r="Q1223" i="41"/>
  <c r="R1223" i="41"/>
  <c r="S1223" i="41"/>
  <c r="J1224" i="41"/>
  <c r="K1224" i="41"/>
  <c r="L1224" i="41"/>
  <c r="M1224" i="41"/>
  <c r="N1224" i="41"/>
  <c r="O1224" i="41"/>
  <c r="P1224" i="41"/>
  <c r="Q1224" i="41"/>
  <c r="R1224" i="41"/>
  <c r="S1224" i="41"/>
  <c r="J1225" i="41"/>
  <c r="K1225" i="41"/>
  <c r="L1225" i="41"/>
  <c r="M1225" i="41"/>
  <c r="N1225" i="41"/>
  <c r="O1225" i="41"/>
  <c r="P1225" i="41"/>
  <c r="Q1225" i="41"/>
  <c r="R1225" i="41"/>
  <c r="S1225" i="41"/>
  <c r="J1226" i="41"/>
  <c r="K1226" i="41"/>
  <c r="L1226" i="41"/>
  <c r="M1226" i="41"/>
  <c r="N1226" i="41"/>
  <c r="O1226" i="41"/>
  <c r="P1226" i="41"/>
  <c r="Q1226" i="41"/>
  <c r="R1226" i="41"/>
  <c r="S1226" i="41"/>
  <c r="J1227" i="41"/>
  <c r="K1227" i="41"/>
  <c r="L1227" i="41"/>
  <c r="M1227" i="41"/>
  <c r="N1227" i="41"/>
  <c r="O1227" i="41"/>
  <c r="P1227" i="41"/>
  <c r="Q1227" i="41"/>
  <c r="R1227" i="41"/>
  <c r="S1227" i="41"/>
  <c r="J1228" i="41"/>
  <c r="K1228" i="41"/>
  <c r="L1228" i="41"/>
  <c r="M1228" i="41"/>
  <c r="N1228" i="41"/>
  <c r="O1228" i="41"/>
  <c r="P1228" i="41"/>
  <c r="Q1228" i="41"/>
  <c r="R1228" i="41"/>
  <c r="S1228" i="41"/>
  <c r="J1229" i="41"/>
  <c r="K1229" i="41"/>
  <c r="L1229" i="41"/>
  <c r="M1229" i="41"/>
  <c r="N1229" i="41"/>
  <c r="O1229" i="41"/>
  <c r="P1229" i="41"/>
  <c r="Q1229" i="41"/>
  <c r="R1229" i="41"/>
  <c r="S1229" i="41"/>
  <c r="J1230" i="41"/>
  <c r="K1230" i="41"/>
  <c r="L1230" i="41"/>
  <c r="M1230" i="41"/>
  <c r="N1230" i="41"/>
  <c r="O1230" i="41"/>
  <c r="P1230" i="41"/>
  <c r="Q1230" i="41"/>
  <c r="R1230" i="41"/>
  <c r="S1230" i="41"/>
  <c r="J1231" i="41"/>
  <c r="K1231" i="41"/>
  <c r="L1231" i="41"/>
  <c r="M1231" i="41"/>
  <c r="N1231" i="41"/>
  <c r="O1231" i="41"/>
  <c r="P1231" i="41"/>
  <c r="Q1231" i="41"/>
  <c r="R1231" i="41"/>
  <c r="S1231" i="41"/>
  <c r="J1232" i="41"/>
  <c r="K1232" i="41"/>
  <c r="L1232" i="41"/>
  <c r="M1232" i="41"/>
  <c r="N1232" i="41"/>
  <c r="O1232" i="41"/>
  <c r="P1232" i="41"/>
  <c r="Q1232" i="41"/>
  <c r="R1232" i="41"/>
  <c r="S1232" i="41"/>
  <c r="J1233" i="41"/>
  <c r="K1233" i="41"/>
  <c r="L1233" i="41"/>
  <c r="M1233" i="41"/>
  <c r="N1233" i="41"/>
  <c r="O1233" i="41"/>
  <c r="P1233" i="41"/>
  <c r="Q1233" i="41"/>
  <c r="R1233" i="41"/>
  <c r="S1233" i="41"/>
  <c r="J1234" i="41"/>
  <c r="K1234" i="41"/>
  <c r="L1234" i="41"/>
  <c r="M1234" i="41"/>
  <c r="N1234" i="41"/>
  <c r="O1234" i="41"/>
  <c r="P1234" i="41"/>
  <c r="Q1234" i="41"/>
  <c r="R1234" i="41"/>
  <c r="S1234" i="41"/>
  <c r="J1235" i="41"/>
  <c r="K1235" i="41"/>
  <c r="L1235" i="41"/>
  <c r="M1235" i="41"/>
  <c r="N1235" i="41"/>
  <c r="O1235" i="41"/>
  <c r="P1235" i="41"/>
  <c r="Q1235" i="41"/>
  <c r="R1235" i="41"/>
  <c r="S1235" i="41"/>
  <c r="J1236" i="41"/>
  <c r="K1236" i="41"/>
  <c r="L1236" i="41"/>
  <c r="M1236" i="41"/>
  <c r="N1236" i="41"/>
  <c r="O1236" i="41"/>
  <c r="P1236" i="41"/>
  <c r="Q1236" i="41"/>
  <c r="R1236" i="41"/>
  <c r="S1236" i="41"/>
  <c r="J1237" i="41"/>
  <c r="K1237" i="41"/>
  <c r="L1237" i="41"/>
  <c r="M1237" i="41"/>
  <c r="N1237" i="41"/>
  <c r="O1237" i="41"/>
  <c r="P1237" i="41"/>
  <c r="Q1237" i="41"/>
  <c r="R1237" i="41"/>
  <c r="S1237" i="41"/>
  <c r="J1238" i="41"/>
  <c r="K1238" i="41"/>
  <c r="L1238" i="41"/>
  <c r="M1238" i="41"/>
  <c r="N1238" i="41"/>
  <c r="O1238" i="41"/>
  <c r="P1238" i="41"/>
  <c r="Q1238" i="41"/>
  <c r="R1238" i="41"/>
  <c r="S1238" i="41"/>
  <c r="J1239" i="41"/>
  <c r="K1239" i="41"/>
  <c r="L1239" i="41"/>
  <c r="M1239" i="41"/>
  <c r="N1239" i="41"/>
  <c r="O1239" i="41"/>
  <c r="P1239" i="41"/>
  <c r="Q1239" i="41"/>
  <c r="R1239" i="41"/>
  <c r="S1239" i="41"/>
  <c r="J1240" i="41"/>
  <c r="K1240" i="41"/>
  <c r="L1240" i="41"/>
  <c r="M1240" i="41"/>
  <c r="N1240" i="41"/>
  <c r="O1240" i="41"/>
  <c r="P1240" i="41"/>
  <c r="Q1240" i="41"/>
  <c r="R1240" i="41"/>
  <c r="S1240" i="41"/>
  <c r="J1241" i="41"/>
  <c r="K1241" i="41"/>
  <c r="L1241" i="41"/>
  <c r="M1241" i="41"/>
  <c r="N1241" i="41"/>
  <c r="O1241" i="41"/>
  <c r="P1241" i="41"/>
  <c r="Q1241" i="41"/>
  <c r="R1241" i="41"/>
  <c r="S1241" i="41"/>
  <c r="J1242" i="41"/>
  <c r="K1242" i="41"/>
  <c r="L1242" i="41"/>
  <c r="M1242" i="41"/>
  <c r="N1242" i="41"/>
  <c r="O1242" i="41"/>
  <c r="P1242" i="41"/>
  <c r="Q1242" i="41"/>
  <c r="R1242" i="41"/>
  <c r="S1242" i="41"/>
  <c r="J1243" i="41"/>
  <c r="K1243" i="41"/>
  <c r="L1243" i="41"/>
  <c r="M1243" i="41"/>
  <c r="N1243" i="41"/>
  <c r="O1243" i="41"/>
  <c r="P1243" i="41"/>
  <c r="Q1243" i="41"/>
  <c r="R1243" i="41"/>
  <c r="S1243" i="41"/>
  <c r="J1244" i="41"/>
  <c r="K1244" i="41"/>
  <c r="L1244" i="41"/>
  <c r="M1244" i="41"/>
  <c r="N1244" i="41"/>
  <c r="O1244" i="41"/>
  <c r="P1244" i="41"/>
  <c r="Q1244" i="41"/>
  <c r="R1244" i="41"/>
  <c r="S1244" i="41"/>
  <c r="J1245" i="41"/>
  <c r="K1245" i="41"/>
  <c r="L1245" i="41"/>
  <c r="M1245" i="41"/>
  <c r="N1245" i="41"/>
  <c r="O1245" i="41"/>
  <c r="P1245" i="41"/>
  <c r="Q1245" i="41"/>
  <c r="R1245" i="41"/>
  <c r="S1245" i="41"/>
  <c r="J1246" i="41"/>
  <c r="K1246" i="41"/>
  <c r="L1246" i="41"/>
  <c r="M1246" i="41"/>
  <c r="N1246" i="41"/>
  <c r="O1246" i="41"/>
  <c r="P1246" i="41"/>
  <c r="Q1246" i="41"/>
  <c r="R1246" i="41"/>
  <c r="S1246" i="41"/>
  <c r="J1247" i="41"/>
  <c r="K1247" i="41"/>
  <c r="L1247" i="41"/>
  <c r="M1247" i="41"/>
  <c r="N1247" i="41"/>
  <c r="O1247" i="41"/>
  <c r="P1247" i="41"/>
  <c r="Q1247" i="41"/>
  <c r="R1247" i="41"/>
  <c r="S1247" i="41"/>
  <c r="J1248" i="41"/>
  <c r="K1248" i="41"/>
  <c r="L1248" i="41"/>
  <c r="M1248" i="41"/>
  <c r="N1248" i="41"/>
  <c r="O1248" i="41"/>
  <c r="P1248" i="41"/>
  <c r="Q1248" i="41"/>
  <c r="R1248" i="41"/>
  <c r="S1248" i="41"/>
  <c r="J1249" i="41"/>
  <c r="K1249" i="41"/>
  <c r="L1249" i="41"/>
  <c r="M1249" i="41"/>
  <c r="N1249" i="41"/>
  <c r="O1249" i="41"/>
  <c r="P1249" i="41"/>
  <c r="Q1249" i="41"/>
  <c r="R1249" i="41"/>
  <c r="S1249" i="41"/>
  <c r="J1250" i="41"/>
  <c r="K1250" i="41"/>
  <c r="L1250" i="41"/>
  <c r="M1250" i="41"/>
  <c r="N1250" i="41"/>
  <c r="O1250" i="41"/>
  <c r="P1250" i="41"/>
  <c r="Q1250" i="41"/>
  <c r="R1250" i="41"/>
  <c r="S1250" i="41"/>
  <c r="J1251" i="41"/>
  <c r="K1251" i="41"/>
  <c r="L1251" i="41"/>
  <c r="M1251" i="41"/>
  <c r="N1251" i="41"/>
  <c r="O1251" i="41"/>
  <c r="P1251" i="41"/>
  <c r="Q1251" i="41"/>
  <c r="R1251" i="41"/>
  <c r="S1251" i="41"/>
  <c r="J1252" i="41"/>
  <c r="K1252" i="41"/>
  <c r="L1252" i="41"/>
  <c r="M1252" i="41"/>
  <c r="N1252" i="41"/>
  <c r="O1252" i="41"/>
  <c r="P1252" i="41"/>
  <c r="Q1252" i="41"/>
  <c r="R1252" i="41"/>
  <c r="S1252" i="41"/>
  <c r="J1253" i="41"/>
  <c r="K1253" i="41"/>
  <c r="L1253" i="41"/>
  <c r="M1253" i="41"/>
  <c r="N1253" i="41"/>
  <c r="O1253" i="41"/>
  <c r="P1253" i="41"/>
  <c r="Q1253" i="41"/>
  <c r="R1253" i="41"/>
  <c r="S1253" i="41"/>
  <c r="J1254" i="41"/>
  <c r="K1254" i="41"/>
  <c r="L1254" i="41"/>
  <c r="M1254" i="41"/>
  <c r="N1254" i="41"/>
  <c r="O1254" i="41"/>
  <c r="P1254" i="41"/>
  <c r="Q1254" i="41"/>
  <c r="R1254" i="41"/>
  <c r="S1254" i="41"/>
  <c r="J1255" i="41"/>
  <c r="K1255" i="41"/>
  <c r="L1255" i="41"/>
  <c r="M1255" i="41"/>
  <c r="N1255" i="41"/>
  <c r="O1255" i="41"/>
  <c r="P1255" i="41"/>
  <c r="Q1255" i="41"/>
  <c r="R1255" i="41"/>
  <c r="S1255" i="41"/>
  <c r="J1256" i="41"/>
  <c r="K1256" i="41"/>
  <c r="L1256" i="41"/>
  <c r="M1256" i="41"/>
  <c r="N1256" i="41"/>
  <c r="O1256" i="41"/>
  <c r="P1256" i="41"/>
  <c r="Q1256" i="41"/>
  <c r="R1256" i="41"/>
  <c r="S1256" i="41"/>
  <c r="J1257" i="41"/>
  <c r="K1257" i="41"/>
  <c r="L1257" i="41"/>
  <c r="M1257" i="41"/>
  <c r="N1257" i="41"/>
  <c r="O1257" i="41"/>
  <c r="P1257" i="41"/>
  <c r="Q1257" i="41"/>
  <c r="R1257" i="41"/>
  <c r="S1257" i="41"/>
  <c r="J1258" i="41"/>
  <c r="K1258" i="41"/>
  <c r="L1258" i="41"/>
  <c r="M1258" i="41"/>
  <c r="N1258" i="41"/>
  <c r="O1258" i="41"/>
  <c r="P1258" i="41"/>
  <c r="Q1258" i="41"/>
  <c r="R1258" i="41"/>
  <c r="S1258" i="41"/>
  <c r="J1259" i="41"/>
  <c r="K1259" i="41"/>
  <c r="L1259" i="41"/>
  <c r="M1259" i="41"/>
  <c r="N1259" i="41"/>
  <c r="O1259" i="41"/>
  <c r="P1259" i="41"/>
  <c r="Q1259" i="41"/>
  <c r="R1259" i="41"/>
  <c r="S1259" i="41"/>
  <c r="J1260" i="41"/>
  <c r="K1260" i="41"/>
  <c r="L1260" i="41"/>
  <c r="M1260" i="41"/>
  <c r="N1260" i="41"/>
  <c r="O1260" i="41"/>
  <c r="P1260" i="41"/>
  <c r="Q1260" i="41"/>
  <c r="R1260" i="41"/>
  <c r="S1260" i="41"/>
  <c r="J1261" i="41"/>
  <c r="K1261" i="41"/>
  <c r="L1261" i="41"/>
  <c r="M1261" i="41"/>
  <c r="N1261" i="41"/>
  <c r="O1261" i="41"/>
  <c r="P1261" i="41"/>
  <c r="Q1261" i="41"/>
  <c r="R1261" i="41"/>
  <c r="S1261" i="41"/>
  <c r="J1262" i="41"/>
  <c r="K1262" i="41"/>
  <c r="L1262" i="41"/>
  <c r="M1262" i="41"/>
  <c r="N1262" i="41"/>
  <c r="O1262" i="41"/>
  <c r="P1262" i="41"/>
  <c r="Q1262" i="41"/>
  <c r="R1262" i="41"/>
  <c r="S1262" i="41"/>
  <c r="J1263" i="41"/>
  <c r="K1263" i="41"/>
  <c r="L1263" i="41"/>
  <c r="M1263" i="41"/>
  <c r="N1263" i="41"/>
  <c r="O1263" i="41"/>
  <c r="P1263" i="41"/>
  <c r="Q1263" i="41"/>
  <c r="R1263" i="41"/>
  <c r="S1263" i="41"/>
  <c r="J1264" i="41"/>
  <c r="K1264" i="41"/>
  <c r="L1264" i="41"/>
  <c r="M1264" i="41"/>
  <c r="N1264" i="41"/>
  <c r="O1264" i="41"/>
  <c r="P1264" i="41"/>
  <c r="Q1264" i="41"/>
  <c r="R1264" i="41"/>
  <c r="S1264" i="41"/>
  <c r="J1265" i="41"/>
  <c r="K1265" i="41"/>
  <c r="L1265" i="41"/>
  <c r="M1265" i="41"/>
  <c r="N1265" i="41"/>
  <c r="O1265" i="41"/>
  <c r="P1265" i="41"/>
  <c r="Q1265" i="41"/>
  <c r="R1265" i="41"/>
  <c r="S1265" i="41"/>
  <c r="J1266" i="41"/>
  <c r="K1266" i="41"/>
  <c r="L1266" i="41"/>
  <c r="M1266" i="41"/>
  <c r="N1266" i="41"/>
  <c r="O1266" i="41"/>
  <c r="P1266" i="41"/>
  <c r="Q1266" i="41"/>
  <c r="R1266" i="41"/>
  <c r="S1266" i="41"/>
  <c r="J1267" i="41"/>
  <c r="K1267" i="41"/>
  <c r="L1267" i="41"/>
  <c r="M1267" i="41"/>
  <c r="N1267" i="41"/>
  <c r="O1267" i="41"/>
  <c r="P1267" i="41"/>
  <c r="Q1267" i="41"/>
  <c r="R1267" i="41"/>
  <c r="S1267" i="41"/>
  <c r="J1268" i="41"/>
  <c r="K1268" i="41"/>
  <c r="L1268" i="41"/>
  <c r="M1268" i="41"/>
  <c r="N1268" i="41"/>
  <c r="O1268" i="41"/>
  <c r="P1268" i="41"/>
  <c r="Q1268" i="41"/>
  <c r="R1268" i="41"/>
  <c r="S1268" i="41"/>
  <c r="J1269" i="41"/>
  <c r="K1269" i="41"/>
  <c r="L1269" i="41"/>
  <c r="M1269" i="41"/>
  <c r="N1269" i="41"/>
  <c r="O1269" i="41"/>
  <c r="P1269" i="41"/>
  <c r="Q1269" i="41"/>
  <c r="R1269" i="41"/>
  <c r="S1269" i="41"/>
  <c r="J1270" i="41"/>
  <c r="K1270" i="41"/>
  <c r="L1270" i="41"/>
  <c r="M1270" i="41"/>
  <c r="N1270" i="41"/>
  <c r="O1270" i="41"/>
  <c r="P1270" i="41"/>
  <c r="Q1270" i="41"/>
  <c r="R1270" i="41"/>
  <c r="S1270" i="41"/>
  <c r="J1271" i="41"/>
  <c r="K1271" i="41"/>
  <c r="L1271" i="41"/>
  <c r="M1271" i="41"/>
  <c r="N1271" i="41"/>
  <c r="O1271" i="41"/>
  <c r="P1271" i="41"/>
  <c r="Q1271" i="41"/>
  <c r="R1271" i="41"/>
  <c r="S1271" i="41"/>
  <c r="J1272" i="41"/>
  <c r="K1272" i="41"/>
  <c r="L1272" i="41"/>
  <c r="M1272" i="41"/>
  <c r="N1272" i="41"/>
  <c r="O1272" i="41"/>
  <c r="P1272" i="41"/>
  <c r="Q1272" i="41"/>
  <c r="R1272" i="41"/>
  <c r="S1272" i="41"/>
  <c r="J1273" i="41"/>
  <c r="K1273" i="41"/>
  <c r="L1273" i="41"/>
  <c r="M1273" i="41"/>
  <c r="N1273" i="41"/>
  <c r="O1273" i="41"/>
  <c r="P1273" i="41"/>
  <c r="Q1273" i="41"/>
  <c r="R1273" i="41"/>
  <c r="S1273" i="41"/>
  <c r="J1274" i="41"/>
  <c r="K1274" i="41"/>
  <c r="L1274" i="41"/>
  <c r="M1274" i="41"/>
  <c r="N1274" i="41"/>
  <c r="O1274" i="41"/>
  <c r="P1274" i="41"/>
  <c r="Q1274" i="41"/>
  <c r="R1274" i="41"/>
  <c r="S1274" i="41"/>
  <c r="J1275" i="41"/>
  <c r="K1275" i="41"/>
  <c r="L1275" i="41"/>
  <c r="M1275" i="41"/>
  <c r="N1275" i="41"/>
  <c r="O1275" i="41"/>
  <c r="P1275" i="41"/>
  <c r="Q1275" i="41"/>
  <c r="R1275" i="41"/>
  <c r="S1275" i="41"/>
  <c r="J1276" i="41"/>
  <c r="K1276" i="41"/>
  <c r="L1276" i="41"/>
  <c r="M1276" i="41"/>
  <c r="N1276" i="41"/>
  <c r="O1276" i="41"/>
  <c r="P1276" i="41"/>
  <c r="Q1276" i="41"/>
  <c r="R1276" i="41"/>
  <c r="S1276" i="41"/>
  <c r="J1277" i="41"/>
  <c r="K1277" i="41"/>
  <c r="L1277" i="41"/>
  <c r="M1277" i="41"/>
  <c r="N1277" i="41"/>
  <c r="O1277" i="41"/>
  <c r="P1277" i="41"/>
  <c r="Q1277" i="41"/>
  <c r="R1277" i="41"/>
  <c r="S1277" i="41"/>
  <c r="J1278" i="41"/>
  <c r="K1278" i="41"/>
  <c r="L1278" i="41"/>
  <c r="M1278" i="41"/>
  <c r="N1278" i="41"/>
  <c r="O1278" i="41"/>
  <c r="P1278" i="41"/>
  <c r="Q1278" i="41"/>
  <c r="R1278" i="41"/>
  <c r="S1278" i="41"/>
  <c r="J1279" i="41"/>
  <c r="K1279" i="41"/>
  <c r="L1279" i="41"/>
  <c r="M1279" i="41"/>
  <c r="N1279" i="41"/>
  <c r="O1279" i="41"/>
  <c r="P1279" i="41"/>
  <c r="Q1279" i="41"/>
  <c r="R1279" i="41"/>
  <c r="S1279" i="41"/>
  <c r="J1280" i="41"/>
  <c r="K1280" i="41"/>
  <c r="L1280" i="41"/>
  <c r="M1280" i="41"/>
  <c r="N1280" i="41"/>
  <c r="O1280" i="41"/>
  <c r="P1280" i="41"/>
  <c r="Q1280" i="41"/>
  <c r="R1280" i="41"/>
  <c r="S1280" i="41"/>
  <c r="J1281" i="41"/>
  <c r="K1281" i="41"/>
  <c r="L1281" i="41"/>
  <c r="M1281" i="41"/>
  <c r="N1281" i="41"/>
  <c r="O1281" i="41"/>
  <c r="P1281" i="41"/>
  <c r="Q1281" i="41"/>
  <c r="R1281" i="41"/>
  <c r="S1281" i="41"/>
  <c r="J1282" i="41"/>
  <c r="K1282" i="41"/>
  <c r="L1282" i="41"/>
  <c r="M1282" i="41"/>
  <c r="N1282" i="41"/>
  <c r="O1282" i="41"/>
  <c r="P1282" i="41"/>
  <c r="Q1282" i="41"/>
  <c r="R1282" i="41"/>
  <c r="S1282" i="41"/>
  <c r="J1283" i="41"/>
  <c r="K1283" i="41"/>
  <c r="L1283" i="41"/>
  <c r="M1283" i="41"/>
  <c r="N1283" i="41"/>
  <c r="O1283" i="41"/>
  <c r="P1283" i="41"/>
  <c r="Q1283" i="41"/>
  <c r="R1283" i="41"/>
  <c r="S1283" i="41"/>
  <c r="J1284" i="41"/>
  <c r="K1284" i="41"/>
  <c r="L1284" i="41"/>
  <c r="M1284" i="41"/>
  <c r="N1284" i="41"/>
  <c r="O1284" i="41"/>
  <c r="P1284" i="41"/>
  <c r="Q1284" i="41"/>
  <c r="R1284" i="41"/>
  <c r="S1284" i="41"/>
  <c r="J1285" i="41"/>
  <c r="K1285" i="41"/>
  <c r="L1285" i="41"/>
  <c r="M1285" i="41"/>
  <c r="N1285" i="41"/>
  <c r="O1285" i="41"/>
  <c r="P1285" i="41"/>
  <c r="Q1285" i="41"/>
  <c r="R1285" i="41"/>
  <c r="S1285" i="41"/>
  <c r="J1286" i="41"/>
  <c r="K1286" i="41"/>
  <c r="L1286" i="41"/>
  <c r="M1286" i="41"/>
  <c r="N1286" i="41"/>
  <c r="O1286" i="41"/>
  <c r="P1286" i="41"/>
  <c r="Q1286" i="41"/>
  <c r="R1286" i="41"/>
  <c r="S1286" i="41"/>
  <c r="J1287" i="41"/>
  <c r="K1287" i="41"/>
  <c r="L1287" i="41"/>
  <c r="M1287" i="41"/>
  <c r="N1287" i="41"/>
  <c r="O1287" i="41"/>
  <c r="P1287" i="41"/>
  <c r="Q1287" i="41"/>
  <c r="R1287" i="41"/>
  <c r="S1287" i="41"/>
  <c r="J1288" i="41"/>
  <c r="K1288" i="41"/>
  <c r="L1288" i="41"/>
  <c r="M1288" i="41"/>
  <c r="N1288" i="41"/>
  <c r="O1288" i="41"/>
  <c r="P1288" i="41"/>
  <c r="Q1288" i="41"/>
  <c r="R1288" i="41"/>
  <c r="S1288" i="41"/>
  <c r="J1289" i="41"/>
  <c r="K1289" i="41"/>
  <c r="L1289" i="41"/>
  <c r="M1289" i="41"/>
  <c r="N1289" i="41"/>
  <c r="O1289" i="41"/>
  <c r="P1289" i="41"/>
  <c r="Q1289" i="41"/>
  <c r="R1289" i="41"/>
  <c r="S1289" i="41"/>
  <c r="J1290" i="41"/>
  <c r="K1290" i="41"/>
  <c r="L1290" i="41"/>
  <c r="M1290" i="41"/>
  <c r="N1290" i="41"/>
  <c r="O1290" i="41"/>
  <c r="P1290" i="41"/>
  <c r="Q1290" i="41"/>
  <c r="R1290" i="41"/>
  <c r="S1290" i="41"/>
  <c r="J1291" i="41"/>
  <c r="K1291" i="41"/>
  <c r="L1291" i="41"/>
  <c r="M1291" i="41"/>
  <c r="N1291" i="41"/>
  <c r="O1291" i="41"/>
  <c r="P1291" i="41"/>
  <c r="Q1291" i="41"/>
  <c r="R1291" i="41"/>
  <c r="S1291" i="41"/>
  <c r="J1292" i="41"/>
  <c r="K1292" i="41"/>
  <c r="L1292" i="41"/>
  <c r="M1292" i="41"/>
  <c r="N1292" i="41"/>
  <c r="O1292" i="41"/>
  <c r="P1292" i="41"/>
  <c r="Q1292" i="41"/>
  <c r="R1292" i="41"/>
  <c r="S1292" i="41"/>
  <c r="J1293" i="41"/>
  <c r="K1293" i="41"/>
  <c r="L1293" i="41"/>
  <c r="M1293" i="41"/>
  <c r="N1293" i="41"/>
  <c r="O1293" i="41"/>
  <c r="P1293" i="41"/>
  <c r="Q1293" i="41"/>
  <c r="R1293" i="41"/>
  <c r="S1293" i="41"/>
  <c r="J1294" i="41"/>
  <c r="K1294" i="41"/>
  <c r="L1294" i="41"/>
  <c r="M1294" i="41"/>
  <c r="N1294" i="41"/>
  <c r="O1294" i="41"/>
  <c r="P1294" i="41"/>
  <c r="Q1294" i="41"/>
  <c r="R1294" i="41"/>
  <c r="S1294" i="41"/>
  <c r="J1295" i="41"/>
  <c r="K1295" i="41"/>
  <c r="L1295" i="41"/>
  <c r="M1295" i="41"/>
  <c r="N1295" i="41"/>
  <c r="O1295" i="41"/>
  <c r="P1295" i="41"/>
  <c r="Q1295" i="41"/>
  <c r="R1295" i="41"/>
  <c r="S1295" i="41"/>
  <c r="J1296" i="41"/>
  <c r="K1296" i="41"/>
  <c r="L1296" i="41"/>
  <c r="M1296" i="41"/>
  <c r="N1296" i="41"/>
  <c r="O1296" i="41"/>
  <c r="P1296" i="41"/>
  <c r="Q1296" i="41"/>
  <c r="R1296" i="41"/>
  <c r="S1296" i="41"/>
  <c r="J1297" i="41"/>
  <c r="K1297" i="41"/>
  <c r="L1297" i="41"/>
  <c r="M1297" i="41"/>
  <c r="N1297" i="41"/>
  <c r="O1297" i="41"/>
  <c r="P1297" i="41"/>
  <c r="Q1297" i="41"/>
  <c r="R1297" i="41"/>
  <c r="S1297" i="41"/>
  <c r="J1298" i="41"/>
  <c r="K1298" i="41"/>
  <c r="L1298" i="41"/>
  <c r="M1298" i="41"/>
  <c r="N1298" i="41"/>
  <c r="O1298" i="41"/>
  <c r="P1298" i="41"/>
  <c r="Q1298" i="41"/>
  <c r="R1298" i="41"/>
  <c r="S1298" i="41"/>
  <c r="J1299" i="41"/>
  <c r="K1299" i="41"/>
  <c r="L1299" i="41"/>
  <c r="M1299" i="41"/>
  <c r="N1299" i="41"/>
  <c r="O1299" i="41"/>
  <c r="P1299" i="41"/>
  <c r="Q1299" i="41"/>
  <c r="R1299" i="41"/>
  <c r="S1299" i="41"/>
  <c r="J1300" i="41"/>
  <c r="K1300" i="41"/>
  <c r="L1300" i="41"/>
  <c r="M1300" i="41"/>
  <c r="N1300" i="41"/>
  <c r="O1300" i="41"/>
  <c r="P1300" i="41"/>
  <c r="Q1300" i="41"/>
  <c r="R1300" i="41"/>
  <c r="S1300" i="41"/>
  <c r="J1301" i="41"/>
  <c r="K1301" i="41"/>
  <c r="L1301" i="41"/>
  <c r="M1301" i="41"/>
  <c r="N1301" i="41"/>
  <c r="O1301" i="41"/>
  <c r="P1301" i="41"/>
  <c r="Q1301" i="41"/>
  <c r="R1301" i="41"/>
  <c r="S1301" i="41"/>
  <c r="J1302" i="41"/>
  <c r="K1302" i="41"/>
  <c r="L1302" i="41"/>
  <c r="M1302" i="41"/>
  <c r="N1302" i="41"/>
  <c r="O1302" i="41"/>
  <c r="P1302" i="41"/>
  <c r="Q1302" i="41"/>
  <c r="R1302" i="41"/>
  <c r="S1302" i="41"/>
  <c r="J1303" i="41"/>
  <c r="K1303" i="41"/>
  <c r="L1303" i="41"/>
  <c r="M1303" i="41"/>
  <c r="N1303" i="41"/>
  <c r="O1303" i="41"/>
  <c r="P1303" i="41"/>
  <c r="Q1303" i="41"/>
  <c r="R1303" i="41"/>
  <c r="S1303" i="41"/>
  <c r="J1304" i="41"/>
  <c r="K1304" i="41"/>
  <c r="L1304" i="41"/>
  <c r="M1304" i="41"/>
  <c r="N1304" i="41"/>
  <c r="O1304" i="41"/>
  <c r="P1304" i="41"/>
  <c r="Q1304" i="41"/>
  <c r="R1304" i="41"/>
  <c r="S1304" i="41"/>
  <c r="J1305" i="41"/>
  <c r="K1305" i="41"/>
  <c r="L1305" i="41"/>
  <c r="M1305" i="41"/>
  <c r="N1305" i="41"/>
  <c r="O1305" i="41"/>
  <c r="P1305" i="41"/>
  <c r="Q1305" i="41"/>
  <c r="R1305" i="41"/>
  <c r="S1305" i="41"/>
  <c r="J1306" i="41"/>
  <c r="K1306" i="41"/>
  <c r="L1306" i="41"/>
  <c r="M1306" i="41"/>
  <c r="N1306" i="41"/>
  <c r="O1306" i="41"/>
  <c r="P1306" i="41"/>
  <c r="Q1306" i="41"/>
  <c r="R1306" i="41"/>
  <c r="S1306" i="41"/>
  <c r="J1307" i="41"/>
  <c r="K1307" i="41"/>
  <c r="L1307" i="41"/>
  <c r="M1307" i="41"/>
  <c r="N1307" i="41"/>
  <c r="O1307" i="41"/>
  <c r="P1307" i="41"/>
  <c r="Q1307" i="41"/>
  <c r="R1307" i="41"/>
  <c r="S1307" i="41"/>
  <c r="J1308" i="41"/>
  <c r="K1308" i="41"/>
  <c r="L1308" i="41"/>
  <c r="M1308" i="41"/>
  <c r="N1308" i="41"/>
  <c r="O1308" i="41"/>
  <c r="P1308" i="41"/>
  <c r="Q1308" i="41"/>
  <c r="R1308" i="41"/>
  <c r="S1308" i="41"/>
  <c r="J1309" i="41"/>
  <c r="K1309" i="41"/>
  <c r="L1309" i="41"/>
  <c r="M1309" i="41"/>
  <c r="N1309" i="41"/>
  <c r="O1309" i="41"/>
  <c r="P1309" i="41"/>
  <c r="Q1309" i="41"/>
  <c r="R1309" i="41"/>
  <c r="S1309" i="41"/>
  <c r="J1310" i="41"/>
  <c r="K1310" i="41"/>
  <c r="L1310" i="41"/>
  <c r="M1310" i="41"/>
  <c r="N1310" i="41"/>
  <c r="O1310" i="41"/>
  <c r="P1310" i="41"/>
  <c r="Q1310" i="41"/>
  <c r="R1310" i="41"/>
  <c r="S1310" i="41"/>
  <c r="J1311" i="41"/>
  <c r="K1311" i="41"/>
  <c r="L1311" i="41"/>
  <c r="M1311" i="41"/>
  <c r="N1311" i="41"/>
  <c r="O1311" i="41"/>
  <c r="P1311" i="41"/>
  <c r="Q1311" i="41"/>
  <c r="R1311" i="41"/>
  <c r="S1311" i="41"/>
  <c r="J1312" i="41"/>
  <c r="K1312" i="41"/>
  <c r="L1312" i="41"/>
  <c r="M1312" i="41"/>
  <c r="N1312" i="41"/>
  <c r="O1312" i="41"/>
  <c r="P1312" i="41"/>
  <c r="Q1312" i="41"/>
  <c r="R1312" i="41"/>
  <c r="S1312" i="41"/>
  <c r="J1313" i="41"/>
  <c r="K1313" i="41"/>
  <c r="L1313" i="41"/>
  <c r="M1313" i="41"/>
  <c r="N1313" i="41"/>
  <c r="O1313" i="41"/>
  <c r="P1313" i="41"/>
  <c r="Q1313" i="41"/>
  <c r="R1313" i="41"/>
  <c r="S1313" i="41"/>
  <c r="J1314" i="41"/>
  <c r="K1314" i="41"/>
  <c r="L1314" i="41"/>
  <c r="M1314" i="41"/>
  <c r="N1314" i="41"/>
  <c r="O1314" i="41"/>
  <c r="P1314" i="41"/>
  <c r="Q1314" i="41"/>
  <c r="R1314" i="41"/>
  <c r="S1314" i="41"/>
  <c r="J1315" i="41"/>
  <c r="K1315" i="41"/>
  <c r="L1315" i="41"/>
  <c r="M1315" i="41"/>
  <c r="N1315" i="41"/>
  <c r="O1315" i="41"/>
  <c r="P1315" i="41"/>
  <c r="Q1315" i="41"/>
  <c r="R1315" i="41"/>
  <c r="S1315" i="41"/>
  <c r="J1316" i="41"/>
  <c r="K1316" i="41"/>
  <c r="L1316" i="41"/>
  <c r="M1316" i="41"/>
  <c r="N1316" i="41"/>
  <c r="O1316" i="41"/>
  <c r="P1316" i="41"/>
  <c r="Q1316" i="41"/>
  <c r="R1316" i="41"/>
  <c r="S1316" i="41"/>
  <c r="J1317" i="41"/>
  <c r="K1317" i="41"/>
  <c r="L1317" i="41"/>
  <c r="M1317" i="41"/>
  <c r="N1317" i="41"/>
  <c r="O1317" i="41"/>
  <c r="P1317" i="41"/>
  <c r="Q1317" i="41"/>
  <c r="R1317" i="41"/>
  <c r="S1317" i="41"/>
  <c r="J1318" i="41"/>
  <c r="K1318" i="41"/>
  <c r="L1318" i="41"/>
  <c r="M1318" i="41"/>
  <c r="N1318" i="41"/>
  <c r="O1318" i="41"/>
  <c r="P1318" i="41"/>
  <c r="Q1318" i="41"/>
  <c r="R1318" i="41"/>
  <c r="S1318" i="41"/>
  <c r="J1319" i="41"/>
  <c r="K1319" i="41"/>
  <c r="L1319" i="41"/>
  <c r="M1319" i="41"/>
  <c r="N1319" i="41"/>
  <c r="O1319" i="41"/>
  <c r="P1319" i="41"/>
  <c r="Q1319" i="41"/>
  <c r="R1319" i="41"/>
  <c r="S1319" i="41"/>
  <c r="J1320" i="41"/>
  <c r="K1320" i="41"/>
  <c r="L1320" i="41"/>
  <c r="M1320" i="41"/>
  <c r="N1320" i="41"/>
  <c r="O1320" i="41"/>
  <c r="P1320" i="41"/>
  <c r="Q1320" i="41"/>
  <c r="R1320" i="41"/>
  <c r="S1320" i="41"/>
  <c r="J1321" i="41"/>
  <c r="K1321" i="41"/>
  <c r="L1321" i="41"/>
  <c r="M1321" i="41"/>
  <c r="N1321" i="41"/>
  <c r="O1321" i="41"/>
  <c r="P1321" i="41"/>
  <c r="Q1321" i="41"/>
  <c r="R1321" i="41"/>
  <c r="S1321" i="41"/>
  <c r="J1322" i="41"/>
  <c r="K1322" i="41"/>
  <c r="L1322" i="41"/>
  <c r="M1322" i="41"/>
  <c r="N1322" i="41"/>
  <c r="O1322" i="41"/>
  <c r="P1322" i="41"/>
  <c r="Q1322" i="41"/>
  <c r="R1322" i="41"/>
  <c r="S1322" i="41"/>
  <c r="J1323" i="41"/>
  <c r="K1323" i="41"/>
  <c r="L1323" i="41"/>
  <c r="M1323" i="41"/>
  <c r="N1323" i="41"/>
  <c r="O1323" i="41"/>
  <c r="P1323" i="41"/>
  <c r="Q1323" i="41"/>
  <c r="R1323" i="41"/>
  <c r="S1323" i="41"/>
  <c r="J1324" i="41"/>
  <c r="K1324" i="41"/>
  <c r="L1324" i="41"/>
  <c r="M1324" i="41"/>
  <c r="N1324" i="41"/>
  <c r="O1324" i="41"/>
  <c r="P1324" i="41"/>
  <c r="Q1324" i="41"/>
  <c r="R1324" i="41"/>
  <c r="S1324" i="41"/>
  <c r="J1325" i="41"/>
  <c r="K1325" i="41"/>
  <c r="L1325" i="41"/>
  <c r="M1325" i="41"/>
  <c r="N1325" i="41"/>
  <c r="O1325" i="41"/>
  <c r="P1325" i="41"/>
  <c r="Q1325" i="41"/>
  <c r="R1325" i="41"/>
  <c r="S1325" i="41"/>
  <c r="J1326" i="41"/>
  <c r="K1326" i="41"/>
  <c r="L1326" i="41"/>
  <c r="M1326" i="41"/>
  <c r="N1326" i="41"/>
  <c r="O1326" i="41"/>
  <c r="P1326" i="41"/>
  <c r="Q1326" i="41"/>
  <c r="R1326" i="41"/>
  <c r="S1326" i="41"/>
  <c r="J1327" i="41"/>
  <c r="K1327" i="41"/>
  <c r="L1327" i="41"/>
  <c r="M1327" i="41"/>
  <c r="N1327" i="41"/>
  <c r="O1327" i="41"/>
  <c r="P1327" i="41"/>
  <c r="Q1327" i="41"/>
  <c r="R1327" i="41"/>
  <c r="S1327" i="41"/>
  <c r="J1328" i="41"/>
  <c r="K1328" i="41"/>
  <c r="L1328" i="41"/>
  <c r="M1328" i="41"/>
  <c r="N1328" i="41"/>
  <c r="O1328" i="41"/>
  <c r="P1328" i="41"/>
  <c r="Q1328" i="41"/>
  <c r="R1328" i="41"/>
  <c r="S1328" i="41"/>
  <c r="J1329" i="41"/>
  <c r="K1329" i="41"/>
  <c r="L1329" i="41"/>
  <c r="M1329" i="41"/>
  <c r="N1329" i="41"/>
  <c r="O1329" i="41"/>
  <c r="P1329" i="41"/>
  <c r="Q1329" i="41"/>
  <c r="R1329" i="41"/>
  <c r="S1329" i="41"/>
  <c r="J1330" i="41"/>
  <c r="K1330" i="41"/>
  <c r="L1330" i="41"/>
  <c r="M1330" i="41"/>
  <c r="N1330" i="41"/>
  <c r="O1330" i="41"/>
  <c r="P1330" i="41"/>
  <c r="Q1330" i="41"/>
  <c r="R1330" i="41"/>
  <c r="S1330" i="41"/>
  <c r="J1331" i="41"/>
  <c r="K1331" i="41"/>
  <c r="L1331" i="41"/>
  <c r="M1331" i="41"/>
  <c r="N1331" i="41"/>
  <c r="O1331" i="41"/>
  <c r="P1331" i="41"/>
  <c r="Q1331" i="41"/>
  <c r="R1331" i="41"/>
  <c r="S1331" i="41"/>
  <c r="J1332" i="41"/>
  <c r="K1332" i="41"/>
  <c r="L1332" i="41"/>
  <c r="M1332" i="41"/>
  <c r="N1332" i="41"/>
  <c r="O1332" i="41"/>
  <c r="P1332" i="41"/>
  <c r="Q1332" i="41"/>
  <c r="R1332" i="41"/>
  <c r="S1332" i="41"/>
  <c r="J1333" i="41"/>
  <c r="K1333" i="41"/>
  <c r="L1333" i="41"/>
  <c r="M1333" i="41"/>
  <c r="N1333" i="41"/>
  <c r="O1333" i="41"/>
  <c r="P1333" i="41"/>
  <c r="Q1333" i="41"/>
  <c r="R1333" i="41"/>
  <c r="S1333" i="41"/>
  <c r="J1334" i="41"/>
  <c r="K1334" i="41"/>
  <c r="L1334" i="41"/>
  <c r="M1334" i="41"/>
  <c r="N1334" i="41"/>
  <c r="O1334" i="41"/>
  <c r="P1334" i="41"/>
  <c r="Q1334" i="41"/>
  <c r="R1334" i="41"/>
  <c r="S1334" i="41"/>
  <c r="J1335" i="41"/>
  <c r="K1335" i="41"/>
  <c r="L1335" i="41"/>
  <c r="M1335" i="41"/>
  <c r="N1335" i="41"/>
  <c r="O1335" i="41"/>
  <c r="P1335" i="41"/>
  <c r="Q1335" i="41"/>
  <c r="R1335" i="41"/>
  <c r="S1335" i="41"/>
  <c r="J1336" i="41"/>
  <c r="K1336" i="41"/>
  <c r="L1336" i="41"/>
  <c r="M1336" i="41"/>
  <c r="N1336" i="41"/>
  <c r="O1336" i="41"/>
  <c r="P1336" i="41"/>
  <c r="Q1336" i="41"/>
  <c r="R1336" i="41"/>
  <c r="S1336" i="41"/>
  <c r="J1337" i="41"/>
  <c r="K1337" i="41"/>
  <c r="L1337" i="41"/>
  <c r="M1337" i="41"/>
  <c r="N1337" i="41"/>
  <c r="O1337" i="41"/>
  <c r="P1337" i="41"/>
  <c r="Q1337" i="41"/>
  <c r="R1337" i="41"/>
  <c r="S1337" i="41"/>
  <c r="J1338" i="41"/>
  <c r="K1338" i="41"/>
  <c r="L1338" i="41"/>
  <c r="M1338" i="41"/>
  <c r="N1338" i="41"/>
  <c r="O1338" i="41"/>
  <c r="P1338" i="41"/>
  <c r="Q1338" i="41"/>
  <c r="R1338" i="41"/>
  <c r="S1338" i="41"/>
  <c r="J1339" i="41"/>
  <c r="K1339" i="41"/>
  <c r="L1339" i="41"/>
  <c r="M1339" i="41"/>
  <c r="N1339" i="41"/>
  <c r="O1339" i="41"/>
  <c r="P1339" i="41"/>
  <c r="Q1339" i="41"/>
  <c r="R1339" i="41"/>
  <c r="S1339" i="41"/>
  <c r="J1340" i="41"/>
  <c r="K1340" i="41"/>
  <c r="L1340" i="41"/>
  <c r="M1340" i="41"/>
  <c r="N1340" i="41"/>
  <c r="O1340" i="41"/>
  <c r="P1340" i="41"/>
  <c r="Q1340" i="41"/>
  <c r="R1340" i="41"/>
  <c r="S1340" i="41"/>
  <c r="J1341" i="41"/>
  <c r="K1341" i="41"/>
  <c r="L1341" i="41"/>
  <c r="M1341" i="41"/>
  <c r="N1341" i="41"/>
  <c r="O1341" i="41"/>
  <c r="P1341" i="41"/>
  <c r="Q1341" i="41"/>
  <c r="R1341" i="41"/>
  <c r="S1341" i="41"/>
  <c r="J1342" i="41"/>
  <c r="K1342" i="41"/>
  <c r="L1342" i="41"/>
  <c r="M1342" i="41"/>
  <c r="N1342" i="41"/>
  <c r="O1342" i="41"/>
  <c r="P1342" i="41"/>
  <c r="Q1342" i="41"/>
  <c r="R1342" i="41"/>
  <c r="S1342" i="41"/>
  <c r="J1343" i="41"/>
  <c r="K1343" i="41"/>
  <c r="L1343" i="41"/>
  <c r="M1343" i="41"/>
  <c r="N1343" i="41"/>
  <c r="O1343" i="41"/>
  <c r="P1343" i="41"/>
  <c r="Q1343" i="41"/>
  <c r="R1343" i="41"/>
  <c r="S1343" i="41"/>
  <c r="J1344" i="41"/>
  <c r="K1344" i="41"/>
  <c r="L1344" i="41"/>
  <c r="M1344" i="41"/>
  <c r="N1344" i="41"/>
  <c r="O1344" i="41"/>
  <c r="P1344" i="41"/>
  <c r="Q1344" i="41"/>
  <c r="R1344" i="41"/>
  <c r="S1344" i="41"/>
  <c r="J1345" i="41"/>
  <c r="K1345" i="41"/>
  <c r="L1345" i="41"/>
  <c r="M1345" i="41"/>
  <c r="N1345" i="41"/>
  <c r="O1345" i="41"/>
  <c r="P1345" i="41"/>
  <c r="Q1345" i="41"/>
  <c r="R1345" i="41"/>
  <c r="S1345" i="41"/>
  <c r="J1346" i="41"/>
  <c r="K1346" i="41"/>
  <c r="L1346" i="41"/>
  <c r="M1346" i="41"/>
  <c r="N1346" i="41"/>
  <c r="O1346" i="41"/>
  <c r="P1346" i="41"/>
  <c r="Q1346" i="41"/>
  <c r="R1346" i="41"/>
  <c r="S1346" i="41"/>
  <c r="J1347" i="41"/>
  <c r="K1347" i="41"/>
  <c r="L1347" i="41"/>
  <c r="M1347" i="41"/>
  <c r="N1347" i="41"/>
  <c r="O1347" i="41"/>
  <c r="P1347" i="41"/>
  <c r="Q1347" i="41"/>
  <c r="R1347" i="41"/>
  <c r="S1347" i="41"/>
  <c r="J1348" i="41"/>
  <c r="K1348" i="41"/>
  <c r="L1348" i="41"/>
  <c r="M1348" i="41"/>
  <c r="N1348" i="41"/>
  <c r="O1348" i="41"/>
  <c r="P1348" i="41"/>
  <c r="Q1348" i="41"/>
  <c r="R1348" i="41"/>
  <c r="S1348" i="41"/>
  <c r="J1349" i="41"/>
  <c r="K1349" i="41"/>
  <c r="L1349" i="41"/>
  <c r="M1349" i="41"/>
  <c r="N1349" i="41"/>
  <c r="O1349" i="41"/>
  <c r="P1349" i="41"/>
  <c r="Q1349" i="41"/>
  <c r="R1349" i="41"/>
  <c r="S1349" i="41"/>
  <c r="J1350" i="41"/>
  <c r="K1350" i="41"/>
  <c r="L1350" i="41"/>
  <c r="M1350" i="41"/>
  <c r="N1350" i="41"/>
  <c r="O1350" i="41"/>
  <c r="P1350" i="41"/>
  <c r="Q1350" i="41"/>
  <c r="R1350" i="41"/>
  <c r="S1350" i="41"/>
  <c r="J1351" i="41"/>
  <c r="K1351" i="41"/>
  <c r="L1351" i="41"/>
  <c r="M1351" i="41"/>
  <c r="N1351" i="41"/>
  <c r="O1351" i="41"/>
  <c r="P1351" i="41"/>
  <c r="Q1351" i="41"/>
  <c r="R1351" i="41"/>
  <c r="S1351" i="41"/>
  <c r="J1352" i="41"/>
  <c r="K1352" i="41"/>
  <c r="L1352" i="41"/>
  <c r="M1352" i="41"/>
  <c r="N1352" i="41"/>
  <c r="O1352" i="41"/>
  <c r="P1352" i="41"/>
  <c r="Q1352" i="41"/>
  <c r="R1352" i="41"/>
  <c r="S1352" i="41"/>
  <c r="J1353" i="41"/>
  <c r="K1353" i="41"/>
  <c r="L1353" i="41"/>
  <c r="M1353" i="41"/>
  <c r="N1353" i="41"/>
  <c r="O1353" i="41"/>
  <c r="P1353" i="41"/>
  <c r="Q1353" i="41"/>
  <c r="R1353" i="41"/>
  <c r="S1353" i="41"/>
  <c r="J1354" i="41"/>
  <c r="K1354" i="41"/>
  <c r="L1354" i="41"/>
  <c r="M1354" i="41"/>
  <c r="N1354" i="41"/>
  <c r="O1354" i="41"/>
  <c r="P1354" i="41"/>
  <c r="Q1354" i="41"/>
  <c r="R1354" i="41"/>
  <c r="S1354" i="41"/>
  <c r="J1355" i="41"/>
  <c r="K1355" i="41"/>
  <c r="L1355" i="41"/>
  <c r="M1355" i="41"/>
  <c r="N1355" i="41"/>
  <c r="O1355" i="41"/>
  <c r="P1355" i="41"/>
  <c r="Q1355" i="41"/>
  <c r="R1355" i="41"/>
  <c r="S1355" i="41"/>
  <c r="J1356" i="41"/>
  <c r="K1356" i="41"/>
  <c r="L1356" i="41"/>
  <c r="M1356" i="41"/>
  <c r="N1356" i="41"/>
  <c r="O1356" i="41"/>
  <c r="P1356" i="41"/>
  <c r="Q1356" i="41"/>
  <c r="R1356" i="41"/>
  <c r="S1356" i="41"/>
  <c r="J1357" i="41"/>
  <c r="K1357" i="41"/>
  <c r="L1357" i="41"/>
  <c r="M1357" i="41"/>
  <c r="N1357" i="41"/>
  <c r="O1357" i="41"/>
  <c r="P1357" i="41"/>
  <c r="Q1357" i="41"/>
  <c r="R1357" i="41"/>
  <c r="S1357" i="41"/>
  <c r="J1358" i="41"/>
  <c r="K1358" i="41"/>
  <c r="L1358" i="41"/>
  <c r="M1358" i="41"/>
  <c r="N1358" i="41"/>
  <c r="O1358" i="41"/>
  <c r="P1358" i="41"/>
  <c r="Q1358" i="41"/>
  <c r="R1358" i="41"/>
  <c r="S1358" i="41"/>
  <c r="J1359" i="41"/>
  <c r="K1359" i="41"/>
  <c r="L1359" i="41"/>
  <c r="M1359" i="41"/>
  <c r="N1359" i="41"/>
  <c r="O1359" i="41"/>
  <c r="P1359" i="41"/>
  <c r="Q1359" i="41"/>
  <c r="R1359" i="41"/>
  <c r="S1359" i="41"/>
  <c r="J1360" i="41"/>
  <c r="K1360" i="41"/>
  <c r="L1360" i="41"/>
  <c r="M1360" i="41"/>
  <c r="N1360" i="41"/>
  <c r="O1360" i="41"/>
  <c r="P1360" i="41"/>
  <c r="Q1360" i="41"/>
  <c r="R1360" i="41"/>
  <c r="S1360" i="41"/>
  <c r="J1361" i="41"/>
  <c r="K1361" i="41"/>
  <c r="L1361" i="41"/>
  <c r="M1361" i="41"/>
  <c r="N1361" i="41"/>
  <c r="O1361" i="41"/>
  <c r="P1361" i="41"/>
  <c r="Q1361" i="41"/>
  <c r="R1361" i="41"/>
  <c r="S1361" i="41"/>
  <c r="K1362" i="41"/>
  <c r="L1362" i="41"/>
  <c r="M1362" i="41"/>
  <c r="N1362" i="41"/>
  <c r="O1362" i="41"/>
  <c r="P1362" i="41"/>
  <c r="Q1362" i="41"/>
  <c r="R1362" i="41"/>
  <c r="S1362" i="41"/>
  <c r="J1363" i="41"/>
  <c r="K1363" i="41"/>
  <c r="L1363" i="41"/>
  <c r="M1363" i="41"/>
  <c r="N1363" i="41"/>
  <c r="O1363" i="41"/>
  <c r="P1363" i="41"/>
  <c r="Q1363" i="41"/>
  <c r="R1363" i="41"/>
  <c r="S1363" i="41"/>
  <c r="J1364" i="41"/>
  <c r="K1364" i="41"/>
  <c r="L1364" i="41"/>
  <c r="M1364" i="41"/>
  <c r="N1364" i="41"/>
  <c r="O1364" i="41"/>
  <c r="P1364" i="41"/>
  <c r="Q1364" i="41"/>
  <c r="R1364" i="41"/>
  <c r="S1364" i="41"/>
  <c r="J1365" i="41"/>
  <c r="K1365" i="41"/>
  <c r="L1365" i="41"/>
  <c r="M1365" i="41"/>
  <c r="N1365" i="41"/>
  <c r="O1365" i="41"/>
  <c r="P1365" i="41"/>
  <c r="Q1365" i="41"/>
  <c r="R1365" i="41"/>
  <c r="S1365" i="41"/>
  <c r="J1366" i="41"/>
  <c r="K1366" i="41"/>
  <c r="L1366" i="41"/>
  <c r="M1366" i="41"/>
  <c r="N1366" i="41"/>
  <c r="O1366" i="41"/>
  <c r="P1366" i="41"/>
  <c r="Q1366" i="41"/>
  <c r="R1366" i="41"/>
  <c r="S1366" i="41"/>
  <c r="J1367" i="41"/>
  <c r="K1367" i="41"/>
  <c r="L1367" i="41"/>
  <c r="M1367" i="41"/>
  <c r="N1367" i="41"/>
  <c r="O1367" i="41"/>
  <c r="P1367" i="41"/>
  <c r="Q1367" i="41"/>
  <c r="R1367" i="41"/>
  <c r="S1367" i="41"/>
  <c r="J1368" i="41"/>
  <c r="K1368" i="41"/>
  <c r="L1368" i="41"/>
  <c r="M1368" i="41"/>
  <c r="N1368" i="41"/>
  <c r="O1368" i="41"/>
  <c r="P1368" i="41"/>
  <c r="Q1368" i="41"/>
  <c r="R1368" i="41"/>
  <c r="S1368" i="41"/>
  <c r="J1369" i="41"/>
  <c r="K1369" i="41"/>
  <c r="L1369" i="41"/>
  <c r="M1369" i="41"/>
  <c r="N1369" i="41"/>
  <c r="O1369" i="41"/>
  <c r="P1369" i="41"/>
  <c r="Q1369" i="41"/>
  <c r="R1369" i="41"/>
  <c r="S1369" i="41"/>
  <c r="J1370" i="41"/>
  <c r="K1370" i="41"/>
  <c r="L1370" i="41"/>
  <c r="M1370" i="41"/>
  <c r="N1370" i="41"/>
  <c r="O1370" i="41"/>
  <c r="P1370" i="41"/>
  <c r="Q1370" i="41"/>
  <c r="R1370" i="41"/>
  <c r="S1370" i="41"/>
  <c r="J1371" i="41"/>
  <c r="K1371" i="41"/>
  <c r="L1371" i="41"/>
  <c r="M1371" i="41"/>
  <c r="N1371" i="41"/>
  <c r="O1371" i="41"/>
  <c r="P1371" i="41"/>
  <c r="Q1371" i="41"/>
  <c r="R1371" i="41"/>
  <c r="S1371" i="41"/>
  <c r="J1372" i="41"/>
  <c r="K1372" i="41"/>
  <c r="L1372" i="41"/>
  <c r="M1372" i="41"/>
  <c r="N1372" i="41"/>
  <c r="O1372" i="41"/>
  <c r="P1372" i="41"/>
  <c r="Q1372" i="41"/>
  <c r="R1372" i="41"/>
  <c r="S1372" i="41"/>
  <c r="J1373" i="41"/>
  <c r="K1373" i="41"/>
  <c r="L1373" i="41"/>
  <c r="M1373" i="41"/>
  <c r="N1373" i="41"/>
  <c r="O1373" i="41"/>
  <c r="P1373" i="41"/>
  <c r="Q1373" i="41"/>
  <c r="R1373" i="41"/>
  <c r="S1373" i="41"/>
  <c r="J1374" i="41"/>
  <c r="K1374" i="41"/>
  <c r="L1374" i="41"/>
  <c r="M1374" i="41"/>
  <c r="N1374" i="41"/>
  <c r="O1374" i="41"/>
  <c r="P1374" i="41"/>
  <c r="Q1374" i="41"/>
  <c r="R1374" i="41"/>
  <c r="S1374" i="41"/>
  <c r="J1375" i="41"/>
  <c r="K1375" i="41"/>
  <c r="L1375" i="41"/>
  <c r="M1375" i="41"/>
  <c r="N1375" i="41"/>
  <c r="O1375" i="41"/>
  <c r="P1375" i="41"/>
  <c r="Q1375" i="41"/>
  <c r="R1375" i="41"/>
  <c r="S1375" i="41"/>
  <c r="J1376" i="41"/>
  <c r="K1376" i="41"/>
  <c r="L1376" i="41"/>
  <c r="M1376" i="41"/>
  <c r="N1376" i="41"/>
  <c r="O1376" i="41"/>
  <c r="P1376" i="41"/>
  <c r="Q1376" i="41"/>
  <c r="R1376" i="41"/>
  <c r="S1376" i="41"/>
  <c r="J1377" i="41"/>
  <c r="K1377" i="41"/>
  <c r="L1377" i="41"/>
  <c r="M1377" i="41"/>
  <c r="N1377" i="41"/>
  <c r="O1377" i="41"/>
  <c r="P1377" i="41"/>
  <c r="Q1377" i="41"/>
  <c r="R1377" i="41"/>
  <c r="S1377" i="41"/>
  <c r="J1378" i="41"/>
  <c r="K1378" i="41"/>
  <c r="L1378" i="41"/>
  <c r="M1378" i="41"/>
  <c r="N1378" i="41"/>
  <c r="O1378" i="41"/>
  <c r="P1378" i="41"/>
  <c r="Q1378" i="41"/>
  <c r="R1378" i="41"/>
  <c r="S1378" i="41"/>
  <c r="J1379" i="41"/>
  <c r="K1379" i="41"/>
  <c r="L1379" i="41"/>
  <c r="M1379" i="41"/>
  <c r="N1379" i="41"/>
  <c r="O1379" i="41"/>
  <c r="P1379" i="41"/>
  <c r="Q1379" i="41"/>
  <c r="R1379" i="41"/>
  <c r="S1379" i="41"/>
  <c r="J1380" i="41"/>
  <c r="K1380" i="41"/>
  <c r="L1380" i="41"/>
  <c r="M1380" i="41"/>
  <c r="N1380" i="41"/>
  <c r="O1380" i="41"/>
  <c r="P1380" i="41"/>
  <c r="Q1380" i="41"/>
  <c r="R1380" i="41"/>
  <c r="S1380" i="41"/>
  <c r="J1381" i="41"/>
  <c r="K1381" i="41"/>
  <c r="L1381" i="41"/>
  <c r="M1381" i="41"/>
  <c r="N1381" i="41"/>
  <c r="O1381" i="41"/>
  <c r="P1381" i="41"/>
  <c r="Q1381" i="41"/>
  <c r="R1381" i="41"/>
  <c r="S1381" i="41"/>
  <c r="J1382" i="41"/>
  <c r="K1382" i="41"/>
  <c r="L1382" i="41"/>
  <c r="M1382" i="41"/>
  <c r="N1382" i="41"/>
  <c r="O1382" i="41"/>
  <c r="P1382" i="41"/>
  <c r="Q1382" i="41"/>
  <c r="R1382" i="41"/>
  <c r="S1382" i="41"/>
  <c r="J1383" i="41"/>
  <c r="K1383" i="41"/>
  <c r="L1383" i="41"/>
  <c r="M1383" i="41"/>
  <c r="N1383" i="41"/>
  <c r="O1383" i="41"/>
  <c r="P1383" i="41"/>
  <c r="Q1383" i="41"/>
  <c r="R1383" i="41"/>
  <c r="S1383" i="41"/>
  <c r="J1384" i="41"/>
  <c r="K1384" i="41"/>
  <c r="L1384" i="41"/>
  <c r="M1384" i="41"/>
  <c r="N1384" i="41"/>
  <c r="O1384" i="41"/>
  <c r="P1384" i="41"/>
  <c r="Q1384" i="41"/>
  <c r="R1384" i="41"/>
  <c r="S1384" i="41"/>
  <c r="J1385" i="41"/>
  <c r="K1385" i="41"/>
  <c r="L1385" i="41"/>
  <c r="M1385" i="41"/>
  <c r="N1385" i="41"/>
  <c r="O1385" i="41"/>
  <c r="P1385" i="41"/>
  <c r="Q1385" i="41"/>
  <c r="R1385" i="41"/>
  <c r="S1385" i="41"/>
  <c r="J1386" i="41"/>
  <c r="K1386" i="41"/>
  <c r="L1386" i="41"/>
  <c r="M1386" i="41"/>
  <c r="N1386" i="41"/>
  <c r="O1386" i="41"/>
  <c r="P1386" i="41"/>
  <c r="Q1386" i="41"/>
  <c r="R1386" i="41"/>
  <c r="S1386" i="41"/>
  <c r="J1387" i="41"/>
  <c r="K1387" i="41"/>
  <c r="L1387" i="41"/>
  <c r="M1387" i="41"/>
  <c r="N1387" i="41"/>
  <c r="O1387" i="41"/>
  <c r="P1387" i="41"/>
  <c r="Q1387" i="41"/>
  <c r="R1387" i="41"/>
  <c r="S1387" i="41"/>
  <c r="J1388" i="41"/>
  <c r="K1388" i="41"/>
  <c r="L1388" i="41"/>
  <c r="M1388" i="41"/>
  <c r="N1388" i="41"/>
  <c r="O1388" i="41"/>
  <c r="P1388" i="41"/>
  <c r="Q1388" i="41"/>
  <c r="R1388" i="41"/>
  <c r="S1388" i="41"/>
  <c r="J1389" i="41"/>
  <c r="K1389" i="41"/>
  <c r="L1389" i="41"/>
  <c r="M1389" i="41"/>
  <c r="N1389" i="41"/>
  <c r="O1389" i="41"/>
  <c r="P1389" i="41"/>
  <c r="Q1389" i="41"/>
  <c r="R1389" i="41"/>
  <c r="S1389" i="41"/>
  <c r="J1390" i="41"/>
  <c r="K1390" i="41"/>
  <c r="L1390" i="41"/>
  <c r="M1390" i="41"/>
  <c r="N1390" i="41"/>
  <c r="O1390" i="41"/>
  <c r="P1390" i="41"/>
  <c r="Q1390" i="41"/>
  <c r="R1390" i="41"/>
  <c r="S1390" i="41"/>
  <c r="J1391" i="41"/>
  <c r="K1391" i="41"/>
  <c r="L1391" i="41"/>
  <c r="M1391" i="41"/>
  <c r="N1391" i="41"/>
  <c r="O1391" i="41"/>
  <c r="P1391" i="41"/>
  <c r="Q1391" i="41"/>
  <c r="R1391" i="41"/>
  <c r="S1391" i="41"/>
  <c r="J1392" i="41"/>
  <c r="K1392" i="41"/>
  <c r="L1392" i="41"/>
  <c r="M1392" i="41"/>
  <c r="N1392" i="41"/>
  <c r="O1392" i="41"/>
  <c r="P1392" i="41"/>
  <c r="Q1392" i="41"/>
  <c r="R1392" i="41"/>
  <c r="S1392" i="41"/>
  <c r="J1393" i="41"/>
  <c r="K1393" i="41"/>
  <c r="L1393" i="41"/>
  <c r="M1393" i="41"/>
  <c r="N1393" i="41"/>
  <c r="O1393" i="41"/>
  <c r="P1393" i="41"/>
  <c r="Q1393" i="41"/>
  <c r="R1393" i="41"/>
  <c r="S1393" i="41"/>
  <c r="J1394" i="41"/>
  <c r="K1394" i="41"/>
  <c r="L1394" i="41"/>
  <c r="M1394" i="41"/>
  <c r="N1394" i="41"/>
  <c r="O1394" i="41"/>
  <c r="P1394" i="41"/>
  <c r="Q1394" i="41"/>
  <c r="R1394" i="41"/>
  <c r="S1394" i="41"/>
  <c r="J1395" i="41"/>
  <c r="K1395" i="41"/>
  <c r="L1395" i="41"/>
  <c r="M1395" i="41"/>
  <c r="N1395" i="41"/>
  <c r="O1395" i="41"/>
  <c r="P1395" i="41"/>
  <c r="Q1395" i="41"/>
  <c r="R1395" i="41"/>
  <c r="S1395" i="41"/>
  <c r="J1396" i="41"/>
  <c r="K1396" i="41"/>
  <c r="L1396" i="41"/>
  <c r="M1396" i="41"/>
  <c r="N1396" i="41"/>
  <c r="O1396" i="41"/>
  <c r="P1396" i="41"/>
  <c r="Q1396" i="41"/>
  <c r="R1396" i="41"/>
  <c r="S1396" i="41"/>
  <c r="J1397" i="41"/>
  <c r="K1397" i="41"/>
  <c r="L1397" i="41"/>
  <c r="M1397" i="41"/>
  <c r="N1397" i="41"/>
  <c r="O1397" i="41"/>
  <c r="P1397" i="41"/>
  <c r="Q1397" i="41"/>
  <c r="R1397" i="41"/>
  <c r="S1397" i="41"/>
  <c r="J1398" i="41"/>
  <c r="K1398" i="41"/>
  <c r="L1398" i="41"/>
  <c r="M1398" i="41"/>
  <c r="N1398" i="41"/>
  <c r="O1398" i="41"/>
  <c r="P1398" i="41"/>
  <c r="Q1398" i="41"/>
  <c r="R1398" i="41"/>
  <c r="S1398" i="41"/>
  <c r="J1399" i="41"/>
  <c r="K1399" i="41"/>
  <c r="L1399" i="41"/>
  <c r="M1399" i="41"/>
  <c r="N1399" i="41"/>
  <c r="O1399" i="41"/>
  <c r="P1399" i="41"/>
  <c r="Q1399" i="41"/>
  <c r="R1399" i="41"/>
  <c r="S1399" i="41"/>
  <c r="J1400" i="41"/>
  <c r="K1400" i="41"/>
  <c r="L1400" i="41"/>
  <c r="M1400" i="41"/>
  <c r="N1400" i="41"/>
  <c r="O1400" i="41"/>
  <c r="P1400" i="41"/>
  <c r="Q1400" i="41"/>
  <c r="R1400" i="41"/>
  <c r="S1400" i="41"/>
  <c r="J1401" i="41"/>
  <c r="K1401" i="41"/>
  <c r="L1401" i="41"/>
  <c r="M1401" i="41"/>
  <c r="N1401" i="41"/>
  <c r="O1401" i="41"/>
  <c r="P1401" i="41"/>
  <c r="Q1401" i="41"/>
  <c r="R1401" i="41"/>
  <c r="S1401" i="41"/>
  <c r="J1402" i="41"/>
  <c r="K1402" i="41"/>
  <c r="L1402" i="41"/>
  <c r="M1402" i="41"/>
  <c r="N1402" i="41"/>
  <c r="O1402" i="41"/>
  <c r="P1402" i="41"/>
  <c r="Q1402" i="41"/>
  <c r="R1402" i="41"/>
  <c r="S1402" i="41"/>
  <c r="J1403" i="41"/>
  <c r="K1403" i="41"/>
  <c r="L1403" i="41"/>
  <c r="M1403" i="41"/>
  <c r="N1403" i="41"/>
  <c r="O1403" i="41"/>
  <c r="P1403" i="41"/>
  <c r="Q1403" i="41"/>
  <c r="R1403" i="41"/>
  <c r="S1403" i="41"/>
  <c r="J1404" i="41"/>
  <c r="K1404" i="41"/>
  <c r="L1404" i="41"/>
  <c r="M1404" i="41"/>
  <c r="N1404" i="41"/>
  <c r="O1404" i="41"/>
  <c r="P1404" i="41"/>
  <c r="Q1404" i="41"/>
  <c r="R1404" i="41"/>
  <c r="S1404" i="41"/>
  <c r="J1405" i="41"/>
  <c r="K1405" i="41"/>
  <c r="L1405" i="41"/>
  <c r="M1405" i="41"/>
  <c r="N1405" i="41"/>
  <c r="O1405" i="41"/>
  <c r="P1405" i="41"/>
  <c r="Q1405" i="41"/>
  <c r="R1405" i="41"/>
  <c r="S1405" i="41"/>
  <c r="J1406" i="41"/>
  <c r="K1406" i="41"/>
  <c r="L1406" i="41"/>
  <c r="M1406" i="41"/>
  <c r="N1406" i="41"/>
  <c r="O1406" i="41"/>
  <c r="P1406" i="41"/>
  <c r="Q1406" i="41"/>
  <c r="R1406" i="41"/>
  <c r="S1406" i="41"/>
  <c r="J1407" i="41"/>
  <c r="K1407" i="41"/>
  <c r="L1407" i="41"/>
  <c r="M1407" i="41"/>
  <c r="N1407" i="41"/>
  <c r="O1407" i="41"/>
  <c r="P1407" i="41"/>
  <c r="Q1407" i="41"/>
  <c r="R1407" i="41"/>
  <c r="S1407" i="41"/>
  <c r="J1408" i="41"/>
  <c r="K1408" i="41"/>
  <c r="L1408" i="41"/>
  <c r="M1408" i="41"/>
  <c r="N1408" i="41"/>
  <c r="O1408" i="41"/>
  <c r="P1408" i="41"/>
  <c r="Q1408" i="41"/>
  <c r="R1408" i="41"/>
  <c r="S1408" i="41"/>
  <c r="J1409" i="41"/>
  <c r="K1409" i="41"/>
  <c r="L1409" i="41"/>
  <c r="M1409" i="41"/>
  <c r="N1409" i="41"/>
  <c r="O1409" i="41"/>
  <c r="P1409" i="41"/>
  <c r="Q1409" i="41"/>
  <c r="R1409" i="41"/>
  <c r="S1409" i="41"/>
  <c r="J1410" i="41"/>
  <c r="K1410" i="41"/>
  <c r="L1410" i="41"/>
  <c r="M1410" i="41"/>
  <c r="N1410" i="41"/>
  <c r="O1410" i="41"/>
  <c r="P1410" i="41"/>
  <c r="Q1410" i="41"/>
  <c r="R1410" i="41"/>
  <c r="S1410" i="41"/>
  <c r="J1411" i="41"/>
  <c r="K1411" i="41"/>
  <c r="L1411" i="41"/>
  <c r="M1411" i="41"/>
  <c r="N1411" i="41"/>
  <c r="O1411" i="41"/>
  <c r="P1411" i="41"/>
  <c r="Q1411" i="41"/>
  <c r="R1411" i="41"/>
  <c r="S1411" i="41"/>
  <c r="J1412" i="41"/>
  <c r="K1412" i="41"/>
  <c r="L1412" i="41"/>
  <c r="M1412" i="41"/>
  <c r="N1412" i="41"/>
  <c r="O1412" i="41"/>
  <c r="P1412" i="41"/>
  <c r="Q1412" i="41"/>
  <c r="R1412" i="41"/>
  <c r="S1412" i="41"/>
  <c r="J1413" i="41"/>
  <c r="K1413" i="41"/>
  <c r="L1413" i="41"/>
  <c r="M1413" i="41"/>
  <c r="N1413" i="41"/>
  <c r="O1413" i="41"/>
  <c r="P1413" i="41"/>
  <c r="Q1413" i="41"/>
  <c r="R1413" i="41"/>
  <c r="S1413" i="41"/>
  <c r="J1414" i="41"/>
  <c r="K1414" i="41"/>
  <c r="L1414" i="41"/>
  <c r="M1414" i="41"/>
  <c r="N1414" i="41"/>
  <c r="O1414" i="41"/>
  <c r="P1414" i="41"/>
  <c r="Q1414" i="41"/>
  <c r="R1414" i="41"/>
  <c r="S1414" i="41"/>
  <c r="J1415" i="41"/>
  <c r="K1415" i="41"/>
  <c r="L1415" i="41"/>
  <c r="M1415" i="41"/>
  <c r="N1415" i="41"/>
  <c r="O1415" i="41"/>
  <c r="P1415" i="41"/>
  <c r="Q1415" i="41"/>
  <c r="R1415" i="41"/>
  <c r="S1415" i="41"/>
  <c r="J1416" i="41"/>
  <c r="K1416" i="41"/>
  <c r="L1416" i="41"/>
  <c r="M1416" i="41"/>
  <c r="N1416" i="41"/>
  <c r="O1416" i="41"/>
  <c r="P1416" i="41"/>
  <c r="Q1416" i="41"/>
  <c r="R1416" i="41"/>
  <c r="S1416" i="41"/>
  <c r="J1417" i="41"/>
  <c r="K1417" i="41"/>
  <c r="L1417" i="41"/>
  <c r="M1417" i="41"/>
  <c r="N1417" i="41"/>
  <c r="O1417" i="41"/>
  <c r="P1417" i="41"/>
  <c r="Q1417" i="41"/>
  <c r="R1417" i="41"/>
  <c r="S1417" i="41"/>
  <c r="J1418" i="41"/>
  <c r="K1418" i="41"/>
  <c r="L1418" i="41"/>
  <c r="M1418" i="41"/>
  <c r="N1418" i="41"/>
  <c r="O1418" i="41"/>
  <c r="P1418" i="41"/>
  <c r="Q1418" i="41"/>
  <c r="R1418" i="41"/>
  <c r="S1418" i="41"/>
  <c r="J1419" i="41"/>
  <c r="K1419" i="41"/>
  <c r="L1419" i="41"/>
  <c r="M1419" i="41"/>
  <c r="N1419" i="41"/>
  <c r="O1419" i="41"/>
  <c r="P1419" i="41"/>
  <c r="Q1419" i="41"/>
  <c r="R1419" i="41"/>
  <c r="S1419" i="41"/>
  <c r="J1420" i="41"/>
  <c r="K1420" i="41"/>
  <c r="L1420" i="41"/>
  <c r="M1420" i="41"/>
  <c r="N1420" i="41"/>
  <c r="O1420" i="41"/>
  <c r="P1420" i="41"/>
  <c r="Q1420" i="41"/>
  <c r="R1420" i="41"/>
  <c r="S1420" i="41"/>
  <c r="J1421" i="41"/>
  <c r="K1421" i="41"/>
  <c r="L1421" i="41"/>
  <c r="M1421" i="41"/>
  <c r="N1421" i="41"/>
  <c r="O1421" i="41"/>
  <c r="P1421" i="41"/>
  <c r="Q1421" i="41"/>
  <c r="R1421" i="41"/>
  <c r="S1421" i="41"/>
  <c r="J1422" i="41"/>
  <c r="K1422" i="41"/>
  <c r="L1422" i="41"/>
  <c r="M1422" i="41"/>
  <c r="N1422" i="41"/>
  <c r="O1422" i="41"/>
  <c r="P1422" i="41"/>
  <c r="Q1422" i="41"/>
  <c r="R1422" i="41"/>
  <c r="S1422" i="41"/>
  <c r="J1423" i="41"/>
  <c r="K1423" i="41"/>
  <c r="L1423" i="41"/>
  <c r="M1423" i="41"/>
  <c r="N1423" i="41"/>
  <c r="O1423" i="41"/>
  <c r="P1423" i="41"/>
  <c r="Q1423" i="41"/>
  <c r="R1423" i="41"/>
  <c r="S1423" i="41"/>
  <c r="J1424" i="41"/>
  <c r="K1424" i="41"/>
  <c r="L1424" i="41"/>
  <c r="M1424" i="41"/>
  <c r="N1424" i="41"/>
  <c r="O1424" i="41"/>
  <c r="P1424" i="41"/>
  <c r="Q1424" i="41"/>
  <c r="R1424" i="41"/>
  <c r="S1424" i="41"/>
  <c r="J1425" i="41"/>
  <c r="K1425" i="41"/>
  <c r="L1425" i="41"/>
  <c r="M1425" i="41"/>
  <c r="N1425" i="41"/>
  <c r="O1425" i="41"/>
  <c r="P1425" i="41"/>
  <c r="Q1425" i="41"/>
  <c r="R1425" i="41"/>
  <c r="S1425" i="41"/>
  <c r="J1426" i="41"/>
  <c r="K1426" i="41"/>
  <c r="L1426" i="41"/>
  <c r="M1426" i="41"/>
  <c r="N1426" i="41"/>
  <c r="O1426" i="41"/>
  <c r="P1426" i="41"/>
  <c r="Q1426" i="41"/>
  <c r="R1426" i="41"/>
  <c r="S1426" i="41"/>
  <c r="J1427" i="41"/>
  <c r="K1427" i="41"/>
  <c r="L1427" i="41"/>
  <c r="M1427" i="41"/>
  <c r="N1427" i="41"/>
  <c r="O1427" i="41"/>
  <c r="P1427" i="41"/>
  <c r="Q1427" i="41"/>
  <c r="R1427" i="41"/>
  <c r="S1427" i="41"/>
  <c r="J1428" i="41"/>
  <c r="K1428" i="41"/>
  <c r="L1428" i="41"/>
  <c r="M1428" i="41"/>
  <c r="N1428" i="41"/>
  <c r="O1428" i="41"/>
  <c r="P1428" i="41"/>
  <c r="Q1428" i="41"/>
  <c r="R1428" i="41"/>
  <c r="S1428" i="41"/>
  <c r="J1429" i="41"/>
  <c r="K1429" i="41"/>
  <c r="L1429" i="41"/>
  <c r="M1429" i="41"/>
  <c r="N1429" i="41"/>
  <c r="O1429" i="41"/>
  <c r="P1429" i="41"/>
  <c r="Q1429" i="41"/>
  <c r="R1429" i="41"/>
  <c r="S1429" i="41"/>
  <c r="J1430" i="41"/>
  <c r="K1430" i="41"/>
  <c r="L1430" i="41"/>
  <c r="M1430" i="41"/>
  <c r="N1430" i="41"/>
  <c r="O1430" i="41"/>
  <c r="P1430" i="41"/>
  <c r="Q1430" i="41"/>
  <c r="R1430" i="41"/>
  <c r="S1430" i="41"/>
  <c r="J1431" i="41"/>
  <c r="K1431" i="41"/>
  <c r="L1431" i="41"/>
  <c r="M1431" i="41"/>
  <c r="N1431" i="41"/>
  <c r="O1431" i="41"/>
  <c r="P1431" i="41"/>
  <c r="Q1431" i="41"/>
  <c r="R1431" i="41"/>
  <c r="S1431" i="41"/>
  <c r="J1432" i="41"/>
  <c r="K1432" i="41"/>
  <c r="L1432" i="41"/>
  <c r="M1432" i="41"/>
  <c r="N1432" i="41"/>
  <c r="O1432" i="41"/>
  <c r="P1432" i="41"/>
  <c r="Q1432" i="41"/>
  <c r="R1432" i="41"/>
  <c r="S1432" i="41"/>
  <c r="J1433" i="41"/>
  <c r="K1433" i="41"/>
  <c r="L1433" i="41"/>
  <c r="M1433" i="41"/>
  <c r="N1433" i="41"/>
  <c r="O1433" i="41"/>
  <c r="P1433" i="41"/>
  <c r="Q1433" i="41"/>
  <c r="R1433" i="41"/>
  <c r="S1433" i="41"/>
  <c r="J1434" i="41"/>
  <c r="K1434" i="41"/>
  <c r="L1434" i="41"/>
  <c r="M1434" i="41"/>
  <c r="N1434" i="41"/>
  <c r="O1434" i="41"/>
  <c r="P1434" i="41"/>
  <c r="Q1434" i="41"/>
  <c r="R1434" i="41"/>
  <c r="S1434" i="41"/>
  <c r="J1435" i="41"/>
  <c r="K1435" i="41"/>
  <c r="L1435" i="41"/>
  <c r="M1435" i="41"/>
  <c r="N1435" i="41"/>
  <c r="O1435" i="41"/>
  <c r="P1435" i="41"/>
  <c r="Q1435" i="41"/>
  <c r="R1435" i="41"/>
  <c r="S1435" i="41"/>
  <c r="J1436" i="41"/>
  <c r="K1436" i="41"/>
  <c r="L1436" i="41"/>
  <c r="M1436" i="41"/>
  <c r="N1436" i="41"/>
  <c r="O1436" i="41"/>
  <c r="P1436" i="41"/>
  <c r="Q1436" i="41"/>
  <c r="R1436" i="41"/>
  <c r="S1436" i="41"/>
  <c r="J1437" i="41"/>
  <c r="K1437" i="41"/>
  <c r="L1437" i="41"/>
  <c r="M1437" i="41"/>
  <c r="N1437" i="41"/>
  <c r="O1437" i="41"/>
  <c r="P1437" i="41"/>
  <c r="Q1437" i="41"/>
  <c r="R1437" i="41"/>
  <c r="S1437" i="41"/>
  <c r="J1438" i="41"/>
  <c r="K1438" i="41"/>
  <c r="L1438" i="41"/>
  <c r="M1438" i="41"/>
  <c r="N1438" i="41"/>
  <c r="O1438" i="41"/>
  <c r="P1438" i="41"/>
  <c r="Q1438" i="41"/>
  <c r="R1438" i="41"/>
  <c r="S1438" i="41"/>
  <c r="J1439" i="41"/>
  <c r="K1439" i="41"/>
  <c r="L1439" i="41"/>
  <c r="M1439" i="41"/>
  <c r="N1439" i="41"/>
  <c r="O1439" i="41"/>
  <c r="P1439" i="41"/>
  <c r="Q1439" i="41"/>
  <c r="R1439" i="41"/>
  <c r="S1439" i="41"/>
  <c r="J1440" i="41"/>
  <c r="K1440" i="41"/>
  <c r="L1440" i="41"/>
  <c r="M1440" i="41"/>
  <c r="N1440" i="41"/>
  <c r="O1440" i="41"/>
  <c r="P1440" i="41"/>
  <c r="Q1440" i="41"/>
  <c r="R1440" i="41"/>
  <c r="S1440" i="41"/>
  <c r="J1441" i="41"/>
  <c r="K1441" i="41"/>
  <c r="L1441" i="41"/>
  <c r="M1441" i="41"/>
  <c r="N1441" i="41"/>
  <c r="O1441" i="41"/>
  <c r="P1441" i="41"/>
  <c r="Q1441" i="41"/>
  <c r="R1441" i="41"/>
  <c r="S1441" i="41"/>
  <c r="J1442" i="41"/>
  <c r="K1442" i="41"/>
  <c r="L1442" i="41"/>
  <c r="M1442" i="41"/>
  <c r="N1442" i="41"/>
  <c r="O1442" i="41"/>
  <c r="P1442" i="41"/>
  <c r="Q1442" i="41"/>
  <c r="R1442" i="41"/>
  <c r="S1442" i="41"/>
  <c r="J1443" i="41"/>
  <c r="K1443" i="41"/>
  <c r="L1443" i="41"/>
  <c r="M1443" i="41"/>
  <c r="N1443" i="41"/>
  <c r="O1443" i="41"/>
  <c r="P1443" i="41"/>
  <c r="Q1443" i="41"/>
  <c r="R1443" i="41"/>
  <c r="S1443" i="41"/>
  <c r="J1444" i="41"/>
  <c r="K1444" i="41"/>
  <c r="L1444" i="41"/>
  <c r="M1444" i="41"/>
  <c r="N1444" i="41"/>
  <c r="O1444" i="41"/>
  <c r="P1444" i="41"/>
  <c r="Q1444" i="41"/>
  <c r="R1444" i="41"/>
  <c r="S1444" i="41"/>
  <c r="J1445" i="41"/>
  <c r="K1445" i="41"/>
  <c r="L1445" i="41"/>
  <c r="M1445" i="41"/>
  <c r="N1445" i="41"/>
  <c r="O1445" i="41"/>
  <c r="P1445" i="41"/>
  <c r="Q1445" i="41"/>
  <c r="R1445" i="41"/>
  <c r="S1445" i="41"/>
  <c r="J1446" i="41"/>
  <c r="K1446" i="41"/>
  <c r="L1446" i="41"/>
  <c r="M1446" i="41"/>
  <c r="N1446" i="41"/>
  <c r="O1446" i="41"/>
  <c r="P1446" i="41"/>
  <c r="Q1446" i="41"/>
  <c r="R1446" i="41"/>
  <c r="S1446" i="41"/>
  <c r="J1447" i="41"/>
  <c r="K1447" i="41"/>
  <c r="L1447" i="41"/>
  <c r="M1447" i="41"/>
  <c r="N1447" i="41"/>
  <c r="O1447" i="41"/>
  <c r="P1447" i="41"/>
  <c r="Q1447" i="41"/>
  <c r="R1447" i="41"/>
  <c r="S1447" i="41"/>
  <c r="J1448" i="41"/>
  <c r="K1448" i="41"/>
  <c r="L1448" i="41"/>
  <c r="M1448" i="41"/>
  <c r="N1448" i="41"/>
  <c r="O1448" i="41"/>
  <c r="P1448" i="41"/>
  <c r="Q1448" i="41"/>
  <c r="R1448" i="41"/>
  <c r="S1448" i="41"/>
  <c r="J1449" i="41"/>
  <c r="K1449" i="41"/>
  <c r="L1449" i="41"/>
  <c r="M1449" i="41"/>
  <c r="N1449" i="41"/>
  <c r="O1449" i="41"/>
  <c r="P1449" i="41"/>
  <c r="Q1449" i="41"/>
  <c r="R1449" i="41"/>
  <c r="S1449" i="41"/>
  <c r="J1450" i="41"/>
  <c r="K1450" i="41"/>
  <c r="L1450" i="41"/>
  <c r="M1450" i="41"/>
  <c r="N1450" i="41"/>
  <c r="O1450" i="41"/>
  <c r="P1450" i="41"/>
  <c r="Q1450" i="41"/>
  <c r="R1450" i="41"/>
  <c r="S1450" i="41"/>
  <c r="J1451" i="41"/>
  <c r="K1451" i="41"/>
  <c r="L1451" i="41"/>
  <c r="M1451" i="41"/>
  <c r="N1451" i="41"/>
  <c r="O1451" i="41"/>
  <c r="P1451" i="41"/>
  <c r="Q1451" i="41"/>
  <c r="R1451" i="41"/>
  <c r="S1451" i="41"/>
  <c r="J1452" i="41"/>
  <c r="K1452" i="41"/>
  <c r="L1452" i="41"/>
  <c r="M1452" i="41"/>
  <c r="N1452" i="41"/>
  <c r="O1452" i="41"/>
  <c r="P1452" i="41"/>
  <c r="Q1452" i="41"/>
  <c r="R1452" i="41"/>
  <c r="S1452" i="41"/>
  <c r="J1453" i="41"/>
  <c r="K1453" i="41"/>
  <c r="L1453" i="41"/>
  <c r="M1453" i="41"/>
  <c r="N1453" i="41"/>
  <c r="O1453" i="41"/>
  <c r="P1453" i="41"/>
  <c r="Q1453" i="41"/>
  <c r="R1453" i="41"/>
  <c r="S1453" i="41"/>
  <c r="J1454" i="41"/>
  <c r="K1454" i="41"/>
  <c r="L1454" i="41"/>
  <c r="M1454" i="41"/>
  <c r="N1454" i="41"/>
  <c r="O1454" i="41"/>
  <c r="P1454" i="41"/>
  <c r="Q1454" i="41"/>
  <c r="R1454" i="41"/>
  <c r="S1454" i="41"/>
  <c r="J1455" i="41"/>
  <c r="K1455" i="41"/>
  <c r="L1455" i="41"/>
  <c r="M1455" i="41"/>
  <c r="N1455" i="41"/>
  <c r="O1455" i="41"/>
  <c r="P1455" i="41"/>
  <c r="Q1455" i="41"/>
  <c r="R1455" i="41"/>
  <c r="S1455" i="41"/>
  <c r="J1456" i="41"/>
  <c r="K1456" i="41"/>
  <c r="L1456" i="41"/>
  <c r="M1456" i="41"/>
  <c r="N1456" i="41"/>
  <c r="O1456" i="41"/>
  <c r="P1456" i="41"/>
  <c r="Q1456" i="41"/>
  <c r="R1456" i="41"/>
  <c r="S1456" i="41"/>
  <c r="J1457" i="41"/>
  <c r="K1457" i="41"/>
  <c r="L1457" i="41"/>
  <c r="M1457" i="41"/>
  <c r="N1457" i="41"/>
  <c r="O1457" i="41"/>
  <c r="P1457" i="41"/>
  <c r="Q1457" i="41"/>
  <c r="R1457" i="41"/>
  <c r="S1457" i="41"/>
  <c r="J1458" i="41"/>
  <c r="K1458" i="41"/>
  <c r="L1458" i="41"/>
  <c r="M1458" i="41"/>
  <c r="N1458" i="41"/>
  <c r="O1458" i="41"/>
  <c r="P1458" i="41"/>
  <c r="Q1458" i="41"/>
  <c r="R1458" i="41"/>
  <c r="S1458" i="41"/>
  <c r="J1459" i="41"/>
  <c r="K1459" i="41"/>
  <c r="L1459" i="41"/>
  <c r="M1459" i="41"/>
  <c r="N1459" i="41"/>
  <c r="O1459" i="41"/>
  <c r="P1459" i="41"/>
  <c r="Q1459" i="41"/>
  <c r="R1459" i="41"/>
  <c r="S1459" i="41"/>
  <c r="J1460" i="41"/>
  <c r="K1460" i="41"/>
  <c r="L1460" i="41"/>
  <c r="M1460" i="41"/>
  <c r="N1460" i="41"/>
  <c r="O1460" i="41"/>
  <c r="P1460" i="41"/>
  <c r="Q1460" i="41"/>
  <c r="R1460" i="41"/>
  <c r="S1460" i="41"/>
  <c r="J1461" i="41"/>
  <c r="K1461" i="41"/>
  <c r="L1461" i="41"/>
  <c r="M1461" i="41"/>
  <c r="N1461" i="41"/>
  <c r="O1461" i="41"/>
  <c r="P1461" i="41"/>
  <c r="Q1461" i="41"/>
  <c r="R1461" i="41"/>
  <c r="S1461" i="41"/>
  <c r="J1462" i="41"/>
  <c r="K1462" i="41"/>
  <c r="L1462" i="41"/>
  <c r="M1462" i="41"/>
  <c r="N1462" i="41"/>
  <c r="O1462" i="41"/>
  <c r="P1462" i="41"/>
  <c r="Q1462" i="41"/>
  <c r="R1462" i="41"/>
  <c r="S1462" i="41"/>
  <c r="J1463" i="41"/>
  <c r="K1463" i="41"/>
  <c r="L1463" i="41"/>
  <c r="M1463" i="41"/>
  <c r="N1463" i="41"/>
  <c r="O1463" i="41"/>
  <c r="P1463" i="41"/>
  <c r="Q1463" i="41"/>
  <c r="R1463" i="41"/>
  <c r="S1463" i="41"/>
  <c r="J1464" i="41"/>
  <c r="K1464" i="41"/>
  <c r="L1464" i="41"/>
  <c r="M1464" i="41"/>
  <c r="N1464" i="41"/>
  <c r="O1464" i="41"/>
  <c r="P1464" i="41"/>
  <c r="Q1464" i="41"/>
  <c r="R1464" i="41"/>
  <c r="S1464" i="41"/>
  <c r="J1465" i="41"/>
  <c r="K1465" i="41"/>
  <c r="L1465" i="41"/>
  <c r="M1465" i="41"/>
  <c r="N1465" i="41"/>
  <c r="O1465" i="41"/>
  <c r="P1465" i="41"/>
  <c r="Q1465" i="41"/>
  <c r="R1465" i="41"/>
  <c r="S1465" i="41"/>
  <c r="J1466" i="41"/>
  <c r="K1466" i="41"/>
  <c r="L1466" i="41"/>
  <c r="M1466" i="41"/>
  <c r="N1466" i="41"/>
  <c r="O1466" i="41"/>
  <c r="P1466" i="41"/>
  <c r="Q1466" i="41"/>
  <c r="R1466" i="41"/>
  <c r="S1466" i="41"/>
  <c r="J1467" i="41"/>
  <c r="K1467" i="41"/>
  <c r="L1467" i="41"/>
  <c r="M1467" i="41"/>
  <c r="N1467" i="41"/>
  <c r="O1467" i="41"/>
  <c r="P1467" i="41"/>
  <c r="Q1467" i="41"/>
  <c r="R1467" i="41"/>
  <c r="S1467" i="41"/>
  <c r="J1468" i="41"/>
  <c r="K1468" i="41"/>
  <c r="L1468" i="41"/>
  <c r="M1468" i="41"/>
  <c r="N1468" i="41"/>
  <c r="O1468" i="41"/>
  <c r="P1468" i="41"/>
  <c r="Q1468" i="41"/>
  <c r="R1468" i="41"/>
  <c r="S1468" i="41"/>
  <c r="J1469" i="41"/>
  <c r="K1469" i="41"/>
  <c r="L1469" i="41"/>
  <c r="M1469" i="41"/>
  <c r="N1469" i="41"/>
  <c r="O1469" i="41"/>
  <c r="P1469" i="41"/>
  <c r="Q1469" i="41"/>
  <c r="R1469" i="41"/>
  <c r="S1469" i="41"/>
  <c r="J1470" i="41"/>
  <c r="K1470" i="41"/>
  <c r="L1470" i="41"/>
  <c r="M1470" i="41"/>
  <c r="N1470" i="41"/>
  <c r="O1470" i="41"/>
  <c r="P1470" i="41"/>
  <c r="Q1470" i="41"/>
  <c r="R1470" i="41"/>
  <c r="S1470" i="41"/>
  <c r="J1471" i="41"/>
  <c r="K1471" i="41"/>
  <c r="L1471" i="41"/>
  <c r="M1471" i="41"/>
  <c r="N1471" i="41"/>
  <c r="O1471" i="41"/>
  <c r="P1471" i="41"/>
  <c r="Q1471" i="41"/>
  <c r="R1471" i="41"/>
  <c r="S1471" i="41"/>
  <c r="J1472" i="41"/>
  <c r="K1472" i="41"/>
  <c r="L1472" i="41"/>
  <c r="M1472" i="41"/>
  <c r="N1472" i="41"/>
  <c r="O1472" i="41"/>
  <c r="P1472" i="41"/>
  <c r="Q1472" i="41"/>
  <c r="R1472" i="41"/>
  <c r="S1472" i="41"/>
  <c r="J1473" i="41"/>
  <c r="K1473" i="41"/>
  <c r="L1473" i="41"/>
  <c r="M1473" i="41"/>
  <c r="N1473" i="41"/>
  <c r="O1473" i="41"/>
  <c r="P1473" i="41"/>
  <c r="Q1473" i="41"/>
  <c r="R1473" i="41"/>
  <c r="S1473" i="41"/>
  <c r="J1474" i="41"/>
  <c r="K1474" i="41"/>
  <c r="L1474" i="41"/>
  <c r="M1474" i="41"/>
  <c r="N1474" i="41"/>
  <c r="O1474" i="41"/>
  <c r="P1474" i="41"/>
  <c r="Q1474" i="41"/>
  <c r="R1474" i="41"/>
  <c r="S1474" i="41"/>
  <c r="J1475" i="41"/>
  <c r="K1475" i="41"/>
  <c r="L1475" i="41"/>
  <c r="M1475" i="41"/>
  <c r="N1475" i="41"/>
  <c r="O1475" i="41"/>
  <c r="P1475" i="41"/>
  <c r="Q1475" i="41"/>
  <c r="R1475" i="41"/>
  <c r="S1475" i="41"/>
  <c r="J1476" i="41"/>
  <c r="K1476" i="41"/>
  <c r="L1476" i="41"/>
  <c r="M1476" i="41"/>
  <c r="N1476" i="41"/>
  <c r="O1476" i="41"/>
  <c r="P1476" i="41"/>
  <c r="Q1476" i="41"/>
  <c r="R1476" i="41"/>
  <c r="S1476" i="41"/>
  <c r="J1477" i="41"/>
  <c r="K1477" i="41"/>
  <c r="L1477" i="41"/>
  <c r="M1477" i="41"/>
  <c r="N1477" i="41"/>
  <c r="O1477" i="41"/>
  <c r="P1477" i="41"/>
  <c r="Q1477" i="41"/>
  <c r="R1477" i="41"/>
  <c r="S1477" i="41"/>
  <c r="J1478" i="41"/>
  <c r="K1478" i="41"/>
  <c r="L1478" i="41"/>
  <c r="M1478" i="41"/>
  <c r="N1478" i="41"/>
  <c r="O1478" i="41"/>
  <c r="P1478" i="41"/>
  <c r="Q1478" i="41"/>
  <c r="R1478" i="41"/>
  <c r="S1478" i="41"/>
  <c r="J1479" i="41"/>
  <c r="K1479" i="41"/>
  <c r="L1479" i="41"/>
  <c r="M1479" i="41"/>
  <c r="N1479" i="41"/>
  <c r="O1479" i="41"/>
  <c r="P1479" i="41"/>
  <c r="Q1479" i="41"/>
  <c r="R1479" i="41"/>
  <c r="S1479" i="41"/>
  <c r="J1480" i="41"/>
  <c r="K1480" i="41"/>
  <c r="L1480" i="41"/>
  <c r="M1480" i="41"/>
  <c r="N1480" i="41"/>
  <c r="O1480" i="41"/>
  <c r="P1480" i="41"/>
  <c r="Q1480" i="41"/>
  <c r="R1480" i="41"/>
  <c r="S1480" i="41"/>
  <c r="J1481" i="41"/>
  <c r="K1481" i="41"/>
  <c r="L1481" i="41"/>
  <c r="M1481" i="41"/>
  <c r="N1481" i="41"/>
  <c r="O1481" i="41"/>
  <c r="P1481" i="41"/>
  <c r="Q1481" i="41"/>
  <c r="R1481" i="41"/>
  <c r="S1481" i="41"/>
  <c r="J1482" i="41"/>
  <c r="K1482" i="41"/>
  <c r="L1482" i="41"/>
  <c r="M1482" i="41"/>
  <c r="N1482" i="41"/>
  <c r="O1482" i="41"/>
  <c r="P1482" i="41"/>
  <c r="Q1482" i="41"/>
  <c r="R1482" i="41"/>
  <c r="S1482" i="41"/>
  <c r="J1483" i="41"/>
  <c r="K1483" i="41"/>
  <c r="L1483" i="41"/>
  <c r="M1483" i="41"/>
  <c r="N1483" i="41"/>
  <c r="O1483" i="41"/>
  <c r="P1483" i="41"/>
  <c r="Q1483" i="41"/>
  <c r="R1483" i="41"/>
  <c r="S1483" i="41"/>
  <c r="J1484" i="41"/>
  <c r="K1484" i="41"/>
  <c r="L1484" i="41"/>
  <c r="M1484" i="41"/>
  <c r="N1484" i="41"/>
  <c r="O1484" i="41"/>
  <c r="P1484" i="41"/>
  <c r="Q1484" i="41"/>
  <c r="R1484" i="41"/>
  <c r="S1484" i="41"/>
  <c r="J1485" i="41"/>
  <c r="K1485" i="41"/>
  <c r="L1485" i="41"/>
  <c r="M1485" i="41"/>
  <c r="N1485" i="41"/>
  <c r="O1485" i="41"/>
  <c r="P1485" i="41"/>
  <c r="Q1485" i="41"/>
  <c r="R1485" i="41"/>
  <c r="S1485" i="41"/>
  <c r="J1486" i="41"/>
  <c r="K1486" i="41"/>
  <c r="L1486" i="41"/>
  <c r="M1486" i="41"/>
  <c r="N1486" i="41"/>
  <c r="O1486" i="41"/>
  <c r="P1486" i="41"/>
  <c r="Q1486" i="41"/>
  <c r="R1486" i="41"/>
  <c r="S1486" i="41"/>
  <c r="J1487" i="41"/>
  <c r="K1487" i="41"/>
  <c r="L1487" i="41"/>
  <c r="M1487" i="41"/>
  <c r="N1487" i="41"/>
  <c r="O1487" i="41"/>
  <c r="P1487" i="41"/>
  <c r="Q1487" i="41"/>
  <c r="R1487" i="41"/>
  <c r="S1487" i="41"/>
  <c r="J1488" i="41"/>
  <c r="K1488" i="41"/>
  <c r="L1488" i="41"/>
  <c r="M1488" i="41"/>
  <c r="N1488" i="41"/>
  <c r="O1488" i="41"/>
  <c r="P1488" i="41"/>
  <c r="Q1488" i="41"/>
  <c r="R1488" i="41"/>
  <c r="S1488" i="41"/>
  <c r="J1489" i="41"/>
  <c r="K1489" i="41"/>
  <c r="L1489" i="41"/>
  <c r="M1489" i="41"/>
  <c r="N1489" i="41"/>
  <c r="O1489" i="41"/>
  <c r="P1489" i="41"/>
  <c r="Q1489" i="41"/>
  <c r="R1489" i="41"/>
  <c r="S1489" i="41"/>
  <c r="J1490" i="41"/>
  <c r="K1490" i="41"/>
  <c r="L1490" i="41"/>
  <c r="M1490" i="41"/>
  <c r="N1490" i="41"/>
  <c r="O1490" i="41"/>
  <c r="P1490" i="41"/>
  <c r="Q1490" i="41"/>
  <c r="R1490" i="41"/>
  <c r="S1490" i="41"/>
  <c r="J1491" i="41"/>
  <c r="K1491" i="41"/>
  <c r="L1491" i="41"/>
  <c r="M1491" i="41"/>
  <c r="N1491" i="41"/>
  <c r="O1491" i="41"/>
  <c r="P1491" i="41"/>
  <c r="Q1491" i="41"/>
  <c r="R1491" i="41"/>
  <c r="S1491" i="41"/>
  <c r="J1492" i="41"/>
  <c r="K1492" i="41"/>
  <c r="L1492" i="41"/>
  <c r="M1492" i="41"/>
  <c r="N1492" i="41"/>
  <c r="O1492" i="41"/>
  <c r="P1492" i="41"/>
  <c r="Q1492" i="41"/>
  <c r="R1492" i="41"/>
  <c r="S1492" i="41"/>
  <c r="J1493" i="41"/>
  <c r="K1493" i="41"/>
  <c r="L1493" i="41"/>
  <c r="M1493" i="41"/>
  <c r="N1493" i="41"/>
  <c r="O1493" i="41"/>
  <c r="P1493" i="41"/>
  <c r="Q1493" i="41"/>
  <c r="R1493" i="41"/>
  <c r="S1493" i="41"/>
  <c r="J1494" i="41"/>
  <c r="K1494" i="41"/>
  <c r="L1494" i="41"/>
  <c r="M1494" i="41"/>
  <c r="N1494" i="41"/>
  <c r="O1494" i="41"/>
  <c r="P1494" i="41"/>
  <c r="Q1494" i="41"/>
  <c r="R1494" i="41"/>
  <c r="S1494" i="41"/>
  <c r="J1495" i="41"/>
  <c r="K1495" i="41"/>
  <c r="L1495" i="41"/>
  <c r="M1495" i="41"/>
  <c r="N1495" i="41"/>
  <c r="O1495" i="41"/>
  <c r="P1495" i="41"/>
  <c r="Q1495" i="41"/>
  <c r="R1495" i="41"/>
  <c r="S1495" i="41"/>
  <c r="J1496" i="41"/>
  <c r="K1496" i="41"/>
  <c r="L1496" i="41"/>
  <c r="M1496" i="41"/>
  <c r="N1496" i="41"/>
  <c r="O1496" i="41"/>
  <c r="P1496" i="41"/>
  <c r="Q1496" i="41"/>
  <c r="R1496" i="41"/>
  <c r="S1496" i="41"/>
  <c r="J1497" i="41"/>
  <c r="K1497" i="41"/>
  <c r="L1497" i="41"/>
  <c r="M1497" i="41"/>
  <c r="N1497" i="41"/>
  <c r="O1497" i="41"/>
  <c r="P1497" i="41"/>
  <c r="Q1497" i="41"/>
  <c r="R1497" i="41"/>
  <c r="S1497" i="41"/>
  <c r="J1498" i="41"/>
  <c r="K1498" i="41"/>
  <c r="L1498" i="41"/>
  <c r="M1498" i="41"/>
  <c r="N1498" i="41"/>
  <c r="O1498" i="41"/>
  <c r="P1498" i="41"/>
  <c r="Q1498" i="41"/>
  <c r="R1498" i="41"/>
  <c r="S1498" i="41"/>
  <c r="J1499" i="41"/>
  <c r="K1499" i="41"/>
  <c r="L1499" i="41"/>
  <c r="M1499" i="41"/>
  <c r="N1499" i="41"/>
  <c r="O1499" i="41"/>
  <c r="P1499" i="41"/>
  <c r="Q1499" i="41"/>
  <c r="R1499" i="41"/>
  <c r="S1499" i="41"/>
  <c r="J1500" i="41"/>
  <c r="K1500" i="41"/>
  <c r="L1500" i="41"/>
  <c r="M1500" i="41"/>
  <c r="N1500" i="41"/>
  <c r="O1500" i="41"/>
  <c r="P1500" i="41"/>
  <c r="Q1500" i="41"/>
  <c r="R1500" i="41"/>
  <c r="S1500" i="41"/>
  <c r="J1501" i="41"/>
  <c r="K1501" i="41"/>
  <c r="L1501" i="41"/>
  <c r="M1501" i="41"/>
  <c r="N1501" i="41"/>
  <c r="O1501" i="41"/>
  <c r="P1501" i="41"/>
  <c r="Q1501" i="41"/>
  <c r="R1501" i="41"/>
  <c r="S1501" i="41"/>
  <c r="J1502" i="41"/>
  <c r="K1502" i="41"/>
  <c r="L1502" i="41"/>
  <c r="M1502" i="41"/>
  <c r="N1502" i="41"/>
  <c r="O1502" i="41"/>
  <c r="P1502" i="41"/>
  <c r="Q1502" i="41"/>
  <c r="R1502" i="41"/>
  <c r="S1502" i="41"/>
  <c r="J1503" i="41"/>
  <c r="K1503" i="41"/>
  <c r="L1503" i="41"/>
  <c r="M1503" i="41"/>
  <c r="N1503" i="41"/>
  <c r="O1503" i="41"/>
  <c r="P1503" i="41"/>
  <c r="Q1503" i="41"/>
  <c r="R1503" i="41"/>
  <c r="S1503" i="41"/>
  <c r="J1504" i="41"/>
  <c r="K1504" i="41"/>
  <c r="L1504" i="41"/>
  <c r="M1504" i="41"/>
  <c r="N1504" i="41"/>
  <c r="O1504" i="41"/>
  <c r="P1504" i="41"/>
  <c r="Q1504" i="41"/>
  <c r="R1504" i="41"/>
  <c r="S1504" i="41"/>
  <c r="J1505" i="41"/>
  <c r="K1505" i="41"/>
  <c r="L1505" i="41"/>
  <c r="M1505" i="41"/>
  <c r="N1505" i="41"/>
  <c r="O1505" i="41"/>
  <c r="P1505" i="41"/>
  <c r="Q1505" i="41"/>
  <c r="R1505" i="41"/>
  <c r="S1505" i="41"/>
  <c r="J1506" i="41"/>
  <c r="K1506" i="41"/>
  <c r="L1506" i="41"/>
  <c r="M1506" i="41"/>
  <c r="N1506" i="41"/>
  <c r="O1506" i="41"/>
  <c r="P1506" i="41"/>
  <c r="Q1506" i="41"/>
  <c r="R1506" i="41"/>
  <c r="S1506" i="41"/>
  <c r="J1507" i="41"/>
  <c r="K1507" i="41"/>
  <c r="L1507" i="41"/>
  <c r="M1507" i="41"/>
  <c r="N1507" i="41"/>
  <c r="O1507" i="41"/>
  <c r="P1507" i="41"/>
  <c r="Q1507" i="41"/>
  <c r="R1507" i="41"/>
  <c r="S1507" i="41"/>
  <c r="J1508" i="41"/>
  <c r="K1508" i="41"/>
  <c r="L1508" i="41"/>
  <c r="M1508" i="41"/>
  <c r="N1508" i="41"/>
  <c r="O1508" i="41"/>
  <c r="P1508" i="41"/>
  <c r="Q1508" i="41"/>
  <c r="R1508" i="41"/>
  <c r="S1508" i="41"/>
  <c r="J1509" i="41"/>
  <c r="K1509" i="41"/>
  <c r="L1509" i="41"/>
  <c r="M1509" i="41"/>
  <c r="N1509" i="41"/>
  <c r="O1509" i="41"/>
  <c r="P1509" i="41"/>
  <c r="Q1509" i="41"/>
  <c r="R1509" i="41"/>
  <c r="S1509" i="41"/>
  <c r="J1510" i="41"/>
  <c r="K1510" i="41"/>
  <c r="L1510" i="41"/>
  <c r="M1510" i="41"/>
  <c r="N1510" i="41"/>
  <c r="O1510" i="41"/>
  <c r="P1510" i="41"/>
  <c r="Q1510" i="41"/>
  <c r="R1510" i="41"/>
  <c r="S1510" i="41"/>
  <c r="J1511" i="41"/>
  <c r="K1511" i="41"/>
  <c r="L1511" i="41"/>
  <c r="M1511" i="41"/>
  <c r="N1511" i="41"/>
  <c r="O1511" i="41"/>
  <c r="P1511" i="41"/>
  <c r="Q1511" i="41"/>
  <c r="R1511" i="41"/>
  <c r="S1511" i="41"/>
  <c r="J1512" i="41"/>
  <c r="K1512" i="41"/>
  <c r="L1512" i="41"/>
  <c r="M1512" i="41"/>
  <c r="N1512" i="41"/>
  <c r="O1512" i="41"/>
  <c r="P1512" i="41"/>
  <c r="Q1512" i="41"/>
  <c r="R1512" i="41"/>
  <c r="S1512" i="41"/>
  <c r="J1513" i="41"/>
  <c r="K1513" i="41"/>
  <c r="L1513" i="41"/>
  <c r="M1513" i="41"/>
  <c r="N1513" i="41"/>
  <c r="O1513" i="41"/>
  <c r="P1513" i="41"/>
  <c r="Q1513" i="41"/>
  <c r="R1513" i="41"/>
  <c r="S1513" i="41"/>
  <c r="J1514" i="41"/>
  <c r="K1514" i="41"/>
  <c r="L1514" i="41"/>
  <c r="M1514" i="41"/>
  <c r="N1514" i="41"/>
  <c r="O1514" i="41"/>
  <c r="P1514" i="41"/>
  <c r="Q1514" i="41"/>
  <c r="R1514" i="41"/>
  <c r="S1514" i="41"/>
  <c r="J1515" i="41"/>
  <c r="K1515" i="41"/>
  <c r="L1515" i="41"/>
  <c r="M1515" i="41"/>
  <c r="N1515" i="41"/>
  <c r="O1515" i="41"/>
  <c r="P1515" i="41"/>
  <c r="Q1515" i="41"/>
  <c r="R1515" i="41"/>
  <c r="S1515" i="41"/>
  <c r="J1516" i="41"/>
  <c r="K1516" i="41"/>
  <c r="L1516" i="41"/>
  <c r="M1516" i="41"/>
  <c r="N1516" i="41"/>
  <c r="O1516" i="41"/>
  <c r="P1516" i="41"/>
  <c r="Q1516" i="41"/>
  <c r="R1516" i="41"/>
  <c r="S1516" i="41"/>
  <c r="J1517" i="41"/>
  <c r="K1517" i="41"/>
  <c r="L1517" i="41"/>
  <c r="M1517" i="41"/>
  <c r="N1517" i="41"/>
  <c r="O1517" i="41"/>
  <c r="P1517" i="41"/>
  <c r="Q1517" i="41"/>
  <c r="R1517" i="41"/>
  <c r="S1517" i="41"/>
  <c r="J1518" i="41"/>
  <c r="K1518" i="41"/>
  <c r="L1518" i="41"/>
  <c r="M1518" i="41"/>
  <c r="N1518" i="41"/>
  <c r="O1518" i="41"/>
  <c r="P1518" i="41"/>
  <c r="Q1518" i="41"/>
  <c r="R1518" i="41"/>
  <c r="S1518" i="41"/>
  <c r="J1519" i="41"/>
  <c r="K1519" i="41"/>
  <c r="L1519" i="41"/>
  <c r="M1519" i="41"/>
  <c r="N1519" i="41"/>
  <c r="O1519" i="41"/>
  <c r="P1519" i="41"/>
  <c r="Q1519" i="41"/>
  <c r="R1519" i="41"/>
  <c r="S1519" i="41"/>
  <c r="J1520" i="41"/>
  <c r="K1520" i="41"/>
  <c r="L1520" i="41"/>
  <c r="M1520" i="41"/>
  <c r="N1520" i="41"/>
  <c r="O1520" i="41"/>
  <c r="P1520" i="41"/>
  <c r="Q1520" i="41"/>
  <c r="R1520" i="41"/>
  <c r="S1520" i="41"/>
  <c r="J1521" i="41"/>
  <c r="K1521" i="41"/>
  <c r="L1521" i="41"/>
  <c r="M1521" i="41"/>
  <c r="N1521" i="41"/>
  <c r="O1521" i="41"/>
  <c r="P1521" i="41"/>
  <c r="Q1521" i="41"/>
  <c r="R1521" i="41"/>
  <c r="S1521" i="41"/>
  <c r="J1522" i="41"/>
  <c r="K1522" i="41"/>
  <c r="L1522" i="41"/>
  <c r="M1522" i="41"/>
  <c r="N1522" i="41"/>
  <c r="O1522" i="41"/>
  <c r="P1522" i="41"/>
  <c r="Q1522" i="41"/>
  <c r="R1522" i="41"/>
  <c r="S1522" i="41"/>
  <c r="J1523" i="41"/>
  <c r="K1523" i="41"/>
  <c r="L1523" i="41"/>
  <c r="M1523" i="41"/>
  <c r="N1523" i="41"/>
  <c r="O1523" i="41"/>
  <c r="P1523" i="41"/>
  <c r="Q1523" i="41"/>
  <c r="R1523" i="41"/>
  <c r="S1523" i="41"/>
  <c r="J1524" i="41"/>
  <c r="K1524" i="41"/>
  <c r="L1524" i="41"/>
  <c r="M1524" i="41"/>
  <c r="N1524" i="41"/>
  <c r="O1524" i="41"/>
  <c r="P1524" i="41"/>
  <c r="Q1524" i="41"/>
  <c r="R1524" i="41"/>
  <c r="S1524" i="41"/>
  <c r="J1525" i="41"/>
  <c r="K1525" i="41"/>
  <c r="L1525" i="41"/>
  <c r="M1525" i="41"/>
  <c r="N1525" i="41"/>
  <c r="O1525" i="41"/>
  <c r="P1525" i="41"/>
  <c r="Q1525" i="41"/>
  <c r="R1525" i="41"/>
  <c r="S1525" i="41"/>
  <c r="J1526" i="41"/>
  <c r="K1526" i="41"/>
  <c r="L1526" i="41"/>
  <c r="M1526" i="41"/>
  <c r="N1526" i="41"/>
  <c r="O1526" i="41"/>
  <c r="P1526" i="41"/>
  <c r="Q1526" i="41"/>
  <c r="R1526" i="41"/>
  <c r="S1526" i="41"/>
  <c r="J1527" i="41"/>
  <c r="K1527" i="41"/>
  <c r="L1527" i="41"/>
  <c r="M1527" i="41"/>
  <c r="N1527" i="41"/>
  <c r="O1527" i="41"/>
  <c r="P1527" i="41"/>
  <c r="Q1527" i="41"/>
  <c r="R1527" i="41"/>
  <c r="S1527" i="41"/>
  <c r="J1528" i="41"/>
  <c r="K1528" i="41"/>
  <c r="L1528" i="41"/>
  <c r="M1528" i="41"/>
  <c r="N1528" i="41"/>
  <c r="O1528" i="41"/>
  <c r="P1528" i="41"/>
  <c r="Q1528" i="41"/>
  <c r="R1528" i="41"/>
  <c r="S1528" i="41"/>
  <c r="J1529" i="41"/>
  <c r="K1529" i="41"/>
  <c r="L1529" i="41"/>
  <c r="M1529" i="41"/>
  <c r="N1529" i="41"/>
  <c r="O1529" i="41"/>
  <c r="P1529" i="41"/>
  <c r="Q1529" i="41"/>
  <c r="R1529" i="41"/>
  <c r="S1529" i="41"/>
  <c r="J1530" i="41"/>
  <c r="K1530" i="41"/>
  <c r="L1530" i="41"/>
  <c r="M1530" i="41"/>
  <c r="N1530" i="41"/>
  <c r="O1530" i="41"/>
  <c r="P1530" i="41"/>
  <c r="Q1530" i="41"/>
  <c r="R1530" i="41"/>
  <c r="S1530" i="41"/>
  <c r="J1531" i="41"/>
  <c r="K1531" i="41"/>
  <c r="L1531" i="41"/>
  <c r="M1531" i="41"/>
  <c r="N1531" i="41"/>
  <c r="O1531" i="41"/>
  <c r="P1531" i="41"/>
  <c r="Q1531" i="41"/>
  <c r="R1531" i="41"/>
  <c r="S1531" i="41"/>
  <c r="J1532" i="41"/>
  <c r="K1532" i="41"/>
  <c r="L1532" i="41"/>
  <c r="M1532" i="41"/>
  <c r="N1532" i="41"/>
  <c r="O1532" i="41"/>
  <c r="P1532" i="41"/>
  <c r="Q1532" i="41"/>
  <c r="R1532" i="41"/>
  <c r="S1532" i="41"/>
  <c r="J1533" i="41"/>
  <c r="K1533" i="41"/>
  <c r="L1533" i="41"/>
  <c r="M1533" i="41"/>
  <c r="N1533" i="41"/>
  <c r="O1533" i="41"/>
  <c r="P1533" i="41"/>
  <c r="Q1533" i="41"/>
  <c r="R1533" i="41"/>
  <c r="S1533" i="41"/>
  <c r="J1534" i="41"/>
  <c r="K1534" i="41"/>
  <c r="L1534" i="41"/>
  <c r="M1534" i="41"/>
  <c r="N1534" i="41"/>
  <c r="O1534" i="41"/>
  <c r="P1534" i="41"/>
  <c r="Q1534" i="41"/>
  <c r="R1534" i="41"/>
  <c r="S1534" i="41"/>
  <c r="J1535" i="41"/>
  <c r="K1535" i="41"/>
  <c r="L1535" i="41"/>
  <c r="M1535" i="41"/>
  <c r="N1535" i="41"/>
  <c r="O1535" i="41"/>
  <c r="P1535" i="41"/>
  <c r="Q1535" i="41"/>
  <c r="R1535" i="41"/>
  <c r="S1535" i="41"/>
  <c r="J1536" i="41"/>
  <c r="K1536" i="41"/>
  <c r="L1536" i="41"/>
  <c r="M1536" i="41"/>
  <c r="N1536" i="41"/>
  <c r="O1536" i="41"/>
  <c r="P1536" i="41"/>
  <c r="Q1536" i="41"/>
  <c r="R1536" i="41"/>
  <c r="S1536" i="41"/>
  <c r="J1537" i="41"/>
  <c r="K1537" i="41"/>
  <c r="L1537" i="41"/>
  <c r="M1537" i="41"/>
  <c r="N1537" i="41"/>
  <c r="O1537" i="41"/>
  <c r="P1537" i="41"/>
  <c r="Q1537" i="41"/>
  <c r="R1537" i="41"/>
  <c r="S1537" i="41"/>
  <c r="J1538" i="41"/>
  <c r="K1538" i="41"/>
  <c r="L1538" i="41"/>
  <c r="M1538" i="41"/>
  <c r="N1538" i="41"/>
  <c r="O1538" i="41"/>
  <c r="P1538" i="41"/>
  <c r="Q1538" i="41"/>
  <c r="R1538" i="41"/>
  <c r="S1538" i="41"/>
  <c r="J1539" i="41"/>
  <c r="K1539" i="41"/>
  <c r="L1539" i="41"/>
  <c r="M1539" i="41"/>
  <c r="N1539" i="41"/>
  <c r="O1539" i="41"/>
  <c r="P1539" i="41"/>
  <c r="Q1539" i="41"/>
  <c r="R1539" i="41"/>
  <c r="S1539" i="41"/>
  <c r="J1540" i="41"/>
  <c r="K1540" i="41"/>
  <c r="L1540" i="41"/>
  <c r="M1540" i="41"/>
  <c r="N1540" i="41"/>
  <c r="O1540" i="41"/>
  <c r="P1540" i="41"/>
  <c r="Q1540" i="41"/>
  <c r="R1540" i="41"/>
  <c r="S1540" i="41"/>
  <c r="J1541" i="41"/>
  <c r="K1541" i="41"/>
  <c r="L1541" i="41"/>
  <c r="M1541" i="41"/>
  <c r="N1541" i="41"/>
  <c r="O1541" i="41"/>
  <c r="P1541" i="41"/>
  <c r="Q1541" i="41"/>
  <c r="R1541" i="41"/>
  <c r="S1541" i="41"/>
  <c r="J1542" i="41"/>
  <c r="K1542" i="41"/>
  <c r="L1542" i="41"/>
  <c r="M1542" i="41"/>
  <c r="N1542" i="41"/>
  <c r="O1542" i="41"/>
  <c r="P1542" i="41"/>
  <c r="Q1542" i="41"/>
  <c r="R1542" i="41"/>
  <c r="S1542" i="41"/>
  <c r="J1543" i="41"/>
  <c r="K1543" i="41"/>
  <c r="L1543" i="41"/>
  <c r="M1543" i="41"/>
  <c r="N1543" i="41"/>
  <c r="O1543" i="41"/>
  <c r="P1543" i="41"/>
  <c r="Q1543" i="41"/>
  <c r="R1543" i="41"/>
  <c r="S1543" i="41"/>
  <c r="J1544" i="41"/>
  <c r="K1544" i="41"/>
  <c r="L1544" i="41"/>
  <c r="M1544" i="41"/>
  <c r="N1544" i="41"/>
  <c r="O1544" i="41"/>
  <c r="P1544" i="41"/>
  <c r="Q1544" i="41"/>
  <c r="R1544" i="41"/>
  <c r="S1544" i="41"/>
  <c r="J1545" i="41"/>
  <c r="K1545" i="41"/>
  <c r="L1545" i="41"/>
  <c r="M1545" i="41"/>
  <c r="N1545" i="41"/>
  <c r="O1545" i="41"/>
  <c r="P1545" i="41"/>
  <c r="Q1545" i="41"/>
  <c r="R1545" i="41"/>
  <c r="S1545" i="41"/>
  <c r="J1546" i="41"/>
  <c r="K1546" i="41"/>
  <c r="L1546" i="41"/>
  <c r="M1546" i="41"/>
  <c r="N1546" i="41"/>
  <c r="O1546" i="41"/>
  <c r="P1546" i="41"/>
  <c r="Q1546" i="41"/>
  <c r="R1546" i="41"/>
  <c r="S1546" i="41"/>
  <c r="J1547" i="41"/>
  <c r="K1547" i="41"/>
  <c r="L1547" i="41"/>
  <c r="M1547" i="41"/>
  <c r="N1547" i="41"/>
  <c r="O1547" i="41"/>
  <c r="P1547" i="41"/>
  <c r="Q1547" i="41"/>
  <c r="R1547" i="41"/>
  <c r="S1547" i="41"/>
  <c r="J1548" i="41"/>
  <c r="K1548" i="41"/>
  <c r="L1548" i="41"/>
  <c r="M1548" i="41"/>
  <c r="N1548" i="41"/>
  <c r="O1548" i="41"/>
  <c r="P1548" i="41"/>
  <c r="Q1548" i="41"/>
  <c r="R1548" i="41"/>
  <c r="S1548" i="41"/>
  <c r="J1549" i="41"/>
  <c r="K1549" i="41"/>
  <c r="L1549" i="41"/>
  <c r="M1549" i="41"/>
  <c r="N1549" i="41"/>
  <c r="O1549" i="41"/>
  <c r="P1549" i="41"/>
  <c r="Q1549" i="41"/>
  <c r="R1549" i="41"/>
  <c r="S1549" i="41"/>
  <c r="J1550" i="41"/>
  <c r="K1550" i="41"/>
  <c r="L1550" i="41"/>
  <c r="M1550" i="41"/>
  <c r="N1550" i="41"/>
  <c r="O1550" i="41"/>
  <c r="P1550" i="41"/>
  <c r="Q1550" i="41"/>
  <c r="R1550" i="41"/>
  <c r="S1550" i="41"/>
  <c r="J1551" i="41"/>
  <c r="K1551" i="41"/>
  <c r="L1551" i="41"/>
  <c r="M1551" i="41"/>
  <c r="N1551" i="41"/>
  <c r="O1551" i="41"/>
  <c r="P1551" i="41"/>
  <c r="Q1551" i="41"/>
  <c r="R1551" i="41"/>
  <c r="S1551" i="41"/>
  <c r="J1552" i="41"/>
  <c r="K1552" i="41"/>
  <c r="L1552" i="41"/>
  <c r="M1552" i="41"/>
  <c r="N1552" i="41"/>
  <c r="O1552" i="41"/>
  <c r="P1552" i="41"/>
  <c r="Q1552" i="41"/>
  <c r="R1552" i="41"/>
  <c r="S1552" i="41"/>
  <c r="J1553" i="41"/>
  <c r="K1553" i="41"/>
  <c r="L1553" i="41"/>
  <c r="M1553" i="41"/>
  <c r="N1553" i="41"/>
  <c r="O1553" i="41"/>
  <c r="P1553" i="41"/>
  <c r="Q1553" i="41"/>
  <c r="R1553" i="41"/>
  <c r="S1553" i="41"/>
  <c r="J1554" i="41"/>
  <c r="K1554" i="41"/>
  <c r="L1554" i="41"/>
  <c r="M1554" i="41"/>
  <c r="N1554" i="41"/>
  <c r="O1554" i="41"/>
  <c r="P1554" i="41"/>
  <c r="Q1554" i="41"/>
  <c r="R1554" i="41"/>
  <c r="S1554" i="41"/>
  <c r="J1555" i="41"/>
  <c r="K1555" i="41"/>
  <c r="L1555" i="41"/>
  <c r="M1555" i="41"/>
  <c r="N1555" i="41"/>
  <c r="O1555" i="41"/>
  <c r="P1555" i="41"/>
  <c r="Q1555" i="41"/>
  <c r="R1555" i="41"/>
  <c r="S1555" i="41"/>
  <c r="J1556" i="41"/>
  <c r="K1556" i="41"/>
  <c r="L1556" i="41"/>
  <c r="M1556" i="41"/>
  <c r="N1556" i="41"/>
  <c r="O1556" i="41"/>
  <c r="P1556" i="41"/>
  <c r="Q1556" i="41"/>
  <c r="R1556" i="41"/>
  <c r="S1556" i="41"/>
  <c r="J1557" i="41"/>
  <c r="K1557" i="41"/>
  <c r="L1557" i="41"/>
  <c r="M1557" i="41"/>
  <c r="N1557" i="41"/>
  <c r="O1557" i="41"/>
  <c r="P1557" i="41"/>
  <c r="Q1557" i="41"/>
  <c r="R1557" i="41"/>
  <c r="S1557" i="41"/>
  <c r="J1558" i="41"/>
  <c r="K1558" i="41"/>
  <c r="L1558" i="41"/>
  <c r="M1558" i="41"/>
  <c r="N1558" i="41"/>
  <c r="O1558" i="41"/>
  <c r="P1558" i="41"/>
  <c r="Q1558" i="41"/>
  <c r="R1558" i="41"/>
  <c r="S1558" i="41"/>
  <c r="J1559" i="41"/>
  <c r="K1559" i="41"/>
  <c r="L1559" i="41"/>
  <c r="M1559" i="41"/>
  <c r="N1559" i="41"/>
  <c r="O1559" i="41"/>
  <c r="P1559" i="41"/>
  <c r="Q1559" i="41"/>
  <c r="R1559" i="41"/>
  <c r="S1559" i="41"/>
  <c r="J1560" i="41"/>
  <c r="K1560" i="41"/>
  <c r="L1560" i="41"/>
  <c r="M1560" i="41"/>
  <c r="N1560" i="41"/>
  <c r="O1560" i="41"/>
  <c r="P1560" i="41"/>
  <c r="Q1560" i="41"/>
  <c r="R1560" i="41"/>
  <c r="S1560" i="41"/>
  <c r="J1561" i="41"/>
  <c r="K1561" i="41"/>
  <c r="L1561" i="41"/>
  <c r="M1561" i="41"/>
  <c r="N1561" i="41"/>
  <c r="O1561" i="41"/>
  <c r="P1561" i="41"/>
  <c r="Q1561" i="41"/>
  <c r="R1561" i="41"/>
  <c r="S1561" i="41"/>
  <c r="J1562" i="41"/>
  <c r="K1562" i="41"/>
  <c r="L1562" i="41"/>
  <c r="M1562" i="41"/>
  <c r="N1562" i="41"/>
  <c r="O1562" i="41"/>
  <c r="P1562" i="41"/>
  <c r="Q1562" i="41"/>
  <c r="R1562" i="41"/>
  <c r="S1562" i="41"/>
  <c r="J1563" i="41"/>
  <c r="K1563" i="41"/>
  <c r="L1563" i="41"/>
  <c r="M1563" i="41"/>
  <c r="N1563" i="41"/>
  <c r="O1563" i="41"/>
  <c r="P1563" i="41"/>
  <c r="Q1563" i="41"/>
  <c r="R1563" i="41"/>
  <c r="S1563" i="41"/>
  <c r="J1564" i="41"/>
  <c r="K1564" i="41"/>
  <c r="L1564" i="41"/>
  <c r="M1564" i="41"/>
  <c r="N1564" i="41"/>
  <c r="O1564" i="41"/>
  <c r="P1564" i="41"/>
  <c r="Q1564" i="41"/>
  <c r="R1564" i="41"/>
  <c r="S1564" i="41"/>
  <c r="J1565" i="41"/>
  <c r="K1565" i="41"/>
  <c r="L1565" i="41"/>
  <c r="M1565" i="41"/>
  <c r="N1565" i="41"/>
  <c r="O1565" i="41"/>
  <c r="P1565" i="41"/>
  <c r="Q1565" i="41"/>
  <c r="R1565" i="41"/>
  <c r="S1565" i="41"/>
  <c r="J1566" i="41"/>
  <c r="K1566" i="41"/>
  <c r="L1566" i="41"/>
  <c r="M1566" i="41"/>
  <c r="N1566" i="41"/>
  <c r="O1566" i="41"/>
  <c r="P1566" i="41"/>
  <c r="Q1566" i="41"/>
  <c r="R1566" i="41"/>
  <c r="S1566" i="41"/>
  <c r="J1567" i="41"/>
  <c r="K1567" i="41"/>
  <c r="L1567" i="41"/>
  <c r="M1567" i="41"/>
  <c r="N1567" i="41"/>
  <c r="O1567" i="41"/>
  <c r="P1567" i="41"/>
  <c r="Q1567" i="41"/>
  <c r="R1567" i="41"/>
  <c r="S1567" i="41"/>
  <c r="J1568" i="41"/>
  <c r="K1568" i="41"/>
  <c r="L1568" i="41"/>
  <c r="M1568" i="41"/>
  <c r="N1568" i="41"/>
  <c r="O1568" i="41"/>
  <c r="P1568" i="41"/>
  <c r="Q1568" i="41"/>
  <c r="R1568" i="41"/>
  <c r="S1568" i="41"/>
  <c r="J1569" i="41"/>
  <c r="K1569" i="41"/>
  <c r="L1569" i="41"/>
  <c r="M1569" i="41"/>
  <c r="N1569" i="41"/>
  <c r="O1569" i="41"/>
  <c r="P1569" i="41"/>
  <c r="Q1569" i="41"/>
  <c r="R1569" i="41"/>
  <c r="S1569" i="41"/>
  <c r="J1570" i="41"/>
  <c r="K1570" i="41"/>
  <c r="L1570" i="41"/>
  <c r="M1570" i="41"/>
  <c r="N1570" i="41"/>
  <c r="O1570" i="41"/>
  <c r="P1570" i="41"/>
  <c r="Q1570" i="41"/>
  <c r="R1570" i="41"/>
  <c r="S1570" i="41"/>
  <c r="J1571" i="41"/>
  <c r="K1571" i="41"/>
  <c r="L1571" i="41"/>
  <c r="M1571" i="41"/>
  <c r="N1571" i="41"/>
  <c r="O1571" i="41"/>
  <c r="P1571" i="41"/>
  <c r="Q1571" i="41"/>
  <c r="R1571" i="41"/>
  <c r="S1571" i="41"/>
  <c r="J1572" i="41"/>
  <c r="K1572" i="41"/>
  <c r="L1572" i="41"/>
  <c r="M1572" i="41"/>
  <c r="N1572" i="41"/>
  <c r="O1572" i="41"/>
  <c r="P1572" i="41"/>
  <c r="Q1572" i="41"/>
  <c r="R1572" i="41"/>
  <c r="S1572" i="41"/>
  <c r="J1573" i="41"/>
  <c r="K1573" i="41"/>
  <c r="L1573" i="41"/>
  <c r="M1573" i="41"/>
  <c r="N1573" i="41"/>
  <c r="O1573" i="41"/>
  <c r="P1573" i="41"/>
  <c r="Q1573" i="41"/>
  <c r="R1573" i="41"/>
  <c r="S1573" i="41"/>
  <c r="J1574" i="41"/>
  <c r="K1574" i="41"/>
  <c r="L1574" i="41"/>
  <c r="M1574" i="41"/>
  <c r="N1574" i="41"/>
  <c r="O1574" i="41"/>
  <c r="P1574" i="41"/>
  <c r="Q1574" i="41"/>
  <c r="R1574" i="41"/>
  <c r="S1574" i="41"/>
  <c r="J1575" i="41"/>
  <c r="K1575" i="41"/>
  <c r="L1575" i="41"/>
  <c r="M1575" i="41"/>
  <c r="N1575" i="41"/>
  <c r="O1575" i="41"/>
  <c r="P1575" i="41"/>
  <c r="Q1575" i="41"/>
  <c r="R1575" i="41"/>
  <c r="S1575" i="41"/>
  <c r="J1576" i="41"/>
  <c r="K1576" i="41"/>
  <c r="L1576" i="41"/>
  <c r="M1576" i="41"/>
  <c r="N1576" i="41"/>
  <c r="O1576" i="41"/>
  <c r="P1576" i="41"/>
  <c r="Q1576" i="41"/>
  <c r="R1576" i="41"/>
  <c r="S1576" i="41"/>
  <c r="J1577" i="41"/>
  <c r="K1577" i="41"/>
  <c r="L1577" i="41"/>
  <c r="M1577" i="41"/>
  <c r="N1577" i="41"/>
  <c r="O1577" i="41"/>
  <c r="P1577" i="41"/>
  <c r="Q1577" i="41"/>
  <c r="R1577" i="41"/>
  <c r="S1577" i="41"/>
  <c r="J1578" i="41"/>
  <c r="K1578" i="41"/>
  <c r="L1578" i="41"/>
  <c r="M1578" i="41"/>
  <c r="N1578" i="41"/>
  <c r="O1578" i="41"/>
  <c r="P1578" i="41"/>
  <c r="Q1578" i="41"/>
  <c r="R1578" i="41"/>
  <c r="S1578" i="41"/>
  <c r="J1579" i="41"/>
  <c r="K1579" i="41"/>
  <c r="L1579" i="41"/>
  <c r="M1579" i="41"/>
  <c r="N1579" i="41"/>
  <c r="O1579" i="41"/>
  <c r="P1579" i="41"/>
  <c r="Q1579" i="41"/>
  <c r="R1579" i="41"/>
  <c r="S1579" i="41"/>
  <c r="J1580" i="41"/>
  <c r="K1580" i="41"/>
  <c r="L1580" i="41"/>
  <c r="M1580" i="41"/>
  <c r="N1580" i="41"/>
  <c r="O1580" i="41"/>
  <c r="P1580" i="41"/>
  <c r="Q1580" i="41"/>
  <c r="R1580" i="41"/>
  <c r="S1580" i="41"/>
  <c r="J1581" i="41"/>
  <c r="K1581" i="41"/>
  <c r="L1581" i="41"/>
  <c r="M1581" i="41"/>
  <c r="N1581" i="41"/>
  <c r="O1581" i="41"/>
  <c r="P1581" i="41"/>
  <c r="Q1581" i="41"/>
  <c r="R1581" i="41"/>
  <c r="S1581" i="41"/>
  <c r="J1582" i="41"/>
  <c r="K1582" i="41"/>
  <c r="L1582" i="41"/>
  <c r="M1582" i="41"/>
  <c r="N1582" i="41"/>
  <c r="O1582" i="41"/>
  <c r="P1582" i="41"/>
  <c r="Q1582" i="41"/>
  <c r="R1582" i="41"/>
  <c r="S1582" i="41"/>
  <c r="J1583" i="41"/>
  <c r="K1583" i="41"/>
  <c r="L1583" i="41"/>
  <c r="M1583" i="41"/>
  <c r="N1583" i="41"/>
  <c r="O1583" i="41"/>
  <c r="P1583" i="41"/>
  <c r="Q1583" i="41"/>
  <c r="R1583" i="41"/>
  <c r="S1583" i="41"/>
  <c r="J1584" i="41"/>
  <c r="K1584" i="41"/>
  <c r="L1584" i="41"/>
  <c r="M1584" i="41"/>
  <c r="N1584" i="41"/>
  <c r="O1584" i="41"/>
  <c r="P1584" i="41"/>
  <c r="Q1584" i="41"/>
  <c r="R1584" i="41"/>
  <c r="S1584" i="41"/>
  <c r="J1585" i="41"/>
  <c r="K1585" i="41"/>
  <c r="L1585" i="41"/>
  <c r="M1585" i="41"/>
  <c r="N1585" i="41"/>
  <c r="O1585" i="41"/>
  <c r="P1585" i="41"/>
  <c r="Q1585" i="41"/>
  <c r="R1585" i="41"/>
  <c r="S1585" i="41"/>
  <c r="J1586" i="41"/>
  <c r="K1586" i="41"/>
  <c r="L1586" i="41"/>
  <c r="M1586" i="41"/>
  <c r="N1586" i="41"/>
  <c r="O1586" i="41"/>
  <c r="P1586" i="41"/>
  <c r="Q1586" i="41"/>
  <c r="R1586" i="41"/>
  <c r="S1586" i="41"/>
  <c r="J1587" i="41"/>
  <c r="K1587" i="41"/>
  <c r="L1587" i="41"/>
  <c r="M1587" i="41"/>
  <c r="N1587" i="41"/>
  <c r="O1587" i="41"/>
  <c r="P1587" i="41"/>
  <c r="Q1587" i="41"/>
  <c r="R1587" i="41"/>
  <c r="S1587" i="41"/>
  <c r="J1588" i="41"/>
  <c r="K1588" i="41"/>
  <c r="L1588" i="41"/>
  <c r="M1588" i="41"/>
  <c r="N1588" i="41"/>
  <c r="O1588" i="41"/>
  <c r="P1588" i="41"/>
  <c r="Q1588" i="41"/>
  <c r="R1588" i="41"/>
  <c r="S1588" i="41"/>
  <c r="J1589" i="41"/>
  <c r="K1589" i="41"/>
  <c r="L1589" i="41"/>
  <c r="M1589" i="41"/>
  <c r="N1589" i="41"/>
  <c r="O1589" i="41"/>
  <c r="P1589" i="41"/>
  <c r="Q1589" i="41"/>
  <c r="R1589" i="41"/>
  <c r="S1589" i="41"/>
  <c r="J1590" i="41"/>
  <c r="K1590" i="41"/>
  <c r="L1590" i="41"/>
  <c r="M1590" i="41"/>
  <c r="N1590" i="41"/>
  <c r="O1590" i="41"/>
  <c r="P1590" i="41"/>
  <c r="Q1590" i="41"/>
  <c r="R1590" i="41"/>
  <c r="S1590" i="41"/>
  <c r="J1591" i="41"/>
  <c r="K1591" i="41"/>
  <c r="L1591" i="41"/>
  <c r="M1591" i="41"/>
  <c r="N1591" i="41"/>
  <c r="O1591" i="41"/>
  <c r="P1591" i="41"/>
  <c r="Q1591" i="41"/>
  <c r="R1591" i="41"/>
  <c r="S1591" i="41"/>
  <c r="J1592" i="41"/>
  <c r="K1592" i="41"/>
  <c r="L1592" i="41"/>
  <c r="M1592" i="41"/>
  <c r="N1592" i="41"/>
  <c r="O1592" i="41"/>
  <c r="P1592" i="41"/>
  <c r="Q1592" i="41"/>
  <c r="R1592" i="41"/>
  <c r="S1592" i="41"/>
  <c r="J1593" i="41"/>
  <c r="K1593" i="41"/>
  <c r="L1593" i="41"/>
  <c r="M1593" i="41"/>
  <c r="N1593" i="41"/>
  <c r="O1593" i="41"/>
  <c r="P1593" i="41"/>
  <c r="Q1593" i="41"/>
  <c r="R1593" i="41"/>
  <c r="S1593" i="41"/>
  <c r="J1594" i="41"/>
  <c r="K1594" i="41"/>
  <c r="L1594" i="41"/>
  <c r="M1594" i="41"/>
  <c r="N1594" i="41"/>
  <c r="O1594" i="41"/>
  <c r="P1594" i="41"/>
  <c r="Q1594" i="41"/>
  <c r="R1594" i="41"/>
  <c r="S1594" i="41"/>
  <c r="J1595" i="41"/>
  <c r="K1595" i="41"/>
  <c r="L1595" i="41"/>
  <c r="M1595" i="41"/>
  <c r="N1595" i="41"/>
  <c r="O1595" i="41"/>
  <c r="P1595" i="41"/>
  <c r="Q1595" i="41"/>
  <c r="R1595" i="41"/>
  <c r="S1595" i="41"/>
  <c r="J1596" i="41"/>
  <c r="K1596" i="41"/>
  <c r="L1596" i="41"/>
  <c r="M1596" i="41"/>
  <c r="N1596" i="41"/>
  <c r="O1596" i="41"/>
  <c r="P1596" i="41"/>
  <c r="Q1596" i="41"/>
  <c r="R1596" i="41"/>
  <c r="S1596" i="41"/>
  <c r="J1597" i="41"/>
  <c r="K1597" i="41"/>
  <c r="L1597" i="41"/>
  <c r="M1597" i="41"/>
  <c r="N1597" i="41"/>
  <c r="O1597" i="41"/>
  <c r="P1597" i="41"/>
  <c r="Q1597" i="41"/>
  <c r="R1597" i="41"/>
  <c r="S1597" i="41"/>
  <c r="J1598" i="41"/>
  <c r="K1598" i="41"/>
  <c r="L1598" i="41"/>
  <c r="M1598" i="41"/>
  <c r="N1598" i="41"/>
  <c r="O1598" i="41"/>
  <c r="P1598" i="41"/>
  <c r="Q1598" i="41"/>
  <c r="R1598" i="41"/>
  <c r="S1598" i="41"/>
  <c r="J1599" i="41"/>
  <c r="K1599" i="41"/>
  <c r="L1599" i="41"/>
  <c r="M1599" i="41"/>
  <c r="N1599" i="41"/>
  <c r="O1599" i="41"/>
  <c r="P1599" i="41"/>
  <c r="Q1599" i="41"/>
  <c r="R1599" i="41"/>
  <c r="S1599" i="41"/>
  <c r="J1600" i="41"/>
  <c r="K1600" i="41"/>
  <c r="L1600" i="41"/>
  <c r="M1600" i="41"/>
  <c r="N1600" i="41"/>
  <c r="O1600" i="41"/>
  <c r="P1600" i="41"/>
  <c r="Q1600" i="41"/>
  <c r="R1600" i="41"/>
  <c r="S1600" i="41"/>
  <c r="J1601" i="41"/>
  <c r="K1601" i="41"/>
  <c r="L1601" i="41"/>
  <c r="M1601" i="41"/>
  <c r="N1601" i="41"/>
  <c r="O1601" i="41"/>
  <c r="P1601" i="41"/>
  <c r="Q1601" i="41"/>
  <c r="R1601" i="41"/>
  <c r="S1601" i="41"/>
  <c r="J1602" i="41"/>
  <c r="K1602" i="41"/>
  <c r="L1602" i="41"/>
  <c r="M1602" i="41"/>
  <c r="N1602" i="41"/>
  <c r="O1602" i="41"/>
  <c r="P1602" i="41"/>
  <c r="Q1602" i="41"/>
  <c r="R1602" i="41"/>
  <c r="S1602" i="41"/>
  <c r="J1603" i="41"/>
  <c r="K1603" i="41"/>
  <c r="L1603" i="41"/>
  <c r="M1603" i="41"/>
  <c r="N1603" i="41"/>
  <c r="O1603" i="41"/>
  <c r="P1603" i="41"/>
  <c r="Q1603" i="41"/>
  <c r="R1603" i="41"/>
  <c r="S1603" i="41"/>
  <c r="J1604" i="41"/>
  <c r="K1604" i="41"/>
  <c r="L1604" i="41"/>
  <c r="M1604" i="41"/>
  <c r="N1604" i="41"/>
  <c r="O1604" i="41"/>
  <c r="P1604" i="41"/>
  <c r="Q1604" i="41"/>
  <c r="R1604" i="41"/>
  <c r="S1604" i="41"/>
  <c r="J1605" i="41"/>
  <c r="K1605" i="41"/>
  <c r="L1605" i="41"/>
  <c r="M1605" i="41"/>
  <c r="N1605" i="41"/>
  <c r="O1605" i="41"/>
  <c r="P1605" i="41"/>
  <c r="Q1605" i="41"/>
  <c r="R1605" i="41"/>
  <c r="S1605" i="41"/>
  <c r="J1606" i="41"/>
  <c r="K1606" i="41"/>
  <c r="L1606" i="41"/>
  <c r="M1606" i="41"/>
  <c r="N1606" i="41"/>
  <c r="O1606" i="41"/>
  <c r="P1606" i="41"/>
  <c r="Q1606" i="41"/>
  <c r="R1606" i="41"/>
  <c r="S1606" i="41"/>
  <c r="J1607" i="41"/>
  <c r="K1607" i="41"/>
  <c r="L1607" i="41"/>
  <c r="M1607" i="41"/>
  <c r="N1607" i="41"/>
  <c r="O1607" i="41"/>
  <c r="P1607" i="41"/>
  <c r="Q1607" i="41"/>
  <c r="R1607" i="41"/>
  <c r="S1607" i="41"/>
  <c r="J1608" i="41"/>
  <c r="K1608" i="41"/>
  <c r="L1608" i="41"/>
  <c r="M1608" i="41"/>
  <c r="N1608" i="41"/>
  <c r="O1608" i="41"/>
  <c r="P1608" i="41"/>
  <c r="Q1608" i="41"/>
  <c r="R1608" i="41"/>
  <c r="S1608" i="41"/>
  <c r="J1609" i="41"/>
  <c r="K1609" i="41"/>
  <c r="L1609" i="41"/>
  <c r="M1609" i="41"/>
  <c r="N1609" i="41"/>
  <c r="O1609" i="41"/>
  <c r="P1609" i="41"/>
  <c r="Q1609" i="41"/>
  <c r="R1609" i="41"/>
  <c r="S1609" i="41"/>
  <c r="J1610" i="41"/>
  <c r="K1610" i="41"/>
  <c r="L1610" i="41"/>
  <c r="M1610" i="41"/>
  <c r="N1610" i="41"/>
  <c r="O1610" i="41"/>
  <c r="P1610" i="41"/>
  <c r="Q1610" i="41"/>
  <c r="R1610" i="41"/>
  <c r="S1610" i="41"/>
  <c r="J1611" i="41"/>
  <c r="K1611" i="41"/>
  <c r="L1611" i="41"/>
  <c r="M1611" i="41"/>
  <c r="N1611" i="41"/>
  <c r="O1611" i="41"/>
  <c r="P1611" i="41"/>
  <c r="Q1611" i="41"/>
  <c r="R1611" i="41"/>
  <c r="S1611" i="41"/>
  <c r="J1612" i="41"/>
  <c r="K1612" i="41"/>
  <c r="L1612" i="41"/>
  <c r="M1612" i="41"/>
  <c r="N1612" i="41"/>
  <c r="O1612" i="41"/>
  <c r="P1612" i="41"/>
  <c r="Q1612" i="41"/>
  <c r="R1612" i="41"/>
  <c r="S1612" i="41"/>
  <c r="J1613" i="41"/>
  <c r="K1613" i="41"/>
  <c r="L1613" i="41"/>
  <c r="M1613" i="41"/>
  <c r="N1613" i="41"/>
  <c r="O1613" i="41"/>
  <c r="P1613" i="41"/>
  <c r="Q1613" i="41"/>
  <c r="R1613" i="41"/>
  <c r="S1613" i="41"/>
  <c r="J1614" i="41"/>
  <c r="K1614" i="41"/>
  <c r="L1614" i="41"/>
  <c r="M1614" i="41"/>
  <c r="N1614" i="41"/>
  <c r="O1614" i="41"/>
  <c r="P1614" i="41"/>
  <c r="Q1614" i="41"/>
  <c r="R1614" i="41"/>
  <c r="S1614" i="41"/>
  <c r="J1615" i="41"/>
  <c r="K1615" i="41"/>
  <c r="L1615" i="41"/>
  <c r="M1615" i="41"/>
  <c r="N1615" i="41"/>
  <c r="O1615" i="41"/>
  <c r="P1615" i="41"/>
  <c r="Q1615" i="41"/>
  <c r="R1615" i="41"/>
  <c r="S1615" i="41"/>
  <c r="J1616" i="41"/>
  <c r="K1616" i="41"/>
  <c r="L1616" i="41"/>
  <c r="M1616" i="41"/>
  <c r="N1616" i="41"/>
  <c r="O1616" i="41"/>
  <c r="P1616" i="41"/>
  <c r="Q1616" i="41"/>
  <c r="R1616" i="41"/>
  <c r="S1616" i="41"/>
  <c r="J1617" i="41"/>
  <c r="K1617" i="41"/>
  <c r="L1617" i="41"/>
  <c r="M1617" i="41"/>
  <c r="N1617" i="41"/>
  <c r="O1617" i="41"/>
  <c r="P1617" i="41"/>
  <c r="Q1617" i="41"/>
  <c r="R1617" i="41"/>
  <c r="S1617" i="41"/>
  <c r="J1618" i="41"/>
  <c r="K1618" i="41"/>
  <c r="L1618" i="41"/>
  <c r="M1618" i="41"/>
  <c r="N1618" i="41"/>
  <c r="O1618" i="41"/>
  <c r="P1618" i="41"/>
  <c r="Q1618" i="41"/>
  <c r="R1618" i="41"/>
  <c r="S1618" i="41"/>
  <c r="J1619" i="41"/>
  <c r="K1619" i="41"/>
  <c r="L1619" i="41"/>
  <c r="M1619" i="41"/>
  <c r="N1619" i="41"/>
  <c r="O1619" i="41"/>
  <c r="P1619" i="41"/>
  <c r="Q1619" i="41"/>
  <c r="R1619" i="41"/>
  <c r="S1619" i="41"/>
  <c r="J1620" i="41"/>
  <c r="K1620" i="41"/>
  <c r="L1620" i="41"/>
  <c r="M1620" i="41"/>
  <c r="N1620" i="41"/>
  <c r="O1620" i="41"/>
  <c r="P1620" i="41"/>
  <c r="Q1620" i="41"/>
  <c r="R1620" i="41"/>
  <c r="S1620" i="41"/>
  <c r="J1621" i="41"/>
  <c r="K1621" i="41"/>
  <c r="L1621" i="41"/>
  <c r="M1621" i="41"/>
  <c r="N1621" i="41"/>
  <c r="O1621" i="41"/>
  <c r="P1621" i="41"/>
  <c r="Q1621" i="41"/>
  <c r="R1621" i="41"/>
  <c r="S1621" i="41"/>
  <c r="J1622" i="41"/>
  <c r="K1622" i="41"/>
  <c r="L1622" i="41"/>
  <c r="M1622" i="41"/>
  <c r="N1622" i="41"/>
  <c r="O1622" i="41"/>
  <c r="P1622" i="41"/>
  <c r="Q1622" i="41"/>
  <c r="R1622" i="41"/>
  <c r="S1622" i="41"/>
  <c r="J1623" i="41"/>
  <c r="K1623" i="41"/>
  <c r="L1623" i="41"/>
  <c r="M1623" i="41"/>
  <c r="N1623" i="41"/>
  <c r="O1623" i="41"/>
  <c r="P1623" i="41"/>
  <c r="Q1623" i="41"/>
  <c r="R1623" i="41"/>
  <c r="S1623" i="41"/>
  <c r="J1624" i="41"/>
  <c r="K1624" i="41"/>
  <c r="L1624" i="41"/>
  <c r="M1624" i="41"/>
  <c r="N1624" i="41"/>
  <c r="O1624" i="41"/>
  <c r="P1624" i="41"/>
  <c r="Q1624" i="41"/>
  <c r="R1624" i="41"/>
  <c r="S1624" i="41"/>
  <c r="J1625" i="41"/>
  <c r="K1625" i="41"/>
  <c r="L1625" i="41"/>
  <c r="M1625" i="41"/>
  <c r="N1625" i="41"/>
  <c r="O1625" i="41"/>
  <c r="P1625" i="41"/>
  <c r="Q1625" i="41"/>
  <c r="R1625" i="41"/>
  <c r="S1625" i="41"/>
  <c r="J1626" i="41"/>
  <c r="K1626" i="41"/>
  <c r="L1626" i="41"/>
  <c r="M1626" i="41"/>
  <c r="N1626" i="41"/>
  <c r="O1626" i="41"/>
  <c r="P1626" i="41"/>
  <c r="Q1626" i="41"/>
  <c r="R1626" i="41"/>
  <c r="S1626" i="41"/>
  <c r="J1627" i="41"/>
  <c r="K1627" i="41"/>
  <c r="L1627" i="41"/>
  <c r="M1627" i="41"/>
  <c r="N1627" i="41"/>
  <c r="O1627" i="41"/>
  <c r="P1627" i="41"/>
  <c r="Q1627" i="41"/>
  <c r="R1627" i="41"/>
  <c r="S1627" i="41"/>
  <c r="J1628" i="41"/>
  <c r="K1628" i="41"/>
  <c r="L1628" i="41"/>
  <c r="M1628" i="41"/>
  <c r="N1628" i="41"/>
  <c r="O1628" i="41"/>
  <c r="P1628" i="41"/>
  <c r="Q1628" i="41"/>
  <c r="R1628" i="41"/>
  <c r="S1628" i="41"/>
  <c r="J1629" i="41"/>
  <c r="K1629" i="41"/>
  <c r="L1629" i="41"/>
  <c r="M1629" i="41"/>
  <c r="N1629" i="41"/>
  <c r="O1629" i="41"/>
  <c r="P1629" i="41"/>
  <c r="Q1629" i="41"/>
  <c r="R1629" i="41"/>
  <c r="S1629" i="41"/>
  <c r="J1630" i="41"/>
  <c r="K1630" i="41"/>
  <c r="L1630" i="41"/>
  <c r="M1630" i="41"/>
  <c r="N1630" i="41"/>
  <c r="O1630" i="41"/>
  <c r="P1630" i="41"/>
  <c r="Q1630" i="41"/>
  <c r="R1630" i="41"/>
  <c r="S1630" i="41"/>
  <c r="J1631" i="41"/>
  <c r="K1631" i="41"/>
  <c r="L1631" i="41"/>
  <c r="M1631" i="41"/>
  <c r="N1631" i="41"/>
  <c r="O1631" i="41"/>
  <c r="P1631" i="41"/>
  <c r="Q1631" i="41"/>
  <c r="R1631" i="41"/>
  <c r="S1631" i="41"/>
  <c r="J1632" i="41"/>
  <c r="K1632" i="41"/>
  <c r="L1632" i="41"/>
  <c r="M1632" i="41"/>
  <c r="N1632" i="41"/>
  <c r="O1632" i="41"/>
  <c r="P1632" i="41"/>
  <c r="Q1632" i="41"/>
  <c r="R1632" i="41"/>
  <c r="S1632" i="41"/>
  <c r="J1633" i="41"/>
  <c r="K1633" i="41"/>
  <c r="L1633" i="41"/>
  <c r="M1633" i="41"/>
  <c r="N1633" i="41"/>
  <c r="O1633" i="41"/>
  <c r="P1633" i="41"/>
  <c r="Q1633" i="41"/>
  <c r="R1633" i="41"/>
  <c r="S1633" i="41"/>
  <c r="J1634" i="41"/>
  <c r="K1634" i="41"/>
  <c r="L1634" i="41"/>
  <c r="M1634" i="41"/>
  <c r="N1634" i="41"/>
  <c r="O1634" i="41"/>
  <c r="P1634" i="41"/>
  <c r="Q1634" i="41"/>
  <c r="R1634" i="41"/>
  <c r="S1634" i="41"/>
  <c r="J1635" i="41"/>
  <c r="K1635" i="41"/>
  <c r="L1635" i="41"/>
  <c r="M1635" i="41"/>
  <c r="N1635" i="41"/>
  <c r="O1635" i="41"/>
  <c r="P1635" i="41"/>
  <c r="Q1635" i="41"/>
  <c r="R1635" i="41"/>
  <c r="S1635" i="41"/>
  <c r="J1636" i="41"/>
  <c r="K1636" i="41"/>
  <c r="L1636" i="41"/>
  <c r="M1636" i="41"/>
  <c r="N1636" i="41"/>
  <c r="O1636" i="41"/>
  <c r="P1636" i="41"/>
  <c r="Q1636" i="41"/>
  <c r="R1636" i="41"/>
  <c r="S1636" i="41"/>
  <c r="J1637" i="41"/>
  <c r="K1637" i="41"/>
  <c r="L1637" i="41"/>
  <c r="M1637" i="41"/>
  <c r="N1637" i="41"/>
  <c r="O1637" i="41"/>
  <c r="P1637" i="41"/>
  <c r="Q1637" i="41"/>
  <c r="R1637" i="41"/>
  <c r="S1637" i="41"/>
  <c r="J1638" i="41"/>
  <c r="K1638" i="41"/>
  <c r="L1638" i="41"/>
  <c r="M1638" i="41"/>
  <c r="N1638" i="41"/>
  <c r="O1638" i="41"/>
  <c r="P1638" i="41"/>
  <c r="Q1638" i="41"/>
  <c r="R1638" i="41"/>
  <c r="S1638" i="41"/>
  <c r="J1639" i="41"/>
  <c r="K1639" i="41"/>
  <c r="L1639" i="41"/>
  <c r="M1639" i="41"/>
  <c r="N1639" i="41"/>
  <c r="O1639" i="41"/>
  <c r="P1639" i="41"/>
  <c r="Q1639" i="41"/>
  <c r="R1639" i="41"/>
  <c r="S1639" i="41"/>
  <c r="J1640" i="41"/>
  <c r="K1640" i="41"/>
  <c r="L1640" i="41"/>
  <c r="M1640" i="41"/>
  <c r="N1640" i="41"/>
  <c r="O1640" i="41"/>
  <c r="P1640" i="41"/>
  <c r="Q1640" i="41"/>
  <c r="R1640" i="41"/>
  <c r="S1640" i="41"/>
  <c r="J1641" i="41"/>
  <c r="K1641" i="41"/>
  <c r="L1641" i="41"/>
  <c r="M1641" i="41"/>
  <c r="N1641" i="41"/>
  <c r="O1641" i="41"/>
  <c r="P1641" i="41"/>
  <c r="Q1641" i="41"/>
  <c r="R1641" i="41"/>
  <c r="S1641" i="41"/>
  <c r="J1642" i="41"/>
  <c r="K1642" i="41"/>
  <c r="L1642" i="41"/>
  <c r="M1642" i="41"/>
  <c r="N1642" i="41"/>
  <c r="O1642" i="41"/>
  <c r="P1642" i="41"/>
  <c r="Q1642" i="41"/>
  <c r="R1642" i="41"/>
  <c r="S1642" i="41"/>
  <c r="J1643" i="41"/>
  <c r="K1643" i="41"/>
  <c r="L1643" i="41"/>
  <c r="M1643" i="41"/>
  <c r="N1643" i="41"/>
  <c r="O1643" i="41"/>
  <c r="P1643" i="41"/>
  <c r="Q1643" i="41"/>
  <c r="R1643" i="41"/>
  <c r="S1643" i="41"/>
  <c r="J1644" i="41"/>
  <c r="K1644" i="41"/>
  <c r="L1644" i="41"/>
  <c r="M1644" i="41"/>
  <c r="N1644" i="41"/>
  <c r="O1644" i="41"/>
  <c r="P1644" i="41"/>
  <c r="Q1644" i="41"/>
  <c r="R1644" i="41"/>
  <c r="S1644" i="41"/>
  <c r="J1645" i="41"/>
  <c r="K1645" i="41"/>
  <c r="L1645" i="41"/>
  <c r="M1645" i="41"/>
  <c r="N1645" i="41"/>
  <c r="O1645" i="41"/>
  <c r="P1645" i="41"/>
  <c r="Q1645" i="41"/>
  <c r="R1645" i="41"/>
  <c r="S1645" i="41"/>
  <c r="J1646" i="41"/>
  <c r="K1646" i="41"/>
  <c r="L1646" i="41"/>
  <c r="M1646" i="41"/>
  <c r="N1646" i="41"/>
  <c r="O1646" i="41"/>
  <c r="P1646" i="41"/>
  <c r="Q1646" i="41"/>
  <c r="R1646" i="41"/>
  <c r="S1646" i="41"/>
  <c r="J1647" i="41"/>
  <c r="K1647" i="41"/>
  <c r="L1647" i="41"/>
  <c r="M1647" i="41"/>
  <c r="N1647" i="41"/>
  <c r="O1647" i="41"/>
  <c r="P1647" i="41"/>
  <c r="Q1647" i="41"/>
  <c r="R1647" i="41"/>
  <c r="S1647" i="41"/>
  <c r="J1648" i="41"/>
  <c r="K1648" i="41"/>
  <c r="L1648" i="41"/>
  <c r="M1648" i="41"/>
  <c r="N1648" i="41"/>
  <c r="O1648" i="41"/>
  <c r="P1648" i="41"/>
  <c r="Q1648" i="41"/>
  <c r="R1648" i="41"/>
  <c r="S1648" i="41"/>
  <c r="J1649" i="41"/>
  <c r="K1649" i="41"/>
  <c r="L1649" i="41"/>
  <c r="M1649" i="41"/>
  <c r="N1649" i="41"/>
  <c r="O1649" i="41"/>
  <c r="P1649" i="41"/>
  <c r="Q1649" i="41"/>
  <c r="R1649" i="41"/>
  <c r="S1649" i="41"/>
  <c r="J1650" i="41"/>
  <c r="K1650" i="41"/>
  <c r="L1650" i="41"/>
  <c r="M1650" i="41"/>
  <c r="N1650" i="41"/>
  <c r="O1650" i="41"/>
  <c r="P1650" i="41"/>
  <c r="Q1650" i="41"/>
  <c r="R1650" i="41"/>
  <c r="S1650" i="41"/>
  <c r="J1651" i="41"/>
  <c r="K1651" i="41"/>
  <c r="L1651" i="41"/>
  <c r="M1651" i="41"/>
  <c r="N1651" i="41"/>
  <c r="O1651" i="41"/>
  <c r="P1651" i="41"/>
  <c r="Q1651" i="41"/>
  <c r="R1651" i="41"/>
  <c r="S1651" i="41"/>
  <c r="J1652" i="41"/>
  <c r="K1652" i="41"/>
  <c r="L1652" i="41"/>
  <c r="M1652" i="41"/>
  <c r="N1652" i="41"/>
  <c r="O1652" i="41"/>
  <c r="P1652" i="41"/>
  <c r="Q1652" i="41"/>
  <c r="R1652" i="41"/>
  <c r="S1652" i="41"/>
  <c r="J1653" i="41"/>
  <c r="K1653" i="41"/>
  <c r="L1653" i="41"/>
  <c r="M1653" i="41"/>
  <c r="N1653" i="41"/>
  <c r="O1653" i="41"/>
  <c r="P1653" i="41"/>
  <c r="Q1653" i="41"/>
  <c r="R1653" i="41"/>
  <c r="S1653" i="41"/>
  <c r="J1654" i="41"/>
  <c r="K1654" i="41"/>
  <c r="L1654" i="41"/>
  <c r="M1654" i="41"/>
  <c r="N1654" i="41"/>
  <c r="O1654" i="41"/>
  <c r="P1654" i="41"/>
  <c r="Q1654" i="41"/>
  <c r="R1654" i="41"/>
  <c r="S1654" i="41"/>
  <c r="J1655" i="41"/>
  <c r="K1655" i="41"/>
  <c r="L1655" i="41"/>
  <c r="M1655" i="41"/>
  <c r="N1655" i="41"/>
  <c r="O1655" i="41"/>
  <c r="P1655" i="41"/>
  <c r="Q1655" i="41"/>
  <c r="R1655" i="41"/>
  <c r="S1655" i="41"/>
  <c r="J1656" i="41"/>
  <c r="K1656" i="41"/>
  <c r="L1656" i="41"/>
  <c r="M1656" i="41"/>
  <c r="N1656" i="41"/>
  <c r="O1656" i="41"/>
  <c r="P1656" i="41"/>
  <c r="Q1656" i="41"/>
  <c r="R1656" i="41"/>
  <c r="S1656" i="41"/>
  <c r="J1657" i="41"/>
  <c r="K1657" i="41"/>
  <c r="L1657" i="41"/>
  <c r="M1657" i="41"/>
  <c r="N1657" i="41"/>
  <c r="O1657" i="41"/>
  <c r="P1657" i="41"/>
  <c r="Q1657" i="41"/>
  <c r="R1657" i="41"/>
  <c r="S1657" i="41"/>
  <c r="J1658" i="41"/>
  <c r="K1658" i="41"/>
  <c r="L1658" i="41"/>
  <c r="M1658" i="41"/>
  <c r="N1658" i="41"/>
  <c r="O1658" i="41"/>
  <c r="P1658" i="41"/>
  <c r="Q1658" i="41"/>
  <c r="R1658" i="41"/>
  <c r="S1658" i="41"/>
  <c r="J1659" i="41"/>
  <c r="K1659" i="41"/>
  <c r="L1659" i="41"/>
  <c r="M1659" i="41"/>
  <c r="N1659" i="41"/>
  <c r="O1659" i="41"/>
  <c r="P1659" i="41"/>
  <c r="Q1659" i="41"/>
  <c r="R1659" i="41"/>
  <c r="S1659" i="41"/>
  <c r="J1660" i="41"/>
  <c r="K1660" i="41"/>
  <c r="L1660" i="41"/>
  <c r="M1660" i="41"/>
  <c r="N1660" i="41"/>
  <c r="O1660" i="41"/>
  <c r="P1660" i="41"/>
  <c r="Q1660" i="41"/>
  <c r="R1660" i="41"/>
  <c r="S1660" i="41"/>
  <c r="J1661" i="41"/>
  <c r="K1661" i="41"/>
  <c r="L1661" i="41"/>
  <c r="M1661" i="41"/>
  <c r="N1661" i="41"/>
  <c r="O1661" i="41"/>
  <c r="P1661" i="41"/>
  <c r="Q1661" i="41"/>
  <c r="R1661" i="41"/>
  <c r="S1661" i="41"/>
  <c r="J1662" i="41"/>
  <c r="K1662" i="41"/>
  <c r="L1662" i="41"/>
  <c r="M1662" i="41"/>
  <c r="N1662" i="41"/>
  <c r="O1662" i="41"/>
  <c r="P1662" i="41"/>
  <c r="Q1662" i="41"/>
  <c r="R1662" i="41"/>
  <c r="S1662" i="41"/>
  <c r="J1663" i="41"/>
  <c r="K1663" i="41"/>
  <c r="L1663" i="41"/>
  <c r="M1663" i="41"/>
  <c r="N1663" i="41"/>
  <c r="O1663" i="41"/>
  <c r="P1663" i="41"/>
  <c r="Q1663" i="41"/>
  <c r="R1663" i="41"/>
  <c r="S1663" i="41"/>
  <c r="J1664" i="41"/>
  <c r="K1664" i="41"/>
  <c r="L1664" i="41"/>
  <c r="M1664" i="41"/>
  <c r="N1664" i="41"/>
  <c r="O1664" i="41"/>
  <c r="P1664" i="41"/>
  <c r="Q1664" i="41"/>
  <c r="R1664" i="41"/>
  <c r="S1664" i="41"/>
  <c r="J1665" i="41"/>
  <c r="K1665" i="41"/>
  <c r="L1665" i="41"/>
  <c r="M1665" i="41"/>
  <c r="N1665" i="41"/>
  <c r="O1665" i="41"/>
  <c r="P1665" i="41"/>
  <c r="Q1665" i="41"/>
  <c r="R1665" i="41"/>
  <c r="S1665" i="41"/>
  <c r="J1666" i="41"/>
  <c r="K1666" i="41"/>
  <c r="L1666" i="41"/>
  <c r="M1666" i="41"/>
  <c r="N1666" i="41"/>
  <c r="O1666" i="41"/>
  <c r="P1666" i="41"/>
  <c r="Q1666" i="41"/>
  <c r="R1666" i="41"/>
  <c r="S1666" i="41"/>
  <c r="J1667" i="41"/>
  <c r="K1667" i="41"/>
  <c r="L1667" i="41"/>
  <c r="M1667" i="41"/>
  <c r="N1667" i="41"/>
  <c r="O1667" i="41"/>
  <c r="P1667" i="41"/>
  <c r="Q1667" i="41"/>
  <c r="R1667" i="41"/>
  <c r="S1667" i="41"/>
  <c r="J1668" i="41"/>
  <c r="K1668" i="41"/>
  <c r="L1668" i="41"/>
  <c r="M1668" i="41"/>
  <c r="N1668" i="41"/>
  <c r="O1668" i="41"/>
  <c r="P1668" i="41"/>
  <c r="Q1668" i="41"/>
  <c r="R1668" i="41"/>
  <c r="S1668" i="41"/>
  <c r="J1669" i="41"/>
  <c r="K1669" i="41"/>
  <c r="L1669" i="41"/>
  <c r="M1669" i="41"/>
  <c r="N1669" i="41"/>
  <c r="O1669" i="41"/>
  <c r="P1669" i="41"/>
  <c r="Q1669" i="41"/>
  <c r="R1669" i="41"/>
  <c r="S1669" i="41"/>
  <c r="J1670" i="41"/>
  <c r="K1670" i="41"/>
  <c r="L1670" i="41"/>
  <c r="M1670" i="41"/>
  <c r="N1670" i="41"/>
  <c r="O1670" i="41"/>
  <c r="P1670" i="41"/>
  <c r="Q1670" i="41"/>
  <c r="R1670" i="41"/>
  <c r="S1670" i="41"/>
  <c r="J1671" i="41"/>
  <c r="K1671" i="41"/>
  <c r="L1671" i="41"/>
  <c r="M1671" i="41"/>
  <c r="N1671" i="41"/>
  <c r="O1671" i="41"/>
  <c r="P1671" i="41"/>
  <c r="Q1671" i="41"/>
  <c r="R1671" i="41"/>
  <c r="S1671" i="41"/>
  <c r="J1672" i="41"/>
  <c r="K1672" i="41"/>
  <c r="L1672" i="41"/>
  <c r="M1672" i="41"/>
  <c r="N1672" i="41"/>
  <c r="O1672" i="41"/>
  <c r="P1672" i="41"/>
  <c r="Q1672" i="41"/>
  <c r="R1672" i="41"/>
  <c r="S1672" i="41"/>
  <c r="J1673" i="41"/>
  <c r="K1673" i="41"/>
  <c r="L1673" i="41"/>
  <c r="M1673" i="41"/>
  <c r="N1673" i="41"/>
  <c r="O1673" i="41"/>
  <c r="P1673" i="41"/>
  <c r="Q1673" i="41"/>
  <c r="R1673" i="41"/>
  <c r="S1673" i="41"/>
  <c r="J1674" i="41"/>
  <c r="K1674" i="41"/>
  <c r="L1674" i="41"/>
  <c r="M1674" i="41"/>
  <c r="N1674" i="41"/>
  <c r="O1674" i="41"/>
  <c r="P1674" i="41"/>
  <c r="Q1674" i="41"/>
  <c r="R1674" i="41"/>
  <c r="S1674" i="41"/>
  <c r="J1675" i="41"/>
  <c r="K1675" i="41"/>
  <c r="L1675" i="41"/>
  <c r="M1675" i="41"/>
  <c r="N1675" i="41"/>
  <c r="O1675" i="41"/>
  <c r="P1675" i="41"/>
  <c r="Q1675" i="41"/>
  <c r="R1675" i="41"/>
  <c r="S1675" i="41"/>
  <c r="J1676" i="41"/>
  <c r="K1676" i="41"/>
  <c r="L1676" i="41"/>
  <c r="M1676" i="41"/>
  <c r="N1676" i="41"/>
  <c r="O1676" i="41"/>
  <c r="P1676" i="41"/>
  <c r="Q1676" i="41"/>
  <c r="R1676" i="41"/>
  <c r="S1676" i="41"/>
  <c r="J1677" i="41"/>
  <c r="K1677" i="41"/>
  <c r="L1677" i="41"/>
  <c r="M1677" i="41"/>
  <c r="N1677" i="41"/>
  <c r="O1677" i="41"/>
  <c r="P1677" i="41"/>
  <c r="Q1677" i="41"/>
  <c r="R1677" i="41"/>
  <c r="S1677" i="41"/>
  <c r="J1678" i="41"/>
  <c r="K1678" i="41"/>
  <c r="L1678" i="41"/>
  <c r="M1678" i="41"/>
  <c r="N1678" i="41"/>
  <c r="O1678" i="41"/>
  <c r="P1678" i="41"/>
  <c r="Q1678" i="41"/>
  <c r="R1678" i="41"/>
  <c r="S1678" i="41"/>
  <c r="J1679" i="41"/>
  <c r="K1679" i="41"/>
  <c r="L1679" i="41"/>
  <c r="M1679" i="41"/>
  <c r="N1679" i="41"/>
  <c r="O1679" i="41"/>
  <c r="P1679" i="41"/>
  <c r="Q1679" i="41"/>
  <c r="R1679" i="41"/>
  <c r="S1679" i="41"/>
  <c r="J1680" i="41"/>
  <c r="K1680" i="41"/>
  <c r="L1680" i="41"/>
  <c r="M1680" i="41"/>
  <c r="N1680" i="41"/>
  <c r="O1680" i="41"/>
  <c r="P1680" i="41"/>
  <c r="Q1680" i="41"/>
  <c r="R1680" i="41"/>
  <c r="S1680" i="41"/>
  <c r="J1681" i="41"/>
  <c r="K1681" i="41"/>
  <c r="L1681" i="41"/>
  <c r="M1681" i="41"/>
  <c r="N1681" i="41"/>
  <c r="O1681" i="41"/>
  <c r="P1681" i="41"/>
  <c r="Q1681" i="41"/>
  <c r="R1681" i="41"/>
  <c r="S1681" i="41"/>
  <c r="J1682" i="41"/>
  <c r="K1682" i="41"/>
  <c r="L1682" i="41"/>
  <c r="M1682" i="41"/>
  <c r="N1682" i="41"/>
  <c r="O1682" i="41"/>
  <c r="P1682" i="41"/>
  <c r="Q1682" i="41"/>
  <c r="R1682" i="41"/>
  <c r="S1682" i="41"/>
  <c r="J1683" i="41"/>
  <c r="K1683" i="41"/>
  <c r="L1683" i="41"/>
  <c r="M1683" i="41"/>
  <c r="N1683" i="41"/>
  <c r="O1683" i="41"/>
  <c r="P1683" i="41"/>
  <c r="Q1683" i="41"/>
  <c r="R1683" i="41"/>
  <c r="S1683" i="41"/>
  <c r="J1684" i="41"/>
  <c r="K1684" i="41"/>
  <c r="L1684" i="41"/>
  <c r="M1684" i="41"/>
  <c r="N1684" i="41"/>
  <c r="O1684" i="41"/>
  <c r="P1684" i="41"/>
  <c r="Q1684" i="41"/>
  <c r="R1684" i="41"/>
  <c r="S1684" i="41"/>
  <c r="J1685" i="41"/>
  <c r="K1685" i="41"/>
  <c r="L1685" i="41"/>
  <c r="M1685" i="41"/>
  <c r="N1685" i="41"/>
  <c r="O1685" i="41"/>
  <c r="P1685" i="41"/>
  <c r="Q1685" i="41"/>
  <c r="R1685" i="41"/>
  <c r="S1685" i="41"/>
  <c r="J1686" i="41"/>
  <c r="K1686" i="41"/>
  <c r="L1686" i="41"/>
  <c r="M1686" i="41"/>
  <c r="N1686" i="41"/>
  <c r="O1686" i="41"/>
  <c r="P1686" i="41"/>
  <c r="Q1686" i="41"/>
  <c r="R1686" i="41"/>
  <c r="S1686" i="41"/>
  <c r="J1687" i="41"/>
  <c r="K1687" i="41"/>
  <c r="L1687" i="41"/>
  <c r="M1687" i="41"/>
  <c r="N1687" i="41"/>
  <c r="O1687" i="41"/>
  <c r="P1687" i="41"/>
  <c r="Q1687" i="41"/>
  <c r="R1687" i="41"/>
  <c r="S1687" i="41"/>
  <c r="J1688" i="41"/>
  <c r="K1688" i="41"/>
  <c r="L1688" i="41"/>
  <c r="M1688" i="41"/>
  <c r="N1688" i="41"/>
  <c r="O1688" i="41"/>
  <c r="P1688" i="41"/>
  <c r="Q1688" i="41"/>
  <c r="R1688" i="41"/>
  <c r="S1688" i="41"/>
  <c r="J1689" i="41"/>
  <c r="K1689" i="41"/>
  <c r="L1689" i="41"/>
  <c r="M1689" i="41"/>
  <c r="N1689" i="41"/>
  <c r="O1689" i="41"/>
  <c r="P1689" i="41"/>
  <c r="Q1689" i="41"/>
  <c r="R1689" i="41"/>
  <c r="S1689" i="41"/>
  <c r="J1690" i="41"/>
  <c r="K1690" i="41"/>
  <c r="L1690" i="41"/>
  <c r="M1690" i="41"/>
  <c r="N1690" i="41"/>
  <c r="O1690" i="41"/>
  <c r="P1690" i="41"/>
  <c r="Q1690" i="41"/>
  <c r="R1690" i="41"/>
  <c r="S1690" i="41"/>
  <c r="J1691" i="41"/>
  <c r="K1691" i="41"/>
  <c r="L1691" i="41"/>
  <c r="M1691" i="41"/>
  <c r="N1691" i="41"/>
  <c r="O1691" i="41"/>
  <c r="P1691" i="41"/>
  <c r="Q1691" i="41"/>
  <c r="R1691" i="41"/>
  <c r="S1691" i="41"/>
  <c r="J1692" i="41"/>
  <c r="K1692" i="41"/>
  <c r="L1692" i="41"/>
  <c r="M1692" i="41"/>
  <c r="N1692" i="41"/>
  <c r="O1692" i="41"/>
  <c r="P1692" i="41"/>
  <c r="Q1692" i="41"/>
  <c r="R1692" i="41"/>
  <c r="S1692" i="41"/>
  <c r="J1693" i="41"/>
  <c r="K1693" i="41"/>
  <c r="L1693" i="41"/>
  <c r="M1693" i="41"/>
  <c r="N1693" i="41"/>
  <c r="O1693" i="41"/>
  <c r="P1693" i="41"/>
  <c r="Q1693" i="41"/>
  <c r="R1693" i="41"/>
  <c r="S1693" i="41"/>
  <c r="J1694" i="41"/>
  <c r="K1694" i="41"/>
  <c r="L1694" i="41"/>
  <c r="M1694" i="41"/>
  <c r="N1694" i="41"/>
  <c r="O1694" i="41"/>
  <c r="P1694" i="41"/>
  <c r="Q1694" i="41"/>
  <c r="R1694" i="41"/>
  <c r="S1694" i="41"/>
  <c r="J1695" i="41"/>
  <c r="K1695" i="41"/>
  <c r="L1695" i="41"/>
  <c r="M1695" i="41"/>
  <c r="N1695" i="41"/>
  <c r="O1695" i="41"/>
  <c r="P1695" i="41"/>
  <c r="Q1695" i="41"/>
  <c r="R1695" i="41"/>
  <c r="S1695" i="41"/>
  <c r="J1696" i="41"/>
  <c r="K1696" i="41"/>
  <c r="L1696" i="41"/>
  <c r="M1696" i="41"/>
  <c r="N1696" i="41"/>
  <c r="O1696" i="41"/>
  <c r="P1696" i="41"/>
  <c r="Q1696" i="41"/>
  <c r="R1696" i="41"/>
  <c r="S1696" i="41"/>
  <c r="J1697" i="41"/>
  <c r="K1697" i="41"/>
  <c r="L1697" i="41"/>
  <c r="M1697" i="41"/>
  <c r="N1697" i="41"/>
  <c r="O1697" i="41"/>
  <c r="P1697" i="41"/>
  <c r="Q1697" i="41"/>
  <c r="R1697" i="41"/>
  <c r="S1697" i="41"/>
  <c r="J1698" i="41"/>
  <c r="K1698" i="41"/>
  <c r="L1698" i="41"/>
  <c r="M1698" i="41"/>
  <c r="N1698" i="41"/>
  <c r="O1698" i="41"/>
  <c r="P1698" i="41"/>
  <c r="Q1698" i="41"/>
  <c r="R1698" i="41"/>
  <c r="S1698" i="41"/>
  <c r="J1699" i="41"/>
  <c r="K1699" i="41"/>
  <c r="L1699" i="41"/>
  <c r="M1699" i="41"/>
  <c r="N1699" i="41"/>
  <c r="O1699" i="41"/>
  <c r="P1699" i="41"/>
  <c r="Q1699" i="41"/>
  <c r="R1699" i="41"/>
  <c r="S1699" i="41"/>
  <c r="J1700" i="41"/>
  <c r="K1700" i="41"/>
  <c r="L1700" i="41"/>
  <c r="M1700" i="41"/>
  <c r="N1700" i="41"/>
  <c r="O1700" i="41"/>
  <c r="P1700" i="41"/>
  <c r="Q1700" i="41"/>
  <c r="R1700" i="41"/>
  <c r="S1700" i="41"/>
  <c r="J1701" i="41"/>
  <c r="K1701" i="41"/>
  <c r="L1701" i="41"/>
  <c r="M1701" i="41"/>
  <c r="N1701" i="41"/>
  <c r="O1701" i="41"/>
  <c r="P1701" i="41"/>
  <c r="Q1701" i="41"/>
  <c r="R1701" i="41"/>
  <c r="S1701" i="41"/>
  <c r="J1702" i="41"/>
  <c r="K1702" i="41"/>
  <c r="L1702" i="41"/>
  <c r="M1702" i="41"/>
  <c r="N1702" i="41"/>
  <c r="O1702" i="41"/>
  <c r="P1702" i="41"/>
  <c r="Q1702" i="41"/>
  <c r="R1702" i="41"/>
  <c r="S1702" i="41"/>
  <c r="J1703" i="41"/>
  <c r="K1703" i="41"/>
  <c r="L1703" i="41"/>
  <c r="M1703" i="41"/>
  <c r="N1703" i="41"/>
  <c r="O1703" i="41"/>
  <c r="P1703" i="41"/>
  <c r="Q1703" i="41"/>
  <c r="R1703" i="41"/>
  <c r="S1703" i="41"/>
  <c r="J1704" i="41"/>
  <c r="K1704" i="41"/>
  <c r="L1704" i="41"/>
  <c r="M1704" i="41"/>
  <c r="N1704" i="41"/>
  <c r="O1704" i="41"/>
  <c r="P1704" i="41"/>
  <c r="Q1704" i="41"/>
  <c r="R1704" i="41"/>
  <c r="S1704" i="41"/>
  <c r="J1705" i="41"/>
  <c r="K1705" i="41"/>
  <c r="L1705" i="41"/>
  <c r="M1705" i="41"/>
  <c r="N1705" i="41"/>
  <c r="O1705" i="41"/>
  <c r="P1705" i="41"/>
  <c r="Q1705" i="41"/>
  <c r="R1705" i="41"/>
  <c r="S1705" i="41"/>
  <c r="J1706" i="41"/>
  <c r="K1706" i="41"/>
  <c r="L1706" i="41"/>
  <c r="M1706" i="41"/>
  <c r="N1706" i="41"/>
  <c r="O1706" i="41"/>
  <c r="P1706" i="41"/>
  <c r="Q1706" i="41"/>
  <c r="R1706" i="41"/>
  <c r="S1706" i="41"/>
  <c r="J1707" i="41"/>
  <c r="K1707" i="41"/>
  <c r="L1707" i="41"/>
  <c r="M1707" i="41"/>
  <c r="N1707" i="41"/>
  <c r="O1707" i="41"/>
  <c r="P1707" i="41"/>
  <c r="Q1707" i="41"/>
  <c r="R1707" i="41"/>
  <c r="S1707" i="41"/>
  <c r="J1708" i="41"/>
  <c r="K1708" i="41"/>
  <c r="L1708" i="41"/>
  <c r="M1708" i="41"/>
  <c r="N1708" i="41"/>
  <c r="O1708" i="41"/>
  <c r="P1708" i="41"/>
  <c r="Q1708" i="41"/>
  <c r="R1708" i="41"/>
  <c r="S1708" i="41"/>
  <c r="J1709" i="41"/>
  <c r="K1709" i="41"/>
  <c r="L1709" i="41"/>
  <c r="M1709" i="41"/>
  <c r="N1709" i="41"/>
  <c r="O1709" i="41"/>
  <c r="P1709" i="41"/>
  <c r="Q1709" i="41"/>
  <c r="R1709" i="41"/>
  <c r="S1709" i="41"/>
  <c r="J1710" i="41"/>
  <c r="K1710" i="41"/>
  <c r="L1710" i="41"/>
  <c r="M1710" i="41"/>
  <c r="N1710" i="41"/>
  <c r="O1710" i="41"/>
  <c r="P1710" i="41"/>
  <c r="Q1710" i="41"/>
  <c r="R1710" i="41"/>
  <c r="S1710" i="41"/>
  <c r="J1711" i="41"/>
  <c r="K1711" i="41"/>
  <c r="L1711" i="41"/>
  <c r="M1711" i="41"/>
  <c r="N1711" i="41"/>
  <c r="O1711" i="41"/>
  <c r="P1711" i="41"/>
  <c r="Q1711" i="41"/>
  <c r="R1711" i="41"/>
  <c r="S1711" i="41"/>
  <c r="J1712" i="41"/>
  <c r="K1712" i="41"/>
  <c r="L1712" i="41"/>
  <c r="M1712" i="41"/>
  <c r="N1712" i="41"/>
  <c r="O1712" i="41"/>
  <c r="P1712" i="41"/>
  <c r="Q1712" i="41"/>
  <c r="R1712" i="41"/>
  <c r="S1712" i="41"/>
  <c r="J1713" i="41"/>
  <c r="K1713" i="41"/>
  <c r="L1713" i="41"/>
  <c r="M1713" i="41"/>
  <c r="N1713" i="41"/>
  <c r="O1713" i="41"/>
  <c r="P1713" i="41"/>
  <c r="Q1713" i="41"/>
  <c r="R1713" i="41"/>
  <c r="S1713" i="41"/>
  <c r="J1714" i="41"/>
  <c r="K1714" i="41"/>
  <c r="L1714" i="41"/>
  <c r="M1714" i="41"/>
  <c r="N1714" i="41"/>
  <c r="O1714" i="41"/>
  <c r="P1714" i="41"/>
  <c r="Q1714" i="41"/>
  <c r="R1714" i="41"/>
  <c r="S1714" i="41"/>
  <c r="J1715" i="41"/>
  <c r="K1715" i="41"/>
  <c r="L1715" i="41"/>
  <c r="M1715" i="41"/>
  <c r="N1715" i="41"/>
  <c r="O1715" i="41"/>
  <c r="P1715" i="41"/>
  <c r="Q1715" i="41"/>
  <c r="R1715" i="41"/>
  <c r="S1715" i="41"/>
  <c r="J1716" i="41"/>
  <c r="K1716" i="41"/>
  <c r="L1716" i="41"/>
  <c r="M1716" i="41"/>
  <c r="N1716" i="41"/>
  <c r="O1716" i="41"/>
  <c r="P1716" i="41"/>
  <c r="Q1716" i="41"/>
  <c r="R1716" i="41"/>
  <c r="S1716" i="41"/>
  <c r="J1717" i="41"/>
  <c r="K1717" i="41"/>
  <c r="L1717" i="41"/>
  <c r="M1717" i="41"/>
  <c r="N1717" i="41"/>
  <c r="O1717" i="41"/>
  <c r="P1717" i="41"/>
  <c r="Q1717" i="41"/>
  <c r="R1717" i="41"/>
  <c r="S1717" i="41"/>
  <c r="J1718" i="41"/>
  <c r="K1718" i="41"/>
  <c r="L1718" i="41"/>
  <c r="M1718" i="41"/>
  <c r="N1718" i="41"/>
  <c r="O1718" i="41"/>
  <c r="P1718" i="41"/>
  <c r="Q1718" i="41"/>
  <c r="R1718" i="41"/>
  <c r="S1718" i="41"/>
  <c r="J1719" i="41"/>
  <c r="K1719" i="41"/>
  <c r="L1719" i="41"/>
  <c r="M1719" i="41"/>
  <c r="N1719" i="41"/>
  <c r="O1719" i="41"/>
  <c r="P1719" i="41"/>
  <c r="Q1719" i="41"/>
  <c r="R1719" i="41"/>
  <c r="S1719" i="41"/>
  <c r="J1720" i="41"/>
  <c r="K1720" i="41"/>
  <c r="L1720" i="41"/>
  <c r="M1720" i="41"/>
  <c r="N1720" i="41"/>
  <c r="O1720" i="41"/>
  <c r="P1720" i="41"/>
  <c r="Q1720" i="41"/>
  <c r="R1720" i="41"/>
  <c r="S1720" i="41"/>
  <c r="J1721" i="41"/>
  <c r="K1721" i="41"/>
  <c r="L1721" i="41"/>
  <c r="M1721" i="41"/>
  <c r="N1721" i="41"/>
  <c r="O1721" i="41"/>
  <c r="P1721" i="41"/>
  <c r="Q1721" i="41"/>
  <c r="R1721" i="41"/>
  <c r="S1721" i="41"/>
  <c r="J1722" i="41"/>
  <c r="K1722" i="41"/>
  <c r="L1722" i="41"/>
  <c r="M1722" i="41"/>
  <c r="N1722" i="41"/>
  <c r="O1722" i="41"/>
  <c r="P1722" i="41"/>
  <c r="Q1722" i="41"/>
  <c r="R1722" i="41"/>
  <c r="S1722" i="41"/>
  <c r="J1723" i="41"/>
  <c r="K1723" i="41"/>
  <c r="L1723" i="41"/>
  <c r="M1723" i="41"/>
  <c r="N1723" i="41"/>
  <c r="O1723" i="41"/>
  <c r="P1723" i="41"/>
  <c r="Q1723" i="41"/>
  <c r="R1723" i="41"/>
  <c r="S1723" i="41"/>
  <c r="J1724" i="41"/>
  <c r="K1724" i="41"/>
  <c r="L1724" i="41"/>
  <c r="M1724" i="41"/>
  <c r="N1724" i="41"/>
  <c r="O1724" i="41"/>
  <c r="P1724" i="41"/>
  <c r="Q1724" i="41"/>
  <c r="R1724" i="41"/>
  <c r="S1724" i="41"/>
  <c r="J1725" i="41"/>
  <c r="K1725" i="41"/>
  <c r="L1725" i="41"/>
  <c r="M1725" i="41"/>
  <c r="N1725" i="41"/>
  <c r="O1725" i="41"/>
  <c r="P1725" i="41"/>
  <c r="Q1725" i="41"/>
  <c r="R1725" i="41"/>
  <c r="S1725" i="41"/>
  <c r="J1726" i="41"/>
  <c r="K1726" i="41"/>
  <c r="L1726" i="41"/>
  <c r="M1726" i="41"/>
  <c r="N1726" i="41"/>
  <c r="O1726" i="41"/>
  <c r="P1726" i="41"/>
  <c r="Q1726" i="41"/>
  <c r="R1726" i="41"/>
  <c r="S1726" i="41"/>
  <c r="J1727" i="41"/>
  <c r="K1727" i="41"/>
  <c r="L1727" i="41"/>
  <c r="M1727" i="41"/>
  <c r="N1727" i="41"/>
  <c r="O1727" i="41"/>
  <c r="P1727" i="41"/>
  <c r="Q1727" i="41"/>
  <c r="R1727" i="41"/>
  <c r="S1727" i="41"/>
  <c r="J1728" i="41"/>
  <c r="K1728" i="41"/>
  <c r="L1728" i="41"/>
  <c r="M1728" i="41"/>
  <c r="N1728" i="41"/>
  <c r="O1728" i="41"/>
  <c r="P1728" i="41"/>
  <c r="Q1728" i="41"/>
  <c r="R1728" i="41"/>
  <c r="S1728" i="41"/>
  <c r="J1729" i="41"/>
  <c r="K1729" i="41"/>
  <c r="L1729" i="41"/>
  <c r="M1729" i="41"/>
  <c r="N1729" i="41"/>
  <c r="O1729" i="41"/>
  <c r="P1729" i="41"/>
  <c r="Q1729" i="41"/>
  <c r="R1729" i="41"/>
  <c r="S1729" i="41"/>
  <c r="J1730" i="41"/>
  <c r="K1730" i="41"/>
  <c r="L1730" i="41"/>
  <c r="M1730" i="41"/>
  <c r="N1730" i="41"/>
  <c r="O1730" i="41"/>
  <c r="P1730" i="41"/>
  <c r="Q1730" i="41"/>
  <c r="R1730" i="41"/>
  <c r="S1730" i="41"/>
  <c r="J1731" i="41"/>
  <c r="K1731" i="41"/>
  <c r="L1731" i="41"/>
  <c r="M1731" i="41"/>
  <c r="N1731" i="41"/>
  <c r="O1731" i="41"/>
  <c r="P1731" i="41"/>
  <c r="Q1731" i="41"/>
  <c r="R1731" i="41"/>
  <c r="S1731" i="41"/>
  <c r="J1732" i="41"/>
  <c r="K1732" i="41"/>
  <c r="L1732" i="41"/>
  <c r="M1732" i="41"/>
  <c r="N1732" i="41"/>
  <c r="O1732" i="41"/>
  <c r="P1732" i="41"/>
  <c r="Q1732" i="41"/>
  <c r="R1732" i="41"/>
  <c r="S1732" i="41"/>
  <c r="J1733" i="41"/>
  <c r="K1733" i="41"/>
  <c r="L1733" i="41"/>
  <c r="M1733" i="41"/>
  <c r="N1733" i="41"/>
  <c r="O1733" i="41"/>
  <c r="P1733" i="41"/>
  <c r="Q1733" i="41"/>
  <c r="R1733" i="41"/>
  <c r="S1733" i="41"/>
  <c r="J1734" i="41"/>
  <c r="K1734" i="41"/>
  <c r="L1734" i="41"/>
  <c r="M1734" i="41"/>
  <c r="N1734" i="41"/>
  <c r="O1734" i="41"/>
  <c r="P1734" i="41"/>
  <c r="Q1734" i="41"/>
  <c r="R1734" i="41"/>
  <c r="S1734" i="41"/>
  <c r="J1735" i="41"/>
  <c r="K1735" i="41"/>
  <c r="L1735" i="41"/>
  <c r="M1735" i="41"/>
  <c r="N1735" i="41"/>
  <c r="O1735" i="41"/>
  <c r="P1735" i="41"/>
  <c r="Q1735" i="41"/>
  <c r="R1735" i="41"/>
  <c r="S1735" i="41"/>
  <c r="J1736" i="41"/>
  <c r="K1736" i="41"/>
  <c r="L1736" i="41"/>
  <c r="M1736" i="41"/>
  <c r="N1736" i="41"/>
  <c r="O1736" i="41"/>
  <c r="P1736" i="41"/>
  <c r="Q1736" i="41"/>
  <c r="R1736" i="41"/>
  <c r="S1736" i="41"/>
  <c r="J1737" i="41"/>
  <c r="K1737" i="41"/>
  <c r="L1737" i="41"/>
  <c r="M1737" i="41"/>
  <c r="N1737" i="41"/>
  <c r="O1737" i="41"/>
  <c r="P1737" i="41"/>
  <c r="Q1737" i="41"/>
  <c r="R1737" i="41"/>
  <c r="S1737" i="41"/>
  <c r="J1738" i="41"/>
  <c r="K1738" i="41"/>
  <c r="L1738" i="41"/>
  <c r="M1738" i="41"/>
  <c r="N1738" i="41"/>
  <c r="O1738" i="41"/>
  <c r="P1738" i="41"/>
  <c r="Q1738" i="41"/>
  <c r="R1738" i="41"/>
  <c r="S1738" i="41"/>
  <c r="J1739" i="41"/>
  <c r="K1739" i="41"/>
  <c r="L1739" i="41"/>
  <c r="M1739" i="41"/>
  <c r="N1739" i="41"/>
  <c r="O1739" i="41"/>
  <c r="P1739" i="41"/>
  <c r="Q1739" i="41"/>
  <c r="R1739" i="41"/>
  <c r="S1739" i="41"/>
  <c r="J1740" i="41"/>
  <c r="K1740" i="41"/>
  <c r="L1740" i="41"/>
  <c r="M1740" i="41"/>
  <c r="N1740" i="41"/>
  <c r="O1740" i="41"/>
  <c r="P1740" i="41"/>
  <c r="Q1740" i="41"/>
  <c r="R1740" i="41"/>
  <c r="S1740" i="41"/>
  <c r="J1741" i="41"/>
  <c r="K1741" i="41"/>
  <c r="L1741" i="41"/>
  <c r="M1741" i="41"/>
  <c r="N1741" i="41"/>
  <c r="O1741" i="41"/>
  <c r="P1741" i="41"/>
  <c r="Q1741" i="41"/>
  <c r="R1741" i="41"/>
  <c r="S1741" i="41"/>
  <c r="J1742" i="41"/>
  <c r="K1742" i="41"/>
  <c r="L1742" i="41"/>
  <c r="M1742" i="41"/>
  <c r="N1742" i="41"/>
  <c r="O1742" i="41"/>
  <c r="P1742" i="41"/>
  <c r="Q1742" i="41"/>
  <c r="R1742" i="41"/>
  <c r="S1742" i="41"/>
  <c r="J1743" i="41"/>
  <c r="K1743" i="41"/>
  <c r="L1743" i="41"/>
  <c r="M1743" i="41"/>
  <c r="N1743" i="41"/>
  <c r="O1743" i="41"/>
  <c r="P1743" i="41"/>
  <c r="Q1743" i="41"/>
  <c r="R1743" i="41"/>
  <c r="S1743" i="41"/>
  <c r="J1744" i="41"/>
  <c r="K1744" i="41"/>
  <c r="L1744" i="41"/>
  <c r="M1744" i="41"/>
  <c r="N1744" i="41"/>
  <c r="O1744" i="41"/>
  <c r="P1744" i="41"/>
  <c r="Q1744" i="41"/>
  <c r="R1744" i="41"/>
  <c r="S1744" i="41"/>
  <c r="J1745" i="41"/>
  <c r="K1745" i="41"/>
  <c r="L1745" i="41"/>
  <c r="M1745" i="41"/>
  <c r="N1745" i="41"/>
  <c r="O1745" i="41"/>
  <c r="P1745" i="41"/>
  <c r="Q1745" i="41"/>
  <c r="R1745" i="41"/>
  <c r="S1745" i="41"/>
  <c r="J1746" i="41"/>
  <c r="K1746" i="41"/>
  <c r="L1746" i="41"/>
  <c r="M1746" i="41"/>
  <c r="N1746" i="41"/>
  <c r="O1746" i="41"/>
  <c r="P1746" i="41"/>
  <c r="Q1746" i="41"/>
  <c r="R1746" i="41"/>
  <c r="S1746" i="41"/>
  <c r="J1747" i="41"/>
  <c r="K1747" i="41"/>
  <c r="L1747" i="41"/>
  <c r="M1747" i="41"/>
  <c r="N1747" i="41"/>
  <c r="O1747" i="41"/>
  <c r="P1747" i="41"/>
  <c r="Q1747" i="41"/>
  <c r="R1747" i="41"/>
  <c r="S1747" i="41"/>
  <c r="J1748" i="41"/>
  <c r="K1748" i="41"/>
  <c r="L1748" i="41"/>
  <c r="M1748" i="41"/>
  <c r="N1748" i="41"/>
  <c r="O1748" i="41"/>
  <c r="P1748" i="41"/>
  <c r="Q1748" i="41"/>
  <c r="R1748" i="41"/>
  <c r="S1748" i="41"/>
  <c r="J1749" i="41"/>
  <c r="K1749" i="41"/>
  <c r="L1749" i="41"/>
  <c r="M1749" i="41"/>
  <c r="N1749" i="41"/>
  <c r="O1749" i="41"/>
  <c r="P1749" i="41"/>
  <c r="Q1749" i="41"/>
  <c r="R1749" i="41"/>
  <c r="S1749" i="41"/>
  <c r="J1750" i="41"/>
  <c r="K1750" i="41"/>
  <c r="L1750" i="41"/>
  <c r="M1750" i="41"/>
  <c r="N1750" i="41"/>
  <c r="O1750" i="41"/>
  <c r="P1750" i="41"/>
  <c r="Q1750" i="41"/>
  <c r="R1750" i="41"/>
  <c r="S1750" i="41"/>
  <c r="J1752" i="41"/>
  <c r="K1752" i="41"/>
  <c r="L1752" i="41"/>
  <c r="M1752" i="41"/>
  <c r="N1752" i="41"/>
  <c r="O1752" i="41"/>
  <c r="P1752" i="41"/>
  <c r="Q1752" i="41"/>
  <c r="R1752" i="41"/>
  <c r="S1752" i="41"/>
  <c r="J1753" i="41"/>
  <c r="K1753" i="41"/>
  <c r="L1753" i="41"/>
  <c r="M1753" i="41"/>
  <c r="N1753" i="41"/>
  <c r="O1753" i="41"/>
  <c r="P1753" i="41"/>
  <c r="Q1753" i="41"/>
  <c r="R1753" i="41"/>
  <c r="S1753" i="41"/>
  <c r="J1754" i="41"/>
  <c r="K1754" i="41"/>
  <c r="L1754" i="41"/>
  <c r="M1754" i="41"/>
  <c r="N1754" i="41"/>
  <c r="O1754" i="41"/>
  <c r="P1754" i="41"/>
  <c r="Q1754" i="41"/>
  <c r="R1754" i="41"/>
  <c r="S1754" i="41"/>
  <c r="J1755" i="41"/>
  <c r="K1755" i="41"/>
  <c r="L1755" i="41"/>
  <c r="M1755" i="41"/>
  <c r="N1755" i="41"/>
  <c r="O1755" i="41"/>
  <c r="P1755" i="41"/>
  <c r="Q1755" i="41"/>
  <c r="R1755" i="41"/>
  <c r="S1755" i="41"/>
  <c r="J1756" i="41"/>
  <c r="K1756" i="41"/>
  <c r="L1756" i="41"/>
  <c r="M1756" i="41"/>
  <c r="N1756" i="41"/>
  <c r="O1756" i="41"/>
  <c r="P1756" i="41"/>
  <c r="Q1756" i="41"/>
  <c r="R1756" i="41"/>
  <c r="S1756" i="41"/>
  <c r="J1757" i="41"/>
  <c r="K1757" i="41"/>
  <c r="L1757" i="41"/>
  <c r="M1757" i="41"/>
  <c r="N1757" i="41"/>
  <c r="O1757" i="41"/>
  <c r="P1757" i="41"/>
  <c r="Q1757" i="41"/>
  <c r="R1757" i="41"/>
  <c r="S1757" i="41"/>
  <c r="J1758" i="41"/>
  <c r="K1758" i="41"/>
  <c r="L1758" i="41"/>
  <c r="M1758" i="41"/>
  <c r="N1758" i="41"/>
  <c r="O1758" i="41"/>
  <c r="P1758" i="41"/>
  <c r="Q1758" i="41"/>
  <c r="R1758" i="41"/>
  <c r="S1758" i="41"/>
  <c r="J1759" i="41"/>
  <c r="K1759" i="41"/>
  <c r="L1759" i="41"/>
  <c r="M1759" i="41"/>
  <c r="N1759" i="41"/>
  <c r="O1759" i="41"/>
  <c r="P1759" i="41"/>
  <c r="Q1759" i="41"/>
  <c r="R1759" i="41"/>
  <c r="S1759" i="41"/>
  <c r="J1760" i="41"/>
  <c r="K1760" i="41"/>
  <c r="L1760" i="41"/>
  <c r="M1760" i="41"/>
  <c r="N1760" i="41"/>
  <c r="O1760" i="41"/>
  <c r="P1760" i="41"/>
  <c r="Q1760" i="41"/>
  <c r="R1760" i="41"/>
  <c r="S1760" i="41"/>
  <c r="J1761" i="41"/>
  <c r="K1761" i="41"/>
  <c r="L1761" i="41"/>
  <c r="M1761" i="41"/>
  <c r="N1761" i="41"/>
  <c r="O1761" i="41"/>
  <c r="P1761" i="41"/>
  <c r="Q1761" i="41"/>
  <c r="R1761" i="41"/>
  <c r="S1761" i="41"/>
  <c r="J1762" i="41"/>
  <c r="K1762" i="41"/>
  <c r="L1762" i="41"/>
  <c r="M1762" i="41"/>
  <c r="N1762" i="41"/>
  <c r="O1762" i="41"/>
  <c r="P1762" i="41"/>
  <c r="Q1762" i="41"/>
  <c r="R1762" i="41"/>
  <c r="S1762" i="41"/>
  <c r="J1763" i="41"/>
  <c r="K1763" i="41"/>
  <c r="L1763" i="41"/>
  <c r="M1763" i="41"/>
  <c r="N1763" i="41"/>
  <c r="O1763" i="41"/>
  <c r="P1763" i="41"/>
  <c r="Q1763" i="41"/>
  <c r="R1763" i="41"/>
  <c r="S1763" i="41"/>
  <c r="J1764" i="41"/>
  <c r="K1764" i="41"/>
  <c r="L1764" i="41"/>
  <c r="M1764" i="41"/>
  <c r="N1764" i="41"/>
  <c r="O1764" i="41"/>
  <c r="P1764" i="41"/>
  <c r="Q1764" i="41"/>
  <c r="R1764" i="41"/>
  <c r="S1764" i="41"/>
  <c r="J1765" i="41"/>
  <c r="K1765" i="41"/>
  <c r="L1765" i="41"/>
  <c r="M1765" i="41"/>
  <c r="N1765" i="41"/>
  <c r="O1765" i="41"/>
  <c r="P1765" i="41"/>
  <c r="Q1765" i="41"/>
  <c r="R1765" i="41"/>
  <c r="S1765" i="41"/>
  <c r="J1766" i="41"/>
  <c r="K1766" i="41"/>
  <c r="L1766" i="41"/>
  <c r="M1766" i="41"/>
  <c r="N1766" i="41"/>
  <c r="O1766" i="41"/>
  <c r="P1766" i="41"/>
  <c r="Q1766" i="41"/>
  <c r="R1766" i="41"/>
  <c r="S1766" i="41"/>
  <c r="J1767" i="41"/>
  <c r="K1767" i="41"/>
  <c r="L1767" i="41"/>
  <c r="M1767" i="41"/>
  <c r="N1767" i="41"/>
  <c r="O1767" i="41"/>
  <c r="P1767" i="41"/>
  <c r="Q1767" i="41"/>
  <c r="R1767" i="41"/>
  <c r="S1767" i="41"/>
  <c r="J1768" i="41"/>
  <c r="K1768" i="41"/>
  <c r="L1768" i="41"/>
  <c r="M1768" i="41"/>
  <c r="N1768" i="41"/>
  <c r="O1768" i="41"/>
  <c r="P1768" i="41"/>
  <c r="Q1768" i="41"/>
  <c r="R1768" i="41"/>
  <c r="S1768" i="41"/>
  <c r="J1769" i="41"/>
  <c r="K1769" i="41"/>
  <c r="L1769" i="41"/>
  <c r="M1769" i="41"/>
  <c r="N1769" i="41"/>
  <c r="O1769" i="41"/>
  <c r="P1769" i="41"/>
  <c r="Q1769" i="41"/>
  <c r="R1769" i="41"/>
  <c r="S1769" i="41"/>
  <c r="J1770" i="41"/>
  <c r="K1770" i="41"/>
  <c r="L1770" i="41"/>
  <c r="M1770" i="41"/>
  <c r="N1770" i="41"/>
  <c r="O1770" i="41"/>
  <c r="P1770" i="41"/>
  <c r="Q1770" i="41"/>
  <c r="R1770" i="41"/>
  <c r="S1770" i="41"/>
  <c r="J1771" i="41"/>
  <c r="K1771" i="41"/>
  <c r="L1771" i="41"/>
  <c r="M1771" i="41"/>
  <c r="N1771" i="41"/>
  <c r="O1771" i="41"/>
  <c r="P1771" i="41"/>
  <c r="Q1771" i="41"/>
  <c r="R1771" i="41"/>
  <c r="S1771" i="41"/>
  <c r="J1772" i="41"/>
  <c r="K1772" i="41"/>
  <c r="L1772" i="41"/>
  <c r="M1772" i="41"/>
  <c r="N1772" i="41"/>
  <c r="O1772" i="41"/>
  <c r="P1772" i="41"/>
  <c r="Q1772" i="41"/>
  <c r="R1772" i="41"/>
  <c r="S1772" i="41"/>
  <c r="J1773" i="41"/>
  <c r="K1773" i="41"/>
  <c r="L1773" i="41"/>
  <c r="M1773" i="41"/>
  <c r="N1773" i="41"/>
  <c r="O1773" i="41"/>
  <c r="P1773" i="41"/>
  <c r="Q1773" i="41"/>
  <c r="R1773" i="41"/>
  <c r="S1773" i="41"/>
  <c r="J1774" i="41"/>
  <c r="K1774" i="41"/>
  <c r="L1774" i="41"/>
  <c r="M1774" i="41"/>
  <c r="N1774" i="41"/>
  <c r="O1774" i="41"/>
  <c r="P1774" i="41"/>
  <c r="Q1774" i="41"/>
  <c r="R1774" i="41"/>
  <c r="S1774" i="41"/>
  <c r="J1775" i="41"/>
  <c r="K1775" i="41"/>
  <c r="L1775" i="41"/>
  <c r="M1775" i="41"/>
  <c r="N1775" i="41"/>
  <c r="O1775" i="41"/>
  <c r="P1775" i="41"/>
  <c r="Q1775" i="41"/>
  <c r="R1775" i="41"/>
  <c r="S1775" i="41"/>
  <c r="J1776" i="41"/>
  <c r="K1776" i="41"/>
  <c r="L1776" i="41"/>
  <c r="M1776" i="41"/>
  <c r="N1776" i="41"/>
  <c r="O1776" i="41"/>
  <c r="P1776" i="41"/>
  <c r="Q1776" i="41"/>
  <c r="R1776" i="41"/>
  <c r="S1776" i="41"/>
  <c r="J1777" i="41"/>
  <c r="K1777" i="41"/>
  <c r="L1777" i="41"/>
  <c r="M1777" i="41"/>
  <c r="N1777" i="41"/>
  <c r="O1777" i="41"/>
  <c r="P1777" i="41"/>
  <c r="Q1777" i="41"/>
  <c r="R1777" i="41"/>
  <c r="S1777" i="41"/>
  <c r="J1778" i="41"/>
  <c r="K1778" i="41"/>
  <c r="L1778" i="41"/>
  <c r="M1778" i="41"/>
  <c r="N1778" i="41"/>
  <c r="O1778" i="41"/>
  <c r="P1778" i="41"/>
  <c r="Q1778" i="41"/>
  <c r="R1778" i="41"/>
  <c r="S1778" i="41"/>
  <c r="J1779" i="41"/>
  <c r="K1779" i="41"/>
  <c r="L1779" i="41"/>
  <c r="M1779" i="41"/>
  <c r="N1779" i="41"/>
  <c r="O1779" i="41"/>
  <c r="P1779" i="41"/>
  <c r="Q1779" i="41"/>
  <c r="R1779" i="41"/>
  <c r="S1779" i="41"/>
  <c r="J1780" i="41"/>
  <c r="K1780" i="41"/>
  <c r="L1780" i="41"/>
  <c r="M1780" i="41"/>
  <c r="N1780" i="41"/>
  <c r="O1780" i="41"/>
  <c r="P1780" i="41"/>
  <c r="Q1780" i="41"/>
  <c r="R1780" i="41"/>
  <c r="S1780" i="41"/>
  <c r="J1781" i="41"/>
  <c r="K1781" i="41"/>
  <c r="L1781" i="41"/>
  <c r="M1781" i="41"/>
  <c r="N1781" i="41"/>
  <c r="O1781" i="41"/>
  <c r="P1781" i="41"/>
  <c r="Q1781" i="41"/>
  <c r="R1781" i="41"/>
  <c r="S1781" i="41"/>
  <c r="J1782" i="41"/>
  <c r="K1782" i="41"/>
  <c r="L1782" i="41"/>
  <c r="M1782" i="41"/>
  <c r="N1782" i="41"/>
  <c r="O1782" i="41"/>
  <c r="P1782" i="41"/>
  <c r="Q1782" i="41"/>
  <c r="R1782" i="41"/>
  <c r="S1782" i="41"/>
  <c r="J1783" i="41"/>
  <c r="K1783" i="41"/>
  <c r="L1783" i="41"/>
  <c r="M1783" i="41"/>
  <c r="N1783" i="41"/>
  <c r="O1783" i="41"/>
  <c r="P1783" i="41"/>
  <c r="Q1783" i="41"/>
  <c r="R1783" i="41"/>
  <c r="S1783" i="41"/>
  <c r="J1784" i="41"/>
  <c r="K1784" i="41"/>
  <c r="L1784" i="41"/>
  <c r="M1784" i="41"/>
  <c r="N1784" i="41"/>
  <c r="O1784" i="41"/>
  <c r="P1784" i="41"/>
  <c r="Q1784" i="41"/>
  <c r="R1784" i="41"/>
  <c r="S1784" i="41"/>
  <c r="J1785" i="41"/>
  <c r="K1785" i="41"/>
  <c r="L1785" i="41"/>
  <c r="M1785" i="41"/>
  <c r="N1785" i="41"/>
  <c r="O1785" i="41"/>
  <c r="P1785" i="41"/>
  <c r="Q1785" i="41"/>
  <c r="R1785" i="41"/>
  <c r="S1785" i="41"/>
  <c r="J1786" i="41"/>
  <c r="K1786" i="41"/>
  <c r="L1786" i="41"/>
  <c r="M1786" i="41"/>
  <c r="N1786" i="41"/>
  <c r="O1786" i="41"/>
  <c r="P1786" i="41"/>
  <c r="Q1786" i="41"/>
  <c r="R1786" i="41"/>
  <c r="S1786" i="41"/>
  <c r="J1787" i="41"/>
  <c r="K1787" i="41"/>
  <c r="L1787" i="41"/>
  <c r="M1787" i="41"/>
  <c r="N1787" i="41"/>
  <c r="O1787" i="41"/>
  <c r="P1787" i="41"/>
  <c r="Q1787" i="41"/>
  <c r="R1787" i="41"/>
  <c r="S1787" i="41"/>
  <c r="J1788" i="41"/>
  <c r="K1788" i="41"/>
  <c r="L1788" i="41"/>
  <c r="M1788" i="41"/>
  <c r="N1788" i="41"/>
  <c r="O1788" i="41"/>
  <c r="P1788" i="41"/>
  <c r="Q1788" i="41"/>
  <c r="R1788" i="41"/>
  <c r="S1788" i="41"/>
  <c r="J1789" i="41"/>
  <c r="K1789" i="41"/>
  <c r="L1789" i="41"/>
  <c r="M1789" i="41"/>
  <c r="N1789" i="41"/>
  <c r="O1789" i="41"/>
  <c r="P1789" i="41"/>
  <c r="Q1789" i="41"/>
  <c r="R1789" i="41"/>
  <c r="S1789" i="41"/>
  <c r="J1790" i="41"/>
  <c r="K1790" i="41"/>
  <c r="L1790" i="41"/>
  <c r="M1790" i="41"/>
  <c r="N1790" i="41"/>
  <c r="O1790" i="41"/>
  <c r="P1790" i="41"/>
  <c r="Q1790" i="41"/>
  <c r="R1790" i="41"/>
  <c r="S1790" i="41"/>
  <c r="J1791" i="41"/>
  <c r="K1791" i="41"/>
  <c r="L1791" i="41"/>
  <c r="M1791" i="41"/>
  <c r="N1791" i="41"/>
  <c r="O1791" i="41"/>
  <c r="P1791" i="41"/>
  <c r="Q1791" i="41"/>
  <c r="R1791" i="41"/>
  <c r="S1791" i="41"/>
  <c r="J1792" i="41"/>
  <c r="K1792" i="41"/>
  <c r="L1792" i="41"/>
  <c r="M1792" i="41"/>
  <c r="N1792" i="41"/>
  <c r="O1792" i="41"/>
  <c r="P1792" i="41"/>
  <c r="Q1792" i="41"/>
  <c r="R1792" i="41"/>
  <c r="S1792" i="41"/>
  <c r="J1793" i="41"/>
  <c r="K1793" i="41"/>
  <c r="L1793" i="41"/>
  <c r="M1793" i="41"/>
  <c r="N1793" i="41"/>
  <c r="O1793" i="41"/>
  <c r="P1793" i="41"/>
  <c r="Q1793" i="41"/>
  <c r="R1793" i="41"/>
  <c r="S1793" i="41"/>
  <c r="J1794" i="41"/>
  <c r="K1794" i="41"/>
  <c r="L1794" i="41"/>
  <c r="M1794" i="41"/>
  <c r="N1794" i="41"/>
  <c r="O1794" i="41"/>
  <c r="P1794" i="41"/>
  <c r="Q1794" i="41"/>
  <c r="R1794" i="41"/>
  <c r="S1794" i="41"/>
  <c r="J1795" i="41"/>
  <c r="K1795" i="41"/>
  <c r="L1795" i="41"/>
  <c r="M1795" i="41"/>
  <c r="N1795" i="41"/>
  <c r="O1795" i="41"/>
  <c r="P1795" i="41"/>
  <c r="Q1795" i="41"/>
  <c r="R1795" i="41"/>
  <c r="S1795" i="41"/>
  <c r="J1796" i="41"/>
  <c r="K1796" i="41"/>
  <c r="L1796" i="41"/>
  <c r="M1796" i="41"/>
  <c r="N1796" i="41"/>
  <c r="O1796" i="41"/>
  <c r="P1796" i="41"/>
  <c r="Q1796" i="41"/>
  <c r="R1796" i="41"/>
  <c r="S1796" i="41"/>
  <c r="J1797" i="41"/>
  <c r="K1797" i="41"/>
  <c r="L1797" i="41"/>
  <c r="M1797" i="41"/>
  <c r="N1797" i="41"/>
  <c r="O1797" i="41"/>
  <c r="P1797" i="41"/>
  <c r="Q1797" i="41"/>
  <c r="R1797" i="41"/>
  <c r="S1797" i="41"/>
  <c r="J1798" i="41"/>
  <c r="K1798" i="41"/>
  <c r="L1798" i="41"/>
  <c r="M1798" i="41"/>
  <c r="N1798" i="41"/>
  <c r="O1798" i="41"/>
  <c r="P1798" i="41"/>
  <c r="Q1798" i="41"/>
  <c r="R1798" i="41"/>
  <c r="S1798" i="41"/>
  <c r="J1799" i="41"/>
  <c r="K1799" i="41"/>
  <c r="L1799" i="41"/>
  <c r="M1799" i="41"/>
  <c r="N1799" i="41"/>
  <c r="O1799" i="41"/>
  <c r="P1799" i="41"/>
  <c r="Q1799" i="41"/>
  <c r="R1799" i="41"/>
  <c r="S1799" i="41"/>
  <c r="J1800" i="41"/>
  <c r="K1800" i="41"/>
  <c r="L1800" i="41"/>
  <c r="M1800" i="41"/>
  <c r="N1800" i="41"/>
  <c r="O1800" i="41"/>
  <c r="P1800" i="41"/>
  <c r="Q1800" i="41"/>
  <c r="R1800" i="41"/>
  <c r="S1800" i="41"/>
  <c r="J1801" i="41"/>
  <c r="K1801" i="41"/>
  <c r="L1801" i="41"/>
  <c r="M1801" i="41"/>
  <c r="N1801" i="41"/>
  <c r="O1801" i="41"/>
  <c r="P1801" i="41"/>
  <c r="Q1801" i="41"/>
  <c r="R1801" i="41"/>
  <c r="S1801" i="41"/>
  <c r="J1802" i="41"/>
  <c r="K1802" i="41"/>
  <c r="L1802" i="41"/>
  <c r="M1802" i="41"/>
  <c r="N1802" i="41"/>
  <c r="O1802" i="41"/>
  <c r="P1802" i="41"/>
  <c r="Q1802" i="41"/>
  <c r="R1802" i="41"/>
  <c r="S1802" i="41"/>
  <c r="J1803" i="41"/>
  <c r="K1803" i="41"/>
  <c r="L1803" i="41"/>
  <c r="M1803" i="41"/>
  <c r="N1803" i="41"/>
  <c r="O1803" i="41"/>
  <c r="P1803" i="41"/>
  <c r="Q1803" i="41"/>
  <c r="R1803" i="41"/>
  <c r="S1803" i="41"/>
  <c r="J1804" i="41"/>
  <c r="K1804" i="41"/>
  <c r="L1804" i="41"/>
  <c r="M1804" i="41"/>
  <c r="N1804" i="41"/>
  <c r="O1804" i="41"/>
  <c r="P1804" i="41"/>
  <c r="Q1804" i="41"/>
  <c r="R1804" i="41"/>
  <c r="S1804" i="41"/>
  <c r="J1805" i="41"/>
  <c r="K1805" i="41"/>
  <c r="L1805" i="41"/>
  <c r="M1805" i="41"/>
  <c r="N1805" i="41"/>
  <c r="O1805" i="41"/>
  <c r="P1805" i="41"/>
  <c r="Q1805" i="41"/>
  <c r="R1805" i="41"/>
  <c r="S1805" i="41"/>
  <c r="J1806" i="41"/>
  <c r="K1806" i="41"/>
  <c r="L1806" i="41"/>
  <c r="M1806" i="41"/>
  <c r="N1806" i="41"/>
  <c r="O1806" i="41"/>
  <c r="P1806" i="41"/>
  <c r="Q1806" i="41"/>
  <c r="R1806" i="41"/>
  <c r="S1806" i="41"/>
  <c r="J1807" i="41"/>
  <c r="K1807" i="41"/>
  <c r="L1807" i="41"/>
  <c r="M1807" i="41"/>
  <c r="N1807" i="41"/>
  <c r="O1807" i="41"/>
  <c r="P1807" i="41"/>
  <c r="Q1807" i="41"/>
  <c r="R1807" i="41"/>
  <c r="S1807" i="41"/>
  <c r="J1808" i="41"/>
  <c r="K1808" i="41"/>
  <c r="L1808" i="41"/>
  <c r="M1808" i="41"/>
  <c r="N1808" i="41"/>
  <c r="O1808" i="41"/>
  <c r="P1808" i="41"/>
  <c r="Q1808" i="41"/>
  <c r="R1808" i="41"/>
  <c r="S1808" i="41"/>
  <c r="J1809" i="41"/>
  <c r="K1809" i="41"/>
  <c r="L1809" i="41"/>
  <c r="M1809" i="41"/>
  <c r="N1809" i="41"/>
  <c r="O1809" i="41"/>
  <c r="P1809" i="41"/>
  <c r="Q1809" i="41"/>
  <c r="R1809" i="41"/>
  <c r="S1809" i="41"/>
  <c r="J1810" i="41"/>
  <c r="K1810" i="41"/>
  <c r="L1810" i="41"/>
  <c r="M1810" i="41"/>
  <c r="N1810" i="41"/>
  <c r="O1810" i="41"/>
  <c r="P1810" i="41"/>
  <c r="Q1810" i="41"/>
  <c r="R1810" i="41"/>
  <c r="S1810" i="41"/>
  <c r="J1811" i="41"/>
  <c r="K1811" i="41"/>
  <c r="L1811" i="41"/>
  <c r="M1811" i="41"/>
  <c r="N1811" i="41"/>
  <c r="O1811" i="41"/>
  <c r="P1811" i="41"/>
  <c r="Q1811" i="41"/>
  <c r="R1811" i="41"/>
  <c r="S1811" i="41"/>
  <c r="J1812" i="41"/>
  <c r="K1812" i="41"/>
  <c r="L1812" i="41"/>
  <c r="M1812" i="41"/>
  <c r="N1812" i="41"/>
  <c r="O1812" i="41"/>
  <c r="P1812" i="41"/>
  <c r="Q1812" i="41"/>
  <c r="R1812" i="41"/>
  <c r="S1812" i="41"/>
  <c r="J1813" i="41"/>
  <c r="K1813" i="41"/>
  <c r="L1813" i="41"/>
  <c r="M1813" i="41"/>
  <c r="N1813" i="41"/>
  <c r="O1813" i="41"/>
  <c r="P1813" i="41"/>
  <c r="Q1813" i="41"/>
  <c r="R1813" i="41"/>
  <c r="S1813" i="41"/>
  <c r="J1814" i="41"/>
  <c r="K1814" i="41"/>
  <c r="L1814" i="41"/>
  <c r="M1814" i="41"/>
  <c r="N1814" i="41"/>
  <c r="O1814" i="41"/>
  <c r="P1814" i="41"/>
  <c r="Q1814" i="41"/>
  <c r="R1814" i="41"/>
  <c r="S1814" i="41"/>
  <c r="J1815" i="41"/>
  <c r="K1815" i="41"/>
  <c r="L1815" i="41"/>
  <c r="M1815" i="41"/>
  <c r="N1815" i="41"/>
  <c r="O1815" i="41"/>
  <c r="P1815" i="41"/>
  <c r="Q1815" i="41"/>
  <c r="R1815" i="41"/>
  <c r="S1815" i="41"/>
  <c r="J1816" i="41"/>
  <c r="K1816" i="41"/>
  <c r="L1816" i="41"/>
  <c r="M1816" i="41"/>
  <c r="N1816" i="41"/>
  <c r="O1816" i="41"/>
  <c r="P1816" i="41"/>
  <c r="Q1816" i="41"/>
  <c r="R1816" i="41"/>
  <c r="S1816" i="41"/>
  <c r="J1817" i="41"/>
  <c r="K1817" i="41"/>
  <c r="L1817" i="41"/>
  <c r="M1817" i="41"/>
  <c r="N1817" i="41"/>
  <c r="O1817" i="41"/>
  <c r="P1817" i="41"/>
  <c r="Q1817" i="41"/>
  <c r="R1817" i="41"/>
  <c r="S1817" i="41"/>
  <c r="J1818" i="41"/>
  <c r="K1818" i="41"/>
  <c r="L1818" i="41"/>
  <c r="M1818" i="41"/>
  <c r="N1818" i="41"/>
  <c r="O1818" i="41"/>
  <c r="P1818" i="41"/>
  <c r="Q1818" i="41"/>
  <c r="R1818" i="41"/>
  <c r="S1818" i="41"/>
  <c r="J1819" i="41"/>
  <c r="K1819" i="41"/>
  <c r="L1819" i="41"/>
  <c r="M1819" i="41"/>
  <c r="N1819" i="41"/>
  <c r="O1819" i="41"/>
  <c r="P1819" i="41"/>
  <c r="Q1819" i="41"/>
  <c r="R1819" i="41"/>
  <c r="S1819" i="41"/>
  <c r="J1820" i="41"/>
  <c r="K1820" i="41"/>
  <c r="L1820" i="41"/>
  <c r="M1820" i="41"/>
  <c r="N1820" i="41"/>
  <c r="O1820" i="41"/>
  <c r="P1820" i="41"/>
  <c r="Q1820" i="41"/>
  <c r="R1820" i="41"/>
  <c r="S1820" i="41"/>
  <c r="J1821" i="41"/>
  <c r="K1821" i="41"/>
  <c r="L1821" i="41"/>
  <c r="M1821" i="41"/>
  <c r="N1821" i="41"/>
  <c r="O1821" i="41"/>
  <c r="P1821" i="41"/>
  <c r="Q1821" i="41"/>
  <c r="R1821" i="41"/>
  <c r="S1821" i="41"/>
  <c r="J1822" i="41"/>
  <c r="K1822" i="41"/>
  <c r="L1822" i="41"/>
  <c r="M1822" i="41"/>
  <c r="N1822" i="41"/>
  <c r="O1822" i="41"/>
  <c r="P1822" i="41"/>
  <c r="Q1822" i="41"/>
  <c r="R1822" i="41"/>
  <c r="S1822" i="41"/>
  <c r="J1823" i="41"/>
  <c r="K1823" i="41"/>
  <c r="L1823" i="41"/>
  <c r="M1823" i="41"/>
  <c r="N1823" i="41"/>
  <c r="O1823" i="41"/>
  <c r="P1823" i="41"/>
  <c r="Q1823" i="41"/>
  <c r="R1823" i="41"/>
  <c r="S1823" i="41"/>
  <c r="J1824" i="41"/>
  <c r="K1824" i="41"/>
  <c r="L1824" i="41"/>
  <c r="M1824" i="41"/>
  <c r="N1824" i="41"/>
  <c r="O1824" i="41"/>
  <c r="P1824" i="41"/>
  <c r="Q1824" i="41"/>
  <c r="R1824" i="41"/>
  <c r="S1824" i="41"/>
  <c r="J1825" i="41"/>
  <c r="K1825" i="41"/>
  <c r="L1825" i="41"/>
  <c r="M1825" i="41"/>
  <c r="N1825" i="41"/>
  <c r="O1825" i="41"/>
  <c r="P1825" i="41"/>
  <c r="Q1825" i="41"/>
  <c r="R1825" i="41"/>
  <c r="S1825" i="41"/>
  <c r="J1826" i="41"/>
  <c r="K1826" i="41"/>
  <c r="L1826" i="41"/>
  <c r="M1826" i="41"/>
  <c r="N1826" i="41"/>
  <c r="O1826" i="41"/>
  <c r="P1826" i="41"/>
  <c r="Q1826" i="41"/>
  <c r="R1826" i="41"/>
  <c r="S1826" i="41"/>
  <c r="J1827" i="41"/>
  <c r="K1827" i="41"/>
  <c r="L1827" i="41"/>
  <c r="M1827" i="41"/>
  <c r="N1827" i="41"/>
  <c r="O1827" i="41"/>
  <c r="P1827" i="41"/>
  <c r="Q1827" i="41"/>
  <c r="R1827" i="41"/>
  <c r="S1827" i="41"/>
  <c r="J1828" i="41"/>
  <c r="K1828" i="41"/>
  <c r="L1828" i="41"/>
  <c r="M1828" i="41"/>
  <c r="N1828" i="41"/>
  <c r="O1828" i="41"/>
  <c r="P1828" i="41"/>
  <c r="Q1828" i="41"/>
  <c r="R1828" i="41"/>
  <c r="S1828" i="41"/>
  <c r="J1829" i="41"/>
  <c r="K1829" i="41"/>
  <c r="L1829" i="41"/>
  <c r="M1829" i="41"/>
  <c r="N1829" i="41"/>
  <c r="O1829" i="41"/>
  <c r="P1829" i="41"/>
  <c r="Q1829" i="41"/>
  <c r="R1829" i="41"/>
  <c r="S1829" i="41"/>
  <c r="J1830" i="41"/>
  <c r="K1830" i="41"/>
  <c r="L1830" i="41"/>
  <c r="M1830" i="41"/>
  <c r="N1830" i="41"/>
  <c r="O1830" i="41"/>
  <c r="P1830" i="41"/>
  <c r="Q1830" i="41"/>
  <c r="R1830" i="41"/>
  <c r="S1830" i="41"/>
  <c r="J1831" i="41"/>
  <c r="K1831" i="41"/>
  <c r="L1831" i="41"/>
  <c r="M1831" i="41"/>
  <c r="N1831" i="41"/>
  <c r="O1831" i="41"/>
  <c r="P1831" i="41"/>
  <c r="Q1831" i="41"/>
  <c r="R1831" i="41"/>
  <c r="S1831" i="41"/>
  <c r="J1832" i="41"/>
  <c r="K1832" i="41"/>
  <c r="L1832" i="41"/>
  <c r="M1832" i="41"/>
  <c r="N1832" i="41"/>
  <c r="O1832" i="41"/>
  <c r="P1832" i="41"/>
  <c r="Q1832" i="41"/>
  <c r="R1832" i="41"/>
  <c r="S1832" i="41"/>
  <c r="J1833" i="41"/>
  <c r="K1833" i="41"/>
  <c r="L1833" i="41"/>
  <c r="M1833" i="41"/>
  <c r="N1833" i="41"/>
  <c r="O1833" i="41"/>
  <c r="P1833" i="41"/>
  <c r="Q1833" i="41"/>
  <c r="R1833" i="41"/>
  <c r="S1833" i="41"/>
  <c r="J1834" i="41"/>
  <c r="K1834" i="41"/>
  <c r="L1834" i="41"/>
  <c r="M1834" i="41"/>
  <c r="N1834" i="41"/>
  <c r="O1834" i="41"/>
  <c r="P1834" i="41"/>
  <c r="Q1834" i="41"/>
  <c r="R1834" i="41"/>
  <c r="S1834" i="41"/>
  <c r="J1835" i="41"/>
  <c r="K1835" i="41"/>
  <c r="L1835" i="41"/>
  <c r="M1835" i="41"/>
  <c r="N1835" i="41"/>
  <c r="O1835" i="41"/>
  <c r="P1835" i="41"/>
  <c r="Q1835" i="41"/>
  <c r="R1835" i="41"/>
  <c r="S1835" i="41"/>
  <c r="J1836" i="41"/>
  <c r="K1836" i="41"/>
  <c r="L1836" i="41"/>
  <c r="M1836" i="41"/>
  <c r="N1836" i="41"/>
  <c r="O1836" i="41"/>
  <c r="P1836" i="41"/>
  <c r="Q1836" i="41"/>
  <c r="R1836" i="41"/>
  <c r="S1836" i="41"/>
  <c r="J1837" i="41"/>
  <c r="K1837" i="41"/>
  <c r="L1837" i="41"/>
  <c r="M1837" i="41"/>
  <c r="N1837" i="41"/>
  <c r="O1837" i="41"/>
  <c r="P1837" i="41"/>
  <c r="Q1837" i="41"/>
  <c r="R1837" i="41"/>
  <c r="S1837" i="41"/>
  <c r="J1838" i="41"/>
  <c r="K1838" i="41"/>
  <c r="L1838" i="41"/>
  <c r="M1838" i="41"/>
  <c r="N1838" i="41"/>
  <c r="O1838" i="41"/>
  <c r="P1838" i="41"/>
  <c r="Q1838" i="41"/>
  <c r="R1838" i="41"/>
  <c r="S1838" i="41"/>
  <c r="J1839" i="41"/>
  <c r="K1839" i="41"/>
  <c r="L1839" i="41"/>
  <c r="M1839" i="41"/>
  <c r="N1839" i="41"/>
  <c r="O1839" i="41"/>
  <c r="P1839" i="41"/>
  <c r="Q1839" i="41"/>
  <c r="R1839" i="41"/>
  <c r="S1839" i="41"/>
  <c r="J1840" i="41"/>
  <c r="K1840" i="41"/>
  <c r="L1840" i="41"/>
  <c r="M1840" i="41"/>
  <c r="N1840" i="41"/>
  <c r="O1840" i="41"/>
  <c r="P1840" i="41"/>
  <c r="Q1840" i="41"/>
  <c r="R1840" i="41"/>
  <c r="S1840" i="41"/>
  <c r="J1841" i="41"/>
  <c r="K1841" i="41"/>
  <c r="L1841" i="41"/>
  <c r="M1841" i="41"/>
  <c r="N1841" i="41"/>
  <c r="O1841" i="41"/>
  <c r="P1841" i="41"/>
  <c r="Q1841" i="41"/>
  <c r="R1841" i="41"/>
  <c r="S1841" i="41"/>
  <c r="J1842" i="41"/>
  <c r="K1842" i="41"/>
  <c r="L1842" i="41"/>
  <c r="M1842" i="41"/>
  <c r="N1842" i="41"/>
  <c r="O1842" i="41"/>
  <c r="P1842" i="41"/>
  <c r="Q1842" i="41"/>
  <c r="R1842" i="41"/>
  <c r="S1842" i="41"/>
  <c r="J1843" i="41"/>
  <c r="K1843" i="41"/>
  <c r="L1843" i="41"/>
  <c r="M1843" i="41"/>
  <c r="N1843" i="41"/>
  <c r="O1843" i="41"/>
  <c r="P1843" i="41"/>
  <c r="Q1843" i="41"/>
  <c r="R1843" i="41"/>
  <c r="S1843" i="41"/>
  <c r="J1844" i="41"/>
  <c r="K1844" i="41"/>
  <c r="L1844" i="41"/>
  <c r="M1844" i="41"/>
  <c r="N1844" i="41"/>
  <c r="O1844" i="41"/>
  <c r="P1844" i="41"/>
  <c r="Q1844" i="41"/>
  <c r="R1844" i="41"/>
  <c r="S1844" i="41"/>
  <c r="J1845" i="41"/>
  <c r="K1845" i="41"/>
  <c r="L1845" i="41"/>
  <c r="M1845" i="41"/>
  <c r="N1845" i="41"/>
  <c r="O1845" i="41"/>
  <c r="P1845" i="41"/>
  <c r="Q1845" i="41"/>
  <c r="R1845" i="41"/>
  <c r="S1845" i="41"/>
  <c r="J1846" i="41"/>
  <c r="K1846" i="41"/>
  <c r="L1846" i="41"/>
  <c r="M1846" i="41"/>
  <c r="N1846" i="41"/>
  <c r="O1846" i="41"/>
  <c r="P1846" i="41"/>
  <c r="Q1846" i="41"/>
  <c r="R1846" i="41"/>
  <c r="S1846" i="41"/>
  <c r="J1847" i="41"/>
  <c r="K1847" i="41"/>
  <c r="L1847" i="41"/>
  <c r="M1847" i="41"/>
  <c r="N1847" i="41"/>
  <c r="O1847" i="41"/>
  <c r="P1847" i="41"/>
  <c r="Q1847" i="41"/>
  <c r="R1847" i="41"/>
  <c r="S1847" i="41"/>
  <c r="J1848" i="41"/>
  <c r="K1848" i="41"/>
  <c r="L1848" i="41"/>
  <c r="M1848" i="41"/>
  <c r="N1848" i="41"/>
  <c r="O1848" i="41"/>
  <c r="P1848" i="41"/>
  <c r="Q1848" i="41"/>
  <c r="R1848" i="41"/>
  <c r="S1848" i="41"/>
  <c r="J1849" i="41"/>
  <c r="K1849" i="41"/>
  <c r="L1849" i="41"/>
  <c r="M1849" i="41"/>
  <c r="N1849" i="41"/>
  <c r="O1849" i="41"/>
  <c r="P1849" i="41"/>
  <c r="Q1849" i="41"/>
  <c r="R1849" i="41"/>
  <c r="S1849" i="41"/>
  <c r="J1850" i="41"/>
  <c r="K1850" i="41"/>
  <c r="L1850" i="41"/>
  <c r="M1850" i="41"/>
  <c r="N1850" i="41"/>
  <c r="O1850" i="41"/>
  <c r="P1850" i="41"/>
  <c r="Q1850" i="41"/>
  <c r="R1850" i="41"/>
  <c r="S1850" i="41"/>
  <c r="J1851" i="41"/>
  <c r="K1851" i="41"/>
  <c r="L1851" i="41"/>
  <c r="M1851" i="41"/>
  <c r="N1851" i="41"/>
  <c r="O1851" i="41"/>
  <c r="P1851" i="41"/>
  <c r="Q1851" i="41"/>
  <c r="R1851" i="41"/>
  <c r="S1851" i="41"/>
  <c r="J1852" i="41"/>
  <c r="K1852" i="41"/>
  <c r="L1852" i="41"/>
  <c r="M1852" i="41"/>
  <c r="N1852" i="41"/>
  <c r="O1852" i="41"/>
  <c r="P1852" i="41"/>
  <c r="Q1852" i="41"/>
  <c r="R1852" i="41"/>
  <c r="S1852" i="41"/>
  <c r="J1853" i="41"/>
  <c r="K1853" i="41"/>
  <c r="L1853" i="41"/>
  <c r="M1853" i="41"/>
  <c r="N1853" i="41"/>
  <c r="O1853" i="41"/>
  <c r="P1853" i="41"/>
  <c r="Q1853" i="41"/>
  <c r="R1853" i="41"/>
  <c r="S1853" i="41"/>
  <c r="J1854" i="41"/>
  <c r="K1854" i="41"/>
  <c r="L1854" i="41"/>
  <c r="M1854" i="41"/>
  <c r="N1854" i="41"/>
  <c r="O1854" i="41"/>
  <c r="P1854" i="41"/>
  <c r="Q1854" i="41"/>
  <c r="R1854" i="41"/>
  <c r="S1854" i="41"/>
  <c r="J1855" i="41"/>
  <c r="K1855" i="41"/>
  <c r="L1855" i="41"/>
  <c r="M1855" i="41"/>
  <c r="N1855" i="41"/>
  <c r="O1855" i="41"/>
  <c r="P1855" i="41"/>
  <c r="Q1855" i="41"/>
  <c r="R1855" i="41"/>
  <c r="S1855" i="41"/>
  <c r="J1856" i="41"/>
  <c r="K1856" i="41"/>
  <c r="L1856" i="41"/>
  <c r="M1856" i="41"/>
  <c r="N1856" i="41"/>
  <c r="O1856" i="41"/>
  <c r="P1856" i="41"/>
  <c r="Q1856" i="41"/>
  <c r="R1856" i="41"/>
  <c r="S1856" i="41"/>
  <c r="J1857" i="41"/>
  <c r="K1857" i="41"/>
  <c r="L1857" i="41"/>
  <c r="M1857" i="41"/>
  <c r="N1857" i="41"/>
  <c r="O1857" i="41"/>
  <c r="P1857" i="41"/>
  <c r="Q1857" i="41"/>
  <c r="R1857" i="41"/>
  <c r="S1857" i="41"/>
  <c r="J1858" i="41"/>
  <c r="K1858" i="41"/>
  <c r="L1858" i="41"/>
  <c r="M1858" i="41"/>
  <c r="N1858" i="41"/>
  <c r="O1858" i="41"/>
  <c r="P1858" i="41"/>
  <c r="Q1858" i="41"/>
  <c r="R1858" i="41"/>
  <c r="S1858" i="41"/>
  <c r="J1859" i="41"/>
  <c r="K1859" i="41"/>
  <c r="L1859" i="41"/>
  <c r="M1859" i="41"/>
  <c r="N1859" i="41"/>
  <c r="O1859" i="41"/>
  <c r="P1859" i="41"/>
  <c r="Q1859" i="41"/>
  <c r="R1859" i="41"/>
  <c r="S1859" i="41"/>
  <c r="J1860" i="41"/>
  <c r="K1860" i="41"/>
  <c r="L1860" i="41"/>
  <c r="M1860" i="41"/>
  <c r="N1860" i="41"/>
  <c r="O1860" i="41"/>
  <c r="P1860" i="41"/>
  <c r="Q1860" i="41"/>
  <c r="R1860" i="41"/>
  <c r="S1860" i="41"/>
  <c r="J1861" i="41"/>
  <c r="K1861" i="41"/>
  <c r="L1861" i="41"/>
  <c r="M1861" i="41"/>
  <c r="N1861" i="41"/>
  <c r="O1861" i="41"/>
  <c r="P1861" i="41"/>
  <c r="Q1861" i="41"/>
  <c r="R1861" i="41"/>
  <c r="S1861" i="41"/>
  <c r="J1862" i="41"/>
  <c r="K1862" i="41"/>
  <c r="L1862" i="41"/>
  <c r="M1862" i="41"/>
  <c r="N1862" i="41"/>
  <c r="O1862" i="41"/>
  <c r="P1862" i="41"/>
  <c r="Q1862" i="41"/>
  <c r="R1862" i="41"/>
  <c r="S1862" i="41"/>
  <c r="J1863" i="41"/>
  <c r="K1863" i="41"/>
  <c r="L1863" i="41"/>
  <c r="M1863" i="41"/>
  <c r="N1863" i="41"/>
  <c r="O1863" i="41"/>
  <c r="P1863" i="41"/>
  <c r="Q1863" i="41"/>
  <c r="R1863" i="41"/>
  <c r="S1863" i="41"/>
  <c r="J1864" i="41"/>
  <c r="K1864" i="41"/>
  <c r="L1864" i="41"/>
  <c r="M1864" i="41"/>
  <c r="N1864" i="41"/>
  <c r="O1864" i="41"/>
  <c r="P1864" i="41"/>
  <c r="Q1864" i="41"/>
  <c r="R1864" i="41"/>
  <c r="S1864" i="41"/>
  <c r="J1865" i="41"/>
  <c r="K1865" i="41"/>
  <c r="L1865" i="41"/>
  <c r="M1865" i="41"/>
  <c r="N1865" i="41"/>
  <c r="O1865" i="41"/>
  <c r="P1865" i="41"/>
  <c r="Q1865" i="41"/>
  <c r="R1865" i="41"/>
  <c r="S1865" i="41"/>
  <c r="J1866" i="41"/>
  <c r="K1866" i="41"/>
  <c r="L1866" i="41"/>
  <c r="M1866" i="41"/>
  <c r="N1866" i="41"/>
  <c r="O1866" i="41"/>
  <c r="P1866" i="41"/>
  <c r="Q1866" i="41"/>
  <c r="R1866" i="41"/>
  <c r="S1866" i="41"/>
  <c r="J1867" i="41"/>
  <c r="K1867" i="41"/>
  <c r="L1867" i="41"/>
  <c r="M1867" i="41"/>
  <c r="N1867" i="41"/>
  <c r="O1867" i="41"/>
  <c r="P1867" i="41"/>
  <c r="Q1867" i="41"/>
  <c r="R1867" i="41"/>
  <c r="S1867" i="41"/>
  <c r="J1868" i="41"/>
  <c r="K1868" i="41"/>
  <c r="L1868" i="41"/>
  <c r="M1868" i="41"/>
  <c r="N1868" i="41"/>
  <c r="O1868" i="41"/>
  <c r="P1868" i="41"/>
  <c r="Q1868" i="41"/>
  <c r="R1868" i="41"/>
  <c r="S1868" i="41"/>
  <c r="J1869" i="41"/>
  <c r="K1869" i="41"/>
  <c r="L1869" i="41"/>
  <c r="M1869" i="41"/>
  <c r="N1869" i="41"/>
  <c r="O1869" i="41"/>
  <c r="P1869" i="41"/>
  <c r="Q1869" i="41"/>
  <c r="R1869" i="41"/>
  <c r="S1869" i="41"/>
  <c r="J1870" i="41"/>
  <c r="K1870" i="41"/>
  <c r="L1870" i="41"/>
  <c r="M1870" i="41"/>
  <c r="N1870" i="41"/>
  <c r="O1870" i="41"/>
  <c r="P1870" i="41"/>
  <c r="Q1870" i="41"/>
  <c r="R1870" i="41"/>
  <c r="S1870" i="41"/>
  <c r="J1871" i="41"/>
  <c r="K1871" i="41"/>
  <c r="L1871" i="41"/>
  <c r="M1871" i="41"/>
  <c r="N1871" i="41"/>
  <c r="O1871" i="41"/>
  <c r="P1871" i="41"/>
  <c r="Q1871" i="41"/>
  <c r="R1871" i="41"/>
  <c r="S1871" i="41"/>
  <c r="J1872" i="41"/>
  <c r="K1872" i="41"/>
  <c r="L1872" i="41"/>
  <c r="M1872" i="41"/>
  <c r="N1872" i="41"/>
  <c r="O1872" i="41"/>
  <c r="P1872" i="41"/>
  <c r="Q1872" i="41"/>
  <c r="R1872" i="41"/>
  <c r="S1872" i="41"/>
  <c r="J1873" i="41"/>
  <c r="K1873" i="41"/>
  <c r="L1873" i="41"/>
  <c r="M1873" i="41"/>
  <c r="N1873" i="41"/>
  <c r="O1873" i="41"/>
  <c r="P1873" i="41"/>
  <c r="Q1873" i="41"/>
  <c r="R1873" i="41"/>
  <c r="S1873" i="41"/>
  <c r="J1874" i="41"/>
  <c r="K1874" i="41"/>
  <c r="L1874" i="41"/>
  <c r="M1874" i="41"/>
  <c r="N1874" i="41"/>
  <c r="O1874" i="41"/>
  <c r="P1874" i="41"/>
  <c r="Q1874" i="41"/>
  <c r="R1874" i="41"/>
  <c r="S1874" i="41"/>
  <c r="J1875" i="41"/>
  <c r="K1875" i="41"/>
  <c r="L1875" i="41"/>
  <c r="M1875" i="41"/>
  <c r="N1875" i="41"/>
  <c r="O1875" i="41"/>
  <c r="P1875" i="41"/>
  <c r="Q1875" i="41"/>
  <c r="R1875" i="41"/>
  <c r="S1875" i="41"/>
  <c r="J1876" i="41"/>
  <c r="K1876" i="41"/>
  <c r="L1876" i="41"/>
  <c r="M1876" i="41"/>
  <c r="N1876" i="41"/>
  <c r="O1876" i="41"/>
  <c r="P1876" i="41"/>
  <c r="Q1876" i="41"/>
  <c r="R1876" i="41"/>
  <c r="S1876" i="41"/>
  <c r="J1877" i="41"/>
  <c r="K1877" i="41"/>
  <c r="L1877" i="41"/>
  <c r="M1877" i="41"/>
  <c r="N1877" i="41"/>
  <c r="O1877" i="41"/>
  <c r="P1877" i="41"/>
  <c r="Q1877" i="41"/>
  <c r="R1877" i="41"/>
  <c r="S1877" i="41"/>
  <c r="J1878" i="41"/>
  <c r="K1878" i="41"/>
  <c r="L1878" i="41"/>
  <c r="M1878" i="41"/>
  <c r="N1878" i="41"/>
  <c r="O1878" i="41"/>
  <c r="P1878" i="41"/>
  <c r="Q1878" i="41"/>
  <c r="R1878" i="41"/>
  <c r="S1878" i="41"/>
  <c r="J1879" i="41"/>
  <c r="K1879" i="41"/>
  <c r="L1879" i="41"/>
  <c r="M1879" i="41"/>
  <c r="N1879" i="41"/>
  <c r="O1879" i="41"/>
  <c r="P1879" i="41"/>
  <c r="Q1879" i="41"/>
  <c r="R1879" i="41"/>
  <c r="S1879" i="41"/>
  <c r="J1880" i="41"/>
  <c r="K1880" i="41"/>
  <c r="L1880" i="41"/>
  <c r="M1880" i="41"/>
  <c r="N1880" i="41"/>
  <c r="O1880" i="41"/>
  <c r="P1880" i="41"/>
  <c r="Q1880" i="41"/>
  <c r="R1880" i="41"/>
  <c r="S1880" i="41"/>
  <c r="J1881" i="41"/>
  <c r="K1881" i="41"/>
  <c r="L1881" i="41"/>
  <c r="M1881" i="41"/>
  <c r="N1881" i="41"/>
  <c r="O1881" i="41"/>
  <c r="P1881" i="41"/>
  <c r="Q1881" i="41"/>
  <c r="R1881" i="41"/>
  <c r="S1881" i="41"/>
  <c r="J1882" i="41"/>
  <c r="K1882" i="41"/>
  <c r="L1882" i="41"/>
  <c r="M1882" i="41"/>
  <c r="N1882" i="41"/>
  <c r="O1882" i="41"/>
  <c r="P1882" i="41"/>
  <c r="Q1882" i="41"/>
  <c r="R1882" i="41"/>
  <c r="S1882" i="41"/>
  <c r="J1883" i="41"/>
  <c r="K1883" i="41"/>
  <c r="L1883" i="41"/>
  <c r="M1883" i="41"/>
  <c r="N1883" i="41"/>
  <c r="O1883" i="41"/>
  <c r="P1883" i="41"/>
  <c r="Q1883" i="41"/>
  <c r="R1883" i="41"/>
  <c r="S1883" i="41"/>
  <c r="J1884" i="41"/>
  <c r="K1884" i="41"/>
  <c r="L1884" i="41"/>
  <c r="M1884" i="41"/>
  <c r="N1884" i="41"/>
  <c r="O1884" i="41"/>
  <c r="P1884" i="41"/>
  <c r="Q1884" i="41"/>
  <c r="R1884" i="41"/>
  <c r="S1884" i="41"/>
  <c r="J1885" i="41"/>
  <c r="K1885" i="41"/>
  <c r="L1885" i="41"/>
  <c r="M1885" i="41"/>
  <c r="N1885" i="41"/>
  <c r="O1885" i="41"/>
  <c r="P1885" i="41"/>
  <c r="Q1885" i="41"/>
  <c r="R1885" i="41"/>
  <c r="S1885" i="41"/>
  <c r="J1886" i="41"/>
  <c r="K1886" i="41"/>
  <c r="L1886" i="41"/>
  <c r="M1886" i="41"/>
  <c r="N1886" i="41"/>
  <c r="O1886" i="41"/>
  <c r="P1886" i="41"/>
  <c r="Q1886" i="41"/>
  <c r="R1886" i="41"/>
  <c r="S1886" i="41"/>
  <c r="J1887" i="41"/>
  <c r="K1887" i="41"/>
  <c r="L1887" i="41"/>
  <c r="M1887" i="41"/>
  <c r="N1887" i="41"/>
  <c r="O1887" i="41"/>
  <c r="P1887" i="41"/>
  <c r="Q1887" i="41"/>
  <c r="R1887" i="41"/>
  <c r="S1887" i="41"/>
  <c r="J1888" i="41"/>
  <c r="K1888" i="41"/>
  <c r="L1888" i="41"/>
  <c r="M1888" i="41"/>
  <c r="N1888" i="41"/>
  <c r="O1888" i="41"/>
  <c r="P1888" i="41"/>
  <c r="Q1888" i="41"/>
  <c r="R1888" i="41"/>
  <c r="S1888" i="41"/>
  <c r="J1889" i="41"/>
  <c r="K1889" i="41"/>
  <c r="L1889" i="41"/>
  <c r="M1889" i="41"/>
  <c r="N1889" i="41"/>
  <c r="O1889" i="41"/>
  <c r="P1889" i="41"/>
  <c r="Q1889" i="41"/>
  <c r="R1889" i="41"/>
  <c r="S1889" i="41"/>
  <c r="J1890" i="41"/>
  <c r="K1890" i="41"/>
  <c r="L1890" i="41"/>
  <c r="M1890" i="41"/>
  <c r="N1890" i="41"/>
  <c r="O1890" i="41"/>
  <c r="P1890" i="41"/>
  <c r="Q1890" i="41"/>
  <c r="R1890" i="41"/>
  <c r="S1890" i="41"/>
  <c r="J1891" i="41"/>
  <c r="K1891" i="41"/>
  <c r="L1891" i="41"/>
  <c r="M1891" i="41"/>
  <c r="N1891" i="41"/>
  <c r="O1891" i="41"/>
  <c r="P1891" i="41"/>
  <c r="Q1891" i="41"/>
  <c r="R1891" i="41"/>
  <c r="S1891" i="41"/>
  <c r="J1892" i="41"/>
  <c r="K1892" i="41"/>
  <c r="L1892" i="41"/>
  <c r="M1892" i="41"/>
  <c r="N1892" i="41"/>
  <c r="O1892" i="41"/>
  <c r="P1892" i="41"/>
  <c r="Q1892" i="41"/>
  <c r="R1892" i="41"/>
  <c r="S1892" i="41"/>
  <c r="J1893" i="41"/>
  <c r="K1893" i="41"/>
  <c r="L1893" i="41"/>
  <c r="M1893" i="41"/>
  <c r="N1893" i="41"/>
  <c r="O1893" i="41"/>
  <c r="P1893" i="41"/>
  <c r="Q1893" i="41"/>
  <c r="R1893" i="41"/>
  <c r="S1893" i="41"/>
  <c r="J1894" i="41"/>
  <c r="K1894" i="41"/>
  <c r="L1894" i="41"/>
  <c r="M1894" i="41"/>
  <c r="N1894" i="41"/>
  <c r="O1894" i="41"/>
  <c r="P1894" i="41"/>
  <c r="Q1894" i="41"/>
  <c r="R1894" i="41"/>
  <c r="S1894" i="41"/>
  <c r="J1895" i="41"/>
  <c r="K1895" i="41"/>
  <c r="L1895" i="41"/>
  <c r="M1895" i="41"/>
  <c r="N1895" i="41"/>
  <c r="O1895" i="41"/>
  <c r="P1895" i="41"/>
  <c r="Q1895" i="41"/>
  <c r="R1895" i="41"/>
  <c r="S1895" i="41"/>
  <c r="J1896" i="41"/>
  <c r="K1896" i="41"/>
  <c r="L1896" i="41"/>
  <c r="M1896" i="41"/>
  <c r="N1896" i="41"/>
  <c r="O1896" i="41"/>
  <c r="P1896" i="41"/>
  <c r="Q1896" i="41"/>
  <c r="R1896" i="41"/>
  <c r="S1896" i="41"/>
  <c r="J1897" i="41"/>
  <c r="K1897" i="41"/>
  <c r="L1897" i="41"/>
  <c r="M1897" i="41"/>
  <c r="N1897" i="41"/>
  <c r="O1897" i="41"/>
  <c r="P1897" i="41"/>
  <c r="Q1897" i="41"/>
  <c r="R1897" i="41"/>
  <c r="S1897" i="41"/>
  <c r="J1898" i="41"/>
  <c r="K1898" i="41"/>
  <c r="L1898" i="41"/>
  <c r="M1898" i="41"/>
  <c r="N1898" i="41"/>
  <c r="O1898" i="41"/>
  <c r="P1898" i="41"/>
  <c r="Q1898" i="41"/>
  <c r="R1898" i="41"/>
  <c r="S1898" i="41"/>
  <c r="J1899" i="41"/>
  <c r="K1899" i="41"/>
  <c r="L1899" i="41"/>
  <c r="M1899" i="41"/>
  <c r="N1899" i="41"/>
  <c r="O1899" i="41"/>
  <c r="P1899" i="41"/>
  <c r="Q1899" i="41"/>
  <c r="R1899" i="41"/>
  <c r="S1899" i="41"/>
  <c r="J1900" i="41"/>
  <c r="K1900" i="41"/>
  <c r="L1900" i="41"/>
  <c r="M1900" i="41"/>
  <c r="N1900" i="41"/>
  <c r="O1900" i="41"/>
  <c r="P1900" i="41"/>
  <c r="Q1900" i="41"/>
  <c r="R1900" i="41"/>
  <c r="S1900" i="41"/>
  <c r="J1901" i="41"/>
  <c r="K1901" i="41"/>
  <c r="L1901" i="41"/>
  <c r="M1901" i="41"/>
  <c r="N1901" i="41"/>
  <c r="O1901" i="41"/>
  <c r="P1901" i="41"/>
  <c r="Q1901" i="41"/>
  <c r="R1901" i="41"/>
  <c r="S1901" i="41"/>
  <c r="J1902" i="41"/>
  <c r="K1902" i="41"/>
  <c r="L1902" i="41"/>
  <c r="M1902" i="41"/>
  <c r="N1902" i="41"/>
  <c r="O1902" i="41"/>
  <c r="P1902" i="41"/>
  <c r="Q1902" i="41"/>
  <c r="R1902" i="41"/>
  <c r="S1902" i="41"/>
  <c r="J1903" i="41"/>
  <c r="K1903" i="41"/>
  <c r="L1903" i="41"/>
  <c r="M1903" i="41"/>
  <c r="N1903" i="41"/>
  <c r="O1903" i="41"/>
  <c r="P1903" i="41"/>
  <c r="Q1903" i="41"/>
  <c r="R1903" i="41"/>
  <c r="S1903" i="41"/>
  <c r="J1904" i="41"/>
  <c r="K1904" i="41"/>
  <c r="L1904" i="41"/>
  <c r="M1904" i="41"/>
  <c r="N1904" i="41"/>
  <c r="O1904" i="41"/>
  <c r="P1904" i="41"/>
  <c r="Q1904" i="41"/>
  <c r="R1904" i="41"/>
  <c r="S1904" i="41"/>
  <c r="J1905" i="41"/>
  <c r="K1905" i="41"/>
  <c r="L1905" i="41"/>
  <c r="M1905" i="41"/>
  <c r="N1905" i="41"/>
  <c r="O1905" i="41"/>
  <c r="P1905" i="41"/>
  <c r="Q1905" i="41"/>
  <c r="R1905" i="41"/>
  <c r="S1905" i="41"/>
  <c r="J1906" i="41"/>
  <c r="K1906" i="41"/>
  <c r="L1906" i="41"/>
  <c r="M1906" i="41"/>
  <c r="N1906" i="41"/>
  <c r="O1906" i="41"/>
  <c r="P1906" i="41"/>
  <c r="Q1906" i="41"/>
  <c r="R1906" i="41"/>
  <c r="S1906" i="41"/>
  <c r="J1907" i="41"/>
  <c r="K1907" i="41"/>
  <c r="L1907" i="41"/>
  <c r="M1907" i="41"/>
  <c r="N1907" i="41"/>
  <c r="O1907" i="41"/>
  <c r="P1907" i="41"/>
  <c r="Q1907" i="41"/>
  <c r="R1907" i="41"/>
  <c r="S1907" i="41"/>
  <c r="J1908" i="41"/>
  <c r="K1908" i="41"/>
  <c r="L1908" i="41"/>
  <c r="M1908" i="41"/>
  <c r="N1908" i="41"/>
  <c r="O1908" i="41"/>
  <c r="P1908" i="41"/>
  <c r="Q1908" i="41"/>
  <c r="R1908" i="41"/>
  <c r="S1908" i="41"/>
  <c r="J1909" i="41"/>
  <c r="K1909" i="41"/>
  <c r="L1909" i="41"/>
  <c r="M1909" i="41"/>
  <c r="N1909" i="41"/>
  <c r="O1909" i="41"/>
  <c r="P1909" i="41"/>
  <c r="Q1909" i="41"/>
  <c r="R1909" i="41"/>
  <c r="S1909" i="41"/>
  <c r="J1910" i="41"/>
  <c r="K1910" i="41"/>
  <c r="L1910" i="41"/>
  <c r="M1910" i="41"/>
  <c r="N1910" i="41"/>
  <c r="O1910" i="41"/>
  <c r="P1910" i="41"/>
  <c r="Q1910" i="41"/>
  <c r="R1910" i="41"/>
  <c r="S1910" i="41"/>
  <c r="J1911" i="41"/>
  <c r="K1911" i="41"/>
  <c r="L1911" i="41"/>
  <c r="M1911" i="41"/>
  <c r="N1911" i="41"/>
  <c r="O1911" i="41"/>
  <c r="P1911" i="41"/>
  <c r="Q1911" i="41"/>
  <c r="R1911" i="41"/>
  <c r="S1911" i="41"/>
  <c r="J1912" i="41"/>
  <c r="K1912" i="41"/>
  <c r="L1912" i="41"/>
  <c r="M1912" i="41"/>
  <c r="N1912" i="41"/>
  <c r="O1912" i="41"/>
  <c r="P1912" i="41"/>
  <c r="Q1912" i="41"/>
  <c r="R1912" i="41"/>
  <c r="S1912" i="41"/>
  <c r="J1913" i="41"/>
  <c r="K1913" i="41"/>
  <c r="L1913" i="41"/>
  <c r="M1913" i="41"/>
  <c r="N1913" i="41"/>
  <c r="O1913" i="41"/>
  <c r="P1913" i="41"/>
  <c r="Q1913" i="41"/>
  <c r="R1913" i="41"/>
  <c r="S1913" i="41"/>
  <c r="J1914" i="41"/>
  <c r="K1914" i="41"/>
  <c r="L1914" i="41"/>
  <c r="M1914" i="41"/>
  <c r="N1914" i="41"/>
  <c r="O1914" i="41"/>
  <c r="P1914" i="41"/>
  <c r="Q1914" i="41"/>
  <c r="R1914" i="41"/>
  <c r="S1914" i="41"/>
  <c r="J1915" i="41"/>
  <c r="K1915" i="41"/>
  <c r="L1915" i="41"/>
  <c r="M1915" i="41"/>
  <c r="N1915" i="41"/>
  <c r="O1915" i="41"/>
  <c r="P1915" i="41"/>
  <c r="Q1915" i="41"/>
  <c r="R1915" i="41"/>
  <c r="S1915" i="41"/>
  <c r="J1916" i="41"/>
  <c r="K1916" i="41"/>
  <c r="L1916" i="41"/>
  <c r="M1916" i="41"/>
  <c r="N1916" i="41"/>
  <c r="O1916" i="41"/>
  <c r="P1916" i="41"/>
  <c r="Q1916" i="41"/>
  <c r="R1916" i="41"/>
  <c r="S1916" i="41"/>
  <c r="J1917" i="41"/>
  <c r="K1917" i="41"/>
  <c r="L1917" i="41"/>
  <c r="M1917" i="41"/>
  <c r="N1917" i="41"/>
  <c r="O1917" i="41"/>
  <c r="P1917" i="41"/>
  <c r="Q1917" i="41"/>
  <c r="R1917" i="41"/>
  <c r="S1917" i="41"/>
  <c r="J1918" i="41"/>
  <c r="K1918" i="41"/>
  <c r="L1918" i="41"/>
  <c r="M1918" i="41"/>
  <c r="N1918" i="41"/>
  <c r="O1918" i="41"/>
  <c r="P1918" i="41"/>
  <c r="Q1918" i="41"/>
  <c r="R1918" i="41"/>
  <c r="S1918" i="41"/>
  <c r="J1919" i="41"/>
  <c r="K1919" i="41"/>
  <c r="L1919" i="41"/>
  <c r="M1919" i="41"/>
  <c r="N1919" i="41"/>
  <c r="O1919" i="41"/>
  <c r="P1919" i="41"/>
  <c r="Q1919" i="41"/>
  <c r="R1919" i="41"/>
  <c r="S1919" i="41"/>
  <c r="J1920" i="41"/>
  <c r="K1920" i="41"/>
  <c r="L1920" i="41"/>
  <c r="M1920" i="41"/>
  <c r="N1920" i="41"/>
  <c r="O1920" i="41"/>
  <c r="P1920" i="41"/>
  <c r="Q1920" i="41"/>
  <c r="R1920" i="41"/>
  <c r="S1920" i="41"/>
  <c r="J1921" i="41"/>
  <c r="K1921" i="41"/>
  <c r="L1921" i="41"/>
  <c r="M1921" i="41"/>
  <c r="N1921" i="41"/>
  <c r="O1921" i="41"/>
  <c r="P1921" i="41"/>
  <c r="Q1921" i="41"/>
  <c r="R1921" i="41"/>
  <c r="S1921" i="41"/>
  <c r="J1922" i="41"/>
  <c r="K1922" i="41"/>
  <c r="L1922" i="41"/>
  <c r="M1922" i="41"/>
  <c r="N1922" i="41"/>
  <c r="O1922" i="41"/>
  <c r="P1922" i="41"/>
  <c r="Q1922" i="41"/>
  <c r="R1922" i="41"/>
  <c r="S1922" i="41"/>
  <c r="J1923" i="41"/>
  <c r="K1923" i="41"/>
  <c r="L1923" i="41"/>
  <c r="M1923" i="41"/>
  <c r="N1923" i="41"/>
  <c r="O1923" i="41"/>
  <c r="P1923" i="41"/>
  <c r="Q1923" i="41"/>
  <c r="R1923" i="41"/>
  <c r="S1923" i="41"/>
  <c r="J1924" i="41"/>
  <c r="K1924" i="41"/>
  <c r="L1924" i="41"/>
  <c r="M1924" i="41"/>
  <c r="N1924" i="41"/>
  <c r="O1924" i="41"/>
  <c r="P1924" i="41"/>
  <c r="Q1924" i="41"/>
  <c r="R1924" i="41"/>
  <c r="S1924" i="41"/>
  <c r="J1925" i="41"/>
  <c r="K1925" i="41"/>
  <c r="L1925" i="41"/>
  <c r="M1925" i="41"/>
  <c r="N1925" i="41"/>
  <c r="O1925" i="41"/>
  <c r="P1925" i="41"/>
  <c r="Q1925" i="41"/>
  <c r="R1925" i="41"/>
  <c r="S1925" i="41"/>
  <c r="J1926" i="41"/>
  <c r="K1926" i="41"/>
  <c r="L1926" i="41"/>
  <c r="M1926" i="41"/>
  <c r="N1926" i="41"/>
  <c r="O1926" i="41"/>
  <c r="P1926" i="41"/>
  <c r="Q1926" i="41"/>
  <c r="R1926" i="41"/>
  <c r="S1926" i="41"/>
  <c r="J1927" i="41"/>
  <c r="K1927" i="41"/>
  <c r="L1927" i="41"/>
  <c r="M1927" i="41"/>
  <c r="N1927" i="41"/>
  <c r="O1927" i="41"/>
  <c r="P1927" i="41"/>
  <c r="Q1927" i="41"/>
  <c r="R1927" i="41"/>
  <c r="S1927" i="41"/>
  <c r="J1928" i="41"/>
  <c r="K1928" i="41"/>
  <c r="L1928" i="41"/>
  <c r="M1928" i="41"/>
  <c r="N1928" i="41"/>
  <c r="O1928" i="41"/>
  <c r="P1928" i="41"/>
  <c r="Q1928" i="41"/>
  <c r="R1928" i="41"/>
  <c r="S1928" i="41"/>
  <c r="J1929" i="41"/>
  <c r="K1929" i="41"/>
  <c r="L1929" i="41"/>
  <c r="M1929" i="41"/>
  <c r="N1929" i="41"/>
  <c r="O1929" i="41"/>
  <c r="P1929" i="41"/>
  <c r="Q1929" i="41"/>
  <c r="R1929" i="41"/>
  <c r="S1929" i="41"/>
  <c r="J1930" i="41"/>
  <c r="K1930" i="41"/>
  <c r="L1930" i="41"/>
  <c r="M1930" i="41"/>
  <c r="N1930" i="41"/>
  <c r="O1930" i="41"/>
  <c r="P1930" i="41"/>
  <c r="Q1930" i="41"/>
  <c r="R1930" i="41"/>
  <c r="S1930" i="41"/>
  <c r="J1931" i="41"/>
  <c r="K1931" i="41"/>
  <c r="L1931" i="41"/>
  <c r="M1931" i="41"/>
  <c r="N1931" i="41"/>
  <c r="O1931" i="41"/>
  <c r="P1931" i="41"/>
  <c r="Q1931" i="41"/>
  <c r="R1931" i="41"/>
  <c r="S1931" i="41"/>
  <c r="J1932" i="41"/>
  <c r="K1932" i="41"/>
  <c r="L1932" i="41"/>
  <c r="M1932" i="41"/>
  <c r="N1932" i="41"/>
  <c r="O1932" i="41"/>
  <c r="P1932" i="41"/>
  <c r="Q1932" i="41"/>
  <c r="R1932" i="41"/>
  <c r="S1932" i="41"/>
  <c r="J1933" i="41"/>
  <c r="K1933" i="41"/>
  <c r="L1933" i="41"/>
  <c r="M1933" i="41"/>
  <c r="N1933" i="41"/>
  <c r="O1933" i="41"/>
  <c r="P1933" i="41"/>
  <c r="Q1933" i="41"/>
  <c r="R1933" i="41"/>
  <c r="S1933" i="41"/>
  <c r="J1934" i="41"/>
  <c r="K1934" i="41"/>
  <c r="L1934" i="41"/>
  <c r="M1934" i="41"/>
  <c r="N1934" i="41"/>
  <c r="O1934" i="41"/>
  <c r="P1934" i="41"/>
  <c r="Q1934" i="41"/>
  <c r="R1934" i="41"/>
  <c r="S1934" i="41"/>
  <c r="J1935" i="41"/>
  <c r="K1935" i="41"/>
  <c r="L1935" i="41"/>
  <c r="M1935" i="41"/>
  <c r="N1935" i="41"/>
  <c r="O1935" i="41"/>
  <c r="P1935" i="41"/>
  <c r="Q1935" i="41"/>
  <c r="R1935" i="41"/>
  <c r="S1935" i="41"/>
  <c r="J1936" i="41"/>
  <c r="K1936" i="41"/>
  <c r="L1936" i="41"/>
  <c r="M1936" i="41"/>
  <c r="N1936" i="41"/>
  <c r="O1936" i="41"/>
  <c r="P1936" i="41"/>
  <c r="Q1936" i="41"/>
  <c r="R1936" i="41"/>
  <c r="S1936" i="41"/>
  <c r="J1937" i="41"/>
  <c r="K1937" i="41"/>
  <c r="L1937" i="41"/>
  <c r="M1937" i="41"/>
  <c r="N1937" i="41"/>
  <c r="O1937" i="41"/>
  <c r="P1937" i="41"/>
  <c r="Q1937" i="41"/>
  <c r="R1937" i="41"/>
  <c r="S1937" i="41"/>
  <c r="J1938" i="41"/>
  <c r="K1938" i="41"/>
  <c r="L1938" i="41"/>
  <c r="M1938" i="41"/>
  <c r="N1938" i="41"/>
  <c r="O1938" i="41"/>
  <c r="P1938" i="41"/>
  <c r="Q1938" i="41"/>
  <c r="R1938" i="41"/>
  <c r="S1938" i="41"/>
  <c r="J1939" i="41"/>
  <c r="K1939" i="41"/>
  <c r="L1939" i="41"/>
  <c r="M1939" i="41"/>
  <c r="N1939" i="41"/>
  <c r="O1939" i="41"/>
  <c r="P1939" i="41"/>
  <c r="Q1939" i="41"/>
  <c r="R1939" i="41"/>
  <c r="S1939" i="41"/>
  <c r="J1940" i="41"/>
  <c r="K1940" i="41"/>
  <c r="L1940" i="41"/>
  <c r="M1940" i="41"/>
  <c r="N1940" i="41"/>
  <c r="O1940" i="41"/>
  <c r="P1940" i="41"/>
  <c r="Q1940" i="41"/>
  <c r="R1940" i="41"/>
  <c r="S1940" i="41"/>
  <c r="J1941" i="41"/>
  <c r="K1941" i="41"/>
  <c r="L1941" i="41"/>
  <c r="M1941" i="41"/>
  <c r="N1941" i="41"/>
  <c r="O1941" i="41"/>
  <c r="P1941" i="41"/>
  <c r="Q1941" i="41"/>
  <c r="R1941" i="41"/>
  <c r="S1941" i="41"/>
  <c r="J1942" i="41"/>
  <c r="K1942" i="41"/>
  <c r="L1942" i="41"/>
  <c r="M1942" i="41"/>
  <c r="N1942" i="41"/>
  <c r="O1942" i="41"/>
  <c r="P1942" i="41"/>
  <c r="Q1942" i="41"/>
  <c r="R1942" i="41"/>
  <c r="S1942" i="41"/>
  <c r="J1943" i="41"/>
  <c r="K1943" i="41"/>
  <c r="L1943" i="41"/>
  <c r="M1943" i="41"/>
  <c r="N1943" i="41"/>
  <c r="O1943" i="41"/>
  <c r="P1943" i="41"/>
  <c r="Q1943" i="41"/>
  <c r="R1943" i="41"/>
  <c r="S1943" i="41"/>
  <c r="J1944" i="41"/>
  <c r="K1944" i="41"/>
  <c r="L1944" i="41"/>
  <c r="M1944" i="41"/>
  <c r="N1944" i="41"/>
  <c r="O1944" i="41"/>
  <c r="P1944" i="41"/>
  <c r="Q1944" i="41"/>
  <c r="R1944" i="41"/>
  <c r="S1944" i="41"/>
  <c r="J1945" i="41"/>
  <c r="K1945" i="41"/>
  <c r="L1945" i="41"/>
  <c r="M1945" i="41"/>
  <c r="N1945" i="41"/>
  <c r="O1945" i="41"/>
  <c r="P1945" i="41"/>
  <c r="Q1945" i="41"/>
  <c r="R1945" i="41"/>
  <c r="S1945" i="41"/>
  <c r="J1946" i="41"/>
  <c r="K1946" i="41"/>
  <c r="L1946" i="41"/>
  <c r="M1946" i="41"/>
  <c r="N1946" i="41"/>
  <c r="O1946" i="41"/>
  <c r="P1946" i="41"/>
  <c r="Q1946" i="41"/>
  <c r="R1946" i="41"/>
  <c r="S1946" i="41"/>
  <c r="J1947" i="41"/>
  <c r="K1947" i="41"/>
  <c r="L1947" i="41"/>
  <c r="M1947" i="41"/>
  <c r="N1947" i="41"/>
  <c r="O1947" i="41"/>
  <c r="P1947" i="41"/>
  <c r="Q1947" i="41"/>
  <c r="R1947" i="41"/>
  <c r="S1947" i="41"/>
  <c r="J1948" i="41"/>
  <c r="K1948" i="41"/>
  <c r="L1948" i="41"/>
  <c r="M1948" i="41"/>
  <c r="N1948" i="41"/>
  <c r="O1948" i="41"/>
  <c r="P1948" i="41"/>
  <c r="Q1948" i="41"/>
  <c r="R1948" i="41"/>
  <c r="S1948" i="41"/>
  <c r="J1949" i="41"/>
  <c r="K1949" i="41"/>
  <c r="L1949" i="41"/>
  <c r="M1949" i="41"/>
  <c r="N1949" i="41"/>
  <c r="O1949" i="41"/>
  <c r="P1949" i="41"/>
  <c r="Q1949" i="41"/>
  <c r="R1949" i="41"/>
  <c r="S1949" i="41"/>
  <c r="J1950" i="41"/>
  <c r="K1950" i="41"/>
  <c r="L1950" i="41"/>
  <c r="M1950" i="41"/>
  <c r="N1950" i="41"/>
  <c r="O1950" i="41"/>
  <c r="P1950" i="41"/>
  <c r="Q1950" i="41"/>
  <c r="R1950" i="41"/>
  <c r="S1950" i="41"/>
  <c r="J1951" i="41"/>
  <c r="K1951" i="41"/>
  <c r="L1951" i="41"/>
  <c r="M1951" i="41"/>
  <c r="N1951" i="41"/>
  <c r="O1951" i="41"/>
  <c r="P1951" i="41"/>
  <c r="Q1951" i="41"/>
  <c r="R1951" i="41"/>
  <c r="S1951" i="41"/>
  <c r="J1952" i="41"/>
  <c r="K1952" i="41"/>
  <c r="L1952" i="41"/>
  <c r="M1952" i="41"/>
  <c r="N1952" i="41"/>
  <c r="O1952" i="41"/>
  <c r="P1952" i="41"/>
  <c r="Q1952" i="41"/>
  <c r="R1952" i="41"/>
  <c r="S1952" i="41"/>
  <c r="J1953" i="41"/>
  <c r="K1953" i="41"/>
  <c r="L1953" i="41"/>
  <c r="M1953" i="41"/>
  <c r="N1953" i="41"/>
  <c r="O1953" i="41"/>
  <c r="P1953" i="41"/>
  <c r="Q1953" i="41"/>
  <c r="R1953" i="41"/>
  <c r="S1953" i="41"/>
  <c r="J1954" i="41"/>
  <c r="K1954" i="41"/>
  <c r="L1954" i="41"/>
  <c r="M1954" i="41"/>
  <c r="N1954" i="41"/>
  <c r="O1954" i="41"/>
  <c r="P1954" i="41"/>
  <c r="Q1954" i="41"/>
  <c r="R1954" i="41"/>
  <c r="S1954" i="41"/>
  <c r="J1955" i="41"/>
  <c r="K1955" i="41"/>
  <c r="L1955" i="41"/>
  <c r="M1955" i="41"/>
  <c r="N1955" i="41"/>
  <c r="O1955" i="41"/>
  <c r="P1955" i="41"/>
  <c r="Q1955" i="41"/>
  <c r="R1955" i="41"/>
  <c r="S1955" i="41"/>
  <c r="J1956" i="41"/>
  <c r="K1956" i="41"/>
  <c r="L1956" i="41"/>
  <c r="M1956" i="41"/>
  <c r="N1956" i="41"/>
  <c r="O1956" i="41"/>
  <c r="P1956" i="41"/>
  <c r="Q1956" i="41"/>
  <c r="R1956" i="41"/>
  <c r="S1956" i="41"/>
  <c r="J1957" i="41"/>
  <c r="K1957" i="41"/>
  <c r="L1957" i="41"/>
  <c r="M1957" i="41"/>
  <c r="N1957" i="41"/>
  <c r="O1957" i="41"/>
  <c r="P1957" i="41"/>
  <c r="Q1957" i="41"/>
  <c r="R1957" i="41"/>
  <c r="S1957" i="41"/>
  <c r="J1958" i="41"/>
  <c r="K1958" i="41"/>
  <c r="L1958" i="41"/>
  <c r="M1958" i="41"/>
  <c r="N1958" i="41"/>
  <c r="O1958" i="41"/>
  <c r="P1958" i="41"/>
  <c r="Q1958" i="41"/>
  <c r="R1958" i="41"/>
  <c r="S1958" i="41"/>
  <c r="J1959" i="41"/>
  <c r="K1959" i="41"/>
  <c r="L1959" i="41"/>
  <c r="M1959" i="41"/>
  <c r="N1959" i="41"/>
  <c r="O1959" i="41"/>
  <c r="P1959" i="41"/>
  <c r="Q1959" i="41"/>
  <c r="R1959" i="41"/>
  <c r="S1959" i="41"/>
  <c r="J1960" i="41"/>
  <c r="K1960" i="41"/>
  <c r="L1960" i="41"/>
  <c r="M1960" i="41"/>
  <c r="N1960" i="41"/>
  <c r="O1960" i="41"/>
  <c r="P1960" i="41"/>
  <c r="Q1960" i="41"/>
  <c r="R1960" i="41"/>
  <c r="S1960" i="41"/>
  <c r="J1961" i="41"/>
  <c r="K1961" i="41"/>
  <c r="L1961" i="41"/>
  <c r="M1961" i="41"/>
  <c r="N1961" i="41"/>
  <c r="O1961" i="41"/>
  <c r="P1961" i="41"/>
  <c r="Q1961" i="41"/>
  <c r="R1961" i="41"/>
  <c r="S1961" i="41"/>
  <c r="J1962" i="41"/>
  <c r="K1962" i="41"/>
  <c r="L1962" i="41"/>
  <c r="M1962" i="41"/>
  <c r="N1962" i="41"/>
  <c r="O1962" i="41"/>
  <c r="P1962" i="41"/>
  <c r="Q1962" i="41"/>
  <c r="R1962" i="41"/>
  <c r="S1962" i="41"/>
  <c r="J1963" i="41"/>
  <c r="K1963" i="41"/>
  <c r="L1963" i="41"/>
  <c r="M1963" i="41"/>
  <c r="N1963" i="41"/>
  <c r="O1963" i="41"/>
  <c r="P1963" i="41"/>
  <c r="Q1963" i="41"/>
  <c r="R1963" i="41"/>
  <c r="S1963" i="41"/>
  <c r="J1964" i="41"/>
  <c r="K1964" i="41"/>
  <c r="L1964" i="41"/>
  <c r="M1964" i="41"/>
  <c r="N1964" i="41"/>
  <c r="O1964" i="41"/>
  <c r="P1964" i="41"/>
  <c r="Q1964" i="41"/>
  <c r="R1964" i="41"/>
  <c r="S1964" i="41"/>
  <c r="J1965" i="41"/>
  <c r="K1965" i="41"/>
  <c r="L1965" i="41"/>
  <c r="M1965" i="41"/>
  <c r="N1965" i="41"/>
  <c r="O1965" i="41"/>
  <c r="P1965" i="41"/>
  <c r="Q1965" i="41"/>
  <c r="R1965" i="41"/>
  <c r="S1965" i="41"/>
  <c r="J1966" i="41"/>
  <c r="K1966" i="41"/>
  <c r="L1966" i="41"/>
  <c r="M1966" i="41"/>
  <c r="N1966" i="41"/>
  <c r="O1966" i="41"/>
  <c r="P1966" i="41"/>
  <c r="Q1966" i="41"/>
  <c r="R1966" i="41"/>
  <c r="S1966" i="41"/>
  <c r="J1967" i="41"/>
  <c r="K1967" i="41"/>
  <c r="L1967" i="41"/>
  <c r="M1967" i="41"/>
  <c r="N1967" i="41"/>
  <c r="O1967" i="41"/>
  <c r="P1967" i="41"/>
  <c r="Q1967" i="41"/>
  <c r="R1967" i="41"/>
  <c r="S1967" i="41"/>
  <c r="J1968" i="41"/>
  <c r="K1968" i="41"/>
  <c r="L1968" i="41"/>
  <c r="M1968" i="41"/>
  <c r="N1968" i="41"/>
  <c r="O1968" i="41"/>
  <c r="P1968" i="41"/>
  <c r="Q1968" i="41"/>
  <c r="R1968" i="41"/>
  <c r="S1968" i="41"/>
  <c r="J1969" i="41"/>
  <c r="K1969" i="41"/>
  <c r="L1969" i="41"/>
  <c r="M1969" i="41"/>
  <c r="N1969" i="41"/>
  <c r="O1969" i="41"/>
  <c r="P1969" i="41"/>
  <c r="Q1969" i="41"/>
  <c r="R1969" i="41"/>
  <c r="S1969" i="41"/>
  <c r="J1970" i="41"/>
  <c r="K1970" i="41"/>
  <c r="L1970" i="41"/>
  <c r="M1970" i="41"/>
  <c r="N1970" i="41"/>
  <c r="O1970" i="41"/>
  <c r="P1970" i="41"/>
  <c r="Q1970" i="41"/>
  <c r="R1970" i="41"/>
  <c r="S1970" i="41"/>
  <c r="J1971" i="41"/>
  <c r="K1971" i="41"/>
  <c r="L1971" i="41"/>
  <c r="M1971" i="41"/>
  <c r="N1971" i="41"/>
  <c r="O1971" i="41"/>
  <c r="P1971" i="41"/>
  <c r="Q1971" i="41"/>
  <c r="R1971" i="41"/>
  <c r="S1971" i="41"/>
  <c r="J1972" i="41"/>
  <c r="K1972" i="41"/>
  <c r="L1972" i="41"/>
  <c r="M1972" i="41"/>
  <c r="N1972" i="41"/>
  <c r="O1972" i="41"/>
  <c r="P1972" i="41"/>
  <c r="Q1972" i="41"/>
  <c r="R1972" i="41"/>
  <c r="S1972" i="41"/>
  <c r="J1973" i="41"/>
  <c r="K1973" i="41"/>
  <c r="L1973" i="41"/>
  <c r="M1973" i="41"/>
  <c r="N1973" i="41"/>
  <c r="O1973" i="41"/>
  <c r="P1973" i="41"/>
  <c r="Q1973" i="41"/>
  <c r="R1973" i="41"/>
  <c r="S1973" i="41"/>
  <c r="J1974" i="41"/>
  <c r="K1974" i="41"/>
  <c r="L1974" i="41"/>
  <c r="M1974" i="41"/>
  <c r="N1974" i="41"/>
  <c r="O1974" i="41"/>
  <c r="P1974" i="41"/>
  <c r="Q1974" i="41"/>
  <c r="R1974" i="41"/>
  <c r="S1974" i="41"/>
  <c r="J1975" i="41"/>
  <c r="K1975" i="41"/>
  <c r="L1975" i="41"/>
  <c r="M1975" i="41"/>
  <c r="N1975" i="41"/>
  <c r="O1975" i="41"/>
  <c r="P1975" i="41"/>
  <c r="Q1975" i="41"/>
  <c r="R1975" i="41"/>
  <c r="S1975" i="41"/>
  <c r="J1976" i="41"/>
  <c r="K1976" i="41"/>
  <c r="L1976" i="41"/>
  <c r="M1976" i="41"/>
  <c r="N1976" i="41"/>
  <c r="O1976" i="41"/>
  <c r="P1976" i="41"/>
  <c r="Q1976" i="41"/>
  <c r="R1976" i="41"/>
  <c r="S1976" i="41"/>
  <c r="J1977" i="41"/>
  <c r="K1977" i="41"/>
  <c r="L1977" i="41"/>
  <c r="M1977" i="41"/>
  <c r="N1977" i="41"/>
  <c r="O1977" i="41"/>
  <c r="P1977" i="41"/>
  <c r="Q1977" i="41"/>
  <c r="R1977" i="41"/>
  <c r="S1977" i="41"/>
  <c r="J1978" i="41"/>
  <c r="K1978" i="41"/>
  <c r="L1978" i="41"/>
  <c r="M1978" i="41"/>
  <c r="N1978" i="41"/>
  <c r="O1978" i="41"/>
  <c r="P1978" i="41"/>
  <c r="Q1978" i="41"/>
  <c r="R1978" i="41"/>
  <c r="S1978" i="41"/>
  <c r="J1979" i="41"/>
  <c r="K1979" i="41"/>
  <c r="L1979" i="41"/>
  <c r="M1979" i="41"/>
  <c r="N1979" i="41"/>
  <c r="O1979" i="41"/>
  <c r="P1979" i="41"/>
  <c r="Q1979" i="41"/>
  <c r="R1979" i="41"/>
  <c r="S1979" i="41"/>
  <c r="J1980" i="41"/>
  <c r="K1980" i="41"/>
  <c r="L1980" i="41"/>
  <c r="M1980" i="41"/>
  <c r="N1980" i="41"/>
  <c r="O1980" i="41"/>
  <c r="P1980" i="41"/>
  <c r="Q1980" i="41"/>
  <c r="R1980" i="41"/>
  <c r="S1980" i="41"/>
  <c r="J1981" i="41"/>
  <c r="K1981" i="41"/>
  <c r="L1981" i="41"/>
  <c r="M1981" i="41"/>
  <c r="N1981" i="41"/>
  <c r="O1981" i="41"/>
  <c r="P1981" i="41"/>
  <c r="Q1981" i="41"/>
  <c r="R1981" i="41"/>
  <c r="S1981" i="41"/>
  <c r="J1982" i="41"/>
  <c r="K1982" i="41"/>
  <c r="L1982" i="41"/>
  <c r="M1982" i="41"/>
  <c r="N1982" i="41"/>
  <c r="O1982" i="41"/>
  <c r="P1982" i="41"/>
  <c r="Q1982" i="41"/>
  <c r="R1982" i="41"/>
  <c r="S1982" i="41"/>
  <c r="J1983" i="41"/>
  <c r="K1983" i="41"/>
  <c r="L1983" i="41"/>
  <c r="M1983" i="41"/>
  <c r="N1983" i="41"/>
  <c r="O1983" i="41"/>
  <c r="P1983" i="41"/>
  <c r="Q1983" i="41"/>
  <c r="R1983" i="41"/>
  <c r="S1983" i="41"/>
  <c r="J1984" i="41"/>
  <c r="K1984" i="41"/>
  <c r="L1984" i="41"/>
  <c r="M1984" i="41"/>
  <c r="N1984" i="41"/>
  <c r="O1984" i="41"/>
  <c r="P1984" i="41"/>
  <c r="Q1984" i="41"/>
  <c r="R1984" i="41"/>
  <c r="S1984" i="41"/>
  <c r="J1985" i="41"/>
  <c r="K1985" i="41"/>
  <c r="L1985" i="41"/>
  <c r="M1985" i="41"/>
  <c r="N1985" i="41"/>
  <c r="O1985" i="41"/>
  <c r="P1985" i="41"/>
  <c r="Q1985" i="41"/>
  <c r="R1985" i="41"/>
  <c r="S1985" i="41"/>
  <c r="J1986" i="41"/>
  <c r="K1986" i="41"/>
  <c r="L1986" i="41"/>
  <c r="M1986" i="41"/>
  <c r="N1986" i="41"/>
  <c r="O1986" i="41"/>
  <c r="P1986" i="41"/>
  <c r="Q1986" i="41"/>
  <c r="R1986" i="41"/>
  <c r="S1986" i="41"/>
  <c r="J1987" i="41"/>
  <c r="K1987" i="41"/>
  <c r="L1987" i="41"/>
  <c r="M1987" i="41"/>
  <c r="N1987" i="41"/>
  <c r="O1987" i="41"/>
  <c r="P1987" i="41"/>
  <c r="Q1987" i="41"/>
  <c r="R1987" i="41"/>
  <c r="S1987" i="41"/>
  <c r="J1988" i="41"/>
  <c r="K1988" i="41"/>
  <c r="L1988" i="41"/>
  <c r="M1988" i="41"/>
  <c r="N1988" i="41"/>
  <c r="O1988" i="41"/>
  <c r="P1988" i="41"/>
  <c r="Q1988" i="41"/>
  <c r="R1988" i="41"/>
  <c r="S1988" i="41"/>
  <c r="J1989" i="41"/>
  <c r="K1989" i="41"/>
  <c r="L1989" i="41"/>
  <c r="M1989" i="41"/>
  <c r="N1989" i="41"/>
  <c r="O1989" i="41"/>
  <c r="P1989" i="41"/>
  <c r="Q1989" i="41"/>
  <c r="R1989" i="41"/>
  <c r="S1989" i="41"/>
  <c r="J1990" i="41"/>
  <c r="K1990" i="41"/>
  <c r="L1990" i="41"/>
  <c r="M1990" i="41"/>
  <c r="N1990" i="41"/>
  <c r="O1990" i="41"/>
  <c r="P1990" i="41"/>
  <c r="Q1990" i="41"/>
  <c r="R1990" i="41"/>
  <c r="S1990" i="41"/>
  <c r="J1991" i="41"/>
  <c r="K1991" i="41"/>
  <c r="L1991" i="41"/>
  <c r="M1991" i="41"/>
  <c r="N1991" i="41"/>
  <c r="O1991" i="41"/>
  <c r="P1991" i="41"/>
  <c r="Q1991" i="41"/>
  <c r="R1991" i="41"/>
  <c r="S1991" i="41"/>
  <c r="J1992" i="41"/>
  <c r="K1992" i="41"/>
  <c r="L1992" i="41"/>
  <c r="M1992" i="41"/>
  <c r="N1992" i="41"/>
  <c r="O1992" i="41"/>
  <c r="P1992" i="41"/>
  <c r="Q1992" i="41"/>
  <c r="R1992" i="41"/>
  <c r="S1992" i="41"/>
  <c r="J1993" i="41"/>
  <c r="K1993" i="41"/>
  <c r="L1993" i="41"/>
  <c r="M1993" i="41"/>
  <c r="N1993" i="41"/>
  <c r="O1993" i="41"/>
  <c r="P1993" i="41"/>
  <c r="Q1993" i="41"/>
  <c r="R1993" i="41"/>
  <c r="S1993" i="41"/>
  <c r="J1994" i="41"/>
  <c r="K1994" i="41"/>
  <c r="L1994" i="41"/>
  <c r="M1994" i="41"/>
  <c r="N1994" i="41"/>
  <c r="O1994" i="41"/>
  <c r="P1994" i="41"/>
  <c r="Q1994" i="41"/>
  <c r="R1994" i="41"/>
  <c r="S1994" i="41"/>
  <c r="J1995" i="41"/>
  <c r="K1995" i="41"/>
  <c r="L1995" i="41"/>
  <c r="M1995" i="41"/>
  <c r="N1995" i="41"/>
  <c r="O1995" i="41"/>
  <c r="P1995" i="41"/>
  <c r="Q1995" i="41"/>
  <c r="R1995" i="41"/>
  <c r="S1995" i="41"/>
  <c r="J1996" i="41"/>
  <c r="K1996" i="41"/>
  <c r="L1996" i="41"/>
  <c r="M1996" i="41"/>
  <c r="N1996" i="41"/>
  <c r="O1996" i="41"/>
  <c r="P1996" i="41"/>
  <c r="Q1996" i="41"/>
  <c r="R1996" i="41"/>
  <c r="S1996" i="41"/>
  <c r="J1997" i="41"/>
  <c r="K1997" i="41"/>
  <c r="L1997" i="41"/>
  <c r="M1997" i="41"/>
  <c r="N1997" i="41"/>
  <c r="O1997" i="41"/>
  <c r="P1997" i="41"/>
  <c r="Q1997" i="41"/>
  <c r="R1997" i="41"/>
  <c r="S1997" i="41"/>
  <c r="J1998" i="41"/>
  <c r="K1998" i="41"/>
  <c r="L1998" i="41"/>
  <c r="M1998" i="41"/>
  <c r="N1998" i="41"/>
  <c r="O1998" i="41"/>
  <c r="P1998" i="41"/>
  <c r="Q1998" i="41"/>
  <c r="R1998" i="41"/>
  <c r="S1998" i="41"/>
  <c r="J1999" i="41"/>
  <c r="K1999" i="41"/>
  <c r="L1999" i="41"/>
  <c r="M1999" i="41"/>
  <c r="N1999" i="41"/>
  <c r="O1999" i="41"/>
  <c r="P1999" i="41"/>
  <c r="Q1999" i="41"/>
  <c r="R1999" i="41"/>
  <c r="S1999" i="41"/>
  <c r="J2000" i="41"/>
  <c r="K2000" i="41"/>
  <c r="L2000" i="41"/>
  <c r="M2000" i="41"/>
  <c r="N2000" i="41"/>
  <c r="O2000" i="41"/>
  <c r="P2000" i="41"/>
  <c r="Q2000" i="41"/>
  <c r="R2000" i="41"/>
  <c r="S2000" i="41"/>
  <c r="J2001" i="41"/>
  <c r="K2001" i="41"/>
  <c r="L2001" i="41"/>
  <c r="M2001" i="41"/>
  <c r="N2001" i="41"/>
  <c r="O2001" i="41"/>
  <c r="P2001" i="41"/>
  <c r="Q2001" i="41"/>
  <c r="R2001" i="41"/>
  <c r="S2001" i="41"/>
  <c r="J2002" i="41"/>
  <c r="K2002" i="41"/>
  <c r="L2002" i="41"/>
  <c r="M2002" i="41"/>
  <c r="N2002" i="41"/>
  <c r="O2002" i="41"/>
  <c r="P2002" i="41"/>
  <c r="Q2002" i="41"/>
  <c r="R2002" i="41"/>
  <c r="S2002" i="41"/>
  <c r="J2003" i="41"/>
  <c r="K2003" i="41"/>
  <c r="L2003" i="41"/>
  <c r="M2003" i="41"/>
  <c r="N2003" i="41"/>
  <c r="O2003" i="41"/>
  <c r="P2003" i="41"/>
  <c r="Q2003" i="41"/>
  <c r="R2003" i="41"/>
  <c r="S2003" i="41"/>
  <c r="J2004" i="41"/>
  <c r="K2004" i="41"/>
  <c r="L2004" i="41"/>
  <c r="M2004" i="41"/>
  <c r="N2004" i="41"/>
  <c r="O2004" i="41"/>
  <c r="P2004" i="41"/>
  <c r="Q2004" i="41"/>
  <c r="R2004" i="41"/>
  <c r="S2004" i="41"/>
  <c r="J2005" i="41"/>
  <c r="K2005" i="41"/>
  <c r="L2005" i="41"/>
  <c r="M2005" i="41"/>
  <c r="N2005" i="41"/>
  <c r="O2005" i="41"/>
  <c r="P2005" i="41"/>
  <c r="Q2005" i="41"/>
  <c r="R2005" i="41"/>
  <c r="S2005" i="41"/>
  <c r="J2006" i="41"/>
  <c r="K2006" i="41"/>
  <c r="L2006" i="41"/>
  <c r="M2006" i="41"/>
  <c r="N2006" i="41"/>
  <c r="O2006" i="41"/>
  <c r="P2006" i="41"/>
  <c r="Q2006" i="41"/>
  <c r="R2006" i="41"/>
  <c r="S2006" i="41"/>
  <c r="J2007" i="41"/>
  <c r="K2007" i="41"/>
  <c r="L2007" i="41"/>
  <c r="M2007" i="41"/>
  <c r="N2007" i="41"/>
  <c r="O2007" i="41"/>
  <c r="P2007" i="41"/>
  <c r="Q2007" i="41"/>
  <c r="R2007" i="41"/>
  <c r="S2007" i="41"/>
  <c r="J2008" i="41"/>
  <c r="K2008" i="41"/>
  <c r="L2008" i="41"/>
  <c r="M2008" i="41"/>
  <c r="N2008" i="41"/>
  <c r="O2008" i="41"/>
  <c r="P2008" i="41"/>
  <c r="Q2008" i="41"/>
  <c r="R2008" i="41"/>
  <c r="S2008" i="41"/>
  <c r="J2009" i="41"/>
  <c r="K2009" i="41"/>
  <c r="L2009" i="41"/>
  <c r="M2009" i="41"/>
  <c r="N2009" i="41"/>
  <c r="O2009" i="41"/>
  <c r="P2009" i="41"/>
  <c r="Q2009" i="41"/>
  <c r="R2009" i="41"/>
  <c r="S2009" i="41"/>
  <c r="J2010" i="41"/>
  <c r="K2010" i="41"/>
  <c r="L2010" i="41"/>
  <c r="M2010" i="41"/>
  <c r="N2010" i="41"/>
  <c r="O2010" i="41"/>
  <c r="P2010" i="41"/>
  <c r="Q2010" i="41"/>
  <c r="R2010" i="41"/>
  <c r="S2010" i="41"/>
  <c r="J2011" i="41"/>
  <c r="K2011" i="41"/>
  <c r="L2011" i="41"/>
  <c r="M2011" i="41"/>
  <c r="N2011" i="41"/>
  <c r="O2011" i="41"/>
  <c r="P2011" i="41"/>
  <c r="Q2011" i="41"/>
  <c r="R2011" i="41"/>
  <c r="S2011" i="41"/>
  <c r="J2012" i="41"/>
  <c r="K2012" i="41"/>
  <c r="L2012" i="41"/>
  <c r="M2012" i="41"/>
  <c r="N2012" i="41"/>
  <c r="O2012" i="41"/>
  <c r="P2012" i="41"/>
  <c r="Q2012" i="41"/>
  <c r="R2012" i="41"/>
  <c r="S2012" i="41"/>
  <c r="J2013" i="41"/>
  <c r="K2013" i="41"/>
  <c r="L2013" i="41"/>
  <c r="M2013" i="41"/>
  <c r="N2013" i="41"/>
  <c r="O2013" i="41"/>
  <c r="P2013" i="41"/>
  <c r="Q2013" i="41"/>
  <c r="R2013" i="41"/>
  <c r="S2013" i="41"/>
  <c r="J2014" i="41"/>
  <c r="K2014" i="41"/>
  <c r="L2014" i="41"/>
  <c r="M2014" i="41"/>
  <c r="N2014" i="41"/>
  <c r="O2014" i="41"/>
  <c r="P2014" i="41"/>
  <c r="Q2014" i="41"/>
  <c r="R2014" i="41"/>
  <c r="S2014" i="41"/>
  <c r="J2015" i="41"/>
  <c r="K2015" i="41"/>
  <c r="L2015" i="41"/>
  <c r="M2015" i="41"/>
  <c r="N2015" i="41"/>
  <c r="O2015" i="41"/>
  <c r="P2015" i="41"/>
  <c r="Q2015" i="41"/>
  <c r="R2015" i="41"/>
  <c r="S2015" i="41"/>
  <c r="J2016" i="41"/>
  <c r="K2016" i="41"/>
  <c r="L2016" i="41"/>
  <c r="M2016" i="41"/>
  <c r="N2016" i="41"/>
  <c r="O2016" i="41"/>
  <c r="P2016" i="41"/>
  <c r="Q2016" i="41"/>
  <c r="R2016" i="41"/>
  <c r="S2016" i="41"/>
  <c r="J2017" i="41"/>
  <c r="K2017" i="41"/>
  <c r="L2017" i="41"/>
  <c r="M2017" i="41"/>
  <c r="N2017" i="41"/>
  <c r="O2017" i="41"/>
  <c r="P2017" i="41"/>
  <c r="Q2017" i="41"/>
  <c r="R2017" i="41"/>
  <c r="S2017" i="41"/>
  <c r="J2018" i="41"/>
  <c r="K2018" i="41"/>
  <c r="L2018" i="41"/>
  <c r="M2018" i="41"/>
  <c r="N2018" i="41"/>
  <c r="O2018" i="41"/>
  <c r="P2018" i="41"/>
  <c r="Q2018" i="41"/>
  <c r="R2018" i="41"/>
  <c r="S2018" i="41"/>
  <c r="J2019" i="41"/>
  <c r="K2019" i="41"/>
  <c r="L2019" i="41"/>
  <c r="M2019" i="41"/>
  <c r="N2019" i="41"/>
  <c r="O2019" i="41"/>
  <c r="P2019" i="41"/>
  <c r="Q2019" i="41"/>
  <c r="R2019" i="41"/>
  <c r="S2019" i="41"/>
  <c r="J2020" i="41"/>
  <c r="K2020" i="41"/>
  <c r="L2020" i="41"/>
  <c r="M2020" i="41"/>
  <c r="N2020" i="41"/>
  <c r="O2020" i="41"/>
  <c r="P2020" i="41"/>
  <c r="Q2020" i="41"/>
  <c r="R2020" i="41"/>
  <c r="S2020" i="41"/>
  <c r="J2021" i="41"/>
  <c r="K2021" i="41"/>
  <c r="L2021" i="41"/>
  <c r="M2021" i="41"/>
  <c r="N2021" i="41"/>
  <c r="O2021" i="41"/>
  <c r="P2021" i="41"/>
  <c r="Q2021" i="41"/>
  <c r="R2021" i="41"/>
  <c r="S2021" i="41"/>
  <c r="J2022" i="41"/>
  <c r="K2022" i="41"/>
  <c r="L2022" i="41"/>
  <c r="M2022" i="41"/>
  <c r="N2022" i="41"/>
  <c r="O2022" i="41"/>
  <c r="P2022" i="41"/>
  <c r="Q2022" i="41"/>
  <c r="R2022" i="41"/>
  <c r="S2022" i="41"/>
  <c r="J2023" i="41"/>
  <c r="K2023" i="41"/>
  <c r="L2023" i="41"/>
  <c r="M2023" i="41"/>
  <c r="N2023" i="41"/>
  <c r="O2023" i="41"/>
  <c r="P2023" i="41"/>
  <c r="Q2023" i="41"/>
  <c r="R2023" i="41"/>
  <c r="S2023" i="41"/>
  <c r="J2024" i="41"/>
  <c r="K2024" i="41"/>
  <c r="L2024" i="41"/>
  <c r="M2024" i="41"/>
  <c r="N2024" i="41"/>
  <c r="O2024" i="41"/>
  <c r="P2024" i="41"/>
  <c r="Q2024" i="41"/>
  <c r="R2024" i="41"/>
  <c r="S2024" i="41"/>
  <c r="J2025" i="41"/>
  <c r="K2025" i="41"/>
  <c r="L2025" i="41"/>
  <c r="M2025" i="41"/>
  <c r="N2025" i="41"/>
  <c r="O2025" i="41"/>
  <c r="P2025" i="41"/>
  <c r="Q2025" i="41"/>
  <c r="R2025" i="41"/>
  <c r="S2025" i="41"/>
  <c r="J2026" i="41"/>
  <c r="K2026" i="41"/>
  <c r="L2026" i="41"/>
  <c r="M2026" i="41"/>
  <c r="N2026" i="41"/>
  <c r="O2026" i="41"/>
  <c r="P2026" i="41"/>
  <c r="Q2026" i="41"/>
  <c r="R2026" i="41"/>
  <c r="S2026" i="41"/>
  <c r="J2027" i="41"/>
  <c r="K2027" i="41"/>
  <c r="L2027" i="41"/>
  <c r="M2027" i="41"/>
  <c r="N2027" i="41"/>
  <c r="O2027" i="41"/>
  <c r="P2027" i="41"/>
  <c r="Q2027" i="41"/>
  <c r="R2027" i="41"/>
  <c r="S2027" i="41"/>
  <c r="J2028" i="41"/>
  <c r="K2028" i="41"/>
  <c r="L2028" i="41"/>
  <c r="M2028" i="41"/>
  <c r="N2028" i="41"/>
  <c r="O2028" i="41"/>
  <c r="P2028" i="41"/>
  <c r="Q2028" i="41"/>
  <c r="R2028" i="41"/>
  <c r="S2028" i="41"/>
  <c r="J2029" i="41"/>
  <c r="K2029" i="41"/>
  <c r="L2029" i="41"/>
  <c r="M2029" i="41"/>
  <c r="N2029" i="41"/>
  <c r="O2029" i="41"/>
  <c r="P2029" i="41"/>
  <c r="Q2029" i="41"/>
  <c r="R2029" i="41"/>
  <c r="S2029" i="41"/>
  <c r="J2030" i="41"/>
  <c r="K2030" i="41"/>
  <c r="L2030" i="41"/>
  <c r="M2030" i="41"/>
  <c r="N2030" i="41"/>
  <c r="O2030" i="41"/>
  <c r="P2030" i="41"/>
  <c r="Q2030" i="41"/>
  <c r="R2030" i="41"/>
  <c r="S2030" i="41"/>
  <c r="J2031" i="41"/>
  <c r="K2031" i="41"/>
  <c r="L2031" i="41"/>
  <c r="M2031" i="41"/>
  <c r="N2031" i="41"/>
  <c r="O2031" i="41"/>
  <c r="P2031" i="41"/>
  <c r="Q2031" i="41"/>
  <c r="R2031" i="41"/>
  <c r="S2031" i="41"/>
  <c r="J2032" i="41"/>
  <c r="K2032" i="41"/>
  <c r="L2032" i="41"/>
  <c r="M2032" i="41"/>
  <c r="N2032" i="41"/>
  <c r="O2032" i="41"/>
  <c r="P2032" i="41"/>
  <c r="Q2032" i="41"/>
  <c r="R2032" i="41"/>
  <c r="S2032" i="41"/>
  <c r="J2033" i="41"/>
  <c r="K2033" i="41"/>
  <c r="L2033" i="41"/>
  <c r="M2033" i="41"/>
  <c r="N2033" i="41"/>
  <c r="O2033" i="41"/>
  <c r="P2033" i="41"/>
  <c r="Q2033" i="41"/>
  <c r="R2033" i="41"/>
  <c r="S2033" i="41"/>
  <c r="J2034" i="41"/>
  <c r="K2034" i="41"/>
  <c r="L2034" i="41"/>
  <c r="M2034" i="41"/>
  <c r="N2034" i="41"/>
  <c r="O2034" i="41"/>
  <c r="P2034" i="41"/>
  <c r="Q2034" i="41"/>
  <c r="R2034" i="41"/>
  <c r="S2034" i="41"/>
  <c r="J2035" i="41"/>
  <c r="K2035" i="41"/>
  <c r="L2035" i="41"/>
  <c r="M2035" i="41"/>
  <c r="N2035" i="41"/>
  <c r="O2035" i="41"/>
  <c r="P2035" i="41"/>
  <c r="Q2035" i="41"/>
  <c r="R2035" i="41"/>
  <c r="S2035" i="41"/>
  <c r="J2036" i="41"/>
  <c r="K2036" i="41"/>
  <c r="L2036" i="41"/>
  <c r="M2036" i="41"/>
  <c r="N2036" i="41"/>
  <c r="O2036" i="41"/>
  <c r="P2036" i="41"/>
  <c r="Q2036" i="41"/>
  <c r="R2036" i="41"/>
  <c r="S2036" i="41"/>
  <c r="J2037" i="41"/>
  <c r="K2037" i="41"/>
  <c r="L2037" i="41"/>
  <c r="M2037" i="41"/>
  <c r="N2037" i="41"/>
  <c r="O2037" i="41"/>
  <c r="P2037" i="41"/>
  <c r="Q2037" i="41"/>
  <c r="R2037" i="41"/>
  <c r="S2037" i="41"/>
  <c r="J2038" i="41"/>
  <c r="K2038" i="41"/>
  <c r="L2038" i="41"/>
  <c r="M2038" i="41"/>
  <c r="N2038" i="41"/>
  <c r="O2038" i="41"/>
  <c r="P2038" i="41"/>
  <c r="Q2038" i="41"/>
  <c r="R2038" i="41"/>
  <c r="S2038" i="41"/>
  <c r="J2039" i="41"/>
  <c r="K2039" i="41"/>
  <c r="L2039" i="41"/>
  <c r="M2039" i="41"/>
  <c r="N2039" i="41"/>
  <c r="O2039" i="41"/>
  <c r="P2039" i="41"/>
  <c r="Q2039" i="41"/>
  <c r="R2039" i="41"/>
  <c r="S2039" i="41"/>
  <c r="J2040" i="41"/>
  <c r="K2040" i="41"/>
  <c r="L2040" i="41"/>
  <c r="M2040" i="41"/>
  <c r="N2040" i="41"/>
  <c r="O2040" i="41"/>
  <c r="P2040" i="41"/>
  <c r="Q2040" i="41"/>
  <c r="R2040" i="41"/>
  <c r="S2040" i="41"/>
  <c r="J2041" i="41"/>
  <c r="K2041" i="41"/>
  <c r="L2041" i="41"/>
  <c r="M2041" i="41"/>
  <c r="N2041" i="41"/>
  <c r="O2041" i="41"/>
  <c r="P2041" i="41"/>
  <c r="Q2041" i="41"/>
  <c r="R2041" i="41"/>
  <c r="S2041" i="41"/>
  <c r="J2042" i="41"/>
  <c r="K2042" i="41"/>
  <c r="L2042" i="41"/>
  <c r="M2042" i="41"/>
  <c r="N2042" i="41"/>
  <c r="O2042" i="41"/>
  <c r="P2042" i="41"/>
  <c r="Q2042" i="41"/>
  <c r="R2042" i="41"/>
  <c r="S2042" i="41"/>
  <c r="J2043" i="41"/>
  <c r="K2043" i="41"/>
  <c r="L2043" i="41"/>
  <c r="M2043" i="41"/>
  <c r="N2043" i="41"/>
  <c r="O2043" i="41"/>
  <c r="P2043" i="41"/>
  <c r="Q2043" i="41"/>
  <c r="R2043" i="41"/>
  <c r="S2043" i="41"/>
  <c r="J2044" i="41"/>
  <c r="K2044" i="41"/>
  <c r="L2044" i="41"/>
  <c r="M2044" i="41"/>
  <c r="N2044" i="41"/>
  <c r="O2044" i="41"/>
  <c r="P2044" i="41"/>
  <c r="Q2044" i="41"/>
  <c r="R2044" i="41"/>
  <c r="S2044" i="41"/>
  <c r="J2045" i="41"/>
  <c r="K2045" i="41"/>
  <c r="L2045" i="41"/>
  <c r="M2045" i="41"/>
  <c r="N2045" i="41"/>
  <c r="O2045" i="41"/>
  <c r="P2045" i="41"/>
  <c r="Q2045" i="41"/>
  <c r="R2045" i="41"/>
  <c r="S2045" i="41"/>
  <c r="J2046" i="41"/>
  <c r="K2046" i="41"/>
  <c r="L2046" i="41"/>
  <c r="M2046" i="41"/>
  <c r="N2046" i="41"/>
  <c r="O2046" i="41"/>
  <c r="P2046" i="41"/>
  <c r="Q2046" i="41"/>
  <c r="R2046" i="41"/>
  <c r="S2046" i="41"/>
  <c r="J2047" i="41"/>
  <c r="K2047" i="41"/>
  <c r="L2047" i="41"/>
  <c r="M2047" i="41"/>
  <c r="N2047" i="41"/>
  <c r="O2047" i="41"/>
  <c r="P2047" i="41"/>
  <c r="Q2047" i="41"/>
  <c r="R2047" i="41"/>
  <c r="S2047" i="41"/>
  <c r="J2048" i="41"/>
  <c r="K2048" i="41"/>
  <c r="L2048" i="41"/>
  <c r="M2048" i="41"/>
  <c r="N2048" i="41"/>
  <c r="O2048" i="41"/>
  <c r="P2048" i="41"/>
  <c r="Q2048" i="41"/>
  <c r="R2048" i="41"/>
  <c r="S2048" i="41"/>
  <c r="J2049" i="41"/>
  <c r="K2049" i="41"/>
  <c r="L2049" i="41"/>
  <c r="M2049" i="41"/>
  <c r="N2049" i="41"/>
  <c r="O2049" i="41"/>
  <c r="P2049" i="41"/>
  <c r="Q2049" i="41"/>
  <c r="R2049" i="41"/>
  <c r="S2049" i="41"/>
  <c r="J2050" i="41"/>
  <c r="K2050" i="41"/>
  <c r="L2050" i="41"/>
  <c r="M2050" i="41"/>
  <c r="N2050" i="41"/>
  <c r="O2050" i="41"/>
  <c r="P2050" i="41"/>
  <c r="Q2050" i="41"/>
  <c r="R2050" i="41"/>
  <c r="S2050" i="41"/>
  <c r="J2051" i="41"/>
  <c r="K2051" i="41"/>
  <c r="L2051" i="41"/>
  <c r="M2051" i="41"/>
  <c r="N2051" i="41"/>
  <c r="O2051" i="41"/>
  <c r="P2051" i="41"/>
  <c r="Q2051" i="41"/>
  <c r="R2051" i="41"/>
  <c r="S2051" i="41"/>
  <c r="J2052" i="41"/>
  <c r="K2052" i="41"/>
  <c r="L2052" i="41"/>
  <c r="M2052" i="41"/>
  <c r="N2052" i="41"/>
  <c r="O2052" i="41"/>
  <c r="P2052" i="41"/>
  <c r="Q2052" i="41"/>
  <c r="R2052" i="41"/>
  <c r="S2052" i="41"/>
  <c r="J2053" i="41"/>
  <c r="K2053" i="41"/>
  <c r="L2053" i="41"/>
  <c r="M2053" i="41"/>
  <c r="N2053" i="41"/>
  <c r="O2053" i="41"/>
  <c r="P2053" i="41"/>
  <c r="Q2053" i="41"/>
  <c r="R2053" i="41"/>
  <c r="S2053" i="41"/>
  <c r="J2054" i="41"/>
  <c r="K2054" i="41"/>
  <c r="L2054" i="41"/>
  <c r="M2054" i="41"/>
  <c r="N2054" i="41"/>
  <c r="O2054" i="41"/>
  <c r="P2054" i="41"/>
  <c r="Q2054" i="41"/>
  <c r="R2054" i="41"/>
  <c r="S2054" i="41"/>
  <c r="J2055" i="41"/>
  <c r="K2055" i="41"/>
  <c r="L2055" i="41"/>
  <c r="M2055" i="41"/>
  <c r="N2055" i="41"/>
  <c r="O2055" i="41"/>
  <c r="P2055" i="41"/>
  <c r="Q2055" i="41"/>
  <c r="R2055" i="41"/>
  <c r="S2055" i="41"/>
  <c r="J2056" i="41"/>
  <c r="K2056" i="41"/>
  <c r="L2056" i="41"/>
  <c r="M2056" i="41"/>
  <c r="N2056" i="41"/>
  <c r="O2056" i="41"/>
  <c r="P2056" i="41"/>
  <c r="Q2056" i="41"/>
  <c r="R2056" i="41"/>
  <c r="S2056" i="41"/>
  <c r="J2057" i="41"/>
  <c r="K2057" i="41"/>
  <c r="L2057" i="41"/>
  <c r="M2057" i="41"/>
  <c r="N2057" i="41"/>
  <c r="O2057" i="41"/>
  <c r="P2057" i="41"/>
  <c r="Q2057" i="41"/>
  <c r="R2057" i="41"/>
  <c r="S2057" i="41"/>
  <c r="J2058" i="41"/>
  <c r="K2058" i="41"/>
  <c r="L2058" i="41"/>
  <c r="M2058" i="41"/>
  <c r="N2058" i="41"/>
  <c r="O2058" i="41"/>
  <c r="P2058" i="41"/>
  <c r="Q2058" i="41"/>
  <c r="R2058" i="41"/>
  <c r="S2058" i="41"/>
  <c r="J2059" i="41"/>
  <c r="K2059" i="41"/>
  <c r="L2059" i="41"/>
  <c r="M2059" i="41"/>
  <c r="N2059" i="41"/>
  <c r="O2059" i="41"/>
  <c r="P2059" i="41"/>
  <c r="Q2059" i="41"/>
  <c r="R2059" i="41"/>
  <c r="S2059" i="41"/>
  <c r="J2060" i="41"/>
  <c r="K2060" i="41"/>
  <c r="L2060" i="41"/>
  <c r="M2060" i="41"/>
  <c r="N2060" i="41"/>
  <c r="O2060" i="41"/>
  <c r="P2060" i="41"/>
  <c r="Q2060" i="41"/>
  <c r="R2060" i="41"/>
  <c r="S2060" i="41"/>
  <c r="J2061" i="41"/>
  <c r="K2061" i="41"/>
  <c r="L2061" i="41"/>
  <c r="M2061" i="41"/>
  <c r="N2061" i="41"/>
  <c r="O2061" i="41"/>
  <c r="P2061" i="41"/>
  <c r="Q2061" i="41"/>
  <c r="R2061" i="41"/>
  <c r="S2061" i="41"/>
  <c r="J2062" i="41"/>
  <c r="K2062" i="41"/>
  <c r="L2062" i="41"/>
  <c r="M2062" i="41"/>
  <c r="N2062" i="41"/>
  <c r="O2062" i="41"/>
  <c r="P2062" i="41"/>
  <c r="Q2062" i="41"/>
  <c r="R2062" i="41"/>
  <c r="S2062" i="41"/>
  <c r="J2063" i="41"/>
  <c r="K2063" i="41"/>
  <c r="L2063" i="41"/>
  <c r="M2063" i="41"/>
  <c r="N2063" i="41"/>
  <c r="O2063" i="41"/>
  <c r="P2063" i="41"/>
  <c r="Q2063" i="41"/>
  <c r="R2063" i="41"/>
  <c r="S2063" i="41"/>
  <c r="J2064" i="41"/>
  <c r="K2064" i="41"/>
  <c r="L2064" i="41"/>
  <c r="M2064" i="41"/>
  <c r="N2064" i="41"/>
  <c r="O2064" i="41"/>
  <c r="P2064" i="41"/>
  <c r="Q2064" i="41"/>
  <c r="R2064" i="41"/>
  <c r="S2064" i="41"/>
  <c r="J2065" i="41"/>
  <c r="K2065" i="41"/>
  <c r="L2065" i="41"/>
  <c r="M2065" i="41"/>
  <c r="N2065" i="41"/>
  <c r="O2065" i="41"/>
  <c r="P2065" i="41"/>
  <c r="Q2065" i="41"/>
  <c r="R2065" i="41"/>
  <c r="S2065" i="41"/>
  <c r="J2066" i="41"/>
  <c r="K2066" i="41"/>
  <c r="L2066" i="41"/>
  <c r="M2066" i="41"/>
  <c r="N2066" i="41"/>
  <c r="O2066" i="41"/>
  <c r="P2066" i="41"/>
  <c r="Q2066" i="41"/>
  <c r="R2066" i="41"/>
  <c r="S2066" i="41"/>
  <c r="J2067" i="41"/>
  <c r="K2067" i="41"/>
  <c r="L2067" i="41"/>
  <c r="M2067" i="41"/>
  <c r="N2067" i="41"/>
  <c r="O2067" i="41"/>
  <c r="P2067" i="41"/>
  <c r="Q2067" i="41"/>
  <c r="R2067" i="41"/>
  <c r="S2067" i="41"/>
  <c r="J2068" i="41"/>
  <c r="K2068" i="41"/>
  <c r="L2068" i="41"/>
  <c r="M2068" i="41"/>
  <c r="N2068" i="41"/>
  <c r="O2068" i="41"/>
  <c r="P2068" i="41"/>
  <c r="Q2068" i="41"/>
  <c r="R2068" i="41"/>
  <c r="S2068" i="41"/>
  <c r="J2069" i="41"/>
  <c r="K2069" i="41"/>
  <c r="L2069" i="41"/>
  <c r="M2069" i="41"/>
  <c r="N2069" i="41"/>
  <c r="O2069" i="41"/>
  <c r="P2069" i="41"/>
  <c r="Q2069" i="41"/>
  <c r="R2069" i="41"/>
  <c r="S2069" i="41"/>
  <c r="J2070" i="41"/>
  <c r="K2070" i="41"/>
  <c r="L2070" i="41"/>
  <c r="M2070" i="41"/>
  <c r="N2070" i="41"/>
  <c r="O2070" i="41"/>
  <c r="P2070" i="41"/>
  <c r="Q2070" i="41"/>
  <c r="R2070" i="41"/>
  <c r="S2070" i="41"/>
  <c r="J2071" i="41"/>
  <c r="K2071" i="41"/>
  <c r="L2071" i="41"/>
  <c r="M2071" i="41"/>
  <c r="N2071" i="41"/>
  <c r="O2071" i="41"/>
  <c r="P2071" i="41"/>
  <c r="Q2071" i="41"/>
  <c r="R2071" i="41"/>
  <c r="S2071" i="41"/>
  <c r="J2072" i="41"/>
  <c r="K2072" i="41"/>
  <c r="L2072" i="41"/>
  <c r="M2072" i="41"/>
  <c r="N2072" i="41"/>
  <c r="O2072" i="41"/>
  <c r="P2072" i="41"/>
  <c r="Q2072" i="41"/>
  <c r="R2072" i="41"/>
  <c r="S2072" i="41"/>
  <c r="J2073" i="41"/>
  <c r="K2073" i="41"/>
  <c r="L2073" i="41"/>
  <c r="M2073" i="41"/>
  <c r="N2073" i="41"/>
  <c r="O2073" i="41"/>
  <c r="P2073" i="41"/>
  <c r="Q2073" i="41"/>
  <c r="R2073" i="41"/>
  <c r="S2073" i="41"/>
  <c r="J2074" i="41"/>
  <c r="K2074" i="41"/>
  <c r="L2074" i="41"/>
  <c r="M2074" i="41"/>
  <c r="N2074" i="41"/>
  <c r="O2074" i="41"/>
  <c r="P2074" i="41"/>
  <c r="Q2074" i="41"/>
  <c r="R2074" i="41"/>
  <c r="S2074" i="41"/>
  <c r="J2075" i="41"/>
  <c r="K2075" i="41"/>
  <c r="L2075" i="41"/>
  <c r="M2075" i="41"/>
  <c r="N2075" i="41"/>
  <c r="O2075" i="41"/>
  <c r="P2075" i="41"/>
  <c r="Q2075" i="41"/>
  <c r="R2075" i="41"/>
  <c r="S2075" i="41"/>
  <c r="J2076" i="41"/>
  <c r="K2076" i="41"/>
  <c r="L2076" i="41"/>
  <c r="M2076" i="41"/>
  <c r="N2076" i="41"/>
  <c r="O2076" i="41"/>
  <c r="P2076" i="41"/>
  <c r="Q2076" i="41"/>
  <c r="R2076" i="41"/>
  <c r="S2076" i="41"/>
  <c r="J2077" i="41"/>
  <c r="K2077" i="41"/>
  <c r="L2077" i="41"/>
  <c r="M2077" i="41"/>
  <c r="N2077" i="41"/>
  <c r="O2077" i="41"/>
  <c r="P2077" i="41"/>
  <c r="Q2077" i="41"/>
  <c r="R2077" i="41"/>
  <c r="S2077" i="41"/>
  <c r="J2078" i="41"/>
  <c r="K2078" i="41"/>
  <c r="L2078" i="41"/>
  <c r="M2078" i="41"/>
  <c r="N2078" i="41"/>
  <c r="O2078" i="41"/>
  <c r="P2078" i="41"/>
  <c r="Q2078" i="41"/>
  <c r="R2078" i="41"/>
  <c r="S2078" i="41"/>
  <c r="J2079" i="41"/>
  <c r="K2079" i="41"/>
  <c r="L2079" i="41"/>
  <c r="M2079" i="41"/>
  <c r="N2079" i="41"/>
  <c r="O2079" i="41"/>
  <c r="P2079" i="41"/>
  <c r="Q2079" i="41"/>
  <c r="R2079" i="41"/>
  <c r="S2079" i="41"/>
  <c r="J2080" i="41"/>
  <c r="K2080" i="41"/>
  <c r="L2080" i="41"/>
  <c r="M2080" i="41"/>
  <c r="N2080" i="41"/>
  <c r="O2080" i="41"/>
  <c r="P2080" i="41"/>
  <c r="Q2080" i="41"/>
  <c r="R2080" i="41"/>
  <c r="S2080" i="41"/>
  <c r="J2081" i="41"/>
  <c r="K2081" i="41"/>
  <c r="L2081" i="41"/>
  <c r="M2081" i="41"/>
  <c r="N2081" i="41"/>
  <c r="O2081" i="41"/>
  <c r="P2081" i="41"/>
  <c r="Q2081" i="41"/>
  <c r="R2081" i="41"/>
  <c r="S2081" i="41"/>
  <c r="J2082" i="41"/>
  <c r="K2082" i="41"/>
  <c r="L2082" i="41"/>
  <c r="M2082" i="41"/>
  <c r="N2082" i="41"/>
  <c r="O2082" i="41"/>
  <c r="P2082" i="41"/>
  <c r="Q2082" i="41"/>
  <c r="R2082" i="41"/>
  <c r="S2082" i="41"/>
  <c r="J2083" i="41"/>
  <c r="K2083" i="41"/>
  <c r="L2083" i="41"/>
  <c r="M2083" i="41"/>
  <c r="N2083" i="41"/>
  <c r="O2083" i="41"/>
  <c r="P2083" i="41"/>
  <c r="Q2083" i="41"/>
  <c r="R2083" i="41"/>
  <c r="S2083" i="41"/>
  <c r="J2084" i="41"/>
  <c r="K2084" i="41"/>
  <c r="L2084" i="41"/>
  <c r="M2084" i="41"/>
  <c r="N2084" i="41"/>
  <c r="O2084" i="41"/>
  <c r="P2084" i="41"/>
  <c r="Q2084" i="41"/>
  <c r="R2084" i="41"/>
  <c r="S2084" i="41"/>
  <c r="Q3" i="41"/>
  <c r="Q4" i="41"/>
  <c r="Q5" i="41"/>
  <c r="Q6" i="41"/>
  <c r="Q7" i="41"/>
  <c r="Q8" i="41"/>
  <c r="Q9" i="41"/>
  <c r="Q10" i="41"/>
  <c r="Q11" i="41"/>
  <c r="Q12" i="41"/>
  <c r="Q13" i="41"/>
  <c r="Q14" i="41"/>
  <c r="Q15" i="41"/>
  <c r="Q16" i="41"/>
  <c r="Q17" i="41"/>
  <c r="Q18" i="41"/>
  <c r="Q19" i="41"/>
  <c r="Q20" i="41"/>
  <c r="Q21" i="41"/>
  <c r="Q22" i="41"/>
  <c r="Q23" i="41"/>
  <c r="Q24" i="41"/>
  <c r="Q25" i="41"/>
  <c r="Q26" i="41"/>
  <c r="Q27" i="41"/>
  <c r="Q28" i="41"/>
  <c r="Q29" i="41"/>
  <c r="Q30" i="41"/>
  <c r="Q31" i="41"/>
  <c r="Q32" i="41"/>
  <c r="Q33" i="41"/>
  <c r="Q34" i="41"/>
  <c r="Q35" i="41"/>
  <c r="Q36" i="41"/>
  <c r="Q37" i="41"/>
  <c r="Q38" i="41"/>
  <c r="Q39" i="41"/>
  <c r="Q40" i="41"/>
  <c r="P3" i="41"/>
  <c r="P4" i="41"/>
  <c r="P5" i="41"/>
  <c r="P6" i="41"/>
  <c r="P7" i="41"/>
  <c r="P8" i="41"/>
  <c r="P9" i="41"/>
  <c r="P10" i="41"/>
  <c r="P11" i="41"/>
  <c r="P12" i="41"/>
  <c r="P13" i="41"/>
  <c r="P14" i="41"/>
  <c r="P15" i="41"/>
  <c r="P16" i="41"/>
  <c r="P17" i="41"/>
  <c r="P18" i="41"/>
  <c r="P19" i="41"/>
  <c r="P20" i="41"/>
  <c r="P21" i="41"/>
  <c r="P22" i="41"/>
  <c r="P23" i="41"/>
  <c r="P24" i="41"/>
  <c r="P25" i="41"/>
  <c r="P26" i="41"/>
  <c r="P27" i="41"/>
  <c r="P28" i="41"/>
  <c r="P29" i="41"/>
  <c r="P30" i="41"/>
  <c r="P31" i="41"/>
  <c r="P32" i="41"/>
  <c r="P33" i="41"/>
  <c r="P34" i="41"/>
  <c r="P35" i="41"/>
  <c r="P36" i="41"/>
  <c r="P37" i="41"/>
  <c r="P38" i="41"/>
  <c r="P39" i="41"/>
  <c r="P40" i="41"/>
  <c r="O3" i="41"/>
  <c r="O4" i="41"/>
  <c r="O5" i="41"/>
  <c r="O6" i="41"/>
  <c r="O7" i="41"/>
  <c r="O8" i="41"/>
  <c r="O9" i="41"/>
  <c r="O10" i="41"/>
  <c r="O11" i="41"/>
  <c r="O12" i="41"/>
  <c r="O13" i="41"/>
  <c r="O14" i="41"/>
  <c r="O15" i="41"/>
  <c r="O16" i="41"/>
  <c r="O17" i="41"/>
  <c r="O18" i="41"/>
  <c r="O19" i="41"/>
  <c r="O20" i="41"/>
  <c r="O21" i="41"/>
  <c r="O22" i="41"/>
  <c r="O23" i="41"/>
  <c r="O24" i="41"/>
  <c r="O25" i="41"/>
  <c r="O26" i="41"/>
  <c r="O27" i="41"/>
  <c r="O28" i="41"/>
  <c r="O29" i="41"/>
  <c r="O30" i="41"/>
  <c r="O31" i="41"/>
  <c r="O32" i="41"/>
  <c r="O33" i="41"/>
  <c r="O34" i="41"/>
  <c r="O35" i="41"/>
  <c r="O36" i="41"/>
  <c r="O37" i="41"/>
  <c r="O38" i="41"/>
  <c r="O39" i="41"/>
  <c r="O40" i="41"/>
  <c r="O2" i="41"/>
  <c r="P2" i="41"/>
  <c r="N2" i="41"/>
  <c r="S332" i="41"/>
  <c r="R332" i="41"/>
  <c r="Q332" i="41"/>
  <c r="P332" i="41"/>
  <c r="O332" i="41"/>
  <c r="N332" i="41"/>
  <c r="M332" i="41"/>
  <c r="L332" i="41"/>
  <c r="K332" i="41"/>
  <c r="J332" i="41"/>
  <c r="S331" i="41"/>
  <c r="R331" i="41"/>
  <c r="Q331" i="41"/>
  <c r="P331" i="41"/>
  <c r="O331" i="41"/>
  <c r="N331" i="41"/>
  <c r="M331" i="41"/>
  <c r="L331" i="41"/>
  <c r="K331" i="41"/>
  <c r="J331" i="41"/>
  <c r="S330" i="41"/>
  <c r="R330" i="41"/>
  <c r="Q330" i="41"/>
  <c r="P330" i="41"/>
  <c r="O330" i="41"/>
  <c r="N330" i="41"/>
  <c r="M330" i="41"/>
  <c r="L330" i="41"/>
  <c r="K330" i="41"/>
  <c r="J330" i="41"/>
  <c r="S329" i="41"/>
  <c r="R329" i="41"/>
  <c r="Q329" i="41"/>
  <c r="P329" i="41"/>
  <c r="O329" i="41"/>
  <c r="N329" i="41"/>
  <c r="M329" i="41"/>
  <c r="L329" i="41"/>
  <c r="K329" i="41"/>
  <c r="J329" i="41"/>
  <c r="S328" i="41"/>
  <c r="R328" i="41"/>
  <c r="Q328" i="41"/>
  <c r="P328" i="41"/>
  <c r="O328" i="41"/>
  <c r="N328" i="41"/>
  <c r="M328" i="41"/>
  <c r="L328" i="41"/>
  <c r="K328" i="41"/>
  <c r="J328" i="41"/>
  <c r="S327" i="41"/>
  <c r="R327" i="41"/>
  <c r="Q327" i="41"/>
  <c r="P327" i="41"/>
  <c r="O327" i="41"/>
  <c r="N327" i="41"/>
  <c r="M327" i="41"/>
  <c r="L327" i="41"/>
  <c r="K327" i="41"/>
  <c r="J327" i="41"/>
  <c r="S326" i="41"/>
  <c r="R326" i="41"/>
  <c r="Q326" i="41"/>
  <c r="P326" i="41"/>
  <c r="O326" i="41"/>
  <c r="N326" i="41"/>
  <c r="M326" i="41"/>
  <c r="L326" i="41"/>
  <c r="K326" i="41"/>
  <c r="J326" i="41"/>
  <c r="S325" i="41"/>
  <c r="R325" i="41"/>
  <c r="Q325" i="41"/>
  <c r="P325" i="41"/>
  <c r="O325" i="41"/>
  <c r="N325" i="41"/>
  <c r="M325" i="41"/>
  <c r="L325" i="41"/>
  <c r="K325" i="41"/>
  <c r="J325" i="41"/>
  <c r="S324" i="41"/>
  <c r="R324" i="41"/>
  <c r="Q324" i="41"/>
  <c r="P324" i="41"/>
  <c r="O324" i="41"/>
  <c r="N324" i="41"/>
  <c r="M324" i="41"/>
  <c r="L324" i="41"/>
  <c r="K324" i="41"/>
  <c r="J324" i="41"/>
  <c r="S323" i="41"/>
  <c r="R323" i="41"/>
  <c r="Q323" i="41"/>
  <c r="P323" i="41"/>
  <c r="O323" i="41"/>
  <c r="N323" i="41"/>
  <c r="M323" i="41"/>
  <c r="L323" i="41"/>
  <c r="K323" i="41"/>
  <c r="J323" i="41"/>
  <c r="S322" i="41"/>
  <c r="R322" i="41"/>
  <c r="Q322" i="41"/>
  <c r="P322" i="41"/>
  <c r="O322" i="41"/>
  <c r="N322" i="41"/>
  <c r="M322" i="41"/>
  <c r="L322" i="41"/>
  <c r="K322" i="41"/>
  <c r="J322" i="41"/>
  <c r="S321" i="41"/>
  <c r="R321" i="41"/>
  <c r="Q321" i="41"/>
  <c r="P321" i="41"/>
  <c r="O321" i="41"/>
  <c r="N321" i="41"/>
  <c r="M321" i="41"/>
  <c r="L321" i="41"/>
  <c r="K321" i="41"/>
  <c r="J321" i="41"/>
  <c r="S320" i="41"/>
  <c r="R320" i="41"/>
  <c r="Q320" i="41"/>
  <c r="P320" i="41"/>
  <c r="O320" i="41"/>
  <c r="N320" i="41"/>
  <c r="M320" i="41"/>
  <c r="L320" i="41"/>
  <c r="K320" i="41"/>
  <c r="J320" i="41"/>
  <c r="S319" i="41"/>
  <c r="R319" i="41"/>
  <c r="Q319" i="41"/>
  <c r="P319" i="41"/>
  <c r="O319" i="41"/>
  <c r="N319" i="41"/>
  <c r="M319" i="41"/>
  <c r="L319" i="41"/>
  <c r="K319" i="41"/>
  <c r="J319" i="41"/>
  <c r="S318" i="41"/>
  <c r="R318" i="41"/>
  <c r="Q318" i="41"/>
  <c r="P318" i="41"/>
  <c r="O318" i="41"/>
  <c r="N318" i="41"/>
  <c r="M318" i="41"/>
  <c r="L318" i="41"/>
  <c r="K318" i="41"/>
  <c r="J318" i="41"/>
  <c r="S317" i="41"/>
  <c r="R317" i="41"/>
  <c r="Q317" i="41"/>
  <c r="P317" i="41"/>
  <c r="O317" i="41"/>
  <c r="N317" i="41"/>
  <c r="M317" i="41"/>
  <c r="L317" i="41"/>
  <c r="K317" i="41"/>
  <c r="J317" i="41"/>
  <c r="S316" i="41"/>
  <c r="R316" i="41"/>
  <c r="Q316" i="41"/>
  <c r="P316" i="41"/>
  <c r="O316" i="41"/>
  <c r="N316" i="41"/>
  <c r="M316" i="41"/>
  <c r="L316" i="41"/>
  <c r="K316" i="41"/>
  <c r="J316" i="41"/>
  <c r="S315" i="41"/>
  <c r="R315" i="41"/>
  <c r="Q315" i="41"/>
  <c r="P315" i="41"/>
  <c r="O315" i="41"/>
  <c r="N315" i="41"/>
  <c r="M315" i="41"/>
  <c r="L315" i="41"/>
  <c r="K315" i="41"/>
  <c r="J315" i="41"/>
  <c r="S314" i="41"/>
  <c r="R314" i="41"/>
  <c r="Q314" i="41"/>
  <c r="P314" i="41"/>
  <c r="O314" i="41"/>
  <c r="N314" i="41"/>
  <c r="M314" i="41"/>
  <c r="L314" i="41"/>
  <c r="K314" i="41"/>
  <c r="J314" i="41"/>
  <c r="S313" i="41"/>
  <c r="R313" i="41"/>
  <c r="Q313" i="41"/>
  <c r="P313" i="41"/>
  <c r="O313" i="41"/>
  <c r="N313" i="41"/>
  <c r="M313" i="41"/>
  <c r="L313" i="41"/>
  <c r="K313" i="41"/>
  <c r="J313" i="41"/>
  <c r="S312" i="41"/>
  <c r="R312" i="41"/>
  <c r="Q312" i="41"/>
  <c r="P312" i="41"/>
  <c r="O312" i="41"/>
  <c r="N312" i="41"/>
  <c r="M312" i="41"/>
  <c r="L312" i="41"/>
  <c r="K312" i="41"/>
  <c r="J312" i="41"/>
  <c r="S311" i="41"/>
  <c r="R311" i="41"/>
  <c r="Q311" i="41"/>
  <c r="P311" i="41"/>
  <c r="O311" i="41"/>
  <c r="N311" i="41"/>
  <c r="M311" i="41"/>
  <c r="L311" i="41"/>
  <c r="K311" i="41"/>
  <c r="J311" i="41"/>
  <c r="S310" i="41"/>
  <c r="R310" i="41"/>
  <c r="Q310" i="41"/>
  <c r="P310" i="41"/>
  <c r="O310" i="41"/>
  <c r="N310" i="41"/>
  <c r="M310" i="41"/>
  <c r="L310" i="41"/>
  <c r="K310" i="41"/>
  <c r="J310" i="41"/>
  <c r="S309" i="41"/>
  <c r="R309" i="41"/>
  <c r="Q309" i="41"/>
  <c r="P309" i="41"/>
  <c r="O309" i="41"/>
  <c r="N309" i="41"/>
  <c r="M309" i="41"/>
  <c r="L309" i="41"/>
  <c r="K309" i="41"/>
  <c r="J309" i="41"/>
  <c r="S308" i="41"/>
  <c r="R308" i="41"/>
  <c r="Q308" i="41"/>
  <c r="P308" i="41"/>
  <c r="O308" i="41"/>
  <c r="N308" i="41"/>
  <c r="M308" i="41"/>
  <c r="L308" i="41"/>
  <c r="K308" i="41"/>
  <c r="J308" i="41"/>
  <c r="S307" i="41"/>
  <c r="R307" i="41"/>
  <c r="Q307" i="41"/>
  <c r="P307" i="41"/>
  <c r="O307" i="41"/>
  <c r="N307" i="41"/>
  <c r="M307" i="41"/>
  <c r="L307" i="41"/>
  <c r="K307" i="41"/>
  <c r="J307" i="41"/>
  <c r="S306" i="41"/>
  <c r="R306" i="41"/>
  <c r="Q306" i="41"/>
  <c r="P306" i="41"/>
  <c r="O306" i="41"/>
  <c r="N306" i="41"/>
  <c r="M306" i="41"/>
  <c r="L306" i="41"/>
  <c r="K306" i="41"/>
  <c r="J306" i="41"/>
  <c r="S305" i="41"/>
  <c r="R305" i="41"/>
  <c r="Q305" i="41"/>
  <c r="P305" i="41"/>
  <c r="O305" i="41"/>
  <c r="N305" i="41"/>
  <c r="M305" i="41"/>
  <c r="L305" i="41"/>
  <c r="K305" i="41"/>
  <c r="J305" i="41"/>
  <c r="S304" i="41"/>
  <c r="R304" i="41"/>
  <c r="Q304" i="41"/>
  <c r="P304" i="41"/>
  <c r="O304" i="41"/>
  <c r="N304" i="41"/>
  <c r="M304" i="41"/>
  <c r="L304" i="41"/>
  <c r="K304" i="41"/>
  <c r="J304" i="41"/>
  <c r="S303" i="41"/>
  <c r="R303" i="41"/>
  <c r="Q303" i="41"/>
  <c r="P303" i="41"/>
  <c r="O303" i="41"/>
  <c r="N303" i="41"/>
  <c r="M303" i="41"/>
  <c r="L303" i="41"/>
  <c r="K303" i="41"/>
  <c r="J303" i="41"/>
  <c r="S302" i="41"/>
  <c r="R302" i="41"/>
  <c r="Q302" i="41"/>
  <c r="P302" i="41"/>
  <c r="O302" i="41"/>
  <c r="N302" i="41"/>
  <c r="M302" i="41"/>
  <c r="L302" i="41"/>
  <c r="K302" i="41"/>
  <c r="J302" i="41"/>
  <c r="S301" i="41"/>
  <c r="R301" i="41"/>
  <c r="Q301" i="41"/>
  <c r="P301" i="41"/>
  <c r="O301" i="41"/>
  <c r="N301" i="41"/>
  <c r="M301" i="41"/>
  <c r="L301" i="41"/>
  <c r="K301" i="41"/>
  <c r="J301" i="41"/>
  <c r="S300" i="41"/>
  <c r="R300" i="41"/>
  <c r="Q300" i="41"/>
  <c r="P300" i="41"/>
  <c r="O300" i="41"/>
  <c r="N300" i="41"/>
  <c r="M300" i="41"/>
  <c r="L300" i="41"/>
  <c r="K300" i="41"/>
  <c r="J300" i="41"/>
  <c r="S299" i="41"/>
  <c r="R299" i="41"/>
  <c r="Q299" i="41"/>
  <c r="P299" i="41"/>
  <c r="O299" i="41"/>
  <c r="N299" i="41"/>
  <c r="M299" i="41"/>
  <c r="L299" i="41"/>
  <c r="K299" i="41"/>
  <c r="J299" i="41"/>
  <c r="S298" i="41"/>
  <c r="R298" i="41"/>
  <c r="Q298" i="41"/>
  <c r="P298" i="41"/>
  <c r="O298" i="41"/>
  <c r="N298" i="41"/>
  <c r="M298" i="41"/>
  <c r="L298" i="41"/>
  <c r="K298" i="41"/>
  <c r="J298" i="41"/>
  <c r="S297" i="41"/>
  <c r="R297" i="41"/>
  <c r="Q297" i="41"/>
  <c r="P297" i="41"/>
  <c r="O297" i="41"/>
  <c r="N297" i="41"/>
  <c r="M297" i="41"/>
  <c r="L297" i="41"/>
  <c r="K297" i="41"/>
  <c r="J297" i="41"/>
  <c r="S296" i="41"/>
  <c r="R296" i="41"/>
  <c r="Q296" i="41"/>
  <c r="P296" i="41"/>
  <c r="O296" i="41"/>
  <c r="N296" i="41"/>
  <c r="M296" i="41"/>
  <c r="L296" i="41"/>
  <c r="K296" i="41"/>
  <c r="J296" i="41"/>
  <c r="S295" i="41"/>
  <c r="R295" i="41"/>
  <c r="Q295" i="41"/>
  <c r="P295" i="41"/>
  <c r="O295" i="41"/>
  <c r="N295" i="41"/>
  <c r="M295" i="41"/>
  <c r="L295" i="41"/>
  <c r="K295" i="41"/>
  <c r="J295" i="41"/>
  <c r="S294" i="41"/>
  <c r="R294" i="41"/>
  <c r="Q294" i="41"/>
  <c r="P294" i="41"/>
  <c r="O294" i="41"/>
  <c r="N294" i="41"/>
  <c r="M294" i="41"/>
  <c r="L294" i="41"/>
  <c r="K294" i="41"/>
  <c r="J294" i="41"/>
  <c r="S293" i="41"/>
  <c r="R293" i="41"/>
  <c r="Q293" i="41"/>
  <c r="P293" i="41"/>
  <c r="O293" i="41"/>
  <c r="N293" i="41"/>
  <c r="M293" i="41"/>
  <c r="L293" i="41"/>
  <c r="K293" i="41"/>
  <c r="J293" i="41"/>
  <c r="S292" i="41"/>
  <c r="R292" i="41"/>
  <c r="Q292" i="41"/>
  <c r="P292" i="41"/>
  <c r="O292" i="41"/>
  <c r="N292" i="41"/>
  <c r="M292" i="41"/>
  <c r="L292" i="41"/>
  <c r="K292" i="41"/>
  <c r="J292" i="41"/>
  <c r="S291" i="41"/>
  <c r="R291" i="41"/>
  <c r="Q291" i="41"/>
  <c r="P291" i="41"/>
  <c r="O291" i="41"/>
  <c r="N291" i="41"/>
  <c r="M291" i="41"/>
  <c r="L291" i="41"/>
  <c r="K291" i="41"/>
  <c r="J291" i="41"/>
  <c r="S290" i="41"/>
  <c r="R290" i="41"/>
  <c r="Q290" i="41"/>
  <c r="P290" i="41"/>
  <c r="O290" i="41"/>
  <c r="N290" i="41"/>
  <c r="M290" i="41"/>
  <c r="L290" i="41"/>
  <c r="K290" i="41"/>
  <c r="J290" i="41"/>
  <c r="S289" i="41"/>
  <c r="R289" i="41"/>
  <c r="Q289" i="41"/>
  <c r="P289" i="41"/>
  <c r="O289" i="41"/>
  <c r="N289" i="41"/>
  <c r="M289" i="41"/>
  <c r="L289" i="41"/>
  <c r="K289" i="41"/>
  <c r="J289" i="41"/>
  <c r="S288" i="41"/>
  <c r="R288" i="41"/>
  <c r="Q288" i="41"/>
  <c r="P288" i="41"/>
  <c r="O288" i="41"/>
  <c r="N288" i="41"/>
  <c r="M288" i="41"/>
  <c r="L288" i="41"/>
  <c r="K288" i="41"/>
  <c r="J288" i="41"/>
  <c r="S287" i="41"/>
  <c r="R287" i="41"/>
  <c r="Q287" i="41"/>
  <c r="P287" i="41"/>
  <c r="O287" i="41"/>
  <c r="N287" i="41"/>
  <c r="M287" i="41"/>
  <c r="L287" i="41"/>
  <c r="K287" i="41"/>
  <c r="J287" i="41"/>
  <c r="S286" i="41"/>
  <c r="R286" i="41"/>
  <c r="Q286" i="41"/>
  <c r="P286" i="41"/>
  <c r="O286" i="41"/>
  <c r="N286" i="41"/>
  <c r="M286" i="41"/>
  <c r="L286" i="41"/>
  <c r="K286" i="41"/>
  <c r="J286" i="41"/>
  <c r="S285" i="41"/>
  <c r="R285" i="41"/>
  <c r="Q285" i="41"/>
  <c r="P285" i="41"/>
  <c r="O285" i="41"/>
  <c r="N285" i="41"/>
  <c r="M285" i="41"/>
  <c r="L285" i="41"/>
  <c r="K285" i="41"/>
  <c r="J285" i="41"/>
  <c r="S284" i="41"/>
  <c r="R284" i="41"/>
  <c r="Q284" i="41"/>
  <c r="P284" i="41"/>
  <c r="O284" i="41"/>
  <c r="N284" i="41"/>
  <c r="M284" i="41"/>
  <c r="L284" i="41"/>
  <c r="K284" i="41"/>
  <c r="J284" i="41"/>
  <c r="S283" i="41"/>
  <c r="R283" i="41"/>
  <c r="Q283" i="41"/>
  <c r="P283" i="41"/>
  <c r="O283" i="41"/>
  <c r="N283" i="41"/>
  <c r="M283" i="41"/>
  <c r="L283" i="41"/>
  <c r="K283" i="41"/>
  <c r="J283" i="41"/>
  <c r="S282" i="41"/>
  <c r="R282" i="41"/>
  <c r="Q282" i="41"/>
  <c r="P282" i="41"/>
  <c r="O282" i="41"/>
  <c r="N282" i="41"/>
  <c r="M282" i="41"/>
  <c r="L282" i="41"/>
  <c r="K282" i="41"/>
  <c r="J282" i="41"/>
  <c r="S281" i="41"/>
  <c r="R281" i="41"/>
  <c r="Q281" i="41"/>
  <c r="P281" i="41"/>
  <c r="O281" i="41"/>
  <c r="N281" i="41"/>
  <c r="M281" i="41"/>
  <c r="L281" i="41"/>
  <c r="K281" i="41"/>
  <c r="J281" i="41"/>
  <c r="S280" i="41"/>
  <c r="R280" i="41"/>
  <c r="Q280" i="41"/>
  <c r="P280" i="41"/>
  <c r="O280" i="41"/>
  <c r="N280" i="41"/>
  <c r="M280" i="41"/>
  <c r="L280" i="41"/>
  <c r="K280" i="41"/>
  <c r="J280" i="41"/>
  <c r="S279" i="41"/>
  <c r="R279" i="41"/>
  <c r="Q279" i="41"/>
  <c r="P279" i="41"/>
  <c r="O279" i="41"/>
  <c r="N279" i="41"/>
  <c r="M279" i="41"/>
  <c r="L279" i="41"/>
  <c r="K279" i="41"/>
  <c r="J279" i="41"/>
  <c r="S278" i="41"/>
  <c r="R278" i="41"/>
  <c r="Q278" i="41"/>
  <c r="P278" i="41"/>
  <c r="O278" i="41"/>
  <c r="N278" i="41"/>
  <c r="M278" i="41"/>
  <c r="L278" i="41"/>
  <c r="K278" i="41"/>
  <c r="J278" i="41"/>
  <c r="S277" i="41"/>
  <c r="R277" i="41"/>
  <c r="Q277" i="41"/>
  <c r="P277" i="41"/>
  <c r="O277" i="41"/>
  <c r="N277" i="41"/>
  <c r="M277" i="41"/>
  <c r="L277" i="41"/>
  <c r="K277" i="41"/>
  <c r="J277" i="41"/>
  <c r="S276" i="41"/>
  <c r="R276" i="41"/>
  <c r="Q276" i="41"/>
  <c r="P276" i="41"/>
  <c r="O276" i="41"/>
  <c r="N276" i="41"/>
  <c r="M276" i="41"/>
  <c r="L276" i="41"/>
  <c r="K276" i="41"/>
  <c r="J276" i="41"/>
  <c r="S275" i="41"/>
  <c r="R275" i="41"/>
  <c r="Q275" i="41"/>
  <c r="P275" i="41"/>
  <c r="O275" i="41"/>
  <c r="N275" i="41"/>
  <c r="M275" i="41"/>
  <c r="L275" i="41"/>
  <c r="K275" i="41"/>
  <c r="J275" i="41"/>
  <c r="S274" i="41"/>
  <c r="R274" i="41"/>
  <c r="Q274" i="41"/>
  <c r="P274" i="41"/>
  <c r="O274" i="41"/>
  <c r="N274" i="41"/>
  <c r="M274" i="41"/>
  <c r="L274" i="41"/>
  <c r="K274" i="41"/>
  <c r="J274" i="41"/>
  <c r="S273" i="41"/>
  <c r="R273" i="41"/>
  <c r="Q273" i="41"/>
  <c r="P273" i="41"/>
  <c r="O273" i="41"/>
  <c r="N273" i="41"/>
  <c r="M273" i="41"/>
  <c r="L273" i="41"/>
  <c r="K273" i="41"/>
  <c r="J273" i="41"/>
  <c r="S272" i="41"/>
  <c r="R272" i="41"/>
  <c r="Q272" i="41"/>
  <c r="P272" i="41"/>
  <c r="O272" i="41"/>
  <c r="N272" i="41"/>
  <c r="M272" i="41"/>
  <c r="L272" i="41"/>
  <c r="K272" i="41"/>
  <c r="J272" i="41"/>
  <c r="S271" i="41"/>
  <c r="R271" i="41"/>
  <c r="Q271" i="41"/>
  <c r="P271" i="41"/>
  <c r="O271" i="41"/>
  <c r="N271" i="41"/>
  <c r="M271" i="41"/>
  <c r="L271" i="41"/>
  <c r="K271" i="41"/>
  <c r="J271" i="41"/>
  <c r="S270" i="41"/>
  <c r="R270" i="41"/>
  <c r="Q270" i="41"/>
  <c r="P270" i="41"/>
  <c r="O270" i="41"/>
  <c r="N270" i="41"/>
  <c r="M270" i="41"/>
  <c r="L270" i="41"/>
  <c r="K270" i="41"/>
  <c r="J270" i="41"/>
  <c r="S269" i="41"/>
  <c r="R269" i="41"/>
  <c r="Q269" i="41"/>
  <c r="P269" i="41"/>
  <c r="O269" i="41"/>
  <c r="N269" i="41"/>
  <c r="M269" i="41"/>
  <c r="L269" i="41"/>
  <c r="K269" i="41"/>
  <c r="J269" i="41"/>
  <c r="S268" i="41"/>
  <c r="R268" i="41"/>
  <c r="Q268" i="41"/>
  <c r="P268" i="41"/>
  <c r="O268" i="41"/>
  <c r="N268" i="41"/>
  <c r="M268" i="41"/>
  <c r="L268" i="41"/>
  <c r="K268" i="41"/>
  <c r="J268" i="41"/>
  <c r="S267" i="41"/>
  <c r="R267" i="41"/>
  <c r="Q267" i="41"/>
  <c r="P267" i="41"/>
  <c r="O267" i="41"/>
  <c r="N267" i="41"/>
  <c r="M267" i="41"/>
  <c r="L267" i="41"/>
  <c r="K267" i="41"/>
  <c r="J267" i="41"/>
  <c r="S266" i="41"/>
  <c r="R266" i="41"/>
  <c r="Q266" i="41"/>
  <c r="P266" i="41"/>
  <c r="O266" i="41"/>
  <c r="N266" i="41"/>
  <c r="M266" i="41"/>
  <c r="L266" i="41"/>
  <c r="K266" i="41"/>
  <c r="J266" i="41"/>
  <c r="S265" i="41"/>
  <c r="R265" i="41"/>
  <c r="Q265" i="41"/>
  <c r="P265" i="41"/>
  <c r="O265" i="41"/>
  <c r="N265" i="41"/>
  <c r="M265" i="41"/>
  <c r="L265" i="41"/>
  <c r="K265" i="41"/>
  <c r="J265" i="41"/>
  <c r="S264" i="41"/>
  <c r="R264" i="41"/>
  <c r="Q264" i="41"/>
  <c r="P264" i="41"/>
  <c r="O264" i="41"/>
  <c r="N264" i="41"/>
  <c r="M264" i="41"/>
  <c r="L264" i="41"/>
  <c r="K264" i="41"/>
  <c r="J264" i="41"/>
  <c r="S263" i="41"/>
  <c r="R263" i="41"/>
  <c r="Q263" i="41"/>
  <c r="P263" i="41"/>
  <c r="O263" i="41"/>
  <c r="N263" i="41"/>
  <c r="M263" i="41"/>
  <c r="L263" i="41"/>
  <c r="K263" i="41"/>
  <c r="J263" i="41"/>
  <c r="S262" i="41"/>
  <c r="R262" i="41"/>
  <c r="Q262" i="41"/>
  <c r="P262" i="41"/>
  <c r="O262" i="41"/>
  <c r="N262" i="41"/>
  <c r="M262" i="41"/>
  <c r="L262" i="41"/>
  <c r="K262" i="41"/>
  <c r="J262" i="41"/>
  <c r="S261" i="41"/>
  <c r="R261" i="41"/>
  <c r="Q261" i="41"/>
  <c r="P261" i="41"/>
  <c r="O261" i="41"/>
  <c r="N261" i="41"/>
  <c r="M261" i="41"/>
  <c r="L261" i="41"/>
  <c r="K261" i="41"/>
  <c r="J261" i="41"/>
  <c r="S260" i="41"/>
  <c r="R260" i="41"/>
  <c r="Q260" i="41"/>
  <c r="P260" i="41"/>
  <c r="O260" i="41"/>
  <c r="N260" i="41"/>
  <c r="M260" i="41"/>
  <c r="L260" i="41"/>
  <c r="K260" i="41"/>
  <c r="J260" i="41"/>
  <c r="S259" i="41"/>
  <c r="R259" i="41"/>
  <c r="Q259" i="41"/>
  <c r="P259" i="41"/>
  <c r="O259" i="41"/>
  <c r="N259" i="41"/>
  <c r="M259" i="41"/>
  <c r="L259" i="41"/>
  <c r="K259" i="41"/>
  <c r="J259" i="41"/>
  <c r="S258" i="41"/>
  <c r="R258" i="41"/>
  <c r="Q258" i="41"/>
  <c r="P258" i="41"/>
  <c r="O258" i="41"/>
  <c r="N258" i="41"/>
  <c r="M258" i="41"/>
  <c r="L258" i="41"/>
  <c r="K258" i="41"/>
  <c r="J258" i="41"/>
  <c r="S257" i="41"/>
  <c r="R257" i="41"/>
  <c r="Q257" i="41"/>
  <c r="P257" i="41"/>
  <c r="O257" i="41"/>
  <c r="N257" i="41"/>
  <c r="M257" i="41"/>
  <c r="L257" i="41"/>
  <c r="K257" i="41"/>
  <c r="J257" i="41"/>
  <c r="S256" i="41"/>
  <c r="R256" i="41"/>
  <c r="Q256" i="41"/>
  <c r="P256" i="41"/>
  <c r="O256" i="41"/>
  <c r="N256" i="41"/>
  <c r="M256" i="41"/>
  <c r="L256" i="41"/>
  <c r="K256" i="41"/>
  <c r="J256" i="41"/>
  <c r="S255" i="41"/>
  <c r="R255" i="41"/>
  <c r="Q255" i="41"/>
  <c r="P255" i="41"/>
  <c r="O255" i="41"/>
  <c r="N255" i="41"/>
  <c r="M255" i="41"/>
  <c r="L255" i="41"/>
  <c r="K255" i="41"/>
  <c r="J255" i="41"/>
  <c r="S254" i="41"/>
  <c r="R254" i="41"/>
  <c r="Q254" i="41"/>
  <c r="P254" i="41"/>
  <c r="O254" i="41"/>
  <c r="N254" i="41"/>
  <c r="M254" i="41"/>
  <c r="L254" i="41"/>
  <c r="K254" i="41"/>
  <c r="J254" i="41"/>
  <c r="S253" i="41"/>
  <c r="R253" i="41"/>
  <c r="Q253" i="41"/>
  <c r="P253" i="41"/>
  <c r="O253" i="41"/>
  <c r="N253" i="41"/>
  <c r="M253" i="41"/>
  <c r="L253" i="41"/>
  <c r="K253" i="41"/>
  <c r="J253" i="41"/>
  <c r="S252" i="41"/>
  <c r="R252" i="41"/>
  <c r="Q252" i="41"/>
  <c r="P252" i="41"/>
  <c r="O252" i="41"/>
  <c r="N252" i="41"/>
  <c r="M252" i="41"/>
  <c r="L252" i="41"/>
  <c r="K252" i="41"/>
  <c r="J252" i="41"/>
  <c r="S251" i="41"/>
  <c r="R251" i="41"/>
  <c r="Q251" i="41"/>
  <c r="P251" i="41"/>
  <c r="O251" i="41"/>
  <c r="N251" i="41"/>
  <c r="M251" i="41"/>
  <c r="L251" i="41"/>
  <c r="K251" i="41"/>
  <c r="J251" i="41"/>
  <c r="S250" i="41"/>
  <c r="R250" i="41"/>
  <c r="Q250" i="41"/>
  <c r="P250" i="41"/>
  <c r="O250" i="41"/>
  <c r="N250" i="41"/>
  <c r="M250" i="41"/>
  <c r="L250" i="41"/>
  <c r="K250" i="41"/>
  <c r="J250" i="41"/>
  <c r="S249" i="41"/>
  <c r="R249" i="41"/>
  <c r="Q249" i="41"/>
  <c r="P249" i="41"/>
  <c r="O249" i="41"/>
  <c r="N249" i="41"/>
  <c r="M249" i="41"/>
  <c r="L249" i="41"/>
  <c r="K249" i="41"/>
  <c r="J249" i="41"/>
  <c r="S248" i="41"/>
  <c r="R248" i="41"/>
  <c r="Q248" i="41"/>
  <c r="P248" i="41"/>
  <c r="O248" i="41"/>
  <c r="N248" i="41"/>
  <c r="M248" i="41"/>
  <c r="L248" i="41"/>
  <c r="K248" i="41"/>
  <c r="J248" i="41"/>
  <c r="S247" i="41"/>
  <c r="R247" i="41"/>
  <c r="Q247" i="41"/>
  <c r="P247" i="41"/>
  <c r="O247" i="41"/>
  <c r="N247" i="41"/>
  <c r="M247" i="41"/>
  <c r="L247" i="41"/>
  <c r="K247" i="41"/>
  <c r="J247" i="41"/>
  <c r="S246" i="41"/>
  <c r="R246" i="41"/>
  <c r="Q246" i="41"/>
  <c r="P246" i="41"/>
  <c r="O246" i="41"/>
  <c r="N246" i="41"/>
  <c r="M246" i="41"/>
  <c r="L246" i="41"/>
  <c r="K246" i="41"/>
  <c r="J246" i="41"/>
  <c r="S245" i="41"/>
  <c r="R245" i="41"/>
  <c r="Q245" i="41"/>
  <c r="P245" i="41"/>
  <c r="O245" i="41"/>
  <c r="N245" i="41"/>
  <c r="M245" i="41"/>
  <c r="L245" i="41"/>
  <c r="K245" i="41"/>
  <c r="J245" i="41"/>
  <c r="S244" i="41"/>
  <c r="R244" i="41"/>
  <c r="Q244" i="41"/>
  <c r="P244" i="41"/>
  <c r="O244" i="41"/>
  <c r="N244" i="41"/>
  <c r="M244" i="41"/>
  <c r="L244" i="41"/>
  <c r="K244" i="41"/>
  <c r="J244" i="41"/>
  <c r="S243" i="41"/>
  <c r="R243" i="41"/>
  <c r="Q243" i="41"/>
  <c r="P243" i="41"/>
  <c r="O243" i="41"/>
  <c r="N243" i="41"/>
  <c r="M243" i="41"/>
  <c r="L243" i="41"/>
  <c r="K243" i="41"/>
  <c r="J243" i="41"/>
  <c r="S242" i="41"/>
  <c r="R242" i="41"/>
  <c r="Q242" i="41"/>
  <c r="P242" i="41"/>
  <c r="O242" i="41"/>
  <c r="N242" i="41"/>
  <c r="M242" i="41"/>
  <c r="L242" i="41"/>
  <c r="K242" i="41"/>
  <c r="J242" i="41"/>
  <c r="S241" i="41"/>
  <c r="R241" i="41"/>
  <c r="Q241" i="41"/>
  <c r="P241" i="41"/>
  <c r="O241" i="41"/>
  <c r="N241" i="41"/>
  <c r="M241" i="41"/>
  <c r="L241" i="41"/>
  <c r="K241" i="41"/>
  <c r="J241" i="41"/>
  <c r="S240" i="41"/>
  <c r="R240" i="41"/>
  <c r="Q240" i="41"/>
  <c r="P240" i="41"/>
  <c r="O240" i="41"/>
  <c r="N240" i="41"/>
  <c r="M240" i="41"/>
  <c r="L240" i="41"/>
  <c r="K240" i="41"/>
  <c r="J240" i="41"/>
  <c r="S239" i="41"/>
  <c r="R239" i="41"/>
  <c r="Q239" i="41"/>
  <c r="P239" i="41"/>
  <c r="O239" i="41"/>
  <c r="N239" i="41"/>
  <c r="M239" i="41"/>
  <c r="L239" i="41"/>
  <c r="K239" i="41"/>
  <c r="J239" i="41"/>
  <c r="S238" i="41"/>
  <c r="R238" i="41"/>
  <c r="Q238" i="41"/>
  <c r="P238" i="41"/>
  <c r="O238" i="41"/>
  <c r="N238" i="41"/>
  <c r="M238" i="41"/>
  <c r="L238" i="41"/>
  <c r="K238" i="41"/>
  <c r="J238" i="41"/>
  <c r="S237" i="41"/>
  <c r="R237" i="41"/>
  <c r="Q237" i="41"/>
  <c r="P237" i="41"/>
  <c r="O237" i="41"/>
  <c r="N237" i="41"/>
  <c r="M237" i="41"/>
  <c r="L237" i="41"/>
  <c r="K237" i="41"/>
  <c r="J237" i="41"/>
  <c r="S236" i="41"/>
  <c r="R236" i="41"/>
  <c r="Q236" i="41"/>
  <c r="P236" i="41"/>
  <c r="O236" i="41"/>
  <c r="N236" i="41"/>
  <c r="M236" i="41"/>
  <c r="L236" i="41"/>
  <c r="K236" i="41"/>
  <c r="J236" i="41"/>
  <c r="S235" i="41"/>
  <c r="R235" i="41"/>
  <c r="Q235" i="41"/>
  <c r="P235" i="41"/>
  <c r="O235" i="41"/>
  <c r="N235" i="41"/>
  <c r="M235" i="41"/>
  <c r="L235" i="41"/>
  <c r="K235" i="41"/>
  <c r="J235" i="41"/>
  <c r="S234" i="41"/>
  <c r="R234" i="41"/>
  <c r="Q234" i="41"/>
  <c r="P234" i="41"/>
  <c r="O234" i="41"/>
  <c r="N234" i="41"/>
  <c r="M234" i="41"/>
  <c r="L234" i="41"/>
  <c r="K234" i="41"/>
  <c r="J234" i="41"/>
  <c r="S233" i="41"/>
  <c r="R233" i="41"/>
  <c r="Q233" i="41"/>
  <c r="P233" i="41"/>
  <c r="O233" i="41"/>
  <c r="N233" i="41"/>
  <c r="M233" i="41"/>
  <c r="L233" i="41"/>
  <c r="K233" i="41"/>
  <c r="J233" i="41"/>
  <c r="S232" i="41"/>
  <c r="R232" i="41"/>
  <c r="Q232" i="41"/>
  <c r="P232" i="41"/>
  <c r="O232" i="41"/>
  <c r="N232" i="41"/>
  <c r="M232" i="41"/>
  <c r="L232" i="41"/>
  <c r="K232" i="41"/>
  <c r="J232" i="41"/>
  <c r="S231" i="41"/>
  <c r="R231" i="41"/>
  <c r="Q231" i="41"/>
  <c r="P231" i="41"/>
  <c r="O231" i="41"/>
  <c r="N231" i="41"/>
  <c r="M231" i="41"/>
  <c r="L231" i="41"/>
  <c r="K231" i="41"/>
  <c r="J231" i="41"/>
  <c r="S230" i="41"/>
  <c r="R230" i="41"/>
  <c r="Q230" i="41"/>
  <c r="P230" i="41"/>
  <c r="O230" i="41"/>
  <c r="N230" i="41"/>
  <c r="M230" i="41"/>
  <c r="L230" i="41"/>
  <c r="K230" i="41"/>
  <c r="J230" i="41"/>
  <c r="S229" i="41"/>
  <c r="R229" i="41"/>
  <c r="Q229" i="41"/>
  <c r="P229" i="41"/>
  <c r="O229" i="41"/>
  <c r="N229" i="41"/>
  <c r="M229" i="41"/>
  <c r="L229" i="41"/>
  <c r="K229" i="41"/>
  <c r="J229" i="41"/>
  <c r="S228" i="41"/>
  <c r="R228" i="41"/>
  <c r="Q228" i="41"/>
  <c r="P228" i="41"/>
  <c r="O228" i="41"/>
  <c r="N228" i="41"/>
  <c r="M228" i="41"/>
  <c r="L228" i="41"/>
  <c r="K228" i="41"/>
  <c r="J228" i="41"/>
  <c r="S227" i="41"/>
  <c r="R227" i="41"/>
  <c r="Q227" i="41"/>
  <c r="P227" i="41"/>
  <c r="O227" i="41"/>
  <c r="N227" i="41"/>
  <c r="M227" i="41"/>
  <c r="L227" i="41"/>
  <c r="K227" i="41"/>
  <c r="J227" i="41"/>
  <c r="S226" i="41"/>
  <c r="R226" i="41"/>
  <c r="Q226" i="41"/>
  <c r="P226" i="41"/>
  <c r="O226" i="41"/>
  <c r="N226" i="41"/>
  <c r="M226" i="41"/>
  <c r="L226" i="41"/>
  <c r="K226" i="41"/>
  <c r="J226" i="41"/>
  <c r="S225" i="41"/>
  <c r="R225" i="41"/>
  <c r="Q225" i="41"/>
  <c r="P225" i="41"/>
  <c r="O225" i="41"/>
  <c r="N225" i="41"/>
  <c r="M225" i="41"/>
  <c r="L225" i="41"/>
  <c r="K225" i="41"/>
  <c r="J225" i="41"/>
  <c r="S224" i="41"/>
  <c r="R224" i="41"/>
  <c r="Q224" i="41"/>
  <c r="P224" i="41"/>
  <c r="O224" i="41"/>
  <c r="N224" i="41"/>
  <c r="M224" i="41"/>
  <c r="L224" i="41"/>
  <c r="K224" i="41"/>
  <c r="J224" i="41"/>
  <c r="S223" i="41"/>
  <c r="R223" i="41"/>
  <c r="Q223" i="41"/>
  <c r="P223" i="41"/>
  <c r="O223" i="41"/>
  <c r="N223" i="41"/>
  <c r="M223" i="41"/>
  <c r="L223" i="41"/>
  <c r="K223" i="41"/>
  <c r="J223" i="41"/>
  <c r="S222" i="41"/>
  <c r="R222" i="41"/>
  <c r="Q222" i="41"/>
  <c r="P222" i="41"/>
  <c r="O222" i="41"/>
  <c r="N222" i="41"/>
  <c r="M222" i="41"/>
  <c r="L222" i="41"/>
  <c r="K222" i="41"/>
  <c r="J222" i="41"/>
  <c r="S221" i="41"/>
  <c r="R221" i="41"/>
  <c r="Q221" i="41"/>
  <c r="P221" i="41"/>
  <c r="O221" i="41"/>
  <c r="N221" i="41"/>
  <c r="M221" i="41"/>
  <c r="L221" i="41"/>
  <c r="K221" i="41"/>
  <c r="J221" i="41"/>
  <c r="S220" i="41"/>
  <c r="R220" i="41"/>
  <c r="Q220" i="41"/>
  <c r="P220" i="41"/>
  <c r="O220" i="41"/>
  <c r="N220" i="41"/>
  <c r="M220" i="41"/>
  <c r="L220" i="41"/>
  <c r="K220" i="41"/>
  <c r="J220" i="41"/>
  <c r="S219" i="41"/>
  <c r="R219" i="41"/>
  <c r="Q219" i="41"/>
  <c r="P219" i="41"/>
  <c r="O219" i="41"/>
  <c r="N219" i="41"/>
  <c r="M219" i="41"/>
  <c r="L219" i="41"/>
  <c r="K219" i="41"/>
  <c r="J219" i="41"/>
  <c r="S218" i="41"/>
  <c r="R218" i="41"/>
  <c r="Q218" i="41"/>
  <c r="P218" i="41"/>
  <c r="O218" i="41"/>
  <c r="N218" i="41"/>
  <c r="M218" i="41"/>
  <c r="L218" i="41"/>
  <c r="K218" i="41"/>
  <c r="J218" i="41"/>
  <c r="S217" i="41"/>
  <c r="R217" i="41"/>
  <c r="Q217" i="41"/>
  <c r="P217" i="41"/>
  <c r="O217" i="41"/>
  <c r="N217" i="41"/>
  <c r="M217" i="41"/>
  <c r="L217" i="41"/>
  <c r="K217" i="41"/>
  <c r="J217" i="41"/>
  <c r="S216" i="41"/>
  <c r="R216" i="41"/>
  <c r="Q216" i="41"/>
  <c r="P216" i="41"/>
  <c r="O216" i="41"/>
  <c r="N216" i="41"/>
  <c r="M216" i="41"/>
  <c r="L216" i="41"/>
  <c r="K216" i="41"/>
  <c r="J216" i="41"/>
  <c r="S215" i="41"/>
  <c r="R215" i="41"/>
  <c r="Q215" i="41"/>
  <c r="P215" i="41"/>
  <c r="O215" i="41"/>
  <c r="N215" i="41"/>
  <c r="M215" i="41"/>
  <c r="L215" i="41"/>
  <c r="K215" i="41"/>
  <c r="J215" i="41"/>
  <c r="S214" i="41"/>
  <c r="R214" i="41"/>
  <c r="Q214" i="41"/>
  <c r="P214" i="41"/>
  <c r="O214" i="41"/>
  <c r="N214" i="41"/>
  <c r="M214" i="41"/>
  <c r="L214" i="41"/>
  <c r="K214" i="41"/>
  <c r="J214" i="41"/>
  <c r="S213" i="41"/>
  <c r="R213" i="41"/>
  <c r="Q213" i="41"/>
  <c r="P213" i="41"/>
  <c r="O213" i="41"/>
  <c r="N213" i="41"/>
  <c r="M213" i="41"/>
  <c r="L213" i="41"/>
  <c r="K213" i="41"/>
  <c r="J213" i="41"/>
  <c r="S212" i="41"/>
  <c r="R212" i="41"/>
  <c r="Q212" i="41"/>
  <c r="P212" i="41"/>
  <c r="O212" i="41"/>
  <c r="N212" i="41"/>
  <c r="M212" i="41"/>
  <c r="L212" i="41"/>
  <c r="K212" i="41"/>
  <c r="J212" i="41"/>
  <c r="S211" i="41"/>
  <c r="R211" i="41"/>
  <c r="Q211" i="41"/>
  <c r="P211" i="41"/>
  <c r="O211" i="41"/>
  <c r="N211" i="41"/>
  <c r="M211" i="41"/>
  <c r="L211" i="41"/>
  <c r="K211" i="41"/>
  <c r="J211" i="41"/>
  <c r="S210" i="41"/>
  <c r="R210" i="41"/>
  <c r="Q210" i="41"/>
  <c r="P210" i="41"/>
  <c r="O210" i="41"/>
  <c r="N210" i="41"/>
  <c r="M210" i="41"/>
  <c r="L210" i="41"/>
  <c r="K210" i="41"/>
  <c r="J210" i="41"/>
  <c r="S209" i="41"/>
  <c r="R209" i="41"/>
  <c r="Q209" i="41"/>
  <c r="P209" i="41"/>
  <c r="O209" i="41"/>
  <c r="N209" i="41"/>
  <c r="M209" i="41"/>
  <c r="L209" i="41"/>
  <c r="K209" i="41"/>
  <c r="J209" i="41"/>
  <c r="S208" i="41"/>
  <c r="R208" i="41"/>
  <c r="Q208" i="41"/>
  <c r="P208" i="41"/>
  <c r="O208" i="41"/>
  <c r="N208" i="41"/>
  <c r="M208" i="41"/>
  <c r="L208" i="41"/>
  <c r="K208" i="41"/>
  <c r="J208" i="41"/>
  <c r="S207" i="41"/>
  <c r="R207" i="41"/>
  <c r="Q207" i="41"/>
  <c r="P207" i="41"/>
  <c r="O207" i="41"/>
  <c r="N207" i="41"/>
  <c r="M207" i="41"/>
  <c r="L207" i="41"/>
  <c r="K207" i="41"/>
  <c r="J207" i="41"/>
  <c r="S206" i="41"/>
  <c r="R206" i="41"/>
  <c r="Q206" i="41"/>
  <c r="P206" i="41"/>
  <c r="O206" i="41"/>
  <c r="N206" i="41"/>
  <c r="M206" i="41"/>
  <c r="L206" i="41"/>
  <c r="K206" i="41"/>
  <c r="J206" i="41"/>
  <c r="S205" i="41"/>
  <c r="R205" i="41"/>
  <c r="Q205" i="41"/>
  <c r="P205" i="41"/>
  <c r="O205" i="41"/>
  <c r="N205" i="41"/>
  <c r="M205" i="41"/>
  <c r="L205" i="41"/>
  <c r="K205" i="41"/>
  <c r="J205" i="41"/>
  <c r="S204" i="41"/>
  <c r="R204" i="41"/>
  <c r="Q204" i="41"/>
  <c r="P204" i="41"/>
  <c r="O204" i="41"/>
  <c r="N204" i="41"/>
  <c r="M204" i="41"/>
  <c r="L204" i="41"/>
  <c r="K204" i="41"/>
  <c r="J204" i="41"/>
  <c r="S203" i="41"/>
  <c r="R203" i="41"/>
  <c r="Q203" i="41"/>
  <c r="P203" i="41"/>
  <c r="O203" i="41"/>
  <c r="N203" i="41"/>
  <c r="M203" i="41"/>
  <c r="L203" i="41"/>
  <c r="K203" i="41"/>
  <c r="J203" i="41"/>
  <c r="S202" i="41"/>
  <c r="R202" i="41"/>
  <c r="Q202" i="41"/>
  <c r="P202" i="41"/>
  <c r="O202" i="41"/>
  <c r="N202" i="41"/>
  <c r="M202" i="41"/>
  <c r="L202" i="41"/>
  <c r="K202" i="41"/>
  <c r="J202" i="41"/>
  <c r="S201" i="41"/>
  <c r="R201" i="41"/>
  <c r="Q201" i="41"/>
  <c r="P201" i="41"/>
  <c r="O201" i="41"/>
  <c r="N201" i="41"/>
  <c r="M201" i="41"/>
  <c r="L201" i="41"/>
  <c r="K201" i="41"/>
  <c r="J201" i="41"/>
  <c r="S200" i="41"/>
  <c r="R200" i="41"/>
  <c r="Q200" i="41"/>
  <c r="P200" i="41"/>
  <c r="O200" i="41"/>
  <c r="N200" i="41"/>
  <c r="M200" i="41"/>
  <c r="L200" i="41"/>
  <c r="K200" i="41"/>
  <c r="J200" i="41"/>
  <c r="S199" i="41"/>
  <c r="R199" i="41"/>
  <c r="Q199" i="41"/>
  <c r="P199" i="41"/>
  <c r="O199" i="41"/>
  <c r="N199" i="41"/>
  <c r="M199" i="41"/>
  <c r="L199" i="41"/>
  <c r="K199" i="41"/>
  <c r="J199" i="41"/>
  <c r="S198" i="41"/>
  <c r="R198" i="41"/>
  <c r="Q198" i="41"/>
  <c r="P198" i="41"/>
  <c r="O198" i="41"/>
  <c r="N198" i="41"/>
  <c r="M198" i="41"/>
  <c r="L198" i="41"/>
  <c r="K198" i="41"/>
  <c r="J198" i="41"/>
  <c r="S197" i="41"/>
  <c r="R197" i="41"/>
  <c r="Q197" i="41"/>
  <c r="P197" i="41"/>
  <c r="O197" i="41"/>
  <c r="N197" i="41"/>
  <c r="M197" i="41"/>
  <c r="L197" i="41"/>
  <c r="K197" i="41"/>
  <c r="J197" i="41"/>
  <c r="S196" i="41"/>
  <c r="R196" i="41"/>
  <c r="Q196" i="41"/>
  <c r="P196" i="41"/>
  <c r="O196" i="41"/>
  <c r="N196" i="41"/>
  <c r="M196" i="41"/>
  <c r="L196" i="41"/>
  <c r="K196" i="41"/>
  <c r="J196" i="41"/>
  <c r="S195" i="41"/>
  <c r="R195" i="41"/>
  <c r="Q195" i="41"/>
  <c r="P195" i="41"/>
  <c r="O195" i="41"/>
  <c r="N195" i="41"/>
  <c r="M195" i="41"/>
  <c r="L195" i="41"/>
  <c r="K195" i="41"/>
  <c r="J195" i="41"/>
  <c r="S194" i="41"/>
  <c r="R194" i="41"/>
  <c r="Q194" i="41"/>
  <c r="P194" i="41"/>
  <c r="O194" i="41"/>
  <c r="N194" i="41"/>
  <c r="M194" i="41"/>
  <c r="L194" i="41"/>
  <c r="K194" i="41"/>
  <c r="J194" i="41"/>
  <c r="S193" i="41"/>
  <c r="R193" i="41"/>
  <c r="Q193" i="41"/>
  <c r="P193" i="41"/>
  <c r="O193" i="41"/>
  <c r="N193" i="41"/>
  <c r="M193" i="41"/>
  <c r="L193" i="41"/>
  <c r="K193" i="41"/>
  <c r="J193" i="41"/>
  <c r="S192" i="41"/>
  <c r="R192" i="41"/>
  <c r="Q192" i="41"/>
  <c r="P192" i="41"/>
  <c r="O192" i="41"/>
  <c r="N192" i="41"/>
  <c r="M192" i="41"/>
  <c r="L192" i="41"/>
  <c r="K192" i="41"/>
  <c r="J192" i="41"/>
  <c r="S191" i="41"/>
  <c r="R191" i="41"/>
  <c r="Q191" i="41"/>
  <c r="P191" i="41"/>
  <c r="O191" i="41"/>
  <c r="N191" i="41"/>
  <c r="M191" i="41"/>
  <c r="L191" i="41"/>
  <c r="K191" i="41"/>
  <c r="J191" i="41"/>
  <c r="S190" i="41"/>
  <c r="R190" i="41"/>
  <c r="Q190" i="41"/>
  <c r="P190" i="41"/>
  <c r="O190" i="41"/>
  <c r="N190" i="41"/>
  <c r="M190" i="41"/>
  <c r="L190" i="41"/>
  <c r="K190" i="41"/>
  <c r="J190" i="41"/>
  <c r="S189" i="41"/>
  <c r="R189" i="41"/>
  <c r="Q189" i="41"/>
  <c r="P189" i="41"/>
  <c r="O189" i="41"/>
  <c r="N189" i="41"/>
  <c r="M189" i="41"/>
  <c r="L189" i="41"/>
  <c r="K189" i="41"/>
  <c r="J189" i="41"/>
  <c r="S188" i="41"/>
  <c r="R188" i="41"/>
  <c r="Q188" i="41"/>
  <c r="P188" i="41"/>
  <c r="O188" i="41"/>
  <c r="N188" i="41"/>
  <c r="M188" i="41"/>
  <c r="L188" i="41"/>
  <c r="K188" i="41"/>
  <c r="J188" i="41"/>
  <c r="S187" i="41"/>
  <c r="R187" i="41"/>
  <c r="Q187" i="41"/>
  <c r="P187" i="41"/>
  <c r="O187" i="41"/>
  <c r="N187" i="41"/>
  <c r="M187" i="41"/>
  <c r="L187" i="41"/>
  <c r="K187" i="41"/>
  <c r="J187" i="41"/>
  <c r="S186" i="41"/>
  <c r="R186" i="41"/>
  <c r="Q186" i="41"/>
  <c r="P186" i="41"/>
  <c r="O186" i="41"/>
  <c r="N186" i="41"/>
  <c r="M186" i="41"/>
  <c r="L186" i="41"/>
  <c r="K186" i="41"/>
  <c r="J186" i="41"/>
  <c r="S185" i="41"/>
  <c r="R185" i="41"/>
  <c r="Q185" i="41"/>
  <c r="P185" i="41"/>
  <c r="O185" i="41"/>
  <c r="N185" i="41"/>
  <c r="M185" i="41"/>
  <c r="L185" i="41"/>
  <c r="K185" i="41"/>
  <c r="J185" i="41"/>
  <c r="S184" i="41"/>
  <c r="R184" i="41"/>
  <c r="Q184" i="41"/>
  <c r="P184" i="41"/>
  <c r="O184" i="41"/>
  <c r="N184" i="41"/>
  <c r="M184" i="41"/>
  <c r="L184" i="41"/>
  <c r="K184" i="41"/>
  <c r="J184" i="41"/>
  <c r="S183" i="41"/>
  <c r="R183" i="41"/>
  <c r="Q183" i="41"/>
  <c r="P183" i="41"/>
  <c r="O183" i="41"/>
  <c r="N183" i="41"/>
  <c r="M183" i="41"/>
  <c r="L183" i="41"/>
  <c r="K183" i="41"/>
  <c r="J183" i="41"/>
  <c r="S182" i="41"/>
  <c r="R182" i="41"/>
  <c r="Q182" i="41"/>
  <c r="P182" i="41"/>
  <c r="O182" i="41"/>
  <c r="N182" i="41"/>
  <c r="M182" i="41"/>
  <c r="L182" i="41"/>
  <c r="K182" i="41"/>
  <c r="J182" i="41"/>
  <c r="S181" i="41"/>
  <c r="R181" i="41"/>
  <c r="Q181" i="41"/>
  <c r="P181" i="41"/>
  <c r="O181" i="41"/>
  <c r="N181" i="41"/>
  <c r="M181" i="41"/>
  <c r="L181" i="41"/>
  <c r="K181" i="41"/>
  <c r="J181" i="41"/>
  <c r="S180" i="41"/>
  <c r="R180" i="41"/>
  <c r="Q180" i="41"/>
  <c r="P180" i="41"/>
  <c r="O180" i="41"/>
  <c r="N180" i="41"/>
  <c r="M180" i="41"/>
  <c r="L180" i="41"/>
  <c r="K180" i="41"/>
  <c r="J180" i="41"/>
  <c r="S179" i="41"/>
  <c r="R179" i="41"/>
  <c r="Q179" i="41"/>
  <c r="P179" i="41"/>
  <c r="O179" i="41"/>
  <c r="N179" i="41"/>
  <c r="M179" i="41"/>
  <c r="L179" i="41"/>
  <c r="K179" i="41"/>
  <c r="J179" i="41"/>
  <c r="S178" i="41"/>
  <c r="R178" i="41"/>
  <c r="Q178" i="41"/>
  <c r="P178" i="41"/>
  <c r="O178" i="41"/>
  <c r="N178" i="41"/>
  <c r="M178" i="41"/>
  <c r="L178" i="41"/>
  <c r="K178" i="41"/>
  <c r="J178" i="41"/>
  <c r="S177" i="41"/>
  <c r="R177" i="41"/>
  <c r="Q177" i="41"/>
  <c r="P177" i="41"/>
  <c r="O177" i="41"/>
  <c r="N177" i="41"/>
  <c r="M177" i="41"/>
  <c r="L177" i="41"/>
  <c r="K177" i="41"/>
  <c r="J177" i="41"/>
  <c r="S176" i="41"/>
  <c r="R176" i="41"/>
  <c r="Q176" i="41"/>
  <c r="P176" i="41"/>
  <c r="O176" i="41"/>
  <c r="N176" i="41"/>
  <c r="M176" i="41"/>
  <c r="L176" i="41"/>
  <c r="K176" i="41"/>
  <c r="J176" i="41"/>
  <c r="S175" i="41"/>
  <c r="R175" i="41"/>
  <c r="Q175" i="41"/>
  <c r="P175" i="41"/>
  <c r="O175" i="41"/>
  <c r="N175" i="41"/>
  <c r="M175" i="41"/>
  <c r="L175" i="41"/>
  <c r="K175" i="41"/>
  <c r="J175" i="41"/>
  <c r="S174" i="41"/>
  <c r="R174" i="41"/>
  <c r="Q174" i="41"/>
  <c r="P174" i="41"/>
  <c r="O174" i="41"/>
  <c r="N174" i="41"/>
  <c r="M174" i="41"/>
  <c r="L174" i="41"/>
  <c r="K174" i="41"/>
  <c r="J174" i="41"/>
  <c r="S173" i="41"/>
  <c r="R173" i="41"/>
  <c r="Q173" i="41"/>
  <c r="P173" i="41"/>
  <c r="O173" i="41"/>
  <c r="N173" i="41"/>
  <c r="M173" i="41"/>
  <c r="L173" i="41"/>
  <c r="K173" i="41"/>
  <c r="J173" i="41"/>
  <c r="S172" i="41"/>
  <c r="R172" i="41"/>
  <c r="Q172" i="41"/>
  <c r="P172" i="41"/>
  <c r="O172" i="41"/>
  <c r="N172" i="41"/>
  <c r="M172" i="41"/>
  <c r="L172" i="41"/>
  <c r="K172" i="41"/>
  <c r="J172" i="41"/>
  <c r="S171" i="41"/>
  <c r="R171" i="41"/>
  <c r="Q171" i="41"/>
  <c r="P171" i="41"/>
  <c r="O171" i="41"/>
  <c r="N171" i="41"/>
  <c r="M171" i="41"/>
  <c r="L171" i="41"/>
  <c r="K171" i="41"/>
  <c r="J171" i="41"/>
  <c r="S170" i="41"/>
  <c r="R170" i="41"/>
  <c r="Q170" i="41"/>
  <c r="P170" i="41"/>
  <c r="O170" i="41"/>
  <c r="N170" i="41"/>
  <c r="M170" i="41"/>
  <c r="L170" i="41"/>
  <c r="K170" i="41"/>
  <c r="J170" i="41"/>
  <c r="S169" i="41"/>
  <c r="R169" i="41"/>
  <c r="Q169" i="41"/>
  <c r="P169" i="41"/>
  <c r="O169" i="41"/>
  <c r="N169" i="41"/>
  <c r="M169" i="41"/>
  <c r="L169" i="41"/>
  <c r="K169" i="41"/>
  <c r="J169" i="41"/>
  <c r="S168" i="41"/>
  <c r="R168" i="41"/>
  <c r="Q168" i="41"/>
  <c r="P168" i="41"/>
  <c r="O168" i="41"/>
  <c r="N168" i="41"/>
  <c r="M168" i="41"/>
  <c r="L168" i="41"/>
  <c r="K168" i="41"/>
  <c r="J168" i="41"/>
  <c r="S167" i="41"/>
  <c r="R167" i="41"/>
  <c r="Q167" i="41"/>
  <c r="P167" i="41"/>
  <c r="O167" i="41"/>
  <c r="N167" i="41"/>
  <c r="M167" i="41"/>
  <c r="L167" i="41"/>
  <c r="K167" i="41"/>
  <c r="J167" i="41"/>
  <c r="S166" i="41"/>
  <c r="R166" i="41"/>
  <c r="Q166" i="41"/>
  <c r="P166" i="41"/>
  <c r="O166" i="41"/>
  <c r="N166" i="41"/>
  <c r="M166" i="41"/>
  <c r="L166" i="41"/>
  <c r="K166" i="41"/>
  <c r="J166" i="41"/>
  <c r="S165" i="41"/>
  <c r="R165" i="41"/>
  <c r="Q165" i="41"/>
  <c r="P165" i="41"/>
  <c r="O165" i="41"/>
  <c r="N165" i="41"/>
  <c r="M165" i="41"/>
  <c r="L165" i="41"/>
  <c r="K165" i="41"/>
  <c r="J165" i="41"/>
  <c r="S164" i="41"/>
  <c r="R164" i="41"/>
  <c r="Q164" i="41"/>
  <c r="P164" i="41"/>
  <c r="O164" i="41"/>
  <c r="N164" i="41"/>
  <c r="M164" i="41"/>
  <c r="L164" i="41"/>
  <c r="K164" i="41"/>
  <c r="J164" i="41"/>
  <c r="S163" i="41"/>
  <c r="R163" i="41"/>
  <c r="Q163" i="41"/>
  <c r="P163" i="41"/>
  <c r="O163" i="41"/>
  <c r="N163" i="41"/>
  <c r="M163" i="41"/>
  <c r="L163" i="41"/>
  <c r="K163" i="41"/>
  <c r="J163" i="41"/>
  <c r="S162" i="41"/>
  <c r="R162" i="41"/>
  <c r="Q162" i="41"/>
  <c r="P162" i="41"/>
  <c r="O162" i="41"/>
  <c r="N162" i="41"/>
  <c r="M162" i="41"/>
  <c r="L162" i="41"/>
  <c r="K162" i="41"/>
  <c r="J162" i="41"/>
  <c r="S161" i="41"/>
  <c r="R161" i="41"/>
  <c r="Q161" i="41"/>
  <c r="P161" i="41"/>
  <c r="O161" i="41"/>
  <c r="N161" i="41"/>
  <c r="M161" i="41"/>
  <c r="L161" i="41"/>
  <c r="K161" i="41"/>
  <c r="J161" i="41"/>
  <c r="S160" i="41"/>
  <c r="R160" i="41"/>
  <c r="Q160" i="41"/>
  <c r="P160" i="41"/>
  <c r="O160" i="41"/>
  <c r="N160" i="41"/>
  <c r="M160" i="41"/>
  <c r="L160" i="41"/>
  <c r="K160" i="41"/>
  <c r="J160" i="41"/>
  <c r="S159" i="41"/>
  <c r="R159" i="41"/>
  <c r="Q159" i="41"/>
  <c r="P159" i="41"/>
  <c r="O159" i="41"/>
  <c r="N159" i="41"/>
  <c r="M159" i="41"/>
  <c r="L159" i="41"/>
  <c r="K159" i="41"/>
  <c r="J159" i="41"/>
  <c r="S158" i="41"/>
  <c r="R158" i="41"/>
  <c r="Q158" i="41"/>
  <c r="P158" i="41"/>
  <c r="O158" i="41"/>
  <c r="N158" i="41"/>
  <c r="M158" i="41"/>
  <c r="L158" i="41"/>
  <c r="K158" i="41"/>
  <c r="J158" i="41"/>
  <c r="S157" i="41"/>
  <c r="R157" i="41"/>
  <c r="Q157" i="41"/>
  <c r="P157" i="41"/>
  <c r="O157" i="41"/>
  <c r="N157" i="41"/>
  <c r="M157" i="41"/>
  <c r="L157" i="41"/>
  <c r="K157" i="41"/>
  <c r="J157" i="41"/>
  <c r="S156" i="41"/>
  <c r="R156" i="41"/>
  <c r="Q156" i="41"/>
  <c r="P156" i="41"/>
  <c r="O156" i="41"/>
  <c r="N156" i="41"/>
  <c r="M156" i="41"/>
  <c r="L156" i="41"/>
  <c r="K156" i="41"/>
  <c r="J156" i="41"/>
  <c r="S155" i="41"/>
  <c r="R155" i="41"/>
  <c r="Q155" i="41"/>
  <c r="P155" i="41"/>
  <c r="O155" i="41"/>
  <c r="N155" i="41"/>
  <c r="M155" i="41"/>
  <c r="L155" i="41"/>
  <c r="K155" i="41"/>
  <c r="J155" i="41"/>
  <c r="S154" i="41"/>
  <c r="R154" i="41"/>
  <c r="Q154" i="41"/>
  <c r="P154" i="41"/>
  <c r="O154" i="41"/>
  <c r="N154" i="41"/>
  <c r="M154" i="41"/>
  <c r="L154" i="41"/>
  <c r="K154" i="41"/>
  <c r="J154" i="41"/>
  <c r="S153" i="41"/>
  <c r="R153" i="41"/>
  <c r="Q153" i="41"/>
  <c r="P153" i="41"/>
  <c r="O153" i="41"/>
  <c r="N153" i="41"/>
  <c r="M153" i="41"/>
  <c r="L153" i="41"/>
  <c r="K153" i="41"/>
  <c r="J153" i="41"/>
  <c r="S152" i="41"/>
  <c r="R152" i="41"/>
  <c r="Q152" i="41"/>
  <c r="P152" i="41"/>
  <c r="O152" i="41"/>
  <c r="N152" i="41"/>
  <c r="M152" i="41"/>
  <c r="L152" i="41"/>
  <c r="K152" i="41"/>
  <c r="J152" i="41"/>
  <c r="S151" i="41"/>
  <c r="R151" i="41"/>
  <c r="Q151" i="41"/>
  <c r="P151" i="41"/>
  <c r="O151" i="41"/>
  <c r="N151" i="41"/>
  <c r="M151" i="41"/>
  <c r="L151" i="41"/>
  <c r="K151" i="41"/>
  <c r="J151" i="41"/>
  <c r="S150" i="41"/>
  <c r="R150" i="41"/>
  <c r="Q150" i="41"/>
  <c r="P150" i="41"/>
  <c r="O150" i="41"/>
  <c r="N150" i="41"/>
  <c r="M150" i="41"/>
  <c r="L150" i="41"/>
  <c r="K150" i="41"/>
  <c r="J150" i="41"/>
  <c r="S149" i="41"/>
  <c r="R149" i="41"/>
  <c r="Q149" i="41"/>
  <c r="P149" i="41"/>
  <c r="O149" i="41"/>
  <c r="N149" i="41"/>
  <c r="M149" i="41"/>
  <c r="L149" i="41"/>
  <c r="K149" i="41"/>
  <c r="J149" i="41"/>
  <c r="S148" i="41"/>
  <c r="R148" i="41"/>
  <c r="Q148" i="41"/>
  <c r="P148" i="41"/>
  <c r="O148" i="41"/>
  <c r="N148" i="41"/>
  <c r="M148" i="41"/>
  <c r="L148" i="41"/>
  <c r="K148" i="41"/>
  <c r="J148" i="41"/>
  <c r="S147" i="41"/>
  <c r="R147" i="41"/>
  <c r="Q147" i="41"/>
  <c r="P147" i="41"/>
  <c r="O147" i="41"/>
  <c r="N147" i="41"/>
  <c r="M147" i="41"/>
  <c r="L147" i="41"/>
  <c r="K147" i="41"/>
  <c r="J147" i="41"/>
  <c r="S146" i="41"/>
  <c r="R146" i="41"/>
  <c r="Q146" i="41"/>
  <c r="P146" i="41"/>
  <c r="O146" i="41"/>
  <c r="N146" i="41"/>
  <c r="M146" i="41"/>
  <c r="L146" i="41"/>
  <c r="K146" i="41"/>
  <c r="J146" i="41"/>
  <c r="S145" i="41"/>
  <c r="R145" i="41"/>
  <c r="Q145" i="41"/>
  <c r="P145" i="41"/>
  <c r="O145" i="41"/>
  <c r="N145" i="41"/>
  <c r="M145" i="41"/>
  <c r="L145" i="41"/>
  <c r="K145" i="41"/>
  <c r="J145" i="41"/>
  <c r="S144" i="41"/>
  <c r="R144" i="41"/>
  <c r="Q144" i="41"/>
  <c r="P144" i="41"/>
  <c r="O144" i="41"/>
  <c r="N144" i="41"/>
  <c r="M144" i="41"/>
  <c r="L144" i="41"/>
  <c r="K144" i="41"/>
  <c r="J144" i="41"/>
  <c r="S143" i="41"/>
  <c r="R143" i="41"/>
  <c r="Q143" i="41"/>
  <c r="P143" i="41"/>
  <c r="O143" i="41"/>
  <c r="N143" i="41"/>
  <c r="M143" i="41"/>
  <c r="L143" i="41"/>
  <c r="K143" i="41"/>
  <c r="J143" i="41"/>
  <c r="S142" i="41"/>
  <c r="R142" i="41"/>
  <c r="Q142" i="41"/>
  <c r="P142" i="41"/>
  <c r="O142" i="41"/>
  <c r="N142" i="41"/>
  <c r="M142" i="41"/>
  <c r="L142" i="41"/>
  <c r="K142" i="41"/>
  <c r="J142" i="41"/>
  <c r="S141" i="41"/>
  <c r="R141" i="41"/>
  <c r="Q141" i="41"/>
  <c r="P141" i="41"/>
  <c r="O141" i="41"/>
  <c r="N141" i="41"/>
  <c r="M141" i="41"/>
  <c r="L141" i="41"/>
  <c r="K141" i="41"/>
  <c r="J141" i="41"/>
  <c r="S140" i="41"/>
  <c r="R140" i="41"/>
  <c r="Q140" i="41"/>
  <c r="P140" i="41"/>
  <c r="O140" i="41"/>
  <c r="N140" i="41"/>
  <c r="M140" i="41"/>
  <c r="L140" i="41"/>
  <c r="K140" i="41"/>
  <c r="J140" i="41"/>
  <c r="S139" i="41"/>
  <c r="R139" i="41"/>
  <c r="Q139" i="41"/>
  <c r="P139" i="41"/>
  <c r="O139" i="41"/>
  <c r="N139" i="41"/>
  <c r="M139" i="41"/>
  <c r="L139" i="41"/>
  <c r="K139" i="41"/>
  <c r="J139" i="41"/>
  <c r="S138" i="41"/>
  <c r="R138" i="41"/>
  <c r="Q138" i="41"/>
  <c r="P138" i="41"/>
  <c r="O138" i="41"/>
  <c r="N138" i="41"/>
  <c r="M138" i="41"/>
  <c r="L138" i="41"/>
  <c r="K138" i="41"/>
  <c r="J138" i="41"/>
  <c r="S137" i="41"/>
  <c r="R137" i="41"/>
  <c r="Q137" i="41"/>
  <c r="P137" i="41"/>
  <c r="O137" i="41"/>
  <c r="N137" i="41"/>
  <c r="M137" i="41"/>
  <c r="L137" i="41"/>
  <c r="K137" i="41"/>
  <c r="J137" i="41"/>
  <c r="S136" i="41"/>
  <c r="R136" i="41"/>
  <c r="Q136" i="41"/>
  <c r="P136" i="41"/>
  <c r="O136" i="41"/>
  <c r="N136" i="41"/>
  <c r="M136" i="41"/>
  <c r="L136" i="41"/>
  <c r="K136" i="41"/>
  <c r="J136" i="41"/>
  <c r="S135" i="41"/>
  <c r="R135" i="41"/>
  <c r="Q135" i="41"/>
  <c r="P135" i="41"/>
  <c r="O135" i="41"/>
  <c r="N135" i="41"/>
  <c r="M135" i="41"/>
  <c r="L135" i="41"/>
  <c r="K135" i="41"/>
  <c r="J135" i="41"/>
  <c r="S134" i="41"/>
  <c r="R134" i="41"/>
  <c r="Q134" i="41"/>
  <c r="P134" i="41"/>
  <c r="O134" i="41"/>
  <c r="N134" i="41"/>
  <c r="M134" i="41"/>
  <c r="L134" i="41"/>
  <c r="K134" i="41"/>
  <c r="J134" i="41"/>
  <c r="S133" i="41"/>
  <c r="R133" i="41"/>
  <c r="Q133" i="41"/>
  <c r="P133" i="41"/>
  <c r="O133" i="41"/>
  <c r="N133" i="41"/>
  <c r="M133" i="41"/>
  <c r="L133" i="41"/>
  <c r="K133" i="41"/>
  <c r="J133" i="41"/>
  <c r="S132" i="41"/>
  <c r="R132" i="41"/>
  <c r="Q132" i="41"/>
  <c r="P132" i="41"/>
  <c r="O132" i="41"/>
  <c r="N132" i="41"/>
  <c r="M132" i="41"/>
  <c r="L132" i="41"/>
  <c r="K132" i="41"/>
  <c r="J132" i="41"/>
  <c r="S131" i="41"/>
  <c r="R131" i="41"/>
  <c r="Q131" i="41"/>
  <c r="P131" i="41"/>
  <c r="O131" i="41"/>
  <c r="N131" i="41"/>
  <c r="M131" i="41"/>
  <c r="L131" i="41"/>
  <c r="K131" i="41"/>
  <c r="J131" i="41"/>
  <c r="S130" i="41"/>
  <c r="R130" i="41"/>
  <c r="Q130" i="41"/>
  <c r="P130" i="41"/>
  <c r="O130" i="41"/>
  <c r="N130" i="41"/>
  <c r="M130" i="41"/>
  <c r="L130" i="41"/>
  <c r="K130" i="41"/>
  <c r="J130" i="41"/>
  <c r="S129" i="41"/>
  <c r="R129" i="41"/>
  <c r="Q129" i="41"/>
  <c r="P129" i="41"/>
  <c r="O129" i="41"/>
  <c r="N129" i="41"/>
  <c r="M129" i="41"/>
  <c r="L129" i="41"/>
  <c r="K129" i="41"/>
  <c r="J129" i="41"/>
  <c r="S128" i="41"/>
  <c r="R128" i="41"/>
  <c r="Q128" i="41"/>
  <c r="P128" i="41"/>
  <c r="O128" i="41"/>
  <c r="N128" i="41"/>
  <c r="M128" i="41"/>
  <c r="L128" i="41"/>
  <c r="K128" i="41"/>
  <c r="J128" i="41"/>
  <c r="S127" i="41"/>
  <c r="R127" i="41"/>
  <c r="Q127" i="41"/>
  <c r="P127" i="41"/>
  <c r="O127" i="41"/>
  <c r="N127" i="41"/>
  <c r="M127" i="41"/>
  <c r="L127" i="41"/>
  <c r="K127" i="41"/>
  <c r="J127" i="41"/>
  <c r="S126" i="41"/>
  <c r="R126" i="41"/>
  <c r="Q126" i="41"/>
  <c r="P126" i="41"/>
  <c r="O126" i="41"/>
  <c r="N126" i="41"/>
  <c r="M126" i="41"/>
  <c r="L126" i="41"/>
  <c r="K126" i="41"/>
  <c r="J126" i="41"/>
  <c r="S125" i="41"/>
  <c r="R125" i="41"/>
  <c r="Q125" i="41"/>
  <c r="P125" i="41"/>
  <c r="O125" i="41"/>
  <c r="N125" i="41"/>
  <c r="M125" i="41"/>
  <c r="L125" i="41"/>
  <c r="K125" i="41"/>
  <c r="J125" i="41"/>
  <c r="S124" i="41"/>
  <c r="R124" i="41"/>
  <c r="Q124" i="41"/>
  <c r="P124" i="41"/>
  <c r="O124" i="41"/>
  <c r="N124" i="41"/>
  <c r="M124" i="41"/>
  <c r="L124" i="41"/>
  <c r="K124" i="41"/>
  <c r="J124" i="41"/>
  <c r="S123" i="41"/>
  <c r="R123" i="41"/>
  <c r="Q123" i="41"/>
  <c r="P123" i="41"/>
  <c r="O123" i="41"/>
  <c r="N123" i="41"/>
  <c r="M123" i="41"/>
  <c r="L123" i="41"/>
  <c r="K123" i="41"/>
  <c r="J123" i="41"/>
  <c r="S122" i="41"/>
  <c r="R122" i="41"/>
  <c r="Q122" i="41"/>
  <c r="P122" i="41"/>
  <c r="O122" i="41"/>
  <c r="N122" i="41"/>
  <c r="M122" i="41"/>
  <c r="L122" i="41"/>
  <c r="K122" i="41"/>
  <c r="J122" i="41"/>
  <c r="S121" i="41"/>
  <c r="R121" i="41"/>
  <c r="Q121" i="41"/>
  <c r="P121" i="41"/>
  <c r="O121" i="41"/>
  <c r="N121" i="41"/>
  <c r="M121" i="41"/>
  <c r="L121" i="41"/>
  <c r="K121" i="41"/>
  <c r="J121" i="41"/>
  <c r="S120" i="41"/>
  <c r="R120" i="41"/>
  <c r="Q120" i="41"/>
  <c r="P120" i="41"/>
  <c r="O120" i="41"/>
  <c r="N120" i="41"/>
  <c r="M120" i="41"/>
  <c r="L120" i="41"/>
  <c r="K120" i="41"/>
  <c r="J120" i="41"/>
  <c r="S119" i="41"/>
  <c r="R119" i="41"/>
  <c r="Q119" i="41"/>
  <c r="P119" i="41"/>
  <c r="O119" i="41"/>
  <c r="N119" i="41"/>
  <c r="M119" i="41"/>
  <c r="L119" i="41"/>
  <c r="K119" i="41"/>
  <c r="J119" i="41"/>
  <c r="S118" i="41"/>
  <c r="R118" i="41"/>
  <c r="Q118" i="41"/>
  <c r="P118" i="41"/>
  <c r="O118" i="41"/>
  <c r="N118" i="41"/>
  <c r="M118" i="41"/>
  <c r="L118" i="41"/>
  <c r="K118" i="41"/>
  <c r="J118" i="41"/>
  <c r="S117" i="41"/>
  <c r="R117" i="41"/>
  <c r="Q117" i="41"/>
  <c r="P117" i="41"/>
  <c r="O117" i="41"/>
  <c r="N117" i="41"/>
  <c r="M117" i="41"/>
  <c r="L117" i="41"/>
  <c r="K117" i="41"/>
  <c r="J117" i="41"/>
  <c r="S116" i="41"/>
  <c r="R116" i="41"/>
  <c r="Q116" i="41"/>
  <c r="P116" i="41"/>
  <c r="O116" i="41"/>
  <c r="N116" i="41"/>
  <c r="M116" i="41"/>
  <c r="L116" i="41"/>
  <c r="K116" i="41"/>
  <c r="J116" i="41"/>
  <c r="S115" i="41"/>
  <c r="R115" i="41"/>
  <c r="Q115" i="41"/>
  <c r="P115" i="41"/>
  <c r="O115" i="41"/>
  <c r="N115" i="41"/>
  <c r="M115" i="41"/>
  <c r="L115" i="41"/>
  <c r="K115" i="41"/>
  <c r="J115" i="41"/>
  <c r="S114" i="41"/>
  <c r="R114" i="41"/>
  <c r="Q114" i="41"/>
  <c r="P114" i="41"/>
  <c r="O114" i="41"/>
  <c r="N114" i="41"/>
  <c r="M114" i="41"/>
  <c r="L114" i="41"/>
  <c r="K114" i="41"/>
  <c r="J114" i="41"/>
  <c r="S113" i="41"/>
  <c r="R113" i="41"/>
  <c r="Q113" i="41"/>
  <c r="P113" i="41"/>
  <c r="O113" i="41"/>
  <c r="N113" i="41"/>
  <c r="M113" i="41"/>
  <c r="L113" i="41"/>
  <c r="K113" i="41"/>
  <c r="J113" i="41"/>
  <c r="S112" i="41"/>
  <c r="R112" i="41"/>
  <c r="Q112" i="41"/>
  <c r="P112" i="41"/>
  <c r="O112" i="41"/>
  <c r="N112" i="41"/>
  <c r="M112" i="41"/>
  <c r="L112" i="41"/>
  <c r="K112" i="41"/>
  <c r="J112" i="41"/>
  <c r="S111" i="41"/>
  <c r="R111" i="41"/>
  <c r="Q111" i="41"/>
  <c r="P111" i="41"/>
  <c r="O111" i="41"/>
  <c r="N111" i="41"/>
  <c r="M111" i="41"/>
  <c r="L111" i="41"/>
  <c r="K111" i="41"/>
  <c r="J111" i="41"/>
  <c r="S110" i="41"/>
  <c r="R110" i="41"/>
  <c r="Q110" i="41"/>
  <c r="P110" i="41"/>
  <c r="O110" i="41"/>
  <c r="N110" i="41"/>
  <c r="M110" i="41"/>
  <c r="L110" i="41"/>
  <c r="K110" i="41"/>
  <c r="J110" i="41"/>
  <c r="S109" i="41"/>
  <c r="R109" i="41"/>
  <c r="Q109" i="41"/>
  <c r="P109" i="41"/>
  <c r="O109" i="41"/>
  <c r="N109" i="41"/>
  <c r="M109" i="41"/>
  <c r="L109" i="41"/>
  <c r="K109" i="41"/>
  <c r="J109" i="41"/>
  <c r="S108" i="41"/>
  <c r="R108" i="41"/>
  <c r="Q108" i="41"/>
  <c r="P108" i="41"/>
  <c r="O108" i="41"/>
  <c r="N108" i="41"/>
  <c r="M108" i="41"/>
  <c r="L108" i="41"/>
  <c r="K108" i="41"/>
  <c r="J108" i="41"/>
  <c r="S107" i="41"/>
  <c r="R107" i="41"/>
  <c r="Q107" i="41"/>
  <c r="P107" i="41"/>
  <c r="O107" i="41"/>
  <c r="N107" i="41"/>
  <c r="M107" i="41"/>
  <c r="L107" i="41"/>
  <c r="K107" i="41"/>
  <c r="J107" i="41"/>
  <c r="S106" i="41"/>
  <c r="R106" i="41"/>
  <c r="Q106" i="41"/>
  <c r="P106" i="41"/>
  <c r="O106" i="41"/>
  <c r="N106" i="41"/>
  <c r="M106" i="41"/>
  <c r="L106" i="41"/>
  <c r="K106" i="41"/>
  <c r="J106" i="41"/>
  <c r="S105" i="41"/>
  <c r="R105" i="41"/>
  <c r="Q105" i="41"/>
  <c r="P105" i="41"/>
  <c r="O105" i="41"/>
  <c r="N105" i="41"/>
  <c r="M105" i="41"/>
  <c r="L105" i="41"/>
  <c r="K105" i="41"/>
  <c r="J105" i="41"/>
  <c r="S104" i="41"/>
  <c r="R104" i="41"/>
  <c r="Q104" i="41"/>
  <c r="P104" i="41"/>
  <c r="O104" i="41"/>
  <c r="N104" i="41"/>
  <c r="M104" i="41"/>
  <c r="L104" i="41"/>
  <c r="K104" i="41"/>
  <c r="J104" i="41"/>
  <c r="S103" i="41"/>
  <c r="R103" i="41"/>
  <c r="Q103" i="41"/>
  <c r="P103" i="41"/>
  <c r="O103" i="41"/>
  <c r="N103" i="41"/>
  <c r="M103" i="41"/>
  <c r="L103" i="41"/>
  <c r="K103" i="41"/>
  <c r="J103" i="41"/>
  <c r="S102" i="41"/>
  <c r="R102" i="41"/>
  <c r="Q102" i="41"/>
  <c r="P102" i="41"/>
  <c r="O102" i="41"/>
  <c r="N102" i="41"/>
  <c r="M102" i="41"/>
  <c r="L102" i="41"/>
  <c r="K102" i="41"/>
  <c r="J102" i="41"/>
  <c r="S101" i="41"/>
  <c r="R101" i="41"/>
  <c r="Q101" i="41"/>
  <c r="P101" i="41"/>
  <c r="O101" i="41"/>
  <c r="N101" i="41"/>
  <c r="M101" i="41"/>
  <c r="L101" i="41"/>
  <c r="K101" i="41"/>
  <c r="J101" i="41"/>
  <c r="S100" i="41"/>
  <c r="R100" i="41"/>
  <c r="Q100" i="41"/>
  <c r="P100" i="41"/>
  <c r="O100" i="41"/>
  <c r="N100" i="41"/>
  <c r="M100" i="41"/>
  <c r="L100" i="41"/>
  <c r="K100" i="41"/>
  <c r="J100" i="41"/>
  <c r="S99" i="41"/>
  <c r="R99" i="41"/>
  <c r="Q99" i="41"/>
  <c r="P99" i="41"/>
  <c r="O99" i="41"/>
  <c r="N99" i="41"/>
  <c r="M99" i="41"/>
  <c r="L99" i="41"/>
  <c r="K99" i="41"/>
  <c r="J99" i="41"/>
  <c r="S98" i="41"/>
  <c r="R98" i="41"/>
  <c r="Q98" i="41"/>
  <c r="P98" i="41"/>
  <c r="O98" i="41"/>
  <c r="N98" i="41"/>
  <c r="M98" i="41"/>
  <c r="L98" i="41"/>
  <c r="K98" i="41"/>
  <c r="J98" i="41"/>
  <c r="S97" i="41"/>
  <c r="R97" i="41"/>
  <c r="Q97" i="41"/>
  <c r="P97" i="41"/>
  <c r="O97" i="41"/>
  <c r="N97" i="41"/>
  <c r="M97" i="41"/>
  <c r="L97" i="41"/>
  <c r="K97" i="41"/>
  <c r="J97" i="41"/>
  <c r="S96" i="41"/>
  <c r="R96" i="41"/>
  <c r="Q96" i="41"/>
  <c r="P96" i="41"/>
  <c r="O96" i="41"/>
  <c r="N96" i="41"/>
  <c r="M96" i="41"/>
  <c r="L96" i="41"/>
  <c r="K96" i="41"/>
  <c r="J96" i="41"/>
  <c r="S95" i="41"/>
  <c r="R95" i="41"/>
  <c r="Q95" i="41"/>
  <c r="P95" i="41"/>
  <c r="O95" i="41"/>
  <c r="N95" i="41"/>
  <c r="M95" i="41"/>
  <c r="L95" i="41"/>
  <c r="K95" i="41"/>
  <c r="J95" i="41"/>
  <c r="S94" i="41"/>
  <c r="R94" i="41"/>
  <c r="Q94" i="41"/>
  <c r="P94" i="41"/>
  <c r="O94" i="41"/>
  <c r="N94" i="41"/>
  <c r="M94" i="41"/>
  <c r="L94" i="41"/>
  <c r="K94" i="41"/>
  <c r="J94" i="41"/>
  <c r="S93" i="41"/>
  <c r="R93" i="41"/>
  <c r="Q93" i="41"/>
  <c r="P93" i="41"/>
  <c r="O93" i="41"/>
  <c r="N93" i="41"/>
  <c r="M93" i="41"/>
  <c r="L93" i="41"/>
  <c r="K93" i="41"/>
  <c r="J93" i="41"/>
  <c r="S92" i="41"/>
  <c r="R92" i="41"/>
  <c r="Q92" i="41"/>
  <c r="P92" i="41"/>
  <c r="O92" i="41"/>
  <c r="N92" i="41"/>
  <c r="M92" i="41"/>
  <c r="L92" i="41"/>
  <c r="K92" i="41"/>
  <c r="J92" i="41"/>
  <c r="S91" i="41"/>
  <c r="R91" i="41"/>
  <c r="Q91" i="41"/>
  <c r="P91" i="41"/>
  <c r="O91" i="41"/>
  <c r="N91" i="41"/>
  <c r="M91" i="41"/>
  <c r="L91" i="41"/>
  <c r="K91" i="41"/>
  <c r="J91" i="41"/>
  <c r="S90" i="41"/>
  <c r="R90" i="41"/>
  <c r="Q90" i="41"/>
  <c r="P90" i="41"/>
  <c r="O90" i="41"/>
  <c r="N90" i="41"/>
  <c r="M90" i="41"/>
  <c r="L90" i="41"/>
  <c r="K90" i="41"/>
  <c r="J90" i="41"/>
  <c r="S89" i="41"/>
  <c r="R89" i="41"/>
  <c r="Q89" i="41"/>
  <c r="P89" i="41"/>
  <c r="O89" i="41"/>
  <c r="N89" i="41"/>
  <c r="M89" i="41"/>
  <c r="L89" i="41"/>
  <c r="K89" i="41"/>
  <c r="J89" i="41"/>
  <c r="S88" i="41"/>
  <c r="R88" i="41"/>
  <c r="Q88" i="41"/>
  <c r="P88" i="41"/>
  <c r="O88" i="41"/>
  <c r="N88" i="41"/>
  <c r="M88" i="41"/>
  <c r="L88" i="41"/>
  <c r="K88" i="41"/>
  <c r="J88" i="41"/>
  <c r="S87" i="41"/>
  <c r="R87" i="41"/>
  <c r="Q87" i="41"/>
  <c r="P87" i="41"/>
  <c r="O87" i="41"/>
  <c r="N87" i="41"/>
  <c r="M87" i="41"/>
  <c r="L87" i="41"/>
  <c r="K87" i="41"/>
  <c r="J87" i="41"/>
  <c r="S86" i="41"/>
  <c r="R86" i="41"/>
  <c r="Q86" i="41"/>
  <c r="P86" i="41"/>
  <c r="O86" i="41"/>
  <c r="N86" i="41"/>
  <c r="M86" i="41"/>
  <c r="L86" i="41"/>
  <c r="K86" i="41"/>
  <c r="J86" i="41"/>
  <c r="S85" i="41"/>
  <c r="R85" i="41"/>
  <c r="Q85" i="41"/>
  <c r="P85" i="41"/>
  <c r="O85" i="41"/>
  <c r="N85" i="41"/>
  <c r="M85" i="41"/>
  <c r="L85" i="41"/>
  <c r="K85" i="41"/>
  <c r="J85" i="41"/>
  <c r="S84" i="41"/>
  <c r="R84" i="41"/>
  <c r="Q84" i="41"/>
  <c r="P84" i="41"/>
  <c r="O84" i="41"/>
  <c r="N84" i="41"/>
  <c r="M84" i="41"/>
  <c r="L84" i="41"/>
  <c r="K84" i="41"/>
  <c r="J84" i="41"/>
  <c r="S83" i="41"/>
  <c r="R83" i="41"/>
  <c r="Q83" i="41"/>
  <c r="P83" i="41"/>
  <c r="O83" i="41"/>
  <c r="N83" i="41"/>
  <c r="M83" i="41"/>
  <c r="L83" i="41"/>
  <c r="K83" i="41"/>
  <c r="J83" i="41"/>
  <c r="S82" i="41"/>
  <c r="R82" i="41"/>
  <c r="Q82" i="41"/>
  <c r="P82" i="41"/>
  <c r="O82" i="41"/>
  <c r="N82" i="41"/>
  <c r="M82" i="41"/>
  <c r="L82" i="41"/>
  <c r="K82" i="41"/>
  <c r="J82" i="41"/>
  <c r="S81" i="41"/>
  <c r="R81" i="41"/>
  <c r="Q81" i="41"/>
  <c r="P81" i="41"/>
  <c r="O81" i="41"/>
  <c r="N81" i="41"/>
  <c r="M81" i="41"/>
  <c r="L81" i="41"/>
  <c r="K81" i="41"/>
  <c r="J81" i="41"/>
  <c r="S80" i="41"/>
  <c r="R80" i="41"/>
  <c r="Q80" i="41"/>
  <c r="P80" i="41"/>
  <c r="O80" i="41"/>
  <c r="N80" i="41"/>
  <c r="M80" i="41"/>
  <c r="L80" i="41"/>
  <c r="K80" i="41"/>
  <c r="J80" i="41"/>
  <c r="S79" i="41"/>
  <c r="R79" i="41"/>
  <c r="Q79" i="41"/>
  <c r="P79" i="41"/>
  <c r="O79" i="41"/>
  <c r="N79" i="41"/>
  <c r="M79" i="41"/>
  <c r="L79" i="41"/>
  <c r="K79" i="41"/>
  <c r="J79" i="41"/>
  <c r="S78" i="41"/>
  <c r="R78" i="41"/>
  <c r="Q78" i="41"/>
  <c r="P78" i="41"/>
  <c r="O78" i="41"/>
  <c r="N78" i="41"/>
  <c r="M78" i="41"/>
  <c r="L78" i="41"/>
  <c r="K78" i="41"/>
  <c r="J78" i="41"/>
  <c r="S77" i="41"/>
  <c r="R77" i="41"/>
  <c r="Q77" i="41"/>
  <c r="P77" i="41"/>
  <c r="O77" i="41"/>
  <c r="N77" i="41"/>
  <c r="M77" i="41"/>
  <c r="L77" i="41"/>
  <c r="K77" i="41"/>
  <c r="J77" i="41"/>
  <c r="S76" i="41"/>
  <c r="R76" i="41"/>
  <c r="Q76" i="41"/>
  <c r="P76" i="41"/>
  <c r="O76" i="41"/>
  <c r="N76" i="41"/>
  <c r="M76" i="41"/>
  <c r="L76" i="41"/>
  <c r="K76" i="41"/>
  <c r="J76" i="41"/>
  <c r="S75" i="41"/>
  <c r="R75" i="41"/>
  <c r="Q75" i="41"/>
  <c r="P75" i="41"/>
  <c r="O75" i="41"/>
  <c r="N75" i="41"/>
  <c r="M75" i="41"/>
  <c r="L75" i="41"/>
  <c r="K75" i="41"/>
  <c r="J75" i="41"/>
  <c r="S74" i="41"/>
  <c r="R74" i="41"/>
  <c r="Q74" i="41"/>
  <c r="P74" i="41"/>
  <c r="O74" i="41"/>
  <c r="N74" i="41"/>
  <c r="M74" i="41"/>
  <c r="L74" i="41"/>
  <c r="K74" i="41"/>
  <c r="J74" i="41"/>
  <c r="S73" i="41"/>
  <c r="R73" i="41"/>
  <c r="Q73" i="41"/>
  <c r="P73" i="41"/>
  <c r="O73" i="41"/>
  <c r="N73" i="41"/>
  <c r="M73" i="41"/>
  <c r="L73" i="41"/>
  <c r="K73" i="41"/>
  <c r="J73" i="41"/>
  <c r="S72" i="41"/>
  <c r="R72" i="41"/>
  <c r="Q72" i="41"/>
  <c r="P72" i="41"/>
  <c r="O72" i="41"/>
  <c r="N72" i="41"/>
  <c r="M72" i="41"/>
  <c r="L72" i="41"/>
  <c r="K72" i="41"/>
  <c r="J72" i="41"/>
  <c r="S71" i="41"/>
  <c r="R71" i="41"/>
  <c r="Q71" i="41"/>
  <c r="P71" i="41"/>
  <c r="O71" i="41"/>
  <c r="N71" i="41"/>
  <c r="M71" i="41"/>
  <c r="L71" i="41"/>
  <c r="K71" i="41"/>
  <c r="J71" i="41"/>
  <c r="S70" i="41"/>
  <c r="R70" i="41"/>
  <c r="Q70" i="41"/>
  <c r="P70" i="41"/>
  <c r="O70" i="41"/>
  <c r="N70" i="41"/>
  <c r="M70" i="41"/>
  <c r="L70" i="41"/>
  <c r="K70" i="41"/>
  <c r="J70" i="41"/>
  <c r="S69" i="41"/>
  <c r="R69" i="41"/>
  <c r="Q69" i="41"/>
  <c r="P69" i="41"/>
  <c r="O69" i="41"/>
  <c r="N69" i="41"/>
  <c r="M69" i="41"/>
  <c r="L69" i="41"/>
  <c r="K69" i="41"/>
  <c r="J69" i="41"/>
  <c r="S68" i="41"/>
  <c r="R68" i="41"/>
  <c r="Q68" i="41"/>
  <c r="P68" i="41"/>
  <c r="O68" i="41"/>
  <c r="N68" i="41"/>
  <c r="M68" i="41"/>
  <c r="L68" i="41"/>
  <c r="K68" i="41"/>
  <c r="J68" i="41"/>
  <c r="S67" i="41"/>
  <c r="R67" i="41"/>
  <c r="Q67" i="41"/>
  <c r="P67" i="41"/>
  <c r="O67" i="41"/>
  <c r="N67" i="41"/>
  <c r="M67" i="41"/>
  <c r="L67" i="41"/>
  <c r="K67" i="41"/>
  <c r="J67" i="41"/>
  <c r="S66" i="41"/>
  <c r="R66" i="41"/>
  <c r="Q66" i="41"/>
  <c r="P66" i="41"/>
  <c r="O66" i="41"/>
  <c r="N66" i="41"/>
  <c r="M66" i="41"/>
  <c r="L66" i="41"/>
  <c r="K66" i="41"/>
  <c r="J66" i="41"/>
  <c r="S65" i="41"/>
  <c r="R65" i="41"/>
  <c r="Q65" i="41"/>
  <c r="P65" i="41"/>
  <c r="O65" i="41"/>
  <c r="N65" i="41"/>
  <c r="M65" i="41"/>
  <c r="L65" i="41"/>
  <c r="K65" i="41"/>
  <c r="J65" i="41"/>
  <c r="S64" i="41"/>
  <c r="R64" i="41"/>
  <c r="Q64" i="41"/>
  <c r="P64" i="41"/>
  <c r="O64" i="41"/>
  <c r="N64" i="41"/>
  <c r="M64" i="41"/>
  <c r="L64" i="41"/>
  <c r="K64" i="41"/>
  <c r="J64" i="41"/>
  <c r="S63" i="41"/>
  <c r="R63" i="41"/>
  <c r="Q63" i="41"/>
  <c r="P63" i="41"/>
  <c r="O63" i="41"/>
  <c r="N63" i="41"/>
  <c r="M63" i="41"/>
  <c r="L63" i="41"/>
  <c r="K63" i="41"/>
  <c r="J63" i="41"/>
  <c r="S62" i="41"/>
  <c r="R62" i="41"/>
  <c r="Q62" i="41"/>
  <c r="P62" i="41"/>
  <c r="O62" i="41"/>
  <c r="N62" i="41"/>
  <c r="M62" i="41"/>
  <c r="L62" i="41"/>
  <c r="K62" i="41"/>
  <c r="J62" i="41"/>
  <c r="S61" i="41"/>
  <c r="R61" i="41"/>
  <c r="Q61" i="41"/>
  <c r="P61" i="41"/>
  <c r="O61" i="41"/>
  <c r="N61" i="41"/>
  <c r="M61" i="41"/>
  <c r="L61" i="41"/>
  <c r="K61" i="41"/>
  <c r="J61" i="41"/>
  <c r="S60" i="41"/>
  <c r="R60" i="41"/>
  <c r="Q60" i="41"/>
  <c r="P60" i="41"/>
  <c r="O60" i="41"/>
  <c r="N60" i="41"/>
  <c r="M60" i="41"/>
  <c r="L60" i="41"/>
  <c r="K60" i="41"/>
  <c r="J60" i="41"/>
  <c r="S59" i="41"/>
  <c r="R59" i="41"/>
  <c r="Q59" i="41"/>
  <c r="P59" i="41"/>
  <c r="O59" i="41"/>
  <c r="N59" i="41"/>
  <c r="M59" i="41"/>
  <c r="L59" i="41"/>
  <c r="K59" i="41"/>
  <c r="J59" i="41"/>
  <c r="S58" i="41"/>
  <c r="R58" i="41"/>
  <c r="Q58" i="41"/>
  <c r="P58" i="41"/>
  <c r="O58" i="41"/>
  <c r="N58" i="41"/>
  <c r="M58" i="41"/>
  <c r="L58" i="41"/>
  <c r="K58" i="41"/>
  <c r="J58" i="41"/>
  <c r="S57" i="41"/>
  <c r="R57" i="41"/>
  <c r="Q57" i="41"/>
  <c r="P57" i="41"/>
  <c r="O57" i="41"/>
  <c r="N57" i="41"/>
  <c r="M57" i="41"/>
  <c r="L57" i="41"/>
  <c r="K57" i="41"/>
  <c r="J57" i="41"/>
  <c r="S56" i="41"/>
  <c r="R56" i="41"/>
  <c r="Q56" i="41"/>
  <c r="P56" i="41"/>
  <c r="O56" i="41"/>
  <c r="N56" i="41"/>
  <c r="M56" i="41"/>
  <c r="L56" i="41"/>
  <c r="K56" i="41"/>
  <c r="J56" i="41"/>
  <c r="S55" i="41"/>
  <c r="R55" i="41"/>
  <c r="Q55" i="41"/>
  <c r="P55" i="41"/>
  <c r="O55" i="41"/>
  <c r="N55" i="41"/>
  <c r="M55" i="41"/>
  <c r="L55" i="41"/>
  <c r="K55" i="41"/>
  <c r="J55" i="41"/>
  <c r="S54" i="41"/>
  <c r="R54" i="41"/>
  <c r="Q54" i="41"/>
  <c r="P54" i="41"/>
  <c r="O54" i="41"/>
  <c r="N54" i="41"/>
  <c r="M54" i="41"/>
  <c r="L54" i="41"/>
  <c r="K54" i="41"/>
  <c r="J54" i="41"/>
  <c r="S53" i="41"/>
  <c r="R53" i="41"/>
  <c r="Q53" i="41"/>
  <c r="P53" i="41"/>
  <c r="O53" i="41"/>
  <c r="N53" i="41"/>
  <c r="M53" i="41"/>
  <c r="L53" i="41"/>
  <c r="K53" i="41"/>
  <c r="J53" i="41"/>
  <c r="S52" i="41"/>
  <c r="R52" i="41"/>
  <c r="Q52" i="41"/>
  <c r="P52" i="41"/>
  <c r="O52" i="41"/>
  <c r="N52" i="41"/>
  <c r="M52" i="41"/>
  <c r="L52" i="41"/>
  <c r="K52" i="41"/>
  <c r="J52" i="41"/>
  <c r="S51" i="41"/>
  <c r="R51" i="41"/>
  <c r="Q51" i="41"/>
  <c r="P51" i="41"/>
  <c r="O51" i="41"/>
  <c r="N51" i="41"/>
  <c r="M51" i="41"/>
  <c r="L51" i="41"/>
  <c r="K51" i="41"/>
  <c r="J51" i="41"/>
  <c r="S50" i="41"/>
  <c r="R50" i="41"/>
  <c r="Q50" i="41"/>
  <c r="P50" i="41"/>
  <c r="O50" i="41"/>
  <c r="N50" i="41"/>
  <c r="M50" i="41"/>
  <c r="L50" i="41"/>
  <c r="K50" i="41"/>
  <c r="J50" i="41"/>
  <c r="S49" i="41"/>
  <c r="R49" i="41"/>
  <c r="Q49" i="41"/>
  <c r="P49" i="41"/>
  <c r="O49" i="41"/>
  <c r="N49" i="41"/>
  <c r="M49" i="41"/>
  <c r="L49" i="41"/>
  <c r="K49" i="41"/>
  <c r="J49" i="41"/>
  <c r="S48" i="41"/>
  <c r="R48" i="41"/>
  <c r="Q48" i="41"/>
  <c r="P48" i="41"/>
  <c r="O48" i="41"/>
  <c r="N48" i="41"/>
  <c r="M48" i="41"/>
  <c r="L48" i="41"/>
  <c r="K48" i="41"/>
  <c r="J48" i="41"/>
  <c r="S47" i="41"/>
  <c r="R47" i="41"/>
  <c r="Q47" i="41"/>
  <c r="P47" i="41"/>
  <c r="O47" i="41"/>
  <c r="N47" i="41"/>
  <c r="M47" i="41"/>
  <c r="L47" i="41"/>
  <c r="K47" i="41"/>
  <c r="J47" i="41"/>
  <c r="S46" i="41"/>
  <c r="R46" i="41"/>
  <c r="Q46" i="41"/>
  <c r="P46" i="41"/>
  <c r="O46" i="41"/>
  <c r="N46" i="41"/>
  <c r="M46" i="41"/>
  <c r="L46" i="41"/>
  <c r="K46" i="41"/>
  <c r="J46" i="41"/>
  <c r="S45" i="41"/>
  <c r="R45" i="41"/>
  <c r="Q45" i="41"/>
  <c r="P45" i="41"/>
  <c r="O45" i="41"/>
  <c r="N45" i="41"/>
  <c r="M45" i="41"/>
  <c r="L45" i="41"/>
  <c r="K45" i="41"/>
  <c r="J45" i="41"/>
  <c r="S44" i="41"/>
  <c r="R44" i="41"/>
  <c r="Q44" i="41"/>
  <c r="P44" i="41"/>
  <c r="O44" i="41"/>
  <c r="N44" i="41"/>
  <c r="M44" i="41"/>
  <c r="L44" i="41"/>
  <c r="K44" i="41"/>
  <c r="J44" i="41"/>
  <c r="S43" i="41"/>
  <c r="R43" i="41"/>
  <c r="Q43" i="41"/>
  <c r="P43" i="41"/>
  <c r="O43" i="41"/>
  <c r="N43" i="41"/>
  <c r="M43" i="41"/>
  <c r="L43" i="41"/>
  <c r="K43" i="41"/>
  <c r="J43" i="41"/>
  <c r="S42" i="41"/>
  <c r="R42" i="41"/>
  <c r="Q42" i="41"/>
  <c r="P42" i="41"/>
  <c r="O42" i="41"/>
  <c r="N42" i="41"/>
  <c r="M42" i="41"/>
  <c r="L42" i="41"/>
  <c r="K42" i="41"/>
  <c r="J42" i="41"/>
  <c r="S41" i="41"/>
  <c r="R41" i="41"/>
  <c r="Q41" i="41"/>
  <c r="P41" i="41"/>
  <c r="O41" i="41"/>
  <c r="N41" i="41"/>
  <c r="M41" i="41"/>
  <c r="L41" i="41"/>
  <c r="K41" i="41"/>
  <c r="J41" i="41"/>
  <c r="S40" i="41"/>
  <c r="R40" i="41"/>
  <c r="N40" i="41"/>
  <c r="M40" i="41"/>
  <c r="L40" i="41"/>
  <c r="K40" i="41"/>
  <c r="J40" i="41"/>
  <c r="S39" i="41"/>
  <c r="R39" i="41"/>
  <c r="N39" i="41"/>
  <c r="M39" i="41"/>
  <c r="L39" i="41"/>
  <c r="K39" i="41"/>
  <c r="J39" i="41"/>
  <c r="S38" i="41"/>
  <c r="R38" i="41"/>
  <c r="N38" i="41"/>
  <c r="M38" i="41"/>
  <c r="L38" i="41"/>
  <c r="K38" i="41"/>
  <c r="J38" i="41"/>
  <c r="S37" i="41"/>
  <c r="R37" i="41"/>
  <c r="N37" i="41"/>
  <c r="M37" i="41"/>
  <c r="L37" i="41"/>
  <c r="K37" i="41"/>
  <c r="J37" i="41"/>
  <c r="S36" i="41"/>
  <c r="R36" i="41"/>
  <c r="N36" i="41"/>
  <c r="M36" i="41"/>
  <c r="L36" i="41"/>
  <c r="K36" i="41"/>
  <c r="J36" i="41"/>
  <c r="S35" i="41"/>
  <c r="R35" i="41"/>
  <c r="N35" i="41"/>
  <c r="M35" i="41"/>
  <c r="L35" i="41"/>
  <c r="K35" i="41"/>
  <c r="J35" i="41"/>
  <c r="S34" i="41"/>
  <c r="R34" i="41"/>
  <c r="N34" i="41"/>
  <c r="M34" i="41"/>
  <c r="L34" i="41"/>
  <c r="K34" i="41"/>
  <c r="J34" i="41"/>
  <c r="S33" i="41"/>
  <c r="R33" i="41"/>
  <c r="N33" i="41"/>
  <c r="M33" i="41"/>
  <c r="L33" i="41"/>
  <c r="K33" i="41"/>
  <c r="J33" i="41"/>
  <c r="S32" i="41"/>
  <c r="R32" i="41"/>
  <c r="N32" i="41"/>
  <c r="M32" i="41"/>
  <c r="L32" i="41"/>
  <c r="K32" i="41"/>
  <c r="J32" i="41"/>
  <c r="S31" i="41"/>
  <c r="R31" i="41"/>
  <c r="N31" i="41"/>
  <c r="M31" i="41"/>
  <c r="L31" i="41"/>
  <c r="K31" i="41"/>
  <c r="J31" i="41"/>
  <c r="S30" i="41"/>
  <c r="R30" i="41"/>
  <c r="N30" i="41"/>
  <c r="M30" i="41"/>
  <c r="L30" i="41"/>
  <c r="K30" i="41"/>
  <c r="J30" i="41"/>
  <c r="S29" i="41"/>
  <c r="R29" i="41"/>
  <c r="N29" i="41"/>
  <c r="M29" i="41"/>
  <c r="L29" i="41"/>
  <c r="K29" i="41"/>
  <c r="J29" i="41"/>
  <c r="S28" i="41"/>
  <c r="R28" i="41"/>
  <c r="N28" i="41"/>
  <c r="M28" i="41"/>
  <c r="L28" i="41"/>
  <c r="K28" i="41"/>
  <c r="J28" i="41"/>
  <c r="S27" i="41"/>
  <c r="R27" i="41"/>
  <c r="N27" i="41"/>
  <c r="M27" i="41"/>
  <c r="L27" i="41"/>
  <c r="K27" i="41"/>
  <c r="J27" i="41"/>
  <c r="S26" i="41"/>
  <c r="R26" i="41"/>
  <c r="N26" i="41"/>
  <c r="M26" i="41"/>
  <c r="L26" i="41"/>
  <c r="K26" i="41"/>
  <c r="J26" i="41"/>
  <c r="S25" i="41"/>
  <c r="R25" i="41"/>
  <c r="N25" i="41"/>
  <c r="M25" i="41"/>
  <c r="L25" i="41"/>
  <c r="K25" i="41"/>
  <c r="J25" i="41"/>
  <c r="S24" i="41"/>
  <c r="R24" i="41"/>
  <c r="N24" i="41"/>
  <c r="M24" i="41"/>
  <c r="L24" i="41"/>
  <c r="K24" i="41"/>
  <c r="J24" i="41"/>
  <c r="S23" i="41"/>
  <c r="R23" i="41"/>
  <c r="N23" i="41"/>
  <c r="M23" i="41"/>
  <c r="L23" i="41"/>
  <c r="K23" i="41"/>
  <c r="J23" i="41"/>
  <c r="S22" i="41"/>
  <c r="R22" i="41"/>
  <c r="N22" i="41"/>
  <c r="M22" i="41"/>
  <c r="L22" i="41"/>
  <c r="K22" i="41"/>
  <c r="J22" i="41"/>
  <c r="S21" i="41"/>
  <c r="R21" i="41"/>
  <c r="N21" i="41"/>
  <c r="M21" i="41"/>
  <c r="L21" i="41"/>
  <c r="K21" i="41"/>
  <c r="J21" i="41"/>
  <c r="S20" i="41"/>
  <c r="R20" i="41"/>
  <c r="N20" i="41"/>
  <c r="M20" i="41"/>
  <c r="L20" i="41"/>
  <c r="K20" i="41"/>
  <c r="J20" i="41"/>
  <c r="S19" i="41"/>
  <c r="R19" i="41"/>
  <c r="N19" i="41"/>
  <c r="M19" i="41"/>
  <c r="L19" i="41"/>
  <c r="K19" i="41"/>
  <c r="J19" i="41"/>
  <c r="S18" i="41"/>
  <c r="R18" i="41"/>
  <c r="N18" i="41"/>
  <c r="M18" i="41"/>
  <c r="L18" i="41"/>
  <c r="K18" i="41"/>
  <c r="J18" i="41"/>
  <c r="S17" i="41"/>
  <c r="R17" i="41"/>
  <c r="N17" i="41"/>
  <c r="M17" i="41"/>
  <c r="L17" i="41"/>
  <c r="K17" i="41"/>
  <c r="J17" i="41"/>
  <c r="S16" i="41"/>
  <c r="R16" i="41"/>
  <c r="N16" i="41"/>
  <c r="M16" i="41"/>
  <c r="L16" i="41"/>
  <c r="K16" i="41"/>
  <c r="J16" i="41"/>
  <c r="S15" i="41"/>
  <c r="R15" i="41"/>
  <c r="N15" i="41"/>
  <c r="M15" i="41"/>
  <c r="L15" i="41"/>
  <c r="K15" i="41"/>
  <c r="J15" i="41"/>
  <c r="S14" i="41"/>
  <c r="R14" i="41"/>
  <c r="N14" i="41"/>
  <c r="M14" i="41"/>
  <c r="L14" i="41"/>
  <c r="K14" i="41"/>
  <c r="J14" i="41"/>
  <c r="S13" i="41"/>
  <c r="R13" i="41"/>
  <c r="N13" i="41"/>
  <c r="M13" i="41"/>
  <c r="L13" i="41"/>
  <c r="K13" i="41"/>
  <c r="J13" i="41"/>
  <c r="S12" i="41"/>
  <c r="R12" i="41"/>
  <c r="N12" i="41"/>
  <c r="M12" i="41"/>
  <c r="L12" i="41"/>
  <c r="K12" i="41"/>
  <c r="J12" i="41"/>
  <c r="S11" i="41"/>
  <c r="R11" i="41"/>
  <c r="N11" i="41"/>
  <c r="M11" i="41"/>
  <c r="L11" i="41"/>
  <c r="K11" i="41"/>
  <c r="J11" i="41"/>
  <c r="S10" i="41"/>
  <c r="R10" i="41"/>
  <c r="N10" i="41"/>
  <c r="M10" i="41"/>
  <c r="L10" i="41"/>
  <c r="K10" i="41"/>
  <c r="J10" i="41"/>
  <c r="S9" i="41"/>
  <c r="R9" i="41"/>
  <c r="N9" i="41"/>
  <c r="M9" i="41"/>
  <c r="L9" i="41"/>
  <c r="K9" i="41"/>
  <c r="J9" i="41"/>
  <c r="S8" i="41"/>
  <c r="R8" i="41"/>
  <c r="N8" i="41"/>
  <c r="M8" i="41"/>
  <c r="L8" i="41"/>
  <c r="K8" i="41"/>
  <c r="J8" i="41"/>
  <c r="S7" i="41"/>
  <c r="R7" i="41"/>
  <c r="N7" i="41"/>
  <c r="M7" i="41"/>
  <c r="L7" i="41"/>
  <c r="K7" i="41"/>
  <c r="J7" i="41"/>
  <c r="S6" i="41"/>
  <c r="R6" i="41"/>
  <c r="N6" i="41"/>
  <c r="M6" i="41"/>
  <c r="L6" i="41"/>
  <c r="K6" i="41"/>
  <c r="J6" i="41"/>
  <c r="S5" i="41"/>
  <c r="R5" i="41"/>
  <c r="N5" i="41"/>
  <c r="M5" i="41"/>
  <c r="L5" i="41"/>
  <c r="K5" i="41"/>
  <c r="J5" i="41"/>
  <c r="S4" i="41"/>
  <c r="R4" i="41"/>
  <c r="N4" i="41"/>
  <c r="M4" i="41"/>
  <c r="L4" i="41"/>
  <c r="K4" i="41"/>
  <c r="J4" i="41"/>
  <c r="S3" i="41"/>
  <c r="R3" i="41"/>
  <c r="N3" i="41"/>
  <c r="M3" i="41"/>
  <c r="L3" i="41"/>
  <c r="K3" i="41"/>
  <c r="J3" i="41"/>
  <c r="S2" i="41"/>
  <c r="R2" i="41"/>
  <c r="Q2" i="41"/>
  <c r="M2" i="41"/>
  <c r="L2" i="41"/>
  <c r="K2" i="41"/>
  <c r="J2" i="41"/>
</calcChain>
</file>

<file path=xl/sharedStrings.xml><?xml version="1.0" encoding="utf-8"?>
<sst xmlns="http://schemas.openxmlformats.org/spreadsheetml/2006/main" count="94452" uniqueCount="1114">
  <si>
    <t>11.1.01.1241</t>
  </si>
  <si>
    <t>11.2.01.0038</t>
  </si>
  <si>
    <t>11.1.01.0893</t>
  </si>
  <si>
    <t>11.1.01.0941</t>
  </si>
  <si>
    <t>11.1.01.1022</t>
  </si>
  <si>
    <t>11.1.01.0791</t>
  </si>
  <si>
    <t>11.1.01.1240</t>
  </si>
  <si>
    <t>11.1.02.0004</t>
  </si>
  <si>
    <t>11.2.01.0053</t>
  </si>
  <si>
    <t>11.1.01.0870</t>
  </si>
  <si>
    <t>11.1.01.0789</t>
  </si>
  <si>
    <t>SI</t>
  </si>
  <si>
    <t>ANGUS NEGRO</t>
  </si>
  <si>
    <t>TERNERO</t>
  </si>
  <si>
    <t>25-11-2023</t>
  </si>
  <si>
    <t>TERNERA</t>
  </si>
  <si>
    <t>05-11-2023</t>
  </si>
  <si>
    <t>05-12-2023</t>
  </si>
  <si>
    <t>ANGUS ROJO</t>
  </si>
  <si>
    <t>20-11-2023</t>
  </si>
  <si>
    <t>01-10-2023</t>
  </si>
  <si>
    <t>01-11-2023</t>
  </si>
  <si>
    <t>15-11-2023</t>
  </si>
  <si>
    <t>30-11-2023</t>
  </si>
  <si>
    <t>OVERO COLORADO (CLAVEL ALEMAN)</t>
  </si>
  <si>
    <t>15-10-2023</t>
  </si>
  <si>
    <t>VACA</t>
  </si>
  <si>
    <t>20-09-2018</t>
  </si>
  <si>
    <t>15-10-2020</t>
  </si>
  <si>
    <t>20-10-2018</t>
  </si>
  <si>
    <t>21-10-2020</t>
  </si>
  <si>
    <t>10-09-2018</t>
  </si>
  <si>
    <t>15-10-2018</t>
  </si>
  <si>
    <t>TORO</t>
  </si>
  <si>
    <t>15-12-2019</t>
  </si>
  <si>
    <t>30-10-2020</t>
  </si>
  <si>
    <t>15-10-2015</t>
  </si>
  <si>
    <t>31-10-2018</t>
  </si>
  <si>
    <t>BUEY</t>
  </si>
  <si>
    <t>15-10-2017</t>
  </si>
  <si>
    <t>24-09-2016</t>
  </si>
  <si>
    <t>15-10-2016</t>
  </si>
  <si>
    <t>30-10-2015</t>
  </si>
  <si>
    <t>20-02-2019</t>
  </si>
  <si>
    <t>29-09-2018</t>
  </si>
  <si>
    <t>30-09-2018</t>
  </si>
  <si>
    <t>10-04-2019</t>
  </si>
  <si>
    <t>30-10-2018</t>
  </si>
  <si>
    <t>20-11-2018</t>
  </si>
  <si>
    <t>15-09-2018</t>
  </si>
  <si>
    <t>05-11-2018</t>
  </si>
  <si>
    <t>30-08-2018</t>
  </si>
  <si>
    <t>10-10-2018</t>
  </si>
  <si>
    <t>07-10-2017</t>
  </si>
  <si>
    <t>30-09-2014</t>
  </si>
  <si>
    <t>30-10-2019</t>
  </si>
  <si>
    <t>05-10-2019</t>
  </si>
  <si>
    <t>10-10-2019</t>
  </si>
  <si>
    <t>30-09-2019</t>
  </si>
  <si>
    <t>20-09-2019</t>
  </si>
  <si>
    <t>01-10-2019</t>
  </si>
  <si>
    <t>12-09-2018</t>
  </si>
  <si>
    <t>30-12-2013</t>
  </si>
  <si>
    <t>10-10-2015</t>
  </si>
  <si>
    <t>30-09-2017</t>
  </si>
  <si>
    <t>20-10-2017</t>
  </si>
  <si>
    <t>07-11-2017</t>
  </si>
  <si>
    <t>28-09-2017</t>
  </si>
  <si>
    <t>30-11-2016</t>
  </si>
  <si>
    <t>10-09-2015</t>
  </si>
  <si>
    <t>30-09-2015</t>
  </si>
  <si>
    <t>15-11-2014</t>
  </si>
  <si>
    <t>30-10-2014</t>
  </si>
  <si>
    <t>30-11-2014</t>
  </si>
  <si>
    <t>30-12-2015</t>
  </si>
  <si>
    <t>30-09-2010</t>
  </si>
  <si>
    <t>11.1.01.0831</t>
  </si>
  <si>
    <t>11.1.01.0932</t>
  </si>
  <si>
    <t>11.1.01.1014</t>
  </si>
  <si>
    <t>HEREFORD</t>
  </si>
  <si>
    <t>31-12-2023</t>
  </si>
  <si>
    <t>30-10-2023</t>
  </si>
  <si>
    <t>05-10-2023</t>
  </si>
  <si>
    <t>11-12-2023</t>
  </si>
  <si>
    <t>HIBRIDO</t>
  </si>
  <si>
    <t>30-09-2023</t>
  </si>
  <si>
    <t>VAQUILLA</t>
  </si>
  <si>
    <t>30-11-2022</t>
  </si>
  <si>
    <t>10-10-2022</t>
  </si>
  <si>
    <t>NOVILLO</t>
  </si>
  <si>
    <t>30-03-2015</t>
  </si>
  <si>
    <t>15-10-2014</t>
  </si>
  <si>
    <t>15-12-2021</t>
  </si>
  <si>
    <t>07-12-2021</t>
  </si>
  <si>
    <t>24-12-2021</t>
  </si>
  <si>
    <t>05-10-2021</t>
  </si>
  <si>
    <t>11-10-2021</t>
  </si>
  <si>
    <t>30-09-2021</t>
  </si>
  <si>
    <t>10-09-2021</t>
  </si>
  <si>
    <t>18-10-2021</t>
  </si>
  <si>
    <t>19-09-2021</t>
  </si>
  <si>
    <t>20-09-2021</t>
  </si>
  <si>
    <t>POLLED HEREFORD</t>
  </si>
  <si>
    <t>30-09-2020</t>
  </si>
  <si>
    <t>24-09-2017</t>
  </si>
  <si>
    <t>10-10-2013</t>
  </si>
  <si>
    <t>10-10-2020</t>
  </si>
  <si>
    <t>05-10-2020</t>
  </si>
  <si>
    <t>10-11-2018</t>
  </si>
  <si>
    <t>LIMOUSIN</t>
  </si>
  <si>
    <t>30-10-2013</t>
  </si>
  <si>
    <t>30-09-2009</t>
  </si>
  <si>
    <t>15-11-2019</t>
  </si>
  <si>
    <t>30-12-2018</t>
  </si>
  <si>
    <t>25-09-2019</t>
  </si>
  <si>
    <t>05-12-2021</t>
  </si>
  <si>
    <t>15-09-2019</t>
  </si>
  <si>
    <t>07-11-2020</t>
  </si>
  <si>
    <t>11-03-2017</t>
  </si>
  <si>
    <t>30-10-2017</t>
  </si>
  <si>
    <t>20-09-2017</t>
  </si>
  <si>
    <t>10-11-2017</t>
  </si>
  <si>
    <t>10-10-2017</t>
  </si>
  <si>
    <t>20-12-2016</t>
  </si>
  <si>
    <t>30-12-2016</t>
  </si>
  <si>
    <t>OVERO NEGRO</t>
  </si>
  <si>
    <t>30-01-2017</t>
  </si>
  <si>
    <t>18-12-2016</t>
  </si>
  <si>
    <t>20-02-2017</t>
  </si>
  <si>
    <t>10-01-2017</t>
  </si>
  <si>
    <t>02-01-2017</t>
  </si>
  <si>
    <t>10-12-2016</t>
  </si>
  <si>
    <t>15-01-2017</t>
  </si>
  <si>
    <t>25-12-2016</t>
  </si>
  <si>
    <t>15-09-2015</t>
  </si>
  <si>
    <t>30-08-2014</t>
  </si>
  <si>
    <t>30-01-2014</t>
  </si>
  <si>
    <t>15-10-2013</t>
  </si>
  <si>
    <t>25-10-2014</t>
  </si>
  <si>
    <t>20-10-2013</t>
  </si>
  <si>
    <t>30-01-2013</t>
  </si>
  <si>
    <t>30-10-2012</t>
  </si>
  <si>
    <t>30-09-2012</t>
  </si>
  <si>
    <t>CLAVEL CHILENO</t>
  </si>
  <si>
    <t>15-11-2013</t>
  </si>
  <si>
    <t>30-11-2011</t>
  </si>
  <si>
    <t>30-12-2010</t>
  </si>
  <si>
    <t>13-09-2018</t>
  </si>
  <si>
    <t>30-11-2007</t>
  </si>
  <si>
    <t>30-09-2007</t>
  </si>
  <si>
    <t>11.1.01.1077</t>
  </si>
  <si>
    <t>11.1.01.1081</t>
  </si>
  <si>
    <t>11.1.01.1125</t>
  </si>
  <si>
    <t>11.1.01.1187</t>
  </si>
  <si>
    <t>20-10-2022</t>
  </si>
  <si>
    <t>30-09-2022</t>
  </si>
  <si>
    <t>15-12-2022</t>
  </si>
  <si>
    <t>15-11-2022</t>
  </si>
  <si>
    <t>05-11-2022</t>
  </si>
  <si>
    <t>30-10-2022</t>
  </si>
  <si>
    <t>05-10-2022</t>
  </si>
  <si>
    <t>25-10-2022</t>
  </si>
  <si>
    <t>20-09-2022</t>
  </si>
  <si>
    <t>11-09-2022</t>
  </si>
  <si>
    <t>02-10-2022</t>
  </si>
  <si>
    <t>15-03-2008</t>
  </si>
  <si>
    <t>30-10-2006</t>
  </si>
  <si>
    <t>15-10-2012</t>
  </si>
  <si>
    <t>30-08-2017</t>
  </si>
  <si>
    <t>25-12-2023</t>
  </si>
  <si>
    <t>18-12-2023</t>
  </si>
  <si>
    <t>10-12-2023</t>
  </si>
  <si>
    <t>15-12-2023</t>
  </si>
  <si>
    <t>09-12-2023</t>
  </si>
  <si>
    <t>01-12-2023</t>
  </si>
  <si>
    <t>10-11-2023</t>
  </si>
  <si>
    <t>22-07-2022</t>
  </si>
  <si>
    <t>04-09-2022</t>
  </si>
  <si>
    <t>30-01-2023</t>
  </si>
  <si>
    <t>12-11-2018</t>
  </si>
  <si>
    <t>30-10-2011</t>
  </si>
  <si>
    <t>30-01-2011</t>
  </si>
  <si>
    <t>30-11-2021</t>
  </si>
  <si>
    <t>20-11-2021</t>
  </si>
  <si>
    <t>20-10-2021</t>
  </si>
  <si>
    <t>25-10-2021</t>
  </si>
  <si>
    <t>22-10-2021</t>
  </si>
  <si>
    <t>27-10-2021</t>
  </si>
  <si>
    <t>11-09-2021</t>
  </si>
  <si>
    <t>15-10-2021</t>
  </si>
  <si>
    <t>10-10-2021</t>
  </si>
  <si>
    <t>15-09-2021</t>
  </si>
  <si>
    <t>15-09-2020</t>
  </si>
  <si>
    <t>20-10-2020</t>
  </si>
  <si>
    <t>10-11-2020</t>
  </si>
  <si>
    <t>30-11-2020</t>
  </si>
  <si>
    <t>05-11-2020</t>
  </si>
  <si>
    <t>11-09-2020</t>
  </si>
  <si>
    <t>10-10-2012</t>
  </si>
  <si>
    <t>28-11-2012</t>
  </si>
  <si>
    <t>25-10-2020</t>
  </si>
  <si>
    <t>25-09-2020</t>
  </si>
  <si>
    <t>20-09-2020</t>
  </si>
  <si>
    <t>28-01-2013</t>
  </si>
  <si>
    <t>28-02-2014</t>
  </si>
  <si>
    <t>22-10-2020</t>
  </si>
  <si>
    <t>30-08-2009</t>
  </si>
  <si>
    <t>30-08-2010</t>
  </si>
  <si>
    <t>20-05-2011</t>
  </si>
  <si>
    <t>18-10-2020</t>
  </si>
  <si>
    <t>20-10-2019</t>
  </si>
  <si>
    <t>10-10-2016</t>
  </si>
  <si>
    <t>15-10-2009</t>
  </si>
  <si>
    <t>15-10-2010</t>
  </si>
  <si>
    <t>30-11-2013</t>
  </si>
  <si>
    <t>30-10-2007</t>
  </si>
  <si>
    <t>30-09-2011</t>
  </si>
  <si>
    <t>15-01-2012</t>
  </si>
  <si>
    <t>30-11-2012</t>
  </si>
  <si>
    <t>30-10-2009</t>
  </si>
  <si>
    <t>06-10-2017</t>
  </si>
  <si>
    <t>01-11-2019</t>
  </si>
  <si>
    <t>25-10-2019</t>
  </si>
  <si>
    <t>05-11-2019</t>
  </si>
  <si>
    <t>10-09-2019</t>
  </si>
  <si>
    <t>15-10-2019</t>
  </si>
  <si>
    <t>30-12-2012</t>
  </si>
  <si>
    <t>15-12-2015</t>
  </si>
  <si>
    <t>14-11-2017</t>
  </si>
  <si>
    <t>30-10-2010</t>
  </si>
  <si>
    <t>22-09-2018</t>
  </si>
  <si>
    <t>30-03-2018</t>
  </si>
  <si>
    <t>01-03-2018</t>
  </si>
  <si>
    <t>30-01-2018</t>
  </si>
  <si>
    <t>20-01-2018</t>
  </si>
  <si>
    <t>10-10-2011</t>
  </si>
  <si>
    <t>01-09-2017</t>
  </si>
  <si>
    <t>10-09-2017</t>
  </si>
  <si>
    <t>20-11-2017</t>
  </si>
  <si>
    <t>15-09-2017</t>
  </si>
  <si>
    <t>30-08-2011</t>
  </si>
  <si>
    <t>10-10-2014</t>
  </si>
  <si>
    <t>06-11-2017</t>
  </si>
  <si>
    <t>28-10-2017</t>
  </si>
  <si>
    <t>16-10-2017</t>
  </si>
  <si>
    <t>12-10-2017</t>
  </si>
  <si>
    <t>02-10-2017</t>
  </si>
  <si>
    <t>01-10-2017</t>
  </si>
  <si>
    <t>29-09-2017</t>
  </si>
  <si>
    <t>27-09-2017</t>
  </si>
  <si>
    <t>25-09-2017</t>
  </si>
  <si>
    <t>20-01-2017</t>
  </si>
  <si>
    <t>30-06-2015</t>
  </si>
  <si>
    <t>30-11-2015</t>
  </si>
  <si>
    <t>05-11-2015</t>
  </si>
  <si>
    <t>20-09-2015</t>
  </si>
  <si>
    <t>15-12-2013</t>
  </si>
  <si>
    <t>30-04-2015</t>
  </si>
  <si>
    <t>28-02-2016</t>
  </si>
  <si>
    <t>05-10-2015</t>
  </si>
  <si>
    <t>30-01-2015</t>
  </si>
  <si>
    <t>28-02-2015</t>
  </si>
  <si>
    <t>10-11-2014</t>
  </si>
  <si>
    <t>20-01-2015</t>
  </si>
  <si>
    <t>30-04-2014</t>
  </si>
  <si>
    <t>10-12-2013</t>
  </si>
  <si>
    <t>30-01-2016</t>
  </si>
  <si>
    <t>10-11-2015</t>
  </si>
  <si>
    <t>15-10-2008</t>
  </si>
  <si>
    <t>30-10-2008</t>
  </si>
  <si>
    <t>30-09-2013</t>
  </si>
  <si>
    <t>15-02-2014</t>
  </si>
  <si>
    <t>15-11-2012</t>
  </si>
  <si>
    <t>10-11-2012</t>
  </si>
  <si>
    <t>27-11-2012</t>
  </si>
  <si>
    <t>30-08-2012</t>
  </si>
  <si>
    <t>15-11-2011</t>
  </si>
  <si>
    <t>19-10-2011</t>
  </si>
  <si>
    <t>15-10-2005</t>
  </si>
  <si>
    <t>30-01-2012</t>
  </si>
  <si>
    <t>28-02-2012</t>
  </si>
  <si>
    <t>15-05-2011</t>
  </si>
  <si>
    <t>30-04-2011</t>
  </si>
  <si>
    <t>30-11-2010</t>
  </si>
  <si>
    <t>15-01-2005</t>
  </si>
  <si>
    <t>30-10-2004</t>
  </si>
  <si>
    <t>22-04-2010</t>
  </si>
  <si>
    <t>30-01-2010</t>
  </si>
  <si>
    <t>30-11-2009</t>
  </si>
  <si>
    <t>30-12-2009</t>
  </si>
  <si>
    <t>28-02-2010</t>
  </si>
  <si>
    <t>30-03-2010</t>
  </si>
  <si>
    <t>30-09-2008</t>
  </si>
  <si>
    <t>30-12-2008</t>
  </si>
  <si>
    <t>30-11-2008</t>
  </si>
  <si>
    <t>15-10-2007</t>
  </si>
  <si>
    <t>30-09-2006</t>
  </si>
  <si>
    <t>30-03-2007</t>
  </si>
  <si>
    <t>15-09-2006</t>
  </si>
  <si>
    <t>15-11-2006</t>
  </si>
  <si>
    <t>15-10-2006</t>
  </si>
  <si>
    <t>30-11-2006</t>
  </si>
  <si>
    <t>15-09-2005</t>
  </si>
  <si>
    <t>15-12-2005</t>
  </si>
  <si>
    <t>15-10-2001</t>
  </si>
  <si>
    <t>15-09-2003</t>
  </si>
  <si>
    <t>25-09-2005</t>
  </si>
  <si>
    <t>15-10-2002</t>
  </si>
  <si>
    <t>15-10-2004</t>
  </si>
  <si>
    <t>15-10-2003</t>
  </si>
  <si>
    <t>15-09-2004</t>
  </si>
  <si>
    <t>08-02-2002</t>
  </si>
  <si>
    <t>30-10-2021</t>
  </si>
  <si>
    <t>11-11-2021</t>
  </si>
  <si>
    <t>28-10-2021</t>
  </si>
  <si>
    <t>26-08-2021</t>
  </si>
  <si>
    <t>30-08-2021</t>
  </si>
  <si>
    <t>18-09-2021</t>
  </si>
  <si>
    <t>10-12-2020</t>
  </si>
  <si>
    <t>29-10-2018</t>
  </si>
  <si>
    <t>30-03-2013</t>
  </si>
  <si>
    <t>30-12-2019</t>
  </si>
  <si>
    <t>30-01-2020</t>
  </si>
  <si>
    <t>23-10-2017</t>
  </si>
  <si>
    <t>17-10-2017</t>
  </si>
  <si>
    <t>08-10-2017</t>
  </si>
  <si>
    <t>03-10-2017</t>
  </si>
  <si>
    <t>30-03-2014</t>
  </si>
  <si>
    <t>05-11-2012</t>
  </si>
  <si>
    <t>30-03-2012</t>
  </si>
  <si>
    <t>30-03-2008</t>
  </si>
  <si>
    <t>DIIO</t>
  </si>
  <si>
    <t>Sexo</t>
  </si>
  <si>
    <t>Clase</t>
  </si>
  <si>
    <t>Raza</t>
  </si>
  <si>
    <t>Edad</t>
  </si>
  <si>
    <t>Fecha_Nacimiento</t>
  </si>
  <si>
    <t>Rup_Actual</t>
  </si>
  <si>
    <t>RUP_ultimo_movimiento</t>
  </si>
  <si>
    <t>Rup_Origen</t>
  </si>
  <si>
    <t>H</t>
  </si>
  <si>
    <t>11.1.01.0790</t>
  </si>
  <si>
    <t>M</t>
  </si>
  <si>
    <t>11.1.01.0291</t>
  </si>
  <si>
    <t>11.1.01.0290</t>
  </si>
  <si>
    <t>Sin Movimiento</t>
  </si>
  <si>
    <t>11.2.02.0112</t>
  </si>
  <si>
    <t>11.2.01.2071</t>
  </si>
  <si>
    <t>11.4.02.0363</t>
  </si>
  <si>
    <t>11.2.01.0251</t>
  </si>
  <si>
    <t>11.1.01.2304</t>
  </si>
  <si>
    <t>11.2.01.0011</t>
  </si>
  <si>
    <t>15-10-2011</t>
  </si>
  <si>
    <t>11.1.01.2512</t>
  </si>
  <si>
    <t>11.1.01.0255</t>
  </si>
  <si>
    <t>11.1.01.0149</t>
  </si>
  <si>
    <t>09-10-2021</t>
  </si>
  <si>
    <t>25-09-2021</t>
  </si>
  <si>
    <t>05-11-2021</t>
  </si>
  <si>
    <t>30-12-2021</t>
  </si>
  <si>
    <t>11.1.01.0599</t>
  </si>
  <si>
    <t>11.1.01.0742</t>
  </si>
  <si>
    <t>11.4.02.0225</t>
  </si>
  <si>
    <t>11.1.01.2408</t>
  </si>
  <si>
    <t>11.1.01.0713</t>
  </si>
  <si>
    <t>Total general</t>
  </si>
  <si>
    <t>Cuenta de DIIO</t>
  </si>
  <si>
    <t>11.1.01.0190</t>
  </si>
  <si>
    <t>Estado</t>
  </si>
  <si>
    <t>Vivo</t>
  </si>
  <si>
    <t>11.1.01.2442</t>
  </si>
  <si>
    <t>no existe</t>
  </si>
  <si>
    <t>0 años 10 meses</t>
  </si>
  <si>
    <t>30-01-2024</t>
  </si>
  <si>
    <t>30-12-2023</t>
  </si>
  <si>
    <t>11.1.01.1162</t>
  </si>
  <si>
    <t>31-03-2024</t>
  </si>
  <si>
    <t>15-01-2023</t>
  </si>
  <si>
    <t>11-03-2024</t>
  </si>
  <si>
    <t>18-12-2019</t>
  </si>
  <si>
    <t>15-09-2024</t>
  </si>
  <si>
    <t>30-09-2024</t>
  </si>
  <si>
    <t>05-10-2024</t>
  </si>
  <si>
    <t>15-10-2024</t>
  </si>
  <si>
    <t>11-10-2024</t>
  </si>
  <si>
    <t>18-10-2024</t>
  </si>
  <si>
    <t>chip</t>
  </si>
  <si>
    <t>diio antiguo</t>
  </si>
  <si>
    <t>30-11-2024</t>
  </si>
  <si>
    <t>rup</t>
  </si>
  <si>
    <t>05-02-2018</t>
  </si>
  <si>
    <t>20-10-2024</t>
  </si>
  <si>
    <t>30-10-2024</t>
  </si>
  <si>
    <t>05-11-2024</t>
  </si>
  <si>
    <t>30-08-2024</t>
  </si>
  <si>
    <t>15-11-2024</t>
  </si>
  <si>
    <t>11.2.01.2086</t>
  </si>
  <si>
    <t>DIIO ANTIGUO</t>
  </si>
  <si>
    <t>DIIO NUEVO</t>
  </si>
  <si>
    <t>FECHA CAMBIO</t>
  </si>
  <si>
    <t>HEMBRA</t>
  </si>
  <si>
    <t>MACHO</t>
  </si>
  <si>
    <t>sexo</t>
  </si>
  <si>
    <t>raza</t>
  </si>
  <si>
    <t>fecha nac.</t>
  </si>
  <si>
    <t>fecha fiio</t>
  </si>
  <si>
    <t>SHORTON</t>
  </si>
  <si>
    <t>Exportable_CHINA</t>
  </si>
  <si>
    <t>NO</t>
  </si>
  <si>
    <t>13 años 10 meses</t>
  </si>
  <si>
    <t>10 años 0 meses</t>
  </si>
  <si>
    <t>15-03-2022</t>
  </si>
  <si>
    <t>15-02-2022</t>
  </si>
  <si>
    <t>15-01-2022</t>
  </si>
  <si>
    <t>30-04-2024</t>
  </si>
  <si>
    <t>05-12-2024</t>
  </si>
  <si>
    <t>18-12-2024</t>
  </si>
  <si>
    <t>24-12-2024</t>
  </si>
  <si>
    <t>fecha ident sipec</t>
  </si>
  <si>
    <t>chip toro</t>
  </si>
  <si>
    <t>cambio diio (antiguo)</t>
  </si>
  <si>
    <t>manejo 2020</t>
  </si>
  <si>
    <t>manejo 2021</t>
  </si>
  <si>
    <t>manejo 2022</t>
  </si>
  <si>
    <t>manejo 2023</t>
  </si>
  <si>
    <t>manejo 2024</t>
  </si>
  <si>
    <t>Nombre_Titular_Ubicacion_Actual</t>
  </si>
  <si>
    <t>Nombre_Predio_Ubicacion_Actual</t>
  </si>
  <si>
    <t>Cantidad_Titulares</t>
  </si>
  <si>
    <t>Uso_Anabolicos</t>
  </si>
  <si>
    <t>Trazabilidad_Nacimiento</t>
  </si>
  <si>
    <t>Trazabilidad_Completa</t>
  </si>
  <si>
    <t>PABCO</t>
  </si>
  <si>
    <t>Uso_Medicamento_No_Permitido</t>
  </si>
  <si>
    <t>Estado_RUP_Actual</t>
  </si>
  <si>
    <t>Exportable_UE</t>
  </si>
  <si>
    <t>MARIA ERCIRA</t>
  </si>
  <si>
    <t>STA MARIA 2</t>
  </si>
  <si>
    <t>4</t>
  </si>
  <si>
    <t>No</t>
  </si>
  <si>
    <t>BLOQUEADO</t>
  </si>
  <si>
    <t>SAN PEDRO</t>
  </si>
  <si>
    <t>8</t>
  </si>
  <si>
    <t>ANITA</t>
  </si>
  <si>
    <t>7</t>
  </si>
  <si>
    <t>DOS TORDILLOS</t>
  </si>
  <si>
    <t>STA SADI  LOTE 60 B</t>
  </si>
  <si>
    <t>11.1.01.2002</t>
  </si>
  <si>
    <t>SOCIEDAD COMERCIAL INDUCAR LTDA.</t>
  </si>
  <si>
    <t>MATADERO INDUCAR DE COYHAIQUE</t>
  </si>
  <si>
    <t>2</t>
  </si>
  <si>
    <t>NO BLOQUEADO</t>
  </si>
  <si>
    <t>TRES LAGUNAS</t>
  </si>
  <si>
    <t>5</t>
  </si>
  <si>
    <t>GANADERA Y TRANSPORTE LOS PILCHEROS LTDA.</t>
  </si>
  <si>
    <t>TRES HERMANOS</t>
  </si>
  <si>
    <t>AGUAS FRESCAS</t>
  </si>
  <si>
    <t>LOS ÑIRES 2</t>
  </si>
  <si>
    <t>EL CHENQUE</t>
  </si>
  <si>
    <t>SANTA ELVIRA</t>
  </si>
  <si>
    <t>10</t>
  </si>
  <si>
    <t>0 años 7 meses</t>
  </si>
  <si>
    <t>9</t>
  </si>
  <si>
    <t>LA CABAÑA</t>
  </si>
  <si>
    <t>INVERSIONES Y AGRICOLA PLATINIUM LTDA.</t>
  </si>
  <si>
    <t>6 años 10 meses</t>
  </si>
  <si>
    <t>15 años 10 meses</t>
  </si>
  <si>
    <t>manejo 2025</t>
  </si>
  <si>
    <t>Muerto</t>
  </si>
  <si>
    <t>GANADERA MARIA ERCIRA AUAD NASER EIRL</t>
  </si>
  <si>
    <t>15 años 9 meses</t>
  </si>
  <si>
    <t>15 años 8 meses</t>
  </si>
  <si>
    <t>14 años 1 meses</t>
  </si>
  <si>
    <t>10 años 8 meses</t>
  </si>
  <si>
    <t>12 años 9 meses</t>
  </si>
  <si>
    <t>11 años 8 meses</t>
  </si>
  <si>
    <t>11 años 9 meses</t>
  </si>
  <si>
    <t>7 años 9 meses</t>
  </si>
  <si>
    <t>7 años 10 meses</t>
  </si>
  <si>
    <t>3 años 9 meses</t>
  </si>
  <si>
    <t>3 años 8 meses</t>
  </si>
  <si>
    <t>3 años 10 meses</t>
  </si>
  <si>
    <t>1 años 9 meses</t>
  </si>
  <si>
    <t>1 años 8 meses</t>
  </si>
  <si>
    <t>2 años 9 meses</t>
  </si>
  <si>
    <t>2 años 11 meses</t>
  </si>
  <si>
    <t>0 años 9 meses</t>
  </si>
  <si>
    <t>1 años 1 meses</t>
  </si>
  <si>
    <t>15-08-2024</t>
  </si>
  <si>
    <t>01-10-2024</t>
  </si>
  <si>
    <t>31-12-2024</t>
  </si>
  <si>
    <t>01-12-2024</t>
  </si>
  <si>
    <t>28-02-2025</t>
  </si>
  <si>
    <t>30-01-2025</t>
  </si>
  <si>
    <t>30-03-2025</t>
  </si>
  <si>
    <t>11-04-2025</t>
  </si>
  <si>
    <t>31-03-2025</t>
  </si>
  <si>
    <t>11-03-2025</t>
  </si>
  <si>
    <t>1 años 0 meses</t>
  </si>
  <si>
    <t>7 años 0 meses</t>
  </si>
  <si>
    <t>5 años 11 meses</t>
  </si>
  <si>
    <t>6 años 0 meses</t>
  </si>
  <si>
    <t>12 años 0 meses</t>
  </si>
  <si>
    <t>7 años 1 meses</t>
  </si>
  <si>
    <t>8 años 11 meses</t>
  </si>
  <si>
    <t>1 años 10 meses</t>
  </si>
  <si>
    <t>2 años 0 meses</t>
  </si>
  <si>
    <t>3 años 0 meses</t>
  </si>
  <si>
    <t>4 años 11 meses</t>
  </si>
  <si>
    <t>10 años 6 meses</t>
  </si>
  <si>
    <t>4 años 0 meses</t>
  </si>
  <si>
    <t>3 años 11 meses</t>
  </si>
  <si>
    <t>4 años 1 meses</t>
  </si>
  <si>
    <t>5 años 0 meses</t>
  </si>
  <si>
    <t>9 años 11 meses</t>
  </si>
  <si>
    <t>12 años 11 meses</t>
  </si>
  <si>
    <t>16 años 0 meses</t>
  </si>
  <si>
    <t>11 años 1 meses</t>
  </si>
  <si>
    <t>7 años 11 meses</t>
  </si>
  <si>
    <t>8 años 10 meses</t>
  </si>
  <si>
    <t>10 años 1 meses</t>
  </si>
  <si>
    <t>10 años 11 meses</t>
  </si>
  <si>
    <t>11 años 11 meses</t>
  </si>
  <si>
    <t>13 años 0 meses</t>
  </si>
  <si>
    <t>11 años 10 meses</t>
  </si>
  <si>
    <t>15 años 0 meses</t>
  </si>
  <si>
    <t>1 años 11 meses</t>
  </si>
  <si>
    <t>8 años 1 meses</t>
  </si>
  <si>
    <t>0 años 11 meses</t>
  </si>
  <si>
    <t>16 años 1 meses</t>
  </si>
  <si>
    <t>3 años 2 meses</t>
  </si>
  <si>
    <t>3 años 1 meses</t>
  </si>
  <si>
    <t>15 años 1 meses</t>
  </si>
  <si>
    <t>15 años 11 meses</t>
  </si>
  <si>
    <t>14 años 11 meses</t>
  </si>
  <si>
    <t>14 años 0 meses</t>
  </si>
  <si>
    <t>13 años 11 meses</t>
  </si>
  <si>
    <t>13 años 1 meses</t>
  </si>
  <si>
    <t>6 años 1 meses</t>
  </si>
  <si>
    <t>21 años 0 meses</t>
  </si>
  <si>
    <t>17 años 0 meses</t>
  </si>
  <si>
    <t>9 años 10 meses</t>
  </si>
  <si>
    <t>Total BUEY</t>
  </si>
  <si>
    <t>Total NOVILLO</t>
  </si>
  <si>
    <t>Total TERNERA</t>
  </si>
  <si>
    <t>Total TERNERO</t>
  </si>
  <si>
    <t>Total TORO</t>
  </si>
  <si>
    <t>Total VACA</t>
  </si>
  <si>
    <t>Total VAQUILLA</t>
  </si>
  <si>
    <t>Total no existe</t>
  </si>
  <si>
    <t>NUMERO_DIIO</t>
  </si>
  <si>
    <t>RAZA</t>
  </si>
  <si>
    <t>CATEGORIA</t>
  </si>
  <si>
    <t>FECHA_NACIMIENTO</t>
  </si>
  <si>
    <t>ESTABLECIMIENTO_NACIDO</t>
  </si>
  <si>
    <t>SEXO</t>
  </si>
  <si>
    <t>GLOSA_PABCO</t>
  </si>
  <si>
    <t>NO PABCO</t>
  </si>
  <si>
    <t>SIERRA COLORADA</t>
  </si>
  <si>
    <t>11.1.01.0793</t>
  </si>
  <si>
    <t>15-08-2023</t>
  </si>
  <si>
    <t>SAN CARLOS</t>
  </si>
  <si>
    <t>01-09-2023</t>
  </si>
  <si>
    <t>TORITO</t>
  </si>
  <si>
    <t>15-09-2023</t>
  </si>
  <si>
    <t>SAN GABRIEL - NO ENTREGAR FMA - TITULAR DEBE CONTACTAR OFICINA SAG (06/06/22)</t>
  </si>
  <si>
    <t>SAN ELIAS - FALTA DEA CABALLARES</t>
  </si>
  <si>
    <t>SAN JUAN</t>
  </si>
  <si>
    <t>FDO EL ABUELO</t>
  </si>
  <si>
    <t>15-10-2022</t>
  </si>
  <si>
    <t>EL MARMOL- FALTA ACTUALIZAR COMODATO- NO ENTREGAR FMA</t>
  </si>
  <si>
    <t>EL BALNEARIO</t>
  </si>
  <si>
    <t>TAMEL AIKE</t>
  </si>
  <si>
    <t>EL MORO</t>
  </si>
  <si>
    <t>STA MARIA I</t>
  </si>
  <si>
    <t>SANTA AGUEDA</t>
  </si>
  <si>
    <t>20-10-2025</t>
  </si>
  <si>
    <t>05-10-2025</t>
  </si>
  <si>
    <t>30-07-2025</t>
  </si>
  <si>
    <t>07-07-2025</t>
  </si>
  <si>
    <t>04-10-2025</t>
  </si>
  <si>
    <t>04-07-2025</t>
  </si>
  <si>
    <t>04-08-2025</t>
  </si>
  <si>
    <t>30-08-2025</t>
  </si>
  <si>
    <t>30-09-2025</t>
  </si>
  <si>
    <t>20-01-2023</t>
  </si>
  <si>
    <t>LAS NIEVES</t>
  </si>
  <si>
    <t>DOÑA LOLY</t>
  </si>
  <si>
    <t>SANTA LUCIA</t>
  </si>
  <si>
    <t>EL BAJO</t>
  </si>
  <si>
    <t>FUNDO SANTA MARIA</t>
  </si>
  <si>
    <t>FUNDO EL CODO</t>
  </si>
  <si>
    <t>PICHE BLANCO</t>
  </si>
  <si>
    <t>28-10-2020</t>
  </si>
  <si>
    <t>30-12-2020</t>
  </si>
  <si>
    <t>21 años 2 meses</t>
  </si>
  <si>
    <t>20 años 1 meses</t>
  </si>
  <si>
    <t>19 años 1 meses</t>
  </si>
  <si>
    <t>19 años 2 meses</t>
  </si>
  <si>
    <t>18 años 1 meses</t>
  </si>
  <si>
    <t>17 años 1 meses</t>
  </si>
  <si>
    <t>7 años 2 meses</t>
  </si>
  <si>
    <t>16 años 2 meses</t>
  </si>
  <si>
    <t>09.1.01.1503</t>
  </si>
  <si>
    <t>FRIGORIFICO DE TEMUCO S.A.</t>
  </si>
  <si>
    <t>FRIGORIFICO TEMUCO S.A.</t>
  </si>
  <si>
    <t>1</t>
  </si>
  <si>
    <t>14 años 2 meses</t>
  </si>
  <si>
    <t>13 años 9 meses</t>
  </si>
  <si>
    <t>13 años 2 meses</t>
  </si>
  <si>
    <t>12 años 1 meses</t>
  </si>
  <si>
    <t>MARTINEZ MONDELO JOAQUIN GERARDO</t>
  </si>
  <si>
    <t>11 años 2 meses</t>
  </si>
  <si>
    <t>10 años 9 meses</t>
  </si>
  <si>
    <t>10 años 4 meses</t>
  </si>
  <si>
    <t>10 años 2 meses</t>
  </si>
  <si>
    <t>9 años 1 meses</t>
  </si>
  <si>
    <t>11.2.01.2000</t>
  </si>
  <si>
    <t>SOCIEDAD COMERCIAL RIO PANGAL LTDA</t>
  </si>
  <si>
    <t>MATADERO PANGAL PUERTO AYSEN</t>
  </si>
  <si>
    <t>8 años 2 meses</t>
  </si>
  <si>
    <t>5 años 1 meses</t>
  </si>
  <si>
    <t>6 años 2 meses</t>
  </si>
  <si>
    <t>5 años 2 meses</t>
  </si>
  <si>
    <t>15 años 2 meses</t>
  </si>
  <si>
    <t>4 años 2 meses</t>
  </si>
  <si>
    <t>2 años 1 meses</t>
  </si>
  <si>
    <t>2 años 2 meses</t>
  </si>
  <si>
    <t>2 años 3 meses</t>
  </si>
  <si>
    <t>1 años 2 meses</t>
  </si>
  <si>
    <t>1 años 3 meses</t>
  </si>
  <si>
    <t>10.3.07.0248</t>
  </si>
  <si>
    <t>SOCIEDAD AGRÍCOLA Y GANADERA SPM LTDA</t>
  </si>
  <si>
    <t>LAS PARCELAS</t>
  </si>
  <si>
    <t>HÉCTOR</t>
  </si>
  <si>
    <t>LAS LADERAS</t>
  </si>
  <si>
    <t>0 años 1 meses</t>
  </si>
  <si>
    <t>0 años 2 meses</t>
  </si>
  <si>
    <t>0 años 3 meses</t>
  </si>
  <si>
    <t>0 años 4 meses</t>
  </si>
  <si>
    <t>0 años 0 meses</t>
  </si>
  <si>
    <t>FECHA</t>
  </si>
  <si>
    <t>RUP</t>
  </si>
  <si>
    <t>VC PALPADAS RECHAZO</t>
  </si>
  <si>
    <t>BUNSTER CLOSTRIBAC 8 GOLD</t>
  </si>
  <si>
    <t xml:space="preserve"> Cidectyn+Clostribac 8 Gold</t>
  </si>
  <si>
    <t>Invermic y Cidectyn+Clostribac 8 Gold</t>
  </si>
  <si>
    <t>Clostribac 8 Gold + Cydectin 1%+ Selenio +Vitamina A+Vitamina D3+Vitamina E</t>
  </si>
  <si>
    <t>Vacunadas CLOSTRIBAC 8 GOLD+ Cydectin 1%+ Vitamina A+D3+3 y Asometril</t>
  </si>
  <si>
    <t>Clostribac 8 Gold Bunster</t>
  </si>
  <si>
    <t>CLostribac 8 Gold +Cydectin al 1% + Selenio  Vit E Sel + Vitamina A+D3+Vitamina E</t>
  </si>
  <si>
    <t>palpadas</t>
  </si>
  <si>
    <t>72 vaquillas de 1 año /VACUNA CLOSTRIBAC 8 GOLD + VITAMINA COFORTA + VITAMINA A+D3+E y ASOMETRIL 60 ml</t>
  </si>
  <si>
    <t>32 vacas paridas Clostribac 8 Gold - 2ml, Virbamec F-10ml y Vit-E-Selenio -10 ml</t>
  </si>
  <si>
    <t>41 vacas preñadas Clostribac 8 gold</t>
  </si>
  <si>
    <t>70 vacas parias Covexin 10 - 2ml, Virbamec F-10ml y Vit-E-Selenio -10 m</t>
  </si>
  <si>
    <t>95 vaquillasVACUNA COVEXIN 10 + VIRBAMEC F+ VIT-E-SEL + CATTLEMASTER GOLD 5 LS</t>
  </si>
  <si>
    <t>53 VACAS PARIAS + 6 TOROS,  Covexin 10 - 2ml, Virbamec F-10ml y Vit-E-Selenio -10 ml</t>
  </si>
  <si>
    <t>3 años 3 meses</t>
  </si>
  <si>
    <t>reversado cambio 20910741</t>
  </si>
  <si>
    <t>reversado</t>
  </si>
  <si>
    <t>21-12-2025</t>
  </si>
  <si>
    <t>11-09-2025</t>
  </si>
  <si>
    <t>15-10-2025</t>
  </si>
  <si>
    <t>15-09-2025</t>
  </si>
  <si>
    <t>15-11-2025</t>
  </si>
  <si>
    <t>05-11-2025</t>
  </si>
  <si>
    <t>05-09-2025</t>
  </si>
  <si>
    <t>16-07-2025</t>
  </si>
  <si>
    <t>25-09-2025</t>
  </si>
  <si>
    <t>09-09-2025</t>
  </si>
  <si>
    <t>11.1.01.0928</t>
  </si>
  <si>
    <t>11.1.01.0930</t>
  </si>
  <si>
    <t>11.1.01.0948</t>
  </si>
  <si>
    <t>11.1.01.0964</t>
  </si>
  <si>
    <t>11.1.01.1006</t>
  </si>
  <si>
    <t>11.1.01.1012</t>
  </si>
  <si>
    <t>11.1.01.1015</t>
  </si>
  <si>
    <t>11.1.01.1016</t>
  </si>
  <si>
    <t>11.1.01.1019</t>
  </si>
  <si>
    <t>11.1.01.1035</t>
  </si>
  <si>
    <t>11.1.01.1047</t>
  </si>
  <si>
    <t>28-11-2025</t>
  </si>
  <si>
    <t>11.1.01.1079</t>
  </si>
  <si>
    <t>16-12-2025</t>
  </si>
  <si>
    <t>15-07-2022</t>
  </si>
  <si>
    <t>11.1.01.2000</t>
  </si>
  <si>
    <t>25-11-2025</t>
  </si>
  <si>
    <t>15-08-2025</t>
  </si>
  <si>
    <t>11.2.01.0365</t>
  </si>
  <si>
    <t>23 años 11 meses</t>
  </si>
  <si>
    <t>21 años 4 meses</t>
  </si>
  <si>
    <t>22 años 3 meses</t>
  </si>
  <si>
    <t>21 años 3 meses</t>
  </si>
  <si>
    <t>23 años 3 meses</t>
  </si>
  <si>
    <t>20 años 3 meses</t>
  </si>
  <si>
    <t>22 años 4 meses</t>
  </si>
  <si>
    <t>24 años 3 meses</t>
  </si>
  <si>
    <t>20 años 4 meses</t>
  </si>
  <si>
    <t>19 años 3 meses</t>
  </si>
  <si>
    <t>19 años 4 meses</t>
  </si>
  <si>
    <t>3</t>
  </si>
  <si>
    <t>18 años 9 meses</t>
  </si>
  <si>
    <t>18 años 3 meses</t>
  </si>
  <si>
    <t>17 años 9 meses</t>
  </si>
  <si>
    <t>17 años 10 meses</t>
  </si>
  <si>
    <t>17 años 3 meses</t>
  </si>
  <si>
    <t>17 años 2 meses</t>
  </si>
  <si>
    <t>7 años 4 meses</t>
  </si>
  <si>
    <t>16 años 3 meses</t>
  </si>
  <si>
    <t>16 años 4 meses</t>
  </si>
  <si>
    <t>15 años 3 meses</t>
  </si>
  <si>
    <t>14 años 8 meses</t>
  </si>
  <si>
    <t>14 años 4 meses</t>
  </si>
  <si>
    <t>14 años 3 meses</t>
  </si>
  <si>
    <t>10.3.01.0912</t>
  </si>
  <si>
    <t>GONZALO</t>
  </si>
  <si>
    <t>MATADERO FRIGORÍFICO DEL SUR S.A.(OSORNO)</t>
  </si>
  <si>
    <t>13 años 3 meses</t>
  </si>
  <si>
    <t>12 años 2 meses</t>
  </si>
  <si>
    <t>11 años 3 meses</t>
  </si>
  <si>
    <t>EL RASTROJO SPA</t>
  </si>
  <si>
    <t>13 años 4 meses</t>
  </si>
  <si>
    <t>12 años 3 meses</t>
  </si>
  <si>
    <t>10 años 3 meses</t>
  </si>
  <si>
    <t>11 años 4 meses</t>
  </si>
  <si>
    <t>10 años 10 meses</t>
  </si>
  <si>
    <t>11.4.02.0133</t>
  </si>
  <si>
    <t>OMAR</t>
  </si>
  <si>
    <t>DOS HERMANOS</t>
  </si>
  <si>
    <t>9 años 3 meses</t>
  </si>
  <si>
    <t>9 años 0 meses</t>
  </si>
  <si>
    <t>8 años 3 meses</t>
  </si>
  <si>
    <t>8 años 4 meses</t>
  </si>
  <si>
    <t>7 años 3 meses</t>
  </si>
  <si>
    <t>10.1.07.0228</t>
  </si>
  <si>
    <t>AGRICOLA LLANQUIHUE S.A.</t>
  </si>
  <si>
    <t>FUNDO NUEVA BRAUNAU</t>
  </si>
  <si>
    <t>77</t>
  </si>
  <si>
    <t>5 años 3 meses</t>
  </si>
  <si>
    <t>6 años 3 meses</t>
  </si>
  <si>
    <t>6 años 4 meses</t>
  </si>
  <si>
    <t>18 años 2 meses</t>
  </si>
  <si>
    <t>6 años 9 meses</t>
  </si>
  <si>
    <t>11.1.01.0683</t>
  </si>
  <si>
    <t>AGROGANADERA PATAGONICA LIMITADA</t>
  </si>
  <si>
    <t>LA MINITA</t>
  </si>
  <si>
    <t>5 años 4 meses</t>
  </si>
  <si>
    <t>14 años 7 meses</t>
  </si>
  <si>
    <t>15 años 4 meses</t>
  </si>
  <si>
    <t>4 años 4 meses</t>
  </si>
  <si>
    <t>4 años 3 meses</t>
  </si>
  <si>
    <t>2 años 4 meses</t>
  </si>
  <si>
    <t>3 años 4 meses</t>
  </si>
  <si>
    <t>2 años 5 meses</t>
  </si>
  <si>
    <t>1 años 4 meses</t>
  </si>
  <si>
    <t>1 años 5 meses</t>
  </si>
  <si>
    <t>3 años 5 meses</t>
  </si>
  <si>
    <t>0 años 5 meses</t>
  </si>
  <si>
    <t>0 años 6 meses</t>
  </si>
  <si>
    <t>23-10-2020</t>
  </si>
  <si>
    <t>10.3.01.0453</t>
  </si>
  <si>
    <t>YOHANA</t>
  </si>
  <si>
    <t>FRIGORÍFICO DE OSORNO S.A. FRIGOSORNO</t>
  </si>
  <si>
    <t>6</t>
  </si>
  <si>
    <t>10.5.01.1031</t>
  </si>
  <si>
    <t>CARNES ÑUBLE S.A.</t>
  </si>
  <si>
    <t>CARNES ÑUBLE S.A. (FRIVAL)</t>
  </si>
  <si>
    <t>11.2.01.0689</t>
  </si>
  <si>
    <t>20-11-2020</t>
  </si>
  <si>
    <t>11-12-2020</t>
  </si>
  <si>
    <t>10-10-2010</t>
  </si>
  <si>
    <t>10.1.05.0253</t>
  </si>
  <si>
    <t>30-01-2021</t>
  </si>
  <si>
    <t>10.5.10.0677</t>
  </si>
  <si>
    <t>08.1.08.9001</t>
  </si>
  <si>
    <t>AGROINDUSTRIAS LOMAS COLORADAS LTDA.</t>
  </si>
  <si>
    <t>08.3.01.1752</t>
  </si>
  <si>
    <t>10.1.05.1018</t>
  </si>
  <si>
    <t>09.1.11.0398</t>
  </si>
  <si>
    <t>ARANEDA LTDA, SOC. FAENADORA Y COMERCIAL</t>
  </si>
  <si>
    <t>FRIGORIFICO IMPERIAL LIMITADA</t>
  </si>
  <si>
    <t>07.3.01.0018</t>
  </si>
  <si>
    <t>MATADERO Y FRIGORIFICO GUERRA</t>
  </si>
  <si>
    <t>FRIGORÍFICO GUERRA E HIJOS LIMITADA</t>
  </si>
  <si>
    <t>13.5.05.0513</t>
  </si>
  <si>
    <t>50.0.00.0000</t>
  </si>
  <si>
    <t>SERVICIO AGRICOLA Y GANADERO</t>
  </si>
  <si>
    <t>ESTABLECIMIENTO TEMPORAL Y OTROS</t>
  </si>
  <si>
    <t>42</t>
  </si>
  <si>
    <t>13.5.04.0246</t>
  </si>
  <si>
    <t>31-12-2020</t>
  </si>
  <si>
    <t>10.3.04.0219</t>
  </si>
  <si>
    <t>05.6.03.0002</t>
  </si>
  <si>
    <t xml:space="preserve">HAEUSSLER FONTECILLA FRANCISCO  </t>
  </si>
  <si>
    <t>FUNDO SAN PEDRO</t>
  </si>
  <si>
    <t>97</t>
  </si>
  <si>
    <t>05-12-2020</t>
  </si>
  <si>
    <t>05.6.03.0025</t>
  </si>
  <si>
    <t>ALIMENTOS DEL LITORAL SPA</t>
  </si>
  <si>
    <t>MATADERO CARTAGENA</t>
  </si>
  <si>
    <t>13.5.01.0010</t>
  </si>
  <si>
    <t>28-12-2020</t>
  </si>
  <si>
    <t>26-12-2020</t>
  </si>
  <si>
    <t>10.3.01.1196</t>
  </si>
  <si>
    <t>13.5.01.1315</t>
  </si>
  <si>
    <t>SOCIEDAD AGRICOLA SANTA LAURA SPA</t>
  </si>
  <si>
    <t>AGRICOLA SANTA LAURA SPA</t>
  </si>
  <si>
    <t>11-11-2020</t>
  </si>
  <si>
    <t>BELTRAN ECHAVARRIA MAURICIO SEBASTIAN</t>
  </si>
  <si>
    <t>FUNDO ESPAÑA</t>
  </si>
  <si>
    <t>15-12-2020</t>
  </si>
  <si>
    <t>04.1.02.0003</t>
  </si>
  <si>
    <t>DANKE QUEZADA PABLO ANTONIO</t>
  </si>
  <si>
    <t>MATADERO CARNES DANKE</t>
  </si>
  <si>
    <t>13.5.01.0026</t>
  </si>
  <si>
    <t>09.2.01.0013</t>
  </si>
  <si>
    <t>FRIGORIFICO ANGOL SPA</t>
  </si>
  <si>
    <t>FRIGORIFICO ANGOL</t>
  </si>
  <si>
    <t>10.1.09.0165</t>
  </si>
  <si>
    <t>13.4.01.0002</t>
  </si>
  <si>
    <t>FELIPE</t>
  </si>
  <si>
    <t>FRIGORIFICO CAMER LTDA.</t>
  </si>
  <si>
    <t>06.1.10.0273</t>
  </si>
  <si>
    <t>25-12-2020</t>
  </si>
  <si>
    <t>11.4.02.0402</t>
  </si>
  <si>
    <t>RODRIGUEZ  DIDIER JOSE</t>
  </si>
  <si>
    <t>LA CHILENITA</t>
  </si>
  <si>
    <t>11.1.01.0686</t>
  </si>
  <si>
    <t>JUAN CARLOS</t>
  </si>
  <si>
    <t>EL PINO</t>
  </si>
  <si>
    <t>11.1.01.0594</t>
  </si>
  <si>
    <t>04-09-2021</t>
  </si>
  <si>
    <t>4 años 6 meses</t>
  </si>
  <si>
    <t>30-06-2021</t>
  </si>
  <si>
    <t>SOCIEDAD AGRÍCOLA Y GANADERA AFCA LTDA.</t>
  </si>
  <si>
    <t>LA CONFLUENCIA</t>
  </si>
  <si>
    <t>10.5.12.0385</t>
  </si>
  <si>
    <t>09.2.11.0132</t>
  </si>
  <si>
    <t>FAENADORA DE CARNES VICTORIA S.A.</t>
  </si>
  <si>
    <t>10.1.09.0284</t>
  </si>
  <si>
    <t>11.2.01.2254</t>
  </si>
  <si>
    <t>MARCO ANTONIO</t>
  </si>
  <si>
    <t>LOS CIPRESES</t>
  </si>
  <si>
    <t>07-10-2021</t>
  </si>
  <si>
    <t>09.1.05.1672</t>
  </si>
  <si>
    <t>14.1.04.1525</t>
  </si>
  <si>
    <t>10.1.07.0105</t>
  </si>
  <si>
    <t>LOS TRINOS</t>
  </si>
  <si>
    <t>SUR INVERSIONES LTDA INGASUR</t>
  </si>
  <si>
    <t>12</t>
  </si>
  <si>
    <t>FUNDO PUERTO FONCK</t>
  </si>
  <si>
    <t xml:space="preserve">PUCHI ACUÑA MARIO HUMBERTO    </t>
  </si>
  <si>
    <t>10.3.02.0765</t>
  </si>
  <si>
    <t>FUNDO EL MORO</t>
  </si>
  <si>
    <t>11.1.01.0288</t>
  </si>
  <si>
    <t>13</t>
  </si>
  <si>
    <t>FUNDO PAMPINO</t>
  </si>
  <si>
    <t>10.3.03.0867</t>
  </si>
  <si>
    <t>LAS LOMITAS</t>
  </si>
  <si>
    <t>GANADERA LA QUERENCIA SPA</t>
  </si>
  <si>
    <t>11.1.01.2699</t>
  </si>
  <si>
    <t>FUNDO OROMO</t>
  </si>
  <si>
    <t>10.3.03.1608</t>
  </si>
  <si>
    <t>FUNDO LOS MALLINES</t>
  </si>
  <si>
    <t>JOSE MANUEL</t>
  </si>
  <si>
    <t>11.1.01.0124</t>
  </si>
  <si>
    <t>FUNDO EL ARRAYAN LOTE B</t>
  </si>
  <si>
    <t>GANADERA VALLE GRANDE LTDA.</t>
  </si>
  <si>
    <t>10.3.03.0868</t>
  </si>
  <si>
    <t>01-09-2024</t>
  </si>
  <si>
    <t>15-05-2024</t>
  </si>
  <si>
    <t>01-05-2024</t>
  </si>
  <si>
    <t>FUNDO CHUCAO (CUENTA Y CLAVE SIPECWEB)</t>
  </si>
  <si>
    <t>AGRICOLA KAIKEN LIMITADA</t>
  </si>
  <si>
    <t>14.2.03.0728</t>
  </si>
  <si>
    <t>07.4.08.0063</t>
  </si>
  <si>
    <t>MEDIA LUNA STA FILOMENA</t>
  </si>
  <si>
    <t>INES HORTENSIA ORTIZ ROCHA</t>
  </si>
  <si>
    <t>13.3.01.0266</t>
  </si>
  <si>
    <t>31-03-2023</t>
  </si>
  <si>
    <t>07.1.06.0150</t>
  </si>
  <si>
    <t>MATADERO LINDEROS LTDA.</t>
  </si>
  <si>
    <t>CHRISTIAN KAST RIST</t>
  </si>
  <si>
    <t>13.4.04.0007</t>
  </si>
  <si>
    <t>08.4.01.0400</t>
  </si>
  <si>
    <t>05.6.03.0038</t>
  </si>
  <si>
    <t>MEDIALUNA Y CLUB DE RODEO Y RECREACION EL AMANECER</t>
  </si>
  <si>
    <t>CLUB DE RODEO Y RECREACIÓN EL AMANECER</t>
  </si>
  <si>
    <t>05.5.02.0253</t>
  </si>
  <si>
    <t>ANTUPIREN</t>
  </si>
  <si>
    <t>FLORES GUERRA GONZALO DEL CARMEN</t>
  </si>
  <si>
    <t>13.1.22.0013</t>
  </si>
  <si>
    <t>07.1.06.0586</t>
  </si>
  <si>
    <t>FUNDO EL LLANO</t>
  </si>
  <si>
    <t>RIVERA MALDONADO MARIA PAZ</t>
  </si>
  <si>
    <t>07.1.06.0174</t>
  </si>
  <si>
    <t>07.1.09.0300</t>
  </si>
  <si>
    <t>FRIGOSUR LTDA.</t>
  </si>
  <si>
    <t>LUÍS MICHEL</t>
  </si>
  <si>
    <t>08.4.01.9001</t>
  </si>
  <si>
    <t xml:space="preserve">FUNDO LAS TEJAS </t>
  </si>
  <si>
    <t>AGRICOLA Y GANADERA OMAR DEL CARMEN REYES EIRL</t>
  </si>
  <si>
    <t>07.1.07.0122</t>
  </si>
  <si>
    <t>SIN NOMBRE</t>
  </si>
  <si>
    <t>INMOBILIARIA Y AGRICOLA ISLA T</t>
  </si>
  <si>
    <t>10.1.01.1648</t>
  </si>
  <si>
    <t>08.3.01.1676</t>
  </si>
  <si>
    <t>05.6.03.0136</t>
  </si>
  <si>
    <t>10.3.04.1573</t>
  </si>
  <si>
    <t>11</t>
  </si>
  <si>
    <t>FUNDO SANTA TERESA</t>
  </si>
  <si>
    <t>ENRIQUE</t>
  </si>
  <si>
    <t>08.3.05.0775</t>
  </si>
  <si>
    <t>10.1.07.0321</t>
  </si>
  <si>
    <t>14</t>
  </si>
  <si>
    <t>LAGUNA VERDE</t>
  </si>
  <si>
    <t>08.4.05.0533</t>
  </si>
  <si>
    <t>PARCELA N° 10</t>
  </si>
  <si>
    <t>MANUEL FERNANDO</t>
  </si>
  <si>
    <t>07.1.06.0575</t>
  </si>
  <si>
    <t>10.1.08.1246</t>
  </si>
  <si>
    <t>FUNDO LOS PINOS</t>
  </si>
  <si>
    <t>EDUARDO ANTONIO</t>
  </si>
  <si>
    <t>10.1.08.2728</t>
  </si>
  <si>
    <t>08.3.07.0548</t>
  </si>
  <si>
    <t>PREDIO LOTE UNO - B</t>
  </si>
  <si>
    <t>DANIEL LUÍS</t>
  </si>
  <si>
    <t>16.2.05.0249</t>
  </si>
  <si>
    <t>07.1.01.0080</t>
  </si>
  <si>
    <t>PARCELA LOS PUQUIOS</t>
  </si>
  <si>
    <t>CESAR LUIS</t>
  </si>
  <si>
    <t>07.4.04.1112</t>
  </si>
  <si>
    <t>10.1.09.0166</t>
  </si>
  <si>
    <t>LOTE 2 F</t>
  </si>
  <si>
    <t>GONZALO GEBAUER BARRIA</t>
  </si>
  <si>
    <t>10.1.06.1486</t>
  </si>
  <si>
    <t>10.3.01.0699</t>
  </si>
  <si>
    <t>FUNDO EL ÑADY</t>
  </si>
  <si>
    <t>REHBEIN MONSALVE JUAN ANTONIO</t>
  </si>
  <si>
    <t>NO DAR FORMULARIO EN PAPEL LA PENINSULA</t>
  </si>
  <si>
    <t>RONALD VARGAS GOMEZ</t>
  </si>
  <si>
    <t>10.4.04.0152</t>
  </si>
  <si>
    <t>MATADERO MODINGER HNOS. S.A.(LLANQUIHUE)</t>
  </si>
  <si>
    <t>MODINGER HNOS. S.A</t>
  </si>
  <si>
    <t>10.1.07.0172</t>
  </si>
  <si>
    <t>30-12-2022</t>
  </si>
  <si>
    <t>EL CONDOR</t>
  </si>
  <si>
    <t>ROBERTO ANDRES ARRIETA REX</t>
  </si>
  <si>
    <t>10.4.04.0245</t>
  </si>
  <si>
    <t>11-09-2023</t>
  </si>
  <si>
    <t>PILAUCO</t>
  </si>
  <si>
    <t>GONZALO ANDRÉS</t>
  </si>
  <si>
    <t>10.3.01.0034</t>
  </si>
  <si>
    <t>16.1.04.0137</t>
  </si>
  <si>
    <t>07.1.10.0509</t>
  </si>
  <si>
    <t>FUNDO EL MANZANO</t>
  </si>
  <si>
    <t>GUSTAVO ADOLFO</t>
  </si>
  <si>
    <t>EL TORO</t>
  </si>
  <si>
    <t>DOERING MUÑOZ ERWIN EMILIO</t>
  </si>
  <si>
    <t>10.1.03.0276</t>
  </si>
  <si>
    <t>LOS COIGUES</t>
  </si>
  <si>
    <t>ALEX  ENRIQUE SÁNCHEZ HENNINGS.</t>
  </si>
  <si>
    <t>10.2.02.2391</t>
  </si>
  <si>
    <t>MATADERO FRIGORIFICO MALLOA LTDA.</t>
  </si>
  <si>
    <t>MATADERO Y FRIGORÍFICO MALLOA LTDA</t>
  </si>
  <si>
    <t>06.1.09.0001</t>
  </si>
  <si>
    <t>30-03-2023</t>
  </si>
  <si>
    <t>11.1.01.0199</t>
  </si>
  <si>
    <t>FEEDLOT 2</t>
  </si>
  <si>
    <t>AGRICOLA Y GANADERA LOS LAGOS LTDA</t>
  </si>
  <si>
    <t>FRIGORIFICO DEL MAULE</t>
  </si>
  <si>
    <t>COMERCIAL JUNTOS ROJAS LIMITADA</t>
  </si>
  <si>
    <t>13.5.01.0009</t>
  </si>
  <si>
    <t>LAS ENCINAS</t>
  </si>
  <si>
    <t>AGRICOLA LAS ENCINAS LTDA.</t>
  </si>
  <si>
    <t>10.1.09.0201</t>
  </si>
  <si>
    <t>31-12-2022</t>
  </si>
  <si>
    <t>08.4.07.0138</t>
  </si>
  <si>
    <t>16.2.01.2500</t>
  </si>
  <si>
    <t>12-12-2022</t>
  </si>
  <si>
    <t>MONTE ALEGRE</t>
  </si>
  <si>
    <t>INVERSIONES MONTEALEGRE LTDA.</t>
  </si>
  <si>
    <t>15-05-2022</t>
  </si>
  <si>
    <t>08.3.11.0500</t>
  </si>
  <si>
    <t>FUNDO CHEQUEN</t>
  </si>
  <si>
    <t>RAQUEL ALICIA CROVETTO HICKMANN</t>
  </si>
  <si>
    <t>08.1.04.0101</t>
  </si>
  <si>
    <t>15-04-2022</t>
  </si>
  <si>
    <t>RAMPA</t>
  </si>
  <si>
    <t>MARIA GABRIELA</t>
  </si>
  <si>
    <t>08.4.16.0849</t>
  </si>
  <si>
    <t>05-12-2022</t>
  </si>
  <si>
    <t>07.4.01.0015</t>
  </si>
  <si>
    <t>AGRICOLA Y GANADERA  AGROCARNE LTDA.</t>
  </si>
  <si>
    <t>AGRICOLA Y GANADERA AGROCARNE LTDA</t>
  </si>
  <si>
    <t>06.3.07.0003</t>
  </si>
  <si>
    <t>07.1.06.0168</t>
  </si>
  <si>
    <t>08.3.01.1036</t>
  </si>
  <si>
    <t>FERIA REGIONAL TATTERSALL DE COYHAIQUE</t>
  </si>
  <si>
    <t>FERIA REGIONAL TATTERSALL DE COYHAIQUE S.A.</t>
  </si>
  <si>
    <t>04.2.02.0527</t>
  </si>
  <si>
    <t>ENGORDA SANTA AMALIA</t>
  </si>
  <si>
    <t>SOCIEDAD AGRICOLA SANTA SARA LTDA</t>
  </si>
  <si>
    <t>05.1.02.0338</t>
  </si>
  <si>
    <t>04.2.02.0160</t>
  </si>
  <si>
    <t>RENAN ESTEBAN JORQUERA ARAYA</t>
  </si>
  <si>
    <t>JORQUERA ARAYA RENAN ESTEBAN</t>
  </si>
  <si>
    <t>10.3.07.0031</t>
  </si>
  <si>
    <t>10.3.04.0588</t>
  </si>
  <si>
    <t>11-12-2022</t>
  </si>
  <si>
    <t>SOCIEDAD AGRÍCOLA SACRAMENTO LTDA</t>
  </si>
  <si>
    <t>SOCIEDAD AGRÍCOLA SACRAMENTO LTDA.</t>
  </si>
  <si>
    <t>01-12-2022</t>
  </si>
  <si>
    <t>06.3.03.0631</t>
  </si>
  <si>
    <t>09.1.05.0502</t>
  </si>
  <si>
    <t>20-11-2022</t>
  </si>
  <si>
    <t>10.3.01.0970</t>
  </si>
  <si>
    <t>FRIGORÍFICO DON PEDRO</t>
  </si>
  <si>
    <t>CALDERON QUEZADA CIA. LTDA.</t>
  </si>
  <si>
    <t>05.1.06.0001</t>
  </si>
  <si>
    <t>08.3.01.1275</t>
  </si>
  <si>
    <t>07.1.08.0059</t>
  </si>
  <si>
    <t>FUNDO LA AGUADA (PREDIO CON CLAVE)</t>
  </si>
  <si>
    <t>AGRICOLA GONNDESENDE LORENZO</t>
  </si>
  <si>
    <t>14.2.02.0822</t>
  </si>
  <si>
    <t>LOS  MONTES  DE  SAN  PANCRACIO</t>
  </si>
  <si>
    <t>JOSE AGUSTIN</t>
  </si>
  <si>
    <t>07.3.01.0016</t>
  </si>
  <si>
    <t>08.3.11.1579</t>
  </si>
  <si>
    <t>PLANTA FAENADORA HN SAN CARLOS</t>
  </si>
  <si>
    <t>HUGO</t>
  </si>
  <si>
    <t>08.4.16.9004</t>
  </si>
  <si>
    <t>16.1.04.0133</t>
  </si>
  <si>
    <t>FUNDO SAN VICENTE</t>
  </si>
  <si>
    <t>CARLOS JOSE SMITH CROXATTO</t>
  </si>
  <si>
    <t xml:space="preserve">PLANTA FAENADORA CARNES BULNES </t>
  </si>
  <si>
    <t>CARO PALAVICINO FRANCISCO JOSÉ LUIS</t>
  </si>
  <si>
    <t>08.4.02.9002</t>
  </si>
  <si>
    <t>08.3.01.3576</t>
  </si>
  <si>
    <t>PARCELA EL DESAHUE</t>
  </si>
  <si>
    <t>PATRICIO ALBERTO</t>
  </si>
  <si>
    <t>08.3.01.3430</t>
  </si>
  <si>
    <t>NUEVA ESPERANZA</t>
  </si>
  <si>
    <t>FERNANDEZ, QUEZADA RAMON ANGEL</t>
  </si>
  <si>
    <t>30-01-2022</t>
  </si>
  <si>
    <t>08.3.03.0009</t>
  </si>
  <si>
    <t>22-10-2022</t>
  </si>
  <si>
    <t>11-10-2022</t>
  </si>
  <si>
    <t>30-06-2022</t>
  </si>
  <si>
    <t>3 años 6 meses</t>
  </si>
  <si>
    <t>FAENADORA GRANEROS FAENAGRO LTDA.</t>
  </si>
  <si>
    <t>SOC.GONZALEZ MAÑES Y CIA.LTDA.</t>
  </si>
  <si>
    <t>06.1.06.0001</t>
  </si>
  <si>
    <t>LOTE 13-1 SUBDIVISION PARCELA 13</t>
  </si>
  <si>
    <t>LUIS ALBERTO</t>
  </si>
  <si>
    <t>05-09-2022</t>
  </si>
  <si>
    <t>07.4.01.0151</t>
  </si>
  <si>
    <t>15-11-2021</t>
  </si>
  <si>
    <t>10.3.07.0024</t>
  </si>
  <si>
    <t>10.3.01.2090</t>
  </si>
  <si>
    <t>08.3.01.1201</t>
  </si>
  <si>
    <t>10.1.06.1930</t>
  </si>
  <si>
    <t>31-12-2021</t>
  </si>
  <si>
    <t>11.1.01.0077</t>
  </si>
  <si>
    <t>10.3.01.1203</t>
  </si>
  <si>
    <t>EL CASTAÑO</t>
  </si>
  <si>
    <t>JORGE WILIBERTO</t>
  </si>
  <si>
    <t>10.1.08.1018</t>
  </si>
  <si>
    <t>10.1.05.0365</t>
  </si>
  <si>
    <t>SOCIEDAD FAENADORA ABASCAR LTDA.(PTO. MONTT)</t>
  </si>
  <si>
    <t>SOCIEDAD FAENADORA ABASCAR LTDA.</t>
  </si>
  <si>
    <t>10.1.01.0501</t>
  </si>
  <si>
    <t>LOS PERALES</t>
  </si>
  <si>
    <t>PEÑA GAJARDO ANIBAL</t>
  </si>
  <si>
    <t>13.2.02.0120</t>
  </si>
  <si>
    <t>PLANTA FAENADORA DE CARNES CALACAR</t>
  </si>
  <si>
    <t>ABELARDO IVAN</t>
  </si>
  <si>
    <t>13.1.09.0001</t>
  </si>
  <si>
    <t>12-12-2021</t>
  </si>
  <si>
    <t>15-08-2021</t>
  </si>
  <si>
    <t>4 años 5 meses</t>
  </si>
  <si>
    <t>20-01-2022</t>
  </si>
  <si>
    <t>18-11-2021</t>
  </si>
  <si>
    <t>25-12-2021</t>
  </si>
  <si>
    <t>18-12-2021</t>
  </si>
  <si>
    <t>20-12-2021</t>
  </si>
  <si>
    <t>10-12-2021</t>
  </si>
  <si>
    <t>FUNDO CUINCAHUIN</t>
  </si>
  <si>
    <t>AGRICOLA Y FORESTAL TORREON LI</t>
  </si>
  <si>
    <t>10.1.07.0449</t>
  </si>
  <si>
    <t>12-10-2021</t>
  </si>
  <si>
    <t>05-09-2021</t>
  </si>
  <si>
    <t>10.1.07.0106</t>
  </si>
  <si>
    <t>30-03-2024</t>
  </si>
  <si>
    <t>07.3.01.0148</t>
  </si>
  <si>
    <t>28-02-2024</t>
  </si>
  <si>
    <t>20-09-2024</t>
  </si>
  <si>
    <t>11.1.01.0689</t>
  </si>
  <si>
    <t>LAGO POLUX</t>
  </si>
  <si>
    <t>11.1.01.2123</t>
  </si>
  <si>
    <t>10.1.04.0848</t>
  </si>
  <si>
    <t>CESAR ALEJANDRO</t>
  </si>
  <si>
    <t>LA BOTELLA</t>
  </si>
  <si>
    <t>10.1.06.1952</t>
  </si>
  <si>
    <t xml:space="preserve">OYARZUN VELASQUEZ IVAN DANIEL  </t>
  </si>
  <si>
    <t>HIJUELA N°1</t>
  </si>
  <si>
    <t>10-11-2024</t>
  </si>
  <si>
    <t>15-01-2025</t>
  </si>
  <si>
    <t>15-12-2024</t>
  </si>
  <si>
    <t>04-06-2025</t>
  </si>
  <si>
    <t>30-11-2025</t>
  </si>
  <si>
    <t>30-10-2025</t>
  </si>
  <si>
    <t>es lo queda en sipec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</si>
</sst>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name val="Calibri"/>
      <family val="2"/>
      <scheme val="minor"/>
    </font>
    <font>
      <b/>
      <sz val="10"/>
      <name val="Arial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Border="0" applyAlignment="0"/>
  </cellStyleXfs>
  <cellXfs count="32">
    <xf numFmtId="0" fontId="0" fillId="0" borderId="0" xfId="0"/>
    <xf numFmtId="0" fontId="0" fillId="0" borderId="10" xfId="0" pivotButton="1" applyBorder="1" applyAlignment="1">
      <alignment horizontal="center"/>
    </xf>
    <xf numFmtId="0" fontId="0" fillId="0" borderId="10" xfId="0" applyBorder="1"/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/>
    <xf numFmtId="1" fontId="18" fillId="0" borderId="0" xfId="0" applyNumberFormat="1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33" borderId="0" xfId="0" applyFill="1"/>
    <xf numFmtId="0" fontId="19" fillId="0" borderId="0" xfId="0" applyFont="1"/>
    <xf numFmtId="14" fontId="19" fillId="0" borderId="0" xfId="0" applyNumberFormat="1" applyFont="1"/>
    <xf numFmtId="1" fontId="19" fillId="0" borderId="0" xfId="0" applyNumberFormat="1" applyFont="1"/>
    <xf numFmtId="0" fontId="20" fillId="0" borderId="0" xfId="0" applyFont="1"/>
    <xf numFmtId="49" fontId="0" fillId="0" borderId="0" xfId="0" applyNumberFormat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4" fillId="0" borderId="0" xfId="0" applyFont="1" applyAlignment="1">
      <alignment vertical="center" wrapText="1"/>
    </xf>
    <xf numFmtId="14" fontId="14" fillId="0" borderId="0" xfId="0" applyNumberFormat="1" applyFont="1" applyAlignment="1">
      <alignment vertical="center" wrapText="1"/>
    </xf>
    <xf numFmtId="0" fontId="14" fillId="0" borderId="0" xfId="0" applyFont="1"/>
    <xf numFmtId="0" fontId="21" fillId="0" borderId="0" xfId="42"/>
    <xf numFmtId="0" fontId="21" fillId="0" borderId="0" xfId="42" applyNumberFormat="1"/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/>
    <xf numFmtId="0" fontId="0" fillId="34" borderId="0" xfId="0" applyFill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Solar" refreshedDate="46038.698121296293" createdVersion="6" refreshedVersion="6" minRefreshableVersion="3" recordCount="1840" xr:uid="{00000000-000A-0000-FFFF-FFFF15000000}">
  <cacheSource type="worksheet">
    <worksheetSource ref="A1:T1048576" sheet="-1"/>
  </cacheSource>
  <cacheFields count="20">
    <cacheField name="DIIO" numFmtId="0">
      <sharedItems containsString="0" containsBlank="1" containsNumber="1" containsInteger="1" minValue="55956" maxValue="26234094"/>
    </cacheField>
    <cacheField name="chip toro" numFmtId="0">
      <sharedItems containsString="0" containsBlank="1" containsNumber="1" containsInteger="1" minValue="2636101" maxValue="2636175"/>
    </cacheField>
    <cacheField name="cambio diio (antiguo)" numFmtId="0">
      <sharedItems containsString="0" containsBlank="1" containsNumber="1" containsInteger="1" minValue="893320" maxValue="24567522"/>
    </cacheField>
    <cacheField name="manejo 2020" numFmtId="14">
      <sharedItems containsNonDate="0" containsDate="1" containsString="0" containsBlank="1" minDate="2020-06-01T00:00:00" maxDate="2020-11-10T00:00:00"/>
    </cacheField>
    <cacheField name="manejo 2021" numFmtId="14">
      <sharedItems containsNonDate="0" containsDate="1" containsString="0" containsBlank="1" minDate="2021-06-03T00:00:00" maxDate="2021-12-02T00:00:00"/>
    </cacheField>
    <cacheField name="manejo 2022" numFmtId="14">
      <sharedItems containsNonDate="0" containsDate="1" containsString="0" containsBlank="1" minDate="2022-05-26T00:00:00" maxDate="2022-12-29T00:00:00"/>
    </cacheField>
    <cacheField name="manejo 2023" numFmtId="14">
      <sharedItems containsNonDate="0" containsDate="1" containsString="0" containsBlank="1" minDate="2023-06-13T00:00:00" maxDate="2023-12-29T00:00:00"/>
    </cacheField>
    <cacheField name="manejo 2024" numFmtId="14">
      <sharedItems containsNonDate="0" containsDate="1" containsString="0" containsBlank="1" minDate="2024-01-06T00:00:00" maxDate="2024-12-23T00:00:00"/>
    </cacheField>
    <cacheField name="manejo 2025" numFmtId="14">
      <sharedItems containsNonDate="0" containsDate="1" containsString="0" containsBlank="1" minDate="2025-01-14T00:00:00" maxDate="2025-11-09T00:00:00"/>
    </cacheField>
    <cacheField name="Sexo" numFmtId="0">
      <sharedItems containsBlank="1"/>
    </cacheField>
    <cacheField name="Clase" numFmtId="0">
      <sharedItems containsBlank="1" count="10">
        <s v="BUEY"/>
        <s v="VACA"/>
        <s v="no existe"/>
        <s v="TORO"/>
        <s v="VAQUILLA"/>
        <s v="NOVILLO"/>
        <s v="TORITO"/>
        <s v="TERNERA"/>
        <s v="TERNERO"/>
        <m/>
      </sharedItems>
    </cacheField>
    <cacheField name="Raza" numFmtId="0">
      <sharedItems containsBlank="1"/>
    </cacheField>
    <cacheField name="Edad" numFmtId="0">
      <sharedItems containsBlank="1" count="236">
        <s v="23 años 11 meses"/>
        <s v="21 años 4 meses"/>
        <s v="22 años 3 meses"/>
        <s v="21 años 3 meses"/>
        <s v="no existe"/>
        <s v="23 años 3 meses"/>
        <s v="20 años 3 meses"/>
        <s v="22 años 4 meses"/>
        <s v="24 años 3 meses"/>
        <s v="20 años 1 meses"/>
        <s v="20 años 4 meses"/>
        <s v="19 años 3 meses"/>
        <s v="19 años 2 meses"/>
        <s v="19 años 1 meses"/>
        <s v="19 años 4 meses"/>
        <s v="18 años 9 meses"/>
        <s v="18 años 3 meses"/>
        <s v="18 años 1 meses"/>
        <s v="17 años 9 meses"/>
        <s v="17 años 10 meses"/>
        <s v="17 años 3 meses"/>
        <s v="17 años 1 meses"/>
        <s v="17 años 0 meses"/>
        <s v="17 años 2 meses"/>
        <s v="7 años 4 meses"/>
        <s v="16 años 3 meses"/>
        <s v="15 años 9 meses"/>
        <s v="15 años 10 meses"/>
        <s v="16 años 1 meses"/>
        <s v="16 años 0 meses"/>
        <s v="16 años 2 meses"/>
        <s v="16 años 4 meses"/>
        <s v="15 años 11 meses"/>
        <s v="15 años 8 meses"/>
        <s v="21 años 2 meses"/>
        <s v="21 años 0 meses"/>
        <s v="15 años 0 meses"/>
        <s v="15 años 3 meses"/>
        <s v="15 años 2 meses"/>
        <s v="15 años 1 meses"/>
        <s v="14 años 8 meses"/>
        <s v="14 años 4 meses"/>
        <s v="14 años 3 meses"/>
        <s v="14 años 2 meses"/>
        <s v="14 años 1 meses"/>
        <s v="14 años 0 meses"/>
        <s v="13 años 10 meses"/>
        <s v="13 años 11 meses"/>
        <s v="13 años 9 meses"/>
        <s v="13 años 3 meses"/>
        <s v="12 años 2 meses"/>
        <s v="11 años 3 meses"/>
        <s v="13 años 2 meses"/>
        <s v="13 años 4 meses"/>
        <s v="13 años 0 meses"/>
        <s v="12 años 11 meses"/>
        <s v="13 años 1 meses"/>
        <s v="12 años 3 meses"/>
        <s v="12 años 1 meses"/>
        <s v="11 años 11 meses"/>
        <s v="11 años 10 meses"/>
        <s v="10 años 2 meses"/>
        <s v="10 años 0 meses"/>
        <s v="10 años 1 meses"/>
        <s v="9 años 11 meses"/>
        <s v="9 años 10 meses"/>
        <s v="11 años 2 meses"/>
        <s v="12 años 0 meses"/>
        <s v="11 años 9 meses"/>
        <s v="11 años 8 meses"/>
        <s v="11 años 1 meses"/>
        <s v="10 años 9 meses"/>
        <s v="10 años 3 meses"/>
        <s v="11 años 4 meses"/>
        <s v="10 años 11 meses"/>
        <s v="10 años 10 meses"/>
        <s v="10 años 6 meses"/>
        <s v="10 años 8 meses"/>
        <s v="10 años 4 meses"/>
        <s v="9 años 3 meses"/>
        <s v="9 años 0 meses"/>
        <s v="9 años 1 meses"/>
        <s v="8 años 11 meses"/>
        <s v="8 años 10 meses"/>
        <s v="8 años 3 meses"/>
        <s v="8 años 2 meses"/>
        <s v="8 años 4 meses"/>
        <s v="8 años 1 meses"/>
        <s v="7 años 11 meses"/>
        <s v="7 años 10 meses"/>
        <s v="7 años 9 meses"/>
        <s v="7 años 3 meses"/>
        <s v="7 años 2 meses"/>
        <s v="5 años 2 meses"/>
        <s v="5 años 0 meses"/>
        <s v="5 años 3 meses"/>
        <s v="6 años 3 meses"/>
        <s v="6 años 2 meses"/>
        <s v="4 años 1 meses"/>
        <s v="6 años 4 meses"/>
        <s v="7 años 0 meses"/>
        <s v="5 años 11 meses"/>
        <s v="18 años 2 meses"/>
        <s v="6 años 0 meses"/>
        <s v="7 años 1 meses"/>
        <s v="6 años 9 meses"/>
        <s v="6 años 10 meses"/>
        <s v="6 años 1 meses"/>
        <s v="5 años 4 meses"/>
        <s v="14 años 7 meses"/>
        <s v="15 años 4 meses"/>
        <s v="12 años 9 meses"/>
        <s v="5 años 1 meses"/>
        <s v="4 años 4 meses"/>
        <s v="3 años 3 meses"/>
        <s v="4 años 3 meses"/>
        <s v="4 años 2 meses"/>
        <s v="4 años 0 meses"/>
        <s v="14 años 11 meses"/>
        <s v="3 años 2 meses"/>
        <s v="3 años 1 meses"/>
        <s v="2 años 3 meses"/>
        <s v="2 años 11 meses"/>
        <s v="3 años 10 meses"/>
        <s v="3 años 11 meses"/>
        <s v="2 años 4 meses"/>
        <s v="3 años 4 meses"/>
        <s v="2 años 5 meses"/>
        <s v="2 años 2 meses"/>
        <s v="2 años 1 meses"/>
        <s v="2 años 0 meses"/>
        <s v="1 años 10 meses"/>
        <s v="1 años 11 meses"/>
        <s v="3 años 0 meses"/>
        <s v="1 años 9 meses"/>
        <s v="1 años 4 meses"/>
        <s v="1 años 5 meses"/>
        <s v="1 años 3 meses"/>
        <s v="1 años 2 meses"/>
        <s v="1 años 8 meses"/>
        <s v="1 años 1 meses"/>
        <s v="1 años 0 meses"/>
        <s v="0 años 10 meses"/>
        <s v="0 años 11 meses"/>
        <s v="0 años 9 meses"/>
        <s v="3 años 5 meses"/>
        <s v="0 años 3 meses"/>
        <s v="0 años 4 meses"/>
        <s v="0 años 5 meses"/>
        <s v="0 años 6 meses"/>
        <s v="0 años 2 meses"/>
        <m/>
        <s v="20 años 10 meses" u="1"/>
        <s v="15 años 5 meses" u="1"/>
        <s v="6 años 7 meses" u="1"/>
        <s v="13 años 8 meses" u="1"/>
        <s v="8 años 6 meses" u="1"/>
        <s v="20 años 11 meses" u="1"/>
        <s v="9 años 8 meses" u="1"/>
        <s v="1 años 6 meses" u="1"/>
        <s v="22 años 1 meses" u="1"/>
        <s v="17 años 8 meses" u="1"/>
        <s v="18 años 0 meses" u="1"/>
        <s v="5 años 10 meses" u="1"/>
        <s v="22 años 11 meses" u="1"/>
        <s v="2 años 8 meses" u="1"/>
        <s v="12 años 6 meses" u="1"/>
        <s v="23 años 9 meses" u="1"/>
        <s v="24 años 1 meses" u="1"/>
        <s v="24 años 11 meses" u="1"/>
        <s v="14 años 6 meses" u="1"/>
        <s v="5 años 9 meses" u="1"/>
        <s v="6 años 6 meses" u="1"/>
        <s v="6 años 11 meses" u="1"/>
        <s v="7 años 8 meses" u="1"/>
        <s v="8 años 0 meses" u="1"/>
        <s v="14 años 9 meses" u="1"/>
        <s v="18 años 6 meses" u="1"/>
        <s v="0 años 8 meses" u="1"/>
        <s v="9 años 7 meses" u="1"/>
        <s v="16 años 9 meses" u="1"/>
        <s v="11 años 7 meses" u="1"/>
        <s v="17 años 11 meses" u="1"/>
        <s v="13 años 7 meses" u="1"/>
        <s v="19 años 11 meses" u="1"/>
        <s v="3 años 9 meses" u="1"/>
        <s v="20 años 0 meses" u="1"/>
        <s v="15 años 7 meses" u="1"/>
        <s v="4 años 11 meses" u="1"/>
        <s v="5 años 8 meses" u="1"/>
        <s v="10 años 5 meses" u="1"/>
        <s v="22 años 0 meses" u="1"/>
        <s v="17 años 7 meses" u="1"/>
        <s v="7 años 7 meses" u="1"/>
        <s v="23 años 8 meses" u="1"/>
        <s v="8 años 9 meses" u="1"/>
        <s v="11 años 0 meses" u="1"/>
        <s v="0 años 7 meses" u="1"/>
        <s v="14 años 5 meses" u="1"/>
        <s v="12 años 8 meses" u="1"/>
        <s v="3 años 8 meses" u="1"/>
        <s v="21 años 1 meses" u="1"/>
        <s v="21 años 11 meses" u="1"/>
        <s v="11 años 6 meses" u="1"/>
        <s v="12 años 10 meses" u="1"/>
        <s v="23 años 1 meses" u="1"/>
        <s v="7 años 6 meses" u="1"/>
        <s v="19 años 0 meses" u="1"/>
        <s v="13 años 6 meses" u="1"/>
        <s v="14 años 10 meses" u="1"/>
        <s v="0 años 1 meses" u="1"/>
        <s v="8 años 8 meses" u="1"/>
        <s v="15 años 6 meses" u="1"/>
        <s v="4 años 10 meses" u="1"/>
        <s v="16 años 10 meses" u="1"/>
        <s v="17 años 6 meses" u="1"/>
        <s v="18 años 10 meses" u="1"/>
        <s v="3 años 7 meses" u="1"/>
        <s v="20 años 2 meses" u="1"/>
        <s v="10 años 7 meses" u="1"/>
        <s v="16 años 11 meses" u="1"/>
        <s v="22 años 2 meses" u="1"/>
        <s v="6 años 8 meses" u="1"/>
        <s v="12 años 7 meses" u="1"/>
        <s v="18 años 11 meses" u="1"/>
        <s v="19 años 9 meses" u="1"/>
        <s v="2 años 10 meses" u="1"/>
        <s v="0 años 0 meses" u="1"/>
        <s v="8 años 7 meses" u="1"/>
        <s v="9 años 9 meses" u="1"/>
        <s v="20 años 8 meses" u="1"/>
        <s v="1 años 7 meses" u="1"/>
        <s v="11 años 5 meses" u="1"/>
        <s v="2 años 9 meses" u="1"/>
        <s v="3 años 6 meses" u="1"/>
        <s v="18 años 7 meses" u="1"/>
      </sharedItems>
    </cacheField>
    <cacheField name="Fecha_Nacimiento" numFmtId="0">
      <sharedItems containsBlank="1"/>
    </cacheField>
    <cacheField name="Estado" numFmtId="0">
      <sharedItems containsBlank="1"/>
    </cacheField>
    <cacheField name="Rup_Actual" numFmtId="0">
      <sharedItems containsBlank="1" count="23">
        <s v="11.1.01.1241"/>
        <s v="no existe"/>
        <s v="11.1.01.2304"/>
        <s v="11.1.01.0893"/>
        <s v="11.2.01.0038"/>
        <s v="11.1.01.0791"/>
        <s v="11.1.01.0941"/>
        <s v="10.3.01.0912"/>
        <s v="11.1.01.2442"/>
        <s v="11.1.01.0870"/>
        <s v="11.4.02.0133"/>
        <s v="11.1.01.1240"/>
        <s v="11.1.01.2002"/>
        <s v="10.1.07.0228"/>
        <s v="11.1.01.0683"/>
        <s v="11.1.01.1022"/>
        <s v="11.2.01.2000"/>
        <m/>
        <s v="10.3.07.0248" u="1"/>
        <s v="11.1.01.0190" u="1"/>
        <s v="11.2.01.0053" u="1"/>
        <s v="11.1.01.0793" u="1"/>
        <s v="11.1.02.0004" u="1"/>
      </sharedItems>
    </cacheField>
    <cacheField name="RUP_ultimo_movimiento" numFmtId="0">
      <sharedItems containsBlank="1"/>
    </cacheField>
    <cacheField name="Rup_Origen" numFmtId="0">
      <sharedItems containsBlank="1"/>
    </cacheField>
    <cacheField name="Exportable_CHINA" numFmtId="0">
      <sharedItems containsBlank="1" count="147">
        <s v="SI"/>
        <s v="no existe"/>
        <s v="NO"/>
        <m/>
        <s v="5 años 0 meses" u="1"/>
        <s v="11 años 8 meses" u="1"/>
        <s v="12 años 0 meses" u="1"/>
        <s v="0 años 10 meses" u="1"/>
        <s v="15 años 5 meses" u="1"/>
        <s v="6 años 7 meses" u="1"/>
        <s v="10 años 3 meses" u="1"/>
        <s v="13 años 8 meses" u="1"/>
        <s v="14 años 0 meses" u="1"/>
        <s v="7 años 9 meses" u="1"/>
        <s v="8 años 1 meses" u="1"/>
        <s v="8 años 6 meses" u="1"/>
        <s v="15 años 8 meses" u="1"/>
        <s v="16 años 0 meses" u="1"/>
        <s v="8 años 11 meses" u="1"/>
        <s v="20 años 11 meses" u="1"/>
        <s v="0 años 9 meses" u="1"/>
        <s v="1 años 1 meses" u="1"/>
        <s v="9 años 8 meses" u="1"/>
        <s v="10 años 6 meses" u="1"/>
        <s v="11 años 10 meses" u="1"/>
        <s v="1 años 6 meses" u="1"/>
        <s v="1 años 11 meses" u="1"/>
        <s v="18 años 0 meses" u="1"/>
        <s v="5 años 10 meses" u="1"/>
        <s v="22 años 11 meses" u="1"/>
        <s v="2 años 8 meses" u="1"/>
        <s v="3 años 0 meses" u="1"/>
        <s v="12 años 6 meses" u="1"/>
        <s v="13 años 10 meses" u="1"/>
        <s v="11 años 1 meses" u="1"/>
        <s v="24 años 11 meses" u="1"/>
        <s v="11 años 11 meses" u="1"/>
        <s v="15 años 10 meses" u="1"/>
        <s v="5 años 9 meses" u="1"/>
        <s v="6 años 1 meses" u="1"/>
        <s v="12 años 9 meses" u="1"/>
        <s v="13 años 1 meses" u="1"/>
        <s v="6 años 6 meses" u="1"/>
        <s v="13 años 11 meses" u="1"/>
        <s v="17 años 10 meses" u="1"/>
        <s v="6 años 11 meses" u="1"/>
        <s v="7 años 8 meses" u="1"/>
        <s v="8 años 0 meses" u="1"/>
        <s v="14 años 9 meses" u="1"/>
        <s v="15 años 1 meses" u="1"/>
        <s v="18 años 6 meses" u="1"/>
        <s v="15 años 11 meses" u="1"/>
        <s v="3 años 10 meses" u="1"/>
        <s v="0 años 8 meses" u="1"/>
        <s v="1 años 0 meses" u="1"/>
        <s v="9 años 7 meses" u="1"/>
        <s v="16 años 9 meses" u="1"/>
        <s v="1 años 5 meses" u="1"/>
        <s v="11 años 7 meses" u="1"/>
        <s v="17 años 11 meses" u="1"/>
        <e v="#REF!" u="1"/>
        <s v="13 años 7 meses" u="1"/>
        <s v="19 años 11 meses" u="1"/>
        <s v="3 años 9 meses" u="1"/>
        <s v="4 años 1 meses" u="1"/>
        <s v="20 años 0 meses" u="1"/>
        <s v="15 años 7 meses" u="1"/>
        <s v="4 años 11 meses" u="1"/>
        <s v="8 años 10 meses" u="1"/>
        <s v="5 años 8 meses" u="1"/>
        <s v="6 años 0 meses" u="1"/>
        <s v="10 años 5 meses" u="1"/>
        <s v="22 años 0 meses" u="1"/>
        <s v="1 años 10 meses" u="1"/>
        <s v="7 años 7 meses" u="1"/>
        <s v="23 años 8 meses" u="1"/>
        <s v="8 años 9 meses" u="1"/>
        <s v="10 años 8 meses" u="1"/>
        <s v="11 años 0 meses" u="1"/>
        <s v="0 años 7 meses" u="1"/>
        <s v="14 años 5 meses" u="1"/>
        <s v="9 años 11 meses" u="1"/>
        <s v="1 años 9 meses" u="1"/>
        <s v="12 años 8 meses" u="1"/>
        <s v="13 años 0 meses" u="1"/>
        <s v="2 años 11 meses" u="1"/>
        <s v="6 años 10 meses" u="1"/>
        <s v="3 años 8 meses" u="1"/>
        <s v="4 años 0 meses" u="1"/>
        <s v="14 años 8 meses" u="1"/>
        <s v="15 años 0 meses" u="1"/>
        <s v="10 años 10 meses" u="1"/>
        <e v="#N/A" u="1"/>
        <s v="17 años 0 meses" u="1"/>
        <s v="21 años 11 meses" u="1"/>
        <s v="11 años 6 meses" u="1"/>
        <s v="12 años 10 meses" u="1"/>
        <s v="6 años 9 meses" u="1"/>
        <s v="7 años 1 meses" u="1"/>
        <s v="7 años 6 meses" u="1"/>
        <s v="10 años 1 meses" u="1"/>
        <s v="19 años 0 meses" u="1"/>
        <s v="23 años 11 meses" u="1"/>
        <s v="13 años 6 meses" u="1"/>
        <s v="7 años 11 meses" u="1"/>
        <s v="10 años 11 meses" u="1"/>
        <s v="14 años 10 meses" u="1"/>
        <s v="8 años 8 meses" u="1"/>
        <s v="9 años 0 meses" u="1"/>
        <s v="0 años 6 meses" u="1"/>
        <s v="11 años 9 meses" u="1"/>
        <s v="0 años 11 meses" u="1"/>
        <s v="15 años 6 meses" u="1"/>
        <s v="4 años 10 meses" u="1"/>
        <s v="12 años 11 meses" u="1"/>
        <s v="16 años 10 meses" u="1"/>
        <s v="1 años 8 meses" u="1"/>
        <s v="2 años 0 meses" u="1"/>
        <s v="14 años 1 meses" u="1"/>
        <s v="3 años 2 meses" u="1"/>
        <s v="17 años 6 meses" u="1"/>
        <s v="14 años 11 meses" u="1"/>
        <s v="18 años 10 meses" u="1"/>
        <s v="3 años 7 meses" u="1"/>
        <s v="15 años 9 meses" u="1"/>
        <s v="16 años 1 meses" u="1"/>
        <s v="10 años 7 meses" u="1"/>
        <s v="16 años 11 meses" u="1"/>
        <s v="14 años 4 meses" u="1"/>
        <s v="5 años 11 meses" u="1"/>
        <s v="9 años 10 meses" u="1"/>
        <s v="7 años 0 meses" u="1"/>
        <s v="18 años 11 meses" u="1"/>
        <s v="19 años 9 meses" u="1"/>
        <s v="2 años 10 meses" u="1"/>
        <s v="8 años 7 meses" u="1"/>
        <s v="0 años 5 meses" u="1"/>
        <s v="9 años 9 meses" u="1"/>
        <s v="20 años 8 meses" u="1"/>
        <s v="21 años 0 meses" u="1"/>
        <s v="11 años 5 meses" u="1"/>
        <s v="2 años 9 meses" u="1"/>
        <s v="3 años 1 meses" u="1"/>
        <s v="3 años 6 meses" u="1"/>
        <s v="10 años 0 meses" u="1"/>
        <s v="3 años 11 meses" u="1"/>
        <s v="7 años 10 meses" u="1"/>
      </sharedItems>
    </cacheField>
    <cacheField name="fecha ident sipec" numFmtId="14">
      <sharedItems containsDate="1" containsBlank="1" containsMixedTypes="1" minDate="2010-10-15T00:00:00" maxDate="2025-11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Solar" refreshedDate="46038.708489583332" createdVersion="6" refreshedVersion="6" minRefreshableVersion="3" recordCount="2382" xr:uid="{00000000-000A-0000-FFFF-FFFF28000000}">
  <cacheSource type="worksheet">
    <worksheetSource ref="A1:T1048576" sheet="inventario"/>
  </cacheSource>
  <cacheFields count="21">
    <cacheField name="DIIO" numFmtId="0">
      <sharedItems containsString="0" containsBlank="1" containsNumber="1" containsInteger="1" minValue="55956" maxValue="26234485"/>
    </cacheField>
    <cacheField name="chip toro" numFmtId="0">
      <sharedItems containsString="0" containsBlank="1" containsNumber="1" containsInteger="1" minValue="2636101" maxValue="2636175"/>
    </cacheField>
    <cacheField name="cambio diio (antiguo)" numFmtId="0">
      <sharedItems containsString="0" containsBlank="1" containsNumber="1" containsInteger="1" minValue="84465" maxValue="24567522"/>
    </cacheField>
    <cacheField name="chip" numFmtId="0">
      <sharedItems containsBlank="1" containsMixedTypes="1" containsNumber="1" containsInteger="1" minValue="84465" maxValue="24567522"/>
    </cacheField>
    <cacheField name="manejo 2020" numFmtId="14">
      <sharedItems containsNonDate="0" containsDate="1" containsString="0" containsBlank="1" minDate="2020-06-01T00:00:00" maxDate="2020-11-10T00:00:00"/>
    </cacheField>
    <cacheField name="manejo 2021" numFmtId="0">
      <sharedItems containsNonDate="0" containsDate="1" containsString="0" containsBlank="1" minDate="2021-06-03T00:00:00" maxDate="2021-12-02T00:00:00"/>
    </cacheField>
    <cacheField name="manejo 2022" numFmtId="14">
      <sharedItems containsNonDate="0" containsDate="1" containsString="0" containsBlank="1" minDate="2022-05-26T00:00:00" maxDate="2022-12-29T00:00:00"/>
    </cacheField>
    <cacheField name="manejo 2023" numFmtId="14">
      <sharedItems containsNonDate="0" containsDate="1" containsString="0" containsBlank="1" minDate="2023-06-13T00:00:00" maxDate="2023-12-29T00:00:00"/>
    </cacheField>
    <cacheField name="manejo 2024" numFmtId="14">
      <sharedItems containsNonDate="0" containsDate="1" containsString="0" containsBlank="1" minDate="2024-01-06T00:00:00" maxDate="2024-12-23T00:00:00"/>
    </cacheField>
    <cacheField name="manejo 2025" numFmtId="14">
      <sharedItems containsNonDate="0" containsDate="1" containsString="0" containsBlank="1" minDate="2025-01-14T00:00:00" maxDate="2025-11-09T00:00:00"/>
    </cacheField>
    <cacheField name="Sexo" numFmtId="0">
      <sharedItems containsBlank="1"/>
    </cacheField>
    <cacheField name="Clase" numFmtId="0">
      <sharedItems containsBlank="1" count="10">
        <s v="BUEY"/>
        <s v="VACA"/>
        <s v="TORO"/>
        <s v="no existe"/>
        <s v="VAQUILLA"/>
        <s v="NOVILLO"/>
        <s v="TORITO"/>
        <s v="TERNERO"/>
        <s v="TERNERA"/>
        <m/>
      </sharedItems>
    </cacheField>
    <cacheField name="Raza" numFmtId="0">
      <sharedItems containsBlank="1"/>
    </cacheField>
    <cacheField name="Edad" numFmtId="0">
      <sharedItems containsBlank="1"/>
    </cacheField>
    <cacheField name="Fecha_Nacimiento" numFmtId="0">
      <sharedItems containsBlank="1"/>
    </cacheField>
    <cacheField name="Estado" numFmtId="0">
      <sharedItems containsBlank="1"/>
    </cacheField>
    <cacheField name="Rup_Actual" numFmtId="0">
      <sharedItems containsBlank="1" count="12">
        <s v="11.1.01.1241"/>
        <s v="11.1.01.2304"/>
        <s v="11.1.01.0893"/>
        <s v="11.2.01.0038"/>
        <s v="11.1.01.0791"/>
        <s v="no existe"/>
        <s v="11.1.01.0941"/>
        <s v="11.1.01.2442"/>
        <s v="11.1.01.0870"/>
        <s v="11.1.01.1240"/>
        <s v="11.1.01.1022"/>
        <m/>
      </sharedItems>
    </cacheField>
    <cacheField name="RUP_ultimo_movimiento" numFmtId="0">
      <sharedItems containsBlank="1"/>
    </cacheField>
    <cacheField name="Rup_Origen" numFmtId="0">
      <sharedItems containsBlank="1"/>
    </cacheField>
    <cacheField name="Exportable_CHINA" numFmtId="0">
      <sharedItems containsBlank="1"/>
    </cacheField>
    <cacheField name="fecha ident sipec" numFmtId="14">
      <sharedItems containsDate="1" containsBlank="1" containsMixedTypes="1" minDate="2014-04-09T00:00:00" maxDate="2026-11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40">
  <r>
    <n v="55956"/>
    <m/>
    <m/>
    <m/>
    <m/>
    <m/>
    <m/>
    <m/>
    <m/>
    <s v="M"/>
    <x v="0"/>
    <s v="OVERO COLORADO (CLAVEL ALEMAN)"/>
    <x v="0"/>
    <s v="08-02-2002"/>
    <s v="Vivo"/>
    <x v="0"/>
    <s v="11.1.01.0789"/>
    <s v="11.1.01.0790"/>
    <x v="0"/>
    <m/>
  </r>
  <r>
    <n v="83926"/>
    <m/>
    <m/>
    <m/>
    <m/>
    <m/>
    <m/>
    <m/>
    <m/>
    <s v="M"/>
    <x v="0"/>
    <s v="ANGUS NEGRO"/>
    <x v="1"/>
    <s v="15-09-2004"/>
    <s v="Vivo"/>
    <x v="0"/>
    <s v="11.1.01.0291"/>
    <s v="11.1.01.0290"/>
    <x v="0"/>
    <m/>
  </r>
  <r>
    <n v="84361"/>
    <m/>
    <m/>
    <m/>
    <m/>
    <m/>
    <m/>
    <m/>
    <m/>
    <s v="H"/>
    <x v="1"/>
    <s v="POLLED HEREFORD"/>
    <x v="2"/>
    <s v="15-10-2003"/>
    <s v="Vivo"/>
    <x v="0"/>
    <s v="11.1.01.0791"/>
    <s v="11.1.01.1241"/>
    <x v="0"/>
    <m/>
  </r>
  <r>
    <n v="84362"/>
    <m/>
    <m/>
    <m/>
    <m/>
    <m/>
    <m/>
    <m/>
    <m/>
    <s v="H"/>
    <x v="1"/>
    <s v="POLLED HEREFORD"/>
    <x v="2"/>
    <s v="15-10-2003"/>
    <s v="Vivo"/>
    <x v="0"/>
    <s v="Sin Movimiento"/>
    <s v="11.1.01.1241"/>
    <x v="0"/>
    <m/>
  </r>
  <r>
    <n v="84369"/>
    <m/>
    <m/>
    <m/>
    <m/>
    <m/>
    <m/>
    <m/>
    <m/>
    <s v="H"/>
    <x v="1"/>
    <s v="OVERO COLORADO (CLAVEL ALEMAN)"/>
    <x v="2"/>
    <s v="15-10-2003"/>
    <s v="Vivo"/>
    <x v="0"/>
    <s v="Sin Movimiento"/>
    <s v="11.1.01.1241"/>
    <x v="0"/>
    <m/>
  </r>
  <r>
    <n v="84393"/>
    <m/>
    <m/>
    <m/>
    <m/>
    <m/>
    <m/>
    <m/>
    <m/>
    <s v="H"/>
    <x v="1"/>
    <s v="POLLED HEREFORD"/>
    <x v="2"/>
    <s v="15-10-2003"/>
    <s v="Vivo"/>
    <x v="0"/>
    <s v="11.1.01.1081"/>
    <s v="11.1.01.1241"/>
    <x v="0"/>
    <m/>
  </r>
  <r>
    <n v="84403"/>
    <m/>
    <m/>
    <m/>
    <m/>
    <m/>
    <m/>
    <m/>
    <m/>
    <s v="H"/>
    <x v="1"/>
    <s v="POLLED HEREFORD"/>
    <x v="2"/>
    <s v="15-10-2003"/>
    <s v="Vivo"/>
    <x v="0"/>
    <s v="Sin Movimiento"/>
    <s v="11.1.01.1241"/>
    <x v="0"/>
    <m/>
  </r>
  <r>
    <n v="84427"/>
    <m/>
    <m/>
    <d v="2020-10-17T00:00:00"/>
    <m/>
    <m/>
    <m/>
    <m/>
    <m/>
    <s v="H"/>
    <x v="1"/>
    <s v="ANGUS ROJO"/>
    <x v="3"/>
    <s v="15-10-2004"/>
    <s v="Vivo"/>
    <x v="0"/>
    <s v="11.1.01.0790"/>
    <s v="11.1.01.0789"/>
    <x v="0"/>
    <m/>
  </r>
  <r>
    <n v="84463"/>
    <m/>
    <m/>
    <m/>
    <m/>
    <m/>
    <m/>
    <m/>
    <m/>
    <s v="H"/>
    <x v="1"/>
    <s v="OVERO COLORADO (CLAVEL ALEMAN)"/>
    <x v="2"/>
    <s v="15-10-2003"/>
    <s v="Vivo"/>
    <x v="0"/>
    <s v="Sin Movimiento"/>
    <s v="11.1.01.1241"/>
    <x v="0"/>
    <m/>
  </r>
  <r>
    <n v="84465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84494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84634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84657"/>
    <m/>
    <m/>
    <m/>
    <m/>
    <m/>
    <m/>
    <m/>
    <m/>
    <s v="H"/>
    <x v="1"/>
    <s v="HEREFORD"/>
    <x v="5"/>
    <s v="15-10-2002"/>
    <s v="Vivo"/>
    <x v="0"/>
    <s v="11.1.01.0791"/>
    <s v="11.1.01.0791"/>
    <x v="0"/>
    <m/>
  </r>
  <r>
    <n v="93136"/>
    <m/>
    <m/>
    <m/>
    <m/>
    <m/>
    <m/>
    <m/>
    <m/>
    <s v="M"/>
    <x v="0"/>
    <s v="ANGUS NEGRO"/>
    <x v="6"/>
    <s v="25-09-2005"/>
    <s v="Vivo"/>
    <x v="0"/>
    <s v="11.1.01.0790"/>
    <s v="11.1.01.0831"/>
    <x v="0"/>
    <m/>
  </r>
  <r>
    <n v="133342"/>
    <m/>
    <m/>
    <m/>
    <m/>
    <m/>
    <m/>
    <m/>
    <m/>
    <s v="M"/>
    <x v="0"/>
    <s v="OVERO COLORADO (CLAVEL ALEMAN)"/>
    <x v="6"/>
    <s v="15-10-2005"/>
    <s v="Vivo"/>
    <x v="0"/>
    <s v="11.1.01.0893"/>
    <s v="11.1.01.0932"/>
    <x v="0"/>
    <m/>
  </r>
  <r>
    <n v="150564"/>
    <m/>
    <m/>
    <m/>
    <m/>
    <m/>
    <m/>
    <m/>
    <m/>
    <s v="H"/>
    <x v="1"/>
    <s v="OVERO COLORADO (CLAVEL ALEMAN)"/>
    <x v="7"/>
    <s v="15-09-2003"/>
    <s v="Vivo"/>
    <x v="0"/>
    <s v="11.1.01.1081"/>
    <s v="11.2.02.0112"/>
    <x v="0"/>
    <m/>
  </r>
  <r>
    <n v="161892"/>
    <m/>
    <m/>
    <d v="2020-06-01T00:00:00"/>
    <d v="2021-10-22T00:00:00"/>
    <d v="2022-11-18T00:00:00"/>
    <d v="2023-11-23T00:00:00"/>
    <m/>
    <m/>
    <s v="H"/>
    <x v="1"/>
    <s v="POLLED HEREFORD"/>
    <x v="8"/>
    <s v="15-10-2001"/>
    <s v="Vivo"/>
    <x v="0"/>
    <s v="Sin Movimiento"/>
    <s v="11.1.01.1241"/>
    <x v="0"/>
    <m/>
  </r>
  <r>
    <n v="176301"/>
    <m/>
    <m/>
    <m/>
    <d v="2021-10-22T00:00:00"/>
    <d v="2022-11-28T00:00:00"/>
    <d v="2023-11-10T00:00:00"/>
    <m/>
    <m/>
    <s v="M"/>
    <x v="0"/>
    <s v="ANGUS NEGRO"/>
    <x v="6"/>
    <s v="15-10-2005"/>
    <s v="Vivo"/>
    <x v="0"/>
    <s v="11.1.01.1081"/>
    <s v="11.1.01.0290"/>
    <x v="0"/>
    <m/>
  </r>
  <r>
    <n v="176307"/>
    <m/>
    <m/>
    <m/>
    <m/>
    <m/>
    <m/>
    <m/>
    <m/>
    <s v="M"/>
    <x v="0"/>
    <s v="ANGUS NEGRO"/>
    <x v="6"/>
    <s v="15-10-2005"/>
    <s v="Vivo"/>
    <x v="0"/>
    <s v="11.1.01.0290"/>
    <s v="11.1.01.0290"/>
    <x v="0"/>
    <m/>
  </r>
  <r>
    <n v="180512"/>
    <m/>
    <m/>
    <m/>
    <d v="2021-10-22T00:00:00"/>
    <m/>
    <d v="2023-06-13T00:00:00"/>
    <m/>
    <m/>
    <s v="H"/>
    <x v="1"/>
    <s v="HEREFORD"/>
    <x v="6"/>
    <s v="15-10-2005"/>
    <s v="Vivo"/>
    <x v="0"/>
    <s v="11.1.01.0791"/>
    <s v="11.1.01.0791"/>
    <x v="0"/>
    <m/>
  </r>
  <r>
    <n v="180524"/>
    <m/>
    <m/>
    <m/>
    <d v="2021-10-22T00:00:00"/>
    <d v="2022-12-13T00:00:00"/>
    <d v="2023-12-05T00:00:00"/>
    <m/>
    <m/>
    <s v="H"/>
    <x v="1"/>
    <s v="HEREFORD"/>
    <x v="6"/>
    <s v="15-10-2005"/>
    <s v="Vivo"/>
    <x v="0"/>
    <s v="11.1.01.1240"/>
    <s v="11.1.01.0791"/>
    <x v="0"/>
    <m/>
  </r>
  <r>
    <n v="180528"/>
    <m/>
    <m/>
    <m/>
    <m/>
    <m/>
    <m/>
    <m/>
    <m/>
    <s v="H"/>
    <x v="1"/>
    <s v="HEREFORD"/>
    <x v="6"/>
    <s v="15-10-2005"/>
    <s v="Vivo"/>
    <x v="0"/>
    <s v="11.1.01.0789"/>
    <s v="11.1.01.0791"/>
    <x v="0"/>
    <m/>
  </r>
  <r>
    <n v="180529"/>
    <m/>
    <m/>
    <m/>
    <m/>
    <m/>
    <m/>
    <m/>
    <m/>
    <s v="H"/>
    <x v="1"/>
    <s v="HEREFORD"/>
    <x v="9"/>
    <s v="15-12-2005"/>
    <s v="Vivo"/>
    <x v="0"/>
    <s v="11.1.01.1240"/>
    <s v="11.1.01.1240"/>
    <x v="0"/>
    <m/>
  </r>
  <r>
    <n v="180560"/>
    <m/>
    <m/>
    <m/>
    <m/>
    <m/>
    <m/>
    <m/>
    <m/>
    <s v="H"/>
    <x v="1"/>
    <s v="OVERO COLORADO (CLAVEL ALEMAN)"/>
    <x v="6"/>
    <s v="15-10-2005"/>
    <s v="Vivo"/>
    <x v="0"/>
    <s v="11.2.01.0038"/>
    <s v="11.1.01.1241"/>
    <x v="0"/>
    <m/>
  </r>
  <r>
    <n v="180572"/>
    <m/>
    <m/>
    <m/>
    <m/>
    <m/>
    <m/>
    <m/>
    <m/>
    <s v="H"/>
    <x v="1"/>
    <s v="OVERO COLORADO (CLAVEL ALEMAN)"/>
    <x v="6"/>
    <s v="15-10-2005"/>
    <s v="Vivo"/>
    <x v="0"/>
    <s v="11.2.01.0053"/>
    <s v="11.1.01.1241"/>
    <x v="0"/>
    <m/>
  </r>
  <r>
    <n v="180592"/>
    <m/>
    <m/>
    <m/>
    <m/>
    <m/>
    <m/>
    <m/>
    <m/>
    <s v="H"/>
    <x v="1"/>
    <s v="OVERO COLORADO (CLAVEL ALEMAN)"/>
    <x v="6"/>
    <s v="15-10-2005"/>
    <s v="Vivo"/>
    <x v="0"/>
    <s v="11.1.01.1240"/>
    <s v="11.1.01.1241"/>
    <x v="0"/>
    <m/>
  </r>
  <r>
    <n v="180666"/>
    <m/>
    <m/>
    <m/>
    <m/>
    <m/>
    <m/>
    <m/>
    <m/>
    <s v="H"/>
    <x v="1"/>
    <s v="OVERO COLORADO (CLAVEL ALEMAN)"/>
    <x v="9"/>
    <s v="15-12-2005"/>
    <s v="Vivo"/>
    <x v="0"/>
    <s v="11.1.01.0791"/>
    <s v="11.1.01.1241"/>
    <x v="0"/>
    <m/>
  </r>
  <r>
    <n v="180700"/>
    <m/>
    <m/>
    <m/>
    <m/>
    <m/>
    <m/>
    <m/>
    <m/>
    <s v="H"/>
    <x v="1"/>
    <s v="HEREFORD"/>
    <x v="10"/>
    <s v="15-09-2005"/>
    <s v="Vivo"/>
    <x v="0"/>
    <s v="11.2.01.2071"/>
    <s v="11.1.01.0790"/>
    <x v="0"/>
    <m/>
  </r>
  <r>
    <n v="180705"/>
    <m/>
    <m/>
    <m/>
    <m/>
    <m/>
    <m/>
    <m/>
    <m/>
    <s v="H"/>
    <x v="1"/>
    <s v="OVERO COLORADO (CLAVEL ALEMAN)"/>
    <x v="10"/>
    <s v="15-09-2005"/>
    <s v="Vivo"/>
    <x v="0"/>
    <s v="11.1.01.0791"/>
    <s v="11.1.01.0790"/>
    <x v="0"/>
    <m/>
  </r>
  <r>
    <n v="180717"/>
    <m/>
    <m/>
    <m/>
    <m/>
    <m/>
    <m/>
    <m/>
    <m/>
    <s v="H"/>
    <x v="1"/>
    <s v="HEREFORD"/>
    <x v="6"/>
    <s v="15-10-2005"/>
    <s v="Vivo"/>
    <x v="0"/>
    <s v="11.1.01.0791"/>
    <s v="11.1.01.0790"/>
    <x v="0"/>
    <m/>
  </r>
  <r>
    <n v="180721"/>
    <m/>
    <m/>
    <d v="2020-10-29T00:00:00"/>
    <d v="2021-11-18T00:00:00"/>
    <d v="2022-11-28T00:00:00"/>
    <d v="2023-11-24T00:00:00"/>
    <m/>
    <m/>
    <s v="H"/>
    <x v="1"/>
    <s v="HEREFORD"/>
    <x v="6"/>
    <s v="15-10-2005"/>
    <s v="Vivo"/>
    <x v="0"/>
    <s v="11.1.01.0791"/>
    <s v="11.1.01.0790"/>
    <x v="0"/>
    <m/>
  </r>
  <r>
    <n v="1316934"/>
    <m/>
    <m/>
    <d v="2020-06-01T00:00:00"/>
    <d v="2021-10-22T00:00:00"/>
    <d v="2022-12-17T00:00:00"/>
    <d v="2023-11-23T00:00:00"/>
    <m/>
    <m/>
    <s v="M"/>
    <x v="0"/>
    <s v="ANGUS NEGRO"/>
    <x v="11"/>
    <s v="15-10-2006"/>
    <s v="Vivo"/>
    <x v="0"/>
    <s v="11.1.01.0290"/>
    <s v="11.1.01.0290"/>
    <x v="0"/>
    <m/>
  </r>
  <r>
    <n v="1316953"/>
    <m/>
    <m/>
    <m/>
    <m/>
    <m/>
    <m/>
    <m/>
    <m/>
    <s v="M"/>
    <x v="0"/>
    <s v="ANGUS ROJO"/>
    <x v="12"/>
    <s v="30-10-2006"/>
    <s v="Vivo"/>
    <x v="0"/>
    <s v="11.1.01.0790"/>
    <s v="11.1.01.0790"/>
    <x v="0"/>
    <m/>
  </r>
  <r>
    <n v="1316957"/>
    <m/>
    <m/>
    <d v="2020-06-01T00:00:00"/>
    <d v="2021-10-22T00:00:00"/>
    <d v="2022-12-13T00:00:00"/>
    <d v="2023-11-23T00:00:00"/>
    <m/>
    <m/>
    <s v="H"/>
    <x v="1"/>
    <s v="OVERO COLORADO (CLAVEL ALEMAN)"/>
    <x v="12"/>
    <s v="30-10-2006"/>
    <s v="Vivo"/>
    <x v="0"/>
    <s v="11.2.01.0053"/>
    <s v="11.1.01.0790"/>
    <x v="0"/>
    <m/>
  </r>
  <r>
    <n v="1316967"/>
    <m/>
    <m/>
    <d v="2020-10-29T00:00:00"/>
    <d v="2021-11-18T00:00:00"/>
    <d v="2022-11-18T00:00:00"/>
    <m/>
    <m/>
    <m/>
    <s v="H"/>
    <x v="1"/>
    <s v="HEREFORD"/>
    <x v="13"/>
    <s v="30-11-2006"/>
    <s v="Vivo"/>
    <x v="0"/>
    <s v="11.2.01.0053"/>
    <s v="11.1.01.0790"/>
    <x v="0"/>
    <m/>
  </r>
  <r>
    <n v="1318037"/>
    <m/>
    <m/>
    <m/>
    <m/>
    <m/>
    <m/>
    <m/>
    <m/>
    <s v="H"/>
    <x v="1"/>
    <s v="OVERO COLORADO (CLAVEL ALEMAN)"/>
    <x v="11"/>
    <s v="15-10-2006"/>
    <s v="Vivo"/>
    <x v="0"/>
    <s v="11.2.01.0053"/>
    <s v="11.1.01.1241"/>
    <x v="0"/>
    <m/>
  </r>
  <r>
    <n v="1318058"/>
    <m/>
    <m/>
    <m/>
    <m/>
    <m/>
    <m/>
    <m/>
    <m/>
    <s v="H"/>
    <x v="1"/>
    <s v="OVERO COLORADO (CLAVEL ALEMAN)"/>
    <x v="11"/>
    <s v="15-10-2006"/>
    <s v="Vivo"/>
    <x v="0"/>
    <s v="11.1.01.0893"/>
    <s v="11.1.01.1241"/>
    <x v="0"/>
    <m/>
  </r>
  <r>
    <n v="1318076"/>
    <m/>
    <m/>
    <m/>
    <m/>
    <m/>
    <m/>
    <m/>
    <m/>
    <s v="H"/>
    <x v="1"/>
    <s v="ANGUS ROJO"/>
    <x v="14"/>
    <s v="15-09-2006"/>
    <s v="Vivo"/>
    <x v="0"/>
    <s v="Sin Movimiento"/>
    <s v="11.1.01.1241"/>
    <x v="0"/>
    <m/>
  </r>
  <r>
    <n v="1318087"/>
    <m/>
    <m/>
    <m/>
    <m/>
    <m/>
    <m/>
    <m/>
    <m/>
    <s v="H"/>
    <x v="1"/>
    <s v="HEREFORD"/>
    <x v="11"/>
    <s v="15-10-2006"/>
    <s v="Vivo"/>
    <x v="0"/>
    <s v="11.2.01.0053"/>
    <s v="11.1.01.1241"/>
    <x v="0"/>
    <m/>
  </r>
  <r>
    <n v="1318097"/>
    <m/>
    <m/>
    <d v="2020-06-01T00:00:00"/>
    <d v="2021-10-28T00:00:00"/>
    <d v="2022-11-03T00:00:00"/>
    <d v="2023-11-23T00:00:00"/>
    <m/>
    <m/>
    <s v="H"/>
    <x v="1"/>
    <s v="HEREFORD"/>
    <x v="12"/>
    <s v="15-11-2006"/>
    <s v="Vivo"/>
    <x v="0"/>
    <s v="11.2.01.0053"/>
    <s v="11.1.01.1241"/>
    <x v="0"/>
    <m/>
  </r>
  <r>
    <n v="1318106"/>
    <m/>
    <m/>
    <d v="2020-11-09T00:00:00"/>
    <d v="2021-06-03T00:00:00"/>
    <d v="2022-11-03T00:00:00"/>
    <d v="2023-06-15T00:00:00"/>
    <m/>
    <m/>
    <s v="H"/>
    <x v="1"/>
    <s v="ANGUS ROJO"/>
    <x v="12"/>
    <s v="15-11-2006"/>
    <s v="Vivo"/>
    <x v="0"/>
    <s v="Sin Movimiento"/>
    <s v="11.1.01.1241"/>
    <x v="0"/>
    <m/>
  </r>
  <r>
    <n v="1318116"/>
    <m/>
    <m/>
    <d v="2020-10-29T00:00:00"/>
    <d v="2021-11-04T00:00:00"/>
    <d v="2022-10-23T00:00:00"/>
    <d v="2023-11-24T00:00:00"/>
    <m/>
    <m/>
    <s v="H"/>
    <x v="1"/>
    <s v="HEREFORD"/>
    <x v="12"/>
    <s v="15-11-2006"/>
    <s v="Vivo"/>
    <x v="0"/>
    <s v="11.2.01.0053"/>
    <s v="11.1.01.1241"/>
    <x v="0"/>
    <m/>
  </r>
  <r>
    <n v="1318121"/>
    <m/>
    <m/>
    <m/>
    <m/>
    <m/>
    <m/>
    <m/>
    <m/>
    <s v="H"/>
    <x v="1"/>
    <s v="HEREFORD"/>
    <x v="12"/>
    <s v="15-11-2006"/>
    <s v="Vivo"/>
    <x v="0"/>
    <s v="11.1.01.1081"/>
    <s v="11.1.01.1241"/>
    <x v="0"/>
    <m/>
  </r>
  <r>
    <n v="1318124"/>
    <m/>
    <m/>
    <m/>
    <d v="2021-10-28T00:00:00"/>
    <d v="2022-12-17T00:00:00"/>
    <d v="2023-11-24T00:00:00"/>
    <m/>
    <m/>
    <s v="H"/>
    <x v="1"/>
    <s v="OVERO COLORADO (CLAVEL ALEMAN)"/>
    <x v="14"/>
    <s v="15-09-2006"/>
    <s v="Vivo"/>
    <x v="0"/>
    <s v="11.2.01.0053"/>
    <s v="11.1.01.1241"/>
    <x v="0"/>
    <m/>
  </r>
  <r>
    <n v="1321994"/>
    <m/>
    <m/>
    <m/>
    <m/>
    <m/>
    <m/>
    <m/>
    <m/>
    <s v="H"/>
    <x v="1"/>
    <s v="HEREFORD"/>
    <x v="12"/>
    <s v="30-10-2006"/>
    <s v="Vivo"/>
    <x v="2"/>
    <s v="11.1.01.0941"/>
    <s v="11.1.01.1240"/>
    <x v="0"/>
    <m/>
  </r>
  <r>
    <n v="1347970"/>
    <m/>
    <m/>
    <m/>
    <m/>
    <m/>
    <m/>
    <m/>
    <m/>
    <s v="M"/>
    <x v="0"/>
    <s v="OVERO COLORADO (CLAVEL ALEMAN)"/>
    <x v="15"/>
    <s v="30-03-2007"/>
    <s v="Vivo"/>
    <x v="0"/>
    <s v="11.1.01.1240"/>
    <s v="11.1.01.1240"/>
    <x v="0"/>
    <m/>
  </r>
  <r>
    <n v="1381760"/>
    <m/>
    <m/>
    <d v="2020-06-01T00:00:00"/>
    <d v="2021-10-28T00:00:00"/>
    <d v="2022-12-17T00:00:00"/>
    <d v="2023-12-05T00:00:00"/>
    <m/>
    <m/>
    <s v="H"/>
    <x v="1"/>
    <s v="OVERO COLORADO (CLAVEL ALEMAN)"/>
    <x v="16"/>
    <s v="30-09-2007"/>
    <s v="Vivo"/>
    <x v="3"/>
    <s v="11.1.01.1241"/>
    <s v="11.1.01.0790"/>
    <x v="0"/>
    <m/>
  </r>
  <r>
    <n v="1381761"/>
    <m/>
    <m/>
    <d v="2020-10-31T00:00:00"/>
    <m/>
    <d v="2022-11-18T00:00:00"/>
    <d v="2023-11-23T00:00:00"/>
    <m/>
    <m/>
    <s v="H"/>
    <x v="1"/>
    <s v="HEREFORD"/>
    <x v="16"/>
    <s v="30-09-2007"/>
    <s v="Vivo"/>
    <x v="0"/>
    <s v="11.1.01.0790"/>
    <s v="11.1.01.0790"/>
    <x v="0"/>
    <m/>
  </r>
  <r>
    <n v="1381763"/>
    <m/>
    <m/>
    <d v="2020-10-29T00:00:00"/>
    <m/>
    <d v="2022-09-01T00:00:00"/>
    <m/>
    <m/>
    <m/>
    <s v="H"/>
    <x v="1"/>
    <s v="OVERO COLORADO (CLAVEL ALEMAN)"/>
    <x v="16"/>
    <s v="30-09-2007"/>
    <s v="Vivo"/>
    <x v="3"/>
    <s v="11.2.01.2071"/>
    <s v="11.1.01.0790"/>
    <x v="0"/>
    <m/>
  </r>
  <r>
    <n v="1381768"/>
    <m/>
    <m/>
    <m/>
    <d v="2021-06-03T00:00:00"/>
    <m/>
    <m/>
    <m/>
    <m/>
    <s v="H"/>
    <x v="1"/>
    <s v="OVERO COLORADO (CLAVEL ALEMAN)"/>
    <x v="16"/>
    <s v="30-09-2007"/>
    <s v="Vivo"/>
    <x v="0"/>
    <s v="11.1.01.0790"/>
    <s v="11.1.01.0790"/>
    <x v="0"/>
    <m/>
  </r>
  <r>
    <n v="1381782"/>
    <m/>
    <m/>
    <m/>
    <m/>
    <m/>
    <m/>
    <m/>
    <m/>
    <s v="H"/>
    <x v="1"/>
    <s v="HEREFORD"/>
    <x v="17"/>
    <s v="30-11-2007"/>
    <s v="Vivo"/>
    <x v="3"/>
    <s v="11.1.01.0790"/>
    <s v="11.1.01.0790"/>
    <x v="0"/>
    <m/>
  </r>
  <r>
    <n v="1381790"/>
    <m/>
    <m/>
    <d v="2020-10-29T00:00:00"/>
    <d v="2021-11-04T00:00:00"/>
    <d v="2022-09-01T00:00:00"/>
    <d v="2023-12-05T00:00:00"/>
    <m/>
    <m/>
    <s v="M"/>
    <x v="0"/>
    <s v="ANGUS NEGRO"/>
    <x v="11"/>
    <s v="30-09-2006"/>
    <s v="Vivo"/>
    <x v="0"/>
    <s v="11.1.01.0790"/>
    <s v="11.1.01.0790"/>
    <x v="0"/>
    <m/>
  </r>
  <r>
    <n v="1381820"/>
    <m/>
    <m/>
    <d v="2020-10-29T00:00:00"/>
    <m/>
    <m/>
    <m/>
    <m/>
    <m/>
    <s v="H"/>
    <x v="1"/>
    <s v="OVERO COLORADO (CLAVEL ALEMAN)"/>
    <x v="18"/>
    <s v="30-03-2008"/>
    <s v="Vivo"/>
    <x v="4"/>
    <s v="11.1.01.1241"/>
    <s v="11.1.01.1240"/>
    <x v="0"/>
    <m/>
  </r>
  <r>
    <n v="2053297"/>
    <m/>
    <m/>
    <m/>
    <m/>
    <m/>
    <m/>
    <m/>
    <m/>
    <s v="H"/>
    <x v="1"/>
    <s v="ANGUS NEGRO"/>
    <x v="19"/>
    <s v="15-03-2008"/>
    <s v="Vivo"/>
    <x v="2"/>
    <s v="11.1.01.0941"/>
    <s v="11.1.01.1241"/>
    <x v="0"/>
    <m/>
  </r>
  <r>
    <n v="2054864"/>
    <m/>
    <m/>
    <m/>
    <m/>
    <m/>
    <m/>
    <m/>
    <m/>
    <s v="M"/>
    <x v="0"/>
    <s v="ANGUS NEGRO"/>
    <x v="16"/>
    <s v="15-10-2007"/>
    <s v="Vivo"/>
    <x v="0"/>
    <s v="11.1.01.0290"/>
    <s v="11.1.01.0290"/>
    <x v="0"/>
    <m/>
  </r>
  <r>
    <n v="2058325"/>
    <m/>
    <m/>
    <m/>
    <m/>
    <m/>
    <m/>
    <m/>
    <m/>
    <s v="M"/>
    <x v="0"/>
    <s v="ANGUS NEGRO"/>
    <x v="16"/>
    <s v="15-10-2007"/>
    <s v="Vivo"/>
    <x v="0"/>
    <s v="11.1.01.1081"/>
    <s v="11.1.01.1077"/>
    <x v="0"/>
    <m/>
  </r>
  <r>
    <n v="2547912"/>
    <m/>
    <m/>
    <d v="2020-11-09T00:00:00"/>
    <m/>
    <d v="2022-11-18T00:00:00"/>
    <d v="2023-11-10T00:00:00"/>
    <m/>
    <m/>
    <s v="M"/>
    <x v="3"/>
    <s v="ANGUS NEGRO"/>
    <x v="20"/>
    <s v="30-09-2008"/>
    <s v="Vivo"/>
    <x v="0"/>
    <s v="Sin Movimiento"/>
    <s v="11.1.01.1241"/>
    <x v="0"/>
    <m/>
  </r>
  <r>
    <n v="2547943"/>
    <m/>
    <m/>
    <m/>
    <m/>
    <m/>
    <m/>
    <m/>
    <m/>
    <s v="H"/>
    <x v="1"/>
    <s v="HEREFORD"/>
    <x v="21"/>
    <s v="30-11-2008"/>
    <s v="Vivo"/>
    <x v="0"/>
    <s v="11.1.01.0791"/>
    <s v="11.1.01.1241"/>
    <x v="0"/>
    <m/>
  </r>
  <r>
    <n v="2547949"/>
    <m/>
    <m/>
    <d v="2020-11-09T00:00:00"/>
    <d v="2021-06-03T00:00:00"/>
    <m/>
    <m/>
    <m/>
    <m/>
    <s v="H"/>
    <x v="1"/>
    <s v="ANGUS NEGRO"/>
    <x v="21"/>
    <s v="30-11-2008"/>
    <s v="Vivo"/>
    <x v="0"/>
    <s v="Sin Movimiento"/>
    <s v="11.1.01.1241"/>
    <x v="0"/>
    <m/>
  </r>
  <r>
    <n v="2547954"/>
    <m/>
    <m/>
    <m/>
    <m/>
    <m/>
    <m/>
    <m/>
    <m/>
    <s v="H"/>
    <x v="1"/>
    <s v="HEREFORD"/>
    <x v="20"/>
    <s v="30-09-2008"/>
    <s v="Vivo"/>
    <x v="0"/>
    <s v="11.1.01.1081"/>
    <s v="11.1.01.1241"/>
    <x v="0"/>
    <m/>
  </r>
  <r>
    <n v="2547991"/>
    <m/>
    <m/>
    <d v="2020-06-03T00:00:00"/>
    <d v="2021-11-04T00:00:00"/>
    <d v="2022-11-03T00:00:00"/>
    <d v="2023-11-24T00:00:00"/>
    <m/>
    <m/>
    <s v="H"/>
    <x v="1"/>
    <s v="ANGUS ROJO"/>
    <x v="22"/>
    <s v="30-12-2008"/>
    <s v="Vivo"/>
    <x v="0"/>
    <s v="11.1.01.0791"/>
    <s v="11.1.01.1241"/>
    <x v="0"/>
    <m/>
  </r>
  <r>
    <n v="2548127"/>
    <m/>
    <m/>
    <d v="2020-10-17T00:00:00"/>
    <m/>
    <m/>
    <m/>
    <m/>
    <m/>
    <s v="H"/>
    <x v="1"/>
    <s v="ANGUS NEGRO"/>
    <x v="20"/>
    <s v="30-09-2008"/>
    <s v="Vivo"/>
    <x v="0"/>
    <s v="11.2.01.0038"/>
    <s v="11.1.01.1240"/>
    <x v="0"/>
    <m/>
  </r>
  <r>
    <n v="2548143"/>
    <m/>
    <m/>
    <d v="2020-11-09T00:00:00"/>
    <m/>
    <d v="2022-11-03T00:00:00"/>
    <m/>
    <m/>
    <m/>
    <s v="H"/>
    <x v="1"/>
    <s v="LIMOUSIN"/>
    <x v="23"/>
    <s v="30-10-2008"/>
    <s v="Vivo"/>
    <x v="0"/>
    <s v="11.2.01.0038"/>
    <s v="11.1.01.1240"/>
    <x v="0"/>
    <m/>
  </r>
  <r>
    <n v="3583874"/>
    <n v="2636134"/>
    <m/>
    <m/>
    <d v="2021-06-03T00:00:00"/>
    <m/>
    <d v="2023-11-24T00:00:00"/>
    <m/>
    <m/>
    <s v="M"/>
    <x v="3"/>
    <s v="ANGUS NEGRO"/>
    <x v="24"/>
    <s v="13-09-2018"/>
    <s v="Vivo"/>
    <x v="5"/>
    <s v="11.1.01.0893"/>
    <s v="11.1.01.0932"/>
    <x v="0"/>
    <m/>
  </r>
  <r>
    <n v="6104909"/>
    <m/>
    <m/>
    <m/>
    <d v="2021-11-04T00:00:00"/>
    <d v="2022-11-18T00:00:00"/>
    <d v="2023-11-24T00:00:00"/>
    <m/>
    <m/>
    <s v="M"/>
    <x v="3"/>
    <s v="ANGUS NEGRO"/>
    <x v="25"/>
    <s v="30-09-2009"/>
    <s v="Vivo"/>
    <x v="0"/>
    <s v="Sin Movimiento"/>
    <s v="11.1.01.1241"/>
    <x v="0"/>
    <m/>
  </r>
  <r>
    <n v="6104919"/>
    <m/>
    <m/>
    <m/>
    <m/>
    <d v="2022-12-17T00:00:00"/>
    <d v="2023-06-13T00:00:00"/>
    <m/>
    <m/>
    <s v="M"/>
    <x v="3"/>
    <s v="OVERO NEGRO"/>
    <x v="26"/>
    <s v="30-03-2010"/>
    <s v="Vivo"/>
    <x v="0"/>
    <s v="Sin Movimiento"/>
    <s v="11.1.01.1241"/>
    <x v="0"/>
    <m/>
  </r>
  <r>
    <n v="6104921"/>
    <m/>
    <m/>
    <m/>
    <m/>
    <d v="2022-11-03T00:00:00"/>
    <d v="2023-11-24T00:00:00"/>
    <m/>
    <m/>
    <s v="H"/>
    <x v="1"/>
    <s v="ANGUS ROJO"/>
    <x v="27"/>
    <s v="28-02-2010"/>
    <s v="Vivo"/>
    <x v="0"/>
    <s v="Sin Movimiento"/>
    <s v="11.1.01.1241"/>
    <x v="0"/>
    <m/>
  </r>
  <r>
    <n v="6104922"/>
    <m/>
    <m/>
    <m/>
    <m/>
    <m/>
    <d v="2023-11-28T00:00:00"/>
    <m/>
    <m/>
    <s v="H"/>
    <x v="1"/>
    <s v="LIMOUSIN"/>
    <x v="28"/>
    <s v="30-11-2009"/>
    <s v="Vivo"/>
    <x v="0"/>
    <s v="Sin Movimiento"/>
    <s v="11.1.01.1241"/>
    <x v="0"/>
    <m/>
  </r>
  <r>
    <n v="6104945"/>
    <m/>
    <m/>
    <m/>
    <m/>
    <d v="2022-11-03T00:00:00"/>
    <d v="2023-11-24T00:00:00"/>
    <m/>
    <m/>
    <s v="M"/>
    <x v="3"/>
    <s v="ANGUS NEGRO"/>
    <x v="29"/>
    <s v="30-12-2009"/>
    <s v="Vivo"/>
    <x v="0"/>
    <s v="Sin Movimiento"/>
    <s v="11.1.01.1241"/>
    <x v="0"/>
    <m/>
  </r>
  <r>
    <n v="6104947"/>
    <m/>
    <m/>
    <m/>
    <m/>
    <d v="2022-12-17T00:00:00"/>
    <d v="2023-11-28T00:00:00"/>
    <m/>
    <m/>
    <s v="M"/>
    <x v="3"/>
    <s v="HEREFORD"/>
    <x v="30"/>
    <s v="30-10-2009"/>
    <s v="Vivo"/>
    <x v="0"/>
    <s v="11.1.01.1081"/>
    <s v="11.1.01.1241"/>
    <x v="0"/>
    <d v="2022-06-15T00:00:00"/>
  </r>
  <r>
    <n v="6104948"/>
    <m/>
    <m/>
    <m/>
    <m/>
    <d v="2022-11-03T00:00:00"/>
    <d v="2023-11-23T00:00:00"/>
    <m/>
    <m/>
    <s v="H"/>
    <x v="1"/>
    <s v="ANGUS NEGRO"/>
    <x v="30"/>
    <s v="30-10-2009"/>
    <s v="Vivo"/>
    <x v="0"/>
    <s v="11.1.01.0791"/>
    <s v="11.1.01.1241"/>
    <x v="0"/>
    <m/>
  </r>
  <r>
    <n v="6104955"/>
    <m/>
    <m/>
    <m/>
    <m/>
    <d v="2022-12-13T00:00:00"/>
    <d v="2023-12-04T00:00:00"/>
    <m/>
    <m/>
    <s v="H"/>
    <x v="1"/>
    <s v="ANGUS ROJO"/>
    <x v="30"/>
    <s v="30-10-2009"/>
    <s v="Vivo"/>
    <x v="0"/>
    <s v="11.2.01.0038"/>
    <s v="11.1.01.1241"/>
    <x v="0"/>
    <d v="2021-12-02T00:00:00"/>
  </r>
  <r>
    <n v="6104967"/>
    <m/>
    <m/>
    <m/>
    <m/>
    <m/>
    <d v="2023-12-04T00:00:00"/>
    <m/>
    <m/>
    <s v="H"/>
    <x v="1"/>
    <s v="ANGUS NEGRO"/>
    <x v="30"/>
    <s v="30-10-2009"/>
    <s v="Vivo"/>
    <x v="0"/>
    <s v="11.1.01.0791"/>
    <s v="11.1.01.1241"/>
    <x v="0"/>
    <d v="2022-11-29T00:00:00"/>
  </r>
  <r>
    <n v="6104976"/>
    <m/>
    <m/>
    <m/>
    <m/>
    <m/>
    <d v="2023-12-04T00:00:00"/>
    <m/>
    <m/>
    <s v="H"/>
    <x v="1"/>
    <s v="ANGUS NEGRO"/>
    <x v="25"/>
    <s v="30-09-2009"/>
    <s v="Vivo"/>
    <x v="0"/>
    <s v="11.2.01.0038"/>
    <s v="11.1.01.1241"/>
    <x v="0"/>
    <d v="2022-11-29T00:00:00"/>
  </r>
  <r>
    <n v="6104981"/>
    <m/>
    <m/>
    <m/>
    <m/>
    <m/>
    <d v="2023-12-04T00:00:00"/>
    <m/>
    <m/>
    <s v="H"/>
    <x v="1"/>
    <s v="ANGUS NEGRO"/>
    <x v="25"/>
    <s v="30-09-2009"/>
    <s v="Vivo"/>
    <x v="0"/>
    <s v="11.1.01.1022"/>
    <s v="11.1.01.1241"/>
    <x v="0"/>
    <d v="2022-11-29T00:00:00"/>
  </r>
  <r>
    <n v="6105008"/>
    <m/>
    <m/>
    <m/>
    <m/>
    <m/>
    <m/>
    <m/>
    <m/>
    <s v="H"/>
    <x v="1"/>
    <s v="ANGUS ROJO"/>
    <x v="31"/>
    <s v="30-08-2009"/>
    <s v="Vivo"/>
    <x v="0"/>
    <s v="11.1.01.0791"/>
    <s v="11.1.01.1241"/>
    <x v="0"/>
    <m/>
  </r>
  <r>
    <n v="6105013"/>
    <m/>
    <m/>
    <m/>
    <m/>
    <d v="2022-12-28T00:00:00"/>
    <d v="2023-11-09T00:00:00"/>
    <m/>
    <m/>
    <s v="H"/>
    <x v="1"/>
    <s v="HEREFORD"/>
    <x v="31"/>
    <s v="30-08-2009"/>
    <s v="Vivo"/>
    <x v="0"/>
    <s v="11.1.01.1081"/>
    <s v="11.1.01.1241"/>
    <x v="0"/>
    <m/>
  </r>
  <r>
    <n v="6105018"/>
    <m/>
    <m/>
    <m/>
    <m/>
    <m/>
    <d v="2023-06-13T00:00:00"/>
    <m/>
    <m/>
    <s v="H"/>
    <x v="1"/>
    <s v="ANGUS ROJO"/>
    <x v="25"/>
    <s v="30-09-2009"/>
    <s v="Vivo"/>
    <x v="0"/>
    <s v="11.1.01.0791"/>
    <s v="11.1.01.1241"/>
    <x v="0"/>
    <d v="2021-03-19T00:00:00"/>
  </r>
  <r>
    <n v="6105060"/>
    <m/>
    <m/>
    <m/>
    <m/>
    <d v="2022-12-17T00:00:00"/>
    <d v="2023-11-10T00:00:00"/>
    <m/>
    <m/>
    <s v="H"/>
    <x v="1"/>
    <s v="OVERO COLORADO (CLAVEL ALEMAN)"/>
    <x v="28"/>
    <s v="30-11-2009"/>
    <s v="Vivo"/>
    <x v="0"/>
    <s v="Sin Movimiento"/>
    <s v="11.1.01.1241"/>
    <x v="0"/>
    <m/>
  </r>
  <r>
    <n v="6105085"/>
    <m/>
    <m/>
    <m/>
    <m/>
    <d v="2022-11-03T00:00:00"/>
    <d v="2023-12-05T00:00:00"/>
    <m/>
    <m/>
    <s v="H"/>
    <x v="1"/>
    <s v="ANGUS NEGRO"/>
    <x v="28"/>
    <s v="30-11-2009"/>
    <s v="Vivo"/>
    <x v="0"/>
    <s v="11.1.01.0791"/>
    <s v="11.1.01.1241"/>
    <x v="0"/>
    <m/>
  </r>
  <r>
    <n v="6105098"/>
    <m/>
    <m/>
    <m/>
    <m/>
    <d v="2022-11-03T00:00:00"/>
    <m/>
    <m/>
    <m/>
    <s v="H"/>
    <x v="1"/>
    <s v="OVERO NEGRO"/>
    <x v="30"/>
    <s v="30-10-2009"/>
    <s v="Vivo"/>
    <x v="0"/>
    <s v="11.2.01.0038"/>
    <s v="11.1.01.1241"/>
    <x v="0"/>
    <m/>
  </r>
  <r>
    <n v="6105132"/>
    <m/>
    <m/>
    <m/>
    <m/>
    <m/>
    <d v="2023-06-13T00:00:00"/>
    <m/>
    <m/>
    <s v="M"/>
    <x v="3"/>
    <s v="HEREFORD"/>
    <x v="32"/>
    <s v="30-01-2010"/>
    <s v="Vivo"/>
    <x v="0"/>
    <s v="Sin Movimiento"/>
    <s v="11.1.01.1241"/>
    <x v="0"/>
    <m/>
  </r>
  <r>
    <n v="6105154"/>
    <m/>
    <m/>
    <m/>
    <m/>
    <m/>
    <d v="2023-11-10T00:00:00"/>
    <m/>
    <m/>
    <s v="H"/>
    <x v="1"/>
    <s v="ANGUS ROJO"/>
    <x v="27"/>
    <s v="28-02-2010"/>
    <s v="Vivo"/>
    <x v="4"/>
    <s v="11.1.01.1241"/>
    <s v="11.1.01.1241"/>
    <x v="0"/>
    <m/>
  </r>
  <r>
    <n v="6105157"/>
    <m/>
    <m/>
    <m/>
    <m/>
    <d v="2022-11-28T00:00:00"/>
    <d v="2023-11-10T00:00:00"/>
    <m/>
    <m/>
    <s v="H"/>
    <x v="1"/>
    <s v="OVERO NEGRO"/>
    <x v="33"/>
    <s v="22-04-2010"/>
    <s v="Vivo"/>
    <x v="0"/>
    <s v="Sin Movimiento"/>
    <s v="11.1.01.1241"/>
    <x v="0"/>
    <d v="2022-11-28T00:00:00"/>
  </r>
  <r>
    <n v="6105228"/>
    <m/>
    <m/>
    <m/>
    <m/>
    <m/>
    <d v="2023-12-04T00:00:00"/>
    <m/>
    <m/>
    <s v="H"/>
    <x v="1"/>
    <s v="OVERO COLORADO (CLAVEL ALEMAN)"/>
    <x v="31"/>
    <s v="30-08-2009"/>
    <s v="Vivo"/>
    <x v="4"/>
    <s v="11.1.01.1241"/>
    <s v="11.1.01.0790"/>
    <x v="0"/>
    <m/>
  </r>
  <r>
    <n v="6105245"/>
    <m/>
    <m/>
    <m/>
    <m/>
    <d v="2022-12-13T00:00:00"/>
    <d v="2023-12-05T00:00:00"/>
    <m/>
    <m/>
    <s v="H"/>
    <x v="1"/>
    <s v="LIMOUSIN"/>
    <x v="30"/>
    <s v="30-10-2009"/>
    <s v="Vivo"/>
    <x v="0"/>
    <s v="Sin Movimiento"/>
    <s v="11.1.01.1241"/>
    <x v="0"/>
    <m/>
  </r>
  <r>
    <n v="6105250"/>
    <m/>
    <m/>
    <m/>
    <m/>
    <d v="2022-12-13T00:00:00"/>
    <d v="2023-12-05T00:00:00"/>
    <m/>
    <m/>
    <s v="H"/>
    <x v="1"/>
    <s v="HEREFORD"/>
    <x v="34"/>
    <s v="30-10-2004"/>
    <s v="Vivo"/>
    <x v="0"/>
    <s v="Sin Movimiento"/>
    <s v="11.1.01.1241"/>
    <x v="0"/>
    <m/>
  </r>
  <r>
    <n v="6105268"/>
    <m/>
    <m/>
    <m/>
    <m/>
    <d v="2022-12-13T00:00:00"/>
    <d v="2023-12-05T00:00:00"/>
    <m/>
    <m/>
    <s v="H"/>
    <x v="1"/>
    <s v="POLLED HEREFORD"/>
    <x v="35"/>
    <s v="15-01-2005"/>
    <s v="Vivo"/>
    <x v="0"/>
    <s v="11.1.01.1241"/>
    <s v="11.1.01.0791"/>
    <x v="0"/>
    <m/>
  </r>
  <r>
    <n v="6109946"/>
    <m/>
    <m/>
    <m/>
    <d v="2021-10-21T00:00:00"/>
    <d v="2022-11-02T00:00:00"/>
    <d v="2023-11-10T00:00:00"/>
    <m/>
    <m/>
    <s v="M"/>
    <x v="3"/>
    <s v="ANGUS NEGRO"/>
    <x v="25"/>
    <s v="15-10-2009"/>
    <s v="Vivo"/>
    <x v="0"/>
    <s v="11.1.01.0290"/>
    <s v="11.1.01.0290"/>
    <x v="0"/>
    <m/>
  </r>
  <r>
    <n v="6154783"/>
    <m/>
    <m/>
    <m/>
    <d v="2021-07-08T00:00:00"/>
    <d v="2022-11-02T00:00:00"/>
    <d v="2023-11-24T00:00:00"/>
    <m/>
    <m/>
    <s v="H"/>
    <x v="1"/>
    <s v="HEREFORD"/>
    <x v="36"/>
    <s v="30-12-2010"/>
    <s v="Vivo"/>
    <x v="3"/>
    <s v="11.1.01.0790"/>
    <s v="11.1.01.1241"/>
    <x v="0"/>
    <m/>
  </r>
  <r>
    <n v="6154853"/>
    <m/>
    <m/>
    <m/>
    <d v="2021-10-21T00:00:00"/>
    <d v="2022-12-17T00:00:00"/>
    <d v="2023-11-23T00:00:00"/>
    <m/>
    <m/>
    <s v="H"/>
    <x v="1"/>
    <s v="ANGUS ROJO"/>
    <x v="37"/>
    <s v="30-09-2010"/>
    <s v="Vivo"/>
    <x v="0"/>
    <s v="11.2.01.0053"/>
    <s v="11.1.01.1241"/>
    <x v="0"/>
    <m/>
  </r>
  <r>
    <n v="6154866"/>
    <m/>
    <m/>
    <m/>
    <d v="2021-07-08T00:00:00"/>
    <d v="2022-11-02T00:00:00"/>
    <d v="2023-11-23T00:00:00"/>
    <d v="2024-01-06T00:00:00"/>
    <m/>
    <s v="H"/>
    <x v="1"/>
    <s v="ANGUS NEGRO"/>
    <x v="37"/>
    <s v="30-09-2010"/>
    <s v="Vivo"/>
    <x v="4"/>
    <s v="11.1.01.0893"/>
    <s v="11.1.01.1241"/>
    <x v="0"/>
    <m/>
  </r>
  <r>
    <n v="6154874"/>
    <m/>
    <m/>
    <m/>
    <d v="2021-10-21T00:00:00"/>
    <d v="2022-11-02T00:00:00"/>
    <d v="2023-11-28T00:00:00"/>
    <m/>
    <m/>
    <s v="H"/>
    <x v="1"/>
    <s v="ANGUS NEGRO"/>
    <x v="38"/>
    <s v="30-10-2010"/>
    <s v="Vivo"/>
    <x v="0"/>
    <s v="11.1.01.1081"/>
    <s v="11.1.01.1241"/>
    <x v="0"/>
    <m/>
  </r>
  <r>
    <n v="6154881"/>
    <m/>
    <m/>
    <m/>
    <d v="2021-12-01T00:00:00"/>
    <d v="2022-11-03T00:00:00"/>
    <d v="2023-11-23T00:00:00"/>
    <m/>
    <m/>
    <s v="H"/>
    <x v="1"/>
    <s v="ANGUS NEGRO"/>
    <x v="37"/>
    <s v="30-09-2010"/>
    <s v="Vivo"/>
    <x v="4"/>
    <s v="11.1.01.1241"/>
    <s v="11.1.01.1241"/>
    <x v="0"/>
    <m/>
  </r>
  <r>
    <n v="6154893"/>
    <m/>
    <m/>
    <m/>
    <d v="2021-10-21T00:00:00"/>
    <m/>
    <m/>
    <m/>
    <m/>
    <s v="H"/>
    <x v="1"/>
    <s v="LIMOUSIN"/>
    <x v="39"/>
    <s v="30-11-2010"/>
    <s v="Vivo"/>
    <x v="0"/>
    <s v="11.2.01.0038"/>
    <s v="11.1.01.1241"/>
    <x v="0"/>
    <m/>
  </r>
  <r>
    <n v="6154926"/>
    <m/>
    <m/>
    <d v="2020-08-09T00:00:00"/>
    <d v="2021-07-08T00:00:00"/>
    <d v="2022-12-13T00:00:00"/>
    <d v="2023-12-05T00:00:00"/>
    <m/>
    <m/>
    <s v="M"/>
    <x v="3"/>
    <s v="OVERO COLORADO (CLAVEL ALEMAN)"/>
    <x v="37"/>
    <s v="30-09-2010"/>
    <s v="Vivo"/>
    <x v="4"/>
    <s v="11.1.01.1241"/>
    <s v="11.1.01.1241"/>
    <x v="0"/>
    <m/>
  </r>
  <r>
    <n v="6154936"/>
    <m/>
    <m/>
    <m/>
    <d v="2021-10-21T00:00:00"/>
    <m/>
    <d v="2023-12-05T00:00:00"/>
    <m/>
    <m/>
    <s v="H"/>
    <x v="1"/>
    <s v="ANGUS NEGRO"/>
    <x v="38"/>
    <s v="30-10-2010"/>
    <s v="Vivo"/>
    <x v="0"/>
    <s v="11.1.01.1081"/>
    <s v="11.1.01.1241"/>
    <x v="0"/>
    <m/>
  </r>
  <r>
    <n v="6154944"/>
    <m/>
    <m/>
    <m/>
    <d v="2021-07-08T00:00:00"/>
    <d v="2022-12-17T00:00:00"/>
    <d v="2023-11-23T00:00:00"/>
    <m/>
    <m/>
    <s v="H"/>
    <x v="1"/>
    <s v="ANGUS NEGRO"/>
    <x v="38"/>
    <s v="30-10-2010"/>
    <s v="Vivo"/>
    <x v="0"/>
    <s v="11.1.01.1081"/>
    <s v="11.1.01.1241"/>
    <x v="0"/>
    <m/>
  </r>
  <r>
    <n v="6154954"/>
    <m/>
    <m/>
    <m/>
    <d v="2021-07-08T00:00:00"/>
    <d v="2022-11-02T00:00:00"/>
    <d v="2023-11-23T00:00:00"/>
    <m/>
    <m/>
    <s v="H"/>
    <x v="1"/>
    <s v="ANGUS NEGRO"/>
    <x v="38"/>
    <s v="30-10-2010"/>
    <s v="Vivo"/>
    <x v="0"/>
    <s v="11.1.01.1081"/>
    <s v="11.1.01.1241"/>
    <x v="0"/>
    <m/>
  </r>
  <r>
    <n v="6154956"/>
    <m/>
    <m/>
    <m/>
    <d v="2021-10-21T00:00:00"/>
    <d v="2022-12-13T00:00:00"/>
    <d v="2023-11-23T00:00:00"/>
    <m/>
    <m/>
    <s v="H"/>
    <x v="1"/>
    <s v="ANGUS NEGRO"/>
    <x v="37"/>
    <s v="30-09-2010"/>
    <s v="Vivo"/>
    <x v="4"/>
    <s v="11.1.01.1241"/>
    <s v="11.1.01.1241"/>
    <x v="0"/>
    <m/>
  </r>
  <r>
    <n v="6154964"/>
    <m/>
    <m/>
    <m/>
    <d v="2021-10-21T00:00:00"/>
    <d v="2022-12-13T00:00:00"/>
    <d v="2023-11-23T00:00:00"/>
    <m/>
    <m/>
    <s v="H"/>
    <x v="1"/>
    <s v="ANGUS NEGRO"/>
    <x v="37"/>
    <s v="30-09-2010"/>
    <s v="Vivo"/>
    <x v="0"/>
    <s v="11.2.01.0038"/>
    <s v="11.1.01.1241"/>
    <x v="0"/>
    <m/>
  </r>
  <r>
    <n v="6154982"/>
    <m/>
    <m/>
    <m/>
    <d v="2021-07-08T00:00:00"/>
    <d v="2022-12-13T00:00:00"/>
    <d v="2023-12-05T00:00:00"/>
    <m/>
    <m/>
    <s v="H"/>
    <x v="1"/>
    <s v="LIMOUSIN"/>
    <x v="39"/>
    <s v="30-11-2010"/>
    <s v="Vivo"/>
    <x v="4"/>
    <s v="11.2.01.0053"/>
    <s v="11.1.01.1241"/>
    <x v="0"/>
    <m/>
  </r>
  <r>
    <n v="6155010"/>
    <m/>
    <m/>
    <m/>
    <d v="2021-07-08T00:00:00"/>
    <d v="2022-11-02T00:00:00"/>
    <d v="2023-11-23T00:00:00"/>
    <m/>
    <m/>
    <s v="H"/>
    <x v="1"/>
    <s v="ANGUS ROJO"/>
    <x v="37"/>
    <s v="30-09-2010"/>
    <s v="Vivo"/>
    <x v="4"/>
    <s v="11.2.01.0053"/>
    <s v="11.1.01.0790"/>
    <x v="0"/>
    <m/>
  </r>
  <r>
    <n v="6155016"/>
    <m/>
    <m/>
    <m/>
    <d v="2021-07-08T00:00:00"/>
    <d v="2022-12-13T00:00:00"/>
    <d v="2023-11-23T00:00:00"/>
    <m/>
    <m/>
    <s v="H"/>
    <x v="1"/>
    <s v="HEREFORD"/>
    <x v="37"/>
    <s v="30-09-2010"/>
    <s v="Vivo"/>
    <x v="3"/>
    <s v="11.1.01.1241"/>
    <s v="11.1.01.0790"/>
    <x v="0"/>
    <m/>
  </r>
  <r>
    <n v="6155019"/>
    <m/>
    <m/>
    <m/>
    <d v="2021-07-08T00:00:00"/>
    <d v="2022-12-13T00:00:00"/>
    <d v="2023-11-23T00:00:00"/>
    <m/>
    <m/>
    <s v="H"/>
    <x v="1"/>
    <s v="OVERO COLORADO (CLAVEL ALEMAN)"/>
    <x v="37"/>
    <s v="30-09-2010"/>
    <s v="Vivo"/>
    <x v="4"/>
    <s v="11.2.01.0053"/>
    <s v="11.1.01.0790"/>
    <x v="0"/>
    <m/>
  </r>
  <r>
    <n v="6155024"/>
    <m/>
    <m/>
    <m/>
    <d v="2021-10-21T00:00:00"/>
    <d v="2022-11-02T00:00:00"/>
    <m/>
    <m/>
    <m/>
    <s v="H"/>
    <x v="1"/>
    <s v="OVERO COLORADO (CLAVEL ALEMAN)"/>
    <x v="37"/>
    <s v="30-09-2010"/>
    <s v="Vivo"/>
    <x v="4"/>
    <s v="11.2.01.0053"/>
    <s v="11.1.01.0790"/>
    <x v="0"/>
    <m/>
  </r>
  <r>
    <n v="6155029"/>
    <m/>
    <m/>
    <m/>
    <d v="2021-10-21T00:00:00"/>
    <d v="2022-12-13T00:00:00"/>
    <d v="2023-11-23T00:00:00"/>
    <m/>
    <m/>
    <s v="H"/>
    <x v="1"/>
    <s v="HEREFORD"/>
    <x v="36"/>
    <s v="30-12-2010"/>
    <s v="Vivo"/>
    <x v="0"/>
    <s v="11.1.01.1081"/>
    <s v="11.1.01.0790"/>
    <x v="0"/>
    <m/>
  </r>
  <r>
    <n v="6155037"/>
    <m/>
    <m/>
    <m/>
    <d v="2021-10-21T00:00:00"/>
    <d v="2022-11-02T00:00:00"/>
    <d v="2023-11-28T00:00:00"/>
    <m/>
    <m/>
    <s v="H"/>
    <x v="1"/>
    <s v="OVERO COLORADO (CLAVEL ALEMAN)"/>
    <x v="37"/>
    <s v="30-09-2010"/>
    <s v="Vivo"/>
    <x v="0"/>
    <s v="11.1.01.0893"/>
    <s v="11.1.01.0790"/>
    <x v="0"/>
    <m/>
  </r>
  <r>
    <n v="6155038"/>
    <m/>
    <m/>
    <m/>
    <d v="2021-07-08T00:00:00"/>
    <d v="2022-11-02T00:00:00"/>
    <d v="2023-11-23T00:00:00"/>
    <m/>
    <m/>
    <s v="H"/>
    <x v="1"/>
    <s v="ANGUS ROJO"/>
    <x v="37"/>
    <s v="30-09-2010"/>
    <s v="Vivo"/>
    <x v="0"/>
    <s v="11.2.01.0038"/>
    <s v="11.1.01.0790"/>
    <x v="0"/>
    <m/>
  </r>
  <r>
    <n v="6155049"/>
    <m/>
    <m/>
    <m/>
    <d v="2021-10-21T00:00:00"/>
    <d v="2022-11-02T00:00:00"/>
    <d v="2023-06-13T00:00:00"/>
    <m/>
    <m/>
    <s v="H"/>
    <x v="1"/>
    <s v="HEREFORD"/>
    <x v="38"/>
    <s v="30-10-2010"/>
    <s v="Vivo"/>
    <x v="4"/>
    <s v="11.2.01.0053"/>
    <s v="11.1.01.0790"/>
    <x v="0"/>
    <m/>
  </r>
  <r>
    <n v="6155050"/>
    <m/>
    <m/>
    <m/>
    <d v="2021-10-21T00:00:00"/>
    <d v="2022-12-17T00:00:00"/>
    <d v="2023-11-23T00:00:00"/>
    <m/>
    <m/>
    <s v="H"/>
    <x v="1"/>
    <s v="ANGUS NEGRO"/>
    <x v="38"/>
    <s v="30-10-2010"/>
    <s v="Vivo"/>
    <x v="0"/>
    <s v="11.1.01.1081"/>
    <s v="11.1.01.1241"/>
    <x v="0"/>
    <m/>
  </r>
  <r>
    <n v="6155054"/>
    <m/>
    <m/>
    <m/>
    <d v="2021-10-21T00:00:00"/>
    <d v="2022-11-02T00:00:00"/>
    <d v="2023-12-05T00:00:00"/>
    <m/>
    <m/>
    <s v="M"/>
    <x v="3"/>
    <s v="ANGUS NEGRO"/>
    <x v="40"/>
    <s v="30-04-2011"/>
    <s v="Vivo"/>
    <x v="0"/>
    <s v="Sin Movimiento"/>
    <s v="11.1.01.1241"/>
    <x v="0"/>
    <m/>
  </r>
  <r>
    <n v="6155061"/>
    <m/>
    <m/>
    <m/>
    <d v="2021-10-21T00:00:00"/>
    <d v="2022-11-02T00:00:00"/>
    <d v="2023-11-23T00:00:00"/>
    <m/>
    <m/>
    <s v="M"/>
    <x v="3"/>
    <s v="ANGUS ROJO"/>
    <x v="40"/>
    <s v="15-05-2011"/>
    <s v="Vivo"/>
    <x v="0"/>
    <s v="Sin Movimiento"/>
    <s v="11.1.01.1241"/>
    <x v="0"/>
    <m/>
  </r>
  <r>
    <n v="6155100"/>
    <m/>
    <m/>
    <m/>
    <d v="2021-07-08T00:00:00"/>
    <m/>
    <m/>
    <m/>
    <m/>
    <s v="H"/>
    <x v="1"/>
    <s v="ANGUS NEGRO"/>
    <x v="41"/>
    <s v="30-08-2011"/>
    <s v="Vivo"/>
    <x v="0"/>
    <s v="11.2.01.0053"/>
    <s v="11.1.01.1241"/>
    <x v="0"/>
    <m/>
  </r>
  <r>
    <n v="6155107"/>
    <m/>
    <m/>
    <m/>
    <d v="2021-10-21T00:00:00"/>
    <d v="2022-12-13T00:00:00"/>
    <d v="2023-11-23T00:00:00"/>
    <m/>
    <m/>
    <s v="M"/>
    <x v="3"/>
    <s v="OVERO COLORADO (CLAVEL ALEMAN)"/>
    <x v="41"/>
    <s v="30-08-2011"/>
    <s v="Vivo"/>
    <x v="0"/>
    <s v="Sin Movimiento"/>
    <s v="11.1.01.1241"/>
    <x v="0"/>
    <m/>
  </r>
  <r>
    <n v="6155109"/>
    <m/>
    <m/>
    <m/>
    <d v="2021-07-08T00:00:00"/>
    <d v="2022-12-13T00:00:00"/>
    <d v="2023-12-05T00:00:00"/>
    <m/>
    <m/>
    <s v="H"/>
    <x v="1"/>
    <s v="OVERO COLORADO (CLAVEL ALEMAN)"/>
    <x v="42"/>
    <s v="30-09-2011"/>
    <s v="Vivo"/>
    <x v="0"/>
    <s v="11.2.01.0053"/>
    <s v="11.1.01.1241"/>
    <x v="0"/>
    <m/>
  </r>
  <r>
    <n v="6155115"/>
    <m/>
    <m/>
    <m/>
    <d v="2021-10-21T00:00:00"/>
    <d v="2022-11-02T00:00:00"/>
    <d v="2023-11-28T00:00:00"/>
    <m/>
    <m/>
    <s v="M"/>
    <x v="3"/>
    <s v="HEREFORD"/>
    <x v="42"/>
    <s v="30-09-2011"/>
    <s v="Vivo"/>
    <x v="0"/>
    <s v="Sin Movimiento"/>
    <s v="11.1.01.1241"/>
    <x v="0"/>
    <m/>
  </r>
  <r>
    <n v="6155121"/>
    <m/>
    <m/>
    <m/>
    <d v="2021-07-08T00:00:00"/>
    <d v="2022-12-13T00:00:00"/>
    <d v="2023-11-23T00:00:00"/>
    <m/>
    <m/>
    <s v="H"/>
    <x v="1"/>
    <s v="ANGUS NEGRO"/>
    <x v="43"/>
    <s v="30-10-2011"/>
    <s v="Vivo"/>
    <x v="0"/>
    <s v="11.2.01.0038"/>
    <s v="11.1.01.1241"/>
    <x v="0"/>
    <m/>
  </r>
  <r>
    <n v="6155127"/>
    <m/>
    <m/>
    <m/>
    <d v="2021-07-08T00:00:00"/>
    <m/>
    <m/>
    <m/>
    <m/>
    <s v="M"/>
    <x v="3"/>
    <s v="ANGUS NEGRO"/>
    <x v="43"/>
    <s v="30-10-2011"/>
    <s v="Vivo"/>
    <x v="0"/>
    <s v="Sin Movimiento"/>
    <s v="11.1.01.1241"/>
    <x v="0"/>
    <m/>
  </r>
  <r>
    <n v="6155143"/>
    <m/>
    <m/>
    <m/>
    <d v="2021-07-08T00:00:00"/>
    <m/>
    <m/>
    <m/>
    <m/>
    <s v="H"/>
    <x v="1"/>
    <s v="ANGUS NEGRO"/>
    <x v="43"/>
    <s v="30-10-2011"/>
    <s v="Vivo"/>
    <x v="0"/>
    <s v="11.2.01.0053"/>
    <s v="11.1.01.1241"/>
    <x v="0"/>
    <m/>
  </r>
  <r>
    <n v="6155146"/>
    <m/>
    <m/>
    <m/>
    <d v="2021-10-21T00:00:00"/>
    <d v="2022-12-17T00:00:00"/>
    <d v="2023-11-10T00:00:00"/>
    <m/>
    <m/>
    <s v="H"/>
    <x v="1"/>
    <s v="OVERO COLORADO (CLAVEL ALEMAN)"/>
    <x v="43"/>
    <s v="30-10-2011"/>
    <s v="Vivo"/>
    <x v="4"/>
    <s v="11.1.01.0791"/>
    <s v="11.1.01.1241"/>
    <x v="0"/>
    <m/>
  </r>
  <r>
    <n v="6155159"/>
    <m/>
    <m/>
    <m/>
    <d v="2021-10-21T00:00:00"/>
    <d v="2022-11-02T00:00:00"/>
    <d v="2023-06-13T00:00:00"/>
    <m/>
    <m/>
    <s v="M"/>
    <x v="3"/>
    <s v="ANGUS NEGRO"/>
    <x v="44"/>
    <s v="30-11-2011"/>
    <s v="Vivo"/>
    <x v="0"/>
    <s v="11.1.01.1081"/>
    <s v="11.1.01.1241"/>
    <x v="0"/>
    <m/>
  </r>
  <r>
    <n v="6165836"/>
    <m/>
    <m/>
    <m/>
    <d v="2021-10-21T00:00:00"/>
    <d v="2022-12-13T00:00:00"/>
    <d v="2023-11-23T00:00:00"/>
    <m/>
    <m/>
    <s v="M"/>
    <x v="3"/>
    <s v="ANGUS NEGRO"/>
    <x v="37"/>
    <s v="15-10-2010"/>
    <s v="Vivo"/>
    <x v="0"/>
    <s v="11.1.01.1081"/>
    <s v="11.1.01.0290"/>
    <x v="0"/>
    <m/>
  </r>
  <r>
    <n v="6705798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8092013"/>
    <m/>
    <m/>
    <d v="2020-10-31T00:00:00"/>
    <m/>
    <m/>
    <m/>
    <m/>
    <m/>
    <s v="H"/>
    <x v="1"/>
    <s v="OVERO COLORADO (CLAVEL ALEMAN)"/>
    <x v="45"/>
    <s v="15-01-2012"/>
    <s v="Vivo"/>
    <x v="4"/>
    <s v="11.1.01.0791"/>
    <s v="11.1.01.1241"/>
    <x v="0"/>
    <m/>
  </r>
  <r>
    <n v="8092016"/>
    <m/>
    <m/>
    <d v="2020-10-29T00:00:00"/>
    <d v="2021-11-04T00:00:00"/>
    <m/>
    <m/>
    <m/>
    <m/>
    <s v="H"/>
    <x v="1"/>
    <s v="ANGUS ROJO"/>
    <x v="45"/>
    <s v="15-01-2012"/>
    <s v="Vivo"/>
    <x v="0"/>
    <s v="11.2.01.0038"/>
    <s v="11.1.01.1241"/>
    <x v="0"/>
    <m/>
  </r>
  <r>
    <n v="8092089"/>
    <m/>
    <m/>
    <d v="2020-08-09T00:00:00"/>
    <d v="2021-07-08T00:00:00"/>
    <d v="2022-11-02T00:00:00"/>
    <d v="2023-11-23T00:00:00"/>
    <m/>
    <m/>
    <s v="H"/>
    <x v="1"/>
    <s v="ANGUS NEGRO"/>
    <x v="42"/>
    <s v="30-09-2011"/>
    <s v="Vivo"/>
    <x v="0"/>
    <s v="11.2.01.0053"/>
    <s v="11.1.01.1241"/>
    <x v="0"/>
    <m/>
  </r>
  <r>
    <n v="8092094"/>
    <m/>
    <m/>
    <m/>
    <d v="2021-10-28T00:00:00"/>
    <d v="2022-12-17T00:00:00"/>
    <d v="2023-11-28T00:00:00"/>
    <m/>
    <m/>
    <s v="M"/>
    <x v="3"/>
    <s v="OVERO COLORADO (CLAVEL ALEMAN)"/>
    <x v="46"/>
    <s v="28-02-2012"/>
    <s v="Vivo"/>
    <x v="0"/>
    <s v="Sin Movimiento"/>
    <s v="11.1.01.1241"/>
    <x v="0"/>
    <m/>
  </r>
  <r>
    <n v="8092101"/>
    <m/>
    <m/>
    <m/>
    <d v="2021-10-28T00:00:00"/>
    <d v="2022-12-17T00:00:00"/>
    <d v="2023-11-24T00:00:00"/>
    <m/>
    <m/>
    <s v="H"/>
    <x v="1"/>
    <s v="ANGUS NEGRO"/>
    <x v="43"/>
    <s v="30-10-2011"/>
    <s v="Vivo"/>
    <x v="0"/>
    <s v="11.2.01.0038"/>
    <s v="11.1.01.1241"/>
    <x v="0"/>
    <m/>
  </r>
  <r>
    <n v="8092107"/>
    <m/>
    <m/>
    <m/>
    <d v="2021-10-28T00:00:00"/>
    <d v="2022-11-18T00:00:00"/>
    <d v="2023-11-24T00:00:00"/>
    <m/>
    <m/>
    <s v="H"/>
    <x v="1"/>
    <s v="ANGUS NEGRO"/>
    <x v="42"/>
    <s v="30-09-2011"/>
    <s v="Vivo"/>
    <x v="0"/>
    <s v="11.2.01.0038"/>
    <s v="11.1.01.1241"/>
    <x v="0"/>
    <m/>
  </r>
  <r>
    <n v="8092111"/>
    <m/>
    <m/>
    <m/>
    <d v="2021-10-28T00:00:00"/>
    <d v="2022-12-17T00:00:00"/>
    <d v="2023-11-23T00:00:00"/>
    <m/>
    <m/>
    <s v="H"/>
    <x v="1"/>
    <s v="ANGUS ROJO"/>
    <x v="42"/>
    <s v="30-09-2011"/>
    <s v="Vivo"/>
    <x v="4"/>
    <s v="11.1.01.0791"/>
    <s v="11.1.01.1241"/>
    <x v="0"/>
    <m/>
  </r>
  <r>
    <n v="8092113"/>
    <m/>
    <m/>
    <m/>
    <d v="2021-10-22T00:00:00"/>
    <m/>
    <m/>
    <m/>
    <m/>
    <s v="H"/>
    <x v="1"/>
    <s v="HEREFORD"/>
    <x v="43"/>
    <s v="30-10-2011"/>
    <s v="Vivo"/>
    <x v="0"/>
    <s v="11.1.01.0791"/>
    <s v="11.1.01.1241"/>
    <x v="0"/>
    <m/>
  </r>
  <r>
    <n v="8092114"/>
    <m/>
    <m/>
    <m/>
    <d v="2021-10-28T00:00:00"/>
    <d v="2022-11-03T00:00:00"/>
    <d v="2023-11-28T00:00:00"/>
    <m/>
    <m/>
    <s v="H"/>
    <x v="1"/>
    <s v="ANGUS NEGRO"/>
    <x v="46"/>
    <s v="28-02-2012"/>
    <s v="Vivo"/>
    <x v="4"/>
    <s v="11.1.01.0791"/>
    <s v="11.1.01.1241"/>
    <x v="0"/>
    <m/>
  </r>
  <r>
    <n v="8092115"/>
    <m/>
    <m/>
    <d v="2020-08-09T00:00:00"/>
    <d v="2021-07-08T00:00:00"/>
    <d v="2022-12-13T00:00:00"/>
    <d v="2023-12-05T00:00:00"/>
    <m/>
    <m/>
    <s v="H"/>
    <x v="1"/>
    <s v="ANGUS NEGRO"/>
    <x v="42"/>
    <s v="30-09-2011"/>
    <s v="Vivo"/>
    <x v="0"/>
    <s v="11.2.01.0038"/>
    <s v="11.1.01.1241"/>
    <x v="0"/>
    <m/>
  </r>
  <r>
    <n v="8092117"/>
    <m/>
    <m/>
    <d v="2020-08-09T00:00:00"/>
    <d v="2021-07-08T00:00:00"/>
    <d v="2022-11-02T00:00:00"/>
    <d v="2023-11-23T00:00:00"/>
    <d v="2024-12-22T00:00:00"/>
    <d v="2025-11-05T00:00:00"/>
    <s v="H"/>
    <x v="1"/>
    <s v="ANGUS NEGRO"/>
    <x v="43"/>
    <s v="30-10-2011"/>
    <s v="Vivo"/>
    <x v="6"/>
    <s v="11.1.01.1241"/>
    <s v="11.1.01.1241"/>
    <x v="0"/>
    <m/>
  </r>
  <r>
    <n v="8092128"/>
    <m/>
    <m/>
    <d v="2020-11-09T00:00:00"/>
    <d v="2021-11-04T00:00:00"/>
    <d v="2022-11-18T00:00:00"/>
    <d v="2023-11-23T00:00:00"/>
    <m/>
    <m/>
    <s v="H"/>
    <x v="1"/>
    <s v="OVERO COLORADO (CLAVEL ALEMAN)"/>
    <x v="43"/>
    <s v="30-10-2011"/>
    <s v="Vivo"/>
    <x v="0"/>
    <s v="11.2.01.0038"/>
    <s v="11.1.01.1241"/>
    <x v="0"/>
    <m/>
  </r>
  <r>
    <n v="8092171"/>
    <m/>
    <m/>
    <d v="2020-11-09T00:00:00"/>
    <m/>
    <d v="2022-12-13T00:00:00"/>
    <d v="2023-12-05T00:00:00"/>
    <m/>
    <m/>
    <s v="H"/>
    <x v="1"/>
    <s v="OVERO COLORADO (CLAVEL ALEMAN)"/>
    <x v="43"/>
    <s v="30-10-2011"/>
    <s v="Vivo"/>
    <x v="0"/>
    <s v="11.2.01.0053"/>
    <s v="11.1.01.1241"/>
    <x v="0"/>
    <m/>
  </r>
  <r>
    <n v="8092178"/>
    <m/>
    <m/>
    <d v="2020-11-09T00:00:00"/>
    <m/>
    <d v="2022-12-17T00:00:00"/>
    <d v="2023-11-28T00:00:00"/>
    <m/>
    <m/>
    <s v="H"/>
    <x v="1"/>
    <s v="OVERO COLORADO (CLAVEL ALEMAN)"/>
    <x v="47"/>
    <s v="30-01-2012"/>
    <s v="Vivo"/>
    <x v="4"/>
    <s v="11.1.01.1241"/>
    <s v="11.1.01.1241"/>
    <x v="0"/>
    <m/>
  </r>
  <r>
    <n v="8092235"/>
    <m/>
    <m/>
    <m/>
    <d v="2021-10-20T00:00:00"/>
    <d v="2022-12-13T00:00:00"/>
    <d v="2023-12-05T00:00:00"/>
    <m/>
    <m/>
    <s v="H"/>
    <x v="1"/>
    <s v="HEREFORD"/>
    <x v="42"/>
    <s v="30-09-2011"/>
    <s v="Vivo"/>
    <x v="0"/>
    <s v="11.1.01.1022"/>
    <s v="11.1.01.0790"/>
    <x v="0"/>
    <m/>
  </r>
  <r>
    <n v="8092237"/>
    <m/>
    <m/>
    <m/>
    <d v="2021-10-20T00:00:00"/>
    <d v="2022-05-27T00:00:00"/>
    <d v="2023-12-05T00:00:00"/>
    <m/>
    <m/>
    <s v="H"/>
    <x v="1"/>
    <s v="OVERO COLORADO (CLAVEL ALEMAN)"/>
    <x v="42"/>
    <s v="30-09-2011"/>
    <s v="Vivo"/>
    <x v="0"/>
    <s v="11.1.01.0791"/>
    <s v="11.1.01.0790"/>
    <x v="0"/>
    <m/>
  </r>
  <r>
    <n v="8092272"/>
    <m/>
    <m/>
    <m/>
    <d v="2021-10-20T00:00:00"/>
    <d v="2022-05-27T00:00:00"/>
    <d v="2023-12-05T00:00:00"/>
    <m/>
    <m/>
    <s v="M"/>
    <x v="3"/>
    <s v="OVERO COLORADO (CLAVEL ALEMAN)"/>
    <x v="38"/>
    <s v="30-10-2010"/>
    <s v="Vivo"/>
    <x v="0"/>
    <s v="11.2.01.2071"/>
    <s v="11.1.01.1241"/>
    <x v="0"/>
    <m/>
  </r>
  <r>
    <n v="8092273"/>
    <m/>
    <m/>
    <m/>
    <d v="2021-10-20T00:00:00"/>
    <d v="2022-05-27T00:00:00"/>
    <d v="2023-11-23T00:00:00"/>
    <m/>
    <m/>
    <s v="M"/>
    <x v="3"/>
    <s v="OVERO COLORADO (CLAVEL ALEMAN)"/>
    <x v="38"/>
    <s v="30-10-2010"/>
    <s v="Vivo"/>
    <x v="0"/>
    <s v="11.2.01.2071"/>
    <s v="11.1.01.1241"/>
    <x v="0"/>
    <m/>
  </r>
  <r>
    <n v="8092284"/>
    <m/>
    <m/>
    <m/>
    <m/>
    <m/>
    <m/>
    <d v="2024-12-22T00:00:00"/>
    <m/>
    <s v="H"/>
    <x v="1"/>
    <s v="ANGUS ROJO"/>
    <x v="44"/>
    <s v="30-11-2011"/>
    <s v="Vivo"/>
    <x v="0"/>
    <s v="11.2.01.0038"/>
    <s v="11.1.01.1241"/>
    <x v="0"/>
    <m/>
  </r>
  <r>
    <n v="8092285"/>
    <m/>
    <m/>
    <m/>
    <d v="2021-10-20T00:00:00"/>
    <d v="2022-12-13T00:00:00"/>
    <d v="2023-12-05T00:00:00"/>
    <m/>
    <m/>
    <s v="H"/>
    <x v="1"/>
    <s v="ANGUS NEGRO"/>
    <x v="44"/>
    <s v="30-11-2011"/>
    <s v="Vivo"/>
    <x v="3"/>
    <s v="11.1.01.1241"/>
    <s v="11.1.01.1241"/>
    <x v="0"/>
    <m/>
  </r>
  <r>
    <n v="8092291"/>
    <m/>
    <m/>
    <m/>
    <d v="2021-10-20T00:00:00"/>
    <d v="2022-12-13T00:00:00"/>
    <d v="2023-12-05T00:00:00"/>
    <m/>
    <m/>
    <s v="H"/>
    <x v="1"/>
    <s v="OVERO COLORADO (CLAVEL ALEMAN)"/>
    <x v="48"/>
    <s v="30-03-2012"/>
    <s v="Vivo"/>
    <x v="4"/>
    <s v="11.1.01.1241"/>
    <s v="11.1.01.1241"/>
    <x v="0"/>
    <m/>
  </r>
  <r>
    <n v="8092294"/>
    <m/>
    <m/>
    <m/>
    <m/>
    <m/>
    <m/>
    <m/>
    <m/>
    <s v="H"/>
    <x v="1"/>
    <s v="ANGUS NEGRO"/>
    <x v="47"/>
    <s v="30-01-2012"/>
    <s v="Vivo"/>
    <x v="0"/>
    <s v="11.2.01.0038"/>
    <s v="11.1.01.1241"/>
    <x v="0"/>
    <m/>
  </r>
  <r>
    <n v="8092295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8092298"/>
    <m/>
    <m/>
    <m/>
    <d v="2021-10-20T00:00:00"/>
    <d v="2022-05-27T00:00:00"/>
    <d v="2023-12-05T00:00:00"/>
    <m/>
    <m/>
    <s v="no existe"/>
    <x v="2"/>
    <s v="no existe"/>
    <x v="4"/>
    <s v="no existe"/>
    <s v="no existe"/>
    <x v="1"/>
    <s v="no existe"/>
    <s v="no existe"/>
    <x v="1"/>
    <m/>
  </r>
  <r>
    <n v="8092299"/>
    <m/>
    <m/>
    <m/>
    <d v="2021-10-20T00:00:00"/>
    <d v="2022-12-13T00:00:00"/>
    <d v="2023-12-05T00:00:00"/>
    <m/>
    <m/>
    <s v="M"/>
    <x v="0"/>
    <s v="ANGUS NEGRO"/>
    <x v="6"/>
    <s v="15-10-2005"/>
    <s v="Vivo"/>
    <x v="0"/>
    <s v="11.2.01.2071"/>
    <s v="11.1.01.0290"/>
    <x v="0"/>
    <m/>
  </r>
  <r>
    <n v="8092302"/>
    <m/>
    <m/>
    <m/>
    <d v="2021-10-20T00:00:00"/>
    <d v="2022-05-27T00:00:00"/>
    <d v="2023-10-21T00:00:00"/>
    <m/>
    <m/>
    <s v="H"/>
    <x v="1"/>
    <s v="OVERO COLORADO (CLAVEL ALEMAN)"/>
    <x v="43"/>
    <s v="30-10-2011"/>
    <s v="Vivo"/>
    <x v="4"/>
    <s v="11.1.01.0791"/>
    <s v="11.1.01.0790"/>
    <x v="0"/>
    <m/>
  </r>
  <r>
    <n v="8092316"/>
    <m/>
    <m/>
    <m/>
    <d v="2021-10-20T00:00:00"/>
    <d v="2022-05-27T00:00:00"/>
    <d v="2023-12-05T00:00:00"/>
    <m/>
    <m/>
    <s v="H"/>
    <x v="1"/>
    <s v="OVERO COLORADO (CLAVEL ALEMAN)"/>
    <x v="43"/>
    <s v="30-10-2011"/>
    <s v="Vivo"/>
    <x v="4"/>
    <s v="11.1.01.0791"/>
    <s v="11.1.01.1241"/>
    <x v="0"/>
    <m/>
  </r>
  <r>
    <n v="8092320"/>
    <m/>
    <m/>
    <m/>
    <d v="2021-10-20T00:00:00"/>
    <d v="2022-05-27T00:00:00"/>
    <d v="2023-11-23T00:00:00"/>
    <m/>
    <m/>
    <s v="H"/>
    <x v="1"/>
    <s v="ANGUS ROJO"/>
    <x v="43"/>
    <s v="30-10-2011"/>
    <s v="Vivo"/>
    <x v="4"/>
    <s v="11.1.01.0791"/>
    <s v="11.1.01.1241"/>
    <x v="0"/>
    <m/>
  </r>
  <r>
    <n v="8092327"/>
    <m/>
    <m/>
    <m/>
    <d v="2021-10-20T00:00:00"/>
    <d v="2022-05-27T00:00:00"/>
    <d v="2023-12-05T00:00:00"/>
    <m/>
    <m/>
    <s v="H"/>
    <x v="1"/>
    <s v="ANGUS NEGRO"/>
    <x v="43"/>
    <s v="30-10-2011"/>
    <s v="Vivo"/>
    <x v="4"/>
    <s v="11.1.01.0791"/>
    <s v="11.1.01.1241"/>
    <x v="0"/>
    <m/>
  </r>
  <r>
    <n v="8092334"/>
    <m/>
    <m/>
    <m/>
    <m/>
    <m/>
    <m/>
    <m/>
    <m/>
    <s v="H"/>
    <x v="1"/>
    <s v="HEREFORD"/>
    <x v="42"/>
    <s v="30-09-2011"/>
    <s v="Vivo"/>
    <x v="4"/>
    <s v="11.1.01.0791"/>
    <s v="11.1.01.0790"/>
    <x v="0"/>
    <m/>
  </r>
  <r>
    <n v="8092335"/>
    <m/>
    <m/>
    <m/>
    <d v="2021-10-20T00:00:00"/>
    <d v="2022-05-27T00:00:00"/>
    <d v="2023-10-21T00:00:00"/>
    <m/>
    <m/>
    <s v="H"/>
    <x v="1"/>
    <s v="HEREFORD"/>
    <x v="42"/>
    <s v="30-09-2011"/>
    <s v="Vivo"/>
    <x v="4"/>
    <s v="11.1.01.0791"/>
    <s v="11.1.01.1241"/>
    <x v="0"/>
    <m/>
  </r>
  <r>
    <n v="8092336"/>
    <m/>
    <m/>
    <m/>
    <d v="2021-10-20T00:00:00"/>
    <d v="2022-12-13T00:00:00"/>
    <d v="2023-12-05T00:00:00"/>
    <m/>
    <m/>
    <s v="H"/>
    <x v="1"/>
    <s v="ANGUS NEGRO"/>
    <x v="42"/>
    <s v="30-09-2011"/>
    <s v="Vivo"/>
    <x v="4"/>
    <s v="11.1.01.0791"/>
    <s v="11.1.01.1241"/>
    <x v="0"/>
    <m/>
  </r>
  <r>
    <n v="8092339"/>
    <m/>
    <m/>
    <m/>
    <d v="2021-07-20T00:00:00"/>
    <m/>
    <m/>
    <m/>
    <m/>
    <s v="H"/>
    <x v="1"/>
    <s v="ANGUS NEGRO"/>
    <x v="44"/>
    <s v="30-11-2011"/>
    <s v="Vivo"/>
    <x v="4"/>
    <s v="11.1.01.0791"/>
    <s v="11.1.01.1241"/>
    <x v="0"/>
    <m/>
  </r>
  <r>
    <n v="8092345"/>
    <m/>
    <m/>
    <m/>
    <d v="2021-07-20T00:00:00"/>
    <m/>
    <d v="2023-12-04T00:00:00"/>
    <m/>
    <m/>
    <s v="H"/>
    <x v="1"/>
    <s v="ANGUS ROJO"/>
    <x v="43"/>
    <s v="30-10-2011"/>
    <s v="Vivo"/>
    <x v="4"/>
    <s v="11.1.01.0791"/>
    <s v="11.1.01.0790"/>
    <x v="0"/>
    <m/>
  </r>
  <r>
    <n v="8092346"/>
    <m/>
    <m/>
    <m/>
    <m/>
    <m/>
    <m/>
    <d v="2024-12-22T00:00:00"/>
    <d v="2025-01-14T00:00:00"/>
    <s v="H"/>
    <x v="1"/>
    <s v="ANGUS NEGRO"/>
    <x v="43"/>
    <s v="30-10-2011"/>
    <s v="Vivo"/>
    <x v="7"/>
    <s v="11.1.01.1241"/>
    <s v="11.1.01.1241"/>
    <x v="0"/>
    <m/>
  </r>
  <r>
    <n v="8092354"/>
    <m/>
    <m/>
    <m/>
    <m/>
    <m/>
    <m/>
    <m/>
    <m/>
    <s v="H"/>
    <x v="1"/>
    <s v="ANGUS NEGRO"/>
    <x v="42"/>
    <s v="30-09-2011"/>
    <s v="Vivo"/>
    <x v="4"/>
    <s v="11.1.01.1241"/>
    <s v="11.1.01.1241"/>
    <x v="0"/>
    <m/>
  </r>
  <r>
    <n v="8092359"/>
    <m/>
    <m/>
    <m/>
    <m/>
    <m/>
    <m/>
    <m/>
    <m/>
    <s v="H"/>
    <x v="1"/>
    <s v="ANGUS NEGRO"/>
    <x v="43"/>
    <s v="30-10-2011"/>
    <s v="Vivo"/>
    <x v="0"/>
    <s v="11.1.01.1022"/>
    <s v="11.1.01.1241"/>
    <x v="0"/>
    <m/>
  </r>
  <r>
    <n v="8092361"/>
    <m/>
    <m/>
    <m/>
    <d v="2021-07-20T00:00:00"/>
    <m/>
    <d v="2023-12-04T00:00:00"/>
    <m/>
    <m/>
    <s v="H"/>
    <x v="1"/>
    <s v="HEREFORD"/>
    <x v="43"/>
    <s v="30-10-2011"/>
    <s v="Vivo"/>
    <x v="4"/>
    <s v="11.1.01.0791"/>
    <s v="11.1.01.0790"/>
    <x v="0"/>
    <m/>
  </r>
  <r>
    <n v="8092366"/>
    <m/>
    <m/>
    <d v="2020-10-29T00:00:00"/>
    <d v="2021-11-04T00:00:00"/>
    <m/>
    <m/>
    <m/>
    <m/>
    <s v="H"/>
    <x v="1"/>
    <s v="ANGUS ROJO"/>
    <x v="42"/>
    <s v="30-09-2011"/>
    <s v="Vivo"/>
    <x v="4"/>
    <s v="11.1.01.0791"/>
    <s v="11.1.01.0790"/>
    <x v="0"/>
    <m/>
  </r>
  <r>
    <n v="8092367"/>
    <m/>
    <m/>
    <m/>
    <m/>
    <m/>
    <m/>
    <m/>
    <m/>
    <s v="H"/>
    <x v="1"/>
    <s v="HEREFORD"/>
    <x v="42"/>
    <s v="30-09-2011"/>
    <s v="Vivo"/>
    <x v="4"/>
    <s v="11.1.01.0791"/>
    <s v="11.1.01.0790"/>
    <x v="0"/>
    <m/>
  </r>
  <r>
    <n v="8092370"/>
    <m/>
    <m/>
    <m/>
    <m/>
    <m/>
    <m/>
    <m/>
    <m/>
    <s v="H"/>
    <x v="1"/>
    <s v="ANGUS ROJO"/>
    <x v="43"/>
    <s v="30-10-2011"/>
    <s v="Vivo"/>
    <x v="4"/>
    <s v="11.1.01.0791"/>
    <s v="11.1.01.0790"/>
    <x v="0"/>
    <m/>
  </r>
  <r>
    <n v="8092373"/>
    <m/>
    <m/>
    <m/>
    <m/>
    <m/>
    <m/>
    <m/>
    <m/>
    <s v="H"/>
    <x v="1"/>
    <s v="ANGUS NEGRO"/>
    <x v="43"/>
    <s v="30-10-2011"/>
    <s v="Vivo"/>
    <x v="4"/>
    <s v="11.1.01.0791"/>
    <s v="11.1.01.1241"/>
    <x v="0"/>
    <m/>
  </r>
  <r>
    <n v="8092374"/>
    <m/>
    <m/>
    <m/>
    <d v="2021-10-20T00:00:00"/>
    <d v="2022-05-27T00:00:00"/>
    <d v="2023-10-21T00:00:00"/>
    <m/>
    <m/>
    <s v="H"/>
    <x v="1"/>
    <s v="ANGUS NEGRO"/>
    <x v="43"/>
    <s v="30-10-2011"/>
    <s v="Vivo"/>
    <x v="0"/>
    <s v="11.2.01.0053"/>
    <s v="11.1.01.1241"/>
    <x v="0"/>
    <m/>
  </r>
  <r>
    <n v="8092375"/>
    <m/>
    <m/>
    <m/>
    <d v="2021-10-20T00:00:00"/>
    <d v="2022-12-13T00:00:00"/>
    <d v="2023-11-23T00:00:00"/>
    <m/>
    <m/>
    <s v="H"/>
    <x v="1"/>
    <s v="OVERO COLORADO (CLAVEL ALEMAN)"/>
    <x v="42"/>
    <s v="30-09-2011"/>
    <s v="Vivo"/>
    <x v="4"/>
    <s v="11.1.01.1241"/>
    <s v="11.1.01.0790"/>
    <x v="0"/>
    <m/>
  </r>
  <r>
    <n v="8092376"/>
    <m/>
    <m/>
    <m/>
    <d v="2021-10-20T00:00:00"/>
    <d v="2022-05-27T00:00:00"/>
    <d v="2023-11-23T00:00:00"/>
    <m/>
    <m/>
    <s v="H"/>
    <x v="1"/>
    <s v="ANGUS NEGRO"/>
    <x v="49"/>
    <s v="15-10-2012"/>
    <s v="Vivo"/>
    <x v="4"/>
    <s v="11.1.01.0790"/>
    <s v="11.1.01.0790"/>
    <x v="0"/>
    <m/>
  </r>
  <r>
    <n v="8092384"/>
    <m/>
    <m/>
    <m/>
    <d v="2021-10-20T00:00:00"/>
    <d v="2022-05-27T00:00:00"/>
    <d v="2023-11-23T00:00:00"/>
    <m/>
    <m/>
    <s v="no existe"/>
    <x v="2"/>
    <s v="no existe"/>
    <x v="4"/>
    <s v="no existe"/>
    <s v="no existe"/>
    <x v="1"/>
    <s v="no existe"/>
    <s v="no existe"/>
    <x v="1"/>
    <m/>
  </r>
  <r>
    <n v="8093565"/>
    <m/>
    <m/>
    <m/>
    <d v="2021-10-20T00:00:00"/>
    <d v="2022-05-27T00:00:00"/>
    <d v="2023-12-05T00:00:00"/>
    <m/>
    <m/>
    <s v="H"/>
    <x v="1"/>
    <s v="HEREFORD"/>
    <x v="43"/>
    <s v="19-10-2011"/>
    <s v="Vivo"/>
    <x v="0"/>
    <s v="11.2.01.0038"/>
    <s v="11.4.02.0363"/>
    <x v="0"/>
    <m/>
  </r>
  <r>
    <n v="8161606"/>
    <m/>
    <m/>
    <m/>
    <m/>
    <m/>
    <m/>
    <m/>
    <m/>
    <s v="M"/>
    <x v="3"/>
    <s v="ANGUS NEGRO"/>
    <x v="43"/>
    <s v="15-11-2011"/>
    <s v="Vivo"/>
    <x v="4"/>
    <s v="11.1.01.1081"/>
    <s v="11.1.01.0290"/>
    <x v="0"/>
    <m/>
  </r>
  <r>
    <n v="8161641"/>
    <m/>
    <m/>
    <m/>
    <d v="2021-10-20T00:00:00"/>
    <d v="2022-05-27T00:00:00"/>
    <d v="2023-12-05T00:00:00"/>
    <m/>
    <m/>
    <s v="M"/>
    <x v="3"/>
    <s v="ANGUS NEGRO"/>
    <x v="43"/>
    <s v="15-11-2011"/>
    <s v="Vivo"/>
    <x v="0"/>
    <s v="11.2.01.0038"/>
    <s v="11.1.01.0290"/>
    <x v="0"/>
    <m/>
  </r>
  <r>
    <n v="8199554"/>
    <m/>
    <m/>
    <m/>
    <d v="2021-10-20T00:00:00"/>
    <d v="2022-12-13T00:00:00"/>
    <d v="2023-11-23T00:00:00"/>
    <m/>
    <m/>
    <s v="H"/>
    <x v="1"/>
    <s v="ANGUS NEGRO"/>
    <x v="16"/>
    <s v="15-10-2007"/>
    <s v="Vivo"/>
    <x v="4"/>
    <s v="11.1.01.1241"/>
    <s v="11.1.01.0790"/>
    <x v="0"/>
    <m/>
  </r>
  <r>
    <n v="8199979"/>
    <m/>
    <m/>
    <m/>
    <d v="2021-10-20T00:00:00"/>
    <d v="2022-05-27T00:00:00"/>
    <d v="2023-11-23T00:00:00"/>
    <m/>
    <m/>
    <s v="M"/>
    <x v="3"/>
    <s v="CLAVEL CHILENO"/>
    <x v="50"/>
    <s v="15-11-2013"/>
    <s v="Vivo"/>
    <x v="3"/>
    <s v="11.1.01.1187"/>
    <s v="11.1.01.1187"/>
    <x v="0"/>
    <m/>
  </r>
  <r>
    <n v="8202197"/>
    <m/>
    <m/>
    <m/>
    <d v="2021-10-20T00:00:00"/>
    <d v="2022-12-13T00:00:00"/>
    <d v="2023-12-05T00:00:00"/>
    <d v="2024-12-22T00:00:00"/>
    <d v="2025-11-04T00:00:00"/>
    <s v="H"/>
    <x v="1"/>
    <s v="ANGUS NEGRO"/>
    <x v="51"/>
    <s v="15-10-2014"/>
    <s v="Vivo"/>
    <x v="8"/>
    <s v="11.1.01.0190"/>
    <s v="11.1.01.0893"/>
    <x v="0"/>
    <m/>
  </r>
  <r>
    <n v="8392413"/>
    <m/>
    <m/>
    <m/>
    <d v="2021-10-20T00:00:00"/>
    <d v="2022-12-13T00:00:00"/>
    <d v="2023-12-05T00:00:00"/>
    <m/>
    <m/>
    <s v="H"/>
    <x v="1"/>
    <s v="OVERO COLORADO (CLAVEL ALEMAN)"/>
    <x v="49"/>
    <s v="15-10-2012"/>
    <s v="Vivo"/>
    <x v="4"/>
    <s v="11.1.01.1241"/>
    <s v="11.1.01.1241"/>
    <x v="0"/>
    <m/>
  </r>
  <r>
    <n v="8392416"/>
    <m/>
    <m/>
    <m/>
    <d v="2021-10-20T00:00:00"/>
    <d v="2022-05-27T00:00:00"/>
    <d v="2023-12-05T00:00:00"/>
    <m/>
    <m/>
    <s v="H"/>
    <x v="1"/>
    <s v="OVERO COLORADO (CLAVEL ALEMAN)"/>
    <x v="49"/>
    <s v="30-09-2012"/>
    <s v="Vivo"/>
    <x v="0"/>
    <s v="11.1.01.0893"/>
    <s v="11.1.01.1241"/>
    <x v="0"/>
    <m/>
  </r>
  <r>
    <n v="8392468"/>
    <m/>
    <m/>
    <m/>
    <m/>
    <m/>
    <m/>
    <m/>
    <m/>
    <s v="H"/>
    <x v="1"/>
    <s v="HEREFORD"/>
    <x v="49"/>
    <s v="30-09-2012"/>
    <s v="Vivo"/>
    <x v="0"/>
    <s v="11.1.01.0791"/>
    <s v="11.1.01.1241"/>
    <x v="0"/>
    <m/>
  </r>
  <r>
    <n v="8392472"/>
    <m/>
    <m/>
    <m/>
    <d v="2021-10-20T00:00:00"/>
    <d v="2022-12-13T00:00:00"/>
    <d v="2023-11-23T00:00:00"/>
    <m/>
    <m/>
    <s v="M"/>
    <x v="3"/>
    <s v="HEREFORD"/>
    <x v="49"/>
    <s v="30-09-2012"/>
    <s v="Vivo"/>
    <x v="0"/>
    <s v="Sin Movimiento"/>
    <s v="11.1.01.1241"/>
    <x v="0"/>
    <m/>
  </r>
  <r>
    <n v="8392476"/>
    <m/>
    <m/>
    <m/>
    <d v="2021-10-20T00:00:00"/>
    <d v="2022-05-27T00:00:00"/>
    <d v="2023-12-05T00:00:00"/>
    <m/>
    <m/>
    <s v="H"/>
    <x v="1"/>
    <s v="HEREFORD"/>
    <x v="52"/>
    <s v="05-11-2012"/>
    <s v="Vivo"/>
    <x v="4"/>
    <s v="11.1.01.1081"/>
    <s v="11.1.01.1241"/>
    <x v="0"/>
    <m/>
  </r>
  <r>
    <n v="8392483"/>
    <m/>
    <m/>
    <m/>
    <d v="2021-10-20T00:00:00"/>
    <d v="2022-05-27T00:00:00"/>
    <d v="2023-12-05T00:00:00"/>
    <m/>
    <m/>
    <s v="H"/>
    <x v="1"/>
    <s v="OVERO COLORADO (CLAVEL ALEMAN)"/>
    <x v="49"/>
    <s v="30-09-2012"/>
    <s v="Vivo"/>
    <x v="3"/>
    <s v="11.1.01.1022"/>
    <s v="11.1.01.1241"/>
    <x v="0"/>
    <m/>
  </r>
  <r>
    <n v="8392498"/>
    <m/>
    <m/>
    <m/>
    <d v="2021-10-20T00:00:00"/>
    <d v="2022-12-13T00:00:00"/>
    <d v="2023-12-05T00:00:00"/>
    <m/>
    <m/>
    <s v="M"/>
    <x v="3"/>
    <s v="ANGUS NEGRO"/>
    <x v="49"/>
    <s v="30-09-2012"/>
    <s v="Vivo"/>
    <x v="0"/>
    <s v="11.1.01.1081"/>
    <s v="11.1.01.1241"/>
    <x v="0"/>
    <m/>
  </r>
  <r>
    <n v="8392502"/>
    <m/>
    <m/>
    <m/>
    <d v="2021-10-20T00:00:00"/>
    <d v="2022-05-27T00:00:00"/>
    <d v="2023-12-05T00:00:00"/>
    <d v="2024-12-22T00:00:00"/>
    <d v="2025-01-14T00:00:00"/>
    <s v="H"/>
    <x v="1"/>
    <s v="ANGUS NEGRO"/>
    <x v="53"/>
    <s v="30-08-2012"/>
    <s v="Vivo"/>
    <x v="6"/>
    <s v="11.1.01.1241"/>
    <s v="11.1.01.1241"/>
    <x v="0"/>
    <m/>
  </r>
  <r>
    <n v="8392507"/>
    <m/>
    <m/>
    <m/>
    <d v="2021-10-20T00:00:00"/>
    <d v="2022-05-27T00:00:00"/>
    <d v="2023-12-05T00:00:00"/>
    <m/>
    <m/>
    <s v="H"/>
    <x v="1"/>
    <s v="HEREFORD"/>
    <x v="53"/>
    <s v="30-08-2012"/>
    <s v="Vivo"/>
    <x v="4"/>
    <s v="11.1.01.1081"/>
    <s v="11.1.01.1241"/>
    <x v="0"/>
    <m/>
  </r>
  <r>
    <n v="8392511"/>
    <m/>
    <m/>
    <m/>
    <d v="2021-10-20T00:00:00"/>
    <d v="2022-05-27T00:00:00"/>
    <d v="2023-12-05T00:00:00"/>
    <m/>
    <m/>
    <s v="H"/>
    <x v="1"/>
    <s v="ANGUS NEGRO"/>
    <x v="49"/>
    <s v="30-09-2012"/>
    <s v="Vivo"/>
    <x v="4"/>
    <s v="11.1.01.1241"/>
    <s v="11.1.01.1241"/>
    <x v="0"/>
    <m/>
  </r>
  <r>
    <n v="8392525"/>
    <m/>
    <m/>
    <m/>
    <d v="2021-10-20T00:00:00"/>
    <d v="2022-12-13T00:00:00"/>
    <d v="2023-12-05T00:00:00"/>
    <m/>
    <m/>
    <s v="H"/>
    <x v="1"/>
    <s v="ANGUS ROJO"/>
    <x v="53"/>
    <s v="30-08-2012"/>
    <s v="Vivo"/>
    <x v="0"/>
    <s v="11.1.01.0791"/>
    <s v="11.1.01.1241"/>
    <x v="0"/>
    <m/>
  </r>
  <r>
    <n v="8392537"/>
    <m/>
    <m/>
    <m/>
    <d v="2021-10-20T00:00:00"/>
    <d v="2022-05-27T00:00:00"/>
    <d v="2023-12-05T00:00:00"/>
    <m/>
    <m/>
    <s v="H"/>
    <x v="1"/>
    <s v="ANGUS NEGRO"/>
    <x v="52"/>
    <s v="30-10-2012"/>
    <s v="Vivo"/>
    <x v="0"/>
    <s v="11.2.01.0038"/>
    <s v="11.1.01.1241"/>
    <x v="0"/>
    <m/>
  </r>
  <r>
    <n v="8392540"/>
    <m/>
    <m/>
    <m/>
    <d v="2021-10-20T00:00:00"/>
    <d v="2022-05-27T00:00:00"/>
    <d v="2023-12-05T00:00:00"/>
    <m/>
    <m/>
    <s v="H"/>
    <x v="1"/>
    <s v="ANGUS ROJO"/>
    <x v="52"/>
    <s v="30-10-2012"/>
    <s v="Vivo"/>
    <x v="0"/>
    <s v="11.1.01.1081"/>
    <s v="11.1.01.1241"/>
    <x v="0"/>
    <m/>
  </r>
  <r>
    <n v="8392547"/>
    <m/>
    <m/>
    <m/>
    <d v="2021-10-20T00:00:00"/>
    <d v="2022-05-27T00:00:00"/>
    <d v="2023-12-05T00:00:00"/>
    <m/>
    <m/>
    <s v="H"/>
    <x v="1"/>
    <s v="ANGUS NEGRO"/>
    <x v="52"/>
    <s v="05-11-2012"/>
    <s v="Vivo"/>
    <x v="4"/>
    <s v="11.1.01.1081"/>
    <s v="11.1.01.1241"/>
    <x v="0"/>
    <m/>
  </r>
  <r>
    <n v="8392549"/>
    <m/>
    <m/>
    <m/>
    <m/>
    <m/>
    <m/>
    <m/>
    <m/>
    <s v="H"/>
    <x v="1"/>
    <s v="ANGUS NEGRO"/>
    <x v="52"/>
    <s v="30-10-2012"/>
    <s v="Vivo"/>
    <x v="4"/>
    <s v="11.1.01.1081"/>
    <s v="11.1.01.1241"/>
    <x v="0"/>
    <m/>
  </r>
  <r>
    <n v="8392555"/>
    <m/>
    <m/>
    <m/>
    <d v="2021-10-20T00:00:00"/>
    <d v="2022-05-27T00:00:00"/>
    <d v="2023-12-05T00:00:00"/>
    <m/>
    <m/>
    <s v="H"/>
    <x v="1"/>
    <s v="HEREFORD"/>
    <x v="52"/>
    <s v="30-10-2012"/>
    <s v="Vivo"/>
    <x v="0"/>
    <s v="11.1.01.0791"/>
    <s v="11.1.01.1241"/>
    <x v="0"/>
    <m/>
  </r>
  <r>
    <n v="8392581"/>
    <m/>
    <m/>
    <m/>
    <d v="2021-10-20T00:00:00"/>
    <d v="2022-05-27T00:00:00"/>
    <d v="2023-10-21T00:00:00"/>
    <m/>
    <m/>
    <s v="H"/>
    <x v="1"/>
    <s v="ANGUS NEGRO"/>
    <x v="49"/>
    <s v="30-09-2012"/>
    <s v="Vivo"/>
    <x v="0"/>
    <s v="11.1.01.1022"/>
    <s v="11.1.01.1241"/>
    <x v="0"/>
    <m/>
  </r>
  <r>
    <n v="8392585"/>
    <m/>
    <m/>
    <m/>
    <d v="2021-10-20T00:00:00"/>
    <d v="2022-05-27T00:00:00"/>
    <d v="2023-10-21T00:00:00"/>
    <m/>
    <m/>
    <s v="M"/>
    <x v="3"/>
    <s v="ANGUS NEGRO"/>
    <x v="52"/>
    <s v="30-10-2012"/>
    <s v="Vivo"/>
    <x v="4"/>
    <s v="11.1.01.1241"/>
    <s v="11.1.01.1241"/>
    <x v="0"/>
    <m/>
  </r>
  <r>
    <n v="8392591"/>
    <m/>
    <m/>
    <m/>
    <d v="2021-10-20T00:00:00"/>
    <d v="2022-05-27T00:00:00"/>
    <d v="2023-12-05T00:00:00"/>
    <m/>
    <m/>
    <s v="M"/>
    <x v="3"/>
    <s v="ANGUS NEGRO"/>
    <x v="52"/>
    <s v="30-10-2012"/>
    <s v="Vivo"/>
    <x v="0"/>
    <s v="Sin Movimiento"/>
    <s v="11.1.01.1241"/>
    <x v="0"/>
    <m/>
  </r>
  <r>
    <n v="8392596"/>
    <m/>
    <m/>
    <m/>
    <d v="2021-10-20T00:00:00"/>
    <d v="2022-12-13T00:00:00"/>
    <d v="2023-11-23T00:00:00"/>
    <m/>
    <m/>
    <s v="H"/>
    <x v="1"/>
    <s v="ANGUS ROJO"/>
    <x v="52"/>
    <s v="30-10-2012"/>
    <s v="Vivo"/>
    <x v="0"/>
    <s v="11.1.01.0791"/>
    <s v="11.1.01.1241"/>
    <x v="0"/>
    <m/>
  </r>
  <r>
    <n v="8392634"/>
    <m/>
    <m/>
    <d v="2020-11-04T00:00:00"/>
    <d v="2021-07-08T00:00:00"/>
    <m/>
    <m/>
    <m/>
    <m/>
    <s v="no existe"/>
    <x v="2"/>
    <s v="no existe"/>
    <x v="4"/>
    <s v="no existe"/>
    <s v="no existe"/>
    <x v="1"/>
    <s v="no existe"/>
    <s v="no existe"/>
    <x v="1"/>
    <m/>
  </r>
  <r>
    <n v="8392641"/>
    <m/>
    <m/>
    <m/>
    <d v="2021-10-20T00:00:00"/>
    <d v="2022-05-27T00:00:00"/>
    <d v="2023-12-05T00:00:00"/>
    <m/>
    <m/>
    <s v="M"/>
    <x v="3"/>
    <s v="ANGUS NEGRO"/>
    <x v="54"/>
    <s v="30-12-2012"/>
    <s v="Vivo"/>
    <x v="0"/>
    <s v="11.1.01.0790"/>
    <s v="11.1.01.0790"/>
    <x v="0"/>
    <m/>
  </r>
  <r>
    <n v="8392652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8392660"/>
    <m/>
    <m/>
    <m/>
    <d v="2021-10-20T00:00:00"/>
    <d v="2022-05-27T00:00:00"/>
    <d v="2023-12-05T00:00:00"/>
    <m/>
    <m/>
    <s v="M"/>
    <x v="3"/>
    <s v="OVERO COLORADO (CLAVEL ALEMAN)"/>
    <x v="53"/>
    <s v="30-08-2012"/>
    <s v="Vivo"/>
    <x v="0"/>
    <s v="11.1.01.0790"/>
    <s v="11.1.01.0790"/>
    <x v="0"/>
    <m/>
  </r>
  <r>
    <n v="8392739"/>
    <m/>
    <m/>
    <m/>
    <d v="2021-10-20T00:00:00"/>
    <d v="2022-05-27T00:00:00"/>
    <d v="2023-12-05T00:00:00"/>
    <m/>
    <m/>
    <s v="H"/>
    <x v="1"/>
    <s v="ANGUS NEGRO"/>
    <x v="55"/>
    <s v="28-01-2013"/>
    <s v="Vivo"/>
    <x v="0"/>
    <s v="11.2.01.0038"/>
    <s v="11.1.01.0790"/>
    <x v="0"/>
    <m/>
  </r>
  <r>
    <n v="8392740"/>
    <m/>
    <m/>
    <m/>
    <d v="2021-10-20T00:00:00"/>
    <d v="2022-05-27T00:00:00"/>
    <d v="2023-12-05T00:00:00"/>
    <m/>
    <m/>
    <s v="H"/>
    <x v="1"/>
    <s v="ANGUS ROJO"/>
    <x v="55"/>
    <s v="28-01-2013"/>
    <s v="Vivo"/>
    <x v="0"/>
    <s v="11.2.01.0038"/>
    <s v="11.1.01.0790"/>
    <x v="0"/>
    <m/>
  </r>
  <r>
    <n v="8392762"/>
    <m/>
    <m/>
    <m/>
    <d v="2021-10-20T00:00:00"/>
    <d v="2022-05-27T00:00:00"/>
    <d v="2023-12-05T00:00:00"/>
    <m/>
    <m/>
    <s v="H"/>
    <x v="1"/>
    <s v="ANGUS NEGRO"/>
    <x v="55"/>
    <s v="30-01-2013"/>
    <s v="Vivo"/>
    <x v="3"/>
    <s v="11.2.01.0038"/>
    <s v="11.1.01.1240"/>
    <x v="0"/>
    <m/>
  </r>
  <r>
    <n v="8392777"/>
    <m/>
    <m/>
    <m/>
    <d v="2021-10-20T00:00:00"/>
    <d v="2022-12-13T00:00:00"/>
    <d v="2023-11-23T00:00:00"/>
    <m/>
    <m/>
    <s v="H"/>
    <x v="1"/>
    <s v="ANGUS NEGRO"/>
    <x v="55"/>
    <s v="30-01-2013"/>
    <s v="Vivo"/>
    <x v="4"/>
    <s v="11.1.01.0791"/>
    <s v="11.1.01.1240"/>
    <x v="0"/>
    <m/>
  </r>
  <r>
    <n v="8392789"/>
    <m/>
    <m/>
    <m/>
    <m/>
    <m/>
    <m/>
    <m/>
    <m/>
    <s v="M"/>
    <x v="3"/>
    <s v="ANGUS NEGRO"/>
    <x v="55"/>
    <s v="30-01-2013"/>
    <s v="Vivo"/>
    <x v="0"/>
    <s v="11.1.01.1081"/>
    <s v="11.1.01.1240"/>
    <x v="0"/>
    <m/>
  </r>
  <r>
    <n v="8392809"/>
    <m/>
    <m/>
    <m/>
    <d v="2021-10-28T00:00:00"/>
    <d v="2022-12-13T00:00:00"/>
    <d v="2023-12-05T00:00:00"/>
    <m/>
    <m/>
    <s v="H"/>
    <x v="1"/>
    <s v="ANGUS ROJO"/>
    <x v="55"/>
    <s v="30-01-2013"/>
    <s v="Vivo"/>
    <x v="0"/>
    <s v="11.2.01.0038"/>
    <s v="11.1.01.1240"/>
    <x v="0"/>
    <m/>
  </r>
  <r>
    <n v="8392824"/>
    <m/>
    <m/>
    <m/>
    <d v="2021-10-20T00:00:00"/>
    <d v="2022-05-27T00:00:00"/>
    <d v="2023-12-05T00:00:00"/>
    <m/>
    <m/>
    <s v="M"/>
    <x v="3"/>
    <s v="ANGUS NEGRO"/>
    <x v="55"/>
    <s v="30-01-2013"/>
    <s v="Vivo"/>
    <x v="0"/>
    <s v="11.2.01.0038"/>
    <s v="11.1.01.1240"/>
    <x v="0"/>
    <m/>
  </r>
  <r>
    <n v="8392829"/>
    <m/>
    <m/>
    <m/>
    <d v="2021-10-20T00:00:00"/>
    <d v="2022-05-27T00:00:00"/>
    <d v="2023-12-05T00:00:00"/>
    <m/>
    <m/>
    <s v="H"/>
    <x v="1"/>
    <s v="LIMOUSIN"/>
    <x v="55"/>
    <s v="30-01-2013"/>
    <s v="Vivo"/>
    <x v="0"/>
    <s v="11.1.01.0791"/>
    <s v="11.1.01.1240"/>
    <x v="0"/>
    <m/>
  </r>
  <r>
    <n v="8392844"/>
    <m/>
    <m/>
    <m/>
    <d v="2021-10-20T00:00:00"/>
    <d v="2022-05-27T00:00:00"/>
    <d v="2023-12-05T00:00:00"/>
    <m/>
    <m/>
    <s v="H"/>
    <x v="1"/>
    <s v="ANGUS NEGRO"/>
    <x v="55"/>
    <s v="30-01-2013"/>
    <s v="Vivo"/>
    <x v="0"/>
    <s v="11.2.01.0038"/>
    <s v="11.1.01.1240"/>
    <x v="0"/>
    <m/>
  </r>
  <r>
    <n v="8392846"/>
    <m/>
    <m/>
    <m/>
    <d v="2021-10-20T00:00:00"/>
    <d v="2022-12-13T00:00:00"/>
    <d v="2023-12-05T00:00:00"/>
    <m/>
    <m/>
    <s v="H"/>
    <x v="1"/>
    <s v="ANGUS ROJO"/>
    <x v="55"/>
    <s v="30-01-2013"/>
    <s v="Vivo"/>
    <x v="0"/>
    <s v="11.1.01.0791"/>
    <s v="11.1.01.1240"/>
    <x v="0"/>
    <m/>
  </r>
  <r>
    <n v="8392850"/>
    <m/>
    <m/>
    <m/>
    <m/>
    <m/>
    <m/>
    <m/>
    <m/>
    <s v="H"/>
    <x v="1"/>
    <s v="ANGUS ROJO"/>
    <x v="55"/>
    <s v="30-01-2013"/>
    <s v="Vivo"/>
    <x v="0"/>
    <s v="11.1.01.0791"/>
    <s v="11.1.01.1240"/>
    <x v="0"/>
    <m/>
  </r>
  <r>
    <n v="8392854"/>
    <m/>
    <m/>
    <m/>
    <m/>
    <m/>
    <m/>
    <m/>
    <m/>
    <s v="H"/>
    <x v="1"/>
    <s v="HEREFORD"/>
    <x v="55"/>
    <s v="30-01-2013"/>
    <s v="Vivo"/>
    <x v="0"/>
    <s v="11.1.01.0791"/>
    <s v="11.1.01.1240"/>
    <x v="0"/>
    <m/>
  </r>
  <r>
    <n v="8392857"/>
    <m/>
    <m/>
    <m/>
    <m/>
    <m/>
    <m/>
    <m/>
    <m/>
    <s v="H"/>
    <x v="1"/>
    <s v="ANGUS NEGRO"/>
    <x v="55"/>
    <s v="30-01-2013"/>
    <s v="Vivo"/>
    <x v="0"/>
    <s v="11.1.01.0791"/>
    <s v="11.1.01.1240"/>
    <x v="0"/>
    <m/>
  </r>
  <r>
    <n v="8392860"/>
    <m/>
    <m/>
    <m/>
    <d v="2021-07-20T00:00:00"/>
    <m/>
    <d v="2023-12-04T00:00:00"/>
    <m/>
    <m/>
    <s v="H"/>
    <x v="1"/>
    <s v="HEREFORD"/>
    <x v="55"/>
    <s v="30-01-2013"/>
    <s v="Vivo"/>
    <x v="0"/>
    <s v="11.1.01.0791"/>
    <s v="11.1.01.1240"/>
    <x v="0"/>
    <m/>
  </r>
  <r>
    <n v="8392871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8392906"/>
    <m/>
    <m/>
    <m/>
    <m/>
    <m/>
    <d v="2023-12-04T00:00:00"/>
    <m/>
    <m/>
    <s v="M"/>
    <x v="3"/>
    <s v="ANGUS ROJO"/>
    <x v="50"/>
    <s v="20-10-2013"/>
    <s v="Vivo"/>
    <x v="0"/>
    <s v="11.1.01.1081"/>
    <s v="11.1.01.1081"/>
    <x v="0"/>
    <m/>
  </r>
  <r>
    <n v="8392909"/>
    <m/>
    <m/>
    <m/>
    <m/>
    <m/>
    <m/>
    <m/>
    <m/>
    <s v="H"/>
    <x v="1"/>
    <s v="HEREFORD"/>
    <x v="50"/>
    <s v="20-10-2013"/>
    <s v="Vivo"/>
    <x v="0"/>
    <s v="11.2.01.0038"/>
    <s v="11.1.01.1081"/>
    <x v="0"/>
    <m/>
  </r>
  <r>
    <n v="8392912"/>
    <m/>
    <m/>
    <m/>
    <m/>
    <m/>
    <m/>
    <m/>
    <m/>
    <s v="H"/>
    <x v="1"/>
    <s v="ANGUS NEGRO"/>
    <x v="50"/>
    <s v="20-10-2013"/>
    <s v="Vivo"/>
    <x v="0"/>
    <s v="11.1.01.1081"/>
    <s v="11.1.01.1081"/>
    <x v="0"/>
    <m/>
  </r>
  <r>
    <n v="8392913"/>
    <m/>
    <m/>
    <m/>
    <m/>
    <m/>
    <d v="2023-06-23T00:00:00"/>
    <m/>
    <m/>
    <s v="H"/>
    <x v="1"/>
    <s v="ANGUS NEGRO"/>
    <x v="50"/>
    <s v="20-10-2013"/>
    <s v="Vivo"/>
    <x v="0"/>
    <s v="11.1.01.1241"/>
    <s v="11.1.01.1081"/>
    <x v="0"/>
    <m/>
  </r>
  <r>
    <n v="8392914"/>
    <m/>
    <m/>
    <m/>
    <m/>
    <m/>
    <m/>
    <m/>
    <m/>
    <s v="M"/>
    <x v="3"/>
    <s v="ANGUS NEGRO"/>
    <x v="50"/>
    <s v="20-10-2013"/>
    <s v="Vivo"/>
    <x v="0"/>
    <s v="11.1.01.1081"/>
    <s v="11.1.01.1081"/>
    <x v="0"/>
    <m/>
  </r>
  <r>
    <n v="8392919"/>
    <m/>
    <m/>
    <m/>
    <m/>
    <m/>
    <d v="2023-12-04T00:00:00"/>
    <m/>
    <m/>
    <s v="M"/>
    <x v="3"/>
    <s v="ANGUS NEGRO"/>
    <x v="50"/>
    <s v="20-10-2013"/>
    <s v="Vivo"/>
    <x v="0"/>
    <s v="11.1.01.1081"/>
    <s v="11.1.01.1081"/>
    <x v="0"/>
    <m/>
  </r>
  <r>
    <n v="8392921"/>
    <m/>
    <m/>
    <m/>
    <d v="2021-10-20T00:00:00"/>
    <d v="2022-05-27T00:00:00"/>
    <d v="2023-12-05T00:00:00"/>
    <m/>
    <m/>
    <s v="M"/>
    <x v="3"/>
    <s v="ANGUS NEGRO"/>
    <x v="50"/>
    <s v="20-10-2013"/>
    <s v="Vivo"/>
    <x v="0"/>
    <s v="11.1.01.1081"/>
    <s v="11.1.01.1081"/>
    <x v="0"/>
    <m/>
  </r>
  <r>
    <n v="8392927"/>
    <m/>
    <m/>
    <m/>
    <d v="2021-10-28T00:00:00"/>
    <d v="2022-11-03T00:00:00"/>
    <m/>
    <m/>
    <m/>
    <s v="no existe"/>
    <x v="2"/>
    <s v="no existe"/>
    <x v="4"/>
    <s v="no existe"/>
    <s v="no existe"/>
    <x v="1"/>
    <s v="no existe"/>
    <s v="no existe"/>
    <x v="1"/>
    <m/>
  </r>
  <r>
    <n v="8392929"/>
    <m/>
    <m/>
    <m/>
    <d v="2021-10-22T00:00:00"/>
    <m/>
    <d v="2023-12-05T00:00:00"/>
    <m/>
    <m/>
    <s v="M"/>
    <x v="3"/>
    <s v="ANGUS ROJO"/>
    <x v="50"/>
    <s v="20-10-2013"/>
    <s v="Vivo"/>
    <x v="0"/>
    <s v="11.1.01.1081"/>
    <s v="11.1.01.1081"/>
    <x v="0"/>
    <m/>
  </r>
  <r>
    <n v="8392930"/>
    <m/>
    <m/>
    <m/>
    <d v="2021-10-22T00:00:00"/>
    <d v="2022-12-17T00:00:00"/>
    <d v="2023-11-10T00:00:00"/>
    <m/>
    <m/>
    <s v="M"/>
    <x v="3"/>
    <s v="HEREFORD"/>
    <x v="50"/>
    <s v="20-10-2013"/>
    <s v="Vivo"/>
    <x v="0"/>
    <s v="11.1.01.1081"/>
    <s v="11.1.01.1081"/>
    <x v="0"/>
    <m/>
  </r>
  <r>
    <n v="8392937"/>
    <m/>
    <m/>
    <m/>
    <d v="2021-10-28T00:00:00"/>
    <d v="2022-11-02T00:00:00"/>
    <d v="2023-11-24T00:00:00"/>
    <m/>
    <m/>
    <s v="M"/>
    <x v="3"/>
    <s v="HEREFORD"/>
    <x v="50"/>
    <s v="20-10-2013"/>
    <s v="Vivo"/>
    <x v="0"/>
    <s v="11.1.01.1081"/>
    <s v="11.1.01.1081"/>
    <x v="0"/>
    <m/>
  </r>
  <r>
    <n v="8392939"/>
    <m/>
    <m/>
    <m/>
    <d v="2021-10-22T00:00:00"/>
    <d v="2022-11-03T00:00:00"/>
    <d v="2023-11-23T00:00:00"/>
    <m/>
    <m/>
    <s v="H"/>
    <x v="1"/>
    <s v="ANGUS NEGRO"/>
    <x v="50"/>
    <s v="20-10-2013"/>
    <s v="Vivo"/>
    <x v="3"/>
    <s v="11.1.01.1241"/>
    <s v="11.1.01.1081"/>
    <x v="0"/>
    <m/>
  </r>
  <r>
    <n v="8392940"/>
    <m/>
    <m/>
    <m/>
    <m/>
    <m/>
    <d v="2023-10-16T00:00:00"/>
    <m/>
    <m/>
    <s v="H"/>
    <x v="1"/>
    <s v="ANGUS NEGRO"/>
    <x v="50"/>
    <s v="20-10-2013"/>
    <s v="Vivo"/>
    <x v="0"/>
    <s v="11.1.01.1241"/>
    <s v="11.1.01.1081"/>
    <x v="0"/>
    <m/>
  </r>
  <r>
    <n v="8392941"/>
    <m/>
    <m/>
    <m/>
    <m/>
    <m/>
    <d v="2023-06-13T00:00:00"/>
    <m/>
    <m/>
    <s v="M"/>
    <x v="3"/>
    <s v="ANGUS NEGRO"/>
    <x v="50"/>
    <s v="20-10-2013"/>
    <s v="Vivo"/>
    <x v="0"/>
    <s v="11.1.01.1081"/>
    <s v="11.1.01.1081"/>
    <x v="0"/>
    <m/>
  </r>
  <r>
    <n v="8392943"/>
    <m/>
    <m/>
    <m/>
    <m/>
    <m/>
    <d v="2023-10-16T00:00:00"/>
    <m/>
    <m/>
    <s v="M"/>
    <x v="3"/>
    <s v="ANGUS ROJO"/>
    <x v="50"/>
    <s v="20-10-2013"/>
    <s v="Vivo"/>
    <x v="0"/>
    <s v="11.1.01.1081"/>
    <s v="11.1.01.1081"/>
    <x v="0"/>
    <m/>
  </r>
  <r>
    <n v="8392944"/>
    <m/>
    <m/>
    <m/>
    <m/>
    <m/>
    <d v="2023-10-16T00:00:00"/>
    <m/>
    <m/>
    <s v="H"/>
    <x v="1"/>
    <s v="ANGUS ROJO"/>
    <x v="50"/>
    <s v="20-10-2013"/>
    <s v="Vivo"/>
    <x v="0"/>
    <s v="11.1.01.1081"/>
    <s v="11.1.01.1081"/>
    <x v="0"/>
    <m/>
  </r>
  <r>
    <n v="8392945"/>
    <m/>
    <m/>
    <m/>
    <m/>
    <m/>
    <d v="2023-10-16T00:00:00"/>
    <m/>
    <m/>
    <s v="H"/>
    <x v="1"/>
    <s v="ANGUS NEGRO"/>
    <x v="50"/>
    <s v="20-10-2013"/>
    <s v="Vivo"/>
    <x v="0"/>
    <s v="11.1.01.1241"/>
    <s v="11.1.01.1081"/>
    <x v="0"/>
    <m/>
  </r>
  <r>
    <n v="8392946"/>
    <m/>
    <m/>
    <m/>
    <m/>
    <m/>
    <d v="2023-06-13T00:00:00"/>
    <m/>
    <m/>
    <s v="H"/>
    <x v="1"/>
    <s v="ANGUS NEGRO"/>
    <x v="50"/>
    <s v="20-10-2013"/>
    <s v="Vivo"/>
    <x v="0"/>
    <s v="11.1.01.1241"/>
    <s v="11.1.01.1081"/>
    <x v="0"/>
    <m/>
  </r>
  <r>
    <n v="8392949"/>
    <m/>
    <m/>
    <m/>
    <m/>
    <m/>
    <d v="2023-06-13T00:00:00"/>
    <m/>
    <m/>
    <s v="H"/>
    <x v="1"/>
    <s v="HEREFORD"/>
    <x v="50"/>
    <s v="20-10-2013"/>
    <s v="Vivo"/>
    <x v="0"/>
    <s v="11.1.01.1081"/>
    <s v="11.1.01.1081"/>
    <x v="0"/>
    <m/>
  </r>
  <r>
    <n v="8392956"/>
    <m/>
    <m/>
    <m/>
    <m/>
    <m/>
    <d v="2023-11-10T00:00:00"/>
    <m/>
    <m/>
    <s v="H"/>
    <x v="1"/>
    <s v="ANGUS ROJO"/>
    <x v="50"/>
    <s v="20-10-2013"/>
    <s v="Vivo"/>
    <x v="0"/>
    <s v="11.1.01.1081"/>
    <s v="11.1.01.1081"/>
    <x v="0"/>
    <m/>
  </r>
  <r>
    <n v="8392957"/>
    <m/>
    <m/>
    <m/>
    <m/>
    <m/>
    <d v="2023-10-16T00:00:00"/>
    <m/>
    <m/>
    <s v="M"/>
    <x v="3"/>
    <s v="HEREFORD"/>
    <x v="50"/>
    <s v="20-10-2013"/>
    <s v="Vivo"/>
    <x v="0"/>
    <s v="11.1.01.1081"/>
    <s v="11.1.01.1081"/>
    <x v="0"/>
    <m/>
  </r>
  <r>
    <n v="8392960"/>
    <m/>
    <m/>
    <m/>
    <m/>
    <m/>
    <d v="2023-06-13T00:00:00"/>
    <m/>
    <m/>
    <s v="M"/>
    <x v="3"/>
    <s v="HEREFORD"/>
    <x v="50"/>
    <s v="20-10-2013"/>
    <s v="Vivo"/>
    <x v="0"/>
    <s v="11.1.01.1081"/>
    <s v="11.1.01.1081"/>
    <x v="0"/>
    <m/>
  </r>
  <r>
    <n v="8392963"/>
    <m/>
    <m/>
    <m/>
    <m/>
    <m/>
    <d v="2023-11-10T00:00:00"/>
    <m/>
    <m/>
    <s v="H"/>
    <x v="1"/>
    <s v="ANGUS NEGRO"/>
    <x v="50"/>
    <s v="20-10-2013"/>
    <s v="Vivo"/>
    <x v="3"/>
    <s v="11.1.01.1241"/>
    <s v="11.1.01.1081"/>
    <x v="0"/>
    <m/>
  </r>
  <r>
    <n v="8392964"/>
    <m/>
    <m/>
    <m/>
    <m/>
    <m/>
    <d v="2023-06-13T00:00:00"/>
    <m/>
    <m/>
    <s v="M"/>
    <x v="3"/>
    <s v="ANGUS NEGRO"/>
    <x v="50"/>
    <s v="20-10-2013"/>
    <s v="Vivo"/>
    <x v="0"/>
    <s v="11.1.01.1081"/>
    <s v="11.1.01.1081"/>
    <x v="0"/>
    <m/>
  </r>
  <r>
    <n v="8392967"/>
    <m/>
    <m/>
    <m/>
    <m/>
    <m/>
    <d v="2023-06-13T00:00:00"/>
    <m/>
    <m/>
    <s v="M"/>
    <x v="3"/>
    <s v="HEREFORD"/>
    <x v="50"/>
    <s v="20-10-2013"/>
    <s v="Vivo"/>
    <x v="0"/>
    <s v="11.1.01.1081"/>
    <s v="11.1.01.1081"/>
    <x v="0"/>
    <m/>
  </r>
  <r>
    <n v="8392991"/>
    <m/>
    <m/>
    <m/>
    <m/>
    <m/>
    <d v="2023-10-16T00:00:00"/>
    <m/>
    <m/>
    <s v="H"/>
    <x v="1"/>
    <s v="ANGUS ROJO"/>
    <x v="50"/>
    <s v="20-10-2013"/>
    <s v="Vivo"/>
    <x v="0"/>
    <s v="11.1.01.1081"/>
    <s v="11.1.01.1081"/>
    <x v="0"/>
    <m/>
  </r>
  <r>
    <n v="8392997"/>
    <m/>
    <m/>
    <m/>
    <m/>
    <m/>
    <d v="2023-10-16T00:00:00"/>
    <m/>
    <m/>
    <s v="H"/>
    <x v="1"/>
    <s v="ANGUS ROJO"/>
    <x v="50"/>
    <s v="20-10-2013"/>
    <s v="Vivo"/>
    <x v="0"/>
    <s v="11.2.01.0038"/>
    <s v="11.1.01.1081"/>
    <x v="0"/>
    <m/>
  </r>
  <r>
    <n v="8411976"/>
    <m/>
    <m/>
    <m/>
    <d v="2021-07-27T00:00:00"/>
    <d v="2022-05-27T00:00:00"/>
    <d v="2023-11-23T00:00:00"/>
    <m/>
    <m/>
    <s v="M"/>
    <x v="3"/>
    <s v="ANGUS NEGRO"/>
    <x v="52"/>
    <s v="15-11-2012"/>
    <s v="Vivo"/>
    <x v="0"/>
    <s v="11.2.01.0251"/>
    <s v="11.2.01.0251"/>
    <x v="0"/>
    <m/>
  </r>
  <r>
    <n v="8411980"/>
    <m/>
    <m/>
    <m/>
    <m/>
    <m/>
    <d v="2023-11-10T00:00:00"/>
    <m/>
    <m/>
    <s v="M"/>
    <x v="3"/>
    <s v="ANGUS NEGRO"/>
    <x v="56"/>
    <s v="27-11-2012"/>
    <s v="Vivo"/>
    <x v="0"/>
    <s v="11.2.01.0251"/>
    <s v="11.2.01.0251"/>
    <x v="0"/>
    <m/>
  </r>
  <r>
    <n v="8411986"/>
    <m/>
    <m/>
    <d v="2020-10-29T00:00:00"/>
    <m/>
    <m/>
    <d v="2023-11-24T00:00:00"/>
    <m/>
    <m/>
    <s v="M"/>
    <x v="3"/>
    <s v="ANGUS NEGRO"/>
    <x v="52"/>
    <s v="10-11-2012"/>
    <s v="Vivo"/>
    <x v="0"/>
    <s v="11.2.01.0251"/>
    <s v="11.2.01.0251"/>
    <x v="0"/>
    <m/>
  </r>
  <r>
    <n v="8411987"/>
    <m/>
    <m/>
    <d v="2020-10-29T00:00:00"/>
    <d v="2021-11-04T00:00:00"/>
    <m/>
    <m/>
    <m/>
    <m/>
    <s v="M"/>
    <x v="3"/>
    <s v="ANGUS NEGRO"/>
    <x v="52"/>
    <s v="15-11-2012"/>
    <s v="Vivo"/>
    <x v="0"/>
    <s v="11.2.01.0038"/>
    <s v="11.2.01.0251"/>
    <x v="0"/>
    <m/>
  </r>
  <r>
    <n v="8411989"/>
    <m/>
    <m/>
    <m/>
    <m/>
    <m/>
    <m/>
    <m/>
    <m/>
    <s v="M"/>
    <x v="3"/>
    <s v="ANGUS NEGRO"/>
    <x v="52"/>
    <s v="15-11-2012"/>
    <s v="Vivo"/>
    <x v="0"/>
    <s v="11.2.01.0251"/>
    <s v="11.2.01.0251"/>
    <x v="0"/>
    <m/>
  </r>
  <r>
    <n v="8411992"/>
    <m/>
    <m/>
    <d v="2020-10-30T00:00:00"/>
    <d v="2021-06-03T00:00:00"/>
    <d v="2022-11-18T00:00:00"/>
    <d v="2023-11-24T00:00:00"/>
    <m/>
    <m/>
    <s v="M"/>
    <x v="3"/>
    <s v="ANGUS NEGRO"/>
    <x v="52"/>
    <s v="15-11-2012"/>
    <s v="Vivo"/>
    <x v="0"/>
    <s v="11.2.01.0251"/>
    <s v="11.2.01.0251"/>
    <x v="0"/>
    <m/>
  </r>
  <r>
    <n v="8933118"/>
    <m/>
    <m/>
    <m/>
    <d v="2021-06-03T00:00:00"/>
    <m/>
    <m/>
    <m/>
    <m/>
    <s v="M"/>
    <x v="3"/>
    <s v="ANGUS NEGRO"/>
    <x v="57"/>
    <s v="15-10-2013"/>
    <s v="Vivo"/>
    <x v="0"/>
    <s v="Sin Movimiento"/>
    <s v="11.1.01.1241"/>
    <x v="0"/>
    <m/>
  </r>
  <r>
    <n v="8933122"/>
    <m/>
    <m/>
    <m/>
    <d v="2021-10-30T00:00:00"/>
    <m/>
    <d v="2023-06-13T00:00:00"/>
    <m/>
    <m/>
    <s v="M"/>
    <x v="3"/>
    <s v="ANGUS NEGRO"/>
    <x v="57"/>
    <s v="15-10-2013"/>
    <s v="Vivo"/>
    <x v="0"/>
    <s v="Sin Movimiento"/>
    <s v="11.1.01.1241"/>
    <x v="0"/>
    <m/>
  </r>
  <r>
    <n v="8933125"/>
    <m/>
    <m/>
    <m/>
    <d v="2021-06-03T00:00:00"/>
    <m/>
    <m/>
    <m/>
    <m/>
    <s v="M"/>
    <x v="3"/>
    <s v="ANGUS NEGRO"/>
    <x v="57"/>
    <s v="15-10-2013"/>
    <s v="Vivo"/>
    <x v="0"/>
    <s v="Sin Movimiento"/>
    <s v="11.1.01.1241"/>
    <x v="0"/>
    <m/>
  </r>
  <r>
    <n v="8933128"/>
    <m/>
    <m/>
    <m/>
    <d v="2021-06-03T00:00:00"/>
    <m/>
    <d v="2023-10-16T00:00:00"/>
    <m/>
    <m/>
    <s v="M"/>
    <x v="3"/>
    <s v="ANGUS ROJO"/>
    <x v="57"/>
    <s v="15-10-2013"/>
    <s v="Vivo"/>
    <x v="0"/>
    <s v="Sin Movimiento"/>
    <s v="11.1.01.1241"/>
    <x v="0"/>
    <m/>
  </r>
  <r>
    <n v="8933129"/>
    <m/>
    <m/>
    <m/>
    <d v="2021-06-03T00:00:00"/>
    <m/>
    <d v="2023-11-10T00:00:00"/>
    <m/>
    <m/>
    <s v="M"/>
    <x v="3"/>
    <s v="ANGUS NEGRO"/>
    <x v="57"/>
    <s v="15-10-2013"/>
    <s v="Vivo"/>
    <x v="0"/>
    <s v="Sin Movimiento"/>
    <s v="11.1.01.1241"/>
    <x v="0"/>
    <m/>
  </r>
  <r>
    <n v="8933132"/>
    <m/>
    <m/>
    <m/>
    <d v="2021-06-03T00:00:00"/>
    <m/>
    <d v="2023-10-16T00:00:00"/>
    <m/>
    <m/>
    <s v="M"/>
    <x v="3"/>
    <s v="ANGUS ROJO"/>
    <x v="57"/>
    <s v="15-10-2013"/>
    <s v="Vivo"/>
    <x v="0"/>
    <s v="Sin Movimiento"/>
    <s v="11.1.01.1241"/>
    <x v="0"/>
    <m/>
  </r>
  <r>
    <n v="8933139"/>
    <m/>
    <m/>
    <m/>
    <d v="2021-06-03T00:00:00"/>
    <m/>
    <d v="2023-10-16T00:00:00"/>
    <d v="2024-12-22T00:00:00"/>
    <d v="2025-01-14T00:00:00"/>
    <s v="H"/>
    <x v="1"/>
    <s v="ANGUS NEGRO"/>
    <x v="57"/>
    <s v="15-10-2013"/>
    <s v="Vivo"/>
    <x v="0"/>
    <s v="11.2.01.0038"/>
    <s v="11.1.01.1241"/>
    <x v="0"/>
    <m/>
  </r>
  <r>
    <n v="8933147"/>
    <m/>
    <m/>
    <m/>
    <m/>
    <m/>
    <m/>
    <m/>
    <m/>
    <s v="H"/>
    <x v="1"/>
    <s v="HEREFORD"/>
    <x v="57"/>
    <s v="15-10-2013"/>
    <s v="Vivo"/>
    <x v="0"/>
    <s v="11.1.01.1081"/>
    <s v="11.1.01.1241"/>
    <x v="0"/>
    <m/>
  </r>
  <r>
    <n v="8933151"/>
    <m/>
    <m/>
    <m/>
    <d v="2021-10-30T00:00:00"/>
    <m/>
    <d v="2023-06-13T00:00:00"/>
    <m/>
    <m/>
    <s v="M"/>
    <x v="3"/>
    <s v="ANGUS NEGRO"/>
    <x v="57"/>
    <s v="15-10-2013"/>
    <s v="Vivo"/>
    <x v="0"/>
    <s v="Sin Movimiento"/>
    <s v="11.1.01.1241"/>
    <x v="0"/>
    <m/>
  </r>
  <r>
    <n v="8933155"/>
    <m/>
    <m/>
    <m/>
    <d v="2021-06-03T00:00:00"/>
    <m/>
    <d v="2023-11-10T00:00:00"/>
    <m/>
    <m/>
    <s v="M"/>
    <x v="3"/>
    <s v="ANGUS NEGRO"/>
    <x v="57"/>
    <s v="15-10-2013"/>
    <s v="Vivo"/>
    <x v="0"/>
    <s v="Sin Movimiento"/>
    <s v="11.1.01.1241"/>
    <x v="0"/>
    <m/>
  </r>
  <r>
    <n v="8933158"/>
    <m/>
    <m/>
    <m/>
    <d v="2021-06-03T00:00:00"/>
    <m/>
    <m/>
    <m/>
    <m/>
    <s v="M"/>
    <x v="3"/>
    <s v="ANGUS NEGRO"/>
    <x v="57"/>
    <s v="15-10-2013"/>
    <s v="Vivo"/>
    <x v="0"/>
    <s v="Sin Movimiento"/>
    <s v="11.1.01.1241"/>
    <x v="0"/>
    <m/>
  </r>
  <r>
    <n v="8933165"/>
    <m/>
    <m/>
    <m/>
    <d v="2021-06-03T00:00:00"/>
    <m/>
    <d v="2023-10-16T00:00:00"/>
    <m/>
    <m/>
    <s v="M"/>
    <x v="3"/>
    <s v="LIMOUSIN"/>
    <x v="57"/>
    <s v="15-10-2013"/>
    <s v="Vivo"/>
    <x v="0"/>
    <s v="Sin Movimiento"/>
    <s v="11.1.01.1241"/>
    <x v="0"/>
    <m/>
  </r>
  <r>
    <n v="8933166"/>
    <m/>
    <m/>
    <m/>
    <d v="2021-10-30T00:00:00"/>
    <m/>
    <d v="2023-11-24T00:00:00"/>
    <m/>
    <m/>
    <s v="M"/>
    <x v="3"/>
    <s v="ANGUS ROJO"/>
    <x v="57"/>
    <s v="15-10-2013"/>
    <s v="Vivo"/>
    <x v="0"/>
    <s v="Sin Movimiento"/>
    <s v="11.1.01.1241"/>
    <x v="0"/>
    <m/>
  </r>
  <r>
    <n v="8933170"/>
    <m/>
    <m/>
    <m/>
    <d v="2021-06-03T00:00:00"/>
    <m/>
    <m/>
    <m/>
    <m/>
    <s v="M"/>
    <x v="3"/>
    <s v="HEREFORD"/>
    <x v="57"/>
    <s v="15-10-2013"/>
    <s v="Vivo"/>
    <x v="0"/>
    <s v="Sin Movimiento"/>
    <s v="11.1.01.1241"/>
    <x v="0"/>
    <m/>
  </r>
  <r>
    <n v="8933172"/>
    <m/>
    <m/>
    <m/>
    <d v="2021-06-03T00:00:00"/>
    <m/>
    <d v="2023-06-13T00:00:00"/>
    <m/>
    <m/>
    <s v="H"/>
    <x v="1"/>
    <s v="HEREFORD"/>
    <x v="57"/>
    <s v="15-10-2013"/>
    <s v="Vivo"/>
    <x v="0"/>
    <s v="11.1.01.0893"/>
    <s v="11.1.01.1241"/>
    <x v="0"/>
    <m/>
  </r>
  <r>
    <n v="8933175"/>
    <m/>
    <m/>
    <m/>
    <d v="2021-10-30T00:00:00"/>
    <m/>
    <d v="2023-10-16T00:00:00"/>
    <m/>
    <m/>
    <s v="M"/>
    <x v="3"/>
    <s v="HEREFORD"/>
    <x v="57"/>
    <s v="15-10-2013"/>
    <s v="Vivo"/>
    <x v="0"/>
    <s v="Sin Movimiento"/>
    <s v="11.1.01.1241"/>
    <x v="0"/>
    <m/>
  </r>
  <r>
    <n v="8933177"/>
    <m/>
    <m/>
    <m/>
    <d v="2021-06-03T00:00:00"/>
    <m/>
    <m/>
    <m/>
    <m/>
    <s v="M"/>
    <x v="3"/>
    <s v="ANGUS NEGRO"/>
    <x v="57"/>
    <s v="15-10-2013"/>
    <s v="Vivo"/>
    <x v="0"/>
    <s v="Sin Movimiento"/>
    <s v="11.1.01.1241"/>
    <x v="0"/>
    <m/>
  </r>
  <r>
    <n v="8933178"/>
    <m/>
    <m/>
    <m/>
    <d v="2021-06-03T00:00:00"/>
    <m/>
    <d v="2023-10-16T00:00:00"/>
    <m/>
    <m/>
    <s v="H"/>
    <x v="1"/>
    <s v="ANGUS NEGRO"/>
    <x v="57"/>
    <s v="15-10-2013"/>
    <s v="Vivo"/>
    <x v="0"/>
    <s v="11.1.01.1081"/>
    <s v="11.1.01.1241"/>
    <x v="0"/>
    <m/>
  </r>
  <r>
    <n v="8933193"/>
    <m/>
    <m/>
    <d v="2020-10-31T00:00:00"/>
    <d v="2021-06-03T00:00:00"/>
    <d v="2022-11-03T00:00:00"/>
    <d v="2023-11-24T00:00:00"/>
    <m/>
    <m/>
    <s v="H"/>
    <x v="1"/>
    <s v="ANGUS NEGRO"/>
    <x v="58"/>
    <s v="30-11-2013"/>
    <s v="Vivo"/>
    <x v="0"/>
    <s v="11.1.01.1022"/>
    <s v="11.1.01.1241"/>
    <x v="0"/>
    <m/>
  </r>
  <r>
    <n v="8933197"/>
    <m/>
    <m/>
    <d v="2020-10-31T00:00:00"/>
    <d v="2021-06-03T00:00:00"/>
    <d v="2022-11-03T00:00:00"/>
    <d v="2023-11-24T00:00:00"/>
    <m/>
    <m/>
    <s v="H"/>
    <x v="1"/>
    <s v="ANGUS ROJO"/>
    <x v="58"/>
    <s v="30-11-2013"/>
    <s v="Vivo"/>
    <x v="0"/>
    <s v="11.1.01.0893"/>
    <s v="11.1.01.1241"/>
    <x v="0"/>
    <m/>
  </r>
  <r>
    <n v="8933200"/>
    <m/>
    <m/>
    <d v="2020-10-31T00:00:00"/>
    <d v="2021-11-18T00:00:00"/>
    <m/>
    <d v="2023-11-24T00:00:00"/>
    <m/>
    <m/>
    <s v="H"/>
    <x v="1"/>
    <s v="ANGUS NEGRO"/>
    <x v="59"/>
    <s v="15-02-2014"/>
    <s v="Vivo"/>
    <x v="0"/>
    <s v="11.1.01.1241"/>
    <s v="11.1.01.1241"/>
    <x v="0"/>
    <m/>
  </r>
  <r>
    <n v="8933214"/>
    <m/>
    <m/>
    <d v="2020-10-31T00:00:00"/>
    <d v="2021-11-18T00:00:00"/>
    <d v="2022-12-13T00:00:00"/>
    <d v="2023-12-05T00:00:00"/>
    <m/>
    <m/>
    <s v="H"/>
    <x v="1"/>
    <s v="ANGUS NEGRO"/>
    <x v="60"/>
    <s v="28-02-2014"/>
    <s v="Vivo"/>
    <x v="0"/>
    <s v="11.1.01.1241"/>
    <s v="11.1.01.1241"/>
    <x v="0"/>
    <m/>
  </r>
  <r>
    <n v="8933222"/>
    <m/>
    <m/>
    <d v="2020-10-31T00:00:00"/>
    <d v="2021-06-03T00:00:00"/>
    <d v="2022-12-17T00:00:00"/>
    <d v="2023-11-24T00:00:00"/>
    <d v="2024-12-22T00:00:00"/>
    <d v="2025-01-14T00:00:00"/>
    <s v="H"/>
    <x v="1"/>
    <s v="ANGUS NEGRO"/>
    <x v="60"/>
    <s v="28-02-2014"/>
    <s v="Vivo"/>
    <x v="0"/>
    <s v="11.1.01.0893"/>
    <s v="11.1.01.1241"/>
    <x v="0"/>
    <m/>
  </r>
  <r>
    <n v="8933225"/>
    <m/>
    <m/>
    <d v="2020-10-31T00:00:00"/>
    <d v="2021-06-03T00:00:00"/>
    <d v="2022-12-17T00:00:00"/>
    <d v="2023-06-15T00:00:00"/>
    <m/>
    <m/>
    <s v="H"/>
    <x v="1"/>
    <s v="ANGUS NEGRO"/>
    <x v="59"/>
    <s v="30-01-2014"/>
    <s v="Vivo"/>
    <x v="0"/>
    <s v="11.1.01.1241"/>
    <s v="11.1.01.1241"/>
    <x v="0"/>
    <m/>
  </r>
  <r>
    <n v="8933228"/>
    <m/>
    <m/>
    <d v="2020-10-31T00:00:00"/>
    <d v="2021-06-03T00:00:00"/>
    <m/>
    <m/>
    <m/>
    <m/>
    <s v="H"/>
    <x v="1"/>
    <s v="ANGUS NEGRO"/>
    <x v="60"/>
    <s v="28-02-2014"/>
    <s v="Vivo"/>
    <x v="0"/>
    <s v="11.1.01.1241"/>
    <s v="11.1.01.1241"/>
    <x v="0"/>
    <m/>
  </r>
  <r>
    <n v="8933234"/>
    <m/>
    <m/>
    <m/>
    <d v="2021-06-03T00:00:00"/>
    <m/>
    <m/>
    <m/>
    <m/>
    <s v="M"/>
    <x v="3"/>
    <s v="HEREFORD"/>
    <x v="50"/>
    <s v="30-10-2013"/>
    <s v="Vivo"/>
    <x v="0"/>
    <s v="Sin Movimiento"/>
    <s v="11.1.01.1241"/>
    <x v="0"/>
    <m/>
  </r>
  <r>
    <n v="8933236"/>
    <m/>
    <m/>
    <m/>
    <d v="2021-06-03T00:00:00"/>
    <m/>
    <m/>
    <m/>
    <m/>
    <s v="M"/>
    <x v="3"/>
    <s v="ANGUS NEGRO"/>
    <x v="50"/>
    <s v="30-10-2013"/>
    <s v="Vivo"/>
    <x v="0"/>
    <s v="Sin Movimiento"/>
    <s v="11.1.01.1241"/>
    <x v="0"/>
    <m/>
  </r>
  <r>
    <n v="8933237"/>
    <m/>
    <m/>
    <m/>
    <d v="2021-10-30T00:00:00"/>
    <m/>
    <d v="2023-10-16T00:00:00"/>
    <m/>
    <m/>
    <s v="M"/>
    <x v="3"/>
    <s v="ANGUS NEGRO"/>
    <x v="50"/>
    <s v="30-10-2013"/>
    <s v="Vivo"/>
    <x v="0"/>
    <s v="Sin Movimiento"/>
    <s v="11.1.01.1241"/>
    <x v="0"/>
    <m/>
  </r>
  <r>
    <n v="8933240"/>
    <m/>
    <m/>
    <m/>
    <d v="2021-06-03T00:00:00"/>
    <m/>
    <m/>
    <m/>
    <m/>
    <s v="H"/>
    <x v="1"/>
    <s v="ANGUS NEGRO"/>
    <x v="60"/>
    <s v="28-02-2014"/>
    <s v="Vivo"/>
    <x v="0"/>
    <s v="11.1.01.1241"/>
    <s v="11.1.01.1241"/>
    <x v="0"/>
    <m/>
  </r>
  <r>
    <n v="8933248"/>
    <m/>
    <m/>
    <m/>
    <d v="2021-06-03T00:00:00"/>
    <d v="2022-12-28T00:00:00"/>
    <d v="2023-11-09T00:00:00"/>
    <m/>
    <m/>
    <s v="M"/>
    <x v="3"/>
    <s v="ANGUS NEGRO"/>
    <x v="57"/>
    <s v="30-09-2013"/>
    <s v="Vivo"/>
    <x v="0"/>
    <s v="Sin Movimiento"/>
    <s v="11.1.01.1241"/>
    <x v="0"/>
    <m/>
  </r>
  <r>
    <n v="8933249"/>
    <m/>
    <m/>
    <m/>
    <d v="2021-06-03T00:00:00"/>
    <m/>
    <d v="2023-06-13T00:00:00"/>
    <m/>
    <m/>
    <s v="M"/>
    <x v="3"/>
    <s v="ANGUS NEGRO"/>
    <x v="57"/>
    <s v="30-09-2013"/>
    <s v="Vivo"/>
    <x v="0"/>
    <s v="Sin Movimiento"/>
    <s v="11.1.01.1241"/>
    <x v="0"/>
    <m/>
  </r>
  <r>
    <n v="8933252"/>
    <m/>
    <m/>
    <m/>
    <d v="2021-06-03T00:00:00"/>
    <m/>
    <d v="2023-11-23T00:00:00"/>
    <m/>
    <m/>
    <s v="M"/>
    <x v="3"/>
    <s v="ANGUS NEGRO"/>
    <x v="23"/>
    <s v="30-10-2008"/>
    <s v="Vivo"/>
    <x v="0"/>
    <s v="11.1.01.0893"/>
    <s v="11.1.01.1241"/>
    <x v="0"/>
    <m/>
  </r>
  <r>
    <n v="8933253"/>
    <m/>
    <m/>
    <m/>
    <d v="2021-06-03T00:00:00"/>
    <m/>
    <m/>
    <m/>
    <m/>
    <s v="M"/>
    <x v="3"/>
    <s v="ANGUS NEGRO"/>
    <x v="37"/>
    <s v="15-10-2010"/>
    <s v="Vivo"/>
    <x v="0"/>
    <s v="11.2.01.0038"/>
    <s v="11.1.01.0290"/>
    <x v="0"/>
    <m/>
  </r>
  <r>
    <n v="8933254"/>
    <m/>
    <m/>
    <m/>
    <d v="2021-06-03T00:00:00"/>
    <m/>
    <m/>
    <m/>
    <m/>
    <s v="no existe"/>
    <x v="2"/>
    <s v="no existe"/>
    <x v="4"/>
    <s v="no existe"/>
    <s v="no existe"/>
    <x v="1"/>
    <s v="no existe"/>
    <s v="no existe"/>
    <x v="1"/>
    <m/>
  </r>
  <r>
    <n v="8933257"/>
    <m/>
    <m/>
    <m/>
    <d v="2021-06-03T00:00:00"/>
    <m/>
    <d v="2023-10-16T00:00:00"/>
    <m/>
    <m/>
    <s v="M"/>
    <x v="3"/>
    <s v="ANGUS NEGRO"/>
    <x v="20"/>
    <s v="15-10-2008"/>
    <s v="Vivo"/>
    <x v="0"/>
    <s v="11.1.01.0893"/>
    <s v="11.1.01.0290"/>
    <x v="0"/>
    <m/>
  </r>
  <r>
    <n v="8933260"/>
    <m/>
    <m/>
    <m/>
    <d v="2021-06-03T00:00:00"/>
    <m/>
    <d v="2023-10-16T00:00:00"/>
    <m/>
    <m/>
    <s v="M"/>
    <x v="3"/>
    <s v="ANGUS NEGRO"/>
    <x v="25"/>
    <s v="15-10-2009"/>
    <s v="Vivo"/>
    <x v="0"/>
    <s v="11.1.01.1081"/>
    <s v="11.1.01.0290"/>
    <x v="0"/>
    <m/>
  </r>
  <r>
    <n v="8933262"/>
    <m/>
    <m/>
    <m/>
    <d v="2021-06-03T00:00:00"/>
    <m/>
    <d v="2023-10-16T00:00:00"/>
    <m/>
    <m/>
    <s v="no existe"/>
    <x v="2"/>
    <s v="no existe"/>
    <x v="4"/>
    <s v="no existe"/>
    <s v="no existe"/>
    <x v="1"/>
    <s v="no existe"/>
    <s v="no existe"/>
    <x v="1"/>
    <m/>
  </r>
  <r>
    <n v="8933265"/>
    <m/>
    <n v="6165841"/>
    <d v="2020-11-09T00:00:00"/>
    <m/>
    <d v="2022-11-18T00:00:00"/>
    <d v="2023-11-24T00:00:00"/>
    <m/>
    <m/>
    <s v="M"/>
    <x v="3"/>
    <s v="ANGUS NEGRO"/>
    <x v="37"/>
    <s v="15-10-2010"/>
    <s v="Vivo"/>
    <x v="4"/>
    <s v="11.1.01.1241"/>
    <s v="11.1.01.0290"/>
    <x v="0"/>
    <m/>
  </r>
  <r>
    <n v="8933268"/>
    <m/>
    <m/>
    <d v="2020-11-09T00:00:00"/>
    <m/>
    <d v="2022-11-03T00:00:00"/>
    <d v="2023-11-28T00:00:00"/>
    <m/>
    <m/>
    <s v="no existe"/>
    <x v="2"/>
    <s v="no existe"/>
    <x v="4"/>
    <s v="no existe"/>
    <s v="no existe"/>
    <x v="1"/>
    <s v="no existe"/>
    <s v="no existe"/>
    <x v="1"/>
    <m/>
  </r>
  <r>
    <n v="8933278"/>
    <m/>
    <m/>
    <d v="2020-11-09T00:00:00"/>
    <d v="2021-11-04T00:00:00"/>
    <d v="2022-12-17T00:00:00"/>
    <d v="2023-06-15T00:00:00"/>
    <m/>
    <m/>
    <s v="H"/>
    <x v="1"/>
    <s v="ANGUS NEGRO"/>
    <x v="61"/>
    <s v="30-10-2015"/>
    <s v="Vivo"/>
    <x v="0"/>
    <s v="11.1.01.0893"/>
    <s v="11.1.01.1241"/>
    <x v="0"/>
    <m/>
  </r>
  <r>
    <n v="8933282"/>
    <m/>
    <m/>
    <m/>
    <d v="2021-10-30T00:00:00"/>
    <m/>
    <m/>
    <d v="2024-01-06T00:00:00"/>
    <m/>
    <s v="H"/>
    <x v="1"/>
    <s v="ANGUS NEGRO"/>
    <x v="62"/>
    <s v="30-12-2015"/>
    <s v="Vivo"/>
    <x v="4"/>
    <s v="11.1.01.0893"/>
    <s v="11.1.01.1241"/>
    <x v="0"/>
    <m/>
  </r>
  <r>
    <n v="8933285"/>
    <m/>
    <m/>
    <m/>
    <d v="2021-10-30T00:00:00"/>
    <m/>
    <d v="2023-11-23T00:00:00"/>
    <m/>
    <m/>
    <s v="H"/>
    <x v="1"/>
    <s v="ANGUS NEGRO"/>
    <x v="61"/>
    <s v="10-11-2015"/>
    <s v="Vivo"/>
    <x v="0"/>
    <s v="11.1.01.1022"/>
    <s v="11.1.01.1241"/>
    <x v="0"/>
    <m/>
  </r>
  <r>
    <n v="8933290"/>
    <m/>
    <m/>
    <m/>
    <m/>
    <m/>
    <m/>
    <d v="2024-12-22T00:00:00"/>
    <d v="2025-11-05T00:00:00"/>
    <s v="H"/>
    <x v="1"/>
    <s v="ANGUS NEGRO"/>
    <x v="63"/>
    <s v="30-11-2015"/>
    <s v="Vivo"/>
    <x v="8"/>
    <s v="11.1.01.0190"/>
    <s v="11.1.01.1241"/>
    <x v="0"/>
    <m/>
  </r>
  <r>
    <n v="8933295"/>
    <m/>
    <m/>
    <m/>
    <d v="2021-06-03T00:00:00"/>
    <m/>
    <d v="2023-10-16T00:00:00"/>
    <m/>
    <m/>
    <s v="H"/>
    <x v="1"/>
    <s v="ANGUS NEGRO"/>
    <x v="64"/>
    <s v="30-01-2016"/>
    <s v="Vivo"/>
    <x v="0"/>
    <s v="11.2.01.0038"/>
    <s v="11.1.01.1241"/>
    <x v="0"/>
    <m/>
  </r>
  <r>
    <n v="8933297"/>
    <m/>
    <m/>
    <m/>
    <d v="2021-10-30T00:00:00"/>
    <m/>
    <d v="2023-10-16T00:00:00"/>
    <m/>
    <m/>
    <s v="H"/>
    <x v="1"/>
    <s v="ANGUS NEGRO"/>
    <x v="65"/>
    <s v="28-02-2016"/>
    <s v="Vivo"/>
    <x v="0"/>
    <s v="11.1.01.0893"/>
    <s v="11.1.01.1241"/>
    <x v="0"/>
    <m/>
  </r>
  <r>
    <n v="8933312"/>
    <m/>
    <m/>
    <m/>
    <d v="2021-06-03T00:00:00"/>
    <m/>
    <d v="2023-11-10T00:00:00"/>
    <m/>
    <m/>
    <s v="M"/>
    <x v="3"/>
    <s v="ANGUS NEGRO"/>
    <x v="66"/>
    <s v="25-10-2014"/>
    <s v="Vivo"/>
    <x v="0"/>
    <s v="11.1.01.1240"/>
    <s v="11.1.01.1240"/>
    <x v="0"/>
    <m/>
  </r>
  <r>
    <n v="8933313"/>
    <m/>
    <m/>
    <m/>
    <d v="2021-06-03T00:00:00"/>
    <m/>
    <d v="2023-10-16T00:00:00"/>
    <m/>
    <m/>
    <s v="H"/>
    <x v="1"/>
    <s v="ANGUS NEGRO"/>
    <x v="66"/>
    <s v="25-10-2014"/>
    <s v="Vivo"/>
    <x v="3"/>
    <s v="11.2.01.2071"/>
    <s v="11.1.01.1240"/>
    <x v="0"/>
    <m/>
  </r>
  <r>
    <n v="8933327"/>
    <m/>
    <m/>
    <m/>
    <d v="2021-10-30T00:00:00"/>
    <m/>
    <m/>
    <m/>
    <m/>
    <s v="H"/>
    <x v="1"/>
    <s v="ANGUS NEGRO"/>
    <x v="61"/>
    <s v="30-10-2015"/>
    <s v="Vivo"/>
    <x v="0"/>
    <s v="11.1.01.0791"/>
    <s v="11.1.01.1241"/>
    <x v="0"/>
    <m/>
  </r>
  <r>
    <n v="8933328"/>
    <m/>
    <m/>
    <m/>
    <d v="2021-06-03T00:00:00"/>
    <m/>
    <d v="2023-10-16T00:00:00"/>
    <m/>
    <m/>
    <s v="H"/>
    <x v="1"/>
    <s v="ANGUS ROJO"/>
    <x v="61"/>
    <s v="30-10-2015"/>
    <s v="Vivo"/>
    <x v="0"/>
    <s v="11.1.01.1022"/>
    <s v="11.1.01.1241"/>
    <x v="0"/>
    <m/>
  </r>
  <r>
    <n v="8933336"/>
    <m/>
    <m/>
    <m/>
    <d v="2021-06-03T00:00:00"/>
    <m/>
    <d v="2023-11-24T00:00:00"/>
    <d v="2024-05-18T00:00:00"/>
    <m/>
    <s v="H"/>
    <x v="1"/>
    <s v="ANGUS NEGRO"/>
    <x v="67"/>
    <s v="30-12-2013"/>
    <s v="Vivo"/>
    <x v="0"/>
    <s v="11.1.01.0870"/>
    <s v="11.1.01.1081"/>
    <x v="0"/>
    <m/>
  </r>
  <r>
    <n v="8933340"/>
    <m/>
    <m/>
    <m/>
    <m/>
    <m/>
    <m/>
    <m/>
    <m/>
    <s v="H"/>
    <x v="1"/>
    <s v="ANGUS NEGRO"/>
    <x v="58"/>
    <s v="10-12-2013"/>
    <s v="Vivo"/>
    <x v="0"/>
    <s v="11.2.01.0053"/>
    <s v="11.1.01.1081"/>
    <x v="0"/>
    <m/>
  </r>
  <r>
    <n v="8933347"/>
    <m/>
    <m/>
    <m/>
    <m/>
    <m/>
    <m/>
    <m/>
    <m/>
    <s v="H"/>
    <x v="1"/>
    <s v="ANGUS NEGRO"/>
    <x v="67"/>
    <s v="30-12-2013"/>
    <s v="Vivo"/>
    <x v="0"/>
    <s v="11.2.01.0038"/>
    <s v="11.1.01.1081"/>
    <x v="0"/>
    <m/>
  </r>
  <r>
    <n v="8933357"/>
    <m/>
    <m/>
    <m/>
    <d v="2021-06-03T00:00:00"/>
    <m/>
    <d v="2023-10-16T00:00:00"/>
    <m/>
    <m/>
    <s v="M"/>
    <x v="3"/>
    <s v="HEREFORD"/>
    <x v="59"/>
    <s v="30-01-2014"/>
    <s v="Vivo"/>
    <x v="0"/>
    <s v="11.1.01.1241"/>
    <s v="11.1.01.1081"/>
    <x v="0"/>
    <m/>
  </r>
  <r>
    <n v="8933367"/>
    <m/>
    <m/>
    <m/>
    <d v="2021-06-03T00:00:00"/>
    <m/>
    <m/>
    <m/>
    <m/>
    <s v="H"/>
    <x v="1"/>
    <s v="ANGUS NEGRO"/>
    <x v="58"/>
    <s v="30-11-2013"/>
    <s v="Vivo"/>
    <x v="0"/>
    <s v="11.1.01.1081"/>
    <s v="11.1.01.1081"/>
    <x v="0"/>
    <m/>
  </r>
  <r>
    <n v="8933370"/>
    <m/>
    <m/>
    <m/>
    <d v="2021-06-03T00:00:00"/>
    <m/>
    <d v="2023-06-13T00:00:00"/>
    <m/>
    <m/>
    <s v="H"/>
    <x v="1"/>
    <s v="ANGUS ROJO"/>
    <x v="68"/>
    <s v="30-03-2014"/>
    <s v="Vivo"/>
    <x v="4"/>
    <s v="11.1.01.1081"/>
    <s v="11.1.01.1081"/>
    <x v="0"/>
    <m/>
  </r>
  <r>
    <n v="8933372"/>
    <m/>
    <m/>
    <m/>
    <d v="2021-06-03T00:00:00"/>
    <m/>
    <d v="2023-10-16T00:00:00"/>
    <m/>
    <m/>
    <s v="H"/>
    <x v="1"/>
    <s v="ANGUS ROJO"/>
    <x v="50"/>
    <s v="30-10-2013"/>
    <s v="Vivo"/>
    <x v="0"/>
    <s v="11.1.01.1081"/>
    <s v="11.1.01.1081"/>
    <x v="0"/>
    <m/>
  </r>
  <r>
    <n v="8933373"/>
    <m/>
    <m/>
    <m/>
    <d v="2021-06-03T00:00:00"/>
    <m/>
    <d v="2023-10-16T00:00:00"/>
    <m/>
    <m/>
    <s v="H"/>
    <x v="1"/>
    <s v="ANGUS ROJO"/>
    <x v="60"/>
    <s v="28-02-2014"/>
    <s v="Vivo"/>
    <x v="0"/>
    <s v="11.1.01.1241"/>
    <s v="11.1.01.1081"/>
    <x v="0"/>
    <m/>
  </r>
  <r>
    <n v="8933386"/>
    <m/>
    <m/>
    <m/>
    <d v="2021-10-30T00:00:00"/>
    <m/>
    <d v="2023-10-16T00:00:00"/>
    <m/>
    <m/>
    <s v="H"/>
    <x v="1"/>
    <s v="HEREFORD"/>
    <x v="59"/>
    <s v="30-01-2014"/>
    <s v="Vivo"/>
    <x v="0"/>
    <s v="11.1.01.1241"/>
    <s v="11.1.01.1081"/>
    <x v="0"/>
    <m/>
  </r>
  <r>
    <n v="8933388"/>
    <m/>
    <m/>
    <m/>
    <d v="2021-11-04T00:00:00"/>
    <m/>
    <d v="2023-10-16T00:00:00"/>
    <m/>
    <m/>
    <s v="H"/>
    <x v="1"/>
    <s v="OVERO NEGRO"/>
    <x v="60"/>
    <s v="28-02-2014"/>
    <s v="Vivo"/>
    <x v="0"/>
    <s v="11.1.01.1241"/>
    <s v="11.1.01.1081"/>
    <x v="0"/>
    <m/>
  </r>
  <r>
    <n v="8933397"/>
    <m/>
    <m/>
    <m/>
    <d v="2021-06-03T00:00:00"/>
    <m/>
    <d v="2023-06-13T00:00:00"/>
    <m/>
    <m/>
    <s v="H"/>
    <x v="1"/>
    <s v="OVERO COLORADO (CLAVEL ALEMAN)"/>
    <x v="69"/>
    <s v="30-04-2014"/>
    <s v="Vivo"/>
    <x v="0"/>
    <s v="11.1.01.0791"/>
    <s v="11.1.01.1081"/>
    <x v="0"/>
    <m/>
  </r>
  <r>
    <n v="8933400"/>
    <m/>
    <m/>
    <m/>
    <d v="2021-06-03T00:00:00"/>
    <m/>
    <m/>
    <m/>
    <m/>
    <s v="M"/>
    <x v="3"/>
    <s v="ANGUS NEGRO"/>
    <x v="51"/>
    <s v="30-09-2014"/>
    <s v="Vivo"/>
    <x v="0"/>
    <s v="11.1.01.1081"/>
    <s v="11.1.01.1081"/>
    <x v="0"/>
    <m/>
  </r>
  <r>
    <n v="8933402"/>
    <m/>
    <m/>
    <m/>
    <m/>
    <m/>
    <m/>
    <m/>
    <m/>
    <s v="H"/>
    <x v="1"/>
    <s v="ANGUS NEGRO"/>
    <x v="51"/>
    <s v="30-09-2014"/>
    <s v="Vivo"/>
    <x v="0"/>
    <s v="11.1.01.0893"/>
    <s v="11.1.01.1081"/>
    <x v="0"/>
    <m/>
  </r>
  <r>
    <n v="8933429"/>
    <m/>
    <m/>
    <m/>
    <m/>
    <m/>
    <m/>
    <m/>
    <m/>
    <s v="H"/>
    <x v="1"/>
    <s v="ANGUS NEGRO"/>
    <x v="66"/>
    <s v="30-10-2014"/>
    <s v="Vivo"/>
    <x v="3"/>
    <s v="11.2.01.2071"/>
    <s v="11.1.01.1081"/>
    <x v="0"/>
    <m/>
  </r>
  <r>
    <n v="8933434"/>
    <m/>
    <m/>
    <m/>
    <d v="2021-10-30T00:00:00"/>
    <m/>
    <m/>
    <m/>
    <m/>
    <s v="M"/>
    <x v="3"/>
    <s v="ANGUS NEGRO"/>
    <x v="66"/>
    <s v="15-11-2014"/>
    <s v="Vivo"/>
    <x v="0"/>
    <s v="11.1.01.1081"/>
    <s v="11.1.01.1081"/>
    <x v="0"/>
    <m/>
  </r>
  <r>
    <n v="8933448"/>
    <m/>
    <m/>
    <m/>
    <d v="2021-07-20T00:00:00"/>
    <m/>
    <d v="2023-12-04T00:00:00"/>
    <m/>
    <m/>
    <s v="H"/>
    <x v="1"/>
    <s v="ANGUS NEGRO"/>
    <x v="66"/>
    <s v="15-11-2014"/>
    <s v="Vivo"/>
    <x v="3"/>
    <s v="11.1.01.1241"/>
    <s v="11.1.01.1081"/>
    <x v="0"/>
    <m/>
  </r>
  <r>
    <n v="8933449"/>
    <m/>
    <m/>
    <m/>
    <d v="2021-07-20T00:00:00"/>
    <d v="2022-12-13T00:00:00"/>
    <d v="2023-12-05T00:00:00"/>
    <m/>
    <m/>
    <s v="H"/>
    <x v="1"/>
    <s v="ANGUS NEGRO"/>
    <x v="51"/>
    <s v="30-09-2014"/>
    <s v="Vivo"/>
    <x v="0"/>
    <s v="11.2.01.0038"/>
    <s v="11.1.01.1081"/>
    <x v="0"/>
    <m/>
  </r>
  <r>
    <n v="8933453"/>
    <m/>
    <m/>
    <m/>
    <d v="2021-07-20T00:00:00"/>
    <m/>
    <m/>
    <m/>
    <m/>
    <s v="H"/>
    <x v="1"/>
    <s v="ANGUS NEGRO"/>
    <x v="66"/>
    <s v="30-10-2014"/>
    <s v="Vivo"/>
    <x v="0"/>
    <s v="11.1.01.0791"/>
    <s v="11.1.01.1081"/>
    <x v="0"/>
    <m/>
  </r>
  <r>
    <n v="8933454"/>
    <m/>
    <m/>
    <m/>
    <d v="2021-07-20T00:00:00"/>
    <m/>
    <d v="2023-12-04T00:00:00"/>
    <m/>
    <m/>
    <s v="M"/>
    <x v="3"/>
    <s v="ANGUS NEGRO"/>
    <x v="66"/>
    <s v="15-11-2014"/>
    <s v="Vivo"/>
    <x v="0"/>
    <s v="11.1.01.1081"/>
    <s v="11.1.01.1081"/>
    <x v="0"/>
    <d v="2023-11-02T00:00:00"/>
  </r>
  <r>
    <n v="8933460"/>
    <m/>
    <m/>
    <m/>
    <d v="2021-07-20T00:00:00"/>
    <m/>
    <d v="2023-12-04T00:00:00"/>
    <m/>
    <m/>
    <s v="H"/>
    <x v="1"/>
    <s v="ANGUS NEGRO"/>
    <x v="66"/>
    <s v="15-11-2014"/>
    <s v="Vivo"/>
    <x v="3"/>
    <s v="11.1.01.0791"/>
    <s v="11.1.01.1081"/>
    <x v="0"/>
    <m/>
  </r>
  <r>
    <n v="8933485"/>
    <m/>
    <m/>
    <m/>
    <d v="2021-07-20T00:00:00"/>
    <m/>
    <d v="2023-12-05T00:00:00"/>
    <m/>
    <m/>
    <s v="H"/>
    <x v="1"/>
    <s v="ANGUS NEGRO"/>
    <x v="51"/>
    <s v="30-09-2014"/>
    <s v="Vivo"/>
    <x v="0"/>
    <s v="11.2.01.0038"/>
    <s v="11.1.01.1081"/>
    <x v="0"/>
    <m/>
  </r>
  <r>
    <n v="8933503"/>
    <m/>
    <m/>
    <m/>
    <d v="2021-07-20T00:00:00"/>
    <m/>
    <d v="2023-12-04T00:00:00"/>
    <m/>
    <m/>
    <s v="H"/>
    <x v="1"/>
    <s v="ANGUS NEGRO"/>
    <x v="66"/>
    <s v="15-11-2014"/>
    <s v="Vivo"/>
    <x v="3"/>
    <s v="11.1.01.0791"/>
    <s v="11.1.01.1081"/>
    <x v="0"/>
    <m/>
  </r>
  <r>
    <n v="8933506"/>
    <m/>
    <m/>
    <m/>
    <d v="2021-07-20T00:00:00"/>
    <m/>
    <d v="2023-12-04T00:00:00"/>
    <m/>
    <m/>
    <s v="H"/>
    <x v="1"/>
    <s v="ANGUS ROJO"/>
    <x v="51"/>
    <s v="30-09-2014"/>
    <s v="Vivo"/>
    <x v="4"/>
    <s v="11.1.01.0893"/>
    <s v="11.1.01.1081"/>
    <x v="0"/>
    <m/>
  </r>
  <r>
    <n v="8933510"/>
    <m/>
    <m/>
    <m/>
    <d v="2021-07-20T00:00:00"/>
    <m/>
    <d v="2023-12-05T00:00:00"/>
    <m/>
    <m/>
    <s v="M"/>
    <x v="3"/>
    <s v="ANGUS NEGRO"/>
    <x v="70"/>
    <s v="30-11-2014"/>
    <s v="Vivo"/>
    <x v="0"/>
    <s v="11.1.01.1081"/>
    <s v="11.1.01.1081"/>
    <x v="0"/>
    <m/>
  </r>
  <r>
    <n v="8933511"/>
    <m/>
    <m/>
    <m/>
    <d v="2021-10-28T00:00:00"/>
    <d v="2022-11-03T00:00:00"/>
    <d v="2023-11-24T00:00:00"/>
    <d v="2024-01-06T00:00:00"/>
    <m/>
    <s v="H"/>
    <x v="1"/>
    <s v="ANGUS NEGRO"/>
    <x v="70"/>
    <s v="30-11-2014"/>
    <s v="Vivo"/>
    <x v="3"/>
    <s v="11.1.01.0791"/>
    <s v="11.1.01.1081"/>
    <x v="0"/>
    <m/>
  </r>
  <r>
    <n v="8933513"/>
    <m/>
    <m/>
    <m/>
    <d v="2021-10-28T00:00:00"/>
    <m/>
    <d v="2023-12-05T00:00:00"/>
    <m/>
    <m/>
    <s v="M"/>
    <x v="3"/>
    <s v="ANGUS NEGRO"/>
    <x v="70"/>
    <s v="30-11-2014"/>
    <s v="Vivo"/>
    <x v="0"/>
    <s v="11.1.01.1081"/>
    <s v="11.1.01.1081"/>
    <x v="0"/>
    <d v="2020-11-21T00:00:00"/>
  </r>
  <r>
    <n v="8933515"/>
    <m/>
    <m/>
    <m/>
    <m/>
    <m/>
    <d v="2023-10-16T00:00:00"/>
    <m/>
    <m/>
    <s v="M"/>
    <x v="3"/>
    <s v="ANGUS NEGRO"/>
    <x v="70"/>
    <s v="30-11-2014"/>
    <s v="Vivo"/>
    <x v="0"/>
    <s v="11.1.01.1081"/>
    <s v="11.1.01.1081"/>
    <x v="0"/>
    <m/>
  </r>
  <r>
    <n v="8933522"/>
    <m/>
    <m/>
    <m/>
    <m/>
    <m/>
    <d v="2023-11-23T00:00:00"/>
    <m/>
    <m/>
    <s v="M"/>
    <x v="3"/>
    <s v="ANGUS NEGRO"/>
    <x v="70"/>
    <s v="30-11-2014"/>
    <s v="Vivo"/>
    <x v="0"/>
    <s v="11.1.01.1081"/>
    <s v="11.1.01.1081"/>
    <x v="0"/>
    <m/>
  </r>
  <r>
    <n v="8933525"/>
    <m/>
    <m/>
    <m/>
    <m/>
    <m/>
    <d v="2023-10-16T00:00:00"/>
    <m/>
    <m/>
    <s v="M"/>
    <x v="3"/>
    <s v="OVERO COLORADO (CLAVEL ALEMAN)"/>
    <x v="71"/>
    <s v="30-03-2015"/>
    <s v="Vivo"/>
    <x v="0"/>
    <s v="11.1.01.1081"/>
    <s v="11.1.01.1081"/>
    <x v="0"/>
    <m/>
  </r>
  <r>
    <n v="8933527"/>
    <m/>
    <m/>
    <m/>
    <m/>
    <m/>
    <d v="2023-10-16T00:00:00"/>
    <m/>
    <m/>
    <s v="M"/>
    <x v="3"/>
    <s v="ANGUS NEGRO"/>
    <x v="71"/>
    <s v="30-03-2015"/>
    <s v="Vivo"/>
    <x v="0"/>
    <s v="11.1.01.1081"/>
    <s v="11.1.01.1081"/>
    <x v="0"/>
    <m/>
  </r>
  <r>
    <n v="8933533"/>
    <m/>
    <m/>
    <m/>
    <m/>
    <m/>
    <d v="2023-06-13T00:00:00"/>
    <m/>
    <m/>
    <s v="H"/>
    <x v="1"/>
    <s v="ANGUS ROJO"/>
    <x v="72"/>
    <s v="30-09-2015"/>
    <s v="Vivo"/>
    <x v="3"/>
    <s v="11.1.01.0791"/>
    <s v="11.1.01.1081"/>
    <x v="0"/>
    <m/>
  </r>
  <r>
    <n v="8933563"/>
    <m/>
    <m/>
    <m/>
    <m/>
    <m/>
    <d v="2023-06-13T00:00:00"/>
    <m/>
    <m/>
    <s v="M"/>
    <x v="3"/>
    <s v="ANGUS NEGRO"/>
    <x v="58"/>
    <s v="30-11-2013"/>
    <s v="Vivo"/>
    <x v="0"/>
    <s v="11.2.01.0038"/>
    <s v="11.2.01.0038"/>
    <x v="0"/>
    <m/>
  </r>
  <r>
    <n v="8933566"/>
    <m/>
    <m/>
    <m/>
    <m/>
    <m/>
    <m/>
    <m/>
    <m/>
    <s v="H"/>
    <x v="1"/>
    <s v="ANGUS NEGRO"/>
    <x v="58"/>
    <s v="30-11-2013"/>
    <s v="Vivo"/>
    <x v="4"/>
    <s v="11.1.01.1241"/>
    <s v="11.2.01.0038"/>
    <x v="0"/>
    <m/>
  </r>
  <r>
    <n v="8933588"/>
    <m/>
    <m/>
    <m/>
    <m/>
    <m/>
    <d v="2023-10-16T00:00:00"/>
    <m/>
    <m/>
    <s v="H"/>
    <x v="1"/>
    <s v="LIMOUSIN"/>
    <x v="61"/>
    <s v="30-10-2015"/>
    <s v="Vivo"/>
    <x v="4"/>
    <s v="11.1.01.1241"/>
    <s v="11.1.01.1241"/>
    <x v="0"/>
    <m/>
  </r>
  <r>
    <n v="8933589"/>
    <m/>
    <m/>
    <m/>
    <d v="2021-10-30T00:00:00"/>
    <m/>
    <d v="2023-11-23T00:00:00"/>
    <m/>
    <m/>
    <s v="H"/>
    <x v="1"/>
    <s v="ANGUS NEGRO"/>
    <x v="61"/>
    <s v="30-10-2015"/>
    <s v="Vivo"/>
    <x v="4"/>
    <s v="11.1.01.1241"/>
    <s v="11.1.01.1241"/>
    <x v="0"/>
    <m/>
  </r>
  <r>
    <n v="8933596"/>
    <m/>
    <m/>
    <m/>
    <m/>
    <m/>
    <d v="2023-06-13T00:00:00"/>
    <m/>
    <m/>
    <s v="H"/>
    <x v="1"/>
    <s v="ANGUS NEGRO"/>
    <x v="61"/>
    <s v="30-10-2015"/>
    <s v="Vivo"/>
    <x v="0"/>
    <s v="11.2.01.0038"/>
    <s v="11.1.01.1241"/>
    <x v="0"/>
    <m/>
  </r>
  <r>
    <n v="8933599"/>
    <m/>
    <m/>
    <m/>
    <m/>
    <m/>
    <d v="2023-06-13T00:00:00"/>
    <m/>
    <m/>
    <s v="H"/>
    <x v="1"/>
    <s v="ANGUS NEGRO"/>
    <x v="61"/>
    <s v="30-10-2015"/>
    <s v="Vivo"/>
    <x v="0"/>
    <s v="11.1.01.0791"/>
    <s v="11.1.01.1241"/>
    <x v="0"/>
    <m/>
  </r>
  <r>
    <n v="8935707"/>
    <m/>
    <m/>
    <m/>
    <m/>
    <m/>
    <d v="2023-11-10T00:00:00"/>
    <m/>
    <m/>
    <s v="H"/>
    <x v="1"/>
    <s v="ANGUS NEGRO"/>
    <x v="57"/>
    <s v="15-10-2013"/>
    <s v="Vivo"/>
    <x v="9"/>
    <s v="11.1.01.1241"/>
    <s v="11.1.01.0790"/>
    <x v="0"/>
    <m/>
  </r>
  <r>
    <n v="8935710"/>
    <m/>
    <m/>
    <m/>
    <m/>
    <m/>
    <d v="2023-10-16T00:00:00"/>
    <m/>
    <m/>
    <s v="H"/>
    <x v="1"/>
    <s v="ANGUS ROJO"/>
    <x v="50"/>
    <s v="30-10-2013"/>
    <s v="Vivo"/>
    <x v="0"/>
    <s v="11.1.01.1022"/>
    <s v="11.1.01.0790"/>
    <x v="0"/>
    <m/>
  </r>
  <r>
    <n v="8935721"/>
    <m/>
    <m/>
    <m/>
    <m/>
    <m/>
    <d v="2023-12-05T00:00:00"/>
    <m/>
    <m/>
    <s v="H"/>
    <x v="1"/>
    <s v="ANGUS NEGRO"/>
    <x v="58"/>
    <s v="30-11-2013"/>
    <s v="Vivo"/>
    <x v="0"/>
    <s v="11.2.01.0038"/>
    <s v="11.1.01.0790"/>
    <x v="0"/>
    <m/>
  </r>
  <r>
    <n v="8935725"/>
    <m/>
    <m/>
    <m/>
    <m/>
    <m/>
    <d v="2023-06-13T00:00:00"/>
    <m/>
    <m/>
    <s v="H"/>
    <x v="1"/>
    <s v="ANGUS ROJO"/>
    <x v="58"/>
    <s v="30-11-2013"/>
    <s v="Vivo"/>
    <x v="4"/>
    <s v="11.1.01.1241"/>
    <s v="11.1.01.0790"/>
    <x v="0"/>
    <m/>
  </r>
  <r>
    <n v="8935744"/>
    <m/>
    <m/>
    <m/>
    <m/>
    <m/>
    <m/>
    <m/>
    <m/>
    <s v="H"/>
    <x v="1"/>
    <s v="ANGUS ROJO"/>
    <x v="50"/>
    <s v="30-10-2013"/>
    <s v="Vivo"/>
    <x v="0"/>
    <s v="11.1.01.0893"/>
    <s v="11.1.01.0790"/>
    <x v="0"/>
    <m/>
  </r>
  <r>
    <n v="8935754"/>
    <m/>
    <m/>
    <m/>
    <m/>
    <m/>
    <d v="2023-06-13T00:00:00"/>
    <m/>
    <m/>
    <s v="H"/>
    <x v="1"/>
    <s v="HEREFORD"/>
    <x v="50"/>
    <s v="30-10-2013"/>
    <s v="Vivo"/>
    <x v="0"/>
    <s v="11.1.01.0791"/>
    <s v="11.1.01.0790"/>
    <x v="0"/>
    <m/>
  </r>
  <r>
    <n v="8935766"/>
    <m/>
    <m/>
    <m/>
    <d v="2021-06-03T00:00:00"/>
    <m/>
    <d v="2023-10-16T00:00:00"/>
    <m/>
    <m/>
    <s v="H"/>
    <x v="1"/>
    <s v="HEREFORD"/>
    <x v="57"/>
    <s v="15-10-2013"/>
    <s v="Vivo"/>
    <x v="3"/>
    <s v="11.1.01.0791"/>
    <s v="11.1.01.0790"/>
    <x v="0"/>
    <m/>
  </r>
  <r>
    <n v="8935771"/>
    <m/>
    <m/>
    <m/>
    <d v="2021-06-03T00:00:00"/>
    <m/>
    <m/>
    <d v="2024-12-22T00:00:00"/>
    <d v="2025-01-14T00:00:00"/>
    <s v="H"/>
    <x v="1"/>
    <s v="ANGUS NEGRO"/>
    <x v="58"/>
    <s v="30-11-2013"/>
    <s v="Vivo"/>
    <x v="8"/>
    <s v="11.1.01.0190"/>
    <s v="11.1.01.0790"/>
    <x v="0"/>
    <m/>
  </r>
  <r>
    <n v="8935776"/>
    <m/>
    <m/>
    <m/>
    <d v="2021-06-03T00:00:00"/>
    <m/>
    <d v="2023-10-16T00:00:00"/>
    <m/>
    <m/>
    <s v="H"/>
    <x v="1"/>
    <s v="HEREFORD"/>
    <x v="59"/>
    <s v="30-01-2014"/>
    <s v="Vivo"/>
    <x v="3"/>
    <s v="11.1.01.0790"/>
    <s v="11.1.01.0790"/>
    <x v="0"/>
    <m/>
  </r>
  <r>
    <n v="8935783"/>
    <m/>
    <m/>
    <m/>
    <d v="2021-06-03T00:00:00"/>
    <m/>
    <d v="2023-10-16T00:00:00"/>
    <m/>
    <m/>
    <s v="H"/>
    <x v="1"/>
    <s v="HEREFORD"/>
    <x v="58"/>
    <s v="30-11-2013"/>
    <s v="Vivo"/>
    <x v="0"/>
    <s v="11.1.01.0791"/>
    <s v="11.2.01.2071"/>
    <x v="0"/>
    <m/>
  </r>
  <r>
    <n v="8935787"/>
    <m/>
    <m/>
    <m/>
    <m/>
    <m/>
    <m/>
    <m/>
    <m/>
    <s v="H"/>
    <x v="1"/>
    <s v="HEREFORD"/>
    <x v="50"/>
    <s v="30-10-2013"/>
    <s v="Vivo"/>
    <x v="4"/>
    <s v="11.1.01.0893"/>
    <s v="11.2.01.2071"/>
    <x v="0"/>
    <m/>
  </r>
  <r>
    <n v="8935792"/>
    <m/>
    <m/>
    <m/>
    <m/>
    <m/>
    <m/>
    <m/>
    <m/>
    <s v="H"/>
    <x v="1"/>
    <s v="ANGUS NEGRO"/>
    <x v="50"/>
    <s v="30-10-2013"/>
    <s v="Vivo"/>
    <x v="0"/>
    <s v="11.1.01.0791"/>
    <s v="11.2.01.2071"/>
    <x v="0"/>
    <m/>
  </r>
  <r>
    <n v="8935794"/>
    <m/>
    <m/>
    <m/>
    <d v="2021-06-03T00:00:00"/>
    <m/>
    <m/>
    <m/>
    <m/>
    <s v="H"/>
    <x v="1"/>
    <s v="ANGUS NEGRO"/>
    <x v="50"/>
    <s v="30-10-2013"/>
    <s v="Vivo"/>
    <x v="0"/>
    <s v="11.2.01.0038"/>
    <s v="11.2.01.2071"/>
    <x v="0"/>
    <m/>
  </r>
  <r>
    <n v="8935817"/>
    <m/>
    <m/>
    <m/>
    <d v="2021-06-03T00:00:00"/>
    <m/>
    <m/>
    <m/>
    <m/>
    <s v="H"/>
    <x v="1"/>
    <s v="HEREFORD"/>
    <x v="50"/>
    <s v="30-10-2013"/>
    <s v="Vivo"/>
    <x v="3"/>
    <s v="11.2.01.2071"/>
    <s v="11.2.01.2071"/>
    <x v="0"/>
    <m/>
  </r>
  <r>
    <n v="8935825"/>
    <m/>
    <m/>
    <m/>
    <d v="2021-06-03T00:00:00"/>
    <m/>
    <d v="2023-11-10T00:00:00"/>
    <m/>
    <m/>
    <s v="H"/>
    <x v="1"/>
    <s v="ANGUS NEGRO"/>
    <x v="50"/>
    <s v="30-10-2013"/>
    <s v="Vivo"/>
    <x v="3"/>
    <s v="11.2.01.2071"/>
    <s v="11.2.01.2071"/>
    <x v="0"/>
    <m/>
  </r>
  <r>
    <n v="8935853"/>
    <m/>
    <m/>
    <m/>
    <d v="2021-10-30T00:00:00"/>
    <m/>
    <d v="2023-06-13T00:00:00"/>
    <m/>
    <m/>
    <s v="H"/>
    <x v="1"/>
    <s v="LIMOUSIN"/>
    <x v="59"/>
    <s v="30-01-2014"/>
    <s v="Vivo"/>
    <x v="0"/>
    <s v="11.2.01.2071"/>
    <s v="11.2.01.2071"/>
    <x v="0"/>
    <m/>
  </r>
  <r>
    <n v="8935863"/>
    <m/>
    <m/>
    <m/>
    <d v="2021-10-30T00:00:00"/>
    <m/>
    <d v="2023-06-13T00:00:00"/>
    <m/>
    <m/>
    <s v="H"/>
    <x v="1"/>
    <s v="ANGUS ROJO"/>
    <x v="51"/>
    <s v="30-09-2014"/>
    <s v="Vivo"/>
    <x v="3"/>
    <s v="11.1.01.1241"/>
    <s v="11.2.01.2071"/>
    <x v="0"/>
    <m/>
  </r>
  <r>
    <n v="8935869"/>
    <m/>
    <m/>
    <m/>
    <d v="2021-07-08T00:00:00"/>
    <d v="2022-11-02T00:00:00"/>
    <d v="2023-11-24T00:00:00"/>
    <m/>
    <m/>
    <s v="M"/>
    <x v="3"/>
    <s v="ANGUS NEGRO"/>
    <x v="66"/>
    <s v="15-11-2014"/>
    <s v="Vivo"/>
    <x v="0"/>
    <s v="11.2.01.2071"/>
    <s v="11.2.01.2071"/>
    <x v="0"/>
    <m/>
  </r>
  <r>
    <n v="8937507"/>
    <m/>
    <m/>
    <m/>
    <d v="2021-07-27T00:00:00"/>
    <d v="2022-12-28T00:00:00"/>
    <d v="2023-11-09T00:00:00"/>
    <d v="2024-01-06T00:00:00"/>
    <m/>
    <s v="H"/>
    <x v="1"/>
    <s v="ANGUS NEGRO"/>
    <x v="66"/>
    <s v="30-10-2014"/>
    <s v="Vivo"/>
    <x v="5"/>
    <s v="11.1.01.0893"/>
    <s v="11.1.01.2304"/>
    <x v="0"/>
    <d v="2021-02-06T00:00:00"/>
  </r>
  <r>
    <n v="8937521"/>
    <m/>
    <m/>
    <m/>
    <m/>
    <m/>
    <d v="2023-10-16T00:00:00"/>
    <m/>
    <m/>
    <s v="H"/>
    <x v="1"/>
    <s v="ANGUS NEGRO"/>
    <x v="51"/>
    <s v="30-09-2014"/>
    <s v="Vivo"/>
    <x v="3"/>
    <s v="11.1.01.0791"/>
    <s v="11.1.01.2304"/>
    <x v="0"/>
    <d v="2015-01-20T00:00:00"/>
  </r>
  <r>
    <n v="8937525"/>
    <m/>
    <m/>
    <m/>
    <m/>
    <m/>
    <d v="2023-10-16T00:00:00"/>
    <m/>
    <m/>
    <s v="H"/>
    <x v="1"/>
    <s v="ANGUS ROJO"/>
    <x v="51"/>
    <s v="30-09-2014"/>
    <s v="Vivo"/>
    <x v="0"/>
    <s v="11.1.01.1241"/>
    <s v="11.1.01.2304"/>
    <x v="0"/>
    <d v="2015-01-20T00:00:00"/>
  </r>
  <r>
    <n v="8937526"/>
    <m/>
    <m/>
    <m/>
    <m/>
    <m/>
    <d v="2023-06-13T00:00:00"/>
    <m/>
    <m/>
    <s v="H"/>
    <x v="1"/>
    <s v="ANGUS NEGRO"/>
    <x v="66"/>
    <s v="30-10-2014"/>
    <s v="Vivo"/>
    <x v="0"/>
    <s v="11.1.01.1241"/>
    <s v="11.1.01.2304"/>
    <x v="0"/>
    <d v="2015-01-20T00:00:00"/>
  </r>
  <r>
    <n v="8937542"/>
    <m/>
    <m/>
    <m/>
    <m/>
    <m/>
    <d v="2023-10-16T00:00:00"/>
    <m/>
    <m/>
    <s v="H"/>
    <x v="1"/>
    <s v="ANGUS NEGRO"/>
    <x v="51"/>
    <s v="30-09-2014"/>
    <s v="Vivo"/>
    <x v="0"/>
    <s v="11.1.01.0893"/>
    <s v="11.1.01.2304"/>
    <x v="0"/>
    <d v="2015-01-20T00:00:00"/>
  </r>
  <r>
    <n v="8937548"/>
    <m/>
    <m/>
    <m/>
    <m/>
    <m/>
    <d v="2023-06-13T00:00:00"/>
    <m/>
    <m/>
    <s v="H"/>
    <x v="1"/>
    <s v="ANGUS NEGRO"/>
    <x v="51"/>
    <s v="15-10-2014"/>
    <s v="Vivo"/>
    <x v="0"/>
    <s v="11.1.01.2304"/>
    <s v="11.1.01.2304"/>
    <x v="0"/>
    <d v="2015-01-20T00:00:00"/>
  </r>
  <r>
    <n v="8937552"/>
    <m/>
    <m/>
    <m/>
    <m/>
    <m/>
    <d v="2023-10-16T00:00:00"/>
    <m/>
    <m/>
    <s v="M"/>
    <x v="3"/>
    <s v="ANGUS NEGRO"/>
    <x v="51"/>
    <s v="30-09-2014"/>
    <s v="Vivo"/>
    <x v="0"/>
    <s v="11.1.01.2304"/>
    <s v="11.1.01.2304"/>
    <x v="0"/>
    <d v="2015-01-20T00:00:00"/>
  </r>
  <r>
    <n v="8937560"/>
    <m/>
    <m/>
    <m/>
    <m/>
    <m/>
    <m/>
    <m/>
    <m/>
    <s v="H"/>
    <x v="1"/>
    <s v="HEREFORD"/>
    <x v="73"/>
    <s v="30-08-2014"/>
    <s v="Vivo"/>
    <x v="0"/>
    <s v="11.1.01.2304"/>
    <s v="11.1.01.2304"/>
    <x v="0"/>
    <d v="2015-01-20T00:00:00"/>
  </r>
  <r>
    <n v="8937566"/>
    <m/>
    <m/>
    <m/>
    <m/>
    <m/>
    <m/>
    <m/>
    <m/>
    <s v="H"/>
    <x v="1"/>
    <s v="ANGUS NEGRO"/>
    <x v="51"/>
    <s v="30-09-2014"/>
    <s v="Vivo"/>
    <x v="3"/>
    <s v="11.1.01.1241"/>
    <s v="11.1.01.2304"/>
    <x v="0"/>
    <d v="2015-01-20T00:00:00"/>
  </r>
  <r>
    <n v="8937567"/>
    <m/>
    <m/>
    <m/>
    <m/>
    <m/>
    <d v="2023-10-16T00:00:00"/>
    <m/>
    <m/>
    <s v="H"/>
    <x v="1"/>
    <s v="ANGUS NEGRO"/>
    <x v="73"/>
    <s v="30-08-2014"/>
    <s v="Vivo"/>
    <x v="4"/>
    <s v="11.1.01.0893"/>
    <s v="11.1.01.2304"/>
    <x v="0"/>
    <d v="2015-01-20T00:00:00"/>
  </r>
  <r>
    <n v="8937574"/>
    <m/>
    <m/>
    <m/>
    <m/>
    <m/>
    <d v="2023-10-16T00:00:00"/>
    <m/>
    <m/>
    <s v="M"/>
    <x v="3"/>
    <s v="ANGUS NEGRO"/>
    <x v="51"/>
    <s v="15-10-2014"/>
    <s v="Vivo"/>
    <x v="0"/>
    <s v="11.1.01.2304"/>
    <s v="11.1.01.2304"/>
    <x v="0"/>
    <m/>
  </r>
  <r>
    <n v="8937575"/>
    <m/>
    <m/>
    <m/>
    <m/>
    <m/>
    <d v="2023-12-04T00:00:00"/>
    <m/>
    <m/>
    <s v="M"/>
    <x v="3"/>
    <s v="ANGUS NEGRO"/>
    <x v="73"/>
    <s v="30-08-2014"/>
    <s v="Vivo"/>
    <x v="0"/>
    <s v="11.1.01.2304"/>
    <s v="11.1.01.2304"/>
    <x v="0"/>
    <m/>
  </r>
  <r>
    <n v="8937583"/>
    <m/>
    <m/>
    <m/>
    <m/>
    <m/>
    <d v="2023-12-04T00:00:00"/>
    <m/>
    <m/>
    <s v="H"/>
    <x v="1"/>
    <s v="ANGUS NEGRO"/>
    <x v="51"/>
    <s v="30-09-2014"/>
    <s v="Vivo"/>
    <x v="0"/>
    <s v="11.2.01.0038"/>
    <s v="11.1.01.2304"/>
    <x v="0"/>
    <m/>
  </r>
  <r>
    <n v="8937587"/>
    <m/>
    <m/>
    <m/>
    <m/>
    <m/>
    <d v="2023-11-23T00:00:00"/>
    <m/>
    <m/>
    <s v="M"/>
    <x v="3"/>
    <s v="ANGUS NEGRO"/>
    <x v="66"/>
    <s v="30-10-2014"/>
    <s v="Vivo"/>
    <x v="0"/>
    <s v="11.1.01.2304"/>
    <s v="11.1.01.2304"/>
    <x v="0"/>
    <m/>
  </r>
  <r>
    <n v="8937588"/>
    <m/>
    <m/>
    <m/>
    <m/>
    <m/>
    <d v="2023-12-04T00:00:00"/>
    <m/>
    <m/>
    <s v="H"/>
    <x v="1"/>
    <s v="ANGUS NEGRO"/>
    <x v="51"/>
    <s v="15-10-2014"/>
    <s v="Vivo"/>
    <x v="3"/>
    <s v="11.1.01.0791"/>
    <s v="11.1.01.2304"/>
    <x v="0"/>
    <m/>
  </r>
  <r>
    <n v="8937600"/>
    <m/>
    <m/>
    <m/>
    <m/>
    <m/>
    <d v="2023-12-04T00:00:00"/>
    <m/>
    <m/>
    <s v="H"/>
    <x v="1"/>
    <s v="ANGUS NEGRO"/>
    <x v="73"/>
    <s v="30-08-2014"/>
    <s v="Vivo"/>
    <x v="3"/>
    <s v="11.1.01.0791"/>
    <s v="11.1.01.2304"/>
    <x v="0"/>
    <m/>
  </r>
  <r>
    <n v="8937604"/>
    <m/>
    <m/>
    <m/>
    <m/>
    <m/>
    <d v="2023-12-04T00:00:00"/>
    <m/>
    <m/>
    <s v="H"/>
    <x v="1"/>
    <s v="ANGUS ROJO"/>
    <x v="74"/>
    <s v="20-01-2015"/>
    <s v="Vivo"/>
    <x v="0"/>
    <s v="11.1.01.2304"/>
    <s v="11.1.01.2304"/>
    <x v="0"/>
    <m/>
  </r>
  <r>
    <n v="8937608"/>
    <m/>
    <m/>
    <m/>
    <m/>
    <m/>
    <d v="2023-12-04T00:00:00"/>
    <m/>
    <m/>
    <s v="H"/>
    <x v="1"/>
    <s v="ANGUS ROJO"/>
    <x v="74"/>
    <s v="20-01-2015"/>
    <s v="Vivo"/>
    <x v="4"/>
    <s v="11.1.01.1241"/>
    <s v="11.1.01.2304"/>
    <x v="0"/>
    <m/>
  </r>
  <r>
    <n v="8937623"/>
    <m/>
    <m/>
    <m/>
    <m/>
    <m/>
    <m/>
    <m/>
    <m/>
    <s v="M"/>
    <x v="3"/>
    <s v="LIMOUSIN"/>
    <x v="70"/>
    <s v="30-11-2014"/>
    <s v="Vivo"/>
    <x v="0"/>
    <s v="11.1.01.2304"/>
    <s v="11.1.01.2304"/>
    <x v="0"/>
    <m/>
  </r>
  <r>
    <n v="8937624"/>
    <m/>
    <m/>
    <m/>
    <m/>
    <d v="2022-12-28T00:00:00"/>
    <d v="2023-11-09T00:00:00"/>
    <m/>
    <m/>
    <s v="M"/>
    <x v="3"/>
    <s v="HEREFORD"/>
    <x v="71"/>
    <s v="30-03-2015"/>
    <s v="Vivo"/>
    <x v="0"/>
    <s v="11.1.01.2304"/>
    <s v="11.1.01.2304"/>
    <x v="0"/>
    <d v="2015-05-13T00:00:00"/>
  </r>
  <r>
    <n v="8937632"/>
    <m/>
    <m/>
    <m/>
    <m/>
    <m/>
    <m/>
    <m/>
    <m/>
    <s v="M"/>
    <x v="3"/>
    <s v="LIMOUSIN"/>
    <x v="66"/>
    <s v="10-11-2014"/>
    <s v="Vivo"/>
    <x v="0"/>
    <s v="11.1.01.2304"/>
    <s v="11.1.01.2304"/>
    <x v="0"/>
    <d v="2015-05-13T00:00:00"/>
  </r>
  <r>
    <n v="8937642"/>
    <m/>
    <m/>
    <m/>
    <m/>
    <d v="2022-12-28T00:00:00"/>
    <d v="2023-11-09T00:00:00"/>
    <m/>
    <m/>
    <s v="H"/>
    <x v="1"/>
    <s v="ANGUS ROJO"/>
    <x v="75"/>
    <s v="28-02-2015"/>
    <s v="Vivo"/>
    <x v="0"/>
    <s v="11.1.01.2304"/>
    <s v="11.1.01.2304"/>
    <x v="0"/>
    <d v="2015-05-13T00:00:00"/>
  </r>
  <r>
    <n v="8937646"/>
    <m/>
    <m/>
    <m/>
    <m/>
    <d v="2022-12-28T00:00:00"/>
    <d v="2023-11-17T00:00:00"/>
    <d v="2024-12-22T00:00:00"/>
    <d v="2025-11-05T00:00:00"/>
    <s v="H"/>
    <x v="1"/>
    <s v="ANGUS NEGRO"/>
    <x v="71"/>
    <s v="30-03-2015"/>
    <s v="Vivo"/>
    <x v="8"/>
    <s v="11.1.01.0190"/>
    <s v="11.1.01.2304"/>
    <x v="0"/>
    <d v="2015-05-13T00:00:00"/>
  </r>
  <r>
    <n v="8937647"/>
    <m/>
    <m/>
    <m/>
    <m/>
    <d v="2022-05-26T00:00:00"/>
    <m/>
    <m/>
    <m/>
    <s v="M"/>
    <x v="3"/>
    <s v="ANGUS NEGRO"/>
    <x v="74"/>
    <s v="30-01-2015"/>
    <s v="Vivo"/>
    <x v="0"/>
    <s v="11.1.01.2304"/>
    <s v="11.1.01.2304"/>
    <x v="0"/>
    <d v="2015-05-13T00:00:00"/>
  </r>
  <r>
    <n v="8937651"/>
    <m/>
    <m/>
    <m/>
    <m/>
    <d v="2022-12-28T00:00:00"/>
    <d v="2023-11-09T00:00:00"/>
    <m/>
    <m/>
    <s v="H"/>
    <x v="1"/>
    <s v="OVERO COLORADO (CLAVEL ALEMAN)"/>
    <x v="71"/>
    <s v="30-03-2015"/>
    <s v="Vivo"/>
    <x v="0"/>
    <s v="11.2.01.0038"/>
    <s v="11.1.01.2304"/>
    <x v="0"/>
    <d v="2015-05-13T00:00:00"/>
  </r>
  <r>
    <n v="8937674"/>
    <m/>
    <m/>
    <m/>
    <m/>
    <d v="2022-12-28T00:00:00"/>
    <d v="2023-11-09T00:00:00"/>
    <m/>
    <m/>
    <s v="H"/>
    <x v="1"/>
    <s v="ANGUS NEGRO"/>
    <x v="72"/>
    <s v="05-10-2015"/>
    <s v="Vivo"/>
    <x v="0"/>
    <s v="11.2.01.0038"/>
    <s v="11.1.01.2304"/>
    <x v="0"/>
    <d v="2015-05-13T00:00:00"/>
  </r>
  <r>
    <n v="8937676"/>
    <m/>
    <m/>
    <m/>
    <m/>
    <d v="2022-12-28T00:00:00"/>
    <d v="2023-11-09T00:00:00"/>
    <m/>
    <m/>
    <s v="H"/>
    <x v="1"/>
    <s v="ANGUS NEGRO"/>
    <x v="72"/>
    <s v="30-09-2015"/>
    <s v="Vivo"/>
    <x v="0"/>
    <s v="11.1.01.0791"/>
    <s v="11.1.01.2304"/>
    <x v="0"/>
    <d v="2015-05-13T00:00:00"/>
  </r>
  <r>
    <n v="8937682"/>
    <m/>
    <m/>
    <m/>
    <m/>
    <d v="2022-06-06T00:00:00"/>
    <m/>
    <m/>
    <m/>
    <s v="H"/>
    <x v="1"/>
    <s v="ANGUS ROJO"/>
    <x v="72"/>
    <s v="10-10-2015"/>
    <s v="Vivo"/>
    <x v="0"/>
    <s v="11.1.01.0893"/>
    <s v="11.1.01.2304"/>
    <x v="0"/>
    <d v="2015-05-13T00:00:00"/>
  </r>
  <r>
    <n v="8937685"/>
    <m/>
    <m/>
    <m/>
    <m/>
    <d v="2022-12-28T00:00:00"/>
    <d v="2023-11-09T00:00:00"/>
    <m/>
    <m/>
    <s v="M"/>
    <x v="3"/>
    <s v="ANGUS NEGRO"/>
    <x v="76"/>
    <s v="30-06-2015"/>
    <s v="Vivo"/>
    <x v="0"/>
    <s v="11.1.01.2304"/>
    <s v="11.1.01.2304"/>
    <x v="0"/>
    <d v="2015-05-13T00:00:00"/>
  </r>
  <r>
    <n v="8937691"/>
    <m/>
    <m/>
    <m/>
    <m/>
    <d v="2022-12-28T00:00:00"/>
    <d v="2023-11-09T00:00:00"/>
    <m/>
    <m/>
    <s v="M"/>
    <x v="3"/>
    <s v="ANGUS NEGRO"/>
    <x v="72"/>
    <s v="30-09-2015"/>
    <s v="Vivo"/>
    <x v="0"/>
    <s v="11.1.01.2304"/>
    <s v="11.1.01.2304"/>
    <x v="0"/>
    <d v="2015-05-13T00:00:00"/>
  </r>
  <r>
    <n v="8937696"/>
    <m/>
    <m/>
    <m/>
    <m/>
    <d v="2022-12-28T00:00:00"/>
    <d v="2023-12-05T00:00:00"/>
    <m/>
    <m/>
    <s v="H"/>
    <x v="1"/>
    <s v="ANGUS NEGRO"/>
    <x v="72"/>
    <s v="30-09-2015"/>
    <s v="Vivo"/>
    <x v="0"/>
    <s v="11.1.01.2304"/>
    <s v="11.1.01.2304"/>
    <x v="0"/>
    <d v="2015-05-13T00:00:00"/>
  </r>
  <r>
    <n v="8937718"/>
    <m/>
    <m/>
    <m/>
    <m/>
    <d v="2022-12-28T00:00:00"/>
    <d v="2023-11-17T00:00:00"/>
    <d v="2024-12-22T00:00:00"/>
    <d v="2025-11-05T00:00:00"/>
    <s v="H"/>
    <x v="1"/>
    <s v="ANGUS NEGRO"/>
    <x v="72"/>
    <s v="10-10-2015"/>
    <s v="Vivo"/>
    <x v="8"/>
    <s v="11.1.01.0190"/>
    <s v="11.1.01.2304"/>
    <x v="0"/>
    <d v="2015-05-13T00:00:00"/>
  </r>
  <r>
    <n v="8937721"/>
    <m/>
    <m/>
    <m/>
    <m/>
    <m/>
    <m/>
    <m/>
    <m/>
    <s v="H"/>
    <x v="1"/>
    <s v="ANGUS NEGRO"/>
    <x v="72"/>
    <s v="30-09-2015"/>
    <s v="Vivo"/>
    <x v="4"/>
    <s v="11.1.01.1241"/>
    <s v="11.1.01.2304"/>
    <x v="0"/>
    <d v="2015-05-13T00:00:00"/>
  </r>
  <r>
    <n v="8937759"/>
    <m/>
    <m/>
    <m/>
    <m/>
    <d v="2022-12-28T00:00:00"/>
    <d v="2023-11-17T00:00:00"/>
    <m/>
    <m/>
    <s v="H"/>
    <x v="1"/>
    <s v="ANGUS ROJO"/>
    <x v="62"/>
    <s v="30-12-2015"/>
    <s v="Vivo"/>
    <x v="3"/>
    <s v="11.1.01.1241"/>
    <s v="11.1.01.1241"/>
    <x v="0"/>
    <d v="2015-05-13T00:00:00"/>
  </r>
  <r>
    <n v="8937762"/>
    <m/>
    <m/>
    <m/>
    <m/>
    <m/>
    <m/>
    <m/>
    <m/>
    <s v="H"/>
    <x v="1"/>
    <s v="ANGUS NEGRO"/>
    <x v="65"/>
    <s v="28-02-2016"/>
    <s v="Vivo"/>
    <x v="0"/>
    <s v="11.1.01.0893"/>
    <s v="11.1.01.1241"/>
    <x v="0"/>
    <m/>
  </r>
  <r>
    <n v="8937776"/>
    <m/>
    <m/>
    <m/>
    <m/>
    <d v="2022-12-28T00:00:00"/>
    <d v="2023-11-09T00:00:00"/>
    <m/>
    <m/>
    <s v="no existe"/>
    <x v="2"/>
    <s v="no existe"/>
    <x v="4"/>
    <s v="no existe"/>
    <s v="no existe"/>
    <x v="1"/>
    <s v="no existe"/>
    <s v="no existe"/>
    <x v="1"/>
    <m/>
  </r>
  <r>
    <n v="8937777"/>
    <m/>
    <m/>
    <m/>
    <m/>
    <d v="2022-06-06T00:00:00"/>
    <m/>
    <m/>
    <m/>
    <s v="no existe"/>
    <x v="2"/>
    <s v="no existe"/>
    <x v="4"/>
    <s v="no existe"/>
    <s v="no existe"/>
    <x v="1"/>
    <s v="no existe"/>
    <s v="no existe"/>
    <x v="1"/>
    <m/>
  </r>
  <r>
    <n v="9005323"/>
    <m/>
    <m/>
    <m/>
    <m/>
    <d v="2022-12-28T00:00:00"/>
    <d v="2023-11-17T00:00:00"/>
    <m/>
    <m/>
    <s v="M"/>
    <x v="3"/>
    <s v="ANGUS NEGRO"/>
    <x v="57"/>
    <s v="15-10-2013"/>
    <s v="Vivo"/>
    <x v="0"/>
    <s v="11.1.01.0791"/>
    <s v="11.1.01.0290"/>
    <x v="0"/>
    <m/>
  </r>
  <r>
    <n v="9005327"/>
    <m/>
    <m/>
    <m/>
    <m/>
    <d v="2022-12-28T00:00:00"/>
    <d v="2023-11-09T00:00:00"/>
    <m/>
    <m/>
    <s v="M"/>
    <x v="3"/>
    <s v="ANGUS NEGRO"/>
    <x v="57"/>
    <s v="15-10-2013"/>
    <s v="Vivo"/>
    <x v="0"/>
    <s v="11.1.01.1081"/>
    <s v="11.1.01.0290"/>
    <x v="0"/>
    <m/>
  </r>
  <r>
    <n v="9005331"/>
    <m/>
    <m/>
    <m/>
    <m/>
    <d v="2022-12-28T00:00:00"/>
    <d v="2023-11-09T00:00:00"/>
    <m/>
    <m/>
    <s v="M"/>
    <x v="3"/>
    <s v="ANGUS NEGRO"/>
    <x v="57"/>
    <s v="15-10-2013"/>
    <s v="Vivo"/>
    <x v="0"/>
    <s v="11.2.01.0038"/>
    <s v="11.1.01.0290"/>
    <x v="0"/>
    <m/>
  </r>
  <r>
    <n v="9005357"/>
    <m/>
    <m/>
    <m/>
    <m/>
    <d v="2022-12-28T00:00:00"/>
    <d v="2023-11-17T00:00:00"/>
    <m/>
    <m/>
    <s v="M"/>
    <x v="3"/>
    <s v="ANGUS NEGRO"/>
    <x v="57"/>
    <s v="15-10-2013"/>
    <s v="Vivo"/>
    <x v="0"/>
    <s v="11.1.01.0893"/>
    <s v="11.1.01.0290"/>
    <x v="0"/>
    <m/>
  </r>
  <r>
    <n v="9005364"/>
    <m/>
    <m/>
    <m/>
    <m/>
    <d v="2022-12-28T00:00:00"/>
    <d v="2023-11-09T00:00:00"/>
    <m/>
    <m/>
    <s v="M"/>
    <x v="3"/>
    <s v="ANGUS NEGRO"/>
    <x v="57"/>
    <s v="15-10-2013"/>
    <s v="Vivo"/>
    <x v="0"/>
    <s v="11.1.01.0893"/>
    <s v="11.1.01.0290"/>
    <x v="0"/>
    <m/>
  </r>
  <r>
    <n v="9005390"/>
    <m/>
    <m/>
    <m/>
    <m/>
    <d v="2022-12-28T00:00:00"/>
    <d v="2023-11-17T00:00:00"/>
    <m/>
    <m/>
    <s v="M"/>
    <x v="3"/>
    <s v="ANGUS NEGRO"/>
    <x v="57"/>
    <s v="15-10-2013"/>
    <s v="Vivo"/>
    <x v="0"/>
    <s v="11.1.01.0791"/>
    <s v="11.1.01.0290"/>
    <x v="0"/>
    <m/>
  </r>
  <r>
    <n v="9320756"/>
    <m/>
    <m/>
    <m/>
    <m/>
    <d v="2022-12-28T00:00:00"/>
    <d v="2023-11-17T00:00:00"/>
    <m/>
    <m/>
    <s v="M"/>
    <x v="3"/>
    <s v="ANGUS NEGRO"/>
    <x v="51"/>
    <s v="30-09-2014"/>
    <s v="Vivo"/>
    <x v="0"/>
    <s v="11.2.01.2071"/>
    <s v="11.2.01.2071"/>
    <x v="0"/>
    <m/>
  </r>
  <r>
    <n v="9320761"/>
    <m/>
    <m/>
    <m/>
    <m/>
    <d v="2022-12-28T00:00:00"/>
    <d v="2023-11-17T00:00:00"/>
    <m/>
    <m/>
    <s v="H"/>
    <x v="1"/>
    <s v="ANGUS NEGRO"/>
    <x v="51"/>
    <s v="30-09-2014"/>
    <s v="Vivo"/>
    <x v="0"/>
    <s v="11.2.01.0038"/>
    <s v="11.2.01.2071"/>
    <x v="0"/>
    <d v="2015-01-20T00:00:00"/>
  </r>
  <r>
    <n v="9320774"/>
    <m/>
    <m/>
    <m/>
    <m/>
    <d v="2022-12-28T00:00:00"/>
    <d v="2023-11-17T00:00:00"/>
    <m/>
    <m/>
    <s v="M"/>
    <x v="3"/>
    <s v="ANGUS NEGRO"/>
    <x v="77"/>
    <s v="30-04-2015"/>
    <s v="Vivo"/>
    <x v="0"/>
    <s v="11.2.01.2071"/>
    <s v="11.2.01.2071"/>
    <x v="0"/>
    <d v="2015-06-03T00:00:00"/>
  </r>
  <r>
    <n v="9320778"/>
    <m/>
    <m/>
    <m/>
    <m/>
    <d v="2022-12-28T00:00:00"/>
    <d v="2023-11-09T00:00:00"/>
    <m/>
    <m/>
    <s v="no existe"/>
    <x v="2"/>
    <s v="no existe"/>
    <x v="4"/>
    <s v="no existe"/>
    <s v="no existe"/>
    <x v="1"/>
    <s v="no existe"/>
    <s v="no existe"/>
    <x v="1"/>
    <m/>
  </r>
  <r>
    <n v="10281938"/>
    <m/>
    <m/>
    <m/>
    <m/>
    <d v="2022-12-28T00:00:00"/>
    <d v="2023-11-09T00:00:00"/>
    <d v="2024-11-26T00:00:00"/>
    <d v="2025-01-14T00:00:00"/>
    <s v="H"/>
    <x v="1"/>
    <s v="ANGUS NEGRO"/>
    <x v="58"/>
    <s v="15-12-2013"/>
    <s v="Vivo"/>
    <x v="0"/>
    <s v="11.2.01.0038"/>
    <s v="11.2.01.0011"/>
    <x v="0"/>
    <d v="2014-04-09T00:00:00"/>
  </r>
  <r>
    <n v="10932004"/>
    <m/>
    <m/>
    <m/>
    <m/>
    <d v="2022-12-28T00:00:00"/>
    <d v="2023-11-09T00:00:00"/>
    <m/>
    <m/>
    <s v="H"/>
    <x v="1"/>
    <s v="ANGUS NEGRO"/>
    <x v="51"/>
    <s v="30-09-2014"/>
    <s v="Vivo"/>
    <x v="0"/>
    <s v="11.1.01.0893"/>
    <s v="11.1.01.0790"/>
    <x v="0"/>
    <d v="2015-01-20T00:00:00"/>
  </r>
  <r>
    <n v="10932021"/>
    <m/>
    <m/>
    <m/>
    <m/>
    <d v="2022-12-28T00:00:00"/>
    <d v="2023-11-09T00:00:00"/>
    <m/>
    <m/>
    <s v="H"/>
    <x v="1"/>
    <s v="ANGUS NEGRO"/>
    <x v="51"/>
    <s v="30-09-2014"/>
    <s v="Vivo"/>
    <x v="0"/>
    <s v="11.1.01.0893"/>
    <s v="11.1.01.0790"/>
    <x v="0"/>
    <m/>
  </r>
  <r>
    <n v="10932028"/>
    <m/>
    <m/>
    <m/>
    <m/>
    <d v="2022-12-28T00:00:00"/>
    <d v="2023-11-17T00:00:00"/>
    <m/>
    <m/>
    <s v="H"/>
    <x v="1"/>
    <s v="ANGUS ROJO"/>
    <x v="51"/>
    <s v="30-09-2014"/>
    <s v="Vivo"/>
    <x v="0"/>
    <s v="11.1.01.0893"/>
    <s v="11.1.01.0790"/>
    <x v="0"/>
    <m/>
  </r>
  <r>
    <n v="10932029"/>
    <m/>
    <m/>
    <m/>
    <m/>
    <d v="2022-12-28T00:00:00"/>
    <d v="2023-11-09T00:00:00"/>
    <m/>
    <m/>
    <s v="M"/>
    <x v="3"/>
    <s v="ANGUS NEGRO"/>
    <x v="66"/>
    <s v="30-10-2014"/>
    <s v="Vivo"/>
    <x v="0"/>
    <s v="11.1.01.0790"/>
    <s v="11.1.01.0790"/>
    <x v="0"/>
    <m/>
  </r>
  <r>
    <n v="10932035"/>
    <m/>
    <m/>
    <m/>
    <m/>
    <d v="2022-12-28T00:00:00"/>
    <d v="2023-11-17T00:00:00"/>
    <m/>
    <m/>
    <s v="H"/>
    <x v="1"/>
    <s v="ANGUS NEGRO"/>
    <x v="66"/>
    <s v="30-10-2014"/>
    <s v="Vivo"/>
    <x v="0"/>
    <s v="11.1.01.0893"/>
    <s v="11.1.01.0790"/>
    <x v="0"/>
    <m/>
  </r>
  <r>
    <n v="10932036"/>
    <m/>
    <m/>
    <m/>
    <m/>
    <m/>
    <m/>
    <m/>
    <m/>
    <s v="H"/>
    <x v="1"/>
    <s v="ANGUS ROJO"/>
    <x v="66"/>
    <s v="30-10-2014"/>
    <s v="Vivo"/>
    <x v="0"/>
    <s v="11.1.01.0893"/>
    <s v="11.1.01.0790"/>
    <x v="0"/>
    <m/>
  </r>
  <r>
    <n v="10932041"/>
    <m/>
    <m/>
    <m/>
    <m/>
    <d v="2022-12-28T00:00:00"/>
    <d v="2023-11-17T00:00:00"/>
    <m/>
    <m/>
    <s v="H"/>
    <x v="1"/>
    <s v="ANGUS NEGRO"/>
    <x v="51"/>
    <s v="30-09-2014"/>
    <s v="Vivo"/>
    <x v="0"/>
    <s v="11.1.01.0893"/>
    <s v="11.1.01.0790"/>
    <x v="0"/>
    <m/>
  </r>
  <r>
    <n v="10932054"/>
    <m/>
    <m/>
    <m/>
    <m/>
    <d v="2022-12-28T00:00:00"/>
    <d v="2023-11-17T00:00:00"/>
    <m/>
    <m/>
    <s v="H"/>
    <x v="1"/>
    <s v="ANGUS NEGRO"/>
    <x v="66"/>
    <s v="30-10-2014"/>
    <s v="Vivo"/>
    <x v="0"/>
    <s v="11.1.01.0893"/>
    <s v="11.1.01.0790"/>
    <x v="0"/>
    <m/>
  </r>
  <r>
    <n v="10932055"/>
    <m/>
    <m/>
    <m/>
    <m/>
    <d v="2022-12-28T00:00:00"/>
    <d v="2023-11-09T00:00:00"/>
    <m/>
    <m/>
    <s v="H"/>
    <x v="1"/>
    <s v="HEREFORD"/>
    <x v="66"/>
    <s v="30-10-2014"/>
    <s v="Vivo"/>
    <x v="0"/>
    <s v="11.1.01.0893"/>
    <s v="11.1.01.0790"/>
    <x v="0"/>
    <m/>
  </r>
  <r>
    <n v="10932058"/>
    <m/>
    <m/>
    <m/>
    <m/>
    <m/>
    <m/>
    <m/>
    <m/>
    <s v="M"/>
    <x v="3"/>
    <s v="ANGUS NEGRO"/>
    <x v="51"/>
    <s v="30-09-2014"/>
    <s v="Vivo"/>
    <x v="3"/>
    <s v="11.1.01.0790"/>
    <s v="11.1.01.0790"/>
    <x v="0"/>
    <m/>
  </r>
  <r>
    <n v="10932060"/>
    <m/>
    <m/>
    <m/>
    <m/>
    <d v="2022-12-28T00:00:00"/>
    <d v="2023-11-17T00:00:00"/>
    <m/>
    <m/>
    <s v="H"/>
    <x v="1"/>
    <s v="OVERO NEGRO"/>
    <x v="51"/>
    <s v="30-09-2014"/>
    <s v="Vivo"/>
    <x v="0"/>
    <s v="11.1.01.0893"/>
    <s v="11.1.01.0790"/>
    <x v="0"/>
    <m/>
  </r>
  <r>
    <n v="10932065"/>
    <m/>
    <m/>
    <m/>
    <m/>
    <d v="2022-12-28T00:00:00"/>
    <d v="2023-11-17T00:00:00"/>
    <d v="2024-12-22T00:00:00"/>
    <d v="2025-11-04T00:00:00"/>
    <s v="H"/>
    <x v="1"/>
    <s v="ANGUS NEGRO"/>
    <x v="66"/>
    <s v="30-10-2014"/>
    <s v="Vivo"/>
    <x v="6"/>
    <s v="11.1.01.1241"/>
    <s v="11.1.01.0790"/>
    <x v="0"/>
    <m/>
  </r>
  <r>
    <n v="10932067"/>
    <m/>
    <m/>
    <m/>
    <m/>
    <d v="2022-12-28T00:00:00"/>
    <d v="2023-11-17T00:00:00"/>
    <m/>
    <m/>
    <s v="H"/>
    <x v="1"/>
    <s v="ANGUS NEGRO"/>
    <x v="51"/>
    <s v="30-09-2014"/>
    <s v="Vivo"/>
    <x v="0"/>
    <s v="11.1.01.0893"/>
    <s v="11.1.01.0790"/>
    <x v="0"/>
    <m/>
  </r>
  <r>
    <n v="10932069"/>
    <m/>
    <m/>
    <m/>
    <m/>
    <m/>
    <m/>
    <m/>
    <m/>
    <s v="H"/>
    <x v="1"/>
    <s v="ANGUS ROJO"/>
    <x v="66"/>
    <s v="30-10-2014"/>
    <s v="Vivo"/>
    <x v="0"/>
    <s v="11.1.01.0893"/>
    <s v="11.1.01.0790"/>
    <x v="0"/>
    <m/>
  </r>
  <r>
    <n v="10932070"/>
    <m/>
    <m/>
    <m/>
    <m/>
    <d v="2022-12-28T00:00:00"/>
    <d v="2023-11-09T00:00:00"/>
    <m/>
    <m/>
    <s v="H"/>
    <x v="1"/>
    <s v="ANGUS NEGRO"/>
    <x v="51"/>
    <s v="30-09-2014"/>
    <s v="Vivo"/>
    <x v="0"/>
    <s v="11.1.01.0893"/>
    <s v="11.1.01.0790"/>
    <x v="0"/>
    <m/>
  </r>
  <r>
    <n v="10932073"/>
    <m/>
    <m/>
    <m/>
    <m/>
    <d v="2022-12-28T00:00:00"/>
    <d v="2023-11-17T00:00:00"/>
    <m/>
    <m/>
    <s v="H"/>
    <x v="1"/>
    <s v="ANGUS NEGRO"/>
    <x v="51"/>
    <s v="30-09-2014"/>
    <s v="Vivo"/>
    <x v="0"/>
    <s v="11.1.01.0893"/>
    <s v="11.1.01.0790"/>
    <x v="0"/>
    <m/>
  </r>
  <r>
    <n v="10932074"/>
    <m/>
    <m/>
    <m/>
    <m/>
    <d v="2022-12-28T00:00:00"/>
    <d v="2023-11-09T00:00:00"/>
    <m/>
    <m/>
    <s v="H"/>
    <x v="1"/>
    <s v="LIMOUSIN"/>
    <x v="73"/>
    <s v="30-08-2014"/>
    <s v="Vivo"/>
    <x v="0"/>
    <s v="11.1.01.0893"/>
    <s v="11.1.01.0790"/>
    <x v="0"/>
    <m/>
  </r>
  <r>
    <n v="10932075"/>
    <m/>
    <m/>
    <m/>
    <m/>
    <d v="2022-12-28T00:00:00"/>
    <d v="2023-11-09T00:00:00"/>
    <m/>
    <m/>
    <s v="H"/>
    <x v="1"/>
    <s v="ANGUS ROJO"/>
    <x v="73"/>
    <s v="30-08-2014"/>
    <s v="Vivo"/>
    <x v="0"/>
    <s v="11.1.01.0893"/>
    <s v="11.1.01.0790"/>
    <x v="0"/>
    <m/>
  </r>
  <r>
    <n v="10932083"/>
    <m/>
    <m/>
    <m/>
    <m/>
    <d v="2022-12-28T00:00:00"/>
    <d v="2023-11-09T00:00:00"/>
    <m/>
    <m/>
    <s v="H"/>
    <x v="1"/>
    <s v="ANGUS NEGRO"/>
    <x v="73"/>
    <s v="30-08-2014"/>
    <s v="Vivo"/>
    <x v="0"/>
    <s v="11.1.01.0893"/>
    <s v="11.1.01.0790"/>
    <x v="0"/>
    <m/>
  </r>
  <r>
    <n v="10932091"/>
    <m/>
    <m/>
    <m/>
    <m/>
    <d v="2022-12-28T00:00:00"/>
    <d v="2023-11-09T00:00:00"/>
    <m/>
    <m/>
    <s v="H"/>
    <x v="1"/>
    <s v="ANGUS NEGRO"/>
    <x v="73"/>
    <s v="30-08-2014"/>
    <s v="Vivo"/>
    <x v="0"/>
    <s v="11.1.01.0893"/>
    <s v="11.1.01.0790"/>
    <x v="0"/>
    <m/>
  </r>
  <r>
    <n v="10932092"/>
    <m/>
    <m/>
    <m/>
    <m/>
    <d v="2022-12-28T00:00:00"/>
    <d v="2023-11-09T00:00:00"/>
    <m/>
    <m/>
    <s v="H"/>
    <x v="1"/>
    <s v="ANGUS ROJO"/>
    <x v="73"/>
    <s v="30-08-2014"/>
    <s v="Vivo"/>
    <x v="0"/>
    <s v="11.1.01.0893"/>
    <s v="11.1.01.0790"/>
    <x v="0"/>
    <m/>
  </r>
  <r>
    <n v="10932145"/>
    <m/>
    <m/>
    <m/>
    <m/>
    <d v="2022-12-28T00:00:00"/>
    <d v="2023-11-09T00:00:00"/>
    <m/>
    <m/>
    <s v="H"/>
    <x v="1"/>
    <s v="HEREFORD"/>
    <x v="78"/>
    <s v="15-09-2015"/>
    <s v="Vivo"/>
    <x v="0"/>
    <s v="11.1.01.0893"/>
    <s v="11.1.01.0893"/>
    <x v="0"/>
    <m/>
  </r>
  <r>
    <n v="10932161"/>
    <m/>
    <m/>
    <m/>
    <m/>
    <m/>
    <m/>
    <m/>
    <m/>
    <s v="H"/>
    <x v="1"/>
    <s v="ANGUS NEGRO"/>
    <x v="51"/>
    <s v="30-09-2014"/>
    <s v="Vivo"/>
    <x v="3"/>
    <s v="11.1.01.1241"/>
    <s v="11.1.01.0790"/>
    <x v="0"/>
    <m/>
  </r>
  <r>
    <n v="10943295"/>
    <m/>
    <m/>
    <m/>
    <m/>
    <d v="2022-12-28T00:00:00"/>
    <d v="2023-11-09T00:00:00"/>
    <d v="2024-12-22T00:00:00"/>
    <d v="2025-01-14T00:00:00"/>
    <s v="H"/>
    <x v="1"/>
    <s v="ANGUS NEGRO"/>
    <x v="66"/>
    <s v="15-11-2014"/>
    <s v="Vivo"/>
    <x v="7"/>
    <s v="11.1.01.1241"/>
    <s v="11.2.01.0038"/>
    <x v="0"/>
    <m/>
  </r>
  <r>
    <n v="10943299"/>
    <m/>
    <m/>
    <m/>
    <m/>
    <d v="2022-12-28T00:00:00"/>
    <d v="2023-11-09T00:00:00"/>
    <d v="2024-01-06T00:00:00"/>
    <m/>
    <s v="H"/>
    <x v="1"/>
    <s v="ANGUS NEGRO"/>
    <x v="66"/>
    <s v="15-11-2014"/>
    <s v="Vivo"/>
    <x v="5"/>
    <s v="11.1.01.0893"/>
    <s v="11.2.01.0038"/>
    <x v="0"/>
    <m/>
  </r>
  <r>
    <n v="10943330"/>
    <m/>
    <m/>
    <m/>
    <m/>
    <d v="2022-12-28T00:00:00"/>
    <d v="2023-11-09T00:00:00"/>
    <m/>
    <m/>
    <s v="M"/>
    <x v="3"/>
    <s v="ANGUS NEGRO"/>
    <x v="66"/>
    <s v="15-11-2014"/>
    <s v="Vivo"/>
    <x v="0"/>
    <s v="11.2.01.0038"/>
    <s v="11.2.01.0038"/>
    <x v="0"/>
    <m/>
  </r>
  <r>
    <n v="10943339"/>
    <m/>
    <m/>
    <m/>
    <m/>
    <d v="2022-12-28T00:00:00"/>
    <d v="2023-11-17T00:00:00"/>
    <m/>
    <m/>
    <s v="M"/>
    <x v="3"/>
    <s v="ANGUS NEGRO"/>
    <x v="66"/>
    <s v="15-11-2014"/>
    <s v="Vivo"/>
    <x v="0"/>
    <s v="11.2.01.0038"/>
    <s v="11.2.01.0038"/>
    <x v="0"/>
    <m/>
  </r>
  <r>
    <n v="11184715"/>
    <m/>
    <m/>
    <m/>
    <m/>
    <d v="2022-12-28T00:00:00"/>
    <d v="2023-11-09T00:00:00"/>
    <m/>
    <m/>
    <s v="M"/>
    <x v="3"/>
    <s v="ANGUS NEGRO"/>
    <x v="72"/>
    <s v="30-09-2015"/>
    <s v="Vivo"/>
    <x v="0"/>
    <s v="11.1.01.0791"/>
    <s v="11.1.01.0290"/>
    <x v="0"/>
    <m/>
  </r>
  <r>
    <n v="11184758"/>
    <m/>
    <m/>
    <m/>
    <m/>
    <d v="2022-12-28T00:00:00"/>
    <d v="2023-11-09T00:00:00"/>
    <m/>
    <m/>
    <s v="M"/>
    <x v="3"/>
    <s v="ANGUS NEGRO"/>
    <x v="72"/>
    <s v="30-09-2015"/>
    <s v="Vivo"/>
    <x v="3"/>
    <s v="11.1.01.1241"/>
    <s v="11.1.01.0290"/>
    <x v="0"/>
    <m/>
  </r>
  <r>
    <n v="11185013"/>
    <m/>
    <m/>
    <m/>
    <m/>
    <d v="2022-12-28T00:00:00"/>
    <d v="2023-11-17T00:00:00"/>
    <m/>
    <m/>
    <s v="no existe"/>
    <x v="2"/>
    <s v="no existe"/>
    <x v="4"/>
    <s v="no existe"/>
    <s v="no existe"/>
    <x v="1"/>
    <s v="no existe"/>
    <s v="no existe"/>
    <x v="1"/>
    <m/>
  </r>
  <r>
    <n v="11189200"/>
    <m/>
    <m/>
    <m/>
    <m/>
    <d v="2022-12-28T00:00:00"/>
    <d v="2023-11-09T00:00:00"/>
    <m/>
    <m/>
    <s v="M"/>
    <x v="3"/>
    <s v="ANGUS NEGRO"/>
    <x v="51"/>
    <s v="15-10-2014"/>
    <s v="Vivo"/>
    <x v="3"/>
    <s v="11.1.01.1241"/>
    <s v="11.1.01.0290"/>
    <x v="0"/>
    <m/>
  </r>
  <r>
    <n v="11189268"/>
    <m/>
    <m/>
    <m/>
    <m/>
    <d v="2022-12-28T00:00:00"/>
    <d v="2023-11-09T00:00:00"/>
    <m/>
    <m/>
    <s v="M"/>
    <x v="3"/>
    <s v="ANGUS NEGRO"/>
    <x v="51"/>
    <s v="15-10-2014"/>
    <s v="Vivo"/>
    <x v="4"/>
    <s v="11.1.01.1241"/>
    <s v="11.1.01.0290"/>
    <x v="0"/>
    <m/>
  </r>
  <r>
    <n v="11793279"/>
    <m/>
    <m/>
    <m/>
    <m/>
    <d v="2022-12-28T00:00:00"/>
    <d v="2023-11-17T00:00:00"/>
    <m/>
    <m/>
    <s v="H"/>
    <x v="1"/>
    <s v="ANGUS ROJO"/>
    <x v="72"/>
    <s v="15-10-2015"/>
    <s v="Vivo"/>
    <x v="0"/>
    <s v="11.1.01.0791"/>
    <s v="11.1.01.0893"/>
    <x v="0"/>
    <m/>
  </r>
  <r>
    <n v="11793298"/>
    <m/>
    <m/>
    <m/>
    <m/>
    <d v="2022-12-28T00:00:00"/>
    <d v="2023-11-17T00:00:00"/>
    <m/>
    <m/>
    <s v="H"/>
    <x v="1"/>
    <s v="ANGUS NEGRO"/>
    <x v="78"/>
    <s v="15-09-2015"/>
    <s v="Vivo"/>
    <x v="0"/>
    <s v="11.1.01.0893"/>
    <s v="11.1.01.0893"/>
    <x v="0"/>
    <m/>
  </r>
  <r>
    <n v="11793309"/>
    <m/>
    <m/>
    <m/>
    <m/>
    <d v="2022-12-28T00:00:00"/>
    <d v="2023-11-17T00:00:00"/>
    <m/>
    <m/>
    <s v="H"/>
    <x v="1"/>
    <s v="ANGUS ROJO"/>
    <x v="72"/>
    <s v="15-10-2015"/>
    <s v="Vivo"/>
    <x v="0"/>
    <s v="11.1.01.0893"/>
    <s v="11.1.01.0893"/>
    <x v="0"/>
    <m/>
  </r>
  <r>
    <n v="11793314"/>
    <m/>
    <m/>
    <m/>
    <m/>
    <d v="2022-12-28T00:00:00"/>
    <d v="2023-11-17T00:00:00"/>
    <m/>
    <m/>
    <s v="M"/>
    <x v="3"/>
    <s v="ANGUS NEGRO"/>
    <x v="78"/>
    <s v="15-09-2015"/>
    <s v="Vivo"/>
    <x v="0"/>
    <s v="11.1.01.0893"/>
    <s v="11.1.01.0893"/>
    <x v="0"/>
    <m/>
  </r>
  <r>
    <n v="11793315"/>
    <m/>
    <m/>
    <m/>
    <m/>
    <d v="2022-12-28T00:00:00"/>
    <d v="2023-11-17T00:00:00"/>
    <m/>
    <m/>
    <s v="H"/>
    <x v="1"/>
    <s v="ANGUS NEGRO"/>
    <x v="78"/>
    <s v="15-09-2015"/>
    <s v="Vivo"/>
    <x v="0"/>
    <s v="11.1.01.1022"/>
    <s v="11.1.01.0893"/>
    <x v="0"/>
    <m/>
  </r>
  <r>
    <n v="11793318"/>
    <m/>
    <m/>
    <m/>
    <m/>
    <d v="2022-12-28T00:00:00"/>
    <d v="2023-11-09T00:00:00"/>
    <m/>
    <m/>
    <s v="H"/>
    <x v="1"/>
    <s v="ANGUS NEGRO"/>
    <x v="72"/>
    <s v="15-10-2015"/>
    <s v="Vivo"/>
    <x v="3"/>
    <s v="11.2.01.0053"/>
    <s v="11.1.01.0893"/>
    <x v="0"/>
    <m/>
  </r>
  <r>
    <n v="11793335"/>
    <m/>
    <m/>
    <m/>
    <m/>
    <d v="2022-12-28T00:00:00"/>
    <d v="2023-11-09T00:00:00"/>
    <m/>
    <m/>
    <s v="M"/>
    <x v="3"/>
    <s v="ANGUS NEGRO"/>
    <x v="62"/>
    <s v="30-12-2015"/>
    <s v="Vivo"/>
    <x v="3"/>
    <s v="Sin Movimiento"/>
    <s v="11.1.01.0893"/>
    <x v="0"/>
    <m/>
  </r>
  <r>
    <n v="12602008"/>
    <m/>
    <m/>
    <m/>
    <m/>
    <d v="2022-12-28T00:00:00"/>
    <d v="2023-11-17T00:00:00"/>
    <m/>
    <m/>
    <s v="H"/>
    <x v="1"/>
    <s v="ANGUS NEGRO"/>
    <x v="72"/>
    <s v="30-09-2015"/>
    <s v="Vivo"/>
    <x v="0"/>
    <s v="11.1.01.0893"/>
    <s v="11.1.01.1081"/>
    <x v="0"/>
    <m/>
  </r>
  <r>
    <n v="12602020"/>
    <m/>
    <m/>
    <m/>
    <m/>
    <d v="2022-12-28T00:00:00"/>
    <d v="2023-11-09T00:00:00"/>
    <m/>
    <m/>
    <s v="H"/>
    <x v="1"/>
    <s v="ANGUS ROJO"/>
    <x v="72"/>
    <s v="30-09-2015"/>
    <s v="Vivo"/>
    <x v="0"/>
    <s v="11.1.01.0791"/>
    <s v="11.1.01.1081"/>
    <x v="0"/>
    <m/>
  </r>
  <r>
    <n v="12602027"/>
    <m/>
    <m/>
    <m/>
    <m/>
    <d v="2022-12-28T00:00:00"/>
    <d v="2023-11-09T00:00:00"/>
    <m/>
    <m/>
    <s v="H"/>
    <x v="1"/>
    <s v="ANGUS ROJO"/>
    <x v="72"/>
    <s v="10-10-2015"/>
    <s v="Vivo"/>
    <x v="4"/>
    <s v="11.1.01.0893"/>
    <s v="11.1.01.1081"/>
    <x v="0"/>
    <m/>
  </r>
  <r>
    <n v="12602038"/>
    <m/>
    <m/>
    <m/>
    <m/>
    <m/>
    <m/>
    <m/>
    <m/>
    <s v="H"/>
    <x v="1"/>
    <s v="LIMOUSIN"/>
    <x v="72"/>
    <s v="30-09-2015"/>
    <s v="Vivo"/>
    <x v="0"/>
    <s v="11.2.01.0038"/>
    <s v="11.1.01.1081"/>
    <x v="0"/>
    <m/>
  </r>
  <r>
    <n v="12602039"/>
    <m/>
    <m/>
    <m/>
    <m/>
    <d v="2022-12-28T00:00:00"/>
    <d v="2023-11-17T00:00:00"/>
    <d v="2024-01-06T00:00:00"/>
    <m/>
    <s v="H"/>
    <x v="1"/>
    <s v="ANGUS ROJO"/>
    <x v="72"/>
    <s v="30-09-2015"/>
    <s v="Vivo"/>
    <x v="4"/>
    <s v="11.1.01.0893"/>
    <s v="11.1.01.1081"/>
    <x v="0"/>
    <m/>
  </r>
  <r>
    <n v="12602046"/>
    <m/>
    <m/>
    <m/>
    <m/>
    <d v="2022-12-28T00:00:00"/>
    <d v="2023-11-09T00:00:00"/>
    <m/>
    <m/>
    <s v="H"/>
    <x v="1"/>
    <s v="ANGUS NEGRO"/>
    <x v="72"/>
    <s v="30-09-2015"/>
    <s v="Vivo"/>
    <x v="0"/>
    <s v="11.2.01.0038"/>
    <s v="11.1.01.1081"/>
    <x v="0"/>
    <m/>
  </r>
  <r>
    <n v="12602053"/>
    <m/>
    <m/>
    <m/>
    <m/>
    <d v="2022-12-28T00:00:00"/>
    <d v="2023-11-09T00:00:00"/>
    <d v="2024-01-06T00:00:00"/>
    <m/>
    <s v="H"/>
    <x v="1"/>
    <s v="ANGUS NEGRO"/>
    <x v="72"/>
    <s v="30-09-2015"/>
    <s v="Vivo"/>
    <x v="4"/>
    <s v="11.1.01.0893"/>
    <s v="11.1.01.1081"/>
    <x v="0"/>
    <m/>
  </r>
  <r>
    <n v="12602061"/>
    <m/>
    <m/>
    <m/>
    <m/>
    <d v="2022-12-28T00:00:00"/>
    <d v="2023-11-09T00:00:00"/>
    <m/>
    <m/>
    <s v="H"/>
    <x v="1"/>
    <s v="ANGUS NEGRO"/>
    <x v="72"/>
    <s v="30-09-2015"/>
    <s v="Vivo"/>
    <x v="0"/>
    <s v="11.1.01.0893"/>
    <s v="11.1.01.1081"/>
    <x v="0"/>
    <m/>
  </r>
  <r>
    <n v="12602064"/>
    <m/>
    <m/>
    <m/>
    <m/>
    <d v="2022-12-28T00:00:00"/>
    <d v="2023-11-17T00:00:00"/>
    <d v="2024-12-22T00:00:00"/>
    <d v="2025-11-04T00:00:00"/>
    <s v="H"/>
    <x v="1"/>
    <s v="ANGUS NEGRO"/>
    <x v="72"/>
    <s v="20-09-2015"/>
    <s v="Vivo"/>
    <x v="10"/>
    <s v="11.1.01.0190"/>
    <s v="11.1.01.1081"/>
    <x v="0"/>
    <m/>
  </r>
  <r>
    <n v="12602088"/>
    <m/>
    <m/>
    <m/>
    <m/>
    <d v="2022-12-28T00:00:00"/>
    <d v="2023-11-09T00:00:00"/>
    <m/>
    <m/>
    <s v="H"/>
    <x v="1"/>
    <s v="ANGUS NEGRO"/>
    <x v="78"/>
    <s v="15-09-2015"/>
    <s v="Vivo"/>
    <x v="4"/>
    <s v="11.1.01.0893"/>
    <s v="11.1.01.1081"/>
    <x v="0"/>
    <m/>
  </r>
  <r>
    <n v="12602095"/>
    <m/>
    <m/>
    <m/>
    <m/>
    <d v="2022-12-28T00:00:00"/>
    <d v="2023-11-09T00:00:00"/>
    <d v="2024-01-06T00:00:00"/>
    <m/>
    <s v="H"/>
    <x v="1"/>
    <s v="ANGUS ROJO"/>
    <x v="72"/>
    <s v="30-09-2015"/>
    <s v="Vivo"/>
    <x v="5"/>
    <s v="11.1.01.0893"/>
    <s v="11.1.01.1081"/>
    <x v="0"/>
    <m/>
  </r>
  <r>
    <n v="12602113"/>
    <m/>
    <m/>
    <m/>
    <m/>
    <d v="2022-12-28T00:00:00"/>
    <d v="2023-11-09T00:00:00"/>
    <m/>
    <m/>
    <s v="H"/>
    <x v="1"/>
    <s v="ANGUS NEGRO"/>
    <x v="72"/>
    <s v="15-10-2015"/>
    <s v="Vivo"/>
    <x v="5"/>
    <s v="11.1.01.0893"/>
    <s v="11.2.01.2071"/>
    <x v="0"/>
    <m/>
  </r>
  <r>
    <n v="12602144"/>
    <m/>
    <m/>
    <m/>
    <m/>
    <d v="2022-12-28T00:00:00"/>
    <d v="2023-11-09T00:00:00"/>
    <m/>
    <m/>
    <s v="H"/>
    <x v="1"/>
    <s v="LIMOUSIN"/>
    <x v="61"/>
    <s v="30-10-2015"/>
    <s v="Vivo"/>
    <x v="0"/>
    <s v="11.1.01.0893"/>
    <s v="11.2.01.2071"/>
    <x v="0"/>
    <m/>
  </r>
  <r>
    <n v="12602152"/>
    <m/>
    <m/>
    <m/>
    <m/>
    <m/>
    <d v="2023-06-23T00:00:00"/>
    <d v="2024-12-22T00:00:00"/>
    <d v="2025-11-04T00:00:00"/>
    <s v="H"/>
    <x v="1"/>
    <s v="LIMOUSIN"/>
    <x v="72"/>
    <s v="30-09-2015"/>
    <s v="Vivo"/>
    <x v="10"/>
    <s v="11.1.01.0190"/>
    <s v="11.2.01.2071"/>
    <x v="0"/>
    <m/>
  </r>
  <r>
    <n v="12602155"/>
    <m/>
    <m/>
    <m/>
    <m/>
    <d v="2022-08-06T00:00:00"/>
    <d v="2023-12-04T00:00:00"/>
    <m/>
    <m/>
    <s v="H"/>
    <x v="1"/>
    <s v="ANGUS NEGRO"/>
    <x v="72"/>
    <s v="10-10-2015"/>
    <s v="Vivo"/>
    <x v="4"/>
    <s v="11.1.01.0893"/>
    <s v="11.2.01.2071"/>
    <x v="0"/>
    <m/>
  </r>
  <r>
    <n v="12602172"/>
    <m/>
    <m/>
    <m/>
    <m/>
    <m/>
    <m/>
    <m/>
    <m/>
    <s v="H"/>
    <x v="1"/>
    <s v="ANGUS NEGRO"/>
    <x v="78"/>
    <s v="15-09-2015"/>
    <s v="Vivo"/>
    <x v="0"/>
    <s v="11.1.01.0791"/>
    <s v="11.2.01.0038"/>
    <x v="0"/>
    <m/>
  </r>
  <r>
    <n v="12602174"/>
    <m/>
    <m/>
    <m/>
    <m/>
    <d v="2022-12-28T00:00:00"/>
    <d v="2023-11-09T00:00:00"/>
    <m/>
    <m/>
    <s v="H"/>
    <x v="1"/>
    <s v="HEREFORD"/>
    <x v="61"/>
    <s v="05-11-2015"/>
    <s v="Vivo"/>
    <x v="0"/>
    <s v="11.1.01.0791"/>
    <s v="11.2.01.0038"/>
    <x v="0"/>
    <m/>
  </r>
  <r>
    <n v="12602181"/>
    <m/>
    <m/>
    <m/>
    <m/>
    <d v="2022-12-28T00:00:00"/>
    <d v="2023-11-09T00:00:00"/>
    <m/>
    <m/>
    <s v="H"/>
    <x v="1"/>
    <s v="ANGUS NEGRO"/>
    <x v="78"/>
    <s v="10-09-2015"/>
    <s v="Vivo"/>
    <x v="0"/>
    <s v="11.2.01.0038"/>
    <s v="11.2.01.0038"/>
    <x v="0"/>
    <m/>
  </r>
  <r>
    <n v="12602190"/>
    <m/>
    <m/>
    <m/>
    <m/>
    <d v="2022-12-28T00:00:00"/>
    <d v="2023-11-17T00:00:00"/>
    <m/>
    <m/>
    <s v="H"/>
    <x v="1"/>
    <s v="ANGUS NEGRO"/>
    <x v="78"/>
    <s v="10-09-2015"/>
    <s v="Vivo"/>
    <x v="0"/>
    <s v="11.2.01.0038"/>
    <s v="11.2.01.0038"/>
    <x v="0"/>
    <m/>
  </r>
  <r>
    <n v="12602203"/>
    <m/>
    <m/>
    <m/>
    <m/>
    <d v="2022-12-28T00:00:00"/>
    <d v="2023-11-09T00:00:00"/>
    <m/>
    <m/>
    <s v="H"/>
    <x v="1"/>
    <s v="ANGUS NEGRO"/>
    <x v="78"/>
    <s v="15-09-2015"/>
    <s v="Vivo"/>
    <x v="0"/>
    <s v="11.2.01.0038"/>
    <s v="11.2.01.0038"/>
    <x v="0"/>
    <m/>
  </r>
  <r>
    <n v="12602210"/>
    <m/>
    <m/>
    <m/>
    <m/>
    <m/>
    <m/>
    <m/>
    <m/>
    <s v="M"/>
    <x v="3"/>
    <s v="ANGUS NEGRO"/>
    <x v="72"/>
    <s v="30-09-2015"/>
    <s v="Vivo"/>
    <x v="0"/>
    <s v="11.2.01.0038"/>
    <s v="11.2.01.0038"/>
    <x v="0"/>
    <m/>
  </r>
  <r>
    <n v="12602218"/>
    <m/>
    <m/>
    <m/>
    <m/>
    <d v="2022-12-28T00:00:00"/>
    <d v="2023-11-17T00:00:00"/>
    <m/>
    <m/>
    <s v="H"/>
    <x v="1"/>
    <s v="ANGUS NEGRO"/>
    <x v="78"/>
    <s v="10-09-2015"/>
    <s v="Vivo"/>
    <x v="4"/>
    <s v="Sin Movimiento"/>
    <s v="11.2.01.0038"/>
    <x v="0"/>
    <m/>
  </r>
  <r>
    <n v="12602228"/>
    <m/>
    <m/>
    <m/>
    <m/>
    <d v="2022-12-28T00:00:00"/>
    <d v="2023-11-09T00:00:00"/>
    <d v="2024-01-06T00:00:00"/>
    <m/>
    <s v="H"/>
    <x v="1"/>
    <s v="ANGUS NEGRO"/>
    <x v="78"/>
    <s v="10-09-2015"/>
    <s v="Vivo"/>
    <x v="4"/>
    <s v="11.1.01.0893"/>
    <s v="11.2.01.0038"/>
    <x v="0"/>
    <m/>
  </r>
  <r>
    <n v="12602233"/>
    <m/>
    <m/>
    <m/>
    <m/>
    <m/>
    <m/>
    <m/>
    <m/>
    <s v="M"/>
    <x v="3"/>
    <s v="ANGUS NEGRO"/>
    <x v="72"/>
    <s v="30-09-2015"/>
    <s v="Vivo"/>
    <x v="0"/>
    <s v="11.2.01.0038"/>
    <s v="11.2.01.0038"/>
    <x v="0"/>
    <m/>
  </r>
  <r>
    <n v="12602236"/>
    <m/>
    <m/>
    <m/>
    <m/>
    <m/>
    <m/>
    <d v="2024-01-06T00:00:00"/>
    <m/>
    <s v="H"/>
    <x v="1"/>
    <s v="ANGUS NEGRO"/>
    <x v="51"/>
    <s v="30-09-2014"/>
    <s v="Vivo"/>
    <x v="4"/>
    <s v="11.1.01.0893"/>
    <s v="11.2.01.0038"/>
    <x v="0"/>
    <m/>
  </r>
  <r>
    <n v="12602237"/>
    <m/>
    <m/>
    <m/>
    <m/>
    <d v="2022-12-28T00:00:00"/>
    <d v="2023-11-09T00:00:00"/>
    <m/>
    <m/>
    <s v="H"/>
    <x v="1"/>
    <s v="ANGUS NEGRO"/>
    <x v="51"/>
    <s v="30-09-2014"/>
    <s v="Vivo"/>
    <x v="0"/>
    <s v="11.2.01.0038"/>
    <s v="11.1.01.0791"/>
    <x v="0"/>
    <m/>
  </r>
  <r>
    <n v="12602239"/>
    <m/>
    <m/>
    <m/>
    <m/>
    <d v="2022-12-28T00:00:00"/>
    <d v="2023-11-17T00:00:00"/>
    <m/>
    <m/>
    <s v="no existe"/>
    <x v="2"/>
    <s v="no existe"/>
    <x v="4"/>
    <s v="no existe"/>
    <s v="no existe"/>
    <x v="1"/>
    <s v="no existe"/>
    <s v="no existe"/>
    <x v="1"/>
    <m/>
  </r>
  <r>
    <n v="12602247"/>
    <m/>
    <m/>
    <m/>
    <m/>
    <d v="2022-12-28T00:00:00"/>
    <d v="2023-11-17T00:00:00"/>
    <m/>
    <m/>
    <s v="H"/>
    <x v="1"/>
    <s v="ANGUS NEGRO"/>
    <x v="61"/>
    <s v="30-10-2015"/>
    <s v="Vivo"/>
    <x v="8"/>
    <s v="11.1.01.1241"/>
    <s v="11.1.01.1241"/>
    <x v="0"/>
    <m/>
  </r>
  <r>
    <n v="12602256"/>
    <m/>
    <m/>
    <m/>
    <m/>
    <d v="2022-12-28T00:00:00"/>
    <d v="2023-11-09T00:00:00"/>
    <m/>
    <m/>
    <s v="M"/>
    <x v="3"/>
    <s v="ANGUS NEGRO"/>
    <x v="72"/>
    <s v="30-09-2015"/>
    <s v="Vivo"/>
    <x v="0"/>
    <s v="Sin Movimiento"/>
    <s v="11.1.01.1241"/>
    <x v="0"/>
    <m/>
  </r>
  <r>
    <n v="12602264"/>
    <m/>
    <m/>
    <m/>
    <m/>
    <d v="2022-12-28T00:00:00"/>
    <d v="2023-11-09T00:00:00"/>
    <m/>
    <m/>
    <s v="M"/>
    <x v="3"/>
    <s v="ANGUS NEGRO"/>
    <x v="63"/>
    <s v="30-11-2015"/>
    <s v="Vivo"/>
    <x v="0"/>
    <s v="Sin Movimiento"/>
    <s v="11.1.01.1241"/>
    <x v="0"/>
    <m/>
  </r>
  <r>
    <n v="12602266"/>
    <m/>
    <m/>
    <m/>
    <m/>
    <d v="2022-12-28T00:00:00"/>
    <d v="2023-11-09T00:00:00"/>
    <m/>
    <m/>
    <s v="M"/>
    <x v="3"/>
    <s v="LIMOUSIN"/>
    <x v="76"/>
    <s v="30-06-2015"/>
    <s v="Vivo"/>
    <x v="0"/>
    <s v="Sin Movimiento"/>
    <s v="11.1.01.1241"/>
    <x v="0"/>
    <m/>
  </r>
  <r>
    <n v="12602273"/>
    <m/>
    <m/>
    <m/>
    <m/>
    <d v="2022-12-28T00:00:00"/>
    <d v="2023-11-09T00:00:00"/>
    <d v="2024-01-06T00:00:00"/>
    <m/>
    <s v="H"/>
    <x v="1"/>
    <s v="ANGUS NEGRO"/>
    <x v="61"/>
    <s v="30-10-2015"/>
    <s v="Vivo"/>
    <x v="5"/>
    <s v="11.1.01.0893"/>
    <s v="11.1.01.0893"/>
    <x v="0"/>
    <m/>
  </r>
  <r>
    <n v="12602322"/>
    <m/>
    <m/>
    <m/>
    <m/>
    <d v="2022-12-28T00:00:00"/>
    <d v="2023-11-09T00:00:00"/>
    <d v="2024-01-06T00:00:00"/>
    <m/>
    <s v="H"/>
    <x v="1"/>
    <s v="ANGUS NEGRO"/>
    <x v="79"/>
    <s v="15-10-2016"/>
    <s v="Vivo"/>
    <x v="5"/>
    <s v="11.1.01.0893"/>
    <s v="11.1.01.1241"/>
    <x v="0"/>
    <m/>
  </r>
  <r>
    <n v="12602337"/>
    <m/>
    <m/>
    <m/>
    <m/>
    <d v="2022-12-28T00:00:00"/>
    <d v="2023-11-09T00:00:00"/>
    <d v="2024-01-06T00:00:00"/>
    <d v="2025-07-10T00:00:00"/>
    <s v="H"/>
    <x v="1"/>
    <s v="ANGUS ROJO"/>
    <x v="79"/>
    <s v="15-10-2016"/>
    <s v="Vivo"/>
    <x v="4"/>
    <s v="11.1.01.0893"/>
    <s v="11.1.01.1241"/>
    <x v="0"/>
    <m/>
  </r>
  <r>
    <n v="12602338"/>
    <m/>
    <m/>
    <m/>
    <m/>
    <d v="2022-12-28T00:00:00"/>
    <d v="2023-11-17T00:00:00"/>
    <m/>
    <m/>
    <s v="H"/>
    <x v="1"/>
    <s v="ANGUS NEGRO"/>
    <x v="79"/>
    <s v="15-10-2016"/>
    <s v="Vivo"/>
    <x v="4"/>
    <s v="11.1.01.0893"/>
    <s v="11.1.01.1241"/>
    <x v="0"/>
    <m/>
  </r>
  <r>
    <n v="12602339"/>
    <m/>
    <m/>
    <m/>
    <m/>
    <d v="2022-12-28T00:00:00"/>
    <d v="2023-11-17T00:00:00"/>
    <m/>
    <m/>
    <s v="M"/>
    <x v="3"/>
    <s v="OVERO COLORADO (CLAVEL ALEMAN)"/>
    <x v="79"/>
    <s v="15-10-2016"/>
    <s v="Vivo"/>
    <x v="3"/>
    <s v="11.1.01.1081"/>
    <s v="11.1.01.1241"/>
    <x v="0"/>
    <m/>
  </r>
  <r>
    <n v="12602340"/>
    <m/>
    <m/>
    <m/>
    <m/>
    <d v="2022-12-28T00:00:00"/>
    <d v="2023-11-17T00:00:00"/>
    <m/>
    <m/>
    <s v="H"/>
    <x v="1"/>
    <s v="ANGUS NEGRO"/>
    <x v="79"/>
    <s v="15-10-2016"/>
    <s v="Vivo"/>
    <x v="4"/>
    <s v="11.1.01.0893"/>
    <s v="11.1.01.1241"/>
    <x v="0"/>
    <m/>
  </r>
  <r>
    <n v="12602350"/>
    <m/>
    <m/>
    <m/>
    <m/>
    <d v="2022-12-28T00:00:00"/>
    <d v="2023-11-09T00:00:00"/>
    <m/>
    <m/>
    <s v="H"/>
    <x v="1"/>
    <s v="ANGUS NEGRO"/>
    <x v="79"/>
    <s v="15-10-2016"/>
    <s v="Vivo"/>
    <x v="0"/>
    <s v="11.1.01.0893"/>
    <s v="11.1.01.1241"/>
    <x v="0"/>
    <m/>
  </r>
  <r>
    <n v="12602351"/>
    <m/>
    <m/>
    <m/>
    <m/>
    <d v="2022-12-28T00:00:00"/>
    <d v="2023-11-09T00:00:00"/>
    <m/>
    <m/>
    <s v="H"/>
    <x v="1"/>
    <s v="ANGUS NEGRO"/>
    <x v="79"/>
    <s v="15-10-2016"/>
    <s v="Vivo"/>
    <x v="0"/>
    <s v="11.1.01.0791"/>
    <s v="11.1.01.1241"/>
    <x v="0"/>
    <m/>
  </r>
  <r>
    <n v="12602352"/>
    <m/>
    <m/>
    <m/>
    <m/>
    <d v="2022-07-15T00:00:00"/>
    <m/>
    <m/>
    <m/>
    <s v="M"/>
    <x v="3"/>
    <s v="ANGUS NEGRO"/>
    <x v="79"/>
    <s v="15-10-2016"/>
    <s v="Vivo"/>
    <x v="0"/>
    <s v="Sin Movimiento"/>
    <s v="11.1.01.1241"/>
    <x v="0"/>
    <m/>
  </r>
  <r>
    <n v="12602357"/>
    <m/>
    <m/>
    <m/>
    <m/>
    <d v="2022-12-28T00:00:00"/>
    <d v="2023-11-17T00:00:00"/>
    <m/>
    <m/>
    <s v="M"/>
    <x v="3"/>
    <s v="ANGUS NEGRO"/>
    <x v="79"/>
    <s v="15-10-2016"/>
    <s v="Vivo"/>
    <x v="0"/>
    <s v="Sin Movimiento"/>
    <s v="11.1.01.1241"/>
    <x v="0"/>
    <m/>
  </r>
  <r>
    <n v="12602362"/>
    <m/>
    <m/>
    <m/>
    <m/>
    <d v="2022-12-28T00:00:00"/>
    <d v="2023-11-09T00:00:00"/>
    <m/>
    <m/>
    <s v="M"/>
    <x v="3"/>
    <s v="ANGUS ROJO"/>
    <x v="79"/>
    <s v="15-10-2016"/>
    <s v="Vivo"/>
    <x v="3"/>
    <s v="11.1.01.1081"/>
    <s v="11.1.01.1241"/>
    <x v="0"/>
    <m/>
  </r>
  <r>
    <n v="12602368"/>
    <m/>
    <m/>
    <m/>
    <m/>
    <d v="2022-12-28T00:00:00"/>
    <d v="2023-11-09T00:00:00"/>
    <d v="2024-12-22T00:00:00"/>
    <d v="2025-01-14T00:00:00"/>
    <s v="H"/>
    <x v="1"/>
    <s v="ANGUS NEGRO"/>
    <x v="79"/>
    <s v="15-10-2016"/>
    <s v="Vivo"/>
    <x v="0"/>
    <s v="11.1.01.0893"/>
    <s v="11.1.01.1241"/>
    <x v="0"/>
    <m/>
  </r>
  <r>
    <n v="12602387"/>
    <m/>
    <m/>
    <m/>
    <m/>
    <d v="2022-12-28T00:00:00"/>
    <d v="2023-11-09T00:00:00"/>
    <m/>
    <m/>
    <s v="H"/>
    <x v="1"/>
    <s v="ANGUS NEGRO"/>
    <x v="79"/>
    <s v="15-10-2016"/>
    <s v="Vivo"/>
    <x v="0"/>
    <s v="11.2.01.0038"/>
    <s v="11.1.01.1241"/>
    <x v="0"/>
    <m/>
  </r>
  <r>
    <n v="12602396"/>
    <m/>
    <m/>
    <m/>
    <m/>
    <d v="2022-12-28T00:00:00"/>
    <d v="2023-11-09T00:00:00"/>
    <m/>
    <m/>
    <s v="M"/>
    <x v="3"/>
    <s v="ANGUS NEGRO"/>
    <x v="79"/>
    <s v="15-10-2016"/>
    <s v="Vivo"/>
    <x v="0"/>
    <s v="Sin Movimiento"/>
    <s v="11.1.01.1241"/>
    <x v="0"/>
    <m/>
  </r>
  <r>
    <n v="14717713"/>
    <m/>
    <m/>
    <m/>
    <m/>
    <d v="2022-12-28T00:00:00"/>
    <d v="2023-11-09T00:00:00"/>
    <d v="2024-12-22T00:00:00"/>
    <d v="2025-11-04T00:00:00"/>
    <s v="H"/>
    <x v="1"/>
    <s v="ANGUS NEGRO"/>
    <x v="79"/>
    <s v="15-10-2016"/>
    <s v="Vivo"/>
    <x v="7"/>
    <s v="11.1.01.1241"/>
    <s v="11.1.01.1241"/>
    <x v="0"/>
    <m/>
  </r>
  <r>
    <n v="14717718"/>
    <m/>
    <m/>
    <m/>
    <m/>
    <d v="2022-12-28T00:00:00"/>
    <d v="2023-11-17T00:00:00"/>
    <m/>
    <m/>
    <s v="H"/>
    <x v="1"/>
    <s v="ANGUS ROJO"/>
    <x v="79"/>
    <s v="15-10-2016"/>
    <s v="Vivo"/>
    <x v="0"/>
    <s v="Sin Movimiento"/>
    <s v="11.1.01.1241"/>
    <x v="0"/>
    <m/>
  </r>
  <r>
    <n v="14717723"/>
    <m/>
    <m/>
    <m/>
    <m/>
    <d v="2022-12-28T00:00:00"/>
    <d v="2023-11-09T00:00:00"/>
    <m/>
    <m/>
    <s v="M"/>
    <x v="3"/>
    <s v="ANGUS ROJO"/>
    <x v="79"/>
    <s v="15-10-2016"/>
    <s v="Vivo"/>
    <x v="3"/>
    <s v="11.1.01.1081"/>
    <s v="11.1.01.1241"/>
    <x v="0"/>
    <m/>
  </r>
  <r>
    <n v="14717727"/>
    <m/>
    <m/>
    <m/>
    <m/>
    <d v="2022-12-28T00:00:00"/>
    <d v="2023-11-09T00:00:00"/>
    <d v="2024-01-06T00:00:00"/>
    <m/>
    <s v="H"/>
    <x v="1"/>
    <s v="ANGUS NEGRO"/>
    <x v="79"/>
    <s v="15-10-2016"/>
    <s v="Vivo"/>
    <x v="4"/>
    <s v="11.1.01.0893"/>
    <s v="11.1.01.1241"/>
    <x v="0"/>
    <m/>
  </r>
  <r>
    <n v="14717733"/>
    <m/>
    <m/>
    <m/>
    <m/>
    <d v="2022-12-28T00:00:00"/>
    <d v="2023-11-17T00:00:00"/>
    <m/>
    <m/>
    <s v="H"/>
    <x v="1"/>
    <s v="ANGUS ROJO"/>
    <x v="79"/>
    <s v="15-10-2016"/>
    <s v="Vivo"/>
    <x v="0"/>
    <s v="11.2.01.0038"/>
    <s v="11.1.01.1241"/>
    <x v="0"/>
    <m/>
  </r>
  <r>
    <n v="14717734"/>
    <m/>
    <m/>
    <m/>
    <m/>
    <d v="2022-12-28T00:00:00"/>
    <d v="2023-11-17T00:00:00"/>
    <m/>
    <m/>
    <s v="H"/>
    <x v="1"/>
    <s v="ANGUS NEGRO"/>
    <x v="79"/>
    <s v="15-10-2016"/>
    <s v="Vivo"/>
    <x v="0"/>
    <s v="11.2.01.0038"/>
    <s v="11.1.01.1241"/>
    <x v="0"/>
    <m/>
  </r>
  <r>
    <n v="14717738"/>
    <m/>
    <m/>
    <m/>
    <m/>
    <d v="2022-12-28T00:00:00"/>
    <d v="2023-11-09T00:00:00"/>
    <m/>
    <m/>
    <s v="H"/>
    <x v="1"/>
    <s v="ANGUS ROJO"/>
    <x v="79"/>
    <s v="15-10-2016"/>
    <s v="Vivo"/>
    <x v="0"/>
    <s v="11.1.01.0893"/>
    <s v="11.1.01.0893"/>
    <x v="0"/>
    <m/>
  </r>
  <r>
    <n v="14717740"/>
    <m/>
    <m/>
    <m/>
    <m/>
    <d v="2022-12-28T00:00:00"/>
    <d v="2023-08-04T00:00:00"/>
    <d v="2024-01-06T00:00:00"/>
    <m/>
    <s v="H"/>
    <x v="1"/>
    <s v="ANGUS NEGRO"/>
    <x v="79"/>
    <s v="15-10-2016"/>
    <s v="Vivo"/>
    <x v="4"/>
    <s v="11.1.01.0893"/>
    <s v="11.1.01.0893"/>
    <x v="0"/>
    <m/>
  </r>
  <r>
    <n v="14717745"/>
    <m/>
    <m/>
    <m/>
    <m/>
    <m/>
    <m/>
    <m/>
    <m/>
    <s v="H"/>
    <x v="1"/>
    <s v="ANGUS NEGRO"/>
    <x v="79"/>
    <s v="15-10-2016"/>
    <s v="Vivo"/>
    <x v="0"/>
    <s v="11.1.01.0893"/>
    <s v="11.1.01.0893"/>
    <x v="0"/>
    <m/>
  </r>
  <r>
    <n v="14717748"/>
    <m/>
    <m/>
    <m/>
    <m/>
    <d v="2022-12-28T00:00:00"/>
    <d v="2023-11-09T00:00:00"/>
    <d v="2024-12-22T00:00:00"/>
    <d v="2025-11-04T00:00:00"/>
    <s v="H"/>
    <x v="1"/>
    <s v="ANGUS NEGRO"/>
    <x v="79"/>
    <s v="15-10-2016"/>
    <s v="Vivo"/>
    <x v="8"/>
    <s v="11.1.01.0190"/>
    <s v="11.1.01.0893"/>
    <x v="0"/>
    <m/>
  </r>
  <r>
    <n v="14717764"/>
    <m/>
    <m/>
    <m/>
    <m/>
    <d v="2022-12-28T00:00:00"/>
    <d v="2023-11-17T00:00:00"/>
    <d v="2024-05-20T00:00:00"/>
    <d v="2025-01-14T00:00:00"/>
    <s v="no existe"/>
    <x v="2"/>
    <s v="no existe"/>
    <x v="4"/>
    <s v="no existe"/>
    <s v="no existe"/>
    <x v="1"/>
    <s v="no existe"/>
    <s v="no existe"/>
    <x v="1"/>
    <m/>
  </r>
  <r>
    <n v="14717778"/>
    <m/>
    <m/>
    <m/>
    <m/>
    <d v="2022-12-28T00:00:00"/>
    <d v="2023-11-09T00:00:00"/>
    <m/>
    <m/>
    <s v="H"/>
    <x v="1"/>
    <s v="ANGUS NEGRO"/>
    <x v="79"/>
    <s v="15-10-2016"/>
    <s v="Vivo"/>
    <x v="3"/>
    <s v="11.2.01.0053"/>
    <s v="11.1.01.0893"/>
    <x v="0"/>
    <m/>
  </r>
  <r>
    <n v="14717781"/>
    <m/>
    <m/>
    <m/>
    <m/>
    <m/>
    <m/>
    <m/>
    <m/>
    <s v="H"/>
    <x v="1"/>
    <s v="ANGUS NEGRO"/>
    <x v="79"/>
    <s v="15-10-2016"/>
    <s v="Vivo"/>
    <x v="4"/>
    <s v="11.1.01.1241"/>
    <s v="11.1.01.0893"/>
    <x v="0"/>
    <m/>
  </r>
  <r>
    <n v="14717796"/>
    <m/>
    <m/>
    <m/>
    <m/>
    <d v="2022-12-28T00:00:00"/>
    <d v="2023-11-17T00:00:00"/>
    <m/>
    <m/>
    <s v="H"/>
    <x v="1"/>
    <s v="ANGUS NEGRO"/>
    <x v="79"/>
    <s v="15-10-2016"/>
    <s v="Vivo"/>
    <x v="3"/>
    <s v="11.1.01.0791"/>
    <s v="11.1.01.0893"/>
    <x v="0"/>
    <m/>
  </r>
  <r>
    <n v="14717816"/>
    <m/>
    <m/>
    <m/>
    <m/>
    <d v="2022-12-28T00:00:00"/>
    <d v="2023-11-17T00:00:00"/>
    <m/>
    <m/>
    <s v="H"/>
    <x v="1"/>
    <s v="ANGUS NEGRO"/>
    <x v="79"/>
    <s v="15-10-2016"/>
    <s v="Vivo"/>
    <x v="0"/>
    <s v="11.2.01.0053"/>
    <s v="11.1.01.0893"/>
    <x v="0"/>
    <m/>
  </r>
  <r>
    <n v="14717820"/>
    <m/>
    <m/>
    <m/>
    <m/>
    <d v="2022-12-28T00:00:00"/>
    <d v="2023-11-09T00:00:00"/>
    <m/>
    <m/>
    <s v="H"/>
    <x v="1"/>
    <s v="ANGUS NEGRO"/>
    <x v="79"/>
    <s v="15-10-2016"/>
    <s v="Vivo"/>
    <x v="9"/>
    <s v="11.1.01.1241"/>
    <s v="11.1.01.0893"/>
    <x v="0"/>
    <m/>
  </r>
  <r>
    <n v="14717827"/>
    <m/>
    <m/>
    <m/>
    <m/>
    <d v="2022-12-28T00:00:00"/>
    <d v="2023-11-09T00:00:00"/>
    <m/>
    <m/>
    <s v="H"/>
    <x v="1"/>
    <s v="ANGUS NEGRO"/>
    <x v="79"/>
    <s v="15-10-2016"/>
    <s v="Vivo"/>
    <x v="4"/>
    <s v="11.1.01.1241"/>
    <s v="11.1.01.0893"/>
    <x v="0"/>
    <m/>
  </r>
  <r>
    <n v="14717834"/>
    <m/>
    <m/>
    <m/>
    <m/>
    <m/>
    <m/>
    <m/>
    <m/>
    <s v="M"/>
    <x v="3"/>
    <s v="LIMOUSIN"/>
    <x v="79"/>
    <s v="15-10-2016"/>
    <s v="Vivo"/>
    <x v="3"/>
    <s v="Sin Movimiento"/>
    <s v="11.1.01.0893"/>
    <x v="0"/>
    <m/>
  </r>
  <r>
    <n v="14717837"/>
    <m/>
    <m/>
    <m/>
    <m/>
    <m/>
    <m/>
    <m/>
    <m/>
    <s v="H"/>
    <x v="1"/>
    <s v="ANGUS NEGRO"/>
    <x v="79"/>
    <s v="15-10-2016"/>
    <s v="Vivo"/>
    <x v="3"/>
    <s v="11.2.01.0053"/>
    <s v="11.1.01.0893"/>
    <x v="0"/>
    <m/>
  </r>
  <r>
    <n v="14717843"/>
    <m/>
    <m/>
    <m/>
    <m/>
    <d v="2022-12-28T00:00:00"/>
    <d v="2023-11-09T00:00:00"/>
    <m/>
    <m/>
    <s v="H"/>
    <x v="1"/>
    <s v="ANGUS NEGRO"/>
    <x v="79"/>
    <s v="15-10-2016"/>
    <s v="Vivo"/>
    <x v="4"/>
    <s v="11.1.01.1241"/>
    <s v="11.2.01.2071"/>
    <x v="0"/>
    <m/>
  </r>
  <r>
    <n v="14717852"/>
    <m/>
    <m/>
    <m/>
    <m/>
    <d v="2022-12-28T00:00:00"/>
    <d v="2023-11-09T00:00:00"/>
    <m/>
    <m/>
    <s v="H"/>
    <x v="1"/>
    <s v="ANGUS NEGRO"/>
    <x v="79"/>
    <s v="15-10-2016"/>
    <s v="Vivo"/>
    <x v="3"/>
    <s v="11.2.01.2071"/>
    <s v="11.2.01.2071"/>
    <x v="0"/>
    <m/>
  </r>
  <r>
    <n v="14717855"/>
    <m/>
    <m/>
    <m/>
    <m/>
    <d v="2022-12-28T00:00:00"/>
    <d v="2023-11-09T00:00:00"/>
    <m/>
    <m/>
    <s v="M"/>
    <x v="3"/>
    <s v="ANGUS NEGRO"/>
    <x v="79"/>
    <s v="15-10-2016"/>
    <s v="Vivo"/>
    <x v="3"/>
    <s v="11.1.01.1081"/>
    <s v="11.2.01.2071"/>
    <x v="0"/>
    <m/>
  </r>
  <r>
    <n v="14717856"/>
    <m/>
    <m/>
    <m/>
    <m/>
    <d v="2022-12-28T00:00:00"/>
    <d v="2023-11-17T00:00:00"/>
    <m/>
    <m/>
    <s v="M"/>
    <x v="3"/>
    <s v="OVERO NEGRO"/>
    <x v="79"/>
    <s v="15-10-2016"/>
    <s v="Vivo"/>
    <x v="3"/>
    <s v="11.2.01.2071"/>
    <s v="11.2.01.2071"/>
    <x v="0"/>
    <m/>
  </r>
  <r>
    <n v="14717858"/>
    <m/>
    <m/>
    <m/>
    <m/>
    <d v="2022-12-28T00:00:00"/>
    <d v="2023-11-17T00:00:00"/>
    <m/>
    <m/>
    <s v="M"/>
    <x v="3"/>
    <s v="ANGUS NEGRO"/>
    <x v="79"/>
    <s v="15-10-2016"/>
    <s v="Vivo"/>
    <x v="3"/>
    <s v="11.2.01.2071"/>
    <s v="11.2.01.2071"/>
    <x v="0"/>
    <m/>
  </r>
  <r>
    <n v="14717863"/>
    <m/>
    <m/>
    <m/>
    <m/>
    <d v="2022-12-28T00:00:00"/>
    <d v="2023-11-17T00:00:00"/>
    <m/>
    <m/>
    <s v="M"/>
    <x v="3"/>
    <s v="ANGUS ROJO"/>
    <x v="79"/>
    <s v="15-10-2016"/>
    <s v="Vivo"/>
    <x v="0"/>
    <s v="11.1.01.1241"/>
    <s v="11.2.01.2071"/>
    <x v="0"/>
    <m/>
  </r>
  <r>
    <n v="14717865"/>
    <m/>
    <m/>
    <m/>
    <m/>
    <d v="2022-12-28T00:00:00"/>
    <d v="2023-11-17T00:00:00"/>
    <m/>
    <m/>
    <s v="H"/>
    <x v="1"/>
    <s v="HEREFORD"/>
    <x v="79"/>
    <s v="15-10-2016"/>
    <s v="Vivo"/>
    <x v="3"/>
    <s v="11.2.01.2071"/>
    <s v="11.2.01.2071"/>
    <x v="0"/>
    <m/>
  </r>
  <r>
    <n v="14717866"/>
    <m/>
    <m/>
    <m/>
    <m/>
    <d v="2022-12-28T00:00:00"/>
    <d v="2023-11-17T00:00:00"/>
    <m/>
    <m/>
    <s v="H"/>
    <x v="1"/>
    <s v="ANGUS NEGRO"/>
    <x v="79"/>
    <s v="15-10-2016"/>
    <s v="Vivo"/>
    <x v="3"/>
    <s v="11.1.01.1081"/>
    <s v="11.2.01.2071"/>
    <x v="0"/>
    <m/>
  </r>
  <r>
    <n v="14717901"/>
    <m/>
    <m/>
    <m/>
    <m/>
    <d v="2022-12-28T00:00:00"/>
    <d v="2023-11-09T00:00:00"/>
    <m/>
    <m/>
    <s v="M"/>
    <x v="3"/>
    <s v="ANGUS NEGRO"/>
    <x v="79"/>
    <s v="15-10-2016"/>
    <s v="Vivo"/>
    <x v="3"/>
    <s v="11.1.01.1081"/>
    <s v="11.1.01.1081"/>
    <x v="0"/>
    <m/>
  </r>
  <r>
    <n v="14717914"/>
    <m/>
    <m/>
    <m/>
    <m/>
    <d v="2022-12-28T00:00:00"/>
    <d v="2023-11-17T00:00:00"/>
    <m/>
    <m/>
    <s v="M"/>
    <x v="3"/>
    <s v="ANGUS NEGRO"/>
    <x v="79"/>
    <s v="15-10-2016"/>
    <s v="Vivo"/>
    <x v="3"/>
    <s v="11.1.01.1081"/>
    <s v="11.1.01.1081"/>
    <x v="0"/>
    <m/>
  </r>
  <r>
    <n v="14717941"/>
    <m/>
    <m/>
    <m/>
    <m/>
    <d v="2022-12-28T00:00:00"/>
    <d v="2023-11-17T00:00:00"/>
    <m/>
    <m/>
    <s v="M"/>
    <x v="3"/>
    <s v="ANGUS ROJO"/>
    <x v="79"/>
    <s v="15-10-2016"/>
    <s v="Vivo"/>
    <x v="3"/>
    <s v="11.1.01.1081"/>
    <s v="11.1.01.1081"/>
    <x v="0"/>
    <m/>
  </r>
  <r>
    <n v="14717949"/>
    <m/>
    <m/>
    <m/>
    <m/>
    <d v="2022-12-28T00:00:00"/>
    <d v="2023-11-09T00:00:00"/>
    <d v="2024-12-22T00:00:00"/>
    <d v="2025-01-14T00:00:00"/>
    <s v="H"/>
    <x v="1"/>
    <s v="ANGUS ROJO"/>
    <x v="79"/>
    <s v="15-10-2016"/>
    <s v="Vivo"/>
    <x v="0"/>
    <s v="11.1.01.0791"/>
    <s v="11.1.01.1081"/>
    <x v="0"/>
    <m/>
  </r>
  <r>
    <n v="14717951"/>
    <m/>
    <m/>
    <m/>
    <m/>
    <d v="2022-12-28T00:00:00"/>
    <d v="2023-11-17T00:00:00"/>
    <m/>
    <m/>
    <s v="H"/>
    <x v="1"/>
    <s v="ANGUS ROJO"/>
    <x v="79"/>
    <s v="15-10-2016"/>
    <s v="Vivo"/>
    <x v="0"/>
    <s v="11.1.01.0893"/>
    <s v="11.1.01.1081"/>
    <x v="0"/>
    <m/>
  </r>
  <r>
    <n v="14717973"/>
    <m/>
    <m/>
    <m/>
    <m/>
    <d v="2022-12-28T00:00:00"/>
    <d v="2023-12-05T00:00:00"/>
    <m/>
    <m/>
    <s v="M"/>
    <x v="3"/>
    <s v="ANGUS NEGRO"/>
    <x v="79"/>
    <s v="15-10-2016"/>
    <s v="Vivo"/>
    <x v="3"/>
    <s v="11.1.01.1081"/>
    <s v="11.1.01.1081"/>
    <x v="0"/>
    <m/>
  </r>
  <r>
    <n v="14717997"/>
    <m/>
    <m/>
    <m/>
    <m/>
    <d v="2022-12-28T00:00:00"/>
    <d v="2023-11-17T00:00:00"/>
    <m/>
    <m/>
    <s v="M"/>
    <x v="3"/>
    <s v="ANGUS NEGRO"/>
    <x v="79"/>
    <s v="15-10-2016"/>
    <s v="Vivo"/>
    <x v="3"/>
    <s v="11.1.01.1081"/>
    <s v="11.1.01.1081"/>
    <x v="0"/>
    <m/>
  </r>
  <r>
    <n v="14718000"/>
    <m/>
    <m/>
    <m/>
    <m/>
    <d v="2022-12-28T00:00:00"/>
    <d v="2023-11-09T00:00:00"/>
    <d v="2024-05-18T00:00:00"/>
    <m/>
    <s v="H"/>
    <x v="1"/>
    <s v="ANGUS NEGRO"/>
    <x v="79"/>
    <s v="15-10-2016"/>
    <s v="Vivo"/>
    <x v="0"/>
    <s v="11.1.01.0870"/>
    <s v="11.1.01.1081"/>
    <x v="0"/>
    <m/>
  </r>
  <r>
    <n v="14718009"/>
    <m/>
    <m/>
    <m/>
    <m/>
    <d v="2022-11-03T00:00:00"/>
    <d v="2023-11-24T00:00:00"/>
    <m/>
    <m/>
    <s v="H"/>
    <x v="1"/>
    <s v="ANGUS ROJO"/>
    <x v="79"/>
    <s v="15-10-2016"/>
    <s v="Vivo"/>
    <x v="3"/>
    <s v="11.1.01.1241"/>
    <s v="11.1.01.1081"/>
    <x v="0"/>
    <m/>
  </r>
  <r>
    <n v="14718016"/>
    <m/>
    <m/>
    <m/>
    <m/>
    <m/>
    <m/>
    <m/>
    <m/>
    <s v="M"/>
    <x v="3"/>
    <s v="ANGUS NEGRO"/>
    <x v="79"/>
    <s v="15-10-2016"/>
    <s v="Vivo"/>
    <x v="3"/>
    <s v="11.1.01.1081"/>
    <s v="11.1.01.1081"/>
    <x v="0"/>
    <m/>
  </r>
  <r>
    <n v="14718030"/>
    <m/>
    <m/>
    <m/>
    <m/>
    <d v="2022-11-18T00:00:00"/>
    <d v="2023-11-28T00:00:00"/>
    <m/>
    <m/>
    <s v="H"/>
    <x v="1"/>
    <s v="ANGUS NEGRO"/>
    <x v="79"/>
    <s v="15-10-2016"/>
    <s v="Vivo"/>
    <x v="0"/>
    <s v="11.1.01.1022"/>
    <s v="11.1.01.1081"/>
    <x v="0"/>
    <m/>
  </r>
  <r>
    <n v="14718038"/>
    <m/>
    <m/>
    <m/>
    <m/>
    <d v="2022-11-18T00:00:00"/>
    <d v="2023-11-24T00:00:00"/>
    <m/>
    <m/>
    <s v="M"/>
    <x v="3"/>
    <s v="ANGUS NEGRO"/>
    <x v="79"/>
    <s v="15-10-2016"/>
    <s v="Vivo"/>
    <x v="3"/>
    <s v="11.1.01.1081"/>
    <s v="11.1.01.1081"/>
    <x v="0"/>
    <m/>
  </r>
  <r>
    <n v="14718044"/>
    <m/>
    <m/>
    <m/>
    <m/>
    <d v="2022-12-28T00:00:00"/>
    <d v="2023-11-09T00:00:00"/>
    <m/>
    <m/>
    <s v="H"/>
    <x v="1"/>
    <s v="ANGUS NEGRO"/>
    <x v="79"/>
    <s v="15-10-2016"/>
    <s v="Vivo"/>
    <x v="4"/>
    <s v="11.1.01.1241"/>
    <s v="11.1.01.1081"/>
    <x v="0"/>
    <m/>
  </r>
  <r>
    <n v="14718054"/>
    <m/>
    <m/>
    <m/>
    <m/>
    <d v="2022-08-06T00:00:00"/>
    <m/>
    <m/>
    <m/>
    <s v="M"/>
    <x v="3"/>
    <s v="ANGUS NEGRO"/>
    <x v="79"/>
    <s v="15-10-2016"/>
    <s v="Vivo"/>
    <x v="3"/>
    <s v="11.1.01.1081"/>
    <s v="11.2.01.0038"/>
    <x v="0"/>
    <m/>
  </r>
  <r>
    <n v="14718055"/>
    <m/>
    <m/>
    <m/>
    <m/>
    <m/>
    <d v="2023-11-23T00:00:00"/>
    <m/>
    <m/>
    <s v="M"/>
    <x v="3"/>
    <s v="ANGUS NEGRO"/>
    <x v="79"/>
    <s v="15-10-2016"/>
    <s v="Vivo"/>
    <x v="3"/>
    <s v="11.1.01.1081"/>
    <s v="11.2.01.0038"/>
    <x v="0"/>
    <m/>
  </r>
  <r>
    <n v="14718061"/>
    <m/>
    <m/>
    <m/>
    <m/>
    <m/>
    <d v="2023-11-23T00:00:00"/>
    <m/>
    <m/>
    <s v="H"/>
    <x v="1"/>
    <s v="ANGUS NEGRO"/>
    <x v="79"/>
    <s v="15-10-2016"/>
    <s v="Vivo"/>
    <x v="3"/>
    <s v="11.1.01.1241"/>
    <s v="11.2.01.0038"/>
    <x v="0"/>
    <m/>
  </r>
  <r>
    <n v="14718062"/>
    <m/>
    <m/>
    <m/>
    <m/>
    <m/>
    <d v="2023-11-24T00:00:00"/>
    <m/>
    <m/>
    <s v="M"/>
    <x v="3"/>
    <s v="ANGUS NEGRO"/>
    <x v="79"/>
    <s v="15-10-2016"/>
    <s v="Vivo"/>
    <x v="4"/>
    <s v="Sin Movimiento"/>
    <s v="11.2.01.0038"/>
    <x v="0"/>
    <m/>
  </r>
  <r>
    <n v="14718064"/>
    <m/>
    <m/>
    <m/>
    <m/>
    <m/>
    <d v="2023-12-05T00:00:00"/>
    <m/>
    <m/>
    <s v="M"/>
    <x v="3"/>
    <s v="ANGUS NEGRO"/>
    <x v="79"/>
    <s v="15-10-2016"/>
    <s v="Vivo"/>
    <x v="3"/>
    <s v="11.1.01.1081"/>
    <s v="11.2.01.0038"/>
    <x v="0"/>
    <m/>
  </r>
  <r>
    <n v="14718071"/>
    <m/>
    <m/>
    <m/>
    <m/>
    <m/>
    <d v="2023-11-24T00:00:00"/>
    <m/>
    <m/>
    <s v="H"/>
    <x v="1"/>
    <s v="ANGUS NEGRO"/>
    <x v="79"/>
    <s v="15-10-2016"/>
    <s v="Vivo"/>
    <x v="0"/>
    <s v="11.1.01.0893"/>
    <s v="11.2.01.0038"/>
    <x v="0"/>
    <m/>
  </r>
  <r>
    <n v="14718072"/>
    <m/>
    <m/>
    <m/>
    <m/>
    <m/>
    <d v="2023-11-24T00:00:00"/>
    <m/>
    <m/>
    <s v="M"/>
    <x v="3"/>
    <s v="ANGUS NEGRO"/>
    <x v="79"/>
    <s v="15-10-2016"/>
    <s v="Vivo"/>
    <x v="3"/>
    <s v="11.1.01.1081"/>
    <s v="11.2.01.0038"/>
    <x v="0"/>
    <m/>
  </r>
  <r>
    <n v="14718076"/>
    <m/>
    <m/>
    <m/>
    <m/>
    <m/>
    <d v="2023-06-15T00:00:00"/>
    <m/>
    <m/>
    <s v="H"/>
    <x v="1"/>
    <s v="ANGUS NEGRO"/>
    <x v="79"/>
    <s v="15-10-2016"/>
    <s v="Vivo"/>
    <x v="0"/>
    <s v="11.2.01.0038"/>
    <s v="11.2.01.0038"/>
    <x v="0"/>
    <m/>
  </r>
  <r>
    <n v="14718078"/>
    <m/>
    <m/>
    <m/>
    <m/>
    <m/>
    <d v="2023-11-24T00:00:00"/>
    <m/>
    <m/>
    <s v="M"/>
    <x v="3"/>
    <s v="ANGUS NEGRO"/>
    <x v="79"/>
    <s v="15-10-2016"/>
    <s v="Vivo"/>
    <x v="3"/>
    <s v="11.1.01.1081"/>
    <s v="11.2.01.0038"/>
    <x v="0"/>
    <m/>
  </r>
  <r>
    <n v="14718081"/>
    <m/>
    <m/>
    <m/>
    <m/>
    <m/>
    <m/>
    <m/>
    <m/>
    <s v="M"/>
    <x v="3"/>
    <s v="ANGUS NEGRO"/>
    <x v="79"/>
    <s v="15-10-2016"/>
    <s v="Vivo"/>
    <x v="3"/>
    <s v="11.1.01.1081"/>
    <s v="11.2.01.0038"/>
    <x v="0"/>
    <m/>
  </r>
  <r>
    <n v="14718083"/>
    <m/>
    <m/>
    <m/>
    <m/>
    <m/>
    <m/>
    <d v="2024-12-22T00:00:00"/>
    <d v="2025-01-14T00:00:00"/>
    <s v="H"/>
    <x v="1"/>
    <s v="ANGUS NEGRO"/>
    <x v="79"/>
    <s v="15-10-2016"/>
    <s v="Vivo"/>
    <x v="0"/>
    <s v="11.1.01.0870"/>
    <s v="11.2.01.0038"/>
    <x v="0"/>
    <m/>
  </r>
  <r>
    <n v="14718086"/>
    <m/>
    <m/>
    <m/>
    <m/>
    <m/>
    <m/>
    <d v="2024-12-22T00:00:00"/>
    <d v="2025-11-05T00:00:00"/>
    <s v="H"/>
    <x v="1"/>
    <s v="ANGUS NEGRO"/>
    <x v="79"/>
    <s v="15-10-2016"/>
    <s v="Vivo"/>
    <x v="8"/>
    <s v="11.1.01.0190"/>
    <s v="11.2.01.0038"/>
    <x v="0"/>
    <m/>
  </r>
  <r>
    <n v="14718087"/>
    <m/>
    <m/>
    <m/>
    <m/>
    <m/>
    <d v="2023-12-04T00:00:00"/>
    <m/>
    <m/>
    <s v="M"/>
    <x v="3"/>
    <s v="ANGUS NEGRO"/>
    <x v="79"/>
    <s v="15-10-2016"/>
    <s v="Vivo"/>
    <x v="3"/>
    <s v="11.2.01.0038"/>
    <s v="11.2.01.0038"/>
    <x v="0"/>
    <m/>
  </r>
  <r>
    <n v="14718092"/>
    <m/>
    <m/>
    <m/>
    <d v="2021-07-20T00:00:00"/>
    <m/>
    <d v="2023-12-04T00:00:00"/>
    <d v="2024-12-22T00:00:00"/>
    <d v="2025-01-14T00:00:00"/>
    <s v="H"/>
    <x v="1"/>
    <s v="ANGUS NEGRO"/>
    <x v="79"/>
    <s v="15-10-2016"/>
    <s v="Vivo"/>
    <x v="0"/>
    <s v="11.1.01.1022"/>
    <s v="11.2.01.0038"/>
    <x v="0"/>
    <m/>
  </r>
  <r>
    <n v="14718093"/>
    <m/>
    <m/>
    <m/>
    <m/>
    <m/>
    <d v="2023-11-23T00:00:00"/>
    <m/>
    <m/>
    <s v="M"/>
    <x v="3"/>
    <s v="ANGUS NEGRO"/>
    <x v="79"/>
    <s v="15-10-2016"/>
    <s v="Vivo"/>
    <x v="3"/>
    <s v="11.1.01.1081"/>
    <s v="11.2.01.0038"/>
    <x v="0"/>
    <m/>
  </r>
  <r>
    <n v="14718103"/>
    <m/>
    <m/>
    <m/>
    <m/>
    <m/>
    <m/>
    <m/>
    <m/>
    <s v="M"/>
    <x v="3"/>
    <s v="ANGUS NEGRO"/>
    <x v="79"/>
    <s v="15-10-2016"/>
    <s v="Vivo"/>
    <x v="3"/>
    <s v="11.1.01.1081"/>
    <s v="11.2.01.0038"/>
    <x v="0"/>
    <m/>
  </r>
  <r>
    <n v="14718104"/>
    <m/>
    <m/>
    <m/>
    <m/>
    <m/>
    <m/>
    <m/>
    <m/>
    <s v="M"/>
    <x v="3"/>
    <s v="ANGUS NEGRO"/>
    <x v="79"/>
    <s v="15-10-2016"/>
    <s v="Vivo"/>
    <x v="3"/>
    <s v="11.1.01.1081"/>
    <s v="11.2.01.0038"/>
    <x v="0"/>
    <m/>
  </r>
  <r>
    <n v="14718109"/>
    <m/>
    <m/>
    <m/>
    <m/>
    <m/>
    <d v="2023-10-16T00:00:00"/>
    <m/>
    <m/>
    <s v="M"/>
    <x v="3"/>
    <s v="ANGUS NEGRO"/>
    <x v="79"/>
    <s v="15-10-2016"/>
    <s v="Vivo"/>
    <x v="3"/>
    <s v="11.2.01.0038"/>
    <s v="11.2.01.0038"/>
    <x v="0"/>
    <m/>
  </r>
  <r>
    <n v="14718111"/>
    <m/>
    <m/>
    <m/>
    <m/>
    <m/>
    <d v="2023-10-16T00:00:00"/>
    <m/>
    <m/>
    <s v="M"/>
    <x v="3"/>
    <s v="ANGUS NEGRO"/>
    <x v="80"/>
    <s v="20-12-2016"/>
    <s v="Vivo"/>
    <x v="3"/>
    <s v="11.1.01.1081"/>
    <s v="11.1.01.1081"/>
    <x v="0"/>
    <m/>
  </r>
  <r>
    <n v="14718118"/>
    <m/>
    <m/>
    <m/>
    <m/>
    <m/>
    <d v="2023-10-16T00:00:00"/>
    <m/>
    <m/>
    <s v="M"/>
    <x v="3"/>
    <s v="ANGUS NEGRO"/>
    <x v="80"/>
    <s v="25-12-2016"/>
    <s v="Vivo"/>
    <x v="3"/>
    <s v="11.1.01.1081"/>
    <s v="11.2.01.0038"/>
    <x v="0"/>
    <m/>
  </r>
  <r>
    <n v="14718119"/>
    <m/>
    <m/>
    <m/>
    <m/>
    <m/>
    <d v="2023-10-16T00:00:00"/>
    <m/>
    <m/>
    <s v="M"/>
    <x v="3"/>
    <s v="ANGUS NEGRO"/>
    <x v="80"/>
    <s v="15-01-2017"/>
    <s v="Vivo"/>
    <x v="3"/>
    <s v="11.1.01.1081"/>
    <s v="11.2.01.0038"/>
    <x v="0"/>
    <m/>
  </r>
  <r>
    <n v="14718121"/>
    <m/>
    <m/>
    <m/>
    <m/>
    <m/>
    <d v="2023-10-16T00:00:00"/>
    <m/>
    <m/>
    <s v="M"/>
    <x v="3"/>
    <s v="ANGUS NEGRO"/>
    <x v="81"/>
    <s v="10-12-2016"/>
    <s v="Vivo"/>
    <x v="3"/>
    <s v="11.1.01.1081"/>
    <s v="11.2.01.0038"/>
    <x v="0"/>
    <m/>
  </r>
  <r>
    <n v="14718122"/>
    <m/>
    <m/>
    <m/>
    <m/>
    <m/>
    <d v="2023-10-16T00:00:00"/>
    <m/>
    <m/>
    <s v="M"/>
    <x v="3"/>
    <s v="ANGUS NEGRO"/>
    <x v="80"/>
    <s v="02-01-2017"/>
    <s v="Vivo"/>
    <x v="3"/>
    <s v="11.1.01.1081"/>
    <s v="11.2.01.0038"/>
    <x v="0"/>
    <m/>
  </r>
  <r>
    <n v="14718141"/>
    <m/>
    <m/>
    <m/>
    <m/>
    <m/>
    <d v="2023-10-16T00:00:00"/>
    <m/>
    <d v="2025-11-05T00:00:00"/>
    <s v="H"/>
    <x v="1"/>
    <s v="ANGUS ROJO"/>
    <x v="82"/>
    <s v="20-01-2017"/>
    <s v="Vivo"/>
    <x v="8"/>
    <s v="11.1.01.0190"/>
    <s v="11.1.01.1241"/>
    <x v="0"/>
    <m/>
  </r>
  <r>
    <n v="14718142"/>
    <m/>
    <m/>
    <m/>
    <m/>
    <m/>
    <d v="2023-10-16T00:00:00"/>
    <m/>
    <m/>
    <s v="M"/>
    <x v="3"/>
    <s v="ANGUS NEGRO"/>
    <x v="83"/>
    <s v="11-03-2017"/>
    <s v="Vivo"/>
    <x v="0"/>
    <s v="11.1.01.1022"/>
    <s v="11.1.01.1241"/>
    <x v="0"/>
    <m/>
  </r>
  <r>
    <n v="14718147"/>
    <m/>
    <m/>
    <m/>
    <m/>
    <d v="2022-12-28T00:00:00"/>
    <d v="2023-11-09T00:00:00"/>
    <d v="2024-12-22T00:00:00"/>
    <d v="2025-11-05T00:00:00"/>
    <s v="H"/>
    <x v="1"/>
    <s v="ANGUS NEGRO"/>
    <x v="82"/>
    <s v="30-01-2017"/>
    <s v="Vivo"/>
    <x v="8"/>
    <s v="11.1.01.0190"/>
    <s v="11.1.01.1241"/>
    <x v="0"/>
    <m/>
  </r>
  <r>
    <n v="14718148"/>
    <m/>
    <m/>
    <m/>
    <m/>
    <m/>
    <d v="2023-11-10T00:00:00"/>
    <m/>
    <m/>
    <s v="M"/>
    <x v="3"/>
    <s v="ANGUS NEGRO"/>
    <x v="80"/>
    <s v="18-12-2016"/>
    <s v="Vivo"/>
    <x v="3"/>
    <s v="11.1.01.1081"/>
    <s v="11.1.01.1241"/>
    <x v="0"/>
    <m/>
  </r>
  <r>
    <n v="14718149"/>
    <m/>
    <m/>
    <m/>
    <m/>
    <m/>
    <d v="2023-11-10T00:00:00"/>
    <m/>
    <m/>
    <s v="M"/>
    <x v="3"/>
    <s v="ANGUS NEGRO"/>
    <x v="80"/>
    <s v="10-01-2017"/>
    <s v="Vivo"/>
    <x v="3"/>
    <s v="11.1.01.1081"/>
    <s v="11.1.01.1241"/>
    <x v="0"/>
    <m/>
  </r>
  <r>
    <n v="14718153"/>
    <m/>
    <m/>
    <d v="2020-10-30T00:00:00"/>
    <d v="2021-11-04T00:00:00"/>
    <d v="2022-12-13T00:00:00"/>
    <d v="2023-11-23T00:00:00"/>
    <m/>
    <m/>
    <s v="M"/>
    <x v="3"/>
    <s v="ANGUS NEGRO"/>
    <x v="83"/>
    <s v="20-02-2017"/>
    <s v="Vivo"/>
    <x v="3"/>
    <s v="11.1.01.1241"/>
    <s v="11.1.01.1241"/>
    <x v="0"/>
    <m/>
  </r>
  <r>
    <n v="14718156"/>
    <m/>
    <m/>
    <m/>
    <d v="2021-10-20T00:00:00"/>
    <d v="2022-05-27T00:00:00"/>
    <d v="2023-11-23T00:00:00"/>
    <m/>
    <m/>
    <s v="M"/>
    <x v="3"/>
    <s v="ANGUS NEGRO"/>
    <x v="80"/>
    <s v="18-12-2016"/>
    <s v="Vivo"/>
    <x v="3"/>
    <s v="11.1.01.1081"/>
    <s v="11.1.01.1241"/>
    <x v="0"/>
    <m/>
  </r>
  <r>
    <n v="14718157"/>
    <m/>
    <m/>
    <d v="2020-10-31T00:00:00"/>
    <d v="2021-06-03T00:00:00"/>
    <d v="2022-11-03T00:00:00"/>
    <d v="2023-11-23T00:00:00"/>
    <m/>
    <m/>
    <s v="no existe"/>
    <x v="2"/>
    <s v="no existe"/>
    <x v="4"/>
    <s v="no existe"/>
    <s v="no existe"/>
    <x v="1"/>
    <s v="no existe"/>
    <s v="no existe"/>
    <x v="1"/>
    <m/>
  </r>
  <r>
    <n v="14718158"/>
    <m/>
    <m/>
    <d v="2020-10-30T00:00:00"/>
    <d v="2021-11-18T00:00:00"/>
    <d v="2022-12-13T00:00:00"/>
    <d v="2023-11-23T00:00:00"/>
    <m/>
    <m/>
    <s v="no existe"/>
    <x v="2"/>
    <s v="no existe"/>
    <x v="4"/>
    <s v="no existe"/>
    <s v="no existe"/>
    <x v="1"/>
    <s v="no existe"/>
    <s v="no existe"/>
    <x v="1"/>
    <m/>
  </r>
  <r>
    <n v="14718159"/>
    <m/>
    <m/>
    <m/>
    <m/>
    <m/>
    <d v="2023-12-04T00:00:00"/>
    <m/>
    <m/>
    <s v="M"/>
    <x v="3"/>
    <s v="ANGUS NEGRO"/>
    <x v="80"/>
    <s v="18-12-2016"/>
    <s v="Vivo"/>
    <x v="3"/>
    <s v="11.1.01.1081"/>
    <s v="11.1.01.1241"/>
    <x v="0"/>
    <m/>
  </r>
  <r>
    <n v="14718163"/>
    <m/>
    <m/>
    <m/>
    <m/>
    <m/>
    <d v="2023-12-05T00:00:00"/>
    <m/>
    <m/>
    <s v="M"/>
    <x v="3"/>
    <s v="ANGUS NEGRO"/>
    <x v="81"/>
    <s v="30-11-2016"/>
    <s v="Vivo"/>
    <x v="3"/>
    <s v="11.1.01.1081"/>
    <s v="11.1.01.1241"/>
    <x v="0"/>
    <m/>
  </r>
  <r>
    <n v="14718168"/>
    <m/>
    <m/>
    <m/>
    <m/>
    <m/>
    <d v="2023-12-05T00:00:00"/>
    <d v="2024-01-06T00:00:00"/>
    <m/>
    <s v="H"/>
    <x v="1"/>
    <s v="ANGUS NEGRO"/>
    <x v="81"/>
    <s v="30-11-2016"/>
    <s v="Vivo"/>
    <x v="4"/>
    <s v="11.1.01.0893"/>
    <s v="11.1.01.0893"/>
    <x v="0"/>
    <m/>
  </r>
  <r>
    <n v="14718169"/>
    <m/>
    <m/>
    <m/>
    <d v="2021-10-20T00:00:00"/>
    <d v="2022-05-27T00:00:00"/>
    <d v="2023-12-05T00:00:00"/>
    <m/>
    <m/>
    <s v="H"/>
    <x v="1"/>
    <s v="ANGUS NEGRO"/>
    <x v="80"/>
    <s v="30-12-2016"/>
    <s v="Vivo"/>
    <x v="3"/>
    <s v="Sin Movimiento"/>
    <s v="11.1.01.0893"/>
    <x v="0"/>
    <m/>
  </r>
  <r>
    <n v="14718172"/>
    <m/>
    <m/>
    <m/>
    <m/>
    <m/>
    <d v="2023-12-05T00:00:00"/>
    <m/>
    <m/>
    <s v="M"/>
    <x v="3"/>
    <s v="OVERO NEGRO"/>
    <x v="82"/>
    <s v="30-01-2017"/>
    <s v="Vivo"/>
    <x v="3"/>
    <s v="11.2.01.2071"/>
    <s v="11.2.01.2071"/>
    <x v="0"/>
    <m/>
  </r>
  <r>
    <n v="14718173"/>
    <m/>
    <m/>
    <m/>
    <d v="2021-10-20T00:00:00"/>
    <d v="2022-05-27T00:00:00"/>
    <d v="2023-12-05T00:00:00"/>
    <m/>
    <m/>
    <s v="M"/>
    <x v="3"/>
    <s v="ANGUS ROJO"/>
    <x v="80"/>
    <s v="30-12-2016"/>
    <s v="Vivo"/>
    <x v="3"/>
    <s v="11.2.01.2071"/>
    <s v="11.2.01.2071"/>
    <x v="0"/>
    <m/>
  </r>
  <r>
    <n v="14718174"/>
    <m/>
    <m/>
    <m/>
    <m/>
    <m/>
    <d v="2023-12-05T00:00:00"/>
    <m/>
    <m/>
    <s v="M"/>
    <x v="3"/>
    <s v="ANGUS NEGRO"/>
    <x v="80"/>
    <s v="30-12-2016"/>
    <s v="Vivo"/>
    <x v="3"/>
    <s v="11.2.01.2071"/>
    <s v="11.2.01.2071"/>
    <x v="0"/>
    <m/>
  </r>
  <r>
    <n v="14718175"/>
    <m/>
    <m/>
    <m/>
    <d v="2021-10-20T00:00:00"/>
    <d v="2022-05-27T00:00:00"/>
    <d v="2023-12-05T00:00:00"/>
    <m/>
    <m/>
    <s v="M"/>
    <x v="3"/>
    <s v="ANGUS NEGRO"/>
    <x v="80"/>
    <s v="30-12-2016"/>
    <s v="Vivo"/>
    <x v="3"/>
    <s v="11.2.01.2071"/>
    <s v="11.2.01.2071"/>
    <x v="0"/>
    <m/>
  </r>
  <r>
    <n v="14718177"/>
    <m/>
    <m/>
    <m/>
    <d v="2021-10-20T00:00:00"/>
    <d v="2022-05-27T00:00:00"/>
    <d v="2023-12-05T00:00:00"/>
    <m/>
    <m/>
    <s v="M"/>
    <x v="3"/>
    <s v="ANGUS ROJO"/>
    <x v="80"/>
    <s v="20-12-2016"/>
    <s v="Vivo"/>
    <x v="3"/>
    <s v="Sin Movimiento"/>
    <s v="11.1.01.0893"/>
    <x v="0"/>
    <m/>
  </r>
  <r>
    <n v="14718185"/>
    <m/>
    <m/>
    <m/>
    <m/>
    <m/>
    <d v="2023-11-24T00:00:00"/>
    <d v="2024-12-22T00:00:00"/>
    <d v="2025-11-05T00:00:00"/>
    <s v="H"/>
    <x v="1"/>
    <s v="ANGUS NEGRO"/>
    <x v="84"/>
    <s v="24-09-2017"/>
    <s v="Vivo"/>
    <x v="8"/>
    <s v="11.1.01.0190"/>
    <s v="11.1.01.0893"/>
    <x v="0"/>
    <m/>
  </r>
  <r>
    <n v="14718186"/>
    <m/>
    <m/>
    <m/>
    <m/>
    <m/>
    <d v="2023-11-24T00:00:00"/>
    <d v="2024-12-22T00:00:00"/>
    <d v="2025-01-14T00:00:00"/>
    <s v="H"/>
    <x v="1"/>
    <s v="ANGUS NEGRO"/>
    <x v="84"/>
    <s v="25-09-2017"/>
    <s v="Vivo"/>
    <x v="0"/>
    <s v="11.2.01.0038"/>
    <s v="11.1.01.0893"/>
    <x v="0"/>
    <m/>
  </r>
  <r>
    <n v="14718190"/>
    <m/>
    <m/>
    <m/>
    <m/>
    <m/>
    <d v="2023-11-24T00:00:00"/>
    <m/>
    <m/>
    <s v="H"/>
    <x v="1"/>
    <s v="ANGUS NEGRO"/>
    <x v="84"/>
    <s v="27-09-2017"/>
    <s v="Vivo"/>
    <x v="0"/>
    <s v="11.1.01.1022"/>
    <s v="11.1.01.0893"/>
    <x v="0"/>
    <m/>
  </r>
  <r>
    <n v="14718193"/>
    <m/>
    <m/>
    <m/>
    <d v="2021-07-20T00:00:00"/>
    <d v="2022-12-13T00:00:00"/>
    <d v="2023-12-04T00:00:00"/>
    <d v="2024-01-06T00:00:00"/>
    <m/>
    <s v="H"/>
    <x v="1"/>
    <s v="ANGUS NEGRO"/>
    <x v="84"/>
    <s v="28-09-2017"/>
    <s v="Vivo"/>
    <x v="5"/>
    <s v="11.1.01.0893"/>
    <s v="11.1.01.0893"/>
    <x v="0"/>
    <m/>
  </r>
  <r>
    <n v="14718201"/>
    <m/>
    <m/>
    <m/>
    <m/>
    <m/>
    <m/>
    <m/>
    <m/>
    <s v="H"/>
    <x v="1"/>
    <s v="ANGUS ROJO"/>
    <x v="84"/>
    <s v="30-09-2017"/>
    <s v="Vivo"/>
    <x v="0"/>
    <s v="11.1.01.1241"/>
    <s v="11.1.01.0893"/>
    <x v="0"/>
    <m/>
  </r>
  <r>
    <n v="14718204"/>
    <m/>
    <m/>
    <m/>
    <m/>
    <m/>
    <m/>
    <m/>
    <m/>
    <s v="H"/>
    <x v="1"/>
    <s v="ANGUS NEGRO"/>
    <x v="84"/>
    <s v="01-10-2017"/>
    <s v="Vivo"/>
    <x v="0"/>
    <s v="11.1.01.1022"/>
    <s v="11.1.01.0893"/>
    <x v="0"/>
    <m/>
  </r>
  <r>
    <n v="14718206"/>
    <m/>
    <m/>
    <m/>
    <d v="2021-10-28T00:00:00"/>
    <d v="2022-11-03T00:00:00"/>
    <d v="2023-06-15T00:00:00"/>
    <d v="2024-12-22T00:00:00"/>
    <d v="2025-11-04T00:00:00"/>
    <s v="H"/>
    <x v="1"/>
    <s v="ANGUS NEGRO"/>
    <x v="84"/>
    <s v="02-10-2017"/>
    <s v="Vivo"/>
    <x v="10"/>
    <s v="11.1.01.0190"/>
    <s v="11.1.01.0893"/>
    <x v="0"/>
    <m/>
  </r>
  <r>
    <n v="14718209"/>
    <m/>
    <m/>
    <m/>
    <d v="2021-10-20T00:00:00"/>
    <d v="2022-05-27T00:00:00"/>
    <d v="2023-12-05T00:00:00"/>
    <m/>
    <m/>
    <s v="H"/>
    <x v="1"/>
    <s v="ANGUS NEGRO"/>
    <x v="84"/>
    <s v="03-10-2017"/>
    <s v="Vivo"/>
    <x v="4"/>
    <s v="11.1.01.0893"/>
    <s v="11.1.01.0893"/>
    <x v="0"/>
    <m/>
  </r>
  <r>
    <n v="14718218"/>
    <m/>
    <m/>
    <d v="2020-11-09T00:00:00"/>
    <m/>
    <d v="2022-12-17T00:00:00"/>
    <d v="2023-11-23T00:00:00"/>
    <m/>
    <m/>
    <s v="H"/>
    <x v="1"/>
    <s v="ANGUS NEGRO"/>
    <x v="84"/>
    <s v="07-10-2017"/>
    <s v="Vivo"/>
    <x v="11"/>
    <s v="11.1.02.0004"/>
    <s v="11.1.01.0893"/>
    <x v="0"/>
    <m/>
  </r>
  <r>
    <n v="14718221"/>
    <m/>
    <m/>
    <m/>
    <d v="2021-10-22T00:00:00"/>
    <d v="2022-05-27T00:00:00"/>
    <d v="2023-11-23T00:00:00"/>
    <m/>
    <d v="2025-11-04T00:00:00"/>
    <s v="H"/>
    <x v="1"/>
    <s v="ANGUS NEGRO"/>
    <x v="84"/>
    <s v="08-10-2017"/>
    <s v="Vivo"/>
    <x v="8"/>
    <s v="11.1.01.0190"/>
    <s v="11.1.01.0893"/>
    <x v="0"/>
    <m/>
  </r>
  <r>
    <n v="14718223"/>
    <m/>
    <m/>
    <m/>
    <d v="2021-10-20T00:00:00"/>
    <d v="2022-05-27T00:00:00"/>
    <d v="2023-12-05T00:00:00"/>
    <d v="2024-05-20T00:00:00"/>
    <m/>
    <s v="H"/>
    <x v="1"/>
    <s v="ANGUS NEGRO"/>
    <x v="84"/>
    <s v="12-10-2017"/>
    <s v="Vivo"/>
    <x v="8"/>
    <s v="11.1.01.0190"/>
    <s v="11.1.01.0893"/>
    <x v="0"/>
    <m/>
  </r>
  <r>
    <n v="14718226"/>
    <m/>
    <m/>
    <m/>
    <d v="2021-10-20T00:00:00"/>
    <d v="2022-12-13T00:00:00"/>
    <d v="2023-12-05T00:00:00"/>
    <m/>
    <m/>
    <s v="H"/>
    <x v="1"/>
    <s v="ANGUS ROJO"/>
    <x v="84"/>
    <s v="15-10-2017"/>
    <s v="Vivo"/>
    <x v="2"/>
    <s v="11.1.01.0941"/>
    <s v="11.1.01.0893"/>
    <x v="0"/>
    <m/>
  </r>
  <r>
    <n v="14718228"/>
    <m/>
    <m/>
    <m/>
    <d v="2021-10-20T00:00:00"/>
    <d v="2022-05-27T00:00:00"/>
    <d v="2023-11-23T00:00:00"/>
    <m/>
    <m/>
    <s v="H"/>
    <x v="1"/>
    <s v="ANGUS NEGRO"/>
    <x v="84"/>
    <s v="16-10-2017"/>
    <s v="Vivo"/>
    <x v="0"/>
    <s v="11.2.01.0038"/>
    <s v="11.1.01.0893"/>
    <x v="0"/>
    <m/>
  </r>
  <r>
    <n v="14718231"/>
    <m/>
    <m/>
    <m/>
    <m/>
    <m/>
    <d v="2023-12-05T00:00:00"/>
    <d v="2024-12-22T00:00:00"/>
    <d v="2025-01-14T00:00:00"/>
    <s v="H"/>
    <x v="1"/>
    <s v="ANGUS ROJO"/>
    <x v="85"/>
    <s v="17-10-2017"/>
    <s v="Vivo"/>
    <x v="0"/>
    <s v="11.2.01.0038"/>
    <s v="11.1.01.0893"/>
    <x v="0"/>
    <m/>
  </r>
  <r>
    <n v="14718237"/>
    <m/>
    <m/>
    <m/>
    <m/>
    <m/>
    <d v="2023-11-23T00:00:00"/>
    <d v="2024-12-22T00:00:00"/>
    <d v="2025-11-04T00:00:00"/>
    <s v="H"/>
    <x v="1"/>
    <s v="ANGUS NEGRO"/>
    <x v="85"/>
    <s v="23-10-2017"/>
    <s v="Vivo"/>
    <x v="8"/>
    <s v="11.1.01.0190"/>
    <s v="11.1.01.0893"/>
    <x v="0"/>
    <m/>
  </r>
  <r>
    <n v="14718242"/>
    <m/>
    <m/>
    <m/>
    <m/>
    <m/>
    <d v="2023-12-05T00:00:00"/>
    <d v="2024-12-22T00:00:00"/>
    <d v="2025-01-14T00:00:00"/>
    <s v="H"/>
    <x v="1"/>
    <s v="ANGUS NEGRO"/>
    <x v="85"/>
    <s v="28-10-2017"/>
    <s v="Vivo"/>
    <x v="0"/>
    <s v="11.2.01.0038"/>
    <s v="11.1.01.0893"/>
    <x v="0"/>
    <m/>
  </r>
  <r>
    <n v="14718247"/>
    <m/>
    <m/>
    <m/>
    <m/>
    <m/>
    <d v="2023-11-23T00:00:00"/>
    <d v="2024-12-22T00:00:00"/>
    <d v="2025-11-05T00:00:00"/>
    <s v="H"/>
    <x v="1"/>
    <s v="ANGUS ROJO"/>
    <x v="85"/>
    <s v="06-11-2017"/>
    <s v="Vivo"/>
    <x v="6"/>
    <s v="11.1.01.1241"/>
    <s v="11.1.01.0893"/>
    <x v="0"/>
    <m/>
  </r>
  <r>
    <n v="14718249"/>
    <m/>
    <m/>
    <m/>
    <m/>
    <m/>
    <d v="2023-12-05T00:00:00"/>
    <m/>
    <m/>
    <s v="H"/>
    <x v="1"/>
    <s v="ANGUS NEGRO"/>
    <x v="85"/>
    <s v="14-11-2017"/>
    <s v="Vivo"/>
    <x v="0"/>
    <s v="11.1.01.1022"/>
    <s v="11.1.01.0893"/>
    <x v="0"/>
    <m/>
  </r>
  <r>
    <n v="14718267"/>
    <m/>
    <m/>
    <m/>
    <m/>
    <m/>
    <d v="2023-12-05T00:00:00"/>
    <m/>
    <m/>
    <s v="H"/>
    <x v="1"/>
    <s v="ANGUS NEGRO"/>
    <x v="79"/>
    <s v="10-10-2016"/>
    <s v="Vivo"/>
    <x v="0"/>
    <s v="Sin Movimiento"/>
    <s v="11.1.01.1241"/>
    <x v="0"/>
    <m/>
  </r>
  <r>
    <n v="14718276"/>
    <m/>
    <m/>
    <m/>
    <m/>
    <m/>
    <d v="2023-11-23T00:00:00"/>
    <d v="2024-05-18T00:00:00"/>
    <m/>
    <s v="H"/>
    <x v="1"/>
    <s v="ANGUS NEGRO"/>
    <x v="79"/>
    <s v="10-10-2016"/>
    <s v="Vivo"/>
    <x v="8"/>
    <s v="11.1.01.0190"/>
    <s v="11.1.01.1241"/>
    <x v="0"/>
    <m/>
  </r>
  <r>
    <n v="14718282"/>
    <n v="2636125"/>
    <m/>
    <m/>
    <m/>
    <m/>
    <d v="2023-11-23T00:00:00"/>
    <m/>
    <m/>
    <s v="M"/>
    <x v="0"/>
    <s v="ANGUS NEGRO"/>
    <x v="57"/>
    <s v="10-10-2013"/>
    <s v="Vivo"/>
    <x v="0"/>
    <s v="Sin Movimiento"/>
    <s v="11.1.01.1241"/>
    <x v="2"/>
    <m/>
  </r>
  <r>
    <n v="14718285"/>
    <n v="2636141"/>
    <m/>
    <m/>
    <m/>
    <m/>
    <d v="2023-11-23T00:00:00"/>
    <d v="2024-10-09T00:00:00"/>
    <m/>
    <s v="M"/>
    <x v="0"/>
    <s v="ANGUS NEGRO"/>
    <x v="51"/>
    <s v="10-10-2014"/>
    <s v="Vivo"/>
    <x v="8"/>
    <s v="11.1.01.0190"/>
    <s v="11.1.01.0893"/>
    <x v="2"/>
    <m/>
  </r>
  <r>
    <n v="14718287"/>
    <n v="2636102"/>
    <m/>
    <m/>
    <m/>
    <m/>
    <d v="2023-11-23T00:00:00"/>
    <m/>
    <m/>
    <s v="M"/>
    <x v="0"/>
    <s v="ANGUS NEGRO"/>
    <x v="51"/>
    <s v="10-10-2014"/>
    <s v="Vivo"/>
    <x v="0"/>
    <s v="11.1.01.0893"/>
    <s v="11.1.01.0893"/>
    <x v="2"/>
    <m/>
  </r>
  <r>
    <n v="14718288"/>
    <n v="2636101"/>
    <m/>
    <m/>
    <m/>
    <m/>
    <d v="2023-06-15T00:00:00"/>
    <m/>
    <m/>
    <s v="M"/>
    <x v="3"/>
    <s v="ANGUS NEGRO"/>
    <x v="41"/>
    <s v="30-08-2011"/>
    <s v="Vivo"/>
    <x v="0"/>
    <s v="11.1.01.0893"/>
    <s v="11.1.01.1241"/>
    <x v="0"/>
    <m/>
  </r>
  <r>
    <n v="14718294"/>
    <m/>
    <m/>
    <m/>
    <d v="2021-10-20T00:00:00"/>
    <d v="2022-05-27T00:00:00"/>
    <d v="2023-12-05T00:00:00"/>
    <m/>
    <m/>
    <s v="no existe"/>
    <x v="2"/>
    <s v="no existe"/>
    <x v="4"/>
    <s v="no existe"/>
    <s v="no existe"/>
    <x v="1"/>
    <s v="no existe"/>
    <s v="no existe"/>
    <x v="1"/>
    <m/>
  </r>
  <r>
    <n v="14718295"/>
    <m/>
    <m/>
    <d v="2020-11-04T00:00:00"/>
    <d v="2021-10-20T00:00:00"/>
    <d v="2022-05-27T00:00:00"/>
    <d v="2023-12-05T00:00:00"/>
    <m/>
    <m/>
    <s v="no existe"/>
    <x v="2"/>
    <s v="no existe"/>
    <x v="4"/>
    <s v="no existe"/>
    <s v="no existe"/>
    <x v="1"/>
    <s v="no existe"/>
    <s v="no existe"/>
    <x v="1"/>
    <m/>
  </r>
  <r>
    <n v="14718300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15660945"/>
    <m/>
    <m/>
    <m/>
    <m/>
    <m/>
    <m/>
    <m/>
    <m/>
    <s v="H"/>
    <x v="1"/>
    <s v="ANGUS NEGRO"/>
    <x v="86"/>
    <s v="10-09-2017"/>
    <s v="Vivo"/>
    <x v="0"/>
    <s v="11.1.01.1022"/>
    <s v="11.1.01.1241"/>
    <x v="0"/>
    <m/>
  </r>
  <r>
    <n v="15660948"/>
    <m/>
    <m/>
    <m/>
    <m/>
    <m/>
    <m/>
    <m/>
    <m/>
    <s v="H"/>
    <x v="1"/>
    <s v="ANGUS NEGRO"/>
    <x v="84"/>
    <s v="30-09-2017"/>
    <s v="Vivo"/>
    <x v="0"/>
    <s v="11.1.01.1241"/>
    <s v="11.1.01.1241"/>
    <x v="0"/>
    <m/>
  </r>
  <r>
    <n v="15660951"/>
    <m/>
    <m/>
    <m/>
    <m/>
    <m/>
    <d v="2023-12-28T00:00:00"/>
    <d v="2024-12-22T00:00:00"/>
    <d v="2025-11-04T00:00:00"/>
    <s v="H"/>
    <x v="1"/>
    <s v="ANGUS NEGRO"/>
    <x v="86"/>
    <s v="10-09-2017"/>
    <s v="Vivo"/>
    <x v="10"/>
    <s v="11.1.01.0190"/>
    <s v="11.1.01.1241"/>
    <x v="0"/>
    <m/>
  </r>
  <r>
    <n v="15660953"/>
    <m/>
    <m/>
    <m/>
    <m/>
    <m/>
    <d v="2023-12-28T00:00:00"/>
    <m/>
    <m/>
    <s v="H"/>
    <x v="1"/>
    <s v="ANGUS NEGRO"/>
    <x v="86"/>
    <s v="30-08-2017"/>
    <s v="Vivo"/>
    <x v="0"/>
    <s v="Sin Movimiento"/>
    <s v="11.1.01.1241"/>
    <x v="0"/>
    <m/>
  </r>
  <r>
    <n v="15660954"/>
    <m/>
    <m/>
    <m/>
    <m/>
    <m/>
    <d v="2023-12-28T00:00:00"/>
    <m/>
    <m/>
    <s v="H"/>
    <x v="1"/>
    <s v="ANGUS NEGRO"/>
    <x v="86"/>
    <s v="30-08-2017"/>
    <s v="Vivo"/>
    <x v="0"/>
    <s v="11.1.01.1241"/>
    <s v="11.1.01.1241"/>
    <x v="0"/>
    <m/>
  </r>
  <r>
    <n v="15660960"/>
    <m/>
    <m/>
    <m/>
    <m/>
    <m/>
    <d v="2023-12-28T00:00:00"/>
    <m/>
    <m/>
    <s v="H"/>
    <x v="1"/>
    <s v="ANGUS NEGRO"/>
    <x v="86"/>
    <s v="10-09-2017"/>
    <s v="Vivo"/>
    <x v="0"/>
    <s v="Sin Movimiento"/>
    <s v="11.1.01.1241"/>
    <x v="0"/>
    <m/>
  </r>
  <r>
    <n v="15660962"/>
    <m/>
    <m/>
    <m/>
    <m/>
    <m/>
    <d v="2023-12-28T00:00:00"/>
    <m/>
    <m/>
    <s v="H"/>
    <x v="1"/>
    <s v="ANGUS NEGRO"/>
    <x v="86"/>
    <s v="10-09-2017"/>
    <s v="Vivo"/>
    <x v="0"/>
    <s v="11.1.01.1022"/>
    <s v="11.1.01.1241"/>
    <x v="0"/>
    <m/>
  </r>
  <r>
    <n v="15660964"/>
    <m/>
    <m/>
    <m/>
    <m/>
    <m/>
    <d v="2023-12-28T00:00:00"/>
    <m/>
    <m/>
    <s v="no existe"/>
    <x v="2"/>
    <s v="no existe"/>
    <x v="4"/>
    <s v="no existe"/>
    <s v="no existe"/>
    <x v="1"/>
    <s v="no existe"/>
    <s v="no existe"/>
    <x v="1"/>
    <m/>
  </r>
  <r>
    <n v="15660965"/>
    <m/>
    <m/>
    <m/>
    <m/>
    <m/>
    <m/>
    <m/>
    <m/>
    <s v="H"/>
    <x v="1"/>
    <s v="ANGUS NEGRO"/>
    <x v="84"/>
    <s v="15-10-2017"/>
    <s v="Vivo"/>
    <x v="8"/>
    <s v="11.1.01.1241"/>
    <s v="11.1.01.1241"/>
    <x v="0"/>
    <m/>
  </r>
  <r>
    <n v="15660967"/>
    <m/>
    <m/>
    <m/>
    <m/>
    <m/>
    <d v="2023-10-14T00:00:00"/>
    <m/>
    <m/>
    <s v="H"/>
    <x v="1"/>
    <s v="ANGUS NEGRO"/>
    <x v="84"/>
    <s v="30-09-2017"/>
    <s v="Vivo"/>
    <x v="5"/>
    <s v="11.1.01.0893"/>
    <s v="11.1.01.1241"/>
    <x v="0"/>
    <m/>
  </r>
  <r>
    <n v="15660969"/>
    <m/>
    <m/>
    <m/>
    <m/>
    <m/>
    <d v="2023-12-28T00:00:00"/>
    <d v="2024-12-22T00:00:00"/>
    <d v="2025-11-04T00:00:00"/>
    <s v="H"/>
    <x v="1"/>
    <s v="ANGUS NEGRO"/>
    <x v="84"/>
    <s v="30-09-2017"/>
    <s v="Vivo"/>
    <x v="8"/>
    <s v="11.1.01.0190"/>
    <s v="11.1.01.1241"/>
    <x v="0"/>
    <m/>
  </r>
  <r>
    <n v="15660971"/>
    <m/>
    <m/>
    <m/>
    <m/>
    <m/>
    <m/>
    <d v="2024-01-06T00:00:00"/>
    <m/>
    <s v="H"/>
    <x v="1"/>
    <s v="ANGUS NEGRO"/>
    <x v="84"/>
    <s v="30-09-2017"/>
    <s v="Vivo"/>
    <x v="3"/>
    <s v="11.1.01.0791"/>
    <s v="11.1.01.1241"/>
    <x v="0"/>
    <m/>
  </r>
  <r>
    <n v="15660975"/>
    <m/>
    <m/>
    <m/>
    <m/>
    <m/>
    <d v="2023-12-28T00:00:00"/>
    <m/>
    <m/>
    <s v="H"/>
    <x v="1"/>
    <s v="ANGUS NEGRO"/>
    <x v="84"/>
    <s v="10-10-2017"/>
    <s v="Vivo"/>
    <x v="4"/>
    <s v="11.1.01.0893"/>
    <s v="11.1.01.1241"/>
    <x v="0"/>
    <m/>
  </r>
  <r>
    <n v="15660977"/>
    <m/>
    <m/>
    <m/>
    <m/>
    <m/>
    <m/>
    <m/>
    <m/>
    <s v="H"/>
    <x v="1"/>
    <s v="ANGUS NEGRO"/>
    <x v="84"/>
    <s v="30-09-2017"/>
    <s v="Vivo"/>
    <x v="0"/>
    <s v="Sin Movimiento"/>
    <s v="11.1.01.1241"/>
    <x v="0"/>
    <m/>
  </r>
  <r>
    <n v="15660978"/>
    <m/>
    <m/>
    <m/>
    <m/>
    <m/>
    <m/>
    <m/>
    <m/>
    <s v="H"/>
    <x v="1"/>
    <s v="ANGUS NEGRO"/>
    <x v="86"/>
    <s v="10-09-2017"/>
    <s v="Vivo"/>
    <x v="4"/>
    <s v="11.1.01.1241"/>
    <s v="11.1.01.1241"/>
    <x v="0"/>
    <m/>
  </r>
  <r>
    <n v="15660979"/>
    <m/>
    <m/>
    <m/>
    <m/>
    <m/>
    <d v="2023-12-28T00:00:00"/>
    <d v="2024-12-22T00:00:00"/>
    <d v="2025-11-05T00:00:00"/>
    <s v="H"/>
    <x v="1"/>
    <s v="ANGUS ROJO"/>
    <x v="85"/>
    <s v="30-10-2017"/>
    <s v="Vivo"/>
    <x v="8"/>
    <s v="11.1.01.0190"/>
    <s v="11.1.01.1241"/>
    <x v="0"/>
    <m/>
  </r>
  <r>
    <n v="15660983"/>
    <m/>
    <m/>
    <m/>
    <m/>
    <m/>
    <m/>
    <d v="2024-12-22T00:00:00"/>
    <d v="2025-11-04T00:00:00"/>
    <s v="H"/>
    <x v="1"/>
    <s v="ANGUS NEGRO"/>
    <x v="86"/>
    <s v="15-09-2017"/>
    <s v="Vivo"/>
    <x v="0"/>
    <s v="11.2.01.0038"/>
    <s v="11.1.01.1241"/>
    <x v="0"/>
    <m/>
  </r>
  <r>
    <n v="15660986"/>
    <m/>
    <m/>
    <m/>
    <m/>
    <m/>
    <d v="2023-12-28T00:00:00"/>
    <d v="2024-12-22T00:00:00"/>
    <d v="2025-11-04T00:00:00"/>
    <s v="H"/>
    <x v="1"/>
    <s v="ANGUS NEGRO"/>
    <x v="86"/>
    <s v="10-09-2017"/>
    <s v="Vivo"/>
    <x v="10"/>
    <s v="11.1.01.0190"/>
    <s v="11.1.01.1241"/>
    <x v="0"/>
    <m/>
  </r>
  <r>
    <n v="15660990"/>
    <m/>
    <m/>
    <m/>
    <m/>
    <m/>
    <d v="2023-10-14T00:00:00"/>
    <m/>
    <m/>
    <s v="H"/>
    <x v="1"/>
    <s v="ANGUS ROJO"/>
    <x v="85"/>
    <s v="30-10-2017"/>
    <s v="Vivo"/>
    <x v="3"/>
    <s v="Sin Movimiento"/>
    <s v="11.2.01.2071"/>
    <x v="0"/>
    <m/>
  </r>
  <r>
    <n v="15660994"/>
    <m/>
    <m/>
    <m/>
    <m/>
    <m/>
    <d v="2023-10-14T00:00:00"/>
    <m/>
    <m/>
    <s v="H"/>
    <x v="1"/>
    <s v="ANGUS ROJO"/>
    <x v="85"/>
    <s v="30-10-2017"/>
    <s v="Vivo"/>
    <x v="3"/>
    <s v="Sin Movimiento"/>
    <s v="11.2.01.2071"/>
    <x v="0"/>
    <m/>
  </r>
  <r>
    <n v="15660995"/>
    <m/>
    <m/>
    <m/>
    <m/>
    <m/>
    <d v="2023-12-28T00:00:00"/>
    <m/>
    <m/>
    <s v="H"/>
    <x v="1"/>
    <s v="ANGUS NEGRO"/>
    <x v="86"/>
    <s v="10-09-2017"/>
    <s v="Vivo"/>
    <x v="0"/>
    <s v="11.2.01.0038"/>
    <s v="11.2.01.2071"/>
    <x v="0"/>
    <m/>
  </r>
  <r>
    <n v="15660998"/>
    <m/>
    <m/>
    <m/>
    <m/>
    <m/>
    <d v="2023-12-28T00:00:00"/>
    <m/>
    <m/>
    <s v="H"/>
    <x v="1"/>
    <s v="ANGUS NEGRO"/>
    <x v="86"/>
    <s v="10-09-2017"/>
    <s v="Vivo"/>
    <x v="0"/>
    <s v="11.1.01.0870"/>
    <s v="11.2.01.2071"/>
    <x v="0"/>
    <m/>
  </r>
  <r>
    <n v="15661010"/>
    <m/>
    <m/>
    <m/>
    <m/>
    <m/>
    <m/>
    <m/>
    <m/>
    <s v="H"/>
    <x v="1"/>
    <s v="ANGUS NEGRO"/>
    <x v="84"/>
    <s v="10-10-2017"/>
    <s v="Vivo"/>
    <x v="4"/>
    <s v="11.1.01.0893"/>
    <s v="11.2.01.2071"/>
    <x v="0"/>
    <m/>
  </r>
  <r>
    <n v="15661014"/>
    <m/>
    <m/>
    <m/>
    <m/>
    <m/>
    <m/>
    <m/>
    <m/>
    <s v="H"/>
    <x v="1"/>
    <s v="ANGUS ROJO"/>
    <x v="86"/>
    <s v="30-08-2017"/>
    <s v="Vivo"/>
    <x v="0"/>
    <s v="11.1.01.1022"/>
    <s v="11.2.01.2071"/>
    <x v="0"/>
    <m/>
  </r>
  <r>
    <n v="15661059"/>
    <m/>
    <m/>
    <m/>
    <m/>
    <m/>
    <m/>
    <m/>
    <m/>
    <s v="H"/>
    <x v="1"/>
    <s v="ANGUS NEGRO"/>
    <x v="86"/>
    <s v="10-09-2017"/>
    <s v="Vivo"/>
    <x v="0"/>
    <s v="11.1.01.1022"/>
    <s v="11.1.01.1241"/>
    <x v="0"/>
    <m/>
  </r>
  <r>
    <n v="15661060"/>
    <m/>
    <m/>
    <m/>
    <m/>
    <m/>
    <m/>
    <m/>
    <m/>
    <s v="H"/>
    <x v="1"/>
    <s v="ANGUS NEGRO"/>
    <x v="85"/>
    <s v="30-10-2017"/>
    <s v="Vivo"/>
    <x v="0"/>
    <s v="11.2.01.0038"/>
    <s v="11.1.01.1241"/>
    <x v="0"/>
    <m/>
  </r>
  <r>
    <n v="15661061"/>
    <m/>
    <m/>
    <m/>
    <m/>
    <m/>
    <d v="2023-06-13T00:00:00"/>
    <m/>
    <m/>
    <s v="H"/>
    <x v="1"/>
    <s v="ANGUS NEGRO"/>
    <x v="84"/>
    <s v="20-09-2017"/>
    <s v="Vivo"/>
    <x v="5"/>
    <s v="11.1.01.0893"/>
    <s v="11.1.01.1241"/>
    <x v="0"/>
    <m/>
  </r>
  <r>
    <n v="15661063"/>
    <m/>
    <m/>
    <m/>
    <m/>
    <m/>
    <d v="2023-12-28T00:00:00"/>
    <d v="2024-12-22T00:00:00"/>
    <d v="2025-01-14T00:00:00"/>
    <s v="H"/>
    <x v="1"/>
    <s v="ANGUS NEGRO"/>
    <x v="84"/>
    <s v="30-09-2017"/>
    <s v="Vivo"/>
    <x v="0"/>
    <s v="11.2.01.0038"/>
    <s v="11.1.01.1241"/>
    <x v="0"/>
    <m/>
  </r>
  <r>
    <n v="15661069"/>
    <m/>
    <m/>
    <m/>
    <m/>
    <m/>
    <d v="2023-10-14T00:00:00"/>
    <m/>
    <m/>
    <s v="H"/>
    <x v="1"/>
    <s v="ANGUS NEGRO"/>
    <x v="85"/>
    <s v="10-11-2017"/>
    <s v="Vivo"/>
    <x v="0"/>
    <s v="Sin Movimiento"/>
    <s v="11.1.01.1241"/>
    <x v="0"/>
    <m/>
  </r>
  <r>
    <n v="15661072"/>
    <m/>
    <m/>
    <m/>
    <m/>
    <m/>
    <d v="2023-12-28T00:00:00"/>
    <d v="2024-01-06T00:00:00"/>
    <m/>
    <s v="H"/>
    <x v="1"/>
    <s v="ANGUS NEGRO"/>
    <x v="85"/>
    <s v="20-10-2017"/>
    <s v="Vivo"/>
    <x v="4"/>
    <s v="11.1.01.0893"/>
    <s v="11.1.01.1241"/>
    <x v="0"/>
    <m/>
  </r>
  <r>
    <n v="15661083"/>
    <m/>
    <m/>
    <m/>
    <m/>
    <m/>
    <d v="2023-12-28T00:00:00"/>
    <m/>
    <m/>
    <s v="H"/>
    <x v="1"/>
    <s v="ANGUS NEGRO"/>
    <x v="85"/>
    <s v="30-10-2017"/>
    <s v="Vivo"/>
    <x v="0"/>
    <s v="11.1.01.1022"/>
    <s v="11.1.01.1241"/>
    <x v="0"/>
    <m/>
  </r>
  <r>
    <n v="15661090"/>
    <m/>
    <m/>
    <m/>
    <m/>
    <m/>
    <d v="2023-10-14T00:00:00"/>
    <m/>
    <m/>
    <s v="H"/>
    <x v="1"/>
    <s v="ANGUS ROJO"/>
    <x v="84"/>
    <s v="10-10-2017"/>
    <s v="Vivo"/>
    <x v="2"/>
    <s v="11.1.01.0941"/>
    <s v="11.1.01.1241"/>
    <x v="0"/>
    <m/>
  </r>
  <r>
    <n v="15661093"/>
    <m/>
    <m/>
    <m/>
    <m/>
    <m/>
    <d v="2023-10-14T00:00:00"/>
    <m/>
    <m/>
    <s v="H"/>
    <x v="1"/>
    <s v="ANGUS NEGRO"/>
    <x v="84"/>
    <s v="30-09-2017"/>
    <s v="Vivo"/>
    <x v="0"/>
    <s v="11.1.01.1022"/>
    <s v="11.1.01.1241"/>
    <x v="0"/>
    <m/>
  </r>
  <r>
    <n v="15661098"/>
    <m/>
    <m/>
    <m/>
    <m/>
    <m/>
    <d v="2023-10-14T00:00:00"/>
    <m/>
    <m/>
    <s v="H"/>
    <x v="1"/>
    <s v="ANGUS NEGRO"/>
    <x v="84"/>
    <s v="10-10-2017"/>
    <s v="Vivo"/>
    <x v="0"/>
    <s v="11.1.01.1022"/>
    <s v="11.1.01.1241"/>
    <x v="0"/>
    <m/>
  </r>
  <r>
    <n v="15661107"/>
    <m/>
    <m/>
    <m/>
    <m/>
    <m/>
    <d v="2023-10-14T00:00:00"/>
    <m/>
    <m/>
    <s v="H"/>
    <x v="1"/>
    <s v="ANGUS ROJO"/>
    <x v="85"/>
    <s v="10-11-2017"/>
    <s v="Vivo"/>
    <x v="4"/>
    <s v="11.1.01.0893"/>
    <s v="11.1.01.1241"/>
    <x v="0"/>
    <m/>
  </r>
  <r>
    <n v="15661116"/>
    <m/>
    <m/>
    <m/>
    <m/>
    <m/>
    <d v="2023-12-28T00:00:00"/>
    <m/>
    <m/>
    <s v="H"/>
    <x v="1"/>
    <s v="ANGUS NEGRO"/>
    <x v="85"/>
    <s v="10-11-2017"/>
    <s v="Vivo"/>
    <x v="0"/>
    <s v="Sin Movimiento"/>
    <s v="11.1.01.1241"/>
    <x v="0"/>
    <m/>
  </r>
  <r>
    <n v="15661123"/>
    <m/>
    <m/>
    <m/>
    <m/>
    <m/>
    <m/>
    <m/>
    <m/>
    <s v="H"/>
    <x v="1"/>
    <s v="ANGUS NEGRO"/>
    <x v="84"/>
    <s v="15-10-2017"/>
    <s v="Vivo"/>
    <x v="3"/>
    <s v="11.2.01.0053"/>
    <s v="11.1.01.1241"/>
    <x v="0"/>
    <m/>
  </r>
  <r>
    <n v="15661131"/>
    <m/>
    <m/>
    <m/>
    <m/>
    <m/>
    <m/>
    <m/>
    <m/>
    <s v="H"/>
    <x v="1"/>
    <s v="ANGUS NEGRO"/>
    <x v="84"/>
    <s v="30-09-2017"/>
    <s v="Vivo"/>
    <x v="4"/>
    <s v="11.1.01.0893"/>
    <s v="11.1.01.1241"/>
    <x v="0"/>
    <m/>
  </r>
  <r>
    <n v="15661133"/>
    <m/>
    <m/>
    <m/>
    <m/>
    <m/>
    <m/>
    <m/>
    <m/>
    <s v="H"/>
    <x v="1"/>
    <s v="ANGUS NEGRO"/>
    <x v="87"/>
    <s v="20-11-2017"/>
    <s v="Vivo"/>
    <x v="0"/>
    <s v="Sin Movimiento"/>
    <s v="11.1.01.1241"/>
    <x v="0"/>
    <m/>
  </r>
  <r>
    <n v="15661158"/>
    <m/>
    <m/>
    <m/>
    <m/>
    <m/>
    <d v="2023-12-28T00:00:00"/>
    <d v="2024-12-22T00:00:00"/>
    <d v="2025-01-14T00:00:00"/>
    <s v="H"/>
    <x v="1"/>
    <s v="ANGUS NEGRO"/>
    <x v="84"/>
    <s v="20-09-2017"/>
    <s v="Vivo"/>
    <x v="0"/>
    <s v="11.2.01.0038"/>
    <s v="11.1.01.1241"/>
    <x v="0"/>
    <m/>
  </r>
  <r>
    <n v="15661164"/>
    <m/>
    <m/>
    <m/>
    <m/>
    <m/>
    <d v="2023-12-28T00:00:00"/>
    <d v="2024-12-22T00:00:00"/>
    <d v="2025-11-04T00:00:00"/>
    <s v="H"/>
    <x v="1"/>
    <s v="ANGUS NEGRO"/>
    <x v="86"/>
    <s v="10-09-2017"/>
    <s v="Vivo"/>
    <x v="0"/>
    <s v="11.2.01.0038"/>
    <s v="11.1.01.1241"/>
    <x v="0"/>
    <m/>
  </r>
  <r>
    <n v="15661169"/>
    <m/>
    <m/>
    <m/>
    <m/>
    <m/>
    <d v="2023-10-14T00:00:00"/>
    <m/>
    <m/>
    <s v="H"/>
    <x v="1"/>
    <s v="ANGUS ROJO"/>
    <x v="88"/>
    <s v="05-02-2018"/>
    <s v="Vivo"/>
    <x v="2"/>
    <s v="11.1.01.0941"/>
    <s v="11.1.01.1241"/>
    <x v="0"/>
    <m/>
  </r>
  <r>
    <n v="15661173"/>
    <m/>
    <m/>
    <m/>
    <m/>
    <m/>
    <m/>
    <m/>
    <m/>
    <s v="H"/>
    <x v="1"/>
    <s v="ANGUS NEGRO"/>
    <x v="84"/>
    <s v="20-09-2017"/>
    <s v="Vivo"/>
    <x v="4"/>
    <s v="11.1.01.0893"/>
    <s v="11.1.01.1241"/>
    <x v="0"/>
    <m/>
  </r>
  <r>
    <n v="15661174"/>
    <m/>
    <m/>
    <m/>
    <m/>
    <m/>
    <m/>
    <d v="2024-12-22T00:00:00"/>
    <d v="2025-11-05T00:00:00"/>
    <s v="H"/>
    <x v="1"/>
    <s v="ANGUS NEGRO"/>
    <x v="84"/>
    <s v="20-09-2017"/>
    <s v="Vivo"/>
    <x v="8"/>
    <s v="11.1.01.0190"/>
    <s v="11.1.01.1241"/>
    <x v="0"/>
    <m/>
  </r>
  <r>
    <n v="15661178"/>
    <m/>
    <m/>
    <m/>
    <m/>
    <m/>
    <d v="2023-12-28T00:00:00"/>
    <m/>
    <m/>
    <s v="H"/>
    <x v="1"/>
    <s v="ANGUS NEGRO"/>
    <x v="85"/>
    <s v="30-10-2017"/>
    <s v="Vivo"/>
    <x v="4"/>
    <s v="11.1.01.0893"/>
    <s v="11.1.01.1241"/>
    <x v="0"/>
    <m/>
  </r>
  <r>
    <n v="15661286"/>
    <m/>
    <m/>
    <m/>
    <m/>
    <m/>
    <d v="2023-10-14T00:00:00"/>
    <m/>
    <m/>
    <s v="no existe"/>
    <x v="2"/>
    <s v="no existe"/>
    <x v="4"/>
    <s v="no existe"/>
    <s v="no existe"/>
    <x v="1"/>
    <s v="no existe"/>
    <s v="no existe"/>
    <x v="1"/>
    <m/>
  </r>
  <r>
    <n v="15661297"/>
    <m/>
    <m/>
    <m/>
    <m/>
    <m/>
    <d v="2023-10-14T00:00:00"/>
    <m/>
    <m/>
    <s v="H"/>
    <x v="1"/>
    <s v="ANGUS NEGRO"/>
    <x v="84"/>
    <s v="30-09-2017"/>
    <s v="Vivo"/>
    <x v="11"/>
    <s v="11.1.02.0004"/>
    <s v="11.1.01.0893"/>
    <x v="0"/>
    <m/>
  </r>
  <r>
    <n v="15661298"/>
    <m/>
    <m/>
    <m/>
    <m/>
    <m/>
    <d v="2023-12-28T00:00:00"/>
    <d v="2024-12-22T00:00:00"/>
    <d v="2025-11-05T00:00:00"/>
    <s v="H"/>
    <x v="1"/>
    <s v="ANGUS NEGRO"/>
    <x v="85"/>
    <s v="30-10-2017"/>
    <s v="Vivo"/>
    <x v="8"/>
    <s v="11.1.01.0190"/>
    <s v="11.1.01.0893"/>
    <x v="0"/>
    <m/>
  </r>
  <r>
    <n v="15661310"/>
    <m/>
    <m/>
    <m/>
    <m/>
    <m/>
    <d v="2023-12-28T00:00:00"/>
    <m/>
    <m/>
    <s v="H"/>
    <x v="1"/>
    <s v="ANGUS NEGRO"/>
    <x v="84"/>
    <s v="10-10-2017"/>
    <s v="Vivo"/>
    <x v="0"/>
    <s v="11.2.01.0038"/>
    <s v="11.1.01.0893"/>
    <x v="0"/>
    <m/>
  </r>
  <r>
    <n v="15661311"/>
    <m/>
    <m/>
    <m/>
    <m/>
    <m/>
    <m/>
    <d v="2024-12-22T00:00:00"/>
    <d v="2025-11-04T00:00:00"/>
    <s v="H"/>
    <x v="1"/>
    <s v="ANGUS NEGRO"/>
    <x v="84"/>
    <s v="30-09-2017"/>
    <s v="Vivo"/>
    <x v="7"/>
    <s v="11.1.01.1241"/>
    <s v="11.1.01.0893"/>
    <x v="0"/>
    <m/>
  </r>
  <r>
    <n v="15661313"/>
    <m/>
    <m/>
    <m/>
    <m/>
    <m/>
    <m/>
    <m/>
    <m/>
    <s v="H"/>
    <x v="1"/>
    <s v="ANGUS NEGRO"/>
    <x v="84"/>
    <s v="10-10-2017"/>
    <s v="Vivo"/>
    <x v="5"/>
    <s v="11.1.01.0893"/>
    <s v="11.1.01.0893"/>
    <x v="0"/>
    <m/>
  </r>
  <r>
    <n v="15661316"/>
    <m/>
    <m/>
    <m/>
    <m/>
    <m/>
    <d v="2023-12-28T00:00:00"/>
    <d v="2024-01-06T00:00:00"/>
    <m/>
    <s v="H"/>
    <x v="1"/>
    <s v="ANGUS NEGRO"/>
    <x v="84"/>
    <s v="30-09-2017"/>
    <s v="Vivo"/>
    <x v="5"/>
    <s v="11.1.01.0893"/>
    <s v="11.1.01.0893"/>
    <x v="0"/>
    <m/>
  </r>
  <r>
    <n v="15661317"/>
    <m/>
    <m/>
    <m/>
    <m/>
    <m/>
    <m/>
    <d v="2024-12-22T00:00:00"/>
    <d v="2025-11-04T00:00:00"/>
    <s v="H"/>
    <x v="1"/>
    <s v="ANGUS NEGRO"/>
    <x v="85"/>
    <s v="30-10-2017"/>
    <s v="Vivo"/>
    <x v="10"/>
    <s v="11.1.01.0190"/>
    <s v="11.1.01.0893"/>
    <x v="0"/>
    <m/>
  </r>
  <r>
    <n v="15661320"/>
    <m/>
    <m/>
    <m/>
    <m/>
    <m/>
    <d v="2023-12-28T00:00:00"/>
    <m/>
    <m/>
    <s v="H"/>
    <x v="1"/>
    <s v="ANGUS NEGRO"/>
    <x v="85"/>
    <s v="20-10-2017"/>
    <s v="Vivo"/>
    <x v="0"/>
    <s v="11.2.01.0038"/>
    <s v="11.1.01.0893"/>
    <x v="0"/>
    <m/>
  </r>
  <r>
    <n v="15661321"/>
    <m/>
    <m/>
    <m/>
    <m/>
    <m/>
    <m/>
    <m/>
    <m/>
    <s v="H"/>
    <x v="1"/>
    <s v="ANGUS NEGRO"/>
    <x v="85"/>
    <s v="30-10-2017"/>
    <s v="Vivo"/>
    <x v="4"/>
    <s v="11.1.01.0893"/>
    <s v="11.1.01.0893"/>
    <x v="0"/>
    <m/>
  </r>
  <r>
    <n v="15661323"/>
    <m/>
    <m/>
    <m/>
    <m/>
    <m/>
    <d v="2023-12-28T00:00:00"/>
    <m/>
    <m/>
    <s v="H"/>
    <x v="1"/>
    <s v="ANGUS NEGRO"/>
    <x v="85"/>
    <s v="30-10-2017"/>
    <s v="Vivo"/>
    <x v="4"/>
    <s v="11.1.01.0893"/>
    <s v="11.1.01.0893"/>
    <x v="0"/>
    <m/>
  </r>
  <r>
    <n v="15661324"/>
    <m/>
    <m/>
    <m/>
    <m/>
    <m/>
    <d v="2023-12-28T00:00:00"/>
    <d v="2024-12-22T00:00:00"/>
    <d v="2025-11-05T00:00:00"/>
    <s v="H"/>
    <x v="1"/>
    <s v="ANGUS NEGRO"/>
    <x v="84"/>
    <s v="30-09-2017"/>
    <s v="Vivo"/>
    <x v="8"/>
    <s v="11.1.01.0190"/>
    <s v="11.1.01.0893"/>
    <x v="0"/>
    <m/>
  </r>
  <r>
    <n v="15661338"/>
    <m/>
    <m/>
    <m/>
    <m/>
    <m/>
    <d v="2023-12-28T00:00:00"/>
    <m/>
    <m/>
    <s v="H"/>
    <x v="1"/>
    <s v="ANGUS NEGRO"/>
    <x v="85"/>
    <s v="30-10-2017"/>
    <s v="Vivo"/>
    <x v="4"/>
    <s v="11.1.01.0893"/>
    <s v="11.1.01.0893"/>
    <x v="0"/>
    <m/>
  </r>
  <r>
    <n v="15661350"/>
    <m/>
    <m/>
    <m/>
    <m/>
    <m/>
    <d v="2023-12-28T00:00:00"/>
    <m/>
    <m/>
    <s v="H"/>
    <x v="1"/>
    <s v="ANGUS NEGRO"/>
    <x v="42"/>
    <s v="10-10-2011"/>
    <s v="Vivo"/>
    <x v="0"/>
    <s v="11.1.01.1022"/>
    <s v="11.1.01.1241"/>
    <x v="2"/>
    <m/>
  </r>
  <r>
    <n v="15661356"/>
    <m/>
    <m/>
    <m/>
    <m/>
    <m/>
    <d v="2023-10-14T00:00:00"/>
    <m/>
    <m/>
    <s v="H"/>
    <x v="1"/>
    <s v="ANGUS NEGRO"/>
    <x v="83"/>
    <s v="11-03-2017"/>
    <s v="Muerto"/>
    <x v="12"/>
    <s v="11.1.01.0190"/>
    <s v="11.1.01.1241"/>
    <x v="2"/>
    <m/>
  </r>
  <r>
    <n v="15661359"/>
    <m/>
    <m/>
    <m/>
    <m/>
    <m/>
    <d v="2023-10-14T00:00:00"/>
    <m/>
    <m/>
    <s v="no existe"/>
    <x v="2"/>
    <s v="no existe"/>
    <x v="4"/>
    <s v="no existe"/>
    <s v="no existe"/>
    <x v="1"/>
    <s v="no existe"/>
    <s v="no existe"/>
    <x v="1"/>
    <m/>
  </r>
  <r>
    <n v="15661366"/>
    <m/>
    <m/>
    <m/>
    <m/>
    <m/>
    <m/>
    <m/>
    <m/>
    <s v="H"/>
    <x v="1"/>
    <s v="ANGUS NEGRO"/>
    <x v="86"/>
    <s v="30-08-2017"/>
    <s v="Vivo"/>
    <x v="11"/>
    <s v="11.1.02.0004"/>
    <s v="11.2.01.0038"/>
    <x v="0"/>
    <m/>
  </r>
  <r>
    <n v="15661373"/>
    <m/>
    <m/>
    <m/>
    <m/>
    <m/>
    <d v="2023-12-28T00:00:00"/>
    <d v="2024-12-22T00:00:00"/>
    <d v="2025-11-04T00:00:00"/>
    <s v="H"/>
    <x v="1"/>
    <s v="ANGUS NEGRO"/>
    <x v="84"/>
    <s v="10-10-2017"/>
    <s v="Vivo"/>
    <x v="8"/>
    <s v="11.1.01.0190"/>
    <s v="11.2.01.0038"/>
    <x v="0"/>
    <m/>
  </r>
  <r>
    <n v="15661375"/>
    <m/>
    <m/>
    <m/>
    <m/>
    <m/>
    <d v="2023-12-28T00:00:00"/>
    <d v="2024-12-22T00:00:00"/>
    <d v="2025-11-04T00:00:00"/>
    <s v="H"/>
    <x v="1"/>
    <s v="ANGUS NEGRO"/>
    <x v="88"/>
    <s v="20-01-2018"/>
    <s v="Vivo"/>
    <x v="0"/>
    <s v="11.2.01.0038"/>
    <s v="11.2.01.0038"/>
    <x v="0"/>
    <m/>
  </r>
  <r>
    <n v="15661377"/>
    <m/>
    <m/>
    <m/>
    <m/>
    <m/>
    <d v="2023-12-28T00:00:00"/>
    <m/>
    <m/>
    <s v="H"/>
    <x v="1"/>
    <s v="ANGUS ROJO"/>
    <x v="88"/>
    <s v="30-01-2018"/>
    <s v="Vivo"/>
    <x v="0"/>
    <s v="11.2.01.0038"/>
    <s v="11.2.01.0038"/>
    <x v="0"/>
    <m/>
  </r>
  <r>
    <n v="15661378"/>
    <m/>
    <m/>
    <m/>
    <m/>
    <m/>
    <m/>
    <d v="2024-12-22T00:00:00"/>
    <d v="2025-11-04T00:00:00"/>
    <s v="H"/>
    <x v="1"/>
    <s v="ANGUS NEGRO"/>
    <x v="89"/>
    <s v="01-03-2018"/>
    <s v="Vivo"/>
    <x v="8"/>
    <s v="11.1.01.0190"/>
    <s v="11.2.01.0038"/>
    <x v="0"/>
    <m/>
  </r>
  <r>
    <n v="15661391"/>
    <m/>
    <m/>
    <m/>
    <m/>
    <m/>
    <m/>
    <m/>
    <m/>
    <s v="H"/>
    <x v="1"/>
    <s v="ANGUS NEGRO"/>
    <x v="49"/>
    <s v="10-10-2012"/>
    <s v="Vivo"/>
    <x v="0"/>
    <s v="11.1.01.0893"/>
    <s v="11.1.01.0893"/>
    <x v="2"/>
    <m/>
  </r>
  <r>
    <n v="15661393"/>
    <m/>
    <m/>
    <m/>
    <m/>
    <m/>
    <d v="2023-12-28T00:00:00"/>
    <m/>
    <m/>
    <s v="M"/>
    <x v="3"/>
    <s v="ANGUS NEGRO"/>
    <x v="84"/>
    <s v="15-10-2017"/>
    <s v="Vivo"/>
    <x v="3"/>
    <s v="Sin Movimiento"/>
    <s v="11.1.01.0893"/>
    <x v="0"/>
    <m/>
  </r>
  <r>
    <n v="15661396"/>
    <m/>
    <m/>
    <m/>
    <m/>
    <m/>
    <d v="2023-12-28T00:00:00"/>
    <m/>
    <m/>
    <s v="H"/>
    <x v="1"/>
    <s v="ANGUS NEGRO"/>
    <x v="90"/>
    <s v="30-03-2018"/>
    <s v="Vivo"/>
    <x v="0"/>
    <s v="11.2.01.0038"/>
    <s v="11.2.01.0038"/>
    <x v="0"/>
    <m/>
  </r>
  <r>
    <n v="15661432"/>
    <m/>
    <m/>
    <m/>
    <m/>
    <m/>
    <d v="2023-06-16T00:00:00"/>
    <m/>
    <m/>
    <s v="H"/>
    <x v="1"/>
    <s v="LIMOUSIN"/>
    <x v="91"/>
    <s v="20-09-2018"/>
    <s v="Vivo"/>
    <x v="0"/>
    <s v="Sin Movimiento"/>
    <s v="11.1.01.1241"/>
    <x v="0"/>
    <m/>
  </r>
  <r>
    <n v="15661435"/>
    <m/>
    <m/>
    <m/>
    <m/>
    <m/>
    <d v="2023-06-16T00:00:00"/>
    <m/>
    <m/>
    <s v="H"/>
    <x v="1"/>
    <s v="ANGUS NEGRO"/>
    <x v="91"/>
    <s v="20-09-2018"/>
    <s v="Vivo"/>
    <x v="7"/>
    <s v="11.1.01.0893"/>
    <s v="11.1.01.1241"/>
    <x v="0"/>
    <m/>
  </r>
  <r>
    <n v="15661436"/>
    <m/>
    <m/>
    <m/>
    <m/>
    <m/>
    <d v="2023-06-16T00:00:00"/>
    <m/>
    <m/>
    <s v="H"/>
    <x v="1"/>
    <s v="ANGUS NEGRO"/>
    <x v="91"/>
    <s v="20-09-2018"/>
    <s v="Vivo"/>
    <x v="4"/>
    <s v="11.1.01.1241"/>
    <s v="11.1.01.1241"/>
    <x v="0"/>
    <m/>
  </r>
  <r>
    <n v="16190664"/>
    <n v="2636122"/>
    <m/>
    <m/>
    <m/>
    <m/>
    <d v="2023-06-16T00:00:00"/>
    <m/>
    <m/>
    <s v="M"/>
    <x v="0"/>
    <s v="ANGUS NEGRO"/>
    <x v="91"/>
    <s v="22-09-2018"/>
    <s v="Vivo"/>
    <x v="0"/>
    <s v="11.1.01.1014"/>
    <s v="11.2.01.0251"/>
    <x v="2"/>
    <m/>
  </r>
  <r>
    <n v="16190671"/>
    <n v="2636117"/>
    <m/>
    <m/>
    <m/>
    <m/>
    <m/>
    <m/>
    <d v="2025-06-10T00:00:00"/>
    <s v="M"/>
    <x v="3"/>
    <s v="ANGUS NEGRO"/>
    <x v="92"/>
    <s v="29-10-2018"/>
    <s v="Vivo"/>
    <x v="13"/>
    <s v="11.1.01.2442"/>
    <s v="11.2.01.0251"/>
    <x v="0"/>
    <m/>
  </r>
  <r>
    <n v="16390406"/>
    <m/>
    <m/>
    <m/>
    <m/>
    <m/>
    <d v="2023-06-16T00:00:00"/>
    <m/>
    <m/>
    <s v="H"/>
    <x v="1"/>
    <s v="ANGUS NEGRO"/>
    <x v="93"/>
    <s v="30-10-2020"/>
    <s v="Vivo"/>
    <x v="0"/>
    <s v="11.1.01.1022"/>
    <s v="11.1.01.0893"/>
    <x v="0"/>
    <d v="2021-03-19T00:00:00"/>
  </r>
  <r>
    <n v="16390415"/>
    <m/>
    <m/>
    <m/>
    <m/>
    <m/>
    <d v="2023-06-16T00:00:00"/>
    <d v="2024-12-22T00:00:00"/>
    <d v="2025-11-05T00:00:00"/>
    <s v="H"/>
    <x v="1"/>
    <s v="ANGUS NEGRO"/>
    <x v="93"/>
    <s v="10-11-2020"/>
    <s v="Vivo"/>
    <x v="8"/>
    <s v="11.1.01.0190"/>
    <s v="11.1.01.0893"/>
    <x v="0"/>
    <d v="2021-03-19T00:00:00"/>
  </r>
  <r>
    <n v="16390420"/>
    <m/>
    <m/>
    <m/>
    <m/>
    <m/>
    <m/>
    <m/>
    <m/>
    <s v="H"/>
    <x v="1"/>
    <s v="ANGUS NEGRO"/>
    <x v="94"/>
    <s v="30-12-2020"/>
    <s v="Vivo"/>
    <x v="2"/>
    <s v="11.2.01.0053"/>
    <s v="11.1.01.0893"/>
    <x v="0"/>
    <d v="2021-03-19T00:00:00"/>
  </r>
  <r>
    <n v="16390423"/>
    <m/>
    <m/>
    <m/>
    <m/>
    <m/>
    <m/>
    <m/>
    <m/>
    <s v="H"/>
    <x v="1"/>
    <s v="ANGUS NEGRO"/>
    <x v="93"/>
    <s v="10-11-2020"/>
    <s v="Vivo"/>
    <x v="2"/>
    <s v="11.2.01.0053"/>
    <s v="11.1.01.0893"/>
    <x v="0"/>
    <d v="2021-03-19T00:00:00"/>
  </r>
  <r>
    <n v="16390431"/>
    <m/>
    <m/>
    <m/>
    <m/>
    <m/>
    <d v="2023-06-16T00:00:00"/>
    <d v="2024-12-22T00:00:00"/>
    <d v="2025-11-04T00:00:00"/>
    <s v="H"/>
    <x v="1"/>
    <s v="ANGUS NEGRO"/>
    <x v="62"/>
    <s v="30-12-2015"/>
    <s v="Vivo"/>
    <x v="8"/>
    <s v="11.1.01.0190"/>
    <s v="11.1.01.1241"/>
    <x v="2"/>
    <d v="2021-03-28T00:00:00"/>
  </r>
  <r>
    <n v="16390435"/>
    <m/>
    <m/>
    <m/>
    <m/>
    <m/>
    <d v="2023-06-16T00:00:00"/>
    <m/>
    <m/>
    <s v="H"/>
    <x v="1"/>
    <s v="ANGUS NEGRO"/>
    <x v="62"/>
    <s v="30-12-2015"/>
    <s v="Vivo"/>
    <x v="8"/>
    <s v="11.1.01.1240"/>
    <s v="11.1.01.1241"/>
    <x v="2"/>
    <d v="2021-03-28T00:00:00"/>
  </r>
  <r>
    <n v="16390436"/>
    <m/>
    <m/>
    <m/>
    <m/>
    <m/>
    <d v="2023-06-16T00:00:00"/>
    <d v="2024-12-22T00:00:00"/>
    <d v="2025-01-14T00:00:00"/>
    <s v="H"/>
    <x v="1"/>
    <s v="ANGUS ROJO"/>
    <x v="62"/>
    <s v="30-12-2015"/>
    <s v="Vivo"/>
    <x v="6"/>
    <s v="11.1.01.1241"/>
    <s v="11.1.01.1241"/>
    <x v="2"/>
    <d v="2021-03-28T00:00:00"/>
  </r>
  <r>
    <n v="16390444"/>
    <m/>
    <m/>
    <m/>
    <m/>
    <m/>
    <d v="2023-06-16T00:00:00"/>
    <d v="2024-12-22T00:00:00"/>
    <d v="2025-01-14T00:00:00"/>
    <s v="H"/>
    <x v="1"/>
    <s v="ANGUS NEGRO"/>
    <x v="95"/>
    <s v="30-09-2020"/>
    <s v="Vivo"/>
    <x v="0"/>
    <s v="11.1.01.1022"/>
    <s v="11.1.01.0893"/>
    <x v="0"/>
    <m/>
  </r>
  <r>
    <n v="16390452"/>
    <m/>
    <m/>
    <m/>
    <m/>
    <m/>
    <m/>
    <m/>
    <m/>
    <s v="H"/>
    <x v="1"/>
    <s v="ANGUS ROJO"/>
    <x v="43"/>
    <s v="30-10-2011"/>
    <s v="Vivo"/>
    <x v="0"/>
    <s v="11.2.01.0038"/>
    <s v="11.1.01.1241"/>
    <x v="0"/>
    <m/>
  </r>
  <r>
    <n v="16390453"/>
    <m/>
    <m/>
    <m/>
    <m/>
    <m/>
    <d v="2023-06-16T00:00:00"/>
    <m/>
    <m/>
    <s v="H"/>
    <x v="1"/>
    <s v="ANGUS NEGRO"/>
    <x v="73"/>
    <s v="30-08-2014"/>
    <s v="Vivo"/>
    <x v="4"/>
    <s v="11.1.01.0893"/>
    <s v="11.1.01.2304"/>
    <x v="0"/>
    <m/>
  </r>
  <r>
    <n v="16390454"/>
    <n v="2636128"/>
    <m/>
    <m/>
    <m/>
    <m/>
    <d v="2023-06-16T00:00:00"/>
    <m/>
    <m/>
    <s v="M"/>
    <x v="3"/>
    <s v="ANGUS NEGRO"/>
    <x v="72"/>
    <s v="30-09-2015"/>
    <s v="Muerto"/>
    <x v="12"/>
    <s v="11.1.01.2442"/>
    <s v="11.1.01.0290"/>
    <x v="0"/>
    <m/>
  </r>
  <r>
    <n v="16390458"/>
    <m/>
    <m/>
    <m/>
    <m/>
    <m/>
    <d v="2023-06-16T00:00:00"/>
    <m/>
    <m/>
    <s v="H"/>
    <x v="1"/>
    <s v="ANGUS NEGRO"/>
    <x v="93"/>
    <s v="07-11-2020"/>
    <s v="Vivo"/>
    <x v="4"/>
    <s v="11.1.01.0893"/>
    <s v="11.1.01.1241"/>
    <x v="0"/>
    <m/>
  </r>
  <r>
    <n v="16390459"/>
    <m/>
    <m/>
    <m/>
    <m/>
    <m/>
    <d v="2023-06-16T00:00:00"/>
    <d v="2024-12-22T00:00:00"/>
    <d v="2025-01-14T00:00:00"/>
    <s v="H"/>
    <x v="1"/>
    <s v="ANGUS NEGRO"/>
    <x v="79"/>
    <s v="15-10-2016"/>
    <s v="Vivo"/>
    <x v="0"/>
    <s v="11.1.01.0870"/>
    <s v="11.1.01.0893"/>
    <x v="0"/>
    <m/>
  </r>
  <r>
    <n v="16390462"/>
    <m/>
    <m/>
    <m/>
    <m/>
    <m/>
    <d v="2023-06-16T00:00:00"/>
    <d v="2024-12-22T00:00:00"/>
    <d v="2025-01-14T00:00:00"/>
    <s v="H"/>
    <x v="1"/>
    <s v="ANGUS NEGRO"/>
    <x v="61"/>
    <s v="30-10-2015"/>
    <s v="Vivo"/>
    <x v="8"/>
    <s v="11.1.01.0190"/>
    <s v="11.1.01.1241"/>
    <x v="0"/>
    <m/>
  </r>
  <r>
    <n v="16390467"/>
    <m/>
    <m/>
    <m/>
    <m/>
    <m/>
    <d v="2023-06-16T00:00:00"/>
    <d v="2024-12-22T00:00:00"/>
    <d v="2025-01-14T00:00:00"/>
    <s v="H"/>
    <x v="1"/>
    <s v="ANGUS NEGRO"/>
    <x v="51"/>
    <s v="30-09-2014"/>
    <s v="Vivo"/>
    <x v="0"/>
    <s v="11.2.01.0038"/>
    <s v="11.1.01.1081"/>
    <x v="0"/>
    <m/>
  </r>
  <r>
    <n v="16390471"/>
    <m/>
    <m/>
    <m/>
    <m/>
    <m/>
    <d v="2023-06-16T00:00:00"/>
    <m/>
    <m/>
    <s v="H"/>
    <x v="1"/>
    <s v="ANGUS NEGRO"/>
    <x v="72"/>
    <s v="15-10-2015"/>
    <s v="Vivo"/>
    <x v="0"/>
    <s v="Sin Movimiento"/>
    <s v="11.1.01.1241"/>
    <x v="2"/>
    <m/>
  </r>
  <r>
    <n v="16390472"/>
    <m/>
    <m/>
    <m/>
    <m/>
    <m/>
    <d v="2023-06-16T00:00:00"/>
    <d v="2024-12-22T00:00:00"/>
    <d v="2025-01-14T00:00:00"/>
    <s v="H"/>
    <x v="1"/>
    <s v="ANGUS NEGRO"/>
    <x v="62"/>
    <s v="30-12-2015"/>
    <s v="Vivo"/>
    <x v="0"/>
    <s v="11.2.01.0038"/>
    <s v="11.1.01.1241"/>
    <x v="2"/>
    <m/>
  </r>
  <r>
    <n v="16390473"/>
    <m/>
    <m/>
    <m/>
    <m/>
    <m/>
    <d v="2023-06-16T00:00:00"/>
    <d v="2024-12-22T00:00:00"/>
    <d v="2025-01-14T00:00:00"/>
    <s v="H"/>
    <x v="1"/>
    <s v="ANGUS NEGRO"/>
    <x v="72"/>
    <s v="15-10-2015"/>
    <s v="Vivo"/>
    <x v="0"/>
    <s v="Sin Movimiento"/>
    <s v="11.1.01.1241"/>
    <x v="2"/>
    <m/>
  </r>
  <r>
    <n v="16390474"/>
    <m/>
    <m/>
    <m/>
    <m/>
    <m/>
    <d v="2023-06-16T00:00:00"/>
    <d v="2024-12-22T00:00:00"/>
    <d v="2025-11-04T00:00:00"/>
    <s v="H"/>
    <x v="1"/>
    <s v="ANGUS NEGRO"/>
    <x v="72"/>
    <s v="15-10-2015"/>
    <s v="Vivo"/>
    <x v="8"/>
    <s v="11.1.01.0190"/>
    <s v="11.1.01.1241"/>
    <x v="2"/>
    <m/>
  </r>
  <r>
    <n v="16390480"/>
    <m/>
    <m/>
    <m/>
    <m/>
    <m/>
    <d v="2023-06-16T00:00:00"/>
    <m/>
    <m/>
    <s v="H"/>
    <x v="1"/>
    <s v="ANGUS NEGRO"/>
    <x v="72"/>
    <s v="15-10-2015"/>
    <s v="Vivo"/>
    <x v="4"/>
    <s v="11.1.01.0893"/>
    <s v="11.1.01.1241"/>
    <x v="2"/>
    <m/>
  </r>
  <r>
    <n v="16390491"/>
    <m/>
    <m/>
    <m/>
    <m/>
    <m/>
    <d v="2023-06-16T00:00:00"/>
    <m/>
    <m/>
    <s v="no existe"/>
    <x v="2"/>
    <s v="no existe"/>
    <x v="4"/>
    <s v="no existe"/>
    <s v="no existe"/>
    <x v="1"/>
    <s v="no existe"/>
    <s v="no existe"/>
    <x v="1"/>
    <d v="2021-06-20T00:00:00"/>
  </r>
  <r>
    <n v="16390503"/>
    <m/>
    <m/>
    <m/>
    <m/>
    <m/>
    <d v="2023-06-16T00:00:00"/>
    <m/>
    <m/>
    <s v="H"/>
    <x v="1"/>
    <s v="ANGUS NEGRO"/>
    <x v="49"/>
    <s v="15-10-2012"/>
    <s v="Vivo"/>
    <x v="11"/>
    <s v="11.1.02.0004"/>
    <s v="11.1.01.0941"/>
    <x v="2"/>
    <d v="2021-07-08T00:00:00"/>
  </r>
  <r>
    <n v="16390516"/>
    <n v="2636118"/>
    <m/>
    <m/>
    <m/>
    <m/>
    <d v="2023-06-16T00:00:00"/>
    <m/>
    <m/>
    <s v="M"/>
    <x v="3"/>
    <s v="ANGUS NEGRO"/>
    <x v="37"/>
    <s v="15-10-2010"/>
    <s v="Vivo"/>
    <x v="0"/>
    <s v="11.1.01.0893"/>
    <s v="11.1.01.0290"/>
    <x v="0"/>
    <m/>
  </r>
  <r>
    <n v="16390519"/>
    <m/>
    <m/>
    <m/>
    <m/>
    <m/>
    <d v="2023-12-28T00:00:00"/>
    <m/>
    <m/>
    <s v="M"/>
    <x v="0"/>
    <s v="ANGUS NEGRO"/>
    <x v="84"/>
    <s v="15-10-2017"/>
    <s v="Vivo"/>
    <x v="0"/>
    <s v="Sin Movimiento"/>
    <s v="11.1.01.1241"/>
    <x v="2"/>
    <d v="2021-07-20T00:00:00"/>
  </r>
  <r>
    <n v="16390520"/>
    <m/>
    <m/>
    <m/>
    <m/>
    <m/>
    <m/>
    <m/>
    <m/>
    <s v="M"/>
    <x v="0"/>
    <s v="ANGUS NEGRO"/>
    <x v="84"/>
    <s v="15-10-2017"/>
    <s v="Vivo"/>
    <x v="0"/>
    <s v="Sin Movimiento"/>
    <s v="11.1.01.1241"/>
    <x v="2"/>
    <d v="2021-07-20T00:00:00"/>
  </r>
  <r>
    <n v="16390524"/>
    <m/>
    <m/>
    <m/>
    <m/>
    <m/>
    <m/>
    <m/>
    <m/>
    <s v="H"/>
    <x v="1"/>
    <s v="ANGUS NEGRO"/>
    <x v="24"/>
    <s v="15-09-2018"/>
    <s v="Vivo"/>
    <x v="5"/>
    <s v="11.1.01.0893"/>
    <s v="11.1.01.0893"/>
    <x v="0"/>
    <m/>
  </r>
  <r>
    <n v="16390525"/>
    <m/>
    <m/>
    <m/>
    <m/>
    <m/>
    <m/>
    <m/>
    <m/>
    <s v="H"/>
    <x v="1"/>
    <s v="ANGUS NEGRO"/>
    <x v="79"/>
    <s v="15-10-2016"/>
    <s v="Vivo"/>
    <x v="0"/>
    <s v="11.1.01.0893"/>
    <s v="11.1.01.1081"/>
    <x v="0"/>
    <m/>
  </r>
  <r>
    <n v="16390527"/>
    <m/>
    <m/>
    <m/>
    <m/>
    <m/>
    <m/>
    <m/>
    <m/>
    <s v="H"/>
    <x v="1"/>
    <s v="ANGUS NEGRO"/>
    <x v="79"/>
    <s v="10-10-2016"/>
    <s v="Vivo"/>
    <x v="4"/>
    <s v="11.1.01.0893"/>
    <s v="11.1.01.0791"/>
    <x v="0"/>
    <m/>
  </r>
  <r>
    <n v="16390531"/>
    <m/>
    <m/>
    <m/>
    <m/>
    <m/>
    <d v="2023-12-04T00:00:00"/>
    <d v="2024-12-22T00:00:00"/>
    <d v="2025-01-14T00:00:00"/>
    <s v="H"/>
    <x v="1"/>
    <s v="ANGUS NEGRO"/>
    <x v="72"/>
    <s v="30-09-2015"/>
    <s v="Vivo"/>
    <x v="8"/>
    <s v="11.1.01.0190"/>
    <s v="11.1.01.1081"/>
    <x v="0"/>
    <m/>
  </r>
  <r>
    <n v="16390533"/>
    <m/>
    <m/>
    <m/>
    <m/>
    <m/>
    <d v="2023-06-16T00:00:00"/>
    <d v="2024-12-22T00:00:00"/>
    <d v="2025-11-05T00:00:00"/>
    <s v="H"/>
    <x v="1"/>
    <s v="ANGUS ROJO"/>
    <x v="50"/>
    <s v="30-10-2013"/>
    <s v="Vivo"/>
    <x v="8"/>
    <s v="11.1.01.0190"/>
    <s v="11.1.01.0790"/>
    <x v="0"/>
    <m/>
  </r>
  <r>
    <n v="16390534"/>
    <m/>
    <m/>
    <m/>
    <m/>
    <m/>
    <d v="2023-06-16T00:00:00"/>
    <m/>
    <m/>
    <s v="H"/>
    <x v="1"/>
    <s v="ANGUS NEGRO"/>
    <x v="72"/>
    <s v="10-10-2015"/>
    <s v="Vivo"/>
    <x v="0"/>
    <s v="11.1.01.0893"/>
    <s v="11.1.01.2304"/>
    <x v="0"/>
    <m/>
  </r>
  <r>
    <n v="16390535"/>
    <m/>
    <m/>
    <m/>
    <m/>
    <m/>
    <d v="2023-10-14T00:00:00"/>
    <d v="2024-01-06T00:00:00"/>
    <m/>
    <s v="H"/>
    <x v="1"/>
    <s v="ANGUS NEGRO"/>
    <x v="72"/>
    <s v="10-10-2015"/>
    <s v="Vivo"/>
    <x v="4"/>
    <s v="11.1.01.0893"/>
    <s v="11.1.01.1081"/>
    <x v="0"/>
    <m/>
  </r>
  <r>
    <n v="16390536"/>
    <m/>
    <m/>
    <m/>
    <m/>
    <m/>
    <d v="2023-10-14T00:00:00"/>
    <d v="2024-12-22T00:00:00"/>
    <d v="2025-01-14T00:00:00"/>
    <s v="H"/>
    <x v="1"/>
    <s v="ANGUS NEGRO"/>
    <x v="72"/>
    <s v="15-10-2015"/>
    <s v="Vivo"/>
    <x v="0"/>
    <s v="11.1.01.0870"/>
    <s v="11.1.01.0893"/>
    <x v="2"/>
    <m/>
  </r>
  <r>
    <n v="16390542"/>
    <m/>
    <m/>
    <m/>
    <m/>
    <m/>
    <d v="2023-10-14T00:00:00"/>
    <d v="2024-12-22T00:00:00"/>
    <d v="2025-01-14T00:00:00"/>
    <s v="H"/>
    <x v="1"/>
    <s v="ANGUS NEGRO"/>
    <x v="62"/>
    <s v="30-12-2015"/>
    <s v="Vivo"/>
    <x v="0"/>
    <s v="Sin Movimiento"/>
    <s v="11.1.01.1241"/>
    <x v="2"/>
    <m/>
  </r>
  <r>
    <n v="16390546"/>
    <m/>
    <m/>
    <m/>
    <m/>
    <m/>
    <d v="2023-12-28T00:00:00"/>
    <m/>
    <m/>
    <s v="H"/>
    <x v="1"/>
    <s v="ANGUS NEGRO"/>
    <x v="79"/>
    <s v="15-10-2016"/>
    <s v="Vivo"/>
    <x v="4"/>
    <s v="11.1.01.0893"/>
    <s v="11.1.01.1081"/>
    <x v="0"/>
    <m/>
  </r>
  <r>
    <n v="16390547"/>
    <m/>
    <m/>
    <m/>
    <m/>
    <m/>
    <d v="2023-10-14T00:00:00"/>
    <m/>
    <m/>
    <s v="H"/>
    <x v="1"/>
    <s v="ANGUS NEGRO"/>
    <x v="57"/>
    <s v="15-10-2013"/>
    <s v="Vivo"/>
    <x v="0"/>
    <s v="11.1.01.0791"/>
    <s v="11.1.01.1241"/>
    <x v="0"/>
    <m/>
  </r>
  <r>
    <n v="16390548"/>
    <m/>
    <m/>
    <m/>
    <m/>
    <m/>
    <m/>
    <d v="2024-12-22T00:00:00"/>
    <d v="2025-11-04T00:00:00"/>
    <s v="H"/>
    <x v="1"/>
    <s v="ANGUS NEGRO"/>
    <x v="59"/>
    <s v="30-01-2014"/>
    <s v="Vivo"/>
    <x v="10"/>
    <s v="11.1.01.0190"/>
    <s v="11.1.01.1241"/>
    <x v="0"/>
    <m/>
  </r>
  <r>
    <n v="16390550"/>
    <m/>
    <m/>
    <m/>
    <d v="2021-06-03T00:00:00"/>
    <m/>
    <d v="2023-10-16T00:00:00"/>
    <d v="2024-12-22T00:00:00"/>
    <d v="2025-11-05T00:00:00"/>
    <s v="H"/>
    <x v="1"/>
    <s v="ANGUS NEGRO"/>
    <x v="85"/>
    <s v="14-11-2017"/>
    <s v="Vivo"/>
    <x v="8"/>
    <s v="11.1.01.0190"/>
    <s v="11.1.01.0893"/>
    <x v="0"/>
    <m/>
  </r>
  <r>
    <n v="16390551"/>
    <m/>
    <m/>
    <m/>
    <m/>
    <m/>
    <d v="2023-10-16T00:00:00"/>
    <d v="2024-12-22T00:00:00"/>
    <d v="2025-01-14T00:00:00"/>
    <s v="H"/>
    <x v="1"/>
    <s v="ANGUS NEGRO"/>
    <x v="50"/>
    <s v="20-10-2013"/>
    <s v="Vivo"/>
    <x v="0"/>
    <s v="11.1.01.0870"/>
    <s v="11.1.01.1081"/>
    <x v="0"/>
    <m/>
  </r>
  <r>
    <n v="16390553"/>
    <m/>
    <m/>
    <m/>
    <m/>
    <m/>
    <m/>
    <d v="2024-12-22T00:00:00"/>
    <d v="2025-11-05T00:00:00"/>
    <s v="H"/>
    <x v="1"/>
    <s v="ANGUS NEGRO"/>
    <x v="63"/>
    <s v="15-12-2015"/>
    <s v="Vivo"/>
    <x v="8"/>
    <s v="11.1.01.0190"/>
    <s v="11.1.01.1241"/>
    <x v="2"/>
    <d v="2022-06-15T00:00:00"/>
  </r>
  <r>
    <n v="16390554"/>
    <m/>
    <m/>
    <m/>
    <m/>
    <m/>
    <d v="2023-10-14T00:00:00"/>
    <m/>
    <m/>
    <s v="H"/>
    <x v="1"/>
    <s v="ANGUS NEGRO"/>
    <x v="96"/>
    <s v="30-09-2019"/>
    <s v="Vivo"/>
    <x v="5"/>
    <s v="11.1.01.0893"/>
    <s v="11.1.01.1241"/>
    <x v="2"/>
    <m/>
  </r>
  <r>
    <n v="16390557"/>
    <n v="2636125"/>
    <m/>
    <m/>
    <m/>
    <m/>
    <m/>
    <m/>
    <d v="2025-11-04T00:00:00"/>
    <s v="M"/>
    <x v="3"/>
    <s v="ANGUS NEGRO"/>
    <x v="97"/>
    <s v="01-11-2019"/>
    <s v="Vivo"/>
    <x v="8"/>
    <s v="11.1.01.0190"/>
    <s v="11.1.01.0893"/>
    <x v="2"/>
    <d v="2021-12-02T00:00:00"/>
  </r>
  <r>
    <n v="16390558"/>
    <n v="2636148"/>
    <m/>
    <m/>
    <m/>
    <m/>
    <m/>
    <m/>
    <d v="2025-06-10T00:00:00"/>
    <s v="M"/>
    <x v="0"/>
    <s v="ANGUS NEGRO"/>
    <x v="97"/>
    <s v="01-11-2019"/>
    <s v="Vivo"/>
    <x v="4"/>
    <s v="11.1.01.1241"/>
    <s v="11.1.01.1241"/>
    <x v="2"/>
    <d v="2022-11-29T00:00:00"/>
  </r>
  <r>
    <n v="16390559"/>
    <n v="2636149"/>
    <m/>
    <m/>
    <m/>
    <m/>
    <m/>
    <d v="2024-12-10T00:00:00"/>
    <m/>
    <s v="M"/>
    <x v="0"/>
    <s v="ANGUS NEGRO"/>
    <x v="96"/>
    <s v="30-09-2019"/>
    <s v="Vivo"/>
    <x v="5"/>
    <s v="11.1.01.0893"/>
    <s v="11.1.01.1241"/>
    <x v="2"/>
    <d v="2022-11-29T00:00:00"/>
  </r>
  <r>
    <n v="16390560"/>
    <n v="2636154"/>
    <m/>
    <m/>
    <m/>
    <m/>
    <m/>
    <m/>
    <d v="2025-06-10T00:00:00"/>
    <s v="M"/>
    <x v="0"/>
    <s v="ANGUS NEGRO"/>
    <x v="97"/>
    <s v="01-11-2019"/>
    <s v="Vivo"/>
    <x v="0"/>
    <s v="11.2.01.0038"/>
    <s v="11.1.01.1241"/>
    <x v="2"/>
    <d v="2022-11-29T00:00:00"/>
  </r>
  <r>
    <n v="16390561"/>
    <m/>
    <m/>
    <m/>
    <m/>
    <m/>
    <m/>
    <m/>
    <d v="2025-06-10T00:00:00"/>
    <s v="M"/>
    <x v="0"/>
    <s v="ANGUS NEGRO"/>
    <x v="96"/>
    <s v="30-09-2019"/>
    <s v="Vivo"/>
    <x v="4"/>
    <s v="11.1.01.1241"/>
    <s v="11.1.01.1241"/>
    <x v="2"/>
    <d v="2022-11-29T00:00:00"/>
  </r>
  <r>
    <n v="16390562"/>
    <m/>
    <m/>
    <m/>
    <m/>
    <m/>
    <m/>
    <d v="2024-12-22T00:00:00"/>
    <d v="2025-11-04T00:00:00"/>
    <s v="H"/>
    <x v="1"/>
    <s v="ANGUS NEGRO"/>
    <x v="79"/>
    <s v="15-10-2016"/>
    <s v="Vivo"/>
    <x v="8"/>
    <s v="11.1.01.0190"/>
    <s v="11.1.01.0893"/>
    <x v="0"/>
    <m/>
  </r>
  <r>
    <n v="16390565"/>
    <m/>
    <m/>
    <m/>
    <m/>
    <m/>
    <m/>
    <m/>
    <m/>
    <s v="M"/>
    <x v="3"/>
    <s v="ANGUS NEGRO"/>
    <x v="98"/>
    <s v="05-12-2021"/>
    <s v="Vivo"/>
    <x v="3"/>
    <s v="11.1.01.1022"/>
    <s v="11.1.01.0893"/>
    <x v="0"/>
    <m/>
  </r>
  <r>
    <n v="16390566"/>
    <m/>
    <m/>
    <m/>
    <m/>
    <m/>
    <m/>
    <d v="2024-12-22T00:00:00"/>
    <d v="2025-11-04T00:00:00"/>
    <s v="H"/>
    <x v="1"/>
    <s v="ANGUS NEGRO"/>
    <x v="98"/>
    <s v="30-11-2021"/>
    <s v="Vivo"/>
    <x v="8"/>
    <s v="11.1.01.0190"/>
    <s v="11.1.01.0893"/>
    <x v="0"/>
    <m/>
  </r>
  <r>
    <n v="16390567"/>
    <m/>
    <m/>
    <m/>
    <m/>
    <m/>
    <m/>
    <d v="2024-12-22T00:00:00"/>
    <d v="2025-01-14T00:00:00"/>
    <s v="H"/>
    <x v="1"/>
    <s v="ANGUS NEGRO"/>
    <x v="93"/>
    <s v="30-10-2020"/>
    <s v="Vivo"/>
    <x v="0"/>
    <s v="11.1.01.1022"/>
    <s v="11.1.01.0893"/>
    <x v="0"/>
    <m/>
  </r>
  <r>
    <n v="16390579"/>
    <m/>
    <n v="8933216"/>
    <m/>
    <m/>
    <m/>
    <d v="2023-11-23T00:00:00"/>
    <d v="2024-01-06T00:00:00"/>
    <m/>
    <s v="H"/>
    <x v="1"/>
    <s v="ANGUS ROJO"/>
    <x v="67"/>
    <s v="30-12-2013"/>
    <s v="Vivo"/>
    <x v="4"/>
    <s v="11.1.01.0893"/>
    <s v="11.1.01.1241"/>
    <x v="0"/>
    <m/>
  </r>
  <r>
    <n v="16390580"/>
    <m/>
    <n v="14717842"/>
    <m/>
    <m/>
    <m/>
    <d v="2023-11-23T00:00:00"/>
    <m/>
    <m/>
    <s v="H"/>
    <x v="1"/>
    <s v="ANGUS NEGRO"/>
    <x v="79"/>
    <s v="15-10-2016"/>
    <s v="Vivo"/>
    <x v="0"/>
    <s v="11.2.01.0038"/>
    <s v="11.2.01.2071"/>
    <x v="0"/>
    <m/>
  </r>
  <r>
    <n v="16390584"/>
    <m/>
    <n v="14717854"/>
    <m/>
    <m/>
    <m/>
    <d v="2023-11-23T00:00:00"/>
    <d v="2024-05-18T00:00:00"/>
    <d v="2025-01-14T00:00:00"/>
    <s v="H"/>
    <x v="1"/>
    <s v="ANGUS NEGRO"/>
    <x v="79"/>
    <s v="15-10-2016"/>
    <s v="Vivo"/>
    <x v="0"/>
    <s v="11.2.01.0038"/>
    <s v="11.2.01.2071"/>
    <x v="0"/>
    <m/>
  </r>
  <r>
    <n v="16390585"/>
    <m/>
    <n v="15661035"/>
    <m/>
    <m/>
    <m/>
    <d v="2023-11-23T00:00:00"/>
    <d v="2024-12-22T00:00:00"/>
    <d v="2025-11-04T00:00:00"/>
    <s v="H"/>
    <x v="1"/>
    <s v="ANGUS NEGRO"/>
    <x v="84"/>
    <s v="30-09-2017"/>
    <s v="Vivo"/>
    <x v="8"/>
    <s v="11.1.01.0190"/>
    <s v="11.1.01.1241"/>
    <x v="0"/>
    <m/>
  </r>
  <r>
    <n v="16390589"/>
    <m/>
    <n v="8392977"/>
    <m/>
    <m/>
    <m/>
    <d v="2023-11-23T00:00:00"/>
    <d v="2024-12-22T00:00:00"/>
    <d v="2025-01-14T00:00:00"/>
    <s v="H"/>
    <x v="1"/>
    <s v="ANGUS NEGRO"/>
    <x v="50"/>
    <s v="20-10-2013"/>
    <s v="Vivo"/>
    <x v="6"/>
    <s v="11.1.01.1241"/>
    <s v="11.1.01.1081"/>
    <x v="0"/>
    <m/>
  </r>
  <r>
    <n v="16390592"/>
    <n v="2636139"/>
    <n v="15714197"/>
    <m/>
    <m/>
    <m/>
    <d v="2023-11-23T00:00:00"/>
    <d v="2024-12-10T00:00:00"/>
    <m/>
    <s v="M"/>
    <x v="3"/>
    <s v="ANGUS NEGRO"/>
    <x v="24"/>
    <s v="12-09-2018"/>
    <s v="Vivo"/>
    <x v="5"/>
    <s v="11.1.01.0893"/>
    <s v="11.1.01.0932"/>
    <x v="0"/>
    <m/>
  </r>
  <r>
    <n v="16390593"/>
    <m/>
    <n v="12602360"/>
    <m/>
    <m/>
    <m/>
    <m/>
    <d v="2024-01-06T00:00:00"/>
    <m/>
    <s v="H"/>
    <x v="1"/>
    <s v="ANGUS NEGRO"/>
    <x v="79"/>
    <s v="15-10-2016"/>
    <s v="Vivo"/>
    <x v="5"/>
    <s v="11.1.01.0893"/>
    <s v="11.1.01.1241"/>
    <x v="0"/>
    <d v="2016-12-26T00:00:00"/>
  </r>
  <r>
    <n v="16390594"/>
    <m/>
    <n v="16843197"/>
    <m/>
    <m/>
    <m/>
    <m/>
    <d v="2024-01-06T00:00:00"/>
    <m/>
    <s v="H"/>
    <x v="1"/>
    <s v="ANGUS ROJO"/>
    <x v="91"/>
    <s v="15-10-2018"/>
    <s v="Vivo"/>
    <x v="4"/>
    <s v="11.1.01.0893"/>
    <s v="11.1.01.1241"/>
    <x v="0"/>
    <m/>
  </r>
  <r>
    <n v="16390596"/>
    <m/>
    <n v="15661434"/>
    <m/>
    <m/>
    <m/>
    <m/>
    <d v="2024-01-06T00:00:00"/>
    <m/>
    <s v="H"/>
    <x v="1"/>
    <s v="ANGUS NEGRO"/>
    <x v="24"/>
    <s v="10-09-2018"/>
    <s v="Vivo"/>
    <x v="4"/>
    <s v="11.1.01.0893"/>
    <s v="11.1.01.1241"/>
    <x v="0"/>
    <m/>
  </r>
  <r>
    <n v="16390597"/>
    <m/>
    <n v="15660941"/>
    <m/>
    <m/>
    <m/>
    <m/>
    <m/>
    <m/>
    <s v="H"/>
    <x v="1"/>
    <s v="ANGUS NEGRO"/>
    <x v="84"/>
    <s v="30-09-2017"/>
    <s v="Vivo"/>
    <x v="5"/>
    <s v="11.1.01.0893"/>
    <s v="11.1.01.1241"/>
    <x v="0"/>
    <m/>
  </r>
  <r>
    <n v="16390599"/>
    <m/>
    <m/>
    <m/>
    <m/>
    <m/>
    <m/>
    <m/>
    <m/>
    <s v="H"/>
    <x v="1"/>
    <s v="ANGUS NEGRO"/>
    <x v="95"/>
    <s v="15-10-2020"/>
    <s v="Vivo"/>
    <x v="4"/>
    <s v="11.1.01.0893"/>
    <s v="11.1.01.0893"/>
    <x v="2"/>
    <d v="2023-05-19T00:00:00"/>
  </r>
  <r>
    <n v="16705207"/>
    <m/>
    <m/>
    <m/>
    <m/>
    <m/>
    <m/>
    <d v="2024-12-22T00:00:00"/>
    <d v="2025-01-14T00:00:00"/>
    <s v="H"/>
    <x v="1"/>
    <s v="ANGUS NEGRO"/>
    <x v="99"/>
    <s v="10-09-2019"/>
    <s v="Vivo"/>
    <x v="7"/>
    <s v="11.1.01.1241"/>
    <s v="11.1.01.1241"/>
    <x v="0"/>
    <m/>
  </r>
  <r>
    <n v="16705216"/>
    <m/>
    <m/>
    <m/>
    <m/>
    <m/>
    <m/>
    <m/>
    <m/>
    <s v="H"/>
    <x v="1"/>
    <s v="ANGUS ROJO"/>
    <x v="96"/>
    <s v="20-09-2019"/>
    <s v="Vivo"/>
    <x v="0"/>
    <s v="11.1.01.0791"/>
    <s v="11.1.01.1241"/>
    <x v="0"/>
    <m/>
  </r>
  <r>
    <n v="16705223"/>
    <m/>
    <m/>
    <m/>
    <m/>
    <m/>
    <m/>
    <m/>
    <m/>
    <s v="H"/>
    <x v="1"/>
    <s v="ANGUS NEGRO"/>
    <x v="96"/>
    <s v="20-09-2019"/>
    <s v="Vivo"/>
    <x v="0"/>
    <s v="11.1.01.0791"/>
    <s v="11.1.01.1241"/>
    <x v="0"/>
    <m/>
  </r>
  <r>
    <n v="16705224"/>
    <m/>
    <m/>
    <m/>
    <m/>
    <m/>
    <m/>
    <d v="2024-12-22T00:00:00"/>
    <d v="2025-01-14T00:00:00"/>
    <s v="H"/>
    <x v="1"/>
    <s v="ANGUS NEGRO"/>
    <x v="96"/>
    <s v="20-09-2019"/>
    <s v="Vivo"/>
    <x v="0"/>
    <s v="11.2.01.0038"/>
    <s v="11.1.01.1241"/>
    <x v="0"/>
    <m/>
  </r>
  <r>
    <n v="16705229"/>
    <m/>
    <m/>
    <m/>
    <m/>
    <m/>
    <m/>
    <m/>
    <m/>
    <s v="H"/>
    <x v="1"/>
    <s v="ANGUS NEGRO"/>
    <x v="96"/>
    <s v="20-09-2019"/>
    <s v="Vivo"/>
    <x v="7"/>
    <s v="11.1.01.0893"/>
    <s v="11.1.01.1241"/>
    <x v="0"/>
    <m/>
  </r>
  <r>
    <n v="16705231"/>
    <m/>
    <m/>
    <m/>
    <m/>
    <m/>
    <m/>
    <d v="2024-12-22T00:00:00"/>
    <d v="2025-01-14T00:00:00"/>
    <s v="H"/>
    <x v="1"/>
    <s v="ANGUS NEGRO"/>
    <x v="96"/>
    <s v="30-09-2019"/>
    <s v="Vivo"/>
    <x v="0"/>
    <s v="11.1.01.0791"/>
    <s v="11.1.01.1241"/>
    <x v="0"/>
    <m/>
  </r>
  <r>
    <n v="16705234"/>
    <m/>
    <m/>
    <m/>
    <m/>
    <m/>
    <m/>
    <d v="2024-01-06T00:00:00"/>
    <m/>
    <s v="H"/>
    <x v="1"/>
    <s v="ANGUS NEGRO"/>
    <x v="96"/>
    <s v="20-09-2019"/>
    <s v="Vivo"/>
    <x v="4"/>
    <s v="11.1.01.0893"/>
    <s v="11.1.01.1241"/>
    <x v="0"/>
    <m/>
  </r>
  <r>
    <n v="16705235"/>
    <m/>
    <m/>
    <m/>
    <m/>
    <m/>
    <m/>
    <d v="2024-12-22T00:00:00"/>
    <d v="2025-11-04T00:00:00"/>
    <s v="H"/>
    <x v="1"/>
    <s v="ANGUS NEGRO"/>
    <x v="96"/>
    <s v="01-10-2019"/>
    <s v="Vivo"/>
    <x v="10"/>
    <s v="11.1.01.0190"/>
    <s v="11.1.01.1241"/>
    <x v="0"/>
    <m/>
  </r>
  <r>
    <n v="16705255"/>
    <m/>
    <m/>
    <m/>
    <m/>
    <m/>
    <m/>
    <d v="2024-01-06T00:00:00"/>
    <m/>
    <s v="H"/>
    <x v="1"/>
    <s v="ANGUS NEGRO"/>
    <x v="96"/>
    <s v="20-09-2019"/>
    <s v="Vivo"/>
    <x v="4"/>
    <s v="11.1.01.0893"/>
    <s v="11.1.01.1241"/>
    <x v="0"/>
    <m/>
  </r>
  <r>
    <n v="16705256"/>
    <m/>
    <m/>
    <m/>
    <m/>
    <m/>
    <m/>
    <m/>
    <m/>
    <s v="M"/>
    <x v="3"/>
    <s v="OVERO COLORADO (CLAVEL ALEMAN)"/>
    <x v="97"/>
    <s v="20-10-2019"/>
    <s v="Vivo"/>
    <x v="0"/>
    <s v="11.1.01.0893"/>
    <s v="11.1.01.1241"/>
    <x v="0"/>
    <m/>
  </r>
  <r>
    <n v="16705260"/>
    <m/>
    <m/>
    <m/>
    <m/>
    <m/>
    <m/>
    <d v="2024-12-22T00:00:00"/>
    <d v="2025-01-14T00:00:00"/>
    <s v="H"/>
    <x v="1"/>
    <s v="ANGUS NEGRO"/>
    <x v="96"/>
    <s v="20-09-2019"/>
    <s v="Vivo"/>
    <x v="0"/>
    <s v="11.1.01.0870"/>
    <s v="11.1.01.1241"/>
    <x v="0"/>
    <m/>
  </r>
  <r>
    <n v="16705261"/>
    <m/>
    <m/>
    <m/>
    <m/>
    <m/>
    <d v="2023-11-24T00:00:00"/>
    <d v="2024-12-22T00:00:00"/>
    <d v="2025-11-04T00:00:00"/>
    <s v="H"/>
    <x v="1"/>
    <s v="ANGUS NEGRO"/>
    <x v="99"/>
    <s v="15-09-2019"/>
    <s v="Vivo"/>
    <x v="0"/>
    <s v="11.2.01.0038"/>
    <s v="11.1.01.1241"/>
    <x v="0"/>
    <m/>
  </r>
  <r>
    <n v="16705263"/>
    <m/>
    <m/>
    <m/>
    <m/>
    <m/>
    <d v="2023-11-24T00:00:00"/>
    <d v="2024-12-22T00:00:00"/>
    <d v="2025-11-04T00:00:00"/>
    <s v="H"/>
    <x v="1"/>
    <s v="ANGUS NEGRO"/>
    <x v="99"/>
    <s v="10-09-2019"/>
    <s v="Vivo"/>
    <x v="0"/>
    <s v="11.1.01.0791"/>
    <s v="11.1.01.1241"/>
    <x v="0"/>
    <m/>
  </r>
  <r>
    <n v="16705265"/>
    <m/>
    <m/>
    <m/>
    <m/>
    <m/>
    <m/>
    <m/>
    <m/>
    <s v="H"/>
    <x v="1"/>
    <s v="ANGUS NEGRO"/>
    <x v="96"/>
    <s v="30-09-2019"/>
    <s v="Vivo"/>
    <x v="0"/>
    <s v="11.1.01.0791"/>
    <s v="11.1.01.1241"/>
    <x v="0"/>
    <m/>
  </r>
  <r>
    <n v="16705266"/>
    <m/>
    <m/>
    <m/>
    <m/>
    <m/>
    <d v="2023-11-24T00:00:00"/>
    <d v="2024-12-22T00:00:00"/>
    <d v="2025-11-04T00:00:00"/>
    <s v="H"/>
    <x v="1"/>
    <s v="ANGUS NEGRO"/>
    <x v="96"/>
    <s v="30-09-2019"/>
    <s v="Vivo"/>
    <x v="8"/>
    <s v="11.1.01.0190"/>
    <s v="11.1.01.1241"/>
    <x v="0"/>
    <m/>
  </r>
  <r>
    <n v="16705271"/>
    <m/>
    <m/>
    <m/>
    <m/>
    <m/>
    <m/>
    <d v="2024-12-22T00:00:00"/>
    <d v="2025-11-04T00:00:00"/>
    <s v="H"/>
    <x v="1"/>
    <s v="ANGUS ROJO"/>
    <x v="99"/>
    <s v="15-09-2019"/>
    <s v="Vivo"/>
    <x v="10"/>
    <s v="11.1.01.0190"/>
    <s v="11.1.01.1241"/>
    <x v="0"/>
    <m/>
  </r>
  <r>
    <n v="16705276"/>
    <m/>
    <m/>
    <m/>
    <m/>
    <m/>
    <m/>
    <m/>
    <m/>
    <s v="H"/>
    <x v="1"/>
    <s v="ANGUS NEGRO"/>
    <x v="96"/>
    <s v="20-09-2019"/>
    <s v="Vivo"/>
    <x v="5"/>
    <s v="11.1.01.0893"/>
    <s v="11.1.01.1241"/>
    <x v="0"/>
    <m/>
  </r>
  <r>
    <n v="16705277"/>
    <m/>
    <m/>
    <m/>
    <m/>
    <m/>
    <m/>
    <m/>
    <m/>
    <s v="H"/>
    <x v="1"/>
    <s v="ANGUS NEGRO"/>
    <x v="99"/>
    <s v="15-09-2019"/>
    <s v="Vivo"/>
    <x v="2"/>
    <s v="11.2.01.0053"/>
    <s v="11.1.01.1241"/>
    <x v="0"/>
    <m/>
  </r>
  <r>
    <n v="16705281"/>
    <m/>
    <m/>
    <m/>
    <m/>
    <m/>
    <m/>
    <m/>
    <m/>
    <s v="H"/>
    <x v="1"/>
    <s v="ANGUS NEGRO"/>
    <x v="96"/>
    <s v="01-10-2019"/>
    <s v="Vivo"/>
    <x v="0"/>
    <s v="11.1.01.0791"/>
    <s v="11.1.01.1241"/>
    <x v="0"/>
    <m/>
  </r>
  <r>
    <n v="16705284"/>
    <m/>
    <m/>
    <m/>
    <m/>
    <m/>
    <m/>
    <d v="2024-12-22T00:00:00"/>
    <d v="2025-11-04T00:00:00"/>
    <s v="H"/>
    <x v="1"/>
    <s v="ANGUS NEGRO"/>
    <x v="96"/>
    <s v="10-10-2019"/>
    <s v="Vivo"/>
    <x v="0"/>
    <s v="11.2.01.0038"/>
    <s v="11.1.01.1241"/>
    <x v="0"/>
    <m/>
  </r>
  <r>
    <n v="16705290"/>
    <m/>
    <m/>
    <m/>
    <m/>
    <m/>
    <m/>
    <m/>
    <m/>
    <s v="H"/>
    <x v="1"/>
    <s v="ANGUS NEGRO"/>
    <x v="96"/>
    <s v="30-09-2019"/>
    <s v="Vivo"/>
    <x v="4"/>
    <s v="11.1.01.0893"/>
    <s v="11.1.01.1241"/>
    <x v="0"/>
    <m/>
  </r>
  <r>
    <n v="16705293"/>
    <m/>
    <m/>
    <m/>
    <m/>
    <m/>
    <m/>
    <d v="2024-01-06T00:00:00"/>
    <m/>
    <s v="H"/>
    <x v="1"/>
    <s v="ANGUS NEGRO"/>
    <x v="96"/>
    <s v="01-10-2019"/>
    <s v="Vivo"/>
    <x v="4"/>
    <s v="11.1.01.0893"/>
    <s v="11.1.01.1241"/>
    <x v="0"/>
    <m/>
  </r>
  <r>
    <n v="16705299"/>
    <m/>
    <m/>
    <m/>
    <m/>
    <m/>
    <m/>
    <m/>
    <m/>
    <s v="H"/>
    <x v="1"/>
    <s v="ANGUS ROJO"/>
    <x v="99"/>
    <s v="15-09-2019"/>
    <s v="Vivo"/>
    <x v="0"/>
    <s v="Sin Movimiento"/>
    <s v="11.1.01.1241"/>
    <x v="0"/>
    <m/>
  </r>
  <r>
    <n v="16705303"/>
    <m/>
    <m/>
    <m/>
    <m/>
    <m/>
    <m/>
    <d v="2024-01-06T00:00:00"/>
    <m/>
    <s v="H"/>
    <x v="1"/>
    <s v="ANGUS NEGRO"/>
    <x v="96"/>
    <s v="20-09-2019"/>
    <s v="Vivo"/>
    <x v="5"/>
    <s v="11.1.01.0893"/>
    <s v="11.1.01.1241"/>
    <x v="0"/>
    <m/>
  </r>
  <r>
    <n v="16705318"/>
    <m/>
    <m/>
    <m/>
    <m/>
    <m/>
    <m/>
    <d v="2024-12-22T00:00:00"/>
    <d v="2025-11-05T00:00:00"/>
    <s v="H"/>
    <x v="1"/>
    <s v="ANGUS NEGRO"/>
    <x v="96"/>
    <s v="30-09-2019"/>
    <s v="Vivo"/>
    <x v="8"/>
    <s v="11.1.01.0190"/>
    <s v="11.1.01.1241"/>
    <x v="0"/>
    <m/>
  </r>
  <r>
    <n v="16705322"/>
    <m/>
    <m/>
    <m/>
    <m/>
    <m/>
    <m/>
    <m/>
    <m/>
    <s v="H"/>
    <x v="1"/>
    <s v="ANGUS NEGRO"/>
    <x v="96"/>
    <s v="10-10-2019"/>
    <s v="Vivo"/>
    <x v="0"/>
    <s v="11.1.01.0791"/>
    <s v="11.1.01.1241"/>
    <x v="0"/>
    <m/>
  </r>
  <r>
    <n v="16705324"/>
    <m/>
    <m/>
    <m/>
    <m/>
    <m/>
    <m/>
    <d v="2024-12-22T00:00:00"/>
    <d v="2025-01-14T00:00:00"/>
    <s v="H"/>
    <x v="1"/>
    <s v="ANGUS NEGRO"/>
    <x v="97"/>
    <s v="25-10-2019"/>
    <s v="Vivo"/>
    <x v="0"/>
    <s v="11.2.01.0038"/>
    <s v="11.1.01.1241"/>
    <x v="0"/>
    <m/>
  </r>
  <r>
    <n v="16705325"/>
    <m/>
    <m/>
    <m/>
    <m/>
    <m/>
    <m/>
    <d v="2024-05-18T00:00:00"/>
    <d v="2025-11-04T00:00:00"/>
    <s v="H"/>
    <x v="1"/>
    <s v="ANGUS NEGRO"/>
    <x v="97"/>
    <s v="05-11-2019"/>
    <s v="Vivo"/>
    <x v="8"/>
    <s v="11.1.01.0190"/>
    <s v="11.1.01.1241"/>
    <x v="0"/>
    <m/>
  </r>
  <r>
    <n v="16705326"/>
    <m/>
    <m/>
    <m/>
    <m/>
    <m/>
    <m/>
    <d v="2024-12-22T00:00:00"/>
    <d v="2025-11-04T00:00:00"/>
    <s v="H"/>
    <x v="1"/>
    <s v="ANGUS NEGRO"/>
    <x v="96"/>
    <s v="30-09-2019"/>
    <s v="Vivo"/>
    <x v="10"/>
    <s v="11.1.01.0190"/>
    <s v="11.1.01.1241"/>
    <x v="0"/>
    <m/>
  </r>
  <r>
    <n v="16705327"/>
    <m/>
    <m/>
    <m/>
    <m/>
    <m/>
    <m/>
    <m/>
    <m/>
    <s v="H"/>
    <x v="1"/>
    <s v="ANGUS NEGRO"/>
    <x v="96"/>
    <s v="10-10-2019"/>
    <s v="Vivo"/>
    <x v="8"/>
    <s v="11.1.01.1241"/>
    <s v="11.1.01.1241"/>
    <x v="0"/>
    <m/>
  </r>
  <r>
    <n v="16705328"/>
    <m/>
    <m/>
    <m/>
    <m/>
    <m/>
    <m/>
    <m/>
    <m/>
    <s v="H"/>
    <x v="1"/>
    <s v="ANGUS NEGRO"/>
    <x v="96"/>
    <s v="25-09-2019"/>
    <s v="Vivo"/>
    <x v="5"/>
    <s v="11.1.01.0893"/>
    <s v="11.1.01.1241"/>
    <x v="0"/>
    <m/>
  </r>
  <r>
    <n v="16705331"/>
    <m/>
    <m/>
    <m/>
    <m/>
    <m/>
    <m/>
    <d v="2024-12-22T00:00:00"/>
    <d v="2025-01-14T00:00:00"/>
    <s v="H"/>
    <x v="1"/>
    <s v="ANGUS NEGRO"/>
    <x v="97"/>
    <s v="30-10-2019"/>
    <s v="Vivo"/>
    <x v="0"/>
    <s v="11.2.01.0038"/>
    <s v="11.1.01.1241"/>
    <x v="0"/>
    <m/>
  </r>
  <r>
    <n v="16705332"/>
    <m/>
    <m/>
    <m/>
    <m/>
    <m/>
    <m/>
    <m/>
    <m/>
    <s v="H"/>
    <x v="1"/>
    <s v="ANGUS ROJO"/>
    <x v="99"/>
    <s v="10-09-2019"/>
    <s v="Vivo"/>
    <x v="4"/>
    <s v="11.1.01.1241"/>
    <s v="11.1.01.1241"/>
    <x v="0"/>
    <m/>
  </r>
  <r>
    <n v="16705333"/>
    <m/>
    <m/>
    <m/>
    <m/>
    <m/>
    <m/>
    <d v="2024-12-22T00:00:00"/>
    <d v="2025-11-05T00:00:00"/>
    <s v="H"/>
    <x v="1"/>
    <s v="ANGUS NEGRO"/>
    <x v="96"/>
    <s v="05-10-2019"/>
    <s v="Vivo"/>
    <x v="8"/>
    <s v="11.1.01.0190"/>
    <s v="11.1.01.1241"/>
    <x v="0"/>
    <m/>
  </r>
  <r>
    <n v="16705334"/>
    <m/>
    <m/>
    <m/>
    <m/>
    <m/>
    <m/>
    <d v="2024-12-22T00:00:00"/>
    <d v="2025-11-05T00:00:00"/>
    <s v="H"/>
    <x v="1"/>
    <s v="ANGUS NEGRO"/>
    <x v="96"/>
    <s v="10-10-2019"/>
    <s v="Vivo"/>
    <x v="8"/>
    <s v="11.1.01.0190"/>
    <s v="11.1.01.1241"/>
    <x v="0"/>
    <m/>
  </r>
  <r>
    <n v="16705345"/>
    <m/>
    <m/>
    <m/>
    <m/>
    <m/>
    <m/>
    <m/>
    <m/>
    <s v="H"/>
    <x v="1"/>
    <s v="HEREFORD"/>
    <x v="97"/>
    <s v="30-10-2019"/>
    <s v="Vivo"/>
    <x v="2"/>
    <s v="11.2.01.0053"/>
    <s v="11.1.01.1241"/>
    <x v="0"/>
    <m/>
  </r>
  <r>
    <n v="16705348"/>
    <m/>
    <m/>
    <m/>
    <m/>
    <m/>
    <m/>
    <d v="2024-12-22T00:00:00"/>
    <d v="2025-11-05T00:00:00"/>
    <s v="H"/>
    <x v="1"/>
    <s v="ANGUS NEGRO"/>
    <x v="97"/>
    <s v="25-10-2019"/>
    <s v="Vivo"/>
    <x v="8"/>
    <s v="11.1.01.0190"/>
    <s v="11.1.01.1241"/>
    <x v="0"/>
    <m/>
  </r>
  <r>
    <n v="16705349"/>
    <m/>
    <m/>
    <m/>
    <m/>
    <m/>
    <m/>
    <m/>
    <m/>
    <s v="H"/>
    <x v="1"/>
    <s v="ANGUS NEGRO"/>
    <x v="97"/>
    <s v="05-11-2019"/>
    <s v="Vivo"/>
    <x v="4"/>
    <s v="11.1.01.0893"/>
    <s v="11.1.01.1241"/>
    <x v="0"/>
    <m/>
  </r>
  <r>
    <n v="16705354"/>
    <m/>
    <m/>
    <m/>
    <m/>
    <m/>
    <m/>
    <d v="2024-12-22T00:00:00"/>
    <d v="2025-01-14T00:00:00"/>
    <s v="H"/>
    <x v="1"/>
    <s v="ANGUS NEGRO"/>
    <x v="96"/>
    <s v="10-10-2019"/>
    <s v="Vivo"/>
    <x v="0"/>
    <s v="11.2.01.0038"/>
    <s v="11.1.01.1241"/>
    <x v="0"/>
    <m/>
  </r>
  <r>
    <n v="16705359"/>
    <m/>
    <m/>
    <m/>
    <m/>
    <m/>
    <m/>
    <m/>
    <m/>
    <s v="H"/>
    <x v="1"/>
    <s v="ANGUS NEGRO"/>
    <x v="100"/>
    <s v="30-12-2018"/>
    <s v="Vivo"/>
    <x v="4"/>
    <s v="11.1.01.0893"/>
    <s v="11.1.01.1241"/>
    <x v="0"/>
    <m/>
  </r>
  <r>
    <n v="16705365"/>
    <m/>
    <m/>
    <m/>
    <m/>
    <m/>
    <m/>
    <m/>
    <m/>
    <s v="H"/>
    <x v="1"/>
    <s v="ANGUS NEGRO"/>
    <x v="96"/>
    <s v="30-09-2019"/>
    <s v="Vivo"/>
    <x v="8"/>
    <s v="11.1.01.0893"/>
    <s v="11.1.01.0893"/>
    <x v="0"/>
    <m/>
  </r>
  <r>
    <n v="16705368"/>
    <m/>
    <m/>
    <m/>
    <m/>
    <m/>
    <m/>
    <d v="2024-12-22T00:00:00"/>
    <d v="2025-01-14T00:00:00"/>
    <s v="H"/>
    <x v="1"/>
    <s v="ANGUS NEGRO"/>
    <x v="97"/>
    <s v="20-10-2019"/>
    <s v="Vivo"/>
    <x v="0"/>
    <s v="11.2.01.0038"/>
    <s v="11.1.01.0893"/>
    <x v="0"/>
    <m/>
  </r>
  <r>
    <n v="16705370"/>
    <m/>
    <m/>
    <m/>
    <m/>
    <m/>
    <m/>
    <d v="2024-01-06T00:00:00"/>
    <m/>
    <s v="H"/>
    <x v="1"/>
    <s v="ANGUS NEGRO"/>
    <x v="96"/>
    <s v="30-09-2019"/>
    <s v="Vivo"/>
    <x v="4"/>
    <s v="11.1.01.0893"/>
    <s v="11.1.01.0893"/>
    <x v="0"/>
    <m/>
  </r>
  <r>
    <n v="16705386"/>
    <m/>
    <m/>
    <m/>
    <m/>
    <m/>
    <m/>
    <m/>
    <m/>
    <s v="M"/>
    <x v="3"/>
    <s v="HEREFORD"/>
    <x v="96"/>
    <s v="20-09-2019"/>
    <s v="Vivo"/>
    <x v="5"/>
    <s v="11.1.01.0893"/>
    <s v="11.1.01.0893"/>
    <x v="0"/>
    <m/>
  </r>
  <r>
    <n v="16705396"/>
    <m/>
    <m/>
    <m/>
    <m/>
    <m/>
    <m/>
    <d v="2024-12-22T00:00:00"/>
    <d v="2025-11-05T00:00:00"/>
    <s v="H"/>
    <x v="1"/>
    <s v="ANGUS NEGRO"/>
    <x v="97"/>
    <s v="20-10-2019"/>
    <s v="Vivo"/>
    <x v="8"/>
    <s v="11.1.01.0190"/>
    <s v="11.1.01.0893"/>
    <x v="0"/>
    <m/>
  </r>
  <r>
    <n v="16705400"/>
    <m/>
    <m/>
    <m/>
    <m/>
    <m/>
    <m/>
    <m/>
    <m/>
    <s v="H"/>
    <x v="1"/>
    <s v="ANGUS NEGRO"/>
    <x v="96"/>
    <s v="30-09-2019"/>
    <s v="Vivo"/>
    <x v="5"/>
    <s v="11.1.01.0893"/>
    <s v="11.1.01.0893"/>
    <x v="0"/>
    <m/>
  </r>
  <r>
    <n v="16705401"/>
    <m/>
    <m/>
    <m/>
    <m/>
    <m/>
    <m/>
    <m/>
    <m/>
    <s v="H"/>
    <x v="1"/>
    <s v="ANGUS NEGRO"/>
    <x v="96"/>
    <s v="30-09-2019"/>
    <s v="Vivo"/>
    <x v="5"/>
    <s v="11.1.01.0893"/>
    <s v="11.1.01.0893"/>
    <x v="0"/>
    <m/>
  </r>
  <r>
    <n v="16705402"/>
    <m/>
    <m/>
    <m/>
    <m/>
    <m/>
    <m/>
    <d v="2024-12-22T00:00:00"/>
    <d v="2025-11-05T00:00:00"/>
    <s v="H"/>
    <x v="1"/>
    <s v="ANGUS NEGRO"/>
    <x v="96"/>
    <s v="20-09-2019"/>
    <s v="Vivo"/>
    <x v="8"/>
    <s v="11.1.01.0190"/>
    <s v="11.1.01.0893"/>
    <x v="0"/>
    <m/>
  </r>
  <r>
    <n v="16705403"/>
    <m/>
    <m/>
    <m/>
    <m/>
    <m/>
    <m/>
    <m/>
    <m/>
    <s v="H"/>
    <x v="1"/>
    <s v="ANGUS NEGRO"/>
    <x v="96"/>
    <s v="30-09-2019"/>
    <s v="Vivo"/>
    <x v="5"/>
    <s v="11.1.01.0893"/>
    <s v="11.1.01.0893"/>
    <x v="0"/>
    <m/>
  </r>
  <r>
    <n v="16705406"/>
    <m/>
    <m/>
    <m/>
    <m/>
    <m/>
    <m/>
    <m/>
    <m/>
    <s v="H"/>
    <x v="1"/>
    <s v="ANGUS NEGRO"/>
    <x v="96"/>
    <s v="20-09-2019"/>
    <s v="Vivo"/>
    <x v="4"/>
    <s v="11.1.01.0893"/>
    <s v="11.1.01.0893"/>
    <x v="0"/>
    <m/>
  </r>
  <r>
    <n v="16705407"/>
    <m/>
    <m/>
    <m/>
    <m/>
    <m/>
    <m/>
    <m/>
    <m/>
    <s v="H"/>
    <x v="1"/>
    <s v="ANGUS NEGRO"/>
    <x v="96"/>
    <s v="30-09-2019"/>
    <s v="Vivo"/>
    <x v="7"/>
    <s v="11.1.01.0893"/>
    <s v="11.1.01.0893"/>
    <x v="0"/>
    <m/>
  </r>
  <r>
    <n v="16705410"/>
    <m/>
    <m/>
    <m/>
    <m/>
    <m/>
    <m/>
    <d v="2024-01-06T00:00:00"/>
    <m/>
    <s v="H"/>
    <x v="1"/>
    <s v="ANGUS NEGRO"/>
    <x v="96"/>
    <s v="10-10-2019"/>
    <s v="Vivo"/>
    <x v="4"/>
    <s v="11.1.01.0893"/>
    <s v="11.1.01.0893"/>
    <x v="0"/>
    <m/>
  </r>
  <r>
    <n v="16705414"/>
    <m/>
    <m/>
    <m/>
    <m/>
    <m/>
    <m/>
    <d v="2024-12-22T00:00:00"/>
    <d v="2025-11-04T00:00:00"/>
    <s v="H"/>
    <x v="1"/>
    <s v="ANGUS NEGRO"/>
    <x v="97"/>
    <s v="30-10-2019"/>
    <s v="Vivo"/>
    <x v="0"/>
    <s v="11.2.01.0038"/>
    <s v="11.1.01.0893"/>
    <x v="0"/>
    <m/>
  </r>
  <r>
    <n v="16705416"/>
    <m/>
    <m/>
    <m/>
    <m/>
    <m/>
    <m/>
    <d v="2024-05-20T00:00:00"/>
    <d v="2025-11-04T00:00:00"/>
    <s v="H"/>
    <x v="1"/>
    <s v="ANGUS NEGRO"/>
    <x v="96"/>
    <s v="20-09-2019"/>
    <s v="Vivo"/>
    <x v="10"/>
    <s v="11.1.01.0190"/>
    <s v="11.1.01.0893"/>
    <x v="0"/>
    <m/>
  </r>
  <r>
    <n v="16705417"/>
    <m/>
    <m/>
    <m/>
    <m/>
    <m/>
    <m/>
    <d v="2024-12-22T00:00:00"/>
    <d v="2025-01-14T00:00:00"/>
    <s v="H"/>
    <x v="1"/>
    <s v="ANGUS ROJO"/>
    <x v="96"/>
    <s v="20-09-2019"/>
    <s v="Vivo"/>
    <x v="7"/>
    <s v="11.1.01.1241"/>
    <s v="11.1.01.0893"/>
    <x v="0"/>
    <m/>
  </r>
  <r>
    <n v="16705419"/>
    <m/>
    <m/>
    <m/>
    <m/>
    <m/>
    <m/>
    <d v="2024-12-22T00:00:00"/>
    <d v="2025-11-05T00:00:00"/>
    <s v="H"/>
    <x v="1"/>
    <s v="ANGUS NEGRO"/>
    <x v="96"/>
    <s v="20-09-2019"/>
    <s v="Vivo"/>
    <x v="8"/>
    <s v="11.1.01.0190"/>
    <s v="11.1.01.0893"/>
    <x v="0"/>
    <m/>
  </r>
  <r>
    <n v="16705421"/>
    <m/>
    <m/>
    <m/>
    <m/>
    <m/>
    <m/>
    <m/>
    <m/>
    <s v="H"/>
    <x v="1"/>
    <s v="ANGUS NEGRO"/>
    <x v="96"/>
    <s v="30-09-2019"/>
    <s v="Vivo"/>
    <x v="0"/>
    <s v="11.1.01.0791"/>
    <s v="11.1.01.0893"/>
    <x v="0"/>
    <m/>
  </r>
  <r>
    <n v="16705422"/>
    <m/>
    <m/>
    <m/>
    <m/>
    <m/>
    <m/>
    <d v="2024-01-06T00:00:00"/>
    <m/>
    <s v="H"/>
    <x v="1"/>
    <s v="ANGUS NEGRO"/>
    <x v="96"/>
    <s v="30-09-2019"/>
    <s v="Vivo"/>
    <x v="4"/>
    <s v="11.1.01.0893"/>
    <s v="11.1.01.0893"/>
    <x v="0"/>
    <m/>
  </r>
  <r>
    <n v="16705427"/>
    <m/>
    <m/>
    <m/>
    <m/>
    <m/>
    <m/>
    <m/>
    <m/>
    <s v="H"/>
    <x v="1"/>
    <s v="ANGUS NEGRO"/>
    <x v="96"/>
    <s v="20-09-2019"/>
    <s v="Vivo"/>
    <x v="7"/>
    <s v="11.1.01.0893"/>
    <s v="11.1.01.0893"/>
    <x v="0"/>
    <m/>
  </r>
  <r>
    <n v="16705429"/>
    <m/>
    <m/>
    <m/>
    <m/>
    <m/>
    <m/>
    <m/>
    <m/>
    <s v="H"/>
    <x v="1"/>
    <s v="ANGUS NEGRO"/>
    <x v="96"/>
    <s v="20-09-2019"/>
    <s v="Vivo"/>
    <x v="8"/>
    <s v="11.1.01.1241"/>
    <s v="11.1.01.0893"/>
    <x v="0"/>
    <m/>
  </r>
  <r>
    <n v="16705431"/>
    <m/>
    <m/>
    <m/>
    <m/>
    <m/>
    <m/>
    <d v="2024-12-22T00:00:00"/>
    <d v="2025-01-14T00:00:00"/>
    <s v="H"/>
    <x v="1"/>
    <s v="ANGUS NEGRO"/>
    <x v="97"/>
    <s v="30-10-2019"/>
    <s v="Vivo"/>
    <x v="7"/>
    <s v="11.1.01.1241"/>
    <s v="11.1.01.0893"/>
    <x v="0"/>
    <m/>
  </r>
  <r>
    <n v="16705435"/>
    <m/>
    <m/>
    <m/>
    <m/>
    <m/>
    <m/>
    <m/>
    <m/>
    <s v="H"/>
    <x v="1"/>
    <s v="ANGUS NEGRO"/>
    <x v="99"/>
    <s v="15-09-2019"/>
    <s v="Vivo"/>
    <x v="5"/>
    <s v="11.1.01.0893"/>
    <s v="11.1.01.0893"/>
    <x v="0"/>
    <m/>
  </r>
  <r>
    <n v="16705448"/>
    <m/>
    <m/>
    <m/>
    <m/>
    <m/>
    <m/>
    <m/>
    <m/>
    <s v="H"/>
    <x v="1"/>
    <s v="ANGUS NEGRO"/>
    <x v="96"/>
    <s v="30-09-2019"/>
    <s v="Vivo"/>
    <x v="4"/>
    <s v="11.1.01.0893"/>
    <s v="11.1.01.0893"/>
    <x v="0"/>
    <m/>
  </r>
  <r>
    <n v="16705449"/>
    <m/>
    <m/>
    <m/>
    <m/>
    <m/>
    <m/>
    <d v="2024-01-06T00:00:00"/>
    <m/>
    <s v="H"/>
    <x v="1"/>
    <s v="ANGUS NEGRO"/>
    <x v="96"/>
    <s v="10-10-2019"/>
    <s v="Vivo"/>
    <x v="4"/>
    <s v="11.1.01.0893"/>
    <s v="11.1.01.0893"/>
    <x v="0"/>
    <m/>
  </r>
  <r>
    <n v="16705450"/>
    <m/>
    <m/>
    <m/>
    <m/>
    <m/>
    <m/>
    <d v="2024-12-22T00:00:00"/>
    <d v="2025-11-05T00:00:00"/>
    <s v="H"/>
    <x v="1"/>
    <s v="ANGUS NEGRO"/>
    <x v="97"/>
    <s v="30-10-2019"/>
    <s v="Vivo"/>
    <x v="8"/>
    <s v="11.1.01.0190"/>
    <s v="11.1.01.0893"/>
    <x v="0"/>
    <m/>
  </r>
  <r>
    <n v="16705452"/>
    <m/>
    <m/>
    <m/>
    <m/>
    <m/>
    <m/>
    <m/>
    <m/>
    <s v="H"/>
    <x v="1"/>
    <s v="ANGUS NEGRO"/>
    <x v="97"/>
    <s v="30-10-2019"/>
    <s v="Vivo"/>
    <x v="5"/>
    <s v="11.1.01.0893"/>
    <s v="11.1.01.0893"/>
    <x v="0"/>
    <m/>
  </r>
  <r>
    <n v="16705457"/>
    <m/>
    <m/>
    <m/>
    <m/>
    <m/>
    <m/>
    <m/>
    <m/>
    <s v="H"/>
    <x v="1"/>
    <s v="ANGUS NEGRO"/>
    <x v="96"/>
    <s v="15-10-2019"/>
    <s v="Vivo"/>
    <x v="4"/>
    <s v="11.1.01.0893"/>
    <s v="11.1.01.0893"/>
    <x v="0"/>
    <m/>
  </r>
  <r>
    <n v="16705460"/>
    <m/>
    <m/>
    <m/>
    <m/>
    <m/>
    <m/>
    <d v="2024-12-22T00:00:00"/>
    <d v="2025-01-14T00:00:00"/>
    <s v="H"/>
    <x v="1"/>
    <s v="ANGUS NEGRO"/>
    <x v="96"/>
    <s v="30-09-2019"/>
    <s v="Vivo"/>
    <x v="0"/>
    <s v="11.2.01.0038"/>
    <s v="11.1.01.0893"/>
    <x v="0"/>
    <m/>
  </r>
  <r>
    <n v="16705470"/>
    <m/>
    <m/>
    <m/>
    <m/>
    <m/>
    <m/>
    <m/>
    <m/>
    <s v="H"/>
    <x v="1"/>
    <s v="ANGUS NEGRO"/>
    <x v="96"/>
    <s v="20-09-2019"/>
    <s v="Vivo"/>
    <x v="5"/>
    <s v="11.1.01.0893"/>
    <s v="11.1.01.0893"/>
    <x v="0"/>
    <m/>
  </r>
  <r>
    <n v="16705478"/>
    <m/>
    <m/>
    <m/>
    <m/>
    <m/>
    <m/>
    <m/>
    <m/>
    <s v="H"/>
    <x v="1"/>
    <s v="ANGUS NEGRO"/>
    <x v="97"/>
    <s v="30-10-2019"/>
    <s v="Vivo"/>
    <x v="0"/>
    <s v="11.1.01.0791"/>
    <s v="11.1.01.0893"/>
    <x v="0"/>
    <m/>
  </r>
  <r>
    <n v="16705486"/>
    <m/>
    <m/>
    <m/>
    <m/>
    <m/>
    <m/>
    <m/>
    <m/>
    <s v="H"/>
    <x v="1"/>
    <s v="ANGUS NEGRO"/>
    <x v="96"/>
    <s v="20-09-2019"/>
    <s v="Vivo"/>
    <x v="5"/>
    <s v="11.1.01.0893"/>
    <s v="11.1.01.0893"/>
    <x v="0"/>
    <m/>
  </r>
  <r>
    <n v="16705493"/>
    <m/>
    <m/>
    <m/>
    <m/>
    <m/>
    <m/>
    <m/>
    <m/>
    <s v="H"/>
    <x v="1"/>
    <s v="ANGUS NEGRO"/>
    <x v="96"/>
    <s v="25-09-2019"/>
    <s v="Vivo"/>
    <x v="4"/>
    <s v="11.1.01.0893"/>
    <s v="11.1.01.0893"/>
    <x v="0"/>
    <m/>
  </r>
  <r>
    <n v="16705495"/>
    <m/>
    <m/>
    <m/>
    <m/>
    <m/>
    <m/>
    <d v="2024-12-22T00:00:00"/>
    <d v="2025-01-14T00:00:00"/>
    <s v="H"/>
    <x v="1"/>
    <s v="ANGUS NEGRO"/>
    <x v="96"/>
    <s v="30-09-2019"/>
    <s v="Vivo"/>
    <x v="0"/>
    <s v="11.2.01.0038"/>
    <s v="11.1.01.0893"/>
    <x v="0"/>
    <m/>
  </r>
  <r>
    <n v="16705497"/>
    <m/>
    <m/>
    <m/>
    <m/>
    <m/>
    <m/>
    <d v="2024-12-22T00:00:00"/>
    <d v="2025-01-14T00:00:00"/>
    <s v="H"/>
    <x v="1"/>
    <s v="ANGUS NEGRO"/>
    <x v="96"/>
    <s v="05-10-2019"/>
    <s v="Vivo"/>
    <x v="0"/>
    <s v="11.1.01.0791"/>
    <s v="11.1.01.0893"/>
    <x v="0"/>
    <m/>
  </r>
  <r>
    <n v="16705508"/>
    <m/>
    <m/>
    <d v="2020-10-29T00:00:00"/>
    <d v="2021-11-04T00:00:00"/>
    <d v="2022-11-18T00:00:00"/>
    <d v="2023-06-13T00:00:00"/>
    <m/>
    <m/>
    <s v="H"/>
    <x v="1"/>
    <s v="ANGUS NEGRO"/>
    <x v="96"/>
    <s v="30-09-2019"/>
    <s v="Vivo"/>
    <x v="0"/>
    <s v="11.1.01.0791"/>
    <s v="11.1.01.0893"/>
    <x v="0"/>
    <m/>
  </r>
  <r>
    <n v="16705510"/>
    <m/>
    <m/>
    <m/>
    <m/>
    <m/>
    <m/>
    <m/>
    <m/>
    <s v="H"/>
    <x v="1"/>
    <s v="ANGUS NEGRO"/>
    <x v="96"/>
    <s v="30-09-2019"/>
    <s v="Vivo"/>
    <x v="5"/>
    <s v="11.1.01.0893"/>
    <s v="11.1.01.0893"/>
    <x v="0"/>
    <m/>
  </r>
  <r>
    <n v="16705511"/>
    <m/>
    <m/>
    <d v="2020-10-30T00:00:00"/>
    <d v="2021-06-03T00:00:00"/>
    <d v="2022-11-03T00:00:00"/>
    <d v="2023-11-24T00:00:00"/>
    <d v="2024-01-06T00:00:00"/>
    <m/>
    <s v="H"/>
    <x v="1"/>
    <s v="ANGUS NEGRO"/>
    <x v="96"/>
    <s v="05-10-2019"/>
    <s v="Vivo"/>
    <x v="5"/>
    <s v="11.1.01.0893"/>
    <s v="11.1.01.0893"/>
    <x v="0"/>
    <m/>
  </r>
  <r>
    <n v="16705512"/>
    <m/>
    <m/>
    <m/>
    <m/>
    <m/>
    <m/>
    <m/>
    <d v="2025-11-04T00:00:00"/>
    <s v="H"/>
    <x v="1"/>
    <s v="ANGUS NEGRO"/>
    <x v="96"/>
    <s v="30-09-2019"/>
    <s v="Vivo"/>
    <x v="7"/>
    <s v="11.1.01.1241"/>
    <s v="11.1.01.0893"/>
    <x v="0"/>
    <m/>
  </r>
  <r>
    <n v="16705530"/>
    <m/>
    <m/>
    <m/>
    <m/>
    <m/>
    <m/>
    <m/>
    <m/>
    <s v="H"/>
    <x v="1"/>
    <s v="ANGUS NEGRO"/>
    <x v="97"/>
    <s v="05-11-2019"/>
    <s v="Vivo"/>
    <x v="8"/>
    <s v="11.1.01.0893"/>
    <s v="11.1.01.0893"/>
    <x v="0"/>
    <m/>
  </r>
  <r>
    <n v="16705534"/>
    <m/>
    <m/>
    <m/>
    <m/>
    <m/>
    <m/>
    <m/>
    <m/>
    <s v="H"/>
    <x v="1"/>
    <s v="ANGUS NEGRO"/>
    <x v="97"/>
    <s v="30-10-2019"/>
    <s v="Vivo"/>
    <x v="0"/>
    <s v="11.1.01.0791"/>
    <s v="11.1.01.0893"/>
    <x v="0"/>
    <m/>
  </r>
  <r>
    <n v="16705535"/>
    <m/>
    <m/>
    <m/>
    <m/>
    <m/>
    <m/>
    <m/>
    <m/>
    <s v="H"/>
    <x v="1"/>
    <s v="ANGUS NEGRO"/>
    <x v="97"/>
    <s v="25-10-2019"/>
    <s v="Vivo"/>
    <x v="0"/>
    <s v="11.1.01.0791"/>
    <s v="11.1.01.0893"/>
    <x v="0"/>
    <m/>
  </r>
  <r>
    <n v="16705537"/>
    <m/>
    <m/>
    <m/>
    <d v="2021-07-20T00:00:00"/>
    <m/>
    <d v="2023-12-04T00:00:00"/>
    <d v="2024-12-22T00:00:00"/>
    <d v="2025-01-14T00:00:00"/>
    <s v="H"/>
    <x v="1"/>
    <s v="ANGUS NEGRO"/>
    <x v="96"/>
    <s v="25-09-2019"/>
    <s v="Vivo"/>
    <x v="0"/>
    <s v="11.1.01.0791"/>
    <s v="11.1.01.0893"/>
    <x v="0"/>
    <m/>
  </r>
  <r>
    <n v="16705539"/>
    <m/>
    <m/>
    <m/>
    <d v="2021-07-20T00:00:00"/>
    <d v="2022-12-13T00:00:00"/>
    <m/>
    <d v="2024-05-20T00:00:00"/>
    <d v="2025-01-14T00:00:00"/>
    <s v="H"/>
    <x v="1"/>
    <s v="ANGUS NEGRO"/>
    <x v="96"/>
    <s v="20-09-2019"/>
    <s v="Vivo"/>
    <x v="8"/>
    <s v="11.1.01.0190"/>
    <s v="11.1.01.0893"/>
    <x v="0"/>
    <m/>
  </r>
  <r>
    <n v="16705543"/>
    <m/>
    <m/>
    <d v="2020-11-09T00:00:00"/>
    <m/>
    <d v="2022-11-03T00:00:00"/>
    <d v="2023-11-23T00:00:00"/>
    <d v="2024-12-22T00:00:00"/>
    <d v="2025-11-05T00:00:00"/>
    <s v="H"/>
    <x v="1"/>
    <s v="ANGUS NEGRO"/>
    <x v="96"/>
    <s v="30-09-2019"/>
    <s v="Vivo"/>
    <x v="8"/>
    <s v="11.1.01.0190"/>
    <s v="11.1.01.0893"/>
    <x v="0"/>
    <m/>
  </r>
  <r>
    <n v="16705545"/>
    <m/>
    <m/>
    <d v="2020-10-30T00:00:00"/>
    <d v="2021-06-03T00:00:00"/>
    <d v="2022-11-28T00:00:00"/>
    <d v="2023-11-28T00:00:00"/>
    <m/>
    <m/>
    <s v="H"/>
    <x v="1"/>
    <s v="ANGUS ROJO"/>
    <x v="96"/>
    <s v="30-09-2019"/>
    <s v="Vivo"/>
    <x v="0"/>
    <s v="11.2.01.0053"/>
    <s v="11.1.01.0893"/>
    <x v="0"/>
    <m/>
  </r>
  <r>
    <n v="16705549"/>
    <m/>
    <m/>
    <d v="2020-06-01T00:00:00"/>
    <d v="2021-10-22T00:00:00"/>
    <d v="2022-11-28T00:00:00"/>
    <d v="2023-11-24T00:00:00"/>
    <m/>
    <m/>
    <s v="H"/>
    <x v="1"/>
    <s v="ANGUS ROJO"/>
    <x v="96"/>
    <s v="30-09-2019"/>
    <s v="Vivo"/>
    <x v="4"/>
    <s v="11.1.01.0893"/>
    <s v="11.1.01.0893"/>
    <x v="0"/>
    <m/>
  </r>
  <r>
    <n v="16705551"/>
    <m/>
    <m/>
    <m/>
    <m/>
    <m/>
    <m/>
    <d v="2024-01-06T00:00:00"/>
    <m/>
    <s v="H"/>
    <x v="1"/>
    <s v="ANGUS NEGRO"/>
    <x v="97"/>
    <s v="30-10-2019"/>
    <s v="Vivo"/>
    <x v="5"/>
    <s v="11.1.01.0893"/>
    <s v="11.1.01.0893"/>
    <x v="0"/>
    <m/>
  </r>
  <r>
    <n v="16705555"/>
    <m/>
    <m/>
    <m/>
    <m/>
    <m/>
    <m/>
    <d v="2024-12-22T00:00:00"/>
    <d v="2025-11-04T00:00:00"/>
    <s v="H"/>
    <x v="1"/>
    <s v="ANGUS ROJO"/>
    <x v="96"/>
    <s v="30-09-2019"/>
    <s v="Vivo"/>
    <x v="0"/>
    <s v="11.2.01.0038"/>
    <s v="11.1.01.0893"/>
    <x v="0"/>
    <m/>
  </r>
  <r>
    <n v="16705561"/>
    <m/>
    <m/>
    <m/>
    <m/>
    <m/>
    <m/>
    <d v="2024-12-22T00:00:00"/>
    <d v="2025-11-04T00:00:00"/>
    <s v="H"/>
    <x v="1"/>
    <s v="ANGUS NEGRO"/>
    <x v="97"/>
    <s v="20-10-2019"/>
    <s v="Vivo"/>
    <x v="7"/>
    <s v="11.1.01.1241"/>
    <s v="11.1.01.0893"/>
    <x v="0"/>
    <m/>
  </r>
  <r>
    <n v="16705564"/>
    <m/>
    <m/>
    <m/>
    <d v="2021-10-20T00:00:00"/>
    <d v="2022-12-13T00:00:00"/>
    <d v="2023-11-23T00:00:00"/>
    <d v="2024-12-22T00:00:00"/>
    <d v="2025-11-04T00:00:00"/>
    <s v="H"/>
    <x v="1"/>
    <s v="ANGUS NEGRO"/>
    <x v="96"/>
    <s v="05-10-2019"/>
    <s v="Vivo"/>
    <x v="0"/>
    <s v="11.2.01.0038"/>
    <s v="11.1.01.0893"/>
    <x v="0"/>
    <m/>
  </r>
  <r>
    <n v="16705565"/>
    <m/>
    <m/>
    <m/>
    <d v="2021-10-20T00:00:00"/>
    <d v="2022-12-13T00:00:00"/>
    <d v="2023-12-05T00:00:00"/>
    <d v="2024-12-22T00:00:00"/>
    <d v="2025-11-05T00:00:00"/>
    <s v="H"/>
    <x v="1"/>
    <s v="ANGUS NEGRO"/>
    <x v="96"/>
    <s v="05-10-2019"/>
    <s v="Vivo"/>
    <x v="8"/>
    <s v="11.1.01.0190"/>
    <s v="11.1.01.0893"/>
    <x v="0"/>
    <m/>
  </r>
  <r>
    <n v="16705568"/>
    <m/>
    <m/>
    <m/>
    <m/>
    <m/>
    <m/>
    <m/>
    <m/>
    <s v="H"/>
    <x v="1"/>
    <s v="ANGUS NEGRO"/>
    <x v="96"/>
    <s v="05-10-2019"/>
    <s v="Vivo"/>
    <x v="5"/>
    <s v="11.1.01.0893"/>
    <s v="11.1.01.0893"/>
    <x v="0"/>
    <m/>
  </r>
  <r>
    <n v="16705576"/>
    <m/>
    <m/>
    <m/>
    <m/>
    <m/>
    <m/>
    <d v="2024-12-22T00:00:00"/>
    <d v="2025-01-14T00:00:00"/>
    <s v="H"/>
    <x v="1"/>
    <s v="ANGUS NEGRO"/>
    <x v="97"/>
    <s v="20-10-2019"/>
    <s v="Vivo"/>
    <x v="0"/>
    <s v="11.2.01.0038"/>
    <s v="11.1.01.0893"/>
    <x v="0"/>
    <m/>
  </r>
  <r>
    <n v="16705585"/>
    <m/>
    <m/>
    <m/>
    <m/>
    <m/>
    <m/>
    <m/>
    <m/>
    <s v="H"/>
    <x v="1"/>
    <s v="ANGUS NEGRO"/>
    <x v="96"/>
    <s v="30-09-2019"/>
    <s v="Vivo"/>
    <x v="0"/>
    <s v="11.1.01.0791"/>
    <s v="11.1.01.0893"/>
    <x v="0"/>
    <m/>
  </r>
  <r>
    <n v="16705610"/>
    <m/>
    <m/>
    <m/>
    <m/>
    <m/>
    <m/>
    <m/>
    <m/>
    <s v="M"/>
    <x v="3"/>
    <s v="ANGUS NEGRO"/>
    <x v="96"/>
    <s v="20-09-2019"/>
    <s v="Vivo"/>
    <x v="0"/>
    <s v="Sin Movimiento"/>
    <s v="11.1.01.1241"/>
    <x v="0"/>
    <m/>
  </r>
  <r>
    <n v="16705616"/>
    <m/>
    <m/>
    <m/>
    <m/>
    <m/>
    <m/>
    <d v="2024-12-22T00:00:00"/>
    <d v="2025-11-04T00:00:00"/>
    <s v="H"/>
    <x v="1"/>
    <s v="ANGUS NEGRO"/>
    <x v="96"/>
    <s v="30-09-2019"/>
    <s v="Vivo"/>
    <x v="10"/>
    <s v="11.1.01.0190"/>
    <s v="11.1.01.1241"/>
    <x v="0"/>
    <m/>
  </r>
  <r>
    <n v="16705617"/>
    <m/>
    <m/>
    <m/>
    <m/>
    <m/>
    <m/>
    <m/>
    <m/>
    <s v="H"/>
    <x v="1"/>
    <s v="ANGUS NEGRO"/>
    <x v="97"/>
    <s v="25-10-2019"/>
    <s v="Vivo"/>
    <x v="5"/>
    <s v="11.1.01.0893"/>
    <s v="11.1.01.1241"/>
    <x v="0"/>
    <m/>
  </r>
  <r>
    <n v="16705620"/>
    <m/>
    <m/>
    <m/>
    <m/>
    <m/>
    <m/>
    <d v="2024-12-22T00:00:00"/>
    <d v="2025-01-14T00:00:00"/>
    <s v="H"/>
    <x v="1"/>
    <s v="ANGUS NEGRO"/>
    <x v="96"/>
    <s v="30-09-2019"/>
    <s v="Vivo"/>
    <x v="0"/>
    <s v="11.2.01.0038"/>
    <s v="11.1.01.1241"/>
    <x v="0"/>
    <m/>
  </r>
  <r>
    <n v="16705623"/>
    <m/>
    <m/>
    <m/>
    <m/>
    <m/>
    <m/>
    <m/>
    <m/>
    <s v="H"/>
    <x v="1"/>
    <s v="ANGUS NEGRO"/>
    <x v="97"/>
    <s v="15-11-2019"/>
    <s v="Vivo"/>
    <x v="3"/>
    <s v="11.1.01.1241"/>
    <s v="11.1.01.1241"/>
    <x v="0"/>
    <m/>
  </r>
  <r>
    <n v="16705647"/>
    <m/>
    <m/>
    <m/>
    <m/>
    <m/>
    <m/>
    <m/>
    <m/>
    <s v="H"/>
    <x v="1"/>
    <s v="ANGUS NEGRO"/>
    <x v="96"/>
    <s v="10-10-2019"/>
    <s v="Vivo"/>
    <x v="4"/>
    <s v="11.1.01.0893"/>
    <s v="11.1.01.1241"/>
    <x v="0"/>
    <m/>
  </r>
  <r>
    <n v="16705653"/>
    <m/>
    <m/>
    <m/>
    <m/>
    <m/>
    <m/>
    <m/>
    <m/>
    <s v="H"/>
    <x v="1"/>
    <s v="ANGUS NEGRO"/>
    <x v="97"/>
    <s v="30-10-2019"/>
    <s v="Vivo"/>
    <x v="0"/>
    <s v="Sin Movimiento"/>
    <s v="11.1.01.1241"/>
    <x v="0"/>
    <m/>
  </r>
  <r>
    <n v="16705654"/>
    <m/>
    <m/>
    <m/>
    <m/>
    <m/>
    <m/>
    <m/>
    <m/>
    <s v="H"/>
    <x v="1"/>
    <s v="ANGUS NEGRO"/>
    <x v="97"/>
    <s v="30-10-2019"/>
    <s v="Vivo"/>
    <x v="0"/>
    <s v="11.1.01.0791"/>
    <s v="11.1.01.1241"/>
    <x v="0"/>
    <m/>
  </r>
  <r>
    <n v="16705658"/>
    <m/>
    <m/>
    <m/>
    <m/>
    <m/>
    <m/>
    <m/>
    <m/>
    <s v="H"/>
    <x v="1"/>
    <s v="ANGUS NEGRO"/>
    <x v="96"/>
    <s v="30-09-2019"/>
    <s v="Vivo"/>
    <x v="8"/>
    <s v="11.1.01.0893"/>
    <s v="11.2.01.0038"/>
    <x v="0"/>
    <m/>
  </r>
  <r>
    <n v="16705665"/>
    <m/>
    <m/>
    <m/>
    <m/>
    <m/>
    <m/>
    <m/>
    <m/>
    <s v="H"/>
    <x v="1"/>
    <s v="HEREFORD"/>
    <x v="96"/>
    <s v="30-09-2019"/>
    <s v="Vivo"/>
    <x v="2"/>
    <s v="11.2.01.0053"/>
    <s v="11.2.01.0038"/>
    <x v="0"/>
    <m/>
  </r>
  <r>
    <n v="16705675"/>
    <m/>
    <m/>
    <m/>
    <m/>
    <m/>
    <m/>
    <d v="2024-12-22T00:00:00"/>
    <d v="2025-01-14T00:00:00"/>
    <s v="H"/>
    <x v="1"/>
    <s v="ANGUS NEGRO"/>
    <x v="97"/>
    <s v="20-10-2019"/>
    <s v="Vivo"/>
    <x v="0"/>
    <s v="11.2.01.0038"/>
    <s v="11.2.01.0038"/>
    <x v="0"/>
    <m/>
  </r>
  <r>
    <n v="16705676"/>
    <m/>
    <m/>
    <m/>
    <m/>
    <m/>
    <m/>
    <m/>
    <m/>
    <s v="H"/>
    <x v="1"/>
    <s v="ANGUS NEGRO"/>
    <x v="96"/>
    <s v="30-09-2019"/>
    <s v="Vivo"/>
    <x v="4"/>
    <s v="11.1.01.0893"/>
    <s v="11.2.01.0038"/>
    <x v="0"/>
    <m/>
  </r>
  <r>
    <n v="16705682"/>
    <m/>
    <m/>
    <m/>
    <m/>
    <m/>
    <m/>
    <d v="2024-12-22T00:00:00"/>
    <d v="2025-11-04T00:00:00"/>
    <s v="H"/>
    <x v="1"/>
    <s v="ANGUS NEGRO"/>
    <x v="96"/>
    <s v="30-09-2019"/>
    <s v="Vivo"/>
    <x v="10"/>
    <s v="11.1.01.0190"/>
    <s v="11.2.01.0038"/>
    <x v="0"/>
    <m/>
  </r>
  <r>
    <n v="16705691"/>
    <m/>
    <m/>
    <m/>
    <m/>
    <m/>
    <m/>
    <d v="2024-12-22T00:00:00"/>
    <d v="2025-11-04T00:00:00"/>
    <s v="H"/>
    <x v="1"/>
    <s v="ANGUS NEGRO"/>
    <x v="96"/>
    <s v="30-09-2019"/>
    <s v="Vivo"/>
    <x v="10"/>
    <s v="11.1.01.0190"/>
    <s v="11.2.01.0038"/>
    <x v="0"/>
    <m/>
  </r>
  <r>
    <n v="16705697"/>
    <m/>
    <m/>
    <m/>
    <m/>
    <m/>
    <m/>
    <m/>
    <m/>
    <s v="H"/>
    <x v="1"/>
    <s v="ANGUS NEGRO"/>
    <x v="79"/>
    <s v="10-10-2016"/>
    <s v="Vivo"/>
    <x v="0"/>
    <s v="11.2.01.0038"/>
    <s v="11.1.01.0791"/>
    <x v="0"/>
    <m/>
  </r>
  <r>
    <n v="16705699"/>
    <m/>
    <m/>
    <m/>
    <m/>
    <m/>
    <m/>
    <d v="2024-12-22T00:00:00"/>
    <d v="2025-01-14T00:00:00"/>
    <s v="H"/>
    <x v="1"/>
    <s v="ANGUS NEGRO"/>
    <x v="79"/>
    <s v="10-10-2016"/>
    <s v="Vivo"/>
    <x v="9"/>
    <s v="11.1.01.1241"/>
    <s v="11.1.01.0791"/>
    <x v="0"/>
    <m/>
  </r>
  <r>
    <n v="16705705"/>
    <m/>
    <m/>
    <m/>
    <m/>
    <m/>
    <m/>
    <m/>
    <d v="2025-01-14T00:00:00"/>
    <s v="H"/>
    <x v="1"/>
    <s v="ANGUS NEGRO"/>
    <x v="25"/>
    <s v="30-09-2009"/>
    <s v="Vivo"/>
    <x v="0"/>
    <s v="11.2.01.0038"/>
    <s v="11.1.01.1241"/>
    <x v="0"/>
    <m/>
  </r>
  <r>
    <n v="16705710"/>
    <m/>
    <m/>
    <m/>
    <m/>
    <m/>
    <m/>
    <m/>
    <m/>
    <s v="H"/>
    <x v="1"/>
    <s v="ANGUS NEGRO"/>
    <x v="86"/>
    <s v="30-08-2017"/>
    <s v="Vivo"/>
    <x v="0"/>
    <s v="11.2.01.0038"/>
    <s v="11.1.01.1241"/>
    <x v="0"/>
    <m/>
  </r>
  <r>
    <n v="16705711"/>
    <m/>
    <m/>
    <m/>
    <m/>
    <m/>
    <m/>
    <d v="2024-12-22T00:00:00"/>
    <d v="2025-01-14T00:00:00"/>
    <s v="H"/>
    <x v="1"/>
    <s v="ANGUS NEGRO"/>
    <x v="84"/>
    <s v="30-09-2017"/>
    <s v="Vivo"/>
    <x v="0"/>
    <s v="11.2.01.0038"/>
    <s v="11.2.01.2071"/>
    <x v="0"/>
    <m/>
  </r>
  <r>
    <n v="16705714"/>
    <m/>
    <m/>
    <m/>
    <m/>
    <m/>
    <m/>
    <d v="2024-05-18T00:00:00"/>
    <d v="2025-11-05T00:00:00"/>
    <s v="H"/>
    <x v="1"/>
    <s v="ANGUS NEGRO"/>
    <x v="43"/>
    <s v="30-10-2011"/>
    <s v="Vivo"/>
    <x v="6"/>
    <s v="11.1.01.1241"/>
    <s v="11.1.01.0790"/>
    <x v="0"/>
    <m/>
  </r>
  <r>
    <n v="16705715"/>
    <m/>
    <m/>
    <m/>
    <m/>
    <m/>
    <m/>
    <m/>
    <m/>
    <s v="H"/>
    <x v="1"/>
    <s v="ANGUS NEGRO"/>
    <x v="25"/>
    <s v="30-09-2009"/>
    <s v="Vivo"/>
    <x v="5"/>
    <s v="11.1.01.0893"/>
    <s v="11.1.01.1241"/>
    <x v="0"/>
    <m/>
  </r>
  <r>
    <n v="16705719"/>
    <m/>
    <m/>
    <m/>
    <m/>
    <m/>
    <m/>
    <m/>
    <m/>
    <s v="H"/>
    <x v="1"/>
    <s v="ANGUS NEGRO"/>
    <x v="44"/>
    <s v="30-11-2011"/>
    <s v="Vivo"/>
    <x v="0"/>
    <s v="11.2.01.0038"/>
    <s v="11.1.01.1241"/>
    <x v="0"/>
    <m/>
  </r>
  <r>
    <n v="16705721"/>
    <m/>
    <m/>
    <m/>
    <m/>
    <m/>
    <m/>
    <m/>
    <m/>
    <s v="H"/>
    <x v="1"/>
    <s v="ANGUS NEGRO"/>
    <x v="49"/>
    <s v="15-10-2012"/>
    <s v="Vivo"/>
    <x v="4"/>
    <s v="11.1.01.0893"/>
    <s v="11.1.01.1162"/>
    <x v="0"/>
    <m/>
  </r>
  <r>
    <n v="16705722"/>
    <m/>
    <m/>
    <m/>
    <m/>
    <m/>
    <m/>
    <m/>
    <m/>
    <s v="H"/>
    <x v="1"/>
    <s v="ANGUS NEGRO"/>
    <x v="84"/>
    <s v="06-10-2017"/>
    <s v="Vivo"/>
    <x v="0"/>
    <s v="11.1.01.1022"/>
    <s v="11.1.01.0893"/>
    <x v="0"/>
    <m/>
  </r>
  <r>
    <n v="16705727"/>
    <m/>
    <m/>
    <m/>
    <m/>
    <m/>
    <m/>
    <d v="2024-12-22T00:00:00"/>
    <d v="2025-01-14T00:00:00"/>
    <s v="H"/>
    <x v="1"/>
    <s v="ANGUS NEGRO"/>
    <x v="49"/>
    <s v="30-09-2012"/>
    <s v="Vivo"/>
    <x v="0"/>
    <s v="11.2.01.0038"/>
    <s v="11.1.01.1241"/>
    <x v="0"/>
    <m/>
  </r>
  <r>
    <n v="16705731"/>
    <m/>
    <m/>
    <m/>
    <m/>
    <m/>
    <m/>
    <d v="2024-05-20T00:00:00"/>
    <d v="2025-11-05T00:00:00"/>
    <s v="H"/>
    <x v="1"/>
    <s v="HEREFORD"/>
    <x v="50"/>
    <s v="20-10-2013"/>
    <s v="Vivo"/>
    <x v="0"/>
    <s v="11.2.01.0038"/>
    <s v="11.1.01.1081"/>
    <x v="0"/>
    <m/>
  </r>
  <r>
    <n v="16705737"/>
    <m/>
    <m/>
    <m/>
    <m/>
    <m/>
    <m/>
    <d v="2024-11-26T00:00:00"/>
    <d v="2025-01-14T00:00:00"/>
    <s v="H"/>
    <x v="1"/>
    <s v="ANGUS NEGRO"/>
    <x v="42"/>
    <s v="30-09-2011"/>
    <s v="Vivo"/>
    <x v="0"/>
    <s v="11.2.01.0038"/>
    <s v="11.1.01.0790"/>
    <x v="0"/>
    <m/>
  </r>
  <r>
    <n v="16705739"/>
    <m/>
    <m/>
    <m/>
    <m/>
    <m/>
    <m/>
    <m/>
    <m/>
    <s v="H"/>
    <x v="1"/>
    <s v="ANGUS NEGRO"/>
    <x v="55"/>
    <s v="30-01-2013"/>
    <s v="Vivo"/>
    <x v="0"/>
    <s v="11.2.01.0038"/>
    <s v="11.1.01.1240"/>
    <x v="0"/>
    <m/>
  </r>
  <r>
    <n v="16705740"/>
    <m/>
    <m/>
    <m/>
    <m/>
    <m/>
    <m/>
    <d v="2024-12-22T00:00:00"/>
    <d v="2025-01-14T00:00:00"/>
    <s v="H"/>
    <x v="1"/>
    <s v="ANGUS NEGRO"/>
    <x v="79"/>
    <s v="15-10-2016"/>
    <s v="Vivo"/>
    <x v="7"/>
    <s v="11.1.01.1241"/>
    <s v="11.1.01.1081"/>
    <x v="0"/>
    <m/>
  </r>
  <r>
    <n v="16705742"/>
    <m/>
    <m/>
    <m/>
    <m/>
    <m/>
    <m/>
    <m/>
    <m/>
    <s v="H"/>
    <x v="1"/>
    <s v="ANGUS NEGRO"/>
    <x v="37"/>
    <s v="30-09-2010"/>
    <s v="Vivo"/>
    <x v="11"/>
    <s v="11.1.02.0004"/>
    <s v="11.1.01.1241"/>
    <x v="0"/>
    <m/>
  </r>
  <r>
    <n v="16705743"/>
    <m/>
    <m/>
    <m/>
    <m/>
    <m/>
    <m/>
    <d v="2024-05-20T00:00:00"/>
    <d v="2025-11-04T00:00:00"/>
    <s v="H"/>
    <x v="1"/>
    <s v="ANGUS NEGRO"/>
    <x v="31"/>
    <s v="30-08-2009"/>
    <s v="Vivo"/>
    <x v="10"/>
    <s v="11.1.01.0190"/>
    <s v="11.1.01.1241"/>
    <x v="0"/>
    <m/>
  </r>
  <r>
    <n v="16705744"/>
    <m/>
    <m/>
    <m/>
    <m/>
    <m/>
    <m/>
    <m/>
    <m/>
    <s v="H"/>
    <x v="1"/>
    <s v="ANGUS NEGRO"/>
    <x v="79"/>
    <s v="10-10-2016"/>
    <s v="Vivo"/>
    <x v="0"/>
    <s v="11.2.01.0038"/>
    <s v="11.1.01.1241"/>
    <x v="0"/>
    <m/>
  </r>
  <r>
    <n v="16705746"/>
    <m/>
    <m/>
    <m/>
    <m/>
    <m/>
    <m/>
    <m/>
    <m/>
    <s v="H"/>
    <x v="1"/>
    <s v="ANGUS NEGRO"/>
    <x v="55"/>
    <s v="30-01-2013"/>
    <s v="Vivo"/>
    <x v="0"/>
    <s v="11.2.01.0038"/>
    <s v="11.1.01.1240"/>
    <x v="0"/>
    <m/>
  </r>
  <r>
    <n v="16705747"/>
    <m/>
    <m/>
    <m/>
    <m/>
    <m/>
    <m/>
    <d v="2024-01-06T00:00:00"/>
    <m/>
    <s v="H"/>
    <x v="1"/>
    <s v="ANGUS NEGRO"/>
    <x v="51"/>
    <s v="30-09-2014"/>
    <s v="Vivo"/>
    <x v="5"/>
    <s v="11.1.01.0893"/>
    <s v="11.1.01.2304"/>
    <x v="0"/>
    <m/>
  </r>
  <r>
    <n v="16705749"/>
    <m/>
    <m/>
    <m/>
    <m/>
    <m/>
    <m/>
    <d v="2024-05-18T00:00:00"/>
    <m/>
    <s v="H"/>
    <x v="1"/>
    <s v="ANGUS NEGRO"/>
    <x v="57"/>
    <s v="15-10-2013"/>
    <s v="Vivo"/>
    <x v="6"/>
    <s v="11.1.01.1241"/>
    <s v="11.1.01.0790"/>
    <x v="0"/>
    <m/>
  </r>
  <r>
    <n v="16705750"/>
    <m/>
    <m/>
    <m/>
    <m/>
    <m/>
    <m/>
    <m/>
    <m/>
    <s v="H"/>
    <x v="1"/>
    <s v="ANGUS NEGRO"/>
    <x v="45"/>
    <s v="15-01-2012"/>
    <s v="Vivo"/>
    <x v="0"/>
    <s v="11.2.01.0038"/>
    <s v="11.1.01.1241"/>
    <x v="0"/>
    <m/>
  </r>
  <r>
    <n v="16705753"/>
    <m/>
    <m/>
    <m/>
    <m/>
    <m/>
    <m/>
    <m/>
    <m/>
    <s v="H"/>
    <x v="1"/>
    <s v="ANGUS NEGRO"/>
    <x v="79"/>
    <s v="15-10-2016"/>
    <s v="Vivo"/>
    <x v="4"/>
    <s v="11.1.01.0893"/>
    <s v="11.1.01.1241"/>
    <x v="0"/>
    <m/>
  </r>
  <r>
    <n v="16705755"/>
    <m/>
    <m/>
    <m/>
    <m/>
    <m/>
    <m/>
    <d v="2024-12-22T00:00:00"/>
    <d v="2025-11-05T00:00:00"/>
    <s v="H"/>
    <x v="1"/>
    <s v="ANGUS NEGRO"/>
    <x v="73"/>
    <s v="30-08-2014"/>
    <s v="Vivo"/>
    <x v="8"/>
    <s v="11.1.01.0190"/>
    <s v="11.1.01.2304"/>
    <x v="0"/>
    <m/>
  </r>
  <r>
    <n v="16705757"/>
    <m/>
    <m/>
    <m/>
    <m/>
    <m/>
    <m/>
    <m/>
    <m/>
    <s v="H"/>
    <x v="1"/>
    <s v="ANGUS NEGRO"/>
    <x v="42"/>
    <s v="15-10-2011"/>
    <s v="Vivo"/>
    <x v="8"/>
    <s v="11.1.01.1241"/>
    <s v="11.1.01.1241"/>
    <x v="0"/>
    <m/>
  </r>
  <r>
    <n v="16705760"/>
    <m/>
    <m/>
    <m/>
    <m/>
    <m/>
    <m/>
    <d v="2024-05-18T00:00:00"/>
    <d v="2025-01-14T00:00:00"/>
    <s v="H"/>
    <x v="1"/>
    <s v="HEREFORD"/>
    <x v="56"/>
    <s v="30-11-2012"/>
    <s v="Vivo"/>
    <x v="6"/>
    <s v="11.1.01.1241"/>
    <s v="11.1.01.0789"/>
    <x v="0"/>
    <m/>
  </r>
  <r>
    <n v="16705761"/>
    <m/>
    <m/>
    <m/>
    <m/>
    <m/>
    <m/>
    <m/>
    <m/>
    <s v="H"/>
    <x v="1"/>
    <s v="ANGUS ROJO"/>
    <x v="52"/>
    <s v="30-10-2012"/>
    <s v="Vivo"/>
    <x v="4"/>
    <s v="11.1.01.1241"/>
    <s v="11.1.01.1241"/>
    <x v="0"/>
    <m/>
  </r>
  <r>
    <n v="16705763"/>
    <m/>
    <m/>
    <m/>
    <m/>
    <m/>
    <m/>
    <m/>
    <m/>
    <s v="H"/>
    <x v="1"/>
    <s v="ANGUS NEGRO"/>
    <x v="45"/>
    <s v="15-01-2012"/>
    <s v="Vivo"/>
    <x v="0"/>
    <s v="11.2.01.0038"/>
    <s v="11.1.01.1241"/>
    <x v="0"/>
    <m/>
  </r>
  <r>
    <n v="16705764"/>
    <m/>
    <m/>
    <m/>
    <m/>
    <m/>
    <m/>
    <m/>
    <m/>
    <s v="H"/>
    <x v="1"/>
    <s v="ANGUS NEGRO"/>
    <x v="42"/>
    <s v="30-09-2011"/>
    <s v="Vivo"/>
    <x v="0"/>
    <s v="11.2.01.0053"/>
    <s v="11.1.01.0790"/>
    <x v="0"/>
    <m/>
  </r>
  <r>
    <n v="16705767"/>
    <m/>
    <m/>
    <m/>
    <m/>
    <m/>
    <m/>
    <d v="2024-12-22T00:00:00"/>
    <d v="2025-11-04T00:00:00"/>
    <s v="H"/>
    <x v="1"/>
    <s v="ANGUS NEGRO"/>
    <x v="101"/>
    <s v="30-01-2020"/>
    <s v="Vivo"/>
    <x v="10"/>
    <s v="11.1.01.0190"/>
    <s v="11.1.01.0893"/>
    <x v="0"/>
    <m/>
  </r>
  <r>
    <n v="16705775"/>
    <m/>
    <m/>
    <m/>
    <m/>
    <m/>
    <m/>
    <d v="2024-12-22T00:00:00"/>
    <d v="2025-01-14T00:00:00"/>
    <s v="H"/>
    <x v="1"/>
    <s v="ANGUS ROJO"/>
    <x v="57"/>
    <s v="15-10-2013"/>
    <s v="Vivo"/>
    <x v="0"/>
    <s v="11.2.01.0038"/>
    <s v="11.2.01.2071"/>
    <x v="0"/>
    <m/>
  </r>
  <r>
    <n v="16705776"/>
    <m/>
    <m/>
    <m/>
    <m/>
    <m/>
    <m/>
    <d v="2024-12-22T00:00:00"/>
    <d v="2025-01-14T00:00:00"/>
    <s v="H"/>
    <x v="1"/>
    <s v="ANGUS NEGRO"/>
    <x v="55"/>
    <s v="30-01-2013"/>
    <s v="Vivo"/>
    <x v="0"/>
    <s v="11.2.01.0038"/>
    <s v="11.1.01.1240"/>
    <x v="0"/>
    <m/>
  </r>
  <r>
    <n v="16705779"/>
    <m/>
    <m/>
    <m/>
    <m/>
    <m/>
    <m/>
    <d v="2024-12-22T00:00:00"/>
    <d v="2025-11-04T00:00:00"/>
    <s v="H"/>
    <x v="1"/>
    <s v="ANGUS NEGRO"/>
    <x v="66"/>
    <s v="30-10-2014"/>
    <s v="Vivo"/>
    <x v="10"/>
    <s v="11.1.01.0190"/>
    <s v="11.1.01.1081"/>
    <x v="0"/>
    <m/>
  </r>
  <r>
    <n v="16705780"/>
    <m/>
    <m/>
    <m/>
    <m/>
    <m/>
    <m/>
    <d v="2024-12-22T00:00:00"/>
    <d v="2025-01-14T00:00:00"/>
    <s v="H"/>
    <x v="1"/>
    <s v="ANGUS NEGRO"/>
    <x v="72"/>
    <s v="30-09-2015"/>
    <s v="Vivo"/>
    <x v="0"/>
    <s v="11.2.01.0038"/>
    <s v="11.1.01.2304"/>
    <x v="0"/>
    <m/>
  </r>
  <r>
    <n v="16705781"/>
    <m/>
    <m/>
    <m/>
    <m/>
    <m/>
    <m/>
    <m/>
    <m/>
    <s v="H"/>
    <x v="1"/>
    <s v="ANGUS NEGRO"/>
    <x v="102"/>
    <s v="30-10-2007"/>
    <s v="Vivo"/>
    <x v="0"/>
    <s v="11.1.01.0893"/>
    <s v="11.1.01.1241"/>
    <x v="0"/>
    <m/>
  </r>
  <r>
    <n v="16705791"/>
    <m/>
    <m/>
    <m/>
    <m/>
    <m/>
    <m/>
    <m/>
    <m/>
    <s v="H"/>
    <x v="1"/>
    <s v="ANGUS NEGRO"/>
    <x v="103"/>
    <s v="30-12-2019"/>
    <s v="Vivo"/>
    <x v="4"/>
    <s v="11.1.01.0893"/>
    <s v="11.1.01.0893"/>
    <x v="0"/>
    <m/>
  </r>
  <r>
    <n v="16705797"/>
    <m/>
    <m/>
    <m/>
    <m/>
    <m/>
    <m/>
    <d v="2024-12-22T00:00:00"/>
    <d v="2025-11-04T00:00:00"/>
    <s v="H"/>
    <x v="1"/>
    <s v="ANGUS ROJO"/>
    <x v="84"/>
    <s v="20-09-2017"/>
    <s v="Vivo"/>
    <x v="8"/>
    <s v="11.1.01.0190"/>
    <s v="11.1.01.1241"/>
    <x v="0"/>
    <m/>
  </r>
  <r>
    <n v="16705798"/>
    <m/>
    <m/>
    <m/>
    <m/>
    <m/>
    <m/>
    <d v="2024-01-06T00:00:00"/>
    <m/>
    <s v="H"/>
    <x v="1"/>
    <s v="ANGUS NEGRO"/>
    <x v="84"/>
    <s v="07-10-2017"/>
    <s v="Vivo"/>
    <x v="5"/>
    <s v="11.1.01.0893"/>
    <s v="11.1.01.0893"/>
    <x v="0"/>
    <m/>
  </r>
  <r>
    <n v="16705799"/>
    <m/>
    <m/>
    <m/>
    <m/>
    <m/>
    <m/>
    <d v="2024-05-18T00:00:00"/>
    <m/>
    <s v="H"/>
    <x v="1"/>
    <s v="ANGUS NEGRO"/>
    <x v="58"/>
    <s v="30-11-2013"/>
    <s v="Vivo"/>
    <x v="7"/>
    <s v="11.1.01.1241"/>
    <s v="11.1.01.1081"/>
    <x v="0"/>
    <m/>
  </r>
  <r>
    <n v="16843001"/>
    <m/>
    <m/>
    <m/>
    <m/>
    <m/>
    <m/>
    <m/>
    <m/>
    <s v="H"/>
    <x v="1"/>
    <s v="ANGUS NEGRO"/>
    <x v="91"/>
    <s v="20-09-2018"/>
    <s v="Vivo"/>
    <x v="8"/>
    <s v="11.1.01.0190"/>
    <s v="11.1.01.1241"/>
    <x v="0"/>
    <m/>
  </r>
  <r>
    <n v="16843002"/>
    <m/>
    <m/>
    <m/>
    <m/>
    <m/>
    <m/>
    <m/>
    <m/>
    <s v="H"/>
    <x v="1"/>
    <s v="HEREFORD"/>
    <x v="91"/>
    <s v="20-09-2018"/>
    <s v="Vivo"/>
    <x v="0"/>
    <s v="11.2.01.0038"/>
    <s v="11.1.01.1241"/>
    <x v="0"/>
    <m/>
  </r>
  <r>
    <n v="16843009"/>
    <m/>
    <m/>
    <m/>
    <m/>
    <m/>
    <m/>
    <d v="2024-01-06T00:00:00"/>
    <m/>
    <s v="H"/>
    <x v="1"/>
    <s v="ANGUS NEGRO"/>
    <x v="91"/>
    <s v="20-09-2018"/>
    <s v="Vivo"/>
    <x v="5"/>
    <s v="11.1.01.0893"/>
    <s v="11.1.01.1241"/>
    <x v="0"/>
    <m/>
  </r>
  <r>
    <n v="16843012"/>
    <m/>
    <m/>
    <m/>
    <m/>
    <m/>
    <m/>
    <d v="2024-01-06T00:00:00"/>
    <m/>
    <s v="H"/>
    <x v="1"/>
    <s v="ANGUS NEGRO"/>
    <x v="91"/>
    <s v="20-09-2018"/>
    <s v="Vivo"/>
    <x v="4"/>
    <s v="11.1.01.0893"/>
    <s v="11.1.01.1241"/>
    <x v="0"/>
    <m/>
  </r>
  <r>
    <n v="16843017"/>
    <m/>
    <m/>
    <m/>
    <m/>
    <m/>
    <m/>
    <m/>
    <m/>
    <s v="H"/>
    <x v="1"/>
    <s v="ANGUS NEGRO"/>
    <x v="91"/>
    <s v="20-09-2018"/>
    <s v="Vivo"/>
    <x v="5"/>
    <s v="11.1.01.0893"/>
    <s v="11.1.01.1241"/>
    <x v="0"/>
    <m/>
  </r>
  <r>
    <n v="16843019"/>
    <m/>
    <m/>
    <m/>
    <m/>
    <m/>
    <m/>
    <m/>
    <m/>
    <s v="H"/>
    <x v="1"/>
    <s v="LIMOUSIN"/>
    <x v="24"/>
    <s v="10-09-2018"/>
    <s v="Vivo"/>
    <x v="3"/>
    <s v="11.2.01.0053"/>
    <s v="11.1.01.1241"/>
    <x v="0"/>
    <m/>
  </r>
  <r>
    <n v="16843020"/>
    <m/>
    <m/>
    <m/>
    <m/>
    <m/>
    <m/>
    <d v="2024-01-06T00:00:00"/>
    <m/>
    <s v="H"/>
    <x v="1"/>
    <s v="ANGUS ROJO"/>
    <x v="91"/>
    <s v="30-09-2018"/>
    <s v="Vivo"/>
    <x v="3"/>
    <s v="11.1.01.0791"/>
    <s v="11.1.01.1241"/>
    <x v="0"/>
    <m/>
  </r>
  <r>
    <n v="16843023"/>
    <m/>
    <m/>
    <m/>
    <m/>
    <m/>
    <m/>
    <m/>
    <m/>
    <s v="H"/>
    <x v="1"/>
    <s v="ANGUS NEGRO"/>
    <x v="91"/>
    <s v="20-09-2018"/>
    <s v="Vivo"/>
    <x v="4"/>
    <s v="11.1.01.0893"/>
    <s v="11.1.01.1241"/>
    <x v="0"/>
    <m/>
  </r>
  <r>
    <n v="16843024"/>
    <m/>
    <m/>
    <m/>
    <m/>
    <m/>
    <m/>
    <m/>
    <m/>
    <s v="H"/>
    <x v="1"/>
    <s v="ANGUS NEGRO"/>
    <x v="91"/>
    <s v="20-09-2018"/>
    <s v="Vivo"/>
    <x v="4"/>
    <s v="11.1.01.1241"/>
    <s v="11.1.01.1241"/>
    <x v="0"/>
    <m/>
  </r>
  <r>
    <n v="16843026"/>
    <m/>
    <m/>
    <m/>
    <m/>
    <m/>
    <m/>
    <m/>
    <m/>
    <s v="H"/>
    <x v="1"/>
    <s v="ANGUS NEGRO"/>
    <x v="91"/>
    <s v="20-09-2018"/>
    <s v="Vivo"/>
    <x v="4"/>
    <s v="11.1.01.1241"/>
    <s v="11.1.01.1241"/>
    <x v="0"/>
    <m/>
  </r>
  <r>
    <n v="16843027"/>
    <m/>
    <m/>
    <m/>
    <m/>
    <m/>
    <m/>
    <d v="2024-01-06T00:00:00"/>
    <m/>
    <s v="H"/>
    <x v="1"/>
    <s v="ANGUS NEGRO"/>
    <x v="91"/>
    <s v="20-09-2018"/>
    <s v="Vivo"/>
    <x v="5"/>
    <s v="11.1.01.0893"/>
    <s v="11.1.01.1241"/>
    <x v="0"/>
    <m/>
  </r>
  <r>
    <n v="16843032"/>
    <m/>
    <m/>
    <m/>
    <m/>
    <m/>
    <m/>
    <d v="2024-01-06T00:00:00"/>
    <m/>
    <s v="H"/>
    <x v="1"/>
    <s v="ANGUS NEGRO"/>
    <x v="91"/>
    <s v="30-09-2018"/>
    <s v="Vivo"/>
    <x v="5"/>
    <s v="11.1.01.0893"/>
    <s v="11.1.01.1241"/>
    <x v="0"/>
    <m/>
  </r>
  <r>
    <n v="16843034"/>
    <m/>
    <m/>
    <m/>
    <m/>
    <m/>
    <m/>
    <m/>
    <m/>
    <s v="H"/>
    <x v="1"/>
    <s v="ANGUS ROJO"/>
    <x v="91"/>
    <s v="20-09-2018"/>
    <s v="Vivo"/>
    <x v="3"/>
    <s v="11.1.01.0791"/>
    <s v="11.1.01.1241"/>
    <x v="0"/>
    <m/>
  </r>
  <r>
    <n v="16843039"/>
    <m/>
    <m/>
    <m/>
    <m/>
    <m/>
    <m/>
    <m/>
    <m/>
    <s v="H"/>
    <x v="1"/>
    <s v="ANGUS NEGRO"/>
    <x v="91"/>
    <s v="20-09-2018"/>
    <s v="Vivo"/>
    <x v="7"/>
    <s v="11.1.01.0893"/>
    <s v="11.1.01.1241"/>
    <x v="0"/>
    <m/>
  </r>
  <r>
    <n v="16843040"/>
    <m/>
    <m/>
    <m/>
    <m/>
    <m/>
    <m/>
    <m/>
    <m/>
    <s v="H"/>
    <x v="1"/>
    <s v="ANGUS NEGRO"/>
    <x v="24"/>
    <s v="30-08-2018"/>
    <s v="Vivo"/>
    <x v="4"/>
    <s v="11.1.01.0893"/>
    <s v="11.1.01.1241"/>
    <x v="0"/>
    <m/>
  </r>
  <r>
    <n v="16843042"/>
    <m/>
    <m/>
    <m/>
    <m/>
    <m/>
    <m/>
    <d v="2024-01-06T00:00:00"/>
    <m/>
    <s v="H"/>
    <x v="1"/>
    <s v="ANGUS NEGRO"/>
    <x v="91"/>
    <s v="20-09-2018"/>
    <s v="Vivo"/>
    <x v="7"/>
    <s v="11.1.01.0893"/>
    <s v="11.1.01.1241"/>
    <x v="0"/>
    <m/>
  </r>
  <r>
    <n v="16843048"/>
    <m/>
    <m/>
    <m/>
    <m/>
    <m/>
    <m/>
    <m/>
    <m/>
    <s v="M"/>
    <x v="3"/>
    <s v="ANGUS ROJO"/>
    <x v="91"/>
    <s v="20-09-2018"/>
    <s v="Vivo"/>
    <x v="0"/>
    <s v="Sin Movimiento"/>
    <s v="11.1.01.1241"/>
    <x v="0"/>
    <m/>
  </r>
  <r>
    <n v="16843060"/>
    <m/>
    <m/>
    <m/>
    <m/>
    <m/>
    <m/>
    <m/>
    <m/>
    <s v="H"/>
    <x v="1"/>
    <s v="ANGUS NEGRO"/>
    <x v="91"/>
    <s v="10-10-2018"/>
    <s v="Vivo"/>
    <x v="3"/>
    <s v="11.1.01.0791"/>
    <s v="11.1.01.1241"/>
    <x v="0"/>
    <m/>
  </r>
  <r>
    <n v="16843116"/>
    <m/>
    <m/>
    <m/>
    <m/>
    <m/>
    <m/>
    <d v="2024-01-06T00:00:00"/>
    <m/>
    <s v="H"/>
    <x v="1"/>
    <s v="ANGUS NEGRO"/>
    <x v="91"/>
    <s v="10-10-2018"/>
    <s v="Vivo"/>
    <x v="4"/>
    <s v="11.1.01.0893"/>
    <s v="11.1.01.1241"/>
    <x v="0"/>
    <m/>
  </r>
  <r>
    <n v="16843125"/>
    <n v="2636110"/>
    <m/>
    <m/>
    <m/>
    <m/>
    <m/>
    <m/>
    <m/>
    <s v="M"/>
    <x v="3"/>
    <s v="ANGUS NEGRO"/>
    <x v="37"/>
    <s v="15-10-2010"/>
    <s v="Vivo"/>
    <x v="0"/>
    <s v="11.1.01.0893"/>
    <s v="11.1.01.0290"/>
    <x v="0"/>
    <m/>
  </r>
  <r>
    <n v="16843126"/>
    <n v="2636136"/>
    <m/>
    <m/>
    <m/>
    <m/>
    <m/>
    <m/>
    <m/>
    <s v="M"/>
    <x v="3"/>
    <s v="ANGUS NEGRO"/>
    <x v="72"/>
    <s v="30-09-2015"/>
    <s v="Vivo"/>
    <x v="3"/>
    <s v="11.1.01.1241"/>
    <s v="11.1.01.0290"/>
    <x v="0"/>
    <m/>
  </r>
  <r>
    <n v="16843128"/>
    <n v="2636145"/>
    <m/>
    <m/>
    <m/>
    <m/>
    <m/>
    <m/>
    <m/>
    <s v="M"/>
    <x v="3"/>
    <s v="ANGUS NEGRO"/>
    <x v="37"/>
    <s v="15-10-2010"/>
    <s v="Vivo"/>
    <x v="0"/>
    <s v="11.1.01.0893"/>
    <s v="11.1.01.0290"/>
    <x v="0"/>
    <m/>
  </r>
  <r>
    <n v="16843129"/>
    <m/>
    <m/>
    <m/>
    <m/>
    <m/>
    <m/>
    <m/>
    <m/>
    <s v="M"/>
    <x v="3"/>
    <s v="ANGUS NEGRO"/>
    <x v="25"/>
    <s v="15-10-2009"/>
    <s v="Vivo"/>
    <x v="0"/>
    <s v="11.1.01.0893"/>
    <s v="11.1.01.0290"/>
    <x v="0"/>
    <m/>
  </r>
  <r>
    <n v="16843134"/>
    <m/>
    <m/>
    <m/>
    <m/>
    <m/>
    <m/>
    <m/>
    <m/>
    <s v="M"/>
    <x v="3"/>
    <s v="ANGUS NEGRO"/>
    <x v="72"/>
    <s v="30-09-2015"/>
    <s v="Vivo"/>
    <x v="4"/>
    <s v="11.1.01.1241"/>
    <s v="11.1.01.0290"/>
    <x v="0"/>
    <m/>
  </r>
  <r>
    <n v="16843136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16843139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16843140"/>
    <n v="2636114"/>
    <m/>
    <m/>
    <m/>
    <m/>
    <m/>
    <m/>
    <m/>
    <s v="M"/>
    <x v="0"/>
    <s v="ANGUS NEGRO"/>
    <x v="57"/>
    <s v="10-10-2013"/>
    <s v="Vivo"/>
    <x v="0"/>
    <s v="Sin Movimiento"/>
    <s v="11.1.01.1241"/>
    <x v="2"/>
    <m/>
  </r>
  <r>
    <n v="16843142"/>
    <m/>
    <m/>
    <m/>
    <m/>
    <m/>
    <m/>
    <m/>
    <m/>
    <s v="H"/>
    <x v="1"/>
    <s v="ANGUS NEGRO"/>
    <x v="79"/>
    <s v="10-10-2016"/>
    <s v="Vivo"/>
    <x v="0"/>
    <s v="Sin Movimiento"/>
    <s v="11.1.01.1241"/>
    <x v="0"/>
    <m/>
  </r>
  <r>
    <n v="16843146"/>
    <m/>
    <m/>
    <m/>
    <m/>
    <m/>
    <m/>
    <m/>
    <m/>
    <s v="M"/>
    <x v="3"/>
    <s v="ANGUS NEGRO"/>
    <x v="24"/>
    <s v="10-09-2018"/>
    <s v="Vivo"/>
    <x v="0"/>
    <s v="Sin Movimiento"/>
    <s v="11.1.01.1241"/>
    <x v="0"/>
    <m/>
  </r>
  <r>
    <n v="16843164"/>
    <m/>
    <m/>
    <m/>
    <m/>
    <m/>
    <m/>
    <m/>
    <m/>
    <s v="H"/>
    <x v="1"/>
    <s v="ANGUS NEGRO"/>
    <x v="91"/>
    <s v="20-09-2018"/>
    <s v="Vivo"/>
    <x v="3"/>
    <s v="11.2.01.0053"/>
    <s v="11.1.01.1241"/>
    <x v="0"/>
    <m/>
  </r>
  <r>
    <n v="16843179"/>
    <m/>
    <m/>
    <m/>
    <m/>
    <m/>
    <m/>
    <m/>
    <m/>
    <s v="H"/>
    <x v="1"/>
    <s v="ANGUS NEGRO"/>
    <x v="91"/>
    <s v="20-09-2018"/>
    <s v="Vivo"/>
    <x v="0"/>
    <s v="11.1.01.0893"/>
    <s v="11.1.01.1241"/>
    <x v="0"/>
    <m/>
  </r>
  <r>
    <n v="16843180"/>
    <m/>
    <m/>
    <m/>
    <m/>
    <m/>
    <m/>
    <m/>
    <m/>
    <s v="H"/>
    <x v="1"/>
    <s v="ANGUS NEGRO"/>
    <x v="24"/>
    <s v="15-09-2018"/>
    <s v="Vivo"/>
    <x v="3"/>
    <s v="11.1.01.0791"/>
    <s v="11.1.01.1241"/>
    <x v="0"/>
    <m/>
  </r>
  <r>
    <n v="16843181"/>
    <m/>
    <m/>
    <m/>
    <m/>
    <m/>
    <m/>
    <m/>
    <m/>
    <s v="H"/>
    <x v="1"/>
    <s v="ANGUS NEGRO"/>
    <x v="91"/>
    <s v="30-09-2018"/>
    <s v="Vivo"/>
    <x v="4"/>
    <s v="11.1.01.0893"/>
    <s v="11.1.01.1241"/>
    <x v="0"/>
    <m/>
  </r>
  <r>
    <n v="16843184"/>
    <m/>
    <m/>
    <m/>
    <m/>
    <m/>
    <m/>
    <m/>
    <m/>
    <s v="H"/>
    <x v="1"/>
    <s v="ANGUS NEGRO"/>
    <x v="91"/>
    <s v="30-09-2018"/>
    <s v="Vivo"/>
    <x v="4"/>
    <s v="11.1.01.0893"/>
    <s v="11.1.01.1241"/>
    <x v="0"/>
    <m/>
  </r>
  <r>
    <n v="16843192"/>
    <m/>
    <m/>
    <m/>
    <m/>
    <m/>
    <m/>
    <d v="2024-01-06T00:00:00"/>
    <m/>
    <s v="H"/>
    <x v="1"/>
    <s v="ANGUS NEGRO"/>
    <x v="91"/>
    <s v="30-09-2018"/>
    <s v="Vivo"/>
    <x v="4"/>
    <s v="11.1.01.0893"/>
    <s v="11.1.01.1241"/>
    <x v="0"/>
    <m/>
  </r>
  <r>
    <n v="16843196"/>
    <m/>
    <m/>
    <m/>
    <m/>
    <m/>
    <m/>
    <m/>
    <m/>
    <s v="H"/>
    <x v="1"/>
    <s v="ANGUS NEGRO"/>
    <x v="91"/>
    <s v="10-10-2018"/>
    <s v="Vivo"/>
    <x v="7"/>
    <s v="11.1.01.0893"/>
    <s v="11.1.01.1241"/>
    <x v="0"/>
    <m/>
  </r>
  <r>
    <n v="16843206"/>
    <m/>
    <m/>
    <m/>
    <m/>
    <m/>
    <m/>
    <m/>
    <m/>
    <s v="H"/>
    <x v="1"/>
    <s v="ANGUS NEGRO"/>
    <x v="91"/>
    <s v="30-09-2018"/>
    <s v="Vivo"/>
    <x v="5"/>
    <s v="11.1.01.0893"/>
    <s v="11.1.01.1241"/>
    <x v="0"/>
    <m/>
  </r>
  <r>
    <n v="16843212"/>
    <m/>
    <m/>
    <m/>
    <m/>
    <m/>
    <m/>
    <m/>
    <m/>
    <s v="H"/>
    <x v="1"/>
    <s v="ANGUS NEGRO"/>
    <x v="91"/>
    <s v="30-09-2018"/>
    <s v="Vivo"/>
    <x v="4"/>
    <s v="11.1.01.1241"/>
    <s v="11.1.01.1241"/>
    <x v="0"/>
    <m/>
  </r>
  <r>
    <n v="16843223"/>
    <m/>
    <m/>
    <m/>
    <m/>
    <m/>
    <m/>
    <d v="2024-01-06T00:00:00"/>
    <m/>
    <s v="H"/>
    <x v="1"/>
    <s v="ANGUS ROJO"/>
    <x v="24"/>
    <s v="10-09-2018"/>
    <s v="Vivo"/>
    <x v="3"/>
    <s v="11.1.01.0791"/>
    <s v="11.1.01.0893"/>
    <x v="0"/>
    <m/>
  </r>
  <r>
    <n v="16843228"/>
    <m/>
    <m/>
    <m/>
    <m/>
    <m/>
    <m/>
    <d v="2024-01-06T00:00:00"/>
    <m/>
    <s v="no existe"/>
    <x v="2"/>
    <s v="no existe"/>
    <x v="4"/>
    <s v="no existe"/>
    <s v="no existe"/>
    <x v="1"/>
    <s v="no existe"/>
    <s v="no existe"/>
    <x v="1"/>
    <m/>
  </r>
  <r>
    <n v="16843229"/>
    <m/>
    <m/>
    <m/>
    <m/>
    <m/>
    <m/>
    <m/>
    <m/>
    <s v="no existe"/>
    <x v="2"/>
    <s v="no existe"/>
    <x v="4"/>
    <s v="no existe"/>
    <s v="no existe"/>
    <x v="1"/>
    <s v="no existe"/>
    <s v="no existe"/>
    <x v="1"/>
    <m/>
  </r>
  <r>
    <n v="16843255"/>
    <m/>
    <m/>
    <m/>
    <m/>
    <m/>
    <m/>
    <m/>
    <m/>
    <s v="M"/>
    <x v="3"/>
    <s v="ANGUS NEGRO"/>
    <x v="92"/>
    <s v="10-11-2018"/>
    <s v="Vivo"/>
    <x v="3"/>
    <s v="Sin Movimiento"/>
    <s v="11.1.01.0893"/>
    <x v="0"/>
    <m/>
  </r>
  <r>
    <n v="16843258"/>
    <m/>
    <m/>
    <m/>
    <m/>
    <m/>
    <m/>
    <d v="2024-01-06T00:00:00"/>
    <m/>
    <s v="H"/>
    <x v="1"/>
    <s v="ANGUS NEGRO"/>
    <x v="91"/>
    <s v="20-09-2018"/>
    <s v="Vivo"/>
    <x v="4"/>
    <s v="11.1.01.0893"/>
    <s v="11.1.01.0893"/>
    <x v="0"/>
    <m/>
  </r>
  <r>
    <n v="16843263"/>
    <m/>
    <m/>
    <m/>
    <m/>
    <m/>
    <m/>
    <m/>
    <m/>
    <s v="M"/>
    <x v="3"/>
    <s v="ANGUS NEGRO"/>
    <x v="91"/>
    <s v="10-10-2018"/>
    <s v="Vivo"/>
    <x v="3"/>
    <s v="Sin Movimiento"/>
    <s v="11.1.01.0893"/>
    <x v="0"/>
    <m/>
  </r>
  <r>
    <n v="16843264"/>
    <m/>
    <m/>
    <m/>
    <m/>
    <m/>
    <m/>
    <d v="2024-01-06T00:00:00"/>
    <m/>
    <s v="no existe"/>
    <x v="2"/>
    <s v="no existe"/>
    <x v="4"/>
    <s v="no existe"/>
    <s v="no existe"/>
    <x v="1"/>
    <s v="no existe"/>
    <s v="no existe"/>
    <x v="1"/>
    <m/>
  </r>
  <r>
    <n v="16843267"/>
    <m/>
    <m/>
    <m/>
    <m/>
    <m/>
    <m/>
    <d v="2024-01-06T00:00:00"/>
    <m/>
    <s v="H"/>
    <x v="1"/>
    <s v="ANGUS NEGRO"/>
    <x v="24"/>
    <s v="10-09-2018"/>
    <s v="Vivo"/>
    <x v="8"/>
    <s v="11.1.01.0190"/>
    <s v="11.1.01.0893"/>
    <x v="0"/>
    <m/>
  </r>
  <r>
    <n v="16843269"/>
    <m/>
    <m/>
    <m/>
    <m/>
    <m/>
    <m/>
    <m/>
    <m/>
    <s v="H"/>
    <x v="1"/>
    <s v="ANGUS NEGRO"/>
    <x v="24"/>
    <s v="30-08-2018"/>
    <s v="Vivo"/>
    <x v="3"/>
    <s v="11.1.01.0791"/>
    <s v="11.1.01.0893"/>
    <x v="0"/>
    <m/>
  </r>
  <r>
    <n v="16843272"/>
    <m/>
    <m/>
    <m/>
    <m/>
    <m/>
    <m/>
    <m/>
    <m/>
    <s v="M"/>
    <x v="3"/>
    <s v="ANGUS NEGRO"/>
    <x v="24"/>
    <s v="10-09-2018"/>
    <s v="Vivo"/>
    <x v="0"/>
    <s v="11.1.01.2512"/>
    <s v="11.1.01.0893"/>
    <x v="0"/>
    <m/>
  </r>
  <r>
    <n v="16843287"/>
    <m/>
    <m/>
    <m/>
    <m/>
    <m/>
    <m/>
    <m/>
    <m/>
    <s v="H"/>
    <x v="1"/>
    <s v="ANGUS NEGRO"/>
    <x v="91"/>
    <s v="20-09-2018"/>
    <s v="Vivo"/>
    <x v="0"/>
    <s v="11.2.01.0038"/>
    <s v="11.1.01.0893"/>
    <x v="0"/>
    <m/>
  </r>
  <r>
    <n v="16843288"/>
    <m/>
    <m/>
    <m/>
    <m/>
    <m/>
    <m/>
    <d v="2024-01-06T00:00:00"/>
    <m/>
    <s v="H"/>
    <x v="1"/>
    <s v="ANGUS NEGRO"/>
    <x v="91"/>
    <s v="30-09-2018"/>
    <s v="Vivo"/>
    <x v="4"/>
    <s v="11.1.01.0893"/>
    <s v="11.1.01.0893"/>
    <x v="0"/>
    <m/>
  </r>
  <r>
    <n v="16843300"/>
    <m/>
    <m/>
    <m/>
    <m/>
    <m/>
    <m/>
    <m/>
    <m/>
    <s v="H"/>
    <x v="1"/>
    <s v="ANGUS NEGRO"/>
    <x v="91"/>
    <s v="30-09-2018"/>
    <s v="Vivo"/>
    <x v="4"/>
    <s v="11.1.01.0893"/>
    <s v="11.1.01.0893"/>
    <x v="0"/>
    <m/>
  </r>
  <r>
    <n v="16843303"/>
    <m/>
    <m/>
    <m/>
    <m/>
    <m/>
    <m/>
    <m/>
    <m/>
    <s v="H"/>
    <x v="1"/>
    <s v="ANGUS NEGRO"/>
    <x v="92"/>
    <s v="20-10-2018"/>
    <s v="Vivo"/>
    <x v="5"/>
    <s v="11.1.01.0893"/>
    <s v="11.1.01.0893"/>
    <x v="0"/>
    <m/>
  </r>
  <r>
    <n v="16843321"/>
    <m/>
    <m/>
    <m/>
    <m/>
    <m/>
    <m/>
    <d v="2024-01-06T00:00:00"/>
    <m/>
    <s v="H"/>
    <x v="1"/>
    <s v="ANGUS NEGRO"/>
    <x v="24"/>
    <s v="15-09-2018"/>
    <s v="Vivo"/>
    <x v="4"/>
    <s v="11.1.01.0893"/>
    <s v="11.1.01.0893"/>
    <x v="0"/>
    <m/>
  </r>
  <r>
    <n v="16843337"/>
    <m/>
    <m/>
    <m/>
    <m/>
    <m/>
    <m/>
    <m/>
    <m/>
    <s v="M"/>
    <x v="3"/>
    <s v="ANGUS NEGRO"/>
    <x v="91"/>
    <s v="10-10-2018"/>
    <s v="Vivo"/>
    <x v="3"/>
    <s v="Sin Movimiento"/>
    <s v="11.1.01.0893"/>
    <x v="0"/>
    <m/>
  </r>
  <r>
    <n v="16843340"/>
    <m/>
    <m/>
    <m/>
    <m/>
    <m/>
    <m/>
    <m/>
    <m/>
    <s v="H"/>
    <x v="1"/>
    <s v="ANGUS ROJO"/>
    <x v="91"/>
    <s v="30-09-2018"/>
    <s v="Vivo"/>
    <x v="4"/>
    <s v="11.1.01.0893"/>
    <s v="11.1.01.0893"/>
    <x v="0"/>
    <m/>
  </r>
  <r>
    <n v="16843342"/>
    <m/>
    <m/>
    <m/>
    <m/>
    <m/>
    <m/>
    <d v="2024-01-06T00:00:00"/>
    <m/>
    <s v="H"/>
    <x v="1"/>
    <s v="ANGUS NEGRO"/>
    <x v="91"/>
    <s v="20-09-2018"/>
    <s v="Vivo"/>
    <x v="4"/>
    <s v="11.1.01.0893"/>
    <s v="11.1.01.0893"/>
    <x v="0"/>
    <m/>
  </r>
  <r>
    <n v="16843347"/>
    <m/>
    <m/>
    <m/>
    <m/>
    <m/>
    <m/>
    <d v="2024-01-06T00:00:00"/>
    <m/>
    <s v="H"/>
    <x v="1"/>
    <s v="ANGUS NEGRO"/>
    <x v="24"/>
    <s v="30-08-2018"/>
    <s v="Vivo"/>
    <x v="5"/>
    <s v="11.1.01.0893"/>
    <s v="11.1.01.0893"/>
    <x v="0"/>
    <m/>
  </r>
  <r>
    <n v="16843348"/>
    <m/>
    <m/>
    <m/>
    <m/>
    <m/>
    <m/>
    <d v="2024-01-06T00:00:00"/>
    <m/>
    <s v="H"/>
    <x v="1"/>
    <s v="ANGUS NEGRO"/>
    <x v="91"/>
    <s v="30-09-2018"/>
    <s v="Vivo"/>
    <x v="4"/>
    <s v="11.1.01.0893"/>
    <s v="11.1.01.0893"/>
    <x v="0"/>
    <m/>
  </r>
  <r>
    <n v="16843358"/>
    <m/>
    <m/>
    <m/>
    <m/>
    <m/>
    <m/>
    <m/>
    <m/>
    <s v="H"/>
    <x v="1"/>
    <s v="ANGUS NEGRO"/>
    <x v="92"/>
    <s v="20-10-2018"/>
    <s v="Vivo"/>
    <x v="3"/>
    <s v="Sin Movimiento"/>
    <s v="11.1.01.0893"/>
    <x v="0"/>
    <m/>
  </r>
  <r>
    <n v="16843372"/>
    <m/>
    <m/>
    <m/>
    <m/>
    <m/>
    <m/>
    <m/>
    <m/>
    <s v="H"/>
    <x v="1"/>
    <s v="ANGUS NEGRO"/>
    <x v="24"/>
    <s v="30-08-2018"/>
    <s v="Vivo"/>
    <x v="5"/>
    <s v="11.1.01.0893"/>
    <s v="11.1.01.0893"/>
    <x v="0"/>
    <m/>
  </r>
  <r>
    <n v="16843373"/>
    <m/>
    <m/>
    <m/>
    <m/>
    <m/>
    <m/>
    <m/>
    <m/>
    <s v="H"/>
    <x v="1"/>
    <s v="ANGUS NEGRO"/>
    <x v="91"/>
    <s v="20-09-2018"/>
    <s v="Vivo"/>
    <x v="5"/>
    <s v="11.1.01.0893"/>
    <s v="11.1.01.0893"/>
    <x v="0"/>
    <m/>
  </r>
  <r>
    <n v="16843376"/>
    <m/>
    <m/>
    <m/>
    <m/>
    <m/>
    <m/>
    <d v="2024-01-06T00:00:00"/>
    <m/>
    <s v="H"/>
    <x v="1"/>
    <s v="ANGUS NEGRO"/>
    <x v="91"/>
    <s v="30-09-2018"/>
    <s v="Vivo"/>
    <x v="4"/>
    <s v="11.1.01.0893"/>
    <s v="11.1.01.0893"/>
    <x v="0"/>
    <m/>
  </r>
  <r>
    <n v="16843387"/>
    <m/>
    <m/>
    <m/>
    <m/>
    <m/>
    <m/>
    <d v="2024-01-06T00:00:00"/>
    <m/>
    <s v="H"/>
    <x v="1"/>
    <s v="ANGUS NEGRO"/>
    <x v="91"/>
    <s v="30-09-2018"/>
    <s v="Vivo"/>
    <x v="5"/>
    <s v="11.1.01.0893"/>
    <s v="11.1.01.0893"/>
    <x v="0"/>
    <m/>
  </r>
  <r>
    <n v="16843391"/>
    <m/>
    <m/>
    <m/>
    <m/>
    <m/>
    <m/>
    <m/>
    <m/>
    <s v="H"/>
    <x v="1"/>
    <s v="ANGUS ROJO"/>
    <x v="91"/>
    <s v="30-09-2018"/>
    <s v="Vivo"/>
    <x v="3"/>
    <s v="11.1.01.0791"/>
    <s v="11.1.01.0893"/>
    <x v="0"/>
    <m/>
  </r>
  <r>
    <n v="16843392"/>
    <m/>
    <m/>
    <m/>
    <m/>
    <m/>
    <m/>
    <m/>
    <m/>
    <s v="H"/>
    <x v="1"/>
    <s v="ANGUS NEGRO"/>
    <x v="92"/>
    <s v="30-10-2018"/>
    <s v="Vivo"/>
    <x v="3"/>
    <s v="11.1.01.0791"/>
    <s v="11.1.01.0893"/>
    <x v="0"/>
    <m/>
  </r>
  <r>
    <n v="16843394"/>
    <m/>
    <m/>
    <m/>
    <m/>
    <m/>
    <m/>
    <d v="2024-01-06T00:00:00"/>
    <m/>
    <s v="H"/>
    <x v="1"/>
    <s v="ANGUS NEGRO"/>
    <x v="91"/>
    <s v="30-09-2018"/>
    <s v="Vivo"/>
    <x v="4"/>
    <s v="11.1.01.0893"/>
    <s v="11.1.01.0893"/>
    <x v="0"/>
    <m/>
  </r>
  <r>
    <n v="16843400"/>
    <m/>
    <m/>
    <m/>
    <m/>
    <m/>
    <m/>
    <d v="2024-01-06T00:00:00"/>
    <m/>
    <s v="H"/>
    <x v="1"/>
    <s v="ANGUS NEGRO"/>
    <x v="92"/>
    <s v="20-10-2018"/>
    <s v="Vivo"/>
    <x v="4"/>
    <s v="11.1.01.0893"/>
    <s v="11.1.01.0893"/>
    <x v="0"/>
    <m/>
  </r>
  <r>
    <n v="16843403"/>
    <m/>
    <m/>
    <m/>
    <m/>
    <m/>
    <m/>
    <d v="2024-01-06T00:00:00"/>
    <m/>
    <s v="no existe"/>
    <x v="2"/>
    <s v="no existe"/>
    <x v="4"/>
    <s v="no existe"/>
    <s v="no existe"/>
    <x v="1"/>
    <s v="no existe"/>
    <s v="no existe"/>
    <x v="1"/>
    <m/>
  </r>
  <r>
    <n v="16843405"/>
    <m/>
    <m/>
    <m/>
    <m/>
    <m/>
    <m/>
    <d v="2024-01-06T00:00:00"/>
    <m/>
    <s v="H"/>
    <x v="1"/>
    <s v="ANGUS ROJO"/>
    <x v="91"/>
    <s v="30-09-2018"/>
    <s v="Vivo"/>
    <x v="4"/>
    <s v="11.1.01.0893"/>
    <s v="11.1.01.0893"/>
    <x v="0"/>
    <m/>
  </r>
  <r>
    <n v="16843407"/>
    <m/>
    <m/>
    <m/>
    <m/>
    <m/>
    <m/>
    <d v="2024-01-06T00:00:00"/>
    <m/>
    <s v="no existe"/>
    <x v="2"/>
    <s v="no existe"/>
    <x v="4"/>
    <s v="no existe"/>
    <s v="no existe"/>
    <x v="1"/>
    <s v="no existe"/>
    <s v="no existe"/>
    <x v="1"/>
    <m/>
  </r>
  <r>
    <n v="16843410"/>
    <m/>
    <m/>
    <m/>
    <m/>
    <m/>
    <m/>
    <m/>
    <m/>
    <s v="H"/>
    <x v="1"/>
    <s v="ANGUS NEGRO"/>
    <x v="91"/>
    <s v="30-09-2018"/>
    <s v="Vivo"/>
    <x v="4"/>
    <s v="11.1.01.0893"/>
    <s v="11.1.01.0893"/>
    <x v="0"/>
    <m/>
  </r>
  <r>
    <n v="16843416"/>
    <m/>
    <m/>
    <m/>
    <m/>
    <m/>
    <m/>
    <d v="2024-01-06T00:00:00"/>
    <m/>
    <s v="H"/>
    <x v="1"/>
    <s v="ANGUS ROJO"/>
    <x v="92"/>
    <s v="05-11-2018"/>
    <s v="Vivo"/>
    <x v="5"/>
    <s v="11.1.01.0893"/>
    <s v="11.1.01.0893"/>
    <x v="0"/>
    <m/>
  </r>
  <r>
    <n v="16843428"/>
    <m/>
    <m/>
    <m/>
    <m/>
    <m/>
    <m/>
    <d v="2024-01-06T00:00:00"/>
    <m/>
    <s v="H"/>
    <x v="1"/>
    <s v="ANGUS NEGRO"/>
    <x v="91"/>
    <s v="20-09-2018"/>
    <s v="Vivo"/>
    <x v="4"/>
    <s v="11.1.01.0893"/>
    <s v="11.1.01.0893"/>
    <x v="0"/>
    <m/>
  </r>
  <r>
    <n v="16843434"/>
    <m/>
    <m/>
    <m/>
    <m/>
    <m/>
    <m/>
    <d v="2024-01-06T00:00:00"/>
    <m/>
    <s v="no existe"/>
    <x v="2"/>
    <s v="no existe"/>
    <x v="4"/>
    <s v="no existe"/>
    <s v="no existe"/>
    <x v="1"/>
    <s v="no existe"/>
    <s v="no existe"/>
    <x v="1"/>
    <m/>
  </r>
  <r>
    <n v="16843435"/>
    <m/>
    <m/>
    <m/>
    <m/>
    <m/>
    <m/>
    <d v="2024-01-06T00:00:00"/>
    <m/>
    <s v="H"/>
    <x v="1"/>
    <s v="ANGUS NEGRO"/>
    <x v="91"/>
    <s v="30-09-2018"/>
    <s v="Vivo"/>
    <x v="4"/>
    <s v="11.1.01.0893"/>
    <s v="11.1.01.0893"/>
    <x v="0"/>
    <m/>
  </r>
  <r>
    <n v="16843443"/>
    <m/>
    <m/>
    <m/>
    <m/>
    <m/>
    <m/>
    <m/>
    <m/>
    <s v="H"/>
    <x v="1"/>
    <s v="ANGUS NEGRO"/>
    <x v="91"/>
    <s v="20-09-2018"/>
    <s v="Vivo"/>
    <x v="3"/>
    <s v="Sin Movimiento"/>
    <s v="11.1.01.0893"/>
    <x v="0"/>
    <m/>
  </r>
  <r>
    <n v="16843449"/>
    <m/>
    <m/>
    <m/>
    <m/>
    <m/>
    <m/>
    <d v="2024-01-06T00:00:00"/>
    <m/>
    <s v="H"/>
    <x v="1"/>
    <s v="ANGUS NEGRO"/>
    <x v="91"/>
    <s v="20-09-2018"/>
    <s v="Vivo"/>
    <x v="8"/>
    <s v="11.1.01.0190"/>
    <s v="11.1.01.0893"/>
    <x v="0"/>
    <m/>
  </r>
  <r>
    <n v="16843457"/>
    <m/>
    <m/>
    <m/>
    <m/>
    <m/>
    <m/>
    <d v="2024-01-06T00:00:00"/>
    <m/>
    <s v="no existe"/>
    <x v="2"/>
    <s v="no existe"/>
    <x v="4"/>
    <s v="no existe"/>
    <s v="no existe"/>
    <x v="1"/>
    <s v="no existe"/>
    <s v="no existe"/>
    <x v="1"/>
    <m/>
  </r>
  <r>
    <n v="16843462"/>
    <m/>
    <m/>
    <m/>
    <m/>
    <m/>
    <m/>
    <d v="2024-01-06T00:00:00"/>
    <m/>
    <s v="H"/>
    <x v="1"/>
    <s v="ANGUS NEGRO"/>
    <x v="91"/>
    <s v="20-09-2018"/>
    <s v="Vivo"/>
    <x v="3"/>
    <s v="11.1.01.0791"/>
    <s v="11.1.01.0893"/>
    <x v="0"/>
    <m/>
  </r>
  <r>
    <n v="16843463"/>
    <m/>
    <m/>
    <m/>
    <m/>
    <m/>
    <m/>
    <m/>
    <m/>
    <s v="H"/>
    <x v="1"/>
    <s v="ANGUS NEGRO"/>
    <x v="91"/>
    <s v="20-09-2018"/>
    <s v="Vivo"/>
    <x v="4"/>
    <s v="11.1.01.0893"/>
    <s v="11.1.01.0893"/>
    <x v="0"/>
    <m/>
  </r>
  <r>
    <n v="16843464"/>
    <m/>
    <m/>
    <m/>
    <m/>
    <m/>
    <m/>
    <m/>
    <m/>
    <s v="H"/>
    <x v="1"/>
    <s v="ANGUS ROJO"/>
    <x v="91"/>
    <s v="20-09-2018"/>
    <s v="Vivo"/>
    <x v="5"/>
    <s v="11.1.01.0893"/>
    <s v="11.1.01.0893"/>
    <x v="0"/>
    <m/>
  </r>
  <r>
    <n v="16843465"/>
    <m/>
    <m/>
    <m/>
    <m/>
    <m/>
    <m/>
    <m/>
    <m/>
    <s v="H"/>
    <x v="1"/>
    <s v="ANGUS NEGRO"/>
    <x v="91"/>
    <s v="30-09-2018"/>
    <s v="Vivo"/>
    <x v="2"/>
    <s v="11.1.01.0941"/>
    <s v="11.1.01.0893"/>
    <x v="0"/>
    <m/>
  </r>
  <r>
    <n v="16843474"/>
    <m/>
    <m/>
    <m/>
    <m/>
    <m/>
    <m/>
    <m/>
    <m/>
    <s v="H"/>
    <x v="1"/>
    <s v="ANGUS NEGRO"/>
    <x v="91"/>
    <s v="20-09-2018"/>
    <s v="Vivo"/>
    <x v="4"/>
    <s v="11.1.01.0893"/>
    <s v="11.1.01.0893"/>
    <x v="0"/>
    <m/>
  </r>
  <r>
    <n v="16843481"/>
    <m/>
    <m/>
    <m/>
    <m/>
    <m/>
    <m/>
    <m/>
    <m/>
    <s v="H"/>
    <x v="1"/>
    <s v="ANGUS NEGRO"/>
    <x v="91"/>
    <s v="20-09-2018"/>
    <s v="Vivo"/>
    <x v="3"/>
    <s v="Sin Movimiento"/>
    <s v="11.1.01.0893"/>
    <x v="0"/>
    <m/>
  </r>
  <r>
    <n v="16843493"/>
    <m/>
    <m/>
    <m/>
    <m/>
    <m/>
    <m/>
    <d v="2024-01-06T00:00:00"/>
    <m/>
    <s v="H"/>
    <x v="1"/>
    <s v="ANGUS NEGRO"/>
    <x v="91"/>
    <s v="30-09-2018"/>
    <s v="Vivo"/>
    <x v="4"/>
    <s v="11.1.01.0893"/>
    <s v="11.1.01.0893"/>
    <x v="0"/>
    <m/>
  </r>
  <r>
    <n v="16843504"/>
    <m/>
    <m/>
    <m/>
    <m/>
    <m/>
    <m/>
    <d v="2024-01-06T00:00:00"/>
    <m/>
    <s v="H"/>
    <x v="1"/>
    <s v="ANGUS NEGRO"/>
    <x v="92"/>
    <s v="30-10-2018"/>
    <s v="Vivo"/>
    <x v="5"/>
    <s v="11.1.01.0893"/>
    <s v="11.1.01.1241"/>
    <x v="0"/>
    <m/>
  </r>
  <r>
    <n v="16843507"/>
    <m/>
    <m/>
    <m/>
    <m/>
    <m/>
    <m/>
    <d v="2024-01-06T00:00:00"/>
    <m/>
    <s v="H"/>
    <x v="1"/>
    <s v="ANGUS NEGRO"/>
    <x v="104"/>
    <s v="20-11-2018"/>
    <s v="Vivo"/>
    <x v="5"/>
    <s v="11.1.01.0893"/>
    <s v="11.1.01.1241"/>
    <x v="0"/>
    <m/>
  </r>
  <r>
    <n v="16843508"/>
    <m/>
    <m/>
    <m/>
    <m/>
    <m/>
    <m/>
    <d v="2024-01-06T00:00:00"/>
    <m/>
    <s v="H"/>
    <x v="1"/>
    <s v="ANGUS NEGRO"/>
    <x v="92"/>
    <s v="30-10-2018"/>
    <s v="Vivo"/>
    <x v="5"/>
    <s v="11.1.01.0893"/>
    <s v="11.1.01.1241"/>
    <x v="0"/>
    <m/>
  </r>
  <r>
    <n v="16843512"/>
    <m/>
    <m/>
    <m/>
    <m/>
    <m/>
    <m/>
    <m/>
    <m/>
    <s v="H"/>
    <x v="1"/>
    <s v="ANGUS NEGRO"/>
    <x v="92"/>
    <s v="10-11-2018"/>
    <s v="Vivo"/>
    <x v="3"/>
    <s v="Sin Movimiento"/>
    <s v="11.1.01.0893"/>
    <x v="2"/>
    <m/>
  </r>
  <r>
    <n v="16843524"/>
    <m/>
    <m/>
    <m/>
    <m/>
    <m/>
    <m/>
    <d v="2024-01-06T00:00:00"/>
    <m/>
    <s v="H"/>
    <x v="1"/>
    <s v="ANGUS NEGRO"/>
    <x v="105"/>
    <s v="10-04-2019"/>
    <s v="Vivo"/>
    <x v="4"/>
    <s v="11.1.01.0893"/>
    <s v="11.1.01.0893"/>
    <x v="0"/>
    <m/>
  </r>
  <r>
    <n v="16843537"/>
    <m/>
    <m/>
    <m/>
    <m/>
    <m/>
    <m/>
    <d v="2024-01-06T00:00:00"/>
    <m/>
    <s v="no existe"/>
    <x v="2"/>
    <s v="no existe"/>
    <x v="4"/>
    <s v="no existe"/>
    <s v="no existe"/>
    <x v="1"/>
    <s v="no existe"/>
    <s v="no existe"/>
    <x v="1"/>
    <m/>
  </r>
  <r>
    <n v="16843542"/>
    <m/>
    <m/>
    <m/>
    <m/>
    <m/>
    <m/>
    <m/>
    <m/>
    <s v="H"/>
    <x v="1"/>
    <s v="ANGUS NEGRO"/>
    <x v="91"/>
    <s v="30-09-2018"/>
    <s v="Vivo"/>
    <x v="14"/>
    <s v="11.1.01.0893"/>
    <s v="11.1.01.0893"/>
    <x v="2"/>
    <m/>
  </r>
  <r>
    <n v="16843552"/>
    <m/>
    <m/>
    <m/>
    <m/>
    <m/>
    <m/>
    <d v="2024-01-06T00:00:00"/>
    <m/>
    <s v="H"/>
    <x v="1"/>
    <s v="ANGUS NEGRO"/>
    <x v="91"/>
    <s v="29-09-2018"/>
    <s v="Vivo"/>
    <x v="5"/>
    <s v="11.1.01.0893"/>
    <s v="11.1.01.0893"/>
    <x v="2"/>
    <m/>
  </r>
  <r>
    <n v="16843556"/>
    <m/>
    <m/>
    <m/>
    <m/>
    <m/>
    <m/>
    <d v="2024-01-06T00:00:00"/>
    <m/>
    <s v="H"/>
    <x v="1"/>
    <s v="ANGUS NEGRO"/>
    <x v="106"/>
    <s v="20-02-2019"/>
    <s v="Vivo"/>
    <x v="5"/>
    <s v="11.1.01.0893"/>
    <s v="11.1.01.0893"/>
    <x v="0"/>
    <m/>
  </r>
  <r>
    <n v="16843618"/>
    <m/>
    <m/>
    <m/>
    <m/>
    <m/>
    <m/>
    <m/>
    <m/>
    <s v="M"/>
    <x v="3"/>
    <s v="ANGUS NEGRO"/>
    <x v="96"/>
    <s v="30-09-2019"/>
    <s v="Vivo"/>
    <x v="0"/>
    <s v="Sin Movimiento"/>
    <s v="11.1.01.1241"/>
    <x v="0"/>
    <m/>
  </r>
  <r>
    <n v="16843622"/>
    <m/>
    <m/>
    <m/>
    <m/>
    <m/>
    <m/>
    <m/>
    <m/>
    <s v="M"/>
    <x v="3"/>
    <s v="ANGUS NEGRO"/>
    <x v="96"/>
    <s v="20-09-2019"/>
    <s v="Vivo"/>
    <x v="0"/>
    <s v="Sin Movimiento"/>
    <s v="11.1.01.1241"/>
    <x v="0"/>
    <m/>
  </r>
  <r>
    <n v="16843635"/>
    <m/>
    <m/>
    <m/>
    <m/>
    <m/>
    <m/>
    <m/>
    <m/>
    <s v="M"/>
    <x v="3"/>
    <s v="ANGUS NEGRO"/>
    <x v="97"/>
    <s v="20-10-2019"/>
    <s v="Vivo"/>
    <x v="0"/>
    <s v="Sin Movimiento"/>
    <s v="11.1.01.1241"/>
    <x v="0"/>
    <m/>
  </r>
  <r>
    <n v="18071569"/>
    <n v="2636109"/>
    <m/>
    <m/>
    <m/>
    <m/>
    <m/>
    <m/>
    <m/>
    <s v="M"/>
    <x v="3"/>
    <s v="ANGUS NEGRO"/>
    <x v="84"/>
    <s v="29-09-2017"/>
    <s v="Vivo"/>
    <x v="4"/>
    <s v="11.1.01.1241"/>
    <s v="11.1.01.0932"/>
    <x v="0"/>
    <m/>
  </r>
  <r>
    <n v="18072802"/>
    <m/>
    <m/>
    <m/>
    <m/>
    <m/>
    <m/>
    <m/>
    <m/>
    <s v="M"/>
    <x v="3"/>
    <s v="ANGUS NEGRO"/>
    <x v="107"/>
    <s v="15-12-2019"/>
    <s v="Vivo"/>
    <x v="0"/>
    <s v="11.2.01.0251"/>
    <s v="11.2.01.0251"/>
    <x v="0"/>
    <m/>
  </r>
  <r>
    <n v="18072806"/>
    <n v="2636151"/>
    <m/>
    <m/>
    <m/>
    <m/>
    <m/>
    <m/>
    <d v="2025-06-10T00:00:00"/>
    <s v="M"/>
    <x v="3"/>
    <s v="ANGUS NEGRO"/>
    <x v="107"/>
    <s v="15-12-2019"/>
    <s v="Vivo"/>
    <x v="0"/>
    <s v="11.1.01.1022"/>
    <s v="11.2.01.0251"/>
    <x v="0"/>
    <m/>
  </r>
  <r>
    <n v="18072813"/>
    <m/>
    <m/>
    <m/>
    <m/>
    <m/>
    <m/>
    <m/>
    <m/>
    <s v="M"/>
    <x v="3"/>
    <s v="ANGUS NEGRO"/>
    <x v="107"/>
    <s v="15-12-2019"/>
    <s v="Vivo"/>
    <x v="0"/>
    <s v="11.1.01.1014"/>
    <s v="11.2.01.0251"/>
    <x v="0"/>
    <m/>
  </r>
  <r>
    <n v="18072814"/>
    <m/>
    <m/>
    <m/>
    <m/>
    <m/>
    <m/>
    <m/>
    <m/>
    <s v="H"/>
    <x v="1"/>
    <s v="ANGUS NEGRO"/>
    <x v="107"/>
    <s v="15-12-2019"/>
    <s v="Vivo"/>
    <x v="0"/>
    <s v="11.1.01.1014"/>
    <s v="11.2.01.0251"/>
    <x v="0"/>
    <m/>
  </r>
  <r>
    <n v="18072820"/>
    <m/>
    <m/>
    <m/>
    <m/>
    <m/>
    <m/>
    <m/>
    <m/>
    <s v="M"/>
    <x v="3"/>
    <s v="ANGUS NEGRO"/>
    <x v="107"/>
    <s v="15-12-2019"/>
    <s v="Vivo"/>
    <x v="0"/>
    <s v="11.1.01.0893"/>
    <s v="11.2.01.0251"/>
    <x v="0"/>
    <m/>
  </r>
  <r>
    <n v="18072823"/>
    <m/>
    <m/>
    <m/>
    <m/>
    <m/>
    <m/>
    <m/>
    <m/>
    <s v="M"/>
    <x v="3"/>
    <s v="ANGUS NEGRO"/>
    <x v="107"/>
    <s v="15-12-2019"/>
    <s v="Vivo"/>
    <x v="0"/>
    <s v="11.2.01.0251"/>
    <s v="11.2.01.0251"/>
    <x v="0"/>
    <m/>
  </r>
  <r>
    <n v="18072830"/>
    <n v="2636147"/>
    <m/>
    <m/>
    <m/>
    <m/>
    <m/>
    <d v="2024-12-10T00:00:00"/>
    <m/>
    <s v="M"/>
    <x v="3"/>
    <s v="ANGUS NEGRO"/>
    <x v="107"/>
    <s v="15-12-2019"/>
    <s v="Vivo"/>
    <x v="4"/>
    <s v="11.1.01.0893"/>
    <s v="11.2.01.0251"/>
    <x v="0"/>
    <m/>
  </r>
  <r>
    <n v="18943023"/>
    <m/>
    <m/>
    <m/>
    <m/>
    <m/>
    <m/>
    <d v="2024-01-06T00:00:00"/>
    <m/>
    <s v="H"/>
    <x v="1"/>
    <s v="ANGUS NEGRO"/>
    <x v="91"/>
    <s v="20-09-2018"/>
    <s v="Vivo"/>
    <x v="4"/>
    <s v="11.1.01.0893"/>
    <s v="11.1.01.1241"/>
    <x v="0"/>
    <m/>
  </r>
  <r>
    <n v="18943028"/>
    <m/>
    <m/>
    <m/>
    <m/>
    <m/>
    <m/>
    <m/>
    <m/>
    <s v="H"/>
    <x v="1"/>
    <s v="ANGUS NEGRO"/>
    <x v="72"/>
    <s v="10-10-2015"/>
    <s v="Vivo"/>
    <x v="4"/>
    <s v="11.1.01.0893"/>
    <s v="11.1.01.1081"/>
    <x v="0"/>
    <m/>
  </r>
  <r>
    <n v="18943029"/>
    <m/>
    <m/>
    <m/>
    <m/>
    <m/>
    <m/>
    <d v="2024-01-06T00:00:00"/>
    <m/>
    <s v="H"/>
    <x v="1"/>
    <s v="ANGUS NEGRO"/>
    <x v="61"/>
    <s v="30-10-2015"/>
    <s v="Vivo"/>
    <x v="4"/>
    <s v="11.1.01.0893"/>
    <s v="11.1.01.1241"/>
    <x v="0"/>
    <m/>
  </r>
  <r>
    <n v="18943032"/>
    <m/>
    <m/>
    <m/>
    <m/>
    <m/>
    <m/>
    <d v="2024-12-22T00:00:00"/>
    <d v="2025-11-05T00:00:00"/>
    <s v="H"/>
    <x v="1"/>
    <s v="ANGUS NEGRO"/>
    <x v="79"/>
    <s v="15-10-2016"/>
    <s v="Vivo"/>
    <x v="8"/>
    <s v="11.1.01.0190"/>
    <s v="11.1.01.0893"/>
    <x v="0"/>
    <m/>
  </r>
  <r>
    <n v="18943040"/>
    <m/>
    <m/>
    <m/>
    <m/>
    <m/>
    <m/>
    <d v="2024-12-22T00:00:00"/>
    <d v="2025-11-05T00:00:00"/>
    <s v="H"/>
    <x v="1"/>
    <s v="ANGUS NEGRO"/>
    <x v="95"/>
    <s v="10-10-2020"/>
    <s v="Vivo"/>
    <x v="8"/>
    <s v="11.1.01.0190"/>
    <s v="11.1.01.0893"/>
    <x v="0"/>
    <m/>
  </r>
  <r>
    <n v="18943041"/>
    <m/>
    <m/>
    <m/>
    <m/>
    <m/>
    <m/>
    <d v="2024-12-22T00:00:00"/>
    <d v="2025-11-04T00:00:00"/>
    <s v="H"/>
    <x v="1"/>
    <s v="ANGUS NEGRO"/>
    <x v="95"/>
    <s v="10-10-2020"/>
    <s v="Vivo"/>
    <x v="10"/>
    <s v="11.1.01.0190"/>
    <s v="11.1.01.0893"/>
    <x v="0"/>
    <m/>
  </r>
  <r>
    <n v="18943046"/>
    <m/>
    <m/>
    <m/>
    <m/>
    <m/>
    <m/>
    <d v="2024-12-22T00:00:00"/>
    <d v="2025-11-04T00:00:00"/>
    <s v="H"/>
    <x v="1"/>
    <s v="ANGUS NEGRO"/>
    <x v="95"/>
    <s v="30-09-2020"/>
    <s v="Vivo"/>
    <x v="0"/>
    <s v="11.2.01.0038"/>
    <s v="11.1.01.0893"/>
    <x v="0"/>
    <m/>
  </r>
  <r>
    <n v="18943047"/>
    <m/>
    <m/>
    <m/>
    <m/>
    <m/>
    <m/>
    <d v="2024-12-22T00:00:00"/>
    <d v="2025-01-14T00:00:00"/>
    <s v="H"/>
    <x v="1"/>
    <s v="ANGUS NEGRO"/>
    <x v="95"/>
    <s v="30-09-2020"/>
    <s v="Vivo"/>
    <x v="0"/>
    <s v="11.1.01.1022"/>
    <s v="11.1.01.0893"/>
    <x v="0"/>
    <m/>
  </r>
  <r>
    <n v="18943058"/>
    <m/>
    <m/>
    <m/>
    <m/>
    <m/>
    <m/>
    <d v="2024-12-22T00:00:00"/>
    <d v="2025-01-14T00:00:00"/>
    <s v="H"/>
    <x v="1"/>
    <s v="ANGUS NEGRO"/>
    <x v="95"/>
    <s v="10-10-2020"/>
    <s v="Vivo"/>
    <x v="6"/>
    <s v="11.1.01.1241"/>
    <s v="11.1.01.0893"/>
    <x v="0"/>
    <m/>
  </r>
  <r>
    <n v="18943063"/>
    <m/>
    <m/>
    <m/>
    <m/>
    <m/>
    <m/>
    <d v="2024-12-22T00:00:00"/>
    <d v="2025-01-14T00:00:00"/>
    <s v="H"/>
    <x v="1"/>
    <s v="ANGUS NEGRO"/>
    <x v="95"/>
    <s v="30-09-2020"/>
    <s v="Vivo"/>
    <x v="0"/>
    <s v="11.1.01.1022"/>
    <s v="11.1.01.0893"/>
    <x v="0"/>
    <m/>
  </r>
  <r>
    <n v="18943067"/>
    <m/>
    <m/>
    <m/>
    <m/>
    <m/>
    <m/>
    <d v="2024-12-22T00:00:00"/>
    <d v="2025-11-05T00:00:00"/>
    <s v="H"/>
    <x v="1"/>
    <s v="ANGUS NEGRO"/>
    <x v="108"/>
    <s v="11-09-2020"/>
    <s v="Vivo"/>
    <x v="8"/>
    <s v="11.1.01.0190"/>
    <s v="11.1.01.0893"/>
    <x v="0"/>
    <m/>
  </r>
  <r>
    <n v="18943069"/>
    <m/>
    <m/>
    <m/>
    <m/>
    <m/>
    <m/>
    <m/>
    <m/>
    <s v="H"/>
    <x v="1"/>
    <s v="ANGUS NEGRO"/>
    <x v="108"/>
    <s v="11-09-2020"/>
    <s v="Vivo"/>
    <x v="0"/>
    <s v="11.1.01.1022"/>
    <s v="11.1.01.0893"/>
    <x v="0"/>
    <m/>
  </r>
  <r>
    <n v="18943076"/>
    <m/>
    <m/>
    <m/>
    <m/>
    <m/>
    <m/>
    <d v="2024-12-22T00:00:00"/>
    <d v="2025-01-14T00:00:00"/>
    <s v="H"/>
    <x v="1"/>
    <s v="ANGUS NEGRO"/>
    <x v="95"/>
    <s v="30-09-2020"/>
    <s v="Vivo"/>
    <x v="7"/>
    <s v="11.1.01.1241"/>
    <s v="11.1.01.0893"/>
    <x v="0"/>
    <m/>
  </r>
  <r>
    <n v="18943077"/>
    <m/>
    <m/>
    <m/>
    <m/>
    <m/>
    <m/>
    <d v="2024-12-22T00:00:00"/>
    <d v="2025-11-04T00:00:00"/>
    <s v="H"/>
    <x v="1"/>
    <s v="ANGUS NEGRO"/>
    <x v="95"/>
    <s v="10-10-2020"/>
    <s v="Vivo"/>
    <x v="10"/>
    <s v="11.1.01.0190"/>
    <s v="11.1.01.0893"/>
    <x v="0"/>
    <m/>
  </r>
  <r>
    <n v="18943078"/>
    <m/>
    <m/>
    <m/>
    <m/>
    <m/>
    <m/>
    <d v="2024-12-22T00:00:00"/>
    <d v="2025-01-14T00:00:00"/>
    <s v="H"/>
    <x v="1"/>
    <s v="ANGUS NEGRO"/>
    <x v="95"/>
    <s v="30-09-2020"/>
    <s v="Vivo"/>
    <x v="0"/>
    <s v="11.1.01.1022"/>
    <s v="11.1.01.0893"/>
    <x v="0"/>
    <m/>
  </r>
  <r>
    <n v="18943082"/>
    <m/>
    <m/>
    <m/>
    <m/>
    <m/>
    <m/>
    <d v="2024-12-22T00:00:00"/>
    <d v="2025-11-05T00:00:00"/>
    <s v="H"/>
    <x v="1"/>
    <s v="ANGUS NEGRO"/>
    <x v="95"/>
    <s v="30-09-2020"/>
    <s v="Vivo"/>
    <x v="8"/>
    <s v="11.1.01.0190"/>
    <s v="11.1.01.0893"/>
    <x v="0"/>
    <m/>
  </r>
  <r>
    <n v="18943083"/>
    <m/>
    <m/>
    <m/>
    <m/>
    <m/>
    <m/>
    <m/>
    <m/>
    <s v="H"/>
    <x v="1"/>
    <s v="ANGUS NEGRO"/>
    <x v="95"/>
    <s v="10-10-2020"/>
    <s v="Vivo"/>
    <x v="2"/>
    <s v="11.2.01.0053"/>
    <s v="11.1.01.0893"/>
    <x v="0"/>
    <m/>
  </r>
  <r>
    <n v="18943086"/>
    <m/>
    <m/>
    <m/>
    <m/>
    <m/>
    <m/>
    <d v="2024-12-22T00:00:00"/>
    <d v="2025-01-14T00:00:00"/>
    <s v="H"/>
    <x v="1"/>
    <s v="ANGUS NEGRO"/>
    <x v="95"/>
    <s v="30-09-2020"/>
    <s v="Vivo"/>
    <x v="6"/>
    <s v="11.1.01.1241"/>
    <s v="11.1.01.0893"/>
    <x v="0"/>
    <m/>
  </r>
  <r>
    <n v="18943088"/>
    <m/>
    <m/>
    <m/>
    <m/>
    <m/>
    <m/>
    <m/>
    <m/>
    <s v="H"/>
    <x v="1"/>
    <s v="HEREFORD"/>
    <x v="95"/>
    <s v="30-09-2020"/>
    <s v="Vivo"/>
    <x v="3"/>
    <s v="Sin Movimiento"/>
    <s v="11.1.01.0893"/>
    <x v="0"/>
    <m/>
  </r>
  <r>
    <n v="18943091"/>
    <m/>
    <m/>
    <m/>
    <m/>
    <m/>
    <m/>
    <d v="2024-12-22T00:00:00"/>
    <d v="2025-11-05T00:00:00"/>
    <s v="H"/>
    <x v="1"/>
    <s v="ANGUS NEGRO"/>
    <x v="93"/>
    <s v="18-10-2020"/>
    <s v="Vivo"/>
    <x v="8"/>
    <s v="11.1.01.0190"/>
    <s v="11.1.01.0893"/>
    <x v="0"/>
    <m/>
  </r>
  <r>
    <n v="18943093"/>
    <m/>
    <m/>
    <m/>
    <m/>
    <m/>
    <m/>
    <d v="2024-12-22T00:00:00"/>
    <d v="2025-01-14T00:00:00"/>
    <s v="H"/>
    <x v="1"/>
    <s v="ANGUS NEGRO"/>
    <x v="109"/>
    <s v="20-05-2011"/>
    <s v="Vivo"/>
    <x v="6"/>
    <s v="11.1.01.1241"/>
    <s v="11.1.01.1241"/>
    <x v="0"/>
    <m/>
  </r>
  <r>
    <n v="18943094"/>
    <m/>
    <m/>
    <m/>
    <m/>
    <m/>
    <m/>
    <m/>
    <m/>
    <s v="H"/>
    <x v="1"/>
    <s v="ANGUS NEGRO"/>
    <x v="57"/>
    <s v="15-10-2013"/>
    <s v="Vivo"/>
    <x v="0"/>
    <s v="11.2.01.0038"/>
    <s v="11.1.01.1241"/>
    <x v="0"/>
    <m/>
  </r>
  <r>
    <n v="18943140"/>
    <m/>
    <m/>
    <m/>
    <m/>
    <m/>
    <m/>
    <m/>
    <m/>
    <s v="M"/>
    <x v="3"/>
    <s v="ANGUS ROJO"/>
    <x v="95"/>
    <s v="10-10-2020"/>
    <s v="Vivo"/>
    <x v="0"/>
    <s v="Sin Movimiento"/>
    <s v="11.1.01.1241"/>
    <x v="0"/>
    <m/>
  </r>
  <r>
    <n v="18943171"/>
    <m/>
    <m/>
    <m/>
    <m/>
    <m/>
    <m/>
    <d v="2024-12-22T00:00:00"/>
    <d v="2025-11-05T00:00:00"/>
    <s v="H"/>
    <x v="1"/>
    <s v="ANGUS NEGRO"/>
    <x v="51"/>
    <s v="30-09-2014"/>
    <s v="Vivo"/>
    <x v="8"/>
    <s v="11.1.01.0190"/>
    <s v="11.1.01.0790"/>
    <x v="0"/>
    <m/>
  </r>
  <r>
    <n v="18943174"/>
    <m/>
    <m/>
    <m/>
    <m/>
    <m/>
    <m/>
    <m/>
    <m/>
    <s v="H"/>
    <x v="1"/>
    <s v="ANGUS ROJO"/>
    <x v="50"/>
    <s v="30-10-2013"/>
    <s v="Vivo"/>
    <x v="0"/>
    <s v="11.2.01.0038"/>
    <s v="11.1.01.1081"/>
    <x v="0"/>
    <m/>
  </r>
  <r>
    <n v="18943175"/>
    <m/>
    <m/>
    <m/>
    <m/>
    <m/>
    <m/>
    <d v="2024-12-22T00:00:00"/>
    <d v="2025-01-14T00:00:00"/>
    <s v="H"/>
    <x v="1"/>
    <s v="ANGUS ROJO"/>
    <x v="110"/>
    <s v="30-08-2010"/>
    <s v="Vivo"/>
    <x v="0"/>
    <s v="11.2.01.0038"/>
    <s v="11.1.01.1241"/>
    <x v="0"/>
    <m/>
  </r>
  <r>
    <n v="18943183"/>
    <m/>
    <m/>
    <m/>
    <m/>
    <m/>
    <m/>
    <m/>
    <m/>
    <s v="H"/>
    <x v="1"/>
    <s v="ANGUS ROJO"/>
    <x v="95"/>
    <s v="30-09-2020"/>
    <s v="Vivo"/>
    <x v="3"/>
    <s v="11.1.02.0004"/>
    <s v="11.1.01.1241"/>
    <x v="0"/>
    <m/>
  </r>
  <r>
    <n v="18943185"/>
    <m/>
    <m/>
    <m/>
    <m/>
    <m/>
    <m/>
    <m/>
    <m/>
    <s v="H"/>
    <x v="1"/>
    <s v="ANGUS NEGRO"/>
    <x v="95"/>
    <s v="20-09-2020"/>
    <s v="Vivo"/>
    <x v="2"/>
    <s v="11.2.01.0053"/>
    <s v="11.1.01.1241"/>
    <x v="0"/>
    <m/>
  </r>
  <r>
    <n v="18943193"/>
    <m/>
    <m/>
    <m/>
    <m/>
    <m/>
    <m/>
    <m/>
    <m/>
    <s v="H"/>
    <x v="1"/>
    <s v="ANGUS NEGRO"/>
    <x v="93"/>
    <s v="20-10-2020"/>
    <s v="Vivo"/>
    <x v="2"/>
    <s v="11.2.01.0053"/>
    <s v="11.1.01.1241"/>
    <x v="0"/>
    <m/>
  </r>
  <r>
    <n v="18943197"/>
    <m/>
    <m/>
    <m/>
    <m/>
    <m/>
    <m/>
    <d v="2024-12-22T00:00:00"/>
    <d v="2025-11-04T00:00:00"/>
    <s v="H"/>
    <x v="1"/>
    <s v="ANGUS NEGRO"/>
    <x v="93"/>
    <s v="22-10-2020"/>
    <s v="Vivo"/>
    <x v="0"/>
    <s v="11.2.01.0038"/>
    <s v="11.1.01.1241"/>
    <x v="0"/>
    <m/>
  </r>
  <r>
    <n v="18943198"/>
    <m/>
    <m/>
    <m/>
    <m/>
    <m/>
    <m/>
    <d v="2024-05-18T00:00:00"/>
    <d v="2025-11-04T00:00:00"/>
    <s v="H"/>
    <x v="1"/>
    <s v="ANGUS NEGRO"/>
    <x v="108"/>
    <s v="15-09-2020"/>
    <s v="Vivo"/>
    <x v="7"/>
    <s v="11.1.01.1241"/>
    <s v="11.1.01.1241"/>
    <x v="0"/>
    <m/>
  </r>
  <r>
    <n v="19050004"/>
    <m/>
    <m/>
    <m/>
    <m/>
    <m/>
    <m/>
    <m/>
    <m/>
    <s v="H"/>
    <x v="1"/>
    <s v="ANGUS NEGRO"/>
    <x v="93"/>
    <s v="20-10-2020"/>
    <s v="Vivo"/>
    <x v="4"/>
    <s v="11.1.01.1241"/>
    <s v="11.1.01.1241"/>
    <x v="0"/>
    <m/>
  </r>
  <r>
    <n v="19050007"/>
    <m/>
    <m/>
    <m/>
    <m/>
    <m/>
    <m/>
    <m/>
    <m/>
    <s v="H"/>
    <x v="1"/>
    <s v="ANGUS NEGRO"/>
    <x v="93"/>
    <s v="20-10-2020"/>
    <s v="Vivo"/>
    <x v="0"/>
    <s v="11.1.01.1022"/>
    <s v="11.1.01.1241"/>
    <x v="0"/>
    <m/>
  </r>
  <r>
    <n v="19050011"/>
    <m/>
    <m/>
    <m/>
    <m/>
    <m/>
    <m/>
    <d v="2024-12-22T00:00:00"/>
    <d v="2025-11-05T00:00:00"/>
    <s v="H"/>
    <x v="1"/>
    <s v="ANGUS NEGRO"/>
    <x v="95"/>
    <s v="10-10-2020"/>
    <s v="Vivo"/>
    <x v="8"/>
    <s v="11.1.01.0190"/>
    <s v="11.1.01.1241"/>
    <x v="0"/>
    <m/>
  </r>
  <r>
    <n v="19050014"/>
    <m/>
    <m/>
    <m/>
    <m/>
    <m/>
    <m/>
    <m/>
    <m/>
    <s v="H"/>
    <x v="1"/>
    <s v="ANGUS NEGRO"/>
    <x v="95"/>
    <s v="20-09-2020"/>
    <s v="Vivo"/>
    <x v="3"/>
    <s v="11.1.02.0004"/>
    <s v="11.1.01.1241"/>
    <x v="0"/>
    <m/>
  </r>
  <r>
    <n v="19050016"/>
    <m/>
    <m/>
    <m/>
    <m/>
    <m/>
    <m/>
    <d v="2024-12-22T00:00:00"/>
    <d v="2025-11-04T00:00:00"/>
    <s v="H"/>
    <x v="1"/>
    <s v="ANGUS NEGRO"/>
    <x v="95"/>
    <s v="10-10-2020"/>
    <s v="Vivo"/>
    <x v="0"/>
    <s v="11.2.01.0038"/>
    <s v="11.1.01.1241"/>
    <x v="0"/>
    <m/>
  </r>
  <r>
    <n v="19050020"/>
    <m/>
    <m/>
    <m/>
    <m/>
    <m/>
    <m/>
    <m/>
    <m/>
    <s v="H"/>
    <x v="1"/>
    <s v="ANGUS NEGRO"/>
    <x v="93"/>
    <s v="20-10-2020"/>
    <s v="Vivo"/>
    <x v="3"/>
    <s v="11.1.02.0004"/>
    <s v="11.1.01.1241"/>
    <x v="0"/>
    <m/>
  </r>
  <r>
    <n v="19050026"/>
    <m/>
    <m/>
    <m/>
    <m/>
    <m/>
    <m/>
    <d v="2024-12-22T00:00:00"/>
    <d v="2025-01-14T00:00:00"/>
    <s v="H"/>
    <x v="1"/>
    <s v="ANGUS NEGRO"/>
    <x v="95"/>
    <s v="20-09-2020"/>
    <s v="Vivo"/>
    <x v="7"/>
    <s v="11.1.01.1241"/>
    <s v="11.1.01.1241"/>
    <x v="0"/>
    <m/>
  </r>
  <r>
    <n v="19050034"/>
    <m/>
    <m/>
    <m/>
    <m/>
    <m/>
    <m/>
    <d v="2024-12-22T00:00:00"/>
    <d v="2025-01-14T00:00:00"/>
    <s v="H"/>
    <x v="1"/>
    <s v="ANGUS NEGRO"/>
    <x v="95"/>
    <s v="30-09-2020"/>
    <s v="Vivo"/>
    <x v="0"/>
    <s v="11.1.01.1022"/>
    <s v="11.1.01.1241"/>
    <x v="0"/>
    <m/>
  </r>
  <r>
    <n v="19050035"/>
    <m/>
    <m/>
    <m/>
    <m/>
    <m/>
    <m/>
    <m/>
    <m/>
    <s v="H"/>
    <x v="1"/>
    <s v="ANGUS NEGRO"/>
    <x v="93"/>
    <s v="28-10-2020"/>
    <s v="Vivo"/>
    <x v="2"/>
    <s v="11.2.01.0053"/>
    <s v="11.1.01.1241"/>
    <x v="0"/>
    <m/>
  </r>
  <r>
    <n v="19050039"/>
    <m/>
    <m/>
    <m/>
    <m/>
    <m/>
    <m/>
    <d v="2024-12-22T00:00:00"/>
    <d v="2025-01-14T00:00:00"/>
    <s v="H"/>
    <x v="1"/>
    <s v="ANGUS NEGRO"/>
    <x v="60"/>
    <s v="28-02-2014"/>
    <s v="Vivo"/>
    <x v="0"/>
    <s v="11.2.01.0038"/>
    <s v="11.1.01.1081"/>
    <x v="0"/>
    <m/>
  </r>
  <r>
    <n v="19050040"/>
    <m/>
    <m/>
    <m/>
    <m/>
    <m/>
    <m/>
    <d v="2024-12-22T00:00:00"/>
    <d v="2025-11-05T00:00:00"/>
    <s v="H"/>
    <x v="1"/>
    <s v="ANGUS ROJO"/>
    <x v="55"/>
    <s v="28-01-2013"/>
    <s v="Vivo"/>
    <x v="0"/>
    <s v="11.2.01.0038"/>
    <s v="11.1.01.0790"/>
    <x v="0"/>
    <m/>
  </r>
  <r>
    <n v="19050042"/>
    <m/>
    <m/>
    <m/>
    <m/>
    <m/>
    <m/>
    <d v="2024-01-06T00:00:00"/>
    <m/>
    <s v="H"/>
    <x v="1"/>
    <s v="ANGUS NEGRO"/>
    <x v="79"/>
    <s v="15-10-2016"/>
    <s v="Vivo"/>
    <x v="4"/>
    <s v="11.1.01.0893"/>
    <s v="11.1.01.0893"/>
    <x v="0"/>
    <m/>
  </r>
  <r>
    <n v="19050045"/>
    <m/>
    <m/>
    <m/>
    <m/>
    <m/>
    <m/>
    <m/>
    <m/>
    <s v="H"/>
    <x v="1"/>
    <s v="ANGUS NEGRO"/>
    <x v="111"/>
    <s v="30-03-2013"/>
    <s v="Vivo"/>
    <x v="0"/>
    <s v="11.2.01.0038"/>
    <s v="11.1.01.1240"/>
    <x v="0"/>
    <m/>
  </r>
  <r>
    <n v="19050048"/>
    <m/>
    <m/>
    <m/>
    <m/>
    <m/>
    <m/>
    <d v="2024-12-22T00:00:00"/>
    <d v="2025-11-05T00:00:00"/>
    <s v="H"/>
    <x v="1"/>
    <s v="ANGUS ROJO"/>
    <x v="49"/>
    <s v="30-09-2012"/>
    <s v="Vivo"/>
    <x v="8"/>
    <s v="11.1.01.0190"/>
    <s v="11.1.01.1241"/>
    <x v="0"/>
    <m/>
  </r>
  <r>
    <n v="19050051"/>
    <m/>
    <m/>
    <m/>
    <m/>
    <m/>
    <m/>
    <m/>
    <m/>
    <s v="H"/>
    <x v="1"/>
    <s v="ANGUS NEGRO"/>
    <x v="52"/>
    <s v="30-10-2012"/>
    <s v="Vivo"/>
    <x v="0"/>
    <s v="11.2.01.0038"/>
    <s v="11.1.01.1241"/>
    <x v="0"/>
    <m/>
  </r>
  <r>
    <n v="19050067"/>
    <m/>
    <m/>
    <m/>
    <m/>
    <m/>
    <m/>
    <m/>
    <m/>
    <s v="H"/>
    <x v="1"/>
    <s v="ANGUS NEGRO"/>
    <x v="93"/>
    <s v="20-10-2020"/>
    <s v="Vivo"/>
    <x v="2"/>
    <s v="11.2.01.0053"/>
    <s v="11.1.01.1241"/>
    <x v="0"/>
    <m/>
  </r>
  <r>
    <n v="19050068"/>
    <m/>
    <m/>
    <m/>
    <m/>
    <m/>
    <m/>
    <m/>
    <m/>
    <s v="H"/>
    <x v="1"/>
    <s v="ANGUS NEGRO"/>
    <x v="95"/>
    <s v="30-09-2020"/>
    <s v="Vivo"/>
    <x v="3"/>
    <s v="11.1.02.0004"/>
    <s v="11.1.01.1241"/>
    <x v="0"/>
    <m/>
  </r>
  <r>
    <n v="19050076"/>
    <m/>
    <m/>
    <m/>
    <m/>
    <m/>
    <m/>
    <d v="2024-12-22T00:00:00"/>
    <d v="2025-11-04T00:00:00"/>
    <s v="H"/>
    <x v="1"/>
    <s v="ANGUS NEGRO"/>
    <x v="95"/>
    <s v="15-10-2020"/>
    <s v="Vivo"/>
    <x v="0"/>
    <s v="11.2.01.0038"/>
    <s v="11.1.01.1241"/>
    <x v="0"/>
    <m/>
  </r>
  <r>
    <n v="19050078"/>
    <m/>
    <m/>
    <m/>
    <m/>
    <m/>
    <m/>
    <m/>
    <m/>
    <s v="H"/>
    <x v="1"/>
    <s v="ANGUS NEGRO"/>
    <x v="95"/>
    <s v="20-09-2020"/>
    <s v="Vivo"/>
    <x v="2"/>
    <s v="11.2.01.0053"/>
    <s v="11.1.01.1241"/>
    <x v="0"/>
    <m/>
  </r>
  <r>
    <n v="19050087"/>
    <m/>
    <m/>
    <m/>
    <m/>
    <m/>
    <m/>
    <m/>
    <m/>
    <s v="H"/>
    <x v="1"/>
    <s v="ANGUS NEGRO"/>
    <x v="95"/>
    <s v="30-09-2020"/>
    <s v="Vivo"/>
    <x v="5"/>
    <s v="11.1.01.0893"/>
    <s v="11.1.01.1241"/>
    <x v="0"/>
    <m/>
  </r>
  <r>
    <n v="19050088"/>
    <m/>
    <m/>
    <m/>
    <m/>
    <m/>
    <m/>
    <m/>
    <m/>
    <s v="H"/>
    <x v="1"/>
    <s v="ANGUS NEGRO"/>
    <x v="95"/>
    <s v="30-09-2020"/>
    <s v="Vivo"/>
    <x v="0"/>
    <s v="11.1.01.1022"/>
    <s v="11.1.01.1241"/>
    <x v="0"/>
    <m/>
  </r>
  <r>
    <n v="19050089"/>
    <m/>
    <m/>
    <m/>
    <m/>
    <m/>
    <m/>
    <d v="2024-12-22T00:00:00"/>
    <d v="2025-01-14T00:00:00"/>
    <s v="H"/>
    <x v="1"/>
    <s v="ANGUS NEGRO"/>
    <x v="95"/>
    <s v="30-09-2020"/>
    <s v="Vivo"/>
    <x v="0"/>
    <s v="11.2.01.0038"/>
    <s v="11.1.01.1241"/>
    <x v="0"/>
    <m/>
  </r>
  <r>
    <n v="19050092"/>
    <m/>
    <m/>
    <m/>
    <m/>
    <m/>
    <m/>
    <m/>
    <m/>
    <s v="H"/>
    <x v="1"/>
    <s v="ANGUS NEGRO"/>
    <x v="108"/>
    <s v="11-09-2020"/>
    <s v="Vivo"/>
    <x v="3"/>
    <s v="11.1.02.0004"/>
    <s v="11.1.01.1241"/>
    <x v="0"/>
    <m/>
  </r>
  <r>
    <n v="19050093"/>
    <m/>
    <m/>
    <m/>
    <m/>
    <m/>
    <m/>
    <m/>
    <m/>
    <s v="H"/>
    <x v="1"/>
    <s v="ANGUS NEGRO"/>
    <x v="93"/>
    <s v="25-10-2020"/>
    <s v="Vivo"/>
    <x v="2"/>
    <s v="11.2.01.0053"/>
    <s v="11.1.01.1241"/>
    <x v="0"/>
    <m/>
  </r>
  <r>
    <n v="19050094"/>
    <m/>
    <m/>
    <m/>
    <m/>
    <m/>
    <m/>
    <d v="2024-12-22T00:00:00"/>
    <d v="2025-11-04T00:00:00"/>
    <s v="H"/>
    <x v="1"/>
    <s v="ANGUS NEGRO"/>
    <x v="95"/>
    <s v="20-09-2020"/>
    <s v="Vivo"/>
    <x v="10"/>
    <s v="11.1.01.0190"/>
    <s v="11.1.01.1241"/>
    <x v="0"/>
    <m/>
  </r>
  <r>
    <n v="19050115"/>
    <m/>
    <m/>
    <m/>
    <m/>
    <m/>
    <m/>
    <d v="2024-12-22T00:00:00"/>
    <d v="2025-11-05T00:00:00"/>
    <s v="H"/>
    <x v="1"/>
    <s v="ANGUS NEGRO"/>
    <x v="95"/>
    <s v="10-10-2020"/>
    <s v="Vivo"/>
    <x v="8"/>
    <s v="11.1.01.0190"/>
    <s v="11.1.01.1241"/>
    <x v="0"/>
    <m/>
  </r>
  <r>
    <n v="19050127"/>
    <m/>
    <m/>
    <m/>
    <m/>
    <m/>
    <m/>
    <d v="2024-12-22T00:00:00"/>
    <d v="2025-11-05T00:00:00"/>
    <s v="H"/>
    <x v="1"/>
    <s v="ANGUS NEGRO"/>
    <x v="79"/>
    <s v="15-10-2016"/>
    <s v="Vivo"/>
    <x v="8"/>
    <s v="11.1.01.0190"/>
    <s v="11.2.01.2071"/>
    <x v="0"/>
    <m/>
  </r>
  <r>
    <n v="19050128"/>
    <m/>
    <m/>
    <m/>
    <m/>
    <m/>
    <m/>
    <m/>
    <m/>
    <s v="H"/>
    <x v="1"/>
    <s v="ANGUS NEGRO"/>
    <x v="84"/>
    <s v="30-09-2017"/>
    <s v="Vivo"/>
    <x v="0"/>
    <s v="11.1.01.1022"/>
    <s v="11.1.01.0893"/>
    <x v="0"/>
    <m/>
  </r>
  <r>
    <n v="19050129"/>
    <m/>
    <m/>
    <m/>
    <m/>
    <m/>
    <m/>
    <d v="2024-12-22T00:00:00"/>
    <d v="2025-01-14T00:00:00"/>
    <s v="H"/>
    <x v="1"/>
    <s v="ANGUS NEGRO"/>
    <x v="50"/>
    <s v="30-10-2013"/>
    <s v="Vivo"/>
    <x v="8"/>
    <s v="11.1.01.0190"/>
    <s v="11.2.01.2071"/>
    <x v="0"/>
    <m/>
  </r>
  <r>
    <n v="19050130"/>
    <m/>
    <m/>
    <m/>
    <m/>
    <m/>
    <m/>
    <m/>
    <m/>
    <s v="H"/>
    <x v="1"/>
    <s v="ANGUS NEGRO"/>
    <x v="95"/>
    <s v="15-10-2020"/>
    <s v="Vivo"/>
    <x v="3"/>
    <s v="11.1.02.0004"/>
    <s v="11.1.01.1241"/>
    <x v="0"/>
    <m/>
  </r>
  <r>
    <n v="19050135"/>
    <m/>
    <m/>
    <m/>
    <m/>
    <m/>
    <m/>
    <d v="2024-12-22T00:00:00"/>
    <d v="2025-01-14T00:00:00"/>
    <s v="H"/>
    <x v="1"/>
    <s v="ANGUS NEGRO"/>
    <x v="93"/>
    <s v="30-10-2020"/>
    <s v="Vivo"/>
    <x v="0"/>
    <s v="11.2.01.0038"/>
    <s v="11.1.01.1241"/>
    <x v="0"/>
    <m/>
  </r>
  <r>
    <n v="19050140"/>
    <m/>
    <m/>
    <m/>
    <m/>
    <m/>
    <m/>
    <m/>
    <m/>
    <s v="H"/>
    <x v="1"/>
    <s v="ANGUS NEGRO"/>
    <x v="93"/>
    <s v="30-10-2020"/>
    <s v="Vivo"/>
    <x v="4"/>
    <s v="11.1.01.1241"/>
    <s v="11.1.01.1241"/>
    <x v="0"/>
    <m/>
  </r>
  <r>
    <n v="19050146"/>
    <m/>
    <m/>
    <m/>
    <m/>
    <m/>
    <m/>
    <d v="2024-12-22T00:00:00"/>
    <d v="2025-01-14T00:00:00"/>
    <s v="H"/>
    <x v="1"/>
    <s v="ANGUS NEGRO"/>
    <x v="108"/>
    <s v="11-09-2020"/>
    <s v="Vivo"/>
    <x v="0"/>
    <s v="11.1.01.1022"/>
    <s v="11.1.01.1241"/>
    <x v="0"/>
    <m/>
  </r>
  <r>
    <n v="19050147"/>
    <m/>
    <m/>
    <m/>
    <m/>
    <m/>
    <m/>
    <d v="2024-12-22T00:00:00"/>
    <d v="2025-01-14T00:00:00"/>
    <s v="H"/>
    <x v="1"/>
    <s v="ANGUS NEGRO"/>
    <x v="95"/>
    <s v="30-09-2020"/>
    <s v="Vivo"/>
    <x v="0"/>
    <s v="11.1.01.1022"/>
    <s v="11.1.01.1241"/>
    <x v="0"/>
    <m/>
  </r>
  <r>
    <n v="19050149"/>
    <m/>
    <m/>
    <m/>
    <m/>
    <m/>
    <m/>
    <d v="2024-12-22T00:00:00"/>
    <d v="2025-11-04T00:00:00"/>
    <s v="H"/>
    <x v="1"/>
    <s v="ANGUS NEGRO"/>
    <x v="108"/>
    <s v="15-09-2020"/>
    <s v="Vivo"/>
    <x v="8"/>
    <s v="11.1.01.0190"/>
    <s v="11.1.01.1241"/>
    <x v="0"/>
    <m/>
  </r>
  <r>
    <n v="19050152"/>
    <m/>
    <m/>
    <m/>
    <m/>
    <m/>
    <m/>
    <d v="2024-12-22T00:00:00"/>
    <d v="2025-01-14T00:00:00"/>
    <s v="H"/>
    <x v="1"/>
    <s v="ANGUS NEGRO"/>
    <x v="108"/>
    <s v="11-09-2020"/>
    <s v="Vivo"/>
    <x v="0"/>
    <s v="11.1.01.1022"/>
    <s v="11.1.01.1241"/>
    <x v="0"/>
    <m/>
  </r>
  <r>
    <n v="19050154"/>
    <m/>
    <m/>
    <m/>
    <m/>
    <m/>
    <m/>
    <m/>
    <m/>
    <s v="H"/>
    <x v="1"/>
    <s v="ANGUS NEGRO"/>
    <x v="108"/>
    <s v="15-09-2020"/>
    <s v="Vivo"/>
    <x v="3"/>
    <s v="11.1.02.0004"/>
    <s v="11.1.01.1241"/>
    <x v="0"/>
    <m/>
  </r>
  <r>
    <n v="19050162"/>
    <m/>
    <m/>
    <m/>
    <m/>
    <m/>
    <m/>
    <d v="2024-12-22T00:00:00"/>
    <d v="2025-11-04T00:00:00"/>
    <s v="H"/>
    <x v="1"/>
    <s v="ANGUS ROJO"/>
    <x v="95"/>
    <s v="05-10-2020"/>
    <s v="Vivo"/>
    <x v="0"/>
    <s v="11.2.01.0038"/>
    <s v="11.1.01.1241"/>
    <x v="0"/>
    <m/>
  </r>
  <r>
    <n v="19050165"/>
    <m/>
    <m/>
    <m/>
    <m/>
    <m/>
    <m/>
    <d v="2024-12-22T00:00:00"/>
    <d v="2025-11-05T00:00:00"/>
    <s v="H"/>
    <x v="1"/>
    <s v="ANGUS NEGRO"/>
    <x v="95"/>
    <s v="25-09-2020"/>
    <s v="Vivo"/>
    <x v="8"/>
    <s v="11.1.01.0190"/>
    <s v="11.1.01.1241"/>
    <x v="0"/>
    <m/>
  </r>
  <r>
    <n v="19050172"/>
    <m/>
    <m/>
    <m/>
    <m/>
    <m/>
    <m/>
    <m/>
    <m/>
    <s v="H"/>
    <x v="1"/>
    <s v="ANGUS NEGRO"/>
    <x v="93"/>
    <s v="30-10-2020"/>
    <s v="Vivo"/>
    <x v="0"/>
    <s v="Sin Movimiento"/>
    <s v="11.1.01.1241"/>
    <x v="0"/>
    <m/>
  </r>
  <r>
    <n v="19050173"/>
    <m/>
    <m/>
    <m/>
    <m/>
    <m/>
    <m/>
    <m/>
    <m/>
    <s v="H"/>
    <x v="1"/>
    <s v="ANGUS NEGRO"/>
    <x v="95"/>
    <s v="30-09-2020"/>
    <s v="Vivo"/>
    <x v="4"/>
    <s v="11.1.01.1241"/>
    <s v="11.1.01.1241"/>
    <x v="0"/>
    <m/>
  </r>
  <r>
    <n v="19050177"/>
    <m/>
    <m/>
    <m/>
    <m/>
    <m/>
    <m/>
    <d v="2024-05-18T00:00:00"/>
    <d v="2025-11-05T00:00:00"/>
    <s v="H"/>
    <x v="1"/>
    <s v="ANGUS NEGRO"/>
    <x v="93"/>
    <s v="25-10-2020"/>
    <s v="Vivo"/>
    <x v="8"/>
    <s v="11.1.01.0190"/>
    <s v="11.1.01.1241"/>
    <x v="0"/>
    <m/>
  </r>
  <r>
    <n v="19050183"/>
    <m/>
    <m/>
    <m/>
    <m/>
    <m/>
    <m/>
    <m/>
    <m/>
    <s v="H"/>
    <x v="1"/>
    <s v="ANGUS NEGRO"/>
    <x v="93"/>
    <s v="20-10-2020"/>
    <s v="Vivo"/>
    <x v="3"/>
    <s v="11.1.02.0004"/>
    <s v="11.1.01.1241"/>
    <x v="0"/>
    <m/>
  </r>
  <r>
    <n v="19050196"/>
    <m/>
    <m/>
    <m/>
    <m/>
    <m/>
    <m/>
    <d v="2024-12-22T00:00:00"/>
    <d v="2025-01-14T00:00:00"/>
    <s v="H"/>
    <x v="1"/>
    <s v="ANGUS ROJO"/>
    <x v="95"/>
    <s v="10-10-2020"/>
    <s v="Vivo"/>
    <x v="0"/>
    <s v="11.1.01.1022"/>
    <s v="11.1.01.1241"/>
    <x v="0"/>
    <m/>
  </r>
  <r>
    <n v="19050200"/>
    <m/>
    <m/>
    <m/>
    <m/>
    <m/>
    <m/>
    <d v="2024-12-22T00:00:00"/>
    <d v="2025-11-04T00:00:00"/>
    <s v="H"/>
    <x v="1"/>
    <s v="ANGUS NEGRO"/>
    <x v="95"/>
    <s v="30-09-2020"/>
    <s v="Vivo"/>
    <x v="8"/>
    <s v="11.1.01.0190"/>
    <s v="11.1.01.1241"/>
    <x v="0"/>
    <m/>
  </r>
  <r>
    <n v="19050206"/>
    <m/>
    <m/>
    <m/>
    <m/>
    <m/>
    <m/>
    <d v="2024-12-22T00:00:00"/>
    <d v="2025-01-14T00:00:00"/>
    <s v="H"/>
    <x v="1"/>
    <s v="ANGUS NEGRO"/>
    <x v="95"/>
    <s v="15-10-2020"/>
    <s v="Vivo"/>
    <x v="0"/>
    <s v="11.1.01.1022"/>
    <s v="11.1.01.1241"/>
    <x v="0"/>
    <m/>
  </r>
  <r>
    <n v="19050207"/>
    <m/>
    <m/>
    <m/>
    <m/>
    <m/>
    <m/>
    <d v="2024-12-22T00:00:00"/>
    <d v="2025-01-14T00:00:00"/>
    <s v="H"/>
    <x v="1"/>
    <s v="ANGUS NEGRO"/>
    <x v="93"/>
    <s v="20-10-2020"/>
    <s v="Vivo"/>
    <x v="0"/>
    <s v="11.1.01.1022"/>
    <s v="11.1.01.1241"/>
    <x v="0"/>
    <m/>
  </r>
  <r>
    <n v="19050210"/>
    <m/>
    <m/>
    <m/>
    <m/>
    <m/>
    <m/>
    <m/>
    <m/>
    <s v="H"/>
    <x v="1"/>
    <s v="ANGUS NEGRO"/>
    <x v="95"/>
    <s v="10-10-2020"/>
    <s v="Vivo"/>
    <x v="2"/>
    <s v="11.2.01.0053"/>
    <s v="11.1.01.1241"/>
    <x v="0"/>
    <m/>
  </r>
  <r>
    <n v="19050213"/>
    <m/>
    <m/>
    <m/>
    <m/>
    <m/>
    <m/>
    <m/>
    <m/>
    <s v="H"/>
    <x v="1"/>
    <s v="ANGUS NEGRO"/>
    <x v="93"/>
    <s v="30-10-2020"/>
    <s v="Vivo"/>
    <x v="0"/>
    <s v="Sin Movimiento"/>
    <s v="11.1.01.1241"/>
    <x v="0"/>
    <m/>
  </r>
  <r>
    <n v="19050217"/>
    <m/>
    <m/>
    <m/>
    <m/>
    <m/>
    <m/>
    <m/>
    <m/>
    <s v="M"/>
    <x v="3"/>
    <s v="ANGUS NEGRO"/>
    <x v="93"/>
    <s v="30-10-2020"/>
    <s v="Vivo"/>
    <x v="0"/>
    <s v="Sin Movimiento"/>
    <s v="11.1.01.1241"/>
    <x v="0"/>
    <m/>
  </r>
  <r>
    <n v="19050218"/>
    <m/>
    <m/>
    <m/>
    <m/>
    <m/>
    <m/>
    <m/>
    <m/>
    <s v="H"/>
    <x v="1"/>
    <s v="ANGUS NEGRO"/>
    <x v="93"/>
    <s v="30-10-2020"/>
    <s v="Vivo"/>
    <x v="2"/>
    <s v="11.1.01.0941"/>
    <s v="11.1.01.1241"/>
    <x v="0"/>
    <m/>
  </r>
  <r>
    <n v="19050223"/>
    <n v="2636103"/>
    <m/>
    <m/>
    <m/>
    <m/>
    <m/>
    <m/>
    <d v="2025-11-04T00:00:00"/>
    <s v="M"/>
    <x v="3"/>
    <s v="ANGUS NEGRO"/>
    <x v="79"/>
    <s v="24-09-2016"/>
    <s v="Vivo"/>
    <x v="8"/>
    <s v="11.1.01.0190"/>
    <s v="11.1.01.0932"/>
    <x v="0"/>
    <m/>
  </r>
  <r>
    <n v="19050228"/>
    <n v="2636123"/>
    <m/>
    <m/>
    <m/>
    <m/>
    <m/>
    <m/>
    <m/>
    <s v="M"/>
    <x v="0"/>
    <s v="ANGUS NEGRO"/>
    <x v="84"/>
    <s v="15-10-2017"/>
    <s v="Vivo"/>
    <x v="0"/>
    <s v="11.2.01.0038"/>
    <s v="11.1.01.1241"/>
    <x v="2"/>
    <m/>
  </r>
  <r>
    <n v="19050229"/>
    <n v="2636122"/>
    <m/>
    <m/>
    <m/>
    <m/>
    <m/>
    <m/>
    <d v="2025-06-10T00:00:00"/>
    <s v="M"/>
    <x v="0"/>
    <s v="ANGUS NEGRO"/>
    <x v="56"/>
    <s v="28-11-2012"/>
    <s v="Vivo"/>
    <x v="4"/>
    <s v="11.1.01.1241"/>
    <s v="11.1.01.1241"/>
    <x v="2"/>
    <d v="2023-11-02T00:00:00"/>
  </r>
  <r>
    <n v="19050230"/>
    <n v="2636133"/>
    <m/>
    <m/>
    <m/>
    <m/>
    <m/>
    <m/>
    <d v="2025-06-10T00:00:00"/>
    <s v="M"/>
    <x v="0"/>
    <s v="ANGUS NEGRO"/>
    <x v="49"/>
    <s v="10-10-2012"/>
    <s v="Vivo"/>
    <x v="13"/>
    <s v="11.1.01.2442"/>
    <s v="11.1.01.0893"/>
    <x v="2"/>
    <m/>
  </r>
  <r>
    <n v="19050237"/>
    <n v="2636137"/>
    <m/>
    <m/>
    <m/>
    <m/>
    <m/>
    <m/>
    <m/>
    <s v="M"/>
    <x v="3"/>
    <s v="ANGUS NEGRO"/>
    <x v="84"/>
    <s v="24-09-2017"/>
    <s v="Muerto"/>
    <x v="12"/>
    <s v="11.1.01.0893"/>
    <s v="11.1.01.0932"/>
    <x v="0"/>
    <m/>
  </r>
  <r>
    <n v="19050240"/>
    <n v="2636143"/>
    <m/>
    <m/>
    <m/>
    <m/>
    <m/>
    <d v="2024-12-10T00:00:00"/>
    <m/>
    <s v="M"/>
    <x v="3"/>
    <s v="ANGUS NEGRO"/>
    <x v="92"/>
    <s v="31-10-2018"/>
    <s v="Vivo"/>
    <x v="5"/>
    <s v="11.1.01.0893"/>
    <s v="11.2.01.0251"/>
    <x v="0"/>
    <m/>
  </r>
  <r>
    <n v="19050244"/>
    <m/>
    <m/>
    <m/>
    <m/>
    <m/>
    <m/>
    <d v="2024-01-06T00:00:00"/>
    <m/>
    <s v="H"/>
    <x v="1"/>
    <s v="ANGUS NEGRO"/>
    <x v="72"/>
    <s v="15-10-2015"/>
    <s v="Vivo"/>
    <x v="4"/>
    <s v="11.1.01.0893"/>
    <s v="11.1.01.0893"/>
    <x v="2"/>
    <d v="2020-11-21T00:00:00"/>
  </r>
  <r>
    <n v="19050254"/>
    <m/>
    <m/>
    <m/>
    <m/>
    <m/>
    <m/>
    <d v="2024-12-22T00:00:00"/>
    <d v="2025-01-14T00:00:00"/>
    <s v="H"/>
    <x v="1"/>
    <s v="ANGUS NEGRO"/>
    <x v="95"/>
    <s v="30-09-2020"/>
    <s v="Vivo"/>
    <x v="0"/>
    <s v="11.2.01.0038"/>
    <s v="11.1.01.0893"/>
    <x v="0"/>
    <m/>
  </r>
  <r>
    <n v="19050271"/>
    <m/>
    <m/>
    <m/>
    <m/>
    <m/>
    <m/>
    <d v="2024-12-22T00:00:00"/>
    <d v="2025-11-04T00:00:00"/>
    <s v="H"/>
    <x v="1"/>
    <s v="ANGUS NEGRO"/>
    <x v="95"/>
    <s v="05-10-2020"/>
    <s v="Vivo"/>
    <x v="8"/>
    <s v="11.1.01.0190"/>
    <s v="11.1.01.0893"/>
    <x v="0"/>
    <m/>
  </r>
  <r>
    <n v="19050272"/>
    <m/>
    <m/>
    <m/>
    <m/>
    <m/>
    <m/>
    <d v="2024-12-22T00:00:00"/>
    <d v="2025-01-14T00:00:00"/>
    <s v="H"/>
    <x v="1"/>
    <s v="ANGUS NEGRO"/>
    <x v="95"/>
    <s v="30-09-2020"/>
    <s v="Vivo"/>
    <x v="0"/>
    <s v="11.1.01.1022"/>
    <s v="11.1.01.0893"/>
    <x v="0"/>
    <m/>
  </r>
  <r>
    <n v="19050276"/>
    <m/>
    <m/>
    <m/>
    <m/>
    <m/>
    <m/>
    <m/>
    <m/>
    <s v="H"/>
    <x v="1"/>
    <s v="ANGUS NEGRO"/>
    <x v="95"/>
    <s v="20-09-2020"/>
    <s v="Vivo"/>
    <x v="2"/>
    <s v="11.2.01.0053"/>
    <s v="11.1.01.0893"/>
    <x v="0"/>
    <m/>
  </r>
  <r>
    <n v="19050283"/>
    <m/>
    <m/>
    <m/>
    <m/>
    <m/>
    <m/>
    <d v="2024-12-22T00:00:00"/>
    <d v="2025-11-04T00:00:00"/>
    <s v="H"/>
    <x v="1"/>
    <s v="ANGUS NEGRO"/>
    <x v="95"/>
    <s v="05-10-2020"/>
    <s v="Vivo"/>
    <x v="0"/>
    <s v="11.1.01.1022"/>
    <s v="11.1.01.0893"/>
    <x v="0"/>
    <m/>
  </r>
  <r>
    <n v="19050290"/>
    <m/>
    <m/>
    <m/>
    <m/>
    <m/>
    <m/>
    <m/>
    <m/>
    <s v="H"/>
    <x v="1"/>
    <s v="ANGUS NEGRO"/>
    <x v="95"/>
    <s v="05-10-2020"/>
    <s v="Vivo"/>
    <x v="4"/>
    <s v="11.1.01.2304"/>
    <s v="11.1.01.0893"/>
    <x v="0"/>
    <m/>
  </r>
  <r>
    <n v="19050292"/>
    <m/>
    <m/>
    <m/>
    <m/>
    <m/>
    <m/>
    <d v="2024-12-22T00:00:00"/>
    <d v="2025-11-04T00:00:00"/>
    <s v="H"/>
    <x v="1"/>
    <s v="ANGUS NEGRO"/>
    <x v="95"/>
    <s v="05-10-2020"/>
    <s v="Vivo"/>
    <x v="0"/>
    <s v="11.2.01.0038"/>
    <s v="11.1.01.0893"/>
    <x v="0"/>
    <m/>
  </r>
  <r>
    <n v="19050294"/>
    <m/>
    <m/>
    <m/>
    <m/>
    <m/>
    <m/>
    <d v="2024-12-22T00:00:00"/>
    <d v="2025-11-04T00:00:00"/>
    <s v="H"/>
    <x v="1"/>
    <s v="ANGUS NEGRO"/>
    <x v="108"/>
    <s v="11-09-2020"/>
    <s v="Vivo"/>
    <x v="10"/>
    <s v="11.1.01.0190"/>
    <s v="11.1.01.0893"/>
    <x v="0"/>
    <m/>
  </r>
  <r>
    <n v="19050296"/>
    <m/>
    <m/>
    <m/>
    <m/>
    <m/>
    <m/>
    <d v="2024-05-18T00:00:00"/>
    <d v="2025-01-14T00:00:00"/>
    <s v="H"/>
    <x v="1"/>
    <s v="ANGUS NEGRO"/>
    <x v="95"/>
    <s v="30-09-2020"/>
    <s v="Vivo"/>
    <x v="0"/>
    <s v="11.1.01.1022"/>
    <s v="11.1.01.0893"/>
    <x v="0"/>
    <m/>
  </r>
  <r>
    <n v="19050300"/>
    <m/>
    <m/>
    <m/>
    <m/>
    <m/>
    <m/>
    <m/>
    <m/>
    <s v="H"/>
    <x v="1"/>
    <s v="ANGUS NEGRO"/>
    <x v="95"/>
    <s v="30-09-2020"/>
    <s v="Vivo"/>
    <x v="4"/>
    <s v="11.1.01.0893"/>
    <s v="11.1.01.0893"/>
    <x v="0"/>
    <m/>
  </r>
  <r>
    <n v="19050304"/>
    <m/>
    <m/>
    <m/>
    <m/>
    <m/>
    <m/>
    <d v="2024-12-22T00:00:00"/>
    <d v="2025-11-04T00:00:00"/>
    <s v="H"/>
    <x v="1"/>
    <s v="ANGUS NEGRO"/>
    <x v="95"/>
    <s v="30-09-2020"/>
    <s v="Vivo"/>
    <x v="8"/>
    <s v="11.1.01.0190"/>
    <s v="11.1.01.0893"/>
    <x v="0"/>
    <m/>
  </r>
  <r>
    <n v="19050315"/>
    <m/>
    <m/>
    <m/>
    <m/>
    <m/>
    <m/>
    <m/>
    <m/>
    <s v="H"/>
    <x v="1"/>
    <s v="ANGUS ROJO"/>
    <x v="95"/>
    <s v="30-09-2020"/>
    <s v="Vivo"/>
    <x v="3"/>
    <s v="11.1.02.0004"/>
    <s v="11.1.01.0893"/>
    <x v="0"/>
    <m/>
  </r>
  <r>
    <n v="19050333"/>
    <m/>
    <m/>
    <m/>
    <m/>
    <m/>
    <m/>
    <m/>
    <m/>
    <s v="H"/>
    <x v="1"/>
    <s v="ANGUS NEGRO"/>
    <x v="93"/>
    <s v="30-10-2020"/>
    <s v="Vivo"/>
    <x v="3"/>
    <s v="11.1.02.0004"/>
    <s v="11.1.01.1241"/>
    <x v="0"/>
    <m/>
  </r>
  <r>
    <n v="19050338"/>
    <m/>
    <m/>
    <m/>
    <m/>
    <m/>
    <m/>
    <m/>
    <m/>
    <s v="H"/>
    <x v="1"/>
    <s v="HEREFORD"/>
    <x v="93"/>
    <s v="05-11-2020"/>
    <s v="Vivo"/>
    <x v="4"/>
    <s v="11.1.01.1241"/>
    <s v="11.1.01.1241"/>
    <x v="0"/>
    <m/>
  </r>
  <r>
    <n v="19050339"/>
    <m/>
    <m/>
    <m/>
    <m/>
    <m/>
    <m/>
    <m/>
    <m/>
    <s v="H"/>
    <x v="1"/>
    <s v="ANGUS NEGRO"/>
    <x v="93"/>
    <s v="30-10-2020"/>
    <s v="Vivo"/>
    <x v="4"/>
    <s v="11.1.01.1241"/>
    <s v="11.1.01.1241"/>
    <x v="0"/>
    <m/>
  </r>
  <r>
    <n v="19050340"/>
    <m/>
    <m/>
    <m/>
    <m/>
    <m/>
    <m/>
    <m/>
    <m/>
    <s v="H"/>
    <x v="1"/>
    <s v="ANGUS NEGRO"/>
    <x v="93"/>
    <s v="05-11-2020"/>
    <s v="Vivo"/>
    <x v="2"/>
    <s v="11.2.01.0053"/>
    <s v="11.1.01.1241"/>
    <x v="0"/>
    <m/>
  </r>
  <r>
    <n v="19050343"/>
    <m/>
    <m/>
    <m/>
    <m/>
    <m/>
    <m/>
    <m/>
    <m/>
    <s v="H"/>
    <x v="1"/>
    <s v="ANGUS NEGRO"/>
    <x v="93"/>
    <s v="10-11-2020"/>
    <s v="Vivo"/>
    <x v="2"/>
    <s v="11.2.01.0053"/>
    <s v="11.1.01.1241"/>
    <x v="0"/>
    <m/>
  </r>
  <r>
    <n v="19050346"/>
    <m/>
    <m/>
    <m/>
    <m/>
    <m/>
    <m/>
    <m/>
    <m/>
    <s v="H"/>
    <x v="1"/>
    <s v="ANGUS NEGRO"/>
    <x v="93"/>
    <s v="30-10-2020"/>
    <s v="Vivo"/>
    <x v="2"/>
    <s v="11.2.01.0053"/>
    <s v="11.1.01.1241"/>
    <x v="0"/>
    <m/>
  </r>
  <r>
    <n v="19050349"/>
    <m/>
    <m/>
    <m/>
    <m/>
    <m/>
    <m/>
    <d v="2024-12-22T00:00:00"/>
    <d v="2025-01-14T00:00:00"/>
    <s v="H"/>
    <x v="1"/>
    <s v="ANGUS NEGRO"/>
    <x v="93"/>
    <s v="05-11-2020"/>
    <s v="Vivo"/>
    <x v="0"/>
    <s v="11.1.01.1022"/>
    <s v="11.1.01.1241"/>
    <x v="0"/>
    <m/>
  </r>
  <r>
    <n v="19050364"/>
    <m/>
    <m/>
    <m/>
    <m/>
    <m/>
    <m/>
    <d v="2024-12-22T00:00:00"/>
    <d v="2025-01-14T00:00:00"/>
    <s v="H"/>
    <x v="1"/>
    <s v="ANGUS NEGRO"/>
    <x v="95"/>
    <s v="30-09-2020"/>
    <s v="Vivo"/>
    <x v="0"/>
    <s v="11.1.01.1022"/>
    <s v="11.1.01.1241"/>
    <x v="0"/>
    <m/>
  </r>
  <r>
    <n v="19050383"/>
    <m/>
    <m/>
    <m/>
    <m/>
    <m/>
    <m/>
    <d v="2024-12-22T00:00:00"/>
    <d v="2025-01-14T00:00:00"/>
    <s v="H"/>
    <x v="1"/>
    <s v="ANGUS NEGRO"/>
    <x v="112"/>
    <s v="10-12-2020"/>
    <s v="Vivo"/>
    <x v="0"/>
    <s v="11.2.01.0038"/>
    <s v="11.1.01.0893"/>
    <x v="0"/>
    <d v="2021-02-06T00:00:00"/>
  </r>
  <r>
    <n v="19050392"/>
    <m/>
    <m/>
    <m/>
    <m/>
    <m/>
    <m/>
    <d v="2024-12-22T00:00:00"/>
    <d v="2025-11-05T00:00:00"/>
    <s v="H"/>
    <x v="1"/>
    <s v="ANGUS NEGRO"/>
    <x v="93"/>
    <s v="30-10-2020"/>
    <s v="Vivo"/>
    <x v="8"/>
    <s v="11.1.01.0190"/>
    <s v="11.1.01.0893"/>
    <x v="0"/>
    <d v="2021-03-19T00:00:00"/>
  </r>
  <r>
    <n v="19325277"/>
    <m/>
    <m/>
    <m/>
    <m/>
    <m/>
    <m/>
    <m/>
    <m/>
    <s v="H"/>
    <x v="1"/>
    <s v="POLLED HEREFORD"/>
    <x v="96"/>
    <s v="01-10-2019"/>
    <s v="Vivo"/>
    <x v="3"/>
    <s v="11.1.01.0599"/>
    <s v="11.1.01.0599"/>
    <x v="0"/>
    <m/>
  </r>
  <r>
    <n v="19327079"/>
    <m/>
    <m/>
    <m/>
    <m/>
    <m/>
    <m/>
    <m/>
    <m/>
    <s v="H"/>
    <x v="1"/>
    <s v="ANGUS ROJO"/>
    <x v="96"/>
    <s v="30-09-2019"/>
    <s v="Vivo"/>
    <x v="3"/>
    <s v="11.1.01.0742"/>
    <s v="11.4.02.0225"/>
    <x v="0"/>
    <m/>
  </r>
  <r>
    <n v="19657235"/>
    <m/>
    <m/>
    <m/>
    <m/>
    <m/>
    <m/>
    <d v="2024-12-22T00:00:00"/>
    <d v="2025-01-14T00:00:00"/>
    <s v="H"/>
    <x v="1"/>
    <s v="ANGUS NEGRO"/>
    <x v="95"/>
    <s v="15-10-2020"/>
    <s v="Vivo"/>
    <x v="0"/>
    <s v="11.1.01.1022"/>
    <s v="11.1.01.0255"/>
    <x v="0"/>
    <m/>
  </r>
  <r>
    <n v="19664941"/>
    <m/>
    <m/>
    <m/>
    <m/>
    <m/>
    <m/>
    <d v="2024-12-22T00:00:00"/>
    <d v="2025-11-04T00:00:00"/>
    <s v="H"/>
    <x v="1"/>
    <s v="ANGUS NEGRO"/>
    <x v="95"/>
    <s v="15-10-2020"/>
    <s v="Vivo"/>
    <x v="10"/>
    <s v="11.1.01.0190"/>
    <s v="11.1.01.0149"/>
    <x v="0"/>
    <m/>
  </r>
  <r>
    <n v="19776768"/>
    <m/>
    <m/>
    <m/>
    <m/>
    <m/>
    <m/>
    <m/>
    <m/>
    <s v="M"/>
    <x v="3"/>
    <s v="ANGUS NEGRO"/>
    <x v="93"/>
    <s v="20-10-2020"/>
    <s v="Vivo"/>
    <x v="0"/>
    <s v="11.1.01.1022"/>
    <s v="11.2.01.0251"/>
    <x v="0"/>
    <m/>
  </r>
  <r>
    <n v="19776808"/>
    <n v="2636157"/>
    <m/>
    <m/>
    <m/>
    <m/>
    <m/>
    <m/>
    <d v="2025-06-10T00:00:00"/>
    <s v="M"/>
    <x v="3"/>
    <s v="ANGUS NEGRO"/>
    <x v="93"/>
    <s v="20-10-2020"/>
    <s v="Vivo"/>
    <x v="4"/>
    <s v="11.1.01.1241"/>
    <s v="11.2.01.0251"/>
    <x v="0"/>
    <m/>
  </r>
  <r>
    <n v="19785423"/>
    <m/>
    <m/>
    <m/>
    <m/>
    <m/>
    <m/>
    <d v="2024-12-22T00:00:00"/>
    <d v="2025-01-14T00:00:00"/>
    <s v="H"/>
    <x v="1"/>
    <s v="ANGUS ROJO"/>
    <x v="95"/>
    <s v="30-09-2020"/>
    <s v="Vivo"/>
    <x v="0"/>
    <s v="11.1.01.1022"/>
    <s v="11.1.01.1125"/>
    <x v="0"/>
    <m/>
  </r>
  <r>
    <n v="19785769"/>
    <n v="2636173"/>
    <m/>
    <m/>
    <m/>
    <m/>
    <m/>
    <m/>
    <d v="2025-11-04T00:00:00"/>
    <s v="M"/>
    <x v="3"/>
    <s v="ANGUS NEGRO"/>
    <x v="113"/>
    <s v="15-09-2021"/>
    <s v="Vivo"/>
    <x v="8"/>
    <s v="11.1.01.0190"/>
    <s v="11.1.01.2408"/>
    <x v="2"/>
    <m/>
  </r>
  <r>
    <n v="19785784"/>
    <n v="2636164"/>
    <m/>
    <m/>
    <m/>
    <m/>
    <m/>
    <m/>
    <d v="2025-06-10T00:00:00"/>
    <s v="M"/>
    <x v="3"/>
    <s v="ANGUS NEGRO"/>
    <x v="113"/>
    <s v="15-09-2021"/>
    <s v="Vivo"/>
    <x v="0"/>
    <s v="11.1.01.2408"/>
    <s v="11.1.01.2408"/>
    <x v="2"/>
    <m/>
  </r>
  <r>
    <n v="19785789"/>
    <n v="2636168"/>
    <m/>
    <m/>
    <m/>
    <m/>
    <m/>
    <m/>
    <d v="2025-11-04T00:00:00"/>
    <s v="M"/>
    <x v="3"/>
    <s v="ANGUS NEGRO"/>
    <x v="113"/>
    <s v="15-09-2021"/>
    <s v="Vivo"/>
    <x v="8"/>
    <s v="11.1.01.0190"/>
    <s v="11.1.01.2408"/>
    <x v="2"/>
    <m/>
  </r>
  <r>
    <n v="19785804"/>
    <m/>
    <m/>
    <m/>
    <m/>
    <m/>
    <m/>
    <m/>
    <m/>
    <s v="M"/>
    <x v="3"/>
    <s v="ANGUS NEGRO"/>
    <x v="114"/>
    <s v="15-10-2022"/>
    <s v="Vivo"/>
    <x v="15"/>
    <s v="11.1.01.0893"/>
    <s v="11.1.01.2408"/>
    <x v="2"/>
    <m/>
  </r>
  <r>
    <n v="20005035"/>
    <n v="2636155"/>
    <m/>
    <m/>
    <m/>
    <m/>
    <m/>
    <m/>
    <m/>
    <s v="M"/>
    <x v="3"/>
    <s v="ANGUS NEGRO"/>
    <x v="107"/>
    <s v="15-12-2019"/>
    <s v="Vivo"/>
    <x v="0"/>
    <s v="11.1.01.1022"/>
    <s v="11.2.01.0251"/>
    <x v="0"/>
    <m/>
  </r>
  <r>
    <n v="20005435"/>
    <m/>
    <m/>
    <m/>
    <m/>
    <m/>
    <m/>
    <m/>
    <m/>
    <s v="M"/>
    <x v="3"/>
    <s v="ANGUS ROJO"/>
    <x v="115"/>
    <s v="10-10-2021"/>
    <s v="Vivo"/>
    <x v="0"/>
    <s v="11.1.01.1014"/>
    <s v="11.1.01.0713"/>
    <x v="0"/>
    <m/>
  </r>
  <r>
    <n v="20910001"/>
    <m/>
    <m/>
    <m/>
    <m/>
    <m/>
    <m/>
    <d v="2024-12-22T00:00:00"/>
    <d v="2025-11-04T00:00:00"/>
    <s v="H"/>
    <x v="1"/>
    <s v="ANGUS NEGRO"/>
    <x v="115"/>
    <s v="30-09-2021"/>
    <s v="Vivo"/>
    <x v="10"/>
    <s v="11.1.01.0190"/>
    <s v="11.1.01.1241"/>
    <x v="0"/>
    <d v="2021-10-11T00:00:00"/>
  </r>
  <r>
    <n v="20910003"/>
    <m/>
    <m/>
    <m/>
    <m/>
    <m/>
    <m/>
    <m/>
    <m/>
    <s v="M"/>
    <x v="3"/>
    <s v="HEREFORD"/>
    <x v="115"/>
    <s v="30-09-2021"/>
    <s v="Vivo"/>
    <x v="0"/>
    <s v="Sin Movimiento"/>
    <s v="11.1.01.1241"/>
    <x v="0"/>
    <d v="2021-10-11T00:00:00"/>
  </r>
  <r>
    <n v="20910008"/>
    <m/>
    <m/>
    <m/>
    <m/>
    <m/>
    <m/>
    <d v="2024-12-22T00:00:00"/>
    <d v="2025-01-14T00:00:00"/>
    <s v="H"/>
    <x v="1"/>
    <s v="ANGUS ROJO"/>
    <x v="115"/>
    <s v="05-10-2021"/>
    <s v="Vivo"/>
    <x v="0"/>
    <s v="11.2.01.0038"/>
    <s v="11.1.01.1241"/>
    <x v="0"/>
    <d v="2021-10-11T00:00:00"/>
  </r>
  <r>
    <n v="20910012"/>
    <m/>
    <m/>
    <m/>
    <m/>
    <m/>
    <m/>
    <m/>
    <m/>
    <s v="H"/>
    <x v="1"/>
    <s v="ANGUS NEGRO"/>
    <x v="115"/>
    <s v="30-09-2021"/>
    <s v="Vivo"/>
    <x v="2"/>
    <s v="11.2.01.0053"/>
    <s v="11.1.01.1241"/>
    <x v="0"/>
    <d v="2021-10-11T00:00:00"/>
  </r>
  <r>
    <n v="20910017"/>
    <m/>
    <m/>
    <m/>
    <m/>
    <m/>
    <m/>
    <d v="2024-12-22T00:00:00"/>
    <d v="2025-01-14T00:00:00"/>
    <s v="H"/>
    <x v="1"/>
    <s v="ANGUS ROJO"/>
    <x v="115"/>
    <s v="18-09-2021"/>
    <s v="Vivo"/>
    <x v="0"/>
    <s v="11.2.01.0038"/>
    <s v="11.1.01.1241"/>
    <x v="0"/>
    <d v="2021-10-11T00:00:00"/>
  </r>
  <r>
    <n v="20910018"/>
    <m/>
    <m/>
    <m/>
    <m/>
    <m/>
    <m/>
    <m/>
    <m/>
    <s v="H"/>
    <x v="1"/>
    <s v="ANGUS ROJO"/>
    <x v="115"/>
    <s v="30-09-2021"/>
    <s v="Vivo"/>
    <x v="5"/>
    <s v="11.1.01.0893"/>
    <s v="11.1.01.1241"/>
    <x v="0"/>
    <d v="2021-10-11T00:00:00"/>
  </r>
  <r>
    <n v="20910021"/>
    <m/>
    <m/>
    <m/>
    <m/>
    <m/>
    <m/>
    <d v="2024-12-22T00:00:00"/>
    <d v="2025-11-04T00:00:00"/>
    <s v="H"/>
    <x v="1"/>
    <s v="ANGUS NEGRO"/>
    <x v="115"/>
    <s v="09-10-2021"/>
    <s v="Vivo"/>
    <x v="8"/>
    <s v="11.1.01.0190"/>
    <s v="11.1.01.1241"/>
    <x v="0"/>
    <d v="2021-10-11T00:00:00"/>
  </r>
  <r>
    <n v="20910026"/>
    <m/>
    <m/>
    <m/>
    <m/>
    <m/>
    <m/>
    <m/>
    <m/>
    <s v="H"/>
    <x v="1"/>
    <s v="ANGUS ROJO"/>
    <x v="115"/>
    <s v="20-09-2021"/>
    <s v="Vivo"/>
    <x v="3"/>
    <s v="11.1.01.1241"/>
    <s v="11.1.01.1241"/>
    <x v="0"/>
    <d v="2021-10-11T00:00:00"/>
  </r>
  <r>
    <n v="20910031"/>
    <m/>
    <m/>
    <m/>
    <m/>
    <m/>
    <m/>
    <m/>
    <m/>
    <s v="H"/>
    <x v="1"/>
    <s v="ANGUS ROJO"/>
    <x v="115"/>
    <s v="30-09-2021"/>
    <s v="Vivo"/>
    <x v="5"/>
    <s v="11.1.01.0893"/>
    <s v="11.1.01.1241"/>
    <x v="0"/>
    <d v="2021-10-11T00:00:00"/>
  </r>
  <r>
    <n v="20910039"/>
    <m/>
    <m/>
    <m/>
    <m/>
    <m/>
    <m/>
    <d v="2024-12-22T00:00:00"/>
    <d v="2025-01-14T00:00:00"/>
    <s v="H"/>
    <x v="1"/>
    <s v="ANGUS NEGRO"/>
    <x v="115"/>
    <s v="30-09-2021"/>
    <s v="Vivo"/>
    <x v="0"/>
    <s v="11.1.01.1022"/>
    <s v="11.1.01.1241"/>
    <x v="0"/>
    <d v="2021-10-11T00:00:00"/>
  </r>
  <r>
    <n v="20910044"/>
    <m/>
    <m/>
    <m/>
    <m/>
    <m/>
    <m/>
    <m/>
    <m/>
    <s v="M"/>
    <x v="3"/>
    <s v="ANGUS NEGRO"/>
    <x v="115"/>
    <s v="20-09-2021"/>
    <s v="Vivo"/>
    <x v="0"/>
    <s v="Sin Movimiento"/>
    <s v="11.1.01.1241"/>
    <x v="0"/>
    <d v="2021-10-11T00:00:00"/>
  </r>
  <r>
    <n v="20910049"/>
    <m/>
    <m/>
    <m/>
    <m/>
    <m/>
    <m/>
    <d v="2024-12-22T00:00:00"/>
    <d v="2025-01-14T00:00:00"/>
    <s v="H"/>
    <x v="1"/>
    <s v="ANGUS NEGRO"/>
    <x v="115"/>
    <s v="05-10-2021"/>
    <s v="Vivo"/>
    <x v="0"/>
    <s v="11.1.01.1022"/>
    <s v="11.1.01.1241"/>
    <x v="0"/>
    <d v="2021-10-11T00:00:00"/>
  </r>
  <r>
    <n v="20910059"/>
    <m/>
    <m/>
    <m/>
    <m/>
    <m/>
    <m/>
    <m/>
    <m/>
    <s v="M"/>
    <x v="3"/>
    <s v="ANGUS ROJO"/>
    <x v="115"/>
    <s v="30-09-2021"/>
    <s v="Vivo"/>
    <x v="0"/>
    <s v="Sin Movimiento"/>
    <s v="11.1.01.1241"/>
    <x v="0"/>
    <m/>
  </r>
  <r>
    <n v="20910062"/>
    <m/>
    <m/>
    <m/>
    <m/>
    <m/>
    <m/>
    <m/>
    <m/>
    <s v="H"/>
    <x v="1"/>
    <s v="ANGUS NEGRO"/>
    <x v="115"/>
    <s v="19-09-2021"/>
    <s v="Vivo"/>
    <x v="3"/>
    <s v="11.1.01.1241"/>
    <s v="11.1.01.1241"/>
    <x v="0"/>
    <m/>
  </r>
  <r>
    <n v="20910066"/>
    <m/>
    <m/>
    <m/>
    <m/>
    <m/>
    <m/>
    <d v="2024-12-22T00:00:00"/>
    <d v="2025-01-14T00:00:00"/>
    <s v="H"/>
    <x v="1"/>
    <s v="ANGUS NEGRO"/>
    <x v="115"/>
    <s v="10-10-2021"/>
    <s v="Vivo"/>
    <x v="0"/>
    <s v="11.1.01.1022"/>
    <s v="11.1.01.1241"/>
    <x v="0"/>
    <m/>
  </r>
  <r>
    <n v="20910072"/>
    <m/>
    <m/>
    <m/>
    <m/>
    <m/>
    <m/>
    <d v="2024-12-22T00:00:00"/>
    <d v="2025-11-04T00:00:00"/>
    <s v="H"/>
    <x v="1"/>
    <s v="ANGUS NEGRO"/>
    <x v="115"/>
    <s v="05-10-2021"/>
    <s v="Vivo"/>
    <x v="0"/>
    <s v="11.2.01.0038"/>
    <s v="11.1.01.1241"/>
    <x v="0"/>
    <m/>
  </r>
  <r>
    <n v="20910073"/>
    <m/>
    <m/>
    <m/>
    <m/>
    <m/>
    <m/>
    <d v="2024-12-22T00:00:00"/>
    <d v="2025-01-14T00:00:00"/>
    <s v="H"/>
    <x v="1"/>
    <s v="ANGUS NEGRO"/>
    <x v="115"/>
    <s v="30-09-2021"/>
    <s v="Vivo"/>
    <x v="0"/>
    <s v="11.2.01.0038"/>
    <s v="11.1.01.1241"/>
    <x v="0"/>
    <m/>
  </r>
  <r>
    <n v="20910074"/>
    <m/>
    <m/>
    <m/>
    <m/>
    <m/>
    <m/>
    <d v="2024-12-22T00:00:00"/>
    <d v="2025-11-04T00:00:00"/>
    <s v="H"/>
    <x v="1"/>
    <s v="ANGUS NEGRO"/>
    <x v="115"/>
    <s v="30-09-2021"/>
    <s v="Vivo"/>
    <x v="0"/>
    <s v="11.2.01.0038"/>
    <s v="11.1.01.1241"/>
    <x v="0"/>
    <m/>
  </r>
  <r>
    <n v="20910075"/>
    <m/>
    <m/>
    <m/>
    <m/>
    <m/>
    <m/>
    <m/>
    <m/>
    <s v="H"/>
    <x v="1"/>
    <s v="ANGUS ROJO"/>
    <x v="115"/>
    <s v="30-09-2021"/>
    <s v="Vivo"/>
    <x v="5"/>
    <s v="11.1.01.0893"/>
    <s v="11.1.01.1241"/>
    <x v="0"/>
    <m/>
  </r>
  <r>
    <n v="20910076"/>
    <m/>
    <m/>
    <m/>
    <m/>
    <m/>
    <m/>
    <d v="2024-12-22T00:00:00"/>
    <d v="2025-11-04T00:00:00"/>
    <s v="H"/>
    <x v="1"/>
    <s v="ANGUS ROJO"/>
    <x v="115"/>
    <s v="10-10-2021"/>
    <s v="Vivo"/>
    <x v="0"/>
    <s v="11.2.01.0038"/>
    <s v="11.1.01.1241"/>
    <x v="0"/>
    <m/>
  </r>
  <r>
    <n v="20910080"/>
    <m/>
    <m/>
    <m/>
    <m/>
    <m/>
    <m/>
    <d v="2024-12-22T00:00:00"/>
    <d v="2025-11-05T00:00:00"/>
    <s v="H"/>
    <x v="1"/>
    <s v="ANGUS NEGRO"/>
    <x v="115"/>
    <s v="10-10-2021"/>
    <s v="Vivo"/>
    <x v="8"/>
    <s v="11.1.01.0190"/>
    <s v="11.1.01.1241"/>
    <x v="0"/>
    <m/>
  </r>
  <r>
    <n v="20910125"/>
    <m/>
    <m/>
    <m/>
    <m/>
    <m/>
    <m/>
    <m/>
    <m/>
    <s v="H"/>
    <x v="1"/>
    <s v="ANGUS NEGRO"/>
    <x v="115"/>
    <s v="05-10-2021"/>
    <s v="Vivo"/>
    <x v="0"/>
    <s v="11.2.01.0038"/>
    <s v="11.1.01.0893"/>
    <x v="0"/>
    <d v="2021-10-22T00:00:00"/>
  </r>
  <r>
    <n v="20910129"/>
    <m/>
    <m/>
    <m/>
    <m/>
    <m/>
    <m/>
    <m/>
    <m/>
    <s v="H"/>
    <x v="1"/>
    <s v="ANGUS NEGRO"/>
    <x v="116"/>
    <s v="18-10-2021"/>
    <s v="Vivo"/>
    <x v="4"/>
    <s v="11.1.01.0893"/>
    <s v="11.1.01.0893"/>
    <x v="0"/>
    <d v="2021-10-22T00:00:00"/>
  </r>
  <r>
    <n v="20910131"/>
    <m/>
    <m/>
    <m/>
    <m/>
    <m/>
    <m/>
    <d v="2024-12-22T00:00:00"/>
    <d v="2025-11-04T00:00:00"/>
    <s v="H"/>
    <x v="1"/>
    <s v="ANGUS NEGRO"/>
    <x v="115"/>
    <s v="30-09-2021"/>
    <s v="Vivo"/>
    <x v="10"/>
    <s v="11.1.01.0190"/>
    <s v="11.1.01.0893"/>
    <x v="0"/>
    <d v="2021-10-22T00:00:00"/>
  </r>
  <r>
    <n v="20910142"/>
    <m/>
    <m/>
    <m/>
    <m/>
    <m/>
    <m/>
    <d v="2024-12-22T00:00:00"/>
    <d v="2025-01-14T00:00:00"/>
    <s v="H"/>
    <x v="1"/>
    <s v="ANGUS NEGRO"/>
    <x v="115"/>
    <s v="30-09-2021"/>
    <s v="Vivo"/>
    <x v="0"/>
    <s v="11.1.01.1022"/>
    <s v="11.1.01.0893"/>
    <x v="0"/>
    <d v="2021-10-22T00:00:00"/>
  </r>
  <r>
    <n v="20910148"/>
    <m/>
    <m/>
    <m/>
    <m/>
    <m/>
    <m/>
    <d v="2024-12-22T00:00:00"/>
    <d v="2025-01-14T00:00:00"/>
    <s v="H"/>
    <x v="1"/>
    <s v="ANGUS NEGRO"/>
    <x v="115"/>
    <s v="30-09-2021"/>
    <s v="Vivo"/>
    <x v="0"/>
    <s v="11.1.01.1022"/>
    <s v="11.1.01.0893"/>
    <x v="0"/>
    <d v="2021-10-22T00:00:00"/>
  </r>
  <r>
    <n v="20910155"/>
    <m/>
    <m/>
    <m/>
    <m/>
    <m/>
    <m/>
    <m/>
    <m/>
    <s v="M"/>
    <x v="3"/>
    <s v="ANGUS NEGRO"/>
    <x v="113"/>
    <s v="10-09-2021"/>
    <s v="Vivo"/>
    <x v="3"/>
    <s v="Sin Movimiento"/>
    <s v="11.1.01.0893"/>
    <x v="0"/>
    <d v="2021-10-22T00:00:00"/>
  </r>
  <r>
    <n v="20910163"/>
    <m/>
    <m/>
    <m/>
    <m/>
    <m/>
    <m/>
    <m/>
    <m/>
    <s v="M"/>
    <x v="3"/>
    <s v="ANGUS NEGRO"/>
    <x v="115"/>
    <s v="30-09-2021"/>
    <s v="Vivo"/>
    <x v="3"/>
    <s v="Sin Movimiento"/>
    <s v="11.1.01.0893"/>
    <x v="0"/>
    <d v="2021-10-22T00:00:00"/>
  </r>
  <r>
    <n v="20910167"/>
    <m/>
    <m/>
    <m/>
    <m/>
    <m/>
    <m/>
    <d v="2024-12-22T00:00:00"/>
    <d v="2025-01-14T00:00:00"/>
    <s v="H"/>
    <x v="1"/>
    <s v="ANGUS NEGRO"/>
    <x v="115"/>
    <s v="30-09-2021"/>
    <s v="Muerto"/>
    <x v="16"/>
    <s v="11.1.01.0948"/>
    <s v="11.1.01.0893"/>
    <x v="0"/>
    <d v="2021-10-22T00:00:00"/>
  </r>
  <r>
    <n v="20910172"/>
    <m/>
    <m/>
    <m/>
    <m/>
    <m/>
    <m/>
    <m/>
    <m/>
    <s v="H"/>
    <x v="1"/>
    <s v="ANGUS NEGRO"/>
    <x v="115"/>
    <s v="05-10-2021"/>
    <s v="Vivo"/>
    <x v="3"/>
    <s v="Sin Movimiento"/>
    <s v="11.1.01.0893"/>
    <x v="0"/>
    <d v="2021-10-22T00:00:00"/>
  </r>
  <r>
    <n v="20910190"/>
    <m/>
    <m/>
    <m/>
    <m/>
    <m/>
    <m/>
    <d v="2024-12-22T00:00:00"/>
    <d v="2025-01-14T00:00:00"/>
    <s v="no existe"/>
    <x v="2"/>
    <s v="no existe"/>
    <x v="4"/>
    <s v="no existe"/>
    <s v="no existe"/>
    <x v="1"/>
    <s v="no existe"/>
    <s v="no existe"/>
    <x v="1"/>
    <d v="2021-10-22T00:00:00"/>
  </r>
  <r>
    <n v="20910191"/>
    <m/>
    <m/>
    <m/>
    <m/>
    <m/>
    <m/>
    <d v="2024-12-22T00:00:00"/>
    <d v="2025-01-14T00:00:00"/>
    <s v="H"/>
    <x v="1"/>
    <s v="ANGUS NEGRO"/>
    <x v="115"/>
    <s v="15-10-2021"/>
    <s v="Vivo"/>
    <x v="0"/>
    <s v="11.2.01.0038"/>
    <s v="11.1.01.0893"/>
    <x v="0"/>
    <d v="2021-10-22T00:00:00"/>
  </r>
  <r>
    <n v="20910193"/>
    <m/>
    <m/>
    <m/>
    <m/>
    <m/>
    <m/>
    <d v="2024-12-22T00:00:00"/>
    <d v="2025-01-14T00:00:00"/>
    <s v="H"/>
    <x v="1"/>
    <s v="ANGUS NEGRO"/>
    <x v="115"/>
    <s v="15-10-2021"/>
    <s v="Vivo"/>
    <x v="0"/>
    <s v="11.1.01.1022"/>
    <s v="11.1.01.0893"/>
    <x v="0"/>
    <d v="2021-10-22T00:00:00"/>
  </r>
  <r>
    <n v="20910198"/>
    <m/>
    <m/>
    <m/>
    <m/>
    <m/>
    <m/>
    <d v="2024-12-22T00:00:00"/>
    <d v="2025-01-14T00:00:00"/>
    <s v="H"/>
    <x v="1"/>
    <s v="ANGUS ROJO"/>
    <x v="113"/>
    <s v="30-08-2021"/>
    <s v="Vivo"/>
    <x v="0"/>
    <s v="11.2.01.0038"/>
    <s v="11.1.01.0893"/>
    <x v="0"/>
    <d v="2021-10-22T00:00:00"/>
  </r>
  <r>
    <n v="20910201"/>
    <m/>
    <m/>
    <m/>
    <m/>
    <m/>
    <m/>
    <d v="2024-12-22T00:00:00"/>
    <d v="2025-01-14T00:00:00"/>
    <s v="H"/>
    <x v="1"/>
    <s v="ANGUS NEGRO"/>
    <x v="113"/>
    <s v="10-09-2021"/>
    <s v="Vivo"/>
    <x v="0"/>
    <s v="11.1.01.1022"/>
    <s v="11.1.01.0893"/>
    <x v="0"/>
    <d v="2021-10-22T00:00:00"/>
  </r>
  <r>
    <n v="20910205"/>
    <m/>
    <m/>
    <m/>
    <m/>
    <m/>
    <m/>
    <m/>
    <m/>
    <s v="M"/>
    <x v="3"/>
    <s v="ANGUS ROJO"/>
    <x v="115"/>
    <s v="15-10-2021"/>
    <s v="Vivo"/>
    <x v="0"/>
    <s v="11.1.01.0893"/>
    <s v="11.1.01.0893"/>
    <x v="0"/>
    <d v="2021-10-22T00:00:00"/>
  </r>
  <r>
    <n v="20910206"/>
    <m/>
    <m/>
    <m/>
    <m/>
    <m/>
    <m/>
    <d v="2024-12-22T00:00:00"/>
    <d v="2025-11-04T00:00:00"/>
    <s v="H"/>
    <x v="1"/>
    <s v="ANGUS NEGRO"/>
    <x v="115"/>
    <s v="25-09-2021"/>
    <s v="Vivo"/>
    <x v="0"/>
    <s v="11.2.01.0038"/>
    <s v="11.1.01.0893"/>
    <x v="0"/>
    <d v="2021-10-22T00:00:00"/>
  </r>
  <r>
    <n v="20910208"/>
    <m/>
    <m/>
    <m/>
    <m/>
    <m/>
    <m/>
    <d v="2024-12-22T00:00:00"/>
    <d v="2025-11-05T00:00:00"/>
    <s v="H"/>
    <x v="1"/>
    <s v="ANGUS ROJO"/>
    <x v="113"/>
    <s v="10-09-2021"/>
    <s v="Vivo"/>
    <x v="8"/>
    <s v="11.1.01.0190"/>
    <s v="11.1.01.0893"/>
    <x v="0"/>
    <d v="2021-10-22T00:00:00"/>
  </r>
  <r>
    <n v="20910210"/>
    <m/>
    <m/>
    <m/>
    <m/>
    <m/>
    <m/>
    <d v="2024-12-22T00:00:00"/>
    <d v="2025-01-14T00:00:00"/>
    <s v="H"/>
    <x v="1"/>
    <s v="ANGUS NEGRO"/>
    <x v="115"/>
    <s v="30-09-2021"/>
    <s v="Vivo"/>
    <x v="0"/>
    <s v="11.1.01.1022"/>
    <s v="11.1.01.0893"/>
    <x v="0"/>
    <d v="2021-10-22T00:00:00"/>
  </r>
  <r>
    <n v="20910215"/>
    <m/>
    <m/>
    <m/>
    <m/>
    <m/>
    <m/>
    <m/>
    <m/>
    <s v="H"/>
    <x v="1"/>
    <s v="ANGUS ROJO"/>
    <x v="113"/>
    <s v="26-08-2021"/>
    <s v="Vivo"/>
    <x v="4"/>
    <s v="11.1.01.0893"/>
    <s v="11.1.01.0893"/>
    <x v="0"/>
    <d v="2021-10-22T00:00:00"/>
  </r>
  <r>
    <n v="20910217"/>
    <m/>
    <m/>
    <m/>
    <m/>
    <m/>
    <m/>
    <d v="2024-12-22T00:00:00"/>
    <d v="2025-01-14T00:00:00"/>
    <s v="H"/>
    <x v="1"/>
    <s v="ANGUS NEGRO"/>
    <x v="113"/>
    <s v="15-09-2021"/>
    <s v="Vivo"/>
    <x v="0"/>
    <s v="11.1.01.1022"/>
    <s v="11.1.01.0893"/>
    <x v="0"/>
    <d v="2021-10-22T00:00:00"/>
  </r>
  <r>
    <n v="20910219"/>
    <m/>
    <m/>
    <m/>
    <m/>
    <m/>
    <m/>
    <m/>
    <m/>
    <s v="H"/>
    <x v="1"/>
    <s v="ANGUS NEGRO"/>
    <x v="115"/>
    <s v="05-10-2021"/>
    <s v="Vivo"/>
    <x v="4"/>
    <s v="11.1.01.0893"/>
    <s v="11.1.01.0893"/>
    <x v="0"/>
    <d v="2021-10-22T00:00:00"/>
  </r>
  <r>
    <n v="20910223"/>
    <m/>
    <m/>
    <m/>
    <m/>
    <m/>
    <m/>
    <m/>
    <m/>
    <s v="H"/>
    <x v="1"/>
    <s v="OVERO COLORADO (CLAVEL ALEMAN)"/>
    <x v="115"/>
    <s v="05-10-2021"/>
    <s v="Vivo"/>
    <x v="3"/>
    <s v="Sin Movimiento"/>
    <s v="11.1.01.0893"/>
    <x v="0"/>
    <d v="2021-10-22T00:00:00"/>
  </r>
  <r>
    <n v="20910224"/>
    <m/>
    <m/>
    <m/>
    <m/>
    <m/>
    <m/>
    <d v="2024-12-22T00:00:00"/>
    <d v="2025-01-14T00:00:00"/>
    <s v="H"/>
    <x v="1"/>
    <s v="ANGUS NEGRO"/>
    <x v="113"/>
    <s v="15-09-2021"/>
    <s v="Vivo"/>
    <x v="0"/>
    <s v="11.1.01.1022"/>
    <s v="11.1.01.0893"/>
    <x v="0"/>
    <d v="2021-10-22T00:00:00"/>
  </r>
  <r>
    <n v="20910226"/>
    <m/>
    <m/>
    <m/>
    <m/>
    <m/>
    <m/>
    <d v="2024-12-22T00:00:00"/>
    <d v="2025-01-14T00:00:00"/>
    <s v="H"/>
    <x v="1"/>
    <s v="ANGUS ROJO"/>
    <x v="115"/>
    <s v="05-10-2021"/>
    <s v="Vivo"/>
    <x v="0"/>
    <s v="11.2.01.0038"/>
    <s v="11.1.01.0893"/>
    <x v="0"/>
    <d v="2021-10-22T00:00:00"/>
  </r>
  <r>
    <n v="20910227"/>
    <m/>
    <m/>
    <m/>
    <m/>
    <m/>
    <m/>
    <m/>
    <m/>
    <s v="H"/>
    <x v="1"/>
    <s v="ANGUS NEGRO"/>
    <x v="113"/>
    <s v="10-09-2021"/>
    <s v="Vivo"/>
    <x v="5"/>
    <s v="11.1.01.0893"/>
    <s v="11.1.01.0893"/>
    <x v="0"/>
    <d v="2021-10-22T00:00:00"/>
  </r>
  <r>
    <n v="20910228"/>
    <m/>
    <m/>
    <m/>
    <m/>
    <m/>
    <m/>
    <d v="2024-12-22T00:00:00"/>
    <d v="2025-11-04T00:00:00"/>
    <s v="H"/>
    <x v="1"/>
    <s v="ANGUS NEGRO"/>
    <x v="113"/>
    <s v="10-09-2021"/>
    <s v="Vivo"/>
    <x v="0"/>
    <s v="11.2.01.0038"/>
    <s v="11.1.01.0893"/>
    <x v="0"/>
    <d v="2021-10-22T00:00:00"/>
  </r>
  <r>
    <n v="20910234"/>
    <m/>
    <m/>
    <m/>
    <m/>
    <m/>
    <m/>
    <d v="2024-12-22T00:00:00"/>
    <d v="2025-11-04T00:00:00"/>
    <s v="H"/>
    <x v="1"/>
    <s v="ANGUS NEGRO"/>
    <x v="115"/>
    <s v="10-10-2021"/>
    <s v="Vivo"/>
    <x v="10"/>
    <s v="11.1.01.0190"/>
    <s v="11.1.01.0893"/>
    <x v="0"/>
    <d v="2021-10-22T00:00:00"/>
  </r>
  <r>
    <n v="20910235"/>
    <m/>
    <m/>
    <m/>
    <m/>
    <m/>
    <m/>
    <d v="2024-12-22T00:00:00"/>
    <d v="2025-11-05T00:00:00"/>
    <s v="H"/>
    <x v="1"/>
    <s v="ANGUS NEGRO"/>
    <x v="115"/>
    <s v="30-09-2021"/>
    <s v="Vivo"/>
    <x v="8"/>
    <s v="11.1.01.0190"/>
    <s v="11.1.01.0893"/>
    <x v="0"/>
    <d v="2021-10-22T00:00:00"/>
  </r>
  <r>
    <n v="20910236"/>
    <m/>
    <m/>
    <m/>
    <m/>
    <m/>
    <m/>
    <d v="2024-12-22T00:00:00"/>
    <d v="2025-01-14T00:00:00"/>
    <s v="H"/>
    <x v="1"/>
    <s v="ANGUS NEGRO"/>
    <x v="113"/>
    <s v="15-09-2021"/>
    <s v="Vivo"/>
    <x v="0"/>
    <s v="11.2.01.0038"/>
    <s v="11.1.01.0893"/>
    <x v="0"/>
    <d v="2021-10-22T00:00:00"/>
  </r>
  <r>
    <n v="20910238"/>
    <m/>
    <m/>
    <m/>
    <m/>
    <m/>
    <m/>
    <d v="2024-12-22T00:00:00"/>
    <d v="2025-11-04T00:00:00"/>
    <s v="H"/>
    <x v="1"/>
    <s v="ANGUS NEGRO"/>
    <x v="115"/>
    <s v="30-09-2021"/>
    <s v="Vivo"/>
    <x v="8"/>
    <s v="11.1.01.0190"/>
    <s v="11.1.01.0893"/>
    <x v="0"/>
    <d v="2021-10-22T00:00:00"/>
  </r>
  <r>
    <n v="20910241"/>
    <m/>
    <m/>
    <m/>
    <m/>
    <m/>
    <m/>
    <m/>
    <m/>
    <s v="H"/>
    <x v="1"/>
    <s v="ANGUS NEGRO"/>
    <x v="115"/>
    <s v="30-09-2021"/>
    <s v="Vivo"/>
    <x v="4"/>
    <s v="11.1.01.0893"/>
    <s v="11.1.01.0893"/>
    <x v="0"/>
    <d v="2021-10-22T00:00:00"/>
  </r>
  <r>
    <n v="20910242"/>
    <m/>
    <m/>
    <m/>
    <m/>
    <m/>
    <m/>
    <d v="2024-12-22T00:00:00"/>
    <d v="2025-11-04T00:00:00"/>
    <s v="H"/>
    <x v="1"/>
    <s v="ANGUS NEGRO"/>
    <x v="115"/>
    <s v="30-09-2021"/>
    <s v="Vivo"/>
    <x v="10"/>
    <s v="11.1.01.0190"/>
    <s v="11.1.01.0893"/>
    <x v="0"/>
    <d v="2021-10-22T00:00:00"/>
  </r>
  <r>
    <n v="20910254"/>
    <m/>
    <m/>
    <m/>
    <m/>
    <m/>
    <m/>
    <m/>
    <m/>
    <s v="H"/>
    <x v="1"/>
    <s v="ANGUS NEGRO"/>
    <x v="115"/>
    <s v="30-09-2021"/>
    <s v="Vivo"/>
    <x v="0"/>
    <s v="11.1.01.1022"/>
    <s v="11.1.01.0893"/>
    <x v="0"/>
    <d v="2021-10-22T00:00:00"/>
  </r>
  <r>
    <n v="20910255"/>
    <m/>
    <m/>
    <m/>
    <m/>
    <m/>
    <m/>
    <d v="2024-12-22T00:00:00"/>
    <d v="2025-01-14T00:00:00"/>
    <s v="H"/>
    <x v="1"/>
    <s v="ANGUS NEGRO"/>
    <x v="115"/>
    <s v="30-09-2021"/>
    <s v="Vivo"/>
    <x v="8"/>
    <s v="11.1.01.0190"/>
    <s v="11.1.01.0893"/>
    <x v="0"/>
    <d v="2021-10-22T00:00:00"/>
  </r>
  <r>
    <n v="20910257"/>
    <m/>
    <m/>
    <m/>
    <m/>
    <m/>
    <m/>
    <m/>
    <m/>
    <s v="H"/>
    <x v="1"/>
    <s v="ANGUS NEGRO"/>
    <x v="113"/>
    <s v="11-09-2021"/>
    <s v="Vivo"/>
    <x v="4"/>
    <s v="11.1.01.0893"/>
    <s v="11.1.01.0893"/>
    <x v="0"/>
    <m/>
  </r>
  <r>
    <n v="20910258"/>
    <m/>
    <m/>
    <m/>
    <m/>
    <m/>
    <m/>
    <d v="2024-12-22T00:00:00"/>
    <d v="2025-01-14T00:00:00"/>
    <s v="H"/>
    <x v="1"/>
    <s v="ANGUS NEGRO"/>
    <x v="113"/>
    <s v="11-09-2021"/>
    <s v="Vivo"/>
    <x v="0"/>
    <s v="11.1.01.1022"/>
    <s v="11.1.01.0893"/>
    <x v="0"/>
    <m/>
  </r>
  <r>
    <n v="20910259"/>
    <m/>
    <m/>
    <m/>
    <m/>
    <m/>
    <m/>
    <d v="2024-12-22T00:00:00"/>
    <d v="2025-11-04T00:00:00"/>
    <s v="H"/>
    <x v="1"/>
    <s v="ANGUS NEGRO"/>
    <x v="115"/>
    <s v="30-09-2021"/>
    <s v="Vivo"/>
    <x v="8"/>
    <s v="11.1.01.0190"/>
    <s v="11.1.01.0893"/>
    <x v="0"/>
    <m/>
  </r>
  <r>
    <n v="20910260"/>
    <m/>
    <m/>
    <m/>
    <m/>
    <m/>
    <m/>
    <m/>
    <m/>
    <s v="H"/>
    <x v="1"/>
    <s v="HEREFORD"/>
    <x v="113"/>
    <s v="11-09-2021"/>
    <s v="Vivo"/>
    <x v="0"/>
    <s v="11.1.01.1022"/>
    <s v="11.1.01.0893"/>
    <x v="0"/>
    <m/>
  </r>
  <r>
    <n v="20910267"/>
    <m/>
    <m/>
    <m/>
    <m/>
    <m/>
    <m/>
    <m/>
    <m/>
    <s v="H"/>
    <x v="1"/>
    <s v="ANGUS NEGRO"/>
    <x v="115"/>
    <s v="30-09-2021"/>
    <s v="Vivo"/>
    <x v="8"/>
    <s v="11.1.01.0893"/>
    <s v="11.1.01.0893"/>
    <x v="0"/>
    <m/>
  </r>
  <r>
    <n v="20910271"/>
    <m/>
    <m/>
    <m/>
    <m/>
    <m/>
    <m/>
    <d v="2024-12-22T00:00:00"/>
    <d v="2025-11-04T00:00:00"/>
    <s v="M"/>
    <x v="3"/>
    <s v="ANGUS NEGRO"/>
    <x v="116"/>
    <s v="20-10-2021"/>
    <s v="Vivo"/>
    <x v="8"/>
    <s v="11.1.01.0190"/>
    <s v="11.1.01.0893"/>
    <x v="0"/>
    <m/>
  </r>
  <r>
    <n v="20910272"/>
    <m/>
    <m/>
    <m/>
    <m/>
    <m/>
    <m/>
    <d v="2024-12-22T00:00:00"/>
    <d v="2025-11-05T00:00:00"/>
    <s v="H"/>
    <x v="1"/>
    <s v="ANGUS ROJO"/>
    <x v="113"/>
    <s v="10-09-2021"/>
    <s v="Vivo"/>
    <x v="8"/>
    <s v="11.1.01.0190"/>
    <s v="11.1.01.0893"/>
    <x v="0"/>
    <m/>
  </r>
  <r>
    <n v="20910276"/>
    <m/>
    <m/>
    <m/>
    <m/>
    <m/>
    <m/>
    <d v="2024-12-22T00:00:00"/>
    <d v="2025-01-14T00:00:00"/>
    <s v="H"/>
    <x v="1"/>
    <s v="ANGUS NEGRO"/>
    <x v="115"/>
    <s v="30-09-2021"/>
    <s v="Vivo"/>
    <x v="0"/>
    <s v="11.1.01.1022"/>
    <s v="11.1.01.0893"/>
    <x v="0"/>
    <m/>
  </r>
  <r>
    <n v="20910281"/>
    <m/>
    <m/>
    <m/>
    <m/>
    <m/>
    <m/>
    <d v="2024-12-22T00:00:00"/>
    <d v="2025-11-04T00:00:00"/>
    <s v="H"/>
    <x v="1"/>
    <s v="ANGUS ROJO"/>
    <x v="115"/>
    <s v="30-09-2021"/>
    <s v="Vivo"/>
    <x v="7"/>
    <s v="11.1.01.1241"/>
    <s v="11.1.01.0893"/>
    <x v="0"/>
    <m/>
  </r>
  <r>
    <n v="20910288"/>
    <m/>
    <m/>
    <m/>
    <m/>
    <m/>
    <m/>
    <d v="2024-12-22T00:00:00"/>
    <d v="2025-01-14T00:00:00"/>
    <s v="H"/>
    <x v="1"/>
    <s v="ANGUS NEGRO"/>
    <x v="113"/>
    <s v="11-09-2021"/>
    <s v="Vivo"/>
    <x v="0"/>
    <s v="11.1.01.1022"/>
    <s v="11.1.01.0893"/>
    <x v="0"/>
    <m/>
  </r>
  <r>
    <n v="20910291"/>
    <m/>
    <m/>
    <m/>
    <m/>
    <m/>
    <m/>
    <d v="2024-12-22T00:00:00"/>
    <d v="2025-11-04T00:00:00"/>
    <s v="H"/>
    <x v="1"/>
    <s v="ANGUS NEGRO"/>
    <x v="115"/>
    <s v="05-10-2021"/>
    <s v="Vivo"/>
    <x v="10"/>
    <s v="11.1.01.0190"/>
    <s v="11.1.01.0893"/>
    <x v="0"/>
    <m/>
  </r>
  <r>
    <n v="20910302"/>
    <m/>
    <m/>
    <m/>
    <m/>
    <m/>
    <m/>
    <d v="2024-12-22T00:00:00"/>
    <d v="2025-01-14T00:00:00"/>
    <s v="H"/>
    <x v="1"/>
    <s v="ANGUS ROJO"/>
    <x v="115"/>
    <s v="30-09-2021"/>
    <s v="Vivo"/>
    <x v="0"/>
    <s v="11.2.01.0038"/>
    <s v="11.1.01.0893"/>
    <x v="0"/>
    <m/>
  </r>
  <r>
    <n v="20910304"/>
    <m/>
    <m/>
    <m/>
    <m/>
    <m/>
    <m/>
    <d v="2024-12-22T00:00:00"/>
    <d v="2025-01-14T00:00:00"/>
    <s v="H"/>
    <x v="1"/>
    <s v="ANGUS NEGRO"/>
    <x v="113"/>
    <s v="11-09-2021"/>
    <s v="Vivo"/>
    <x v="0"/>
    <s v="11.1.01.1022"/>
    <s v="11.1.01.0893"/>
    <x v="0"/>
    <m/>
  </r>
  <r>
    <n v="20910307"/>
    <m/>
    <m/>
    <m/>
    <m/>
    <m/>
    <m/>
    <d v="2024-12-22T00:00:00"/>
    <d v="2025-11-04T00:00:00"/>
    <s v="H"/>
    <x v="1"/>
    <s v="ANGUS NEGRO"/>
    <x v="115"/>
    <s v="30-09-2021"/>
    <s v="Vivo"/>
    <x v="8"/>
    <s v="11.1.01.0190"/>
    <s v="11.1.01.0893"/>
    <x v="0"/>
    <m/>
  </r>
  <r>
    <n v="20910308"/>
    <m/>
    <m/>
    <m/>
    <m/>
    <m/>
    <m/>
    <d v="2024-12-22T00:00:00"/>
    <d v="2025-11-05T00:00:00"/>
    <s v="H"/>
    <x v="1"/>
    <s v="ANGUS ROJO"/>
    <x v="115"/>
    <s v="05-10-2021"/>
    <s v="Vivo"/>
    <x v="8"/>
    <s v="11.1.01.0190"/>
    <s v="11.1.01.0893"/>
    <x v="0"/>
    <m/>
  </r>
  <r>
    <n v="20910311"/>
    <m/>
    <m/>
    <m/>
    <m/>
    <m/>
    <m/>
    <d v="2024-12-22T00:00:00"/>
    <d v="2025-11-04T00:00:00"/>
    <s v="H"/>
    <x v="1"/>
    <s v="ANGUS NEGRO"/>
    <x v="115"/>
    <s v="30-09-2021"/>
    <s v="Vivo"/>
    <x v="10"/>
    <s v="11.1.01.0190"/>
    <s v="11.1.01.0893"/>
    <x v="0"/>
    <m/>
  </r>
  <r>
    <n v="20910312"/>
    <m/>
    <m/>
    <m/>
    <m/>
    <m/>
    <m/>
    <d v="2024-12-22T00:00:00"/>
    <d v="2025-11-05T00:00:00"/>
    <s v="H"/>
    <x v="1"/>
    <s v="ANGUS NEGRO"/>
    <x v="115"/>
    <s v="30-09-2021"/>
    <s v="Vivo"/>
    <x v="8"/>
    <s v="11.1.01.0190"/>
    <s v="11.1.01.0893"/>
    <x v="0"/>
    <m/>
  </r>
  <r>
    <n v="20910315"/>
    <m/>
    <m/>
    <m/>
    <m/>
    <m/>
    <m/>
    <d v="2024-12-22T00:00:00"/>
    <d v="2025-11-05T00:00:00"/>
    <s v="H"/>
    <x v="1"/>
    <s v="ANGUS NEGRO"/>
    <x v="115"/>
    <s v="30-09-2021"/>
    <s v="Vivo"/>
    <x v="0"/>
    <s v="11.1.01.1022"/>
    <s v="11.1.01.0893"/>
    <x v="0"/>
    <m/>
  </r>
  <r>
    <n v="20910316"/>
    <m/>
    <m/>
    <m/>
    <m/>
    <m/>
    <m/>
    <d v="2024-12-22T00:00:00"/>
    <d v="2025-11-04T00:00:00"/>
    <s v="H"/>
    <x v="1"/>
    <s v="ANGUS NEGRO"/>
    <x v="115"/>
    <s v="30-09-2021"/>
    <s v="Vivo"/>
    <x v="10"/>
    <s v="11.1.01.0190"/>
    <s v="11.1.01.0893"/>
    <x v="0"/>
    <m/>
  </r>
  <r>
    <n v="20910321"/>
    <m/>
    <m/>
    <m/>
    <m/>
    <m/>
    <m/>
    <d v="2024-12-22T00:00:00"/>
    <d v="2025-11-05T00:00:00"/>
    <s v="H"/>
    <x v="1"/>
    <s v="ANGUS NEGRO"/>
    <x v="115"/>
    <s v="11-10-2021"/>
    <s v="Vivo"/>
    <x v="8"/>
    <s v="11.1.01.0190"/>
    <s v="11.1.01.0893"/>
    <x v="0"/>
    <m/>
  </r>
  <r>
    <n v="20910326"/>
    <m/>
    <m/>
    <m/>
    <m/>
    <m/>
    <m/>
    <d v="2024-12-22T00:00:00"/>
    <d v="2025-11-05T00:00:00"/>
    <s v="H"/>
    <x v="1"/>
    <s v="ANGUS NEGRO"/>
    <x v="115"/>
    <s v="30-09-2021"/>
    <s v="Vivo"/>
    <x v="8"/>
    <s v="11.1.01.0190"/>
    <s v="11.1.01.0893"/>
    <x v="0"/>
    <m/>
  </r>
  <r>
    <n v="20910331"/>
    <m/>
    <m/>
    <m/>
    <m/>
    <m/>
    <m/>
    <d v="2024-12-22T00:00:00"/>
    <d v="2025-11-04T00:00:00"/>
    <s v="H"/>
    <x v="1"/>
    <s v="ANGUS NEGRO"/>
    <x v="115"/>
    <s v="30-09-2021"/>
    <s v="Vivo"/>
    <x v="0"/>
    <s v="11.2.01.0038"/>
    <s v="11.1.01.0893"/>
    <x v="0"/>
    <m/>
  </r>
  <r>
    <n v="20910333"/>
    <m/>
    <m/>
    <m/>
    <m/>
    <m/>
    <m/>
    <d v="2024-12-22T00:00:00"/>
    <d v="2025-11-04T00:00:00"/>
    <s v="H"/>
    <x v="1"/>
    <s v="ANGUS NEGRO"/>
    <x v="115"/>
    <s v="18-09-2021"/>
    <s v="Vivo"/>
    <x v="10"/>
    <s v="11.1.01.0190"/>
    <s v="11.1.01.1241"/>
    <x v="0"/>
    <m/>
  </r>
  <r>
    <n v="20910334"/>
    <m/>
    <m/>
    <m/>
    <m/>
    <m/>
    <m/>
    <d v="2024-12-22T00:00:00"/>
    <d v="2025-11-04T00:00:00"/>
    <s v="H"/>
    <x v="1"/>
    <s v="ANGUS NEGRO"/>
    <x v="115"/>
    <s v="30-09-2021"/>
    <s v="Vivo"/>
    <x v="8"/>
    <s v="11.1.01.0190"/>
    <s v="11.1.01.1241"/>
    <x v="0"/>
    <m/>
  </r>
  <r>
    <n v="20910335"/>
    <m/>
    <m/>
    <m/>
    <m/>
    <m/>
    <m/>
    <m/>
    <m/>
    <s v="M"/>
    <x v="3"/>
    <s v="ANGUS NEGRO"/>
    <x v="116"/>
    <s v="27-10-2021"/>
    <s v="Vivo"/>
    <x v="0"/>
    <s v="Sin Movimiento"/>
    <s v="11.1.01.1241"/>
    <x v="0"/>
    <m/>
  </r>
  <r>
    <n v="20910337"/>
    <m/>
    <m/>
    <m/>
    <m/>
    <m/>
    <m/>
    <m/>
    <m/>
    <s v="H"/>
    <x v="1"/>
    <s v="ANGUS ROJO"/>
    <x v="116"/>
    <s v="22-10-2021"/>
    <s v="Vivo"/>
    <x v="0"/>
    <s v="Sin Movimiento"/>
    <s v="11.1.01.1241"/>
    <x v="0"/>
    <m/>
  </r>
  <r>
    <n v="20910339"/>
    <m/>
    <m/>
    <m/>
    <m/>
    <m/>
    <m/>
    <d v="2024-12-22T00:00:00"/>
    <d v="2025-11-04T00:00:00"/>
    <s v="H"/>
    <x v="1"/>
    <s v="ANGUS NEGRO"/>
    <x v="115"/>
    <s v="30-09-2021"/>
    <s v="Vivo"/>
    <x v="0"/>
    <s v="11.2.01.0038"/>
    <s v="11.1.01.1241"/>
    <x v="0"/>
    <m/>
  </r>
  <r>
    <n v="20910343"/>
    <m/>
    <m/>
    <m/>
    <m/>
    <m/>
    <m/>
    <d v="2024-12-22T00:00:00"/>
    <d v="2025-11-04T00:00:00"/>
    <s v="H"/>
    <x v="1"/>
    <s v="ANGUS NEGRO"/>
    <x v="113"/>
    <s v="11-09-2021"/>
    <s v="Vivo"/>
    <x v="0"/>
    <s v="11.2.01.0038"/>
    <s v="11.1.01.1241"/>
    <x v="0"/>
    <m/>
  </r>
  <r>
    <n v="20910348"/>
    <m/>
    <m/>
    <m/>
    <m/>
    <m/>
    <m/>
    <m/>
    <m/>
    <s v="H"/>
    <x v="1"/>
    <s v="ANGUS NEGRO"/>
    <x v="115"/>
    <s v="30-09-2021"/>
    <s v="Vivo"/>
    <x v="5"/>
    <s v="11.1.01.0893"/>
    <s v="11.1.01.1241"/>
    <x v="0"/>
    <m/>
  </r>
  <r>
    <n v="20910350"/>
    <m/>
    <m/>
    <m/>
    <m/>
    <m/>
    <m/>
    <m/>
    <m/>
    <s v="H"/>
    <x v="1"/>
    <s v="ANGUS NEGRO"/>
    <x v="115"/>
    <s v="30-09-2021"/>
    <s v="Vivo"/>
    <x v="4"/>
    <s v="11.1.01.1241"/>
    <s v="11.1.01.1241"/>
    <x v="0"/>
    <m/>
  </r>
  <r>
    <n v="20910354"/>
    <m/>
    <m/>
    <m/>
    <m/>
    <m/>
    <m/>
    <d v="2024-12-22T00:00:00"/>
    <d v="2025-01-14T00:00:00"/>
    <s v="H"/>
    <x v="1"/>
    <s v="ANGUS NEGRO"/>
    <x v="115"/>
    <s v="05-10-2021"/>
    <s v="Vivo"/>
    <x v="0"/>
    <s v="11.2.01.0038"/>
    <s v="11.1.01.1241"/>
    <x v="0"/>
    <m/>
  </r>
  <r>
    <n v="20910356"/>
    <m/>
    <m/>
    <m/>
    <m/>
    <m/>
    <m/>
    <d v="2024-12-22T00:00:00"/>
    <d v="2025-01-14T00:00:00"/>
    <s v="H"/>
    <x v="1"/>
    <s v="ANGUS NEGRO"/>
    <x v="115"/>
    <s v="30-09-2021"/>
    <s v="Vivo"/>
    <x v="0"/>
    <s v="11.1.01.1022"/>
    <s v="11.1.01.1241"/>
    <x v="0"/>
    <m/>
  </r>
  <r>
    <n v="20910364"/>
    <m/>
    <m/>
    <m/>
    <m/>
    <m/>
    <m/>
    <d v="2024-12-22T00:00:00"/>
    <d v="2025-11-04T00:00:00"/>
    <s v="H"/>
    <x v="1"/>
    <s v="ANGUS NEGRO"/>
    <x v="115"/>
    <s v="20-09-2021"/>
    <s v="Vivo"/>
    <x v="10"/>
    <s v="11.1.01.0190"/>
    <s v="11.1.01.1241"/>
    <x v="0"/>
    <m/>
  </r>
  <r>
    <n v="20910365"/>
    <m/>
    <m/>
    <m/>
    <m/>
    <m/>
    <m/>
    <d v="2024-12-22T00:00:00"/>
    <d v="2025-01-14T00:00:00"/>
    <s v="H"/>
    <x v="1"/>
    <s v="ANGUS ROJO"/>
    <x v="116"/>
    <s v="28-10-2021"/>
    <s v="Vivo"/>
    <x v="0"/>
    <s v="11.2.01.0038"/>
    <s v="11.1.01.1241"/>
    <x v="0"/>
    <m/>
  </r>
  <r>
    <n v="20910366"/>
    <m/>
    <m/>
    <m/>
    <m/>
    <m/>
    <m/>
    <d v="2024-12-22T00:00:00"/>
    <d v="2025-11-04T00:00:00"/>
    <s v="H"/>
    <x v="1"/>
    <s v="ANGUS NEGRO"/>
    <x v="115"/>
    <s v="11-10-2021"/>
    <s v="Vivo"/>
    <x v="10"/>
    <s v="11.1.01.0190"/>
    <s v="11.1.01.1241"/>
    <x v="0"/>
    <m/>
  </r>
  <r>
    <n v="20910367"/>
    <m/>
    <m/>
    <m/>
    <m/>
    <m/>
    <m/>
    <d v="2024-12-22T00:00:00"/>
    <d v="2025-11-04T00:00:00"/>
    <s v="H"/>
    <x v="1"/>
    <s v="ANGUS ROJO"/>
    <x v="115"/>
    <s v="30-09-2021"/>
    <s v="Vivo"/>
    <x v="0"/>
    <s v="11.2.01.0038"/>
    <s v="11.1.01.1241"/>
    <x v="0"/>
    <m/>
  </r>
  <r>
    <n v="20910372"/>
    <m/>
    <m/>
    <m/>
    <m/>
    <m/>
    <m/>
    <d v="2024-12-22T00:00:00"/>
    <d v="2025-11-05T00:00:00"/>
    <s v="H"/>
    <x v="1"/>
    <s v="ANGUS NEGRO"/>
    <x v="115"/>
    <s v="30-09-2021"/>
    <s v="Vivo"/>
    <x v="8"/>
    <s v="11.1.01.0190"/>
    <s v="11.1.01.1241"/>
    <x v="0"/>
    <m/>
  </r>
  <r>
    <n v="20910373"/>
    <m/>
    <m/>
    <m/>
    <m/>
    <m/>
    <m/>
    <d v="2024-12-22T00:00:00"/>
    <d v="2025-11-05T00:00:00"/>
    <s v="H"/>
    <x v="1"/>
    <s v="ANGUS NEGRO"/>
    <x v="115"/>
    <s v="05-10-2021"/>
    <s v="Vivo"/>
    <x v="8"/>
    <s v="11.1.01.0190"/>
    <s v="11.1.01.1241"/>
    <x v="0"/>
    <m/>
  </r>
  <r>
    <n v="20910375"/>
    <m/>
    <m/>
    <m/>
    <m/>
    <m/>
    <m/>
    <d v="2024-12-22T00:00:00"/>
    <d v="2025-01-14T00:00:00"/>
    <s v="H"/>
    <x v="1"/>
    <s v="ANGUS NEGRO"/>
    <x v="115"/>
    <s v="05-10-2021"/>
    <s v="Vivo"/>
    <x v="0"/>
    <s v="11.1.01.1022"/>
    <s v="11.1.01.1241"/>
    <x v="0"/>
    <m/>
  </r>
  <r>
    <n v="20910376"/>
    <m/>
    <m/>
    <m/>
    <m/>
    <m/>
    <m/>
    <d v="2024-12-22T00:00:00"/>
    <d v="2025-01-14T00:00:00"/>
    <s v="H"/>
    <x v="1"/>
    <s v="ANGUS NEGRO"/>
    <x v="116"/>
    <s v="20-10-2021"/>
    <s v="Vivo"/>
    <x v="0"/>
    <s v="11.2.01.0038"/>
    <s v="11.1.01.1241"/>
    <x v="0"/>
    <m/>
  </r>
  <r>
    <n v="20910379"/>
    <n v="2636175"/>
    <m/>
    <m/>
    <m/>
    <m/>
    <m/>
    <m/>
    <d v="2025-11-04T00:00:00"/>
    <s v="M"/>
    <x v="3"/>
    <s v="ANGUS NEGRO"/>
    <x v="115"/>
    <s v="30-09-2021"/>
    <s v="Vivo"/>
    <x v="8"/>
    <s v="11.1.01.0190"/>
    <s v="11.1.01.1241"/>
    <x v="0"/>
    <m/>
  </r>
  <r>
    <n v="20910380"/>
    <n v="2636174"/>
    <m/>
    <m/>
    <m/>
    <m/>
    <m/>
    <m/>
    <d v="2025-06-10T00:00:00"/>
    <s v="M"/>
    <x v="3"/>
    <s v="ANGUS NEGRO"/>
    <x v="115"/>
    <s v="30-09-2021"/>
    <s v="Vivo"/>
    <x v="0"/>
    <s v="Sin Movimiento"/>
    <s v="11.1.01.1241"/>
    <x v="0"/>
    <m/>
  </r>
  <r>
    <n v="20910381"/>
    <m/>
    <m/>
    <m/>
    <m/>
    <m/>
    <m/>
    <m/>
    <m/>
    <s v="H"/>
    <x v="1"/>
    <s v="ANGUS NEGRO"/>
    <x v="115"/>
    <s v="30-09-2021"/>
    <s v="Vivo"/>
    <x v="0"/>
    <s v="11.2.01.0038"/>
    <s v="11.1.01.1241"/>
    <x v="0"/>
    <m/>
  </r>
  <r>
    <n v="20910385"/>
    <m/>
    <m/>
    <m/>
    <m/>
    <m/>
    <m/>
    <m/>
    <m/>
    <s v="H"/>
    <x v="1"/>
    <s v="ANGUS NEGRO"/>
    <x v="115"/>
    <s v="05-10-2021"/>
    <s v="Vivo"/>
    <x v="4"/>
    <s v="11.1.01.0893"/>
    <s v="11.1.01.1241"/>
    <x v="0"/>
    <m/>
  </r>
  <r>
    <n v="20910386"/>
    <m/>
    <m/>
    <m/>
    <m/>
    <m/>
    <m/>
    <d v="2024-12-22T00:00:00"/>
    <d v="2025-01-14T00:00:00"/>
    <s v="H"/>
    <x v="1"/>
    <s v="ANGUS NEGRO"/>
    <x v="115"/>
    <s v="30-09-2021"/>
    <s v="Vivo"/>
    <x v="0"/>
    <s v="11.1.01.1022"/>
    <s v="11.1.01.1241"/>
    <x v="0"/>
    <m/>
  </r>
  <r>
    <n v="20910387"/>
    <m/>
    <m/>
    <m/>
    <m/>
    <m/>
    <m/>
    <d v="2024-12-22T00:00:00"/>
    <d v="2025-11-04T00:00:00"/>
    <s v="H"/>
    <x v="1"/>
    <s v="ANGUS NEGRO"/>
    <x v="116"/>
    <s v="20-10-2021"/>
    <s v="Vivo"/>
    <x v="0"/>
    <s v="11.2.01.0038"/>
    <s v="11.1.01.1241"/>
    <x v="0"/>
    <m/>
  </r>
  <r>
    <n v="20910389"/>
    <m/>
    <m/>
    <m/>
    <m/>
    <m/>
    <m/>
    <d v="2024-12-22T00:00:00"/>
    <d v="2025-11-04T00:00:00"/>
    <s v="H"/>
    <x v="1"/>
    <s v="ANGUS NEGRO"/>
    <x v="116"/>
    <s v="20-10-2021"/>
    <s v="Vivo"/>
    <x v="0"/>
    <s v="11.2.01.0038"/>
    <s v="11.1.01.1241"/>
    <x v="0"/>
    <m/>
  </r>
  <r>
    <n v="20910390"/>
    <m/>
    <m/>
    <m/>
    <m/>
    <m/>
    <m/>
    <d v="2024-12-22T00:00:00"/>
    <d v="2025-01-14T00:00:00"/>
    <s v="H"/>
    <x v="1"/>
    <s v="ANGUS NEGRO"/>
    <x v="115"/>
    <s v="05-10-2021"/>
    <s v="Vivo"/>
    <x v="0"/>
    <s v="11.2.01.0038"/>
    <s v="11.1.01.1241"/>
    <x v="0"/>
    <m/>
  </r>
  <r>
    <n v="20910392"/>
    <m/>
    <m/>
    <m/>
    <m/>
    <m/>
    <m/>
    <d v="2024-12-22T00:00:00"/>
    <d v="2025-11-04T00:00:00"/>
    <s v="H"/>
    <x v="1"/>
    <s v="ANGUS NEGRO"/>
    <x v="115"/>
    <s v="05-10-2021"/>
    <s v="Vivo"/>
    <x v="0"/>
    <s v="11.2.01.0038"/>
    <s v="11.1.01.1241"/>
    <x v="0"/>
    <m/>
  </r>
  <r>
    <n v="20910393"/>
    <m/>
    <m/>
    <m/>
    <m/>
    <m/>
    <m/>
    <m/>
    <m/>
    <s v="H"/>
    <x v="1"/>
    <s v="ANGUS NEGRO"/>
    <x v="116"/>
    <s v="25-10-2021"/>
    <s v="Vivo"/>
    <x v="0"/>
    <s v="Sin Movimiento"/>
    <s v="11.1.01.1241"/>
    <x v="0"/>
    <m/>
  </r>
  <r>
    <n v="20910398"/>
    <m/>
    <m/>
    <m/>
    <m/>
    <m/>
    <m/>
    <m/>
    <m/>
    <s v="M"/>
    <x v="3"/>
    <s v="ANGUS NEGRO"/>
    <x v="115"/>
    <s v="11-10-2021"/>
    <s v="Vivo"/>
    <x v="0"/>
    <s v="Sin Movimiento"/>
    <s v="11.1.01.1241"/>
    <x v="0"/>
    <m/>
  </r>
  <r>
    <n v="20910404"/>
    <m/>
    <m/>
    <m/>
    <m/>
    <m/>
    <m/>
    <d v="2024-12-22T00:00:00"/>
    <d v="2025-01-14T00:00:00"/>
    <s v="H"/>
    <x v="1"/>
    <s v="ANGUS NEGRO"/>
    <x v="116"/>
    <s v="20-10-2021"/>
    <s v="Vivo"/>
    <x v="0"/>
    <s v="11.1.01.1022"/>
    <s v="11.1.01.1241"/>
    <x v="0"/>
    <m/>
  </r>
  <r>
    <n v="20910405"/>
    <m/>
    <m/>
    <m/>
    <m/>
    <m/>
    <m/>
    <m/>
    <m/>
    <s v="M"/>
    <x v="3"/>
    <s v="ANGUS NEGRO"/>
    <x v="115"/>
    <s v="05-10-2021"/>
    <s v="Vivo"/>
    <x v="0"/>
    <s v="Sin Movimiento"/>
    <s v="11.1.01.1241"/>
    <x v="0"/>
    <m/>
  </r>
  <r>
    <n v="20910410"/>
    <m/>
    <m/>
    <m/>
    <m/>
    <m/>
    <m/>
    <m/>
    <m/>
    <s v="H"/>
    <x v="1"/>
    <s v="ANGUS ROJO"/>
    <x v="116"/>
    <s v="25-10-2021"/>
    <s v="Vivo"/>
    <x v="0"/>
    <s v="Sin Movimiento"/>
    <s v="11.1.01.1241"/>
    <x v="0"/>
    <m/>
  </r>
  <r>
    <n v="20910412"/>
    <m/>
    <m/>
    <m/>
    <m/>
    <m/>
    <m/>
    <d v="2024-12-22T00:00:00"/>
    <d v="2025-01-14T00:00:00"/>
    <s v="H"/>
    <x v="1"/>
    <s v="ANGUS ROJO"/>
    <x v="116"/>
    <s v="25-10-2021"/>
    <s v="Vivo"/>
    <x v="0"/>
    <s v="11.2.01.0038"/>
    <s v="11.1.01.1241"/>
    <x v="0"/>
    <m/>
  </r>
  <r>
    <n v="20910420"/>
    <m/>
    <m/>
    <m/>
    <m/>
    <m/>
    <m/>
    <d v="2024-12-22T00:00:00"/>
    <d v="2025-11-05T00:00:00"/>
    <s v="H"/>
    <x v="1"/>
    <s v="ANGUS NEGRO"/>
    <x v="116"/>
    <s v="20-10-2021"/>
    <s v="Vivo"/>
    <x v="8"/>
    <s v="11.1.01.0190"/>
    <s v="11.1.01.1241"/>
    <x v="0"/>
    <m/>
  </r>
  <r>
    <n v="20910428"/>
    <m/>
    <m/>
    <m/>
    <m/>
    <m/>
    <m/>
    <d v="2024-12-22T00:00:00"/>
    <d v="2025-01-14T00:00:00"/>
    <s v="H"/>
    <x v="1"/>
    <s v="ANGUS NEGRO"/>
    <x v="115"/>
    <s v="30-09-2021"/>
    <s v="Vivo"/>
    <x v="0"/>
    <s v="11.1.01.1022"/>
    <s v="11.1.01.1241"/>
    <x v="0"/>
    <m/>
  </r>
  <r>
    <n v="20910429"/>
    <m/>
    <m/>
    <m/>
    <m/>
    <m/>
    <m/>
    <d v="2024-12-22T00:00:00"/>
    <d v="2025-01-14T00:00:00"/>
    <s v="H"/>
    <x v="1"/>
    <s v="ANGUS NEGRO"/>
    <x v="115"/>
    <s v="05-10-2021"/>
    <s v="Vivo"/>
    <x v="8"/>
    <s v="11.1.01.0190"/>
    <s v="11.1.01.1241"/>
    <x v="0"/>
    <m/>
  </r>
  <r>
    <n v="20910436"/>
    <m/>
    <m/>
    <m/>
    <m/>
    <m/>
    <m/>
    <d v="2024-12-22T00:00:00"/>
    <d v="2025-01-14T00:00:00"/>
    <s v="H"/>
    <x v="1"/>
    <s v="ANGUS NEGRO"/>
    <x v="116"/>
    <s v="20-10-2021"/>
    <s v="Vivo"/>
    <x v="0"/>
    <s v="11.1.01.1022"/>
    <s v="11.1.01.1241"/>
    <x v="0"/>
    <m/>
  </r>
  <r>
    <n v="20910439"/>
    <m/>
    <m/>
    <m/>
    <m/>
    <m/>
    <m/>
    <m/>
    <m/>
    <s v="H"/>
    <x v="1"/>
    <s v="HEREFORD"/>
    <x v="116"/>
    <s v="20-10-2021"/>
    <s v="Vivo"/>
    <x v="0"/>
    <s v="Sin Movimiento"/>
    <s v="11.1.01.1241"/>
    <x v="0"/>
    <m/>
  </r>
  <r>
    <n v="20910442"/>
    <m/>
    <m/>
    <m/>
    <m/>
    <m/>
    <m/>
    <m/>
    <m/>
    <s v="H"/>
    <x v="1"/>
    <s v="ANGUS NEGRO"/>
    <x v="116"/>
    <s v="20-10-2021"/>
    <s v="Vivo"/>
    <x v="4"/>
    <s v="11.1.01.1241"/>
    <s v="11.1.01.1241"/>
    <x v="0"/>
    <m/>
  </r>
  <r>
    <n v="20910443"/>
    <m/>
    <m/>
    <m/>
    <m/>
    <m/>
    <m/>
    <m/>
    <m/>
    <s v="H"/>
    <x v="1"/>
    <s v="ANGUS NEGRO"/>
    <x v="115"/>
    <s v="11-10-2021"/>
    <s v="Vivo"/>
    <x v="4"/>
    <s v="11.1.01.0893"/>
    <s v="11.1.01.1241"/>
    <x v="0"/>
    <m/>
  </r>
  <r>
    <n v="20910444"/>
    <m/>
    <m/>
    <m/>
    <m/>
    <m/>
    <m/>
    <d v="2024-12-22T00:00:00"/>
    <d v="2025-11-04T00:00:00"/>
    <s v="H"/>
    <x v="1"/>
    <s v="ANGUS NEGRO"/>
    <x v="116"/>
    <s v="25-10-2021"/>
    <s v="Vivo"/>
    <x v="8"/>
    <s v="11.1.01.0190"/>
    <s v="11.1.01.1241"/>
    <x v="0"/>
    <m/>
  </r>
  <r>
    <n v="20910446"/>
    <m/>
    <m/>
    <m/>
    <m/>
    <m/>
    <m/>
    <m/>
    <m/>
    <s v="H"/>
    <x v="1"/>
    <s v="ANGUS NEGRO"/>
    <x v="115"/>
    <s v="30-09-2021"/>
    <s v="Vivo"/>
    <x v="0"/>
    <s v="11.2.01.0038"/>
    <s v="11.1.01.1241"/>
    <x v="0"/>
    <m/>
  </r>
  <r>
    <n v="20910449"/>
    <m/>
    <m/>
    <m/>
    <m/>
    <m/>
    <m/>
    <d v="2024-12-22T00:00:00"/>
    <d v="2025-11-04T00:00:00"/>
    <s v="H"/>
    <x v="1"/>
    <s v="ANGUS NEGRO"/>
    <x v="115"/>
    <s v="05-10-2021"/>
    <s v="Vivo"/>
    <x v="10"/>
    <s v="11.1.01.0190"/>
    <s v="11.1.01.1241"/>
    <x v="0"/>
    <m/>
  </r>
  <r>
    <n v="20910467"/>
    <m/>
    <m/>
    <m/>
    <m/>
    <m/>
    <m/>
    <d v="2024-12-22T00:00:00"/>
    <d v="2025-11-04T00:00:00"/>
    <s v="H"/>
    <x v="1"/>
    <s v="ANGUS NEGRO"/>
    <x v="115"/>
    <s v="11-10-2021"/>
    <s v="Vivo"/>
    <x v="10"/>
    <s v="11.1.01.0190"/>
    <s v="11.1.01.1241"/>
    <x v="0"/>
    <m/>
  </r>
  <r>
    <n v="20910468"/>
    <m/>
    <m/>
    <m/>
    <m/>
    <m/>
    <m/>
    <m/>
    <d v="2025-11-04T00:00:00"/>
    <s v="H"/>
    <x v="1"/>
    <s v="ANGUS NEGRO"/>
    <x v="116"/>
    <s v="11-11-2021"/>
    <s v="Vivo"/>
    <x v="10"/>
    <s v="11.1.01.0190"/>
    <s v="11.1.01.1241"/>
    <x v="0"/>
    <m/>
  </r>
  <r>
    <n v="20910469"/>
    <m/>
    <m/>
    <m/>
    <m/>
    <m/>
    <m/>
    <d v="2024-12-22T00:00:00"/>
    <d v="2025-11-04T00:00:00"/>
    <s v="H"/>
    <x v="1"/>
    <s v="ANGUS NEGRO"/>
    <x v="116"/>
    <s v="20-10-2021"/>
    <s v="Vivo"/>
    <x v="10"/>
    <s v="11.1.01.0190"/>
    <s v="11.1.01.1241"/>
    <x v="0"/>
    <m/>
  </r>
  <r>
    <n v="20910470"/>
    <m/>
    <m/>
    <m/>
    <m/>
    <m/>
    <m/>
    <d v="2024-12-22T00:00:00"/>
    <d v="2025-11-04T00:00:00"/>
    <s v="H"/>
    <x v="1"/>
    <s v="ANGUS NEGRO"/>
    <x v="116"/>
    <s v="30-10-2021"/>
    <s v="Vivo"/>
    <x v="10"/>
    <s v="11.1.01.0190"/>
    <s v="11.1.01.1241"/>
    <x v="0"/>
    <m/>
  </r>
  <r>
    <n v="20910471"/>
    <m/>
    <m/>
    <m/>
    <m/>
    <m/>
    <m/>
    <m/>
    <m/>
    <s v="H"/>
    <x v="1"/>
    <s v="HEREFORD"/>
    <x v="115"/>
    <s v="05-10-2021"/>
    <s v="Vivo"/>
    <x v="3"/>
    <s v="11.1.01.1241"/>
    <s v="11.1.01.1241"/>
    <x v="0"/>
    <m/>
  </r>
  <r>
    <n v="20910474"/>
    <m/>
    <m/>
    <m/>
    <m/>
    <m/>
    <m/>
    <d v="2024-12-22T00:00:00"/>
    <d v="2025-11-04T00:00:00"/>
    <s v="H"/>
    <x v="1"/>
    <s v="ANGUS NEGRO"/>
    <x v="116"/>
    <s v="25-10-2021"/>
    <s v="Vivo"/>
    <x v="0"/>
    <s v="11.2.01.0038"/>
    <s v="11.1.01.1241"/>
    <x v="0"/>
    <m/>
  </r>
  <r>
    <n v="20910475"/>
    <m/>
    <m/>
    <m/>
    <m/>
    <m/>
    <m/>
    <d v="2024-12-22T00:00:00"/>
    <d v="2025-11-04T00:00:00"/>
    <s v="H"/>
    <x v="1"/>
    <s v="ANGUS NEGRO"/>
    <x v="115"/>
    <s v="30-09-2021"/>
    <s v="Vivo"/>
    <x v="10"/>
    <s v="11.1.01.0190"/>
    <s v="11.1.01.1241"/>
    <x v="0"/>
    <m/>
  </r>
  <r>
    <n v="20910476"/>
    <m/>
    <m/>
    <m/>
    <m/>
    <m/>
    <m/>
    <d v="2024-12-22T00:00:00"/>
    <d v="2025-11-05T00:00:00"/>
    <s v="H"/>
    <x v="1"/>
    <s v="ANGUS NEGRO"/>
    <x v="115"/>
    <s v="05-10-2021"/>
    <s v="Vivo"/>
    <x v="8"/>
    <s v="11.1.01.0190"/>
    <s v="11.1.01.1241"/>
    <x v="0"/>
    <m/>
  </r>
  <r>
    <n v="20910478"/>
    <m/>
    <m/>
    <m/>
    <m/>
    <m/>
    <m/>
    <d v="2024-12-22T00:00:00"/>
    <d v="2025-11-04T00:00:00"/>
    <s v="H"/>
    <x v="1"/>
    <s v="ANGUS NEGRO"/>
    <x v="115"/>
    <s v="30-09-2021"/>
    <s v="Vivo"/>
    <x v="0"/>
    <s v="11.2.01.0038"/>
    <s v="11.1.01.1241"/>
    <x v="0"/>
    <m/>
  </r>
  <r>
    <n v="20910482"/>
    <m/>
    <m/>
    <m/>
    <m/>
    <m/>
    <m/>
    <d v="2024-12-22T00:00:00"/>
    <d v="2025-01-14T00:00:00"/>
    <s v="H"/>
    <x v="1"/>
    <s v="ANGUS NEGRO"/>
    <x v="115"/>
    <s v="05-10-2021"/>
    <s v="Vivo"/>
    <x v="0"/>
    <s v="11.1.01.1022"/>
    <s v="11.1.01.1241"/>
    <x v="0"/>
    <m/>
  </r>
  <r>
    <n v="20910484"/>
    <m/>
    <m/>
    <m/>
    <m/>
    <m/>
    <m/>
    <d v="2024-12-22T00:00:00"/>
    <d v="2025-01-14T00:00:00"/>
    <s v="H"/>
    <x v="1"/>
    <s v="ANGUS NEGRO"/>
    <x v="115"/>
    <s v="05-10-2021"/>
    <s v="Vivo"/>
    <x v="0"/>
    <s v="11.1.01.1022"/>
    <s v="11.1.01.1241"/>
    <x v="0"/>
    <m/>
  </r>
  <r>
    <n v="20910486"/>
    <m/>
    <m/>
    <m/>
    <m/>
    <m/>
    <m/>
    <d v="2024-12-22T00:00:00"/>
    <d v="2025-11-04T00:00:00"/>
    <s v="H"/>
    <x v="1"/>
    <s v="ANGUS NEGRO"/>
    <x v="116"/>
    <s v="25-10-2021"/>
    <s v="Vivo"/>
    <x v="0"/>
    <s v="11.2.01.0038"/>
    <s v="11.1.01.1241"/>
    <x v="0"/>
    <m/>
  </r>
  <r>
    <n v="20910490"/>
    <m/>
    <m/>
    <m/>
    <m/>
    <m/>
    <m/>
    <d v="2024-12-22T00:00:00"/>
    <d v="2025-01-14T00:00:00"/>
    <s v="H"/>
    <x v="1"/>
    <s v="ANGUS NEGRO"/>
    <x v="115"/>
    <s v="05-10-2021"/>
    <s v="Vivo"/>
    <x v="0"/>
    <s v="11.1.01.1022"/>
    <s v="11.1.01.1241"/>
    <x v="0"/>
    <m/>
  </r>
  <r>
    <n v="20910493"/>
    <m/>
    <m/>
    <m/>
    <m/>
    <m/>
    <m/>
    <d v="2024-12-22T00:00:00"/>
    <d v="2025-01-14T00:00:00"/>
    <s v="H"/>
    <x v="1"/>
    <s v="ANGUS NEGRO"/>
    <x v="115"/>
    <s v="05-10-2021"/>
    <s v="Vivo"/>
    <x v="0"/>
    <s v="11.1.01.1022"/>
    <s v="11.1.01.1241"/>
    <x v="0"/>
    <m/>
  </r>
  <r>
    <n v="20910496"/>
    <m/>
    <m/>
    <m/>
    <m/>
    <m/>
    <m/>
    <d v="2024-12-22T00:00:00"/>
    <d v="2025-11-04T00:00:00"/>
    <s v="H"/>
    <x v="1"/>
    <s v="ANGUS NEGRO"/>
    <x v="116"/>
    <s v="20-10-2021"/>
    <s v="Vivo"/>
    <x v="10"/>
    <s v="11.1.01.0190"/>
    <s v="11.1.01.1241"/>
    <x v="0"/>
    <m/>
  </r>
  <r>
    <n v="20910498"/>
    <m/>
    <m/>
    <m/>
    <m/>
    <m/>
    <m/>
    <d v="2024-12-22T00:00:00"/>
    <d v="2025-11-05T00:00:00"/>
    <s v="H"/>
    <x v="1"/>
    <s v="ANGUS NEGRO"/>
    <x v="116"/>
    <s v="20-10-2021"/>
    <s v="Vivo"/>
    <x v="0"/>
    <s v="11.1.01.1022"/>
    <s v="11.1.01.1241"/>
    <x v="0"/>
    <m/>
  </r>
  <r>
    <n v="20910500"/>
    <m/>
    <m/>
    <m/>
    <m/>
    <m/>
    <m/>
    <d v="2024-12-22T00:00:00"/>
    <d v="2025-01-14T00:00:00"/>
    <s v="H"/>
    <x v="1"/>
    <s v="ANGUS NEGRO"/>
    <x v="115"/>
    <s v="05-10-2021"/>
    <s v="Vivo"/>
    <x v="0"/>
    <s v="11.1.01.1022"/>
    <s v="11.1.01.1241"/>
    <x v="0"/>
    <m/>
  </r>
  <r>
    <n v="20910506"/>
    <m/>
    <m/>
    <m/>
    <m/>
    <m/>
    <m/>
    <d v="2024-12-22T00:00:00"/>
    <d v="2025-01-14T00:00:00"/>
    <s v="H"/>
    <x v="1"/>
    <s v="ANGUS NEGRO"/>
    <x v="116"/>
    <s v="20-10-2021"/>
    <s v="Vivo"/>
    <x v="0"/>
    <s v="11.2.01.0038"/>
    <s v="11.1.01.1241"/>
    <x v="0"/>
    <m/>
  </r>
  <r>
    <n v="20910511"/>
    <m/>
    <m/>
    <m/>
    <m/>
    <m/>
    <m/>
    <m/>
    <m/>
    <s v="H"/>
    <x v="1"/>
    <s v="ANGUS ROJO"/>
    <x v="116"/>
    <s v="05-11-2021"/>
    <s v="Vivo"/>
    <x v="8"/>
    <s v="11.1.01.0190"/>
    <s v="11.1.01.1241"/>
    <x v="0"/>
    <m/>
  </r>
  <r>
    <n v="20910515"/>
    <m/>
    <m/>
    <m/>
    <m/>
    <m/>
    <m/>
    <m/>
    <m/>
    <s v="H"/>
    <x v="1"/>
    <s v="ANGUS NEGRO"/>
    <x v="116"/>
    <s v="30-10-2021"/>
    <s v="Vivo"/>
    <x v="4"/>
    <s v="11.1.01.1241"/>
    <s v="11.1.01.1241"/>
    <x v="0"/>
    <m/>
  </r>
  <r>
    <n v="20910516"/>
    <m/>
    <m/>
    <m/>
    <m/>
    <m/>
    <m/>
    <d v="2024-12-22T00:00:00"/>
    <d v="2025-01-14T00:00:00"/>
    <s v="H"/>
    <x v="1"/>
    <s v="ANGUS NEGRO"/>
    <x v="116"/>
    <s v="05-11-2021"/>
    <s v="Vivo"/>
    <x v="8"/>
    <s v="11.1.01.0190"/>
    <s v="11.1.01.1241"/>
    <x v="0"/>
    <m/>
  </r>
  <r>
    <n v="20910519"/>
    <m/>
    <m/>
    <m/>
    <m/>
    <m/>
    <m/>
    <d v="2024-12-22T00:00:00"/>
    <d v="2025-01-14T00:00:00"/>
    <s v="H"/>
    <x v="1"/>
    <s v="ANGUS NEGRO"/>
    <x v="115"/>
    <s v="05-10-2021"/>
    <s v="Vivo"/>
    <x v="0"/>
    <s v="11.1.01.1022"/>
    <s v="11.1.01.1241"/>
    <x v="0"/>
    <m/>
  </r>
  <r>
    <n v="20910527"/>
    <m/>
    <m/>
    <m/>
    <m/>
    <m/>
    <m/>
    <m/>
    <m/>
    <s v="H"/>
    <x v="1"/>
    <s v="ANGUS NEGRO"/>
    <x v="98"/>
    <s v="20-11-2021"/>
    <s v="Vivo"/>
    <x v="0"/>
    <s v="11.1.01.0893"/>
    <s v="11.1.01.0893"/>
    <x v="0"/>
    <d v="2022-01-09T00:00:00"/>
  </r>
  <r>
    <n v="20910537"/>
    <m/>
    <m/>
    <m/>
    <m/>
    <m/>
    <m/>
    <d v="2024-12-22T00:00:00"/>
    <d v="2025-01-14T00:00:00"/>
    <s v="H"/>
    <x v="1"/>
    <s v="ANGUS NEGRO"/>
    <x v="117"/>
    <s v="24-12-2021"/>
    <s v="Vivo"/>
    <x v="0"/>
    <s v="11.1.01.1022"/>
    <s v="11.1.01.0893"/>
    <x v="0"/>
    <d v="2022-01-09T00:00:00"/>
  </r>
  <r>
    <n v="20910563"/>
    <m/>
    <m/>
    <m/>
    <m/>
    <m/>
    <m/>
    <m/>
    <m/>
    <s v="H"/>
    <x v="1"/>
    <s v="HEREFORD"/>
    <x v="117"/>
    <s v="24-12-2021"/>
    <s v="Vivo"/>
    <x v="3"/>
    <s v="11.1.01.0941"/>
    <s v="11.1.01.0941"/>
    <x v="0"/>
    <d v="2022-04-03T00:00:00"/>
  </r>
  <r>
    <n v="20910565"/>
    <m/>
    <m/>
    <m/>
    <m/>
    <m/>
    <m/>
    <m/>
    <m/>
    <s v="H"/>
    <x v="1"/>
    <s v="ANGUS NEGRO"/>
    <x v="115"/>
    <s v="05-10-2021"/>
    <s v="Vivo"/>
    <x v="0"/>
    <s v="Sin Movimiento"/>
    <s v="11.1.01.1241"/>
    <x v="0"/>
    <m/>
  </r>
  <r>
    <n v="20910568"/>
    <m/>
    <m/>
    <m/>
    <m/>
    <m/>
    <m/>
    <m/>
    <m/>
    <s v="M"/>
    <x v="3"/>
    <s v="HEREFORD"/>
    <x v="98"/>
    <s v="30-11-2021"/>
    <s v="Vivo"/>
    <x v="0"/>
    <s v="Sin Movimiento"/>
    <s v="11.1.01.1241"/>
    <x v="0"/>
    <d v="2022-04-09T00:00:00"/>
  </r>
  <r>
    <n v="20910571"/>
    <m/>
    <m/>
    <m/>
    <m/>
    <m/>
    <m/>
    <d v="2024-12-22T00:00:00"/>
    <d v="2025-01-14T00:00:00"/>
    <s v="H"/>
    <x v="1"/>
    <s v="ANGUS NEGRO"/>
    <x v="98"/>
    <s v="07-12-2021"/>
    <s v="Vivo"/>
    <x v="0"/>
    <s v="11.2.01.0038"/>
    <s v="11.1.01.0893"/>
    <x v="0"/>
    <d v="2022-05-27T00:00:00"/>
  </r>
  <r>
    <n v="20910572"/>
    <m/>
    <m/>
    <m/>
    <m/>
    <m/>
    <m/>
    <d v="2024-12-22T00:00:00"/>
    <d v="2025-01-14T00:00:00"/>
    <s v="H"/>
    <x v="1"/>
    <s v="ANGUS NEGRO"/>
    <x v="98"/>
    <s v="07-12-2021"/>
    <s v="Vivo"/>
    <x v="0"/>
    <s v="11.1.01.1022"/>
    <s v="11.1.01.0893"/>
    <x v="0"/>
    <d v="2022-05-27T00:00:00"/>
  </r>
  <r>
    <n v="20910573"/>
    <m/>
    <m/>
    <m/>
    <m/>
    <m/>
    <m/>
    <d v="2024-12-22T00:00:00"/>
    <d v="2025-11-05T00:00:00"/>
    <s v="H"/>
    <x v="1"/>
    <s v="ANGUS ROJO"/>
    <x v="98"/>
    <s v="07-12-2021"/>
    <s v="Vivo"/>
    <x v="8"/>
    <s v="11.1.01.0190"/>
    <s v="11.1.01.0893"/>
    <x v="0"/>
    <d v="2022-05-27T00:00:00"/>
  </r>
  <r>
    <n v="20910576"/>
    <m/>
    <m/>
    <m/>
    <m/>
    <m/>
    <m/>
    <d v="2024-12-22T00:00:00"/>
    <d v="2025-01-14T00:00:00"/>
    <s v="H"/>
    <x v="1"/>
    <s v="ANGUS NEGRO"/>
    <x v="98"/>
    <s v="07-12-2021"/>
    <s v="Vivo"/>
    <x v="8"/>
    <s v="11.1.01.0190"/>
    <s v="11.1.01.0893"/>
    <x v="0"/>
    <d v="2022-05-27T00:00:00"/>
  </r>
  <r>
    <n v="20910577"/>
    <m/>
    <m/>
    <m/>
    <m/>
    <m/>
    <m/>
    <d v="2024-12-22T00:00:00"/>
    <d v="2025-11-04T00:00:00"/>
    <s v="H"/>
    <x v="1"/>
    <s v="ANGUS NEGRO"/>
    <x v="98"/>
    <s v="07-12-2021"/>
    <s v="Vivo"/>
    <x v="10"/>
    <s v="11.1.01.0190"/>
    <s v="11.1.01.0893"/>
    <x v="0"/>
    <d v="2022-05-27T00:00:00"/>
  </r>
  <r>
    <n v="20910579"/>
    <m/>
    <m/>
    <m/>
    <m/>
    <m/>
    <m/>
    <d v="2024-12-22T00:00:00"/>
    <d v="2025-01-14T00:00:00"/>
    <s v="H"/>
    <x v="1"/>
    <s v="ANGUS NEGRO"/>
    <x v="98"/>
    <s v="07-12-2021"/>
    <s v="Vivo"/>
    <x v="0"/>
    <s v="11.1.01.1022"/>
    <s v="11.1.01.0893"/>
    <x v="0"/>
    <d v="2022-05-27T00:00:00"/>
  </r>
  <r>
    <n v="20910582"/>
    <m/>
    <m/>
    <m/>
    <m/>
    <m/>
    <m/>
    <d v="2024-12-22T00:00:00"/>
    <d v="2025-01-14T00:00:00"/>
    <s v="H"/>
    <x v="1"/>
    <s v="ANGUS NEGRO"/>
    <x v="98"/>
    <s v="07-12-2021"/>
    <s v="Vivo"/>
    <x v="7"/>
    <s v="11.1.01.1241"/>
    <s v="11.1.01.0893"/>
    <x v="0"/>
    <d v="2022-05-27T00:00:00"/>
  </r>
  <r>
    <n v="20910584"/>
    <m/>
    <m/>
    <m/>
    <m/>
    <m/>
    <m/>
    <d v="2024-12-22T00:00:00"/>
    <d v="2025-11-04T00:00:00"/>
    <s v="H"/>
    <x v="1"/>
    <s v="ANGUS NEGRO"/>
    <x v="98"/>
    <s v="07-12-2021"/>
    <s v="Vivo"/>
    <x v="0"/>
    <s v="11.2.01.0038"/>
    <s v="11.1.01.0893"/>
    <x v="0"/>
    <d v="2022-05-27T00:00:00"/>
  </r>
  <r>
    <n v="20910590"/>
    <m/>
    <m/>
    <m/>
    <m/>
    <m/>
    <m/>
    <d v="2024-12-22T00:00:00"/>
    <d v="2025-11-04T00:00:00"/>
    <s v="H"/>
    <x v="1"/>
    <s v="ANGUS NEGRO"/>
    <x v="98"/>
    <s v="07-12-2021"/>
    <s v="Vivo"/>
    <x v="0"/>
    <s v="11.2.01.0038"/>
    <s v="11.1.01.0893"/>
    <x v="0"/>
    <d v="2022-05-27T00:00:00"/>
  </r>
  <r>
    <n v="20910591"/>
    <m/>
    <m/>
    <m/>
    <m/>
    <m/>
    <m/>
    <m/>
    <m/>
    <s v="H"/>
    <x v="1"/>
    <s v="ANGUS ROJO"/>
    <x v="98"/>
    <s v="07-12-2021"/>
    <s v="Vivo"/>
    <x v="8"/>
    <s v="11.1.01.0893"/>
    <s v="11.1.01.0893"/>
    <x v="0"/>
    <d v="2022-05-27T00:00:00"/>
  </r>
  <r>
    <n v="20910601"/>
    <m/>
    <m/>
    <m/>
    <m/>
    <m/>
    <m/>
    <d v="2024-12-22T00:00:00"/>
    <d v="2025-01-14T00:00:00"/>
    <s v="H"/>
    <x v="1"/>
    <s v="ANGUS NEGRO"/>
    <x v="98"/>
    <s v="15-12-2021"/>
    <s v="Vivo"/>
    <x v="7"/>
    <s v="11.1.01.1241"/>
    <s v="11.1.01.1241"/>
    <x v="0"/>
    <d v="2022-05-28T00:00:00"/>
  </r>
  <r>
    <n v="20910604"/>
    <m/>
    <m/>
    <m/>
    <m/>
    <m/>
    <m/>
    <d v="2024-12-22T00:00:00"/>
    <d v="2025-01-14T00:00:00"/>
    <s v="H"/>
    <x v="1"/>
    <s v="ANGUS NEGRO"/>
    <x v="98"/>
    <s v="15-12-2021"/>
    <s v="Vivo"/>
    <x v="0"/>
    <s v="11.1.01.1022"/>
    <s v="11.1.01.1241"/>
    <x v="0"/>
    <d v="2022-05-28T00:00:00"/>
  </r>
  <r>
    <n v="20910606"/>
    <m/>
    <m/>
    <m/>
    <m/>
    <m/>
    <m/>
    <d v="2024-12-22T00:00:00"/>
    <d v="2025-01-14T00:00:00"/>
    <s v="H"/>
    <x v="1"/>
    <s v="ANGUS NEGRO"/>
    <x v="98"/>
    <s v="15-12-2021"/>
    <s v="Vivo"/>
    <x v="8"/>
    <s v="11.1.01.0190"/>
    <s v="11.1.01.1241"/>
    <x v="0"/>
    <d v="2022-05-28T00:00:00"/>
  </r>
  <r>
    <n v="20910607"/>
    <m/>
    <m/>
    <m/>
    <m/>
    <m/>
    <m/>
    <m/>
    <m/>
    <s v="H"/>
    <x v="1"/>
    <s v="ANGUS NEGRO"/>
    <x v="98"/>
    <s v="15-12-2021"/>
    <s v="Vivo"/>
    <x v="5"/>
    <s v="11.1.01.0893"/>
    <s v="11.1.01.1241"/>
    <x v="0"/>
    <d v="2022-05-28T00:00:00"/>
  </r>
  <r>
    <n v="20910608"/>
    <m/>
    <m/>
    <m/>
    <m/>
    <m/>
    <m/>
    <d v="2024-12-22T00:00:00"/>
    <d v="2025-11-04T00:00:00"/>
    <s v="H"/>
    <x v="1"/>
    <s v="ANGUS NEGRO"/>
    <x v="98"/>
    <s v="15-12-2021"/>
    <s v="Vivo"/>
    <x v="8"/>
    <s v="11.1.01.0190"/>
    <s v="11.1.01.1241"/>
    <x v="0"/>
    <d v="2022-05-28T00:00:00"/>
  </r>
  <r>
    <n v="20910610"/>
    <m/>
    <m/>
    <m/>
    <m/>
    <m/>
    <m/>
    <d v="2024-12-22T00:00:00"/>
    <d v="2025-11-04T00:00:00"/>
    <s v="H"/>
    <x v="1"/>
    <s v="ANGUS NEGRO"/>
    <x v="98"/>
    <s v="15-12-2021"/>
    <s v="Vivo"/>
    <x v="10"/>
    <s v="11.1.01.0190"/>
    <s v="11.1.01.1241"/>
    <x v="0"/>
    <d v="2022-05-28T00:00:00"/>
  </r>
  <r>
    <n v="20910612"/>
    <m/>
    <n v="6154958"/>
    <m/>
    <m/>
    <m/>
    <m/>
    <d v="2024-05-20T00:00:00"/>
    <m/>
    <s v="H"/>
    <x v="1"/>
    <s v="ANGUS NEGRO"/>
    <x v="37"/>
    <s v="30-09-2010"/>
    <s v="Vivo"/>
    <x v="6"/>
    <s v="11.1.01.1241"/>
    <s v="11.1.01.1241"/>
    <x v="0"/>
    <m/>
  </r>
  <r>
    <n v="20910613"/>
    <m/>
    <n v="6154794"/>
    <m/>
    <m/>
    <m/>
    <m/>
    <m/>
    <m/>
    <s v="H"/>
    <x v="1"/>
    <s v="ANGUS NEGRO"/>
    <x v="118"/>
    <s v="30-01-2011"/>
    <s v="Vivo"/>
    <x v="0"/>
    <s v="11.2.01.0038"/>
    <s v="11.1.01.1241"/>
    <x v="0"/>
    <m/>
  </r>
  <r>
    <n v="20910614"/>
    <m/>
    <n v="8392827"/>
    <m/>
    <m/>
    <m/>
    <m/>
    <d v="2024-05-20T00:00:00"/>
    <m/>
    <s v="H"/>
    <x v="1"/>
    <s v="ANGUS NEGRO"/>
    <x v="55"/>
    <s v="30-01-2013"/>
    <s v="Vivo"/>
    <x v="0"/>
    <s v="11.1.01.0870"/>
    <s v="11.1.01.1240"/>
    <x v="0"/>
    <m/>
  </r>
  <r>
    <n v="20910620"/>
    <m/>
    <m/>
    <m/>
    <m/>
    <m/>
    <m/>
    <d v="2024-12-22T00:00:00"/>
    <d v="2025-01-14T00:00:00"/>
    <s v="H"/>
    <x v="1"/>
    <s v="LIMOUSIN"/>
    <x v="117"/>
    <s v="30-12-2021"/>
    <s v="Vivo"/>
    <x v="0"/>
    <s v="11.1.01.1022"/>
    <s v="11.1.01.1241"/>
    <x v="0"/>
    <d v="2022-08-07T00:00:00"/>
  </r>
  <r>
    <n v="20910625"/>
    <m/>
    <m/>
    <m/>
    <m/>
    <m/>
    <m/>
    <m/>
    <m/>
    <s v="M"/>
    <x v="3"/>
    <s v="ANGUS ROJO"/>
    <x v="117"/>
    <s v="30-12-2021"/>
    <s v="Vivo"/>
    <x v="8"/>
    <s v="11.1.01.0190"/>
    <s v="11.1.01.1241"/>
    <x v="0"/>
    <d v="2022-08-07T00:00:00"/>
  </r>
  <r>
    <n v="20910636"/>
    <m/>
    <n v="14717775"/>
    <m/>
    <m/>
    <m/>
    <m/>
    <d v="2024-12-22T00:00:00"/>
    <d v="2025-01-14T00:00:00"/>
    <s v="H"/>
    <x v="1"/>
    <s v="ANGUS NEGRO"/>
    <x v="79"/>
    <s v="15-10-2016"/>
    <s v="Vivo"/>
    <x v="0"/>
    <s v="11.2.01.0038"/>
    <s v="11.1.01.0893"/>
    <x v="0"/>
    <m/>
  </r>
  <r>
    <n v="20910637"/>
    <m/>
    <m/>
    <m/>
    <m/>
    <m/>
    <m/>
    <d v="2024-12-22T00:00:00"/>
    <d v="2025-11-04T00:00:00"/>
    <s v="H"/>
    <x v="1"/>
    <s v="ANGUS NEGRO"/>
    <x v="51"/>
    <s v="15-10-2014"/>
    <s v="Vivo"/>
    <x v="8"/>
    <s v="11.1.01.0190"/>
    <s v="11.1.01.1241"/>
    <x v="2"/>
    <d v="2023-06-13T00:00:00"/>
  </r>
  <r>
    <n v="20910638"/>
    <m/>
    <n v="6155136"/>
    <m/>
    <m/>
    <m/>
    <m/>
    <d v="2024-12-22T00:00:00"/>
    <d v="2025-11-04T00:00:00"/>
    <s v="H"/>
    <x v="1"/>
    <s v="ANGUS NEGRO"/>
    <x v="44"/>
    <s v="30-11-2011"/>
    <s v="Vivo"/>
    <x v="10"/>
    <s v="11.1.01.0190"/>
    <s v="11.1.01.1241"/>
    <x v="0"/>
    <m/>
  </r>
  <r>
    <n v="20910640"/>
    <m/>
    <m/>
    <m/>
    <m/>
    <m/>
    <m/>
    <d v="2024-12-22T00:00:00"/>
    <d v="2025-01-14T00:00:00"/>
    <s v="H"/>
    <x v="1"/>
    <s v="ANGUS NEGRO"/>
    <x v="51"/>
    <s v="15-10-2014"/>
    <s v="Vivo"/>
    <x v="0"/>
    <s v="Sin Movimiento"/>
    <s v="11.1.01.1241"/>
    <x v="2"/>
    <d v="2023-06-13T00:00:00"/>
  </r>
  <r>
    <n v="20910641"/>
    <m/>
    <n v="8392478"/>
    <m/>
    <m/>
    <m/>
    <m/>
    <d v="2024-12-22T00:00:00"/>
    <d v="2025-01-14T00:00:00"/>
    <s v="H"/>
    <x v="1"/>
    <s v="ANGUS NEGRO"/>
    <x v="52"/>
    <s v="30-10-2012"/>
    <s v="Vivo"/>
    <x v="0"/>
    <s v="11.2.01.0038"/>
    <s v="11.1.01.1241"/>
    <x v="0"/>
    <m/>
  </r>
  <r>
    <n v="20910643"/>
    <m/>
    <n v="8933487"/>
    <m/>
    <m/>
    <m/>
    <m/>
    <d v="2024-12-22T00:00:00"/>
    <d v="2025-11-04T00:00:00"/>
    <s v="H"/>
    <x v="1"/>
    <s v="ANGUS NEGRO"/>
    <x v="66"/>
    <s v="30-10-2014"/>
    <s v="Vivo"/>
    <x v="8"/>
    <s v="11.1.01.0190"/>
    <s v="11.1.01.1081"/>
    <x v="0"/>
    <m/>
  </r>
  <r>
    <n v="20910650"/>
    <m/>
    <m/>
    <m/>
    <m/>
    <m/>
    <m/>
    <m/>
    <m/>
    <s v="M"/>
    <x v="3"/>
    <s v="ANGUS NEGRO"/>
    <x v="119"/>
    <s v="15-11-2022"/>
    <s v="Vivo"/>
    <x v="8"/>
    <s v="11.2.01.2086"/>
    <s v="11.1.01.1241"/>
    <x v="0"/>
    <d v="2023-06-14T00:00:00"/>
  </r>
  <r>
    <n v="20910653"/>
    <n v="2636172"/>
    <n v="18072809"/>
    <m/>
    <m/>
    <m/>
    <m/>
    <d v="2024-12-10T00:00:00"/>
    <m/>
    <s v="M"/>
    <x v="3"/>
    <s v="ANGUS NEGRO"/>
    <x v="107"/>
    <s v="15-12-2019"/>
    <s v="Vivo"/>
    <x v="3"/>
    <s v="11.1.01.0791"/>
    <s v="11.2.01.0251"/>
    <x v="0"/>
    <m/>
  </r>
  <r>
    <n v="20910654"/>
    <n v="2636142"/>
    <n v="19050239"/>
    <m/>
    <m/>
    <m/>
    <m/>
    <m/>
    <d v="2025-06-10T00:00:00"/>
    <s v="M"/>
    <x v="3"/>
    <s v="ANGUS NEGRO"/>
    <x v="92"/>
    <s v="12-11-2018"/>
    <s v="Vivo"/>
    <x v="0"/>
    <s v="11.2.01.0038"/>
    <s v="11.2.01.0251"/>
    <x v="0"/>
    <m/>
  </r>
  <r>
    <n v="20910659"/>
    <m/>
    <m/>
    <m/>
    <m/>
    <m/>
    <m/>
    <m/>
    <m/>
    <s v="M"/>
    <x v="3"/>
    <s v="OVERO NEGRO"/>
    <x v="120"/>
    <s v="15-12-2022"/>
    <s v="Vivo"/>
    <x v="8"/>
    <s v="11.1.01.0190"/>
    <s v="11.1.01.1241"/>
    <x v="0"/>
    <d v="2023-06-14T00:00:00"/>
  </r>
  <r>
    <n v="20910665"/>
    <m/>
    <m/>
    <m/>
    <m/>
    <m/>
    <m/>
    <m/>
    <d v="2025-11-08T00:00:00"/>
    <s v="H"/>
    <x v="4"/>
    <s v="ANGUS NEGRO"/>
    <x v="121"/>
    <s v="30-09-2023"/>
    <s v="Vivo"/>
    <x v="8"/>
    <s v="11.1.01.0190"/>
    <s v="11.1.01.1241"/>
    <x v="0"/>
    <m/>
  </r>
  <r>
    <n v="20910692"/>
    <m/>
    <m/>
    <m/>
    <m/>
    <m/>
    <m/>
    <m/>
    <d v="2025-11-08T00:00:00"/>
    <s v="H"/>
    <x v="4"/>
    <s v="ANGUS NEGRO"/>
    <x v="121"/>
    <s v="30-09-2023"/>
    <s v="Vivo"/>
    <x v="15"/>
    <s v="11.1.01.0941"/>
    <s v="11.1.01.1241"/>
    <x v="0"/>
    <m/>
  </r>
  <r>
    <n v="20910699"/>
    <m/>
    <m/>
    <m/>
    <m/>
    <m/>
    <m/>
    <m/>
    <m/>
    <s v="M"/>
    <x v="5"/>
    <s v="ANGUS ROJO"/>
    <x v="121"/>
    <s v="30-09-2023"/>
    <s v="Vivo"/>
    <x v="0"/>
    <s v="Sin Movimiento"/>
    <s v="11.1.01.1241"/>
    <x v="0"/>
    <m/>
  </r>
  <r>
    <n v="20910726"/>
    <m/>
    <m/>
    <m/>
    <m/>
    <m/>
    <m/>
    <m/>
    <d v="2025-11-08T00:00:00"/>
    <s v="H"/>
    <x v="4"/>
    <s v="ANGUS NEGRO"/>
    <x v="121"/>
    <s v="05-10-2023"/>
    <s v="Vivo"/>
    <x v="15"/>
    <s v="11.1.01.0941"/>
    <s v="11.1.01.1241"/>
    <x v="0"/>
    <m/>
  </r>
  <r>
    <n v="20910733"/>
    <m/>
    <m/>
    <m/>
    <m/>
    <m/>
    <m/>
    <m/>
    <d v="2025-11-08T00:00:00"/>
    <s v="H"/>
    <x v="4"/>
    <s v="ANGUS NEGRO"/>
    <x v="121"/>
    <s v="30-09-2023"/>
    <s v="Vivo"/>
    <x v="8"/>
    <s v="11.1.01.0190"/>
    <s v="11.1.01.1241"/>
    <x v="0"/>
    <m/>
  </r>
  <r>
    <n v="20910739"/>
    <m/>
    <n v="20910602"/>
    <m/>
    <m/>
    <m/>
    <m/>
    <d v="2024-12-22T00:00:00"/>
    <d v="2025-11-05T00:00:00"/>
    <s v="H"/>
    <x v="1"/>
    <s v="ANGUS NEGRO"/>
    <x v="98"/>
    <s v="15-12-2021"/>
    <s v="Vivo"/>
    <x v="8"/>
    <s v="11.1.01.0190"/>
    <s v="11.1.01.1241"/>
    <x v="0"/>
    <m/>
  </r>
  <r>
    <n v="20910740"/>
    <m/>
    <n v="8937516"/>
    <m/>
    <m/>
    <m/>
    <m/>
    <d v="2024-12-22T00:00:00"/>
    <d v="2025-01-14T00:00:00"/>
    <s v="H"/>
    <x v="1"/>
    <s v="ANGUS NEGRO"/>
    <x v="51"/>
    <s v="30-09-2014"/>
    <s v="Vivo"/>
    <x v="0"/>
    <s v="11.2.01.0038"/>
    <s v="11.1.01.2304"/>
    <x v="0"/>
    <m/>
  </r>
  <r>
    <n v="20910269"/>
    <m/>
    <m/>
    <m/>
    <m/>
    <m/>
    <m/>
    <d v="2024-05-18T00:00:00"/>
    <m/>
    <s v="M"/>
    <x v="3"/>
    <s v="ANGUS NEGRO"/>
    <x v="98"/>
    <s v="30-09-2021"/>
    <s v="Vivo"/>
    <x v="0"/>
    <s v="11.1.01.0893"/>
    <s v="11.1.01.0893"/>
    <x v="0"/>
    <m/>
  </r>
  <r>
    <n v="20910744"/>
    <m/>
    <n v="9320741"/>
    <m/>
    <m/>
    <m/>
    <m/>
    <m/>
    <m/>
    <s v="H"/>
    <x v="1"/>
    <s v="ANGUS ROJO"/>
    <x v="51"/>
    <s v="30-09-2014"/>
    <s v="Vivo"/>
    <x v="7"/>
    <s v="11.1.01.0893"/>
    <s v="11.2.01.2071"/>
    <x v="0"/>
    <m/>
  </r>
  <r>
    <n v="20910745"/>
    <m/>
    <n v="16843324"/>
    <m/>
    <m/>
    <m/>
    <m/>
    <m/>
    <m/>
    <s v="H"/>
    <x v="1"/>
    <s v="ANGUS NEGRO"/>
    <x v="92"/>
    <s v="20-10-2018"/>
    <s v="Vivo"/>
    <x v="7"/>
    <s v="11.1.01.0893"/>
    <s v="11.1.01.0893"/>
    <x v="0"/>
    <m/>
  </r>
  <r>
    <n v="20910747"/>
    <m/>
    <n v="8937616"/>
    <m/>
    <m/>
    <m/>
    <m/>
    <m/>
    <m/>
    <s v="H"/>
    <x v="1"/>
    <s v="HEREFORD"/>
    <x v="71"/>
    <s v="30-03-2015"/>
    <s v="Vivo"/>
    <x v="4"/>
    <s v="11.1.01.0893"/>
    <s v="11.1.01.2304"/>
    <x v="0"/>
    <m/>
  </r>
  <r>
    <n v="20910751"/>
    <n v="2636110"/>
    <m/>
    <m/>
    <m/>
    <m/>
    <m/>
    <m/>
    <m/>
    <s v="H"/>
    <x v="1"/>
    <s v="ANGUS NEGRO"/>
    <x v="97"/>
    <s v="01-11-2019"/>
    <s v="Vivo"/>
    <x v="0"/>
    <s v="Sin Movimiento"/>
    <s v="11.1.01.1241"/>
    <x v="2"/>
    <d v="2024-06-16T00:00:00"/>
  </r>
  <r>
    <n v="20910752"/>
    <m/>
    <m/>
    <m/>
    <m/>
    <m/>
    <m/>
    <d v="2024-01-06T00:00:00"/>
    <m/>
    <s v="H"/>
    <x v="1"/>
    <s v="ANGUS NEGRO"/>
    <x v="93"/>
    <s v="21-10-2020"/>
    <s v="Vivo"/>
    <x v="4"/>
    <s v="11.1.01.0893"/>
    <s v="11.1.01.0893"/>
    <x v="2"/>
    <m/>
  </r>
  <r>
    <n v="20910755"/>
    <m/>
    <n v="16843155"/>
    <m/>
    <m/>
    <m/>
    <m/>
    <d v="2024-01-06T00:00:00"/>
    <m/>
    <s v="H"/>
    <x v="1"/>
    <s v="ANGUS NEGRO"/>
    <x v="91"/>
    <s v="15-10-2018"/>
    <s v="Vivo"/>
    <x v="4"/>
    <s v="11.1.01.0893"/>
    <s v="11.1.01.1241"/>
    <x v="0"/>
    <m/>
  </r>
  <r>
    <n v="20910756"/>
    <m/>
    <m/>
    <m/>
    <m/>
    <m/>
    <m/>
    <d v="2024-01-06T00:00:00"/>
    <m/>
    <s v="H"/>
    <x v="1"/>
    <s v="ANGUS ROJO"/>
    <x v="93"/>
    <s v="21-10-2020"/>
    <s v="Vivo"/>
    <x v="14"/>
    <s v="11.1.01.0893"/>
    <s v="11.1.01.0893"/>
    <x v="2"/>
    <m/>
  </r>
  <r>
    <n v="20910757"/>
    <m/>
    <n v="16843343"/>
    <m/>
    <m/>
    <m/>
    <m/>
    <d v="2024-01-06T00:00:00"/>
    <m/>
    <s v="H"/>
    <x v="1"/>
    <s v="ANGUS NEGRO"/>
    <x v="24"/>
    <s v="10-09-2018"/>
    <s v="Vivo"/>
    <x v="4"/>
    <s v="11.1.01.0893"/>
    <s v="11.1.01.0893"/>
    <x v="0"/>
    <m/>
  </r>
  <r>
    <n v="20910758"/>
    <m/>
    <m/>
    <m/>
    <m/>
    <m/>
    <m/>
    <d v="2024-01-06T00:00:00"/>
    <m/>
    <s v="H"/>
    <x v="1"/>
    <s v="ANGUS ROJO"/>
    <x v="93"/>
    <s v="21-10-2020"/>
    <s v="Vivo"/>
    <x v="5"/>
    <s v="11.1.01.0893"/>
    <s v="11.1.01.0893"/>
    <x v="2"/>
    <m/>
  </r>
  <r>
    <n v="20910759"/>
    <m/>
    <n v="16843022"/>
    <m/>
    <m/>
    <m/>
    <m/>
    <m/>
    <m/>
    <s v="H"/>
    <x v="1"/>
    <s v="ANGUS NEGRO"/>
    <x v="91"/>
    <s v="20-09-2018"/>
    <s v="Vivo"/>
    <x v="4"/>
    <s v="11.1.01.0893"/>
    <s v="11.1.01.1241"/>
    <x v="0"/>
    <m/>
  </r>
  <r>
    <n v="20910760"/>
    <m/>
    <n v="16843218"/>
    <m/>
    <m/>
    <m/>
    <m/>
    <d v="2024-01-06T00:00:00"/>
    <m/>
    <s v="H"/>
    <x v="1"/>
    <s v="ANGUS NEGRO"/>
    <x v="91"/>
    <s v="20-09-2018"/>
    <s v="Vivo"/>
    <x v="4"/>
    <s v="11.1.01.0893"/>
    <s v="11.1.01.1241"/>
    <x v="0"/>
    <m/>
  </r>
  <r>
    <n v="20910762"/>
    <m/>
    <m/>
    <m/>
    <m/>
    <m/>
    <m/>
    <m/>
    <m/>
    <s v="H"/>
    <x v="1"/>
    <s v="ANGUS NEGRO"/>
    <x v="98"/>
    <s v="15-12-2021"/>
    <s v="Vivo"/>
    <x v="0"/>
    <s v="Sin Movimiento"/>
    <s v="11.1.01.1241"/>
    <x v="2"/>
    <d v="2025-04-27T00:00:00"/>
  </r>
  <r>
    <n v="20910763"/>
    <m/>
    <m/>
    <m/>
    <m/>
    <m/>
    <m/>
    <d v="2024-12-22T00:00:00"/>
    <d v="2025-01-14T00:00:00"/>
    <s v="H"/>
    <x v="1"/>
    <s v="ANGUS NEGRO"/>
    <x v="96"/>
    <s v="15-10-2019"/>
    <s v="Vivo"/>
    <x v="6"/>
    <s v="11.1.01.1241"/>
    <s v="11.1.01.1241"/>
    <x v="2"/>
    <m/>
  </r>
  <r>
    <n v="20910764"/>
    <m/>
    <m/>
    <m/>
    <m/>
    <m/>
    <m/>
    <d v="2024-12-22T00:00:00"/>
    <d v="2025-11-04T00:00:00"/>
    <s v="H"/>
    <x v="1"/>
    <s v="ANGUS NEGRO"/>
    <x v="96"/>
    <s v="15-10-2019"/>
    <s v="Vivo"/>
    <x v="10"/>
    <s v="11.1.01.0190"/>
    <s v="11.1.01.1241"/>
    <x v="2"/>
    <m/>
  </r>
  <r>
    <n v="20910766"/>
    <n v="2636163"/>
    <n v="19050225"/>
    <m/>
    <m/>
    <m/>
    <m/>
    <m/>
    <m/>
    <s v="M"/>
    <x v="3"/>
    <s v="ANGUS NEGRO"/>
    <x v="92"/>
    <s v="29-10-2018"/>
    <s v="Vivo"/>
    <x v="4"/>
    <s v="11.1.01.1241"/>
    <s v="11.2.01.0251"/>
    <x v="0"/>
    <m/>
  </r>
  <r>
    <n v="20910767"/>
    <n v="2636131"/>
    <n v="19050226"/>
    <m/>
    <m/>
    <m/>
    <m/>
    <m/>
    <d v="2025-06-10T00:00:00"/>
    <s v="M"/>
    <x v="3"/>
    <s v="ANGUS NEGRO"/>
    <x v="72"/>
    <s v="30-09-2015"/>
    <s v="Vivo"/>
    <x v="4"/>
    <s v="11.1.01.1241"/>
    <s v="11.1.01.0290"/>
    <x v="0"/>
    <m/>
  </r>
  <r>
    <n v="20910768"/>
    <m/>
    <m/>
    <m/>
    <m/>
    <m/>
    <m/>
    <m/>
    <d v="2025-06-10T00:00:00"/>
    <s v="M"/>
    <x v="5"/>
    <s v="ANGUS NEGRO"/>
    <x v="122"/>
    <s v="20-01-2023"/>
    <s v="Vivo"/>
    <x v="8"/>
    <s v="11.1.01.0190"/>
    <s v="11.1.01.1241"/>
    <x v="0"/>
    <m/>
  </r>
  <r>
    <n v="20910769"/>
    <n v="2636170"/>
    <n v="19776849"/>
    <m/>
    <m/>
    <m/>
    <m/>
    <m/>
    <m/>
    <s v="M"/>
    <x v="3"/>
    <s v="ANGUS NEGRO"/>
    <x v="108"/>
    <s v="15-09-2020"/>
    <s v="Vivo"/>
    <x v="4"/>
    <s v="11.1.01.1241"/>
    <s v="11.1.01.0290"/>
    <x v="2"/>
    <d v="2024-05-21T00:00:00"/>
  </r>
  <r>
    <n v="20910770"/>
    <m/>
    <m/>
    <m/>
    <m/>
    <m/>
    <m/>
    <d v="2024-05-20T00:00:00"/>
    <d v="2025-11-05T00:00:00"/>
    <s v="H"/>
    <x v="1"/>
    <s v="ANGUS NEGRO"/>
    <x v="97"/>
    <s v="01-11-2019"/>
    <s v="Vivo"/>
    <x v="8"/>
    <s v="11.1.01.0190"/>
    <s v="11.1.01.1241"/>
    <x v="2"/>
    <d v="2024-05-21T00:00:00"/>
  </r>
  <r>
    <n v="20910771"/>
    <m/>
    <n v="14718270"/>
    <m/>
    <m/>
    <m/>
    <m/>
    <d v="2024-12-22T00:00:00"/>
    <d v="2025-11-05T00:00:00"/>
    <s v="H"/>
    <x v="1"/>
    <s v="ANGUS NEGRO"/>
    <x v="79"/>
    <s v="10-10-2016"/>
    <s v="Vivo"/>
    <x v="8"/>
    <s v="11.1.01.0190"/>
    <s v="11.1.01.0893"/>
    <x v="0"/>
    <m/>
  </r>
  <r>
    <n v="20910773"/>
    <m/>
    <n v="16843440"/>
    <m/>
    <m/>
    <m/>
    <m/>
    <d v="2024-01-06T00:00:00"/>
    <m/>
    <s v="H"/>
    <x v="1"/>
    <s v="ANGUS NEGRO"/>
    <x v="91"/>
    <s v="30-09-2018"/>
    <s v="Vivo"/>
    <x v="4"/>
    <s v="11.1.01.0893"/>
    <s v="11.1.01.0893"/>
    <x v="0"/>
    <m/>
  </r>
  <r>
    <n v="20910774"/>
    <m/>
    <n v="15661159"/>
    <m/>
    <m/>
    <m/>
    <m/>
    <m/>
    <m/>
    <s v="H"/>
    <x v="1"/>
    <s v="ANGUS NEGRO"/>
    <x v="84"/>
    <s v="20-09-2017"/>
    <s v="Vivo"/>
    <x v="7"/>
    <s v="11.1.01.0893"/>
    <s v="11.1.01.1241"/>
    <x v="0"/>
    <m/>
  </r>
  <r>
    <n v="20910775"/>
    <m/>
    <n v="14717892"/>
    <m/>
    <m/>
    <m/>
    <m/>
    <m/>
    <m/>
    <s v="H"/>
    <x v="1"/>
    <s v="LIMOUSIN"/>
    <x v="79"/>
    <s v="15-10-2016"/>
    <s v="Vivo"/>
    <x v="3"/>
    <s v="11.1.01.1081"/>
    <s v="11.1.01.1081"/>
    <x v="0"/>
    <m/>
  </r>
  <r>
    <n v="20910776"/>
    <m/>
    <n v="16843302"/>
    <m/>
    <m/>
    <m/>
    <m/>
    <d v="2024-01-06T00:00:00"/>
    <m/>
    <s v="H"/>
    <x v="1"/>
    <s v="ANGUS NEGRO"/>
    <x v="92"/>
    <s v="20-10-2018"/>
    <s v="Vivo"/>
    <x v="4"/>
    <s v="11.1.01.0893"/>
    <s v="11.1.01.0893"/>
    <x v="0"/>
    <m/>
  </r>
  <r>
    <n v="20910777"/>
    <m/>
    <n v="16843375"/>
    <m/>
    <m/>
    <m/>
    <m/>
    <m/>
    <m/>
    <s v="H"/>
    <x v="1"/>
    <s v="ANGUS NEGRO"/>
    <x v="24"/>
    <s v="10-09-2018"/>
    <s v="Vivo"/>
    <x v="5"/>
    <s v="11.1.01.0893"/>
    <s v="11.1.01.0893"/>
    <x v="0"/>
    <m/>
  </r>
  <r>
    <n v="20910778"/>
    <m/>
    <n v="16843232"/>
    <m/>
    <m/>
    <m/>
    <m/>
    <m/>
    <m/>
    <s v="H"/>
    <x v="1"/>
    <s v="ANGUS NEGRO"/>
    <x v="24"/>
    <s v="30-08-2018"/>
    <s v="Vivo"/>
    <x v="7"/>
    <s v="11.1.01.0893"/>
    <s v="11.1.01.0893"/>
    <x v="0"/>
    <m/>
  </r>
  <r>
    <n v="20910779"/>
    <m/>
    <n v="16843282"/>
    <m/>
    <m/>
    <m/>
    <m/>
    <m/>
    <m/>
    <s v="H"/>
    <x v="1"/>
    <s v="ANGUS NEGRO"/>
    <x v="24"/>
    <s v="10-09-2018"/>
    <s v="Vivo"/>
    <x v="4"/>
    <s v="11.1.01.0893"/>
    <s v="11.1.01.0893"/>
    <x v="0"/>
    <m/>
  </r>
  <r>
    <n v="20910784"/>
    <m/>
    <m/>
    <m/>
    <m/>
    <m/>
    <m/>
    <m/>
    <m/>
    <s v="no existe"/>
    <x v="2"/>
    <s v="no existe"/>
    <x v="4"/>
    <s v="no existe"/>
    <s v="no existe"/>
    <x v="1"/>
    <s v="no existe"/>
    <s v="no existe"/>
    <x v="1"/>
    <d v="2023-05-19T00:00:00"/>
  </r>
  <r>
    <n v="20910785"/>
    <m/>
    <m/>
    <m/>
    <m/>
    <m/>
    <m/>
    <d v="2024-01-06T00:00:00"/>
    <m/>
    <s v="H"/>
    <x v="1"/>
    <s v="ANGUS NEGRO"/>
    <x v="95"/>
    <s v="15-10-2020"/>
    <s v="Vivo"/>
    <x v="4"/>
    <s v="11.1.01.0893"/>
    <s v="11.1.01.0893"/>
    <x v="2"/>
    <d v="2023-05-19T00:00:00"/>
  </r>
  <r>
    <n v="20910786"/>
    <m/>
    <m/>
    <m/>
    <m/>
    <m/>
    <m/>
    <m/>
    <m/>
    <s v="H"/>
    <x v="1"/>
    <s v="ANGUS NEGRO"/>
    <x v="95"/>
    <s v="15-10-2020"/>
    <s v="Vivo"/>
    <x v="8"/>
    <s v="11.1.01.0893"/>
    <s v="11.1.01.0893"/>
    <x v="2"/>
    <d v="2023-05-19T00:00:00"/>
  </r>
  <r>
    <n v="20910787"/>
    <m/>
    <m/>
    <m/>
    <m/>
    <m/>
    <m/>
    <d v="2024-01-06T00:00:00"/>
    <m/>
    <s v="H"/>
    <x v="1"/>
    <s v="ANGUS NEGRO"/>
    <x v="95"/>
    <s v="15-10-2020"/>
    <s v="Vivo"/>
    <x v="4"/>
    <s v="11.1.01.0893"/>
    <s v="11.1.01.0893"/>
    <x v="2"/>
    <d v="2023-05-19T00:00:00"/>
  </r>
  <r>
    <n v="20910788"/>
    <m/>
    <m/>
    <m/>
    <m/>
    <m/>
    <m/>
    <d v="2024-01-06T00:00:00"/>
    <m/>
    <s v="H"/>
    <x v="1"/>
    <s v="ANGUS NEGRO"/>
    <x v="95"/>
    <s v="15-10-2020"/>
    <s v="Vivo"/>
    <x v="4"/>
    <s v="11.1.01.0893"/>
    <s v="11.1.01.0893"/>
    <x v="2"/>
    <d v="2023-05-19T00:00:00"/>
  </r>
  <r>
    <n v="20910790"/>
    <m/>
    <m/>
    <m/>
    <m/>
    <m/>
    <m/>
    <d v="2024-01-06T00:00:00"/>
    <m/>
    <s v="H"/>
    <x v="1"/>
    <s v="ANGUS NEGRO"/>
    <x v="95"/>
    <s v="15-10-2020"/>
    <s v="Vivo"/>
    <x v="5"/>
    <s v="11.1.01.0893"/>
    <s v="11.1.01.0893"/>
    <x v="2"/>
    <d v="2023-05-19T00:00:00"/>
  </r>
  <r>
    <n v="20910791"/>
    <m/>
    <m/>
    <m/>
    <m/>
    <m/>
    <m/>
    <m/>
    <m/>
    <s v="H"/>
    <x v="1"/>
    <s v="ANGUS NEGRO"/>
    <x v="95"/>
    <s v="15-10-2020"/>
    <s v="Vivo"/>
    <x v="4"/>
    <s v="11.1.01.0893"/>
    <s v="11.1.01.0893"/>
    <x v="2"/>
    <d v="2023-05-19T00:00:00"/>
  </r>
  <r>
    <n v="20910792"/>
    <m/>
    <m/>
    <m/>
    <m/>
    <m/>
    <m/>
    <m/>
    <m/>
    <s v="H"/>
    <x v="1"/>
    <s v="ANGUS NEGRO"/>
    <x v="95"/>
    <s v="15-10-2020"/>
    <s v="Vivo"/>
    <x v="4"/>
    <s v="11.1.01.0893"/>
    <s v="11.1.01.0893"/>
    <x v="2"/>
    <d v="2023-05-19T00:00:00"/>
  </r>
  <r>
    <n v="20910793"/>
    <m/>
    <m/>
    <m/>
    <m/>
    <m/>
    <m/>
    <m/>
    <m/>
    <s v="H"/>
    <x v="1"/>
    <s v="ANGUS NEGRO"/>
    <x v="95"/>
    <s v="15-10-2020"/>
    <s v="Vivo"/>
    <x v="5"/>
    <s v="11.1.01.0893"/>
    <s v="11.1.01.0893"/>
    <x v="2"/>
    <d v="2023-05-19T00:00:00"/>
  </r>
  <r>
    <n v="20910794"/>
    <m/>
    <m/>
    <m/>
    <m/>
    <m/>
    <m/>
    <m/>
    <m/>
    <s v="H"/>
    <x v="1"/>
    <s v="ANGUS NEGRO"/>
    <x v="95"/>
    <s v="15-10-2020"/>
    <s v="Vivo"/>
    <x v="4"/>
    <s v="11.1.01.0893"/>
    <s v="11.1.01.0893"/>
    <x v="2"/>
    <d v="2023-05-19T00:00:00"/>
  </r>
  <r>
    <n v="20910796"/>
    <m/>
    <n v="8937509"/>
    <m/>
    <m/>
    <m/>
    <m/>
    <d v="2024-05-20T00:00:00"/>
    <m/>
    <s v="H"/>
    <x v="1"/>
    <s v="ANGUS ROJO"/>
    <x v="51"/>
    <s v="30-09-2014"/>
    <s v="Vivo"/>
    <x v="0"/>
    <s v="11.2.01.0038"/>
    <s v="11.1.01.2304"/>
    <x v="0"/>
    <m/>
  </r>
  <r>
    <n v="20910799"/>
    <m/>
    <n v="16843423"/>
    <m/>
    <m/>
    <m/>
    <m/>
    <d v="2024-01-06T00:00:00"/>
    <m/>
    <s v="H"/>
    <x v="1"/>
    <s v="ANGUS NEGRO"/>
    <x v="91"/>
    <s v="20-09-2018"/>
    <s v="Vivo"/>
    <x v="4"/>
    <s v="11.1.01.0893"/>
    <s v="11.1.01.0893"/>
    <x v="0"/>
    <m/>
  </r>
  <r>
    <n v="20910800"/>
    <m/>
    <n v="16843194"/>
    <m/>
    <m/>
    <m/>
    <m/>
    <d v="2024-01-06T00:00:00"/>
    <m/>
    <s v="H"/>
    <x v="1"/>
    <s v="ANGUS NEGRO"/>
    <x v="91"/>
    <s v="20-09-2018"/>
    <s v="Vivo"/>
    <x v="4"/>
    <s v="11.1.01.0893"/>
    <s v="11.1.01.1241"/>
    <x v="0"/>
    <m/>
  </r>
  <r>
    <n v="20916625"/>
    <m/>
    <m/>
    <m/>
    <m/>
    <m/>
    <m/>
    <m/>
    <m/>
    <s v="H"/>
    <x v="1"/>
    <s v="ANGUS NEGRO"/>
    <x v="123"/>
    <s v="15-03-2022"/>
    <s v="Vivo"/>
    <x v="15"/>
    <s v="Sin Movimiento"/>
    <s v="11.1.01.1022"/>
    <x v="0"/>
    <d v="2022-04-07T00:00:00"/>
  </r>
  <r>
    <n v="20916627"/>
    <m/>
    <m/>
    <m/>
    <m/>
    <m/>
    <m/>
    <m/>
    <m/>
    <s v="H"/>
    <x v="1"/>
    <s v="ANGUS NEGRO"/>
    <x v="124"/>
    <s v="15-02-2022"/>
    <s v="Vivo"/>
    <x v="15"/>
    <s v="Sin Movimiento"/>
    <s v="11.1.01.1022"/>
    <x v="0"/>
    <d v="2022-04-07T00:00:00"/>
  </r>
  <r>
    <n v="20916632"/>
    <m/>
    <m/>
    <m/>
    <m/>
    <m/>
    <m/>
    <m/>
    <m/>
    <s v="H"/>
    <x v="1"/>
    <s v="ANGUS ROJO"/>
    <x v="117"/>
    <s v="15-01-2022"/>
    <s v="Vivo"/>
    <x v="15"/>
    <s v="Sin Movimiento"/>
    <s v="11.1.01.1022"/>
    <x v="0"/>
    <d v="2022-04-07T00:00:00"/>
  </r>
  <r>
    <n v="20916635"/>
    <m/>
    <m/>
    <m/>
    <m/>
    <m/>
    <m/>
    <m/>
    <m/>
    <s v="H"/>
    <x v="1"/>
    <s v="ANGUS ROJO"/>
    <x v="117"/>
    <s v="15-01-2022"/>
    <s v="Vivo"/>
    <x v="15"/>
    <s v="Sin Movimiento"/>
    <s v="11.1.01.1022"/>
    <x v="0"/>
    <d v="2022-11-15T00:00:00"/>
  </r>
  <r>
    <n v="21070641"/>
    <m/>
    <m/>
    <m/>
    <m/>
    <m/>
    <m/>
    <m/>
    <m/>
    <s v="M"/>
    <x v="6"/>
    <s v="ANGUS NEGRO"/>
    <x v="125"/>
    <s v="15-09-2023"/>
    <s v="Vivo"/>
    <x v="15"/>
    <s v="11.1.01.0893"/>
    <s v="11.1.01.0290"/>
    <x v="0"/>
    <m/>
  </r>
  <r>
    <n v="22350004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02T00:00:00"/>
  </r>
  <r>
    <n v="22350005"/>
    <m/>
    <m/>
    <m/>
    <m/>
    <m/>
    <m/>
    <d v="2024-11-27T00:00:00"/>
    <d v="2025-07-10T00:00:00"/>
    <s v="H"/>
    <x v="1"/>
    <s v="ANGUS NEGRO"/>
    <x v="119"/>
    <s v="20-10-2022"/>
    <s v="Vivo"/>
    <x v="5"/>
    <s v="11.1.01.0893"/>
    <s v="11.1.01.1241"/>
    <x v="0"/>
    <d v="2022-11-15T00:00:00"/>
  </r>
  <r>
    <n v="22350007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15T00:00:00"/>
  </r>
  <r>
    <n v="22350010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02T00:00:00"/>
  </r>
  <r>
    <n v="22350017"/>
    <m/>
    <m/>
    <m/>
    <m/>
    <m/>
    <m/>
    <d v="2024-11-27T00:00:00"/>
    <d v="2025-07-10T00:00:00"/>
    <s v="H"/>
    <x v="1"/>
    <s v="ANGUS NEGRO"/>
    <x v="114"/>
    <s v="02-10-2022"/>
    <s v="Vivo"/>
    <x v="5"/>
    <s v="11.1.01.0893"/>
    <s v="11.1.01.1241"/>
    <x v="0"/>
    <d v="2022-11-15T00:00:00"/>
  </r>
  <r>
    <n v="22350029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02T00:00:00"/>
  </r>
  <r>
    <n v="22350033"/>
    <m/>
    <m/>
    <m/>
    <m/>
    <m/>
    <m/>
    <d v="2024-11-27T00:00:00"/>
    <d v="2025-07-10T00:00:00"/>
    <s v="H"/>
    <x v="1"/>
    <s v="ANGUS NEGRO"/>
    <x v="119"/>
    <s v="20-10-2022"/>
    <s v="Vivo"/>
    <x v="5"/>
    <s v="11.1.01.0893"/>
    <s v="11.1.01.1241"/>
    <x v="0"/>
    <d v="2022-11-15T00:00:00"/>
  </r>
  <r>
    <n v="22350053"/>
    <m/>
    <m/>
    <m/>
    <m/>
    <m/>
    <m/>
    <m/>
    <m/>
    <s v="M"/>
    <x v="3"/>
    <s v="ANGUS NEGRO"/>
    <x v="126"/>
    <s v="04-09-2022"/>
    <s v="Vivo"/>
    <x v="8"/>
    <s v="11.1.01.0190"/>
    <s v="11.1.01.1241"/>
    <x v="0"/>
    <d v="2022-11-15T00:00:00"/>
  </r>
  <r>
    <n v="22350056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02T00:00:00"/>
  </r>
  <r>
    <n v="22350057"/>
    <m/>
    <m/>
    <m/>
    <m/>
    <m/>
    <m/>
    <m/>
    <m/>
    <s v="M"/>
    <x v="3"/>
    <s v="ANGUS NEGRO"/>
    <x v="119"/>
    <s v="20-10-2022"/>
    <s v="Vivo"/>
    <x v="0"/>
    <s v="Sin Movimiento"/>
    <s v="11.1.01.1241"/>
    <x v="0"/>
    <d v="2022-11-02T00:00:00"/>
  </r>
  <r>
    <n v="22350059"/>
    <m/>
    <m/>
    <m/>
    <m/>
    <m/>
    <m/>
    <m/>
    <m/>
    <s v="H"/>
    <x v="1"/>
    <s v="ANGUS ROJO"/>
    <x v="119"/>
    <s v="25-10-2022"/>
    <s v="Vivo"/>
    <x v="0"/>
    <s v="Sin Movimiento"/>
    <s v="11.1.01.1241"/>
    <x v="0"/>
    <d v="2022-11-02T00:00:00"/>
  </r>
  <r>
    <n v="22350062"/>
    <m/>
    <m/>
    <m/>
    <m/>
    <m/>
    <m/>
    <d v="2024-11-27T00:00:00"/>
    <m/>
    <s v="H"/>
    <x v="1"/>
    <s v="ANGUS NEGRO"/>
    <x v="119"/>
    <s v="20-10-2022"/>
    <s v="Vivo"/>
    <x v="7"/>
    <s v="11.1.01.0893"/>
    <s v="11.1.01.1241"/>
    <x v="0"/>
    <d v="2022-11-15T00:00:00"/>
  </r>
  <r>
    <n v="22350063"/>
    <m/>
    <m/>
    <m/>
    <m/>
    <m/>
    <m/>
    <m/>
    <m/>
    <s v="H"/>
    <x v="1"/>
    <s v="ANGUS NEGRO"/>
    <x v="114"/>
    <s v="30-09-2022"/>
    <s v="Vivo"/>
    <x v="2"/>
    <s v="11.2.01.0053"/>
    <s v="11.1.01.1241"/>
    <x v="0"/>
    <d v="2022-11-15T00:00:00"/>
  </r>
  <r>
    <n v="22350066"/>
    <m/>
    <m/>
    <m/>
    <m/>
    <m/>
    <m/>
    <d v="2024-11-27T00:00:00"/>
    <m/>
    <s v="H"/>
    <x v="1"/>
    <s v="ANGUS NEGRO"/>
    <x v="119"/>
    <s v="25-10-2022"/>
    <s v="Vivo"/>
    <x v="4"/>
    <s v="11.1.01.0893"/>
    <s v="11.1.01.1241"/>
    <x v="0"/>
    <d v="2022-11-02T00:00:00"/>
  </r>
  <r>
    <n v="22350068"/>
    <m/>
    <m/>
    <m/>
    <m/>
    <m/>
    <m/>
    <d v="2024-11-27T00:00:00"/>
    <d v="2025-11-04T00:00:00"/>
    <s v="H"/>
    <x v="1"/>
    <s v="ANGUS NEGRO"/>
    <x v="119"/>
    <s v="25-10-2022"/>
    <s v="Vivo"/>
    <x v="8"/>
    <s v="11.1.01.0190"/>
    <s v="11.1.01.1241"/>
    <x v="0"/>
    <d v="2022-11-02T00:00:00"/>
  </r>
  <r>
    <n v="22350072"/>
    <m/>
    <m/>
    <m/>
    <m/>
    <m/>
    <m/>
    <d v="2024-11-27T00:00:00"/>
    <d v="2025-07-10T00:00:00"/>
    <s v="H"/>
    <x v="1"/>
    <s v="ANGUS NEGRO"/>
    <x v="126"/>
    <s v="11-09-2022"/>
    <s v="Vivo"/>
    <x v="5"/>
    <s v="11.1.01.0893"/>
    <s v="11.1.01.1241"/>
    <x v="0"/>
    <d v="2022-11-15T00:00:00"/>
  </r>
  <r>
    <n v="22350081"/>
    <m/>
    <m/>
    <m/>
    <m/>
    <m/>
    <m/>
    <m/>
    <m/>
    <s v="H"/>
    <x v="1"/>
    <s v="ANGUS NEGRO"/>
    <x v="114"/>
    <s v="30-09-2022"/>
    <s v="Vivo"/>
    <x v="4"/>
    <s v="11.1.01.1241"/>
    <s v="11.1.01.1241"/>
    <x v="0"/>
    <d v="2022-11-02T00:00:00"/>
  </r>
  <r>
    <n v="22350082"/>
    <m/>
    <m/>
    <m/>
    <m/>
    <m/>
    <m/>
    <m/>
    <m/>
    <s v="H"/>
    <x v="1"/>
    <s v="ANGUS NEGRO"/>
    <x v="114"/>
    <s v="10-10-2022"/>
    <s v="Vivo"/>
    <x v="2"/>
    <s v="11.2.01.0053"/>
    <s v="11.1.01.1241"/>
    <x v="0"/>
    <d v="2022-11-02T00:00:00"/>
  </r>
  <r>
    <n v="22350085"/>
    <m/>
    <m/>
    <m/>
    <m/>
    <m/>
    <m/>
    <m/>
    <m/>
    <s v="H"/>
    <x v="1"/>
    <s v="ANGUS ROJO"/>
    <x v="119"/>
    <s v="20-10-2022"/>
    <s v="Vivo"/>
    <x v="0"/>
    <s v="Sin Movimiento"/>
    <s v="11.1.01.1241"/>
    <x v="0"/>
    <d v="2022-11-02T00:00:00"/>
  </r>
  <r>
    <n v="22350089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02T00:00:00"/>
  </r>
  <r>
    <n v="22350090"/>
    <m/>
    <m/>
    <m/>
    <m/>
    <m/>
    <m/>
    <d v="2024-11-27T00:00:00"/>
    <d v="2025-07-10T00:00:00"/>
    <s v="H"/>
    <x v="1"/>
    <s v="ANGUS NEGRO"/>
    <x v="114"/>
    <s v="30-09-2022"/>
    <s v="Vivo"/>
    <x v="3"/>
    <s v="11.1.01.1022"/>
    <s v="11.1.01.1241"/>
    <x v="0"/>
    <d v="2022-11-15T00:00:00"/>
  </r>
  <r>
    <n v="22350095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03T00:00:00"/>
  </r>
  <r>
    <n v="22350096"/>
    <m/>
    <m/>
    <m/>
    <m/>
    <m/>
    <m/>
    <d v="2024-11-27T00:00:00"/>
    <d v="2025-07-10T00:00:00"/>
    <s v="H"/>
    <x v="1"/>
    <s v="ANGUS NEGRO"/>
    <x v="119"/>
    <s v="20-10-2022"/>
    <s v="Vivo"/>
    <x v="5"/>
    <s v="11.1.01.0893"/>
    <s v="11.1.01.1241"/>
    <x v="0"/>
    <d v="2022-11-03T00:00:00"/>
  </r>
  <r>
    <n v="22350102"/>
    <m/>
    <m/>
    <m/>
    <m/>
    <m/>
    <m/>
    <m/>
    <m/>
    <s v="H"/>
    <x v="1"/>
    <s v="ANGUS ROJO"/>
    <x v="114"/>
    <s v="20-09-2022"/>
    <s v="Vivo"/>
    <x v="2"/>
    <s v="11.1.01.0941"/>
    <s v="11.1.01.1241"/>
    <x v="0"/>
    <d v="2022-11-03T00:00:00"/>
  </r>
  <r>
    <n v="22350106"/>
    <m/>
    <m/>
    <m/>
    <m/>
    <m/>
    <m/>
    <m/>
    <m/>
    <s v="H"/>
    <x v="1"/>
    <s v="ANGUS NEGRO"/>
    <x v="119"/>
    <s v="20-10-2022"/>
    <s v="Vivo"/>
    <x v="0"/>
    <s v="Sin Movimiento"/>
    <s v="11.1.01.1241"/>
    <x v="0"/>
    <d v="2022-11-03T00:00:00"/>
  </r>
  <r>
    <n v="22350111"/>
    <m/>
    <m/>
    <m/>
    <m/>
    <m/>
    <m/>
    <d v="2024-11-27T00:00:00"/>
    <d v="2025-07-10T00:00:00"/>
    <s v="H"/>
    <x v="1"/>
    <s v="ANGUS NEGRO"/>
    <x v="119"/>
    <s v="20-10-2022"/>
    <s v="Vivo"/>
    <x v="15"/>
    <s v="11.1.01.0893"/>
    <s v="11.1.01.1241"/>
    <x v="0"/>
    <d v="2022-11-15T00:00:00"/>
  </r>
  <r>
    <n v="22350119"/>
    <m/>
    <m/>
    <m/>
    <m/>
    <m/>
    <m/>
    <d v="2024-11-27T00:00:00"/>
    <d v="2025-07-10T00:00:00"/>
    <s v="H"/>
    <x v="1"/>
    <s v="ANGUS ROJO"/>
    <x v="114"/>
    <s v="30-09-2022"/>
    <s v="Vivo"/>
    <x v="5"/>
    <s v="11.1.01.0893"/>
    <s v="11.1.01.1241"/>
    <x v="0"/>
    <d v="2022-11-03T00:00:00"/>
  </r>
  <r>
    <n v="22350125"/>
    <m/>
    <m/>
    <m/>
    <m/>
    <m/>
    <m/>
    <m/>
    <m/>
    <s v="M"/>
    <x v="3"/>
    <s v="ANGUS NEGRO"/>
    <x v="119"/>
    <s v="20-10-2022"/>
    <s v="Vivo"/>
    <x v="0"/>
    <s v="Sin Movimiento"/>
    <s v="11.1.01.1241"/>
    <x v="0"/>
    <d v="2022-11-03T00:00:00"/>
  </r>
  <r>
    <n v="22350126"/>
    <m/>
    <m/>
    <m/>
    <m/>
    <m/>
    <m/>
    <m/>
    <m/>
    <s v="M"/>
    <x v="3"/>
    <s v="ANGUS ROJO"/>
    <x v="119"/>
    <s v="30-10-2022"/>
    <s v="Vivo"/>
    <x v="8"/>
    <s v="11.1.01.0190"/>
    <s v="11.1.01.1241"/>
    <x v="0"/>
    <d v="2022-11-03T00:00:00"/>
  </r>
  <r>
    <n v="22350132"/>
    <m/>
    <m/>
    <m/>
    <m/>
    <m/>
    <m/>
    <m/>
    <m/>
    <s v="H"/>
    <x v="1"/>
    <s v="ANGUS NEGRO"/>
    <x v="119"/>
    <s v="25-10-2022"/>
    <s v="Vivo"/>
    <x v="0"/>
    <s v="Sin Movimiento"/>
    <s v="11.1.01.1241"/>
    <x v="0"/>
    <d v="2022-11-15T00:00:00"/>
  </r>
  <r>
    <n v="22350144"/>
    <m/>
    <m/>
    <m/>
    <m/>
    <m/>
    <m/>
    <d v="2024-11-27T00:00:00"/>
    <d v="2025-07-10T00:00:00"/>
    <s v="H"/>
    <x v="1"/>
    <s v="ANGUS ROJO"/>
    <x v="114"/>
    <s v="30-09-2022"/>
    <s v="Vivo"/>
    <x v="5"/>
    <s v="11.1.01.0893"/>
    <s v="11.1.01.1241"/>
    <x v="0"/>
    <d v="2022-11-03T00:00:00"/>
  </r>
  <r>
    <n v="22350149"/>
    <m/>
    <m/>
    <m/>
    <m/>
    <m/>
    <m/>
    <m/>
    <m/>
    <s v="H"/>
    <x v="1"/>
    <s v="ANGUS ROJO"/>
    <x v="119"/>
    <s v="20-10-2022"/>
    <s v="Vivo"/>
    <x v="0"/>
    <s v="Sin Movimiento"/>
    <s v="11.1.01.1241"/>
    <x v="0"/>
    <d v="2022-11-03T00:00:00"/>
  </r>
  <r>
    <n v="22350151"/>
    <m/>
    <m/>
    <m/>
    <m/>
    <m/>
    <m/>
    <m/>
    <m/>
    <s v="H"/>
    <x v="1"/>
    <s v="ANGUS ROJO"/>
    <x v="114"/>
    <s v="30-09-2022"/>
    <s v="Vivo"/>
    <x v="0"/>
    <s v="Sin Movimiento"/>
    <s v="11.1.01.1241"/>
    <x v="0"/>
    <d v="2022-11-03T00:00:00"/>
  </r>
  <r>
    <n v="22350152"/>
    <m/>
    <m/>
    <m/>
    <m/>
    <m/>
    <m/>
    <m/>
    <m/>
    <s v="M"/>
    <x v="3"/>
    <s v="ANGUS NEGRO"/>
    <x v="114"/>
    <s v="05-10-2022"/>
    <s v="Vivo"/>
    <x v="0"/>
    <s v="Sin Movimiento"/>
    <s v="11.1.01.1241"/>
    <x v="0"/>
    <d v="2022-11-15T00:00:00"/>
  </r>
  <r>
    <n v="22350153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03T00:00:00"/>
  </r>
  <r>
    <n v="22350154"/>
    <m/>
    <m/>
    <m/>
    <m/>
    <m/>
    <m/>
    <m/>
    <m/>
    <s v="M"/>
    <x v="3"/>
    <s v="ANGUS NEGRO"/>
    <x v="119"/>
    <s v="20-10-2022"/>
    <s v="Vivo"/>
    <x v="0"/>
    <s v="Sin Movimiento"/>
    <s v="11.1.01.1241"/>
    <x v="0"/>
    <d v="2022-11-03T00:00:00"/>
  </r>
  <r>
    <n v="22350159"/>
    <m/>
    <m/>
    <m/>
    <m/>
    <m/>
    <m/>
    <m/>
    <m/>
    <s v="H"/>
    <x v="1"/>
    <s v="ANGUS NEGRO"/>
    <x v="114"/>
    <s v="30-09-2022"/>
    <s v="Vivo"/>
    <x v="0"/>
    <s v="Sin Movimiento"/>
    <s v="11.1.01.1241"/>
    <x v="0"/>
    <d v="2022-11-03T00:00:00"/>
  </r>
  <r>
    <n v="22350161"/>
    <m/>
    <m/>
    <m/>
    <m/>
    <m/>
    <m/>
    <m/>
    <m/>
    <s v="M"/>
    <x v="3"/>
    <s v="ANGUS ROJO"/>
    <x v="114"/>
    <s v="30-09-2022"/>
    <s v="Vivo"/>
    <x v="0"/>
    <s v="Sin Movimiento"/>
    <s v="11.1.01.1241"/>
    <x v="0"/>
    <d v="2022-11-15T00:00:00"/>
  </r>
  <r>
    <n v="22350162"/>
    <m/>
    <m/>
    <m/>
    <m/>
    <m/>
    <m/>
    <m/>
    <m/>
    <s v="H"/>
    <x v="1"/>
    <s v="ANGUS NEGRO"/>
    <x v="114"/>
    <s v="30-09-2022"/>
    <s v="Vivo"/>
    <x v="4"/>
    <s v="11.1.01.1241"/>
    <s v="11.1.01.1241"/>
    <x v="0"/>
    <d v="2022-11-03T00:00:00"/>
  </r>
  <r>
    <n v="22350164"/>
    <m/>
    <m/>
    <m/>
    <m/>
    <m/>
    <m/>
    <d v="2024-11-27T00:00:00"/>
    <d v="2025-07-10T00:00:00"/>
    <s v="H"/>
    <x v="1"/>
    <s v="ANGUS NEGRO"/>
    <x v="119"/>
    <s v="20-10-2022"/>
    <s v="Vivo"/>
    <x v="5"/>
    <s v="11.1.01.0893"/>
    <s v="11.1.01.1241"/>
    <x v="0"/>
    <d v="2022-11-03T00:00:00"/>
  </r>
  <r>
    <n v="22350170"/>
    <m/>
    <m/>
    <m/>
    <m/>
    <m/>
    <m/>
    <d v="2024-11-27T00:00:00"/>
    <d v="2025-07-10T00:00:00"/>
    <s v="H"/>
    <x v="1"/>
    <s v="ANGUS NEGRO"/>
    <x v="114"/>
    <s v="05-10-2022"/>
    <s v="Vivo"/>
    <x v="5"/>
    <s v="11.1.01.0893"/>
    <s v="11.1.01.1241"/>
    <x v="0"/>
    <d v="2022-11-03T00:00:00"/>
  </r>
  <r>
    <n v="22350178"/>
    <m/>
    <m/>
    <m/>
    <m/>
    <m/>
    <m/>
    <m/>
    <m/>
    <s v="H"/>
    <x v="1"/>
    <s v="OVERO NEGRO"/>
    <x v="119"/>
    <s v="20-10-2022"/>
    <s v="Vivo"/>
    <x v="3"/>
    <s v="11.1.01.0941"/>
    <s v="11.1.01.1241"/>
    <x v="0"/>
    <d v="2022-11-03T00:00:00"/>
  </r>
  <r>
    <n v="22350179"/>
    <m/>
    <m/>
    <m/>
    <m/>
    <m/>
    <m/>
    <m/>
    <m/>
    <s v="H"/>
    <x v="1"/>
    <s v="ANGUS NEGRO"/>
    <x v="114"/>
    <s v="05-10-2022"/>
    <s v="Vivo"/>
    <x v="0"/>
    <s v="Sin Movimiento"/>
    <s v="11.1.01.1241"/>
    <x v="0"/>
    <d v="2022-11-03T00:00:00"/>
  </r>
  <r>
    <n v="22350181"/>
    <m/>
    <m/>
    <m/>
    <m/>
    <m/>
    <m/>
    <d v="2024-11-27T00:00:00"/>
    <m/>
    <s v="H"/>
    <x v="1"/>
    <s v="ANGUS NEGRO"/>
    <x v="119"/>
    <s v="20-10-2022"/>
    <s v="Vivo"/>
    <x v="5"/>
    <s v="11.1.01.0893"/>
    <s v="11.1.01.1241"/>
    <x v="0"/>
    <d v="2022-11-15T00:00:00"/>
  </r>
  <r>
    <n v="22350184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15T00:00:00"/>
  </r>
  <r>
    <n v="22350186"/>
    <m/>
    <m/>
    <m/>
    <m/>
    <m/>
    <m/>
    <d v="2024-11-27T00:00:00"/>
    <d v="2025-07-10T00:00:00"/>
    <s v="H"/>
    <x v="1"/>
    <s v="ANGUS NEGRO"/>
    <x v="114"/>
    <s v="05-10-2022"/>
    <s v="Vivo"/>
    <x v="5"/>
    <s v="11.1.01.0893"/>
    <s v="11.1.01.1241"/>
    <x v="0"/>
    <d v="2022-11-18T00:00:00"/>
  </r>
  <r>
    <n v="22350189"/>
    <m/>
    <m/>
    <m/>
    <m/>
    <m/>
    <m/>
    <d v="2024-11-27T00:00:00"/>
    <m/>
    <s v="H"/>
    <x v="1"/>
    <s v="ANGUS NEGRO"/>
    <x v="114"/>
    <s v="05-10-2022"/>
    <s v="Vivo"/>
    <x v="15"/>
    <s v="11.1.01.0941"/>
    <s v="11.1.01.1241"/>
    <x v="0"/>
    <d v="2022-11-18T00:00:00"/>
  </r>
  <r>
    <n v="22350194"/>
    <m/>
    <m/>
    <m/>
    <m/>
    <m/>
    <m/>
    <m/>
    <m/>
    <s v="H"/>
    <x v="1"/>
    <s v="ANGUS NEGRO"/>
    <x v="114"/>
    <s v="05-10-2022"/>
    <s v="Vivo"/>
    <x v="2"/>
    <s v="11.2.01.0053"/>
    <s v="11.1.01.1241"/>
    <x v="0"/>
    <d v="2022-11-18T00:00:00"/>
  </r>
  <r>
    <n v="22350200"/>
    <m/>
    <m/>
    <m/>
    <m/>
    <m/>
    <m/>
    <m/>
    <m/>
    <s v="M"/>
    <x v="3"/>
    <s v="ANGUS NEGRO"/>
    <x v="126"/>
    <s v="04-09-2022"/>
    <s v="Vivo"/>
    <x v="0"/>
    <s v="Sin Movimiento"/>
    <s v="11.1.01.1241"/>
    <x v="0"/>
    <d v="2022-11-18T00:00:00"/>
  </r>
  <r>
    <n v="22350204"/>
    <m/>
    <m/>
    <m/>
    <m/>
    <m/>
    <m/>
    <d v="2024-11-27T00:00:00"/>
    <d v="2025-07-10T00:00:00"/>
    <s v="H"/>
    <x v="1"/>
    <s v="ANGUS NEGRO"/>
    <x v="119"/>
    <s v="20-10-2022"/>
    <s v="Vivo"/>
    <x v="5"/>
    <s v="11.1.01.0893"/>
    <s v="11.1.01.1241"/>
    <x v="0"/>
    <d v="2022-11-18T00:00:00"/>
  </r>
  <r>
    <n v="22350215"/>
    <m/>
    <m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d v="2022-11-18T00:00:00"/>
  </r>
  <r>
    <n v="22350219"/>
    <m/>
    <m/>
    <m/>
    <m/>
    <m/>
    <m/>
    <d v="2024-11-27T00:00:00"/>
    <m/>
    <s v="H"/>
    <x v="1"/>
    <s v="ANGUS NEGRO"/>
    <x v="114"/>
    <s v="10-10-2022"/>
    <s v="Vivo"/>
    <x v="4"/>
    <s v="11.1.01.0893"/>
    <s v="11.1.01.1241"/>
    <x v="0"/>
    <d v="2022-11-18T00:00:00"/>
  </r>
  <r>
    <n v="22350225"/>
    <m/>
    <m/>
    <m/>
    <m/>
    <m/>
    <m/>
    <d v="2024-11-27T00:00:00"/>
    <d v="2025-07-10T00:00:00"/>
    <s v="H"/>
    <x v="1"/>
    <s v="ANGUS NEGRO"/>
    <x v="114"/>
    <s v="05-10-2022"/>
    <s v="Vivo"/>
    <x v="5"/>
    <s v="11.1.01.0893"/>
    <s v="11.1.01.1241"/>
    <x v="0"/>
    <d v="2022-11-18T00:00:00"/>
  </r>
  <r>
    <n v="22350228"/>
    <m/>
    <m/>
    <m/>
    <m/>
    <m/>
    <m/>
    <d v="2024-11-27T00:00:00"/>
    <d v="2025-07-10T00:00:00"/>
    <s v="H"/>
    <x v="1"/>
    <s v="ANGUS NEGRO"/>
    <x v="119"/>
    <s v="20-10-2022"/>
    <s v="Vivo"/>
    <x v="5"/>
    <s v="11.1.01.0893"/>
    <s v="11.1.01.1241"/>
    <x v="0"/>
    <d v="2022-11-18T00:00:00"/>
  </r>
  <r>
    <n v="22350230"/>
    <m/>
    <m/>
    <m/>
    <m/>
    <m/>
    <m/>
    <d v="2024-11-27T00:00:00"/>
    <d v="2025-07-10T00:00:00"/>
    <s v="H"/>
    <x v="1"/>
    <s v="ANGUS NEGRO"/>
    <x v="114"/>
    <s v="05-10-2022"/>
    <s v="Vivo"/>
    <x v="5"/>
    <s v="11.1.01.0893"/>
    <s v="11.1.01.1241"/>
    <x v="0"/>
    <d v="2022-11-18T00:00:00"/>
  </r>
  <r>
    <n v="22350232"/>
    <m/>
    <m/>
    <m/>
    <m/>
    <m/>
    <m/>
    <d v="2024-11-27T00:00:00"/>
    <d v="2025-07-10T00:00:00"/>
    <s v="H"/>
    <x v="1"/>
    <s v="ANGUS NEGRO"/>
    <x v="114"/>
    <s v="05-10-2022"/>
    <s v="Vivo"/>
    <x v="3"/>
    <s v="11.1.01.1022"/>
    <s v="11.1.01.1241"/>
    <x v="0"/>
    <d v="2022-11-18T00:00:00"/>
  </r>
  <r>
    <n v="22350233"/>
    <m/>
    <m/>
    <m/>
    <m/>
    <m/>
    <m/>
    <d v="2024-11-27T00:00:00"/>
    <d v="2025-07-10T00:00:00"/>
    <s v="H"/>
    <x v="1"/>
    <s v="ANGUS NEGRO"/>
    <x v="119"/>
    <s v="25-10-2022"/>
    <s v="Vivo"/>
    <x v="5"/>
    <s v="11.1.01.0893"/>
    <s v="11.1.01.1241"/>
    <x v="0"/>
    <d v="2022-11-18T00:00:00"/>
  </r>
  <r>
    <n v="22350242"/>
    <m/>
    <m/>
    <m/>
    <m/>
    <m/>
    <m/>
    <m/>
    <m/>
    <s v="M"/>
    <x v="3"/>
    <s v="ANGUS ROJO"/>
    <x v="119"/>
    <s v="20-10-2022"/>
    <s v="Vivo"/>
    <x v="0"/>
    <s v="Sin Movimiento"/>
    <s v="11.1.01.1241"/>
    <x v="0"/>
    <d v="2022-11-22T00:00:00"/>
  </r>
  <r>
    <n v="22350252"/>
    <m/>
    <m/>
    <m/>
    <m/>
    <m/>
    <m/>
    <d v="2024-11-27T00:00:00"/>
    <d v="2025-11-04T00:00:00"/>
    <s v="H"/>
    <x v="1"/>
    <s v="ANGUS NEGRO"/>
    <x v="114"/>
    <s v="05-10-2022"/>
    <s v="Vivo"/>
    <x v="7"/>
    <s v="11.1.01.1241"/>
    <s v="11.1.01.1241"/>
    <x v="0"/>
    <d v="2022-11-22T00:00:00"/>
  </r>
  <r>
    <n v="22350253"/>
    <m/>
    <m/>
    <m/>
    <m/>
    <m/>
    <m/>
    <d v="2024-11-27T00:00:00"/>
    <d v="2025-07-10T00:00:00"/>
    <s v="H"/>
    <x v="1"/>
    <s v="ANGUS NEGRO"/>
    <x v="114"/>
    <s v="05-10-2022"/>
    <s v="Vivo"/>
    <x v="5"/>
    <s v="11.1.01.0893"/>
    <s v="11.1.01.1241"/>
    <x v="0"/>
    <d v="2022-11-28T00:00:00"/>
  </r>
  <r>
    <n v="22350266"/>
    <m/>
    <m/>
    <m/>
    <m/>
    <m/>
    <m/>
    <m/>
    <m/>
    <s v="H"/>
    <x v="1"/>
    <s v="ANGUS ROJO"/>
    <x v="119"/>
    <s v="05-11-2022"/>
    <s v="Vivo"/>
    <x v="0"/>
    <s v="Sin Movimiento"/>
    <s v="11.1.01.1241"/>
    <x v="0"/>
    <d v="2022-12-17T00:00:00"/>
  </r>
  <r>
    <n v="22350269"/>
    <m/>
    <m/>
    <m/>
    <m/>
    <m/>
    <m/>
    <d v="2024-11-27T00:00:00"/>
    <d v="2025-07-10T00:00:00"/>
    <s v="H"/>
    <x v="1"/>
    <s v="ANGUS NEGRO"/>
    <x v="119"/>
    <s v="05-11-2022"/>
    <s v="Vivo"/>
    <x v="15"/>
    <s v="11.1.01.0893"/>
    <s v="11.1.01.1241"/>
    <x v="0"/>
    <d v="2022-12-17T00:00:00"/>
  </r>
  <r>
    <n v="22350289"/>
    <m/>
    <m/>
    <m/>
    <m/>
    <m/>
    <m/>
    <d v="2024-11-27T00:00:00"/>
    <d v="2025-07-10T00:00:00"/>
    <s v="H"/>
    <x v="1"/>
    <s v="ANGUS NEGRO"/>
    <x v="119"/>
    <s v="15-11-2022"/>
    <s v="Vivo"/>
    <x v="5"/>
    <s v="11.1.01.0893"/>
    <s v="11.1.01.1241"/>
    <x v="0"/>
    <d v="2022-12-21T00:00:00"/>
  </r>
  <r>
    <n v="22350290"/>
    <m/>
    <m/>
    <m/>
    <m/>
    <m/>
    <m/>
    <d v="2024-11-27T00:00:00"/>
    <d v="2025-07-10T00:00:00"/>
    <s v="H"/>
    <x v="1"/>
    <s v="ANGUS ROJO"/>
    <x v="114"/>
    <s v="10-10-2022"/>
    <s v="Vivo"/>
    <x v="5"/>
    <s v="11.1.01.0893"/>
    <s v="11.1.01.0893"/>
    <x v="0"/>
    <d v="2022-12-21T00:00:00"/>
  </r>
  <r>
    <n v="22350291"/>
    <m/>
    <m/>
    <m/>
    <m/>
    <m/>
    <m/>
    <m/>
    <m/>
    <s v="H"/>
    <x v="1"/>
    <s v="ANGUS NEGRO"/>
    <x v="114"/>
    <s v="10-10-2022"/>
    <s v="Vivo"/>
    <x v="2"/>
    <s v="11.1.01.0941"/>
    <s v="11.1.01.0893"/>
    <x v="0"/>
    <d v="2022-12-21T00:00:00"/>
  </r>
  <r>
    <n v="22350294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297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00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04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05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06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10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12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14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20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21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23"/>
    <m/>
    <m/>
    <m/>
    <m/>
    <m/>
    <m/>
    <d v="2024-11-27T00:00:00"/>
    <d v="2025-07-10T00:00:00"/>
    <s v="H"/>
    <x v="1"/>
    <s v="ANGUS NEGRO"/>
    <x v="114"/>
    <s v="10-10-2022"/>
    <s v="Vivo"/>
    <x v="15"/>
    <s v="11.1.01.0893"/>
    <s v="11.1.01.0893"/>
    <x v="0"/>
    <d v="2022-12-21T00:00:00"/>
  </r>
  <r>
    <n v="22350327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30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31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34"/>
    <m/>
    <m/>
    <m/>
    <m/>
    <m/>
    <m/>
    <d v="2024-11-27T00:00:00"/>
    <d v="2025-07-10T00:00:00"/>
    <s v="H"/>
    <x v="1"/>
    <s v="ANGUS NEGRO"/>
    <x v="114"/>
    <s v="10-10-2022"/>
    <s v="Vivo"/>
    <x v="15"/>
    <s v="11.1.01.0893"/>
    <s v="11.1.01.0893"/>
    <x v="0"/>
    <d v="2022-12-21T00:00:00"/>
  </r>
  <r>
    <n v="22350336"/>
    <m/>
    <m/>
    <m/>
    <m/>
    <m/>
    <m/>
    <m/>
    <m/>
    <s v="M"/>
    <x v="3"/>
    <s v="ANGUS NEGRO"/>
    <x v="114"/>
    <s v="10-10-2022"/>
    <s v="Vivo"/>
    <x v="8"/>
    <s v="11.1.01.0190"/>
    <s v="11.1.01.0893"/>
    <x v="0"/>
    <d v="2022-12-21T00:00:00"/>
  </r>
  <r>
    <n v="22350341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44"/>
    <m/>
    <m/>
    <m/>
    <m/>
    <m/>
    <m/>
    <d v="2024-11-27T00:00:00"/>
    <d v="2025-07-10T00:00:00"/>
    <s v="H"/>
    <x v="1"/>
    <s v="ANGUS NEGRO"/>
    <x v="114"/>
    <s v="10-10-2022"/>
    <s v="Vivo"/>
    <x v="15"/>
    <s v="11.1.01.0893"/>
    <s v="11.1.01.0893"/>
    <x v="0"/>
    <d v="2022-12-21T00:00:00"/>
  </r>
  <r>
    <n v="22350346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47"/>
    <m/>
    <m/>
    <m/>
    <m/>
    <m/>
    <m/>
    <d v="2024-11-27T00:00:00"/>
    <d v="2025-07-10T00:00:00"/>
    <s v="H"/>
    <x v="1"/>
    <s v="ANGUS NEGRO"/>
    <x v="114"/>
    <s v="10-10-2022"/>
    <s v="Vivo"/>
    <x v="15"/>
    <s v="11.1.01.0893"/>
    <s v="11.1.01.0893"/>
    <x v="0"/>
    <d v="2022-12-21T00:00:00"/>
  </r>
  <r>
    <n v="22350349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52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54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58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62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63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64"/>
    <m/>
    <m/>
    <m/>
    <m/>
    <m/>
    <m/>
    <d v="2024-11-27T00:00:00"/>
    <m/>
    <s v="H"/>
    <x v="1"/>
    <s v="ANGUS NEGRO"/>
    <x v="114"/>
    <s v="10-10-2022"/>
    <s v="Vivo"/>
    <x v="4"/>
    <s v="11.1.01.0893"/>
    <s v="11.1.01.0893"/>
    <x v="0"/>
    <d v="2022-12-21T00:00:00"/>
  </r>
  <r>
    <n v="22350365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68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75"/>
    <m/>
    <m/>
    <m/>
    <m/>
    <m/>
    <m/>
    <d v="2024-11-27T00:00:00"/>
    <d v="2025-07-10T00:00:00"/>
    <s v="H"/>
    <x v="1"/>
    <s v="ANGUS NEGRO"/>
    <x v="114"/>
    <s v="10-10-2022"/>
    <s v="Vivo"/>
    <x v="15"/>
    <s v="11.1.01.0893"/>
    <s v="11.1.01.0893"/>
    <x v="0"/>
    <d v="2022-12-21T00:00:00"/>
  </r>
  <r>
    <n v="22350377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78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80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86"/>
    <m/>
    <m/>
    <m/>
    <m/>
    <m/>
    <m/>
    <d v="2024-11-27T00:00:00"/>
    <d v="2025-07-10T00:00:00"/>
    <s v="H"/>
    <x v="1"/>
    <s v="ANGUS NEGRO"/>
    <x v="114"/>
    <s v="10-10-2022"/>
    <s v="Vivo"/>
    <x v="15"/>
    <s v="11.1.01.0893"/>
    <s v="11.1.01.0893"/>
    <x v="0"/>
    <d v="2022-12-21T00:00:00"/>
  </r>
  <r>
    <n v="22350390"/>
    <m/>
    <m/>
    <m/>
    <m/>
    <m/>
    <m/>
    <d v="2024-11-27T00:00:00"/>
    <d v="2025-07-10T00:00:00"/>
    <s v="H"/>
    <x v="1"/>
    <s v="ANGUS ROJO"/>
    <x v="114"/>
    <s v="10-10-2022"/>
    <s v="Vivo"/>
    <x v="5"/>
    <s v="11.1.01.0893"/>
    <s v="11.1.01.0893"/>
    <x v="0"/>
    <d v="2022-12-21T00:00:00"/>
  </r>
  <r>
    <n v="22350394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96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97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1T00:00:00"/>
  </r>
  <r>
    <n v="22350399"/>
    <m/>
    <m/>
    <m/>
    <m/>
    <m/>
    <m/>
    <d v="2024-11-27T00:00:00"/>
    <d v="2025-07-10T00:00:00"/>
    <s v="H"/>
    <x v="1"/>
    <s v="ANGUS NEGRO"/>
    <x v="114"/>
    <s v="10-10-2022"/>
    <s v="Vivo"/>
    <x v="5"/>
    <s v="11.1.01.0893"/>
    <s v="11.1.01.0893"/>
    <x v="0"/>
    <d v="2022-12-28T00:00:00"/>
  </r>
  <r>
    <n v="22350403"/>
    <m/>
    <m/>
    <m/>
    <m/>
    <m/>
    <m/>
    <d v="2024-11-27T00:00:00"/>
    <d v="2025-07-10T00:00:00"/>
    <s v="H"/>
    <x v="1"/>
    <s v="ANGUS NEGRO"/>
    <x v="119"/>
    <s v="05-11-2022"/>
    <s v="Vivo"/>
    <x v="5"/>
    <s v="11.1.01.0893"/>
    <s v="11.1.01.1241"/>
    <x v="0"/>
    <d v="2022-12-28T00:00:00"/>
  </r>
  <r>
    <n v="22350405"/>
    <m/>
    <m/>
    <m/>
    <m/>
    <m/>
    <m/>
    <d v="2024-12-22T00:00:00"/>
    <d v="2025-01-14T00:00:00"/>
    <s v="H"/>
    <x v="1"/>
    <s v="ANGUS NEGRO"/>
    <x v="119"/>
    <s v="05-11-2022"/>
    <s v="Vivo"/>
    <x v="10"/>
    <s v="11.1.01.0190"/>
    <s v="11.1.01.1241"/>
    <x v="0"/>
    <d v="2023-01-24T00:00:00"/>
  </r>
  <r>
    <n v="22350406"/>
    <m/>
    <m/>
    <m/>
    <m/>
    <m/>
    <m/>
    <m/>
    <m/>
    <s v="H"/>
    <x v="1"/>
    <s v="ANGUS NEGRO"/>
    <x v="119"/>
    <s v="30-10-2022"/>
    <s v="Vivo"/>
    <x v="0"/>
    <s v="Sin Movimiento"/>
    <s v="11.1.01.1241"/>
    <x v="0"/>
    <d v="2023-01-24T00:00:00"/>
  </r>
  <r>
    <n v="22350408"/>
    <m/>
    <m/>
    <m/>
    <m/>
    <m/>
    <m/>
    <d v="2024-11-27T00:00:00"/>
    <m/>
    <s v="H"/>
    <x v="1"/>
    <s v="ANGUS NEGRO"/>
    <x v="119"/>
    <s v="05-11-2022"/>
    <s v="Vivo"/>
    <x v="15"/>
    <s v="11.1.01.0941"/>
    <s v="11.1.01.1241"/>
    <x v="0"/>
    <d v="2023-01-24T00:00:00"/>
  </r>
  <r>
    <n v="22350409"/>
    <m/>
    <m/>
    <m/>
    <m/>
    <m/>
    <m/>
    <m/>
    <m/>
    <s v="H"/>
    <x v="1"/>
    <s v="ANGUS NEGRO"/>
    <x v="119"/>
    <s v="30-10-2022"/>
    <s v="Vivo"/>
    <x v="0"/>
    <s v="Sin Movimiento"/>
    <s v="11.1.01.1241"/>
    <x v="0"/>
    <d v="2023-02-21T00:00:00"/>
  </r>
  <r>
    <n v="22350411"/>
    <m/>
    <m/>
    <m/>
    <m/>
    <m/>
    <m/>
    <d v="2024-11-27T00:00:00"/>
    <d v="2025-07-10T00:00:00"/>
    <s v="H"/>
    <x v="1"/>
    <s v="ANGUS NEGRO"/>
    <x v="120"/>
    <s v="30-11-2022"/>
    <s v="Vivo"/>
    <x v="5"/>
    <s v="11.1.01.0893"/>
    <s v="11.1.01.0893"/>
    <x v="0"/>
    <d v="2023-05-12T00:00:00"/>
  </r>
  <r>
    <n v="22350412"/>
    <m/>
    <m/>
    <m/>
    <m/>
    <m/>
    <m/>
    <d v="2024-11-27T00:00:00"/>
    <d v="2025-07-10T00:00:00"/>
    <s v="H"/>
    <x v="1"/>
    <s v="ANGUS NEGRO"/>
    <x v="120"/>
    <s v="30-11-2022"/>
    <s v="Vivo"/>
    <x v="5"/>
    <s v="11.1.01.0893"/>
    <s v="11.1.01.0893"/>
    <x v="0"/>
    <d v="2023-06-14T00:00:00"/>
  </r>
  <r>
    <n v="22350419"/>
    <m/>
    <m/>
    <m/>
    <m/>
    <m/>
    <m/>
    <d v="2024-11-27T00:00:00"/>
    <m/>
    <s v="H"/>
    <x v="1"/>
    <s v="ANGUS NEGRO"/>
    <x v="120"/>
    <s v="15-12-2022"/>
    <s v="Vivo"/>
    <x v="8"/>
    <s v="11.1.01.0893"/>
    <s v="11.1.01.1241"/>
    <x v="0"/>
    <d v="2023-12-09T00:00:00"/>
  </r>
  <r>
    <n v="22350428"/>
    <m/>
    <m/>
    <m/>
    <m/>
    <m/>
    <m/>
    <d v="2024-11-27T00:00:00"/>
    <m/>
    <s v="H"/>
    <x v="1"/>
    <s v="ANGUS NEGRO"/>
    <x v="114"/>
    <s v="30-09-2022"/>
    <s v="Vivo"/>
    <x v="5"/>
    <s v="11.1.01.0893"/>
    <s v="11.1.01.1241"/>
    <x v="2"/>
    <d v="2023-12-09T00:00:00"/>
  </r>
  <r>
    <n v="22350436"/>
    <m/>
    <n v="19050324"/>
    <m/>
    <m/>
    <m/>
    <m/>
    <d v="2024-12-22T00:00:00"/>
    <d v="2025-01-14T00:00:00"/>
    <s v="H"/>
    <x v="1"/>
    <s v="ANGUS NEGRO"/>
    <x v="95"/>
    <s v="30-09-2020"/>
    <s v="Vivo"/>
    <x v="0"/>
    <s v="11.1.01.1022"/>
    <s v="11.1.01.0893"/>
    <x v="0"/>
    <m/>
  </r>
  <r>
    <n v="22350437"/>
    <m/>
    <n v="19050321"/>
    <m/>
    <m/>
    <m/>
    <m/>
    <d v="2024-12-22T00:00:00"/>
    <d v="2025-01-14T00:00:00"/>
    <s v="H"/>
    <x v="1"/>
    <s v="ANGUS NEGRO"/>
    <x v="95"/>
    <s v="30-09-2020"/>
    <s v="Vivo"/>
    <x v="0"/>
    <s v="11.1.01.1022"/>
    <s v="11.1.01.0893"/>
    <x v="0"/>
    <m/>
  </r>
  <r>
    <n v="22350439"/>
    <m/>
    <n v="22350263"/>
    <m/>
    <m/>
    <m/>
    <m/>
    <d v="2024-11-27T00:00:00"/>
    <d v="2025-07-10T00:00:00"/>
    <s v="H"/>
    <x v="1"/>
    <s v="ANGUS NEGRO"/>
    <x v="119"/>
    <s v="30-10-2022"/>
    <s v="Vivo"/>
    <x v="5"/>
    <s v="11.1.01.0893"/>
    <s v="11.1.01.1241"/>
    <x v="0"/>
    <m/>
  </r>
  <r>
    <n v="22350440"/>
    <m/>
    <n v="22350046"/>
    <m/>
    <m/>
    <m/>
    <m/>
    <d v="2024-11-27T00:00:00"/>
    <d v="2025-07-10T00:00:00"/>
    <s v="H"/>
    <x v="1"/>
    <s v="ANGUS NEGRO"/>
    <x v="114"/>
    <s v="30-09-2022"/>
    <s v="Vivo"/>
    <x v="5"/>
    <s v="11.1.01.0893"/>
    <s v="11.1.01.1241"/>
    <x v="0"/>
    <m/>
  </r>
  <r>
    <n v="22364297"/>
    <m/>
    <m/>
    <m/>
    <m/>
    <m/>
    <m/>
    <m/>
    <m/>
    <s v="M"/>
    <x v="5"/>
    <s v="ANGUS NEGRO"/>
    <x v="125"/>
    <s v="01-09-2023"/>
    <s v="Vivo"/>
    <x v="15"/>
    <s v="11.1.01.0893"/>
    <s v="11.1.01.2408"/>
    <x v="2"/>
    <m/>
  </r>
  <r>
    <n v="22364298"/>
    <m/>
    <m/>
    <m/>
    <m/>
    <m/>
    <m/>
    <m/>
    <m/>
    <s v="M"/>
    <x v="5"/>
    <s v="ANGUS NEGRO"/>
    <x v="127"/>
    <s v="15-08-2023"/>
    <s v="Vivo"/>
    <x v="15"/>
    <s v="11.1.01.0893"/>
    <s v="11.1.01.2408"/>
    <x v="2"/>
    <m/>
  </r>
  <r>
    <n v="23323211"/>
    <m/>
    <m/>
    <m/>
    <m/>
    <m/>
    <m/>
    <m/>
    <d v="2025-11-08T00:00:00"/>
    <s v="H"/>
    <x v="4"/>
    <s v="OVERO NEGRO"/>
    <x v="121"/>
    <s v="15-10-2023"/>
    <s v="Vivo"/>
    <x v="2"/>
    <s v="11.1.01.0941"/>
    <s v="11.1.01.1241"/>
    <x v="0"/>
    <d v="2023-11-10T00:00:00"/>
  </r>
  <r>
    <n v="23323212"/>
    <m/>
    <m/>
    <m/>
    <m/>
    <m/>
    <m/>
    <m/>
    <m/>
    <s v="H"/>
    <x v="4"/>
    <s v="ANGUS NEGRO"/>
    <x v="121"/>
    <s v="15-10-2023"/>
    <s v="Vivo"/>
    <x v="0"/>
    <s v="Sin Movimiento"/>
    <s v="11.1.01.1241"/>
    <x v="0"/>
    <d v="2023-11-10T00:00:00"/>
  </r>
  <r>
    <n v="23323219"/>
    <m/>
    <m/>
    <m/>
    <m/>
    <m/>
    <m/>
    <m/>
    <d v="2025-01-23T00:00:00"/>
    <s v="H"/>
    <x v="4"/>
    <s v="ANGUS NEGRO"/>
    <x v="121"/>
    <s v="15-10-2023"/>
    <s v="Vivo"/>
    <x v="15"/>
    <s v="11.1.01.0941"/>
    <s v="11.1.01.1241"/>
    <x v="0"/>
    <d v="2023-11-10T00:00:00"/>
  </r>
  <r>
    <n v="23323224"/>
    <m/>
    <m/>
    <m/>
    <m/>
    <m/>
    <m/>
    <m/>
    <d v="2025-11-08T00:00:00"/>
    <s v="H"/>
    <x v="4"/>
    <s v="ANGUS NEGRO"/>
    <x v="128"/>
    <s v="30-10-2023"/>
    <s v="Vivo"/>
    <x v="15"/>
    <s v="11.1.01.0941"/>
    <s v="11.1.01.1241"/>
    <x v="0"/>
    <d v="2023-11-10T00:00:00"/>
  </r>
  <r>
    <n v="23323226"/>
    <m/>
    <m/>
    <m/>
    <m/>
    <m/>
    <m/>
    <m/>
    <d v="2025-01-23T00:00:00"/>
    <s v="H"/>
    <x v="4"/>
    <s v="ANGUS NEGRO"/>
    <x v="128"/>
    <s v="30-10-2023"/>
    <s v="Vivo"/>
    <x v="15"/>
    <s v="11.1.01.0941"/>
    <s v="11.1.01.1241"/>
    <x v="0"/>
    <d v="2023-11-10T00:00:00"/>
  </r>
  <r>
    <n v="23323228"/>
    <m/>
    <m/>
    <m/>
    <m/>
    <m/>
    <m/>
    <m/>
    <d v="2025-11-08T00:00:00"/>
    <s v="H"/>
    <x v="4"/>
    <s v="ANGUS NEGRO"/>
    <x v="121"/>
    <s v="15-10-2023"/>
    <s v="Vivo"/>
    <x v="8"/>
    <s v="11.1.01.0190"/>
    <s v="11.1.01.1241"/>
    <x v="0"/>
    <d v="2023-11-10T00:00:00"/>
  </r>
  <r>
    <n v="23323239"/>
    <m/>
    <m/>
    <m/>
    <m/>
    <m/>
    <m/>
    <m/>
    <d v="2025-01-23T00:00:00"/>
    <s v="H"/>
    <x v="4"/>
    <s v="ANGUS NEGRO"/>
    <x v="121"/>
    <s v="15-10-2023"/>
    <s v="Vivo"/>
    <x v="15"/>
    <s v="11.1.01.0941"/>
    <s v="11.1.01.1241"/>
    <x v="0"/>
    <d v="2023-11-10T00:00:00"/>
  </r>
  <r>
    <n v="23323245"/>
    <m/>
    <m/>
    <m/>
    <m/>
    <m/>
    <m/>
    <m/>
    <d v="2025-11-08T00:00:00"/>
    <s v="H"/>
    <x v="4"/>
    <s v="ANGUS NEGRO"/>
    <x v="128"/>
    <s v="30-10-2023"/>
    <s v="Vivo"/>
    <x v="15"/>
    <s v="11.1.01.0941"/>
    <s v="11.1.01.0893"/>
    <x v="0"/>
    <m/>
  </r>
  <r>
    <n v="23323247"/>
    <m/>
    <m/>
    <m/>
    <m/>
    <m/>
    <m/>
    <m/>
    <m/>
    <s v="M"/>
    <x v="5"/>
    <s v="ANGUS NEGRO"/>
    <x v="121"/>
    <s v="30-09-2023"/>
    <s v="Vivo"/>
    <x v="3"/>
    <s v="Sin Movimiento"/>
    <s v="11.1.01.0893"/>
    <x v="0"/>
    <m/>
  </r>
  <r>
    <n v="23323257"/>
    <m/>
    <m/>
    <m/>
    <m/>
    <m/>
    <m/>
    <m/>
    <d v="2025-11-08T00:00:00"/>
    <s v="H"/>
    <x v="4"/>
    <s v="ANGUS NEGRO"/>
    <x v="128"/>
    <s v="30-10-2023"/>
    <s v="Vivo"/>
    <x v="15"/>
    <s v="11.1.01.0941"/>
    <s v="11.1.01.0893"/>
    <x v="0"/>
    <m/>
  </r>
  <r>
    <n v="23323260"/>
    <m/>
    <m/>
    <m/>
    <m/>
    <m/>
    <m/>
    <m/>
    <d v="2025-11-08T00:00:00"/>
    <s v="H"/>
    <x v="4"/>
    <s v="ANGUS NEGRO"/>
    <x v="128"/>
    <s v="30-10-2023"/>
    <s v="Vivo"/>
    <x v="15"/>
    <s v="11.1.01.0941"/>
    <s v="11.1.01.0893"/>
    <x v="0"/>
    <m/>
  </r>
  <r>
    <n v="23323265"/>
    <m/>
    <m/>
    <m/>
    <m/>
    <m/>
    <m/>
    <m/>
    <d v="2025-11-08T00:00:00"/>
    <s v="H"/>
    <x v="4"/>
    <s v="ANGUS NEGRO"/>
    <x v="121"/>
    <s v="15-10-2023"/>
    <s v="Vivo"/>
    <x v="15"/>
    <s v="11.1.01.0941"/>
    <s v="11.1.01.0893"/>
    <x v="0"/>
    <m/>
  </r>
  <r>
    <n v="23323267"/>
    <m/>
    <m/>
    <m/>
    <m/>
    <m/>
    <m/>
    <m/>
    <d v="2025-11-08T00:00:00"/>
    <s v="H"/>
    <x v="4"/>
    <s v="ANGUS NEGRO"/>
    <x v="121"/>
    <s v="15-10-2023"/>
    <s v="Vivo"/>
    <x v="15"/>
    <s v="11.1.01.0941"/>
    <s v="11.1.01.0893"/>
    <x v="0"/>
    <m/>
  </r>
  <r>
    <n v="23323301"/>
    <m/>
    <m/>
    <m/>
    <m/>
    <m/>
    <m/>
    <m/>
    <d v="2025-11-08T00:00:00"/>
    <s v="H"/>
    <x v="4"/>
    <s v="ANGUS NEGRO"/>
    <x v="121"/>
    <s v="15-10-2023"/>
    <s v="Vivo"/>
    <x v="15"/>
    <s v="11.1.01.0941"/>
    <s v="11.1.01.0893"/>
    <x v="0"/>
    <m/>
  </r>
  <r>
    <n v="23323314"/>
    <m/>
    <m/>
    <m/>
    <m/>
    <m/>
    <m/>
    <m/>
    <d v="2025-11-08T00:00:00"/>
    <s v="H"/>
    <x v="4"/>
    <s v="ANGUS NEGRO"/>
    <x v="128"/>
    <s v="30-10-2023"/>
    <s v="Vivo"/>
    <x v="15"/>
    <s v="11.1.01.0941"/>
    <s v="11.1.01.0893"/>
    <x v="0"/>
    <m/>
  </r>
  <r>
    <n v="23323322"/>
    <m/>
    <m/>
    <m/>
    <m/>
    <m/>
    <m/>
    <m/>
    <d v="2025-11-08T00:00:00"/>
    <s v="H"/>
    <x v="4"/>
    <s v="ANGUS NEGRO"/>
    <x v="121"/>
    <s v="15-10-2023"/>
    <s v="Vivo"/>
    <x v="15"/>
    <s v="11.1.01.0941"/>
    <s v="11.1.01.0893"/>
    <x v="0"/>
    <m/>
  </r>
  <r>
    <n v="23323326"/>
    <m/>
    <m/>
    <m/>
    <m/>
    <m/>
    <m/>
    <m/>
    <d v="2025-01-23T00:00:00"/>
    <s v="H"/>
    <x v="4"/>
    <s v="HIBRIDO"/>
    <x v="128"/>
    <s v="15-11-2023"/>
    <s v="Vivo"/>
    <x v="8"/>
    <s v="11.1.01.0190"/>
    <s v="11.1.01.1241"/>
    <x v="0"/>
    <d v="2023-11-28T00:00:00"/>
  </r>
  <r>
    <n v="23323327"/>
    <m/>
    <m/>
    <m/>
    <m/>
    <m/>
    <m/>
    <m/>
    <d v="2025-11-08T00:00:00"/>
    <s v="H"/>
    <x v="4"/>
    <s v="ANGUS ROJO"/>
    <x v="128"/>
    <s v="30-10-2023"/>
    <s v="Vivo"/>
    <x v="15"/>
    <s v="11.1.01.0941"/>
    <s v="11.1.01.1241"/>
    <x v="0"/>
    <d v="2023-12-01T00:00:00"/>
  </r>
  <r>
    <n v="23323342"/>
    <m/>
    <m/>
    <m/>
    <m/>
    <m/>
    <m/>
    <m/>
    <d v="2025-11-08T00:00:00"/>
    <s v="H"/>
    <x v="4"/>
    <s v="ANGUS NEGRO"/>
    <x v="129"/>
    <s v="30-11-2023"/>
    <s v="Vivo"/>
    <x v="8"/>
    <s v="11.1.01.0190"/>
    <s v="11.1.01.1241"/>
    <x v="0"/>
    <d v="2023-12-01T00:00:00"/>
  </r>
  <r>
    <n v="23323343"/>
    <m/>
    <m/>
    <m/>
    <m/>
    <m/>
    <m/>
    <m/>
    <d v="2025-11-08T00:00:00"/>
    <s v="H"/>
    <x v="4"/>
    <s v="ANGUS NEGRO"/>
    <x v="128"/>
    <s v="05-11-2023"/>
    <s v="Vivo"/>
    <x v="15"/>
    <s v="11.1.01.0941"/>
    <s v="11.1.01.1241"/>
    <x v="0"/>
    <d v="2023-12-01T00:00:00"/>
  </r>
  <r>
    <n v="23323344"/>
    <m/>
    <m/>
    <m/>
    <m/>
    <m/>
    <m/>
    <m/>
    <d v="2025-11-08T00:00:00"/>
    <s v="H"/>
    <x v="4"/>
    <s v="ANGUS NEGRO"/>
    <x v="128"/>
    <s v="05-11-2023"/>
    <s v="Vivo"/>
    <x v="15"/>
    <s v="11.1.01.0941"/>
    <s v="11.1.01.1241"/>
    <x v="0"/>
    <d v="2023-12-01T00:00:00"/>
  </r>
  <r>
    <n v="23323346"/>
    <m/>
    <m/>
    <m/>
    <m/>
    <m/>
    <m/>
    <m/>
    <d v="2025-01-23T00:00:00"/>
    <s v="H"/>
    <x v="4"/>
    <s v="ANGUS NEGRO"/>
    <x v="128"/>
    <s v="10-11-2023"/>
    <s v="Vivo"/>
    <x v="15"/>
    <s v="11.1.01.0941"/>
    <s v="11.1.01.1241"/>
    <x v="0"/>
    <d v="2023-12-01T00:00:00"/>
  </r>
  <r>
    <n v="23323348"/>
    <m/>
    <m/>
    <m/>
    <m/>
    <m/>
    <m/>
    <m/>
    <d v="2025-11-08T00:00:00"/>
    <s v="H"/>
    <x v="4"/>
    <s v="ANGUS NEGRO"/>
    <x v="128"/>
    <s v="05-11-2023"/>
    <s v="Vivo"/>
    <x v="15"/>
    <s v="11.1.01.0941"/>
    <s v="11.1.01.1241"/>
    <x v="0"/>
    <d v="2023-12-01T00:00:00"/>
  </r>
  <r>
    <n v="23323350"/>
    <m/>
    <m/>
    <m/>
    <m/>
    <m/>
    <m/>
    <m/>
    <d v="2025-11-08T00:00:00"/>
    <s v="H"/>
    <x v="4"/>
    <s v="ANGUS NEGRO"/>
    <x v="128"/>
    <s v="05-11-2023"/>
    <s v="Vivo"/>
    <x v="15"/>
    <s v="11.1.01.0941"/>
    <s v="11.1.01.1241"/>
    <x v="0"/>
    <d v="2023-12-01T00:00:00"/>
  </r>
  <r>
    <n v="23323354"/>
    <m/>
    <m/>
    <m/>
    <m/>
    <m/>
    <m/>
    <m/>
    <d v="2025-11-08T00:00:00"/>
    <s v="H"/>
    <x v="4"/>
    <s v="ANGUS NEGRO"/>
    <x v="128"/>
    <s v="15-11-2023"/>
    <s v="Vivo"/>
    <x v="15"/>
    <s v="11.1.01.0941"/>
    <s v="11.1.01.1241"/>
    <x v="0"/>
    <d v="2023-12-05T00:00:00"/>
  </r>
  <r>
    <n v="23323367"/>
    <m/>
    <m/>
    <m/>
    <m/>
    <m/>
    <m/>
    <m/>
    <d v="2025-11-08T00:00:00"/>
    <s v="H"/>
    <x v="4"/>
    <s v="ANGUS NEGRO"/>
    <x v="121"/>
    <s v="15-10-2023"/>
    <s v="Vivo"/>
    <x v="15"/>
    <s v="11.1.01.0941"/>
    <s v="11.1.01.0893"/>
    <x v="0"/>
    <d v="2023-12-05T00:00:00"/>
  </r>
  <r>
    <n v="23323376"/>
    <m/>
    <m/>
    <m/>
    <m/>
    <m/>
    <m/>
    <m/>
    <d v="2025-11-08T00:00:00"/>
    <s v="H"/>
    <x v="4"/>
    <s v="ANGUS NEGRO"/>
    <x v="121"/>
    <s v="15-10-2023"/>
    <s v="Vivo"/>
    <x v="15"/>
    <s v="11.1.01.0941"/>
    <s v="11.1.01.0893"/>
    <x v="0"/>
    <d v="2023-12-05T00:00:00"/>
  </r>
  <r>
    <n v="23323399"/>
    <m/>
    <m/>
    <m/>
    <m/>
    <m/>
    <m/>
    <m/>
    <d v="2025-11-08T00:00:00"/>
    <s v="H"/>
    <x v="4"/>
    <s v="ANGUS NEGRO"/>
    <x v="121"/>
    <s v="01-10-2023"/>
    <s v="Vivo"/>
    <x v="15"/>
    <s v="11.1.01.0941"/>
    <s v="11.1.01.0893"/>
    <x v="0"/>
    <d v="2023-12-05T00:00:00"/>
  </r>
  <r>
    <n v="23323408"/>
    <m/>
    <m/>
    <m/>
    <m/>
    <m/>
    <m/>
    <m/>
    <d v="2025-11-08T00:00:00"/>
    <s v="H"/>
    <x v="4"/>
    <s v="ANGUS ROJO"/>
    <x v="121"/>
    <s v="01-10-2023"/>
    <s v="Vivo"/>
    <x v="15"/>
    <s v="11.1.01.0941"/>
    <s v="11.1.01.0893"/>
    <x v="0"/>
    <d v="2023-12-05T00:00:00"/>
  </r>
  <r>
    <n v="23323418"/>
    <m/>
    <m/>
    <m/>
    <m/>
    <m/>
    <m/>
    <m/>
    <d v="2025-11-08T00:00:00"/>
    <s v="H"/>
    <x v="4"/>
    <s v="ANGUS NEGRO"/>
    <x v="129"/>
    <s v="30-11-2023"/>
    <s v="Vivo"/>
    <x v="15"/>
    <s v="11.1.01.0941"/>
    <s v="11.1.01.0893"/>
    <x v="0"/>
    <d v="2023-12-05T00:00:00"/>
  </r>
  <r>
    <n v="23323421"/>
    <m/>
    <m/>
    <m/>
    <m/>
    <m/>
    <m/>
    <m/>
    <d v="2025-11-08T00:00:00"/>
    <s v="H"/>
    <x v="4"/>
    <s v="ANGUS ROJO"/>
    <x v="121"/>
    <s v="15-10-2023"/>
    <s v="Vivo"/>
    <x v="15"/>
    <s v="11.1.01.0941"/>
    <s v="11.1.01.0893"/>
    <x v="0"/>
    <d v="2023-12-05T00:00:00"/>
  </r>
  <r>
    <n v="23323434"/>
    <m/>
    <m/>
    <m/>
    <m/>
    <m/>
    <m/>
    <m/>
    <d v="2025-11-08T00:00:00"/>
    <s v="H"/>
    <x v="4"/>
    <s v="ANGUS NEGRO"/>
    <x v="128"/>
    <s v="01-11-2023"/>
    <s v="Vivo"/>
    <x v="15"/>
    <s v="11.1.01.0941"/>
    <s v="11.1.01.0893"/>
    <x v="0"/>
    <d v="2023-12-05T00:00:00"/>
  </r>
  <r>
    <n v="23323438"/>
    <m/>
    <m/>
    <m/>
    <m/>
    <m/>
    <m/>
    <m/>
    <d v="2025-01-23T00:00:00"/>
    <s v="H"/>
    <x v="4"/>
    <s v="ANGUS NEGRO"/>
    <x v="128"/>
    <s v="01-11-2023"/>
    <s v="Vivo"/>
    <x v="15"/>
    <s v="11.1.01.0941"/>
    <s v="11.1.01.0893"/>
    <x v="0"/>
    <d v="2023-12-05T00:00:00"/>
  </r>
  <r>
    <n v="23323461"/>
    <m/>
    <m/>
    <m/>
    <m/>
    <m/>
    <m/>
    <m/>
    <d v="2025-11-08T00:00:00"/>
    <s v="M"/>
    <x v="5"/>
    <s v="ANGUS NEGRO"/>
    <x v="129"/>
    <s v="30-11-2023"/>
    <s v="Vivo"/>
    <x v="15"/>
    <s v="11.1.01.0941"/>
    <s v="11.1.01.0893"/>
    <x v="0"/>
    <d v="2023-12-05T00:00:00"/>
  </r>
  <r>
    <n v="23323466"/>
    <m/>
    <m/>
    <m/>
    <m/>
    <m/>
    <m/>
    <m/>
    <d v="2025-11-08T00:00:00"/>
    <s v="H"/>
    <x v="4"/>
    <s v="ANGUS NEGRO"/>
    <x v="128"/>
    <s v="15-11-2023"/>
    <s v="Vivo"/>
    <x v="15"/>
    <s v="11.1.01.0941"/>
    <s v="11.1.01.0893"/>
    <x v="0"/>
    <d v="2023-12-05T00:00:00"/>
  </r>
  <r>
    <n v="23323468"/>
    <m/>
    <m/>
    <m/>
    <m/>
    <m/>
    <m/>
    <m/>
    <d v="2025-11-08T00:00:00"/>
    <s v="H"/>
    <x v="4"/>
    <s v="ANGUS NEGRO"/>
    <x v="128"/>
    <s v="01-11-2023"/>
    <s v="Vivo"/>
    <x v="15"/>
    <s v="11.1.01.0941"/>
    <s v="11.1.01.0893"/>
    <x v="0"/>
    <d v="2023-12-05T00:00:00"/>
  </r>
  <r>
    <n v="23323480"/>
    <m/>
    <m/>
    <m/>
    <m/>
    <m/>
    <m/>
    <m/>
    <d v="2025-01-23T00:00:00"/>
    <s v="H"/>
    <x v="4"/>
    <s v="ANGUS NEGRO"/>
    <x v="129"/>
    <s v="01-12-2023"/>
    <s v="Vivo"/>
    <x v="8"/>
    <s v="11.1.01.0190"/>
    <s v="11.1.01.1241"/>
    <x v="0"/>
    <m/>
  </r>
  <r>
    <n v="23323481"/>
    <m/>
    <m/>
    <m/>
    <m/>
    <m/>
    <m/>
    <m/>
    <d v="2025-11-08T00:00:00"/>
    <s v="H"/>
    <x v="4"/>
    <s v="ANGUS NEGRO"/>
    <x v="128"/>
    <s v="15-11-2023"/>
    <s v="Vivo"/>
    <x v="15"/>
    <s v="11.1.01.0941"/>
    <s v="11.1.01.1241"/>
    <x v="0"/>
    <m/>
  </r>
  <r>
    <n v="23323490"/>
    <m/>
    <m/>
    <m/>
    <m/>
    <m/>
    <m/>
    <m/>
    <d v="2025-01-23T00:00:00"/>
    <s v="H"/>
    <x v="4"/>
    <s v="ANGUS NEGRO"/>
    <x v="129"/>
    <s v="09-12-2023"/>
    <s v="Vivo"/>
    <x v="15"/>
    <s v="11.1.01.0941"/>
    <s v="11.1.01.1241"/>
    <x v="0"/>
    <m/>
  </r>
  <r>
    <n v="23323493"/>
    <m/>
    <m/>
    <m/>
    <m/>
    <m/>
    <m/>
    <d v="2024-12-22T00:00:00"/>
    <d v="2025-11-04T00:00:00"/>
    <s v="H"/>
    <x v="1"/>
    <s v="ANGUS ROJO"/>
    <x v="84"/>
    <s v="15-10-2017"/>
    <s v="Vivo"/>
    <x v="10"/>
    <s v="11.1.01.0190"/>
    <s v="11.1.01.1241"/>
    <x v="2"/>
    <m/>
  </r>
  <r>
    <n v="23323494"/>
    <m/>
    <m/>
    <m/>
    <m/>
    <m/>
    <m/>
    <d v="2024-12-22T00:00:00"/>
    <d v="2025-01-14T00:00:00"/>
    <s v="H"/>
    <x v="1"/>
    <s v="ANGUS ROJO"/>
    <x v="84"/>
    <s v="15-10-2017"/>
    <s v="Vivo"/>
    <x v="0"/>
    <s v="Sin Movimiento"/>
    <s v="11.1.01.1241"/>
    <x v="2"/>
    <m/>
  </r>
  <r>
    <n v="23323495"/>
    <m/>
    <m/>
    <m/>
    <m/>
    <m/>
    <m/>
    <d v="2024-12-22T00:00:00"/>
    <d v="2025-01-14T00:00:00"/>
    <s v="H"/>
    <x v="1"/>
    <s v="ANGUS NEGRO"/>
    <x v="103"/>
    <s v="18-12-2019"/>
    <s v="Vivo"/>
    <x v="0"/>
    <s v="Sin Movimiento"/>
    <s v="11.1.01.1241"/>
    <x v="2"/>
    <d v="2024-05-21T00:00:00"/>
  </r>
  <r>
    <n v="23323496"/>
    <m/>
    <m/>
    <m/>
    <m/>
    <m/>
    <m/>
    <d v="2024-12-22T00:00:00"/>
    <d v="2025-01-14T00:00:00"/>
    <s v="H"/>
    <x v="1"/>
    <s v="ANGUS NEGRO"/>
    <x v="97"/>
    <s v="01-11-2019"/>
    <s v="Vivo"/>
    <x v="0"/>
    <s v="Sin Movimiento"/>
    <s v="11.1.01.1241"/>
    <x v="2"/>
    <d v="2024-05-21T00:00:00"/>
  </r>
  <r>
    <n v="23323501"/>
    <m/>
    <m/>
    <m/>
    <m/>
    <m/>
    <m/>
    <m/>
    <d v="2025-11-08T00:00:00"/>
    <s v="H"/>
    <x v="4"/>
    <s v="ANGUS NEGRO"/>
    <x v="129"/>
    <s v="10-12-2023"/>
    <s v="Vivo"/>
    <x v="15"/>
    <s v="11.1.01.0941"/>
    <s v="11.1.01.1241"/>
    <x v="0"/>
    <m/>
  </r>
  <r>
    <n v="23323507"/>
    <m/>
    <m/>
    <m/>
    <m/>
    <m/>
    <m/>
    <m/>
    <d v="2025-11-08T00:00:00"/>
    <s v="H"/>
    <x v="4"/>
    <s v="ANGUS ROJO"/>
    <x v="121"/>
    <s v="05-10-2023"/>
    <s v="Vivo"/>
    <x v="15"/>
    <s v="11.1.01.0941"/>
    <s v="11.1.01.1241"/>
    <x v="0"/>
    <m/>
  </r>
  <r>
    <n v="23323510"/>
    <m/>
    <m/>
    <m/>
    <m/>
    <m/>
    <m/>
    <m/>
    <d v="2025-11-08T00:00:00"/>
    <s v="H"/>
    <x v="4"/>
    <s v="ANGUS NEGRO"/>
    <x v="130"/>
    <s v="18-12-2023"/>
    <s v="Vivo"/>
    <x v="8"/>
    <s v="11.1.01.0190"/>
    <s v="11.1.01.1241"/>
    <x v="0"/>
    <m/>
  </r>
  <r>
    <n v="23323515"/>
    <m/>
    <m/>
    <m/>
    <m/>
    <m/>
    <m/>
    <m/>
    <d v="2025-11-08T00:00:00"/>
    <s v="H"/>
    <x v="4"/>
    <s v="ANGUS NEGRO"/>
    <x v="129"/>
    <s v="25-11-2023"/>
    <s v="Vivo"/>
    <x v="15"/>
    <s v="11.1.01.0941"/>
    <s v="11.1.01.1241"/>
    <x v="0"/>
    <m/>
  </r>
  <r>
    <n v="23323523"/>
    <m/>
    <m/>
    <m/>
    <m/>
    <m/>
    <m/>
    <m/>
    <d v="2025-11-08T00:00:00"/>
    <s v="H"/>
    <x v="4"/>
    <s v="ANGUS NEGRO"/>
    <x v="129"/>
    <s v="30-11-2023"/>
    <s v="Vivo"/>
    <x v="15"/>
    <s v="11.1.01.0941"/>
    <s v="11.1.01.0893"/>
    <x v="0"/>
    <m/>
  </r>
  <r>
    <n v="23323525"/>
    <m/>
    <m/>
    <m/>
    <m/>
    <m/>
    <m/>
    <m/>
    <d v="2025-11-08T00:00:00"/>
    <s v="H"/>
    <x v="4"/>
    <s v="ANGUS NEGRO"/>
    <x v="128"/>
    <s v="05-11-2023"/>
    <s v="Vivo"/>
    <x v="15"/>
    <s v="11.1.01.0941"/>
    <s v="11.1.01.0893"/>
    <x v="0"/>
    <m/>
  </r>
  <r>
    <n v="23323529"/>
    <m/>
    <m/>
    <m/>
    <m/>
    <m/>
    <m/>
    <m/>
    <d v="2025-01-23T00:00:00"/>
    <s v="H"/>
    <x v="4"/>
    <s v="ANGUS ROJO"/>
    <x v="128"/>
    <s v="05-11-2023"/>
    <s v="Vivo"/>
    <x v="15"/>
    <s v="11.1.01.0941"/>
    <s v="11.1.01.0893"/>
    <x v="0"/>
    <m/>
  </r>
  <r>
    <n v="23323530"/>
    <m/>
    <m/>
    <m/>
    <m/>
    <m/>
    <m/>
    <m/>
    <d v="2025-11-08T00:00:00"/>
    <s v="H"/>
    <x v="4"/>
    <s v="ANGUS NEGRO"/>
    <x v="128"/>
    <s v="05-11-2023"/>
    <s v="Vivo"/>
    <x v="15"/>
    <s v="11.1.01.0941"/>
    <s v="11.1.01.0893"/>
    <x v="0"/>
    <m/>
  </r>
  <r>
    <n v="23323531"/>
    <m/>
    <m/>
    <m/>
    <m/>
    <m/>
    <m/>
    <m/>
    <d v="2025-11-08T00:00:00"/>
    <s v="H"/>
    <x v="4"/>
    <s v="ANGUS NEGRO"/>
    <x v="129"/>
    <s v="11-12-2023"/>
    <s v="Vivo"/>
    <x v="15"/>
    <s v="11.1.01.0941"/>
    <s v="11.1.01.0893"/>
    <x v="0"/>
    <m/>
  </r>
  <r>
    <n v="23323534"/>
    <m/>
    <m/>
    <m/>
    <m/>
    <m/>
    <m/>
    <m/>
    <d v="2025-11-08T00:00:00"/>
    <s v="H"/>
    <x v="4"/>
    <s v="ANGUS NEGRO"/>
    <x v="121"/>
    <s v="05-10-2023"/>
    <s v="Vivo"/>
    <x v="15"/>
    <s v="11.1.01.0941"/>
    <s v="11.1.01.0893"/>
    <x v="0"/>
    <m/>
  </r>
  <r>
    <n v="23323538"/>
    <m/>
    <m/>
    <m/>
    <m/>
    <m/>
    <m/>
    <m/>
    <d v="2025-11-08T00:00:00"/>
    <s v="H"/>
    <x v="4"/>
    <s v="ANGUS ROJO"/>
    <x v="121"/>
    <s v="05-10-2023"/>
    <s v="Vivo"/>
    <x v="15"/>
    <s v="11.1.01.0941"/>
    <s v="11.1.01.0893"/>
    <x v="0"/>
    <m/>
  </r>
  <r>
    <n v="23323539"/>
    <m/>
    <m/>
    <m/>
    <m/>
    <m/>
    <m/>
    <m/>
    <d v="2025-11-08T00:00:00"/>
    <s v="H"/>
    <x v="4"/>
    <s v="ANGUS NEGRO"/>
    <x v="129"/>
    <s v="20-11-2023"/>
    <s v="Vivo"/>
    <x v="15"/>
    <s v="11.1.01.0941"/>
    <s v="11.1.01.0893"/>
    <x v="0"/>
    <m/>
  </r>
  <r>
    <n v="23323541"/>
    <m/>
    <m/>
    <m/>
    <m/>
    <m/>
    <m/>
    <m/>
    <d v="2025-11-08T00:00:00"/>
    <s v="H"/>
    <x v="4"/>
    <s v="ANGUS NEGRO"/>
    <x v="129"/>
    <s v="05-12-2023"/>
    <s v="Vivo"/>
    <x v="15"/>
    <s v="11.1.01.0941"/>
    <s v="11.1.01.0893"/>
    <x v="0"/>
    <m/>
  </r>
  <r>
    <n v="23323542"/>
    <m/>
    <m/>
    <m/>
    <m/>
    <m/>
    <m/>
    <m/>
    <d v="2025-01-23T00:00:00"/>
    <s v="H"/>
    <x v="4"/>
    <s v="ANGUS ROJO"/>
    <x v="129"/>
    <s v="25-11-2023"/>
    <s v="Vivo"/>
    <x v="15"/>
    <s v="11.1.01.0941"/>
    <s v="11.1.01.0893"/>
    <x v="0"/>
    <m/>
  </r>
  <r>
    <n v="23323545"/>
    <m/>
    <m/>
    <m/>
    <m/>
    <m/>
    <m/>
    <m/>
    <d v="2025-11-08T00:00:00"/>
    <s v="H"/>
    <x v="4"/>
    <s v="ANGUS NEGRO"/>
    <x v="129"/>
    <s v="30-11-2023"/>
    <s v="Vivo"/>
    <x v="15"/>
    <s v="11.1.01.0941"/>
    <s v="11.1.01.0893"/>
    <x v="0"/>
    <m/>
  </r>
  <r>
    <n v="23323546"/>
    <m/>
    <m/>
    <m/>
    <m/>
    <m/>
    <m/>
    <m/>
    <d v="2025-11-08T00:00:00"/>
    <s v="H"/>
    <x v="4"/>
    <s v="ANGUS NEGRO"/>
    <x v="128"/>
    <s v="05-11-2023"/>
    <s v="Vivo"/>
    <x v="15"/>
    <s v="11.1.01.0941"/>
    <s v="11.1.01.0893"/>
    <x v="0"/>
    <m/>
  </r>
  <r>
    <n v="23323549"/>
    <m/>
    <m/>
    <m/>
    <m/>
    <m/>
    <m/>
    <m/>
    <d v="2025-11-08T00:00:00"/>
    <s v="H"/>
    <x v="4"/>
    <s v="ANGUS NEGRO"/>
    <x v="129"/>
    <s v="05-12-2023"/>
    <s v="Vivo"/>
    <x v="15"/>
    <s v="11.1.01.0941"/>
    <s v="11.1.01.0893"/>
    <x v="0"/>
    <m/>
  </r>
  <r>
    <n v="23323552"/>
    <m/>
    <m/>
    <m/>
    <m/>
    <m/>
    <m/>
    <m/>
    <d v="2025-11-08T00:00:00"/>
    <s v="H"/>
    <x v="4"/>
    <s v="ANGUS NEGRO"/>
    <x v="129"/>
    <s v="05-12-2023"/>
    <s v="Vivo"/>
    <x v="15"/>
    <s v="11.1.01.0941"/>
    <s v="11.1.01.0893"/>
    <x v="0"/>
    <m/>
  </r>
  <r>
    <n v="23323553"/>
    <m/>
    <m/>
    <m/>
    <m/>
    <m/>
    <m/>
    <m/>
    <d v="2025-11-08T00:00:00"/>
    <s v="H"/>
    <x v="4"/>
    <s v="ANGUS NEGRO"/>
    <x v="128"/>
    <s v="05-11-2023"/>
    <s v="Vivo"/>
    <x v="15"/>
    <s v="11.1.01.0941"/>
    <s v="11.1.01.0893"/>
    <x v="0"/>
    <m/>
  </r>
  <r>
    <n v="23323555"/>
    <m/>
    <m/>
    <m/>
    <m/>
    <m/>
    <m/>
    <m/>
    <d v="2025-01-23T00:00:00"/>
    <s v="H"/>
    <x v="4"/>
    <s v="ANGUS NEGRO"/>
    <x v="130"/>
    <s v="31-12-2023"/>
    <s v="Vivo"/>
    <x v="15"/>
    <s v="11.1.01.0941"/>
    <s v="11.1.01.1241"/>
    <x v="0"/>
    <d v="2024-01-20T00:00:00"/>
  </r>
  <r>
    <n v="23323557"/>
    <m/>
    <m/>
    <m/>
    <m/>
    <m/>
    <m/>
    <m/>
    <d v="2025-11-08T00:00:00"/>
    <s v="H"/>
    <x v="4"/>
    <s v="HEREFORD"/>
    <x v="130"/>
    <s v="31-12-2023"/>
    <s v="Vivo"/>
    <x v="8"/>
    <s v="11.1.01.0190"/>
    <s v="11.1.01.1241"/>
    <x v="0"/>
    <d v="2024-01-20T00:00:00"/>
  </r>
  <r>
    <n v="23323558"/>
    <m/>
    <m/>
    <m/>
    <m/>
    <m/>
    <m/>
    <m/>
    <d v="2025-01-23T00:00:00"/>
    <s v="H"/>
    <x v="4"/>
    <s v="ANGUS NEGRO"/>
    <x v="130"/>
    <s v="25-12-2023"/>
    <s v="Vivo"/>
    <x v="15"/>
    <s v="11.1.01.0941"/>
    <s v="11.1.01.1241"/>
    <x v="0"/>
    <d v="2024-01-20T00:00:00"/>
  </r>
  <r>
    <n v="23323559"/>
    <m/>
    <m/>
    <m/>
    <m/>
    <m/>
    <m/>
    <m/>
    <d v="2025-11-08T00:00:00"/>
    <s v="H"/>
    <x v="4"/>
    <s v="ANGUS ROJO"/>
    <x v="130"/>
    <s v="25-12-2023"/>
    <s v="Vivo"/>
    <x v="15"/>
    <s v="11.1.01.0941"/>
    <s v="11.1.01.1241"/>
    <x v="0"/>
    <d v="2024-01-20T00:00:00"/>
  </r>
  <r>
    <n v="23323561"/>
    <m/>
    <m/>
    <m/>
    <m/>
    <m/>
    <m/>
    <m/>
    <d v="2025-01-23T00:00:00"/>
    <s v="H"/>
    <x v="4"/>
    <s v="HEREFORD"/>
    <x v="130"/>
    <s v="31-12-2023"/>
    <s v="Vivo"/>
    <x v="2"/>
    <s v="11.1.01.0941"/>
    <s v="11.1.01.1241"/>
    <x v="0"/>
    <d v="2024-01-20T00:00:00"/>
  </r>
  <r>
    <n v="23323562"/>
    <m/>
    <m/>
    <m/>
    <m/>
    <m/>
    <m/>
    <m/>
    <d v="2025-01-23T00:00:00"/>
    <s v="H"/>
    <x v="4"/>
    <s v="ANGUS NEGRO"/>
    <x v="130"/>
    <s v="31-12-2023"/>
    <s v="Vivo"/>
    <x v="15"/>
    <s v="11.1.01.0941"/>
    <s v="11.1.01.1241"/>
    <x v="0"/>
    <d v="2024-01-20T00:00:00"/>
  </r>
  <r>
    <n v="23323563"/>
    <m/>
    <m/>
    <m/>
    <m/>
    <m/>
    <m/>
    <m/>
    <d v="2025-11-08T00:00:00"/>
    <s v="H"/>
    <x v="4"/>
    <s v="ANGUS NEGRO"/>
    <x v="130"/>
    <s v="25-12-2023"/>
    <s v="Vivo"/>
    <x v="15"/>
    <s v="11.1.01.0941"/>
    <s v="11.1.01.1241"/>
    <x v="0"/>
    <d v="2024-01-20T00:00:00"/>
  </r>
  <r>
    <n v="23323564"/>
    <m/>
    <m/>
    <m/>
    <m/>
    <m/>
    <m/>
    <m/>
    <d v="2025-11-08T00:00:00"/>
    <s v="H"/>
    <x v="4"/>
    <s v="ANGUS NEGRO"/>
    <x v="130"/>
    <s v="25-12-2023"/>
    <s v="Vivo"/>
    <x v="15"/>
    <s v="11.1.01.0941"/>
    <s v="11.1.01.1241"/>
    <x v="0"/>
    <d v="2024-01-20T00:00:00"/>
  </r>
  <r>
    <n v="23323566"/>
    <m/>
    <m/>
    <m/>
    <m/>
    <m/>
    <m/>
    <m/>
    <d v="2025-01-23T00:00:00"/>
    <s v="H"/>
    <x v="4"/>
    <s v="ANGUS NEGRO"/>
    <x v="130"/>
    <s v="25-12-2023"/>
    <s v="Vivo"/>
    <x v="15"/>
    <s v="11.1.01.0941"/>
    <s v="11.1.01.1241"/>
    <x v="0"/>
    <d v="2024-01-27T00:00:00"/>
  </r>
  <r>
    <n v="23323572"/>
    <m/>
    <m/>
    <m/>
    <m/>
    <m/>
    <m/>
    <m/>
    <d v="2025-11-08T00:00:00"/>
    <s v="H"/>
    <x v="4"/>
    <s v="ANGUS NEGRO"/>
    <x v="129"/>
    <s v="05-12-2023"/>
    <s v="Vivo"/>
    <x v="15"/>
    <s v="11.1.01.0941"/>
    <s v="11.1.01.0893"/>
    <x v="0"/>
    <d v="2024-01-27T00:00:00"/>
  </r>
  <r>
    <n v="23323574"/>
    <m/>
    <m/>
    <m/>
    <m/>
    <m/>
    <m/>
    <m/>
    <d v="2025-11-08T00:00:00"/>
    <s v="H"/>
    <x v="4"/>
    <s v="ANGUS NEGRO"/>
    <x v="130"/>
    <s v="31-12-2023"/>
    <s v="Vivo"/>
    <x v="15"/>
    <s v="11.1.01.0941"/>
    <s v="11.1.01.0893"/>
    <x v="0"/>
    <d v="2024-01-27T00:00:00"/>
  </r>
  <r>
    <n v="23323575"/>
    <m/>
    <m/>
    <m/>
    <m/>
    <m/>
    <m/>
    <m/>
    <d v="2025-11-08T00:00:00"/>
    <s v="H"/>
    <x v="4"/>
    <s v="ANGUS NEGRO"/>
    <x v="129"/>
    <s v="30-11-2023"/>
    <s v="Vivo"/>
    <x v="15"/>
    <s v="11.1.01.0941"/>
    <s v="11.1.01.0893"/>
    <x v="0"/>
    <d v="2024-01-27T00:00:00"/>
  </r>
  <r>
    <n v="23323576"/>
    <m/>
    <m/>
    <m/>
    <m/>
    <m/>
    <m/>
    <m/>
    <m/>
    <s v="H"/>
    <x v="4"/>
    <s v="ANGUS ROJO"/>
    <x v="129"/>
    <s v="05-12-2023"/>
    <s v="Vivo"/>
    <x v="3"/>
    <s v="Sin Movimiento"/>
    <s v="11.1.01.0893"/>
    <x v="0"/>
    <d v="2024-01-27T00:00:00"/>
  </r>
  <r>
    <n v="23323577"/>
    <m/>
    <m/>
    <m/>
    <m/>
    <m/>
    <m/>
    <m/>
    <d v="2025-01-23T00:00:00"/>
    <s v="H"/>
    <x v="4"/>
    <s v="ANGUS NEGRO"/>
    <x v="128"/>
    <s v="05-11-2023"/>
    <s v="Vivo"/>
    <x v="15"/>
    <s v="11.1.01.0941"/>
    <s v="11.1.01.0893"/>
    <x v="0"/>
    <d v="2024-01-27T00:00:00"/>
  </r>
  <r>
    <n v="23323584"/>
    <m/>
    <m/>
    <m/>
    <m/>
    <m/>
    <m/>
    <m/>
    <d v="2025-11-08T00:00:00"/>
    <s v="H"/>
    <x v="4"/>
    <s v="ANGUS NEGRO"/>
    <x v="129"/>
    <s v="05-12-2023"/>
    <s v="Vivo"/>
    <x v="15"/>
    <s v="11.1.01.0941"/>
    <s v="11.1.01.0893"/>
    <x v="0"/>
    <d v="2024-01-27T00:00:00"/>
  </r>
  <r>
    <n v="23323585"/>
    <m/>
    <m/>
    <m/>
    <m/>
    <m/>
    <m/>
    <m/>
    <d v="2025-11-08T00:00:00"/>
    <s v="H"/>
    <x v="4"/>
    <s v="ANGUS NEGRO"/>
    <x v="129"/>
    <s v="30-11-2023"/>
    <s v="Vivo"/>
    <x v="15"/>
    <s v="11.1.01.0941"/>
    <s v="11.1.01.0893"/>
    <x v="0"/>
    <d v="2024-01-27T00:00:00"/>
  </r>
  <r>
    <n v="23323589"/>
    <m/>
    <m/>
    <m/>
    <m/>
    <m/>
    <m/>
    <m/>
    <d v="2025-11-08T00:00:00"/>
    <s v="H"/>
    <x v="4"/>
    <s v="ANGUS ROJO"/>
    <x v="128"/>
    <s v="15-11-2023"/>
    <s v="Vivo"/>
    <x v="15"/>
    <s v="11.1.01.0941"/>
    <s v="11.1.01.0893"/>
    <x v="0"/>
    <d v="2024-01-27T00:00:00"/>
  </r>
  <r>
    <n v="23323590"/>
    <m/>
    <m/>
    <m/>
    <m/>
    <m/>
    <m/>
    <m/>
    <d v="2025-11-08T00:00:00"/>
    <s v="H"/>
    <x v="4"/>
    <s v="ANGUS NEGRO"/>
    <x v="128"/>
    <s v="15-11-2023"/>
    <s v="Vivo"/>
    <x v="15"/>
    <s v="11.1.01.0941"/>
    <s v="11.1.01.0893"/>
    <x v="0"/>
    <d v="2024-05-20T00:00:00"/>
  </r>
  <r>
    <n v="23323593"/>
    <m/>
    <m/>
    <m/>
    <m/>
    <m/>
    <m/>
    <m/>
    <d v="2025-01-23T00:00:00"/>
    <s v="H"/>
    <x v="4"/>
    <s v="ANGUS NEGRO"/>
    <x v="131"/>
    <s v="11-03-2024"/>
    <s v="Vivo"/>
    <x v="15"/>
    <s v="11.1.01.0941"/>
    <s v="11.1.01.1241"/>
    <x v="0"/>
    <d v="2024-05-20T00:00:00"/>
  </r>
  <r>
    <n v="23323597"/>
    <m/>
    <m/>
    <m/>
    <m/>
    <m/>
    <m/>
    <m/>
    <d v="2025-11-08T00:00:00"/>
    <s v="M"/>
    <x v="5"/>
    <s v="ANGUS NEGRO"/>
    <x v="130"/>
    <s v="30-12-2023"/>
    <s v="Vivo"/>
    <x v="15"/>
    <s v="11.1.01.0941"/>
    <s v="11.1.01.1241"/>
    <x v="0"/>
    <d v="2024-05-20T00:00:00"/>
  </r>
  <r>
    <n v="23323598"/>
    <m/>
    <m/>
    <m/>
    <m/>
    <m/>
    <m/>
    <m/>
    <d v="2025-11-08T00:00:00"/>
    <s v="H"/>
    <x v="4"/>
    <s v="ANGUS NEGRO"/>
    <x v="130"/>
    <s v="30-12-2023"/>
    <s v="Vivo"/>
    <x v="15"/>
    <s v="11.1.01.0941"/>
    <s v="11.1.01.1241"/>
    <x v="0"/>
    <d v="2024-05-20T00:00:00"/>
  </r>
  <r>
    <n v="23323599"/>
    <m/>
    <m/>
    <m/>
    <m/>
    <m/>
    <m/>
    <m/>
    <d v="2025-11-08T00:00:00"/>
    <s v="H"/>
    <x v="4"/>
    <s v="ANGUS NEGRO"/>
    <x v="130"/>
    <s v="30-12-2023"/>
    <s v="Vivo"/>
    <x v="15"/>
    <s v="11.1.01.0941"/>
    <s v="11.1.01.1241"/>
    <x v="0"/>
    <d v="2024-05-20T00:00:00"/>
  </r>
  <r>
    <n v="23323602"/>
    <m/>
    <m/>
    <m/>
    <m/>
    <m/>
    <m/>
    <m/>
    <d v="2025-11-08T00:00:00"/>
    <s v="H"/>
    <x v="4"/>
    <s v="ANGUS ROJO"/>
    <x v="129"/>
    <s v="05-12-2023"/>
    <s v="Vivo"/>
    <x v="15"/>
    <s v="11.1.01.0941"/>
    <s v="11.1.01.1241"/>
    <x v="0"/>
    <d v="2024-05-20T00:00:00"/>
  </r>
  <r>
    <n v="23323604"/>
    <m/>
    <m/>
    <m/>
    <m/>
    <m/>
    <m/>
    <m/>
    <d v="2025-11-08T00:00:00"/>
    <s v="H"/>
    <x v="4"/>
    <s v="ANGUS NEGRO"/>
    <x v="129"/>
    <s v="05-12-2023"/>
    <s v="Vivo"/>
    <x v="15"/>
    <s v="11.1.01.0941"/>
    <s v="11.1.01.1241"/>
    <x v="0"/>
    <d v="2024-12-21T00:00:00"/>
  </r>
  <r>
    <n v="23323606"/>
    <m/>
    <m/>
    <m/>
    <m/>
    <m/>
    <m/>
    <m/>
    <d v="2025-01-23T00:00:00"/>
    <s v="H"/>
    <x v="4"/>
    <s v="ANGUS NEGRO"/>
    <x v="130"/>
    <s v="30-12-2023"/>
    <s v="Vivo"/>
    <x v="15"/>
    <s v="11.1.01.0941"/>
    <s v="11.1.01.1241"/>
    <x v="0"/>
    <d v="2024-12-21T00:00:00"/>
  </r>
  <r>
    <n v="23323607"/>
    <m/>
    <m/>
    <m/>
    <m/>
    <m/>
    <m/>
    <m/>
    <d v="2025-11-08T00:00:00"/>
    <s v="H"/>
    <x v="4"/>
    <s v="ANGUS NEGRO"/>
    <x v="130"/>
    <s v="30-12-2023"/>
    <s v="Vivo"/>
    <x v="15"/>
    <s v="11.1.01.0941"/>
    <s v="11.1.01.1241"/>
    <x v="0"/>
    <d v="2024-12-21T00:00:00"/>
  </r>
  <r>
    <n v="23323611"/>
    <m/>
    <m/>
    <m/>
    <m/>
    <m/>
    <m/>
    <m/>
    <d v="2025-11-08T00:00:00"/>
    <s v="H"/>
    <x v="4"/>
    <s v="ANGUS ROJO"/>
    <x v="130"/>
    <s v="25-12-2023"/>
    <s v="Vivo"/>
    <x v="15"/>
    <s v="11.1.01.0941"/>
    <s v="11.1.01.1241"/>
    <x v="0"/>
    <d v="2024-12-21T00:00:00"/>
  </r>
  <r>
    <n v="23323612"/>
    <m/>
    <m/>
    <m/>
    <m/>
    <m/>
    <m/>
    <m/>
    <d v="2025-01-23T00:00:00"/>
    <s v="H"/>
    <x v="1"/>
    <s v="ANGUS ROJO"/>
    <x v="122"/>
    <s v="30-01-2023"/>
    <s v="Vivo"/>
    <x v="15"/>
    <s v="11.1.01.0941"/>
    <s v="11.1.01.1241"/>
    <x v="2"/>
    <d v="2024-12-21T00:00:00"/>
  </r>
  <r>
    <n v="23323614"/>
    <m/>
    <m/>
    <m/>
    <m/>
    <m/>
    <m/>
    <m/>
    <d v="2025-11-08T00:00:00"/>
    <s v="H"/>
    <x v="4"/>
    <s v="ANGUS NEGRO"/>
    <x v="132"/>
    <s v="30-01-2024"/>
    <s v="Vivo"/>
    <x v="15"/>
    <s v="11.1.01.0941"/>
    <s v="11.1.01.1241"/>
    <x v="0"/>
    <d v="2024-12-21T00:00:00"/>
  </r>
  <r>
    <n v="23323618"/>
    <m/>
    <m/>
    <m/>
    <m/>
    <m/>
    <m/>
    <m/>
    <d v="2025-11-08T00:00:00"/>
    <s v="H"/>
    <x v="4"/>
    <s v="ANGUS NEGRO"/>
    <x v="132"/>
    <s v="30-01-2024"/>
    <s v="Vivo"/>
    <x v="15"/>
    <s v="11.1.01.0941"/>
    <s v="11.1.01.1241"/>
    <x v="0"/>
    <d v="2024-12-21T00:00:00"/>
  </r>
  <r>
    <n v="23323619"/>
    <m/>
    <m/>
    <m/>
    <m/>
    <m/>
    <m/>
    <m/>
    <m/>
    <s v="H"/>
    <x v="4"/>
    <s v="ANGUS NEGRO"/>
    <x v="131"/>
    <s v="11-03-2024"/>
    <s v="Vivo"/>
    <x v="0"/>
    <s v="Sin Movimiento"/>
    <s v="11.1.01.1241"/>
    <x v="0"/>
    <d v="2024-05-26T00:00:00"/>
  </r>
  <r>
    <n v="23323622"/>
    <m/>
    <m/>
    <m/>
    <m/>
    <m/>
    <m/>
    <m/>
    <d v="2025-11-08T00:00:00"/>
    <s v="H"/>
    <x v="4"/>
    <s v="ANGUS ROJO"/>
    <x v="129"/>
    <s v="15-12-2023"/>
    <s v="Vivo"/>
    <x v="15"/>
    <s v="11.1.01.0941"/>
    <s v="11.1.01.0893"/>
    <x v="0"/>
    <d v="2024-05-26T00:00:00"/>
  </r>
  <r>
    <n v="23323625"/>
    <m/>
    <m/>
    <m/>
    <m/>
    <m/>
    <m/>
    <m/>
    <d v="2025-11-08T00:00:00"/>
    <s v="H"/>
    <x v="4"/>
    <s v="ANGUS NEGRO"/>
    <x v="129"/>
    <s v="15-12-2023"/>
    <s v="Vivo"/>
    <x v="15"/>
    <s v="11.1.01.0941"/>
    <s v="11.1.01.0893"/>
    <x v="0"/>
    <d v="2024-05-26T00:00:00"/>
  </r>
  <r>
    <n v="23323626"/>
    <m/>
    <n v="23323246"/>
    <m/>
    <m/>
    <m/>
    <m/>
    <m/>
    <d v="2025-11-08T00:00:00"/>
    <s v="H"/>
    <x v="4"/>
    <s v="ANGUS NEGRO"/>
    <x v="121"/>
    <s v="15-10-2023"/>
    <s v="Vivo"/>
    <x v="15"/>
    <s v="11.1.01.0941"/>
    <s v="11.1.01.0893"/>
    <x v="0"/>
    <m/>
  </r>
  <r>
    <n v="23323627"/>
    <m/>
    <m/>
    <m/>
    <m/>
    <m/>
    <m/>
    <m/>
    <d v="2025-01-23T00:00:00"/>
    <s v="H"/>
    <x v="1"/>
    <s v="ANGUS NEGRO"/>
    <x v="133"/>
    <s v="15-01-2023"/>
    <s v="Vivo"/>
    <x v="15"/>
    <s v="11.1.01.0941"/>
    <s v="11.1.01.1241"/>
    <x v="2"/>
    <d v="2024-06-09T00:00:00"/>
  </r>
  <r>
    <n v="23323630"/>
    <m/>
    <m/>
    <m/>
    <m/>
    <m/>
    <m/>
    <m/>
    <d v="2025-11-08T00:00:00"/>
    <s v="H"/>
    <x v="4"/>
    <s v="ANGUS NEGRO"/>
    <x v="134"/>
    <s v="31-03-2024"/>
    <s v="Vivo"/>
    <x v="15"/>
    <s v="11.1.01.0941"/>
    <s v="11.1.01.1241"/>
    <x v="0"/>
    <d v="2024-06-16T00:00:00"/>
  </r>
  <r>
    <n v="23323631"/>
    <m/>
    <m/>
    <m/>
    <m/>
    <m/>
    <m/>
    <m/>
    <d v="2025-01-23T00:00:00"/>
    <s v="H"/>
    <x v="4"/>
    <s v="ANGUS NEGRO"/>
    <x v="134"/>
    <s v="31-03-2024"/>
    <s v="Vivo"/>
    <x v="15"/>
    <s v="11.1.01.0941"/>
    <s v="11.1.01.1241"/>
    <x v="0"/>
    <d v="2024-06-16T00:00:00"/>
  </r>
  <r>
    <n v="23323636"/>
    <m/>
    <n v="16843085"/>
    <m/>
    <m/>
    <m/>
    <m/>
    <d v="2024-12-22T00:00:00"/>
    <d v="2025-11-05T00:00:00"/>
    <s v="H"/>
    <x v="1"/>
    <s v="ANGUS NEGRO"/>
    <x v="96"/>
    <s v="30-09-2019"/>
    <s v="Vivo"/>
    <x v="8"/>
    <s v="11.1.01.0190"/>
    <s v="11.2.01.0053"/>
    <x v="0"/>
    <m/>
  </r>
  <r>
    <n v="23323637"/>
    <m/>
    <m/>
    <m/>
    <m/>
    <m/>
    <m/>
    <m/>
    <d v="2025-11-05T00:00:00"/>
    <s v="H"/>
    <x v="1"/>
    <s v="ANGUS NEGRO"/>
    <x v="98"/>
    <s v="15-12-2021"/>
    <s v="Vivo"/>
    <x v="8"/>
    <s v="11.1.01.0190"/>
    <s v="11.1.01.1241"/>
    <x v="2"/>
    <d v="2025-04-27T00:00:00"/>
  </r>
  <r>
    <n v="23323638"/>
    <m/>
    <m/>
    <m/>
    <m/>
    <m/>
    <m/>
    <d v="2024-12-22T00:00:00"/>
    <d v="2025-11-04T00:00:00"/>
    <s v="H"/>
    <x v="1"/>
    <s v="ANGUS NEGRO"/>
    <x v="108"/>
    <s v="15-09-2020"/>
    <s v="Vivo"/>
    <x v="10"/>
    <s v="11.1.01.0190"/>
    <s v="11.1.01.1241"/>
    <x v="2"/>
    <d v="2024-12-10T00:00:00"/>
  </r>
  <r>
    <n v="23323639"/>
    <m/>
    <n v="14717757"/>
    <m/>
    <m/>
    <m/>
    <m/>
    <d v="2024-12-22T00:00:00"/>
    <d v="2025-11-04T00:00:00"/>
    <s v="H"/>
    <x v="1"/>
    <s v="ANGUS NEGRO"/>
    <x v="79"/>
    <s v="15-10-2016"/>
    <s v="Vivo"/>
    <x v="10"/>
    <s v="11.1.01.0190"/>
    <s v="11.1.01.0893"/>
    <x v="0"/>
    <m/>
  </r>
  <r>
    <n v="23323640"/>
    <m/>
    <m/>
    <m/>
    <m/>
    <m/>
    <m/>
    <d v="2024-12-22T00:00:00"/>
    <d v="2025-01-14T00:00:00"/>
    <s v="H"/>
    <x v="1"/>
    <s v="ANGUS NEGRO"/>
    <x v="95"/>
    <s v="30-09-2020"/>
    <s v="Vivo"/>
    <x v="0"/>
    <s v="11.2.01.0038"/>
    <s v="11.1.01.1241"/>
    <x v="2"/>
    <d v="2024-12-10T00:00:00"/>
  </r>
  <r>
    <n v="23323641"/>
    <m/>
    <n v="14717848"/>
    <m/>
    <m/>
    <m/>
    <m/>
    <d v="2024-12-22T00:00:00"/>
    <d v="2025-11-05T00:00:00"/>
    <s v="H"/>
    <x v="1"/>
    <s v="ANGUS NEGRO"/>
    <x v="79"/>
    <s v="15-10-2016"/>
    <s v="Vivo"/>
    <x v="8"/>
    <s v="11.1.01.0190"/>
    <s v="11.2.01.2071"/>
    <x v="0"/>
    <m/>
  </r>
  <r>
    <n v="23323642"/>
    <m/>
    <n v="16843240"/>
    <m/>
    <m/>
    <m/>
    <m/>
    <m/>
    <m/>
    <s v="H"/>
    <x v="1"/>
    <s v="ANGUS NEGRO"/>
    <x v="24"/>
    <s v="10-09-2018"/>
    <s v="Vivo"/>
    <x v="4"/>
    <s v="11.1.01.0893"/>
    <s v="11.1.01.0893"/>
    <x v="0"/>
    <m/>
  </r>
  <r>
    <n v="23323643"/>
    <m/>
    <n v="16843275"/>
    <m/>
    <m/>
    <m/>
    <m/>
    <d v="2024-01-06T00:00:00"/>
    <m/>
    <s v="H"/>
    <x v="1"/>
    <s v="ANGUS NEGRO"/>
    <x v="91"/>
    <s v="30-09-2018"/>
    <s v="Vivo"/>
    <x v="5"/>
    <s v="11.1.01.0893"/>
    <s v="11.1.01.0893"/>
    <x v="0"/>
    <m/>
  </r>
  <r>
    <n v="23323644"/>
    <m/>
    <n v="14717758"/>
    <m/>
    <m/>
    <m/>
    <m/>
    <d v="2024-01-06T00:00:00"/>
    <m/>
    <s v="H"/>
    <x v="1"/>
    <s v="ANGUS NEGRO"/>
    <x v="79"/>
    <s v="15-10-2016"/>
    <s v="Vivo"/>
    <x v="4"/>
    <s v="11.1.01.0893"/>
    <s v="11.1.01.0893"/>
    <x v="0"/>
    <m/>
  </r>
  <r>
    <n v="23323645"/>
    <m/>
    <n v="16843236"/>
    <m/>
    <m/>
    <m/>
    <m/>
    <m/>
    <m/>
    <s v="M"/>
    <x v="3"/>
    <s v="ANGUS NEGRO"/>
    <x v="24"/>
    <s v="10-09-2018"/>
    <s v="Vivo"/>
    <x v="5"/>
    <s v="11.1.01.0893"/>
    <s v="11.1.01.0893"/>
    <x v="0"/>
    <d v="2025-01-05T00:00:00"/>
  </r>
  <r>
    <n v="23323646"/>
    <m/>
    <n v="16843018"/>
    <m/>
    <m/>
    <m/>
    <m/>
    <d v="2024-01-06T00:00:00"/>
    <m/>
    <s v="H"/>
    <x v="1"/>
    <s v="ANGUS NEGRO"/>
    <x v="91"/>
    <s v="20-09-2018"/>
    <s v="Vivo"/>
    <x v="5"/>
    <s v="11.1.01.0893"/>
    <s v="11.1.01.1241"/>
    <x v="0"/>
    <d v="2024-12-10T00:00:00"/>
  </r>
  <r>
    <n v="23323648"/>
    <m/>
    <m/>
    <m/>
    <m/>
    <m/>
    <m/>
    <m/>
    <m/>
    <s v="M"/>
    <x v="0"/>
    <s v="ANGUS NEGRO"/>
    <x v="97"/>
    <s v="01-11-2019"/>
    <s v="Vivo"/>
    <x v="8"/>
    <s v="11.1.01.0190"/>
    <s v="11.1.01.0893"/>
    <x v="2"/>
    <d v="2025-01-05T00:00:00"/>
  </r>
  <r>
    <n v="23323649"/>
    <n v="2636171"/>
    <m/>
    <m/>
    <m/>
    <m/>
    <m/>
    <d v="2024-12-10T00:00:00"/>
    <m/>
    <s v="M"/>
    <x v="3"/>
    <s v="ANGUS NEGRO"/>
    <x v="97"/>
    <s v="01-11-2019"/>
    <s v="Vivo"/>
    <x v="4"/>
    <s v="11.1.01.0893"/>
    <s v="11.1.01.1241"/>
    <x v="2"/>
    <d v="2024-12-10T00:00:00"/>
  </r>
  <r>
    <n v="23323650"/>
    <n v="2636124"/>
    <n v="15417634"/>
    <m/>
    <m/>
    <m/>
    <m/>
    <m/>
    <d v="2025-11-04T00:00:00"/>
    <s v="M"/>
    <x v="3"/>
    <s v="ANGUS NEGRO"/>
    <x v="85"/>
    <s v="07-11-2017"/>
    <s v="Vivo"/>
    <x v="8"/>
    <s v="11.1.01.0190"/>
    <s v="11.2.01.0251"/>
    <x v="0"/>
    <m/>
  </r>
  <r>
    <n v="23323651"/>
    <n v="2636116"/>
    <n v="19050220"/>
    <m/>
    <m/>
    <m/>
    <m/>
    <m/>
    <m/>
    <s v="M"/>
    <x v="0"/>
    <s v="ANGUS NEGRO"/>
    <x v="57"/>
    <s v="10-10-2013"/>
    <s v="Vivo"/>
    <x v="5"/>
    <s v="11.1.01.0893"/>
    <s v="11.1.01.0893"/>
    <x v="2"/>
    <m/>
  </r>
  <r>
    <n v="23323652"/>
    <m/>
    <n v="15661327"/>
    <m/>
    <m/>
    <m/>
    <m/>
    <d v="2024-12-22T00:00:00"/>
    <d v="2025-11-04T00:00:00"/>
    <s v="H"/>
    <x v="1"/>
    <s v="ANGUS NEGRO"/>
    <x v="85"/>
    <s v="30-10-2017"/>
    <s v="Vivo"/>
    <x v="10"/>
    <s v="11.1.01.0190"/>
    <s v="11.1.01.0893"/>
    <x v="0"/>
    <m/>
  </r>
  <r>
    <n v="23323653"/>
    <m/>
    <n v="18943177"/>
    <m/>
    <m/>
    <m/>
    <m/>
    <d v="2024-12-22T00:00:00"/>
    <d v="2025-11-04T00:00:00"/>
    <s v="H"/>
    <x v="1"/>
    <s v="ANGUS ROJO"/>
    <x v="31"/>
    <s v="30-08-2009"/>
    <s v="Vivo"/>
    <x v="8"/>
    <s v="11.1.01.0190"/>
    <s v="11.1.01.0790"/>
    <x v="0"/>
    <m/>
  </r>
  <r>
    <n v="23323654"/>
    <m/>
    <n v="14718090"/>
    <m/>
    <m/>
    <m/>
    <m/>
    <d v="2024-12-22T00:00:00"/>
    <d v="2025-11-04T00:00:00"/>
    <s v="H"/>
    <x v="1"/>
    <s v="ANGUS NEGRO"/>
    <x v="79"/>
    <s v="15-10-2016"/>
    <s v="Vivo"/>
    <x v="10"/>
    <s v="11.1.01.0190"/>
    <s v="11.2.01.0038"/>
    <x v="0"/>
    <m/>
  </r>
  <r>
    <n v="23323657"/>
    <m/>
    <m/>
    <m/>
    <m/>
    <m/>
    <m/>
    <m/>
    <m/>
    <s v="H"/>
    <x v="1"/>
    <s v="ANGUS NEGRO"/>
    <x v="97"/>
    <s v="01-11-2019"/>
    <s v="Vivo"/>
    <x v="5"/>
    <s v="11.1.01.0893"/>
    <s v="11.1.01.0893"/>
    <x v="2"/>
    <d v="2025-01-17T00:00:00"/>
  </r>
  <r>
    <n v="23323658"/>
    <m/>
    <m/>
    <m/>
    <m/>
    <m/>
    <m/>
    <m/>
    <m/>
    <s v="H"/>
    <x v="1"/>
    <s v="ANGUS NEGRO"/>
    <x v="97"/>
    <s v="01-11-2019"/>
    <s v="Vivo"/>
    <x v="5"/>
    <s v="11.1.01.0893"/>
    <s v="11.1.01.0893"/>
    <x v="2"/>
    <d v="2025-01-17T00:00:00"/>
  </r>
  <r>
    <n v="23323659"/>
    <m/>
    <m/>
    <m/>
    <m/>
    <m/>
    <m/>
    <m/>
    <m/>
    <s v="H"/>
    <x v="1"/>
    <s v="ANGUS ROJO"/>
    <x v="96"/>
    <s v="30-09-2019"/>
    <s v="Vivo"/>
    <x v="5"/>
    <s v="11.1.01.0893"/>
    <s v="11.1.01.0893"/>
    <x v="2"/>
    <d v="2025-01-17T00:00:00"/>
  </r>
  <r>
    <n v="23323661"/>
    <m/>
    <m/>
    <m/>
    <m/>
    <m/>
    <m/>
    <m/>
    <m/>
    <s v="H"/>
    <x v="1"/>
    <s v="ANGUS NEGRO"/>
    <x v="97"/>
    <s v="20-10-2019"/>
    <s v="Vivo"/>
    <x v="4"/>
    <s v="11.1.01.0893"/>
    <s v="11.1.01.0893"/>
    <x v="2"/>
    <d v="2025-01-17T00:00:00"/>
  </r>
  <r>
    <n v="23323662"/>
    <m/>
    <n v="16843299"/>
    <m/>
    <m/>
    <m/>
    <m/>
    <m/>
    <m/>
    <s v="H"/>
    <x v="1"/>
    <s v="ANGUS NEGRO"/>
    <x v="91"/>
    <s v="30-09-2018"/>
    <s v="Vivo"/>
    <x v="5"/>
    <s v="11.1.01.0893"/>
    <s v="11.1.01.0893"/>
    <x v="0"/>
    <m/>
  </r>
  <r>
    <n v="23323663"/>
    <m/>
    <n v="16843492"/>
    <m/>
    <m/>
    <m/>
    <m/>
    <m/>
    <m/>
    <s v="H"/>
    <x v="1"/>
    <s v="ANGUS NEGRO"/>
    <x v="24"/>
    <s v="15-09-2018"/>
    <s v="Vivo"/>
    <x v="5"/>
    <s v="11.1.01.0893"/>
    <s v="11.1.01.0893"/>
    <x v="0"/>
    <m/>
  </r>
  <r>
    <n v="23323664"/>
    <m/>
    <m/>
    <m/>
    <m/>
    <m/>
    <m/>
    <m/>
    <m/>
    <s v="H"/>
    <x v="1"/>
    <s v="ANGUS NEGRO"/>
    <x v="98"/>
    <s v="15-12-2021"/>
    <s v="Vivo"/>
    <x v="0"/>
    <s v="Sin Movimiento"/>
    <s v="11.1.01.1241"/>
    <x v="2"/>
    <d v="2025-04-26T00:00:00"/>
  </r>
  <r>
    <n v="23323665"/>
    <m/>
    <m/>
    <m/>
    <m/>
    <m/>
    <m/>
    <m/>
    <m/>
    <s v="H"/>
    <x v="1"/>
    <s v="ANGUS NEGRO"/>
    <x v="98"/>
    <s v="15-12-2021"/>
    <s v="Muerto"/>
    <x v="12"/>
    <s v="11.1.01.0190"/>
    <s v="11.1.01.1241"/>
    <x v="2"/>
    <d v="2025-04-27T00:00:00"/>
  </r>
  <r>
    <n v="23323666"/>
    <m/>
    <n v="15661292"/>
    <m/>
    <m/>
    <m/>
    <m/>
    <d v="2024-05-18T00:00:00"/>
    <d v="2025-11-05T00:00:00"/>
    <s v="H"/>
    <x v="1"/>
    <s v="ANGUS NEGRO"/>
    <x v="84"/>
    <s v="30-09-2017"/>
    <s v="Vivo"/>
    <x v="8"/>
    <s v="11.1.01.0190"/>
    <s v="11.1.01.0893"/>
    <x v="0"/>
    <m/>
  </r>
  <r>
    <n v="23323667"/>
    <m/>
    <n v="20910480"/>
    <m/>
    <m/>
    <m/>
    <m/>
    <d v="2024-12-22T00:00:00"/>
    <m/>
    <s v="H"/>
    <x v="1"/>
    <s v="ANGUS ROJO"/>
    <x v="115"/>
    <s v="15-10-2021"/>
    <s v="Vivo"/>
    <x v="0"/>
    <s v="11.2.01.0038"/>
    <s v="11.1.01.1241"/>
    <x v="0"/>
    <m/>
  </r>
  <r>
    <n v="23323668"/>
    <m/>
    <n v="20910010"/>
    <m/>
    <m/>
    <m/>
    <m/>
    <d v="2024-12-22T00:00:00"/>
    <m/>
    <s v="H"/>
    <x v="1"/>
    <s v="ANGUS NEGRO"/>
    <x v="115"/>
    <s v="05-10-2021"/>
    <s v="Vivo"/>
    <x v="7"/>
    <s v="11.1.01.1241"/>
    <s v="11.1.01.1241"/>
    <x v="0"/>
    <m/>
  </r>
  <r>
    <n v="23323670"/>
    <m/>
    <n v="24567522"/>
    <m/>
    <m/>
    <m/>
    <m/>
    <m/>
    <d v="2025-11-05T00:00:00"/>
    <s v="H"/>
    <x v="4"/>
    <s v="ANGUS ROJO"/>
    <x v="135"/>
    <s v="15-09-2024"/>
    <s v="Vivo"/>
    <x v="8"/>
    <s v="11.1.01.0190"/>
    <s v="11.1.01.0893"/>
    <x v="0"/>
    <d v="2024-09-15T00:00:00"/>
  </r>
  <r>
    <n v="23323676"/>
    <m/>
    <n v="15661176"/>
    <m/>
    <m/>
    <m/>
    <m/>
    <d v="2024-12-22T00:00:00"/>
    <d v="2025-11-04T00:00:00"/>
    <s v="H"/>
    <x v="1"/>
    <s v="ANGUS NEGRO"/>
    <x v="86"/>
    <s v="01-09-2017"/>
    <s v="Vivo"/>
    <x v="6"/>
    <s v="11.1.01.1241"/>
    <s v="11.1.01.1241"/>
    <x v="0"/>
    <m/>
  </r>
  <r>
    <n v="23323677"/>
    <m/>
    <n v="20910676"/>
    <m/>
    <m/>
    <m/>
    <d v="2023-10-16T00:00:00"/>
    <m/>
    <m/>
    <s v="M"/>
    <x v="5"/>
    <s v="ANGUS NEGRO"/>
    <x v="121"/>
    <s v="30-09-2023"/>
    <s v="Vivo"/>
    <x v="10"/>
    <s v="11.1.01.0190"/>
    <s v="11.1.01.1241"/>
    <x v="0"/>
    <d v="2023-09-30T00:00:00"/>
  </r>
  <r>
    <n v="23323678"/>
    <m/>
    <n v="24567520"/>
    <m/>
    <m/>
    <m/>
    <m/>
    <m/>
    <m/>
    <s v="H"/>
    <x v="4"/>
    <s v="ANGUS NEGRO"/>
    <x v="135"/>
    <s v="15-09-2024"/>
    <s v="Vivo"/>
    <x v="8"/>
    <s v="11.1.01.0190"/>
    <s v="11.1.01.0893"/>
    <x v="0"/>
    <d v="2024-09-15T00:00:00"/>
  </r>
  <r>
    <n v="23323679"/>
    <m/>
    <n v="18943053"/>
    <m/>
    <m/>
    <m/>
    <d v="2023-06-13T00:00:00"/>
    <d v="2024-05-20T00:00:00"/>
    <d v="2025-11-05T00:00:00"/>
    <s v="H"/>
    <x v="1"/>
    <s v="ANGUS NEGRO"/>
    <x v="95"/>
    <s v="30-09-2020"/>
    <s v="Vivo"/>
    <x v="8"/>
    <s v="11.1.01.0190"/>
    <s v="11.1.01.0893"/>
    <x v="0"/>
    <d v="2020-09-30T00:00:00"/>
  </r>
  <r>
    <n v="23323683"/>
    <m/>
    <n v="893320"/>
    <m/>
    <m/>
    <m/>
    <m/>
    <m/>
    <d v="2025-11-04T00:00:00"/>
    <s v="H"/>
    <x v="1"/>
    <s v="ANGUS NEGRO"/>
    <x v="59"/>
    <s v="30-01-2014"/>
    <s v="Vivo"/>
    <x v="10"/>
    <s v="11.1.01.0190"/>
    <s v="11.1.01.1241"/>
    <x v="0"/>
    <d v="2014-01-30T00:00:00"/>
  </r>
  <r>
    <n v="23323684"/>
    <m/>
    <n v="19050369"/>
    <m/>
    <d v="2021-07-08T00:00:00"/>
    <d v="2022-11-02T00:00:00"/>
    <d v="2023-11-24T00:00:00"/>
    <d v="2024-05-20T00:00:00"/>
    <d v="2025-11-04T00:00:00"/>
    <s v="H"/>
    <x v="1"/>
    <s v="ANGUS NEGRO"/>
    <x v="96"/>
    <s v="25-09-2019"/>
    <s v="Vivo"/>
    <x v="10"/>
    <s v="11.1.01.0190"/>
    <s v="11.1.01.1241"/>
    <x v="0"/>
    <d v="2019-09-25T00:00:00"/>
  </r>
  <r>
    <n v="23323685"/>
    <m/>
    <n v="16705728"/>
    <d v="2020-10-31T00:00:00"/>
    <m/>
    <d v="2022-12-17T00:00:00"/>
    <d v="2023-11-24T00:00:00"/>
    <d v="2024-05-20T00:00:00"/>
    <d v="2025-11-04T00:00:00"/>
    <s v="H"/>
    <x v="1"/>
    <s v="ANGUS NEGRO"/>
    <x v="37"/>
    <s v="15-10-2010"/>
    <s v="Vivo"/>
    <x v="10"/>
    <s v="11.1.01.0190"/>
    <s v="11.2.01.0038"/>
    <x v="2"/>
    <d v="2010-10-15T00:00:00"/>
  </r>
  <r>
    <n v="24567015"/>
    <m/>
    <m/>
    <m/>
    <m/>
    <m/>
    <m/>
    <m/>
    <m/>
    <s v="H"/>
    <x v="4"/>
    <s v="ANGUS ROJO"/>
    <x v="135"/>
    <s v="15-09-2024"/>
    <s v="Vivo"/>
    <x v="0"/>
    <s v="11.2.01.0038"/>
    <s v="11.1.01.1241"/>
    <x v="0"/>
    <d v="2024-10-12T00:00:00"/>
  </r>
  <r>
    <n v="24567018"/>
    <m/>
    <m/>
    <m/>
    <m/>
    <m/>
    <m/>
    <m/>
    <m/>
    <s v="H"/>
    <x v="4"/>
    <s v="ANGUS NEGRO"/>
    <x v="135"/>
    <s v="15-09-2024"/>
    <s v="Vivo"/>
    <x v="2"/>
    <s v="11.2.01.0053"/>
    <s v="11.1.01.1241"/>
    <x v="0"/>
    <d v="2024-09-15T00:00:00"/>
  </r>
  <r>
    <n v="24567021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029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10-12T00:00:00"/>
  </r>
  <r>
    <n v="24567032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10-12T00:00:00"/>
  </r>
  <r>
    <n v="24567038"/>
    <m/>
    <m/>
    <m/>
    <m/>
    <m/>
    <m/>
    <m/>
    <d v="2025-06-05T00:00:00"/>
    <s v="H"/>
    <x v="4"/>
    <s v="ANGUS NEGRO"/>
    <x v="135"/>
    <s v="15-09-2024"/>
    <s v="Vivo"/>
    <x v="0"/>
    <s v="11.2.01.0038"/>
    <s v="11.1.01.1241"/>
    <x v="0"/>
    <d v="2024-10-12T00:00:00"/>
  </r>
  <r>
    <n v="24567039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10-12T00:00:00"/>
  </r>
  <r>
    <n v="24567044"/>
    <m/>
    <m/>
    <m/>
    <m/>
    <m/>
    <m/>
    <m/>
    <m/>
    <s v="M"/>
    <x v="5"/>
    <s v="ANGUS NEGRO"/>
    <x v="135"/>
    <s v="15-09-2024"/>
    <s v="Vivo"/>
    <x v="0"/>
    <s v="Sin Movimiento"/>
    <s v="11.1.01.1241"/>
    <x v="0"/>
    <d v="2024-10-12T00:00:00"/>
  </r>
  <r>
    <n v="24567046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047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052"/>
    <m/>
    <m/>
    <m/>
    <m/>
    <m/>
    <m/>
    <m/>
    <m/>
    <s v="M"/>
    <x v="5"/>
    <s v="ANGUS NEGRO"/>
    <x v="135"/>
    <s v="15-09-2024"/>
    <s v="Vivo"/>
    <x v="0"/>
    <s v="Sin Movimiento"/>
    <s v="11.1.01.1241"/>
    <x v="0"/>
    <d v="2024-10-12T00:00:00"/>
  </r>
  <r>
    <n v="24567054"/>
    <m/>
    <m/>
    <m/>
    <m/>
    <m/>
    <m/>
    <m/>
    <m/>
    <s v="H"/>
    <x v="4"/>
    <s v="ANGUS NEGRO"/>
    <x v="135"/>
    <s v="15-09-2024"/>
    <s v="Vivo"/>
    <x v="0"/>
    <s v="Sin Movimiento"/>
    <s v="11.1.01.1241"/>
    <x v="0"/>
    <d v="2024-10-12T00:00:00"/>
  </r>
  <r>
    <n v="24567064"/>
    <m/>
    <m/>
    <m/>
    <m/>
    <m/>
    <m/>
    <m/>
    <d v="2025-08-18T00:00:00"/>
    <s v="H"/>
    <x v="4"/>
    <s v="ANGUS NEGRO"/>
    <x v="136"/>
    <s v="15-08-2024"/>
    <s v="Vivo"/>
    <x v="6"/>
    <s v="11.2.01.0053"/>
    <s v="11.1.01.1241"/>
    <x v="0"/>
    <d v="2024-10-12T00:00:00"/>
  </r>
  <r>
    <n v="24567065"/>
    <m/>
    <m/>
    <m/>
    <m/>
    <m/>
    <m/>
    <m/>
    <d v="2025-06-05T00:00:00"/>
    <s v="H"/>
    <x v="4"/>
    <s v="ANGUS ROJO"/>
    <x v="135"/>
    <s v="15-09-2024"/>
    <s v="Vivo"/>
    <x v="0"/>
    <s v="11.2.01.0038"/>
    <s v="11.1.01.1241"/>
    <x v="0"/>
    <d v="2024-10-12T00:00:00"/>
  </r>
  <r>
    <n v="24567068"/>
    <m/>
    <m/>
    <m/>
    <m/>
    <m/>
    <m/>
    <m/>
    <d v="2025-06-05T00:00:00"/>
    <s v="H"/>
    <x v="4"/>
    <s v="ANGUS NEGRO"/>
    <x v="135"/>
    <s v="15-09-2024"/>
    <s v="Vivo"/>
    <x v="0"/>
    <s v="11.2.01.0038"/>
    <s v="11.1.01.1241"/>
    <x v="0"/>
    <d v="2024-10-12T00:00:00"/>
  </r>
  <r>
    <n v="24567070"/>
    <m/>
    <m/>
    <m/>
    <m/>
    <m/>
    <m/>
    <m/>
    <d v="2025-08-18T00:00:00"/>
    <s v="H"/>
    <x v="4"/>
    <s v="ANGUS ROJO"/>
    <x v="135"/>
    <s v="15-09-2024"/>
    <s v="Vivo"/>
    <x v="6"/>
    <s v="11.2.01.0053"/>
    <s v="11.1.01.1241"/>
    <x v="0"/>
    <d v="2024-10-12T00:00:00"/>
  </r>
  <r>
    <n v="24567074"/>
    <m/>
    <m/>
    <m/>
    <m/>
    <m/>
    <m/>
    <m/>
    <d v="2025-06-05T00:00:00"/>
    <s v="H"/>
    <x v="4"/>
    <s v="ANGUS NEGRO"/>
    <x v="137"/>
    <s v="01-10-2024"/>
    <s v="Vivo"/>
    <x v="0"/>
    <s v="11.2.01.0038"/>
    <s v="11.1.01.1241"/>
    <x v="0"/>
    <d v="2024-10-12T00:00:00"/>
  </r>
  <r>
    <n v="24567077"/>
    <m/>
    <m/>
    <m/>
    <m/>
    <m/>
    <m/>
    <m/>
    <d v="2025-06-05T00:00:00"/>
    <s v="H"/>
    <x v="4"/>
    <s v="ANGUS NEGRO"/>
    <x v="135"/>
    <s v="15-09-2024"/>
    <s v="Vivo"/>
    <x v="0"/>
    <s v="11.2.01.0038"/>
    <s v="11.1.01.1241"/>
    <x v="0"/>
    <d v="2024-10-12T00:00:00"/>
  </r>
  <r>
    <n v="24567078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083"/>
    <m/>
    <m/>
    <m/>
    <m/>
    <m/>
    <m/>
    <m/>
    <m/>
    <s v="H"/>
    <x v="4"/>
    <s v="ANGUS ROJO"/>
    <x v="135"/>
    <s v="15-09-2024"/>
    <s v="Vivo"/>
    <x v="0"/>
    <s v="11.2.01.0038"/>
    <s v="11.1.01.1241"/>
    <x v="0"/>
    <d v="2024-10-12T00:00:00"/>
  </r>
  <r>
    <n v="24567085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089"/>
    <m/>
    <m/>
    <m/>
    <m/>
    <m/>
    <m/>
    <m/>
    <m/>
    <s v="H"/>
    <x v="4"/>
    <s v="ANGUS NEGRO"/>
    <x v="135"/>
    <s v="15-09-2024"/>
    <s v="Vivo"/>
    <x v="0"/>
    <s v="Sin Movimiento"/>
    <s v="11.1.01.1241"/>
    <x v="0"/>
    <d v="2024-10-13T00:00:00"/>
  </r>
  <r>
    <n v="24567095"/>
    <m/>
    <m/>
    <m/>
    <m/>
    <m/>
    <m/>
    <d v="2024-11-10T00:00:00"/>
    <m/>
    <s v="H"/>
    <x v="4"/>
    <s v="ANGUS NEGRO"/>
    <x v="135"/>
    <s v="15-09-2024"/>
    <s v="Vivo"/>
    <x v="0"/>
    <s v="Sin Movimiento"/>
    <s v="11.1.01.1241"/>
    <x v="0"/>
    <d v="2024-10-13T00:00:00"/>
  </r>
  <r>
    <n v="24567102"/>
    <m/>
    <m/>
    <m/>
    <m/>
    <m/>
    <m/>
    <m/>
    <m/>
    <s v="M"/>
    <x v="5"/>
    <s v="ANGUS ROJO"/>
    <x v="135"/>
    <s v="15-09-2024"/>
    <s v="Vivo"/>
    <x v="0"/>
    <s v="Sin Movimiento"/>
    <s v="11.1.01.1241"/>
    <x v="0"/>
    <d v="2024-10-13T00:00:00"/>
  </r>
  <r>
    <n v="24567105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110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112"/>
    <m/>
    <m/>
    <m/>
    <m/>
    <m/>
    <m/>
    <d v="2024-11-10T00:00:00"/>
    <d v="2025-06-05T00:00:00"/>
    <s v="H"/>
    <x v="4"/>
    <s v="ANGUS NEGRO"/>
    <x v="135"/>
    <s v="15-09-2024"/>
    <s v="Vivo"/>
    <x v="0"/>
    <s v="11.2.01.0038"/>
    <s v="11.1.01.1241"/>
    <x v="0"/>
    <d v="2024-10-13T00:00:00"/>
  </r>
  <r>
    <n v="24567116"/>
    <m/>
    <m/>
    <m/>
    <m/>
    <m/>
    <m/>
    <d v="2024-11-10T00:00:00"/>
    <m/>
    <s v="H"/>
    <x v="4"/>
    <s v="ANGUS NEGRO"/>
    <x v="135"/>
    <s v="15-09-2024"/>
    <s v="Vivo"/>
    <x v="0"/>
    <s v="Sin Movimiento"/>
    <s v="11.1.01.1241"/>
    <x v="0"/>
    <d v="2024-10-13T00:00:00"/>
  </r>
  <r>
    <n v="24567117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10-13T00:00:00"/>
  </r>
  <r>
    <n v="24567131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144"/>
    <m/>
    <m/>
    <m/>
    <m/>
    <m/>
    <m/>
    <d v="2024-11-10T00:00:00"/>
    <m/>
    <s v="H"/>
    <x v="4"/>
    <s v="ANGUS NEGRO"/>
    <x v="135"/>
    <s v="15-09-2024"/>
    <s v="Vivo"/>
    <x v="4"/>
    <s v="11.1.01.1241"/>
    <s v="11.1.01.1241"/>
    <x v="0"/>
    <d v="2024-10-13T00:00:00"/>
  </r>
  <r>
    <n v="24567148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150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10-13T00:00:00"/>
  </r>
  <r>
    <n v="24567151"/>
    <m/>
    <m/>
    <m/>
    <m/>
    <m/>
    <m/>
    <m/>
    <m/>
    <s v="H"/>
    <x v="4"/>
    <s v="ANGUS NEGRO"/>
    <x v="135"/>
    <s v="15-09-2024"/>
    <s v="Vivo"/>
    <x v="6"/>
    <s v="11.2.01.0053"/>
    <s v="11.1.01.1241"/>
    <x v="0"/>
    <d v="2024-09-15T00:00:00"/>
  </r>
  <r>
    <n v="24567155"/>
    <m/>
    <m/>
    <m/>
    <m/>
    <m/>
    <m/>
    <m/>
    <d v="2025-08-18T00:00:00"/>
    <s v="H"/>
    <x v="4"/>
    <s v="ANGUS NEGRO"/>
    <x v="135"/>
    <s v="15-09-2024"/>
    <s v="Vivo"/>
    <x v="6"/>
    <s v="11.2.01.0053"/>
    <s v="11.1.01.1241"/>
    <x v="0"/>
    <d v="2024-09-15T00:00:00"/>
  </r>
  <r>
    <n v="24567156"/>
    <m/>
    <m/>
    <m/>
    <m/>
    <m/>
    <m/>
    <m/>
    <d v="2025-08-18T00:00:00"/>
    <s v="H"/>
    <x v="4"/>
    <s v="ANGUS NEGRO"/>
    <x v="137"/>
    <s v="30-09-2024"/>
    <s v="Vivo"/>
    <x v="6"/>
    <s v="11.2.01.0053"/>
    <s v="11.1.01.1241"/>
    <x v="0"/>
    <d v="2024-09-30T00:00:00"/>
  </r>
  <r>
    <n v="24567160"/>
    <m/>
    <m/>
    <m/>
    <m/>
    <m/>
    <m/>
    <m/>
    <m/>
    <s v="H"/>
    <x v="4"/>
    <s v="ANGUS NEGRO"/>
    <x v="137"/>
    <s v="05-10-2024"/>
    <s v="Vivo"/>
    <x v="6"/>
    <s v="11.2.01.0053"/>
    <s v="11.1.01.1241"/>
    <x v="0"/>
    <d v="2024-10-22T00:00:00"/>
  </r>
  <r>
    <n v="24567161"/>
    <m/>
    <m/>
    <m/>
    <m/>
    <m/>
    <m/>
    <m/>
    <d v="2025-08-18T00:00:00"/>
    <s v="H"/>
    <x v="4"/>
    <s v="ANGUS NEGRO"/>
    <x v="137"/>
    <s v="30-09-2024"/>
    <s v="Vivo"/>
    <x v="6"/>
    <s v="11.2.01.0053"/>
    <s v="11.1.01.1241"/>
    <x v="0"/>
    <d v="2024-10-22T00:00:00"/>
  </r>
  <r>
    <n v="24567166"/>
    <m/>
    <m/>
    <m/>
    <m/>
    <m/>
    <m/>
    <m/>
    <d v="2025-08-18T00:00:00"/>
    <s v="H"/>
    <x v="4"/>
    <s v="ANGUS ROJO"/>
    <x v="137"/>
    <s v="05-10-2024"/>
    <s v="Vivo"/>
    <x v="6"/>
    <s v="11.2.01.0053"/>
    <s v="11.1.01.1241"/>
    <x v="0"/>
    <d v="2024-10-05T00:00:00"/>
  </r>
  <r>
    <n v="24567167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05T00:00:00"/>
  </r>
  <r>
    <n v="24567173"/>
    <m/>
    <m/>
    <m/>
    <m/>
    <m/>
    <m/>
    <m/>
    <d v="2025-08-18T00:00:00"/>
    <s v="H"/>
    <x v="4"/>
    <s v="ANGUS ROJO"/>
    <x v="137"/>
    <s v="30-09-2024"/>
    <s v="Vivo"/>
    <x v="6"/>
    <s v="11.2.01.0053"/>
    <s v="11.1.01.1241"/>
    <x v="0"/>
    <d v="2024-09-30T00:00:00"/>
  </r>
  <r>
    <n v="24567175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22T00:00:00"/>
  </r>
  <r>
    <n v="24567184"/>
    <m/>
    <m/>
    <m/>
    <m/>
    <m/>
    <m/>
    <m/>
    <m/>
    <s v="H"/>
    <x v="4"/>
    <s v="ANGUS NEGRO"/>
    <x v="137"/>
    <s v="11-10-2024"/>
    <s v="Vivo"/>
    <x v="6"/>
    <s v="11.2.01.0053"/>
    <s v="11.1.01.1241"/>
    <x v="0"/>
    <d v="2024-10-22T00:00:00"/>
  </r>
  <r>
    <n v="24567186"/>
    <m/>
    <m/>
    <m/>
    <m/>
    <m/>
    <m/>
    <m/>
    <m/>
    <s v="H"/>
    <x v="4"/>
    <s v="ANGUS NEGRO"/>
    <x v="137"/>
    <s v="05-10-2024"/>
    <s v="Vivo"/>
    <x v="0"/>
    <s v="Sin Movimiento"/>
    <s v="11.1.01.1241"/>
    <x v="0"/>
    <d v="2024-10-22T00:00:00"/>
  </r>
  <r>
    <n v="24567188"/>
    <m/>
    <m/>
    <m/>
    <m/>
    <m/>
    <m/>
    <m/>
    <m/>
    <s v="M"/>
    <x v="5"/>
    <s v="ANGUS NEGRO"/>
    <x v="137"/>
    <s v="05-10-2024"/>
    <s v="Vivo"/>
    <x v="0"/>
    <s v="Sin Movimiento"/>
    <s v="11.1.01.1241"/>
    <x v="0"/>
    <d v="2024-10-22T00:00:00"/>
  </r>
  <r>
    <n v="24567190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05T00:00:00"/>
  </r>
  <r>
    <n v="24567192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22T00:00:00"/>
  </r>
  <r>
    <n v="24567194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22T00:00:00"/>
  </r>
  <r>
    <n v="24567198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05T00:00:00"/>
  </r>
  <r>
    <n v="24567202"/>
    <m/>
    <m/>
    <m/>
    <m/>
    <m/>
    <m/>
    <m/>
    <m/>
    <s v="H"/>
    <x v="4"/>
    <s v="ANGUS NEGRO"/>
    <x v="137"/>
    <s v="05-10-2024"/>
    <s v="Vivo"/>
    <x v="6"/>
    <s v="11.2.01.0053"/>
    <s v="11.1.01.1241"/>
    <x v="0"/>
    <d v="2024-10-05T00:00:00"/>
  </r>
  <r>
    <n v="24567204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05T00:00:00"/>
  </r>
  <r>
    <n v="24567210"/>
    <m/>
    <m/>
    <m/>
    <m/>
    <m/>
    <m/>
    <m/>
    <d v="2025-08-18T00:00:00"/>
    <s v="M"/>
    <x v="5"/>
    <s v="ANGUS NEGRO"/>
    <x v="137"/>
    <s v="05-10-2024"/>
    <s v="Vivo"/>
    <x v="6"/>
    <s v="11.2.01.0053"/>
    <s v="11.1.01.1241"/>
    <x v="0"/>
    <d v="2024-10-22T00:00:00"/>
  </r>
  <r>
    <n v="24567214"/>
    <m/>
    <m/>
    <m/>
    <m/>
    <m/>
    <m/>
    <m/>
    <m/>
    <s v="M"/>
    <x v="5"/>
    <s v="ANGUS NEGRO"/>
    <x v="137"/>
    <s v="05-10-2024"/>
    <s v="Vivo"/>
    <x v="0"/>
    <s v="Sin Movimiento"/>
    <s v="11.1.01.1241"/>
    <x v="0"/>
    <d v="2024-10-22T00:00:00"/>
  </r>
  <r>
    <n v="24567215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22T00:00:00"/>
  </r>
  <r>
    <n v="24567219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22T00:00:00"/>
  </r>
  <r>
    <n v="24567220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22T00:00:00"/>
  </r>
  <r>
    <n v="24567221"/>
    <m/>
    <m/>
    <m/>
    <m/>
    <m/>
    <m/>
    <m/>
    <d v="2025-08-18T00:00:00"/>
    <s v="H"/>
    <x v="4"/>
    <s v="ANGUS NEGRO"/>
    <x v="138"/>
    <s v="18-10-2024"/>
    <s v="Vivo"/>
    <x v="6"/>
    <s v="11.2.01.0053"/>
    <s v="11.1.01.1241"/>
    <x v="0"/>
    <d v="2024-10-18T00:00:00"/>
  </r>
  <r>
    <n v="24567224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22T00:00:00"/>
  </r>
  <r>
    <n v="24567226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05T00:00:00"/>
  </r>
  <r>
    <n v="24567229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22T00:00:00"/>
  </r>
  <r>
    <n v="24567231"/>
    <m/>
    <m/>
    <m/>
    <m/>
    <m/>
    <m/>
    <d v="2024-11-10T00:00:00"/>
    <m/>
    <s v="H"/>
    <x v="4"/>
    <s v="ANGUS NEGRO"/>
    <x v="137"/>
    <s v="05-10-2024"/>
    <s v="Vivo"/>
    <x v="0"/>
    <s v="Sin Movimiento"/>
    <s v="11.1.01.1241"/>
    <x v="0"/>
    <d v="2024-11-10T00:00:00"/>
  </r>
  <r>
    <n v="24567232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05T00:00:00"/>
  </r>
  <r>
    <n v="24567242"/>
    <m/>
    <m/>
    <m/>
    <m/>
    <m/>
    <m/>
    <m/>
    <d v="2025-08-18T00:00:00"/>
    <s v="H"/>
    <x v="4"/>
    <s v="ANGUS NEGRO"/>
    <x v="138"/>
    <s v="20-10-2024"/>
    <s v="Vivo"/>
    <x v="6"/>
    <s v="11.2.01.0053"/>
    <s v="11.1.01.1241"/>
    <x v="0"/>
    <d v="2024-11-10T00:00:00"/>
  </r>
  <r>
    <n v="24567244"/>
    <m/>
    <m/>
    <m/>
    <m/>
    <m/>
    <m/>
    <d v="2024-11-10T00:00:00"/>
    <m/>
    <s v="H"/>
    <x v="4"/>
    <s v="ANGUS NEGRO"/>
    <x v="138"/>
    <s v="20-10-2024"/>
    <s v="Vivo"/>
    <x v="0"/>
    <s v="Sin Movimiento"/>
    <s v="11.1.01.1241"/>
    <x v="0"/>
    <d v="2024-11-16T00:00:00"/>
  </r>
  <r>
    <n v="24567251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05T00:00:00"/>
  </r>
  <r>
    <n v="24567254"/>
    <m/>
    <m/>
    <m/>
    <m/>
    <m/>
    <m/>
    <m/>
    <d v="2025-08-18T00:00:00"/>
    <s v="H"/>
    <x v="4"/>
    <s v="ANGUS NEGRO"/>
    <x v="137"/>
    <s v="15-10-2024"/>
    <s v="Vivo"/>
    <x v="6"/>
    <s v="11.2.01.0053"/>
    <s v="11.1.01.1241"/>
    <x v="0"/>
    <d v="2024-10-15T00:00:00"/>
  </r>
  <r>
    <n v="24567255"/>
    <m/>
    <m/>
    <m/>
    <m/>
    <m/>
    <m/>
    <m/>
    <d v="2025-06-05T00:00:00"/>
    <s v="H"/>
    <x v="4"/>
    <s v="ANGUS NEGRO"/>
    <x v="138"/>
    <s v="30-10-2024"/>
    <s v="Vivo"/>
    <x v="0"/>
    <s v="11.2.01.0038"/>
    <s v="11.1.01.1241"/>
    <x v="0"/>
    <d v="2024-11-16T00:00:00"/>
  </r>
  <r>
    <n v="24567256"/>
    <m/>
    <m/>
    <m/>
    <m/>
    <m/>
    <m/>
    <m/>
    <d v="2025-08-18T00:00:00"/>
    <s v="H"/>
    <x v="4"/>
    <s v="ANGUS NEGRO"/>
    <x v="137"/>
    <s v="15-10-2024"/>
    <s v="Vivo"/>
    <x v="6"/>
    <s v="11.2.01.0053"/>
    <s v="11.1.01.1241"/>
    <x v="0"/>
    <d v="2024-10-15T00:00:00"/>
  </r>
  <r>
    <n v="24567258"/>
    <m/>
    <m/>
    <m/>
    <m/>
    <m/>
    <m/>
    <m/>
    <d v="2025-06-05T00:00:00"/>
    <s v="H"/>
    <x v="4"/>
    <s v="ANGUS NEGRO"/>
    <x v="137"/>
    <s v="15-10-2024"/>
    <s v="Vivo"/>
    <x v="0"/>
    <s v="11.2.01.0038"/>
    <s v="11.1.01.1241"/>
    <x v="0"/>
    <d v="2024-11-16T00:00:00"/>
  </r>
  <r>
    <n v="24567259"/>
    <m/>
    <m/>
    <m/>
    <m/>
    <m/>
    <m/>
    <m/>
    <d v="2025-08-18T00:00:00"/>
    <s v="H"/>
    <x v="4"/>
    <s v="ANGUS NEGRO"/>
    <x v="137"/>
    <s v="15-10-2024"/>
    <s v="Vivo"/>
    <x v="6"/>
    <s v="11.2.01.0053"/>
    <s v="11.1.01.1241"/>
    <x v="0"/>
    <d v="2024-11-16T00:00:00"/>
  </r>
  <r>
    <n v="24567260"/>
    <m/>
    <m/>
    <m/>
    <m/>
    <m/>
    <m/>
    <m/>
    <d v="2025-08-18T00:00:00"/>
    <s v="H"/>
    <x v="4"/>
    <s v="ANGUS NEGRO"/>
    <x v="137"/>
    <s v="15-10-2024"/>
    <s v="Vivo"/>
    <x v="6"/>
    <s v="11.2.01.0053"/>
    <s v="11.1.01.1241"/>
    <x v="0"/>
    <d v="2024-10-15T00:00:00"/>
  </r>
  <r>
    <n v="24567261"/>
    <m/>
    <m/>
    <m/>
    <m/>
    <m/>
    <m/>
    <m/>
    <m/>
    <s v="H"/>
    <x v="4"/>
    <s v="ANGUS NEGRO"/>
    <x v="138"/>
    <s v="05-11-2024"/>
    <s v="Vivo"/>
    <x v="6"/>
    <s v="11.2.01.0053"/>
    <s v="11.1.01.1241"/>
    <x v="0"/>
    <d v="2024-11-16T00:00:00"/>
  </r>
  <r>
    <n v="24567262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1-16T00:00:00"/>
  </r>
  <r>
    <n v="24567264"/>
    <m/>
    <m/>
    <m/>
    <m/>
    <m/>
    <m/>
    <m/>
    <d v="2025-08-18T00:00:00"/>
    <s v="H"/>
    <x v="4"/>
    <s v="ANGUS NEGRO"/>
    <x v="138"/>
    <s v="30-10-2024"/>
    <s v="Vivo"/>
    <x v="6"/>
    <s v="11.2.01.0053"/>
    <s v="11.1.01.1241"/>
    <x v="0"/>
    <d v="2024-10-30T00:00:00"/>
  </r>
  <r>
    <n v="24567265"/>
    <m/>
    <m/>
    <m/>
    <m/>
    <m/>
    <m/>
    <m/>
    <d v="2025-06-05T00:00:00"/>
    <s v="H"/>
    <x v="4"/>
    <s v="ANGUS NEGRO"/>
    <x v="138"/>
    <s v="30-10-2024"/>
    <s v="Vivo"/>
    <x v="0"/>
    <s v="11.2.01.0038"/>
    <s v="11.1.01.1241"/>
    <x v="0"/>
    <d v="2024-11-16T00:00:00"/>
  </r>
  <r>
    <n v="24567267"/>
    <m/>
    <m/>
    <m/>
    <m/>
    <m/>
    <m/>
    <m/>
    <d v="2025-08-18T00:00:00"/>
    <s v="H"/>
    <x v="4"/>
    <s v="ANGUS NEGRO"/>
    <x v="138"/>
    <s v="30-10-2024"/>
    <s v="Vivo"/>
    <x v="6"/>
    <s v="11.2.01.0053"/>
    <s v="11.1.01.1241"/>
    <x v="0"/>
    <d v="2024-10-30T00:00:00"/>
  </r>
  <r>
    <n v="24567276"/>
    <m/>
    <m/>
    <m/>
    <m/>
    <m/>
    <m/>
    <m/>
    <d v="2025-08-18T00:00:00"/>
    <s v="H"/>
    <x v="4"/>
    <s v="ANGUS NEGRO"/>
    <x v="138"/>
    <s v="15-11-2024"/>
    <s v="Vivo"/>
    <x v="6"/>
    <s v="11.2.01.0053"/>
    <s v="11.1.01.1241"/>
    <x v="0"/>
    <d v="2024-11-15T00:00:00"/>
  </r>
  <r>
    <n v="24567281"/>
    <m/>
    <m/>
    <m/>
    <m/>
    <m/>
    <m/>
    <m/>
    <m/>
    <s v="H"/>
    <x v="4"/>
    <s v="ANGUS NEGRO"/>
    <x v="138"/>
    <s v="05-11-2024"/>
    <s v="Vivo"/>
    <x v="2"/>
    <s v="11.2.01.0053"/>
    <s v="11.1.01.1241"/>
    <x v="0"/>
    <d v="2024-11-16T00:00:00"/>
  </r>
  <r>
    <n v="24567288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1-16T00:00:00"/>
  </r>
  <r>
    <n v="24567289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1-16T00:00:00"/>
  </r>
  <r>
    <n v="24567291"/>
    <m/>
    <m/>
    <m/>
    <m/>
    <m/>
    <m/>
    <m/>
    <m/>
    <s v="M"/>
    <x v="5"/>
    <s v="ANGUS NEGRO"/>
    <x v="138"/>
    <s v="05-11-2024"/>
    <s v="Vivo"/>
    <x v="0"/>
    <s v="Sin Movimiento"/>
    <s v="11.1.01.1241"/>
    <x v="0"/>
    <d v="2024-11-16T00:00:00"/>
  </r>
  <r>
    <n v="24567293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1-05T00:00:00"/>
  </r>
  <r>
    <n v="24567294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1-16T00:00:00"/>
  </r>
  <r>
    <n v="24567300"/>
    <m/>
    <m/>
    <m/>
    <m/>
    <m/>
    <m/>
    <m/>
    <m/>
    <s v="H"/>
    <x v="4"/>
    <s v="ANGUS NEGRO"/>
    <x v="137"/>
    <s v="30-09-2024"/>
    <s v="Vivo"/>
    <x v="6"/>
    <s v="11.2.01.0053"/>
    <s v="11.1.01.1241"/>
    <x v="0"/>
    <d v="2024-11-16T00:00:00"/>
  </r>
  <r>
    <n v="24567302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5-01-04T00:00:00"/>
  </r>
  <r>
    <n v="24567304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1-16T00:00:00"/>
  </r>
  <r>
    <n v="24567305"/>
    <m/>
    <m/>
    <m/>
    <m/>
    <m/>
    <m/>
    <m/>
    <m/>
    <s v="H"/>
    <x v="4"/>
    <s v="ANGUS NEGRO"/>
    <x v="137"/>
    <s v="05-10-2024"/>
    <s v="Vivo"/>
    <x v="6"/>
    <s v="11.2.01.0053"/>
    <s v="11.1.01.1241"/>
    <x v="0"/>
    <d v="2024-11-16T00:00:00"/>
  </r>
  <r>
    <n v="24567342"/>
    <m/>
    <m/>
    <m/>
    <m/>
    <m/>
    <m/>
    <m/>
    <d v="2025-06-07T00:00:00"/>
    <s v="H"/>
    <x v="4"/>
    <s v="ANGUS ROJO"/>
    <x v="135"/>
    <s v="15-09-2024"/>
    <s v="Vivo"/>
    <x v="6"/>
    <s v="11.1.01.0893"/>
    <s v="11.1.01.0893"/>
    <x v="0"/>
    <d v="2025-01-04T00:00:00"/>
  </r>
  <r>
    <n v="24567347"/>
    <m/>
    <m/>
    <m/>
    <m/>
    <m/>
    <m/>
    <m/>
    <m/>
    <s v="H"/>
    <x v="4"/>
    <s v="ANGUS NEGRO"/>
    <x v="135"/>
    <s v="15-09-2024"/>
    <s v="Vivo"/>
    <x v="3"/>
    <s v="11.1.01.0791"/>
    <s v="11.1.01.0893"/>
    <x v="0"/>
    <d v="2025-01-04T00:00:00"/>
  </r>
  <r>
    <n v="24567386"/>
    <m/>
    <m/>
    <m/>
    <m/>
    <m/>
    <m/>
    <m/>
    <m/>
    <s v="M"/>
    <x v="5"/>
    <s v="ANGUS NEGRO"/>
    <x v="139"/>
    <s v="30-04-2024"/>
    <s v="Vivo"/>
    <x v="8"/>
    <s v="11.1.01.0190"/>
    <s v="11.1.01.1241"/>
    <x v="0"/>
    <d v="2024-12-06T00:00:00"/>
  </r>
  <r>
    <n v="24567399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0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1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2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3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4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5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6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7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8"/>
    <m/>
    <m/>
    <m/>
    <m/>
    <m/>
    <m/>
    <m/>
    <m/>
    <s v="H"/>
    <x v="4"/>
    <s v="ANGUS NEGRO"/>
    <x v="139"/>
    <s v="30-04-2024"/>
    <s v="Vivo"/>
    <x v="8"/>
    <s v="11.1.01.0190"/>
    <s v="11.1.01.1241"/>
    <x v="0"/>
    <d v="2024-12-06T00:00:00"/>
  </r>
  <r>
    <n v="24567409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2-10T00:00:00"/>
  </r>
  <r>
    <n v="24567410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1-05T00:00:00"/>
  </r>
  <r>
    <n v="24567411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1-05T00:00:00"/>
  </r>
  <r>
    <n v="24567412"/>
    <m/>
    <m/>
    <m/>
    <m/>
    <m/>
    <m/>
    <m/>
    <d v="2025-08-18T00:00:00"/>
    <s v="H"/>
    <x v="4"/>
    <s v="ANGUS NEGRO"/>
    <x v="137"/>
    <s v="05-10-2024"/>
    <s v="Vivo"/>
    <x v="6"/>
    <s v="11.2.01.0053"/>
    <s v="11.1.01.1241"/>
    <x v="0"/>
    <d v="2024-10-05T00:00:00"/>
  </r>
  <r>
    <n v="24567413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2-21T00:00:00"/>
  </r>
  <r>
    <n v="24567414"/>
    <m/>
    <n v="24567143"/>
    <m/>
    <m/>
    <m/>
    <m/>
    <m/>
    <m/>
    <s v="H"/>
    <x v="4"/>
    <s v="ANGUS NEGRO"/>
    <x v="138"/>
    <s v="15-11-2024"/>
    <s v="Vivo"/>
    <x v="6"/>
    <s v="11.2.01.0053"/>
    <s v="11.1.01.1241"/>
    <x v="0"/>
    <e v="#N/A"/>
  </r>
  <r>
    <n v="24567415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2-21T00:00:00"/>
  </r>
  <r>
    <n v="24567416"/>
    <m/>
    <m/>
    <m/>
    <m/>
    <m/>
    <m/>
    <m/>
    <d v="2025-08-18T00:00:00"/>
    <s v="H"/>
    <x v="4"/>
    <s v="ANGUS NEGRO"/>
    <x v="138"/>
    <s v="05-11-2024"/>
    <s v="Vivo"/>
    <x v="6"/>
    <s v="11.2.01.0053"/>
    <s v="11.1.01.1241"/>
    <x v="0"/>
    <d v="2024-12-21T00:00:00"/>
  </r>
  <r>
    <n v="24567417"/>
    <m/>
    <m/>
    <m/>
    <m/>
    <m/>
    <m/>
    <m/>
    <m/>
    <s v="H"/>
    <x v="4"/>
    <s v="ANGUS NEGRO"/>
    <x v="138"/>
    <s v="05-11-2024"/>
    <s v="Vivo"/>
    <x v="6"/>
    <s v="11.2.01.0053"/>
    <s v="11.1.01.1241"/>
    <x v="0"/>
    <d v="2024-12-21T00:00:00"/>
  </r>
  <r>
    <n v="24567418"/>
    <m/>
    <m/>
    <m/>
    <m/>
    <m/>
    <m/>
    <m/>
    <d v="2025-06-05T00:00:00"/>
    <s v="H"/>
    <x v="4"/>
    <s v="ANGUS NEGRO"/>
    <x v="138"/>
    <s v="05-11-2024"/>
    <s v="Vivo"/>
    <x v="0"/>
    <s v="11.2.01.0038"/>
    <s v="11.1.01.1241"/>
    <x v="0"/>
    <d v="2024-12-21T00:00:00"/>
  </r>
  <r>
    <n v="24567419"/>
    <m/>
    <m/>
    <m/>
    <m/>
    <m/>
    <m/>
    <m/>
    <d v="2025-08-18T00:00:00"/>
    <s v="H"/>
    <x v="4"/>
    <s v="ANGUS NEGRO"/>
    <x v="137"/>
    <s v="30-09-2024"/>
    <s v="Vivo"/>
    <x v="6"/>
    <s v="11.2.01.0053"/>
    <s v="11.1.01.1241"/>
    <x v="0"/>
    <d v="2024-09-30T00:00:00"/>
  </r>
  <r>
    <n v="24567420"/>
    <m/>
    <m/>
    <m/>
    <m/>
    <m/>
    <m/>
    <m/>
    <d v="2025-08-18T00:00:00"/>
    <s v="H"/>
    <x v="4"/>
    <s v="ANGUS ROJO"/>
    <x v="138"/>
    <s v="05-11-2024"/>
    <s v="Vivo"/>
    <x v="6"/>
    <s v="11.2.01.0053"/>
    <s v="11.1.01.1241"/>
    <x v="0"/>
    <d v="2024-12-21T00:00:00"/>
  </r>
  <r>
    <n v="24567421"/>
    <m/>
    <n v="24567181"/>
    <m/>
    <m/>
    <m/>
    <m/>
    <m/>
    <d v="2025-06-05T00:00:00"/>
    <s v="H"/>
    <x v="4"/>
    <s v="ANGUS NEGRO"/>
    <x v="135"/>
    <s v="15-09-2024"/>
    <s v="Vivo"/>
    <x v="0"/>
    <s v="11.2.01.0038"/>
    <s v="11.1.01.1241"/>
    <x v="0"/>
    <m/>
  </r>
  <r>
    <n v="24567432"/>
    <m/>
    <m/>
    <m/>
    <m/>
    <m/>
    <m/>
    <m/>
    <m/>
    <s v="H"/>
    <x v="4"/>
    <s v="ANGUS ROJO"/>
    <x v="140"/>
    <s v="30-11-2024"/>
    <s v="Vivo"/>
    <x v="6"/>
    <s v="11.1.01.0893"/>
    <s v="11.1.01.0893"/>
    <x v="0"/>
    <d v="2024-12-28T00:00:00"/>
  </r>
  <r>
    <n v="24567443"/>
    <m/>
    <m/>
    <m/>
    <m/>
    <m/>
    <m/>
    <m/>
    <m/>
    <s v="H"/>
    <x v="4"/>
    <s v="ANGUS NEGRO"/>
    <x v="140"/>
    <s v="30-11-2024"/>
    <s v="Vivo"/>
    <x v="6"/>
    <s v="11.1.01.0893"/>
    <s v="11.1.01.0893"/>
    <x v="0"/>
    <d v="2024-12-28T00:00:00"/>
  </r>
  <r>
    <n v="24567455"/>
    <m/>
    <m/>
    <m/>
    <m/>
    <m/>
    <m/>
    <m/>
    <m/>
    <s v="H"/>
    <x v="4"/>
    <s v="ANGUS NEGRO"/>
    <x v="140"/>
    <s v="30-11-2024"/>
    <s v="Vivo"/>
    <x v="6"/>
    <s v="11.1.01.0893"/>
    <s v="11.1.01.0893"/>
    <x v="0"/>
    <d v="2025-01-04T00:00:00"/>
  </r>
  <r>
    <n v="24567458"/>
    <m/>
    <m/>
    <m/>
    <m/>
    <m/>
    <m/>
    <m/>
    <m/>
    <s v="H"/>
    <x v="4"/>
    <s v="ANGUS NEGRO"/>
    <x v="140"/>
    <s v="30-11-2024"/>
    <s v="Vivo"/>
    <x v="6"/>
    <s v="11.1.01.0893"/>
    <s v="11.1.01.0893"/>
    <x v="0"/>
    <d v="2025-01-04T00:00:00"/>
  </r>
  <r>
    <n v="24567461"/>
    <m/>
    <m/>
    <m/>
    <m/>
    <m/>
    <m/>
    <m/>
    <d v="2025-08-18T00:00:00"/>
    <s v="H"/>
    <x v="4"/>
    <s v="ANGUS NEGRO"/>
    <x v="140"/>
    <s v="05-12-2024"/>
    <s v="Vivo"/>
    <x v="6"/>
    <s v="11.2.01.0053"/>
    <s v="11.1.01.1241"/>
    <x v="0"/>
    <d v="2025-01-14T00:00:00"/>
  </r>
  <r>
    <n v="24567464"/>
    <m/>
    <m/>
    <m/>
    <m/>
    <m/>
    <m/>
    <m/>
    <d v="2025-08-18T00:00:00"/>
    <s v="H"/>
    <x v="4"/>
    <s v="ANGUS NEGRO"/>
    <x v="140"/>
    <s v="05-12-2024"/>
    <s v="Vivo"/>
    <x v="6"/>
    <s v="11.2.01.0053"/>
    <s v="11.1.01.1241"/>
    <x v="0"/>
    <d v="2025-01-14T00:00:00"/>
  </r>
  <r>
    <n v="24567465"/>
    <m/>
    <m/>
    <m/>
    <m/>
    <m/>
    <m/>
    <m/>
    <m/>
    <s v="H"/>
    <x v="4"/>
    <s v="ANGUS NEGRO"/>
    <x v="140"/>
    <s v="05-12-2024"/>
    <s v="Vivo"/>
    <x v="6"/>
    <s v="11.2.01.0053"/>
    <s v="11.1.01.1241"/>
    <x v="0"/>
    <d v="2025-01-14T00:00:00"/>
  </r>
  <r>
    <n v="24567467"/>
    <m/>
    <m/>
    <m/>
    <m/>
    <m/>
    <m/>
    <m/>
    <d v="2025-08-18T00:00:00"/>
    <s v="H"/>
    <x v="4"/>
    <s v="ANGUS NEGRO"/>
    <x v="140"/>
    <s v="05-12-2024"/>
    <s v="Vivo"/>
    <x v="6"/>
    <s v="11.2.01.0053"/>
    <s v="11.1.01.1241"/>
    <x v="0"/>
    <d v="2025-01-14T00:00:00"/>
  </r>
  <r>
    <n v="24567469"/>
    <m/>
    <m/>
    <m/>
    <m/>
    <m/>
    <m/>
    <m/>
    <m/>
    <s v="H"/>
    <x v="4"/>
    <s v="ANGUS ROJO"/>
    <x v="140"/>
    <s v="05-12-2024"/>
    <s v="Vivo"/>
    <x v="6"/>
    <s v="11.2.01.0053"/>
    <s v="11.1.01.1241"/>
    <x v="0"/>
    <d v="2025-01-14T00:00:00"/>
  </r>
  <r>
    <n v="24567471"/>
    <m/>
    <m/>
    <m/>
    <m/>
    <m/>
    <m/>
    <m/>
    <d v="2025-08-18T00:00:00"/>
    <s v="H"/>
    <x v="4"/>
    <s v="ANGUS ROJO"/>
    <x v="140"/>
    <s v="05-12-2024"/>
    <s v="Vivo"/>
    <x v="6"/>
    <s v="11.2.01.0053"/>
    <s v="11.1.01.1241"/>
    <x v="0"/>
    <d v="2025-01-14T00:00:00"/>
  </r>
  <r>
    <n v="24567472"/>
    <m/>
    <m/>
    <m/>
    <m/>
    <m/>
    <m/>
    <m/>
    <d v="2025-08-18T00:00:00"/>
    <s v="H"/>
    <x v="4"/>
    <s v="ANGUS ROJO"/>
    <x v="140"/>
    <s v="05-12-2024"/>
    <s v="Vivo"/>
    <x v="6"/>
    <s v="11.2.01.0053"/>
    <s v="11.1.01.1241"/>
    <x v="0"/>
    <d v="2025-01-14T00:00:00"/>
  </r>
  <r>
    <n v="24567474"/>
    <m/>
    <m/>
    <m/>
    <m/>
    <m/>
    <m/>
    <m/>
    <m/>
    <s v="M"/>
    <x v="5"/>
    <s v="ANGUS NEGRO"/>
    <x v="138"/>
    <s v="05-11-2024"/>
    <s v="Vivo"/>
    <x v="8"/>
    <s v="11.1.01.0190"/>
    <s v="11.1.01.1241"/>
    <x v="0"/>
    <d v="2025-01-14T00:00:00"/>
  </r>
  <r>
    <n v="24567475"/>
    <m/>
    <m/>
    <m/>
    <m/>
    <m/>
    <m/>
    <m/>
    <d v="2025-08-18T00:00:00"/>
    <s v="H"/>
    <x v="4"/>
    <s v="ANGUS NEGRO"/>
    <x v="140"/>
    <s v="30-11-2024"/>
    <s v="Vivo"/>
    <x v="6"/>
    <s v="11.2.01.0053"/>
    <s v="11.1.01.1241"/>
    <x v="0"/>
    <d v="2025-01-14T00:00:00"/>
  </r>
  <r>
    <n v="24567477"/>
    <m/>
    <m/>
    <m/>
    <m/>
    <m/>
    <m/>
    <m/>
    <m/>
    <s v="H"/>
    <x v="4"/>
    <s v="ANGUS NEGRO"/>
    <x v="141"/>
    <s v="18-12-2024"/>
    <s v="Vivo"/>
    <x v="0"/>
    <s v="Sin Movimiento"/>
    <s v="11.1.01.1241"/>
    <x v="0"/>
    <d v="2025-01-14T00:00:00"/>
  </r>
  <r>
    <n v="24567479"/>
    <m/>
    <m/>
    <m/>
    <m/>
    <m/>
    <m/>
    <m/>
    <m/>
    <s v="H"/>
    <x v="4"/>
    <s v="ANGUS NEGRO"/>
    <x v="140"/>
    <s v="30-11-2024"/>
    <s v="Vivo"/>
    <x v="8"/>
    <s v="11.1.01.0190"/>
    <s v="11.1.01.1241"/>
    <x v="0"/>
    <d v="2025-01-14T00:00:00"/>
  </r>
  <r>
    <n v="24567481"/>
    <m/>
    <m/>
    <m/>
    <m/>
    <m/>
    <m/>
    <m/>
    <m/>
    <s v="H"/>
    <x v="4"/>
    <s v="ANGUS NEGRO"/>
    <x v="140"/>
    <s v="30-11-2024"/>
    <s v="Vivo"/>
    <x v="6"/>
    <s v="11.2.01.0053"/>
    <s v="11.1.01.1241"/>
    <x v="0"/>
    <d v="2025-01-14T00:00:00"/>
  </r>
  <r>
    <n v="24567486"/>
    <m/>
    <m/>
    <m/>
    <m/>
    <m/>
    <m/>
    <m/>
    <d v="2025-08-18T00:00:00"/>
    <s v="H"/>
    <x v="4"/>
    <s v="ANGUS NEGRO"/>
    <x v="140"/>
    <s v="05-12-2024"/>
    <s v="Vivo"/>
    <x v="6"/>
    <s v="11.2.01.0053"/>
    <s v="11.1.01.1241"/>
    <x v="0"/>
    <d v="2025-01-14T00:00:00"/>
  </r>
  <r>
    <n v="24567490"/>
    <m/>
    <m/>
    <m/>
    <m/>
    <m/>
    <m/>
    <m/>
    <d v="2025-08-18T00:00:00"/>
    <s v="H"/>
    <x v="4"/>
    <s v="ANGUS NEGRO"/>
    <x v="140"/>
    <s v="05-12-2024"/>
    <s v="Vivo"/>
    <x v="6"/>
    <s v="11.2.01.0053"/>
    <s v="11.1.01.1241"/>
    <x v="0"/>
    <d v="2025-01-14T00:00:00"/>
  </r>
  <r>
    <n v="24567495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496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00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02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04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07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08"/>
    <m/>
    <m/>
    <m/>
    <m/>
    <m/>
    <m/>
    <m/>
    <d v="2025-06-07T00:00:00"/>
    <s v="no existe"/>
    <x v="2"/>
    <s v="no existe"/>
    <x v="4"/>
    <s v="no existe"/>
    <s v="no existe"/>
    <x v="1"/>
    <s v="no existe"/>
    <s v="no existe"/>
    <x v="1"/>
    <d v="2025-01-17T00:00:00"/>
  </r>
  <r>
    <n v="24567509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10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11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14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16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18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21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23"/>
    <m/>
    <m/>
    <m/>
    <m/>
    <m/>
    <m/>
    <m/>
    <d v="2025-06-07T00:00:00"/>
    <s v="H"/>
    <x v="4"/>
    <s v="ANGUS ROJO"/>
    <x v="135"/>
    <s v="15-09-2024"/>
    <s v="Vivo"/>
    <x v="6"/>
    <s v="11.1.01.0893"/>
    <s v="11.1.01.0893"/>
    <x v="0"/>
    <d v="2025-01-17T00:00:00"/>
  </r>
  <r>
    <n v="24567524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25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26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28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29"/>
    <m/>
    <m/>
    <m/>
    <m/>
    <m/>
    <m/>
    <m/>
    <d v="2025-06-07T00:00:00"/>
    <s v="H"/>
    <x v="4"/>
    <s v="ANGUS ROJO"/>
    <x v="135"/>
    <s v="15-09-2024"/>
    <s v="Vivo"/>
    <x v="6"/>
    <s v="11.1.01.0893"/>
    <s v="11.1.01.0893"/>
    <x v="0"/>
    <d v="2025-01-17T00:00:00"/>
  </r>
  <r>
    <n v="24567531"/>
    <m/>
    <m/>
    <m/>
    <m/>
    <m/>
    <m/>
    <m/>
    <d v="2025-06-07T00:00:00"/>
    <s v="H"/>
    <x v="4"/>
    <s v="ANGUS ROJO"/>
    <x v="135"/>
    <s v="15-09-2024"/>
    <s v="Vivo"/>
    <x v="6"/>
    <s v="11.1.01.0893"/>
    <s v="11.1.01.0893"/>
    <x v="0"/>
    <d v="2025-01-17T00:00:00"/>
  </r>
  <r>
    <n v="24567532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33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36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39"/>
    <m/>
    <m/>
    <m/>
    <m/>
    <m/>
    <m/>
    <m/>
    <d v="2025-06-07T00:00:00"/>
    <s v="H"/>
    <x v="4"/>
    <s v="LIMOUSIN"/>
    <x v="135"/>
    <s v="15-09-2024"/>
    <s v="Vivo"/>
    <x v="3"/>
    <s v="Sin Movimiento"/>
    <s v="11.1.01.0893"/>
    <x v="0"/>
    <d v="2025-01-17T00:00:00"/>
  </r>
  <r>
    <n v="24567541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42"/>
    <m/>
    <m/>
    <m/>
    <m/>
    <m/>
    <m/>
    <m/>
    <d v="2025-06-07T00:00:00"/>
    <s v="H"/>
    <x v="4"/>
    <s v="ANGUS NEGRO"/>
    <x v="135"/>
    <s v="15-09-2024"/>
    <s v="Vivo"/>
    <x v="0"/>
    <s v="11.1.01.0893"/>
    <s v="11.1.01.0893"/>
    <x v="0"/>
    <d v="2025-01-17T00:00:00"/>
  </r>
  <r>
    <n v="24567543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45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51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53"/>
    <m/>
    <m/>
    <m/>
    <m/>
    <m/>
    <m/>
    <m/>
    <d v="2025-06-07T00:00:00"/>
    <s v="H"/>
    <x v="4"/>
    <s v="ANGUS NEGRO"/>
    <x v="135"/>
    <s v="15-09-2024"/>
    <s v="Vivo"/>
    <x v="0"/>
    <s v="11.1.01.0893"/>
    <s v="11.1.01.0893"/>
    <x v="0"/>
    <d v="2025-01-17T00:00:00"/>
  </r>
  <r>
    <n v="24567555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56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57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62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63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65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66"/>
    <m/>
    <m/>
    <m/>
    <m/>
    <m/>
    <m/>
    <m/>
    <d v="2025-06-07T00:00:00"/>
    <s v="M"/>
    <x v="5"/>
    <s v="ANGUS NEGRO"/>
    <x v="135"/>
    <s v="15-09-2024"/>
    <s v="Vivo"/>
    <x v="6"/>
    <s v="11.1.01.0893"/>
    <s v="11.1.01.0893"/>
    <x v="0"/>
    <d v="2025-01-17T00:00:00"/>
  </r>
  <r>
    <n v="24567569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71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73"/>
    <m/>
    <m/>
    <m/>
    <m/>
    <m/>
    <m/>
    <m/>
    <d v="2025-06-07T00:00:00"/>
    <s v="M"/>
    <x v="5"/>
    <s v="ANGUS NEGRO"/>
    <x v="135"/>
    <s v="15-09-2024"/>
    <s v="Vivo"/>
    <x v="6"/>
    <s v="11.1.01.0893"/>
    <s v="11.1.01.0893"/>
    <x v="0"/>
    <d v="2025-01-17T00:00:00"/>
  </r>
  <r>
    <n v="24567575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76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77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81"/>
    <m/>
    <m/>
    <m/>
    <m/>
    <m/>
    <m/>
    <m/>
    <d v="2025-06-07T00:00:00"/>
    <s v="H"/>
    <x v="4"/>
    <s v="ANGUS NEGRO"/>
    <x v="135"/>
    <s v="15-09-2024"/>
    <s v="Vivo"/>
    <x v="6"/>
    <s v="11.1.01.0893"/>
    <s v="11.1.01.0893"/>
    <x v="0"/>
    <d v="2025-01-17T00:00:00"/>
  </r>
  <r>
    <n v="24567591"/>
    <m/>
    <m/>
    <m/>
    <m/>
    <m/>
    <m/>
    <m/>
    <m/>
    <s v="H"/>
    <x v="7"/>
    <s v="ANGUS ROJO"/>
    <x v="142"/>
    <s v="28-02-2025"/>
    <s v="Vivo"/>
    <x v="10"/>
    <s v="11.1.01.0190"/>
    <s v="11.1.01.1241"/>
    <x v="0"/>
    <d v="2025-04-27T00:00:00"/>
  </r>
  <r>
    <n v="24567592"/>
    <m/>
    <m/>
    <m/>
    <m/>
    <m/>
    <m/>
    <m/>
    <m/>
    <s v="M"/>
    <x v="8"/>
    <s v="ANGUS ROJO"/>
    <x v="143"/>
    <s v="30-01-2025"/>
    <s v="Vivo"/>
    <x v="0"/>
    <s v="Sin Movimiento"/>
    <s v="11.1.01.1241"/>
    <x v="0"/>
    <d v="2025-04-27T00:00:00"/>
  </r>
  <r>
    <n v="24567593"/>
    <m/>
    <m/>
    <m/>
    <m/>
    <m/>
    <m/>
    <m/>
    <m/>
    <s v="H"/>
    <x v="7"/>
    <s v="ANGUS ROJO"/>
    <x v="144"/>
    <s v="30-03-2025"/>
    <s v="Vivo"/>
    <x v="8"/>
    <s v="11.1.01.0190"/>
    <s v="11.1.01.1241"/>
    <x v="0"/>
    <d v="2025-04-27T00:00:00"/>
  </r>
  <r>
    <n v="24567594"/>
    <m/>
    <m/>
    <m/>
    <m/>
    <m/>
    <m/>
    <m/>
    <m/>
    <s v="H"/>
    <x v="4"/>
    <s v="ANGUS NEGRO"/>
    <x v="140"/>
    <s v="30-11-2024"/>
    <s v="Vivo"/>
    <x v="0"/>
    <s v="Sin Movimiento"/>
    <s v="11.1.01.1241"/>
    <x v="0"/>
    <d v="2025-04-27T00:00:00"/>
  </r>
  <r>
    <n v="24567595"/>
    <m/>
    <m/>
    <m/>
    <m/>
    <m/>
    <m/>
    <m/>
    <m/>
    <s v="H"/>
    <x v="7"/>
    <s v="ANGUS NEGRO"/>
    <x v="144"/>
    <s v="11-04-2025"/>
    <s v="Vivo"/>
    <x v="8"/>
    <s v="11.1.01.0190"/>
    <s v="11.1.01.1241"/>
    <x v="0"/>
    <d v="2025-04-27T00:00:00"/>
  </r>
  <r>
    <n v="24567596"/>
    <m/>
    <m/>
    <m/>
    <m/>
    <m/>
    <m/>
    <m/>
    <m/>
    <s v="H"/>
    <x v="7"/>
    <s v="ANGUS NEGRO"/>
    <x v="144"/>
    <s v="11-04-2025"/>
    <s v="Vivo"/>
    <x v="8"/>
    <s v="11.1.01.0190"/>
    <s v="11.1.01.1241"/>
    <x v="0"/>
    <d v="2025-04-27T00:00:00"/>
  </r>
  <r>
    <n v="24567597"/>
    <m/>
    <m/>
    <m/>
    <m/>
    <m/>
    <m/>
    <m/>
    <m/>
    <s v="M"/>
    <x v="8"/>
    <s v="HEREFORD"/>
    <x v="144"/>
    <s v="31-03-2025"/>
    <s v="Vivo"/>
    <x v="6"/>
    <s v="11.1.01.1241"/>
    <s v="11.1.01.1241"/>
    <x v="0"/>
    <d v="2025-04-27T00:00:00"/>
  </r>
  <r>
    <n v="24567598"/>
    <m/>
    <m/>
    <m/>
    <m/>
    <m/>
    <m/>
    <m/>
    <m/>
    <s v="H"/>
    <x v="7"/>
    <s v="ANGUS ROJO"/>
    <x v="142"/>
    <s v="11-03-2025"/>
    <s v="Vivo"/>
    <x v="0"/>
    <s v="Sin Movimiento"/>
    <s v="11.1.01.1241"/>
    <x v="0"/>
    <d v="2025-04-27T00:00:00"/>
  </r>
  <r>
    <n v="24567599"/>
    <m/>
    <m/>
    <m/>
    <m/>
    <m/>
    <m/>
    <m/>
    <m/>
    <s v="H"/>
    <x v="7"/>
    <s v="ANGUS ROJO"/>
    <x v="142"/>
    <s v="11-03-2025"/>
    <s v="Vivo"/>
    <x v="0"/>
    <s v="Sin Movimiento"/>
    <s v="11.1.01.1241"/>
    <x v="0"/>
    <d v="2025-04-27T00:00:00"/>
  </r>
  <r>
    <n v="24567600"/>
    <m/>
    <m/>
    <m/>
    <m/>
    <m/>
    <m/>
    <m/>
    <m/>
    <s v="H"/>
    <x v="4"/>
    <s v="ANGUS NEGRO"/>
    <x v="140"/>
    <s v="30-11-2024"/>
    <s v="Vivo"/>
    <x v="6"/>
    <s v="11.2.01.0053"/>
    <s v="11.1.01.1241"/>
    <x v="0"/>
    <d v="2025-04-27T00:00:00"/>
  </r>
  <r>
    <n v="24567601"/>
    <m/>
    <m/>
    <m/>
    <m/>
    <m/>
    <m/>
    <m/>
    <d v="2025-08-18T00:00:00"/>
    <s v="H"/>
    <x v="4"/>
    <s v="ANGUS NEGRO"/>
    <x v="138"/>
    <s v="30-10-2024"/>
    <s v="Vivo"/>
    <x v="6"/>
    <s v="11.2.01.0053"/>
    <s v="11.1.01.1241"/>
    <x v="0"/>
    <d v="2025-04-27T00:00:00"/>
  </r>
  <r>
    <n v="24567602"/>
    <m/>
    <m/>
    <m/>
    <m/>
    <m/>
    <m/>
    <m/>
    <m/>
    <s v="H"/>
    <x v="4"/>
    <s v="ANGUS NEGRO"/>
    <x v="141"/>
    <s v="31-12-2024"/>
    <s v="Vivo"/>
    <x v="0"/>
    <s v="Sin Movimiento"/>
    <s v="11.1.01.1241"/>
    <x v="0"/>
    <d v="2025-04-27T00:00:00"/>
  </r>
  <r>
    <n v="24567603"/>
    <m/>
    <m/>
    <m/>
    <m/>
    <m/>
    <m/>
    <m/>
    <m/>
    <s v="H"/>
    <x v="4"/>
    <s v="ANGUS NEGRO"/>
    <x v="141"/>
    <s v="31-12-2024"/>
    <s v="Vivo"/>
    <x v="8"/>
    <s v="11.1.01.0190"/>
    <s v="11.1.01.1241"/>
    <x v="0"/>
    <d v="2025-04-27T00:00:00"/>
  </r>
  <r>
    <n v="24567604"/>
    <m/>
    <m/>
    <m/>
    <m/>
    <m/>
    <m/>
    <m/>
    <m/>
    <s v="H"/>
    <x v="4"/>
    <s v="ANGUS NEGRO"/>
    <x v="141"/>
    <s v="31-12-2024"/>
    <s v="Vivo"/>
    <x v="0"/>
    <s v="Sin Movimiento"/>
    <s v="11.1.01.1241"/>
    <x v="0"/>
    <d v="2025-04-27T00:00:00"/>
  </r>
  <r>
    <n v="24567607"/>
    <m/>
    <n v="16705238"/>
    <m/>
    <m/>
    <m/>
    <m/>
    <m/>
    <d v="2025-11-04T00:00:00"/>
    <s v="H"/>
    <x v="1"/>
    <s v="ANGUS NEGRO"/>
    <x v="99"/>
    <s v="15-09-2019"/>
    <s v="Vivo"/>
    <x v="8"/>
    <s v="11.1.01.0190"/>
    <s v="11.1.01.1241"/>
    <x v="0"/>
    <e v="#N/A"/>
  </r>
  <r>
    <n v="24567609"/>
    <m/>
    <n v="24567049"/>
    <m/>
    <m/>
    <m/>
    <m/>
    <m/>
    <d v="2025-08-18T00:00:00"/>
    <s v="H"/>
    <x v="4"/>
    <s v="ANGUS ROJO"/>
    <x v="135"/>
    <s v="15-09-2024"/>
    <s v="Vivo"/>
    <x v="6"/>
    <s v="11.2.01.0053"/>
    <s v="11.1.01.1241"/>
    <x v="0"/>
    <m/>
  </r>
  <r>
    <n v="26126980"/>
    <m/>
    <n v="20910690"/>
    <m/>
    <m/>
    <m/>
    <d v="2023-10-16T00:00:00"/>
    <m/>
    <m/>
    <s v="H"/>
    <x v="4"/>
    <s v="ANGUS NEGRO"/>
    <x v="121"/>
    <s v="30-09-2023"/>
    <s v="Vivo"/>
    <x v="8"/>
    <s v="11.1.01.0190"/>
    <s v="11.1.01.1241"/>
    <x v="0"/>
    <d v="2023-09-30T00:00:00"/>
  </r>
  <r>
    <n v="26126981"/>
    <n v="2636162"/>
    <n v="22350410"/>
    <m/>
    <m/>
    <m/>
    <d v="2023-12-04T00:00:00"/>
    <m/>
    <m/>
    <s v="M"/>
    <x v="3"/>
    <s v="ANGUS NEGRO"/>
    <x v="145"/>
    <s v="22-07-2022"/>
    <s v="Vivo"/>
    <x v="8"/>
    <s v="11.1.01.0190"/>
    <s v="11.1.01.0893"/>
    <x v="0"/>
    <d v="2022-07-22T00:00:00"/>
  </r>
  <r>
    <n v="26126982"/>
    <m/>
    <n v="8933598"/>
    <d v="2020-10-29T00:00:00"/>
    <m/>
    <d v="2022-12-17T00:00:00"/>
    <d v="2023-06-15T00:00:00"/>
    <d v="2024-10-12T00:00:00"/>
    <m/>
    <s v="H"/>
    <x v="1"/>
    <s v="ANGUS NEGRO"/>
    <x v="63"/>
    <s v="30-11-2015"/>
    <s v="Vivo"/>
    <x v="8"/>
    <s v="11.1.01.0190"/>
    <s v="11.1.01.1241"/>
    <x v="0"/>
    <d v="2015-11-30T00:00:00"/>
  </r>
  <r>
    <n v="26126983"/>
    <m/>
    <n v="23323333"/>
    <m/>
    <m/>
    <m/>
    <m/>
    <m/>
    <m/>
    <s v="H"/>
    <x v="4"/>
    <s v="ANGUS NEGRO"/>
    <x v="129"/>
    <s v="30-11-2023"/>
    <s v="Vivo"/>
    <x v="8"/>
    <s v="11.1.01.0190"/>
    <s v="11.1.01.1241"/>
    <x v="0"/>
    <d v="2023-11-30T00:00:00"/>
  </r>
  <r>
    <n v="26234001"/>
    <m/>
    <m/>
    <m/>
    <m/>
    <m/>
    <m/>
    <m/>
    <m/>
    <s v="H"/>
    <x v="7"/>
    <s v="ANGUS NEGRO"/>
    <x v="146"/>
    <s v="30-09-2025"/>
    <s v="Vivo"/>
    <x v="8"/>
    <s v="11.1.01.0190"/>
    <s v="11.1.01.1241"/>
    <x v="0"/>
    <d v="2025-11-04T00:00:00"/>
  </r>
  <r>
    <n v="26234002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12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13"/>
    <m/>
    <m/>
    <m/>
    <m/>
    <m/>
    <m/>
    <m/>
    <m/>
    <s v="H"/>
    <x v="7"/>
    <s v="ANGUS NEGRO"/>
    <x v="147"/>
    <s v="30-08-2025"/>
    <s v="Vivo"/>
    <x v="8"/>
    <s v="11.1.01.0190"/>
    <s v="11.1.01.1241"/>
    <x v="0"/>
    <d v="2025-11-04T00:00:00"/>
  </r>
  <r>
    <n v="26234014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15"/>
    <m/>
    <m/>
    <m/>
    <m/>
    <m/>
    <m/>
    <m/>
    <m/>
    <s v="H"/>
    <x v="7"/>
    <s v="ANGUS NEGRO"/>
    <x v="147"/>
    <s v="30-08-2025"/>
    <s v="Vivo"/>
    <x v="8"/>
    <s v="11.1.01.0190"/>
    <s v="11.1.01.1241"/>
    <x v="0"/>
    <d v="2025-11-04T00:00:00"/>
  </r>
  <r>
    <n v="26234016"/>
    <m/>
    <m/>
    <m/>
    <m/>
    <m/>
    <m/>
    <m/>
    <m/>
    <s v="H"/>
    <x v="7"/>
    <s v="HEREFORD"/>
    <x v="147"/>
    <s v="30-08-2025"/>
    <s v="Vivo"/>
    <x v="8"/>
    <s v="11.1.01.0190"/>
    <s v="11.1.01.1241"/>
    <x v="0"/>
    <d v="2025-11-04T00:00:00"/>
  </r>
  <r>
    <n v="26234019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21"/>
    <m/>
    <m/>
    <m/>
    <m/>
    <m/>
    <m/>
    <m/>
    <m/>
    <s v="H"/>
    <x v="7"/>
    <s v="ANGUS NEGRO"/>
    <x v="147"/>
    <s v="30-08-2025"/>
    <s v="Vivo"/>
    <x v="8"/>
    <s v="11.1.01.0190"/>
    <s v="11.1.01.1241"/>
    <x v="0"/>
    <d v="2025-11-04T00:00:00"/>
  </r>
  <r>
    <n v="26234024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26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28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30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31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4T00:00:00"/>
  </r>
  <r>
    <n v="26234033"/>
    <m/>
    <m/>
    <m/>
    <m/>
    <m/>
    <m/>
    <m/>
    <m/>
    <s v="M"/>
    <x v="8"/>
    <s v="HEREFORD"/>
    <x v="146"/>
    <s v="05-10-2025"/>
    <s v="Vivo"/>
    <x v="0"/>
    <s v="Sin Movimiento"/>
    <s v="11.1.01.1241"/>
    <x v="0"/>
    <d v="2025-11-05T00:00:00"/>
  </r>
  <r>
    <n v="26234034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35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37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39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40"/>
    <m/>
    <m/>
    <m/>
    <m/>
    <m/>
    <m/>
    <m/>
    <m/>
    <s v="H"/>
    <x v="7"/>
    <s v="ANGUS ROJO"/>
    <x v="146"/>
    <s v="05-10-2025"/>
    <s v="Vivo"/>
    <x v="8"/>
    <s v="11.1.01.0190"/>
    <s v="11.1.01.1241"/>
    <x v="0"/>
    <d v="2025-11-05T00:00:00"/>
  </r>
  <r>
    <n v="26234041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42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46"/>
    <m/>
    <m/>
    <m/>
    <m/>
    <m/>
    <m/>
    <m/>
    <m/>
    <s v="H"/>
    <x v="7"/>
    <s v="ANGUS ROJO"/>
    <x v="146"/>
    <s v="05-10-2025"/>
    <s v="Vivo"/>
    <x v="8"/>
    <s v="11.1.01.0190"/>
    <s v="11.1.01.1241"/>
    <x v="0"/>
    <d v="2025-11-05T00:00:00"/>
  </r>
  <r>
    <n v="26234047"/>
    <m/>
    <m/>
    <m/>
    <m/>
    <m/>
    <m/>
    <m/>
    <m/>
    <s v="H"/>
    <x v="7"/>
    <s v="ANGUS NEGRO"/>
    <x v="146"/>
    <s v="05-10-2025"/>
    <s v="Vivo"/>
    <x v="6"/>
    <s v="11.1.01.1241"/>
    <s v="11.1.01.1241"/>
    <x v="0"/>
    <d v="2025-11-05T00:00:00"/>
  </r>
  <r>
    <n v="26234049"/>
    <m/>
    <m/>
    <m/>
    <m/>
    <m/>
    <m/>
    <m/>
    <m/>
    <s v="H"/>
    <x v="7"/>
    <s v="ANGUS ROJO"/>
    <x v="146"/>
    <s v="05-10-2025"/>
    <s v="Vivo"/>
    <x v="8"/>
    <s v="11.1.01.0190"/>
    <s v="11.1.01.1241"/>
    <x v="0"/>
    <d v="2025-11-05T00:00:00"/>
  </r>
  <r>
    <n v="26234050"/>
    <m/>
    <m/>
    <m/>
    <m/>
    <m/>
    <m/>
    <m/>
    <m/>
    <s v="H"/>
    <x v="7"/>
    <s v="ANGUS ROJO"/>
    <x v="146"/>
    <s v="05-10-2025"/>
    <s v="Vivo"/>
    <x v="8"/>
    <s v="11.1.01.0190"/>
    <s v="11.1.01.1241"/>
    <x v="0"/>
    <d v="2025-11-05T00:00:00"/>
  </r>
  <r>
    <n v="26234052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53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55"/>
    <m/>
    <m/>
    <m/>
    <m/>
    <m/>
    <m/>
    <m/>
    <m/>
    <s v="M"/>
    <x v="8"/>
    <s v="ANGUS NEGRO"/>
    <x v="146"/>
    <s v="05-10-2025"/>
    <s v="Vivo"/>
    <x v="8"/>
    <s v="11.1.01.0190"/>
    <s v="11.1.01.1241"/>
    <x v="0"/>
    <d v="2025-11-05T00:00:00"/>
  </r>
  <r>
    <n v="26234056"/>
    <m/>
    <m/>
    <m/>
    <m/>
    <m/>
    <m/>
    <m/>
    <m/>
    <s v="H"/>
    <x v="7"/>
    <s v="ANGUS ROJO"/>
    <x v="146"/>
    <s v="05-10-2025"/>
    <s v="Vivo"/>
    <x v="8"/>
    <s v="11.1.01.0190"/>
    <s v="11.1.01.1241"/>
    <x v="0"/>
    <d v="2025-11-05T00:00:00"/>
  </r>
  <r>
    <n v="26234057"/>
    <m/>
    <m/>
    <m/>
    <m/>
    <m/>
    <m/>
    <m/>
    <m/>
    <s v="H"/>
    <x v="7"/>
    <s v="ANGUS ROJO"/>
    <x v="146"/>
    <s v="05-10-2025"/>
    <s v="Vivo"/>
    <x v="8"/>
    <s v="11.1.01.0190"/>
    <s v="11.1.01.1241"/>
    <x v="0"/>
    <d v="2025-11-05T00:00:00"/>
  </r>
  <r>
    <n v="26234061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62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64"/>
    <m/>
    <m/>
    <m/>
    <m/>
    <m/>
    <m/>
    <m/>
    <m/>
    <s v="H"/>
    <x v="7"/>
    <s v="ANGUS ROJO"/>
    <x v="148"/>
    <s v="04-08-2025"/>
    <s v="Vivo"/>
    <x v="8"/>
    <s v="11.1.01.0190"/>
    <s v="11.1.01.1241"/>
    <x v="0"/>
    <d v="2025-11-05T00:00:00"/>
  </r>
  <r>
    <n v="26234065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67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68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70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71"/>
    <m/>
    <m/>
    <m/>
    <m/>
    <m/>
    <m/>
    <m/>
    <m/>
    <s v="H"/>
    <x v="7"/>
    <s v="ANGUS NEGRO"/>
    <x v="149"/>
    <s v="04-07-2025"/>
    <s v="Vivo"/>
    <x v="8"/>
    <s v="11.1.01.0190"/>
    <s v="11.1.01.1241"/>
    <x v="0"/>
    <d v="2025-11-05T00:00:00"/>
  </r>
  <r>
    <n v="26234072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73"/>
    <m/>
    <m/>
    <m/>
    <m/>
    <m/>
    <m/>
    <m/>
    <m/>
    <s v="H"/>
    <x v="7"/>
    <s v="ANGUS ROJO"/>
    <x v="146"/>
    <s v="05-10-2025"/>
    <s v="Vivo"/>
    <x v="8"/>
    <s v="11.1.01.0190"/>
    <s v="11.1.01.1241"/>
    <x v="0"/>
    <d v="2025-11-05T00:00:00"/>
  </r>
  <r>
    <n v="26234074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75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76"/>
    <m/>
    <m/>
    <m/>
    <m/>
    <m/>
    <m/>
    <m/>
    <m/>
    <s v="H"/>
    <x v="7"/>
    <s v="ANGUS NEGRO"/>
    <x v="146"/>
    <s v="04-10-2025"/>
    <s v="Vivo"/>
    <x v="8"/>
    <s v="11.1.01.0190"/>
    <s v="11.1.01.1241"/>
    <x v="0"/>
    <d v="2025-11-05T00:00:00"/>
  </r>
  <r>
    <n v="26234077"/>
    <m/>
    <m/>
    <m/>
    <m/>
    <m/>
    <m/>
    <m/>
    <m/>
    <s v="H"/>
    <x v="7"/>
    <s v="ANGUS NEGRO"/>
    <x v="149"/>
    <s v="07-07-2025"/>
    <s v="Vivo"/>
    <x v="8"/>
    <s v="11.1.01.0190"/>
    <s v="11.1.01.1241"/>
    <x v="0"/>
    <d v="2025-11-05T00:00:00"/>
  </r>
  <r>
    <n v="26234078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79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81"/>
    <m/>
    <m/>
    <m/>
    <m/>
    <m/>
    <m/>
    <m/>
    <m/>
    <s v="H"/>
    <x v="7"/>
    <s v="ANGUS ROJO"/>
    <x v="146"/>
    <s v="05-10-2025"/>
    <s v="Vivo"/>
    <x v="0"/>
    <s v="Sin Movimiento"/>
    <s v="11.1.01.1241"/>
    <x v="0"/>
    <d v="2025-11-05T00:00:00"/>
  </r>
  <r>
    <n v="26234085"/>
    <m/>
    <m/>
    <m/>
    <m/>
    <m/>
    <m/>
    <m/>
    <m/>
    <s v="H"/>
    <x v="7"/>
    <s v="ANGUS NEGRO"/>
    <x v="148"/>
    <s v="30-07-2025"/>
    <s v="Vivo"/>
    <x v="8"/>
    <s v="11.1.01.0190"/>
    <s v="11.1.01.1241"/>
    <x v="0"/>
    <d v="2025-11-05T00:00:00"/>
  </r>
  <r>
    <n v="26234087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91"/>
    <m/>
    <m/>
    <m/>
    <m/>
    <m/>
    <m/>
    <m/>
    <m/>
    <s v="H"/>
    <x v="7"/>
    <s v="ANGUS ROJO"/>
    <x v="148"/>
    <s v="30-07-2025"/>
    <s v="Vivo"/>
    <x v="8"/>
    <s v="11.1.01.0190"/>
    <s v="11.1.01.1241"/>
    <x v="0"/>
    <d v="2025-11-05T00:00:00"/>
  </r>
  <r>
    <n v="26234092"/>
    <m/>
    <m/>
    <m/>
    <m/>
    <m/>
    <m/>
    <m/>
    <m/>
    <s v="H"/>
    <x v="7"/>
    <s v="ANGUS NEGRO"/>
    <x v="146"/>
    <s v="05-10-2025"/>
    <s v="Vivo"/>
    <x v="8"/>
    <s v="11.1.01.0190"/>
    <s v="11.1.01.1241"/>
    <x v="0"/>
    <d v="2025-11-05T00:00:00"/>
  </r>
  <r>
    <n v="26234094"/>
    <m/>
    <m/>
    <m/>
    <m/>
    <m/>
    <m/>
    <m/>
    <m/>
    <s v="H"/>
    <x v="7"/>
    <s v="ANGUS NEGRO"/>
    <x v="150"/>
    <s v="20-10-2025"/>
    <s v="Vivo"/>
    <x v="8"/>
    <s v="11.1.01.0190"/>
    <s v="11.1.01.1241"/>
    <x v="0"/>
    <d v="2025-11-05T00:00:00"/>
  </r>
  <r>
    <m/>
    <m/>
    <m/>
    <m/>
    <m/>
    <m/>
    <m/>
    <m/>
    <m/>
    <m/>
    <x v="9"/>
    <m/>
    <x v="151"/>
    <m/>
    <m/>
    <x v="17"/>
    <m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82">
  <r>
    <n v="55956"/>
    <m/>
    <m/>
    <e v="#N/A"/>
    <m/>
    <m/>
    <m/>
    <m/>
    <m/>
    <m/>
    <s v="M"/>
    <x v="0"/>
    <s v="OVERO COLORADO (CLAVEL ALEMAN)"/>
    <s v="23 años 11 meses"/>
    <s v="08-02-2002"/>
    <s v="Vivo"/>
    <x v="0"/>
    <s v="11.1.01.0789"/>
    <s v="11.1.01.0790"/>
    <s v="SI"/>
    <m/>
  </r>
  <r>
    <n v="83926"/>
    <m/>
    <m/>
    <e v="#N/A"/>
    <m/>
    <m/>
    <m/>
    <m/>
    <m/>
    <m/>
    <s v="M"/>
    <x v="0"/>
    <s v="ANGUS NEGRO"/>
    <s v="21 años 4 meses"/>
    <s v="15-09-2004"/>
    <s v="Vivo"/>
    <x v="0"/>
    <s v="11.1.01.0291"/>
    <s v="11.1.01.0290"/>
    <s v="SI"/>
    <m/>
  </r>
  <r>
    <n v="84361"/>
    <m/>
    <m/>
    <e v="#N/A"/>
    <m/>
    <m/>
    <m/>
    <m/>
    <m/>
    <m/>
    <s v="H"/>
    <x v="1"/>
    <s v="POLLED HEREFORD"/>
    <s v="22 años 3 meses"/>
    <s v="15-10-2003"/>
    <s v="Vivo"/>
    <x v="0"/>
    <s v="11.1.01.0791"/>
    <s v="11.1.01.1241"/>
    <s v="SI"/>
    <m/>
  </r>
  <r>
    <n v="84362"/>
    <m/>
    <m/>
    <e v="#N/A"/>
    <m/>
    <m/>
    <m/>
    <m/>
    <m/>
    <m/>
    <s v="H"/>
    <x v="1"/>
    <s v="POLLED HEREFORD"/>
    <s v="22 años 3 meses"/>
    <s v="15-10-2003"/>
    <s v="Vivo"/>
    <x v="0"/>
    <s v="Sin Movimiento"/>
    <s v="11.1.01.1241"/>
    <s v="SI"/>
    <m/>
  </r>
  <r>
    <n v="84369"/>
    <m/>
    <m/>
    <e v="#N/A"/>
    <m/>
    <m/>
    <m/>
    <m/>
    <m/>
    <m/>
    <s v="H"/>
    <x v="1"/>
    <s v="OVERO COLORADO (CLAVEL ALEMAN)"/>
    <s v="22 años 3 meses"/>
    <s v="15-10-2003"/>
    <s v="Vivo"/>
    <x v="0"/>
    <s v="Sin Movimiento"/>
    <s v="11.1.01.1241"/>
    <s v="SI"/>
    <m/>
  </r>
  <r>
    <n v="84393"/>
    <m/>
    <m/>
    <e v="#N/A"/>
    <m/>
    <m/>
    <m/>
    <m/>
    <m/>
    <m/>
    <s v="H"/>
    <x v="1"/>
    <s v="POLLED HEREFORD"/>
    <s v="22 años 3 meses"/>
    <s v="15-10-2003"/>
    <s v="Vivo"/>
    <x v="0"/>
    <s v="11.1.01.1081"/>
    <s v="11.1.01.1241"/>
    <s v="SI"/>
    <m/>
  </r>
  <r>
    <n v="84403"/>
    <m/>
    <m/>
    <e v="#N/A"/>
    <m/>
    <m/>
    <m/>
    <m/>
    <m/>
    <m/>
    <s v="H"/>
    <x v="1"/>
    <s v="POLLED HEREFORD"/>
    <s v="22 años 3 meses"/>
    <s v="15-10-2003"/>
    <s v="Vivo"/>
    <x v="0"/>
    <s v="Sin Movimiento"/>
    <s v="11.1.01.1241"/>
    <s v="SI"/>
    <m/>
  </r>
  <r>
    <n v="84427"/>
    <m/>
    <m/>
    <e v="#N/A"/>
    <d v="2020-10-17T00:00:00"/>
    <m/>
    <m/>
    <m/>
    <m/>
    <m/>
    <s v="H"/>
    <x v="1"/>
    <s v="ANGUS ROJO"/>
    <s v="21 años 3 meses"/>
    <s v="15-10-2004"/>
    <s v="Vivo"/>
    <x v="0"/>
    <s v="11.1.01.0790"/>
    <s v="11.1.01.0789"/>
    <s v="SI"/>
    <m/>
  </r>
  <r>
    <n v="84463"/>
    <m/>
    <m/>
    <e v="#N/A"/>
    <m/>
    <m/>
    <m/>
    <m/>
    <m/>
    <m/>
    <s v="H"/>
    <x v="1"/>
    <s v="OVERO COLORADO (CLAVEL ALEMAN)"/>
    <s v="22 años 3 meses"/>
    <s v="15-10-2003"/>
    <s v="Vivo"/>
    <x v="0"/>
    <s v="Sin Movimiento"/>
    <s v="11.1.01.1241"/>
    <s v="SI"/>
    <m/>
  </r>
  <r>
    <n v="84657"/>
    <m/>
    <m/>
    <e v="#N/A"/>
    <m/>
    <m/>
    <m/>
    <m/>
    <m/>
    <m/>
    <s v="H"/>
    <x v="1"/>
    <s v="HEREFORD"/>
    <s v="23 años 3 meses"/>
    <s v="15-10-2002"/>
    <s v="Vivo"/>
    <x v="0"/>
    <s v="11.1.01.0791"/>
    <s v="11.1.01.0791"/>
    <s v="SI"/>
    <m/>
  </r>
  <r>
    <n v="93136"/>
    <m/>
    <m/>
    <e v="#N/A"/>
    <m/>
    <m/>
    <m/>
    <m/>
    <m/>
    <m/>
    <s v="M"/>
    <x v="0"/>
    <s v="ANGUS NEGRO"/>
    <s v="20 años 3 meses"/>
    <s v="25-09-2005"/>
    <s v="Vivo"/>
    <x v="0"/>
    <s v="11.1.01.0790"/>
    <s v="11.1.01.0831"/>
    <s v="SI"/>
    <m/>
  </r>
  <r>
    <n v="133342"/>
    <m/>
    <m/>
    <e v="#N/A"/>
    <m/>
    <m/>
    <m/>
    <m/>
    <m/>
    <m/>
    <s v="M"/>
    <x v="0"/>
    <s v="OVERO COLORADO (CLAVEL ALEMAN)"/>
    <s v="20 años 3 meses"/>
    <s v="15-10-2005"/>
    <s v="Vivo"/>
    <x v="0"/>
    <s v="11.1.01.0893"/>
    <s v="11.1.01.0932"/>
    <s v="SI"/>
    <m/>
  </r>
  <r>
    <n v="150564"/>
    <m/>
    <m/>
    <e v="#N/A"/>
    <m/>
    <m/>
    <m/>
    <m/>
    <m/>
    <m/>
    <s v="H"/>
    <x v="1"/>
    <s v="OVERO COLORADO (CLAVEL ALEMAN)"/>
    <s v="22 años 4 meses"/>
    <s v="15-09-2003"/>
    <s v="Vivo"/>
    <x v="0"/>
    <s v="11.1.01.1081"/>
    <s v="11.2.02.0112"/>
    <s v="SI"/>
    <m/>
  </r>
  <r>
    <n v="161892"/>
    <m/>
    <m/>
    <e v="#N/A"/>
    <d v="2020-06-01T00:00:00"/>
    <d v="2021-10-22T00:00:00"/>
    <d v="2022-11-18T00:00:00"/>
    <d v="2023-11-23T00:00:00"/>
    <m/>
    <m/>
    <s v="H"/>
    <x v="1"/>
    <s v="POLLED HEREFORD"/>
    <s v="24 años 3 meses"/>
    <s v="15-10-2001"/>
    <s v="Vivo"/>
    <x v="0"/>
    <s v="Sin Movimiento"/>
    <s v="11.1.01.1241"/>
    <s v="SI"/>
    <m/>
  </r>
  <r>
    <n v="176301"/>
    <m/>
    <m/>
    <e v="#N/A"/>
    <m/>
    <d v="2021-10-22T00:00:00"/>
    <d v="2022-11-28T00:00:00"/>
    <d v="2023-11-10T00:00:00"/>
    <m/>
    <m/>
    <s v="M"/>
    <x v="0"/>
    <s v="ANGUS NEGRO"/>
    <s v="20 años 3 meses"/>
    <s v="15-10-2005"/>
    <s v="Vivo"/>
    <x v="0"/>
    <s v="11.1.01.1081"/>
    <s v="11.1.01.0290"/>
    <s v="SI"/>
    <m/>
  </r>
  <r>
    <n v="176307"/>
    <m/>
    <m/>
    <e v="#N/A"/>
    <m/>
    <m/>
    <m/>
    <m/>
    <m/>
    <m/>
    <s v="M"/>
    <x v="0"/>
    <s v="ANGUS NEGRO"/>
    <s v="20 años 3 meses"/>
    <s v="15-10-2005"/>
    <s v="Vivo"/>
    <x v="0"/>
    <s v="11.1.01.0290"/>
    <s v="11.1.01.0290"/>
    <s v="SI"/>
    <m/>
  </r>
  <r>
    <n v="180512"/>
    <m/>
    <m/>
    <e v="#N/A"/>
    <m/>
    <d v="2021-10-22T00:00:00"/>
    <m/>
    <d v="2023-06-13T00:00:00"/>
    <m/>
    <m/>
    <s v="H"/>
    <x v="1"/>
    <s v="HEREFORD"/>
    <s v="20 años 3 meses"/>
    <s v="15-10-2005"/>
    <s v="Vivo"/>
    <x v="0"/>
    <s v="11.1.01.0791"/>
    <s v="11.1.01.0791"/>
    <s v="SI"/>
    <m/>
  </r>
  <r>
    <n v="180524"/>
    <m/>
    <m/>
    <e v="#N/A"/>
    <m/>
    <d v="2021-10-22T00:00:00"/>
    <d v="2022-12-13T00:00:00"/>
    <d v="2023-12-05T00:00:00"/>
    <m/>
    <m/>
    <s v="H"/>
    <x v="1"/>
    <s v="HEREFORD"/>
    <s v="20 años 3 meses"/>
    <s v="15-10-2005"/>
    <s v="Vivo"/>
    <x v="0"/>
    <s v="11.1.01.1240"/>
    <s v="11.1.01.0791"/>
    <s v="SI"/>
    <m/>
  </r>
  <r>
    <n v="180528"/>
    <m/>
    <m/>
    <e v="#N/A"/>
    <m/>
    <m/>
    <m/>
    <m/>
    <m/>
    <m/>
    <s v="H"/>
    <x v="1"/>
    <s v="HEREFORD"/>
    <s v="20 años 3 meses"/>
    <s v="15-10-2005"/>
    <s v="Vivo"/>
    <x v="0"/>
    <s v="11.1.01.0789"/>
    <s v="11.1.01.0791"/>
    <s v="SI"/>
    <m/>
  </r>
  <r>
    <n v="180529"/>
    <m/>
    <m/>
    <e v="#N/A"/>
    <m/>
    <m/>
    <m/>
    <m/>
    <m/>
    <m/>
    <s v="H"/>
    <x v="1"/>
    <s v="HEREFORD"/>
    <s v="20 años 1 meses"/>
    <s v="15-12-2005"/>
    <s v="Vivo"/>
    <x v="0"/>
    <s v="11.1.01.1240"/>
    <s v="11.1.01.1240"/>
    <s v="SI"/>
    <m/>
  </r>
  <r>
    <n v="180560"/>
    <m/>
    <m/>
    <e v="#N/A"/>
    <m/>
    <m/>
    <m/>
    <m/>
    <m/>
    <m/>
    <s v="H"/>
    <x v="1"/>
    <s v="OVERO COLORADO (CLAVEL ALEMAN)"/>
    <s v="20 años 3 meses"/>
    <s v="15-10-2005"/>
    <s v="Vivo"/>
    <x v="0"/>
    <s v="11.2.01.0038"/>
    <s v="11.1.01.1241"/>
    <s v="SI"/>
    <m/>
  </r>
  <r>
    <n v="180572"/>
    <m/>
    <m/>
    <e v="#N/A"/>
    <m/>
    <m/>
    <m/>
    <m/>
    <m/>
    <m/>
    <s v="H"/>
    <x v="1"/>
    <s v="OVERO COLORADO (CLAVEL ALEMAN)"/>
    <s v="20 años 3 meses"/>
    <s v="15-10-2005"/>
    <s v="Vivo"/>
    <x v="0"/>
    <s v="11.2.01.0053"/>
    <s v="11.1.01.1241"/>
    <s v="SI"/>
    <m/>
  </r>
  <r>
    <n v="180592"/>
    <m/>
    <m/>
    <e v="#N/A"/>
    <m/>
    <m/>
    <m/>
    <m/>
    <m/>
    <m/>
    <s v="H"/>
    <x v="1"/>
    <s v="OVERO COLORADO (CLAVEL ALEMAN)"/>
    <s v="20 años 3 meses"/>
    <s v="15-10-2005"/>
    <s v="Vivo"/>
    <x v="0"/>
    <s v="11.1.01.1240"/>
    <s v="11.1.01.1241"/>
    <s v="SI"/>
    <m/>
  </r>
  <r>
    <n v="180666"/>
    <m/>
    <m/>
    <e v="#N/A"/>
    <m/>
    <m/>
    <m/>
    <m/>
    <m/>
    <m/>
    <s v="H"/>
    <x v="1"/>
    <s v="OVERO COLORADO (CLAVEL ALEMAN)"/>
    <s v="20 años 1 meses"/>
    <s v="15-12-2005"/>
    <s v="Vivo"/>
    <x v="0"/>
    <s v="11.1.01.0791"/>
    <s v="11.1.01.1241"/>
    <s v="SI"/>
    <m/>
  </r>
  <r>
    <n v="180700"/>
    <m/>
    <m/>
    <e v="#N/A"/>
    <m/>
    <m/>
    <m/>
    <m/>
    <m/>
    <m/>
    <s v="H"/>
    <x v="1"/>
    <s v="HEREFORD"/>
    <s v="20 años 4 meses"/>
    <s v="15-09-2005"/>
    <s v="Vivo"/>
    <x v="0"/>
    <s v="11.2.01.2071"/>
    <s v="11.1.01.0790"/>
    <s v="SI"/>
    <m/>
  </r>
  <r>
    <n v="180705"/>
    <m/>
    <m/>
    <e v="#N/A"/>
    <m/>
    <m/>
    <m/>
    <m/>
    <m/>
    <m/>
    <s v="H"/>
    <x v="1"/>
    <s v="OVERO COLORADO (CLAVEL ALEMAN)"/>
    <s v="20 años 4 meses"/>
    <s v="15-09-2005"/>
    <s v="Vivo"/>
    <x v="0"/>
    <s v="11.1.01.0791"/>
    <s v="11.1.01.0790"/>
    <s v="SI"/>
    <m/>
  </r>
  <r>
    <n v="180717"/>
    <m/>
    <m/>
    <e v="#N/A"/>
    <m/>
    <m/>
    <m/>
    <m/>
    <m/>
    <m/>
    <s v="H"/>
    <x v="1"/>
    <s v="HEREFORD"/>
    <s v="20 años 3 meses"/>
    <s v="15-10-2005"/>
    <s v="Vivo"/>
    <x v="0"/>
    <s v="11.1.01.0791"/>
    <s v="11.1.01.0790"/>
    <s v="SI"/>
    <m/>
  </r>
  <r>
    <n v="180721"/>
    <m/>
    <m/>
    <e v="#N/A"/>
    <d v="2020-10-29T00:00:00"/>
    <d v="2021-11-18T00:00:00"/>
    <d v="2022-11-28T00:00:00"/>
    <d v="2023-11-24T00:00:00"/>
    <m/>
    <m/>
    <s v="H"/>
    <x v="1"/>
    <s v="HEREFORD"/>
    <s v="20 años 3 meses"/>
    <s v="15-10-2005"/>
    <s v="Vivo"/>
    <x v="0"/>
    <s v="11.1.01.0791"/>
    <s v="11.1.01.0790"/>
    <s v="SI"/>
    <m/>
  </r>
  <r>
    <n v="1316934"/>
    <m/>
    <m/>
    <e v="#N/A"/>
    <d v="2020-06-01T00:00:00"/>
    <d v="2021-10-22T00:00:00"/>
    <d v="2022-12-17T00:00:00"/>
    <d v="2023-11-23T00:00:00"/>
    <m/>
    <m/>
    <s v="M"/>
    <x v="0"/>
    <s v="ANGUS NEGRO"/>
    <s v="19 años 3 meses"/>
    <s v="15-10-2006"/>
    <s v="Vivo"/>
    <x v="0"/>
    <s v="11.1.01.0290"/>
    <s v="11.1.01.0290"/>
    <s v="SI"/>
    <m/>
  </r>
  <r>
    <n v="1316953"/>
    <m/>
    <m/>
    <e v="#N/A"/>
    <m/>
    <m/>
    <m/>
    <m/>
    <m/>
    <m/>
    <s v="M"/>
    <x v="0"/>
    <s v="ANGUS ROJO"/>
    <s v="19 años 2 meses"/>
    <s v="30-10-2006"/>
    <s v="Vivo"/>
    <x v="0"/>
    <s v="11.1.01.0790"/>
    <s v="11.1.01.0790"/>
    <s v="SI"/>
    <m/>
  </r>
  <r>
    <n v="1316957"/>
    <m/>
    <m/>
    <e v="#N/A"/>
    <d v="2020-06-01T00:00:00"/>
    <d v="2021-10-22T00:00:00"/>
    <d v="2022-12-13T00:00:00"/>
    <d v="2023-11-23T00:00:00"/>
    <m/>
    <m/>
    <s v="H"/>
    <x v="1"/>
    <s v="OVERO COLORADO (CLAVEL ALEMAN)"/>
    <s v="19 años 2 meses"/>
    <s v="30-10-2006"/>
    <s v="Vivo"/>
    <x v="0"/>
    <s v="11.2.01.0053"/>
    <s v="11.1.01.0790"/>
    <s v="SI"/>
    <m/>
  </r>
  <r>
    <n v="1316967"/>
    <m/>
    <m/>
    <e v="#N/A"/>
    <d v="2020-10-29T00:00:00"/>
    <d v="2021-11-18T00:00:00"/>
    <d v="2022-11-18T00:00:00"/>
    <m/>
    <m/>
    <m/>
    <s v="H"/>
    <x v="1"/>
    <s v="HEREFORD"/>
    <s v="19 años 1 meses"/>
    <s v="30-11-2006"/>
    <s v="Vivo"/>
    <x v="0"/>
    <s v="11.2.01.0053"/>
    <s v="11.1.01.0790"/>
    <s v="SI"/>
    <m/>
  </r>
  <r>
    <n v="1318037"/>
    <m/>
    <m/>
    <e v="#N/A"/>
    <m/>
    <m/>
    <m/>
    <m/>
    <m/>
    <m/>
    <s v="H"/>
    <x v="1"/>
    <s v="OVERO COLORADO (CLAVEL ALEMAN)"/>
    <s v="19 años 3 meses"/>
    <s v="15-10-2006"/>
    <s v="Vivo"/>
    <x v="0"/>
    <s v="11.2.01.0053"/>
    <s v="11.1.01.1241"/>
    <s v="SI"/>
    <m/>
  </r>
  <r>
    <n v="1318058"/>
    <m/>
    <m/>
    <e v="#N/A"/>
    <m/>
    <m/>
    <m/>
    <m/>
    <m/>
    <m/>
    <s v="H"/>
    <x v="1"/>
    <s v="OVERO COLORADO (CLAVEL ALEMAN)"/>
    <s v="19 años 3 meses"/>
    <s v="15-10-2006"/>
    <s v="Vivo"/>
    <x v="0"/>
    <s v="11.1.01.0893"/>
    <s v="11.1.01.1241"/>
    <s v="SI"/>
    <m/>
  </r>
  <r>
    <n v="1318076"/>
    <m/>
    <m/>
    <e v="#N/A"/>
    <m/>
    <m/>
    <m/>
    <m/>
    <m/>
    <m/>
    <s v="H"/>
    <x v="1"/>
    <s v="ANGUS ROJO"/>
    <s v="19 años 4 meses"/>
    <s v="15-09-2006"/>
    <s v="Vivo"/>
    <x v="0"/>
    <s v="Sin Movimiento"/>
    <s v="11.1.01.1241"/>
    <s v="SI"/>
    <m/>
  </r>
  <r>
    <n v="1318087"/>
    <m/>
    <m/>
    <e v="#N/A"/>
    <m/>
    <m/>
    <m/>
    <m/>
    <m/>
    <m/>
    <s v="H"/>
    <x v="1"/>
    <s v="HEREFORD"/>
    <s v="19 años 3 meses"/>
    <s v="15-10-2006"/>
    <s v="Vivo"/>
    <x v="0"/>
    <s v="11.2.01.0053"/>
    <s v="11.1.01.1241"/>
    <s v="SI"/>
    <m/>
  </r>
  <r>
    <n v="1318097"/>
    <m/>
    <m/>
    <e v="#N/A"/>
    <d v="2020-06-01T00:00:00"/>
    <d v="2021-10-28T00:00:00"/>
    <d v="2022-11-03T00:00:00"/>
    <d v="2023-11-23T00:00:00"/>
    <m/>
    <m/>
    <s v="H"/>
    <x v="1"/>
    <s v="HEREFORD"/>
    <s v="19 años 2 meses"/>
    <s v="15-11-2006"/>
    <s v="Vivo"/>
    <x v="0"/>
    <s v="11.2.01.0053"/>
    <s v="11.1.01.1241"/>
    <s v="SI"/>
    <m/>
  </r>
  <r>
    <n v="1318106"/>
    <m/>
    <m/>
    <e v="#N/A"/>
    <d v="2020-11-09T00:00:00"/>
    <d v="2021-06-03T00:00:00"/>
    <d v="2022-11-03T00:00:00"/>
    <d v="2023-06-15T00:00:00"/>
    <m/>
    <m/>
    <s v="H"/>
    <x v="1"/>
    <s v="ANGUS ROJO"/>
    <s v="19 años 2 meses"/>
    <s v="15-11-2006"/>
    <s v="Vivo"/>
    <x v="0"/>
    <s v="Sin Movimiento"/>
    <s v="11.1.01.1241"/>
    <s v="SI"/>
    <m/>
  </r>
  <r>
    <n v="1318116"/>
    <m/>
    <m/>
    <e v="#N/A"/>
    <d v="2020-10-29T00:00:00"/>
    <d v="2021-11-04T00:00:00"/>
    <d v="2022-10-23T00:00:00"/>
    <d v="2023-11-24T00:00:00"/>
    <m/>
    <m/>
    <s v="H"/>
    <x v="1"/>
    <s v="HEREFORD"/>
    <s v="19 años 2 meses"/>
    <s v="15-11-2006"/>
    <s v="Vivo"/>
    <x v="0"/>
    <s v="11.2.01.0053"/>
    <s v="11.1.01.1241"/>
    <s v="SI"/>
    <m/>
  </r>
  <r>
    <n v="1318121"/>
    <m/>
    <m/>
    <e v="#N/A"/>
    <m/>
    <m/>
    <m/>
    <m/>
    <m/>
    <m/>
    <s v="H"/>
    <x v="1"/>
    <s v="HEREFORD"/>
    <s v="19 años 2 meses"/>
    <s v="15-11-2006"/>
    <s v="Vivo"/>
    <x v="0"/>
    <s v="11.1.01.1081"/>
    <s v="11.1.01.1241"/>
    <s v="SI"/>
    <m/>
  </r>
  <r>
    <n v="1318124"/>
    <m/>
    <m/>
    <e v="#N/A"/>
    <m/>
    <d v="2021-10-28T00:00:00"/>
    <d v="2022-12-17T00:00:00"/>
    <d v="2023-11-24T00:00:00"/>
    <m/>
    <m/>
    <s v="H"/>
    <x v="1"/>
    <s v="OVERO COLORADO (CLAVEL ALEMAN)"/>
    <s v="19 años 4 meses"/>
    <s v="15-09-2006"/>
    <s v="Vivo"/>
    <x v="0"/>
    <s v="11.2.01.0053"/>
    <s v="11.1.01.1241"/>
    <s v="SI"/>
    <m/>
  </r>
  <r>
    <n v="1321994"/>
    <m/>
    <m/>
    <e v="#N/A"/>
    <m/>
    <m/>
    <m/>
    <m/>
    <m/>
    <m/>
    <s v="H"/>
    <x v="1"/>
    <s v="HEREFORD"/>
    <s v="19 años 2 meses"/>
    <s v="30-10-2006"/>
    <s v="Vivo"/>
    <x v="1"/>
    <s v="11.1.01.0941"/>
    <s v="11.1.01.1240"/>
    <s v="SI"/>
    <m/>
  </r>
  <r>
    <n v="1347970"/>
    <m/>
    <m/>
    <e v="#N/A"/>
    <m/>
    <m/>
    <m/>
    <m/>
    <m/>
    <m/>
    <s v="M"/>
    <x v="0"/>
    <s v="OVERO COLORADO (CLAVEL ALEMAN)"/>
    <s v="18 años 9 meses"/>
    <s v="30-03-2007"/>
    <s v="Vivo"/>
    <x v="0"/>
    <s v="11.1.01.1240"/>
    <s v="11.1.01.1240"/>
    <s v="SI"/>
    <m/>
  </r>
  <r>
    <n v="1381760"/>
    <m/>
    <m/>
    <e v="#N/A"/>
    <d v="2020-06-01T00:00:00"/>
    <d v="2021-10-28T00:00:00"/>
    <d v="2022-12-17T00:00:00"/>
    <d v="2023-12-05T00:00:00"/>
    <m/>
    <m/>
    <s v="H"/>
    <x v="1"/>
    <s v="OVERO COLORADO (CLAVEL ALEMAN)"/>
    <s v="18 años 3 meses"/>
    <s v="30-09-2007"/>
    <s v="Vivo"/>
    <x v="2"/>
    <s v="11.1.01.1241"/>
    <s v="11.1.01.0790"/>
    <s v="SI"/>
    <m/>
  </r>
  <r>
    <n v="1381761"/>
    <m/>
    <m/>
    <e v="#N/A"/>
    <d v="2020-10-31T00:00:00"/>
    <m/>
    <d v="2022-11-18T00:00:00"/>
    <d v="2023-11-23T00:00:00"/>
    <m/>
    <m/>
    <s v="H"/>
    <x v="1"/>
    <s v="HEREFORD"/>
    <s v="18 años 3 meses"/>
    <s v="30-09-2007"/>
    <s v="Vivo"/>
    <x v="0"/>
    <s v="11.1.01.0790"/>
    <s v="11.1.01.0790"/>
    <s v="SI"/>
    <m/>
  </r>
  <r>
    <n v="1381763"/>
    <m/>
    <m/>
    <e v="#N/A"/>
    <d v="2020-10-29T00:00:00"/>
    <m/>
    <d v="2022-09-01T00:00:00"/>
    <m/>
    <m/>
    <m/>
    <s v="H"/>
    <x v="1"/>
    <s v="OVERO COLORADO (CLAVEL ALEMAN)"/>
    <s v="18 años 3 meses"/>
    <s v="30-09-2007"/>
    <s v="Vivo"/>
    <x v="2"/>
    <s v="11.2.01.2071"/>
    <s v="11.1.01.0790"/>
    <s v="SI"/>
    <m/>
  </r>
  <r>
    <n v="1381768"/>
    <m/>
    <m/>
    <e v="#N/A"/>
    <m/>
    <d v="2021-06-03T00:00:00"/>
    <m/>
    <m/>
    <m/>
    <m/>
    <s v="H"/>
    <x v="1"/>
    <s v="OVERO COLORADO (CLAVEL ALEMAN)"/>
    <s v="18 años 3 meses"/>
    <s v="30-09-2007"/>
    <s v="Vivo"/>
    <x v="0"/>
    <s v="11.1.01.0790"/>
    <s v="11.1.01.0790"/>
    <s v="SI"/>
    <m/>
  </r>
  <r>
    <n v="1381782"/>
    <m/>
    <m/>
    <e v="#N/A"/>
    <m/>
    <m/>
    <m/>
    <m/>
    <m/>
    <m/>
    <s v="H"/>
    <x v="1"/>
    <s v="HEREFORD"/>
    <s v="18 años 1 meses"/>
    <s v="30-11-2007"/>
    <s v="Vivo"/>
    <x v="2"/>
    <s v="11.1.01.0790"/>
    <s v="11.1.01.0790"/>
    <s v="SI"/>
    <m/>
  </r>
  <r>
    <n v="1381790"/>
    <m/>
    <m/>
    <e v="#N/A"/>
    <d v="2020-10-29T00:00:00"/>
    <d v="2021-11-04T00:00:00"/>
    <d v="2022-09-01T00:00:00"/>
    <d v="2023-12-05T00:00:00"/>
    <m/>
    <m/>
    <s v="M"/>
    <x v="0"/>
    <s v="ANGUS NEGRO"/>
    <s v="19 años 3 meses"/>
    <s v="30-09-2006"/>
    <s v="Vivo"/>
    <x v="0"/>
    <s v="11.1.01.0790"/>
    <s v="11.1.01.0790"/>
    <s v="SI"/>
    <m/>
  </r>
  <r>
    <n v="1381820"/>
    <m/>
    <m/>
    <e v="#N/A"/>
    <d v="2020-10-29T00:00:00"/>
    <m/>
    <m/>
    <m/>
    <m/>
    <m/>
    <s v="H"/>
    <x v="1"/>
    <s v="OVERO COLORADO (CLAVEL ALEMAN)"/>
    <s v="17 años 9 meses"/>
    <s v="30-03-2008"/>
    <s v="Vivo"/>
    <x v="3"/>
    <s v="11.1.01.1241"/>
    <s v="11.1.01.1240"/>
    <s v="SI"/>
    <m/>
  </r>
  <r>
    <n v="2053297"/>
    <m/>
    <m/>
    <e v="#N/A"/>
    <m/>
    <m/>
    <m/>
    <m/>
    <m/>
    <m/>
    <s v="H"/>
    <x v="1"/>
    <s v="ANGUS NEGRO"/>
    <s v="17 años 10 meses"/>
    <s v="15-03-2008"/>
    <s v="Vivo"/>
    <x v="1"/>
    <s v="11.1.01.0941"/>
    <s v="11.1.01.1241"/>
    <s v="SI"/>
    <m/>
  </r>
  <r>
    <n v="2054864"/>
    <m/>
    <m/>
    <e v="#N/A"/>
    <m/>
    <m/>
    <m/>
    <m/>
    <m/>
    <m/>
    <s v="M"/>
    <x v="0"/>
    <s v="ANGUS NEGRO"/>
    <s v="18 años 3 meses"/>
    <s v="15-10-2007"/>
    <s v="Vivo"/>
    <x v="0"/>
    <s v="11.1.01.0290"/>
    <s v="11.1.01.0290"/>
    <s v="SI"/>
    <m/>
  </r>
  <r>
    <n v="2058325"/>
    <m/>
    <m/>
    <e v="#N/A"/>
    <m/>
    <m/>
    <m/>
    <m/>
    <m/>
    <m/>
    <s v="M"/>
    <x v="0"/>
    <s v="ANGUS NEGRO"/>
    <s v="18 años 3 meses"/>
    <s v="15-10-2007"/>
    <s v="Vivo"/>
    <x v="0"/>
    <s v="11.1.01.1081"/>
    <s v="11.1.01.1077"/>
    <s v="SI"/>
    <m/>
  </r>
  <r>
    <n v="2547912"/>
    <m/>
    <m/>
    <e v="#N/A"/>
    <d v="2020-11-09T00:00:00"/>
    <m/>
    <d v="2022-11-18T00:00:00"/>
    <d v="2023-11-10T00:00:00"/>
    <m/>
    <m/>
    <s v="M"/>
    <x v="2"/>
    <s v="ANGUS NEGRO"/>
    <s v="17 años 3 meses"/>
    <s v="30-09-2008"/>
    <s v="Vivo"/>
    <x v="0"/>
    <s v="Sin Movimiento"/>
    <s v="11.1.01.1241"/>
    <s v="SI"/>
    <m/>
  </r>
  <r>
    <n v="2547943"/>
    <m/>
    <m/>
    <e v="#N/A"/>
    <m/>
    <m/>
    <m/>
    <m/>
    <m/>
    <m/>
    <s v="H"/>
    <x v="1"/>
    <s v="HEREFORD"/>
    <s v="17 años 1 meses"/>
    <s v="30-11-2008"/>
    <s v="Vivo"/>
    <x v="0"/>
    <s v="11.1.01.0791"/>
    <s v="11.1.01.1241"/>
    <s v="SI"/>
    <m/>
  </r>
  <r>
    <n v="2547949"/>
    <m/>
    <m/>
    <e v="#N/A"/>
    <d v="2020-11-09T00:00:00"/>
    <d v="2021-06-03T00:00:00"/>
    <m/>
    <m/>
    <m/>
    <m/>
    <s v="H"/>
    <x v="1"/>
    <s v="ANGUS NEGRO"/>
    <s v="17 años 1 meses"/>
    <s v="30-11-2008"/>
    <s v="Vivo"/>
    <x v="0"/>
    <s v="Sin Movimiento"/>
    <s v="11.1.01.1241"/>
    <s v="SI"/>
    <m/>
  </r>
  <r>
    <n v="2547954"/>
    <m/>
    <m/>
    <e v="#N/A"/>
    <m/>
    <m/>
    <m/>
    <m/>
    <m/>
    <m/>
    <s v="H"/>
    <x v="1"/>
    <s v="HEREFORD"/>
    <s v="17 años 3 meses"/>
    <s v="30-09-2008"/>
    <s v="Vivo"/>
    <x v="0"/>
    <s v="11.1.01.1081"/>
    <s v="11.1.01.1241"/>
    <s v="SI"/>
    <m/>
  </r>
  <r>
    <n v="2547991"/>
    <m/>
    <m/>
    <e v="#N/A"/>
    <d v="2020-06-03T00:00:00"/>
    <d v="2021-11-04T00:00:00"/>
    <d v="2022-11-03T00:00:00"/>
    <d v="2023-11-24T00:00:00"/>
    <m/>
    <m/>
    <s v="H"/>
    <x v="1"/>
    <s v="ANGUS ROJO"/>
    <s v="17 años 0 meses"/>
    <s v="30-12-2008"/>
    <s v="Vivo"/>
    <x v="0"/>
    <s v="11.1.01.0791"/>
    <s v="11.1.01.1241"/>
    <s v="SI"/>
    <m/>
  </r>
  <r>
    <n v="2548127"/>
    <m/>
    <m/>
    <e v="#N/A"/>
    <d v="2020-10-17T00:00:00"/>
    <m/>
    <m/>
    <m/>
    <m/>
    <m/>
    <s v="H"/>
    <x v="1"/>
    <s v="ANGUS NEGRO"/>
    <s v="17 años 3 meses"/>
    <s v="30-09-2008"/>
    <s v="Vivo"/>
    <x v="0"/>
    <s v="11.2.01.0038"/>
    <s v="11.1.01.1240"/>
    <s v="SI"/>
    <m/>
  </r>
  <r>
    <n v="2548143"/>
    <m/>
    <m/>
    <e v="#N/A"/>
    <d v="2020-11-09T00:00:00"/>
    <m/>
    <d v="2022-11-03T00:00:00"/>
    <m/>
    <m/>
    <m/>
    <s v="H"/>
    <x v="1"/>
    <s v="LIMOUSIN"/>
    <s v="17 años 2 meses"/>
    <s v="30-10-2008"/>
    <s v="Vivo"/>
    <x v="0"/>
    <s v="11.2.01.0038"/>
    <s v="11.1.01.1240"/>
    <s v="SI"/>
    <m/>
  </r>
  <r>
    <n v="3583874"/>
    <n v="2636134"/>
    <m/>
    <e v="#N/A"/>
    <m/>
    <d v="2021-06-03T00:00:00"/>
    <m/>
    <d v="2023-11-24T00:00:00"/>
    <m/>
    <m/>
    <s v="M"/>
    <x v="2"/>
    <s v="ANGUS NEGRO"/>
    <s v="7 años 4 meses"/>
    <s v="13-09-2018"/>
    <s v="Vivo"/>
    <x v="4"/>
    <s v="11.1.01.0893"/>
    <s v="11.1.01.0932"/>
    <s v="SI"/>
    <m/>
  </r>
  <r>
    <n v="6104909"/>
    <m/>
    <m/>
    <e v="#N/A"/>
    <m/>
    <d v="2021-11-04T00:00:00"/>
    <d v="2022-11-18T00:00:00"/>
    <d v="2023-11-24T00:00:00"/>
    <m/>
    <m/>
    <s v="M"/>
    <x v="2"/>
    <s v="ANGUS NEGRO"/>
    <s v="16 años 3 meses"/>
    <s v="30-09-2009"/>
    <s v="Vivo"/>
    <x v="0"/>
    <s v="Sin Movimiento"/>
    <s v="11.1.01.1241"/>
    <s v="SI"/>
    <m/>
  </r>
  <r>
    <n v="6104919"/>
    <m/>
    <m/>
    <e v="#N/A"/>
    <m/>
    <m/>
    <d v="2022-12-17T00:00:00"/>
    <d v="2023-06-13T00:00:00"/>
    <m/>
    <m/>
    <s v="M"/>
    <x v="2"/>
    <s v="OVERO NEGRO"/>
    <s v="15 años 9 meses"/>
    <s v="30-03-2010"/>
    <s v="Vivo"/>
    <x v="0"/>
    <s v="Sin Movimiento"/>
    <s v="11.1.01.1241"/>
    <s v="SI"/>
    <m/>
  </r>
  <r>
    <n v="6104921"/>
    <m/>
    <m/>
    <e v="#N/A"/>
    <m/>
    <m/>
    <d v="2022-11-03T00:00:00"/>
    <d v="2023-11-24T00:00:00"/>
    <m/>
    <m/>
    <s v="H"/>
    <x v="1"/>
    <s v="ANGUS ROJO"/>
    <s v="15 años 10 meses"/>
    <s v="28-02-2010"/>
    <s v="Vivo"/>
    <x v="0"/>
    <s v="Sin Movimiento"/>
    <s v="11.1.01.1241"/>
    <s v="SI"/>
    <m/>
  </r>
  <r>
    <n v="6104922"/>
    <m/>
    <m/>
    <e v="#N/A"/>
    <m/>
    <m/>
    <m/>
    <d v="2023-11-28T00:00:00"/>
    <m/>
    <m/>
    <s v="H"/>
    <x v="1"/>
    <s v="LIMOUSIN"/>
    <s v="16 años 1 meses"/>
    <s v="30-11-2009"/>
    <s v="Vivo"/>
    <x v="0"/>
    <s v="Sin Movimiento"/>
    <s v="11.1.01.1241"/>
    <s v="SI"/>
    <m/>
  </r>
  <r>
    <n v="6104945"/>
    <m/>
    <m/>
    <e v="#N/A"/>
    <m/>
    <m/>
    <d v="2022-11-03T00:00:00"/>
    <d v="2023-11-24T00:00:00"/>
    <m/>
    <m/>
    <s v="M"/>
    <x v="2"/>
    <s v="ANGUS NEGRO"/>
    <s v="16 años 0 meses"/>
    <s v="30-12-2009"/>
    <s v="Vivo"/>
    <x v="0"/>
    <s v="Sin Movimiento"/>
    <s v="11.1.01.1241"/>
    <s v="SI"/>
    <m/>
  </r>
  <r>
    <n v="6104947"/>
    <m/>
    <m/>
    <e v="#N/A"/>
    <m/>
    <m/>
    <d v="2022-12-17T00:00:00"/>
    <d v="2023-11-28T00:00:00"/>
    <m/>
    <m/>
    <s v="M"/>
    <x v="2"/>
    <s v="HEREFORD"/>
    <s v="16 años 2 meses"/>
    <s v="30-10-2009"/>
    <s v="Vivo"/>
    <x v="0"/>
    <s v="11.1.01.1081"/>
    <s v="11.1.01.1241"/>
    <s v="SI"/>
    <d v="2022-06-15T00:00:00"/>
  </r>
  <r>
    <n v="6104948"/>
    <m/>
    <m/>
    <e v="#N/A"/>
    <m/>
    <m/>
    <d v="2022-11-03T00:00:00"/>
    <d v="2023-11-23T00:00:00"/>
    <m/>
    <m/>
    <s v="H"/>
    <x v="1"/>
    <s v="ANGUS NEGRO"/>
    <s v="16 años 2 meses"/>
    <s v="30-10-2009"/>
    <s v="Vivo"/>
    <x v="0"/>
    <s v="11.1.01.0791"/>
    <s v="11.1.01.1241"/>
    <s v="SI"/>
    <m/>
  </r>
  <r>
    <n v="6104955"/>
    <m/>
    <m/>
    <e v="#N/A"/>
    <m/>
    <m/>
    <d v="2022-12-13T00:00:00"/>
    <d v="2023-12-04T00:00:00"/>
    <m/>
    <m/>
    <s v="H"/>
    <x v="1"/>
    <s v="ANGUS ROJO"/>
    <s v="16 años 2 meses"/>
    <s v="30-10-2009"/>
    <s v="Vivo"/>
    <x v="0"/>
    <s v="11.2.01.0038"/>
    <s v="11.1.01.1241"/>
    <s v="SI"/>
    <d v="2021-12-02T00:00:00"/>
  </r>
  <r>
    <n v="6104967"/>
    <m/>
    <m/>
    <e v="#N/A"/>
    <m/>
    <m/>
    <m/>
    <d v="2023-12-04T00:00:00"/>
    <m/>
    <m/>
    <s v="H"/>
    <x v="1"/>
    <s v="ANGUS NEGRO"/>
    <s v="16 años 2 meses"/>
    <s v="30-10-2009"/>
    <s v="Vivo"/>
    <x v="0"/>
    <s v="11.1.01.0791"/>
    <s v="11.1.01.1241"/>
    <s v="SI"/>
    <d v="2022-11-29T00:00:00"/>
  </r>
  <r>
    <n v="6104976"/>
    <m/>
    <m/>
    <e v="#N/A"/>
    <m/>
    <m/>
    <m/>
    <d v="2023-12-04T00:00:00"/>
    <m/>
    <m/>
    <s v="H"/>
    <x v="1"/>
    <s v="ANGUS NEGRO"/>
    <s v="16 años 3 meses"/>
    <s v="30-09-2009"/>
    <s v="Vivo"/>
    <x v="0"/>
    <s v="11.2.01.0038"/>
    <s v="11.1.01.1241"/>
    <s v="SI"/>
    <d v="2022-11-29T00:00:00"/>
  </r>
  <r>
    <n v="6104981"/>
    <m/>
    <m/>
    <e v="#N/A"/>
    <m/>
    <m/>
    <m/>
    <d v="2023-12-04T00:00:00"/>
    <m/>
    <m/>
    <s v="H"/>
    <x v="1"/>
    <s v="ANGUS NEGRO"/>
    <s v="16 años 3 meses"/>
    <s v="30-09-2009"/>
    <s v="Vivo"/>
    <x v="0"/>
    <s v="11.1.01.1022"/>
    <s v="11.1.01.1241"/>
    <s v="SI"/>
    <d v="2022-11-29T00:00:00"/>
  </r>
  <r>
    <n v="6105008"/>
    <m/>
    <m/>
    <e v="#N/A"/>
    <m/>
    <m/>
    <m/>
    <m/>
    <m/>
    <m/>
    <s v="H"/>
    <x v="1"/>
    <s v="ANGUS ROJO"/>
    <s v="16 años 4 meses"/>
    <s v="30-08-2009"/>
    <s v="Vivo"/>
    <x v="0"/>
    <s v="11.1.01.0791"/>
    <s v="11.1.01.1241"/>
    <s v="SI"/>
    <m/>
  </r>
  <r>
    <n v="6105013"/>
    <m/>
    <m/>
    <e v="#N/A"/>
    <m/>
    <m/>
    <d v="2022-12-28T00:00:00"/>
    <d v="2023-11-09T00:00:00"/>
    <m/>
    <m/>
    <s v="H"/>
    <x v="1"/>
    <s v="HEREFORD"/>
    <s v="16 años 4 meses"/>
    <s v="30-08-2009"/>
    <s v="Vivo"/>
    <x v="0"/>
    <s v="11.1.01.1081"/>
    <s v="11.1.01.1241"/>
    <s v="SI"/>
    <m/>
  </r>
  <r>
    <n v="6105018"/>
    <m/>
    <m/>
    <e v="#N/A"/>
    <m/>
    <m/>
    <m/>
    <d v="2023-06-13T00:00:00"/>
    <m/>
    <m/>
    <s v="H"/>
    <x v="1"/>
    <s v="ANGUS ROJO"/>
    <s v="16 años 3 meses"/>
    <s v="30-09-2009"/>
    <s v="Vivo"/>
    <x v="0"/>
    <s v="11.1.01.0791"/>
    <s v="11.1.01.1241"/>
    <s v="SI"/>
    <d v="2021-03-19T00:00:00"/>
  </r>
  <r>
    <n v="6105060"/>
    <m/>
    <m/>
    <e v="#N/A"/>
    <m/>
    <m/>
    <d v="2022-12-17T00:00:00"/>
    <d v="2023-11-10T00:00:00"/>
    <m/>
    <m/>
    <s v="H"/>
    <x v="1"/>
    <s v="OVERO COLORADO (CLAVEL ALEMAN)"/>
    <s v="16 años 1 meses"/>
    <s v="30-11-2009"/>
    <s v="Vivo"/>
    <x v="0"/>
    <s v="Sin Movimiento"/>
    <s v="11.1.01.1241"/>
    <s v="SI"/>
    <m/>
  </r>
  <r>
    <n v="6105085"/>
    <m/>
    <m/>
    <e v="#N/A"/>
    <m/>
    <m/>
    <d v="2022-11-03T00:00:00"/>
    <d v="2023-12-05T00:00:00"/>
    <m/>
    <m/>
    <s v="H"/>
    <x v="1"/>
    <s v="ANGUS NEGRO"/>
    <s v="16 años 1 meses"/>
    <s v="30-11-2009"/>
    <s v="Vivo"/>
    <x v="0"/>
    <s v="11.1.01.0791"/>
    <s v="11.1.01.1241"/>
    <s v="SI"/>
    <m/>
  </r>
  <r>
    <n v="6105098"/>
    <m/>
    <m/>
    <e v="#N/A"/>
    <m/>
    <m/>
    <d v="2022-11-03T00:00:00"/>
    <m/>
    <m/>
    <m/>
    <s v="H"/>
    <x v="1"/>
    <s v="OVERO NEGRO"/>
    <s v="16 años 2 meses"/>
    <s v="30-10-2009"/>
    <s v="Vivo"/>
    <x v="0"/>
    <s v="11.2.01.0038"/>
    <s v="11.1.01.1241"/>
    <s v="SI"/>
    <m/>
  </r>
  <r>
    <n v="6105132"/>
    <m/>
    <m/>
    <e v="#N/A"/>
    <m/>
    <m/>
    <m/>
    <d v="2023-06-13T00:00:00"/>
    <m/>
    <m/>
    <s v="M"/>
    <x v="2"/>
    <s v="HEREFORD"/>
    <s v="15 años 11 meses"/>
    <s v="30-01-2010"/>
    <s v="Vivo"/>
    <x v="0"/>
    <s v="Sin Movimiento"/>
    <s v="11.1.01.1241"/>
    <s v="SI"/>
    <m/>
  </r>
  <r>
    <n v="6105154"/>
    <m/>
    <m/>
    <e v="#N/A"/>
    <m/>
    <m/>
    <m/>
    <d v="2023-11-10T00:00:00"/>
    <m/>
    <m/>
    <s v="H"/>
    <x v="1"/>
    <s v="ANGUS ROJO"/>
    <s v="15 años 10 meses"/>
    <s v="28-02-2010"/>
    <s v="Vivo"/>
    <x v="3"/>
    <s v="11.1.01.1241"/>
    <s v="11.1.01.1241"/>
    <s v="SI"/>
    <m/>
  </r>
  <r>
    <n v="6105157"/>
    <m/>
    <m/>
    <e v="#N/A"/>
    <m/>
    <m/>
    <d v="2022-11-28T00:00:00"/>
    <d v="2023-11-10T00:00:00"/>
    <m/>
    <m/>
    <s v="H"/>
    <x v="1"/>
    <s v="OVERO NEGRO"/>
    <s v="15 años 8 meses"/>
    <s v="22-04-2010"/>
    <s v="Vivo"/>
    <x v="0"/>
    <s v="Sin Movimiento"/>
    <s v="11.1.01.1241"/>
    <s v="SI"/>
    <d v="2022-11-28T00:00:00"/>
  </r>
  <r>
    <n v="6105228"/>
    <m/>
    <m/>
    <e v="#N/A"/>
    <m/>
    <m/>
    <m/>
    <d v="2023-12-04T00:00:00"/>
    <m/>
    <m/>
    <s v="H"/>
    <x v="1"/>
    <s v="OVERO COLORADO (CLAVEL ALEMAN)"/>
    <s v="16 años 4 meses"/>
    <s v="30-08-2009"/>
    <s v="Vivo"/>
    <x v="3"/>
    <s v="11.1.01.1241"/>
    <s v="11.1.01.0790"/>
    <s v="SI"/>
    <m/>
  </r>
  <r>
    <n v="6105245"/>
    <m/>
    <m/>
    <e v="#N/A"/>
    <m/>
    <m/>
    <d v="2022-12-13T00:00:00"/>
    <d v="2023-12-05T00:00:00"/>
    <m/>
    <m/>
    <s v="H"/>
    <x v="1"/>
    <s v="LIMOUSIN"/>
    <s v="16 años 2 meses"/>
    <s v="30-10-2009"/>
    <s v="Vivo"/>
    <x v="0"/>
    <s v="Sin Movimiento"/>
    <s v="11.1.01.1241"/>
    <s v="SI"/>
    <m/>
  </r>
  <r>
    <n v="6105250"/>
    <m/>
    <m/>
    <e v="#N/A"/>
    <m/>
    <m/>
    <d v="2022-12-13T00:00:00"/>
    <d v="2023-12-05T00:00:00"/>
    <m/>
    <m/>
    <s v="H"/>
    <x v="1"/>
    <s v="HEREFORD"/>
    <s v="21 años 2 meses"/>
    <s v="30-10-2004"/>
    <s v="Vivo"/>
    <x v="0"/>
    <s v="Sin Movimiento"/>
    <s v="11.1.01.1241"/>
    <s v="SI"/>
    <m/>
  </r>
  <r>
    <n v="6105268"/>
    <m/>
    <m/>
    <e v="#N/A"/>
    <m/>
    <m/>
    <d v="2022-12-13T00:00:00"/>
    <d v="2023-12-05T00:00:00"/>
    <m/>
    <m/>
    <s v="H"/>
    <x v="1"/>
    <s v="POLLED HEREFORD"/>
    <s v="21 años 0 meses"/>
    <s v="15-01-2005"/>
    <s v="Vivo"/>
    <x v="0"/>
    <s v="11.1.01.1241"/>
    <s v="11.1.01.0791"/>
    <s v="SI"/>
    <m/>
  </r>
  <r>
    <n v="6109946"/>
    <m/>
    <m/>
    <e v="#N/A"/>
    <m/>
    <d v="2021-10-21T00:00:00"/>
    <d v="2022-11-02T00:00:00"/>
    <d v="2023-11-10T00:00:00"/>
    <m/>
    <m/>
    <s v="M"/>
    <x v="2"/>
    <s v="ANGUS NEGRO"/>
    <s v="16 años 3 meses"/>
    <s v="15-10-2009"/>
    <s v="Vivo"/>
    <x v="0"/>
    <s v="11.1.01.0290"/>
    <s v="11.1.01.0290"/>
    <s v="SI"/>
    <m/>
  </r>
  <r>
    <n v="6154783"/>
    <m/>
    <m/>
    <e v="#N/A"/>
    <m/>
    <d v="2021-07-08T00:00:00"/>
    <d v="2022-11-02T00:00:00"/>
    <d v="2023-11-24T00:00:00"/>
    <m/>
    <m/>
    <s v="H"/>
    <x v="1"/>
    <s v="HEREFORD"/>
    <s v="15 años 0 meses"/>
    <s v="30-12-2010"/>
    <s v="Vivo"/>
    <x v="2"/>
    <s v="11.1.01.0790"/>
    <s v="11.1.01.1241"/>
    <s v="SI"/>
    <m/>
  </r>
  <r>
    <n v="6154853"/>
    <m/>
    <m/>
    <e v="#N/A"/>
    <m/>
    <d v="2021-10-21T00:00:00"/>
    <d v="2022-12-17T00:00:00"/>
    <d v="2023-11-23T00:00:00"/>
    <m/>
    <m/>
    <s v="H"/>
    <x v="1"/>
    <s v="ANGUS ROJO"/>
    <s v="15 años 3 meses"/>
    <s v="30-09-2010"/>
    <s v="Vivo"/>
    <x v="0"/>
    <s v="11.2.01.0053"/>
    <s v="11.1.01.1241"/>
    <s v="SI"/>
    <m/>
  </r>
  <r>
    <n v="6154866"/>
    <m/>
    <m/>
    <e v="#N/A"/>
    <m/>
    <d v="2021-07-08T00:00:00"/>
    <d v="2022-11-02T00:00:00"/>
    <d v="2023-11-23T00:00:00"/>
    <d v="2024-01-06T00:00:00"/>
    <m/>
    <s v="H"/>
    <x v="1"/>
    <s v="ANGUS NEGRO"/>
    <s v="15 años 3 meses"/>
    <s v="30-09-2010"/>
    <s v="Vivo"/>
    <x v="3"/>
    <s v="11.1.01.0893"/>
    <s v="11.1.01.1241"/>
    <s v="SI"/>
    <m/>
  </r>
  <r>
    <n v="6154874"/>
    <m/>
    <m/>
    <e v="#N/A"/>
    <m/>
    <d v="2021-10-21T00:00:00"/>
    <d v="2022-11-02T00:00:00"/>
    <d v="2023-11-28T00:00:00"/>
    <m/>
    <m/>
    <s v="H"/>
    <x v="1"/>
    <s v="ANGUS NEGRO"/>
    <s v="15 años 2 meses"/>
    <s v="30-10-2010"/>
    <s v="Vivo"/>
    <x v="0"/>
    <s v="11.1.01.1081"/>
    <s v="11.1.01.1241"/>
    <s v="SI"/>
    <m/>
  </r>
  <r>
    <n v="6154881"/>
    <m/>
    <m/>
    <e v="#N/A"/>
    <m/>
    <d v="2021-12-01T00:00:00"/>
    <d v="2022-11-03T00:00:00"/>
    <d v="2023-11-23T00:00:00"/>
    <m/>
    <m/>
    <s v="H"/>
    <x v="1"/>
    <s v="ANGUS NEGRO"/>
    <s v="15 años 3 meses"/>
    <s v="30-09-2010"/>
    <s v="Vivo"/>
    <x v="3"/>
    <s v="11.1.01.1241"/>
    <s v="11.1.01.1241"/>
    <s v="SI"/>
    <m/>
  </r>
  <r>
    <n v="6154893"/>
    <m/>
    <m/>
    <e v="#N/A"/>
    <m/>
    <d v="2021-10-21T00:00:00"/>
    <m/>
    <m/>
    <m/>
    <m/>
    <s v="H"/>
    <x v="1"/>
    <s v="LIMOUSIN"/>
    <s v="15 años 1 meses"/>
    <s v="30-11-2010"/>
    <s v="Vivo"/>
    <x v="0"/>
    <s v="11.2.01.0038"/>
    <s v="11.1.01.1241"/>
    <s v="SI"/>
    <m/>
  </r>
  <r>
    <n v="6154926"/>
    <m/>
    <m/>
    <e v="#N/A"/>
    <d v="2020-08-09T00:00:00"/>
    <d v="2021-07-08T00:00:00"/>
    <d v="2022-12-13T00:00:00"/>
    <d v="2023-12-05T00:00:00"/>
    <m/>
    <m/>
    <s v="M"/>
    <x v="2"/>
    <s v="OVERO COLORADO (CLAVEL ALEMAN)"/>
    <s v="15 años 3 meses"/>
    <s v="30-09-2010"/>
    <s v="Vivo"/>
    <x v="3"/>
    <s v="11.1.01.1241"/>
    <s v="11.1.01.1241"/>
    <s v="SI"/>
    <m/>
  </r>
  <r>
    <n v="6154936"/>
    <m/>
    <m/>
    <e v="#N/A"/>
    <m/>
    <d v="2021-10-21T00:00:00"/>
    <m/>
    <d v="2023-12-05T00:00:00"/>
    <m/>
    <m/>
    <s v="H"/>
    <x v="1"/>
    <s v="ANGUS NEGRO"/>
    <s v="15 años 2 meses"/>
    <s v="30-10-2010"/>
    <s v="Vivo"/>
    <x v="0"/>
    <s v="11.1.01.1081"/>
    <s v="11.1.01.1241"/>
    <s v="SI"/>
    <m/>
  </r>
  <r>
    <n v="6154944"/>
    <m/>
    <m/>
    <e v="#N/A"/>
    <m/>
    <d v="2021-07-08T00:00:00"/>
    <d v="2022-12-17T00:00:00"/>
    <d v="2023-11-23T00:00:00"/>
    <m/>
    <m/>
    <s v="H"/>
    <x v="1"/>
    <s v="ANGUS NEGRO"/>
    <s v="15 años 2 meses"/>
    <s v="30-10-2010"/>
    <s v="Vivo"/>
    <x v="0"/>
    <s v="11.1.01.1081"/>
    <s v="11.1.01.1241"/>
    <s v="SI"/>
    <m/>
  </r>
  <r>
    <n v="6154954"/>
    <m/>
    <m/>
    <e v="#N/A"/>
    <m/>
    <d v="2021-07-08T00:00:00"/>
    <d v="2022-11-02T00:00:00"/>
    <d v="2023-11-23T00:00:00"/>
    <m/>
    <m/>
    <s v="H"/>
    <x v="1"/>
    <s v="ANGUS NEGRO"/>
    <s v="15 años 2 meses"/>
    <s v="30-10-2010"/>
    <s v="Vivo"/>
    <x v="0"/>
    <s v="11.1.01.1081"/>
    <s v="11.1.01.1241"/>
    <s v="SI"/>
    <m/>
  </r>
  <r>
    <n v="6154956"/>
    <m/>
    <m/>
    <e v="#N/A"/>
    <m/>
    <d v="2021-10-21T00:00:00"/>
    <d v="2022-12-13T00:00:00"/>
    <d v="2023-11-23T00:00:00"/>
    <m/>
    <m/>
    <s v="H"/>
    <x v="1"/>
    <s v="ANGUS NEGRO"/>
    <s v="15 años 3 meses"/>
    <s v="30-09-2010"/>
    <s v="Vivo"/>
    <x v="3"/>
    <s v="11.1.01.1241"/>
    <s v="11.1.01.1241"/>
    <s v="SI"/>
    <m/>
  </r>
  <r>
    <n v="6154964"/>
    <m/>
    <m/>
    <e v="#N/A"/>
    <m/>
    <d v="2021-10-21T00:00:00"/>
    <d v="2022-12-13T00:00:00"/>
    <d v="2023-11-23T00:00:00"/>
    <m/>
    <m/>
    <s v="H"/>
    <x v="1"/>
    <s v="ANGUS NEGRO"/>
    <s v="15 años 3 meses"/>
    <s v="30-09-2010"/>
    <s v="Vivo"/>
    <x v="0"/>
    <s v="11.2.01.0038"/>
    <s v="11.1.01.1241"/>
    <s v="SI"/>
    <m/>
  </r>
  <r>
    <n v="6154982"/>
    <m/>
    <m/>
    <e v="#N/A"/>
    <m/>
    <d v="2021-07-08T00:00:00"/>
    <d v="2022-12-13T00:00:00"/>
    <d v="2023-12-05T00:00:00"/>
    <m/>
    <m/>
    <s v="H"/>
    <x v="1"/>
    <s v="LIMOUSIN"/>
    <s v="15 años 1 meses"/>
    <s v="30-11-2010"/>
    <s v="Vivo"/>
    <x v="3"/>
    <s v="11.2.01.0053"/>
    <s v="11.1.01.1241"/>
    <s v="SI"/>
    <m/>
  </r>
  <r>
    <n v="6155010"/>
    <m/>
    <m/>
    <e v="#N/A"/>
    <m/>
    <d v="2021-07-08T00:00:00"/>
    <d v="2022-11-02T00:00:00"/>
    <d v="2023-11-23T00:00:00"/>
    <m/>
    <m/>
    <s v="H"/>
    <x v="1"/>
    <s v="ANGUS ROJO"/>
    <s v="15 años 3 meses"/>
    <s v="30-09-2010"/>
    <s v="Vivo"/>
    <x v="3"/>
    <s v="11.2.01.0053"/>
    <s v="11.1.01.0790"/>
    <s v="SI"/>
    <m/>
  </r>
  <r>
    <n v="6155016"/>
    <m/>
    <m/>
    <e v="#N/A"/>
    <m/>
    <d v="2021-07-08T00:00:00"/>
    <d v="2022-12-13T00:00:00"/>
    <d v="2023-11-23T00:00:00"/>
    <m/>
    <m/>
    <s v="H"/>
    <x v="1"/>
    <s v="HEREFORD"/>
    <s v="15 años 3 meses"/>
    <s v="30-09-2010"/>
    <s v="Vivo"/>
    <x v="2"/>
    <s v="11.1.01.1241"/>
    <s v="11.1.01.0790"/>
    <s v="SI"/>
    <m/>
  </r>
  <r>
    <n v="6155019"/>
    <m/>
    <m/>
    <e v="#N/A"/>
    <m/>
    <d v="2021-07-08T00:00:00"/>
    <d v="2022-12-13T00:00:00"/>
    <d v="2023-11-23T00:00:00"/>
    <m/>
    <m/>
    <s v="H"/>
    <x v="1"/>
    <s v="OVERO COLORADO (CLAVEL ALEMAN)"/>
    <s v="15 años 3 meses"/>
    <s v="30-09-2010"/>
    <s v="Vivo"/>
    <x v="3"/>
    <s v="11.2.01.0053"/>
    <s v="11.1.01.0790"/>
    <s v="SI"/>
    <m/>
  </r>
  <r>
    <n v="6155024"/>
    <m/>
    <m/>
    <e v="#N/A"/>
    <m/>
    <d v="2021-10-21T00:00:00"/>
    <d v="2022-11-02T00:00:00"/>
    <m/>
    <m/>
    <m/>
    <s v="H"/>
    <x v="1"/>
    <s v="OVERO COLORADO (CLAVEL ALEMAN)"/>
    <s v="15 años 3 meses"/>
    <s v="30-09-2010"/>
    <s v="Vivo"/>
    <x v="3"/>
    <s v="11.2.01.0053"/>
    <s v="11.1.01.0790"/>
    <s v="SI"/>
    <m/>
  </r>
  <r>
    <n v="6155029"/>
    <m/>
    <m/>
    <e v="#N/A"/>
    <m/>
    <d v="2021-10-21T00:00:00"/>
    <d v="2022-12-13T00:00:00"/>
    <d v="2023-11-23T00:00:00"/>
    <m/>
    <m/>
    <s v="H"/>
    <x v="1"/>
    <s v="HEREFORD"/>
    <s v="15 años 0 meses"/>
    <s v="30-12-2010"/>
    <s v="Vivo"/>
    <x v="0"/>
    <s v="11.1.01.1081"/>
    <s v="11.1.01.0790"/>
    <s v="SI"/>
    <m/>
  </r>
  <r>
    <n v="6155037"/>
    <m/>
    <m/>
    <e v="#N/A"/>
    <m/>
    <d v="2021-10-21T00:00:00"/>
    <d v="2022-11-02T00:00:00"/>
    <d v="2023-11-28T00:00:00"/>
    <m/>
    <m/>
    <s v="H"/>
    <x v="1"/>
    <s v="OVERO COLORADO (CLAVEL ALEMAN)"/>
    <s v="15 años 3 meses"/>
    <s v="30-09-2010"/>
    <s v="Vivo"/>
    <x v="0"/>
    <s v="11.1.01.0893"/>
    <s v="11.1.01.0790"/>
    <s v="SI"/>
    <m/>
  </r>
  <r>
    <n v="6155038"/>
    <m/>
    <m/>
    <e v="#N/A"/>
    <m/>
    <d v="2021-07-08T00:00:00"/>
    <d v="2022-11-02T00:00:00"/>
    <d v="2023-11-23T00:00:00"/>
    <m/>
    <m/>
    <s v="H"/>
    <x v="1"/>
    <s v="ANGUS ROJO"/>
    <s v="15 años 3 meses"/>
    <s v="30-09-2010"/>
    <s v="Vivo"/>
    <x v="0"/>
    <s v="11.2.01.0038"/>
    <s v="11.1.01.0790"/>
    <s v="SI"/>
    <m/>
  </r>
  <r>
    <n v="6155049"/>
    <m/>
    <m/>
    <e v="#N/A"/>
    <m/>
    <d v="2021-10-21T00:00:00"/>
    <d v="2022-11-02T00:00:00"/>
    <d v="2023-06-13T00:00:00"/>
    <m/>
    <m/>
    <s v="H"/>
    <x v="1"/>
    <s v="HEREFORD"/>
    <s v="15 años 2 meses"/>
    <s v="30-10-2010"/>
    <s v="Vivo"/>
    <x v="3"/>
    <s v="11.2.01.0053"/>
    <s v="11.1.01.0790"/>
    <s v="SI"/>
    <m/>
  </r>
  <r>
    <n v="6155050"/>
    <m/>
    <m/>
    <e v="#N/A"/>
    <m/>
    <d v="2021-10-21T00:00:00"/>
    <d v="2022-12-17T00:00:00"/>
    <d v="2023-11-23T00:00:00"/>
    <m/>
    <m/>
    <s v="H"/>
    <x v="1"/>
    <s v="ANGUS NEGRO"/>
    <s v="15 años 2 meses"/>
    <s v="30-10-2010"/>
    <s v="Vivo"/>
    <x v="0"/>
    <s v="11.1.01.1081"/>
    <s v="11.1.01.1241"/>
    <s v="SI"/>
    <m/>
  </r>
  <r>
    <n v="6155054"/>
    <m/>
    <m/>
    <e v="#N/A"/>
    <m/>
    <d v="2021-10-21T00:00:00"/>
    <d v="2022-11-02T00:00:00"/>
    <d v="2023-12-05T00:00:00"/>
    <m/>
    <m/>
    <s v="M"/>
    <x v="2"/>
    <s v="ANGUS NEGRO"/>
    <s v="14 años 8 meses"/>
    <s v="30-04-2011"/>
    <s v="Vivo"/>
    <x v="0"/>
    <s v="Sin Movimiento"/>
    <s v="11.1.01.1241"/>
    <s v="SI"/>
    <m/>
  </r>
  <r>
    <n v="6155061"/>
    <m/>
    <m/>
    <e v="#N/A"/>
    <m/>
    <d v="2021-10-21T00:00:00"/>
    <d v="2022-11-02T00:00:00"/>
    <d v="2023-11-23T00:00:00"/>
    <m/>
    <m/>
    <s v="M"/>
    <x v="2"/>
    <s v="ANGUS ROJO"/>
    <s v="14 años 8 meses"/>
    <s v="15-05-2011"/>
    <s v="Vivo"/>
    <x v="0"/>
    <s v="Sin Movimiento"/>
    <s v="11.1.01.1241"/>
    <s v="SI"/>
    <m/>
  </r>
  <r>
    <n v="6155100"/>
    <m/>
    <m/>
    <e v="#N/A"/>
    <m/>
    <d v="2021-07-08T00:00:00"/>
    <m/>
    <m/>
    <m/>
    <m/>
    <s v="H"/>
    <x v="1"/>
    <s v="ANGUS NEGRO"/>
    <s v="14 años 4 meses"/>
    <s v="30-08-2011"/>
    <s v="Vivo"/>
    <x v="0"/>
    <s v="11.2.01.0053"/>
    <s v="11.1.01.1241"/>
    <s v="SI"/>
    <m/>
  </r>
  <r>
    <n v="6155107"/>
    <m/>
    <m/>
    <e v="#N/A"/>
    <m/>
    <d v="2021-10-21T00:00:00"/>
    <d v="2022-12-13T00:00:00"/>
    <d v="2023-11-23T00:00:00"/>
    <m/>
    <m/>
    <s v="M"/>
    <x v="2"/>
    <s v="OVERO COLORADO (CLAVEL ALEMAN)"/>
    <s v="14 años 4 meses"/>
    <s v="30-08-2011"/>
    <s v="Vivo"/>
    <x v="0"/>
    <s v="Sin Movimiento"/>
    <s v="11.1.01.1241"/>
    <s v="SI"/>
    <m/>
  </r>
  <r>
    <n v="6155109"/>
    <m/>
    <m/>
    <e v="#N/A"/>
    <m/>
    <d v="2021-07-08T00:00:00"/>
    <d v="2022-12-13T00:00:00"/>
    <d v="2023-12-05T00:00:00"/>
    <m/>
    <m/>
    <s v="H"/>
    <x v="1"/>
    <s v="OVERO COLORADO (CLAVEL ALEMAN)"/>
    <s v="14 años 3 meses"/>
    <s v="30-09-2011"/>
    <s v="Vivo"/>
    <x v="0"/>
    <s v="11.2.01.0053"/>
    <s v="11.1.01.1241"/>
    <s v="SI"/>
    <m/>
  </r>
  <r>
    <n v="6155115"/>
    <m/>
    <m/>
    <e v="#N/A"/>
    <m/>
    <d v="2021-10-21T00:00:00"/>
    <d v="2022-11-02T00:00:00"/>
    <d v="2023-11-28T00:00:00"/>
    <m/>
    <m/>
    <s v="M"/>
    <x v="2"/>
    <s v="HEREFORD"/>
    <s v="14 años 3 meses"/>
    <s v="30-09-2011"/>
    <s v="Vivo"/>
    <x v="0"/>
    <s v="Sin Movimiento"/>
    <s v="11.1.01.1241"/>
    <s v="SI"/>
    <m/>
  </r>
  <r>
    <n v="6155121"/>
    <m/>
    <m/>
    <e v="#N/A"/>
    <m/>
    <d v="2021-07-08T00:00:00"/>
    <d v="2022-12-13T00:00:00"/>
    <d v="2023-11-23T00:00:00"/>
    <m/>
    <m/>
    <s v="H"/>
    <x v="1"/>
    <s v="ANGUS NEGRO"/>
    <s v="14 años 2 meses"/>
    <s v="30-10-2011"/>
    <s v="Vivo"/>
    <x v="0"/>
    <s v="11.2.01.0038"/>
    <s v="11.1.01.1241"/>
    <s v="SI"/>
    <m/>
  </r>
  <r>
    <n v="6155127"/>
    <m/>
    <m/>
    <e v="#N/A"/>
    <m/>
    <d v="2021-07-08T00:00:00"/>
    <m/>
    <m/>
    <m/>
    <m/>
    <s v="M"/>
    <x v="2"/>
    <s v="ANGUS NEGRO"/>
    <s v="14 años 2 meses"/>
    <s v="30-10-2011"/>
    <s v="Vivo"/>
    <x v="0"/>
    <s v="Sin Movimiento"/>
    <s v="11.1.01.1241"/>
    <s v="SI"/>
    <m/>
  </r>
  <r>
    <n v="6155143"/>
    <m/>
    <m/>
    <e v="#N/A"/>
    <m/>
    <d v="2021-07-08T00:00:00"/>
    <m/>
    <m/>
    <m/>
    <m/>
    <s v="H"/>
    <x v="1"/>
    <s v="ANGUS NEGRO"/>
    <s v="14 años 2 meses"/>
    <s v="30-10-2011"/>
    <s v="Vivo"/>
    <x v="0"/>
    <s v="11.2.01.0053"/>
    <s v="11.1.01.1241"/>
    <s v="SI"/>
    <m/>
  </r>
  <r>
    <n v="6155146"/>
    <m/>
    <m/>
    <e v="#N/A"/>
    <m/>
    <d v="2021-10-21T00:00:00"/>
    <d v="2022-12-17T00:00:00"/>
    <d v="2023-11-10T00:00:00"/>
    <m/>
    <m/>
    <s v="H"/>
    <x v="1"/>
    <s v="OVERO COLORADO (CLAVEL ALEMAN)"/>
    <s v="14 años 2 meses"/>
    <s v="30-10-2011"/>
    <s v="Vivo"/>
    <x v="3"/>
    <s v="11.1.01.0791"/>
    <s v="11.1.01.1241"/>
    <s v="SI"/>
    <m/>
  </r>
  <r>
    <n v="6155159"/>
    <m/>
    <m/>
    <e v="#N/A"/>
    <m/>
    <d v="2021-10-21T00:00:00"/>
    <d v="2022-11-02T00:00:00"/>
    <d v="2023-06-13T00:00:00"/>
    <m/>
    <m/>
    <s v="M"/>
    <x v="2"/>
    <s v="ANGUS NEGRO"/>
    <s v="14 años 1 meses"/>
    <s v="30-11-2011"/>
    <s v="Vivo"/>
    <x v="0"/>
    <s v="11.1.01.1081"/>
    <s v="11.1.01.1241"/>
    <s v="SI"/>
    <m/>
  </r>
  <r>
    <n v="6165836"/>
    <m/>
    <m/>
    <e v="#N/A"/>
    <m/>
    <d v="2021-10-21T00:00:00"/>
    <d v="2022-12-13T00:00:00"/>
    <d v="2023-11-23T00:00:00"/>
    <m/>
    <m/>
    <s v="M"/>
    <x v="2"/>
    <s v="ANGUS NEGRO"/>
    <s v="15 años 3 meses"/>
    <s v="15-10-2010"/>
    <s v="Vivo"/>
    <x v="0"/>
    <s v="11.1.01.1081"/>
    <s v="11.1.01.0290"/>
    <s v="SI"/>
    <m/>
  </r>
  <r>
    <n v="6705798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8092013"/>
    <m/>
    <m/>
    <e v="#N/A"/>
    <d v="2020-10-31T00:00:00"/>
    <m/>
    <m/>
    <m/>
    <m/>
    <m/>
    <s v="H"/>
    <x v="1"/>
    <s v="OVERO COLORADO (CLAVEL ALEMAN)"/>
    <s v="14 años 0 meses"/>
    <s v="15-01-2012"/>
    <s v="Vivo"/>
    <x v="3"/>
    <s v="11.1.01.0791"/>
    <s v="11.1.01.1241"/>
    <s v="SI"/>
    <m/>
  </r>
  <r>
    <n v="8092016"/>
    <m/>
    <m/>
    <e v="#N/A"/>
    <d v="2020-10-29T00:00:00"/>
    <d v="2021-11-04T00:00:00"/>
    <m/>
    <m/>
    <m/>
    <m/>
    <s v="H"/>
    <x v="1"/>
    <s v="ANGUS ROJO"/>
    <s v="14 años 0 meses"/>
    <s v="15-01-2012"/>
    <s v="Vivo"/>
    <x v="0"/>
    <s v="11.2.01.0038"/>
    <s v="11.1.01.1241"/>
    <s v="SI"/>
    <m/>
  </r>
  <r>
    <n v="8092089"/>
    <m/>
    <m/>
    <e v="#N/A"/>
    <d v="2020-08-09T00:00:00"/>
    <d v="2021-07-08T00:00:00"/>
    <d v="2022-11-02T00:00:00"/>
    <d v="2023-11-23T00:00:00"/>
    <m/>
    <m/>
    <s v="H"/>
    <x v="1"/>
    <s v="ANGUS NEGRO"/>
    <s v="14 años 3 meses"/>
    <s v="30-09-2011"/>
    <s v="Vivo"/>
    <x v="0"/>
    <s v="11.2.01.0053"/>
    <s v="11.1.01.1241"/>
    <s v="SI"/>
    <m/>
  </r>
  <r>
    <n v="8092094"/>
    <m/>
    <m/>
    <e v="#N/A"/>
    <m/>
    <d v="2021-10-28T00:00:00"/>
    <d v="2022-12-17T00:00:00"/>
    <d v="2023-11-28T00:00:00"/>
    <m/>
    <m/>
    <s v="M"/>
    <x v="2"/>
    <s v="OVERO COLORADO (CLAVEL ALEMAN)"/>
    <s v="13 años 10 meses"/>
    <s v="28-02-2012"/>
    <s v="Vivo"/>
    <x v="0"/>
    <s v="Sin Movimiento"/>
    <s v="11.1.01.1241"/>
    <s v="SI"/>
    <m/>
  </r>
  <r>
    <n v="8092101"/>
    <m/>
    <m/>
    <e v="#N/A"/>
    <m/>
    <d v="2021-10-28T00:00:00"/>
    <d v="2022-12-17T00:00:00"/>
    <d v="2023-11-24T00:00:00"/>
    <m/>
    <m/>
    <s v="H"/>
    <x v="1"/>
    <s v="ANGUS NEGRO"/>
    <s v="14 años 2 meses"/>
    <s v="30-10-2011"/>
    <s v="Vivo"/>
    <x v="0"/>
    <s v="11.2.01.0038"/>
    <s v="11.1.01.1241"/>
    <s v="SI"/>
    <m/>
  </r>
  <r>
    <n v="8092107"/>
    <m/>
    <m/>
    <e v="#N/A"/>
    <m/>
    <d v="2021-10-28T00:00:00"/>
    <d v="2022-11-18T00:00:00"/>
    <d v="2023-11-24T00:00:00"/>
    <m/>
    <m/>
    <s v="H"/>
    <x v="1"/>
    <s v="ANGUS NEGRO"/>
    <s v="14 años 3 meses"/>
    <s v="30-09-2011"/>
    <s v="Vivo"/>
    <x v="0"/>
    <s v="11.2.01.0038"/>
    <s v="11.1.01.1241"/>
    <s v="SI"/>
    <m/>
  </r>
  <r>
    <n v="8092111"/>
    <m/>
    <m/>
    <e v="#N/A"/>
    <m/>
    <d v="2021-10-28T00:00:00"/>
    <d v="2022-12-17T00:00:00"/>
    <d v="2023-11-23T00:00:00"/>
    <m/>
    <m/>
    <s v="H"/>
    <x v="1"/>
    <s v="ANGUS ROJO"/>
    <s v="14 años 3 meses"/>
    <s v="30-09-2011"/>
    <s v="Vivo"/>
    <x v="3"/>
    <s v="11.1.01.0791"/>
    <s v="11.1.01.1241"/>
    <s v="SI"/>
    <m/>
  </r>
  <r>
    <n v="8092113"/>
    <m/>
    <m/>
    <e v="#N/A"/>
    <m/>
    <d v="2021-10-22T00:00:00"/>
    <m/>
    <m/>
    <m/>
    <m/>
    <s v="H"/>
    <x v="1"/>
    <s v="HEREFORD"/>
    <s v="14 años 2 meses"/>
    <s v="30-10-2011"/>
    <s v="Vivo"/>
    <x v="0"/>
    <s v="11.1.01.0791"/>
    <s v="11.1.01.1241"/>
    <s v="SI"/>
    <m/>
  </r>
  <r>
    <n v="8092114"/>
    <m/>
    <m/>
    <e v="#N/A"/>
    <m/>
    <d v="2021-10-28T00:00:00"/>
    <d v="2022-11-03T00:00:00"/>
    <d v="2023-11-28T00:00:00"/>
    <m/>
    <m/>
    <s v="H"/>
    <x v="1"/>
    <s v="ANGUS NEGRO"/>
    <s v="13 años 10 meses"/>
    <s v="28-02-2012"/>
    <s v="Vivo"/>
    <x v="3"/>
    <s v="11.1.01.0791"/>
    <s v="11.1.01.1241"/>
    <s v="SI"/>
    <m/>
  </r>
  <r>
    <n v="8092115"/>
    <m/>
    <m/>
    <e v="#N/A"/>
    <d v="2020-08-09T00:00:00"/>
    <d v="2021-07-08T00:00:00"/>
    <d v="2022-12-13T00:00:00"/>
    <d v="2023-12-05T00:00:00"/>
    <m/>
    <m/>
    <s v="H"/>
    <x v="1"/>
    <s v="ANGUS NEGRO"/>
    <s v="14 años 3 meses"/>
    <s v="30-09-2011"/>
    <s v="Vivo"/>
    <x v="0"/>
    <s v="11.2.01.0038"/>
    <s v="11.1.01.1241"/>
    <s v="SI"/>
    <m/>
  </r>
  <r>
    <n v="8092117"/>
    <m/>
    <m/>
    <e v="#N/A"/>
    <d v="2020-08-09T00:00:00"/>
    <d v="2021-07-08T00:00:00"/>
    <d v="2022-11-02T00:00:00"/>
    <d v="2023-11-23T00:00:00"/>
    <d v="2024-12-22T00:00:00"/>
    <d v="2025-11-05T00:00:00"/>
    <s v="H"/>
    <x v="1"/>
    <s v="ANGUS NEGRO"/>
    <s v="14 años 2 meses"/>
    <s v="30-10-2011"/>
    <s v="Vivo"/>
    <x v="6"/>
    <s v="11.1.01.1241"/>
    <s v="11.1.01.1241"/>
    <s v="SI"/>
    <m/>
  </r>
  <r>
    <n v="8092128"/>
    <m/>
    <m/>
    <e v="#N/A"/>
    <d v="2020-11-09T00:00:00"/>
    <d v="2021-11-04T00:00:00"/>
    <d v="2022-11-18T00:00:00"/>
    <d v="2023-11-23T00:00:00"/>
    <m/>
    <m/>
    <s v="H"/>
    <x v="1"/>
    <s v="OVERO COLORADO (CLAVEL ALEMAN)"/>
    <s v="14 años 2 meses"/>
    <s v="30-10-2011"/>
    <s v="Vivo"/>
    <x v="0"/>
    <s v="11.2.01.0038"/>
    <s v="11.1.01.1241"/>
    <s v="SI"/>
    <m/>
  </r>
  <r>
    <n v="8092171"/>
    <m/>
    <m/>
    <e v="#N/A"/>
    <d v="2020-11-09T00:00:00"/>
    <m/>
    <d v="2022-12-13T00:00:00"/>
    <d v="2023-12-05T00:00:00"/>
    <m/>
    <m/>
    <s v="H"/>
    <x v="1"/>
    <s v="OVERO COLORADO (CLAVEL ALEMAN)"/>
    <s v="14 años 2 meses"/>
    <s v="30-10-2011"/>
    <s v="Vivo"/>
    <x v="0"/>
    <s v="11.2.01.0053"/>
    <s v="11.1.01.1241"/>
    <s v="SI"/>
    <m/>
  </r>
  <r>
    <n v="8092178"/>
    <m/>
    <m/>
    <e v="#N/A"/>
    <d v="2020-11-09T00:00:00"/>
    <m/>
    <d v="2022-12-17T00:00:00"/>
    <d v="2023-11-28T00:00:00"/>
    <m/>
    <m/>
    <s v="H"/>
    <x v="1"/>
    <s v="OVERO COLORADO (CLAVEL ALEMAN)"/>
    <s v="13 años 11 meses"/>
    <s v="30-01-2012"/>
    <s v="Vivo"/>
    <x v="3"/>
    <s v="11.1.01.1241"/>
    <s v="11.1.01.1241"/>
    <s v="SI"/>
    <m/>
  </r>
  <r>
    <n v="8092235"/>
    <m/>
    <m/>
    <e v="#N/A"/>
    <m/>
    <d v="2021-10-20T00:00:00"/>
    <d v="2022-12-13T00:00:00"/>
    <d v="2023-12-05T00:00:00"/>
    <m/>
    <m/>
    <s v="H"/>
    <x v="1"/>
    <s v="HEREFORD"/>
    <s v="14 años 3 meses"/>
    <s v="30-09-2011"/>
    <s v="Vivo"/>
    <x v="0"/>
    <s v="11.1.01.1022"/>
    <s v="11.1.01.0790"/>
    <s v="SI"/>
    <m/>
  </r>
  <r>
    <n v="8092237"/>
    <m/>
    <m/>
    <e v="#N/A"/>
    <m/>
    <d v="2021-10-20T00:00:00"/>
    <d v="2022-05-27T00:00:00"/>
    <d v="2023-12-05T00:00:00"/>
    <m/>
    <m/>
    <s v="H"/>
    <x v="1"/>
    <s v="OVERO COLORADO (CLAVEL ALEMAN)"/>
    <s v="14 años 3 meses"/>
    <s v="30-09-2011"/>
    <s v="Vivo"/>
    <x v="0"/>
    <s v="11.1.01.0791"/>
    <s v="11.1.01.0790"/>
    <s v="SI"/>
    <m/>
  </r>
  <r>
    <n v="8092272"/>
    <m/>
    <m/>
    <e v="#N/A"/>
    <m/>
    <d v="2021-10-20T00:00:00"/>
    <d v="2022-05-27T00:00:00"/>
    <d v="2023-12-05T00:00:00"/>
    <m/>
    <m/>
    <s v="M"/>
    <x v="2"/>
    <s v="OVERO COLORADO (CLAVEL ALEMAN)"/>
    <s v="15 años 2 meses"/>
    <s v="30-10-2010"/>
    <s v="Vivo"/>
    <x v="0"/>
    <s v="11.2.01.2071"/>
    <s v="11.1.01.1241"/>
    <s v="SI"/>
    <m/>
  </r>
  <r>
    <n v="8092273"/>
    <m/>
    <m/>
    <e v="#N/A"/>
    <m/>
    <d v="2021-10-20T00:00:00"/>
    <d v="2022-05-27T00:00:00"/>
    <d v="2023-11-23T00:00:00"/>
    <m/>
    <m/>
    <s v="M"/>
    <x v="2"/>
    <s v="OVERO COLORADO (CLAVEL ALEMAN)"/>
    <s v="15 años 2 meses"/>
    <s v="30-10-2010"/>
    <s v="Vivo"/>
    <x v="0"/>
    <s v="11.2.01.2071"/>
    <s v="11.1.01.1241"/>
    <s v="SI"/>
    <m/>
  </r>
  <r>
    <n v="8092284"/>
    <m/>
    <m/>
    <e v="#N/A"/>
    <m/>
    <m/>
    <m/>
    <m/>
    <d v="2024-12-22T00:00:00"/>
    <m/>
    <s v="H"/>
    <x v="1"/>
    <s v="ANGUS ROJO"/>
    <s v="14 años 1 meses"/>
    <s v="30-11-2011"/>
    <s v="Vivo"/>
    <x v="0"/>
    <s v="11.2.01.0038"/>
    <s v="11.1.01.1241"/>
    <s v="SI"/>
    <m/>
  </r>
  <r>
    <n v="8092285"/>
    <m/>
    <m/>
    <e v="#N/A"/>
    <m/>
    <d v="2021-10-20T00:00:00"/>
    <d v="2022-12-13T00:00:00"/>
    <d v="2023-12-05T00:00:00"/>
    <m/>
    <m/>
    <s v="H"/>
    <x v="1"/>
    <s v="ANGUS NEGRO"/>
    <s v="14 años 1 meses"/>
    <s v="30-11-2011"/>
    <s v="Vivo"/>
    <x v="2"/>
    <s v="11.1.01.1241"/>
    <s v="11.1.01.1241"/>
    <s v="SI"/>
    <m/>
  </r>
  <r>
    <n v="8092291"/>
    <m/>
    <m/>
    <e v="#N/A"/>
    <m/>
    <d v="2021-10-20T00:00:00"/>
    <d v="2022-12-13T00:00:00"/>
    <d v="2023-12-05T00:00:00"/>
    <m/>
    <m/>
    <s v="H"/>
    <x v="1"/>
    <s v="OVERO COLORADO (CLAVEL ALEMAN)"/>
    <s v="13 años 9 meses"/>
    <s v="30-03-2012"/>
    <s v="Vivo"/>
    <x v="3"/>
    <s v="11.1.01.1241"/>
    <s v="11.1.01.1241"/>
    <s v="SI"/>
    <m/>
  </r>
  <r>
    <n v="8092294"/>
    <m/>
    <m/>
    <e v="#N/A"/>
    <m/>
    <m/>
    <m/>
    <m/>
    <m/>
    <m/>
    <s v="H"/>
    <x v="1"/>
    <s v="ANGUS NEGRO"/>
    <s v="13 años 11 meses"/>
    <s v="30-01-2012"/>
    <s v="Vivo"/>
    <x v="0"/>
    <s v="11.2.01.0038"/>
    <s v="11.1.01.1241"/>
    <s v="SI"/>
    <m/>
  </r>
  <r>
    <n v="8092295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8092298"/>
    <m/>
    <m/>
    <e v="#N/A"/>
    <m/>
    <d v="2021-10-20T00:00:00"/>
    <d v="2022-05-27T00:00:00"/>
    <d v="2023-12-05T00:00:00"/>
    <m/>
    <m/>
    <s v="no existe"/>
    <x v="3"/>
    <s v="no existe"/>
    <s v="no existe"/>
    <s v="no existe"/>
    <s v="no existe"/>
    <x v="5"/>
    <s v="no existe"/>
    <s v="no existe"/>
    <s v="no existe"/>
    <m/>
  </r>
  <r>
    <n v="8092299"/>
    <m/>
    <m/>
    <e v="#N/A"/>
    <m/>
    <d v="2021-10-20T00:00:00"/>
    <d v="2022-12-13T00:00:00"/>
    <d v="2023-12-05T00:00:00"/>
    <m/>
    <m/>
    <s v="M"/>
    <x v="0"/>
    <s v="ANGUS NEGRO"/>
    <s v="20 años 3 meses"/>
    <s v="15-10-2005"/>
    <s v="Vivo"/>
    <x v="0"/>
    <s v="11.2.01.2071"/>
    <s v="11.1.01.0290"/>
    <s v="SI"/>
    <m/>
  </r>
  <r>
    <n v="8092302"/>
    <m/>
    <m/>
    <e v="#N/A"/>
    <m/>
    <d v="2021-10-20T00:00:00"/>
    <d v="2022-05-27T00:00:00"/>
    <d v="2023-10-21T00:00:00"/>
    <m/>
    <m/>
    <s v="H"/>
    <x v="1"/>
    <s v="OVERO COLORADO (CLAVEL ALEMAN)"/>
    <s v="14 años 2 meses"/>
    <s v="30-10-2011"/>
    <s v="Vivo"/>
    <x v="3"/>
    <s v="11.1.01.0791"/>
    <s v="11.1.01.0790"/>
    <s v="SI"/>
    <m/>
  </r>
  <r>
    <n v="8092316"/>
    <m/>
    <m/>
    <e v="#N/A"/>
    <m/>
    <d v="2021-10-20T00:00:00"/>
    <d v="2022-05-27T00:00:00"/>
    <d v="2023-12-05T00:00:00"/>
    <m/>
    <m/>
    <s v="H"/>
    <x v="1"/>
    <s v="OVERO COLORADO (CLAVEL ALEMAN)"/>
    <s v="14 años 2 meses"/>
    <s v="30-10-2011"/>
    <s v="Vivo"/>
    <x v="3"/>
    <s v="11.1.01.0791"/>
    <s v="11.1.01.1241"/>
    <s v="SI"/>
    <m/>
  </r>
  <r>
    <n v="8092320"/>
    <m/>
    <m/>
    <e v="#N/A"/>
    <m/>
    <d v="2021-10-20T00:00:00"/>
    <d v="2022-05-27T00:00:00"/>
    <d v="2023-11-23T00:00:00"/>
    <m/>
    <m/>
    <s v="H"/>
    <x v="1"/>
    <s v="ANGUS ROJO"/>
    <s v="14 años 2 meses"/>
    <s v="30-10-2011"/>
    <s v="Vivo"/>
    <x v="3"/>
    <s v="11.1.01.0791"/>
    <s v="11.1.01.1241"/>
    <s v="SI"/>
    <m/>
  </r>
  <r>
    <n v="8092327"/>
    <m/>
    <m/>
    <e v="#N/A"/>
    <m/>
    <d v="2021-10-20T00:00:00"/>
    <d v="2022-05-27T00:00:00"/>
    <d v="2023-12-05T00:00:00"/>
    <m/>
    <m/>
    <s v="H"/>
    <x v="1"/>
    <s v="ANGUS NEGRO"/>
    <s v="14 años 2 meses"/>
    <s v="30-10-2011"/>
    <s v="Vivo"/>
    <x v="3"/>
    <s v="11.1.01.0791"/>
    <s v="11.1.01.1241"/>
    <s v="SI"/>
    <m/>
  </r>
  <r>
    <n v="8092334"/>
    <m/>
    <m/>
    <e v="#N/A"/>
    <m/>
    <m/>
    <m/>
    <m/>
    <m/>
    <m/>
    <s v="H"/>
    <x v="1"/>
    <s v="HEREFORD"/>
    <s v="14 años 3 meses"/>
    <s v="30-09-2011"/>
    <s v="Vivo"/>
    <x v="3"/>
    <s v="11.1.01.0791"/>
    <s v="11.1.01.0790"/>
    <s v="SI"/>
    <m/>
  </r>
  <r>
    <n v="8092335"/>
    <m/>
    <m/>
    <e v="#N/A"/>
    <m/>
    <d v="2021-10-20T00:00:00"/>
    <d v="2022-05-27T00:00:00"/>
    <d v="2023-10-21T00:00:00"/>
    <m/>
    <m/>
    <s v="H"/>
    <x v="1"/>
    <s v="HEREFORD"/>
    <s v="14 años 3 meses"/>
    <s v="30-09-2011"/>
    <s v="Vivo"/>
    <x v="3"/>
    <s v="11.1.01.0791"/>
    <s v="11.1.01.1241"/>
    <s v="SI"/>
    <m/>
  </r>
  <r>
    <n v="8092336"/>
    <m/>
    <m/>
    <e v="#N/A"/>
    <m/>
    <d v="2021-10-20T00:00:00"/>
    <d v="2022-12-13T00:00:00"/>
    <d v="2023-12-05T00:00:00"/>
    <m/>
    <m/>
    <s v="H"/>
    <x v="1"/>
    <s v="ANGUS NEGRO"/>
    <s v="14 años 3 meses"/>
    <s v="30-09-2011"/>
    <s v="Vivo"/>
    <x v="3"/>
    <s v="11.1.01.0791"/>
    <s v="11.1.01.1241"/>
    <s v="SI"/>
    <m/>
  </r>
  <r>
    <n v="8092339"/>
    <m/>
    <m/>
    <e v="#N/A"/>
    <m/>
    <d v="2021-07-20T00:00:00"/>
    <m/>
    <m/>
    <m/>
    <m/>
    <s v="H"/>
    <x v="1"/>
    <s v="ANGUS NEGRO"/>
    <s v="14 años 1 meses"/>
    <s v="30-11-2011"/>
    <s v="Vivo"/>
    <x v="3"/>
    <s v="11.1.01.0791"/>
    <s v="11.1.01.1241"/>
    <s v="SI"/>
    <m/>
  </r>
  <r>
    <n v="8092345"/>
    <m/>
    <m/>
    <e v="#N/A"/>
    <m/>
    <d v="2021-07-20T00:00:00"/>
    <m/>
    <d v="2023-12-04T00:00:00"/>
    <m/>
    <m/>
    <s v="H"/>
    <x v="1"/>
    <s v="ANGUS ROJO"/>
    <s v="14 años 2 meses"/>
    <s v="30-10-2011"/>
    <s v="Vivo"/>
    <x v="3"/>
    <s v="11.1.01.0791"/>
    <s v="11.1.01.0790"/>
    <s v="SI"/>
    <m/>
  </r>
  <r>
    <n v="8092354"/>
    <m/>
    <m/>
    <e v="#N/A"/>
    <m/>
    <m/>
    <m/>
    <m/>
    <m/>
    <m/>
    <s v="H"/>
    <x v="1"/>
    <s v="ANGUS NEGRO"/>
    <s v="14 años 3 meses"/>
    <s v="30-09-2011"/>
    <s v="Vivo"/>
    <x v="3"/>
    <s v="11.1.01.1241"/>
    <s v="11.1.01.1241"/>
    <s v="SI"/>
    <m/>
  </r>
  <r>
    <n v="8092359"/>
    <m/>
    <m/>
    <e v="#N/A"/>
    <m/>
    <m/>
    <m/>
    <m/>
    <m/>
    <m/>
    <s v="H"/>
    <x v="1"/>
    <s v="ANGUS NEGRO"/>
    <s v="14 años 2 meses"/>
    <s v="30-10-2011"/>
    <s v="Vivo"/>
    <x v="0"/>
    <s v="11.1.01.1022"/>
    <s v="11.1.01.1241"/>
    <s v="SI"/>
    <m/>
  </r>
  <r>
    <n v="8092361"/>
    <m/>
    <m/>
    <e v="#N/A"/>
    <m/>
    <d v="2021-07-20T00:00:00"/>
    <m/>
    <d v="2023-12-04T00:00:00"/>
    <m/>
    <m/>
    <s v="H"/>
    <x v="1"/>
    <s v="HEREFORD"/>
    <s v="14 años 2 meses"/>
    <s v="30-10-2011"/>
    <s v="Vivo"/>
    <x v="3"/>
    <s v="11.1.01.0791"/>
    <s v="11.1.01.0790"/>
    <s v="SI"/>
    <m/>
  </r>
  <r>
    <n v="8092366"/>
    <m/>
    <m/>
    <e v="#N/A"/>
    <d v="2020-10-29T00:00:00"/>
    <d v="2021-11-04T00:00:00"/>
    <m/>
    <m/>
    <m/>
    <m/>
    <s v="H"/>
    <x v="1"/>
    <s v="ANGUS ROJO"/>
    <s v="14 años 3 meses"/>
    <s v="30-09-2011"/>
    <s v="Vivo"/>
    <x v="3"/>
    <s v="11.1.01.0791"/>
    <s v="11.1.01.0790"/>
    <s v="SI"/>
    <m/>
  </r>
  <r>
    <n v="8092367"/>
    <m/>
    <m/>
    <e v="#N/A"/>
    <m/>
    <m/>
    <m/>
    <m/>
    <m/>
    <m/>
    <s v="H"/>
    <x v="1"/>
    <s v="HEREFORD"/>
    <s v="14 años 3 meses"/>
    <s v="30-09-2011"/>
    <s v="Vivo"/>
    <x v="3"/>
    <s v="11.1.01.0791"/>
    <s v="11.1.01.0790"/>
    <s v="SI"/>
    <m/>
  </r>
  <r>
    <n v="8092370"/>
    <m/>
    <m/>
    <e v="#N/A"/>
    <m/>
    <m/>
    <m/>
    <m/>
    <m/>
    <m/>
    <s v="H"/>
    <x v="1"/>
    <s v="ANGUS ROJO"/>
    <s v="14 años 2 meses"/>
    <s v="30-10-2011"/>
    <s v="Vivo"/>
    <x v="3"/>
    <s v="11.1.01.0791"/>
    <s v="11.1.01.0790"/>
    <s v="SI"/>
    <m/>
  </r>
  <r>
    <n v="8092373"/>
    <m/>
    <m/>
    <e v="#N/A"/>
    <m/>
    <m/>
    <m/>
    <m/>
    <m/>
    <m/>
    <s v="H"/>
    <x v="1"/>
    <s v="ANGUS NEGRO"/>
    <s v="14 años 2 meses"/>
    <s v="30-10-2011"/>
    <s v="Vivo"/>
    <x v="3"/>
    <s v="11.1.01.0791"/>
    <s v="11.1.01.1241"/>
    <s v="SI"/>
    <m/>
  </r>
  <r>
    <n v="8092374"/>
    <m/>
    <m/>
    <e v="#N/A"/>
    <m/>
    <d v="2021-10-20T00:00:00"/>
    <d v="2022-05-27T00:00:00"/>
    <d v="2023-10-21T00:00:00"/>
    <m/>
    <m/>
    <s v="H"/>
    <x v="1"/>
    <s v="ANGUS NEGRO"/>
    <s v="14 años 2 meses"/>
    <s v="30-10-2011"/>
    <s v="Vivo"/>
    <x v="0"/>
    <s v="11.2.01.0053"/>
    <s v="11.1.01.1241"/>
    <s v="SI"/>
    <m/>
  </r>
  <r>
    <n v="8092375"/>
    <m/>
    <m/>
    <e v="#N/A"/>
    <m/>
    <d v="2021-10-20T00:00:00"/>
    <d v="2022-12-13T00:00:00"/>
    <d v="2023-11-23T00:00:00"/>
    <m/>
    <m/>
    <s v="H"/>
    <x v="1"/>
    <s v="OVERO COLORADO (CLAVEL ALEMAN)"/>
    <s v="14 años 3 meses"/>
    <s v="30-09-2011"/>
    <s v="Vivo"/>
    <x v="3"/>
    <s v="11.1.01.1241"/>
    <s v="11.1.01.0790"/>
    <s v="SI"/>
    <m/>
  </r>
  <r>
    <n v="8092376"/>
    <m/>
    <m/>
    <e v="#N/A"/>
    <m/>
    <d v="2021-10-20T00:00:00"/>
    <d v="2022-05-27T00:00:00"/>
    <d v="2023-11-23T00:00:00"/>
    <m/>
    <m/>
    <s v="H"/>
    <x v="1"/>
    <s v="ANGUS NEGRO"/>
    <s v="13 años 3 meses"/>
    <s v="15-10-2012"/>
    <s v="Vivo"/>
    <x v="3"/>
    <s v="11.1.01.0790"/>
    <s v="11.1.01.0790"/>
    <s v="SI"/>
    <m/>
  </r>
  <r>
    <n v="8092384"/>
    <m/>
    <m/>
    <e v="#N/A"/>
    <m/>
    <d v="2021-10-20T00:00:00"/>
    <d v="2022-05-27T00:00:00"/>
    <d v="2023-11-23T00:00:00"/>
    <m/>
    <m/>
    <s v="no existe"/>
    <x v="3"/>
    <s v="no existe"/>
    <s v="no existe"/>
    <s v="no existe"/>
    <s v="no existe"/>
    <x v="5"/>
    <s v="no existe"/>
    <s v="no existe"/>
    <s v="no existe"/>
    <m/>
  </r>
  <r>
    <n v="8093565"/>
    <m/>
    <m/>
    <e v="#N/A"/>
    <m/>
    <d v="2021-10-20T00:00:00"/>
    <d v="2022-05-27T00:00:00"/>
    <d v="2023-12-05T00:00:00"/>
    <m/>
    <m/>
    <s v="H"/>
    <x v="1"/>
    <s v="HEREFORD"/>
    <s v="14 años 2 meses"/>
    <s v="19-10-2011"/>
    <s v="Vivo"/>
    <x v="0"/>
    <s v="11.2.01.0038"/>
    <s v="11.4.02.0363"/>
    <s v="SI"/>
    <m/>
  </r>
  <r>
    <n v="8161606"/>
    <m/>
    <m/>
    <e v="#N/A"/>
    <m/>
    <m/>
    <m/>
    <m/>
    <m/>
    <m/>
    <s v="M"/>
    <x v="2"/>
    <s v="ANGUS NEGRO"/>
    <s v="14 años 2 meses"/>
    <s v="15-11-2011"/>
    <s v="Vivo"/>
    <x v="3"/>
    <s v="11.1.01.1081"/>
    <s v="11.1.01.0290"/>
    <s v="SI"/>
    <m/>
  </r>
  <r>
    <n v="8161641"/>
    <m/>
    <m/>
    <e v="#N/A"/>
    <m/>
    <d v="2021-10-20T00:00:00"/>
    <d v="2022-05-27T00:00:00"/>
    <d v="2023-12-05T00:00:00"/>
    <m/>
    <m/>
    <s v="M"/>
    <x v="2"/>
    <s v="ANGUS NEGRO"/>
    <s v="14 años 2 meses"/>
    <s v="15-11-2011"/>
    <s v="Vivo"/>
    <x v="0"/>
    <s v="11.2.01.0038"/>
    <s v="11.1.01.0290"/>
    <s v="SI"/>
    <m/>
  </r>
  <r>
    <n v="8199554"/>
    <m/>
    <m/>
    <e v="#N/A"/>
    <m/>
    <d v="2021-10-20T00:00:00"/>
    <d v="2022-12-13T00:00:00"/>
    <d v="2023-11-23T00:00:00"/>
    <m/>
    <m/>
    <s v="H"/>
    <x v="1"/>
    <s v="ANGUS NEGRO"/>
    <s v="18 años 3 meses"/>
    <s v="15-10-2007"/>
    <s v="Vivo"/>
    <x v="3"/>
    <s v="11.1.01.1241"/>
    <s v="11.1.01.0790"/>
    <s v="SI"/>
    <m/>
  </r>
  <r>
    <n v="8199979"/>
    <m/>
    <m/>
    <e v="#N/A"/>
    <m/>
    <d v="2021-10-20T00:00:00"/>
    <d v="2022-05-27T00:00:00"/>
    <d v="2023-11-23T00:00:00"/>
    <m/>
    <m/>
    <s v="M"/>
    <x v="2"/>
    <s v="CLAVEL CHILENO"/>
    <s v="12 años 2 meses"/>
    <s v="15-11-2013"/>
    <s v="Vivo"/>
    <x v="2"/>
    <s v="11.1.01.1187"/>
    <s v="11.1.01.1187"/>
    <s v="SI"/>
    <m/>
  </r>
  <r>
    <n v="8202197"/>
    <m/>
    <m/>
    <e v="#N/A"/>
    <m/>
    <d v="2021-10-20T00:00:00"/>
    <d v="2022-12-13T00:00:00"/>
    <d v="2023-12-05T00:00:00"/>
    <d v="2024-12-22T00:00:00"/>
    <d v="2025-11-04T00:00:00"/>
    <s v="H"/>
    <x v="1"/>
    <s v="ANGUS NEGRO"/>
    <s v="11 años 3 meses"/>
    <s v="15-10-2014"/>
    <s v="Vivo"/>
    <x v="7"/>
    <s v="11.1.01.0190"/>
    <s v="11.1.01.0893"/>
    <s v="SI"/>
    <m/>
  </r>
  <r>
    <n v="8392413"/>
    <m/>
    <m/>
    <e v="#N/A"/>
    <m/>
    <d v="2021-10-20T00:00:00"/>
    <d v="2022-12-13T00:00:00"/>
    <d v="2023-12-05T00:00:00"/>
    <m/>
    <m/>
    <s v="H"/>
    <x v="1"/>
    <s v="OVERO COLORADO (CLAVEL ALEMAN)"/>
    <s v="13 años 3 meses"/>
    <s v="15-10-2012"/>
    <s v="Vivo"/>
    <x v="3"/>
    <s v="11.1.01.1241"/>
    <s v="11.1.01.1241"/>
    <s v="SI"/>
    <m/>
  </r>
  <r>
    <n v="8392416"/>
    <m/>
    <m/>
    <e v="#N/A"/>
    <m/>
    <d v="2021-10-20T00:00:00"/>
    <d v="2022-05-27T00:00:00"/>
    <d v="2023-12-05T00:00:00"/>
    <m/>
    <m/>
    <s v="H"/>
    <x v="1"/>
    <s v="OVERO COLORADO (CLAVEL ALEMAN)"/>
    <s v="13 años 3 meses"/>
    <s v="30-09-2012"/>
    <s v="Vivo"/>
    <x v="0"/>
    <s v="11.1.01.0893"/>
    <s v="11.1.01.1241"/>
    <s v="SI"/>
    <m/>
  </r>
  <r>
    <n v="8392468"/>
    <m/>
    <m/>
    <e v="#N/A"/>
    <m/>
    <m/>
    <m/>
    <m/>
    <m/>
    <m/>
    <s v="H"/>
    <x v="1"/>
    <s v="HEREFORD"/>
    <s v="13 años 3 meses"/>
    <s v="30-09-2012"/>
    <s v="Vivo"/>
    <x v="0"/>
    <s v="11.1.01.0791"/>
    <s v="11.1.01.1241"/>
    <s v="SI"/>
    <m/>
  </r>
  <r>
    <n v="8392472"/>
    <m/>
    <m/>
    <e v="#N/A"/>
    <m/>
    <d v="2021-10-20T00:00:00"/>
    <d v="2022-12-13T00:00:00"/>
    <d v="2023-11-23T00:00:00"/>
    <m/>
    <m/>
    <s v="M"/>
    <x v="2"/>
    <s v="HEREFORD"/>
    <s v="13 años 3 meses"/>
    <s v="30-09-2012"/>
    <s v="Vivo"/>
    <x v="0"/>
    <s v="Sin Movimiento"/>
    <s v="11.1.01.1241"/>
    <s v="SI"/>
    <m/>
  </r>
  <r>
    <n v="8392476"/>
    <m/>
    <m/>
    <e v="#N/A"/>
    <m/>
    <d v="2021-10-20T00:00:00"/>
    <d v="2022-05-27T00:00:00"/>
    <d v="2023-12-05T00:00:00"/>
    <m/>
    <m/>
    <s v="H"/>
    <x v="1"/>
    <s v="HEREFORD"/>
    <s v="13 años 2 meses"/>
    <s v="05-11-2012"/>
    <s v="Vivo"/>
    <x v="3"/>
    <s v="11.1.01.1081"/>
    <s v="11.1.01.1241"/>
    <s v="SI"/>
    <m/>
  </r>
  <r>
    <n v="8392483"/>
    <m/>
    <m/>
    <e v="#N/A"/>
    <m/>
    <d v="2021-10-20T00:00:00"/>
    <d v="2022-05-27T00:00:00"/>
    <d v="2023-12-05T00:00:00"/>
    <m/>
    <m/>
    <s v="H"/>
    <x v="1"/>
    <s v="OVERO COLORADO (CLAVEL ALEMAN)"/>
    <s v="13 años 3 meses"/>
    <s v="30-09-2012"/>
    <s v="Vivo"/>
    <x v="2"/>
    <s v="11.1.01.1022"/>
    <s v="11.1.01.1241"/>
    <s v="SI"/>
    <m/>
  </r>
  <r>
    <n v="8392498"/>
    <m/>
    <m/>
    <e v="#N/A"/>
    <m/>
    <d v="2021-10-20T00:00:00"/>
    <d v="2022-12-13T00:00:00"/>
    <d v="2023-12-05T00:00:00"/>
    <m/>
    <m/>
    <s v="M"/>
    <x v="2"/>
    <s v="ANGUS NEGRO"/>
    <s v="13 años 3 meses"/>
    <s v="30-09-2012"/>
    <s v="Vivo"/>
    <x v="0"/>
    <s v="11.1.01.1081"/>
    <s v="11.1.01.1241"/>
    <s v="SI"/>
    <m/>
  </r>
  <r>
    <n v="8392502"/>
    <m/>
    <m/>
    <e v="#N/A"/>
    <m/>
    <d v="2021-10-20T00:00:00"/>
    <d v="2022-05-27T00:00:00"/>
    <d v="2023-12-05T00:00:00"/>
    <d v="2024-12-22T00:00:00"/>
    <d v="2025-01-14T00:00:00"/>
    <s v="H"/>
    <x v="1"/>
    <s v="ANGUS NEGRO"/>
    <s v="13 años 4 meses"/>
    <s v="30-08-2012"/>
    <s v="Vivo"/>
    <x v="6"/>
    <s v="11.1.01.1241"/>
    <s v="11.1.01.1241"/>
    <s v="SI"/>
    <m/>
  </r>
  <r>
    <n v="8392507"/>
    <m/>
    <m/>
    <e v="#N/A"/>
    <m/>
    <d v="2021-10-20T00:00:00"/>
    <d v="2022-05-27T00:00:00"/>
    <d v="2023-12-05T00:00:00"/>
    <m/>
    <m/>
    <s v="H"/>
    <x v="1"/>
    <s v="HEREFORD"/>
    <s v="13 años 4 meses"/>
    <s v="30-08-2012"/>
    <s v="Vivo"/>
    <x v="3"/>
    <s v="11.1.01.1081"/>
    <s v="11.1.01.1241"/>
    <s v="SI"/>
    <m/>
  </r>
  <r>
    <n v="8392511"/>
    <m/>
    <m/>
    <e v="#N/A"/>
    <m/>
    <d v="2021-10-20T00:00:00"/>
    <d v="2022-05-27T00:00:00"/>
    <d v="2023-12-05T00:00:00"/>
    <m/>
    <m/>
    <s v="H"/>
    <x v="1"/>
    <s v="ANGUS NEGRO"/>
    <s v="13 años 3 meses"/>
    <s v="30-09-2012"/>
    <s v="Vivo"/>
    <x v="3"/>
    <s v="11.1.01.1241"/>
    <s v="11.1.01.1241"/>
    <s v="SI"/>
    <m/>
  </r>
  <r>
    <n v="8392525"/>
    <m/>
    <m/>
    <e v="#N/A"/>
    <m/>
    <d v="2021-10-20T00:00:00"/>
    <d v="2022-12-13T00:00:00"/>
    <d v="2023-12-05T00:00:00"/>
    <m/>
    <m/>
    <s v="H"/>
    <x v="1"/>
    <s v="ANGUS ROJO"/>
    <s v="13 años 4 meses"/>
    <s v="30-08-2012"/>
    <s v="Vivo"/>
    <x v="0"/>
    <s v="11.1.01.0791"/>
    <s v="11.1.01.1241"/>
    <s v="SI"/>
    <m/>
  </r>
  <r>
    <n v="8392537"/>
    <m/>
    <m/>
    <e v="#N/A"/>
    <m/>
    <d v="2021-10-20T00:00:00"/>
    <d v="2022-05-27T00:00:00"/>
    <d v="2023-12-05T00:00:00"/>
    <m/>
    <m/>
    <s v="H"/>
    <x v="1"/>
    <s v="ANGUS NEGRO"/>
    <s v="13 años 2 meses"/>
    <s v="30-10-2012"/>
    <s v="Vivo"/>
    <x v="0"/>
    <s v="11.2.01.0038"/>
    <s v="11.1.01.1241"/>
    <s v="SI"/>
    <m/>
  </r>
  <r>
    <n v="8392540"/>
    <m/>
    <m/>
    <e v="#N/A"/>
    <m/>
    <d v="2021-10-20T00:00:00"/>
    <d v="2022-05-27T00:00:00"/>
    <d v="2023-12-05T00:00:00"/>
    <m/>
    <m/>
    <s v="H"/>
    <x v="1"/>
    <s v="ANGUS ROJO"/>
    <s v="13 años 2 meses"/>
    <s v="30-10-2012"/>
    <s v="Vivo"/>
    <x v="0"/>
    <s v="11.1.01.1081"/>
    <s v="11.1.01.1241"/>
    <s v="SI"/>
    <m/>
  </r>
  <r>
    <n v="8392547"/>
    <m/>
    <m/>
    <e v="#N/A"/>
    <m/>
    <d v="2021-10-20T00:00:00"/>
    <d v="2022-05-27T00:00:00"/>
    <d v="2023-12-05T00:00:00"/>
    <m/>
    <m/>
    <s v="H"/>
    <x v="1"/>
    <s v="ANGUS NEGRO"/>
    <s v="13 años 2 meses"/>
    <s v="05-11-2012"/>
    <s v="Vivo"/>
    <x v="3"/>
    <s v="11.1.01.1081"/>
    <s v="11.1.01.1241"/>
    <s v="SI"/>
    <m/>
  </r>
  <r>
    <n v="8392549"/>
    <m/>
    <m/>
    <e v="#N/A"/>
    <m/>
    <m/>
    <m/>
    <m/>
    <m/>
    <m/>
    <s v="H"/>
    <x v="1"/>
    <s v="ANGUS NEGRO"/>
    <s v="13 años 2 meses"/>
    <s v="30-10-2012"/>
    <s v="Vivo"/>
    <x v="3"/>
    <s v="11.1.01.1081"/>
    <s v="11.1.01.1241"/>
    <s v="SI"/>
    <m/>
  </r>
  <r>
    <n v="8392555"/>
    <m/>
    <m/>
    <e v="#N/A"/>
    <m/>
    <d v="2021-10-20T00:00:00"/>
    <d v="2022-05-27T00:00:00"/>
    <d v="2023-12-05T00:00:00"/>
    <m/>
    <m/>
    <s v="H"/>
    <x v="1"/>
    <s v="HEREFORD"/>
    <s v="13 años 2 meses"/>
    <s v="30-10-2012"/>
    <s v="Vivo"/>
    <x v="0"/>
    <s v="11.1.01.0791"/>
    <s v="11.1.01.1241"/>
    <s v="SI"/>
    <m/>
  </r>
  <r>
    <n v="8392581"/>
    <m/>
    <m/>
    <e v="#N/A"/>
    <m/>
    <d v="2021-10-20T00:00:00"/>
    <d v="2022-05-27T00:00:00"/>
    <d v="2023-10-21T00:00:00"/>
    <m/>
    <m/>
    <s v="H"/>
    <x v="1"/>
    <s v="ANGUS NEGRO"/>
    <s v="13 años 3 meses"/>
    <s v="30-09-2012"/>
    <s v="Vivo"/>
    <x v="0"/>
    <s v="11.1.01.1022"/>
    <s v="11.1.01.1241"/>
    <s v="SI"/>
    <m/>
  </r>
  <r>
    <n v="8392585"/>
    <m/>
    <m/>
    <e v="#N/A"/>
    <m/>
    <d v="2021-10-20T00:00:00"/>
    <d v="2022-05-27T00:00:00"/>
    <d v="2023-10-21T00:00:00"/>
    <m/>
    <m/>
    <s v="M"/>
    <x v="2"/>
    <s v="ANGUS NEGRO"/>
    <s v="13 años 2 meses"/>
    <s v="30-10-2012"/>
    <s v="Vivo"/>
    <x v="3"/>
    <s v="11.1.01.1241"/>
    <s v="11.1.01.1241"/>
    <s v="SI"/>
    <m/>
  </r>
  <r>
    <n v="8392591"/>
    <m/>
    <m/>
    <e v="#N/A"/>
    <m/>
    <d v="2021-10-20T00:00:00"/>
    <d v="2022-05-27T00:00:00"/>
    <d v="2023-12-05T00:00:00"/>
    <m/>
    <m/>
    <s v="M"/>
    <x v="2"/>
    <s v="ANGUS NEGRO"/>
    <s v="13 años 2 meses"/>
    <s v="30-10-2012"/>
    <s v="Vivo"/>
    <x v="0"/>
    <s v="Sin Movimiento"/>
    <s v="11.1.01.1241"/>
    <s v="SI"/>
    <m/>
  </r>
  <r>
    <n v="8392596"/>
    <m/>
    <m/>
    <e v="#N/A"/>
    <m/>
    <d v="2021-10-20T00:00:00"/>
    <d v="2022-12-13T00:00:00"/>
    <d v="2023-11-23T00:00:00"/>
    <m/>
    <m/>
    <s v="H"/>
    <x v="1"/>
    <s v="ANGUS ROJO"/>
    <s v="13 años 2 meses"/>
    <s v="30-10-2012"/>
    <s v="Vivo"/>
    <x v="0"/>
    <s v="11.1.01.0791"/>
    <s v="11.1.01.1241"/>
    <s v="SI"/>
    <m/>
  </r>
  <r>
    <n v="8392634"/>
    <m/>
    <m/>
    <e v="#N/A"/>
    <d v="2020-11-04T00:00:00"/>
    <d v="2021-07-08T00:00:00"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8392641"/>
    <m/>
    <m/>
    <e v="#N/A"/>
    <m/>
    <d v="2021-10-20T00:00:00"/>
    <d v="2022-05-27T00:00:00"/>
    <d v="2023-12-05T00:00:00"/>
    <m/>
    <m/>
    <s v="M"/>
    <x v="2"/>
    <s v="ANGUS NEGRO"/>
    <s v="13 años 0 meses"/>
    <s v="30-12-2012"/>
    <s v="Vivo"/>
    <x v="0"/>
    <s v="11.1.01.0790"/>
    <s v="11.1.01.0790"/>
    <s v="SI"/>
    <m/>
  </r>
  <r>
    <n v="8392652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8392660"/>
    <m/>
    <m/>
    <e v="#N/A"/>
    <m/>
    <d v="2021-10-20T00:00:00"/>
    <d v="2022-05-27T00:00:00"/>
    <d v="2023-12-05T00:00:00"/>
    <m/>
    <m/>
    <s v="M"/>
    <x v="2"/>
    <s v="OVERO COLORADO (CLAVEL ALEMAN)"/>
    <s v="13 años 4 meses"/>
    <s v="30-08-2012"/>
    <s v="Vivo"/>
    <x v="0"/>
    <s v="11.1.01.0790"/>
    <s v="11.1.01.0790"/>
    <s v="SI"/>
    <m/>
  </r>
  <r>
    <n v="8392739"/>
    <m/>
    <m/>
    <e v="#N/A"/>
    <m/>
    <d v="2021-10-20T00:00:00"/>
    <d v="2022-05-27T00:00:00"/>
    <d v="2023-12-05T00:00:00"/>
    <m/>
    <m/>
    <s v="H"/>
    <x v="1"/>
    <s v="ANGUS NEGRO"/>
    <s v="12 años 11 meses"/>
    <s v="28-01-2013"/>
    <s v="Vivo"/>
    <x v="0"/>
    <s v="11.2.01.0038"/>
    <s v="11.1.01.0790"/>
    <s v="SI"/>
    <m/>
  </r>
  <r>
    <n v="8392740"/>
    <m/>
    <m/>
    <e v="#N/A"/>
    <m/>
    <d v="2021-10-20T00:00:00"/>
    <d v="2022-05-27T00:00:00"/>
    <d v="2023-12-05T00:00:00"/>
    <m/>
    <m/>
    <s v="H"/>
    <x v="1"/>
    <s v="ANGUS ROJO"/>
    <s v="12 años 11 meses"/>
    <s v="28-01-2013"/>
    <s v="Vivo"/>
    <x v="0"/>
    <s v="11.2.01.0038"/>
    <s v="11.1.01.0790"/>
    <s v="SI"/>
    <m/>
  </r>
  <r>
    <n v="8392762"/>
    <m/>
    <m/>
    <e v="#N/A"/>
    <m/>
    <d v="2021-10-20T00:00:00"/>
    <d v="2022-05-27T00:00:00"/>
    <d v="2023-12-05T00:00:00"/>
    <m/>
    <m/>
    <s v="H"/>
    <x v="1"/>
    <s v="ANGUS NEGRO"/>
    <s v="12 años 11 meses"/>
    <s v="30-01-2013"/>
    <s v="Vivo"/>
    <x v="2"/>
    <s v="11.2.01.0038"/>
    <s v="11.1.01.1240"/>
    <s v="SI"/>
    <m/>
  </r>
  <r>
    <n v="8392777"/>
    <m/>
    <m/>
    <e v="#N/A"/>
    <m/>
    <d v="2021-10-20T00:00:00"/>
    <d v="2022-12-13T00:00:00"/>
    <d v="2023-11-23T00:00:00"/>
    <m/>
    <m/>
    <s v="H"/>
    <x v="1"/>
    <s v="ANGUS NEGRO"/>
    <s v="12 años 11 meses"/>
    <s v="30-01-2013"/>
    <s v="Vivo"/>
    <x v="3"/>
    <s v="11.1.01.0791"/>
    <s v="11.1.01.1240"/>
    <s v="SI"/>
    <m/>
  </r>
  <r>
    <n v="8392789"/>
    <m/>
    <m/>
    <e v="#N/A"/>
    <m/>
    <m/>
    <m/>
    <m/>
    <m/>
    <m/>
    <s v="M"/>
    <x v="2"/>
    <s v="ANGUS NEGRO"/>
    <s v="12 años 11 meses"/>
    <s v="30-01-2013"/>
    <s v="Vivo"/>
    <x v="0"/>
    <s v="11.1.01.1081"/>
    <s v="11.1.01.1240"/>
    <s v="SI"/>
    <m/>
  </r>
  <r>
    <n v="8392809"/>
    <m/>
    <m/>
    <e v="#N/A"/>
    <m/>
    <d v="2021-10-28T00:00:00"/>
    <d v="2022-12-13T00:00:00"/>
    <d v="2023-12-05T00:00:00"/>
    <m/>
    <m/>
    <s v="H"/>
    <x v="1"/>
    <s v="ANGUS ROJO"/>
    <s v="12 años 11 meses"/>
    <s v="30-01-2013"/>
    <s v="Vivo"/>
    <x v="0"/>
    <s v="11.2.01.0038"/>
    <s v="11.1.01.1240"/>
    <s v="SI"/>
    <m/>
  </r>
  <r>
    <n v="8392824"/>
    <m/>
    <m/>
    <e v="#N/A"/>
    <m/>
    <d v="2021-10-20T00:00:00"/>
    <d v="2022-05-27T00:00:00"/>
    <d v="2023-12-05T00:00:00"/>
    <m/>
    <m/>
    <s v="M"/>
    <x v="2"/>
    <s v="ANGUS NEGRO"/>
    <s v="12 años 11 meses"/>
    <s v="30-01-2013"/>
    <s v="Vivo"/>
    <x v="0"/>
    <s v="11.2.01.0038"/>
    <s v="11.1.01.1240"/>
    <s v="SI"/>
    <m/>
  </r>
  <r>
    <n v="8392829"/>
    <m/>
    <m/>
    <e v="#N/A"/>
    <m/>
    <d v="2021-10-20T00:00:00"/>
    <d v="2022-05-27T00:00:00"/>
    <d v="2023-12-05T00:00:00"/>
    <m/>
    <m/>
    <s v="H"/>
    <x v="1"/>
    <s v="LIMOUSIN"/>
    <s v="12 años 11 meses"/>
    <s v="30-01-2013"/>
    <s v="Vivo"/>
    <x v="0"/>
    <s v="11.1.01.0791"/>
    <s v="11.1.01.1240"/>
    <s v="SI"/>
    <m/>
  </r>
  <r>
    <n v="8392844"/>
    <m/>
    <m/>
    <e v="#N/A"/>
    <m/>
    <d v="2021-10-20T00:00:00"/>
    <d v="2022-05-27T00:00:00"/>
    <d v="2023-12-05T00:00:00"/>
    <m/>
    <m/>
    <s v="H"/>
    <x v="1"/>
    <s v="ANGUS NEGRO"/>
    <s v="12 años 11 meses"/>
    <s v="30-01-2013"/>
    <s v="Vivo"/>
    <x v="0"/>
    <s v="11.2.01.0038"/>
    <s v="11.1.01.1240"/>
    <s v="SI"/>
    <m/>
  </r>
  <r>
    <n v="8392846"/>
    <m/>
    <m/>
    <e v="#N/A"/>
    <m/>
    <d v="2021-10-20T00:00:00"/>
    <d v="2022-12-13T00:00:00"/>
    <d v="2023-12-05T00:00:00"/>
    <m/>
    <m/>
    <s v="H"/>
    <x v="1"/>
    <s v="ANGUS ROJO"/>
    <s v="12 años 11 meses"/>
    <s v="30-01-2013"/>
    <s v="Vivo"/>
    <x v="0"/>
    <s v="11.1.01.0791"/>
    <s v="11.1.01.1240"/>
    <s v="SI"/>
    <m/>
  </r>
  <r>
    <n v="8392850"/>
    <m/>
    <m/>
    <e v="#N/A"/>
    <m/>
    <m/>
    <m/>
    <m/>
    <m/>
    <m/>
    <s v="H"/>
    <x v="1"/>
    <s v="ANGUS ROJO"/>
    <s v="12 años 11 meses"/>
    <s v="30-01-2013"/>
    <s v="Vivo"/>
    <x v="0"/>
    <s v="11.1.01.0791"/>
    <s v="11.1.01.1240"/>
    <s v="SI"/>
    <m/>
  </r>
  <r>
    <n v="8392854"/>
    <m/>
    <m/>
    <e v="#N/A"/>
    <m/>
    <m/>
    <m/>
    <m/>
    <m/>
    <m/>
    <s v="H"/>
    <x v="1"/>
    <s v="HEREFORD"/>
    <s v="12 años 11 meses"/>
    <s v="30-01-2013"/>
    <s v="Vivo"/>
    <x v="0"/>
    <s v="11.1.01.0791"/>
    <s v="11.1.01.1240"/>
    <s v="SI"/>
    <m/>
  </r>
  <r>
    <n v="8392857"/>
    <m/>
    <m/>
    <e v="#N/A"/>
    <m/>
    <m/>
    <m/>
    <m/>
    <m/>
    <m/>
    <s v="H"/>
    <x v="1"/>
    <s v="ANGUS NEGRO"/>
    <s v="12 años 11 meses"/>
    <s v="30-01-2013"/>
    <s v="Vivo"/>
    <x v="0"/>
    <s v="11.1.01.0791"/>
    <s v="11.1.01.1240"/>
    <s v="SI"/>
    <m/>
  </r>
  <r>
    <n v="8392860"/>
    <m/>
    <m/>
    <e v="#N/A"/>
    <m/>
    <d v="2021-07-20T00:00:00"/>
    <m/>
    <d v="2023-12-04T00:00:00"/>
    <m/>
    <m/>
    <s v="H"/>
    <x v="1"/>
    <s v="HEREFORD"/>
    <s v="12 años 11 meses"/>
    <s v="30-01-2013"/>
    <s v="Vivo"/>
    <x v="0"/>
    <s v="11.1.01.0791"/>
    <s v="11.1.01.1240"/>
    <s v="SI"/>
    <m/>
  </r>
  <r>
    <n v="8392871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8392906"/>
    <m/>
    <m/>
    <e v="#N/A"/>
    <m/>
    <m/>
    <m/>
    <d v="2023-12-04T00:00:00"/>
    <m/>
    <m/>
    <s v="M"/>
    <x v="2"/>
    <s v="ANGUS ROJO"/>
    <s v="12 años 2 meses"/>
    <s v="20-10-2013"/>
    <s v="Vivo"/>
    <x v="0"/>
    <s v="11.1.01.1081"/>
    <s v="11.1.01.1081"/>
    <s v="SI"/>
    <m/>
  </r>
  <r>
    <n v="8392909"/>
    <m/>
    <m/>
    <e v="#N/A"/>
    <m/>
    <m/>
    <m/>
    <m/>
    <m/>
    <m/>
    <s v="H"/>
    <x v="1"/>
    <s v="HEREFORD"/>
    <s v="12 años 2 meses"/>
    <s v="20-10-2013"/>
    <s v="Vivo"/>
    <x v="0"/>
    <s v="11.2.01.0038"/>
    <s v="11.1.01.1081"/>
    <s v="SI"/>
    <m/>
  </r>
  <r>
    <n v="8392912"/>
    <m/>
    <m/>
    <e v="#N/A"/>
    <m/>
    <m/>
    <m/>
    <m/>
    <m/>
    <m/>
    <s v="H"/>
    <x v="1"/>
    <s v="ANGUS NEGRO"/>
    <s v="12 años 2 meses"/>
    <s v="20-10-2013"/>
    <s v="Vivo"/>
    <x v="0"/>
    <s v="11.1.01.1081"/>
    <s v="11.1.01.1081"/>
    <s v="SI"/>
    <m/>
  </r>
  <r>
    <n v="8392913"/>
    <m/>
    <m/>
    <e v="#N/A"/>
    <m/>
    <m/>
    <m/>
    <d v="2023-06-23T00:00:00"/>
    <m/>
    <m/>
    <s v="H"/>
    <x v="1"/>
    <s v="ANGUS NEGRO"/>
    <s v="12 años 2 meses"/>
    <s v="20-10-2013"/>
    <s v="Vivo"/>
    <x v="0"/>
    <s v="11.1.01.1241"/>
    <s v="11.1.01.1081"/>
    <s v="SI"/>
    <m/>
  </r>
  <r>
    <n v="8392914"/>
    <m/>
    <m/>
    <e v="#N/A"/>
    <m/>
    <m/>
    <m/>
    <m/>
    <m/>
    <m/>
    <s v="M"/>
    <x v="2"/>
    <s v="ANGUS NEGRO"/>
    <s v="12 años 2 meses"/>
    <s v="20-10-2013"/>
    <s v="Vivo"/>
    <x v="0"/>
    <s v="11.1.01.1081"/>
    <s v="11.1.01.1081"/>
    <s v="SI"/>
    <m/>
  </r>
  <r>
    <n v="8392919"/>
    <m/>
    <m/>
    <e v="#N/A"/>
    <m/>
    <m/>
    <m/>
    <d v="2023-12-04T00:00:00"/>
    <m/>
    <m/>
    <s v="M"/>
    <x v="2"/>
    <s v="ANGUS NEGRO"/>
    <s v="12 años 2 meses"/>
    <s v="20-10-2013"/>
    <s v="Vivo"/>
    <x v="0"/>
    <s v="11.1.01.1081"/>
    <s v="11.1.01.1081"/>
    <s v="SI"/>
    <m/>
  </r>
  <r>
    <n v="8392921"/>
    <m/>
    <m/>
    <e v="#N/A"/>
    <m/>
    <d v="2021-10-20T00:00:00"/>
    <d v="2022-05-27T00:00:00"/>
    <d v="2023-12-05T00:00:00"/>
    <m/>
    <m/>
    <s v="M"/>
    <x v="2"/>
    <s v="ANGUS NEGRO"/>
    <s v="12 años 2 meses"/>
    <s v="20-10-2013"/>
    <s v="Vivo"/>
    <x v="0"/>
    <s v="11.1.01.1081"/>
    <s v="11.1.01.1081"/>
    <s v="SI"/>
    <m/>
  </r>
  <r>
    <n v="8392929"/>
    <m/>
    <m/>
    <e v="#N/A"/>
    <m/>
    <d v="2021-10-22T00:00:00"/>
    <m/>
    <d v="2023-12-05T00:00:00"/>
    <m/>
    <m/>
    <s v="M"/>
    <x v="2"/>
    <s v="ANGUS ROJO"/>
    <s v="12 años 2 meses"/>
    <s v="20-10-2013"/>
    <s v="Vivo"/>
    <x v="0"/>
    <s v="11.1.01.1081"/>
    <s v="11.1.01.1081"/>
    <s v="SI"/>
    <m/>
  </r>
  <r>
    <n v="8392930"/>
    <m/>
    <m/>
    <e v="#N/A"/>
    <m/>
    <d v="2021-10-22T00:00:00"/>
    <d v="2022-12-17T00:00:00"/>
    <d v="2023-11-10T00:00:00"/>
    <m/>
    <m/>
    <s v="M"/>
    <x v="2"/>
    <s v="HEREFORD"/>
    <s v="12 años 2 meses"/>
    <s v="20-10-2013"/>
    <s v="Vivo"/>
    <x v="0"/>
    <s v="11.1.01.1081"/>
    <s v="11.1.01.1081"/>
    <s v="SI"/>
    <m/>
  </r>
  <r>
    <n v="8392937"/>
    <m/>
    <m/>
    <e v="#N/A"/>
    <m/>
    <d v="2021-10-28T00:00:00"/>
    <d v="2022-11-02T00:00:00"/>
    <d v="2023-11-24T00:00:00"/>
    <m/>
    <m/>
    <s v="M"/>
    <x v="2"/>
    <s v="HEREFORD"/>
    <s v="12 años 2 meses"/>
    <s v="20-10-2013"/>
    <s v="Vivo"/>
    <x v="0"/>
    <s v="11.1.01.1081"/>
    <s v="11.1.01.1081"/>
    <s v="SI"/>
    <m/>
  </r>
  <r>
    <n v="8392939"/>
    <m/>
    <m/>
    <e v="#N/A"/>
    <m/>
    <d v="2021-10-22T00:00:00"/>
    <d v="2022-11-03T00:00:00"/>
    <d v="2023-11-23T00:00:00"/>
    <m/>
    <m/>
    <s v="H"/>
    <x v="1"/>
    <s v="ANGUS NEGRO"/>
    <s v="12 años 2 meses"/>
    <s v="20-10-2013"/>
    <s v="Vivo"/>
    <x v="2"/>
    <s v="11.1.01.1241"/>
    <s v="11.1.01.1081"/>
    <s v="SI"/>
    <m/>
  </r>
  <r>
    <n v="8392940"/>
    <m/>
    <m/>
    <e v="#N/A"/>
    <m/>
    <m/>
    <m/>
    <d v="2023-10-16T00:00:00"/>
    <m/>
    <m/>
    <s v="H"/>
    <x v="1"/>
    <s v="ANGUS NEGRO"/>
    <s v="12 años 2 meses"/>
    <s v="20-10-2013"/>
    <s v="Vivo"/>
    <x v="0"/>
    <s v="11.1.01.1241"/>
    <s v="11.1.01.1081"/>
    <s v="SI"/>
    <m/>
  </r>
  <r>
    <n v="8392941"/>
    <m/>
    <m/>
    <e v="#N/A"/>
    <m/>
    <m/>
    <m/>
    <d v="2023-06-13T00:00:00"/>
    <m/>
    <m/>
    <s v="M"/>
    <x v="2"/>
    <s v="ANGUS NEGRO"/>
    <s v="12 años 2 meses"/>
    <s v="20-10-2013"/>
    <s v="Vivo"/>
    <x v="0"/>
    <s v="11.1.01.1081"/>
    <s v="11.1.01.1081"/>
    <s v="SI"/>
    <m/>
  </r>
  <r>
    <n v="8392943"/>
    <m/>
    <m/>
    <e v="#N/A"/>
    <m/>
    <m/>
    <m/>
    <d v="2023-10-16T00:00:00"/>
    <m/>
    <m/>
    <s v="M"/>
    <x v="2"/>
    <s v="ANGUS ROJO"/>
    <s v="12 años 2 meses"/>
    <s v="20-10-2013"/>
    <s v="Vivo"/>
    <x v="0"/>
    <s v="11.1.01.1081"/>
    <s v="11.1.01.1081"/>
    <s v="SI"/>
    <m/>
  </r>
  <r>
    <n v="8392944"/>
    <m/>
    <m/>
    <e v="#N/A"/>
    <m/>
    <m/>
    <m/>
    <d v="2023-10-16T00:00:00"/>
    <m/>
    <m/>
    <s v="H"/>
    <x v="1"/>
    <s v="ANGUS ROJO"/>
    <s v="12 años 2 meses"/>
    <s v="20-10-2013"/>
    <s v="Vivo"/>
    <x v="0"/>
    <s v="11.1.01.1081"/>
    <s v="11.1.01.1081"/>
    <s v="SI"/>
    <m/>
  </r>
  <r>
    <n v="8392945"/>
    <m/>
    <m/>
    <e v="#N/A"/>
    <m/>
    <m/>
    <m/>
    <d v="2023-10-16T00:00:00"/>
    <m/>
    <m/>
    <s v="H"/>
    <x v="1"/>
    <s v="ANGUS NEGRO"/>
    <s v="12 años 2 meses"/>
    <s v="20-10-2013"/>
    <s v="Vivo"/>
    <x v="0"/>
    <s v="11.1.01.1241"/>
    <s v="11.1.01.1081"/>
    <s v="SI"/>
    <m/>
  </r>
  <r>
    <n v="8392946"/>
    <m/>
    <m/>
    <e v="#N/A"/>
    <m/>
    <m/>
    <m/>
    <d v="2023-06-13T00:00:00"/>
    <m/>
    <m/>
    <s v="H"/>
    <x v="1"/>
    <s v="ANGUS NEGRO"/>
    <s v="12 años 2 meses"/>
    <s v="20-10-2013"/>
    <s v="Vivo"/>
    <x v="0"/>
    <s v="11.1.01.1241"/>
    <s v="11.1.01.1081"/>
    <s v="SI"/>
    <m/>
  </r>
  <r>
    <n v="8392949"/>
    <m/>
    <m/>
    <e v="#N/A"/>
    <m/>
    <m/>
    <m/>
    <d v="2023-06-13T00:00:00"/>
    <m/>
    <m/>
    <s v="H"/>
    <x v="1"/>
    <s v="HEREFORD"/>
    <s v="12 años 2 meses"/>
    <s v="20-10-2013"/>
    <s v="Vivo"/>
    <x v="0"/>
    <s v="11.1.01.1081"/>
    <s v="11.1.01.1081"/>
    <s v="SI"/>
    <m/>
  </r>
  <r>
    <n v="8392956"/>
    <m/>
    <m/>
    <e v="#N/A"/>
    <m/>
    <m/>
    <m/>
    <d v="2023-11-10T00:00:00"/>
    <m/>
    <m/>
    <s v="H"/>
    <x v="1"/>
    <s v="ANGUS ROJO"/>
    <s v="12 años 2 meses"/>
    <s v="20-10-2013"/>
    <s v="Vivo"/>
    <x v="0"/>
    <s v="11.1.01.1081"/>
    <s v="11.1.01.1081"/>
    <s v="SI"/>
    <m/>
  </r>
  <r>
    <n v="8392957"/>
    <m/>
    <m/>
    <e v="#N/A"/>
    <m/>
    <m/>
    <m/>
    <d v="2023-10-16T00:00:00"/>
    <m/>
    <m/>
    <s v="M"/>
    <x v="2"/>
    <s v="HEREFORD"/>
    <s v="12 años 2 meses"/>
    <s v="20-10-2013"/>
    <s v="Vivo"/>
    <x v="0"/>
    <s v="11.1.01.1081"/>
    <s v="11.1.01.1081"/>
    <s v="SI"/>
    <m/>
  </r>
  <r>
    <n v="8392960"/>
    <m/>
    <m/>
    <e v="#N/A"/>
    <m/>
    <m/>
    <m/>
    <d v="2023-06-13T00:00:00"/>
    <m/>
    <m/>
    <s v="M"/>
    <x v="2"/>
    <s v="HEREFORD"/>
    <s v="12 años 2 meses"/>
    <s v="20-10-2013"/>
    <s v="Vivo"/>
    <x v="0"/>
    <s v="11.1.01.1081"/>
    <s v="11.1.01.1081"/>
    <s v="SI"/>
    <m/>
  </r>
  <r>
    <n v="8392963"/>
    <m/>
    <m/>
    <e v="#N/A"/>
    <m/>
    <m/>
    <m/>
    <d v="2023-11-10T00:00:00"/>
    <m/>
    <m/>
    <s v="H"/>
    <x v="1"/>
    <s v="ANGUS NEGRO"/>
    <s v="12 años 2 meses"/>
    <s v="20-10-2013"/>
    <s v="Vivo"/>
    <x v="2"/>
    <s v="11.1.01.1241"/>
    <s v="11.1.01.1081"/>
    <s v="SI"/>
    <m/>
  </r>
  <r>
    <n v="8392964"/>
    <m/>
    <m/>
    <e v="#N/A"/>
    <m/>
    <m/>
    <m/>
    <d v="2023-06-13T00:00:00"/>
    <m/>
    <m/>
    <s v="M"/>
    <x v="2"/>
    <s v="ANGUS NEGRO"/>
    <s v="12 años 2 meses"/>
    <s v="20-10-2013"/>
    <s v="Vivo"/>
    <x v="0"/>
    <s v="11.1.01.1081"/>
    <s v="11.1.01.1081"/>
    <s v="SI"/>
    <m/>
  </r>
  <r>
    <n v="8392967"/>
    <m/>
    <m/>
    <e v="#N/A"/>
    <m/>
    <m/>
    <m/>
    <d v="2023-06-13T00:00:00"/>
    <m/>
    <m/>
    <s v="M"/>
    <x v="2"/>
    <s v="HEREFORD"/>
    <s v="12 años 2 meses"/>
    <s v="20-10-2013"/>
    <s v="Vivo"/>
    <x v="0"/>
    <s v="11.1.01.1081"/>
    <s v="11.1.01.1081"/>
    <s v="SI"/>
    <m/>
  </r>
  <r>
    <n v="8392991"/>
    <m/>
    <m/>
    <e v="#N/A"/>
    <m/>
    <m/>
    <m/>
    <d v="2023-10-16T00:00:00"/>
    <m/>
    <m/>
    <s v="H"/>
    <x v="1"/>
    <s v="ANGUS ROJO"/>
    <s v="12 años 2 meses"/>
    <s v="20-10-2013"/>
    <s v="Vivo"/>
    <x v="0"/>
    <s v="11.1.01.1081"/>
    <s v="11.1.01.1081"/>
    <s v="SI"/>
    <m/>
  </r>
  <r>
    <n v="8392997"/>
    <m/>
    <m/>
    <e v="#N/A"/>
    <m/>
    <m/>
    <m/>
    <d v="2023-10-16T00:00:00"/>
    <m/>
    <m/>
    <s v="H"/>
    <x v="1"/>
    <s v="ANGUS ROJO"/>
    <s v="12 años 2 meses"/>
    <s v="20-10-2013"/>
    <s v="Vivo"/>
    <x v="0"/>
    <s v="11.2.01.0038"/>
    <s v="11.1.01.1081"/>
    <s v="SI"/>
    <m/>
  </r>
  <r>
    <n v="8411976"/>
    <m/>
    <m/>
    <e v="#N/A"/>
    <m/>
    <d v="2021-07-27T00:00:00"/>
    <d v="2022-05-27T00:00:00"/>
    <d v="2023-11-23T00:00:00"/>
    <m/>
    <m/>
    <s v="M"/>
    <x v="2"/>
    <s v="ANGUS NEGRO"/>
    <s v="13 años 2 meses"/>
    <s v="15-11-2012"/>
    <s v="Vivo"/>
    <x v="0"/>
    <s v="11.2.01.0251"/>
    <s v="11.2.01.0251"/>
    <s v="SI"/>
    <m/>
  </r>
  <r>
    <n v="8411980"/>
    <m/>
    <m/>
    <e v="#N/A"/>
    <m/>
    <m/>
    <m/>
    <d v="2023-11-10T00:00:00"/>
    <m/>
    <m/>
    <s v="M"/>
    <x v="2"/>
    <s v="ANGUS NEGRO"/>
    <s v="13 años 1 meses"/>
    <s v="27-11-2012"/>
    <s v="Vivo"/>
    <x v="0"/>
    <s v="11.2.01.0251"/>
    <s v="11.2.01.0251"/>
    <s v="SI"/>
    <m/>
  </r>
  <r>
    <n v="8411986"/>
    <m/>
    <m/>
    <e v="#N/A"/>
    <d v="2020-10-29T00:00:00"/>
    <m/>
    <m/>
    <d v="2023-11-24T00:00:00"/>
    <m/>
    <m/>
    <s v="M"/>
    <x v="2"/>
    <s v="ANGUS NEGRO"/>
    <s v="13 años 2 meses"/>
    <s v="10-11-2012"/>
    <s v="Vivo"/>
    <x v="0"/>
    <s v="11.2.01.0251"/>
    <s v="11.2.01.0251"/>
    <s v="SI"/>
    <m/>
  </r>
  <r>
    <n v="8411987"/>
    <m/>
    <m/>
    <e v="#N/A"/>
    <d v="2020-10-29T00:00:00"/>
    <d v="2021-11-04T00:00:00"/>
    <m/>
    <m/>
    <m/>
    <m/>
    <s v="M"/>
    <x v="2"/>
    <s v="ANGUS NEGRO"/>
    <s v="13 años 2 meses"/>
    <s v="15-11-2012"/>
    <s v="Vivo"/>
    <x v="0"/>
    <s v="11.2.01.0038"/>
    <s v="11.2.01.0251"/>
    <s v="SI"/>
    <m/>
  </r>
  <r>
    <n v="8411989"/>
    <m/>
    <m/>
    <e v="#N/A"/>
    <m/>
    <m/>
    <m/>
    <m/>
    <m/>
    <m/>
    <s v="M"/>
    <x v="2"/>
    <s v="ANGUS NEGRO"/>
    <s v="13 años 2 meses"/>
    <s v="15-11-2012"/>
    <s v="Vivo"/>
    <x v="0"/>
    <s v="11.2.01.0251"/>
    <s v="11.2.01.0251"/>
    <s v="SI"/>
    <m/>
  </r>
  <r>
    <n v="8411992"/>
    <m/>
    <m/>
    <e v="#N/A"/>
    <d v="2020-10-30T00:00:00"/>
    <d v="2021-06-03T00:00:00"/>
    <d v="2022-11-18T00:00:00"/>
    <d v="2023-11-24T00:00:00"/>
    <m/>
    <m/>
    <s v="M"/>
    <x v="2"/>
    <s v="ANGUS NEGRO"/>
    <s v="13 años 2 meses"/>
    <s v="15-11-2012"/>
    <s v="Vivo"/>
    <x v="0"/>
    <s v="11.2.01.0251"/>
    <s v="11.2.01.0251"/>
    <s v="SI"/>
    <m/>
  </r>
  <r>
    <n v="8933118"/>
    <m/>
    <m/>
    <e v="#N/A"/>
    <m/>
    <d v="2021-06-03T00:00:00"/>
    <m/>
    <m/>
    <m/>
    <m/>
    <s v="M"/>
    <x v="2"/>
    <s v="ANGUS NEGRO"/>
    <s v="12 años 3 meses"/>
    <s v="15-10-2013"/>
    <s v="Vivo"/>
    <x v="0"/>
    <s v="Sin Movimiento"/>
    <s v="11.1.01.1241"/>
    <s v="SI"/>
    <m/>
  </r>
  <r>
    <n v="8933122"/>
    <m/>
    <m/>
    <e v="#N/A"/>
    <m/>
    <d v="2021-10-30T00:00:00"/>
    <m/>
    <d v="2023-06-13T00:00:00"/>
    <m/>
    <m/>
    <s v="M"/>
    <x v="2"/>
    <s v="ANGUS NEGRO"/>
    <s v="12 años 3 meses"/>
    <s v="15-10-2013"/>
    <s v="Vivo"/>
    <x v="0"/>
    <s v="Sin Movimiento"/>
    <s v="11.1.01.1241"/>
    <s v="SI"/>
    <m/>
  </r>
  <r>
    <n v="8933125"/>
    <m/>
    <m/>
    <e v="#N/A"/>
    <m/>
    <d v="2021-06-03T00:00:00"/>
    <m/>
    <m/>
    <m/>
    <m/>
    <s v="M"/>
    <x v="2"/>
    <s v="ANGUS NEGRO"/>
    <s v="12 años 3 meses"/>
    <s v="15-10-2013"/>
    <s v="Vivo"/>
    <x v="0"/>
    <s v="Sin Movimiento"/>
    <s v="11.1.01.1241"/>
    <s v="SI"/>
    <m/>
  </r>
  <r>
    <n v="8933128"/>
    <m/>
    <m/>
    <e v="#N/A"/>
    <m/>
    <d v="2021-06-03T00:00:00"/>
    <m/>
    <d v="2023-10-16T00:00:00"/>
    <m/>
    <m/>
    <s v="M"/>
    <x v="2"/>
    <s v="ANGUS ROJO"/>
    <s v="12 años 3 meses"/>
    <s v="15-10-2013"/>
    <s v="Vivo"/>
    <x v="0"/>
    <s v="Sin Movimiento"/>
    <s v="11.1.01.1241"/>
    <s v="SI"/>
    <m/>
  </r>
  <r>
    <n v="8933129"/>
    <m/>
    <m/>
    <e v="#N/A"/>
    <m/>
    <d v="2021-06-03T00:00:00"/>
    <m/>
    <d v="2023-11-10T00:00:00"/>
    <m/>
    <m/>
    <s v="M"/>
    <x v="2"/>
    <s v="ANGUS NEGRO"/>
    <s v="12 años 3 meses"/>
    <s v="15-10-2013"/>
    <s v="Vivo"/>
    <x v="0"/>
    <s v="Sin Movimiento"/>
    <s v="11.1.01.1241"/>
    <s v="SI"/>
    <m/>
  </r>
  <r>
    <n v="8933132"/>
    <m/>
    <m/>
    <e v="#N/A"/>
    <m/>
    <d v="2021-06-03T00:00:00"/>
    <m/>
    <d v="2023-10-16T00:00:00"/>
    <m/>
    <m/>
    <s v="M"/>
    <x v="2"/>
    <s v="ANGUS ROJO"/>
    <s v="12 años 3 meses"/>
    <s v="15-10-2013"/>
    <s v="Vivo"/>
    <x v="0"/>
    <s v="Sin Movimiento"/>
    <s v="11.1.01.1241"/>
    <s v="SI"/>
    <m/>
  </r>
  <r>
    <n v="8933139"/>
    <m/>
    <m/>
    <e v="#N/A"/>
    <m/>
    <d v="2021-06-03T00:00:00"/>
    <m/>
    <d v="2023-10-16T00:00:00"/>
    <d v="2024-12-22T00:00:00"/>
    <d v="2025-01-14T00:00:00"/>
    <s v="H"/>
    <x v="1"/>
    <s v="ANGUS NEGRO"/>
    <s v="12 años 3 meses"/>
    <s v="15-10-2013"/>
    <s v="Vivo"/>
    <x v="0"/>
    <s v="11.2.01.0038"/>
    <s v="11.1.01.1241"/>
    <s v="SI"/>
    <m/>
  </r>
  <r>
    <n v="8933147"/>
    <m/>
    <m/>
    <e v="#N/A"/>
    <m/>
    <m/>
    <m/>
    <m/>
    <m/>
    <m/>
    <s v="H"/>
    <x v="1"/>
    <s v="HEREFORD"/>
    <s v="12 años 3 meses"/>
    <s v="15-10-2013"/>
    <s v="Vivo"/>
    <x v="0"/>
    <s v="11.1.01.1081"/>
    <s v="11.1.01.1241"/>
    <s v="SI"/>
    <m/>
  </r>
  <r>
    <n v="8933151"/>
    <m/>
    <m/>
    <e v="#N/A"/>
    <m/>
    <d v="2021-10-30T00:00:00"/>
    <m/>
    <d v="2023-06-13T00:00:00"/>
    <m/>
    <m/>
    <s v="M"/>
    <x v="2"/>
    <s v="ANGUS NEGRO"/>
    <s v="12 años 3 meses"/>
    <s v="15-10-2013"/>
    <s v="Vivo"/>
    <x v="0"/>
    <s v="Sin Movimiento"/>
    <s v="11.1.01.1241"/>
    <s v="SI"/>
    <m/>
  </r>
  <r>
    <n v="8933155"/>
    <m/>
    <m/>
    <e v="#N/A"/>
    <m/>
    <d v="2021-06-03T00:00:00"/>
    <m/>
    <d v="2023-11-10T00:00:00"/>
    <m/>
    <m/>
    <s v="M"/>
    <x v="2"/>
    <s v="ANGUS NEGRO"/>
    <s v="12 años 3 meses"/>
    <s v="15-10-2013"/>
    <s v="Vivo"/>
    <x v="0"/>
    <s v="Sin Movimiento"/>
    <s v="11.1.01.1241"/>
    <s v="SI"/>
    <m/>
  </r>
  <r>
    <n v="8933158"/>
    <m/>
    <m/>
    <e v="#N/A"/>
    <m/>
    <d v="2021-06-03T00:00:00"/>
    <m/>
    <m/>
    <m/>
    <m/>
    <s v="M"/>
    <x v="2"/>
    <s v="ANGUS NEGRO"/>
    <s v="12 años 3 meses"/>
    <s v="15-10-2013"/>
    <s v="Vivo"/>
    <x v="0"/>
    <s v="Sin Movimiento"/>
    <s v="11.1.01.1241"/>
    <s v="SI"/>
    <m/>
  </r>
  <r>
    <n v="8933165"/>
    <m/>
    <m/>
    <e v="#N/A"/>
    <m/>
    <d v="2021-06-03T00:00:00"/>
    <m/>
    <d v="2023-10-16T00:00:00"/>
    <m/>
    <m/>
    <s v="M"/>
    <x v="2"/>
    <s v="LIMOUSIN"/>
    <s v="12 años 3 meses"/>
    <s v="15-10-2013"/>
    <s v="Vivo"/>
    <x v="0"/>
    <s v="Sin Movimiento"/>
    <s v="11.1.01.1241"/>
    <s v="SI"/>
    <m/>
  </r>
  <r>
    <n v="8933166"/>
    <m/>
    <m/>
    <e v="#N/A"/>
    <m/>
    <d v="2021-10-30T00:00:00"/>
    <m/>
    <d v="2023-11-24T00:00:00"/>
    <m/>
    <m/>
    <s v="M"/>
    <x v="2"/>
    <s v="ANGUS ROJO"/>
    <s v="12 años 3 meses"/>
    <s v="15-10-2013"/>
    <s v="Vivo"/>
    <x v="0"/>
    <s v="Sin Movimiento"/>
    <s v="11.1.01.1241"/>
    <s v="SI"/>
    <m/>
  </r>
  <r>
    <n v="8933170"/>
    <m/>
    <m/>
    <e v="#N/A"/>
    <m/>
    <d v="2021-06-03T00:00:00"/>
    <m/>
    <m/>
    <m/>
    <m/>
    <s v="M"/>
    <x v="2"/>
    <s v="HEREFORD"/>
    <s v="12 años 3 meses"/>
    <s v="15-10-2013"/>
    <s v="Vivo"/>
    <x v="0"/>
    <s v="Sin Movimiento"/>
    <s v="11.1.01.1241"/>
    <s v="SI"/>
    <m/>
  </r>
  <r>
    <n v="8933172"/>
    <m/>
    <m/>
    <e v="#N/A"/>
    <m/>
    <d v="2021-06-03T00:00:00"/>
    <m/>
    <d v="2023-06-13T00:00:00"/>
    <m/>
    <m/>
    <s v="H"/>
    <x v="1"/>
    <s v="HEREFORD"/>
    <s v="12 años 3 meses"/>
    <s v="15-10-2013"/>
    <s v="Vivo"/>
    <x v="0"/>
    <s v="11.1.01.0893"/>
    <s v="11.1.01.1241"/>
    <s v="SI"/>
    <m/>
  </r>
  <r>
    <n v="8933175"/>
    <m/>
    <m/>
    <e v="#N/A"/>
    <m/>
    <d v="2021-10-30T00:00:00"/>
    <m/>
    <d v="2023-10-16T00:00:00"/>
    <m/>
    <m/>
    <s v="M"/>
    <x v="2"/>
    <s v="HEREFORD"/>
    <s v="12 años 3 meses"/>
    <s v="15-10-2013"/>
    <s v="Vivo"/>
    <x v="0"/>
    <s v="Sin Movimiento"/>
    <s v="11.1.01.1241"/>
    <s v="SI"/>
    <m/>
  </r>
  <r>
    <n v="8933177"/>
    <m/>
    <m/>
    <e v="#N/A"/>
    <m/>
    <d v="2021-06-03T00:00:00"/>
    <m/>
    <m/>
    <m/>
    <m/>
    <s v="M"/>
    <x v="2"/>
    <s v="ANGUS NEGRO"/>
    <s v="12 años 3 meses"/>
    <s v="15-10-2013"/>
    <s v="Vivo"/>
    <x v="0"/>
    <s v="Sin Movimiento"/>
    <s v="11.1.01.1241"/>
    <s v="SI"/>
    <m/>
  </r>
  <r>
    <n v="8933178"/>
    <m/>
    <m/>
    <e v="#N/A"/>
    <m/>
    <d v="2021-06-03T00:00:00"/>
    <m/>
    <d v="2023-10-16T00:00:00"/>
    <m/>
    <m/>
    <s v="H"/>
    <x v="1"/>
    <s v="ANGUS NEGRO"/>
    <s v="12 años 3 meses"/>
    <s v="15-10-2013"/>
    <s v="Vivo"/>
    <x v="0"/>
    <s v="11.1.01.1081"/>
    <s v="11.1.01.1241"/>
    <s v="SI"/>
    <m/>
  </r>
  <r>
    <n v="8933193"/>
    <m/>
    <m/>
    <e v="#N/A"/>
    <d v="2020-10-31T00:00:00"/>
    <d v="2021-06-03T00:00:00"/>
    <d v="2022-11-03T00:00:00"/>
    <d v="2023-11-24T00:00:00"/>
    <m/>
    <m/>
    <s v="H"/>
    <x v="1"/>
    <s v="ANGUS NEGRO"/>
    <s v="12 años 1 meses"/>
    <s v="30-11-2013"/>
    <s v="Vivo"/>
    <x v="0"/>
    <s v="11.1.01.1022"/>
    <s v="11.1.01.1241"/>
    <s v="SI"/>
    <m/>
  </r>
  <r>
    <n v="8933197"/>
    <m/>
    <m/>
    <e v="#N/A"/>
    <d v="2020-10-31T00:00:00"/>
    <d v="2021-06-03T00:00:00"/>
    <d v="2022-11-03T00:00:00"/>
    <d v="2023-11-24T00:00:00"/>
    <m/>
    <m/>
    <s v="H"/>
    <x v="1"/>
    <s v="ANGUS ROJO"/>
    <s v="12 años 1 meses"/>
    <s v="30-11-2013"/>
    <s v="Vivo"/>
    <x v="0"/>
    <s v="11.1.01.0893"/>
    <s v="11.1.01.1241"/>
    <s v="SI"/>
    <m/>
  </r>
  <r>
    <n v="8933200"/>
    <m/>
    <m/>
    <e v="#N/A"/>
    <d v="2020-10-31T00:00:00"/>
    <d v="2021-11-18T00:00:00"/>
    <m/>
    <d v="2023-11-24T00:00:00"/>
    <m/>
    <m/>
    <s v="H"/>
    <x v="1"/>
    <s v="ANGUS NEGRO"/>
    <s v="11 años 11 meses"/>
    <s v="15-02-2014"/>
    <s v="Vivo"/>
    <x v="0"/>
    <s v="11.1.01.1241"/>
    <s v="11.1.01.1241"/>
    <s v="SI"/>
    <m/>
  </r>
  <r>
    <n v="8933214"/>
    <m/>
    <m/>
    <e v="#N/A"/>
    <d v="2020-10-31T00:00:00"/>
    <d v="2021-11-18T00:00:00"/>
    <d v="2022-12-13T00:00:00"/>
    <d v="2023-12-05T00:00:00"/>
    <m/>
    <m/>
    <s v="H"/>
    <x v="1"/>
    <s v="ANGUS NEGRO"/>
    <s v="11 años 10 meses"/>
    <s v="28-02-2014"/>
    <s v="Vivo"/>
    <x v="0"/>
    <s v="11.1.01.1241"/>
    <s v="11.1.01.1241"/>
    <s v="SI"/>
    <m/>
  </r>
  <r>
    <n v="8933222"/>
    <m/>
    <m/>
    <e v="#N/A"/>
    <d v="2020-10-31T00:00:00"/>
    <d v="2021-06-03T00:00:00"/>
    <d v="2022-12-17T00:00:00"/>
    <d v="2023-11-24T00:00:00"/>
    <d v="2024-12-22T00:00:00"/>
    <d v="2025-01-14T00:00:00"/>
    <s v="H"/>
    <x v="1"/>
    <s v="ANGUS NEGRO"/>
    <s v="11 años 10 meses"/>
    <s v="28-02-2014"/>
    <s v="Vivo"/>
    <x v="0"/>
    <s v="11.1.01.0893"/>
    <s v="11.1.01.1241"/>
    <s v="SI"/>
    <m/>
  </r>
  <r>
    <n v="8933225"/>
    <m/>
    <m/>
    <e v="#N/A"/>
    <d v="2020-10-31T00:00:00"/>
    <d v="2021-06-03T00:00:00"/>
    <d v="2022-12-17T00:00:00"/>
    <d v="2023-06-15T00:00:00"/>
    <m/>
    <m/>
    <s v="H"/>
    <x v="1"/>
    <s v="ANGUS NEGRO"/>
    <s v="11 años 11 meses"/>
    <s v="30-01-2014"/>
    <s v="Vivo"/>
    <x v="0"/>
    <s v="11.1.01.1241"/>
    <s v="11.1.01.1241"/>
    <s v="SI"/>
    <m/>
  </r>
  <r>
    <n v="8933228"/>
    <m/>
    <m/>
    <e v="#N/A"/>
    <d v="2020-10-31T00:00:00"/>
    <d v="2021-06-03T00:00:00"/>
    <m/>
    <m/>
    <m/>
    <m/>
    <s v="H"/>
    <x v="1"/>
    <s v="ANGUS NEGRO"/>
    <s v="11 años 10 meses"/>
    <s v="28-02-2014"/>
    <s v="Vivo"/>
    <x v="0"/>
    <s v="11.1.01.1241"/>
    <s v="11.1.01.1241"/>
    <s v="SI"/>
    <m/>
  </r>
  <r>
    <n v="8933234"/>
    <m/>
    <m/>
    <e v="#N/A"/>
    <m/>
    <d v="2021-06-03T00:00:00"/>
    <m/>
    <m/>
    <m/>
    <m/>
    <s v="M"/>
    <x v="2"/>
    <s v="HEREFORD"/>
    <s v="12 años 2 meses"/>
    <s v="30-10-2013"/>
    <s v="Vivo"/>
    <x v="0"/>
    <s v="Sin Movimiento"/>
    <s v="11.1.01.1241"/>
    <s v="SI"/>
    <m/>
  </r>
  <r>
    <n v="8933236"/>
    <m/>
    <m/>
    <e v="#N/A"/>
    <m/>
    <d v="2021-06-03T00:00:00"/>
    <m/>
    <m/>
    <m/>
    <m/>
    <s v="M"/>
    <x v="2"/>
    <s v="ANGUS NEGRO"/>
    <s v="12 años 2 meses"/>
    <s v="30-10-2013"/>
    <s v="Vivo"/>
    <x v="0"/>
    <s v="Sin Movimiento"/>
    <s v="11.1.01.1241"/>
    <s v="SI"/>
    <m/>
  </r>
  <r>
    <n v="8933237"/>
    <m/>
    <m/>
    <e v="#N/A"/>
    <m/>
    <d v="2021-10-30T00:00:00"/>
    <m/>
    <d v="2023-10-16T00:00:00"/>
    <m/>
    <m/>
    <s v="M"/>
    <x v="2"/>
    <s v="ANGUS NEGRO"/>
    <s v="12 años 2 meses"/>
    <s v="30-10-2013"/>
    <s v="Vivo"/>
    <x v="0"/>
    <s v="Sin Movimiento"/>
    <s v="11.1.01.1241"/>
    <s v="SI"/>
    <m/>
  </r>
  <r>
    <n v="8933240"/>
    <m/>
    <m/>
    <e v="#N/A"/>
    <m/>
    <d v="2021-06-03T00:00:00"/>
    <m/>
    <m/>
    <m/>
    <m/>
    <s v="H"/>
    <x v="1"/>
    <s v="ANGUS NEGRO"/>
    <s v="11 años 10 meses"/>
    <s v="28-02-2014"/>
    <s v="Vivo"/>
    <x v="0"/>
    <s v="11.1.01.1241"/>
    <s v="11.1.01.1241"/>
    <s v="SI"/>
    <m/>
  </r>
  <r>
    <n v="8933248"/>
    <m/>
    <m/>
    <e v="#N/A"/>
    <m/>
    <d v="2021-06-03T00:00:00"/>
    <d v="2022-12-28T00:00:00"/>
    <d v="2023-11-09T00:00:00"/>
    <m/>
    <m/>
    <s v="M"/>
    <x v="2"/>
    <s v="ANGUS NEGRO"/>
    <s v="12 años 3 meses"/>
    <s v="30-09-2013"/>
    <s v="Vivo"/>
    <x v="0"/>
    <s v="Sin Movimiento"/>
    <s v="11.1.01.1241"/>
    <s v="SI"/>
    <m/>
  </r>
  <r>
    <n v="8933249"/>
    <m/>
    <m/>
    <e v="#N/A"/>
    <m/>
    <d v="2021-06-03T00:00:00"/>
    <m/>
    <d v="2023-06-13T00:00:00"/>
    <m/>
    <m/>
    <s v="M"/>
    <x v="2"/>
    <s v="ANGUS NEGRO"/>
    <s v="12 años 3 meses"/>
    <s v="30-09-2013"/>
    <s v="Vivo"/>
    <x v="0"/>
    <s v="Sin Movimiento"/>
    <s v="11.1.01.1241"/>
    <s v="SI"/>
    <m/>
  </r>
  <r>
    <n v="8933252"/>
    <m/>
    <m/>
    <e v="#N/A"/>
    <m/>
    <d v="2021-06-03T00:00:00"/>
    <m/>
    <d v="2023-11-23T00:00:00"/>
    <m/>
    <m/>
    <s v="M"/>
    <x v="2"/>
    <s v="ANGUS NEGRO"/>
    <s v="17 años 2 meses"/>
    <s v="30-10-2008"/>
    <s v="Vivo"/>
    <x v="0"/>
    <s v="11.1.01.0893"/>
    <s v="11.1.01.1241"/>
    <s v="SI"/>
    <m/>
  </r>
  <r>
    <n v="8933253"/>
    <m/>
    <m/>
    <e v="#N/A"/>
    <m/>
    <d v="2021-06-03T00:00:00"/>
    <m/>
    <m/>
    <m/>
    <m/>
    <s v="M"/>
    <x v="2"/>
    <s v="ANGUS NEGRO"/>
    <s v="15 años 3 meses"/>
    <s v="15-10-2010"/>
    <s v="Vivo"/>
    <x v="0"/>
    <s v="11.2.01.0038"/>
    <s v="11.1.01.0290"/>
    <s v="SI"/>
    <m/>
  </r>
  <r>
    <n v="8933254"/>
    <m/>
    <m/>
    <e v="#N/A"/>
    <m/>
    <d v="2021-06-03T00:00:00"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8933257"/>
    <m/>
    <m/>
    <e v="#N/A"/>
    <m/>
    <d v="2021-06-03T00:00:00"/>
    <m/>
    <d v="2023-10-16T00:00:00"/>
    <m/>
    <m/>
    <s v="M"/>
    <x v="2"/>
    <s v="ANGUS NEGRO"/>
    <s v="17 años 3 meses"/>
    <s v="15-10-2008"/>
    <s v="Vivo"/>
    <x v="0"/>
    <s v="11.1.01.0893"/>
    <s v="11.1.01.0290"/>
    <s v="SI"/>
    <m/>
  </r>
  <r>
    <n v="8933260"/>
    <m/>
    <m/>
    <e v="#N/A"/>
    <m/>
    <d v="2021-06-03T00:00:00"/>
    <m/>
    <d v="2023-10-16T00:00:00"/>
    <m/>
    <m/>
    <s v="M"/>
    <x v="2"/>
    <s v="ANGUS NEGRO"/>
    <s v="16 años 3 meses"/>
    <s v="15-10-2009"/>
    <s v="Vivo"/>
    <x v="0"/>
    <s v="11.1.01.1081"/>
    <s v="11.1.01.0290"/>
    <s v="SI"/>
    <m/>
  </r>
  <r>
    <n v="8933262"/>
    <m/>
    <m/>
    <e v="#N/A"/>
    <m/>
    <d v="2021-06-03T00:00:00"/>
    <m/>
    <d v="2023-10-16T00:00:00"/>
    <m/>
    <m/>
    <s v="no existe"/>
    <x v="3"/>
    <s v="no existe"/>
    <s v="no existe"/>
    <s v="no existe"/>
    <s v="no existe"/>
    <x v="5"/>
    <s v="no existe"/>
    <s v="no existe"/>
    <s v="no existe"/>
    <m/>
  </r>
  <r>
    <n v="8933265"/>
    <m/>
    <n v="6165841"/>
    <e v="#N/A"/>
    <d v="2020-11-09T00:00:00"/>
    <m/>
    <d v="2022-11-18T00:00:00"/>
    <d v="2023-11-24T00:00:00"/>
    <m/>
    <m/>
    <s v="M"/>
    <x v="2"/>
    <s v="ANGUS NEGRO"/>
    <s v="15 años 3 meses"/>
    <s v="15-10-2010"/>
    <s v="Vivo"/>
    <x v="3"/>
    <s v="11.1.01.1241"/>
    <s v="11.1.01.0290"/>
    <s v="SI"/>
    <m/>
  </r>
  <r>
    <n v="8933268"/>
    <m/>
    <m/>
    <e v="#N/A"/>
    <d v="2020-11-09T00:00:00"/>
    <m/>
    <d v="2022-11-03T00:00:00"/>
    <d v="2023-11-28T00:00:00"/>
    <m/>
    <m/>
    <s v="no existe"/>
    <x v="3"/>
    <s v="no existe"/>
    <s v="no existe"/>
    <s v="no existe"/>
    <s v="no existe"/>
    <x v="5"/>
    <s v="no existe"/>
    <s v="no existe"/>
    <s v="no existe"/>
    <m/>
  </r>
  <r>
    <n v="8933278"/>
    <m/>
    <m/>
    <e v="#N/A"/>
    <d v="2020-11-09T00:00:00"/>
    <d v="2021-11-04T00:00:00"/>
    <d v="2022-12-17T00:00:00"/>
    <d v="2023-06-15T00:00:00"/>
    <m/>
    <m/>
    <s v="H"/>
    <x v="1"/>
    <s v="ANGUS NEGRO"/>
    <s v="10 años 2 meses"/>
    <s v="30-10-2015"/>
    <s v="Vivo"/>
    <x v="0"/>
    <s v="11.1.01.0893"/>
    <s v="11.1.01.1241"/>
    <s v="SI"/>
    <m/>
  </r>
  <r>
    <n v="8933282"/>
    <m/>
    <m/>
    <e v="#N/A"/>
    <m/>
    <d v="2021-10-30T00:00:00"/>
    <m/>
    <m/>
    <d v="2024-01-06T00:00:00"/>
    <m/>
    <s v="H"/>
    <x v="1"/>
    <s v="ANGUS NEGRO"/>
    <s v="10 años 0 meses"/>
    <s v="30-12-2015"/>
    <s v="Vivo"/>
    <x v="3"/>
    <s v="11.1.01.0893"/>
    <s v="11.1.01.1241"/>
    <s v="SI"/>
    <m/>
  </r>
  <r>
    <n v="8933285"/>
    <m/>
    <m/>
    <e v="#N/A"/>
    <m/>
    <d v="2021-10-30T00:00:00"/>
    <m/>
    <d v="2023-11-23T00:00:00"/>
    <m/>
    <m/>
    <s v="H"/>
    <x v="1"/>
    <s v="ANGUS NEGRO"/>
    <s v="10 años 2 meses"/>
    <s v="10-11-2015"/>
    <s v="Vivo"/>
    <x v="0"/>
    <s v="11.1.01.1022"/>
    <s v="11.1.01.1241"/>
    <s v="SI"/>
    <m/>
  </r>
  <r>
    <n v="8933290"/>
    <m/>
    <m/>
    <e v="#N/A"/>
    <m/>
    <m/>
    <m/>
    <m/>
    <d v="2024-12-22T00:00:00"/>
    <d v="2025-11-05T00:00:00"/>
    <s v="H"/>
    <x v="1"/>
    <s v="ANGUS NEGRO"/>
    <s v="10 años 1 meses"/>
    <s v="30-11-2015"/>
    <s v="Vivo"/>
    <x v="7"/>
    <s v="11.1.01.0190"/>
    <s v="11.1.01.1241"/>
    <s v="SI"/>
    <m/>
  </r>
  <r>
    <n v="8933295"/>
    <m/>
    <m/>
    <e v="#N/A"/>
    <m/>
    <d v="2021-06-03T00:00:00"/>
    <m/>
    <d v="2023-10-16T00:00:00"/>
    <m/>
    <m/>
    <s v="H"/>
    <x v="1"/>
    <s v="ANGUS NEGRO"/>
    <s v="9 años 11 meses"/>
    <s v="30-01-2016"/>
    <s v="Vivo"/>
    <x v="0"/>
    <s v="11.2.01.0038"/>
    <s v="11.1.01.1241"/>
    <s v="SI"/>
    <m/>
  </r>
  <r>
    <n v="8933297"/>
    <m/>
    <m/>
    <e v="#N/A"/>
    <m/>
    <d v="2021-10-30T00:00:00"/>
    <m/>
    <d v="2023-10-16T00:00:00"/>
    <m/>
    <m/>
    <s v="H"/>
    <x v="1"/>
    <s v="ANGUS NEGRO"/>
    <s v="9 años 10 meses"/>
    <s v="28-02-2016"/>
    <s v="Vivo"/>
    <x v="0"/>
    <s v="11.1.01.0893"/>
    <s v="11.1.01.1241"/>
    <s v="SI"/>
    <m/>
  </r>
  <r>
    <n v="8933312"/>
    <m/>
    <m/>
    <e v="#N/A"/>
    <m/>
    <d v="2021-06-03T00:00:00"/>
    <m/>
    <d v="2023-11-10T00:00:00"/>
    <m/>
    <m/>
    <s v="M"/>
    <x v="2"/>
    <s v="ANGUS NEGRO"/>
    <s v="11 años 2 meses"/>
    <s v="25-10-2014"/>
    <s v="Vivo"/>
    <x v="0"/>
    <s v="11.1.01.1240"/>
    <s v="11.1.01.1240"/>
    <s v="SI"/>
    <m/>
  </r>
  <r>
    <n v="8933313"/>
    <m/>
    <m/>
    <e v="#N/A"/>
    <m/>
    <d v="2021-06-03T00:00:00"/>
    <m/>
    <d v="2023-10-16T00:00:00"/>
    <m/>
    <m/>
    <s v="H"/>
    <x v="1"/>
    <s v="ANGUS NEGRO"/>
    <s v="11 años 2 meses"/>
    <s v="25-10-2014"/>
    <s v="Vivo"/>
    <x v="2"/>
    <s v="11.2.01.2071"/>
    <s v="11.1.01.1240"/>
    <s v="SI"/>
    <m/>
  </r>
  <r>
    <n v="8933327"/>
    <m/>
    <m/>
    <e v="#N/A"/>
    <m/>
    <d v="2021-10-30T00:00:00"/>
    <m/>
    <m/>
    <m/>
    <m/>
    <s v="H"/>
    <x v="1"/>
    <s v="ANGUS NEGRO"/>
    <s v="10 años 2 meses"/>
    <s v="30-10-2015"/>
    <s v="Vivo"/>
    <x v="0"/>
    <s v="11.1.01.0791"/>
    <s v="11.1.01.1241"/>
    <s v="SI"/>
    <m/>
  </r>
  <r>
    <n v="8933328"/>
    <m/>
    <m/>
    <e v="#N/A"/>
    <m/>
    <d v="2021-06-03T00:00:00"/>
    <m/>
    <d v="2023-10-16T00:00:00"/>
    <m/>
    <m/>
    <s v="H"/>
    <x v="1"/>
    <s v="ANGUS ROJO"/>
    <s v="10 años 2 meses"/>
    <s v="30-10-2015"/>
    <s v="Vivo"/>
    <x v="0"/>
    <s v="11.1.01.1022"/>
    <s v="11.1.01.1241"/>
    <s v="SI"/>
    <m/>
  </r>
  <r>
    <n v="8933336"/>
    <m/>
    <m/>
    <e v="#N/A"/>
    <m/>
    <d v="2021-06-03T00:00:00"/>
    <m/>
    <d v="2023-11-24T00:00:00"/>
    <d v="2024-05-18T00:00:00"/>
    <m/>
    <s v="H"/>
    <x v="1"/>
    <s v="ANGUS NEGRO"/>
    <s v="12 años 0 meses"/>
    <s v="30-12-2013"/>
    <s v="Vivo"/>
    <x v="0"/>
    <s v="11.1.01.0870"/>
    <s v="11.1.01.1081"/>
    <s v="SI"/>
    <m/>
  </r>
  <r>
    <n v="8933340"/>
    <m/>
    <m/>
    <e v="#N/A"/>
    <m/>
    <m/>
    <m/>
    <m/>
    <m/>
    <m/>
    <s v="H"/>
    <x v="1"/>
    <s v="ANGUS NEGRO"/>
    <s v="12 años 1 meses"/>
    <s v="10-12-2013"/>
    <s v="Vivo"/>
    <x v="0"/>
    <s v="11.2.01.0053"/>
    <s v="11.1.01.1081"/>
    <s v="SI"/>
    <m/>
  </r>
  <r>
    <n v="8933347"/>
    <m/>
    <m/>
    <e v="#N/A"/>
    <m/>
    <m/>
    <m/>
    <m/>
    <m/>
    <m/>
    <s v="H"/>
    <x v="1"/>
    <s v="ANGUS NEGRO"/>
    <s v="12 años 0 meses"/>
    <s v="30-12-2013"/>
    <s v="Vivo"/>
    <x v="0"/>
    <s v="11.2.01.0038"/>
    <s v="11.1.01.1081"/>
    <s v="SI"/>
    <m/>
  </r>
  <r>
    <n v="8933357"/>
    <m/>
    <m/>
    <e v="#N/A"/>
    <m/>
    <d v="2021-06-03T00:00:00"/>
    <m/>
    <d v="2023-10-16T00:00:00"/>
    <m/>
    <m/>
    <s v="M"/>
    <x v="2"/>
    <s v="HEREFORD"/>
    <s v="11 años 11 meses"/>
    <s v="30-01-2014"/>
    <s v="Vivo"/>
    <x v="0"/>
    <s v="11.1.01.1241"/>
    <s v="11.1.01.1081"/>
    <s v="SI"/>
    <m/>
  </r>
  <r>
    <n v="8933367"/>
    <m/>
    <m/>
    <e v="#N/A"/>
    <m/>
    <d v="2021-06-03T00:00:00"/>
    <m/>
    <m/>
    <m/>
    <m/>
    <s v="H"/>
    <x v="1"/>
    <s v="ANGUS NEGRO"/>
    <s v="12 años 1 meses"/>
    <s v="30-11-2013"/>
    <s v="Vivo"/>
    <x v="0"/>
    <s v="11.1.01.1081"/>
    <s v="11.1.01.1081"/>
    <s v="SI"/>
    <m/>
  </r>
  <r>
    <n v="8933370"/>
    <m/>
    <m/>
    <e v="#N/A"/>
    <m/>
    <d v="2021-06-03T00:00:00"/>
    <m/>
    <d v="2023-06-13T00:00:00"/>
    <m/>
    <m/>
    <s v="H"/>
    <x v="1"/>
    <s v="ANGUS ROJO"/>
    <s v="11 años 9 meses"/>
    <s v="30-03-2014"/>
    <s v="Vivo"/>
    <x v="3"/>
    <s v="11.1.01.1081"/>
    <s v="11.1.01.1081"/>
    <s v="SI"/>
    <m/>
  </r>
  <r>
    <n v="8933372"/>
    <m/>
    <m/>
    <e v="#N/A"/>
    <m/>
    <d v="2021-06-03T00:00:00"/>
    <m/>
    <d v="2023-10-16T00:00:00"/>
    <m/>
    <m/>
    <s v="H"/>
    <x v="1"/>
    <s v="ANGUS ROJO"/>
    <s v="12 años 2 meses"/>
    <s v="30-10-2013"/>
    <s v="Vivo"/>
    <x v="0"/>
    <s v="11.1.01.1081"/>
    <s v="11.1.01.1081"/>
    <s v="SI"/>
    <m/>
  </r>
  <r>
    <n v="8933373"/>
    <m/>
    <m/>
    <e v="#N/A"/>
    <m/>
    <d v="2021-06-03T00:00:00"/>
    <m/>
    <d v="2023-10-16T00:00:00"/>
    <m/>
    <m/>
    <s v="H"/>
    <x v="1"/>
    <s v="ANGUS ROJO"/>
    <s v="11 años 10 meses"/>
    <s v="28-02-2014"/>
    <s v="Vivo"/>
    <x v="0"/>
    <s v="11.1.01.1241"/>
    <s v="11.1.01.1081"/>
    <s v="SI"/>
    <m/>
  </r>
  <r>
    <n v="8933386"/>
    <m/>
    <m/>
    <e v="#N/A"/>
    <m/>
    <d v="2021-10-30T00:00:00"/>
    <m/>
    <d v="2023-10-16T00:00:00"/>
    <m/>
    <m/>
    <s v="H"/>
    <x v="1"/>
    <s v="HEREFORD"/>
    <s v="11 años 11 meses"/>
    <s v="30-01-2014"/>
    <s v="Vivo"/>
    <x v="0"/>
    <s v="11.1.01.1241"/>
    <s v="11.1.01.1081"/>
    <s v="SI"/>
    <m/>
  </r>
  <r>
    <n v="8933388"/>
    <m/>
    <m/>
    <e v="#N/A"/>
    <m/>
    <d v="2021-11-04T00:00:00"/>
    <m/>
    <d v="2023-10-16T00:00:00"/>
    <m/>
    <m/>
    <s v="H"/>
    <x v="1"/>
    <s v="OVERO NEGRO"/>
    <s v="11 años 10 meses"/>
    <s v="28-02-2014"/>
    <s v="Vivo"/>
    <x v="0"/>
    <s v="11.1.01.1241"/>
    <s v="11.1.01.1081"/>
    <s v="SI"/>
    <m/>
  </r>
  <r>
    <n v="8933397"/>
    <m/>
    <m/>
    <e v="#N/A"/>
    <m/>
    <d v="2021-06-03T00:00:00"/>
    <m/>
    <d v="2023-06-13T00:00:00"/>
    <m/>
    <m/>
    <s v="H"/>
    <x v="1"/>
    <s v="OVERO COLORADO (CLAVEL ALEMAN)"/>
    <s v="11 años 8 meses"/>
    <s v="30-04-2014"/>
    <s v="Vivo"/>
    <x v="0"/>
    <s v="11.1.01.0791"/>
    <s v="11.1.01.1081"/>
    <s v="SI"/>
    <m/>
  </r>
  <r>
    <n v="8933400"/>
    <m/>
    <m/>
    <e v="#N/A"/>
    <m/>
    <d v="2021-06-03T00:00:00"/>
    <m/>
    <m/>
    <m/>
    <m/>
    <s v="M"/>
    <x v="2"/>
    <s v="ANGUS NEGRO"/>
    <s v="11 años 3 meses"/>
    <s v="30-09-2014"/>
    <s v="Vivo"/>
    <x v="0"/>
    <s v="11.1.01.1081"/>
    <s v="11.1.01.1081"/>
    <s v="SI"/>
    <m/>
  </r>
  <r>
    <n v="8933402"/>
    <m/>
    <m/>
    <e v="#N/A"/>
    <m/>
    <m/>
    <m/>
    <m/>
    <m/>
    <m/>
    <s v="H"/>
    <x v="1"/>
    <s v="ANGUS NEGRO"/>
    <s v="11 años 3 meses"/>
    <s v="30-09-2014"/>
    <s v="Vivo"/>
    <x v="0"/>
    <s v="11.1.01.0893"/>
    <s v="11.1.01.1081"/>
    <s v="SI"/>
    <m/>
  </r>
  <r>
    <n v="8933429"/>
    <m/>
    <m/>
    <e v="#N/A"/>
    <m/>
    <m/>
    <m/>
    <m/>
    <m/>
    <m/>
    <s v="H"/>
    <x v="1"/>
    <s v="ANGUS NEGRO"/>
    <s v="11 años 2 meses"/>
    <s v="30-10-2014"/>
    <s v="Vivo"/>
    <x v="2"/>
    <s v="11.2.01.2071"/>
    <s v="11.1.01.1081"/>
    <s v="SI"/>
    <m/>
  </r>
  <r>
    <n v="8933434"/>
    <m/>
    <m/>
    <e v="#N/A"/>
    <m/>
    <d v="2021-10-30T00:00:00"/>
    <m/>
    <m/>
    <m/>
    <m/>
    <s v="M"/>
    <x v="2"/>
    <s v="ANGUS NEGRO"/>
    <s v="11 años 2 meses"/>
    <s v="15-11-2014"/>
    <s v="Vivo"/>
    <x v="0"/>
    <s v="11.1.01.1081"/>
    <s v="11.1.01.1081"/>
    <s v="SI"/>
    <m/>
  </r>
  <r>
    <n v="8933448"/>
    <m/>
    <m/>
    <e v="#N/A"/>
    <m/>
    <d v="2021-07-20T00:00:00"/>
    <m/>
    <d v="2023-12-04T00:00:00"/>
    <m/>
    <m/>
    <s v="H"/>
    <x v="1"/>
    <s v="ANGUS NEGRO"/>
    <s v="11 años 2 meses"/>
    <s v="15-11-2014"/>
    <s v="Vivo"/>
    <x v="2"/>
    <s v="11.1.01.1241"/>
    <s v="11.1.01.1081"/>
    <s v="SI"/>
    <m/>
  </r>
  <r>
    <n v="8933449"/>
    <m/>
    <m/>
    <e v="#N/A"/>
    <m/>
    <d v="2021-07-20T00:00:00"/>
    <d v="2022-12-13T00:00:00"/>
    <d v="2023-12-05T00:00:00"/>
    <m/>
    <m/>
    <s v="H"/>
    <x v="1"/>
    <s v="ANGUS NEGRO"/>
    <s v="11 años 3 meses"/>
    <s v="30-09-2014"/>
    <s v="Vivo"/>
    <x v="0"/>
    <s v="11.2.01.0038"/>
    <s v="11.1.01.1081"/>
    <s v="SI"/>
    <m/>
  </r>
  <r>
    <n v="8933453"/>
    <m/>
    <m/>
    <e v="#N/A"/>
    <m/>
    <d v="2021-07-20T00:00:00"/>
    <m/>
    <m/>
    <m/>
    <m/>
    <s v="H"/>
    <x v="1"/>
    <s v="ANGUS NEGRO"/>
    <s v="11 años 2 meses"/>
    <s v="30-10-2014"/>
    <s v="Vivo"/>
    <x v="0"/>
    <s v="11.1.01.0791"/>
    <s v="11.1.01.1081"/>
    <s v="SI"/>
    <m/>
  </r>
  <r>
    <n v="8933454"/>
    <m/>
    <m/>
    <e v="#N/A"/>
    <m/>
    <d v="2021-07-20T00:00:00"/>
    <m/>
    <d v="2023-12-04T00:00:00"/>
    <m/>
    <m/>
    <s v="M"/>
    <x v="2"/>
    <s v="ANGUS NEGRO"/>
    <s v="11 años 2 meses"/>
    <s v="15-11-2014"/>
    <s v="Vivo"/>
    <x v="0"/>
    <s v="11.1.01.1081"/>
    <s v="11.1.01.1081"/>
    <s v="SI"/>
    <d v="2023-11-02T00:00:00"/>
  </r>
  <r>
    <n v="8933460"/>
    <m/>
    <m/>
    <e v="#N/A"/>
    <m/>
    <d v="2021-07-20T00:00:00"/>
    <m/>
    <d v="2023-12-04T00:00:00"/>
    <m/>
    <m/>
    <s v="H"/>
    <x v="1"/>
    <s v="ANGUS NEGRO"/>
    <s v="11 años 2 meses"/>
    <s v="15-11-2014"/>
    <s v="Vivo"/>
    <x v="2"/>
    <s v="11.1.01.0791"/>
    <s v="11.1.01.1081"/>
    <s v="SI"/>
    <m/>
  </r>
  <r>
    <n v="8933485"/>
    <m/>
    <m/>
    <e v="#N/A"/>
    <m/>
    <d v="2021-07-20T00:00:00"/>
    <m/>
    <d v="2023-12-05T00:00:00"/>
    <m/>
    <m/>
    <s v="H"/>
    <x v="1"/>
    <s v="ANGUS NEGRO"/>
    <s v="11 años 3 meses"/>
    <s v="30-09-2014"/>
    <s v="Vivo"/>
    <x v="0"/>
    <s v="11.2.01.0038"/>
    <s v="11.1.01.1081"/>
    <s v="SI"/>
    <m/>
  </r>
  <r>
    <n v="8933503"/>
    <m/>
    <m/>
    <e v="#N/A"/>
    <m/>
    <d v="2021-07-20T00:00:00"/>
    <m/>
    <d v="2023-12-04T00:00:00"/>
    <m/>
    <m/>
    <s v="H"/>
    <x v="1"/>
    <s v="ANGUS NEGRO"/>
    <s v="11 años 2 meses"/>
    <s v="15-11-2014"/>
    <s v="Vivo"/>
    <x v="2"/>
    <s v="11.1.01.0791"/>
    <s v="11.1.01.1081"/>
    <s v="SI"/>
    <m/>
  </r>
  <r>
    <n v="8933506"/>
    <m/>
    <m/>
    <e v="#N/A"/>
    <m/>
    <d v="2021-07-20T00:00:00"/>
    <m/>
    <d v="2023-12-04T00:00:00"/>
    <m/>
    <m/>
    <s v="H"/>
    <x v="1"/>
    <s v="ANGUS ROJO"/>
    <s v="11 años 3 meses"/>
    <s v="30-09-2014"/>
    <s v="Vivo"/>
    <x v="3"/>
    <s v="11.1.01.0893"/>
    <s v="11.1.01.1081"/>
    <s v="SI"/>
    <m/>
  </r>
  <r>
    <n v="8933510"/>
    <m/>
    <m/>
    <e v="#N/A"/>
    <m/>
    <d v="2021-07-20T00:00:00"/>
    <m/>
    <d v="2023-12-05T00:00:00"/>
    <m/>
    <m/>
    <s v="M"/>
    <x v="2"/>
    <s v="ANGUS NEGRO"/>
    <s v="11 años 1 meses"/>
    <s v="30-11-2014"/>
    <s v="Vivo"/>
    <x v="0"/>
    <s v="11.1.01.1081"/>
    <s v="11.1.01.1081"/>
    <s v="SI"/>
    <m/>
  </r>
  <r>
    <n v="8933511"/>
    <m/>
    <m/>
    <e v="#N/A"/>
    <m/>
    <d v="2021-10-28T00:00:00"/>
    <d v="2022-11-03T00:00:00"/>
    <d v="2023-11-24T00:00:00"/>
    <d v="2024-01-06T00:00:00"/>
    <m/>
    <s v="H"/>
    <x v="1"/>
    <s v="ANGUS NEGRO"/>
    <s v="11 años 1 meses"/>
    <s v="30-11-2014"/>
    <s v="Vivo"/>
    <x v="2"/>
    <s v="11.1.01.0791"/>
    <s v="11.1.01.1081"/>
    <s v="SI"/>
    <m/>
  </r>
  <r>
    <n v="8933513"/>
    <m/>
    <m/>
    <e v="#N/A"/>
    <m/>
    <d v="2021-10-28T00:00:00"/>
    <m/>
    <d v="2023-12-05T00:00:00"/>
    <m/>
    <m/>
    <s v="M"/>
    <x v="2"/>
    <s v="ANGUS NEGRO"/>
    <s v="11 años 1 meses"/>
    <s v="30-11-2014"/>
    <s v="Vivo"/>
    <x v="0"/>
    <s v="11.1.01.1081"/>
    <s v="11.1.01.1081"/>
    <s v="SI"/>
    <d v="2020-11-21T00:00:00"/>
  </r>
  <r>
    <n v="8933515"/>
    <m/>
    <m/>
    <e v="#N/A"/>
    <m/>
    <m/>
    <m/>
    <d v="2023-10-16T00:00:00"/>
    <m/>
    <m/>
    <s v="M"/>
    <x v="2"/>
    <s v="ANGUS NEGRO"/>
    <s v="11 años 1 meses"/>
    <s v="30-11-2014"/>
    <s v="Vivo"/>
    <x v="0"/>
    <s v="11.1.01.1081"/>
    <s v="11.1.01.1081"/>
    <s v="SI"/>
    <m/>
  </r>
  <r>
    <n v="8933522"/>
    <m/>
    <m/>
    <e v="#N/A"/>
    <m/>
    <m/>
    <m/>
    <d v="2023-11-23T00:00:00"/>
    <m/>
    <m/>
    <s v="M"/>
    <x v="2"/>
    <s v="ANGUS NEGRO"/>
    <s v="11 años 1 meses"/>
    <s v="30-11-2014"/>
    <s v="Vivo"/>
    <x v="0"/>
    <s v="11.1.01.1081"/>
    <s v="11.1.01.1081"/>
    <s v="SI"/>
    <m/>
  </r>
  <r>
    <n v="8933525"/>
    <m/>
    <m/>
    <e v="#N/A"/>
    <m/>
    <m/>
    <m/>
    <d v="2023-10-16T00:00:00"/>
    <m/>
    <m/>
    <s v="M"/>
    <x v="2"/>
    <s v="OVERO COLORADO (CLAVEL ALEMAN)"/>
    <s v="10 años 9 meses"/>
    <s v="30-03-2015"/>
    <s v="Vivo"/>
    <x v="0"/>
    <s v="11.1.01.1081"/>
    <s v="11.1.01.1081"/>
    <s v="SI"/>
    <m/>
  </r>
  <r>
    <n v="8933527"/>
    <m/>
    <m/>
    <e v="#N/A"/>
    <m/>
    <m/>
    <m/>
    <d v="2023-10-16T00:00:00"/>
    <m/>
    <m/>
    <s v="M"/>
    <x v="2"/>
    <s v="ANGUS NEGRO"/>
    <s v="10 años 9 meses"/>
    <s v="30-03-2015"/>
    <s v="Vivo"/>
    <x v="0"/>
    <s v="11.1.01.1081"/>
    <s v="11.1.01.1081"/>
    <s v="SI"/>
    <m/>
  </r>
  <r>
    <n v="8933533"/>
    <m/>
    <m/>
    <e v="#N/A"/>
    <m/>
    <m/>
    <m/>
    <d v="2023-06-13T00:00:00"/>
    <m/>
    <m/>
    <s v="H"/>
    <x v="1"/>
    <s v="ANGUS ROJO"/>
    <s v="10 años 3 meses"/>
    <s v="30-09-2015"/>
    <s v="Vivo"/>
    <x v="2"/>
    <s v="11.1.01.0791"/>
    <s v="11.1.01.1081"/>
    <s v="SI"/>
    <m/>
  </r>
  <r>
    <n v="8933563"/>
    <m/>
    <m/>
    <e v="#N/A"/>
    <m/>
    <m/>
    <m/>
    <d v="2023-06-13T00:00:00"/>
    <m/>
    <m/>
    <s v="M"/>
    <x v="2"/>
    <s v="ANGUS NEGRO"/>
    <s v="12 años 1 meses"/>
    <s v="30-11-2013"/>
    <s v="Vivo"/>
    <x v="0"/>
    <s v="11.2.01.0038"/>
    <s v="11.2.01.0038"/>
    <s v="SI"/>
    <m/>
  </r>
  <r>
    <n v="8933566"/>
    <m/>
    <m/>
    <e v="#N/A"/>
    <m/>
    <m/>
    <m/>
    <m/>
    <m/>
    <m/>
    <s v="H"/>
    <x v="1"/>
    <s v="ANGUS NEGRO"/>
    <s v="12 años 1 meses"/>
    <s v="30-11-2013"/>
    <s v="Vivo"/>
    <x v="3"/>
    <s v="11.1.01.1241"/>
    <s v="11.2.01.0038"/>
    <s v="SI"/>
    <m/>
  </r>
  <r>
    <n v="8933588"/>
    <m/>
    <m/>
    <e v="#N/A"/>
    <m/>
    <m/>
    <m/>
    <d v="2023-10-16T00:00:00"/>
    <m/>
    <m/>
    <s v="H"/>
    <x v="1"/>
    <s v="LIMOUSIN"/>
    <s v="10 años 2 meses"/>
    <s v="30-10-2015"/>
    <s v="Vivo"/>
    <x v="3"/>
    <s v="11.1.01.1241"/>
    <s v="11.1.01.1241"/>
    <s v="SI"/>
    <m/>
  </r>
  <r>
    <n v="8933589"/>
    <m/>
    <m/>
    <e v="#N/A"/>
    <m/>
    <d v="2021-10-30T00:00:00"/>
    <m/>
    <d v="2023-11-23T00:00:00"/>
    <m/>
    <m/>
    <s v="H"/>
    <x v="1"/>
    <s v="ANGUS NEGRO"/>
    <s v="10 años 2 meses"/>
    <s v="30-10-2015"/>
    <s v="Vivo"/>
    <x v="3"/>
    <s v="11.1.01.1241"/>
    <s v="11.1.01.1241"/>
    <s v="SI"/>
    <m/>
  </r>
  <r>
    <n v="8933596"/>
    <m/>
    <m/>
    <e v="#N/A"/>
    <m/>
    <m/>
    <m/>
    <d v="2023-06-13T00:00:00"/>
    <m/>
    <m/>
    <s v="H"/>
    <x v="1"/>
    <s v="ANGUS NEGRO"/>
    <s v="10 años 2 meses"/>
    <s v="30-10-2015"/>
    <s v="Vivo"/>
    <x v="0"/>
    <s v="11.2.01.0038"/>
    <s v="11.1.01.1241"/>
    <s v="SI"/>
    <m/>
  </r>
  <r>
    <n v="8933599"/>
    <m/>
    <m/>
    <e v="#N/A"/>
    <m/>
    <m/>
    <m/>
    <d v="2023-06-13T00:00:00"/>
    <m/>
    <m/>
    <s v="H"/>
    <x v="1"/>
    <s v="ANGUS NEGRO"/>
    <s v="10 años 2 meses"/>
    <s v="30-10-2015"/>
    <s v="Vivo"/>
    <x v="0"/>
    <s v="11.1.01.0791"/>
    <s v="11.1.01.1241"/>
    <s v="SI"/>
    <m/>
  </r>
  <r>
    <n v="8935707"/>
    <m/>
    <m/>
    <e v="#N/A"/>
    <m/>
    <m/>
    <m/>
    <d v="2023-11-10T00:00:00"/>
    <m/>
    <m/>
    <s v="H"/>
    <x v="1"/>
    <s v="ANGUS NEGRO"/>
    <s v="12 años 3 meses"/>
    <s v="15-10-2013"/>
    <s v="Vivo"/>
    <x v="8"/>
    <s v="11.1.01.1241"/>
    <s v="11.1.01.0790"/>
    <s v="SI"/>
    <m/>
  </r>
  <r>
    <n v="8935710"/>
    <m/>
    <m/>
    <e v="#N/A"/>
    <m/>
    <m/>
    <m/>
    <d v="2023-10-16T00:00:00"/>
    <m/>
    <m/>
    <s v="H"/>
    <x v="1"/>
    <s v="ANGUS ROJO"/>
    <s v="12 años 2 meses"/>
    <s v="30-10-2013"/>
    <s v="Vivo"/>
    <x v="0"/>
    <s v="11.1.01.1022"/>
    <s v="11.1.01.0790"/>
    <s v="SI"/>
    <m/>
  </r>
  <r>
    <n v="8935721"/>
    <m/>
    <m/>
    <e v="#N/A"/>
    <m/>
    <m/>
    <m/>
    <d v="2023-12-05T00:00:00"/>
    <m/>
    <m/>
    <s v="H"/>
    <x v="1"/>
    <s v="ANGUS NEGRO"/>
    <s v="12 años 1 meses"/>
    <s v="30-11-2013"/>
    <s v="Vivo"/>
    <x v="0"/>
    <s v="11.2.01.0038"/>
    <s v="11.1.01.0790"/>
    <s v="SI"/>
    <m/>
  </r>
  <r>
    <n v="8935725"/>
    <m/>
    <m/>
    <e v="#N/A"/>
    <m/>
    <m/>
    <m/>
    <d v="2023-06-13T00:00:00"/>
    <m/>
    <m/>
    <s v="H"/>
    <x v="1"/>
    <s v="ANGUS ROJO"/>
    <s v="12 años 1 meses"/>
    <s v="30-11-2013"/>
    <s v="Vivo"/>
    <x v="3"/>
    <s v="11.1.01.1241"/>
    <s v="11.1.01.0790"/>
    <s v="SI"/>
    <m/>
  </r>
  <r>
    <n v="8935725"/>
    <m/>
    <m/>
    <e v="#N/A"/>
    <m/>
    <m/>
    <m/>
    <m/>
    <m/>
    <m/>
    <s v="H"/>
    <x v="1"/>
    <s v="ANGUS ROJO"/>
    <s v="12 años 1 meses"/>
    <s v="30-11-2013"/>
    <s v="Vivo"/>
    <x v="3"/>
    <s v="11.1.01.1241"/>
    <s v="11.1.01.0790"/>
    <s v="SI"/>
    <m/>
  </r>
  <r>
    <n v="8935744"/>
    <m/>
    <m/>
    <e v="#N/A"/>
    <m/>
    <m/>
    <m/>
    <m/>
    <m/>
    <m/>
    <s v="H"/>
    <x v="1"/>
    <s v="ANGUS ROJO"/>
    <s v="12 años 2 meses"/>
    <s v="30-10-2013"/>
    <s v="Vivo"/>
    <x v="0"/>
    <s v="11.1.01.0893"/>
    <s v="11.1.01.0790"/>
    <s v="SI"/>
    <m/>
  </r>
  <r>
    <n v="8935744"/>
    <m/>
    <m/>
    <e v="#N/A"/>
    <m/>
    <m/>
    <m/>
    <m/>
    <m/>
    <m/>
    <s v="H"/>
    <x v="1"/>
    <s v="ANGUS ROJO"/>
    <s v="12 años 2 meses"/>
    <s v="30-10-2013"/>
    <s v="Vivo"/>
    <x v="0"/>
    <s v="11.1.01.0893"/>
    <s v="11.1.01.0790"/>
    <s v="SI"/>
    <m/>
  </r>
  <r>
    <n v="8935754"/>
    <m/>
    <m/>
    <e v="#N/A"/>
    <m/>
    <m/>
    <m/>
    <d v="2023-06-13T00:00:00"/>
    <m/>
    <m/>
    <s v="H"/>
    <x v="1"/>
    <s v="HEREFORD"/>
    <s v="12 años 2 meses"/>
    <s v="30-10-2013"/>
    <s v="Vivo"/>
    <x v="0"/>
    <s v="11.1.01.0791"/>
    <s v="11.1.01.0790"/>
    <s v="SI"/>
    <m/>
  </r>
  <r>
    <n v="8935754"/>
    <m/>
    <m/>
    <e v="#N/A"/>
    <m/>
    <m/>
    <m/>
    <m/>
    <m/>
    <m/>
    <s v="H"/>
    <x v="1"/>
    <s v="HEREFORD"/>
    <s v="12 años 2 meses"/>
    <s v="30-10-2013"/>
    <s v="Vivo"/>
    <x v="0"/>
    <s v="11.1.01.0791"/>
    <s v="11.1.01.0790"/>
    <s v="SI"/>
    <m/>
  </r>
  <r>
    <n v="8935766"/>
    <m/>
    <m/>
    <e v="#N/A"/>
    <m/>
    <d v="2021-06-03T00:00:00"/>
    <m/>
    <d v="2023-10-16T00:00:00"/>
    <m/>
    <m/>
    <s v="H"/>
    <x v="1"/>
    <s v="HEREFORD"/>
    <s v="12 años 3 meses"/>
    <s v="15-10-2013"/>
    <s v="Vivo"/>
    <x v="2"/>
    <s v="11.1.01.0791"/>
    <s v="11.1.01.0790"/>
    <s v="SI"/>
    <m/>
  </r>
  <r>
    <n v="8935766"/>
    <m/>
    <m/>
    <e v="#N/A"/>
    <m/>
    <m/>
    <m/>
    <m/>
    <m/>
    <m/>
    <s v="H"/>
    <x v="1"/>
    <s v="HEREFORD"/>
    <s v="12 años 3 meses"/>
    <s v="15-10-2013"/>
    <s v="Vivo"/>
    <x v="2"/>
    <s v="11.1.01.0791"/>
    <s v="11.1.01.0790"/>
    <s v="SI"/>
    <m/>
  </r>
  <r>
    <n v="8935771"/>
    <m/>
    <m/>
    <e v="#N/A"/>
    <m/>
    <d v="2021-06-03T00:00:00"/>
    <m/>
    <m/>
    <d v="2024-12-22T00:00:00"/>
    <d v="2025-01-14T00:00:00"/>
    <s v="H"/>
    <x v="1"/>
    <s v="ANGUS NEGRO"/>
    <s v="12 años 1 meses"/>
    <s v="30-11-2013"/>
    <s v="Vivo"/>
    <x v="7"/>
    <s v="11.1.01.0190"/>
    <s v="11.1.01.0790"/>
    <s v="SI"/>
    <m/>
  </r>
  <r>
    <n v="8935776"/>
    <m/>
    <m/>
    <e v="#N/A"/>
    <m/>
    <d v="2021-06-03T00:00:00"/>
    <m/>
    <d v="2023-10-16T00:00:00"/>
    <m/>
    <m/>
    <s v="H"/>
    <x v="1"/>
    <s v="HEREFORD"/>
    <s v="11 años 11 meses"/>
    <s v="30-01-2014"/>
    <s v="Vivo"/>
    <x v="2"/>
    <s v="11.1.01.0790"/>
    <s v="11.1.01.0790"/>
    <s v="SI"/>
    <m/>
  </r>
  <r>
    <n v="8935783"/>
    <m/>
    <m/>
    <e v="#N/A"/>
    <m/>
    <d v="2021-06-03T00:00:00"/>
    <m/>
    <d v="2023-10-16T00:00:00"/>
    <m/>
    <m/>
    <s v="H"/>
    <x v="1"/>
    <s v="HEREFORD"/>
    <s v="12 años 1 meses"/>
    <s v="30-11-2013"/>
    <s v="Vivo"/>
    <x v="0"/>
    <s v="11.1.01.0791"/>
    <s v="11.2.01.2071"/>
    <s v="SI"/>
    <m/>
  </r>
  <r>
    <n v="8935787"/>
    <m/>
    <m/>
    <e v="#N/A"/>
    <m/>
    <m/>
    <m/>
    <m/>
    <m/>
    <m/>
    <s v="H"/>
    <x v="1"/>
    <s v="HEREFORD"/>
    <s v="12 años 2 meses"/>
    <s v="30-10-2013"/>
    <s v="Vivo"/>
    <x v="3"/>
    <s v="11.1.01.0893"/>
    <s v="11.2.01.2071"/>
    <s v="SI"/>
    <m/>
  </r>
  <r>
    <n v="8935792"/>
    <m/>
    <m/>
    <e v="#N/A"/>
    <m/>
    <m/>
    <m/>
    <m/>
    <m/>
    <m/>
    <s v="H"/>
    <x v="1"/>
    <s v="ANGUS NEGRO"/>
    <s v="12 años 2 meses"/>
    <s v="30-10-2013"/>
    <s v="Vivo"/>
    <x v="0"/>
    <s v="11.1.01.0791"/>
    <s v="11.2.01.2071"/>
    <s v="SI"/>
    <m/>
  </r>
  <r>
    <n v="8935794"/>
    <m/>
    <m/>
    <e v="#N/A"/>
    <m/>
    <d v="2021-06-03T00:00:00"/>
    <m/>
    <m/>
    <m/>
    <m/>
    <s v="H"/>
    <x v="1"/>
    <s v="ANGUS NEGRO"/>
    <s v="12 años 2 meses"/>
    <s v="30-10-2013"/>
    <s v="Vivo"/>
    <x v="0"/>
    <s v="11.2.01.0038"/>
    <s v="11.2.01.2071"/>
    <s v="SI"/>
    <m/>
  </r>
  <r>
    <n v="8935817"/>
    <m/>
    <m/>
    <e v="#N/A"/>
    <m/>
    <d v="2021-06-03T00:00:00"/>
    <m/>
    <m/>
    <m/>
    <m/>
    <s v="H"/>
    <x v="1"/>
    <s v="HEREFORD"/>
    <s v="12 años 2 meses"/>
    <s v="30-10-2013"/>
    <s v="Vivo"/>
    <x v="2"/>
    <s v="11.2.01.2071"/>
    <s v="11.2.01.2071"/>
    <s v="SI"/>
    <m/>
  </r>
  <r>
    <n v="8935825"/>
    <m/>
    <m/>
    <e v="#N/A"/>
    <m/>
    <d v="2021-06-03T00:00:00"/>
    <m/>
    <d v="2023-11-10T00:00:00"/>
    <m/>
    <m/>
    <s v="H"/>
    <x v="1"/>
    <s v="ANGUS NEGRO"/>
    <s v="12 años 2 meses"/>
    <s v="30-10-2013"/>
    <s v="Vivo"/>
    <x v="2"/>
    <s v="11.2.01.2071"/>
    <s v="11.2.01.2071"/>
    <s v="SI"/>
    <m/>
  </r>
  <r>
    <n v="8935853"/>
    <m/>
    <m/>
    <e v="#N/A"/>
    <m/>
    <d v="2021-10-30T00:00:00"/>
    <m/>
    <d v="2023-06-13T00:00:00"/>
    <m/>
    <m/>
    <s v="H"/>
    <x v="1"/>
    <s v="LIMOUSIN"/>
    <s v="11 años 11 meses"/>
    <s v="30-01-2014"/>
    <s v="Vivo"/>
    <x v="0"/>
    <s v="11.2.01.2071"/>
    <s v="11.2.01.2071"/>
    <s v="SI"/>
    <m/>
  </r>
  <r>
    <n v="8935863"/>
    <m/>
    <m/>
    <e v="#N/A"/>
    <m/>
    <d v="2021-10-30T00:00:00"/>
    <m/>
    <d v="2023-06-13T00:00:00"/>
    <m/>
    <m/>
    <s v="H"/>
    <x v="1"/>
    <s v="ANGUS ROJO"/>
    <s v="11 años 3 meses"/>
    <s v="30-09-2014"/>
    <s v="Vivo"/>
    <x v="2"/>
    <s v="11.1.01.1241"/>
    <s v="11.2.01.2071"/>
    <s v="SI"/>
    <m/>
  </r>
  <r>
    <n v="8935869"/>
    <m/>
    <m/>
    <e v="#N/A"/>
    <m/>
    <d v="2021-07-08T00:00:00"/>
    <d v="2022-11-02T00:00:00"/>
    <d v="2023-11-24T00:00:00"/>
    <m/>
    <m/>
    <s v="M"/>
    <x v="2"/>
    <s v="ANGUS NEGRO"/>
    <s v="11 años 2 meses"/>
    <s v="15-11-2014"/>
    <s v="Vivo"/>
    <x v="0"/>
    <s v="11.2.01.2071"/>
    <s v="11.2.01.2071"/>
    <s v="SI"/>
    <m/>
  </r>
  <r>
    <n v="8937507"/>
    <m/>
    <m/>
    <e v="#N/A"/>
    <m/>
    <d v="2021-07-27T00:00:00"/>
    <d v="2022-12-28T00:00:00"/>
    <d v="2023-11-09T00:00:00"/>
    <d v="2024-01-06T00:00:00"/>
    <m/>
    <s v="H"/>
    <x v="1"/>
    <s v="ANGUS NEGRO"/>
    <s v="11 años 2 meses"/>
    <s v="30-10-2014"/>
    <s v="Vivo"/>
    <x v="4"/>
    <s v="11.1.01.0893"/>
    <s v="11.1.01.2304"/>
    <s v="SI"/>
    <d v="2021-02-06T00:00:00"/>
  </r>
  <r>
    <n v="8937521"/>
    <m/>
    <m/>
    <e v="#N/A"/>
    <m/>
    <m/>
    <m/>
    <d v="2023-10-16T00:00:00"/>
    <m/>
    <m/>
    <s v="H"/>
    <x v="1"/>
    <s v="ANGUS NEGRO"/>
    <s v="11 años 3 meses"/>
    <s v="30-09-2014"/>
    <s v="Vivo"/>
    <x v="2"/>
    <s v="11.1.01.0791"/>
    <s v="11.1.01.2304"/>
    <s v="SI"/>
    <d v="2015-01-20T00:00:00"/>
  </r>
  <r>
    <n v="8937525"/>
    <m/>
    <m/>
    <e v="#N/A"/>
    <m/>
    <m/>
    <m/>
    <d v="2023-10-16T00:00:00"/>
    <m/>
    <m/>
    <s v="H"/>
    <x v="1"/>
    <s v="ANGUS ROJO"/>
    <s v="11 años 3 meses"/>
    <s v="30-09-2014"/>
    <s v="Vivo"/>
    <x v="0"/>
    <s v="11.1.01.1241"/>
    <s v="11.1.01.2304"/>
    <s v="SI"/>
    <d v="2015-01-20T00:00:00"/>
  </r>
  <r>
    <n v="8937526"/>
    <m/>
    <m/>
    <e v="#N/A"/>
    <m/>
    <m/>
    <m/>
    <d v="2023-06-13T00:00:00"/>
    <m/>
    <m/>
    <s v="H"/>
    <x v="1"/>
    <s v="ANGUS NEGRO"/>
    <s v="11 años 2 meses"/>
    <s v="30-10-2014"/>
    <s v="Vivo"/>
    <x v="0"/>
    <s v="11.1.01.1241"/>
    <s v="11.1.01.2304"/>
    <s v="SI"/>
    <d v="2015-01-20T00:00:00"/>
  </r>
  <r>
    <n v="8937542"/>
    <m/>
    <m/>
    <e v="#N/A"/>
    <m/>
    <m/>
    <m/>
    <d v="2023-10-16T00:00:00"/>
    <m/>
    <m/>
    <s v="H"/>
    <x v="1"/>
    <s v="ANGUS NEGRO"/>
    <s v="11 años 3 meses"/>
    <s v="30-09-2014"/>
    <s v="Vivo"/>
    <x v="0"/>
    <s v="11.1.01.0893"/>
    <s v="11.1.01.2304"/>
    <s v="SI"/>
    <d v="2015-01-20T00:00:00"/>
  </r>
  <r>
    <n v="8937548"/>
    <m/>
    <m/>
    <e v="#N/A"/>
    <m/>
    <m/>
    <m/>
    <d v="2023-06-13T00:00:00"/>
    <m/>
    <m/>
    <s v="H"/>
    <x v="1"/>
    <s v="ANGUS NEGRO"/>
    <s v="11 años 3 meses"/>
    <s v="15-10-2014"/>
    <s v="Vivo"/>
    <x v="0"/>
    <s v="11.1.01.2304"/>
    <s v="11.1.01.2304"/>
    <s v="SI"/>
    <d v="2015-01-20T00:00:00"/>
  </r>
  <r>
    <n v="8937552"/>
    <m/>
    <m/>
    <e v="#N/A"/>
    <m/>
    <m/>
    <m/>
    <d v="2023-10-16T00:00:00"/>
    <m/>
    <m/>
    <s v="M"/>
    <x v="2"/>
    <s v="ANGUS NEGRO"/>
    <s v="11 años 3 meses"/>
    <s v="30-09-2014"/>
    <s v="Vivo"/>
    <x v="0"/>
    <s v="11.1.01.2304"/>
    <s v="11.1.01.2304"/>
    <s v="SI"/>
    <d v="2015-01-20T00:00:00"/>
  </r>
  <r>
    <n v="8937560"/>
    <m/>
    <m/>
    <e v="#N/A"/>
    <m/>
    <m/>
    <m/>
    <m/>
    <m/>
    <m/>
    <s v="H"/>
    <x v="1"/>
    <s v="HEREFORD"/>
    <s v="11 años 4 meses"/>
    <s v="30-08-2014"/>
    <s v="Vivo"/>
    <x v="0"/>
    <s v="11.1.01.2304"/>
    <s v="11.1.01.2304"/>
    <s v="SI"/>
    <d v="2015-01-20T00:00:00"/>
  </r>
  <r>
    <n v="8937566"/>
    <m/>
    <m/>
    <e v="#N/A"/>
    <m/>
    <m/>
    <m/>
    <m/>
    <m/>
    <m/>
    <s v="H"/>
    <x v="1"/>
    <s v="ANGUS NEGRO"/>
    <s v="11 años 3 meses"/>
    <s v="30-09-2014"/>
    <s v="Vivo"/>
    <x v="2"/>
    <s v="11.1.01.1241"/>
    <s v="11.1.01.2304"/>
    <s v="SI"/>
    <d v="2015-01-20T00:00:00"/>
  </r>
  <r>
    <n v="8937567"/>
    <m/>
    <m/>
    <e v="#N/A"/>
    <m/>
    <m/>
    <m/>
    <d v="2023-10-16T00:00:00"/>
    <m/>
    <m/>
    <s v="H"/>
    <x v="1"/>
    <s v="ANGUS NEGRO"/>
    <s v="11 años 4 meses"/>
    <s v="30-08-2014"/>
    <s v="Vivo"/>
    <x v="3"/>
    <s v="11.1.01.0893"/>
    <s v="11.1.01.2304"/>
    <s v="SI"/>
    <d v="2015-01-20T00:00:00"/>
  </r>
  <r>
    <n v="8937574"/>
    <m/>
    <m/>
    <e v="#N/A"/>
    <m/>
    <m/>
    <m/>
    <d v="2023-10-16T00:00:00"/>
    <m/>
    <m/>
    <s v="M"/>
    <x v="2"/>
    <s v="ANGUS NEGRO"/>
    <s v="11 años 3 meses"/>
    <s v="15-10-2014"/>
    <s v="Vivo"/>
    <x v="0"/>
    <s v="11.1.01.2304"/>
    <s v="11.1.01.2304"/>
    <s v="SI"/>
    <m/>
  </r>
  <r>
    <n v="8937575"/>
    <m/>
    <m/>
    <e v="#N/A"/>
    <m/>
    <m/>
    <m/>
    <d v="2023-12-04T00:00:00"/>
    <m/>
    <m/>
    <s v="M"/>
    <x v="2"/>
    <s v="ANGUS NEGRO"/>
    <s v="11 años 4 meses"/>
    <s v="30-08-2014"/>
    <s v="Vivo"/>
    <x v="0"/>
    <s v="11.1.01.2304"/>
    <s v="11.1.01.2304"/>
    <s v="SI"/>
    <m/>
  </r>
  <r>
    <n v="8937583"/>
    <m/>
    <m/>
    <e v="#N/A"/>
    <m/>
    <m/>
    <m/>
    <d v="2023-12-04T00:00:00"/>
    <m/>
    <m/>
    <s v="H"/>
    <x v="1"/>
    <s v="ANGUS NEGRO"/>
    <s v="11 años 3 meses"/>
    <s v="30-09-2014"/>
    <s v="Vivo"/>
    <x v="0"/>
    <s v="11.2.01.0038"/>
    <s v="11.1.01.2304"/>
    <s v="SI"/>
    <m/>
  </r>
  <r>
    <n v="8937587"/>
    <m/>
    <m/>
    <e v="#N/A"/>
    <m/>
    <m/>
    <m/>
    <d v="2023-11-23T00:00:00"/>
    <m/>
    <m/>
    <s v="M"/>
    <x v="2"/>
    <s v="ANGUS NEGRO"/>
    <s v="11 años 2 meses"/>
    <s v="30-10-2014"/>
    <s v="Vivo"/>
    <x v="0"/>
    <s v="11.1.01.2304"/>
    <s v="11.1.01.2304"/>
    <s v="SI"/>
    <m/>
  </r>
  <r>
    <n v="8937588"/>
    <m/>
    <m/>
    <e v="#N/A"/>
    <m/>
    <m/>
    <m/>
    <d v="2023-12-04T00:00:00"/>
    <m/>
    <m/>
    <s v="H"/>
    <x v="1"/>
    <s v="ANGUS NEGRO"/>
    <s v="11 años 3 meses"/>
    <s v="15-10-2014"/>
    <s v="Vivo"/>
    <x v="2"/>
    <s v="11.1.01.0791"/>
    <s v="11.1.01.2304"/>
    <s v="SI"/>
    <m/>
  </r>
  <r>
    <n v="8937600"/>
    <m/>
    <m/>
    <e v="#N/A"/>
    <m/>
    <m/>
    <m/>
    <d v="2023-12-04T00:00:00"/>
    <m/>
    <m/>
    <s v="H"/>
    <x v="1"/>
    <s v="ANGUS NEGRO"/>
    <s v="11 años 4 meses"/>
    <s v="30-08-2014"/>
    <s v="Vivo"/>
    <x v="2"/>
    <s v="11.1.01.0791"/>
    <s v="11.1.01.2304"/>
    <s v="SI"/>
    <m/>
  </r>
  <r>
    <n v="8937604"/>
    <m/>
    <m/>
    <e v="#N/A"/>
    <m/>
    <m/>
    <m/>
    <d v="2023-12-04T00:00:00"/>
    <m/>
    <m/>
    <s v="H"/>
    <x v="1"/>
    <s v="ANGUS ROJO"/>
    <s v="10 años 11 meses"/>
    <s v="20-01-2015"/>
    <s v="Vivo"/>
    <x v="0"/>
    <s v="11.1.01.2304"/>
    <s v="11.1.01.2304"/>
    <s v="SI"/>
    <m/>
  </r>
  <r>
    <n v="8937608"/>
    <m/>
    <m/>
    <e v="#N/A"/>
    <m/>
    <m/>
    <m/>
    <d v="2023-12-04T00:00:00"/>
    <m/>
    <m/>
    <s v="H"/>
    <x v="1"/>
    <s v="ANGUS ROJO"/>
    <s v="10 años 11 meses"/>
    <s v="20-01-2015"/>
    <s v="Vivo"/>
    <x v="3"/>
    <s v="11.1.01.1241"/>
    <s v="11.1.01.2304"/>
    <s v="SI"/>
    <m/>
  </r>
  <r>
    <n v="8937623"/>
    <m/>
    <m/>
    <e v="#N/A"/>
    <m/>
    <m/>
    <m/>
    <m/>
    <m/>
    <m/>
    <s v="M"/>
    <x v="2"/>
    <s v="LIMOUSIN"/>
    <s v="11 años 1 meses"/>
    <s v="30-11-2014"/>
    <s v="Vivo"/>
    <x v="0"/>
    <s v="11.1.01.2304"/>
    <s v="11.1.01.2304"/>
    <s v="SI"/>
    <m/>
  </r>
  <r>
    <n v="8937624"/>
    <m/>
    <m/>
    <e v="#N/A"/>
    <m/>
    <m/>
    <d v="2022-12-28T00:00:00"/>
    <d v="2023-11-09T00:00:00"/>
    <m/>
    <m/>
    <s v="M"/>
    <x v="2"/>
    <s v="HEREFORD"/>
    <s v="10 años 9 meses"/>
    <s v="30-03-2015"/>
    <s v="Vivo"/>
    <x v="0"/>
    <s v="11.1.01.2304"/>
    <s v="11.1.01.2304"/>
    <s v="SI"/>
    <d v="2015-05-13T00:00:00"/>
  </r>
  <r>
    <n v="8937632"/>
    <m/>
    <m/>
    <e v="#N/A"/>
    <m/>
    <m/>
    <m/>
    <m/>
    <m/>
    <m/>
    <s v="M"/>
    <x v="2"/>
    <s v="LIMOUSIN"/>
    <s v="11 años 2 meses"/>
    <s v="10-11-2014"/>
    <s v="Vivo"/>
    <x v="0"/>
    <s v="11.1.01.2304"/>
    <s v="11.1.01.2304"/>
    <s v="SI"/>
    <d v="2015-05-13T00:00:00"/>
  </r>
  <r>
    <n v="8937642"/>
    <m/>
    <m/>
    <e v="#N/A"/>
    <m/>
    <m/>
    <d v="2022-12-28T00:00:00"/>
    <d v="2023-11-09T00:00:00"/>
    <m/>
    <m/>
    <s v="H"/>
    <x v="1"/>
    <s v="ANGUS ROJO"/>
    <s v="10 años 10 meses"/>
    <s v="28-02-2015"/>
    <s v="Vivo"/>
    <x v="0"/>
    <s v="11.1.01.2304"/>
    <s v="11.1.01.2304"/>
    <s v="SI"/>
    <d v="2015-05-13T00:00:00"/>
  </r>
  <r>
    <n v="8937646"/>
    <m/>
    <m/>
    <e v="#N/A"/>
    <m/>
    <m/>
    <d v="2022-12-28T00:00:00"/>
    <d v="2023-11-17T00:00:00"/>
    <d v="2024-12-22T00:00:00"/>
    <d v="2025-11-05T00:00:00"/>
    <s v="H"/>
    <x v="1"/>
    <s v="ANGUS NEGRO"/>
    <s v="10 años 9 meses"/>
    <s v="30-03-2015"/>
    <s v="Vivo"/>
    <x v="7"/>
    <s v="11.1.01.0190"/>
    <s v="11.1.01.2304"/>
    <s v="SI"/>
    <d v="2015-05-13T00:00:00"/>
  </r>
  <r>
    <n v="8937647"/>
    <m/>
    <m/>
    <e v="#N/A"/>
    <m/>
    <m/>
    <d v="2022-05-26T00:00:00"/>
    <m/>
    <m/>
    <m/>
    <s v="M"/>
    <x v="2"/>
    <s v="ANGUS NEGRO"/>
    <s v="10 años 11 meses"/>
    <s v="30-01-2015"/>
    <s v="Vivo"/>
    <x v="0"/>
    <s v="11.1.01.2304"/>
    <s v="11.1.01.2304"/>
    <s v="SI"/>
    <d v="2015-05-13T00:00:00"/>
  </r>
  <r>
    <n v="8937651"/>
    <m/>
    <m/>
    <e v="#N/A"/>
    <m/>
    <m/>
    <d v="2022-12-28T00:00:00"/>
    <d v="2023-11-09T00:00:00"/>
    <m/>
    <m/>
    <s v="H"/>
    <x v="1"/>
    <s v="OVERO COLORADO (CLAVEL ALEMAN)"/>
    <s v="10 años 9 meses"/>
    <s v="30-03-2015"/>
    <s v="Vivo"/>
    <x v="0"/>
    <s v="11.2.01.0038"/>
    <s v="11.1.01.2304"/>
    <s v="SI"/>
    <d v="2015-05-13T00:00:00"/>
  </r>
  <r>
    <n v="8937674"/>
    <m/>
    <m/>
    <e v="#N/A"/>
    <m/>
    <m/>
    <d v="2022-12-28T00:00:00"/>
    <d v="2023-11-09T00:00:00"/>
    <m/>
    <m/>
    <s v="H"/>
    <x v="1"/>
    <s v="ANGUS NEGRO"/>
    <s v="10 años 3 meses"/>
    <s v="05-10-2015"/>
    <s v="Vivo"/>
    <x v="0"/>
    <s v="11.2.01.0038"/>
    <s v="11.1.01.2304"/>
    <s v="SI"/>
    <d v="2015-05-13T00:00:00"/>
  </r>
  <r>
    <n v="8937676"/>
    <m/>
    <m/>
    <e v="#N/A"/>
    <m/>
    <m/>
    <d v="2022-12-28T00:00:00"/>
    <d v="2023-11-09T00:00:00"/>
    <m/>
    <m/>
    <s v="H"/>
    <x v="1"/>
    <s v="ANGUS NEGRO"/>
    <s v="10 años 3 meses"/>
    <s v="30-09-2015"/>
    <s v="Vivo"/>
    <x v="0"/>
    <s v="11.1.01.0791"/>
    <s v="11.1.01.2304"/>
    <s v="SI"/>
    <d v="2015-05-13T00:00:00"/>
  </r>
  <r>
    <n v="8937682"/>
    <m/>
    <m/>
    <e v="#N/A"/>
    <m/>
    <m/>
    <d v="2022-06-06T00:00:00"/>
    <m/>
    <m/>
    <m/>
    <s v="H"/>
    <x v="1"/>
    <s v="ANGUS ROJO"/>
    <s v="10 años 3 meses"/>
    <s v="10-10-2015"/>
    <s v="Vivo"/>
    <x v="0"/>
    <s v="11.1.01.0893"/>
    <s v="11.1.01.2304"/>
    <s v="SI"/>
    <d v="2015-05-13T00:00:00"/>
  </r>
  <r>
    <n v="8937685"/>
    <m/>
    <m/>
    <e v="#N/A"/>
    <m/>
    <m/>
    <d v="2022-12-28T00:00:00"/>
    <d v="2023-11-09T00:00:00"/>
    <m/>
    <m/>
    <s v="M"/>
    <x v="2"/>
    <s v="ANGUS NEGRO"/>
    <s v="10 años 6 meses"/>
    <s v="30-06-2015"/>
    <s v="Vivo"/>
    <x v="0"/>
    <s v="11.1.01.2304"/>
    <s v="11.1.01.2304"/>
    <s v="SI"/>
    <d v="2015-05-13T00:00:00"/>
  </r>
  <r>
    <n v="8937691"/>
    <m/>
    <m/>
    <e v="#N/A"/>
    <m/>
    <m/>
    <d v="2022-12-28T00:00:00"/>
    <d v="2023-11-09T00:00:00"/>
    <m/>
    <m/>
    <s v="M"/>
    <x v="2"/>
    <s v="ANGUS NEGRO"/>
    <s v="10 años 3 meses"/>
    <s v="30-09-2015"/>
    <s v="Vivo"/>
    <x v="0"/>
    <s v="11.1.01.2304"/>
    <s v="11.1.01.2304"/>
    <s v="SI"/>
    <d v="2015-05-13T00:00:00"/>
  </r>
  <r>
    <n v="8937696"/>
    <m/>
    <m/>
    <e v="#N/A"/>
    <m/>
    <m/>
    <d v="2022-12-28T00:00:00"/>
    <d v="2023-12-05T00:00:00"/>
    <m/>
    <m/>
    <s v="H"/>
    <x v="1"/>
    <s v="ANGUS NEGRO"/>
    <s v="10 años 3 meses"/>
    <s v="30-09-2015"/>
    <s v="Vivo"/>
    <x v="0"/>
    <s v="11.1.01.2304"/>
    <s v="11.1.01.2304"/>
    <s v="SI"/>
    <d v="2015-05-13T00:00:00"/>
  </r>
  <r>
    <n v="8937718"/>
    <m/>
    <m/>
    <e v="#N/A"/>
    <m/>
    <m/>
    <d v="2022-12-28T00:00:00"/>
    <d v="2023-11-17T00:00:00"/>
    <d v="2024-12-22T00:00:00"/>
    <d v="2025-11-05T00:00:00"/>
    <s v="H"/>
    <x v="1"/>
    <s v="ANGUS NEGRO"/>
    <s v="10 años 3 meses"/>
    <s v="10-10-2015"/>
    <s v="Vivo"/>
    <x v="7"/>
    <s v="11.1.01.0190"/>
    <s v="11.1.01.2304"/>
    <s v="SI"/>
    <d v="2015-05-13T00:00:00"/>
  </r>
  <r>
    <n v="8937721"/>
    <m/>
    <m/>
    <e v="#N/A"/>
    <m/>
    <m/>
    <m/>
    <m/>
    <m/>
    <m/>
    <s v="H"/>
    <x v="1"/>
    <s v="ANGUS NEGRO"/>
    <s v="10 años 3 meses"/>
    <s v="30-09-2015"/>
    <s v="Vivo"/>
    <x v="3"/>
    <s v="11.1.01.1241"/>
    <s v="11.1.01.2304"/>
    <s v="SI"/>
    <d v="2015-05-13T00:00:00"/>
  </r>
  <r>
    <n v="8937759"/>
    <m/>
    <m/>
    <e v="#N/A"/>
    <m/>
    <m/>
    <d v="2022-12-28T00:00:00"/>
    <d v="2023-11-17T00:00:00"/>
    <m/>
    <m/>
    <s v="H"/>
    <x v="1"/>
    <s v="ANGUS ROJO"/>
    <s v="10 años 0 meses"/>
    <s v="30-12-2015"/>
    <s v="Vivo"/>
    <x v="2"/>
    <s v="11.1.01.1241"/>
    <s v="11.1.01.1241"/>
    <s v="SI"/>
    <d v="2015-05-13T00:00:00"/>
  </r>
  <r>
    <n v="8937762"/>
    <m/>
    <m/>
    <e v="#N/A"/>
    <m/>
    <m/>
    <m/>
    <m/>
    <m/>
    <m/>
    <s v="H"/>
    <x v="1"/>
    <s v="ANGUS NEGRO"/>
    <s v="9 años 10 meses"/>
    <s v="28-02-2016"/>
    <s v="Vivo"/>
    <x v="0"/>
    <s v="11.1.01.0893"/>
    <s v="11.1.01.1241"/>
    <s v="SI"/>
    <m/>
  </r>
  <r>
    <n v="8937776"/>
    <m/>
    <m/>
    <e v="#N/A"/>
    <m/>
    <m/>
    <d v="2022-12-28T00:00:00"/>
    <d v="2023-11-09T00:00:00"/>
    <m/>
    <m/>
    <s v="no existe"/>
    <x v="3"/>
    <s v="no existe"/>
    <s v="no existe"/>
    <s v="no existe"/>
    <s v="no existe"/>
    <x v="5"/>
    <s v="no existe"/>
    <s v="no existe"/>
    <s v="no existe"/>
    <m/>
  </r>
  <r>
    <n v="8937777"/>
    <m/>
    <m/>
    <e v="#N/A"/>
    <m/>
    <m/>
    <d v="2022-06-06T00:00:00"/>
    <m/>
    <m/>
    <m/>
    <s v="no existe"/>
    <x v="3"/>
    <s v="no existe"/>
    <s v="no existe"/>
    <s v="no existe"/>
    <s v="no existe"/>
    <x v="5"/>
    <s v="no existe"/>
    <s v="no existe"/>
    <s v="no existe"/>
    <m/>
  </r>
  <r>
    <n v="9005323"/>
    <m/>
    <m/>
    <e v="#N/A"/>
    <m/>
    <m/>
    <d v="2022-12-28T00:00:00"/>
    <d v="2023-11-17T00:00:00"/>
    <m/>
    <m/>
    <s v="M"/>
    <x v="2"/>
    <s v="ANGUS NEGRO"/>
    <s v="12 años 3 meses"/>
    <s v="15-10-2013"/>
    <s v="Vivo"/>
    <x v="0"/>
    <s v="11.1.01.0791"/>
    <s v="11.1.01.0290"/>
    <s v="SI"/>
    <m/>
  </r>
  <r>
    <n v="9005327"/>
    <m/>
    <m/>
    <e v="#N/A"/>
    <m/>
    <m/>
    <d v="2022-12-28T00:00:00"/>
    <d v="2023-11-09T00:00:00"/>
    <m/>
    <m/>
    <s v="M"/>
    <x v="2"/>
    <s v="ANGUS NEGRO"/>
    <s v="12 años 3 meses"/>
    <s v="15-10-2013"/>
    <s v="Vivo"/>
    <x v="0"/>
    <s v="11.1.01.1081"/>
    <s v="11.1.01.0290"/>
    <s v="SI"/>
    <m/>
  </r>
  <r>
    <n v="9005331"/>
    <m/>
    <m/>
    <e v="#N/A"/>
    <m/>
    <m/>
    <d v="2022-12-28T00:00:00"/>
    <d v="2023-11-09T00:00:00"/>
    <m/>
    <m/>
    <s v="M"/>
    <x v="2"/>
    <s v="ANGUS NEGRO"/>
    <s v="12 años 3 meses"/>
    <s v="15-10-2013"/>
    <s v="Vivo"/>
    <x v="0"/>
    <s v="11.2.01.0038"/>
    <s v="11.1.01.0290"/>
    <s v="SI"/>
    <m/>
  </r>
  <r>
    <n v="9005357"/>
    <m/>
    <m/>
    <e v="#N/A"/>
    <m/>
    <m/>
    <d v="2022-12-28T00:00:00"/>
    <d v="2023-11-17T00:00:00"/>
    <m/>
    <m/>
    <s v="M"/>
    <x v="2"/>
    <s v="ANGUS NEGRO"/>
    <s v="12 años 3 meses"/>
    <s v="15-10-2013"/>
    <s v="Vivo"/>
    <x v="0"/>
    <s v="11.1.01.0893"/>
    <s v="11.1.01.0290"/>
    <s v="SI"/>
    <m/>
  </r>
  <r>
    <n v="9005364"/>
    <m/>
    <m/>
    <e v="#N/A"/>
    <m/>
    <m/>
    <d v="2022-12-28T00:00:00"/>
    <d v="2023-11-09T00:00:00"/>
    <m/>
    <m/>
    <s v="M"/>
    <x v="2"/>
    <s v="ANGUS NEGRO"/>
    <s v="12 años 3 meses"/>
    <s v="15-10-2013"/>
    <s v="Vivo"/>
    <x v="0"/>
    <s v="11.1.01.0893"/>
    <s v="11.1.01.0290"/>
    <s v="SI"/>
    <m/>
  </r>
  <r>
    <n v="9005390"/>
    <m/>
    <m/>
    <e v="#N/A"/>
    <m/>
    <m/>
    <d v="2022-12-28T00:00:00"/>
    <d v="2023-11-17T00:00:00"/>
    <m/>
    <m/>
    <s v="M"/>
    <x v="2"/>
    <s v="ANGUS NEGRO"/>
    <s v="12 años 3 meses"/>
    <s v="15-10-2013"/>
    <s v="Vivo"/>
    <x v="0"/>
    <s v="11.1.01.0791"/>
    <s v="11.1.01.0290"/>
    <s v="SI"/>
    <m/>
  </r>
  <r>
    <n v="9320756"/>
    <m/>
    <m/>
    <e v="#N/A"/>
    <m/>
    <m/>
    <d v="2022-12-28T00:00:00"/>
    <d v="2023-11-17T00:00:00"/>
    <m/>
    <m/>
    <s v="M"/>
    <x v="2"/>
    <s v="ANGUS NEGRO"/>
    <s v="11 años 3 meses"/>
    <s v="30-09-2014"/>
    <s v="Vivo"/>
    <x v="0"/>
    <s v="11.2.01.2071"/>
    <s v="11.2.01.2071"/>
    <s v="SI"/>
    <m/>
  </r>
  <r>
    <n v="9320761"/>
    <m/>
    <m/>
    <e v="#N/A"/>
    <m/>
    <m/>
    <d v="2022-12-28T00:00:00"/>
    <d v="2023-11-17T00:00:00"/>
    <m/>
    <m/>
    <s v="H"/>
    <x v="1"/>
    <s v="ANGUS NEGRO"/>
    <s v="11 años 3 meses"/>
    <s v="30-09-2014"/>
    <s v="Vivo"/>
    <x v="0"/>
    <s v="11.2.01.0038"/>
    <s v="11.2.01.2071"/>
    <s v="SI"/>
    <d v="2015-01-20T00:00:00"/>
  </r>
  <r>
    <n v="9320774"/>
    <m/>
    <m/>
    <e v="#N/A"/>
    <m/>
    <m/>
    <d v="2022-12-28T00:00:00"/>
    <d v="2023-11-17T00:00:00"/>
    <m/>
    <m/>
    <s v="M"/>
    <x v="2"/>
    <s v="ANGUS NEGRO"/>
    <s v="10 años 8 meses"/>
    <s v="30-04-2015"/>
    <s v="Vivo"/>
    <x v="0"/>
    <s v="11.2.01.2071"/>
    <s v="11.2.01.2071"/>
    <s v="SI"/>
    <d v="2015-06-03T00:00:00"/>
  </r>
  <r>
    <n v="9320778"/>
    <m/>
    <m/>
    <e v="#N/A"/>
    <m/>
    <m/>
    <d v="2022-12-28T00:00:00"/>
    <d v="2023-11-09T00:00:00"/>
    <m/>
    <m/>
    <s v="no existe"/>
    <x v="3"/>
    <s v="no existe"/>
    <s v="no existe"/>
    <s v="no existe"/>
    <s v="no existe"/>
    <x v="5"/>
    <s v="no existe"/>
    <s v="no existe"/>
    <s v="no existe"/>
    <m/>
  </r>
  <r>
    <n v="10281938"/>
    <m/>
    <m/>
    <e v="#N/A"/>
    <m/>
    <m/>
    <d v="2022-12-28T00:00:00"/>
    <d v="2023-11-09T00:00:00"/>
    <d v="2024-11-26T00:00:00"/>
    <d v="2025-01-14T00:00:00"/>
    <s v="H"/>
    <x v="1"/>
    <s v="ANGUS NEGRO"/>
    <s v="12 años 1 meses"/>
    <s v="15-12-2013"/>
    <s v="Vivo"/>
    <x v="0"/>
    <s v="11.2.01.0038"/>
    <s v="11.2.01.0011"/>
    <s v="SI"/>
    <d v="2014-04-09T00:00:00"/>
  </r>
  <r>
    <n v="10932004"/>
    <m/>
    <m/>
    <e v="#N/A"/>
    <m/>
    <m/>
    <d v="2022-12-28T00:00:00"/>
    <d v="2023-11-09T00:00:00"/>
    <m/>
    <m/>
    <s v="H"/>
    <x v="1"/>
    <s v="ANGUS NEGRO"/>
    <s v="11 años 3 meses"/>
    <s v="30-09-2014"/>
    <s v="Vivo"/>
    <x v="0"/>
    <s v="11.1.01.0893"/>
    <s v="11.1.01.0790"/>
    <s v="SI"/>
    <d v="2015-01-20T00:00:00"/>
  </r>
  <r>
    <n v="10932021"/>
    <m/>
    <m/>
    <e v="#N/A"/>
    <m/>
    <m/>
    <d v="2022-12-28T00:00:00"/>
    <d v="2023-11-09T00:00:00"/>
    <m/>
    <m/>
    <s v="H"/>
    <x v="1"/>
    <s v="ANGUS NEGRO"/>
    <s v="11 años 3 meses"/>
    <s v="30-09-2014"/>
    <s v="Vivo"/>
    <x v="0"/>
    <s v="11.1.01.0893"/>
    <s v="11.1.01.0790"/>
    <s v="SI"/>
    <m/>
  </r>
  <r>
    <n v="10932028"/>
    <m/>
    <m/>
    <e v="#N/A"/>
    <m/>
    <m/>
    <d v="2022-12-28T00:00:00"/>
    <d v="2023-11-17T00:00:00"/>
    <m/>
    <m/>
    <s v="H"/>
    <x v="1"/>
    <s v="ANGUS ROJO"/>
    <s v="11 años 3 meses"/>
    <s v="30-09-2014"/>
    <s v="Vivo"/>
    <x v="0"/>
    <s v="11.1.01.0893"/>
    <s v="11.1.01.0790"/>
    <s v="SI"/>
    <m/>
  </r>
  <r>
    <n v="10932029"/>
    <m/>
    <m/>
    <e v="#N/A"/>
    <m/>
    <m/>
    <d v="2022-12-28T00:00:00"/>
    <d v="2023-11-09T00:00:00"/>
    <m/>
    <m/>
    <s v="M"/>
    <x v="2"/>
    <s v="ANGUS NEGRO"/>
    <s v="11 años 2 meses"/>
    <s v="30-10-2014"/>
    <s v="Vivo"/>
    <x v="0"/>
    <s v="11.1.01.0790"/>
    <s v="11.1.01.0790"/>
    <s v="SI"/>
    <m/>
  </r>
  <r>
    <n v="10932035"/>
    <m/>
    <m/>
    <e v="#N/A"/>
    <m/>
    <m/>
    <d v="2022-12-28T00:00:00"/>
    <d v="2023-11-17T00:00:00"/>
    <m/>
    <m/>
    <s v="H"/>
    <x v="1"/>
    <s v="ANGUS NEGRO"/>
    <s v="11 años 2 meses"/>
    <s v="30-10-2014"/>
    <s v="Vivo"/>
    <x v="0"/>
    <s v="11.1.01.0893"/>
    <s v="11.1.01.0790"/>
    <s v="SI"/>
    <m/>
  </r>
  <r>
    <n v="10932036"/>
    <m/>
    <m/>
    <e v="#N/A"/>
    <m/>
    <m/>
    <m/>
    <m/>
    <m/>
    <m/>
    <s v="H"/>
    <x v="1"/>
    <s v="ANGUS ROJO"/>
    <s v="11 años 2 meses"/>
    <s v="30-10-2014"/>
    <s v="Vivo"/>
    <x v="0"/>
    <s v="11.1.01.0893"/>
    <s v="11.1.01.0790"/>
    <s v="SI"/>
    <m/>
  </r>
  <r>
    <n v="10932041"/>
    <m/>
    <m/>
    <e v="#N/A"/>
    <m/>
    <m/>
    <d v="2022-12-28T00:00:00"/>
    <d v="2023-11-17T00:00:00"/>
    <m/>
    <m/>
    <s v="H"/>
    <x v="1"/>
    <s v="ANGUS NEGRO"/>
    <s v="11 años 3 meses"/>
    <s v="30-09-2014"/>
    <s v="Vivo"/>
    <x v="0"/>
    <s v="11.1.01.0893"/>
    <s v="11.1.01.0790"/>
    <s v="SI"/>
    <m/>
  </r>
  <r>
    <n v="10932054"/>
    <m/>
    <m/>
    <e v="#N/A"/>
    <m/>
    <m/>
    <d v="2022-12-28T00:00:00"/>
    <d v="2023-11-17T00:00:00"/>
    <m/>
    <m/>
    <s v="H"/>
    <x v="1"/>
    <s v="ANGUS NEGRO"/>
    <s v="11 años 2 meses"/>
    <s v="30-10-2014"/>
    <s v="Vivo"/>
    <x v="0"/>
    <s v="11.1.01.0893"/>
    <s v="11.1.01.0790"/>
    <s v="SI"/>
    <m/>
  </r>
  <r>
    <n v="10932055"/>
    <m/>
    <m/>
    <e v="#N/A"/>
    <m/>
    <m/>
    <d v="2022-12-28T00:00:00"/>
    <d v="2023-11-09T00:00:00"/>
    <m/>
    <m/>
    <s v="H"/>
    <x v="1"/>
    <s v="HEREFORD"/>
    <s v="11 años 2 meses"/>
    <s v="30-10-2014"/>
    <s v="Vivo"/>
    <x v="0"/>
    <s v="11.1.01.0893"/>
    <s v="11.1.01.0790"/>
    <s v="SI"/>
    <m/>
  </r>
  <r>
    <n v="10932058"/>
    <m/>
    <m/>
    <e v="#N/A"/>
    <m/>
    <m/>
    <m/>
    <m/>
    <m/>
    <m/>
    <s v="M"/>
    <x v="2"/>
    <s v="ANGUS NEGRO"/>
    <s v="11 años 3 meses"/>
    <s v="30-09-2014"/>
    <s v="Vivo"/>
    <x v="2"/>
    <s v="11.1.01.0790"/>
    <s v="11.1.01.0790"/>
    <s v="SI"/>
    <m/>
  </r>
  <r>
    <n v="10932060"/>
    <m/>
    <m/>
    <e v="#N/A"/>
    <m/>
    <m/>
    <d v="2022-12-28T00:00:00"/>
    <d v="2023-11-17T00:00:00"/>
    <m/>
    <m/>
    <s v="H"/>
    <x v="1"/>
    <s v="OVERO NEGRO"/>
    <s v="11 años 3 meses"/>
    <s v="30-09-2014"/>
    <s v="Vivo"/>
    <x v="0"/>
    <s v="11.1.01.0893"/>
    <s v="11.1.01.0790"/>
    <s v="SI"/>
    <m/>
  </r>
  <r>
    <n v="10932065"/>
    <m/>
    <m/>
    <e v="#N/A"/>
    <m/>
    <m/>
    <d v="2022-12-28T00:00:00"/>
    <d v="2023-11-17T00:00:00"/>
    <d v="2024-12-22T00:00:00"/>
    <d v="2025-11-04T00:00:00"/>
    <s v="H"/>
    <x v="1"/>
    <s v="ANGUS NEGRO"/>
    <s v="11 años 2 meses"/>
    <s v="30-10-2014"/>
    <s v="Vivo"/>
    <x v="6"/>
    <s v="11.1.01.1241"/>
    <s v="11.1.01.0790"/>
    <s v="SI"/>
    <m/>
  </r>
  <r>
    <n v="10932067"/>
    <m/>
    <m/>
    <e v="#N/A"/>
    <m/>
    <m/>
    <d v="2022-12-28T00:00:00"/>
    <d v="2023-11-17T00:00:00"/>
    <m/>
    <m/>
    <s v="H"/>
    <x v="1"/>
    <s v="ANGUS NEGRO"/>
    <s v="11 años 3 meses"/>
    <s v="30-09-2014"/>
    <s v="Vivo"/>
    <x v="0"/>
    <s v="11.1.01.0893"/>
    <s v="11.1.01.0790"/>
    <s v="SI"/>
    <m/>
  </r>
  <r>
    <n v="10932069"/>
    <m/>
    <m/>
    <e v="#N/A"/>
    <m/>
    <m/>
    <m/>
    <m/>
    <m/>
    <m/>
    <s v="H"/>
    <x v="1"/>
    <s v="ANGUS ROJO"/>
    <s v="11 años 2 meses"/>
    <s v="30-10-2014"/>
    <s v="Vivo"/>
    <x v="0"/>
    <s v="11.1.01.0893"/>
    <s v="11.1.01.0790"/>
    <s v="SI"/>
    <m/>
  </r>
  <r>
    <n v="10932070"/>
    <m/>
    <m/>
    <e v="#N/A"/>
    <m/>
    <m/>
    <d v="2022-12-28T00:00:00"/>
    <d v="2023-11-09T00:00:00"/>
    <m/>
    <m/>
    <s v="H"/>
    <x v="1"/>
    <s v="ANGUS NEGRO"/>
    <s v="11 años 3 meses"/>
    <s v="30-09-2014"/>
    <s v="Vivo"/>
    <x v="0"/>
    <s v="11.1.01.0893"/>
    <s v="11.1.01.0790"/>
    <s v="SI"/>
    <m/>
  </r>
  <r>
    <n v="10932073"/>
    <m/>
    <m/>
    <e v="#N/A"/>
    <m/>
    <m/>
    <d v="2022-12-28T00:00:00"/>
    <d v="2023-11-17T00:00:00"/>
    <m/>
    <m/>
    <s v="H"/>
    <x v="1"/>
    <s v="ANGUS NEGRO"/>
    <s v="11 años 3 meses"/>
    <s v="30-09-2014"/>
    <s v="Vivo"/>
    <x v="0"/>
    <s v="11.1.01.0893"/>
    <s v="11.1.01.0790"/>
    <s v="SI"/>
    <m/>
  </r>
  <r>
    <n v="10932074"/>
    <m/>
    <m/>
    <e v="#N/A"/>
    <m/>
    <m/>
    <d v="2022-12-28T00:00:00"/>
    <d v="2023-11-09T00:00:00"/>
    <m/>
    <m/>
    <s v="H"/>
    <x v="1"/>
    <s v="LIMOUSIN"/>
    <s v="11 años 4 meses"/>
    <s v="30-08-2014"/>
    <s v="Vivo"/>
    <x v="0"/>
    <s v="11.1.01.0893"/>
    <s v="11.1.01.0790"/>
    <s v="SI"/>
    <m/>
  </r>
  <r>
    <n v="10932075"/>
    <m/>
    <m/>
    <e v="#N/A"/>
    <m/>
    <m/>
    <d v="2022-12-28T00:00:00"/>
    <d v="2023-11-09T00:00:00"/>
    <m/>
    <m/>
    <s v="H"/>
    <x v="1"/>
    <s v="ANGUS ROJO"/>
    <s v="11 años 4 meses"/>
    <s v="30-08-2014"/>
    <s v="Vivo"/>
    <x v="0"/>
    <s v="11.1.01.0893"/>
    <s v="11.1.01.0790"/>
    <s v="SI"/>
    <m/>
  </r>
  <r>
    <n v="10932083"/>
    <m/>
    <m/>
    <e v="#N/A"/>
    <m/>
    <m/>
    <d v="2022-12-28T00:00:00"/>
    <d v="2023-11-09T00:00:00"/>
    <m/>
    <m/>
    <s v="H"/>
    <x v="1"/>
    <s v="ANGUS NEGRO"/>
    <s v="11 años 4 meses"/>
    <s v="30-08-2014"/>
    <s v="Vivo"/>
    <x v="0"/>
    <s v="11.1.01.0893"/>
    <s v="11.1.01.0790"/>
    <s v="SI"/>
    <m/>
  </r>
  <r>
    <n v="10932091"/>
    <m/>
    <m/>
    <e v="#N/A"/>
    <m/>
    <m/>
    <d v="2022-12-28T00:00:00"/>
    <d v="2023-11-09T00:00:00"/>
    <m/>
    <m/>
    <s v="H"/>
    <x v="1"/>
    <s v="ANGUS NEGRO"/>
    <s v="11 años 4 meses"/>
    <s v="30-08-2014"/>
    <s v="Vivo"/>
    <x v="0"/>
    <s v="11.1.01.0893"/>
    <s v="11.1.01.0790"/>
    <s v="SI"/>
    <m/>
  </r>
  <r>
    <n v="10932092"/>
    <m/>
    <m/>
    <e v="#N/A"/>
    <m/>
    <m/>
    <d v="2022-12-28T00:00:00"/>
    <d v="2023-11-09T00:00:00"/>
    <m/>
    <m/>
    <s v="H"/>
    <x v="1"/>
    <s v="ANGUS ROJO"/>
    <s v="11 años 4 meses"/>
    <s v="30-08-2014"/>
    <s v="Vivo"/>
    <x v="0"/>
    <s v="11.1.01.0893"/>
    <s v="11.1.01.0790"/>
    <s v="SI"/>
    <m/>
  </r>
  <r>
    <n v="10932145"/>
    <m/>
    <m/>
    <e v="#N/A"/>
    <m/>
    <m/>
    <d v="2022-12-28T00:00:00"/>
    <d v="2023-11-09T00:00:00"/>
    <m/>
    <m/>
    <s v="H"/>
    <x v="1"/>
    <s v="HEREFORD"/>
    <s v="10 años 4 meses"/>
    <s v="15-09-2015"/>
    <s v="Vivo"/>
    <x v="0"/>
    <s v="11.1.01.0893"/>
    <s v="11.1.01.0893"/>
    <s v="SI"/>
    <m/>
  </r>
  <r>
    <n v="10932161"/>
    <m/>
    <m/>
    <e v="#N/A"/>
    <m/>
    <m/>
    <m/>
    <m/>
    <m/>
    <m/>
    <s v="H"/>
    <x v="1"/>
    <s v="ANGUS NEGRO"/>
    <s v="11 años 3 meses"/>
    <s v="30-09-2014"/>
    <s v="Vivo"/>
    <x v="2"/>
    <s v="11.1.01.1241"/>
    <s v="11.1.01.0790"/>
    <s v="SI"/>
    <m/>
  </r>
  <r>
    <n v="10943299"/>
    <m/>
    <m/>
    <e v="#N/A"/>
    <m/>
    <m/>
    <d v="2022-12-28T00:00:00"/>
    <d v="2023-11-09T00:00:00"/>
    <d v="2024-01-06T00:00:00"/>
    <m/>
    <s v="H"/>
    <x v="1"/>
    <s v="ANGUS NEGRO"/>
    <s v="11 años 2 meses"/>
    <s v="15-11-2014"/>
    <s v="Vivo"/>
    <x v="4"/>
    <s v="11.1.01.0893"/>
    <s v="11.2.01.0038"/>
    <s v="SI"/>
    <m/>
  </r>
  <r>
    <n v="10943330"/>
    <m/>
    <m/>
    <e v="#N/A"/>
    <m/>
    <m/>
    <d v="2022-12-28T00:00:00"/>
    <d v="2023-11-09T00:00:00"/>
    <m/>
    <m/>
    <s v="M"/>
    <x v="2"/>
    <s v="ANGUS NEGRO"/>
    <s v="11 años 2 meses"/>
    <s v="15-11-2014"/>
    <s v="Vivo"/>
    <x v="0"/>
    <s v="11.2.01.0038"/>
    <s v="11.2.01.0038"/>
    <s v="SI"/>
    <m/>
  </r>
  <r>
    <n v="10943339"/>
    <m/>
    <m/>
    <e v="#N/A"/>
    <m/>
    <m/>
    <d v="2022-12-28T00:00:00"/>
    <d v="2023-11-17T00:00:00"/>
    <m/>
    <m/>
    <s v="M"/>
    <x v="2"/>
    <s v="ANGUS NEGRO"/>
    <s v="11 años 2 meses"/>
    <s v="15-11-2014"/>
    <s v="Vivo"/>
    <x v="0"/>
    <s v="11.2.01.0038"/>
    <s v="11.2.01.0038"/>
    <s v="SI"/>
    <m/>
  </r>
  <r>
    <n v="11184715"/>
    <m/>
    <m/>
    <e v="#N/A"/>
    <m/>
    <m/>
    <d v="2022-12-28T00:00:00"/>
    <d v="2023-11-09T00:00:00"/>
    <m/>
    <m/>
    <s v="M"/>
    <x v="2"/>
    <s v="ANGUS NEGRO"/>
    <s v="10 años 3 meses"/>
    <s v="30-09-2015"/>
    <s v="Vivo"/>
    <x v="0"/>
    <s v="11.1.01.0791"/>
    <s v="11.1.01.0290"/>
    <s v="SI"/>
    <m/>
  </r>
  <r>
    <n v="11184758"/>
    <m/>
    <m/>
    <e v="#N/A"/>
    <m/>
    <m/>
    <d v="2022-12-28T00:00:00"/>
    <d v="2023-11-09T00:00:00"/>
    <m/>
    <m/>
    <s v="M"/>
    <x v="2"/>
    <s v="ANGUS NEGRO"/>
    <s v="10 años 3 meses"/>
    <s v="30-09-2015"/>
    <s v="Vivo"/>
    <x v="2"/>
    <s v="11.1.01.1241"/>
    <s v="11.1.01.0290"/>
    <s v="SI"/>
    <m/>
  </r>
  <r>
    <n v="11185013"/>
    <m/>
    <m/>
    <e v="#N/A"/>
    <m/>
    <m/>
    <d v="2022-12-28T00:00:00"/>
    <d v="2023-11-17T00:00:00"/>
    <m/>
    <m/>
    <s v="no existe"/>
    <x v="3"/>
    <s v="no existe"/>
    <s v="no existe"/>
    <s v="no existe"/>
    <s v="no existe"/>
    <x v="5"/>
    <s v="no existe"/>
    <s v="no existe"/>
    <s v="no existe"/>
    <m/>
  </r>
  <r>
    <n v="11189200"/>
    <m/>
    <m/>
    <e v="#N/A"/>
    <m/>
    <m/>
    <d v="2022-12-28T00:00:00"/>
    <d v="2023-11-09T00:00:00"/>
    <m/>
    <m/>
    <s v="M"/>
    <x v="2"/>
    <s v="ANGUS NEGRO"/>
    <s v="11 años 3 meses"/>
    <s v="15-10-2014"/>
    <s v="Vivo"/>
    <x v="2"/>
    <s v="11.1.01.1241"/>
    <s v="11.1.01.0290"/>
    <s v="SI"/>
    <m/>
  </r>
  <r>
    <n v="11189268"/>
    <m/>
    <m/>
    <e v="#N/A"/>
    <m/>
    <m/>
    <d v="2022-12-28T00:00:00"/>
    <d v="2023-11-09T00:00:00"/>
    <m/>
    <m/>
    <s v="M"/>
    <x v="2"/>
    <s v="ANGUS NEGRO"/>
    <s v="11 años 3 meses"/>
    <s v="15-10-2014"/>
    <s v="Vivo"/>
    <x v="3"/>
    <s v="11.1.01.1241"/>
    <s v="11.1.01.0290"/>
    <s v="SI"/>
    <m/>
  </r>
  <r>
    <n v="11793279"/>
    <m/>
    <m/>
    <e v="#N/A"/>
    <m/>
    <m/>
    <d v="2022-12-28T00:00:00"/>
    <d v="2023-11-17T00:00:00"/>
    <m/>
    <m/>
    <s v="H"/>
    <x v="1"/>
    <s v="ANGUS ROJO"/>
    <s v="10 años 3 meses"/>
    <s v="15-10-2015"/>
    <s v="Vivo"/>
    <x v="0"/>
    <s v="11.1.01.0791"/>
    <s v="11.1.01.0893"/>
    <s v="SI"/>
    <m/>
  </r>
  <r>
    <n v="11793298"/>
    <m/>
    <m/>
    <e v="#N/A"/>
    <m/>
    <m/>
    <d v="2022-12-28T00:00:00"/>
    <d v="2023-11-17T00:00:00"/>
    <m/>
    <m/>
    <s v="H"/>
    <x v="1"/>
    <s v="ANGUS NEGRO"/>
    <s v="10 años 4 meses"/>
    <s v="15-09-2015"/>
    <s v="Vivo"/>
    <x v="0"/>
    <s v="11.1.01.0893"/>
    <s v="11.1.01.0893"/>
    <s v="SI"/>
    <m/>
  </r>
  <r>
    <n v="11793309"/>
    <m/>
    <m/>
    <e v="#N/A"/>
    <m/>
    <m/>
    <d v="2022-12-28T00:00:00"/>
    <d v="2023-11-17T00:00:00"/>
    <m/>
    <m/>
    <s v="H"/>
    <x v="1"/>
    <s v="ANGUS ROJO"/>
    <s v="10 años 3 meses"/>
    <s v="15-10-2015"/>
    <s v="Vivo"/>
    <x v="0"/>
    <s v="11.1.01.0893"/>
    <s v="11.1.01.0893"/>
    <s v="SI"/>
    <m/>
  </r>
  <r>
    <n v="11793314"/>
    <m/>
    <m/>
    <e v="#N/A"/>
    <m/>
    <m/>
    <d v="2022-12-28T00:00:00"/>
    <d v="2023-11-17T00:00:00"/>
    <m/>
    <m/>
    <s v="M"/>
    <x v="2"/>
    <s v="ANGUS NEGRO"/>
    <s v="10 años 4 meses"/>
    <s v="15-09-2015"/>
    <s v="Vivo"/>
    <x v="0"/>
    <s v="11.1.01.0893"/>
    <s v="11.1.01.0893"/>
    <s v="SI"/>
    <m/>
  </r>
  <r>
    <n v="11793315"/>
    <m/>
    <m/>
    <e v="#N/A"/>
    <m/>
    <m/>
    <d v="2022-12-28T00:00:00"/>
    <d v="2023-11-17T00:00:00"/>
    <m/>
    <m/>
    <s v="H"/>
    <x v="1"/>
    <s v="ANGUS NEGRO"/>
    <s v="10 años 4 meses"/>
    <s v="15-09-2015"/>
    <s v="Vivo"/>
    <x v="0"/>
    <s v="11.1.01.1022"/>
    <s v="11.1.01.0893"/>
    <s v="SI"/>
    <m/>
  </r>
  <r>
    <n v="11793318"/>
    <m/>
    <m/>
    <e v="#N/A"/>
    <m/>
    <m/>
    <d v="2022-12-28T00:00:00"/>
    <d v="2023-11-09T00:00:00"/>
    <m/>
    <m/>
    <s v="H"/>
    <x v="1"/>
    <s v="ANGUS NEGRO"/>
    <s v="10 años 3 meses"/>
    <s v="15-10-2015"/>
    <s v="Vivo"/>
    <x v="2"/>
    <s v="11.2.01.0053"/>
    <s v="11.1.01.0893"/>
    <s v="SI"/>
    <m/>
  </r>
  <r>
    <n v="11793335"/>
    <m/>
    <m/>
    <e v="#N/A"/>
    <m/>
    <m/>
    <d v="2022-12-28T00:00:00"/>
    <d v="2023-11-09T00:00:00"/>
    <m/>
    <m/>
    <s v="M"/>
    <x v="2"/>
    <s v="ANGUS NEGRO"/>
    <s v="10 años 0 meses"/>
    <s v="30-12-2015"/>
    <s v="Vivo"/>
    <x v="2"/>
    <s v="Sin Movimiento"/>
    <s v="11.1.01.0893"/>
    <s v="SI"/>
    <m/>
  </r>
  <r>
    <n v="12602008"/>
    <m/>
    <m/>
    <e v="#N/A"/>
    <m/>
    <m/>
    <d v="2022-12-28T00:00:00"/>
    <d v="2023-11-17T00:00:00"/>
    <m/>
    <m/>
    <s v="H"/>
    <x v="1"/>
    <s v="ANGUS NEGRO"/>
    <s v="10 años 3 meses"/>
    <s v="30-09-2015"/>
    <s v="Vivo"/>
    <x v="0"/>
    <s v="11.1.01.0893"/>
    <s v="11.1.01.1081"/>
    <s v="SI"/>
    <m/>
  </r>
  <r>
    <n v="12602020"/>
    <m/>
    <m/>
    <e v="#N/A"/>
    <m/>
    <m/>
    <d v="2022-12-28T00:00:00"/>
    <d v="2023-11-09T00:00:00"/>
    <m/>
    <m/>
    <s v="H"/>
    <x v="1"/>
    <s v="ANGUS ROJO"/>
    <s v="10 años 3 meses"/>
    <s v="30-09-2015"/>
    <s v="Vivo"/>
    <x v="0"/>
    <s v="11.1.01.0791"/>
    <s v="11.1.01.1081"/>
    <s v="SI"/>
    <m/>
  </r>
  <r>
    <n v="12602027"/>
    <m/>
    <m/>
    <e v="#N/A"/>
    <m/>
    <m/>
    <d v="2022-12-28T00:00:00"/>
    <d v="2023-11-09T00:00:00"/>
    <m/>
    <m/>
    <s v="H"/>
    <x v="1"/>
    <s v="ANGUS ROJO"/>
    <s v="10 años 3 meses"/>
    <s v="10-10-2015"/>
    <s v="Vivo"/>
    <x v="3"/>
    <s v="11.1.01.0893"/>
    <s v="11.1.01.1081"/>
    <s v="SI"/>
    <m/>
  </r>
  <r>
    <n v="12602038"/>
    <m/>
    <m/>
    <e v="#N/A"/>
    <m/>
    <m/>
    <m/>
    <m/>
    <m/>
    <m/>
    <s v="H"/>
    <x v="1"/>
    <s v="LIMOUSIN"/>
    <s v="10 años 3 meses"/>
    <s v="30-09-2015"/>
    <s v="Vivo"/>
    <x v="0"/>
    <s v="11.2.01.0038"/>
    <s v="11.1.01.1081"/>
    <s v="SI"/>
    <m/>
  </r>
  <r>
    <n v="12602039"/>
    <m/>
    <m/>
    <e v="#N/A"/>
    <m/>
    <m/>
    <d v="2022-12-28T00:00:00"/>
    <d v="2023-11-17T00:00:00"/>
    <d v="2024-01-06T00:00:00"/>
    <m/>
    <s v="H"/>
    <x v="1"/>
    <s v="ANGUS ROJO"/>
    <s v="10 años 3 meses"/>
    <s v="30-09-2015"/>
    <s v="Vivo"/>
    <x v="3"/>
    <s v="11.1.01.0893"/>
    <s v="11.1.01.1081"/>
    <s v="SI"/>
    <m/>
  </r>
  <r>
    <n v="12602046"/>
    <m/>
    <m/>
    <e v="#N/A"/>
    <m/>
    <m/>
    <d v="2022-12-28T00:00:00"/>
    <d v="2023-11-09T00:00:00"/>
    <m/>
    <m/>
    <s v="H"/>
    <x v="1"/>
    <s v="ANGUS NEGRO"/>
    <s v="10 años 3 meses"/>
    <s v="30-09-2015"/>
    <s v="Vivo"/>
    <x v="0"/>
    <s v="11.2.01.0038"/>
    <s v="11.1.01.1081"/>
    <s v="SI"/>
    <m/>
  </r>
  <r>
    <n v="12602053"/>
    <m/>
    <m/>
    <e v="#N/A"/>
    <m/>
    <m/>
    <d v="2022-12-28T00:00:00"/>
    <d v="2023-11-09T00:00:00"/>
    <d v="2024-01-06T00:00:00"/>
    <m/>
    <s v="H"/>
    <x v="1"/>
    <s v="ANGUS NEGRO"/>
    <s v="10 años 3 meses"/>
    <s v="30-09-2015"/>
    <s v="Vivo"/>
    <x v="3"/>
    <s v="11.1.01.0893"/>
    <s v="11.1.01.1081"/>
    <s v="SI"/>
    <m/>
  </r>
  <r>
    <n v="12602061"/>
    <m/>
    <m/>
    <e v="#N/A"/>
    <m/>
    <m/>
    <d v="2022-12-28T00:00:00"/>
    <d v="2023-11-09T00:00:00"/>
    <m/>
    <m/>
    <s v="H"/>
    <x v="1"/>
    <s v="ANGUS NEGRO"/>
    <s v="10 años 3 meses"/>
    <s v="30-09-2015"/>
    <s v="Vivo"/>
    <x v="0"/>
    <s v="11.1.01.0893"/>
    <s v="11.1.01.1081"/>
    <s v="SI"/>
    <m/>
  </r>
  <r>
    <n v="12602088"/>
    <m/>
    <m/>
    <e v="#N/A"/>
    <m/>
    <m/>
    <d v="2022-12-28T00:00:00"/>
    <d v="2023-11-09T00:00:00"/>
    <m/>
    <m/>
    <s v="H"/>
    <x v="1"/>
    <s v="ANGUS NEGRO"/>
    <s v="10 años 4 meses"/>
    <s v="15-09-2015"/>
    <s v="Vivo"/>
    <x v="3"/>
    <s v="11.1.01.0893"/>
    <s v="11.1.01.1081"/>
    <s v="SI"/>
    <m/>
  </r>
  <r>
    <n v="12602095"/>
    <m/>
    <m/>
    <e v="#N/A"/>
    <m/>
    <m/>
    <d v="2022-12-28T00:00:00"/>
    <d v="2023-11-09T00:00:00"/>
    <d v="2024-01-06T00:00:00"/>
    <m/>
    <s v="H"/>
    <x v="1"/>
    <s v="ANGUS ROJO"/>
    <s v="10 años 3 meses"/>
    <s v="30-09-2015"/>
    <s v="Vivo"/>
    <x v="4"/>
    <s v="11.1.01.0893"/>
    <s v="11.1.01.1081"/>
    <s v="SI"/>
    <m/>
  </r>
  <r>
    <n v="12602113"/>
    <m/>
    <m/>
    <e v="#N/A"/>
    <m/>
    <m/>
    <d v="2022-12-28T00:00:00"/>
    <d v="2023-11-09T00:00:00"/>
    <m/>
    <m/>
    <s v="H"/>
    <x v="1"/>
    <s v="ANGUS NEGRO"/>
    <s v="10 años 3 meses"/>
    <s v="15-10-2015"/>
    <s v="Vivo"/>
    <x v="4"/>
    <s v="11.1.01.0893"/>
    <s v="11.2.01.2071"/>
    <s v="SI"/>
    <m/>
  </r>
  <r>
    <n v="12602144"/>
    <m/>
    <m/>
    <e v="#N/A"/>
    <m/>
    <m/>
    <d v="2022-12-28T00:00:00"/>
    <d v="2023-11-09T00:00:00"/>
    <m/>
    <m/>
    <s v="H"/>
    <x v="1"/>
    <s v="LIMOUSIN"/>
    <s v="10 años 2 meses"/>
    <s v="30-10-2015"/>
    <s v="Vivo"/>
    <x v="0"/>
    <s v="11.1.01.0893"/>
    <s v="11.2.01.2071"/>
    <s v="SI"/>
    <m/>
  </r>
  <r>
    <n v="12602155"/>
    <m/>
    <m/>
    <e v="#N/A"/>
    <m/>
    <m/>
    <d v="2022-08-06T00:00:00"/>
    <d v="2023-12-04T00:00:00"/>
    <m/>
    <m/>
    <s v="H"/>
    <x v="1"/>
    <s v="ANGUS NEGRO"/>
    <s v="10 años 3 meses"/>
    <s v="10-10-2015"/>
    <s v="Vivo"/>
    <x v="3"/>
    <s v="11.1.01.0893"/>
    <s v="11.2.01.2071"/>
    <s v="SI"/>
    <m/>
  </r>
  <r>
    <n v="12602172"/>
    <m/>
    <m/>
    <e v="#N/A"/>
    <m/>
    <m/>
    <m/>
    <m/>
    <m/>
    <m/>
    <s v="H"/>
    <x v="1"/>
    <s v="ANGUS NEGRO"/>
    <s v="10 años 4 meses"/>
    <s v="15-09-2015"/>
    <s v="Vivo"/>
    <x v="0"/>
    <s v="11.1.01.0791"/>
    <s v="11.2.01.0038"/>
    <s v="SI"/>
    <m/>
  </r>
  <r>
    <n v="12602174"/>
    <m/>
    <m/>
    <e v="#N/A"/>
    <m/>
    <m/>
    <d v="2022-12-28T00:00:00"/>
    <d v="2023-11-09T00:00:00"/>
    <m/>
    <m/>
    <s v="H"/>
    <x v="1"/>
    <s v="HEREFORD"/>
    <s v="10 años 2 meses"/>
    <s v="05-11-2015"/>
    <s v="Vivo"/>
    <x v="0"/>
    <s v="11.1.01.0791"/>
    <s v="11.2.01.0038"/>
    <s v="SI"/>
    <m/>
  </r>
  <r>
    <n v="12602181"/>
    <m/>
    <m/>
    <e v="#N/A"/>
    <m/>
    <m/>
    <d v="2022-12-28T00:00:00"/>
    <d v="2023-11-09T00:00:00"/>
    <m/>
    <m/>
    <s v="H"/>
    <x v="1"/>
    <s v="ANGUS NEGRO"/>
    <s v="10 años 4 meses"/>
    <s v="10-09-2015"/>
    <s v="Vivo"/>
    <x v="0"/>
    <s v="11.2.01.0038"/>
    <s v="11.2.01.0038"/>
    <s v="SI"/>
    <m/>
  </r>
  <r>
    <n v="12602190"/>
    <m/>
    <m/>
    <e v="#N/A"/>
    <m/>
    <m/>
    <d v="2022-12-28T00:00:00"/>
    <d v="2023-11-17T00:00:00"/>
    <m/>
    <m/>
    <s v="H"/>
    <x v="1"/>
    <s v="ANGUS NEGRO"/>
    <s v="10 años 4 meses"/>
    <s v="10-09-2015"/>
    <s v="Vivo"/>
    <x v="0"/>
    <s v="11.2.01.0038"/>
    <s v="11.2.01.0038"/>
    <s v="SI"/>
    <m/>
  </r>
  <r>
    <n v="12602203"/>
    <m/>
    <m/>
    <e v="#N/A"/>
    <m/>
    <m/>
    <d v="2022-12-28T00:00:00"/>
    <d v="2023-11-09T00:00:00"/>
    <m/>
    <m/>
    <s v="H"/>
    <x v="1"/>
    <s v="ANGUS NEGRO"/>
    <s v="10 años 4 meses"/>
    <s v="15-09-2015"/>
    <s v="Vivo"/>
    <x v="0"/>
    <s v="11.2.01.0038"/>
    <s v="11.2.01.0038"/>
    <s v="SI"/>
    <m/>
  </r>
  <r>
    <n v="12602210"/>
    <m/>
    <m/>
    <e v="#N/A"/>
    <m/>
    <m/>
    <m/>
    <m/>
    <m/>
    <m/>
    <s v="M"/>
    <x v="2"/>
    <s v="ANGUS NEGRO"/>
    <s v="10 años 3 meses"/>
    <s v="30-09-2015"/>
    <s v="Vivo"/>
    <x v="0"/>
    <s v="11.2.01.0038"/>
    <s v="11.2.01.0038"/>
    <s v="SI"/>
    <m/>
  </r>
  <r>
    <n v="12602218"/>
    <m/>
    <m/>
    <e v="#N/A"/>
    <m/>
    <m/>
    <d v="2022-12-28T00:00:00"/>
    <d v="2023-11-17T00:00:00"/>
    <m/>
    <m/>
    <s v="H"/>
    <x v="1"/>
    <s v="ANGUS NEGRO"/>
    <s v="10 años 4 meses"/>
    <s v="10-09-2015"/>
    <s v="Vivo"/>
    <x v="3"/>
    <s v="Sin Movimiento"/>
    <s v="11.2.01.0038"/>
    <s v="SI"/>
    <m/>
  </r>
  <r>
    <n v="12602228"/>
    <m/>
    <m/>
    <e v="#N/A"/>
    <m/>
    <m/>
    <d v="2022-12-28T00:00:00"/>
    <d v="2023-11-09T00:00:00"/>
    <d v="2024-01-06T00:00:00"/>
    <m/>
    <s v="H"/>
    <x v="1"/>
    <s v="ANGUS NEGRO"/>
    <s v="10 años 4 meses"/>
    <s v="10-09-2015"/>
    <s v="Vivo"/>
    <x v="3"/>
    <s v="11.1.01.0893"/>
    <s v="11.2.01.0038"/>
    <s v="SI"/>
    <m/>
  </r>
  <r>
    <n v="12602233"/>
    <m/>
    <m/>
    <e v="#N/A"/>
    <m/>
    <m/>
    <m/>
    <m/>
    <m/>
    <m/>
    <s v="M"/>
    <x v="2"/>
    <s v="ANGUS NEGRO"/>
    <s v="10 años 3 meses"/>
    <s v="30-09-2015"/>
    <s v="Vivo"/>
    <x v="0"/>
    <s v="11.2.01.0038"/>
    <s v="11.2.01.0038"/>
    <s v="SI"/>
    <m/>
  </r>
  <r>
    <n v="12602236"/>
    <m/>
    <m/>
    <e v="#N/A"/>
    <m/>
    <m/>
    <m/>
    <m/>
    <d v="2024-01-06T00:00:00"/>
    <m/>
    <s v="H"/>
    <x v="1"/>
    <s v="ANGUS NEGRO"/>
    <s v="11 años 3 meses"/>
    <s v="30-09-2014"/>
    <s v="Vivo"/>
    <x v="3"/>
    <s v="11.1.01.0893"/>
    <s v="11.2.01.0038"/>
    <s v="SI"/>
    <m/>
  </r>
  <r>
    <n v="12602237"/>
    <m/>
    <m/>
    <e v="#N/A"/>
    <m/>
    <m/>
    <d v="2022-12-28T00:00:00"/>
    <d v="2023-11-09T00:00:00"/>
    <m/>
    <m/>
    <s v="H"/>
    <x v="1"/>
    <s v="ANGUS NEGRO"/>
    <s v="11 años 3 meses"/>
    <s v="30-09-2014"/>
    <s v="Vivo"/>
    <x v="0"/>
    <s v="11.2.01.0038"/>
    <s v="11.1.01.0791"/>
    <s v="SI"/>
    <m/>
  </r>
  <r>
    <n v="12602239"/>
    <m/>
    <m/>
    <e v="#N/A"/>
    <m/>
    <m/>
    <d v="2022-12-28T00:00:00"/>
    <d v="2023-11-17T00:00:00"/>
    <m/>
    <m/>
    <s v="no existe"/>
    <x v="3"/>
    <s v="no existe"/>
    <s v="no existe"/>
    <s v="no existe"/>
    <s v="no existe"/>
    <x v="5"/>
    <s v="no existe"/>
    <s v="no existe"/>
    <s v="no existe"/>
    <m/>
  </r>
  <r>
    <n v="12602247"/>
    <m/>
    <m/>
    <e v="#N/A"/>
    <m/>
    <m/>
    <d v="2022-12-28T00:00:00"/>
    <d v="2023-11-17T00:00:00"/>
    <m/>
    <m/>
    <s v="H"/>
    <x v="1"/>
    <s v="ANGUS NEGRO"/>
    <s v="10 años 2 meses"/>
    <s v="30-10-2015"/>
    <s v="Vivo"/>
    <x v="7"/>
    <s v="11.1.01.1241"/>
    <s v="11.1.01.1241"/>
    <s v="SI"/>
    <m/>
  </r>
  <r>
    <n v="12602256"/>
    <m/>
    <m/>
    <e v="#N/A"/>
    <m/>
    <m/>
    <d v="2022-12-28T00:00:00"/>
    <d v="2023-11-09T00:00:00"/>
    <m/>
    <m/>
    <s v="M"/>
    <x v="2"/>
    <s v="ANGUS NEGRO"/>
    <s v="10 años 3 meses"/>
    <s v="30-09-2015"/>
    <s v="Vivo"/>
    <x v="0"/>
    <s v="Sin Movimiento"/>
    <s v="11.1.01.1241"/>
    <s v="SI"/>
    <m/>
  </r>
  <r>
    <n v="12602264"/>
    <m/>
    <m/>
    <e v="#N/A"/>
    <m/>
    <m/>
    <d v="2022-12-28T00:00:00"/>
    <d v="2023-11-09T00:00:00"/>
    <m/>
    <m/>
    <s v="M"/>
    <x v="2"/>
    <s v="ANGUS NEGRO"/>
    <s v="10 años 1 meses"/>
    <s v="30-11-2015"/>
    <s v="Vivo"/>
    <x v="0"/>
    <s v="Sin Movimiento"/>
    <s v="11.1.01.1241"/>
    <s v="SI"/>
    <m/>
  </r>
  <r>
    <n v="12602266"/>
    <m/>
    <m/>
    <e v="#N/A"/>
    <m/>
    <m/>
    <d v="2022-12-28T00:00:00"/>
    <d v="2023-11-09T00:00:00"/>
    <m/>
    <m/>
    <s v="M"/>
    <x v="2"/>
    <s v="LIMOUSIN"/>
    <s v="10 años 6 meses"/>
    <s v="30-06-2015"/>
    <s v="Vivo"/>
    <x v="0"/>
    <s v="Sin Movimiento"/>
    <s v="11.1.01.1241"/>
    <s v="SI"/>
    <m/>
  </r>
  <r>
    <n v="12602273"/>
    <m/>
    <m/>
    <e v="#N/A"/>
    <m/>
    <m/>
    <d v="2022-12-28T00:00:00"/>
    <d v="2023-11-09T00:00:00"/>
    <d v="2024-01-06T00:00:00"/>
    <m/>
    <s v="H"/>
    <x v="1"/>
    <s v="ANGUS NEGRO"/>
    <s v="10 años 2 meses"/>
    <s v="30-10-2015"/>
    <s v="Vivo"/>
    <x v="4"/>
    <s v="11.1.01.0893"/>
    <s v="11.1.01.0893"/>
    <s v="SI"/>
    <m/>
  </r>
  <r>
    <n v="12602322"/>
    <m/>
    <m/>
    <e v="#N/A"/>
    <m/>
    <m/>
    <d v="2022-12-28T00:00:00"/>
    <d v="2023-11-09T00:00:00"/>
    <d v="2024-01-06T00:00:00"/>
    <m/>
    <s v="H"/>
    <x v="1"/>
    <s v="ANGUS NEGRO"/>
    <s v="9 años 3 meses"/>
    <s v="15-10-2016"/>
    <s v="Vivo"/>
    <x v="4"/>
    <s v="11.1.01.0893"/>
    <s v="11.1.01.1241"/>
    <s v="SI"/>
    <m/>
  </r>
  <r>
    <n v="12602337"/>
    <m/>
    <m/>
    <e v="#N/A"/>
    <m/>
    <m/>
    <d v="2022-12-28T00:00:00"/>
    <d v="2023-11-09T00:00:00"/>
    <d v="2024-01-06T00:00:00"/>
    <d v="2025-07-10T00:00:00"/>
    <s v="H"/>
    <x v="1"/>
    <s v="ANGUS ROJO"/>
    <s v="9 años 3 meses"/>
    <s v="15-10-2016"/>
    <s v="Vivo"/>
    <x v="3"/>
    <s v="11.1.01.0893"/>
    <s v="11.1.01.1241"/>
    <s v="SI"/>
    <m/>
  </r>
  <r>
    <n v="12602338"/>
    <m/>
    <m/>
    <e v="#N/A"/>
    <m/>
    <m/>
    <d v="2022-12-28T00:00:00"/>
    <d v="2023-11-17T00:00:00"/>
    <m/>
    <m/>
    <s v="H"/>
    <x v="1"/>
    <s v="ANGUS NEGRO"/>
    <s v="9 años 3 meses"/>
    <s v="15-10-2016"/>
    <s v="Vivo"/>
    <x v="3"/>
    <s v="11.1.01.0893"/>
    <s v="11.1.01.1241"/>
    <s v="SI"/>
    <m/>
  </r>
  <r>
    <n v="12602339"/>
    <m/>
    <m/>
    <e v="#N/A"/>
    <m/>
    <m/>
    <d v="2022-12-28T00:00:00"/>
    <d v="2023-11-17T00:00:00"/>
    <m/>
    <m/>
    <s v="M"/>
    <x v="2"/>
    <s v="OVERO COLORADO (CLAVEL ALEMAN)"/>
    <s v="9 años 3 meses"/>
    <s v="15-10-2016"/>
    <s v="Vivo"/>
    <x v="2"/>
    <s v="11.1.01.1081"/>
    <s v="11.1.01.1241"/>
    <s v="SI"/>
    <m/>
  </r>
  <r>
    <n v="12602340"/>
    <m/>
    <m/>
    <e v="#N/A"/>
    <m/>
    <m/>
    <d v="2022-12-28T00:00:00"/>
    <d v="2023-11-17T00:00:00"/>
    <m/>
    <m/>
    <s v="H"/>
    <x v="1"/>
    <s v="ANGUS NEGRO"/>
    <s v="9 años 3 meses"/>
    <s v="15-10-2016"/>
    <s v="Vivo"/>
    <x v="3"/>
    <s v="11.1.01.0893"/>
    <s v="11.1.01.1241"/>
    <s v="SI"/>
    <m/>
  </r>
  <r>
    <n v="12602350"/>
    <m/>
    <m/>
    <e v="#N/A"/>
    <m/>
    <m/>
    <d v="2022-12-28T00:00:00"/>
    <d v="2023-11-09T00:00:00"/>
    <m/>
    <m/>
    <s v="H"/>
    <x v="1"/>
    <s v="ANGUS NEGRO"/>
    <s v="9 años 3 meses"/>
    <s v="15-10-2016"/>
    <s v="Vivo"/>
    <x v="0"/>
    <s v="11.1.01.0893"/>
    <s v="11.1.01.1241"/>
    <s v="SI"/>
    <m/>
  </r>
  <r>
    <n v="12602351"/>
    <m/>
    <m/>
    <e v="#N/A"/>
    <m/>
    <m/>
    <d v="2022-12-28T00:00:00"/>
    <d v="2023-11-09T00:00:00"/>
    <m/>
    <m/>
    <s v="H"/>
    <x v="1"/>
    <s v="ANGUS NEGRO"/>
    <s v="9 años 3 meses"/>
    <s v="15-10-2016"/>
    <s v="Vivo"/>
    <x v="0"/>
    <s v="11.1.01.0791"/>
    <s v="11.1.01.1241"/>
    <s v="SI"/>
    <m/>
  </r>
  <r>
    <n v="12602352"/>
    <m/>
    <m/>
    <e v="#N/A"/>
    <m/>
    <m/>
    <d v="2022-07-15T00:00:00"/>
    <m/>
    <m/>
    <m/>
    <s v="M"/>
    <x v="2"/>
    <s v="ANGUS NEGRO"/>
    <s v="9 años 3 meses"/>
    <s v="15-10-2016"/>
    <s v="Vivo"/>
    <x v="0"/>
    <s v="Sin Movimiento"/>
    <s v="11.1.01.1241"/>
    <s v="SI"/>
    <m/>
  </r>
  <r>
    <n v="12602357"/>
    <m/>
    <m/>
    <e v="#N/A"/>
    <m/>
    <m/>
    <d v="2022-12-28T00:00:00"/>
    <d v="2023-11-17T00:00:00"/>
    <m/>
    <m/>
    <s v="M"/>
    <x v="2"/>
    <s v="ANGUS NEGRO"/>
    <s v="9 años 3 meses"/>
    <s v="15-10-2016"/>
    <s v="Vivo"/>
    <x v="0"/>
    <s v="Sin Movimiento"/>
    <s v="11.1.01.1241"/>
    <s v="SI"/>
    <m/>
  </r>
  <r>
    <n v="12602362"/>
    <m/>
    <m/>
    <e v="#N/A"/>
    <m/>
    <m/>
    <d v="2022-12-28T00:00:00"/>
    <d v="2023-11-09T00:00:00"/>
    <m/>
    <m/>
    <s v="M"/>
    <x v="2"/>
    <s v="ANGUS ROJO"/>
    <s v="9 años 3 meses"/>
    <s v="15-10-2016"/>
    <s v="Vivo"/>
    <x v="2"/>
    <s v="11.1.01.1081"/>
    <s v="11.1.01.1241"/>
    <s v="SI"/>
    <m/>
  </r>
  <r>
    <n v="12602368"/>
    <m/>
    <m/>
    <e v="#N/A"/>
    <m/>
    <m/>
    <d v="2022-12-28T00:00:00"/>
    <d v="2023-11-09T00:00:00"/>
    <d v="2024-12-22T00:00:00"/>
    <d v="2025-01-14T00:00:00"/>
    <s v="H"/>
    <x v="1"/>
    <s v="ANGUS NEGRO"/>
    <s v="9 años 3 meses"/>
    <s v="15-10-2016"/>
    <s v="Vivo"/>
    <x v="0"/>
    <s v="11.1.01.0893"/>
    <s v="11.1.01.1241"/>
    <s v="SI"/>
    <m/>
  </r>
  <r>
    <n v="12602387"/>
    <m/>
    <m/>
    <e v="#N/A"/>
    <m/>
    <m/>
    <d v="2022-12-28T00:00:00"/>
    <d v="2023-11-09T00:00:00"/>
    <m/>
    <m/>
    <s v="H"/>
    <x v="1"/>
    <s v="ANGUS NEGRO"/>
    <s v="9 años 3 meses"/>
    <s v="15-10-2016"/>
    <s v="Vivo"/>
    <x v="0"/>
    <s v="11.2.01.0038"/>
    <s v="11.1.01.1241"/>
    <s v="SI"/>
    <m/>
  </r>
  <r>
    <n v="12602396"/>
    <m/>
    <m/>
    <e v="#N/A"/>
    <m/>
    <m/>
    <d v="2022-12-28T00:00:00"/>
    <d v="2023-11-09T00:00:00"/>
    <m/>
    <m/>
    <s v="M"/>
    <x v="2"/>
    <s v="ANGUS NEGRO"/>
    <s v="9 años 3 meses"/>
    <s v="15-10-2016"/>
    <s v="Vivo"/>
    <x v="0"/>
    <s v="Sin Movimiento"/>
    <s v="11.1.01.1241"/>
    <s v="SI"/>
    <m/>
  </r>
  <r>
    <n v="14717718"/>
    <m/>
    <m/>
    <e v="#N/A"/>
    <m/>
    <m/>
    <d v="2022-12-28T00:00:00"/>
    <d v="2023-11-17T00:00:00"/>
    <m/>
    <m/>
    <s v="H"/>
    <x v="1"/>
    <s v="ANGUS ROJO"/>
    <s v="9 años 3 meses"/>
    <s v="15-10-2016"/>
    <s v="Vivo"/>
    <x v="0"/>
    <s v="Sin Movimiento"/>
    <s v="11.1.01.1241"/>
    <s v="SI"/>
    <m/>
  </r>
  <r>
    <n v="14717723"/>
    <m/>
    <m/>
    <e v="#N/A"/>
    <m/>
    <m/>
    <d v="2022-12-28T00:00:00"/>
    <d v="2023-11-09T00:00:00"/>
    <m/>
    <m/>
    <s v="M"/>
    <x v="2"/>
    <s v="ANGUS ROJO"/>
    <s v="9 años 3 meses"/>
    <s v="15-10-2016"/>
    <s v="Vivo"/>
    <x v="2"/>
    <s v="11.1.01.1081"/>
    <s v="11.1.01.1241"/>
    <s v="SI"/>
    <m/>
  </r>
  <r>
    <n v="14717727"/>
    <m/>
    <m/>
    <e v="#N/A"/>
    <m/>
    <m/>
    <d v="2022-12-28T00:00:00"/>
    <d v="2023-11-09T00:00:00"/>
    <d v="2024-01-06T00:00:00"/>
    <m/>
    <s v="H"/>
    <x v="1"/>
    <s v="ANGUS NEGRO"/>
    <s v="9 años 3 meses"/>
    <s v="15-10-2016"/>
    <s v="Vivo"/>
    <x v="3"/>
    <s v="11.1.01.0893"/>
    <s v="11.1.01.1241"/>
    <s v="SI"/>
    <m/>
  </r>
  <r>
    <n v="14717733"/>
    <m/>
    <m/>
    <e v="#N/A"/>
    <m/>
    <m/>
    <d v="2022-12-28T00:00:00"/>
    <d v="2023-11-17T00:00:00"/>
    <m/>
    <m/>
    <s v="H"/>
    <x v="1"/>
    <s v="ANGUS ROJO"/>
    <s v="9 años 3 meses"/>
    <s v="15-10-2016"/>
    <s v="Vivo"/>
    <x v="0"/>
    <s v="11.2.01.0038"/>
    <s v="11.1.01.1241"/>
    <s v="SI"/>
    <m/>
  </r>
  <r>
    <n v="14717734"/>
    <m/>
    <m/>
    <e v="#N/A"/>
    <m/>
    <m/>
    <d v="2022-12-28T00:00:00"/>
    <d v="2023-11-17T00:00:00"/>
    <m/>
    <m/>
    <s v="H"/>
    <x v="1"/>
    <s v="ANGUS NEGRO"/>
    <s v="9 años 3 meses"/>
    <s v="15-10-2016"/>
    <s v="Vivo"/>
    <x v="0"/>
    <s v="11.2.01.0038"/>
    <s v="11.1.01.1241"/>
    <s v="SI"/>
    <m/>
  </r>
  <r>
    <n v="14717738"/>
    <m/>
    <m/>
    <e v="#N/A"/>
    <m/>
    <m/>
    <d v="2022-12-28T00:00:00"/>
    <d v="2023-11-09T00:00:00"/>
    <m/>
    <m/>
    <s v="H"/>
    <x v="1"/>
    <s v="ANGUS ROJO"/>
    <s v="9 años 3 meses"/>
    <s v="15-10-2016"/>
    <s v="Vivo"/>
    <x v="0"/>
    <s v="11.1.01.0893"/>
    <s v="11.1.01.0893"/>
    <s v="SI"/>
    <m/>
  </r>
  <r>
    <n v="14717740"/>
    <m/>
    <m/>
    <e v="#N/A"/>
    <m/>
    <m/>
    <d v="2022-12-28T00:00:00"/>
    <d v="2023-08-04T00:00:00"/>
    <d v="2024-01-06T00:00:00"/>
    <m/>
    <s v="H"/>
    <x v="1"/>
    <s v="ANGUS NEGRO"/>
    <s v="9 años 3 meses"/>
    <s v="15-10-2016"/>
    <s v="Vivo"/>
    <x v="3"/>
    <s v="11.1.01.0893"/>
    <s v="11.1.01.0893"/>
    <s v="SI"/>
    <m/>
  </r>
  <r>
    <n v="14717745"/>
    <m/>
    <m/>
    <e v="#N/A"/>
    <m/>
    <m/>
    <m/>
    <m/>
    <m/>
    <m/>
    <s v="H"/>
    <x v="1"/>
    <s v="ANGUS NEGRO"/>
    <s v="9 años 3 meses"/>
    <s v="15-10-2016"/>
    <s v="Vivo"/>
    <x v="0"/>
    <s v="11.1.01.0893"/>
    <s v="11.1.01.0893"/>
    <s v="SI"/>
    <m/>
  </r>
  <r>
    <n v="14717748"/>
    <m/>
    <m/>
    <e v="#N/A"/>
    <m/>
    <m/>
    <d v="2022-12-28T00:00:00"/>
    <d v="2023-11-09T00:00:00"/>
    <d v="2024-12-22T00:00:00"/>
    <d v="2025-11-04T00:00:00"/>
    <s v="H"/>
    <x v="1"/>
    <s v="ANGUS NEGRO"/>
    <s v="9 años 3 meses"/>
    <s v="15-10-2016"/>
    <s v="Vivo"/>
    <x v="7"/>
    <s v="11.1.01.0190"/>
    <s v="11.1.01.0893"/>
    <s v="SI"/>
    <m/>
  </r>
  <r>
    <n v="14717778"/>
    <m/>
    <m/>
    <e v="#N/A"/>
    <m/>
    <m/>
    <d v="2022-12-28T00:00:00"/>
    <d v="2023-11-09T00:00:00"/>
    <m/>
    <m/>
    <s v="H"/>
    <x v="1"/>
    <s v="ANGUS NEGRO"/>
    <s v="9 años 3 meses"/>
    <s v="15-10-2016"/>
    <s v="Vivo"/>
    <x v="2"/>
    <s v="11.2.01.0053"/>
    <s v="11.1.01.0893"/>
    <s v="SI"/>
    <m/>
  </r>
  <r>
    <n v="14717781"/>
    <m/>
    <m/>
    <e v="#N/A"/>
    <m/>
    <m/>
    <m/>
    <m/>
    <m/>
    <m/>
    <s v="H"/>
    <x v="1"/>
    <s v="ANGUS NEGRO"/>
    <s v="9 años 3 meses"/>
    <s v="15-10-2016"/>
    <s v="Vivo"/>
    <x v="3"/>
    <s v="11.1.01.1241"/>
    <s v="11.1.01.0893"/>
    <s v="SI"/>
    <m/>
  </r>
  <r>
    <n v="14717796"/>
    <m/>
    <m/>
    <e v="#N/A"/>
    <m/>
    <m/>
    <d v="2022-12-28T00:00:00"/>
    <d v="2023-11-17T00:00:00"/>
    <m/>
    <m/>
    <s v="H"/>
    <x v="1"/>
    <s v="ANGUS NEGRO"/>
    <s v="9 años 3 meses"/>
    <s v="15-10-2016"/>
    <s v="Vivo"/>
    <x v="2"/>
    <s v="11.1.01.0791"/>
    <s v="11.1.01.0893"/>
    <s v="SI"/>
    <m/>
  </r>
  <r>
    <n v="14717816"/>
    <m/>
    <m/>
    <e v="#N/A"/>
    <m/>
    <m/>
    <d v="2022-12-28T00:00:00"/>
    <d v="2023-11-17T00:00:00"/>
    <m/>
    <m/>
    <s v="H"/>
    <x v="1"/>
    <s v="ANGUS NEGRO"/>
    <s v="9 años 3 meses"/>
    <s v="15-10-2016"/>
    <s v="Vivo"/>
    <x v="0"/>
    <s v="11.2.01.0053"/>
    <s v="11.1.01.0893"/>
    <s v="SI"/>
    <m/>
  </r>
  <r>
    <n v="14717820"/>
    <m/>
    <m/>
    <e v="#N/A"/>
    <m/>
    <m/>
    <d v="2022-12-28T00:00:00"/>
    <d v="2023-11-09T00:00:00"/>
    <m/>
    <m/>
    <s v="H"/>
    <x v="1"/>
    <s v="ANGUS NEGRO"/>
    <s v="9 años 3 meses"/>
    <s v="15-10-2016"/>
    <s v="Vivo"/>
    <x v="8"/>
    <s v="11.1.01.1241"/>
    <s v="11.1.01.0893"/>
    <s v="SI"/>
    <m/>
  </r>
  <r>
    <n v="14717827"/>
    <m/>
    <m/>
    <e v="#N/A"/>
    <m/>
    <m/>
    <d v="2022-12-28T00:00:00"/>
    <d v="2023-11-09T00:00:00"/>
    <m/>
    <m/>
    <s v="H"/>
    <x v="1"/>
    <s v="ANGUS NEGRO"/>
    <s v="9 años 3 meses"/>
    <s v="15-10-2016"/>
    <s v="Vivo"/>
    <x v="3"/>
    <s v="11.1.01.1241"/>
    <s v="11.1.01.0893"/>
    <s v="SI"/>
    <m/>
  </r>
  <r>
    <n v="14717834"/>
    <m/>
    <m/>
    <e v="#N/A"/>
    <m/>
    <m/>
    <m/>
    <m/>
    <m/>
    <m/>
    <s v="M"/>
    <x v="2"/>
    <s v="LIMOUSIN"/>
    <s v="9 años 3 meses"/>
    <s v="15-10-2016"/>
    <s v="Vivo"/>
    <x v="2"/>
    <s v="Sin Movimiento"/>
    <s v="11.1.01.0893"/>
    <s v="SI"/>
    <m/>
  </r>
  <r>
    <n v="14717837"/>
    <m/>
    <m/>
    <e v="#N/A"/>
    <m/>
    <m/>
    <m/>
    <m/>
    <m/>
    <m/>
    <s v="H"/>
    <x v="1"/>
    <s v="ANGUS NEGRO"/>
    <s v="9 años 3 meses"/>
    <s v="15-10-2016"/>
    <s v="Vivo"/>
    <x v="2"/>
    <s v="11.2.01.0053"/>
    <s v="11.1.01.0893"/>
    <s v="SI"/>
    <m/>
  </r>
  <r>
    <n v="14717843"/>
    <m/>
    <m/>
    <e v="#N/A"/>
    <m/>
    <m/>
    <d v="2022-12-28T00:00:00"/>
    <d v="2023-11-09T00:00:00"/>
    <m/>
    <m/>
    <s v="H"/>
    <x v="1"/>
    <s v="ANGUS NEGRO"/>
    <s v="9 años 3 meses"/>
    <s v="15-10-2016"/>
    <s v="Vivo"/>
    <x v="3"/>
    <s v="11.1.01.1241"/>
    <s v="11.2.01.2071"/>
    <s v="SI"/>
    <m/>
  </r>
  <r>
    <n v="14717852"/>
    <m/>
    <m/>
    <e v="#N/A"/>
    <m/>
    <m/>
    <d v="2022-12-28T00:00:00"/>
    <d v="2023-11-09T00:00:00"/>
    <m/>
    <m/>
    <s v="H"/>
    <x v="1"/>
    <s v="ANGUS NEGRO"/>
    <s v="9 años 3 meses"/>
    <s v="15-10-2016"/>
    <s v="Vivo"/>
    <x v="2"/>
    <s v="11.2.01.2071"/>
    <s v="11.2.01.2071"/>
    <s v="SI"/>
    <m/>
  </r>
  <r>
    <n v="14717855"/>
    <m/>
    <m/>
    <e v="#N/A"/>
    <m/>
    <m/>
    <d v="2022-12-28T00:00:00"/>
    <d v="2023-11-09T00:00:00"/>
    <m/>
    <m/>
    <s v="M"/>
    <x v="2"/>
    <s v="ANGUS NEGRO"/>
    <s v="9 años 3 meses"/>
    <s v="15-10-2016"/>
    <s v="Vivo"/>
    <x v="2"/>
    <s v="11.1.01.1081"/>
    <s v="11.2.01.2071"/>
    <s v="SI"/>
    <m/>
  </r>
  <r>
    <n v="14717856"/>
    <m/>
    <m/>
    <e v="#N/A"/>
    <m/>
    <m/>
    <d v="2022-12-28T00:00:00"/>
    <d v="2023-11-17T00:00:00"/>
    <m/>
    <m/>
    <s v="M"/>
    <x v="2"/>
    <s v="OVERO NEGRO"/>
    <s v="9 años 3 meses"/>
    <s v="15-10-2016"/>
    <s v="Vivo"/>
    <x v="2"/>
    <s v="11.2.01.2071"/>
    <s v="11.2.01.2071"/>
    <s v="SI"/>
    <m/>
  </r>
  <r>
    <n v="14717858"/>
    <m/>
    <m/>
    <e v="#N/A"/>
    <m/>
    <m/>
    <d v="2022-12-28T00:00:00"/>
    <d v="2023-11-17T00:00:00"/>
    <m/>
    <m/>
    <s v="M"/>
    <x v="2"/>
    <s v="ANGUS NEGRO"/>
    <s v="9 años 3 meses"/>
    <s v="15-10-2016"/>
    <s v="Vivo"/>
    <x v="2"/>
    <s v="11.2.01.2071"/>
    <s v="11.2.01.2071"/>
    <s v="SI"/>
    <m/>
  </r>
  <r>
    <n v="14717863"/>
    <m/>
    <m/>
    <e v="#N/A"/>
    <m/>
    <m/>
    <d v="2022-12-28T00:00:00"/>
    <d v="2023-11-17T00:00:00"/>
    <m/>
    <m/>
    <s v="M"/>
    <x v="2"/>
    <s v="ANGUS ROJO"/>
    <s v="9 años 3 meses"/>
    <s v="15-10-2016"/>
    <s v="Vivo"/>
    <x v="0"/>
    <s v="11.1.01.1241"/>
    <s v="11.2.01.2071"/>
    <s v="SI"/>
    <m/>
  </r>
  <r>
    <n v="14717865"/>
    <m/>
    <m/>
    <e v="#N/A"/>
    <m/>
    <m/>
    <d v="2022-12-28T00:00:00"/>
    <d v="2023-11-17T00:00:00"/>
    <m/>
    <m/>
    <s v="H"/>
    <x v="1"/>
    <s v="HEREFORD"/>
    <s v="9 años 3 meses"/>
    <s v="15-10-2016"/>
    <s v="Vivo"/>
    <x v="2"/>
    <s v="11.2.01.2071"/>
    <s v="11.2.01.2071"/>
    <s v="SI"/>
    <m/>
  </r>
  <r>
    <n v="14717866"/>
    <m/>
    <m/>
    <e v="#N/A"/>
    <m/>
    <m/>
    <d v="2022-12-28T00:00:00"/>
    <d v="2023-11-17T00:00:00"/>
    <m/>
    <m/>
    <s v="H"/>
    <x v="1"/>
    <s v="ANGUS NEGRO"/>
    <s v="9 años 3 meses"/>
    <s v="15-10-2016"/>
    <s v="Vivo"/>
    <x v="2"/>
    <s v="11.1.01.1081"/>
    <s v="11.2.01.2071"/>
    <s v="SI"/>
    <m/>
  </r>
  <r>
    <n v="14717901"/>
    <m/>
    <m/>
    <e v="#N/A"/>
    <m/>
    <m/>
    <d v="2022-12-28T00:00:00"/>
    <d v="2023-11-09T00:00:00"/>
    <m/>
    <m/>
    <s v="M"/>
    <x v="2"/>
    <s v="ANGUS NEGRO"/>
    <s v="9 años 3 meses"/>
    <s v="15-10-2016"/>
    <s v="Vivo"/>
    <x v="2"/>
    <s v="11.1.01.1081"/>
    <s v="11.1.01.1081"/>
    <s v="SI"/>
    <m/>
  </r>
  <r>
    <n v="14717914"/>
    <m/>
    <m/>
    <e v="#N/A"/>
    <m/>
    <m/>
    <d v="2022-12-28T00:00:00"/>
    <d v="2023-11-17T00:00:00"/>
    <m/>
    <m/>
    <s v="M"/>
    <x v="2"/>
    <s v="ANGUS NEGRO"/>
    <s v="9 años 3 meses"/>
    <s v="15-10-2016"/>
    <s v="Vivo"/>
    <x v="2"/>
    <s v="11.1.01.1081"/>
    <s v="11.1.01.1081"/>
    <s v="SI"/>
    <m/>
  </r>
  <r>
    <n v="14717941"/>
    <m/>
    <m/>
    <e v="#N/A"/>
    <m/>
    <m/>
    <d v="2022-12-28T00:00:00"/>
    <d v="2023-11-17T00:00:00"/>
    <m/>
    <m/>
    <s v="M"/>
    <x v="2"/>
    <s v="ANGUS ROJO"/>
    <s v="9 años 3 meses"/>
    <s v="15-10-2016"/>
    <s v="Vivo"/>
    <x v="2"/>
    <s v="11.1.01.1081"/>
    <s v="11.1.01.1081"/>
    <s v="SI"/>
    <m/>
  </r>
  <r>
    <n v="14717949"/>
    <m/>
    <m/>
    <e v="#N/A"/>
    <m/>
    <m/>
    <d v="2022-12-28T00:00:00"/>
    <d v="2023-11-09T00:00:00"/>
    <d v="2024-12-22T00:00:00"/>
    <d v="2025-01-14T00:00:00"/>
    <s v="H"/>
    <x v="1"/>
    <s v="ANGUS ROJO"/>
    <s v="9 años 3 meses"/>
    <s v="15-10-2016"/>
    <s v="Vivo"/>
    <x v="0"/>
    <s v="11.1.01.0791"/>
    <s v="11.1.01.1081"/>
    <s v="SI"/>
    <m/>
  </r>
  <r>
    <n v="14717951"/>
    <m/>
    <m/>
    <e v="#N/A"/>
    <m/>
    <m/>
    <d v="2022-12-28T00:00:00"/>
    <d v="2023-11-17T00:00:00"/>
    <m/>
    <m/>
    <s v="H"/>
    <x v="1"/>
    <s v="ANGUS ROJO"/>
    <s v="9 años 3 meses"/>
    <s v="15-10-2016"/>
    <s v="Vivo"/>
    <x v="0"/>
    <s v="11.1.01.0893"/>
    <s v="11.1.01.1081"/>
    <s v="SI"/>
    <m/>
  </r>
  <r>
    <n v="14717973"/>
    <m/>
    <m/>
    <e v="#N/A"/>
    <m/>
    <m/>
    <d v="2022-12-28T00:00:00"/>
    <d v="2023-12-05T00:00:00"/>
    <m/>
    <m/>
    <s v="M"/>
    <x v="2"/>
    <s v="ANGUS NEGRO"/>
    <s v="9 años 3 meses"/>
    <s v="15-10-2016"/>
    <s v="Vivo"/>
    <x v="2"/>
    <s v="11.1.01.1081"/>
    <s v="11.1.01.1081"/>
    <s v="SI"/>
    <m/>
  </r>
  <r>
    <n v="14717997"/>
    <m/>
    <m/>
    <e v="#N/A"/>
    <m/>
    <m/>
    <d v="2022-12-28T00:00:00"/>
    <d v="2023-11-17T00:00:00"/>
    <m/>
    <m/>
    <s v="M"/>
    <x v="2"/>
    <s v="ANGUS NEGRO"/>
    <s v="9 años 3 meses"/>
    <s v="15-10-2016"/>
    <s v="Vivo"/>
    <x v="2"/>
    <s v="11.1.01.1081"/>
    <s v="11.1.01.1081"/>
    <s v="SI"/>
    <m/>
  </r>
  <r>
    <n v="14718000"/>
    <m/>
    <m/>
    <e v="#N/A"/>
    <m/>
    <m/>
    <d v="2022-12-28T00:00:00"/>
    <d v="2023-11-09T00:00:00"/>
    <d v="2024-05-18T00:00:00"/>
    <m/>
    <s v="H"/>
    <x v="1"/>
    <s v="ANGUS NEGRO"/>
    <s v="9 años 3 meses"/>
    <s v="15-10-2016"/>
    <s v="Vivo"/>
    <x v="0"/>
    <s v="11.1.01.0870"/>
    <s v="11.1.01.1081"/>
    <s v="SI"/>
    <m/>
  </r>
  <r>
    <n v="14718009"/>
    <m/>
    <m/>
    <e v="#N/A"/>
    <m/>
    <m/>
    <d v="2022-11-03T00:00:00"/>
    <d v="2023-11-24T00:00:00"/>
    <m/>
    <m/>
    <s v="H"/>
    <x v="1"/>
    <s v="ANGUS ROJO"/>
    <s v="9 años 3 meses"/>
    <s v="15-10-2016"/>
    <s v="Vivo"/>
    <x v="2"/>
    <s v="11.1.01.1241"/>
    <s v="11.1.01.1081"/>
    <s v="SI"/>
    <m/>
  </r>
  <r>
    <n v="14718016"/>
    <m/>
    <m/>
    <e v="#N/A"/>
    <m/>
    <m/>
    <m/>
    <m/>
    <m/>
    <m/>
    <s v="M"/>
    <x v="2"/>
    <s v="ANGUS NEGRO"/>
    <s v="9 años 3 meses"/>
    <s v="15-10-2016"/>
    <s v="Vivo"/>
    <x v="2"/>
    <s v="11.1.01.1081"/>
    <s v="11.1.01.1081"/>
    <s v="SI"/>
    <m/>
  </r>
  <r>
    <n v="14718030"/>
    <m/>
    <m/>
    <e v="#N/A"/>
    <m/>
    <m/>
    <d v="2022-11-18T00:00:00"/>
    <d v="2023-11-28T00:00:00"/>
    <m/>
    <m/>
    <s v="H"/>
    <x v="1"/>
    <s v="ANGUS NEGRO"/>
    <s v="9 años 3 meses"/>
    <s v="15-10-2016"/>
    <s v="Vivo"/>
    <x v="0"/>
    <s v="11.1.01.1022"/>
    <s v="11.1.01.1081"/>
    <s v="SI"/>
    <m/>
  </r>
  <r>
    <n v="14718038"/>
    <m/>
    <m/>
    <e v="#N/A"/>
    <m/>
    <m/>
    <d v="2022-11-18T00:00:00"/>
    <d v="2023-11-24T00:00:00"/>
    <m/>
    <m/>
    <s v="M"/>
    <x v="2"/>
    <s v="ANGUS NEGRO"/>
    <s v="9 años 3 meses"/>
    <s v="15-10-2016"/>
    <s v="Vivo"/>
    <x v="2"/>
    <s v="11.1.01.1081"/>
    <s v="11.1.01.1081"/>
    <s v="SI"/>
    <m/>
  </r>
  <r>
    <n v="14718044"/>
    <m/>
    <m/>
    <e v="#N/A"/>
    <m/>
    <m/>
    <d v="2022-12-28T00:00:00"/>
    <d v="2023-11-09T00:00:00"/>
    <m/>
    <m/>
    <s v="H"/>
    <x v="1"/>
    <s v="ANGUS NEGRO"/>
    <s v="9 años 3 meses"/>
    <s v="15-10-2016"/>
    <s v="Vivo"/>
    <x v="3"/>
    <s v="11.1.01.1241"/>
    <s v="11.1.01.1081"/>
    <s v="SI"/>
    <m/>
  </r>
  <r>
    <n v="14718054"/>
    <m/>
    <m/>
    <e v="#N/A"/>
    <m/>
    <m/>
    <d v="2022-08-06T00:00:00"/>
    <m/>
    <m/>
    <m/>
    <s v="M"/>
    <x v="2"/>
    <s v="ANGUS NEGRO"/>
    <s v="9 años 3 meses"/>
    <s v="15-10-2016"/>
    <s v="Vivo"/>
    <x v="2"/>
    <s v="11.1.01.1081"/>
    <s v="11.2.01.0038"/>
    <s v="SI"/>
    <m/>
  </r>
  <r>
    <n v="14718055"/>
    <m/>
    <m/>
    <e v="#N/A"/>
    <m/>
    <m/>
    <m/>
    <d v="2023-11-23T00:00:00"/>
    <m/>
    <m/>
    <s v="M"/>
    <x v="2"/>
    <s v="ANGUS NEGRO"/>
    <s v="9 años 3 meses"/>
    <s v="15-10-2016"/>
    <s v="Vivo"/>
    <x v="2"/>
    <s v="11.1.01.1081"/>
    <s v="11.2.01.0038"/>
    <s v="SI"/>
    <m/>
  </r>
  <r>
    <n v="14718061"/>
    <m/>
    <m/>
    <e v="#N/A"/>
    <m/>
    <m/>
    <m/>
    <d v="2023-11-23T00:00:00"/>
    <m/>
    <m/>
    <s v="H"/>
    <x v="1"/>
    <s v="ANGUS NEGRO"/>
    <s v="9 años 3 meses"/>
    <s v="15-10-2016"/>
    <s v="Vivo"/>
    <x v="2"/>
    <s v="11.1.01.1241"/>
    <s v="11.2.01.0038"/>
    <s v="SI"/>
    <m/>
  </r>
  <r>
    <n v="14718062"/>
    <m/>
    <m/>
    <e v="#N/A"/>
    <m/>
    <m/>
    <m/>
    <d v="2023-11-24T00:00:00"/>
    <m/>
    <m/>
    <s v="M"/>
    <x v="2"/>
    <s v="ANGUS NEGRO"/>
    <s v="9 años 3 meses"/>
    <s v="15-10-2016"/>
    <s v="Vivo"/>
    <x v="3"/>
    <s v="Sin Movimiento"/>
    <s v="11.2.01.0038"/>
    <s v="SI"/>
    <m/>
  </r>
  <r>
    <n v="14718064"/>
    <m/>
    <m/>
    <e v="#N/A"/>
    <m/>
    <m/>
    <m/>
    <d v="2023-12-05T00:00:00"/>
    <m/>
    <m/>
    <s v="M"/>
    <x v="2"/>
    <s v="ANGUS NEGRO"/>
    <s v="9 años 3 meses"/>
    <s v="15-10-2016"/>
    <s v="Vivo"/>
    <x v="2"/>
    <s v="11.1.01.1081"/>
    <s v="11.2.01.0038"/>
    <s v="SI"/>
    <m/>
  </r>
  <r>
    <n v="14718071"/>
    <m/>
    <m/>
    <e v="#N/A"/>
    <m/>
    <m/>
    <m/>
    <d v="2023-11-24T00:00:00"/>
    <m/>
    <m/>
    <s v="H"/>
    <x v="1"/>
    <s v="ANGUS NEGRO"/>
    <s v="9 años 3 meses"/>
    <s v="15-10-2016"/>
    <s v="Vivo"/>
    <x v="0"/>
    <s v="11.1.01.0893"/>
    <s v="11.2.01.0038"/>
    <s v="SI"/>
    <m/>
  </r>
  <r>
    <n v="14718072"/>
    <m/>
    <m/>
    <e v="#N/A"/>
    <m/>
    <m/>
    <m/>
    <d v="2023-11-24T00:00:00"/>
    <m/>
    <m/>
    <s v="M"/>
    <x v="2"/>
    <s v="ANGUS NEGRO"/>
    <s v="9 años 3 meses"/>
    <s v="15-10-2016"/>
    <s v="Vivo"/>
    <x v="2"/>
    <s v="11.1.01.1081"/>
    <s v="11.2.01.0038"/>
    <s v="SI"/>
    <m/>
  </r>
  <r>
    <n v="14718076"/>
    <m/>
    <m/>
    <e v="#N/A"/>
    <m/>
    <m/>
    <m/>
    <d v="2023-06-15T00:00:00"/>
    <m/>
    <m/>
    <s v="H"/>
    <x v="1"/>
    <s v="ANGUS NEGRO"/>
    <s v="9 años 3 meses"/>
    <s v="15-10-2016"/>
    <s v="Vivo"/>
    <x v="0"/>
    <s v="11.2.01.0038"/>
    <s v="11.2.01.0038"/>
    <s v="SI"/>
    <m/>
  </r>
  <r>
    <n v="14718078"/>
    <m/>
    <m/>
    <e v="#N/A"/>
    <m/>
    <m/>
    <m/>
    <d v="2023-11-24T00:00:00"/>
    <m/>
    <m/>
    <s v="M"/>
    <x v="2"/>
    <s v="ANGUS NEGRO"/>
    <s v="9 años 3 meses"/>
    <s v="15-10-2016"/>
    <s v="Vivo"/>
    <x v="2"/>
    <s v="11.1.01.1081"/>
    <s v="11.2.01.0038"/>
    <s v="SI"/>
    <m/>
  </r>
  <r>
    <n v="14718081"/>
    <m/>
    <m/>
    <e v="#N/A"/>
    <m/>
    <m/>
    <m/>
    <m/>
    <m/>
    <m/>
    <s v="M"/>
    <x v="2"/>
    <s v="ANGUS NEGRO"/>
    <s v="9 años 3 meses"/>
    <s v="15-10-2016"/>
    <s v="Vivo"/>
    <x v="2"/>
    <s v="11.1.01.1081"/>
    <s v="11.2.01.0038"/>
    <s v="SI"/>
    <m/>
  </r>
  <r>
    <n v="14718083"/>
    <m/>
    <m/>
    <e v="#N/A"/>
    <m/>
    <m/>
    <m/>
    <m/>
    <d v="2024-12-22T00:00:00"/>
    <d v="2025-01-14T00:00:00"/>
    <s v="H"/>
    <x v="1"/>
    <s v="ANGUS NEGRO"/>
    <s v="9 años 3 meses"/>
    <s v="15-10-2016"/>
    <s v="Vivo"/>
    <x v="0"/>
    <s v="11.1.01.0870"/>
    <s v="11.2.01.0038"/>
    <s v="SI"/>
    <m/>
  </r>
  <r>
    <n v="14718086"/>
    <m/>
    <m/>
    <e v="#N/A"/>
    <m/>
    <m/>
    <m/>
    <m/>
    <d v="2024-12-22T00:00:00"/>
    <d v="2025-11-05T00:00:00"/>
    <s v="H"/>
    <x v="1"/>
    <s v="ANGUS NEGRO"/>
    <s v="9 años 3 meses"/>
    <s v="15-10-2016"/>
    <s v="Vivo"/>
    <x v="7"/>
    <s v="11.1.01.0190"/>
    <s v="11.2.01.0038"/>
    <s v="SI"/>
    <m/>
  </r>
  <r>
    <n v="14718087"/>
    <m/>
    <m/>
    <e v="#N/A"/>
    <m/>
    <m/>
    <m/>
    <d v="2023-12-04T00:00:00"/>
    <m/>
    <m/>
    <s v="M"/>
    <x v="2"/>
    <s v="ANGUS NEGRO"/>
    <s v="9 años 3 meses"/>
    <s v="15-10-2016"/>
    <s v="Vivo"/>
    <x v="2"/>
    <s v="11.2.01.0038"/>
    <s v="11.2.01.0038"/>
    <s v="SI"/>
    <m/>
  </r>
  <r>
    <n v="14718092"/>
    <m/>
    <m/>
    <e v="#N/A"/>
    <m/>
    <d v="2021-07-20T00:00:00"/>
    <m/>
    <d v="2023-12-04T00:00:00"/>
    <d v="2024-12-22T00:00:00"/>
    <d v="2025-01-14T00:00:00"/>
    <s v="H"/>
    <x v="1"/>
    <s v="ANGUS NEGRO"/>
    <s v="9 años 3 meses"/>
    <s v="15-10-2016"/>
    <s v="Vivo"/>
    <x v="0"/>
    <s v="11.1.01.1022"/>
    <s v="11.2.01.0038"/>
    <s v="SI"/>
    <m/>
  </r>
  <r>
    <n v="14718093"/>
    <m/>
    <m/>
    <e v="#N/A"/>
    <m/>
    <m/>
    <m/>
    <d v="2023-11-23T00:00:00"/>
    <m/>
    <m/>
    <s v="M"/>
    <x v="2"/>
    <s v="ANGUS NEGRO"/>
    <s v="9 años 3 meses"/>
    <s v="15-10-2016"/>
    <s v="Vivo"/>
    <x v="2"/>
    <s v="11.1.01.1081"/>
    <s v="11.2.01.0038"/>
    <s v="SI"/>
    <m/>
  </r>
  <r>
    <n v="14718103"/>
    <m/>
    <m/>
    <e v="#N/A"/>
    <m/>
    <m/>
    <m/>
    <m/>
    <m/>
    <m/>
    <s v="M"/>
    <x v="2"/>
    <s v="ANGUS NEGRO"/>
    <s v="9 años 3 meses"/>
    <s v="15-10-2016"/>
    <s v="Vivo"/>
    <x v="2"/>
    <s v="11.1.01.1081"/>
    <s v="11.2.01.0038"/>
    <s v="SI"/>
    <m/>
  </r>
  <r>
    <n v="14718104"/>
    <m/>
    <m/>
    <e v="#N/A"/>
    <m/>
    <m/>
    <m/>
    <m/>
    <m/>
    <m/>
    <s v="M"/>
    <x v="2"/>
    <s v="ANGUS NEGRO"/>
    <s v="9 años 3 meses"/>
    <s v="15-10-2016"/>
    <s v="Vivo"/>
    <x v="2"/>
    <s v="11.1.01.1081"/>
    <s v="11.2.01.0038"/>
    <s v="SI"/>
    <m/>
  </r>
  <r>
    <n v="14718109"/>
    <m/>
    <m/>
    <e v="#N/A"/>
    <m/>
    <m/>
    <m/>
    <d v="2023-10-16T00:00:00"/>
    <m/>
    <m/>
    <s v="M"/>
    <x v="2"/>
    <s v="ANGUS NEGRO"/>
    <s v="9 años 3 meses"/>
    <s v="15-10-2016"/>
    <s v="Vivo"/>
    <x v="2"/>
    <s v="11.2.01.0038"/>
    <s v="11.2.01.0038"/>
    <s v="SI"/>
    <m/>
  </r>
  <r>
    <n v="14718111"/>
    <m/>
    <m/>
    <e v="#N/A"/>
    <m/>
    <m/>
    <m/>
    <d v="2023-10-16T00:00:00"/>
    <m/>
    <m/>
    <s v="M"/>
    <x v="2"/>
    <s v="ANGUS NEGRO"/>
    <s v="9 años 0 meses"/>
    <s v="20-12-2016"/>
    <s v="Vivo"/>
    <x v="2"/>
    <s v="11.1.01.1081"/>
    <s v="11.1.01.1081"/>
    <s v="SI"/>
    <m/>
  </r>
  <r>
    <n v="14718118"/>
    <m/>
    <m/>
    <e v="#N/A"/>
    <m/>
    <m/>
    <m/>
    <d v="2023-10-16T00:00:00"/>
    <m/>
    <m/>
    <s v="M"/>
    <x v="2"/>
    <s v="ANGUS NEGRO"/>
    <s v="9 años 0 meses"/>
    <s v="25-12-2016"/>
    <s v="Vivo"/>
    <x v="2"/>
    <s v="11.1.01.1081"/>
    <s v="11.2.01.0038"/>
    <s v="SI"/>
    <m/>
  </r>
  <r>
    <n v="14718119"/>
    <m/>
    <m/>
    <e v="#N/A"/>
    <m/>
    <m/>
    <m/>
    <d v="2023-10-16T00:00:00"/>
    <m/>
    <m/>
    <s v="M"/>
    <x v="2"/>
    <s v="ANGUS NEGRO"/>
    <s v="9 años 0 meses"/>
    <s v="15-01-2017"/>
    <s v="Vivo"/>
    <x v="2"/>
    <s v="11.1.01.1081"/>
    <s v="11.2.01.0038"/>
    <s v="SI"/>
    <m/>
  </r>
  <r>
    <n v="14718121"/>
    <m/>
    <m/>
    <e v="#N/A"/>
    <m/>
    <m/>
    <m/>
    <d v="2023-10-16T00:00:00"/>
    <m/>
    <m/>
    <s v="M"/>
    <x v="2"/>
    <s v="ANGUS NEGRO"/>
    <s v="9 años 1 meses"/>
    <s v="10-12-2016"/>
    <s v="Vivo"/>
    <x v="2"/>
    <s v="11.1.01.1081"/>
    <s v="11.2.01.0038"/>
    <s v="SI"/>
    <m/>
  </r>
  <r>
    <n v="14718122"/>
    <m/>
    <m/>
    <e v="#N/A"/>
    <m/>
    <m/>
    <m/>
    <d v="2023-10-16T00:00:00"/>
    <m/>
    <m/>
    <s v="M"/>
    <x v="2"/>
    <s v="ANGUS NEGRO"/>
    <s v="9 años 0 meses"/>
    <s v="02-01-2017"/>
    <s v="Vivo"/>
    <x v="2"/>
    <s v="11.1.01.1081"/>
    <s v="11.2.01.0038"/>
    <s v="SI"/>
    <m/>
  </r>
  <r>
    <n v="14718141"/>
    <m/>
    <m/>
    <e v="#N/A"/>
    <m/>
    <m/>
    <m/>
    <d v="2023-10-16T00:00:00"/>
    <m/>
    <d v="2025-11-05T00:00:00"/>
    <s v="H"/>
    <x v="1"/>
    <s v="ANGUS ROJO"/>
    <s v="8 años 11 meses"/>
    <s v="20-01-2017"/>
    <s v="Vivo"/>
    <x v="7"/>
    <s v="11.1.01.0190"/>
    <s v="11.1.01.1241"/>
    <s v="SI"/>
    <m/>
  </r>
  <r>
    <n v="14718142"/>
    <m/>
    <m/>
    <e v="#N/A"/>
    <m/>
    <m/>
    <m/>
    <d v="2023-10-16T00:00:00"/>
    <m/>
    <m/>
    <s v="M"/>
    <x v="2"/>
    <s v="ANGUS NEGRO"/>
    <s v="8 años 10 meses"/>
    <s v="11-03-2017"/>
    <s v="Vivo"/>
    <x v="0"/>
    <s v="11.1.01.1022"/>
    <s v="11.1.01.1241"/>
    <s v="SI"/>
    <m/>
  </r>
  <r>
    <n v="14718147"/>
    <m/>
    <m/>
    <e v="#N/A"/>
    <m/>
    <m/>
    <d v="2022-12-28T00:00:00"/>
    <d v="2023-11-09T00:00:00"/>
    <d v="2024-12-22T00:00:00"/>
    <d v="2025-11-05T00:00:00"/>
    <s v="H"/>
    <x v="1"/>
    <s v="ANGUS NEGRO"/>
    <s v="8 años 11 meses"/>
    <s v="30-01-2017"/>
    <s v="Vivo"/>
    <x v="7"/>
    <s v="11.1.01.0190"/>
    <s v="11.1.01.1241"/>
    <s v="SI"/>
    <m/>
  </r>
  <r>
    <n v="14718148"/>
    <m/>
    <m/>
    <e v="#N/A"/>
    <m/>
    <m/>
    <m/>
    <d v="2023-11-10T00:00:00"/>
    <m/>
    <m/>
    <s v="M"/>
    <x v="2"/>
    <s v="ANGUS NEGRO"/>
    <s v="9 años 0 meses"/>
    <s v="18-12-2016"/>
    <s v="Vivo"/>
    <x v="2"/>
    <s v="11.1.01.1081"/>
    <s v="11.1.01.1241"/>
    <s v="SI"/>
    <m/>
  </r>
  <r>
    <n v="14718149"/>
    <m/>
    <m/>
    <e v="#N/A"/>
    <m/>
    <m/>
    <m/>
    <d v="2023-11-10T00:00:00"/>
    <m/>
    <m/>
    <s v="M"/>
    <x v="2"/>
    <s v="ANGUS NEGRO"/>
    <s v="9 años 0 meses"/>
    <s v="10-01-2017"/>
    <s v="Vivo"/>
    <x v="2"/>
    <s v="11.1.01.1081"/>
    <s v="11.1.01.1241"/>
    <s v="SI"/>
    <m/>
  </r>
  <r>
    <n v="14718153"/>
    <m/>
    <m/>
    <e v="#N/A"/>
    <d v="2020-10-30T00:00:00"/>
    <d v="2021-11-04T00:00:00"/>
    <d v="2022-12-13T00:00:00"/>
    <d v="2023-11-23T00:00:00"/>
    <m/>
    <m/>
    <s v="M"/>
    <x v="2"/>
    <s v="ANGUS NEGRO"/>
    <s v="8 años 10 meses"/>
    <s v="20-02-2017"/>
    <s v="Vivo"/>
    <x v="2"/>
    <s v="11.1.01.1241"/>
    <s v="11.1.01.1241"/>
    <s v="SI"/>
    <m/>
  </r>
  <r>
    <n v="14718156"/>
    <m/>
    <m/>
    <e v="#N/A"/>
    <m/>
    <d v="2021-10-20T00:00:00"/>
    <d v="2022-05-27T00:00:00"/>
    <d v="2023-11-23T00:00:00"/>
    <m/>
    <m/>
    <s v="M"/>
    <x v="2"/>
    <s v="ANGUS NEGRO"/>
    <s v="9 años 0 meses"/>
    <s v="18-12-2016"/>
    <s v="Vivo"/>
    <x v="2"/>
    <s v="11.1.01.1081"/>
    <s v="11.1.01.1241"/>
    <s v="SI"/>
    <m/>
  </r>
  <r>
    <n v="14718157"/>
    <m/>
    <m/>
    <e v="#N/A"/>
    <d v="2020-10-31T00:00:00"/>
    <d v="2021-06-03T00:00:00"/>
    <d v="2022-11-03T00:00:00"/>
    <d v="2023-11-23T00:00:00"/>
    <m/>
    <m/>
    <s v="no existe"/>
    <x v="3"/>
    <s v="no existe"/>
    <s v="no existe"/>
    <s v="no existe"/>
    <s v="no existe"/>
    <x v="5"/>
    <s v="no existe"/>
    <s v="no existe"/>
    <s v="no existe"/>
    <m/>
  </r>
  <r>
    <n v="14718158"/>
    <m/>
    <m/>
    <e v="#N/A"/>
    <d v="2020-10-30T00:00:00"/>
    <d v="2021-11-18T00:00:00"/>
    <d v="2022-12-13T00:00:00"/>
    <d v="2023-11-23T00:00:00"/>
    <m/>
    <m/>
    <s v="no existe"/>
    <x v="3"/>
    <s v="no existe"/>
    <s v="no existe"/>
    <s v="no existe"/>
    <s v="no existe"/>
    <x v="5"/>
    <s v="no existe"/>
    <s v="no existe"/>
    <s v="no existe"/>
    <m/>
  </r>
  <r>
    <n v="14718159"/>
    <m/>
    <m/>
    <e v="#N/A"/>
    <m/>
    <m/>
    <m/>
    <d v="2023-12-04T00:00:00"/>
    <m/>
    <m/>
    <s v="M"/>
    <x v="2"/>
    <s v="ANGUS NEGRO"/>
    <s v="9 años 0 meses"/>
    <s v="18-12-2016"/>
    <s v="Vivo"/>
    <x v="2"/>
    <s v="11.1.01.1081"/>
    <s v="11.1.01.1241"/>
    <s v="SI"/>
    <m/>
  </r>
  <r>
    <n v="14718163"/>
    <m/>
    <m/>
    <e v="#N/A"/>
    <m/>
    <m/>
    <m/>
    <d v="2023-12-05T00:00:00"/>
    <m/>
    <m/>
    <s v="M"/>
    <x v="2"/>
    <s v="ANGUS NEGRO"/>
    <s v="9 años 1 meses"/>
    <s v="30-11-2016"/>
    <s v="Vivo"/>
    <x v="2"/>
    <s v="11.1.01.1081"/>
    <s v="11.1.01.1241"/>
    <s v="SI"/>
    <m/>
  </r>
  <r>
    <n v="14718168"/>
    <m/>
    <m/>
    <e v="#N/A"/>
    <m/>
    <m/>
    <m/>
    <d v="2023-12-05T00:00:00"/>
    <d v="2024-01-06T00:00:00"/>
    <m/>
    <s v="H"/>
    <x v="1"/>
    <s v="ANGUS NEGRO"/>
    <s v="9 años 1 meses"/>
    <s v="30-11-2016"/>
    <s v="Vivo"/>
    <x v="3"/>
    <s v="11.1.01.0893"/>
    <s v="11.1.01.0893"/>
    <s v="SI"/>
    <m/>
  </r>
  <r>
    <n v="14718169"/>
    <m/>
    <m/>
    <e v="#N/A"/>
    <m/>
    <d v="2021-10-20T00:00:00"/>
    <d v="2022-05-27T00:00:00"/>
    <d v="2023-12-05T00:00:00"/>
    <m/>
    <m/>
    <s v="H"/>
    <x v="1"/>
    <s v="ANGUS NEGRO"/>
    <s v="9 años 0 meses"/>
    <s v="30-12-2016"/>
    <s v="Vivo"/>
    <x v="2"/>
    <s v="Sin Movimiento"/>
    <s v="11.1.01.0893"/>
    <s v="SI"/>
    <m/>
  </r>
  <r>
    <n v="14718172"/>
    <m/>
    <m/>
    <e v="#N/A"/>
    <m/>
    <m/>
    <m/>
    <d v="2023-12-05T00:00:00"/>
    <m/>
    <m/>
    <s v="M"/>
    <x v="2"/>
    <s v="OVERO NEGRO"/>
    <s v="8 años 11 meses"/>
    <s v="30-01-2017"/>
    <s v="Vivo"/>
    <x v="2"/>
    <s v="11.2.01.2071"/>
    <s v="11.2.01.2071"/>
    <s v="SI"/>
    <m/>
  </r>
  <r>
    <n v="14718173"/>
    <m/>
    <m/>
    <e v="#N/A"/>
    <m/>
    <d v="2021-10-20T00:00:00"/>
    <d v="2022-05-27T00:00:00"/>
    <d v="2023-12-05T00:00:00"/>
    <m/>
    <m/>
    <s v="M"/>
    <x v="2"/>
    <s v="ANGUS ROJO"/>
    <s v="9 años 0 meses"/>
    <s v="30-12-2016"/>
    <s v="Vivo"/>
    <x v="2"/>
    <s v="11.2.01.2071"/>
    <s v="11.2.01.2071"/>
    <s v="SI"/>
    <m/>
  </r>
  <r>
    <n v="14718174"/>
    <m/>
    <m/>
    <e v="#N/A"/>
    <m/>
    <m/>
    <m/>
    <d v="2023-12-05T00:00:00"/>
    <m/>
    <m/>
    <s v="M"/>
    <x v="2"/>
    <s v="ANGUS NEGRO"/>
    <s v="9 años 0 meses"/>
    <s v="30-12-2016"/>
    <s v="Vivo"/>
    <x v="2"/>
    <s v="11.2.01.2071"/>
    <s v="11.2.01.2071"/>
    <s v="SI"/>
    <m/>
  </r>
  <r>
    <n v="14718175"/>
    <m/>
    <m/>
    <e v="#N/A"/>
    <m/>
    <d v="2021-10-20T00:00:00"/>
    <d v="2022-05-27T00:00:00"/>
    <d v="2023-12-05T00:00:00"/>
    <m/>
    <m/>
    <s v="M"/>
    <x v="2"/>
    <s v="ANGUS NEGRO"/>
    <s v="9 años 0 meses"/>
    <s v="30-12-2016"/>
    <s v="Vivo"/>
    <x v="2"/>
    <s v="11.2.01.2071"/>
    <s v="11.2.01.2071"/>
    <s v="SI"/>
    <m/>
  </r>
  <r>
    <n v="14718177"/>
    <m/>
    <m/>
    <e v="#N/A"/>
    <m/>
    <d v="2021-10-20T00:00:00"/>
    <d v="2022-05-27T00:00:00"/>
    <d v="2023-12-05T00:00:00"/>
    <m/>
    <m/>
    <s v="M"/>
    <x v="2"/>
    <s v="ANGUS ROJO"/>
    <s v="9 años 0 meses"/>
    <s v="20-12-2016"/>
    <s v="Vivo"/>
    <x v="2"/>
    <s v="Sin Movimiento"/>
    <s v="11.1.01.0893"/>
    <s v="SI"/>
    <m/>
  </r>
  <r>
    <n v="14718185"/>
    <m/>
    <m/>
    <e v="#N/A"/>
    <m/>
    <m/>
    <m/>
    <d v="2023-11-24T00:00:00"/>
    <d v="2024-12-22T00:00:00"/>
    <d v="2025-11-05T00:00:00"/>
    <s v="H"/>
    <x v="1"/>
    <s v="ANGUS NEGRO"/>
    <s v="8 años 3 meses"/>
    <s v="24-09-2017"/>
    <s v="Vivo"/>
    <x v="7"/>
    <s v="11.1.01.0190"/>
    <s v="11.1.01.0893"/>
    <s v="SI"/>
    <m/>
  </r>
  <r>
    <n v="14718186"/>
    <m/>
    <m/>
    <e v="#N/A"/>
    <m/>
    <m/>
    <m/>
    <d v="2023-11-24T00:00:00"/>
    <d v="2024-12-22T00:00:00"/>
    <d v="2025-01-14T00:00:00"/>
    <s v="H"/>
    <x v="1"/>
    <s v="ANGUS NEGRO"/>
    <s v="8 años 3 meses"/>
    <s v="25-09-2017"/>
    <s v="Vivo"/>
    <x v="0"/>
    <s v="11.2.01.0038"/>
    <s v="11.1.01.0893"/>
    <s v="SI"/>
    <m/>
  </r>
  <r>
    <n v="14718190"/>
    <m/>
    <m/>
    <e v="#N/A"/>
    <m/>
    <m/>
    <m/>
    <d v="2023-11-24T00:00:00"/>
    <m/>
    <m/>
    <s v="H"/>
    <x v="1"/>
    <s v="ANGUS NEGRO"/>
    <s v="8 años 3 meses"/>
    <s v="27-09-2017"/>
    <s v="Vivo"/>
    <x v="0"/>
    <s v="11.1.01.1022"/>
    <s v="11.1.01.0893"/>
    <s v="SI"/>
    <m/>
  </r>
  <r>
    <n v="14718193"/>
    <m/>
    <m/>
    <e v="#N/A"/>
    <m/>
    <d v="2021-07-20T00:00:00"/>
    <d v="2022-12-13T00:00:00"/>
    <d v="2023-12-04T00:00:00"/>
    <d v="2024-01-06T00:00:00"/>
    <m/>
    <s v="H"/>
    <x v="1"/>
    <s v="ANGUS NEGRO"/>
    <s v="8 años 3 meses"/>
    <s v="28-09-2017"/>
    <s v="Vivo"/>
    <x v="4"/>
    <s v="11.1.01.0893"/>
    <s v="11.1.01.0893"/>
    <s v="SI"/>
    <m/>
  </r>
  <r>
    <n v="14718201"/>
    <m/>
    <m/>
    <e v="#N/A"/>
    <m/>
    <m/>
    <m/>
    <m/>
    <m/>
    <m/>
    <s v="H"/>
    <x v="1"/>
    <s v="ANGUS ROJO"/>
    <s v="8 años 3 meses"/>
    <s v="30-09-2017"/>
    <s v="Vivo"/>
    <x v="0"/>
    <s v="11.1.01.1241"/>
    <s v="11.1.01.0893"/>
    <s v="SI"/>
    <m/>
  </r>
  <r>
    <n v="14718204"/>
    <m/>
    <m/>
    <e v="#N/A"/>
    <m/>
    <m/>
    <m/>
    <m/>
    <m/>
    <m/>
    <s v="H"/>
    <x v="1"/>
    <s v="ANGUS NEGRO"/>
    <s v="8 años 3 meses"/>
    <s v="01-10-2017"/>
    <s v="Vivo"/>
    <x v="0"/>
    <s v="11.1.01.1022"/>
    <s v="11.1.01.0893"/>
    <s v="SI"/>
    <m/>
  </r>
  <r>
    <n v="14718209"/>
    <m/>
    <m/>
    <e v="#N/A"/>
    <m/>
    <d v="2021-10-20T00:00:00"/>
    <d v="2022-05-27T00:00:00"/>
    <d v="2023-12-05T00:00:00"/>
    <m/>
    <m/>
    <s v="H"/>
    <x v="1"/>
    <s v="ANGUS NEGRO"/>
    <s v="8 años 3 meses"/>
    <s v="03-10-2017"/>
    <s v="Vivo"/>
    <x v="3"/>
    <s v="11.1.01.0893"/>
    <s v="11.1.01.0893"/>
    <s v="SI"/>
    <m/>
  </r>
  <r>
    <n v="14718218"/>
    <m/>
    <m/>
    <e v="#N/A"/>
    <d v="2020-11-09T00:00:00"/>
    <m/>
    <d v="2022-12-17T00:00:00"/>
    <d v="2023-11-23T00:00:00"/>
    <m/>
    <m/>
    <s v="H"/>
    <x v="1"/>
    <s v="ANGUS NEGRO"/>
    <s v="8 años 3 meses"/>
    <s v="07-10-2017"/>
    <s v="Vivo"/>
    <x v="9"/>
    <s v="11.1.02.0004"/>
    <s v="11.1.01.0893"/>
    <s v="SI"/>
    <m/>
  </r>
  <r>
    <n v="14718221"/>
    <m/>
    <m/>
    <e v="#N/A"/>
    <m/>
    <d v="2021-10-22T00:00:00"/>
    <d v="2022-05-27T00:00:00"/>
    <d v="2023-11-23T00:00:00"/>
    <m/>
    <d v="2025-11-04T00:00:00"/>
    <s v="H"/>
    <x v="1"/>
    <s v="ANGUS NEGRO"/>
    <s v="8 años 3 meses"/>
    <s v="08-10-2017"/>
    <s v="Vivo"/>
    <x v="7"/>
    <s v="11.1.01.0190"/>
    <s v="11.1.01.0893"/>
    <s v="SI"/>
    <m/>
  </r>
  <r>
    <n v="14718223"/>
    <m/>
    <m/>
    <e v="#N/A"/>
    <m/>
    <d v="2021-10-20T00:00:00"/>
    <d v="2022-05-27T00:00:00"/>
    <d v="2023-12-05T00:00:00"/>
    <d v="2024-05-20T00:00:00"/>
    <m/>
    <s v="H"/>
    <x v="1"/>
    <s v="ANGUS NEGRO"/>
    <s v="8 años 3 meses"/>
    <s v="12-10-2017"/>
    <s v="Vivo"/>
    <x v="7"/>
    <s v="11.1.01.0190"/>
    <s v="11.1.01.0893"/>
    <s v="SI"/>
    <m/>
  </r>
  <r>
    <n v="14718226"/>
    <m/>
    <m/>
    <e v="#N/A"/>
    <m/>
    <d v="2021-10-20T00:00:00"/>
    <d v="2022-12-13T00:00:00"/>
    <d v="2023-12-05T00:00:00"/>
    <m/>
    <m/>
    <s v="H"/>
    <x v="1"/>
    <s v="ANGUS ROJO"/>
    <s v="8 años 3 meses"/>
    <s v="15-10-2017"/>
    <s v="Vivo"/>
    <x v="1"/>
    <s v="11.1.01.0941"/>
    <s v="11.1.01.0893"/>
    <s v="SI"/>
    <m/>
  </r>
  <r>
    <n v="14718228"/>
    <m/>
    <m/>
    <e v="#N/A"/>
    <m/>
    <d v="2021-10-20T00:00:00"/>
    <d v="2022-05-27T00:00:00"/>
    <d v="2023-11-23T00:00:00"/>
    <m/>
    <m/>
    <s v="H"/>
    <x v="1"/>
    <s v="ANGUS NEGRO"/>
    <s v="8 años 3 meses"/>
    <s v="16-10-2017"/>
    <s v="Vivo"/>
    <x v="0"/>
    <s v="11.2.01.0038"/>
    <s v="11.1.01.0893"/>
    <s v="SI"/>
    <m/>
  </r>
  <r>
    <n v="14718231"/>
    <m/>
    <m/>
    <e v="#N/A"/>
    <m/>
    <m/>
    <m/>
    <d v="2023-12-05T00:00:00"/>
    <d v="2024-12-22T00:00:00"/>
    <d v="2025-01-14T00:00:00"/>
    <s v="H"/>
    <x v="1"/>
    <s v="ANGUS ROJO"/>
    <s v="8 años 2 meses"/>
    <s v="17-10-2017"/>
    <s v="Vivo"/>
    <x v="0"/>
    <s v="11.2.01.0038"/>
    <s v="11.1.01.0893"/>
    <s v="SI"/>
    <m/>
  </r>
  <r>
    <n v="14718237"/>
    <m/>
    <m/>
    <e v="#N/A"/>
    <m/>
    <m/>
    <m/>
    <d v="2023-11-23T00:00:00"/>
    <d v="2024-12-22T00:00:00"/>
    <d v="2025-11-04T00:00:00"/>
    <s v="H"/>
    <x v="1"/>
    <s v="ANGUS NEGRO"/>
    <s v="8 años 2 meses"/>
    <s v="23-10-2017"/>
    <s v="Vivo"/>
    <x v="7"/>
    <s v="11.1.01.0190"/>
    <s v="11.1.01.0893"/>
    <s v="SI"/>
    <m/>
  </r>
  <r>
    <n v="14718242"/>
    <m/>
    <m/>
    <e v="#N/A"/>
    <m/>
    <m/>
    <m/>
    <d v="2023-12-05T00:00:00"/>
    <d v="2024-12-22T00:00:00"/>
    <d v="2025-01-14T00:00:00"/>
    <s v="H"/>
    <x v="1"/>
    <s v="ANGUS NEGRO"/>
    <s v="8 años 2 meses"/>
    <s v="28-10-2017"/>
    <s v="Vivo"/>
    <x v="0"/>
    <s v="11.2.01.0038"/>
    <s v="11.1.01.0893"/>
    <s v="SI"/>
    <m/>
  </r>
  <r>
    <n v="14718247"/>
    <m/>
    <m/>
    <e v="#N/A"/>
    <m/>
    <m/>
    <m/>
    <d v="2023-11-23T00:00:00"/>
    <d v="2024-12-22T00:00:00"/>
    <d v="2025-11-05T00:00:00"/>
    <s v="H"/>
    <x v="1"/>
    <s v="ANGUS ROJO"/>
    <s v="8 años 2 meses"/>
    <s v="06-11-2017"/>
    <s v="Vivo"/>
    <x v="6"/>
    <s v="11.1.01.1241"/>
    <s v="11.1.01.0893"/>
    <s v="SI"/>
    <m/>
  </r>
  <r>
    <n v="14718249"/>
    <m/>
    <m/>
    <e v="#N/A"/>
    <m/>
    <m/>
    <m/>
    <d v="2023-12-05T00:00:00"/>
    <m/>
    <m/>
    <s v="H"/>
    <x v="1"/>
    <s v="ANGUS NEGRO"/>
    <s v="8 años 2 meses"/>
    <s v="14-11-2017"/>
    <s v="Vivo"/>
    <x v="0"/>
    <s v="11.1.01.1022"/>
    <s v="11.1.01.0893"/>
    <s v="SI"/>
    <m/>
  </r>
  <r>
    <n v="14718267"/>
    <m/>
    <m/>
    <e v="#N/A"/>
    <m/>
    <m/>
    <m/>
    <d v="2023-12-05T00:00:00"/>
    <m/>
    <m/>
    <s v="H"/>
    <x v="1"/>
    <s v="ANGUS NEGRO"/>
    <s v="9 años 3 meses"/>
    <s v="10-10-2016"/>
    <s v="Vivo"/>
    <x v="0"/>
    <s v="Sin Movimiento"/>
    <s v="11.1.01.1241"/>
    <s v="SI"/>
    <m/>
  </r>
  <r>
    <n v="14718276"/>
    <m/>
    <m/>
    <e v="#N/A"/>
    <m/>
    <m/>
    <m/>
    <d v="2023-11-23T00:00:00"/>
    <d v="2024-05-18T00:00:00"/>
    <m/>
    <s v="H"/>
    <x v="1"/>
    <s v="ANGUS NEGRO"/>
    <s v="9 años 3 meses"/>
    <s v="10-10-2016"/>
    <s v="Vivo"/>
    <x v="7"/>
    <s v="11.1.01.0190"/>
    <s v="11.1.01.1241"/>
    <s v="SI"/>
    <m/>
  </r>
  <r>
    <n v="14718282"/>
    <n v="2636125"/>
    <m/>
    <e v="#N/A"/>
    <m/>
    <m/>
    <m/>
    <d v="2023-11-23T00:00:00"/>
    <m/>
    <m/>
    <s v="M"/>
    <x v="0"/>
    <s v="ANGUS NEGRO"/>
    <s v="12 años 3 meses"/>
    <s v="10-10-2013"/>
    <s v="Vivo"/>
    <x v="0"/>
    <s v="Sin Movimiento"/>
    <s v="11.1.01.1241"/>
    <s v="NO"/>
    <m/>
  </r>
  <r>
    <n v="14718285"/>
    <n v="2636141"/>
    <m/>
    <e v="#N/A"/>
    <m/>
    <m/>
    <m/>
    <d v="2023-11-23T00:00:00"/>
    <d v="2024-10-09T00:00:00"/>
    <m/>
    <s v="M"/>
    <x v="0"/>
    <s v="ANGUS NEGRO"/>
    <s v="11 años 3 meses"/>
    <s v="10-10-2014"/>
    <s v="Vivo"/>
    <x v="7"/>
    <s v="11.1.01.0190"/>
    <s v="11.1.01.0893"/>
    <s v="NO"/>
    <m/>
  </r>
  <r>
    <n v="14718287"/>
    <n v="2636102"/>
    <m/>
    <e v="#N/A"/>
    <m/>
    <m/>
    <m/>
    <d v="2023-11-23T00:00:00"/>
    <m/>
    <m/>
    <s v="M"/>
    <x v="0"/>
    <s v="ANGUS NEGRO"/>
    <s v="11 años 3 meses"/>
    <s v="10-10-2014"/>
    <s v="Vivo"/>
    <x v="0"/>
    <s v="11.1.01.0893"/>
    <s v="11.1.01.0893"/>
    <s v="NO"/>
    <m/>
  </r>
  <r>
    <n v="14718288"/>
    <n v="2636101"/>
    <m/>
    <e v="#N/A"/>
    <m/>
    <m/>
    <m/>
    <d v="2023-06-15T00:00:00"/>
    <m/>
    <m/>
    <s v="M"/>
    <x v="2"/>
    <s v="ANGUS NEGRO"/>
    <s v="14 años 4 meses"/>
    <s v="30-08-2011"/>
    <s v="Vivo"/>
    <x v="0"/>
    <s v="11.1.01.0893"/>
    <s v="11.1.01.1241"/>
    <s v="SI"/>
    <m/>
  </r>
  <r>
    <n v="14718294"/>
    <m/>
    <m/>
    <e v="#N/A"/>
    <m/>
    <d v="2021-10-20T00:00:00"/>
    <d v="2022-05-27T00:00:00"/>
    <d v="2023-12-05T00:00:00"/>
    <m/>
    <m/>
    <s v="no existe"/>
    <x v="3"/>
    <s v="no existe"/>
    <s v="no existe"/>
    <s v="no existe"/>
    <s v="no existe"/>
    <x v="5"/>
    <s v="no existe"/>
    <s v="no existe"/>
    <s v="no existe"/>
    <m/>
  </r>
  <r>
    <n v="14718295"/>
    <m/>
    <m/>
    <e v="#N/A"/>
    <d v="2020-11-04T00:00:00"/>
    <d v="2021-10-20T00:00:00"/>
    <d v="2022-05-27T00:00:00"/>
    <d v="2023-12-05T00:00:00"/>
    <m/>
    <m/>
    <s v="no existe"/>
    <x v="3"/>
    <s v="no existe"/>
    <s v="no existe"/>
    <s v="no existe"/>
    <s v="no existe"/>
    <x v="5"/>
    <s v="no existe"/>
    <s v="no existe"/>
    <s v="no existe"/>
    <m/>
  </r>
  <r>
    <n v="14718300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15660945"/>
    <m/>
    <m/>
    <e v="#N/A"/>
    <m/>
    <m/>
    <m/>
    <m/>
    <m/>
    <m/>
    <s v="H"/>
    <x v="1"/>
    <s v="ANGUS NEGRO"/>
    <s v="8 años 4 meses"/>
    <s v="10-09-2017"/>
    <s v="Vivo"/>
    <x v="0"/>
    <s v="11.1.01.1022"/>
    <s v="11.1.01.1241"/>
    <s v="SI"/>
    <m/>
  </r>
  <r>
    <n v="15660948"/>
    <m/>
    <m/>
    <e v="#N/A"/>
    <m/>
    <m/>
    <m/>
    <m/>
    <m/>
    <m/>
    <s v="H"/>
    <x v="1"/>
    <s v="ANGUS NEGRO"/>
    <s v="8 años 3 meses"/>
    <s v="30-09-2017"/>
    <s v="Vivo"/>
    <x v="0"/>
    <s v="11.1.01.1241"/>
    <s v="11.1.01.1241"/>
    <s v="SI"/>
    <m/>
  </r>
  <r>
    <n v="15660953"/>
    <m/>
    <m/>
    <e v="#N/A"/>
    <m/>
    <m/>
    <m/>
    <d v="2023-12-28T00:00:00"/>
    <m/>
    <m/>
    <s v="H"/>
    <x v="1"/>
    <s v="ANGUS NEGRO"/>
    <s v="8 años 4 meses"/>
    <s v="30-08-2017"/>
    <s v="Vivo"/>
    <x v="0"/>
    <s v="Sin Movimiento"/>
    <s v="11.1.01.1241"/>
    <s v="SI"/>
    <m/>
  </r>
  <r>
    <n v="15660954"/>
    <m/>
    <m/>
    <e v="#N/A"/>
    <m/>
    <m/>
    <m/>
    <d v="2023-12-28T00:00:00"/>
    <m/>
    <m/>
    <s v="H"/>
    <x v="1"/>
    <s v="ANGUS NEGRO"/>
    <s v="8 años 4 meses"/>
    <s v="30-08-2017"/>
    <s v="Vivo"/>
    <x v="0"/>
    <s v="11.1.01.1241"/>
    <s v="11.1.01.1241"/>
    <s v="SI"/>
    <m/>
  </r>
  <r>
    <n v="15660960"/>
    <m/>
    <m/>
    <e v="#N/A"/>
    <m/>
    <m/>
    <m/>
    <d v="2023-12-28T00:00:00"/>
    <m/>
    <m/>
    <s v="H"/>
    <x v="1"/>
    <s v="ANGUS NEGRO"/>
    <s v="8 años 4 meses"/>
    <s v="10-09-2017"/>
    <s v="Vivo"/>
    <x v="0"/>
    <s v="Sin Movimiento"/>
    <s v="11.1.01.1241"/>
    <s v="SI"/>
    <m/>
  </r>
  <r>
    <n v="15660962"/>
    <m/>
    <m/>
    <e v="#N/A"/>
    <m/>
    <m/>
    <m/>
    <d v="2023-12-28T00:00:00"/>
    <m/>
    <m/>
    <s v="H"/>
    <x v="1"/>
    <s v="ANGUS NEGRO"/>
    <s v="8 años 4 meses"/>
    <s v="10-09-2017"/>
    <s v="Vivo"/>
    <x v="0"/>
    <s v="11.1.01.1022"/>
    <s v="11.1.01.1241"/>
    <s v="SI"/>
    <m/>
  </r>
  <r>
    <n v="15660964"/>
    <m/>
    <m/>
    <e v="#N/A"/>
    <m/>
    <m/>
    <m/>
    <d v="2023-12-28T00:00:00"/>
    <m/>
    <m/>
    <s v="no existe"/>
    <x v="3"/>
    <s v="no existe"/>
    <s v="no existe"/>
    <s v="no existe"/>
    <s v="no existe"/>
    <x v="5"/>
    <s v="no existe"/>
    <s v="no existe"/>
    <s v="no existe"/>
    <m/>
  </r>
  <r>
    <n v="15660965"/>
    <m/>
    <m/>
    <e v="#N/A"/>
    <m/>
    <m/>
    <m/>
    <m/>
    <m/>
    <m/>
    <s v="H"/>
    <x v="1"/>
    <s v="ANGUS NEGRO"/>
    <s v="8 años 3 meses"/>
    <s v="15-10-2017"/>
    <s v="Vivo"/>
    <x v="7"/>
    <s v="11.1.01.1241"/>
    <s v="11.1.01.1241"/>
    <s v="SI"/>
    <m/>
  </r>
  <r>
    <n v="15660967"/>
    <m/>
    <m/>
    <e v="#N/A"/>
    <m/>
    <m/>
    <m/>
    <d v="2023-10-14T00:00:00"/>
    <m/>
    <m/>
    <s v="H"/>
    <x v="1"/>
    <s v="ANGUS NEGRO"/>
    <s v="8 años 3 meses"/>
    <s v="30-09-2017"/>
    <s v="Vivo"/>
    <x v="4"/>
    <s v="11.1.01.0893"/>
    <s v="11.1.01.1241"/>
    <s v="SI"/>
    <m/>
  </r>
  <r>
    <n v="15660969"/>
    <m/>
    <m/>
    <e v="#N/A"/>
    <m/>
    <m/>
    <m/>
    <d v="2023-12-28T00:00:00"/>
    <d v="2024-12-22T00:00:00"/>
    <d v="2025-11-04T00:00:00"/>
    <s v="H"/>
    <x v="1"/>
    <s v="ANGUS NEGRO"/>
    <s v="8 años 3 meses"/>
    <s v="30-09-2017"/>
    <s v="Vivo"/>
    <x v="7"/>
    <s v="11.1.01.0190"/>
    <s v="11.1.01.1241"/>
    <s v="SI"/>
    <m/>
  </r>
  <r>
    <n v="15660971"/>
    <m/>
    <m/>
    <e v="#N/A"/>
    <m/>
    <m/>
    <m/>
    <m/>
    <d v="2024-01-06T00:00:00"/>
    <m/>
    <s v="H"/>
    <x v="1"/>
    <s v="ANGUS NEGRO"/>
    <s v="8 años 3 meses"/>
    <s v="30-09-2017"/>
    <s v="Vivo"/>
    <x v="2"/>
    <s v="11.1.01.0791"/>
    <s v="11.1.01.1241"/>
    <s v="SI"/>
    <m/>
  </r>
  <r>
    <n v="15660975"/>
    <m/>
    <m/>
    <e v="#N/A"/>
    <m/>
    <m/>
    <m/>
    <d v="2023-12-28T00:00:00"/>
    <m/>
    <m/>
    <s v="H"/>
    <x v="1"/>
    <s v="ANGUS NEGRO"/>
    <s v="8 años 3 meses"/>
    <s v="10-10-2017"/>
    <s v="Vivo"/>
    <x v="3"/>
    <s v="11.1.01.0893"/>
    <s v="11.1.01.1241"/>
    <s v="SI"/>
    <m/>
  </r>
  <r>
    <n v="15660977"/>
    <m/>
    <m/>
    <e v="#N/A"/>
    <m/>
    <m/>
    <m/>
    <m/>
    <m/>
    <m/>
    <s v="H"/>
    <x v="1"/>
    <s v="ANGUS NEGRO"/>
    <s v="8 años 3 meses"/>
    <s v="30-09-2017"/>
    <s v="Vivo"/>
    <x v="0"/>
    <s v="Sin Movimiento"/>
    <s v="11.1.01.1241"/>
    <s v="SI"/>
    <m/>
  </r>
  <r>
    <n v="15660978"/>
    <m/>
    <m/>
    <e v="#N/A"/>
    <m/>
    <m/>
    <m/>
    <m/>
    <m/>
    <m/>
    <s v="H"/>
    <x v="1"/>
    <s v="ANGUS NEGRO"/>
    <s v="8 años 4 meses"/>
    <s v="10-09-2017"/>
    <s v="Vivo"/>
    <x v="3"/>
    <s v="11.1.01.1241"/>
    <s v="11.1.01.1241"/>
    <s v="SI"/>
    <m/>
  </r>
  <r>
    <n v="15660979"/>
    <m/>
    <m/>
    <e v="#N/A"/>
    <m/>
    <m/>
    <m/>
    <d v="2023-12-28T00:00:00"/>
    <d v="2024-12-22T00:00:00"/>
    <d v="2025-11-05T00:00:00"/>
    <s v="H"/>
    <x v="1"/>
    <s v="ANGUS ROJO"/>
    <s v="8 años 2 meses"/>
    <s v="30-10-2017"/>
    <s v="Vivo"/>
    <x v="7"/>
    <s v="11.1.01.0190"/>
    <s v="11.1.01.1241"/>
    <s v="SI"/>
    <m/>
  </r>
  <r>
    <n v="15660983"/>
    <m/>
    <m/>
    <e v="#N/A"/>
    <m/>
    <m/>
    <m/>
    <m/>
    <d v="2024-12-22T00:00:00"/>
    <d v="2025-11-04T00:00:00"/>
    <s v="H"/>
    <x v="1"/>
    <s v="ANGUS NEGRO"/>
    <s v="8 años 4 meses"/>
    <s v="15-09-2017"/>
    <s v="Vivo"/>
    <x v="0"/>
    <s v="11.2.01.0038"/>
    <s v="11.1.01.1241"/>
    <s v="SI"/>
    <m/>
  </r>
  <r>
    <n v="15660983"/>
    <m/>
    <m/>
    <e v="#N/A"/>
    <m/>
    <m/>
    <m/>
    <m/>
    <m/>
    <m/>
    <s v="H"/>
    <x v="1"/>
    <s v="ANGUS NEGRO"/>
    <s v="8 años 4 meses"/>
    <s v="15-09-2017"/>
    <s v="Vivo"/>
    <x v="0"/>
    <s v="11.2.01.0038"/>
    <s v="11.1.01.1241"/>
    <s v="SI"/>
    <m/>
  </r>
  <r>
    <n v="15660990"/>
    <m/>
    <m/>
    <e v="#N/A"/>
    <m/>
    <m/>
    <m/>
    <d v="2023-10-14T00:00:00"/>
    <m/>
    <m/>
    <s v="H"/>
    <x v="1"/>
    <s v="ANGUS ROJO"/>
    <s v="8 años 2 meses"/>
    <s v="30-10-2017"/>
    <s v="Vivo"/>
    <x v="2"/>
    <s v="Sin Movimiento"/>
    <s v="11.2.01.2071"/>
    <s v="SI"/>
    <m/>
  </r>
  <r>
    <n v="15660994"/>
    <m/>
    <m/>
    <e v="#N/A"/>
    <m/>
    <m/>
    <m/>
    <d v="2023-10-14T00:00:00"/>
    <m/>
    <m/>
    <s v="H"/>
    <x v="1"/>
    <s v="ANGUS ROJO"/>
    <s v="8 años 2 meses"/>
    <s v="30-10-2017"/>
    <s v="Vivo"/>
    <x v="2"/>
    <s v="Sin Movimiento"/>
    <s v="11.2.01.2071"/>
    <s v="SI"/>
    <m/>
  </r>
  <r>
    <n v="15660995"/>
    <m/>
    <m/>
    <e v="#N/A"/>
    <m/>
    <m/>
    <m/>
    <d v="2023-12-28T00:00:00"/>
    <m/>
    <m/>
    <s v="H"/>
    <x v="1"/>
    <s v="ANGUS NEGRO"/>
    <s v="8 años 4 meses"/>
    <s v="10-09-2017"/>
    <s v="Vivo"/>
    <x v="0"/>
    <s v="11.2.01.0038"/>
    <s v="11.2.01.2071"/>
    <s v="SI"/>
    <m/>
  </r>
  <r>
    <n v="15660998"/>
    <m/>
    <m/>
    <e v="#N/A"/>
    <m/>
    <m/>
    <m/>
    <d v="2023-12-28T00:00:00"/>
    <m/>
    <m/>
    <s v="H"/>
    <x v="1"/>
    <s v="ANGUS NEGRO"/>
    <s v="8 años 4 meses"/>
    <s v="10-09-2017"/>
    <s v="Vivo"/>
    <x v="0"/>
    <s v="11.1.01.0870"/>
    <s v="11.2.01.2071"/>
    <s v="SI"/>
    <m/>
  </r>
  <r>
    <n v="15661010"/>
    <m/>
    <m/>
    <e v="#N/A"/>
    <m/>
    <m/>
    <m/>
    <m/>
    <m/>
    <m/>
    <s v="H"/>
    <x v="1"/>
    <s v="ANGUS NEGRO"/>
    <s v="8 años 3 meses"/>
    <s v="10-10-2017"/>
    <s v="Vivo"/>
    <x v="3"/>
    <s v="11.1.01.0893"/>
    <s v="11.2.01.2071"/>
    <s v="SI"/>
    <m/>
  </r>
  <r>
    <n v="15661014"/>
    <m/>
    <m/>
    <e v="#N/A"/>
    <m/>
    <m/>
    <m/>
    <m/>
    <m/>
    <m/>
    <s v="H"/>
    <x v="1"/>
    <s v="ANGUS ROJO"/>
    <s v="8 años 4 meses"/>
    <s v="30-08-2017"/>
    <s v="Vivo"/>
    <x v="0"/>
    <s v="11.1.01.1022"/>
    <s v="11.2.01.2071"/>
    <s v="SI"/>
    <m/>
  </r>
  <r>
    <n v="15661059"/>
    <m/>
    <m/>
    <e v="#N/A"/>
    <m/>
    <m/>
    <m/>
    <m/>
    <m/>
    <m/>
    <s v="H"/>
    <x v="1"/>
    <s v="ANGUS NEGRO"/>
    <s v="8 años 4 meses"/>
    <s v="10-09-2017"/>
    <s v="Vivo"/>
    <x v="0"/>
    <s v="11.1.01.1022"/>
    <s v="11.1.01.1241"/>
    <s v="SI"/>
    <m/>
  </r>
  <r>
    <n v="15661060"/>
    <m/>
    <m/>
    <e v="#N/A"/>
    <m/>
    <m/>
    <m/>
    <m/>
    <m/>
    <m/>
    <s v="H"/>
    <x v="1"/>
    <s v="ANGUS NEGRO"/>
    <s v="8 años 2 meses"/>
    <s v="30-10-2017"/>
    <s v="Vivo"/>
    <x v="0"/>
    <s v="11.2.01.0038"/>
    <s v="11.1.01.1241"/>
    <s v="SI"/>
    <m/>
  </r>
  <r>
    <n v="15661061"/>
    <m/>
    <m/>
    <e v="#N/A"/>
    <m/>
    <m/>
    <m/>
    <d v="2023-06-13T00:00:00"/>
    <m/>
    <m/>
    <s v="H"/>
    <x v="1"/>
    <s v="ANGUS NEGRO"/>
    <s v="8 años 3 meses"/>
    <s v="20-09-2017"/>
    <s v="Vivo"/>
    <x v="4"/>
    <s v="11.1.01.0893"/>
    <s v="11.1.01.1241"/>
    <s v="SI"/>
    <m/>
  </r>
  <r>
    <n v="15661063"/>
    <m/>
    <m/>
    <e v="#N/A"/>
    <m/>
    <m/>
    <m/>
    <d v="2023-12-28T00:00:00"/>
    <d v="2024-12-22T00:00:00"/>
    <d v="2025-01-14T00:00:00"/>
    <s v="H"/>
    <x v="1"/>
    <s v="ANGUS NEGRO"/>
    <s v="8 años 3 meses"/>
    <s v="30-09-2017"/>
    <s v="Vivo"/>
    <x v="0"/>
    <s v="11.2.01.0038"/>
    <s v="11.1.01.1241"/>
    <s v="SI"/>
    <m/>
  </r>
  <r>
    <n v="15661069"/>
    <m/>
    <m/>
    <e v="#N/A"/>
    <m/>
    <m/>
    <m/>
    <d v="2023-10-14T00:00:00"/>
    <m/>
    <m/>
    <s v="H"/>
    <x v="1"/>
    <s v="ANGUS NEGRO"/>
    <s v="8 años 2 meses"/>
    <s v="10-11-2017"/>
    <s v="Vivo"/>
    <x v="0"/>
    <s v="Sin Movimiento"/>
    <s v="11.1.01.1241"/>
    <s v="SI"/>
    <m/>
  </r>
  <r>
    <n v="15661072"/>
    <m/>
    <m/>
    <e v="#N/A"/>
    <m/>
    <m/>
    <m/>
    <d v="2023-12-28T00:00:00"/>
    <d v="2024-01-06T00:00:00"/>
    <m/>
    <s v="H"/>
    <x v="1"/>
    <s v="ANGUS NEGRO"/>
    <s v="8 años 2 meses"/>
    <s v="20-10-2017"/>
    <s v="Vivo"/>
    <x v="3"/>
    <s v="11.1.01.0893"/>
    <s v="11.1.01.1241"/>
    <s v="SI"/>
    <m/>
  </r>
  <r>
    <n v="15661083"/>
    <m/>
    <m/>
    <e v="#N/A"/>
    <m/>
    <m/>
    <m/>
    <d v="2023-12-28T00:00:00"/>
    <m/>
    <m/>
    <s v="H"/>
    <x v="1"/>
    <s v="ANGUS NEGRO"/>
    <s v="8 años 2 meses"/>
    <s v="30-10-2017"/>
    <s v="Vivo"/>
    <x v="0"/>
    <s v="11.1.01.1022"/>
    <s v="11.1.01.1241"/>
    <s v="SI"/>
    <m/>
  </r>
  <r>
    <n v="15661090"/>
    <m/>
    <m/>
    <e v="#N/A"/>
    <m/>
    <m/>
    <m/>
    <d v="2023-10-14T00:00:00"/>
    <m/>
    <m/>
    <s v="H"/>
    <x v="1"/>
    <s v="ANGUS ROJO"/>
    <s v="8 años 3 meses"/>
    <s v="10-10-2017"/>
    <s v="Vivo"/>
    <x v="1"/>
    <s v="11.1.01.0941"/>
    <s v="11.1.01.1241"/>
    <s v="SI"/>
    <m/>
  </r>
  <r>
    <n v="15661093"/>
    <m/>
    <m/>
    <e v="#N/A"/>
    <m/>
    <m/>
    <m/>
    <d v="2023-10-14T00:00:00"/>
    <m/>
    <m/>
    <s v="H"/>
    <x v="1"/>
    <s v="ANGUS NEGRO"/>
    <s v="8 años 3 meses"/>
    <s v="30-09-2017"/>
    <s v="Vivo"/>
    <x v="0"/>
    <s v="11.1.01.1022"/>
    <s v="11.1.01.1241"/>
    <s v="SI"/>
    <m/>
  </r>
  <r>
    <n v="15661098"/>
    <m/>
    <m/>
    <e v="#N/A"/>
    <m/>
    <m/>
    <m/>
    <d v="2023-10-14T00:00:00"/>
    <m/>
    <m/>
    <s v="H"/>
    <x v="1"/>
    <s v="ANGUS NEGRO"/>
    <s v="8 años 3 meses"/>
    <s v="10-10-2017"/>
    <s v="Vivo"/>
    <x v="0"/>
    <s v="11.1.01.1022"/>
    <s v="11.1.01.1241"/>
    <s v="SI"/>
    <m/>
  </r>
  <r>
    <n v="15661107"/>
    <m/>
    <m/>
    <e v="#N/A"/>
    <m/>
    <m/>
    <m/>
    <d v="2023-10-14T00:00:00"/>
    <m/>
    <m/>
    <s v="H"/>
    <x v="1"/>
    <s v="ANGUS ROJO"/>
    <s v="8 años 2 meses"/>
    <s v="10-11-2017"/>
    <s v="Vivo"/>
    <x v="3"/>
    <s v="11.1.01.0893"/>
    <s v="11.1.01.1241"/>
    <s v="SI"/>
    <m/>
  </r>
  <r>
    <n v="15661116"/>
    <m/>
    <m/>
    <e v="#N/A"/>
    <m/>
    <m/>
    <m/>
    <d v="2023-12-28T00:00:00"/>
    <m/>
    <m/>
    <s v="H"/>
    <x v="1"/>
    <s v="ANGUS NEGRO"/>
    <s v="8 años 2 meses"/>
    <s v="10-11-2017"/>
    <s v="Vivo"/>
    <x v="0"/>
    <s v="Sin Movimiento"/>
    <s v="11.1.01.1241"/>
    <s v="SI"/>
    <m/>
  </r>
  <r>
    <n v="15661123"/>
    <m/>
    <m/>
    <e v="#N/A"/>
    <m/>
    <m/>
    <m/>
    <m/>
    <m/>
    <m/>
    <s v="H"/>
    <x v="1"/>
    <s v="ANGUS NEGRO"/>
    <s v="8 años 3 meses"/>
    <s v="15-10-2017"/>
    <s v="Vivo"/>
    <x v="2"/>
    <s v="11.2.01.0053"/>
    <s v="11.1.01.1241"/>
    <s v="SI"/>
    <m/>
  </r>
  <r>
    <n v="15661131"/>
    <m/>
    <m/>
    <e v="#N/A"/>
    <m/>
    <m/>
    <m/>
    <m/>
    <m/>
    <m/>
    <s v="H"/>
    <x v="1"/>
    <s v="ANGUS NEGRO"/>
    <s v="8 años 3 meses"/>
    <s v="30-09-2017"/>
    <s v="Vivo"/>
    <x v="3"/>
    <s v="11.1.01.0893"/>
    <s v="11.1.01.1241"/>
    <s v="SI"/>
    <m/>
  </r>
  <r>
    <n v="15661133"/>
    <m/>
    <m/>
    <e v="#N/A"/>
    <m/>
    <m/>
    <m/>
    <m/>
    <m/>
    <m/>
    <s v="H"/>
    <x v="1"/>
    <s v="ANGUS NEGRO"/>
    <s v="8 años 1 meses"/>
    <s v="20-11-2017"/>
    <s v="Vivo"/>
    <x v="0"/>
    <s v="Sin Movimiento"/>
    <s v="11.1.01.1241"/>
    <s v="SI"/>
    <m/>
  </r>
  <r>
    <n v="15661158"/>
    <m/>
    <m/>
    <e v="#N/A"/>
    <m/>
    <m/>
    <m/>
    <d v="2023-12-28T00:00:00"/>
    <d v="2024-12-22T00:00:00"/>
    <d v="2025-01-14T00:00:00"/>
    <s v="H"/>
    <x v="1"/>
    <s v="ANGUS NEGRO"/>
    <s v="8 años 3 meses"/>
    <s v="20-09-2017"/>
    <s v="Vivo"/>
    <x v="0"/>
    <s v="11.2.01.0038"/>
    <s v="11.1.01.1241"/>
    <s v="SI"/>
    <m/>
  </r>
  <r>
    <n v="15661164"/>
    <m/>
    <m/>
    <e v="#N/A"/>
    <m/>
    <m/>
    <m/>
    <d v="2023-12-28T00:00:00"/>
    <d v="2024-12-22T00:00:00"/>
    <d v="2025-11-04T00:00:00"/>
    <s v="H"/>
    <x v="1"/>
    <s v="ANGUS NEGRO"/>
    <s v="8 años 4 meses"/>
    <s v="10-09-2017"/>
    <s v="Vivo"/>
    <x v="0"/>
    <s v="11.2.01.0038"/>
    <s v="11.1.01.1241"/>
    <s v="SI"/>
    <m/>
  </r>
  <r>
    <n v="15661169"/>
    <m/>
    <m/>
    <e v="#N/A"/>
    <m/>
    <m/>
    <m/>
    <d v="2023-10-14T00:00:00"/>
    <m/>
    <m/>
    <s v="H"/>
    <x v="1"/>
    <s v="ANGUS ROJO"/>
    <s v="7 años 11 meses"/>
    <s v="05-02-2018"/>
    <s v="Vivo"/>
    <x v="1"/>
    <s v="11.1.01.0941"/>
    <s v="11.1.01.1241"/>
    <s v="SI"/>
    <m/>
  </r>
  <r>
    <n v="15661173"/>
    <m/>
    <m/>
    <e v="#N/A"/>
    <m/>
    <m/>
    <m/>
    <m/>
    <m/>
    <m/>
    <s v="H"/>
    <x v="1"/>
    <s v="ANGUS NEGRO"/>
    <s v="8 años 3 meses"/>
    <s v="20-09-2017"/>
    <s v="Vivo"/>
    <x v="3"/>
    <s v="11.1.01.0893"/>
    <s v="11.1.01.1241"/>
    <s v="SI"/>
    <m/>
  </r>
  <r>
    <n v="15661174"/>
    <m/>
    <m/>
    <e v="#N/A"/>
    <m/>
    <m/>
    <m/>
    <m/>
    <d v="2024-12-22T00:00:00"/>
    <d v="2025-11-05T00:00:00"/>
    <s v="H"/>
    <x v="1"/>
    <s v="ANGUS NEGRO"/>
    <s v="8 años 3 meses"/>
    <s v="20-09-2017"/>
    <s v="Vivo"/>
    <x v="7"/>
    <s v="11.1.01.0190"/>
    <s v="11.1.01.1241"/>
    <s v="SI"/>
    <m/>
  </r>
  <r>
    <n v="15661178"/>
    <m/>
    <m/>
    <e v="#N/A"/>
    <m/>
    <m/>
    <m/>
    <d v="2023-12-28T00:00:00"/>
    <m/>
    <m/>
    <s v="H"/>
    <x v="1"/>
    <s v="ANGUS NEGRO"/>
    <s v="8 años 2 meses"/>
    <s v="30-10-2017"/>
    <s v="Vivo"/>
    <x v="3"/>
    <s v="11.1.01.0893"/>
    <s v="11.1.01.1241"/>
    <s v="SI"/>
    <m/>
  </r>
  <r>
    <n v="15661286"/>
    <m/>
    <m/>
    <e v="#N/A"/>
    <m/>
    <m/>
    <m/>
    <d v="2023-10-14T00:00:00"/>
    <m/>
    <m/>
    <s v="no existe"/>
    <x v="3"/>
    <s v="no existe"/>
    <s v="no existe"/>
    <s v="no existe"/>
    <s v="no existe"/>
    <x v="5"/>
    <s v="no existe"/>
    <s v="no existe"/>
    <s v="no existe"/>
    <m/>
  </r>
  <r>
    <n v="15661297"/>
    <m/>
    <m/>
    <e v="#N/A"/>
    <m/>
    <m/>
    <m/>
    <d v="2023-10-14T00:00:00"/>
    <m/>
    <m/>
    <s v="H"/>
    <x v="1"/>
    <s v="ANGUS NEGRO"/>
    <s v="8 años 3 meses"/>
    <s v="30-09-2017"/>
    <s v="Vivo"/>
    <x v="9"/>
    <s v="11.1.02.0004"/>
    <s v="11.1.01.0893"/>
    <s v="SI"/>
    <m/>
  </r>
  <r>
    <n v="15661298"/>
    <m/>
    <m/>
    <e v="#N/A"/>
    <m/>
    <m/>
    <m/>
    <d v="2023-12-28T00:00:00"/>
    <d v="2024-12-22T00:00:00"/>
    <d v="2025-11-05T00:00:00"/>
    <s v="H"/>
    <x v="1"/>
    <s v="ANGUS NEGRO"/>
    <s v="8 años 2 meses"/>
    <s v="30-10-2017"/>
    <s v="Vivo"/>
    <x v="7"/>
    <s v="11.1.01.0190"/>
    <s v="11.1.01.0893"/>
    <s v="SI"/>
    <m/>
  </r>
  <r>
    <n v="15661310"/>
    <m/>
    <m/>
    <e v="#N/A"/>
    <m/>
    <m/>
    <m/>
    <d v="2023-12-28T00:00:00"/>
    <m/>
    <m/>
    <s v="H"/>
    <x v="1"/>
    <s v="ANGUS NEGRO"/>
    <s v="8 años 3 meses"/>
    <s v="10-10-2017"/>
    <s v="Vivo"/>
    <x v="0"/>
    <s v="11.2.01.0038"/>
    <s v="11.1.01.0893"/>
    <s v="SI"/>
    <m/>
  </r>
  <r>
    <n v="15661313"/>
    <m/>
    <m/>
    <e v="#N/A"/>
    <m/>
    <m/>
    <m/>
    <m/>
    <m/>
    <m/>
    <s v="H"/>
    <x v="1"/>
    <s v="ANGUS NEGRO"/>
    <s v="8 años 3 meses"/>
    <s v="10-10-2017"/>
    <s v="Vivo"/>
    <x v="4"/>
    <s v="11.1.01.0893"/>
    <s v="11.1.01.0893"/>
    <s v="SI"/>
    <m/>
  </r>
  <r>
    <n v="15661316"/>
    <m/>
    <m/>
    <e v="#N/A"/>
    <m/>
    <m/>
    <m/>
    <d v="2023-12-28T00:00:00"/>
    <d v="2024-01-06T00:00:00"/>
    <m/>
    <s v="H"/>
    <x v="1"/>
    <s v="ANGUS NEGRO"/>
    <s v="8 años 3 meses"/>
    <s v="30-09-2017"/>
    <s v="Vivo"/>
    <x v="4"/>
    <s v="11.1.01.0893"/>
    <s v="11.1.01.0893"/>
    <s v="SI"/>
    <m/>
  </r>
  <r>
    <n v="15661320"/>
    <m/>
    <m/>
    <e v="#N/A"/>
    <m/>
    <m/>
    <m/>
    <d v="2023-12-28T00:00:00"/>
    <m/>
    <m/>
    <s v="H"/>
    <x v="1"/>
    <s v="ANGUS NEGRO"/>
    <s v="8 años 2 meses"/>
    <s v="20-10-2017"/>
    <s v="Vivo"/>
    <x v="0"/>
    <s v="11.2.01.0038"/>
    <s v="11.1.01.0893"/>
    <s v="SI"/>
    <m/>
  </r>
  <r>
    <n v="15661321"/>
    <m/>
    <m/>
    <e v="#N/A"/>
    <m/>
    <m/>
    <m/>
    <m/>
    <m/>
    <m/>
    <s v="H"/>
    <x v="1"/>
    <s v="ANGUS NEGRO"/>
    <s v="8 años 2 meses"/>
    <s v="30-10-2017"/>
    <s v="Vivo"/>
    <x v="3"/>
    <s v="11.1.01.0893"/>
    <s v="11.1.01.0893"/>
    <s v="SI"/>
    <m/>
  </r>
  <r>
    <n v="15661323"/>
    <m/>
    <m/>
    <e v="#N/A"/>
    <m/>
    <m/>
    <m/>
    <d v="2023-12-28T00:00:00"/>
    <m/>
    <m/>
    <s v="H"/>
    <x v="1"/>
    <s v="ANGUS NEGRO"/>
    <s v="8 años 2 meses"/>
    <s v="30-10-2017"/>
    <s v="Vivo"/>
    <x v="3"/>
    <s v="11.1.01.0893"/>
    <s v="11.1.01.0893"/>
    <s v="SI"/>
    <m/>
  </r>
  <r>
    <n v="15661324"/>
    <m/>
    <m/>
    <e v="#N/A"/>
    <m/>
    <m/>
    <m/>
    <d v="2023-12-28T00:00:00"/>
    <d v="2024-12-22T00:00:00"/>
    <d v="2025-11-05T00:00:00"/>
    <s v="H"/>
    <x v="1"/>
    <s v="ANGUS NEGRO"/>
    <s v="8 años 3 meses"/>
    <s v="30-09-2017"/>
    <s v="Vivo"/>
    <x v="7"/>
    <s v="11.1.01.0190"/>
    <s v="11.1.01.0893"/>
    <s v="SI"/>
    <m/>
  </r>
  <r>
    <n v="15661338"/>
    <m/>
    <m/>
    <e v="#N/A"/>
    <m/>
    <m/>
    <m/>
    <d v="2023-12-28T00:00:00"/>
    <m/>
    <m/>
    <s v="H"/>
    <x v="1"/>
    <s v="ANGUS NEGRO"/>
    <s v="8 años 2 meses"/>
    <s v="30-10-2017"/>
    <s v="Vivo"/>
    <x v="3"/>
    <s v="11.1.01.0893"/>
    <s v="11.1.01.0893"/>
    <s v="SI"/>
    <m/>
  </r>
  <r>
    <n v="15661350"/>
    <m/>
    <m/>
    <e v="#N/A"/>
    <m/>
    <m/>
    <m/>
    <d v="2023-12-28T00:00:00"/>
    <m/>
    <m/>
    <s v="H"/>
    <x v="1"/>
    <s v="ANGUS NEGRO"/>
    <s v="14 años 3 meses"/>
    <s v="10-10-2011"/>
    <s v="Vivo"/>
    <x v="0"/>
    <s v="11.1.01.1022"/>
    <s v="11.1.01.1241"/>
    <s v="NO"/>
    <m/>
  </r>
  <r>
    <n v="15661359"/>
    <m/>
    <m/>
    <e v="#N/A"/>
    <m/>
    <m/>
    <m/>
    <d v="2023-10-14T00:00:00"/>
    <m/>
    <m/>
    <s v="no existe"/>
    <x v="3"/>
    <s v="no existe"/>
    <s v="no existe"/>
    <s v="no existe"/>
    <s v="no existe"/>
    <x v="5"/>
    <s v="no existe"/>
    <s v="no existe"/>
    <s v="no existe"/>
    <m/>
  </r>
  <r>
    <n v="15661366"/>
    <m/>
    <m/>
    <e v="#N/A"/>
    <m/>
    <m/>
    <m/>
    <m/>
    <m/>
    <m/>
    <s v="H"/>
    <x v="1"/>
    <s v="ANGUS NEGRO"/>
    <s v="8 años 4 meses"/>
    <s v="30-08-2017"/>
    <s v="Vivo"/>
    <x v="9"/>
    <s v="11.1.02.0004"/>
    <s v="11.2.01.0038"/>
    <s v="SI"/>
    <m/>
  </r>
  <r>
    <n v="15661373"/>
    <m/>
    <m/>
    <e v="#N/A"/>
    <m/>
    <m/>
    <m/>
    <d v="2023-12-28T00:00:00"/>
    <d v="2024-12-22T00:00:00"/>
    <d v="2025-11-04T00:00:00"/>
    <s v="H"/>
    <x v="1"/>
    <s v="ANGUS NEGRO"/>
    <s v="8 años 3 meses"/>
    <s v="10-10-2017"/>
    <s v="Vivo"/>
    <x v="7"/>
    <s v="11.1.01.0190"/>
    <s v="11.2.01.0038"/>
    <s v="SI"/>
    <m/>
  </r>
  <r>
    <n v="15661375"/>
    <m/>
    <m/>
    <e v="#N/A"/>
    <m/>
    <m/>
    <m/>
    <d v="2023-12-28T00:00:00"/>
    <d v="2024-12-22T00:00:00"/>
    <d v="2025-11-04T00:00:00"/>
    <s v="H"/>
    <x v="1"/>
    <s v="ANGUS NEGRO"/>
    <s v="7 años 11 meses"/>
    <s v="20-01-2018"/>
    <s v="Vivo"/>
    <x v="0"/>
    <s v="11.2.01.0038"/>
    <s v="11.2.01.0038"/>
    <s v="SI"/>
    <m/>
  </r>
  <r>
    <n v="15661377"/>
    <m/>
    <m/>
    <e v="#N/A"/>
    <m/>
    <m/>
    <m/>
    <d v="2023-12-28T00:00:00"/>
    <m/>
    <m/>
    <s v="H"/>
    <x v="1"/>
    <s v="ANGUS ROJO"/>
    <s v="7 años 11 meses"/>
    <s v="30-01-2018"/>
    <s v="Vivo"/>
    <x v="0"/>
    <s v="11.2.01.0038"/>
    <s v="11.2.01.0038"/>
    <s v="SI"/>
    <m/>
  </r>
  <r>
    <n v="15661378"/>
    <m/>
    <m/>
    <e v="#N/A"/>
    <m/>
    <m/>
    <m/>
    <m/>
    <d v="2024-12-22T00:00:00"/>
    <d v="2025-11-04T00:00:00"/>
    <s v="H"/>
    <x v="1"/>
    <s v="ANGUS NEGRO"/>
    <s v="7 años 10 meses"/>
    <s v="01-03-2018"/>
    <s v="Vivo"/>
    <x v="7"/>
    <s v="11.1.01.0190"/>
    <s v="11.2.01.0038"/>
    <s v="SI"/>
    <m/>
  </r>
  <r>
    <n v="15661391"/>
    <m/>
    <m/>
    <e v="#N/A"/>
    <m/>
    <m/>
    <m/>
    <m/>
    <m/>
    <m/>
    <s v="H"/>
    <x v="1"/>
    <s v="ANGUS NEGRO"/>
    <s v="13 años 3 meses"/>
    <s v="10-10-2012"/>
    <s v="Vivo"/>
    <x v="0"/>
    <s v="11.1.01.0893"/>
    <s v="11.1.01.0893"/>
    <s v="NO"/>
    <m/>
  </r>
  <r>
    <n v="15661393"/>
    <m/>
    <m/>
    <e v="#N/A"/>
    <m/>
    <m/>
    <m/>
    <d v="2023-12-28T00:00:00"/>
    <m/>
    <m/>
    <s v="M"/>
    <x v="2"/>
    <s v="ANGUS NEGRO"/>
    <s v="8 años 3 meses"/>
    <s v="15-10-2017"/>
    <s v="Vivo"/>
    <x v="2"/>
    <s v="Sin Movimiento"/>
    <s v="11.1.01.0893"/>
    <s v="SI"/>
    <m/>
  </r>
  <r>
    <n v="15661396"/>
    <m/>
    <m/>
    <e v="#N/A"/>
    <m/>
    <m/>
    <m/>
    <d v="2023-12-28T00:00:00"/>
    <m/>
    <m/>
    <s v="H"/>
    <x v="1"/>
    <s v="ANGUS NEGRO"/>
    <s v="7 años 9 meses"/>
    <s v="30-03-2018"/>
    <s v="Vivo"/>
    <x v="0"/>
    <s v="11.2.01.0038"/>
    <s v="11.2.01.0038"/>
    <s v="SI"/>
    <m/>
  </r>
  <r>
    <n v="15661432"/>
    <m/>
    <m/>
    <e v="#N/A"/>
    <m/>
    <m/>
    <m/>
    <d v="2023-06-16T00:00:00"/>
    <m/>
    <m/>
    <s v="H"/>
    <x v="1"/>
    <s v="LIMOUSIN"/>
    <s v="7 años 3 meses"/>
    <s v="20-09-2018"/>
    <s v="Vivo"/>
    <x v="0"/>
    <s v="Sin Movimiento"/>
    <s v="11.1.01.1241"/>
    <s v="SI"/>
    <m/>
  </r>
  <r>
    <n v="15661436"/>
    <m/>
    <m/>
    <e v="#N/A"/>
    <m/>
    <m/>
    <m/>
    <d v="2023-06-16T00:00:00"/>
    <m/>
    <m/>
    <s v="H"/>
    <x v="1"/>
    <s v="ANGUS NEGRO"/>
    <s v="7 años 3 meses"/>
    <s v="20-09-2018"/>
    <s v="Vivo"/>
    <x v="3"/>
    <s v="11.1.01.1241"/>
    <s v="11.1.01.1241"/>
    <s v="SI"/>
    <m/>
  </r>
  <r>
    <n v="16190664"/>
    <n v="2636122"/>
    <m/>
    <e v="#N/A"/>
    <m/>
    <m/>
    <m/>
    <d v="2023-06-16T00:00:00"/>
    <m/>
    <m/>
    <s v="M"/>
    <x v="0"/>
    <s v="ANGUS NEGRO"/>
    <s v="7 años 3 meses"/>
    <s v="22-09-2018"/>
    <s v="Vivo"/>
    <x v="0"/>
    <s v="11.1.01.1014"/>
    <s v="11.2.01.0251"/>
    <s v="NO"/>
    <m/>
  </r>
  <r>
    <n v="16390406"/>
    <m/>
    <m/>
    <e v="#N/A"/>
    <m/>
    <m/>
    <m/>
    <d v="2023-06-16T00:00:00"/>
    <m/>
    <m/>
    <s v="H"/>
    <x v="1"/>
    <s v="ANGUS NEGRO"/>
    <s v="5 años 2 meses"/>
    <s v="30-10-2020"/>
    <s v="Vivo"/>
    <x v="0"/>
    <s v="11.1.01.1022"/>
    <s v="11.1.01.0893"/>
    <s v="SI"/>
    <d v="2021-03-19T00:00:00"/>
  </r>
  <r>
    <n v="16390415"/>
    <m/>
    <m/>
    <e v="#N/A"/>
    <m/>
    <m/>
    <m/>
    <d v="2023-06-16T00:00:00"/>
    <d v="2024-12-22T00:00:00"/>
    <d v="2025-11-05T00:00:00"/>
    <s v="H"/>
    <x v="1"/>
    <s v="ANGUS NEGRO"/>
    <s v="5 años 2 meses"/>
    <s v="10-11-2020"/>
    <s v="Vivo"/>
    <x v="7"/>
    <s v="11.1.01.0190"/>
    <s v="11.1.01.0893"/>
    <s v="SI"/>
    <d v="2021-03-19T00:00:00"/>
  </r>
  <r>
    <n v="16390420"/>
    <m/>
    <m/>
    <e v="#N/A"/>
    <m/>
    <m/>
    <m/>
    <m/>
    <m/>
    <m/>
    <s v="H"/>
    <x v="1"/>
    <s v="ANGUS NEGRO"/>
    <s v="5 años 0 meses"/>
    <s v="30-12-2020"/>
    <s v="Vivo"/>
    <x v="1"/>
    <s v="11.2.01.0053"/>
    <s v="11.1.01.0893"/>
    <s v="SI"/>
    <d v="2021-03-19T00:00:00"/>
  </r>
  <r>
    <n v="16390423"/>
    <m/>
    <m/>
    <e v="#N/A"/>
    <m/>
    <m/>
    <m/>
    <m/>
    <m/>
    <m/>
    <s v="H"/>
    <x v="1"/>
    <s v="ANGUS NEGRO"/>
    <s v="5 años 2 meses"/>
    <s v="10-11-2020"/>
    <s v="Vivo"/>
    <x v="1"/>
    <s v="11.2.01.0053"/>
    <s v="11.1.01.0893"/>
    <s v="SI"/>
    <d v="2021-03-19T00:00:00"/>
  </r>
  <r>
    <n v="16390431"/>
    <m/>
    <m/>
    <e v="#N/A"/>
    <m/>
    <m/>
    <m/>
    <d v="2023-06-16T00:00:00"/>
    <d v="2024-12-22T00:00:00"/>
    <d v="2025-11-04T00:00:00"/>
    <s v="H"/>
    <x v="1"/>
    <s v="ANGUS NEGRO"/>
    <s v="10 años 0 meses"/>
    <s v="30-12-2015"/>
    <s v="Vivo"/>
    <x v="7"/>
    <s v="11.1.01.0190"/>
    <s v="11.1.01.1241"/>
    <s v="NO"/>
    <d v="2021-03-28T00:00:00"/>
  </r>
  <r>
    <n v="16390435"/>
    <m/>
    <m/>
    <e v="#N/A"/>
    <m/>
    <m/>
    <m/>
    <d v="2023-06-16T00:00:00"/>
    <m/>
    <m/>
    <s v="H"/>
    <x v="1"/>
    <s v="ANGUS NEGRO"/>
    <s v="10 años 0 meses"/>
    <s v="30-12-2015"/>
    <s v="Vivo"/>
    <x v="7"/>
    <s v="11.1.01.1240"/>
    <s v="11.1.01.1241"/>
    <s v="NO"/>
    <d v="2021-03-28T00:00:00"/>
  </r>
  <r>
    <n v="16390436"/>
    <m/>
    <m/>
    <e v="#N/A"/>
    <m/>
    <m/>
    <m/>
    <d v="2023-06-16T00:00:00"/>
    <d v="2024-12-22T00:00:00"/>
    <d v="2025-01-14T00:00:00"/>
    <s v="H"/>
    <x v="1"/>
    <s v="ANGUS ROJO"/>
    <s v="10 años 0 meses"/>
    <s v="30-12-2015"/>
    <s v="Vivo"/>
    <x v="6"/>
    <s v="11.1.01.1241"/>
    <s v="11.1.01.1241"/>
    <s v="NO"/>
    <d v="2021-03-28T00:00:00"/>
  </r>
  <r>
    <n v="16390444"/>
    <m/>
    <m/>
    <e v="#N/A"/>
    <m/>
    <m/>
    <m/>
    <d v="2023-06-16T00:00:00"/>
    <d v="2024-12-22T00:00:00"/>
    <d v="2025-01-14T00:00:00"/>
    <s v="H"/>
    <x v="1"/>
    <s v="ANGUS NEGRO"/>
    <s v="5 años 3 meses"/>
    <s v="30-09-2020"/>
    <s v="Vivo"/>
    <x v="0"/>
    <s v="11.1.01.1022"/>
    <s v="11.1.01.0893"/>
    <s v="SI"/>
    <m/>
  </r>
  <r>
    <n v="16390452"/>
    <m/>
    <m/>
    <e v="#N/A"/>
    <m/>
    <m/>
    <m/>
    <m/>
    <m/>
    <m/>
    <s v="H"/>
    <x v="1"/>
    <s v="ANGUS ROJO"/>
    <s v="14 años 2 meses"/>
    <s v="30-10-2011"/>
    <s v="Vivo"/>
    <x v="0"/>
    <s v="11.2.01.0038"/>
    <s v="11.1.01.1241"/>
    <s v="SI"/>
    <m/>
  </r>
  <r>
    <n v="16390453"/>
    <m/>
    <m/>
    <e v="#N/A"/>
    <m/>
    <m/>
    <m/>
    <d v="2023-06-16T00:00:00"/>
    <m/>
    <m/>
    <s v="H"/>
    <x v="1"/>
    <s v="ANGUS NEGRO"/>
    <s v="11 años 4 meses"/>
    <s v="30-08-2014"/>
    <s v="Vivo"/>
    <x v="3"/>
    <s v="11.1.01.0893"/>
    <s v="11.1.01.2304"/>
    <s v="SI"/>
    <m/>
  </r>
  <r>
    <n v="16390458"/>
    <m/>
    <m/>
    <e v="#N/A"/>
    <m/>
    <m/>
    <m/>
    <d v="2023-06-16T00:00:00"/>
    <m/>
    <m/>
    <s v="H"/>
    <x v="1"/>
    <s v="ANGUS NEGRO"/>
    <s v="5 años 2 meses"/>
    <s v="07-11-2020"/>
    <s v="Vivo"/>
    <x v="3"/>
    <s v="11.1.01.0893"/>
    <s v="11.1.01.1241"/>
    <s v="SI"/>
    <m/>
  </r>
  <r>
    <n v="16390459"/>
    <m/>
    <m/>
    <e v="#N/A"/>
    <m/>
    <m/>
    <m/>
    <d v="2023-06-16T00:00:00"/>
    <d v="2024-12-22T00:00:00"/>
    <d v="2025-01-14T00:00:00"/>
    <s v="H"/>
    <x v="1"/>
    <s v="ANGUS NEGRO"/>
    <s v="9 años 3 meses"/>
    <s v="15-10-2016"/>
    <s v="Vivo"/>
    <x v="0"/>
    <s v="11.1.01.0870"/>
    <s v="11.1.01.0893"/>
    <s v="SI"/>
    <m/>
  </r>
  <r>
    <n v="16390462"/>
    <m/>
    <m/>
    <e v="#N/A"/>
    <m/>
    <m/>
    <m/>
    <d v="2023-06-16T00:00:00"/>
    <d v="2024-12-22T00:00:00"/>
    <d v="2025-01-14T00:00:00"/>
    <s v="H"/>
    <x v="1"/>
    <s v="ANGUS NEGRO"/>
    <s v="10 años 2 meses"/>
    <s v="30-10-2015"/>
    <s v="Vivo"/>
    <x v="7"/>
    <s v="11.1.01.0190"/>
    <s v="11.1.01.1241"/>
    <s v="SI"/>
    <m/>
  </r>
  <r>
    <n v="16390467"/>
    <m/>
    <m/>
    <e v="#N/A"/>
    <m/>
    <m/>
    <m/>
    <d v="2023-06-16T00:00:00"/>
    <d v="2024-12-22T00:00:00"/>
    <d v="2025-01-14T00:00:00"/>
    <s v="H"/>
    <x v="1"/>
    <s v="ANGUS NEGRO"/>
    <s v="11 años 3 meses"/>
    <s v="30-09-2014"/>
    <s v="Vivo"/>
    <x v="0"/>
    <s v="11.2.01.0038"/>
    <s v="11.1.01.1081"/>
    <s v="SI"/>
    <m/>
  </r>
  <r>
    <n v="16390471"/>
    <m/>
    <m/>
    <e v="#N/A"/>
    <m/>
    <m/>
    <m/>
    <d v="2023-06-16T00:00:00"/>
    <m/>
    <m/>
    <s v="H"/>
    <x v="1"/>
    <s v="ANGUS NEGRO"/>
    <s v="10 años 3 meses"/>
    <s v="15-10-2015"/>
    <s v="Vivo"/>
    <x v="0"/>
    <s v="Sin Movimiento"/>
    <s v="11.1.01.1241"/>
    <s v="NO"/>
    <m/>
  </r>
  <r>
    <n v="16390472"/>
    <m/>
    <m/>
    <e v="#N/A"/>
    <m/>
    <m/>
    <m/>
    <d v="2023-06-16T00:00:00"/>
    <d v="2024-12-22T00:00:00"/>
    <d v="2025-01-14T00:00:00"/>
    <s v="H"/>
    <x v="1"/>
    <s v="ANGUS NEGRO"/>
    <s v="10 años 0 meses"/>
    <s v="30-12-2015"/>
    <s v="Vivo"/>
    <x v="0"/>
    <s v="11.2.01.0038"/>
    <s v="11.1.01.1241"/>
    <s v="NO"/>
    <m/>
  </r>
  <r>
    <n v="16390473"/>
    <m/>
    <m/>
    <e v="#N/A"/>
    <m/>
    <m/>
    <m/>
    <d v="2023-06-16T00:00:00"/>
    <d v="2024-12-22T00:00:00"/>
    <d v="2025-01-14T00:00:00"/>
    <s v="H"/>
    <x v="1"/>
    <s v="ANGUS NEGRO"/>
    <s v="10 años 3 meses"/>
    <s v="15-10-2015"/>
    <s v="Vivo"/>
    <x v="0"/>
    <s v="Sin Movimiento"/>
    <s v="11.1.01.1241"/>
    <s v="NO"/>
    <m/>
  </r>
  <r>
    <n v="16390474"/>
    <m/>
    <m/>
    <e v="#N/A"/>
    <m/>
    <m/>
    <m/>
    <d v="2023-06-16T00:00:00"/>
    <d v="2024-12-22T00:00:00"/>
    <d v="2025-11-04T00:00:00"/>
    <s v="H"/>
    <x v="1"/>
    <s v="ANGUS NEGRO"/>
    <s v="10 años 3 meses"/>
    <s v="15-10-2015"/>
    <s v="Vivo"/>
    <x v="7"/>
    <s v="11.1.01.0190"/>
    <s v="11.1.01.1241"/>
    <s v="NO"/>
    <m/>
  </r>
  <r>
    <n v="16390480"/>
    <m/>
    <m/>
    <e v="#N/A"/>
    <m/>
    <m/>
    <m/>
    <d v="2023-06-16T00:00:00"/>
    <m/>
    <m/>
    <s v="H"/>
    <x v="1"/>
    <s v="ANGUS NEGRO"/>
    <s v="10 años 3 meses"/>
    <s v="15-10-2015"/>
    <s v="Vivo"/>
    <x v="3"/>
    <s v="11.1.01.0893"/>
    <s v="11.1.01.1241"/>
    <s v="NO"/>
    <m/>
  </r>
  <r>
    <n v="16390503"/>
    <m/>
    <m/>
    <e v="#N/A"/>
    <m/>
    <m/>
    <m/>
    <d v="2023-06-16T00:00:00"/>
    <m/>
    <m/>
    <s v="H"/>
    <x v="1"/>
    <s v="ANGUS NEGRO"/>
    <s v="13 años 3 meses"/>
    <s v="15-10-2012"/>
    <s v="Vivo"/>
    <x v="9"/>
    <s v="11.1.02.0004"/>
    <s v="11.1.01.0941"/>
    <s v="NO"/>
    <d v="2021-07-08T00:00:00"/>
  </r>
  <r>
    <n v="16390516"/>
    <n v="2636118"/>
    <m/>
    <e v="#N/A"/>
    <m/>
    <m/>
    <m/>
    <d v="2023-06-16T00:00:00"/>
    <m/>
    <m/>
    <s v="M"/>
    <x v="2"/>
    <s v="ANGUS NEGRO"/>
    <s v="15 años 3 meses"/>
    <s v="15-10-2010"/>
    <s v="Vivo"/>
    <x v="0"/>
    <s v="11.1.01.0893"/>
    <s v="11.1.01.0290"/>
    <s v="SI"/>
    <m/>
  </r>
  <r>
    <n v="16390519"/>
    <m/>
    <m/>
    <e v="#N/A"/>
    <m/>
    <m/>
    <m/>
    <d v="2023-12-28T00:00:00"/>
    <m/>
    <m/>
    <s v="M"/>
    <x v="0"/>
    <s v="ANGUS NEGRO"/>
    <s v="8 años 3 meses"/>
    <s v="15-10-2017"/>
    <s v="Vivo"/>
    <x v="0"/>
    <s v="Sin Movimiento"/>
    <s v="11.1.01.1241"/>
    <s v="NO"/>
    <d v="2021-07-20T00:00:00"/>
  </r>
  <r>
    <n v="16390520"/>
    <m/>
    <m/>
    <e v="#N/A"/>
    <m/>
    <m/>
    <m/>
    <m/>
    <m/>
    <m/>
    <s v="M"/>
    <x v="0"/>
    <s v="ANGUS NEGRO"/>
    <s v="8 años 3 meses"/>
    <s v="15-10-2017"/>
    <s v="Vivo"/>
    <x v="0"/>
    <s v="Sin Movimiento"/>
    <s v="11.1.01.1241"/>
    <s v="NO"/>
    <d v="2021-07-20T00:00:00"/>
  </r>
  <r>
    <n v="16390524"/>
    <m/>
    <m/>
    <e v="#N/A"/>
    <m/>
    <m/>
    <m/>
    <m/>
    <m/>
    <m/>
    <s v="H"/>
    <x v="1"/>
    <s v="ANGUS NEGRO"/>
    <s v="7 años 4 meses"/>
    <s v="15-09-2018"/>
    <s v="Vivo"/>
    <x v="4"/>
    <s v="11.1.01.0893"/>
    <s v="11.1.01.0893"/>
    <s v="SI"/>
    <m/>
  </r>
  <r>
    <n v="16390525"/>
    <m/>
    <m/>
    <e v="#N/A"/>
    <m/>
    <m/>
    <m/>
    <m/>
    <m/>
    <m/>
    <s v="H"/>
    <x v="1"/>
    <s v="ANGUS NEGRO"/>
    <s v="9 años 3 meses"/>
    <s v="15-10-2016"/>
    <s v="Vivo"/>
    <x v="0"/>
    <s v="11.1.01.0893"/>
    <s v="11.1.01.1081"/>
    <s v="SI"/>
    <m/>
  </r>
  <r>
    <n v="16390527"/>
    <m/>
    <m/>
    <e v="#N/A"/>
    <m/>
    <m/>
    <m/>
    <m/>
    <m/>
    <m/>
    <s v="H"/>
    <x v="1"/>
    <s v="ANGUS NEGRO"/>
    <s v="9 años 3 meses"/>
    <s v="10-10-2016"/>
    <s v="Vivo"/>
    <x v="3"/>
    <s v="11.1.01.0893"/>
    <s v="11.1.01.0791"/>
    <s v="SI"/>
    <m/>
  </r>
  <r>
    <n v="16390531"/>
    <m/>
    <m/>
    <e v="#N/A"/>
    <m/>
    <m/>
    <m/>
    <d v="2023-12-04T00:00:00"/>
    <d v="2024-12-22T00:00:00"/>
    <d v="2025-01-14T00:00:00"/>
    <s v="H"/>
    <x v="1"/>
    <s v="ANGUS NEGRO"/>
    <s v="10 años 3 meses"/>
    <s v="30-09-2015"/>
    <s v="Vivo"/>
    <x v="7"/>
    <s v="11.1.01.0190"/>
    <s v="11.1.01.1081"/>
    <s v="SI"/>
    <m/>
  </r>
  <r>
    <n v="16390533"/>
    <m/>
    <m/>
    <e v="#N/A"/>
    <m/>
    <m/>
    <m/>
    <d v="2023-06-16T00:00:00"/>
    <d v="2024-12-22T00:00:00"/>
    <d v="2025-11-05T00:00:00"/>
    <s v="H"/>
    <x v="1"/>
    <s v="ANGUS ROJO"/>
    <s v="12 años 2 meses"/>
    <s v="30-10-2013"/>
    <s v="Vivo"/>
    <x v="7"/>
    <s v="11.1.01.0190"/>
    <s v="11.1.01.0790"/>
    <s v="SI"/>
    <m/>
  </r>
  <r>
    <n v="16390534"/>
    <m/>
    <m/>
    <e v="#N/A"/>
    <m/>
    <m/>
    <m/>
    <d v="2023-06-16T00:00:00"/>
    <m/>
    <m/>
    <s v="H"/>
    <x v="1"/>
    <s v="ANGUS NEGRO"/>
    <s v="10 años 3 meses"/>
    <s v="10-10-2015"/>
    <s v="Vivo"/>
    <x v="0"/>
    <s v="11.1.01.0893"/>
    <s v="11.1.01.2304"/>
    <s v="SI"/>
    <m/>
  </r>
  <r>
    <n v="16390535"/>
    <m/>
    <m/>
    <e v="#N/A"/>
    <m/>
    <m/>
    <m/>
    <d v="2023-10-14T00:00:00"/>
    <d v="2024-01-06T00:00:00"/>
    <m/>
    <s v="H"/>
    <x v="1"/>
    <s v="ANGUS NEGRO"/>
    <s v="10 años 3 meses"/>
    <s v="10-10-2015"/>
    <s v="Vivo"/>
    <x v="3"/>
    <s v="11.1.01.0893"/>
    <s v="11.1.01.1081"/>
    <s v="SI"/>
    <m/>
  </r>
  <r>
    <n v="16390536"/>
    <m/>
    <m/>
    <e v="#N/A"/>
    <m/>
    <m/>
    <m/>
    <d v="2023-10-14T00:00:00"/>
    <d v="2024-12-22T00:00:00"/>
    <d v="2025-01-14T00:00:00"/>
    <s v="H"/>
    <x v="1"/>
    <s v="ANGUS NEGRO"/>
    <s v="10 años 3 meses"/>
    <s v="15-10-2015"/>
    <s v="Vivo"/>
    <x v="0"/>
    <s v="11.1.01.0870"/>
    <s v="11.1.01.0893"/>
    <s v="NO"/>
    <m/>
  </r>
  <r>
    <n v="16390542"/>
    <m/>
    <m/>
    <e v="#N/A"/>
    <m/>
    <m/>
    <m/>
    <d v="2023-10-14T00:00:00"/>
    <d v="2024-12-22T00:00:00"/>
    <d v="2025-01-14T00:00:00"/>
    <s v="H"/>
    <x v="1"/>
    <s v="ANGUS NEGRO"/>
    <s v="10 años 0 meses"/>
    <s v="30-12-2015"/>
    <s v="Vivo"/>
    <x v="0"/>
    <s v="Sin Movimiento"/>
    <s v="11.1.01.1241"/>
    <s v="NO"/>
    <m/>
  </r>
  <r>
    <n v="16390546"/>
    <m/>
    <m/>
    <e v="#N/A"/>
    <m/>
    <m/>
    <m/>
    <d v="2023-12-28T00:00:00"/>
    <m/>
    <m/>
    <s v="H"/>
    <x v="1"/>
    <s v="ANGUS NEGRO"/>
    <s v="9 años 3 meses"/>
    <s v="15-10-2016"/>
    <s v="Vivo"/>
    <x v="3"/>
    <s v="11.1.01.0893"/>
    <s v="11.1.01.1081"/>
    <s v="SI"/>
    <m/>
  </r>
  <r>
    <n v="16390547"/>
    <m/>
    <m/>
    <e v="#N/A"/>
    <m/>
    <m/>
    <m/>
    <d v="2023-10-14T00:00:00"/>
    <m/>
    <m/>
    <s v="H"/>
    <x v="1"/>
    <s v="ANGUS NEGRO"/>
    <s v="12 años 3 meses"/>
    <s v="15-10-2013"/>
    <s v="Vivo"/>
    <x v="0"/>
    <s v="11.1.01.0791"/>
    <s v="11.1.01.1241"/>
    <s v="SI"/>
    <m/>
  </r>
  <r>
    <n v="16390550"/>
    <m/>
    <m/>
    <e v="#N/A"/>
    <m/>
    <d v="2021-06-03T00:00:00"/>
    <m/>
    <d v="2023-10-16T00:00:00"/>
    <d v="2024-12-22T00:00:00"/>
    <d v="2025-11-05T00:00:00"/>
    <s v="H"/>
    <x v="1"/>
    <s v="ANGUS NEGRO"/>
    <s v="8 años 2 meses"/>
    <s v="14-11-2017"/>
    <s v="Vivo"/>
    <x v="7"/>
    <s v="11.1.01.0190"/>
    <s v="11.1.01.0893"/>
    <s v="SI"/>
    <m/>
  </r>
  <r>
    <n v="16390551"/>
    <m/>
    <m/>
    <e v="#N/A"/>
    <m/>
    <m/>
    <m/>
    <d v="2023-10-16T00:00:00"/>
    <d v="2024-12-22T00:00:00"/>
    <d v="2025-01-14T00:00:00"/>
    <s v="H"/>
    <x v="1"/>
    <s v="ANGUS NEGRO"/>
    <s v="12 años 2 meses"/>
    <s v="20-10-2013"/>
    <s v="Vivo"/>
    <x v="0"/>
    <s v="11.1.01.0870"/>
    <s v="11.1.01.1081"/>
    <s v="SI"/>
    <m/>
  </r>
  <r>
    <n v="16390553"/>
    <m/>
    <m/>
    <e v="#N/A"/>
    <m/>
    <m/>
    <m/>
    <m/>
    <d v="2024-12-22T00:00:00"/>
    <d v="2025-11-05T00:00:00"/>
    <s v="H"/>
    <x v="1"/>
    <s v="ANGUS NEGRO"/>
    <s v="10 años 1 meses"/>
    <s v="15-12-2015"/>
    <s v="Vivo"/>
    <x v="7"/>
    <s v="11.1.01.0190"/>
    <s v="11.1.01.1241"/>
    <s v="NO"/>
    <d v="2022-06-15T00:00:00"/>
  </r>
  <r>
    <n v="16390554"/>
    <m/>
    <m/>
    <e v="#N/A"/>
    <m/>
    <m/>
    <m/>
    <d v="2023-10-14T00:00:00"/>
    <m/>
    <m/>
    <s v="H"/>
    <x v="1"/>
    <s v="ANGUS NEGRO"/>
    <s v="6 años 3 meses"/>
    <s v="30-09-2019"/>
    <s v="Vivo"/>
    <x v="4"/>
    <s v="11.1.01.0893"/>
    <s v="11.1.01.1241"/>
    <s v="NO"/>
    <m/>
  </r>
  <r>
    <n v="16390557"/>
    <n v="2636125"/>
    <m/>
    <e v="#N/A"/>
    <m/>
    <m/>
    <m/>
    <m/>
    <m/>
    <d v="2025-11-04T00:00:00"/>
    <s v="M"/>
    <x v="2"/>
    <s v="ANGUS NEGRO"/>
    <s v="6 años 2 meses"/>
    <s v="01-11-2019"/>
    <s v="Vivo"/>
    <x v="7"/>
    <s v="11.1.01.0190"/>
    <s v="11.1.01.0893"/>
    <s v="NO"/>
    <d v="2021-12-02T00:00:00"/>
  </r>
  <r>
    <n v="16390558"/>
    <n v="2636148"/>
    <m/>
    <e v="#N/A"/>
    <m/>
    <m/>
    <m/>
    <m/>
    <m/>
    <d v="2025-06-10T00:00:00"/>
    <s v="M"/>
    <x v="0"/>
    <s v="ANGUS NEGRO"/>
    <s v="6 años 2 meses"/>
    <s v="01-11-2019"/>
    <s v="Vivo"/>
    <x v="3"/>
    <s v="11.1.01.1241"/>
    <s v="11.1.01.1241"/>
    <s v="NO"/>
    <d v="2022-11-29T00:00:00"/>
  </r>
  <r>
    <n v="16390559"/>
    <n v="2636149"/>
    <m/>
    <e v="#N/A"/>
    <m/>
    <m/>
    <m/>
    <m/>
    <d v="2024-12-10T00:00:00"/>
    <m/>
    <s v="M"/>
    <x v="0"/>
    <s v="ANGUS NEGRO"/>
    <s v="6 años 3 meses"/>
    <s v="30-09-2019"/>
    <s v="Vivo"/>
    <x v="4"/>
    <s v="11.1.01.0893"/>
    <s v="11.1.01.1241"/>
    <s v="NO"/>
    <d v="2022-11-29T00:00:00"/>
  </r>
  <r>
    <n v="16390560"/>
    <n v="2636154"/>
    <m/>
    <e v="#N/A"/>
    <m/>
    <m/>
    <m/>
    <m/>
    <m/>
    <d v="2025-06-10T00:00:00"/>
    <s v="M"/>
    <x v="0"/>
    <s v="ANGUS NEGRO"/>
    <s v="6 años 2 meses"/>
    <s v="01-11-2019"/>
    <s v="Vivo"/>
    <x v="0"/>
    <s v="11.2.01.0038"/>
    <s v="11.1.01.1241"/>
    <s v="NO"/>
    <d v="2022-11-29T00:00:00"/>
  </r>
  <r>
    <n v="16390561"/>
    <m/>
    <m/>
    <e v="#N/A"/>
    <m/>
    <m/>
    <m/>
    <m/>
    <m/>
    <d v="2025-06-10T00:00:00"/>
    <s v="M"/>
    <x v="0"/>
    <s v="ANGUS NEGRO"/>
    <s v="6 años 3 meses"/>
    <s v="30-09-2019"/>
    <s v="Vivo"/>
    <x v="3"/>
    <s v="11.1.01.1241"/>
    <s v="11.1.01.1241"/>
    <s v="NO"/>
    <d v="2022-11-29T00:00:00"/>
  </r>
  <r>
    <n v="16390562"/>
    <m/>
    <m/>
    <e v="#N/A"/>
    <m/>
    <m/>
    <m/>
    <m/>
    <d v="2024-12-22T00:00:00"/>
    <d v="2025-11-04T00:00:00"/>
    <s v="H"/>
    <x v="1"/>
    <s v="ANGUS NEGRO"/>
    <s v="9 años 3 meses"/>
    <s v="15-10-2016"/>
    <s v="Vivo"/>
    <x v="7"/>
    <s v="11.1.01.0190"/>
    <s v="11.1.01.0893"/>
    <s v="SI"/>
    <m/>
  </r>
  <r>
    <n v="16390565"/>
    <m/>
    <m/>
    <e v="#N/A"/>
    <m/>
    <m/>
    <m/>
    <m/>
    <m/>
    <m/>
    <s v="M"/>
    <x v="2"/>
    <s v="ANGUS NEGRO"/>
    <s v="4 años 1 meses"/>
    <s v="05-12-2021"/>
    <s v="Vivo"/>
    <x v="2"/>
    <s v="11.1.01.1022"/>
    <s v="11.1.01.0893"/>
    <s v="SI"/>
    <m/>
  </r>
  <r>
    <n v="16390566"/>
    <m/>
    <m/>
    <e v="#N/A"/>
    <m/>
    <m/>
    <m/>
    <m/>
    <d v="2024-12-22T00:00:00"/>
    <d v="2025-11-04T00:00:00"/>
    <s v="H"/>
    <x v="1"/>
    <s v="ANGUS NEGRO"/>
    <s v="4 años 1 meses"/>
    <s v="30-11-2021"/>
    <s v="Vivo"/>
    <x v="7"/>
    <s v="11.1.01.0190"/>
    <s v="11.1.01.0893"/>
    <s v="SI"/>
    <m/>
  </r>
  <r>
    <n v="16390567"/>
    <m/>
    <m/>
    <e v="#N/A"/>
    <m/>
    <m/>
    <m/>
    <m/>
    <d v="2024-12-22T00:00:00"/>
    <d v="2025-01-14T00:00:00"/>
    <s v="H"/>
    <x v="1"/>
    <s v="ANGUS NEGRO"/>
    <s v="5 años 2 meses"/>
    <s v="30-10-2020"/>
    <s v="Vivo"/>
    <x v="0"/>
    <s v="11.1.01.1022"/>
    <s v="11.1.01.0893"/>
    <s v="SI"/>
    <m/>
  </r>
  <r>
    <n v="16390579"/>
    <m/>
    <n v="8933216"/>
    <n v="8933216"/>
    <m/>
    <m/>
    <m/>
    <d v="2023-11-23T00:00:00"/>
    <d v="2024-01-06T00:00:00"/>
    <m/>
    <s v="H"/>
    <x v="1"/>
    <s v="ANGUS ROJO"/>
    <s v="12 años 0 meses"/>
    <s v="30-12-2013"/>
    <s v="Vivo"/>
    <x v="3"/>
    <s v="11.1.01.0893"/>
    <s v="11.1.01.1241"/>
    <s v="SI"/>
    <m/>
  </r>
  <r>
    <n v="16390580"/>
    <m/>
    <n v="14717842"/>
    <n v="14717842"/>
    <m/>
    <m/>
    <m/>
    <d v="2023-11-23T00:00:00"/>
    <m/>
    <m/>
    <s v="H"/>
    <x v="1"/>
    <s v="ANGUS NEGRO"/>
    <s v="9 años 3 meses"/>
    <s v="15-10-2016"/>
    <s v="Vivo"/>
    <x v="0"/>
    <s v="11.2.01.0038"/>
    <s v="11.2.01.2071"/>
    <s v="SI"/>
    <m/>
  </r>
  <r>
    <n v="16390584"/>
    <m/>
    <n v="14717854"/>
    <n v="14717854"/>
    <m/>
    <m/>
    <m/>
    <d v="2023-11-23T00:00:00"/>
    <d v="2024-05-18T00:00:00"/>
    <d v="2025-01-14T00:00:00"/>
    <s v="H"/>
    <x v="1"/>
    <s v="ANGUS NEGRO"/>
    <s v="9 años 3 meses"/>
    <s v="15-10-2016"/>
    <s v="Vivo"/>
    <x v="0"/>
    <s v="11.2.01.0038"/>
    <s v="11.2.01.2071"/>
    <s v="SI"/>
    <m/>
  </r>
  <r>
    <n v="16390585"/>
    <m/>
    <n v="15661035"/>
    <n v="15661035"/>
    <m/>
    <m/>
    <m/>
    <d v="2023-11-23T00:00:00"/>
    <d v="2024-12-22T00:00:00"/>
    <d v="2025-11-04T00:00:00"/>
    <s v="H"/>
    <x v="1"/>
    <s v="ANGUS NEGRO"/>
    <s v="8 años 3 meses"/>
    <s v="30-09-2017"/>
    <s v="Vivo"/>
    <x v="7"/>
    <s v="11.1.01.0190"/>
    <s v="11.1.01.1241"/>
    <s v="SI"/>
    <m/>
  </r>
  <r>
    <n v="16390589"/>
    <m/>
    <n v="8392977"/>
    <n v="8392977"/>
    <m/>
    <m/>
    <m/>
    <d v="2023-11-23T00:00:00"/>
    <d v="2024-12-22T00:00:00"/>
    <d v="2025-01-14T00:00:00"/>
    <s v="H"/>
    <x v="1"/>
    <s v="ANGUS NEGRO"/>
    <s v="12 años 2 meses"/>
    <s v="20-10-2013"/>
    <s v="Vivo"/>
    <x v="6"/>
    <s v="11.1.01.1241"/>
    <s v="11.1.01.1081"/>
    <s v="SI"/>
    <m/>
  </r>
  <r>
    <n v="16390592"/>
    <n v="2636139"/>
    <n v="15714197"/>
    <n v="15714197"/>
    <m/>
    <m/>
    <m/>
    <d v="2023-11-23T00:00:00"/>
    <d v="2024-12-10T00:00:00"/>
    <m/>
    <s v="M"/>
    <x v="2"/>
    <s v="ANGUS NEGRO"/>
    <s v="7 años 4 meses"/>
    <s v="12-09-2018"/>
    <s v="Vivo"/>
    <x v="4"/>
    <s v="11.1.01.0893"/>
    <s v="11.1.01.0932"/>
    <s v="SI"/>
    <m/>
  </r>
  <r>
    <n v="16390593"/>
    <m/>
    <n v="12602360"/>
    <n v="12602360"/>
    <m/>
    <m/>
    <m/>
    <m/>
    <d v="2024-01-06T00:00:00"/>
    <m/>
    <s v="H"/>
    <x v="1"/>
    <s v="ANGUS NEGRO"/>
    <s v="9 años 3 meses"/>
    <s v="15-10-2016"/>
    <s v="Vivo"/>
    <x v="4"/>
    <s v="11.1.01.0893"/>
    <s v="11.1.01.1241"/>
    <s v="SI"/>
    <d v="2016-12-26T00:00:00"/>
  </r>
  <r>
    <n v="16390594"/>
    <m/>
    <n v="16843197"/>
    <n v="16843197"/>
    <m/>
    <m/>
    <m/>
    <m/>
    <d v="2024-01-06T00:00:00"/>
    <m/>
    <s v="H"/>
    <x v="1"/>
    <s v="ANGUS ROJO"/>
    <s v="7 años 3 meses"/>
    <s v="15-10-2018"/>
    <s v="Vivo"/>
    <x v="3"/>
    <s v="11.1.01.0893"/>
    <s v="11.1.01.1241"/>
    <s v="SI"/>
    <m/>
  </r>
  <r>
    <n v="16390596"/>
    <m/>
    <n v="15661434"/>
    <n v="15661434"/>
    <m/>
    <m/>
    <m/>
    <m/>
    <d v="2024-01-06T00:00:00"/>
    <m/>
    <s v="H"/>
    <x v="1"/>
    <s v="ANGUS NEGRO"/>
    <s v="7 años 4 meses"/>
    <s v="10-09-2018"/>
    <s v="Vivo"/>
    <x v="3"/>
    <s v="11.1.01.0893"/>
    <s v="11.1.01.1241"/>
    <s v="SI"/>
    <m/>
  </r>
  <r>
    <n v="16390597"/>
    <m/>
    <n v="15660941"/>
    <n v="15660941"/>
    <m/>
    <m/>
    <m/>
    <m/>
    <m/>
    <m/>
    <s v="H"/>
    <x v="1"/>
    <s v="ANGUS NEGRO"/>
    <s v="8 años 3 meses"/>
    <s v="30-09-2017"/>
    <s v="Vivo"/>
    <x v="4"/>
    <s v="11.1.01.0893"/>
    <s v="11.1.01.1241"/>
    <s v="SI"/>
    <m/>
  </r>
  <r>
    <n v="16390599"/>
    <m/>
    <m/>
    <e v="#N/A"/>
    <m/>
    <m/>
    <m/>
    <m/>
    <m/>
    <m/>
    <s v="H"/>
    <x v="1"/>
    <s v="ANGUS NEGRO"/>
    <s v="5 años 3 meses"/>
    <s v="15-10-2020"/>
    <s v="Vivo"/>
    <x v="3"/>
    <s v="11.1.01.0893"/>
    <s v="11.1.01.0893"/>
    <s v="NO"/>
    <d v="2023-05-19T00:00:00"/>
  </r>
  <r>
    <n v="16705216"/>
    <m/>
    <m/>
    <e v="#N/A"/>
    <m/>
    <m/>
    <m/>
    <m/>
    <m/>
    <m/>
    <s v="H"/>
    <x v="1"/>
    <s v="ANGUS ROJO"/>
    <s v="6 años 3 meses"/>
    <s v="20-09-2019"/>
    <s v="Vivo"/>
    <x v="0"/>
    <s v="11.1.01.0791"/>
    <s v="11.1.01.1241"/>
    <s v="SI"/>
    <m/>
  </r>
  <r>
    <n v="16705223"/>
    <m/>
    <m/>
    <e v="#N/A"/>
    <m/>
    <m/>
    <m/>
    <m/>
    <m/>
    <m/>
    <s v="H"/>
    <x v="1"/>
    <s v="ANGUS NEGRO"/>
    <s v="6 años 3 meses"/>
    <s v="20-09-2019"/>
    <s v="Vivo"/>
    <x v="0"/>
    <s v="11.1.01.0791"/>
    <s v="11.1.01.1241"/>
    <s v="SI"/>
    <m/>
  </r>
  <r>
    <n v="16705224"/>
    <m/>
    <m/>
    <e v="#N/A"/>
    <m/>
    <m/>
    <m/>
    <m/>
    <d v="2024-12-22T00:00:00"/>
    <d v="2025-01-14T00:00:00"/>
    <s v="H"/>
    <x v="1"/>
    <s v="ANGUS NEGRO"/>
    <s v="6 años 3 meses"/>
    <s v="20-09-2019"/>
    <s v="Vivo"/>
    <x v="0"/>
    <s v="11.2.01.0038"/>
    <s v="11.1.01.1241"/>
    <s v="SI"/>
    <m/>
  </r>
  <r>
    <n v="16705231"/>
    <m/>
    <m/>
    <e v="#N/A"/>
    <m/>
    <m/>
    <m/>
    <m/>
    <d v="2024-12-22T00:00:00"/>
    <d v="2025-01-14T00:00:00"/>
    <s v="H"/>
    <x v="1"/>
    <s v="ANGUS NEGRO"/>
    <s v="6 años 3 meses"/>
    <s v="30-09-2019"/>
    <s v="Vivo"/>
    <x v="0"/>
    <s v="11.1.01.0791"/>
    <s v="11.1.01.1241"/>
    <s v="SI"/>
    <m/>
  </r>
  <r>
    <n v="16705234"/>
    <m/>
    <m/>
    <e v="#N/A"/>
    <m/>
    <m/>
    <m/>
    <m/>
    <d v="2024-01-06T00:00:00"/>
    <m/>
    <s v="H"/>
    <x v="1"/>
    <s v="ANGUS NEGRO"/>
    <s v="6 años 3 meses"/>
    <s v="20-09-2019"/>
    <s v="Vivo"/>
    <x v="3"/>
    <s v="11.1.01.0893"/>
    <s v="11.1.01.1241"/>
    <s v="SI"/>
    <m/>
  </r>
  <r>
    <n v="16705255"/>
    <m/>
    <m/>
    <e v="#N/A"/>
    <m/>
    <m/>
    <m/>
    <m/>
    <d v="2024-01-06T00:00:00"/>
    <m/>
    <s v="H"/>
    <x v="1"/>
    <s v="ANGUS NEGRO"/>
    <s v="6 años 3 meses"/>
    <s v="20-09-2019"/>
    <s v="Vivo"/>
    <x v="3"/>
    <s v="11.1.01.0893"/>
    <s v="11.1.01.1241"/>
    <s v="SI"/>
    <m/>
  </r>
  <r>
    <n v="16705256"/>
    <m/>
    <m/>
    <e v="#N/A"/>
    <m/>
    <m/>
    <m/>
    <m/>
    <m/>
    <m/>
    <s v="M"/>
    <x v="2"/>
    <s v="OVERO COLORADO (CLAVEL ALEMAN)"/>
    <s v="6 años 2 meses"/>
    <s v="20-10-2019"/>
    <s v="Vivo"/>
    <x v="0"/>
    <s v="11.1.01.0893"/>
    <s v="11.1.01.1241"/>
    <s v="SI"/>
    <m/>
  </r>
  <r>
    <n v="16705260"/>
    <m/>
    <m/>
    <e v="#N/A"/>
    <m/>
    <m/>
    <m/>
    <m/>
    <d v="2024-12-22T00:00:00"/>
    <d v="2025-01-14T00:00:00"/>
    <s v="H"/>
    <x v="1"/>
    <s v="ANGUS NEGRO"/>
    <s v="6 años 3 meses"/>
    <s v="20-09-2019"/>
    <s v="Vivo"/>
    <x v="0"/>
    <s v="11.1.01.0870"/>
    <s v="11.1.01.1241"/>
    <s v="SI"/>
    <m/>
  </r>
  <r>
    <n v="16705261"/>
    <m/>
    <m/>
    <e v="#N/A"/>
    <m/>
    <m/>
    <m/>
    <d v="2023-11-24T00:00:00"/>
    <d v="2024-12-22T00:00:00"/>
    <d v="2025-11-04T00:00:00"/>
    <s v="H"/>
    <x v="1"/>
    <s v="ANGUS NEGRO"/>
    <s v="6 años 4 meses"/>
    <s v="15-09-2019"/>
    <s v="Vivo"/>
    <x v="0"/>
    <s v="11.2.01.0038"/>
    <s v="11.1.01.1241"/>
    <s v="SI"/>
    <m/>
  </r>
  <r>
    <n v="16705263"/>
    <m/>
    <m/>
    <e v="#N/A"/>
    <m/>
    <m/>
    <m/>
    <d v="2023-11-24T00:00:00"/>
    <d v="2024-12-22T00:00:00"/>
    <d v="2025-11-04T00:00:00"/>
    <s v="H"/>
    <x v="1"/>
    <s v="ANGUS NEGRO"/>
    <s v="6 años 4 meses"/>
    <s v="10-09-2019"/>
    <s v="Vivo"/>
    <x v="0"/>
    <s v="11.1.01.0791"/>
    <s v="11.1.01.1241"/>
    <s v="SI"/>
    <m/>
  </r>
  <r>
    <n v="16705265"/>
    <m/>
    <m/>
    <e v="#N/A"/>
    <m/>
    <m/>
    <m/>
    <m/>
    <m/>
    <m/>
    <s v="H"/>
    <x v="1"/>
    <s v="ANGUS NEGRO"/>
    <s v="6 años 3 meses"/>
    <s v="30-09-2019"/>
    <s v="Vivo"/>
    <x v="0"/>
    <s v="11.1.01.0791"/>
    <s v="11.1.01.1241"/>
    <s v="SI"/>
    <m/>
  </r>
  <r>
    <n v="16705266"/>
    <m/>
    <m/>
    <e v="#N/A"/>
    <m/>
    <m/>
    <m/>
    <d v="2023-11-24T00:00:00"/>
    <d v="2024-12-22T00:00:00"/>
    <d v="2025-11-04T00:00:00"/>
    <s v="H"/>
    <x v="1"/>
    <s v="ANGUS NEGRO"/>
    <s v="6 años 3 meses"/>
    <s v="30-09-2019"/>
    <s v="Vivo"/>
    <x v="7"/>
    <s v="11.1.01.0190"/>
    <s v="11.1.01.1241"/>
    <s v="SI"/>
    <m/>
  </r>
  <r>
    <n v="16705276"/>
    <m/>
    <m/>
    <e v="#N/A"/>
    <m/>
    <m/>
    <m/>
    <m/>
    <m/>
    <m/>
    <s v="H"/>
    <x v="1"/>
    <s v="ANGUS NEGRO"/>
    <s v="6 años 3 meses"/>
    <s v="20-09-2019"/>
    <s v="Vivo"/>
    <x v="4"/>
    <s v="11.1.01.0893"/>
    <s v="11.1.01.1241"/>
    <s v="SI"/>
    <m/>
  </r>
  <r>
    <n v="16705277"/>
    <m/>
    <m/>
    <e v="#N/A"/>
    <m/>
    <m/>
    <m/>
    <m/>
    <m/>
    <m/>
    <s v="H"/>
    <x v="1"/>
    <s v="ANGUS NEGRO"/>
    <s v="6 años 4 meses"/>
    <s v="15-09-2019"/>
    <s v="Vivo"/>
    <x v="1"/>
    <s v="11.2.01.0053"/>
    <s v="11.1.01.1241"/>
    <s v="SI"/>
    <m/>
  </r>
  <r>
    <n v="16705281"/>
    <m/>
    <m/>
    <e v="#N/A"/>
    <m/>
    <m/>
    <m/>
    <m/>
    <m/>
    <m/>
    <s v="H"/>
    <x v="1"/>
    <s v="ANGUS NEGRO"/>
    <s v="6 años 3 meses"/>
    <s v="01-10-2019"/>
    <s v="Vivo"/>
    <x v="0"/>
    <s v="11.1.01.0791"/>
    <s v="11.1.01.1241"/>
    <s v="SI"/>
    <m/>
  </r>
  <r>
    <n v="16705284"/>
    <m/>
    <m/>
    <e v="#N/A"/>
    <m/>
    <m/>
    <m/>
    <m/>
    <d v="2024-12-22T00:00:00"/>
    <d v="2025-11-04T00:00:00"/>
    <s v="H"/>
    <x v="1"/>
    <s v="ANGUS NEGRO"/>
    <s v="6 años 3 meses"/>
    <s v="10-10-2019"/>
    <s v="Vivo"/>
    <x v="0"/>
    <s v="11.2.01.0038"/>
    <s v="11.1.01.1241"/>
    <s v="SI"/>
    <m/>
  </r>
  <r>
    <n v="16705290"/>
    <m/>
    <m/>
    <e v="#N/A"/>
    <m/>
    <m/>
    <m/>
    <m/>
    <m/>
    <m/>
    <s v="H"/>
    <x v="1"/>
    <s v="ANGUS NEGRO"/>
    <s v="6 años 3 meses"/>
    <s v="30-09-2019"/>
    <s v="Vivo"/>
    <x v="3"/>
    <s v="11.1.01.0893"/>
    <s v="11.1.01.1241"/>
    <s v="SI"/>
    <m/>
  </r>
  <r>
    <n v="16705293"/>
    <m/>
    <m/>
    <e v="#N/A"/>
    <m/>
    <m/>
    <m/>
    <m/>
    <d v="2024-01-06T00:00:00"/>
    <m/>
    <s v="H"/>
    <x v="1"/>
    <s v="ANGUS NEGRO"/>
    <s v="6 años 3 meses"/>
    <s v="01-10-2019"/>
    <s v="Vivo"/>
    <x v="3"/>
    <s v="11.1.01.0893"/>
    <s v="11.1.01.1241"/>
    <s v="SI"/>
    <m/>
  </r>
  <r>
    <n v="16705299"/>
    <m/>
    <m/>
    <e v="#N/A"/>
    <m/>
    <m/>
    <m/>
    <m/>
    <m/>
    <m/>
    <s v="H"/>
    <x v="1"/>
    <s v="ANGUS ROJO"/>
    <s v="6 años 4 meses"/>
    <s v="15-09-2019"/>
    <s v="Vivo"/>
    <x v="0"/>
    <s v="Sin Movimiento"/>
    <s v="11.1.01.1241"/>
    <s v="SI"/>
    <m/>
  </r>
  <r>
    <n v="16705303"/>
    <m/>
    <m/>
    <e v="#N/A"/>
    <m/>
    <m/>
    <m/>
    <m/>
    <d v="2024-01-06T00:00:00"/>
    <m/>
    <s v="H"/>
    <x v="1"/>
    <s v="ANGUS NEGRO"/>
    <s v="6 años 3 meses"/>
    <s v="20-09-2019"/>
    <s v="Vivo"/>
    <x v="4"/>
    <s v="11.1.01.0893"/>
    <s v="11.1.01.1241"/>
    <s v="SI"/>
    <m/>
  </r>
  <r>
    <n v="16705318"/>
    <m/>
    <m/>
    <e v="#N/A"/>
    <m/>
    <m/>
    <m/>
    <m/>
    <d v="2024-12-22T00:00:00"/>
    <d v="2025-11-05T00:00:00"/>
    <s v="H"/>
    <x v="1"/>
    <s v="ANGUS NEGRO"/>
    <s v="6 años 3 meses"/>
    <s v="30-09-2019"/>
    <s v="Vivo"/>
    <x v="7"/>
    <s v="11.1.01.0190"/>
    <s v="11.1.01.1241"/>
    <s v="SI"/>
    <m/>
  </r>
  <r>
    <n v="16705322"/>
    <m/>
    <m/>
    <e v="#N/A"/>
    <m/>
    <m/>
    <m/>
    <m/>
    <m/>
    <m/>
    <s v="H"/>
    <x v="1"/>
    <s v="ANGUS NEGRO"/>
    <s v="6 años 3 meses"/>
    <s v="10-10-2019"/>
    <s v="Vivo"/>
    <x v="0"/>
    <s v="11.1.01.0791"/>
    <s v="11.1.01.1241"/>
    <s v="SI"/>
    <m/>
  </r>
  <r>
    <n v="16705324"/>
    <m/>
    <m/>
    <e v="#N/A"/>
    <m/>
    <m/>
    <m/>
    <m/>
    <d v="2024-12-22T00:00:00"/>
    <d v="2025-01-14T00:00:00"/>
    <s v="H"/>
    <x v="1"/>
    <s v="ANGUS NEGRO"/>
    <s v="6 años 2 meses"/>
    <s v="25-10-2019"/>
    <s v="Vivo"/>
    <x v="0"/>
    <s v="11.2.01.0038"/>
    <s v="11.1.01.1241"/>
    <s v="SI"/>
    <m/>
  </r>
  <r>
    <n v="16705325"/>
    <m/>
    <m/>
    <e v="#N/A"/>
    <m/>
    <m/>
    <m/>
    <m/>
    <d v="2024-05-18T00:00:00"/>
    <d v="2025-11-04T00:00:00"/>
    <s v="H"/>
    <x v="1"/>
    <s v="ANGUS NEGRO"/>
    <s v="6 años 2 meses"/>
    <s v="05-11-2019"/>
    <s v="Vivo"/>
    <x v="7"/>
    <s v="11.1.01.0190"/>
    <s v="11.1.01.1241"/>
    <s v="SI"/>
    <m/>
  </r>
  <r>
    <n v="16705327"/>
    <m/>
    <m/>
    <e v="#N/A"/>
    <m/>
    <m/>
    <m/>
    <m/>
    <m/>
    <m/>
    <s v="H"/>
    <x v="1"/>
    <s v="ANGUS NEGRO"/>
    <s v="6 años 3 meses"/>
    <s v="10-10-2019"/>
    <s v="Vivo"/>
    <x v="7"/>
    <s v="11.1.01.1241"/>
    <s v="11.1.01.1241"/>
    <s v="SI"/>
    <m/>
  </r>
  <r>
    <n v="16705328"/>
    <m/>
    <m/>
    <e v="#N/A"/>
    <m/>
    <m/>
    <m/>
    <m/>
    <m/>
    <m/>
    <s v="H"/>
    <x v="1"/>
    <s v="ANGUS NEGRO"/>
    <s v="6 años 3 meses"/>
    <s v="25-09-2019"/>
    <s v="Vivo"/>
    <x v="4"/>
    <s v="11.1.01.0893"/>
    <s v="11.1.01.1241"/>
    <s v="SI"/>
    <m/>
  </r>
  <r>
    <n v="16705331"/>
    <m/>
    <m/>
    <e v="#N/A"/>
    <m/>
    <m/>
    <m/>
    <m/>
    <d v="2024-12-22T00:00:00"/>
    <d v="2025-01-14T00:00:00"/>
    <s v="H"/>
    <x v="1"/>
    <s v="ANGUS NEGRO"/>
    <s v="6 años 2 meses"/>
    <s v="30-10-2019"/>
    <s v="Vivo"/>
    <x v="0"/>
    <s v="11.2.01.0038"/>
    <s v="11.1.01.1241"/>
    <s v="SI"/>
    <m/>
  </r>
  <r>
    <n v="16705332"/>
    <m/>
    <m/>
    <e v="#N/A"/>
    <m/>
    <m/>
    <m/>
    <m/>
    <m/>
    <m/>
    <s v="H"/>
    <x v="1"/>
    <s v="ANGUS ROJO"/>
    <s v="6 años 4 meses"/>
    <s v="10-09-2019"/>
    <s v="Vivo"/>
    <x v="3"/>
    <s v="11.1.01.1241"/>
    <s v="11.1.01.1241"/>
    <s v="SI"/>
    <m/>
  </r>
  <r>
    <n v="16705333"/>
    <m/>
    <m/>
    <e v="#N/A"/>
    <m/>
    <m/>
    <m/>
    <m/>
    <d v="2024-12-22T00:00:00"/>
    <d v="2025-11-05T00:00:00"/>
    <s v="H"/>
    <x v="1"/>
    <s v="ANGUS NEGRO"/>
    <s v="6 años 3 meses"/>
    <s v="05-10-2019"/>
    <s v="Vivo"/>
    <x v="7"/>
    <s v="11.1.01.0190"/>
    <s v="11.1.01.1241"/>
    <s v="SI"/>
    <m/>
  </r>
  <r>
    <n v="16705334"/>
    <m/>
    <m/>
    <e v="#N/A"/>
    <m/>
    <m/>
    <m/>
    <m/>
    <d v="2024-12-22T00:00:00"/>
    <d v="2025-11-05T00:00:00"/>
    <s v="H"/>
    <x v="1"/>
    <s v="ANGUS NEGRO"/>
    <s v="6 años 3 meses"/>
    <s v="10-10-2019"/>
    <s v="Vivo"/>
    <x v="7"/>
    <s v="11.1.01.0190"/>
    <s v="11.1.01.1241"/>
    <s v="SI"/>
    <m/>
  </r>
  <r>
    <n v="16705345"/>
    <m/>
    <m/>
    <e v="#N/A"/>
    <m/>
    <m/>
    <m/>
    <m/>
    <m/>
    <m/>
    <s v="H"/>
    <x v="1"/>
    <s v="HEREFORD"/>
    <s v="6 años 2 meses"/>
    <s v="30-10-2019"/>
    <s v="Vivo"/>
    <x v="1"/>
    <s v="11.2.01.0053"/>
    <s v="11.1.01.1241"/>
    <s v="SI"/>
    <m/>
  </r>
  <r>
    <n v="16705348"/>
    <m/>
    <m/>
    <e v="#N/A"/>
    <m/>
    <m/>
    <m/>
    <m/>
    <d v="2024-12-22T00:00:00"/>
    <d v="2025-11-05T00:00:00"/>
    <s v="H"/>
    <x v="1"/>
    <s v="ANGUS NEGRO"/>
    <s v="6 años 2 meses"/>
    <s v="25-10-2019"/>
    <s v="Vivo"/>
    <x v="7"/>
    <s v="11.1.01.0190"/>
    <s v="11.1.01.1241"/>
    <s v="SI"/>
    <m/>
  </r>
  <r>
    <n v="16705349"/>
    <m/>
    <m/>
    <e v="#N/A"/>
    <m/>
    <m/>
    <m/>
    <m/>
    <m/>
    <m/>
    <s v="H"/>
    <x v="1"/>
    <s v="ANGUS NEGRO"/>
    <s v="6 años 2 meses"/>
    <s v="05-11-2019"/>
    <s v="Vivo"/>
    <x v="3"/>
    <s v="11.1.01.0893"/>
    <s v="11.1.01.1241"/>
    <s v="SI"/>
    <m/>
  </r>
  <r>
    <n v="16705354"/>
    <m/>
    <m/>
    <e v="#N/A"/>
    <m/>
    <m/>
    <m/>
    <m/>
    <d v="2024-12-22T00:00:00"/>
    <d v="2025-01-14T00:00:00"/>
    <s v="H"/>
    <x v="1"/>
    <s v="ANGUS NEGRO"/>
    <s v="6 años 3 meses"/>
    <s v="10-10-2019"/>
    <s v="Vivo"/>
    <x v="0"/>
    <s v="11.2.01.0038"/>
    <s v="11.1.01.1241"/>
    <s v="SI"/>
    <m/>
  </r>
  <r>
    <n v="16705359"/>
    <m/>
    <m/>
    <e v="#N/A"/>
    <m/>
    <m/>
    <m/>
    <m/>
    <m/>
    <m/>
    <s v="H"/>
    <x v="1"/>
    <s v="ANGUS NEGRO"/>
    <s v="7 años 0 meses"/>
    <s v="30-12-2018"/>
    <s v="Vivo"/>
    <x v="3"/>
    <s v="11.1.01.0893"/>
    <s v="11.1.01.1241"/>
    <s v="SI"/>
    <m/>
  </r>
  <r>
    <n v="16705365"/>
    <m/>
    <m/>
    <e v="#N/A"/>
    <m/>
    <m/>
    <m/>
    <m/>
    <m/>
    <m/>
    <s v="H"/>
    <x v="1"/>
    <s v="ANGUS NEGRO"/>
    <s v="6 años 3 meses"/>
    <s v="30-09-2019"/>
    <s v="Vivo"/>
    <x v="7"/>
    <s v="11.1.01.0893"/>
    <s v="11.1.01.0893"/>
    <s v="SI"/>
    <m/>
  </r>
  <r>
    <n v="16705368"/>
    <m/>
    <m/>
    <e v="#N/A"/>
    <m/>
    <m/>
    <m/>
    <m/>
    <d v="2024-12-22T00:00:00"/>
    <d v="2025-01-14T00:00:00"/>
    <s v="H"/>
    <x v="1"/>
    <s v="ANGUS NEGRO"/>
    <s v="6 años 2 meses"/>
    <s v="20-10-2019"/>
    <s v="Vivo"/>
    <x v="0"/>
    <s v="11.2.01.0038"/>
    <s v="11.1.01.0893"/>
    <s v="SI"/>
    <m/>
  </r>
  <r>
    <n v="16705370"/>
    <m/>
    <m/>
    <e v="#N/A"/>
    <m/>
    <m/>
    <m/>
    <m/>
    <d v="2024-01-06T00:00:00"/>
    <m/>
    <s v="H"/>
    <x v="1"/>
    <s v="ANGUS NEGRO"/>
    <s v="6 años 3 meses"/>
    <s v="30-09-2019"/>
    <s v="Vivo"/>
    <x v="3"/>
    <s v="11.1.01.0893"/>
    <s v="11.1.01.0893"/>
    <s v="SI"/>
    <m/>
  </r>
  <r>
    <n v="16705386"/>
    <m/>
    <m/>
    <e v="#N/A"/>
    <m/>
    <m/>
    <m/>
    <m/>
    <m/>
    <m/>
    <s v="M"/>
    <x v="2"/>
    <s v="HEREFORD"/>
    <s v="6 años 3 meses"/>
    <s v="20-09-2019"/>
    <s v="Vivo"/>
    <x v="4"/>
    <s v="11.1.01.0893"/>
    <s v="11.1.01.0893"/>
    <s v="SI"/>
    <m/>
  </r>
  <r>
    <n v="16705396"/>
    <m/>
    <m/>
    <e v="#N/A"/>
    <m/>
    <m/>
    <m/>
    <m/>
    <d v="2024-12-22T00:00:00"/>
    <d v="2025-11-05T00:00:00"/>
    <s v="H"/>
    <x v="1"/>
    <s v="ANGUS NEGRO"/>
    <s v="6 años 2 meses"/>
    <s v="20-10-2019"/>
    <s v="Vivo"/>
    <x v="7"/>
    <s v="11.1.01.0190"/>
    <s v="11.1.01.0893"/>
    <s v="SI"/>
    <m/>
  </r>
  <r>
    <n v="16705400"/>
    <m/>
    <m/>
    <e v="#N/A"/>
    <m/>
    <m/>
    <m/>
    <m/>
    <m/>
    <m/>
    <s v="H"/>
    <x v="1"/>
    <s v="ANGUS NEGRO"/>
    <s v="6 años 3 meses"/>
    <s v="30-09-2019"/>
    <s v="Vivo"/>
    <x v="4"/>
    <s v="11.1.01.0893"/>
    <s v="11.1.01.0893"/>
    <s v="SI"/>
    <m/>
  </r>
  <r>
    <n v="16705401"/>
    <m/>
    <m/>
    <e v="#N/A"/>
    <m/>
    <m/>
    <m/>
    <m/>
    <m/>
    <m/>
    <s v="H"/>
    <x v="1"/>
    <s v="ANGUS NEGRO"/>
    <s v="6 años 3 meses"/>
    <s v="30-09-2019"/>
    <s v="Vivo"/>
    <x v="4"/>
    <s v="11.1.01.0893"/>
    <s v="11.1.01.0893"/>
    <s v="SI"/>
    <m/>
  </r>
  <r>
    <n v="16705402"/>
    <m/>
    <m/>
    <e v="#N/A"/>
    <m/>
    <m/>
    <m/>
    <m/>
    <d v="2024-12-22T00:00:00"/>
    <d v="2025-11-05T00:00:00"/>
    <s v="H"/>
    <x v="1"/>
    <s v="ANGUS NEGRO"/>
    <s v="6 años 3 meses"/>
    <s v="20-09-2019"/>
    <s v="Vivo"/>
    <x v="7"/>
    <s v="11.1.01.0190"/>
    <s v="11.1.01.0893"/>
    <s v="SI"/>
    <m/>
  </r>
  <r>
    <n v="16705403"/>
    <m/>
    <m/>
    <e v="#N/A"/>
    <m/>
    <m/>
    <m/>
    <m/>
    <m/>
    <m/>
    <s v="H"/>
    <x v="1"/>
    <s v="ANGUS NEGRO"/>
    <s v="6 años 3 meses"/>
    <s v="30-09-2019"/>
    <s v="Vivo"/>
    <x v="4"/>
    <s v="11.1.01.0893"/>
    <s v="11.1.01.0893"/>
    <s v="SI"/>
    <m/>
  </r>
  <r>
    <n v="16705406"/>
    <m/>
    <m/>
    <e v="#N/A"/>
    <m/>
    <m/>
    <m/>
    <m/>
    <m/>
    <m/>
    <s v="H"/>
    <x v="1"/>
    <s v="ANGUS NEGRO"/>
    <s v="6 años 3 meses"/>
    <s v="20-09-2019"/>
    <s v="Vivo"/>
    <x v="3"/>
    <s v="11.1.01.0893"/>
    <s v="11.1.01.0893"/>
    <s v="SI"/>
    <m/>
  </r>
  <r>
    <n v="16705410"/>
    <m/>
    <m/>
    <e v="#N/A"/>
    <m/>
    <m/>
    <m/>
    <m/>
    <d v="2024-01-06T00:00:00"/>
    <m/>
    <s v="H"/>
    <x v="1"/>
    <s v="ANGUS NEGRO"/>
    <s v="6 años 3 meses"/>
    <s v="10-10-2019"/>
    <s v="Vivo"/>
    <x v="3"/>
    <s v="11.1.01.0893"/>
    <s v="11.1.01.0893"/>
    <s v="SI"/>
    <m/>
  </r>
  <r>
    <n v="16705414"/>
    <m/>
    <m/>
    <e v="#N/A"/>
    <m/>
    <m/>
    <m/>
    <m/>
    <d v="2024-12-22T00:00:00"/>
    <d v="2025-11-04T00:00:00"/>
    <s v="H"/>
    <x v="1"/>
    <s v="ANGUS NEGRO"/>
    <s v="6 años 2 meses"/>
    <s v="30-10-2019"/>
    <s v="Vivo"/>
    <x v="0"/>
    <s v="11.2.01.0038"/>
    <s v="11.1.01.0893"/>
    <s v="SI"/>
    <m/>
  </r>
  <r>
    <n v="16705419"/>
    <m/>
    <m/>
    <e v="#N/A"/>
    <m/>
    <m/>
    <m/>
    <m/>
    <d v="2024-12-22T00:00:00"/>
    <d v="2025-11-05T00:00:00"/>
    <s v="H"/>
    <x v="1"/>
    <s v="ANGUS NEGRO"/>
    <s v="6 años 3 meses"/>
    <s v="20-09-2019"/>
    <s v="Vivo"/>
    <x v="7"/>
    <s v="11.1.01.0190"/>
    <s v="11.1.01.0893"/>
    <s v="SI"/>
    <m/>
  </r>
  <r>
    <n v="16705421"/>
    <m/>
    <m/>
    <e v="#N/A"/>
    <m/>
    <m/>
    <m/>
    <m/>
    <m/>
    <m/>
    <s v="H"/>
    <x v="1"/>
    <s v="ANGUS NEGRO"/>
    <s v="6 años 3 meses"/>
    <s v="30-09-2019"/>
    <s v="Vivo"/>
    <x v="0"/>
    <s v="11.1.01.0791"/>
    <s v="11.1.01.0893"/>
    <s v="SI"/>
    <m/>
  </r>
  <r>
    <n v="16705422"/>
    <m/>
    <m/>
    <e v="#N/A"/>
    <m/>
    <m/>
    <m/>
    <m/>
    <d v="2024-01-06T00:00:00"/>
    <m/>
    <s v="H"/>
    <x v="1"/>
    <s v="ANGUS NEGRO"/>
    <s v="6 años 3 meses"/>
    <s v="30-09-2019"/>
    <s v="Vivo"/>
    <x v="3"/>
    <s v="11.1.01.0893"/>
    <s v="11.1.01.0893"/>
    <s v="SI"/>
    <m/>
  </r>
  <r>
    <n v="16705429"/>
    <m/>
    <m/>
    <e v="#N/A"/>
    <m/>
    <m/>
    <m/>
    <m/>
    <m/>
    <m/>
    <s v="H"/>
    <x v="1"/>
    <s v="ANGUS NEGRO"/>
    <s v="6 años 3 meses"/>
    <s v="20-09-2019"/>
    <s v="Vivo"/>
    <x v="7"/>
    <s v="11.1.01.1241"/>
    <s v="11.1.01.0893"/>
    <s v="SI"/>
    <m/>
  </r>
  <r>
    <n v="16705435"/>
    <m/>
    <m/>
    <e v="#N/A"/>
    <m/>
    <m/>
    <m/>
    <m/>
    <m/>
    <m/>
    <s v="H"/>
    <x v="1"/>
    <s v="ANGUS NEGRO"/>
    <s v="6 años 4 meses"/>
    <s v="15-09-2019"/>
    <s v="Vivo"/>
    <x v="4"/>
    <s v="11.1.01.0893"/>
    <s v="11.1.01.0893"/>
    <s v="SI"/>
    <m/>
  </r>
  <r>
    <n v="16705448"/>
    <m/>
    <m/>
    <e v="#N/A"/>
    <m/>
    <m/>
    <m/>
    <m/>
    <m/>
    <m/>
    <s v="H"/>
    <x v="1"/>
    <s v="ANGUS NEGRO"/>
    <s v="6 años 3 meses"/>
    <s v="30-09-2019"/>
    <s v="Vivo"/>
    <x v="3"/>
    <s v="11.1.01.0893"/>
    <s v="11.1.01.0893"/>
    <s v="SI"/>
    <m/>
  </r>
  <r>
    <n v="16705449"/>
    <m/>
    <m/>
    <e v="#N/A"/>
    <m/>
    <m/>
    <m/>
    <m/>
    <d v="2024-01-06T00:00:00"/>
    <m/>
    <s v="H"/>
    <x v="1"/>
    <s v="ANGUS NEGRO"/>
    <s v="6 años 3 meses"/>
    <s v="10-10-2019"/>
    <s v="Vivo"/>
    <x v="3"/>
    <s v="11.1.01.0893"/>
    <s v="11.1.01.0893"/>
    <s v="SI"/>
    <m/>
  </r>
  <r>
    <n v="16705450"/>
    <m/>
    <m/>
    <e v="#N/A"/>
    <m/>
    <m/>
    <m/>
    <m/>
    <d v="2024-12-22T00:00:00"/>
    <d v="2025-11-05T00:00:00"/>
    <s v="H"/>
    <x v="1"/>
    <s v="ANGUS NEGRO"/>
    <s v="6 años 2 meses"/>
    <s v="30-10-2019"/>
    <s v="Vivo"/>
    <x v="7"/>
    <s v="11.1.01.0190"/>
    <s v="11.1.01.0893"/>
    <s v="SI"/>
    <m/>
  </r>
  <r>
    <n v="16705452"/>
    <m/>
    <m/>
    <e v="#N/A"/>
    <m/>
    <m/>
    <m/>
    <m/>
    <m/>
    <m/>
    <s v="H"/>
    <x v="1"/>
    <s v="ANGUS NEGRO"/>
    <s v="6 años 2 meses"/>
    <s v="30-10-2019"/>
    <s v="Vivo"/>
    <x v="4"/>
    <s v="11.1.01.0893"/>
    <s v="11.1.01.0893"/>
    <s v="SI"/>
    <m/>
  </r>
  <r>
    <n v="16705457"/>
    <m/>
    <m/>
    <e v="#N/A"/>
    <m/>
    <m/>
    <m/>
    <m/>
    <m/>
    <m/>
    <s v="H"/>
    <x v="1"/>
    <s v="ANGUS NEGRO"/>
    <s v="6 años 3 meses"/>
    <s v="15-10-2019"/>
    <s v="Vivo"/>
    <x v="3"/>
    <s v="11.1.01.0893"/>
    <s v="11.1.01.0893"/>
    <s v="SI"/>
    <m/>
  </r>
  <r>
    <n v="16705460"/>
    <m/>
    <m/>
    <e v="#N/A"/>
    <m/>
    <m/>
    <m/>
    <m/>
    <d v="2024-12-22T00:00:00"/>
    <d v="2025-01-14T00:00:00"/>
    <s v="H"/>
    <x v="1"/>
    <s v="ANGUS NEGRO"/>
    <s v="6 años 3 meses"/>
    <s v="30-09-2019"/>
    <s v="Vivo"/>
    <x v="0"/>
    <s v="11.2.01.0038"/>
    <s v="11.1.01.0893"/>
    <s v="SI"/>
    <m/>
  </r>
  <r>
    <n v="16705470"/>
    <m/>
    <m/>
    <e v="#N/A"/>
    <m/>
    <m/>
    <m/>
    <m/>
    <m/>
    <m/>
    <s v="H"/>
    <x v="1"/>
    <s v="ANGUS NEGRO"/>
    <s v="6 años 3 meses"/>
    <s v="20-09-2019"/>
    <s v="Vivo"/>
    <x v="4"/>
    <s v="11.1.01.0893"/>
    <s v="11.1.01.0893"/>
    <s v="SI"/>
    <m/>
  </r>
  <r>
    <n v="16705478"/>
    <m/>
    <m/>
    <e v="#N/A"/>
    <m/>
    <m/>
    <m/>
    <m/>
    <m/>
    <m/>
    <s v="H"/>
    <x v="1"/>
    <s v="ANGUS NEGRO"/>
    <s v="6 años 2 meses"/>
    <s v="30-10-2019"/>
    <s v="Vivo"/>
    <x v="0"/>
    <s v="11.1.01.0791"/>
    <s v="11.1.01.0893"/>
    <s v="SI"/>
    <m/>
  </r>
  <r>
    <n v="16705486"/>
    <m/>
    <m/>
    <e v="#N/A"/>
    <m/>
    <m/>
    <m/>
    <m/>
    <m/>
    <m/>
    <s v="H"/>
    <x v="1"/>
    <s v="ANGUS NEGRO"/>
    <s v="6 años 3 meses"/>
    <s v="20-09-2019"/>
    <s v="Vivo"/>
    <x v="4"/>
    <s v="11.1.01.0893"/>
    <s v="11.1.01.0893"/>
    <s v="SI"/>
    <m/>
  </r>
  <r>
    <n v="16705493"/>
    <m/>
    <m/>
    <e v="#N/A"/>
    <m/>
    <m/>
    <m/>
    <m/>
    <m/>
    <m/>
    <s v="H"/>
    <x v="1"/>
    <s v="ANGUS NEGRO"/>
    <s v="6 años 3 meses"/>
    <s v="25-09-2019"/>
    <s v="Vivo"/>
    <x v="3"/>
    <s v="11.1.01.0893"/>
    <s v="11.1.01.0893"/>
    <s v="SI"/>
    <m/>
  </r>
  <r>
    <n v="16705495"/>
    <m/>
    <m/>
    <e v="#N/A"/>
    <m/>
    <m/>
    <m/>
    <m/>
    <d v="2024-12-22T00:00:00"/>
    <d v="2025-01-14T00:00:00"/>
    <s v="H"/>
    <x v="1"/>
    <s v="ANGUS NEGRO"/>
    <s v="6 años 3 meses"/>
    <s v="30-09-2019"/>
    <s v="Vivo"/>
    <x v="0"/>
    <s v="11.2.01.0038"/>
    <s v="11.1.01.0893"/>
    <s v="SI"/>
    <m/>
  </r>
  <r>
    <n v="16705497"/>
    <m/>
    <m/>
    <e v="#N/A"/>
    <m/>
    <m/>
    <m/>
    <m/>
    <d v="2024-12-22T00:00:00"/>
    <d v="2025-01-14T00:00:00"/>
    <s v="H"/>
    <x v="1"/>
    <s v="ANGUS NEGRO"/>
    <s v="6 años 3 meses"/>
    <s v="05-10-2019"/>
    <s v="Vivo"/>
    <x v="0"/>
    <s v="11.1.01.0791"/>
    <s v="11.1.01.0893"/>
    <s v="SI"/>
    <m/>
  </r>
  <r>
    <n v="16705508"/>
    <m/>
    <m/>
    <e v="#N/A"/>
    <d v="2020-10-29T00:00:00"/>
    <d v="2021-11-04T00:00:00"/>
    <d v="2022-11-18T00:00:00"/>
    <d v="2023-06-13T00:00:00"/>
    <m/>
    <m/>
    <s v="H"/>
    <x v="1"/>
    <s v="ANGUS NEGRO"/>
    <s v="6 años 3 meses"/>
    <s v="30-09-2019"/>
    <s v="Vivo"/>
    <x v="0"/>
    <s v="11.1.01.0791"/>
    <s v="11.1.01.0893"/>
    <s v="SI"/>
    <m/>
  </r>
  <r>
    <n v="16705510"/>
    <m/>
    <m/>
    <e v="#N/A"/>
    <m/>
    <m/>
    <m/>
    <m/>
    <m/>
    <m/>
    <s v="H"/>
    <x v="1"/>
    <s v="ANGUS NEGRO"/>
    <s v="6 años 3 meses"/>
    <s v="30-09-2019"/>
    <s v="Vivo"/>
    <x v="4"/>
    <s v="11.1.01.0893"/>
    <s v="11.1.01.0893"/>
    <s v="SI"/>
    <m/>
  </r>
  <r>
    <n v="16705511"/>
    <m/>
    <m/>
    <e v="#N/A"/>
    <d v="2020-10-30T00:00:00"/>
    <d v="2021-06-03T00:00:00"/>
    <d v="2022-11-03T00:00:00"/>
    <d v="2023-11-24T00:00:00"/>
    <d v="2024-01-06T00:00:00"/>
    <m/>
    <s v="H"/>
    <x v="1"/>
    <s v="ANGUS NEGRO"/>
    <s v="6 años 3 meses"/>
    <s v="05-10-2019"/>
    <s v="Vivo"/>
    <x v="4"/>
    <s v="11.1.01.0893"/>
    <s v="11.1.01.0893"/>
    <s v="SI"/>
    <m/>
  </r>
  <r>
    <n v="16705530"/>
    <m/>
    <m/>
    <e v="#N/A"/>
    <m/>
    <m/>
    <m/>
    <m/>
    <m/>
    <m/>
    <s v="H"/>
    <x v="1"/>
    <s v="ANGUS NEGRO"/>
    <s v="6 años 2 meses"/>
    <s v="05-11-2019"/>
    <s v="Vivo"/>
    <x v="7"/>
    <s v="11.1.01.0893"/>
    <s v="11.1.01.0893"/>
    <s v="SI"/>
    <m/>
  </r>
  <r>
    <n v="16705534"/>
    <m/>
    <m/>
    <e v="#N/A"/>
    <m/>
    <m/>
    <m/>
    <m/>
    <m/>
    <m/>
    <s v="H"/>
    <x v="1"/>
    <s v="ANGUS NEGRO"/>
    <s v="6 años 2 meses"/>
    <s v="30-10-2019"/>
    <s v="Vivo"/>
    <x v="0"/>
    <s v="11.1.01.0791"/>
    <s v="11.1.01.0893"/>
    <s v="SI"/>
    <m/>
  </r>
  <r>
    <n v="16705535"/>
    <m/>
    <m/>
    <e v="#N/A"/>
    <m/>
    <m/>
    <m/>
    <m/>
    <m/>
    <m/>
    <s v="H"/>
    <x v="1"/>
    <s v="ANGUS NEGRO"/>
    <s v="6 años 2 meses"/>
    <s v="25-10-2019"/>
    <s v="Vivo"/>
    <x v="0"/>
    <s v="11.1.01.0791"/>
    <s v="11.1.01.0893"/>
    <s v="SI"/>
    <m/>
  </r>
  <r>
    <n v="16705537"/>
    <m/>
    <m/>
    <e v="#N/A"/>
    <m/>
    <d v="2021-07-20T00:00:00"/>
    <m/>
    <d v="2023-12-04T00:00:00"/>
    <d v="2024-12-22T00:00:00"/>
    <d v="2025-01-14T00:00:00"/>
    <s v="H"/>
    <x v="1"/>
    <s v="ANGUS NEGRO"/>
    <s v="6 años 3 meses"/>
    <s v="25-09-2019"/>
    <s v="Vivo"/>
    <x v="0"/>
    <s v="11.1.01.0791"/>
    <s v="11.1.01.0893"/>
    <s v="SI"/>
    <m/>
  </r>
  <r>
    <n v="16705539"/>
    <m/>
    <m/>
    <e v="#N/A"/>
    <m/>
    <d v="2021-07-20T00:00:00"/>
    <d v="2022-12-13T00:00:00"/>
    <m/>
    <d v="2024-05-20T00:00:00"/>
    <d v="2025-01-14T00:00:00"/>
    <s v="H"/>
    <x v="1"/>
    <s v="ANGUS NEGRO"/>
    <s v="6 años 3 meses"/>
    <s v="20-09-2019"/>
    <s v="Vivo"/>
    <x v="7"/>
    <s v="11.1.01.0190"/>
    <s v="11.1.01.0893"/>
    <s v="SI"/>
    <m/>
  </r>
  <r>
    <n v="16705543"/>
    <m/>
    <m/>
    <e v="#N/A"/>
    <d v="2020-11-09T00:00:00"/>
    <m/>
    <d v="2022-11-03T00:00:00"/>
    <d v="2023-11-23T00:00:00"/>
    <d v="2024-12-22T00:00:00"/>
    <d v="2025-11-05T00:00:00"/>
    <s v="H"/>
    <x v="1"/>
    <s v="ANGUS NEGRO"/>
    <s v="6 años 3 meses"/>
    <s v="30-09-2019"/>
    <s v="Vivo"/>
    <x v="7"/>
    <s v="11.1.01.0190"/>
    <s v="11.1.01.0893"/>
    <s v="SI"/>
    <m/>
  </r>
  <r>
    <n v="16705545"/>
    <m/>
    <m/>
    <e v="#N/A"/>
    <d v="2020-10-30T00:00:00"/>
    <d v="2021-06-03T00:00:00"/>
    <d v="2022-11-28T00:00:00"/>
    <d v="2023-11-28T00:00:00"/>
    <m/>
    <m/>
    <s v="H"/>
    <x v="1"/>
    <s v="ANGUS ROJO"/>
    <s v="6 años 3 meses"/>
    <s v="30-09-2019"/>
    <s v="Vivo"/>
    <x v="0"/>
    <s v="11.2.01.0053"/>
    <s v="11.1.01.0893"/>
    <s v="SI"/>
    <m/>
  </r>
  <r>
    <n v="16705549"/>
    <m/>
    <m/>
    <e v="#N/A"/>
    <d v="2020-06-01T00:00:00"/>
    <d v="2021-10-22T00:00:00"/>
    <d v="2022-11-28T00:00:00"/>
    <d v="2023-11-24T00:00:00"/>
    <m/>
    <m/>
    <s v="H"/>
    <x v="1"/>
    <s v="ANGUS ROJO"/>
    <s v="6 años 3 meses"/>
    <s v="30-09-2019"/>
    <s v="Vivo"/>
    <x v="3"/>
    <s v="11.1.01.0893"/>
    <s v="11.1.01.0893"/>
    <s v="SI"/>
    <m/>
  </r>
  <r>
    <n v="16705551"/>
    <m/>
    <m/>
    <e v="#N/A"/>
    <m/>
    <m/>
    <m/>
    <m/>
    <d v="2024-01-06T00:00:00"/>
    <m/>
    <s v="H"/>
    <x v="1"/>
    <s v="ANGUS NEGRO"/>
    <s v="6 años 2 meses"/>
    <s v="30-10-2019"/>
    <s v="Vivo"/>
    <x v="4"/>
    <s v="11.1.01.0893"/>
    <s v="11.1.01.0893"/>
    <s v="SI"/>
    <m/>
  </r>
  <r>
    <n v="16705555"/>
    <m/>
    <m/>
    <e v="#N/A"/>
    <m/>
    <m/>
    <m/>
    <m/>
    <d v="2024-12-22T00:00:00"/>
    <d v="2025-11-04T00:00:00"/>
    <s v="H"/>
    <x v="1"/>
    <s v="ANGUS ROJO"/>
    <s v="6 años 3 meses"/>
    <s v="30-09-2019"/>
    <s v="Vivo"/>
    <x v="0"/>
    <s v="11.2.01.0038"/>
    <s v="11.1.01.0893"/>
    <s v="SI"/>
    <m/>
  </r>
  <r>
    <n v="16705564"/>
    <m/>
    <m/>
    <e v="#N/A"/>
    <m/>
    <d v="2021-10-20T00:00:00"/>
    <d v="2022-12-13T00:00:00"/>
    <d v="2023-11-23T00:00:00"/>
    <d v="2024-12-22T00:00:00"/>
    <d v="2025-11-04T00:00:00"/>
    <s v="H"/>
    <x v="1"/>
    <s v="ANGUS NEGRO"/>
    <s v="6 años 3 meses"/>
    <s v="05-10-2019"/>
    <s v="Vivo"/>
    <x v="0"/>
    <s v="11.2.01.0038"/>
    <s v="11.1.01.0893"/>
    <s v="SI"/>
    <m/>
  </r>
  <r>
    <n v="16705565"/>
    <m/>
    <m/>
    <e v="#N/A"/>
    <m/>
    <d v="2021-10-20T00:00:00"/>
    <d v="2022-12-13T00:00:00"/>
    <d v="2023-12-05T00:00:00"/>
    <d v="2024-12-22T00:00:00"/>
    <d v="2025-11-05T00:00:00"/>
    <s v="H"/>
    <x v="1"/>
    <s v="ANGUS NEGRO"/>
    <s v="6 años 3 meses"/>
    <s v="05-10-2019"/>
    <s v="Vivo"/>
    <x v="7"/>
    <s v="11.1.01.0190"/>
    <s v="11.1.01.0893"/>
    <s v="SI"/>
    <m/>
  </r>
  <r>
    <n v="16705568"/>
    <m/>
    <m/>
    <e v="#N/A"/>
    <m/>
    <m/>
    <m/>
    <m/>
    <m/>
    <m/>
    <s v="H"/>
    <x v="1"/>
    <s v="ANGUS NEGRO"/>
    <s v="6 años 3 meses"/>
    <s v="05-10-2019"/>
    <s v="Vivo"/>
    <x v="4"/>
    <s v="11.1.01.0893"/>
    <s v="11.1.01.0893"/>
    <s v="SI"/>
    <m/>
  </r>
  <r>
    <n v="16705576"/>
    <m/>
    <m/>
    <e v="#N/A"/>
    <m/>
    <m/>
    <m/>
    <m/>
    <d v="2024-12-22T00:00:00"/>
    <d v="2025-01-14T00:00:00"/>
    <s v="H"/>
    <x v="1"/>
    <s v="ANGUS NEGRO"/>
    <s v="6 años 2 meses"/>
    <s v="20-10-2019"/>
    <s v="Vivo"/>
    <x v="0"/>
    <s v="11.2.01.0038"/>
    <s v="11.1.01.0893"/>
    <s v="SI"/>
    <m/>
  </r>
  <r>
    <n v="16705585"/>
    <m/>
    <m/>
    <e v="#N/A"/>
    <m/>
    <m/>
    <m/>
    <m/>
    <m/>
    <m/>
    <s v="H"/>
    <x v="1"/>
    <s v="ANGUS NEGRO"/>
    <s v="6 años 3 meses"/>
    <s v="30-09-2019"/>
    <s v="Vivo"/>
    <x v="0"/>
    <s v="11.1.01.0791"/>
    <s v="11.1.01.0893"/>
    <s v="SI"/>
    <m/>
  </r>
  <r>
    <n v="16705610"/>
    <m/>
    <m/>
    <e v="#N/A"/>
    <m/>
    <m/>
    <m/>
    <m/>
    <m/>
    <m/>
    <s v="M"/>
    <x v="2"/>
    <s v="ANGUS NEGRO"/>
    <s v="6 años 3 meses"/>
    <s v="20-09-2019"/>
    <s v="Vivo"/>
    <x v="0"/>
    <s v="Sin Movimiento"/>
    <s v="11.1.01.1241"/>
    <s v="SI"/>
    <m/>
  </r>
  <r>
    <n v="16705617"/>
    <m/>
    <m/>
    <e v="#N/A"/>
    <m/>
    <m/>
    <m/>
    <m/>
    <m/>
    <m/>
    <s v="H"/>
    <x v="1"/>
    <s v="ANGUS NEGRO"/>
    <s v="6 años 2 meses"/>
    <s v="25-10-2019"/>
    <s v="Vivo"/>
    <x v="4"/>
    <s v="11.1.01.0893"/>
    <s v="11.1.01.1241"/>
    <s v="SI"/>
    <m/>
  </r>
  <r>
    <n v="16705620"/>
    <m/>
    <m/>
    <e v="#N/A"/>
    <m/>
    <m/>
    <m/>
    <m/>
    <d v="2024-12-22T00:00:00"/>
    <d v="2025-01-14T00:00:00"/>
    <s v="H"/>
    <x v="1"/>
    <s v="ANGUS NEGRO"/>
    <s v="6 años 3 meses"/>
    <s v="30-09-2019"/>
    <s v="Vivo"/>
    <x v="0"/>
    <s v="11.2.01.0038"/>
    <s v="11.1.01.1241"/>
    <s v="SI"/>
    <m/>
  </r>
  <r>
    <n v="16705623"/>
    <m/>
    <m/>
    <e v="#N/A"/>
    <m/>
    <m/>
    <m/>
    <m/>
    <m/>
    <m/>
    <s v="H"/>
    <x v="1"/>
    <s v="ANGUS NEGRO"/>
    <s v="6 años 2 meses"/>
    <s v="15-11-2019"/>
    <s v="Vivo"/>
    <x v="2"/>
    <s v="11.1.01.1241"/>
    <s v="11.1.01.1241"/>
    <s v="SI"/>
    <m/>
  </r>
  <r>
    <n v="16705647"/>
    <m/>
    <m/>
    <e v="#N/A"/>
    <m/>
    <m/>
    <m/>
    <m/>
    <m/>
    <m/>
    <s v="H"/>
    <x v="1"/>
    <s v="ANGUS NEGRO"/>
    <s v="6 años 3 meses"/>
    <s v="10-10-2019"/>
    <s v="Vivo"/>
    <x v="3"/>
    <s v="11.1.01.0893"/>
    <s v="11.1.01.1241"/>
    <s v="SI"/>
    <m/>
  </r>
  <r>
    <n v="16705653"/>
    <m/>
    <m/>
    <e v="#N/A"/>
    <m/>
    <m/>
    <m/>
    <m/>
    <m/>
    <m/>
    <s v="H"/>
    <x v="1"/>
    <s v="ANGUS NEGRO"/>
    <s v="6 años 2 meses"/>
    <s v="30-10-2019"/>
    <s v="Vivo"/>
    <x v="0"/>
    <s v="Sin Movimiento"/>
    <s v="11.1.01.1241"/>
    <s v="SI"/>
    <m/>
  </r>
  <r>
    <n v="16705654"/>
    <m/>
    <m/>
    <e v="#N/A"/>
    <m/>
    <m/>
    <m/>
    <m/>
    <m/>
    <m/>
    <s v="H"/>
    <x v="1"/>
    <s v="ANGUS NEGRO"/>
    <s v="6 años 2 meses"/>
    <s v="30-10-2019"/>
    <s v="Vivo"/>
    <x v="0"/>
    <s v="11.1.01.0791"/>
    <s v="11.1.01.1241"/>
    <s v="SI"/>
    <m/>
  </r>
  <r>
    <n v="16705658"/>
    <m/>
    <m/>
    <e v="#N/A"/>
    <m/>
    <m/>
    <m/>
    <m/>
    <m/>
    <m/>
    <s v="H"/>
    <x v="1"/>
    <s v="ANGUS NEGRO"/>
    <s v="6 años 3 meses"/>
    <s v="30-09-2019"/>
    <s v="Vivo"/>
    <x v="7"/>
    <s v="11.1.01.0893"/>
    <s v="11.2.01.0038"/>
    <s v="SI"/>
    <m/>
  </r>
  <r>
    <n v="16705665"/>
    <m/>
    <m/>
    <e v="#N/A"/>
    <m/>
    <m/>
    <m/>
    <m/>
    <m/>
    <m/>
    <s v="H"/>
    <x v="1"/>
    <s v="HEREFORD"/>
    <s v="6 años 3 meses"/>
    <s v="30-09-2019"/>
    <s v="Vivo"/>
    <x v="1"/>
    <s v="11.2.01.0053"/>
    <s v="11.2.01.0038"/>
    <s v="SI"/>
    <m/>
  </r>
  <r>
    <n v="16705675"/>
    <m/>
    <m/>
    <e v="#N/A"/>
    <m/>
    <m/>
    <m/>
    <m/>
    <d v="2024-12-22T00:00:00"/>
    <d v="2025-01-14T00:00:00"/>
    <s v="H"/>
    <x v="1"/>
    <s v="ANGUS NEGRO"/>
    <s v="6 años 2 meses"/>
    <s v="20-10-2019"/>
    <s v="Vivo"/>
    <x v="0"/>
    <s v="11.2.01.0038"/>
    <s v="11.2.01.0038"/>
    <s v="SI"/>
    <m/>
  </r>
  <r>
    <n v="16705676"/>
    <m/>
    <m/>
    <e v="#N/A"/>
    <m/>
    <m/>
    <m/>
    <m/>
    <m/>
    <m/>
    <s v="H"/>
    <x v="1"/>
    <s v="ANGUS NEGRO"/>
    <s v="6 años 3 meses"/>
    <s v="30-09-2019"/>
    <s v="Vivo"/>
    <x v="3"/>
    <s v="11.1.01.0893"/>
    <s v="11.2.01.0038"/>
    <s v="SI"/>
    <m/>
  </r>
  <r>
    <n v="16705697"/>
    <m/>
    <m/>
    <e v="#N/A"/>
    <m/>
    <m/>
    <m/>
    <m/>
    <m/>
    <m/>
    <s v="H"/>
    <x v="1"/>
    <s v="ANGUS NEGRO"/>
    <s v="9 años 3 meses"/>
    <s v="10-10-2016"/>
    <s v="Vivo"/>
    <x v="0"/>
    <s v="11.2.01.0038"/>
    <s v="11.1.01.0791"/>
    <s v="SI"/>
    <m/>
  </r>
  <r>
    <n v="16705699"/>
    <m/>
    <m/>
    <e v="#N/A"/>
    <m/>
    <m/>
    <m/>
    <m/>
    <d v="2024-12-22T00:00:00"/>
    <d v="2025-01-14T00:00:00"/>
    <s v="H"/>
    <x v="1"/>
    <s v="ANGUS NEGRO"/>
    <s v="9 años 3 meses"/>
    <s v="10-10-2016"/>
    <s v="Vivo"/>
    <x v="8"/>
    <s v="11.1.01.1241"/>
    <s v="11.1.01.0791"/>
    <s v="SI"/>
    <m/>
  </r>
  <r>
    <n v="16705705"/>
    <m/>
    <m/>
    <e v="#N/A"/>
    <m/>
    <m/>
    <m/>
    <m/>
    <m/>
    <d v="2025-01-14T00:00:00"/>
    <s v="H"/>
    <x v="1"/>
    <s v="ANGUS NEGRO"/>
    <s v="16 años 3 meses"/>
    <s v="30-09-2009"/>
    <s v="Vivo"/>
    <x v="0"/>
    <s v="11.2.01.0038"/>
    <s v="11.1.01.1241"/>
    <s v="SI"/>
    <m/>
  </r>
  <r>
    <n v="16705710"/>
    <m/>
    <m/>
    <e v="#N/A"/>
    <m/>
    <m/>
    <m/>
    <m/>
    <m/>
    <m/>
    <s v="H"/>
    <x v="1"/>
    <s v="ANGUS NEGRO"/>
    <s v="8 años 4 meses"/>
    <s v="30-08-2017"/>
    <s v="Vivo"/>
    <x v="0"/>
    <s v="11.2.01.0038"/>
    <s v="11.1.01.1241"/>
    <s v="SI"/>
    <m/>
  </r>
  <r>
    <n v="16705711"/>
    <m/>
    <m/>
    <e v="#N/A"/>
    <m/>
    <m/>
    <m/>
    <m/>
    <d v="2024-12-22T00:00:00"/>
    <d v="2025-01-14T00:00:00"/>
    <s v="H"/>
    <x v="1"/>
    <s v="ANGUS NEGRO"/>
    <s v="8 años 3 meses"/>
    <s v="30-09-2017"/>
    <s v="Vivo"/>
    <x v="0"/>
    <s v="11.2.01.0038"/>
    <s v="11.2.01.2071"/>
    <s v="SI"/>
    <m/>
  </r>
  <r>
    <n v="16705714"/>
    <m/>
    <m/>
    <e v="#N/A"/>
    <m/>
    <m/>
    <m/>
    <m/>
    <d v="2024-05-18T00:00:00"/>
    <d v="2025-11-05T00:00:00"/>
    <s v="H"/>
    <x v="1"/>
    <s v="ANGUS NEGRO"/>
    <s v="14 años 2 meses"/>
    <s v="30-10-2011"/>
    <s v="Vivo"/>
    <x v="6"/>
    <s v="11.1.01.1241"/>
    <s v="11.1.01.0790"/>
    <s v="SI"/>
    <m/>
  </r>
  <r>
    <n v="16705715"/>
    <m/>
    <m/>
    <e v="#N/A"/>
    <m/>
    <m/>
    <m/>
    <m/>
    <m/>
    <m/>
    <s v="H"/>
    <x v="1"/>
    <s v="ANGUS NEGRO"/>
    <s v="16 años 3 meses"/>
    <s v="30-09-2009"/>
    <s v="Vivo"/>
    <x v="4"/>
    <s v="11.1.01.0893"/>
    <s v="11.1.01.1241"/>
    <s v="SI"/>
    <m/>
  </r>
  <r>
    <n v="16705719"/>
    <m/>
    <m/>
    <e v="#N/A"/>
    <m/>
    <m/>
    <m/>
    <m/>
    <m/>
    <m/>
    <s v="H"/>
    <x v="1"/>
    <s v="ANGUS NEGRO"/>
    <s v="14 años 1 meses"/>
    <s v="30-11-2011"/>
    <s v="Vivo"/>
    <x v="0"/>
    <s v="11.2.01.0038"/>
    <s v="11.1.01.1241"/>
    <s v="SI"/>
    <m/>
  </r>
  <r>
    <n v="16705721"/>
    <m/>
    <m/>
    <e v="#N/A"/>
    <m/>
    <m/>
    <m/>
    <m/>
    <m/>
    <m/>
    <s v="H"/>
    <x v="1"/>
    <s v="ANGUS NEGRO"/>
    <s v="13 años 3 meses"/>
    <s v="15-10-2012"/>
    <s v="Vivo"/>
    <x v="3"/>
    <s v="11.1.01.0893"/>
    <s v="11.1.01.1162"/>
    <s v="SI"/>
    <m/>
  </r>
  <r>
    <n v="16705722"/>
    <m/>
    <m/>
    <e v="#N/A"/>
    <m/>
    <m/>
    <m/>
    <m/>
    <m/>
    <m/>
    <s v="H"/>
    <x v="1"/>
    <s v="ANGUS NEGRO"/>
    <s v="8 años 3 meses"/>
    <s v="06-10-2017"/>
    <s v="Vivo"/>
    <x v="0"/>
    <s v="11.1.01.1022"/>
    <s v="11.1.01.0893"/>
    <s v="SI"/>
    <m/>
  </r>
  <r>
    <n v="16705727"/>
    <m/>
    <m/>
    <e v="#N/A"/>
    <m/>
    <m/>
    <m/>
    <m/>
    <d v="2024-12-22T00:00:00"/>
    <d v="2025-01-14T00:00:00"/>
    <s v="H"/>
    <x v="1"/>
    <s v="ANGUS NEGRO"/>
    <s v="13 años 3 meses"/>
    <s v="30-09-2012"/>
    <s v="Vivo"/>
    <x v="0"/>
    <s v="11.2.01.0038"/>
    <s v="11.1.01.1241"/>
    <s v="SI"/>
    <m/>
  </r>
  <r>
    <n v="16705731"/>
    <m/>
    <m/>
    <e v="#N/A"/>
    <m/>
    <m/>
    <m/>
    <m/>
    <d v="2024-05-20T00:00:00"/>
    <d v="2025-11-05T00:00:00"/>
    <s v="H"/>
    <x v="1"/>
    <s v="HEREFORD"/>
    <s v="12 años 2 meses"/>
    <s v="20-10-2013"/>
    <s v="Vivo"/>
    <x v="0"/>
    <s v="11.2.01.0038"/>
    <s v="11.1.01.1081"/>
    <s v="SI"/>
    <m/>
  </r>
  <r>
    <n v="16705737"/>
    <m/>
    <m/>
    <e v="#N/A"/>
    <m/>
    <m/>
    <m/>
    <m/>
    <d v="2024-11-26T00:00:00"/>
    <d v="2025-01-14T00:00:00"/>
    <s v="H"/>
    <x v="1"/>
    <s v="ANGUS NEGRO"/>
    <s v="14 años 3 meses"/>
    <s v="30-09-2011"/>
    <s v="Vivo"/>
    <x v="0"/>
    <s v="11.2.01.0038"/>
    <s v="11.1.01.0790"/>
    <s v="SI"/>
    <m/>
  </r>
  <r>
    <n v="16705739"/>
    <m/>
    <m/>
    <e v="#N/A"/>
    <m/>
    <m/>
    <m/>
    <m/>
    <m/>
    <m/>
    <s v="H"/>
    <x v="1"/>
    <s v="ANGUS NEGRO"/>
    <s v="12 años 11 meses"/>
    <s v="30-01-2013"/>
    <s v="Vivo"/>
    <x v="0"/>
    <s v="11.2.01.0038"/>
    <s v="11.1.01.1240"/>
    <s v="SI"/>
    <m/>
  </r>
  <r>
    <n v="16705742"/>
    <m/>
    <m/>
    <e v="#N/A"/>
    <m/>
    <m/>
    <m/>
    <m/>
    <m/>
    <m/>
    <s v="H"/>
    <x v="1"/>
    <s v="ANGUS NEGRO"/>
    <s v="15 años 3 meses"/>
    <s v="30-09-2010"/>
    <s v="Vivo"/>
    <x v="9"/>
    <s v="11.1.02.0004"/>
    <s v="11.1.01.1241"/>
    <s v="SI"/>
    <m/>
  </r>
  <r>
    <n v="16705744"/>
    <m/>
    <m/>
    <e v="#N/A"/>
    <m/>
    <m/>
    <m/>
    <m/>
    <m/>
    <m/>
    <s v="H"/>
    <x v="1"/>
    <s v="ANGUS NEGRO"/>
    <s v="9 años 3 meses"/>
    <s v="10-10-2016"/>
    <s v="Vivo"/>
    <x v="0"/>
    <s v="11.2.01.0038"/>
    <s v="11.1.01.1241"/>
    <s v="SI"/>
    <m/>
  </r>
  <r>
    <n v="16705746"/>
    <m/>
    <m/>
    <e v="#N/A"/>
    <m/>
    <m/>
    <m/>
    <m/>
    <m/>
    <m/>
    <s v="H"/>
    <x v="1"/>
    <s v="ANGUS NEGRO"/>
    <s v="12 años 11 meses"/>
    <s v="30-01-2013"/>
    <s v="Vivo"/>
    <x v="0"/>
    <s v="11.2.01.0038"/>
    <s v="11.1.01.1240"/>
    <s v="SI"/>
    <m/>
  </r>
  <r>
    <n v="16705747"/>
    <m/>
    <m/>
    <e v="#N/A"/>
    <m/>
    <m/>
    <m/>
    <m/>
    <d v="2024-01-06T00:00:00"/>
    <m/>
    <s v="H"/>
    <x v="1"/>
    <s v="ANGUS NEGRO"/>
    <s v="11 años 3 meses"/>
    <s v="30-09-2014"/>
    <s v="Vivo"/>
    <x v="4"/>
    <s v="11.1.01.0893"/>
    <s v="11.1.01.2304"/>
    <s v="SI"/>
    <m/>
  </r>
  <r>
    <n v="16705749"/>
    <m/>
    <m/>
    <e v="#N/A"/>
    <m/>
    <m/>
    <m/>
    <m/>
    <d v="2024-05-18T00:00:00"/>
    <m/>
    <s v="H"/>
    <x v="1"/>
    <s v="ANGUS NEGRO"/>
    <s v="12 años 3 meses"/>
    <s v="15-10-2013"/>
    <s v="Vivo"/>
    <x v="6"/>
    <s v="11.1.01.1241"/>
    <s v="11.1.01.0790"/>
    <s v="SI"/>
    <m/>
  </r>
  <r>
    <n v="16705750"/>
    <m/>
    <m/>
    <e v="#N/A"/>
    <m/>
    <m/>
    <m/>
    <m/>
    <m/>
    <m/>
    <s v="H"/>
    <x v="1"/>
    <s v="ANGUS NEGRO"/>
    <s v="14 años 0 meses"/>
    <s v="15-01-2012"/>
    <s v="Vivo"/>
    <x v="0"/>
    <s v="11.2.01.0038"/>
    <s v="11.1.01.1241"/>
    <s v="SI"/>
    <m/>
  </r>
  <r>
    <n v="16705753"/>
    <m/>
    <m/>
    <e v="#N/A"/>
    <m/>
    <m/>
    <m/>
    <m/>
    <m/>
    <m/>
    <s v="H"/>
    <x v="1"/>
    <s v="ANGUS NEGRO"/>
    <s v="9 años 3 meses"/>
    <s v="15-10-2016"/>
    <s v="Vivo"/>
    <x v="3"/>
    <s v="11.1.01.0893"/>
    <s v="11.1.01.1241"/>
    <s v="SI"/>
    <m/>
  </r>
  <r>
    <n v="16705755"/>
    <m/>
    <m/>
    <e v="#N/A"/>
    <m/>
    <m/>
    <m/>
    <m/>
    <d v="2024-12-22T00:00:00"/>
    <d v="2025-11-05T00:00:00"/>
    <s v="H"/>
    <x v="1"/>
    <s v="ANGUS NEGRO"/>
    <s v="11 años 4 meses"/>
    <s v="30-08-2014"/>
    <s v="Vivo"/>
    <x v="7"/>
    <s v="11.1.01.0190"/>
    <s v="11.1.01.2304"/>
    <s v="SI"/>
    <m/>
  </r>
  <r>
    <n v="16705757"/>
    <m/>
    <m/>
    <e v="#N/A"/>
    <m/>
    <m/>
    <m/>
    <m/>
    <m/>
    <m/>
    <s v="H"/>
    <x v="1"/>
    <s v="ANGUS NEGRO"/>
    <s v="14 años 3 meses"/>
    <s v="15-10-2011"/>
    <s v="Vivo"/>
    <x v="7"/>
    <s v="11.1.01.1241"/>
    <s v="11.1.01.1241"/>
    <s v="SI"/>
    <m/>
  </r>
  <r>
    <n v="16705760"/>
    <m/>
    <m/>
    <e v="#N/A"/>
    <m/>
    <m/>
    <m/>
    <m/>
    <d v="2024-05-18T00:00:00"/>
    <d v="2025-01-14T00:00:00"/>
    <s v="H"/>
    <x v="1"/>
    <s v="HEREFORD"/>
    <s v="13 años 1 meses"/>
    <s v="30-11-2012"/>
    <s v="Vivo"/>
    <x v="6"/>
    <s v="11.1.01.1241"/>
    <s v="11.1.01.0789"/>
    <s v="SI"/>
    <m/>
  </r>
  <r>
    <n v="16705761"/>
    <m/>
    <m/>
    <e v="#N/A"/>
    <m/>
    <m/>
    <m/>
    <m/>
    <m/>
    <m/>
    <s v="H"/>
    <x v="1"/>
    <s v="ANGUS ROJO"/>
    <s v="13 años 2 meses"/>
    <s v="30-10-2012"/>
    <s v="Vivo"/>
    <x v="3"/>
    <s v="11.1.01.1241"/>
    <s v="11.1.01.1241"/>
    <s v="SI"/>
    <m/>
  </r>
  <r>
    <n v="16705763"/>
    <m/>
    <m/>
    <e v="#N/A"/>
    <m/>
    <m/>
    <m/>
    <m/>
    <m/>
    <m/>
    <s v="H"/>
    <x v="1"/>
    <s v="ANGUS NEGRO"/>
    <s v="14 años 0 meses"/>
    <s v="15-01-2012"/>
    <s v="Vivo"/>
    <x v="0"/>
    <s v="11.2.01.0038"/>
    <s v="11.1.01.1241"/>
    <s v="SI"/>
    <m/>
  </r>
  <r>
    <n v="16705764"/>
    <m/>
    <m/>
    <e v="#N/A"/>
    <m/>
    <m/>
    <m/>
    <m/>
    <m/>
    <m/>
    <s v="H"/>
    <x v="1"/>
    <s v="ANGUS NEGRO"/>
    <s v="14 años 3 meses"/>
    <s v="30-09-2011"/>
    <s v="Vivo"/>
    <x v="0"/>
    <s v="11.2.01.0053"/>
    <s v="11.1.01.0790"/>
    <s v="SI"/>
    <m/>
  </r>
  <r>
    <n v="16705775"/>
    <m/>
    <m/>
    <e v="#N/A"/>
    <m/>
    <m/>
    <m/>
    <m/>
    <d v="2024-12-22T00:00:00"/>
    <d v="2025-01-14T00:00:00"/>
    <s v="H"/>
    <x v="1"/>
    <s v="ANGUS ROJO"/>
    <s v="12 años 3 meses"/>
    <s v="15-10-2013"/>
    <s v="Vivo"/>
    <x v="0"/>
    <s v="11.2.01.0038"/>
    <s v="11.2.01.2071"/>
    <s v="SI"/>
    <m/>
  </r>
  <r>
    <n v="16705776"/>
    <m/>
    <m/>
    <e v="#N/A"/>
    <m/>
    <m/>
    <m/>
    <m/>
    <d v="2024-12-22T00:00:00"/>
    <d v="2025-01-14T00:00:00"/>
    <s v="H"/>
    <x v="1"/>
    <s v="ANGUS NEGRO"/>
    <s v="12 años 11 meses"/>
    <s v="30-01-2013"/>
    <s v="Vivo"/>
    <x v="0"/>
    <s v="11.2.01.0038"/>
    <s v="11.1.01.1240"/>
    <s v="SI"/>
    <m/>
  </r>
  <r>
    <n v="16705780"/>
    <m/>
    <m/>
    <e v="#N/A"/>
    <m/>
    <m/>
    <m/>
    <m/>
    <d v="2024-12-22T00:00:00"/>
    <d v="2025-01-14T00:00:00"/>
    <s v="H"/>
    <x v="1"/>
    <s v="ANGUS NEGRO"/>
    <s v="10 años 3 meses"/>
    <s v="30-09-2015"/>
    <s v="Vivo"/>
    <x v="0"/>
    <s v="11.2.01.0038"/>
    <s v="11.1.01.2304"/>
    <s v="SI"/>
    <m/>
  </r>
  <r>
    <n v="16705781"/>
    <m/>
    <m/>
    <e v="#N/A"/>
    <m/>
    <m/>
    <m/>
    <m/>
    <m/>
    <m/>
    <s v="H"/>
    <x v="1"/>
    <s v="ANGUS NEGRO"/>
    <s v="18 años 2 meses"/>
    <s v="30-10-2007"/>
    <s v="Vivo"/>
    <x v="0"/>
    <s v="11.1.01.0893"/>
    <s v="11.1.01.1241"/>
    <s v="SI"/>
    <m/>
  </r>
  <r>
    <n v="16705791"/>
    <m/>
    <m/>
    <e v="#N/A"/>
    <m/>
    <m/>
    <m/>
    <m/>
    <m/>
    <m/>
    <s v="H"/>
    <x v="1"/>
    <s v="ANGUS NEGRO"/>
    <s v="6 años 0 meses"/>
    <s v="30-12-2019"/>
    <s v="Vivo"/>
    <x v="3"/>
    <s v="11.1.01.0893"/>
    <s v="11.1.01.0893"/>
    <s v="SI"/>
    <m/>
  </r>
  <r>
    <n v="16705797"/>
    <m/>
    <m/>
    <e v="#N/A"/>
    <m/>
    <m/>
    <m/>
    <m/>
    <d v="2024-12-22T00:00:00"/>
    <d v="2025-11-04T00:00:00"/>
    <s v="H"/>
    <x v="1"/>
    <s v="ANGUS ROJO"/>
    <s v="8 años 3 meses"/>
    <s v="20-09-2017"/>
    <s v="Vivo"/>
    <x v="7"/>
    <s v="11.1.01.0190"/>
    <s v="11.1.01.1241"/>
    <s v="SI"/>
    <m/>
  </r>
  <r>
    <n v="16705798"/>
    <m/>
    <m/>
    <e v="#N/A"/>
    <m/>
    <m/>
    <m/>
    <m/>
    <d v="2024-01-06T00:00:00"/>
    <m/>
    <s v="H"/>
    <x v="1"/>
    <s v="ANGUS NEGRO"/>
    <s v="8 años 3 meses"/>
    <s v="07-10-2017"/>
    <s v="Vivo"/>
    <x v="4"/>
    <s v="11.1.01.0893"/>
    <s v="11.1.01.0893"/>
    <s v="SI"/>
    <m/>
  </r>
  <r>
    <n v="16843001"/>
    <m/>
    <m/>
    <e v="#N/A"/>
    <m/>
    <m/>
    <m/>
    <m/>
    <m/>
    <m/>
    <s v="H"/>
    <x v="1"/>
    <s v="ANGUS NEGRO"/>
    <s v="7 años 3 meses"/>
    <s v="20-09-2018"/>
    <s v="Vivo"/>
    <x v="7"/>
    <s v="11.1.01.0190"/>
    <s v="11.1.01.1241"/>
    <s v="SI"/>
    <m/>
  </r>
  <r>
    <n v="16843002"/>
    <m/>
    <m/>
    <e v="#N/A"/>
    <m/>
    <m/>
    <m/>
    <m/>
    <m/>
    <m/>
    <s v="H"/>
    <x v="1"/>
    <s v="HEREFORD"/>
    <s v="7 años 3 meses"/>
    <s v="20-09-2018"/>
    <s v="Vivo"/>
    <x v="0"/>
    <s v="11.2.01.0038"/>
    <s v="11.1.01.1241"/>
    <s v="SI"/>
    <m/>
  </r>
  <r>
    <n v="16843009"/>
    <m/>
    <m/>
    <e v="#N/A"/>
    <m/>
    <m/>
    <m/>
    <m/>
    <d v="2024-01-06T00:00:00"/>
    <m/>
    <s v="H"/>
    <x v="1"/>
    <s v="ANGUS NEGRO"/>
    <s v="7 años 3 meses"/>
    <s v="20-09-2018"/>
    <s v="Vivo"/>
    <x v="4"/>
    <s v="11.1.01.0893"/>
    <s v="11.1.01.1241"/>
    <s v="SI"/>
    <m/>
  </r>
  <r>
    <n v="16843012"/>
    <m/>
    <m/>
    <e v="#N/A"/>
    <m/>
    <m/>
    <m/>
    <m/>
    <d v="2024-01-06T00:00:00"/>
    <m/>
    <s v="H"/>
    <x v="1"/>
    <s v="ANGUS NEGRO"/>
    <s v="7 años 3 meses"/>
    <s v="20-09-2018"/>
    <s v="Vivo"/>
    <x v="3"/>
    <s v="11.1.01.0893"/>
    <s v="11.1.01.1241"/>
    <s v="SI"/>
    <m/>
  </r>
  <r>
    <n v="16843017"/>
    <m/>
    <m/>
    <e v="#N/A"/>
    <m/>
    <m/>
    <m/>
    <m/>
    <m/>
    <m/>
    <s v="H"/>
    <x v="1"/>
    <s v="ANGUS NEGRO"/>
    <s v="7 años 3 meses"/>
    <s v="20-09-2018"/>
    <s v="Vivo"/>
    <x v="4"/>
    <s v="11.1.01.0893"/>
    <s v="11.1.01.1241"/>
    <s v="SI"/>
    <m/>
  </r>
  <r>
    <n v="16843019"/>
    <m/>
    <m/>
    <e v="#N/A"/>
    <m/>
    <m/>
    <m/>
    <m/>
    <m/>
    <m/>
    <s v="H"/>
    <x v="1"/>
    <s v="LIMOUSIN"/>
    <s v="7 años 4 meses"/>
    <s v="10-09-2018"/>
    <s v="Vivo"/>
    <x v="2"/>
    <s v="11.2.01.0053"/>
    <s v="11.1.01.1241"/>
    <s v="SI"/>
    <m/>
  </r>
  <r>
    <n v="16843020"/>
    <m/>
    <m/>
    <e v="#N/A"/>
    <m/>
    <m/>
    <m/>
    <m/>
    <d v="2024-01-06T00:00:00"/>
    <m/>
    <s v="H"/>
    <x v="1"/>
    <s v="ANGUS ROJO"/>
    <s v="7 años 3 meses"/>
    <s v="30-09-2018"/>
    <s v="Vivo"/>
    <x v="2"/>
    <s v="11.1.01.0791"/>
    <s v="11.1.01.1241"/>
    <s v="SI"/>
    <m/>
  </r>
  <r>
    <n v="16843023"/>
    <m/>
    <m/>
    <e v="#N/A"/>
    <m/>
    <m/>
    <m/>
    <m/>
    <m/>
    <m/>
    <s v="H"/>
    <x v="1"/>
    <s v="ANGUS NEGRO"/>
    <s v="7 años 3 meses"/>
    <s v="20-09-2018"/>
    <s v="Vivo"/>
    <x v="3"/>
    <s v="11.1.01.0893"/>
    <s v="11.1.01.1241"/>
    <s v="SI"/>
    <m/>
  </r>
  <r>
    <n v="16843024"/>
    <m/>
    <m/>
    <e v="#N/A"/>
    <m/>
    <m/>
    <m/>
    <m/>
    <m/>
    <m/>
    <s v="H"/>
    <x v="1"/>
    <s v="ANGUS NEGRO"/>
    <s v="7 años 3 meses"/>
    <s v="20-09-2018"/>
    <s v="Vivo"/>
    <x v="3"/>
    <s v="11.1.01.1241"/>
    <s v="11.1.01.1241"/>
    <s v="SI"/>
    <m/>
  </r>
  <r>
    <n v="16843026"/>
    <m/>
    <m/>
    <e v="#N/A"/>
    <m/>
    <m/>
    <m/>
    <m/>
    <m/>
    <m/>
    <s v="H"/>
    <x v="1"/>
    <s v="ANGUS NEGRO"/>
    <s v="7 años 3 meses"/>
    <s v="20-09-2018"/>
    <s v="Vivo"/>
    <x v="3"/>
    <s v="11.1.01.1241"/>
    <s v="11.1.01.1241"/>
    <s v="SI"/>
    <m/>
  </r>
  <r>
    <n v="16843027"/>
    <m/>
    <m/>
    <e v="#N/A"/>
    <m/>
    <m/>
    <m/>
    <m/>
    <d v="2024-01-06T00:00:00"/>
    <m/>
    <s v="H"/>
    <x v="1"/>
    <s v="ANGUS NEGRO"/>
    <s v="7 años 3 meses"/>
    <s v="20-09-2018"/>
    <s v="Vivo"/>
    <x v="4"/>
    <s v="11.1.01.0893"/>
    <s v="11.1.01.1241"/>
    <s v="SI"/>
    <m/>
  </r>
  <r>
    <n v="16843032"/>
    <m/>
    <m/>
    <e v="#N/A"/>
    <m/>
    <m/>
    <m/>
    <m/>
    <d v="2024-01-06T00:00:00"/>
    <m/>
    <s v="H"/>
    <x v="1"/>
    <s v="ANGUS NEGRO"/>
    <s v="7 años 3 meses"/>
    <s v="30-09-2018"/>
    <s v="Vivo"/>
    <x v="4"/>
    <s v="11.1.01.0893"/>
    <s v="11.1.01.1241"/>
    <s v="SI"/>
    <m/>
  </r>
  <r>
    <n v="16843034"/>
    <m/>
    <m/>
    <e v="#N/A"/>
    <m/>
    <m/>
    <m/>
    <m/>
    <m/>
    <m/>
    <s v="H"/>
    <x v="1"/>
    <s v="ANGUS ROJO"/>
    <s v="7 años 3 meses"/>
    <s v="20-09-2018"/>
    <s v="Vivo"/>
    <x v="2"/>
    <s v="11.1.01.0791"/>
    <s v="11.1.01.1241"/>
    <s v="SI"/>
    <m/>
  </r>
  <r>
    <n v="16843040"/>
    <m/>
    <m/>
    <e v="#N/A"/>
    <m/>
    <m/>
    <m/>
    <m/>
    <m/>
    <m/>
    <s v="H"/>
    <x v="1"/>
    <s v="ANGUS NEGRO"/>
    <s v="7 años 4 meses"/>
    <s v="30-08-2018"/>
    <s v="Vivo"/>
    <x v="3"/>
    <s v="11.1.01.0893"/>
    <s v="11.1.01.1241"/>
    <s v="SI"/>
    <m/>
  </r>
  <r>
    <n v="16843048"/>
    <m/>
    <m/>
    <e v="#N/A"/>
    <m/>
    <m/>
    <m/>
    <m/>
    <m/>
    <m/>
    <s v="M"/>
    <x v="2"/>
    <s v="ANGUS ROJO"/>
    <s v="7 años 3 meses"/>
    <s v="20-09-2018"/>
    <s v="Vivo"/>
    <x v="0"/>
    <s v="Sin Movimiento"/>
    <s v="11.1.01.1241"/>
    <s v="SI"/>
    <m/>
  </r>
  <r>
    <n v="16843060"/>
    <m/>
    <m/>
    <e v="#N/A"/>
    <m/>
    <m/>
    <m/>
    <m/>
    <m/>
    <m/>
    <s v="H"/>
    <x v="1"/>
    <s v="ANGUS NEGRO"/>
    <s v="7 años 3 meses"/>
    <s v="10-10-2018"/>
    <s v="Vivo"/>
    <x v="2"/>
    <s v="11.1.01.0791"/>
    <s v="11.1.01.1241"/>
    <s v="SI"/>
    <m/>
  </r>
  <r>
    <n v="16843116"/>
    <m/>
    <m/>
    <e v="#N/A"/>
    <m/>
    <m/>
    <m/>
    <m/>
    <d v="2024-01-06T00:00:00"/>
    <m/>
    <s v="H"/>
    <x v="1"/>
    <s v="ANGUS NEGRO"/>
    <s v="7 años 3 meses"/>
    <s v="10-10-2018"/>
    <s v="Vivo"/>
    <x v="3"/>
    <s v="11.1.01.0893"/>
    <s v="11.1.01.1241"/>
    <s v="SI"/>
    <m/>
  </r>
  <r>
    <n v="16843125"/>
    <n v="2636110"/>
    <m/>
    <e v="#N/A"/>
    <m/>
    <m/>
    <m/>
    <m/>
    <m/>
    <m/>
    <s v="M"/>
    <x v="2"/>
    <s v="ANGUS NEGRO"/>
    <s v="15 años 3 meses"/>
    <s v="15-10-2010"/>
    <s v="Vivo"/>
    <x v="0"/>
    <s v="11.1.01.0893"/>
    <s v="11.1.01.0290"/>
    <s v="SI"/>
    <m/>
  </r>
  <r>
    <n v="16843126"/>
    <n v="2636136"/>
    <m/>
    <e v="#N/A"/>
    <m/>
    <m/>
    <m/>
    <m/>
    <m/>
    <m/>
    <s v="M"/>
    <x v="2"/>
    <s v="ANGUS NEGRO"/>
    <s v="10 años 3 meses"/>
    <s v="30-09-2015"/>
    <s v="Vivo"/>
    <x v="2"/>
    <s v="11.1.01.1241"/>
    <s v="11.1.01.0290"/>
    <s v="SI"/>
    <m/>
  </r>
  <r>
    <n v="16843128"/>
    <n v="2636145"/>
    <m/>
    <e v="#N/A"/>
    <m/>
    <m/>
    <m/>
    <m/>
    <m/>
    <m/>
    <s v="M"/>
    <x v="2"/>
    <s v="ANGUS NEGRO"/>
    <s v="15 años 3 meses"/>
    <s v="15-10-2010"/>
    <s v="Vivo"/>
    <x v="0"/>
    <s v="11.1.01.0893"/>
    <s v="11.1.01.0290"/>
    <s v="SI"/>
    <m/>
  </r>
  <r>
    <n v="16843129"/>
    <m/>
    <m/>
    <e v="#N/A"/>
    <m/>
    <m/>
    <m/>
    <m/>
    <m/>
    <m/>
    <s v="M"/>
    <x v="2"/>
    <s v="ANGUS NEGRO"/>
    <s v="16 años 3 meses"/>
    <s v="15-10-2009"/>
    <s v="Vivo"/>
    <x v="0"/>
    <s v="11.1.01.0893"/>
    <s v="11.1.01.0290"/>
    <s v="SI"/>
    <m/>
  </r>
  <r>
    <n v="16843134"/>
    <m/>
    <m/>
    <e v="#N/A"/>
    <m/>
    <m/>
    <m/>
    <m/>
    <m/>
    <m/>
    <s v="M"/>
    <x v="2"/>
    <s v="ANGUS NEGRO"/>
    <s v="10 años 3 meses"/>
    <s v="30-09-2015"/>
    <s v="Vivo"/>
    <x v="3"/>
    <s v="11.1.01.1241"/>
    <s v="11.1.01.0290"/>
    <s v="SI"/>
    <m/>
  </r>
  <r>
    <n v="16843136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16843139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16843140"/>
    <n v="2636114"/>
    <m/>
    <e v="#N/A"/>
    <m/>
    <m/>
    <m/>
    <m/>
    <m/>
    <m/>
    <s v="M"/>
    <x v="0"/>
    <s v="ANGUS NEGRO"/>
    <s v="12 años 3 meses"/>
    <s v="10-10-2013"/>
    <s v="Vivo"/>
    <x v="0"/>
    <s v="Sin Movimiento"/>
    <s v="11.1.01.1241"/>
    <s v="NO"/>
    <m/>
  </r>
  <r>
    <n v="16843142"/>
    <m/>
    <m/>
    <e v="#N/A"/>
    <m/>
    <m/>
    <m/>
    <m/>
    <m/>
    <m/>
    <s v="H"/>
    <x v="1"/>
    <s v="ANGUS NEGRO"/>
    <s v="9 años 3 meses"/>
    <s v="10-10-2016"/>
    <s v="Vivo"/>
    <x v="0"/>
    <s v="Sin Movimiento"/>
    <s v="11.1.01.1241"/>
    <s v="SI"/>
    <m/>
  </r>
  <r>
    <n v="16843146"/>
    <m/>
    <m/>
    <e v="#N/A"/>
    <m/>
    <m/>
    <m/>
    <m/>
    <m/>
    <m/>
    <s v="M"/>
    <x v="2"/>
    <s v="ANGUS NEGRO"/>
    <s v="7 años 4 meses"/>
    <s v="10-09-2018"/>
    <s v="Vivo"/>
    <x v="0"/>
    <s v="Sin Movimiento"/>
    <s v="11.1.01.1241"/>
    <s v="SI"/>
    <m/>
  </r>
  <r>
    <n v="16843164"/>
    <m/>
    <m/>
    <e v="#N/A"/>
    <m/>
    <m/>
    <m/>
    <m/>
    <m/>
    <m/>
    <s v="H"/>
    <x v="1"/>
    <s v="ANGUS NEGRO"/>
    <s v="7 años 3 meses"/>
    <s v="20-09-2018"/>
    <s v="Vivo"/>
    <x v="2"/>
    <s v="11.2.01.0053"/>
    <s v="11.1.01.1241"/>
    <s v="SI"/>
    <m/>
  </r>
  <r>
    <n v="16843179"/>
    <m/>
    <m/>
    <e v="#N/A"/>
    <m/>
    <m/>
    <m/>
    <m/>
    <m/>
    <m/>
    <s v="H"/>
    <x v="1"/>
    <s v="ANGUS NEGRO"/>
    <s v="7 años 3 meses"/>
    <s v="20-09-2018"/>
    <s v="Vivo"/>
    <x v="0"/>
    <s v="11.1.01.0893"/>
    <s v="11.1.01.1241"/>
    <s v="SI"/>
    <m/>
  </r>
  <r>
    <n v="16843180"/>
    <m/>
    <m/>
    <e v="#N/A"/>
    <m/>
    <m/>
    <m/>
    <m/>
    <m/>
    <m/>
    <s v="H"/>
    <x v="1"/>
    <s v="ANGUS NEGRO"/>
    <s v="7 años 4 meses"/>
    <s v="15-09-2018"/>
    <s v="Vivo"/>
    <x v="2"/>
    <s v="11.1.01.0791"/>
    <s v="11.1.01.1241"/>
    <s v="SI"/>
    <m/>
  </r>
  <r>
    <n v="16843181"/>
    <m/>
    <m/>
    <e v="#N/A"/>
    <m/>
    <m/>
    <m/>
    <m/>
    <m/>
    <m/>
    <s v="H"/>
    <x v="1"/>
    <s v="ANGUS NEGRO"/>
    <s v="7 años 3 meses"/>
    <s v="30-09-2018"/>
    <s v="Vivo"/>
    <x v="3"/>
    <s v="11.1.01.0893"/>
    <s v="11.1.01.1241"/>
    <s v="SI"/>
    <m/>
  </r>
  <r>
    <n v="16843184"/>
    <m/>
    <m/>
    <e v="#N/A"/>
    <m/>
    <m/>
    <m/>
    <m/>
    <m/>
    <m/>
    <s v="H"/>
    <x v="1"/>
    <s v="ANGUS NEGRO"/>
    <s v="7 años 3 meses"/>
    <s v="30-09-2018"/>
    <s v="Vivo"/>
    <x v="3"/>
    <s v="11.1.01.0893"/>
    <s v="11.1.01.1241"/>
    <s v="SI"/>
    <m/>
  </r>
  <r>
    <n v="16843192"/>
    <m/>
    <m/>
    <e v="#N/A"/>
    <m/>
    <m/>
    <m/>
    <m/>
    <d v="2024-01-06T00:00:00"/>
    <m/>
    <s v="H"/>
    <x v="1"/>
    <s v="ANGUS NEGRO"/>
    <s v="7 años 3 meses"/>
    <s v="30-09-2018"/>
    <s v="Vivo"/>
    <x v="3"/>
    <s v="11.1.01.0893"/>
    <s v="11.1.01.1241"/>
    <s v="SI"/>
    <m/>
  </r>
  <r>
    <n v="16843206"/>
    <m/>
    <m/>
    <e v="#N/A"/>
    <m/>
    <m/>
    <m/>
    <m/>
    <m/>
    <m/>
    <s v="H"/>
    <x v="1"/>
    <s v="ANGUS NEGRO"/>
    <s v="7 años 3 meses"/>
    <s v="30-09-2018"/>
    <s v="Vivo"/>
    <x v="4"/>
    <s v="11.1.01.0893"/>
    <s v="11.1.01.1241"/>
    <s v="SI"/>
    <m/>
  </r>
  <r>
    <n v="16843212"/>
    <m/>
    <m/>
    <e v="#N/A"/>
    <m/>
    <m/>
    <m/>
    <m/>
    <m/>
    <m/>
    <s v="H"/>
    <x v="1"/>
    <s v="ANGUS NEGRO"/>
    <s v="7 años 3 meses"/>
    <s v="30-09-2018"/>
    <s v="Vivo"/>
    <x v="3"/>
    <s v="11.1.01.1241"/>
    <s v="11.1.01.1241"/>
    <s v="SI"/>
    <m/>
  </r>
  <r>
    <n v="16843223"/>
    <m/>
    <m/>
    <e v="#N/A"/>
    <m/>
    <m/>
    <m/>
    <m/>
    <d v="2024-01-06T00:00:00"/>
    <m/>
    <s v="H"/>
    <x v="1"/>
    <s v="ANGUS ROJO"/>
    <s v="7 años 4 meses"/>
    <s v="10-09-2018"/>
    <s v="Vivo"/>
    <x v="2"/>
    <s v="11.1.01.0791"/>
    <s v="11.1.01.0893"/>
    <s v="SI"/>
    <m/>
  </r>
  <r>
    <n v="16843229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m/>
  </r>
  <r>
    <n v="16843255"/>
    <m/>
    <m/>
    <e v="#N/A"/>
    <m/>
    <m/>
    <m/>
    <m/>
    <m/>
    <m/>
    <s v="M"/>
    <x v="2"/>
    <s v="ANGUS NEGRO"/>
    <s v="7 años 2 meses"/>
    <s v="10-11-2018"/>
    <s v="Vivo"/>
    <x v="2"/>
    <s v="Sin Movimiento"/>
    <s v="11.1.01.0893"/>
    <s v="SI"/>
    <m/>
  </r>
  <r>
    <n v="16843258"/>
    <m/>
    <m/>
    <e v="#N/A"/>
    <m/>
    <m/>
    <m/>
    <m/>
    <d v="2024-01-06T00:00:00"/>
    <m/>
    <s v="H"/>
    <x v="1"/>
    <s v="ANGUS NEGRO"/>
    <s v="7 años 3 meses"/>
    <s v="20-09-2018"/>
    <s v="Vivo"/>
    <x v="3"/>
    <s v="11.1.01.0893"/>
    <s v="11.1.01.0893"/>
    <s v="SI"/>
    <m/>
  </r>
  <r>
    <n v="16843263"/>
    <m/>
    <m/>
    <e v="#N/A"/>
    <m/>
    <m/>
    <m/>
    <m/>
    <m/>
    <m/>
    <s v="M"/>
    <x v="2"/>
    <s v="ANGUS NEGRO"/>
    <s v="7 años 3 meses"/>
    <s v="10-10-2018"/>
    <s v="Vivo"/>
    <x v="2"/>
    <s v="Sin Movimiento"/>
    <s v="11.1.01.0893"/>
    <s v="SI"/>
    <m/>
  </r>
  <r>
    <n v="16843267"/>
    <m/>
    <m/>
    <e v="#N/A"/>
    <m/>
    <m/>
    <m/>
    <m/>
    <d v="2024-01-06T00:00:00"/>
    <m/>
    <s v="H"/>
    <x v="1"/>
    <s v="ANGUS NEGRO"/>
    <s v="7 años 4 meses"/>
    <s v="10-09-2018"/>
    <s v="Vivo"/>
    <x v="7"/>
    <s v="11.1.01.0190"/>
    <s v="11.1.01.0893"/>
    <s v="SI"/>
    <m/>
  </r>
  <r>
    <n v="16843269"/>
    <m/>
    <m/>
    <e v="#N/A"/>
    <m/>
    <m/>
    <m/>
    <m/>
    <m/>
    <m/>
    <s v="H"/>
    <x v="1"/>
    <s v="ANGUS NEGRO"/>
    <s v="7 años 4 meses"/>
    <s v="30-08-2018"/>
    <s v="Vivo"/>
    <x v="2"/>
    <s v="11.1.01.0791"/>
    <s v="11.1.01.0893"/>
    <s v="SI"/>
    <m/>
  </r>
  <r>
    <n v="16843272"/>
    <m/>
    <m/>
    <e v="#N/A"/>
    <m/>
    <m/>
    <m/>
    <m/>
    <m/>
    <m/>
    <s v="M"/>
    <x v="2"/>
    <s v="ANGUS NEGRO"/>
    <s v="7 años 4 meses"/>
    <s v="10-09-2018"/>
    <s v="Vivo"/>
    <x v="0"/>
    <s v="11.1.01.2512"/>
    <s v="11.1.01.0893"/>
    <s v="SI"/>
    <m/>
  </r>
  <r>
    <n v="16843287"/>
    <m/>
    <m/>
    <e v="#N/A"/>
    <m/>
    <m/>
    <m/>
    <m/>
    <m/>
    <m/>
    <s v="H"/>
    <x v="1"/>
    <s v="ANGUS NEGRO"/>
    <s v="7 años 3 meses"/>
    <s v="20-09-2018"/>
    <s v="Vivo"/>
    <x v="0"/>
    <s v="11.2.01.0038"/>
    <s v="11.1.01.0893"/>
    <s v="SI"/>
    <m/>
  </r>
  <r>
    <n v="16843288"/>
    <m/>
    <m/>
    <e v="#N/A"/>
    <m/>
    <m/>
    <m/>
    <m/>
    <d v="2024-01-06T00:00:00"/>
    <m/>
    <s v="H"/>
    <x v="1"/>
    <s v="ANGUS NEGRO"/>
    <s v="7 años 3 meses"/>
    <s v="30-09-2018"/>
    <s v="Vivo"/>
    <x v="3"/>
    <s v="11.1.01.0893"/>
    <s v="11.1.01.0893"/>
    <s v="SI"/>
    <m/>
  </r>
  <r>
    <n v="16843300"/>
    <m/>
    <m/>
    <e v="#N/A"/>
    <m/>
    <m/>
    <m/>
    <m/>
    <m/>
    <m/>
    <s v="H"/>
    <x v="1"/>
    <s v="ANGUS NEGRO"/>
    <s v="7 años 3 meses"/>
    <s v="30-09-2018"/>
    <s v="Vivo"/>
    <x v="3"/>
    <s v="11.1.01.0893"/>
    <s v="11.1.01.0893"/>
    <s v="SI"/>
    <m/>
  </r>
  <r>
    <n v="16843303"/>
    <m/>
    <m/>
    <e v="#N/A"/>
    <m/>
    <m/>
    <m/>
    <m/>
    <m/>
    <m/>
    <s v="H"/>
    <x v="1"/>
    <s v="ANGUS NEGRO"/>
    <s v="7 años 2 meses"/>
    <s v="20-10-2018"/>
    <s v="Vivo"/>
    <x v="4"/>
    <s v="11.1.01.0893"/>
    <s v="11.1.01.0893"/>
    <s v="SI"/>
    <m/>
  </r>
  <r>
    <n v="16843321"/>
    <m/>
    <m/>
    <e v="#N/A"/>
    <m/>
    <m/>
    <m/>
    <m/>
    <d v="2024-01-06T00:00:00"/>
    <m/>
    <s v="H"/>
    <x v="1"/>
    <s v="ANGUS NEGRO"/>
    <s v="7 años 4 meses"/>
    <s v="15-09-2018"/>
    <s v="Vivo"/>
    <x v="3"/>
    <s v="11.1.01.0893"/>
    <s v="11.1.01.0893"/>
    <s v="SI"/>
    <m/>
  </r>
  <r>
    <n v="16843337"/>
    <m/>
    <m/>
    <e v="#N/A"/>
    <m/>
    <m/>
    <m/>
    <m/>
    <m/>
    <m/>
    <s v="M"/>
    <x v="2"/>
    <s v="ANGUS NEGRO"/>
    <s v="7 años 3 meses"/>
    <s v="10-10-2018"/>
    <s v="Vivo"/>
    <x v="2"/>
    <s v="Sin Movimiento"/>
    <s v="11.1.01.0893"/>
    <s v="SI"/>
    <m/>
  </r>
  <r>
    <n v="16843340"/>
    <m/>
    <m/>
    <e v="#N/A"/>
    <m/>
    <m/>
    <m/>
    <m/>
    <m/>
    <m/>
    <s v="H"/>
    <x v="1"/>
    <s v="ANGUS ROJO"/>
    <s v="7 años 3 meses"/>
    <s v="30-09-2018"/>
    <s v="Vivo"/>
    <x v="3"/>
    <s v="11.1.01.0893"/>
    <s v="11.1.01.0893"/>
    <s v="SI"/>
    <m/>
  </r>
  <r>
    <n v="16843342"/>
    <m/>
    <m/>
    <e v="#N/A"/>
    <m/>
    <m/>
    <m/>
    <m/>
    <d v="2024-01-06T00:00:00"/>
    <m/>
    <s v="H"/>
    <x v="1"/>
    <s v="ANGUS NEGRO"/>
    <s v="7 años 3 meses"/>
    <s v="20-09-2018"/>
    <s v="Vivo"/>
    <x v="3"/>
    <s v="11.1.01.0893"/>
    <s v="11.1.01.0893"/>
    <s v="SI"/>
    <m/>
  </r>
  <r>
    <n v="16843347"/>
    <m/>
    <m/>
    <e v="#N/A"/>
    <m/>
    <m/>
    <m/>
    <m/>
    <d v="2024-01-06T00:00:00"/>
    <m/>
    <s v="H"/>
    <x v="1"/>
    <s v="ANGUS NEGRO"/>
    <s v="7 años 4 meses"/>
    <s v="30-08-2018"/>
    <s v="Vivo"/>
    <x v="4"/>
    <s v="11.1.01.0893"/>
    <s v="11.1.01.0893"/>
    <s v="SI"/>
    <m/>
  </r>
  <r>
    <n v="16843348"/>
    <m/>
    <m/>
    <e v="#N/A"/>
    <m/>
    <m/>
    <m/>
    <m/>
    <d v="2024-01-06T00:00:00"/>
    <m/>
    <s v="H"/>
    <x v="1"/>
    <s v="ANGUS NEGRO"/>
    <s v="7 años 3 meses"/>
    <s v="30-09-2018"/>
    <s v="Vivo"/>
    <x v="3"/>
    <s v="11.1.01.0893"/>
    <s v="11.1.01.0893"/>
    <s v="SI"/>
    <m/>
  </r>
  <r>
    <n v="16843358"/>
    <m/>
    <m/>
    <e v="#N/A"/>
    <m/>
    <m/>
    <m/>
    <m/>
    <m/>
    <m/>
    <s v="H"/>
    <x v="1"/>
    <s v="ANGUS NEGRO"/>
    <s v="7 años 2 meses"/>
    <s v="20-10-2018"/>
    <s v="Vivo"/>
    <x v="2"/>
    <s v="Sin Movimiento"/>
    <s v="11.1.01.0893"/>
    <s v="SI"/>
    <m/>
  </r>
  <r>
    <n v="16843372"/>
    <m/>
    <m/>
    <e v="#N/A"/>
    <m/>
    <m/>
    <m/>
    <m/>
    <m/>
    <m/>
    <s v="H"/>
    <x v="1"/>
    <s v="ANGUS NEGRO"/>
    <s v="7 años 4 meses"/>
    <s v="30-08-2018"/>
    <s v="Vivo"/>
    <x v="4"/>
    <s v="11.1.01.0893"/>
    <s v="11.1.01.0893"/>
    <s v="SI"/>
    <m/>
  </r>
  <r>
    <n v="16843373"/>
    <m/>
    <m/>
    <e v="#N/A"/>
    <m/>
    <m/>
    <m/>
    <m/>
    <m/>
    <m/>
    <s v="H"/>
    <x v="1"/>
    <s v="ANGUS NEGRO"/>
    <s v="7 años 3 meses"/>
    <s v="20-09-2018"/>
    <s v="Vivo"/>
    <x v="4"/>
    <s v="11.1.01.0893"/>
    <s v="11.1.01.0893"/>
    <s v="SI"/>
    <m/>
  </r>
  <r>
    <n v="16843376"/>
    <m/>
    <m/>
    <e v="#N/A"/>
    <m/>
    <m/>
    <m/>
    <m/>
    <d v="2024-01-06T00:00:00"/>
    <m/>
    <s v="H"/>
    <x v="1"/>
    <s v="ANGUS NEGRO"/>
    <s v="7 años 3 meses"/>
    <s v="30-09-2018"/>
    <s v="Vivo"/>
    <x v="3"/>
    <s v="11.1.01.0893"/>
    <s v="11.1.01.0893"/>
    <s v="SI"/>
    <m/>
  </r>
  <r>
    <n v="16843387"/>
    <m/>
    <m/>
    <e v="#N/A"/>
    <m/>
    <m/>
    <m/>
    <m/>
    <d v="2024-01-06T00:00:00"/>
    <m/>
    <s v="H"/>
    <x v="1"/>
    <s v="ANGUS NEGRO"/>
    <s v="7 años 3 meses"/>
    <s v="30-09-2018"/>
    <s v="Vivo"/>
    <x v="4"/>
    <s v="11.1.01.0893"/>
    <s v="11.1.01.0893"/>
    <s v="SI"/>
    <m/>
  </r>
  <r>
    <n v="16843391"/>
    <m/>
    <m/>
    <e v="#N/A"/>
    <m/>
    <m/>
    <m/>
    <m/>
    <m/>
    <m/>
    <s v="H"/>
    <x v="1"/>
    <s v="ANGUS ROJO"/>
    <s v="7 años 3 meses"/>
    <s v="30-09-2018"/>
    <s v="Vivo"/>
    <x v="2"/>
    <s v="11.1.01.0791"/>
    <s v="11.1.01.0893"/>
    <s v="SI"/>
    <m/>
  </r>
  <r>
    <n v="16843392"/>
    <m/>
    <m/>
    <e v="#N/A"/>
    <m/>
    <m/>
    <m/>
    <m/>
    <m/>
    <m/>
    <s v="H"/>
    <x v="1"/>
    <s v="ANGUS NEGRO"/>
    <s v="7 años 2 meses"/>
    <s v="30-10-2018"/>
    <s v="Vivo"/>
    <x v="2"/>
    <s v="11.1.01.0791"/>
    <s v="11.1.01.0893"/>
    <s v="SI"/>
    <m/>
  </r>
  <r>
    <n v="16843394"/>
    <m/>
    <m/>
    <e v="#N/A"/>
    <m/>
    <m/>
    <m/>
    <m/>
    <d v="2024-01-06T00:00:00"/>
    <m/>
    <s v="H"/>
    <x v="1"/>
    <s v="ANGUS NEGRO"/>
    <s v="7 años 3 meses"/>
    <s v="30-09-2018"/>
    <s v="Vivo"/>
    <x v="3"/>
    <s v="11.1.01.0893"/>
    <s v="11.1.01.0893"/>
    <s v="SI"/>
    <m/>
  </r>
  <r>
    <n v="16843400"/>
    <m/>
    <m/>
    <e v="#N/A"/>
    <m/>
    <m/>
    <m/>
    <m/>
    <d v="2024-01-06T00:00:00"/>
    <m/>
    <s v="H"/>
    <x v="1"/>
    <s v="ANGUS NEGRO"/>
    <s v="7 años 2 meses"/>
    <s v="20-10-2018"/>
    <s v="Vivo"/>
    <x v="3"/>
    <s v="11.1.01.0893"/>
    <s v="11.1.01.0893"/>
    <s v="SI"/>
    <m/>
  </r>
  <r>
    <n v="16843405"/>
    <m/>
    <m/>
    <e v="#N/A"/>
    <m/>
    <m/>
    <m/>
    <m/>
    <d v="2024-01-06T00:00:00"/>
    <m/>
    <s v="H"/>
    <x v="1"/>
    <s v="ANGUS ROJO"/>
    <s v="7 años 3 meses"/>
    <s v="30-09-2018"/>
    <s v="Vivo"/>
    <x v="3"/>
    <s v="11.1.01.0893"/>
    <s v="11.1.01.0893"/>
    <s v="SI"/>
    <m/>
  </r>
  <r>
    <n v="16843410"/>
    <m/>
    <m/>
    <e v="#N/A"/>
    <m/>
    <m/>
    <m/>
    <m/>
    <m/>
    <m/>
    <s v="H"/>
    <x v="1"/>
    <s v="ANGUS NEGRO"/>
    <s v="7 años 3 meses"/>
    <s v="30-09-2018"/>
    <s v="Vivo"/>
    <x v="3"/>
    <s v="11.1.01.0893"/>
    <s v="11.1.01.0893"/>
    <s v="SI"/>
    <m/>
  </r>
  <r>
    <n v="16843416"/>
    <m/>
    <m/>
    <e v="#N/A"/>
    <m/>
    <m/>
    <m/>
    <m/>
    <d v="2024-01-06T00:00:00"/>
    <m/>
    <s v="H"/>
    <x v="1"/>
    <s v="ANGUS ROJO"/>
    <s v="7 años 2 meses"/>
    <s v="05-11-2018"/>
    <s v="Vivo"/>
    <x v="4"/>
    <s v="11.1.01.0893"/>
    <s v="11.1.01.0893"/>
    <s v="SI"/>
    <m/>
  </r>
  <r>
    <n v="16843428"/>
    <m/>
    <m/>
    <e v="#N/A"/>
    <m/>
    <m/>
    <m/>
    <m/>
    <d v="2024-01-06T00:00:00"/>
    <m/>
    <s v="H"/>
    <x v="1"/>
    <s v="ANGUS NEGRO"/>
    <s v="7 años 3 meses"/>
    <s v="20-09-2018"/>
    <s v="Vivo"/>
    <x v="3"/>
    <s v="11.1.01.0893"/>
    <s v="11.1.01.0893"/>
    <s v="SI"/>
    <m/>
  </r>
  <r>
    <n v="16843434"/>
    <m/>
    <m/>
    <e v="#N/A"/>
    <m/>
    <m/>
    <m/>
    <m/>
    <d v="2024-01-06T00:00:00"/>
    <m/>
    <s v="no existe"/>
    <x v="3"/>
    <s v="no existe"/>
    <s v="no existe"/>
    <s v="no existe"/>
    <s v="no existe"/>
    <x v="5"/>
    <s v="no existe"/>
    <s v="no existe"/>
    <s v="no existe"/>
    <m/>
  </r>
  <r>
    <n v="16843435"/>
    <m/>
    <m/>
    <e v="#N/A"/>
    <m/>
    <m/>
    <m/>
    <m/>
    <d v="2024-01-06T00:00:00"/>
    <m/>
    <s v="H"/>
    <x v="1"/>
    <s v="ANGUS NEGRO"/>
    <s v="7 años 3 meses"/>
    <s v="30-09-2018"/>
    <s v="Vivo"/>
    <x v="3"/>
    <s v="11.1.01.0893"/>
    <s v="11.1.01.0893"/>
    <s v="SI"/>
    <m/>
  </r>
  <r>
    <n v="16843443"/>
    <m/>
    <m/>
    <e v="#N/A"/>
    <m/>
    <m/>
    <m/>
    <m/>
    <m/>
    <m/>
    <s v="H"/>
    <x v="1"/>
    <s v="ANGUS NEGRO"/>
    <s v="7 años 3 meses"/>
    <s v="20-09-2018"/>
    <s v="Vivo"/>
    <x v="2"/>
    <s v="Sin Movimiento"/>
    <s v="11.1.01.0893"/>
    <s v="SI"/>
    <m/>
  </r>
  <r>
    <n v="16843449"/>
    <m/>
    <m/>
    <e v="#N/A"/>
    <m/>
    <m/>
    <m/>
    <m/>
    <d v="2024-01-06T00:00:00"/>
    <m/>
    <s v="H"/>
    <x v="1"/>
    <s v="ANGUS NEGRO"/>
    <s v="7 años 3 meses"/>
    <s v="20-09-2018"/>
    <s v="Vivo"/>
    <x v="7"/>
    <s v="11.1.01.0190"/>
    <s v="11.1.01.0893"/>
    <s v="SI"/>
    <m/>
  </r>
  <r>
    <n v="16843457"/>
    <m/>
    <m/>
    <e v="#N/A"/>
    <m/>
    <m/>
    <m/>
    <m/>
    <d v="2024-01-06T00:00:00"/>
    <m/>
    <s v="no existe"/>
    <x v="3"/>
    <s v="no existe"/>
    <s v="no existe"/>
    <s v="no existe"/>
    <s v="no existe"/>
    <x v="5"/>
    <s v="no existe"/>
    <s v="no existe"/>
    <s v="no existe"/>
    <m/>
  </r>
  <r>
    <n v="16843462"/>
    <m/>
    <m/>
    <e v="#N/A"/>
    <m/>
    <m/>
    <m/>
    <m/>
    <d v="2024-01-06T00:00:00"/>
    <m/>
    <s v="H"/>
    <x v="1"/>
    <s v="ANGUS NEGRO"/>
    <s v="7 años 3 meses"/>
    <s v="20-09-2018"/>
    <s v="Vivo"/>
    <x v="2"/>
    <s v="11.1.01.0791"/>
    <s v="11.1.01.0893"/>
    <s v="SI"/>
    <m/>
  </r>
  <r>
    <n v="16843463"/>
    <m/>
    <m/>
    <e v="#N/A"/>
    <m/>
    <m/>
    <m/>
    <m/>
    <m/>
    <m/>
    <s v="H"/>
    <x v="1"/>
    <s v="ANGUS NEGRO"/>
    <s v="7 años 3 meses"/>
    <s v="20-09-2018"/>
    <s v="Vivo"/>
    <x v="3"/>
    <s v="11.1.01.0893"/>
    <s v="11.1.01.0893"/>
    <s v="SI"/>
    <m/>
  </r>
  <r>
    <n v="16843464"/>
    <m/>
    <m/>
    <e v="#N/A"/>
    <m/>
    <m/>
    <m/>
    <m/>
    <m/>
    <m/>
    <s v="H"/>
    <x v="1"/>
    <s v="ANGUS ROJO"/>
    <s v="7 años 3 meses"/>
    <s v="20-09-2018"/>
    <s v="Vivo"/>
    <x v="4"/>
    <s v="11.1.01.0893"/>
    <s v="11.1.01.0893"/>
    <s v="SI"/>
    <m/>
  </r>
  <r>
    <n v="16843465"/>
    <m/>
    <m/>
    <e v="#N/A"/>
    <m/>
    <m/>
    <m/>
    <m/>
    <m/>
    <m/>
    <s v="H"/>
    <x v="1"/>
    <s v="ANGUS NEGRO"/>
    <s v="7 años 3 meses"/>
    <s v="30-09-2018"/>
    <s v="Vivo"/>
    <x v="1"/>
    <s v="11.1.01.0941"/>
    <s v="11.1.01.0893"/>
    <s v="SI"/>
    <m/>
  </r>
  <r>
    <n v="16843474"/>
    <m/>
    <m/>
    <e v="#N/A"/>
    <m/>
    <m/>
    <m/>
    <m/>
    <m/>
    <m/>
    <s v="H"/>
    <x v="1"/>
    <s v="ANGUS NEGRO"/>
    <s v="7 años 3 meses"/>
    <s v="20-09-2018"/>
    <s v="Vivo"/>
    <x v="3"/>
    <s v="11.1.01.0893"/>
    <s v="11.1.01.0893"/>
    <s v="SI"/>
    <m/>
  </r>
  <r>
    <n v="16843481"/>
    <m/>
    <m/>
    <e v="#N/A"/>
    <m/>
    <m/>
    <m/>
    <m/>
    <m/>
    <m/>
    <s v="H"/>
    <x v="1"/>
    <s v="ANGUS NEGRO"/>
    <s v="7 años 3 meses"/>
    <s v="20-09-2018"/>
    <s v="Vivo"/>
    <x v="2"/>
    <s v="Sin Movimiento"/>
    <s v="11.1.01.0893"/>
    <s v="SI"/>
    <m/>
  </r>
  <r>
    <n v="16843493"/>
    <m/>
    <m/>
    <e v="#N/A"/>
    <m/>
    <m/>
    <m/>
    <m/>
    <d v="2024-01-06T00:00:00"/>
    <m/>
    <s v="H"/>
    <x v="1"/>
    <s v="ANGUS NEGRO"/>
    <s v="7 años 3 meses"/>
    <s v="30-09-2018"/>
    <s v="Vivo"/>
    <x v="3"/>
    <s v="11.1.01.0893"/>
    <s v="11.1.01.0893"/>
    <s v="SI"/>
    <m/>
  </r>
  <r>
    <n v="16843504"/>
    <m/>
    <m/>
    <e v="#N/A"/>
    <m/>
    <m/>
    <m/>
    <m/>
    <d v="2024-01-06T00:00:00"/>
    <m/>
    <s v="H"/>
    <x v="1"/>
    <s v="ANGUS NEGRO"/>
    <s v="7 años 2 meses"/>
    <s v="30-10-2018"/>
    <s v="Vivo"/>
    <x v="4"/>
    <s v="11.1.01.0893"/>
    <s v="11.1.01.1241"/>
    <s v="SI"/>
    <m/>
  </r>
  <r>
    <n v="16843507"/>
    <m/>
    <m/>
    <e v="#N/A"/>
    <m/>
    <m/>
    <m/>
    <m/>
    <d v="2024-01-06T00:00:00"/>
    <m/>
    <s v="H"/>
    <x v="1"/>
    <s v="ANGUS NEGRO"/>
    <s v="7 años 1 meses"/>
    <s v="20-11-2018"/>
    <s v="Vivo"/>
    <x v="4"/>
    <s v="11.1.01.0893"/>
    <s v="11.1.01.1241"/>
    <s v="SI"/>
    <m/>
  </r>
  <r>
    <n v="16843508"/>
    <m/>
    <m/>
    <e v="#N/A"/>
    <m/>
    <m/>
    <m/>
    <m/>
    <d v="2024-01-06T00:00:00"/>
    <m/>
    <s v="H"/>
    <x v="1"/>
    <s v="ANGUS NEGRO"/>
    <s v="7 años 2 meses"/>
    <s v="30-10-2018"/>
    <s v="Vivo"/>
    <x v="4"/>
    <s v="11.1.01.0893"/>
    <s v="11.1.01.1241"/>
    <s v="SI"/>
    <m/>
  </r>
  <r>
    <n v="16843512"/>
    <m/>
    <m/>
    <e v="#N/A"/>
    <m/>
    <m/>
    <m/>
    <m/>
    <m/>
    <m/>
    <s v="H"/>
    <x v="1"/>
    <s v="ANGUS NEGRO"/>
    <s v="7 años 2 meses"/>
    <s v="10-11-2018"/>
    <s v="Vivo"/>
    <x v="2"/>
    <s v="Sin Movimiento"/>
    <s v="11.1.01.0893"/>
    <s v="NO"/>
    <m/>
  </r>
  <r>
    <n v="16843524"/>
    <m/>
    <m/>
    <e v="#N/A"/>
    <m/>
    <m/>
    <m/>
    <m/>
    <d v="2024-01-06T00:00:00"/>
    <m/>
    <s v="H"/>
    <x v="1"/>
    <s v="ANGUS NEGRO"/>
    <s v="6 años 9 meses"/>
    <s v="10-04-2019"/>
    <s v="Vivo"/>
    <x v="3"/>
    <s v="11.1.01.0893"/>
    <s v="11.1.01.0893"/>
    <s v="SI"/>
    <m/>
  </r>
  <r>
    <n v="16843537"/>
    <m/>
    <m/>
    <e v="#N/A"/>
    <m/>
    <m/>
    <m/>
    <m/>
    <d v="2024-01-06T00:00:00"/>
    <m/>
    <s v="no existe"/>
    <x v="3"/>
    <s v="no existe"/>
    <s v="no existe"/>
    <s v="no existe"/>
    <s v="no existe"/>
    <x v="5"/>
    <s v="no existe"/>
    <s v="no existe"/>
    <s v="no existe"/>
    <m/>
  </r>
  <r>
    <n v="16843552"/>
    <m/>
    <m/>
    <e v="#N/A"/>
    <m/>
    <m/>
    <m/>
    <m/>
    <d v="2024-01-06T00:00:00"/>
    <m/>
    <s v="H"/>
    <x v="1"/>
    <s v="ANGUS NEGRO"/>
    <s v="7 años 3 meses"/>
    <s v="29-09-2018"/>
    <s v="Vivo"/>
    <x v="4"/>
    <s v="11.1.01.0893"/>
    <s v="11.1.01.0893"/>
    <s v="NO"/>
    <m/>
  </r>
  <r>
    <n v="16843556"/>
    <m/>
    <m/>
    <e v="#N/A"/>
    <m/>
    <m/>
    <m/>
    <m/>
    <d v="2024-01-06T00:00:00"/>
    <m/>
    <s v="H"/>
    <x v="1"/>
    <s v="ANGUS NEGRO"/>
    <s v="6 años 10 meses"/>
    <s v="20-02-2019"/>
    <s v="Vivo"/>
    <x v="4"/>
    <s v="11.1.01.0893"/>
    <s v="11.1.01.0893"/>
    <s v="SI"/>
    <m/>
  </r>
  <r>
    <n v="16843618"/>
    <m/>
    <m/>
    <e v="#N/A"/>
    <m/>
    <m/>
    <m/>
    <m/>
    <m/>
    <m/>
    <s v="M"/>
    <x v="2"/>
    <s v="ANGUS NEGRO"/>
    <s v="6 años 3 meses"/>
    <s v="30-09-2019"/>
    <s v="Vivo"/>
    <x v="0"/>
    <s v="Sin Movimiento"/>
    <s v="11.1.01.1241"/>
    <s v="SI"/>
    <m/>
  </r>
  <r>
    <n v="16843622"/>
    <m/>
    <m/>
    <e v="#N/A"/>
    <m/>
    <m/>
    <m/>
    <m/>
    <m/>
    <m/>
    <s v="M"/>
    <x v="2"/>
    <s v="ANGUS NEGRO"/>
    <s v="6 años 3 meses"/>
    <s v="20-09-2019"/>
    <s v="Vivo"/>
    <x v="0"/>
    <s v="Sin Movimiento"/>
    <s v="11.1.01.1241"/>
    <s v="SI"/>
    <m/>
  </r>
  <r>
    <n v="16843635"/>
    <m/>
    <m/>
    <e v="#N/A"/>
    <m/>
    <m/>
    <m/>
    <m/>
    <m/>
    <m/>
    <s v="M"/>
    <x v="2"/>
    <s v="ANGUS NEGRO"/>
    <s v="6 años 2 meses"/>
    <s v="20-10-2019"/>
    <s v="Vivo"/>
    <x v="0"/>
    <s v="Sin Movimiento"/>
    <s v="11.1.01.1241"/>
    <s v="SI"/>
    <m/>
  </r>
  <r>
    <n v="18071569"/>
    <n v="2636109"/>
    <m/>
    <e v="#N/A"/>
    <m/>
    <m/>
    <m/>
    <m/>
    <m/>
    <m/>
    <s v="M"/>
    <x v="2"/>
    <s v="ANGUS NEGRO"/>
    <s v="8 años 3 meses"/>
    <s v="29-09-2017"/>
    <s v="Vivo"/>
    <x v="3"/>
    <s v="11.1.01.1241"/>
    <s v="11.1.01.0932"/>
    <s v="SI"/>
    <m/>
  </r>
  <r>
    <n v="18072802"/>
    <m/>
    <m/>
    <e v="#N/A"/>
    <m/>
    <m/>
    <m/>
    <m/>
    <m/>
    <m/>
    <s v="M"/>
    <x v="2"/>
    <s v="ANGUS NEGRO"/>
    <s v="6 años 1 meses"/>
    <s v="15-12-2019"/>
    <s v="Vivo"/>
    <x v="0"/>
    <s v="11.2.01.0251"/>
    <s v="11.2.01.0251"/>
    <s v="SI"/>
    <m/>
  </r>
  <r>
    <n v="18072806"/>
    <n v="2636151"/>
    <m/>
    <e v="#N/A"/>
    <m/>
    <m/>
    <m/>
    <m/>
    <m/>
    <d v="2025-06-10T00:00:00"/>
    <s v="M"/>
    <x v="2"/>
    <s v="ANGUS NEGRO"/>
    <s v="6 años 1 meses"/>
    <s v="15-12-2019"/>
    <s v="Vivo"/>
    <x v="0"/>
    <s v="11.1.01.1022"/>
    <s v="11.2.01.0251"/>
    <s v="SI"/>
    <m/>
  </r>
  <r>
    <n v="18072813"/>
    <m/>
    <m/>
    <e v="#N/A"/>
    <m/>
    <m/>
    <m/>
    <m/>
    <m/>
    <m/>
    <s v="M"/>
    <x v="2"/>
    <s v="ANGUS NEGRO"/>
    <s v="6 años 1 meses"/>
    <s v="15-12-2019"/>
    <s v="Vivo"/>
    <x v="0"/>
    <s v="11.1.01.1014"/>
    <s v="11.2.01.0251"/>
    <s v="SI"/>
    <m/>
  </r>
  <r>
    <n v="18072814"/>
    <m/>
    <m/>
    <e v="#N/A"/>
    <m/>
    <m/>
    <m/>
    <m/>
    <m/>
    <m/>
    <s v="H"/>
    <x v="1"/>
    <s v="ANGUS NEGRO"/>
    <s v="6 años 1 meses"/>
    <s v="15-12-2019"/>
    <s v="Vivo"/>
    <x v="0"/>
    <s v="11.1.01.1014"/>
    <s v="11.2.01.0251"/>
    <s v="SI"/>
    <m/>
  </r>
  <r>
    <n v="18072820"/>
    <m/>
    <m/>
    <e v="#N/A"/>
    <m/>
    <m/>
    <m/>
    <m/>
    <m/>
    <m/>
    <s v="M"/>
    <x v="2"/>
    <s v="ANGUS NEGRO"/>
    <s v="6 años 1 meses"/>
    <s v="15-12-2019"/>
    <s v="Vivo"/>
    <x v="0"/>
    <s v="11.1.01.0893"/>
    <s v="11.2.01.0251"/>
    <s v="SI"/>
    <m/>
  </r>
  <r>
    <n v="18072823"/>
    <m/>
    <m/>
    <e v="#N/A"/>
    <m/>
    <m/>
    <m/>
    <m/>
    <m/>
    <m/>
    <s v="M"/>
    <x v="2"/>
    <s v="ANGUS NEGRO"/>
    <s v="6 años 1 meses"/>
    <s v="15-12-2019"/>
    <s v="Vivo"/>
    <x v="0"/>
    <s v="11.2.01.0251"/>
    <s v="11.2.01.0251"/>
    <s v="SI"/>
    <m/>
  </r>
  <r>
    <n v="18072830"/>
    <n v="2636147"/>
    <m/>
    <e v="#N/A"/>
    <m/>
    <m/>
    <m/>
    <m/>
    <d v="2024-12-10T00:00:00"/>
    <m/>
    <s v="M"/>
    <x v="2"/>
    <s v="ANGUS NEGRO"/>
    <s v="6 años 1 meses"/>
    <s v="15-12-2019"/>
    <s v="Vivo"/>
    <x v="3"/>
    <s v="11.1.01.0893"/>
    <s v="11.2.01.0251"/>
    <s v="SI"/>
    <m/>
  </r>
  <r>
    <n v="18943023"/>
    <m/>
    <m/>
    <e v="#N/A"/>
    <m/>
    <m/>
    <m/>
    <m/>
    <d v="2024-01-06T00:00:00"/>
    <m/>
    <s v="H"/>
    <x v="1"/>
    <s v="ANGUS NEGRO"/>
    <s v="7 años 3 meses"/>
    <s v="20-09-2018"/>
    <s v="Vivo"/>
    <x v="3"/>
    <s v="11.1.01.0893"/>
    <s v="11.1.01.1241"/>
    <s v="SI"/>
    <m/>
  </r>
  <r>
    <n v="18943028"/>
    <m/>
    <m/>
    <e v="#N/A"/>
    <m/>
    <m/>
    <m/>
    <m/>
    <m/>
    <m/>
    <s v="H"/>
    <x v="1"/>
    <s v="ANGUS NEGRO"/>
    <s v="10 años 3 meses"/>
    <s v="10-10-2015"/>
    <s v="Vivo"/>
    <x v="3"/>
    <s v="11.1.01.0893"/>
    <s v="11.1.01.1081"/>
    <s v="SI"/>
    <m/>
  </r>
  <r>
    <n v="18943029"/>
    <m/>
    <m/>
    <e v="#N/A"/>
    <m/>
    <m/>
    <m/>
    <m/>
    <d v="2024-01-06T00:00:00"/>
    <m/>
    <s v="H"/>
    <x v="1"/>
    <s v="ANGUS NEGRO"/>
    <s v="10 años 2 meses"/>
    <s v="30-10-2015"/>
    <s v="Vivo"/>
    <x v="3"/>
    <s v="11.1.01.0893"/>
    <s v="11.1.01.1241"/>
    <s v="SI"/>
    <m/>
  </r>
  <r>
    <n v="18943032"/>
    <m/>
    <m/>
    <e v="#N/A"/>
    <m/>
    <m/>
    <m/>
    <m/>
    <d v="2024-12-22T00:00:00"/>
    <d v="2025-11-05T00:00:00"/>
    <s v="H"/>
    <x v="1"/>
    <s v="ANGUS NEGRO"/>
    <s v="9 años 3 meses"/>
    <s v="15-10-2016"/>
    <s v="Vivo"/>
    <x v="7"/>
    <s v="11.1.01.0190"/>
    <s v="11.1.01.0893"/>
    <s v="SI"/>
    <m/>
  </r>
  <r>
    <n v="18943040"/>
    <m/>
    <m/>
    <e v="#N/A"/>
    <m/>
    <m/>
    <m/>
    <m/>
    <d v="2024-12-22T00:00:00"/>
    <d v="2025-11-05T00:00:00"/>
    <s v="H"/>
    <x v="1"/>
    <s v="ANGUS NEGRO"/>
    <s v="5 años 3 meses"/>
    <s v="10-10-2020"/>
    <s v="Vivo"/>
    <x v="7"/>
    <s v="11.1.01.0190"/>
    <s v="11.1.01.0893"/>
    <s v="SI"/>
    <m/>
  </r>
  <r>
    <n v="18943046"/>
    <m/>
    <m/>
    <e v="#N/A"/>
    <m/>
    <m/>
    <m/>
    <m/>
    <d v="2024-12-22T00:00:00"/>
    <d v="2025-11-04T00:00:00"/>
    <s v="H"/>
    <x v="1"/>
    <s v="ANGUS NEGRO"/>
    <s v="5 años 3 meses"/>
    <s v="30-09-2020"/>
    <s v="Vivo"/>
    <x v="0"/>
    <s v="11.2.01.0038"/>
    <s v="11.1.01.0893"/>
    <s v="SI"/>
    <m/>
  </r>
  <r>
    <n v="18943047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0893"/>
    <s v="SI"/>
    <m/>
  </r>
  <r>
    <n v="18943058"/>
    <m/>
    <m/>
    <e v="#N/A"/>
    <m/>
    <m/>
    <m/>
    <m/>
    <d v="2024-12-22T00:00:00"/>
    <d v="2025-01-14T00:00:00"/>
    <s v="H"/>
    <x v="1"/>
    <s v="ANGUS NEGRO"/>
    <s v="5 años 3 meses"/>
    <s v="10-10-2020"/>
    <s v="Vivo"/>
    <x v="6"/>
    <s v="11.1.01.1241"/>
    <s v="11.1.01.0893"/>
    <s v="SI"/>
    <m/>
  </r>
  <r>
    <n v="18943063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0893"/>
    <s v="SI"/>
    <m/>
  </r>
  <r>
    <n v="18943067"/>
    <m/>
    <m/>
    <e v="#N/A"/>
    <m/>
    <m/>
    <m/>
    <m/>
    <d v="2024-12-22T00:00:00"/>
    <d v="2025-11-05T00:00:00"/>
    <s v="H"/>
    <x v="1"/>
    <s v="ANGUS NEGRO"/>
    <s v="5 años 4 meses"/>
    <s v="11-09-2020"/>
    <s v="Vivo"/>
    <x v="7"/>
    <s v="11.1.01.0190"/>
    <s v="11.1.01.0893"/>
    <s v="SI"/>
    <m/>
  </r>
  <r>
    <n v="18943069"/>
    <m/>
    <m/>
    <e v="#N/A"/>
    <m/>
    <m/>
    <m/>
    <m/>
    <m/>
    <m/>
    <s v="H"/>
    <x v="1"/>
    <s v="ANGUS NEGRO"/>
    <s v="5 años 4 meses"/>
    <s v="11-09-2020"/>
    <s v="Vivo"/>
    <x v="0"/>
    <s v="11.1.01.1022"/>
    <s v="11.1.01.0893"/>
    <s v="SI"/>
    <m/>
  </r>
  <r>
    <n v="18943078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0893"/>
    <s v="SI"/>
    <m/>
  </r>
  <r>
    <n v="18943082"/>
    <m/>
    <m/>
    <e v="#N/A"/>
    <m/>
    <m/>
    <m/>
    <m/>
    <d v="2024-12-22T00:00:00"/>
    <d v="2025-11-05T00:00:00"/>
    <s v="H"/>
    <x v="1"/>
    <s v="ANGUS NEGRO"/>
    <s v="5 años 3 meses"/>
    <s v="30-09-2020"/>
    <s v="Vivo"/>
    <x v="7"/>
    <s v="11.1.01.0190"/>
    <s v="11.1.01.0893"/>
    <s v="SI"/>
    <m/>
  </r>
  <r>
    <n v="18943083"/>
    <m/>
    <m/>
    <e v="#N/A"/>
    <m/>
    <m/>
    <m/>
    <m/>
    <m/>
    <m/>
    <s v="H"/>
    <x v="1"/>
    <s v="ANGUS NEGRO"/>
    <s v="5 años 3 meses"/>
    <s v="10-10-2020"/>
    <s v="Vivo"/>
    <x v="1"/>
    <s v="11.2.01.0053"/>
    <s v="11.1.01.0893"/>
    <s v="SI"/>
    <m/>
  </r>
  <r>
    <n v="18943086"/>
    <m/>
    <m/>
    <e v="#N/A"/>
    <m/>
    <m/>
    <m/>
    <m/>
    <d v="2024-12-22T00:00:00"/>
    <d v="2025-01-14T00:00:00"/>
    <s v="H"/>
    <x v="1"/>
    <s v="ANGUS NEGRO"/>
    <s v="5 años 3 meses"/>
    <s v="30-09-2020"/>
    <s v="Vivo"/>
    <x v="6"/>
    <s v="11.1.01.1241"/>
    <s v="11.1.01.0893"/>
    <s v="SI"/>
    <m/>
  </r>
  <r>
    <n v="18943088"/>
    <m/>
    <m/>
    <e v="#N/A"/>
    <m/>
    <m/>
    <m/>
    <m/>
    <m/>
    <m/>
    <s v="H"/>
    <x v="1"/>
    <s v="HEREFORD"/>
    <s v="5 años 3 meses"/>
    <s v="30-09-2020"/>
    <s v="Vivo"/>
    <x v="2"/>
    <s v="Sin Movimiento"/>
    <s v="11.1.01.0893"/>
    <s v="SI"/>
    <m/>
  </r>
  <r>
    <n v="18943091"/>
    <m/>
    <m/>
    <e v="#N/A"/>
    <m/>
    <m/>
    <m/>
    <m/>
    <d v="2024-12-22T00:00:00"/>
    <d v="2025-11-05T00:00:00"/>
    <s v="H"/>
    <x v="1"/>
    <s v="ANGUS NEGRO"/>
    <s v="5 años 2 meses"/>
    <s v="18-10-2020"/>
    <s v="Vivo"/>
    <x v="7"/>
    <s v="11.1.01.0190"/>
    <s v="11.1.01.0893"/>
    <s v="SI"/>
    <m/>
  </r>
  <r>
    <n v="18943093"/>
    <m/>
    <m/>
    <e v="#N/A"/>
    <m/>
    <m/>
    <m/>
    <m/>
    <d v="2024-12-22T00:00:00"/>
    <d v="2025-01-14T00:00:00"/>
    <s v="H"/>
    <x v="1"/>
    <s v="ANGUS NEGRO"/>
    <s v="14 años 7 meses"/>
    <s v="20-05-2011"/>
    <s v="Vivo"/>
    <x v="6"/>
    <s v="11.1.01.1241"/>
    <s v="11.1.01.1241"/>
    <s v="SI"/>
    <m/>
  </r>
  <r>
    <n v="18943094"/>
    <m/>
    <m/>
    <e v="#N/A"/>
    <m/>
    <m/>
    <m/>
    <m/>
    <m/>
    <m/>
    <s v="H"/>
    <x v="1"/>
    <s v="ANGUS NEGRO"/>
    <s v="12 años 3 meses"/>
    <s v="15-10-2013"/>
    <s v="Vivo"/>
    <x v="0"/>
    <s v="11.2.01.0038"/>
    <s v="11.1.01.1241"/>
    <s v="SI"/>
    <m/>
  </r>
  <r>
    <n v="18943140"/>
    <m/>
    <m/>
    <e v="#N/A"/>
    <m/>
    <m/>
    <m/>
    <m/>
    <m/>
    <m/>
    <s v="M"/>
    <x v="2"/>
    <s v="ANGUS ROJO"/>
    <s v="5 años 3 meses"/>
    <s v="10-10-2020"/>
    <s v="Vivo"/>
    <x v="0"/>
    <s v="Sin Movimiento"/>
    <s v="11.1.01.1241"/>
    <s v="SI"/>
    <m/>
  </r>
  <r>
    <n v="18943171"/>
    <m/>
    <m/>
    <e v="#N/A"/>
    <m/>
    <m/>
    <m/>
    <m/>
    <d v="2024-12-22T00:00:00"/>
    <d v="2025-11-05T00:00:00"/>
    <s v="H"/>
    <x v="1"/>
    <s v="ANGUS NEGRO"/>
    <s v="11 años 3 meses"/>
    <s v="30-09-2014"/>
    <s v="Vivo"/>
    <x v="7"/>
    <s v="11.1.01.0190"/>
    <s v="11.1.01.0790"/>
    <s v="SI"/>
    <m/>
  </r>
  <r>
    <n v="18943174"/>
    <m/>
    <m/>
    <e v="#N/A"/>
    <m/>
    <m/>
    <m/>
    <m/>
    <m/>
    <m/>
    <s v="H"/>
    <x v="1"/>
    <s v="ANGUS ROJO"/>
    <s v="12 años 2 meses"/>
    <s v="30-10-2013"/>
    <s v="Vivo"/>
    <x v="0"/>
    <s v="11.2.01.0038"/>
    <s v="11.1.01.1081"/>
    <s v="SI"/>
    <m/>
  </r>
  <r>
    <n v="18943175"/>
    <m/>
    <m/>
    <e v="#N/A"/>
    <m/>
    <m/>
    <m/>
    <m/>
    <d v="2024-12-22T00:00:00"/>
    <d v="2025-01-14T00:00:00"/>
    <s v="H"/>
    <x v="1"/>
    <s v="ANGUS ROJO"/>
    <s v="15 años 4 meses"/>
    <s v="30-08-2010"/>
    <s v="Vivo"/>
    <x v="0"/>
    <s v="11.2.01.0038"/>
    <s v="11.1.01.1241"/>
    <s v="SI"/>
    <m/>
  </r>
  <r>
    <n v="18943183"/>
    <m/>
    <m/>
    <e v="#N/A"/>
    <m/>
    <m/>
    <m/>
    <m/>
    <m/>
    <m/>
    <s v="H"/>
    <x v="1"/>
    <s v="ANGUS ROJO"/>
    <s v="5 años 3 meses"/>
    <s v="30-09-2020"/>
    <s v="Vivo"/>
    <x v="2"/>
    <s v="11.1.02.0004"/>
    <s v="11.1.01.1241"/>
    <s v="SI"/>
    <m/>
  </r>
  <r>
    <n v="18943185"/>
    <m/>
    <m/>
    <e v="#N/A"/>
    <m/>
    <m/>
    <m/>
    <m/>
    <m/>
    <m/>
    <s v="H"/>
    <x v="1"/>
    <s v="ANGUS NEGRO"/>
    <s v="5 años 3 meses"/>
    <s v="20-09-2020"/>
    <s v="Vivo"/>
    <x v="1"/>
    <s v="11.2.01.0053"/>
    <s v="11.1.01.1241"/>
    <s v="SI"/>
    <m/>
  </r>
  <r>
    <n v="18943193"/>
    <m/>
    <m/>
    <e v="#N/A"/>
    <m/>
    <m/>
    <m/>
    <m/>
    <m/>
    <m/>
    <s v="H"/>
    <x v="1"/>
    <s v="ANGUS NEGRO"/>
    <s v="5 años 2 meses"/>
    <s v="20-10-2020"/>
    <s v="Vivo"/>
    <x v="1"/>
    <s v="11.2.01.0053"/>
    <s v="11.1.01.1241"/>
    <s v="SI"/>
    <m/>
  </r>
  <r>
    <n v="18943197"/>
    <m/>
    <m/>
    <e v="#N/A"/>
    <m/>
    <m/>
    <m/>
    <m/>
    <d v="2024-12-22T00:00:00"/>
    <d v="2025-11-04T00:00:00"/>
    <s v="H"/>
    <x v="1"/>
    <s v="ANGUS NEGRO"/>
    <s v="5 años 2 meses"/>
    <s v="22-10-2020"/>
    <s v="Vivo"/>
    <x v="0"/>
    <s v="11.2.01.0038"/>
    <s v="11.1.01.1241"/>
    <s v="SI"/>
    <m/>
  </r>
  <r>
    <n v="19050004"/>
    <m/>
    <m/>
    <e v="#N/A"/>
    <m/>
    <m/>
    <m/>
    <m/>
    <m/>
    <m/>
    <s v="H"/>
    <x v="1"/>
    <s v="ANGUS NEGRO"/>
    <s v="5 años 2 meses"/>
    <s v="20-10-2020"/>
    <s v="Vivo"/>
    <x v="3"/>
    <s v="11.1.01.1241"/>
    <s v="11.1.01.1241"/>
    <s v="SI"/>
    <m/>
  </r>
  <r>
    <n v="19050007"/>
    <m/>
    <m/>
    <e v="#N/A"/>
    <m/>
    <m/>
    <m/>
    <m/>
    <m/>
    <m/>
    <s v="H"/>
    <x v="1"/>
    <s v="ANGUS NEGRO"/>
    <s v="5 años 2 meses"/>
    <s v="20-10-2020"/>
    <s v="Vivo"/>
    <x v="0"/>
    <s v="11.1.01.1022"/>
    <s v="11.1.01.1241"/>
    <s v="SI"/>
    <m/>
  </r>
  <r>
    <n v="19050011"/>
    <m/>
    <m/>
    <e v="#N/A"/>
    <m/>
    <m/>
    <m/>
    <m/>
    <d v="2024-12-22T00:00:00"/>
    <d v="2025-11-05T00:00:00"/>
    <s v="H"/>
    <x v="1"/>
    <s v="ANGUS NEGRO"/>
    <s v="5 años 3 meses"/>
    <s v="10-10-2020"/>
    <s v="Vivo"/>
    <x v="7"/>
    <s v="11.1.01.0190"/>
    <s v="11.1.01.1241"/>
    <s v="SI"/>
    <m/>
  </r>
  <r>
    <n v="19050014"/>
    <m/>
    <m/>
    <e v="#N/A"/>
    <m/>
    <m/>
    <m/>
    <m/>
    <m/>
    <m/>
    <s v="H"/>
    <x v="1"/>
    <s v="ANGUS NEGRO"/>
    <s v="5 años 3 meses"/>
    <s v="20-09-2020"/>
    <s v="Vivo"/>
    <x v="2"/>
    <s v="11.1.02.0004"/>
    <s v="11.1.01.1241"/>
    <s v="SI"/>
    <m/>
  </r>
  <r>
    <n v="19050016"/>
    <m/>
    <m/>
    <e v="#N/A"/>
    <m/>
    <m/>
    <m/>
    <m/>
    <d v="2024-12-22T00:00:00"/>
    <d v="2025-11-04T00:00:00"/>
    <s v="H"/>
    <x v="1"/>
    <s v="ANGUS NEGRO"/>
    <s v="5 años 3 meses"/>
    <s v="10-10-2020"/>
    <s v="Vivo"/>
    <x v="0"/>
    <s v="11.2.01.0038"/>
    <s v="11.1.01.1241"/>
    <s v="SI"/>
    <m/>
  </r>
  <r>
    <n v="19050020"/>
    <m/>
    <m/>
    <e v="#N/A"/>
    <m/>
    <m/>
    <m/>
    <m/>
    <m/>
    <m/>
    <s v="H"/>
    <x v="1"/>
    <s v="ANGUS NEGRO"/>
    <s v="5 años 2 meses"/>
    <s v="20-10-2020"/>
    <s v="Vivo"/>
    <x v="2"/>
    <s v="11.1.02.0004"/>
    <s v="11.1.01.1241"/>
    <s v="SI"/>
    <m/>
  </r>
  <r>
    <n v="19050034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1241"/>
    <s v="SI"/>
    <m/>
  </r>
  <r>
    <n v="19050035"/>
    <m/>
    <m/>
    <e v="#N/A"/>
    <m/>
    <m/>
    <m/>
    <m/>
    <m/>
    <m/>
    <s v="H"/>
    <x v="1"/>
    <s v="ANGUS NEGRO"/>
    <s v="5 años 2 meses"/>
    <s v="28-10-2020"/>
    <s v="Vivo"/>
    <x v="1"/>
    <s v="11.2.01.0053"/>
    <s v="11.1.01.1241"/>
    <s v="SI"/>
    <m/>
  </r>
  <r>
    <n v="19050039"/>
    <m/>
    <m/>
    <e v="#N/A"/>
    <m/>
    <m/>
    <m/>
    <m/>
    <d v="2024-12-22T00:00:00"/>
    <d v="2025-01-14T00:00:00"/>
    <s v="H"/>
    <x v="1"/>
    <s v="ANGUS NEGRO"/>
    <s v="11 años 10 meses"/>
    <s v="28-02-2014"/>
    <s v="Vivo"/>
    <x v="0"/>
    <s v="11.2.01.0038"/>
    <s v="11.1.01.1081"/>
    <s v="SI"/>
    <m/>
  </r>
  <r>
    <n v="19050040"/>
    <m/>
    <m/>
    <e v="#N/A"/>
    <m/>
    <m/>
    <m/>
    <m/>
    <d v="2024-12-22T00:00:00"/>
    <d v="2025-11-05T00:00:00"/>
    <s v="H"/>
    <x v="1"/>
    <s v="ANGUS ROJO"/>
    <s v="12 años 11 meses"/>
    <s v="28-01-2013"/>
    <s v="Vivo"/>
    <x v="0"/>
    <s v="11.2.01.0038"/>
    <s v="11.1.01.0790"/>
    <s v="SI"/>
    <m/>
  </r>
  <r>
    <n v="19050042"/>
    <m/>
    <m/>
    <e v="#N/A"/>
    <m/>
    <m/>
    <m/>
    <m/>
    <d v="2024-01-06T00:00:00"/>
    <m/>
    <s v="H"/>
    <x v="1"/>
    <s v="ANGUS NEGRO"/>
    <s v="9 años 3 meses"/>
    <s v="15-10-2016"/>
    <s v="Vivo"/>
    <x v="3"/>
    <s v="11.1.01.0893"/>
    <s v="11.1.01.0893"/>
    <s v="SI"/>
    <m/>
  </r>
  <r>
    <n v="19050045"/>
    <m/>
    <m/>
    <e v="#N/A"/>
    <m/>
    <m/>
    <m/>
    <m/>
    <m/>
    <m/>
    <s v="H"/>
    <x v="1"/>
    <s v="ANGUS NEGRO"/>
    <s v="12 años 9 meses"/>
    <s v="30-03-2013"/>
    <s v="Vivo"/>
    <x v="0"/>
    <s v="11.2.01.0038"/>
    <s v="11.1.01.1240"/>
    <s v="SI"/>
    <m/>
  </r>
  <r>
    <n v="19050048"/>
    <m/>
    <m/>
    <e v="#N/A"/>
    <m/>
    <m/>
    <m/>
    <m/>
    <d v="2024-12-22T00:00:00"/>
    <d v="2025-11-05T00:00:00"/>
    <s v="H"/>
    <x v="1"/>
    <s v="ANGUS ROJO"/>
    <s v="13 años 3 meses"/>
    <s v="30-09-2012"/>
    <s v="Vivo"/>
    <x v="7"/>
    <s v="11.1.01.0190"/>
    <s v="11.1.01.1241"/>
    <s v="SI"/>
    <m/>
  </r>
  <r>
    <n v="19050051"/>
    <m/>
    <m/>
    <e v="#N/A"/>
    <m/>
    <m/>
    <m/>
    <m/>
    <m/>
    <m/>
    <s v="H"/>
    <x v="1"/>
    <s v="ANGUS NEGRO"/>
    <s v="13 años 2 meses"/>
    <s v="30-10-2012"/>
    <s v="Vivo"/>
    <x v="0"/>
    <s v="11.2.01.0038"/>
    <s v="11.1.01.1241"/>
    <s v="SI"/>
    <m/>
  </r>
  <r>
    <n v="19050067"/>
    <m/>
    <m/>
    <e v="#N/A"/>
    <m/>
    <m/>
    <m/>
    <m/>
    <m/>
    <m/>
    <s v="H"/>
    <x v="1"/>
    <s v="ANGUS NEGRO"/>
    <s v="5 años 2 meses"/>
    <s v="20-10-2020"/>
    <s v="Vivo"/>
    <x v="1"/>
    <s v="11.2.01.0053"/>
    <s v="11.1.01.1241"/>
    <s v="SI"/>
    <m/>
  </r>
  <r>
    <n v="19050068"/>
    <m/>
    <m/>
    <e v="#N/A"/>
    <m/>
    <m/>
    <m/>
    <m/>
    <m/>
    <m/>
    <s v="H"/>
    <x v="1"/>
    <s v="ANGUS NEGRO"/>
    <s v="5 años 3 meses"/>
    <s v="30-09-2020"/>
    <s v="Vivo"/>
    <x v="2"/>
    <s v="11.1.02.0004"/>
    <s v="11.1.01.1241"/>
    <s v="SI"/>
    <m/>
  </r>
  <r>
    <n v="19050076"/>
    <m/>
    <m/>
    <e v="#N/A"/>
    <m/>
    <m/>
    <m/>
    <m/>
    <d v="2024-12-22T00:00:00"/>
    <d v="2025-11-04T00:00:00"/>
    <s v="H"/>
    <x v="1"/>
    <s v="ANGUS NEGRO"/>
    <s v="5 años 3 meses"/>
    <s v="15-10-2020"/>
    <s v="Vivo"/>
    <x v="0"/>
    <s v="11.2.01.0038"/>
    <s v="11.1.01.1241"/>
    <s v="SI"/>
    <m/>
  </r>
  <r>
    <n v="19050078"/>
    <m/>
    <m/>
    <e v="#N/A"/>
    <m/>
    <m/>
    <m/>
    <m/>
    <m/>
    <m/>
    <s v="H"/>
    <x v="1"/>
    <s v="ANGUS NEGRO"/>
    <s v="5 años 3 meses"/>
    <s v="20-09-2020"/>
    <s v="Vivo"/>
    <x v="1"/>
    <s v="11.2.01.0053"/>
    <s v="11.1.01.1241"/>
    <s v="SI"/>
    <m/>
  </r>
  <r>
    <n v="19050087"/>
    <m/>
    <m/>
    <e v="#N/A"/>
    <m/>
    <m/>
    <m/>
    <m/>
    <m/>
    <m/>
    <s v="H"/>
    <x v="1"/>
    <s v="ANGUS NEGRO"/>
    <s v="5 años 3 meses"/>
    <s v="30-09-2020"/>
    <s v="Vivo"/>
    <x v="4"/>
    <s v="11.1.01.0893"/>
    <s v="11.1.01.1241"/>
    <s v="SI"/>
    <m/>
  </r>
  <r>
    <n v="19050088"/>
    <m/>
    <m/>
    <e v="#N/A"/>
    <m/>
    <m/>
    <m/>
    <m/>
    <m/>
    <m/>
    <s v="H"/>
    <x v="1"/>
    <s v="ANGUS NEGRO"/>
    <s v="5 años 3 meses"/>
    <s v="30-09-2020"/>
    <s v="Vivo"/>
    <x v="0"/>
    <s v="11.1.01.1022"/>
    <s v="11.1.01.1241"/>
    <s v="SI"/>
    <m/>
  </r>
  <r>
    <n v="19050089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2.01.0038"/>
    <s v="11.1.01.1241"/>
    <s v="SI"/>
    <m/>
  </r>
  <r>
    <n v="19050092"/>
    <m/>
    <m/>
    <e v="#N/A"/>
    <m/>
    <m/>
    <m/>
    <m/>
    <m/>
    <m/>
    <s v="H"/>
    <x v="1"/>
    <s v="ANGUS NEGRO"/>
    <s v="5 años 4 meses"/>
    <s v="11-09-2020"/>
    <s v="Vivo"/>
    <x v="2"/>
    <s v="11.1.02.0004"/>
    <s v="11.1.01.1241"/>
    <s v="SI"/>
    <m/>
  </r>
  <r>
    <n v="19050093"/>
    <m/>
    <m/>
    <e v="#N/A"/>
    <m/>
    <m/>
    <m/>
    <m/>
    <m/>
    <m/>
    <s v="H"/>
    <x v="1"/>
    <s v="ANGUS NEGRO"/>
    <s v="5 años 2 meses"/>
    <s v="25-10-2020"/>
    <s v="Vivo"/>
    <x v="1"/>
    <s v="11.2.01.0053"/>
    <s v="11.1.01.1241"/>
    <s v="SI"/>
    <m/>
  </r>
  <r>
    <n v="19050115"/>
    <m/>
    <m/>
    <e v="#N/A"/>
    <m/>
    <m/>
    <m/>
    <m/>
    <d v="2024-12-22T00:00:00"/>
    <d v="2025-11-05T00:00:00"/>
    <s v="H"/>
    <x v="1"/>
    <s v="ANGUS NEGRO"/>
    <s v="5 años 3 meses"/>
    <s v="10-10-2020"/>
    <s v="Vivo"/>
    <x v="7"/>
    <s v="11.1.01.0190"/>
    <s v="11.1.01.1241"/>
    <s v="SI"/>
    <m/>
  </r>
  <r>
    <n v="19050127"/>
    <m/>
    <m/>
    <e v="#N/A"/>
    <m/>
    <m/>
    <m/>
    <m/>
    <d v="2024-12-22T00:00:00"/>
    <d v="2025-11-05T00:00:00"/>
    <s v="H"/>
    <x v="1"/>
    <s v="ANGUS NEGRO"/>
    <s v="9 años 3 meses"/>
    <s v="15-10-2016"/>
    <s v="Vivo"/>
    <x v="7"/>
    <s v="11.1.01.0190"/>
    <s v="11.2.01.2071"/>
    <s v="SI"/>
    <m/>
  </r>
  <r>
    <n v="19050128"/>
    <m/>
    <m/>
    <e v="#N/A"/>
    <m/>
    <m/>
    <m/>
    <m/>
    <m/>
    <m/>
    <s v="H"/>
    <x v="1"/>
    <s v="ANGUS NEGRO"/>
    <s v="8 años 3 meses"/>
    <s v="30-09-2017"/>
    <s v="Vivo"/>
    <x v="0"/>
    <s v="11.1.01.1022"/>
    <s v="11.1.01.0893"/>
    <s v="SI"/>
    <m/>
  </r>
  <r>
    <n v="19050129"/>
    <m/>
    <m/>
    <e v="#N/A"/>
    <m/>
    <m/>
    <m/>
    <m/>
    <d v="2024-12-22T00:00:00"/>
    <d v="2025-01-14T00:00:00"/>
    <s v="H"/>
    <x v="1"/>
    <s v="ANGUS NEGRO"/>
    <s v="12 años 2 meses"/>
    <s v="30-10-2013"/>
    <s v="Vivo"/>
    <x v="7"/>
    <s v="11.1.01.0190"/>
    <s v="11.2.01.2071"/>
    <s v="SI"/>
    <m/>
  </r>
  <r>
    <n v="19050130"/>
    <m/>
    <m/>
    <e v="#N/A"/>
    <m/>
    <m/>
    <m/>
    <m/>
    <m/>
    <m/>
    <s v="H"/>
    <x v="1"/>
    <s v="ANGUS NEGRO"/>
    <s v="5 años 3 meses"/>
    <s v="15-10-2020"/>
    <s v="Vivo"/>
    <x v="2"/>
    <s v="11.1.02.0004"/>
    <s v="11.1.01.1241"/>
    <s v="SI"/>
    <m/>
  </r>
  <r>
    <n v="19050135"/>
    <m/>
    <m/>
    <e v="#N/A"/>
    <m/>
    <m/>
    <m/>
    <m/>
    <d v="2024-12-22T00:00:00"/>
    <d v="2025-01-14T00:00:00"/>
    <s v="H"/>
    <x v="1"/>
    <s v="ANGUS NEGRO"/>
    <s v="5 años 2 meses"/>
    <s v="30-10-2020"/>
    <s v="Vivo"/>
    <x v="0"/>
    <s v="11.2.01.0038"/>
    <s v="11.1.01.1241"/>
    <s v="SI"/>
    <m/>
  </r>
  <r>
    <n v="19050140"/>
    <m/>
    <m/>
    <e v="#N/A"/>
    <m/>
    <m/>
    <m/>
    <m/>
    <m/>
    <m/>
    <s v="H"/>
    <x v="1"/>
    <s v="ANGUS NEGRO"/>
    <s v="5 años 2 meses"/>
    <s v="30-10-2020"/>
    <s v="Vivo"/>
    <x v="3"/>
    <s v="11.1.01.1241"/>
    <s v="11.1.01.1241"/>
    <s v="SI"/>
    <m/>
  </r>
  <r>
    <n v="19050146"/>
    <m/>
    <m/>
    <e v="#N/A"/>
    <m/>
    <m/>
    <m/>
    <m/>
    <d v="2024-12-22T00:00:00"/>
    <d v="2025-01-14T00:00:00"/>
    <s v="H"/>
    <x v="1"/>
    <s v="ANGUS NEGRO"/>
    <s v="5 años 4 meses"/>
    <s v="11-09-2020"/>
    <s v="Vivo"/>
    <x v="0"/>
    <s v="11.1.01.1022"/>
    <s v="11.1.01.1241"/>
    <s v="SI"/>
    <m/>
  </r>
  <r>
    <n v="19050147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1241"/>
    <s v="SI"/>
    <m/>
  </r>
  <r>
    <n v="19050149"/>
    <m/>
    <m/>
    <e v="#N/A"/>
    <m/>
    <m/>
    <m/>
    <m/>
    <d v="2024-12-22T00:00:00"/>
    <d v="2025-11-04T00:00:00"/>
    <s v="H"/>
    <x v="1"/>
    <s v="ANGUS NEGRO"/>
    <s v="5 años 4 meses"/>
    <s v="15-09-2020"/>
    <s v="Vivo"/>
    <x v="7"/>
    <s v="11.1.01.0190"/>
    <s v="11.1.01.1241"/>
    <s v="SI"/>
    <m/>
  </r>
  <r>
    <n v="19050152"/>
    <m/>
    <m/>
    <e v="#N/A"/>
    <m/>
    <m/>
    <m/>
    <m/>
    <d v="2024-12-22T00:00:00"/>
    <d v="2025-01-14T00:00:00"/>
    <s v="H"/>
    <x v="1"/>
    <s v="ANGUS NEGRO"/>
    <s v="5 años 4 meses"/>
    <s v="11-09-2020"/>
    <s v="Vivo"/>
    <x v="0"/>
    <s v="11.1.01.1022"/>
    <s v="11.1.01.1241"/>
    <s v="SI"/>
    <m/>
  </r>
  <r>
    <n v="19050154"/>
    <m/>
    <m/>
    <e v="#N/A"/>
    <m/>
    <m/>
    <m/>
    <m/>
    <m/>
    <m/>
    <s v="H"/>
    <x v="1"/>
    <s v="ANGUS NEGRO"/>
    <s v="5 años 4 meses"/>
    <s v="15-09-2020"/>
    <s v="Vivo"/>
    <x v="2"/>
    <s v="11.1.02.0004"/>
    <s v="11.1.01.1241"/>
    <s v="SI"/>
    <m/>
  </r>
  <r>
    <n v="19050162"/>
    <m/>
    <m/>
    <e v="#N/A"/>
    <m/>
    <m/>
    <m/>
    <m/>
    <d v="2024-12-22T00:00:00"/>
    <d v="2025-11-04T00:00:00"/>
    <s v="H"/>
    <x v="1"/>
    <s v="ANGUS ROJO"/>
    <s v="5 años 3 meses"/>
    <s v="05-10-2020"/>
    <s v="Vivo"/>
    <x v="0"/>
    <s v="11.2.01.0038"/>
    <s v="11.1.01.1241"/>
    <s v="SI"/>
    <m/>
  </r>
  <r>
    <n v="19050165"/>
    <m/>
    <m/>
    <e v="#N/A"/>
    <m/>
    <m/>
    <m/>
    <m/>
    <d v="2024-12-22T00:00:00"/>
    <d v="2025-11-05T00:00:00"/>
    <s v="H"/>
    <x v="1"/>
    <s v="ANGUS NEGRO"/>
    <s v="5 años 3 meses"/>
    <s v="25-09-2020"/>
    <s v="Vivo"/>
    <x v="7"/>
    <s v="11.1.01.0190"/>
    <s v="11.1.01.1241"/>
    <s v="SI"/>
    <m/>
  </r>
  <r>
    <n v="19050172"/>
    <m/>
    <m/>
    <e v="#N/A"/>
    <m/>
    <m/>
    <m/>
    <m/>
    <m/>
    <m/>
    <s v="H"/>
    <x v="1"/>
    <s v="ANGUS NEGRO"/>
    <s v="5 años 2 meses"/>
    <s v="30-10-2020"/>
    <s v="Vivo"/>
    <x v="0"/>
    <s v="Sin Movimiento"/>
    <s v="11.1.01.1241"/>
    <s v="SI"/>
    <m/>
  </r>
  <r>
    <n v="19050173"/>
    <m/>
    <m/>
    <e v="#N/A"/>
    <m/>
    <m/>
    <m/>
    <m/>
    <m/>
    <m/>
    <s v="H"/>
    <x v="1"/>
    <s v="ANGUS NEGRO"/>
    <s v="5 años 3 meses"/>
    <s v="30-09-2020"/>
    <s v="Vivo"/>
    <x v="3"/>
    <s v="11.1.01.1241"/>
    <s v="11.1.01.1241"/>
    <s v="SI"/>
    <m/>
  </r>
  <r>
    <n v="19050177"/>
    <m/>
    <m/>
    <e v="#N/A"/>
    <m/>
    <m/>
    <m/>
    <m/>
    <d v="2024-05-18T00:00:00"/>
    <d v="2025-11-05T00:00:00"/>
    <s v="H"/>
    <x v="1"/>
    <s v="ANGUS NEGRO"/>
    <s v="5 años 2 meses"/>
    <s v="25-10-2020"/>
    <s v="Vivo"/>
    <x v="7"/>
    <s v="11.1.01.0190"/>
    <s v="11.1.01.1241"/>
    <s v="SI"/>
    <m/>
  </r>
  <r>
    <n v="19050183"/>
    <m/>
    <m/>
    <e v="#N/A"/>
    <m/>
    <m/>
    <m/>
    <m/>
    <m/>
    <m/>
    <s v="H"/>
    <x v="1"/>
    <s v="ANGUS NEGRO"/>
    <s v="5 años 2 meses"/>
    <s v="20-10-2020"/>
    <s v="Vivo"/>
    <x v="2"/>
    <s v="11.1.02.0004"/>
    <s v="11.1.01.1241"/>
    <s v="SI"/>
    <m/>
  </r>
  <r>
    <n v="19050196"/>
    <m/>
    <m/>
    <e v="#N/A"/>
    <m/>
    <m/>
    <m/>
    <m/>
    <d v="2024-12-22T00:00:00"/>
    <d v="2025-01-14T00:00:00"/>
    <s v="H"/>
    <x v="1"/>
    <s v="ANGUS ROJO"/>
    <s v="5 años 3 meses"/>
    <s v="10-10-2020"/>
    <s v="Vivo"/>
    <x v="0"/>
    <s v="11.1.01.1022"/>
    <s v="11.1.01.1241"/>
    <s v="SI"/>
    <m/>
  </r>
  <r>
    <n v="19050200"/>
    <m/>
    <m/>
    <e v="#N/A"/>
    <m/>
    <m/>
    <m/>
    <m/>
    <d v="2024-12-22T00:00:00"/>
    <d v="2025-11-04T00:00:00"/>
    <s v="H"/>
    <x v="1"/>
    <s v="ANGUS NEGRO"/>
    <s v="5 años 3 meses"/>
    <s v="30-09-2020"/>
    <s v="Vivo"/>
    <x v="7"/>
    <s v="11.1.01.0190"/>
    <s v="11.1.01.1241"/>
    <s v="SI"/>
    <m/>
  </r>
  <r>
    <n v="19050206"/>
    <m/>
    <m/>
    <e v="#N/A"/>
    <m/>
    <m/>
    <m/>
    <m/>
    <d v="2024-12-22T00:00:00"/>
    <d v="2025-01-14T00:00:00"/>
    <s v="H"/>
    <x v="1"/>
    <s v="ANGUS NEGRO"/>
    <s v="5 años 3 meses"/>
    <s v="15-10-2020"/>
    <s v="Vivo"/>
    <x v="0"/>
    <s v="11.1.01.1022"/>
    <s v="11.1.01.1241"/>
    <s v="SI"/>
    <m/>
  </r>
  <r>
    <n v="19050207"/>
    <m/>
    <m/>
    <e v="#N/A"/>
    <m/>
    <m/>
    <m/>
    <m/>
    <d v="2024-12-22T00:00:00"/>
    <d v="2025-01-14T00:00:00"/>
    <s v="H"/>
    <x v="1"/>
    <s v="ANGUS NEGRO"/>
    <s v="5 años 2 meses"/>
    <s v="20-10-2020"/>
    <s v="Vivo"/>
    <x v="0"/>
    <s v="11.1.01.1022"/>
    <s v="11.1.01.1241"/>
    <s v="SI"/>
    <m/>
  </r>
  <r>
    <n v="19050210"/>
    <m/>
    <m/>
    <e v="#N/A"/>
    <m/>
    <m/>
    <m/>
    <m/>
    <m/>
    <m/>
    <s v="H"/>
    <x v="1"/>
    <s v="ANGUS NEGRO"/>
    <s v="5 años 3 meses"/>
    <s v="10-10-2020"/>
    <s v="Vivo"/>
    <x v="1"/>
    <s v="11.2.01.0053"/>
    <s v="11.1.01.1241"/>
    <s v="SI"/>
    <m/>
  </r>
  <r>
    <n v="19050213"/>
    <m/>
    <m/>
    <e v="#N/A"/>
    <m/>
    <m/>
    <m/>
    <m/>
    <m/>
    <m/>
    <s v="H"/>
    <x v="1"/>
    <s v="ANGUS NEGRO"/>
    <s v="5 años 2 meses"/>
    <s v="30-10-2020"/>
    <s v="Vivo"/>
    <x v="0"/>
    <s v="Sin Movimiento"/>
    <s v="11.1.01.1241"/>
    <s v="SI"/>
    <m/>
  </r>
  <r>
    <n v="19050217"/>
    <m/>
    <m/>
    <e v="#N/A"/>
    <m/>
    <m/>
    <m/>
    <m/>
    <m/>
    <m/>
    <s v="M"/>
    <x v="2"/>
    <s v="ANGUS NEGRO"/>
    <s v="5 años 2 meses"/>
    <s v="30-10-2020"/>
    <s v="Vivo"/>
    <x v="0"/>
    <s v="Sin Movimiento"/>
    <s v="11.1.01.1241"/>
    <s v="SI"/>
    <m/>
  </r>
  <r>
    <n v="19050218"/>
    <m/>
    <m/>
    <e v="#N/A"/>
    <m/>
    <m/>
    <m/>
    <m/>
    <m/>
    <m/>
    <s v="H"/>
    <x v="1"/>
    <s v="ANGUS NEGRO"/>
    <s v="5 años 2 meses"/>
    <s v="30-10-2020"/>
    <s v="Vivo"/>
    <x v="1"/>
    <s v="11.1.01.0941"/>
    <s v="11.1.01.1241"/>
    <s v="SI"/>
    <m/>
  </r>
  <r>
    <n v="19050223"/>
    <n v="2636103"/>
    <m/>
    <e v="#N/A"/>
    <m/>
    <m/>
    <m/>
    <m/>
    <m/>
    <d v="2025-11-04T00:00:00"/>
    <s v="M"/>
    <x v="2"/>
    <s v="ANGUS NEGRO"/>
    <s v="9 años 3 meses"/>
    <s v="24-09-2016"/>
    <s v="Vivo"/>
    <x v="7"/>
    <s v="11.1.01.0190"/>
    <s v="11.1.01.0932"/>
    <s v="SI"/>
    <m/>
  </r>
  <r>
    <n v="19050228"/>
    <n v="2636123"/>
    <m/>
    <e v="#N/A"/>
    <m/>
    <m/>
    <m/>
    <m/>
    <m/>
    <m/>
    <s v="M"/>
    <x v="0"/>
    <s v="ANGUS NEGRO"/>
    <s v="8 años 3 meses"/>
    <s v="15-10-2017"/>
    <s v="Vivo"/>
    <x v="0"/>
    <s v="11.2.01.0038"/>
    <s v="11.1.01.1241"/>
    <s v="NO"/>
    <m/>
  </r>
  <r>
    <n v="19050229"/>
    <n v="2636122"/>
    <m/>
    <e v="#N/A"/>
    <m/>
    <m/>
    <m/>
    <m/>
    <m/>
    <d v="2025-06-10T00:00:00"/>
    <s v="M"/>
    <x v="0"/>
    <s v="ANGUS NEGRO"/>
    <s v="13 años 1 meses"/>
    <s v="28-11-2012"/>
    <s v="Vivo"/>
    <x v="3"/>
    <s v="11.1.01.1241"/>
    <s v="11.1.01.1241"/>
    <s v="NO"/>
    <d v="2023-11-02T00:00:00"/>
  </r>
  <r>
    <n v="19050240"/>
    <n v="2636143"/>
    <m/>
    <e v="#N/A"/>
    <m/>
    <m/>
    <m/>
    <m/>
    <d v="2024-12-10T00:00:00"/>
    <m/>
    <s v="M"/>
    <x v="2"/>
    <s v="ANGUS NEGRO"/>
    <s v="7 años 2 meses"/>
    <s v="31-10-2018"/>
    <s v="Vivo"/>
    <x v="4"/>
    <s v="11.1.01.0893"/>
    <s v="11.2.01.0251"/>
    <s v="SI"/>
    <m/>
  </r>
  <r>
    <n v="19050244"/>
    <m/>
    <m/>
    <e v="#N/A"/>
    <m/>
    <m/>
    <m/>
    <m/>
    <d v="2024-01-06T00:00:00"/>
    <m/>
    <s v="H"/>
    <x v="1"/>
    <s v="ANGUS NEGRO"/>
    <s v="10 años 3 meses"/>
    <s v="15-10-2015"/>
    <s v="Vivo"/>
    <x v="3"/>
    <s v="11.1.01.0893"/>
    <s v="11.1.01.0893"/>
    <s v="NO"/>
    <d v="2020-11-21T00:00:00"/>
  </r>
  <r>
    <n v="19050254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2.01.0038"/>
    <s v="11.1.01.0893"/>
    <s v="SI"/>
    <m/>
  </r>
  <r>
    <n v="19050271"/>
    <m/>
    <m/>
    <e v="#N/A"/>
    <m/>
    <m/>
    <m/>
    <m/>
    <d v="2024-12-22T00:00:00"/>
    <d v="2025-11-04T00:00:00"/>
    <s v="H"/>
    <x v="1"/>
    <s v="ANGUS NEGRO"/>
    <s v="5 años 3 meses"/>
    <s v="05-10-2020"/>
    <s v="Vivo"/>
    <x v="7"/>
    <s v="11.1.01.0190"/>
    <s v="11.1.01.0893"/>
    <s v="SI"/>
    <m/>
  </r>
  <r>
    <n v="19050272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0893"/>
    <s v="SI"/>
    <m/>
  </r>
  <r>
    <n v="19050276"/>
    <m/>
    <m/>
    <e v="#N/A"/>
    <m/>
    <m/>
    <m/>
    <m/>
    <m/>
    <m/>
    <s v="H"/>
    <x v="1"/>
    <s v="ANGUS NEGRO"/>
    <s v="5 años 3 meses"/>
    <s v="20-09-2020"/>
    <s v="Vivo"/>
    <x v="1"/>
    <s v="11.2.01.0053"/>
    <s v="11.1.01.0893"/>
    <s v="SI"/>
    <m/>
  </r>
  <r>
    <n v="19050283"/>
    <m/>
    <m/>
    <e v="#N/A"/>
    <m/>
    <m/>
    <m/>
    <m/>
    <d v="2024-12-22T00:00:00"/>
    <d v="2025-11-04T00:00:00"/>
    <s v="H"/>
    <x v="1"/>
    <s v="ANGUS NEGRO"/>
    <s v="5 años 3 meses"/>
    <s v="05-10-2020"/>
    <s v="Vivo"/>
    <x v="0"/>
    <s v="11.1.01.1022"/>
    <s v="11.1.01.0893"/>
    <s v="SI"/>
    <m/>
  </r>
  <r>
    <n v="19050290"/>
    <m/>
    <m/>
    <e v="#N/A"/>
    <m/>
    <m/>
    <m/>
    <m/>
    <m/>
    <m/>
    <s v="H"/>
    <x v="1"/>
    <s v="ANGUS NEGRO"/>
    <s v="5 años 3 meses"/>
    <s v="05-10-2020"/>
    <s v="Vivo"/>
    <x v="3"/>
    <s v="11.1.01.2304"/>
    <s v="11.1.01.0893"/>
    <s v="SI"/>
    <m/>
  </r>
  <r>
    <n v="19050292"/>
    <m/>
    <m/>
    <e v="#N/A"/>
    <m/>
    <m/>
    <m/>
    <m/>
    <d v="2024-12-22T00:00:00"/>
    <d v="2025-11-04T00:00:00"/>
    <s v="H"/>
    <x v="1"/>
    <s v="ANGUS NEGRO"/>
    <s v="5 años 3 meses"/>
    <s v="05-10-2020"/>
    <s v="Vivo"/>
    <x v="0"/>
    <s v="11.2.01.0038"/>
    <s v="11.1.01.0893"/>
    <s v="SI"/>
    <m/>
  </r>
  <r>
    <n v="19050296"/>
    <m/>
    <m/>
    <e v="#N/A"/>
    <m/>
    <m/>
    <m/>
    <m/>
    <d v="2024-05-18T00:00:00"/>
    <d v="2025-01-14T00:00:00"/>
    <s v="H"/>
    <x v="1"/>
    <s v="ANGUS NEGRO"/>
    <s v="5 años 3 meses"/>
    <s v="30-09-2020"/>
    <s v="Vivo"/>
    <x v="0"/>
    <s v="11.1.01.1022"/>
    <s v="11.1.01.0893"/>
    <s v="SI"/>
    <m/>
  </r>
  <r>
    <n v="19050300"/>
    <m/>
    <m/>
    <e v="#N/A"/>
    <m/>
    <m/>
    <m/>
    <m/>
    <m/>
    <m/>
    <s v="H"/>
    <x v="1"/>
    <s v="ANGUS NEGRO"/>
    <s v="5 años 3 meses"/>
    <s v="30-09-2020"/>
    <s v="Vivo"/>
    <x v="3"/>
    <s v="11.1.01.0893"/>
    <s v="11.1.01.0893"/>
    <s v="SI"/>
    <m/>
  </r>
  <r>
    <n v="19050304"/>
    <m/>
    <m/>
    <e v="#N/A"/>
    <m/>
    <m/>
    <m/>
    <m/>
    <d v="2024-12-22T00:00:00"/>
    <d v="2025-11-04T00:00:00"/>
    <s v="H"/>
    <x v="1"/>
    <s v="ANGUS NEGRO"/>
    <s v="5 años 3 meses"/>
    <s v="30-09-2020"/>
    <s v="Vivo"/>
    <x v="7"/>
    <s v="11.1.01.0190"/>
    <s v="11.1.01.0893"/>
    <s v="SI"/>
    <m/>
  </r>
  <r>
    <n v="19050315"/>
    <m/>
    <m/>
    <e v="#N/A"/>
    <m/>
    <m/>
    <m/>
    <m/>
    <m/>
    <m/>
    <s v="H"/>
    <x v="1"/>
    <s v="ANGUS ROJO"/>
    <s v="5 años 3 meses"/>
    <s v="30-09-2020"/>
    <s v="Vivo"/>
    <x v="2"/>
    <s v="11.1.02.0004"/>
    <s v="11.1.01.0893"/>
    <s v="SI"/>
    <m/>
  </r>
  <r>
    <n v="19050333"/>
    <m/>
    <m/>
    <e v="#N/A"/>
    <m/>
    <m/>
    <m/>
    <m/>
    <m/>
    <m/>
    <s v="H"/>
    <x v="1"/>
    <s v="ANGUS NEGRO"/>
    <s v="5 años 2 meses"/>
    <s v="30-10-2020"/>
    <s v="Vivo"/>
    <x v="2"/>
    <s v="11.1.02.0004"/>
    <s v="11.1.01.1241"/>
    <s v="SI"/>
    <m/>
  </r>
  <r>
    <n v="19050338"/>
    <m/>
    <m/>
    <e v="#N/A"/>
    <m/>
    <m/>
    <m/>
    <m/>
    <m/>
    <m/>
    <s v="H"/>
    <x v="1"/>
    <s v="HEREFORD"/>
    <s v="5 años 2 meses"/>
    <s v="05-11-2020"/>
    <s v="Vivo"/>
    <x v="3"/>
    <s v="11.1.01.1241"/>
    <s v="11.1.01.1241"/>
    <s v="SI"/>
    <m/>
  </r>
  <r>
    <n v="19050339"/>
    <m/>
    <m/>
    <e v="#N/A"/>
    <m/>
    <m/>
    <m/>
    <m/>
    <m/>
    <m/>
    <s v="H"/>
    <x v="1"/>
    <s v="ANGUS NEGRO"/>
    <s v="5 años 2 meses"/>
    <s v="30-10-2020"/>
    <s v="Vivo"/>
    <x v="3"/>
    <s v="11.1.01.1241"/>
    <s v="11.1.01.1241"/>
    <s v="SI"/>
    <m/>
  </r>
  <r>
    <n v="19050340"/>
    <m/>
    <m/>
    <e v="#N/A"/>
    <m/>
    <m/>
    <m/>
    <m/>
    <m/>
    <m/>
    <s v="H"/>
    <x v="1"/>
    <s v="ANGUS NEGRO"/>
    <s v="5 años 2 meses"/>
    <s v="05-11-2020"/>
    <s v="Vivo"/>
    <x v="1"/>
    <s v="11.2.01.0053"/>
    <s v="11.1.01.1241"/>
    <s v="SI"/>
    <m/>
  </r>
  <r>
    <n v="19050343"/>
    <m/>
    <m/>
    <e v="#N/A"/>
    <m/>
    <m/>
    <m/>
    <m/>
    <m/>
    <m/>
    <s v="H"/>
    <x v="1"/>
    <s v="ANGUS NEGRO"/>
    <s v="5 años 2 meses"/>
    <s v="10-11-2020"/>
    <s v="Vivo"/>
    <x v="1"/>
    <s v="11.2.01.0053"/>
    <s v="11.1.01.1241"/>
    <s v="SI"/>
    <m/>
  </r>
  <r>
    <n v="19050346"/>
    <m/>
    <m/>
    <e v="#N/A"/>
    <m/>
    <m/>
    <m/>
    <m/>
    <m/>
    <m/>
    <s v="H"/>
    <x v="1"/>
    <s v="ANGUS NEGRO"/>
    <s v="5 años 2 meses"/>
    <s v="30-10-2020"/>
    <s v="Vivo"/>
    <x v="1"/>
    <s v="11.2.01.0053"/>
    <s v="11.1.01.1241"/>
    <s v="SI"/>
    <m/>
  </r>
  <r>
    <n v="19050349"/>
    <m/>
    <m/>
    <e v="#N/A"/>
    <m/>
    <m/>
    <m/>
    <m/>
    <d v="2024-12-22T00:00:00"/>
    <d v="2025-01-14T00:00:00"/>
    <s v="H"/>
    <x v="1"/>
    <s v="ANGUS NEGRO"/>
    <s v="5 años 2 meses"/>
    <s v="05-11-2020"/>
    <s v="Vivo"/>
    <x v="0"/>
    <s v="11.1.01.1022"/>
    <s v="11.1.01.1241"/>
    <s v="SI"/>
    <m/>
  </r>
  <r>
    <n v="19050364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1241"/>
    <s v="SI"/>
    <m/>
  </r>
  <r>
    <n v="19050383"/>
    <m/>
    <m/>
    <e v="#N/A"/>
    <m/>
    <m/>
    <m/>
    <m/>
    <d v="2024-12-22T00:00:00"/>
    <d v="2025-01-14T00:00:00"/>
    <s v="H"/>
    <x v="1"/>
    <s v="ANGUS NEGRO"/>
    <s v="5 años 1 meses"/>
    <s v="10-12-2020"/>
    <s v="Vivo"/>
    <x v="0"/>
    <s v="11.2.01.0038"/>
    <s v="11.1.01.0893"/>
    <s v="SI"/>
    <d v="2021-02-06T00:00:00"/>
  </r>
  <r>
    <n v="19050392"/>
    <m/>
    <m/>
    <e v="#N/A"/>
    <m/>
    <m/>
    <m/>
    <m/>
    <d v="2024-12-22T00:00:00"/>
    <d v="2025-11-05T00:00:00"/>
    <s v="H"/>
    <x v="1"/>
    <s v="ANGUS NEGRO"/>
    <s v="5 años 2 meses"/>
    <s v="30-10-2020"/>
    <s v="Vivo"/>
    <x v="7"/>
    <s v="11.1.01.0190"/>
    <s v="11.1.01.0893"/>
    <s v="SI"/>
    <d v="2021-03-19T00:00:00"/>
  </r>
  <r>
    <n v="19325277"/>
    <m/>
    <m/>
    <e v="#N/A"/>
    <m/>
    <m/>
    <m/>
    <m/>
    <m/>
    <m/>
    <s v="H"/>
    <x v="1"/>
    <s v="POLLED HEREFORD"/>
    <s v="6 años 3 meses"/>
    <s v="01-10-2019"/>
    <s v="Vivo"/>
    <x v="2"/>
    <s v="11.1.01.0599"/>
    <s v="11.1.01.0599"/>
    <s v="SI"/>
    <m/>
  </r>
  <r>
    <n v="19327079"/>
    <m/>
    <m/>
    <e v="#N/A"/>
    <m/>
    <m/>
    <m/>
    <m/>
    <m/>
    <m/>
    <s v="H"/>
    <x v="1"/>
    <s v="ANGUS ROJO"/>
    <s v="6 años 3 meses"/>
    <s v="30-09-2019"/>
    <s v="Vivo"/>
    <x v="2"/>
    <s v="11.1.01.0742"/>
    <s v="11.4.02.0225"/>
    <s v="SI"/>
    <m/>
  </r>
  <r>
    <n v="19657235"/>
    <m/>
    <m/>
    <e v="#N/A"/>
    <m/>
    <m/>
    <m/>
    <m/>
    <d v="2024-12-22T00:00:00"/>
    <d v="2025-01-14T00:00:00"/>
    <s v="H"/>
    <x v="1"/>
    <s v="ANGUS NEGRO"/>
    <s v="5 años 3 meses"/>
    <s v="15-10-2020"/>
    <s v="Vivo"/>
    <x v="0"/>
    <s v="11.1.01.1022"/>
    <s v="11.1.01.0255"/>
    <s v="SI"/>
    <m/>
  </r>
  <r>
    <n v="19776768"/>
    <m/>
    <m/>
    <e v="#N/A"/>
    <m/>
    <m/>
    <m/>
    <m/>
    <m/>
    <m/>
    <s v="M"/>
    <x v="2"/>
    <s v="ANGUS NEGRO"/>
    <s v="5 años 2 meses"/>
    <s v="20-10-2020"/>
    <s v="Vivo"/>
    <x v="0"/>
    <s v="11.1.01.1022"/>
    <s v="11.2.01.0251"/>
    <s v="SI"/>
    <m/>
  </r>
  <r>
    <n v="19776808"/>
    <n v="2636157"/>
    <m/>
    <e v="#N/A"/>
    <m/>
    <m/>
    <m/>
    <m/>
    <m/>
    <d v="2025-06-10T00:00:00"/>
    <s v="M"/>
    <x v="2"/>
    <s v="ANGUS NEGRO"/>
    <s v="5 años 2 meses"/>
    <s v="20-10-2020"/>
    <s v="Vivo"/>
    <x v="3"/>
    <s v="11.1.01.1241"/>
    <s v="11.2.01.0251"/>
    <s v="SI"/>
    <m/>
  </r>
  <r>
    <n v="19785423"/>
    <m/>
    <m/>
    <e v="#N/A"/>
    <m/>
    <m/>
    <m/>
    <m/>
    <d v="2024-12-22T00:00:00"/>
    <d v="2025-01-14T00:00:00"/>
    <s v="H"/>
    <x v="1"/>
    <s v="ANGUS ROJO"/>
    <s v="5 años 3 meses"/>
    <s v="30-09-2020"/>
    <s v="Vivo"/>
    <x v="0"/>
    <s v="11.1.01.1022"/>
    <s v="11.1.01.1125"/>
    <s v="SI"/>
    <m/>
  </r>
  <r>
    <n v="19785769"/>
    <n v="2636173"/>
    <m/>
    <e v="#N/A"/>
    <m/>
    <m/>
    <m/>
    <m/>
    <m/>
    <d v="2025-11-04T00:00:00"/>
    <s v="M"/>
    <x v="2"/>
    <s v="ANGUS NEGRO"/>
    <s v="4 años 4 meses"/>
    <s v="15-09-2021"/>
    <s v="Vivo"/>
    <x v="7"/>
    <s v="11.1.01.0190"/>
    <s v="11.1.01.2408"/>
    <s v="NO"/>
    <m/>
  </r>
  <r>
    <n v="19785784"/>
    <n v="2636164"/>
    <m/>
    <e v="#N/A"/>
    <m/>
    <m/>
    <m/>
    <m/>
    <m/>
    <d v="2025-06-10T00:00:00"/>
    <s v="M"/>
    <x v="2"/>
    <s v="ANGUS NEGRO"/>
    <s v="4 años 4 meses"/>
    <s v="15-09-2021"/>
    <s v="Vivo"/>
    <x v="0"/>
    <s v="11.1.01.2408"/>
    <s v="11.1.01.2408"/>
    <s v="NO"/>
    <m/>
  </r>
  <r>
    <n v="19785789"/>
    <n v="2636168"/>
    <m/>
    <e v="#N/A"/>
    <m/>
    <m/>
    <m/>
    <m/>
    <m/>
    <d v="2025-11-04T00:00:00"/>
    <s v="M"/>
    <x v="2"/>
    <s v="ANGUS NEGRO"/>
    <s v="4 años 4 meses"/>
    <s v="15-09-2021"/>
    <s v="Vivo"/>
    <x v="7"/>
    <s v="11.1.01.0190"/>
    <s v="11.1.01.2408"/>
    <s v="NO"/>
    <m/>
  </r>
  <r>
    <n v="19785804"/>
    <m/>
    <m/>
    <e v="#N/A"/>
    <m/>
    <m/>
    <m/>
    <m/>
    <m/>
    <m/>
    <s v="M"/>
    <x v="2"/>
    <s v="ANGUS NEGRO"/>
    <s v="3 años 3 meses"/>
    <s v="15-10-2022"/>
    <s v="Vivo"/>
    <x v="10"/>
    <s v="11.1.01.0893"/>
    <s v="11.1.01.2408"/>
    <s v="NO"/>
    <m/>
  </r>
  <r>
    <n v="20005035"/>
    <n v="2636155"/>
    <m/>
    <e v="#N/A"/>
    <m/>
    <m/>
    <m/>
    <m/>
    <m/>
    <m/>
    <s v="M"/>
    <x v="2"/>
    <s v="ANGUS NEGRO"/>
    <s v="6 años 1 meses"/>
    <s v="15-12-2019"/>
    <s v="Vivo"/>
    <x v="0"/>
    <s v="11.1.01.1022"/>
    <s v="11.2.01.0251"/>
    <s v="SI"/>
    <m/>
  </r>
  <r>
    <n v="20005435"/>
    <m/>
    <m/>
    <e v="#N/A"/>
    <m/>
    <m/>
    <m/>
    <m/>
    <m/>
    <m/>
    <s v="M"/>
    <x v="2"/>
    <s v="ANGUS ROJO"/>
    <s v="4 años 3 meses"/>
    <s v="10-10-2021"/>
    <s v="Vivo"/>
    <x v="0"/>
    <s v="11.1.01.1014"/>
    <s v="11.1.01.0713"/>
    <s v="SI"/>
    <m/>
  </r>
  <r>
    <n v="20910003"/>
    <m/>
    <m/>
    <e v="#N/A"/>
    <m/>
    <m/>
    <m/>
    <m/>
    <m/>
    <m/>
    <s v="M"/>
    <x v="2"/>
    <s v="HEREFORD"/>
    <s v="4 años 3 meses"/>
    <s v="30-09-2021"/>
    <s v="Vivo"/>
    <x v="0"/>
    <s v="Sin Movimiento"/>
    <s v="11.1.01.1241"/>
    <s v="SI"/>
    <d v="2021-10-11T00:00:00"/>
  </r>
  <r>
    <n v="20910008"/>
    <m/>
    <m/>
    <e v="#N/A"/>
    <m/>
    <m/>
    <m/>
    <m/>
    <d v="2024-12-22T00:00:00"/>
    <d v="2025-01-14T00:00:00"/>
    <s v="H"/>
    <x v="1"/>
    <s v="ANGUS ROJO"/>
    <s v="4 años 3 meses"/>
    <s v="05-10-2021"/>
    <s v="Vivo"/>
    <x v="0"/>
    <s v="11.2.01.0038"/>
    <s v="11.1.01.1241"/>
    <s v="SI"/>
    <d v="2021-10-11T00:00:00"/>
  </r>
  <r>
    <n v="20910012"/>
    <m/>
    <m/>
    <e v="#N/A"/>
    <m/>
    <m/>
    <m/>
    <m/>
    <m/>
    <m/>
    <s v="H"/>
    <x v="1"/>
    <s v="ANGUS NEGRO"/>
    <s v="4 años 3 meses"/>
    <s v="30-09-2021"/>
    <s v="Vivo"/>
    <x v="1"/>
    <s v="11.2.01.0053"/>
    <s v="11.1.01.1241"/>
    <s v="SI"/>
    <d v="2021-10-11T00:00:00"/>
  </r>
  <r>
    <n v="20910017"/>
    <m/>
    <m/>
    <e v="#N/A"/>
    <m/>
    <m/>
    <m/>
    <m/>
    <d v="2024-12-22T00:00:00"/>
    <d v="2025-01-14T00:00:00"/>
    <s v="H"/>
    <x v="1"/>
    <s v="ANGUS ROJO"/>
    <s v="4 años 3 meses"/>
    <s v="18-09-2021"/>
    <s v="Vivo"/>
    <x v="0"/>
    <s v="11.2.01.0038"/>
    <s v="11.1.01.1241"/>
    <s v="SI"/>
    <d v="2021-10-11T00:00:00"/>
  </r>
  <r>
    <n v="20910018"/>
    <m/>
    <m/>
    <e v="#N/A"/>
    <m/>
    <m/>
    <m/>
    <m/>
    <m/>
    <m/>
    <s v="H"/>
    <x v="1"/>
    <s v="ANGUS ROJO"/>
    <s v="4 años 3 meses"/>
    <s v="30-09-2021"/>
    <s v="Vivo"/>
    <x v="4"/>
    <s v="11.1.01.0893"/>
    <s v="11.1.01.1241"/>
    <s v="SI"/>
    <d v="2021-10-11T00:00:00"/>
  </r>
  <r>
    <n v="20910021"/>
    <m/>
    <m/>
    <e v="#N/A"/>
    <m/>
    <m/>
    <m/>
    <m/>
    <d v="2024-12-22T00:00:00"/>
    <d v="2025-11-04T00:00:00"/>
    <s v="H"/>
    <x v="1"/>
    <s v="ANGUS NEGRO"/>
    <s v="4 años 3 meses"/>
    <s v="09-10-2021"/>
    <s v="Vivo"/>
    <x v="7"/>
    <s v="11.1.01.0190"/>
    <s v="11.1.01.1241"/>
    <s v="SI"/>
    <d v="2021-10-11T00:00:00"/>
  </r>
  <r>
    <n v="20910026"/>
    <m/>
    <m/>
    <e v="#N/A"/>
    <m/>
    <m/>
    <m/>
    <m/>
    <m/>
    <m/>
    <s v="H"/>
    <x v="1"/>
    <s v="ANGUS ROJO"/>
    <s v="4 años 3 meses"/>
    <s v="20-09-2021"/>
    <s v="Vivo"/>
    <x v="2"/>
    <s v="11.1.01.1241"/>
    <s v="11.1.01.1241"/>
    <s v="SI"/>
    <d v="2021-10-11T00:00:00"/>
  </r>
  <r>
    <n v="20910031"/>
    <m/>
    <m/>
    <e v="#N/A"/>
    <m/>
    <m/>
    <m/>
    <m/>
    <m/>
    <m/>
    <s v="H"/>
    <x v="1"/>
    <s v="ANGUS ROJO"/>
    <s v="4 años 3 meses"/>
    <s v="30-09-2021"/>
    <s v="Vivo"/>
    <x v="4"/>
    <s v="11.1.01.0893"/>
    <s v="11.1.01.1241"/>
    <s v="SI"/>
    <d v="2021-10-11T00:00:00"/>
  </r>
  <r>
    <n v="20910039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1.01.1022"/>
    <s v="11.1.01.1241"/>
    <s v="SI"/>
    <d v="2021-10-11T00:00:00"/>
  </r>
  <r>
    <n v="20910044"/>
    <m/>
    <m/>
    <e v="#N/A"/>
    <m/>
    <m/>
    <m/>
    <m/>
    <m/>
    <m/>
    <s v="M"/>
    <x v="2"/>
    <s v="ANGUS NEGRO"/>
    <s v="4 años 3 meses"/>
    <s v="20-09-2021"/>
    <s v="Vivo"/>
    <x v="0"/>
    <s v="Sin Movimiento"/>
    <s v="11.1.01.1241"/>
    <s v="SI"/>
    <d v="2021-10-11T00:00:00"/>
  </r>
  <r>
    <n v="20910049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1.01.1022"/>
    <s v="11.1.01.1241"/>
    <s v="SI"/>
    <d v="2021-10-11T00:00:00"/>
  </r>
  <r>
    <n v="20910059"/>
    <m/>
    <m/>
    <e v="#N/A"/>
    <m/>
    <m/>
    <m/>
    <m/>
    <m/>
    <m/>
    <s v="M"/>
    <x v="2"/>
    <s v="ANGUS ROJO"/>
    <s v="4 años 3 meses"/>
    <s v="30-09-2021"/>
    <s v="Vivo"/>
    <x v="0"/>
    <s v="Sin Movimiento"/>
    <s v="11.1.01.1241"/>
    <s v="SI"/>
    <m/>
  </r>
  <r>
    <n v="20910062"/>
    <m/>
    <m/>
    <e v="#N/A"/>
    <m/>
    <m/>
    <m/>
    <m/>
    <m/>
    <m/>
    <s v="H"/>
    <x v="1"/>
    <s v="ANGUS NEGRO"/>
    <s v="4 años 3 meses"/>
    <s v="19-09-2021"/>
    <s v="Vivo"/>
    <x v="2"/>
    <s v="11.1.01.1241"/>
    <s v="11.1.01.1241"/>
    <s v="SI"/>
    <m/>
  </r>
  <r>
    <n v="20910066"/>
    <m/>
    <m/>
    <e v="#N/A"/>
    <m/>
    <m/>
    <m/>
    <m/>
    <d v="2024-12-22T00:00:00"/>
    <d v="2025-01-14T00:00:00"/>
    <s v="H"/>
    <x v="1"/>
    <s v="ANGUS NEGRO"/>
    <s v="4 años 3 meses"/>
    <s v="10-10-2021"/>
    <s v="Vivo"/>
    <x v="0"/>
    <s v="11.1.01.1022"/>
    <s v="11.1.01.1241"/>
    <s v="SI"/>
    <m/>
  </r>
  <r>
    <n v="20910072"/>
    <m/>
    <m/>
    <e v="#N/A"/>
    <m/>
    <m/>
    <m/>
    <m/>
    <d v="2024-12-22T00:00:00"/>
    <d v="2025-11-04T00:00:00"/>
    <s v="H"/>
    <x v="1"/>
    <s v="ANGUS NEGRO"/>
    <s v="4 años 3 meses"/>
    <s v="05-10-2021"/>
    <s v="Vivo"/>
    <x v="0"/>
    <s v="11.2.01.0038"/>
    <s v="11.1.01.1241"/>
    <s v="SI"/>
    <m/>
  </r>
  <r>
    <n v="20910073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2.01.0038"/>
    <s v="11.1.01.1241"/>
    <s v="SI"/>
    <m/>
  </r>
  <r>
    <n v="20910074"/>
    <m/>
    <m/>
    <e v="#N/A"/>
    <m/>
    <m/>
    <m/>
    <m/>
    <d v="2024-12-22T00:00:00"/>
    <d v="2025-11-04T00:00:00"/>
    <s v="H"/>
    <x v="1"/>
    <s v="ANGUS NEGRO"/>
    <s v="4 años 3 meses"/>
    <s v="30-09-2021"/>
    <s v="Vivo"/>
    <x v="0"/>
    <s v="11.2.01.0038"/>
    <s v="11.1.01.1241"/>
    <s v="SI"/>
    <m/>
  </r>
  <r>
    <n v="20910075"/>
    <m/>
    <m/>
    <e v="#N/A"/>
    <m/>
    <m/>
    <m/>
    <m/>
    <m/>
    <m/>
    <s v="H"/>
    <x v="1"/>
    <s v="ANGUS ROJO"/>
    <s v="4 años 3 meses"/>
    <s v="30-09-2021"/>
    <s v="Vivo"/>
    <x v="4"/>
    <s v="11.1.01.0893"/>
    <s v="11.1.01.1241"/>
    <s v="SI"/>
    <m/>
  </r>
  <r>
    <n v="20910076"/>
    <m/>
    <m/>
    <e v="#N/A"/>
    <m/>
    <m/>
    <m/>
    <m/>
    <d v="2024-12-22T00:00:00"/>
    <d v="2025-11-04T00:00:00"/>
    <s v="H"/>
    <x v="1"/>
    <s v="ANGUS ROJO"/>
    <s v="4 años 3 meses"/>
    <s v="10-10-2021"/>
    <s v="Vivo"/>
    <x v="0"/>
    <s v="11.2.01.0038"/>
    <s v="11.1.01.1241"/>
    <s v="SI"/>
    <m/>
  </r>
  <r>
    <n v="20910080"/>
    <m/>
    <m/>
    <e v="#N/A"/>
    <m/>
    <m/>
    <m/>
    <m/>
    <d v="2024-12-22T00:00:00"/>
    <d v="2025-11-05T00:00:00"/>
    <s v="H"/>
    <x v="1"/>
    <s v="ANGUS NEGRO"/>
    <s v="4 años 3 meses"/>
    <s v="10-10-2021"/>
    <s v="Vivo"/>
    <x v="7"/>
    <s v="11.1.01.0190"/>
    <s v="11.1.01.1241"/>
    <s v="SI"/>
    <m/>
  </r>
  <r>
    <n v="20910125"/>
    <m/>
    <m/>
    <e v="#N/A"/>
    <m/>
    <m/>
    <m/>
    <m/>
    <m/>
    <m/>
    <s v="H"/>
    <x v="1"/>
    <s v="ANGUS NEGRO"/>
    <s v="4 años 3 meses"/>
    <s v="05-10-2021"/>
    <s v="Vivo"/>
    <x v="0"/>
    <s v="11.2.01.0038"/>
    <s v="11.1.01.0893"/>
    <s v="SI"/>
    <d v="2021-10-22T00:00:00"/>
  </r>
  <r>
    <n v="20910129"/>
    <m/>
    <m/>
    <e v="#N/A"/>
    <m/>
    <m/>
    <m/>
    <m/>
    <m/>
    <m/>
    <s v="H"/>
    <x v="1"/>
    <s v="ANGUS NEGRO"/>
    <s v="4 años 2 meses"/>
    <s v="18-10-2021"/>
    <s v="Vivo"/>
    <x v="3"/>
    <s v="11.1.01.0893"/>
    <s v="11.1.01.0893"/>
    <s v="SI"/>
    <d v="2021-10-22T00:00:00"/>
  </r>
  <r>
    <n v="20910142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1.01.1022"/>
    <s v="11.1.01.0893"/>
    <s v="SI"/>
    <d v="2021-10-22T00:00:00"/>
  </r>
  <r>
    <n v="20910148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1.01.1022"/>
    <s v="11.1.01.0893"/>
    <s v="SI"/>
    <d v="2021-10-22T00:00:00"/>
  </r>
  <r>
    <n v="20910155"/>
    <m/>
    <m/>
    <e v="#N/A"/>
    <m/>
    <m/>
    <m/>
    <m/>
    <m/>
    <m/>
    <s v="M"/>
    <x v="2"/>
    <s v="ANGUS NEGRO"/>
    <s v="4 años 4 meses"/>
    <s v="10-09-2021"/>
    <s v="Vivo"/>
    <x v="2"/>
    <s v="Sin Movimiento"/>
    <s v="11.1.01.0893"/>
    <s v="SI"/>
    <d v="2021-10-22T00:00:00"/>
  </r>
  <r>
    <n v="20910163"/>
    <m/>
    <m/>
    <e v="#N/A"/>
    <m/>
    <m/>
    <m/>
    <m/>
    <m/>
    <m/>
    <s v="M"/>
    <x v="2"/>
    <s v="ANGUS NEGRO"/>
    <s v="4 años 3 meses"/>
    <s v="30-09-2021"/>
    <s v="Vivo"/>
    <x v="2"/>
    <s v="Sin Movimiento"/>
    <s v="11.1.01.0893"/>
    <s v="SI"/>
    <d v="2021-10-22T00:00:00"/>
  </r>
  <r>
    <n v="20910172"/>
    <m/>
    <m/>
    <e v="#N/A"/>
    <m/>
    <m/>
    <m/>
    <m/>
    <m/>
    <m/>
    <s v="H"/>
    <x v="1"/>
    <s v="ANGUS NEGRO"/>
    <s v="4 años 3 meses"/>
    <s v="05-10-2021"/>
    <s v="Vivo"/>
    <x v="2"/>
    <s v="Sin Movimiento"/>
    <s v="11.1.01.0893"/>
    <s v="SI"/>
    <d v="2021-10-22T00:00:00"/>
  </r>
  <r>
    <n v="20910191"/>
    <m/>
    <m/>
    <e v="#N/A"/>
    <m/>
    <m/>
    <m/>
    <m/>
    <d v="2024-12-22T00:00:00"/>
    <d v="2025-01-14T00:00:00"/>
    <s v="H"/>
    <x v="1"/>
    <s v="ANGUS NEGRO"/>
    <s v="4 años 3 meses"/>
    <s v="15-10-2021"/>
    <s v="Vivo"/>
    <x v="0"/>
    <s v="11.2.01.0038"/>
    <s v="11.1.01.0893"/>
    <s v="SI"/>
    <d v="2021-10-22T00:00:00"/>
  </r>
  <r>
    <n v="20910193"/>
    <m/>
    <m/>
    <e v="#N/A"/>
    <m/>
    <m/>
    <m/>
    <m/>
    <d v="2024-12-22T00:00:00"/>
    <d v="2025-01-14T00:00:00"/>
    <s v="H"/>
    <x v="1"/>
    <s v="ANGUS NEGRO"/>
    <s v="4 años 3 meses"/>
    <s v="15-10-2021"/>
    <s v="Vivo"/>
    <x v="0"/>
    <s v="11.1.01.1022"/>
    <s v="11.1.01.0893"/>
    <s v="SI"/>
    <d v="2021-10-22T00:00:00"/>
  </r>
  <r>
    <n v="20910198"/>
    <m/>
    <m/>
    <e v="#N/A"/>
    <m/>
    <m/>
    <m/>
    <m/>
    <d v="2024-12-22T00:00:00"/>
    <d v="2025-01-14T00:00:00"/>
    <s v="H"/>
    <x v="1"/>
    <s v="ANGUS ROJO"/>
    <s v="4 años 4 meses"/>
    <s v="30-08-2021"/>
    <s v="Vivo"/>
    <x v="0"/>
    <s v="11.2.01.0038"/>
    <s v="11.1.01.0893"/>
    <s v="SI"/>
    <d v="2021-10-22T00:00:00"/>
  </r>
  <r>
    <n v="20910201"/>
    <m/>
    <m/>
    <e v="#N/A"/>
    <m/>
    <m/>
    <m/>
    <m/>
    <d v="2024-12-22T00:00:00"/>
    <d v="2025-01-14T00:00:00"/>
    <s v="H"/>
    <x v="1"/>
    <s v="ANGUS NEGRO"/>
    <s v="4 años 4 meses"/>
    <s v="10-09-2021"/>
    <s v="Vivo"/>
    <x v="0"/>
    <s v="11.1.01.1022"/>
    <s v="11.1.01.0893"/>
    <s v="SI"/>
    <d v="2021-10-22T00:00:00"/>
  </r>
  <r>
    <n v="20910205"/>
    <m/>
    <m/>
    <e v="#N/A"/>
    <m/>
    <m/>
    <m/>
    <m/>
    <m/>
    <m/>
    <s v="M"/>
    <x v="2"/>
    <s v="ANGUS ROJO"/>
    <s v="4 años 3 meses"/>
    <s v="15-10-2021"/>
    <s v="Vivo"/>
    <x v="0"/>
    <s v="11.1.01.0893"/>
    <s v="11.1.01.0893"/>
    <s v="SI"/>
    <d v="2021-10-22T00:00:00"/>
  </r>
  <r>
    <n v="20910206"/>
    <m/>
    <m/>
    <e v="#N/A"/>
    <m/>
    <m/>
    <m/>
    <m/>
    <d v="2024-12-22T00:00:00"/>
    <d v="2025-11-04T00:00:00"/>
    <s v="H"/>
    <x v="1"/>
    <s v="ANGUS NEGRO"/>
    <s v="4 años 3 meses"/>
    <s v="25-09-2021"/>
    <s v="Vivo"/>
    <x v="0"/>
    <s v="11.2.01.0038"/>
    <s v="11.1.01.0893"/>
    <s v="SI"/>
    <d v="2021-10-22T00:00:00"/>
  </r>
  <r>
    <n v="20910208"/>
    <m/>
    <m/>
    <e v="#N/A"/>
    <m/>
    <m/>
    <m/>
    <m/>
    <d v="2024-12-22T00:00:00"/>
    <d v="2025-11-05T00:00:00"/>
    <s v="H"/>
    <x v="1"/>
    <s v="ANGUS ROJO"/>
    <s v="4 años 4 meses"/>
    <s v="10-09-2021"/>
    <s v="Vivo"/>
    <x v="7"/>
    <s v="11.1.01.0190"/>
    <s v="11.1.01.0893"/>
    <s v="SI"/>
    <d v="2021-10-22T00:00:00"/>
  </r>
  <r>
    <n v="20910210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1.01.1022"/>
    <s v="11.1.01.0893"/>
    <s v="SI"/>
    <d v="2021-10-22T00:00:00"/>
  </r>
  <r>
    <n v="20910215"/>
    <m/>
    <m/>
    <e v="#N/A"/>
    <m/>
    <m/>
    <m/>
    <m/>
    <m/>
    <m/>
    <s v="H"/>
    <x v="1"/>
    <s v="ANGUS ROJO"/>
    <s v="4 años 4 meses"/>
    <s v="26-08-2021"/>
    <s v="Vivo"/>
    <x v="3"/>
    <s v="11.1.01.0893"/>
    <s v="11.1.01.0893"/>
    <s v="SI"/>
    <d v="2021-10-22T00:00:00"/>
  </r>
  <r>
    <n v="20910217"/>
    <m/>
    <m/>
    <e v="#N/A"/>
    <m/>
    <m/>
    <m/>
    <m/>
    <d v="2024-12-22T00:00:00"/>
    <d v="2025-01-14T00:00:00"/>
    <s v="H"/>
    <x v="1"/>
    <s v="ANGUS NEGRO"/>
    <s v="4 años 4 meses"/>
    <s v="15-09-2021"/>
    <s v="Vivo"/>
    <x v="0"/>
    <s v="11.1.01.1022"/>
    <s v="11.1.01.0893"/>
    <s v="SI"/>
    <d v="2021-10-22T00:00:00"/>
  </r>
  <r>
    <n v="20910219"/>
    <m/>
    <m/>
    <e v="#N/A"/>
    <m/>
    <m/>
    <m/>
    <m/>
    <m/>
    <m/>
    <s v="H"/>
    <x v="1"/>
    <s v="ANGUS NEGRO"/>
    <s v="4 años 3 meses"/>
    <s v="05-10-2021"/>
    <s v="Vivo"/>
    <x v="3"/>
    <s v="11.1.01.0893"/>
    <s v="11.1.01.0893"/>
    <s v="SI"/>
    <d v="2021-10-22T00:00:00"/>
  </r>
  <r>
    <n v="20910223"/>
    <m/>
    <m/>
    <e v="#N/A"/>
    <m/>
    <m/>
    <m/>
    <m/>
    <m/>
    <m/>
    <s v="H"/>
    <x v="1"/>
    <s v="OVERO COLORADO (CLAVEL ALEMAN)"/>
    <s v="4 años 3 meses"/>
    <s v="05-10-2021"/>
    <s v="Vivo"/>
    <x v="2"/>
    <s v="Sin Movimiento"/>
    <s v="11.1.01.0893"/>
    <s v="SI"/>
    <d v="2021-10-22T00:00:00"/>
  </r>
  <r>
    <n v="20910224"/>
    <m/>
    <m/>
    <e v="#N/A"/>
    <m/>
    <m/>
    <m/>
    <m/>
    <d v="2024-12-22T00:00:00"/>
    <d v="2025-01-14T00:00:00"/>
    <s v="H"/>
    <x v="1"/>
    <s v="ANGUS NEGRO"/>
    <s v="4 años 4 meses"/>
    <s v="15-09-2021"/>
    <s v="Vivo"/>
    <x v="0"/>
    <s v="11.1.01.1022"/>
    <s v="11.1.01.0893"/>
    <s v="SI"/>
    <d v="2021-10-22T00:00:00"/>
  </r>
  <r>
    <n v="20910226"/>
    <m/>
    <m/>
    <e v="#N/A"/>
    <m/>
    <m/>
    <m/>
    <m/>
    <d v="2024-12-22T00:00:00"/>
    <d v="2025-01-14T00:00:00"/>
    <s v="H"/>
    <x v="1"/>
    <s v="ANGUS ROJO"/>
    <s v="4 años 3 meses"/>
    <s v="05-10-2021"/>
    <s v="Vivo"/>
    <x v="0"/>
    <s v="11.2.01.0038"/>
    <s v="11.1.01.0893"/>
    <s v="SI"/>
    <d v="2021-10-22T00:00:00"/>
  </r>
  <r>
    <n v="20910227"/>
    <m/>
    <m/>
    <e v="#N/A"/>
    <m/>
    <m/>
    <m/>
    <m/>
    <m/>
    <m/>
    <s v="H"/>
    <x v="1"/>
    <s v="ANGUS NEGRO"/>
    <s v="4 años 4 meses"/>
    <s v="10-09-2021"/>
    <s v="Vivo"/>
    <x v="4"/>
    <s v="11.1.01.0893"/>
    <s v="11.1.01.0893"/>
    <s v="SI"/>
    <d v="2021-10-22T00:00:00"/>
  </r>
  <r>
    <n v="20910228"/>
    <m/>
    <m/>
    <e v="#N/A"/>
    <m/>
    <m/>
    <m/>
    <m/>
    <d v="2024-12-22T00:00:00"/>
    <d v="2025-11-04T00:00:00"/>
    <s v="H"/>
    <x v="1"/>
    <s v="ANGUS NEGRO"/>
    <s v="4 años 4 meses"/>
    <s v="10-09-2021"/>
    <s v="Vivo"/>
    <x v="0"/>
    <s v="11.2.01.0038"/>
    <s v="11.1.01.0893"/>
    <s v="SI"/>
    <d v="2021-10-22T00:00:00"/>
  </r>
  <r>
    <n v="20910235"/>
    <m/>
    <m/>
    <e v="#N/A"/>
    <m/>
    <m/>
    <m/>
    <m/>
    <d v="2024-12-22T00:00:00"/>
    <d v="2025-11-05T00:00:00"/>
    <s v="H"/>
    <x v="1"/>
    <s v="ANGUS NEGRO"/>
    <s v="4 años 3 meses"/>
    <s v="30-09-2021"/>
    <s v="Vivo"/>
    <x v="7"/>
    <s v="11.1.01.0190"/>
    <s v="11.1.01.0893"/>
    <s v="SI"/>
    <d v="2021-10-22T00:00:00"/>
  </r>
  <r>
    <n v="20910236"/>
    <m/>
    <m/>
    <e v="#N/A"/>
    <m/>
    <m/>
    <m/>
    <m/>
    <d v="2024-12-22T00:00:00"/>
    <d v="2025-01-14T00:00:00"/>
    <s v="H"/>
    <x v="1"/>
    <s v="ANGUS NEGRO"/>
    <s v="4 años 4 meses"/>
    <s v="15-09-2021"/>
    <s v="Vivo"/>
    <x v="0"/>
    <s v="11.2.01.0038"/>
    <s v="11.1.01.0893"/>
    <s v="SI"/>
    <d v="2021-10-22T00:00:00"/>
  </r>
  <r>
    <n v="20910238"/>
    <m/>
    <m/>
    <e v="#N/A"/>
    <m/>
    <m/>
    <m/>
    <m/>
    <d v="2024-12-22T00:00:00"/>
    <d v="2025-11-04T00:00:00"/>
    <s v="H"/>
    <x v="1"/>
    <s v="ANGUS NEGRO"/>
    <s v="4 años 3 meses"/>
    <s v="30-09-2021"/>
    <s v="Vivo"/>
    <x v="7"/>
    <s v="11.1.01.0190"/>
    <s v="11.1.01.0893"/>
    <s v="SI"/>
    <d v="2021-10-22T00:00:00"/>
  </r>
  <r>
    <n v="20910241"/>
    <m/>
    <m/>
    <e v="#N/A"/>
    <m/>
    <m/>
    <m/>
    <m/>
    <m/>
    <m/>
    <s v="H"/>
    <x v="1"/>
    <s v="ANGUS NEGRO"/>
    <s v="4 años 3 meses"/>
    <s v="30-09-2021"/>
    <s v="Vivo"/>
    <x v="3"/>
    <s v="11.1.01.0893"/>
    <s v="11.1.01.0893"/>
    <s v="SI"/>
    <d v="2021-10-22T00:00:00"/>
  </r>
  <r>
    <n v="20910254"/>
    <m/>
    <m/>
    <e v="#N/A"/>
    <m/>
    <m/>
    <m/>
    <m/>
    <m/>
    <m/>
    <s v="H"/>
    <x v="1"/>
    <s v="ANGUS NEGRO"/>
    <s v="4 años 3 meses"/>
    <s v="30-09-2021"/>
    <s v="Vivo"/>
    <x v="0"/>
    <s v="11.1.01.1022"/>
    <s v="11.1.01.0893"/>
    <s v="SI"/>
    <d v="2021-10-22T00:00:00"/>
  </r>
  <r>
    <n v="20910255"/>
    <m/>
    <m/>
    <e v="#N/A"/>
    <m/>
    <m/>
    <m/>
    <m/>
    <d v="2024-12-22T00:00:00"/>
    <d v="2025-01-14T00:00:00"/>
    <s v="H"/>
    <x v="1"/>
    <s v="ANGUS NEGRO"/>
    <s v="4 años 3 meses"/>
    <s v="30-09-2021"/>
    <s v="Vivo"/>
    <x v="7"/>
    <s v="11.1.01.0190"/>
    <s v="11.1.01.0893"/>
    <s v="SI"/>
    <d v="2021-10-22T00:00:00"/>
  </r>
  <r>
    <n v="20910257"/>
    <m/>
    <m/>
    <e v="#N/A"/>
    <m/>
    <m/>
    <m/>
    <m/>
    <m/>
    <m/>
    <s v="H"/>
    <x v="1"/>
    <s v="ANGUS NEGRO"/>
    <s v="4 años 4 meses"/>
    <s v="11-09-2021"/>
    <s v="Vivo"/>
    <x v="3"/>
    <s v="11.1.01.0893"/>
    <s v="11.1.01.0893"/>
    <s v="SI"/>
    <m/>
  </r>
  <r>
    <n v="20910258"/>
    <m/>
    <m/>
    <e v="#N/A"/>
    <m/>
    <m/>
    <m/>
    <m/>
    <d v="2024-12-22T00:00:00"/>
    <d v="2025-01-14T00:00:00"/>
    <s v="H"/>
    <x v="1"/>
    <s v="ANGUS NEGRO"/>
    <s v="4 años 4 meses"/>
    <s v="11-09-2021"/>
    <s v="Vivo"/>
    <x v="0"/>
    <s v="11.1.01.1022"/>
    <s v="11.1.01.0893"/>
    <s v="SI"/>
    <m/>
  </r>
  <r>
    <n v="20910259"/>
    <m/>
    <m/>
    <e v="#N/A"/>
    <m/>
    <m/>
    <m/>
    <m/>
    <d v="2024-12-22T00:00:00"/>
    <d v="2025-11-04T00:00:00"/>
    <s v="H"/>
    <x v="1"/>
    <s v="ANGUS NEGRO"/>
    <s v="4 años 3 meses"/>
    <s v="30-09-2021"/>
    <s v="Vivo"/>
    <x v="7"/>
    <s v="11.1.01.0190"/>
    <s v="11.1.01.0893"/>
    <s v="SI"/>
    <m/>
  </r>
  <r>
    <n v="20910260"/>
    <m/>
    <m/>
    <e v="#N/A"/>
    <m/>
    <m/>
    <m/>
    <m/>
    <m/>
    <m/>
    <s v="H"/>
    <x v="1"/>
    <s v="HEREFORD"/>
    <s v="4 años 4 meses"/>
    <s v="11-09-2021"/>
    <s v="Vivo"/>
    <x v="0"/>
    <s v="11.1.01.1022"/>
    <s v="11.1.01.0893"/>
    <s v="SI"/>
    <m/>
  </r>
  <r>
    <n v="20910267"/>
    <m/>
    <m/>
    <e v="#N/A"/>
    <m/>
    <m/>
    <m/>
    <m/>
    <m/>
    <m/>
    <s v="H"/>
    <x v="1"/>
    <s v="ANGUS NEGRO"/>
    <s v="4 años 3 meses"/>
    <s v="30-09-2021"/>
    <s v="Vivo"/>
    <x v="7"/>
    <s v="11.1.01.0893"/>
    <s v="11.1.01.0893"/>
    <s v="SI"/>
    <m/>
  </r>
  <r>
    <n v="20910269"/>
    <m/>
    <m/>
    <e v="#N/A"/>
    <m/>
    <m/>
    <m/>
    <m/>
    <d v="2024-05-18T00:00:00"/>
    <m/>
    <s v="M"/>
    <x v="2"/>
    <s v="ANGUS NEGRO"/>
    <s v="4 años 3 meses"/>
    <s v="30-09-2021"/>
    <s v="Vivo"/>
    <x v="7"/>
    <s v="11.1.01.0190"/>
    <s v="11.1.01.0893"/>
    <s v="SI"/>
    <m/>
  </r>
  <r>
    <n v="20910271"/>
    <m/>
    <m/>
    <e v="#N/A"/>
    <m/>
    <m/>
    <m/>
    <m/>
    <d v="2024-12-22T00:00:00"/>
    <d v="2025-11-04T00:00:00"/>
    <s v="M"/>
    <x v="2"/>
    <s v="ANGUS NEGRO"/>
    <s v="4 años 2 meses"/>
    <s v="20-10-2021"/>
    <s v="Vivo"/>
    <x v="7"/>
    <s v="11.1.01.0190"/>
    <s v="11.1.01.0893"/>
    <s v="SI"/>
    <m/>
  </r>
  <r>
    <n v="20910272"/>
    <m/>
    <m/>
    <e v="#N/A"/>
    <m/>
    <m/>
    <m/>
    <m/>
    <d v="2024-12-22T00:00:00"/>
    <d v="2025-11-05T00:00:00"/>
    <s v="H"/>
    <x v="1"/>
    <s v="ANGUS ROJO"/>
    <s v="4 años 4 meses"/>
    <s v="10-09-2021"/>
    <s v="Vivo"/>
    <x v="7"/>
    <s v="11.1.01.0190"/>
    <s v="11.1.01.0893"/>
    <s v="SI"/>
    <m/>
  </r>
  <r>
    <n v="20910276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1.01.1022"/>
    <s v="11.1.01.0893"/>
    <s v="SI"/>
    <m/>
  </r>
  <r>
    <n v="20910288"/>
    <m/>
    <m/>
    <e v="#N/A"/>
    <m/>
    <m/>
    <m/>
    <m/>
    <d v="2024-12-22T00:00:00"/>
    <d v="2025-01-14T00:00:00"/>
    <s v="H"/>
    <x v="1"/>
    <s v="ANGUS NEGRO"/>
    <s v="4 años 4 meses"/>
    <s v="11-09-2021"/>
    <s v="Vivo"/>
    <x v="0"/>
    <s v="11.1.01.1022"/>
    <s v="11.1.01.0893"/>
    <s v="SI"/>
    <m/>
  </r>
  <r>
    <n v="20910302"/>
    <m/>
    <m/>
    <e v="#N/A"/>
    <m/>
    <m/>
    <m/>
    <m/>
    <d v="2024-12-22T00:00:00"/>
    <d v="2025-01-14T00:00:00"/>
    <s v="H"/>
    <x v="1"/>
    <s v="ANGUS ROJO"/>
    <s v="4 años 3 meses"/>
    <s v="30-09-2021"/>
    <s v="Vivo"/>
    <x v="0"/>
    <s v="11.2.01.0038"/>
    <s v="11.1.01.0893"/>
    <s v="SI"/>
    <m/>
  </r>
  <r>
    <n v="20910304"/>
    <m/>
    <m/>
    <e v="#N/A"/>
    <m/>
    <m/>
    <m/>
    <m/>
    <d v="2024-12-22T00:00:00"/>
    <d v="2025-01-14T00:00:00"/>
    <s v="H"/>
    <x v="1"/>
    <s v="ANGUS NEGRO"/>
    <s v="4 años 4 meses"/>
    <s v="11-09-2021"/>
    <s v="Vivo"/>
    <x v="0"/>
    <s v="11.1.01.1022"/>
    <s v="11.1.01.0893"/>
    <s v="SI"/>
    <m/>
  </r>
  <r>
    <n v="20910307"/>
    <m/>
    <m/>
    <e v="#N/A"/>
    <m/>
    <m/>
    <m/>
    <m/>
    <d v="2024-12-22T00:00:00"/>
    <d v="2025-11-04T00:00:00"/>
    <s v="H"/>
    <x v="1"/>
    <s v="ANGUS NEGRO"/>
    <s v="4 años 3 meses"/>
    <s v="30-09-2021"/>
    <s v="Vivo"/>
    <x v="7"/>
    <s v="11.1.01.0190"/>
    <s v="11.1.01.0893"/>
    <s v="SI"/>
    <m/>
  </r>
  <r>
    <n v="20910308"/>
    <m/>
    <m/>
    <e v="#N/A"/>
    <m/>
    <m/>
    <m/>
    <m/>
    <d v="2024-12-22T00:00:00"/>
    <d v="2025-11-05T00:00:00"/>
    <s v="H"/>
    <x v="1"/>
    <s v="ANGUS ROJO"/>
    <s v="4 años 3 meses"/>
    <s v="05-10-2021"/>
    <s v="Vivo"/>
    <x v="7"/>
    <s v="11.1.01.0190"/>
    <s v="11.1.01.0893"/>
    <s v="SI"/>
    <m/>
  </r>
  <r>
    <n v="20910312"/>
    <m/>
    <m/>
    <e v="#N/A"/>
    <m/>
    <m/>
    <m/>
    <m/>
    <d v="2024-12-22T00:00:00"/>
    <d v="2025-11-05T00:00:00"/>
    <s v="H"/>
    <x v="1"/>
    <s v="ANGUS NEGRO"/>
    <s v="4 años 3 meses"/>
    <s v="30-09-2021"/>
    <s v="Vivo"/>
    <x v="7"/>
    <s v="11.1.01.0190"/>
    <s v="11.1.01.0893"/>
    <s v="SI"/>
    <m/>
  </r>
  <r>
    <n v="20910315"/>
    <m/>
    <m/>
    <e v="#N/A"/>
    <m/>
    <m/>
    <m/>
    <m/>
    <d v="2024-12-22T00:00:00"/>
    <d v="2025-11-05T00:00:00"/>
    <s v="H"/>
    <x v="1"/>
    <s v="ANGUS NEGRO"/>
    <s v="4 años 3 meses"/>
    <s v="30-09-2021"/>
    <s v="Vivo"/>
    <x v="0"/>
    <s v="11.1.01.1022"/>
    <s v="11.1.01.0893"/>
    <s v="SI"/>
    <m/>
  </r>
  <r>
    <n v="20910321"/>
    <m/>
    <m/>
    <e v="#N/A"/>
    <m/>
    <m/>
    <m/>
    <m/>
    <d v="2024-12-22T00:00:00"/>
    <d v="2025-11-05T00:00:00"/>
    <s v="H"/>
    <x v="1"/>
    <s v="ANGUS NEGRO"/>
    <s v="4 años 3 meses"/>
    <s v="11-10-2021"/>
    <s v="Vivo"/>
    <x v="7"/>
    <s v="11.1.01.0190"/>
    <s v="11.1.01.0893"/>
    <s v="SI"/>
    <m/>
  </r>
  <r>
    <n v="20910326"/>
    <m/>
    <m/>
    <e v="#N/A"/>
    <m/>
    <m/>
    <m/>
    <m/>
    <d v="2024-12-22T00:00:00"/>
    <d v="2025-11-05T00:00:00"/>
    <s v="H"/>
    <x v="1"/>
    <s v="ANGUS NEGRO"/>
    <s v="4 años 3 meses"/>
    <s v="30-09-2021"/>
    <s v="Vivo"/>
    <x v="7"/>
    <s v="11.1.01.0190"/>
    <s v="11.1.01.0893"/>
    <s v="SI"/>
    <m/>
  </r>
  <r>
    <n v="20910331"/>
    <m/>
    <m/>
    <e v="#N/A"/>
    <m/>
    <m/>
    <m/>
    <m/>
    <d v="2024-12-22T00:00:00"/>
    <d v="2025-11-04T00:00:00"/>
    <s v="H"/>
    <x v="1"/>
    <s v="ANGUS NEGRO"/>
    <s v="4 años 3 meses"/>
    <s v="30-09-2021"/>
    <s v="Vivo"/>
    <x v="0"/>
    <s v="11.2.01.0038"/>
    <s v="11.1.01.0893"/>
    <s v="SI"/>
    <m/>
  </r>
  <r>
    <n v="20910334"/>
    <m/>
    <m/>
    <e v="#N/A"/>
    <m/>
    <m/>
    <m/>
    <m/>
    <d v="2024-12-22T00:00:00"/>
    <d v="2025-11-04T00:00:00"/>
    <s v="H"/>
    <x v="1"/>
    <s v="ANGUS NEGRO"/>
    <s v="4 años 3 meses"/>
    <s v="30-09-2021"/>
    <s v="Vivo"/>
    <x v="7"/>
    <s v="11.1.01.0190"/>
    <s v="11.1.01.1241"/>
    <s v="SI"/>
    <m/>
  </r>
  <r>
    <n v="20910335"/>
    <m/>
    <m/>
    <e v="#N/A"/>
    <m/>
    <m/>
    <m/>
    <m/>
    <m/>
    <m/>
    <s v="M"/>
    <x v="2"/>
    <s v="ANGUS NEGRO"/>
    <s v="4 años 2 meses"/>
    <s v="27-10-2021"/>
    <s v="Vivo"/>
    <x v="0"/>
    <s v="Sin Movimiento"/>
    <s v="11.1.01.1241"/>
    <s v="SI"/>
    <m/>
  </r>
  <r>
    <n v="20910337"/>
    <m/>
    <m/>
    <e v="#N/A"/>
    <m/>
    <m/>
    <m/>
    <m/>
    <m/>
    <m/>
    <s v="H"/>
    <x v="1"/>
    <s v="ANGUS ROJO"/>
    <s v="4 años 2 meses"/>
    <s v="22-10-2021"/>
    <s v="Vivo"/>
    <x v="0"/>
    <s v="Sin Movimiento"/>
    <s v="11.1.01.1241"/>
    <s v="SI"/>
    <m/>
  </r>
  <r>
    <n v="20910339"/>
    <m/>
    <m/>
    <e v="#N/A"/>
    <m/>
    <m/>
    <m/>
    <m/>
    <d v="2024-12-22T00:00:00"/>
    <d v="2025-11-04T00:00:00"/>
    <s v="H"/>
    <x v="1"/>
    <s v="ANGUS NEGRO"/>
    <s v="4 años 3 meses"/>
    <s v="30-09-2021"/>
    <s v="Vivo"/>
    <x v="0"/>
    <s v="11.2.01.0038"/>
    <s v="11.1.01.1241"/>
    <s v="SI"/>
    <m/>
  </r>
  <r>
    <n v="20910343"/>
    <m/>
    <m/>
    <e v="#N/A"/>
    <m/>
    <m/>
    <m/>
    <m/>
    <d v="2024-12-22T00:00:00"/>
    <d v="2025-11-04T00:00:00"/>
    <s v="H"/>
    <x v="1"/>
    <s v="ANGUS NEGRO"/>
    <s v="4 años 4 meses"/>
    <s v="11-09-2021"/>
    <s v="Vivo"/>
    <x v="0"/>
    <s v="11.2.01.0038"/>
    <s v="11.1.01.1241"/>
    <s v="SI"/>
    <m/>
  </r>
  <r>
    <n v="20910348"/>
    <m/>
    <m/>
    <e v="#N/A"/>
    <m/>
    <m/>
    <m/>
    <m/>
    <m/>
    <m/>
    <s v="H"/>
    <x v="1"/>
    <s v="ANGUS NEGRO"/>
    <s v="4 años 3 meses"/>
    <s v="30-09-2021"/>
    <s v="Vivo"/>
    <x v="4"/>
    <s v="11.1.01.0893"/>
    <s v="11.1.01.1241"/>
    <s v="SI"/>
    <m/>
  </r>
  <r>
    <n v="20910350"/>
    <m/>
    <m/>
    <e v="#N/A"/>
    <m/>
    <m/>
    <m/>
    <m/>
    <m/>
    <m/>
    <s v="H"/>
    <x v="1"/>
    <s v="ANGUS NEGRO"/>
    <s v="4 años 3 meses"/>
    <s v="30-09-2021"/>
    <s v="Vivo"/>
    <x v="3"/>
    <s v="11.1.01.1241"/>
    <s v="11.1.01.1241"/>
    <s v="SI"/>
    <m/>
  </r>
  <r>
    <n v="20910354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2.01.0038"/>
    <s v="11.1.01.1241"/>
    <s v="SI"/>
    <m/>
  </r>
  <r>
    <n v="20910356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1.01.1022"/>
    <s v="11.1.01.1241"/>
    <s v="SI"/>
    <m/>
  </r>
  <r>
    <n v="20910365"/>
    <m/>
    <m/>
    <e v="#N/A"/>
    <m/>
    <m/>
    <m/>
    <m/>
    <d v="2024-12-22T00:00:00"/>
    <d v="2025-01-14T00:00:00"/>
    <s v="H"/>
    <x v="1"/>
    <s v="ANGUS ROJO"/>
    <s v="4 años 2 meses"/>
    <s v="28-10-2021"/>
    <s v="Vivo"/>
    <x v="0"/>
    <s v="11.2.01.0038"/>
    <s v="11.1.01.1241"/>
    <s v="SI"/>
    <m/>
  </r>
  <r>
    <n v="20910367"/>
    <m/>
    <m/>
    <e v="#N/A"/>
    <m/>
    <m/>
    <m/>
    <m/>
    <d v="2024-12-22T00:00:00"/>
    <d v="2025-11-04T00:00:00"/>
    <s v="H"/>
    <x v="1"/>
    <s v="ANGUS ROJO"/>
    <s v="4 años 3 meses"/>
    <s v="30-09-2021"/>
    <s v="Vivo"/>
    <x v="0"/>
    <s v="11.2.01.0038"/>
    <s v="11.1.01.1241"/>
    <s v="SI"/>
    <m/>
  </r>
  <r>
    <n v="20910372"/>
    <m/>
    <m/>
    <e v="#N/A"/>
    <m/>
    <m/>
    <m/>
    <m/>
    <d v="2024-12-22T00:00:00"/>
    <d v="2025-11-05T00:00:00"/>
    <s v="H"/>
    <x v="1"/>
    <s v="ANGUS NEGRO"/>
    <s v="4 años 3 meses"/>
    <s v="30-09-2021"/>
    <s v="Vivo"/>
    <x v="7"/>
    <s v="11.1.01.0190"/>
    <s v="11.1.01.1241"/>
    <s v="SI"/>
    <m/>
  </r>
  <r>
    <n v="20910373"/>
    <m/>
    <m/>
    <e v="#N/A"/>
    <m/>
    <m/>
    <m/>
    <m/>
    <d v="2024-12-22T00:00:00"/>
    <d v="2025-11-05T00:00:00"/>
    <s v="H"/>
    <x v="1"/>
    <s v="ANGUS NEGRO"/>
    <s v="4 años 3 meses"/>
    <s v="05-10-2021"/>
    <s v="Vivo"/>
    <x v="7"/>
    <s v="11.1.01.0190"/>
    <s v="11.1.01.1241"/>
    <s v="SI"/>
    <m/>
  </r>
  <r>
    <n v="20910375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1.01.1022"/>
    <s v="11.1.01.1241"/>
    <s v="SI"/>
    <m/>
  </r>
  <r>
    <n v="20910376"/>
    <m/>
    <m/>
    <e v="#N/A"/>
    <m/>
    <m/>
    <m/>
    <m/>
    <d v="2024-12-22T00:00:00"/>
    <d v="2025-01-14T00:00:00"/>
    <s v="H"/>
    <x v="1"/>
    <s v="ANGUS NEGRO"/>
    <s v="4 años 2 meses"/>
    <s v="20-10-2021"/>
    <s v="Vivo"/>
    <x v="0"/>
    <s v="11.2.01.0038"/>
    <s v="11.1.01.1241"/>
    <s v="SI"/>
    <m/>
  </r>
  <r>
    <n v="20910379"/>
    <n v="2636175"/>
    <m/>
    <e v="#N/A"/>
    <m/>
    <m/>
    <m/>
    <m/>
    <m/>
    <d v="2025-11-04T00:00:00"/>
    <s v="M"/>
    <x v="2"/>
    <s v="ANGUS NEGRO"/>
    <s v="4 años 3 meses"/>
    <s v="30-09-2021"/>
    <s v="Vivo"/>
    <x v="7"/>
    <s v="11.1.01.0190"/>
    <s v="11.1.01.1241"/>
    <s v="SI"/>
    <m/>
  </r>
  <r>
    <n v="20910380"/>
    <n v="2636174"/>
    <m/>
    <e v="#N/A"/>
    <m/>
    <m/>
    <m/>
    <m/>
    <m/>
    <d v="2025-06-10T00:00:00"/>
    <s v="M"/>
    <x v="2"/>
    <s v="ANGUS NEGRO"/>
    <s v="4 años 3 meses"/>
    <s v="30-09-2021"/>
    <s v="Vivo"/>
    <x v="0"/>
    <s v="Sin Movimiento"/>
    <s v="11.1.01.1241"/>
    <s v="SI"/>
    <m/>
  </r>
  <r>
    <n v="20910381"/>
    <m/>
    <m/>
    <e v="#N/A"/>
    <m/>
    <m/>
    <m/>
    <m/>
    <m/>
    <m/>
    <s v="H"/>
    <x v="1"/>
    <s v="ANGUS NEGRO"/>
    <s v="4 años 3 meses"/>
    <s v="30-09-2021"/>
    <s v="Vivo"/>
    <x v="0"/>
    <s v="11.2.01.0038"/>
    <s v="11.1.01.1241"/>
    <s v="SI"/>
    <m/>
  </r>
  <r>
    <n v="20910385"/>
    <m/>
    <m/>
    <e v="#N/A"/>
    <m/>
    <m/>
    <m/>
    <m/>
    <m/>
    <m/>
    <s v="H"/>
    <x v="1"/>
    <s v="ANGUS NEGRO"/>
    <s v="4 años 3 meses"/>
    <s v="05-10-2021"/>
    <s v="Vivo"/>
    <x v="3"/>
    <s v="11.1.01.0893"/>
    <s v="11.1.01.1241"/>
    <s v="SI"/>
    <m/>
  </r>
  <r>
    <n v="20910386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1.01.1022"/>
    <s v="11.1.01.1241"/>
    <s v="SI"/>
    <m/>
  </r>
  <r>
    <n v="20910387"/>
    <m/>
    <m/>
    <e v="#N/A"/>
    <m/>
    <m/>
    <m/>
    <m/>
    <d v="2024-12-22T00:00:00"/>
    <d v="2025-11-04T00:00:00"/>
    <s v="H"/>
    <x v="1"/>
    <s v="ANGUS NEGRO"/>
    <s v="4 años 2 meses"/>
    <s v="20-10-2021"/>
    <s v="Vivo"/>
    <x v="0"/>
    <s v="11.2.01.0038"/>
    <s v="11.1.01.1241"/>
    <s v="SI"/>
    <m/>
  </r>
  <r>
    <n v="20910389"/>
    <m/>
    <m/>
    <e v="#N/A"/>
    <m/>
    <m/>
    <m/>
    <m/>
    <d v="2024-12-22T00:00:00"/>
    <d v="2025-11-04T00:00:00"/>
    <s v="H"/>
    <x v="1"/>
    <s v="ANGUS NEGRO"/>
    <s v="4 años 2 meses"/>
    <s v="20-10-2021"/>
    <s v="Vivo"/>
    <x v="0"/>
    <s v="11.2.01.0038"/>
    <s v="11.1.01.1241"/>
    <s v="SI"/>
    <m/>
  </r>
  <r>
    <n v="20910390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2.01.0038"/>
    <s v="11.1.01.1241"/>
    <s v="SI"/>
    <m/>
  </r>
  <r>
    <n v="20910392"/>
    <m/>
    <m/>
    <e v="#N/A"/>
    <m/>
    <m/>
    <m/>
    <m/>
    <d v="2024-12-22T00:00:00"/>
    <d v="2025-11-04T00:00:00"/>
    <s v="H"/>
    <x v="1"/>
    <s v="ANGUS NEGRO"/>
    <s v="4 años 3 meses"/>
    <s v="05-10-2021"/>
    <s v="Vivo"/>
    <x v="0"/>
    <s v="11.2.01.0038"/>
    <s v="11.1.01.1241"/>
    <s v="SI"/>
    <m/>
  </r>
  <r>
    <n v="20910393"/>
    <m/>
    <m/>
    <e v="#N/A"/>
    <m/>
    <m/>
    <m/>
    <m/>
    <m/>
    <m/>
    <s v="H"/>
    <x v="1"/>
    <s v="ANGUS NEGRO"/>
    <s v="4 años 2 meses"/>
    <s v="25-10-2021"/>
    <s v="Vivo"/>
    <x v="0"/>
    <s v="Sin Movimiento"/>
    <s v="11.1.01.1241"/>
    <s v="SI"/>
    <m/>
  </r>
  <r>
    <n v="20910398"/>
    <m/>
    <m/>
    <e v="#N/A"/>
    <m/>
    <m/>
    <m/>
    <m/>
    <m/>
    <m/>
    <s v="M"/>
    <x v="2"/>
    <s v="ANGUS NEGRO"/>
    <s v="4 años 3 meses"/>
    <s v="11-10-2021"/>
    <s v="Vivo"/>
    <x v="0"/>
    <s v="Sin Movimiento"/>
    <s v="11.1.01.1241"/>
    <s v="SI"/>
    <m/>
  </r>
  <r>
    <n v="20910404"/>
    <m/>
    <m/>
    <e v="#N/A"/>
    <m/>
    <m/>
    <m/>
    <m/>
    <d v="2024-12-22T00:00:00"/>
    <d v="2025-01-14T00:00:00"/>
    <s v="H"/>
    <x v="1"/>
    <s v="ANGUS NEGRO"/>
    <s v="4 años 2 meses"/>
    <s v="20-10-2021"/>
    <s v="Vivo"/>
    <x v="0"/>
    <s v="11.1.01.1022"/>
    <s v="11.1.01.1241"/>
    <s v="SI"/>
    <m/>
  </r>
  <r>
    <n v="20910405"/>
    <m/>
    <m/>
    <e v="#N/A"/>
    <m/>
    <m/>
    <m/>
    <m/>
    <m/>
    <m/>
    <s v="M"/>
    <x v="2"/>
    <s v="ANGUS NEGRO"/>
    <s v="4 años 3 meses"/>
    <s v="05-10-2021"/>
    <s v="Vivo"/>
    <x v="0"/>
    <s v="Sin Movimiento"/>
    <s v="11.1.01.1241"/>
    <s v="SI"/>
    <m/>
  </r>
  <r>
    <n v="20910410"/>
    <m/>
    <m/>
    <e v="#N/A"/>
    <m/>
    <m/>
    <m/>
    <m/>
    <m/>
    <m/>
    <s v="H"/>
    <x v="1"/>
    <s v="ANGUS ROJO"/>
    <s v="4 años 2 meses"/>
    <s v="25-10-2021"/>
    <s v="Vivo"/>
    <x v="0"/>
    <s v="Sin Movimiento"/>
    <s v="11.1.01.1241"/>
    <s v="SI"/>
    <m/>
  </r>
  <r>
    <n v="20910412"/>
    <m/>
    <m/>
    <e v="#N/A"/>
    <m/>
    <m/>
    <m/>
    <m/>
    <d v="2024-12-22T00:00:00"/>
    <d v="2025-01-14T00:00:00"/>
    <s v="H"/>
    <x v="1"/>
    <s v="ANGUS ROJO"/>
    <s v="4 años 2 meses"/>
    <s v="25-10-2021"/>
    <s v="Vivo"/>
    <x v="0"/>
    <s v="11.2.01.0038"/>
    <s v="11.1.01.1241"/>
    <s v="SI"/>
    <m/>
  </r>
  <r>
    <n v="20910420"/>
    <m/>
    <m/>
    <e v="#N/A"/>
    <m/>
    <m/>
    <m/>
    <m/>
    <d v="2024-12-22T00:00:00"/>
    <d v="2025-11-05T00:00:00"/>
    <s v="H"/>
    <x v="1"/>
    <s v="ANGUS NEGRO"/>
    <s v="4 años 2 meses"/>
    <s v="20-10-2021"/>
    <s v="Vivo"/>
    <x v="7"/>
    <s v="11.1.01.0190"/>
    <s v="11.1.01.1241"/>
    <s v="SI"/>
    <m/>
  </r>
  <r>
    <n v="20910428"/>
    <m/>
    <m/>
    <e v="#N/A"/>
    <m/>
    <m/>
    <m/>
    <m/>
    <d v="2024-12-22T00:00:00"/>
    <d v="2025-01-14T00:00:00"/>
    <s v="H"/>
    <x v="1"/>
    <s v="ANGUS NEGRO"/>
    <s v="4 años 3 meses"/>
    <s v="30-09-2021"/>
    <s v="Vivo"/>
    <x v="0"/>
    <s v="11.1.01.1022"/>
    <s v="11.1.01.1241"/>
    <s v="SI"/>
    <m/>
  </r>
  <r>
    <n v="20910429"/>
    <m/>
    <m/>
    <e v="#N/A"/>
    <m/>
    <m/>
    <m/>
    <m/>
    <d v="2024-12-22T00:00:00"/>
    <d v="2025-01-14T00:00:00"/>
    <s v="H"/>
    <x v="1"/>
    <s v="ANGUS NEGRO"/>
    <s v="4 años 3 meses"/>
    <s v="05-10-2021"/>
    <s v="Vivo"/>
    <x v="7"/>
    <s v="11.1.01.0190"/>
    <s v="11.1.01.1241"/>
    <s v="SI"/>
    <m/>
  </r>
  <r>
    <n v="20910436"/>
    <m/>
    <m/>
    <e v="#N/A"/>
    <m/>
    <m/>
    <m/>
    <m/>
    <d v="2024-12-22T00:00:00"/>
    <d v="2025-01-14T00:00:00"/>
    <s v="H"/>
    <x v="1"/>
    <s v="ANGUS NEGRO"/>
    <s v="4 años 2 meses"/>
    <s v="20-10-2021"/>
    <s v="Vivo"/>
    <x v="0"/>
    <s v="11.1.01.1022"/>
    <s v="11.1.01.1241"/>
    <s v="SI"/>
    <m/>
  </r>
  <r>
    <n v="20910439"/>
    <m/>
    <m/>
    <e v="#N/A"/>
    <m/>
    <m/>
    <m/>
    <m/>
    <m/>
    <m/>
    <s v="H"/>
    <x v="1"/>
    <s v="HEREFORD"/>
    <s v="4 años 2 meses"/>
    <s v="20-10-2021"/>
    <s v="Vivo"/>
    <x v="0"/>
    <s v="Sin Movimiento"/>
    <s v="11.1.01.1241"/>
    <s v="SI"/>
    <m/>
  </r>
  <r>
    <n v="20910442"/>
    <m/>
    <m/>
    <e v="#N/A"/>
    <m/>
    <m/>
    <m/>
    <m/>
    <m/>
    <m/>
    <s v="H"/>
    <x v="1"/>
    <s v="ANGUS NEGRO"/>
    <s v="4 años 2 meses"/>
    <s v="20-10-2021"/>
    <s v="Vivo"/>
    <x v="3"/>
    <s v="11.1.01.1241"/>
    <s v="11.1.01.1241"/>
    <s v="SI"/>
    <m/>
  </r>
  <r>
    <n v="20910443"/>
    <m/>
    <m/>
    <e v="#N/A"/>
    <m/>
    <m/>
    <m/>
    <m/>
    <m/>
    <m/>
    <s v="H"/>
    <x v="1"/>
    <s v="ANGUS NEGRO"/>
    <s v="4 años 3 meses"/>
    <s v="11-10-2021"/>
    <s v="Vivo"/>
    <x v="3"/>
    <s v="11.1.01.0893"/>
    <s v="11.1.01.1241"/>
    <s v="SI"/>
    <m/>
  </r>
  <r>
    <n v="20910444"/>
    <m/>
    <m/>
    <e v="#N/A"/>
    <m/>
    <m/>
    <m/>
    <m/>
    <d v="2024-12-22T00:00:00"/>
    <d v="2025-11-04T00:00:00"/>
    <s v="H"/>
    <x v="1"/>
    <s v="ANGUS NEGRO"/>
    <s v="4 años 2 meses"/>
    <s v="25-10-2021"/>
    <s v="Vivo"/>
    <x v="7"/>
    <s v="11.1.01.0190"/>
    <s v="11.1.01.1241"/>
    <s v="SI"/>
    <m/>
  </r>
  <r>
    <n v="20910446"/>
    <m/>
    <m/>
    <e v="#N/A"/>
    <m/>
    <m/>
    <m/>
    <m/>
    <m/>
    <m/>
    <s v="H"/>
    <x v="1"/>
    <s v="ANGUS NEGRO"/>
    <s v="4 años 3 meses"/>
    <s v="30-09-2021"/>
    <s v="Vivo"/>
    <x v="0"/>
    <s v="11.2.01.0038"/>
    <s v="11.1.01.1241"/>
    <s v="SI"/>
    <m/>
  </r>
  <r>
    <n v="20910471"/>
    <m/>
    <m/>
    <e v="#N/A"/>
    <m/>
    <m/>
    <m/>
    <m/>
    <m/>
    <m/>
    <s v="H"/>
    <x v="1"/>
    <s v="HEREFORD"/>
    <s v="4 años 3 meses"/>
    <s v="05-10-2021"/>
    <s v="Vivo"/>
    <x v="2"/>
    <s v="11.1.01.1241"/>
    <s v="11.1.01.1241"/>
    <s v="SI"/>
    <m/>
  </r>
  <r>
    <n v="20910474"/>
    <m/>
    <m/>
    <e v="#N/A"/>
    <m/>
    <m/>
    <m/>
    <m/>
    <d v="2024-12-22T00:00:00"/>
    <d v="2025-11-04T00:00:00"/>
    <s v="H"/>
    <x v="1"/>
    <s v="ANGUS NEGRO"/>
    <s v="4 años 2 meses"/>
    <s v="25-10-2021"/>
    <s v="Vivo"/>
    <x v="0"/>
    <s v="11.2.01.0038"/>
    <s v="11.1.01.1241"/>
    <s v="SI"/>
    <m/>
  </r>
  <r>
    <n v="20910476"/>
    <m/>
    <m/>
    <e v="#N/A"/>
    <m/>
    <m/>
    <m/>
    <m/>
    <d v="2024-12-22T00:00:00"/>
    <d v="2025-11-05T00:00:00"/>
    <s v="H"/>
    <x v="1"/>
    <s v="ANGUS NEGRO"/>
    <s v="4 años 3 meses"/>
    <s v="05-10-2021"/>
    <s v="Vivo"/>
    <x v="7"/>
    <s v="11.1.01.0190"/>
    <s v="11.1.01.1241"/>
    <s v="SI"/>
    <m/>
  </r>
  <r>
    <n v="20910478"/>
    <m/>
    <m/>
    <e v="#N/A"/>
    <m/>
    <m/>
    <m/>
    <m/>
    <d v="2024-12-22T00:00:00"/>
    <d v="2025-11-04T00:00:00"/>
    <s v="H"/>
    <x v="1"/>
    <s v="ANGUS NEGRO"/>
    <s v="4 años 3 meses"/>
    <s v="30-09-2021"/>
    <s v="Vivo"/>
    <x v="0"/>
    <s v="11.2.01.0038"/>
    <s v="11.1.01.1241"/>
    <s v="SI"/>
    <m/>
  </r>
  <r>
    <n v="20910482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1.01.1022"/>
    <s v="11.1.01.1241"/>
    <s v="SI"/>
    <m/>
  </r>
  <r>
    <n v="20910484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1.01.1022"/>
    <s v="11.1.01.1241"/>
    <s v="SI"/>
    <m/>
  </r>
  <r>
    <n v="20910486"/>
    <m/>
    <m/>
    <e v="#N/A"/>
    <m/>
    <m/>
    <m/>
    <m/>
    <d v="2024-12-22T00:00:00"/>
    <d v="2025-11-04T00:00:00"/>
    <s v="H"/>
    <x v="1"/>
    <s v="ANGUS NEGRO"/>
    <s v="4 años 2 meses"/>
    <s v="25-10-2021"/>
    <s v="Vivo"/>
    <x v="0"/>
    <s v="11.2.01.0038"/>
    <s v="11.1.01.1241"/>
    <s v="SI"/>
    <m/>
  </r>
  <r>
    <n v="20910490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1.01.1022"/>
    <s v="11.1.01.1241"/>
    <s v="SI"/>
    <m/>
  </r>
  <r>
    <n v="20910493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1.01.1022"/>
    <s v="11.1.01.1241"/>
    <s v="SI"/>
    <m/>
  </r>
  <r>
    <n v="20910498"/>
    <m/>
    <m/>
    <e v="#N/A"/>
    <m/>
    <m/>
    <m/>
    <m/>
    <d v="2024-12-22T00:00:00"/>
    <d v="2025-11-05T00:00:00"/>
    <s v="H"/>
    <x v="1"/>
    <s v="ANGUS NEGRO"/>
    <s v="4 años 2 meses"/>
    <s v="20-10-2021"/>
    <s v="Vivo"/>
    <x v="0"/>
    <s v="11.1.01.1022"/>
    <s v="11.1.01.1241"/>
    <s v="SI"/>
    <m/>
  </r>
  <r>
    <n v="20910500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1.01.1022"/>
    <s v="11.1.01.1241"/>
    <s v="SI"/>
    <m/>
  </r>
  <r>
    <n v="20910506"/>
    <m/>
    <m/>
    <e v="#N/A"/>
    <m/>
    <m/>
    <m/>
    <m/>
    <d v="2024-12-22T00:00:00"/>
    <d v="2025-01-14T00:00:00"/>
    <s v="H"/>
    <x v="1"/>
    <s v="ANGUS NEGRO"/>
    <s v="4 años 2 meses"/>
    <s v="20-10-2021"/>
    <s v="Vivo"/>
    <x v="0"/>
    <s v="11.2.01.0038"/>
    <s v="11.1.01.1241"/>
    <s v="SI"/>
    <m/>
  </r>
  <r>
    <n v="20910511"/>
    <m/>
    <m/>
    <e v="#N/A"/>
    <m/>
    <m/>
    <m/>
    <m/>
    <m/>
    <m/>
    <s v="H"/>
    <x v="1"/>
    <s v="ANGUS ROJO"/>
    <s v="4 años 2 meses"/>
    <s v="05-11-2021"/>
    <s v="Vivo"/>
    <x v="7"/>
    <s v="11.1.01.0190"/>
    <s v="11.1.01.1241"/>
    <s v="SI"/>
    <m/>
  </r>
  <r>
    <n v="20910515"/>
    <m/>
    <m/>
    <e v="#N/A"/>
    <m/>
    <m/>
    <m/>
    <m/>
    <m/>
    <m/>
    <s v="H"/>
    <x v="1"/>
    <s v="ANGUS NEGRO"/>
    <s v="4 años 2 meses"/>
    <s v="30-10-2021"/>
    <s v="Vivo"/>
    <x v="3"/>
    <s v="11.1.01.1241"/>
    <s v="11.1.01.1241"/>
    <s v="SI"/>
    <m/>
  </r>
  <r>
    <n v="20910516"/>
    <m/>
    <m/>
    <e v="#N/A"/>
    <m/>
    <m/>
    <m/>
    <m/>
    <d v="2024-12-22T00:00:00"/>
    <d v="2025-01-14T00:00:00"/>
    <s v="H"/>
    <x v="1"/>
    <s v="ANGUS NEGRO"/>
    <s v="4 años 2 meses"/>
    <s v="05-11-2021"/>
    <s v="Vivo"/>
    <x v="7"/>
    <s v="11.1.01.0190"/>
    <s v="11.1.01.1241"/>
    <s v="SI"/>
    <m/>
  </r>
  <r>
    <n v="20910519"/>
    <m/>
    <m/>
    <e v="#N/A"/>
    <m/>
    <m/>
    <m/>
    <m/>
    <d v="2024-12-22T00:00:00"/>
    <d v="2025-01-14T00:00:00"/>
    <s v="H"/>
    <x v="1"/>
    <s v="ANGUS NEGRO"/>
    <s v="4 años 3 meses"/>
    <s v="05-10-2021"/>
    <s v="Vivo"/>
    <x v="0"/>
    <s v="11.1.01.1022"/>
    <s v="11.1.01.1241"/>
    <s v="SI"/>
    <m/>
  </r>
  <r>
    <n v="20910527"/>
    <m/>
    <m/>
    <e v="#N/A"/>
    <m/>
    <m/>
    <m/>
    <m/>
    <m/>
    <m/>
    <s v="H"/>
    <x v="1"/>
    <s v="ANGUS NEGRO"/>
    <s v="4 años 1 meses"/>
    <s v="20-11-2021"/>
    <s v="Vivo"/>
    <x v="0"/>
    <s v="11.1.01.0893"/>
    <s v="11.1.01.0893"/>
    <s v="SI"/>
    <d v="2022-01-09T00:00:00"/>
  </r>
  <r>
    <n v="20910537"/>
    <m/>
    <m/>
    <e v="#N/A"/>
    <m/>
    <m/>
    <m/>
    <m/>
    <d v="2024-12-22T00:00:00"/>
    <d v="2025-01-14T00:00:00"/>
    <s v="H"/>
    <x v="1"/>
    <s v="ANGUS NEGRO"/>
    <s v="4 años 0 meses"/>
    <s v="24-12-2021"/>
    <s v="Vivo"/>
    <x v="0"/>
    <s v="11.1.01.1022"/>
    <s v="11.1.01.0893"/>
    <s v="SI"/>
    <d v="2022-01-09T00:00:00"/>
  </r>
  <r>
    <n v="20910563"/>
    <m/>
    <m/>
    <e v="#N/A"/>
    <m/>
    <m/>
    <m/>
    <m/>
    <m/>
    <m/>
    <s v="H"/>
    <x v="1"/>
    <s v="HEREFORD"/>
    <s v="4 años 0 meses"/>
    <s v="24-12-2021"/>
    <s v="Vivo"/>
    <x v="2"/>
    <s v="11.1.01.0941"/>
    <s v="11.1.01.0941"/>
    <s v="SI"/>
    <d v="2022-04-03T00:00:00"/>
  </r>
  <r>
    <n v="20910565"/>
    <m/>
    <m/>
    <e v="#N/A"/>
    <m/>
    <m/>
    <m/>
    <m/>
    <m/>
    <m/>
    <s v="H"/>
    <x v="1"/>
    <s v="ANGUS NEGRO"/>
    <s v="4 años 3 meses"/>
    <s v="05-10-2021"/>
    <s v="Vivo"/>
    <x v="0"/>
    <s v="Sin Movimiento"/>
    <s v="11.1.01.1241"/>
    <s v="SI"/>
    <m/>
  </r>
  <r>
    <n v="20910568"/>
    <m/>
    <m/>
    <e v="#N/A"/>
    <m/>
    <m/>
    <m/>
    <m/>
    <m/>
    <m/>
    <s v="M"/>
    <x v="2"/>
    <s v="HEREFORD"/>
    <s v="4 años 1 meses"/>
    <s v="30-11-2021"/>
    <s v="Vivo"/>
    <x v="0"/>
    <s v="Sin Movimiento"/>
    <s v="11.1.01.1241"/>
    <s v="SI"/>
    <d v="2022-04-09T00:00:00"/>
  </r>
  <r>
    <n v="20910571"/>
    <m/>
    <m/>
    <e v="#N/A"/>
    <m/>
    <m/>
    <m/>
    <m/>
    <d v="2024-12-22T00:00:00"/>
    <d v="2025-01-14T00:00:00"/>
    <s v="H"/>
    <x v="1"/>
    <s v="ANGUS NEGRO"/>
    <s v="4 años 1 meses"/>
    <s v="07-12-2021"/>
    <s v="Vivo"/>
    <x v="0"/>
    <s v="11.2.01.0038"/>
    <s v="11.1.01.0893"/>
    <s v="SI"/>
    <d v="2022-05-27T00:00:00"/>
  </r>
  <r>
    <n v="20910572"/>
    <m/>
    <m/>
    <e v="#N/A"/>
    <m/>
    <m/>
    <m/>
    <m/>
    <d v="2024-12-22T00:00:00"/>
    <d v="2025-01-14T00:00:00"/>
    <s v="H"/>
    <x v="1"/>
    <s v="ANGUS NEGRO"/>
    <s v="4 años 1 meses"/>
    <s v="07-12-2021"/>
    <s v="Vivo"/>
    <x v="0"/>
    <s v="11.1.01.1022"/>
    <s v="11.1.01.0893"/>
    <s v="SI"/>
    <d v="2022-05-27T00:00:00"/>
  </r>
  <r>
    <n v="20910573"/>
    <m/>
    <m/>
    <e v="#N/A"/>
    <m/>
    <m/>
    <m/>
    <m/>
    <d v="2024-12-22T00:00:00"/>
    <d v="2025-11-05T00:00:00"/>
    <s v="H"/>
    <x v="1"/>
    <s v="ANGUS ROJO"/>
    <s v="4 años 1 meses"/>
    <s v="07-12-2021"/>
    <s v="Vivo"/>
    <x v="7"/>
    <s v="11.1.01.0190"/>
    <s v="11.1.01.0893"/>
    <s v="SI"/>
    <d v="2022-05-27T00:00:00"/>
  </r>
  <r>
    <n v="20910576"/>
    <m/>
    <m/>
    <e v="#N/A"/>
    <m/>
    <m/>
    <m/>
    <m/>
    <d v="2024-12-22T00:00:00"/>
    <d v="2025-01-14T00:00:00"/>
    <s v="H"/>
    <x v="1"/>
    <s v="ANGUS NEGRO"/>
    <s v="4 años 1 meses"/>
    <s v="07-12-2021"/>
    <s v="Vivo"/>
    <x v="7"/>
    <s v="11.1.01.0190"/>
    <s v="11.1.01.0893"/>
    <s v="SI"/>
    <d v="2022-05-27T00:00:00"/>
  </r>
  <r>
    <n v="20910579"/>
    <m/>
    <m/>
    <e v="#N/A"/>
    <m/>
    <m/>
    <m/>
    <m/>
    <d v="2024-12-22T00:00:00"/>
    <d v="2025-01-14T00:00:00"/>
    <s v="H"/>
    <x v="1"/>
    <s v="ANGUS NEGRO"/>
    <s v="4 años 1 meses"/>
    <s v="07-12-2021"/>
    <s v="Vivo"/>
    <x v="0"/>
    <s v="11.1.01.1022"/>
    <s v="11.1.01.0893"/>
    <s v="SI"/>
    <d v="2022-05-27T00:00:00"/>
  </r>
  <r>
    <n v="20910584"/>
    <m/>
    <m/>
    <e v="#N/A"/>
    <m/>
    <m/>
    <m/>
    <m/>
    <d v="2024-12-22T00:00:00"/>
    <d v="2025-11-04T00:00:00"/>
    <s v="H"/>
    <x v="1"/>
    <s v="ANGUS NEGRO"/>
    <s v="4 años 1 meses"/>
    <s v="07-12-2021"/>
    <s v="Vivo"/>
    <x v="0"/>
    <s v="11.2.01.0038"/>
    <s v="11.1.01.0893"/>
    <s v="SI"/>
    <d v="2022-05-27T00:00:00"/>
  </r>
  <r>
    <n v="20910590"/>
    <m/>
    <m/>
    <e v="#N/A"/>
    <m/>
    <m/>
    <m/>
    <m/>
    <d v="2024-12-22T00:00:00"/>
    <d v="2025-11-04T00:00:00"/>
    <s v="H"/>
    <x v="1"/>
    <s v="ANGUS NEGRO"/>
    <s v="4 años 1 meses"/>
    <s v="07-12-2021"/>
    <s v="Vivo"/>
    <x v="0"/>
    <s v="11.2.01.0038"/>
    <s v="11.1.01.0893"/>
    <s v="SI"/>
    <d v="2022-05-27T00:00:00"/>
  </r>
  <r>
    <n v="20910591"/>
    <m/>
    <m/>
    <e v="#N/A"/>
    <m/>
    <m/>
    <m/>
    <m/>
    <m/>
    <m/>
    <s v="H"/>
    <x v="1"/>
    <s v="ANGUS ROJO"/>
    <s v="4 años 1 meses"/>
    <s v="07-12-2021"/>
    <s v="Vivo"/>
    <x v="7"/>
    <s v="11.1.01.0893"/>
    <s v="11.1.01.0893"/>
    <s v="SI"/>
    <d v="2022-05-27T00:00:00"/>
  </r>
  <r>
    <n v="20910604"/>
    <m/>
    <m/>
    <e v="#N/A"/>
    <m/>
    <m/>
    <m/>
    <m/>
    <d v="2024-12-22T00:00:00"/>
    <d v="2025-01-14T00:00:00"/>
    <s v="H"/>
    <x v="1"/>
    <s v="ANGUS NEGRO"/>
    <s v="4 años 1 meses"/>
    <s v="15-12-2021"/>
    <s v="Vivo"/>
    <x v="0"/>
    <s v="11.1.01.1022"/>
    <s v="11.1.01.1241"/>
    <s v="SI"/>
    <d v="2022-05-28T00:00:00"/>
  </r>
  <r>
    <n v="20910606"/>
    <m/>
    <m/>
    <e v="#N/A"/>
    <m/>
    <m/>
    <m/>
    <m/>
    <d v="2024-12-22T00:00:00"/>
    <d v="2025-01-14T00:00:00"/>
    <s v="H"/>
    <x v="1"/>
    <s v="ANGUS NEGRO"/>
    <s v="4 años 1 meses"/>
    <s v="15-12-2021"/>
    <s v="Vivo"/>
    <x v="7"/>
    <s v="11.1.01.0190"/>
    <s v="11.1.01.1241"/>
    <s v="SI"/>
    <d v="2022-05-28T00:00:00"/>
  </r>
  <r>
    <n v="20910607"/>
    <m/>
    <m/>
    <e v="#N/A"/>
    <m/>
    <m/>
    <m/>
    <m/>
    <m/>
    <m/>
    <s v="H"/>
    <x v="1"/>
    <s v="ANGUS NEGRO"/>
    <s v="4 años 1 meses"/>
    <s v="15-12-2021"/>
    <s v="Vivo"/>
    <x v="4"/>
    <s v="11.1.01.0893"/>
    <s v="11.1.01.1241"/>
    <s v="SI"/>
    <d v="2022-05-28T00:00:00"/>
  </r>
  <r>
    <n v="20910608"/>
    <m/>
    <m/>
    <e v="#N/A"/>
    <m/>
    <m/>
    <m/>
    <m/>
    <d v="2024-12-22T00:00:00"/>
    <d v="2025-11-04T00:00:00"/>
    <s v="H"/>
    <x v="1"/>
    <s v="ANGUS NEGRO"/>
    <s v="4 años 1 meses"/>
    <s v="15-12-2021"/>
    <s v="Vivo"/>
    <x v="7"/>
    <s v="11.1.01.0190"/>
    <s v="11.1.01.1241"/>
    <s v="SI"/>
    <d v="2022-05-28T00:00:00"/>
  </r>
  <r>
    <n v="20910612"/>
    <m/>
    <n v="6154958"/>
    <n v="6154958"/>
    <m/>
    <m/>
    <m/>
    <m/>
    <d v="2024-05-20T00:00:00"/>
    <m/>
    <s v="H"/>
    <x v="1"/>
    <s v="ANGUS NEGRO"/>
    <s v="15 años 3 meses"/>
    <s v="30-09-2010"/>
    <s v="Vivo"/>
    <x v="6"/>
    <s v="11.1.01.1241"/>
    <s v="11.1.01.1241"/>
    <s v="SI"/>
    <m/>
  </r>
  <r>
    <n v="20910613"/>
    <m/>
    <n v="6154794"/>
    <n v="6154794"/>
    <m/>
    <m/>
    <m/>
    <m/>
    <m/>
    <m/>
    <s v="H"/>
    <x v="1"/>
    <s v="ANGUS NEGRO"/>
    <s v="14 años 11 meses"/>
    <s v="30-01-2011"/>
    <s v="Vivo"/>
    <x v="0"/>
    <s v="11.2.01.0038"/>
    <s v="11.1.01.1241"/>
    <s v="SI"/>
    <m/>
  </r>
  <r>
    <n v="20910614"/>
    <m/>
    <n v="8392827"/>
    <n v="8392827"/>
    <m/>
    <m/>
    <m/>
    <m/>
    <d v="2024-05-20T00:00:00"/>
    <m/>
    <s v="H"/>
    <x v="1"/>
    <s v="ANGUS NEGRO"/>
    <s v="12 años 11 meses"/>
    <s v="30-01-2013"/>
    <s v="Vivo"/>
    <x v="0"/>
    <s v="11.1.01.0870"/>
    <s v="11.1.01.1240"/>
    <s v="SI"/>
    <m/>
  </r>
  <r>
    <n v="20910620"/>
    <m/>
    <m/>
    <e v="#N/A"/>
    <m/>
    <m/>
    <m/>
    <m/>
    <d v="2024-12-22T00:00:00"/>
    <d v="2025-01-14T00:00:00"/>
    <s v="H"/>
    <x v="1"/>
    <s v="LIMOUSIN"/>
    <s v="4 años 0 meses"/>
    <s v="30-12-2021"/>
    <s v="Vivo"/>
    <x v="0"/>
    <s v="11.1.01.1022"/>
    <s v="11.1.01.1241"/>
    <s v="SI"/>
    <d v="2022-08-07T00:00:00"/>
  </r>
  <r>
    <n v="20910625"/>
    <m/>
    <m/>
    <e v="#N/A"/>
    <m/>
    <m/>
    <m/>
    <m/>
    <m/>
    <m/>
    <s v="M"/>
    <x v="2"/>
    <s v="ANGUS ROJO"/>
    <s v="4 años 0 meses"/>
    <s v="30-12-2021"/>
    <s v="Vivo"/>
    <x v="7"/>
    <s v="11.1.01.0190"/>
    <s v="11.1.01.1241"/>
    <s v="SI"/>
    <d v="2022-08-07T00:00:00"/>
  </r>
  <r>
    <n v="20910636"/>
    <m/>
    <n v="14717775"/>
    <n v="14717775"/>
    <m/>
    <m/>
    <m/>
    <m/>
    <d v="2024-12-22T00:00:00"/>
    <d v="2025-01-14T00:00:00"/>
    <s v="H"/>
    <x v="1"/>
    <s v="ANGUS NEGRO"/>
    <s v="9 años 3 meses"/>
    <s v="15-10-2016"/>
    <s v="Vivo"/>
    <x v="0"/>
    <s v="11.2.01.0038"/>
    <s v="11.1.01.0893"/>
    <s v="SI"/>
    <m/>
  </r>
  <r>
    <n v="20910637"/>
    <m/>
    <m/>
    <e v="#N/A"/>
    <m/>
    <m/>
    <m/>
    <m/>
    <d v="2024-12-22T00:00:00"/>
    <d v="2025-11-04T00:00:00"/>
    <s v="H"/>
    <x v="1"/>
    <s v="ANGUS NEGRO"/>
    <s v="11 años 3 meses"/>
    <s v="15-10-2014"/>
    <s v="Vivo"/>
    <x v="7"/>
    <s v="11.1.01.0190"/>
    <s v="11.1.01.1241"/>
    <s v="NO"/>
    <d v="2023-06-13T00:00:00"/>
  </r>
  <r>
    <n v="20910640"/>
    <m/>
    <m/>
    <e v="#N/A"/>
    <m/>
    <m/>
    <m/>
    <m/>
    <d v="2024-12-22T00:00:00"/>
    <d v="2025-01-14T00:00:00"/>
    <s v="H"/>
    <x v="1"/>
    <s v="ANGUS NEGRO"/>
    <s v="11 años 3 meses"/>
    <s v="15-10-2014"/>
    <s v="Vivo"/>
    <x v="0"/>
    <s v="Sin Movimiento"/>
    <s v="11.1.01.1241"/>
    <s v="NO"/>
    <d v="2023-06-13T00:00:00"/>
  </r>
  <r>
    <n v="20910641"/>
    <m/>
    <n v="8392478"/>
    <n v="8392478"/>
    <m/>
    <m/>
    <m/>
    <m/>
    <d v="2024-12-22T00:00:00"/>
    <d v="2025-01-14T00:00:00"/>
    <s v="H"/>
    <x v="1"/>
    <s v="ANGUS NEGRO"/>
    <s v="13 años 2 meses"/>
    <s v="30-10-2012"/>
    <s v="Vivo"/>
    <x v="0"/>
    <s v="11.2.01.0038"/>
    <s v="11.1.01.1241"/>
    <s v="SI"/>
    <m/>
  </r>
  <r>
    <n v="20910643"/>
    <m/>
    <n v="8933487"/>
    <n v="8933487"/>
    <m/>
    <m/>
    <m/>
    <m/>
    <d v="2024-12-22T00:00:00"/>
    <d v="2025-11-04T00:00:00"/>
    <s v="H"/>
    <x v="1"/>
    <s v="ANGUS NEGRO"/>
    <s v="11 años 2 meses"/>
    <s v="30-10-2014"/>
    <s v="Vivo"/>
    <x v="7"/>
    <s v="11.1.01.0190"/>
    <s v="11.1.01.1081"/>
    <s v="SI"/>
    <m/>
  </r>
  <r>
    <n v="20910650"/>
    <m/>
    <m/>
    <e v="#N/A"/>
    <m/>
    <m/>
    <m/>
    <m/>
    <m/>
    <m/>
    <s v="M"/>
    <x v="2"/>
    <s v="ANGUS NEGRO"/>
    <s v="3 años 2 meses"/>
    <s v="15-11-2022"/>
    <s v="Vivo"/>
    <x v="7"/>
    <s v="11.2.01.2086"/>
    <s v="11.1.01.1241"/>
    <s v="SI"/>
    <d v="2023-06-14T00:00:00"/>
  </r>
  <r>
    <n v="20910653"/>
    <n v="2636172"/>
    <n v="18072809"/>
    <n v="18072809"/>
    <m/>
    <m/>
    <m/>
    <m/>
    <d v="2024-12-10T00:00:00"/>
    <m/>
    <s v="M"/>
    <x v="2"/>
    <s v="ANGUS NEGRO"/>
    <s v="6 años 1 meses"/>
    <s v="15-12-2019"/>
    <s v="Vivo"/>
    <x v="2"/>
    <s v="11.1.01.0791"/>
    <s v="11.2.01.0251"/>
    <s v="SI"/>
    <m/>
  </r>
  <r>
    <n v="20910654"/>
    <n v="2636142"/>
    <n v="19050239"/>
    <n v="19050239"/>
    <m/>
    <m/>
    <m/>
    <m/>
    <m/>
    <d v="2025-06-10T00:00:00"/>
    <s v="M"/>
    <x v="2"/>
    <s v="ANGUS NEGRO"/>
    <s v="7 años 2 meses"/>
    <s v="12-11-2018"/>
    <s v="Vivo"/>
    <x v="0"/>
    <s v="11.2.01.0038"/>
    <s v="11.2.01.0251"/>
    <s v="SI"/>
    <m/>
  </r>
  <r>
    <n v="20910659"/>
    <m/>
    <m/>
    <e v="#N/A"/>
    <m/>
    <m/>
    <m/>
    <m/>
    <m/>
    <m/>
    <s v="M"/>
    <x v="2"/>
    <s v="OVERO NEGRO"/>
    <s v="3 años 1 meses"/>
    <s v="15-12-2022"/>
    <s v="Vivo"/>
    <x v="7"/>
    <s v="11.1.01.0190"/>
    <s v="11.1.01.1241"/>
    <s v="SI"/>
    <d v="2023-06-14T00:00:00"/>
  </r>
  <r>
    <n v="20910665"/>
    <m/>
    <m/>
    <e v="#N/A"/>
    <m/>
    <m/>
    <m/>
    <m/>
    <m/>
    <d v="2025-11-08T00:00:00"/>
    <s v="H"/>
    <x v="4"/>
    <s v="ANGUS NEGRO"/>
    <s v="2 años 3 meses"/>
    <s v="30-09-2023"/>
    <s v="Vivo"/>
    <x v="7"/>
    <s v="11.1.01.0190"/>
    <s v="11.1.01.1241"/>
    <s v="SI"/>
    <m/>
  </r>
  <r>
    <n v="20910692"/>
    <m/>
    <m/>
    <e v="#N/A"/>
    <m/>
    <m/>
    <m/>
    <m/>
    <m/>
    <d v="2025-11-08T00:00:00"/>
    <s v="H"/>
    <x v="4"/>
    <s v="ANGUS NEGRO"/>
    <s v="2 años 3 meses"/>
    <s v="30-09-2023"/>
    <s v="Vivo"/>
    <x v="10"/>
    <s v="11.1.01.0941"/>
    <s v="11.1.01.1241"/>
    <s v="SI"/>
    <m/>
  </r>
  <r>
    <n v="20910699"/>
    <m/>
    <m/>
    <e v="#N/A"/>
    <m/>
    <m/>
    <m/>
    <m/>
    <m/>
    <m/>
    <s v="M"/>
    <x v="5"/>
    <s v="ANGUS ROJO"/>
    <s v="2 años 3 meses"/>
    <s v="30-09-2023"/>
    <s v="Vivo"/>
    <x v="0"/>
    <s v="Sin Movimiento"/>
    <s v="11.1.01.1241"/>
    <s v="SI"/>
    <m/>
  </r>
  <r>
    <n v="20910726"/>
    <m/>
    <m/>
    <e v="#N/A"/>
    <m/>
    <m/>
    <m/>
    <m/>
    <m/>
    <d v="2025-11-08T00:00:00"/>
    <s v="H"/>
    <x v="4"/>
    <s v="ANGUS NEGRO"/>
    <s v="2 años 3 meses"/>
    <s v="05-10-2023"/>
    <s v="Vivo"/>
    <x v="10"/>
    <s v="11.1.01.0941"/>
    <s v="11.1.01.1241"/>
    <s v="SI"/>
    <m/>
  </r>
  <r>
    <n v="20910733"/>
    <m/>
    <m/>
    <e v="#N/A"/>
    <m/>
    <m/>
    <m/>
    <m/>
    <m/>
    <d v="2025-11-08T00:00:00"/>
    <s v="H"/>
    <x v="4"/>
    <s v="ANGUS NEGRO"/>
    <s v="2 años 3 meses"/>
    <s v="30-09-2023"/>
    <s v="Vivo"/>
    <x v="7"/>
    <s v="11.1.01.0190"/>
    <s v="11.1.01.1241"/>
    <s v="SI"/>
    <m/>
  </r>
  <r>
    <n v="20910739"/>
    <m/>
    <n v="20910602"/>
    <n v="20910602"/>
    <m/>
    <m/>
    <m/>
    <m/>
    <d v="2024-12-22T00:00:00"/>
    <d v="2025-11-05T00:00:00"/>
    <s v="H"/>
    <x v="1"/>
    <s v="ANGUS NEGRO"/>
    <s v="4 años 1 meses"/>
    <s v="15-12-2021"/>
    <s v="Vivo"/>
    <x v="7"/>
    <s v="11.1.01.0190"/>
    <s v="11.1.01.1241"/>
    <s v="SI"/>
    <m/>
  </r>
  <r>
    <n v="20910740"/>
    <m/>
    <n v="8937516"/>
    <n v="8937516"/>
    <m/>
    <m/>
    <m/>
    <m/>
    <d v="2024-12-22T00:00:00"/>
    <d v="2025-01-14T00:00:00"/>
    <s v="H"/>
    <x v="1"/>
    <s v="ANGUS NEGRO"/>
    <s v="11 años 3 meses"/>
    <s v="30-09-2014"/>
    <s v="Vivo"/>
    <x v="0"/>
    <s v="11.2.01.0038"/>
    <s v="11.1.01.2304"/>
    <s v="SI"/>
    <m/>
  </r>
  <r>
    <n v="20910747"/>
    <m/>
    <n v="8937616"/>
    <n v="8937616"/>
    <m/>
    <m/>
    <m/>
    <m/>
    <m/>
    <m/>
    <s v="H"/>
    <x v="1"/>
    <s v="HEREFORD"/>
    <s v="10 años 9 meses"/>
    <s v="30-03-2015"/>
    <s v="Vivo"/>
    <x v="3"/>
    <s v="11.1.01.0893"/>
    <s v="11.1.01.2304"/>
    <s v="SI"/>
    <m/>
  </r>
  <r>
    <n v="20910751"/>
    <n v="2636110"/>
    <m/>
    <e v="#N/A"/>
    <m/>
    <m/>
    <m/>
    <m/>
    <m/>
    <m/>
    <s v="H"/>
    <x v="1"/>
    <s v="ANGUS NEGRO"/>
    <s v="6 años 2 meses"/>
    <s v="01-11-2019"/>
    <s v="Vivo"/>
    <x v="0"/>
    <s v="Sin Movimiento"/>
    <s v="11.1.01.1241"/>
    <s v="NO"/>
    <d v="2024-06-16T00:00:00"/>
  </r>
  <r>
    <n v="20910752"/>
    <m/>
    <m/>
    <e v="#N/A"/>
    <m/>
    <m/>
    <m/>
    <m/>
    <d v="2024-01-06T00:00:00"/>
    <m/>
    <s v="H"/>
    <x v="1"/>
    <s v="ANGUS NEGRO"/>
    <s v="5 años 2 meses"/>
    <s v="21-10-2020"/>
    <s v="Vivo"/>
    <x v="3"/>
    <s v="11.1.01.0893"/>
    <s v="11.1.01.0893"/>
    <s v="NO"/>
    <m/>
  </r>
  <r>
    <n v="20910755"/>
    <m/>
    <n v="16843155"/>
    <n v="16843155"/>
    <m/>
    <m/>
    <m/>
    <m/>
    <d v="2024-01-06T00:00:00"/>
    <m/>
    <s v="H"/>
    <x v="1"/>
    <s v="ANGUS NEGRO"/>
    <s v="7 años 3 meses"/>
    <s v="15-10-2018"/>
    <s v="Vivo"/>
    <x v="3"/>
    <s v="11.1.01.0893"/>
    <s v="11.1.01.1241"/>
    <s v="SI"/>
    <m/>
  </r>
  <r>
    <n v="20910757"/>
    <m/>
    <n v="16843343"/>
    <n v="16843343"/>
    <m/>
    <m/>
    <m/>
    <m/>
    <d v="2024-01-06T00:00:00"/>
    <m/>
    <s v="H"/>
    <x v="1"/>
    <s v="ANGUS NEGRO"/>
    <s v="7 años 4 meses"/>
    <s v="10-09-2018"/>
    <s v="Vivo"/>
    <x v="3"/>
    <s v="11.1.01.0893"/>
    <s v="11.1.01.0893"/>
    <s v="SI"/>
    <m/>
  </r>
  <r>
    <n v="20910758"/>
    <m/>
    <m/>
    <e v="#N/A"/>
    <m/>
    <m/>
    <m/>
    <m/>
    <d v="2024-01-06T00:00:00"/>
    <m/>
    <s v="H"/>
    <x v="1"/>
    <s v="ANGUS ROJO"/>
    <s v="5 años 2 meses"/>
    <s v="21-10-2020"/>
    <s v="Vivo"/>
    <x v="4"/>
    <s v="11.1.01.0893"/>
    <s v="11.1.01.0893"/>
    <s v="NO"/>
    <m/>
  </r>
  <r>
    <n v="20910759"/>
    <m/>
    <n v="16843022"/>
    <n v="16843022"/>
    <m/>
    <m/>
    <m/>
    <m/>
    <m/>
    <m/>
    <s v="H"/>
    <x v="1"/>
    <s v="ANGUS NEGRO"/>
    <s v="7 años 3 meses"/>
    <s v="20-09-2018"/>
    <s v="Vivo"/>
    <x v="3"/>
    <s v="11.1.01.0893"/>
    <s v="11.1.01.1241"/>
    <s v="SI"/>
    <m/>
  </r>
  <r>
    <n v="20910760"/>
    <m/>
    <n v="16843218"/>
    <n v="16843218"/>
    <m/>
    <m/>
    <m/>
    <m/>
    <d v="2024-01-06T00:00:00"/>
    <m/>
    <s v="H"/>
    <x v="1"/>
    <s v="ANGUS NEGRO"/>
    <s v="7 años 3 meses"/>
    <s v="20-09-2018"/>
    <s v="Vivo"/>
    <x v="3"/>
    <s v="11.1.01.0893"/>
    <s v="11.1.01.1241"/>
    <s v="SI"/>
    <m/>
  </r>
  <r>
    <n v="20910762"/>
    <m/>
    <m/>
    <e v="#N/A"/>
    <m/>
    <m/>
    <m/>
    <m/>
    <m/>
    <m/>
    <s v="H"/>
    <x v="1"/>
    <s v="ANGUS NEGRO"/>
    <s v="4 años 1 meses"/>
    <s v="15-12-2021"/>
    <s v="Vivo"/>
    <x v="0"/>
    <s v="Sin Movimiento"/>
    <s v="11.1.01.1241"/>
    <s v="NO"/>
    <d v="2025-04-27T00:00:00"/>
  </r>
  <r>
    <n v="20910763"/>
    <m/>
    <m/>
    <e v="#N/A"/>
    <m/>
    <m/>
    <m/>
    <m/>
    <d v="2024-12-22T00:00:00"/>
    <d v="2025-01-14T00:00:00"/>
    <s v="H"/>
    <x v="1"/>
    <s v="ANGUS NEGRO"/>
    <s v="6 años 3 meses"/>
    <s v="15-10-2019"/>
    <s v="Vivo"/>
    <x v="6"/>
    <s v="11.1.01.1241"/>
    <s v="11.1.01.1241"/>
    <s v="NO"/>
    <m/>
  </r>
  <r>
    <n v="20910766"/>
    <n v="2636163"/>
    <n v="19050225"/>
    <n v="19050225"/>
    <m/>
    <m/>
    <m/>
    <m/>
    <m/>
    <m/>
    <s v="M"/>
    <x v="2"/>
    <s v="ANGUS NEGRO"/>
    <s v="7 años 2 meses"/>
    <s v="29-10-2018"/>
    <s v="Vivo"/>
    <x v="3"/>
    <s v="11.1.01.1241"/>
    <s v="11.2.01.0251"/>
    <s v="SI"/>
    <m/>
  </r>
  <r>
    <n v="20910767"/>
    <n v="2636131"/>
    <n v="19050226"/>
    <n v="19050226"/>
    <m/>
    <m/>
    <m/>
    <m/>
    <m/>
    <d v="2025-06-10T00:00:00"/>
    <s v="M"/>
    <x v="2"/>
    <s v="ANGUS NEGRO"/>
    <s v="10 años 3 meses"/>
    <s v="30-09-2015"/>
    <s v="Vivo"/>
    <x v="3"/>
    <s v="11.1.01.1241"/>
    <s v="11.1.01.0290"/>
    <s v="SI"/>
    <m/>
  </r>
  <r>
    <n v="20910768"/>
    <m/>
    <m/>
    <n v="20910649"/>
    <m/>
    <m/>
    <m/>
    <m/>
    <m/>
    <d v="2025-06-10T00:00:00"/>
    <s v="M"/>
    <x v="5"/>
    <s v="ANGUS NEGRO"/>
    <s v="2 años 11 meses"/>
    <s v="20-01-2023"/>
    <s v="Vivo"/>
    <x v="7"/>
    <s v="11.1.01.0190"/>
    <s v="11.1.01.1241"/>
    <s v="SI"/>
    <m/>
  </r>
  <r>
    <n v="20910769"/>
    <n v="2636170"/>
    <n v="19776849"/>
    <n v="19776849"/>
    <m/>
    <m/>
    <m/>
    <m/>
    <m/>
    <m/>
    <s v="M"/>
    <x v="2"/>
    <s v="ANGUS NEGRO"/>
    <s v="5 años 4 meses"/>
    <s v="15-09-2020"/>
    <s v="Vivo"/>
    <x v="3"/>
    <s v="11.1.01.1241"/>
    <s v="11.1.01.0290"/>
    <s v="NO"/>
    <d v="2024-05-21T00:00:00"/>
  </r>
  <r>
    <n v="20910770"/>
    <m/>
    <m/>
    <e v="#N/A"/>
    <m/>
    <m/>
    <m/>
    <m/>
    <d v="2024-05-20T00:00:00"/>
    <d v="2025-11-05T00:00:00"/>
    <s v="H"/>
    <x v="1"/>
    <s v="ANGUS NEGRO"/>
    <s v="6 años 2 meses"/>
    <s v="01-11-2019"/>
    <s v="Vivo"/>
    <x v="7"/>
    <s v="11.1.01.0190"/>
    <s v="11.1.01.1241"/>
    <s v="NO"/>
    <d v="2024-05-21T00:00:00"/>
  </r>
  <r>
    <n v="20910771"/>
    <m/>
    <n v="14718270"/>
    <n v="14718270"/>
    <m/>
    <m/>
    <m/>
    <m/>
    <d v="2024-12-22T00:00:00"/>
    <d v="2025-11-05T00:00:00"/>
    <s v="H"/>
    <x v="1"/>
    <s v="ANGUS NEGRO"/>
    <s v="9 años 3 meses"/>
    <s v="10-10-2016"/>
    <s v="Vivo"/>
    <x v="7"/>
    <s v="11.1.01.0190"/>
    <s v="11.1.01.0893"/>
    <s v="SI"/>
    <m/>
  </r>
  <r>
    <n v="20910773"/>
    <m/>
    <n v="16843440"/>
    <n v="16843440"/>
    <m/>
    <m/>
    <m/>
    <m/>
    <d v="2024-01-06T00:00:00"/>
    <m/>
    <s v="H"/>
    <x v="1"/>
    <s v="ANGUS NEGRO"/>
    <s v="7 años 3 meses"/>
    <s v="30-09-2018"/>
    <s v="Vivo"/>
    <x v="3"/>
    <s v="11.1.01.0893"/>
    <s v="11.1.01.0893"/>
    <s v="SI"/>
    <m/>
  </r>
  <r>
    <n v="20910775"/>
    <m/>
    <n v="14717892"/>
    <n v="14717892"/>
    <m/>
    <m/>
    <m/>
    <m/>
    <m/>
    <m/>
    <s v="H"/>
    <x v="1"/>
    <s v="LIMOUSIN"/>
    <s v="9 años 3 meses"/>
    <s v="15-10-2016"/>
    <s v="Vivo"/>
    <x v="2"/>
    <s v="11.1.01.1081"/>
    <s v="11.1.01.1081"/>
    <s v="SI"/>
    <m/>
  </r>
  <r>
    <n v="20910776"/>
    <m/>
    <n v="16843302"/>
    <n v="16843302"/>
    <m/>
    <m/>
    <m/>
    <m/>
    <d v="2024-01-06T00:00:00"/>
    <m/>
    <s v="H"/>
    <x v="1"/>
    <s v="ANGUS NEGRO"/>
    <s v="7 años 2 meses"/>
    <s v="20-10-2018"/>
    <s v="Vivo"/>
    <x v="3"/>
    <s v="11.1.01.0893"/>
    <s v="11.1.01.0893"/>
    <s v="SI"/>
    <m/>
  </r>
  <r>
    <n v="20910777"/>
    <m/>
    <n v="16843375"/>
    <n v="16843375"/>
    <m/>
    <m/>
    <m/>
    <m/>
    <m/>
    <m/>
    <s v="H"/>
    <x v="1"/>
    <s v="ANGUS NEGRO"/>
    <s v="7 años 4 meses"/>
    <s v="10-09-2018"/>
    <s v="Vivo"/>
    <x v="4"/>
    <s v="11.1.01.0893"/>
    <s v="11.1.01.0893"/>
    <s v="SI"/>
    <m/>
  </r>
  <r>
    <n v="20910779"/>
    <m/>
    <n v="16843282"/>
    <n v="16843282"/>
    <m/>
    <m/>
    <m/>
    <m/>
    <m/>
    <m/>
    <s v="H"/>
    <x v="1"/>
    <s v="ANGUS NEGRO"/>
    <s v="7 años 4 meses"/>
    <s v="10-09-2018"/>
    <s v="Vivo"/>
    <x v="3"/>
    <s v="11.1.01.0893"/>
    <s v="11.1.01.0893"/>
    <s v="SI"/>
    <m/>
  </r>
  <r>
    <n v="20910784"/>
    <m/>
    <m/>
    <e v="#N/A"/>
    <m/>
    <m/>
    <m/>
    <m/>
    <m/>
    <m/>
    <s v="no existe"/>
    <x v="3"/>
    <s v="no existe"/>
    <s v="no existe"/>
    <s v="no existe"/>
    <s v="no existe"/>
    <x v="5"/>
    <s v="no existe"/>
    <s v="no existe"/>
    <s v="no existe"/>
    <d v="2023-05-19T00:00:00"/>
  </r>
  <r>
    <n v="20910785"/>
    <m/>
    <m/>
    <e v="#N/A"/>
    <m/>
    <m/>
    <m/>
    <m/>
    <d v="2024-01-06T00:00:00"/>
    <m/>
    <s v="H"/>
    <x v="1"/>
    <s v="ANGUS NEGRO"/>
    <s v="5 años 3 meses"/>
    <s v="15-10-2020"/>
    <s v="Vivo"/>
    <x v="3"/>
    <s v="11.1.01.0893"/>
    <s v="11.1.01.0893"/>
    <s v="NO"/>
    <d v="2023-05-19T00:00:00"/>
  </r>
  <r>
    <n v="20910786"/>
    <m/>
    <m/>
    <e v="#N/A"/>
    <m/>
    <m/>
    <m/>
    <m/>
    <m/>
    <m/>
    <s v="H"/>
    <x v="1"/>
    <s v="ANGUS NEGRO"/>
    <s v="5 años 3 meses"/>
    <s v="15-10-2020"/>
    <s v="Vivo"/>
    <x v="7"/>
    <s v="11.1.01.0893"/>
    <s v="11.1.01.0893"/>
    <s v="NO"/>
    <d v="2023-05-19T00:00:00"/>
  </r>
  <r>
    <n v="20910787"/>
    <m/>
    <m/>
    <e v="#N/A"/>
    <m/>
    <m/>
    <m/>
    <m/>
    <d v="2024-01-06T00:00:00"/>
    <m/>
    <s v="H"/>
    <x v="1"/>
    <s v="ANGUS NEGRO"/>
    <s v="5 años 3 meses"/>
    <s v="15-10-2020"/>
    <s v="Vivo"/>
    <x v="3"/>
    <s v="11.1.01.0893"/>
    <s v="11.1.01.0893"/>
    <s v="NO"/>
    <d v="2023-05-19T00:00:00"/>
  </r>
  <r>
    <n v="20910788"/>
    <m/>
    <m/>
    <e v="#N/A"/>
    <m/>
    <m/>
    <m/>
    <m/>
    <d v="2024-01-06T00:00:00"/>
    <m/>
    <s v="H"/>
    <x v="1"/>
    <s v="ANGUS NEGRO"/>
    <s v="5 años 3 meses"/>
    <s v="15-10-2020"/>
    <s v="Vivo"/>
    <x v="3"/>
    <s v="11.1.01.0893"/>
    <s v="11.1.01.0893"/>
    <s v="NO"/>
    <d v="2023-05-19T00:00:00"/>
  </r>
  <r>
    <n v="20910790"/>
    <m/>
    <m/>
    <e v="#N/A"/>
    <m/>
    <m/>
    <m/>
    <m/>
    <d v="2024-01-06T00:00:00"/>
    <m/>
    <s v="H"/>
    <x v="1"/>
    <s v="ANGUS NEGRO"/>
    <s v="5 años 3 meses"/>
    <s v="15-10-2020"/>
    <s v="Vivo"/>
    <x v="4"/>
    <s v="11.1.01.0893"/>
    <s v="11.1.01.0893"/>
    <s v="NO"/>
    <d v="2023-05-19T00:00:00"/>
  </r>
  <r>
    <n v="20910791"/>
    <m/>
    <m/>
    <e v="#N/A"/>
    <m/>
    <m/>
    <m/>
    <m/>
    <m/>
    <m/>
    <s v="H"/>
    <x v="1"/>
    <s v="ANGUS NEGRO"/>
    <s v="5 años 3 meses"/>
    <s v="15-10-2020"/>
    <s v="Vivo"/>
    <x v="3"/>
    <s v="11.1.01.0893"/>
    <s v="11.1.01.0893"/>
    <s v="NO"/>
    <d v="2023-05-19T00:00:00"/>
  </r>
  <r>
    <n v="20910792"/>
    <m/>
    <m/>
    <e v="#N/A"/>
    <m/>
    <m/>
    <m/>
    <m/>
    <m/>
    <m/>
    <s v="H"/>
    <x v="1"/>
    <s v="ANGUS NEGRO"/>
    <s v="5 años 3 meses"/>
    <s v="15-10-2020"/>
    <s v="Vivo"/>
    <x v="3"/>
    <s v="11.1.01.0893"/>
    <s v="11.1.01.0893"/>
    <s v="NO"/>
    <d v="2023-05-19T00:00:00"/>
  </r>
  <r>
    <n v="20910793"/>
    <m/>
    <m/>
    <e v="#N/A"/>
    <m/>
    <m/>
    <m/>
    <m/>
    <m/>
    <m/>
    <s v="H"/>
    <x v="1"/>
    <s v="ANGUS NEGRO"/>
    <s v="5 años 3 meses"/>
    <s v="15-10-2020"/>
    <s v="Vivo"/>
    <x v="4"/>
    <s v="11.1.01.0893"/>
    <s v="11.1.01.0893"/>
    <s v="NO"/>
    <d v="2023-05-19T00:00:00"/>
  </r>
  <r>
    <n v="20910794"/>
    <m/>
    <m/>
    <e v="#N/A"/>
    <m/>
    <m/>
    <m/>
    <m/>
    <m/>
    <m/>
    <s v="H"/>
    <x v="1"/>
    <s v="ANGUS NEGRO"/>
    <s v="5 años 3 meses"/>
    <s v="15-10-2020"/>
    <s v="Vivo"/>
    <x v="3"/>
    <s v="11.1.01.0893"/>
    <s v="11.1.01.0893"/>
    <s v="NO"/>
    <d v="2023-05-19T00:00:00"/>
  </r>
  <r>
    <n v="20910796"/>
    <m/>
    <n v="8937509"/>
    <n v="8937509"/>
    <m/>
    <m/>
    <m/>
    <m/>
    <d v="2024-05-20T00:00:00"/>
    <m/>
    <s v="H"/>
    <x v="1"/>
    <s v="ANGUS ROJO"/>
    <s v="11 años 3 meses"/>
    <s v="30-09-2014"/>
    <s v="Vivo"/>
    <x v="0"/>
    <s v="11.2.01.0038"/>
    <s v="11.1.01.2304"/>
    <s v="SI"/>
    <m/>
  </r>
  <r>
    <n v="20910799"/>
    <m/>
    <n v="16843423"/>
    <n v="16843423"/>
    <m/>
    <m/>
    <m/>
    <m/>
    <d v="2024-01-06T00:00:00"/>
    <m/>
    <s v="H"/>
    <x v="1"/>
    <s v="ANGUS NEGRO"/>
    <s v="7 años 3 meses"/>
    <s v="20-09-2018"/>
    <s v="Vivo"/>
    <x v="3"/>
    <s v="11.1.01.0893"/>
    <s v="11.1.01.0893"/>
    <s v="SI"/>
    <m/>
  </r>
  <r>
    <n v="20910800"/>
    <m/>
    <n v="16843194"/>
    <n v="16843194"/>
    <m/>
    <m/>
    <m/>
    <m/>
    <d v="2024-01-06T00:00:00"/>
    <m/>
    <s v="H"/>
    <x v="1"/>
    <s v="ANGUS NEGRO"/>
    <s v="7 años 3 meses"/>
    <s v="20-09-2018"/>
    <s v="Vivo"/>
    <x v="3"/>
    <s v="11.1.01.0893"/>
    <s v="11.1.01.1241"/>
    <s v="SI"/>
    <m/>
  </r>
  <r>
    <n v="20916625"/>
    <m/>
    <m/>
    <e v="#N/A"/>
    <m/>
    <m/>
    <m/>
    <m/>
    <m/>
    <m/>
    <s v="H"/>
    <x v="1"/>
    <s v="ANGUS NEGRO"/>
    <s v="3 años 10 meses"/>
    <s v="15-03-2022"/>
    <s v="Vivo"/>
    <x v="10"/>
    <s v="Sin Movimiento"/>
    <s v="11.1.01.1022"/>
    <s v="SI"/>
    <d v="2022-04-07T00:00:00"/>
  </r>
  <r>
    <n v="20916627"/>
    <m/>
    <m/>
    <e v="#N/A"/>
    <m/>
    <m/>
    <m/>
    <m/>
    <m/>
    <m/>
    <s v="H"/>
    <x v="1"/>
    <s v="ANGUS NEGRO"/>
    <s v="3 años 11 meses"/>
    <s v="15-02-2022"/>
    <s v="Vivo"/>
    <x v="10"/>
    <s v="Sin Movimiento"/>
    <s v="11.1.01.1022"/>
    <s v="SI"/>
    <d v="2022-04-07T00:00:00"/>
  </r>
  <r>
    <n v="20916632"/>
    <m/>
    <m/>
    <e v="#N/A"/>
    <m/>
    <m/>
    <m/>
    <m/>
    <m/>
    <m/>
    <s v="H"/>
    <x v="1"/>
    <s v="ANGUS ROJO"/>
    <s v="4 años 0 meses"/>
    <s v="15-01-2022"/>
    <s v="Vivo"/>
    <x v="10"/>
    <s v="Sin Movimiento"/>
    <s v="11.1.01.1022"/>
    <s v="SI"/>
    <d v="2022-04-07T00:00:00"/>
  </r>
  <r>
    <n v="20916635"/>
    <m/>
    <m/>
    <e v="#N/A"/>
    <m/>
    <m/>
    <m/>
    <m/>
    <m/>
    <m/>
    <s v="H"/>
    <x v="1"/>
    <s v="ANGUS ROJO"/>
    <s v="4 años 0 meses"/>
    <s v="15-01-2022"/>
    <s v="Vivo"/>
    <x v="10"/>
    <s v="Sin Movimiento"/>
    <s v="11.1.01.1022"/>
    <s v="SI"/>
    <d v="2022-11-15T00:00:00"/>
  </r>
  <r>
    <n v="21070641"/>
    <m/>
    <m/>
    <e v="#N/A"/>
    <m/>
    <m/>
    <m/>
    <m/>
    <m/>
    <m/>
    <s v="M"/>
    <x v="6"/>
    <s v="ANGUS NEGRO"/>
    <s v="2 años 4 meses"/>
    <s v="15-09-2023"/>
    <s v="Vivo"/>
    <x v="10"/>
    <s v="11.1.01.0893"/>
    <s v="11.1.01.0290"/>
    <s v="SI"/>
    <m/>
  </r>
  <r>
    <n v="22350004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02T00:00:00"/>
  </r>
  <r>
    <n v="22350005"/>
    <m/>
    <m/>
    <e v="#N/A"/>
    <m/>
    <m/>
    <m/>
    <m/>
    <d v="2024-11-27T00:00:00"/>
    <d v="2025-07-10T00:00:00"/>
    <s v="H"/>
    <x v="1"/>
    <s v="ANGUS NEGRO"/>
    <s v="3 años 2 meses"/>
    <s v="20-10-2022"/>
    <s v="Vivo"/>
    <x v="4"/>
    <s v="11.1.01.0893"/>
    <s v="11.1.01.1241"/>
    <s v="SI"/>
    <d v="2022-11-15T00:00:00"/>
  </r>
  <r>
    <n v="22350007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15T00:00:00"/>
  </r>
  <r>
    <n v="22350010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02T00:00:00"/>
  </r>
  <r>
    <n v="22350017"/>
    <m/>
    <m/>
    <e v="#N/A"/>
    <m/>
    <m/>
    <m/>
    <m/>
    <d v="2024-11-27T00:00:00"/>
    <d v="2025-07-10T00:00:00"/>
    <s v="H"/>
    <x v="1"/>
    <s v="ANGUS NEGRO"/>
    <s v="3 años 3 meses"/>
    <s v="02-10-2022"/>
    <s v="Vivo"/>
    <x v="4"/>
    <s v="11.1.01.0893"/>
    <s v="11.1.01.1241"/>
    <s v="SI"/>
    <d v="2022-11-15T00:00:00"/>
  </r>
  <r>
    <n v="22350029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02T00:00:00"/>
  </r>
  <r>
    <n v="22350033"/>
    <m/>
    <m/>
    <e v="#N/A"/>
    <m/>
    <m/>
    <m/>
    <m/>
    <d v="2024-11-27T00:00:00"/>
    <d v="2025-07-10T00:00:00"/>
    <s v="H"/>
    <x v="1"/>
    <s v="ANGUS NEGRO"/>
    <s v="3 años 2 meses"/>
    <s v="20-10-2022"/>
    <s v="Vivo"/>
    <x v="4"/>
    <s v="11.1.01.0893"/>
    <s v="11.1.01.1241"/>
    <s v="SI"/>
    <d v="2022-11-15T00:00:00"/>
  </r>
  <r>
    <n v="22350053"/>
    <m/>
    <m/>
    <e v="#N/A"/>
    <m/>
    <m/>
    <m/>
    <m/>
    <m/>
    <m/>
    <s v="M"/>
    <x v="2"/>
    <s v="ANGUS NEGRO"/>
    <s v="3 años 4 meses"/>
    <s v="04-09-2022"/>
    <s v="Vivo"/>
    <x v="7"/>
    <s v="11.1.01.0190"/>
    <s v="11.1.01.1241"/>
    <s v="SI"/>
    <d v="2022-11-15T00:00:00"/>
  </r>
  <r>
    <n v="22350056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02T00:00:00"/>
  </r>
  <r>
    <n v="22350057"/>
    <m/>
    <m/>
    <e v="#N/A"/>
    <m/>
    <m/>
    <m/>
    <m/>
    <m/>
    <m/>
    <s v="M"/>
    <x v="2"/>
    <s v="ANGUS NEGRO"/>
    <s v="3 años 2 meses"/>
    <s v="20-10-2022"/>
    <s v="Vivo"/>
    <x v="0"/>
    <s v="Sin Movimiento"/>
    <s v="11.1.01.1241"/>
    <s v="SI"/>
    <d v="2022-11-02T00:00:00"/>
  </r>
  <r>
    <n v="22350059"/>
    <m/>
    <m/>
    <e v="#N/A"/>
    <m/>
    <m/>
    <m/>
    <m/>
    <m/>
    <m/>
    <s v="H"/>
    <x v="1"/>
    <s v="ANGUS ROJO"/>
    <s v="3 años 2 meses"/>
    <s v="25-10-2022"/>
    <s v="Vivo"/>
    <x v="0"/>
    <s v="Sin Movimiento"/>
    <s v="11.1.01.1241"/>
    <s v="SI"/>
    <d v="2022-11-02T00:00:00"/>
  </r>
  <r>
    <n v="22350063"/>
    <m/>
    <m/>
    <e v="#N/A"/>
    <m/>
    <m/>
    <m/>
    <m/>
    <m/>
    <m/>
    <s v="H"/>
    <x v="1"/>
    <s v="ANGUS NEGRO"/>
    <s v="3 años 3 meses"/>
    <s v="30-09-2022"/>
    <s v="Vivo"/>
    <x v="1"/>
    <s v="11.2.01.0053"/>
    <s v="11.1.01.1241"/>
    <s v="SI"/>
    <d v="2022-11-15T00:00:00"/>
  </r>
  <r>
    <n v="22350066"/>
    <m/>
    <m/>
    <e v="#N/A"/>
    <m/>
    <m/>
    <m/>
    <m/>
    <d v="2024-11-27T00:00:00"/>
    <m/>
    <s v="H"/>
    <x v="1"/>
    <s v="ANGUS NEGRO"/>
    <s v="3 años 2 meses"/>
    <s v="25-10-2022"/>
    <s v="Vivo"/>
    <x v="3"/>
    <s v="11.1.01.0893"/>
    <s v="11.1.01.1241"/>
    <s v="SI"/>
    <d v="2022-11-02T00:00:00"/>
  </r>
  <r>
    <n v="22350068"/>
    <m/>
    <m/>
    <e v="#N/A"/>
    <m/>
    <m/>
    <m/>
    <m/>
    <d v="2024-11-27T00:00:00"/>
    <d v="2025-11-04T00:00:00"/>
    <s v="H"/>
    <x v="1"/>
    <s v="ANGUS NEGRO"/>
    <s v="3 años 2 meses"/>
    <s v="25-10-2022"/>
    <s v="Vivo"/>
    <x v="7"/>
    <s v="11.1.01.0190"/>
    <s v="11.1.01.1241"/>
    <s v="SI"/>
    <d v="2022-11-02T00:00:00"/>
  </r>
  <r>
    <n v="22350072"/>
    <m/>
    <m/>
    <e v="#N/A"/>
    <m/>
    <m/>
    <m/>
    <m/>
    <d v="2024-11-27T00:00:00"/>
    <d v="2025-07-10T00:00:00"/>
    <s v="H"/>
    <x v="1"/>
    <s v="ANGUS NEGRO"/>
    <s v="3 años 4 meses"/>
    <s v="11-09-2022"/>
    <s v="Vivo"/>
    <x v="4"/>
    <s v="11.1.01.0893"/>
    <s v="11.1.01.1241"/>
    <s v="SI"/>
    <d v="2022-11-15T00:00:00"/>
  </r>
  <r>
    <n v="22350081"/>
    <m/>
    <m/>
    <e v="#N/A"/>
    <m/>
    <m/>
    <m/>
    <m/>
    <m/>
    <m/>
    <s v="H"/>
    <x v="1"/>
    <s v="ANGUS NEGRO"/>
    <s v="3 años 3 meses"/>
    <s v="30-09-2022"/>
    <s v="Vivo"/>
    <x v="3"/>
    <s v="11.1.01.1241"/>
    <s v="11.1.01.1241"/>
    <s v="SI"/>
    <d v="2022-11-02T00:00:00"/>
  </r>
  <r>
    <n v="22350082"/>
    <m/>
    <m/>
    <e v="#N/A"/>
    <m/>
    <m/>
    <m/>
    <m/>
    <m/>
    <m/>
    <s v="H"/>
    <x v="1"/>
    <s v="ANGUS NEGRO"/>
    <s v="3 años 3 meses"/>
    <s v="10-10-2022"/>
    <s v="Vivo"/>
    <x v="1"/>
    <s v="11.2.01.0053"/>
    <s v="11.1.01.1241"/>
    <s v="SI"/>
    <d v="2022-11-02T00:00:00"/>
  </r>
  <r>
    <n v="22350085"/>
    <m/>
    <m/>
    <e v="#N/A"/>
    <m/>
    <m/>
    <m/>
    <m/>
    <m/>
    <m/>
    <s v="H"/>
    <x v="1"/>
    <s v="ANGUS ROJO"/>
    <s v="3 años 2 meses"/>
    <s v="20-10-2022"/>
    <s v="Vivo"/>
    <x v="0"/>
    <s v="Sin Movimiento"/>
    <s v="11.1.01.1241"/>
    <s v="SI"/>
    <d v="2022-11-02T00:00:00"/>
  </r>
  <r>
    <n v="22350089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02T00:00:00"/>
  </r>
  <r>
    <n v="22350090"/>
    <m/>
    <m/>
    <e v="#N/A"/>
    <m/>
    <m/>
    <m/>
    <m/>
    <d v="2024-11-27T00:00:00"/>
    <d v="2025-07-10T00:00:00"/>
    <s v="H"/>
    <x v="1"/>
    <s v="ANGUS NEGRO"/>
    <s v="3 años 3 meses"/>
    <s v="30-09-2022"/>
    <s v="Vivo"/>
    <x v="2"/>
    <s v="11.1.01.1022"/>
    <s v="11.1.01.1241"/>
    <s v="SI"/>
    <d v="2022-11-15T00:00:00"/>
  </r>
  <r>
    <n v="22350095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03T00:00:00"/>
  </r>
  <r>
    <n v="22350096"/>
    <m/>
    <m/>
    <e v="#N/A"/>
    <m/>
    <m/>
    <m/>
    <m/>
    <m/>
    <m/>
    <s v="H"/>
    <x v="1"/>
    <s v="ANGUS NEGRO"/>
    <s v="3 años 2 meses"/>
    <s v="20-10-2022"/>
    <s v="Vivo"/>
    <x v="4"/>
    <s v="11.1.01.0893"/>
    <s v="11.1.01.1241"/>
    <s v="SI"/>
    <d v="2022-11-03T00:00:00"/>
  </r>
  <r>
    <n v="22350102"/>
    <m/>
    <m/>
    <e v="#N/A"/>
    <m/>
    <m/>
    <m/>
    <m/>
    <m/>
    <m/>
    <s v="H"/>
    <x v="1"/>
    <s v="ANGUS ROJO"/>
    <s v="3 años 3 meses"/>
    <s v="20-09-2022"/>
    <s v="Vivo"/>
    <x v="1"/>
    <s v="11.1.01.0941"/>
    <s v="11.1.01.1241"/>
    <s v="SI"/>
    <d v="2022-11-03T00:00:00"/>
  </r>
  <r>
    <n v="22350106"/>
    <m/>
    <m/>
    <e v="#N/A"/>
    <m/>
    <m/>
    <m/>
    <m/>
    <m/>
    <m/>
    <s v="H"/>
    <x v="1"/>
    <s v="ANGUS NEGRO"/>
    <s v="3 años 2 meses"/>
    <s v="20-10-2022"/>
    <s v="Vivo"/>
    <x v="0"/>
    <s v="Sin Movimiento"/>
    <s v="11.1.01.1241"/>
    <s v="SI"/>
    <d v="2022-11-03T00:00:00"/>
  </r>
  <r>
    <n v="22350111"/>
    <m/>
    <m/>
    <e v="#N/A"/>
    <m/>
    <m/>
    <m/>
    <m/>
    <d v="2024-11-27T00:00:00"/>
    <d v="2025-07-10T00:00:00"/>
    <s v="H"/>
    <x v="1"/>
    <s v="ANGUS NEGRO"/>
    <s v="3 años 2 meses"/>
    <s v="20-10-2022"/>
    <s v="Vivo"/>
    <x v="10"/>
    <s v="11.1.01.0893"/>
    <s v="11.1.01.1241"/>
    <s v="SI"/>
    <d v="2022-11-15T00:00:00"/>
  </r>
  <r>
    <n v="22350119"/>
    <m/>
    <m/>
    <e v="#N/A"/>
    <m/>
    <m/>
    <m/>
    <m/>
    <d v="2024-11-27T00:00:00"/>
    <d v="2025-07-10T00:00:00"/>
    <s v="H"/>
    <x v="1"/>
    <s v="ANGUS ROJO"/>
    <s v="3 años 3 meses"/>
    <s v="30-09-2022"/>
    <s v="Vivo"/>
    <x v="4"/>
    <s v="11.1.01.0893"/>
    <s v="11.1.01.1241"/>
    <s v="SI"/>
    <d v="2022-11-03T00:00:00"/>
  </r>
  <r>
    <n v="22350125"/>
    <m/>
    <m/>
    <e v="#N/A"/>
    <m/>
    <m/>
    <m/>
    <m/>
    <m/>
    <m/>
    <s v="M"/>
    <x v="2"/>
    <s v="ANGUS NEGRO"/>
    <s v="3 años 2 meses"/>
    <s v="20-10-2022"/>
    <s v="Vivo"/>
    <x v="0"/>
    <s v="Sin Movimiento"/>
    <s v="11.1.01.1241"/>
    <s v="SI"/>
    <d v="2022-11-03T00:00:00"/>
  </r>
  <r>
    <n v="22350126"/>
    <m/>
    <m/>
    <e v="#N/A"/>
    <m/>
    <m/>
    <m/>
    <m/>
    <m/>
    <m/>
    <s v="M"/>
    <x v="2"/>
    <s v="ANGUS ROJO"/>
    <s v="3 años 2 meses"/>
    <s v="30-10-2022"/>
    <s v="Vivo"/>
    <x v="7"/>
    <s v="11.1.01.0190"/>
    <s v="11.1.01.1241"/>
    <s v="SI"/>
    <d v="2022-11-03T00:00:00"/>
  </r>
  <r>
    <n v="22350132"/>
    <m/>
    <m/>
    <e v="#N/A"/>
    <m/>
    <m/>
    <m/>
    <m/>
    <m/>
    <m/>
    <s v="H"/>
    <x v="1"/>
    <s v="ANGUS NEGRO"/>
    <s v="3 años 2 meses"/>
    <s v="25-10-2022"/>
    <s v="Vivo"/>
    <x v="0"/>
    <s v="Sin Movimiento"/>
    <s v="11.1.01.1241"/>
    <s v="SI"/>
    <d v="2022-11-15T00:00:00"/>
  </r>
  <r>
    <n v="22350144"/>
    <m/>
    <m/>
    <e v="#N/A"/>
    <m/>
    <m/>
    <m/>
    <m/>
    <d v="2024-11-27T00:00:00"/>
    <d v="2025-07-10T00:00:00"/>
    <s v="H"/>
    <x v="1"/>
    <s v="ANGUS ROJO"/>
    <s v="3 años 3 meses"/>
    <s v="30-09-2022"/>
    <s v="Vivo"/>
    <x v="4"/>
    <s v="11.1.01.0893"/>
    <s v="11.1.01.1241"/>
    <s v="SI"/>
    <d v="2022-11-03T00:00:00"/>
  </r>
  <r>
    <n v="22350149"/>
    <m/>
    <m/>
    <e v="#N/A"/>
    <m/>
    <m/>
    <m/>
    <m/>
    <m/>
    <m/>
    <s v="H"/>
    <x v="1"/>
    <s v="ANGUS ROJO"/>
    <s v="3 años 2 meses"/>
    <s v="20-10-2022"/>
    <s v="Vivo"/>
    <x v="0"/>
    <s v="Sin Movimiento"/>
    <s v="11.1.01.1241"/>
    <s v="SI"/>
    <d v="2022-11-03T00:00:00"/>
  </r>
  <r>
    <n v="22350151"/>
    <m/>
    <m/>
    <e v="#N/A"/>
    <m/>
    <m/>
    <m/>
    <m/>
    <m/>
    <m/>
    <s v="H"/>
    <x v="1"/>
    <s v="ANGUS ROJO"/>
    <s v="3 años 3 meses"/>
    <s v="30-09-2022"/>
    <s v="Vivo"/>
    <x v="0"/>
    <s v="Sin Movimiento"/>
    <s v="11.1.01.1241"/>
    <s v="SI"/>
    <d v="2022-11-03T00:00:00"/>
  </r>
  <r>
    <n v="22350152"/>
    <m/>
    <m/>
    <e v="#N/A"/>
    <m/>
    <m/>
    <m/>
    <m/>
    <m/>
    <m/>
    <s v="M"/>
    <x v="2"/>
    <s v="ANGUS NEGRO"/>
    <s v="3 años 3 meses"/>
    <s v="05-10-2022"/>
    <s v="Vivo"/>
    <x v="0"/>
    <s v="Sin Movimiento"/>
    <s v="11.1.01.1241"/>
    <s v="SI"/>
    <d v="2022-11-15T00:00:00"/>
  </r>
  <r>
    <n v="22350153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03T00:00:00"/>
  </r>
  <r>
    <n v="22350154"/>
    <m/>
    <m/>
    <e v="#N/A"/>
    <m/>
    <m/>
    <m/>
    <m/>
    <m/>
    <m/>
    <s v="M"/>
    <x v="2"/>
    <s v="ANGUS NEGRO"/>
    <s v="3 años 2 meses"/>
    <s v="20-10-2022"/>
    <s v="Vivo"/>
    <x v="0"/>
    <s v="Sin Movimiento"/>
    <s v="11.1.01.1241"/>
    <s v="SI"/>
    <d v="2022-11-03T00:00:00"/>
  </r>
  <r>
    <n v="22350159"/>
    <m/>
    <m/>
    <e v="#N/A"/>
    <m/>
    <m/>
    <m/>
    <m/>
    <m/>
    <m/>
    <s v="H"/>
    <x v="1"/>
    <s v="ANGUS NEGRO"/>
    <s v="3 años 3 meses"/>
    <s v="30-09-2022"/>
    <s v="Vivo"/>
    <x v="0"/>
    <s v="Sin Movimiento"/>
    <s v="11.1.01.1241"/>
    <s v="SI"/>
    <d v="2022-11-03T00:00:00"/>
  </r>
  <r>
    <n v="22350161"/>
    <m/>
    <m/>
    <e v="#N/A"/>
    <m/>
    <m/>
    <m/>
    <m/>
    <m/>
    <m/>
    <s v="M"/>
    <x v="2"/>
    <s v="ANGUS ROJO"/>
    <s v="3 años 3 meses"/>
    <s v="30-09-2022"/>
    <s v="Vivo"/>
    <x v="0"/>
    <s v="Sin Movimiento"/>
    <s v="11.1.01.1241"/>
    <s v="SI"/>
    <d v="2022-11-15T00:00:00"/>
  </r>
  <r>
    <n v="22350162"/>
    <m/>
    <m/>
    <e v="#N/A"/>
    <m/>
    <m/>
    <m/>
    <m/>
    <m/>
    <m/>
    <s v="H"/>
    <x v="1"/>
    <s v="ANGUS NEGRO"/>
    <s v="3 años 3 meses"/>
    <s v="30-09-2022"/>
    <s v="Vivo"/>
    <x v="3"/>
    <s v="11.1.01.1241"/>
    <s v="11.1.01.1241"/>
    <s v="SI"/>
    <d v="2022-11-03T00:00:00"/>
  </r>
  <r>
    <n v="22350164"/>
    <m/>
    <m/>
    <e v="#N/A"/>
    <m/>
    <m/>
    <m/>
    <m/>
    <d v="2024-11-27T00:00:00"/>
    <d v="2025-07-10T00:00:00"/>
    <s v="H"/>
    <x v="1"/>
    <s v="ANGUS NEGRO"/>
    <s v="3 años 2 meses"/>
    <s v="20-10-2022"/>
    <s v="Vivo"/>
    <x v="4"/>
    <s v="11.1.01.0893"/>
    <s v="11.1.01.1241"/>
    <s v="SI"/>
    <d v="2022-11-03T00:00:00"/>
  </r>
  <r>
    <n v="22350170"/>
    <m/>
    <m/>
    <e v="#N/A"/>
    <m/>
    <m/>
    <m/>
    <m/>
    <d v="2024-11-27T00:00:00"/>
    <d v="2025-07-10T00:00:00"/>
    <s v="H"/>
    <x v="1"/>
    <s v="ANGUS NEGRO"/>
    <s v="3 años 3 meses"/>
    <s v="05-10-2022"/>
    <s v="Vivo"/>
    <x v="4"/>
    <s v="11.1.01.0893"/>
    <s v="11.1.01.1241"/>
    <s v="SI"/>
    <d v="2022-11-03T00:00:00"/>
  </r>
  <r>
    <n v="22350178"/>
    <m/>
    <m/>
    <e v="#N/A"/>
    <m/>
    <m/>
    <m/>
    <m/>
    <m/>
    <m/>
    <s v="H"/>
    <x v="1"/>
    <s v="OVERO NEGRO"/>
    <s v="3 años 2 meses"/>
    <s v="20-10-2022"/>
    <s v="Vivo"/>
    <x v="2"/>
    <s v="11.1.01.0941"/>
    <s v="11.1.01.1241"/>
    <s v="SI"/>
    <d v="2022-11-03T00:00:00"/>
  </r>
  <r>
    <n v="22350179"/>
    <m/>
    <m/>
    <e v="#N/A"/>
    <m/>
    <m/>
    <m/>
    <m/>
    <m/>
    <m/>
    <s v="H"/>
    <x v="1"/>
    <s v="ANGUS NEGRO"/>
    <s v="3 años 3 meses"/>
    <s v="05-10-2022"/>
    <s v="Vivo"/>
    <x v="0"/>
    <s v="Sin Movimiento"/>
    <s v="11.1.01.1241"/>
    <s v="SI"/>
    <d v="2022-11-03T00:00:00"/>
  </r>
  <r>
    <n v="22350181"/>
    <m/>
    <m/>
    <e v="#N/A"/>
    <m/>
    <m/>
    <m/>
    <m/>
    <d v="2024-11-27T00:00:00"/>
    <m/>
    <s v="H"/>
    <x v="1"/>
    <s v="ANGUS NEGRO"/>
    <s v="3 años 2 meses"/>
    <s v="20-10-2022"/>
    <s v="Vivo"/>
    <x v="4"/>
    <s v="11.1.01.0893"/>
    <s v="11.1.01.1241"/>
    <s v="SI"/>
    <d v="2022-11-15T00:00:00"/>
  </r>
  <r>
    <n v="22350184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15T00:00:00"/>
  </r>
  <r>
    <n v="22350186"/>
    <m/>
    <m/>
    <e v="#N/A"/>
    <m/>
    <m/>
    <m/>
    <m/>
    <d v="2024-11-27T00:00:00"/>
    <d v="2025-07-10T00:00:00"/>
    <s v="H"/>
    <x v="1"/>
    <s v="ANGUS NEGRO"/>
    <s v="3 años 3 meses"/>
    <s v="05-10-2022"/>
    <s v="Vivo"/>
    <x v="4"/>
    <s v="11.1.01.0893"/>
    <s v="11.1.01.1241"/>
    <s v="SI"/>
    <d v="2022-11-18T00:00:00"/>
  </r>
  <r>
    <n v="22350189"/>
    <m/>
    <m/>
    <e v="#N/A"/>
    <m/>
    <m/>
    <m/>
    <m/>
    <d v="2024-11-27T00:00:00"/>
    <m/>
    <s v="H"/>
    <x v="1"/>
    <s v="ANGUS NEGRO"/>
    <s v="3 años 3 meses"/>
    <s v="05-10-2022"/>
    <s v="Vivo"/>
    <x v="10"/>
    <s v="11.1.01.0941"/>
    <s v="11.1.01.1241"/>
    <s v="SI"/>
    <d v="2022-11-18T00:00:00"/>
  </r>
  <r>
    <n v="22350194"/>
    <m/>
    <m/>
    <e v="#N/A"/>
    <m/>
    <m/>
    <m/>
    <m/>
    <m/>
    <m/>
    <s v="H"/>
    <x v="1"/>
    <s v="ANGUS NEGRO"/>
    <s v="3 años 3 meses"/>
    <s v="05-10-2022"/>
    <s v="Vivo"/>
    <x v="1"/>
    <s v="11.2.01.0053"/>
    <s v="11.1.01.1241"/>
    <s v="SI"/>
    <d v="2022-11-18T00:00:00"/>
  </r>
  <r>
    <n v="22350200"/>
    <m/>
    <m/>
    <e v="#N/A"/>
    <m/>
    <m/>
    <m/>
    <m/>
    <m/>
    <m/>
    <s v="M"/>
    <x v="2"/>
    <s v="ANGUS NEGRO"/>
    <s v="3 años 4 meses"/>
    <s v="04-09-2022"/>
    <s v="Vivo"/>
    <x v="0"/>
    <s v="Sin Movimiento"/>
    <s v="11.1.01.1241"/>
    <s v="SI"/>
    <d v="2022-11-18T00:00:00"/>
  </r>
  <r>
    <n v="22350204"/>
    <m/>
    <m/>
    <e v="#N/A"/>
    <m/>
    <m/>
    <m/>
    <m/>
    <d v="2024-11-27T00:00:00"/>
    <d v="2025-07-10T00:00:00"/>
    <s v="H"/>
    <x v="1"/>
    <s v="ANGUS NEGRO"/>
    <s v="3 años 2 meses"/>
    <s v="20-10-2022"/>
    <s v="Vivo"/>
    <x v="4"/>
    <s v="11.1.01.0893"/>
    <s v="11.1.01.1241"/>
    <s v="SI"/>
    <d v="2022-11-18T00:00:00"/>
  </r>
  <r>
    <n v="22350215"/>
    <m/>
    <m/>
    <e v="#N/A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d v="2022-11-18T00:00:00"/>
  </r>
  <r>
    <n v="22350219"/>
    <m/>
    <m/>
    <e v="#N/A"/>
    <m/>
    <m/>
    <m/>
    <m/>
    <d v="2024-11-27T00:00:00"/>
    <m/>
    <s v="H"/>
    <x v="1"/>
    <s v="ANGUS NEGRO"/>
    <s v="3 años 3 meses"/>
    <s v="10-10-2022"/>
    <s v="Vivo"/>
    <x v="3"/>
    <s v="11.1.01.0893"/>
    <s v="11.1.01.1241"/>
    <s v="SI"/>
    <d v="2022-11-18T00:00:00"/>
  </r>
  <r>
    <n v="22350225"/>
    <m/>
    <m/>
    <e v="#N/A"/>
    <m/>
    <m/>
    <m/>
    <m/>
    <d v="2024-11-27T00:00:00"/>
    <d v="2025-07-10T00:00:00"/>
    <s v="H"/>
    <x v="1"/>
    <s v="ANGUS NEGRO"/>
    <s v="3 años 3 meses"/>
    <s v="05-10-2022"/>
    <s v="Vivo"/>
    <x v="4"/>
    <s v="11.1.01.0893"/>
    <s v="11.1.01.1241"/>
    <s v="SI"/>
    <d v="2022-11-18T00:00:00"/>
  </r>
  <r>
    <n v="22350228"/>
    <m/>
    <m/>
    <e v="#N/A"/>
    <m/>
    <m/>
    <m/>
    <m/>
    <d v="2024-11-27T00:00:00"/>
    <d v="2025-07-10T00:00:00"/>
    <s v="H"/>
    <x v="1"/>
    <s v="ANGUS NEGRO"/>
    <s v="3 años 2 meses"/>
    <s v="20-10-2022"/>
    <s v="Vivo"/>
    <x v="4"/>
    <s v="11.1.01.0893"/>
    <s v="11.1.01.1241"/>
    <s v="SI"/>
    <d v="2022-11-18T00:00:00"/>
  </r>
  <r>
    <n v="22350230"/>
    <m/>
    <m/>
    <e v="#N/A"/>
    <m/>
    <m/>
    <m/>
    <m/>
    <d v="2024-11-27T00:00:00"/>
    <d v="2025-07-10T00:00:00"/>
    <s v="H"/>
    <x v="1"/>
    <s v="ANGUS NEGRO"/>
    <s v="3 años 3 meses"/>
    <s v="05-10-2022"/>
    <s v="Vivo"/>
    <x v="4"/>
    <s v="11.1.01.0893"/>
    <s v="11.1.01.1241"/>
    <s v="SI"/>
    <d v="2022-11-18T00:00:00"/>
  </r>
  <r>
    <n v="22350232"/>
    <m/>
    <m/>
    <e v="#N/A"/>
    <m/>
    <m/>
    <m/>
    <m/>
    <d v="2024-11-27T00:00:00"/>
    <d v="2025-07-10T00:00:00"/>
    <s v="H"/>
    <x v="1"/>
    <s v="ANGUS NEGRO"/>
    <s v="3 años 3 meses"/>
    <s v="05-10-2022"/>
    <s v="Vivo"/>
    <x v="2"/>
    <s v="11.1.01.1022"/>
    <s v="11.1.01.1241"/>
    <s v="SI"/>
    <d v="2022-11-18T00:00:00"/>
  </r>
  <r>
    <n v="22350233"/>
    <m/>
    <m/>
    <e v="#N/A"/>
    <m/>
    <m/>
    <m/>
    <m/>
    <d v="2024-11-27T00:00:00"/>
    <d v="2025-07-10T00:00:00"/>
    <s v="H"/>
    <x v="1"/>
    <s v="ANGUS NEGRO"/>
    <s v="3 años 2 meses"/>
    <s v="25-10-2022"/>
    <s v="Vivo"/>
    <x v="4"/>
    <s v="11.1.01.0893"/>
    <s v="11.1.01.1241"/>
    <s v="SI"/>
    <d v="2022-11-18T00:00:00"/>
  </r>
  <r>
    <n v="22350242"/>
    <m/>
    <m/>
    <e v="#N/A"/>
    <m/>
    <m/>
    <m/>
    <m/>
    <m/>
    <m/>
    <s v="M"/>
    <x v="2"/>
    <s v="ANGUS ROJO"/>
    <s v="3 años 2 meses"/>
    <s v="20-10-2022"/>
    <s v="Vivo"/>
    <x v="0"/>
    <s v="Sin Movimiento"/>
    <s v="11.1.01.1241"/>
    <s v="SI"/>
    <d v="2022-11-22T00:00:00"/>
  </r>
  <r>
    <n v="22350253"/>
    <m/>
    <m/>
    <e v="#N/A"/>
    <m/>
    <m/>
    <m/>
    <m/>
    <d v="2024-11-27T00:00:00"/>
    <d v="2025-07-10T00:00:00"/>
    <s v="H"/>
    <x v="1"/>
    <s v="ANGUS NEGRO"/>
    <s v="3 años 3 meses"/>
    <s v="05-10-2022"/>
    <s v="Vivo"/>
    <x v="4"/>
    <s v="11.1.01.0893"/>
    <s v="11.1.01.1241"/>
    <s v="SI"/>
    <d v="2022-11-28T00:00:00"/>
  </r>
  <r>
    <n v="22350266"/>
    <m/>
    <m/>
    <e v="#N/A"/>
    <m/>
    <m/>
    <m/>
    <m/>
    <m/>
    <m/>
    <s v="H"/>
    <x v="1"/>
    <s v="ANGUS ROJO"/>
    <s v="3 años 2 meses"/>
    <s v="05-11-2022"/>
    <s v="Vivo"/>
    <x v="0"/>
    <s v="Sin Movimiento"/>
    <s v="11.1.01.1241"/>
    <s v="SI"/>
    <d v="2022-12-17T00:00:00"/>
  </r>
  <r>
    <n v="22350269"/>
    <m/>
    <m/>
    <e v="#N/A"/>
    <m/>
    <m/>
    <m/>
    <m/>
    <d v="2024-11-27T00:00:00"/>
    <d v="2025-07-10T00:00:00"/>
    <s v="H"/>
    <x v="1"/>
    <s v="ANGUS NEGRO"/>
    <s v="3 años 2 meses"/>
    <s v="05-11-2022"/>
    <s v="Vivo"/>
    <x v="10"/>
    <s v="11.1.01.0893"/>
    <s v="11.1.01.1241"/>
    <s v="SI"/>
    <d v="2022-12-17T00:00:00"/>
  </r>
  <r>
    <n v="22350289"/>
    <m/>
    <m/>
    <e v="#N/A"/>
    <m/>
    <m/>
    <m/>
    <m/>
    <d v="2024-11-27T00:00:00"/>
    <d v="2025-07-10T00:00:00"/>
    <s v="H"/>
    <x v="1"/>
    <s v="ANGUS NEGRO"/>
    <s v="3 años 2 meses"/>
    <s v="15-11-2022"/>
    <s v="Vivo"/>
    <x v="4"/>
    <s v="11.1.01.0893"/>
    <s v="11.1.01.1241"/>
    <s v="SI"/>
    <d v="2022-12-21T00:00:00"/>
  </r>
  <r>
    <n v="22350290"/>
    <m/>
    <m/>
    <e v="#N/A"/>
    <m/>
    <m/>
    <m/>
    <m/>
    <d v="2024-11-27T00:00:00"/>
    <d v="2025-07-10T00:00:00"/>
    <s v="H"/>
    <x v="1"/>
    <s v="ANGUS ROJO"/>
    <s v="3 años 3 meses"/>
    <s v="10-10-2022"/>
    <s v="Vivo"/>
    <x v="4"/>
    <s v="11.1.01.0893"/>
    <s v="11.1.01.0893"/>
    <s v="SI"/>
    <d v="2022-12-21T00:00:00"/>
  </r>
  <r>
    <n v="22350291"/>
    <m/>
    <m/>
    <e v="#N/A"/>
    <m/>
    <m/>
    <m/>
    <m/>
    <m/>
    <m/>
    <s v="H"/>
    <x v="1"/>
    <s v="ANGUS NEGRO"/>
    <s v="3 años 3 meses"/>
    <s v="10-10-2022"/>
    <s v="Vivo"/>
    <x v="1"/>
    <s v="11.1.01.0941"/>
    <s v="11.1.01.0893"/>
    <s v="SI"/>
    <d v="2022-12-21T00:00:00"/>
  </r>
  <r>
    <n v="22350294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297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00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04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05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06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10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12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14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20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21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23"/>
    <m/>
    <m/>
    <e v="#N/A"/>
    <m/>
    <m/>
    <m/>
    <m/>
    <d v="2024-11-27T00:00:00"/>
    <d v="2025-07-10T00:00:00"/>
    <s v="H"/>
    <x v="1"/>
    <s v="ANGUS NEGRO"/>
    <s v="3 años 3 meses"/>
    <s v="10-10-2022"/>
    <s v="Vivo"/>
    <x v="10"/>
    <s v="11.1.01.0893"/>
    <s v="11.1.01.0893"/>
    <s v="SI"/>
    <d v="2022-12-21T00:00:00"/>
  </r>
  <r>
    <n v="22350327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30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31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34"/>
    <m/>
    <m/>
    <e v="#N/A"/>
    <m/>
    <m/>
    <m/>
    <m/>
    <d v="2024-11-27T00:00:00"/>
    <d v="2025-07-10T00:00:00"/>
    <s v="H"/>
    <x v="1"/>
    <s v="ANGUS NEGRO"/>
    <s v="3 años 3 meses"/>
    <s v="10-10-2022"/>
    <s v="Vivo"/>
    <x v="10"/>
    <s v="11.1.01.0893"/>
    <s v="11.1.01.0893"/>
    <s v="SI"/>
    <d v="2022-12-21T00:00:00"/>
  </r>
  <r>
    <n v="22350336"/>
    <m/>
    <m/>
    <e v="#N/A"/>
    <m/>
    <m/>
    <m/>
    <m/>
    <m/>
    <m/>
    <s v="M"/>
    <x v="2"/>
    <s v="ANGUS NEGRO"/>
    <s v="3 años 3 meses"/>
    <s v="10-10-2022"/>
    <s v="Vivo"/>
    <x v="7"/>
    <s v="11.1.01.0190"/>
    <s v="11.1.01.0893"/>
    <s v="SI"/>
    <d v="2022-12-21T00:00:00"/>
  </r>
  <r>
    <n v="22350341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44"/>
    <m/>
    <m/>
    <e v="#N/A"/>
    <m/>
    <m/>
    <m/>
    <m/>
    <d v="2024-11-27T00:00:00"/>
    <d v="2025-07-10T00:00:00"/>
    <s v="H"/>
    <x v="1"/>
    <s v="ANGUS NEGRO"/>
    <s v="3 años 3 meses"/>
    <s v="10-10-2022"/>
    <s v="Vivo"/>
    <x v="10"/>
    <s v="11.1.01.0893"/>
    <s v="11.1.01.0893"/>
    <s v="SI"/>
    <d v="2022-12-21T00:00:00"/>
  </r>
  <r>
    <n v="22350346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47"/>
    <m/>
    <m/>
    <e v="#N/A"/>
    <m/>
    <m/>
    <m/>
    <m/>
    <d v="2024-11-27T00:00:00"/>
    <d v="2025-07-10T00:00:00"/>
    <s v="H"/>
    <x v="1"/>
    <s v="ANGUS NEGRO"/>
    <s v="3 años 3 meses"/>
    <s v="10-10-2022"/>
    <s v="Vivo"/>
    <x v="10"/>
    <s v="11.1.01.0893"/>
    <s v="11.1.01.0893"/>
    <s v="SI"/>
    <d v="2022-12-21T00:00:00"/>
  </r>
  <r>
    <n v="22350349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52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54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58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62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63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64"/>
    <m/>
    <m/>
    <e v="#N/A"/>
    <m/>
    <m/>
    <m/>
    <m/>
    <d v="2024-11-27T00:00:00"/>
    <m/>
    <s v="H"/>
    <x v="1"/>
    <s v="ANGUS NEGRO"/>
    <s v="3 años 3 meses"/>
    <s v="10-10-2022"/>
    <s v="Vivo"/>
    <x v="3"/>
    <s v="11.1.01.0893"/>
    <s v="11.1.01.0893"/>
    <s v="SI"/>
    <d v="2022-12-21T00:00:00"/>
  </r>
  <r>
    <n v="22350365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68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75"/>
    <m/>
    <m/>
    <e v="#N/A"/>
    <m/>
    <m/>
    <m/>
    <m/>
    <d v="2024-11-27T00:00:00"/>
    <d v="2025-07-10T00:00:00"/>
    <s v="H"/>
    <x v="1"/>
    <s v="ANGUS NEGRO"/>
    <s v="3 años 3 meses"/>
    <s v="10-10-2022"/>
    <s v="Vivo"/>
    <x v="10"/>
    <s v="11.1.01.0893"/>
    <s v="11.1.01.0893"/>
    <s v="SI"/>
    <d v="2022-12-21T00:00:00"/>
  </r>
  <r>
    <n v="22350377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78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80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86"/>
    <m/>
    <m/>
    <e v="#N/A"/>
    <m/>
    <m/>
    <m/>
    <m/>
    <d v="2024-11-27T00:00:00"/>
    <d v="2025-07-10T00:00:00"/>
    <s v="H"/>
    <x v="1"/>
    <s v="ANGUS NEGRO"/>
    <s v="3 años 3 meses"/>
    <s v="10-10-2022"/>
    <s v="Vivo"/>
    <x v="10"/>
    <s v="11.1.01.0893"/>
    <s v="11.1.01.0893"/>
    <s v="SI"/>
    <d v="2022-12-21T00:00:00"/>
  </r>
  <r>
    <n v="22350390"/>
    <m/>
    <m/>
    <e v="#N/A"/>
    <m/>
    <m/>
    <m/>
    <m/>
    <d v="2024-11-27T00:00:00"/>
    <d v="2025-07-10T00:00:00"/>
    <s v="H"/>
    <x v="1"/>
    <s v="ANGUS ROJO"/>
    <s v="3 años 3 meses"/>
    <s v="10-10-2022"/>
    <s v="Vivo"/>
    <x v="4"/>
    <s v="11.1.01.0893"/>
    <s v="11.1.01.0893"/>
    <s v="SI"/>
    <d v="2022-12-21T00:00:00"/>
  </r>
  <r>
    <n v="22350394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96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97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1T00:00:00"/>
  </r>
  <r>
    <n v="22350399"/>
    <m/>
    <m/>
    <e v="#N/A"/>
    <m/>
    <m/>
    <m/>
    <m/>
    <d v="2024-11-27T00:00:00"/>
    <d v="2025-07-10T00:00:00"/>
    <s v="H"/>
    <x v="1"/>
    <s v="ANGUS NEGRO"/>
    <s v="3 años 3 meses"/>
    <s v="10-10-2022"/>
    <s v="Vivo"/>
    <x v="4"/>
    <s v="11.1.01.0893"/>
    <s v="11.1.01.0893"/>
    <s v="SI"/>
    <d v="2022-12-28T00:00:00"/>
  </r>
  <r>
    <n v="22350403"/>
    <m/>
    <m/>
    <e v="#N/A"/>
    <m/>
    <m/>
    <m/>
    <m/>
    <d v="2024-11-27T00:00:00"/>
    <d v="2025-07-10T00:00:00"/>
    <s v="H"/>
    <x v="1"/>
    <s v="ANGUS NEGRO"/>
    <s v="3 años 2 meses"/>
    <s v="05-11-2022"/>
    <s v="Vivo"/>
    <x v="4"/>
    <s v="11.1.01.0893"/>
    <s v="11.1.01.1241"/>
    <s v="SI"/>
    <d v="2022-12-28T00:00:00"/>
  </r>
  <r>
    <n v="22350406"/>
    <m/>
    <m/>
    <e v="#N/A"/>
    <m/>
    <m/>
    <m/>
    <m/>
    <m/>
    <m/>
    <s v="H"/>
    <x v="1"/>
    <s v="ANGUS NEGRO"/>
    <s v="3 años 2 meses"/>
    <s v="30-10-2022"/>
    <s v="Vivo"/>
    <x v="0"/>
    <s v="Sin Movimiento"/>
    <s v="11.1.01.1241"/>
    <s v="SI"/>
    <d v="2023-01-24T00:00:00"/>
  </r>
  <r>
    <n v="22350408"/>
    <m/>
    <m/>
    <e v="#N/A"/>
    <m/>
    <m/>
    <m/>
    <m/>
    <d v="2024-11-27T00:00:00"/>
    <m/>
    <s v="H"/>
    <x v="1"/>
    <s v="ANGUS NEGRO"/>
    <s v="3 años 2 meses"/>
    <s v="05-11-2022"/>
    <s v="Vivo"/>
    <x v="10"/>
    <s v="11.1.01.0941"/>
    <s v="11.1.01.1241"/>
    <s v="SI"/>
    <d v="2023-01-24T00:00:00"/>
  </r>
  <r>
    <n v="22350409"/>
    <m/>
    <m/>
    <e v="#N/A"/>
    <m/>
    <m/>
    <m/>
    <m/>
    <m/>
    <m/>
    <s v="H"/>
    <x v="1"/>
    <s v="ANGUS NEGRO"/>
    <s v="3 años 2 meses"/>
    <s v="30-10-2022"/>
    <s v="Vivo"/>
    <x v="0"/>
    <s v="Sin Movimiento"/>
    <s v="11.1.01.1241"/>
    <s v="SI"/>
    <d v="2023-02-21T00:00:00"/>
  </r>
  <r>
    <n v="22350411"/>
    <m/>
    <m/>
    <e v="#N/A"/>
    <m/>
    <m/>
    <m/>
    <m/>
    <d v="2024-11-27T00:00:00"/>
    <d v="2025-07-10T00:00:00"/>
    <s v="H"/>
    <x v="1"/>
    <s v="ANGUS NEGRO"/>
    <s v="3 años 1 meses"/>
    <s v="30-11-2022"/>
    <s v="Vivo"/>
    <x v="4"/>
    <s v="11.1.01.0893"/>
    <s v="11.1.01.0893"/>
    <s v="SI"/>
    <d v="2023-05-12T00:00:00"/>
  </r>
  <r>
    <n v="22350412"/>
    <m/>
    <m/>
    <e v="#N/A"/>
    <m/>
    <m/>
    <m/>
    <m/>
    <d v="2024-11-27T00:00:00"/>
    <d v="2025-07-10T00:00:00"/>
    <s v="H"/>
    <x v="1"/>
    <s v="ANGUS NEGRO"/>
    <s v="3 años 1 meses"/>
    <s v="30-11-2022"/>
    <s v="Vivo"/>
    <x v="4"/>
    <s v="11.1.01.0893"/>
    <s v="11.1.01.0893"/>
    <s v="SI"/>
    <d v="2023-06-14T00:00:00"/>
  </r>
  <r>
    <n v="22350419"/>
    <m/>
    <m/>
    <e v="#N/A"/>
    <m/>
    <m/>
    <m/>
    <m/>
    <d v="2024-11-27T00:00:00"/>
    <m/>
    <s v="H"/>
    <x v="1"/>
    <s v="ANGUS NEGRO"/>
    <s v="3 años 1 meses"/>
    <s v="15-12-2022"/>
    <s v="Vivo"/>
    <x v="7"/>
    <s v="11.1.01.0893"/>
    <s v="11.1.01.1241"/>
    <s v="SI"/>
    <d v="2023-12-09T00:00:00"/>
  </r>
  <r>
    <n v="22350428"/>
    <m/>
    <m/>
    <e v="#N/A"/>
    <m/>
    <m/>
    <m/>
    <m/>
    <d v="2024-11-27T00:00:00"/>
    <m/>
    <s v="H"/>
    <x v="1"/>
    <s v="ANGUS NEGRO"/>
    <s v="3 años 3 meses"/>
    <s v="30-09-2022"/>
    <s v="Vivo"/>
    <x v="4"/>
    <s v="11.1.01.0893"/>
    <s v="11.1.01.1241"/>
    <s v="NO"/>
    <d v="2023-12-09T00:00:00"/>
  </r>
  <r>
    <n v="22350436"/>
    <m/>
    <n v="19050324"/>
    <n v="19050324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0893"/>
    <s v="SI"/>
    <m/>
  </r>
  <r>
    <n v="22350437"/>
    <m/>
    <n v="19050321"/>
    <n v="19050321"/>
    <m/>
    <m/>
    <m/>
    <m/>
    <d v="2024-12-22T00:00:00"/>
    <d v="2025-01-14T00:00:00"/>
    <s v="H"/>
    <x v="1"/>
    <s v="ANGUS NEGRO"/>
    <s v="5 años 3 meses"/>
    <s v="30-09-2020"/>
    <s v="Vivo"/>
    <x v="0"/>
    <s v="11.1.01.1022"/>
    <s v="11.1.01.0893"/>
    <s v="SI"/>
    <m/>
  </r>
  <r>
    <n v="22350439"/>
    <m/>
    <n v="22350263"/>
    <n v="22350263"/>
    <m/>
    <m/>
    <m/>
    <m/>
    <d v="2024-11-27T00:00:00"/>
    <d v="2025-07-10T00:00:00"/>
    <s v="H"/>
    <x v="1"/>
    <s v="ANGUS NEGRO"/>
    <s v="3 años 2 meses"/>
    <s v="30-10-2022"/>
    <s v="Vivo"/>
    <x v="4"/>
    <s v="11.1.01.0893"/>
    <s v="11.1.01.1241"/>
    <s v="SI"/>
    <m/>
  </r>
  <r>
    <n v="22350440"/>
    <m/>
    <n v="22350046"/>
    <n v="22350046"/>
    <m/>
    <m/>
    <m/>
    <m/>
    <d v="2024-11-27T00:00:00"/>
    <d v="2025-07-10T00:00:00"/>
    <s v="H"/>
    <x v="1"/>
    <s v="ANGUS NEGRO"/>
    <s v="3 años 3 meses"/>
    <s v="30-09-2022"/>
    <s v="Vivo"/>
    <x v="4"/>
    <s v="11.1.01.0893"/>
    <s v="11.1.01.1241"/>
    <s v="SI"/>
    <m/>
  </r>
  <r>
    <n v="22364297"/>
    <m/>
    <m/>
    <e v="#N/A"/>
    <m/>
    <m/>
    <m/>
    <m/>
    <m/>
    <m/>
    <s v="M"/>
    <x v="5"/>
    <s v="ANGUS NEGRO"/>
    <s v="2 años 4 meses"/>
    <s v="01-09-2023"/>
    <s v="Vivo"/>
    <x v="10"/>
    <s v="11.1.01.0893"/>
    <s v="11.1.01.2408"/>
    <s v="NO"/>
    <m/>
  </r>
  <r>
    <n v="22364298"/>
    <m/>
    <m/>
    <e v="#N/A"/>
    <m/>
    <m/>
    <m/>
    <m/>
    <m/>
    <m/>
    <s v="M"/>
    <x v="5"/>
    <s v="ANGUS NEGRO"/>
    <s v="2 años 5 meses"/>
    <s v="15-08-2023"/>
    <s v="Vivo"/>
    <x v="10"/>
    <s v="11.1.01.0893"/>
    <s v="11.1.01.2408"/>
    <s v="NO"/>
    <m/>
  </r>
  <r>
    <n v="22794790"/>
    <m/>
    <m/>
    <e v="#N/A"/>
    <m/>
    <m/>
    <m/>
    <m/>
    <m/>
    <m/>
    <s v="M"/>
    <x v="2"/>
    <s v="ANGUS NEGRO"/>
    <s v="3 años 6 meses"/>
    <s v="15-07-2022"/>
    <s v="Vivo"/>
    <x v="0"/>
    <s v="11.1.01.2408"/>
    <s v="11.1.01.2408"/>
    <s v="NO"/>
    <m/>
  </r>
  <r>
    <n v="23323211"/>
    <m/>
    <m/>
    <e v="#N/A"/>
    <m/>
    <m/>
    <m/>
    <m/>
    <m/>
    <d v="2025-11-08T00:00:00"/>
    <s v="H"/>
    <x v="4"/>
    <s v="OVERO NEGRO"/>
    <s v="2 años 3 meses"/>
    <s v="15-10-2023"/>
    <s v="Vivo"/>
    <x v="1"/>
    <s v="11.1.01.0941"/>
    <s v="11.1.01.1241"/>
    <s v="SI"/>
    <d v="2023-11-10T00:00:00"/>
  </r>
  <r>
    <n v="23323212"/>
    <m/>
    <m/>
    <e v="#N/A"/>
    <m/>
    <m/>
    <m/>
    <m/>
    <m/>
    <m/>
    <s v="H"/>
    <x v="4"/>
    <s v="ANGUS NEGRO"/>
    <s v="2 años 3 meses"/>
    <s v="15-10-2023"/>
    <s v="Vivo"/>
    <x v="0"/>
    <s v="Sin Movimiento"/>
    <s v="11.1.01.1241"/>
    <s v="SI"/>
    <d v="2023-11-10T00:00:00"/>
  </r>
  <r>
    <n v="23323219"/>
    <m/>
    <m/>
    <e v="#N/A"/>
    <m/>
    <m/>
    <m/>
    <m/>
    <m/>
    <d v="2025-01-23T00:00:00"/>
    <s v="H"/>
    <x v="4"/>
    <s v="ANGUS NEGRO"/>
    <s v="2 años 3 meses"/>
    <s v="15-10-2023"/>
    <s v="Vivo"/>
    <x v="10"/>
    <s v="11.1.01.0941"/>
    <s v="11.1.01.1241"/>
    <s v="SI"/>
    <d v="2023-11-10T00:00:00"/>
  </r>
  <r>
    <n v="23323224"/>
    <m/>
    <m/>
    <e v="#N/A"/>
    <m/>
    <m/>
    <m/>
    <m/>
    <m/>
    <d v="2025-11-08T00:00:00"/>
    <s v="H"/>
    <x v="4"/>
    <s v="ANGUS NEGRO"/>
    <s v="2 años 2 meses"/>
    <s v="30-10-2023"/>
    <s v="Vivo"/>
    <x v="10"/>
    <s v="11.1.01.0941"/>
    <s v="11.1.01.1241"/>
    <s v="SI"/>
    <d v="2023-11-10T00:00:00"/>
  </r>
  <r>
    <n v="23323226"/>
    <m/>
    <m/>
    <e v="#N/A"/>
    <m/>
    <m/>
    <m/>
    <m/>
    <m/>
    <d v="2025-01-23T00:00:00"/>
    <s v="H"/>
    <x v="4"/>
    <s v="ANGUS NEGRO"/>
    <s v="2 años 2 meses"/>
    <s v="30-10-2023"/>
    <s v="Vivo"/>
    <x v="10"/>
    <s v="11.1.01.0941"/>
    <s v="11.1.01.1241"/>
    <s v="SI"/>
    <d v="2023-11-10T00:00:00"/>
  </r>
  <r>
    <n v="23323228"/>
    <m/>
    <m/>
    <e v="#N/A"/>
    <m/>
    <m/>
    <m/>
    <m/>
    <m/>
    <d v="2025-11-08T00:00:00"/>
    <s v="H"/>
    <x v="4"/>
    <s v="ANGUS NEGRO"/>
    <s v="2 años 3 meses"/>
    <s v="15-10-2023"/>
    <s v="Vivo"/>
    <x v="7"/>
    <s v="11.1.01.0190"/>
    <s v="11.1.01.1241"/>
    <s v="SI"/>
    <d v="2023-11-10T00:00:00"/>
  </r>
  <r>
    <n v="23323239"/>
    <m/>
    <m/>
    <e v="#N/A"/>
    <m/>
    <m/>
    <m/>
    <m/>
    <m/>
    <d v="2025-01-23T00:00:00"/>
    <s v="H"/>
    <x v="4"/>
    <s v="ANGUS NEGRO"/>
    <s v="2 años 3 meses"/>
    <s v="15-10-2023"/>
    <s v="Vivo"/>
    <x v="10"/>
    <s v="11.1.01.0941"/>
    <s v="11.1.01.1241"/>
    <s v="SI"/>
    <d v="2023-11-10T00:00:00"/>
  </r>
  <r>
    <n v="23323245"/>
    <m/>
    <m/>
    <e v="#N/A"/>
    <m/>
    <m/>
    <m/>
    <m/>
    <m/>
    <d v="2025-11-08T00:00:00"/>
    <s v="H"/>
    <x v="4"/>
    <s v="ANGUS NEGRO"/>
    <s v="2 años 2 meses"/>
    <s v="30-10-2023"/>
    <s v="Vivo"/>
    <x v="10"/>
    <s v="11.1.01.0941"/>
    <s v="11.1.01.0893"/>
    <s v="SI"/>
    <m/>
  </r>
  <r>
    <n v="23323247"/>
    <m/>
    <m/>
    <e v="#N/A"/>
    <m/>
    <m/>
    <m/>
    <m/>
    <m/>
    <m/>
    <s v="M"/>
    <x v="5"/>
    <s v="ANGUS NEGRO"/>
    <s v="2 años 3 meses"/>
    <s v="30-09-2023"/>
    <s v="Vivo"/>
    <x v="2"/>
    <s v="Sin Movimiento"/>
    <s v="11.1.01.0893"/>
    <s v="SI"/>
    <m/>
  </r>
  <r>
    <n v="23323257"/>
    <m/>
    <m/>
    <e v="#N/A"/>
    <m/>
    <m/>
    <m/>
    <m/>
    <m/>
    <d v="2025-11-08T00:00:00"/>
    <s v="H"/>
    <x v="4"/>
    <s v="ANGUS NEGRO"/>
    <s v="2 años 2 meses"/>
    <s v="30-10-2023"/>
    <s v="Vivo"/>
    <x v="10"/>
    <s v="11.1.01.0941"/>
    <s v="11.1.01.0893"/>
    <s v="SI"/>
    <m/>
  </r>
  <r>
    <n v="23323260"/>
    <m/>
    <m/>
    <e v="#N/A"/>
    <m/>
    <m/>
    <m/>
    <m/>
    <m/>
    <d v="2025-11-08T00:00:00"/>
    <s v="H"/>
    <x v="4"/>
    <s v="ANGUS NEGRO"/>
    <s v="2 años 2 meses"/>
    <s v="30-10-2023"/>
    <s v="Vivo"/>
    <x v="10"/>
    <s v="11.1.01.0941"/>
    <s v="11.1.01.0893"/>
    <s v="SI"/>
    <m/>
  </r>
  <r>
    <n v="23323265"/>
    <m/>
    <m/>
    <e v="#N/A"/>
    <m/>
    <m/>
    <m/>
    <m/>
    <m/>
    <d v="2025-11-08T00:00:00"/>
    <s v="H"/>
    <x v="4"/>
    <s v="ANGUS NEGRO"/>
    <s v="2 años 3 meses"/>
    <s v="15-10-2023"/>
    <s v="Vivo"/>
    <x v="10"/>
    <s v="11.1.01.0941"/>
    <s v="11.1.01.0893"/>
    <s v="SI"/>
    <m/>
  </r>
  <r>
    <n v="23323267"/>
    <m/>
    <m/>
    <e v="#N/A"/>
    <m/>
    <m/>
    <m/>
    <m/>
    <m/>
    <d v="2025-11-08T00:00:00"/>
    <s v="H"/>
    <x v="4"/>
    <s v="ANGUS NEGRO"/>
    <s v="2 años 3 meses"/>
    <s v="15-10-2023"/>
    <s v="Vivo"/>
    <x v="10"/>
    <s v="11.1.01.0941"/>
    <s v="11.1.01.0893"/>
    <s v="SI"/>
    <m/>
  </r>
  <r>
    <n v="23323301"/>
    <m/>
    <m/>
    <e v="#N/A"/>
    <m/>
    <m/>
    <m/>
    <m/>
    <m/>
    <d v="2025-11-08T00:00:00"/>
    <s v="H"/>
    <x v="4"/>
    <s v="ANGUS NEGRO"/>
    <s v="2 años 3 meses"/>
    <s v="15-10-2023"/>
    <s v="Vivo"/>
    <x v="10"/>
    <s v="11.1.01.0941"/>
    <s v="11.1.01.0893"/>
    <s v="SI"/>
    <m/>
  </r>
  <r>
    <n v="23323314"/>
    <m/>
    <m/>
    <e v="#N/A"/>
    <m/>
    <m/>
    <m/>
    <m/>
    <m/>
    <d v="2025-11-08T00:00:00"/>
    <s v="H"/>
    <x v="4"/>
    <s v="ANGUS NEGRO"/>
    <s v="2 años 2 meses"/>
    <s v="30-10-2023"/>
    <s v="Vivo"/>
    <x v="10"/>
    <s v="11.1.01.0941"/>
    <s v="11.1.01.0893"/>
    <s v="SI"/>
    <m/>
  </r>
  <r>
    <n v="23323322"/>
    <m/>
    <m/>
    <e v="#N/A"/>
    <m/>
    <m/>
    <m/>
    <m/>
    <m/>
    <d v="2025-11-08T00:00:00"/>
    <s v="H"/>
    <x v="4"/>
    <s v="ANGUS NEGRO"/>
    <s v="2 años 3 meses"/>
    <s v="15-10-2023"/>
    <s v="Vivo"/>
    <x v="10"/>
    <s v="11.1.01.0941"/>
    <s v="11.1.01.0893"/>
    <s v="SI"/>
    <m/>
  </r>
  <r>
    <n v="23323326"/>
    <m/>
    <m/>
    <e v="#N/A"/>
    <m/>
    <m/>
    <m/>
    <m/>
    <m/>
    <d v="2025-01-23T00:00:00"/>
    <s v="H"/>
    <x v="4"/>
    <s v="HIBRIDO"/>
    <s v="2 años 2 meses"/>
    <s v="15-11-2023"/>
    <s v="Vivo"/>
    <x v="7"/>
    <s v="11.1.01.0190"/>
    <s v="11.1.01.1241"/>
    <s v="SI"/>
    <d v="2023-11-28T00:00:00"/>
  </r>
  <r>
    <n v="23323327"/>
    <m/>
    <m/>
    <e v="#N/A"/>
    <m/>
    <m/>
    <m/>
    <m/>
    <m/>
    <d v="2025-11-08T00:00:00"/>
    <s v="H"/>
    <x v="4"/>
    <s v="ANGUS ROJO"/>
    <s v="2 años 2 meses"/>
    <s v="30-10-2023"/>
    <s v="Vivo"/>
    <x v="10"/>
    <s v="11.1.01.0941"/>
    <s v="11.1.01.1241"/>
    <s v="SI"/>
    <d v="2023-12-01T00:00:00"/>
  </r>
  <r>
    <n v="23323342"/>
    <m/>
    <m/>
    <e v="#N/A"/>
    <m/>
    <m/>
    <m/>
    <m/>
    <m/>
    <d v="2025-11-08T00:00:00"/>
    <s v="H"/>
    <x v="4"/>
    <s v="ANGUS NEGRO"/>
    <s v="2 años 1 meses"/>
    <s v="30-11-2023"/>
    <s v="Vivo"/>
    <x v="7"/>
    <s v="11.1.01.0190"/>
    <s v="11.1.01.1241"/>
    <s v="SI"/>
    <d v="2023-12-01T00:00:00"/>
  </r>
  <r>
    <n v="23323343"/>
    <m/>
    <m/>
    <e v="#N/A"/>
    <m/>
    <m/>
    <m/>
    <m/>
    <m/>
    <d v="2025-11-08T00:00:00"/>
    <s v="H"/>
    <x v="4"/>
    <s v="ANGUS NEGRO"/>
    <s v="2 años 2 meses"/>
    <s v="05-11-2023"/>
    <s v="Vivo"/>
    <x v="10"/>
    <s v="11.1.01.0941"/>
    <s v="11.1.01.1241"/>
    <s v="SI"/>
    <d v="2023-12-01T00:00:00"/>
  </r>
  <r>
    <n v="23323344"/>
    <m/>
    <m/>
    <e v="#N/A"/>
    <m/>
    <m/>
    <m/>
    <m/>
    <m/>
    <d v="2025-11-08T00:00:00"/>
    <s v="H"/>
    <x v="4"/>
    <s v="ANGUS NEGRO"/>
    <s v="2 años 2 meses"/>
    <s v="05-11-2023"/>
    <s v="Vivo"/>
    <x v="10"/>
    <s v="11.1.01.0941"/>
    <s v="11.1.01.1241"/>
    <s v="SI"/>
    <d v="2023-12-01T00:00:00"/>
  </r>
  <r>
    <n v="23323346"/>
    <m/>
    <m/>
    <e v="#N/A"/>
    <m/>
    <m/>
    <m/>
    <m/>
    <m/>
    <d v="2025-01-23T00:00:00"/>
    <s v="H"/>
    <x v="4"/>
    <s v="ANGUS NEGRO"/>
    <s v="2 años 2 meses"/>
    <s v="10-11-2023"/>
    <s v="Vivo"/>
    <x v="10"/>
    <s v="11.1.01.0941"/>
    <s v="11.1.01.1241"/>
    <s v="SI"/>
    <d v="2023-12-01T00:00:00"/>
  </r>
  <r>
    <n v="23323348"/>
    <m/>
    <m/>
    <e v="#N/A"/>
    <m/>
    <m/>
    <m/>
    <m/>
    <m/>
    <d v="2025-11-08T00:00:00"/>
    <s v="H"/>
    <x v="4"/>
    <s v="ANGUS NEGRO"/>
    <s v="2 años 2 meses"/>
    <s v="05-11-2023"/>
    <s v="Vivo"/>
    <x v="10"/>
    <s v="11.1.01.0941"/>
    <s v="11.1.01.1241"/>
    <s v="SI"/>
    <d v="2023-12-01T00:00:00"/>
  </r>
  <r>
    <n v="23323350"/>
    <m/>
    <m/>
    <e v="#N/A"/>
    <m/>
    <m/>
    <m/>
    <m/>
    <m/>
    <d v="2025-11-08T00:00:00"/>
    <s v="H"/>
    <x v="4"/>
    <s v="ANGUS NEGRO"/>
    <s v="2 años 2 meses"/>
    <s v="05-11-2023"/>
    <s v="Vivo"/>
    <x v="10"/>
    <s v="11.1.01.0941"/>
    <s v="11.1.01.1241"/>
    <s v="SI"/>
    <d v="2023-12-01T00:00:00"/>
  </r>
  <r>
    <n v="23323354"/>
    <m/>
    <m/>
    <e v="#N/A"/>
    <m/>
    <m/>
    <m/>
    <m/>
    <m/>
    <d v="2025-11-08T00:00:00"/>
    <s v="H"/>
    <x v="4"/>
    <s v="ANGUS NEGRO"/>
    <s v="2 años 2 meses"/>
    <s v="15-11-2023"/>
    <s v="Vivo"/>
    <x v="10"/>
    <s v="11.1.01.0941"/>
    <s v="11.1.01.1241"/>
    <s v="SI"/>
    <d v="2023-12-05T00:00:00"/>
  </r>
  <r>
    <n v="23323367"/>
    <m/>
    <m/>
    <e v="#N/A"/>
    <m/>
    <m/>
    <m/>
    <m/>
    <m/>
    <d v="2025-11-08T00:00:00"/>
    <s v="H"/>
    <x v="4"/>
    <s v="ANGUS NEGRO"/>
    <s v="2 años 3 meses"/>
    <s v="15-10-2023"/>
    <s v="Vivo"/>
    <x v="10"/>
    <s v="11.1.01.0941"/>
    <s v="11.1.01.0893"/>
    <s v="SI"/>
    <d v="2023-12-05T00:00:00"/>
  </r>
  <r>
    <n v="23323376"/>
    <m/>
    <m/>
    <e v="#N/A"/>
    <m/>
    <m/>
    <m/>
    <m/>
    <m/>
    <d v="2025-11-08T00:00:00"/>
    <s v="H"/>
    <x v="4"/>
    <s v="ANGUS NEGRO"/>
    <s v="2 años 3 meses"/>
    <s v="15-10-2023"/>
    <s v="Vivo"/>
    <x v="10"/>
    <s v="11.1.01.0941"/>
    <s v="11.1.01.0893"/>
    <s v="SI"/>
    <d v="2023-12-05T00:00:00"/>
  </r>
  <r>
    <n v="23323399"/>
    <m/>
    <m/>
    <e v="#N/A"/>
    <m/>
    <m/>
    <m/>
    <m/>
    <m/>
    <d v="2025-11-08T00:00:00"/>
    <s v="H"/>
    <x v="4"/>
    <s v="ANGUS NEGRO"/>
    <s v="2 años 3 meses"/>
    <s v="01-10-2023"/>
    <s v="Vivo"/>
    <x v="10"/>
    <s v="11.1.01.0941"/>
    <s v="11.1.01.0893"/>
    <s v="SI"/>
    <d v="2023-12-05T00:00:00"/>
  </r>
  <r>
    <n v="23323408"/>
    <m/>
    <m/>
    <e v="#N/A"/>
    <m/>
    <m/>
    <m/>
    <m/>
    <m/>
    <d v="2025-11-08T00:00:00"/>
    <s v="H"/>
    <x v="4"/>
    <s v="ANGUS ROJO"/>
    <s v="2 años 3 meses"/>
    <s v="01-10-2023"/>
    <s v="Vivo"/>
    <x v="10"/>
    <s v="11.1.01.0941"/>
    <s v="11.1.01.0893"/>
    <s v="SI"/>
    <d v="2023-12-05T00:00:00"/>
  </r>
  <r>
    <n v="23323418"/>
    <m/>
    <m/>
    <e v="#N/A"/>
    <m/>
    <m/>
    <m/>
    <m/>
    <m/>
    <d v="2025-11-08T00:00:00"/>
    <s v="H"/>
    <x v="4"/>
    <s v="ANGUS NEGRO"/>
    <s v="2 años 1 meses"/>
    <s v="30-11-2023"/>
    <s v="Vivo"/>
    <x v="10"/>
    <s v="11.1.01.0941"/>
    <s v="11.1.01.0893"/>
    <s v="SI"/>
    <d v="2023-12-05T00:00:00"/>
  </r>
  <r>
    <n v="23323421"/>
    <m/>
    <m/>
    <e v="#N/A"/>
    <m/>
    <m/>
    <m/>
    <m/>
    <m/>
    <d v="2025-11-08T00:00:00"/>
    <s v="H"/>
    <x v="4"/>
    <s v="ANGUS ROJO"/>
    <s v="2 años 3 meses"/>
    <s v="15-10-2023"/>
    <s v="Vivo"/>
    <x v="10"/>
    <s v="11.1.01.0941"/>
    <s v="11.1.01.0893"/>
    <s v="SI"/>
    <d v="2023-12-05T00:00:00"/>
  </r>
  <r>
    <n v="23323434"/>
    <m/>
    <m/>
    <e v="#N/A"/>
    <m/>
    <m/>
    <m/>
    <m/>
    <m/>
    <d v="2025-11-08T00:00:00"/>
    <s v="H"/>
    <x v="4"/>
    <s v="ANGUS NEGRO"/>
    <s v="2 años 2 meses"/>
    <s v="01-11-2023"/>
    <s v="Vivo"/>
    <x v="10"/>
    <s v="11.1.01.0941"/>
    <s v="11.1.01.0893"/>
    <s v="SI"/>
    <d v="2023-12-05T00:00:00"/>
  </r>
  <r>
    <n v="23323438"/>
    <m/>
    <m/>
    <e v="#N/A"/>
    <m/>
    <m/>
    <m/>
    <m/>
    <m/>
    <d v="2025-01-23T00:00:00"/>
    <s v="H"/>
    <x v="4"/>
    <s v="ANGUS NEGRO"/>
    <s v="2 años 2 meses"/>
    <s v="01-11-2023"/>
    <s v="Vivo"/>
    <x v="10"/>
    <s v="11.1.01.0941"/>
    <s v="11.1.01.0893"/>
    <s v="SI"/>
    <d v="2023-12-05T00:00:00"/>
  </r>
  <r>
    <n v="23323461"/>
    <m/>
    <m/>
    <e v="#N/A"/>
    <m/>
    <m/>
    <m/>
    <m/>
    <m/>
    <d v="2025-11-08T00:00:00"/>
    <s v="M"/>
    <x v="5"/>
    <s v="ANGUS NEGRO"/>
    <s v="2 años 1 meses"/>
    <s v="30-11-2023"/>
    <s v="Vivo"/>
    <x v="10"/>
    <s v="11.1.01.0941"/>
    <s v="11.1.01.0893"/>
    <s v="SI"/>
    <d v="2023-12-05T00:00:00"/>
  </r>
  <r>
    <n v="23323466"/>
    <m/>
    <m/>
    <e v="#N/A"/>
    <m/>
    <m/>
    <m/>
    <m/>
    <m/>
    <d v="2025-11-08T00:00:00"/>
    <s v="H"/>
    <x v="4"/>
    <s v="ANGUS NEGRO"/>
    <s v="2 años 2 meses"/>
    <s v="15-11-2023"/>
    <s v="Vivo"/>
    <x v="10"/>
    <s v="11.1.01.0941"/>
    <s v="11.1.01.0893"/>
    <s v="SI"/>
    <d v="2023-12-05T00:00:00"/>
  </r>
  <r>
    <n v="23323468"/>
    <m/>
    <m/>
    <e v="#N/A"/>
    <m/>
    <m/>
    <m/>
    <m/>
    <m/>
    <d v="2025-11-08T00:00:00"/>
    <s v="H"/>
    <x v="4"/>
    <s v="ANGUS NEGRO"/>
    <s v="2 años 2 meses"/>
    <s v="01-11-2023"/>
    <s v="Vivo"/>
    <x v="10"/>
    <s v="11.1.01.0941"/>
    <s v="11.1.01.0893"/>
    <s v="SI"/>
    <d v="2023-12-05T00:00:00"/>
  </r>
  <r>
    <n v="23323480"/>
    <m/>
    <m/>
    <e v="#N/A"/>
    <m/>
    <m/>
    <m/>
    <m/>
    <m/>
    <d v="2025-01-23T00:00:00"/>
    <s v="H"/>
    <x v="4"/>
    <s v="ANGUS NEGRO"/>
    <s v="2 años 1 meses"/>
    <s v="01-12-2023"/>
    <s v="Vivo"/>
    <x v="7"/>
    <s v="11.1.01.0190"/>
    <s v="11.1.01.1241"/>
    <s v="SI"/>
    <m/>
  </r>
  <r>
    <n v="23323481"/>
    <m/>
    <m/>
    <e v="#N/A"/>
    <m/>
    <m/>
    <m/>
    <m/>
    <m/>
    <d v="2025-11-08T00:00:00"/>
    <s v="H"/>
    <x v="4"/>
    <s v="ANGUS NEGRO"/>
    <s v="2 años 2 meses"/>
    <s v="15-11-2023"/>
    <s v="Vivo"/>
    <x v="10"/>
    <s v="11.1.01.0941"/>
    <s v="11.1.01.1241"/>
    <s v="SI"/>
    <m/>
  </r>
  <r>
    <n v="23323490"/>
    <m/>
    <m/>
    <e v="#N/A"/>
    <m/>
    <m/>
    <m/>
    <m/>
    <m/>
    <d v="2025-01-23T00:00:00"/>
    <s v="H"/>
    <x v="4"/>
    <s v="ANGUS NEGRO"/>
    <s v="2 años 1 meses"/>
    <s v="09-12-2023"/>
    <s v="Vivo"/>
    <x v="10"/>
    <s v="11.1.01.0941"/>
    <s v="11.1.01.1241"/>
    <s v="SI"/>
    <m/>
  </r>
  <r>
    <n v="23323494"/>
    <m/>
    <m/>
    <e v="#N/A"/>
    <m/>
    <m/>
    <m/>
    <m/>
    <d v="2024-12-22T00:00:00"/>
    <d v="2025-01-14T00:00:00"/>
    <s v="H"/>
    <x v="1"/>
    <s v="ANGUS ROJO"/>
    <s v="8 años 3 meses"/>
    <s v="15-10-2017"/>
    <s v="Vivo"/>
    <x v="0"/>
    <s v="Sin Movimiento"/>
    <s v="11.1.01.1241"/>
    <s v="NO"/>
    <m/>
  </r>
  <r>
    <n v="23323495"/>
    <m/>
    <m/>
    <e v="#N/A"/>
    <m/>
    <m/>
    <m/>
    <m/>
    <d v="2024-12-22T00:00:00"/>
    <d v="2025-01-14T00:00:00"/>
    <s v="H"/>
    <x v="1"/>
    <s v="ANGUS NEGRO"/>
    <s v="6 años 0 meses"/>
    <s v="18-12-2019"/>
    <s v="Vivo"/>
    <x v="0"/>
    <s v="Sin Movimiento"/>
    <s v="11.1.01.1241"/>
    <s v="NO"/>
    <d v="2024-05-21T00:00:00"/>
  </r>
  <r>
    <n v="23323496"/>
    <m/>
    <m/>
    <e v="#N/A"/>
    <m/>
    <m/>
    <m/>
    <m/>
    <d v="2024-12-22T00:00:00"/>
    <d v="2025-01-14T00:00:00"/>
    <s v="H"/>
    <x v="1"/>
    <s v="ANGUS NEGRO"/>
    <s v="6 años 2 meses"/>
    <s v="01-11-2019"/>
    <s v="Vivo"/>
    <x v="0"/>
    <s v="Sin Movimiento"/>
    <s v="11.1.01.1241"/>
    <s v="NO"/>
    <d v="2024-05-21T00:00:00"/>
  </r>
  <r>
    <n v="23323501"/>
    <m/>
    <m/>
    <e v="#N/A"/>
    <m/>
    <m/>
    <m/>
    <m/>
    <m/>
    <d v="2025-11-08T00:00:00"/>
    <s v="H"/>
    <x v="4"/>
    <s v="ANGUS NEGRO"/>
    <s v="2 años 1 meses"/>
    <s v="10-12-2023"/>
    <s v="Vivo"/>
    <x v="10"/>
    <s v="11.1.01.0941"/>
    <s v="11.1.01.1241"/>
    <s v="SI"/>
    <m/>
  </r>
  <r>
    <n v="23323507"/>
    <m/>
    <m/>
    <e v="#N/A"/>
    <m/>
    <m/>
    <m/>
    <m/>
    <m/>
    <d v="2025-11-08T00:00:00"/>
    <s v="H"/>
    <x v="4"/>
    <s v="ANGUS ROJO"/>
    <s v="2 años 3 meses"/>
    <s v="05-10-2023"/>
    <s v="Vivo"/>
    <x v="10"/>
    <s v="11.1.01.0941"/>
    <s v="11.1.01.1241"/>
    <s v="SI"/>
    <m/>
  </r>
  <r>
    <n v="23323510"/>
    <m/>
    <m/>
    <e v="#N/A"/>
    <m/>
    <m/>
    <m/>
    <m/>
    <m/>
    <d v="2025-11-08T00:00:00"/>
    <s v="H"/>
    <x v="4"/>
    <s v="ANGUS NEGRO"/>
    <s v="2 años 0 meses"/>
    <s v="18-12-2023"/>
    <s v="Vivo"/>
    <x v="7"/>
    <s v="11.1.01.0190"/>
    <s v="11.1.01.1241"/>
    <s v="SI"/>
    <m/>
  </r>
  <r>
    <n v="23323515"/>
    <m/>
    <m/>
    <e v="#N/A"/>
    <m/>
    <m/>
    <m/>
    <m/>
    <m/>
    <d v="2025-11-08T00:00:00"/>
    <s v="H"/>
    <x v="4"/>
    <s v="ANGUS NEGRO"/>
    <s v="2 años 1 meses"/>
    <s v="25-11-2023"/>
    <s v="Vivo"/>
    <x v="10"/>
    <s v="11.1.01.0941"/>
    <s v="11.1.01.1241"/>
    <s v="SI"/>
    <m/>
  </r>
  <r>
    <n v="23323523"/>
    <m/>
    <m/>
    <e v="#N/A"/>
    <m/>
    <m/>
    <m/>
    <m/>
    <m/>
    <d v="2025-11-08T00:00:00"/>
    <s v="H"/>
    <x v="4"/>
    <s v="ANGUS NEGRO"/>
    <s v="2 años 1 meses"/>
    <s v="30-11-2023"/>
    <s v="Vivo"/>
    <x v="10"/>
    <s v="11.1.01.0941"/>
    <s v="11.1.01.0893"/>
    <s v="SI"/>
    <m/>
  </r>
  <r>
    <n v="23323525"/>
    <m/>
    <m/>
    <e v="#N/A"/>
    <m/>
    <m/>
    <m/>
    <m/>
    <m/>
    <d v="2025-11-08T00:00:00"/>
    <s v="H"/>
    <x v="4"/>
    <s v="ANGUS NEGRO"/>
    <s v="2 años 2 meses"/>
    <s v="05-11-2023"/>
    <s v="Vivo"/>
    <x v="10"/>
    <s v="11.1.01.0941"/>
    <s v="11.1.01.0893"/>
    <s v="SI"/>
    <m/>
  </r>
  <r>
    <n v="23323529"/>
    <m/>
    <m/>
    <e v="#N/A"/>
    <m/>
    <m/>
    <m/>
    <m/>
    <m/>
    <d v="2025-01-23T00:00:00"/>
    <s v="H"/>
    <x v="4"/>
    <s v="ANGUS ROJO"/>
    <s v="2 años 2 meses"/>
    <s v="05-11-2023"/>
    <s v="Vivo"/>
    <x v="10"/>
    <s v="11.1.01.0941"/>
    <s v="11.1.01.0893"/>
    <s v="SI"/>
    <m/>
  </r>
  <r>
    <n v="23323530"/>
    <m/>
    <m/>
    <e v="#N/A"/>
    <m/>
    <m/>
    <m/>
    <m/>
    <m/>
    <d v="2025-11-08T00:00:00"/>
    <s v="H"/>
    <x v="4"/>
    <s v="ANGUS NEGRO"/>
    <s v="2 años 2 meses"/>
    <s v="05-11-2023"/>
    <s v="Vivo"/>
    <x v="10"/>
    <s v="11.1.01.0941"/>
    <s v="11.1.01.0893"/>
    <s v="SI"/>
    <m/>
  </r>
  <r>
    <n v="23323531"/>
    <m/>
    <m/>
    <e v="#N/A"/>
    <m/>
    <m/>
    <m/>
    <m/>
    <m/>
    <d v="2025-11-08T00:00:00"/>
    <s v="H"/>
    <x v="4"/>
    <s v="ANGUS NEGRO"/>
    <s v="2 años 1 meses"/>
    <s v="11-12-2023"/>
    <s v="Vivo"/>
    <x v="10"/>
    <s v="11.1.01.0941"/>
    <s v="11.1.01.0893"/>
    <s v="SI"/>
    <m/>
  </r>
  <r>
    <n v="23323534"/>
    <m/>
    <m/>
    <e v="#N/A"/>
    <m/>
    <m/>
    <m/>
    <m/>
    <m/>
    <d v="2025-11-08T00:00:00"/>
    <s v="H"/>
    <x v="4"/>
    <s v="ANGUS NEGRO"/>
    <s v="2 años 3 meses"/>
    <s v="05-10-2023"/>
    <s v="Vivo"/>
    <x v="10"/>
    <s v="11.1.01.0941"/>
    <s v="11.1.01.0893"/>
    <s v="SI"/>
    <m/>
  </r>
  <r>
    <n v="23323538"/>
    <m/>
    <m/>
    <e v="#N/A"/>
    <m/>
    <m/>
    <m/>
    <m/>
    <m/>
    <d v="2025-11-08T00:00:00"/>
    <s v="H"/>
    <x v="4"/>
    <s v="ANGUS ROJO"/>
    <s v="2 años 3 meses"/>
    <s v="05-10-2023"/>
    <s v="Vivo"/>
    <x v="10"/>
    <s v="11.1.01.0941"/>
    <s v="11.1.01.0893"/>
    <s v="SI"/>
    <m/>
  </r>
  <r>
    <n v="23323539"/>
    <m/>
    <m/>
    <e v="#N/A"/>
    <m/>
    <m/>
    <m/>
    <m/>
    <m/>
    <d v="2025-11-08T00:00:00"/>
    <s v="H"/>
    <x v="4"/>
    <s v="ANGUS NEGRO"/>
    <s v="2 años 1 meses"/>
    <s v="20-11-2023"/>
    <s v="Vivo"/>
    <x v="10"/>
    <s v="11.1.01.0941"/>
    <s v="11.1.01.0893"/>
    <s v="SI"/>
    <m/>
  </r>
  <r>
    <n v="23323541"/>
    <m/>
    <m/>
    <e v="#N/A"/>
    <m/>
    <m/>
    <m/>
    <m/>
    <m/>
    <d v="2025-11-08T00:00:00"/>
    <s v="H"/>
    <x v="4"/>
    <s v="ANGUS NEGRO"/>
    <s v="2 años 1 meses"/>
    <s v="05-12-2023"/>
    <s v="Vivo"/>
    <x v="10"/>
    <s v="11.1.01.0941"/>
    <s v="11.1.01.0893"/>
    <s v="SI"/>
    <m/>
  </r>
  <r>
    <n v="23323542"/>
    <m/>
    <m/>
    <e v="#N/A"/>
    <m/>
    <m/>
    <m/>
    <m/>
    <m/>
    <d v="2025-01-23T00:00:00"/>
    <s v="H"/>
    <x v="4"/>
    <s v="ANGUS ROJO"/>
    <s v="2 años 1 meses"/>
    <s v="25-11-2023"/>
    <s v="Vivo"/>
    <x v="10"/>
    <s v="11.1.01.0941"/>
    <s v="11.1.01.0893"/>
    <s v="SI"/>
    <m/>
  </r>
  <r>
    <n v="23323545"/>
    <m/>
    <m/>
    <e v="#N/A"/>
    <m/>
    <m/>
    <m/>
    <m/>
    <m/>
    <d v="2025-11-08T00:00:00"/>
    <s v="H"/>
    <x v="4"/>
    <s v="ANGUS NEGRO"/>
    <s v="2 años 1 meses"/>
    <s v="30-11-2023"/>
    <s v="Vivo"/>
    <x v="10"/>
    <s v="11.1.01.0941"/>
    <s v="11.1.01.0893"/>
    <s v="SI"/>
    <m/>
  </r>
  <r>
    <n v="23323546"/>
    <m/>
    <m/>
    <e v="#N/A"/>
    <m/>
    <m/>
    <m/>
    <m/>
    <m/>
    <d v="2025-11-08T00:00:00"/>
    <s v="H"/>
    <x v="4"/>
    <s v="ANGUS NEGRO"/>
    <s v="2 años 2 meses"/>
    <s v="05-11-2023"/>
    <s v="Vivo"/>
    <x v="10"/>
    <s v="11.1.01.0941"/>
    <s v="11.1.01.0893"/>
    <s v="SI"/>
    <m/>
  </r>
  <r>
    <n v="23323549"/>
    <m/>
    <m/>
    <e v="#N/A"/>
    <m/>
    <m/>
    <m/>
    <m/>
    <m/>
    <d v="2025-11-08T00:00:00"/>
    <s v="H"/>
    <x v="4"/>
    <s v="ANGUS NEGRO"/>
    <s v="2 años 1 meses"/>
    <s v="05-12-2023"/>
    <s v="Vivo"/>
    <x v="10"/>
    <s v="11.1.01.0941"/>
    <s v="11.1.01.0893"/>
    <s v="SI"/>
    <m/>
  </r>
  <r>
    <n v="23323552"/>
    <m/>
    <m/>
    <e v="#N/A"/>
    <m/>
    <m/>
    <m/>
    <m/>
    <m/>
    <d v="2025-11-08T00:00:00"/>
    <s v="H"/>
    <x v="4"/>
    <s v="ANGUS NEGRO"/>
    <s v="2 años 1 meses"/>
    <s v="05-12-2023"/>
    <s v="Vivo"/>
    <x v="10"/>
    <s v="11.1.01.0941"/>
    <s v="11.1.01.0893"/>
    <s v="SI"/>
    <m/>
  </r>
  <r>
    <n v="23323553"/>
    <m/>
    <m/>
    <e v="#N/A"/>
    <m/>
    <m/>
    <m/>
    <m/>
    <m/>
    <d v="2025-11-08T00:00:00"/>
    <s v="H"/>
    <x v="4"/>
    <s v="ANGUS NEGRO"/>
    <s v="2 años 2 meses"/>
    <s v="05-11-2023"/>
    <s v="Vivo"/>
    <x v="10"/>
    <s v="11.1.01.0941"/>
    <s v="11.1.01.0893"/>
    <s v="SI"/>
    <m/>
  </r>
  <r>
    <n v="23323555"/>
    <m/>
    <m/>
    <e v="#N/A"/>
    <m/>
    <m/>
    <m/>
    <m/>
    <m/>
    <d v="2025-01-23T00:00:00"/>
    <s v="H"/>
    <x v="4"/>
    <s v="ANGUS NEGRO"/>
    <s v="2 años 0 meses"/>
    <s v="31-12-2023"/>
    <s v="Vivo"/>
    <x v="10"/>
    <s v="11.1.01.0941"/>
    <s v="11.1.01.1241"/>
    <s v="SI"/>
    <d v="2024-01-20T00:00:00"/>
  </r>
  <r>
    <n v="23323557"/>
    <m/>
    <m/>
    <e v="#N/A"/>
    <m/>
    <m/>
    <m/>
    <m/>
    <m/>
    <d v="2025-11-08T00:00:00"/>
    <s v="H"/>
    <x v="4"/>
    <s v="HEREFORD"/>
    <s v="2 años 0 meses"/>
    <s v="31-12-2023"/>
    <s v="Vivo"/>
    <x v="7"/>
    <s v="11.1.01.0190"/>
    <s v="11.1.01.1241"/>
    <s v="SI"/>
    <d v="2024-01-20T00:00:00"/>
  </r>
  <r>
    <n v="23323558"/>
    <m/>
    <m/>
    <e v="#N/A"/>
    <m/>
    <m/>
    <m/>
    <m/>
    <m/>
    <d v="2025-01-23T00:00:00"/>
    <s v="H"/>
    <x v="4"/>
    <s v="ANGUS NEGRO"/>
    <s v="2 años 0 meses"/>
    <s v="25-12-2023"/>
    <s v="Vivo"/>
    <x v="10"/>
    <s v="11.1.01.0941"/>
    <s v="11.1.01.1241"/>
    <s v="SI"/>
    <d v="2024-01-20T00:00:00"/>
  </r>
  <r>
    <n v="23323559"/>
    <m/>
    <m/>
    <e v="#N/A"/>
    <m/>
    <m/>
    <m/>
    <m/>
    <m/>
    <d v="2025-11-08T00:00:00"/>
    <s v="H"/>
    <x v="4"/>
    <s v="ANGUS ROJO"/>
    <s v="2 años 0 meses"/>
    <s v="25-12-2023"/>
    <s v="Vivo"/>
    <x v="10"/>
    <s v="11.1.01.0941"/>
    <s v="11.1.01.1241"/>
    <s v="SI"/>
    <d v="2024-01-20T00:00:00"/>
  </r>
  <r>
    <n v="23323561"/>
    <m/>
    <m/>
    <e v="#N/A"/>
    <m/>
    <m/>
    <m/>
    <m/>
    <m/>
    <d v="2025-01-23T00:00:00"/>
    <s v="H"/>
    <x v="4"/>
    <s v="HEREFORD"/>
    <s v="2 años 0 meses"/>
    <s v="31-12-2023"/>
    <s v="Vivo"/>
    <x v="1"/>
    <s v="11.1.01.0941"/>
    <s v="11.1.01.1241"/>
    <s v="SI"/>
    <d v="2024-01-20T00:00:00"/>
  </r>
  <r>
    <n v="23323562"/>
    <m/>
    <m/>
    <e v="#N/A"/>
    <m/>
    <m/>
    <m/>
    <m/>
    <m/>
    <d v="2025-01-23T00:00:00"/>
    <s v="H"/>
    <x v="4"/>
    <s v="ANGUS NEGRO"/>
    <s v="2 años 0 meses"/>
    <s v="31-12-2023"/>
    <s v="Vivo"/>
    <x v="10"/>
    <s v="11.1.01.0941"/>
    <s v="11.1.01.1241"/>
    <s v="SI"/>
    <d v="2024-01-20T00:00:00"/>
  </r>
  <r>
    <n v="23323563"/>
    <m/>
    <m/>
    <e v="#N/A"/>
    <m/>
    <m/>
    <m/>
    <m/>
    <m/>
    <d v="2025-11-08T00:00:00"/>
    <s v="H"/>
    <x v="4"/>
    <s v="ANGUS NEGRO"/>
    <s v="2 años 0 meses"/>
    <s v="25-12-2023"/>
    <s v="Vivo"/>
    <x v="10"/>
    <s v="11.1.01.0941"/>
    <s v="11.1.01.1241"/>
    <s v="SI"/>
    <d v="2024-01-20T00:00:00"/>
  </r>
  <r>
    <n v="23323564"/>
    <m/>
    <m/>
    <e v="#N/A"/>
    <m/>
    <m/>
    <m/>
    <m/>
    <m/>
    <d v="2025-11-08T00:00:00"/>
    <s v="H"/>
    <x v="4"/>
    <s v="ANGUS NEGRO"/>
    <s v="2 años 0 meses"/>
    <s v="25-12-2023"/>
    <s v="Vivo"/>
    <x v="10"/>
    <s v="11.1.01.0941"/>
    <s v="11.1.01.1241"/>
    <s v="SI"/>
    <d v="2024-01-20T00:00:00"/>
  </r>
  <r>
    <n v="23323566"/>
    <m/>
    <m/>
    <e v="#N/A"/>
    <m/>
    <m/>
    <m/>
    <m/>
    <m/>
    <d v="2025-01-23T00:00:00"/>
    <s v="H"/>
    <x v="4"/>
    <s v="ANGUS NEGRO"/>
    <s v="2 años 0 meses"/>
    <s v="25-12-2023"/>
    <s v="Vivo"/>
    <x v="10"/>
    <s v="11.1.01.0941"/>
    <s v="11.1.01.1241"/>
    <s v="SI"/>
    <d v="2024-01-27T00:00:00"/>
  </r>
  <r>
    <n v="23323572"/>
    <m/>
    <m/>
    <e v="#N/A"/>
    <m/>
    <m/>
    <m/>
    <m/>
    <m/>
    <d v="2025-11-08T00:00:00"/>
    <s v="H"/>
    <x v="4"/>
    <s v="ANGUS NEGRO"/>
    <s v="2 años 1 meses"/>
    <s v="05-12-2023"/>
    <s v="Vivo"/>
    <x v="10"/>
    <s v="11.1.01.0941"/>
    <s v="11.1.01.0893"/>
    <s v="SI"/>
    <d v="2024-01-27T00:00:00"/>
  </r>
  <r>
    <n v="23323574"/>
    <m/>
    <m/>
    <e v="#N/A"/>
    <m/>
    <m/>
    <m/>
    <m/>
    <m/>
    <d v="2025-11-08T00:00:00"/>
    <s v="H"/>
    <x v="4"/>
    <s v="ANGUS NEGRO"/>
    <s v="2 años 0 meses"/>
    <s v="31-12-2023"/>
    <s v="Vivo"/>
    <x v="10"/>
    <s v="11.1.01.0941"/>
    <s v="11.1.01.0893"/>
    <s v="SI"/>
    <d v="2024-01-27T00:00:00"/>
  </r>
  <r>
    <n v="23323575"/>
    <m/>
    <m/>
    <e v="#N/A"/>
    <m/>
    <m/>
    <m/>
    <m/>
    <m/>
    <d v="2025-11-08T00:00:00"/>
    <s v="H"/>
    <x v="4"/>
    <s v="ANGUS NEGRO"/>
    <s v="2 años 1 meses"/>
    <s v="30-11-2023"/>
    <s v="Vivo"/>
    <x v="10"/>
    <s v="11.1.01.0941"/>
    <s v="11.1.01.0893"/>
    <s v="SI"/>
    <d v="2024-01-27T00:00:00"/>
  </r>
  <r>
    <n v="23323576"/>
    <m/>
    <m/>
    <e v="#N/A"/>
    <m/>
    <m/>
    <m/>
    <m/>
    <m/>
    <m/>
    <s v="H"/>
    <x v="4"/>
    <s v="ANGUS ROJO"/>
    <s v="2 años 1 meses"/>
    <s v="05-12-2023"/>
    <s v="Vivo"/>
    <x v="2"/>
    <s v="Sin Movimiento"/>
    <s v="11.1.01.0893"/>
    <s v="SI"/>
    <d v="2024-01-27T00:00:00"/>
  </r>
  <r>
    <n v="23323577"/>
    <m/>
    <m/>
    <e v="#N/A"/>
    <m/>
    <m/>
    <m/>
    <m/>
    <m/>
    <d v="2025-01-23T00:00:00"/>
    <s v="H"/>
    <x v="4"/>
    <s v="ANGUS NEGRO"/>
    <s v="2 años 2 meses"/>
    <s v="05-11-2023"/>
    <s v="Vivo"/>
    <x v="10"/>
    <s v="11.1.01.0941"/>
    <s v="11.1.01.0893"/>
    <s v="SI"/>
    <d v="2024-01-27T00:00:00"/>
  </r>
  <r>
    <n v="23323584"/>
    <m/>
    <m/>
    <e v="#N/A"/>
    <m/>
    <m/>
    <m/>
    <m/>
    <m/>
    <d v="2025-11-08T00:00:00"/>
    <s v="H"/>
    <x v="4"/>
    <s v="ANGUS NEGRO"/>
    <s v="2 años 1 meses"/>
    <s v="05-12-2023"/>
    <s v="Vivo"/>
    <x v="10"/>
    <s v="11.1.01.0941"/>
    <s v="11.1.01.0893"/>
    <s v="SI"/>
    <d v="2024-01-27T00:00:00"/>
  </r>
  <r>
    <n v="23323585"/>
    <m/>
    <m/>
    <e v="#N/A"/>
    <m/>
    <m/>
    <m/>
    <m/>
    <m/>
    <d v="2025-11-08T00:00:00"/>
    <s v="H"/>
    <x v="4"/>
    <s v="ANGUS NEGRO"/>
    <s v="2 años 1 meses"/>
    <s v="30-11-2023"/>
    <s v="Vivo"/>
    <x v="10"/>
    <s v="11.1.01.0941"/>
    <s v="11.1.01.0893"/>
    <s v="SI"/>
    <d v="2024-01-27T00:00:00"/>
  </r>
  <r>
    <n v="23323589"/>
    <m/>
    <m/>
    <e v="#N/A"/>
    <m/>
    <m/>
    <m/>
    <m/>
    <m/>
    <d v="2025-11-08T00:00:00"/>
    <s v="H"/>
    <x v="4"/>
    <s v="ANGUS ROJO"/>
    <s v="2 años 2 meses"/>
    <s v="15-11-2023"/>
    <s v="Vivo"/>
    <x v="10"/>
    <s v="11.1.01.0941"/>
    <s v="11.1.01.0893"/>
    <s v="SI"/>
    <d v="2024-01-27T00:00:00"/>
  </r>
  <r>
    <n v="23323590"/>
    <m/>
    <m/>
    <e v="#N/A"/>
    <m/>
    <m/>
    <m/>
    <m/>
    <m/>
    <d v="2025-11-08T00:00:00"/>
    <s v="H"/>
    <x v="4"/>
    <s v="ANGUS NEGRO"/>
    <s v="2 años 2 meses"/>
    <s v="15-11-2023"/>
    <s v="Vivo"/>
    <x v="10"/>
    <s v="11.1.01.0941"/>
    <s v="11.1.01.0893"/>
    <s v="SI"/>
    <d v="2024-05-20T00:00:00"/>
  </r>
  <r>
    <n v="23323593"/>
    <m/>
    <m/>
    <e v="#N/A"/>
    <m/>
    <m/>
    <m/>
    <m/>
    <m/>
    <d v="2025-01-23T00:00:00"/>
    <s v="H"/>
    <x v="4"/>
    <s v="ANGUS NEGRO"/>
    <s v="1 años 10 meses"/>
    <s v="11-03-2024"/>
    <s v="Vivo"/>
    <x v="10"/>
    <s v="11.1.01.0941"/>
    <s v="11.1.01.1241"/>
    <s v="SI"/>
    <d v="2024-05-20T00:00:00"/>
  </r>
  <r>
    <n v="23323597"/>
    <m/>
    <m/>
    <e v="#N/A"/>
    <m/>
    <m/>
    <m/>
    <m/>
    <m/>
    <d v="2025-11-08T00:00:00"/>
    <s v="M"/>
    <x v="5"/>
    <s v="ANGUS NEGRO"/>
    <s v="2 años 0 meses"/>
    <s v="30-12-2023"/>
    <s v="Vivo"/>
    <x v="10"/>
    <s v="11.1.01.0941"/>
    <s v="11.1.01.1241"/>
    <s v="SI"/>
    <d v="2024-05-20T00:00:00"/>
  </r>
  <r>
    <n v="23323598"/>
    <m/>
    <m/>
    <e v="#N/A"/>
    <m/>
    <m/>
    <m/>
    <m/>
    <m/>
    <d v="2025-11-08T00:00:00"/>
    <s v="H"/>
    <x v="4"/>
    <s v="ANGUS NEGRO"/>
    <s v="2 años 0 meses"/>
    <s v="30-12-2023"/>
    <s v="Vivo"/>
    <x v="10"/>
    <s v="11.1.01.0941"/>
    <s v="11.1.01.1241"/>
    <s v="SI"/>
    <d v="2024-05-20T00:00:00"/>
  </r>
  <r>
    <n v="23323599"/>
    <m/>
    <m/>
    <e v="#N/A"/>
    <m/>
    <m/>
    <m/>
    <m/>
    <m/>
    <d v="2025-11-08T00:00:00"/>
    <s v="H"/>
    <x v="4"/>
    <s v="ANGUS NEGRO"/>
    <s v="2 años 0 meses"/>
    <s v="30-12-2023"/>
    <s v="Vivo"/>
    <x v="10"/>
    <s v="11.1.01.0941"/>
    <s v="11.1.01.1241"/>
    <s v="SI"/>
    <d v="2024-05-20T00:00:00"/>
  </r>
  <r>
    <n v="23323602"/>
    <m/>
    <m/>
    <e v="#N/A"/>
    <m/>
    <m/>
    <m/>
    <m/>
    <m/>
    <d v="2025-11-08T00:00:00"/>
    <s v="H"/>
    <x v="4"/>
    <s v="ANGUS ROJO"/>
    <s v="2 años 1 meses"/>
    <s v="05-12-2023"/>
    <s v="Vivo"/>
    <x v="10"/>
    <s v="11.1.01.0941"/>
    <s v="11.1.01.1241"/>
    <s v="SI"/>
    <d v="2024-05-20T00:00:00"/>
  </r>
  <r>
    <n v="23323604"/>
    <m/>
    <m/>
    <e v="#N/A"/>
    <m/>
    <m/>
    <m/>
    <m/>
    <m/>
    <d v="2025-11-08T00:00:00"/>
    <s v="H"/>
    <x v="4"/>
    <s v="ANGUS NEGRO"/>
    <s v="2 años 1 meses"/>
    <s v="05-12-2023"/>
    <s v="Vivo"/>
    <x v="10"/>
    <s v="11.1.01.0941"/>
    <s v="11.1.01.1241"/>
    <s v="SI"/>
    <d v="2024-12-21T00:00:00"/>
  </r>
  <r>
    <n v="23323606"/>
    <m/>
    <m/>
    <e v="#N/A"/>
    <m/>
    <m/>
    <m/>
    <m/>
    <m/>
    <d v="2025-01-23T00:00:00"/>
    <s v="H"/>
    <x v="4"/>
    <s v="ANGUS NEGRO"/>
    <s v="2 años 0 meses"/>
    <s v="30-12-2023"/>
    <s v="Vivo"/>
    <x v="10"/>
    <s v="11.1.01.0941"/>
    <s v="11.1.01.1241"/>
    <s v="SI"/>
    <d v="2024-12-21T00:00:00"/>
  </r>
  <r>
    <n v="23323607"/>
    <m/>
    <m/>
    <e v="#N/A"/>
    <m/>
    <m/>
    <m/>
    <m/>
    <m/>
    <d v="2025-11-08T00:00:00"/>
    <s v="H"/>
    <x v="4"/>
    <s v="ANGUS NEGRO"/>
    <s v="2 años 0 meses"/>
    <s v="30-12-2023"/>
    <s v="Vivo"/>
    <x v="10"/>
    <s v="11.1.01.0941"/>
    <s v="11.1.01.1241"/>
    <s v="SI"/>
    <d v="2024-12-21T00:00:00"/>
  </r>
  <r>
    <n v="23323611"/>
    <m/>
    <m/>
    <e v="#N/A"/>
    <m/>
    <m/>
    <m/>
    <m/>
    <m/>
    <d v="2025-11-08T00:00:00"/>
    <s v="H"/>
    <x v="4"/>
    <s v="ANGUS ROJO"/>
    <s v="2 años 0 meses"/>
    <s v="25-12-2023"/>
    <s v="Vivo"/>
    <x v="10"/>
    <s v="11.1.01.0941"/>
    <s v="11.1.01.1241"/>
    <s v="SI"/>
    <d v="2024-12-21T00:00:00"/>
  </r>
  <r>
    <n v="23323612"/>
    <m/>
    <m/>
    <e v="#N/A"/>
    <m/>
    <m/>
    <m/>
    <m/>
    <m/>
    <d v="2025-01-23T00:00:00"/>
    <s v="H"/>
    <x v="1"/>
    <s v="ANGUS ROJO"/>
    <s v="2 años 11 meses"/>
    <s v="30-01-2023"/>
    <s v="Vivo"/>
    <x v="10"/>
    <s v="11.1.01.0941"/>
    <s v="11.1.01.1241"/>
    <s v="NO"/>
    <d v="2024-12-21T00:00:00"/>
  </r>
  <r>
    <n v="23323614"/>
    <m/>
    <m/>
    <e v="#N/A"/>
    <m/>
    <m/>
    <m/>
    <m/>
    <m/>
    <d v="2025-11-08T00:00:00"/>
    <s v="H"/>
    <x v="4"/>
    <s v="ANGUS NEGRO"/>
    <s v="1 años 11 meses"/>
    <s v="30-01-2024"/>
    <s v="Vivo"/>
    <x v="10"/>
    <s v="11.1.01.0941"/>
    <s v="11.1.01.1241"/>
    <s v="SI"/>
    <d v="2024-12-21T00:00:00"/>
  </r>
  <r>
    <n v="23323618"/>
    <m/>
    <m/>
    <e v="#N/A"/>
    <m/>
    <m/>
    <m/>
    <m/>
    <m/>
    <d v="2025-11-08T00:00:00"/>
    <s v="H"/>
    <x v="4"/>
    <s v="ANGUS NEGRO"/>
    <s v="1 años 11 meses"/>
    <s v="30-01-2024"/>
    <s v="Vivo"/>
    <x v="10"/>
    <s v="11.1.01.0941"/>
    <s v="11.1.01.1241"/>
    <s v="SI"/>
    <d v="2024-12-21T00:00:00"/>
  </r>
  <r>
    <n v="23323619"/>
    <m/>
    <m/>
    <e v="#N/A"/>
    <m/>
    <m/>
    <m/>
    <m/>
    <m/>
    <m/>
    <s v="H"/>
    <x v="4"/>
    <s v="ANGUS NEGRO"/>
    <s v="1 años 10 meses"/>
    <s v="11-03-2024"/>
    <s v="Vivo"/>
    <x v="0"/>
    <s v="Sin Movimiento"/>
    <s v="11.1.01.1241"/>
    <s v="SI"/>
    <d v="2024-05-26T00:00:00"/>
  </r>
  <r>
    <n v="23323622"/>
    <m/>
    <m/>
    <e v="#N/A"/>
    <m/>
    <m/>
    <m/>
    <m/>
    <m/>
    <d v="2025-11-08T00:00:00"/>
    <s v="H"/>
    <x v="4"/>
    <s v="ANGUS ROJO"/>
    <s v="2 años 1 meses"/>
    <s v="15-12-2023"/>
    <s v="Vivo"/>
    <x v="10"/>
    <s v="11.1.01.0941"/>
    <s v="11.1.01.0893"/>
    <s v="SI"/>
    <d v="2024-05-26T00:00:00"/>
  </r>
  <r>
    <n v="23323625"/>
    <m/>
    <m/>
    <e v="#N/A"/>
    <m/>
    <m/>
    <m/>
    <m/>
    <m/>
    <d v="2025-11-08T00:00:00"/>
    <s v="H"/>
    <x v="4"/>
    <s v="ANGUS NEGRO"/>
    <s v="2 años 1 meses"/>
    <s v="15-12-2023"/>
    <s v="Vivo"/>
    <x v="10"/>
    <s v="11.1.01.0941"/>
    <s v="11.1.01.0893"/>
    <s v="SI"/>
    <d v="2024-05-26T00:00:00"/>
  </r>
  <r>
    <n v="23323626"/>
    <m/>
    <n v="23323246"/>
    <n v="23323246"/>
    <m/>
    <m/>
    <m/>
    <m/>
    <m/>
    <d v="2025-11-08T00:00:00"/>
    <s v="H"/>
    <x v="4"/>
    <s v="ANGUS NEGRO"/>
    <s v="2 años 3 meses"/>
    <s v="15-10-2023"/>
    <s v="Vivo"/>
    <x v="10"/>
    <s v="11.1.01.0941"/>
    <s v="11.1.01.0893"/>
    <s v="SI"/>
    <m/>
  </r>
  <r>
    <n v="23323627"/>
    <m/>
    <m/>
    <e v="#N/A"/>
    <m/>
    <m/>
    <m/>
    <m/>
    <m/>
    <d v="2025-01-23T00:00:00"/>
    <s v="H"/>
    <x v="1"/>
    <s v="ANGUS NEGRO"/>
    <s v="3 años 0 meses"/>
    <s v="15-01-2023"/>
    <s v="Vivo"/>
    <x v="10"/>
    <s v="11.1.01.0941"/>
    <s v="11.1.01.1241"/>
    <s v="NO"/>
    <d v="2024-06-09T00:00:00"/>
  </r>
  <r>
    <n v="23323630"/>
    <m/>
    <m/>
    <e v="#N/A"/>
    <m/>
    <m/>
    <m/>
    <m/>
    <m/>
    <d v="2025-11-08T00:00:00"/>
    <s v="H"/>
    <x v="4"/>
    <s v="ANGUS NEGRO"/>
    <s v="1 años 9 meses"/>
    <s v="31-03-2024"/>
    <s v="Vivo"/>
    <x v="10"/>
    <s v="11.1.01.0941"/>
    <s v="11.1.01.1241"/>
    <s v="SI"/>
    <d v="2024-06-16T00:00:00"/>
  </r>
  <r>
    <n v="23323631"/>
    <m/>
    <m/>
    <e v="#N/A"/>
    <m/>
    <m/>
    <m/>
    <m/>
    <m/>
    <d v="2025-01-23T00:00:00"/>
    <s v="H"/>
    <x v="4"/>
    <s v="ANGUS NEGRO"/>
    <s v="1 años 9 meses"/>
    <s v="31-03-2024"/>
    <s v="Vivo"/>
    <x v="10"/>
    <s v="11.1.01.0941"/>
    <s v="11.1.01.1241"/>
    <s v="SI"/>
    <d v="2024-06-16T00:00:00"/>
  </r>
  <r>
    <n v="23323636"/>
    <m/>
    <n v="16843085"/>
    <n v="16843085"/>
    <m/>
    <m/>
    <m/>
    <m/>
    <d v="2024-12-22T00:00:00"/>
    <d v="2025-11-05T00:00:00"/>
    <s v="H"/>
    <x v="1"/>
    <s v="ANGUS NEGRO"/>
    <s v="6 años 3 meses"/>
    <s v="30-09-2019"/>
    <s v="Vivo"/>
    <x v="7"/>
    <s v="11.1.01.0190"/>
    <s v="11.2.01.0053"/>
    <s v="SI"/>
    <m/>
  </r>
  <r>
    <n v="23323637"/>
    <m/>
    <m/>
    <e v="#N/A"/>
    <m/>
    <m/>
    <m/>
    <m/>
    <m/>
    <d v="2025-11-05T00:00:00"/>
    <s v="H"/>
    <x v="1"/>
    <s v="ANGUS NEGRO"/>
    <s v="4 años 1 meses"/>
    <s v="15-12-2021"/>
    <s v="Vivo"/>
    <x v="7"/>
    <s v="11.1.01.0190"/>
    <s v="11.1.01.1241"/>
    <s v="NO"/>
    <d v="2025-04-27T00:00:00"/>
  </r>
  <r>
    <n v="23323640"/>
    <m/>
    <m/>
    <e v="#N/A"/>
    <m/>
    <m/>
    <m/>
    <m/>
    <d v="2024-12-22T00:00:00"/>
    <d v="2025-01-14T00:00:00"/>
    <s v="H"/>
    <x v="1"/>
    <s v="ANGUS NEGRO"/>
    <s v="5 años 3 meses"/>
    <s v="30-09-2020"/>
    <s v="Vivo"/>
    <x v="0"/>
    <s v="11.2.01.0038"/>
    <s v="11.1.01.1241"/>
    <s v="NO"/>
    <d v="2024-12-10T00:00:00"/>
  </r>
  <r>
    <n v="23323641"/>
    <m/>
    <n v="14717848"/>
    <n v="14717848"/>
    <m/>
    <m/>
    <m/>
    <m/>
    <d v="2024-12-22T00:00:00"/>
    <d v="2025-11-05T00:00:00"/>
    <s v="H"/>
    <x v="1"/>
    <s v="ANGUS NEGRO"/>
    <s v="9 años 3 meses"/>
    <s v="15-10-2016"/>
    <s v="Vivo"/>
    <x v="7"/>
    <s v="11.1.01.0190"/>
    <s v="11.2.01.2071"/>
    <s v="SI"/>
    <m/>
  </r>
  <r>
    <n v="23323642"/>
    <m/>
    <n v="16843240"/>
    <n v="16843240"/>
    <m/>
    <m/>
    <m/>
    <m/>
    <m/>
    <m/>
    <s v="H"/>
    <x v="1"/>
    <s v="ANGUS NEGRO"/>
    <s v="7 años 4 meses"/>
    <s v="10-09-2018"/>
    <s v="Vivo"/>
    <x v="3"/>
    <s v="11.1.01.0893"/>
    <s v="11.1.01.0893"/>
    <s v="SI"/>
    <m/>
  </r>
  <r>
    <n v="23323643"/>
    <m/>
    <n v="16843275"/>
    <n v="16843275"/>
    <m/>
    <m/>
    <m/>
    <m/>
    <d v="2024-01-06T00:00:00"/>
    <m/>
    <s v="H"/>
    <x v="1"/>
    <s v="ANGUS NEGRO"/>
    <s v="7 años 3 meses"/>
    <s v="30-09-2018"/>
    <s v="Vivo"/>
    <x v="4"/>
    <s v="11.1.01.0893"/>
    <s v="11.1.01.0893"/>
    <s v="SI"/>
    <m/>
  </r>
  <r>
    <n v="23323644"/>
    <m/>
    <n v="14717758"/>
    <n v="14717758"/>
    <m/>
    <m/>
    <m/>
    <m/>
    <d v="2024-01-06T00:00:00"/>
    <m/>
    <s v="H"/>
    <x v="1"/>
    <s v="ANGUS NEGRO"/>
    <s v="9 años 3 meses"/>
    <s v="15-10-2016"/>
    <s v="Vivo"/>
    <x v="3"/>
    <s v="11.1.01.0893"/>
    <s v="11.1.01.0893"/>
    <s v="SI"/>
    <m/>
  </r>
  <r>
    <n v="23323645"/>
    <m/>
    <n v="16843236"/>
    <n v="16843236"/>
    <m/>
    <m/>
    <m/>
    <m/>
    <m/>
    <m/>
    <s v="M"/>
    <x v="2"/>
    <s v="ANGUS NEGRO"/>
    <s v="7 años 4 meses"/>
    <s v="10-09-2018"/>
    <s v="Vivo"/>
    <x v="4"/>
    <s v="11.1.01.0893"/>
    <s v="11.1.01.0893"/>
    <s v="SI"/>
    <d v="2025-01-05T00:00:00"/>
  </r>
  <r>
    <n v="23323646"/>
    <m/>
    <n v="16843018"/>
    <n v="16843018"/>
    <m/>
    <m/>
    <m/>
    <m/>
    <d v="2024-01-06T00:00:00"/>
    <m/>
    <s v="H"/>
    <x v="1"/>
    <s v="ANGUS NEGRO"/>
    <s v="7 años 3 meses"/>
    <s v="20-09-2018"/>
    <s v="Vivo"/>
    <x v="4"/>
    <s v="11.1.01.0893"/>
    <s v="11.1.01.1241"/>
    <s v="SI"/>
    <d v="2024-12-10T00:00:00"/>
  </r>
  <r>
    <n v="23323647"/>
    <m/>
    <m/>
    <n v="16843457"/>
    <m/>
    <m/>
    <m/>
    <m/>
    <m/>
    <m/>
    <s v="H"/>
    <x v="1"/>
    <s v="ANGUS NEGRO"/>
    <s v="7 años 3 meses"/>
    <s v="20-09-2018"/>
    <s v="Vivo"/>
    <x v="3"/>
    <s v="11.1.01.0893"/>
    <s v="11.1.01.0893"/>
    <s v="SI"/>
    <m/>
  </r>
  <r>
    <n v="23323648"/>
    <m/>
    <m/>
    <e v="#N/A"/>
    <m/>
    <m/>
    <m/>
    <m/>
    <m/>
    <m/>
    <s v="M"/>
    <x v="0"/>
    <s v="ANGUS NEGRO"/>
    <s v="6 años 2 meses"/>
    <s v="01-11-2019"/>
    <s v="Vivo"/>
    <x v="7"/>
    <s v="11.1.01.0190"/>
    <s v="11.1.01.0893"/>
    <s v="NO"/>
    <d v="2025-01-05T00:00:00"/>
  </r>
  <r>
    <n v="23323649"/>
    <n v="2636171"/>
    <m/>
    <e v="#N/A"/>
    <m/>
    <m/>
    <m/>
    <m/>
    <d v="2024-12-10T00:00:00"/>
    <m/>
    <s v="M"/>
    <x v="2"/>
    <s v="ANGUS NEGRO"/>
    <s v="6 años 2 meses"/>
    <s v="01-11-2019"/>
    <s v="Vivo"/>
    <x v="3"/>
    <s v="11.1.01.0893"/>
    <s v="11.1.01.1241"/>
    <s v="NO"/>
    <d v="2024-12-10T00:00:00"/>
  </r>
  <r>
    <n v="23323650"/>
    <n v="2636124"/>
    <n v="15417634"/>
    <n v="15417634"/>
    <m/>
    <m/>
    <m/>
    <m/>
    <m/>
    <d v="2025-11-04T00:00:00"/>
    <s v="M"/>
    <x v="2"/>
    <s v="ANGUS NEGRO"/>
    <s v="8 años 2 meses"/>
    <s v="07-11-2017"/>
    <s v="Vivo"/>
    <x v="7"/>
    <s v="11.1.01.0190"/>
    <s v="11.2.01.0251"/>
    <s v="SI"/>
    <m/>
  </r>
  <r>
    <n v="23323651"/>
    <n v="2636116"/>
    <n v="19050220"/>
    <n v="19050220"/>
    <m/>
    <m/>
    <m/>
    <m/>
    <m/>
    <m/>
    <s v="M"/>
    <x v="0"/>
    <s v="ANGUS NEGRO"/>
    <s v="12 años 3 meses"/>
    <s v="10-10-2013"/>
    <s v="Vivo"/>
    <x v="4"/>
    <s v="11.1.01.0893"/>
    <s v="11.1.01.0893"/>
    <s v="NO"/>
    <m/>
  </r>
  <r>
    <n v="23323653"/>
    <m/>
    <n v="18943177"/>
    <n v="18943177"/>
    <m/>
    <m/>
    <m/>
    <m/>
    <d v="2024-12-22T00:00:00"/>
    <d v="2025-11-04T00:00:00"/>
    <s v="H"/>
    <x v="1"/>
    <s v="ANGUS ROJO"/>
    <s v="16 años 4 meses"/>
    <s v="30-08-2009"/>
    <s v="Vivo"/>
    <x v="7"/>
    <s v="11.1.01.0190"/>
    <s v="11.1.01.0790"/>
    <s v="SI"/>
    <m/>
  </r>
  <r>
    <n v="23323657"/>
    <m/>
    <m/>
    <e v="#N/A"/>
    <m/>
    <m/>
    <m/>
    <m/>
    <m/>
    <m/>
    <s v="H"/>
    <x v="1"/>
    <s v="ANGUS NEGRO"/>
    <s v="6 años 2 meses"/>
    <s v="01-11-2019"/>
    <s v="Vivo"/>
    <x v="4"/>
    <s v="11.1.01.0893"/>
    <s v="11.1.01.0893"/>
    <s v="NO"/>
    <d v="2025-01-17T00:00:00"/>
  </r>
  <r>
    <n v="23323658"/>
    <m/>
    <m/>
    <e v="#N/A"/>
    <m/>
    <m/>
    <m/>
    <m/>
    <m/>
    <m/>
    <s v="H"/>
    <x v="1"/>
    <s v="ANGUS NEGRO"/>
    <s v="6 años 2 meses"/>
    <s v="01-11-2019"/>
    <s v="Vivo"/>
    <x v="4"/>
    <s v="11.1.01.0893"/>
    <s v="11.1.01.0893"/>
    <s v="NO"/>
    <d v="2025-01-17T00:00:00"/>
  </r>
  <r>
    <n v="23323659"/>
    <m/>
    <m/>
    <e v="#N/A"/>
    <m/>
    <m/>
    <m/>
    <m/>
    <m/>
    <m/>
    <s v="H"/>
    <x v="1"/>
    <s v="ANGUS ROJO"/>
    <s v="6 años 3 meses"/>
    <s v="30-09-2019"/>
    <s v="Vivo"/>
    <x v="4"/>
    <s v="11.1.01.0893"/>
    <s v="11.1.01.0893"/>
    <s v="NO"/>
    <d v="2025-01-17T00:00:00"/>
  </r>
  <r>
    <n v="23323661"/>
    <m/>
    <m/>
    <e v="#N/A"/>
    <m/>
    <m/>
    <m/>
    <m/>
    <m/>
    <m/>
    <s v="H"/>
    <x v="1"/>
    <s v="ANGUS NEGRO"/>
    <s v="6 años 2 meses"/>
    <s v="20-10-2019"/>
    <s v="Vivo"/>
    <x v="3"/>
    <s v="11.1.01.0893"/>
    <s v="11.1.01.0893"/>
    <s v="NO"/>
    <d v="2025-01-17T00:00:00"/>
  </r>
  <r>
    <n v="23323662"/>
    <m/>
    <n v="16843299"/>
    <n v="16843299"/>
    <m/>
    <m/>
    <m/>
    <m/>
    <m/>
    <m/>
    <s v="H"/>
    <x v="1"/>
    <s v="ANGUS NEGRO"/>
    <s v="7 años 3 meses"/>
    <s v="30-09-2018"/>
    <s v="Vivo"/>
    <x v="4"/>
    <s v="11.1.01.0893"/>
    <s v="11.1.01.0893"/>
    <s v="SI"/>
    <m/>
  </r>
  <r>
    <n v="23323663"/>
    <m/>
    <n v="16843492"/>
    <n v="16843492"/>
    <m/>
    <m/>
    <m/>
    <m/>
    <m/>
    <m/>
    <s v="H"/>
    <x v="1"/>
    <s v="ANGUS NEGRO"/>
    <s v="7 años 4 meses"/>
    <s v="15-09-2018"/>
    <s v="Vivo"/>
    <x v="4"/>
    <s v="11.1.01.0893"/>
    <s v="11.1.01.0893"/>
    <s v="SI"/>
    <m/>
  </r>
  <r>
    <n v="23323664"/>
    <m/>
    <m/>
    <e v="#N/A"/>
    <m/>
    <m/>
    <m/>
    <m/>
    <m/>
    <m/>
    <s v="H"/>
    <x v="1"/>
    <s v="ANGUS NEGRO"/>
    <s v="4 años 1 meses"/>
    <s v="15-12-2021"/>
    <s v="Vivo"/>
    <x v="0"/>
    <s v="Sin Movimiento"/>
    <s v="11.1.01.1241"/>
    <s v="NO"/>
    <d v="2025-04-26T00:00:00"/>
  </r>
  <r>
    <n v="23323666"/>
    <m/>
    <n v="15661292"/>
    <n v="15661292"/>
    <m/>
    <m/>
    <m/>
    <m/>
    <d v="2024-05-18T00:00:00"/>
    <d v="2025-11-05T00:00:00"/>
    <s v="H"/>
    <x v="1"/>
    <s v="ANGUS NEGRO"/>
    <s v="8 años 3 meses"/>
    <s v="30-09-2017"/>
    <s v="Vivo"/>
    <x v="7"/>
    <s v="11.1.01.0190"/>
    <s v="11.1.01.0893"/>
    <s v="SI"/>
    <m/>
  </r>
  <r>
    <n v="23323667"/>
    <m/>
    <n v="20910480"/>
    <n v="20910480"/>
    <m/>
    <m/>
    <m/>
    <m/>
    <d v="2024-12-22T00:00:00"/>
    <m/>
    <s v="H"/>
    <x v="1"/>
    <s v="ANGUS ROJO"/>
    <s v="4 años 3 meses"/>
    <s v="15-10-2021"/>
    <s v="Vivo"/>
    <x v="0"/>
    <s v="11.2.01.0038"/>
    <s v="11.1.01.1241"/>
    <s v="SI"/>
    <m/>
  </r>
  <r>
    <n v="23323670"/>
    <m/>
    <n v="24567522"/>
    <n v="24567522"/>
    <m/>
    <m/>
    <m/>
    <m/>
    <m/>
    <d v="2025-11-05T00:00:00"/>
    <s v="H"/>
    <x v="4"/>
    <s v="ANGUS ROJO"/>
    <s v="1 años 4 meses"/>
    <s v="15-09-2024"/>
    <s v="Vivo"/>
    <x v="7"/>
    <s v="11.1.01.0190"/>
    <s v="11.1.01.0893"/>
    <s v="SI"/>
    <d v="2024-09-15T00:00:00"/>
  </r>
  <r>
    <n v="23323671"/>
    <m/>
    <n v="84465"/>
    <n v="84465"/>
    <m/>
    <m/>
    <m/>
    <m/>
    <m/>
    <m/>
    <s v="H"/>
    <x v="1"/>
    <s v="POLLED HEREFORD"/>
    <s v="22 años 3 meses"/>
    <s v="15-10-2003"/>
    <s v="Vivo"/>
    <x v="0"/>
    <s v="11.1.01.0790"/>
    <s v="11.1.01.1241"/>
    <s v="SI"/>
    <m/>
  </r>
  <r>
    <n v="23323673"/>
    <m/>
    <n v="84634"/>
    <n v="84634"/>
    <m/>
    <m/>
    <m/>
    <m/>
    <m/>
    <m/>
    <s v="H"/>
    <x v="1"/>
    <s v="HEREFORD"/>
    <s v="24 años 3 meses"/>
    <s v="15-10-2001"/>
    <s v="Vivo"/>
    <x v="0"/>
    <s v="11.1.01.0789"/>
    <s v="11.1.01.0791"/>
    <s v="SI"/>
    <m/>
  </r>
  <r>
    <n v="23323674"/>
    <m/>
    <n v="84494"/>
    <n v="84494"/>
    <m/>
    <m/>
    <m/>
    <m/>
    <m/>
    <m/>
    <s v="H"/>
    <x v="1"/>
    <s v="OVERO COLORADO (CLAVEL ALEMAN)"/>
    <s v="21 años 3 meses"/>
    <s v="15-10-2004"/>
    <s v="Vivo"/>
    <x v="3"/>
    <s v="11.1.01.1241"/>
    <s v="11.1.01.0789"/>
    <s v="SI"/>
    <m/>
  </r>
  <r>
    <n v="23323676"/>
    <m/>
    <n v="15661176"/>
    <n v="15661176"/>
    <m/>
    <m/>
    <m/>
    <m/>
    <d v="2024-12-22T00:00:00"/>
    <d v="2025-11-04T00:00:00"/>
    <s v="H"/>
    <x v="1"/>
    <s v="ANGUS NEGRO"/>
    <s v="8 años 4 meses"/>
    <s v="01-09-2017"/>
    <s v="Vivo"/>
    <x v="6"/>
    <s v="11.1.01.1241"/>
    <s v="11.1.01.1241"/>
    <s v="SI"/>
    <m/>
  </r>
  <r>
    <n v="23323678"/>
    <m/>
    <n v="24567520"/>
    <n v="24567520"/>
    <m/>
    <m/>
    <m/>
    <m/>
    <m/>
    <m/>
    <s v="H"/>
    <x v="4"/>
    <s v="ANGUS NEGRO"/>
    <s v="1 años 4 meses"/>
    <s v="15-09-2024"/>
    <s v="Vivo"/>
    <x v="7"/>
    <s v="11.1.01.0190"/>
    <s v="11.1.01.0893"/>
    <s v="SI"/>
    <d v="2024-09-15T00:00:00"/>
  </r>
  <r>
    <n v="23323679"/>
    <m/>
    <n v="18943053"/>
    <n v="18943053"/>
    <m/>
    <m/>
    <m/>
    <d v="2023-06-13T00:00:00"/>
    <d v="2024-05-20T00:00:00"/>
    <d v="2025-11-05T00:00:00"/>
    <s v="H"/>
    <x v="1"/>
    <s v="ANGUS NEGRO"/>
    <s v="5 años 3 meses"/>
    <s v="30-09-2020"/>
    <s v="Vivo"/>
    <x v="7"/>
    <s v="11.1.01.0190"/>
    <s v="11.1.01.0893"/>
    <s v="SI"/>
    <d v="2020-09-30T00:00:00"/>
  </r>
  <r>
    <n v="23323686"/>
    <m/>
    <n v="16390491"/>
    <n v="16390491"/>
    <m/>
    <m/>
    <m/>
    <m/>
    <m/>
    <m/>
    <s v="H"/>
    <x v="1"/>
    <s v="ANGUS NEGRO"/>
    <s v="5 años 1 meses"/>
    <s v="30-11-2020"/>
    <s v="Vivo"/>
    <x v="4"/>
    <s v="11.1.01.0893"/>
    <s v="11.1.01.1241"/>
    <s v="SI"/>
    <m/>
  </r>
  <r>
    <n v="23323687"/>
    <m/>
    <n v="14717764"/>
    <n v="14717764"/>
    <m/>
    <m/>
    <d v="2022-12-28T00:00:00"/>
    <d v="2023-11-17T00:00:00"/>
    <d v="2024-05-20T00:00:00"/>
    <d v="2025-01-14T00:00:00"/>
    <s v="H"/>
    <x v="1"/>
    <s v="ANGUS NEGRO"/>
    <s v="9 años 3 meses"/>
    <s v="15-10-2016"/>
    <s v="Vivo"/>
    <x v="0"/>
    <s v="11.2.01.0038"/>
    <s v="11.1.01.0893"/>
    <s v="SI"/>
    <m/>
  </r>
  <r>
    <n v="23323688"/>
    <m/>
    <n v="20910190"/>
    <n v="20910190"/>
    <m/>
    <m/>
    <m/>
    <m/>
    <d v="2024-12-22T00:00:00"/>
    <d v="2025-01-14T00:00:00"/>
    <s v="H"/>
    <x v="1"/>
    <s v="ANGUS NEGRO"/>
    <s v="4 años 3 meses"/>
    <s v="15-10-2021"/>
    <s v="Vivo"/>
    <x v="0"/>
    <s v="11.1.01.1022"/>
    <s v="11.1.01.0893"/>
    <s v="SI"/>
    <m/>
  </r>
  <r>
    <n v="23323689"/>
    <m/>
    <n v="16843407"/>
    <n v="16843407"/>
    <m/>
    <m/>
    <m/>
    <m/>
    <d v="2024-01-06T00:00:00"/>
    <m/>
    <s v="H"/>
    <x v="1"/>
    <s v="ANGUS NEGRO"/>
    <s v="7 años 3 meses"/>
    <s v="20-09-2018"/>
    <s v="Vivo"/>
    <x v="4"/>
    <s v="11.1.01.0893"/>
    <s v="11.1.01.0893"/>
    <s v="SI"/>
    <m/>
  </r>
  <r>
    <n v="23323690"/>
    <m/>
    <n v="16843264"/>
    <n v="16843264"/>
    <m/>
    <m/>
    <m/>
    <m/>
    <d v="2024-01-06T00:00:00"/>
    <m/>
    <s v="H"/>
    <x v="1"/>
    <s v="ANGUS NEGRO"/>
    <s v="7 años 4 meses"/>
    <s v="10-09-2018"/>
    <s v="Vivo"/>
    <x v="3"/>
    <s v="11.1.01.0893"/>
    <s v="11.1.01.0893"/>
    <s v="SI"/>
    <m/>
  </r>
  <r>
    <n v="23323691"/>
    <m/>
    <n v="16843228"/>
    <n v="16843228"/>
    <m/>
    <m/>
    <m/>
    <m/>
    <d v="2024-01-06T00:00:00"/>
    <m/>
    <s v="H"/>
    <x v="1"/>
    <s v="ANGUS NEGRO"/>
    <s v="7 años 3 meses"/>
    <s v="20-09-2018"/>
    <s v="Vivo"/>
    <x v="3"/>
    <s v="11.1.01.0893"/>
    <s v="11.1.01.0893"/>
    <s v="SI"/>
    <m/>
  </r>
  <r>
    <n v="23323692"/>
    <m/>
    <n v="16843403"/>
    <n v="16843403"/>
    <m/>
    <m/>
    <m/>
    <m/>
    <d v="2024-01-06T00:00:00"/>
    <m/>
    <s v="H"/>
    <x v="1"/>
    <s v="ANGUS ROJO"/>
    <s v="7 años 2 meses"/>
    <s v="05-11-2018"/>
    <s v="Vivo"/>
    <x v="3"/>
    <s v="11.1.01.0893"/>
    <s v="11.1.01.0893"/>
    <s v="SI"/>
    <m/>
  </r>
  <r>
    <n v="23323693"/>
    <m/>
    <n v="8392927"/>
    <n v="8392927"/>
    <m/>
    <d v="2021-10-28T00:00:00"/>
    <d v="2022-11-03T00:00:00"/>
    <m/>
    <m/>
    <m/>
    <s v="H"/>
    <x v="1"/>
    <s v="ANGUS ROJO"/>
    <s v="12 años 2 meses"/>
    <s v="20-10-2013"/>
    <s v="Vivo"/>
    <x v="3"/>
    <s v="11.1.01.0893"/>
    <s v="11.1.01.1081"/>
    <s v="SI"/>
    <m/>
  </r>
  <r>
    <n v="23323694"/>
    <m/>
    <m/>
    <n v="16843434"/>
    <m/>
    <m/>
    <m/>
    <m/>
    <m/>
    <m/>
    <s v="H"/>
    <x v="1"/>
    <s v="ANGUS NEGRO"/>
    <s v="7 años 4 meses"/>
    <s v="15-09-2018"/>
    <s v="Vivo"/>
    <x v="4"/>
    <s v="11.1.01.0893"/>
    <s v="11.1.01.0893"/>
    <s v="SI"/>
    <m/>
  </r>
  <r>
    <n v="23323695"/>
    <m/>
    <m/>
    <n v="15660964"/>
    <m/>
    <m/>
    <m/>
    <m/>
    <m/>
    <m/>
    <s v="H"/>
    <x v="1"/>
    <s v="ANGUS ROJO"/>
    <s v="8 años 2 meses"/>
    <s v="20-10-2017"/>
    <s v="Vivo"/>
    <x v="3"/>
    <s v="11.1.01.0893"/>
    <s v="11.1.01.1241"/>
    <s v="SI"/>
    <m/>
  </r>
  <r>
    <n v="23323696"/>
    <m/>
    <m/>
    <n v="16843229"/>
    <m/>
    <m/>
    <m/>
    <m/>
    <m/>
    <m/>
    <s v="H"/>
    <x v="1"/>
    <s v="ANGUS NEGRO"/>
    <s v="7 años 3 meses"/>
    <s v="30-09-2018"/>
    <s v="Vivo"/>
    <x v="4"/>
    <s v="11.1.01.0893"/>
    <s v="11.1.01.0893"/>
    <s v="SI"/>
    <m/>
  </r>
  <r>
    <n v="23323697"/>
    <m/>
    <m/>
    <n v="8392652"/>
    <m/>
    <m/>
    <m/>
    <m/>
    <m/>
    <m/>
    <s v="H"/>
    <x v="1"/>
    <s v="ANGUS NEGRO"/>
    <s v="13 años 2 meses"/>
    <s v="30-10-2012"/>
    <s v="Vivo"/>
    <x v="3"/>
    <s v="11.1.01.0893"/>
    <s v="11.1.01.0790"/>
    <s v="SI"/>
    <m/>
  </r>
  <r>
    <n v="23323698"/>
    <m/>
    <m/>
    <n v="16843537"/>
    <m/>
    <m/>
    <m/>
    <m/>
    <m/>
    <m/>
    <s v="H"/>
    <x v="1"/>
    <s v="ANGUS NEGRO"/>
    <s v="7 años 3 meses"/>
    <s v="30-09-2018"/>
    <s v="Vivo"/>
    <x v="4"/>
    <s v="11.1.01.0893"/>
    <s v="11.1.01.0893"/>
    <s v="NO"/>
    <m/>
  </r>
  <r>
    <n v="23323699"/>
    <m/>
    <m/>
    <n v="8392634"/>
    <m/>
    <m/>
    <m/>
    <m/>
    <m/>
    <m/>
    <s v="H"/>
    <x v="1"/>
    <s v="ANGUS NEGRO"/>
    <s v="13 años 2 meses"/>
    <s v="30-10-2012"/>
    <s v="Vivo"/>
    <x v="3"/>
    <s v="11.1.01.0893"/>
    <s v="11.1.01.0789"/>
    <s v="SI"/>
    <m/>
  </r>
  <r>
    <n v="23584127"/>
    <m/>
    <m/>
    <e v="#N/A"/>
    <m/>
    <m/>
    <m/>
    <m/>
    <m/>
    <m/>
    <s v="M"/>
    <x v="5"/>
    <s v="ANGUS NEGRO"/>
    <s v="2 años 3 meses"/>
    <s v="15-10-2023"/>
    <s v="Vivo"/>
    <x v="0"/>
    <s v="11.1.01.2408"/>
    <s v="11.1.01.0290"/>
    <s v="SI"/>
    <m/>
  </r>
  <r>
    <n v="24567015"/>
    <m/>
    <m/>
    <e v="#N/A"/>
    <m/>
    <m/>
    <m/>
    <m/>
    <m/>
    <m/>
    <s v="H"/>
    <x v="4"/>
    <s v="ANGUS ROJO"/>
    <s v="1 años 4 meses"/>
    <s v="15-09-2024"/>
    <s v="Vivo"/>
    <x v="0"/>
    <s v="11.2.01.0038"/>
    <s v="11.1.01.1241"/>
    <s v="SI"/>
    <d v="2024-10-12T00:00:00"/>
  </r>
  <r>
    <n v="24567018"/>
    <m/>
    <m/>
    <e v="#N/A"/>
    <m/>
    <m/>
    <m/>
    <m/>
    <m/>
    <m/>
    <s v="H"/>
    <x v="4"/>
    <s v="ANGUS NEGRO"/>
    <s v="1 años 4 meses"/>
    <s v="15-09-2024"/>
    <s v="Vivo"/>
    <x v="1"/>
    <s v="11.2.01.0053"/>
    <s v="11.1.01.1241"/>
    <s v="SI"/>
    <d v="2024-09-15T00:00:00"/>
  </r>
  <r>
    <n v="24567021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029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10-12T00:00:00"/>
  </r>
  <r>
    <n v="24567032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10-12T00:00:00"/>
  </r>
  <r>
    <n v="24567038"/>
    <m/>
    <m/>
    <e v="#N/A"/>
    <m/>
    <m/>
    <m/>
    <m/>
    <m/>
    <d v="2025-06-05T00:00:00"/>
    <s v="H"/>
    <x v="4"/>
    <s v="ANGUS NEGRO"/>
    <s v="1 años 4 meses"/>
    <s v="15-09-2024"/>
    <s v="Vivo"/>
    <x v="0"/>
    <s v="11.2.01.0038"/>
    <s v="11.1.01.1241"/>
    <s v="SI"/>
    <d v="2024-10-12T00:00:00"/>
  </r>
  <r>
    <n v="24567039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10-12T00:00:00"/>
  </r>
  <r>
    <n v="24567044"/>
    <m/>
    <m/>
    <e v="#N/A"/>
    <m/>
    <m/>
    <m/>
    <m/>
    <m/>
    <m/>
    <s v="M"/>
    <x v="5"/>
    <s v="ANGUS NEGRO"/>
    <s v="1 años 4 meses"/>
    <s v="15-09-2024"/>
    <s v="Vivo"/>
    <x v="0"/>
    <s v="Sin Movimiento"/>
    <s v="11.1.01.1241"/>
    <s v="SI"/>
    <d v="2024-10-12T00:00:00"/>
  </r>
  <r>
    <n v="24567046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047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052"/>
    <m/>
    <m/>
    <e v="#N/A"/>
    <m/>
    <m/>
    <m/>
    <m/>
    <m/>
    <m/>
    <s v="M"/>
    <x v="5"/>
    <s v="ANGUS NEGRO"/>
    <s v="1 años 4 meses"/>
    <s v="15-09-2024"/>
    <s v="Vivo"/>
    <x v="0"/>
    <s v="Sin Movimiento"/>
    <s v="11.1.01.1241"/>
    <s v="SI"/>
    <d v="2024-10-12T00:00:00"/>
  </r>
  <r>
    <n v="24567054"/>
    <m/>
    <m/>
    <e v="#N/A"/>
    <m/>
    <m/>
    <m/>
    <m/>
    <m/>
    <m/>
    <s v="H"/>
    <x v="4"/>
    <s v="ANGUS NEGRO"/>
    <s v="1 años 4 meses"/>
    <s v="15-09-2024"/>
    <s v="Vivo"/>
    <x v="0"/>
    <s v="Sin Movimiento"/>
    <s v="11.1.01.1241"/>
    <s v="SI"/>
    <d v="2024-10-12T00:00:00"/>
  </r>
  <r>
    <n v="24567064"/>
    <m/>
    <m/>
    <e v="#N/A"/>
    <m/>
    <m/>
    <m/>
    <m/>
    <m/>
    <d v="2025-08-18T00:00:00"/>
    <s v="H"/>
    <x v="4"/>
    <s v="ANGUS NEGRO"/>
    <s v="1 años 5 meses"/>
    <s v="15-08-2024"/>
    <s v="Vivo"/>
    <x v="6"/>
    <s v="11.2.01.0053"/>
    <s v="11.1.01.1241"/>
    <s v="SI"/>
    <d v="2024-10-12T00:00:00"/>
  </r>
  <r>
    <n v="24567065"/>
    <m/>
    <m/>
    <e v="#N/A"/>
    <m/>
    <m/>
    <m/>
    <m/>
    <m/>
    <d v="2025-06-05T00:00:00"/>
    <s v="H"/>
    <x v="4"/>
    <s v="ANGUS ROJO"/>
    <s v="1 años 4 meses"/>
    <s v="15-09-2024"/>
    <s v="Vivo"/>
    <x v="0"/>
    <s v="11.2.01.0038"/>
    <s v="11.1.01.1241"/>
    <s v="SI"/>
    <d v="2024-10-12T00:00:00"/>
  </r>
  <r>
    <n v="24567068"/>
    <m/>
    <m/>
    <e v="#N/A"/>
    <m/>
    <m/>
    <m/>
    <m/>
    <m/>
    <d v="2025-06-05T00:00:00"/>
    <s v="H"/>
    <x v="4"/>
    <s v="ANGUS NEGRO"/>
    <s v="1 años 4 meses"/>
    <s v="15-09-2024"/>
    <s v="Vivo"/>
    <x v="0"/>
    <s v="11.2.01.0038"/>
    <s v="11.1.01.1241"/>
    <s v="SI"/>
    <d v="2024-10-12T00:00:00"/>
  </r>
  <r>
    <n v="24567070"/>
    <m/>
    <m/>
    <e v="#N/A"/>
    <m/>
    <m/>
    <m/>
    <m/>
    <m/>
    <d v="2025-08-18T00:00:00"/>
    <s v="H"/>
    <x v="4"/>
    <s v="ANGUS ROJO"/>
    <s v="1 años 4 meses"/>
    <s v="15-09-2024"/>
    <s v="Vivo"/>
    <x v="6"/>
    <s v="11.2.01.0053"/>
    <s v="11.1.01.1241"/>
    <s v="SI"/>
    <d v="2024-10-12T00:00:00"/>
  </r>
  <r>
    <n v="24567074"/>
    <m/>
    <m/>
    <e v="#N/A"/>
    <m/>
    <m/>
    <m/>
    <m/>
    <m/>
    <d v="2025-06-05T00:00:00"/>
    <s v="H"/>
    <x v="4"/>
    <s v="ANGUS NEGRO"/>
    <s v="1 años 3 meses"/>
    <s v="01-10-2024"/>
    <s v="Vivo"/>
    <x v="0"/>
    <s v="11.2.01.0038"/>
    <s v="11.1.01.1241"/>
    <s v="SI"/>
    <d v="2024-10-12T00:00:00"/>
  </r>
  <r>
    <n v="24567077"/>
    <m/>
    <m/>
    <e v="#N/A"/>
    <m/>
    <m/>
    <m/>
    <m/>
    <m/>
    <d v="2025-06-05T00:00:00"/>
    <s v="H"/>
    <x v="4"/>
    <s v="ANGUS NEGRO"/>
    <s v="1 años 4 meses"/>
    <s v="15-09-2024"/>
    <s v="Vivo"/>
    <x v="0"/>
    <s v="11.2.01.0038"/>
    <s v="11.1.01.1241"/>
    <s v="SI"/>
    <d v="2024-10-12T00:00:00"/>
  </r>
  <r>
    <n v="24567078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083"/>
    <m/>
    <m/>
    <e v="#N/A"/>
    <m/>
    <m/>
    <m/>
    <m/>
    <m/>
    <m/>
    <s v="H"/>
    <x v="4"/>
    <s v="ANGUS ROJO"/>
    <s v="1 años 4 meses"/>
    <s v="15-09-2024"/>
    <s v="Vivo"/>
    <x v="0"/>
    <s v="11.2.01.0038"/>
    <s v="11.1.01.1241"/>
    <s v="SI"/>
    <d v="2024-10-12T00:00:00"/>
  </r>
  <r>
    <n v="24567085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089"/>
    <m/>
    <m/>
    <e v="#N/A"/>
    <m/>
    <m/>
    <m/>
    <m/>
    <m/>
    <m/>
    <s v="H"/>
    <x v="4"/>
    <s v="ANGUS NEGRO"/>
    <s v="1 años 4 meses"/>
    <s v="15-09-2024"/>
    <s v="Vivo"/>
    <x v="0"/>
    <s v="Sin Movimiento"/>
    <s v="11.1.01.1241"/>
    <s v="SI"/>
    <d v="2024-10-13T00:00:00"/>
  </r>
  <r>
    <n v="24567095"/>
    <m/>
    <m/>
    <e v="#N/A"/>
    <m/>
    <m/>
    <m/>
    <m/>
    <d v="2024-11-10T00:00:00"/>
    <m/>
    <s v="H"/>
    <x v="4"/>
    <s v="ANGUS NEGRO"/>
    <s v="1 años 4 meses"/>
    <s v="15-09-2024"/>
    <s v="Vivo"/>
    <x v="0"/>
    <s v="Sin Movimiento"/>
    <s v="11.1.01.1241"/>
    <s v="SI"/>
    <d v="2024-10-13T00:00:00"/>
  </r>
  <r>
    <n v="24567102"/>
    <m/>
    <m/>
    <e v="#N/A"/>
    <m/>
    <m/>
    <m/>
    <m/>
    <m/>
    <m/>
    <s v="M"/>
    <x v="5"/>
    <s v="ANGUS ROJO"/>
    <s v="1 años 4 meses"/>
    <s v="15-09-2024"/>
    <s v="Vivo"/>
    <x v="0"/>
    <s v="Sin Movimiento"/>
    <s v="11.1.01.1241"/>
    <s v="SI"/>
    <d v="2024-10-13T00:00:00"/>
  </r>
  <r>
    <n v="24567105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110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112"/>
    <m/>
    <m/>
    <e v="#N/A"/>
    <m/>
    <m/>
    <m/>
    <m/>
    <d v="2024-11-10T00:00:00"/>
    <d v="2025-06-05T00:00:00"/>
    <s v="H"/>
    <x v="4"/>
    <s v="ANGUS NEGRO"/>
    <s v="1 años 4 meses"/>
    <s v="15-09-2024"/>
    <s v="Vivo"/>
    <x v="0"/>
    <s v="11.2.01.0038"/>
    <s v="11.1.01.1241"/>
    <s v="SI"/>
    <d v="2024-10-13T00:00:00"/>
  </r>
  <r>
    <n v="24567116"/>
    <m/>
    <m/>
    <e v="#N/A"/>
    <m/>
    <m/>
    <m/>
    <m/>
    <d v="2024-11-10T00:00:00"/>
    <m/>
    <s v="H"/>
    <x v="4"/>
    <s v="ANGUS NEGRO"/>
    <s v="1 años 4 meses"/>
    <s v="15-09-2024"/>
    <s v="Vivo"/>
    <x v="0"/>
    <s v="Sin Movimiento"/>
    <s v="11.1.01.1241"/>
    <s v="SI"/>
    <d v="2024-10-13T00:00:00"/>
  </r>
  <r>
    <n v="24567117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10-13T00:00:00"/>
  </r>
  <r>
    <n v="24567131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144"/>
    <m/>
    <m/>
    <e v="#N/A"/>
    <m/>
    <m/>
    <m/>
    <m/>
    <d v="2024-11-10T00:00:00"/>
    <m/>
    <s v="H"/>
    <x v="4"/>
    <s v="ANGUS NEGRO"/>
    <s v="1 años 4 meses"/>
    <s v="15-09-2024"/>
    <s v="Vivo"/>
    <x v="3"/>
    <s v="11.1.01.1241"/>
    <s v="11.1.01.1241"/>
    <s v="SI"/>
    <d v="2024-10-13T00:00:00"/>
  </r>
  <r>
    <n v="24567148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150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10-13T00:00:00"/>
  </r>
  <r>
    <n v="24567151"/>
    <m/>
    <m/>
    <e v="#N/A"/>
    <m/>
    <m/>
    <m/>
    <m/>
    <m/>
    <m/>
    <s v="H"/>
    <x v="4"/>
    <s v="ANGUS NEGRO"/>
    <s v="1 años 4 meses"/>
    <s v="15-09-2024"/>
    <s v="Vivo"/>
    <x v="6"/>
    <s v="11.2.01.0053"/>
    <s v="11.1.01.1241"/>
    <s v="SI"/>
    <d v="2024-09-15T00:00:00"/>
  </r>
  <r>
    <n v="24567155"/>
    <m/>
    <m/>
    <e v="#N/A"/>
    <m/>
    <m/>
    <m/>
    <m/>
    <m/>
    <d v="2025-08-18T00:00:00"/>
    <s v="H"/>
    <x v="4"/>
    <s v="ANGUS NEGRO"/>
    <s v="1 años 4 meses"/>
    <s v="15-09-2024"/>
    <s v="Vivo"/>
    <x v="6"/>
    <s v="11.2.01.0053"/>
    <s v="11.1.01.1241"/>
    <s v="SI"/>
    <d v="2024-09-15T00:00:00"/>
  </r>
  <r>
    <n v="24567156"/>
    <m/>
    <m/>
    <e v="#N/A"/>
    <m/>
    <m/>
    <m/>
    <m/>
    <m/>
    <d v="2025-08-18T00:00:00"/>
    <s v="H"/>
    <x v="4"/>
    <s v="ANGUS NEGRO"/>
    <s v="1 años 3 meses"/>
    <s v="30-09-2024"/>
    <s v="Vivo"/>
    <x v="6"/>
    <s v="11.2.01.0053"/>
    <s v="11.1.01.1241"/>
    <s v="SI"/>
    <d v="2024-09-30T00:00:00"/>
  </r>
  <r>
    <n v="24567160"/>
    <m/>
    <m/>
    <e v="#N/A"/>
    <m/>
    <m/>
    <m/>
    <m/>
    <m/>
    <m/>
    <s v="H"/>
    <x v="4"/>
    <s v="ANGUS NEGRO"/>
    <s v="1 años 3 meses"/>
    <s v="05-10-2024"/>
    <s v="Vivo"/>
    <x v="6"/>
    <s v="11.2.01.0053"/>
    <s v="11.1.01.1241"/>
    <s v="SI"/>
    <d v="2024-10-22T00:00:00"/>
  </r>
  <r>
    <n v="24567161"/>
    <m/>
    <m/>
    <e v="#N/A"/>
    <m/>
    <m/>
    <m/>
    <m/>
    <m/>
    <d v="2025-08-18T00:00:00"/>
    <s v="H"/>
    <x v="4"/>
    <s v="ANGUS NEGRO"/>
    <s v="1 años 3 meses"/>
    <s v="30-09-2024"/>
    <s v="Vivo"/>
    <x v="6"/>
    <s v="11.2.01.0053"/>
    <s v="11.1.01.1241"/>
    <s v="SI"/>
    <d v="2024-10-22T00:00:00"/>
  </r>
  <r>
    <n v="24567166"/>
    <m/>
    <m/>
    <e v="#N/A"/>
    <m/>
    <m/>
    <m/>
    <m/>
    <m/>
    <d v="2025-08-18T00:00:00"/>
    <s v="H"/>
    <x v="4"/>
    <s v="ANGUS ROJO"/>
    <s v="1 años 3 meses"/>
    <s v="05-10-2024"/>
    <s v="Vivo"/>
    <x v="6"/>
    <s v="11.2.01.0053"/>
    <s v="11.1.01.1241"/>
    <s v="SI"/>
    <d v="2024-10-05T00:00:00"/>
  </r>
  <r>
    <n v="24567167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05T00:00:00"/>
  </r>
  <r>
    <n v="24567173"/>
    <m/>
    <m/>
    <e v="#N/A"/>
    <m/>
    <m/>
    <m/>
    <m/>
    <m/>
    <d v="2025-08-18T00:00:00"/>
    <s v="H"/>
    <x v="4"/>
    <s v="ANGUS ROJO"/>
    <s v="1 años 3 meses"/>
    <s v="30-09-2024"/>
    <s v="Vivo"/>
    <x v="6"/>
    <s v="11.2.01.0053"/>
    <s v="11.1.01.1241"/>
    <s v="SI"/>
    <d v="2024-09-30T00:00:00"/>
  </r>
  <r>
    <n v="24567175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22T00:00:00"/>
  </r>
  <r>
    <n v="24567184"/>
    <m/>
    <m/>
    <e v="#N/A"/>
    <m/>
    <m/>
    <m/>
    <m/>
    <m/>
    <m/>
    <s v="H"/>
    <x v="4"/>
    <s v="ANGUS NEGRO"/>
    <s v="1 años 3 meses"/>
    <s v="11-10-2024"/>
    <s v="Vivo"/>
    <x v="6"/>
    <s v="11.2.01.0053"/>
    <s v="11.1.01.1241"/>
    <s v="SI"/>
    <d v="2024-10-22T00:00:00"/>
  </r>
  <r>
    <n v="24567186"/>
    <m/>
    <m/>
    <e v="#N/A"/>
    <m/>
    <m/>
    <m/>
    <m/>
    <m/>
    <m/>
    <s v="H"/>
    <x v="4"/>
    <s v="ANGUS NEGRO"/>
    <s v="1 años 3 meses"/>
    <s v="05-10-2024"/>
    <s v="Vivo"/>
    <x v="0"/>
    <s v="Sin Movimiento"/>
    <s v="11.1.01.1241"/>
    <s v="SI"/>
    <d v="2024-10-22T00:00:00"/>
  </r>
  <r>
    <n v="24567188"/>
    <m/>
    <m/>
    <e v="#N/A"/>
    <m/>
    <m/>
    <m/>
    <m/>
    <m/>
    <m/>
    <s v="M"/>
    <x v="5"/>
    <s v="ANGUS NEGRO"/>
    <s v="1 años 3 meses"/>
    <s v="05-10-2024"/>
    <s v="Vivo"/>
    <x v="0"/>
    <s v="Sin Movimiento"/>
    <s v="11.1.01.1241"/>
    <s v="SI"/>
    <d v="2024-10-22T00:00:00"/>
  </r>
  <r>
    <n v="24567190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05T00:00:00"/>
  </r>
  <r>
    <n v="24567192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22T00:00:00"/>
  </r>
  <r>
    <n v="24567194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22T00:00:00"/>
  </r>
  <r>
    <n v="24567198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05T00:00:00"/>
  </r>
  <r>
    <n v="24567202"/>
    <m/>
    <m/>
    <e v="#N/A"/>
    <m/>
    <m/>
    <m/>
    <m/>
    <m/>
    <m/>
    <s v="H"/>
    <x v="4"/>
    <s v="ANGUS NEGRO"/>
    <s v="1 años 3 meses"/>
    <s v="05-10-2024"/>
    <s v="Vivo"/>
    <x v="6"/>
    <s v="11.2.01.0053"/>
    <s v="11.1.01.1241"/>
    <s v="SI"/>
    <d v="2024-10-05T00:00:00"/>
  </r>
  <r>
    <n v="24567204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05T00:00:00"/>
  </r>
  <r>
    <n v="24567210"/>
    <m/>
    <m/>
    <e v="#N/A"/>
    <m/>
    <m/>
    <m/>
    <m/>
    <m/>
    <d v="2025-08-18T00:00:00"/>
    <s v="M"/>
    <x v="5"/>
    <s v="ANGUS NEGRO"/>
    <s v="1 años 3 meses"/>
    <s v="05-10-2024"/>
    <s v="Vivo"/>
    <x v="6"/>
    <s v="11.2.01.0053"/>
    <s v="11.1.01.1241"/>
    <s v="SI"/>
    <d v="2024-10-22T00:00:00"/>
  </r>
  <r>
    <n v="24567214"/>
    <m/>
    <m/>
    <e v="#N/A"/>
    <m/>
    <m/>
    <m/>
    <m/>
    <m/>
    <m/>
    <s v="M"/>
    <x v="5"/>
    <s v="ANGUS NEGRO"/>
    <s v="1 años 3 meses"/>
    <s v="05-10-2024"/>
    <s v="Vivo"/>
    <x v="0"/>
    <s v="Sin Movimiento"/>
    <s v="11.1.01.1241"/>
    <s v="SI"/>
    <d v="2024-10-22T00:00:00"/>
  </r>
  <r>
    <n v="24567215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22T00:00:00"/>
  </r>
  <r>
    <n v="24567219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22T00:00:00"/>
  </r>
  <r>
    <n v="24567220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22T00:00:00"/>
  </r>
  <r>
    <n v="24567221"/>
    <m/>
    <m/>
    <e v="#N/A"/>
    <m/>
    <m/>
    <m/>
    <m/>
    <m/>
    <d v="2025-08-18T00:00:00"/>
    <s v="H"/>
    <x v="4"/>
    <s v="ANGUS NEGRO"/>
    <s v="1 años 2 meses"/>
    <s v="18-10-2024"/>
    <s v="Vivo"/>
    <x v="6"/>
    <s v="11.2.01.0053"/>
    <s v="11.1.01.1241"/>
    <s v="SI"/>
    <d v="2024-10-18T00:00:00"/>
  </r>
  <r>
    <n v="24567224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22T00:00:00"/>
  </r>
  <r>
    <n v="24567226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05T00:00:00"/>
  </r>
  <r>
    <n v="24567229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22T00:00:00"/>
  </r>
  <r>
    <n v="24567231"/>
    <m/>
    <m/>
    <e v="#N/A"/>
    <m/>
    <m/>
    <m/>
    <m/>
    <d v="2024-11-10T00:00:00"/>
    <m/>
    <s v="H"/>
    <x v="4"/>
    <s v="ANGUS NEGRO"/>
    <s v="1 años 3 meses"/>
    <s v="05-10-2024"/>
    <s v="Vivo"/>
    <x v="0"/>
    <s v="Sin Movimiento"/>
    <s v="11.1.01.1241"/>
    <s v="SI"/>
    <d v="2024-11-10T00:00:00"/>
  </r>
  <r>
    <n v="24567232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05T00:00:00"/>
  </r>
  <r>
    <n v="24567242"/>
    <m/>
    <m/>
    <e v="#N/A"/>
    <m/>
    <m/>
    <m/>
    <m/>
    <m/>
    <d v="2025-08-18T00:00:00"/>
    <s v="H"/>
    <x v="4"/>
    <s v="ANGUS NEGRO"/>
    <s v="1 años 2 meses"/>
    <s v="20-10-2024"/>
    <s v="Vivo"/>
    <x v="6"/>
    <s v="11.2.01.0053"/>
    <s v="11.1.01.1241"/>
    <s v="SI"/>
    <d v="2024-11-10T00:00:00"/>
  </r>
  <r>
    <n v="24567244"/>
    <m/>
    <m/>
    <e v="#N/A"/>
    <m/>
    <m/>
    <m/>
    <m/>
    <d v="2024-11-10T00:00:00"/>
    <m/>
    <s v="H"/>
    <x v="4"/>
    <s v="ANGUS NEGRO"/>
    <s v="1 años 2 meses"/>
    <s v="20-10-2024"/>
    <s v="Vivo"/>
    <x v="0"/>
    <s v="Sin Movimiento"/>
    <s v="11.1.01.1241"/>
    <s v="SI"/>
    <d v="2024-11-16T00:00:00"/>
  </r>
  <r>
    <n v="24567251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05T00:00:00"/>
  </r>
  <r>
    <n v="24567254"/>
    <m/>
    <m/>
    <e v="#N/A"/>
    <m/>
    <m/>
    <m/>
    <m/>
    <m/>
    <d v="2025-08-18T00:00:00"/>
    <s v="H"/>
    <x v="4"/>
    <s v="ANGUS NEGRO"/>
    <s v="1 años 3 meses"/>
    <s v="15-10-2024"/>
    <s v="Vivo"/>
    <x v="6"/>
    <s v="11.2.01.0053"/>
    <s v="11.1.01.1241"/>
    <s v="SI"/>
    <d v="2024-10-15T00:00:00"/>
  </r>
  <r>
    <n v="24567255"/>
    <m/>
    <m/>
    <e v="#N/A"/>
    <m/>
    <m/>
    <m/>
    <m/>
    <m/>
    <d v="2025-06-05T00:00:00"/>
    <s v="H"/>
    <x v="4"/>
    <s v="ANGUS NEGRO"/>
    <s v="1 años 2 meses"/>
    <s v="30-10-2024"/>
    <s v="Vivo"/>
    <x v="0"/>
    <s v="11.2.01.0038"/>
    <s v="11.1.01.1241"/>
    <s v="SI"/>
    <d v="2024-11-16T00:00:00"/>
  </r>
  <r>
    <n v="24567256"/>
    <m/>
    <m/>
    <e v="#N/A"/>
    <m/>
    <m/>
    <m/>
    <m/>
    <m/>
    <d v="2025-08-18T00:00:00"/>
    <s v="H"/>
    <x v="4"/>
    <s v="ANGUS NEGRO"/>
    <s v="1 años 3 meses"/>
    <s v="15-10-2024"/>
    <s v="Vivo"/>
    <x v="6"/>
    <s v="11.2.01.0053"/>
    <s v="11.1.01.1241"/>
    <s v="SI"/>
    <d v="2024-10-15T00:00:00"/>
  </r>
  <r>
    <n v="24567258"/>
    <m/>
    <m/>
    <e v="#N/A"/>
    <m/>
    <m/>
    <m/>
    <m/>
    <m/>
    <d v="2025-06-05T00:00:00"/>
    <s v="H"/>
    <x v="4"/>
    <s v="ANGUS NEGRO"/>
    <s v="1 años 3 meses"/>
    <s v="15-10-2024"/>
    <s v="Vivo"/>
    <x v="0"/>
    <s v="11.2.01.0038"/>
    <s v="11.1.01.1241"/>
    <s v="SI"/>
    <d v="2024-11-16T00:00:00"/>
  </r>
  <r>
    <n v="24567259"/>
    <m/>
    <m/>
    <e v="#N/A"/>
    <m/>
    <m/>
    <m/>
    <m/>
    <m/>
    <d v="2025-08-18T00:00:00"/>
    <s v="H"/>
    <x v="4"/>
    <s v="ANGUS NEGRO"/>
    <s v="1 años 3 meses"/>
    <s v="15-10-2024"/>
    <s v="Vivo"/>
    <x v="6"/>
    <s v="11.2.01.0053"/>
    <s v="11.1.01.1241"/>
    <s v="SI"/>
    <d v="2024-11-16T00:00:00"/>
  </r>
  <r>
    <n v="24567260"/>
    <m/>
    <m/>
    <e v="#N/A"/>
    <m/>
    <m/>
    <m/>
    <m/>
    <m/>
    <d v="2025-08-18T00:00:00"/>
    <s v="H"/>
    <x v="4"/>
    <s v="ANGUS NEGRO"/>
    <s v="1 años 3 meses"/>
    <s v="15-10-2024"/>
    <s v="Vivo"/>
    <x v="6"/>
    <s v="11.2.01.0053"/>
    <s v="11.1.01.1241"/>
    <s v="SI"/>
    <d v="2024-10-15T00:00:00"/>
  </r>
  <r>
    <n v="24567261"/>
    <m/>
    <m/>
    <e v="#N/A"/>
    <m/>
    <m/>
    <m/>
    <m/>
    <m/>
    <m/>
    <s v="H"/>
    <x v="4"/>
    <s v="ANGUS NEGRO"/>
    <s v="1 años 2 meses"/>
    <s v="05-11-2024"/>
    <s v="Vivo"/>
    <x v="6"/>
    <s v="11.2.01.0053"/>
    <s v="11.1.01.1241"/>
    <s v="SI"/>
    <d v="2024-11-16T00:00:00"/>
  </r>
  <r>
    <n v="24567262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1-16T00:00:00"/>
  </r>
  <r>
    <n v="24567264"/>
    <m/>
    <m/>
    <e v="#N/A"/>
    <m/>
    <m/>
    <m/>
    <m/>
    <m/>
    <d v="2025-08-18T00:00:00"/>
    <s v="H"/>
    <x v="4"/>
    <s v="ANGUS NEGRO"/>
    <s v="1 años 2 meses"/>
    <s v="30-10-2024"/>
    <s v="Vivo"/>
    <x v="6"/>
    <s v="11.2.01.0053"/>
    <s v="11.1.01.1241"/>
    <s v="SI"/>
    <d v="2024-10-30T00:00:00"/>
  </r>
  <r>
    <n v="24567265"/>
    <m/>
    <m/>
    <e v="#N/A"/>
    <m/>
    <m/>
    <m/>
    <m/>
    <m/>
    <d v="2025-06-05T00:00:00"/>
    <s v="H"/>
    <x v="4"/>
    <s v="ANGUS NEGRO"/>
    <s v="1 años 2 meses"/>
    <s v="30-10-2024"/>
    <s v="Vivo"/>
    <x v="0"/>
    <s v="11.2.01.0038"/>
    <s v="11.1.01.1241"/>
    <s v="SI"/>
    <d v="2024-11-16T00:00:00"/>
  </r>
  <r>
    <n v="24567267"/>
    <m/>
    <m/>
    <e v="#N/A"/>
    <m/>
    <m/>
    <m/>
    <m/>
    <m/>
    <d v="2025-08-18T00:00:00"/>
    <s v="H"/>
    <x v="4"/>
    <s v="ANGUS NEGRO"/>
    <s v="1 años 2 meses"/>
    <s v="30-10-2024"/>
    <s v="Vivo"/>
    <x v="6"/>
    <s v="11.2.01.0053"/>
    <s v="11.1.01.1241"/>
    <s v="SI"/>
    <d v="2024-10-30T00:00:00"/>
  </r>
  <r>
    <n v="24567276"/>
    <m/>
    <m/>
    <e v="#N/A"/>
    <m/>
    <m/>
    <m/>
    <m/>
    <m/>
    <d v="2025-08-18T00:00:00"/>
    <s v="H"/>
    <x v="4"/>
    <s v="ANGUS NEGRO"/>
    <s v="1 años 2 meses"/>
    <s v="15-11-2024"/>
    <s v="Vivo"/>
    <x v="6"/>
    <s v="11.2.01.0053"/>
    <s v="11.1.01.1241"/>
    <s v="SI"/>
    <d v="2024-11-15T00:00:00"/>
  </r>
  <r>
    <n v="24567281"/>
    <m/>
    <m/>
    <e v="#N/A"/>
    <m/>
    <m/>
    <m/>
    <m/>
    <m/>
    <m/>
    <s v="H"/>
    <x v="4"/>
    <s v="ANGUS NEGRO"/>
    <s v="1 años 2 meses"/>
    <s v="05-11-2024"/>
    <s v="Vivo"/>
    <x v="1"/>
    <s v="11.2.01.0053"/>
    <s v="11.1.01.1241"/>
    <s v="SI"/>
    <d v="2024-11-16T00:00:00"/>
  </r>
  <r>
    <n v="24567288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1-16T00:00:00"/>
  </r>
  <r>
    <n v="24567289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1-16T00:00:00"/>
  </r>
  <r>
    <n v="24567291"/>
    <m/>
    <m/>
    <e v="#N/A"/>
    <m/>
    <m/>
    <m/>
    <m/>
    <m/>
    <m/>
    <s v="M"/>
    <x v="5"/>
    <s v="ANGUS NEGRO"/>
    <s v="1 años 2 meses"/>
    <s v="05-11-2024"/>
    <s v="Vivo"/>
    <x v="0"/>
    <s v="Sin Movimiento"/>
    <s v="11.1.01.1241"/>
    <s v="SI"/>
    <d v="2024-11-16T00:00:00"/>
  </r>
  <r>
    <n v="24567293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1-05T00:00:00"/>
  </r>
  <r>
    <n v="24567294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1-16T00:00:00"/>
  </r>
  <r>
    <n v="24567300"/>
    <m/>
    <m/>
    <e v="#N/A"/>
    <m/>
    <m/>
    <m/>
    <m/>
    <m/>
    <m/>
    <s v="H"/>
    <x v="4"/>
    <s v="ANGUS NEGRO"/>
    <s v="1 años 3 meses"/>
    <s v="30-09-2024"/>
    <s v="Vivo"/>
    <x v="6"/>
    <s v="11.2.01.0053"/>
    <s v="11.1.01.1241"/>
    <s v="SI"/>
    <d v="2024-11-16T00:00:00"/>
  </r>
  <r>
    <n v="24567302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5-01-04T00:00:00"/>
  </r>
  <r>
    <n v="24567304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1-16T00:00:00"/>
  </r>
  <r>
    <n v="24567305"/>
    <m/>
    <m/>
    <e v="#N/A"/>
    <m/>
    <m/>
    <m/>
    <m/>
    <m/>
    <m/>
    <s v="H"/>
    <x v="4"/>
    <s v="ANGUS NEGRO"/>
    <s v="1 años 3 meses"/>
    <s v="05-10-2024"/>
    <s v="Vivo"/>
    <x v="6"/>
    <s v="11.2.01.0053"/>
    <s v="11.1.01.1241"/>
    <s v="SI"/>
    <d v="2024-11-16T00:00:00"/>
  </r>
  <r>
    <n v="24567342"/>
    <m/>
    <m/>
    <e v="#N/A"/>
    <m/>
    <m/>
    <m/>
    <m/>
    <m/>
    <d v="2025-06-07T00:00:00"/>
    <s v="H"/>
    <x v="4"/>
    <s v="ANGUS ROJO"/>
    <s v="1 años 4 meses"/>
    <s v="15-09-2024"/>
    <s v="Vivo"/>
    <x v="6"/>
    <s v="11.1.01.0893"/>
    <s v="11.1.01.0893"/>
    <s v="SI"/>
    <d v="2025-01-04T00:00:00"/>
  </r>
  <r>
    <n v="24567347"/>
    <m/>
    <m/>
    <e v="#N/A"/>
    <m/>
    <m/>
    <m/>
    <m/>
    <m/>
    <m/>
    <s v="H"/>
    <x v="4"/>
    <s v="ANGUS NEGRO"/>
    <s v="1 años 4 meses"/>
    <s v="15-09-2024"/>
    <s v="Vivo"/>
    <x v="2"/>
    <s v="11.1.01.0791"/>
    <s v="11.1.01.0893"/>
    <s v="SI"/>
    <d v="2025-01-04T00:00:00"/>
  </r>
  <r>
    <n v="24567386"/>
    <m/>
    <m/>
    <e v="#N/A"/>
    <m/>
    <m/>
    <m/>
    <m/>
    <m/>
    <m/>
    <s v="M"/>
    <x v="5"/>
    <s v="ANGUS NEGRO"/>
    <s v="1 años 8 meses"/>
    <s v="30-04-2024"/>
    <s v="Vivo"/>
    <x v="7"/>
    <s v="11.1.01.0190"/>
    <s v="11.1.01.1241"/>
    <s v="SI"/>
    <d v="2024-12-06T00:00:00"/>
  </r>
  <r>
    <n v="24567399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0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1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2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3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4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5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6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7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8"/>
    <m/>
    <m/>
    <e v="#N/A"/>
    <m/>
    <m/>
    <m/>
    <m/>
    <m/>
    <m/>
    <s v="H"/>
    <x v="4"/>
    <s v="ANGUS NEGRO"/>
    <s v="1 años 8 meses"/>
    <s v="30-04-2024"/>
    <s v="Vivo"/>
    <x v="7"/>
    <s v="11.1.01.0190"/>
    <s v="11.1.01.1241"/>
    <s v="SI"/>
    <d v="2024-12-06T00:00:00"/>
  </r>
  <r>
    <n v="24567409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2-10T00:00:00"/>
  </r>
  <r>
    <n v="24567410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1-05T00:00:00"/>
  </r>
  <r>
    <n v="24567411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1-05T00:00:00"/>
  </r>
  <r>
    <n v="24567412"/>
    <m/>
    <m/>
    <e v="#N/A"/>
    <m/>
    <m/>
    <m/>
    <m/>
    <m/>
    <d v="2025-08-18T00:00:00"/>
    <s v="H"/>
    <x v="4"/>
    <s v="ANGUS NEGRO"/>
    <s v="1 años 3 meses"/>
    <s v="05-10-2024"/>
    <s v="Vivo"/>
    <x v="6"/>
    <s v="11.2.01.0053"/>
    <s v="11.1.01.1241"/>
    <s v="SI"/>
    <d v="2024-10-05T00:00:00"/>
  </r>
  <r>
    <n v="24567413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2-21T00:00:00"/>
  </r>
  <r>
    <n v="24567414"/>
    <m/>
    <n v="24567143"/>
    <n v="24567143"/>
    <m/>
    <m/>
    <m/>
    <m/>
    <m/>
    <m/>
    <s v="H"/>
    <x v="4"/>
    <s v="ANGUS NEGRO"/>
    <s v="1 años 2 meses"/>
    <s v="15-11-2024"/>
    <s v="Vivo"/>
    <x v="6"/>
    <s v="11.2.01.0053"/>
    <s v="11.1.01.1241"/>
    <s v="SI"/>
    <e v="#N/A"/>
  </r>
  <r>
    <n v="24567415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2-21T00:00:00"/>
  </r>
  <r>
    <n v="24567416"/>
    <m/>
    <m/>
    <e v="#N/A"/>
    <m/>
    <m/>
    <m/>
    <m/>
    <m/>
    <d v="2025-08-18T00:00:00"/>
    <s v="H"/>
    <x v="4"/>
    <s v="ANGUS NEGRO"/>
    <s v="1 años 2 meses"/>
    <s v="05-11-2024"/>
    <s v="Vivo"/>
    <x v="6"/>
    <s v="11.2.01.0053"/>
    <s v="11.1.01.1241"/>
    <s v="SI"/>
    <d v="2024-12-21T00:00:00"/>
  </r>
  <r>
    <n v="24567417"/>
    <m/>
    <m/>
    <e v="#N/A"/>
    <m/>
    <m/>
    <m/>
    <m/>
    <m/>
    <m/>
    <s v="H"/>
    <x v="4"/>
    <s v="ANGUS NEGRO"/>
    <s v="1 años 2 meses"/>
    <s v="05-11-2024"/>
    <s v="Vivo"/>
    <x v="6"/>
    <s v="11.2.01.0053"/>
    <s v="11.1.01.1241"/>
    <s v="SI"/>
    <d v="2024-12-21T00:00:00"/>
  </r>
  <r>
    <n v="24567418"/>
    <m/>
    <m/>
    <e v="#N/A"/>
    <m/>
    <m/>
    <m/>
    <m/>
    <m/>
    <d v="2025-06-05T00:00:00"/>
    <s v="H"/>
    <x v="4"/>
    <s v="ANGUS NEGRO"/>
    <s v="1 años 2 meses"/>
    <s v="05-11-2024"/>
    <s v="Vivo"/>
    <x v="0"/>
    <s v="11.2.01.0038"/>
    <s v="11.1.01.1241"/>
    <s v="SI"/>
    <d v="2024-12-21T00:00:00"/>
  </r>
  <r>
    <n v="24567419"/>
    <m/>
    <m/>
    <e v="#N/A"/>
    <m/>
    <m/>
    <m/>
    <m/>
    <m/>
    <d v="2025-08-18T00:00:00"/>
    <s v="H"/>
    <x v="4"/>
    <s v="ANGUS NEGRO"/>
    <s v="1 años 3 meses"/>
    <s v="30-09-2024"/>
    <s v="Vivo"/>
    <x v="6"/>
    <s v="11.2.01.0053"/>
    <s v="11.1.01.1241"/>
    <s v="SI"/>
    <d v="2024-09-30T00:00:00"/>
  </r>
  <r>
    <n v="24567420"/>
    <m/>
    <m/>
    <e v="#N/A"/>
    <m/>
    <m/>
    <m/>
    <m/>
    <m/>
    <d v="2025-08-18T00:00:00"/>
    <s v="H"/>
    <x v="4"/>
    <s v="ANGUS ROJO"/>
    <s v="1 años 2 meses"/>
    <s v="05-11-2024"/>
    <s v="Vivo"/>
    <x v="6"/>
    <s v="11.2.01.0053"/>
    <s v="11.1.01.1241"/>
    <s v="SI"/>
    <d v="2024-12-21T00:00:00"/>
  </r>
  <r>
    <n v="24567421"/>
    <m/>
    <n v="24567181"/>
    <n v="24567181"/>
    <m/>
    <m/>
    <m/>
    <m/>
    <m/>
    <d v="2025-06-05T00:00:00"/>
    <s v="H"/>
    <x v="4"/>
    <s v="ANGUS NEGRO"/>
    <s v="1 años 4 meses"/>
    <s v="15-09-2024"/>
    <s v="Vivo"/>
    <x v="0"/>
    <s v="11.2.01.0038"/>
    <s v="11.1.01.1241"/>
    <s v="SI"/>
    <m/>
  </r>
  <r>
    <n v="24567432"/>
    <m/>
    <m/>
    <e v="#N/A"/>
    <m/>
    <m/>
    <m/>
    <m/>
    <m/>
    <m/>
    <s v="H"/>
    <x v="4"/>
    <s v="ANGUS ROJO"/>
    <s v="1 años 1 meses"/>
    <s v="30-11-2024"/>
    <s v="Vivo"/>
    <x v="6"/>
    <s v="11.1.01.0893"/>
    <s v="11.1.01.0893"/>
    <s v="SI"/>
    <d v="2024-12-28T00:00:00"/>
  </r>
  <r>
    <n v="24567443"/>
    <m/>
    <m/>
    <e v="#N/A"/>
    <m/>
    <m/>
    <m/>
    <m/>
    <m/>
    <m/>
    <s v="H"/>
    <x v="4"/>
    <s v="ANGUS NEGRO"/>
    <s v="1 años 1 meses"/>
    <s v="30-11-2024"/>
    <s v="Vivo"/>
    <x v="6"/>
    <s v="11.1.01.0893"/>
    <s v="11.1.01.0893"/>
    <s v="SI"/>
    <d v="2024-12-28T00:00:00"/>
  </r>
  <r>
    <n v="24567455"/>
    <m/>
    <m/>
    <e v="#N/A"/>
    <m/>
    <m/>
    <m/>
    <m/>
    <m/>
    <m/>
    <s v="H"/>
    <x v="4"/>
    <s v="ANGUS NEGRO"/>
    <s v="1 años 1 meses"/>
    <s v="30-11-2024"/>
    <s v="Vivo"/>
    <x v="6"/>
    <s v="11.1.01.0893"/>
    <s v="11.1.01.0893"/>
    <s v="SI"/>
    <d v="2025-01-04T00:00:00"/>
  </r>
  <r>
    <n v="24567455"/>
    <m/>
    <m/>
    <e v="#N/A"/>
    <m/>
    <m/>
    <m/>
    <m/>
    <m/>
    <m/>
    <s v="H"/>
    <x v="4"/>
    <s v="ANGUS NEGRO"/>
    <s v="1 años 1 meses"/>
    <s v="30-11-2024"/>
    <s v="Vivo"/>
    <x v="6"/>
    <s v="11.1.01.0893"/>
    <s v="11.1.01.0893"/>
    <s v="SI"/>
    <m/>
  </r>
  <r>
    <n v="24567458"/>
    <m/>
    <m/>
    <e v="#N/A"/>
    <m/>
    <m/>
    <m/>
    <m/>
    <m/>
    <m/>
    <s v="H"/>
    <x v="4"/>
    <s v="ANGUS NEGRO"/>
    <s v="1 años 1 meses"/>
    <s v="30-11-2024"/>
    <s v="Vivo"/>
    <x v="6"/>
    <s v="11.1.01.0893"/>
    <s v="11.1.01.0893"/>
    <s v="SI"/>
    <d v="2025-01-04T00:00:00"/>
  </r>
  <r>
    <n v="24567461"/>
    <m/>
    <m/>
    <e v="#N/A"/>
    <m/>
    <m/>
    <m/>
    <m/>
    <m/>
    <d v="2025-08-18T00:00:00"/>
    <s v="H"/>
    <x v="4"/>
    <s v="ANGUS NEGRO"/>
    <s v="1 años 1 meses"/>
    <s v="05-12-2024"/>
    <s v="Vivo"/>
    <x v="6"/>
    <s v="11.2.01.0053"/>
    <s v="11.1.01.1241"/>
    <s v="SI"/>
    <d v="2025-01-14T00:00:00"/>
  </r>
  <r>
    <n v="24567464"/>
    <m/>
    <m/>
    <e v="#N/A"/>
    <m/>
    <m/>
    <m/>
    <m/>
    <m/>
    <d v="2025-08-18T00:00:00"/>
    <s v="H"/>
    <x v="4"/>
    <s v="ANGUS NEGRO"/>
    <s v="1 años 1 meses"/>
    <s v="05-12-2024"/>
    <s v="Vivo"/>
    <x v="6"/>
    <s v="11.2.01.0053"/>
    <s v="11.1.01.1241"/>
    <s v="SI"/>
    <d v="2025-01-14T00:00:00"/>
  </r>
  <r>
    <n v="24567465"/>
    <m/>
    <m/>
    <e v="#N/A"/>
    <m/>
    <m/>
    <m/>
    <m/>
    <m/>
    <m/>
    <s v="H"/>
    <x v="4"/>
    <s v="ANGUS NEGRO"/>
    <s v="1 años 1 meses"/>
    <s v="05-12-2024"/>
    <s v="Vivo"/>
    <x v="6"/>
    <s v="11.2.01.0053"/>
    <s v="11.1.01.1241"/>
    <s v="SI"/>
    <d v="2025-01-14T00:00:00"/>
  </r>
  <r>
    <n v="24567467"/>
    <m/>
    <m/>
    <e v="#N/A"/>
    <m/>
    <m/>
    <m/>
    <m/>
    <m/>
    <d v="2025-08-18T00:00:00"/>
    <s v="H"/>
    <x v="4"/>
    <s v="ANGUS NEGRO"/>
    <s v="1 años 1 meses"/>
    <s v="05-12-2024"/>
    <s v="Vivo"/>
    <x v="6"/>
    <s v="11.2.01.0053"/>
    <s v="11.1.01.1241"/>
    <s v="SI"/>
    <d v="2025-01-14T00:00:00"/>
  </r>
  <r>
    <n v="24567469"/>
    <m/>
    <m/>
    <e v="#N/A"/>
    <m/>
    <m/>
    <m/>
    <m/>
    <m/>
    <m/>
    <s v="H"/>
    <x v="4"/>
    <s v="ANGUS ROJO"/>
    <s v="1 años 1 meses"/>
    <s v="05-12-2024"/>
    <s v="Vivo"/>
    <x v="6"/>
    <s v="11.2.01.0053"/>
    <s v="11.1.01.1241"/>
    <s v="SI"/>
    <d v="2025-01-14T00:00:00"/>
  </r>
  <r>
    <n v="24567471"/>
    <m/>
    <m/>
    <e v="#N/A"/>
    <m/>
    <m/>
    <m/>
    <m/>
    <m/>
    <d v="2025-08-18T00:00:00"/>
    <s v="H"/>
    <x v="4"/>
    <s v="ANGUS ROJO"/>
    <s v="1 años 1 meses"/>
    <s v="05-12-2024"/>
    <s v="Vivo"/>
    <x v="6"/>
    <s v="11.2.01.0053"/>
    <s v="11.1.01.1241"/>
    <s v="SI"/>
    <d v="2025-01-14T00:00:00"/>
  </r>
  <r>
    <n v="24567472"/>
    <m/>
    <m/>
    <e v="#N/A"/>
    <m/>
    <m/>
    <m/>
    <m/>
    <m/>
    <d v="2025-08-18T00:00:00"/>
    <s v="H"/>
    <x v="4"/>
    <s v="ANGUS ROJO"/>
    <s v="1 años 1 meses"/>
    <s v="05-12-2024"/>
    <s v="Vivo"/>
    <x v="6"/>
    <s v="11.2.01.0053"/>
    <s v="11.1.01.1241"/>
    <s v="SI"/>
    <d v="2025-01-14T00:00:00"/>
  </r>
  <r>
    <n v="24567474"/>
    <m/>
    <m/>
    <e v="#N/A"/>
    <m/>
    <m/>
    <m/>
    <m/>
    <m/>
    <m/>
    <s v="M"/>
    <x v="5"/>
    <s v="ANGUS NEGRO"/>
    <s v="1 años 2 meses"/>
    <s v="05-11-2024"/>
    <s v="Vivo"/>
    <x v="7"/>
    <s v="11.1.01.0190"/>
    <s v="11.1.01.1241"/>
    <s v="SI"/>
    <d v="2025-01-14T00:00:00"/>
  </r>
  <r>
    <n v="24567475"/>
    <m/>
    <m/>
    <e v="#N/A"/>
    <m/>
    <m/>
    <m/>
    <m/>
    <m/>
    <d v="2025-08-18T00:00:00"/>
    <s v="H"/>
    <x v="4"/>
    <s v="ANGUS NEGRO"/>
    <s v="1 años 1 meses"/>
    <s v="30-11-2024"/>
    <s v="Vivo"/>
    <x v="6"/>
    <s v="11.2.01.0053"/>
    <s v="11.1.01.1241"/>
    <s v="SI"/>
    <d v="2025-01-14T00:00:00"/>
  </r>
  <r>
    <n v="24567477"/>
    <m/>
    <m/>
    <e v="#N/A"/>
    <m/>
    <m/>
    <m/>
    <m/>
    <m/>
    <m/>
    <s v="H"/>
    <x v="4"/>
    <s v="ANGUS NEGRO"/>
    <s v="1 años 0 meses"/>
    <s v="18-12-2024"/>
    <s v="Vivo"/>
    <x v="0"/>
    <s v="Sin Movimiento"/>
    <s v="11.1.01.1241"/>
    <s v="SI"/>
    <d v="2025-01-14T00:00:00"/>
  </r>
  <r>
    <n v="24567479"/>
    <m/>
    <m/>
    <e v="#N/A"/>
    <m/>
    <m/>
    <m/>
    <m/>
    <m/>
    <m/>
    <s v="H"/>
    <x v="4"/>
    <s v="ANGUS NEGRO"/>
    <s v="1 años 1 meses"/>
    <s v="30-11-2024"/>
    <s v="Vivo"/>
    <x v="7"/>
    <s v="11.1.01.0190"/>
    <s v="11.1.01.1241"/>
    <s v="SI"/>
    <d v="2025-01-14T00:00:00"/>
  </r>
  <r>
    <n v="24567481"/>
    <m/>
    <m/>
    <e v="#N/A"/>
    <m/>
    <m/>
    <m/>
    <m/>
    <m/>
    <m/>
    <s v="H"/>
    <x v="4"/>
    <s v="ANGUS NEGRO"/>
    <s v="1 años 1 meses"/>
    <s v="30-11-2024"/>
    <s v="Vivo"/>
    <x v="6"/>
    <s v="11.2.01.0053"/>
    <s v="11.1.01.1241"/>
    <s v="SI"/>
    <d v="2025-01-14T00:00:00"/>
  </r>
  <r>
    <n v="24567486"/>
    <m/>
    <m/>
    <e v="#N/A"/>
    <m/>
    <m/>
    <m/>
    <m/>
    <m/>
    <d v="2025-08-18T00:00:00"/>
    <s v="H"/>
    <x v="4"/>
    <s v="ANGUS NEGRO"/>
    <s v="1 años 1 meses"/>
    <s v="05-12-2024"/>
    <s v="Vivo"/>
    <x v="6"/>
    <s v="11.2.01.0053"/>
    <s v="11.1.01.1241"/>
    <s v="SI"/>
    <d v="2025-01-14T00:00:00"/>
  </r>
  <r>
    <n v="24567490"/>
    <m/>
    <m/>
    <e v="#N/A"/>
    <m/>
    <m/>
    <m/>
    <m/>
    <m/>
    <d v="2025-08-18T00:00:00"/>
    <s v="H"/>
    <x v="4"/>
    <s v="ANGUS NEGRO"/>
    <s v="1 años 1 meses"/>
    <s v="05-12-2024"/>
    <s v="Vivo"/>
    <x v="6"/>
    <s v="11.2.01.0053"/>
    <s v="11.1.01.1241"/>
    <s v="SI"/>
    <d v="2025-01-14T00:00:00"/>
  </r>
  <r>
    <n v="24567495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496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00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02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04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07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08"/>
    <m/>
    <m/>
    <e v="#N/A"/>
    <m/>
    <m/>
    <m/>
    <m/>
    <m/>
    <d v="2025-06-07T00:00:00"/>
    <s v="no existe"/>
    <x v="3"/>
    <s v="no existe"/>
    <s v="no existe"/>
    <s v="no existe"/>
    <s v="no existe"/>
    <x v="5"/>
    <s v="no existe"/>
    <s v="no existe"/>
    <s v="no existe"/>
    <d v="2025-01-17T00:00:00"/>
  </r>
  <r>
    <n v="24567509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10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11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14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16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18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21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23"/>
    <m/>
    <m/>
    <e v="#N/A"/>
    <m/>
    <m/>
    <m/>
    <m/>
    <m/>
    <d v="2025-06-07T00:00:00"/>
    <s v="H"/>
    <x v="4"/>
    <s v="ANGUS ROJO"/>
    <s v="1 años 4 meses"/>
    <s v="15-09-2024"/>
    <s v="Vivo"/>
    <x v="6"/>
    <s v="11.1.01.0893"/>
    <s v="11.1.01.0893"/>
    <s v="SI"/>
    <d v="2025-01-17T00:00:00"/>
  </r>
  <r>
    <n v="24567524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25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26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28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29"/>
    <m/>
    <m/>
    <e v="#N/A"/>
    <m/>
    <m/>
    <m/>
    <m/>
    <m/>
    <d v="2025-06-07T00:00:00"/>
    <s v="H"/>
    <x v="4"/>
    <s v="ANGUS ROJO"/>
    <s v="1 años 4 meses"/>
    <s v="15-09-2024"/>
    <s v="Vivo"/>
    <x v="6"/>
    <s v="11.1.01.0893"/>
    <s v="11.1.01.0893"/>
    <s v="SI"/>
    <d v="2025-01-17T00:00:00"/>
  </r>
  <r>
    <n v="24567531"/>
    <m/>
    <m/>
    <e v="#N/A"/>
    <m/>
    <m/>
    <m/>
    <m/>
    <m/>
    <d v="2025-06-07T00:00:00"/>
    <s v="H"/>
    <x v="4"/>
    <s v="ANGUS ROJO"/>
    <s v="1 años 4 meses"/>
    <s v="15-09-2024"/>
    <s v="Vivo"/>
    <x v="6"/>
    <s v="11.1.01.0893"/>
    <s v="11.1.01.0893"/>
    <s v="SI"/>
    <d v="2025-01-17T00:00:00"/>
  </r>
  <r>
    <n v="24567532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33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36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39"/>
    <m/>
    <m/>
    <e v="#N/A"/>
    <m/>
    <m/>
    <m/>
    <m/>
    <m/>
    <d v="2025-06-07T00:00:00"/>
    <s v="H"/>
    <x v="4"/>
    <s v="LIMOUSIN"/>
    <s v="1 años 4 meses"/>
    <s v="15-09-2024"/>
    <s v="Vivo"/>
    <x v="2"/>
    <s v="Sin Movimiento"/>
    <s v="11.1.01.0893"/>
    <s v="SI"/>
    <d v="2025-01-17T00:00:00"/>
  </r>
  <r>
    <n v="24567541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42"/>
    <m/>
    <m/>
    <e v="#N/A"/>
    <m/>
    <m/>
    <m/>
    <m/>
    <m/>
    <d v="2025-06-07T00:00:00"/>
    <s v="H"/>
    <x v="4"/>
    <s v="ANGUS NEGRO"/>
    <s v="1 años 4 meses"/>
    <s v="15-09-2024"/>
    <s v="Vivo"/>
    <x v="0"/>
    <s v="11.1.01.0893"/>
    <s v="11.1.01.0893"/>
    <s v="SI"/>
    <d v="2025-01-17T00:00:00"/>
  </r>
  <r>
    <n v="24567543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45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51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53"/>
    <m/>
    <m/>
    <e v="#N/A"/>
    <m/>
    <m/>
    <m/>
    <m/>
    <m/>
    <d v="2025-06-07T00:00:00"/>
    <s v="H"/>
    <x v="4"/>
    <s v="ANGUS NEGRO"/>
    <s v="1 años 4 meses"/>
    <s v="15-09-2024"/>
    <s v="Vivo"/>
    <x v="0"/>
    <s v="11.1.01.0893"/>
    <s v="11.1.01.0893"/>
    <s v="SI"/>
    <d v="2025-01-17T00:00:00"/>
  </r>
  <r>
    <n v="24567555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56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57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62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63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65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66"/>
    <m/>
    <m/>
    <e v="#N/A"/>
    <m/>
    <m/>
    <m/>
    <m/>
    <m/>
    <d v="2025-06-07T00:00:00"/>
    <s v="M"/>
    <x v="5"/>
    <s v="ANGUS NEGRO"/>
    <s v="1 años 4 meses"/>
    <s v="15-09-2024"/>
    <s v="Vivo"/>
    <x v="6"/>
    <s v="11.1.01.0893"/>
    <s v="11.1.01.0893"/>
    <s v="SI"/>
    <d v="2025-01-17T00:00:00"/>
  </r>
  <r>
    <n v="24567569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71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73"/>
    <m/>
    <m/>
    <e v="#N/A"/>
    <m/>
    <m/>
    <m/>
    <m/>
    <m/>
    <d v="2025-06-07T00:00:00"/>
    <s v="M"/>
    <x v="5"/>
    <s v="ANGUS NEGRO"/>
    <s v="1 años 4 meses"/>
    <s v="15-09-2024"/>
    <s v="Vivo"/>
    <x v="6"/>
    <s v="11.1.01.0893"/>
    <s v="11.1.01.0893"/>
    <s v="SI"/>
    <d v="2025-01-17T00:00:00"/>
  </r>
  <r>
    <n v="24567575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76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77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81"/>
    <m/>
    <m/>
    <e v="#N/A"/>
    <m/>
    <m/>
    <m/>
    <m/>
    <m/>
    <d v="2025-06-07T00:00:00"/>
    <s v="H"/>
    <x v="4"/>
    <s v="ANGUS NEGRO"/>
    <s v="1 años 4 meses"/>
    <s v="15-09-2024"/>
    <s v="Vivo"/>
    <x v="6"/>
    <s v="11.1.01.0893"/>
    <s v="11.1.01.0893"/>
    <s v="SI"/>
    <d v="2025-01-17T00:00:00"/>
  </r>
  <r>
    <n v="24567592"/>
    <m/>
    <m/>
    <e v="#N/A"/>
    <m/>
    <m/>
    <m/>
    <m/>
    <m/>
    <m/>
    <s v="M"/>
    <x v="7"/>
    <s v="ANGUS ROJO"/>
    <s v="0 años 11 meses"/>
    <s v="30-01-2025"/>
    <s v="Vivo"/>
    <x v="0"/>
    <s v="Sin Movimiento"/>
    <s v="11.1.01.1241"/>
    <s v="SI"/>
    <d v="2025-04-27T00:00:00"/>
  </r>
  <r>
    <n v="24567593"/>
    <m/>
    <m/>
    <e v="#N/A"/>
    <m/>
    <m/>
    <m/>
    <m/>
    <m/>
    <m/>
    <s v="H"/>
    <x v="8"/>
    <s v="ANGUS ROJO"/>
    <s v="0 años 9 meses"/>
    <s v="30-03-2025"/>
    <s v="Vivo"/>
    <x v="7"/>
    <s v="11.1.01.0190"/>
    <s v="11.1.01.1241"/>
    <s v="SI"/>
    <d v="2025-04-27T00:00:00"/>
  </r>
  <r>
    <n v="24567594"/>
    <m/>
    <m/>
    <e v="#N/A"/>
    <m/>
    <m/>
    <m/>
    <m/>
    <m/>
    <m/>
    <s v="H"/>
    <x v="4"/>
    <s v="ANGUS NEGRO"/>
    <s v="1 años 1 meses"/>
    <s v="30-11-2024"/>
    <s v="Vivo"/>
    <x v="0"/>
    <s v="Sin Movimiento"/>
    <s v="11.1.01.1241"/>
    <s v="SI"/>
    <d v="2025-04-27T00:00:00"/>
  </r>
  <r>
    <n v="24567595"/>
    <m/>
    <m/>
    <e v="#N/A"/>
    <m/>
    <m/>
    <m/>
    <m/>
    <m/>
    <m/>
    <s v="H"/>
    <x v="8"/>
    <s v="ANGUS NEGRO"/>
    <s v="0 años 9 meses"/>
    <s v="11-04-2025"/>
    <s v="Vivo"/>
    <x v="7"/>
    <s v="11.1.01.0190"/>
    <s v="11.1.01.1241"/>
    <s v="SI"/>
    <d v="2025-04-27T00:00:00"/>
  </r>
  <r>
    <n v="24567596"/>
    <m/>
    <m/>
    <e v="#N/A"/>
    <m/>
    <m/>
    <m/>
    <m/>
    <m/>
    <m/>
    <s v="H"/>
    <x v="8"/>
    <s v="ANGUS NEGRO"/>
    <s v="0 años 9 meses"/>
    <s v="11-04-2025"/>
    <s v="Vivo"/>
    <x v="7"/>
    <s v="11.1.01.0190"/>
    <s v="11.1.01.1241"/>
    <s v="SI"/>
    <d v="2025-04-27T00:00:00"/>
  </r>
  <r>
    <n v="24567597"/>
    <m/>
    <m/>
    <e v="#N/A"/>
    <m/>
    <m/>
    <m/>
    <m/>
    <m/>
    <m/>
    <s v="M"/>
    <x v="7"/>
    <s v="HEREFORD"/>
    <s v="0 años 9 meses"/>
    <s v="31-03-2025"/>
    <s v="Vivo"/>
    <x v="6"/>
    <s v="11.1.01.1241"/>
    <s v="11.1.01.1241"/>
    <s v="SI"/>
    <d v="2025-04-27T00:00:00"/>
  </r>
  <r>
    <n v="24567598"/>
    <m/>
    <m/>
    <e v="#N/A"/>
    <m/>
    <m/>
    <m/>
    <m/>
    <m/>
    <m/>
    <s v="H"/>
    <x v="8"/>
    <s v="ANGUS ROJO"/>
    <s v="0 años 10 meses"/>
    <s v="11-03-2025"/>
    <s v="Vivo"/>
    <x v="0"/>
    <s v="Sin Movimiento"/>
    <s v="11.1.01.1241"/>
    <s v="SI"/>
    <d v="2025-04-27T00:00:00"/>
  </r>
  <r>
    <n v="24567599"/>
    <m/>
    <m/>
    <e v="#N/A"/>
    <m/>
    <m/>
    <m/>
    <m/>
    <m/>
    <m/>
    <s v="H"/>
    <x v="8"/>
    <s v="ANGUS ROJO"/>
    <s v="0 años 10 meses"/>
    <s v="11-03-2025"/>
    <s v="Vivo"/>
    <x v="0"/>
    <s v="Sin Movimiento"/>
    <s v="11.1.01.1241"/>
    <s v="SI"/>
    <d v="2025-04-27T00:00:00"/>
  </r>
  <r>
    <n v="24567600"/>
    <m/>
    <m/>
    <e v="#N/A"/>
    <m/>
    <m/>
    <m/>
    <m/>
    <m/>
    <m/>
    <s v="H"/>
    <x v="4"/>
    <s v="ANGUS NEGRO"/>
    <s v="1 años 1 meses"/>
    <s v="30-11-2024"/>
    <s v="Vivo"/>
    <x v="6"/>
    <s v="11.2.01.0053"/>
    <s v="11.1.01.1241"/>
    <s v="SI"/>
    <d v="2025-04-27T00:00:00"/>
  </r>
  <r>
    <n v="24567601"/>
    <m/>
    <m/>
    <e v="#N/A"/>
    <m/>
    <m/>
    <m/>
    <m/>
    <m/>
    <d v="2025-08-18T00:00:00"/>
    <s v="H"/>
    <x v="4"/>
    <s v="ANGUS NEGRO"/>
    <s v="1 años 2 meses"/>
    <s v="30-10-2024"/>
    <s v="Vivo"/>
    <x v="6"/>
    <s v="11.2.01.0053"/>
    <s v="11.1.01.1241"/>
    <s v="SI"/>
    <d v="2025-04-27T00:00:00"/>
  </r>
  <r>
    <n v="24567602"/>
    <m/>
    <m/>
    <e v="#N/A"/>
    <m/>
    <m/>
    <m/>
    <m/>
    <m/>
    <m/>
    <s v="H"/>
    <x v="4"/>
    <s v="ANGUS NEGRO"/>
    <s v="1 años 0 meses"/>
    <s v="31-12-2024"/>
    <s v="Vivo"/>
    <x v="0"/>
    <s v="Sin Movimiento"/>
    <s v="11.1.01.1241"/>
    <s v="SI"/>
    <d v="2025-04-27T00:00:00"/>
  </r>
  <r>
    <n v="24567603"/>
    <m/>
    <m/>
    <e v="#N/A"/>
    <m/>
    <m/>
    <m/>
    <m/>
    <m/>
    <m/>
    <s v="H"/>
    <x v="4"/>
    <s v="ANGUS NEGRO"/>
    <s v="1 años 0 meses"/>
    <s v="31-12-2024"/>
    <s v="Vivo"/>
    <x v="7"/>
    <s v="11.1.01.0190"/>
    <s v="11.1.01.1241"/>
    <s v="SI"/>
    <d v="2025-04-27T00:00:00"/>
  </r>
  <r>
    <n v="24567604"/>
    <m/>
    <m/>
    <e v="#N/A"/>
    <m/>
    <m/>
    <m/>
    <m/>
    <m/>
    <m/>
    <s v="H"/>
    <x v="4"/>
    <s v="ANGUS NEGRO"/>
    <s v="1 años 0 meses"/>
    <s v="31-12-2024"/>
    <s v="Vivo"/>
    <x v="0"/>
    <s v="Sin Movimiento"/>
    <s v="11.1.01.1241"/>
    <s v="SI"/>
    <d v="2025-04-27T00:00:00"/>
  </r>
  <r>
    <n v="24567607"/>
    <m/>
    <n v="16705238"/>
    <n v="16705238"/>
    <m/>
    <m/>
    <m/>
    <m/>
    <m/>
    <d v="2025-11-04T00:00:00"/>
    <s v="H"/>
    <x v="1"/>
    <s v="ANGUS NEGRO"/>
    <s v="6 años 4 meses"/>
    <s v="15-09-2019"/>
    <s v="Vivo"/>
    <x v="7"/>
    <s v="11.1.01.0190"/>
    <s v="11.1.01.1241"/>
    <s v="SI"/>
    <e v="#N/A"/>
  </r>
  <r>
    <n v="24567609"/>
    <m/>
    <n v="24567049"/>
    <n v="24567049"/>
    <m/>
    <m/>
    <m/>
    <m/>
    <m/>
    <d v="2025-08-18T00:00:00"/>
    <s v="H"/>
    <x v="4"/>
    <s v="ANGUS ROJO"/>
    <s v="1 años 4 meses"/>
    <s v="15-09-2024"/>
    <s v="Vivo"/>
    <x v="6"/>
    <s v="11.2.01.0053"/>
    <s v="11.1.01.1241"/>
    <s v="SI"/>
    <m/>
  </r>
  <r>
    <n v="26126980"/>
    <m/>
    <n v="20910690"/>
    <e v="#N/A"/>
    <m/>
    <m/>
    <m/>
    <d v="2023-10-16T00:00:00"/>
    <m/>
    <m/>
    <s v="H"/>
    <x v="4"/>
    <s v="ANGUS NEGRO"/>
    <s v="2 años 3 meses"/>
    <s v="30-09-2023"/>
    <s v="Vivo"/>
    <x v="7"/>
    <s v="11.1.01.0190"/>
    <s v="11.1.01.1241"/>
    <s v="SI"/>
    <d v="2023-09-30T00:00:00"/>
  </r>
  <r>
    <n v="26126981"/>
    <n v="2636162"/>
    <n v="22350410"/>
    <n v="22350410"/>
    <m/>
    <m/>
    <m/>
    <d v="2023-12-04T00:00:00"/>
    <m/>
    <m/>
    <s v="M"/>
    <x v="2"/>
    <s v="ANGUS NEGRO"/>
    <s v="3 años 5 meses"/>
    <s v="22-07-2022"/>
    <s v="Vivo"/>
    <x v="7"/>
    <s v="11.1.01.0190"/>
    <s v="11.1.01.0893"/>
    <s v="SI"/>
    <d v="2022-07-22T00:00:00"/>
  </r>
  <r>
    <n v="26126982"/>
    <m/>
    <n v="8933598"/>
    <n v="8933598"/>
    <d v="2020-10-29T00:00:00"/>
    <m/>
    <d v="2022-12-17T00:00:00"/>
    <d v="2023-06-15T00:00:00"/>
    <d v="2024-10-12T00:00:00"/>
    <m/>
    <s v="H"/>
    <x v="1"/>
    <s v="ANGUS NEGRO"/>
    <s v="10 años 1 meses"/>
    <s v="30-11-2015"/>
    <s v="Vivo"/>
    <x v="7"/>
    <s v="11.1.01.0190"/>
    <s v="11.1.01.1241"/>
    <s v="SI"/>
    <d v="2015-11-30T00:00:00"/>
  </r>
  <r>
    <n v="26126983"/>
    <m/>
    <n v="23323333"/>
    <n v="23323333"/>
    <m/>
    <m/>
    <m/>
    <m/>
    <m/>
    <m/>
    <s v="H"/>
    <x v="4"/>
    <s v="ANGUS NEGRO"/>
    <s v="2 años 1 meses"/>
    <s v="30-11-2023"/>
    <s v="Vivo"/>
    <x v="7"/>
    <s v="11.1.01.0190"/>
    <s v="11.1.01.1241"/>
    <s v="SI"/>
    <d v="2023-11-30T00:00:00"/>
  </r>
  <r>
    <n v="26234001"/>
    <m/>
    <m/>
    <e v="#N/A"/>
    <m/>
    <m/>
    <m/>
    <m/>
    <m/>
    <m/>
    <s v="H"/>
    <x v="8"/>
    <s v="ANGUS NEGRO"/>
    <s v="0 años 3 meses"/>
    <s v="30-09-2025"/>
    <s v="Vivo"/>
    <x v="7"/>
    <s v="11.1.01.0190"/>
    <s v="11.1.01.1241"/>
    <s v="SI"/>
    <d v="2025-11-04T00:00:00"/>
  </r>
  <r>
    <n v="26234002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12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13"/>
    <m/>
    <m/>
    <e v="#N/A"/>
    <m/>
    <m/>
    <m/>
    <m/>
    <m/>
    <m/>
    <s v="H"/>
    <x v="8"/>
    <s v="ANGUS NEGRO"/>
    <s v="0 años 4 meses"/>
    <s v="30-08-2025"/>
    <s v="Vivo"/>
    <x v="7"/>
    <s v="11.1.01.0190"/>
    <s v="11.1.01.1241"/>
    <s v="SI"/>
    <d v="2025-11-04T00:00:00"/>
  </r>
  <r>
    <n v="26234014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15"/>
    <m/>
    <m/>
    <e v="#N/A"/>
    <m/>
    <m/>
    <m/>
    <m/>
    <m/>
    <m/>
    <s v="H"/>
    <x v="8"/>
    <s v="ANGUS NEGRO"/>
    <s v="0 años 4 meses"/>
    <s v="30-08-2025"/>
    <s v="Vivo"/>
    <x v="7"/>
    <s v="11.1.01.0190"/>
    <s v="11.1.01.1241"/>
    <s v="SI"/>
    <d v="2025-11-04T00:00:00"/>
  </r>
  <r>
    <n v="26234016"/>
    <m/>
    <m/>
    <e v="#N/A"/>
    <m/>
    <m/>
    <m/>
    <m/>
    <m/>
    <m/>
    <s v="H"/>
    <x v="8"/>
    <s v="HEREFORD"/>
    <s v="0 años 4 meses"/>
    <s v="30-08-2025"/>
    <s v="Vivo"/>
    <x v="7"/>
    <s v="11.1.01.0190"/>
    <s v="11.1.01.1241"/>
    <s v="SI"/>
    <d v="2025-11-04T00:00:00"/>
  </r>
  <r>
    <n v="26234019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21"/>
    <m/>
    <m/>
    <e v="#N/A"/>
    <m/>
    <m/>
    <m/>
    <m/>
    <m/>
    <m/>
    <s v="H"/>
    <x v="8"/>
    <s v="ANGUS NEGRO"/>
    <s v="0 años 4 meses"/>
    <s v="30-08-2025"/>
    <s v="Vivo"/>
    <x v="7"/>
    <s v="11.1.01.0190"/>
    <s v="11.1.01.1241"/>
    <s v="SI"/>
    <d v="2025-11-04T00:00:00"/>
  </r>
  <r>
    <n v="26234024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26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28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30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31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4T00:00:00"/>
  </r>
  <r>
    <n v="26234033"/>
    <m/>
    <m/>
    <e v="#N/A"/>
    <m/>
    <m/>
    <m/>
    <m/>
    <m/>
    <m/>
    <s v="M"/>
    <x v="7"/>
    <s v="HEREFORD"/>
    <s v="0 años 3 meses"/>
    <s v="05-10-2025"/>
    <s v="Vivo"/>
    <x v="0"/>
    <s v="Sin Movimiento"/>
    <s v="11.1.01.1241"/>
    <s v="SI"/>
    <d v="2025-11-05T00:00:00"/>
  </r>
  <r>
    <n v="26234034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35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37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39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40"/>
    <m/>
    <m/>
    <e v="#N/A"/>
    <m/>
    <m/>
    <m/>
    <m/>
    <m/>
    <m/>
    <s v="H"/>
    <x v="8"/>
    <s v="ANGUS ROJO"/>
    <s v="0 años 3 meses"/>
    <s v="05-10-2025"/>
    <s v="Vivo"/>
    <x v="7"/>
    <s v="11.1.01.0190"/>
    <s v="11.1.01.1241"/>
    <s v="SI"/>
    <d v="2025-11-05T00:00:00"/>
  </r>
  <r>
    <n v="26234041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42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46"/>
    <m/>
    <m/>
    <e v="#N/A"/>
    <m/>
    <m/>
    <m/>
    <m/>
    <m/>
    <m/>
    <s v="H"/>
    <x v="8"/>
    <s v="ANGUS ROJO"/>
    <s v="0 años 3 meses"/>
    <s v="05-10-2025"/>
    <s v="Vivo"/>
    <x v="7"/>
    <s v="11.1.01.0190"/>
    <s v="11.1.01.1241"/>
    <s v="SI"/>
    <d v="2025-11-05T00:00:00"/>
  </r>
  <r>
    <n v="26234047"/>
    <m/>
    <m/>
    <e v="#N/A"/>
    <m/>
    <m/>
    <m/>
    <m/>
    <m/>
    <m/>
    <s v="H"/>
    <x v="8"/>
    <s v="ANGUS NEGRO"/>
    <s v="0 años 3 meses"/>
    <s v="05-10-2025"/>
    <s v="Vivo"/>
    <x v="6"/>
    <s v="11.1.01.1241"/>
    <s v="11.1.01.1241"/>
    <s v="SI"/>
    <d v="2025-11-05T00:00:00"/>
  </r>
  <r>
    <n v="26234049"/>
    <m/>
    <m/>
    <e v="#N/A"/>
    <m/>
    <m/>
    <m/>
    <m/>
    <m/>
    <m/>
    <s v="H"/>
    <x v="8"/>
    <s v="ANGUS ROJO"/>
    <s v="0 años 3 meses"/>
    <s v="05-10-2025"/>
    <s v="Vivo"/>
    <x v="7"/>
    <s v="11.1.01.0190"/>
    <s v="11.1.01.1241"/>
    <s v="SI"/>
    <d v="2025-11-05T00:00:00"/>
  </r>
  <r>
    <n v="26234050"/>
    <m/>
    <m/>
    <e v="#N/A"/>
    <m/>
    <m/>
    <m/>
    <m/>
    <m/>
    <m/>
    <s v="H"/>
    <x v="8"/>
    <s v="ANGUS ROJO"/>
    <s v="0 años 3 meses"/>
    <s v="05-10-2025"/>
    <s v="Vivo"/>
    <x v="7"/>
    <s v="11.1.01.0190"/>
    <s v="11.1.01.1241"/>
    <s v="SI"/>
    <d v="2025-11-05T00:00:00"/>
  </r>
  <r>
    <n v="26234052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53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55"/>
    <m/>
    <m/>
    <e v="#N/A"/>
    <m/>
    <m/>
    <m/>
    <m/>
    <m/>
    <m/>
    <s v="M"/>
    <x v="7"/>
    <s v="ANGUS NEGRO"/>
    <s v="0 años 3 meses"/>
    <s v="05-10-2025"/>
    <s v="Vivo"/>
    <x v="7"/>
    <s v="11.1.01.0190"/>
    <s v="11.1.01.1241"/>
    <s v="SI"/>
    <d v="2025-11-05T00:00:00"/>
  </r>
  <r>
    <n v="26234056"/>
    <m/>
    <m/>
    <e v="#N/A"/>
    <m/>
    <m/>
    <m/>
    <m/>
    <m/>
    <m/>
    <s v="H"/>
    <x v="8"/>
    <s v="ANGUS ROJO"/>
    <s v="0 años 3 meses"/>
    <s v="05-10-2025"/>
    <s v="Vivo"/>
    <x v="7"/>
    <s v="11.1.01.0190"/>
    <s v="11.1.01.1241"/>
    <s v="SI"/>
    <d v="2025-11-05T00:00:00"/>
  </r>
  <r>
    <n v="26234057"/>
    <m/>
    <m/>
    <e v="#N/A"/>
    <m/>
    <m/>
    <m/>
    <m/>
    <m/>
    <m/>
    <s v="H"/>
    <x v="8"/>
    <s v="ANGUS ROJO"/>
    <s v="0 años 3 meses"/>
    <s v="05-10-2025"/>
    <s v="Vivo"/>
    <x v="7"/>
    <s v="11.1.01.0190"/>
    <s v="11.1.01.1241"/>
    <s v="SI"/>
    <d v="2025-11-05T00:00:00"/>
  </r>
  <r>
    <n v="26234061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62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64"/>
    <m/>
    <m/>
    <e v="#N/A"/>
    <m/>
    <m/>
    <m/>
    <m/>
    <m/>
    <m/>
    <s v="H"/>
    <x v="8"/>
    <s v="ANGUS ROJO"/>
    <s v="0 años 5 meses"/>
    <s v="04-08-2025"/>
    <s v="Vivo"/>
    <x v="7"/>
    <s v="11.1.01.0190"/>
    <s v="11.1.01.1241"/>
    <s v="SI"/>
    <d v="2025-11-05T00:00:00"/>
  </r>
  <r>
    <n v="26234065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67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68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70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71"/>
    <m/>
    <m/>
    <e v="#N/A"/>
    <m/>
    <m/>
    <m/>
    <m/>
    <m/>
    <m/>
    <s v="H"/>
    <x v="8"/>
    <s v="ANGUS NEGRO"/>
    <s v="0 años 6 meses"/>
    <s v="04-07-2025"/>
    <s v="Vivo"/>
    <x v="7"/>
    <s v="11.1.01.0190"/>
    <s v="11.1.01.1241"/>
    <s v="SI"/>
    <d v="2025-11-05T00:00:00"/>
  </r>
  <r>
    <n v="26234072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73"/>
    <m/>
    <m/>
    <e v="#N/A"/>
    <m/>
    <m/>
    <m/>
    <m/>
    <m/>
    <m/>
    <s v="H"/>
    <x v="8"/>
    <s v="ANGUS ROJO"/>
    <s v="0 años 3 meses"/>
    <s v="05-10-2025"/>
    <s v="Vivo"/>
    <x v="7"/>
    <s v="11.1.01.0190"/>
    <s v="11.1.01.1241"/>
    <s v="SI"/>
    <d v="2025-11-05T00:00:00"/>
  </r>
  <r>
    <n v="26234074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75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76"/>
    <m/>
    <m/>
    <e v="#N/A"/>
    <m/>
    <m/>
    <m/>
    <m/>
    <m/>
    <m/>
    <s v="H"/>
    <x v="8"/>
    <s v="ANGUS NEGRO"/>
    <s v="0 años 3 meses"/>
    <s v="04-10-2025"/>
    <s v="Vivo"/>
    <x v="7"/>
    <s v="11.1.01.0190"/>
    <s v="11.1.01.1241"/>
    <s v="SI"/>
    <d v="2025-11-05T00:00:00"/>
  </r>
  <r>
    <n v="26234077"/>
    <m/>
    <m/>
    <e v="#N/A"/>
    <m/>
    <m/>
    <m/>
    <m/>
    <m/>
    <m/>
    <s v="H"/>
    <x v="8"/>
    <s v="ANGUS NEGRO"/>
    <s v="0 años 6 meses"/>
    <s v="07-07-2025"/>
    <s v="Vivo"/>
    <x v="7"/>
    <s v="11.1.01.0190"/>
    <s v="11.1.01.1241"/>
    <s v="SI"/>
    <d v="2025-11-05T00:00:00"/>
  </r>
  <r>
    <n v="26234078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79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81"/>
    <m/>
    <m/>
    <e v="#N/A"/>
    <m/>
    <m/>
    <m/>
    <m/>
    <m/>
    <m/>
    <s v="H"/>
    <x v="8"/>
    <s v="ANGUS ROJO"/>
    <s v="0 años 3 meses"/>
    <s v="05-10-2025"/>
    <s v="Vivo"/>
    <x v="0"/>
    <s v="Sin Movimiento"/>
    <s v="11.1.01.1241"/>
    <s v="SI"/>
    <d v="2025-11-05T00:00:00"/>
  </r>
  <r>
    <n v="26234081"/>
    <m/>
    <m/>
    <e v="#N/A"/>
    <m/>
    <m/>
    <m/>
    <m/>
    <m/>
    <m/>
    <s v="H"/>
    <x v="8"/>
    <s v="ANGUS ROJO"/>
    <s v="0 años 3 meses"/>
    <s v="05-10-2025"/>
    <s v="Vivo"/>
    <x v="0"/>
    <s v="Sin Movimiento"/>
    <s v="11.1.01.1241"/>
    <s v="SI"/>
    <d v="2026-11-05T00:00:00"/>
  </r>
  <r>
    <n v="26234085"/>
    <m/>
    <m/>
    <e v="#N/A"/>
    <m/>
    <m/>
    <m/>
    <m/>
    <m/>
    <m/>
    <s v="H"/>
    <x v="8"/>
    <s v="ANGUS NEGRO"/>
    <s v="0 años 5 meses"/>
    <s v="30-07-2025"/>
    <s v="Vivo"/>
    <x v="7"/>
    <s v="11.1.01.0190"/>
    <s v="11.1.01.1241"/>
    <s v="SI"/>
    <d v="2025-11-05T00:00:00"/>
  </r>
  <r>
    <n v="26234087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91"/>
    <m/>
    <m/>
    <e v="#N/A"/>
    <m/>
    <m/>
    <m/>
    <m/>
    <m/>
    <m/>
    <s v="H"/>
    <x v="8"/>
    <s v="ANGUS ROJO"/>
    <s v="0 años 5 meses"/>
    <s v="30-07-2025"/>
    <s v="Vivo"/>
    <x v="7"/>
    <s v="11.1.01.0190"/>
    <s v="11.1.01.1241"/>
    <s v="SI"/>
    <d v="2025-11-05T00:00:00"/>
  </r>
  <r>
    <n v="26234092"/>
    <m/>
    <m/>
    <e v="#N/A"/>
    <m/>
    <m/>
    <m/>
    <m/>
    <m/>
    <m/>
    <s v="H"/>
    <x v="8"/>
    <s v="ANGUS NEGRO"/>
    <s v="0 años 3 meses"/>
    <s v="05-10-2025"/>
    <s v="Vivo"/>
    <x v="7"/>
    <s v="11.1.01.0190"/>
    <s v="11.1.01.1241"/>
    <s v="SI"/>
    <d v="2025-11-05T00:00:00"/>
  </r>
  <r>
    <n v="26234094"/>
    <m/>
    <m/>
    <e v="#N/A"/>
    <m/>
    <m/>
    <m/>
    <m/>
    <m/>
    <m/>
    <s v="H"/>
    <x v="8"/>
    <s v="ANGUS NEGRO"/>
    <s v="0 años 2 meses"/>
    <s v="20-10-2025"/>
    <s v="Vivo"/>
    <x v="7"/>
    <s v="11.1.01.0190"/>
    <s v="11.1.01.1241"/>
    <s v="SI"/>
    <d v="2025-11-05T00:00:00"/>
  </r>
  <r>
    <n v="26234151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3T00:00:00"/>
  </r>
  <r>
    <n v="26234152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53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54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55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56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3T00:00:00"/>
  </r>
  <r>
    <n v="26234157"/>
    <m/>
    <m/>
    <e v="#N/A"/>
    <m/>
    <m/>
    <m/>
    <m/>
    <m/>
    <m/>
    <s v="H"/>
    <x v="8"/>
    <s v="ANGUS ROJO"/>
    <s v="0 años 4 meses"/>
    <s v="09-09-2025"/>
    <s v="Vivo"/>
    <x v="4"/>
    <s v="11.1.01.0893"/>
    <s v="11.1.01.0893"/>
    <s v="SI"/>
    <d v="2025-11-23T00:00:00"/>
  </r>
  <r>
    <n v="26234158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3T00:00:00"/>
  </r>
  <r>
    <n v="26234159"/>
    <m/>
    <m/>
    <e v="#N/A"/>
    <m/>
    <m/>
    <m/>
    <m/>
    <m/>
    <m/>
    <s v="M"/>
    <x v="7"/>
    <s v="ANGUS NEGRO"/>
    <s v="0 años 3 meses"/>
    <s v="30-09-2025"/>
    <s v="Vivo"/>
    <x v="4"/>
    <s v="11.1.01.0893"/>
    <s v="11.1.01.0893"/>
    <s v="SI"/>
    <d v="2025-11-23T00:00:00"/>
  </r>
  <r>
    <n v="26234160"/>
    <m/>
    <m/>
    <e v="#N/A"/>
    <m/>
    <m/>
    <m/>
    <m/>
    <m/>
    <m/>
    <s v="H"/>
    <x v="8"/>
    <s v="ANGUS ROJO"/>
    <s v="0 años 3 meses"/>
    <s v="30-09-2025"/>
    <s v="Vivo"/>
    <x v="4"/>
    <s v="11.1.01.0893"/>
    <s v="11.1.01.0893"/>
    <s v="SI"/>
    <d v="2025-11-23T00:00:00"/>
  </r>
  <r>
    <n v="26234161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62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63"/>
    <m/>
    <m/>
    <e v="#N/A"/>
    <m/>
    <m/>
    <m/>
    <m/>
    <m/>
    <m/>
    <s v="H"/>
    <x v="8"/>
    <s v="ANGUS ROJO"/>
    <s v="0 años 3 meses"/>
    <s v="30-09-2025"/>
    <s v="Vivo"/>
    <x v="4"/>
    <s v="11.1.01.0893"/>
    <s v="11.1.01.0893"/>
    <s v="SI"/>
    <d v="2025-11-23T00:00:00"/>
  </r>
  <r>
    <n v="26234164"/>
    <m/>
    <m/>
    <e v="#N/A"/>
    <m/>
    <m/>
    <m/>
    <m/>
    <m/>
    <m/>
    <s v="H"/>
    <x v="8"/>
    <s v="ANGUS NEGRO"/>
    <s v="0 años 5 meses"/>
    <s v="30-07-2025"/>
    <s v="Vivo"/>
    <x v="4"/>
    <s v="11.1.01.0893"/>
    <s v="11.1.01.0893"/>
    <s v="SI"/>
    <d v="2025-11-23T00:00:00"/>
  </r>
  <r>
    <n v="26234165"/>
    <m/>
    <m/>
    <e v="#N/A"/>
    <m/>
    <m/>
    <m/>
    <m/>
    <m/>
    <m/>
    <s v="M"/>
    <x v="7"/>
    <s v="ANGUS NEGRO"/>
    <s v="0 años 2 meses"/>
    <s v="05-11-2025"/>
    <s v="Vivo"/>
    <x v="4"/>
    <s v="11.1.01.0893"/>
    <s v="11.1.01.0893"/>
    <s v="SI"/>
    <d v="2025-11-23T00:00:00"/>
  </r>
  <r>
    <n v="26234166"/>
    <m/>
    <m/>
    <e v="#N/A"/>
    <m/>
    <m/>
    <m/>
    <m/>
    <m/>
    <m/>
    <s v="M"/>
    <x v="7"/>
    <s v="ANGUS NEGRO"/>
    <s v="0 años 4 meses"/>
    <s v="05-09-2025"/>
    <s v="Vivo"/>
    <x v="4"/>
    <s v="11.1.01.0893"/>
    <s v="11.1.01.0893"/>
    <s v="SI"/>
    <d v="2025-11-23T00:00:00"/>
  </r>
  <r>
    <n v="26234167"/>
    <m/>
    <m/>
    <e v="#N/A"/>
    <m/>
    <m/>
    <m/>
    <m/>
    <m/>
    <m/>
    <s v="H"/>
    <x v="8"/>
    <s v="ANGUS NEGRO"/>
    <s v="0 años 3 meses"/>
    <s v="25-09-2025"/>
    <s v="Vivo"/>
    <x v="4"/>
    <s v="11.1.01.0893"/>
    <s v="11.1.01.0893"/>
    <s v="SI"/>
    <d v="2025-11-23T00:00:00"/>
  </r>
  <r>
    <n v="26234168"/>
    <m/>
    <m/>
    <e v="#N/A"/>
    <m/>
    <m/>
    <m/>
    <m/>
    <m/>
    <m/>
    <s v="H"/>
    <x v="8"/>
    <s v="ANGUS NEGRO"/>
    <s v="0 años 3 meses"/>
    <s v="25-09-2025"/>
    <s v="Vivo"/>
    <x v="4"/>
    <s v="11.1.01.0893"/>
    <s v="11.1.01.0893"/>
    <s v="SI"/>
    <d v="2025-11-23T00:00:00"/>
  </r>
  <r>
    <n v="26234169"/>
    <m/>
    <m/>
    <e v="#N/A"/>
    <m/>
    <m/>
    <m/>
    <m/>
    <m/>
    <m/>
    <s v="M"/>
    <x v="7"/>
    <s v="ANGUS NEGRO"/>
    <s v="0 años 3 meses"/>
    <s v="25-09-2025"/>
    <s v="Vivo"/>
    <x v="4"/>
    <s v="11.1.01.0893"/>
    <s v="11.1.01.0893"/>
    <s v="SI"/>
    <d v="2025-11-23T00:00:00"/>
  </r>
  <r>
    <n v="26234170"/>
    <m/>
    <m/>
    <e v="#N/A"/>
    <m/>
    <m/>
    <m/>
    <m/>
    <m/>
    <m/>
    <s v="M"/>
    <x v="7"/>
    <s v="ANGUS ROJO"/>
    <s v="0 años 4 meses"/>
    <s v="30-08-2025"/>
    <s v="Vivo"/>
    <x v="4"/>
    <s v="11.1.01.0893"/>
    <s v="11.1.01.0893"/>
    <s v="SI"/>
    <d v="2025-11-23T00:00:00"/>
  </r>
  <r>
    <n v="26234171"/>
    <m/>
    <m/>
    <e v="#N/A"/>
    <m/>
    <m/>
    <m/>
    <m/>
    <m/>
    <m/>
    <s v="M"/>
    <x v="7"/>
    <s v="ANGUS NEGRO"/>
    <s v="0 años 4 meses"/>
    <s v="30-08-2025"/>
    <s v="Vivo"/>
    <x v="4"/>
    <s v="11.1.01.0893"/>
    <s v="11.1.01.0893"/>
    <s v="SI"/>
    <d v="2025-11-23T00:00:00"/>
  </r>
  <r>
    <n v="26234172"/>
    <m/>
    <m/>
    <e v="#N/A"/>
    <m/>
    <m/>
    <m/>
    <m/>
    <m/>
    <m/>
    <s v="H"/>
    <x v="8"/>
    <s v="ANGUS ROJO"/>
    <s v="0 años 4 meses"/>
    <s v="30-08-2025"/>
    <s v="Vivo"/>
    <x v="4"/>
    <s v="11.1.01.0893"/>
    <s v="11.1.01.0893"/>
    <s v="SI"/>
    <d v="2025-11-23T00:00:00"/>
  </r>
  <r>
    <n v="26234173"/>
    <m/>
    <m/>
    <e v="#N/A"/>
    <m/>
    <m/>
    <m/>
    <m/>
    <m/>
    <m/>
    <s v="H"/>
    <x v="8"/>
    <s v="ANGUS NEGRO"/>
    <s v="0 años 4 meses"/>
    <s v="30-08-2025"/>
    <s v="Vivo"/>
    <x v="4"/>
    <s v="11.1.01.0893"/>
    <s v="11.1.01.0893"/>
    <s v="SI"/>
    <d v="2025-11-23T00:00:00"/>
  </r>
  <r>
    <n v="26234174"/>
    <m/>
    <m/>
    <e v="#N/A"/>
    <m/>
    <m/>
    <m/>
    <m/>
    <m/>
    <m/>
    <s v="M"/>
    <x v="7"/>
    <s v="ANGUS NEGRO"/>
    <s v="0 años 3 meses"/>
    <s v="30-09-2025"/>
    <s v="Vivo"/>
    <x v="4"/>
    <s v="11.1.01.0893"/>
    <s v="11.1.01.0893"/>
    <s v="SI"/>
    <d v="2025-11-23T00:00:00"/>
  </r>
  <r>
    <n v="26234175"/>
    <m/>
    <m/>
    <e v="#N/A"/>
    <m/>
    <m/>
    <m/>
    <m/>
    <m/>
    <m/>
    <s v="M"/>
    <x v="7"/>
    <s v="ANGUS NEGRO"/>
    <s v="0 años 6 meses"/>
    <s v="16-07-2025"/>
    <s v="Vivo"/>
    <x v="4"/>
    <s v="11.1.01.0893"/>
    <s v="11.1.01.0893"/>
    <s v="SI"/>
    <d v="2025-11-23T00:00:00"/>
  </r>
  <r>
    <n v="26234176"/>
    <m/>
    <m/>
    <e v="#N/A"/>
    <m/>
    <m/>
    <m/>
    <m/>
    <m/>
    <m/>
    <s v="H"/>
    <x v="8"/>
    <s v="ANGUS NEGRO"/>
    <s v="0 años 4 meses"/>
    <s v="30-08-2025"/>
    <s v="Vivo"/>
    <x v="4"/>
    <s v="11.1.01.0893"/>
    <s v="11.1.01.0893"/>
    <s v="SI"/>
    <d v="2025-11-23T00:00:00"/>
  </r>
  <r>
    <n v="26234177"/>
    <m/>
    <m/>
    <e v="#N/A"/>
    <m/>
    <m/>
    <m/>
    <m/>
    <m/>
    <m/>
    <s v="M"/>
    <x v="7"/>
    <s v="ANGUS NEGRO"/>
    <s v="0 años 5 meses"/>
    <s v="30-07-2025"/>
    <s v="Vivo"/>
    <x v="4"/>
    <s v="11.1.01.0893"/>
    <s v="11.1.01.0893"/>
    <s v="SI"/>
    <d v="2025-11-23T00:00:00"/>
  </r>
  <r>
    <n v="26234178"/>
    <m/>
    <m/>
    <e v="#N/A"/>
    <m/>
    <m/>
    <m/>
    <m/>
    <m/>
    <m/>
    <s v="H"/>
    <x v="8"/>
    <s v="ANGUS NEGRO"/>
    <s v="0 años 4 meses"/>
    <s v="05-09-2025"/>
    <s v="Vivo"/>
    <x v="4"/>
    <s v="11.1.01.0893"/>
    <s v="11.1.01.0893"/>
    <s v="SI"/>
    <d v="2025-11-23T00:00:00"/>
  </r>
  <r>
    <n v="26234179"/>
    <m/>
    <m/>
    <e v="#N/A"/>
    <m/>
    <m/>
    <m/>
    <m/>
    <m/>
    <m/>
    <s v="H"/>
    <x v="8"/>
    <s v="ANGUS NEGRO"/>
    <s v="0 años 4 meses"/>
    <s v="05-09-2025"/>
    <s v="Vivo"/>
    <x v="4"/>
    <s v="11.1.01.0893"/>
    <s v="11.1.01.0893"/>
    <s v="SI"/>
    <d v="2025-11-23T00:00:00"/>
  </r>
  <r>
    <n v="26234180"/>
    <m/>
    <m/>
    <e v="#N/A"/>
    <m/>
    <m/>
    <m/>
    <m/>
    <m/>
    <m/>
    <s v="M"/>
    <x v="7"/>
    <s v="ANGUS ROJO"/>
    <s v="0 años 4 meses"/>
    <s v="05-09-2025"/>
    <s v="Vivo"/>
    <x v="4"/>
    <s v="11.1.01.0893"/>
    <s v="11.1.01.0893"/>
    <s v="SI"/>
    <d v="2025-11-23T00:00:00"/>
  </r>
  <r>
    <n v="26234181"/>
    <m/>
    <m/>
    <e v="#N/A"/>
    <m/>
    <m/>
    <m/>
    <m/>
    <m/>
    <m/>
    <s v="M"/>
    <x v="7"/>
    <s v="ANGUS NEGRO"/>
    <s v="0 años 4 meses"/>
    <s v="05-09-2025"/>
    <s v="Vivo"/>
    <x v="4"/>
    <s v="11.1.01.0893"/>
    <s v="11.1.01.0893"/>
    <s v="SI"/>
    <d v="2025-11-23T00:00:00"/>
  </r>
  <r>
    <n v="26234182"/>
    <m/>
    <m/>
    <e v="#N/A"/>
    <m/>
    <m/>
    <m/>
    <m/>
    <m/>
    <m/>
    <s v="M"/>
    <x v="7"/>
    <s v="ANGUS NEGRO"/>
    <s v="0 años 5 meses"/>
    <s v="30-07-2025"/>
    <s v="Vivo"/>
    <x v="4"/>
    <s v="11.1.01.0893"/>
    <s v="11.1.01.0893"/>
    <s v="SI"/>
    <d v="2025-11-23T00:00:00"/>
  </r>
  <r>
    <n v="26234183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84"/>
    <m/>
    <m/>
    <e v="#N/A"/>
    <m/>
    <m/>
    <m/>
    <m/>
    <m/>
    <m/>
    <s v="M"/>
    <x v="7"/>
    <s v="ANGUS NEGRO"/>
    <s v="0 años 3 meses"/>
    <s v="05-10-2025"/>
    <s v="Vivo"/>
    <x v="4"/>
    <s v="11.1.01.0893"/>
    <s v="11.1.01.0893"/>
    <s v="SI"/>
    <d v="2025-11-23T00:00:00"/>
  </r>
  <r>
    <n v="26234185"/>
    <m/>
    <m/>
    <e v="#N/A"/>
    <m/>
    <m/>
    <m/>
    <m/>
    <m/>
    <m/>
    <s v="M"/>
    <x v="7"/>
    <s v="HEREFORD"/>
    <s v="0 años 3 meses"/>
    <s v="05-10-2025"/>
    <s v="Vivo"/>
    <x v="4"/>
    <s v="11.1.01.0893"/>
    <s v="11.1.01.0893"/>
    <s v="SI"/>
    <d v="2025-11-23T00:00:00"/>
  </r>
  <r>
    <n v="26234186"/>
    <m/>
    <m/>
    <e v="#N/A"/>
    <m/>
    <m/>
    <m/>
    <m/>
    <m/>
    <m/>
    <s v="M"/>
    <x v="7"/>
    <s v="ANGUS NEGRO"/>
    <s v="0 años 3 meses"/>
    <s v="05-10-2025"/>
    <s v="Vivo"/>
    <x v="4"/>
    <s v="11.1.01.0893"/>
    <s v="11.1.01.0893"/>
    <s v="SI"/>
    <d v="2025-11-23T00:00:00"/>
  </r>
  <r>
    <n v="26234187"/>
    <m/>
    <m/>
    <e v="#N/A"/>
    <m/>
    <m/>
    <m/>
    <m/>
    <m/>
    <m/>
    <s v="M"/>
    <x v="7"/>
    <s v="ANGUS NEGRO"/>
    <s v="0 años 3 meses"/>
    <s v="30-09-2025"/>
    <s v="Vivo"/>
    <x v="4"/>
    <s v="11.1.01.0893"/>
    <s v="11.1.01.0893"/>
    <s v="SI"/>
    <d v="2025-11-23T00:00:00"/>
  </r>
  <r>
    <n v="26234188"/>
    <m/>
    <m/>
    <e v="#N/A"/>
    <m/>
    <m/>
    <m/>
    <m/>
    <m/>
    <m/>
    <s v="M"/>
    <x v="7"/>
    <s v="ANGUS NEGRO"/>
    <s v="0 años 5 meses"/>
    <s v="30-07-2025"/>
    <s v="Vivo"/>
    <x v="4"/>
    <s v="11.1.01.0893"/>
    <s v="11.1.01.0893"/>
    <s v="SI"/>
    <d v="2025-11-23T00:00:00"/>
  </r>
  <r>
    <n v="26234189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3T00:00:00"/>
  </r>
  <r>
    <n v="26234190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91"/>
    <m/>
    <m/>
    <e v="#N/A"/>
    <m/>
    <m/>
    <m/>
    <m/>
    <m/>
    <m/>
    <s v="H"/>
    <x v="8"/>
    <s v="ANGUS ROJO"/>
    <s v="0 años 3 meses"/>
    <s v="30-09-2025"/>
    <s v="Vivo"/>
    <x v="4"/>
    <s v="11.1.01.0893"/>
    <s v="11.1.01.0893"/>
    <s v="SI"/>
    <d v="2025-11-23T00:00:00"/>
  </r>
  <r>
    <n v="26234192"/>
    <m/>
    <m/>
    <e v="#N/A"/>
    <m/>
    <m/>
    <m/>
    <m/>
    <m/>
    <m/>
    <s v="M"/>
    <x v="7"/>
    <s v="ANGUS NEGRO"/>
    <s v="0 años 3 meses"/>
    <s v="30-09-2025"/>
    <s v="Vivo"/>
    <x v="4"/>
    <s v="11.1.01.0893"/>
    <s v="11.1.01.0893"/>
    <s v="SI"/>
    <d v="2025-11-23T00:00:00"/>
  </r>
  <r>
    <n v="26234193"/>
    <m/>
    <m/>
    <e v="#N/A"/>
    <m/>
    <m/>
    <m/>
    <m/>
    <m/>
    <m/>
    <s v="M"/>
    <x v="7"/>
    <s v="ANGUS NEGRO"/>
    <s v="0 años 3 meses"/>
    <s v="30-09-2025"/>
    <s v="Vivo"/>
    <x v="4"/>
    <s v="11.1.01.0893"/>
    <s v="11.1.01.0893"/>
    <s v="SI"/>
    <d v="2025-11-23T00:00:00"/>
  </r>
  <r>
    <n v="26234194"/>
    <m/>
    <m/>
    <e v="#N/A"/>
    <m/>
    <m/>
    <m/>
    <m/>
    <m/>
    <m/>
    <s v="M"/>
    <x v="7"/>
    <s v="ANGUS NEGRO"/>
    <s v="0 años 3 meses"/>
    <s v="05-10-2025"/>
    <s v="Vivo"/>
    <x v="4"/>
    <s v="11.1.01.0893"/>
    <s v="11.1.01.0893"/>
    <s v="SI"/>
    <d v="2025-11-23T00:00:00"/>
  </r>
  <r>
    <n v="26234195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96"/>
    <m/>
    <m/>
    <e v="#N/A"/>
    <m/>
    <m/>
    <m/>
    <m/>
    <m/>
    <m/>
    <s v="M"/>
    <x v="7"/>
    <s v="ANGUS NEGRO"/>
    <s v="0 años 3 meses"/>
    <s v="30-09-2025"/>
    <s v="Vivo"/>
    <x v="4"/>
    <s v="11.1.01.0893"/>
    <s v="11.1.01.0893"/>
    <s v="SI"/>
    <d v="2025-11-23T00:00:00"/>
  </r>
  <r>
    <n v="26234197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98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199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200"/>
    <m/>
    <m/>
    <e v="#N/A"/>
    <m/>
    <m/>
    <m/>
    <m/>
    <m/>
    <m/>
    <s v="M"/>
    <x v="7"/>
    <s v="ANGUS NEGRO"/>
    <s v="0 años 2 meses"/>
    <s v="05-11-2025"/>
    <s v="Vivo"/>
    <x v="4"/>
    <s v="11.1.01.0893"/>
    <s v="11.1.01.0893"/>
    <s v="SI"/>
    <d v="2025-11-23T00:00:00"/>
  </r>
  <r>
    <n v="26234201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202"/>
    <m/>
    <m/>
    <e v="#N/A"/>
    <m/>
    <m/>
    <m/>
    <m/>
    <m/>
    <m/>
    <s v="M"/>
    <x v="7"/>
    <s v="ANGUS NEGRO"/>
    <s v="0 años 3 meses"/>
    <s v="30-09-2025"/>
    <s v="Vivo"/>
    <x v="4"/>
    <s v="11.1.01.0893"/>
    <s v="11.1.01.0893"/>
    <s v="SI"/>
    <d v="2025-11-23T00:00:00"/>
  </r>
  <r>
    <n v="26234203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204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3T00:00:00"/>
  </r>
  <r>
    <n v="26234205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3T00:00:00"/>
  </r>
  <r>
    <n v="26234206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3T00:00:00"/>
  </r>
  <r>
    <n v="26234207"/>
    <m/>
    <m/>
    <e v="#N/A"/>
    <m/>
    <m/>
    <m/>
    <m/>
    <m/>
    <m/>
    <s v="M"/>
    <x v="7"/>
    <s v="ANGUS NEGRO"/>
    <s v="0 años 3 meses"/>
    <s v="05-10-2025"/>
    <s v="Vivo"/>
    <x v="4"/>
    <s v="11.1.01.0893"/>
    <s v="11.1.01.0893"/>
    <s v="SI"/>
    <d v="2025-11-23T00:00:00"/>
  </r>
  <r>
    <n v="26234208"/>
    <m/>
    <m/>
    <e v="#N/A"/>
    <m/>
    <m/>
    <m/>
    <m/>
    <m/>
    <m/>
    <s v="M"/>
    <x v="7"/>
    <s v="ANGUS NEGRO"/>
    <s v="0 años 3 meses"/>
    <s v="05-10-2025"/>
    <s v="Vivo"/>
    <x v="4"/>
    <s v="11.1.01.0893"/>
    <s v="11.1.01.0893"/>
    <s v="SI"/>
    <d v="2025-11-23T00:00:00"/>
  </r>
  <r>
    <n v="26234209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3T00:00:00"/>
  </r>
  <r>
    <n v="26234210"/>
    <m/>
    <m/>
    <e v="#N/A"/>
    <m/>
    <m/>
    <m/>
    <m/>
    <m/>
    <m/>
    <s v="M"/>
    <x v="7"/>
    <s v="ANGUS ROJO"/>
    <s v="0 años 3 meses"/>
    <s v="30-09-2025"/>
    <s v="Vivo"/>
    <x v="4"/>
    <s v="11.1.01.0893"/>
    <s v="11.1.01.0893"/>
    <s v="SI"/>
    <d v="2025-11-23T00:00:00"/>
  </r>
  <r>
    <n v="26234211"/>
    <m/>
    <m/>
    <e v="#N/A"/>
    <m/>
    <m/>
    <m/>
    <m/>
    <m/>
    <m/>
    <s v="M"/>
    <x v="7"/>
    <s v="ANGUS NEGRO"/>
    <s v="0 años 3 meses"/>
    <s v="30-09-2025"/>
    <s v="Vivo"/>
    <x v="4"/>
    <s v="11.1.01.0893"/>
    <s v="11.1.01.0893"/>
    <s v="SI"/>
    <d v="2025-11-23T00:00:00"/>
  </r>
  <r>
    <n v="26234212"/>
    <m/>
    <m/>
    <e v="#N/A"/>
    <m/>
    <m/>
    <m/>
    <m/>
    <m/>
    <m/>
    <s v="H"/>
    <x v="8"/>
    <s v="ANGUS NEGRO"/>
    <s v="0 años 3 meses"/>
    <s v="30-09-2025"/>
    <s v="Vivo"/>
    <x v="4"/>
    <s v="11.1.01.0893"/>
    <s v="11.1.01.0893"/>
    <s v="SI"/>
    <d v="2025-11-23T00:00:00"/>
  </r>
  <r>
    <n v="26234213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3T00:00:00"/>
  </r>
  <r>
    <n v="26234214"/>
    <m/>
    <m/>
    <e v="#N/A"/>
    <m/>
    <m/>
    <m/>
    <m/>
    <m/>
    <m/>
    <s v="M"/>
    <x v="7"/>
    <s v="ANGUS ROJO"/>
    <s v="0 años 3 meses"/>
    <s v="05-10-2025"/>
    <s v="Vivo"/>
    <x v="4"/>
    <s v="11.1.01.0893"/>
    <s v="11.1.01.0893"/>
    <s v="SI"/>
    <d v="2025-11-23T00:00:00"/>
  </r>
  <r>
    <n v="26234215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16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17"/>
    <m/>
    <m/>
    <e v="#N/A"/>
    <m/>
    <m/>
    <m/>
    <m/>
    <m/>
    <m/>
    <s v="H"/>
    <x v="8"/>
    <s v="HEREFORD"/>
    <s v="0 años 3 meses"/>
    <s v="05-10-2025"/>
    <s v="Vivo"/>
    <x v="6"/>
    <s v="11.1.01.1241"/>
    <s v="11.1.01.1241"/>
    <s v="SI"/>
    <d v="2025-11-27T00:00:00"/>
  </r>
  <r>
    <n v="26234218"/>
    <m/>
    <m/>
    <e v="#N/A"/>
    <m/>
    <m/>
    <m/>
    <m/>
    <m/>
    <m/>
    <s v="H"/>
    <x v="8"/>
    <s v="ANGUS NEGRO"/>
    <s v="0 años 3 meses"/>
    <s v="05-10-2025"/>
    <s v="Vivo"/>
    <x v="6"/>
    <s v="11.1.01.1241"/>
    <s v="11.1.01.1241"/>
    <s v="SI"/>
    <d v="2025-11-27T00:00:00"/>
  </r>
  <r>
    <n v="26234219"/>
    <m/>
    <m/>
    <e v="#N/A"/>
    <m/>
    <m/>
    <m/>
    <m/>
    <m/>
    <m/>
    <s v="H"/>
    <x v="8"/>
    <s v="ANGUS NEGRO"/>
    <s v="0 años 3 meses"/>
    <s v="05-10-2025"/>
    <s v="Vivo"/>
    <x v="6"/>
    <s v="11.1.01.1241"/>
    <s v="11.1.01.1241"/>
    <s v="SI"/>
    <d v="2025-11-27T00:00:00"/>
  </r>
  <r>
    <n v="26234220"/>
    <m/>
    <m/>
    <e v="#N/A"/>
    <m/>
    <m/>
    <m/>
    <m/>
    <m/>
    <m/>
    <s v="M"/>
    <x v="7"/>
    <s v="ANGUS ROJO"/>
    <s v="0 años 3 meses"/>
    <s v="05-10-2025"/>
    <s v="Vivo"/>
    <x v="0"/>
    <s v="Sin Movimiento"/>
    <s v="11.1.01.1241"/>
    <s v="SI"/>
    <d v="2025-11-27T00:00:00"/>
  </r>
  <r>
    <n v="26234221"/>
    <m/>
    <m/>
    <e v="#N/A"/>
    <m/>
    <m/>
    <m/>
    <m/>
    <m/>
    <m/>
    <s v="M"/>
    <x v="7"/>
    <s v="ANGUS NEGRO"/>
    <s v="0 años 3 meses"/>
    <s v="05-10-2025"/>
    <s v="Vivo"/>
    <x v="6"/>
    <s v="11.1.01.1241"/>
    <s v="11.1.01.1241"/>
    <s v="SI"/>
    <d v="2025-11-27T00:00:00"/>
  </r>
  <r>
    <n v="26234222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23"/>
    <m/>
    <m/>
    <e v="#N/A"/>
    <m/>
    <m/>
    <m/>
    <m/>
    <m/>
    <m/>
    <s v="M"/>
    <x v="7"/>
    <s v="ANGUS ROJO"/>
    <s v="0 años 3 meses"/>
    <s v="05-10-2025"/>
    <s v="Vivo"/>
    <x v="0"/>
    <s v="Sin Movimiento"/>
    <s v="11.1.01.1241"/>
    <s v="SI"/>
    <d v="2025-11-27T00:00:00"/>
  </r>
  <r>
    <n v="26234224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25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26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27"/>
    <m/>
    <m/>
    <e v="#N/A"/>
    <m/>
    <m/>
    <m/>
    <m/>
    <m/>
    <m/>
    <s v="H"/>
    <x v="8"/>
    <s v="ANGUS ROJO"/>
    <s v="0 años 3 meses"/>
    <s v="05-10-2025"/>
    <s v="Vivo"/>
    <x v="0"/>
    <s v="Sin Movimiento"/>
    <s v="11.1.01.1241"/>
    <s v="SI"/>
    <d v="2025-11-27T00:00:00"/>
  </r>
  <r>
    <n v="26234228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29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30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31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32"/>
    <m/>
    <m/>
    <e v="#N/A"/>
    <m/>
    <m/>
    <m/>
    <m/>
    <m/>
    <m/>
    <s v="H"/>
    <x v="8"/>
    <s v="ANGUS ROJO"/>
    <s v="0 años 3 meses"/>
    <s v="05-10-2025"/>
    <s v="Vivo"/>
    <x v="6"/>
    <s v="11.1.01.1241"/>
    <s v="11.1.01.1241"/>
    <s v="SI"/>
    <d v="2025-11-27T00:00:00"/>
  </r>
  <r>
    <n v="26234233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34"/>
    <m/>
    <m/>
    <e v="#N/A"/>
    <m/>
    <m/>
    <m/>
    <m/>
    <m/>
    <m/>
    <s v="M"/>
    <x v="7"/>
    <s v="ANGUS NEGRO"/>
    <s v="0 años 3 meses"/>
    <s v="05-10-2025"/>
    <s v="Vivo"/>
    <x v="6"/>
    <s v="11.1.01.1241"/>
    <s v="11.1.01.1241"/>
    <s v="SI"/>
    <d v="2025-11-27T00:00:00"/>
  </r>
  <r>
    <n v="26234235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36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37"/>
    <m/>
    <m/>
    <e v="#N/A"/>
    <m/>
    <m/>
    <m/>
    <m/>
    <m/>
    <m/>
    <s v="H"/>
    <x v="8"/>
    <s v="ANGUS ROJO"/>
    <s v="0 años 3 meses"/>
    <s v="05-10-2025"/>
    <s v="Vivo"/>
    <x v="6"/>
    <s v="11.1.01.1241"/>
    <s v="11.1.01.1241"/>
    <s v="SI"/>
    <d v="2025-11-27T00:00:00"/>
  </r>
  <r>
    <n v="26234238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39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40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41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42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43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44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45"/>
    <m/>
    <m/>
    <e v="#N/A"/>
    <m/>
    <m/>
    <m/>
    <m/>
    <m/>
    <m/>
    <s v="M"/>
    <x v="7"/>
    <s v="ANGUS ROJO"/>
    <s v="0 años 3 meses"/>
    <s v="05-10-2025"/>
    <s v="Vivo"/>
    <x v="0"/>
    <s v="Sin Movimiento"/>
    <s v="11.1.01.1241"/>
    <s v="SI"/>
    <d v="2025-11-27T00:00:00"/>
  </r>
  <r>
    <n v="26234246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47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48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49"/>
    <m/>
    <m/>
    <e v="#N/A"/>
    <m/>
    <m/>
    <m/>
    <m/>
    <m/>
    <m/>
    <s v="H"/>
    <x v="8"/>
    <s v="ANGUS ROJO"/>
    <s v="0 años 3 meses"/>
    <s v="05-10-2025"/>
    <s v="Vivo"/>
    <x v="0"/>
    <s v="Sin Movimiento"/>
    <s v="11.1.01.1241"/>
    <s v="SI"/>
    <d v="2025-11-27T00:00:00"/>
  </r>
  <r>
    <n v="26234250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51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52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53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54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55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56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57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58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59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60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61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62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63"/>
    <m/>
    <m/>
    <e v="#N/A"/>
    <m/>
    <m/>
    <m/>
    <m/>
    <m/>
    <m/>
    <s v="H"/>
    <x v="8"/>
    <s v="ANGUS ROJO"/>
    <s v="0 años 3 meses"/>
    <s v="05-10-2025"/>
    <s v="Vivo"/>
    <x v="6"/>
    <s v="11.1.01.1241"/>
    <s v="11.1.01.1241"/>
    <s v="SI"/>
    <d v="2025-11-27T00:00:00"/>
  </r>
  <r>
    <n v="26234264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65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66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67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68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69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70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71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72"/>
    <m/>
    <m/>
    <e v="#N/A"/>
    <m/>
    <m/>
    <m/>
    <m/>
    <m/>
    <m/>
    <s v="H"/>
    <x v="8"/>
    <s v="ANGUS ROJO"/>
    <s v="0 años 3 meses"/>
    <s v="05-10-2025"/>
    <s v="Vivo"/>
    <x v="0"/>
    <s v="Sin Movimiento"/>
    <s v="11.1.01.1241"/>
    <s v="SI"/>
    <d v="2025-11-27T00:00:00"/>
  </r>
  <r>
    <n v="26234273"/>
    <m/>
    <m/>
    <e v="#N/A"/>
    <m/>
    <m/>
    <m/>
    <m/>
    <m/>
    <m/>
    <s v="M"/>
    <x v="7"/>
    <s v="ANGUS ROJO"/>
    <s v="0 años 3 meses"/>
    <s v="05-10-2025"/>
    <s v="Vivo"/>
    <x v="0"/>
    <s v="Sin Movimiento"/>
    <s v="11.1.01.1241"/>
    <s v="SI"/>
    <d v="2025-11-27T00:00:00"/>
  </r>
  <r>
    <n v="26234274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75"/>
    <m/>
    <m/>
    <e v="#N/A"/>
    <m/>
    <m/>
    <m/>
    <m/>
    <m/>
    <m/>
    <s v="M"/>
    <x v="7"/>
    <s v="ANGUS NEGRO"/>
    <s v="0 años 3 meses"/>
    <s v="05-10-2025"/>
    <s v="Vivo"/>
    <x v="0"/>
    <s v="Sin Movimiento"/>
    <s v="11.1.01.1241"/>
    <s v="SI"/>
    <d v="2025-11-27T00:00:00"/>
  </r>
  <r>
    <n v="26234276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77"/>
    <m/>
    <m/>
    <e v="#N/A"/>
    <m/>
    <m/>
    <m/>
    <m/>
    <m/>
    <m/>
    <s v="H"/>
    <x v="8"/>
    <s v="ANGUS NEGRO"/>
    <s v="0 años 3 meses"/>
    <s v="05-10-2025"/>
    <s v="Vivo"/>
    <x v="0"/>
    <s v="Sin Movimiento"/>
    <s v="11.1.01.1241"/>
    <s v="SI"/>
    <d v="2025-11-27T00:00:00"/>
  </r>
  <r>
    <n v="26234278"/>
    <m/>
    <m/>
    <e v="#N/A"/>
    <m/>
    <m/>
    <m/>
    <m/>
    <m/>
    <m/>
    <s v="H"/>
    <x v="8"/>
    <s v="ANGUS ROJO"/>
    <s v="0 años 3 meses"/>
    <s v="05-10-2025"/>
    <s v="Vivo"/>
    <x v="0"/>
    <s v="Sin Movimiento"/>
    <s v="11.1.01.1241"/>
    <s v="SI"/>
    <d v="2025-11-27T00:00:00"/>
  </r>
  <r>
    <n v="26234279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280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281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282"/>
    <m/>
    <m/>
    <e v="#N/A"/>
    <m/>
    <m/>
    <m/>
    <m/>
    <m/>
    <m/>
    <s v="M"/>
    <x v="7"/>
    <s v="ANGUS NEGRO"/>
    <s v="0 años 3 meses"/>
    <s v="15-10-2025"/>
    <s v="Vivo"/>
    <x v="4"/>
    <s v="11.1.01.0893"/>
    <s v="11.1.01.0893"/>
    <s v="SI"/>
    <d v="2025-11-28T00:00:00"/>
  </r>
  <r>
    <n v="26234283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284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285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286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287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288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289"/>
    <m/>
    <m/>
    <e v="#N/A"/>
    <m/>
    <m/>
    <m/>
    <m/>
    <m/>
    <m/>
    <s v="M"/>
    <x v="7"/>
    <s v="ANGUS NEGRO"/>
    <s v="0 años 3 meses"/>
    <s v="15-10-2025"/>
    <s v="Vivo"/>
    <x v="4"/>
    <s v="11.1.01.0893"/>
    <s v="11.1.01.0893"/>
    <s v="SI"/>
    <d v="2025-11-28T00:00:00"/>
  </r>
  <r>
    <n v="26234290"/>
    <m/>
    <m/>
    <e v="#N/A"/>
    <m/>
    <m/>
    <m/>
    <m/>
    <m/>
    <m/>
    <s v="M"/>
    <x v="7"/>
    <s v="ANGUS ROJO"/>
    <s v="0 años 3 meses"/>
    <s v="15-10-2025"/>
    <s v="Vivo"/>
    <x v="3"/>
    <s v="11.1.01.0893"/>
    <s v="11.1.01.0893"/>
    <s v="SI"/>
    <d v="2025-11-28T00:00:00"/>
  </r>
  <r>
    <n v="26234291"/>
    <m/>
    <m/>
    <e v="#N/A"/>
    <m/>
    <m/>
    <m/>
    <m/>
    <m/>
    <m/>
    <s v="M"/>
    <x v="7"/>
    <s v="ANGUS NEGRO"/>
    <s v="0 años 3 meses"/>
    <s v="15-10-2025"/>
    <s v="Vivo"/>
    <x v="4"/>
    <s v="11.1.01.0893"/>
    <s v="11.1.01.0893"/>
    <s v="SI"/>
    <d v="2025-11-28T00:00:00"/>
  </r>
  <r>
    <n v="26234292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293"/>
    <m/>
    <m/>
    <e v="#N/A"/>
    <m/>
    <m/>
    <m/>
    <m/>
    <m/>
    <m/>
    <s v="M"/>
    <x v="7"/>
    <s v="ANGUS NEGRO"/>
    <s v="0 años 3 meses"/>
    <s v="15-10-2025"/>
    <s v="Vivo"/>
    <x v="4"/>
    <s v="11.1.01.0893"/>
    <s v="11.1.01.0893"/>
    <s v="SI"/>
    <d v="2025-11-28T00:00:00"/>
  </r>
  <r>
    <n v="26234294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295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296"/>
    <m/>
    <m/>
    <e v="#N/A"/>
    <m/>
    <m/>
    <m/>
    <m/>
    <m/>
    <m/>
    <s v="H"/>
    <x v="8"/>
    <s v="ANGUS ROJO"/>
    <s v="0 años 3 meses"/>
    <s v="15-10-2025"/>
    <s v="Vivo"/>
    <x v="3"/>
    <s v="11.1.01.0893"/>
    <s v="11.1.01.0893"/>
    <s v="SI"/>
    <d v="2025-11-28T00:00:00"/>
  </r>
  <r>
    <n v="26234297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298"/>
    <m/>
    <m/>
    <e v="#N/A"/>
    <m/>
    <m/>
    <m/>
    <m/>
    <m/>
    <m/>
    <s v="M"/>
    <x v="7"/>
    <s v="ANGUS NEGRO"/>
    <s v="0 años 4 meses"/>
    <s v="15-09-2025"/>
    <s v="Vivo"/>
    <x v="4"/>
    <s v="11.1.01.0893"/>
    <s v="11.1.01.0893"/>
    <s v="SI"/>
    <d v="2025-11-28T00:00:00"/>
  </r>
  <r>
    <n v="26234299"/>
    <m/>
    <m/>
    <e v="#N/A"/>
    <m/>
    <m/>
    <m/>
    <m/>
    <m/>
    <m/>
    <s v="H"/>
    <x v="8"/>
    <s v="ANGUS NEGRO"/>
    <s v="0 años 4 meses"/>
    <s v="15-09-2025"/>
    <s v="Vivo"/>
    <x v="3"/>
    <s v="11.1.01.0893"/>
    <s v="11.1.01.0893"/>
    <s v="SI"/>
    <d v="2025-11-28T00:00:00"/>
  </r>
  <r>
    <n v="26234300"/>
    <m/>
    <m/>
    <e v="#N/A"/>
    <m/>
    <m/>
    <m/>
    <m/>
    <m/>
    <m/>
    <s v="M"/>
    <x v="7"/>
    <s v="ANGUS NEGRO"/>
    <s v="0 años 4 meses"/>
    <s v="15-09-2025"/>
    <s v="Vivo"/>
    <x v="4"/>
    <s v="11.1.01.0893"/>
    <s v="11.1.01.0893"/>
    <s v="SI"/>
    <d v="2025-11-28T00:00:00"/>
  </r>
  <r>
    <n v="26234301"/>
    <m/>
    <m/>
    <e v="#N/A"/>
    <m/>
    <m/>
    <m/>
    <m/>
    <m/>
    <m/>
    <s v="M"/>
    <x v="7"/>
    <s v="ANGUS NEGRO"/>
    <s v="0 años 3 meses"/>
    <s v="15-10-2025"/>
    <s v="Vivo"/>
    <x v="4"/>
    <s v="11.1.01.0893"/>
    <s v="11.1.01.0893"/>
    <s v="SI"/>
    <d v="2025-11-28T00:00:00"/>
  </r>
  <r>
    <n v="26234302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303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04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305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06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307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08"/>
    <m/>
    <m/>
    <e v="#N/A"/>
    <m/>
    <m/>
    <m/>
    <m/>
    <m/>
    <m/>
    <s v="H"/>
    <x v="8"/>
    <s v="ANGUS NEGRO"/>
    <s v="0 años 4 meses"/>
    <s v="15-09-2025"/>
    <s v="Vivo"/>
    <x v="3"/>
    <s v="11.1.01.0893"/>
    <s v="11.1.01.0893"/>
    <s v="SI"/>
    <d v="2025-11-28T00:00:00"/>
  </r>
  <r>
    <n v="26234309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310"/>
    <m/>
    <m/>
    <e v="#N/A"/>
    <m/>
    <m/>
    <m/>
    <m/>
    <m/>
    <m/>
    <s v="M"/>
    <x v="7"/>
    <s v="ANGUS NEGRO"/>
    <s v="0 años 3 meses"/>
    <s v="15-10-2025"/>
    <s v="Vivo"/>
    <x v="4"/>
    <s v="11.1.01.0893"/>
    <s v="11.1.01.0893"/>
    <s v="SI"/>
    <d v="2025-11-28T00:00:00"/>
  </r>
  <r>
    <n v="26234311"/>
    <m/>
    <m/>
    <e v="#N/A"/>
    <m/>
    <m/>
    <m/>
    <m/>
    <m/>
    <m/>
    <s v="M"/>
    <x v="7"/>
    <s v="ANGUS NEGRO"/>
    <s v="0 años 3 meses"/>
    <s v="15-10-2025"/>
    <s v="Vivo"/>
    <x v="2"/>
    <s v="Sin Movimiento"/>
    <s v="11.1.01.0893"/>
    <s v="SI"/>
    <d v="2025-11-28T00:00:00"/>
  </r>
  <r>
    <n v="26234312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13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314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15"/>
    <m/>
    <m/>
    <e v="#N/A"/>
    <m/>
    <m/>
    <m/>
    <m/>
    <m/>
    <m/>
    <s v="M"/>
    <x v="7"/>
    <s v="ANGUS ROJO"/>
    <s v="0 años 4 meses"/>
    <s v="15-09-2025"/>
    <s v="Vivo"/>
    <x v="3"/>
    <s v="11.1.01.0893"/>
    <s v="11.1.01.0893"/>
    <s v="SI"/>
    <d v="2025-11-28T00:00:00"/>
  </r>
  <r>
    <n v="26234316"/>
    <m/>
    <m/>
    <e v="#N/A"/>
    <m/>
    <m/>
    <m/>
    <m/>
    <m/>
    <m/>
    <s v="H"/>
    <x v="8"/>
    <s v="ANGUS ROJO"/>
    <s v="0 años 4 meses"/>
    <s v="15-09-2025"/>
    <s v="Vivo"/>
    <x v="3"/>
    <s v="11.1.01.0893"/>
    <s v="11.1.01.0893"/>
    <s v="SI"/>
    <d v="2025-11-28T00:00:00"/>
  </r>
  <r>
    <n v="26234317"/>
    <m/>
    <m/>
    <e v="#N/A"/>
    <m/>
    <m/>
    <m/>
    <m/>
    <m/>
    <m/>
    <s v="H"/>
    <x v="8"/>
    <s v="ANGUS ROJO"/>
    <s v="0 años 2 meses"/>
    <s v="15-11-2025"/>
    <s v="Vivo"/>
    <x v="4"/>
    <s v="11.1.01.0893"/>
    <s v="11.1.01.0893"/>
    <s v="SI"/>
    <d v="2025-11-28T00:00:00"/>
  </r>
  <r>
    <n v="26234318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19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20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21"/>
    <m/>
    <m/>
    <e v="#N/A"/>
    <m/>
    <m/>
    <m/>
    <m/>
    <m/>
    <m/>
    <s v="H"/>
    <x v="8"/>
    <s v="ANGUS ROJO"/>
    <s v="0 años 3 meses"/>
    <s v="15-10-2025"/>
    <s v="Vivo"/>
    <x v="3"/>
    <s v="11.1.01.0893"/>
    <s v="11.1.01.0893"/>
    <s v="SI"/>
    <d v="2025-11-28T00:00:00"/>
  </r>
  <r>
    <n v="26234322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323"/>
    <m/>
    <m/>
    <e v="#N/A"/>
    <m/>
    <m/>
    <m/>
    <m/>
    <m/>
    <m/>
    <s v="H"/>
    <x v="8"/>
    <s v="ANGUS NEGRO"/>
    <s v="0 años 2 meses"/>
    <s v="15-11-2025"/>
    <s v="Vivo"/>
    <x v="3"/>
    <s v="11.1.01.0893"/>
    <s v="11.1.01.0893"/>
    <s v="SI"/>
    <d v="2025-11-28T00:00:00"/>
  </r>
  <r>
    <n v="26234324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25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326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327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328"/>
    <m/>
    <m/>
    <e v="#N/A"/>
    <m/>
    <m/>
    <m/>
    <m/>
    <m/>
    <m/>
    <s v="H"/>
    <x v="8"/>
    <s v="ANGUS NEGRO"/>
    <s v="0 años 4 meses"/>
    <s v="15-09-2025"/>
    <s v="Vivo"/>
    <x v="4"/>
    <s v="11.1.01.0893"/>
    <s v="11.1.01.0893"/>
    <s v="SI"/>
    <d v="2025-11-28T00:00:00"/>
  </r>
  <r>
    <n v="26234329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30"/>
    <m/>
    <m/>
    <e v="#N/A"/>
    <m/>
    <m/>
    <m/>
    <m/>
    <m/>
    <m/>
    <s v="M"/>
    <x v="7"/>
    <s v="ANGUS NEGRO"/>
    <s v="0 años 4 meses"/>
    <s v="15-09-2025"/>
    <s v="Vivo"/>
    <x v="4"/>
    <s v="11.1.01.0893"/>
    <s v="11.1.01.0893"/>
    <s v="SI"/>
    <d v="2025-11-28T00:00:00"/>
  </r>
  <r>
    <n v="26234331"/>
    <m/>
    <m/>
    <e v="#N/A"/>
    <m/>
    <m/>
    <m/>
    <m/>
    <m/>
    <m/>
    <s v="H"/>
    <x v="8"/>
    <s v="ANGUS NEGRO"/>
    <s v="0 años 5 meses"/>
    <s v="15-08-2025"/>
    <s v="Vivo"/>
    <x v="3"/>
    <s v="11.1.01.0893"/>
    <s v="11.1.01.0893"/>
    <s v="SI"/>
    <d v="2025-11-28T00:00:00"/>
  </r>
  <r>
    <n v="26234332"/>
    <m/>
    <m/>
    <e v="#N/A"/>
    <m/>
    <m/>
    <m/>
    <m/>
    <m/>
    <m/>
    <s v="M"/>
    <x v="7"/>
    <s v="ANGUS NEGRO"/>
    <s v="0 años 3 meses"/>
    <s v="15-10-2025"/>
    <s v="Vivo"/>
    <x v="4"/>
    <s v="11.1.01.0893"/>
    <s v="11.1.01.0893"/>
    <s v="SI"/>
    <d v="2025-11-28T00:00:00"/>
  </r>
  <r>
    <n v="26234333"/>
    <m/>
    <m/>
    <e v="#N/A"/>
    <m/>
    <m/>
    <m/>
    <m/>
    <m/>
    <m/>
    <s v="M"/>
    <x v="7"/>
    <s v="ANGUS NEGRO"/>
    <s v="0 años 4 meses"/>
    <s v="15-09-2025"/>
    <s v="Vivo"/>
    <x v="3"/>
    <s v="11.1.01.0893"/>
    <s v="11.1.01.0893"/>
    <s v="SI"/>
    <d v="2025-11-28T00:00:00"/>
  </r>
  <r>
    <n v="26234334"/>
    <m/>
    <m/>
    <e v="#N/A"/>
    <m/>
    <m/>
    <m/>
    <m/>
    <m/>
    <m/>
    <s v="H"/>
    <x v="8"/>
    <s v="ANGUS ROJO"/>
    <s v="0 años 4 meses"/>
    <s v="15-09-2025"/>
    <s v="Vivo"/>
    <x v="3"/>
    <s v="11.1.01.0893"/>
    <s v="11.1.01.0893"/>
    <s v="SI"/>
    <d v="2025-11-28T00:00:00"/>
  </r>
  <r>
    <n v="26234335"/>
    <m/>
    <m/>
    <e v="#N/A"/>
    <m/>
    <m/>
    <m/>
    <m/>
    <m/>
    <m/>
    <s v="H"/>
    <x v="8"/>
    <s v="ANGUS NEGRO"/>
    <s v="0 años 4 meses"/>
    <s v="15-09-2025"/>
    <s v="Vivo"/>
    <x v="3"/>
    <s v="11.1.01.0893"/>
    <s v="11.1.01.0893"/>
    <s v="SI"/>
    <d v="2025-11-28T00:00:00"/>
  </r>
  <r>
    <n v="26234336"/>
    <m/>
    <m/>
    <e v="#N/A"/>
    <m/>
    <m/>
    <m/>
    <m/>
    <m/>
    <m/>
    <s v="H"/>
    <x v="8"/>
    <s v="ANGUS NEGRO"/>
    <s v="0 años 4 meses"/>
    <s v="15-09-2025"/>
    <s v="Vivo"/>
    <x v="4"/>
    <s v="11.1.01.0893"/>
    <s v="11.1.01.0893"/>
    <s v="SI"/>
    <d v="2025-11-28T00:00:00"/>
  </r>
  <r>
    <n v="26234337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338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339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340"/>
    <m/>
    <m/>
    <e v="#N/A"/>
    <m/>
    <m/>
    <m/>
    <m/>
    <m/>
    <m/>
    <s v="M"/>
    <x v="7"/>
    <s v="ANGUS NEGRO"/>
    <s v="0 años 4 meses"/>
    <s v="15-09-2025"/>
    <s v="Vivo"/>
    <x v="2"/>
    <s v="Sin Movimiento"/>
    <s v="11.1.01.0893"/>
    <s v="SI"/>
    <d v="2025-11-28T00:00:00"/>
  </r>
  <r>
    <n v="26234341"/>
    <m/>
    <m/>
    <e v="#N/A"/>
    <m/>
    <m/>
    <m/>
    <m/>
    <m/>
    <m/>
    <s v="H"/>
    <x v="8"/>
    <s v="HEREFORD"/>
    <s v="0 años 3 meses"/>
    <s v="15-10-2025"/>
    <s v="Vivo"/>
    <x v="3"/>
    <s v="11.1.01.0893"/>
    <s v="11.1.01.0893"/>
    <s v="SI"/>
    <d v="2025-11-28T00:00:00"/>
  </r>
  <r>
    <n v="26234342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8T00:00:00"/>
  </r>
  <r>
    <n v="26234343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44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45"/>
    <m/>
    <m/>
    <e v="#N/A"/>
    <m/>
    <m/>
    <m/>
    <m/>
    <m/>
    <m/>
    <s v="H"/>
    <x v="8"/>
    <s v="ANGUS ROJO"/>
    <s v="0 años 4 meses"/>
    <s v="11-09-2025"/>
    <s v="Vivo"/>
    <x v="3"/>
    <s v="11.1.01.0893"/>
    <s v="11.1.01.0893"/>
    <s v="SI"/>
    <d v="2025-11-28T00:00:00"/>
  </r>
  <r>
    <n v="26234346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347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48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49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50"/>
    <m/>
    <m/>
    <e v="#N/A"/>
    <m/>
    <m/>
    <m/>
    <m/>
    <m/>
    <m/>
    <s v="H"/>
    <x v="8"/>
    <s v="ANGUS ROJO"/>
    <s v="0 años 4 meses"/>
    <s v="11-09-2025"/>
    <s v="Vivo"/>
    <x v="4"/>
    <s v="11.1.01.0893"/>
    <s v="11.1.01.0893"/>
    <s v="SI"/>
    <d v="2025-11-28T00:00:00"/>
  </r>
  <r>
    <n v="26234351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52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53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54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55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56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357"/>
    <m/>
    <m/>
    <e v="#N/A"/>
    <m/>
    <m/>
    <m/>
    <m/>
    <m/>
    <m/>
    <s v="H"/>
    <x v="8"/>
    <s v="ANGUS ROJO"/>
    <s v="0 años 4 meses"/>
    <s v="11-09-2025"/>
    <s v="Vivo"/>
    <x v="3"/>
    <s v="11.1.01.0893"/>
    <s v="11.1.01.0893"/>
    <s v="SI"/>
    <d v="2025-11-28T00:00:00"/>
  </r>
  <r>
    <n v="26234358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59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60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61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62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63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64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65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66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67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368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69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70"/>
    <m/>
    <m/>
    <e v="#N/A"/>
    <m/>
    <m/>
    <m/>
    <m/>
    <m/>
    <m/>
    <s v="M"/>
    <x v="7"/>
    <s v="ANGUS NEGRO"/>
    <s v="0 años 3 meses"/>
    <s v="05-10-2025"/>
    <s v="Vivo"/>
    <x v="4"/>
    <s v="11.1.01.0893"/>
    <s v="11.1.01.0893"/>
    <s v="SI"/>
    <d v="2025-11-28T00:00:00"/>
  </r>
  <r>
    <n v="26234371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72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373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374"/>
    <m/>
    <m/>
    <e v="#N/A"/>
    <m/>
    <m/>
    <m/>
    <m/>
    <m/>
    <m/>
    <s v="H"/>
    <x v="8"/>
    <s v="ANGUS ROJO"/>
    <s v="0 años 3 meses"/>
    <s v="15-10-2025"/>
    <s v="Vivo"/>
    <x v="3"/>
    <s v="11.1.01.0893"/>
    <s v="11.1.01.0893"/>
    <s v="SI"/>
    <d v="2025-11-28T00:00:00"/>
  </r>
  <r>
    <n v="26234375"/>
    <m/>
    <m/>
    <e v="#N/A"/>
    <m/>
    <m/>
    <m/>
    <m/>
    <m/>
    <m/>
    <s v="H"/>
    <x v="8"/>
    <s v="ANGUS NEGRO"/>
    <s v="0 años 3 meses"/>
    <s v="15-10-2025"/>
    <s v="Vivo"/>
    <x v="4"/>
    <s v="11.1.01.0893"/>
    <s v="11.1.01.0893"/>
    <s v="SI"/>
    <d v="2025-11-28T00:00:00"/>
  </r>
  <r>
    <n v="26234376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377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378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379"/>
    <m/>
    <m/>
    <e v="#N/A"/>
    <m/>
    <m/>
    <m/>
    <m/>
    <m/>
    <m/>
    <s v="M"/>
    <x v="7"/>
    <s v="ANGUS NEGRO"/>
    <s v="0 años 3 meses"/>
    <s v="15-10-2025"/>
    <s v="Vivo"/>
    <x v="2"/>
    <s v="Sin Movimiento"/>
    <s v="11.1.01.0893"/>
    <s v="SI"/>
    <d v="2025-11-28T00:00:00"/>
  </r>
  <r>
    <n v="26234380"/>
    <m/>
    <m/>
    <e v="#N/A"/>
    <m/>
    <m/>
    <m/>
    <m/>
    <m/>
    <m/>
    <s v="M"/>
    <x v="7"/>
    <s v="ANGUS NEGRO"/>
    <s v="0 años 3 meses"/>
    <s v="15-10-2025"/>
    <s v="Vivo"/>
    <x v="3"/>
    <s v="11.1.01.0893"/>
    <s v="11.1.01.0893"/>
    <s v="SI"/>
    <d v="2025-11-28T00:00:00"/>
  </r>
  <r>
    <n v="26234381"/>
    <m/>
    <m/>
    <e v="#N/A"/>
    <m/>
    <m/>
    <m/>
    <m/>
    <m/>
    <m/>
    <s v="M"/>
    <x v="7"/>
    <s v="ANGUS ROJO"/>
    <s v="0 años 3 meses"/>
    <s v="05-10-2025"/>
    <s v="Vivo"/>
    <x v="2"/>
    <s v="Sin Movimiento"/>
    <s v="11.1.01.0893"/>
    <s v="SI"/>
    <d v="2025-11-28T00:00:00"/>
  </r>
  <r>
    <n v="26234382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8T00:00:00"/>
  </r>
  <r>
    <n v="26234383"/>
    <m/>
    <m/>
    <e v="#N/A"/>
    <m/>
    <m/>
    <m/>
    <m/>
    <m/>
    <m/>
    <s v="H"/>
    <x v="8"/>
    <s v="ANGUS NEGRO"/>
    <s v="0 años 4 meses"/>
    <s v="30-08-2025"/>
    <s v="Vivo"/>
    <x v="3"/>
    <s v="11.1.01.0893"/>
    <s v="11.1.01.0893"/>
    <s v="SI"/>
    <d v="2025-11-28T00:00:00"/>
  </r>
  <r>
    <n v="26234384"/>
    <m/>
    <m/>
    <e v="#N/A"/>
    <m/>
    <m/>
    <m/>
    <m/>
    <m/>
    <m/>
    <s v="M"/>
    <x v="7"/>
    <s v="ANGUS NEGRO"/>
    <s v="0 años 3 meses"/>
    <s v="05-10-2025"/>
    <s v="Vivo"/>
    <x v="3"/>
    <s v="11.1.01.0893"/>
    <s v="11.1.01.0893"/>
    <s v="SI"/>
    <d v="2025-11-28T00:00:00"/>
  </r>
  <r>
    <n v="26234385"/>
    <m/>
    <m/>
    <e v="#N/A"/>
    <m/>
    <m/>
    <m/>
    <m/>
    <m/>
    <m/>
    <s v="H"/>
    <x v="8"/>
    <s v="ANGUS NEGRO"/>
    <s v="0 años 4 meses"/>
    <s v="11-09-2025"/>
    <s v="Vivo"/>
    <x v="2"/>
    <s v="Sin Movimiento"/>
    <s v="11.1.01.0893"/>
    <s v="SI"/>
    <d v="2025-11-28T00:00:00"/>
  </r>
  <r>
    <n v="26234386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87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388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89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90"/>
    <m/>
    <m/>
    <e v="#N/A"/>
    <m/>
    <m/>
    <m/>
    <m/>
    <m/>
    <m/>
    <s v="H"/>
    <x v="8"/>
    <s v="ANGUS NEGRO"/>
    <s v="0 años 4 meses"/>
    <s v="11-09-2025"/>
    <s v="Vivo"/>
    <x v="4"/>
    <s v="11.1.01.0893"/>
    <s v="11.1.01.0893"/>
    <s v="SI"/>
    <d v="2025-11-28T00:00:00"/>
  </r>
  <r>
    <n v="26234391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92"/>
    <m/>
    <m/>
    <e v="#N/A"/>
    <m/>
    <m/>
    <m/>
    <m/>
    <m/>
    <m/>
    <s v="H"/>
    <x v="8"/>
    <s v="ANGUS NEGRO"/>
    <s v="0 años 4 meses"/>
    <s v="11-09-2025"/>
    <s v="Vivo"/>
    <x v="4"/>
    <s v="11.1.01.0893"/>
    <s v="11.1.01.0893"/>
    <s v="SI"/>
    <d v="2025-11-28T00:00:00"/>
  </r>
  <r>
    <n v="26234393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94"/>
    <m/>
    <m/>
    <e v="#N/A"/>
    <m/>
    <m/>
    <m/>
    <m/>
    <m/>
    <m/>
    <s v="M"/>
    <x v="7"/>
    <s v="ANGUS ROJO"/>
    <s v="0 años 4 meses"/>
    <s v="11-09-2025"/>
    <s v="Vivo"/>
    <x v="3"/>
    <s v="11.1.01.0893"/>
    <s v="11.1.01.0893"/>
    <s v="SI"/>
    <d v="2025-11-28T00:00:00"/>
  </r>
  <r>
    <n v="26234395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96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397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398"/>
    <m/>
    <m/>
    <e v="#N/A"/>
    <m/>
    <m/>
    <m/>
    <m/>
    <m/>
    <m/>
    <s v="H"/>
    <x v="8"/>
    <s v="ANGUS NEGRO"/>
    <s v="0 años 3 meses"/>
    <s v="05-10-2025"/>
    <s v="Vivo"/>
    <x v="4"/>
    <s v="11.1.01.0893"/>
    <s v="11.1.01.0893"/>
    <s v="SI"/>
    <d v="2025-11-28T00:00:00"/>
  </r>
  <r>
    <n v="26234399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00"/>
    <m/>
    <m/>
    <e v="#N/A"/>
    <m/>
    <m/>
    <m/>
    <m/>
    <m/>
    <m/>
    <s v="H"/>
    <x v="8"/>
    <s v="ANGUS ROJO"/>
    <s v="0 años 4 meses"/>
    <s v="11-09-2025"/>
    <s v="Vivo"/>
    <x v="3"/>
    <s v="11.1.01.0893"/>
    <s v="11.1.01.0893"/>
    <s v="SI"/>
    <d v="2025-11-28T00:00:00"/>
  </r>
  <r>
    <n v="26234401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02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03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04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05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06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07"/>
    <m/>
    <m/>
    <e v="#N/A"/>
    <m/>
    <m/>
    <m/>
    <m/>
    <m/>
    <m/>
    <s v="M"/>
    <x v="7"/>
    <s v="ANGUS NEGRO"/>
    <s v="0 años 3 meses"/>
    <s v="05-10-2025"/>
    <s v="Vivo"/>
    <x v="3"/>
    <s v="11.1.01.0893"/>
    <s v="11.1.01.0893"/>
    <s v="SI"/>
    <d v="2025-11-28T00:00:00"/>
  </r>
  <r>
    <n v="26234408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09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10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11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12"/>
    <m/>
    <m/>
    <e v="#N/A"/>
    <m/>
    <m/>
    <m/>
    <m/>
    <m/>
    <m/>
    <s v="H"/>
    <x v="8"/>
    <s v="ANGUS NEGRO"/>
    <s v="0 años 4 meses"/>
    <s v="11-09-2025"/>
    <s v="Vivo"/>
    <x v="4"/>
    <s v="11.1.01.0893"/>
    <s v="11.1.01.0893"/>
    <s v="SI"/>
    <d v="2025-11-28T00:00:00"/>
  </r>
  <r>
    <n v="26234413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14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15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16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17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18"/>
    <m/>
    <m/>
    <e v="#N/A"/>
    <m/>
    <m/>
    <m/>
    <m/>
    <m/>
    <m/>
    <s v="H"/>
    <x v="8"/>
    <s v="ANGUS NEGRO"/>
    <s v="0 años 4 meses"/>
    <s v="11-09-2025"/>
    <s v="Vivo"/>
    <x v="4"/>
    <s v="11.1.01.0893"/>
    <s v="11.1.01.0893"/>
    <s v="SI"/>
    <d v="2025-11-28T00:00:00"/>
  </r>
  <r>
    <n v="26234419"/>
    <m/>
    <m/>
    <e v="#N/A"/>
    <m/>
    <m/>
    <m/>
    <m/>
    <m/>
    <m/>
    <s v="H"/>
    <x v="8"/>
    <s v="ANGUS ROJO"/>
    <s v="0 años 4 meses"/>
    <s v="11-09-2025"/>
    <s v="Vivo"/>
    <x v="4"/>
    <s v="11.1.01.0893"/>
    <s v="11.1.01.0893"/>
    <s v="SI"/>
    <d v="2025-11-28T00:00:00"/>
  </r>
  <r>
    <n v="26234420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21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22"/>
    <m/>
    <m/>
    <e v="#N/A"/>
    <m/>
    <m/>
    <m/>
    <m/>
    <m/>
    <m/>
    <s v="H"/>
    <x v="8"/>
    <s v="ANGUS ROJO"/>
    <s v="0 años 4 meses"/>
    <s v="11-09-2025"/>
    <s v="Vivo"/>
    <x v="3"/>
    <s v="11.1.01.0893"/>
    <s v="11.1.01.0893"/>
    <s v="SI"/>
    <d v="2025-11-28T00:00:00"/>
  </r>
  <r>
    <n v="26234423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24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25"/>
    <m/>
    <m/>
    <e v="#N/A"/>
    <m/>
    <m/>
    <m/>
    <m/>
    <m/>
    <m/>
    <s v="H"/>
    <x v="8"/>
    <s v="ANGUS NEGRO"/>
    <s v="0 años 4 meses"/>
    <s v="11-09-2025"/>
    <s v="Vivo"/>
    <x v="4"/>
    <s v="11.1.01.0893"/>
    <s v="11.1.01.0893"/>
    <s v="SI"/>
    <d v="2025-11-28T00:00:00"/>
  </r>
  <r>
    <n v="26234426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27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28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29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30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31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32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33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34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35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36"/>
    <m/>
    <m/>
    <e v="#N/A"/>
    <m/>
    <m/>
    <m/>
    <m/>
    <m/>
    <m/>
    <s v="M"/>
    <x v="7"/>
    <s v="ANGUS ROJO"/>
    <s v="0 años 4 meses"/>
    <s v="11-09-2025"/>
    <s v="Vivo"/>
    <x v="4"/>
    <s v="11.1.01.0893"/>
    <s v="11.1.01.0893"/>
    <s v="SI"/>
    <d v="2025-11-28T00:00:00"/>
  </r>
  <r>
    <n v="26234437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38"/>
    <m/>
    <m/>
    <e v="#N/A"/>
    <m/>
    <m/>
    <m/>
    <m/>
    <m/>
    <m/>
    <s v="H"/>
    <x v="8"/>
    <s v="ANGUS ROJO"/>
    <s v="0 años 4 meses"/>
    <s v="11-09-2025"/>
    <s v="Vivo"/>
    <x v="3"/>
    <s v="11.1.01.0893"/>
    <s v="11.1.01.0893"/>
    <s v="SI"/>
    <d v="2025-11-28T00:00:00"/>
  </r>
  <r>
    <n v="26234439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40"/>
    <m/>
    <m/>
    <e v="#N/A"/>
    <m/>
    <m/>
    <m/>
    <m/>
    <m/>
    <m/>
    <s v="M"/>
    <x v="7"/>
    <s v="ANGUS ROJO"/>
    <s v="0 años 4 meses"/>
    <s v="11-09-2025"/>
    <s v="Vivo"/>
    <x v="3"/>
    <s v="11.1.01.0893"/>
    <s v="11.1.01.0893"/>
    <s v="SI"/>
    <d v="2025-11-28T00:00:00"/>
  </r>
  <r>
    <n v="26234441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42"/>
    <m/>
    <m/>
    <e v="#N/A"/>
    <m/>
    <m/>
    <m/>
    <m/>
    <m/>
    <m/>
    <s v="M"/>
    <x v="7"/>
    <s v="ANGUS NEGRO"/>
    <s v="0 años 4 meses"/>
    <s v="11-09-2025"/>
    <s v="Vivo"/>
    <x v="2"/>
    <s v="Sin Movimiento"/>
    <s v="11.1.01.0893"/>
    <s v="SI"/>
    <d v="2025-11-28T00:00:00"/>
  </r>
  <r>
    <n v="26234443"/>
    <m/>
    <m/>
    <e v="#N/A"/>
    <m/>
    <m/>
    <m/>
    <m/>
    <m/>
    <m/>
    <s v="M"/>
    <x v="7"/>
    <s v="ANGUS NEGRO"/>
    <s v="0 años 4 meses"/>
    <s v="11-09-2025"/>
    <s v="Vivo"/>
    <x v="3"/>
    <s v="11.1.01.0893"/>
    <s v="11.1.01.0893"/>
    <s v="SI"/>
    <d v="2025-11-28T00:00:00"/>
  </r>
  <r>
    <n v="26234444"/>
    <m/>
    <m/>
    <e v="#N/A"/>
    <m/>
    <m/>
    <m/>
    <m/>
    <m/>
    <m/>
    <s v="H"/>
    <x v="8"/>
    <s v="ANGUS NEGRO"/>
    <s v="0 años 4 meses"/>
    <s v="11-09-2025"/>
    <s v="Vivo"/>
    <x v="3"/>
    <s v="11.1.01.0893"/>
    <s v="11.1.01.0893"/>
    <s v="SI"/>
    <d v="2025-11-28T00:00:00"/>
  </r>
  <r>
    <n v="26234445"/>
    <m/>
    <m/>
    <e v="#N/A"/>
    <m/>
    <m/>
    <m/>
    <m/>
    <m/>
    <m/>
    <s v="M"/>
    <x v="7"/>
    <s v="ANGUS NEGRO"/>
    <s v="0 años 4 meses"/>
    <s v="11-09-2025"/>
    <s v="Vivo"/>
    <x v="4"/>
    <s v="11.1.01.0893"/>
    <s v="11.1.01.0893"/>
    <s v="SI"/>
    <d v="2025-11-28T00:00:00"/>
  </r>
  <r>
    <n v="26234446"/>
    <m/>
    <m/>
    <e v="#N/A"/>
    <m/>
    <m/>
    <m/>
    <m/>
    <m/>
    <m/>
    <s v="M"/>
    <x v="7"/>
    <s v="ANGUS NEGRO"/>
    <s v="0 años 3 meses"/>
    <s v="05-10-2025"/>
    <s v="Vivo"/>
    <x v="2"/>
    <s v="Sin Movimiento"/>
    <s v="11.1.01.0893"/>
    <s v="SI"/>
    <d v="2025-11-28T00:00:00"/>
  </r>
  <r>
    <n v="26234447"/>
    <m/>
    <m/>
    <e v="#N/A"/>
    <m/>
    <m/>
    <m/>
    <m/>
    <m/>
    <m/>
    <s v="H"/>
    <x v="8"/>
    <s v="ANGUS NEGRO"/>
    <s v="0 años 3 meses"/>
    <s v="05-10-2025"/>
    <s v="Vivo"/>
    <x v="3"/>
    <s v="11.1.01.0893"/>
    <s v="11.1.01.0893"/>
    <s v="SI"/>
    <d v="2025-11-28T00:00:00"/>
  </r>
  <r>
    <n v="26234448"/>
    <m/>
    <m/>
    <e v="#N/A"/>
    <m/>
    <m/>
    <m/>
    <m/>
    <m/>
    <m/>
    <s v="H"/>
    <x v="8"/>
    <s v="ANGUS NEGRO"/>
    <s v="0 años 3 meses"/>
    <s v="05-10-2025"/>
    <s v="Vivo"/>
    <x v="3"/>
    <s v="11.1.01.0893"/>
    <s v="11.1.01.0893"/>
    <s v="SI"/>
    <d v="2025-11-28T00:00:00"/>
  </r>
  <r>
    <n v="26234449"/>
    <m/>
    <m/>
    <e v="#N/A"/>
    <m/>
    <m/>
    <m/>
    <m/>
    <m/>
    <m/>
    <s v="M"/>
    <x v="7"/>
    <s v="ANGUS NEGRO"/>
    <s v="0 años 3 meses"/>
    <s v="05-10-2025"/>
    <s v="Vivo"/>
    <x v="3"/>
    <s v="11.1.01.0893"/>
    <s v="11.1.01.0893"/>
    <s v="SI"/>
    <d v="2025-11-28T00:00:00"/>
  </r>
  <r>
    <n v="26234450"/>
    <m/>
    <m/>
    <e v="#N/A"/>
    <m/>
    <m/>
    <m/>
    <m/>
    <m/>
    <m/>
    <s v="M"/>
    <x v="7"/>
    <s v="ANGUS NEGRO"/>
    <s v="0 años 3 meses"/>
    <s v="05-10-2025"/>
    <s v="Vivo"/>
    <x v="3"/>
    <s v="11.1.01.0893"/>
    <s v="11.1.01.0893"/>
    <s v="SI"/>
    <d v="2025-11-28T00:00:00"/>
  </r>
  <r>
    <n v="26234451"/>
    <m/>
    <m/>
    <e v="#N/A"/>
    <m/>
    <m/>
    <m/>
    <m/>
    <m/>
    <m/>
    <s v="H"/>
    <x v="8"/>
    <s v="ANGUS ROJO"/>
    <s v="0 años 3 meses"/>
    <s v="05-10-2025"/>
    <s v="Vivo"/>
    <x v="3"/>
    <s v="11.1.01.0893"/>
    <s v="11.1.01.0893"/>
    <s v="SI"/>
    <d v="2025-11-28T00:00:00"/>
  </r>
  <r>
    <n v="26234452"/>
    <m/>
    <m/>
    <e v="#N/A"/>
    <m/>
    <m/>
    <m/>
    <m/>
    <m/>
    <m/>
    <s v="M"/>
    <x v="7"/>
    <s v="ANGUS NEGRO"/>
    <s v="0 años 3 meses"/>
    <s v="05-10-2025"/>
    <s v="Vivo"/>
    <x v="3"/>
    <s v="11.1.01.0893"/>
    <s v="11.1.01.0893"/>
    <s v="SI"/>
    <d v="2025-11-28T00:00:00"/>
  </r>
  <r>
    <n v="26234453"/>
    <m/>
    <m/>
    <e v="#N/A"/>
    <m/>
    <m/>
    <m/>
    <m/>
    <m/>
    <m/>
    <s v="H"/>
    <x v="8"/>
    <s v="ANGUS NEGRO"/>
    <s v="0 años 3 meses"/>
    <s v="05-10-2025"/>
    <s v="Vivo"/>
    <x v="3"/>
    <s v="11.1.01.0893"/>
    <s v="11.1.01.0893"/>
    <s v="SI"/>
    <d v="2025-11-28T00:00:00"/>
  </r>
  <r>
    <n v="26234454"/>
    <m/>
    <m/>
    <e v="#N/A"/>
    <m/>
    <m/>
    <m/>
    <m/>
    <m/>
    <m/>
    <s v="M"/>
    <x v="7"/>
    <s v="ANGUS NEGRO"/>
    <s v="0 años 3 meses"/>
    <s v="05-10-2025"/>
    <s v="Vivo"/>
    <x v="4"/>
    <s v="11.1.01.0893"/>
    <s v="11.1.01.0893"/>
    <s v="SI"/>
    <d v="2025-11-28T00:00:00"/>
  </r>
  <r>
    <n v="26234455"/>
    <m/>
    <m/>
    <e v="#N/A"/>
    <m/>
    <m/>
    <m/>
    <m/>
    <m/>
    <m/>
    <s v="M"/>
    <x v="7"/>
    <s v="ANGUS NEGRO"/>
    <s v="0 años 1 meses"/>
    <s v="28-11-2025"/>
    <s v="Vivo"/>
    <x v="3"/>
    <s v="11.1.01.0893"/>
    <s v="11.1.01.0893"/>
    <s v="SI"/>
    <d v="2025-11-28T00:00:00"/>
  </r>
  <r>
    <n v="26234456"/>
    <m/>
    <m/>
    <e v="#N/A"/>
    <m/>
    <m/>
    <m/>
    <m/>
    <m/>
    <m/>
    <s v="M"/>
    <x v="7"/>
    <s v="ANGUS NEGRO"/>
    <s v="0 años 1 meses"/>
    <s v="25-11-2025"/>
    <s v="Vivo"/>
    <x v="3"/>
    <s v="11.1.01.0893"/>
    <s v="11.1.01.0893"/>
    <s v="SI"/>
    <d v="2025-11-28T00:00:00"/>
  </r>
  <r>
    <n v="26234457"/>
    <m/>
    <m/>
    <e v="#N/A"/>
    <m/>
    <m/>
    <m/>
    <m/>
    <m/>
    <m/>
    <s v="M"/>
    <x v="7"/>
    <s v="ANGUS NEGRO"/>
    <s v="0 años 1 meses"/>
    <s v="28-11-2025"/>
    <s v="Vivo"/>
    <x v="2"/>
    <s v="Sin Movimiento"/>
    <s v="11.1.01.0893"/>
    <s v="SI"/>
    <d v="2025-11-28T00:00:00"/>
  </r>
  <r>
    <n v="26234458"/>
    <m/>
    <m/>
    <e v="#N/A"/>
    <m/>
    <m/>
    <m/>
    <m/>
    <m/>
    <m/>
    <s v="M"/>
    <x v="7"/>
    <s v="ANGUS NEGRO"/>
    <s v="0 años 1 meses"/>
    <s v="28-11-2025"/>
    <s v="Vivo"/>
    <x v="3"/>
    <s v="11.1.01.0893"/>
    <s v="11.1.01.0893"/>
    <s v="SI"/>
    <d v="2025-11-28T00:00:00"/>
  </r>
  <r>
    <n v="26234459"/>
    <m/>
    <m/>
    <e v="#N/A"/>
    <m/>
    <m/>
    <m/>
    <m/>
    <m/>
    <m/>
    <s v="H"/>
    <x v="8"/>
    <s v="ANGUS NEGRO"/>
    <s v="0 años 3 meses"/>
    <s v="15-10-2025"/>
    <s v="Vivo"/>
    <x v="3"/>
    <s v="11.1.01.0893"/>
    <s v="11.1.01.0893"/>
    <s v="SI"/>
    <d v="2025-11-28T00:00:00"/>
  </r>
  <r>
    <n v="26234460"/>
    <m/>
    <m/>
    <e v="#N/A"/>
    <m/>
    <m/>
    <m/>
    <m/>
    <m/>
    <m/>
    <s v="H"/>
    <x v="8"/>
    <s v="HEREFORD"/>
    <s v="0 años 3 meses"/>
    <s v="05-10-2025"/>
    <s v="Vivo"/>
    <x v="6"/>
    <s v="11.1.01.1241"/>
    <s v="11.1.01.1241"/>
    <s v="SI"/>
    <d v="2025-12-15T00:00:00"/>
  </r>
  <r>
    <n v="26234461"/>
    <m/>
    <m/>
    <e v="#N/A"/>
    <m/>
    <m/>
    <m/>
    <m/>
    <m/>
    <m/>
    <s v="M"/>
    <x v="7"/>
    <s v="ANGUS NEGRO"/>
    <s v="0 años 1 meses"/>
    <s v="16-12-2025"/>
    <s v="Vivo"/>
    <x v="0"/>
    <s v="Sin Movimiento"/>
    <s v="11.1.01.1241"/>
    <s v="SI"/>
    <d v="2025-12-17T00:00:00"/>
  </r>
  <r>
    <n v="26234462"/>
    <m/>
    <m/>
    <e v="#N/A"/>
    <m/>
    <m/>
    <m/>
    <m/>
    <m/>
    <m/>
    <s v="H"/>
    <x v="8"/>
    <s v="ANGUS NEGRO"/>
    <s v="0 años 1 meses"/>
    <s v="16-12-2025"/>
    <s v="Vivo"/>
    <x v="0"/>
    <s v="Sin Movimiento"/>
    <s v="11.1.01.1241"/>
    <s v="SI"/>
    <d v="2025-12-17T00:00:00"/>
  </r>
  <r>
    <n v="26234463"/>
    <m/>
    <m/>
    <e v="#N/A"/>
    <m/>
    <m/>
    <m/>
    <m/>
    <m/>
    <m/>
    <s v="H"/>
    <x v="8"/>
    <s v="ANGUS ROJO"/>
    <s v="0 años 1 meses"/>
    <s v="16-12-2025"/>
    <s v="Vivo"/>
    <x v="0"/>
    <s v="Sin Movimiento"/>
    <s v="11.1.01.1241"/>
    <s v="SI"/>
    <d v="2025-12-17T00:00:00"/>
  </r>
  <r>
    <n v="26234464"/>
    <m/>
    <m/>
    <e v="#N/A"/>
    <m/>
    <m/>
    <m/>
    <m/>
    <m/>
    <m/>
    <s v="H"/>
    <x v="8"/>
    <s v="HEREFORD"/>
    <s v="0 años 1 meses"/>
    <s v="16-12-2025"/>
    <s v="Vivo"/>
    <x v="0"/>
    <s v="Sin Movimiento"/>
    <s v="11.1.01.1241"/>
    <s v="SI"/>
    <d v="2025-12-17T00:00:00"/>
  </r>
  <r>
    <n v="26234465"/>
    <m/>
    <m/>
    <e v="#N/A"/>
    <m/>
    <m/>
    <m/>
    <m/>
    <m/>
    <m/>
    <s v="H"/>
    <x v="8"/>
    <s v="HEREFORD"/>
    <s v="0 años 1 meses"/>
    <s v="16-12-2025"/>
    <s v="Vivo"/>
    <x v="0"/>
    <s v="Sin Movimiento"/>
    <s v="11.1.01.1241"/>
    <s v="SI"/>
    <d v="2025-12-17T00:00:00"/>
  </r>
  <r>
    <n v="26234466"/>
    <m/>
    <m/>
    <e v="#N/A"/>
    <m/>
    <m/>
    <m/>
    <m/>
    <m/>
    <m/>
    <s v="M"/>
    <x v="7"/>
    <s v="HEREFORD"/>
    <s v="0 años 1 meses"/>
    <s v="16-12-2025"/>
    <s v="Vivo"/>
    <x v="0"/>
    <s v="Sin Movimiento"/>
    <s v="11.1.01.1241"/>
    <s v="SI"/>
    <d v="2025-12-17T00:00:00"/>
  </r>
  <r>
    <n v="26234467"/>
    <m/>
    <m/>
    <e v="#N/A"/>
    <m/>
    <m/>
    <m/>
    <m/>
    <m/>
    <m/>
    <s v="M"/>
    <x v="7"/>
    <s v="HEREFORD"/>
    <s v="0 años 1 meses"/>
    <s v="16-12-2025"/>
    <s v="Vivo"/>
    <x v="0"/>
    <s v="Sin Movimiento"/>
    <s v="11.1.01.1241"/>
    <s v="SI"/>
    <d v="2025-12-17T00:00:00"/>
  </r>
  <r>
    <n v="26234468"/>
    <m/>
    <m/>
    <e v="#N/A"/>
    <m/>
    <m/>
    <m/>
    <m/>
    <m/>
    <m/>
    <s v="H"/>
    <x v="8"/>
    <s v="HEREFORD"/>
    <s v="0 años 1 meses"/>
    <s v="16-12-2025"/>
    <s v="Vivo"/>
    <x v="0"/>
    <s v="Sin Movimiento"/>
    <s v="11.1.01.1241"/>
    <s v="SI"/>
    <d v="2025-12-17T00:00:00"/>
  </r>
  <r>
    <n v="26234469"/>
    <m/>
    <m/>
    <e v="#N/A"/>
    <m/>
    <m/>
    <m/>
    <m/>
    <m/>
    <m/>
    <s v="M"/>
    <x v="7"/>
    <s v="HEREFORD"/>
    <s v="0 años 1 meses"/>
    <s v="16-12-2025"/>
    <s v="Vivo"/>
    <x v="0"/>
    <s v="Sin Movimiento"/>
    <s v="11.1.01.1241"/>
    <s v="SI"/>
    <d v="2025-12-17T00:00:00"/>
  </r>
  <r>
    <n v="26234470"/>
    <m/>
    <m/>
    <e v="#N/A"/>
    <m/>
    <m/>
    <m/>
    <m/>
    <m/>
    <m/>
    <s v="M"/>
    <x v="7"/>
    <s v="HEREFORD"/>
    <s v="0 años 1 meses"/>
    <s v="16-12-2025"/>
    <s v="Vivo"/>
    <x v="0"/>
    <s v="Sin Movimiento"/>
    <s v="11.1.01.1241"/>
    <s v="SI"/>
    <d v="2025-12-17T00:00:00"/>
  </r>
  <r>
    <n v="26234471"/>
    <m/>
    <m/>
    <e v="#N/A"/>
    <m/>
    <m/>
    <m/>
    <m/>
    <m/>
    <m/>
    <s v="M"/>
    <x v="7"/>
    <s v="HEREFORD"/>
    <s v="0 años 1 meses"/>
    <s v="16-12-2025"/>
    <s v="Vivo"/>
    <x v="0"/>
    <s v="Sin Movimiento"/>
    <s v="11.1.01.1241"/>
    <s v="SI"/>
    <d v="2025-12-17T00:00:00"/>
  </r>
  <r>
    <n v="26234472"/>
    <m/>
    <m/>
    <e v="#N/A"/>
    <m/>
    <m/>
    <m/>
    <m/>
    <m/>
    <m/>
    <s v="M"/>
    <x v="7"/>
    <s v="ANGUS ROJO"/>
    <s v="0 años 1 meses"/>
    <s v="16-12-2025"/>
    <s v="Vivo"/>
    <x v="0"/>
    <s v="Sin Movimiento"/>
    <s v="11.1.01.1241"/>
    <s v="SI"/>
    <d v="2025-12-17T00:00:00"/>
  </r>
  <r>
    <n v="26234473"/>
    <m/>
    <m/>
    <e v="#N/A"/>
    <m/>
    <m/>
    <m/>
    <m/>
    <m/>
    <m/>
    <s v="H"/>
    <x v="8"/>
    <s v="ANGUS NEGRO"/>
    <s v="0 años 1 meses"/>
    <s v="16-12-2025"/>
    <s v="Vivo"/>
    <x v="0"/>
    <s v="Sin Movimiento"/>
    <s v="11.1.01.1241"/>
    <s v="SI"/>
    <d v="2025-12-17T00:00:00"/>
  </r>
  <r>
    <n v="26234474"/>
    <m/>
    <m/>
    <e v="#N/A"/>
    <m/>
    <m/>
    <m/>
    <m/>
    <m/>
    <m/>
    <s v="H"/>
    <x v="8"/>
    <s v="ANGUS NEGRO"/>
    <s v="0 años 1 meses"/>
    <s v="16-12-2025"/>
    <s v="Vivo"/>
    <x v="0"/>
    <s v="Sin Movimiento"/>
    <s v="11.1.01.1241"/>
    <s v="SI"/>
    <d v="2025-12-17T00:00:00"/>
  </r>
  <r>
    <n v="26234475"/>
    <m/>
    <m/>
    <e v="#N/A"/>
    <m/>
    <m/>
    <m/>
    <m/>
    <m/>
    <m/>
    <s v="M"/>
    <x v="7"/>
    <s v="ANGUS NEGRO"/>
    <s v="0 años 1 meses"/>
    <s v="16-12-2025"/>
    <s v="Vivo"/>
    <x v="0"/>
    <s v="Sin Movimiento"/>
    <s v="11.1.01.1241"/>
    <s v="SI"/>
    <d v="2025-12-17T00:00:00"/>
  </r>
  <r>
    <n v="26234476"/>
    <m/>
    <m/>
    <e v="#N/A"/>
    <m/>
    <m/>
    <m/>
    <m/>
    <m/>
    <m/>
    <s v="M"/>
    <x v="7"/>
    <s v="ANGUS NEGRO"/>
    <s v="0 años 1 meses"/>
    <s v="16-12-2025"/>
    <s v="Vivo"/>
    <x v="0"/>
    <s v="Sin Movimiento"/>
    <s v="11.1.01.1241"/>
    <s v="SI"/>
    <d v="2025-12-17T00:00:00"/>
  </r>
  <r>
    <n v="26234477"/>
    <m/>
    <m/>
    <e v="#N/A"/>
    <m/>
    <m/>
    <m/>
    <m/>
    <m/>
    <m/>
    <s v="M"/>
    <x v="7"/>
    <s v="ANGUS NEGRO"/>
    <s v="0 años 1 meses"/>
    <s v="16-12-2025"/>
    <s v="Vivo"/>
    <x v="0"/>
    <s v="Sin Movimiento"/>
    <s v="11.1.01.1241"/>
    <s v="SI"/>
    <d v="2025-12-17T00:00:00"/>
  </r>
  <r>
    <n v="26234485"/>
    <m/>
    <m/>
    <e v="#N/A"/>
    <m/>
    <m/>
    <m/>
    <m/>
    <m/>
    <m/>
    <s v="H"/>
    <x v="8"/>
    <s v="ANGUS NEGRO"/>
    <s v="0 años 0 meses"/>
    <s v="21-12-2025"/>
    <s v="Vivo"/>
    <x v="4"/>
    <s v="11.1.01.0893"/>
    <s v="11.1.01.0893"/>
    <s v="SI"/>
    <d v="2025-12-21T00:00:00"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  <r>
    <m/>
    <m/>
    <m/>
    <m/>
    <m/>
    <m/>
    <m/>
    <m/>
    <m/>
    <m/>
    <m/>
    <x v="9"/>
    <m/>
    <m/>
    <m/>
    <m/>
    <x v="1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compact="0" compactData="0" gridDropZones="1" multipleFieldFilters="0">
  <location ref="A3:D11" firstHeaderRow="1" firstDataRow="2" firstDataCol="1"/>
  <pivotFields count="21">
    <pivotField dataField="1"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11">
        <item x="8"/>
        <item x="7"/>
        <item h="1" x="9"/>
        <item h="1" x="0"/>
        <item h="1" x="1"/>
        <item h="1" x="2"/>
        <item h="1" x="3"/>
        <item h="1" x="5"/>
        <item h="1" x="4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 sortType="descending">
      <items count="13">
        <item x="11"/>
        <item x="5"/>
        <item x="3"/>
        <item x="7"/>
        <item x="1"/>
        <item x="0"/>
        <item x="9"/>
        <item x="10"/>
        <item x="6"/>
        <item x="2"/>
        <item x="8"/>
        <item x="4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6"/>
  </rowFields>
  <rowItems count="7">
    <i>
      <x v="2"/>
    </i>
    <i>
      <x v="3"/>
    </i>
    <i>
      <x v="5"/>
    </i>
    <i>
      <x v="8"/>
    </i>
    <i>
      <x v="9"/>
    </i>
    <i>
      <x v="1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DIIO" fld="0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compact="0" compactData="0" gridDropZones="1" multipleFieldFilters="0">
  <location ref="A24:K37" firstHeaderRow="1" firstDataRow="2" firstDataCol="1"/>
  <pivotFields count="21">
    <pivotField dataField="1"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11">
        <item x="0"/>
        <item x="5"/>
        <item x="8"/>
        <item x="7"/>
        <item x="2"/>
        <item x="1"/>
        <item x="4"/>
        <item h="1" x="9"/>
        <item x="3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>
      <items count="13">
        <item x="4"/>
        <item x="8"/>
        <item x="2"/>
        <item x="6"/>
        <item x="10"/>
        <item x="9"/>
        <item x="0"/>
        <item x="3"/>
        <item x="11"/>
        <item x="7"/>
        <item x="5"/>
        <item x="1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Fields count="1">
    <field x="1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colItems>
  <dataFields count="1">
    <dataField name="Cuenta de DIIO" fld="0" subtotal="count" baseField="0" baseItem="0"/>
  </dataFields>
  <formats count="5">
    <format dxfId="5">
      <pivotArea outline="0" fieldPosition="0">
        <references count="1">
          <reference field="16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16" count="1">
            <x v="1"/>
          </reference>
        </references>
      </pivotArea>
    </format>
    <format dxfId="3">
      <pivotArea type="all" dataOnly="0" outline="0" fieldPosition="0"/>
    </format>
    <format dxfId="2">
      <pivotArea outline="0" fieldPosition="0">
        <references count="1">
          <reference field="16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16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compact="0" compactData="0" gridDropZones="1" multipleFieldFilters="0">
  <location ref="A57:F295" firstHeaderRow="1" firstDataRow="2" firstDataCol="2"/>
  <pivotFields count="20">
    <pivotField dataField="1"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axis="axisRow" compact="0" outline="0" showAll="0">
      <items count="11">
        <item x="0"/>
        <item x="5"/>
        <item x="7"/>
        <item x="8"/>
        <item x="3"/>
        <item x="1"/>
        <item x="4"/>
        <item h="1" x="9"/>
        <item x="2"/>
        <item h="1" x="6"/>
        <item t="default"/>
      </items>
    </pivotField>
    <pivotField compact="0" outline="0" showAll="0"/>
    <pivotField axis="axisRow" compact="0" outline="0" showAll="0">
      <items count="237">
        <item x="142"/>
        <item x="143"/>
        <item x="148"/>
        <item x="149"/>
        <item m="1" x="197"/>
        <item m="1" x="178"/>
        <item x="144"/>
        <item x="141"/>
        <item x="140"/>
        <item x="131"/>
        <item x="132"/>
        <item x="136"/>
        <item m="1" x="159"/>
        <item x="139"/>
        <item x="134"/>
        <item x="62"/>
        <item x="63"/>
        <item x="75"/>
        <item x="74"/>
        <item x="72"/>
        <item m="1" x="190"/>
        <item x="76"/>
        <item m="1" x="219"/>
        <item x="77"/>
        <item m="1" x="196"/>
        <item x="70"/>
        <item x="60"/>
        <item x="59"/>
        <item m="1" x="232"/>
        <item m="1" x="203"/>
        <item m="1" x="181"/>
        <item x="69"/>
        <item x="68"/>
        <item x="67"/>
        <item m="1" x="204"/>
        <item x="55"/>
        <item m="1" x="166"/>
        <item m="1" x="199"/>
        <item x="111"/>
        <item x="54"/>
        <item x="56"/>
        <item x="46"/>
        <item x="47"/>
        <item m="1" x="208"/>
        <item m="1" x="183"/>
        <item m="1" x="155"/>
        <item x="45"/>
        <item x="44"/>
        <item m="1" x="209"/>
        <item x="118"/>
        <item x="41"/>
        <item m="1" x="198"/>
        <item x="40"/>
        <item m="1" x="176"/>
        <item x="36"/>
        <item x="39"/>
        <item x="27"/>
        <item x="32"/>
        <item m="1" x="153"/>
        <item m="1" x="212"/>
        <item m="1" x="187"/>
        <item x="33"/>
        <item x="26"/>
        <item x="29"/>
        <item x="28"/>
        <item m="1" x="214"/>
        <item m="1" x="220"/>
        <item m="1" x="180"/>
        <item x="22"/>
        <item x="19"/>
        <item m="1" x="182"/>
        <item m="1" x="215"/>
        <item m="1" x="162"/>
        <item m="1" x="216"/>
        <item m="1" x="224"/>
        <item m="1" x="177"/>
        <item m="1" x="207"/>
        <item m="1" x="184"/>
        <item m="1" x="225"/>
        <item x="130"/>
        <item m="1" x="226"/>
        <item x="122"/>
        <item m="1" x="165"/>
        <item m="1" x="233"/>
        <item m="1" x="186"/>
        <item m="1" x="157"/>
        <item m="1" x="230"/>
        <item x="35"/>
        <item m="1" x="202"/>
        <item m="1" x="191"/>
        <item m="1" x="164"/>
        <item x="0"/>
        <item m="1" x="194"/>
        <item m="1" x="169"/>
        <item x="133"/>
        <item x="120"/>
        <item x="123"/>
        <item x="124"/>
        <item x="119"/>
        <item m="1" x="234"/>
        <item m="1" x="217"/>
        <item m="1" x="200"/>
        <item m="1" x="185"/>
        <item x="117"/>
        <item x="98"/>
        <item m="1" x="213"/>
        <item m="1" x="188"/>
        <item x="94"/>
        <item m="1" x="163"/>
        <item x="101"/>
        <item m="1" x="189"/>
        <item m="1" x="171"/>
        <item x="103"/>
        <item x="107"/>
        <item x="106"/>
        <item m="1" x="173"/>
        <item m="1" x="172"/>
        <item m="1" x="154"/>
        <item x="105"/>
        <item x="100"/>
        <item x="104"/>
        <item x="89"/>
        <item x="88"/>
        <item m="1" x="206"/>
        <item m="1" x="193"/>
        <item m="1" x="174"/>
        <item x="90"/>
        <item m="1" x="175"/>
        <item x="87"/>
        <item x="83"/>
        <item x="82"/>
        <item m="1" x="156"/>
        <item m="1" x="228"/>
        <item m="1" x="211"/>
        <item m="1" x="195"/>
        <item x="80"/>
        <item x="65"/>
        <item x="64"/>
        <item m="1" x="179"/>
        <item m="1" x="158"/>
        <item m="1" x="229"/>
        <item x="4"/>
        <item x="151"/>
        <item m="1" x="167"/>
        <item x="34"/>
        <item m="1" x="160"/>
        <item m="1" x="201"/>
        <item m="1" x="168"/>
        <item m="1" x="205"/>
        <item x="9"/>
        <item m="1" x="221"/>
        <item m="1" x="218"/>
        <item x="13"/>
        <item x="12"/>
        <item m="1" x="235"/>
        <item x="17"/>
        <item m="1" x="192"/>
        <item m="1" x="161"/>
        <item x="21"/>
        <item x="92"/>
        <item x="30"/>
        <item m="1" x="152"/>
        <item m="1" x="170"/>
        <item x="43"/>
        <item x="48"/>
        <item x="52"/>
        <item x="58"/>
        <item x="66"/>
        <item x="71"/>
        <item x="78"/>
        <item x="61"/>
        <item x="81"/>
        <item x="85"/>
        <item x="112"/>
        <item x="97"/>
        <item m="1" x="222"/>
        <item x="93"/>
        <item x="38"/>
        <item m="1" x="223"/>
        <item x="116"/>
        <item x="129"/>
        <item x="128"/>
        <item x="121"/>
        <item m="1" x="231"/>
        <item x="138"/>
        <item x="137"/>
        <item m="1" x="210"/>
        <item x="150"/>
        <item x="146"/>
        <item x="147"/>
        <item m="1" x="227"/>
        <item x="114"/>
        <item x="1"/>
        <item x="2"/>
        <item x="3"/>
        <item x="5"/>
        <item x="6"/>
        <item x="7"/>
        <item x="8"/>
        <item x="10"/>
        <item x="11"/>
        <item x="14"/>
        <item x="15"/>
        <item x="16"/>
        <item x="18"/>
        <item x="20"/>
        <item x="23"/>
        <item x="24"/>
        <item x="25"/>
        <item x="31"/>
        <item x="37"/>
        <item x="42"/>
        <item x="49"/>
        <item x="50"/>
        <item x="51"/>
        <item x="53"/>
        <item x="57"/>
        <item x="73"/>
        <item x="79"/>
        <item x="84"/>
        <item x="86"/>
        <item x="91"/>
        <item x="95"/>
        <item x="96"/>
        <item x="99"/>
        <item x="102"/>
        <item x="108"/>
        <item x="109"/>
        <item x="110"/>
        <item x="113"/>
        <item x="115"/>
        <item x="125"/>
        <item x="126"/>
        <item x="127"/>
        <item x="135"/>
        <item x="145"/>
        <item t="default"/>
      </items>
    </pivotField>
    <pivotField compact="0" outline="0" showAl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axis="axisCol" compact="0" outline="0" showAll="0" defaultSubtotal="0">
      <items count="147">
        <item x="2"/>
        <item x="1"/>
        <item x="0"/>
        <item x="3"/>
        <item m="1" x="75"/>
        <item m="1" x="139"/>
        <item m="1" x="94"/>
        <item m="1" x="19"/>
        <item m="1" x="102"/>
        <item m="1" x="29"/>
        <item m="1" x="65"/>
        <item m="1" x="62"/>
        <item m="1" x="35"/>
        <item m="1" x="72"/>
        <item m="1" x="133"/>
        <item m="1" x="132"/>
        <item m="1" x="122"/>
        <item m="1" x="101"/>
        <item m="1" x="50"/>
        <item m="1" x="27"/>
        <item m="1" x="44"/>
        <item m="1" x="120"/>
        <item m="1" x="59"/>
        <item m="1" x="93"/>
        <item m="1" x="115"/>
        <item m="1" x="56"/>
        <item m="1" x="127"/>
        <item m="1" x="131"/>
        <item m="1" x="17"/>
        <item m="1" x="112"/>
        <item m="1" x="66"/>
        <item m="1" x="37"/>
        <item m="1" x="124"/>
        <item m="1" x="51"/>
        <item m="1" x="125"/>
        <item m="1" x="16"/>
        <item m="1" x="8"/>
        <item m="1" x="138"/>
        <item m="1" x="48"/>
        <item m="1" x="90"/>
        <item m="1" x="121"/>
        <item m="1" x="106"/>
        <item m="1" x="80"/>
        <item m="1" x="128"/>
        <item m="1" x="118"/>
        <item m="1" x="12"/>
        <item m="1" x="43"/>
        <item m="1" x="33"/>
        <item m="1" x="11"/>
        <item m="1" x="61"/>
        <item m="1" x="103"/>
        <item m="1" x="114"/>
        <item m="1" x="24"/>
        <item m="1" x="105"/>
        <item m="1" x="84"/>
        <item m="1" x="41"/>
        <item m="1" x="40"/>
        <item m="1" x="83"/>
        <item m="1" x="36"/>
        <item m="1" x="96"/>
        <item m="1" x="58"/>
        <item m="1" x="5"/>
        <item m="1" x="6"/>
        <item m="1" x="81"/>
        <item m="1" x="137"/>
        <item m="1" x="130"/>
        <item m="1" x="22"/>
        <item m="1" x="55"/>
        <item m="1" x="110"/>
        <item m="1" x="95"/>
        <item m="1" x="140"/>
        <item m="1" x="78"/>
        <item m="1" x="91"/>
        <item m="1" x="23"/>
        <item m="1" x="144"/>
        <item m="1" x="34"/>
        <item m="1" x="77"/>
        <item m="1" x="126"/>
        <item m="1" x="10"/>
        <item m="1" x="71"/>
        <item m="1" x="100"/>
        <item m="1" x="18"/>
        <item m="1" x="76"/>
        <item m="1" x="107"/>
        <item m="1" x="68"/>
        <item m="1" x="15"/>
        <item m="1" x="135"/>
        <item m="1" x="47"/>
        <item m="1" x="104"/>
        <item m="1" x="146"/>
        <item m="1" x="13"/>
        <item m="1" x="108"/>
        <item m="1" x="14"/>
        <item m="1" x="46"/>
        <item m="1" x="74"/>
        <item m="1" x="99"/>
        <item m="1" x="45"/>
        <item m="1" x="67"/>
        <item m="1" x="4"/>
        <item m="1" x="113"/>
        <item m="1" x="70"/>
        <item m="1" x="129"/>
        <item m="1" x="52"/>
        <item m="1" x="98"/>
        <item m="1" x="39"/>
        <item m="1" x="97"/>
        <item m="1" x="28"/>
        <item m="1" x="69"/>
        <item m="1" x="38"/>
        <item m="1" x="86"/>
        <item m="1" x="42"/>
        <item m="1" x="9"/>
        <item m="1" x="49"/>
        <item m="1" x="32"/>
        <item m="1" x="88"/>
        <item m="1" x="145"/>
        <item m="1" x="64"/>
        <item m="1" x="63"/>
        <item m="1" x="89"/>
        <item m="1" x="134"/>
        <item m="1" x="141"/>
        <item m="1" x="117"/>
        <item m="1" x="143"/>
        <item m="1" x="123"/>
        <item m="1" x="87"/>
        <item m="1" x="31"/>
        <item m="1" x="85"/>
        <item m="1" x="142"/>
        <item m="1" x="119"/>
        <item m="1" x="26"/>
        <item m="1" x="73"/>
        <item m="1" x="82"/>
        <item m="1" x="25"/>
        <item m="1" x="30"/>
        <item m="1" x="116"/>
        <item m="1" x="54"/>
        <item m="1" x="21"/>
        <item m="1" x="111"/>
        <item m="1" x="7"/>
        <item m="1" x="57"/>
        <item m="1" x="20"/>
        <item m="1" x="79"/>
        <item m="1" x="53"/>
        <item m="1" x="109"/>
        <item m="1" x="136"/>
        <item m="1" x="60"/>
        <item h="1" m="1" x="92"/>
      </items>
    </pivotField>
    <pivotField compact="0" outline="0" showAll="0" defaultSubtotal="0"/>
  </pivotFields>
  <rowFields count="2">
    <field x="10"/>
    <field x="12"/>
  </rowFields>
  <rowItems count="237">
    <i>
      <x/>
      <x v="40"/>
    </i>
    <i r="1">
      <x v="91"/>
    </i>
    <i r="1">
      <x v="153"/>
    </i>
    <i r="1">
      <x v="174"/>
    </i>
    <i r="1">
      <x v="192"/>
    </i>
    <i r="1">
      <x v="196"/>
    </i>
    <i r="1">
      <x v="200"/>
    </i>
    <i r="1">
      <x v="202"/>
    </i>
    <i r="1">
      <x v="203"/>
    </i>
    <i r="1">
      <x v="212"/>
    </i>
    <i r="1">
      <x v="214"/>
    </i>
    <i r="1">
      <x v="216"/>
    </i>
    <i r="1">
      <x v="219"/>
    </i>
    <i r="1">
      <x v="221"/>
    </i>
    <i r="1">
      <x v="223"/>
    </i>
    <i t="default">
      <x/>
    </i>
    <i>
      <x v="1"/>
      <x v="13"/>
    </i>
    <i r="1">
      <x v="79"/>
    </i>
    <i r="1">
      <x v="81"/>
    </i>
    <i r="1">
      <x v="180"/>
    </i>
    <i r="1">
      <x v="182"/>
    </i>
    <i r="1">
      <x v="184"/>
    </i>
    <i r="1">
      <x v="185"/>
    </i>
    <i r="1">
      <x v="231"/>
    </i>
    <i r="1">
      <x v="233"/>
    </i>
    <i r="1">
      <x v="234"/>
    </i>
    <i t="default">
      <x v="1"/>
    </i>
    <i>
      <x v="2"/>
      <x/>
    </i>
    <i r="1">
      <x v="2"/>
    </i>
    <i r="1">
      <x v="3"/>
    </i>
    <i r="1">
      <x v="6"/>
    </i>
    <i r="1">
      <x v="187"/>
    </i>
    <i r="1">
      <x v="188"/>
    </i>
    <i r="1">
      <x v="189"/>
    </i>
    <i t="default">
      <x v="2"/>
    </i>
    <i>
      <x v="3"/>
      <x v="1"/>
    </i>
    <i r="1">
      <x v="6"/>
    </i>
    <i r="1">
      <x v="188"/>
    </i>
    <i t="default">
      <x v="3"/>
    </i>
    <i>
      <x v="4"/>
      <x v="15"/>
    </i>
    <i r="1">
      <x v="16"/>
    </i>
    <i r="1">
      <x v="18"/>
    </i>
    <i r="1">
      <x v="19"/>
    </i>
    <i r="1">
      <x v="21"/>
    </i>
    <i r="1">
      <x v="23"/>
    </i>
    <i r="1">
      <x v="25"/>
    </i>
    <i r="1">
      <x v="27"/>
    </i>
    <i r="1">
      <x v="35"/>
    </i>
    <i r="1">
      <x v="39"/>
    </i>
    <i r="1">
      <x v="40"/>
    </i>
    <i r="1">
      <x v="41"/>
    </i>
    <i r="1">
      <x v="47"/>
    </i>
    <i r="1">
      <x v="50"/>
    </i>
    <i r="1">
      <x v="52"/>
    </i>
    <i r="1">
      <x v="57"/>
    </i>
    <i r="1">
      <x v="62"/>
    </i>
    <i r="1">
      <x v="63"/>
    </i>
    <i r="1">
      <x v="95"/>
    </i>
    <i r="1">
      <x v="98"/>
    </i>
    <i r="1">
      <x v="103"/>
    </i>
    <i r="1">
      <x v="104"/>
    </i>
    <i r="1">
      <x v="113"/>
    </i>
    <i r="1">
      <x v="129"/>
    </i>
    <i r="1">
      <x v="130"/>
    </i>
    <i r="1">
      <x v="135"/>
    </i>
    <i r="1">
      <x v="159"/>
    </i>
    <i r="1">
      <x v="160"/>
    </i>
    <i r="1">
      <x v="163"/>
    </i>
    <i r="1">
      <x v="165"/>
    </i>
    <i r="1">
      <x v="166"/>
    </i>
    <i r="1">
      <x v="167"/>
    </i>
    <i r="1">
      <x v="168"/>
    </i>
    <i r="1">
      <x v="169"/>
    </i>
    <i r="1">
      <x v="171"/>
    </i>
    <i r="1">
      <x v="172"/>
    </i>
    <i r="1">
      <x v="174"/>
    </i>
    <i r="1">
      <x v="176"/>
    </i>
    <i r="1">
      <x v="177"/>
    </i>
    <i r="1">
      <x v="179"/>
    </i>
    <i r="1">
      <x v="191"/>
    </i>
    <i r="1">
      <x v="205"/>
    </i>
    <i r="1">
      <x v="206"/>
    </i>
    <i r="1">
      <x v="207"/>
    </i>
    <i r="1">
      <x v="208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1"/>
    </i>
    <i r="1">
      <x v="222"/>
    </i>
    <i r="1">
      <x v="223"/>
    </i>
    <i r="1">
      <x v="226"/>
    </i>
    <i r="1">
      <x v="229"/>
    </i>
    <i r="1">
      <x v="230"/>
    </i>
    <i r="1">
      <x v="232"/>
    </i>
    <i r="1">
      <x v="235"/>
    </i>
    <i t="default">
      <x v="4"/>
    </i>
    <i>
      <x v="5"/>
      <x v="15"/>
    </i>
    <i r="1">
      <x v="16"/>
    </i>
    <i r="1">
      <x v="17"/>
    </i>
    <i r="1">
      <x v="18"/>
    </i>
    <i r="1">
      <x v="19"/>
    </i>
    <i r="1">
      <x v="25"/>
    </i>
    <i r="1">
      <x v="26"/>
    </i>
    <i r="1">
      <x v="27"/>
    </i>
    <i r="1">
      <x v="31"/>
    </i>
    <i r="1">
      <x v="32"/>
    </i>
    <i r="1">
      <x v="33"/>
    </i>
    <i r="1">
      <x v="35"/>
    </i>
    <i r="1">
      <x v="38"/>
    </i>
    <i r="1">
      <x v="40"/>
    </i>
    <i r="1">
      <x v="41"/>
    </i>
    <i r="1">
      <x v="42"/>
    </i>
    <i r="1">
      <x v="46"/>
    </i>
    <i r="1">
      <x v="47"/>
    </i>
    <i r="1">
      <x v="49"/>
    </i>
    <i r="1">
      <x v="50"/>
    </i>
    <i r="1">
      <x v="54"/>
    </i>
    <i r="1">
      <x v="55"/>
    </i>
    <i r="1">
      <x v="56"/>
    </i>
    <i r="1">
      <x v="61"/>
    </i>
    <i r="1">
      <x v="64"/>
    </i>
    <i r="1">
      <x v="68"/>
    </i>
    <i r="1">
      <x v="69"/>
    </i>
    <i r="1">
      <x v="81"/>
    </i>
    <i r="1">
      <x v="87"/>
    </i>
    <i r="1">
      <x v="94"/>
    </i>
    <i r="1">
      <x v="95"/>
    </i>
    <i r="1">
      <x v="96"/>
    </i>
    <i r="1">
      <x v="97"/>
    </i>
    <i r="1">
      <x v="98"/>
    </i>
    <i r="1">
      <x v="103"/>
    </i>
    <i r="1">
      <x v="104"/>
    </i>
    <i r="1">
      <x v="107"/>
    </i>
    <i r="1">
      <x v="109"/>
    </i>
    <i r="1">
      <x v="112"/>
    </i>
    <i r="1">
      <x v="113"/>
    </i>
    <i r="1">
      <x v="114"/>
    </i>
    <i r="1">
      <x v="118"/>
    </i>
    <i r="1">
      <x v="119"/>
    </i>
    <i r="1">
      <x v="120"/>
    </i>
    <i r="1">
      <x v="121"/>
    </i>
    <i r="1">
      <x v="122"/>
    </i>
    <i r="1">
      <x v="126"/>
    </i>
    <i r="1">
      <x v="128"/>
    </i>
    <i r="1">
      <x v="129"/>
    </i>
    <i r="1">
      <x v="130"/>
    </i>
    <i r="1">
      <x v="135"/>
    </i>
    <i r="1">
      <x v="136"/>
    </i>
    <i r="1">
      <x v="137"/>
    </i>
    <i r="1">
      <x v="144"/>
    </i>
    <i r="1">
      <x v="149"/>
    </i>
    <i r="1">
      <x v="152"/>
    </i>
    <i r="1">
      <x v="153"/>
    </i>
    <i r="1">
      <x v="155"/>
    </i>
    <i r="1">
      <x v="158"/>
    </i>
    <i r="1">
      <x v="159"/>
    </i>
    <i r="1">
      <x v="160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6"/>
    </i>
    <i r="1">
      <x v="177"/>
    </i>
    <i r="1">
      <x v="179"/>
    </i>
    <i r="1">
      <x v="191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2"/>
    </i>
    <i t="default">
      <x v="5"/>
    </i>
    <i>
      <x v="6"/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79"/>
    </i>
    <i r="1">
      <x v="180"/>
    </i>
    <i r="1">
      <x v="181"/>
    </i>
    <i r="1">
      <x v="182"/>
    </i>
    <i r="1">
      <x v="184"/>
    </i>
    <i r="1">
      <x v="185"/>
    </i>
    <i r="1">
      <x v="234"/>
    </i>
    <i t="default">
      <x v="6"/>
    </i>
    <i>
      <x v="8"/>
      <x v="141"/>
    </i>
    <i t="default">
      <x v="8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uenta de DIIO" fld="0" subtotal="count" baseField="0" baseItem="0"/>
  </dataFields>
  <formats count="1">
    <format dxfId="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95"/>
  <sheetViews>
    <sheetView workbookViewId="0">
      <selection activeCell="E16" sqref="E16"/>
    </sheetView>
  </sheetViews>
  <sheetFormatPr baseColWidth="10" defaultRowHeight="15" x14ac:dyDescent="0.25"/>
  <cols>
    <col min="1" max="1" width="15.5703125" customWidth="1"/>
    <col min="2" max="10" width="10.28515625" customWidth="1"/>
    <col min="11" max="11" width="12.5703125" customWidth="1"/>
    <col min="12" max="17" width="22" customWidth="1"/>
    <col min="18" max="143" width="22" bestFit="1" customWidth="1"/>
    <col min="144" max="144" width="12.5703125" bestFit="1" customWidth="1"/>
  </cols>
  <sheetData>
    <row r="3" spans="1:4" x14ac:dyDescent="0.25">
      <c r="A3" s="1" t="s">
        <v>366</v>
      </c>
      <c r="B3" s="1" t="s">
        <v>333</v>
      </c>
      <c r="C3" s="21"/>
      <c r="D3" s="21"/>
    </row>
    <row r="4" spans="1:4" ht="30" x14ac:dyDescent="0.25">
      <c r="A4" s="1" t="s">
        <v>337</v>
      </c>
      <c r="B4" s="20" t="s">
        <v>15</v>
      </c>
      <c r="C4" s="20" t="s">
        <v>13</v>
      </c>
      <c r="D4" s="20" t="s">
        <v>365</v>
      </c>
    </row>
    <row r="5" spans="1:4" x14ac:dyDescent="0.25">
      <c r="A5" s="20" t="s">
        <v>1</v>
      </c>
      <c r="B5" s="2">
        <v>59</v>
      </c>
      <c r="C5" s="2">
        <v>61</v>
      </c>
      <c r="D5" s="2">
        <v>120</v>
      </c>
    </row>
    <row r="6" spans="1:4" x14ac:dyDescent="0.25">
      <c r="A6" s="20" t="s">
        <v>370</v>
      </c>
      <c r="B6" s="2">
        <v>52</v>
      </c>
      <c r="C6" s="2">
        <v>1</v>
      </c>
      <c r="D6" s="2">
        <v>53</v>
      </c>
    </row>
    <row r="7" spans="1:4" x14ac:dyDescent="0.25">
      <c r="A7" s="20" t="s">
        <v>0</v>
      </c>
      <c r="B7" s="2">
        <v>40</v>
      </c>
      <c r="C7" s="2">
        <v>39</v>
      </c>
      <c r="D7" s="2">
        <v>79</v>
      </c>
    </row>
    <row r="8" spans="1:4" x14ac:dyDescent="0.25">
      <c r="A8" s="20" t="s">
        <v>3</v>
      </c>
      <c r="B8" s="2">
        <v>8</v>
      </c>
      <c r="C8" s="2">
        <v>3</v>
      </c>
      <c r="D8" s="2">
        <v>11</v>
      </c>
    </row>
    <row r="9" spans="1:4" x14ac:dyDescent="0.25">
      <c r="A9" s="20" t="s">
        <v>2</v>
      </c>
      <c r="B9" s="2">
        <v>1</v>
      </c>
      <c r="C9" s="2">
        <v>7</v>
      </c>
      <c r="D9" s="2">
        <v>8</v>
      </c>
    </row>
    <row r="10" spans="1:4" x14ac:dyDescent="0.25">
      <c r="A10" s="20" t="s">
        <v>5</v>
      </c>
      <c r="B10" s="2">
        <v>58</v>
      </c>
      <c r="C10" s="2">
        <v>60</v>
      </c>
      <c r="D10" s="2">
        <v>118</v>
      </c>
    </row>
    <row r="11" spans="1:4" x14ac:dyDescent="0.25">
      <c r="A11" s="20" t="s">
        <v>365</v>
      </c>
      <c r="B11" s="2">
        <v>218</v>
      </c>
      <c r="C11" s="2">
        <v>171</v>
      </c>
      <c r="D11" s="2">
        <v>389</v>
      </c>
    </row>
    <row r="24" spans="1:12" x14ac:dyDescent="0.25">
      <c r="A24" s="1" t="s">
        <v>366</v>
      </c>
      <c r="B24" s="1" t="s">
        <v>333</v>
      </c>
      <c r="C24" s="21"/>
      <c r="D24" s="21"/>
      <c r="E24" s="21"/>
      <c r="F24" s="21"/>
      <c r="G24" s="21"/>
      <c r="H24" s="21"/>
      <c r="I24" s="21"/>
      <c r="J24" s="21"/>
      <c r="K24" s="21"/>
    </row>
    <row r="25" spans="1:12" x14ac:dyDescent="0.25">
      <c r="A25" s="1" t="s">
        <v>337</v>
      </c>
      <c r="B25" s="20" t="s">
        <v>38</v>
      </c>
      <c r="C25" s="20" t="s">
        <v>89</v>
      </c>
      <c r="D25" s="20" t="s">
        <v>15</v>
      </c>
      <c r="E25" s="20" t="s">
        <v>13</v>
      </c>
      <c r="F25" s="20" t="s">
        <v>33</v>
      </c>
      <c r="G25" s="20" t="s">
        <v>26</v>
      </c>
      <c r="H25" s="20" t="s">
        <v>86</v>
      </c>
      <c r="I25" s="20" t="s">
        <v>371</v>
      </c>
      <c r="J25" s="20" t="s">
        <v>563</v>
      </c>
      <c r="K25" s="20" t="s">
        <v>365</v>
      </c>
    </row>
    <row r="26" spans="1:12" x14ac:dyDescent="0.25">
      <c r="A26" s="20" t="s">
        <v>5</v>
      </c>
      <c r="B26" s="2">
        <v>2</v>
      </c>
      <c r="C26" s="2"/>
      <c r="D26" s="2">
        <v>58</v>
      </c>
      <c r="E26" s="2">
        <v>60</v>
      </c>
      <c r="F26" s="2">
        <v>5</v>
      </c>
      <c r="G26" s="2">
        <v>140</v>
      </c>
      <c r="H26" s="2"/>
      <c r="I26" s="2"/>
      <c r="J26" s="2"/>
      <c r="K26" s="2">
        <v>265</v>
      </c>
    </row>
    <row r="27" spans="1:12" x14ac:dyDescent="0.25">
      <c r="A27" s="3" t="s">
        <v>9</v>
      </c>
      <c r="B27" s="4"/>
      <c r="C27" s="4"/>
      <c r="D27" s="4"/>
      <c r="E27" s="4"/>
      <c r="F27" s="4"/>
      <c r="G27" s="4">
        <v>3</v>
      </c>
      <c r="H27" s="4"/>
      <c r="I27" s="4"/>
      <c r="J27" s="4"/>
      <c r="K27" s="4">
        <v>3</v>
      </c>
    </row>
    <row r="28" spans="1:12" x14ac:dyDescent="0.25">
      <c r="A28" s="27" t="s">
        <v>2</v>
      </c>
      <c r="B28" s="28"/>
      <c r="C28" s="28">
        <v>1</v>
      </c>
      <c r="D28" s="28">
        <v>1</v>
      </c>
      <c r="E28" s="28">
        <v>7</v>
      </c>
      <c r="F28" s="28">
        <v>55</v>
      </c>
      <c r="G28" s="28">
        <v>82</v>
      </c>
      <c r="H28" s="28">
        <v>3</v>
      </c>
      <c r="I28" s="28"/>
      <c r="J28" s="28"/>
      <c r="K28" s="28">
        <v>149</v>
      </c>
      <c r="L28" s="29" t="s">
        <v>1113</v>
      </c>
    </row>
    <row r="29" spans="1:12" x14ac:dyDescent="0.25">
      <c r="A29" s="20" t="s">
        <v>3</v>
      </c>
      <c r="B29" s="2"/>
      <c r="C29" s="2">
        <v>3</v>
      </c>
      <c r="D29" s="2">
        <v>8</v>
      </c>
      <c r="E29" s="2">
        <v>3</v>
      </c>
      <c r="F29" s="2"/>
      <c r="G29" s="2">
        <v>15</v>
      </c>
      <c r="H29" s="2">
        <v>129</v>
      </c>
      <c r="I29" s="2"/>
      <c r="J29" s="2"/>
      <c r="K29" s="2">
        <v>158</v>
      </c>
    </row>
    <row r="30" spans="1:12" x14ac:dyDescent="0.25">
      <c r="A30" s="20" t="s">
        <v>4</v>
      </c>
      <c r="B30" s="2"/>
      <c r="C30" s="2">
        <v>4</v>
      </c>
      <c r="D30" s="2"/>
      <c r="E30" s="2"/>
      <c r="F30" s="2">
        <v>1</v>
      </c>
      <c r="G30" s="2">
        <v>16</v>
      </c>
      <c r="H30" s="2">
        <v>81</v>
      </c>
      <c r="I30" s="2"/>
      <c r="J30" s="2">
        <v>1</v>
      </c>
      <c r="K30" s="2">
        <v>103</v>
      </c>
    </row>
    <row r="31" spans="1:12" x14ac:dyDescent="0.25">
      <c r="A31" s="20" t="s">
        <v>6</v>
      </c>
      <c r="B31" s="2"/>
      <c r="C31" s="2"/>
      <c r="D31" s="2"/>
      <c r="E31" s="2"/>
      <c r="F31" s="2"/>
      <c r="G31" s="2">
        <v>5</v>
      </c>
      <c r="H31" s="2"/>
      <c r="I31" s="2"/>
      <c r="J31" s="2"/>
      <c r="K31" s="2">
        <v>5</v>
      </c>
    </row>
    <row r="32" spans="1:12" x14ac:dyDescent="0.25">
      <c r="A32" s="20" t="s">
        <v>0</v>
      </c>
      <c r="B32" s="2">
        <v>21</v>
      </c>
      <c r="C32" s="2">
        <v>8</v>
      </c>
      <c r="D32" s="2">
        <v>40</v>
      </c>
      <c r="E32" s="2">
        <v>39</v>
      </c>
      <c r="F32" s="2">
        <v>155</v>
      </c>
      <c r="G32" s="2">
        <v>493</v>
      </c>
      <c r="H32" s="2">
        <v>28</v>
      </c>
      <c r="I32" s="2"/>
      <c r="J32" s="2"/>
      <c r="K32" s="2">
        <v>784</v>
      </c>
    </row>
    <row r="33" spans="1:11" x14ac:dyDescent="0.25">
      <c r="A33" s="20" t="s">
        <v>1</v>
      </c>
      <c r="B33" s="2">
        <v>3</v>
      </c>
      <c r="C33" s="2"/>
      <c r="D33" s="2">
        <v>59</v>
      </c>
      <c r="E33" s="2">
        <v>61</v>
      </c>
      <c r="F33" s="2">
        <v>14</v>
      </c>
      <c r="G33" s="2">
        <v>201</v>
      </c>
      <c r="H33" s="2">
        <v>1</v>
      </c>
      <c r="I33" s="2"/>
      <c r="J33" s="2"/>
      <c r="K33" s="2">
        <v>339</v>
      </c>
    </row>
    <row r="34" spans="1:11" x14ac:dyDescent="0.25">
      <c r="A34" s="20" t="s">
        <v>370</v>
      </c>
      <c r="B34" s="2">
        <v>2</v>
      </c>
      <c r="C34" s="2">
        <v>3</v>
      </c>
      <c r="D34" s="2">
        <v>52</v>
      </c>
      <c r="E34" s="2">
        <v>1</v>
      </c>
      <c r="F34" s="2">
        <v>15</v>
      </c>
      <c r="G34" s="2">
        <v>121</v>
      </c>
      <c r="H34" s="2">
        <v>24</v>
      </c>
      <c r="I34" s="2"/>
      <c r="J34" s="2"/>
      <c r="K34" s="2">
        <v>218</v>
      </c>
    </row>
    <row r="35" spans="1:11" x14ac:dyDescent="0.25">
      <c r="A35" s="20" t="s">
        <v>371</v>
      </c>
      <c r="B35" s="2"/>
      <c r="C35" s="2"/>
      <c r="D35" s="2"/>
      <c r="E35" s="2"/>
      <c r="F35" s="2"/>
      <c r="G35" s="2"/>
      <c r="H35" s="2"/>
      <c r="I35" s="2">
        <v>31</v>
      </c>
      <c r="J35" s="2"/>
      <c r="K35" s="2">
        <v>31</v>
      </c>
    </row>
    <row r="36" spans="1:11" x14ac:dyDescent="0.25">
      <c r="A36" s="20" t="s">
        <v>350</v>
      </c>
      <c r="B36" s="2"/>
      <c r="C36" s="2"/>
      <c r="D36" s="2"/>
      <c r="E36" s="2"/>
      <c r="F36" s="2"/>
      <c r="G36" s="2">
        <v>30</v>
      </c>
      <c r="H36" s="2">
        <v>4</v>
      </c>
      <c r="I36" s="2"/>
      <c r="J36" s="2"/>
      <c r="K36" s="2">
        <v>34</v>
      </c>
    </row>
    <row r="37" spans="1:11" x14ac:dyDescent="0.25">
      <c r="A37" s="20" t="s">
        <v>365</v>
      </c>
      <c r="B37" s="2">
        <v>28</v>
      </c>
      <c r="C37" s="2">
        <v>19</v>
      </c>
      <c r="D37" s="2">
        <v>218</v>
      </c>
      <c r="E37" s="2">
        <v>171</v>
      </c>
      <c r="F37" s="2">
        <v>245</v>
      </c>
      <c r="G37" s="2">
        <v>1106</v>
      </c>
      <c r="H37" s="2">
        <v>270</v>
      </c>
      <c r="I37" s="2">
        <v>31</v>
      </c>
      <c r="J37" s="2">
        <v>1</v>
      </c>
      <c r="K37" s="2">
        <v>2089</v>
      </c>
    </row>
    <row r="51" spans="1:6" x14ac:dyDescent="0.25">
      <c r="A51" s="13"/>
    </row>
    <row r="52" spans="1:6" x14ac:dyDescent="0.25">
      <c r="A52" s="13"/>
    </row>
    <row r="57" spans="1:6" x14ac:dyDescent="0.25">
      <c r="A57" s="1" t="s">
        <v>366</v>
      </c>
      <c r="B57" s="21"/>
      <c r="C57" s="1" t="s">
        <v>407</v>
      </c>
      <c r="D57" s="21"/>
      <c r="E57" s="21"/>
      <c r="F57" s="21"/>
    </row>
    <row r="58" spans="1:6" ht="30" x14ac:dyDescent="0.25">
      <c r="A58" s="1" t="s">
        <v>333</v>
      </c>
      <c r="B58" s="1" t="s">
        <v>335</v>
      </c>
      <c r="C58" s="20" t="s">
        <v>408</v>
      </c>
      <c r="D58" s="20" t="s">
        <v>371</v>
      </c>
      <c r="E58" s="20" t="s">
        <v>11</v>
      </c>
      <c r="F58" s="20" t="s">
        <v>365</v>
      </c>
    </row>
    <row r="59" spans="1:6" ht="30" x14ac:dyDescent="0.25">
      <c r="A59" s="30" t="s">
        <v>38</v>
      </c>
      <c r="B59" s="20" t="s">
        <v>537</v>
      </c>
      <c r="C59" s="2">
        <v>1</v>
      </c>
      <c r="D59" s="2"/>
      <c r="E59" s="2"/>
      <c r="F59" s="2">
        <v>1</v>
      </c>
    </row>
    <row r="60" spans="1:6" ht="30" x14ac:dyDescent="0.25">
      <c r="A60" s="31"/>
      <c r="B60" s="20" t="s">
        <v>690</v>
      </c>
      <c r="C60" s="2"/>
      <c r="D60" s="2"/>
      <c r="E60" s="2">
        <v>1</v>
      </c>
      <c r="F60" s="2">
        <v>1</v>
      </c>
    </row>
    <row r="61" spans="1:6" ht="30" x14ac:dyDescent="0.25">
      <c r="A61" s="31"/>
      <c r="B61" s="20" t="s">
        <v>598</v>
      </c>
      <c r="C61" s="2"/>
      <c r="D61" s="2"/>
      <c r="E61" s="2">
        <v>1</v>
      </c>
      <c r="F61" s="2">
        <v>1</v>
      </c>
    </row>
    <row r="62" spans="1:6" ht="30" x14ac:dyDescent="0.25">
      <c r="A62" s="31"/>
      <c r="B62" s="20" t="s">
        <v>622</v>
      </c>
      <c r="C62" s="2">
        <v>3</v>
      </c>
      <c r="D62" s="2"/>
      <c r="E62" s="2"/>
      <c r="F62" s="2">
        <v>3</v>
      </c>
    </row>
    <row r="63" spans="1:6" ht="30" x14ac:dyDescent="0.25">
      <c r="A63" s="31"/>
      <c r="B63" s="20" t="s">
        <v>691</v>
      </c>
      <c r="C63" s="2"/>
      <c r="D63" s="2"/>
      <c r="E63" s="2">
        <v>1</v>
      </c>
      <c r="F63" s="2">
        <v>1</v>
      </c>
    </row>
    <row r="64" spans="1:6" ht="30" x14ac:dyDescent="0.25">
      <c r="A64" s="31"/>
      <c r="B64" s="20" t="s">
        <v>695</v>
      </c>
      <c r="C64" s="2"/>
      <c r="D64" s="2"/>
      <c r="E64" s="2">
        <v>5</v>
      </c>
      <c r="F64" s="2">
        <v>5</v>
      </c>
    </row>
    <row r="65" spans="1:6" ht="30" x14ac:dyDescent="0.25">
      <c r="A65" s="31"/>
      <c r="B65" s="20" t="s">
        <v>699</v>
      </c>
      <c r="C65" s="2"/>
      <c r="D65" s="2"/>
      <c r="E65" s="2">
        <v>2</v>
      </c>
      <c r="F65" s="2">
        <v>2</v>
      </c>
    </row>
    <row r="66" spans="1:6" ht="30" x14ac:dyDescent="0.25">
      <c r="A66" s="31"/>
      <c r="B66" s="20" t="s">
        <v>702</v>
      </c>
      <c r="C66" s="2"/>
      <c r="D66" s="2"/>
      <c r="E66" s="2">
        <v>1</v>
      </c>
      <c r="F66" s="2">
        <v>1</v>
      </c>
    </row>
    <row r="67" spans="1:6" ht="30" x14ac:dyDescent="0.25">
      <c r="A67" s="31"/>
      <c r="B67" s="20" t="s">
        <v>703</v>
      </c>
      <c r="C67" s="2"/>
      <c r="D67" s="2"/>
      <c r="E67" s="2">
        <v>2</v>
      </c>
      <c r="F67" s="2">
        <v>2</v>
      </c>
    </row>
    <row r="68" spans="1:6" ht="30" x14ac:dyDescent="0.25">
      <c r="A68" s="31"/>
      <c r="B68" s="20" t="s">
        <v>718</v>
      </c>
      <c r="C68" s="2">
        <v>1</v>
      </c>
      <c r="D68" s="2"/>
      <c r="E68" s="2"/>
      <c r="F68" s="2">
        <v>1</v>
      </c>
    </row>
    <row r="69" spans="1:6" ht="30" x14ac:dyDescent="0.25">
      <c r="A69" s="31"/>
      <c r="B69" s="20" t="s">
        <v>720</v>
      </c>
      <c r="C69" s="2">
        <v>2</v>
      </c>
      <c r="D69" s="2"/>
      <c r="E69" s="2"/>
      <c r="F69" s="2">
        <v>2</v>
      </c>
    </row>
    <row r="70" spans="1:6" ht="30" x14ac:dyDescent="0.25">
      <c r="A70" s="31"/>
      <c r="B70" s="20" t="s">
        <v>723</v>
      </c>
      <c r="C70" s="2">
        <v>3</v>
      </c>
      <c r="D70" s="2"/>
      <c r="E70" s="2"/>
      <c r="F70" s="2">
        <v>3</v>
      </c>
    </row>
    <row r="71" spans="1:6" ht="30" x14ac:dyDescent="0.25">
      <c r="A71" s="31"/>
      <c r="B71" s="20" t="s">
        <v>732</v>
      </c>
      <c r="C71" s="2">
        <v>3</v>
      </c>
      <c r="D71" s="2"/>
      <c r="E71" s="2"/>
      <c r="F71" s="2">
        <v>3</v>
      </c>
    </row>
    <row r="72" spans="1:6" ht="30" x14ac:dyDescent="0.25">
      <c r="A72" s="31"/>
      <c r="B72" s="20" t="s">
        <v>734</v>
      </c>
      <c r="C72" s="2">
        <v>1</v>
      </c>
      <c r="D72" s="2"/>
      <c r="E72" s="2"/>
      <c r="F72" s="2">
        <v>1</v>
      </c>
    </row>
    <row r="73" spans="1:6" ht="30" x14ac:dyDescent="0.25">
      <c r="A73" s="31"/>
      <c r="B73" s="20" t="s">
        <v>740</v>
      </c>
      <c r="C73" s="2">
        <v>2</v>
      </c>
      <c r="D73" s="2"/>
      <c r="E73" s="2"/>
      <c r="F73" s="2">
        <v>2</v>
      </c>
    </row>
    <row r="74" spans="1:6" x14ac:dyDescent="0.25">
      <c r="A74" s="30" t="s">
        <v>542</v>
      </c>
      <c r="B74" s="31"/>
      <c r="C74" s="2">
        <v>16</v>
      </c>
      <c r="D74" s="2"/>
      <c r="E74" s="2">
        <v>13</v>
      </c>
      <c r="F74" s="2">
        <v>29</v>
      </c>
    </row>
    <row r="75" spans="1:6" ht="30" x14ac:dyDescent="0.25">
      <c r="A75" s="30" t="s">
        <v>89</v>
      </c>
      <c r="B75" s="20" t="s">
        <v>483</v>
      </c>
      <c r="C75" s="2"/>
      <c r="D75" s="2"/>
      <c r="E75" s="2">
        <v>1</v>
      </c>
      <c r="F75" s="2">
        <v>1</v>
      </c>
    </row>
    <row r="76" spans="1:6" ht="30" x14ac:dyDescent="0.25">
      <c r="A76" s="31"/>
      <c r="B76" s="20" t="s">
        <v>506</v>
      </c>
      <c r="C76" s="2"/>
      <c r="D76" s="2"/>
      <c r="E76" s="2">
        <v>1</v>
      </c>
      <c r="F76" s="2">
        <v>1</v>
      </c>
    </row>
    <row r="77" spans="1:6" ht="30" x14ac:dyDescent="0.25">
      <c r="A77" s="31"/>
      <c r="B77" s="20" t="s">
        <v>485</v>
      </c>
      <c r="C77" s="2"/>
      <c r="D77" s="2"/>
      <c r="E77" s="2">
        <v>1</v>
      </c>
      <c r="F77" s="2">
        <v>1</v>
      </c>
    </row>
    <row r="78" spans="1:6" ht="30" x14ac:dyDescent="0.25">
      <c r="A78" s="31"/>
      <c r="B78" s="20" t="s">
        <v>626</v>
      </c>
      <c r="C78" s="2"/>
      <c r="D78" s="2"/>
      <c r="E78" s="2">
        <v>1</v>
      </c>
      <c r="F78" s="2">
        <v>1</v>
      </c>
    </row>
    <row r="79" spans="1:6" ht="30" x14ac:dyDescent="0.25">
      <c r="A79" s="31"/>
      <c r="B79" s="20" t="s">
        <v>628</v>
      </c>
      <c r="C79" s="2"/>
      <c r="D79" s="2"/>
      <c r="E79" s="2">
        <v>3</v>
      </c>
      <c r="F79" s="2">
        <v>3</v>
      </c>
    </row>
    <row r="80" spans="1:6" ht="30" x14ac:dyDescent="0.25">
      <c r="A80" s="31"/>
      <c r="B80" s="20" t="s">
        <v>629</v>
      </c>
      <c r="C80" s="2"/>
      <c r="D80" s="2"/>
      <c r="E80" s="2">
        <v>2</v>
      </c>
      <c r="F80" s="2">
        <v>2</v>
      </c>
    </row>
    <row r="81" spans="1:6" ht="30" x14ac:dyDescent="0.25">
      <c r="A81" s="31"/>
      <c r="B81" s="20" t="s">
        <v>630</v>
      </c>
      <c r="C81" s="2"/>
      <c r="D81" s="2"/>
      <c r="E81" s="2">
        <v>3</v>
      </c>
      <c r="F81" s="2">
        <v>3</v>
      </c>
    </row>
    <row r="82" spans="1:6" ht="30" x14ac:dyDescent="0.25">
      <c r="A82" s="31"/>
      <c r="B82" s="20" t="s">
        <v>752</v>
      </c>
      <c r="C82" s="2">
        <v>1</v>
      </c>
      <c r="D82" s="2"/>
      <c r="E82" s="2"/>
      <c r="F82" s="2">
        <v>1</v>
      </c>
    </row>
    <row r="83" spans="1:6" ht="30" x14ac:dyDescent="0.25">
      <c r="A83" s="31"/>
      <c r="B83" s="20" t="s">
        <v>754</v>
      </c>
      <c r="C83" s="2">
        <v>1</v>
      </c>
      <c r="D83" s="2"/>
      <c r="E83" s="2"/>
      <c r="F83" s="2">
        <v>1</v>
      </c>
    </row>
    <row r="84" spans="1:6" ht="30" x14ac:dyDescent="0.25">
      <c r="A84" s="31"/>
      <c r="B84" s="20" t="s">
        <v>755</v>
      </c>
      <c r="C84" s="2"/>
      <c r="D84" s="2"/>
      <c r="E84" s="2">
        <v>5</v>
      </c>
      <c r="F84" s="2">
        <v>5</v>
      </c>
    </row>
    <row r="85" spans="1:6" x14ac:dyDescent="0.25">
      <c r="A85" s="30" t="s">
        <v>543</v>
      </c>
      <c r="B85" s="31"/>
      <c r="C85" s="2">
        <v>2</v>
      </c>
      <c r="D85" s="2"/>
      <c r="E85" s="2">
        <v>17</v>
      </c>
      <c r="F85" s="2">
        <v>19</v>
      </c>
    </row>
    <row r="86" spans="1:6" ht="30" x14ac:dyDescent="0.25">
      <c r="A86" s="30" t="s">
        <v>15</v>
      </c>
      <c r="B86" s="20" t="s">
        <v>372</v>
      </c>
      <c r="C86" s="2"/>
      <c r="D86" s="2"/>
      <c r="E86" s="2">
        <v>3</v>
      </c>
      <c r="F86" s="2">
        <v>3</v>
      </c>
    </row>
    <row r="87" spans="1:6" ht="30" x14ac:dyDescent="0.25">
      <c r="A87" s="31"/>
      <c r="B87" s="20" t="s">
        <v>758</v>
      </c>
      <c r="C87" s="2"/>
      <c r="D87" s="2"/>
      <c r="E87" s="2">
        <v>3</v>
      </c>
      <c r="F87" s="2">
        <v>3</v>
      </c>
    </row>
    <row r="88" spans="1:6" ht="30" x14ac:dyDescent="0.25">
      <c r="A88" s="31"/>
      <c r="B88" s="20" t="s">
        <v>759</v>
      </c>
      <c r="C88" s="2"/>
      <c r="D88" s="2"/>
      <c r="E88" s="2">
        <v>2</v>
      </c>
      <c r="F88" s="2">
        <v>2</v>
      </c>
    </row>
    <row r="89" spans="1:6" ht="30" x14ac:dyDescent="0.25">
      <c r="A89" s="31"/>
      <c r="B89" s="20" t="s">
        <v>486</v>
      </c>
      <c r="C89" s="2"/>
      <c r="D89" s="2"/>
      <c r="E89" s="2">
        <v>3</v>
      </c>
      <c r="F89" s="2">
        <v>3</v>
      </c>
    </row>
    <row r="90" spans="1:6" ht="30" x14ac:dyDescent="0.25">
      <c r="A90" s="31"/>
      <c r="B90" s="20" t="s">
        <v>637</v>
      </c>
      <c r="C90" s="2"/>
      <c r="D90" s="2"/>
      <c r="E90" s="2">
        <v>1</v>
      </c>
      <c r="F90" s="2">
        <v>1</v>
      </c>
    </row>
    <row r="91" spans="1:6" ht="30" x14ac:dyDescent="0.25">
      <c r="A91" s="31"/>
      <c r="B91" s="20" t="s">
        <v>638</v>
      </c>
      <c r="C91" s="2"/>
      <c r="D91" s="2"/>
      <c r="E91" s="2">
        <v>41</v>
      </c>
      <c r="F91" s="2">
        <v>41</v>
      </c>
    </row>
    <row r="92" spans="1:6" ht="30" x14ac:dyDescent="0.25">
      <c r="A92" s="31"/>
      <c r="B92" s="20" t="s">
        <v>639</v>
      </c>
      <c r="C92" s="2"/>
      <c r="D92" s="2"/>
      <c r="E92" s="2">
        <v>4</v>
      </c>
      <c r="F92" s="2">
        <v>4</v>
      </c>
    </row>
    <row r="93" spans="1:6" x14ac:dyDescent="0.25">
      <c r="A93" s="30" t="s">
        <v>544</v>
      </c>
      <c r="B93" s="31"/>
      <c r="C93" s="2"/>
      <c r="D93" s="2"/>
      <c r="E93" s="2">
        <v>57</v>
      </c>
      <c r="F93" s="2">
        <v>57</v>
      </c>
    </row>
    <row r="94" spans="1:6" ht="30" x14ac:dyDescent="0.25">
      <c r="A94" s="30" t="s">
        <v>13</v>
      </c>
      <c r="B94" s="20" t="s">
        <v>528</v>
      </c>
      <c r="C94" s="2"/>
      <c r="D94" s="2"/>
      <c r="E94" s="2">
        <v>1</v>
      </c>
      <c r="F94" s="2">
        <v>1</v>
      </c>
    </row>
    <row r="95" spans="1:6" ht="30" x14ac:dyDescent="0.25">
      <c r="A95" s="31"/>
      <c r="B95" s="20" t="s">
        <v>486</v>
      </c>
      <c r="C95" s="2"/>
      <c r="D95" s="2"/>
      <c r="E95" s="2">
        <v>1</v>
      </c>
      <c r="F95" s="2">
        <v>1</v>
      </c>
    </row>
    <row r="96" spans="1:6" ht="30" x14ac:dyDescent="0.25">
      <c r="A96" s="31"/>
      <c r="B96" s="20" t="s">
        <v>638</v>
      </c>
      <c r="C96" s="2"/>
      <c r="D96" s="2"/>
      <c r="E96" s="2">
        <v>2</v>
      </c>
      <c r="F96" s="2">
        <v>2</v>
      </c>
    </row>
    <row r="97" spans="1:6" x14ac:dyDescent="0.25">
      <c r="A97" s="30" t="s">
        <v>545</v>
      </c>
      <c r="B97" s="31"/>
      <c r="C97" s="2"/>
      <c r="D97" s="2"/>
      <c r="E97" s="2">
        <v>4</v>
      </c>
      <c r="F97" s="2">
        <v>4</v>
      </c>
    </row>
    <row r="98" spans="1:6" ht="30" x14ac:dyDescent="0.25">
      <c r="A98" s="30" t="s">
        <v>33</v>
      </c>
      <c r="B98" s="20" t="s">
        <v>410</v>
      </c>
      <c r="C98" s="2"/>
      <c r="D98" s="2"/>
      <c r="E98" s="2">
        <v>1</v>
      </c>
      <c r="F98" s="2">
        <v>1</v>
      </c>
    </row>
    <row r="99" spans="1:6" ht="30" x14ac:dyDescent="0.25">
      <c r="A99" s="31"/>
      <c r="B99" s="20" t="s">
        <v>520</v>
      </c>
      <c r="C99" s="2"/>
      <c r="D99" s="2"/>
      <c r="E99" s="2">
        <v>1</v>
      </c>
      <c r="F99" s="2">
        <v>1</v>
      </c>
    </row>
    <row r="100" spans="1:6" ht="30" x14ac:dyDescent="0.25">
      <c r="A100" s="31"/>
      <c r="B100" s="20" t="s">
        <v>521</v>
      </c>
      <c r="C100" s="2"/>
      <c r="D100" s="2"/>
      <c r="E100" s="2">
        <v>1</v>
      </c>
      <c r="F100" s="2">
        <v>1</v>
      </c>
    </row>
    <row r="101" spans="1:6" ht="30" x14ac:dyDescent="0.25">
      <c r="A101" s="31"/>
      <c r="B101" s="20" t="s">
        <v>724</v>
      </c>
      <c r="C101" s="2"/>
      <c r="D101" s="2"/>
      <c r="E101" s="2">
        <v>10</v>
      </c>
      <c r="F101" s="2">
        <v>10</v>
      </c>
    </row>
    <row r="102" spans="1:6" ht="30" x14ac:dyDescent="0.25">
      <c r="A102" s="31"/>
      <c r="B102" s="20" t="s">
        <v>509</v>
      </c>
      <c r="C102" s="2"/>
      <c r="D102" s="2"/>
      <c r="E102" s="2">
        <v>2</v>
      </c>
      <c r="F102" s="2">
        <v>2</v>
      </c>
    </row>
    <row r="103" spans="1:6" ht="30" x14ac:dyDescent="0.25">
      <c r="A103" s="31"/>
      <c r="B103" s="20" t="s">
        <v>473</v>
      </c>
      <c r="C103" s="2"/>
      <c r="D103" s="2"/>
      <c r="E103" s="2">
        <v>1</v>
      </c>
      <c r="F103" s="2">
        <v>1</v>
      </c>
    </row>
    <row r="104" spans="1:6" ht="30" x14ac:dyDescent="0.25">
      <c r="A104" s="31"/>
      <c r="B104" s="20" t="s">
        <v>517</v>
      </c>
      <c r="C104" s="2"/>
      <c r="D104" s="2"/>
      <c r="E104" s="2">
        <v>5</v>
      </c>
      <c r="F104" s="2">
        <v>5</v>
      </c>
    </row>
    <row r="105" spans="1:6" ht="30" x14ac:dyDescent="0.25">
      <c r="A105" s="31"/>
      <c r="B105" s="20" t="s">
        <v>522</v>
      </c>
      <c r="C105" s="2"/>
      <c r="D105" s="2"/>
      <c r="E105" s="2">
        <v>1</v>
      </c>
      <c r="F105" s="2">
        <v>1</v>
      </c>
    </row>
    <row r="106" spans="1:6" ht="30" x14ac:dyDescent="0.25">
      <c r="A106" s="31"/>
      <c r="B106" s="20" t="s">
        <v>515</v>
      </c>
      <c r="C106" s="2"/>
      <c r="D106" s="2"/>
      <c r="E106" s="2">
        <v>2</v>
      </c>
      <c r="F106" s="2">
        <v>2</v>
      </c>
    </row>
    <row r="107" spans="1:6" ht="30" x14ac:dyDescent="0.25">
      <c r="A107" s="31"/>
      <c r="B107" s="20" t="s">
        <v>523</v>
      </c>
      <c r="C107" s="2"/>
      <c r="D107" s="2"/>
      <c r="E107" s="2">
        <v>1</v>
      </c>
      <c r="F107" s="2">
        <v>1</v>
      </c>
    </row>
    <row r="108" spans="1:6" ht="30" x14ac:dyDescent="0.25">
      <c r="A108" s="31"/>
      <c r="B108" s="20" t="s">
        <v>537</v>
      </c>
      <c r="C108" s="2"/>
      <c r="D108" s="2"/>
      <c r="E108" s="2">
        <v>1</v>
      </c>
      <c r="F108" s="2">
        <v>1</v>
      </c>
    </row>
    <row r="109" spans="1:6" ht="30" x14ac:dyDescent="0.25">
      <c r="A109" s="31"/>
      <c r="B109" s="20" t="s">
        <v>409</v>
      </c>
      <c r="C109" s="2"/>
      <c r="D109" s="2"/>
      <c r="E109" s="2">
        <v>1</v>
      </c>
      <c r="F109" s="2">
        <v>1</v>
      </c>
    </row>
    <row r="110" spans="1:6" ht="30" x14ac:dyDescent="0.25">
      <c r="A110" s="31"/>
      <c r="B110" s="20" t="s">
        <v>472</v>
      </c>
      <c r="C110" s="2"/>
      <c r="D110" s="2"/>
      <c r="E110" s="2">
        <v>1</v>
      </c>
      <c r="F110" s="2">
        <v>1</v>
      </c>
    </row>
    <row r="111" spans="1:6" ht="30" x14ac:dyDescent="0.25">
      <c r="A111" s="31"/>
      <c r="B111" s="20" t="s">
        <v>713</v>
      </c>
      <c r="C111" s="2"/>
      <c r="D111" s="2"/>
      <c r="E111" s="2">
        <v>2</v>
      </c>
      <c r="F111" s="2">
        <v>2</v>
      </c>
    </row>
    <row r="112" spans="1:6" ht="30" x14ac:dyDescent="0.25">
      <c r="A112" s="31"/>
      <c r="B112" s="20" t="s">
        <v>712</v>
      </c>
      <c r="C112" s="2"/>
      <c r="D112" s="2"/>
      <c r="E112" s="2">
        <v>2</v>
      </c>
      <c r="F112" s="2">
        <v>2</v>
      </c>
    </row>
    <row r="113" spans="1:6" ht="30" x14ac:dyDescent="0.25">
      <c r="A113" s="31"/>
      <c r="B113" s="20" t="s">
        <v>533</v>
      </c>
      <c r="C113" s="2"/>
      <c r="D113" s="2"/>
      <c r="E113" s="2">
        <v>1</v>
      </c>
      <c r="F113" s="2">
        <v>1</v>
      </c>
    </row>
    <row r="114" spans="1:6" ht="30" x14ac:dyDescent="0.25">
      <c r="A114" s="31"/>
      <c r="B114" s="20" t="s">
        <v>470</v>
      </c>
      <c r="C114" s="2"/>
      <c r="D114" s="2"/>
      <c r="E114" s="2">
        <v>1</v>
      </c>
      <c r="F114" s="2">
        <v>1</v>
      </c>
    </row>
    <row r="115" spans="1:6" ht="30" x14ac:dyDescent="0.25">
      <c r="A115" s="31"/>
      <c r="B115" s="20" t="s">
        <v>516</v>
      </c>
      <c r="C115" s="2"/>
      <c r="D115" s="2"/>
      <c r="E115" s="2">
        <v>1</v>
      </c>
      <c r="F115" s="2">
        <v>1</v>
      </c>
    </row>
    <row r="116" spans="1:6" ht="30" x14ac:dyDescent="0.25">
      <c r="A116" s="31"/>
      <c r="B116" s="20" t="s">
        <v>531</v>
      </c>
      <c r="C116" s="2"/>
      <c r="D116" s="2"/>
      <c r="E116" s="2">
        <v>1</v>
      </c>
      <c r="F116" s="2">
        <v>1</v>
      </c>
    </row>
    <row r="117" spans="1:6" ht="30" x14ac:dyDescent="0.25">
      <c r="A117" s="31"/>
      <c r="B117" s="20" t="s">
        <v>530</v>
      </c>
      <c r="C117" s="2"/>
      <c r="D117" s="2"/>
      <c r="E117" s="2">
        <v>6</v>
      </c>
      <c r="F117" s="2">
        <v>6</v>
      </c>
    </row>
    <row r="118" spans="1:6" ht="30" x14ac:dyDescent="0.25">
      <c r="A118" s="31"/>
      <c r="B118" s="20" t="s">
        <v>510</v>
      </c>
      <c r="C118" s="2"/>
      <c r="D118" s="2"/>
      <c r="E118" s="2">
        <v>1</v>
      </c>
      <c r="F118" s="2">
        <v>1</v>
      </c>
    </row>
    <row r="119" spans="1:6" ht="30" x14ac:dyDescent="0.25">
      <c r="A119" s="31"/>
      <c r="B119" s="20" t="s">
        <v>512</v>
      </c>
      <c r="C119" s="2"/>
      <c r="D119" s="2"/>
      <c r="E119" s="2">
        <v>3</v>
      </c>
      <c r="F119" s="2">
        <v>3</v>
      </c>
    </row>
    <row r="120" spans="1:6" ht="30" x14ac:dyDescent="0.25">
      <c r="A120" s="31"/>
      <c r="B120" s="20" t="s">
        <v>538</v>
      </c>
      <c r="C120" s="2"/>
      <c r="D120" s="2"/>
      <c r="E120" s="2">
        <v>8</v>
      </c>
      <c r="F120" s="2">
        <v>8</v>
      </c>
    </row>
    <row r="121" spans="1:6" ht="30" x14ac:dyDescent="0.25">
      <c r="A121" s="31"/>
      <c r="B121" s="20" t="s">
        <v>519</v>
      </c>
      <c r="C121" s="2"/>
      <c r="D121" s="2"/>
      <c r="E121" s="2">
        <v>2</v>
      </c>
      <c r="F121" s="2">
        <v>2</v>
      </c>
    </row>
    <row r="122" spans="1:6" ht="30" x14ac:dyDescent="0.25">
      <c r="A122" s="31"/>
      <c r="B122" s="20" t="s">
        <v>504</v>
      </c>
      <c r="C122" s="2"/>
      <c r="D122" s="2"/>
      <c r="E122" s="2">
        <v>1</v>
      </c>
      <c r="F122" s="2">
        <v>1</v>
      </c>
    </row>
    <row r="123" spans="1:6" ht="30" x14ac:dyDescent="0.25">
      <c r="A123" s="31"/>
      <c r="B123" s="20" t="s">
        <v>731</v>
      </c>
      <c r="C123" s="2"/>
      <c r="D123" s="2"/>
      <c r="E123" s="2">
        <v>12</v>
      </c>
      <c r="F123" s="2">
        <v>12</v>
      </c>
    </row>
    <row r="124" spans="1:6" ht="30" x14ac:dyDescent="0.25">
      <c r="A124" s="31"/>
      <c r="B124" s="20" t="s">
        <v>601</v>
      </c>
      <c r="C124" s="2"/>
      <c r="D124" s="2"/>
      <c r="E124" s="2">
        <v>5</v>
      </c>
      <c r="F124" s="2">
        <v>5</v>
      </c>
    </row>
    <row r="125" spans="1:6" ht="30" x14ac:dyDescent="0.25">
      <c r="A125" s="31"/>
      <c r="B125" s="20" t="s">
        <v>602</v>
      </c>
      <c r="C125" s="2"/>
      <c r="D125" s="2"/>
      <c r="E125" s="2">
        <v>1</v>
      </c>
      <c r="F125" s="2">
        <v>1</v>
      </c>
    </row>
    <row r="126" spans="1:6" ht="30" x14ac:dyDescent="0.25">
      <c r="A126" s="31"/>
      <c r="B126" s="20" t="s">
        <v>607</v>
      </c>
      <c r="C126" s="2"/>
      <c r="D126" s="2"/>
      <c r="E126" s="2">
        <v>3</v>
      </c>
      <c r="F126" s="2">
        <v>3</v>
      </c>
    </row>
    <row r="127" spans="1:6" ht="30" x14ac:dyDescent="0.25">
      <c r="A127" s="31"/>
      <c r="B127" s="20" t="s">
        <v>609</v>
      </c>
      <c r="C127" s="2"/>
      <c r="D127" s="2"/>
      <c r="E127" s="2">
        <v>7</v>
      </c>
      <c r="F127" s="2">
        <v>7</v>
      </c>
    </row>
    <row r="128" spans="1:6" ht="30" x14ac:dyDescent="0.25">
      <c r="A128" s="31"/>
      <c r="B128" s="20" t="s">
        <v>610</v>
      </c>
      <c r="C128" s="2"/>
      <c r="D128" s="2"/>
      <c r="E128" s="2">
        <v>1</v>
      </c>
      <c r="F128" s="2">
        <v>1</v>
      </c>
    </row>
    <row r="129" spans="1:6" ht="30" x14ac:dyDescent="0.25">
      <c r="A129" s="31"/>
      <c r="B129" s="20" t="s">
        <v>612</v>
      </c>
      <c r="C129" s="2"/>
      <c r="D129" s="2"/>
      <c r="E129" s="2">
        <v>9</v>
      </c>
      <c r="F129" s="2">
        <v>9</v>
      </c>
    </row>
    <row r="130" spans="1:6" ht="30" x14ac:dyDescent="0.25">
      <c r="A130" s="31"/>
      <c r="B130" s="20" t="s">
        <v>613</v>
      </c>
      <c r="C130" s="2"/>
      <c r="D130" s="2"/>
      <c r="E130" s="2">
        <v>3</v>
      </c>
      <c r="F130" s="2">
        <v>3</v>
      </c>
    </row>
    <row r="131" spans="1:6" ht="30" x14ac:dyDescent="0.25">
      <c r="A131" s="31"/>
      <c r="B131" s="20" t="s">
        <v>614</v>
      </c>
      <c r="C131" s="2"/>
      <c r="D131" s="2"/>
      <c r="E131" s="2">
        <v>1</v>
      </c>
      <c r="F131" s="2">
        <v>1</v>
      </c>
    </row>
    <row r="132" spans="1:6" ht="30" x14ac:dyDescent="0.25">
      <c r="A132" s="31"/>
      <c r="B132" s="20" t="s">
        <v>616</v>
      </c>
      <c r="C132" s="2"/>
      <c r="D132" s="2"/>
      <c r="E132" s="2">
        <v>2</v>
      </c>
      <c r="F132" s="2">
        <v>2</v>
      </c>
    </row>
    <row r="133" spans="1:6" ht="30" x14ac:dyDescent="0.25">
      <c r="A133" s="31"/>
      <c r="B133" s="20" t="s">
        <v>620</v>
      </c>
      <c r="C133" s="2"/>
      <c r="D133" s="2"/>
      <c r="E133" s="2">
        <v>1</v>
      </c>
      <c r="F133" s="2">
        <v>1</v>
      </c>
    </row>
    <row r="134" spans="1:6" ht="30" x14ac:dyDescent="0.25">
      <c r="A134" s="31"/>
      <c r="B134" s="20" t="s">
        <v>622</v>
      </c>
      <c r="C134" s="2">
        <v>2</v>
      </c>
      <c r="D134" s="2"/>
      <c r="E134" s="2">
        <v>2</v>
      </c>
      <c r="F134" s="2">
        <v>4</v>
      </c>
    </row>
    <row r="135" spans="1:6" ht="30" x14ac:dyDescent="0.25">
      <c r="A135" s="31"/>
      <c r="B135" s="20" t="s">
        <v>623</v>
      </c>
      <c r="C135" s="2"/>
      <c r="D135" s="2"/>
      <c r="E135" s="2">
        <v>3</v>
      </c>
      <c r="F135" s="2">
        <v>3</v>
      </c>
    </row>
    <row r="136" spans="1:6" ht="30" x14ac:dyDescent="0.25">
      <c r="A136" s="31"/>
      <c r="B136" s="20" t="s">
        <v>624</v>
      </c>
      <c r="C136" s="2"/>
      <c r="D136" s="2"/>
      <c r="E136" s="2">
        <v>2</v>
      </c>
      <c r="F136" s="2">
        <v>2</v>
      </c>
    </row>
    <row r="137" spans="1:6" ht="30" x14ac:dyDescent="0.25">
      <c r="A137" s="31"/>
      <c r="B137" s="20" t="s">
        <v>625</v>
      </c>
      <c r="C137" s="2"/>
      <c r="D137" s="2"/>
      <c r="E137" s="2">
        <v>2</v>
      </c>
      <c r="F137" s="2">
        <v>2</v>
      </c>
    </row>
    <row r="138" spans="1:6" ht="30" x14ac:dyDescent="0.25">
      <c r="A138" s="31"/>
      <c r="B138" s="20" t="s">
        <v>658</v>
      </c>
      <c r="C138" s="2">
        <v>1</v>
      </c>
      <c r="D138" s="2"/>
      <c r="E138" s="2">
        <v>3</v>
      </c>
      <c r="F138" s="2">
        <v>4</v>
      </c>
    </row>
    <row r="139" spans="1:6" ht="30" x14ac:dyDescent="0.25">
      <c r="A139" s="31"/>
      <c r="B139" s="20" t="s">
        <v>706</v>
      </c>
      <c r="C139" s="2"/>
      <c r="D139" s="2"/>
      <c r="E139" s="2">
        <v>2</v>
      </c>
      <c r="F139" s="2">
        <v>2</v>
      </c>
    </row>
    <row r="140" spans="1:6" ht="30" x14ac:dyDescent="0.25">
      <c r="A140" s="31"/>
      <c r="B140" s="20" t="s">
        <v>707</v>
      </c>
      <c r="C140" s="2"/>
      <c r="D140" s="2"/>
      <c r="E140" s="2">
        <v>1</v>
      </c>
      <c r="F140" s="2">
        <v>1</v>
      </c>
    </row>
    <row r="141" spans="1:6" ht="30" x14ac:dyDescent="0.25">
      <c r="A141" s="31"/>
      <c r="B141" s="20" t="s">
        <v>708</v>
      </c>
      <c r="C141" s="2"/>
      <c r="D141" s="2"/>
      <c r="E141" s="2">
        <v>5</v>
      </c>
      <c r="F141" s="2">
        <v>5</v>
      </c>
    </row>
    <row r="142" spans="1:6" ht="30" x14ac:dyDescent="0.25">
      <c r="A142" s="31"/>
      <c r="B142" s="20" t="s">
        <v>709</v>
      </c>
      <c r="C142" s="2"/>
      <c r="D142" s="2"/>
      <c r="E142" s="2">
        <v>4</v>
      </c>
      <c r="F142" s="2">
        <v>4</v>
      </c>
    </row>
    <row r="143" spans="1:6" ht="30" x14ac:dyDescent="0.25">
      <c r="A143" s="31"/>
      <c r="B143" s="20" t="s">
        <v>711</v>
      </c>
      <c r="C143" s="2"/>
      <c r="D143" s="2"/>
      <c r="E143" s="2">
        <v>7</v>
      </c>
      <c r="F143" s="2">
        <v>7</v>
      </c>
    </row>
    <row r="144" spans="1:6" ht="30" x14ac:dyDescent="0.25">
      <c r="A144" s="31"/>
      <c r="B144" s="20" t="s">
        <v>714</v>
      </c>
      <c r="C144" s="2"/>
      <c r="D144" s="2"/>
      <c r="E144" s="2">
        <v>1</v>
      </c>
      <c r="F144" s="2">
        <v>1</v>
      </c>
    </row>
    <row r="145" spans="1:6" ht="30" x14ac:dyDescent="0.25">
      <c r="A145" s="31"/>
      <c r="B145" s="20" t="s">
        <v>718</v>
      </c>
      <c r="C145" s="2"/>
      <c r="D145" s="2"/>
      <c r="E145" s="2">
        <v>2</v>
      </c>
      <c r="F145" s="2">
        <v>2</v>
      </c>
    </row>
    <row r="146" spans="1:6" ht="30" x14ac:dyDescent="0.25">
      <c r="A146" s="31"/>
      <c r="B146" s="20" t="s">
        <v>719</v>
      </c>
      <c r="C146" s="2"/>
      <c r="D146" s="2"/>
      <c r="E146" s="2">
        <v>17</v>
      </c>
      <c r="F146" s="2">
        <v>17</v>
      </c>
    </row>
    <row r="147" spans="1:6" ht="30" x14ac:dyDescent="0.25">
      <c r="A147" s="31"/>
      <c r="B147" s="20" t="s">
        <v>720</v>
      </c>
      <c r="C147" s="2"/>
      <c r="D147" s="2"/>
      <c r="E147" s="2">
        <v>7</v>
      </c>
      <c r="F147" s="2">
        <v>7</v>
      </c>
    </row>
    <row r="148" spans="1:6" ht="30" x14ac:dyDescent="0.25">
      <c r="A148" s="31"/>
      <c r="B148" s="20" t="s">
        <v>722</v>
      </c>
      <c r="C148" s="2"/>
      <c r="D148" s="2"/>
      <c r="E148" s="2">
        <v>1</v>
      </c>
      <c r="F148" s="2">
        <v>1</v>
      </c>
    </row>
    <row r="149" spans="1:6" ht="30" x14ac:dyDescent="0.25">
      <c r="A149" s="31"/>
      <c r="B149" s="20" t="s">
        <v>723</v>
      </c>
      <c r="C149" s="2"/>
      <c r="D149" s="2"/>
      <c r="E149" s="2">
        <v>22</v>
      </c>
      <c r="F149" s="2">
        <v>22</v>
      </c>
    </row>
    <row r="150" spans="1:6" ht="30" x14ac:dyDescent="0.25">
      <c r="A150" s="31"/>
      <c r="B150" s="20" t="s">
        <v>725</v>
      </c>
      <c r="C150" s="2"/>
      <c r="D150" s="2"/>
      <c r="E150" s="2">
        <v>1</v>
      </c>
      <c r="F150" s="2">
        <v>1</v>
      </c>
    </row>
    <row r="151" spans="1:6" ht="30" x14ac:dyDescent="0.25">
      <c r="A151" s="31"/>
      <c r="B151" s="20" t="s">
        <v>730</v>
      </c>
      <c r="C151" s="2"/>
      <c r="D151" s="2"/>
      <c r="E151" s="2">
        <v>31</v>
      </c>
      <c r="F151" s="2">
        <v>31</v>
      </c>
    </row>
    <row r="152" spans="1:6" ht="30" x14ac:dyDescent="0.25">
      <c r="A152" s="31"/>
      <c r="B152" s="20" t="s">
        <v>732</v>
      </c>
      <c r="C152" s="2"/>
      <c r="D152" s="2"/>
      <c r="E152" s="2">
        <v>3</v>
      </c>
      <c r="F152" s="2">
        <v>3</v>
      </c>
    </row>
    <row r="153" spans="1:6" ht="30" x14ac:dyDescent="0.25">
      <c r="A153" s="31"/>
      <c r="B153" s="20" t="s">
        <v>734</v>
      </c>
      <c r="C153" s="2"/>
      <c r="D153" s="2"/>
      <c r="E153" s="2">
        <v>3</v>
      </c>
      <c r="F153" s="2">
        <v>3</v>
      </c>
    </row>
    <row r="154" spans="1:6" ht="30" x14ac:dyDescent="0.25">
      <c r="A154" s="31"/>
      <c r="B154" s="20" t="s">
        <v>739</v>
      </c>
      <c r="C154" s="2"/>
      <c r="D154" s="2"/>
      <c r="E154" s="2">
        <v>1</v>
      </c>
      <c r="F154" s="2">
        <v>1</v>
      </c>
    </row>
    <row r="155" spans="1:6" ht="30" x14ac:dyDescent="0.25">
      <c r="A155" s="31"/>
      <c r="B155" s="20" t="s">
        <v>740</v>
      </c>
      <c r="C155" s="2"/>
      <c r="D155" s="2"/>
      <c r="E155" s="2">
        <v>4</v>
      </c>
      <c r="F155" s="2">
        <v>4</v>
      </c>
    </row>
    <row r="156" spans="1:6" ht="30" x14ac:dyDescent="0.25">
      <c r="A156" s="31"/>
      <c r="B156" s="20" t="s">
        <v>747</v>
      </c>
      <c r="C156" s="2">
        <v>1</v>
      </c>
      <c r="D156" s="2"/>
      <c r="E156" s="2"/>
      <c r="F156" s="2">
        <v>1</v>
      </c>
    </row>
    <row r="157" spans="1:6" ht="30" x14ac:dyDescent="0.25">
      <c r="A157" s="31"/>
      <c r="B157" s="20" t="s">
        <v>750</v>
      </c>
      <c r="C157" s="2">
        <v>3</v>
      </c>
      <c r="D157" s="2"/>
      <c r="E157" s="2">
        <v>1</v>
      </c>
      <c r="F157" s="2">
        <v>4</v>
      </c>
    </row>
    <row r="158" spans="1:6" ht="30" x14ac:dyDescent="0.25">
      <c r="A158" s="31"/>
      <c r="B158" s="20" t="s">
        <v>751</v>
      </c>
      <c r="C158" s="2"/>
      <c r="D158" s="2"/>
      <c r="E158" s="2">
        <v>10</v>
      </c>
      <c r="F158" s="2">
        <v>10</v>
      </c>
    </row>
    <row r="159" spans="1:6" ht="30" x14ac:dyDescent="0.25">
      <c r="A159" s="31"/>
      <c r="B159" s="20" t="s">
        <v>753</v>
      </c>
      <c r="C159" s="2"/>
      <c r="D159" s="2"/>
      <c r="E159" s="2">
        <v>2</v>
      </c>
      <c r="F159" s="2">
        <v>2</v>
      </c>
    </row>
    <row r="160" spans="1:6" ht="30" x14ac:dyDescent="0.25">
      <c r="A160" s="31"/>
      <c r="B160" s="20" t="s">
        <v>757</v>
      </c>
      <c r="C160" s="2"/>
      <c r="D160" s="2"/>
      <c r="E160" s="2">
        <v>1</v>
      </c>
      <c r="F160" s="2">
        <v>1</v>
      </c>
    </row>
    <row r="161" spans="1:6" x14ac:dyDescent="0.25">
      <c r="A161" s="30" t="s">
        <v>546</v>
      </c>
      <c r="B161" s="31"/>
      <c r="C161" s="2">
        <v>7</v>
      </c>
      <c r="D161" s="2"/>
      <c r="E161" s="2">
        <v>240</v>
      </c>
      <c r="F161" s="2">
        <v>247</v>
      </c>
    </row>
    <row r="162" spans="1:6" ht="30" x14ac:dyDescent="0.25">
      <c r="A162" s="30" t="s">
        <v>26</v>
      </c>
      <c r="B162" s="20" t="s">
        <v>410</v>
      </c>
      <c r="C162" s="2">
        <v>5</v>
      </c>
      <c r="D162" s="2"/>
      <c r="E162" s="2">
        <v>2</v>
      </c>
      <c r="F162" s="2">
        <v>7</v>
      </c>
    </row>
    <row r="163" spans="1:6" ht="30" x14ac:dyDescent="0.25">
      <c r="A163" s="31"/>
      <c r="B163" s="20" t="s">
        <v>520</v>
      </c>
      <c r="C163" s="2">
        <v>1</v>
      </c>
      <c r="D163" s="2"/>
      <c r="E163" s="2">
        <v>2</v>
      </c>
      <c r="F163" s="2">
        <v>3</v>
      </c>
    </row>
    <row r="164" spans="1:6" ht="30" x14ac:dyDescent="0.25">
      <c r="A164" s="31"/>
      <c r="B164" s="20" t="s">
        <v>726</v>
      </c>
      <c r="C164" s="2"/>
      <c r="D164" s="2"/>
      <c r="E164" s="2">
        <v>1</v>
      </c>
      <c r="F164" s="2">
        <v>1</v>
      </c>
    </row>
    <row r="165" spans="1:6" ht="30" x14ac:dyDescent="0.25">
      <c r="A165" s="31"/>
      <c r="B165" s="20" t="s">
        <v>521</v>
      </c>
      <c r="C165" s="2"/>
      <c r="D165" s="2"/>
      <c r="E165" s="2">
        <v>2</v>
      </c>
      <c r="F165" s="2">
        <v>2</v>
      </c>
    </row>
    <row r="166" spans="1:6" ht="30" x14ac:dyDescent="0.25">
      <c r="A166" s="31"/>
      <c r="B166" s="20" t="s">
        <v>724</v>
      </c>
      <c r="C166" s="2">
        <v>6</v>
      </c>
      <c r="D166" s="2"/>
      <c r="E166" s="2">
        <v>28</v>
      </c>
      <c r="F166" s="2">
        <v>34</v>
      </c>
    </row>
    <row r="167" spans="1:6" ht="30" x14ac:dyDescent="0.25">
      <c r="A167" s="31"/>
      <c r="B167" s="20" t="s">
        <v>517</v>
      </c>
      <c r="C167" s="2"/>
      <c r="D167" s="2"/>
      <c r="E167" s="2">
        <v>1</v>
      </c>
      <c r="F167" s="2">
        <v>1</v>
      </c>
    </row>
    <row r="168" spans="1:6" ht="30" x14ac:dyDescent="0.25">
      <c r="A168" s="31"/>
      <c r="B168" s="20" t="s">
        <v>524</v>
      </c>
      <c r="C168" s="2"/>
      <c r="D168" s="2"/>
      <c r="E168" s="2">
        <v>7</v>
      </c>
      <c r="F168" s="2">
        <v>7</v>
      </c>
    </row>
    <row r="169" spans="1:6" ht="30" x14ac:dyDescent="0.25">
      <c r="A169" s="31"/>
      <c r="B169" s="20" t="s">
        <v>522</v>
      </c>
      <c r="C169" s="2"/>
      <c r="D169" s="2"/>
      <c r="E169" s="2">
        <v>7</v>
      </c>
      <c r="F169" s="2">
        <v>7</v>
      </c>
    </row>
    <row r="170" spans="1:6" ht="30" x14ac:dyDescent="0.25">
      <c r="A170" s="31"/>
      <c r="B170" s="20" t="s">
        <v>475</v>
      </c>
      <c r="C170" s="2"/>
      <c r="D170" s="2"/>
      <c r="E170" s="2">
        <v>1</v>
      </c>
      <c r="F170" s="2">
        <v>1</v>
      </c>
    </row>
    <row r="171" spans="1:6" ht="30" x14ac:dyDescent="0.25">
      <c r="A171" s="31"/>
      <c r="B171" s="20" t="s">
        <v>476</v>
      </c>
      <c r="C171" s="2"/>
      <c r="D171" s="2"/>
      <c r="E171" s="2">
        <v>1</v>
      </c>
      <c r="F171" s="2">
        <v>1</v>
      </c>
    </row>
    <row r="172" spans="1:6" ht="30" x14ac:dyDescent="0.25">
      <c r="A172" s="31"/>
      <c r="B172" s="20" t="s">
        <v>502</v>
      </c>
      <c r="C172" s="2"/>
      <c r="D172" s="2"/>
      <c r="E172" s="2">
        <v>3</v>
      </c>
      <c r="F172" s="2">
        <v>3</v>
      </c>
    </row>
    <row r="173" spans="1:6" ht="30" x14ac:dyDescent="0.25">
      <c r="A173" s="31"/>
      <c r="B173" s="20" t="s">
        <v>515</v>
      </c>
      <c r="C173" s="2"/>
      <c r="D173" s="2"/>
      <c r="E173" s="2">
        <v>17</v>
      </c>
      <c r="F173" s="2">
        <v>17</v>
      </c>
    </row>
    <row r="174" spans="1:6" ht="30" x14ac:dyDescent="0.25">
      <c r="A174" s="31"/>
      <c r="B174" s="20" t="s">
        <v>474</v>
      </c>
      <c r="C174" s="2"/>
      <c r="D174" s="2"/>
      <c r="E174" s="2">
        <v>1</v>
      </c>
      <c r="F174" s="2">
        <v>1</v>
      </c>
    </row>
    <row r="175" spans="1:6" ht="30" x14ac:dyDescent="0.25">
      <c r="A175" s="31"/>
      <c r="B175" s="20" t="s">
        <v>537</v>
      </c>
      <c r="C175" s="2"/>
      <c r="D175" s="2"/>
      <c r="E175" s="2">
        <v>1</v>
      </c>
      <c r="F175" s="2">
        <v>1</v>
      </c>
    </row>
    <row r="176" spans="1:6" ht="30" x14ac:dyDescent="0.25">
      <c r="A176" s="31"/>
      <c r="B176" s="20" t="s">
        <v>409</v>
      </c>
      <c r="C176" s="2"/>
      <c r="D176" s="2"/>
      <c r="E176" s="2">
        <v>1</v>
      </c>
      <c r="F176" s="2">
        <v>1</v>
      </c>
    </row>
    <row r="177" spans="1:6" ht="30" x14ac:dyDescent="0.25">
      <c r="A177" s="31"/>
      <c r="B177" s="20" t="s">
        <v>536</v>
      </c>
      <c r="C177" s="2"/>
      <c r="D177" s="2"/>
      <c r="E177" s="2">
        <v>2</v>
      </c>
      <c r="F177" s="2">
        <v>2</v>
      </c>
    </row>
    <row r="178" spans="1:6" ht="30" x14ac:dyDescent="0.25">
      <c r="A178" s="31"/>
      <c r="B178" s="20" t="s">
        <v>535</v>
      </c>
      <c r="C178" s="2"/>
      <c r="D178" s="2"/>
      <c r="E178" s="2">
        <v>4</v>
      </c>
      <c r="F178" s="2">
        <v>4</v>
      </c>
    </row>
    <row r="179" spans="1:6" ht="30" x14ac:dyDescent="0.25">
      <c r="A179" s="31"/>
      <c r="B179" s="20" t="s">
        <v>472</v>
      </c>
      <c r="C179" s="2"/>
      <c r="D179" s="2"/>
      <c r="E179" s="2">
        <v>5</v>
      </c>
      <c r="F179" s="2">
        <v>5</v>
      </c>
    </row>
    <row r="180" spans="1:6" ht="30" x14ac:dyDescent="0.25">
      <c r="A180" s="31"/>
      <c r="B180" s="20" t="s">
        <v>534</v>
      </c>
      <c r="C180" s="2"/>
      <c r="D180" s="2"/>
      <c r="E180" s="2">
        <v>1</v>
      </c>
      <c r="F180" s="2">
        <v>1</v>
      </c>
    </row>
    <row r="181" spans="1:6" ht="30" x14ac:dyDescent="0.25">
      <c r="A181" s="31"/>
      <c r="B181" s="20" t="s">
        <v>713</v>
      </c>
      <c r="C181" s="2"/>
      <c r="D181" s="2"/>
      <c r="E181" s="2">
        <v>1</v>
      </c>
      <c r="F181" s="2">
        <v>1</v>
      </c>
    </row>
    <row r="182" spans="1:6" ht="30" x14ac:dyDescent="0.25">
      <c r="A182" s="31"/>
      <c r="B182" s="20" t="s">
        <v>525</v>
      </c>
      <c r="C182" s="2"/>
      <c r="D182" s="2"/>
      <c r="E182" s="2">
        <v>2</v>
      </c>
      <c r="F182" s="2">
        <v>2</v>
      </c>
    </row>
    <row r="183" spans="1:6" ht="30" x14ac:dyDescent="0.25">
      <c r="A183" s="31"/>
      <c r="B183" s="20" t="s">
        <v>532</v>
      </c>
      <c r="C183" s="2"/>
      <c r="D183" s="2"/>
      <c r="E183" s="2">
        <v>2</v>
      </c>
      <c r="F183" s="2">
        <v>2</v>
      </c>
    </row>
    <row r="184" spans="1:6" ht="30" x14ac:dyDescent="0.25">
      <c r="A184" s="31"/>
      <c r="B184" s="20" t="s">
        <v>466</v>
      </c>
      <c r="C184" s="2"/>
      <c r="D184" s="2"/>
      <c r="E184" s="2">
        <v>2</v>
      </c>
      <c r="F184" s="2">
        <v>2</v>
      </c>
    </row>
    <row r="185" spans="1:6" ht="30" x14ac:dyDescent="0.25">
      <c r="A185" s="31"/>
      <c r="B185" s="20" t="s">
        <v>471</v>
      </c>
      <c r="C185" s="2"/>
      <c r="D185" s="2"/>
      <c r="E185" s="2">
        <v>1</v>
      </c>
      <c r="F185" s="2">
        <v>1</v>
      </c>
    </row>
    <row r="186" spans="1:6" ht="30" x14ac:dyDescent="0.25">
      <c r="A186" s="31"/>
      <c r="B186" s="20" t="s">
        <v>529</v>
      </c>
      <c r="C186" s="2"/>
      <c r="D186" s="2"/>
      <c r="E186" s="2">
        <v>3</v>
      </c>
      <c r="F186" s="2">
        <v>3</v>
      </c>
    </row>
    <row r="187" spans="1:6" ht="30" x14ac:dyDescent="0.25">
      <c r="A187" s="31"/>
      <c r="B187" s="20" t="s">
        <v>540</v>
      </c>
      <c r="C187" s="2"/>
      <c r="D187" s="2"/>
      <c r="E187" s="2">
        <v>1</v>
      </c>
      <c r="F187" s="2">
        <v>1</v>
      </c>
    </row>
    <row r="188" spans="1:6" ht="30" x14ac:dyDescent="0.25">
      <c r="A188" s="31"/>
      <c r="B188" s="20" t="s">
        <v>705</v>
      </c>
      <c r="C188" s="2"/>
      <c r="D188" s="2"/>
      <c r="E188" s="2">
        <v>1</v>
      </c>
      <c r="F188" s="2">
        <v>1</v>
      </c>
    </row>
    <row r="189" spans="1:6" ht="30" x14ac:dyDescent="0.25">
      <c r="A189" s="31"/>
      <c r="B189" s="20" t="s">
        <v>485</v>
      </c>
      <c r="C189" s="2">
        <v>1</v>
      </c>
      <c r="D189" s="2"/>
      <c r="E189" s="2"/>
      <c r="F189" s="2">
        <v>1</v>
      </c>
    </row>
    <row r="190" spans="1:6" ht="30" x14ac:dyDescent="0.25">
      <c r="A190" s="31"/>
      <c r="B190" s="20" t="s">
        <v>539</v>
      </c>
      <c r="C190" s="2"/>
      <c r="D190" s="2"/>
      <c r="E190" s="2">
        <v>1</v>
      </c>
      <c r="F190" s="2">
        <v>1</v>
      </c>
    </row>
    <row r="191" spans="1:6" ht="30" x14ac:dyDescent="0.25">
      <c r="A191" s="31"/>
      <c r="B191" s="20" t="s">
        <v>507</v>
      </c>
      <c r="C191" s="2">
        <v>1</v>
      </c>
      <c r="D191" s="2"/>
      <c r="E191" s="2"/>
      <c r="F191" s="2">
        <v>1</v>
      </c>
    </row>
    <row r="192" spans="1:6" ht="30" x14ac:dyDescent="0.25">
      <c r="A192" s="31"/>
      <c r="B192" s="20" t="s">
        <v>531</v>
      </c>
      <c r="C192" s="2"/>
      <c r="D192" s="2"/>
      <c r="E192" s="2">
        <v>3</v>
      </c>
      <c r="F192" s="2">
        <v>3</v>
      </c>
    </row>
    <row r="193" spans="1:6" ht="30" x14ac:dyDescent="0.25">
      <c r="A193" s="31"/>
      <c r="B193" s="20" t="s">
        <v>481</v>
      </c>
      <c r="C193" s="2"/>
      <c r="D193" s="2"/>
      <c r="E193" s="2">
        <v>1</v>
      </c>
      <c r="F193" s="2">
        <v>1</v>
      </c>
    </row>
    <row r="194" spans="1:6" ht="30" x14ac:dyDescent="0.25">
      <c r="A194" s="31"/>
      <c r="B194" s="20" t="s">
        <v>511</v>
      </c>
      <c r="C194" s="2"/>
      <c r="D194" s="2"/>
      <c r="E194" s="2">
        <v>1</v>
      </c>
      <c r="F194" s="2">
        <v>1</v>
      </c>
    </row>
    <row r="195" spans="1:6" ht="30" x14ac:dyDescent="0.25">
      <c r="A195" s="31"/>
      <c r="B195" s="20" t="s">
        <v>530</v>
      </c>
      <c r="C195" s="2"/>
      <c r="D195" s="2"/>
      <c r="E195" s="2">
        <v>27</v>
      </c>
      <c r="F195" s="2">
        <v>27</v>
      </c>
    </row>
    <row r="196" spans="1:6" ht="30" x14ac:dyDescent="0.25">
      <c r="A196" s="31"/>
      <c r="B196" s="20" t="s">
        <v>510</v>
      </c>
      <c r="C196" s="2"/>
      <c r="D196" s="2"/>
      <c r="E196" s="2">
        <v>5</v>
      </c>
      <c r="F196" s="2">
        <v>5</v>
      </c>
    </row>
    <row r="197" spans="1:6" ht="30" x14ac:dyDescent="0.25">
      <c r="A197" s="31"/>
      <c r="B197" s="20" t="s">
        <v>512</v>
      </c>
      <c r="C197" s="2">
        <v>4</v>
      </c>
      <c r="D197" s="2"/>
      <c r="E197" s="2">
        <v>19</v>
      </c>
      <c r="F197" s="2">
        <v>23</v>
      </c>
    </row>
    <row r="198" spans="1:6" ht="30" x14ac:dyDescent="0.25">
      <c r="A198" s="31"/>
      <c r="B198" s="20" t="s">
        <v>513</v>
      </c>
      <c r="C198" s="2"/>
      <c r="D198" s="2"/>
      <c r="E198" s="2">
        <v>1</v>
      </c>
      <c r="F198" s="2">
        <v>1</v>
      </c>
    </row>
    <row r="199" spans="1:6" ht="30" x14ac:dyDescent="0.25">
      <c r="A199" s="31"/>
      <c r="B199" s="20" t="s">
        <v>500</v>
      </c>
      <c r="C199" s="2"/>
      <c r="D199" s="2"/>
      <c r="E199" s="2">
        <v>1</v>
      </c>
      <c r="F199" s="2">
        <v>1</v>
      </c>
    </row>
    <row r="200" spans="1:6" ht="30" x14ac:dyDescent="0.25">
      <c r="A200" s="31"/>
      <c r="B200" s="20" t="s">
        <v>501</v>
      </c>
      <c r="C200" s="2">
        <v>1</v>
      </c>
      <c r="D200" s="2"/>
      <c r="E200" s="2">
        <v>1</v>
      </c>
      <c r="F200" s="2">
        <v>2</v>
      </c>
    </row>
    <row r="201" spans="1:6" ht="30" x14ac:dyDescent="0.25">
      <c r="A201" s="31"/>
      <c r="B201" s="20" t="s">
        <v>538</v>
      </c>
      <c r="C201" s="2"/>
      <c r="D201" s="2"/>
      <c r="E201" s="2">
        <v>1</v>
      </c>
      <c r="F201" s="2">
        <v>1</v>
      </c>
    </row>
    <row r="202" spans="1:6" ht="30" x14ac:dyDescent="0.25">
      <c r="A202" s="31"/>
      <c r="B202" s="20" t="s">
        <v>465</v>
      </c>
      <c r="C202" s="2"/>
      <c r="D202" s="2"/>
      <c r="E202" s="2">
        <v>1</v>
      </c>
      <c r="F202" s="2">
        <v>1</v>
      </c>
    </row>
    <row r="203" spans="1:6" ht="30" x14ac:dyDescent="0.25">
      <c r="A203" s="31"/>
      <c r="B203" s="20" t="s">
        <v>743</v>
      </c>
      <c r="C203" s="2"/>
      <c r="D203" s="2"/>
      <c r="E203" s="2">
        <v>1</v>
      </c>
      <c r="F203" s="2">
        <v>1</v>
      </c>
    </row>
    <row r="204" spans="1:6" ht="30" x14ac:dyDescent="0.25">
      <c r="A204" s="31"/>
      <c r="B204" s="20" t="s">
        <v>499</v>
      </c>
      <c r="C204" s="2"/>
      <c r="D204" s="2"/>
      <c r="E204" s="2">
        <v>1</v>
      </c>
      <c r="F204" s="2">
        <v>1</v>
      </c>
    </row>
    <row r="205" spans="1:6" ht="30" x14ac:dyDescent="0.25">
      <c r="A205" s="31"/>
      <c r="B205" s="20" t="s">
        <v>503</v>
      </c>
      <c r="C205" s="2"/>
      <c r="D205" s="2"/>
      <c r="E205" s="2">
        <v>1</v>
      </c>
      <c r="F205" s="2">
        <v>1</v>
      </c>
    </row>
    <row r="206" spans="1:6" ht="30" x14ac:dyDescent="0.25">
      <c r="A206" s="31"/>
      <c r="B206" s="20" t="s">
        <v>478</v>
      </c>
      <c r="C206" s="2"/>
      <c r="D206" s="2"/>
      <c r="E206" s="2">
        <v>1</v>
      </c>
      <c r="F206" s="2">
        <v>1</v>
      </c>
    </row>
    <row r="207" spans="1:6" ht="30" x14ac:dyDescent="0.25">
      <c r="A207" s="31"/>
      <c r="B207" s="20" t="s">
        <v>518</v>
      </c>
      <c r="C207" s="2"/>
      <c r="D207" s="2"/>
      <c r="E207" s="2">
        <v>3</v>
      </c>
      <c r="F207" s="2">
        <v>3</v>
      </c>
    </row>
    <row r="208" spans="1:6" ht="30" x14ac:dyDescent="0.25">
      <c r="A208" s="31"/>
      <c r="B208" s="20" t="s">
        <v>477</v>
      </c>
      <c r="C208" s="2"/>
      <c r="D208" s="2"/>
      <c r="E208" s="2">
        <v>1</v>
      </c>
      <c r="F208" s="2">
        <v>1</v>
      </c>
    </row>
    <row r="209" spans="1:6" ht="30" x14ac:dyDescent="0.25">
      <c r="A209" s="31"/>
      <c r="B209" s="20" t="s">
        <v>527</v>
      </c>
      <c r="C209" s="2"/>
      <c r="D209" s="2"/>
      <c r="E209" s="2">
        <v>1</v>
      </c>
      <c r="F209" s="2">
        <v>1</v>
      </c>
    </row>
    <row r="210" spans="1:6" ht="30" x14ac:dyDescent="0.25">
      <c r="A210" s="31"/>
      <c r="B210" s="20" t="s">
        <v>519</v>
      </c>
      <c r="C210" s="2">
        <v>1</v>
      </c>
      <c r="D210" s="2"/>
      <c r="E210" s="2"/>
      <c r="F210" s="2">
        <v>1</v>
      </c>
    </row>
    <row r="211" spans="1:6" ht="30" x14ac:dyDescent="0.25">
      <c r="A211" s="31"/>
      <c r="B211" s="20" t="s">
        <v>504</v>
      </c>
      <c r="C211" s="2"/>
      <c r="D211" s="2"/>
      <c r="E211" s="2">
        <v>2</v>
      </c>
      <c r="F211" s="2">
        <v>2</v>
      </c>
    </row>
    <row r="212" spans="1:6" ht="30" x14ac:dyDescent="0.25">
      <c r="A212" s="31"/>
      <c r="B212" s="20" t="s">
        <v>731</v>
      </c>
      <c r="C212" s="2"/>
      <c r="D212" s="2"/>
      <c r="E212" s="2">
        <v>1</v>
      </c>
      <c r="F212" s="2">
        <v>1</v>
      </c>
    </row>
    <row r="213" spans="1:6" ht="30" x14ac:dyDescent="0.25">
      <c r="A213" s="31"/>
      <c r="B213" s="20" t="s">
        <v>541</v>
      </c>
      <c r="C213" s="2"/>
      <c r="D213" s="2"/>
      <c r="E213" s="2">
        <v>2</v>
      </c>
      <c r="F213" s="2">
        <v>2</v>
      </c>
    </row>
    <row r="214" spans="1:6" ht="30" x14ac:dyDescent="0.25">
      <c r="A214" s="31"/>
      <c r="B214" s="20" t="s">
        <v>514</v>
      </c>
      <c r="C214" s="2"/>
      <c r="D214" s="2"/>
      <c r="E214" s="2">
        <v>1</v>
      </c>
      <c r="F214" s="2">
        <v>1</v>
      </c>
    </row>
    <row r="215" spans="1:6" ht="30" x14ac:dyDescent="0.25">
      <c r="A215" s="31"/>
      <c r="B215" s="20" t="s">
        <v>595</v>
      </c>
      <c r="C215" s="2"/>
      <c r="D215" s="2"/>
      <c r="E215" s="2">
        <v>1</v>
      </c>
      <c r="F215" s="2">
        <v>1</v>
      </c>
    </row>
    <row r="216" spans="1:6" ht="30" x14ac:dyDescent="0.25">
      <c r="A216" s="31"/>
      <c r="B216" s="20" t="s">
        <v>596</v>
      </c>
      <c r="C216" s="2"/>
      <c r="D216" s="2"/>
      <c r="E216" s="2">
        <v>2</v>
      </c>
      <c r="F216" s="2">
        <v>2</v>
      </c>
    </row>
    <row r="217" spans="1:6" ht="30" x14ac:dyDescent="0.25">
      <c r="A217" s="31"/>
      <c r="B217" s="20" t="s">
        <v>597</v>
      </c>
      <c r="C217" s="2"/>
      <c r="D217" s="2"/>
      <c r="E217" s="2">
        <v>1</v>
      </c>
      <c r="F217" s="2">
        <v>1</v>
      </c>
    </row>
    <row r="218" spans="1:6" ht="30" x14ac:dyDescent="0.25">
      <c r="A218" s="31"/>
      <c r="B218" s="20" t="s">
        <v>598</v>
      </c>
      <c r="C218" s="2"/>
      <c r="D218" s="2"/>
      <c r="E218" s="2">
        <v>6</v>
      </c>
      <c r="F218" s="2">
        <v>6</v>
      </c>
    </row>
    <row r="219" spans="1:6" ht="30" x14ac:dyDescent="0.25">
      <c r="A219" s="31"/>
      <c r="B219" s="20" t="s">
        <v>599</v>
      </c>
      <c r="C219" s="2"/>
      <c r="D219" s="2"/>
      <c r="E219" s="2">
        <v>1</v>
      </c>
      <c r="F219" s="2">
        <v>1</v>
      </c>
    </row>
    <row r="220" spans="1:6" ht="30" x14ac:dyDescent="0.25">
      <c r="A220" s="31"/>
      <c r="B220" s="20" t="s">
        <v>600</v>
      </c>
      <c r="C220" s="2"/>
      <c r="D220" s="2"/>
      <c r="E220" s="2">
        <v>2</v>
      </c>
      <c r="F220" s="2">
        <v>2</v>
      </c>
    </row>
    <row r="221" spans="1:6" ht="30" x14ac:dyDescent="0.25">
      <c r="A221" s="31"/>
      <c r="B221" s="20" t="s">
        <v>601</v>
      </c>
      <c r="C221" s="2">
        <v>1</v>
      </c>
      <c r="D221" s="2"/>
      <c r="E221" s="2">
        <v>9</v>
      </c>
      <c r="F221" s="2">
        <v>10</v>
      </c>
    </row>
    <row r="222" spans="1:6" ht="30" x14ac:dyDescent="0.25">
      <c r="A222" s="31"/>
      <c r="B222" s="20" t="s">
        <v>602</v>
      </c>
      <c r="C222" s="2"/>
      <c r="D222" s="2"/>
      <c r="E222" s="2">
        <v>5</v>
      </c>
      <c r="F222" s="2">
        <v>5</v>
      </c>
    </row>
    <row r="223" spans="1:6" ht="30" x14ac:dyDescent="0.25">
      <c r="A223" s="31"/>
      <c r="B223" s="20" t="s">
        <v>607</v>
      </c>
      <c r="C223" s="2"/>
      <c r="D223" s="2"/>
      <c r="E223" s="2">
        <v>22</v>
      </c>
      <c r="F223" s="2">
        <v>22</v>
      </c>
    </row>
    <row r="224" spans="1:6" ht="30" x14ac:dyDescent="0.25">
      <c r="A224" s="31"/>
      <c r="B224" s="20" t="s">
        <v>608</v>
      </c>
      <c r="C224" s="2"/>
      <c r="D224" s="2"/>
      <c r="E224" s="2">
        <v>1</v>
      </c>
      <c r="F224" s="2">
        <v>1</v>
      </c>
    </row>
    <row r="225" spans="1:6" ht="30" x14ac:dyDescent="0.25">
      <c r="A225" s="31"/>
      <c r="B225" s="20" t="s">
        <v>609</v>
      </c>
      <c r="C225" s="2"/>
      <c r="D225" s="2"/>
      <c r="E225" s="2">
        <v>10</v>
      </c>
      <c r="F225" s="2">
        <v>10</v>
      </c>
    </row>
    <row r="226" spans="1:6" ht="30" x14ac:dyDescent="0.25">
      <c r="A226" s="31"/>
      <c r="B226" s="20" t="s">
        <v>610</v>
      </c>
      <c r="C226" s="2"/>
      <c r="D226" s="2"/>
      <c r="E226" s="2">
        <v>11</v>
      </c>
      <c r="F226" s="2">
        <v>11</v>
      </c>
    </row>
    <row r="227" spans="1:6" ht="30" x14ac:dyDescent="0.25">
      <c r="A227" s="31"/>
      <c r="B227" s="20" t="s">
        <v>612</v>
      </c>
      <c r="C227" s="2"/>
      <c r="D227" s="2"/>
      <c r="E227" s="2">
        <v>18</v>
      </c>
      <c r="F227" s="2">
        <v>18</v>
      </c>
    </row>
    <row r="228" spans="1:6" ht="30" x14ac:dyDescent="0.25">
      <c r="A228" s="31"/>
      <c r="B228" s="20" t="s">
        <v>613</v>
      </c>
      <c r="C228" s="2"/>
      <c r="D228" s="2"/>
      <c r="E228" s="2">
        <v>3</v>
      </c>
      <c r="F228" s="2">
        <v>3</v>
      </c>
    </row>
    <row r="229" spans="1:6" ht="30" x14ac:dyDescent="0.25">
      <c r="A229" s="31"/>
      <c r="B229" s="20" t="s">
        <v>614</v>
      </c>
      <c r="C229" s="2"/>
      <c r="D229" s="2"/>
      <c r="E229" s="2">
        <v>10</v>
      </c>
      <c r="F229" s="2">
        <v>10</v>
      </c>
    </row>
    <row r="230" spans="1:6" ht="30" x14ac:dyDescent="0.25">
      <c r="A230" s="31"/>
      <c r="B230" s="20" t="s">
        <v>615</v>
      </c>
      <c r="C230" s="2"/>
      <c r="D230" s="2"/>
      <c r="E230" s="2">
        <v>14</v>
      </c>
      <c r="F230" s="2">
        <v>14</v>
      </c>
    </row>
    <row r="231" spans="1:6" ht="30" x14ac:dyDescent="0.25">
      <c r="A231" s="31"/>
      <c r="B231" s="20" t="s">
        <v>616</v>
      </c>
      <c r="C231" s="2"/>
      <c r="D231" s="2"/>
      <c r="E231" s="2">
        <v>1</v>
      </c>
      <c r="F231" s="2">
        <v>1</v>
      </c>
    </row>
    <row r="232" spans="1:6" ht="30" x14ac:dyDescent="0.25">
      <c r="A232" s="31"/>
      <c r="B232" s="20" t="s">
        <v>620</v>
      </c>
      <c r="C232" s="2"/>
      <c r="D232" s="2"/>
      <c r="E232" s="2">
        <v>23</v>
      </c>
      <c r="F232" s="2">
        <v>23</v>
      </c>
    </row>
    <row r="233" spans="1:6" ht="30" x14ac:dyDescent="0.25">
      <c r="A233" s="31"/>
      <c r="B233" s="20" t="s">
        <v>621</v>
      </c>
      <c r="C233" s="2"/>
      <c r="D233" s="2"/>
      <c r="E233" s="2">
        <v>1</v>
      </c>
      <c r="F233" s="2">
        <v>1</v>
      </c>
    </row>
    <row r="234" spans="1:6" ht="30" x14ac:dyDescent="0.25">
      <c r="A234" s="31"/>
      <c r="B234" s="20" t="s">
        <v>622</v>
      </c>
      <c r="C234" s="2">
        <v>6</v>
      </c>
      <c r="D234" s="2"/>
      <c r="E234" s="2">
        <v>24</v>
      </c>
      <c r="F234" s="2">
        <v>30</v>
      </c>
    </row>
    <row r="235" spans="1:6" ht="30" x14ac:dyDescent="0.25">
      <c r="A235" s="31"/>
      <c r="B235" s="20" t="s">
        <v>623</v>
      </c>
      <c r="C235" s="2">
        <v>3</v>
      </c>
      <c r="D235" s="2"/>
      <c r="E235" s="2">
        <v>30</v>
      </c>
      <c r="F235" s="2">
        <v>33</v>
      </c>
    </row>
    <row r="236" spans="1:6" ht="30" x14ac:dyDescent="0.25">
      <c r="A236" s="31"/>
      <c r="B236" s="20" t="s">
        <v>624</v>
      </c>
      <c r="C236" s="2"/>
      <c r="D236" s="2"/>
      <c r="E236" s="2">
        <v>6</v>
      </c>
      <c r="F236" s="2">
        <v>6</v>
      </c>
    </row>
    <row r="237" spans="1:6" ht="30" x14ac:dyDescent="0.25">
      <c r="A237" s="31"/>
      <c r="B237" s="20" t="s">
        <v>625</v>
      </c>
      <c r="C237" s="2"/>
      <c r="D237" s="2"/>
      <c r="E237" s="2">
        <v>26</v>
      </c>
      <c r="F237" s="2">
        <v>26</v>
      </c>
    </row>
    <row r="238" spans="1:6" ht="30" x14ac:dyDescent="0.25">
      <c r="A238" s="31"/>
      <c r="B238" s="20" t="s">
        <v>658</v>
      </c>
      <c r="C238" s="2">
        <v>1</v>
      </c>
      <c r="D238" s="2"/>
      <c r="E238" s="2">
        <v>74</v>
      </c>
      <c r="F238" s="2">
        <v>75</v>
      </c>
    </row>
    <row r="239" spans="1:6" ht="30" x14ac:dyDescent="0.25">
      <c r="A239" s="31"/>
      <c r="B239" s="20" t="s">
        <v>692</v>
      </c>
      <c r="C239" s="2"/>
      <c r="D239" s="2"/>
      <c r="E239" s="2">
        <v>6</v>
      </c>
      <c r="F239" s="2">
        <v>6</v>
      </c>
    </row>
    <row r="240" spans="1:6" ht="30" x14ac:dyDescent="0.25">
      <c r="A240" s="31"/>
      <c r="B240" s="20" t="s">
        <v>693</v>
      </c>
      <c r="C240" s="2"/>
      <c r="D240" s="2"/>
      <c r="E240" s="2">
        <v>1</v>
      </c>
      <c r="F240" s="2">
        <v>1</v>
      </c>
    </row>
    <row r="241" spans="1:6" ht="30" x14ac:dyDescent="0.25">
      <c r="A241" s="31"/>
      <c r="B241" s="20" t="s">
        <v>694</v>
      </c>
      <c r="C241" s="2"/>
      <c r="D241" s="2"/>
      <c r="E241" s="2">
        <v>1</v>
      </c>
      <c r="F241" s="2">
        <v>1</v>
      </c>
    </row>
    <row r="242" spans="1:6" ht="30" x14ac:dyDescent="0.25">
      <c r="A242" s="31"/>
      <c r="B242" s="20" t="s">
        <v>695</v>
      </c>
      <c r="C242" s="2"/>
      <c r="D242" s="2"/>
      <c r="E242" s="2">
        <v>8</v>
      </c>
      <c r="F242" s="2">
        <v>8</v>
      </c>
    </row>
    <row r="243" spans="1:6" ht="30" x14ac:dyDescent="0.25">
      <c r="A243" s="31"/>
      <c r="B243" s="20" t="s">
        <v>696</v>
      </c>
      <c r="C243" s="2"/>
      <c r="D243" s="2"/>
      <c r="E243" s="2">
        <v>1</v>
      </c>
      <c r="F243" s="2">
        <v>1</v>
      </c>
    </row>
    <row r="244" spans="1:6" ht="30" x14ac:dyDescent="0.25">
      <c r="A244" s="31"/>
      <c r="B244" s="20" t="s">
        <v>697</v>
      </c>
      <c r="C244" s="2"/>
      <c r="D244" s="2"/>
      <c r="E244" s="2">
        <v>1</v>
      </c>
      <c r="F244" s="2">
        <v>1</v>
      </c>
    </row>
    <row r="245" spans="1:6" ht="30" x14ac:dyDescent="0.25">
      <c r="A245" s="31"/>
      <c r="B245" s="20" t="s">
        <v>698</v>
      </c>
      <c r="C245" s="2"/>
      <c r="D245" s="2"/>
      <c r="E245" s="2">
        <v>2</v>
      </c>
      <c r="F245" s="2">
        <v>2</v>
      </c>
    </row>
    <row r="246" spans="1:6" ht="30" x14ac:dyDescent="0.25">
      <c r="A246" s="31"/>
      <c r="B246" s="20" t="s">
        <v>699</v>
      </c>
      <c r="C246" s="2"/>
      <c r="D246" s="2"/>
      <c r="E246" s="2">
        <v>3</v>
      </c>
      <c r="F246" s="2">
        <v>3</v>
      </c>
    </row>
    <row r="247" spans="1:6" ht="30" x14ac:dyDescent="0.25">
      <c r="A247" s="31"/>
      <c r="B247" s="20" t="s">
        <v>700</v>
      </c>
      <c r="C247" s="2"/>
      <c r="D247" s="2"/>
      <c r="E247" s="2">
        <v>2</v>
      </c>
      <c r="F247" s="2">
        <v>2</v>
      </c>
    </row>
    <row r="248" spans="1:6" ht="30" x14ac:dyDescent="0.25">
      <c r="A248" s="31"/>
      <c r="B248" s="20" t="s">
        <v>703</v>
      </c>
      <c r="C248" s="2"/>
      <c r="D248" s="2"/>
      <c r="E248" s="2">
        <v>5</v>
      </c>
      <c r="F248" s="2">
        <v>5</v>
      </c>
    </row>
    <row r="249" spans="1:6" ht="30" x14ac:dyDescent="0.25">
      <c r="A249" s="31"/>
      <c r="B249" s="20" t="s">
        <v>704</v>
      </c>
      <c r="C249" s="2"/>
      <c r="D249" s="2"/>
      <c r="E249" s="2">
        <v>1</v>
      </c>
      <c r="F249" s="2">
        <v>1</v>
      </c>
    </row>
    <row r="250" spans="1:6" ht="30" x14ac:dyDescent="0.25">
      <c r="A250" s="31"/>
      <c r="B250" s="20" t="s">
        <v>706</v>
      </c>
      <c r="C250" s="2"/>
      <c r="D250" s="2"/>
      <c r="E250" s="2">
        <v>2</v>
      </c>
      <c r="F250" s="2">
        <v>2</v>
      </c>
    </row>
    <row r="251" spans="1:6" ht="30" x14ac:dyDescent="0.25">
      <c r="A251" s="31"/>
      <c r="B251" s="20" t="s">
        <v>707</v>
      </c>
      <c r="C251" s="2"/>
      <c r="D251" s="2"/>
      <c r="E251" s="2">
        <v>1</v>
      </c>
      <c r="F251" s="2">
        <v>1</v>
      </c>
    </row>
    <row r="252" spans="1:6" ht="30" x14ac:dyDescent="0.25">
      <c r="A252" s="31"/>
      <c r="B252" s="20" t="s">
        <v>708</v>
      </c>
      <c r="C252" s="2"/>
      <c r="D252" s="2"/>
      <c r="E252" s="2">
        <v>17</v>
      </c>
      <c r="F252" s="2">
        <v>17</v>
      </c>
    </row>
    <row r="253" spans="1:6" ht="30" x14ac:dyDescent="0.25">
      <c r="A253" s="31"/>
      <c r="B253" s="20" t="s">
        <v>709</v>
      </c>
      <c r="C253" s="2"/>
      <c r="D253" s="2"/>
      <c r="E253" s="2">
        <v>5</v>
      </c>
      <c r="F253" s="2">
        <v>5</v>
      </c>
    </row>
    <row r="254" spans="1:6" ht="30" x14ac:dyDescent="0.25">
      <c r="A254" s="31"/>
      <c r="B254" s="20" t="s">
        <v>710</v>
      </c>
      <c r="C254" s="2"/>
      <c r="D254" s="2"/>
      <c r="E254" s="2">
        <v>5</v>
      </c>
      <c r="F254" s="2">
        <v>5</v>
      </c>
    </row>
    <row r="255" spans="1:6" ht="30" x14ac:dyDescent="0.25">
      <c r="A255" s="31"/>
      <c r="B255" s="20" t="s">
        <v>711</v>
      </c>
      <c r="C255" s="2">
        <v>1</v>
      </c>
      <c r="D255" s="2"/>
      <c r="E255" s="2">
        <v>13</v>
      </c>
      <c r="F255" s="2">
        <v>14</v>
      </c>
    </row>
    <row r="256" spans="1:6" ht="30" x14ac:dyDescent="0.25">
      <c r="A256" s="31"/>
      <c r="B256" s="20" t="s">
        <v>714</v>
      </c>
      <c r="C256" s="2">
        <v>1</v>
      </c>
      <c r="D256" s="2"/>
      <c r="E256" s="2">
        <v>17</v>
      </c>
      <c r="F256" s="2">
        <v>18</v>
      </c>
    </row>
    <row r="257" spans="1:6" ht="30" x14ac:dyDescent="0.25">
      <c r="A257" s="31"/>
      <c r="B257" s="20" t="s">
        <v>718</v>
      </c>
      <c r="C257" s="2">
        <v>2</v>
      </c>
      <c r="D257" s="2"/>
      <c r="E257" s="2">
        <v>10</v>
      </c>
      <c r="F257" s="2">
        <v>12</v>
      </c>
    </row>
    <row r="258" spans="1:6" ht="30" x14ac:dyDescent="0.25">
      <c r="A258" s="31"/>
      <c r="B258" s="20" t="s">
        <v>719</v>
      </c>
      <c r="C258" s="2"/>
      <c r="D258" s="2"/>
      <c r="E258" s="2">
        <v>28</v>
      </c>
      <c r="F258" s="2">
        <v>28</v>
      </c>
    </row>
    <row r="259" spans="1:6" ht="30" x14ac:dyDescent="0.25">
      <c r="A259" s="31"/>
      <c r="B259" s="20" t="s">
        <v>720</v>
      </c>
      <c r="C259" s="2">
        <v>2</v>
      </c>
      <c r="D259" s="2"/>
      <c r="E259" s="2">
        <v>31</v>
      </c>
      <c r="F259" s="2">
        <v>33</v>
      </c>
    </row>
    <row r="260" spans="1:6" ht="30" x14ac:dyDescent="0.25">
      <c r="A260" s="31"/>
      <c r="B260" s="20" t="s">
        <v>722</v>
      </c>
      <c r="C260" s="2"/>
      <c r="D260" s="2"/>
      <c r="E260" s="2">
        <v>3</v>
      </c>
      <c r="F260" s="2">
        <v>3</v>
      </c>
    </row>
    <row r="261" spans="1:6" ht="30" x14ac:dyDescent="0.25">
      <c r="A261" s="31"/>
      <c r="B261" s="20" t="s">
        <v>723</v>
      </c>
      <c r="C261" s="2"/>
      <c r="D261" s="2"/>
      <c r="E261" s="2">
        <v>10</v>
      </c>
      <c r="F261" s="2">
        <v>10</v>
      </c>
    </row>
    <row r="262" spans="1:6" ht="30" x14ac:dyDescent="0.25">
      <c r="A262" s="31"/>
      <c r="B262" s="20" t="s">
        <v>725</v>
      </c>
      <c r="C262" s="2"/>
      <c r="D262" s="2"/>
      <c r="E262" s="2">
        <v>10</v>
      </c>
      <c r="F262" s="2">
        <v>10</v>
      </c>
    </row>
    <row r="263" spans="1:6" ht="30" x14ac:dyDescent="0.25">
      <c r="A263" s="31"/>
      <c r="B263" s="20" t="s">
        <v>730</v>
      </c>
      <c r="C263" s="2"/>
      <c r="D263" s="2"/>
      <c r="E263" s="2">
        <v>66</v>
      </c>
      <c r="F263" s="2">
        <v>66</v>
      </c>
    </row>
    <row r="264" spans="1:6" ht="30" x14ac:dyDescent="0.25">
      <c r="A264" s="31"/>
      <c r="B264" s="20" t="s">
        <v>732</v>
      </c>
      <c r="C264" s="2">
        <v>2</v>
      </c>
      <c r="D264" s="2"/>
      <c r="E264" s="2">
        <v>47</v>
      </c>
      <c r="F264" s="2">
        <v>49</v>
      </c>
    </row>
    <row r="265" spans="1:6" ht="30" x14ac:dyDescent="0.25">
      <c r="A265" s="31"/>
      <c r="B265" s="20" t="s">
        <v>733</v>
      </c>
      <c r="C265" s="2"/>
      <c r="D265" s="2"/>
      <c r="E265" s="2">
        <v>17</v>
      </c>
      <c r="F265" s="2">
        <v>17</v>
      </c>
    </row>
    <row r="266" spans="1:6" ht="30" x14ac:dyDescent="0.25">
      <c r="A266" s="31"/>
      <c r="B266" s="20" t="s">
        <v>734</v>
      </c>
      <c r="C266" s="2">
        <v>2</v>
      </c>
      <c r="D266" s="2"/>
      <c r="E266" s="2">
        <v>63</v>
      </c>
      <c r="F266" s="2">
        <v>65</v>
      </c>
    </row>
    <row r="267" spans="1:6" ht="30" x14ac:dyDescent="0.25">
      <c r="A267" s="31"/>
      <c r="B267" s="20" t="s">
        <v>739</v>
      </c>
      <c r="C267" s="2">
        <v>11</v>
      </c>
      <c r="D267" s="2"/>
      <c r="E267" s="2">
        <v>56</v>
      </c>
      <c r="F267" s="2">
        <v>67</v>
      </c>
    </row>
    <row r="268" spans="1:6" ht="30" x14ac:dyDescent="0.25">
      <c r="A268" s="31"/>
      <c r="B268" s="20" t="s">
        <v>740</v>
      </c>
      <c r="C268" s="2">
        <v>4</v>
      </c>
      <c r="D268" s="2"/>
      <c r="E268" s="2">
        <v>76</v>
      </c>
      <c r="F268" s="2">
        <v>80</v>
      </c>
    </row>
    <row r="269" spans="1:6" ht="30" x14ac:dyDescent="0.25">
      <c r="A269" s="31"/>
      <c r="B269" s="20" t="s">
        <v>741</v>
      </c>
      <c r="C269" s="2"/>
      <c r="D269" s="2"/>
      <c r="E269" s="2">
        <v>9</v>
      </c>
      <c r="F269" s="2">
        <v>9</v>
      </c>
    </row>
    <row r="270" spans="1:6" ht="30" x14ac:dyDescent="0.25">
      <c r="A270" s="31"/>
      <c r="B270" s="20" t="s">
        <v>742</v>
      </c>
      <c r="C270" s="2"/>
      <c r="D270" s="2"/>
      <c r="E270" s="2">
        <v>1</v>
      </c>
      <c r="F270" s="2">
        <v>1</v>
      </c>
    </row>
    <row r="271" spans="1:6" ht="30" x14ac:dyDescent="0.25">
      <c r="A271" s="31"/>
      <c r="B271" s="20" t="s">
        <v>747</v>
      </c>
      <c r="C271" s="2">
        <v>1</v>
      </c>
      <c r="D271" s="2"/>
      <c r="E271" s="2">
        <v>9</v>
      </c>
      <c r="F271" s="2">
        <v>10</v>
      </c>
    </row>
    <row r="272" spans="1:6" ht="30" x14ac:dyDescent="0.25">
      <c r="A272" s="31"/>
      <c r="B272" s="20" t="s">
        <v>748</v>
      </c>
      <c r="C272" s="2"/>
      <c r="D272" s="2"/>
      <c r="E272" s="2">
        <v>1</v>
      </c>
      <c r="F272" s="2">
        <v>1</v>
      </c>
    </row>
    <row r="273" spans="1:6" ht="30" x14ac:dyDescent="0.25">
      <c r="A273" s="31"/>
      <c r="B273" s="20" t="s">
        <v>749</v>
      </c>
      <c r="C273" s="2"/>
      <c r="D273" s="2"/>
      <c r="E273" s="2">
        <v>1</v>
      </c>
      <c r="F273" s="2">
        <v>1</v>
      </c>
    </row>
    <row r="274" spans="1:6" ht="30" x14ac:dyDescent="0.25">
      <c r="A274" s="31"/>
      <c r="B274" s="20" t="s">
        <v>750</v>
      </c>
      <c r="C274" s="2"/>
      <c r="D274" s="2"/>
      <c r="E274" s="2">
        <v>16</v>
      </c>
      <c r="F274" s="2">
        <v>16</v>
      </c>
    </row>
    <row r="275" spans="1:6" ht="30" x14ac:dyDescent="0.25">
      <c r="A275" s="31"/>
      <c r="B275" s="20" t="s">
        <v>751</v>
      </c>
      <c r="C275" s="2"/>
      <c r="D275" s="2"/>
      <c r="E275" s="2">
        <v>90</v>
      </c>
      <c r="F275" s="2">
        <v>90</v>
      </c>
    </row>
    <row r="276" spans="1:6" ht="30" x14ac:dyDescent="0.25">
      <c r="A276" s="31"/>
      <c r="B276" s="20" t="s">
        <v>753</v>
      </c>
      <c r="C276" s="2"/>
      <c r="D276" s="2"/>
      <c r="E276" s="2">
        <v>1</v>
      </c>
      <c r="F276" s="2">
        <v>1</v>
      </c>
    </row>
    <row r="277" spans="1:6" x14ac:dyDescent="0.25">
      <c r="A277" s="30" t="s">
        <v>547</v>
      </c>
      <c r="B277" s="31"/>
      <c r="C277" s="2">
        <v>57</v>
      </c>
      <c r="D277" s="2"/>
      <c r="E277" s="2">
        <v>1114</v>
      </c>
      <c r="F277" s="2">
        <v>1171</v>
      </c>
    </row>
    <row r="278" spans="1:6" ht="30" x14ac:dyDescent="0.25">
      <c r="A278" s="30" t="s">
        <v>86</v>
      </c>
      <c r="B278" s="20" t="s">
        <v>498</v>
      </c>
      <c r="C278" s="2"/>
      <c r="D278" s="2"/>
      <c r="E278" s="2">
        <v>4</v>
      </c>
      <c r="F278" s="2">
        <v>4</v>
      </c>
    </row>
    <row r="279" spans="1:6" ht="30" x14ac:dyDescent="0.25">
      <c r="A279" s="31"/>
      <c r="B279" s="20" t="s">
        <v>487</v>
      </c>
      <c r="C279" s="2"/>
      <c r="D279" s="2"/>
      <c r="E279" s="2">
        <v>18</v>
      </c>
      <c r="F279" s="2">
        <v>18</v>
      </c>
    </row>
    <row r="280" spans="1:6" ht="30" x14ac:dyDescent="0.25">
      <c r="A280" s="31"/>
      <c r="B280" s="20" t="s">
        <v>505</v>
      </c>
      <c r="C280" s="2"/>
      <c r="D280" s="2"/>
      <c r="E280" s="2">
        <v>2</v>
      </c>
      <c r="F280" s="2">
        <v>2</v>
      </c>
    </row>
    <row r="281" spans="1:6" ht="30" x14ac:dyDescent="0.25">
      <c r="A281" s="31"/>
      <c r="B281" s="20" t="s">
        <v>526</v>
      </c>
      <c r="C281" s="2"/>
      <c r="D281" s="2"/>
      <c r="E281" s="2">
        <v>2</v>
      </c>
      <c r="F281" s="2">
        <v>2</v>
      </c>
    </row>
    <row r="282" spans="1:6" ht="30" x14ac:dyDescent="0.25">
      <c r="A282" s="31"/>
      <c r="B282" s="20" t="s">
        <v>756</v>
      </c>
      <c r="C282" s="2"/>
      <c r="D282" s="2"/>
      <c r="E282" s="2">
        <v>1</v>
      </c>
      <c r="F282" s="2">
        <v>1</v>
      </c>
    </row>
    <row r="283" spans="1:6" ht="30" x14ac:dyDescent="0.25">
      <c r="A283" s="31"/>
      <c r="B283" s="20" t="s">
        <v>483</v>
      </c>
      <c r="C283" s="2"/>
      <c r="D283" s="2"/>
      <c r="E283" s="2">
        <v>10</v>
      </c>
      <c r="F283" s="2">
        <v>10</v>
      </c>
    </row>
    <row r="284" spans="1:6" ht="30" x14ac:dyDescent="0.25">
      <c r="A284" s="31"/>
      <c r="B284" s="20" t="s">
        <v>482</v>
      </c>
      <c r="C284" s="2"/>
      <c r="D284" s="2"/>
      <c r="E284" s="2">
        <v>2</v>
      </c>
      <c r="F284" s="2">
        <v>2</v>
      </c>
    </row>
    <row r="285" spans="1:6" ht="30" x14ac:dyDescent="0.25">
      <c r="A285" s="31"/>
      <c r="B285" s="20" t="s">
        <v>506</v>
      </c>
      <c r="C285" s="2"/>
      <c r="D285" s="2"/>
      <c r="E285" s="2">
        <v>16</v>
      </c>
      <c r="F285" s="2">
        <v>16</v>
      </c>
    </row>
    <row r="286" spans="1:6" ht="30" x14ac:dyDescent="0.25">
      <c r="A286" s="31"/>
      <c r="B286" s="20" t="s">
        <v>626</v>
      </c>
      <c r="C286" s="2"/>
      <c r="D286" s="2"/>
      <c r="E286" s="2">
        <v>24</v>
      </c>
      <c r="F286" s="2">
        <v>24</v>
      </c>
    </row>
    <row r="287" spans="1:6" ht="30" x14ac:dyDescent="0.25">
      <c r="A287" s="31"/>
      <c r="B287" s="20" t="s">
        <v>627</v>
      </c>
      <c r="C287" s="2"/>
      <c r="D287" s="2"/>
      <c r="E287" s="2">
        <v>27</v>
      </c>
      <c r="F287" s="2">
        <v>27</v>
      </c>
    </row>
    <row r="288" spans="1:6" ht="30" x14ac:dyDescent="0.25">
      <c r="A288" s="31"/>
      <c r="B288" s="20" t="s">
        <v>628</v>
      </c>
      <c r="C288" s="2"/>
      <c r="D288" s="2"/>
      <c r="E288" s="2">
        <v>23</v>
      </c>
      <c r="F288" s="2">
        <v>23</v>
      </c>
    </row>
    <row r="289" spans="1:6" ht="30" x14ac:dyDescent="0.25">
      <c r="A289" s="31"/>
      <c r="B289" s="20" t="s">
        <v>629</v>
      </c>
      <c r="C289" s="2"/>
      <c r="D289" s="2"/>
      <c r="E289" s="2">
        <v>25</v>
      </c>
      <c r="F289" s="2">
        <v>25</v>
      </c>
    </row>
    <row r="290" spans="1:6" ht="30" x14ac:dyDescent="0.25">
      <c r="A290" s="31"/>
      <c r="B290" s="20" t="s">
        <v>630</v>
      </c>
      <c r="C290" s="2"/>
      <c r="D290" s="2"/>
      <c r="E290" s="2">
        <v>37</v>
      </c>
      <c r="F290" s="2">
        <v>37</v>
      </c>
    </row>
    <row r="291" spans="1:6" ht="30" x14ac:dyDescent="0.25">
      <c r="A291" s="31"/>
      <c r="B291" s="20" t="s">
        <v>755</v>
      </c>
      <c r="C291" s="2"/>
      <c r="D291" s="2"/>
      <c r="E291" s="2">
        <v>78</v>
      </c>
      <c r="F291" s="2">
        <v>78</v>
      </c>
    </row>
    <row r="292" spans="1:6" x14ac:dyDescent="0.25">
      <c r="A292" s="30" t="s">
        <v>548</v>
      </c>
      <c r="B292" s="31"/>
      <c r="C292" s="2"/>
      <c r="D292" s="2"/>
      <c r="E292" s="2">
        <v>269</v>
      </c>
      <c r="F292" s="2">
        <v>269</v>
      </c>
    </row>
    <row r="293" spans="1:6" x14ac:dyDescent="0.25">
      <c r="A293" s="20" t="s">
        <v>371</v>
      </c>
      <c r="B293" s="20" t="s">
        <v>371</v>
      </c>
      <c r="C293" s="2"/>
      <c r="D293" s="2">
        <v>42</v>
      </c>
      <c r="E293" s="2"/>
      <c r="F293" s="2">
        <v>42</v>
      </c>
    </row>
    <row r="294" spans="1:6" x14ac:dyDescent="0.25">
      <c r="A294" s="30" t="s">
        <v>549</v>
      </c>
      <c r="B294" s="31"/>
      <c r="C294" s="2"/>
      <c r="D294" s="2">
        <v>42</v>
      </c>
      <c r="E294" s="2"/>
      <c r="F294" s="2">
        <v>42</v>
      </c>
    </row>
    <row r="295" spans="1:6" x14ac:dyDescent="0.25">
      <c r="A295" s="30" t="s">
        <v>365</v>
      </c>
      <c r="B295" s="31"/>
      <c r="C295" s="2">
        <v>82</v>
      </c>
      <c r="D295" s="2">
        <v>42</v>
      </c>
      <c r="E295" s="2">
        <v>1714</v>
      </c>
      <c r="F295" s="2">
        <v>1838</v>
      </c>
    </row>
  </sheetData>
  <mergeCells count="16">
    <mergeCell ref="A295:B295"/>
    <mergeCell ref="A59:A73"/>
    <mergeCell ref="A74:B74"/>
    <mergeCell ref="A75:A84"/>
    <mergeCell ref="A85:B85"/>
    <mergeCell ref="A86:A92"/>
    <mergeCell ref="A93:B93"/>
    <mergeCell ref="A94:A96"/>
    <mergeCell ref="A97:B97"/>
    <mergeCell ref="A98:A160"/>
    <mergeCell ref="A161:B161"/>
    <mergeCell ref="A162:A276"/>
    <mergeCell ref="A277:B277"/>
    <mergeCell ref="A278:A291"/>
    <mergeCell ref="A292:B292"/>
    <mergeCell ref="A294:B2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T390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RowHeight="15" x14ac:dyDescent="0.25"/>
  <cols>
    <col min="1" max="1" width="11.42578125" style="15"/>
    <col min="2" max="3" width="16.28515625" style="15" customWidth="1"/>
    <col min="4" max="9" width="16.28515625" style="16" customWidth="1"/>
    <col min="10" max="11" width="11.42578125" style="15" customWidth="1"/>
    <col min="12" max="12" width="15.28515625" style="15" customWidth="1"/>
    <col min="13" max="14" width="11.42578125" style="15" customWidth="1"/>
    <col min="15" max="15" width="10.42578125" style="15" bestFit="1" customWidth="1"/>
    <col min="16" max="16" width="13.140625" style="15" customWidth="1"/>
    <col min="17" max="17" width="14.42578125" style="15" customWidth="1"/>
    <col min="18" max="18" width="13.42578125" style="15" customWidth="1"/>
    <col min="19" max="19" width="11.42578125" style="15" customWidth="1"/>
    <col min="20" max="20" width="14.28515625" style="16" customWidth="1"/>
    <col min="21" max="16384" width="11.42578125" style="15"/>
  </cols>
  <sheetData>
    <row r="1" spans="1:20" x14ac:dyDescent="0.25">
      <c r="A1" s="15" t="s">
        <v>331</v>
      </c>
      <c r="B1" s="15" t="s">
        <v>419</v>
      </c>
      <c r="C1" s="15" t="s">
        <v>420</v>
      </c>
      <c r="D1" s="16" t="s">
        <v>421</v>
      </c>
      <c r="E1" s="16" t="s">
        <v>422</v>
      </c>
      <c r="F1" s="16" t="s">
        <v>423</v>
      </c>
      <c r="G1" s="16" t="s">
        <v>424</v>
      </c>
      <c r="H1" s="16" t="s">
        <v>425</v>
      </c>
      <c r="I1" s="16" t="s">
        <v>467</v>
      </c>
      <c r="J1" s="15" t="s">
        <v>332</v>
      </c>
      <c r="K1" s="15" t="s">
        <v>333</v>
      </c>
      <c r="L1" s="15" t="s">
        <v>334</v>
      </c>
      <c r="M1" s="15" t="s">
        <v>335</v>
      </c>
      <c r="N1" s="15" t="s">
        <v>336</v>
      </c>
      <c r="O1" s="15" t="s">
        <v>368</v>
      </c>
      <c r="P1" s="15" t="s">
        <v>337</v>
      </c>
      <c r="Q1" s="15" t="s">
        <v>338</v>
      </c>
      <c r="R1" s="15" t="s">
        <v>339</v>
      </c>
      <c r="S1" s="15" t="s">
        <v>407</v>
      </c>
      <c r="T1" s="16" t="s">
        <v>418</v>
      </c>
    </row>
    <row r="2" spans="1:20" x14ac:dyDescent="0.25">
      <c r="A2" s="15">
        <v>24567592</v>
      </c>
      <c r="J2" s="15" t="str">
        <f>VLOOKUP(A2,sinap!$A$2:$R$9000,2,FALSE)</f>
        <v>M</v>
      </c>
      <c r="K2" s="15" t="str">
        <f>VLOOKUP(A2,sinap!$A$2:$R$9000,3,FALSE)</f>
        <v>TERNERO</v>
      </c>
      <c r="L2" s="15" t="str">
        <f>VLOOKUP(A2,sinap!$A$2:$R$9000,4,FALSE)</f>
        <v>ANGUS ROJO</v>
      </c>
      <c r="M2" s="15" t="str">
        <f>VLOOKUP(A2,sinap!$A$2:$R$9000,5,FALSE)</f>
        <v>0 años 11 meses</v>
      </c>
      <c r="N2" s="15" t="str">
        <f>VLOOKUP(A2,sinap!$A$2:$R$9000,6,FALSE)</f>
        <v>30-01-2025</v>
      </c>
      <c r="O2" s="15" t="str">
        <f>VLOOKUP(A2,sinap!$A$2:$R$9000,7,FALSE)</f>
        <v>Vivo</v>
      </c>
      <c r="P2" s="15" t="str">
        <f>VLOOKUP(A2,sinap!$A$2:$R$9000,8,FALSE)</f>
        <v>11.1.01.1241</v>
      </c>
      <c r="Q2" s="15" t="str">
        <f>VLOOKUP(A2,sinap!$A$2:$R$9000,12,FALSE)</f>
        <v>Sin Movimiento</v>
      </c>
      <c r="R2" s="15" t="str">
        <f>VLOOKUP(A2,sinap!$A$2:$R$9000,16,FALSE)</f>
        <v>11.1.01.1241</v>
      </c>
      <c r="S2" s="15" t="str">
        <f>VLOOKUP(A2,sinap!$A$2:$Y$9000,20,FALSE)</f>
        <v>SI</v>
      </c>
      <c r="T2" s="16">
        <v>45774</v>
      </c>
    </row>
    <row r="3" spans="1:20" x14ac:dyDescent="0.25">
      <c r="A3" s="15">
        <v>24567593</v>
      </c>
      <c r="J3" s="15" t="str">
        <f>VLOOKUP(A3,sinap!$A$2:$R$9000,2,FALSE)</f>
        <v>H</v>
      </c>
      <c r="K3" s="15" t="str">
        <f>VLOOKUP(A3,sinap!$A$2:$R$9000,3,FALSE)</f>
        <v>TERNERA</v>
      </c>
      <c r="L3" s="15" t="str">
        <f>VLOOKUP(A3,sinap!$A$2:$R$9000,4,FALSE)</f>
        <v>ANGUS ROJO</v>
      </c>
      <c r="M3" s="15" t="str">
        <f>VLOOKUP(A3,sinap!$A$2:$R$9000,5,FALSE)</f>
        <v>0 años 9 meses</v>
      </c>
      <c r="N3" s="15" t="str">
        <f>VLOOKUP(A3,sinap!$A$2:$R$9000,6,FALSE)</f>
        <v>30-03-2025</v>
      </c>
      <c r="O3" s="15" t="str">
        <f>VLOOKUP(A3,sinap!$A$2:$R$9000,7,FALSE)</f>
        <v>Vivo</v>
      </c>
      <c r="P3" s="15" t="str">
        <f>VLOOKUP(A3,sinap!$A$2:$R$9000,8,FALSE)</f>
        <v>11.1.01.2442</v>
      </c>
      <c r="Q3" s="15" t="str">
        <f>VLOOKUP(A3,sinap!$A$2:$R$9000,12,FALSE)</f>
        <v>11.1.01.0190</v>
      </c>
      <c r="R3" s="15" t="str">
        <f>VLOOKUP(A3,sinap!$A$2:$R$9000,16,FALSE)</f>
        <v>11.1.01.1241</v>
      </c>
      <c r="S3" s="15" t="str">
        <f>VLOOKUP(A3,sinap!$A$2:$Y$9000,20,FALSE)</f>
        <v>SI</v>
      </c>
      <c r="T3" s="16">
        <v>45774</v>
      </c>
    </row>
    <row r="4" spans="1:20" x14ac:dyDescent="0.25">
      <c r="A4" s="15">
        <v>24567595</v>
      </c>
      <c r="J4" s="15" t="str">
        <f>VLOOKUP(A4,sinap!$A$2:$R$9000,2,FALSE)</f>
        <v>H</v>
      </c>
      <c r="K4" s="15" t="str">
        <f>VLOOKUP(A4,sinap!$A$2:$R$9000,3,FALSE)</f>
        <v>TERNERA</v>
      </c>
      <c r="L4" s="15" t="str">
        <f>VLOOKUP(A4,sinap!$A$2:$R$9000,4,FALSE)</f>
        <v>ANGUS NEGRO</v>
      </c>
      <c r="M4" s="15" t="str">
        <f>VLOOKUP(A4,sinap!$A$2:$R$9000,5,FALSE)</f>
        <v>0 años 9 meses</v>
      </c>
      <c r="N4" s="15" t="str">
        <f>VLOOKUP(A4,sinap!$A$2:$R$9000,6,FALSE)</f>
        <v>11-04-2025</v>
      </c>
      <c r="O4" s="15" t="str">
        <f>VLOOKUP(A4,sinap!$A$2:$R$9000,7,FALSE)</f>
        <v>Vivo</v>
      </c>
      <c r="P4" s="15" t="str">
        <f>VLOOKUP(A4,sinap!$A$2:$R$9000,8,FALSE)</f>
        <v>11.1.01.2442</v>
      </c>
      <c r="Q4" s="15" t="str">
        <f>VLOOKUP(A4,sinap!$A$2:$R$9000,12,FALSE)</f>
        <v>11.1.01.0190</v>
      </c>
      <c r="R4" s="15" t="str">
        <f>VLOOKUP(A4,sinap!$A$2:$R$9000,16,FALSE)</f>
        <v>11.1.01.1241</v>
      </c>
      <c r="S4" s="15" t="str">
        <f>VLOOKUP(A4,sinap!$A$2:$Y$9000,20,FALSE)</f>
        <v>SI</v>
      </c>
      <c r="T4" s="16">
        <v>45774</v>
      </c>
    </row>
    <row r="5" spans="1:20" x14ac:dyDescent="0.25">
      <c r="A5" s="15">
        <v>24567596</v>
      </c>
      <c r="J5" s="15" t="str">
        <f>VLOOKUP(A5,sinap!$A$2:$R$9000,2,FALSE)</f>
        <v>H</v>
      </c>
      <c r="K5" s="15" t="str">
        <f>VLOOKUP(A5,sinap!$A$2:$R$9000,3,FALSE)</f>
        <v>TERNERA</v>
      </c>
      <c r="L5" s="15" t="str">
        <f>VLOOKUP(A5,sinap!$A$2:$R$9000,4,FALSE)</f>
        <v>ANGUS NEGRO</v>
      </c>
      <c r="M5" s="15" t="str">
        <f>VLOOKUP(A5,sinap!$A$2:$R$9000,5,FALSE)</f>
        <v>0 años 9 meses</v>
      </c>
      <c r="N5" s="15" t="str">
        <f>VLOOKUP(A5,sinap!$A$2:$R$9000,6,FALSE)</f>
        <v>11-04-2025</v>
      </c>
      <c r="O5" s="15" t="str">
        <f>VLOOKUP(A5,sinap!$A$2:$R$9000,7,FALSE)</f>
        <v>Vivo</v>
      </c>
      <c r="P5" s="15" t="str">
        <f>VLOOKUP(A5,sinap!$A$2:$R$9000,8,FALSE)</f>
        <v>11.1.01.2442</v>
      </c>
      <c r="Q5" s="15" t="str">
        <f>VLOOKUP(A5,sinap!$A$2:$R$9000,12,FALSE)</f>
        <v>11.1.01.0190</v>
      </c>
      <c r="R5" s="15" t="str">
        <f>VLOOKUP(A5,sinap!$A$2:$R$9000,16,FALSE)</f>
        <v>11.1.01.1241</v>
      </c>
      <c r="S5" s="15" t="str">
        <f>VLOOKUP(A5,sinap!$A$2:$Y$9000,20,FALSE)</f>
        <v>SI</v>
      </c>
      <c r="T5" s="16">
        <v>45774</v>
      </c>
    </row>
    <row r="6" spans="1:20" x14ac:dyDescent="0.25">
      <c r="A6" s="15">
        <v>24567597</v>
      </c>
      <c r="J6" s="15" t="str">
        <f>VLOOKUP(A6,sinap!$A$2:$R$9000,2,FALSE)</f>
        <v>M</v>
      </c>
      <c r="K6" s="15" t="str">
        <f>VLOOKUP(A6,sinap!$A$2:$R$9000,3,FALSE)</f>
        <v>TERNERO</v>
      </c>
      <c r="L6" s="15" t="str">
        <f>VLOOKUP(A6,sinap!$A$2:$R$9000,4,FALSE)</f>
        <v>HEREFORD</v>
      </c>
      <c r="M6" s="15" t="str">
        <f>VLOOKUP(A6,sinap!$A$2:$R$9000,5,FALSE)</f>
        <v>0 años 9 meses</v>
      </c>
      <c r="N6" s="15" t="str">
        <f>VLOOKUP(A6,sinap!$A$2:$R$9000,6,FALSE)</f>
        <v>31-03-2025</v>
      </c>
      <c r="O6" s="15" t="str">
        <f>VLOOKUP(A6,sinap!$A$2:$R$9000,7,FALSE)</f>
        <v>Vivo</v>
      </c>
      <c r="P6" s="15" t="str">
        <f>VLOOKUP(A6,sinap!$A$2:$R$9000,8,FALSE)</f>
        <v>11.1.01.0941</v>
      </c>
      <c r="Q6" s="15" t="str">
        <f>VLOOKUP(A6,sinap!$A$2:$R$9000,12,FALSE)</f>
        <v>11.1.01.1241</v>
      </c>
      <c r="R6" s="15" t="str">
        <f>VLOOKUP(A6,sinap!$A$2:$R$9000,16,FALSE)</f>
        <v>11.1.01.1241</v>
      </c>
      <c r="S6" s="15" t="str">
        <f>VLOOKUP(A6,sinap!$A$2:$Y$9000,20,FALSE)</f>
        <v>SI</v>
      </c>
      <c r="T6" s="16">
        <v>45774</v>
      </c>
    </row>
    <row r="7" spans="1:20" x14ac:dyDescent="0.25">
      <c r="A7" s="15">
        <v>24567598</v>
      </c>
      <c r="J7" s="15" t="str">
        <f>VLOOKUP(A7,sinap!$A$2:$R$9000,2,FALSE)</f>
        <v>H</v>
      </c>
      <c r="K7" s="15" t="str">
        <f>VLOOKUP(A7,sinap!$A$2:$R$9000,3,FALSE)</f>
        <v>TERNERA</v>
      </c>
      <c r="L7" s="15" t="str">
        <f>VLOOKUP(A7,sinap!$A$2:$R$9000,4,FALSE)</f>
        <v>ANGUS ROJO</v>
      </c>
      <c r="M7" s="15" t="str">
        <f>VLOOKUP(A7,sinap!$A$2:$R$9000,5,FALSE)</f>
        <v>0 años 10 meses</v>
      </c>
      <c r="N7" s="15" t="str">
        <f>VLOOKUP(A7,sinap!$A$2:$R$9000,6,FALSE)</f>
        <v>11-03-2025</v>
      </c>
      <c r="O7" s="15" t="str">
        <f>VLOOKUP(A7,sinap!$A$2:$R$9000,7,FALSE)</f>
        <v>Vivo</v>
      </c>
      <c r="P7" s="15" t="str">
        <f>VLOOKUP(A7,sinap!$A$2:$R$9000,8,FALSE)</f>
        <v>11.1.01.1241</v>
      </c>
      <c r="Q7" s="15" t="str">
        <f>VLOOKUP(A7,sinap!$A$2:$R$9000,12,FALSE)</f>
        <v>Sin Movimiento</v>
      </c>
      <c r="R7" s="15" t="str">
        <f>VLOOKUP(A7,sinap!$A$2:$R$9000,16,FALSE)</f>
        <v>11.1.01.1241</v>
      </c>
      <c r="S7" s="15" t="str">
        <f>VLOOKUP(A7,sinap!$A$2:$Y$9000,20,FALSE)</f>
        <v>SI</v>
      </c>
      <c r="T7" s="16">
        <v>45774</v>
      </c>
    </row>
    <row r="8" spans="1:20" x14ac:dyDescent="0.25">
      <c r="A8" s="15">
        <v>24567599</v>
      </c>
      <c r="J8" s="15" t="str">
        <f>VLOOKUP(A8,sinap!$A$2:$R$9000,2,FALSE)</f>
        <v>H</v>
      </c>
      <c r="K8" s="15" t="str">
        <f>VLOOKUP(A8,sinap!$A$2:$R$9000,3,FALSE)</f>
        <v>TERNERA</v>
      </c>
      <c r="L8" s="15" t="str">
        <f>VLOOKUP(A8,sinap!$A$2:$R$9000,4,FALSE)</f>
        <v>ANGUS ROJO</v>
      </c>
      <c r="M8" s="15" t="str">
        <f>VLOOKUP(A8,sinap!$A$2:$R$9000,5,FALSE)</f>
        <v>0 años 10 meses</v>
      </c>
      <c r="N8" s="15" t="str">
        <f>VLOOKUP(A8,sinap!$A$2:$R$9000,6,FALSE)</f>
        <v>11-03-2025</v>
      </c>
      <c r="O8" s="15" t="str">
        <f>VLOOKUP(A8,sinap!$A$2:$R$9000,7,FALSE)</f>
        <v>Vivo</v>
      </c>
      <c r="P8" s="15" t="str">
        <f>VLOOKUP(A8,sinap!$A$2:$R$9000,8,FALSE)</f>
        <v>11.1.01.1241</v>
      </c>
      <c r="Q8" s="15" t="str">
        <f>VLOOKUP(A8,sinap!$A$2:$R$9000,12,FALSE)</f>
        <v>Sin Movimiento</v>
      </c>
      <c r="R8" s="15" t="str">
        <f>VLOOKUP(A8,sinap!$A$2:$R$9000,16,FALSE)</f>
        <v>11.1.01.1241</v>
      </c>
      <c r="S8" s="15" t="str">
        <f>VLOOKUP(A8,sinap!$A$2:$Y$9000,20,FALSE)</f>
        <v>SI</v>
      </c>
      <c r="T8" s="16">
        <v>45774</v>
      </c>
    </row>
    <row r="9" spans="1:20" x14ac:dyDescent="0.25">
      <c r="A9" s="15">
        <v>26234001</v>
      </c>
      <c r="J9" s="15" t="str">
        <f>VLOOKUP(A9,sinap!$A$2:$R$9000,2,FALSE)</f>
        <v>H</v>
      </c>
      <c r="K9" s="15" t="str">
        <f>VLOOKUP(A9,sinap!$A$2:$R$9000,3,FALSE)</f>
        <v>TERNERA</v>
      </c>
      <c r="L9" s="15" t="str">
        <f>VLOOKUP(A9,sinap!$A$2:$R$9000,4,FALSE)</f>
        <v>ANGUS NEGRO</v>
      </c>
      <c r="M9" s="15" t="str">
        <f>VLOOKUP(A9,sinap!$A$2:$R$9000,5,FALSE)</f>
        <v>0 años 3 meses</v>
      </c>
      <c r="N9" s="15" t="str">
        <f>VLOOKUP(A9,sinap!$A$2:$R$9000,6,FALSE)</f>
        <v>30-09-2025</v>
      </c>
      <c r="O9" s="15" t="str">
        <f>VLOOKUP(A9,sinap!$A$2:$R$9000,7,FALSE)</f>
        <v>Vivo</v>
      </c>
      <c r="P9" s="15" t="str">
        <f>VLOOKUP(A9,sinap!$A$2:$R$9000,8,FALSE)</f>
        <v>11.1.01.2442</v>
      </c>
      <c r="Q9" s="15" t="str">
        <f>VLOOKUP(A9,sinap!$A$2:$R$9000,12,FALSE)</f>
        <v>11.1.01.0190</v>
      </c>
      <c r="R9" s="15" t="str">
        <f>VLOOKUP(A9,sinap!$A$2:$R$9000,16,FALSE)</f>
        <v>11.1.01.1241</v>
      </c>
      <c r="S9" s="15" t="str">
        <f>VLOOKUP(A9,sinap!$A$2:$Y$9000,20,FALSE)</f>
        <v>SI</v>
      </c>
      <c r="T9" s="16">
        <v>45965</v>
      </c>
    </row>
    <row r="10" spans="1:20" x14ac:dyDescent="0.25">
      <c r="A10" s="15">
        <v>26234002</v>
      </c>
      <c r="J10" s="15" t="str">
        <f>VLOOKUP(A10,sinap!$A$2:$R$9000,2,FALSE)</f>
        <v>H</v>
      </c>
      <c r="K10" s="15" t="str">
        <f>VLOOKUP(A10,sinap!$A$2:$R$9000,3,FALSE)</f>
        <v>TERNERA</v>
      </c>
      <c r="L10" s="15" t="str">
        <f>VLOOKUP(A10,sinap!$A$2:$R$9000,4,FALSE)</f>
        <v>ANGUS NEGRO</v>
      </c>
      <c r="M10" s="15" t="str">
        <f>VLOOKUP(A10,sinap!$A$2:$R$9000,5,FALSE)</f>
        <v>0 años 3 meses</v>
      </c>
      <c r="N10" s="15" t="str">
        <f>VLOOKUP(A10,sinap!$A$2:$R$9000,6,FALSE)</f>
        <v>05-10-2025</v>
      </c>
      <c r="O10" s="15" t="str">
        <f>VLOOKUP(A10,sinap!$A$2:$R$9000,7,FALSE)</f>
        <v>Vivo</v>
      </c>
      <c r="P10" s="15" t="str">
        <f>VLOOKUP(A10,sinap!$A$2:$R$9000,8,FALSE)</f>
        <v>11.1.01.2442</v>
      </c>
      <c r="Q10" s="15" t="str">
        <f>VLOOKUP(A10,sinap!$A$2:$R$9000,12,FALSE)</f>
        <v>11.1.01.0190</v>
      </c>
      <c r="R10" s="15" t="str">
        <f>VLOOKUP(A10,sinap!$A$2:$R$9000,16,FALSE)</f>
        <v>11.1.01.1241</v>
      </c>
      <c r="S10" s="15" t="str">
        <f>VLOOKUP(A10,sinap!$A$2:$Y$9000,20,FALSE)</f>
        <v>SI</v>
      </c>
      <c r="T10" s="16">
        <v>45965</v>
      </c>
    </row>
    <row r="11" spans="1:20" x14ac:dyDescent="0.25">
      <c r="A11" s="15">
        <v>26234012</v>
      </c>
      <c r="J11" s="15" t="str">
        <f>VLOOKUP(A11,sinap!$A$2:$R$9000,2,FALSE)</f>
        <v>H</v>
      </c>
      <c r="K11" s="15" t="str">
        <f>VLOOKUP(A11,sinap!$A$2:$R$9000,3,FALSE)</f>
        <v>TERNERA</v>
      </c>
      <c r="L11" s="15" t="str">
        <f>VLOOKUP(A11,sinap!$A$2:$R$9000,4,FALSE)</f>
        <v>ANGUS NEGRO</v>
      </c>
      <c r="M11" s="15" t="str">
        <f>VLOOKUP(A11,sinap!$A$2:$R$9000,5,FALSE)</f>
        <v>0 años 3 meses</v>
      </c>
      <c r="N11" s="15" t="str">
        <f>VLOOKUP(A11,sinap!$A$2:$R$9000,6,FALSE)</f>
        <v>05-10-2025</v>
      </c>
      <c r="O11" s="15" t="str">
        <f>VLOOKUP(A11,sinap!$A$2:$R$9000,7,FALSE)</f>
        <v>Vivo</v>
      </c>
      <c r="P11" s="15" t="str">
        <f>VLOOKUP(A11,sinap!$A$2:$R$9000,8,FALSE)</f>
        <v>11.1.01.2442</v>
      </c>
      <c r="Q11" s="15" t="str">
        <f>VLOOKUP(A11,sinap!$A$2:$R$9000,12,FALSE)</f>
        <v>11.1.01.0190</v>
      </c>
      <c r="R11" s="15" t="str">
        <f>VLOOKUP(A11,sinap!$A$2:$R$9000,16,FALSE)</f>
        <v>11.1.01.1241</v>
      </c>
      <c r="S11" s="15" t="str">
        <f>VLOOKUP(A11,sinap!$A$2:$Y$9000,20,FALSE)</f>
        <v>SI</v>
      </c>
      <c r="T11" s="16">
        <v>45965</v>
      </c>
    </row>
    <row r="12" spans="1:20" x14ac:dyDescent="0.25">
      <c r="A12" s="15">
        <v>26234013</v>
      </c>
      <c r="J12" s="15" t="str">
        <f>VLOOKUP(A12,sinap!$A$2:$R$9000,2,FALSE)</f>
        <v>H</v>
      </c>
      <c r="K12" s="15" t="str">
        <f>VLOOKUP(A12,sinap!$A$2:$R$9000,3,FALSE)</f>
        <v>TERNERA</v>
      </c>
      <c r="L12" s="15" t="str">
        <f>VLOOKUP(A12,sinap!$A$2:$R$9000,4,FALSE)</f>
        <v>ANGUS NEGRO</v>
      </c>
      <c r="M12" s="15" t="str">
        <f>VLOOKUP(A12,sinap!$A$2:$R$9000,5,FALSE)</f>
        <v>0 años 4 meses</v>
      </c>
      <c r="N12" s="15" t="str">
        <f>VLOOKUP(A12,sinap!$A$2:$R$9000,6,FALSE)</f>
        <v>30-08-2025</v>
      </c>
      <c r="O12" s="15" t="str">
        <f>VLOOKUP(A12,sinap!$A$2:$R$9000,7,FALSE)</f>
        <v>Vivo</v>
      </c>
      <c r="P12" s="15" t="str">
        <f>VLOOKUP(A12,sinap!$A$2:$R$9000,8,FALSE)</f>
        <v>11.1.01.2442</v>
      </c>
      <c r="Q12" s="15" t="str">
        <f>VLOOKUP(A12,sinap!$A$2:$R$9000,12,FALSE)</f>
        <v>11.1.01.0190</v>
      </c>
      <c r="R12" s="15" t="str">
        <f>VLOOKUP(A12,sinap!$A$2:$R$9000,16,FALSE)</f>
        <v>11.1.01.1241</v>
      </c>
      <c r="S12" s="15" t="str">
        <f>VLOOKUP(A12,sinap!$A$2:$Y$9000,20,FALSE)</f>
        <v>SI</v>
      </c>
      <c r="T12" s="16">
        <v>45965</v>
      </c>
    </row>
    <row r="13" spans="1:20" x14ac:dyDescent="0.25">
      <c r="A13" s="15">
        <v>26234014</v>
      </c>
      <c r="J13" s="15" t="str">
        <f>VLOOKUP(A13,sinap!$A$2:$R$9000,2,FALSE)</f>
        <v>H</v>
      </c>
      <c r="K13" s="15" t="str">
        <f>VLOOKUP(A13,sinap!$A$2:$R$9000,3,FALSE)</f>
        <v>TERNERA</v>
      </c>
      <c r="L13" s="15" t="str">
        <f>VLOOKUP(A13,sinap!$A$2:$R$9000,4,FALSE)</f>
        <v>ANGUS NEGRO</v>
      </c>
      <c r="M13" s="15" t="str">
        <f>VLOOKUP(A13,sinap!$A$2:$R$9000,5,FALSE)</f>
        <v>0 años 3 meses</v>
      </c>
      <c r="N13" s="15" t="str">
        <f>VLOOKUP(A13,sinap!$A$2:$R$9000,6,FALSE)</f>
        <v>05-10-2025</v>
      </c>
      <c r="O13" s="15" t="str">
        <f>VLOOKUP(A13,sinap!$A$2:$R$9000,7,FALSE)</f>
        <v>Vivo</v>
      </c>
      <c r="P13" s="15" t="str">
        <f>VLOOKUP(A13,sinap!$A$2:$R$9000,8,FALSE)</f>
        <v>11.1.01.2442</v>
      </c>
      <c r="Q13" s="15" t="str">
        <f>VLOOKUP(A13,sinap!$A$2:$R$9000,12,FALSE)</f>
        <v>11.1.01.0190</v>
      </c>
      <c r="R13" s="15" t="str">
        <f>VLOOKUP(A13,sinap!$A$2:$R$9000,16,FALSE)</f>
        <v>11.1.01.1241</v>
      </c>
      <c r="S13" s="15" t="str">
        <f>VLOOKUP(A13,sinap!$A$2:$Y$9000,20,FALSE)</f>
        <v>SI</v>
      </c>
      <c r="T13" s="16">
        <v>45965</v>
      </c>
    </row>
    <row r="14" spans="1:20" x14ac:dyDescent="0.25">
      <c r="A14" s="15">
        <v>26234015</v>
      </c>
      <c r="J14" s="15" t="str">
        <f>VLOOKUP(A14,sinap!$A$2:$R$9000,2,FALSE)</f>
        <v>H</v>
      </c>
      <c r="K14" s="15" t="str">
        <f>VLOOKUP(A14,sinap!$A$2:$R$9000,3,FALSE)</f>
        <v>TERNERA</v>
      </c>
      <c r="L14" s="15" t="str">
        <f>VLOOKUP(A14,sinap!$A$2:$R$9000,4,FALSE)</f>
        <v>ANGUS NEGRO</v>
      </c>
      <c r="M14" s="15" t="str">
        <f>VLOOKUP(A14,sinap!$A$2:$R$9000,5,FALSE)</f>
        <v>0 años 4 meses</v>
      </c>
      <c r="N14" s="15" t="str">
        <f>VLOOKUP(A14,sinap!$A$2:$R$9000,6,FALSE)</f>
        <v>30-08-2025</v>
      </c>
      <c r="O14" s="15" t="str">
        <f>VLOOKUP(A14,sinap!$A$2:$R$9000,7,FALSE)</f>
        <v>Vivo</v>
      </c>
      <c r="P14" s="15" t="str">
        <f>VLOOKUP(A14,sinap!$A$2:$R$9000,8,FALSE)</f>
        <v>11.1.01.2442</v>
      </c>
      <c r="Q14" s="15" t="str">
        <f>VLOOKUP(A14,sinap!$A$2:$R$9000,12,FALSE)</f>
        <v>11.1.01.0190</v>
      </c>
      <c r="R14" s="15" t="str">
        <f>VLOOKUP(A14,sinap!$A$2:$R$9000,16,FALSE)</f>
        <v>11.1.01.1241</v>
      </c>
      <c r="S14" s="15" t="str">
        <f>VLOOKUP(A14,sinap!$A$2:$Y$9000,20,FALSE)</f>
        <v>SI</v>
      </c>
      <c r="T14" s="16">
        <v>45965</v>
      </c>
    </row>
    <row r="15" spans="1:20" x14ac:dyDescent="0.25">
      <c r="A15" s="15">
        <v>26234016</v>
      </c>
      <c r="J15" s="15" t="str">
        <f>VLOOKUP(A15,sinap!$A$2:$R$9000,2,FALSE)</f>
        <v>H</v>
      </c>
      <c r="K15" s="15" t="str">
        <f>VLOOKUP(A15,sinap!$A$2:$R$9000,3,FALSE)</f>
        <v>TERNERA</v>
      </c>
      <c r="L15" s="15" t="str">
        <f>VLOOKUP(A15,sinap!$A$2:$R$9000,4,FALSE)</f>
        <v>HEREFORD</v>
      </c>
      <c r="M15" s="15" t="str">
        <f>VLOOKUP(A15,sinap!$A$2:$R$9000,5,FALSE)</f>
        <v>0 años 4 meses</v>
      </c>
      <c r="N15" s="15" t="str">
        <f>VLOOKUP(A15,sinap!$A$2:$R$9000,6,FALSE)</f>
        <v>30-08-2025</v>
      </c>
      <c r="O15" s="15" t="str">
        <f>VLOOKUP(A15,sinap!$A$2:$R$9000,7,FALSE)</f>
        <v>Vivo</v>
      </c>
      <c r="P15" s="15" t="str">
        <f>VLOOKUP(A15,sinap!$A$2:$R$9000,8,FALSE)</f>
        <v>11.1.01.2442</v>
      </c>
      <c r="Q15" s="15" t="str">
        <f>VLOOKUP(A15,sinap!$A$2:$R$9000,12,FALSE)</f>
        <v>11.1.01.0190</v>
      </c>
      <c r="R15" s="15" t="str">
        <f>VLOOKUP(A15,sinap!$A$2:$R$9000,16,FALSE)</f>
        <v>11.1.01.1241</v>
      </c>
      <c r="S15" s="15" t="str">
        <f>VLOOKUP(A15,sinap!$A$2:$Y$9000,20,FALSE)</f>
        <v>SI</v>
      </c>
      <c r="T15" s="16">
        <v>45965</v>
      </c>
    </row>
    <row r="16" spans="1:20" x14ac:dyDescent="0.25">
      <c r="A16" s="15">
        <v>26234019</v>
      </c>
      <c r="J16" s="15" t="str">
        <f>VLOOKUP(A16,sinap!$A$2:$R$9000,2,FALSE)</f>
        <v>H</v>
      </c>
      <c r="K16" s="15" t="str">
        <f>VLOOKUP(A16,sinap!$A$2:$R$9000,3,FALSE)</f>
        <v>TERNERA</v>
      </c>
      <c r="L16" s="15" t="str">
        <f>VLOOKUP(A16,sinap!$A$2:$R$9000,4,FALSE)</f>
        <v>ANGUS NEGRO</v>
      </c>
      <c r="M16" s="15" t="str">
        <f>VLOOKUP(A16,sinap!$A$2:$R$9000,5,FALSE)</f>
        <v>0 años 3 meses</v>
      </c>
      <c r="N16" s="15" t="str">
        <f>VLOOKUP(A16,sinap!$A$2:$R$9000,6,FALSE)</f>
        <v>05-10-2025</v>
      </c>
      <c r="O16" s="15" t="str">
        <f>VLOOKUP(A16,sinap!$A$2:$R$9000,7,FALSE)</f>
        <v>Vivo</v>
      </c>
      <c r="P16" s="15" t="str">
        <f>VLOOKUP(A16,sinap!$A$2:$R$9000,8,FALSE)</f>
        <v>11.1.01.2442</v>
      </c>
      <c r="Q16" s="15" t="str">
        <f>VLOOKUP(A16,sinap!$A$2:$R$9000,12,FALSE)</f>
        <v>11.1.01.0190</v>
      </c>
      <c r="R16" s="15" t="str">
        <f>VLOOKUP(A16,sinap!$A$2:$R$9000,16,FALSE)</f>
        <v>11.1.01.1241</v>
      </c>
      <c r="S16" s="15" t="str">
        <f>VLOOKUP(A16,sinap!$A$2:$Y$9000,20,FALSE)</f>
        <v>SI</v>
      </c>
      <c r="T16" s="16">
        <v>45965</v>
      </c>
    </row>
    <row r="17" spans="1:20" x14ac:dyDescent="0.25">
      <c r="A17" s="15">
        <v>26234021</v>
      </c>
      <c r="J17" s="15" t="str">
        <f>VLOOKUP(A17,sinap!$A$2:$R$9000,2,FALSE)</f>
        <v>H</v>
      </c>
      <c r="K17" s="15" t="str">
        <f>VLOOKUP(A17,sinap!$A$2:$R$9000,3,FALSE)</f>
        <v>TERNERA</v>
      </c>
      <c r="L17" s="15" t="str">
        <f>VLOOKUP(A17,sinap!$A$2:$R$9000,4,FALSE)</f>
        <v>ANGUS NEGRO</v>
      </c>
      <c r="M17" s="15" t="str">
        <f>VLOOKUP(A17,sinap!$A$2:$R$9000,5,FALSE)</f>
        <v>0 años 4 meses</v>
      </c>
      <c r="N17" s="15" t="str">
        <f>VLOOKUP(A17,sinap!$A$2:$R$9000,6,FALSE)</f>
        <v>30-08-2025</v>
      </c>
      <c r="O17" s="15" t="str">
        <f>VLOOKUP(A17,sinap!$A$2:$R$9000,7,FALSE)</f>
        <v>Vivo</v>
      </c>
      <c r="P17" s="15" t="str">
        <f>VLOOKUP(A17,sinap!$A$2:$R$9000,8,FALSE)</f>
        <v>11.1.01.2442</v>
      </c>
      <c r="Q17" s="15" t="str">
        <f>VLOOKUP(A17,sinap!$A$2:$R$9000,12,FALSE)</f>
        <v>11.1.01.0190</v>
      </c>
      <c r="R17" s="15" t="str">
        <f>VLOOKUP(A17,sinap!$A$2:$R$9000,16,FALSE)</f>
        <v>11.1.01.1241</v>
      </c>
      <c r="S17" s="15" t="str">
        <f>VLOOKUP(A17,sinap!$A$2:$Y$9000,20,FALSE)</f>
        <v>SI</v>
      </c>
      <c r="T17" s="16">
        <v>45965</v>
      </c>
    </row>
    <row r="18" spans="1:20" x14ac:dyDescent="0.25">
      <c r="A18" s="15">
        <v>26234024</v>
      </c>
      <c r="J18" s="15" t="str">
        <f>VLOOKUP(A18,sinap!$A$2:$R$9000,2,FALSE)</f>
        <v>H</v>
      </c>
      <c r="K18" s="15" t="str">
        <f>VLOOKUP(A18,sinap!$A$2:$R$9000,3,FALSE)</f>
        <v>TERNERA</v>
      </c>
      <c r="L18" s="15" t="str">
        <f>VLOOKUP(A18,sinap!$A$2:$R$9000,4,FALSE)</f>
        <v>ANGUS NEGRO</v>
      </c>
      <c r="M18" s="15" t="str">
        <f>VLOOKUP(A18,sinap!$A$2:$R$9000,5,FALSE)</f>
        <v>0 años 3 meses</v>
      </c>
      <c r="N18" s="15" t="str">
        <f>VLOOKUP(A18,sinap!$A$2:$R$9000,6,FALSE)</f>
        <v>05-10-2025</v>
      </c>
      <c r="O18" s="15" t="str">
        <f>VLOOKUP(A18,sinap!$A$2:$R$9000,7,FALSE)</f>
        <v>Vivo</v>
      </c>
      <c r="P18" s="15" t="str">
        <f>VLOOKUP(A18,sinap!$A$2:$R$9000,8,FALSE)</f>
        <v>11.1.01.2442</v>
      </c>
      <c r="Q18" s="15" t="str">
        <f>VLOOKUP(A18,sinap!$A$2:$R$9000,12,FALSE)</f>
        <v>11.1.01.0190</v>
      </c>
      <c r="R18" s="15" t="str">
        <f>VLOOKUP(A18,sinap!$A$2:$R$9000,16,FALSE)</f>
        <v>11.1.01.1241</v>
      </c>
      <c r="S18" s="15" t="str">
        <f>VLOOKUP(A18,sinap!$A$2:$Y$9000,20,FALSE)</f>
        <v>SI</v>
      </c>
      <c r="T18" s="16">
        <v>45965</v>
      </c>
    </row>
    <row r="19" spans="1:20" x14ac:dyDescent="0.25">
      <c r="A19" s="15">
        <v>26234026</v>
      </c>
      <c r="J19" s="15" t="str">
        <f>VLOOKUP(A19,sinap!$A$2:$R$9000,2,FALSE)</f>
        <v>H</v>
      </c>
      <c r="K19" s="15" t="str">
        <f>VLOOKUP(A19,sinap!$A$2:$R$9000,3,FALSE)</f>
        <v>TERNERA</v>
      </c>
      <c r="L19" s="15" t="str">
        <f>VLOOKUP(A19,sinap!$A$2:$R$9000,4,FALSE)</f>
        <v>ANGUS NEGRO</v>
      </c>
      <c r="M19" s="15" t="str">
        <f>VLOOKUP(A19,sinap!$A$2:$R$9000,5,FALSE)</f>
        <v>0 años 3 meses</v>
      </c>
      <c r="N19" s="15" t="str">
        <f>VLOOKUP(A19,sinap!$A$2:$R$9000,6,FALSE)</f>
        <v>05-10-2025</v>
      </c>
      <c r="O19" s="15" t="str">
        <f>VLOOKUP(A19,sinap!$A$2:$R$9000,7,FALSE)</f>
        <v>Vivo</v>
      </c>
      <c r="P19" s="15" t="str">
        <f>VLOOKUP(A19,sinap!$A$2:$R$9000,8,FALSE)</f>
        <v>11.1.01.2442</v>
      </c>
      <c r="Q19" s="15" t="str">
        <f>VLOOKUP(A19,sinap!$A$2:$R$9000,12,FALSE)</f>
        <v>11.1.01.0190</v>
      </c>
      <c r="R19" s="15" t="str">
        <f>VLOOKUP(A19,sinap!$A$2:$R$9000,16,FALSE)</f>
        <v>11.1.01.1241</v>
      </c>
      <c r="S19" s="15" t="str">
        <f>VLOOKUP(A19,sinap!$A$2:$Y$9000,20,FALSE)</f>
        <v>SI</v>
      </c>
      <c r="T19" s="16">
        <v>45965</v>
      </c>
    </row>
    <row r="20" spans="1:20" x14ac:dyDescent="0.25">
      <c r="A20" s="15">
        <v>26234028</v>
      </c>
      <c r="J20" s="15" t="str">
        <f>VLOOKUP(A20,sinap!$A$2:$R$9000,2,FALSE)</f>
        <v>H</v>
      </c>
      <c r="K20" s="15" t="str">
        <f>VLOOKUP(A20,sinap!$A$2:$R$9000,3,FALSE)</f>
        <v>TERNERA</v>
      </c>
      <c r="L20" s="15" t="str">
        <f>VLOOKUP(A20,sinap!$A$2:$R$9000,4,FALSE)</f>
        <v>ANGUS NEGRO</v>
      </c>
      <c r="M20" s="15" t="str">
        <f>VLOOKUP(A20,sinap!$A$2:$R$9000,5,FALSE)</f>
        <v>0 años 3 meses</v>
      </c>
      <c r="N20" s="15" t="str">
        <f>VLOOKUP(A20,sinap!$A$2:$R$9000,6,FALSE)</f>
        <v>05-10-2025</v>
      </c>
      <c r="O20" s="15" t="str">
        <f>VLOOKUP(A20,sinap!$A$2:$R$9000,7,FALSE)</f>
        <v>Vivo</v>
      </c>
      <c r="P20" s="15" t="str">
        <f>VLOOKUP(A20,sinap!$A$2:$R$9000,8,FALSE)</f>
        <v>11.1.01.2442</v>
      </c>
      <c r="Q20" s="15" t="str">
        <f>VLOOKUP(A20,sinap!$A$2:$R$9000,12,FALSE)</f>
        <v>11.1.01.0190</v>
      </c>
      <c r="R20" s="15" t="str">
        <f>VLOOKUP(A20,sinap!$A$2:$R$9000,16,FALSE)</f>
        <v>11.1.01.1241</v>
      </c>
      <c r="S20" s="15" t="str">
        <f>VLOOKUP(A20,sinap!$A$2:$Y$9000,20,FALSE)</f>
        <v>SI</v>
      </c>
      <c r="T20" s="16">
        <v>45965</v>
      </c>
    </row>
    <row r="21" spans="1:20" x14ac:dyDescent="0.25">
      <c r="A21" s="15">
        <v>26234030</v>
      </c>
      <c r="J21" s="15" t="str">
        <f>VLOOKUP(A21,sinap!$A$2:$R$9000,2,FALSE)</f>
        <v>H</v>
      </c>
      <c r="K21" s="15" t="str">
        <f>VLOOKUP(A21,sinap!$A$2:$R$9000,3,FALSE)</f>
        <v>TERNERA</v>
      </c>
      <c r="L21" s="15" t="str">
        <f>VLOOKUP(A21,sinap!$A$2:$R$9000,4,FALSE)</f>
        <v>ANGUS NEGRO</v>
      </c>
      <c r="M21" s="15" t="str">
        <f>VLOOKUP(A21,sinap!$A$2:$R$9000,5,FALSE)</f>
        <v>0 años 3 meses</v>
      </c>
      <c r="N21" s="15" t="str">
        <f>VLOOKUP(A21,sinap!$A$2:$R$9000,6,FALSE)</f>
        <v>05-10-2025</v>
      </c>
      <c r="O21" s="15" t="str">
        <f>VLOOKUP(A21,sinap!$A$2:$R$9000,7,FALSE)</f>
        <v>Vivo</v>
      </c>
      <c r="P21" s="15" t="str">
        <f>VLOOKUP(A21,sinap!$A$2:$R$9000,8,FALSE)</f>
        <v>11.1.01.2442</v>
      </c>
      <c r="Q21" s="15" t="str">
        <f>VLOOKUP(A21,sinap!$A$2:$R$9000,12,FALSE)</f>
        <v>11.1.01.0190</v>
      </c>
      <c r="R21" s="15" t="str">
        <f>VLOOKUP(A21,sinap!$A$2:$R$9000,16,FALSE)</f>
        <v>11.1.01.1241</v>
      </c>
      <c r="S21" s="15" t="str">
        <f>VLOOKUP(A21,sinap!$A$2:$Y$9000,20,FALSE)</f>
        <v>SI</v>
      </c>
      <c r="T21" s="16">
        <v>45965</v>
      </c>
    </row>
    <row r="22" spans="1:20" x14ac:dyDescent="0.25">
      <c r="A22" s="15">
        <v>26234031</v>
      </c>
      <c r="J22" s="15" t="str">
        <f>VLOOKUP(A22,sinap!$A$2:$R$9000,2,FALSE)</f>
        <v>H</v>
      </c>
      <c r="K22" s="15" t="str">
        <f>VLOOKUP(A22,sinap!$A$2:$R$9000,3,FALSE)</f>
        <v>TERNERA</v>
      </c>
      <c r="L22" s="15" t="str">
        <f>VLOOKUP(A22,sinap!$A$2:$R$9000,4,FALSE)</f>
        <v>ANGUS NEGRO</v>
      </c>
      <c r="M22" s="15" t="str">
        <f>VLOOKUP(A22,sinap!$A$2:$R$9000,5,FALSE)</f>
        <v>0 años 3 meses</v>
      </c>
      <c r="N22" s="15" t="str">
        <f>VLOOKUP(A22,sinap!$A$2:$R$9000,6,FALSE)</f>
        <v>05-10-2025</v>
      </c>
      <c r="O22" s="15" t="str">
        <f>VLOOKUP(A22,sinap!$A$2:$R$9000,7,FALSE)</f>
        <v>Vivo</v>
      </c>
      <c r="P22" s="15" t="str">
        <f>VLOOKUP(A22,sinap!$A$2:$R$9000,8,FALSE)</f>
        <v>11.1.01.2442</v>
      </c>
      <c r="Q22" s="15" t="str">
        <f>VLOOKUP(A22,sinap!$A$2:$R$9000,12,FALSE)</f>
        <v>11.1.01.0190</v>
      </c>
      <c r="R22" s="15" t="str">
        <f>VLOOKUP(A22,sinap!$A$2:$R$9000,16,FALSE)</f>
        <v>11.1.01.1241</v>
      </c>
      <c r="S22" s="15" t="str">
        <f>VLOOKUP(A22,sinap!$A$2:$Y$9000,20,FALSE)</f>
        <v>SI</v>
      </c>
      <c r="T22" s="16">
        <v>45965</v>
      </c>
    </row>
    <row r="23" spans="1:20" x14ac:dyDescent="0.25">
      <c r="A23" s="15">
        <v>26234033</v>
      </c>
      <c r="J23" s="15" t="str">
        <f>VLOOKUP(A23,sinap!$A$2:$R$9000,2,FALSE)</f>
        <v>M</v>
      </c>
      <c r="K23" s="15" t="str">
        <f>VLOOKUP(A23,sinap!$A$2:$R$9000,3,FALSE)</f>
        <v>TERNERO</v>
      </c>
      <c r="L23" s="15" t="str">
        <f>VLOOKUP(A23,sinap!$A$2:$R$9000,4,FALSE)</f>
        <v>HEREFORD</v>
      </c>
      <c r="M23" s="15" t="str">
        <f>VLOOKUP(A23,sinap!$A$2:$R$9000,5,FALSE)</f>
        <v>0 años 3 meses</v>
      </c>
      <c r="N23" s="15" t="str">
        <f>VLOOKUP(A23,sinap!$A$2:$R$9000,6,FALSE)</f>
        <v>05-10-2025</v>
      </c>
      <c r="O23" s="15" t="str">
        <f>VLOOKUP(A23,sinap!$A$2:$R$9000,7,FALSE)</f>
        <v>Vivo</v>
      </c>
      <c r="P23" s="15" t="str">
        <f>VLOOKUP(A23,sinap!$A$2:$R$9000,8,FALSE)</f>
        <v>11.1.01.1241</v>
      </c>
      <c r="Q23" s="15" t="str">
        <f>VLOOKUP(A23,sinap!$A$2:$R$9000,12,FALSE)</f>
        <v>Sin Movimiento</v>
      </c>
      <c r="R23" s="15" t="str">
        <f>VLOOKUP(A23,sinap!$A$2:$R$9000,16,FALSE)</f>
        <v>11.1.01.1241</v>
      </c>
      <c r="S23" s="15" t="str">
        <f>VLOOKUP(A23,sinap!$A$2:$Y$9000,20,FALSE)</f>
        <v>SI</v>
      </c>
      <c r="T23" s="16">
        <v>45966</v>
      </c>
    </row>
    <row r="24" spans="1:20" x14ac:dyDescent="0.25">
      <c r="A24" s="15">
        <v>26234034</v>
      </c>
      <c r="J24" s="15" t="str">
        <f>VLOOKUP(A24,sinap!$A$2:$R$9000,2,FALSE)</f>
        <v>H</v>
      </c>
      <c r="K24" s="15" t="str">
        <f>VLOOKUP(A24,sinap!$A$2:$R$9000,3,FALSE)</f>
        <v>TERNERA</v>
      </c>
      <c r="L24" s="15" t="str">
        <f>VLOOKUP(A24,sinap!$A$2:$R$9000,4,FALSE)</f>
        <v>ANGUS NEGRO</v>
      </c>
      <c r="M24" s="15" t="str">
        <f>VLOOKUP(A24,sinap!$A$2:$R$9000,5,FALSE)</f>
        <v>0 años 3 meses</v>
      </c>
      <c r="N24" s="15" t="str">
        <f>VLOOKUP(A24,sinap!$A$2:$R$9000,6,FALSE)</f>
        <v>05-10-2025</v>
      </c>
      <c r="O24" s="15" t="str">
        <f>VLOOKUP(A24,sinap!$A$2:$R$9000,7,FALSE)</f>
        <v>Vivo</v>
      </c>
      <c r="P24" s="15" t="str">
        <f>VLOOKUP(A24,sinap!$A$2:$R$9000,8,FALSE)</f>
        <v>11.1.01.2442</v>
      </c>
      <c r="Q24" s="15" t="str">
        <f>VLOOKUP(A24,sinap!$A$2:$R$9000,12,FALSE)</f>
        <v>11.1.01.0190</v>
      </c>
      <c r="R24" s="15" t="str">
        <f>VLOOKUP(A24,sinap!$A$2:$R$9000,16,FALSE)</f>
        <v>11.1.01.1241</v>
      </c>
      <c r="S24" s="15" t="str">
        <f>VLOOKUP(A24,sinap!$A$2:$Y$9000,20,FALSE)</f>
        <v>SI</v>
      </c>
      <c r="T24" s="16">
        <v>45966</v>
      </c>
    </row>
    <row r="25" spans="1:20" x14ac:dyDescent="0.25">
      <c r="A25" s="15">
        <v>26234035</v>
      </c>
      <c r="J25" s="15" t="str">
        <f>VLOOKUP(A25,sinap!$A$2:$R$9000,2,FALSE)</f>
        <v>H</v>
      </c>
      <c r="K25" s="15" t="str">
        <f>VLOOKUP(A25,sinap!$A$2:$R$9000,3,FALSE)</f>
        <v>TERNERA</v>
      </c>
      <c r="L25" s="15" t="str">
        <f>VLOOKUP(A25,sinap!$A$2:$R$9000,4,FALSE)</f>
        <v>ANGUS NEGRO</v>
      </c>
      <c r="M25" s="15" t="str">
        <f>VLOOKUP(A25,sinap!$A$2:$R$9000,5,FALSE)</f>
        <v>0 años 3 meses</v>
      </c>
      <c r="N25" s="15" t="str">
        <f>VLOOKUP(A25,sinap!$A$2:$R$9000,6,FALSE)</f>
        <v>05-10-2025</v>
      </c>
      <c r="O25" s="15" t="str">
        <f>VLOOKUP(A25,sinap!$A$2:$R$9000,7,FALSE)</f>
        <v>Vivo</v>
      </c>
      <c r="P25" s="15" t="str">
        <f>VLOOKUP(A25,sinap!$A$2:$R$9000,8,FALSE)</f>
        <v>11.1.01.2442</v>
      </c>
      <c r="Q25" s="15" t="str">
        <f>VLOOKUP(A25,sinap!$A$2:$R$9000,12,FALSE)</f>
        <v>11.1.01.0190</v>
      </c>
      <c r="R25" s="15" t="str">
        <f>VLOOKUP(A25,sinap!$A$2:$R$9000,16,FALSE)</f>
        <v>11.1.01.1241</v>
      </c>
      <c r="S25" s="15" t="str">
        <f>VLOOKUP(A25,sinap!$A$2:$Y$9000,20,FALSE)</f>
        <v>SI</v>
      </c>
      <c r="T25" s="16">
        <v>45966</v>
      </c>
    </row>
    <row r="26" spans="1:20" x14ac:dyDescent="0.25">
      <c r="A26" s="15">
        <v>26234037</v>
      </c>
      <c r="J26" s="15" t="str">
        <f>VLOOKUP(A26,sinap!$A$2:$R$9000,2,FALSE)</f>
        <v>H</v>
      </c>
      <c r="K26" s="15" t="str">
        <f>VLOOKUP(A26,sinap!$A$2:$R$9000,3,FALSE)</f>
        <v>TERNERA</v>
      </c>
      <c r="L26" s="15" t="str">
        <f>VLOOKUP(A26,sinap!$A$2:$R$9000,4,FALSE)</f>
        <v>ANGUS NEGRO</v>
      </c>
      <c r="M26" s="15" t="str">
        <f>VLOOKUP(A26,sinap!$A$2:$R$9000,5,FALSE)</f>
        <v>0 años 3 meses</v>
      </c>
      <c r="N26" s="15" t="str">
        <f>VLOOKUP(A26,sinap!$A$2:$R$9000,6,FALSE)</f>
        <v>05-10-2025</v>
      </c>
      <c r="O26" s="15" t="str">
        <f>VLOOKUP(A26,sinap!$A$2:$R$9000,7,FALSE)</f>
        <v>Vivo</v>
      </c>
      <c r="P26" s="15" t="str">
        <f>VLOOKUP(A26,sinap!$A$2:$R$9000,8,FALSE)</f>
        <v>11.1.01.2442</v>
      </c>
      <c r="Q26" s="15" t="str">
        <f>VLOOKUP(A26,sinap!$A$2:$R$9000,12,FALSE)</f>
        <v>11.1.01.0190</v>
      </c>
      <c r="R26" s="15" t="str">
        <f>VLOOKUP(A26,sinap!$A$2:$R$9000,16,FALSE)</f>
        <v>11.1.01.1241</v>
      </c>
      <c r="S26" s="15" t="str">
        <f>VLOOKUP(A26,sinap!$A$2:$Y$9000,20,FALSE)</f>
        <v>SI</v>
      </c>
      <c r="T26" s="16">
        <v>45966</v>
      </c>
    </row>
    <row r="27" spans="1:20" x14ac:dyDescent="0.25">
      <c r="A27" s="15">
        <v>26234039</v>
      </c>
      <c r="J27" s="15" t="str">
        <f>VLOOKUP(A27,sinap!$A$2:$R$9000,2,FALSE)</f>
        <v>H</v>
      </c>
      <c r="K27" s="15" t="str">
        <f>VLOOKUP(A27,sinap!$A$2:$R$9000,3,FALSE)</f>
        <v>TERNERA</v>
      </c>
      <c r="L27" s="15" t="str">
        <f>VLOOKUP(A27,sinap!$A$2:$R$9000,4,FALSE)</f>
        <v>ANGUS NEGRO</v>
      </c>
      <c r="M27" s="15" t="str">
        <f>VLOOKUP(A27,sinap!$A$2:$R$9000,5,FALSE)</f>
        <v>0 años 3 meses</v>
      </c>
      <c r="N27" s="15" t="str">
        <f>VLOOKUP(A27,sinap!$A$2:$R$9000,6,FALSE)</f>
        <v>05-10-2025</v>
      </c>
      <c r="O27" s="15" t="str">
        <f>VLOOKUP(A27,sinap!$A$2:$R$9000,7,FALSE)</f>
        <v>Vivo</v>
      </c>
      <c r="P27" s="15" t="str">
        <f>VLOOKUP(A27,sinap!$A$2:$R$9000,8,FALSE)</f>
        <v>11.1.01.2442</v>
      </c>
      <c r="Q27" s="15" t="str">
        <f>VLOOKUP(A27,sinap!$A$2:$R$9000,12,FALSE)</f>
        <v>11.1.01.0190</v>
      </c>
      <c r="R27" s="15" t="str">
        <f>VLOOKUP(A27,sinap!$A$2:$R$9000,16,FALSE)</f>
        <v>11.1.01.1241</v>
      </c>
      <c r="S27" s="15" t="str">
        <f>VLOOKUP(A27,sinap!$A$2:$Y$9000,20,FALSE)</f>
        <v>SI</v>
      </c>
      <c r="T27" s="16">
        <v>45966</v>
      </c>
    </row>
    <row r="28" spans="1:20" x14ac:dyDescent="0.25">
      <c r="A28" s="15">
        <v>26234040</v>
      </c>
      <c r="J28" s="15" t="str">
        <f>VLOOKUP(A28,sinap!$A$2:$R$9000,2,FALSE)</f>
        <v>H</v>
      </c>
      <c r="K28" s="15" t="str">
        <f>VLOOKUP(A28,sinap!$A$2:$R$9000,3,FALSE)</f>
        <v>TERNERA</v>
      </c>
      <c r="L28" s="15" t="str">
        <f>VLOOKUP(A28,sinap!$A$2:$R$9000,4,FALSE)</f>
        <v>ANGUS ROJO</v>
      </c>
      <c r="M28" s="15" t="str">
        <f>VLOOKUP(A28,sinap!$A$2:$R$9000,5,FALSE)</f>
        <v>0 años 3 meses</v>
      </c>
      <c r="N28" s="15" t="str">
        <f>VLOOKUP(A28,sinap!$A$2:$R$9000,6,FALSE)</f>
        <v>05-10-2025</v>
      </c>
      <c r="O28" s="15" t="str">
        <f>VLOOKUP(A28,sinap!$A$2:$R$9000,7,FALSE)</f>
        <v>Vivo</v>
      </c>
      <c r="P28" s="15" t="str">
        <f>VLOOKUP(A28,sinap!$A$2:$R$9000,8,FALSE)</f>
        <v>11.1.01.2442</v>
      </c>
      <c r="Q28" s="15" t="str">
        <f>VLOOKUP(A28,sinap!$A$2:$R$9000,12,FALSE)</f>
        <v>11.1.01.0190</v>
      </c>
      <c r="R28" s="15" t="str">
        <f>VLOOKUP(A28,sinap!$A$2:$R$9000,16,FALSE)</f>
        <v>11.1.01.1241</v>
      </c>
      <c r="S28" s="15" t="str">
        <f>VLOOKUP(A28,sinap!$A$2:$Y$9000,20,FALSE)</f>
        <v>SI</v>
      </c>
      <c r="T28" s="16">
        <v>45966</v>
      </c>
    </row>
    <row r="29" spans="1:20" x14ac:dyDescent="0.25">
      <c r="A29" s="15">
        <v>26234041</v>
      </c>
      <c r="J29" s="15" t="str">
        <f>VLOOKUP(A29,sinap!$A$2:$R$9000,2,FALSE)</f>
        <v>H</v>
      </c>
      <c r="K29" s="15" t="str">
        <f>VLOOKUP(A29,sinap!$A$2:$R$9000,3,FALSE)</f>
        <v>TERNERA</v>
      </c>
      <c r="L29" s="15" t="str">
        <f>VLOOKUP(A29,sinap!$A$2:$R$9000,4,FALSE)</f>
        <v>ANGUS NEGRO</v>
      </c>
      <c r="M29" s="15" t="str">
        <f>VLOOKUP(A29,sinap!$A$2:$R$9000,5,FALSE)</f>
        <v>0 años 3 meses</v>
      </c>
      <c r="N29" s="15" t="str">
        <f>VLOOKUP(A29,sinap!$A$2:$R$9000,6,FALSE)</f>
        <v>05-10-2025</v>
      </c>
      <c r="O29" s="15" t="str">
        <f>VLOOKUP(A29,sinap!$A$2:$R$9000,7,FALSE)</f>
        <v>Vivo</v>
      </c>
      <c r="P29" s="15" t="str">
        <f>VLOOKUP(A29,sinap!$A$2:$R$9000,8,FALSE)</f>
        <v>11.1.01.2442</v>
      </c>
      <c r="Q29" s="15" t="str">
        <f>VLOOKUP(A29,sinap!$A$2:$R$9000,12,FALSE)</f>
        <v>11.1.01.0190</v>
      </c>
      <c r="R29" s="15" t="str">
        <f>VLOOKUP(A29,sinap!$A$2:$R$9000,16,FALSE)</f>
        <v>11.1.01.1241</v>
      </c>
      <c r="S29" s="15" t="str">
        <f>VLOOKUP(A29,sinap!$A$2:$Y$9000,20,FALSE)</f>
        <v>SI</v>
      </c>
      <c r="T29" s="16">
        <v>45966</v>
      </c>
    </row>
    <row r="30" spans="1:20" x14ac:dyDescent="0.25">
      <c r="A30" s="15">
        <v>26234042</v>
      </c>
      <c r="J30" s="15" t="str">
        <f>VLOOKUP(A30,sinap!$A$2:$R$9000,2,FALSE)</f>
        <v>H</v>
      </c>
      <c r="K30" s="15" t="str">
        <f>VLOOKUP(A30,sinap!$A$2:$R$9000,3,FALSE)</f>
        <v>TERNERA</v>
      </c>
      <c r="L30" s="15" t="str">
        <f>VLOOKUP(A30,sinap!$A$2:$R$9000,4,FALSE)</f>
        <v>ANGUS NEGRO</v>
      </c>
      <c r="M30" s="15" t="str">
        <f>VLOOKUP(A30,sinap!$A$2:$R$9000,5,FALSE)</f>
        <v>0 años 3 meses</v>
      </c>
      <c r="N30" s="15" t="str">
        <f>VLOOKUP(A30,sinap!$A$2:$R$9000,6,FALSE)</f>
        <v>05-10-2025</v>
      </c>
      <c r="O30" s="15" t="str">
        <f>VLOOKUP(A30,sinap!$A$2:$R$9000,7,FALSE)</f>
        <v>Vivo</v>
      </c>
      <c r="P30" s="15" t="str">
        <f>VLOOKUP(A30,sinap!$A$2:$R$9000,8,FALSE)</f>
        <v>11.1.01.2442</v>
      </c>
      <c r="Q30" s="15" t="str">
        <f>VLOOKUP(A30,sinap!$A$2:$R$9000,12,FALSE)</f>
        <v>11.1.01.0190</v>
      </c>
      <c r="R30" s="15" t="str">
        <f>VLOOKUP(A30,sinap!$A$2:$R$9000,16,FALSE)</f>
        <v>11.1.01.1241</v>
      </c>
      <c r="S30" s="15" t="str">
        <f>VLOOKUP(A30,sinap!$A$2:$Y$9000,20,FALSE)</f>
        <v>SI</v>
      </c>
      <c r="T30" s="16">
        <v>45966</v>
      </c>
    </row>
    <row r="31" spans="1:20" x14ac:dyDescent="0.25">
      <c r="A31" s="15">
        <v>26234046</v>
      </c>
      <c r="J31" s="15" t="str">
        <f>VLOOKUP(A31,sinap!$A$2:$R$9000,2,FALSE)</f>
        <v>H</v>
      </c>
      <c r="K31" s="15" t="str">
        <f>VLOOKUP(A31,sinap!$A$2:$R$9000,3,FALSE)</f>
        <v>TERNERA</v>
      </c>
      <c r="L31" s="15" t="str">
        <f>VLOOKUP(A31,sinap!$A$2:$R$9000,4,FALSE)</f>
        <v>ANGUS ROJO</v>
      </c>
      <c r="M31" s="15" t="str">
        <f>VLOOKUP(A31,sinap!$A$2:$R$9000,5,FALSE)</f>
        <v>0 años 3 meses</v>
      </c>
      <c r="N31" s="15" t="str">
        <f>VLOOKUP(A31,sinap!$A$2:$R$9000,6,FALSE)</f>
        <v>05-10-2025</v>
      </c>
      <c r="O31" s="15" t="str">
        <f>VLOOKUP(A31,sinap!$A$2:$R$9000,7,FALSE)</f>
        <v>Vivo</v>
      </c>
      <c r="P31" s="15" t="str">
        <f>VLOOKUP(A31,sinap!$A$2:$R$9000,8,FALSE)</f>
        <v>11.1.01.2442</v>
      </c>
      <c r="Q31" s="15" t="str">
        <f>VLOOKUP(A31,sinap!$A$2:$R$9000,12,FALSE)</f>
        <v>11.1.01.0190</v>
      </c>
      <c r="R31" s="15" t="str">
        <f>VLOOKUP(A31,sinap!$A$2:$R$9000,16,FALSE)</f>
        <v>11.1.01.1241</v>
      </c>
      <c r="S31" s="15" t="str">
        <f>VLOOKUP(A31,sinap!$A$2:$Y$9000,20,FALSE)</f>
        <v>SI</v>
      </c>
      <c r="T31" s="16">
        <v>45966</v>
      </c>
    </row>
    <row r="32" spans="1:20" x14ac:dyDescent="0.25">
      <c r="A32" s="15">
        <v>26234047</v>
      </c>
      <c r="J32" s="15" t="str">
        <f>VLOOKUP(A32,sinap!$A$2:$R$9000,2,FALSE)</f>
        <v>H</v>
      </c>
      <c r="K32" s="15" t="str">
        <f>VLOOKUP(A32,sinap!$A$2:$R$9000,3,FALSE)</f>
        <v>TERNERA</v>
      </c>
      <c r="L32" s="15" t="str">
        <f>VLOOKUP(A32,sinap!$A$2:$R$9000,4,FALSE)</f>
        <v>ANGUS NEGRO</v>
      </c>
      <c r="M32" s="15" t="str">
        <f>VLOOKUP(A32,sinap!$A$2:$R$9000,5,FALSE)</f>
        <v>0 años 3 meses</v>
      </c>
      <c r="N32" s="15" t="str">
        <f>VLOOKUP(A32,sinap!$A$2:$R$9000,6,FALSE)</f>
        <v>05-10-2025</v>
      </c>
      <c r="O32" s="15" t="str">
        <f>VLOOKUP(A32,sinap!$A$2:$R$9000,7,FALSE)</f>
        <v>Vivo</v>
      </c>
      <c r="P32" s="15" t="str">
        <f>VLOOKUP(A32,sinap!$A$2:$R$9000,8,FALSE)</f>
        <v>11.1.01.0941</v>
      </c>
      <c r="Q32" s="15" t="str">
        <f>VLOOKUP(A32,sinap!$A$2:$R$9000,12,FALSE)</f>
        <v>11.1.01.1241</v>
      </c>
      <c r="R32" s="15" t="str">
        <f>VLOOKUP(A32,sinap!$A$2:$R$9000,16,FALSE)</f>
        <v>11.1.01.1241</v>
      </c>
      <c r="S32" s="15" t="str">
        <f>VLOOKUP(A32,sinap!$A$2:$Y$9000,20,FALSE)</f>
        <v>SI</v>
      </c>
      <c r="T32" s="16">
        <v>45966</v>
      </c>
    </row>
    <row r="33" spans="1:20" x14ac:dyDescent="0.25">
      <c r="A33" s="15">
        <v>26234049</v>
      </c>
      <c r="J33" s="15" t="str">
        <f>VLOOKUP(A33,sinap!$A$2:$R$9000,2,FALSE)</f>
        <v>H</v>
      </c>
      <c r="K33" s="15" t="str">
        <f>VLOOKUP(A33,sinap!$A$2:$R$9000,3,FALSE)</f>
        <v>TERNERA</v>
      </c>
      <c r="L33" s="15" t="str">
        <f>VLOOKUP(A33,sinap!$A$2:$R$9000,4,FALSE)</f>
        <v>ANGUS ROJO</v>
      </c>
      <c r="M33" s="15" t="str">
        <f>VLOOKUP(A33,sinap!$A$2:$R$9000,5,FALSE)</f>
        <v>0 años 3 meses</v>
      </c>
      <c r="N33" s="15" t="str">
        <f>VLOOKUP(A33,sinap!$A$2:$R$9000,6,FALSE)</f>
        <v>05-10-2025</v>
      </c>
      <c r="O33" s="15" t="str">
        <f>VLOOKUP(A33,sinap!$A$2:$R$9000,7,FALSE)</f>
        <v>Vivo</v>
      </c>
      <c r="P33" s="15" t="str">
        <f>VLOOKUP(A33,sinap!$A$2:$R$9000,8,FALSE)</f>
        <v>11.1.01.2442</v>
      </c>
      <c r="Q33" s="15" t="str">
        <f>VLOOKUP(A33,sinap!$A$2:$R$9000,12,FALSE)</f>
        <v>11.1.01.0190</v>
      </c>
      <c r="R33" s="15" t="str">
        <f>VLOOKUP(A33,sinap!$A$2:$R$9000,16,FALSE)</f>
        <v>11.1.01.1241</v>
      </c>
      <c r="S33" s="15" t="str">
        <f>VLOOKUP(A33,sinap!$A$2:$Y$9000,20,FALSE)</f>
        <v>SI</v>
      </c>
      <c r="T33" s="16">
        <v>45966</v>
      </c>
    </row>
    <row r="34" spans="1:20" x14ac:dyDescent="0.25">
      <c r="A34" s="15">
        <v>26234050</v>
      </c>
      <c r="J34" s="15" t="str">
        <f>VLOOKUP(A34,sinap!$A$2:$R$9000,2,FALSE)</f>
        <v>H</v>
      </c>
      <c r="K34" s="15" t="str">
        <f>VLOOKUP(A34,sinap!$A$2:$R$9000,3,FALSE)</f>
        <v>TERNERA</v>
      </c>
      <c r="L34" s="15" t="str">
        <f>VLOOKUP(A34,sinap!$A$2:$R$9000,4,FALSE)</f>
        <v>ANGUS ROJO</v>
      </c>
      <c r="M34" s="15" t="str">
        <f>VLOOKUP(A34,sinap!$A$2:$R$9000,5,FALSE)</f>
        <v>0 años 3 meses</v>
      </c>
      <c r="N34" s="15" t="str">
        <f>VLOOKUP(A34,sinap!$A$2:$R$9000,6,FALSE)</f>
        <v>05-10-2025</v>
      </c>
      <c r="O34" s="15" t="str">
        <f>VLOOKUP(A34,sinap!$A$2:$R$9000,7,FALSE)</f>
        <v>Vivo</v>
      </c>
      <c r="P34" s="15" t="str">
        <f>VLOOKUP(A34,sinap!$A$2:$R$9000,8,FALSE)</f>
        <v>11.1.01.2442</v>
      </c>
      <c r="Q34" s="15" t="str">
        <f>VLOOKUP(A34,sinap!$A$2:$R$9000,12,FALSE)</f>
        <v>11.1.01.0190</v>
      </c>
      <c r="R34" s="15" t="str">
        <f>VLOOKUP(A34,sinap!$A$2:$R$9000,16,FALSE)</f>
        <v>11.1.01.1241</v>
      </c>
      <c r="S34" s="15" t="str">
        <f>VLOOKUP(A34,sinap!$A$2:$Y$9000,20,FALSE)</f>
        <v>SI</v>
      </c>
      <c r="T34" s="16">
        <v>45966</v>
      </c>
    </row>
    <row r="35" spans="1:20" x14ac:dyDescent="0.25">
      <c r="A35" s="15">
        <v>26234052</v>
      </c>
      <c r="J35" s="15" t="str">
        <f>VLOOKUP(A35,sinap!$A$2:$R$9000,2,FALSE)</f>
        <v>H</v>
      </c>
      <c r="K35" s="15" t="str">
        <f>VLOOKUP(A35,sinap!$A$2:$R$9000,3,FALSE)</f>
        <v>TERNERA</v>
      </c>
      <c r="L35" s="15" t="str">
        <f>VLOOKUP(A35,sinap!$A$2:$R$9000,4,FALSE)</f>
        <v>ANGUS NEGRO</v>
      </c>
      <c r="M35" s="15" t="str">
        <f>VLOOKUP(A35,sinap!$A$2:$R$9000,5,FALSE)</f>
        <v>0 años 3 meses</v>
      </c>
      <c r="N35" s="15" t="str">
        <f>VLOOKUP(A35,sinap!$A$2:$R$9000,6,FALSE)</f>
        <v>05-10-2025</v>
      </c>
      <c r="O35" s="15" t="str">
        <f>VLOOKUP(A35,sinap!$A$2:$R$9000,7,FALSE)</f>
        <v>Vivo</v>
      </c>
      <c r="P35" s="15" t="str">
        <f>VLOOKUP(A35,sinap!$A$2:$R$9000,8,FALSE)</f>
        <v>11.1.01.2442</v>
      </c>
      <c r="Q35" s="15" t="str">
        <f>VLOOKUP(A35,sinap!$A$2:$R$9000,12,FALSE)</f>
        <v>11.1.01.0190</v>
      </c>
      <c r="R35" s="15" t="str">
        <f>VLOOKUP(A35,sinap!$A$2:$R$9000,16,FALSE)</f>
        <v>11.1.01.1241</v>
      </c>
      <c r="S35" s="15" t="str">
        <f>VLOOKUP(A35,sinap!$A$2:$Y$9000,20,FALSE)</f>
        <v>SI</v>
      </c>
      <c r="T35" s="16">
        <v>45966</v>
      </c>
    </row>
    <row r="36" spans="1:20" x14ac:dyDescent="0.25">
      <c r="A36" s="15">
        <v>26234053</v>
      </c>
      <c r="J36" s="15" t="str">
        <f>VLOOKUP(A36,sinap!$A$2:$R$9000,2,FALSE)</f>
        <v>H</v>
      </c>
      <c r="K36" s="15" t="str">
        <f>VLOOKUP(A36,sinap!$A$2:$R$9000,3,FALSE)</f>
        <v>TERNERA</v>
      </c>
      <c r="L36" s="15" t="str">
        <f>VLOOKUP(A36,sinap!$A$2:$R$9000,4,FALSE)</f>
        <v>ANGUS NEGRO</v>
      </c>
      <c r="M36" s="15" t="str">
        <f>VLOOKUP(A36,sinap!$A$2:$R$9000,5,FALSE)</f>
        <v>0 años 3 meses</v>
      </c>
      <c r="N36" s="15" t="str">
        <f>VLOOKUP(A36,sinap!$A$2:$R$9000,6,FALSE)</f>
        <v>05-10-2025</v>
      </c>
      <c r="O36" s="15" t="str">
        <f>VLOOKUP(A36,sinap!$A$2:$R$9000,7,FALSE)</f>
        <v>Vivo</v>
      </c>
      <c r="P36" s="15" t="str">
        <f>VLOOKUP(A36,sinap!$A$2:$R$9000,8,FALSE)</f>
        <v>11.1.01.2442</v>
      </c>
      <c r="Q36" s="15" t="str">
        <f>VLOOKUP(A36,sinap!$A$2:$R$9000,12,FALSE)</f>
        <v>11.1.01.0190</v>
      </c>
      <c r="R36" s="15" t="str">
        <f>VLOOKUP(A36,sinap!$A$2:$R$9000,16,FALSE)</f>
        <v>11.1.01.1241</v>
      </c>
      <c r="S36" s="15" t="str">
        <f>VLOOKUP(A36,sinap!$A$2:$Y$9000,20,FALSE)</f>
        <v>SI</v>
      </c>
      <c r="T36" s="16">
        <v>45966</v>
      </c>
    </row>
    <row r="37" spans="1:20" x14ac:dyDescent="0.25">
      <c r="A37" s="15">
        <v>26234055</v>
      </c>
      <c r="J37" s="15" t="str">
        <f>VLOOKUP(A37,sinap!$A$2:$R$9000,2,FALSE)</f>
        <v>M</v>
      </c>
      <c r="K37" s="15" t="str">
        <f>VLOOKUP(A37,sinap!$A$2:$R$9000,3,FALSE)</f>
        <v>TERNERO</v>
      </c>
      <c r="L37" s="15" t="str">
        <f>VLOOKUP(A37,sinap!$A$2:$R$9000,4,FALSE)</f>
        <v>ANGUS NEGRO</v>
      </c>
      <c r="M37" s="15" t="str">
        <f>VLOOKUP(A37,sinap!$A$2:$R$9000,5,FALSE)</f>
        <v>0 años 3 meses</v>
      </c>
      <c r="N37" s="15" t="str">
        <f>VLOOKUP(A37,sinap!$A$2:$R$9000,6,FALSE)</f>
        <v>05-10-2025</v>
      </c>
      <c r="O37" s="15" t="str">
        <f>VLOOKUP(A37,sinap!$A$2:$R$9000,7,FALSE)</f>
        <v>Vivo</v>
      </c>
      <c r="P37" s="15" t="str">
        <f>VLOOKUP(A37,sinap!$A$2:$R$9000,8,FALSE)</f>
        <v>11.1.01.2442</v>
      </c>
      <c r="Q37" s="15" t="str">
        <f>VLOOKUP(A37,sinap!$A$2:$R$9000,12,FALSE)</f>
        <v>11.1.01.0190</v>
      </c>
      <c r="R37" s="15" t="str">
        <f>VLOOKUP(A37,sinap!$A$2:$R$9000,16,FALSE)</f>
        <v>11.1.01.1241</v>
      </c>
      <c r="S37" s="15" t="str">
        <f>VLOOKUP(A37,sinap!$A$2:$Y$9000,20,FALSE)</f>
        <v>SI</v>
      </c>
      <c r="T37" s="16">
        <v>45966</v>
      </c>
    </row>
    <row r="38" spans="1:20" x14ac:dyDescent="0.25">
      <c r="A38" s="15">
        <v>26234056</v>
      </c>
      <c r="J38" s="15" t="str">
        <f>VLOOKUP(A38,sinap!$A$2:$R$9000,2,FALSE)</f>
        <v>H</v>
      </c>
      <c r="K38" s="15" t="str">
        <f>VLOOKUP(A38,sinap!$A$2:$R$9000,3,FALSE)</f>
        <v>TERNERA</v>
      </c>
      <c r="L38" s="15" t="str">
        <f>VLOOKUP(A38,sinap!$A$2:$R$9000,4,FALSE)</f>
        <v>ANGUS ROJO</v>
      </c>
      <c r="M38" s="15" t="str">
        <f>VLOOKUP(A38,sinap!$A$2:$R$9000,5,FALSE)</f>
        <v>0 años 3 meses</v>
      </c>
      <c r="N38" s="15" t="str">
        <f>VLOOKUP(A38,sinap!$A$2:$R$9000,6,FALSE)</f>
        <v>05-10-2025</v>
      </c>
      <c r="O38" s="15" t="str">
        <f>VLOOKUP(A38,sinap!$A$2:$R$9000,7,FALSE)</f>
        <v>Vivo</v>
      </c>
      <c r="P38" s="15" t="str">
        <f>VLOOKUP(A38,sinap!$A$2:$R$9000,8,FALSE)</f>
        <v>11.1.01.2442</v>
      </c>
      <c r="Q38" s="15" t="str">
        <f>VLOOKUP(A38,sinap!$A$2:$R$9000,12,FALSE)</f>
        <v>11.1.01.0190</v>
      </c>
      <c r="R38" s="15" t="str">
        <f>VLOOKUP(A38,sinap!$A$2:$R$9000,16,FALSE)</f>
        <v>11.1.01.1241</v>
      </c>
      <c r="S38" s="15" t="str">
        <f>VLOOKUP(A38,sinap!$A$2:$Y$9000,20,FALSE)</f>
        <v>SI</v>
      </c>
      <c r="T38" s="16">
        <v>45966</v>
      </c>
    </row>
    <row r="39" spans="1:20" x14ac:dyDescent="0.25">
      <c r="A39" s="15">
        <v>26234057</v>
      </c>
      <c r="J39" s="15" t="str">
        <f>VLOOKUP(A39,sinap!$A$2:$R$9000,2,FALSE)</f>
        <v>H</v>
      </c>
      <c r="K39" s="15" t="str">
        <f>VLOOKUP(A39,sinap!$A$2:$R$9000,3,FALSE)</f>
        <v>TERNERA</v>
      </c>
      <c r="L39" s="15" t="str">
        <f>VLOOKUP(A39,sinap!$A$2:$R$9000,4,FALSE)</f>
        <v>ANGUS ROJO</v>
      </c>
      <c r="M39" s="15" t="str">
        <f>VLOOKUP(A39,sinap!$A$2:$R$9000,5,FALSE)</f>
        <v>0 años 3 meses</v>
      </c>
      <c r="N39" s="15" t="str">
        <f>VLOOKUP(A39,sinap!$A$2:$R$9000,6,FALSE)</f>
        <v>05-10-2025</v>
      </c>
      <c r="O39" s="15" t="str">
        <f>VLOOKUP(A39,sinap!$A$2:$R$9000,7,FALSE)</f>
        <v>Vivo</v>
      </c>
      <c r="P39" s="15" t="str">
        <f>VLOOKUP(A39,sinap!$A$2:$R$9000,8,FALSE)</f>
        <v>11.1.01.2442</v>
      </c>
      <c r="Q39" s="15" t="str">
        <f>VLOOKUP(A39,sinap!$A$2:$R$9000,12,FALSE)</f>
        <v>11.1.01.0190</v>
      </c>
      <c r="R39" s="15" t="str">
        <f>VLOOKUP(A39,sinap!$A$2:$R$9000,16,FALSE)</f>
        <v>11.1.01.1241</v>
      </c>
      <c r="S39" s="15" t="str">
        <f>VLOOKUP(A39,sinap!$A$2:$Y$9000,20,FALSE)</f>
        <v>SI</v>
      </c>
      <c r="T39" s="16">
        <v>45966</v>
      </c>
    </row>
    <row r="40" spans="1:20" x14ac:dyDescent="0.25">
      <c r="A40" s="15">
        <v>26234061</v>
      </c>
      <c r="J40" s="15" t="str">
        <f>VLOOKUP(A40,sinap!$A$2:$R$9000,2,FALSE)</f>
        <v>H</v>
      </c>
      <c r="K40" s="15" t="str">
        <f>VLOOKUP(A40,sinap!$A$2:$R$9000,3,FALSE)</f>
        <v>TERNERA</v>
      </c>
      <c r="L40" s="15" t="str">
        <f>VLOOKUP(A40,sinap!$A$2:$R$9000,4,FALSE)</f>
        <v>ANGUS NEGRO</v>
      </c>
      <c r="M40" s="15" t="str">
        <f>VLOOKUP(A40,sinap!$A$2:$R$9000,5,FALSE)</f>
        <v>0 años 3 meses</v>
      </c>
      <c r="N40" s="15" t="str">
        <f>VLOOKUP(A40,sinap!$A$2:$R$9000,6,FALSE)</f>
        <v>05-10-2025</v>
      </c>
      <c r="O40" s="15" t="str">
        <f>VLOOKUP(A40,sinap!$A$2:$R$9000,7,FALSE)</f>
        <v>Vivo</v>
      </c>
      <c r="P40" s="15" t="str">
        <f>VLOOKUP(A40,sinap!$A$2:$R$9000,8,FALSE)</f>
        <v>11.1.01.2442</v>
      </c>
      <c r="Q40" s="15" t="str">
        <f>VLOOKUP(A40,sinap!$A$2:$R$9000,12,FALSE)</f>
        <v>11.1.01.0190</v>
      </c>
      <c r="R40" s="15" t="str">
        <f>VLOOKUP(A40,sinap!$A$2:$R$9000,16,FALSE)</f>
        <v>11.1.01.1241</v>
      </c>
      <c r="S40" s="15" t="str">
        <f>VLOOKUP(A40,sinap!$A$2:$Y$9000,20,FALSE)</f>
        <v>SI</v>
      </c>
      <c r="T40" s="16">
        <v>45966</v>
      </c>
    </row>
    <row r="41" spans="1:20" x14ac:dyDescent="0.25">
      <c r="A41" s="15">
        <v>26234062</v>
      </c>
      <c r="J41" s="15" t="str">
        <f>VLOOKUP(A41,sinap!$A$2:$R$9000,2,FALSE)</f>
        <v>H</v>
      </c>
      <c r="K41" s="15" t="str">
        <f>VLOOKUP(A41,sinap!$A$2:$R$9000,3,FALSE)</f>
        <v>TERNERA</v>
      </c>
      <c r="L41" s="15" t="str">
        <f>VLOOKUP(A41,sinap!$A$2:$R$9000,4,FALSE)</f>
        <v>ANGUS NEGRO</v>
      </c>
      <c r="M41" s="15" t="str">
        <f>VLOOKUP(A41,sinap!$A$2:$R$9000,5,FALSE)</f>
        <v>0 años 3 meses</v>
      </c>
      <c r="N41" s="15" t="str">
        <f>VLOOKUP(A41,sinap!$A$2:$R$9000,6,FALSE)</f>
        <v>05-10-2025</v>
      </c>
      <c r="O41" s="15" t="str">
        <f>VLOOKUP(A41,sinap!$A$2:$R$9000,7,FALSE)</f>
        <v>Vivo</v>
      </c>
      <c r="P41" s="15" t="str">
        <f>VLOOKUP(A41,sinap!$A$2:$R$9000,8,FALSE)</f>
        <v>11.1.01.2442</v>
      </c>
      <c r="Q41" s="15" t="str">
        <f>VLOOKUP(A41,sinap!$A$2:$R$9000,12,FALSE)</f>
        <v>11.1.01.0190</v>
      </c>
      <c r="R41" s="15" t="str">
        <f>VLOOKUP(A41,sinap!$A$2:$R$9000,16,FALSE)</f>
        <v>11.1.01.1241</v>
      </c>
      <c r="S41" s="15" t="str">
        <f>VLOOKUP(A41,sinap!$A$2:$Y$9000,20,FALSE)</f>
        <v>SI</v>
      </c>
      <c r="T41" s="16">
        <v>45966</v>
      </c>
    </row>
    <row r="42" spans="1:20" x14ac:dyDescent="0.25">
      <c r="A42" s="15">
        <v>26234064</v>
      </c>
      <c r="J42" s="15" t="str">
        <f>VLOOKUP(A42,sinap!$A$2:$R$9000,2,FALSE)</f>
        <v>H</v>
      </c>
      <c r="K42" s="15" t="str">
        <f>VLOOKUP(A42,sinap!$A$2:$R$9000,3,FALSE)</f>
        <v>TERNERA</v>
      </c>
      <c r="L42" s="15" t="str">
        <f>VLOOKUP(A42,sinap!$A$2:$R$9000,4,FALSE)</f>
        <v>ANGUS ROJO</v>
      </c>
      <c r="M42" s="15" t="str">
        <f>VLOOKUP(A42,sinap!$A$2:$R$9000,5,FALSE)</f>
        <v>0 años 5 meses</v>
      </c>
      <c r="N42" s="15" t="str">
        <f>VLOOKUP(A42,sinap!$A$2:$R$9000,6,FALSE)</f>
        <v>04-08-2025</v>
      </c>
      <c r="O42" s="15" t="str">
        <f>VLOOKUP(A42,sinap!$A$2:$R$9000,7,FALSE)</f>
        <v>Vivo</v>
      </c>
      <c r="P42" s="15" t="str">
        <f>VLOOKUP(A42,sinap!$A$2:$R$9000,8,FALSE)</f>
        <v>11.1.01.2442</v>
      </c>
      <c r="Q42" s="15" t="str">
        <f>VLOOKUP(A42,sinap!$A$2:$R$9000,12,FALSE)</f>
        <v>11.1.01.0190</v>
      </c>
      <c r="R42" s="15" t="str">
        <f>VLOOKUP(A42,sinap!$A$2:$R$9000,16,FALSE)</f>
        <v>11.1.01.1241</v>
      </c>
      <c r="S42" s="15" t="str">
        <f>VLOOKUP(A42,sinap!$A$2:$Y$9000,20,FALSE)</f>
        <v>SI</v>
      </c>
      <c r="T42" s="16">
        <v>45966</v>
      </c>
    </row>
    <row r="43" spans="1:20" x14ac:dyDescent="0.25">
      <c r="A43" s="15">
        <v>26234065</v>
      </c>
      <c r="J43" s="15" t="str">
        <f>VLOOKUP(A43,sinap!$A$2:$R$9000,2,FALSE)</f>
        <v>H</v>
      </c>
      <c r="K43" s="15" t="str">
        <f>VLOOKUP(A43,sinap!$A$2:$R$9000,3,FALSE)</f>
        <v>TERNERA</v>
      </c>
      <c r="L43" s="15" t="str">
        <f>VLOOKUP(A43,sinap!$A$2:$R$9000,4,FALSE)</f>
        <v>ANGUS NEGRO</v>
      </c>
      <c r="M43" s="15" t="str">
        <f>VLOOKUP(A43,sinap!$A$2:$R$9000,5,FALSE)</f>
        <v>0 años 3 meses</v>
      </c>
      <c r="N43" s="15" t="str">
        <f>VLOOKUP(A43,sinap!$A$2:$R$9000,6,FALSE)</f>
        <v>05-10-2025</v>
      </c>
      <c r="O43" s="15" t="str">
        <f>VLOOKUP(A43,sinap!$A$2:$R$9000,7,FALSE)</f>
        <v>Vivo</v>
      </c>
      <c r="P43" s="15" t="str">
        <f>VLOOKUP(A43,sinap!$A$2:$R$9000,8,FALSE)</f>
        <v>11.1.01.2442</v>
      </c>
      <c r="Q43" s="15" t="str">
        <f>VLOOKUP(A43,sinap!$A$2:$R$9000,12,FALSE)</f>
        <v>11.1.01.0190</v>
      </c>
      <c r="R43" s="15" t="str">
        <f>VLOOKUP(A43,sinap!$A$2:$R$9000,16,FALSE)</f>
        <v>11.1.01.1241</v>
      </c>
      <c r="S43" s="15" t="str">
        <f>VLOOKUP(A43,sinap!$A$2:$Y$9000,20,FALSE)</f>
        <v>SI</v>
      </c>
      <c r="T43" s="16">
        <v>45966</v>
      </c>
    </row>
    <row r="44" spans="1:20" x14ac:dyDescent="0.25">
      <c r="A44" s="15">
        <v>26234067</v>
      </c>
      <c r="J44" s="15" t="str">
        <f>VLOOKUP(A44,sinap!$A$2:$R$9000,2,FALSE)</f>
        <v>H</v>
      </c>
      <c r="K44" s="15" t="str">
        <f>VLOOKUP(A44,sinap!$A$2:$R$9000,3,FALSE)</f>
        <v>TERNERA</v>
      </c>
      <c r="L44" s="15" t="str">
        <f>VLOOKUP(A44,sinap!$A$2:$R$9000,4,FALSE)</f>
        <v>ANGUS NEGRO</v>
      </c>
      <c r="M44" s="15" t="str">
        <f>VLOOKUP(A44,sinap!$A$2:$R$9000,5,FALSE)</f>
        <v>0 años 3 meses</v>
      </c>
      <c r="N44" s="15" t="str">
        <f>VLOOKUP(A44,sinap!$A$2:$R$9000,6,FALSE)</f>
        <v>05-10-2025</v>
      </c>
      <c r="O44" s="15" t="str">
        <f>VLOOKUP(A44,sinap!$A$2:$R$9000,7,FALSE)</f>
        <v>Vivo</v>
      </c>
      <c r="P44" s="15" t="str">
        <f>VLOOKUP(A44,sinap!$A$2:$R$9000,8,FALSE)</f>
        <v>11.1.01.2442</v>
      </c>
      <c r="Q44" s="15" t="str">
        <f>VLOOKUP(A44,sinap!$A$2:$R$9000,12,FALSE)</f>
        <v>11.1.01.0190</v>
      </c>
      <c r="R44" s="15" t="str">
        <f>VLOOKUP(A44,sinap!$A$2:$R$9000,16,FALSE)</f>
        <v>11.1.01.1241</v>
      </c>
      <c r="S44" s="15" t="str">
        <f>VLOOKUP(A44,sinap!$A$2:$Y$9000,20,FALSE)</f>
        <v>SI</v>
      </c>
      <c r="T44" s="16">
        <v>45966</v>
      </c>
    </row>
    <row r="45" spans="1:20" x14ac:dyDescent="0.25">
      <c r="A45" s="15">
        <v>26234068</v>
      </c>
      <c r="J45" s="15" t="str">
        <f>VLOOKUP(A45,sinap!$A$2:$R$9000,2,FALSE)</f>
        <v>H</v>
      </c>
      <c r="K45" s="15" t="str">
        <f>VLOOKUP(A45,sinap!$A$2:$R$9000,3,FALSE)</f>
        <v>TERNERA</v>
      </c>
      <c r="L45" s="15" t="str">
        <f>VLOOKUP(A45,sinap!$A$2:$R$9000,4,FALSE)</f>
        <v>ANGUS NEGRO</v>
      </c>
      <c r="M45" s="15" t="str">
        <f>VLOOKUP(A45,sinap!$A$2:$R$9000,5,FALSE)</f>
        <v>0 años 3 meses</v>
      </c>
      <c r="N45" s="15" t="str">
        <f>VLOOKUP(A45,sinap!$A$2:$R$9000,6,FALSE)</f>
        <v>05-10-2025</v>
      </c>
      <c r="O45" s="15" t="str">
        <f>VLOOKUP(A45,sinap!$A$2:$R$9000,7,FALSE)</f>
        <v>Vivo</v>
      </c>
      <c r="P45" s="15" t="str">
        <f>VLOOKUP(A45,sinap!$A$2:$R$9000,8,FALSE)</f>
        <v>11.1.01.2442</v>
      </c>
      <c r="Q45" s="15" t="str">
        <f>VLOOKUP(A45,sinap!$A$2:$R$9000,12,FALSE)</f>
        <v>11.1.01.0190</v>
      </c>
      <c r="R45" s="15" t="str">
        <f>VLOOKUP(A45,sinap!$A$2:$R$9000,16,FALSE)</f>
        <v>11.1.01.1241</v>
      </c>
      <c r="S45" s="15" t="str">
        <f>VLOOKUP(A45,sinap!$A$2:$Y$9000,20,FALSE)</f>
        <v>SI</v>
      </c>
      <c r="T45" s="16">
        <v>45966</v>
      </c>
    </row>
    <row r="46" spans="1:20" x14ac:dyDescent="0.25">
      <c r="A46" s="15">
        <v>26234070</v>
      </c>
      <c r="J46" s="15" t="str">
        <f>VLOOKUP(A46,sinap!$A$2:$R$9000,2,FALSE)</f>
        <v>H</v>
      </c>
      <c r="K46" s="15" t="str">
        <f>VLOOKUP(A46,sinap!$A$2:$R$9000,3,FALSE)</f>
        <v>TERNERA</v>
      </c>
      <c r="L46" s="15" t="str">
        <f>VLOOKUP(A46,sinap!$A$2:$R$9000,4,FALSE)</f>
        <v>ANGUS NEGRO</v>
      </c>
      <c r="M46" s="15" t="str">
        <f>VLOOKUP(A46,sinap!$A$2:$R$9000,5,FALSE)</f>
        <v>0 años 3 meses</v>
      </c>
      <c r="N46" s="15" t="str">
        <f>VLOOKUP(A46,sinap!$A$2:$R$9000,6,FALSE)</f>
        <v>05-10-2025</v>
      </c>
      <c r="O46" s="15" t="str">
        <f>VLOOKUP(A46,sinap!$A$2:$R$9000,7,FALSE)</f>
        <v>Vivo</v>
      </c>
      <c r="P46" s="15" t="str">
        <f>VLOOKUP(A46,sinap!$A$2:$R$9000,8,FALSE)</f>
        <v>11.1.01.2442</v>
      </c>
      <c r="Q46" s="15" t="str">
        <f>VLOOKUP(A46,sinap!$A$2:$R$9000,12,FALSE)</f>
        <v>11.1.01.0190</v>
      </c>
      <c r="R46" s="15" t="str">
        <f>VLOOKUP(A46,sinap!$A$2:$R$9000,16,FALSE)</f>
        <v>11.1.01.1241</v>
      </c>
      <c r="S46" s="15" t="str">
        <f>VLOOKUP(A46,sinap!$A$2:$Y$9000,20,FALSE)</f>
        <v>SI</v>
      </c>
      <c r="T46" s="16">
        <v>45966</v>
      </c>
    </row>
    <row r="47" spans="1:20" x14ac:dyDescent="0.25">
      <c r="A47" s="15">
        <v>26234071</v>
      </c>
      <c r="J47" s="15" t="str">
        <f>VLOOKUP(A47,sinap!$A$2:$R$9000,2,FALSE)</f>
        <v>H</v>
      </c>
      <c r="K47" s="15" t="str">
        <f>VLOOKUP(A47,sinap!$A$2:$R$9000,3,FALSE)</f>
        <v>TERNERA</v>
      </c>
      <c r="L47" s="15" t="str">
        <f>VLOOKUP(A47,sinap!$A$2:$R$9000,4,FALSE)</f>
        <v>ANGUS NEGRO</v>
      </c>
      <c r="M47" s="15" t="str">
        <f>VLOOKUP(A47,sinap!$A$2:$R$9000,5,FALSE)</f>
        <v>0 años 6 meses</v>
      </c>
      <c r="N47" s="15" t="str">
        <f>VLOOKUP(A47,sinap!$A$2:$R$9000,6,FALSE)</f>
        <v>04-07-2025</v>
      </c>
      <c r="O47" s="15" t="str">
        <f>VLOOKUP(A47,sinap!$A$2:$R$9000,7,FALSE)</f>
        <v>Vivo</v>
      </c>
      <c r="P47" s="15" t="str">
        <f>VLOOKUP(A47,sinap!$A$2:$R$9000,8,FALSE)</f>
        <v>11.1.01.2442</v>
      </c>
      <c r="Q47" s="15" t="str">
        <f>VLOOKUP(A47,sinap!$A$2:$R$9000,12,FALSE)</f>
        <v>11.1.01.0190</v>
      </c>
      <c r="R47" s="15" t="str">
        <f>VLOOKUP(A47,sinap!$A$2:$R$9000,16,FALSE)</f>
        <v>11.1.01.1241</v>
      </c>
      <c r="S47" s="15" t="str">
        <f>VLOOKUP(A47,sinap!$A$2:$Y$9000,20,FALSE)</f>
        <v>SI</v>
      </c>
      <c r="T47" s="16">
        <v>45966</v>
      </c>
    </row>
    <row r="48" spans="1:20" x14ac:dyDescent="0.25">
      <c r="A48" s="15">
        <v>26234072</v>
      </c>
      <c r="J48" s="15" t="str">
        <f>VLOOKUP(A48,sinap!$A$2:$R$9000,2,FALSE)</f>
        <v>H</v>
      </c>
      <c r="K48" s="15" t="str">
        <f>VLOOKUP(A48,sinap!$A$2:$R$9000,3,FALSE)</f>
        <v>TERNERA</v>
      </c>
      <c r="L48" s="15" t="str">
        <f>VLOOKUP(A48,sinap!$A$2:$R$9000,4,FALSE)</f>
        <v>ANGUS NEGRO</v>
      </c>
      <c r="M48" s="15" t="str">
        <f>VLOOKUP(A48,sinap!$A$2:$R$9000,5,FALSE)</f>
        <v>0 años 3 meses</v>
      </c>
      <c r="N48" s="15" t="str">
        <f>VLOOKUP(A48,sinap!$A$2:$R$9000,6,FALSE)</f>
        <v>05-10-2025</v>
      </c>
      <c r="O48" s="15" t="str">
        <f>VLOOKUP(A48,sinap!$A$2:$R$9000,7,FALSE)</f>
        <v>Vivo</v>
      </c>
      <c r="P48" s="15" t="str">
        <f>VLOOKUP(A48,sinap!$A$2:$R$9000,8,FALSE)</f>
        <v>11.1.01.2442</v>
      </c>
      <c r="Q48" s="15" t="str">
        <f>VLOOKUP(A48,sinap!$A$2:$R$9000,12,FALSE)</f>
        <v>11.1.01.0190</v>
      </c>
      <c r="R48" s="15" t="str">
        <f>VLOOKUP(A48,sinap!$A$2:$R$9000,16,FALSE)</f>
        <v>11.1.01.1241</v>
      </c>
      <c r="S48" s="15" t="str">
        <f>VLOOKUP(A48,sinap!$A$2:$Y$9000,20,FALSE)</f>
        <v>SI</v>
      </c>
      <c r="T48" s="16">
        <v>45966</v>
      </c>
    </row>
    <row r="49" spans="1:20" x14ac:dyDescent="0.25">
      <c r="A49" s="15">
        <v>26234073</v>
      </c>
      <c r="J49" s="15" t="str">
        <f>VLOOKUP(A49,sinap!$A$2:$R$9000,2,FALSE)</f>
        <v>H</v>
      </c>
      <c r="K49" s="15" t="str">
        <f>VLOOKUP(A49,sinap!$A$2:$R$9000,3,FALSE)</f>
        <v>TERNERA</v>
      </c>
      <c r="L49" s="15" t="str">
        <f>VLOOKUP(A49,sinap!$A$2:$R$9000,4,FALSE)</f>
        <v>ANGUS ROJO</v>
      </c>
      <c r="M49" s="15" t="str">
        <f>VLOOKUP(A49,sinap!$A$2:$R$9000,5,FALSE)</f>
        <v>0 años 3 meses</v>
      </c>
      <c r="N49" s="15" t="str">
        <f>VLOOKUP(A49,sinap!$A$2:$R$9000,6,FALSE)</f>
        <v>05-10-2025</v>
      </c>
      <c r="O49" s="15" t="str">
        <f>VLOOKUP(A49,sinap!$A$2:$R$9000,7,FALSE)</f>
        <v>Vivo</v>
      </c>
      <c r="P49" s="15" t="str">
        <f>VLOOKUP(A49,sinap!$A$2:$R$9000,8,FALSE)</f>
        <v>11.1.01.2442</v>
      </c>
      <c r="Q49" s="15" t="str">
        <f>VLOOKUP(A49,sinap!$A$2:$R$9000,12,FALSE)</f>
        <v>11.1.01.0190</v>
      </c>
      <c r="R49" s="15" t="str">
        <f>VLOOKUP(A49,sinap!$A$2:$R$9000,16,FALSE)</f>
        <v>11.1.01.1241</v>
      </c>
      <c r="S49" s="15" t="str">
        <f>VLOOKUP(A49,sinap!$A$2:$Y$9000,20,FALSE)</f>
        <v>SI</v>
      </c>
      <c r="T49" s="16">
        <v>45966</v>
      </c>
    </row>
    <row r="50" spans="1:20" x14ac:dyDescent="0.25">
      <c r="A50" s="15">
        <v>26234074</v>
      </c>
      <c r="J50" s="15" t="str">
        <f>VLOOKUP(A50,sinap!$A$2:$R$9000,2,FALSE)</f>
        <v>H</v>
      </c>
      <c r="K50" s="15" t="str">
        <f>VLOOKUP(A50,sinap!$A$2:$R$9000,3,FALSE)</f>
        <v>TERNERA</v>
      </c>
      <c r="L50" s="15" t="str">
        <f>VLOOKUP(A50,sinap!$A$2:$R$9000,4,FALSE)</f>
        <v>ANGUS NEGRO</v>
      </c>
      <c r="M50" s="15" t="str">
        <f>VLOOKUP(A50,sinap!$A$2:$R$9000,5,FALSE)</f>
        <v>0 años 3 meses</v>
      </c>
      <c r="N50" s="15" t="str">
        <f>VLOOKUP(A50,sinap!$A$2:$R$9000,6,FALSE)</f>
        <v>05-10-2025</v>
      </c>
      <c r="O50" s="15" t="str">
        <f>VLOOKUP(A50,sinap!$A$2:$R$9000,7,FALSE)</f>
        <v>Vivo</v>
      </c>
      <c r="P50" s="15" t="str">
        <f>VLOOKUP(A50,sinap!$A$2:$R$9000,8,FALSE)</f>
        <v>11.1.01.2442</v>
      </c>
      <c r="Q50" s="15" t="str">
        <f>VLOOKUP(A50,sinap!$A$2:$R$9000,12,FALSE)</f>
        <v>11.1.01.0190</v>
      </c>
      <c r="R50" s="15" t="str">
        <f>VLOOKUP(A50,sinap!$A$2:$R$9000,16,FALSE)</f>
        <v>11.1.01.1241</v>
      </c>
      <c r="S50" s="15" t="str">
        <f>VLOOKUP(A50,sinap!$A$2:$Y$9000,20,FALSE)</f>
        <v>SI</v>
      </c>
      <c r="T50" s="16">
        <v>45966</v>
      </c>
    </row>
    <row r="51" spans="1:20" x14ac:dyDescent="0.25">
      <c r="A51" s="15">
        <v>26234075</v>
      </c>
      <c r="J51" s="15" t="str">
        <f>VLOOKUP(A51,sinap!$A$2:$R$9000,2,FALSE)</f>
        <v>H</v>
      </c>
      <c r="K51" s="15" t="str">
        <f>VLOOKUP(A51,sinap!$A$2:$R$9000,3,FALSE)</f>
        <v>TERNERA</v>
      </c>
      <c r="L51" s="15" t="str">
        <f>VLOOKUP(A51,sinap!$A$2:$R$9000,4,FALSE)</f>
        <v>ANGUS NEGRO</v>
      </c>
      <c r="M51" s="15" t="str">
        <f>VLOOKUP(A51,sinap!$A$2:$R$9000,5,FALSE)</f>
        <v>0 años 3 meses</v>
      </c>
      <c r="N51" s="15" t="str">
        <f>VLOOKUP(A51,sinap!$A$2:$R$9000,6,FALSE)</f>
        <v>05-10-2025</v>
      </c>
      <c r="O51" s="15" t="str">
        <f>VLOOKUP(A51,sinap!$A$2:$R$9000,7,FALSE)</f>
        <v>Vivo</v>
      </c>
      <c r="P51" s="15" t="str">
        <f>VLOOKUP(A51,sinap!$A$2:$R$9000,8,FALSE)</f>
        <v>11.1.01.2442</v>
      </c>
      <c r="Q51" s="15" t="str">
        <f>VLOOKUP(A51,sinap!$A$2:$R$9000,12,FALSE)</f>
        <v>11.1.01.0190</v>
      </c>
      <c r="R51" s="15" t="str">
        <f>VLOOKUP(A51,sinap!$A$2:$R$9000,16,FALSE)</f>
        <v>11.1.01.1241</v>
      </c>
      <c r="S51" s="15" t="str">
        <f>VLOOKUP(A51,sinap!$A$2:$Y$9000,20,FALSE)</f>
        <v>SI</v>
      </c>
      <c r="T51" s="16">
        <v>45966</v>
      </c>
    </row>
    <row r="52" spans="1:20" x14ac:dyDescent="0.25">
      <c r="A52" s="15">
        <v>26234076</v>
      </c>
      <c r="J52" s="15" t="str">
        <f>VLOOKUP(A52,sinap!$A$2:$R$9000,2,FALSE)</f>
        <v>H</v>
      </c>
      <c r="K52" s="15" t="str">
        <f>VLOOKUP(A52,sinap!$A$2:$R$9000,3,FALSE)</f>
        <v>TERNERA</v>
      </c>
      <c r="L52" s="15" t="str">
        <f>VLOOKUP(A52,sinap!$A$2:$R$9000,4,FALSE)</f>
        <v>ANGUS NEGRO</v>
      </c>
      <c r="M52" s="15" t="str">
        <f>VLOOKUP(A52,sinap!$A$2:$R$9000,5,FALSE)</f>
        <v>0 años 3 meses</v>
      </c>
      <c r="N52" s="15" t="str">
        <f>VLOOKUP(A52,sinap!$A$2:$R$9000,6,FALSE)</f>
        <v>04-10-2025</v>
      </c>
      <c r="O52" s="15" t="str">
        <f>VLOOKUP(A52,sinap!$A$2:$R$9000,7,FALSE)</f>
        <v>Vivo</v>
      </c>
      <c r="P52" s="15" t="str">
        <f>VLOOKUP(A52,sinap!$A$2:$R$9000,8,FALSE)</f>
        <v>11.1.01.2442</v>
      </c>
      <c r="Q52" s="15" t="str">
        <f>VLOOKUP(A52,sinap!$A$2:$R$9000,12,FALSE)</f>
        <v>11.1.01.0190</v>
      </c>
      <c r="R52" s="15" t="str">
        <f>VLOOKUP(A52,sinap!$A$2:$R$9000,16,FALSE)</f>
        <v>11.1.01.1241</v>
      </c>
      <c r="S52" s="15" t="str">
        <f>VLOOKUP(A52,sinap!$A$2:$Y$9000,20,FALSE)</f>
        <v>SI</v>
      </c>
      <c r="T52" s="16">
        <v>45966</v>
      </c>
    </row>
    <row r="53" spans="1:20" x14ac:dyDescent="0.25">
      <c r="A53" s="15">
        <v>26234077</v>
      </c>
      <c r="J53" s="15" t="str">
        <f>VLOOKUP(A53,sinap!$A$2:$R$9000,2,FALSE)</f>
        <v>H</v>
      </c>
      <c r="K53" s="15" t="str">
        <f>VLOOKUP(A53,sinap!$A$2:$R$9000,3,FALSE)</f>
        <v>TERNERA</v>
      </c>
      <c r="L53" s="15" t="str">
        <f>VLOOKUP(A53,sinap!$A$2:$R$9000,4,FALSE)</f>
        <v>ANGUS NEGRO</v>
      </c>
      <c r="M53" s="15" t="str">
        <f>VLOOKUP(A53,sinap!$A$2:$R$9000,5,FALSE)</f>
        <v>0 años 6 meses</v>
      </c>
      <c r="N53" s="15" t="str">
        <f>VLOOKUP(A53,sinap!$A$2:$R$9000,6,FALSE)</f>
        <v>07-07-2025</v>
      </c>
      <c r="O53" s="15" t="str">
        <f>VLOOKUP(A53,sinap!$A$2:$R$9000,7,FALSE)</f>
        <v>Vivo</v>
      </c>
      <c r="P53" s="15" t="str">
        <f>VLOOKUP(A53,sinap!$A$2:$R$9000,8,FALSE)</f>
        <v>11.1.01.2442</v>
      </c>
      <c r="Q53" s="15" t="str">
        <f>VLOOKUP(A53,sinap!$A$2:$R$9000,12,FALSE)</f>
        <v>11.1.01.0190</v>
      </c>
      <c r="R53" s="15" t="str">
        <f>VLOOKUP(A53,sinap!$A$2:$R$9000,16,FALSE)</f>
        <v>11.1.01.1241</v>
      </c>
      <c r="S53" s="15" t="str">
        <f>VLOOKUP(A53,sinap!$A$2:$Y$9000,20,FALSE)</f>
        <v>SI</v>
      </c>
      <c r="T53" s="16">
        <v>45966</v>
      </c>
    </row>
    <row r="54" spans="1:20" x14ac:dyDescent="0.25">
      <c r="A54" s="15">
        <v>26234078</v>
      </c>
      <c r="J54" s="15" t="str">
        <f>VLOOKUP(A54,sinap!$A$2:$R$9000,2,FALSE)</f>
        <v>H</v>
      </c>
      <c r="K54" s="15" t="str">
        <f>VLOOKUP(A54,sinap!$A$2:$R$9000,3,FALSE)</f>
        <v>TERNERA</v>
      </c>
      <c r="L54" s="15" t="str">
        <f>VLOOKUP(A54,sinap!$A$2:$R$9000,4,FALSE)</f>
        <v>ANGUS NEGRO</v>
      </c>
      <c r="M54" s="15" t="str">
        <f>VLOOKUP(A54,sinap!$A$2:$R$9000,5,FALSE)</f>
        <v>0 años 3 meses</v>
      </c>
      <c r="N54" s="15" t="str">
        <f>VLOOKUP(A54,sinap!$A$2:$R$9000,6,FALSE)</f>
        <v>05-10-2025</v>
      </c>
      <c r="O54" s="15" t="str">
        <f>VLOOKUP(A54,sinap!$A$2:$R$9000,7,FALSE)</f>
        <v>Vivo</v>
      </c>
      <c r="P54" s="15" t="str">
        <f>VLOOKUP(A54,sinap!$A$2:$R$9000,8,FALSE)</f>
        <v>11.1.01.2442</v>
      </c>
      <c r="Q54" s="15" t="str">
        <f>VLOOKUP(A54,sinap!$A$2:$R$9000,12,FALSE)</f>
        <v>11.1.01.0190</v>
      </c>
      <c r="R54" s="15" t="str">
        <f>VLOOKUP(A54,sinap!$A$2:$R$9000,16,FALSE)</f>
        <v>11.1.01.1241</v>
      </c>
      <c r="S54" s="15" t="str">
        <f>VLOOKUP(A54,sinap!$A$2:$Y$9000,20,FALSE)</f>
        <v>SI</v>
      </c>
      <c r="T54" s="16">
        <v>45966</v>
      </c>
    </row>
    <row r="55" spans="1:20" x14ac:dyDescent="0.25">
      <c r="A55" s="15">
        <v>26234079</v>
      </c>
      <c r="J55" s="15" t="str">
        <f>VLOOKUP(A55,sinap!$A$2:$R$9000,2,FALSE)</f>
        <v>H</v>
      </c>
      <c r="K55" s="15" t="str">
        <f>VLOOKUP(A55,sinap!$A$2:$R$9000,3,FALSE)</f>
        <v>TERNERA</v>
      </c>
      <c r="L55" s="15" t="str">
        <f>VLOOKUP(A55,sinap!$A$2:$R$9000,4,FALSE)</f>
        <v>ANGUS NEGRO</v>
      </c>
      <c r="M55" s="15" t="str">
        <f>VLOOKUP(A55,sinap!$A$2:$R$9000,5,FALSE)</f>
        <v>0 años 3 meses</v>
      </c>
      <c r="N55" s="15" t="str">
        <f>VLOOKUP(A55,sinap!$A$2:$R$9000,6,FALSE)</f>
        <v>05-10-2025</v>
      </c>
      <c r="O55" s="15" t="str">
        <f>VLOOKUP(A55,sinap!$A$2:$R$9000,7,FALSE)</f>
        <v>Vivo</v>
      </c>
      <c r="P55" s="15" t="str">
        <f>VLOOKUP(A55,sinap!$A$2:$R$9000,8,FALSE)</f>
        <v>11.1.01.2442</v>
      </c>
      <c r="Q55" s="15" t="str">
        <f>VLOOKUP(A55,sinap!$A$2:$R$9000,12,FALSE)</f>
        <v>11.1.01.0190</v>
      </c>
      <c r="R55" s="15" t="str">
        <f>VLOOKUP(A55,sinap!$A$2:$R$9000,16,FALSE)</f>
        <v>11.1.01.1241</v>
      </c>
      <c r="S55" s="15" t="str">
        <f>VLOOKUP(A55,sinap!$A$2:$Y$9000,20,FALSE)</f>
        <v>SI</v>
      </c>
      <c r="T55" s="16">
        <v>45966</v>
      </c>
    </row>
    <row r="56" spans="1:20" x14ac:dyDescent="0.25">
      <c r="A56" s="15">
        <v>26234081</v>
      </c>
      <c r="J56" s="15" t="str">
        <f>VLOOKUP(A56,sinap!$A$2:$R$9000,2,FALSE)</f>
        <v>H</v>
      </c>
      <c r="K56" s="15" t="str">
        <f>VLOOKUP(A56,sinap!$A$2:$R$9000,3,FALSE)</f>
        <v>TERNERA</v>
      </c>
      <c r="L56" s="15" t="str">
        <f>VLOOKUP(A56,sinap!$A$2:$R$9000,4,FALSE)</f>
        <v>ANGUS ROJO</v>
      </c>
      <c r="M56" s="15" t="str">
        <f>VLOOKUP(A56,sinap!$A$2:$R$9000,5,FALSE)</f>
        <v>0 años 3 meses</v>
      </c>
      <c r="N56" s="15" t="str">
        <f>VLOOKUP(A56,sinap!$A$2:$R$9000,6,FALSE)</f>
        <v>05-10-2025</v>
      </c>
      <c r="O56" s="15" t="str">
        <f>VLOOKUP(A56,sinap!$A$2:$R$9000,7,FALSE)</f>
        <v>Vivo</v>
      </c>
      <c r="P56" s="15" t="str">
        <f>VLOOKUP(A56,sinap!$A$2:$R$9000,8,FALSE)</f>
        <v>11.1.01.1241</v>
      </c>
      <c r="Q56" s="15" t="str">
        <f>VLOOKUP(A56,sinap!$A$2:$R$9000,12,FALSE)</f>
        <v>Sin Movimiento</v>
      </c>
      <c r="R56" s="15" t="str">
        <f>VLOOKUP(A56,sinap!$A$2:$R$9000,16,FALSE)</f>
        <v>11.1.01.1241</v>
      </c>
      <c r="S56" s="15" t="str">
        <f>VLOOKUP(A56,sinap!$A$2:$Y$9000,20,FALSE)</f>
        <v>SI</v>
      </c>
      <c r="T56" s="16">
        <v>45966</v>
      </c>
    </row>
    <row r="57" spans="1:20" x14ac:dyDescent="0.25">
      <c r="A57" s="15">
        <v>26234081</v>
      </c>
      <c r="J57" s="15" t="str">
        <f>VLOOKUP(A57,sinap!$A$2:$R$9000,2,FALSE)</f>
        <v>H</v>
      </c>
      <c r="K57" s="15" t="str">
        <f>VLOOKUP(A57,sinap!$A$2:$R$9000,3,FALSE)</f>
        <v>TERNERA</v>
      </c>
      <c r="L57" s="15" t="str">
        <f>VLOOKUP(A57,sinap!$A$2:$R$9000,4,FALSE)</f>
        <v>ANGUS ROJO</v>
      </c>
      <c r="M57" s="15" t="str">
        <f>VLOOKUP(A57,sinap!$A$2:$R$9000,5,FALSE)</f>
        <v>0 años 3 meses</v>
      </c>
      <c r="N57" s="15" t="str">
        <f>VLOOKUP(A57,sinap!$A$2:$R$9000,6,FALSE)</f>
        <v>05-10-2025</v>
      </c>
      <c r="O57" s="15" t="str">
        <f>VLOOKUP(A57,sinap!$A$2:$R$9000,7,FALSE)</f>
        <v>Vivo</v>
      </c>
      <c r="P57" s="15" t="str">
        <f>VLOOKUP(A57,sinap!$A$2:$R$9000,8,FALSE)</f>
        <v>11.1.01.1241</v>
      </c>
      <c r="Q57" s="15" t="str">
        <f>VLOOKUP(A57,sinap!$A$2:$R$9000,12,FALSE)</f>
        <v>Sin Movimiento</v>
      </c>
      <c r="R57" s="15" t="str">
        <f>VLOOKUP(A57,sinap!$A$2:$R$9000,16,FALSE)</f>
        <v>11.1.01.1241</v>
      </c>
      <c r="S57" s="15" t="str">
        <f>VLOOKUP(A57,sinap!$A$2:$Y$9000,20,FALSE)</f>
        <v>SI</v>
      </c>
      <c r="T57" s="16">
        <v>46331</v>
      </c>
    </row>
    <row r="58" spans="1:20" x14ac:dyDescent="0.25">
      <c r="A58" s="15">
        <v>26234085</v>
      </c>
      <c r="J58" s="15" t="str">
        <f>VLOOKUP(A58,sinap!$A$2:$R$9000,2,FALSE)</f>
        <v>H</v>
      </c>
      <c r="K58" s="15" t="str">
        <f>VLOOKUP(A58,sinap!$A$2:$R$9000,3,FALSE)</f>
        <v>TERNERA</v>
      </c>
      <c r="L58" s="15" t="str">
        <f>VLOOKUP(A58,sinap!$A$2:$R$9000,4,FALSE)</f>
        <v>ANGUS NEGRO</v>
      </c>
      <c r="M58" s="15" t="str">
        <f>VLOOKUP(A58,sinap!$A$2:$R$9000,5,FALSE)</f>
        <v>0 años 5 meses</v>
      </c>
      <c r="N58" s="15" t="str">
        <f>VLOOKUP(A58,sinap!$A$2:$R$9000,6,FALSE)</f>
        <v>30-07-2025</v>
      </c>
      <c r="O58" s="15" t="str">
        <f>VLOOKUP(A58,sinap!$A$2:$R$9000,7,FALSE)</f>
        <v>Vivo</v>
      </c>
      <c r="P58" s="15" t="str">
        <f>VLOOKUP(A58,sinap!$A$2:$R$9000,8,FALSE)</f>
        <v>11.1.01.2442</v>
      </c>
      <c r="Q58" s="15" t="str">
        <f>VLOOKUP(A58,sinap!$A$2:$R$9000,12,FALSE)</f>
        <v>11.1.01.0190</v>
      </c>
      <c r="R58" s="15" t="str">
        <f>VLOOKUP(A58,sinap!$A$2:$R$9000,16,FALSE)</f>
        <v>11.1.01.1241</v>
      </c>
      <c r="S58" s="15" t="str">
        <f>VLOOKUP(A58,sinap!$A$2:$Y$9000,20,FALSE)</f>
        <v>SI</v>
      </c>
      <c r="T58" s="16">
        <v>45966</v>
      </c>
    </row>
    <row r="59" spans="1:20" x14ac:dyDescent="0.25">
      <c r="A59" s="15">
        <v>26234087</v>
      </c>
      <c r="J59" s="15" t="str">
        <f>VLOOKUP(A59,sinap!$A$2:$R$9000,2,FALSE)</f>
        <v>H</v>
      </c>
      <c r="K59" s="15" t="str">
        <f>VLOOKUP(A59,sinap!$A$2:$R$9000,3,FALSE)</f>
        <v>TERNERA</v>
      </c>
      <c r="L59" s="15" t="str">
        <f>VLOOKUP(A59,sinap!$A$2:$R$9000,4,FALSE)</f>
        <v>ANGUS NEGRO</v>
      </c>
      <c r="M59" s="15" t="str">
        <f>VLOOKUP(A59,sinap!$A$2:$R$9000,5,FALSE)</f>
        <v>0 años 3 meses</v>
      </c>
      <c r="N59" s="15" t="str">
        <f>VLOOKUP(A59,sinap!$A$2:$R$9000,6,FALSE)</f>
        <v>05-10-2025</v>
      </c>
      <c r="O59" s="15" t="str">
        <f>VLOOKUP(A59,sinap!$A$2:$R$9000,7,FALSE)</f>
        <v>Vivo</v>
      </c>
      <c r="P59" s="15" t="str">
        <f>VLOOKUP(A59,sinap!$A$2:$R$9000,8,FALSE)</f>
        <v>11.1.01.2442</v>
      </c>
      <c r="Q59" s="15" t="str">
        <f>VLOOKUP(A59,sinap!$A$2:$R$9000,12,FALSE)</f>
        <v>11.1.01.0190</v>
      </c>
      <c r="R59" s="15" t="str">
        <f>VLOOKUP(A59,sinap!$A$2:$R$9000,16,FALSE)</f>
        <v>11.1.01.1241</v>
      </c>
      <c r="S59" s="15" t="str">
        <f>VLOOKUP(A59,sinap!$A$2:$Y$9000,20,FALSE)</f>
        <v>SI</v>
      </c>
      <c r="T59" s="16">
        <v>45966</v>
      </c>
    </row>
    <row r="60" spans="1:20" x14ac:dyDescent="0.25">
      <c r="A60" s="15">
        <v>26234091</v>
      </c>
      <c r="J60" s="15" t="str">
        <f>VLOOKUP(A60,sinap!$A$2:$R$9000,2,FALSE)</f>
        <v>H</v>
      </c>
      <c r="K60" s="15" t="str">
        <f>VLOOKUP(A60,sinap!$A$2:$R$9000,3,FALSE)</f>
        <v>TERNERA</v>
      </c>
      <c r="L60" s="15" t="str">
        <f>VLOOKUP(A60,sinap!$A$2:$R$9000,4,FALSE)</f>
        <v>ANGUS ROJO</v>
      </c>
      <c r="M60" s="15" t="str">
        <f>VLOOKUP(A60,sinap!$A$2:$R$9000,5,FALSE)</f>
        <v>0 años 5 meses</v>
      </c>
      <c r="N60" s="15" t="str">
        <f>VLOOKUP(A60,sinap!$A$2:$R$9000,6,FALSE)</f>
        <v>30-07-2025</v>
      </c>
      <c r="O60" s="15" t="str">
        <f>VLOOKUP(A60,sinap!$A$2:$R$9000,7,FALSE)</f>
        <v>Vivo</v>
      </c>
      <c r="P60" s="15" t="str">
        <f>VLOOKUP(A60,sinap!$A$2:$R$9000,8,FALSE)</f>
        <v>11.1.01.2442</v>
      </c>
      <c r="Q60" s="15" t="str">
        <f>VLOOKUP(A60,sinap!$A$2:$R$9000,12,FALSE)</f>
        <v>11.1.01.0190</v>
      </c>
      <c r="R60" s="15" t="str">
        <f>VLOOKUP(A60,sinap!$A$2:$R$9000,16,FALSE)</f>
        <v>11.1.01.1241</v>
      </c>
      <c r="S60" s="15" t="str">
        <f>VLOOKUP(A60,sinap!$A$2:$Y$9000,20,FALSE)</f>
        <v>SI</v>
      </c>
      <c r="T60" s="16">
        <v>45966</v>
      </c>
    </row>
    <row r="61" spans="1:20" x14ac:dyDescent="0.25">
      <c r="A61" s="15">
        <v>26234092</v>
      </c>
      <c r="J61" s="15" t="str">
        <f>VLOOKUP(A61,sinap!$A$2:$R$9000,2,FALSE)</f>
        <v>H</v>
      </c>
      <c r="K61" s="15" t="str">
        <f>VLOOKUP(A61,sinap!$A$2:$R$9000,3,FALSE)</f>
        <v>TERNERA</v>
      </c>
      <c r="L61" s="15" t="str">
        <f>VLOOKUP(A61,sinap!$A$2:$R$9000,4,FALSE)</f>
        <v>ANGUS NEGRO</v>
      </c>
      <c r="M61" s="15" t="str">
        <f>VLOOKUP(A61,sinap!$A$2:$R$9000,5,FALSE)</f>
        <v>0 años 3 meses</v>
      </c>
      <c r="N61" s="15" t="str">
        <f>VLOOKUP(A61,sinap!$A$2:$R$9000,6,FALSE)</f>
        <v>05-10-2025</v>
      </c>
      <c r="O61" s="15" t="str">
        <f>VLOOKUP(A61,sinap!$A$2:$R$9000,7,FALSE)</f>
        <v>Vivo</v>
      </c>
      <c r="P61" s="15" t="str">
        <f>VLOOKUP(A61,sinap!$A$2:$R$9000,8,FALSE)</f>
        <v>11.1.01.2442</v>
      </c>
      <c r="Q61" s="15" t="str">
        <f>VLOOKUP(A61,sinap!$A$2:$R$9000,12,FALSE)</f>
        <v>11.1.01.0190</v>
      </c>
      <c r="R61" s="15" t="str">
        <f>VLOOKUP(A61,sinap!$A$2:$R$9000,16,FALSE)</f>
        <v>11.1.01.1241</v>
      </c>
      <c r="S61" s="15" t="str">
        <f>VLOOKUP(A61,sinap!$A$2:$Y$9000,20,FALSE)</f>
        <v>SI</v>
      </c>
      <c r="T61" s="16">
        <v>45966</v>
      </c>
    </row>
    <row r="62" spans="1:20" x14ac:dyDescent="0.25">
      <c r="A62" s="15">
        <v>26234094</v>
      </c>
      <c r="J62" s="15" t="str">
        <f>VLOOKUP(A62,sinap!$A$2:$R$9000,2,FALSE)</f>
        <v>H</v>
      </c>
      <c r="K62" s="15" t="str">
        <f>VLOOKUP(A62,sinap!$A$2:$R$9000,3,FALSE)</f>
        <v>TERNERA</v>
      </c>
      <c r="L62" s="15" t="str">
        <f>VLOOKUP(A62,sinap!$A$2:$R$9000,4,FALSE)</f>
        <v>ANGUS NEGRO</v>
      </c>
      <c r="M62" s="15" t="str">
        <f>VLOOKUP(A62,sinap!$A$2:$R$9000,5,FALSE)</f>
        <v>0 años 2 meses</v>
      </c>
      <c r="N62" s="15" t="str">
        <f>VLOOKUP(A62,sinap!$A$2:$R$9000,6,FALSE)</f>
        <v>20-10-2025</v>
      </c>
      <c r="O62" s="15" t="str">
        <f>VLOOKUP(A62,sinap!$A$2:$R$9000,7,FALSE)</f>
        <v>Vivo</v>
      </c>
      <c r="P62" s="15" t="str">
        <f>VLOOKUP(A62,sinap!$A$2:$R$9000,8,FALSE)</f>
        <v>11.1.01.2442</v>
      </c>
      <c r="Q62" s="15" t="str">
        <f>VLOOKUP(A62,sinap!$A$2:$R$9000,12,FALSE)</f>
        <v>11.1.01.0190</v>
      </c>
      <c r="R62" s="15" t="str">
        <f>VLOOKUP(A62,sinap!$A$2:$R$9000,16,FALSE)</f>
        <v>11.1.01.1241</v>
      </c>
      <c r="S62" s="15" t="str">
        <f>VLOOKUP(A62,sinap!$A$2:$Y$9000,20,FALSE)</f>
        <v>SI</v>
      </c>
      <c r="T62" s="16">
        <v>45966</v>
      </c>
    </row>
    <row r="63" spans="1:20" x14ac:dyDescent="0.25">
      <c r="A63" s="15">
        <v>26234151</v>
      </c>
      <c r="J63" s="15" t="str">
        <f>VLOOKUP(A63,sinap!$A$2:$R$9000,2,FALSE)</f>
        <v>M</v>
      </c>
      <c r="K63" s="15" t="str">
        <f>VLOOKUP(A63,sinap!$A$2:$R$9000,3,FALSE)</f>
        <v>TERNERO</v>
      </c>
      <c r="L63" s="15" t="str">
        <f>VLOOKUP(A63,sinap!$A$2:$R$9000,4,FALSE)</f>
        <v>ANGUS NEGRO</v>
      </c>
      <c r="M63" s="15" t="str">
        <f>VLOOKUP(A63,sinap!$A$2:$R$9000,5,FALSE)</f>
        <v>0 años 4 meses</v>
      </c>
      <c r="N63" s="15" t="str">
        <f>VLOOKUP(A63,sinap!$A$2:$R$9000,6,FALSE)</f>
        <v>11-09-2025</v>
      </c>
      <c r="O63" s="15" t="str">
        <f>VLOOKUP(A63,sinap!$A$2:$R$9000,7,FALSE)</f>
        <v>Vivo</v>
      </c>
      <c r="P63" s="15" t="str">
        <f>VLOOKUP(A63,sinap!$A$2:$R$9000,8,FALSE)</f>
        <v>11.1.01.0791</v>
      </c>
      <c r="Q63" s="15" t="str">
        <f>VLOOKUP(A63,sinap!$A$2:$R$9000,12,FALSE)</f>
        <v>11.1.01.0893</v>
      </c>
      <c r="R63" s="15" t="str">
        <f>VLOOKUP(A63,sinap!$A$2:$R$9000,16,FALSE)</f>
        <v>11.1.01.0893</v>
      </c>
      <c r="S63" s="15" t="str">
        <f>VLOOKUP(A63,sinap!$A$2:$Y$9000,20,FALSE)</f>
        <v>SI</v>
      </c>
      <c r="T63" s="16">
        <v>45984</v>
      </c>
    </row>
    <row r="64" spans="1:20" x14ac:dyDescent="0.25">
      <c r="A64" s="15">
        <v>26234152</v>
      </c>
      <c r="J64" s="15" t="str">
        <f>VLOOKUP(A64,sinap!$A$2:$R$9000,2,FALSE)</f>
        <v>H</v>
      </c>
      <c r="K64" s="15" t="str">
        <f>VLOOKUP(A64,sinap!$A$2:$R$9000,3,FALSE)</f>
        <v>TERNERA</v>
      </c>
      <c r="L64" s="15" t="str">
        <f>VLOOKUP(A64,sinap!$A$2:$R$9000,4,FALSE)</f>
        <v>ANGUS NEGRO</v>
      </c>
      <c r="M64" s="15" t="str">
        <f>VLOOKUP(A64,sinap!$A$2:$R$9000,5,FALSE)</f>
        <v>0 años 3 meses</v>
      </c>
      <c r="N64" s="15" t="str">
        <f>VLOOKUP(A64,sinap!$A$2:$R$9000,6,FALSE)</f>
        <v>30-09-2025</v>
      </c>
      <c r="O64" s="15" t="str">
        <f>VLOOKUP(A64,sinap!$A$2:$R$9000,7,FALSE)</f>
        <v>Vivo</v>
      </c>
      <c r="P64" s="15" t="str">
        <f>VLOOKUP(A64,sinap!$A$2:$R$9000,8,FALSE)</f>
        <v>11.1.01.0791</v>
      </c>
      <c r="Q64" s="15" t="str">
        <f>VLOOKUP(A64,sinap!$A$2:$R$9000,12,FALSE)</f>
        <v>11.1.01.0893</v>
      </c>
      <c r="R64" s="15" t="str">
        <f>VLOOKUP(A64,sinap!$A$2:$R$9000,16,FALSE)</f>
        <v>11.1.01.0893</v>
      </c>
      <c r="S64" s="15" t="str">
        <f>VLOOKUP(A64,sinap!$A$2:$Y$9000,20,FALSE)</f>
        <v>SI</v>
      </c>
      <c r="T64" s="16">
        <v>45984</v>
      </c>
    </row>
    <row r="65" spans="1:20" x14ac:dyDescent="0.25">
      <c r="A65" s="15">
        <v>26234153</v>
      </c>
      <c r="J65" s="15" t="str">
        <f>VLOOKUP(A65,sinap!$A$2:$R$9000,2,FALSE)</f>
        <v>H</v>
      </c>
      <c r="K65" s="15" t="str">
        <f>VLOOKUP(A65,sinap!$A$2:$R$9000,3,FALSE)</f>
        <v>TERNERA</v>
      </c>
      <c r="L65" s="15" t="str">
        <f>VLOOKUP(A65,sinap!$A$2:$R$9000,4,FALSE)</f>
        <v>ANGUS NEGRO</v>
      </c>
      <c r="M65" s="15" t="str">
        <f>VLOOKUP(A65,sinap!$A$2:$R$9000,5,FALSE)</f>
        <v>0 años 3 meses</v>
      </c>
      <c r="N65" s="15" t="str">
        <f>VLOOKUP(A65,sinap!$A$2:$R$9000,6,FALSE)</f>
        <v>30-09-2025</v>
      </c>
      <c r="O65" s="15" t="str">
        <f>VLOOKUP(A65,sinap!$A$2:$R$9000,7,FALSE)</f>
        <v>Vivo</v>
      </c>
      <c r="P65" s="15" t="str">
        <f>VLOOKUP(A65,sinap!$A$2:$R$9000,8,FALSE)</f>
        <v>11.1.01.0791</v>
      </c>
      <c r="Q65" s="15" t="str">
        <f>VLOOKUP(A65,sinap!$A$2:$R$9000,12,FALSE)</f>
        <v>11.1.01.0893</v>
      </c>
      <c r="R65" s="15" t="str">
        <f>VLOOKUP(A65,sinap!$A$2:$R$9000,16,FALSE)</f>
        <v>11.1.01.0893</v>
      </c>
      <c r="S65" s="15" t="str">
        <f>VLOOKUP(A65,sinap!$A$2:$Y$9000,20,FALSE)</f>
        <v>SI</v>
      </c>
      <c r="T65" s="16">
        <v>45984</v>
      </c>
    </row>
    <row r="66" spans="1:20" x14ac:dyDescent="0.25">
      <c r="A66" s="15">
        <v>26234154</v>
      </c>
      <c r="J66" s="15" t="str">
        <f>VLOOKUP(A66,sinap!$A$2:$R$9000,2,FALSE)</f>
        <v>H</v>
      </c>
      <c r="K66" s="15" t="str">
        <f>VLOOKUP(A66,sinap!$A$2:$R$9000,3,FALSE)</f>
        <v>TERNERA</v>
      </c>
      <c r="L66" s="15" t="str">
        <f>VLOOKUP(A66,sinap!$A$2:$R$9000,4,FALSE)</f>
        <v>ANGUS NEGRO</v>
      </c>
      <c r="M66" s="15" t="str">
        <f>VLOOKUP(A66,sinap!$A$2:$R$9000,5,FALSE)</f>
        <v>0 años 3 meses</v>
      </c>
      <c r="N66" s="15" t="str">
        <f>VLOOKUP(A66,sinap!$A$2:$R$9000,6,FALSE)</f>
        <v>30-09-2025</v>
      </c>
      <c r="O66" s="15" t="str">
        <f>VLOOKUP(A66,sinap!$A$2:$R$9000,7,FALSE)</f>
        <v>Vivo</v>
      </c>
      <c r="P66" s="15" t="str">
        <f>VLOOKUP(A66,sinap!$A$2:$R$9000,8,FALSE)</f>
        <v>11.1.01.0791</v>
      </c>
      <c r="Q66" s="15" t="str">
        <f>VLOOKUP(A66,sinap!$A$2:$R$9000,12,FALSE)</f>
        <v>11.1.01.0893</v>
      </c>
      <c r="R66" s="15" t="str">
        <f>VLOOKUP(A66,sinap!$A$2:$R$9000,16,FALSE)</f>
        <v>11.1.01.0893</v>
      </c>
      <c r="S66" s="15" t="str">
        <f>VLOOKUP(A66,sinap!$A$2:$Y$9000,20,FALSE)</f>
        <v>SI</v>
      </c>
      <c r="T66" s="16">
        <v>45984</v>
      </c>
    </row>
    <row r="67" spans="1:20" x14ac:dyDescent="0.25">
      <c r="A67" s="15">
        <v>26234155</v>
      </c>
      <c r="J67" s="15" t="str">
        <f>VLOOKUP(A67,sinap!$A$2:$R$9000,2,FALSE)</f>
        <v>H</v>
      </c>
      <c r="K67" s="15" t="str">
        <f>VLOOKUP(A67,sinap!$A$2:$R$9000,3,FALSE)</f>
        <v>TERNERA</v>
      </c>
      <c r="L67" s="15" t="str">
        <f>VLOOKUP(A67,sinap!$A$2:$R$9000,4,FALSE)</f>
        <v>ANGUS NEGRO</v>
      </c>
      <c r="M67" s="15" t="str">
        <f>VLOOKUP(A67,sinap!$A$2:$R$9000,5,FALSE)</f>
        <v>0 años 3 meses</v>
      </c>
      <c r="N67" s="15" t="str">
        <f>VLOOKUP(A67,sinap!$A$2:$R$9000,6,FALSE)</f>
        <v>30-09-2025</v>
      </c>
      <c r="O67" s="15" t="str">
        <f>VLOOKUP(A67,sinap!$A$2:$R$9000,7,FALSE)</f>
        <v>Vivo</v>
      </c>
      <c r="P67" s="15" t="str">
        <f>VLOOKUP(A67,sinap!$A$2:$R$9000,8,FALSE)</f>
        <v>11.1.01.0791</v>
      </c>
      <c r="Q67" s="15" t="str">
        <f>VLOOKUP(A67,sinap!$A$2:$R$9000,12,FALSE)</f>
        <v>11.1.01.0893</v>
      </c>
      <c r="R67" s="15" t="str">
        <f>VLOOKUP(A67,sinap!$A$2:$R$9000,16,FALSE)</f>
        <v>11.1.01.0893</v>
      </c>
      <c r="S67" s="15" t="str">
        <f>VLOOKUP(A67,sinap!$A$2:$Y$9000,20,FALSE)</f>
        <v>SI</v>
      </c>
      <c r="T67" s="16">
        <v>45984</v>
      </c>
    </row>
    <row r="68" spans="1:20" x14ac:dyDescent="0.25">
      <c r="A68" s="15">
        <v>26234156</v>
      </c>
      <c r="J68" s="15" t="str">
        <f>VLOOKUP(A68,sinap!$A$2:$R$9000,2,FALSE)</f>
        <v>H</v>
      </c>
      <c r="K68" s="15" t="str">
        <f>VLOOKUP(A68,sinap!$A$2:$R$9000,3,FALSE)</f>
        <v>TERNERA</v>
      </c>
      <c r="L68" s="15" t="str">
        <f>VLOOKUP(A68,sinap!$A$2:$R$9000,4,FALSE)</f>
        <v>ANGUS NEGRO</v>
      </c>
      <c r="M68" s="15" t="str">
        <f>VLOOKUP(A68,sinap!$A$2:$R$9000,5,FALSE)</f>
        <v>0 años 3 meses</v>
      </c>
      <c r="N68" s="15" t="str">
        <f>VLOOKUP(A68,sinap!$A$2:$R$9000,6,FALSE)</f>
        <v>05-10-2025</v>
      </c>
      <c r="O68" s="15" t="str">
        <f>VLOOKUP(A68,sinap!$A$2:$R$9000,7,FALSE)</f>
        <v>Vivo</v>
      </c>
      <c r="P68" s="15" t="str">
        <f>VLOOKUP(A68,sinap!$A$2:$R$9000,8,FALSE)</f>
        <v>11.1.01.0791</v>
      </c>
      <c r="Q68" s="15" t="str">
        <f>VLOOKUP(A68,sinap!$A$2:$R$9000,12,FALSE)</f>
        <v>11.1.01.0893</v>
      </c>
      <c r="R68" s="15" t="str">
        <f>VLOOKUP(A68,sinap!$A$2:$R$9000,16,FALSE)</f>
        <v>11.1.01.0893</v>
      </c>
      <c r="S68" s="15" t="str">
        <f>VLOOKUP(A68,sinap!$A$2:$Y$9000,20,FALSE)</f>
        <v>SI</v>
      </c>
      <c r="T68" s="16">
        <v>45984</v>
      </c>
    </row>
    <row r="69" spans="1:20" x14ac:dyDescent="0.25">
      <c r="A69" s="15">
        <v>26234157</v>
      </c>
      <c r="J69" s="15" t="str">
        <f>VLOOKUP(A69,sinap!$A$2:$R$9000,2,FALSE)</f>
        <v>H</v>
      </c>
      <c r="K69" s="15" t="str">
        <f>VLOOKUP(A69,sinap!$A$2:$R$9000,3,FALSE)</f>
        <v>TERNERA</v>
      </c>
      <c r="L69" s="15" t="str">
        <f>VLOOKUP(A69,sinap!$A$2:$R$9000,4,FALSE)</f>
        <v>ANGUS ROJO</v>
      </c>
      <c r="M69" s="15" t="str">
        <f>VLOOKUP(A69,sinap!$A$2:$R$9000,5,FALSE)</f>
        <v>0 años 4 meses</v>
      </c>
      <c r="N69" s="15" t="str">
        <f>VLOOKUP(A69,sinap!$A$2:$R$9000,6,FALSE)</f>
        <v>09-09-2025</v>
      </c>
      <c r="O69" s="15" t="str">
        <f>VLOOKUP(A69,sinap!$A$2:$R$9000,7,FALSE)</f>
        <v>Vivo</v>
      </c>
      <c r="P69" s="15" t="str">
        <f>VLOOKUP(A69,sinap!$A$2:$R$9000,8,FALSE)</f>
        <v>11.1.01.0791</v>
      </c>
      <c r="Q69" s="15" t="str">
        <f>VLOOKUP(A69,sinap!$A$2:$R$9000,12,FALSE)</f>
        <v>11.1.01.0893</v>
      </c>
      <c r="R69" s="15" t="str">
        <f>VLOOKUP(A69,sinap!$A$2:$R$9000,16,FALSE)</f>
        <v>11.1.01.0893</v>
      </c>
      <c r="S69" s="15" t="str">
        <f>VLOOKUP(A69,sinap!$A$2:$Y$9000,20,FALSE)</f>
        <v>SI</v>
      </c>
      <c r="T69" s="16">
        <v>45984</v>
      </c>
    </row>
    <row r="70" spans="1:20" x14ac:dyDescent="0.25">
      <c r="A70" s="15">
        <v>26234158</v>
      </c>
      <c r="J70" s="15" t="str">
        <f>VLOOKUP(A70,sinap!$A$2:$R$9000,2,FALSE)</f>
        <v>H</v>
      </c>
      <c r="K70" s="15" t="str">
        <f>VLOOKUP(A70,sinap!$A$2:$R$9000,3,FALSE)</f>
        <v>TERNERA</v>
      </c>
      <c r="L70" s="15" t="str">
        <f>VLOOKUP(A70,sinap!$A$2:$R$9000,4,FALSE)</f>
        <v>ANGUS NEGRO</v>
      </c>
      <c r="M70" s="15" t="str">
        <f>VLOOKUP(A70,sinap!$A$2:$R$9000,5,FALSE)</f>
        <v>0 años 3 meses</v>
      </c>
      <c r="N70" s="15" t="str">
        <f>VLOOKUP(A70,sinap!$A$2:$R$9000,6,FALSE)</f>
        <v>05-10-2025</v>
      </c>
      <c r="O70" s="15" t="str">
        <f>VLOOKUP(A70,sinap!$A$2:$R$9000,7,FALSE)</f>
        <v>Vivo</v>
      </c>
      <c r="P70" s="15" t="str">
        <f>VLOOKUP(A70,sinap!$A$2:$R$9000,8,FALSE)</f>
        <v>11.1.01.0791</v>
      </c>
      <c r="Q70" s="15" t="str">
        <f>VLOOKUP(A70,sinap!$A$2:$R$9000,12,FALSE)</f>
        <v>11.1.01.0893</v>
      </c>
      <c r="R70" s="15" t="str">
        <f>VLOOKUP(A70,sinap!$A$2:$R$9000,16,FALSE)</f>
        <v>11.1.01.0893</v>
      </c>
      <c r="S70" s="15" t="str">
        <f>VLOOKUP(A70,sinap!$A$2:$Y$9000,20,FALSE)</f>
        <v>SI</v>
      </c>
      <c r="T70" s="16">
        <v>45984</v>
      </c>
    </row>
    <row r="71" spans="1:20" x14ac:dyDescent="0.25">
      <c r="A71" s="15">
        <v>26234159</v>
      </c>
      <c r="J71" s="15" t="str">
        <f>VLOOKUP(A71,sinap!$A$2:$R$9000,2,FALSE)</f>
        <v>M</v>
      </c>
      <c r="K71" s="15" t="str">
        <f>VLOOKUP(A71,sinap!$A$2:$R$9000,3,FALSE)</f>
        <v>TERNERO</v>
      </c>
      <c r="L71" s="15" t="str">
        <f>VLOOKUP(A71,sinap!$A$2:$R$9000,4,FALSE)</f>
        <v>ANGUS NEGRO</v>
      </c>
      <c r="M71" s="15" t="str">
        <f>VLOOKUP(A71,sinap!$A$2:$R$9000,5,FALSE)</f>
        <v>0 años 3 meses</v>
      </c>
      <c r="N71" s="15" t="str">
        <f>VLOOKUP(A71,sinap!$A$2:$R$9000,6,FALSE)</f>
        <v>30-09-2025</v>
      </c>
      <c r="O71" s="15" t="str">
        <f>VLOOKUP(A71,sinap!$A$2:$R$9000,7,FALSE)</f>
        <v>Vivo</v>
      </c>
      <c r="P71" s="15" t="str">
        <f>VLOOKUP(A71,sinap!$A$2:$R$9000,8,FALSE)</f>
        <v>11.1.01.0791</v>
      </c>
      <c r="Q71" s="15" t="str">
        <f>VLOOKUP(A71,sinap!$A$2:$R$9000,12,FALSE)</f>
        <v>11.1.01.0893</v>
      </c>
      <c r="R71" s="15" t="str">
        <f>VLOOKUP(A71,sinap!$A$2:$R$9000,16,FALSE)</f>
        <v>11.1.01.0893</v>
      </c>
      <c r="S71" s="15" t="str">
        <f>VLOOKUP(A71,sinap!$A$2:$Y$9000,20,FALSE)</f>
        <v>SI</v>
      </c>
      <c r="T71" s="16">
        <v>45984</v>
      </c>
    </row>
    <row r="72" spans="1:20" x14ac:dyDescent="0.25">
      <c r="A72" s="15">
        <v>26234160</v>
      </c>
      <c r="J72" s="15" t="str">
        <f>VLOOKUP(A72,sinap!$A$2:$R$9000,2,FALSE)</f>
        <v>H</v>
      </c>
      <c r="K72" s="15" t="str">
        <f>VLOOKUP(A72,sinap!$A$2:$R$9000,3,FALSE)</f>
        <v>TERNERA</v>
      </c>
      <c r="L72" s="15" t="str">
        <f>VLOOKUP(A72,sinap!$A$2:$R$9000,4,FALSE)</f>
        <v>ANGUS ROJO</v>
      </c>
      <c r="M72" s="15" t="str">
        <f>VLOOKUP(A72,sinap!$A$2:$R$9000,5,FALSE)</f>
        <v>0 años 3 meses</v>
      </c>
      <c r="N72" s="15" t="str">
        <f>VLOOKUP(A72,sinap!$A$2:$R$9000,6,FALSE)</f>
        <v>30-09-2025</v>
      </c>
      <c r="O72" s="15" t="str">
        <f>VLOOKUP(A72,sinap!$A$2:$R$9000,7,FALSE)</f>
        <v>Vivo</v>
      </c>
      <c r="P72" s="15" t="str">
        <f>VLOOKUP(A72,sinap!$A$2:$R$9000,8,FALSE)</f>
        <v>11.1.01.0791</v>
      </c>
      <c r="Q72" s="15" t="str">
        <f>VLOOKUP(A72,sinap!$A$2:$R$9000,12,FALSE)</f>
        <v>11.1.01.0893</v>
      </c>
      <c r="R72" s="15" t="str">
        <f>VLOOKUP(A72,sinap!$A$2:$R$9000,16,FALSE)</f>
        <v>11.1.01.0893</v>
      </c>
      <c r="S72" s="15" t="str">
        <f>VLOOKUP(A72,sinap!$A$2:$Y$9000,20,FALSE)</f>
        <v>SI</v>
      </c>
      <c r="T72" s="16">
        <v>45984</v>
      </c>
    </row>
    <row r="73" spans="1:20" x14ac:dyDescent="0.25">
      <c r="A73" s="15">
        <v>26234161</v>
      </c>
      <c r="J73" s="15" t="str">
        <f>VLOOKUP(A73,sinap!$A$2:$R$9000,2,FALSE)</f>
        <v>H</v>
      </c>
      <c r="K73" s="15" t="str">
        <f>VLOOKUP(A73,sinap!$A$2:$R$9000,3,FALSE)</f>
        <v>TERNERA</v>
      </c>
      <c r="L73" s="15" t="str">
        <f>VLOOKUP(A73,sinap!$A$2:$R$9000,4,FALSE)</f>
        <v>ANGUS NEGRO</v>
      </c>
      <c r="M73" s="15" t="str">
        <f>VLOOKUP(A73,sinap!$A$2:$R$9000,5,FALSE)</f>
        <v>0 años 3 meses</v>
      </c>
      <c r="N73" s="15" t="str">
        <f>VLOOKUP(A73,sinap!$A$2:$R$9000,6,FALSE)</f>
        <v>30-09-2025</v>
      </c>
      <c r="O73" s="15" t="str">
        <f>VLOOKUP(A73,sinap!$A$2:$R$9000,7,FALSE)</f>
        <v>Vivo</v>
      </c>
      <c r="P73" s="15" t="str">
        <f>VLOOKUP(A73,sinap!$A$2:$R$9000,8,FALSE)</f>
        <v>11.1.01.0791</v>
      </c>
      <c r="Q73" s="15" t="str">
        <f>VLOOKUP(A73,sinap!$A$2:$R$9000,12,FALSE)</f>
        <v>11.1.01.0893</v>
      </c>
      <c r="R73" s="15" t="str">
        <f>VLOOKUP(A73,sinap!$A$2:$R$9000,16,FALSE)</f>
        <v>11.1.01.0893</v>
      </c>
      <c r="S73" s="15" t="str">
        <f>VLOOKUP(A73,sinap!$A$2:$Y$9000,20,FALSE)</f>
        <v>SI</v>
      </c>
      <c r="T73" s="16">
        <v>45984</v>
      </c>
    </row>
    <row r="74" spans="1:20" x14ac:dyDescent="0.25">
      <c r="A74" s="15">
        <v>26234162</v>
      </c>
      <c r="J74" s="15" t="str">
        <f>VLOOKUP(A74,sinap!$A$2:$R$9000,2,FALSE)</f>
        <v>H</v>
      </c>
      <c r="K74" s="15" t="str">
        <f>VLOOKUP(A74,sinap!$A$2:$R$9000,3,FALSE)</f>
        <v>TERNERA</v>
      </c>
      <c r="L74" s="15" t="str">
        <f>VLOOKUP(A74,sinap!$A$2:$R$9000,4,FALSE)</f>
        <v>ANGUS NEGRO</v>
      </c>
      <c r="M74" s="15" t="str">
        <f>VLOOKUP(A74,sinap!$A$2:$R$9000,5,FALSE)</f>
        <v>0 años 3 meses</v>
      </c>
      <c r="N74" s="15" t="str">
        <f>VLOOKUP(A74,sinap!$A$2:$R$9000,6,FALSE)</f>
        <v>30-09-2025</v>
      </c>
      <c r="O74" s="15" t="str">
        <f>VLOOKUP(A74,sinap!$A$2:$R$9000,7,FALSE)</f>
        <v>Vivo</v>
      </c>
      <c r="P74" s="15" t="str">
        <f>VLOOKUP(A74,sinap!$A$2:$R$9000,8,FALSE)</f>
        <v>11.1.01.0791</v>
      </c>
      <c r="Q74" s="15" t="str">
        <f>VLOOKUP(A74,sinap!$A$2:$R$9000,12,FALSE)</f>
        <v>11.1.01.0893</v>
      </c>
      <c r="R74" s="15" t="str">
        <f>VLOOKUP(A74,sinap!$A$2:$R$9000,16,FALSE)</f>
        <v>11.1.01.0893</v>
      </c>
      <c r="S74" s="15" t="str">
        <f>VLOOKUP(A74,sinap!$A$2:$Y$9000,20,FALSE)</f>
        <v>SI</v>
      </c>
      <c r="T74" s="16">
        <v>45984</v>
      </c>
    </row>
    <row r="75" spans="1:20" x14ac:dyDescent="0.25">
      <c r="A75" s="15">
        <v>26234163</v>
      </c>
      <c r="J75" s="15" t="str">
        <f>VLOOKUP(A75,sinap!$A$2:$R$9000,2,FALSE)</f>
        <v>H</v>
      </c>
      <c r="K75" s="15" t="str">
        <f>VLOOKUP(A75,sinap!$A$2:$R$9000,3,FALSE)</f>
        <v>TERNERA</v>
      </c>
      <c r="L75" s="15" t="str">
        <f>VLOOKUP(A75,sinap!$A$2:$R$9000,4,FALSE)</f>
        <v>ANGUS ROJO</v>
      </c>
      <c r="M75" s="15" t="str">
        <f>VLOOKUP(A75,sinap!$A$2:$R$9000,5,FALSE)</f>
        <v>0 años 3 meses</v>
      </c>
      <c r="N75" s="15" t="str">
        <f>VLOOKUP(A75,sinap!$A$2:$R$9000,6,FALSE)</f>
        <v>30-09-2025</v>
      </c>
      <c r="O75" s="15" t="str">
        <f>VLOOKUP(A75,sinap!$A$2:$R$9000,7,FALSE)</f>
        <v>Vivo</v>
      </c>
      <c r="P75" s="15" t="str">
        <f>VLOOKUP(A75,sinap!$A$2:$R$9000,8,FALSE)</f>
        <v>11.1.01.0791</v>
      </c>
      <c r="Q75" s="15" t="str">
        <f>VLOOKUP(A75,sinap!$A$2:$R$9000,12,FALSE)</f>
        <v>11.1.01.0893</v>
      </c>
      <c r="R75" s="15" t="str">
        <f>VLOOKUP(A75,sinap!$A$2:$R$9000,16,FALSE)</f>
        <v>11.1.01.0893</v>
      </c>
      <c r="S75" s="15" t="str">
        <f>VLOOKUP(A75,sinap!$A$2:$Y$9000,20,FALSE)</f>
        <v>SI</v>
      </c>
      <c r="T75" s="16">
        <v>45984</v>
      </c>
    </row>
    <row r="76" spans="1:20" x14ac:dyDescent="0.25">
      <c r="A76" s="15">
        <v>26234164</v>
      </c>
      <c r="J76" s="15" t="str">
        <f>VLOOKUP(A76,sinap!$A$2:$R$9000,2,FALSE)</f>
        <v>H</v>
      </c>
      <c r="K76" s="15" t="str">
        <f>VLOOKUP(A76,sinap!$A$2:$R$9000,3,FALSE)</f>
        <v>TERNERA</v>
      </c>
      <c r="L76" s="15" t="str">
        <f>VLOOKUP(A76,sinap!$A$2:$R$9000,4,FALSE)</f>
        <v>ANGUS NEGRO</v>
      </c>
      <c r="M76" s="15" t="str">
        <f>VLOOKUP(A76,sinap!$A$2:$R$9000,5,FALSE)</f>
        <v>0 años 5 meses</v>
      </c>
      <c r="N76" s="15" t="str">
        <f>VLOOKUP(A76,sinap!$A$2:$R$9000,6,FALSE)</f>
        <v>30-07-2025</v>
      </c>
      <c r="O76" s="15" t="str">
        <f>VLOOKUP(A76,sinap!$A$2:$R$9000,7,FALSE)</f>
        <v>Vivo</v>
      </c>
      <c r="P76" s="15" t="str">
        <f>VLOOKUP(A76,sinap!$A$2:$R$9000,8,FALSE)</f>
        <v>11.1.01.0791</v>
      </c>
      <c r="Q76" s="15" t="str">
        <f>VLOOKUP(A76,sinap!$A$2:$R$9000,12,FALSE)</f>
        <v>11.1.01.0893</v>
      </c>
      <c r="R76" s="15" t="str">
        <f>VLOOKUP(A76,sinap!$A$2:$R$9000,16,FALSE)</f>
        <v>11.1.01.0893</v>
      </c>
      <c r="S76" s="15" t="str">
        <f>VLOOKUP(A76,sinap!$A$2:$Y$9000,20,FALSE)</f>
        <v>SI</v>
      </c>
      <c r="T76" s="16">
        <v>45984</v>
      </c>
    </row>
    <row r="77" spans="1:20" x14ac:dyDescent="0.25">
      <c r="A77" s="15">
        <v>26234165</v>
      </c>
      <c r="J77" s="15" t="str">
        <f>VLOOKUP(A77,sinap!$A$2:$R$9000,2,FALSE)</f>
        <v>M</v>
      </c>
      <c r="K77" s="15" t="str">
        <f>VLOOKUP(A77,sinap!$A$2:$R$9000,3,FALSE)</f>
        <v>TERNERO</v>
      </c>
      <c r="L77" s="15" t="str">
        <f>VLOOKUP(A77,sinap!$A$2:$R$9000,4,FALSE)</f>
        <v>ANGUS NEGRO</v>
      </c>
      <c r="M77" s="15" t="str">
        <f>VLOOKUP(A77,sinap!$A$2:$R$9000,5,FALSE)</f>
        <v>0 años 2 meses</v>
      </c>
      <c r="N77" s="15" t="str">
        <f>VLOOKUP(A77,sinap!$A$2:$R$9000,6,FALSE)</f>
        <v>05-11-2025</v>
      </c>
      <c r="O77" s="15" t="str">
        <f>VLOOKUP(A77,sinap!$A$2:$R$9000,7,FALSE)</f>
        <v>Vivo</v>
      </c>
      <c r="P77" s="15" t="str">
        <f>VLOOKUP(A77,sinap!$A$2:$R$9000,8,FALSE)</f>
        <v>11.1.01.0791</v>
      </c>
      <c r="Q77" s="15" t="str">
        <f>VLOOKUP(A77,sinap!$A$2:$R$9000,12,FALSE)</f>
        <v>11.1.01.0893</v>
      </c>
      <c r="R77" s="15" t="str">
        <f>VLOOKUP(A77,sinap!$A$2:$R$9000,16,FALSE)</f>
        <v>11.1.01.0893</v>
      </c>
      <c r="S77" s="15" t="str">
        <f>VLOOKUP(A77,sinap!$A$2:$Y$9000,20,FALSE)</f>
        <v>SI</v>
      </c>
      <c r="T77" s="16">
        <v>45984</v>
      </c>
    </row>
    <row r="78" spans="1:20" x14ac:dyDescent="0.25">
      <c r="A78" s="15">
        <v>26234166</v>
      </c>
      <c r="J78" s="15" t="str">
        <f>VLOOKUP(A78,sinap!$A$2:$R$9000,2,FALSE)</f>
        <v>M</v>
      </c>
      <c r="K78" s="15" t="str">
        <f>VLOOKUP(A78,sinap!$A$2:$R$9000,3,FALSE)</f>
        <v>TERNERO</v>
      </c>
      <c r="L78" s="15" t="str">
        <f>VLOOKUP(A78,sinap!$A$2:$R$9000,4,FALSE)</f>
        <v>ANGUS NEGRO</v>
      </c>
      <c r="M78" s="15" t="str">
        <f>VLOOKUP(A78,sinap!$A$2:$R$9000,5,FALSE)</f>
        <v>0 años 4 meses</v>
      </c>
      <c r="N78" s="15" t="str">
        <f>VLOOKUP(A78,sinap!$A$2:$R$9000,6,FALSE)</f>
        <v>05-09-2025</v>
      </c>
      <c r="O78" s="15" t="str">
        <f>VLOOKUP(A78,sinap!$A$2:$R$9000,7,FALSE)</f>
        <v>Vivo</v>
      </c>
      <c r="P78" s="15" t="str">
        <f>VLOOKUP(A78,sinap!$A$2:$R$9000,8,FALSE)</f>
        <v>11.1.01.0791</v>
      </c>
      <c r="Q78" s="15" t="str">
        <f>VLOOKUP(A78,sinap!$A$2:$R$9000,12,FALSE)</f>
        <v>11.1.01.0893</v>
      </c>
      <c r="R78" s="15" t="str">
        <f>VLOOKUP(A78,sinap!$A$2:$R$9000,16,FALSE)</f>
        <v>11.1.01.0893</v>
      </c>
      <c r="S78" s="15" t="str">
        <f>VLOOKUP(A78,sinap!$A$2:$Y$9000,20,FALSE)</f>
        <v>SI</v>
      </c>
      <c r="T78" s="16">
        <v>45984</v>
      </c>
    </row>
    <row r="79" spans="1:20" x14ac:dyDescent="0.25">
      <c r="A79" s="15">
        <v>26234167</v>
      </c>
      <c r="J79" s="15" t="str">
        <f>VLOOKUP(A79,sinap!$A$2:$R$9000,2,FALSE)</f>
        <v>H</v>
      </c>
      <c r="K79" s="15" t="str">
        <f>VLOOKUP(A79,sinap!$A$2:$R$9000,3,FALSE)</f>
        <v>TERNERA</v>
      </c>
      <c r="L79" s="15" t="str">
        <f>VLOOKUP(A79,sinap!$A$2:$R$9000,4,FALSE)</f>
        <v>ANGUS NEGRO</v>
      </c>
      <c r="M79" s="15" t="str">
        <f>VLOOKUP(A79,sinap!$A$2:$R$9000,5,FALSE)</f>
        <v>0 años 3 meses</v>
      </c>
      <c r="N79" s="15" t="str">
        <f>VLOOKUP(A79,sinap!$A$2:$R$9000,6,FALSE)</f>
        <v>25-09-2025</v>
      </c>
      <c r="O79" s="15" t="str">
        <f>VLOOKUP(A79,sinap!$A$2:$R$9000,7,FALSE)</f>
        <v>Vivo</v>
      </c>
      <c r="P79" s="15" t="str">
        <f>VLOOKUP(A79,sinap!$A$2:$R$9000,8,FALSE)</f>
        <v>11.1.01.0791</v>
      </c>
      <c r="Q79" s="15" t="str">
        <f>VLOOKUP(A79,sinap!$A$2:$R$9000,12,FALSE)</f>
        <v>11.1.01.0893</v>
      </c>
      <c r="R79" s="15" t="str">
        <f>VLOOKUP(A79,sinap!$A$2:$R$9000,16,FALSE)</f>
        <v>11.1.01.0893</v>
      </c>
      <c r="S79" s="15" t="str">
        <f>VLOOKUP(A79,sinap!$A$2:$Y$9000,20,FALSE)</f>
        <v>SI</v>
      </c>
      <c r="T79" s="16">
        <v>45984</v>
      </c>
    </row>
    <row r="80" spans="1:20" x14ac:dyDescent="0.25">
      <c r="A80" s="15">
        <v>26234168</v>
      </c>
      <c r="J80" s="15" t="str">
        <f>VLOOKUP(A80,sinap!$A$2:$R$9000,2,FALSE)</f>
        <v>H</v>
      </c>
      <c r="K80" s="15" t="str">
        <f>VLOOKUP(A80,sinap!$A$2:$R$9000,3,FALSE)</f>
        <v>TERNERA</v>
      </c>
      <c r="L80" s="15" t="str">
        <f>VLOOKUP(A80,sinap!$A$2:$R$9000,4,FALSE)</f>
        <v>ANGUS NEGRO</v>
      </c>
      <c r="M80" s="15" t="str">
        <f>VLOOKUP(A80,sinap!$A$2:$R$9000,5,FALSE)</f>
        <v>0 años 3 meses</v>
      </c>
      <c r="N80" s="15" t="str">
        <f>VLOOKUP(A80,sinap!$A$2:$R$9000,6,FALSE)</f>
        <v>25-09-2025</v>
      </c>
      <c r="O80" s="15" t="str">
        <f>VLOOKUP(A80,sinap!$A$2:$R$9000,7,FALSE)</f>
        <v>Vivo</v>
      </c>
      <c r="P80" s="15" t="str">
        <f>VLOOKUP(A80,sinap!$A$2:$R$9000,8,FALSE)</f>
        <v>11.1.01.0791</v>
      </c>
      <c r="Q80" s="15" t="str">
        <f>VLOOKUP(A80,sinap!$A$2:$R$9000,12,FALSE)</f>
        <v>11.1.01.0893</v>
      </c>
      <c r="R80" s="15" t="str">
        <f>VLOOKUP(A80,sinap!$A$2:$R$9000,16,FALSE)</f>
        <v>11.1.01.0893</v>
      </c>
      <c r="S80" s="15" t="str">
        <f>VLOOKUP(A80,sinap!$A$2:$Y$9000,20,FALSE)</f>
        <v>SI</v>
      </c>
      <c r="T80" s="16">
        <v>45984</v>
      </c>
    </row>
    <row r="81" spans="1:20" x14ac:dyDescent="0.25">
      <c r="A81" s="15">
        <v>26234169</v>
      </c>
      <c r="J81" s="15" t="str">
        <f>VLOOKUP(A81,sinap!$A$2:$R$9000,2,FALSE)</f>
        <v>M</v>
      </c>
      <c r="K81" s="15" t="str">
        <f>VLOOKUP(A81,sinap!$A$2:$R$9000,3,FALSE)</f>
        <v>TERNERO</v>
      </c>
      <c r="L81" s="15" t="str">
        <f>VLOOKUP(A81,sinap!$A$2:$R$9000,4,FALSE)</f>
        <v>ANGUS NEGRO</v>
      </c>
      <c r="M81" s="15" t="str">
        <f>VLOOKUP(A81,sinap!$A$2:$R$9000,5,FALSE)</f>
        <v>0 años 3 meses</v>
      </c>
      <c r="N81" s="15" t="str">
        <f>VLOOKUP(A81,sinap!$A$2:$R$9000,6,FALSE)</f>
        <v>25-09-2025</v>
      </c>
      <c r="O81" s="15" t="str">
        <f>VLOOKUP(A81,sinap!$A$2:$R$9000,7,FALSE)</f>
        <v>Vivo</v>
      </c>
      <c r="P81" s="15" t="str">
        <f>VLOOKUP(A81,sinap!$A$2:$R$9000,8,FALSE)</f>
        <v>11.1.01.0791</v>
      </c>
      <c r="Q81" s="15" t="str">
        <f>VLOOKUP(A81,sinap!$A$2:$R$9000,12,FALSE)</f>
        <v>11.1.01.0893</v>
      </c>
      <c r="R81" s="15" t="str">
        <f>VLOOKUP(A81,sinap!$A$2:$R$9000,16,FALSE)</f>
        <v>11.1.01.0893</v>
      </c>
      <c r="S81" s="15" t="str">
        <f>VLOOKUP(A81,sinap!$A$2:$Y$9000,20,FALSE)</f>
        <v>SI</v>
      </c>
      <c r="T81" s="16">
        <v>45984</v>
      </c>
    </row>
    <row r="82" spans="1:20" x14ac:dyDescent="0.25">
      <c r="A82" s="15">
        <v>26234170</v>
      </c>
      <c r="J82" s="15" t="str">
        <f>VLOOKUP(A82,sinap!$A$2:$R$9000,2,FALSE)</f>
        <v>M</v>
      </c>
      <c r="K82" s="15" t="str">
        <f>VLOOKUP(A82,sinap!$A$2:$R$9000,3,FALSE)</f>
        <v>TERNERO</v>
      </c>
      <c r="L82" s="15" t="str">
        <f>VLOOKUP(A82,sinap!$A$2:$R$9000,4,FALSE)</f>
        <v>ANGUS ROJO</v>
      </c>
      <c r="M82" s="15" t="str">
        <f>VLOOKUP(A82,sinap!$A$2:$R$9000,5,FALSE)</f>
        <v>0 años 4 meses</v>
      </c>
      <c r="N82" s="15" t="str">
        <f>VLOOKUP(A82,sinap!$A$2:$R$9000,6,FALSE)</f>
        <v>30-08-2025</v>
      </c>
      <c r="O82" s="15" t="str">
        <f>VLOOKUP(A82,sinap!$A$2:$R$9000,7,FALSE)</f>
        <v>Vivo</v>
      </c>
      <c r="P82" s="15" t="str">
        <f>VLOOKUP(A82,sinap!$A$2:$R$9000,8,FALSE)</f>
        <v>11.1.01.0791</v>
      </c>
      <c r="Q82" s="15" t="str">
        <f>VLOOKUP(A82,sinap!$A$2:$R$9000,12,FALSE)</f>
        <v>11.1.01.0893</v>
      </c>
      <c r="R82" s="15" t="str">
        <f>VLOOKUP(A82,sinap!$A$2:$R$9000,16,FALSE)</f>
        <v>11.1.01.0893</v>
      </c>
      <c r="S82" s="15" t="str">
        <f>VLOOKUP(A82,sinap!$A$2:$Y$9000,20,FALSE)</f>
        <v>SI</v>
      </c>
      <c r="T82" s="16">
        <v>45984</v>
      </c>
    </row>
    <row r="83" spans="1:20" x14ac:dyDescent="0.25">
      <c r="A83" s="15">
        <v>26234171</v>
      </c>
      <c r="J83" s="15" t="str">
        <f>VLOOKUP(A83,sinap!$A$2:$R$9000,2,FALSE)</f>
        <v>M</v>
      </c>
      <c r="K83" s="15" t="str">
        <f>VLOOKUP(A83,sinap!$A$2:$R$9000,3,FALSE)</f>
        <v>TERNERO</v>
      </c>
      <c r="L83" s="15" t="str">
        <f>VLOOKUP(A83,sinap!$A$2:$R$9000,4,FALSE)</f>
        <v>ANGUS NEGRO</v>
      </c>
      <c r="M83" s="15" t="str">
        <f>VLOOKUP(A83,sinap!$A$2:$R$9000,5,FALSE)</f>
        <v>0 años 4 meses</v>
      </c>
      <c r="N83" s="15" t="str">
        <f>VLOOKUP(A83,sinap!$A$2:$R$9000,6,FALSE)</f>
        <v>30-08-2025</v>
      </c>
      <c r="O83" s="15" t="str">
        <f>VLOOKUP(A83,sinap!$A$2:$R$9000,7,FALSE)</f>
        <v>Vivo</v>
      </c>
      <c r="P83" s="15" t="str">
        <f>VLOOKUP(A83,sinap!$A$2:$R$9000,8,FALSE)</f>
        <v>11.1.01.0791</v>
      </c>
      <c r="Q83" s="15" t="str">
        <f>VLOOKUP(A83,sinap!$A$2:$R$9000,12,FALSE)</f>
        <v>11.1.01.0893</v>
      </c>
      <c r="R83" s="15" t="str">
        <f>VLOOKUP(A83,sinap!$A$2:$R$9000,16,FALSE)</f>
        <v>11.1.01.0893</v>
      </c>
      <c r="S83" s="15" t="str">
        <f>VLOOKUP(A83,sinap!$A$2:$Y$9000,20,FALSE)</f>
        <v>SI</v>
      </c>
      <c r="T83" s="16">
        <v>45984</v>
      </c>
    </row>
    <row r="84" spans="1:20" x14ac:dyDescent="0.25">
      <c r="A84" s="15">
        <v>26234172</v>
      </c>
      <c r="J84" s="15" t="str">
        <f>VLOOKUP(A84,sinap!$A$2:$R$9000,2,FALSE)</f>
        <v>H</v>
      </c>
      <c r="K84" s="15" t="str">
        <f>VLOOKUP(A84,sinap!$A$2:$R$9000,3,FALSE)</f>
        <v>TERNERA</v>
      </c>
      <c r="L84" s="15" t="str">
        <f>VLOOKUP(A84,sinap!$A$2:$R$9000,4,FALSE)</f>
        <v>ANGUS ROJO</v>
      </c>
      <c r="M84" s="15" t="str">
        <f>VLOOKUP(A84,sinap!$A$2:$R$9000,5,FALSE)</f>
        <v>0 años 4 meses</v>
      </c>
      <c r="N84" s="15" t="str">
        <f>VLOOKUP(A84,sinap!$A$2:$R$9000,6,FALSE)</f>
        <v>30-08-2025</v>
      </c>
      <c r="O84" s="15" t="str">
        <f>VLOOKUP(A84,sinap!$A$2:$R$9000,7,FALSE)</f>
        <v>Vivo</v>
      </c>
      <c r="P84" s="15" t="str">
        <f>VLOOKUP(A84,sinap!$A$2:$R$9000,8,FALSE)</f>
        <v>11.1.01.0791</v>
      </c>
      <c r="Q84" s="15" t="str">
        <f>VLOOKUP(A84,sinap!$A$2:$R$9000,12,FALSE)</f>
        <v>11.1.01.0893</v>
      </c>
      <c r="R84" s="15" t="str">
        <f>VLOOKUP(A84,sinap!$A$2:$R$9000,16,FALSE)</f>
        <v>11.1.01.0893</v>
      </c>
      <c r="S84" s="15" t="str">
        <f>VLOOKUP(A84,sinap!$A$2:$Y$9000,20,FALSE)</f>
        <v>SI</v>
      </c>
      <c r="T84" s="16">
        <v>45984</v>
      </c>
    </row>
    <row r="85" spans="1:20" x14ac:dyDescent="0.25">
      <c r="A85" s="15">
        <v>26234173</v>
      </c>
      <c r="J85" s="15" t="str">
        <f>VLOOKUP(A85,sinap!$A$2:$R$9000,2,FALSE)</f>
        <v>H</v>
      </c>
      <c r="K85" s="15" t="str">
        <f>VLOOKUP(A85,sinap!$A$2:$R$9000,3,FALSE)</f>
        <v>TERNERA</v>
      </c>
      <c r="L85" s="15" t="str">
        <f>VLOOKUP(A85,sinap!$A$2:$R$9000,4,FALSE)</f>
        <v>ANGUS NEGRO</v>
      </c>
      <c r="M85" s="15" t="str">
        <f>VLOOKUP(A85,sinap!$A$2:$R$9000,5,FALSE)</f>
        <v>0 años 4 meses</v>
      </c>
      <c r="N85" s="15" t="str">
        <f>VLOOKUP(A85,sinap!$A$2:$R$9000,6,FALSE)</f>
        <v>30-08-2025</v>
      </c>
      <c r="O85" s="15" t="str">
        <f>VLOOKUP(A85,sinap!$A$2:$R$9000,7,FALSE)</f>
        <v>Vivo</v>
      </c>
      <c r="P85" s="15" t="str">
        <f>VLOOKUP(A85,sinap!$A$2:$R$9000,8,FALSE)</f>
        <v>11.1.01.0791</v>
      </c>
      <c r="Q85" s="15" t="str">
        <f>VLOOKUP(A85,sinap!$A$2:$R$9000,12,FALSE)</f>
        <v>11.1.01.0893</v>
      </c>
      <c r="R85" s="15" t="str">
        <f>VLOOKUP(A85,sinap!$A$2:$R$9000,16,FALSE)</f>
        <v>11.1.01.0893</v>
      </c>
      <c r="S85" s="15" t="str">
        <f>VLOOKUP(A85,sinap!$A$2:$Y$9000,20,FALSE)</f>
        <v>SI</v>
      </c>
      <c r="T85" s="16">
        <v>45984</v>
      </c>
    </row>
    <row r="86" spans="1:20" x14ac:dyDescent="0.25">
      <c r="A86" s="15">
        <v>26234174</v>
      </c>
      <c r="J86" s="15" t="str">
        <f>VLOOKUP(A86,sinap!$A$2:$R$9000,2,FALSE)</f>
        <v>M</v>
      </c>
      <c r="K86" s="15" t="str">
        <f>VLOOKUP(A86,sinap!$A$2:$R$9000,3,FALSE)</f>
        <v>TERNERO</v>
      </c>
      <c r="L86" s="15" t="str">
        <f>VLOOKUP(A86,sinap!$A$2:$R$9000,4,FALSE)</f>
        <v>ANGUS NEGRO</v>
      </c>
      <c r="M86" s="15" t="str">
        <f>VLOOKUP(A86,sinap!$A$2:$R$9000,5,FALSE)</f>
        <v>0 años 3 meses</v>
      </c>
      <c r="N86" s="15" t="str">
        <f>VLOOKUP(A86,sinap!$A$2:$R$9000,6,FALSE)</f>
        <v>30-09-2025</v>
      </c>
      <c r="O86" s="15" t="str">
        <f>VLOOKUP(A86,sinap!$A$2:$R$9000,7,FALSE)</f>
        <v>Vivo</v>
      </c>
      <c r="P86" s="15" t="str">
        <f>VLOOKUP(A86,sinap!$A$2:$R$9000,8,FALSE)</f>
        <v>11.1.01.0791</v>
      </c>
      <c r="Q86" s="15" t="str">
        <f>VLOOKUP(A86,sinap!$A$2:$R$9000,12,FALSE)</f>
        <v>11.1.01.0893</v>
      </c>
      <c r="R86" s="15" t="str">
        <f>VLOOKUP(A86,sinap!$A$2:$R$9000,16,FALSE)</f>
        <v>11.1.01.0893</v>
      </c>
      <c r="S86" s="15" t="str">
        <f>VLOOKUP(A86,sinap!$A$2:$Y$9000,20,FALSE)</f>
        <v>SI</v>
      </c>
      <c r="T86" s="16">
        <v>45984</v>
      </c>
    </row>
    <row r="87" spans="1:20" x14ac:dyDescent="0.25">
      <c r="A87" s="15">
        <v>26234175</v>
      </c>
      <c r="J87" s="15" t="str">
        <f>VLOOKUP(A87,sinap!$A$2:$R$9000,2,FALSE)</f>
        <v>M</v>
      </c>
      <c r="K87" s="15" t="str">
        <f>VLOOKUP(A87,sinap!$A$2:$R$9000,3,FALSE)</f>
        <v>TERNERO</v>
      </c>
      <c r="L87" s="15" t="str">
        <f>VLOOKUP(A87,sinap!$A$2:$R$9000,4,FALSE)</f>
        <v>ANGUS NEGRO</v>
      </c>
      <c r="M87" s="15" t="str">
        <f>VLOOKUP(A87,sinap!$A$2:$R$9000,5,FALSE)</f>
        <v>0 años 6 meses</v>
      </c>
      <c r="N87" s="15" t="str">
        <f>VLOOKUP(A87,sinap!$A$2:$R$9000,6,FALSE)</f>
        <v>16-07-2025</v>
      </c>
      <c r="O87" s="15" t="str">
        <f>VLOOKUP(A87,sinap!$A$2:$R$9000,7,FALSE)</f>
        <v>Vivo</v>
      </c>
      <c r="P87" s="15" t="str">
        <f>VLOOKUP(A87,sinap!$A$2:$R$9000,8,FALSE)</f>
        <v>11.1.01.0791</v>
      </c>
      <c r="Q87" s="15" t="str">
        <f>VLOOKUP(A87,sinap!$A$2:$R$9000,12,FALSE)</f>
        <v>11.1.01.0893</v>
      </c>
      <c r="R87" s="15" t="str">
        <f>VLOOKUP(A87,sinap!$A$2:$R$9000,16,FALSE)</f>
        <v>11.1.01.0893</v>
      </c>
      <c r="S87" s="15" t="str">
        <f>VLOOKUP(A87,sinap!$A$2:$Y$9000,20,FALSE)</f>
        <v>SI</v>
      </c>
      <c r="T87" s="16">
        <v>45984</v>
      </c>
    </row>
    <row r="88" spans="1:20" x14ac:dyDescent="0.25">
      <c r="A88" s="15">
        <v>26234176</v>
      </c>
      <c r="J88" s="15" t="str">
        <f>VLOOKUP(A88,sinap!$A$2:$R$9000,2,FALSE)</f>
        <v>H</v>
      </c>
      <c r="K88" s="15" t="str">
        <f>VLOOKUP(A88,sinap!$A$2:$R$9000,3,FALSE)</f>
        <v>TERNERA</v>
      </c>
      <c r="L88" s="15" t="str">
        <f>VLOOKUP(A88,sinap!$A$2:$R$9000,4,FALSE)</f>
        <v>ANGUS NEGRO</v>
      </c>
      <c r="M88" s="15" t="str">
        <f>VLOOKUP(A88,sinap!$A$2:$R$9000,5,FALSE)</f>
        <v>0 años 4 meses</v>
      </c>
      <c r="N88" s="15" t="str">
        <f>VLOOKUP(A88,sinap!$A$2:$R$9000,6,FALSE)</f>
        <v>30-08-2025</v>
      </c>
      <c r="O88" s="15" t="str">
        <f>VLOOKUP(A88,sinap!$A$2:$R$9000,7,FALSE)</f>
        <v>Vivo</v>
      </c>
      <c r="P88" s="15" t="str">
        <f>VLOOKUP(A88,sinap!$A$2:$R$9000,8,FALSE)</f>
        <v>11.1.01.0791</v>
      </c>
      <c r="Q88" s="15" t="str">
        <f>VLOOKUP(A88,sinap!$A$2:$R$9000,12,FALSE)</f>
        <v>11.1.01.0893</v>
      </c>
      <c r="R88" s="15" t="str">
        <f>VLOOKUP(A88,sinap!$A$2:$R$9000,16,FALSE)</f>
        <v>11.1.01.0893</v>
      </c>
      <c r="S88" s="15" t="str">
        <f>VLOOKUP(A88,sinap!$A$2:$Y$9000,20,FALSE)</f>
        <v>SI</v>
      </c>
      <c r="T88" s="16">
        <v>45984</v>
      </c>
    </row>
    <row r="89" spans="1:20" x14ac:dyDescent="0.25">
      <c r="A89" s="15">
        <v>26234177</v>
      </c>
      <c r="J89" s="15" t="str">
        <f>VLOOKUP(A89,sinap!$A$2:$R$9000,2,FALSE)</f>
        <v>M</v>
      </c>
      <c r="K89" s="15" t="str">
        <f>VLOOKUP(A89,sinap!$A$2:$R$9000,3,FALSE)</f>
        <v>TERNERO</v>
      </c>
      <c r="L89" s="15" t="str">
        <f>VLOOKUP(A89,sinap!$A$2:$R$9000,4,FALSE)</f>
        <v>ANGUS NEGRO</v>
      </c>
      <c r="M89" s="15" t="str">
        <f>VLOOKUP(A89,sinap!$A$2:$R$9000,5,FALSE)</f>
        <v>0 años 5 meses</v>
      </c>
      <c r="N89" s="15" t="str">
        <f>VLOOKUP(A89,sinap!$A$2:$R$9000,6,FALSE)</f>
        <v>30-07-2025</v>
      </c>
      <c r="O89" s="15" t="str">
        <f>VLOOKUP(A89,sinap!$A$2:$R$9000,7,FALSE)</f>
        <v>Vivo</v>
      </c>
      <c r="P89" s="15" t="str">
        <f>VLOOKUP(A89,sinap!$A$2:$R$9000,8,FALSE)</f>
        <v>11.1.01.0791</v>
      </c>
      <c r="Q89" s="15" t="str">
        <f>VLOOKUP(A89,sinap!$A$2:$R$9000,12,FALSE)</f>
        <v>11.1.01.0893</v>
      </c>
      <c r="R89" s="15" t="str">
        <f>VLOOKUP(A89,sinap!$A$2:$R$9000,16,FALSE)</f>
        <v>11.1.01.0893</v>
      </c>
      <c r="S89" s="15" t="str">
        <f>VLOOKUP(A89,sinap!$A$2:$Y$9000,20,FALSE)</f>
        <v>SI</v>
      </c>
      <c r="T89" s="16">
        <v>45984</v>
      </c>
    </row>
    <row r="90" spans="1:20" x14ac:dyDescent="0.25">
      <c r="A90" s="15">
        <v>26234178</v>
      </c>
      <c r="J90" s="15" t="str">
        <f>VLOOKUP(A90,sinap!$A$2:$R$9000,2,FALSE)</f>
        <v>H</v>
      </c>
      <c r="K90" s="15" t="str">
        <f>VLOOKUP(A90,sinap!$A$2:$R$9000,3,FALSE)</f>
        <v>TERNERA</v>
      </c>
      <c r="L90" s="15" t="str">
        <f>VLOOKUP(A90,sinap!$A$2:$R$9000,4,FALSE)</f>
        <v>ANGUS NEGRO</v>
      </c>
      <c r="M90" s="15" t="str">
        <f>VLOOKUP(A90,sinap!$A$2:$R$9000,5,FALSE)</f>
        <v>0 años 4 meses</v>
      </c>
      <c r="N90" s="15" t="str">
        <f>VLOOKUP(A90,sinap!$A$2:$R$9000,6,FALSE)</f>
        <v>05-09-2025</v>
      </c>
      <c r="O90" s="15" t="str">
        <f>VLOOKUP(A90,sinap!$A$2:$R$9000,7,FALSE)</f>
        <v>Vivo</v>
      </c>
      <c r="P90" s="15" t="str">
        <f>VLOOKUP(A90,sinap!$A$2:$R$9000,8,FALSE)</f>
        <v>11.1.01.0791</v>
      </c>
      <c r="Q90" s="15" t="str">
        <f>VLOOKUP(A90,sinap!$A$2:$R$9000,12,FALSE)</f>
        <v>11.1.01.0893</v>
      </c>
      <c r="R90" s="15" t="str">
        <f>VLOOKUP(A90,sinap!$A$2:$R$9000,16,FALSE)</f>
        <v>11.1.01.0893</v>
      </c>
      <c r="S90" s="15" t="str">
        <f>VLOOKUP(A90,sinap!$A$2:$Y$9000,20,FALSE)</f>
        <v>SI</v>
      </c>
      <c r="T90" s="16">
        <v>45984</v>
      </c>
    </row>
    <row r="91" spans="1:20" x14ac:dyDescent="0.25">
      <c r="A91" s="15">
        <v>26234179</v>
      </c>
      <c r="J91" s="15" t="str">
        <f>VLOOKUP(A91,sinap!$A$2:$R$9000,2,FALSE)</f>
        <v>H</v>
      </c>
      <c r="K91" s="15" t="str">
        <f>VLOOKUP(A91,sinap!$A$2:$R$9000,3,FALSE)</f>
        <v>TERNERA</v>
      </c>
      <c r="L91" s="15" t="str">
        <f>VLOOKUP(A91,sinap!$A$2:$R$9000,4,FALSE)</f>
        <v>ANGUS NEGRO</v>
      </c>
      <c r="M91" s="15" t="str">
        <f>VLOOKUP(A91,sinap!$A$2:$R$9000,5,FALSE)</f>
        <v>0 años 4 meses</v>
      </c>
      <c r="N91" s="15" t="str">
        <f>VLOOKUP(A91,sinap!$A$2:$R$9000,6,FALSE)</f>
        <v>05-09-2025</v>
      </c>
      <c r="O91" s="15" t="str">
        <f>VLOOKUP(A91,sinap!$A$2:$R$9000,7,FALSE)</f>
        <v>Vivo</v>
      </c>
      <c r="P91" s="15" t="str">
        <f>VLOOKUP(A91,sinap!$A$2:$R$9000,8,FALSE)</f>
        <v>11.1.01.0791</v>
      </c>
      <c r="Q91" s="15" t="str">
        <f>VLOOKUP(A91,sinap!$A$2:$R$9000,12,FALSE)</f>
        <v>11.1.01.0893</v>
      </c>
      <c r="R91" s="15" t="str">
        <f>VLOOKUP(A91,sinap!$A$2:$R$9000,16,FALSE)</f>
        <v>11.1.01.0893</v>
      </c>
      <c r="S91" s="15" t="str">
        <f>VLOOKUP(A91,sinap!$A$2:$Y$9000,20,FALSE)</f>
        <v>SI</v>
      </c>
      <c r="T91" s="16">
        <v>45984</v>
      </c>
    </row>
    <row r="92" spans="1:20" x14ac:dyDescent="0.25">
      <c r="A92" s="15">
        <v>26234180</v>
      </c>
      <c r="J92" s="15" t="str">
        <f>VLOOKUP(A92,sinap!$A$2:$R$9000,2,FALSE)</f>
        <v>M</v>
      </c>
      <c r="K92" s="15" t="str">
        <f>VLOOKUP(A92,sinap!$A$2:$R$9000,3,FALSE)</f>
        <v>TERNERO</v>
      </c>
      <c r="L92" s="15" t="str">
        <f>VLOOKUP(A92,sinap!$A$2:$R$9000,4,FALSE)</f>
        <v>ANGUS ROJO</v>
      </c>
      <c r="M92" s="15" t="str">
        <f>VLOOKUP(A92,sinap!$A$2:$R$9000,5,FALSE)</f>
        <v>0 años 4 meses</v>
      </c>
      <c r="N92" s="15" t="str">
        <f>VLOOKUP(A92,sinap!$A$2:$R$9000,6,FALSE)</f>
        <v>05-09-2025</v>
      </c>
      <c r="O92" s="15" t="str">
        <f>VLOOKUP(A92,sinap!$A$2:$R$9000,7,FALSE)</f>
        <v>Vivo</v>
      </c>
      <c r="P92" s="15" t="str">
        <f>VLOOKUP(A92,sinap!$A$2:$R$9000,8,FALSE)</f>
        <v>11.1.01.0791</v>
      </c>
      <c r="Q92" s="15" t="str">
        <f>VLOOKUP(A92,sinap!$A$2:$R$9000,12,FALSE)</f>
        <v>11.1.01.0893</v>
      </c>
      <c r="R92" s="15" t="str">
        <f>VLOOKUP(A92,sinap!$A$2:$R$9000,16,FALSE)</f>
        <v>11.1.01.0893</v>
      </c>
      <c r="S92" s="15" t="str">
        <f>VLOOKUP(A92,sinap!$A$2:$Y$9000,20,FALSE)</f>
        <v>SI</v>
      </c>
      <c r="T92" s="16">
        <v>45984</v>
      </c>
    </row>
    <row r="93" spans="1:20" x14ac:dyDescent="0.25">
      <c r="A93" s="15">
        <v>26234181</v>
      </c>
      <c r="J93" s="15" t="str">
        <f>VLOOKUP(A93,sinap!$A$2:$R$9000,2,FALSE)</f>
        <v>M</v>
      </c>
      <c r="K93" s="15" t="str">
        <f>VLOOKUP(A93,sinap!$A$2:$R$9000,3,FALSE)</f>
        <v>TERNERO</v>
      </c>
      <c r="L93" s="15" t="str">
        <f>VLOOKUP(A93,sinap!$A$2:$R$9000,4,FALSE)</f>
        <v>ANGUS NEGRO</v>
      </c>
      <c r="M93" s="15" t="str">
        <f>VLOOKUP(A93,sinap!$A$2:$R$9000,5,FALSE)</f>
        <v>0 años 4 meses</v>
      </c>
      <c r="N93" s="15" t="str">
        <f>VLOOKUP(A93,sinap!$A$2:$R$9000,6,FALSE)</f>
        <v>05-09-2025</v>
      </c>
      <c r="O93" s="15" t="str">
        <f>VLOOKUP(A93,sinap!$A$2:$R$9000,7,FALSE)</f>
        <v>Vivo</v>
      </c>
      <c r="P93" s="15" t="str">
        <f>VLOOKUP(A93,sinap!$A$2:$R$9000,8,FALSE)</f>
        <v>11.1.01.0791</v>
      </c>
      <c r="Q93" s="15" t="str">
        <f>VLOOKUP(A93,sinap!$A$2:$R$9000,12,FALSE)</f>
        <v>11.1.01.0893</v>
      </c>
      <c r="R93" s="15" t="str">
        <f>VLOOKUP(A93,sinap!$A$2:$R$9000,16,FALSE)</f>
        <v>11.1.01.0893</v>
      </c>
      <c r="S93" s="15" t="str">
        <f>VLOOKUP(A93,sinap!$A$2:$Y$9000,20,FALSE)</f>
        <v>SI</v>
      </c>
      <c r="T93" s="16">
        <v>45984</v>
      </c>
    </row>
    <row r="94" spans="1:20" x14ac:dyDescent="0.25">
      <c r="A94" s="15">
        <v>26234182</v>
      </c>
      <c r="J94" s="15" t="str">
        <f>VLOOKUP(A94,sinap!$A$2:$R$9000,2,FALSE)</f>
        <v>M</v>
      </c>
      <c r="K94" s="15" t="str">
        <f>VLOOKUP(A94,sinap!$A$2:$R$9000,3,FALSE)</f>
        <v>TERNERO</v>
      </c>
      <c r="L94" s="15" t="str">
        <f>VLOOKUP(A94,sinap!$A$2:$R$9000,4,FALSE)</f>
        <v>ANGUS NEGRO</v>
      </c>
      <c r="M94" s="15" t="str">
        <f>VLOOKUP(A94,sinap!$A$2:$R$9000,5,FALSE)</f>
        <v>0 años 5 meses</v>
      </c>
      <c r="N94" s="15" t="str">
        <f>VLOOKUP(A94,sinap!$A$2:$R$9000,6,FALSE)</f>
        <v>30-07-2025</v>
      </c>
      <c r="O94" s="15" t="str">
        <f>VLOOKUP(A94,sinap!$A$2:$R$9000,7,FALSE)</f>
        <v>Vivo</v>
      </c>
      <c r="P94" s="15" t="str">
        <f>VLOOKUP(A94,sinap!$A$2:$R$9000,8,FALSE)</f>
        <v>11.1.01.0791</v>
      </c>
      <c r="Q94" s="15" t="str">
        <f>VLOOKUP(A94,sinap!$A$2:$R$9000,12,FALSE)</f>
        <v>11.1.01.0893</v>
      </c>
      <c r="R94" s="15" t="str">
        <f>VLOOKUP(A94,sinap!$A$2:$R$9000,16,FALSE)</f>
        <v>11.1.01.0893</v>
      </c>
      <c r="S94" s="15" t="str">
        <f>VLOOKUP(A94,sinap!$A$2:$Y$9000,20,FALSE)</f>
        <v>SI</v>
      </c>
      <c r="T94" s="16">
        <v>45984</v>
      </c>
    </row>
    <row r="95" spans="1:20" x14ac:dyDescent="0.25">
      <c r="A95" s="15">
        <v>26234183</v>
      </c>
      <c r="J95" s="15" t="str">
        <f>VLOOKUP(A95,sinap!$A$2:$R$9000,2,FALSE)</f>
        <v>H</v>
      </c>
      <c r="K95" s="15" t="str">
        <f>VLOOKUP(A95,sinap!$A$2:$R$9000,3,FALSE)</f>
        <v>TERNERA</v>
      </c>
      <c r="L95" s="15" t="str">
        <f>VLOOKUP(A95,sinap!$A$2:$R$9000,4,FALSE)</f>
        <v>ANGUS NEGRO</v>
      </c>
      <c r="M95" s="15" t="str">
        <f>VLOOKUP(A95,sinap!$A$2:$R$9000,5,FALSE)</f>
        <v>0 años 3 meses</v>
      </c>
      <c r="N95" s="15" t="str">
        <f>VLOOKUP(A95,sinap!$A$2:$R$9000,6,FALSE)</f>
        <v>30-09-2025</v>
      </c>
      <c r="O95" s="15" t="str">
        <f>VLOOKUP(A95,sinap!$A$2:$R$9000,7,FALSE)</f>
        <v>Vivo</v>
      </c>
      <c r="P95" s="15" t="str">
        <f>VLOOKUP(A95,sinap!$A$2:$R$9000,8,FALSE)</f>
        <v>11.1.01.0791</v>
      </c>
      <c r="Q95" s="15" t="str">
        <f>VLOOKUP(A95,sinap!$A$2:$R$9000,12,FALSE)</f>
        <v>11.1.01.0893</v>
      </c>
      <c r="R95" s="15" t="str">
        <f>VLOOKUP(A95,sinap!$A$2:$R$9000,16,FALSE)</f>
        <v>11.1.01.0893</v>
      </c>
      <c r="S95" s="15" t="str">
        <f>VLOOKUP(A95,sinap!$A$2:$Y$9000,20,FALSE)</f>
        <v>SI</v>
      </c>
      <c r="T95" s="16">
        <v>45984</v>
      </c>
    </row>
    <row r="96" spans="1:20" x14ac:dyDescent="0.25">
      <c r="A96" s="15">
        <v>26234184</v>
      </c>
      <c r="J96" s="15" t="str">
        <f>VLOOKUP(A96,sinap!$A$2:$R$9000,2,FALSE)</f>
        <v>M</v>
      </c>
      <c r="K96" s="15" t="str">
        <f>VLOOKUP(A96,sinap!$A$2:$R$9000,3,FALSE)</f>
        <v>TERNERO</v>
      </c>
      <c r="L96" s="15" t="str">
        <f>VLOOKUP(A96,sinap!$A$2:$R$9000,4,FALSE)</f>
        <v>ANGUS NEGRO</v>
      </c>
      <c r="M96" s="15" t="str">
        <f>VLOOKUP(A96,sinap!$A$2:$R$9000,5,FALSE)</f>
        <v>0 años 3 meses</v>
      </c>
      <c r="N96" s="15" t="str">
        <f>VLOOKUP(A96,sinap!$A$2:$R$9000,6,FALSE)</f>
        <v>05-10-2025</v>
      </c>
      <c r="O96" s="15" t="str">
        <f>VLOOKUP(A96,sinap!$A$2:$R$9000,7,FALSE)</f>
        <v>Vivo</v>
      </c>
      <c r="P96" s="15" t="str">
        <f>VLOOKUP(A96,sinap!$A$2:$R$9000,8,FALSE)</f>
        <v>11.1.01.0791</v>
      </c>
      <c r="Q96" s="15" t="str">
        <f>VLOOKUP(A96,sinap!$A$2:$R$9000,12,FALSE)</f>
        <v>11.1.01.0893</v>
      </c>
      <c r="R96" s="15" t="str">
        <f>VLOOKUP(A96,sinap!$A$2:$R$9000,16,FALSE)</f>
        <v>11.1.01.0893</v>
      </c>
      <c r="S96" s="15" t="str">
        <f>VLOOKUP(A96,sinap!$A$2:$Y$9000,20,FALSE)</f>
        <v>SI</v>
      </c>
      <c r="T96" s="16">
        <v>45984</v>
      </c>
    </row>
    <row r="97" spans="1:20" x14ac:dyDescent="0.25">
      <c r="A97" s="15">
        <v>26234185</v>
      </c>
      <c r="J97" s="15" t="str">
        <f>VLOOKUP(A97,sinap!$A$2:$R$9000,2,FALSE)</f>
        <v>M</v>
      </c>
      <c r="K97" s="15" t="str">
        <f>VLOOKUP(A97,sinap!$A$2:$R$9000,3,FALSE)</f>
        <v>TERNERO</v>
      </c>
      <c r="L97" s="15" t="str">
        <f>VLOOKUP(A97,sinap!$A$2:$R$9000,4,FALSE)</f>
        <v>HEREFORD</v>
      </c>
      <c r="M97" s="15" t="str">
        <f>VLOOKUP(A97,sinap!$A$2:$R$9000,5,FALSE)</f>
        <v>0 años 3 meses</v>
      </c>
      <c r="N97" s="15" t="str">
        <f>VLOOKUP(A97,sinap!$A$2:$R$9000,6,FALSE)</f>
        <v>05-10-2025</v>
      </c>
      <c r="O97" s="15" t="str">
        <f>VLOOKUP(A97,sinap!$A$2:$R$9000,7,FALSE)</f>
        <v>Vivo</v>
      </c>
      <c r="P97" s="15" t="str">
        <f>VLOOKUP(A97,sinap!$A$2:$R$9000,8,FALSE)</f>
        <v>11.1.01.0791</v>
      </c>
      <c r="Q97" s="15" t="str">
        <f>VLOOKUP(A97,sinap!$A$2:$R$9000,12,FALSE)</f>
        <v>11.1.01.0893</v>
      </c>
      <c r="R97" s="15" t="str">
        <f>VLOOKUP(A97,sinap!$A$2:$R$9000,16,FALSE)</f>
        <v>11.1.01.0893</v>
      </c>
      <c r="S97" s="15" t="str">
        <f>VLOOKUP(A97,sinap!$A$2:$Y$9000,20,FALSE)</f>
        <v>SI</v>
      </c>
      <c r="T97" s="16">
        <v>45984</v>
      </c>
    </row>
    <row r="98" spans="1:20" x14ac:dyDescent="0.25">
      <c r="A98" s="15">
        <v>26234186</v>
      </c>
      <c r="J98" s="15" t="str">
        <f>VLOOKUP(A98,sinap!$A$2:$R$9000,2,FALSE)</f>
        <v>M</v>
      </c>
      <c r="K98" s="15" t="str">
        <f>VLOOKUP(A98,sinap!$A$2:$R$9000,3,FALSE)</f>
        <v>TERNERO</v>
      </c>
      <c r="L98" s="15" t="str">
        <f>VLOOKUP(A98,sinap!$A$2:$R$9000,4,FALSE)</f>
        <v>ANGUS NEGRO</v>
      </c>
      <c r="M98" s="15" t="str">
        <f>VLOOKUP(A98,sinap!$A$2:$R$9000,5,FALSE)</f>
        <v>0 años 3 meses</v>
      </c>
      <c r="N98" s="15" t="str">
        <f>VLOOKUP(A98,sinap!$A$2:$R$9000,6,FALSE)</f>
        <v>05-10-2025</v>
      </c>
      <c r="O98" s="15" t="str">
        <f>VLOOKUP(A98,sinap!$A$2:$R$9000,7,FALSE)</f>
        <v>Vivo</v>
      </c>
      <c r="P98" s="15" t="str">
        <f>VLOOKUP(A98,sinap!$A$2:$R$9000,8,FALSE)</f>
        <v>11.1.01.0791</v>
      </c>
      <c r="Q98" s="15" t="str">
        <f>VLOOKUP(A98,sinap!$A$2:$R$9000,12,FALSE)</f>
        <v>11.1.01.0893</v>
      </c>
      <c r="R98" s="15" t="str">
        <f>VLOOKUP(A98,sinap!$A$2:$R$9000,16,FALSE)</f>
        <v>11.1.01.0893</v>
      </c>
      <c r="S98" s="15" t="str">
        <f>VLOOKUP(A98,sinap!$A$2:$Y$9000,20,FALSE)</f>
        <v>SI</v>
      </c>
      <c r="T98" s="16">
        <v>45984</v>
      </c>
    </row>
    <row r="99" spans="1:20" x14ac:dyDescent="0.25">
      <c r="A99" s="15">
        <v>26234187</v>
      </c>
      <c r="J99" s="15" t="str">
        <f>VLOOKUP(A99,sinap!$A$2:$R$9000,2,FALSE)</f>
        <v>M</v>
      </c>
      <c r="K99" s="15" t="str">
        <f>VLOOKUP(A99,sinap!$A$2:$R$9000,3,FALSE)</f>
        <v>TERNERO</v>
      </c>
      <c r="L99" s="15" t="str">
        <f>VLOOKUP(A99,sinap!$A$2:$R$9000,4,FALSE)</f>
        <v>ANGUS NEGRO</v>
      </c>
      <c r="M99" s="15" t="str">
        <f>VLOOKUP(A99,sinap!$A$2:$R$9000,5,FALSE)</f>
        <v>0 años 3 meses</v>
      </c>
      <c r="N99" s="15" t="str">
        <f>VLOOKUP(A99,sinap!$A$2:$R$9000,6,FALSE)</f>
        <v>30-09-2025</v>
      </c>
      <c r="O99" s="15" t="str">
        <f>VLOOKUP(A99,sinap!$A$2:$R$9000,7,FALSE)</f>
        <v>Vivo</v>
      </c>
      <c r="P99" s="15" t="str">
        <f>VLOOKUP(A99,sinap!$A$2:$R$9000,8,FALSE)</f>
        <v>11.1.01.0791</v>
      </c>
      <c r="Q99" s="15" t="str">
        <f>VLOOKUP(A99,sinap!$A$2:$R$9000,12,FALSE)</f>
        <v>11.1.01.0893</v>
      </c>
      <c r="R99" s="15" t="str">
        <f>VLOOKUP(A99,sinap!$A$2:$R$9000,16,FALSE)</f>
        <v>11.1.01.0893</v>
      </c>
      <c r="S99" s="15" t="str">
        <f>VLOOKUP(A99,sinap!$A$2:$Y$9000,20,FALSE)</f>
        <v>SI</v>
      </c>
      <c r="T99" s="16">
        <v>45984</v>
      </c>
    </row>
    <row r="100" spans="1:20" x14ac:dyDescent="0.25">
      <c r="A100" s="15">
        <v>26234188</v>
      </c>
      <c r="J100" s="15" t="str">
        <f>VLOOKUP(A100,sinap!$A$2:$R$9000,2,FALSE)</f>
        <v>M</v>
      </c>
      <c r="K100" s="15" t="str">
        <f>VLOOKUP(A100,sinap!$A$2:$R$9000,3,FALSE)</f>
        <v>TERNERO</v>
      </c>
      <c r="L100" s="15" t="str">
        <f>VLOOKUP(A100,sinap!$A$2:$R$9000,4,FALSE)</f>
        <v>ANGUS NEGRO</v>
      </c>
      <c r="M100" s="15" t="str">
        <f>VLOOKUP(A100,sinap!$A$2:$R$9000,5,FALSE)</f>
        <v>0 años 5 meses</v>
      </c>
      <c r="N100" s="15" t="str">
        <f>VLOOKUP(A100,sinap!$A$2:$R$9000,6,FALSE)</f>
        <v>30-07-2025</v>
      </c>
      <c r="O100" s="15" t="str">
        <f>VLOOKUP(A100,sinap!$A$2:$R$9000,7,FALSE)</f>
        <v>Vivo</v>
      </c>
      <c r="P100" s="15" t="str">
        <f>VLOOKUP(A100,sinap!$A$2:$R$9000,8,FALSE)</f>
        <v>11.1.01.0791</v>
      </c>
      <c r="Q100" s="15" t="str">
        <f>VLOOKUP(A100,sinap!$A$2:$R$9000,12,FALSE)</f>
        <v>11.1.01.0893</v>
      </c>
      <c r="R100" s="15" t="str">
        <f>VLOOKUP(A100,sinap!$A$2:$R$9000,16,FALSE)</f>
        <v>11.1.01.0893</v>
      </c>
      <c r="S100" s="15" t="str">
        <f>VLOOKUP(A100,sinap!$A$2:$Y$9000,20,FALSE)</f>
        <v>SI</v>
      </c>
      <c r="T100" s="16">
        <v>45984</v>
      </c>
    </row>
    <row r="101" spans="1:20" x14ac:dyDescent="0.25">
      <c r="A101" s="15">
        <v>26234189</v>
      </c>
      <c r="J101" s="15" t="str">
        <f>VLOOKUP(A101,sinap!$A$2:$R$9000,2,FALSE)</f>
        <v>H</v>
      </c>
      <c r="K101" s="15" t="str">
        <f>VLOOKUP(A101,sinap!$A$2:$R$9000,3,FALSE)</f>
        <v>TERNERA</v>
      </c>
      <c r="L101" s="15" t="str">
        <f>VLOOKUP(A101,sinap!$A$2:$R$9000,4,FALSE)</f>
        <v>ANGUS NEGRO</v>
      </c>
      <c r="M101" s="15" t="str">
        <f>VLOOKUP(A101,sinap!$A$2:$R$9000,5,FALSE)</f>
        <v>0 años 3 meses</v>
      </c>
      <c r="N101" s="15" t="str">
        <f>VLOOKUP(A101,sinap!$A$2:$R$9000,6,FALSE)</f>
        <v>05-10-2025</v>
      </c>
      <c r="O101" s="15" t="str">
        <f>VLOOKUP(A101,sinap!$A$2:$R$9000,7,FALSE)</f>
        <v>Vivo</v>
      </c>
      <c r="P101" s="15" t="str">
        <f>VLOOKUP(A101,sinap!$A$2:$R$9000,8,FALSE)</f>
        <v>11.1.01.0791</v>
      </c>
      <c r="Q101" s="15" t="str">
        <f>VLOOKUP(A101,sinap!$A$2:$R$9000,12,FALSE)</f>
        <v>11.1.01.0893</v>
      </c>
      <c r="R101" s="15" t="str">
        <f>VLOOKUP(A101,sinap!$A$2:$R$9000,16,FALSE)</f>
        <v>11.1.01.0893</v>
      </c>
      <c r="S101" s="15" t="str">
        <f>VLOOKUP(A101,sinap!$A$2:$Y$9000,20,FALSE)</f>
        <v>SI</v>
      </c>
      <c r="T101" s="16">
        <v>45984</v>
      </c>
    </row>
    <row r="102" spans="1:20" x14ac:dyDescent="0.25">
      <c r="A102" s="15">
        <v>26234190</v>
      </c>
      <c r="J102" s="15" t="str">
        <f>VLOOKUP(A102,sinap!$A$2:$R$9000,2,FALSE)</f>
        <v>H</v>
      </c>
      <c r="K102" s="15" t="str">
        <f>VLOOKUP(A102,sinap!$A$2:$R$9000,3,FALSE)</f>
        <v>TERNERA</v>
      </c>
      <c r="L102" s="15" t="str">
        <f>VLOOKUP(A102,sinap!$A$2:$R$9000,4,FALSE)</f>
        <v>ANGUS NEGRO</v>
      </c>
      <c r="M102" s="15" t="str">
        <f>VLOOKUP(A102,sinap!$A$2:$R$9000,5,FALSE)</f>
        <v>0 años 3 meses</v>
      </c>
      <c r="N102" s="15" t="str">
        <f>VLOOKUP(A102,sinap!$A$2:$R$9000,6,FALSE)</f>
        <v>30-09-2025</v>
      </c>
      <c r="O102" s="15" t="str">
        <f>VLOOKUP(A102,sinap!$A$2:$R$9000,7,FALSE)</f>
        <v>Vivo</v>
      </c>
      <c r="P102" s="15" t="str">
        <f>VLOOKUP(A102,sinap!$A$2:$R$9000,8,FALSE)</f>
        <v>11.1.01.0791</v>
      </c>
      <c r="Q102" s="15" t="str">
        <f>VLOOKUP(A102,sinap!$A$2:$R$9000,12,FALSE)</f>
        <v>11.1.01.0893</v>
      </c>
      <c r="R102" s="15" t="str">
        <f>VLOOKUP(A102,sinap!$A$2:$R$9000,16,FALSE)</f>
        <v>11.1.01.0893</v>
      </c>
      <c r="S102" s="15" t="str">
        <f>VLOOKUP(A102,sinap!$A$2:$Y$9000,20,FALSE)</f>
        <v>SI</v>
      </c>
      <c r="T102" s="16">
        <v>45984</v>
      </c>
    </row>
    <row r="103" spans="1:20" x14ac:dyDescent="0.25">
      <c r="A103" s="15">
        <v>26234191</v>
      </c>
      <c r="J103" s="15" t="str">
        <f>VLOOKUP(A103,sinap!$A$2:$R$9000,2,FALSE)</f>
        <v>H</v>
      </c>
      <c r="K103" s="15" t="str">
        <f>VLOOKUP(A103,sinap!$A$2:$R$9000,3,FALSE)</f>
        <v>TERNERA</v>
      </c>
      <c r="L103" s="15" t="str">
        <f>VLOOKUP(A103,sinap!$A$2:$R$9000,4,FALSE)</f>
        <v>ANGUS ROJO</v>
      </c>
      <c r="M103" s="15" t="str">
        <f>VLOOKUP(A103,sinap!$A$2:$R$9000,5,FALSE)</f>
        <v>0 años 3 meses</v>
      </c>
      <c r="N103" s="15" t="str">
        <f>VLOOKUP(A103,sinap!$A$2:$R$9000,6,FALSE)</f>
        <v>30-09-2025</v>
      </c>
      <c r="O103" s="15" t="str">
        <f>VLOOKUP(A103,sinap!$A$2:$R$9000,7,FALSE)</f>
        <v>Vivo</v>
      </c>
      <c r="P103" s="15" t="str">
        <f>VLOOKUP(A103,sinap!$A$2:$R$9000,8,FALSE)</f>
        <v>11.1.01.0791</v>
      </c>
      <c r="Q103" s="15" t="str">
        <f>VLOOKUP(A103,sinap!$A$2:$R$9000,12,FALSE)</f>
        <v>11.1.01.0893</v>
      </c>
      <c r="R103" s="15" t="str">
        <f>VLOOKUP(A103,sinap!$A$2:$R$9000,16,FALSE)</f>
        <v>11.1.01.0893</v>
      </c>
      <c r="S103" s="15" t="str">
        <f>VLOOKUP(A103,sinap!$A$2:$Y$9000,20,FALSE)</f>
        <v>SI</v>
      </c>
      <c r="T103" s="16">
        <v>45984</v>
      </c>
    </row>
    <row r="104" spans="1:20" x14ac:dyDescent="0.25">
      <c r="A104" s="15">
        <v>26234192</v>
      </c>
      <c r="J104" s="15" t="str">
        <f>VLOOKUP(A104,sinap!$A$2:$R$9000,2,FALSE)</f>
        <v>M</v>
      </c>
      <c r="K104" s="15" t="str">
        <f>VLOOKUP(A104,sinap!$A$2:$R$9000,3,FALSE)</f>
        <v>TERNERO</v>
      </c>
      <c r="L104" s="15" t="str">
        <f>VLOOKUP(A104,sinap!$A$2:$R$9000,4,FALSE)</f>
        <v>ANGUS NEGRO</v>
      </c>
      <c r="M104" s="15" t="str">
        <f>VLOOKUP(A104,sinap!$A$2:$R$9000,5,FALSE)</f>
        <v>0 años 3 meses</v>
      </c>
      <c r="N104" s="15" t="str">
        <f>VLOOKUP(A104,sinap!$A$2:$R$9000,6,FALSE)</f>
        <v>30-09-2025</v>
      </c>
      <c r="O104" s="15" t="str">
        <f>VLOOKUP(A104,sinap!$A$2:$R$9000,7,FALSE)</f>
        <v>Vivo</v>
      </c>
      <c r="P104" s="15" t="str">
        <f>VLOOKUP(A104,sinap!$A$2:$R$9000,8,FALSE)</f>
        <v>11.1.01.0791</v>
      </c>
      <c r="Q104" s="15" t="str">
        <f>VLOOKUP(A104,sinap!$A$2:$R$9000,12,FALSE)</f>
        <v>11.1.01.0893</v>
      </c>
      <c r="R104" s="15" t="str">
        <f>VLOOKUP(A104,sinap!$A$2:$R$9000,16,FALSE)</f>
        <v>11.1.01.0893</v>
      </c>
      <c r="S104" s="15" t="str">
        <f>VLOOKUP(A104,sinap!$A$2:$Y$9000,20,FALSE)</f>
        <v>SI</v>
      </c>
      <c r="T104" s="16">
        <v>45984</v>
      </c>
    </row>
    <row r="105" spans="1:20" x14ac:dyDescent="0.25">
      <c r="A105" s="15">
        <v>26234193</v>
      </c>
      <c r="J105" s="15" t="str">
        <f>VLOOKUP(A105,sinap!$A$2:$R$9000,2,FALSE)</f>
        <v>M</v>
      </c>
      <c r="K105" s="15" t="str">
        <f>VLOOKUP(A105,sinap!$A$2:$R$9000,3,FALSE)</f>
        <v>TERNERO</v>
      </c>
      <c r="L105" s="15" t="str">
        <f>VLOOKUP(A105,sinap!$A$2:$R$9000,4,FALSE)</f>
        <v>ANGUS NEGRO</v>
      </c>
      <c r="M105" s="15" t="str">
        <f>VLOOKUP(A105,sinap!$A$2:$R$9000,5,FALSE)</f>
        <v>0 años 3 meses</v>
      </c>
      <c r="N105" s="15" t="str">
        <f>VLOOKUP(A105,sinap!$A$2:$R$9000,6,FALSE)</f>
        <v>30-09-2025</v>
      </c>
      <c r="O105" s="15" t="str">
        <f>VLOOKUP(A105,sinap!$A$2:$R$9000,7,FALSE)</f>
        <v>Vivo</v>
      </c>
      <c r="P105" s="15" t="str">
        <f>VLOOKUP(A105,sinap!$A$2:$R$9000,8,FALSE)</f>
        <v>11.1.01.0791</v>
      </c>
      <c r="Q105" s="15" t="str">
        <f>VLOOKUP(A105,sinap!$A$2:$R$9000,12,FALSE)</f>
        <v>11.1.01.0893</v>
      </c>
      <c r="R105" s="15" t="str">
        <f>VLOOKUP(A105,sinap!$A$2:$R$9000,16,FALSE)</f>
        <v>11.1.01.0893</v>
      </c>
      <c r="S105" s="15" t="str">
        <f>VLOOKUP(A105,sinap!$A$2:$Y$9000,20,FALSE)</f>
        <v>SI</v>
      </c>
      <c r="T105" s="16">
        <v>45984</v>
      </c>
    </row>
    <row r="106" spans="1:20" x14ac:dyDescent="0.25">
      <c r="A106" s="15">
        <v>26234194</v>
      </c>
      <c r="J106" s="15" t="str">
        <f>VLOOKUP(A106,sinap!$A$2:$R$9000,2,FALSE)</f>
        <v>M</v>
      </c>
      <c r="K106" s="15" t="str">
        <f>VLOOKUP(A106,sinap!$A$2:$R$9000,3,FALSE)</f>
        <v>TERNERO</v>
      </c>
      <c r="L106" s="15" t="str">
        <f>VLOOKUP(A106,sinap!$A$2:$R$9000,4,FALSE)</f>
        <v>ANGUS NEGRO</v>
      </c>
      <c r="M106" s="15" t="str">
        <f>VLOOKUP(A106,sinap!$A$2:$R$9000,5,FALSE)</f>
        <v>0 años 3 meses</v>
      </c>
      <c r="N106" s="15" t="str">
        <f>VLOOKUP(A106,sinap!$A$2:$R$9000,6,FALSE)</f>
        <v>05-10-2025</v>
      </c>
      <c r="O106" s="15" t="str">
        <f>VLOOKUP(A106,sinap!$A$2:$R$9000,7,FALSE)</f>
        <v>Vivo</v>
      </c>
      <c r="P106" s="15" t="str">
        <f>VLOOKUP(A106,sinap!$A$2:$R$9000,8,FALSE)</f>
        <v>11.1.01.0791</v>
      </c>
      <c r="Q106" s="15" t="str">
        <f>VLOOKUP(A106,sinap!$A$2:$R$9000,12,FALSE)</f>
        <v>11.1.01.0893</v>
      </c>
      <c r="R106" s="15" t="str">
        <f>VLOOKUP(A106,sinap!$A$2:$R$9000,16,FALSE)</f>
        <v>11.1.01.0893</v>
      </c>
      <c r="S106" s="15" t="str">
        <f>VLOOKUP(A106,sinap!$A$2:$Y$9000,20,FALSE)</f>
        <v>SI</v>
      </c>
      <c r="T106" s="16">
        <v>45984</v>
      </c>
    </row>
    <row r="107" spans="1:20" x14ac:dyDescent="0.25">
      <c r="A107" s="15">
        <v>26234195</v>
      </c>
      <c r="J107" s="15" t="str">
        <f>VLOOKUP(A107,sinap!$A$2:$R$9000,2,FALSE)</f>
        <v>H</v>
      </c>
      <c r="K107" s="15" t="str">
        <f>VLOOKUP(A107,sinap!$A$2:$R$9000,3,FALSE)</f>
        <v>TERNERA</v>
      </c>
      <c r="L107" s="15" t="str">
        <f>VLOOKUP(A107,sinap!$A$2:$R$9000,4,FALSE)</f>
        <v>ANGUS NEGRO</v>
      </c>
      <c r="M107" s="15" t="str">
        <f>VLOOKUP(A107,sinap!$A$2:$R$9000,5,FALSE)</f>
        <v>0 años 3 meses</v>
      </c>
      <c r="N107" s="15" t="str">
        <f>VLOOKUP(A107,sinap!$A$2:$R$9000,6,FALSE)</f>
        <v>30-09-2025</v>
      </c>
      <c r="O107" s="15" t="str">
        <f>VLOOKUP(A107,sinap!$A$2:$R$9000,7,FALSE)</f>
        <v>Vivo</v>
      </c>
      <c r="P107" s="15" t="str">
        <f>VLOOKUP(A107,sinap!$A$2:$R$9000,8,FALSE)</f>
        <v>11.1.01.0791</v>
      </c>
      <c r="Q107" s="15" t="str">
        <f>VLOOKUP(A107,sinap!$A$2:$R$9000,12,FALSE)</f>
        <v>11.1.01.0893</v>
      </c>
      <c r="R107" s="15" t="str">
        <f>VLOOKUP(A107,sinap!$A$2:$R$9000,16,FALSE)</f>
        <v>11.1.01.0893</v>
      </c>
      <c r="S107" s="15" t="str">
        <f>VLOOKUP(A107,sinap!$A$2:$Y$9000,20,FALSE)</f>
        <v>SI</v>
      </c>
      <c r="T107" s="16">
        <v>45984</v>
      </c>
    </row>
    <row r="108" spans="1:20" x14ac:dyDescent="0.25">
      <c r="A108" s="15">
        <v>26234196</v>
      </c>
      <c r="J108" s="15" t="str">
        <f>VLOOKUP(A108,sinap!$A$2:$R$9000,2,FALSE)</f>
        <v>M</v>
      </c>
      <c r="K108" s="15" t="str">
        <f>VLOOKUP(A108,sinap!$A$2:$R$9000,3,FALSE)</f>
        <v>TERNERO</v>
      </c>
      <c r="L108" s="15" t="str">
        <f>VLOOKUP(A108,sinap!$A$2:$R$9000,4,FALSE)</f>
        <v>ANGUS NEGRO</v>
      </c>
      <c r="M108" s="15" t="str">
        <f>VLOOKUP(A108,sinap!$A$2:$R$9000,5,FALSE)</f>
        <v>0 años 3 meses</v>
      </c>
      <c r="N108" s="15" t="str">
        <f>VLOOKUP(A108,sinap!$A$2:$R$9000,6,FALSE)</f>
        <v>30-09-2025</v>
      </c>
      <c r="O108" s="15" t="str">
        <f>VLOOKUP(A108,sinap!$A$2:$R$9000,7,FALSE)</f>
        <v>Vivo</v>
      </c>
      <c r="P108" s="15" t="str">
        <f>VLOOKUP(A108,sinap!$A$2:$R$9000,8,FALSE)</f>
        <v>11.1.01.0791</v>
      </c>
      <c r="Q108" s="15" t="str">
        <f>VLOOKUP(A108,sinap!$A$2:$R$9000,12,FALSE)</f>
        <v>11.1.01.0893</v>
      </c>
      <c r="R108" s="15" t="str">
        <f>VLOOKUP(A108,sinap!$A$2:$R$9000,16,FALSE)</f>
        <v>11.1.01.0893</v>
      </c>
      <c r="S108" s="15" t="str">
        <f>VLOOKUP(A108,sinap!$A$2:$Y$9000,20,FALSE)</f>
        <v>SI</v>
      </c>
      <c r="T108" s="16">
        <v>45984</v>
      </c>
    </row>
    <row r="109" spans="1:20" x14ac:dyDescent="0.25">
      <c r="A109" s="15">
        <v>26234197</v>
      </c>
      <c r="J109" s="15" t="str">
        <f>VLOOKUP(A109,sinap!$A$2:$R$9000,2,FALSE)</f>
        <v>H</v>
      </c>
      <c r="K109" s="15" t="str">
        <f>VLOOKUP(A109,sinap!$A$2:$R$9000,3,FALSE)</f>
        <v>TERNERA</v>
      </c>
      <c r="L109" s="15" t="str">
        <f>VLOOKUP(A109,sinap!$A$2:$R$9000,4,FALSE)</f>
        <v>ANGUS NEGRO</v>
      </c>
      <c r="M109" s="15" t="str">
        <f>VLOOKUP(A109,sinap!$A$2:$R$9000,5,FALSE)</f>
        <v>0 años 3 meses</v>
      </c>
      <c r="N109" s="15" t="str">
        <f>VLOOKUP(A109,sinap!$A$2:$R$9000,6,FALSE)</f>
        <v>30-09-2025</v>
      </c>
      <c r="O109" s="15" t="str">
        <f>VLOOKUP(A109,sinap!$A$2:$R$9000,7,FALSE)</f>
        <v>Vivo</v>
      </c>
      <c r="P109" s="15" t="str">
        <f>VLOOKUP(A109,sinap!$A$2:$R$9000,8,FALSE)</f>
        <v>11.1.01.0791</v>
      </c>
      <c r="Q109" s="15" t="str">
        <f>VLOOKUP(A109,sinap!$A$2:$R$9000,12,FALSE)</f>
        <v>11.1.01.0893</v>
      </c>
      <c r="R109" s="15" t="str">
        <f>VLOOKUP(A109,sinap!$A$2:$R$9000,16,FALSE)</f>
        <v>11.1.01.0893</v>
      </c>
      <c r="S109" s="15" t="str">
        <f>VLOOKUP(A109,sinap!$A$2:$Y$9000,20,FALSE)</f>
        <v>SI</v>
      </c>
      <c r="T109" s="16">
        <v>45984</v>
      </c>
    </row>
    <row r="110" spans="1:20" x14ac:dyDescent="0.25">
      <c r="A110" s="15">
        <v>26234198</v>
      </c>
      <c r="J110" s="15" t="str">
        <f>VLOOKUP(A110,sinap!$A$2:$R$9000,2,FALSE)</f>
        <v>H</v>
      </c>
      <c r="K110" s="15" t="str">
        <f>VLOOKUP(A110,sinap!$A$2:$R$9000,3,FALSE)</f>
        <v>TERNERA</v>
      </c>
      <c r="L110" s="15" t="str">
        <f>VLOOKUP(A110,sinap!$A$2:$R$9000,4,FALSE)</f>
        <v>ANGUS NEGRO</v>
      </c>
      <c r="M110" s="15" t="str">
        <f>VLOOKUP(A110,sinap!$A$2:$R$9000,5,FALSE)</f>
        <v>0 años 3 meses</v>
      </c>
      <c r="N110" s="15" t="str">
        <f>VLOOKUP(A110,sinap!$A$2:$R$9000,6,FALSE)</f>
        <v>30-09-2025</v>
      </c>
      <c r="O110" s="15" t="str">
        <f>VLOOKUP(A110,sinap!$A$2:$R$9000,7,FALSE)</f>
        <v>Vivo</v>
      </c>
      <c r="P110" s="15" t="str">
        <f>VLOOKUP(A110,sinap!$A$2:$R$9000,8,FALSE)</f>
        <v>11.1.01.0791</v>
      </c>
      <c r="Q110" s="15" t="str">
        <f>VLOOKUP(A110,sinap!$A$2:$R$9000,12,FALSE)</f>
        <v>11.1.01.0893</v>
      </c>
      <c r="R110" s="15" t="str">
        <f>VLOOKUP(A110,sinap!$A$2:$R$9000,16,FALSE)</f>
        <v>11.1.01.0893</v>
      </c>
      <c r="S110" s="15" t="str">
        <f>VLOOKUP(A110,sinap!$A$2:$Y$9000,20,FALSE)</f>
        <v>SI</v>
      </c>
      <c r="T110" s="16">
        <v>45984</v>
      </c>
    </row>
    <row r="111" spans="1:20" x14ac:dyDescent="0.25">
      <c r="A111" s="15">
        <v>26234199</v>
      </c>
      <c r="J111" s="15" t="str">
        <f>VLOOKUP(A111,sinap!$A$2:$R$9000,2,FALSE)</f>
        <v>H</v>
      </c>
      <c r="K111" s="15" t="str">
        <f>VLOOKUP(A111,sinap!$A$2:$R$9000,3,FALSE)</f>
        <v>TERNERA</v>
      </c>
      <c r="L111" s="15" t="str">
        <f>VLOOKUP(A111,sinap!$A$2:$R$9000,4,FALSE)</f>
        <v>ANGUS NEGRO</v>
      </c>
      <c r="M111" s="15" t="str">
        <f>VLOOKUP(A111,sinap!$A$2:$R$9000,5,FALSE)</f>
        <v>0 años 3 meses</v>
      </c>
      <c r="N111" s="15" t="str">
        <f>VLOOKUP(A111,sinap!$A$2:$R$9000,6,FALSE)</f>
        <v>30-09-2025</v>
      </c>
      <c r="O111" s="15" t="str">
        <f>VLOOKUP(A111,sinap!$A$2:$R$9000,7,FALSE)</f>
        <v>Vivo</v>
      </c>
      <c r="P111" s="15" t="str">
        <f>VLOOKUP(A111,sinap!$A$2:$R$9000,8,FALSE)</f>
        <v>11.1.01.0791</v>
      </c>
      <c r="Q111" s="15" t="str">
        <f>VLOOKUP(A111,sinap!$A$2:$R$9000,12,FALSE)</f>
        <v>11.1.01.0893</v>
      </c>
      <c r="R111" s="15" t="str">
        <f>VLOOKUP(A111,sinap!$A$2:$R$9000,16,FALSE)</f>
        <v>11.1.01.0893</v>
      </c>
      <c r="S111" s="15" t="str">
        <f>VLOOKUP(A111,sinap!$A$2:$Y$9000,20,FALSE)</f>
        <v>SI</v>
      </c>
      <c r="T111" s="16">
        <v>45984</v>
      </c>
    </row>
    <row r="112" spans="1:20" x14ac:dyDescent="0.25">
      <c r="A112" s="15">
        <v>26234200</v>
      </c>
      <c r="J112" s="15" t="str">
        <f>VLOOKUP(A112,sinap!$A$2:$R$9000,2,FALSE)</f>
        <v>M</v>
      </c>
      <c r="K112" s="15" t="str">
        <f>VLOOKUP(A112,sinap!$A$2:$R$9000,3,FALSE)</f>
        <v>TERNERO</v>
      </c>
      <c r="L112" s="15" t="str">
        <f>VLOOKUP(A112,sinap!$A$2:$R$9000,4,FALSE)</f>
        <v>ANGUS NEGRO</v>
      </c>
      <c r="M112" s="15" t="str">
        <f>VLOOKUP(A112,sinap!$A$2:$R$9000,5,FALSE)</f>
        <v>0 años 2 meses</v>
      </c>
      <c r="N112" s="15" t="str">
        <f>VLOOKUP(A112,sinap!$A$2:$R$9000,6,FALSE)</f>
        <v>05-11-2025</v>
      </c>
      <c r="O112" s="15" t="str">
        <f>VLOOKUP(A112,sinap!$A$2:$R$9000,7,FALSE)</f>
        <v>Vivo</v>
      </c>
      <c r="P112" s="15" t="str">
        <f>VLOOKUP(A112,sinap!$A$2:$R$9000,8,FALSE)</f>
        <v>11.1.01.0791</v>
      </c>
      <c r="Q112" s="15" t="str">
        <f>VLOOKUP(A112,sinap!$A$2:$R$9000,12,FALSE)</f>
        <v>11.1.01.0893</v>
      </c>
      <c r="R112" s="15" t="str">
        <f>VLOOKUP(A112,sinap!$A$2:$R$9000,16,FALSE)</f>
        <v>11.1.01.0893</v>
      </c>
      <c r="S112" s="15" t="str">
        <f>VLOOKUP(A112,sinap!$A$2:$Y$9000,20,FALSE)</f>
        <v>SI</v>
      </c>
      <c r="T112" s="16">
        <v>45984</v>
      </c>
    </row>
    <row r="113" spans="1:20" x14ac:dyDescent="0.25">
      <c r="A113" s="15">
        <v>26234201</v>
      </c>
      <c r="J113" s="15" t="str">
        <f>VLOOKUP(A113,sinap!$A$2:$R$9000,2,FALSE)</f>
        <v>H</v>
      </c>
      <c r="K113" s="15" t="str">
        <f>VLOOKUP(A113,sinap!$A$2:$R$9000,3,FALSE)</f>
        <v>TERNERA</v>
      </c>
      <c r="L113" s="15" t="str">
        <f>VLOOKUP(A113,sinap!$A$2:$R$9000,4,FALSE)</f>
        <v>ANGUS NEGRO</v>
      </c>
      <c r="M113" s="15" t="str">
        <f>VLOOKUP(A113,sinap!$A$2:$R$9000,5,FALSE)</f>
        <v>0 años 3 meses</v>
      </c>
      <c r="N113" s="15" t="str">
        <f>VLOOKUP(A113,sinap!$A$2:$R$9000,6,FALSE)</f>
        <v>30-09-2025</v>
      </c>
      <c r="O113" s="15" t="str">
        <f>VLOOKUP(A113,sinap!$A$2:$R$9000,7,FALSE)</f>
        <v>Vivo</v>
      </c>
      <c r="P113" s="15" t="str">
        <f>VLOOKUP(A113,sinap!$A$2:$R$9000,8,FALSE)</f>
        <v>11.1.01.0791</v>
      </c>
      <c r="Q113" s="15" t="str">
        <f>VLOOKUP(A113,sinap!$A$2:$R$9000,12,FALSE)</f>
        <v>11.1.01.0893</v>
      </c>
      <c r="R113" s="15" t="str">
        <f>VLOOKUP(A113,sinap!$A$2:$R$9000,16,FALSE)</f>
        <v>11.1.01.0893</v>
      </c>
      <c r="S113" s="15" t="str">
        <f>VLOOKUP(A113,sinap!$A$2:$Y$9000,20,FALSE)</f>
        <v>SI</v>
      </c>
      <c r="T113" s="16">
        <v>45984</v>
      </c>
    </row>
    <row r="114" spans="1:20" x14ac:dyDescent="0.25">
      <c r="A114" s="15">
        <v>26234202</v>
      </c>
      <c r="J114" s="15" t="str">
        <f>VLOOKUP(A114,sinap!$A$2:$R$9000,2,FALSE)</f>
        <v>M</v>
      </c>
      <c r="K114" s="15" t="str">
        <f>VLOOKUP(A114,sinap!$A$2:$R$9000,3,FALSE)</f>
        <v>TERNERO</v>
      </c>
      <c r="L114" s="15" t="str">
        <f>VLOOKUP(A114,sinap!$A$2:$R$9000,4,FALSE)</f>
        <v>ANGUS NEGRO</v>
      </c>
      <c r="M114" s="15" t="str">
        <f>VLOOKUP(A114,sinap!$A$2:$R$9000,5,FALSE)</f>
        <v>0 años 3 meses</v>
      </c>
      <c r="N114" s="15" t="str">
        <f>VLOOKUP(A114,sinap!$A$2:$R$9000,6,FALSE)</f>
        <v>30-09-2025</v>
      </c>
      <c r="O114" s="15" t="str">
        <f>VLOOKUP(A114,sinap!$A$2:$R$9000,7,FALSE)</f>
        <v>Vivo</v>
      </c>
      <c r="P114" s="15" t="str">
        <f>VLOOKUP(A114,sinap!$A$2:$R$9000,8,FALSE)</f>
        <v>11.1.01.0791</v>
      </c>
      <c r="Q114" s="15" t="str">
        <f>VLOOKUP(A114,sinap!$A$2:$R$9000,12,FALSE)</f>
        <v>11.1.01.0893</v>
      </c>
      <c r="R114" s="15" t="str">
        <f>VLOOKUP(A114,sinap!$A$2:$R$9000,16,FALSE)</f>
        <v>11.1.01.0893</v>
      </c>
      <c r="S114" s="15" t="str">
        <f>VLOOKUP(A114,sinap!$A$2:$Y$9000,20,FALSE)</f>
        <v>SI</v>
      </c>
      <c r="T114" s="16">
        <v>45984</v>
      </c>
    </row>
    <row r="115" spans="1:20" x14ac:dyDescent="0.25">
      <c r="A115" s="15">
        <v>26234203</v>
      </c>
      <c r="J115" s="15" t="str">
        <f>VLOOKUP(A115,sinap!$A$2:$R$9000,2,FALSE)</f>
        <v>H</v>
      </c>
      <c r="K115" s="15" t="str">
        <f>VLOOKUP(A115,sinap!$A$2:$R$9000,3,FALSE)</f>
        <v>TERNERA</v>
      </c>
      <c r="L115" s="15" t="str">
        <f>VLOOKUP(A115,sinap!$A$2:$R$9000,4,FALSE)</f>
        <v>ANGUS NEGRO</v>
      </c>
      <c r="M115" s="15" t="str">
        <f>VLOOKUP(A115,sinap!$A$2:$R$9000,5,FALSE)</f>
        <v>0 años 3 meses</v>
      </c>
      <c r="N115" s="15" t="str">
        <f>VLOOKUP(A115,sinap!$A$2:$R$9000,6,FALSE)</f>
        <v>30-09-2025</v>
      </c>
      <c r="O115" s="15" t="str">
        <f>VLOOKUP(A115,sinap!$A$2:$R$9000,7,FALSE)</f>
        <v>Vivo</v>
      </c>
      <c r="P115" s="15" t="str">
        <f>VLOOKUP(A115,sinap!$A$2:$R$9000,8,FALSE)</f>
        <v>11.1.01.0791</v>
      </c>
      <c r="Q115" s="15" t="str">
        <f>VLOOKUP(A115,sinap!$A$2:$R$9000,12,FALSE)</f>
        <v>11.1.01.0893</v>
      </c>
      <c r="R115" s="15" t="str">
        <f>VLOOKUP(A115,sinap!$A$2:$R$9000,16,FALSE)</f>
        <v>11.1.01.0893</v>
      </c>
      <c r="S115" s="15" t="str">
        <f>VLOOKUP(A115,sinap!$A$2:$Y$9000,20,FALSE)</f>
        <v>SI</v>
      </c>
      <c r="T115" s="16">
        <v>45984</v>
      </c>
    </row>
    <row r="116" spans="1:20" x14ac:dyDescent="0.25">
      <c r="A116" s="15">
        <v>26234204</v>
      </c>
      <c r="J116" s="15" t="str">
        <f>VLOOKUP(A116,sinap!$A$2:$R$9000,2,FALSE)</f>
        <v>H</v>
      </c>
      <c r="K116" s="15" t="str">
        <f>VLOOKUP(A116,sinap!$A$2:$R$9000,3,FALSE)</f>
        <v>TERNERA</v>
      </c>
      <c r="L116" s="15" t="str">
        <f>VLOOKUP(A116,sinap!$A$2:$R$9000,4,FALSE)</f>
        <v>ANGUS NEGRO</v>
      </c>
      <c r="M116" s="15" t="str">
        <f>VLOOKUP(A116,sinap!$A$2:$R$9000,5,FALSE)</f>
        <v>0 años 3 meses</v>
      </c>
      <c r="N116" s="15" t="str">
        <f>VLOOKUP(A116,sinap!$A$2:$R$9000,6,FALSE)</f>
        <v>05-10-2025</v>
      </c>
      <c r="O116" s="15" t="str">
        <f>VLOOKUP(A116,sinap!$A$2:$R$9000,7,FALSE)</f>
        <v>Vivo</v>
      </c>
      <c r="P116" s="15" t="str">
        <f>VLOOKUP(A116,sinap!$A$2:$R$9000,8,FALSE)</f>
        <v>11.1.01.0791</v>
      </c>
      <c r="Q116" s="15" t="str">
        <f>VLOOKUP(A116,sinap!$A$2:$R$9000,12,FALSE)</f>
        <v>11.1.01.0893</v>
      </c>
      <c r="R116" s="15" t="str">
        <f>VLOOKUP(A116,sinap!$A$2:$R$9000,16,FALSE)</f>
        <v>11.1.01.0893</v>
      </c>
      <c r="S116" s="15" t="str">
        <f>VLOOKUP(A116,sinap!$A$2:$Y$9000,20,FALSE)</f>
        <v>SI</v>
      </c>
      <c r="T116" s="16">
        <v>45984</v>
      </c>
    </row>
    <row r="117" spans="1:20" x14ac:dyDescent="0.25">
      <c r="A117" s="15">
        <v>26234205</v>
      </c>
      <c r="J117" s="15" t="str">
        <f>VLOOKUP(A117,sinap!$A$2:$R$9000,2,FALSE)</f>
        <v>H</v>
      </c>
      <c r="K117" s="15" t="str">
        <f>VLOOKUP(A117,sinap!$A$2:$R$9000,3,FALSE)</f>
        <v>TERNERA</v>
      </c>
      <c r="L117" s="15" t="str">
        <f>VLOOKUP(A117,sinap!$A$2:$R$9000,4,FALSE)</f>
        <v>ANGUS NEGRO</v>
      </c>
      <c r="M117" s="15" t="str">
        <f>VLOOKUP(A117,sinap!$A$2:$R$9000,5,FALSE)</f>
        <v>0 años 3 meses</v>
      </c>
      <c r="N117" s="15" t="str">
        <f>VLOOKUP(A117,sinap!$A$2:$R$9000,6,FALSE)</f>
        <v>05-10-2025</v>
      </c>
      <c r="O117" s="15" t="str">
        <f>VLOOKUP(A117,sinap!$A$2:$R$9000,7,FALSE)</f>
        <v>Vivo</v>
      </c>
      <c r="P117" s="15" t="str">
        <f>VLOOKUP(A117,sinap!$A$2:$R$9000,8,FALSE)</f>
        <v>11.1.01.0791</v>
      </c>
      <c r="Q117" s="15" t="str">
        <f>VLOOKUP(A117,sinap!$A$2:$R$9000,12,FALSE)</f>
        <v>11.1.01.0893</v>
      </c>
      <c r="R117" s="15" t="str">
        <f>VLOOKUP(A117,sinap!$A$2:$R$9000,16,FALSE)</f>
        <v>11.1.01.0893</v>
      </c>
      <c r="S117" s="15" t="str">
        <f>VLOOKUP(A117,sinap!$A$2:$Y$9000,20,FALSE)</f>
        <v>SI</v>
      </c>
      <c r="T117" s="16">
        <v>45984</v>
      </c>
    </row>
    <row r="118" spans="1:20" x14ac:dyDescent="0.25">
      <c r="A118" s="15">
        <v>26234206</v>
      </c>
      <c r="J118" s="15" t="str">
        <f>VLOOKUP(A118,sinap!$A$2:$R$9000,2,FALSE)</f>
        <v>H</v>
      </c>
      <c r="K118" s="15" t="str">
        <f>VLOOKUP(A118,sinap!$A$2:$R$9000,3,FALSE)</f>
        <v>TERNERA</v>
      </c>
      <c r="L118" s="15" t="str">
        <f>VLOOKUP(A118,sinap!$A$2:$R$9000,4,FALSE)</f>
        <v>ANGUS NEGRO</v>
      </c>
      <c r="M118" s="15" t="str">
        <f>VLOOKUP(A118,sinap!$A$2:$R$9000,5,FALSE)</f>
        <v>0 años 3 meses</v>
      </c>
      <c r="N118" s="15" t="str">
        <f>VLOOKUP(A118,sinap!$A$2:$R$9000,6,FALSE)</f>
        <v>05-10-2025</v>
      </c>
      <c r="O118" s="15" t="str">
        <f>VLOOKUP(A118,sinap!$A$2:$R$9000,7,FALSE)</f>
        <v>Vivo</v>
      </c>
      <c r="P118" s="15" t="str">
        <f>VLOOKUP(A118,sinap!$A$2:$R$9000,8,FALSE)</f>
        <v>11.1.01.0791</v>
      </c>
      <c r="Q118" s="15" t="str">
        <f>VLOOKUP(A118,sinap!$A$2:$R$9000,12,FALSE)</f>
        <v>11.1.01.0893</v>
      </c>
      <c r="R118" s="15" t="str">
        <f>VLOOKUP(A118,sinap!$A$2:$R$9000,16,FALSE)</f>
        <v>11.1.01.0893</v>
      </c>
      <c r="S118" s="15" t="str">
        <f>VLOOKUP(A118,sinap!$A$2:$Y$9000,20,FALSE)</f>
        <v>SI</v>
      </c>
      <c r="T118" s="16">
        <v>45984</v>
      </c>
    </row>
    <row r="119" spans="1:20" x14ac:dyDescent="0.25">
      <c r="A119" s="15">
        <v>26234207</v>
      </c>
      <c r="J119" s="15" t="str">
        <f>VLOOKUP(A119,sinap!$A$2:$R$9000,2,FALSE)</f>
        <v>M</v>
      </c>
      <c r="K119" s="15" t="str">
        <f>VLOOKUP(A119,sinap!$A$2:$R$9000,3,FALSE)</f>
        <v>TERNERO</v>
      </c>
      <c r="L119" s="15" t="str">
        <f>VLOOKUP(A119,sinap!$A$2:$R$9000,4,FALSE)</f>
        <v>ANGUS NEGRO</v>
      </c>
      <c r="M119" s="15" t="str">
        <f>VLOOKUP(A119,sinap!$A$2:$R$9000,5,FALSE)</f>
        <v>0 años 3 meses</v>
      </c>
      <c r="N119" s="15" t="str">
        <f>VLOOKUP(A119,sinap!$A$2:$R$9000,6,FALSE)</f>
        <v>05-10-2025</v>
      </c>
      <c r="O119" s="15" t="str">
        <f>VLOOKUP(A119,sinap!$A$2:$R$9000,7,FALSE)</f>
        <v>Vivo</v>
      </c>
      <c r="P119" s="15" t="str">
        <f>VLOOKUP(A119,sinap!$A$2:$R$9000,8,FALSE)</f>
        <v>11.1.01.0791</v>
      </c>
      <c r="Q119" s="15" t="str">
        <f>VLOOKUP(A119,sinap!$A$2:$R$9000,12,FALSE)</f>
        <v>11.1.01.0893</v>
      </c>
      <c r="R119" s="15" t="str">
        <f>VLOOKUP(A119,sinap!$A$2:$R$9000,16,FALSE)</f>
        <v>11.1.01.0893</v>
      </c>
      <c r="S119" s="15" t="str">
        <f>VLOOKUP(A119,sinap!$A$2:$Y$9000,20,FALSE)</f>
        <v>SI</v>
      </c>
      <c r="T119" s="16">
        <v>45984</v>
      </c>
    </row>
    <row r="120" spans="1:20" x14ac:dyDescent="0.25">
      <c r="A120" s="15">
        <v>26234208</v>
      </c>
      <c r="J120" s="15" t="str">
        <f>VLOOKUP(A120,sinap!$A$2:$R$9000,2,FALSE)</f>
        <v>M</v>
      </c>
      <c r="K120" s="15" t="str">
        <f>VLOOKUP(A120,sinap!$A$2:$R$9000,3,FALSE)</f>
        <v>TERNERO</v>
      </c>
      <c r="L120" s="15" t="str">
        <f>VLOOKUP(A120,sinap!$A$2:$R$9000,4,FALSE)</f>
        <v>ANGUS NEGRO</v>
      </c>
      <c r="M120" s="15" t="str">
        <f>VLOOKUP(A120,sinap!$A$2:$R$9000,5,FALSE)</f>
        <v>0 años 3 meses</v>
      </c>
      <c r="N120" s="15" t="str">
        <f>VLOOKUP(A120,sinap!$A$2:$R$9000,6,FALSE)</f>
        <v>05-10-2025</v>
      </c>
      <c r="O120" s="15" t="str">
        <f>VLOOKUP(A120,sinap!$A$2:$R$9000,7,FALSE)</f>
        <v>Vivo</v>
      </c>
      <c r="P120" s="15" t="str">
        <f>VLOOKUP(A120,sinap!$A$2:$R$9000,8,FALSE)</f>
        <v>11.1.01.0791</v>
      </c>
      <c r="Q120" s="15" t="str">
        <f>VLOOKUP(A120,sinap!$A$2:$R$9000,12,FALSE)</f>
        <v>11.1.01.0893</v>
      </c>
      <c r="R120" s="15" t="str">
        <f>VLOOKUP(A120,sinap!$A$2:$R$9000,16,FALSE)</f>
        <v>11.1.01.0893</v>
      </c>
      <c r="S120" s="15" t="str">
        <f>VLOOKUP(A120,sinap!$A$2:$Y$9000,20,FALSE)</f>
        <v>SI</v>
      </c>
      <c r="T120" s="16">
        <v>45984</v>
      </c>
    </row>
    <row r="121" spans="1:20" x14ac:dyDescent="0.25">
      <c r="A121" s="15">
        <v>26234209</v>
      </c>
      <c r="J121" s="15" t="str">
        <f>VLOOKUP(A121,sinap!$A$2:$R$9000,2,FALSE)</f>
        <v>H</v>
      </c>
      <c r="K121" s="15" t="str">
        <f>VLOOKUP(A121,sinap!$A$2:$R$9000,3,FALSE)</f>
        <v>TERNERA</v>
      </c>
      <c r="L121" s="15" t="str">
        <f>VLOOKUP(A121,sinap!$A$2:$R$9000,4,FALSE)</f>
        <v>ANGUS NEGRO</v>
      </c>
      <c r="M121" s="15" t="str">
        <f>VLOOKUP(A121,sinap!$A$2:$R$9000,5,FALSE)</f>
        <v>0 años 3 meses</v>
      </c>
      <c r="N121" s="15" t="str">
        <f>VLOOKUP(A121,sinap!$A$2:$R$9000,6,FALSE)</f>
        <v>05-10-2025</v>
      </c>
      <c r="O121" s="15" t="str">
        <f>VLOOKUP(A121,sinap!$A$2:$R$9000,7,FALSE)</f>
        <v>Vivo</v>
      </c>
      <c r="P121" s="15" t="str">
        <f>VLOOKUP(A121,sinap!$A$2:$R$9000,8,FALSE)</f>
        <v>11.1.01.0791</v>
      </c>
      <c r="Q121" s="15" t="str">
        <f>VLOOKUP(A121,sinap!$A$2:$R$9000,12,FALSE)</f>
        <v>11.1.01.0893</v>
      </c>
      <c r="R121" s="15" t="str">
        <f>VLOOKUP(A121,sinap!$A$2:$R$9000,16,FALSE)</f>
        <v>11.1.01.0893</v>
      </c>
      <c r="S121" s="15" t="str">
        <f>VLOOKUP(A121,sinap!$A$2:$Y$9000,20,FALSE)</f>
        <v>SI</v>
      </c>
      <c r="T121" s="16">
        <v>45984</v>
      </c>
    </row>
    <row r="122" spans="1:20" x14ac:dyDescent="0.25">
      <c r="A122" s="15">
        <v>26234210</v>
      </c>
      <c r="J122" s="15" t="str">
        <f>VLOOKUP(A122,sinap!$A$2:$R$9000,2,FALSE)</f>
        <v>M</v>
      </c>
      <c r="K122" s="15" t="str">
        <f>VLOOKUP(A122,sinap!$A$2:$R$9000,3,FALSE)</f>
        <v>TERNERO</v>
      </c>
      <c r="L122" s="15" t="str">
        <f>VLOOKUP(A122,sinap!$A$2:$R$9000,4,FALSE)</f>
        <v>ANGUS ROJO</v>
      </c>
      <c r="M122" s="15" t="str">
        <f>VLOOKUP(A122,sinap!$A$2:$R$9000,5,FALSE)</f>
        <v>0 años 3 meses</v>
      </c>
      <c r="N122" s="15" t="str">
        <f>VLOOKUP(A122,sinap!$A$2:$R$9000,6,FALSE)</f>
        <v>30-09-2025</v>
      </c>
      <c r="O122" s="15" t="str">
        <f>VLOOKUP(A122,sinap!$A$2:$R$9000,7,FALSE)</f>
        <v>Vivo</v>
      </c>
      <c r="P122" s="15" t="str">
        <f>VLOOKUP(A122,sinap!$A$2:$R$9000,8,FALSE)</f>
        <v>11.1.01.0791</v>
      </c>
      <c r="Q122" s="15" t="str">
        <f>VLOOKUP(A122,sinap!$A$2:$R$9000,12,FALSE)</f>
        <v>11.1.01.0893</v>
      </c>
      <c r="R122" s="15" t="str">
        <f>VLOOKUP(A122,sinap!$A$2:$R$9000,16,FALSE)</f>
        <v>11.1.01.0893</v>
      </c>
      <c r="S122" s="15" t="str">
        <f>VLOOKUP(A122,sinap!$A$2:$Y$9000,20,FALSE)</f>
        <v>SI</v>
      </c>
      <c r="T122" s="16">
        <v>45984</v>
      </c>
    </row>
    <row r="123" spans="1:20" x14ac:dyDescent="0.25">
      <c r="A123" s="15">
        <v>26234211</v>
      </c>
      <c r="J123" s="15" t="str">
        <f>VLOOKUP(A123,sinap!$A$2:$R$9000,2,FALSE)</f>
        <v>M</v>
      </c>
      <c r="K123" s="15" t="str">
        <f>VLOOKUP(A123,sinap!$A$2:$R$9000,3,FALSE)</f>
        <v>TERNERO</v>
      </c>
      <c r="L123" s="15" t="str">
        <f>VLOOKUP(A123,sinap!$A$2:$R$9000,4,FALSE)</f>
        <v>ANGUS NEGRO</v>
      </c>
      <c r="M123" s="15" t="str">
        <f>VLOOKUP(A123,sinap!$A$2:$R$9000,5,FALSE)</f>
        <v>0 años 3 meses</v>
      </c>
      <c r="N123" s="15" t="str">
        <f>VLOOKUP(A123,sinap!$A$2:$R$9000,6,FALSE)</f>
        <v>30-09-2025</v>
      </c>
      <c r="O123" s="15" t="str">
        <f>VLOOKUP(A123,sinap!$A$2:$R$9000,7,FALSE)</f>
        <v>Vivo</v>
      </c>
      <c r="P123" s="15" t="str">
        <f>VLOOKUP(A123,sinap!$A$2:$R$9000,8,FALSE)</f>
        <v>11.1.01.0791</v>
      </c>
      <c r="Q123" s="15" t="str">
        <f>VLOOKUP(A123,sinap!$A$2:$R$9000,12,FALSE)</f>
        <v>11.1.01.0893</v>
      </c>
      <c r="R123" s="15" t="str">
        <f>VLOOKUP(A123,sinap!$A$2:$R$9000,16,FALSE)</f>
        <v>11.1.01.0893</v>
      </c>
      <c r="S123" s="15" t="str">
        <f>VLOOKUP(A123,sinap!$A$2:$Y$9000,20,FALSE)</f>
        <v>SI</v>
      </c>
      <c r="T123" s="16">
        <v>45984</v>
      </c>
    </row>
    <row r="124" spans="1:20" x14ac:dyDescent="0.25">
      <c r="A124" s="15">
        <v>26234212</v>
      </c>
      <c r="J124" s="15" t="str">
        <f>VLOOKUP(A124,sinap!$A$2:$R$9000,2,FALSE)</f>
        <v>H</v>
      </c>
      <c r="K124" s="15" t="str">
        <f>VLOOKUP(A124,sinap!$A$2:$R$9000,3,FALSE)</f>
        <v>TERNERA</v>
      </c>
      <c r="L124" s="15" t="str">
        <f>VLOOKUP(A124,sinap!$A$2:$R$9000,4,FALSE)</f>
        <v>ANGUS NEGRO</v>
      </c>
      <c r="M124" s="15" t="str">
        <f>VLOOKUP(A124,sinap!$A$2:$R$9000,5,FALSE)</f>
        <v>0 años 3 meses</v>
      </c>
      <c r="N124" s="15" t="str">
        <f>VLOOKUP(A124,sinap!$A$2:$R$9000,6,FALSE)</f>
        <v>30-09-2025</v>
      </c>
      <c r="O124" s="15" t="str">
        <f>VLOOKUP(A124,sinap!$A$2:$R$9000,7,FALSE)</f>
        <v>Vivo</v>
      </c>
      <c r="P124" s="15" t="str">
        <f>VLOOKUP(A124,sinap!$A$2:$R$9000,8,FALSE)</f>
        <v>11.1.01.0791</v>
      </c>
      <c r="Q124" s="15" t="str">
        <f>VLOOKUP(A124,sinap!$A$2:$R$9000,12,FALSE)</f>
        <v>11.1.01.0893</v>
      </c>
      <c r="R124" s="15" t="str">
        <f>VLOOKUP(A124,sinap!$A$2:$R$9000,16,FALSE)</f>
        <v>11.1.01.0893</v>
      </c>
      <c r="S124" s="15" t="str">
        <f>VLOOKUP(A124,sinap!$A$2:$Y$9000,20,FALSE)</f>
        <v>SI</v>
      </c>
      <c r="T124" s="16">
        <v>45984</v>
      </c>
    </row>
    <row r="125" spans="1:20" x14ac:dyDescent="0.25">
      <c r="A125" s="15">
        <v>26234213</v>
      </c>
      <c r="J125" s="15" t="str">
        <f>VLOOKUP(A125,sinap!$A$2:$R$9000,2,FALSE)</f>
        <v>H</v>
      </c>
      <c r="K125" s="15" t="str">
        <f>VLOOKUP(A125,sinap!$A$2:$R$9000,3,FALSE)</f>
        <v>TERNERA</v>
      </c>
      <c r="L125" s="15" t="str">
        <f>VLOOKUP(A125,sinap!$A$2:$R$9000,4,FALSE)</f>
        <v>ANGUS NEGRO</v>
      </c>
      <c r="M125" s="15" t="str">
        <f>VLOOKUP(A125,sinap!$A$2:$R$9000,5,FALSE)</f>
        <v>0 años 3 meses</v>
      </c>
      <c r="N125" s="15" t="str">
        <f>VLOOKUP(A125,sinap!$A$2:$R$9000,6,FALSE)</f>
        <v>05-10-2025</v>
      </c>
      <c r="O125" s="15" t="str">
        <f>VLOOKUP(A125,sinap!$A$2:$R$9000,7,FALSE)</f>
        <v>Vivo</v>
      </c>
      <c r="P125" s="15" t="str">
        <f>VLOOKUP(A125,sinap!$A$2:$R$9000,8,FALSE)</f>
        <v>11.1.01.0791</v>
      </c>
      <c r="Q125" s="15" t="str">
        <f>VLOOKUP(A125,sinap!$A$2:$R$9000,12,FALSE)</f>
        <v>11.1.01.0893</v>
      </c>
      <c r="R125" s="15" t="str">
        <f>VLOOKUP(A125,sinap!$A$2:$R$9000,16,FALSE)</f>
        <v>11.1.01.0893</v>
      </c>
      <c r="S125" s="15" t="str">
        <f>VLOOKUP(A125,sinap!$A$2:$Y$9000,20,FALSE)</f>
        <v>SI</v>
      </c>
      <c r="T125" s="16">
        <v>45984</v>
      </c>
    </row>
    <row r="126" spans="1:20" x14ac:dyDescent="0.25">
      <c r="A126" s="15">
        <v>26234214</v>
      </c>
      <c r="J126" s="15" t="str">
        <f>VLOOKUP(A126,sinap!$A$2:$R$9000,2,FALSE)</f>
        <v>M</v>
      </c>
      <c r="K126" s="15" t="str">
        <f>VLOOKUP(A126,sinap!$A$2:$R$9000,3,FALSE)</f>
        <v>TERNERO</v>
      </c>
      <c r="L126" s="15" t="str">
        <f>VLOOKUP(A126,sinap!$A$2:$R$9000,4,FALSE)</f>
        <v>ANGUS ROJO</v>
      </c>
      <c r="M126" s="15" t="str">
        <f>VLOOKUP(A126,sinap!$A$2:$R$9000,5,FALSE)</f>
        <v>0 años 3 meses</v>
      </c>
      <c r="N126" s="15" t="str">
        <f>VLOOKUP(A126,sinap!$A$2:$R$9000,6,FALSE)</f>
        <v>05-10-2025</v>
      </c>
      <c r="O126" s="15" t="str">
        <f>VLOOKUP(A126,sinap!$A$2:$R$9000,7,FALSE)</f>
        <v>Vivo</v>
      </c>
      <c r="P126" s="15" t="str">
        <f>VLOOKUP(A126,sinap!$A$2:$R$9000,8,FALSE)</f>
        <v>11.1.01.0791</v>
      </c>
      <c r="Q126" s="15" t="str">
        <f>VLOOKUP(A126,sinap!$A$2:$R$9000,12,FALSE)</f>
        <v>11.1.01.0893</v>
      </c>
      <c r="R126" s="15" t="str">
        <f>VLOOKUP(A126,sinap!$A$2:$R$9000,16,FALSE)</f>
        <v>11.1.01.0893</v>
      </c>
      <c r="S126" s="15" t="str">
        <f>VLOOKUP(A126,sinap!$A$2:$Y$9000,20,FALSE)</f>
        <v>SI</v>
      </c>
      <c r="T126" s="16">
        <v>45984</v>
      </c>
    </row>
    <row r="127" spans="1:20" x14ac:dyDescent="0.25">
      <c r="A127" s="15">
        <v>26234215</v>
      </c>
      <c r="J127" s="15" t="str">
        <f>VLOOKUP(A127,sinap!$A$2:$R$9000,2,FALSE)</f>
        <v>M</v>
      </c>
      <c r="K127" s="15" t="str">
        <f>VLOOKUP(A127,sinap!$A$2:$R$9000,3,FALSE)</f>
        <v>TERNERO</v>
      </c>
      <c r="L127" s="15" t="str">
        <f>VLOOKUP(A127,sinap!$A$2:$R$9000,4,FALSE)</f>
        <v>ANGUS NEGRO</v>
      </c>
      <c r="M127" s="15" t="str">
        <f>VLOOKUP(A127,sinap!$A$2:$R$9000,5,FALSE)</f>
        <v>0 años 3 meses</v>
      </c>
      <c r="N127" s="15" t="str">
        <f>VLOOKUP(A127,sinap!$A$2:$R$9000,6,FALSE)</f>
        <v>05-10-2025</v>
      </c>
      <c r="O127" s="15" t="str">
        <f>VLOOKUP(A127,sinap!$A$2:$R$9000,7,FALSE)</f>
        <v>Vivo</v>
      </c>
      <c r="P127" s="15" t="str">
        <f>VLOOKUP(A127,sinap!$A$2:$R$9000,8,FALSE)</f>
        <v>11.1.01.1241</v>
      </c>
      <c r="Q127" s="15" t="str">
        <f>VLOOKUP(A127,sinap!$A$2:$R$9000,12,FALSE)</f>
        <v>Sin Movimiento</v>
      </c>
      <c r="R127" s="15" t="str">
        <f>VLOOKUP(A127,sinap!$A$2:$R$9000,16,FALSE)</f>
        <v>11.1.01.1241</v>
      </c>
      <c r="S127" s="15" t="str">
        <f>VLOOKUP(A127,sinap!$A$2:$Y$9000,20,FALSE)</f>
        <v>SI</v>
      </c>
      <c r="T127" s="16">
        <v>45988</v>
      </c>
    </row>
    <row r="128" spans="1:20" x14ac:dyDescent="0.25">
      <c r="A128" s="15">
        <v>26234216</v>
      </c>
      <c r="J128" s="15" t="str">
        <f>VLOOKUP(A128,sinap!$A$2:$R$9000,2,FALSE)</f>
        <v>M</v>
      </c>
      <c r="K128" s="15" t="str">
        <f>VLOOKUP(A128,sinap!$A$2:$R$9000,3,FALSE)</f>
        <v>TERNERO</v>
      </c>
      <c r="L128" s="15" t="str">
        <f>VLOOKUP(A128,sinap!$A$2:$R$9000,4,FALSE)</f>
        <v>ANGUS NEGRO</v>
      </c>
      <c r="M128" s="15" t="str">
        <f>VLOOKUP(A128,sinap!$A$2:$R$9000,5,FALSE)</f>
        <v>0 años 3 meses</v>
      </c>
      <c r="N128" s="15" t="str">
        <f>VLOOKUP(A128,sinap!$A$2:$R$9000,6,FALSE)</f>
        <v>05-10-2025</v>
      </c>
      <c r="O128" s="15" t="str">
        <f>VLOOKUP(A128,sinap!$A$2:$R$9000,7,FALSE)</f>
        <v>Vivo</v>
      </c>
      <c r="P128" s="15" t="str">
        <f>VLOOKUP(A128,sinap!$A$2:$R$9000,8,FALSE)</f>
        <v>11.1.01.1241</v>
      </c>
      <c r="Q128" s="15" t="str">
        <f>VLOOKUP(A128,sinap!$A$2:$R$9000,12,FALSE)</f>
        <v>Sin Movimiento</v>
      </c>
      <c r="R128" s="15" t="str">
        <f>VLOOKUP(A128,sinap!$A$2:$R$9000,16,FALSE)</f>
        <v>11.1.01.1241</v>
      </c>
      <c r="S128" s="15" t="str">
        <f>VLOOKUP(A128,sinap!$A$2:$Y$9000,20,FALSE)</f>
        <v>SI</v>
      </c>
      <c r="T128" s="16">
        <v>45988</v>
      </c>
    </row>
    <row r="129" spans="1:20" x14ac:dyDescent="0.25">
      <c r="A129" s="15">
        <v>26234217</v>
      </c>
      <c r="J129" s="15" t="str">
        <f>VLOOKUP(A129,sinap!$A$2:$R$9000,2,FALSE)</f>
        <v>H</v>
      </c>
      <c r="K129" s="15" t="str">
        <f>VLOOKUP(A129,sinap!$A$2:$R$9000,3,FALSE)</f>
        <v>TERNERA</v>
      </c>
      <c r="L129" s="15" t="str">
        <f>VLOOKUP(A129,sinap!$A$2:$R$9000,4,FALSE)</f>
        <v>HEREFORD</v>
      </c>
      <c r="M129" s="15" t="str">
        <f>VLOOKUP(A129,sinap!$A$2:$R$9000,5,FALSE)</f>
        <v>0 años 3 meses</v>
      </c>
      <c r="N129" s="15" t="str">
        <f>VLOOKUP(A129,sinap!$A$2:$R$9000,6,FALSE)</f>
        <v>05-10-2025</v>
      </c>
      <c r="O129" s="15" t="str">
        <f>VLOOKUP(A129,sinap!$A$2:$R$9000,7,FALSE)</f>
        <v>Vivo</v>
      </c>
      <c r="P129" s="15" t="str">
        <f>VLOOKUP(A129,sinap!$A$2:$R$9000,8,FALSE)</f>
        <v>11.1.01.0941</v>
      </c>
      <c r="Q129" s="15" t="str">
        <f>VLOOKUP(A129,sinap!$A$2:$R$9000,12,FALSE)</f>
        <v>11.1.01.1241</v>
      </c>
      <c r="R129" s="15" t="str">
        <f>VLOOKUP(A129,sinap!$A$2:$R$9000,16,FALSE)</f>
        <v>11.1.01.1241</v>
      </c>
      <c r="S129" s="15" t="str">
        <f>VLOOKUP(A129,sinap!$A$2:$Y$9000,20,FALSE)</f>
        <v>SI</v>
      </c>
      <c r="T129" s="16">
        <v>45988</v>
      </c>
    </row>
    <row r="130" spans="1:20" x14ac:dyDescent="0.25">
      <c r="A130" s="15">
        <v>26234218</v>
      </c>
      <c r="J130" s="15" t="str">
        <f>VLOOKUP(A130,sinap!$A$2:$R$9000,2,FALSE)</f>
        <v>H</v>
      </c>
      <c r="K130" s="15" t="str">
        <f>VLOOKUP(A130,sinap!$A$2:$R$9000,3,FALSE)</f>
        <v>TERNERA</v>
      </c>
      <c r="L130" s="15" t="str">
        <f>VLOOKUP(A130,sinap!$A$2:$R$9000,4,FALSE)</f>
        <v>ANGUS NEGRO</v>
      </c>
      <c r="M130" s="15" t="str">
        <f>VLOOKUP(A130,sinap!$A$2:$R$9000,5,FALSE)</f>
        <v>0 años 3 meses</v>
      </c>
      <c r="N130" s="15" t="str">
        <f>VLOOKUP(A130,sinap!$A$2:$R$9000,6,FALSE)</f>
        <v>05-10-2025</v>
      </c>
      <c r="O130" s="15" t="str">
        <f>VLOOKUP(A130,sinap!$A$2:$R$9000,7,FALSE)</f>
        <v>Vivo</v>
      </c>
      <c r="P130" s="15" t="str">
        <f>VLOOKUP(A130,sinap!$A$2:$R$9000,8,FALSE)</f>
        <v>11.1.01.0941</v>
      </c>
      <c r="Q130" s="15" t="str">
        <f>VLOOKUP(A130,sinap!$A$2:$R$9000,12,FALSE)</f>
        <v>11.1.01.1241</v>
      </c>
      <c r="R130" s="15" t="str">
        <f>VLOOKUP(A130,sinap!$A$2:$R$9000,16,FALSE)</f>
        <v>11.1.01.1241</v>
      </c>
      <c r="S130" s="15" t="str">
        <f>VLOOKUP(A130,sinap!$A$2:$Y$9000,20,FALSE)</f>
        <v>SI</v>
      </c>
      <c r="T130" s="16">
        <v>45988</v>
      </c>
    </row>
    <row r="131" spans="1:20" x14ac:dyDescent="0.25">
      <c r="A131" s="15">
        <v>26234219</v>
      </c>
      <c r="J131" s="15" t="str">
        <f>VLOOKUP(A131,sinap!$A$2:$R$9000,2,FALSE)</f>
        <v>H</v>
      </c>
      <c r="K131" s="15" t="str">
        <f>VLOOKUP(A131,sinap!$A$2:$R$9000,3,FALSE)</f>
        <v>TERNERA</v>
      </c>
      <c r="L131" s="15" t="str">
        <f>VLOOKUP(A131,sinap!$A$2:$R$9000,4,FALSE)</f>
        <v>ANGUS NEGRO</v>
      </c>
      <c r="M131" s="15" t="str">
        <f>VLOOKUP(A131,sinap!$A$2:$R$9000,5,FALSE)</f>
        <v>0 años 3 meses</v>
      </c>
      <c r="N131" s="15" t="str">
        <f>VLOOKUP(A131,sinap!$A$2:$R$9000,6,FALSE)</f>
        <v>05-10-2025</v>
      </c>
      <c r="O131" s="15" t="str">
        <f>VLOOKUP(A131,sinap!$A$2:$R$9000,7,FALSE)</f>
        <v>Vivo</v>
      </c>
      <c r="P131" s="15" t="str">
        <f>VLOOKUP(A131,sinap!$A$2:$R$9000,8,FALSE)</f>
        <v>11.1.01.0941</v>
      </c>
      <c r="Q131" s="15" t="str">
        <f>VLOOKUP(A131,sinap!$A$2:$R$9000,12,FALSE)</f>
        <v>11.1.01.1241</v>
      </c>
      <c r="R131" s="15" t="str">
        <f>VLOOKUP(A131,sinap!$A$2:$R$9000,16,FALSE)</f>
        <v>11.1.01.1241</v>
      </c>
      <c r="S131" s="15" t="str">
        <f>VLOOKUP(A131,sinap!$A$2:$Y$9000,20,FALSE)</f>
        <v>SI</v>
      </c>
      <c r="T131" s="16">
        <v>45988</v>
      </c>
    </row>
    <row r="132" spans="1:20" x14ac:dyDescent="0.25">
      <c r="A132" s="15">
        <v>26234220</v>
      </c>
      <c r="J132" s="15" t="str">
        <f>VLOOKUP(A132,sinap!$A$2:$R$9000,2,FALSE)</f>
        <v>M</v>
      </c>
      <c r="K132" s="15" t="str">
        <f>VLOOKUP(A132,sinap!$A$2:$R$9000,3,FALSE)</f>
        <v>TERNERO</v>
      </c>
      <c r="L132" s="15" t="str">
        <f>VLOOKUP(A132,sinap!$A$2:$R$9000,4,FALSE)</f>
        <v>ANGUS ROJO</v>
      </c>
      <c r="M132" s="15" t="str">
        <f>VLOOKUP(A132,sinap!$A$2:$R$9000,5,FALSE)</f>
        <v>0 años 3 meses</v>
      </c>
      <c r="N132" s="15" t="str">
        <f>VLOOKUP(A132,sinap!$A$2:$R$9000,6,FALSE)</f>
        <v>05-10-2025</v>
      </c>
      <c r="O132" s="15" t="str">
        <f>VLOOKUP(A132,sinap!$A$2:$R$9000,7,FALSE)</f>
        <v>Vivo</v>
      </c>
      <c r="P132" s="15" t="str">
        <f>VLOOKUP(A132,sinap!$A$2:$R$9000,8,FALSE)</f>
        <v>11.1.01.1241</v>
      </c>
      <c r="Q132" s="15" t="str">
        <f>VLOOKUP(A132,sinap!$A$2:$R$9000,12,FALSE)</f>
        <v>Sin Movimiento</v>
      </c>
      <c r="R132" s="15" t="str">
        <f>VLOOKUP(A132,sinap!$A$2:$R$9000,16,FALSE)</f>
        <v>11.1.01.1241</v>
      </c>
      <c r="S132" s="15" t="str">
        <f>VLOOKUP(A132,sinap!$A$2:$Y$9000,20,FALSE)</f>
        <v>SI</v>
      </c>
      <c r="T132" s="16">
        <v>45988</v>
      </c>
    </row>
    <row r="133" spans="1:20" x14ac:dyDescent="0.25">
      <c r="A133" s="15">
        <v>26234221</v>
      </c>
      <c r="J133" s="15" t="str">
        <f>VLOOKUP(A133,sinap!$A$2:$R$9000,2,FALSE)</f>
        <v>M</v>
      </c>
      <c r="K133" s="15" t="str">
        <f>VLOOKUP(A133,sinap!$A$2:$R$9000,3,FALSE)</f>
        <v>TERNERO</v>
      </c>
      <c r="L133" s="15" t="str">
        <f>VLOOKUP(A133,sinap!$A$2:$R$9000,4,FALSE)</f>
        <v>ANGUS NEGRO</v>
      </c>
      <c r="M133" s="15" t="str">
        <f>VLOOKUP(A133,sinap!$A$2:$R$9000,5,FALSE)</f>
        <v>0 años 3 meses</v>
      </c>
      <c r="N133" s="15" t="str">
        <f>VLOOKUP(A133,sinap!$A$2:$R$9000,6,FALSE)</f>
        <v>05-10-2025</v>
      </c>
      <c r="O133" s="15" t="str">
        <f>VLOOKUP(A133,sinap!$A$2:$R$9000,7,FALSE)</f>
        <v>Vivo</v>
      </c>
      <c r="P133" s="15" t="str">
        <f>VLOOKUP(A133,sinap!$A$2:$R$9000,8,FALSE)</f>
        <v>11.1.01.0941</v>
      </c>
      <c r="Q133" s="15" t="str">
        <f>VLOOKUP(A133,sinap!$A$2:$R$9000,12,FALSE)</f>
        <v>11.1.01.1241</v>
      </c>
      <c r="R133" s="15" t="str">
        <f>VLOOKUP(A133,sinap!$A$2:$R$9000,16,FALSE)</f>
        <v>11.1.01.1241</v>
      </c>
      <c r="S133" s="15" t="str">
        <f>VLOOKUP(A133,sinap!$A$2:$Y$9000,20,FALSE)</f>
        <v>SI</v>
      </c>
      <c r="T133" s="16">
        <v>45988</v>
      </c>
    </row>
    <row r="134" spans="1:20" x14ac:dyDescent="0.25">
      <c r="A134" s="15">
        <v>26234222</v>
      </c>
      <c r="J134" s="15" t="str">
        <f>VLOOKUP(A134,sinap!$A$2:$R$9000,2,FALSE)</f>
        <v>M</v>
      </c>
      <c r="K134" s="15" t="str">
        <f>VLOOKUP(A134,sinap!$A$2:$R$9000,3,FALSE)</f>
        <v>TERNERO</v>
      </c>
      <c r="L134" s="15" t="str">
        <f>VLOOKUP(A134,sinap!$A$2:$R$9000,4,FALSE)</f>
        <v>ANGUS NEGRO</v>
      </c>
      <c r="M134" s="15" t="str">
        <f>VLOOKUP(A134,sinap!$A$2:$R$9000,5,FALSE)</f>
        <v>0 años 3 meses</v>
      </c>
      <c r="N134" s="15" t="str">
        <f>VLOOKUP(A134,sinap!$A$2:$R$9000,6,FALSE)</f>
        <v>05-10-2025</v>
      </c>
      <c r="O134" s="15" t="str">
        <f>VLOOKUP(A134,sinap!$A$2:$R$9000,7,FALSE)</f>
        <v>Vivo</v>
      </c>
      <c r="P134" s="15" t="str">
        <f>VLOOKUP(A134,sinap!$A$2:$R$9000,8,FALSE)</f>
        <v>11.1.01.1241</v>
      </c>
      <c r="Q134" s="15" t="str">
        <f>VLOOKUP(A134,sinap!$A$2:$R$9000,12,FALSE)</f>
        <v>Sin Movimiento</v>
      </c>
      <c r="R134" s="15" t="str">
        <f>VLOOKUP(A134,sinap!$A$2:$R$9000,16,FALSE)</f>
        <v>11.1.01.1241</v>
      </c>
      <c r="S134" s="15" t="str">
        <f>VLOOKUP(A134,sinap!$A$2:$Y$9000,20,FALSE)</f>
        <v>SI</v>
      </c>
      <c r="T134" s="16">
        <v>45988</v>
      </c>
    </row>
    <row r="135" spans="1:20" x14ac:dyDescent="0.25">
      <c r="A135" s="15">
        <v>26234223</v>
      </c>
      <c r="J135" s="15" t="str">
        <f>VLOOKUP(A135,sinap!$A$2:$R$9000,2,FALSE)</f>
        <v>M</v>
      </c>
      <c r="K135" s="15" t="str">
        <f>VLOOKUP(A135,sinap!$A$2:$R$9000,3,FALSE)</f>
        <v>TERNERO</v>
      </c>
      <c r="L135" s="15" t="str">
        <f>VLOOKUP(A135,sinap!$A$2:$R$9000,4,FALSE)</f>
        <v>ANGUS ROJO</v>
      </c>
      <c r="M135" s="15" t="str">
        <f>VLOOKUP(A135,sinap!$A$2:$R$9000,5,FALSE)</f>
        <v>0 años 3 meses</v>
      </c>
      <c r="N135" s="15" t="str">
        <f>VLOOKUP(A135,sinap!$A$2:$R$9000,6,FALSE)</f>
        <v>05-10-2025</v>
      </c>
      <c r="O135" s="15" t="str">
        <f>VLOOKUP(A135,sinap!$A$2:$R$9000,7,FALSE)</f>
        <v>Vivo</v>
      </c>
      <c r="P135" s="15" t="str">
        <f>VLOOKUP(A135,sinap!$A$2:$R$9000,8,FALSE)</f>
        <v>11.1.01.1241</v>
      </c>
      <c r="Q135" s="15" t="str">
        <f>VLOOKUP(A135,sinap!$A$2:$R$9000,12,FALSE)</f>
        <v>Sin Movimiento</v>
      </c>
      <c r="R135" s="15" t="str">
        <f>VLOOKUP(A135,sinap!$A$2:$R$9000,16,FALSE)</f>
        <v>11.1.01.1241</v>
      </c>
      <c r="S135" s="15" t="str">
        <f>VLOOKUP(A135,sinap!$A$2:$Y$9000,20,FALSE)</f>
        <v>SI</v>
      </c>
      <c r="T135" s="16">
        <v>45988</v>
      </c>
    </row>
    <row r="136" spans="1:20" x14ac:dyDescent="0.25">
      <c r="A136" s="15">
        <v>26234224</v>
      </c>
      <c r="J136" s="15" t="str">
        <f>VLOOKUP(A136,sinap!$A$2:$R$9000,2,FALSE)</f>
        <v>H</v>
      </c>
      <c r="K136" s="15" t="str">
        <f>VLOOKUP(A136,sinap!$A$2:$R$9000,3,FALSE)</f>
        <v>TERNERA</v>
      </c>
      <c r="L136" s="15" t="str">
        <f>VLOOKUP(A136,sinap!$A$2:$R$9000,4,FALSE)</f>
        <v>ANGUS NEGRO</v>
      </c>
      <c r="M136" s="15" t="str">
        <f>VLOOKUP(A136,sinap!$A$2:$R$9000,5,FALSE)</f>
        <v>0 años 3 meses</v>
      </c>
      <c r="N136" s="15" t="str">
        <f>VLOOKUP(A136,sinap!$A$2:$R$9000,6,FALSE)</f>
        <v>05-10-2025</v>
      </c>
      <c r="O136" s="15" t="str">
        <f>VLOOKUP(A136,sinap!$A$2:$R$9000,7,FALSE)</f>
        <v>Vivo</v>
      </c>
      <c r="P136" s="15" t="str">
        <f>VLOOKUP(A136,sinap!$A$2:$R$9000,8,FALSE)</f>
        <v>11.1.01.1241</v>
      </c>
      <c r="Q136" s="15" t="str">
        <f>VLOOKUP(A136,sinap!$A$2:$R$9000,12,FALSE)</f>
        <v>Sin Movimiento</v>
      </c>
      <c r="R136" s="15" t="str">
        <f>VLOOKUP(A136,sinap!$A$2:$R$9000,16,FALSE)</f>
        <v>11.1.01.1241</v>
      </c>
      <c r="S136" s="15" t="str">
        <f>VLOOKUP(A136,sinap!$A$2:$Y$9000,20,FALSE)</f>
        <v>SI</v>
      </c>
      <c r="T136" s="16">
        <v>45988</v>
      </c>
    </row>
    <row r="137" spans="1:20" x14ac:dyDescent="0.25">
      <c r="A137" s="15">
        <v>26234225</v>
      </c>
      <c r="J137" s="15" t="str">
        <f>VLOOKUP(A137,sinap!$A$2:$R$9000,2,FALSE)</f>
        <v>H</v>
      </c>
      <c r="K137" s="15" t="str">
        <f>VLOOKUP(A137,sinap!$A$2:$R$9000,3,FALSE)</f>
        <v>TERNERA</v>
      </c>
      <c r="L137" s="15" t="str">
        <f>VLOOKUP(A137,sinap!$A$2:$R$9000,4,FALSE)</f>
        <v>ANGUS NEGRO</v>
      </c>
      <c r="M137" s="15" t="str">
        <f>VLOOKUP(A137,sinap!$A$2:$R$9000,5,FALSE)</f>
        <v>0 años 3 meses</v>
      </c>
      <c r="N137" s="15" t="str">
        <f>VLOOKUP(A137,sinap!$A$2:$R$9000,6,FALSE)</f>
        <v>05-10-2025</v>
      </c>
      <c r="O137" s="15" t="str">
        <f>VLOOKUP(A137,sinap!$A$2:$R$9000,7,FALSE)</f>
        <v>Vivo</v>
      </c>
      <c r="P137" s="15" t="str">
        <f>VLOOKUP(A137,sinap!$A$2:$R$9000,8,FALSE)</f>
        <v>11.1.01.1241</v>
      </c>
      <c r="Q137" s="15" t="str">
        <f>VLOOKUP(A137,sinap!$A$2:$R$9000,12,FALSE)</f>
        <v>Sin Movimiento</v>
      </c>
      <c r="R137" s="15" t="str">
        <f>VLOOKUP(A137,sinap!$A$2:$R$9000,16,FALSE)</f>
        <v>11.1.01.1241</v>
      </c>
      <c r="S137" s="15" t="str">
        <f>VLOOKUP(A137,sinap!$A$2:$Y$9000,20,FALSE)</f>
        <v>SI</v>
      </c>
      <c r="T137" s="16">
        <v>45988</v>
      </c>
    </row>
    <row r="138" spans="1:20" x14ac:dyDescent="0.25">
      <c r="A138" s="15">
        <v>26234226</v>
      </c>
      <c r="J138" s="15" t="str">
        <f>VLOOKUP(A138,sinap!$A$2:$R$9000,2,FALSE)</f>
        <v>H</v>
      </c>
      <c r="K138" s="15" t="str">
        <f>VLOOKUP(A138,sinap!$A$2:$R$9000,3,FALSE)</f>
        <v>TERNERA</v>
      </c>
      <c r="L138" s="15" t="str">
        <f>VLOOKUP(A138,sinap!$A$2:$R$9000,4,FALSE)</f>
        <v>ANGUS NEGRO</v>
      </c>
      <c r="M138" s="15" t="str">
        <f>VLOOKUP(A138,sinap!$A$2:$R$9000,5,FALSE)</f>
        <v>0 años 3 meses</v>
      </c>
      <c r="N138" s="15" t="str">
        <f>VLOOKUP(A138,sinap!$A$2:$R$9000,6,FALSE)</f>
        <v>05-10-2025</v>
      </c>
      <c r="O138" s="15" t="str">
        <f>VLOOKUP(A138,sinap!$A$2:$R$9000,7,FALSE)</f>
        <v>Vivo</v>
      </c>
      <c r="P138" s="15" t="str">
        <f>VLOOKUP(A138,sinap!$A$2:$R$9000,8,FALSE)</f>
        <v>11.1.01.1241</v>
      </c>
      <c r="Q138" s="15" t="str">
        <f>VLOOKUP(A138,sinap!$A$2:$R$9000,12,FALSE)</f>
        <v>Sin Movimiento</v>
      </c>
      <c r="R138" s="15" t="str">
        <f>VLOOKUP(A138,sinap!$A$2:$R$9000,16,FALSE)</f>
        <v>11.1.01.1241</v>
      </c>
      <c r="S138" s="15" t="str">
        <f>VLOOKUP(A138,sinap!$A$2:$Y$9000,20,FALSE)</f>
        <v>SI</v>
      </c>
      <c r="T138" s="16">
        <v>45988</v>
      </c>
    </row>
    <row r="139" spans="1:20" x14ac:dyDescent="0.25">
      <c r="A139" s="15">
        <v>26234227</v>
      </c>
      <c r="J139" s="15" t="str">
        <f>VLOOKUP(A139,sinap!$A$2:$R$9000,2,FALSE)</f>
        <v>H</v>
      </c>
      <c r="K139" s="15" t="str">
        <f>VLOOKUP(A139,sinap!$A$2:$R$9000,3,FALSE)</f>
        <v>TERNERA</v>
      </c>
      <c r="L139" s="15" t="str">
        <f>VLOOKUP(A139,sinap!$A$2:$R$9000,4,FALSE)</f>
        <v>ANGUS ROJO</v>
      </c>
      <c r="M139" s="15" t="str">
        <f>VLOOKUP(A139,sinap!$A$2:$R$9000,5,FALSE)</f>
        <v>0 años 3 meses</v>
      </c>
      <c r="N139" s="15" t="str">
        <f>VLOOKUP(A139,sinap!$A$2:$R$9000,6,FALSE)</f>
        <v>05-10-2025</v>
      </c>
      <c r="O139" s="15" t="str">
        <f>VLOOKUP(A139,sinap!$A$2:$R$9000,7,FALSE)</f>
        <v>Vivo</v>
      </c>
      <c r="P139" s="15" t="str">
        <f>VLOOKUP(A139,sinap!$A$2:$R$9000,8,FALSE)</f>
        <v>11.1.01.1241</v>
      </c>
      <c r="Q139" s="15" t="str">
        <f>VLOOKUP(A139,sinap!$A$2:$R$9000,12,FALSE)</f>
        <v>Sin Movimiento</v>
      </c>
      <c r="R139" s="15" t="str">
        <f>VLOOKUP(A139,sinap!$A$2:$R$9000,16,FALSE)</f>
        <v>11.1.01.1241</v>
      </c>
      <c r="S139" s="15" t="str">
        <f>VLOOKUP(A139,sinap!$A$2:$Y$9000,20,FALSE)</f>
        <v>SI</v>
      </c>
      <c r="T139" s="16">
        <v>45988</v>
      </c>
    </row>
    <row r="140" spans="1:20" x14ac:dyDescent="0.25">
      <c r="A140" s="15">
        <v>26234228</v>
      </c>
      <c r="J140" s="15" t="str">
        <f>VLOOKUP(A140,sinap!$A$2:$R$9000,2,FALSE)</f>
        <v>M</v>
      </c>
      <c r="K140" s="15" t="str">
        <f>VLOOKUP(A140,sinap!$A$2:$R$9000,3,FALSE)</f>
        <v>TERNERO</v>
      </c>
      <c r="L140" s="15" t="str">
        <f>VLOOKUP(A140,sinap!$A$2:$R$9000,4,FALSE)</f>
        <v>ANGUS NEGRO</v>
      </c>
      <c r="M140" s="15" t="str">
        <f>VLOOKUP(A140,sinap!$A$2:$R$9000,5,FALSE)</f>
        <v>0 años 3 meses</v>
      </c>
      <c r="N140" s="15" t="str">
        <f>VLOOKUP(A140,sinap!$A$2:$R$9000,6,FALSE)</f>
        <v>05-10-2025</v>
      </c>
      <c r="O140" s="15" t="str">
        <f>VLOOKUP(A140,sinap!$A$2:$R$9000,7,FALSE)</f>
        <v>Vivo</v>
      </c>
      <c r="P140" s="15" t="str">
        <f>VLOOKUP(A140,sinap!$A$2:$R$9000,8,FALSE)</f>
        <v>11.1.01.1241</v>
      </c>
      <c r="Q140" s="15" t="str">
        <f>VLOOKUP(A140,sinap!$A$2:$R$9000,12,FALSE)</f>
        <v>Sin Movimiento</v>
      </c>
      <c r="R140" s="15" t="str">
        <f>VLOOKUP(A140,sinap!$A$2:$R$9000,16,FALSE)</f>
        <v>11.1.01.1241</v>
      </c>
      <c r="S140" s="15" t="str">
        <f>VLOOKUP(A140,sinap!$A$2:$Y$9000,20,FALSE)</f>
        <v>SI</v>
      </c>
      <c r="T140" s="16">
        <v>45988</v>
      </c>
    </row>
    <row r="141" spans="1:20" x14ac:dyDescent="0.25">
      <c r="A141" s="15">
        <v>26234229</v>
      </c>
      <c r="J141" s="15" t="str">
        <f>VLOOKUP(A141,sinap!$A$2:$R$9000,2,FALSE)</f>
        <v>M</v>
      </c>
      <c r="K141" s="15" t="str">
        <f>VLOOKUP(A141,sinap!$A$2:$R$9000,3,FALSE)</f>
        <v>TERNERO</v>
      </c>
      <c r="L141" s="15" t="str">
        <f>VLOOKUP(A141,sinap!$A$2:$R$9000,4,FALSE)</f>
        <v>ANGUS NEGRO</v>
      </c>
      <c r="M141" s="15" t="str">
        <f>VLOOKUP(A141,sinap!$A$2:$R$9000,5,FALSE)</f>
        <v>0 años 3 meses</v>
      </c>
      <c r="N141" s="15" t="str">
        <f>VLOOKUP(A141,sinap!$A$2:$R$9000,6,FALSE)</f>
        <v>05-10-2025</v>
      </c>
      <c r="O141" s="15" t="str">
        <f>VLOOKUP(A141,sinap!$A$2:$R$9000,7,FALSE)</f>
        <v>Vivo</v>
      </c>
      <c r="P141" s="15" t="str">
        <f>VLOOKUP(A141,sinap!$A$2:$R$9000,8,FALSE)</f>
        <v>11.1.01.1241</v>
      </c>
      <c r="Q141" s="15" t="str">
        <f>VLOOKUP(A141,sinap!$A$2:$R$9000,12,FALSE)</f>
        <v>Sin Movimiento</v>
      </c>
      <c r="R141" s="15" t="str">
        <f>VLOOKUP(A141,sinap!$A$2:$R$9000,16,FALSE)</f>
        <v>11.1.01.1241</v>
      </c>
      <c r="S141" s="15" t="str">
        <f>VLOOKUP(A141,sinap!$A$2:$Y$9000,20,FALSE)</f>
        <v>SI</v>
      </c>
      <c r="T141" s="16">
        <v>45988</v>
      </c>
    </row>
    <row r="142" spans="1:20" x14ac:dyDescent="0.25">
      <c r="A142" s="15">
        <v>26234230</v>
      </c>
      <c r="J142" s="15" t="str">
        <f>VLOOKUP(A142,sinap!$A$2:$R$9000,2,FALSE)</f>
        <v>M</v>
      </c>
      <c r="K142" s="15" t="str">
        <f>VLOOKUP(A142,sinap!$A$2:$R$9000,3,FALSE)</f>
        <v>TERNERO</v>
      </c>
      <c r="L142" s="15" t="str">
        <f>VLOOKUP(A142,sinap!$A$2:$R$9000,4,FALSE)</f>
        <v>ANGUS NEGRO</v>
      </c>
      <c r="M142" s="15" t="str">
        <f>VLOOKUP(A142,sinap!$A$2:$R$9000,5,FALSE)</f>
        <v>0 años 3 meses</v>
      </c>
      <c r="N142" s="15" t="str">
        <f>VLOOKUP(A142,sinap!$A$2:$R$9000,6,FALSE)</f>
        <v>05-10-2025</v>
      </c>
      <c r="O142" s="15" t="str">
        <f>VLOOKUP(A142,sinap!$A$2:$R$9000,7,FALSE)</f>
        <v>Vivo</v>
      </c>
      <c r="P142" s="15" t="str">
        <f>VLOOKUP(A142,sinap!$A$2:$R$9000,8,FALSE)</f>
        <v>11.1.01.1241</v>
      </c>
      <c r="Q142" s="15" t="str">
        <f>VLOOKUP(A142,sinap!$A$2:$R$9000,12,FALSE)</f>
        <v>Sin Movimiento</v>
      </c>
      <c r="R142" s="15" t="str">
        <f>VLOOKUP(A142,sinap!$A$2:$R$9000,16,FALSE)</f>
        <v>11.1.01.1241</v>
      </c>
      <c r="S142" s="15" t="str">
        <f>VLOOKUP(A142,sinap!$A$2:$Y$9000,20,FALSE)</f>
        <v>SI</v>
      </c>
      <c r="T142" s="16">
        <v>45988</v>
      </c>
    </row>
    <row r="143" spans="1:20" x14ac:dyDescent="0.25">
      <c r="A143" s="15">
        <v>26234231</v>
      </c>
      <c r="J143" s="15" t="str">
        <f>VLOOKUP(A143,sinap!$A$2:$R$9000,2,FALSE)</f>
        <v>M</v>
      </c>
      <c r="K143" s="15" t="str">
        <f>VLOOKUP(A143,sinap!$A$2:$R$9000,3,FALSE)</f>
        <v>TERNERO</v>
      </c>
      <c r="L143" s="15" t="str">
        <f>VLOOKUP(A143,sinap!$A$2:$R$9000,4,FALSE)</f>
        <v>ANGUS NEGRO</v>
      </c>
      <c r="M143" s="15" t="str">
        <f>VLOOKUP(A143,sinap!$A$2:$R$9000,5,FALSE)</f>
        <v>0 años 3 meses</v>
      </c>
      <c r="N143" s="15" t="str">
        <f>VLOOKUP(A143,sinap!$A$2:$R$9000,6,FALSE)</f>
        <v>05-10-2025</v>
      </c>
      <c r="O143" s="15" t="str">
        <f>VLOOKUP(A143,sinap!$A$2:$R$9000,7,FALSE)</f>
        <v>Vivo</v>
      </c>
      <c r="P143" s="15" t="str">
        <f>VLOOKUP(A143,sinap!$A$2:$R$9000,8,FALSE)</f>
        <v>11.1.01.1241</v>
      </c>
      <c r="Q143" s="15" t="str">
        <f>VLOOKUP(A143,sinap!$A$2:$R$9000,12,FALSE)</f>
        <v>Sin Movimiento</v>
      </c>
      <c r="R143" s="15" t="str">
        <f>VLOOKUP(A143,sinap!$A$2:$R$9000,16,FALSE)</f>
        <v>11.1.01.1241</v>
      </c>
      <c r="S143" s="15" t="str">
        <f>VLOOKUP(A143,sinap!$A$2:$Y$9000,20,FALSE)</f>
        <v>SI</v>
      </c>
      <c r="T143" s="16">
        <v>45988</v>
      </c>
    </row>
    <row r="144" spans="1:20" x14ac:dyDescent="0.25">
      <c r="A144" s="15">
        <v>26234232</v>
      </c>
      <c r="J144" s="15" t="str">
        <f>VLOOKUP(A144,sinap!$A$2:$R$9000,2,FALSE)</f>
        <v>H</v>
      </c>
      <c r="K144" s="15" t="str">
        <f>VLOOKUP(A144,sinap!$A$2:$R$9000,3,FALSE)</f>
        <v>TERNERA</v>
      </c>
      <c r="L144" s="15" t="str">
        <f>VLOOKUP(A144,sinap!$A$2:$R$9000,4,FALSE)</f>
        <v>ANGUS ROJO</v>
      </c>
      <c r="M144" s="15" t="str">
        <f>VLOOKUP(A144,sinap!$A$2:$R$9000,5,FALSE)</f>
        <v>0 años 3 meses</v>
      </c>
      <c r="N144" s="15" t="str">
        <f>VLOOKUP(A144,sinap!$A$2:$R$9000,6,FALSE)</f>
        <v>05-10-2025</v>
      </c>
      <c r="O144" s="15" t="str">
        <f>VLOOKUP(A144,sinap!$A$2:$R$9000,7,FALSE)</f>
        <v>Vivo</v>
      </c>
      <c r="P144" s="15" t="str">
        <f>VLOOKUP(A144,sinap!$A$2:$R$9000,8,FALSE)</f>
        <v>11.1.01.0941</v>
      </c>
      <c r="Q144" s="15" t="str">
        <f>VLOOKUP(A144,sinap!$A$2:$R$9000,12,FALSE)</f>
        <v>11.1.01.1241</v>
      </c>
      <c r="R144" s="15" t="str">
        <f>VLOOKUP(A144,sinap!$A$2:$R$9000,16,FALSE)</f>
        <v>11.1.01.1241</v>
      </c>
      <c r="S144" s="15" t="str">
        <f>VLOOKUP(A144,sinap!$A$2:$Y$9000,20,FALSE)</f>
        <v>SI</v>
      </c>
      <c r="T144" s="16">
        <v>45988</v>
      </c>
    </row>
    <row r="145" spans="1:20" x14ac:dyDescent="0.25">
      <c r="A145" s="15">
        <v>26234233</v>
      </c>
      <c r="J145" s="15" t="str">
        <f>VLOOKUP(A145,sinap!$A$2:$R$9000,2,FALSE)</f>
        <v>H</v>
      </c>
      <c r="K145" s="15" t="str">
        <f>VLOOKUP(A145,sinap!$A$2:$R$9000,3,FALSE)</f>
        <v>TERNERA</v>
      </c>
      <c r="L145" s="15" t="str">
        <f>VLOOKUP(A145,sinap!$A$2:$R$9000,4,FALSE)</f>
        <v>ANGUS NEGRO</v>
      </c>
      <c r="M145" s="15" t="str">
        <f>VLOOKUP(A145,sinap!$A$2:$R$9000,5,FALSE)</f>
        <v>0 años 3 meses</v>
      </c>
      <c r="N145" s="15" t="str">
        <f>VLOOKUP(A145,sinap!$A$2:$R$9000,6,FALSE)</f>
        <v>05-10-2025</v>
      </c>
      <c r="O145" s="15" t="str">
        <f>VLOOKUP(A145,sinap!$A$2:$R$9000,7,FALSE)</f>
        <v>Vivo</v>
      </c>
      <c r="P145" s="15" t="str">
        <f>VLOOKUP(A145,sinap!$A$2:$R$9000,8,FALSE)</f>
        <v>11.1.01.1241</v>
      </c>
      <c r="Q145" s="15" t="str">
        <f>VLOOKUP(A145,sinap!$A$2:$R$9000,12,FALSE)</f>
        <v>Sin Movimiento</v>
      </c>
      <c r="R145" s="15" t="str">
        <f>VLOOKUP(A145,sinap!$A$2:$R$9000,16,FALSE)</f>
        <v>11.1.01.1241</v>
      </c>
      <c r="S145" s="15" t="str">
        <f>VLOOKUP(A145,sinap!$A$2:$Y$9000,20,FALSE)</f>
        <v>SI</v>
      </c>
      <c r="T145" s="16">
        <v>45988</v>
      </c>
    </row>
    <row r="146" spans="1:20" x14ac:dyDescent="0.25">
      <c r="A146" s="15">
        <v>26234234</v>
      </c>
      <c r="J146" s="15" t="str">
        <f>VLOOKUP(A146,sinap!$A$2:$R$9000,2,FALSE)</f>
        <v>M</v>
      </c>
      <c r="K146" s="15" t="str">
        <f>VLOOKUP(A146,sinap!$A$2:$R$9000,3,FALSE)</f>
        <v>TERNERO</v>
      </c>
      <c r="L146" s="15" t="str">
        <f>VLOOKUP(A146,sinap!$A$2:$R$9000,4,FALSE)</f>
        <v>ANGUS NEGRO</v>
      </c>
      <c r="M146" s="15" t="str">
        <f>VLOOKUP(A146,sinap!$A$2:$R$9000,5,FALSE)</f>
        <v>0 años 3 meses</v>
      </c>
      <c r="N146" s="15" t="str">
        <f>VLOOKUP(A146,sinap!$A$2:$R$9000,6,FALSE)</f>
        <v>05-10-2025</v>
      </c>
      <c r="O146" s="15" t="str">
        <f>VLOOKUP(A146,sinap!$A$2:$R$9000,7,FALSE)</f>
        <v>Vivo</v>
      </c>
      <c r="P146" s="15" t="str">
        <f>VLOOKUP(A146,sinap!$A$2:$R$9000,8,FALSE)</f>
        <v>11.1.01.0941</v>
      </c>
      <c r="Q146" s="15" t="str">
        <f>VLOOKUP(A146,sinap!$A$2:$R$9000,12,FALSE)</f>
        <v>11.1.01.1241</v>
      </c>
      <c r="R146" s="15" t="str">
        <f>VLOOKUP(A146,sinap!$A$2:$R$9000,16,FALSE)</f>
        <v>11.1.01.1241</v>
      </c>
      <c r="S146" s="15" t="str">
        <f>VLOOKUP(A146,sinap!$A$2:$Y$9000,20,FALSE)</f>
        <v>SI</v>
      </c>
      <c r="T146" s="16">
        <v>45988</v>
      </c>
    </row>
    <row r="147" spans="1:20" x14ac:dyDescent="0.25">
      <c r="A147" s="15">
        <v>26234235</v>
      </c>
      <c r="J147" s="15" t="str">
        <f>VLOOKUP(A147,sinap!$A$2:$R$9000,2,FALSE)</f>
        <v>M</v>
      </c>
      <c r="K147" s="15" t="str">
        <f>VLOOKUP(A147,sinap!$A$2:$R$9000,3,FALSE)</f>
        <v>TERNERO</v>
      </c>
      <c r="L147" s="15" t="str">
        <f>VLOOKUP(A147,sinap!$A$2:$R$9000,4,FALSE)</f>
        <v>ANGUS NEGRO</v>
      </c>
      <c r="M147" s="15" t="str">
        <f>VLOOKUP(A147,sinap!$A$2:$R$9000,5,FALSE)</f>
        <v>0 años 3 meses</v>
      </c>
      <c r="N147" s="15" t="str">
        <f>VLOOKUP(A147,sinap!$A$2:$R$9000,6,FALSE)</f>
        <v>05-10-2025</v>
      </c>
      <c r="O147" s="15" t="str">
        <f>VLOOKUP(A147,sinap!$A$2:$R$9000,7,FALSE)</f>
        <v>Vivo</v>
      </c>
      <c r="P147" s="15" t="str">
        <f>VLOOKUP(A147,sinap!$A$2:$R$9000,8,FALSE)</f>
        <v>11.1.01.1241</v>
      </c>
      <c r="Q147" s="15" t="str">
        <f>VLOOKUP(A147,sinap!$A$2:$R$9000,12,FALSE)</f>
        <v>Sin Movimiento</v>
      </c>
      <c r="R147" s="15" t="str">
        <f>VLOOKUP(A147,sinap!$A$2:$R$9000,16,FALSE)</f>
        <v>11.1.01.1241</v>
      </c>
      <c r="S147" s="15" t="str">
        <f>VLOOKUP(A147,sinap!$A$2:$Y$9000,20,FALSE)</f>
        <v>SI</v>
      </c>
      <c r="T147" s="16">
        <v>45988</v>
      </c>
    </row>
    <row r="148" spans="1:20" x14ac:dyDescent="0.25">
      <c r="A148" s="15">
        <v>26234236</v>
      </c>
      <c r="J148" s="15" t="str">
        <f>VLOOKUP(A148,sinap!$A$2:$R$9000,2,FALSE)</f>
        <v>M</v>
      </c>
      <c r="K148" s="15" t="str">
        <f>VLOOKUP(A148,sinap!$A$2:$R$9000,3,FALSE)</f>
        <v>TERNERO</v>
      </c>
      <c r="L148" s="15" t="str">
        <f>VLOOKUP(A148,sinap!$A$2:$R$9000,4,FALSE)</f>
        <v>ANGUS NEGRO</v>
      </c>
      <c r="M148" s="15" t="str">
        <f>VLOOKUP(A148,sinap!$A$2:$R$9000,5,FALSE)</f>
        <v>0 años 3 meses</v>
      </c>
      <c r="N148" s="15" t="str">
        <f>VLOOKUP(A148,sinap!$A$2:$R$9000,6,FALSE)</f>
        <v>05-10-2025</v>
      </c>
      <c r="O148" s="15" t="str">
        <f>VLOOKUP(A148,sinap!$A$2:$R$9000,7,FALSE)</f>
        <v>Vivo</v>
      </c>
      <c r="P148" s="15" t="str">
        <f>VLOOKUP(A148,sinap!$A$2:$R$9000,8,FALSE)</f>
        <v>11.1.01.1241</v>
      </c>
      <c r="Q148" s="15" t="str">
        <f>VLOOKUP(A148,sinap!$A$2:$R$9000,12,FALSE)</f>
        <v>Sin Movimiento</v>
      </c>
      <c r="R148" s="15" t="str">
        <f>VLOOKUP(A148,sinap!$A$2:$R$9000,16,FALSE)</f>
        <v>11.1.01.1241</v>
      </c>
      <c r="S148" s="15" t="str">
        <f>VLOOKUP(A148,sinap!$A$2:$Y$9000,20,FALSE)</f>
        <v>SI</v>
      </c>
      <c r="T148" s="16">
        <v>45988</v>
      </c>
    </row>
    <row r="149" spans="1:20" x14ac:dyDescent="0.25">
      <c r="A149" s="15">
        <v>26234237</v>
      </c>
      <c r="J149" s="15" t="str">
        <f>VLOOKUP(A149,sinap!$A$2:$R$9000,2,FALSE)</f>
        <v>H</v>
      </c>
      <c r="K149" s="15" t="str">
        <f>VLOOKUP(A149,sinap!$A$2:$R$9000,3,FALSE)</f>
        <v>TERNERA</v>
      </c>
      <c r="L149" s="15" t="str">
        <f>VLOOKUP(A149,sinap!$A$2:$R$9000,4,FALSE)</f>
        <v>ANGUS ROJO</v>
      </c>
      <c r="M149" s="15" t="str">
        <f>VLOOKUP(A149,sinap!$A$2:$R$9000,5,FALSE)</f>
        <v>0 años 3 meses</v>
      </c>
      <c r="N149" s="15" t="str">
        <f>VLOOKUP(A149,sinap!$A$2:$R$9000,6,FALSE)</f>
        <v>05-10-2025</v>
      </c>
      <c r="O149" s="15" t="str">
        <f>VLOOKUP(A149,sinap!$A$2:$R$9000,7,FALSE)</f>
        <v>Vivo</v>
      </c>
      <c r="P149" s="15" t="str">
        <f>VLOOKUP(A149,sinap!$A$2:$R$9000,8,FALSE)</f>
        <v>11.1.01.0941</v>
      </c>
      <c r="Q149" s="15" t="str">
        <f>VLOOKUP(A149,sinap!$A$2:$R$9000,12,FALSE)</f>
        <v>11.1.01.1241</v>
      </c>
      <c r="R149" s="15" t="str">
        <f>VLOOKUP(A149,sinap!$A$2:$R$9000,16,FALSE)</f>
        <v>11.1.01.1241</v>
      </c>
      <c r="S149" s="15" t="str">
        <f>VLOOKUP(A149,sinap!$A$2:$Y$9000,20,FALSE)</f>
        <v>SI</v>
      </c>
      <c r="T149" s="16">
        <v>45988</v>
      </c>
    </row>
    <row r="150" spans="1:20" x14ac:dyDescent="0.25">
      <c r="A150" s="15">
        <v>26234238</v>
      </c>
      <c r="J150" s="15" t="str">
        <f>VLOOKUP(A150,sinap!$A$2:$R$9000,2,FALSE)</f>
        <v>H</v>
      </c>
      <c r="K150" s="15" t="str">
        <f>VLOOKUP(A150,sinap!$A$2:$R$9000,3,FALSE)</f>
        <v>TERNERA</v>
      </c>
      <c r="L150" s="15" t="str">
        <f>VLOOKUP(A150,sinap!$A$2:$R$9000,4,FALSE)</f>
        <v>ANGUS NEGRO</v>
      </c>
      <c r="M150" s="15" t="str">
        <f>VLOOKUP(A150,sinap!$A$2:$R$9000,5,FALSE)</f>
        <v>0 años 3 meses</v>
      </c>
      <c r="N150" s="15" t="str">
        <f>VLOOKUP(A150,sinap!$A$2:$R$9000,6,FALSE)</f>
        <v>05-10-2025</v>
      </c>
      <c r="O150" s="15" t="str">
        <f>VLOOKUP(A150,sinap!$A$2:$R$9000,7,FALSE)</f>
        <v>Vivo</v>
      </c>
      <c r="P150" s="15" t="str">
        <f>VLOOKUP(A150,sinap!$A$2:$R$9000,8,FALSE)</f>
        <v>11.1.01.1241</v>
      </c>
      <c r="Q150" s="15" t="str">
        <f>VLOOKUP(A150,sinap!$A$2:$R$9000,12,FALSE)</f>
        <v>Sin Movimiento</v>
      </c>
      <c r="R150" s="15" t="str">
        <f>VLOOKUP(A150,sinap!$A$2:$R$9000,16,FALSE)</f>
        <v>11.1.01.1241</v>
      </c>
      <c r="S150" s="15" t="str">
        <f>VLOOKUP(A150,sinap!$A$2:$Y$9000,20,FALSE)</f>
        <v>SI</v>
      </c>
      <c r="T150" s="16">
        <v>45988</v>
      </c>
    </row>
    <row r="151" spans="1:20" x14ac:dyDescent="0.25">
      <c r="A151" s="15">
        <v>26234239</v>
      </c>
      <c r="J151" s="15" t="str">
        <f>VLOOKUP(A151,sinap!$A$2:$R$9000,2,FALSE)</f>
        <v>M</v>
      </c>
      <c r="K151" s="15" t="str">
        <f>VLOOKUP(A151,sinap!$A$2:$R$9000,3,FALSE)</f>
        <v>TERNERO</v>
      </c>
      <c r="L151" s="15" t="str">
        <f>VLOOKUP(A151,sinap!$A$2:$R$9000,4,FALSE)</f>
        <v>ANGUS NEGRO</v>
      </c>
      <c r="M151" s="15" t="str">
        <f>VLOOKUP(A151,sinap!$A$2:$R$9000,5,FALSE)</f>
        <v>0 años 3 meses</v>
      </c>
      <c r="N151" s="15" t="str">
        <f>VLOOKUP(A151,sinap!$A$2:$R$9000,6,FALSE)</f>
        <v>05-10-2025</v>
      </c>
      <c r="O151" s="15" t="str">
        <f>VLOOKUP(A151,sinap!$A$2:$R$9000,7,FALSE)</f>
        <v>Vivo</v>
      </c>
      <c r="P151" s="15" t="str">
        <f>VLOOKUP(A151,sinap!$A$2:$R$9000,8,FALSE)</f>
        <v>11.1.01.1241</v>
      </c>
      <c r="Q151" s="15" t="str">
        <f>VLOOKUP(A151,sinap!$A$2:$R$9000,12,FALSE)</f>
        <v>Sin Movimiento</v>
      </c>
      <c r="R151" s="15" t="str">
        <f>VLOOKUP(A151,sinap!$A$2:$R$9000,16,FALSE)</f>
        <v>11.1.01.1241</v>
      </c>
      <c r="S151" s="15" t="str">
        <f>VLOOKUP(A151,sinap!$A$2:$Y$9000,20,FALSE)</f>
        <v>SI</v>
      </c>
      <c r="T151" s="16">
        <v>45988</v>
      </c>
    </row>
    <row r="152" spans="1:20" x14ac:dyDescent="0.25">
      <c r="A152" s="15">
        <v>26234240</v>
      </c>
      <c r="J152" s="15" t="str">
        <f>VLOOKUP(A152,sinap!$A$2:$R$9000,2,FALSE)</f>
        <v>M</v>
      </c>
      <c r="K152" s="15" t="str">
        <f>VLOOKUP(A152,sinap!$A$2:$R$9000,3,FALSE)</f>
        <v>TERNERO</v>
      </c>
      <c r="L152" s="15" t="str">
        <f>VLOOKUP(A152,sinap!$A$2:$R$9000,4,FALSE)</f>
        <v>ANGUS NEGRO</v>
      </c>
      <c r="M152" s="15" t="str">
        <f>VLOOKUP(A152,sinap!$A$2:$R$9000,5,FALSE)</f>
        <v>0 años 3 meses</v>
      </c>
      <c r="N152" s="15" t="str">
        <f>VLOOKUP(A152,sinap!$A$2:$R$9000,6,FALSE)</f>
        <v>05-10-2025</v>
      </c>
      <c r="O152" s="15" t="str">
        <f>VLOOKUP(A152,sinap!$A$2:$R$9000,7,FALSE)</f>
        <v>Vivo</v>
      </c>
      <c r="P152" s="15" t="str">
        <f>VLOOKUP(A152,sinap!$A$2:$R$9000,8,FALSE)</f>
        <v>11.1.01.1241</v>
      </c>
      <c r="Q152" s="15" t="str">
        <f>VLOOKUP(A152,sinap!$A$2:$R$9000,12,FALSE)</f>
        <v>Sin Movimiento</v>
      </c>
      <c r="R152" s="15" t="str">
        <f>VLOOKUP(A152,sinap!$A$2:$R$9000,16,FALSE)</f>
        <v>11.1.01.1241</v>
      </c>
      <c r="S152" s="15" t="str">
        <f>VLOOKUP(A152,sinap!$A$2:$Y$9000,20,FALSE)</f>
        <v>SI</v>
      </c>
      <c r="T152" s="16">
        <v>45988</v>
      </c>
    </row>
    <row r="153" spans="1:20" x14ac:dyDescent="0.25">
      <c r="A153" s="15">
        <v>26234241</v>
      </c>
      <c r="J153" s="15" t="str">
        <f>VLOOKUP(A153,sinap!$A$2:$R$9000,2,FALSE)</f>
        <v>H</v>
      </c>
      <c r="K153" s="15" t="str">
        <f>VLOOKUP(A153,sinap!$A$2:$R$9000,3,FALSE)</f>
        <v>TERNERA</v>
      </c>
      <c r="L153" s="15" t="str">
        <f>VLOOKUP(A153,sinap!$A$2:$R$9000,4,FALSE)</f>
        <v>ANGUS NEGRO</v>
      </c>
      <c r="M153" s="15" t="str">
        <f>VLOOKUP(A153,sinap!$A$2:$R$9000,5,FALSE)</f>
        <v>0 años 3 meses</v>
      </c>
      <c r="N153" s="15" t="str">
        <f>VLOOKUP(A153,sinap!$A$2:$R$9000,6,FALSE)</f>
        <v>05-10-2025</v>
      </c>
      <c r="O153" s="15" t="str">
        <f>VLOOKUP(A153,sinap!$A$2:$R$9000,7,FALSE)</f>
        <v>Vivo</v>
      </c>
      <c r="P153" s="15" t="str">
        <f>VLOOKUP(A153,sinap!$A$2:$R$9000,8,FALSE)</f>
        <v>11.1.01.1241</v>
      </c>
      <c r="Q153" s="15" t="str">
        <f>VLOOKUP(A153,sinap!$A$2:$R$9000,12,FALSE)</f>
        <v>Sin Movimiento</v>
      </c>
      <c r="R153" s="15" t="str">
        <f>VLOOKUP(A153,sinap!$A$2:$R$9000,16,FALSE)</f>
        <v>11.1.01.1241</v>
      </c>
      <c r="S153" s="15" t="str">
        <f>VLOOKUP(A153,sinap!$A$2:$Y$9000,20,FALSE)</f>
        <v>SI</v>
      </c>
      <c r="T153" s="16">
        <v>45988</v>
      </c>
    </row>
    <row r="154" spans="1:20" x14ac:dyDescent="0.25">
      <c r="A154" s="15">
        <v>26234242</v>
      </c>
      <c r="J154" s="15" t="str">
        <f>VLOOKUP(A154,sinap!$A$2:$R$9000,2,FALSE)</f>
        <v>M</v>
      </c>
      <c r="K154" s="15" t="str">
        <f>VLOOKUP(A154,sinap!$A$2:$R$9000,3,FALSE)</f>
        <v>TERNERO</v>
      </c>
      <c r="L154" s="15" t="str">
        <f>VLOOKUP(A154,sinap!$A$2:$R$9000,4,FALSE)</f>
        <v>ANGUS NEGRO</v>
      </c>
      <c r="M154" s="15" t="str">
        <f>VLOOKUP(A154,sinap!$A$2:$R$9000,5,FALSE)</f>
        <v>0 años 3 meses</v>
      </c>
      <c r="N154" s="15" t="str">
        <f>VLOOKUP(A154,sinap!$A$2:$R$9000,6,FALSE)</f>
        <v>05-10-2025</v>
      </c>
      <c r="O154" s="15" t="str">
        <f>VLOOKUP(A154,sinap!$A$2:$R$9000,7,FALSE)</f>
        <v>Vivo</v>
      </c>
      <c r="P154" s="15" t="str">
        <f>VLOOKUP(A154,sinap!$A$2:$R$9000,8,FALSE)</f>
        <v>11.1.01.1241</v>
      </c>
      <c r="Q154" s="15" t="str">
        <f>VLOOKUP(A154,sinap!$A$2:$R$9000,12,FALSE)</f>
        <v>Sin Movimiento</v>
      </c>
      <c r="R154" s="15" t="str">
        <f>VLOOKUP(A154,sinap!$A$2:$R$9000,16,FALSE)</f>
        <v>11.1.01.1241</v>
      </c>
      <c r="S154" s="15" t="str">
        <f>VLOOKUP(A154,sinap!$A$2:$Y$9000,20,FALSE)</f>
        <v>SI</v>
      </c>
      <c r="T154" s="16">
        <v>45988</v>
      </c>
    </row>
    <row r="155" spans="1:20" x14ac:dyDescent="0.25">
      <c r="A155" s="15">
        <v>26234243</v>
      </c>
      <c r="J155" s="15" t="str">
        <f>VLOOKUP(A155,sinap!$A$2:$R$9000,2,FALSE)</f>
        <v>H</v>
      </c>
      <c r="K155" s="15" t="str">
        <f>VLOOKUP(A155,sinap!$A$2:$R$9000,3,FALSE)</f>
        <v>TERNERA</v>
      </c>
      <c r="L155" s="15" t="str">
        <f>VLOOKUP(A155,sinap!$A$2:$R$9000,4,FALSE)</f>
        <v>ANGUS NEGRO</v>
      </c>
      <c r="M155" s="15" t="str">
        <f>VLOOKUP(A155,sinap!$A$2:$R$9000,5,FALSE)</f>
        <v>0 años 3 meses</v>
      </c>
      <c r="N155" s="15" t="str">
        <f>VLOOKUP(A155,sinap!$A$2:$R$9000,6,FALSE)</f>
        <v>05-10-2025</v>
      </c>
      <c r="O155" s="15" t="str">
        <f>VLOOKUP(A155,sinap!$A$2:$R$9000,7,FALSE)</f>
        <v>Vivo</v>
      </c>
      <c r="P155" s="15" t="str">
        <f>VLOOKUP(A155,sinap!$A$2:$R$9000,8,FALSE)</f>
        <v>11.1.01.1241</v>
      </c>
      <c r="Q155" s="15" t="str">
        <f>VLOOKUP(A155,sinap!$A$2:$R$9000,12,FALSE)</f>
        <v>Sin Movimiento</v>
      </c>
      <c r="R155" s="15" t="str">
        <f>VLOOKUP(A155,sinap!$A$2:$R$9000,16,FALSE)</f>
        <v>11.1.01.1241</v>
      </c>
      <c r="S155" s="15" t="str">
        <f>VLOOKUP(A155,sinap!$A$2:$Y$9000,20,FALSE)</f>
        <v>SI</v>
      </c>
      <c r="T155" s="16">
        <v>45988</v>
      </c>
    </row>
    <row r="156" spans="1:20" x14ac:dyDescent="0.25">
      <c r="A156" s="15">
        <v>26234244</v>
      </c>
      <c r="J156" s="15" t="str">
        <f>VLOOKUP(A156,sinap!$A$2:$R$9000,2,FALSE)</f>
        <v>M</v>
      </c>
      <c r="K156" s="15" t="str">
        <f>VLOOKUP(A156,sinap!$A$2:$R$9000,3,FALSE)</f>
        <v>TERNERO</v>
      </c>
      <c r="L156" s="15" t="str">
        <f>VLOOKUP(A156,sinap!$A$2:$R$9000,4,FALSE)</f>
        <v>ANGUS NEGRO</v>
      </c>
      <c r="M156" s="15" t="str">
        <f>VLOOKUP(A156,sinap!$A$2:$R$9000,5,FALSE)</f>
        <v>0 años 3 meses</v>
      </c>
      <c r="N156" s="15" t="str">
        <f>VLOOKUP(A156,sinap!$A$2:$R$9000,6,FALSE)</f>
        <v>05-10-2025</v>
      </c>
      <c r="O156" s="15" t="str">
        <f>VLOOKUP(A156,sinap!$A$2:$R$9000,7,FALSE)</f>
        <v>Vivo</v>
      </c>
      <c r="P156" s="15" t="str">
        <f>VLOOKUP(A156,sinap!$A$2:$R$9000,8,FALSE)</f>
        <v>11.1.01.1241</v>
      </c>
      <c r="Q156" s="15" t="str">
        <f>VLOOKUP(A156,sinap!$A$2:$R$9000,12,FALSE)</f>
        <v>Sin Movimiento</v>
      </c>
      <c r="R156" s="15" t="str">
        <f>VLOOKUP(A156,sinap!$A$2:$R$9000,16,FALSE)</f>
        <v>11.1.01.1241</v>
      </c>
      <c r="S156" s="15" t="str">
        <f>VLOOKUP(A156,sinap!$A$2:$Y$9000,20,FALSE)</f>
        <v>SI</v>
      </c>
      <c r="T156" s="16">
        <v>45988</v>
      </c>
    </row>
    <row r="157" spans="1:20" x14ac:dyDescent="0.25">
      <c r="A157" s="15">
        <v>26234245</v>
      </c>
      <c r="J157" s="15" t="str">
        <f>VLOOKUP(A157,sinap!$A$2:$R$9000,2,FALSE)</f>
        <v>M</v>
      </c>
      <c r="K157" s="15" t="str">
        <f>VLOOKUP(A157,sinap!$A$2:$R$9000,3,FALSE)</f>
        <v>TERNERO</v>
      </c>
      <c r="L157" s="15" t="str">
        <f>VLOOKUP(A157,sinap!$A$2:$R$9000,4,FALSE)</f>
        <v>ANGUS ROJO</v>
      </c>
      <c r="M157" s="15" t="str">
        <f>VLOOKUP(A157,sinap!$A$2:$R$9000,5,FALSE)</f>
        <v>0 años 3 meses</v>
      </c>
      <c r="N157" s="15" t="str">
        <f>VLOOKUP(A157,sinap!$A$2:$R$9000,6,FALSE)</f>
        <v>05-10-2025</v>
      </c>
      <c r="O157" s="15" t="str">
        <f>VLOOKUP(A157,sinap!$A$2:$R$9000,7,FALSE)</f>
        <v>Vivo</v>
      </c>
      <c r="P157" s="15" t="str">
        <f>VLOOKUP(A157,sinap!$A$2:$R$9000,8,FALSE)</f>
        <v>11.1.01.1241</v>
      </c>
      <c r="Q157" s="15" t="str">
        <f>VLOOKUP(A157,sinap!$A$2:$R$9000,12,FALSE)</f>
        <v>Sin Movimiento</v>
      </c>
      <c r="R157" s="15" t="str">
        <f>VLOOKUP(A157,sinap!$A$2:$R$9000,16,FALSE)</f>
        <v>11.1.01.1241</v>
      </c>
      <c r="S157" s="15" t="str">
        <f>VLOOKUP(A157,sinap!$A$2:$Y$9000,20,FALSE)</f>
        <v>SI</v>
      </c>
      <c r="T157" s="16">
        <v>45988</v>
      </c>
    </row>
    <row r="158" spans="1:20" x14ac:dyDescent="0.25">
      <c r="A158" s="15">
        <v>26234246</v>
      </c>
      <c r="J158" s="15" t="str">
        <f>VLOOKUP(A158,sinap!$A$2:$R$9000,2,FALSE)</f>
        <v>H</v>
      </c>
      <c r="K158" s="15" t="str">
        <f>VLOOKUP(A158,sinap!$A$2:$R$9000,3,FALSE)</f>
        <v>TERNERA</v>
      </c>
      <c r="L158" s="15" t="str">
        <f>VLOOKUP(A158,sinap!$A$2:$R$9000,4,FALSE)</f>
        <v>ANGUS NEGRO</v>
      </c>
      <c r="M158" s="15" t="str">
        <f>VLOOKUP(A158,sinap!$A$2:$R$9000,5,FALSE)</f>
        <v>0 años 3 meses</v>
      </c>
      <c r="N158" s="15" t="str">
        <f>VLOOKUP(A158,sinap!$A$2:$R$9000,6,FALSE)</f>
        <v>05-10-2025</v>
      </c>
      <c r="O158" s="15" t="str">
        <f>VLOOKUP(A158,sinap!$A$2:$R$9000,7,FALSE)</f>
        <v>Vivo</v>
      </c>
      <c r="P158" s="15" t="str">
        <f>VLOOKUP(A158,sinap!$A$2:$R$9000,8,FALSE)</f>
        <v>11.1.01.1241</v>
      </c>
      <c r="Q158" s="15" t="str">
        <f>VLOOKUP(A158,sinap!$A$2:$R$9000,12,FALSE)</f>
        <v>Sin Movimiento</v>
      </c>
      <c r="R158" s="15" t="str">
        <f>VLOOKUP(A158,sinap!$A$2:$R$9000,16,FALSE)</f>
        <v>11.1.01.1241</v>
      </c>
      <c r="S158" s="15" t="str">
        <f>VLOOKUP(A158,sinap!$A$2:$Y$9000,20,FALSE)</f>
        <v>SI</v>
      </c>
      <c r="T158" s="16">
        <v>45988</v>
      </c>
    </row>
    <row r="159" spans="1:20" x14ac:dyDescent="0.25">
      <c r="A159" s="15">
        <v>26234247</v>
      </c>
      <c r="J159" s="15" t="str">
        <f>VLOOKUP(A159,sinap!$A$2:$R$9000,2,FALSE)</f>
        <v>H</v>
      </c>
      <c r="K159" s="15" t="str">
        <f>VLOOKUP(A159,sinap!$A$2:$R$9000,3,FALSE)</f>
        <v>TERNERA</v>
      </c>
      <c r="L159" s="15" t="str">
        <f>VLOOKUP(A159,sinap!$A$2:$R$9000,4,FALSE)</f>
        <v>ANGUS NEGRO</v>
      </c>
      <c r="M159" s="15" t="str">
        <f>VLOOKUP(A159,sinap!$A$2:$R$9000,5,FALSE)</f>
        <v>0 años 3 meses</v>
      </c>
      <c r="N159" s="15" t="str">
        <f>VLOOKUP(A159,sinap!$A$2:$R$9000,6,FALSE)</f>
        <v>05-10-2025</v>
      </c>
      <c r="O159" s="15" t="str">
        <f>VLOOKUP(A159,sinap!$A$2:$R$9000,7,FALSE)</f>
        <v>Vivo</v>
      </c>
      <c r="P159" s="15" t="str">
        <f>VLOOKUP(A159,sinap!$A$2:$R$9000,8,FALSE)</f>
        <v>11.1.01.1241</v>
      </c>
      <c r="Q159" s="15" t="str">
        <f>VLOOKUP(A159,sinap!$A$2:$R$9000,12,FALSE)</f>
        <v>Sin Movimiento</v>
      </c>
      <c r="R159" s="15" t="str">
        <f>VLOOKUP(A159,sinap!$A$2:$R$9000,16,FALSE)</f>
        <v>11.1.01.1241</v>
      </c>
      <c r="S159" s="15" t="str">
        <f>VLOOKUP(A159,sinap!$A$2:$Y$9000,20,FALSE)</f>
        <v>SI</v>
      </c>
      <c r="T159" s="16">
        <v>45988</v>
      </c>
    </row>
    <row r="160" spans="1:20" x14ac:dyDescent="0.25">
      <c r="A160" s="15">
        <v>26234248</v>
      </c>
      <c r="J160" s="15" t="str">
        <f>VLOOKUP(A160,sinap!$A$2:$R$9000,2,FALSE)</f>
        <v>H</v>
      </c>
      <c r="K160" s="15" t="str">
        <f>VLOOKUP(A160,sinap!$A$2:$R$9000,3,FALSE)</f>
        <v>TERNERA</v>
      </c>
      <c r="L160" s="15" t="str">
        <f>VLOOKUP(A160,sinap!$A$2:$R$9000,4,FALSE)</f>
        <v>ANGUS NEGRO</v>
      </c>
      <c r="M160" s="15" t="str">
        <f>VLOOKUP(A160,sinap!$A$2:$R$9000,5,FALSE)</f>
        <v>0 años 3 meses</v>
      </c>
      <c r="N160" s="15" t="str">
        <f>VLOOKUP(A160,sinap!$A$2:$R$9000,6,FALSE)</f>
        <v>05-10-2025</v>
      </c>
      <c r="O160" s="15" t="str">
        <f>VLOOKUP(A160,sinap!$A$2:$R$9000,7,FALSE)</f>
        <v>Vivo</v>
      </c>
      <c r="P160" s="15" t="str">
        <f>VLOOKUP(A160,sinap!$A$2:$R$9000,8,FALSE)</f>
        <v>11.1.01.1241</v>
      </c>
      <c r="Q160" s="15" t="str">
        <f>VLOOKUP(A160,sinap!$A$2:$R$9000,12,FALSE)</f>
        <v>Sin Movimiento</v>
      </c>
      <c r="R160" s="15" t="str">
        <f>VLOOKUP(A160,sinap!$A$2:$R$9000,16,FALSE)</f>
        <v>11.1.01.1241</v>
      </c>
      <c r="S160" s="15" t="str">
        <f>VLOOKUP(A160,sinap!$A$2:$Y$9000,20,FALSE)</f>
        <v>SI</v>
      </c>
      <c r="T160" s="16">
        <v>45988</v>
      </c>
    </row>
    <row r="161" spans="1:20" x14ac:dyDescent="0.25">
      <c r="A161" s="15">
        <v>26234249</v>
      </c>
      <c r="J161" s="15" t="str">
        <f>VLOOKUP(A161,sinap!$A$2:$R$9000,2,FALSE)</f>
        <v>H</v>
      </c>
      <c r="K161" s="15" t="str">
        <f>VLOOKUP(A161,sinap!$A$2:$R$9000,3,FALSE)</f>
        <v>TERNERA</v>
      </c>
      <c r="L161" s="15" t="str">
        <f>VLOOKUP(A161,sinap!$A$2:$R$9000,4,FALSE)</f>
        <v>ANGUS ROJO</v>
      </c>
      <c r="M161" s="15" t="str">
        <f>VLOOKUP(A161,sinap!$A$2:$R$9000,5,FALSE)</f>
        <v>0 años 3 meses</v>
      </c>
      <c r="N161" s="15" t="str">
        <f>VLOOKUP(A161,sinap!$A$2:$R$9000,6,FALSE)</f>
        <v>05-10-2025</v>
      </c>
      <c r="O161" s="15" t="str">
        <f>VLOOKUP(A161,sinap!$A$2:$R$9000,7,FALSE)</f>
        <v>Vivo</v>
      </c>
      <c r="P161" s="15" t="str">
        <f>VLOOKUP(A161,sinap!$A$2:$R$9000,8,FALSE)</f>
        <v>11.1.01.1241</v>
      </c>
      <c r="Q161" s="15" t="str">
        <f>VLOOKUP(A161,sinap!$A$2:$R$9000,12,FALSE)</f>
        <v>Sin Movimiento</v>
      </c>
      <c r="R161" s="15" t="str">
        <f>VLOOKUP(A161,sinap!$A$2:$R$9000,16,FALSE)</f>
        <v>11.1.01.1241</v>
      </c>
      <c r="S161" s="15" t="str">
        <f>VLOOKUP(A161,sinap!$A$2:$Y$9000,20,FALSE)</f>
        <v>SI</v>
      </c>
      <c r="T161" s="16">
        <v>45988</v>
      </c>
    </row>
    <row r="162" spans="1:20" x14ac:dyDescent="0.25">
      <c r="A162" s="15">
        <v>26234250</v>
      </c>
      <c r="J162" s="15" t="str">
        <f>VLOOKUP(A162,sinap!$A$2:$R$9000,2,FALSE)</f>
        <v>H</v>
      </c>
      <c r="K162" s="15" t="str">
        <f>VLOOKUP(A162,sinap!$A$2:$R$9000,3,FALSE)</f>
        <v>TERNERA</v>
      </c>
      <c r="L162" s="15" t="str">
        <f>VLOOKUP(A162,sinap!$A$2:$R$9000,4,FALSE)</f>
        <v>ANGUS NEGRO</v>
      </c>
      <c r="M162" s="15" t="str">
        <f>VLOOKUP(A162,sinap!$A$2:$R$9000,5,FALSE)</f>
        <v>0 años 3 meses</v>
      </c>
      <c r="N162" s="15" t="str">
        <f>VLOOKUP(A162,sinap!$A$2:$R$9000,6,FALSE)</f>
        <v>05-10-2025</v>
      </c>
      <c r="O162" s="15" t="str">
        <f>VLOOKUP(A162,sinap!$A$2:$R$9000,7,FALSE)</f>
        <v>Vivo</v>
      </c>
      <c r="P162" s="15" t="str">
        <f>VLOOKUP(A162,sinap!$A$2:$R$9000,8,FALSE)</f>
        <v>11.1.01.1241</v>
      </c>
      <c r="Q162" s="15" t="str">
        <f>VLOOKUP(A162,sinap!$A$2:$R$9000,12,FALSE)</f>
        <v>Sin Movimiento</v>
      </c>
      <c r="R162" s="15" t="str">
        <f>VLOOKUP(A162,sinap!$A$2:$R$9000,16,FALSE)</f>
        <v>11.1.01.1241</v>
      </c>
      <c r="S162" s="15" t="str">
        <f>VLOOKUP(A162,sinap!$A$2:$Y$9000,20,FALSE)</f>
        <v>SI</v>
      </c>
      <c r="T162" s="16">
        <v>45988</v>
      </c>
    </row>
    <row r="163" spans="1:20" x14ac:dyDescent="0.25">
      <c r="A163" s="15">
        <v>26234251</v>
      </c>
      <c r="J163" s="15" t="str">
        <f>VLOOKUP(A163,sinap!$A$2:$R$9000,2,FALSE)</f>
        <v>H</v>
      </c>
      <c r="K163" s="15" t="str">
        <f>VLOOKUP(A163,sinap!$A$2:$R$9000,3,FALSE)</f>
        <v>TERNERA</v>
      </c>
      <c r="L163" s="15" t="str">
        <f>VLOOKUP(A163,sinap!$A$2:$R$9000,4,FALSE)</f>
        <v>ANGUS NEGRO</v>
      </c>
      <c r="M163" s="15" t="str">
        <f>VLOOKUP(A163,sinap!$A$2:$R$9000,5,FALSE)</f>
        <v>0 años 3 meses</v>
      </c>
      <c r="N163" s="15" t="str">
        <f>VLOOKUP(A163,sinap!$A$2:$R$9000,6,FALSE)</f>
        <v>05-10-2025</v>
      </c>
      <c r="O163" s="15" t="str">
        <f>VLOOKUP(A163,sinap!$A$2:$R$9000,7,FALSE)</f>
        <v>Vivo</v>
      </c>
      <c r="P163" s="15" t="str">
        <f>VLOOKUP(A163,sinap!$A$2:$R$9000,8,FALSE)</f>
        <v>11.1.01.1241</v>
      </c>
      <c r="Q163" s="15" t="str">
        <f>VLOOKUP(A163,sinap!$A$2:$R$9000,12,FALSE)</f>
        <v>Sin Movimiento</v>
      </c>
      <c r="R163" s="15" t="str">
        <f>VLOOKUP(A163,sinap!$A$2:$R$9000,16,FALSE)</f>
        <v>11.1.01.1241</v>
      </c>
      <c r="S163" s="15" t="str">
        <f>VLOOKUP(A163,sinap!$A$2:$Y$9000,20,FALSE)</f>
        <v>SI</v>
      </c>
      <c r="T163" s="16">
        <v>45988</v>
      </c>
    </row>
    <row r="164" spans="1:20" x14ac:dyDescent="0.25">
      <c r="A164" s="15">
        <v>26234252</v>
      </c>
      <c r="J164" s="15" t="str">
        <f>VLOOKUP(A164,sinap!$A$2:$R$9000,2,FALSE)</f>
        <v>M</v>
      </c>
      <c r="K164" s="15" t="str">
        <f>VLOOKUP(A164,sinap!$A$2:$R$9000,3,FALSE)</f>
        <v>TERNERO</v>
      </c>
      <c r="L164" s="15" t="str">
        <f>VLOOKUP(A164,sinap!$A$2:$R$9000,4,FALSE)</f>
        <v>ANGUS NEGRO</v>
      </c>
      <c r="M164" s="15" t="str">
        <f>VLOOKUP(A164,sinap!$A$2:$R$9000,5,FALSE)</f>
        <v>0 años 3 meses</v>
      </c>
      <c r="N164" s="15" t="str">
        <f>VLOOKUP(A164,sinap!$A$2:$R$9000,6,FALSE)</f>
        <v>05-10-2025</v>
      </c>
      <c r="O164" s="15" t="str">
        <f>VLOOKUP(A164,sinap!$A$2:$R$9000,7,FALSE)</f>
        <v>Vivo</v>
      </c>
      <c r="P164" s="15" t="str">
        <f>VLOOKUP(A164,sinap!$A$2:$R$9000,8,FALSE)</f>
        <v>11.1.01.1241</v>
      </c>
      <c r="Q164" s="15" t="str">
        <f>VLOOKUP(A164,sinap!$A$2:$R$9000,12,FALSE)</f>
        <v>Sin Movimiento</v>
      </c>
      <c r="R164" s="15" t="str">
        <f>VLOOKUP(A164,sinap!$A$2:$R$9000,16,FALSE)</f>
        <v>11.1.01.1241</v>
      </c>
      <c r="S164" s="15" t="str">
        <f>VLOOKUP(A164,sinap!$A$2:$Y$9000,20,FALSE)</f>
        <v>SI</v>
      </c>
      <c r="T164" s="16">
        <v>45988</v>
      </c>
    </row>
    <row r="165" spans="1:20" x14ac:dyDescent="0.25">
      <c r="A165" s="15">
        <v>26234253</v>
      </c>
      <c r="J165" s="15" t="str">
        <f>VLOOKUP(A165,sinap!$A$2:$R$9000,2,FALSE)</f>
        <v>H</v>
      </c>
      <c r="K165" s="15" t="str">
        <f>VLOOKUP(A165,sinap!$A$2:$R$9000,3,FALSE)</f>
        <v>TERNERA</v>
      </c>
      <c r="L165" s="15" t="str">
        <f>VLOOKUP(A165,sinap!$A$2:$R$9000,4,FALSE)</f>
        <v>ANGUS NEGRO</v>
      </c>
      <c r="M165" s="15" t="str">
        <f>VLOOKUP(A165,sinap!$A$2:$R$9000,5,FALSE)</f>
        <v>0 años 3 meses</v>
      </c>
      <c r="N165" s="15" t="str">
        <f>VLOOKUP(A165,sinap!$A$2:$R$9000,6,FALSE)</f>
        <v>05-10-2025</v>
      </c>
      <c r="O165" s="15" t="str">
        <f>VLOOKUP(A165,sinap!$A$2:$R$9000,7,FALSE)</f>
        <v>Vivo</v>
      </c>
      <c r="P165" s="15" t="str">
        <f>VLOOKUP(A165,sinap!$A$2:$R$9000,8,FALSE)</f>
        <v>11.1.01.1241</v>
      </c>
      <c r="Q165" s="15" t="str">
        <f>VLOOKUP(A165,sinap!$A$2:$R$9000,12,FALSE)</f>
        <v>Sin Movimiento</v>
      </c>
      <c r="R165" s="15" t="str">
        <f>VLOOKUP(A165,sinap!$A$2:$R$9000,16,FALSE)</f>
        <v>11.1.01.1241</v>
      </c>
      <c r="S165" s="15" t="str">
        <f>VLOOKUP(A165,sinap!$A$2:$Y$9000,20,FALSE)</f>
        <v>SI</v>
      </c>
      <c r="T165" s="16">
        <v>45988</v>
      </c>
    </row>
    <row r="166" spans="1:20" x14ac:dyDescent="0.25">
      <c r="A166" s="15">
        <v>26234254</v>
      </c>
      <c r="J166" s="15" t="str">
        <f>VLOOKUP(A166,sinap!$A$2:$R$9000,2,FALSE)</f>
        <v>H</v>
      </c>
      <c r="K166" s="15" t="str">
        <f>VLOOKUP(A166,sinap!$A$2:$R$9000,3,FALSE)</f>
        <v>TERNERA</v>
      </c>
      <c r="L166" s="15" t="str">
        <f>VLOOKUP(A166,sinap!$A$2:$R$9000,4,FALSE)</f>
        <v>ANGUS NEGRO</v>
      </c>
      <c r="M166" s="15" t="str">
        <f>VLOOKUP(A166,sinap!$A$2:$R$9000,5,FALSE)</f>
        <v>0 años 3 meses</v>
      </c>
      <c r="N166" s="15" t="str">
        <f>VLOOKUP(A166,sinap!$A$2:$R$9000,6,FALSE)</f>
        <v>05-10-2025</v>
      </c>
      <c r="O166" s="15" t="str">
        <f>VLOOKUP(A166,sinap!$A$2:$R$9000,7,FALSE)</f>
        <v>Vivo</v>
      </c>
      <c r="P166" s="15" t="str">
        <f>VLOOKUP(A166,sinap!$A$2:$R$9000,8,FALSE)</f>
        <v>11.1.01.1241</v>
      </c>
      <c r="Q166" s="15" t="str">
        <f>VLOOKUP(A166,sinap!$A$2:$R$9000,12,FALSE)</f>
        <v>Sin Movimiento</v>
      </c>
      <c r="R166" s="15" t="str">
        <f>VLOOKUP(A166,sinap!$A$2:$R$9000,16,FALSE)</f>
        <v>11.1.01.1241</v>
      </c>
      <c r="S166" s="15" t="str">
        <f>VLOOKUP(A166,sinap!$A$2:$Y$9000,20,FALSE)</f>
        <v>SI</v>
      </c>
      <c r="T166" s="16">
        <v>45988</v>
      </c>
    </row>
    <row r="167" spans="1:20" x14ac:dyDescent="0.25">
      <c r="A167" s="15">
        <v>26234255</v>
      </c>
      <c r="J167" s="15" t="str">
        <f>VLOOKUP(A167,sinap!$A$2:$R$9000,2,FALSE)</f>
        <v>H</v>
      </c>
      <c r="K167" s="15" t="str">
        <f>VLOOKUP(A167,sinap!$A$2:$R$9000,3,FALSE)</f>
        <v>TERNERA</v>
      </c>
      <c r="L167" s="15" t="str">
        <f>VLOOKUP(A167,sinap!$A$2:$R$9000,4,FALSE)</f>
        <v>ANGUS NEGRO</v>
      </c>
      <c r="M167" s="15" t="str">
        <f>VLOOKUP(A167,sinap!$A$2:$R$9000,5,FALSE)</f>
        <v>0 años 3 meses</v>
      </c>
      <c r="N167" s="15" t="str">
        <f>VLOOKUP(A167,sinap!$A$2:$R$9000,6,FALSE)</f>
        <v>05-10-2025</v>
      </c>
      <c r="O167" s="15" t="str">
        <f>VLOOKUP(A167,sinap!$A$2:$R$9000,7,FALSE)</f>
        <v>Vivo</v>
      </c>
      <c r="P167" s="15" t="str">
        <f>VLOOKUP(A167,sinap!$A$2:$R$9000,8,FALSE)</f>
        <v>11.1.01.1241</v>
      </c>
      <c r="Q167" s="15" t="str">
        <f>VLOOKUP(A167,sinap!$A$2:$R$9000,12,FALSE)</f>
        <v>Sin Movimiento</v>
      </c>
      <c r="R167" s="15" t="str">
        <f>VLOOKUP(A167,sinap!$A$2:$R$9000,16,FALSE)</f>
        <v>11.1.01.1241</v>
      </c>
      <c r="S167" s="15" t="str">
        <f>VLOOKUP(A167,sinap!$A$2:$Y$9000,20,FALSE)</f>
        <v>SI</v>
      </c>
      <c r="T167" s="16">
        <v>45988</v>
      </c>
    </row>
    <row r="168" spans="1:20" x14ac:dyDescent="0.25">
      <c r="A168" s="15">
        <v>26234256</v>
      </c>
      <c r="J168" s="15" t="str">
        <f>VLOOKUP(A168,sinap!$A$2:$R$9000,2,FALSE)</f>
        <v>H</v>
      </c>
      <c r="K168" s="15" t="str">
        <f>VLOOKUP(A168,sinap!$A$2:$R$9000,3,FALSE)</f>
        <v>TERNERA</v>
      </c>
      <c r="L168" s="15" t="str">
        <f>VLOOKUP(A168,sinap!$A$2:$R$9000,4,FALSE)</f>
        <v>ANGUS NEGRO</v>
      </c>
      <c r="M168" s="15" t="str">
        <f>VLOOKUP(A168,sinap!$A$2:$R$9000,5,FALSE)</f>
        <v>0 años 3 meses</v>
      </c>
      <c r="N168" s="15" t="str">
        <f>VLOOKUP(A168,sinap!$A$2:$R$9000,6,FALSE)</f>
        <v>05-10-2025</v>
      </c>
      <c r="O168" s="15" t="str">
        <f>VLOOKUP(A168,sinap!$A$2:$R$9000,7,FALSE)</f>
        <v>Vivo</v>
      </c>
      <c r="P168" s="15" t="str">
        <f>VLOOKUP(A168,sinap!$A$2:$R$9000,8,FALSE)</f>
        <v>11.1.01.1241</v>
      </c>
      <c r="Q168" s="15" t="str">
        <f>VLOOKUP(A168,sinap!$A$2:$R$9000,12,FALSE)</f>
        <v>Sin Movimiento</v>
      </c>
      <c r="R168" s="15" t="str">
        <f>VLOOKUP(A168,sinap!$A$2:$R$9000,16,FALSE)</f>
        <v>11.1.01.1241</v>
      </c>
      <c r="S168" s="15" t="str">
        <f>VLOOKUP(A168,sinap!$A$2:$Y$9000,20,FALSE)</f>
        <v>SI</v>
      </c>
      <c r="T168" s="16">
        <v>45988</v>
      </c>
    </row>
    <row r="169" spans="1:20" x14ac:dyDescent="0.25">
      <c r="A169" s="15">
        <v>26234257</v>
      </c>
      <c r="J169" s="15" t="str">
        <f>VLOOKUP(A169,sinap!$A$2:$R$9000,2,FALSE)</f>
        <v>M</v>
      </c>
      <c r="K169" s="15" t="str">
        <f>VLOOKUP(A169,sinap!$A$2:$R$9000,3,FALSE)</f>
        <v>TERNERO</v>
      </c>
      <c r="L169" s="15" t="str">
        <f>VLOOKUP(A169,sinap!$A$2:$R$9000,4,FALSE)</f>
        <v>ANGUS NEGRO</v>
      </c>
      <c r="M169" s="15" t="str">
        <f>VLOOKUP(A169,sinap!$A$2:$R$9000,5,FALSE)</f>
        <v>0 años 3 meses</v>
      </c>
      <c r="N169" s="15" t="str">
        <f>VLOOKUP(A169,sinap!$A$2:$R$9000,6,FALSE)</f>
        <v>05-10-2025</v>
      </c>
      <c r="O169" s="15" t="str">
        <f>VLOOKUP(A169,sinap!$A$2:$R$9000,7,FALSE)</f>
        <v>Vivo</v>
      </c>
      <c r="P169" s="15" t="str">
        <f>VLOOKUP(A169,sinap!$A$2:$R$9000,8,FALSE)</f>
        <v>11.1.01.1241</v>
      </c>
      <c r="Q169" s="15" t="str">
        <f>VLOOKUP(A169,sinap!$A$2:$R$9000,12,FALSE)</f>
        <v>Sin Movimiento</v>
      </c>
      <c r="R169" s="15" t="str">
        <f>VLOOKUP(A169,sinap!$A$2:$R$9000,16,FALSE)</f>
        <v>11.1.01.1241</v>
      </c>
      <c r="S169" s="15" t="str">
        <f>VLOOKUP(A169,sinap!$A$2:$Y$9000,20,FALSE)</f>
        <v>SI</v>
      </c>
      <c r="T169" s="16">
        <v>45988</v>
      </c>
    </row>
    <row r="170" spans="1:20" x14ac:dyDescent="0.25">
      <c r="A170" s="15">
        <v>26234258</v>
      </c>
      <c r="J170" s="15" t="str">
        <f>VLOOKUP(A170,sinap!$A$2:$R$9000,2,FALSE)</f>
        <v>H</v>
      </c>
      <c r="K170" s="15" t="str">
        <f>VLOOKUP(A170,sinap!$A$2:$R$9000,3,FALSE)</f>
        <v>TERNERA</v>
      </c>
      <c r="L170" s="15" t="str">
        <f>VLOOKUP(A170,sinap!$A$2:$R$9000,4,FALSE)</f>
        <v>ANGUS NEGRO</v>
      </c>
      <c r="M170" s="15" t="str">
        <f>VLOOKUP(A170,sinap!$A$2:$R$9000,5,FALSE)</f>
        <v>0 años 3 meses</v>
      </c>
      <c r="N170" s="15" t="str">
        <f>VLOOKUP(A170,sinap!$A$2:$R$9000,6,FALSE)</f>
        <v>05-10-2025</v>
      </c>
      <c r="O170" s="15" t="str">
        <f>VLOOKUP(A170,sinap!$A$2:$R$9000,7,FALSE)</f>
        <v>Vivo</v>
      </c>
      <c r="P170" s="15" t="str">
        <f>VLOOKUP(A170,sinap!$A$2:$R$9000,8,FALSE)</f>
        <v>11.1.01.1241</v>
      </c>
      <c r="Q170" s="15" t="str">
        <f>VLOOKUP(A170,sinap!$A$2:$R$9000,12,FALSE)</f>
        <v>Sin Movimiento</v>
      </c>
      <c r="R170" s="15" t="str">
        <f>VLOOKUP(A170,sinap!$A$2:$R$9000,16,FALSE)</f>
        <v>11.1.01.1241</v>
      </c>
      <c r="S170" s="15" t="str">
        <f>VLOOKUP(A170,sinap!$A$2:$Y$9000,20,FALSE)</f>
        <v>SI</v>
      </c>
      <c r="T170" s="16">
        <v>45988</v>
      </c>
    </row>
    <row r="171" spans="1:20" x14ac:dyDescent="0.25">
      <c r="A171" s="15">
        <v>26234259</v>
      </c>
      <c r="J171" s="15" t="str">
        <f>VLOOKUP(A171,sinap!$A$2:$R$9000,2,FALSE)</f>
        <v>H</v>
      </c>
      <c r="K171" s="15" t="str">
        <f>VLOOKUP(A171,sinap!$A$2:$R$9000,3,FALSE)</f>
        <v>TERNERA</v>
      </c>
      <c r="L171" s="15" t="str">
        <f>VLOOKUP(A171,sinap!$A$2:$R$9000,4,FALSE)</f>
        <v>ANGUS NEGRO</v>
      </c>
      <c r="M171" s="15" t="str">
        <f>VLOOKUP(A171,sinap!$A$2:$R$9000,5,FALSE)</f>
        <v>0 años 3 meses</v>
      </c>
      <c r="N171" s="15" t="str">
        <f>VLOOKUP(A171,sinap!$A$2:$R$9000,6,FALSE)</f>
        <v>05-10-2025</v>
      </c>
      <c r="O171" s="15" t="str">
        <f>VLOOKUP(A171,sinap!$A$2:$R$9000,7,FALSE)</f>
        <v>Vivo</v>
      </c>
      <c r="P171" s="15" t="str">
        <f>VLOOKUP(A171,sinap!$A$2:$R$9000,8,FALSE)</f>
        <v>11.1.01.1241</v>
      </c>
      <c r="Q171" s="15" t="str">
        <f>VLOOKUP(A171,sinap!$A$2:$R$9000,12,FALSE)</f>
        <v>Sin Movimiento</v>
      </c>
      <c r="R171" s="15" t="str">
        <f>VLOOKUP(A171,sinap!$A$2:$R$9000,16,FALSE)</f>
        <v>11.1.01.1241</v>
      </c>
      <c r="S171" s="15" t="str">
        <f>VLOOKUP(A171,sinap!$A$2:$Y$9000,20,FALSE)</f>
        <v>SI</v>
      </c>
      <c r="T171" s="16">
        <v>45988</v>
      </c>
    </row>
    <row r="172" spans="1:20" x14ac:dyDescent="0.25">
      <c r="A172" s="15">
        <v>26234260</v>
      </c>
      <c r="J172" s="15" t="str">
        <f>VLOOKUP(A172,sinap!$A$2:$R$9000,2,FALSE)</f>
        <v>M</v>
      </c>
      <c r="K172" s="15" t="str">
        <f>VLOOKUP(A172,sinap!$A$2:$R$9000,3,FALSE)</f>
        <v>TERNERO</v>
      </c>
      <c r="L172" s="15" t="str">
        <f>VLOOKUP(A172,sinap!$A$2:$R$9000,4,FALSE)</f>
        <v>ANGUS NEGRO</v>
      </c>
      <c r="M172" s="15" t="str">
        <f>VLOOKUP(A172,sinap!$A$2:$R$9000,5,FALSE)</f>
        <v>0 años 3 meses</v>
      </c>
      <c r="N172" s="15" t="str">
        <f>VLOOKUP(A172,sinap!$A$2:$R$9000,6,FALSE)</f>
        <v>05-10-2025</v>
      </c>
      <c r="O172" s="15" t="str">
        <f>VLOOKUP(A172,sinap!$A$2:$R$9000,7,FALSE)</f>
        <v>Vivo</v>
      </c>
      <c r="P172" s="15" t="str">
        <f>VLOOKUP(A172,sinap!$A$2:$R$9000,8,FALSE)</f>
        <v>11.1.01.1241</v>
      </c>
      <c r="Q172" s="15" t="str">
        <f>VLOOKUP(A172,sinap!$A$2:$R$9000,12,FALSE)</f>
        <v>Sin Movimiento</v>
      </c>
      <c r="R172" s="15" t="str">
        <f>VLOOKUP(A172,sinap!$A$2:$R$9000,16,FALSE)</f>
        <v>11.1.01.1241</v>
      </c>
      <c r="S172" s="15" t="str">
        <f>VLOOKUP(A172,sinap!$A$2:$Y$9000,20,FALSE)</f>
        <v>SI</v>
      </c>
      <c r="T172" s="16">
        <v>45988</v>
      </c>
    </row>
    <row r="173" spans="1:20" x14ac:dyDescent="0.25">
      <c r="A173" s="15">
        <v>26234261</v>
      </c>
      <c r="J173" s="15" t="str">
        <f>VLOOKUP(A173,sinap!$A$2:$R$9000,2,FALSE)</f>
        <v>H</v>
      </c>
      <c r="K173" s="15" t="str">
        <f>VLOOKUP(A173,sinap!$A$2:$R$9000,3,FALSE)</f>
        <v>TERNERA</v>
      </c>
      <c r="L173" s="15" t="str">
        <f>VLOOKUP(A173,sinap!$A$2:$R$9000,4,FALSE)</f>
        <v>ANGUS NEGRO</v>
      </c>
      <c r="M173" s="15" t="str">
        <f>VLOOKUP(A173,sinap!$A$2:$R$9000,5,FALSE)</f>
        <v>0 años 3 meses</v>
      </c>
      <c r="N173" s="15" t="str">
        <f>VLOOKUP(A173,sinap!$A$2:$R$9000,6,FALSE)</f>
        <v>05-10-2025</v>
      </c>
      <c r="O173" s="15" t="str">
        <f>VLOOKUP(A173,sinap!$A$2:$R$9000,7,FALSE)</f>
        <v>Vivo</v>
      </c>
      <c r="P173" s="15" t="str">
        <f>VLOOKUP(A173,sinap!$A$2:$R$9000,8,FALSE)</f>
        <v>11.1.01.1241</v>
      </c>
      <c r="Q173" s="15" t="str">
        <f>VLOOKUP(A173,sinap!$A$2:$R$9000,12,FALSE)</f>
        <v>Sin Movimiento</v>
      </c>
      <c r="R173" s="15" t="str">
        <f>VLOOKUP(A173,sinap!$A$2:$R$9000,16,FALSE)</f>
        <v>11.1.01.1241</v>
      </c>
      <c r="S173" s="15" t="str">
        <f>VLOOKUP(A173,sinap!$A$2:$Y$9000,20,FALSE)</f>
        <v>SI</v>
      </c>
      <c r="T173" s="16">
        <v>45988</v>
      </c>
    </row>
    <row r="174" spans="1:20" x14ac:dyDescent="0.25">
      <c r="A174" s="15">
        <v>26234262</v>
      </c>
      <c r="J174" s="15" t="str">
        <f>VLOOKUP(A174,sinap!$A$2:$R$9000,2,FALSE)</f>
        <v>H</v>
      </c>
      <c r="K174" s="15" t="str">
        <f>VLOOKUP(A174,sinap!$A$2:$R$9000,3,FALSE)</f>
        <v>TERNERA</v>
      </c>
      <c r="L174" s="15" t="str">
        <f>VLOOKUP(A174,sinap!$A$2:$R$9000,4,FALSE)</f>
        <v>ANGUS NEGRO</v>
      </c>
      <c r="M174" s="15" t="str">
        <f>VLOOKUP(A174,sinap!$A$2:$R$9000,5,FALSE)</f>
        <v>0 años 3 meses</v>
      </c>
      <c r="N174" s="15" t="str">
        <f>VLOOKUP(A174,sinap!$A$2:$R$9000,6,FALSE)</f>
        <v>05-10-2025</v>
      </c>
      <c r="O174" s="15" t="str">
        <f>VLOOKUP(A174,sinap!$A$2:$R$9000,7,FALSE)</f>
        <v>Vivo</v>
      </c>
      <c r="P174" s="15" t="str">
        <f>VLOOKUP(A174,sinap!$A$2:$R$9000,8,FALSE)</f>
        <v>11.1.01.1241</v>
      </c>
      <c r="Q174" s="15" t="str">
        <f>VLOOKUP(A174,sinap!$A$2:$R$9000,12,FALSE)</f>
        <v>Sin Movimiento</v>
      </c>
      <c r="R174" s="15" t="str">
        <f>VLOOKUP(A174,sinap!$A$2:$R$9000,16,FALSE)</f>
        <v>11.1.01.1241</v>
      </c>
      <c r="S174" s="15" t="str">
        <f>VLOOKUP(A174,sinap!$A$2:$Y$9000,20,FALSE)</f>
        <v>SI</v>
      </c>
      <c r="T174" s="16">
        <v>45988</v>
      </c>
    </row>
    <row r="175" spans="1:20" x14ac:dyDescent="0.25">
      <c r="A175" s="15">
        <v>26234263</v>
      </c>
      <c r="J175" s="15" t="str">
        <f>VLOOKUP(A175,sinap!$A$2:$R$9000,2,FALSE)</f>
        <v>H</v>
      </c>
      <c r="K175" s="15" t="str">
        <f>VLOOKUP(A175,sinap!$A$2:$R$9000,3,FALSE)</f>
        <v>TERNERA</v>
      </c>
      <c r="L175" s="15" t="str">
        <f>VLOOKUP(A175,sinap!$A$2:$R$9000,4,FALSE)</f>
        <v>ANGUS ROJO</v>
      </c>
      <c r="M175" s="15" t="str">
        <f>VLOOKUP(A175,sinap!$A$2:$R$9000,5,FALSE)</f>
        <v>0 años 3 meses</v>
      </c>
      <c r="N175" s="15" t="str">
        <f>VLOOKUP(A175,sinap!$A$2:$R$9000,6,FALSE)</f>
        <v>05-10-2025</v>
      </c>
      <c r="O175" s="15" t="str">
        <f>VLOOKUP(A175,sinap!$A$2:$R$9000,7,FALSE)</f>
        <v>Vivo</v>
      </c>
      <c r="P175" s="15" t="str">
        <f>VLOOKUP(A175,sinap!$A$2:$R$9000,8,FALSE)</f>
        <v>11.1.01.0941</v>
      </c>
      <c r="Q175" s="15" t="str">
        <f>VLOOKUP(A175,sinap!$A$2:$R$9000,12,FALSE)</f>
        <v>11.1.01.1241</v>
      </c>
      <c r="R175" s="15" t="str">
        <f>VLOOKUP(A175,sinap!$A$2:$R$9000,16,FALSE)</f>
        <v>11.1.01.1241</v>
      </c>
      <c r="S175" s="15" t="str">
        <f>VLOOKUP(A175,sinap!$A$2:$Y$9000,20,FALSE)</f>
        <v>SI</v>
      </c>
      <c r="T175" s="16">
        <v>45988</v>
      </c>
    </row>
    <row r="176" spans="1:20" x14ac:dyDescent="0.25">
      <c r="A176" s="15">
        <v>26234264</v>
      </c>
      <c r="J176" s="15" t="str">
        <f>VLOOKUP(A176,sinap!$A$2:$R$9000,2,FALSE)</f>
        <v>M</v>
      </c>
      <c r="K176" s="15" t="str">
        <f>VLOOKUP(A176,sinap!$A$2:$R$9000,3,FALSE)</f>
        <v>TERNERO</v>
      </c>
      <c r="L176" s="15" t="str">
        <f>VLOOKUP(A176,sinap!$A$2:$R$9000,4,FALSE)</f>
        <v>ANGUS NEGRO</v>
      </c>
      <c r="M176" s="15" t="str">
        <f>VLOOKUP(A176,sinap!$A$2:$R$9000,5,FALSE)</f>
        <v>0 años 3 meses</v>
      </c>
      <c r="N176" s="15" t="str">
        <f>VLOOKUP(A176,sinap!$A$2:$R$9000,6,FALSE)</f>
        <v>05-10-2025</v>
      </c>
      <c r="O176" s="15" t="str">
        <f>VLOOKUP(A176,sinap!$A$2:$R$9000,7,FALSE)</f>
        <v>Vivo</v>
      </c>
      <c r="P176" s="15" t="str">
        <f>VLOOKUP(A176,sinap!$A$2:$R$9000,8,FALSE)</f>
        <v>11.1.01.1241</v>
      </c>
      <c r="Q176" s="15" t="str">
        <f>VLOOKUP(A176,sinap!$A$2:$R$9000,12,FALSE)</f>
        <v>Sin Movimiento</v>
      </c>
      <c r="R176" s="15" t="str">
        <f>VLOOKUP(A176,sinap!$A$2:$R$9000,16,FALSE)</f>
        <v>11.1.01.1241</v>
      </c>
      <c r="S176" s="15" t="str">
        <f>VLOOKUP(A176,sinap!$A$2:$Y$9000,20,FALSE)</f>
        <v>SI</v>
      </c>
      <c r="T176" s="16">
        <v>45988</v>
      </c>
    </row>
    <row r="177" spans="1:20" x14ac:dyDescent="0.25">
      <c r="A177" s="15">
        <v>26234265</v>
      </c>
      <c r="J177" s="15" t="str">
        <f>VLOOKUP(A177,sinap!$A$2:$R$9000,2,FALSE)</f>
        <v>M</v>
      </c>
      <c r="K177" s="15" t="str">
        <f>VLOOKUP(A177,sinap!$A$2:$R$9000,3,FALSE)</f>
        <v>TERNERO</v>
      </c>
      <c r="L177" s="15" t="str">
        <f>VLOOKUP(A177,sinap!$A$2:$R$9000,4,FALSE)</f>
        <v>ANGUS NEGRO</v>
      </c>
      <c r="M177" s="15" t="str">
        <f>VLOOKUP(A177,sinap!$A$2:$R$9000,5,FALSE)</f>
        <v>0 años 3 meses</v>
      </c>
      <c r="N177" s="15" t="str">
        <f>VLOOKUP(A177,sinap!$A$2:$R$9000,6,FALSE)</f>
        <v>05-10-2025</v>
      </c>
      <c r="O177" s="15" t="str">
        <f>VLOOKUP(A177,sinap!$A$2:$R$9000,7,FALSE)</f>
        <v>Vivo</v>
      </c>
      <c r="P177" s="15" t="str">
        <f>VLOOKUP(A177,sinap!$A$2:$R$9000,8,FALSE)</f>
        <v>11.1.01.1241</v>
      </c>
      <c r="Q177" s="15" t="str">
        <f>VLOOKUP(A177,sinap!$A$2:$R$9000,12,FALSE)</f>
        <v>Sin Movimiento</v>
      </c>
      <c r="R177" s="15" t="str">
        <f>VLOOKUP(A177,sinap!$A$2:$R$9000,16,FALSE)</f>
        <v>11.1.01.1241</v>
      </c>
      <c r="S177" s="15" t="str">
        <f>VLOOKUP(A177,sinap!$A$2:$Y$9000,20,FALSE)</f>
        <v>SI</v>
      </c>
      <c r="T177" s="16">
        <v>45988</v>
      </c>
    </row>
    <row r="178" spans="1:20" x14ac:dyDescent="0.25">
      <c r="A178" s="15">
        <v>26234266</v>
      </c>
      <c r="J178" s="15" t="str">
        <f>VLOOKUP(A178,sinap!$A$2:$R$9000,2,FALSE)</f>
        <v>H</v>
      </c>
      <c r="K178" s="15" t="str">
        <f>VLOOKUP(A178,sinap!$A$2:$R$9000,3,FALSE)</f>
        <v>TERNERA</v>
      </c>
      <c r="L178" s="15" t="str">
        <f>VLOOKUP(A178,sinap!$A$2:$R$9000,4,FALSE)</f>
        <v>ANGUS NEGRO</v>
      </c>
      <c r="M178" s="15" t="str">
        <f>VLOOKUP(A178,sinap!$A$2:$R$9000,5,FALSE)</f>
        <v>0 años 3 meses</v>
      </c>
      <c r="N178" s="15" t="str">
        <f>VLOOKUP(A178,sinap!$A$2:$R$9000,6,FALSE)</f>
        <v>05-10-2025</v>
      </c>
      <c r="O178" s="15" t="str">
        <f>VLOOKUP(A178,sinap!$A$2:$R$9000,7,FALSE)</f>
        <v>Vivo</v>
      </c>
      <c r="P178" s="15" t="str">
        <f>VLOOKUP(A178,sinap!$A$2:$R$9000,8,FALSE)</f>
        <v>11.1.01.1241</v>
      </c>
      <c r="Q178" s="15" t="str">
        <f>VLOOKUP(A178,sinap!$A$2:$R$9000,12,FALSE)</f>
        <v>Sin Movimiento</v>
      </c>
      <c r="R178" s="15" t="str">
        <f>VLOOKUP(A178,sinap!$A$2:$R$9000,16,FALSE)</f>
        <v>11.1.01.1241</v>
      </c>
      <c r="S178" s="15" t="str">
        <f>VLOOKUP(A178,sinap!$A$2:$Y$9000,20,FALSE)</f>
        <v>SI</v>
      </c>
      <c r="T178" s="16">
        <v>45988</v>
      </c>
    </row>
    <row r="179" spans="1:20" x14ac:dyDescent="0.25">
      <c r="A179" s="15">
        <v>26234267</v>
      </c>
      <c r="J179" s="15" t="str">
        <f>VLOOKUP(A179,sinap!$A$2:$R$9000,2,FALSE)</f>
        <v>M</v>
      </c>
      <c r="K179" s="15" t="str">
        <f>VLOOKUP(A179,sinap!$A$2:$R$9000,3,FALSE)</f>
        <v>TERNERO</v>
      </c>
      <c r="L179" s="15" t="str">
        <f>VLOOKUP(A179,sinap!$A$2:$R$9000,4,FALSE)</f>
        <v>ANGUS NEGRO</v>
      </c>
      <c r="M179" s="15" t="str">
        <f>VLOOKUP(A179,sinap!$A$2:$R$9000,5,FALSE)</f>
        <v>0 años 3 meses</v>
      </c>
      <c r="N179" s="15" t="str">
        <f>VLOOKUP(A179,sinap!$A$2:$R$9000,6,FALSE)</f>
        <v>05-10-2025</v>
      </c>
      <c r="O179" s="15" t="str">
        <f>VLOOKUP(A179,sinap!$A$2:$R$9000,7,FALSE)</f>
        <v>Vivo</v>
      </c>
      <c r="P179" s="15" t="str">
        <f>VLOOKUP(A179,sinap!$A$2:$R$9000,8,FALSE)</f>
        <v>11.1.01.1241</v>
      </c>
      <c r="Q179" s="15" t="str">
        <f>VLOOKUP(A179,sinap!$A$2:$R$9000,12,FALSE)</f>
        <v>Sin Movimiento</v>
      </c>
      <c r="R179" s="15" t="str">
        <f>VLOOKUP(A179,sinap!$A$2:$R$9000,16,FALSE)</f>
        <v>11.1.01.1241</v>
      </c>
      <c r="S179" s="15" t="str">
        <f>VLOOKUP(A179,sinap!$A$2:$Y$9000,20,FALSE)</f>
        <v>SI</v>
      </c>
      <c r="T179" s="16">
        <v>45988</v>
      </c>
    </row>
    <row r="180" spans="1:20" x14ac:dyDescent="0.25">
      <c r="A180" s="15">
        <v>26234268</v>
      </c>
      <c r="J180" s="15" t="str">
        <f>VLOOKUP(A180,sinap!$A$2:$R$9000,2,FALSE)</f>
        <v>H</v>
      </c>
      <c r="K180" s="15" t="str">
        <f>VLOOKUP(A180,sinap!$A$2:$R$9000,3,FALSE)</f>
        <v>TERNERA</v>
      </c>
      <c r="L180" s="15" t="str">
        <f>VLOOKUP(A180,sinap!$A$2:$R$9000,4,FALSE)</f>
        <v>ANGUS NEGRO</v>
      </c>
      <c r="M180" s="15" t="str">
        <f>VLOOKUP(A180,sinap!$A$2:$R$9000,5,FALSE)</f>
        <v>0 años 3 meses</v>
      </c>
      <c r="N180" s="15" t="str">
        <f>VLOOKUP(A180,sinap!$A$2:$R$9000,6,FALSE)</f>
        <v>05-10-2025</v>
      </c>
      <c r="O180" s="15" t="str">
        <f>VLOOKUP(A180,sinap!$A$2:$R$9000,7,FALSE)</f>
        <v>Vivo</v>
      </c>
      <c r="P180" s="15" t="str">
        <f>VLOOKUP(A180,sinap!$A$2:$R$9000,8,FALSE)</f>
        <v>11.1.01.1241</v>
      </c>
      <c r="Q180" s="15" t="str">
        <f>VLOOKUP(A180,sinap!$A$2:$R$9000,12,FALSE)</f>
        <v>Sin Movimiento</v>
      </c>
      <c r="R180" s="15" t="str">
        <f>VLOOKUP(A180,sinap!$A$2:$R$9000,16,FALSE)</f>
        <v>11.1.01.1241</v>
      </c>
      <c r="S180" s="15" t="str">
        <f>VLOOKUP(A180,sinap!$A$2:$Y$9000,20,FALSE)</f>
        <v>SI</v>
      </c>
      <c r="T180" s="16">
        <v>45988</v>
      </c>
    </row>
    <row r="181" spans="1:20" x14ac:dyDescent="0.25">
      <c r="A181" s="15">
        <v>26234269</v>
      </c>
      <c r="J181" s="15" t="str">
        <f>VLOOKUP(A181,sinap!$A$2:$R$9000,2,FALSE)</f>
        <v>M</v>
      </c>
      <c r="K181" s="15" t="str">
        <f>VLOOKUP(A181,sinap!$A$2:$R$9000,3,FALSE)</f>
        <v>TERNERO</v>
      </c>
      <c r="L181" s="15" t="str">
        <f>VLOOKUP(A181,sinap!$A$2:$R$9000,4,FALSE)</f>
        <v>ANGUS NEGRO</v>
      </c>
      <c r="M181" s="15" t="str">
        <f>VLOOKUP(A181,sinap!$A$2:$R$9000,5,FALSE)</f>
        <v>0 años 3 meses</v>
      </c>
      <c r="N181" s="15" t="str">
        <f>VLOOKUP(A181,sinap!$A$2:$R$9000,6,FALSE)</f>
        <v>05-10-2025</v>
      </c>
      <c r="O181" s="15" t="str">
        <f>VLOOKUP(A181,sinap!$A$2:$R$9000,7,FALSE)</f>
        <v>Vivo</v>
      </c>
      <c r="P181" s="15" t="str">
        <f>VLOOKUP(A181,sinap!$A$2:$R$9000,8,FALSE)</f>
        <v>11.1.01.1241</v>
      </c>
      <c r="Q181" s="15" t="str">
        <f>VLOOKUP(A181,sinap!$A$2:$R$9000,12,FALSE)</f>
        <v>Sin Movimiento</v>
      </c>
      <c r="R181" s="15" t="str">
        <f>VLOOKUP(A181,sinap!$A$2:$R$9000,16,FALSE)</f>
        <v>11.1.01.1241</v>
      </c>
      <c r="S181" s="15" t="str">
        <f>VLOOKUP(A181,sinap!$A$2:$Y$9000,20,FALSE)</f>
        <v>SI</v>
      </c>
      <c r="T181" s="16">
        <v>45988</v>
      </c>
    </row>
    <row r="182" spans="1:20" x14ac:dyDescent="0.25">
      <c r="A182" s="15">
        <v>26234270</v>
      </c>
      <c r="J182" s="15" t="str">
        <f>VLOOKUP(A182,sinap!$A$2:$R$9000,2,FALSE)</f>
        <v>H</v>
      </c>
      <c r="K182" s="15" t="str">
        <f>VLOOKUP(A182,sinap!$A$2:$R$9000,3,FALSE)</f>
        <v>TERNERA</v>
      </c>
      <c r="L182" s="15" t="str">
        <f>VLOOKUP(A182,sinap!$A$2:$R$9000,4,FALSE)</f>
        <v>ANGUS NEGRO</v>
      </c>
      <c r="M182" s="15" t="str">
        <f>VLOOKUP(A182,sinap!$A$2:$R$9000,5,FALSE)</f>
        <v>0 años 3 meses</v>
      </c>
      <c r="N182" s="15" t="str">
        <f>VLOOKUP(A182,sinap!$A$2:$R$9000,6,FALSE)</f>
        <v>05-10-2025</v>
      </c>
      <c r="O182" s="15" t="str">
        <f>VLOOKUP(A182,sinap!$A$2:$R$9000,7,FALSE)</f>
        <v>Vivo</v>
      </c>
      <c r="P182" s="15" t="str">
        <f>VLOOKUP(A182,sinap!$A$2:$R$9000,8,FALSE)</f>
        <v>11.1.01.1241</v>
      </c>
      <c r="Q182" s="15" t="str">
        <f>VLOOKUP(A182,sinap!$A$2:$R$9000,12,FALSE)</f>
        <v>Sin Movimiento</v>
      </c>
      <c r="R182" s="15" t="str">
        <f>VLOOKUP(A182,sinap!$A$2:$R$9000,16,FALSE)</f>
        <v>11.1.01.1241</v>
      </c>
      <c r="S182" s="15" t="str">
        <f>VLOOKUP(A182,sinap!$A$2:$Y$9000,20,FALSE)</f>
        <v>SI</v>
      </c>
      <c r="T182" s="16">
        <v>45988</v>
      </c>
    </row>
    <row r="183" spans="1:20" x14ac:dyDescent="0.25">
      <c r="A183" s="15">
        <v>26234271</v>
      </c>
      <c r="J183" s="15" t="str">
        <f>VLOOKUP(A183,sinap!$A$2:$R$9000,2,FALSE)</f>
        <v>M</v>
      </c>
      <c r="K183" s="15" t="str">
        <f>VLOOKUP(A183,sinap!$A$2:$R$9000,3,FALSE)</f>
        <v>TERNERO</v>
      </c>
      <c r="L183" s="15" t="str">
        <f>VLOOKUP(A183,sinap!$A$2:$R$9000,4,FALSE)</f>
        <v>ANGUS NEGRO</v>
      </c>
      <c r="M183" s="15" t="str">
        <f>VLOOKUP(A183,sinap!$A$2:$R$9000,5,FALSE)</f>
        <v>0 años 3 meses</v>
      </c>
      <c r="N183" s="15" t="str">
        <f>VLOOKUP(A183,sinap!$A$2:$R$9000,6,FALSE)</f>
        <v>05-10-2025</v>
      </c>
      <c r="O183" s="15" t="str">
        <f>VLOOKUP(A183,sinap!$A$2:$R$9000,7,FALSE)</f>
        <v>Vivo</v>
      </c>
      <c r="P183" s="15" t="str">
        <f>VLOOKUP(A183,sinap!$A$2:$R$9000,8,FALSE)</f>
        <v>11.1.01.1241</v>
      </c>
      <c r="Q183" s="15" t="str">
        <f>VLOOKUP(A183,sinap!$A$2:$R$9000,12,FALSE)</f>
        <v>Sin Movimiento</v>
      </c>
      <c r="R183" s="15" t="str">
        <f>VLOOKUP(A183,sinap!$A$2:$R$9000,16,FALSE)</f>
        <v>11.1.01.1241</v>
      </c>
      <c r="S183" s="15" t="str">
        <f>VLOOKUP(A183,sinap!$A$2:$Y$9000,20,FALSE)</f>
        <v>SI</v>
      </c>
      <c r="T183" s="16">
        <v>45988</v>
      </c>
    </row>
    <row r="184" spans="1:20" x14ac:dyDescent="0.25">
      <c r="A184" s="15">
        <v>26234272</v>
      </c>
      <c r="J184" s="15" t="str">
        <f>VLOOKUP(A184,sinap!$A$2:$R$9000,2,FALSE)</f>
        <v>H</v>
      </c>
      <c r="K184" s="15" t="str">
        <f>VLOOKUP(A184,sinap!$A$2:$R$9000,3,FALSE)</f>
        <v>TERNERA</v>
      </c>
      <c r="L184" s="15" t="str">
        <f>VLOOKUP(A184,sinap!$A$2:$R$9000,4,FALSE)</f>
        <v>ANGUS ROJO</v>
      </c>
      <c r="M184" s="15" t="str">
        <f>VLOOKUP(A184,sinap!$A$2:$R$9000,5,FALSE)</f>
        <v>0 años 3 meses</v>
      </c>
      <c r="N184" s="15" t="str">
        <f>VLOOKUP(A184,sinap!$A$2:$R$9000,6,FALSE)</f>
        <v>05-10-2025</v>
      </c>
      <c r="O184" s="15" t="str">
        <f>VLOOKUP(A184,sinap!$A$2:$R$9000,7,FALSE)</f>
        <v>Vivo</v>
      </c>
      <c r="P184" s="15" t="str">
        <f>VLOOKUP(A184,sinap!$A$2:$R$9000,8,FALSE)</f>
        <v>11.1.01.1241</v>
      </c>
      <c r="Q184" s="15" t="str">
        <f>VLOOKUP(A184,sinap!$A$2:$R$9000,12,FALSE)</f>
        <v>Sin Movimiento</v>
      </c>
      <c r="R184" s="15" t="str">
        <f>VLOOKUP(A184,sinap!$A$2:$R$9000,16,FALSE)</f>
        <v>11.1.01.1241</v>
      </c>
      <c r="S184" s="15" t="str">
        <f>VLOOKUP(A184,sinap!$A$2:$Y$9000,20,FALSE)</f>
        <v>SI</v>
      </c>
      <c r="T184" s="16">
        <v>45988</v>
      </c>
    </row>
    <row r="185" spans="1:20" x14ac:dyDescent="0.25">
      <c r="A185" s="15">
        <v>26234273</v>
      </c>
      <c r="J185" s="15" t="str">
        <f>VLOOKUP(A185,sinap!$A$2:$R$9000,2,FALSE)</f>
        <v>M</v>
      </c>
      <c r="K185" s="15" t="str">
        <f>VLOOKUP(A185,sinap!$A$2:$R$9000,3,FALSE)</f>
        <v>TERNERO</v>
      </c>
      <c r="L185" s="15" t="str">
        <f>VLOOKUP(A185,sinap!$A$2:$R$9000,4,FALSE)</f>
        <v>ANGUS ROJO</v>
      </c>
      <c r="M185" s="15" t="str">
        <f>VLOOKUP(A185,sinap!$A$2:$R$9000,5,FALSE)</f>
        <v>0 años 3 meses</v>
      </c>
      <c r="N185" s="15" t="str">
        <f>VLOOKUP(A185,sinap!$A$2:$R$9000,6,FALSE)</f>
        <v>05-10-2025</v>
      </c>
      <c r="O185" s="15" t="str">
        <f>VLOOKUP(A185,sinap!$A$2:$R$9000,7,FALSE)</f>
        <v>Vivo</v>
      </c>
      <c r="P185" s="15" t="str">
        <f>VLOOKUP(A185,sinap!$A$2:$R$9000,8,FALSE)</f>
        <v>11.1.01.1241</v>
      </c>
      <c r="Q185" s="15" t="str">
        <f>VLOOKUP(A185,sinap!$A$2:$R$9000,12,FALSE)</f>
        <v>Sin Movimiento</v>
      </c>
      <c r="R185" s="15" t="str">
        <f>VLOOKUP(A185,sinap!$A$2:$R$9000,16,FALSE)</f>
        <v>11.1.01.1241</v>
      </c>
      <c r="S185" s="15" t="str">
        <f>VLOOKUP(A185,sinap!$A$2:$Y$9000,20,FALSE)</f>
        <v>SI</v>
      </c>
      <c r="T185" s="16">
        <v>45988</v>
      </c>
    </row>
    <row r="186" spans="1:20" x14ac:dyDescent="0.25">
      <c r="A186" s="15">
        <v>26234274</v>
      </c>
      <c r="J186" s="15" t="str">
        <f>VLOOKUP(A186,sinap!$A$2:$R$9000,2,FALSE)</f>
        <v>M</v>
      </c>
      <c r="K186" s="15" t="str">
        <f>VLOOKUP(A186,sinap!$A$2:$R$9000,3,FALSE)</f>
        <v>TERNERO</v>
      </c>
      <c r="L186" s="15" t="str">
        <f>VLOOKUP(A186,sinap!$A$2:$R$9000,4,FALSE)</f>
        <v>ANGUS NEGRO</v>
      </c>
      <c r="M186" s="15" t="str">
        <f>VLOOKUP(A186,sinap!$A$2:$R$9000,5,FALSE)</f>
        <v>0 años 3 meses</v>
      </c>
      <c r="N186" s="15" t="str">
        <f>VLOOKUP(A186,sinap!$A$2:$R$9000,6,FALSE)</f>
        <v>05-10-2025</v>
      </c>
      <c r="O186" s="15" t="str">
        <f>VLOOKUP(A186,sinap!$A$2:$R$9000,7,FALSE)</f>
        <v>Vivo</v>
      </c>
      <c r="P186" s="15" t="str">
        <f>VLOOKUP(A186,sinap!$A$2:$R$9000,8,FALSE)</f>
        <v>11.1.01.1241</v>
      </c>
      <c r="Q186" s="15" t="str">
        <f>VLOOKUP(A186,sinap!$A$2:$R$9000,12,FALSE)</f>
        <v>Sin Movimiento</v>
      </c>
      <c r="R186" s="15" t="str">
        <f>VLOOKUP(A186,sinap!$A$2:$R$9000,16,FALSE)</f>
        <v>11.1.01.1241</v>
      </c>
      <c r="S186" s="15" t="str">
        <f>VLOOKUP(A186,sinap!$A$2:$Y$9000,20,FALSE)</f>
        <v>SI</v>
      </c>
      <c r="T186" s="16">
        <v>45988</v>
      </c>
    </row>
    <row r="187" spans="1:20" x14ac:dyDescent="0.25">
      <c r="A187" s="15">
        <v>26234275</v>
      </c>
      <c r="J187" s="15" t="str">
        <f>VLOOKUP(A187,sinap!$A$2:$R$9000,2,FALSE)</f>
        <v>M</v>
      </c>
      <c r="K187" s="15" t="str">
        <f>VLOOKUP(A187,sinap!$A$2:$R$9000,3,FALSE)</f>
        <v>TERNERO</v>
      </c>
      <c r="L187" s="15" t="str">
        <f>VLOOKUP(A187,sinap!$A$2:$R$9000,4,FALSE)</f>
        <v>ANGUS NEGRO</v>
      </c>
      <c r="M187" s="15" t="str">
        <f>VLOOKUP(A187,sinap!$A$2:$R$9000,5,FALSE)</f>
        <v>0 años 3 meses</v>
      </c>
      <c r="N187" s="15" t="str">
        <f>VLOOKUP(A187,sinap!$A$2:$R$9000,6,FALSE)</f>
        <v>05-10-2025</v>
      </c>
      <c r="O187" s="15" t="str">
        <f>VLOOKUP(A187,sinap!$A$2:$R$9000,7,FALSE)</f>
        <v>Vivo</v>
      </c>
      <c r="P187" s="15" t="str">
        <f>VLOOKUP(A187,sinap!$A$2:$R$9000,8,FALSE)</f>
        <v>11.1.01.1241</v>
      </c>
      <c r="Q187" s="15" t="str">
        <f>VLOOKUP(A187,sinap!$A$2:$R$9000,12,FALSE)</f>
        <v>Sin Movimiento</v>
      </c>
      <c r="R187" s="15" t="str">
        <f>VLOOKUP(A187,sinap!$A$2:$R$9000,16,FALSE)</f>
        <v>11.1.01.1241</v>
      </c>
      <c r="S187" s="15" t="str">
        <f>VLOOKUP(A187,sinap!$A$2:$Y$9000,20,FALSE)</f>
        <v>SI</v>
      </c>
      <c r="T187" s="16">
        <v>45988</v>
      </c>
    </row>
    <row r="188" spans="1:20" x14ac:dyDescent="0.25">
      <c r="A188" s="15">
        <v>26234276</v>
      </c>
      <c r="J188" s="15" t="str">
        <f>VLOOKUP(A188,sinap!$A$2:$R$9000,2,FALSE)</f>
        <v>H</v>
      </c>
      <c r="K188" s="15" t="str">
        <f>VLOOKUP(A188,sinap!$A$2:$R$9000,3,FALSE)</f>
        <v>TERNERA</v>
      </c>
      <c r="L188" s="15" t="str">
        <f>VLOOKUP(A188,sinap!$A$2:$R$9000,4,FALSE)</f>
        <v>ANGUS NEGRO</v>
      </c>
      <c r="M188" s="15" t="str">
        <f>VLOOKUP(A188,sinap!$A$2:$R$9000,5,FALSE)</f>
        <v>0 años 3 meses</v>
      </c>
      <c r="N188" s="15" t="str">
        <f>VLOOKUP(A188,sinap!$A$2:$R$9000,6,FALSE)</f>
        <v>05-10-2025</v>
      </c>
      <c r="O188" s="15" t="str">
        <f>VLOOKUP(A188,sinap!$A$2:$R$9000,7,FALSE)</f>
        <v>Vivo</v>
      </c>
      <c r="P188" s="15" t="str">
        <f>VLOOKUP(A188,sinap!$A$2:$R$9000,8,FALSE)</f>
        <v>11.1.01.1241</v>
      </c>
      <c r="Q188" s="15" t="str">
        <f>VLOOKUP(A188,sinap!$A$2:$R$9000,12,FALSE)</f>
        <v>Sin Movimiento</v>
      </c>
      <c r="R188" s="15" t="str">
        <f>VLOOKUP(A188,sinap!$A$2:$R$9000,16,FALSE)</f>
        <v>11.1.01.1241</v>
      </c>
      <c r="S188" s="15" t="str">
        <f>VLOOKUP(A188,sinap!$A$2:$Y$9000,20,FALSE)</f>
        <v>SI</v>
      </c>
      <c r="T188" s="16">
        <v>45988</v>
      </c>
    </row>
    <row r="189" spans="1:20" x14ac:dyDescent="0.25">
      <c r="A189" s="15">
        <v>26234277</v>
      </c>
      <c r="J189" s="15" t="str">
        <f>VLOOKUP(A189,sinap!$A$2:$R$9000,2,FALSE)</f>
        <v>H</v>
      </c>
      <c r="K189" s="15" t="str">
        <f>VLOOKUP(A189,sinap!$A$2:$R$9000,3,FALSE)</f>
        <v>TERNERA</v>
      </c>
      <c r="L189" s="15" t="str">
        <f>VLOOKUP(A189,sinap!$A$2:$R$9000,4,FALSE)</f>
        <v>ANGUS NEGRO</v>
      </c>
      <c r="M189" s="15" t="str">
        <f>VLOOKUP(A189,sinap!$A$2:$R$9000,5,FALSE)</f>
        <v>0 años 3 meses</v>
      </c>
      <c r="N189" s="15" t="str">
        <f>VLOOKUP(A189,sinap!$A$2:$R$9000,6,FALSE)</f>
        <v>05-10-2025</v>
      </c>
      <c r="O189" s="15" t="str">
        <f>VLOOKUP(A189,sinap!$A$2:$R$9000,7,FALSE)</f>
        <v>Vivo</v>
      </c>
      <c r="P189" s="15" t="str">
        <f>VLOOKUP(A189,sinap!$A$2:$R$9000,8,FALSE)</f>
        <v>11.1.01.1241</v>
      </c>
      <c r="Q189" s="15" t="str">
        <f>VLOOKUP(A189,sinap!$A$2:$R$9000,12,FALSE)</f>
        <v>Sin Movimiento</v>
      </c>
      <c r="R189" s="15" t="str">
        <f>VLOOKUP(A189,sinap!$A$2:$R$9000,16,FALSE)</f>
        <v>11.1.01.1241</v>
      </c>
      <c r="S189" s="15" t="str">
        <f>VLOOKUP(A189,sinap!$A$2:$Y$9000,20,FALSE)</f>
        <v>SI</v>
      </c>
      <c r="T189" s="16">
        <v>45988</v>
      </c>
    </row>
    <row r="190" spans="1:20" x14ac:dyDescent="0.25">
      <c r="A190" s="15">
        <v>26234278</v>
      </c>
      <c r="J190" s="15" t="str">
        <f>VLOOKUP(A190,sinap!$A$2:$R$9000,2,FALSE)</f>
        <v>H</v>
      </c>
      <c r="K190" s="15" t="str">
        <f>VLOOKUP(A190,sinap!$A$2:$R$9000,3,FALSE)</f>
        <v>TERNERA</v>
      </c>
      <c r="L190" s="15" t="str">
        <f>VLOOKUP(A190,sinap!$A$2:$R$9000,4,FALSE)</f>
        <v>ANGUS ROJO</v>
      </c>
      <c r="M190" s="15" t="str">
        <f>VLOOKUP(A190,sinap!$A$2:$R$9000,5,FALSE)</f>
        <v>0 años 3 meses</v>
      </c>
      <c r="N190" s="15" t="str">
        <f>VLOOKUP(A190,sinap!$A$2:$R$9000,6,FALSE)</f>
        <v>05-10-2025</v>
      </c>
      <c r="O190" s="15" t="str">
        <f>VLOOKUP(A190,sinap!$A$2:$R$9000,7,FALSE)</f>
        <v>Vivo</v>
      </c>
      <c r="P190" s="15" t="str">
        <f>VLOOKUP(A190,sinap!$A$2:$R$9000,8,FALSE)</f>
        <v>11.1.01.1241</v>
      </c>
      <c r="Q190" s="15" t="str">
        <f>VLOOKUP(A190,sinap!$A$2:$R$9000,12,FALSE)</f>
        <v>Sin Movimiento</v>
      </c>
      <c r="R190" s="15" t="str">
        <f>VLOOKUP(A190,sinap!$A$2:$R$9000,16,FALSE)</f>
        <v>11.1.01.1241</v>
      </c>
      <c r="S190" s="15" t="str">
        <f>VLOOKUP(A190,sinap!$A$2:$Y$9000,20,FALSE)</f>
        <v>SI</v>
      </c>
      <c r="T190" s="16">
        <v>45988</v>
      </c>
    </row>
    <row r="191" spans="1:20" x14ac:dyDescent="0.25">
      <c r="A191" s="15">
        <v>26234279</v>
      </c>
      <c r="J191" s="15" t="str">
        <f>VLOOKUP(A191,sinap!$A$2:$R$9000,2,FALSE)</f>
        <v>M</v>
      </c>
      <c r="K191" s="15" t="str">
        <f>VLOOKUP(A191,sinap!$A$2:$R$9000,3,FALSE)</f>
        <v>TERNERO</v>
      </c>
      <c r="L191" s="15" t="str">
        <f>VLOOKUP(A191,sinap!$A$2:$R$9000,4,FALSE)</f>
        <v>ANGUS NEGRO</v>
      </c>
      <c r="M191" s="15" t="str">
        <f>VLOOKUP(A191,sinap!$A$2:$R$9000,5,FALSE)</f>
        <v>0 años 3 meses</v>
      </c>
      <c r="N191" s="15" t="str">
        <f>VLOOKUP(A191,sinap!$A$2:$R$9000,6,FALSE)</f>
        <v>15-10-2025</v>
      </c>
      <c r="O191" s="15" t="str">
        <f>VLOOKUP(A191,sinap!$A$2:$R$9000,7,FALSE)</f>
        <v>Vivo</v>
      </c>
      <c r="P191" s="15" t="str">
        <f>VLOOKUP(A191,sinap!$A$2:$R$9000,8,FALSE)</f>
        <v>11.2.01.0038</v>
      </c>
      <c r="Q191" s="15" t="str">
        <f>VLOOKUP(A191,sinap!$A$2:$R$9000,12,FALSE)</f>
        <v>11.1.01.0893</v>
      </c>
      <c r="R191" s="15" t="str">
        <f>VLOOKUP(A191,sinap!$A$2:$R$9000,16,FALSE)</f>
        <v>11.1.01.0893</v>
      </c>
      <c r="S191" s="15" t="str">
        <f>VLOOKUP(A191,sinap!$A$2:$Y$9000,20,FALSE)</f>
        <v>SI</v>
      </c>
      <c r="T191" s="16">
        <v>45989</v>
      </c>
    </row>
    <row r="192" spans="1:20" x14ac:dyDescent="0.25">
      <c r="A192" s="15">
        <v>26234280</v>
      </c>
      <c r="J192" s="15" t="str">
        <f>VLOOKUP(A192,sinap!$A$2:$R$9000,2,FALSE)</f>
        <v>M</v>
      </c>
      <c r="K192" s="15" t="str">
        <f>VLOOKUP(A192,sinap!$A$2:$R$9000,3,FALSE)</f>
        <v>TERNERO</v>
      </c>
      <c r="L192" s="15" t="str">
        <f>VLOOKUP(A192,sinap!$A$2:$R$9000,4,FALSE)</f>
        <v>ANGUS NEGRO</v>
      </c>
      <c r="M192" s="15" t="str">
        <f>VLOOKUP(A192,sinap!$A$2:$R$9000,5,FALSE)</f>
        <v>0 años 3 meses</v>
      </c>
      <c r="N192" s="15" t="str">
        <f>VLOOKUP(A192,sinap!$A$2:$R$9000,6,FALSE)</f>
        <v>15-10-2025</v>
      </c>
      <c r="O192" s="15" t="str">
        <f>VLOOKUP(A192,sinap!$A$2:$R$9000,7,FALSE)</f>
        <v>Vivo</v>
      </c>
      <c r="P192" s="15" t="str">
        <f>VLOOKUP(A192,sinap!$A$2:$R$9000,8,FALSE)</f>
        <v>11.2.01.0038</v>
      </c>
      <c r="Q192" s="15" t="str">
        <f>VLOOKUP(A192,sinap!$A$2:$R$9000,12,FALSE)</f>
        <v>11.1.01.0893</v>
      </c>
      <c r="R192" s="15" t="str">
        <f>VLOOKUP(A192,sinap!$A$2:$R$9000,16,FALSE)</f>
        <v>11.1.01.0893</v>
      </c>
      <c r="S192" s="15" t="str">
        <f>VLOOKUP(A192,sinap!$A$2:$Y$9000,20,FALSE)</f>
        <v>SI</v>
      </c>
      <c r="T192" s="16">
        <v>45989</v>
      </c>
    </row>
    <row r="193" spans="1:20" x14ac:dyDescent="0.25">
      <c r="A193" s="15">
        <v>26234281</v>
      </c>
      <c r="J193" s="15" t="str">
        <f>VLOOKUP(A193,sinap!$A$2:$R$9000,2,FALSE)</f>
        <v>M</v>
      </c>
      <c r="K193" s="15" t="str">
        <f>VLOOKUP(A193,sinap!$A$2:$R$9000,3,FALSE)</f>
        <v>TERNERO</v>
      </c>
      <c r="L193" s="15" t="str">
        <f>VLOOKUP(A193,sinap!$A$2:$R$9000,4,FALSE)</f>
        <v>ANGUS NEGRO</v>
      </c>
      <c r="M193" s="15" t="str">
        <f>VLOOKUP(A193,sinap!$A$2:$R$9000,5,FALSE)</f>
        <v>0 años 3 meses</v>
      </c>
      <c r="N193" s="15" t="str">
        <f>VLOOKUP(A193,sinap!$A$2:$R$9000,6,FALSE)</f>
        <v>15-10-2025</v>
      </c>
      <c r="O193" s="15" t="str">
        <f>VLOOKUP(A193,sinap!$A$2:$R$9000,7,FALSE)</f>
        <v>Vivo</v>
      </c>
      <c r="P193" s="15" t="str">
        <f>VLOOKUP(A193,sinap!$A$2:$R$9000,8,FALSE)</f>
        <v>11.2.01.0038</v>
      </c>
      <c r="Q193" s="15" t="str">
        <f>VLOOKUP(A193,sinap!$A$2:$R$9000,12,FALSE)</f>
        <v>11.1.01.0893</v>
      </c>
      <c r="R193" s="15" t="str">
        <f>VLOOKUP(A193,sinap!$A$2:$R$9000,16,FALSE)</f>
        <v>11.1.01.0893</v>
      </c>
      <c r="S193" s="15" t="str">
        <f>VLOOKUP(A193,sinap!$A$2:$Y$9000,20,FALSE)</f>
        <v>SI</v>
      </c>
      <c r="T193" s="16">
        <v>45989</v>
      </c>
    </row>
    <row r="194" spans="1:20" x14ac:dyDescent="0.25">
      <c r="A194" s="15">
        <v>26234282</v>
      </c>
      <c r="J194" s="15" t="str">
        <f>VLOOKUP(A194,sinap!$A$2:$R$9000,2,FALSE)</f>
        <v>M</v>
      </c>
      <c r="K194" s="15" t="str">
        <f>VLOOKUP(A194,sinap!$A$2:$R$9000,3,FALSE)</f>
        <v>TERNERO</v>
      </c>
      <c r="L194" s="15" t="str">
        <f>VLOOKUP(A194,sinap!$A$2:$R$9000,4,FALSE)</f>
        <v>ANGUS NEGRO</v>
      </c>
      <c r="M194" s="15" t="str">
        <f>VLOOKUP(A194,sinap!$A$2:$R$9000,5,FALSE)</f>
        <v>0 años 3 meses</v>
      </c>
      <c r="N194" s="15" t="str">
        <f>VLOOKUP(A194,sinap!$A$2:$R$9000,6,FALSE)</f>
        <v>15-10-2025</v>
      </c>
      <c r="O194" s="15" t="str">
        <f>VLOOKUP(A194,sinap!$A$2:$R$9000,7,FALSE)</f>
        <v>Vivo</v>
      </c>
      <c r="P194" s="15" t="str">
        <f>VLOOKUP(A194,sinap!$A$2:$R$9000,8,FALSE)</f>
        <v>11.1.01.0791</v>
      </c>
      <c r="Q194" s="15" t="str">
        <f>VLOOKUP(A194,sinap!$A$2:$R$9000,12,FALSE)</f>
        <v>11.1.01.0893</v>
      </c>
      <c r="R194" s="15" t="str">
        <f>VLOOKUP(A194,sinap!$A$2:$R$9000,16,FALSE)</f>
        <v>11.1.01.0893</v>
      </c>
      <c r="S194" s="15" t="str">
        <f>VLOOKUP(A194,sinap!$A$2:$Y$9000,20,FALSE)</f>
        <v>SI</v>
      </c>
      <c r="T194" s="16">
        <v>45989</v>
      </c>
    </row>
    <row r="195" spans="1:20" x14ac:dyDescent="0.25">
      <c r="A195" s="15">
        <v>26234283</v>
      </c>
      <c r="J195" s="15" t="str">
        <f>VLOOKUP(A195,sinap!$A$2:$R$9000,2,FALSE)</f>
        <v>H</v>
      </c>
      <c r="K195" s="15" t="str">
        <f>VLOOKUP(A195,sinap!$A$2:$R$9000,3,FALSE)</f>
        <v>TERNERA</v>
      </c>
      <c r="L195" s="15" t="str">
        <f>VLOOKUP(A195,sinap!$A$2:$R$9000,4,FALSE)</f>
        <v>ANGUS NEGRO</v>
      </c>
      <c r="M195" s="15" t="str">
        <f>VLOOKUP(A195,sinap!$A$2:$R$9000,5,FALSE)</f>
        <v>0 años 3 meses</v>
      </c>
      <c r="N195" s="15" t="str">
        <f>VLOOKUP(A195,sinap!$A$2:$R$9000,6,FALSE)</f>
        <v>15-10-2025</v>
      </c>
      <c r="O195" s="15" t="str">
        <f>VLOOKUP(A195,sinap!$A$2:$R$9000,7,FALSE)</f>
        <v>Vivo</v>
      </c>
      <c r="P195" s="15" t="str">
        <f>VLOOKUP(A195,sinap!$A$2:$R$9000,8,FALSE)</f>
        <v>11.1.01.0791</v>
      </c>
      <c r="Q195" s="15" t="str">
        <f>VLOOKUP(A195,sinap!$A$2:$R$9000,12,FALSE)</f>
        <v>11.1.01.0893</v>
      </c>
      <c r="R195" s="15" t="str">
        <f>VLOOKUP(A195,sinap!$A$2:$R$9000,16,FALSE)</f>
        <v>11.1.01.0893</v>
      </c>
      <c r="S195" s="15" t="str">
        <f>VLOOKUP(A195,sinap!$A$2:$Y$9000,20,FALSE)</f>
        <v>SI</v>
      </c>
      <c r="T195" s="16">
        <v>45989</v>
      </c>
    </row>
    <row r="196" spans="1:20" x14ac:dyDescent="0.25">
      <c r="A196" s="15">
        <v>26234284</v>
      </c>
      <c r="J196" s="15" t="str">
        <f>VLOOKUP(A196,sinap!$A$2:$R$9000,2,FALSE)</f>
        <v>H</v>
      </c>
      <c r="K196" s="15" t="str">
        <f>VLOOKUP(A196,sinap!$A$2:$R$9000,3,FALSE)</f>
        <v>TERNERA</v>
      </c>
      <c r="L196" s="15" t="str">
        <f>VLOOKUP(A196,sinap!$A$2:$R$9000,4,FALSE)</f>
        <v>ANGUS NEGRO</v>
      </c>
      <c r="M196" s="15" t="str">
        <f>VLOOKUP(A196,sinap!$A$2:$R$9000,5,FALSE)</f>
        <v>0 años 3 meses</v>
      </c>
      <c r="N196" s="15" t="str">
        <f>VLOOKUP(A196,sinap!$A$2:$R$9000,6,FALSE)</f>
        <v>15-10-2025</v>
      </c>
      <c r="O196" s="15" t="str">
        <f>VLOOKUP(A196,sinap!$A$2:$R$9000,7,FALSE)</f>
        <v>Vivo</v>
      </c>
      <c r="P196" s="15" t="str">
        <f>VLOOKUP(A196,sinap!$A$2:$R$9000,8,FALSE)</f>
        <v>11.1.01.0791</v>
      </c>
      <c r="Q196" s="15" t="str">
        <f>VLOOKUP(A196,sinap!$A$2:$R$9000,12,FALSE)</f>
        <v>11.1.01.0893</v>
      </c>
      <c r="R196" s="15" t="str">
        <f>VLOOKUP(A196,sinap!$A$2:$R$9000,16,FALSE)</f>
        <v>11.1.01.0893</v>
      </c>
      <c r="S196" s="15" t="str">
        <f>VLOOKUP(A196,sinap!$A$2:$Y$9000,20,FALSE)</f>
        <v>SI</v>
      </c>
      <c r="T196" s="16">
        <v>45989</v>
      </c>
    </row>
    <row r="197" spans="1:20" x14ac:dyDescent="0.25">
      <c r="A197" s="15">
        <v>26234285</v>
      </c>
      <c r="J197" s="15" t="str">
        <f>VLOOKUP(A197,sinap!$A$2:$R$9000,2,FALSE)</f>
        <v>M</v>
      </c>
      <c r="K197" s="15" t="str">
        <f>VLOOKUP(A197,sinap!$A$2:$R$9000,3,FALSE)</f>
        <v>TERNERO</v>
      </c>
      <c r="L197" s="15" t="str">
        <f>VLOOKUP(A197,sinap!$A$2:$R$9000,4,FALSE)</f>
        <v>ANGUS NEGRO</v>
      </c>
      <c r="M197" s="15" t="str">
        <f>VLOOKUP(A197,sinap!$A$2:$R$9000,5,FALSE)</f>
        <v>0 años 3 meses</v>
      </c>
      <c r="N197" s="15" t="str">
        <f>VLOOKUP(A197,sinap!$A$2:$R$9000,6,FALSE)</f>
        <v>15-10-2025</v>
      </c>
      <c r="O197" s="15" t="str">
        <f>VLOOKUP(A197,sinap!$A$2:$R$9000,7,FALSE)</f>
        <v>Vivo</v>
      </c>
      <c r="P197" s="15" t="str">
        <f>VLOOKUP(A197,sinap!$A$2:$R$9000,8,FALSE)</f>
        <v>11.2.01.0038</v>
      </c>
      <c r="Q197" s="15" t="str">
        <f>VLOOKUP(A197,sinap!$A$2:$R$9000,12,FALSE)</f>
        <v>11.1.01.0893</v>
      </c>
      <c r="R197" s="15" t="str">
        <f>VLOOKUP(A197,sinap!$A$2:$R$9000,16,FALSE)</f>
        <v>11.1.01.0893</v>
      </c>
      <c r="S197" s="15" t="str">
        <f>VLOOKUP(A197,sinap!$A$2:$Y$9000,20,FALSE)</f>
        <v>SI</v>
      </c>
      <c r="T197" s="16">
        <v>45989</v>
      </c>
    </row>
    <row r="198" spans="1:20" x14ac:dyDescent="0.25">
      <c r="A198" s="15">
        <v>26234286</v>
      </c>
      <c r="J198" s="15" t="str">
        <f>VLOOKUP(A198,sinap!$A$2:$R$9000,2,FALSE)</f>
        <v>M</v>
      </c>
      <c r="K198" s="15" t="str">
        <f>VLOOKUP(A198,sinap!$A$2:$R$9000,3,FALSE)</f>
        <v>TERNERO</v>
      </c>
      <c r="L198" s="15" t="str">
        <f>VLOOKUP(A198,sinap!$A$2:$R$9000,4,FALSE)</f>
        <v>ANGUS NEGRO</v>
      </c>
      <c r="M198" s="15" t="str">
        <f>VLOOKUP(A198,sinap!$A$2:$R$9000,5,FALSE)</f>
        <v>0 años 3 meses</v>
      </c>
      <c r="N198" s="15" t="str">
        <f>VLOOKUP(A198,sinap!$A$2:$R$9000,6,FALSE)</f>
        <v>15-10-2025</v>
      </c>
      <c r="O198" s="15" t="str">
        <f>VLOOKUP(A198,sinap!$A$2:$R$9000,7,FALSE)</f>
        <v>Vivo</v>
      </c>
      <c r="P198" s="15" t="str">
        <f>VLOOKUP(A198,sinap!$A$2:$R$9000,8,FALSE)</f>
        <v>11.2.01.0038</v>
      </c>
      <c r="Q198" s="15" t="str">
        <f>VLOOKUP(A198,sinap!$A$2:$R$9000,12,FALSE)</f>
        <v>11.1.01.0893</v>
      </c>
      <c r="R198" s="15" t="str">
        <f>VLOOKUP(A198,sinap!$A$2:$R$9000,16,FALSE)</f>
        <v>11.1.01.0893</v>
      </c>
      <c r="S198" s="15" t="str">
        <f>VLOOKUP(A198,sinap!$A$2:$Y$9000,20,FALSE)</f>
        <v>SI</v>
      </c>
      <c r="T198" s="16">
        <v>45989</v>
      </c>
    </row>
    <row r="199" spans="1:20" x14ac:dyDescent="0.25">
      <c r="A199" s="15">
        <v>26234287</v>
      </c>
      <c r="J199" s="15" t="str">
        <f>VLOOKUP(A199,sinap!$A$2:$R$9000,2,FALSE)</f>
        <v>H</v>
      </c>
      <c r="K199" s="15" t="str">
        <f>VLOOKUP(A199,sinap!$A$2:$R$9000,3,FALSE)</f>
        <v>TERNERA</v>
      </c>
      <c r="L199" s="15" t="str">
        <f>VLOOKUP(A199,sinap!$A$2:$R$9000,4,FALSE)</f>
        <v>ANGUS NEGRO</v>
      </c>
      <c r="M199" s="15" t="str">
        <f>VLOOKUP(A199,sinap!$A$2:$R$9000,5,FALSE)</f>
        <v>0 años 3 meses</v>
      </c>
      <c r="N199" s="15" t="str">
        <f>VLOOKUP(A199,sinap!$A$2:$R$9000,6,FALSE)</f>
        <v>15-10-2025</v>
      </c>
      <c r="O199" s="15" t="str">
        <f>VLOOKUP(A199,sinap!$A$2:$R$9000,7,FALSE)</f>
        <v>Vivo</v>
      </c>
      <c r="P199" s="15" t="str">
        <f>VLOOKUP(A199,sinap!$A$2:$R$9000,8,FALSE)</f>
        <v>11.2.01.0038</v>
      </c>
      <c r="Q199" s="15" t="str">
        <f>VLOOKUP(A199,sinap!$A$2:$R$9000,12,FALSE)</f>
        <v>11.1.01.0893</v>
      </c>
      <c r="R199" s="15" t="str">
        <f>VLOOKUP(A199,sinap!$A$2:$R$9000,16,FALSE)</f>
        <v>11.1.01.0893</v>
      </c>
      <c r="S199" s="15" t="str">
        <f>VLOOKUP(A199,sinap!$A$2:$Y$9000,20,FALSE)</f>
        <v>SI</v>
      </c>
      <c r="T199" s="16">
        <v>45989</v>
      </c>
    </row>
    <row r="200" spans="1:20" x14ac:dyDescent="0.25">
      <c r="A200" s="15">
        <v>26234288</v>
      </c>
      <c r="J200" s="15" t="str">
        <f>VLOOKUP(A200,sinap!$A$2:$R$9000,2,FALSE)</f>
        <v>H</v>
      </c>
      <c r="K200" s="15" t="str">
        <f>VLOOKUP(A200,sinap!$A$2:$R$9000,3,FALSE)</f>
        <v>TERNERA</v>
      </c>
      <c r="L200" s="15" t="str">
        <f>VLOOKUP(A200,sinap!$A$2:$R$9000,4,FALSE)</f>
        <v>ANGUS NEGRO</v>
      </c>
      <c r="M200" s="15" t="str">
        <f>VLOOKUP(A200,sinap!$A$2:$R$9000,5,FALSE)</f>
        <v>0 años 3 meses</v>
      </c>
      <c r="N200" s="15" t="str">
        <f>VLOOKUP(A200,sinap!$A$2:$R$9000,6,FALSE)</f>
        <v>15-10-2025</v>
      </c>
      <c r="O200" s="15" t="str">
        <f>VLOOKUP(A200,sinap!$A$2:$R$9000,7,FALSE)</f>
        <v>Vivo</v>
      </c>
      <c r="P200" s="15" t="str">
        <f>VLOOKUP(A200,sinap!$A$2:$R$9000,8,FALSE)</f>
        <v>11.2.01.0038</v>
      </c>
      <c r="Q200" s="15" t="str">
        <f>VLOOKUP(A200,sinap!$A$2:$R$9000,12,FALSE)</f>
        <v>11.1.01.0893</v>
      </c>
      <c r="R200" s="15" t="str">
        <f>VLOOKUP(A200,sinap!$A$2:$R$9000,16,FALSE)</f>
        <v>11.1.01.0893</v>
      </c>
      <c r="S200" s="15" t="str">
        <f>VLOOKUP(A200,sinap!$A$2:$Y$9000,20,FALSE)</f>
        <v>SI</v>
      </c>
      <c r="T200" s="16">
        <v>45989</v>
      </c>
    </row>
    <row r="201" spans="1:20" x14ac:dyDescent="0.25">
      <c r="A201" s="15">
        <v>26234289</v>
      </c>
      <c r="J201" s="15" t="str">
        <f>VLOOKUP(A201,sinap!$A$2:$R$9000,2,FALSE)</f>
        <v>M</v>
      </c>
      <c r="K201" s="15" t="str">
        <f>VLOOKUP(A201,sinap!$A$2:$R$9000,3,FALSE)</f>
        <v>TERNERO</v>
      </c>
      <c r="L201" s="15" t="str">
        <f>VLOOKUP(A201,sinap!$A$2:$R$9000,4,FALSE)</f>
        <v>ANGUS NEGRO</v>
      </c>
      <c r="M201" s="15" t="str">
        <f>VLOOKUP(A201,sinap!$A$2:$R$9000,5,FALSE)</f>
        <v>0 años 3 meses</v>
      </c>
      <c r="N201" s="15" t="str">
        <f>VLOOKUP(A201,sinap!$A$2:$R$9000,6,FALSE)</f>
        <v>15-10-2025</v>
      </c>
      <c r="O201" s="15" t="str">
        <f>VLOOKUP(A201,sinap!$A$2:$R$9000,7,FALSE)</f>
        <v>Vivo</v>
      </c>
      <c r="P201" s="15" t="str">
        <f>VLOOKUP(A201,sinap!$A$2:$R$9000,8,FALSE)</f>
        <v>11.1.01.0791</v>
      </c>
      <c r="Q201" s="15" t="str">
        <f>VLOOKUP(A201,sinap!$A$2:$R$9000,12,FALSE)</f>
        <v>11.1.01.0893</v>
      </c>
      <c r="R201" s="15" t="str">
        <f>VLOOKUP(A201,sinap!$A$2:$R$9000,16,FALSE)</f>
        <v>11.1.01.0893</v>
      </c>
      <c r="S201" s="15" t="str">
        <f>VLOOKUP(A201,sinap!$A$2:$Y$9000,20,FALSE)</f>
        <v>SI</v>
      </c>
      <c r="T201" s="16">
        <v>45989</v>
      </c>
    </row>
    <row r="202" spans="1:20" x14ac:dyDescent="0.25">
      <c r="A202" s="15">
        <v>26234290</v>
      </c>
      <c r="J202" s="15" t="str">
        <f>VLOOKUP(A202,sinap!$A$2:$R$9000,2,FALSE)</f>
        <v>M</v>
      </c>
      <c r="K202" s="15" t="str">
        <f>VLOOKUP(A202,sinap!$A$2:$R$9000,3,FALSE)</f>
        <v>TERNERO</v>
      </c>
      <c r="L202" s="15" t="str">
        <f>VLOOKUP(A202,sinap!$A$2:$R$9000,4,FALSE)</f>
        <v>ANGUS ROJO</v>
      </c>
      <c r="M202" s="15" t="str">
        <f>VLOOKUP(A202,sinap!$A$2:$R$9000,5,FALSE)</f>
        <v>0 años 3 meses</v>
      </c>
      <c r="N202" s="15" t="str">
        <f>VLOOKUP(A202,sinap!$A$2:$R$9000,6,FALSE)</f>
        <v>15-10-2025</v>
      </c>
      <c r="O202" s="15" t="str">
        <f>VLOOKUP(A202,sinap!$A$2:$R$9000,7,FALSE)</f>
        <v>Vivo</v>
      </c>
      <c r="P202" s="15" t="str">
        <f>VLOOKUP(A202,sinap!$A$2:$R$9000,8,FALSE)</f>
        <v>11.2.01.0038</v>
      </c>
      <c r="Q202" s="15" t="str">
        <f>VLOOKUP(A202,sinap!$A$2:$R$9000,12,FALSE)</f>
        <v>11.1.01.0893</v>
      </c>
      <c r="R202" s="15" t="str">
        <f>VLOOKUP(A202,sinap!$A$2:$R$9000,16,FALSE)</f>
        <v>11.1.01.0893</v>
      </c>
      <c r="S202" s="15" t="str">
        <f>VLOOKUP(A202,sinap!$A$2:$Y$9000,20,FALSE)</f>
        <v>SI</v>
      </c>
      <c r="T202" s="16">
        <v>45989</v>
      </c>
    </row>
    <row r="203" spans="1:20" x14ac:dyDescent="0.25">
      <c r="A203" s="15">
        <v>26234291</v>
      </c>
      <c r="J203" s="15" t="str">
        <f>VLOOKUP(A203,sinap!$A$2:$R$9000,2,FALSE)</f>
        <v>M</v>
      </c>
      <c r="K203" s="15" t="str">
        <f>VLOOKUP(A203,sinap!$A$2:$R$9000,3,FALSE)</f>
        <v>TERNERO</v>
      </c>
      <c r="L203" s="15" t="str">
        <f>VLOOKUP(A203,sinap!$A$2:$R$9000,4,FALSE)</f>
        <v>ANGUS NEGRO</v>
      </c>
      <c r="M203" s="15" t="str">
        <f>VLOOKUP(A203,sinap!$A$2:$R$9000,5,FALSE)</f>
        <v>0 años 3 meses</v>
      </c>
      <c r="N203" s="15" t="str">
        <f>VLOOKUP(A203,sinap!$A$2:$R$9000,6,FALSE)</f>
        <v>15-10-2025</v>
      </c>
      <c r="O203" s="15" t="str">
        <f>VLOOKUP(A203,sinap!$A$2:$R$9000,7,FALSE)</f>
        <v>Vivo</v>
      </c>
      <c r="P203" s="15" t="str">
        <f>VLOOKUP(A203,sinap!$A$2:$R$9000,8,FALSE)</f>
        <v>11.1.01.0791</v>
      </c>
      <c r="Q203" s="15" t="str">
        <f>VLOOKUP(A203,sinap!$A$2:$R$9000,12,FALSE)</f>
        <v>11.1.01.0893</v>
      </c>
      <c r="R203" s="15" t="str">
        <f>VLOOKUP(A203,sinap!$A$2:$R$9000,16,FALSE)</f>
        <v>11.1.01.0893</v>
      </c>
      <c r="S203" s="15" t="str">
        <f>VLOOKUP(A203,sinap!$A$2:$Y$9000,20,FALSE)</f>
        <v>SI</v>
      </c>
      <c r="T203" s="16">
        <v>45989</v>
      </c>
    </row>
    <row r="204" spans="1:20" x14ac:dyDescent="0.25">
      <c r="A204" s="15">
        <v>26234292</v>
      </c>
      <c r="J204" s="15" t="str">
        <f>VLOOKUP(A204,sinap!$A$2:$R$9000,2,FALSE)</f>
        <v>H</v>
      </c>
      <c r="K204" s="15" t="str">
        <f>VLOOKUP(A204,sinap!$A$2:$R$9000,3,FALSE)</f>
        <v>TERNERA</v>
      </c>
      <c r="L204" s="15" t="str">
        <f>VLOOKUP(A204,sinap!$A$2:$R$9000,4,FALSE)</f>
        <v>ANGUS NEGRO</v>
      </c>
      <c r="M204" s="15" t="str">
        <f>VLOOKUP(A204,sinap!$A$2:$R$9000,5,FALSE)</f>
        <v>0 años 3 meses</v>
      </c>
      <c r="N204" s="15" t="str">
        <f>VLOOKUP(A204,sinap!$A$2:$R$9000,6,FALSE)</f>
        <v>15-10-2025</v>
      </c>
      <c r="O204" s="15" t="str">
        <f>VLOOKUP(A204,sinap!$A$2:$R$9000,7,FALSE)</f>
        <v>Vivo</v>
      </c>
      <c r="P204" s="15" t="str">
        <f>VLOOKUP(A204,sinap!$A$2:$R$9000,8,FALSE)</f>
        <v>11.2.01.0038</v>
      </c>
      <c r="Q204" s="15" t="str">
        <f>VLOOKUP(A204,sinap!$A$2:$R$9000,12,FALSE)</f>
        <v>11.1.01.0893</v>
      </c>
      <c r="R204" s="15" t="str">
        <f>VLOOKUP(A204,sinap!$A$2:$R$9000,16,FALSE)</f>
        <v>11.1.01.0893</v>
      </c>
      <c r="S204" s="15" t="str">
        <f>VLOOKUP(A204,sinap!$A$2:$Y$9000,20,FALSE)</f>
        <v>SI</v>
      </c>
      <c r="T204" s="16">
        <v>45989</v>
      </c>
    </row>
    <row r="205" spans="1:20" x14ac:dyDescent="0.25">
      <c r="A205" s="15">
        <v>26234293</v>
      </c>
      <c r="J205" s="15" t="str">
        <f>VLOOKUP(A205,sinap!$A$2:$R$9000,2,FALSE)</f>
        <v>M</v>
      </c>
      <c r="K205" s="15" t="str">
        <f>VLOOKUP(A205,sinap!$A$2:$R$9000,3,FALSE)</f>
        <v>TERNERO</v>
      </c>
      <c r="L205" s="15" t="str">
        <f>VLOOKUP(A205,sinap!$A$2:$R$9000,4,FALSE)</f>
        <v>ANGUS NEGRO</v>
      </c>
      <c r="M205" s="15" t="str">
        <f>VLOOKUP(A205,sinap!$A$2:$R$9000,5,FALSE)</f>
        <v>0 años 3 meses</v>
      </c>
      <c r="N205" s="15" t="str">
        <f>VLOOKUP(A205,sinap!$A$2:$R$9000,6,FALSE)</f>
        <v>15-10-2025</v>
      </c>
      <c r="O205" s="15" t="str">
        <f>VLOOKUP(A205,sinap!$A$2:$R$9000,7,FALSE)</f>
        <v>Vivo</v>
      </c>
      <c r="P205" s="15" t="str">
        <f>VLOOKUP(A205,sinap!$A$2:$R$9000,8,FALSE)</f>
        <v>11.1.01.0791</v>
      </c>
      <c r="Q205" s="15" t="str">
        <f>VLOOKUP(A205,sinap!$A$2:$R$9000,12,FALSE)</f>
        <v>11.1.01.0893</v>
      </c>
      <c r="R205" s="15" t="str">
        <f>VLOOKUP(A205,sinap!$A$2:$R$9000,16,FALSE)</f>
        <v>11.1.01.0893</v>
      </c>
      <c r="S205" s="15" t="str">
        <f>VLOOKUP(A205,sinap!$A$2:$Y$9000,20,FALSE)</f>
        <v>SI</v>
      </c>
      <c r="T205" s="16">
        <v>45989</v>
      </c>
    </row>
    <row r="206" spans="1:20" x14ac:dyDescent="0.25">
      <c r="A206" s="15">
        <v>26234294</v>
      </c>
      <c r="J206" s="15" t="str">
        <f>VLOOKUP(A206,sinap!$A$2:$R$9000,2,FALSE)</f>
        <v>H</v>
      </c>
      <c r="K206" s="15" t="str">
        <f>VLOOKUP(A206,sinap!$A$2:$R$9000,3,FALSE)</f>
        <v>TERNERA</v>
      </c>
      <c r="L206" s="15" t="str">
        <f>VLOOKUP(A206,sinap!$A$2:$R$9000,4,FALSE)</f>
        <v>ANGUS NEGRO</v>
      </c>
      <c r="M206" s="15" t="str">
        <f>VLOOKUP(A206,sinap!$A$2:$R$9000,5,FALSE)</f>
        <v>0 años 3 meses</v>
      </c>
      <c r="N206" s="15" t="str">
        <f>VLOOKUP(A206,sinap!$A$2:$R$9000,6,FALSE)</f>
        <v>15-10-2025</v>
      </c>
      <c r="O206" s="15" t="str">
        <f>VLOOKUP(A206,sinap!$A$2:$R$9000,7,FALSE)</f>
        <v>Vivo</v>
      </c>
      <c r="P206" s="15" t="str">
        <f>VLOOKUP(A206,sinap!$A$2:$R$9000,8,FALSE)</f>
        <v>11.1.01.0791</v>
      </c>
      <c r="Q206" s="15" t="str">
        <f>VLOOKUP(A206,sinap!$A$2:$R$9000,12,FALSE)</f>
        <v>11.1.01.0893</v>
      </c>
      <c r="R206" s="15" t="str">
        <f>VLOOKUP(A206,sinap!$A$2:$R$9000,16,FALSE)</f>
        <v>11.1.01.0893</v>
      </c>
      <c r="S206" s="15" t="str">
        <f>VLOOKUP(A206,sinap!$A$2:$Y$9000,20,FALSE)</f>
        <v>SI</v>
      </c>
      <c r="T206" s="16">
        <v>45989</v>
      </c>
    </row>
    <row r="207" spans="1:20" x14ac:dyDescent="0.25">
      <c r="A207" s="15">
        <v>26234295</v>
      </c>
      <c r="J207" s="15" t="str">
        <f>VLOOKUP(A207,sinap!$A$2:$R$9000,2,FALSE)</f>
        <v>M</v>
      </c>
      <c r="K207" s="15" t="str">
        <f>VLOOKUP(A207,sinap!$A$2:$R$9000,3,FALSE)</f>
        <v>TERNERO</v>
      </c>
      <c r="L207" s="15" t="str">
        <f>VLOOKUP(A207,sinap!$A$2:$R$9000,4,FALSE)</f>
        <v>ANGUS NEGRO</v>
      </c>
      <c r="M207" s="15" t="str">
        <f>VLOOKUP(A207,sinap!$A$2:$R$9000,5,FALSE)</f>
        <v>0 años 4 meses</v>
      </c>
      <c r="N207" s="15" t="str">
        <f>VLOOKUP(A207,sinap!$A$2:$R$9000,6,FALSE)</f>
        <v>15-09-2025</v>
      </c>
      <c r="O207" s="15" t="str">
        <f>VLOOKUP(A207,sinap!$A$2:$R$9000,7,FALSE)</f>
        <v>Vivo</v>
      </c>
      <c r="P207" s="15" t="str">
        <f>VLOOKUP(A207,sinap!$A$2:$R$9000,8,FALSE)</f>
        <v>11.2.01.0038</v>
      </c>
      <c r="Q207" s="15" t="str">
        <f>VLOOKUP(A207,sinap!$A$2:$R$9000,12,FALSE)</f>
        <v>11.1.01.0893</v>
      </c>
      <c r="R207" s="15" t="str">
        <f>VLOOKUP(A207,sinap!$A$2:$R$9000,16,FALSE)</f>
        <v>11.1.01.0893</v>
      </c>
      <c r="S207" s="15" t="str">
        <f>VLOOKUP(A207,sinap!$A$2:$Y$9000,20,FALSE)</f>
        <v>SI</v>
      </c>
      <c r="T207" s="16">
        <v>45989</v>
      </c>
    </row>
    <row r="208" spans="1:20" x14ac:dyDescent="0.25">
      <c r="A208" s="15">
        <v>26234296</v>
      </c>
      <c r="J208" s="15" t="str">
        <f>VLOOKUP(A208,sinap!$A$2:$R$9000,2,FALSE)</f>
        <v>H</v>
      </c>
      <c r="K208" s="15" t="str">
        <f>VLOOKUP(A208,sinap!$A$2:$R$9000,3,FALSE)</f>
        <v>TERNERA</v>
      </c>
      <c r="L208" s="15" t="str">
        <f>VLOOKUP(A208,sinap!$A$2:$R$9000,4,FALSE)</f>
        <v>ANGUS ROJO</v>
      </c>
      <c r="M208" s="15" t="str">
        <f>VLOOKUP(A208,sinap!$A$2:$R$9000,5,FALSE)</f>
        <v>0 años 3 meses</v>
      </c>
      <c r="N208" s="15" t="str">
        <f>VLOOKUP(A208,sinap!$A$2:$R$9000,6,FALSE)</f>
        <v>15-10-2025</v>
      </c>
      <c r="O208" s="15" t="str">
        <f>VLOOKUP(A208,sinap!$A$2:$R$9000,7,FALSE)</f>
        <v>Vivo</v>
      </c>
      <c r="P208" s="15" t="str">
        <f>VLOOKUP(A208,sinap!$A$2:$R$9000,8,FALSE)</f>
        <v>11.2.01.0038</v>
      </c>
      <c r="Q208" s="15" t="str">
        <f>VLOOKUP(A208,sinap!$A$2:$R$9000,12,FALSE)</f>
        <v>11.1.01.0893</v>
      </c>
      <c r="R208" s="15" t="str">
        <f>VLOOKUP(A208,sinap!$A$2:$R$9000,16,FALSE)</f>
        <v>11.1.01.0893</v>
      </c>
      <c r="S208" s="15" t="str">
        <f>VLOOKUP(A208,sinap!$A$2:$Y$9000,20,FALSE)</f>
        <v>SI</v>
      </c>
      <c r="T208" s="16">
        <v>45989</v>
      </c>
    </row>
    <row r="209" spans="1:20" x14ac:dyDescent="0.25">
      <c r="A209" s="15">
        <v>26234297</v>
      </c>
      <c r="J209" s="15" t="str">
        <f>VLOOKUP(A209,sinap!$A$2:$R$9000,2,FALSE)</f>
        <v>M</v>
      </c>
      <c r="K209" s="15" t="str">
        <f>VLOOKUP(A209,sinap!$A$2:$R$9000,3,FALSE)</f>
        <v>TERNERO</v>
      </c>
      <c r="L209" s="15" t="str">
        <f>VLOOKUP(A209,sinap!$A$2:$R$9000,4,FALSE)</f>
        <v>ANGUS NEGRO</v>
      </c>
      <c r="M209" s="15" t="str">
        <f>VLOOKUP(A209,sinap!$A$2:$R$9000,5,FALSE)</f>
        <v>0 años 3 meses</v>
      </c>
      <c r="N209" s="15" t="str">
        <f>VLOOKUP(A209,sinap!$A$2:$R$9000,6,FALSE)</f>
        <v>15-10-2025</v>
      </c>
      <c r="O209" s="15" t="str">
        <f>VLOOKUP(A209,sinap!$A$2:$R$9000,7,FALSE)</f>
        <v>Vivo</v>
      </c>
      <c r="P209" s="15" t="str">
        <f>VLOOKUP(A209,sinap!$A$2:$R$9000,8,FALSE)</f>
        <v>11.2.01.0038</v>
      </c>
      <c r="Q209" s="15" t="str">
        <f>VLOOKUP(A209,sinap!$A$2:$R$9000,12,FALSE)</f>
        <v>11.1.01.0893</v>
      </c>
      <c r="R209" s="15" t="str">
        <f>VLOOKUP(A209,sinap!$A$2:$R$9000,16,FALSE)</f>
        <v>11.1.01.0893</v>
      </c>
      <c r="S209" s="15" t="str">
        <f>VLOOKUP(A209,sinap!$A$2:$Y$9000,20,FALSE)</f>
        <v>SI</v>
      </c>
      <c r="T209" s="16">
        <v>45989</v>
      </c>
    </row>
    <row r="210" spans="1:20" x14ac:dyDescent="0.25">
      <c r="A210" s="15">
        <v>26234298</v>
      </c>
      <c r="J210" s="15" t="str">
        <f>VLOOKUP(A210,sinap!$A$2:$R$9000,2,FALSE)</f>
        <v>M</v>
      </c>
      <c r="K210" s="15" t="str">
        <f>VLOOKUP(A210,sinap!$A$2:$R$9000,3,FALSE)</f>
        <v>TERNERO</v>
      </c>
      <c r="L210" s="15" t="str">
        <f>VLOOKUP(A210,sinap!$A$2:$R$9000,4,FALSE)</f>
        <v>ANGUS NEGRO</v>
      </c>
      <c r="M210" s="15" t="str">
        <f>VLOOKUP(A210,sinap!$A$2:$R$9000,5,FALSE)</f>
        <v>0 años 4 meses</v>
      </c>
      <c r="N210" s="15" t="str">
        <f>VLOOKUP(A210,sinap!$A$2:$R$9000,6,FALSE)</f>
        <v>15-09-2025</v>
      </c>
      <c r="O210" s="15" t="str">
        <f>VLOOKUP(A210,sinap!$A$2:$R$9000,7,FALSE)</f>
        <v>Vivo</v>
      </c>
      <c r="P210" s="15" t="str">
        <f>VLOOKUP(A210,sinap!$A$2:$R$9000,8,FALSE)</f>
        <v>11.1.01.0791</v>
      </c>
      <c r="Q210" s="15" t="str">
        <f>VLOOKUP(A210,sinap!$A$2:$R$9000,12,FALSE)</f>
        <v>11.1.01.0893</v>
      </c>
      <c r="R210" s="15" t="str">
        <f>VLOOKUP(A210,sinap!$A$2:$R$9000,16,FALSE)</f>
        <v>11.1.01.0893</v>
      </c>
      <c r="S210" s="15" t="str">
        <f>VLOOKUP(A210,sinap!$A$2:$Y$9000,20,FALSE)</f>
        <v>SI</v>
      </c>
      <c r="T210" s="16">
        <v>45989</v>
      </c>
    </row>
    <row r="211" spans="1:20" x14ac:dyDescent="0.25">
      <c r="A211" s="15">
        <v>26234299</v>
      </c>
      <c r="J211" s="15" t="str">
        <f>VLOOKUP(A211,sinap!$A$2:$R$9000,2,FALSE)</f>
        <v>H</v>
      </c>
      <c r="K211" s="15" t="str">
        <f>VLOOKUP(A211,sinap!$A$2:$R$9000,3,FALSE)</f>
        <v>TERNERA</v>
      </c>
      <c r="L211" s="15" t="str">
        <f>VLOOKUP(A211,sinap!$A$2:$R$9000,4,FALSE)</f>
        <v>ANGUS NEGRO</v>
      </c>
      <c r="M211" s="15" t="str">
        <f>VLOOKUP(A211,sinap!$A$2:$R$9000,5,FALSE)</f>
        <v>0 años 4 meses</v>
      </c>
      <c r="N211" s="15" t="str">
        <f>VLOOKUP(A211,sinap!$A$2:$R$9000,6,FALSE)</f>
        <v>15-09-2025</v>
      </c>
      <c r="O211" s="15" t="str">
        <f>VLOOKUP(A211,sinap!$A$2:$R$9000,7,FALSE)</f>
        <v>Vivo</v>
      </c>
      <c r="P211" s="15" t="str">
        <f>VLOOKUP(A211,sinap!$A$2:$R$9000,8,FALSE)</f>
        <v>11.2.01.0038</v>
      </c>
      <c r="Q211" s="15" t="str">
        <f>VLOOKUP(A211,sinap!$A$2:$R$9000,12,FALSE)</f>
        <v>11.1.01.0893</v>
      </c>
      <c r="R211" s="15" t="str">
        <f>VLOOKUP(A211,sinap!$A$2:$R$9000,16,FALSE)</f>
        <v>11.1.01.0893</v>
      </c>
      <c r="S211" s="15" t="str">
        <f>VLOOKUP(A211,sinap!$A$2:$Y$9000,20,FALSE)</f>
        <v>SI</v>
      </c>
      <c r="T211" s="16">
        <v>45989</v>
      </c>
    </row>
    <row r="212" spans="1:20" x14ac:dyDescent="0.25">
      <c r="A212" s="15">
        <v>26234300</v>
      </c>
      <c r="J212" s="15" t="str">
        <f>VLOOKUP(A212,sinap!$A$2:$R$9000,2,FALSE)</f>
        <v>M</v>
      </c>
      <c r="K212" s="15" t="str">
        <f>VLOOKUP(A212,sinap!$A$2:$R$9000,3,FALSE)</f>
        <v>TERNERO</v>
      </c>
      <c r="L212" s="15" t="str">
        <f>VLOOKUP(A212,sinap!$A$2:$R$9000,4,FALSE)</f>
        <v>ANGUS NEGRO</v>
      </c>
      <c r="M212" s="15" t="str">
        <f>VLOOKUP(A212,sinap!$A$2:$R$9000,5,FALSE)</f>
        <v>0 años 4 meses</v>
      </c>
      <c r="N212" s="15" t="str">
        <f>VLOOKUP(A212,sinap!$A$2:$R$9000,6,FALSE)</f>
        <v>15-09-2025</v>
      </c>
      <c r="O212" s="15" t="str">
        <f>VLOOKUP(A212,sinap!$A$2:$R$9000,7,FALSE)</f>
        <v>Vivo</v>
      </c>
      <c r="P212" s="15" t="str">
        <f>VLOOKUP(A212,sinap!$A$2:$R$9000,8,FALSE)</f>
        <v>11.1.01.0791</v>
      </c>
      <c r="Q212" s="15" t="str">
        <f>VLOOKUP(A212,sinap!$A$2:$R$9000,12,FALSE)</f>
        <v>11.1.01.0893</v>
      </c>
      <c r="R212" s="15" t="str">
        <f>VLOOKUP(A212,sinap!$A$2:$R$9000,16,FALSE)</f>
        <v>11.1.01.0893</v>
      </c>
      <c r="S212" s="15" t="str">
        <f>VLOOKUP(A212,sinap!$A$2:$Y$9000,20,FALSE)</f>
        <v>SI</v>
      </c>
      <c r="T212" s="16">
        <v>45989</v>
      </c>
    </row>
    <row r="213" spans="1:20" x14ac:dyDescent="0.25">
      <c r="A213" s="15">
        <v>26234301</v>
      </c>
      <c r="J213" s="15" t="str">
        <f>VLOOKUP(A213,sinap!$A$2:$R$9000,2,FALSE)</f>
        <v>M</v>
      </c>
      <c r="K213" s="15" t="str">
        <f>VLOOKUP(A213,sinap!$A$2:$R$9000,3,FALSE)</f>
        <v>TERNERO</v>
      </c>
      <c r="L213" s="15" t="str">
        <f>VLOOKUP(A213,sinap!$A$2:$R$9000,4,FALSE)</f>
        <v>ANGUS NEGRO</v>
      </c>
      <c r="M213" s="15" t="str">
        <f>VLOOKUP(A213,sinap!$A$2:$R$9000,5,FALSE)</f>
        <v>0 años 3 meses</v>
      </c>
      <c r="N213" s="15" t="str">
        <f>VLOOKUP(A213,sinap!$A$2:$R$9000,6,FALSE)</f>
        <v>15-10-2025</v>
      </c>
      <c r="O213" s="15" t="str">
        <f>VLOOKUP(A213,sinap!$A$2:$R$9000,7,FALSE)</f>
        <v>Vivo</v>
      </c>
      <c r="P213" s="15" t="str">
        <f>VLOOKUP(A213,sinap!$A$2:$R$9000,8,FALSE)</f>
        <v>11.1.01.0791</v>
      </c>
      <c r="Q213" s="15" t="str">
        <f>VLOOKUP(A213,sinap!$A$2:$R$9000,12,FALSE)</f>
        <v>11.1.01.0893</v>
      </c>
      <c r="R213" s="15" t="str">
        <f>VLOOKUP(A213,sinap!$A$2:$R$9000,16,FALSE)</f>
        <v>11.1.01.0893</v>
      </c>
      <c r="S213" s="15" t="str">
        <f>VLOOKUP(A213,sinap!$A$2:$Y$9000,20,FALSE)</f>
        <v>SI</v>
      </c>
      <c r="T213" s="16">
        <v>45989</v>
      </c>
    </row>
    <row r="214" spans="1:20" x14ac:dyDescent="0.25">
      <c r="A214" s="15">
        <v>26234302</v>
      </c>
      <c r="J214" s="15" t="str">
        <f>VLOOKUP(A214,sinap!$A$2:$R$9000,2,FALSE)</f>
        <v>H</v>
      </c>
      <c r="K214" s="15" t="str">
        <f>VLOOKUP(A214,sinap!$A$2:$R$9000,3,FALSE)</f>
        <v>TERNERA</v>
      </c>
      <c r="L214" s="15" t="str">
        <f>VLOOKUP(A214,sinap!$A$2:$R$9000,4,FALSE)</f>
        <v>ANGUS NEGRO</v>
      </c>
      <c r="M214" s="15" t="str">
        <f>VLOOKUP(A214,sinap!$A$2:$R$9000,5,FALSE)</f>
        <v>0 años 3 meses</v>
      </c>
      <c r="N214" s="15" t="str">
        <f>VLOOKUP(A214,sinap!$A$2:$R$9000,6,FALSE)</f>
        <v>15-10-2025</v>
      </c>
      <c r="O214" s="15" t="str">
        <f>VLOOKUP(A214,sinap!$A$2:$R$9000,7,FALSE)</f>
        <v>Vivo</v>
      </c>
      <c r="P214" s="15" t="str">
        <f>VLOOKUP(A214,sinap!$A$2:$R$9000,8,FALSE)</f>
        <v>11.2.01.0038</v>
      </c>
      <c r="Q214" s="15" t="str">
        <f>VLOOKUP(A214,sinap!$A$2:$R$9000,12,FALSE)</f>
        <v>11.1.01.0893</v>
      </c>
      <c r="R214" s="15" t="str">
        <f>VLOOKUP(A214,sinap!$A$2:$R$9000,16,FALSE)</f>
        <v>11.1.01.0893</v>
      </c>
      <c r="S214" s="15" t="str">
        <f>VLOOKUP(A214,sinap!$A$2:$Y$9000,20,FALSE)</f>
        <v>SI</v>
      </c>
      <c r="T214" s="16">
        <v>45989</v>
      </c>
    </row>
    <row r="215" spans="1:20" x14ac:dyDescent="0.25">
      <c r="A215" s="15">
        <v>26234303</v>
      </c>
      <c r="J215" s="15" t="str">
        <f>VLOOKUP(A215,sinap!$A$2:$R$9000,2,FALSE)</f>
        <v>M</v>
      </c>
      <c r="K215" s="15" t="str">
        <f>VLOOKUP(A215,sinap!$A$2:$R$9000,3,FALSE)</f>
        <v>TERNERO</v>
      </c>
      <c r="L215" s="15" t="str">
        <f>VLOOKUP(A215,sinap!$A$2:$R$9000,4,FALSE)</f>
        <v>ANGUS NEGRO</v>
      </c>
      <c r="M215" s="15" t="str">
        <f>VLOOKUP(A215,sinap!$A$2:$R$9000,5,FALSE)</f>
        <v>0 años 4 meses</v>
      </c>
      <c r="N215" s="15" t="str">
        <f>VLOOKUP(A215,sinap!$A$2:$R$9000,6,FALSE)</f>
        <v>15-09-2025</v>
      </c>
      <c r="O215" s="15" t="str">
        <f>VLOOKUP(A215,sinap!$A$2:$R$9000,7,FALSE)</f>
        <v>Vivo</v>
      </c>
      <c r="P215" s="15" t="str">
        <f>VLOOKUP(A215,sinap!$A$2:$R$9000,8,FALSE)</f>
        <v>11.2.01.0038</v>
      </c>
      <c r="Q215" s="15" t="str">
        <f>VLOOKUP(A215,sinap!$A$2:$R$9000,12,FALSE)</f>
        <v>11.1.01.0893</v>
      </c>
      <c r="R215" s="15" t="str">
        <f>VLOOKUP(A215,sinap!$A$2:$R$9000,16,FALSE)</f>
        <v>11.1.01.0893</v>
      </c>
      <c r="S215" s="15" t="str">
        <f>VLOOKUP(A215,sinap!$A$2:$Y$9000,20,FALSE)</f>
        <v>SI</v>
      </c>
      <c r="T215" s="16">
        <v>45989</v>
      </c>
    </row>
    <row r="216" spans="1:20" x14ac:dyDescent="0.25">
      <c r="A216" s="15">
        <v>26234304</v>
      </c>
      <c r="J216" s="15" t="str">
        <f>VLOOKUP(A216,sinap!$A$2:$R$9000,2,FALSE)</f>
        <v>H</v>
      </c>
      <c r="K216" s="15" t="str">
        <f>VLOOKUP(A216,sinap!$A$2:$R$9000,3,FALSE)</f>
        <v>TERNERA</v>
      </c>
      <c r="L216" s="15" t="str">
        <f>VLOOKUP(A216,sinap!$A$2:$R$9000,4,FALSE)</f>
        <v>ANGUS NEGRO</v>
      </c>
      <c r="M216" s="15" t="str">
        <f>VLOOKUP(A216,sinap!$A$2:$R$9000,5,FALSE)</f>
        <v>0 años 3 meses</v>
      </c>
      <c r="N216" s="15" t="str">
        <f>VLOOKUP(A216,sinap!$A$2:$R$9000,6,FALSE)</f>
        <v>15-10-2025</v>
      </c>
      <c r="O216" s="15" t="str">
        <f>VLOOKUP(A216,sinap!$A$2:$R$9000,7,FALSE)</f>
        <v>Vivo</v>
      </c>
      <c r="P216" s="15" t="str">
        <f>VLOOKUP(A216,sinap!$A$2:$R$9000,8,FALSE)</f>
        <v>11.1.01.0791</v>
      </c>
      <c r="Q216" s="15" t="str">
        <f>VLOOKUP(A216,sinap!$A$2:$R$9000,12,FALSE)</f>
        <v>11.1.01.0893</v>
      </c>
      <c r="R216" s="15" t="str">
        <f>VLOOKUP(A216,sinap!$A$2:$R$9000,16,FALSE)</f>
        <v>11.1.01.0893</v>
      </c>
      <c r="S216" s="15" t="str">
        <f>VLOOKUP(A216,sinap!$A$2:$Y$9000,20,FALSE)</f>
        <v>SI</v>
      </c>
      <c r="T216" s="16">
        <v>45989</v>
      </c>
    </row>
    <row r="217" spans="1:20" x14ac:dyDescent="0.25">
      <c r="A217" s="15">
        <v>26234305</v>
      </c>
      <c r="J217" s="15" t="str">
        <f>VLOOKUP(A217,sinap!$A$2:$R$9000,2,FALSE)</f>
        <v>M</v>
      </c>
      <c r="K217" s="15" t="str">
        <f>VLOOKUP(A217,sinap!$A$2:$R$9000,3,FALSE)</f>
        <v>TERNERO</v>
      </c>
      <c r="L217" s="15" t="str">
        <f>VLOOKUP(A217,sinap!$A$2:$R$9000,4,FALSE)</f>
        <v>ANGUS NEGRO</v>
      </c>
      <c r="M217" s="15" t="str">
        <f>VLOOKUP(A217,sinap!$A$2:$R$9000,5,FALSE)</f>
        <v>0 años 4 meses</v>
      </c>
      <c r="N217" s="15" t="str">
        <f>VLOOKUP(A217,sinap!$A$2:$R$9000,6,FALSE)</f>
        <v>15-09-2025</v>
      </c>
      <c r="O217" s="15" t="str">
        <f>VLOOKUP(A217,sinap!$A$2:$R$9000,7,FALSE)</f>
        <v>Vivo</v>
      </c>
      <c r="P217" s="15" t="str">
        <f>VLOOKUP(A217,sinap!$A$2:$R$9000,8,FALSE)</f>
        <v>11.2.01.0038</v>
      </c>
      <c r="Q217" s="15" t="str">
        <f>VLOOKUP(A217,sinap!$A$2:$R$9000,12,FALSE)</f>
        <v>11.1.01.0893</v>
      </c>
      <c r="R217" s="15" t="str">
        <f>VLOOKUP(A217,sinap!$A$2:$R$9000,16,FALSE)</f>
        <v>11.1.01.0893</v>
      </c>
      <c r="S217" s="15" t="str">
        <f>VLOOKUP(A217,sinap!$A$2:$Y$9000,20,FALSE)</f>
        <v>SI</v>
      </c>
      <c r="T217" s="16">
        <v>45989</v>
      </c>
    </row>
    <row r="218" spans="1:20" x14ac:dyDescent="0.25">
      <c r="A218" s="15">
        <v>26234306</v>
      </c>
      <c r="J218" s="15" t="str">
        <f>VLOOKUP(A218,sinap!$A$2:$R$9000,2,FALSE)</f>
        <v>M</v>
      </c>
      <c r="K218" s="15" t="str">
        <f>VLOOKUP(A218,sinap!$A$2:$R$9000,3,FALSE)</f>
        <v>TERNERO</v>
      </c>
      <c r="L218" s="15" t="str">
        <f>VLOOKUP(A218,sinap!$A$2:$R$9000,4,FALSE)</f>
        <v>ANGUS NEGRO</v>
      </c>
      <c r="M218" s="15" t="str">
        <f>VLOOKUP(A218,sinap!$A$2:$R$9000,5,FALSE)</f>
        <v>0 años 3 meses</v>
      </c>
      <c r="N218" s="15" t="str">
        <f>VLOOKUP(A218,sinap!$A$2:$R$9000,6,FALSE)</f>
        <v>15-10-2025</v>
      </c>
      <c r="O218" s="15" t="str">
        <f>VLOOKUP(A218,sinap!$A$2:$R$9000,7,FALSE)</f>
        <v>Vivo</v>
      </c>
      <c r="P218" s="15" t="str">
        <f>VLOOKUP(A218,sinap!$A$2:$R$9000,8,FALSE)</f>
        <v>11.2.01.0038</v>
      </c>
      <c r="Q218" s="15" t="str">
        <f>VLOOKUP(A218,sinap!$A$2:$R$9000,12,FALSE)</f>
        <v>11.1.01.0893</v>
      </c>
      <c r="R218" s="15" t="str">
        <f>VLOOKUP(A218,sinap!$A$2:$R$9000,16,FALSE)</f>
        <v>11.1.01.0893</v>
      </c>
      <c r="S218" s="15" t="str">
        <f>VLOOKUP(A218,sinap!$A$2:$Y$9000,20,FALSE)</f>
        <v>SI</v>
      </c>
      <c r="T218" s="16">
        <v>45989</v>
      </c>
    </row>
    <row r="219" spans="1:20" x14ac:dyDescent="0.25">
      <c r="A219" s="15">
        <v>26234307</v>
      </c>
      <c r="J219" s="15" t="str">
        <f>VLOOKUP(A219,sinap!$A$2:$R$9000,2,FALSE)</f>
        <v>M</v>
      </c>
      <c r="K219" s="15" t="str">
        <f>VLOOKUP(A219,sinap!$A$2:$R$9000,3,FALSE)</f>
        <v>TERNERO</v>
      </c>
      <c r="L219" s="15" t="str">
        <f>VLOOKUP(A219,sinap!$A$2:$R$9000,4,FALSE)</f>
        <v>ANGUS NEGRO</v>
      </c>
      <c r="M219" s="15" t="str">
        <f>VLOOKUP(A219,sinap!$A$2:$R$9000,5,FALSE)</f>
        <v>0 años 4 meses</v>
      </c>
      <c r="N219" s="15" t="str">
        <f>VLOOKUP(A219,sinap!$A$2:$R$9000,6,FALSE)</f>
        <v>15-09-2025</v>
      </c>
      <c r="O219" s="15" t="str">
        <f>VLOOKUP(A219,sinap!$A$2:$R$9000,7,FALSE)</f>
        <v>Vivo</v>
      </c>
      <c r="P219" s="15" t="str">
        <f>VLOOKUP(A219,sinap!$A$2:$R$9000,8,FALSE)</f>
        <v>11.2.01.0038</v>
      </c>
      <c r="Q219" s="15" t="str">
        <f>VLOOKUP(A219,sinap!$A$2:$R$9000,12,FALSE)</f>
        <v>11.1.01.0893</v>
      </c>
      <c r="R219" s="15" t="str">
        <f>VLOOKUP(A219,sinap!$A$2:$R$9000,16,FALSE)</f>
        <v>11.1.01.0893</v>
      </c>
      <c r="S219" s="15" t="str">
        <f>VLOOKUP(A219,sinap!$A$2:$Y$9000,20,FALSE)</f>
        <v>SI</v>
      </c>
      <c r="T219" s="16">
        <v>45989</v>
      </c>
    </row>
    <row r="220" spans="1:20" x14ac:dyDescent="0.25">
      <c r="A220" s="15">
        <v>26234308</v>
      </c>
      <c r="J220" s="15" t="str">
        <f>VLOOKUP(A220,sinap!$A$2:$R$9000,2,FALSE)</f>
        <v>H</v>
      </c>
      <c r="K220" s="15" t="str">
        <f>VLOOKUP(A220,sinap!$A$2:$R$9000,3,FALSE)</f>
        <v>TERNERA</v>
      </c>
      <c r="L220" s="15" t="str">
        <f>VLOOKUP(A220,sinap!$A$2:$R$9000,4,FALSE)</f>
        <v>ANGUS NEGRO</v>
      </c>
      <c r="M220" s="15" t="str">
        <f>VLOOKUP(A220,sinap!$A$2:$R$9000,5,FALSE)</f>
        <v>0 años 4 meses</v>
      </c>
      <c r="N220" s="15" t="str">
        <f>VLOOKUP(A220,sinap!$A$2:$R$9000,6,FALSE)</f>
        <v>15-09-2025</v>
      </c>
      <c r="O220" s="15" t="str">
        <f>VLOOKUP(A220,sinap!$A$2:$R$9000,7,FALSE)</f>
        <v>Vivo</v>
      </c>
      <c r="P220" s="15" t="str">
        <f>VLOOKUP(A220,sinap!$A$2:$R$9000,8,FALSE)</f>
        <v>11.2.01.0038</v>
      </c>
      <c r="Q220" s="15" t="str">
        <f>VLOOKUP(A220,sinap!$A$2:$R$9000,12,FALSE)</f>
        <v>11.1.01.0893</v>
      </c>
      <c r="R220" s="15" t="str">
        <f>VLOOKUP(A220,sinap!$A$2:$R$9000,16,FALSE)</f>
        <v>11.1.01.0893</v>
      </c>
      <c r="S220" s="15" t="str">
        <f>VLOOKUP(A220,sinap!$A$2:$Y$9000,20,FALSE)</f>
        <v>SI</v>
      </c>
      <c r="T220" s="16">
        <v>45989</v>
      </c>
    </row>
    <row r="221" spans="1:20" x14ac:dyDescent="0.25">
      <c r="A221" s="15">
        <v>26234309</v>
      </c>
      <c r="J221" s="15" t="str">
        <f>VLOOKUP(A221,sinap!$A$2:$R$9000,2,FALSE)</f>
        <v>H</v>
      </c>
      <c r="K221" s="15" t="str">
        <f>VLOOKUP(A221,sinap!$A$2:$R$9000,3,FALSE)</f>
        <v>TERNERA</v>
      </c>
      <c r="L221" s="15" t="str">
        <f>VLOOKUP(A221,sinap!$A$2:$R$9000,4,FALSE)</f>
        <v>ANGUS NEGRO</v>
      </c>
      <c r="M221" s="15" t="str">
        <f>VLOOKUP(A221,sinap!$A$2:$R$9000,5,FALSE)</f>
        <v>0 años 3 meses</v>
      </c>
      <c r="N221" s="15" t="str">
        <f>VLOOKUP(A221,sinap!$A$2:$R$9000,6,FALSE)</f>
        <v>15-10-2025</v>
      </c>
      <c r="O221" s="15" t="str">
        <f>VLOOKUP(A221,sinap!$A$2:$R$9000,7,FALSE)</f>
        <v>Vivo</v>
      </c>
      <c r="P221" s="15" t="str">
        <f>VLOOKUP(A221,sinap!$A$2:$R$9000,8,FALSE)</f>
        <v>11.1.01.0791</v>
      </c>
      <c r="Q221" s="15" t="str">
        <f>VLOOKUP(A221,sinap!$A$2:$R$9000,12,FALSE)</f>
        <v>11.1.01.0893</v>
      </c>
      <c r="R221" s="15" t="str">
        <f>VLOOKUP(A221,sinap!$A$2:$R$9000,16,FALSE)</f>
        <v>11.1.01.0893</v>
      </c>
      <c r="S221" s="15" t="str">
        <f>VLOOKUP(A221,sinap!$A$2:$Y$9000,20,FALSE)</f>
        <v>SI</v>
      </c>
      <c r="T221" s="16">
        <v>45989</v>
      </c>
    </row>
    <row r="222" spans="1:20" x14ac:dyDescent="0.25">
      <c r="A222" s="15">
        <v>26234310</v>
      </c>
      <c r="J222" s="15" t="str">
        <f>VLOOKUP(A222,sinap!$A$2:$R$9000,2,FALSE)</f>
        <v>M</v>
      </c>
      <c r="K222" s="15" t="str">
        <f>VLOOKUP(A222,sinap!$A$2:$R$9000,3,FALSE)</f>
        <v>TERNERO</v>
      </c>
      <c r="L222" s="15" t="str">
        <f>VLOOKUP(A222,sinap!$A$2:$R$9000,4,FALSE)</f>
        <v>ANGUS NEGRO</v>
      </c>
      <c r="M222" s="15" t="str">
        <f>VLOOKUP(A222,sinap!$A$2:$R$9000,5,FALSE)</f>
        <v>0 años 3 meses</v>
      </c>
      <c r="N222" s="15" t="str">
        <f>VLOOKUP(A222,sinap!$A$2:$R$9000,6,FALSE)</f>
        <v>15-10-2025</v>
      </c>
      <c r="O222" s="15" t="str">
        <f>VLOOKUP(A222,sinap!$A$2:$R$9000,7,FALSE)</f>
        <v>Vivo</v>
      </c>
      <c r="P222" s="15" t="str">
        <f>VLOOKUP(A222,sinap!$A$2:$R$9000,8,FALSE)</f>
        <v>11.1.01.0791</v>
      </c>
      <c r="Q222" s="15" t="str">
        <f>VLOOKUP(A222,sinap!$A$2:$R$9000,12,FALSE)</f>
        <v>11.1.01.0893</v>
      </c>
      <c r="R222" s="15" t="str">
        <f>VLOOKUP(A222,sinap!$A$2:$R$9000,16,FALSE)</f>
        <v>11.1.01.0893</v>
      </c>
      <c r="S222" s="15" t="str">
        <f>VLOOKUP(A222,sinap!$A$2:$Y$9000,20,FALSE)</f>
        <v>SI</v>
      </c>
      <c r="T222" s="16">
        <v>45989</v>
      </c>
    </row>
    <row r="223" spans="1:20" x14ac:dyDescent="0.25">
      <c r="A223" s="15">
        <v>26234311</v>
      </c>
      <c r="J223" s="15" t="str">
        <f>VLOOKUP(A223,sinap!$A$2:$R$9000,2,FALSE)</f>
        <v>M</v>
      </c>
      <c r="K223" s="15" t="str">
        <f>VLOOKUP(A223,sinap!$A$2:$R$9000,3,FALSE)</f>
        <v>TERNERO</v>
      </c>
      <c r="L223" s="15" t="str">
        <f>VLOOKUP(A223,sinap!$A$2:$R$9000,4,FALSE)</f>
        <v>ANGUS NEGRO</v>
      </c>
      <c r="M223" s="15" t="str">
        <f>VLOOKUP(A223,sinap!$A$2:$R$9000,5,FALSE)</f>
        <v>0 años 3 meses</v>
      </c>
      <c r="N223" s="15" t="str">
        <f>VLOOKUP(A223,sinap!$A$2:$R$9000,6,FALSE)</f>
        <v>15-10-2025</v>
      </c>
      <c r="O223" s="15" t="str">
        <f>VLOOKUP(A223,sinap!$A$2:$R$9000,7,FALSE)</f>
        <v>Vivo</v>
      </c>
      <c r="P223" s="15" t="str">
        <f>VLOOKUP(A223,sinap!$A$2:$R$9000,8,FALSE)</f>
        <v>11.1.01.0893</v>
      </c>
      <c r="Q223" s="15" t="str">
        <f>VLOOKUP(A223,sinap!$A$2:$R$9000,12,FALSE)</f>
        <v>Sin Movimiento</v>
      </c>
      <c r="R223" s="15" t="str">
        <f>VLOOKUP(A223,sinap!$A$2:$R$9000,16,FALSE)</f>
        <v>11.1.01.0893</v>
      </c>
      <c r="S223" s="15" t="str">
        <f>VLOOKUP(A223,sinap!$A$2:$Y$9000,20,FALSE)</f>
        <v>SI</v>
      </c>
      <c r="T223" s="16">
        <v>45989</v>
      </c>
    </row>
    <row r="224" spans="1:20" x14ac:dyDescent="0.25">
      <c r="A224" s="15">
        <v>26234312</v>
      </c>
      <c r="J224" s="15" t="str">
        <f>VLOOKUP(A224,sinap!$A$2:$R$9000,2,FALSE)</f>
        <v>M</v>
      </c>
      <c r="K224" s="15" t="str">
        <f>VLOOKUP(A224,sinap!$A$2:$R$9000,3,FALSE)</f>
        <v>TERNERO</v>
      </c>
      <c r="L224" s="15" t="str">
        <f>VLOOKUP(A224,sinap!$A$2:$R$9000,4,FALSE)</f>
        <v>ANGUS NEGRO</v>
      </c>
      <c r="M224" s="15" t="str">
        <f>VLOOKUP(A224,sinap!$A$2:$R$9000,5,FALSE)</f>
        <v>0 años 4 meses</v>
      </c>
      <c r="N224" s="15" t="str">
        <f>VLOOKUP(A224,sinap!$A$2:$R$9000,6,FALSE)</f>
        <v>15-09-2025</v>
      </c>
      <c r="O224" s="15" t="str">
        <f>VLOOKUP(A224,sinap!$A$2:$R$9000,7,FALSE)</f>
        <v>Vivo</v>
      </c>
      <c r="P224" s="15" t="str">
        <f>VLOOKUP(A224,sinap!$A$2:$R$9000,8,FALSE)</f>
        <v>11.2.01.0038</v>
      </c>
      <c r="Q224" s="15" t="str">
        <f>VLOOKUP(A224,sinap!$A$2:$R$9000,12,FALSE)</f>
        <v>11.1.01.0893</v>
      </c>
      <c r="R224" s="15" t="str">
        <f>VLOOKUP(A224,sinap!$A$2:$R$9000,16,FALSE)</f>
        <v>11.1.01.0893</v>
      </c>
      <c r="S224" s="15" t="str">
        <f>VLOOKUP(A224,sinap!$A$2:$Y$9000,20,FALSE)</f>
        <v>SI</v>
      </c>
      <c r="T224" s="16">
        <v>45989</v>
      </c>
    </row>
    <row r="225" spans="1:20" x14ac:dyDescent="0.25">
      <c r="A225" s="15">
        <v>26234313</v>
      </c>
      <c r="J225" s="15" t="str">
        <f>VLOOKUP(A225,sinap!$A$2:$R$9000,2,FALSE)</f>
        <v>M</v>
      </c>
      <c r="K225" s="15" t="str">
        <f>VLOOKUP(A225,sinap!$A$2:$R$9000,3,FALSE)</f>
        <v>TERNERO</v>
      </c>
      <c r="L225" s="15" t="str">
        <f>VLOOKUP(A225,sinap!$A$2:$R$9000,4,FALSE)</f>
        <v>ANGUS NEGRO</v>
      </c>
      <c r="M225" s="15" t="str">
        <f>VLOOKUP(A225,sinap!$A$2:$R$9000,5,FALSE)</f>
        <v>0 años 3 meses</v>
      </c>
      <c r="N225" s="15" t="str">
        <f>VLOOKUP(A225,sinap!$A$2:$R$9000,6,FALSE)</f>
        <v>15-10-2025</v>
      </c>
      <c r="O225" s="15" t="str">
        <f>VLOOKUP(A225,sinap!$A$2:$R$9000,7,FALSE)</f>
        <v>Vivo</v>
      </c>
      <c r="P225" s="15" t="str">
        <f>VLOOKUP(A225,sinap!$A$2:$R$9000,8,FALSE)</f>
        <v>11.2.01.0038</v>
      </c>
      <c r="Q225" s="15" t="str">
        <f>VLOOKUP(A225,sinap!$A$2:$R$9000,12,FALSE)</f>
        <v>11.1.01.0893</v>
      </c>
      <c r="R225" s="15" t="str">
        <f>VLOOKUP(A225,sinap!$A$2:$R$9000,16,FALSE)</f>
        <v>11.1.01.0893</v>
      </c>
      <c r="S225" s="15" t="str">
        <f>VLOOKUP(A225,sinap!$A$2:$Y$9000,20,FALSE)</f>
        <v>SI</v>
      </c>
      <c r="T225" s="16">
        <v>45989</v>
      </c>
    </row>
    <row r="226" spans="1:20" x14ac:dyDescent="0.25">
      <c r="A226" s="15">
        <v>26234314</v>
      </c>
      <c r="J226" s="15" t="str">
        <f>VLOOKUP(A226,sinap!$A$2:$R$9000,2,FALSE)</f>
        <v>M</v>
      </c>
      <c r="K226" s="15" t="str">
        <f>VLOOKUP(A226,sinap!$A$2:$R$9000,3,FALSE)</f>
        <v>TERNERO</v>
      </c>
      <c r="L226" s="15" t="str">
        <f>VLOOKUP(A226,sinap!$A$2:$R$9000,4,FALSE)</f>
        <v>ANGUS NEGRO</v>
      </c>
      <c r="M226" s="15" t="str">
        <f>VLOOKUP(A226,sinap!$A$2:$R$9000,5,FALSE)</f>
        <v>0 años 4 meses</v>
      </c>
      <c r="N226" s="15" t="str">
        <f>VLOOKUP(A226,sinap!$A$2:$R$9000,6,FALSE)</f>
        <v>15-09-2025</v>
      </c>
      <c r="O226" s="15" t="str">
        <f>VLOOKUP(A226,sinap!$A$2:$R$9000,7,FALSE)</f>
        <v>Vivo</v>
      </c>
      <c r="P226" s="15" t="str">
        <f>VLOOKUP(A226,sinap!$A$2:$R$9000,8,FALSE)</f>
        <v>11.2.01.0038</v>
      </c>
      <c r="Q226" s="15" t="str">
        <f>VLOOKUP(A226,sinap!$A$2:$R$9000,12,FALSE)</f>
        <v>11.1.01.0893</v>
      </c>
      <c r="R226" s="15" t="str">
        <f>VLOOKUP(A226,sinap!$A$2:$R$9000,16,FALSE)</f>
        <v>11.1.01.0893</v>
      </c>
      <c r="S226" s="15" t="str">
        <f>VLOOKUP(A226,sinap!$A$2:$Y$9000,20,FALSE)</f>
        <v>SI</v>
      </c>
      <c r="T226" s="16">
        <v>45989</v>
      </c>
    </row>
    <row r="227" spans="1:20" x14ac:dyDescent="0.25">
      <c r="A227" s="15">
        <v>26234315</v>
      </c>
      <c r="J227" s="15" t="str">
        <f>VLOOKUP(A227,sinap!$A$2:$R$9000,2,FALSE)</f>
        <v>M</v>
      </c>
      <c r="K227" s="15" t="str">
        <f>VLOOKUP(A227,sinap!$A$2:$R$9000,3,FALSE)</f>
        <v>TERNERO</v>
      </c>
      <c r="L227" s="15" t="str">
        <f>VLOOKUP(A227,sinap!$A$2:$R$9000,4,FALSE)</f>
        <v>ANGUS ROJO</v>
      </c>
      <c r="M227" s="15" t="str">
        <f>VLOOKUP(A227,sinap!$A$2:$R$9000,5,FALSE)</f>
        <v>0 años 4 meses</v>
      </c>
      <c r="N227" s="15" t="str">
        <f>VLOOKUP(A227,sinap!$A$2:$R$9000,6,FALSE)</f>
        <v>15-09-2025</v>
      </c>
      <c r="O227" s="15" t="str">
        <f>VLOOKUP(A227,sinap!$A$2:$R$9000,7,FALSE)</f>
        <v>Vivo</v>
      </c>
      <c r="P227" s="15" t="str">
        <f>VLOOKUP(A227,sinap!$A$2:$R$9000,8,FALSE)</f>
        <v>11.2.01.0038</v>
      </c>
      <c r="Q227" s="15" t="str">
        <f>VLOOKUP(A227,sinap!$A$2:$R$9000,12,FALSE)</f>
        <v>11.1.01.0893</v>
      </c>
      <c r="R227" s="15" t="str">
        <f>VLOOKUP(A227,sinap!$A$2:$R$9000,16,FALSE)</f>
        <v>11.1.01.0893</v>
      </c>
      <c r="S227" s="15" t="str">
        <f>VLOOKUP(A227,sinap!$A$2:$Y$9000,20,FALSE)</f>
        <v>SI</v>
      </c>
      <c r="T227" s="16">
        <v>45989</v>
      </c>
    </row>
    <row r="228" spans="1:20" x14ac:dyDescent="0.25">
      <c r="A228" s="15">
        <v>26234316</v>
      </c>
      <c r="J228" s="15" t="str">
        <f>VLOOKUP(A228,sinap!$A$2:$R$9000,2,FALSE)</f>
        <v>H</v>
      </c>
      <c r="K228" s="15" t="str">
        <f>VLOOKUP(A228,sinap!$A$2:$R$9000,3,FALSE)</f>
        <v>TERNERA</v>
      </c>
      <c r="L228" s="15" t="str">
        <f>VLOOKUP(A228,sinap!$A$2:$R$9000,4,FALSE)</f>
        <v>ANGUS ROJO</v>
      </c>
      <c r="M228" s="15" t="str">
        <f>VLOOKUP(A228,sinap!$A$2:$R$9000,5,FALSE)</f>
        <v>0 años 4 meses</v>
      </c>
      <c r="N228" s="15" t="str">
        <f>VLOOKUP(A228,sinap!$A$2:$R$9000,6,FALSE)</f>
        <v>15-09-2025</v>
      </c>
      <c r="O228" s="15" t="str">
        <f>VLOOKUP(A228,sinap!$A$2:$R$9000,7,FALSE)</f>
        <v>Vivo</v>
      </c>
      <c r="P228" s="15" t="str">
        <f>VLOOKUP(A228,sinap!$A$2:$R$9000,8,FALSE)</f>
        <v>11.2.01.0038</v>
      </c>
      <c r="Q228" s="15" t="str">
        <f>VLOOKUP(A228,sinap!$A$2:$R$9000,12,FALSE)</f>
        <v>11.1.01.0893</v>
      </c>
      <c r="R228" s="15" t="str">
        <f>VLOOKUP(A228,sinap!$A$2:$R$9000,16,FALSE)</f>
        <v>11.1.01.0893</v>
      </c>
      <c r="S228" s="15" t="str">
        <f>VLOOKUP(A228,sinap!$A$2:$Y$9000,20,FALSE)</f>
        <v>SI</v>
      </c>
      <c r="T228" s="16">
        <v>45989</v>
      </c>
    </row>
    <row r="229" spans="1:20" x14ac:dyDescent="0.25">
      <c r="A229" s="15">
        <v>26234317</v>
      </c>
      <c r="J229" s="15" t="str">
        <f>VLOOKUP(A229,sinap!$A$2:$R$9000,2,FALSE)</f>
        <v>H</v>
      </c>
      <c r="K229" s="15" t="str">
        <f>VLOOKUP(A229,sinap!$A$2:$R$9000,3,FALSE)</f>
        <v>TERNERA</v>
      </c>
      <c r="L229" s="15" t="str">
        <f>VLOOKUP(A229,sinap!$A$2:$R$9000,4,FALSE)</f>
        <v>ANGUS ROJO</v>
      </c>
      <c r="M229" s="15" t="str">
        <f>VLOOKUP(A229,sinap!$A$2:$R$9000,5,FALSE)</f>
        <v>0 años 2 meses</v>
      </c>
      <c r="N229" s="15" t="str">
        <f>VLOOKUP(A229,sinap!$A$2:$R$9000,6,FALSE)</f>
        <v>15-11-2025</v>
      </c>
      <c r="O229" s="15" t="str">
        <f>VLOOKUP(A229,sinap!$A$2:$R$9000,7,FALSE)</f>
        <v>Vivo</v>
      </c>
      <c r="P229" s="15" t="str">
        <f>VLOOKUP(A229,sinap!$A$2:$R$9000,8,FALSE)</f>
        <v>11.1.01.0791</v>
      </c>
      <c r="Q229" s="15" t="str">
        <f>VLOOKUP(A229,sinap!$A$2:$R$9000,12,FALSE)</f>
        <v>11.1.01.0893</v>
      </c>
      <c r="R229" s="15" t="str">
        <f>VLOOKUP(A229,sinap!$A$2:$R$9000,16,FALSE)</f>
        <v>11.1.01.0893</v>
      </c>
      <c r="S229" s="15" t="str">
        <f>VLOOKUP(A229,sinap!$A$2:$Y$9000,20,FALSE)</f>
        <v>SI</v>
      </c>
      <c r="T229" s="16">
        <v>45989</v>
      </c>
    </row>
    <row r="230" spans="1:20" x14ac:dyDescent="0.25">
      <c r="A230" s="15">
        <v>26234318</v>
      </c>
      <c r="J230" s="15" t="str">
        <f>VLOOKUP(A230,sinap!$A$2:$R$9000,2,FALSE)</f>
        <v>M</v>
      </c>
      <c r="K230" s="15" t="str">
        <f>VLOOKUP(A230,sinap!$A$2:$R$9000,3,FALSE)</f>
        <v>TERNERO</v>
      </c>
      <c r="L230" s="15" t="str">
        <f>VLOOKUP(A230,sinap!$A$2:$R$9000,4,FALSE)</f>
        <v>ANGUS NEGRO</v>
      </c>
      <c r="M230" s="15" t="str">
        <f>VLOOKUP(A230,sinap!$A$2:$R$9000,5,FALSE)</f>
        <v>0 años 4 meses</v>
      </c>
      <c r="N230" s="15" t="str">
        <f>VLOOKUP(A230,sinap!$A$2:$R$9000,6,FALSE)</f>
        <v>15-09-2025</v>
      </c>
      <c r="O230" s="15" t="str">
        <f>VLOOKUP(A230,sinap!$A$2:$R$9000,7,FALSE)</f>
        <v>Vivo</v>
      </c>
      <c r="P230" s="15" t="str">
        <f>VLOOKUP(A230,sinap!$A$2:$R$9000,8,FALSE)</f>
        <v>11.2.01.0038</v>
      </c>
      <c r="Q230" s="15" t="str">
        <f>VLOOKUP(A230,sinap!$A$2:$R$9000,12,FALSE)</f>
        <v>11.1.01.0893</v>
      </c>
      <c r="R230" s="15" t="str">
        <f>VLOOKUP(A230,sinap!$A$2:$R$9000,16,FALSE)</f>
        <v>11.1.01.0893</v>
      </c>
      <c r="S230" s="15" t="str">
        <f>VLOOKUP(A230,sinap!$A$2:$Y$9000,20,FALSE)</f>
        <v>SI</v>
      </c>
      <c r="T230" s="16">
        <v>45989</v>
      </c>
    </row>
    <row r="231" spans="1:20" x14ac:dyDescent="0.25">
      <c r="A231" s="15">
        <v>26234319</v>
      </c>
      <c r="J231" s="15" t="str">
        <f>VLOOKUP(A231,sinap!$A$2:$R$9000,2,FALSE)</f>
        <v>M</v>
      </c>
      <c r="K231" s="15" t="str">
        <f>VLOOKUP(A231,sinap!$A$2:$R$9000,3,FALSE)</f>
        <v>TERNERO</v>
      </c>
      <c r="L231" s="15" t="str">
        <f>VLOOKUP(A231,sinap!$A$2:$R$9000,4,FALSE)</f>
        <v>ANGUS NEGRO</v>
      </c>
      <c r="M231" s="15" t="str">
        <f>VLOOKUP(A231,sinap!$A$2:$R$9000,5,FALSE)</f>
        <v>0 años 4 meses</v>
      </c>
      <c r="N231" s="15" t="str">
        <f>VLOOKUP(A231,sinap!$A$2:$R$9000,6,FALSE)</f>
        <v>15-09-2025</v>
      </c>
      <c r="O231" s="15" t="str">
        <f>VLOOKUP(A231,sinap!$A$2:$R$9000,7,FALSE)</f>
        <v>Vivo</v>
      </c>
      <c r="P231" s="15" t="str">
        <f>VLOOKUP(A231,sinap!$A$2:$R$9000,8,FALSE)</f>
        <v>11.2.01.0038</v>
      </c>
      <c r="Q231" s="15" t="str">
        <f>VLOOKUP(A231,sinap!$A$2:$R$9000,12,FALSE)</f>
        <v>11.1.01.0893</v>
      </c>
      <c r="R231" s="15" t="str">
        <f>VLOOKUP(A231,sinap!$A$2:$R$9000,16,FALSE)</f>
        <v>11.1.01.0893</v>
      </c>
      <c r="S231" s="15" t="str">
        <f>VLOOKUP(A231,sinap!$A$2:$Y$9000,20,FALSE)</f>
        <v>SI</v>
      </c>
      <c r="T231" s="16">
        <v>45989</v>
      </c>
    </row>
    <row r="232" spans="1:20" x14ac:dyDescent="0.25">
      <c r="A232" s="15">
        <v>26234320</v>
      </c>
      <c r="J232" s="15" t="str">
        <f>VLOOKUP(A232,sinap!$A$2:$R$9000,2,FALSE)</f>
        <v>M</v>
      </c>
      <c r="K232" s="15" t="str">
        <f>VLOOKUP(A232,sinap!$A$2:$R$9000,3,FALSE)</f>
        <v>TERNERO</v>
      </c>
      <c r="L232" s="15" t="str">
        <f>VLOOKUP(A232,sinap!$A$2:$R$9000,4,FALSE)</f>
        <v>ANGUS NEGRO</v>
      </c>
      <c r="M232" s="15" t="str">
        <f>VLOOKUP(A232,sinap!$A$2:$R$9000,5,FALSE)</f>
        <v>0 años 4 meses</v>
      </c>
      <c r="N232" s="15" t="str">
        <f>VLOOKUP(A232,sinap!$A$2:$R$9000,6,FALSE)</f>
        <v>15-09-2025</v>
      </c>
      <c r="O232" s="15" t="str">
        <f>VLOOKUP(A232,sinap!$A$2:$R$9000,7,FALSE)</f>
        <v>Vivo</v>
      </c>
      <c r="P232" s="15" t="str">
        <f>VLOOKUP(A232,sinap!$A$2:$R$9000,8,FALSE)</f>
        <v>11.2.01.0038</v>
      </c>
      <c r="Q232" s="15" t="str">
        <f>VLOOKUP(A232,sinap!$A$2:$R$9000,12,FALSE)</f>
        <v>11.1.01.0893</v>
      </c>
      <c r="R232" s="15" t="str">
        <f>VLOOKUP(A232,sinap!$A$2:$R$9000,16,FALSE)</f>
        <v>11.1.01.0893</v>
      </c>
      <c r="S232" s="15" t="str">
        <f>VLOOKUP(A232,sinap!$A$2:$Y$9000,20,FALSE)</f>
        <v>SI</v>
      </c>
      <c r="T232" s="16">
        <v>45989</v>
      </c>
    </row>
    <row r="233" spans="1:20" x14ac:dyDescent="0.25">
      <c r="A233" s="15">
        <v>26234321</v>
      </c>
      <c r="J233" s="15" t="str">
        <f>VLOOKUP(A233,sinap!$A$2:$R$9000,2,FALSE)</f>
        <v>H</v>
      </c>
      <c r="K233" s="15" t="str">
        <f>VLOOKUP(A233,sinap!$A$2:$R$9000,3,FALSE)</f>
        <v>TERNERA</v>
      </c>
      <c r="L233" s="15" t="str">
        <f>VLOOKUP(A233,sinap!$A$2:$R$9000,4,FALSE)</f>
        <v>ANGUS ROJO</v>
      </c>
      <c r="M233" s="15" t="str">
        <f>VLOOKUP(A233,sinap!$A$2:$R$9000,5,FALSE)</f>
        <v>0 años 3 meses</v>
      </c>
      <c r="N233" s="15" t="str">
        <f>VLOOKUP(A233,sinap!$A$2:$R$9000,6,FALSE)</f>
        <v>15-10-2025</v>
      </c>
      <c r="O233" s="15" t="str">
        <f>VLOOKUP(A233,sinap!$A$2:$R$9000,7,FALSE)</f>
        <v>Vivo</v>
      </c>
      <c r="P233" s="15" t="str">
        <f>VLOOKUP(A233,sinap!$A$2:$R$9000,8,FALSE)</f>
        <v>11.2.01.0038</v>
      </c>
      <c r="Q233" s="15" t="str">
        <f>VLOOKUP(A233,sinap!$A$2:$R$9000,12,FALSE)</f>
        <v>11.1.01.0893</v>
      </c>
      <c r="R233" s="15" t="str">
        <f>VLOOKUP(A233,sinap!$A$2:$R$9000,16,FALSE)</f>
        <v>11.1.01.0893</v>
      </c>
      <c r="S233" s="15" t="str">
        <f>VLOOKUP(A233,sinap!$A$2:$Y$9000,20,FALSE)</f>
        <v>SI</v>
      </c>
      <c r="T233" s="16">
        <v>45989</v>
      </c>
    </row>
    <row r="234" spans="1:20" x14ac:dyDescent="0.25">
      <c r="A234" s="15">
        <v>26234322</v>
      </c>
      <c r="J234" s="15" t="str">
        <f>VLOOKUP(A234,sinap!$A$2:$R$9000,2,FALSE)</f>
        <v>H</v>
      </c>
      <c r="K234" s="15" t="str">
        <f>VLOOKUP(A234,sinap!$A$2:$R$9000,3,FALSE)</f>
        <v>TERNERA</v>
      </c>
      <c r="L234" s="15" t="str">
        <f>VLOOKUP(A234,sinap!$A$2:$R$9000,4,FALSE)</f>
        <v>ANGUS NEGRO</v>
      </c>
      <c r="M234" s="15" t="str">
        <f>VLOOKUP(A234,sinap!$A$2:$R$9000,5,FALSE)</f>
        <v>0 años 3 meses</v>
      </c>
      <c r="N234" s="15" t="str">
        <f>VLOOKUP(A234,sinap!$A$2:$R$9000,6,FALSE)</f>
        <v>15-10-2025</v>
      </c>
      <c r="O234" s="15" t="str">
        <f>VLOOKUP(A234,sinap!$A$2:$R$9000,7,FALSE)</f>
        <v>Vivo</v>
      </c>
      <c r="P234" s="15" t="str">
        <f>VLOOKUP(A234,sinap!$A$2:$R$9000,8,FALSE)</f>
        <v>11.2.01.0038</v>
      </c>
      <c r="Q234" s="15" t="str">
        <f>VLOOKUP(A234,sinap!$A$2:$R$9000,12,FALSE)</f>
        <v>11.1.01.0893</v>
      </c>
      <c r="R234" s="15" t="str">
        <f>VLOOKUP(A234,sinap!$A$2:$R$9000,16,FALSE)</f>
        <v>11.1.01.0893</v>
      </c>
      <c r="S234" s="15" t="str">
        <f>VLOOKUP(A234,sinap!$A$2:$Y$9000,20,FALSE)</f>
        <v>SI</v>
      </c>
      <c r="T234" s="16">
        <v>45989</v>
      </c>
    </row>
    <row r="235" spans="1:20" x14ac:dyDescent="0.25">
      <c r="A235" s="15">
        <v>26234323</v>
      </c>
      <c r="J235" s="15" t="str">
        <f>VLOOKUP(A235,sinap!$A$2:$R$9000,2,FALSE)</f>
        <v>H</v>
      </c>
      <c r="K235" s="15" t="str">
        <f>VLOOKUP(A235,sinap!$A$2:$R$9000,3,FALSE)</f>
        <v>TERNERA</v>
      </c>
      <c r="L235" s="15" t="str">
        <f>VLOOKUP(A235,sinap!$A$2:$R$9000,4,FALSE)</f>
        <v>ANGUS NEGRO</v>
      </c>
      <c r="M235" s="15" t="str">
        <f>VLOOKUP(A235,sinap!$A$2:$R$9000,5,FALSE)</f>
        <v>0 años 2 meses</v>
      </c>
      <c r="N235" s="15" t="str">
        <f>VLOOKUP(A235,sinap!$A$2:$R$9000,6,FALSE)</f>
        <v>15-11-2025</v>
      </c>
      <c r="O235" s="15" t="str">
        <f>VLOOKUP(A235,sinap!$A$2:$R$9000,7,FALSE)</f>
        <v>Vivo</v>
      </c>
      <c r="P235" s="15" t="str">
        <f>VLOOKUP(A235,sinap!$A$2:$R$9000,8,FALSE)</f>
        <v>11.2.01.0038</v>
      </c>
      <c r="Q235" s="15" t="str">
        <f>VLOOKUP(A235,sinap!$A$2:$R$9000,12,FALSE)</f>
        <v>11.1.01.0893</v>
      </c>
      <c r="R235" s="15" t="str">
        <f>VLOOKUP(A235,sinap!$A$2:$R$9000,16,FALSE)</f>
        <v>11.1.01.0893</v>
      </c>
      <c r="S235" s="15" t="str">
        <f>VLOOKUP(A235,sinap!$A$2:$Y$9000,20,FALSE)</f>
        <v>SI</v>
      </c>
      <c r="T235" s="16">
        <v>45989</v>
      </c>
    </row>
    <row r="236" spans="1:20" x14ac:dyDescent="0.25">
      <c r="A236" s="15">
        <v>26234324</v>
      </c>
      <c r="J236" s="15" t="str">
        <f>VLOOKUP(A236,sinap!$A$2:$R$9000,2,FALSE)</f>
        <v>M</v>
      </c>
      <c r="K236" s="15" t="str">
        <f>VLOOKUP(A236,sinap!$A$2:$R$9000,3,FALSE)</f>
        <v>TERNERO</v>
      </c>
      <c r="L236" s="15" t="str">
        <f>VLOOKUP(A236,sinap!$A$2:$R$9000,4,FALSE)</f>
        <v>ANGUS NEGRO</v>
      </c>
      <c r="M236" s="15" t="str">
        <f>VLOOKUP(A236,sinap!$A$2:$R$9000,5,FALSE)</f>
        <v>0 años 4 meses</v>
      </c>
      <c r="N236" s="15" t="str">
        <f>VLOOKUP(A236,sinap!$A$2:$R$9000,6,FALSE)</f>
        <v>15-09-2025</v>
      </c>
      <c r="O236" s="15" t="str">
        <f>VLOOKUP(A236,sinap!$A$2:$R$9000,7,FALSE)</f>
        <v>Vivo</v>
      </c>
      <c r="P236" s="15" t="str">
        <f>VLOOKUP(A236,sinap!$A$2:$R$9000,8,FALSE)</f>
        <v>11.2.01.0038</v>
      </c>
      <c r="Q236" s="15" t="str">
        <f>VLOOKUP(A236,sinap!$A$2:$R$9000,12,FALSE)</f>
        <v>11.1.01.0893</v>
      </c>
      <c r="R236" s="15" t="str">
        <f>VLOOKUP(A236,sinap!$A$2:$R$9000,16,FALSE)</f>
        <v>11.1.01.0893</v>
      </c>
      <c r="S236" s="15" t="str">
        <f>VLOOKUP(A236,sinap!$A$2:$Y$9000,20,FALSE)</f>
        <v>SI</v>
      </c>
      <c r="T236" s="16">
        <v>45989</v>
      </c>
    </row>
    <row r="237" spans="1:20" x14ac:dyDescent="0.25">
      <c r="A237" s="15">
        <v>26234325</v>
      </c>
      <c r="J237" s="15" t="str">
        <f>VLOOKUP(A237,sinap!$A$2:$R$9000,2,FALSE)</f>
        <v>M</v>
      </c>
      <c r="K237" s="15" t="str">
        <f>VLOOKUP(A237,sinap!$A$2:$R$9000,3,FALSE)</f>
        <v>TERNERO</v>
      </c>
      <c r="L237" s="15" t="str">
        <f>VLOOKUP(A237,sinap!$A$2:$R$9000,4,FALSE)</f>
        <v>ANGUS NEGRO</v>
      </c>
      <c r="M237" s="15" t="str">
        <f>VLOOKUP(A237,sinap!$A$2:$R$9000,5,FALSE)</f>
        <v>0 años 3 meses</v>
      </c>
      <c r="N237" s="15" t="str">
        <f>VLOOKUP(A237,sinap!$A$2:$R$9000,6,FALSE)</f>
        <v>15-10-2025</v>
      </c>
      <c r="O237" s="15" t="str">
        <f>VLOOKUP(A237,sinap!$A$2:$R$9000,7,FALSE)</f>
        <v>Vivo</v>
      </c>
      <c r="P237" s="15" t="str">
        <f>VLOOKUP(A237,sinap!$A$2:$R$9000,8,FALSE)</f>
        <v>11.2.01.0038</v>
      </c>
      <c r="Q237" s="15" t="str">
        <f>VLOOKUP(A237,sinap!$A$2:$R$9000,12,FALSE)</f>
        <v>11.1.01.0893</v>
      </c>
      <c r="R237" s="15" t="str">
        <f>VLOOKUP(A237,sinap!$A$2:$R$9000,16,FALSE)</f>
        <v>11.1.01.0893</v>
      </c>
      <c r="S237" s="15" t="str">
        <f>VLOOKUP(A237,sinap!$A$2:$Y$9000,20,FALSE)</f>
        <v>SI</v>
      </c>
      <c r="T237" s="16">
        <v>45989</v>
      </c>
    </row>
    <row r="238" spans="1:20" x14ac:dyDescent="0.25">
      <c r="A238" s="15">
        <v>26234326</v>
      </c>
      <c r="J238" s="15" t="str">
        <f>VLOOKUP(A238,sinap!$A$2:$R$9000,2,FALSE)</f>
        <v>M</v>
      </c>
      <c r="K238" s="15" t="str">
        <f>VLOOKUP(A238,sinap!$A$2:$R$9000,3,FALSE)</f>
        <v>TERNERO</v>
      </c>
      <c r="L238" s="15" t="str">
        <f>VLOOKUP(A238,sinap!$A$2:$R$9000,4,FALSE)</f>
        <v>ANGUS NEGRO</v>
      </c>
      <c r="M238" s="15" t="str">
        <f>VLOOKUP(A238,sinap!$A$2:$R$9000,5,FALSE)</f>
        <v>0 años 3 meses</v>
      </c>
      <c r="N238" s="15" t="str">
        <f>VLOOKUP(A238,sinap!$A$2:$R$9000,6,FALSE)</f>
        <v>15-10-2025</v>
      </c>
      <c r="O238" s="15" t="str">
        <f>VLOOKUP(A238,sinap!$A$2:$R$9000,7,FALSE)</f>
        <v>Vivo</v>
      </c>
      <c r="P238" s="15" t="str">
        <f>VLOOKUP(A238,sinap!$A$2:$R$9000,8,FALSE)</f>
        <v>11.2.01.0038</v>
      </c>
      <c r="Q238" s="15" t="str">
        <f>VLOOKUP(A238,sinap!$A$2:$R$9000,12,FALSE)</f>
        <v>11.1.01.0893</v>
      </c>
      <c r="R238" s="15" t="str">
        <f>VLOOKUP(A238,sinap!$A$2:$R$9000,16,FALSE)</f>
        <v>11.1.01.0893</v>
      </c>
      <c r="S238" s="15" t="str">
        <f>VLOOKUP(A238,sinap!$A$2:$Y$9000,20,FALSE)</f>
        <v>SI</v>
      </c>
      <c r="T238" s="16">
        <v>45989</v>
      </c>
    </row>
    <row r="239" spans="1:20" x14ac:dyDescent="0.25">
      <c r="A239" s="15">
        <v>26234327</v>
      </c>
      <c r="J239" s="15" t="str">
        <f>VLOOKUP(A239,sinap!$A$2:$R$9000,2,FALSE)</f>
        <v>H</v>
      </c>
      <c r="K239" s="15" t="str">
        <f>VLOOKUP(A239,sinap!$A$2:$R$9000,3,FALSE)</f>
        <v>TERNERA</v>
      </c>
      <c r="L239" s="15" t="str">
        <f>VLOOKUP(A239,sinap!$A$2:$R$9000,4,FALSE)</f>
        <v>ANGUS NEGRO</v>
      </c>
      <c r="M239" s="15" t="str">
        <f>VLOOKUP(A239,sinap!$A$2:$R$9000,5,FALSE)</f>
        <v>0 años 3 meses</v>
      </c>
      <c r="N239" s="15" t="str">
        <f>VLOOKUP(A239,sinap!$A$2:$R$9000,6,FALSE)</f>
        <v>15-10-2025</v>
      </c>
      <c r="O239" s="15" t="str">
        <f>VLOOKUP(A239,sinap!$A$2:$R$9000,7,FALSE)</f>
        <v>Vivo</v>
      </c>
      <c r="P239" s="15" t="str">
        <f>VLOOKUP(A239,sinap!$A$2:$R$9000,8,FALSE)</f>
        <v>11.1.01.0791</v>
      </c>
      <c r="Q239" s="15" t="str">
        <f>VLOOKUP(A239,sinap!$A$2:$R$9000,12,FALSE)</f>
        <v>11.1.01.0893</v>
      </c>
      <c r="R239" s="15" t="str">
        <f>VLOOKUP(A239,sinap!$A$2:$R$9000,16,FALSE)</f>
        <v>11.1.01.0893</v>
      </c>
      <c r="S239" s="15" t="str">
        <f>VLOOKUP(A239,sinap!$A$2:$Y$9000,20,FALSE)</f>
        <v>SI</v>
      </c>
      <c r="T239" s="16">
        <v>45989</v>
      </c>
    </row>
    <row r="240" spans="1:20" x14ac:dyDescent="0.25">
      <c r="A240" s="15">
        <v>26234328</v>
      </c>
      <c r="J240" s="15" t="str">
        <f>VLOOKUP(A240,sinap!$A$2:$R$9000,2,FALSE)</f>
        <v>H</v>
      </c>
      <c r="K240" s="15" t="str">
        <f>VLOOKUP(A240,sinap!$A$2:$R$9000,3,FALSE)</f>
        <v>TERNERA</v>
      </c>
      <c r="L240" s="15" t="str">
        <f>VLOOKUP(A240,sinap!$A$2:$R$9000,4,FALSE)</f>
        <v>ANGUS NEGRO</v>
      </c>
      <c r="M240" s="15" t="str">
        <f>VLOOKUP(A240,sinap!$A$2:$R$9000,5,FALSE)</f>
        <v>0 años 4 meses</v>
      </c>
      <c r="N240" s="15" t="str">
        <f>VLOOKUP(A240,sinap!$A$2:$R$9000,6,FALSE)</f>
        <v>15-09-2025</v>
      </c>
      <c r="O240" s="15" t="str">
        <f>VLOOKUP(A240,sinap!$A$2:$R$9000,7,FALSE)</f>
        <v>Vivo</v>
      </c>
      <c r="P240" s="15" t="str">
        <f>VLOOKUP(A240,sinap!$A$2:$R$9000,8,FALSE)</f>
        <v>11.1.01.0791</v>
      </c>
      <c r="Q240" s="15" t="str">
        <f>VLOOKUP(A240,sinap!$A$2:$R$9000,12,FALSE)</f>
        <v>11.1.01.0893</v>
      </c>
      <c r="R240" s="15" t="str">
        <f>VLOOKUP(A240,sinap!$A$2:$R$9000,16,FALSE)</f>
        <v>11.1.01.0893</v>
      </c>
      <c r="S240" s="15" t="str">
        <f>VLOOKUP(A240,sinap!$A$2:$Y$9000,20,FALSE)</f>
        <v>SI</v>
      </c>
      <c r="T240" s="16">
        <v>45989</v>
      </c>
    </row>
    <row r="241" spans="1:20" x14ac:dyDescent="0.25">
      <c r="A241" s="15">
        <v>26234329</v>
      </c>
      <c r="J241" s="15" t="str">
        <f>VLOOKUP(A241,sinap!$A$2:$R$9000,2,FALSE)</f>
        <v>M</v>
      </c>
      <c r="K241" s="15" t="str">
        <f>VLOOKUP(A241,sinap!$A$2:$R$9000,3,FALSE)</f>
        <v>TERNERO</v>
      </c>
      <c r="L241" s="15" t="str">
        <f>VLOOKUP(A241,sinap!$A$2:$R$9000,4,FALSE)</f>
        <v>ANGUS NEGRO</v>
      </c>
      <c r="M241" s="15" t="str">
        <f>VLOOKUP(A241,sinap!$A$2:$R$9000,5,FALSE)</f>
        <v>0 años 4 meses</v>
      </c>
      <c r="N241" s="15" t="str">
        <f>VLOOKUP(A241,sinap!$A$2:$R$9000,6,FALSE)</f>
        <v>15-09-2025</v>
      </c>
      <c r="O241" s="15" t="str">
        <f>VLOOKUP(A241,sinap!$A$2:$R$9000,7,FALSE)</f>
        <v>Vivo</v>
      </c>
      <c r="P241" s="15" t="str">
        <f>VLOOKUP(A241,sinap!$A$2:$R$9000,8,FALSE)</f>
        <v>11.2.01.0038</v>
      </c>
      <c r="Q241" s="15" t="str">
        <f>VLOOKUP(A241,sinap!$A$2:$R$9000,12,FALSE)</f>
        <v>11.1.01.0893</v>
      </c>
      <c r="R241" s="15" t="str">
        <f>VLOOKUP(A241,sinap!$A$2:$R$9000,16,FALSE)</f>
        <v>11.1.01.0893</v>
      </c>
      <c r="S241" s="15" t="str">
        <f>VLOOKUP(A241,sinap!$A$2:$Y$9000,20,FALSE)</f>
        <v>SI</v>
      </c>
      <c r="T241" s="16">
        <v>45989</v>
      </c>
    </row>
    <row r="242" spans="1:20" x14ac:dyDescent="0.25">
      <c r="A242" s="15">
        <v>26234330</v>
      </c>
      <c r="J242" s="15" t="str">
        <f>VLOOKUP(A242,sinap!$A$2:$R$9000,2,FALSE)</f>
        <v>M</v>
      </c>
      <c r="K242" s="15" t="str">
        <f>VLOOKUP(A242,sinap!$A$2:$R$9000,3,FALSE)</f>
        <v>TERNERO</v>
      </c>
      <c r="L242" s="15" t="str">
        <f>VLOOKUP(A242,sinap!$A$2:$R$9000,4,FALSE)</f>
        <v>ANGUS NEGRO</v>
      </c>
      <c r="M242" s="15" t="str">
        <f>VLOOKUP(A242,sinap!$A$2:$R$9000,5,FALSE)</f>
        <v>0 años 4 meses</v>
      </c>
      <c r="N242" s="15" t="str">
        <f>VLOOKUP(A242,sinap!$A$2:$R$9000,6,FALSE)</f>
        <v>15-09-2025</v>
      </c>
      <c r="O242" s="15" t="str">
        <f>VLOOKUP(A242,sinap!$A$2:$R$9000,7,FALSE)</f>
        <v>Vivo</v>
      </c>
      <c r="P242" s="15" t="str">
        <f>VLOOKUP(A242,sinap!$A$2:$R$9000,8,FALSE)</f>
        <v>11.1.01.0791</v>
      </c>
      <c r="Q242" s="15" t="str">
        <f>VLOOKUP(A242,sinap!$A$2:$R$9000,12,FALSE)</f>
        <v>11.1.01.0893</v>
      </c>
      <c r="R242" s="15" t="str">
        <f>VLOOKUP(A242,sinap!$A$2:$R$9000,16,FALSE)</f>
        <v>11.1.01.0893</v>
      </c>
      <c r="S242" s="15" t="str">
        <f>VLOOKUP(A242,sinap!$A$2:$Y$9000,20,FALSE)</f>
        <v>SI</v>
      </c>
      <c r="T242" s="16">
        <v>45989</v>
      </c>
    </row>
    <row r="243" spans="1:20" x14ac:dyDescent="0.25">
      <c r="A243" s="15">
        <v>26234331</v>
      </c>
      <c r="J243" s="15" t="str">
        <f>VLOOKUP(A243,sinap!$A$2:$R$9000,2,FALSE)</f>
        <v>H</v>
      </c>
      <c r="K243" s="15" t="str">
        <f>VLOOKUP(A243,sinap!$A$2:$R$9000,3,FALSE)</f>
        <v>TERNERA</v>
      </c>
      <c r="L243" s="15" t="str">
        <f>VLOOKUP(A243,sinap!$A$2:$R$9000,4,FALSE)</f>
        <v>ANGUS NEGRO</v>
      </c>
      <c r="M243" s="15" t="str">
        <f>VLOOKUP(A243,sinap!$A$2:$R$9000,5,FALSE)</f>
        <v>0 años 5 meses</v>
      </c>
      <c r="N243" s="15" t="str">
        <f>VLOOKUP(A243,sinap!$A$2:$R$9000,6,FALSE)</f>
        <v>15-08-2025</v>
      </c>
      <c r="O243" s="15" t="str">
        <f>VLOOKUP(A243,sinap!$A$2:$R$9000,7,FALSE)</f>
        <v>Vivo</v>
      </c>
      <c r="P243" s="15" t="str">
        <f>VLOOKUP(A243,sinap!$A$2:$R$9000,8,FALSE)</f>
        <v>11.2.01.0038</v>
      </c>
      <c r="Q243" s="15" t="str">
        <f>VLOOKUP(A243,sinap!$A$2:$R$9000,12,FALSE)</f>
        <v>11.1.01.0893</v>
      </c>
      <c r="R243" s="15" t="str">
        <f>VLOOKUP(A243,sinap!$A$2:$R$9000,16,FALSE)</f>
        <v>11.1.01.0893</v>
      </c>
      <c r="S243" s="15" t="str">
        <f>VLOOKUP(A243,sinap!$A$2:$Y$9000,20,FALSE)</f>
        <v>SI</v>
      </c>
      <c r="T243" s="16">
        <v>45989</v>
      </c>
    </row>
    <row r="244" spans="1:20" x14ac:dyDescent="0.25">
      <c r="A244" s="15">
        <v>26234332</v>
      </c>
      <c r="J244" s="15" t="str">
        <f>VLOOKUP(A244,sinap!$A$2:$R$9000,2,FALSE)</f>
        <v>M</v>
      </c>
      <c r="K244" s="15" t="str">
        <f>VLOOKUP(A244,sinap!$A$2:$R$9000,3,FALSE)</f>
        <v>TERNERO</v>
      </c>
      <c r="L244" s="15" t="str">
        <f>VLOOKUP(A244,sinap!$A$2:$R$9000,4,FALSE)</f>
        <v>ANGUS NEGRO</v>
      </c>
      <c r="M244" s="15" t="str">
        <f>VLOOKUP(A244,sinap!$A$2:$R$9000,5,FALSE)</f>
        <v>0 años 3 meses</v>
      </c>
      <c r="N244" s="15" t="str">
        <f>VLOOKUP(A244,sinap!$A$2:$R$9000,6,FALSE)</f>
        <v>15-10-2025</v>
      </c>
      <c r="O244" s="15" t="str">
        <f>VLOOKUP(A244,sinap!$A$2:$R$9000,7,FALSE)</f>
        <v>Vivo</v>
      </c>
      <c r="P244" s="15" t="str">
        <f>VLOOKUP(A244,sinap!$A$2:$R$9000,8,FALSE)</f>
        <v>11.1.01.0791</v>
      </c>
      <c r="Q244" s="15" t="str">
        <f>VLOOKUP(A244,sinap!$A$2:$R$9000,12,FALSE)</f>
        <v>11.1.01.0893</v>
      </c>
      <c r="R244" s="15" t="str">
        <f>VLOOKUP(A244,sinap!$A$2:$R$9000,16,FALSE)</f>
        <v>11.1.01.0893</v>
      </c>
      <c r="S244" s="15" t="str">
        <f>VLOOKUP(A244,sinap!$A$2:$Y$9000,20,FALSE)</f>
        <v>SI</v>
      </c>
      <c r="T244" s="16">
        <v>45989</v>
      </c>
    </row>
    <row r="245" spans="1:20" x14ac:dyDescent="0.25">
      <c r="A245" s="15">
        <v>26234333</v>
      </c>
      <c r="J245" s="15" t="str">
        <f>VLOOKUP(A245,sinap!$A$2:$R$9000,2,FALSE)</f>
        <v>M</v>
      </c>
      <c r="K245" s="15" t="str">
        <f>VLOOKUP(A245,sinap!$A$2:$R$9000,3,FALSE)</f>
        <v>TERNERO</v>
      </c>
      <c r="L245" s="15" t="str">
        <f>VLOOKUP(A245,sinap!$A$2:$R$9000,4,FALSE)</f>
        <v>ANGUS NEGRO</v>
      </c>
      <c r="M245" s="15" t="str">
        <f>VLOOKUP(A245,sinap!$A$2:$R$9000,5,FALSE)</f>
        <v>0 años 4 meses</v>
      </c>
      <c r="N245" s="15" t="str">
        <f>VLOOKUP(A245,sinap!$A$2:$R$9000,6,FALSE)</f>
        <v>15-09-2025</v>
      </c>
      <c r="O245" s="15" t="str">
        <f>VLOOKUP(A245,sinap!$A$2:$R$9000,7,FALSE)</f>
        <v>Vivo</v>
      </c>
      <c r="P245" s="15" t="str">
        <f>VLOOKUP(A245,sinap!$A$2:$R$9000,8,FALSE)</f>
        <v>11.2.01.0038</v>
      </c>
      <c r="Q245" s="15" t="str">
        <f>VLOOKUP(A245,sinap!$A$2:$R$9000,12,FALSE)</f>
        <v>11.1.01.0893</v>
      </c>
      <c r="R245" s="15" t="str">
        <f>VLOOKUP(A245,sinap!$A$2:$R$9000,16,FALSE)</f>
        <v>11.1.01.0893</v>
      </c>
      <c r="S245" s="15" t="str">
        <f>VLOOKUP(A245,sinap!$A$2:$Y$9000,20,FALSE)</f>
        <v>SI</v>
      </c>
      <c r="T245" s="16">
        <v>45989</v>
      </c>
    </row>
    <row r="246" spans="1:20" x14ac:dyDescent="0.25">
      <c r="A246" s="15">
        <v>26234334</v>
      </c>
      <c r="J246" s="15" t="str">
        <f>VLOOKUP(A246,sinap!$A$2:$R$9000,2,FALSE)</f>
        <v>H</v>
      </c>
      <c r="K246" s="15" t="str">
        <f>VLOOKUP(A246,sinap!$A$2:$R$9000,3,FALSE)</f>
        <v>TERNERA</v>
      </c>
      <c r="L246" s="15" t="str">
        <f>VLOOKUP(A246,sinap!$A$2:$R$9000,4,FALSE)</f>
        <v>ANGUS ROJO</v>
      </c>
      <c r="M246" s="15" t="str">
        <f>VLOOKUP(A246,sinap!$A$2:$R$9000,5,FALSE)</f>
        <v>0 años 4 meses</v>
      </c>
      <c r="N246" s="15" t="str">
        <f>VLOOKUP(A246,sinap!$A$2:$R$9000,6,FALSE)</f>
        <v>15-09-2025</v>
      </c>
      <c r="O246" s="15" t="str">
        <f>VLOOKUP(A246,sinap!$A$2:$R$9000,7,FALSE)</f>
        <v>Vivo</v>
      </c>
      <c r="P246" s="15" t="str">
        <f>VLOOKUP(A246,sinap!$A$2:$R$9000,8,FALSE)</f>
        <v>11.2.01.0038</v>
      </c>
      <c r="Q246" s="15" t="str">
        <f>VLOOKUP(A246,sinap!$A$2:$R$9000,12,FALSE)</f>
        <v>11.1.01.0893</v>
      </c>
      <c r="R246" s="15" t="str">
        <f>VLOOKUP(A246,sinap!$A$2:$R$9000,16,FALSE)</f>
        <v>11.1.01.0893</v>
      </c>
      <c r="S246" s="15" t="str">
        <f>VLOOKUP(A246,sinap!$A$2:$Y$9000,20,FALSE)</f>
        <v>SI</v>
      </c>
      <c r="T246" s="16">
        <v>45989</v>
      </c>
    </row>
    <row r="247" spans="1:20" x14ac:dyDescent="0.25">
      <c r="A247" s="15">
        <v>26234335</v>
      </c>
      <c r="J247" s="15" t="str">
        <f>VLOOKUP(A247,sinap!$A$2:$R$9000,2,FALSE)</f>
        <v>H</v>
      </c>
      <c r="K247" s="15" t="str">
        <f>VLOOKUP(A247,sinap!$A$2:$R$9000,3,FALSE)</f>
        <v>TERNERA</v>
      </c>
      <c r="L247" s="15" t="str">
        <f>VLOOKUP(A247,sinap!$A$2:$R$9000,4,FALSE)</f>
        <v>ANGUS NEGRO</v>
      </c>
      <c r="M247" s="15" t="str">
        <f>VLOOKUP(A247,sinap!$A$2:$R$9000,5,FALSE)</f>
        <v>0 años 4 meses</v>
      </c>
      <c r="N247" s="15" t="str">
        <f>VLOOKUP(A247,sinap!$A$2:$R$9000,6,FALSE)</f>
        <v>15-09-2025</v>
      </c>
      <c r="O247" s="15" t="str">
        <f>VLOOKUP(A247,sinap!$A$2:$R$9000,7,FALSE)</f>
        <v>Vivo</v>
      </c>
      <c r="P247" s="15" t="str">
        <f>VLOOKUP(A247,sinap!$A$2:$R$9000,8,FALSE)</f>
        <v>11.2.01.0038</v>
      </c>
      <c r="Q247" s="15" t="str">
        <f>VLOOKUP(A247,sinap!$A$2:$R$9000,12,FALSE)</f>
        <v>11.1.01.0893</v>
      </c>
      <c r="R247" s="15" t="str">
        <f>VLOOKUP(A247,sinap!$A$2:$R$9000,16,FALSE)</f>
        <v>11.1.01.0893</v>
      </c>
      <c r="S247" s="15" t="str">
        <f>VLOOKUP(A247,sinap!$A$2:$Y$9000,20,FALSE)</f>
        <v>SI</v>
      </c>
      <c r="T247" s="16">
        <v>45989</v>
      </c>
    </row>
    <row r="248" spans="1:20" x14ac:dyDescent="0.25">
      <c r="A248" s="15">
        <v>26234336</v>
      </c>
      <c r="J248" s="15" t="str">
        <f>VLOOKUP(A248,sinap!$A$2:$R$9000,2,FALSE)</f>
        <v>H</v>
      </c>
      <c r="K248" s="15" t="str">
        <f>VLOOKUP(A248,sinap!$A$2:$R$9000,3,FALSE)</f>
        <v>TERNERA</v>
      </c>
      <c r="L248" s="15" t="str">
        <f>VLOOKUP(A248,sinap!$A$2:$R$9000,4,FALSE)</f>
        <v>ANGUS NEGRO</v>
      </c>
      <c r="M248" s="15" t="str">
        <f>VLOOKUP(A248,sinap!$A$2:$R$9000,5,FALSE)</f>
        <v>0 años 4 meses</v>
      </c>
      <c r="N248" s="15" t="str">
        <f>VLOOKUP(A248,sinap!$A$2:$R$9000,6,FALSE)</f>
        <v>15-09-2025</v>
      </c>
      <c r="O248" s="15" t="str">
        <f>VLOOKUP(A248,sinap!$A$2:$R$9000,7,FALSE)</f>
        <v>Vivo</v>
      </c>
      <c r="P248" s="15" t="str">
        <f>VLOOKUP(A248,sinap!$A$2:$R$9000,8,FALSE)</f>
        <v>11.1.01.0791</v>
      </c>
      <c r="Q248" s="15" t="str">
        <f>VLOOKUP(A248,sinap!$A$2:$R$9000,12,FALSE)</f>
        <v>11.1.01.0893</v>
      </c>
      <c r="R248" s="15" t="str">
        <f>VLOOKUP(A248,sinap!$A$2:$R$9000,16,FALSE)</f>
        <v>11.1.01.0893</v>
      </c>
      <c r="S248" s="15" t="str">
        <f>VLOOKUP(A248,sinap!$A$2:$Y$9000,20,FALSE)</f>
        <v>SI</v>
      </c>
      <c r="T248" s="16">
        <v>45989</v>
      </c>
    </row>
    <row r="249" spans="1:20" x14ac:dyDescent="0.25">
      <c r="A249" s="15">
        <v>26234337</v>
      </c>
      <c r="J249" s="15" t="str">
        <f>VLOOKUP(A249,sinap!$A$2:$R$9000,2,FALSE)</f>
        <v>H</v>
      </c>
      <c r="K249" s="15" t="str">
        <f>VLOOKUP(A249,sinap!$A$2:$R$9000,3,FALSE)</f>
        <v>TERNERA</v>
      </c>
      <c r="L249" s="15" t="str">
        <f>VLOOKUP(A249,sinap!$A$2:$R$9000,4,FALSE)</f>
        <v>ANGUS NEGRO</v>
      </c>
      <c r="M249" s="15" t="str">
        <f>VLOOKUP(A249,sinap!$A$2:$R$9000,5,FALSE)</f>
        <v>0 años 3 meses</v>
      </c>
      <c r="N249" s="15" t="str">
        <f>VLOOKUP(A249,sinap!$A$2:$R$9000,6,FALSE)</f>
        <v>15-10-2025</v>
      </c>
      <c r="O249" s="15" t="str">
        <f>VLOOKUP(A249,sinap!$A$2:$R$9000,7,FALSE)</f>
        <v>Vivo</v>
      </c>
      <c r="P249" s="15" t="str">
        <f>VLOOKUP(A249,sinap!$A$2:$R$9000,8,FALSE)</f>
        <v>11.1.01.0791</v>
      </c>
      <c r="Q249" s="15" t="str">
        <f>VLOOKUP(A249,sinap!$A$2:$R$9000,12,FALSE)</f>
        <v>11.1.01.0893</v>
      </c>
      <c r="R249" s="15" t="str">
        <f>VLOOKUP(A249,sinap!$A$2:$R$9000,16,FALSE)</f>
        <v>11.1.01.0893</v>
      </c>
      <c r="S249" s="15" t="str">
        <f>VLOOKUP(A249,sinap!$A$2:$Y$9000,20,FALSE)</f>
        <v>SI</v>
      </c>
      <c r="T249" s="16">
        <v>45989</v>
      </c>
    </row>
    <row r="250" spans="1:20" x14ac:dyDescent="0.25">
      <c r="A250" s="15">
        <v>26234338</v>
      </c>
      <c r="J250" s="15" t="str">
        <f>VLOOKUP(A250,sinap!$A$2:$R$9000,2,FALSE)</f>
        <v>H</v>
      </c>
      <c r="K250" s="15" t="str">
        <f>VLOOKUP(A250,sinap!$A$2:$R$9000,3,FALSE)</f>
        <v>TERNERA</v>
      </c>
      <c r="L250" s="15" t="str">
        <f>VLOOKUP(A250,sinap!$A$2:$R$9000,4,FALSE)</f>
        <v>ANGUS NEGRO</v>
      </c>
      <c r="M250" s="15" t="str">
        <f>VLOOKUP(A250,sinap!$A$2:$R$9000,5,FALSE)</f>
        <v>0 años 3 meses</v>
      </c>
      <c r="N250" s="15" t="str">
        <f>VLOOKUP(A250,sinap!$A$2:$R$9000,6,FALSE)</f>
        <v>15-10-2025</v>
      </c>
      <c r="O250" s="15" t="str">
        <f>VLOOKUP(A250,sinap!$A$2:$R$9000,7,FALSE)</f>
        <v>Vivo</v>
      </c>
      <c r="P250" s="15" t="str">
        <f>VLOOKUP(A250,sinap!$A$2:$R$9000,8,FALSE)</f>
        <v>11.1.01.0791</v>
      </c>
      <c r="Q250" s="15" t="str">
        <f>VLOOKUP(A250,sinap!$A$2:$R$9000,12,FALSE)</f>
        <v>11.1.01.0893</v>
      </c>
      <c r="R250" s="15" t="str">
        <f>VLOOKUP(A250,sinap!$A$2:$R$9000,16,FALSE)</f>
        <v>11.1.01.0893</v>
      </c>
      <c r="S250" s="15" t="str">
        <f>VLOOKUP(A250,sinap!$A$2:$Y$9000,20,FALSE)</f>
        <v>SI</v>
      </c>
      <c r="T250" s="16">
        <v>45989</v>
      </c>
    </row>
    <row r="251" spans="1:20" x14ac:dyDescent="0.25">
      <c r="A251" s="15">
        <v>26234339</v>
      </c>
      <c r="J251" s="15" t="str">
        <f>VLOOKUP(A251,sinap!$A$2:$R$9000,2,FALSE)</f>
        <v>H</v>
      </c>
      <c r="K251" s="15" t="str">
        <f>VLOOKUP(A251,sinap!$A$2:$R$9000,3,FALSE)</f>
        <v>TERNERA</v>
      </c>
      <c r="L251" s="15" t="str">
        <f>VLOOKUP(A251,sinap!$A$2:$R$9000,4,FALSE)</f>
        <v>ANGUS NEGRO</v>
      </c>
      <c r="M251" s="15" t="str">
        <f>VLOOKUP(A251,sinap!$A$2:$R$9000,5,FALSE)</f>
        <v>0 años 3 meses</v>
      </c>
      <c r="N251" s="15" t="str">
        <f>VLOOKUP(A251,sinap!$A$2:$R$9000,6,FALSE)</f>
        <v>15-10-2025</v>
      </c>
      <c r="O251" s="15" t="str">
        <f>VLOOKUP(A251,sinap!$A$2:$R$9000,7,FALSE)</f>
        <v>Vivo</v>
      </c>
      <c r="P251" s="15" t="str">
        <f>VLOOKUP(A251,sinap!$A$2:$R$9000,8,FALSE)</f>
        <v>11.2.01.0038</v>
      </c>
      <c r="Q251" s="15" t="str">
        <f>VLOOKUP(A251,sinap!$A$2:$R$9000,12,FALSE)</f>
        <v>11.1.01.0893</v>
      </c>
      <c r="R251" s="15" t="str">
        <f>VLOOKUP(A251,sinap!$A$2:$R$9000,16,FALSE)</f>
        <v>11.1.01.0893</v>
      </c>
      <c r="S251" s="15" t="str">
        <f>VLOOKUP(A251,sinap!$A$2:$Y$9000,20,FALSE)</f>
        <v>SI</v>
      </c>
      <c r="T251" s="16">
        <v>45989</v>
      </c>
    </row>
    <row r="252" spans="1:20" x14ac:dyDescent="0.25">
      <c r="A252" s="15">
        <v>26234340</v>
      </c>
      <c r="J252" s="15" t="str">
        <f>VLOOKUP(A252,sinap!$A$2:$R$9000,2,FALSE)</f>
        <v>M</v>
      </c>
      <c r="K252" s="15" t="str">
        <f>VLOOKUP(A252,sinap!$A$2:$R$9000,3,FALSE)</f>
        <v>TERNERO</v>
      </c>
      <c r="L252" s="15" t="str">
        <f>VLOOKUP(A252,sinap!$A$2:$R$9000,4,FALSE)</f>
        <v>ANGUS NEGRO</v>
      </c>
      <c r="M252" s="15" t="str">
        <f>VLOOKUP(A252,sinap!$A$2:$R$9000,5,FALSE)</f>
        <v>0 años 4 meses</v>
      </c>
      <c r="N252" s="15" t="str">
        <f>VLOOKUP(A252,sinap!$A$2:$R$9000,6,FALSE)</f>
        <v>15-09-2025</v>
      </c>
      <c r="O252" s="15" t="str">
        <f>VLOOKUP(A252,sinap!$A$2:$R$9000,7,FALSE)</f>
        <v>Vivo</v>
      </c>
      <c r="P252" s="15" t="str">
        <f>VLOOKUP(A252,sinap!$A$2:$R$9000,8,FALSE)</f>
        <v>11.1.01.0893</v>
      </c>
      <c r="Q252" s="15" t="str">
        <f>VLOOKUP(A252,sinap!$A$2:$R$9000,12,FALSE)</f>
        <v>Sin Movimiento</v>
      </c>
      <c r="R252" s="15" t="str">
        <f>VLOOKUP(A252,sinap!$A$2:$R$9000,16,FALSE)</f>
        <v>11.1.01.0893</v>
      </c>
      <c r="S252" s="15" t="str">
        <f>VLOOKUP(A252,sinap!$A$2:$Y$9000,20,FALSE)</f>
        <v>SI</v>
      </c>
      <c r="T252" s="16">
        <v>45989</v>
      </c>
    </row>
    <row r="253" spans="1:20" x14ac:dyDescent="0.25">
      <c r="A253" s="15">
        <v>26234341</v>
      </c>
      <c r="J253" s="15" t="str">
        <f>VLOOKUP(A253,sinap!$A$2:$R$9000,2,FALSE)</f>
        <v>H</v>
      </c>
      <c r="K253" s="15" t="str">
        <f>VLOOKUP(A253,sinap!$A$2:$R$9000,3,FALSE)</f>
        <v>TERNERA</v>
      </c>
      <c r="L253" s="15" t="str">
        <f>VLOOKUP(A253,sinap!$A$2:$R$9000,4,FALSE)</f>
        <v>HEREFORD</v>
      </c>
      <c r="M253" s="15" t="str">
        <f>VLOOKUP(A253,sinap!$A$2:$R$9000,5,FALSE)</f>
        <v>0 años 3 meses</v>
      </c>
      <c r="N253" s="15" t="str">
        <f>VLOOKUP(A253,sinap!$A$2:$R$9000,6,FALSE)</f>
        <v>15-10-2025</v>
      </c>
      <c r="O253" s="15" t="str">
        <f>VLOOKUP(A253,sinap!$A$2:$R$9000,7,FALSE)</f>
        <v>Vivo</v>
      </c>
      <c r="P253" s="15" t="str">
        <f>VLOOKUP(A253,sinap!$A$2:$R$9000,8,FALSE)</f>
        <v>11.2.01.0038</v>
      </c>
      <c r="Q253" s="15" t="str">
        <f>VLOOKUP(A253,sinap!$A$2:$R$9000,12,FALSE)</f>
        <v>11.1.01.0893</v>
      </c>
      <c r="R253" s="15" t="str">
        <f>VLOOKUP(A253,sinap!$A$2:$R$9000,16,FALSE)</f>
        <v>11.1.01.0893</v>
      </c>
      <c r="S253" s="15" t="str">
        <f>VLOOKUP(A253,sinap!$A$2:$Y$9000,20,FALSE)</f>
        <v>SI</v>
      </c>
      <c r="T253" s="16">
        <v>45989</v>
      </c>
    </row>
    <row r="254" spans="1:20" x14ac:dyDescent="0.25">
      <c r="A254" s="15">
        <v>26234342</v>
      </c>
      <c r="J254" s="15" t="str">
        <f>VLOOKUP(A254,sinap!$A$2:$R$9000,2,FALSE)</f>
        <v>H</v>
      </c>
      <c r="K254" s="15" t="str">
        <f>VLOOKUP(A254,sinap!$A$2:$R$9000,3,FALSE)</f>
        <v>TERNERA</v>
      </c>
      <c r="L254" s="15" t="str">
        <f>VLOOKUP(A254,sinap!$A$2:$R$9000,4,FALSE)</f>
        <v>ANGUS NEGRO</v>
      </c>
      <c r="M254" s="15" t="str">
        <f>VLOOKUP(A254,sinap!$A$2:$R$9000,5,FALSE)</f>
        <v>0 años 3 meses</v>
      </c>
      <c r="N254" s="15" t="str">
        <f>VLOOKUP(A254,sinap!$A$2:$R$9000,6,FALSE)</f>
        <v>05-10-2025</v>
      </c>
      <c r="O254" s="15" t="str">
        <f>VLOOKUP(A254,sinap!$A$2:$R$9000,7,FALSE)</f>
        <v>Vivo</v>
      </c>
      <c r="P254" s="15" t="str">
        <f>VLOOKUP(A254,sinap!$A$2:$R$9000,8,FALSE)</f>
        <v>11.1.01.0791</v>
      </c>
      <c r="Q254" s="15" t="str">
        <f>VLOOKUP(A254,sinap!$A$2:$R$9000,12,FALSE)</f>
        <v>11.1.01.0893</v>
      </c>
      <c r="R254" s="15" t="str">
        <f>VLOOKUP(A254,sinap!$A$2:$R$9000,16,FALSE)</f>
        <v>11.1.01.0893</v>
      </c>
      <c r="S254" s="15" t="str">
        <f>VLOOKUP(A254,sinap!$A$2:$Y$9000,20,FALSE)</f>
        <v>SI</v>
      </c>
      <c r="T254" s="16">
        <v>45989</v>
      </c>
    </row>
    <row r="255" spans="1:20" x14ac:dyDescent="0.25">
      <c r="A255" s="15">
        <v>26234343</v>
      </c>
      <c r="J255" s="15" t="str">
        <f>VLOOKUP(A255,sinap!$A$2:$R$9000,2,FALSE)</f>
        <v>H</v>
      </c>
      <c r="K255" s="15" t="str">
        <f>VLOOKUP(A255,sinap!$A$2:$R$9000,3,FALSE)</f>
        <v>TERNERA</v>
      </c>
      <c r="L255" s="15" t="str">
        <f>VLOOKUP(A255,sinap!$A$2:$R$9000,4,FALSE)</f>
        <v>ANGUS NEGRO</v>
      </c>
      <c r="M255" s="15" t="str">
        <f>VLOOKUP(A255,sinap!$A$2:$R$9000,5,FALSE)</f>
        <v>0 años 4 meses</v>
      </c>
      <c r="N255" s="15" t="str">
        <f>VLOOKUP(A255,sinap!$A$2:$R$9000,6,FALSE)</f>
        <v>11-09-2025</v>
      </c>
      <c r="O255" s="15" t="str">
        <f>VLOOKUP(A255,sinap!$A$2:$R$9000,7,FALSE)</f>
        <v>Vivo</v>
      </c>
      <c r="P255" s="15" t="str">
        <f>VLOOKUP(A255,sinap!$A$2:$R$9000,8,FALSE)</f>
        <v>11.2.01.0038</v>
      </c>
      <c r="Q255" s="15" t="str">
        <f>VLOOKUP(A255,sinap!$A$2:$R$9000,12,FALSE)</f>
        <v>11.1.01.0893</v>
      </c>
      <c r="R255" s="15" t="str">
        <f>VLOOKUP(A255,sinap!$A$2:$R$9000,16,FALSE)</f>
        <v>11.1.01.0893</v>
      </c>
      <c r="S255" s="15" t="str">
        <f>VLOOKUP(A255,sinap!$A$2:$Y$9000,20,FALSE)</f>
        <v>SI</v>
      </c>
      <c r="T255" s="16">
        <v>45989</v>
      </c>
    </row>
    <row r="256" spans="1:20" x14ac:dyDescent="0.25">
      <c r="A256" s="15">
        <v>26234344</v>
      </c>
      <c r="J256" s="15" t="str">
        <f>VLOOKUP(A256,sinap!$A$2:$R$9000,2,FALSE)</f>
        <v>H</v>
      </c>
      <c r="K256" s="15" t="str">
        <f>VLOOKUP(A256,sinap!$A$2:$R$9000,3,FALSE)</f>
        <v>TERNERA</v>
      </c>
      <c r="L256" s="15" t="str">
        <f>VLOOKUP(A256,sinap!$A$2:$R$9000,4,FALSE)</f>
        <v>ANGUS NEGRO</v>
      </c>
      <c r="M256" s="15" t="str">
        <f>VLOOKUP(A256,sinap!$A$2:$R$9000,5,FALSE)</f>
        <v>0 años 4 meses</v>
      </c>
      <c r="N256" s="15" t="str">
        <f>VLOOKUP(A256,sinap!$A$2:$R$9000,6,FALSE)</f>
        <v>11-09-2025</v>
      </c>
      <c r="O256" s="15" t="str">
        <f>VLOOKUP(A256,sinap!$A$2:$R$9000,7,FALSE)</f>
        <v>Vivo</v>
      </c>
      <c r="P256" s="15" t="str">
        <f>VLOOKUP(A256,sinap!$A$2:$R$9000,8,FALSE)</f>
        <v>11.2.01.0038</v>
      </c>
      <c r="Q256" s="15" t="str">
        <f>VLOOKUP(A256,sinap!$A$2:$R$9000,12,FALSE)</f>
        <v>11.1.01.0893</v>
      </c>
      <c r="R256" s="15" t="str">
        <f>VLOOKUP(A256,sinap!$A$2:$R$9000,16,FALSE)</f>
        <v>11.1.01.0893</v>
      </c>
      <c r="S256" s="15" t="str">
        <f>VLOOKUP(A256,sinap!$A$2:$Y$9000,20,FALSE)</f>
        <v>SI</v>
      </c>
      <c r="T256" s="16">
        <v>45989</v>
      </c>
    </row>
    <row r="257" spans="1:20" x14ac:dyDescent="0.25">
      <c r="A257" s="15">
        <v>26234345</v>
      </c>
      <c r="J257" s="15" t="str">
        <f>VLOOKUP(A257,sinap!$A$2:$R$9000,2,FALSE)</f>
        <v>H</v>
      </c>
      <c r="K257" s="15" t="str">
        <f>VLOOKUP(A257,sinap!$A$2:$R$9000,3,FALSE)</f>
        <v>TERNERA</v>
      </c>
      <c r="L257" s="15" t="str">
        <f>VLOOKUP(A257,sinap!$A$2:$R$9000,4,FALSE)</f>
        <v>ANGUS ROJO</v>
      </c>
      <c r="M257" s="15" t="str">
        <f>VLOOKUP(A257,sinap!$A$2:$R$9000,5,FALSE)</f>
        <v>0 años 4 meses</v>
      </c>
      <c r="N257" s="15" t="str">
        <f>VLOOKUP(A257,sinap!$A$2:$R$9000,6,FALSE)</f>
        <v>11-09-2025</v>
      </c>
      <c r="O257" s="15" t="str">
        <f>VLOOKUP(A257,sinap!$A$2:$R$9000,7,FALSE)</f>
        <v>Vivo</v>
      </c>
      <c r="P257" s="15" t="str">
        <f>VLOOKUP(A257,sinap!$A$2:$R$9000,8,FALSE)</f>
        <v>11.2.01.0038</v>
      </c>
      <c r="Q257" s="15" t="str">
        <f>VLOOKUP(A257,sinap!$A$2:$R$9000,12,FALSE)</f>
        <v>11.1.01.0893</v>
      </c>
      <c r="R257" s="15" t="str">
        <f>VLOOKUP(A257,sinap!$A$2:$R$9000,16,FALSE)</f>
        <v>11.1.01.0893</v>
      </c>
      <c r="S257" s="15" t="str">
        <f>VLOOKUP(A257,sinap!$A$2:$Y$9000,20,FALSE)</f>
        <v>SI</v>
      </c>
      <c r="T257" s="16">
        <v>45989</v>
      </c>
    </row>
    <row r="258" spans="1:20" x14ac:dyDescent="0.25">
      <c r="A258" s="15">
        <v>26234346</v>
      </c>
      <c r="J258" s="15" t="str">
        <f>VLOOKUP(A258,sinap!$A$2:$R$9000,2,FALSE)</f>
        <v>M</v>
      </c>
      <c r="K258" s="15" t="str">
        <f>VLOOKUP(A258,sinap!$A$2:$R$9000,3,FALSE)</f>
        <v>TERNERO</v>
      </c>
      <c r="L258" s="15" t="str">
        <f>VLOOKUP(A258,sinap!$A$2:$R$9000,4,FALSE)</f>
        <v>ANGUS NEGRO</v>
      </c>
      <c r="M258" s="15" t="str">
        <f>VLOOKUP(A258,sinap!$A$2:$R$9000,5,FALSE)</f>
        <v>0 años 4 meses</v>
      </c>
      <c r="N258" s="15" t="str">
        <f>VLOOKUP(A258,sinap!$A$2:$R$9000,6,FALSE)</f>
        <v>11-09-2025</v>
      </c>
      <c r="O258" s="15" t="str">
        <f>VLOOKUP(A258,sinap!$A$2:$R$9000,7,FALSE)</f>
        <v>Vivo</v>
      </c>
      <c r="P258" s="15" t="str">
        <f>VLOOKUP(A258,sinap!$A$2:$R$9000,8,FALSE)</f>
        <v>11.1.01.0791</v>
      </c>
      <c r="Q258" s="15" t="str">
        <f>VLOOKUP(A258,sinap!$A$2:$R$9000,12,FALSE)</f>
        <v>11.1.01.0893</v>
      </c>
      <c r="R258" s="15" t="str">
        <f>VLOOKUP(A258,sinap!$A$2:$R$9000,16,FALSE)</f>
        <v>11.1.01.0893</v>
      </c>
      <c r="S258" s="15" t="str">
        <f>VLOOKUP(A258,sinap!$A$2:$Y$9000,20,FALSE)</f>
        <v>SI</v>
      </c>
      <c r="T258" s="16">
        <v>45989</v>
      </c>
    </row>
    <row r="259" spans="1:20" x14ac:dyDescent="0.25">
      <c r="A259" s="15">
        <v>26234347</v>
      </c>
      <c r="J259" s="15" t="str">
        <f>VLOOKUP(A259,sinap!$A$2:$R$9000,2,FALSE)</f>
        <v>M</v>
      </c>
      <c r="K259" s="15" t="str">
        <f>VLOOKUP(A259,sinap!$A$2:$R$9000,3,FALSE)</f>
        <v>TERNERO</v>
      </c>
      <c r="L259" s="15" t="str">
        <f>VLOOKUP(A259,sinap!$A$2:$R$9000,4,FALSE)</f>
        <v>ANGUS NEGRO</v>
      </c>
      <c r="M259" s="15" t="str">
        <f>VLOOKUP(A259,sinap!$A$2:$R$9000,5,FALSE)</f>
        <v>0 años 4 meses</v>
      </c>
      <c r="N259" s="15" t="str">
        <f>VLOOKUP(A259,sinap!$A$2:$R$9000,6,FALSE)</f>
        <v>11-09-2025</v>
      </c>
      <c r="O259" s="15" t="str">
        <f>VLOOKUP(A259,sinap!$A$2:$R$9000,7,FALSE)</f>
        <v>Vivo</v>
      </c>
      <c r="P259" s="15" t="str">
        <f>VLOOKUP(A259,sinap!$A$2:$R$9000,8,FALSE)</f>
        <v>11.2.01.0038</v>
      </c>
      <c r="Q259" s="15" t="str">
        <f>VLOOKUP(A259,sinap!$A$2:$R$9000,12,FALSE)</f>
        <v>11.1.01.0893</v>
      </c>
      <c r="R259" s="15" t="str">
        <f>VLOOKUP(A259,sinap!$A$2:$R$9000,16,FALSE)</f>
        <v>11.1.01.0893</v>
      </c>
      <c r="S259" s="15" t="str">
        <f>VLOOKUP(A259,sinap!$A$2:$Y$9000,20,FALSE)</f>
        <v>SI</v>
      </c>
      <c r="T259" s="16">
        <v>45989</v>
      </c>
    </row>
    <row r="260" spans="1:20" x14ac:dyDescent="0.25">
      <c r="A260" s="15">
        <v>26234348</v>
      </c>
      <c r="J260" s="15" t="str">
        <f>VLOOKUP(A260,sinap!$A$2:$R$9000,2,FALSE)</f>
        <v>H</v>
      </c>
      <c r="K260" s="15" t="str">
        <f>VLOOKUP(A260,sinap!$A$2:$R$9000,3,FALSE)</f>
        <v>TERNERA</v>
      </c>
      <c r="L260" s="15" t="str">
        <f>VLOOKUP(A260,sinap!$A$2:$R$9000,4,FALSE)</f>
        <v>ANGUS NEGRO</v>
      </c>
      <c r="M260" s="15" t="str">
        <f>VLOOKUP(A260,sinap!$A$2:$R$9000,5,FALSE)</f>
        <v>0 años 4 meses</v>
      </c>
      <c r="N260" s="15" t="str">
        <f>VLOOKUP(A260,sinap!$A$2:$R$9000,6,FALSE)</f>
        <v>11-09-2025</v>
      </c>
      <c r="O260" s="15" t="str">
        <f>VLOOKUP(A260,sinap!$A$2:$R$9000,7,FALSE)</f>
        <v>Vivo</v>
      </c>
      <c r="P260" s="15" t="str">
        <f>VLOOKUP(A260,sinap!$A$2:$R$9000,8,FALSE)</f>
        <v>11.2.01.0038</v>
      </c>
      <c r="Q260" s="15" t="str">
        <f>VLOOKUP(A260,sinap!$A$2:$R$9000,12,FALSE)</f>
        <v>11.1.01.0893</v>
      </c>
      <c r="R260" s="15" t="str">
        <f>VLOOKUP(A260,sinap!$A$2:$R$9000,16,FALSE)</f>
        <v>11.1.01.0893</v>
      </c>
      <c r="S260" s="15" t="str">
        <f>VLOOKUP(A260,sinap!$A$2:$Y$9000,20,FALSE)</f>
        <v>SI</v>
      </c>
      <c r="T260" s="16">
        <v>45989</v>
      </c>
    </row>
    <row r="261" spans="1:20" x14ac:dyDescent="0.25">
      <c r="A261" s="15">
        <v>26234349</v>
      </c>
      <c r="J261" s="15" t="str">
        <f>VLOOKUP(A261,sinap!$A$2:$R$9000,2,FALSE)</f>
        <v>M</v>
      </c>
      <c r="K261" s="15" t="str">
        <f>VLOOKUP(A261,sinap!$A$2:$R$9000,3,FALSE)</f>
        <v>TERNERO</v>
      </c>
      <c r="L261" s="15" t="str">
        <f>VLOOKUP(A261,sinap!$A$2:$R$9000,4,FALSE)</f>
        <v>ANGUS NEGRO</v>
      </c>
      <c r="M261" s="15" t="str">
        <f>VLOOKUP(A261,sinap!$A$2:$R$9000,5,FALSE)</f>
        <v>0 años 4 meses</v>
      </c>
      <c r="N261" s="15" t="str">
        <f>VLOOKUP(A261,sinap!$A$2:$R$9000,6,FALSE)</f>
        <v>11-09-2025</v>
      </c>
      <c r="O261" s="15" t="str">
        <f>VLOOKUP(A261,sinap!$A$2:$R$9000,7,FALSE)</f>
        <v>Vivo</v>
      </c>
      <c r="P261" s="15" t="str">
        <f>VLOOKUP(A261,sinap!$A$2:$R$9000,8,FALSE)</f>
        <v>11.2.01.0038</v>
      </c>
      <c r="Q261" s="15" t="str">
        <f>VLOOKUP(A261,sinap!$A$2:$R$9000,12,FALSE)</f>
        <v>11.1.01.0893</v>
      </c>
      <c r="R261" s="15" t="str">
        <f>VLOOKUP(A261,sinap!$A$2:$R$9000,16,FALSE)</f>
        <v>11.1.01.0893</v>
      </c>
      <c r="S261" s="15" t="str">
        <f>VLOOKUP(A261,sinap!$A$2:$Y$9000,20,FALSE)</f>
        <v>SI</v>
      </c>
      <c r="T261" s="16">
        <v>45989</v>
      </c>
    </row>
    <row r="262" spans="1:20" x14ac:dyDescent="0.25">
      <c r="A262" s="15">
        <v>26234350</v>
      </c>
      <c r="J262" s="15" t="str">
        <f>VLOOKUP(A262,sinap!$A$2:$R$9000,2,FALSE)</f>
        <v>H</v>
      </c>
      <c r="K262" s="15" t="str">
        <f>VLOOKUP(A262,sinap!$A$2:$R$9000,3,FALSE)</f>
        <v>TERNERA</v>
      </c>
      <c r="L262" s="15" t="str">
        <f>VLOOKUP(A262,sinap!$A$2:$R$9000,4,FALSE)</f>
        <v>ANGUS ROJO</v>
      </c>
      <c r="M262" s="15" t="str">
        <f>VLOOKUP(A262,sinap!$A$2:$R$9000,5,FALSE)</f>
        <v>0 años 4 meses</v>
      </c>
      <c r="N262" s="15" t="str">
        <f>VLOOKUP(A262,sinap!$A$2:$R$9000,6,FALSE)</f>
        <v>11-09-2025</v>
      </c>
      <c r="O262" s="15" t="str">
        <f>VLOOKUP(A262,sinap!$A$2:$R$9000,7,FALSE)</f>
        <v>Vivo</v>
      </c>
      <c r="P262" s="15" t="str">
        <f>VLOOKUP(A262,sinap!$A$2:$R$9000,8,FALSE)</f>
        <v>11.1.01.0791</v>
      </c>
      <c r="Q262" s="15" t="str">
        <f>VLOOKUP(A262,sinap!$A$2:$R$9000,12,FALSE)</f>
        <v>11.1.01.0893</v>
      </c>
      <c r="R262" s="15" t="str">
        <f>VLOOKUP(A262,sinap!$A$2:$R$9000,16,FALSE)</f>
        <v>11.1.01.0893</v>
      </c>
      <c r="S262" s="15" t="str">
        <f>VLOOKUP(A262,sinap!$A$2:$Y$9000,20,FALSE)</f>
        <v>SI</v>
      </c>
      <c r="T262" s="16">
        <v>45989</v>
      </c>
    </row>
    <row r="263" spans="1:20" x14ac:dyDescent="0.25">
      <c r="A263" s="15">
        <v>26234351</v>
      </c>
      <c r="J263" s="15" t="str">
        <f>VLOOKUP(A263,sinap!$A$2:$R$9000,2,FALSE)</f>
        <v>H</v>
      </c>
      <c r="K263" s="15" t="str">
        <f>VLOOKUP(A263,sinap!$A$2:$R$9000,3,FALSE)</f>
        <v>TERNERA</v>
      </c>
      <c r="L263" s="15" t="str">
        <f>VLOOKUP(A263,sinap!$A$2:$R$9000,4,FALSE)</f>
        <v>ANGUS NEGRO</v>
      </c>
      <c r="M263" s="15" t="str">
        <f>VLOOKUP(A263,sinap!$A$2:$R$9000,5,FALSE)</f>
        <v>0 años 4 meses</v>
      </c>
      <c r="N263" s="15" t="str">
        <f>VLOOKUP(A263,sinap!$A$2:$R$9000,6,FALSE)</f>
        <v>11-09-2025</v>
      </c>
      <c r="O263" s="15" t="str">
        <f>VLOOKUP(A263,sinap!$A$2:$R$9000,7,FALSE)</f>
        <v>Vivo</v>
      </c>
      <c r="P263" s="15" t="str">
        <f>VLOOKUP(A263,sinap!$A$2:$R$9000,8,FALSE)</f>
        <v>11.2.01.0038</v>
      </c>
      <c r="Q263" s="15" t="str">
        <f>VLOOKUP(A263,sinap!$A$2:$R$9000,12,FALSE)</f>
        <v>11.1.01.0893</v>
      </c>
      <c r="R263" s="15" t="str">
        <f>VLOOKUP(A263,sinap!$A$2:$R$9000,16,FALSE)</f>
        <v>11.1.01.0893</v>
      </c>
      <c r="S263" s="15" t="str">
        <f>VLOOKUP(A263,sinap!$A$2:$Y$9000,20,FALSE)</f>
        <v>SI</v>
      </c>
      <c r="T263" s="16">
        <v>45989</v>
      </c>
    </row>
    <row r="264" spans="1:20" x14ac:dyDescent="0.25">
      <c r="A264" s="15">
        <v>26234352</v>
      </c>
      <c r="J264" s="15" t="str">
        <f>VLOOKUP(A264,sinap!$A$2:$R$9000,2,FALSE)</f>
        <v>M</v>
      </c>
      <c r="K264" s="15" t="str">
        <f>VLOOKUP(A264,sinap!$A$2:$R$9000,3,FALSE)</f>
        <v>TERNERO</v>
      </c>
      <c r="L264" s="15" t="str">
        <f>VLOOKUP(A264,sinap!$A$2:$R$9000,4,FALSE)</f>
        <v>ANGUS NEGRO</v>
      </c>
      <c r="M264" s="15" t="str">
        <f>VLOOKUP(A264,sinap!$A$2:$R$9000,5,FALSE)</f>
        <v>0 años 4 meses</v>
      </c>
      <c r="N264" s="15" t="str">
        <f>VLOOKUP(A264,sinap!$A$2:$R$9000,6,FALSE)</f>
        <v>11-09-2025</v>
      </c>
      <c r="O264" s="15" t="str">
        <f>VLOOKUP(A264,sinap!$A$2:$R$9000,7,FALSE)</f>
        <v>Vivo</v>
      </c>
      <c r="P264" s="15" t="str">
        <f>VLOOKUP(A264,sinap!$A$2:$R$9000,8,FALSE)</f>
        <v>11.2.01.0038</v>
      </c>
      <c r="Q264" s="15" t="str">
        <f>VLOOKUP(A264,sinap!$A$2:$R$9000,12,FALSE)</f>
        <v>11.1.01.0893</v>
      </c>
      <c r="R264" s="15" t="str">
        <f>VLOOKUP(A264,sinap!$A$2:$R$9000,16,FALSE)</f>
        <v>11.1.01.0893</v>
      </c>
      <c r="S264" s="15" t="str">
        <f>VLOOKUP(A264,sinap!$A$2:$Y$9000,20,FALSE)</f>
        <v>SI</v>
      </c>
      <c r="T264" s="16">
        <v>45989</v>
      </c>
    </row>
    <row r="265" spans="1:20" x14ac:dyDescent="0.25">
      <c r="A265" s="15">
        <v>26234353</v>
      </c>
      <c r="J265" s="15" t="str">
        <f>VLOOKUP(A265,sinap!$A$2:$R$9000,2,FALSE)</f>
        <v>M</v>
      </c>
      <c r="K265" s="15" t="str">
        <f>VLOOKUP(A265,sinap!$A$2:$R$9000,3,FALSE)</f>
        <v>TERNERO</v>
      </c>
      <c r="L265" s="15" t="str">
        <f>VLOOKUP(A265,sinap!$A$2:$R$9000,4,FALSE)</f>
        <v>ANGUS NEGRO</v>
      </c>
      <c r="M265" s="15" t="str">
        <f>VLOOKUP(A265,sinap!$A$2:$R$9000,5,FALSE)</f>
        <v>0 años 4 meses</v>
      </c>
      <c r="N265" s="15" t="str">
        <f>VLOOKUP(A265,sinap!$A$2:$R$9000,6,FALSE)</f>
        <v>11-09-2025</v>
      </c>
      <c r="O265" s="15" t="str">
        <f>VLOOKUP(A265,sinap!$A$2:$R$9000,7,FALSE)</f>
        <v>Vivo</v>
      </c>
      <c r="P265" s="15" t="str">
        <f>VLOOKUP(A265,sinap!$A$2:$R$9000,8,FALSE)</f>
        <v>11.2.01.0038</v>
      </c>
      <c r="Q265" s="15" t="str">
        <f>VLOOKUP(A265,sinap!$A$2:$R$9000,12,FALSE)</f>
        <v>11.1.01.0893</v>
      </c>
      <c r="R265" s="15" t="str">
        <f>VLOOKUP(A265,sinap!$A$2:$R$9000,16,FALSE)</f>
        <v>11.1.01.0893</v>
      </c>
      <c r="S265" s="15" t="str">
        <f>VLOOKUP(A265,sinap!$A$2:$Y$9000,20,FALSE)</f>
        <v>SI</v>
      </c>
      <c r="T265" s="16">
        <v>45989</v>
      </c>
    </row>
    <row r="266" spans="1:20" x14ac:dyDescent="0.25">
      <c r="A266" s="15">
        <v>26234354</v>
      </c>
      <c r="J266" s="15" t="str">
        <f>VLOOKUP(A266,sinap!$A$2:$R$9000,2,FALSE)</f>
        <v>M</v>
      </c>
      <c r="K266" s="15" t="str">
        <f>VLOOKUP(A266,sinap!$A$2:$R$9000,3,FALSE)</f>
        <v>TERNERO</v>
      </c>
      <c r="L266" s="15" t="str">
        <f>VLOOKUP(A266,sinap!$A$2:$R$9000,4,FALSE)</f>
        <v>ANGUS NEGRO</v>
      </c>
      <c r="M266" s="15" t="str">
        <f>VLOOKUP(A266,sinap!$A$2:$R$9000,5,FALSE)</f>
        <v>0 años 4 meses</v>
      </c>
      <c r="N266" s="15" t="str">
        <f>VLOOKUP(A266,sinap!$A$2:$R$9000,6,FALSE)</f>
        <v>11-09-2025</v>
      </c>
      <c r="O266" s="15" t="str">
        <f>VLOOKUP(A266,sinap!$A$2:$R$9000,7,FALSE)</f>
        <v>Vivo</v>
      </c>
      <c r="P266" s="15" t="str">
        <f>VLOOKUP(A266,sinap!$A$2:$R$9000,8,FALSE)</f>
        <v>11.2.01.0038</v>
      </c>
      <c r="Q266" s="15" t="str">
        <f>VLOOKUP(A266,sinap!$A$2:$R$9000,12,FALSE)</f>
        <v>11.1.01.0893</v>
      </c>
      <c r="R266" s="15" t="str">
        <f>VLOOKUP(A266,sinap!$A$2:$R$9000,16,FALSE)</f>
        <v>11.1.01.0893</v>
      </c>
      <c r="S266" s="15" t="str">
        <f>VLOOKUP(A266,sinap!$A$2:$Y$9000,20,FALSE)</f>
        <v>SI</v>
      </c>
      <c r="T266" s="16">
        <v>45989</v>
      </c>
    </row>
    <row r="267" spans="1:20" x14ac:dyDescent="0.25">
      <c r="A267" s="15">
        <v>26234355</v>
      </c>
      <c r="J267" s="15" t="str">
        <f>VLOOKUP(A267,sinap!$A$2:$R$9000,2,FALSE)</f>
        <v>H</v>
      </c>
      <c r="K267" s="15" t="str">
        <f>VLOOKUP(A267,sinap!$A$2:$R$9000,3,FALSE)</f>
        <v>TERNERA</v>
      </c>
      <c r="L267" s="15" t="str">
        <f>VLOOKUP(A267,sinap!$A$2:$R$9000,4,FALSE)</f>
        <v>ANGUS NEGRO</v>
      </c>
      <c r="M267" s="15" t="str">
        <f>VLOOKUP(A267,sinap!$A$2:$R$9000,5,FALSE)</f>
        <v>0 años 4 meses</v>
      </c>
      <c r="N267" s="15" t="str">
        <f>VLOOKUP(A267,sinap!$A$2:$R$9000,6,FALSE)</f>
        <v>11-09-2025</v>
      </c>
      <c r="O267" s="15" t="str">
        <f>VLOOKUP(A267,sinap!$A$2:$R$9000,7,FALSE)</f>
        <v>Vivo</v>
      </c>
      <c r="P267" s="15" t="str">
        <f>VLOOKUP(A267,sinap!$A$2:$R$9000,8,FALSE)</f>
        <v>11.2.01.0038</v>
      </c>
      <c r="Q267" s="15" t="str">
        <f>VLOOKUP(A267,sinap!$A$2:$R$9000,12,FALSE)</f>
        <v>11.1.01.0893</v>
      </c>
      <c r="R267" s="15" t="str">
        <f>VLOOKUP(A267,sinap!$A$2:$R$9000,16,FALSE)</f>
        <v>11.1.01.0893</v>
      </c>
      <c r="S267" s="15" t="str">
        <f>VLOOKUP(A267,sinap!$A$2:$Y$9000,20,FALSE)</f>
        <v>SI</v>
      </c>
      <c r="T267" s="16">
        <v>45989</v>
      </c>
    </row>
    <row r="268" spans="1:20" x14ac:dyDescent="0.25">
      <c r="A268" s="15">
        <v>26234356</v>
      </c>
      <c r="J268" s="15" t="str">
        <f>VLOOKUP(A268,sinap!$A$2:$R$9000,2,FALSE)</f>
        <v>M</v>
      </c>
      <c r="K268" s="15" t="str">
        <f>VLOOKUP(A268,sinap!$A$2:$R$9000,3,FALSE)</f>
        <v>TERNERO</v>
      </c>
      <c r="L268" s="15" t="str">
        <f>VLOOKUP(A268,sinap!$A$2:$R$9000,4,FALSE)</f>
        <v>ANGUS NEGRO</v>
      </c>
      <c r="M268" s="15" t="str">
        <f>VLOOKUP(A268,sinap!$A$2:$R$9000,5,FALSE)</f>
        <v>0 años 4 meses</v>
      </c>
      <c r="N268" s="15" t="str">
        <f>VLOOKUP(A268,sinap!$A$2:$R$9000,6,FALSE)</f>
        <v>11-09-2025</v>
      </c>
      <c r="O268" s="15" t="str">
        <f>VLOOKUP(A268,sinap!$A$2:$R$9000,7,FALSE)</f>
        <v>Vivo</v>
      </c>
      <c r="P268" s="15" t="str">
        <f>VLOOKUP(A268,sinap!$A$2:$R$9000,8,FALSE)</f>
        <v>11.1.01.0791</v>
      </c>
      <c r="Q268" s="15" t="str">
        <f>VLOOKUP(A268,sinap!$A$2:$R$9000,12,FALSE)</f>
        <v>11.1.01.0893</v>
      </c>
      <c r="R268" s="15" t="str">
        <f>VLOOKUP(A268,sinap!$A$2:$R$9000,16,FALSE)</f>
        <v>11.1.01.0893</v>
      </c>
      <c r="S268" s="15" t="str">
        <f>VLOOKUP(A268,sinap!$A$2:$Y$9000,20,FALSE)</f>
        <v>SI</v>
      </c>
      <c r="T268" s="16">
        <v>45989</v>
      </c>
    </row>
    <row r="269" spans="1:20" x14ac:dyDescent="0.25">
      <c r="A269" s="15">
        <v>26234357</v>
      </c>
      <c r="J269" s="15" t="str">
        <f>VLOOKUP(A269,sinap!$A$2:$R$9000,2,FALSE)</f>
        <v>H</v>
      </c>
      <c r="K269" s="15" t="str">
        <f>VLOOKUP(A269,sinap!$A$2:$R$9000,3,FALSE)</f>
        <v>TERNERA</v>
      </c>
      <c r="L269" s="15" t="str">
        <f>VLOOKUP(A269,sinap!$A$2:$R$9000,4,FALSE)</f>
        <v>ANGUS ROJO</v>
      </c>
      <c r="M269" s="15" t="str">
        <f>VLOOKUP(A269,sinap!$A$2:$R$9000,5,FALSE)</f>
        <v>0 años 4 meses</v>
      </c>
      <c r="N269" s="15" t="str">
        <f>VLOOKUP(A269,sinap!$A$2:$R$9000,6,FALSE)</f>
        <v>11-09-2025</v>
      </c>
      <c r="O269" s="15" t="str">
        <f>VLOOKUP(A269,sinap!$A$2:$R$9000,7,FALSE)</f>
        <v>Vivo</v>
      </c>
      <c r="P269" s="15" t="str">
        <f>VLOOKUP(A269,sinap!$A$2:$R$9000,8,FALSE)</f>
        <v>11.2.01.0038</v>
      </c>
      <c r="Q269" s="15" t="str">
        <f>VLOOKUP(A269,sinap!$A$2:$R$9000,12,FALSE)</f>
        <v>11.1.01.0893</v>
      </c>
      <c r="R269" s="15" t="str">
        <f>VLOOKUP(A269,sinap!$A$2:$R$9000,16,FALSE)</f>
        <v>11.1.01.0893</v>
      </c>
      <c r="S269" s="15" t="str">
        <f>VLOOKUP(A269,sinap!$A$2:$Y$9000,20,FALSE)</f>
        <v>SI</v>
      </c>
      <c r="T269" s="16">
        <v>45989</v>
      </c>
    </row>
    <row r="270" spans="1:20" x14ac:dyDescent="0.25">
      <c r="A270" s="15">
        <v>26234358</v>
      </c>
      <c r="J270" s="15" t="str">
        <f>VLOOKUP(A270,sinap!$A$2:$R$9000,2,FALSE)</f>
        <v>M</v>
      </c>
      <c r="K270" s="15" t="str">
        <f>VLOOKUP(A270,sinap!$A$2:$R$9000,3,FALSE)</f>
        <v>TERNERO</v>
      </c>
      <c r="L270" s="15" t="str">
        <f>VLOOKUP(A270,sinap!$A$2:$R$9000,4,FALSE)</f>
        <v>ANGUS NEGRO</v>
      </c>
      <c r="M270" s="15" t="str">
        <f>VLOOKUP(A270,sinap!$A$2:$R$9000,5,FALSE)</f>
        <v>0 años 4 meses</v>
      </c>
      <c r="N270" s="15" t="str">
        <f>VLOOKUP(A270,sinap!$A$2:$R$9000,6,FALSE)</f>
        <v>11-09-2025</v>
      </c>
      <c r="O270" s="15" t="str">
        <f>VLOOKUP(A270,sinap!$A$2:$R$9000,7,FALSE)</f>
        <v>Vivo</v>
      </c>
      <c r="P270" s="15" t="str">
        <f>VLOOKUP(A270,sinap!$A$2:$R$9000,8,FALSE)</f>
        <v>11.2.01.0038</v>
      </c>
      <c r="Q270" s="15" t="str">
        <f>VLOOKUP(A270,sinap!$A$2:$R$9000,12,FALSE)</f>
        <v>11.1.01.0893</v>
      </c>
      <c r="R270" s="15" t="str">
        <f>VLOOKUP(A270,sinap!$A$2:$R$9000,16,FALSE)</f>
        <v>11.1.01.0893</v>
      </c>
      <c r="S270" s="15" t="str">
        <f>VLOOKUP(A270,sinap!$A$2:$Y$9000,20,FALSE)</f>
        <v>SI</v>
      </c>
      <c r="T270" s="16">
        <v>45989</v>
      </c>
    </row>
    <row r="271" spans="1:20" x14ac:dyDescent="0.25">
      <c r="A271" s="15">
        <v>26234359</v>
      </c>
      <c r="J271" s="15" t="str">
        <f>VLOOKUP(A271,sinap!$A$2:$R$9000,2,FALSE)</f>
        <v>H</v>
      </c>
      <c r="K271" s="15" t="str">
        <f>VLOOKUP(A271,sinap!$A$2:$R$9000,3,FALSE)</f>
        <v>TERNERA</v>
      </c>
      <c r="L271" s="15" t="str">
        <f>VLOOKUP(A271,sinap!$A$2:$R$9000,4,FALSE)</f>
        <v>ANGUS NEGRO</v>
      </c>
      <c r="M271" s="15" t="str">
        <f>VLOOKUP(A271,sinap!$A$2:$R$9000,5,FALSE)</f>
        <v>0 años 4 meses</v>
      </c>
      <c r="N271" s="15" t="str">
        <f>VLOOKUP(A271,sinap!$A$2:$R$9000,6,FALSE)</f>
        <v>11-09-2025</v>
      </c>
      <c r="O271" s="15" t="str">
        <f>VLOOKUP(A271,sinap!$A$2:$R$9000,7,FALSE)</f>
        <v>Vivo</v>
      </c>
      <c r="P271" s="15" t="str">
        <f>VLOOKUP(A271,sinap!$A$2:$R$9000,8,FALSE)</f>
        <v>11.2.01.0038</v>
      </c>
      <c r="Q271" s="15" t="str">
        <f>VLOOKUP(A271,sinap!$A$2:$R$9000,12,FALSE)</f>
        <v>11.1.01.0893</v>
      </c>
      <c r="R271" s="15" t="str">
        <f>VLOOKUP(A271,sinap!$A$2:$R$9000,16,FALSE)</f>
        <v>11.1.01.0893</v>
      </c>
      <c r="S271" s="15" t="str">
        <f>VLOOKUP(A271,sinap!$A$2:$Y$9000,20,FALSE)</f>
        <v>SI</v>
      </c>
      <c r="T271" s="16">
        <v>45989</v>
      </c>
    </row>
    <row r="272" spans="1:20" x14ac:dyDescent="0.25">
      <c r="A272" s="15">
        <v>26234360</v>
      </c>
      <c r="J272" s="15" t="str">
        <f>VLOOKUP(A272,sinap!$A$2:$R$9000,2,FALSE)</f>
        <v>H</v>
      </c>
      <c r="K272" s="15" t="str">
        <f>VLOOKUP(A272,sinap!$A$2:$R$9000,3,FALSE)</f>
        <v>TERNERA</v>
      </c>
      <c r="L272" s="15" t="str">
        <f>VLOOKUP(A272,sinap!$A$2:$R$9000,4,FALSE)</f>
        <v>ANGUS NEGRO</v>
      </c>
      <c r="M272" s="15" t="str">
        <f>VLOOKUP(A272,sinap!$A$2:$R$9000,5,FALSE)</f>
        <v>0 años 4 meses</v>
      </c>
      <c r="N272" s="15" t="str">
        <f>VLOOKUP(A272,sinap!$A$2:$R$9000,6,FALSE)</f>
        <v>11-09-2025</v>
      </c>
      <c r="O272" s="15" t="str">
        <f>VLOOKUP(A272,sinap!$A$2:$R$9000,7,FALSE)</f>
        <v>Vivo</v>
      </c>
      <c r="P272" s="15" t="str">
        <f>VLOOKUP(A272,sinap!$A$2:$R$9000,8,FALSE)</f>
        <v>11.2.01.0038</v>
      </c>
      <c r="Q272" s="15" t="str">
        <f>VLOOKUP(A272,sinap!$A$2:$R$9000,12,FALSE)</f>
        <v>11.1.01.0893</v>
      </c>
      <c r="R272" s="15" t="str">
        <f>VLOOKUP(A272,sinap!$A$2:$R$9000,16,FALSE)</f>
        <v>11.1.01.0893</v>
      </c>
      <c r="S272" s="15" t="str">
        <f>VLOOKUP(A272,sinap!$A$2:$Y$9000,20,FALSE)</f>
        <v>SI</v>
      </c>
      <c r="T272" s="16">
        <v>45989</v>
      </c>
    </row>
    <row r="273" spans="1:20" x14ac:dyDescent="0.25">
      <c r="A273" s="15">
        <v>26234361</v>
      </c>
      <c r="J273" s="15" t="str">
        <f>VLOOKUP(A273,sinap!$A$2:$R$9000,2,FALSE)</f>
        <v>M</v>
      </c>
      <c r="K273" s="15" t="str">
        <f>VLOOKUP(A273,sinap!$A$2:$R$9000,3,FALSE)</f>
        <v>TERNERO</v>
      </c>
      <c r="L273" s="15" t="str">
        <f>VLOOKUP(A273,sinap!$A$2:$R$9000,4,FALSE)</f>
        <v>ANGUS NEGRO</v>
      </c>
      <c r="M273" s="15" t="str">
        <f>VLOOKUP(A273,sinap!$A$2:$R$9000,5,FALSE)</f>
        <v>0 años 4 meses</v>
      </c>
      <c r="N273" s="15" t="str">
        <f>VLOOKUP(A273,sinap!$A$2:$R$9000,6,FALSE)</f>
        <v>11-09-2025</v>
      </c>
      <c r="O273" s="15" t="str">
        <f>VLOOKUP(A273,sinap!$A$2:$R$9000,7,FALSE)</f>
        <v>Vivo</v>
      </c>
      <c r="P273" s="15" t="str">
        <f>VLOOKUP(A273,sinap!$A$2:$R$9000,8,FALSE)</f>
        <v>11.2.01.0038</v>
      </c>
      <c r="Q273" s="15" t="str">
        <f>VLOOKUP(A273,sinap!$A$2:$R$9000,12,FALSE)</f>
        <v>11.1.01.0893</v>
      </c>
      <c r="R273" s="15" t="str">
        <f>VLOOKUP(A273,sinap!$A$2:$R$9000,16,FALSE)</f>
        <v>11.1.01.0893</v>
      </c>
      <c r="S273" s="15" t="str">
        <f>VLOOKUP(A273,sinap!$A$2:$Y$9000,20,FALSE)</f>
        <v>SI</v>
      </c>
      <c r="T273" s="16">
        <v>45989</v>
      </c>
    </row>
    <row r="274" spans="1:20" x14ac:dyDescent="0.25">
      <c r="A274" s="15">
        <v>26234362</v>
      </c>
      <c r="J274" s="15" t="str">
        <f>VLOOKUP(A274,sinap!$A$2:$R$9000,2,FALSE)</f>
        <v>M</v>
      </c>
      <c r="K274" s="15" t="str">
        <f>VLOOKUP(A274,sinap!$A$2:$R$9000,3,FALSE)</f>
        <v>TERNERO</v>
      </c>
      <c r="L274" s="15" t="str">
        <f>VLOOKUP(A274,sinap!$A$2:$R$9000,4,FALSE)</f>
        <v>ANGUS NEGRO</v>
      </c>
      <c r="M274" s="15" t="str">
        <f>VLOOKUP(A274,sinap!$A$2:$R$9000,5,FALSE)</f>
        <v>0 años 4 meses</v>
      </c>
      <c r="N274" s="15" t="str">
        <f>VLOOKUP(A274,sinap!$A$2:$R$9000,6,FALSE)</f>
        <v>11-09-2025</v>
      </c>
      <c r="O274" s="15" t="str">
        <f>VLOOKUP(A274,sinap!$A$2:$R$9000,7,FALSE)</f>
        <v>Vivo</v>
      </c>
      <c r="P274" s="15" t="str">
        <f>VLOOKUP(A274,sinap!$A$2:$R$9000,8,FALSE)</f>
        <v>11.2.01.0038</v>
      </c>
      <c r="Q274" s="15" t="str">
        <f>VLOOKUP(A274,sinap!$A$2:$R$9000,12,FALSE)</f>
        <v>11.1.01.0893</v>
      </c>
      <c r="R274" s="15" t="str">
        <f>VLOOKUP(A274,sinap!$A$2:$R$9000,16,FALSE)</f>
        <v>11.1.01.0893</v>
      </c>
      <c r="S274" s="15" t="str">
        <f>VLOOKUP(A274,sinap!$A$2:$Y$9000,20,FALSE)</f>
        <v>SI</v>
      </c>
      <c r="T274" s="16">
        <v>45989</v>
      </c>
    </row>
    <row r="275" spans="1:20" x14ac:dyDescent="0.25">
      <c r="A275" s="15">
        <v>26234363</v>
      </c>
      <c r="J275" s="15" t="str">
        <f>VLOOKUP(A275,sinap!$A$2:$R$9000,2,FALSE)</f>
        <v>M</v>
      </c>
      <c r="K275" s="15" t="str">
        <f>VLOOKUP(A275,sinap!$A$2:$R$9000,3,FALSE)</f>
        <v>TERNERO</v>
      </c>
      <c r="L275" s="15" t="str">
        <f>VLOOKUP(A275,sinap!$A$2:$R$9000,4,FALSE)</f>
        <v>ANGUS NEGRO</v>
      </c>
      <c r="M275" s="15" t="str">
        <f>VLOOKUP(A275,sinap!$A$2:$R$9000,5,FALSE)</f>
        <v>0 años 4 meses</v>
      </c>
      <c r="N275" s="15" t="str">
        <f>VLOOKUP(A275,sinap!$A$2:$R$9000,6,FALSE)</f>
        <v>11-09-2025</v>
      </c>
      <c r="O275" s="15" t="str">
        <f>VLOOKUP(A275,sinap!$A$2:$R$9000,7,FALSE)</f>
        <v>Vivo</v>
      </c>
      <c r="P275" s="15" t="str">
        <f>VLOOKUP(A275,sinap!$A$2:$R$9000,8,FALSE)</f>
        <v>11.2.01.0038</v>
      </c>
      <c r="Q275" s="15" t="str">
        <f>VLOOKUP(A275,sinap!$A$2:$R$9000,12,FALSE)</f>
        <v>11.1.01.0893</v>
      </c>
      <c r="R275" s="15" t="str">
        <f>VLOOKUP(A275,sinap!$A$2:$R$9000,16,FALSE)</f>
        <v>11.1.01.0893</v>
      </c>
      <c r="S275" s="15" t="str">
        <f>VLOOKUP(A275,sinap!$A$2:$Y$9000,20,FALSE)</f>
        <v>SI</v>
      </c>
      <c r="T275" s="16">
        <v>45989</v>
      </c>
    </row>
    <row r="276" spans="1:20" x14ac:dyDescent="0.25">
      <c r="A276" s="15">
        <v>26234364</v>
      </c>
      <c r="J276" s="15" t="str">
        <f>VLOOKUP(A276,sinap!$A$2:$R$9000,2,FALSE)</f>
        <v>H</v>
      </c>
      <c r="K276" s="15" t="str">
        <f>VLOOKUP(A276,sinap!$A$2:$R$9000,3,FALSE)</f>
        <v>TERNERA</v>
      </c>
      <c r="L276" s="15" t="str">
        <f>VLOOKUP(A276,sinap!$A$2:$R$9000,4,FALSE)</f>
        <v>ANGUS NEGRO</v>
      </c>
      <c r="M276" s="15" t="str">
        <f>VLOOKUP(A276,sinap!$A$2:$R$9000,5,FALSE)</f>
        <v>0 años 4 meses</v>
      </c>
      <c r="N276" s="15" t="str">
        <f>VLOOKUP(A276,sinap!$A$2:$R$9000,6,FALSE)</f>
        <v>11-09-2025</v>
      </c>
      <c r="O276" s="15" t="str">
        <f>VLOOKUP(A276,sinap!$A$2:$R$9000,7,FALSE)</f>
        <v>Vivo</v>
      </c>
      <c r="P276" s="15" t="str">
        <f>VLOOKUP(A276,sinap!$A$2:$R$9000,8,FALSE)</f>
        <v>11.2.01.0038</v>
      </c>
      <c r="Q276" s="15" t="str">
        <f>VLOOKUP(A276,sinap!$A$2:$R$9000,12,FALSE)</f>
        <v>11.1.01.0893</v>
      </c>
      <c r="R276" s="15" t="str">
        <f>VLOOKUP(A276,sinap!$A$2:$R$9000,16,FALSE)</f>
        <v>11.1.01.0893</v>
      </c>
      <c r="S276" s="15" t="str">
        <f>VLOOKUP(A276,sinap!$A$2:$Y$9000,20,FALSE)</f>
        <v>SI</v>
      </c>
      <c r="T276" s="16">
        <v>45989</v>
      </c>
    </row>
    <row r="277" spans="1:20" x14ac:dyDescent="0.25">
      <c r="A277" s="15">
        <v>26234365</v>
      </c>
      <c r="J277" s="15" t="str">
        <f>VLOOKUP(A277,sinap!$A$2:$R$9000,2,FALSE)</f>
        <v>M</v>
      </c>
      <c r="K277" s="15" t="str">
        <f>VLOOKUP(A277,sinap!$A$2:$R$9000,3,FALSE)</f>
        <v>TERNERO</v>
      </c>
      <c r="L277" s="15" t="str">
        <f>VLOOKUP(A277,sinap!$A$2:$R$9000,4,FALSE)</f>
        <v>ANGUS NEGRO</v>
      </c>
      <c r="M277" s="15" t="str">
        <f>VLOOKUP(A277,sinap!$A$2:$R$9000,5,FALSE)</f>
        <v>0 años 4 meses</v>
      </c>
      <c r="N277" s="15" t="str">
        <f>VLOOKUP(A277,sinap!$A$2:$R$9000,6,FALSE)</f>
        <v>11-09-2025</v>
      </c>
      <c r="O277" s="15" t="str">
        <f>VLOOKUP(A277,sinap!$A$2:$R$9000,7,FALSE)</f>
        <v>Vivo</v>
      </c>
      <c r="P277" s="15" t="str">
        <f>VLOOKUP(A277,sinap!$A$2:$R$9000,8,FALSE)</f>
        <v>11.2.01.0038</v>
      </c>
      <c r="Q277" s="15" t="str">
        <f>VLOOKUP(A277,sinap!$A$2:$R$9000,12,FALSE)</f>
        <v>11.1.01.0893</v>
      </c>
      <c r="R277" s="15" t="str">
        <f>VLOOKUP(A277,sinap!$A$2:$R$9000,16,FALSE)</f>
        <v>11.1.01.0893</v>
      </c>
      <c r="S277" s="15" t="str">
        <f>VLOOKUP(A277,sinap!$A$2:$Y$9000,20,FALSE)</f>
        <v>SI</v>
      </c>
      <c r="T277" s="16">
        <v>45989</v>
      </c>
    </row>
    <row r="278" spans="1:20" x14ac:dyDescent="0.25">
      <c r="A278" s="15">
        <v>26234366</v>
      </c>
      <c r="J278" s="15" t="str">
        <f>VLOOKUP(A278,sinap!$A$2:$R$9000,2,FALSE)</f>
        <v>M</v>
      </c>
      <c r="K278" s="15" t="str">
        <f>VLOOKUP(A278,sinap!$A$2:$R$9000,3,FALSE)</f>
        <v>TERNERO</v>
      </c>
      <c r="L278" s="15" t="str">
        <f>VLOOKUP(A278,sinap!$A$2:$R$9000,4,FALSE)</f>
        <v>ANGUS NEGRO</v>
      </c>
      <c r="M278" s="15" t="str">
        <f>VLOOKUP(A278,sinap!$A$2:$R$9000,5,FALSE)</f>
        <v>0 años 4 meses</v>
      </c>
      <c r="N278" s="15" t="str">
        <f>VLOOKUP(A278,sinap!$A$2:$R$9000,6,FALSE)</f>
        <v>11-09-2025</v>
      </c>
      <c r="O278" s="15" t="str">
        <f>VLOOKUP(A278,sinap!$A$2:$R$9000,7,FALSE)</f>
        <v>Vivo</v>
      </c>
      <c r="P278" s="15" t="str">
        <f>VLOOKUP(A278,sinap!$A$2:$R$9000,8,FALSE)</f>
        <v>11.2.01.0038</v>
      </c>
      <c r="Q278" s="15" t="str">
        <f>VLOOKUP(A278,sinap!$A$2:$R$9000,12,FALSE)</f>
        <v>11.1.01.0893</v>
      </c>
      <c r="R278" s="15" t="str">
        <f>VLOOKUP(A278,sinap!$A$2:$R$9000,16,FALSE)</f>
        <v>11.1.01.0893</v>
      </c>
      <c r="S278" s="15" t="str">
        <f>VLOOKUP(A278,sinap!$A$2:$Y$9000,20,FALSE)</f>
        <v>SI</v>
      </c>
      <c r="T278" s="16">
        <v>45989</v>
      </c>
    </row>
    <row r="279" spans="1:20" x14ac:dyDescent="0.25">
      <c r="A279" s="15">
        <v>26234367</v>
      </c>
      <c r="J279" s="15" t="str">
        <f>VLOOKUP(A279,sinap!$A$2:$R$9000,2,FALSE)</f>
        <v>M</v>
      </c>
      <c r="K279" s="15" t="str">
        <f>VLOOKUP(A279,sinap!$A$2:$R$9000,3,FALSE)</f>
        <v>TERNERO</v>
      </c>
      <c r="L279" s="15" t="str">
        <f>VLOOKUP(A279,sinap!$A$2:$R$9000,4,FALSE)</f>
        <v>ANGUS NEGRO</v>
      </c>
      <c r="M279" s="15" t="str">
        <f>VLOOKUP(A279,sinap!$A$2:$R$9000,5,FALSE)</f>
        <v>0 años 4 meses</v>
      </c>
      <c r="N279" s="15" t="str">
        <f>VLOOKUP(A279,sinap!$A$2:$R$9000,6,FALSE)</f>
        <v>11-09-2025</v>
      </c>
      <c r="O279" s="15" t="str">
        <f>VLOOKUP(A279,sinap!$A$2:$R$9000,7,FALSE)</f>
        <v>Vivo</v>
      </c>
      <c r="P279" s="15" t="str">
        <f>VLOOKUP(A279,sinap!$A$2:$R$9000,8,FALSE)</f>
        <v>11.1.01.0791</v>
      </c>
      <c r="Q279" s="15" t="str">
        <f>VLOOKUP(A279,sinap!$A$2:$R$9000,12,FALSE)</f>
        <v>11.1.01.0893</v>
      </c>
      <c r="R279" s="15" t="str">
        <f>VLOOKUP(A279,sinap!$A$2:$R$9000,16,FALSE)</f>
        <v>11.1.01.0893</v>
      </c>
      <c r="S279" s="15" t="str">
        <f>VLOOKUP(A279,sinap!$A$2:$Y$9000,20,FALSE)</f>
        <v>SI</v>
      </c>
      <c r="T279" s="16">
        <v>45989</v>
      </c>
    </row>
    <row r="280" spans="1:20" x14ac:dyDescent="0.25">
      <c r="A280" s="15">
        <v>26234368</v>
      </c>
      <c r="J280" s="15" t="str">
        <f>VLOOKUP(A280,sinap!$A$2:$R$9000,2,FALSE)</f>
        <v>M</v>
      </c>
      <c r="K280" s="15" t="str">
        <f>VLOOKUP(A280,sinap!$A$2:$R$9000,3,FALSE)</f>
        <v>TERNERO</v>
      </c>
      <c r="L280" s="15" t="str">
        <f>VLOOKUP(A280,sinap!$A$2:$R$9000,4,FALSE)</f>
        <v>ANGUS NEGRO</v>
      </c>
      <c r="M280" s="15" t="str">
        <f>VLOOKUP(A280,sinap!$A$2:$R$9000,5,FALSE)</f>
        <v>0 años 4 meses</v>
      </c>
      <c r="N280" s="15" t="str">
        <f>VLOOKUP(A280,sinap!$A$2:$R$9000,6,FALSE)</f>
        <v>11-09-2025</v>
      </c>
      <c r="O280" s="15" t="str">
        <f>VLOOKUP(A280,sinap!$A$2:$R$9000,7,FALSE)</f>
        <v>Vivo</v>
      </c>
      <c r="P280" s="15" t="str">
        <f>VLOOKUP(A280,sinap!$A$2:$R$9000,8,FALSE)</f>
        <v>11.2.01.0038</v>
      </c>
      <c r="Q280" s="15" t="str">
        <f>VLOOKUP(A280,sinap!$A$2:$R$9000,12,FALSE)</f>
        <v>11.1.01.0893</v>
      </c>
      <c r="R280" s="15" t="str">
        <f>VLOOKUP(A280,sinap!$A$2:$R$9000,16,FALSE)</f>
        <v>11.1.01.0893</v>
      </c>
      <c r="S280" s="15" t="str">
        <f>VLOOKUP(A280,sinap!$A$2:$Y$9000,20,FALSE)</f>
        <v>SI</v>
      </c>
      <c r="T280" s="16">
        <v>45989</v>
      </c>
    </row>
    <row r="281" spans="1:20" x14ac:dyDescent="0.25">
      <c r="A281" s="15">
        <v>26234369</v>
      </c>
      <c r="J281" s="15" t="str">
        <f>VLOOKUP(A281,sinap!$A$2:$R$9000,2,FALSE)</f>
        <v>H</v>
      </c>
      <c r="K281" s="15" t="str">
        <f>VLOOKUP(A281,sinap!$A$2:$R$9000,3,FALSE)</f>
        <v>TERNERA</v>
      </c>
      <c r="L281" s="15" t="str">
        <f>VLOOKUP(A281,sinap!$A$2:$R$9000,4,FALSE)</f>
        <v>ANGUS NEGRO</v>
      </c>
      <c r="M281" s="15" t="str">
        <f>VLOOKUP(A281,sinap!$A$2:$R$9000,5,FALSE)</f>
        <v>0 años 4 meses</v>
      </c>
      <c r="N281" s="15" t="str">
        <f>VLOOKUP(A281,sinap!$A$2:$R$9000,6,FALSE)</f>
        <v>11-09-2025</v>
      </c>
      <c r="O281" s="15" t="str">
        <f>VLOOKUP(A281,sinap!$A$2:$R$9000,7,FALSE)</f>
        <v>Vivo</v>
      </c>
      <c r="P281" s="15" t="str">
        <f>VLOOKUP(A281,sinap!$A$2:$R$9000,8,FALSE)</f>
        <v>11.2.01.0038</v>
      </c>
      <c r="Q281" s="15" t="str">
        <f>VLOOKUP(A281,sinap!$A$2:$R$9000,12,FALSE)</f>
        <v>11.1.01.0893</v>
      </c>
      <c r="R281" s="15" t="str">
        <f>VLOOKUP(A281,sinap!$A$2:$R$9000,16,FALSE)</f>
        <v>11.1.01.0893</v>
      </c>
      <c r="S281" s="15" t="str">
        <f>VLOOKUP(A281,sinap!$A$2:$Y$9000,20,FALSE)</f>
        <v>SI</v>
      </c>
      <c r="T281" s="16">
        <v>45989</v>
      </c>
    </row>
    <row r="282" spans="1:20" x14ac:dyDescent="0.25">
      <c r="A282" s="15">
        <v>26234370</v>
      </c>
      <c r="J282" s="15" t="str">
        <f>VLOOKUP(A282,sinap!$A$2:$R$9000,2,FALSE)</f>
        <v>M</v>
      </c>
      <c r="K282" s="15" t="str">
        <f>VLOOKUP(A282,sinap!$A$2:$R$9000,3,FALSE)</f>
        <v>TERNERO</v>
      </c>
      <c r="L282" s="15" t="str">
        <f>VLOOKUP(A282,sinap!$A$2:$R$9000,4,FALSE)</f>
        <v>ANGUS NEGRO</v>
      </c>
      <c r="M282" s="15" t="str">
        <f>VLOOKUP(A282,sinap!$A$2:$R$9000,5,FALSE)</f>
        <v>0 años 3 meses</v>
      </c>
      <c r="N282" s="15" t="str">
        <f>VLOOKUP(A282,sinap!$A$2:$R$9000,6,FALSE)</f>
        <v>05-10-2025</v>
      </c>
      <c r="O282" s="15" t="str">
        <f>VLOOKUP(A282,sinap!$A$2:$R$9000,7,FALSE)</f>
        <v>Vivo</v>
      </c>
      <c r="P282" s="15" t="str">
        <f>VLOOKUP(A282,sinap!$A$2:$R$9000,8,FALSE)</f>
        <v>11.1.01.0791</v>
      </c>
      <c r="Q282" s="15" t="str">
        <f>VLOOKUP(A282,sinap!$A$2:$R$9000,12,FALSE)</f>
        <v>11.1.01.0893</v>
      </c>
      <c r="R282" s="15" t="str">
        <f>VLOOKUP(A282,sinap!$A$2:$R$9000,16,FALSE)</f>
        <v>11.1.01.0893</v>
      </c>
      <c r="S282" s="15" t="str">
        <f>VLOOKUP(A282,sinap!$A$2:$Y$9000,20,FALSE)</f>
        <v>SI</v>
      </c>
      <c r="T282" s="16">
        <v>45989</v>
      </c>
    </row>
    <row r="283" spans="1:20" x14ac:dyDescent="0.25">
      <c r="A283" s="15">
        <v>26234371</v>
      </c>
      <c r="J283" s="15" t="str">
        <f>VLOOKUP(A283,sinap!$A$2:$R$9000,2,FALSE)</f>
        <v>H</v>
      </c>
      <c r="K283" s="15" t="str">
        <f>VLOOKUP(A283,sinap!$A$2:$R$9000,3,FALSE)</f>
        <v>TERNERA</v>
      </c>
      <c r="L283" s="15" t="str">
        <f>VLOOKUP(A283,sinap!$A$2:$R$9000,4,FALSE)</f>
        <v>ANGUS NEGRO</v>
      </c>
      <c r="M283" s="15" t="str">
        <f>VLOOKUP(A283,sinap!$A$2:$R$9000,5,FALSE)</f>
        <v>0 años 4 meses</v>
      </c>
      <c r="N283" s="15" t="str">
        <f>VLOOKUP(A283,sinap!$A$2:$R$9000,6,FALSE)</f>
        <v>11-09-2025</v>
      </c>
      <c r="O283" s="15" t="str">
        <f>VLOOKUP(A283,sinap!$A$2:$R$9000,7,FALSE)</f>
        <v>Vivo</v>
      </c>
      <c r="P283" s="15" t="str">
        <f>VLOOKUP(A283,sinap!$A$2:$R$9000,8,FALSE)</f>
        <v>11.2.01.0038</v>
      </c>
      <c r="Q283" s="15" t="str">
        <f>VLOOKUP(A283,sinap!$A$2:$R$9000,12,FALSE)</f>
        <v>11.1.01.0893</v>
      </c>
      <c r="R283" s="15" t="str">
        <f>VLOOKUP(A283,sinap!$A$2:$R$9000,16,FALSE)</f>
        <v>11.1.01.0893</v>
      </c>
      <c r="S283" s="15" t="str">
        <f>VLOOKUP(A283,sinap!$A$2:$Y$9000,20,FALSE)</f>
        <v>SI</v>
      </c>
      <c r="T283" s="16">
        <v>45989</v>
      </c>
    </row>
    <row r="284" spans="1:20" x14ac:dyDescent="0.25">
      <c r="A284" s="15">
        <v>26234372</v>
      </c>
      <c r="J284" s="15" t="str">
        <f>VLOOKUP(A284,sinap!$A$2:$R$9000,2,FALSE)</f>
        <v>H</v>
      </c>
      <c r="K284" s="15" t="str">
        <f>VLOOKUP(A284,sinap!$A$2:$R$9000,3,FALSE)</f>
        <v>TERNERA</v>
      </c>
      <c r="L284" s="15" t="str">
        <f>VLOOKUP(A284,sinap!$A$2:$R$9000,4,FALSE)</f>
        <v>ANGUS NEGRO</v>
      </c>
      <c r="M284" s="15" t="str">
        <f>VLOOKUP(A284,sinap!$A$2:$R$9000,5,FALSE)</f>
        <v>0 años 3 meses</v>
      </c>
      <c r="N284" s="15" t="str">
        <f>VLOOKUP(A284,sinap!$A$2:$R$9000,6,FALSE)</f>
        <v>15-10-2025</v>
      </c>
      <c r="O284" s="15" t="str">
        <f>VLOOKUP(A284,sinap!$A$2:$R$9000,7,FALSE)</f>
        <v>Vivo</v>
      </c>
      <c r="P284" s="15" t="str">
        <f>VLOOKUP(A284,sinap!$A$2:$R$9000,8,FALSE)</f>
        <v>11.2.01.0038</v>
      </c>
      <c r="Q284" s="15" t="str">
        <f>VLOOKUP(A284,sinap!$A$2:$R$9000,12,FALSE)</f>
        <v>11.1.01.0893</v>
      </c>
      <c r="R284" s="15" t="str">
        <f>VLOOKUP(A284,sinap!$A$2:$R$9000,16,FALSE)</f>
        <v>11.1.01.0893</v>
      </c>
      <c r="S284" s="15" t="str">
        <f>VLOOKUP(A284,sinap!$A$2:$Y$9000,20,FALSE)</f>
        <v>SI</v>
      </c>
      <c r="T284" s="16">
        <v>45989</v>
      </c>
    </row>
    <row r="285" spans="1:20" x14ac:dyDescent="0.25">
      <c r="A285" s="15">
        <v>26234373</v>
      </c>
      <c r="J285" s="15" t="str">
        <f>VLOOKUP(A285,sinap!$A$2:$R$9000,2,FALSE)</f>
        <v>H</v>
      </c>
      <c r="K285" s="15" t="str">
        <f>VLOOKUP(A285,sinap!$A$2:$R$9000,3,FALSE)</f>
        <v>TERNERA</v>
      </c>
      <c r="L285" s="15" t="str">
        <f>VLOOKUP(A285,sinap!$A$2:$R$9000,4,FALSE)</f>
        <v>ANGUS NEGRO</v>
      </c>
      <c r="M285" s="15" t="str">
        <f>VLOOKUP(A285,sinap!$A$2:$R$9000,5,FALSE)</f>
        <v>0 años 3 meses</v>
      </c>
      <c r="N285" s="15" t="str">
        <f>VLOOKUP(A285,sinap!$A$2:$R$9000,6,FALSE)</f>
        <v>15-10-2025</v>
      </c>
      <c r="O285" s="15" t="str">
        <f>VLOOKUP(A285,sinap!$A$2:$R$9000,7,FALSE)</f>
        <v>Vivo</v>
      </c>
      <c r="P285" s="15" t="str">
        <f>VLOOKUP(A285,sinap!$A$2:$R$9000,8,FALSE)</f>
        <v>11.2.01.0038</v>
      </c>
      <c r="Q285" s="15" t="str">
        <f>VLOOKUP(A285,sinap!$A$2:$R$9000,12,FALSE)</f>
        <v>11.1.01.0893</v>
      </c>
      <c r="R285" s="15" t="str">
        <f>VLOOKUP(A285,sinap!$A$2:$R$9000,16,FALSE)</f>
        <v>11.1.01.0893</v>
      </c>
      <c r="S285" s="15" t="str">
        <f>VLOOKUP(A285,sinap!$A$2:$Y$9000,20,FALSE)</f>
        <v>SI</v>
      </c>
      <c r="T285" s="16">
        <v>45989</v>
      </c>
    </row>
    <row r="286" spans="1:20" x14ac:dyDescent="0.25">
      <c r="A286" s="15">
        <v>26234374</v>
      </c>
      <c r="J286" s="15" t="str">
        <f>VLOOKUP(A286,sinap!$A$2:$R$9000,2,FALSE)</f>
        <v>H</v>
      </c>
      <c r="K286" s="15" t="str">
        <f>VLOOKUP(A286,sinap!$A$2:$R$9000,3,FALSE)</f>
        <v>TERNERA</v>
      </c>
      <c r="L286" s="15" t="str">
        <f>VLOOKUP(A286,sinap!$A$2:$R$9000,4,FALSE)</f>
        <v>ANGUS ROJO</v>
      </c>
      <c r="M286" s="15" t="str">
        <f>VLOOKUP(A286,sinap!$A$2:$R$9000,5,FALSE)</f>
        <v>0 años 3 meses</v>
      </c>
      <c r="N286" s="15" t="str">
        <f>VLOOKUP(A286,sinap!$A$2:$R$9000,6,FALSE)</f>
        <v>15-10-2025</v>
      </c>
      <c r="O286" s="15" t="str">
        <f>VLOOKUP(A286,sinap!$A$2:$R$9000,7,FALSE)</f>
        <v>Vivo</v>
      </c>
      <c r="P286" s="15" t="str">
        <f>VLOOKUP(A286,sinap!$A$2:$R$9000,8,FALSE)</f>
        <v>11.2.01.0038</v>
      </c>
      <c r="Q286" s="15" t="str">
        <f>VLOOKUP(A286,sinap!$A$2:$R$9000,12,FALSE)</f>
        <v>11.1.01.0893</v>
      </c>
      <c r="R286" s="15" t="str">
        <f>VLOOKUP(A286,sinap!$A$2:$R$9000,16,FALSE)</f>
        <v>11.1.01.0893</v>
      </c>
      <c r="S286" s="15" t="str">
        <f>VLOOKUP(A286,sinap!$A$2:$Y$9000,20,FALSE)</f>
        <v>SI</v>
      </c>
      <c r="T286" s="16">
        <v>45989</v>
      </c>
    </row>
    <row r="287" spans="1:20" x14ac:dyDescent="0.25">
      <c r="A287" s="15">
        <v>26234375</v>
      </c>
      <c r="J287" s="15" t="str">
        <f>VLOOKUP(A287,sinap!$A$2:$R$9000,2,FALSE)</f>
        <v>H</v>
      </c>
      <c r="K287" s="15" t="str">
        <f>VLOOKUP(A287,sinap!$A$2:$R$9000,3,FALSE)</f>
        <v>TERNERA</v>
      </c>
      <c r="L287" s="15" t="str">
        <f>VLOOKUP(A287,sinap!$A$2:$R$9000,4,FALSE)</f>
        <v>ANGUS NEGRO</v>
      </c>
      <c r="M287" s="15" t="str">
        <f>VLOOKUP(A287,sinap!$A$2:$R$9000,5,FALSE)</f>
        <v>0 años 3 meses</v>
      </c>
      <c r="N287" s="15" t="str">
        <f>VLOOKUP(A287,sinap!$A$2:$R$9000,6,FALSE)</f>
        <v>15-10-2025</v>
      </c>
      <c r="O287" s="15" t="str">
        <f>VLOOKUP(A287,sinap!$A$2:$R$9000,7,FALSE)</f>
        <v>Vivo</v>
      </c>
      <c r="P287" s="15" t="str">
        <f>VLOOKUP(A287,sinap!$A$2:$R$9000,8,FALSE)</f>
        <v>11.1.01.0791</v>
      </c>
      <c r="Q287" s="15" t="str">
        <f>VLOOKUP(A287,sinap!$A$2:$R$9000,12,FALSE)</f>
        <v>11.1.01.0893</v>
      </c>
      <c r="R287" s="15" t="str">
        <f>VLOOKUP(A287,sinap!$A$2:$R$9000,16,FALSE)</f>
        <v>11.1.01.0893</v>
      </c>
      <c r="S287" s="15" t="str">
        <f>VLOOKUP(A287,sinap!$A$2:$Y$9000,20,FALSE)</f>
        <v>SI</v>
      </c>
      <c r="T287" s="16">
        <v>45989</v>
      </c>
    </row>
    <row r="288" spans="1:20" x14ac:dyDescent="0.25">
      <c r="A288" s="15">
        <v>26234376</v>
      </c>
      <c r="J288" s="15" t="str">
        <f>VLOOKUP(A288,sinap!$A$2:$R$9000,2,FALSE)</f>
        <v>H</v>
      </c>
      <c r="K288" s="15" t="str">
        <f>VLOOKUP(A288,sinap!$A$2:$R$9000,3,FALSE)</f>
        <v>TERNERA</v>
      </c>
      <c r="L288" s="15" t="str">
        <f>VLOOKUP(A288,sinap!$A$2:$R$9000,4,FALSE)</f>
        <v>ANGUS NEGRO</v>
      </c>
      <c r="M288" s="15" t="str">
        <f>VLOOKUP(A288,sinap!$A$2:$R$9000,5,FALSE)</f>
        <v>0 años 3 meses</v>
      </c>
      <c r="N288" s="15" t="str">
        <f>VLOOKUP(A288,sinap!$A$2:$R$9000,6,FALSE)</f>
        <v>15-10-2025</v>
      </c>
      <c r="O288" s="15" t="str">
        <f>VLOOKUP(A288,sinap!$A$2:$R$9000,7,FALSE)</f>
        <v>Vivo</v>
      </c>
      <c r="P288" s="15" t="str">
        <f>VLOOKUP(A288,sinap!$A$2:$R$9000,8,FALSE)</f>
        <v>11.2.01.0038</v>
      </c>
      <c r="Q288" s="15" t="str">
        <f>VLOOKUP(A288,sinap!$A$2:$R$9000,12,FALSE)</f>
        <v>11.1.01.0893</v>
      </c>
      <c r="R288" s="15" t="str">
        <f>VLOOKUP(A288,sinap!$A$2:$R$9000,16,FALSE)</f>
        <v>11.1.01.0893</v>
      </c>
      <c r="S288" s="15" t="str">
        <f>VLOOKUP(A288,sinap!$A$2:$Y$9000,20,FALSE)</f>
        <v>SI</v>
      </c>
      <c r="T288" s="16">
        <v>45989</v>
      </c>
    </row>
    <row r="289" spans="1:20" x14ac:dyDescent="0.25">
      <c r="A289" s="15">
        <v>26234377</v>
      </c>
      <c r="J289" s="15" t="str">
        <f>VLOOKUP(A289,sinap!$A$2:$R$9000,2,FALSE)</f>
        <v>H</v>
      </c>
      <c r="K289" s="15" t="str">
        <f>VLOOKUP(A289,sinap!$A$2:$R$9000,3,FALSE)</f>
        <v>TERNERA</v>
      </c>
      <c r="L289" s="15" t="str">
        <f>VLOOKUP(A289,sinap!$A$2:$R$9000,4,FALSE)</f>
        <v>ANGUS NEGRO</v>
      </c>
      <c r="M289" s="15" t="str">
        <f>VLOOKUP(A289,sinap!$A$2:$R$9000,5,FALSE)</f>
        <v>0 años 3 meses</v>
      </c>
      <c r="N289" s="15" t="str">
        <f>VLOOKUP(A289,sinap!$A$2:$R$9000,6,FALSE)</f>
        <v>15-10-2025</v>
      </c>
      <c r="O289" s="15" t="str">
        <f>VLOOKUP(A289,sinap!$A$2:$R$9000,7,FALSE)</f>
        <v>Vivo</v>
      </c>
      <c r="P289" s="15" t="str">
        <f>VLOOKUP(A289,sinap!$A$2:$R$9000,8,FALSE)</f>
        <v>11.2.01.0038</v>
      </c>
      <c r="Q289" s="15" t="str">
        <f>VLOOKUP(A289,sinap!$A$2:$R$9000,12,FALSE)</f>
        <v>11.1.01.0893</v>
      </c>
      <c r="R289" s="15" t="str">
        <f>VLOOKUP(A289,sinap!$A$2:$R$9000,16,FALSE)</f>
        <v>11.1.01.0893</v>
      </c>
      <c r="S289" s="15" t="str">
        <f>VLOOKUP(A289,sinap!$A$2:$Y$9000,20,FALSE)</f>
        <v>SI</v>
      </c>
      <c r="T289" s="16">
        <v>45989</v>
      </c>
    </row>
    <row r="290" spans="1:20" x14ac:dyDescent="0.25">
      <c r="A290" s="15">
        <v>26234378</v>
      </c>
      <c r="J290" s="15" t="str">
        <f>VLOOKUP(A290,sinap!$A$2:$R$9000,2,FALSE)</f>
        <v>M</v>
      </c>
      <c r="K290" s="15" t="str">
        <f>VLOOKUP(A290,sinap!$A$2:$R$9000,3,FALSE)</f>
        <v>TERNERO</v>
      </c>
      <c r="L290" s="15" t="str">
        <f>VLOOKUP(A290,sinap!$A$2:$R$9000,4,FALSE)</f>
        <v>ANGUS NEGRO</v>
      </c>
      <c r="M290" s="15" t="str">
        <f>VLOOKUP(A290,sinap!$A$2:$R$9000,5,FALSE)</f>
        <v>0 años 3 meses</v>
      </c>
      <c r="N290" s="15" t="str">
        <f>VLOOKUP(A290,sinap!$A$2:$R$9000,6,FALSE)</f>
        <v>15-10-2025</v>
      </c>
      <c r="O290" s="15" t="str">
        <f>VLOOKUP(A290,sinap!$A$2:$R$9000,7,FALSE)</f>
        <v>Vivo</v>
      </c>
      <c r="P290" s="15" t="str">
        <f>VLOOKUP(A290,sinap!$A$2:$R$9000,8,FALSE)</f>
        <v>11.2.01.0038</v>
      </c>
      <c r="Q290" s="15" t="str">
        <f>VLOOKUP(A290,sinap!$A$2:$R$9000,12,FALSE)</f>
        <v>11.1.01.0893</v>
      </c>
      <c r="R290" s="15" t="str">
        <f>VLOOKUP(A290,sinap!$A$2:$R$9000,16,FALSE)</f>
        <v>11.1.01.0893</v>
      </c>
      <c r="S290" s="15" t="str">
        <f>VLOOKUP(A290,sinap!$A$2:$Y$9000,20,FALSE)</f>
        <v>SI</v>
      </c>
      <c r="T290" s="16">
        <v>45989</v>
      </c>
    </row>
    <row r="291" spans="1:20" x14ac:dyDescent="0.25">
      <c r="A291" s="15">
        <v>26234379</v>
      </c>
      <c r="J291" s="15" t="str">
        <f>VLOOKUP(A291,sinap!$A$2:$R$9000,2,FALSE)</f>
        <v>M</v>
      </c>
      <c r="K291" s="15" t="str">
        <f>VLOOKUP(A291,sinap!$A$2:$R$9000,3,FALSE)</f>
        <v>TERNERO</v>
      </c>
      <c r="L291" s="15" t="str">
        <f>VLOOKUP(A291,sinap!$A$2:$R$9000,4,FALSE)</f>
        <v>ANGUS NEGRO</v>
      </c>
      <c r="M291" s="15" t="str">
        <f>VLOOKUP(A291,sinap!$A$2:$R$9000,5,FALSE)</f>
        <v>0 años 3 meses</v>
      </c>
      <c r="N291" s="15" t="str">
        <f>VLOOKUP(A291,sinap!$A$2:$R$9000,6,FALSE)</f>
        <v>15-10-2025</v>
      </c>
      <c r="O291" s="15" t="str">
        <f>VLOOKUP(A291,sinap!$A$2:$R$9000,7,FALSE)</f>
        <v>Vivo</v>
      </c>
      <c r="P291" s="15" t="str">
        <f>VLOOKUP(A291,sinap!$A$2:$R$9000,8,FALSE)</f>
        <v>11.1.01.0893</v>
      </c>
      <c r="Q291" s="15" t="str">
        <f>VLOOKUP(A291,sinap!$A$2:$R$9000,12,FALSE)</f>
        <v>Sin Movimiento</v>
      </c>
      <c r="R291" s="15" t="str">
        <f>VLOOKUP(A291,sinap!$A$2:$R$9000,16,FALSE)</f>
        <v>11.1.01.0893</v>
      </c>
      <c r="S291" s="15" t="str">
        <f>VLOOKUP(A291,sinap!$A$2:$Y$9000,20,FALSE)</f>
        <v>SI</v>
      </c>
      <c r="T291" s="16">
        <v>45989</v>
      </c>
    </row>
    <row r="292" spans="1:20" x14ac:dyDescent="0.25">
      <c r="A292" s="15">
        <v>26234380</v>
      </c>
      <c r="J292" s="15" t="str">
        <f>VLOOKUP(A292,sinap!$A$2:$R$9000,2,FALSE)</f>
        <v>M</v>
      </c>
      <c r="K292" s="15" t="str">
        <f>VLOOKUP(A292,sinap!$A$2:$R$9000,3,FALSE)</f>
        <v>TERNERO</v>
      </c>
      <c r="L292" s="15" t="str">
        <f>VLOOKUP(A292,sinap!$A$2:$R$9000,4,FALSE)</f>
        <v>ANGUS NEGRO</v>
      </c>
      <c r="M292" s="15" t="str">
        <f>VLOOKUP(A292,sinap!$A$2:$R$9000,5,FALSE)</f>
        <v>0 años 3 meses</v>
      </c>
      <c r="N292" s="15" t="str">
        <f>VLOOKUP(A292,sinap!$A$2:$R$9000,6,FALSE)</f>
        <v>15-10-2025</v>
      </c>
      <c r="O292" s="15" t="str">
        <f>VLOOKUP(A292,sinap!$A$2:$R$9000,7,FALSE)</f>
        <v>Vivo</v>
      </c>
      <c r="P292" s="15" t="str">
        <f>VLOOKUP(A292,sinap!$A$2:$R$9000,8,FALSE)</f>
        <v>11.2.01.0038</v>
      </c>
      <c r="Q292" s="15" t="str">
        <f>VLOOKUP(A292,sinap!$A$2:$R$9000,12,FALSE)</f>
        <v>11.1.01.0893</v>
      </c>
      <c r="R292" s="15" t="str">
        <f>VLOOKUP(A292,sinap!$A$2:$R$9000,16,FALSE)</f>
        <v>11.1.01.0893</v>
      </c>
      <c r="S292" s="15" t="str">
        <f>VLOOKUP(A292,sinap!$A$2:$Y$9000,20,FALSE)</f>
        <v>SI</v>
      </c>
      <c r="T292" s="16">
        <v>45989</v>
      </c>
    </row>
    <row r="293" spans="1:20" x14ac:dyDescent="0.25">
      <c r="A293" s="15">
        <v>26234381</v>
      </c>
      <c r="J293" s="15" t="str">
        <f>VLOOKUP(A293,sinap!$A$2:$R$9000,2,FALSE)</f>
        <v>M</v>
      </c>
      <c r="K293" s="15" t="str">
        <f>VLOOKUP(A293,sinap!$A$2:$R$9000,3,FALSE)</f>
        <v>TERNERO</v>
      </c>
      <c r="L293" s="15" t="str">
        <f>VLOOKUP(A293,sinap!$A$2:$R$9000,4,FALSE)</f>
        <v>ANGUS ROJO</v>
      </c>
      <c r="M293" s="15" t="str">
        <f>VLOOKUP(A293,sinap!$A$2:$R$9000,5,FALSE)</f>
        <v>0 años 3 meses</v>
      </c>
      <c r="N293" s="15" t="str">
        <f>VLOOKUP(A293,sinap!$A$2:$R$9000,6,FALSE)</f>
        <v>05-10-2025</v>
      </c>
      <c r="O293" s="15" t="str">
        <f>VLOOKUP(A293,sinap!$A$2:$R$9000,7,FALSE)</f>
        <v>Vivo</v>
      </c>
      <c r="P293" s="15" t="str">
        <f>VLOOKUP(A293,sinap!$A$2:$R$9000,8,FALSE)</f>
        <v>11.1.01.0893</v>
      </c>
      <c r="Q293" s="15" t="str">
        <f>VLOOKUP(A293,sinap!$A$2:$R$9000,12,FALSE)</f>
        <v>Sin Movimiento</v>
      </c>
      <c r="R293" s="15" t="str">
        <f>VLOOKUP(A293,sinap!$A$2:$R$9000,16,FALSE)</f>
        <v>11.1.01.0893</v>
      </c>
      <c r="S293" s="15" t="str">
        <f>VLOOKUP(A293,sinap!$A$2:$Y$9000,20,FALSE)</f>
        <v>SI</v>
      </c>
      <c r="T293" s="16">
        <v>45989</v>
      </c>
    </row>
    <row r="294" spans="1:20" x14ac:dyDescent="0.25">
      <c r="A294" s="15">
        <v>26234382</v>
      </c>
      <c r="J294" s="15" t="str">
        <f>VLOOKUP(A294,sinap!$A$2:$R$9000,2,FALSE)</f>
        <v>H</v>
      </c>
      <c r="K294" s="15" t="str">
        <f>VLOOKUP(A294,sinap!$A$2:$R$9000,3,FALSE)</f>
        <v>TERNERA</v>
      </c>
      <c r="L294" s="15" t="str">
        <f>VLOOKUP(A294,sinap!$A$2:$R$9000,4,FALSE)</f>
        <v>ANGUS NEGRO</v>
      </c>
      <c r="M294" s="15" t="str">
        <f>VLOOKUP(A294,sinap!$A$2:$R$9000,5,FALSE)</f>
        <v>0 años 3 meses</v>
      </c>
      <c r="N294" s="15" t="str">
        <f>VLOOKUP(A294,sinap!$A$2:$R$9000,6,FALSE)</f>
        <v>05-10-2025</v>
      </c>
      <c r="O294" s="15" t="str">
        <f>VLOOKUP(A294,sinap!$A$2:$R$9000,7,FALSE)</f>
        <v>Vivo</v>
      </c>
      <c r="P294" s="15" t="str">
        <f>VLOOKUP(A294,sinap!$A$2:$R$9000,8,FALSE)</f>
        <v>11.1.01.0791</v>
      </c>
      <c r="Q294" s="15" t="str">
        <f>VLOOKUP(A294,sinap!$A$2:$R$9000,12,FALSE)</f>
        <v>11.1.01.0893</v>
      </c>
      <c r="R294" s="15" t="str">
        <f>VLOOKUP(A294,sinap!$A$2:$R$9000,16,FALSE)</f>
        <v>11.1.01.0893</v>
      </c>
      <c r="S294" s="15" t="str">
        <f>VLOOKUP(A294,sinap!$A$2:$Y$9000,20,FALSE)</f>
        <v>SI</v>
      </c>
      <c r="T294" s="16">
        <v>45989</v>
      </c>
    </row>
    <row r="295" spans="1:20" x14ac:dyDescent="0.25">
      <c r="A295" s="15">
        <v>26234383</v>
      </c>
      <c r="J295" s="15" t="str">
        <f>VLOOKUP(A295,sinap!$A$2:$R$9000,2,FALSE)</f>
        <v>H</v>
      </c>
      <c r="K295" s="15" t="str">
        <f>VLOOKUP(A295,sinap!$A$2:$R$9000,3,FALSE)</f>
        <v>TERNERA</v>
      </c>
      <c r="L295" s="15" t="str">
        <f>VLOOKUP(A295,sinap!$A$2:$R$9000,4,FALSE)</f>
        <v>ANGUS NEGRO</v>
      </c>
      <c r="M295" s="15" t="str">
        <f>VLOOKUP(A295,sinap!$A$2:$R$9000,5,FALSE)</f>
        <v>0 años 4 meses</v>
      </c>
      <c r="N295" s="15" t="str">
        <f>VLOOKUP(A295,sinap!$A$2:$R$9000,6,FALSE)</f>
        <v>30-08-2025</v>
      </c>
      <c r="O295" s="15" t="str">
        <f>VLOOKUP(A295,sinap!$A$2:$R$9000,7,FALSE)</f>
        <v>Vivo</v>
      </c>
      <c r="P295" s="15" t="str">
        <f>VLOOKUP(A295,sinap!$A$2:$R$9000,8,FALSE)</f>
        <v>11.2.01.0038</v>
      </c>
      <c r="Q295" s="15" t="str">
        <f>VLOOKUP(A295,sinap!$A$2:$R$9000,12,FALSE)</f>
        <v>11.1.01.0893</v>
      </c>
      <c r="R295" s="15" t="str">
        <f>VLOOKUP(A295,sinap!$A$2:$R$9000,16,FALSE)</f>
        <v>11.1.01.0893</v>
      </c>
      <c r="S295" s="15" t="str">
        <f>VLOOKUP(A295,sinap!$A$2:$Y$9000,20,FALSE)</f>
        <v>SI</v>
      </c>
      <c r="T295" s="16">
        <v>45989</v>
      </c>
    </row>
    <row r="296" spans="1:20" x14ac:dyDescent="0.25">
      <c r="A296" s="15">
        <v>26234384</v>
      </c>
      <c r="J296" s="15" t="str">
        <f>VLOOKUP(A296,sinap!$A$2:$R$9000,2,FALSE)</f>
        <v>M</v>
      </c>
      <c r="K296" s="15" t="str">
        <f>VLOOKUP(A296,sinap!$A$2:$R$9000,3,FALSE)</f>
        <v>TERNERO</v>
      </c>
      <c r="L296" s="15" t="str">
        <f>VLOOKUP(A296,sinap!$A$2:$R$9000,4,FALSE)</f>
        <v>ANGUS NEGRO</v>
      </c>
      <c r="M296" s="15" t="str">
        <f>VLOOKUP(A296,sinap!$A$2:$R$9000,5,FALSE)</f>
        <v>0 años 3 meses</v>
      </c>
      <c r="N296" s="15" t="str">
        <f>VLOOKUP(A296,sinap!$A$2:$R$9000,6,FALSE)</f>
        <v>05-10-2025</v>
      </c>
      <c r="O296" s="15" t="str">
        <f>VLOOKUP(A296,sinap!$A$2:$R$9000,7,FALSE)</f>
        <v>Vivo</v>
      </c>
      <c r="P296" s="15" t="str">
        <f>VLOOKUP(A296,sinap!$A$2:$R$9000,8,FALSE)</f>
        <v>11.2.01.0038</v>
      </c>
      <c r="Q296" s="15" t="str">
        <f>VLOOKUP(A296,sinap!$A$2:$R$9000,12,FALSE)</f>
        <v>11.1.01.0893</v>
      </c>
      <c r="R296" s="15" t="str">
        <f>VLOOKUP(A296,sinap!$A$2:$R$9000,16,FALSE)</f>
        <v>11.1.01.0893</v>
      </c>
      <c r="S296" s="15" t="str">
        <f>VLOOKUP(A296,sinap!$A$2:$Y$9000,20,FALSE)</f>
        <v>SI</v>
      </c>
      <c r="T296" s="16">
        <v>45989</v>
      </c>
    </row>
    <row r="297" spans="1:20" x14ac:dyDescent="0.25">
      <c r="A297" s="15">
        <v>26234385</v>
      </c>
      <c r="J297" s="15" t="str">
        <f>VLOOKUP(A297,sinap!$A$2:$R$9000,2,FALSE)</f>
        <v>H</v>
      </c>
      <c r="K297" s="15" t="str">
        <f>VLOOKUP(A297,sinap!$A$2:$R$9000,3,FALSE)</f>
        <v>TERNERA</v>
      </c>
      <c r="L297" s="15" t="str">
        <f>VLOOKUP(A297,sinap!$A$2:$R$9000,4,FALSE)</f>
        <v>ANGUS NEGRO</v>
      </c>
      <c r="M297" s="15" t="str">
        <f>VLOOKUP(A297,sinap!$A$2:$R$9000,5,FALSE)</f>
        <v>0 años 4 meses</v>
      </c>
      <c r="N297" s="15" t="str">
        <f>VLOOKUP(A297,sinap!$A$2:$R$9000,6,FALSE)</f>
        <v>11-09-2025</v>
      </c>
      <c r="O297" s="15" t="str">
        <f>VLOOKUP(A297,sinap!$A$2:$R$9000,7,FALSE)</f>
        <v>Vivo</v>
      </c>
      <c r="P297" s="15" t="str">
        <f>VLOOKUP(A297,sinap!$A$2:$R$9000,8,FALSE)</f>
        <v>11.1.01.0893</v>
      </c>
      <c r="Q297" s="15" t="str">
        <f>VLOOKUP(A297,sinap!$A$2:$R$9000,12,FALSE)</f>
        <v>Sin Movimiento</v>
      </c>
      <c r="R297" s="15" t="str">
        <f>VLOOKUP(A297,sinap!$A$2:$R$9000,16,FALSE)</f>
        <v>11.1.01.0893</v>
      </c>
      <c r="S297" s="15" t="str">
        <f>VLOOKUP(A297,sinap!$A$2:$Y$9000,20,FALSE)</f>
        <v>SI</v>
      </c>
      <c r="T297" s="16">
        <v>45989</v>
      </c>
    </row>
    <row r="298" spans="1:20" x14ac:dyDescent="0.25">
      <c r="A298" s="15">
        <v>26234386</v>
      </c>
      <c r="J298" s="15" t="str">
        <f>VLOOKUP(A298,sinap!$A$2:$R$9000,2,FALSE)</f>
        <v>H</v>
      </c>
      <c r="K298" s="15" t="str">
        <f>VLOOKUP(A298,sinap!$A$2:$R$9000,3,FALSE)</f>
        <v>TERNERA</v>
      </c>
      <c r="L298" s="15" t="str">
        <f>VLOOKUP(A298,sinap!$A$2:$R$9000,4,FALSE)</f>
        <v>ANGUS NEGRO</v>
      </c>
      <c r="M298" s="15" t="str">
        <f>VLOOKUP(A298,sinap!$A$2:$R$9000,5,FALSE)</f>
        <v>0 años 4 meses</v>
      </c>
      <c r="N298" s="15" t="str">
        <f>VLOOKUP(A298,sinap!$A$2:$R$9000,6,FALSE)</f>
        <v>11-09-2025</v>
      </c>
      <c r="O298" s="15" t="str">
        <f>VLOOKUP(A298,sinap!$A$2:$R$9000,7,FALSE)</f>
        <v>Vivo</v>
      </c>
      <c r="P298" s="15" t="str">
        <f>VLOOKUP(A298,sinap!$A$2:$R$9000,8,FALSE)</f>
        <v>11.2.01.0038</v>
      </c>
      <c r="Q298" s="15" t="str">
        <f>VLOOKUP(A298,sinap!$A$2:$R$9000,12,FALSE)</f>
        <v>11.1.01.0893</v>
      </c>
      <c r="R298" s="15" t="str">
        <f>VLOOKUP(A298,sinap!$A$2:$R$9000,16,FALSE)</f>
        <v>11.1.01.0893</v>
      </c>
      <c r="S298" s="15" t="str">
        <f>VLOOKUP(A298,sinap!$A$2:$Y$9000,20,FALSE)</f>
        <v>SI</v>
      </c>
      <c r="T298" s="16">
        <v>45989</v>
      </c>
    </row>
    <row r="299" spans="1:20" x14ac:dyDescent="0.25">
      <c r="A299" s="15">
        <v>26234387</v>
      </c>
      <c r="J299" s="15" t="str">
        <f>VLOOKUP(A299,sinap!$A$2:$R$9000,2,FALSE)</f>
        <v>M</v>
      </c>
      <c r="K299" s="15" t="str">
        <f>VLOOKUP(A299,sinap!$A$2:$R$9000,3,FALSE)</f>
        <v>TERNERO</v>
      </c>
      <c r="L299" s="15" t="str">
        <f>VLOOKUP(A299,sinap!$A$2:$R$9000,4,FALSE)</f>
        <v>ANGUS NEGRO</v>
      </c>
      <c r="M299" s="15" t="str">
        <f>VLOOKUP(A299,sinap!$A$2:$R$9000,5,FALSE)</f>
        <v>0 años 4 meses</v>
      </c>
      <c r="N299" s="15" t="str">
        <f>VLOOKUP(A299,sinap!$A$2:$R$9000,6,FALSE)</f>
        <v>11-09-2025</v>
      </c>
      <c r="O299" s="15" t="str">
        <f>VLOOKUP(A299,sinap!$A$2:$R$9000,7,FALSE)</f>
        <v>Vivo</v>
      </c>
      <c r="P299" s="15" t="str">
        <f>VLOOKUP(A299,sinap!$A$2:$R$9000,8,FALSE)</f>
        <v>11.1.01.0791</v>
      </c>
      <c r="Q299" s="15" t="str">
        <f>VLOOKUP(A299,sinap!$A$2:$R$9000,12,FALSE)</f>
        <v>11.1.01.0893</v>
      </c>
      <c r="R299" s="15" t="str">
        <f>VLOOKUP(A299,sinap!$A$2:$R$9000,16,FALSE)</f>
        <v>11.1.01.0893</v>
      </c>
      <c r="S299" s="15" t="str">
        <f>VLOOKUP(A299,sinap!$A$2:$Y$9000,20,FALSE)</f>
        <v>SI</v>
      </c>
      <c r="T299" s="16">
        <v>45989</v>
      </c>
    </row>
    <row r="300" spans="1:20" x14ac:dyDescent="0.25">
      <c r="A300" s="15">
        <v>26234388</v>
      </c>
      <c r="J300" s="15" t="str">
        <f>VLOOKUP(A300,sinap!$A$2:$R$9000,2,FALSE)</f>
        <v>H</v>
      </c>
      <c r="K300" s="15" t="str">
        <f>VLOOKUP(A300,sinap!$A$2:$R$9000,3,FALSE)</f>
        <v>TERNERA</v>
      </c>
      <c r="L300" s="15" t="str">
        <f>VLOOKUP(A300,sinap!$A$2:$R$9000,4,FALSE)</f>
        <v>ANGUS NEGRO</v>
      </c>
      <c r="M300" s="15" t="str">
        <f>VLOOKUP(A300,sinap!$A$2:$R$9000,5,FALSE)</f>
        <v>0 años 4 meses</v>
      </c>
      <c r="N300" s="15" t="str">
        <f>VLOOKUP(A300,sinap!$A$2:$R$9000,6,FALSE)</f>
        <v>11-09-2025</v>
      </c>
      <c r="O300" s="15" t="str">
        <f>VLOOKUP(A300,sinap!$A$2:$R$9000,7,FALSE)</f>
        <v>Vivo</v>
      </c>
      <c r="P300" s="15" t="str">
        <f>VLOOKUP(A300,sinap!$A$2:$R$9000,8,FALSE)</f>
        <v>11.2.01.0038</v>
      </c>
      <c r="Q300" s="15" t="str">
        <f>VLOOKUP(A300,sinap!$A$2:$R$9000,12,FALSE)</f>
        <v>11.1.01.0893</v>
      </c>
      <c r="R300" s="15" t="str">
        <f>VLOOKUP(A300,sinap!$A$2:$R$9000,16,FALSE)</f>
        <v>11.1.01.0893</v>
      </c>
      <c r="S300" s="15" t="str">
        <f>VLOOKUP(A300,sinap!$A$2:$Y$9000,20,FALSE)</f>
        <v>SI</v>
      </c>
      <c r="T300" s="16">
        <v>45989</v>
      </c>
    </row>
    <row r="301" spans="1:20" x14ac:dyDescent="0.25">
      <c r="A301" s="15">
        <v>26234389</v>
      </c>
      <c r="J301" s="15" t="str">
        <f>VLOOKUP(A301,sinap!$A$2:$R$9000,2,FALSE)</f>
        <v>M</v>
      </c>
      <c r="K301" s="15" t="str">
        <f>VLOOKUP(A301,sinap!$A$2:$R$9000,3,FALSE)</f>
        <v>TERNERO</v>
      </c>
      <c r="L301" s="15" t="str">
        <f>VLOOKUP(A301,sinap!$A$2:$R$9000,4,FALSE)</f>
        <v>ANGUS NEGRO</v>
      </c>
      <c r="M301" s="15" t="str">
        <f>VLOOKUP(A301,sinap!$A$2:$R$9000,5,FALSE)</f>
        <v>0 años 4 meses</v>
      </c>
      <c r="N301" s="15" t="str">
        <f>VLOOKUP(A301,sinap!$A$2:$R$9000,6,FALSE)</f>
        <v>11-09-2025</v>
      </c>
      <c r="O301" s="15" t="str">
        <f>VLOOKUP(A301,sinap!$A$2:$R$9000,7,FALSE)</f>
        <v>Vivo</v>
      </c>
      <c r="P301" s="15" t="str">
        <f>VLOOKUP(A301,sinap!$A$2:$R$9000,8,FALSE)</f>
        <v>11.2.01.0038</v>
      </c>
      <c r="Q301" s="15" t="str">
        <f>VLOOKUP(A301,sinap!$A$2:$R$9000,12,FALSE)</f>
        <v>11.1.01.0893</v>
      </c>
      <c r="R301" s="15" t="str">
        <f>VLOOKUP(A301,sinap!$A$2:$R$9000,16,FALSE)</f>
        <v>11.1.01.0893</v>
      </c>
      <c r="S301" s="15" t="str">
        <f>VLOOKUP(A301,sinap!$A$2:$Y$9000,20,FALSE)</f>
        <v>SI</v>
      </c>
      <c r="T301" s="16">
        <v>45989</v>
      </c>
    </row>
    <row r="302" spans="1:20" x14ac:dyDescent="0.25">
      <c r="A302" s="15">
        <v>26234390</v>
      </c>
      <c r="J302" s="15" t="str">
        <f>VLOOKUP(A302,sinap!$A$2:$R$9000,2,FALSE)</f>
        <v>H</v>
      </c>
      <c r="K302" s="15" t="str">
        <f>VLOOKUP(A302,sinap!$A$2:$R$9000,3,FALSE)</f>
        <v>TERNERA</v>
      </c>
      <c r="L302" s="15" t="str">
        <f>VLOOKUP(A302,sinap!$A$2:$R$9000,4,FALSE)</f>
        <v>ANGUS NEGRO</v>
      </c>
      <c r="M302" s="15" t="str">
        <f>VLOOKUP(A302,sinap!$A$2:$R$9000,5,FALSE)</f>
        <v>0 años 4 meses</v>
      </c>
      <c r="N302" s="15" t="str">
        <f>VLOOKUP(A302,sinap!$A$2:$R$9000,6,FALSE)</f>
        <v>11-09-2025</v>
      </c>
      <c r="O302" s="15" t="str">
        <f>VLOOKUP(A302,sinap!$A$2:$R$9000,7,FALSE)</f>
        <v>Vivo</v>
      </c>
      <c r="P302" s="15" t="str">
        <f>VLOOKUP(A302,sinap!$A$2:$R$9000,8,FALSE)</f>
        <v>11.1.01.0791</v>
      </c>
      <c r="Q302" s="15" t="str">
        <f>VLOOKUP(A302,sinap!$A$2:$R$9000,12,FALSE)</f>
        <v>11.1.01.0893</v>
      </c>
      <c r="R302" s="15" t="str">
        <f>VLOOKUP(A302,sinap!$A$2:$R$9000,16,FALSE)</f>
        <v>11.1.01.0893</v>
      </c>
      <c r="S302" s="15" t="str">
        <f>VLOOKUP(A302,sinap!$A$2:$Y$9000,20,FALSE)</f>
        <v>SI</v>
      </c>
      <c r="T302" s="16">
        <v>45989</v>
      </c>
    </row>
    <row r="303" spans="1:20" x14ac:dyDescent="0.25">
      <c r="A303" s="15">
        <v>26234391</v>
      </c>
      <c r="J303" s="15" t="str">
        <f>VLOOKUP(A303,sinap!$A$2:$R$9000,2,FALSE)</f>
        <v>H</v>
      </c>
      <c r="K303" s="15" t="str">
        <f>VLOOKUP(A303,sinap!$A$2:$R$9000,3,FALSE)</f>
        <v>TERNERA</v>
      </c>
      <c r="L303" s="15" t="str">
        <f>VLOOKUP(A303,sinap!$A$2:$R$9000,4,FALSE)</f>
        <v>ANGUS NEGRO</v>
      </c>
      <c r="M303" s="15" t="str">
        <f>VLOOKUP(A303,sinap!$A$2:$R$9000,5,FALSE)</f>
        <v>0 años 4 meses</v>
      </c>
      <c r="N303" s="15" t="str">
        <f>VLOOKUP(A303,sinap!$A$2:$R$9000,6,FALSE)</f>
        <v>11-09-2025</v>
      </c>
      <c r="O303" s="15" t="str">
        <f>VLOOKUP(A303,sinap!$A$2:$R$9000,7,FALSE)</f>
        <v>Vivo</v>
      </c>
      <c r="P303" s="15" t="str">
        <f>VLOOKUP(A303,sinap!$A$2:$R$9000,8,FALSE)</f>
        <v>11.2.01.0038</v>
      </c>
      <c r="Q303" s="15" t="str">
        <f>VLOOKUP(A303,sinap!$A$2:$R$9000,12,FALSE)</f>
        <v>11.1.01.0893</v>
      </c>
      <c r="R303" s="15" t="str">
        <f>VLOOKUP(A303,sinap!$A$2:$R$9000,16,FALSE)</f>
        <v>11.1.01.0893</v>
      </c>
      <c r="S303" s="15" t="str">
        <f>VLOOKUP(A303,sinap!$A$2:$Y$9000,20,FALSE)</f>
        <v>SI</v>
      </c>
      <c r="T303" s="16">
        <v>45989</v>
      </c>
    </row>
    <row r="304" spans="1:20" x14ac:dyDescent="0.25">
      <c r="A304" s="15">
        <v>26234392</v>
      </c>
      <c r="J304" s="15" t="str">
        <f>VLOOKUP(A304,sinap!$A$2:$R$9000,2,FALSE)</f>
        <v>H</v>
      </c>
      <c r="K304" s="15" t="str">
        <f>VLOOKUP(A304,sinap!$A$2:$R$9000,3,FALSE)</f>
        <v>TERNERA</v>
      </c>
      <c r="L304" s="15" t="str">
        <f>VLOOKUP(A304,sinap!$A$2:$R$9000,4,FALSE)</f>
        <v>ANGUS NEGRO</v>
      </c>
      <c r="M304" s="15" t="str">
        <f>VLOOKUP(A304,sinap!$A$2:$R$9000,5,FALSE)</f>
        <v>0 años 4 meses</v>
      </c>
      <c r="N304" s="15" t="str">
        <f>VLOOKUP(A304,sinap!$A$2:$R$9000,6,FALSE)</f>
        <v>11-09-2025</v>
      </c>
      <c r="O304" s="15" t="str">
        <f>VLOOKUP(A304,sinap!$A$2:$R$9000,7,FALSE)</f>
        <v>Vivo</v>
      </c>
      <c r="P304" s="15" t="str">
        <f>VLOOKUP(A304,sinap!$A$2:$R$9000,8,FALSE)</f>
        <v>11.1.01.0791</v>
      </c>
      <c r="Q304" s="15" t="str">
        <f>VLOOKUP(A304,sinap!$A$2:$R$9000,12,FALSE)</f>
        <v>11.1.01.0893</v>
      </c>
      <c r="R304" s="15" t="str">
        <f>VLOOKUP(A304,sinap!$A$2:$R$9000,16,FALSE)</f>
        <v>11.1.01.0893</v>
      </c>
      <c r="S304" s="15" t="str">
        <f>VLOOKUP(A304,sinap!$A$2:$Y$9000,20,FALSE)</f>
        <v>SI</v>
      </c>
      <c r="T304" s="16">
        <v>45989</v>
      </c>
    </row>
    <row r="305" spans="1:20" x14ac:dyDescent="0.25">
      <c r="A305" s="15">
        <v>26234393</v>
      </c>
      <c r="J305" s="15" t="str">
        <f>VLOOKUP(A305,sinap!$A$2:$R$9000,2,FALSE)</f>
        <v>H</v>
      </c>
      <c r="K305" s="15" t="str">
        <f>VLOOKUP(A305,sinap!$A$2:$R$9000,3,FALSE)</f>
        <v>TERNERA</v>
      </c>
      <c r="L305" s="15" t="str">
        <f>VLOOKUP(A305,sinap!$A$2:$R$9000,4,FALSE)</f>
        <v>ANGUS NEGRO</v>
      </c>
      <c r="M305" s="15" t="str">
        <f>VLOOKUP(A305,sinap!$A$2:$R$9000,5,FALSE)</f>
        <v>0 años 4 meses</v>
      </c>
      <c r="N305" s="15" t="str">
        <f>VLOOKUP(A305,sinap!$A$2:$R$9000,6,FALSE)</f>
        <v>11-09-2025</v>
      </c>
      <c r="O305" s="15" t="str">
        <f>VLOOKUP(A305,sinap!$A$2:$R$9000,7,FALSE)</f>
        <v>Vivo</v>
      </c>
      <c r="P305" s="15" t="str">
        <f>VLOOKUP(A305,sinap!$A$2:$R$9000,8,FALSE)</f>
        <v>11.2.01.0038</v>
      </c>
      <c r="Q305" s="15" t="str">
        <f>VLOOKUP(A305,sinap!$A$2:$R$9000,12,FALSE)</f>
        <v>11.1.01.0893</v>
      </c>
      <c r="R305" s="15" t="str">
        <f>VLOOKUP(A305,sinap!$A$2:$R$9000,16,FALSE)</f>
        <v>11.1.01.0893</v>
      </c>
      <c r="S305" s="15" t="str">
        <f>VLOOKUP(A305,sinap!$A$2:$Y$9000,20,FALSE)</f>
        <v>SI</v>
      </c>
      <c r="T305" s="16">
        <v>45989</v>
      </c>
    </row>
    <row r="306" spans="1:20" x14ac:dyDescent="0.25">
      <c r="A306" s="15">
        <v>26234394</v>
      </c>
      <c r="J306" s="15" t="str">
        <f>VLOOKUP(A306,sinap!$A$2:$R$9000,2,FALSE)</f>
        <v>M</v>
      </c>
      <c r="K306" s="15" t="str">
        <f>VLOOKUP(A306,sinap!$A$2:$R$9000,3,FALSE)</f>
        <v>TERNERO</v>
      </c>
      <c r="L306" s="15" t="str">
        <f>VLOOKUP(A306,sinap!$A$2:$R$9000,4,FALSE)</f>
        <v>ANGUS ROJO</v>
      </c>
      <c r="M306" s="15" t="str">
        <f>VLOOKUP(A306,sinap!$A$2:$R$9000,5,FALSE)</f>
        <v>0 años 4 meses</v>
      </c>
      <c r="N306" s="15" t="str">
        <f>VLOOKUP(A306,sinap!$A$2:$R$9000,6,FALSE)</f>
        <v>11-09-2025</v>
      </c>
      <c r="O306" s="15" t="str">
        <f>VLOOKUP(A306,sinap!$A$2:$R$9000,7,FALSE)</f>
        <v>Vivo</v>
      </c>
      <c r="P306" s="15" t="str">
        <f>VLOOKUP(A306,sinap!$A$2:$R$9000,8,FALSE)</f>
        <v>11.2.01.0038</v>
      </c>
      <c r="Q306" s="15" t="str">
        <f>VLOOKUP(A306,sinap!$A$2:$R$9000,12,FALSE)</f>
        <v>11.1.01.0893</v>
      </c>
      <c r="R306" s="15" t="str">
        <f>VLOOKUP(A306,sinap!$A$2:$R$9000,16,FALSE)</f>
        <v>11.1.01.0893</v>
      </c>
      <c r="S306" s="15" t="str">
        <f>VLOOKUP(A306,sinap!$A$2:$Y$9000,20,FALSE)</f>
        <v>SI</v>
      </c>
      <c r="T306" s="16">
        <v>45989</v>
      </c>
    </row>
    <row r="307" spans="1:20" x14ac:dyDescent="0.25">
      <c r="A307" s="15">
        <v>26234395</v>
      </c>
      <c r="J307" s="15" t="str">
        <f>VLOOKUP(A307,sinap!$A$2:$R$9000,2,FALSE)</f>
        <v>H</v>
      </c>
      <c r="K307" s="15" t="str">
        <f>VLOOKUP(A307,sinap!$A$2:$R$9000,3,FALSE)</f>
        <v>TERNERA</v>
      </c>
      <c r="L307" s="15" t="str">
        <f>VLOOKUP(A307,sinap!$A$2:$R$9000,4,FALSE)</f>
        <v>ANGUS NEGRO</v>
      </c>
      <c r="M307" s="15" t="str">
        <f>VLOOKUP(A307,sinap!$A$2:$R$9000,5,FALSE)</f>
        <v>0 años 4 meses</v>
      </c>
      <c r="N307" s="15" t="str">
        <f>VLOOKUP(A307,sinap!$A$2:$R$9000,6,FALSE)</f>
        <v>11-09-2025</v>
      </c>
      <c r="O307" s="15" t="str">
        <f>VLOOKUP(A307,sinap!$A$2:$R$9000,7,FALSE)</f>
        <v>Vivo</v>
      </c>
      <c r="P307" s="15" t="str">
        <f>VLOOKUP(A307,sinap!$A$2:$R$9000,8,FALSE)</f>
        <v>11.2.01.0038</v>
      </c>
      <c r="Q307" s="15" t="str">
        <f>VLOOKUP(A307,sinap!$A$2:$R$9000,12,FALSE)</f>
        <v>11.1.01.0893</v>
      </c>
      <c r="R307" s="15" t="str">
        <f>VLOOKUP(A307,sinap!$A$2:$R$9000,16,FALSE)</f>
        <v>11.1.01.0893</v>
      </c>
      <c r="S307" s="15" t="str">
        <f>VLOOKUP(A307,sinap!$A$2:$Y$9000,20,FALSE)</f>
        <v>SI</v>
      </c>
      <c r="T307" s="16">
        <v>45989</v>
      </c>
    </row>
    <row r="308" spans="1:20" x14ac:dyDescent="0.25">
      <c r="A308" s="15">
        <v>26234396</v>
      </c>
      <c r="J308" s="15" t="str">
        <f>VLOOKUP(A308,sinap!$A$2:$R$9000,2,FALSE)</f>
        <v>H</v>
      </c>
      <c r="K308" s="15" t="str">
        <f>VLOOKUP(A308,sinap!$A$2:$R$9000,3,FALSE)</f>
        <v>TERNERA</v>
      </c>
      <c r="L308" s="15" t="str">
        <f>VLOOKUP(A308,sinap!$A$2:$R$9000,4,FALSE)</f>
        <v>ANGUS NEGRO</v>
      </c>
      <c r="M308" s="15" t="str">
        <f>VLOOKUP(A308,sinap!$A$2:$R$9000,5,FALSE)</f>
        <v>0 años 4 meses</v>
      </c>
      <c r="N308" s="15" t="str">
        <f>VLOOKUP(A308,sinap!$A$2:$R$9000,6,FALSE)</f>
        <v>11-09-2025</v>
      </c>
      <c r="O308" s="15" t="str">
        <f>VLOOKUP(A308,sinap!$A$2:$R$9000,7,FALSE)</f>
        <v>Vivo</v>
      </c>
      <c r="P308" s="15" t="str">
        <f>VLOOKUP(A308,sinap!$A$2:$R$9000,8,FALSE)</f>
        <v>11.2.01.0038</v>
      </c>
      <c r="Q308" s="15" t="str">
        <f>VLOOKUP(A308,sinap!$A$2:$R$9000,12,FALSE)</f>
        <v>11.1.01.0893</v>
      </c>
      <c r="R308" s="15" t="str">
        <f>VLOOKUP(A308,sinap!$A$2:$R$9000,16,FALSE)</f>
        <v>11.1.01.0893</v>
      </c>
      <c r="S308" s="15" t="str">
        <f>VLOOKUP(A308,sinap!$A$2:$Y$9000,20,FALSE)</f>
        <v>SI</v>
      </c>
      <c r="T308" s="16">
        <v>45989</v>
      </c>
    </row>
    <row r="309" spans="1:20" x14ac:dyDescent="0.25">
      <c r="A309" s="15">
        <v>26234397</v>
      </c>
      <c r="J309" s="15" t="str">
        <f>VLOOKUP(A309,sinap!$A$2:$R$9000,2,FALSE)</f>
        <v>M</v>
      </c>
      <c r="K309" s="15" t="str">
        <f>VLOOKUP(A309,sinap!$A$2:$R$9000,3,FALSE)</f>
        <v>TERNERO</v>
      </c>
      <c r="L309" s="15" t="str">
        <f>VLOOKUP(A309,sinap!$A$2:$R$9000,4,FALSE)</f>
        <v>ANGUS NEGRO</v>
      </c>
      <c r="M309" s="15" t="str">
        <f>VLOOKUP(A309,sinap!$A$2:$R$9000,5,FALSE)</f>
        <v>0 años 4 meses</v>
      </c>
      <c r="N309" s="15" t="str">
        <f>VLOOKUP(A309,sinap!$A$2:$R$9000,6,FALSE)</f>
        <v>11-09-2025</v>
      </c>
      <c r="O309" s="15" t="str">
        <f>VLOOKUP(A309,sinap!$A$2:$R$9000,7,FALSE)</f>
        <v>Vivo</v>
      </c>
      <c r="P309" s="15" t="str">
        <f>VLOOKUP(A309,sinap!$A$2:$R$9000,8,FALSE)</f>
        <v>11.2.01.0038</v>
      </c>
      <c r="Q309" s="15" t="str">
        <f>VLOOKUP(A309,sinap!$A$2:$R$9000,12,FALSE)</f>
        <v>11.1.01.0893</v>
      </c>
      <c r="R309" s="15" t="str">
        <f>VLOOKUP(A309,sinap!$A$2:$R$9000,16,FALSE)</f>
        <v>11.1.01.0893</v>
      </c>
      <c r="S309" s="15" t="str">
        <f>VLOOKUP(A309,sinap!$A$2:$Y$9000,20,FALSE)</f>
        <v>SI</v>
      </c>
      <c r="T309" s="16">
        <v>45989</v>
      </c>
    </row>
    <row r="310" spans="1:20" x14ac:dyDescent="0.25">
      <c r="A310" s="15">
        <v>26234398</v>
      </c>
      <c r="J310" s="15" t="str">
        <f>VLOOKUP(A310,sinap!$A$2:$R$9000,2,FALSE)</f>
        <v>H</v>
      </c>
      <c r="K310" s="15" t="str">
        <f>VLOOKUP(A310,sinap!$A$2:$R$9000,3,FALSE)</f>
        <v>TERNERA</v>
      </c>
      <c r="L310" s="15" t="str">
        <f>VLOOKUP(A310,sinap!$A$2:$R$9000,4,FALSE)</f>
        <v>ANGUS NEGRO</v>
      </c>
      <c r="M310" s="15" t="str">
        <f>VLOOKUP(A310,sinap!$A$2:$R$9000,5,FALSE)</f>
        <v>0 años 3 meses</v>
      </c>
      <c r="N310" s="15" t="str">
        <f>VLOOKUP(A310,sinap!$A$2:$R$9000,6,FALSE)</f>
        <v>05-10-2025</v>
      </c>
      <c r="O310" s="15" t="str">
        <f>VLOOKUP(A310,sinap!$A$2:$R$9000,7,FALSE)</f>
        <v>Vivo</v>
      </c>
      <c r="P310" s="15" t="str">
        <f>VLOOKUP(A310,sinap!$A$2:$R$9000,8,FALSE)</f>
        <v>11.1.01.0791</v>
      </c>
      <c r="Q310" s="15" t="str">
        <f>VLOOKUP(A310,sinap!$A$2:$R$9000,12,FALSE)</f>
        <v>11.1.01.0893</v>
      </c>
      <c r="R310" s="15" t="str">
        <f>VLOOKUP(A310,sinap!$A$2:$R$9000,16,FALSE)</f>
        <v>11.1.01.0893</v>
      </c>
      <c r="S310" s="15" t="str">
        <f>VLOOKUP(A310,sinap!$A$2:$Y$9000,20,FALSE)</f>
        <v>SI</v>
      </c>
      <c r="T310" s="16">
        <v>45989</v>
      </c>
    </row>
    <row r="311" spans="1:20" x14ac:dyDescent="0.25">
      <c r="A311" s="15">
        <v>26234399</v>
      </c>
      <c r="J311" s="15" t="str">
        <f>VLOOKUP(A311,sinap!$A$2:$R$9000,2,FALSE)</f>
        <v>H</v>
      </c>
      <c r="K311" s="15" t="str">
        <f>VLOOKUP(A311,sinap!$A$2:$R$9000,3,FALSE)</f>
        <v>TERNERA</v>
      </c>
      <c r="L311" s="15" t="str">
        <f>VLOOKUP(A311,sinap!$A$2:$R$9000,4,FALSE)</f>
        <v>ANGUS NEGRO</v>
      </c>
      <c r="M311" s="15" t="str">
        <f>VLOOKUP(A311,sinap!$A$2:$R$9000,5,FALSE)</f>
        <v>0 años 4 meses</v>
      </c>
      <c r="N311" s="15" t="str">
        <f>VLOOKUP(A311,sinap!$A$2:$R$9000,6,FALSE)</f>
        <v>11-09-2025</v>
      </c>
      <c r="O311" s="15" t="str">
        <f>VLOOKUP(A311,sinap!$A$2:$R$9000,7,FALSE)</f>
        <v>Vivo</v>
      </c>
      <c r="P311" s="15" t="str">
        <f>VLOOKUP(A311,sinap!$A$2:$R$9000,8,FALSE)</f>
        <v>11.2.01.0038</v>
      </c>
      <c r="Q311" s="15" t="str">
        <f>VLOOKUP(A311,sinap!$A$2:$R$9000,12,FALSE)</f>
        <v>11.1.01.0893</v>
      </c>
      <c r="R311" s="15" t="str">
        <f>VLOOKUP(A311,sinap!$A$2:$R$9000,16,FALSE)</f>
        <v>11.1.01.0893</v>
      </c>
      <c r="S311" s="15" t="str">
        <f>VLOOKUP(A311,sinap!$A$2:$Y$9000,20,FALSE)</f>
        <v>SI</v>
      </c>
      <c r="T311" s="16">
        <v>45989</v>
      </c>
    </row>
    <row r="312" spans="1:20" x14ac:dyDescent="0.25">
      <c r="A312" s="15">
        <v>26234400</v>
      </c>
      <c r="J312" s="15" t="str">
        <f>VLOOKUP(A312,sinap!$A$2:$R$9000,2,FALSE)</f>
        <v>H</v>
      </c>
      <c r="K312" s="15" t="str">
        <f>VLOOKUP(A312,sinap!$A$2:$R$9000,3,FALSE)</f>
        <v>TERNERA</v>
      </c>
      <c r="L312" s="15" t="str">
        <f>VLOOKUP(A312,sinap!$A$2:$R$9000,4,FALSE)</f>
        <v>ANGUS ROJO</v>
      </c>
      <c r="M312" s="15" t="str">
        <f>VLOOKUP(A312,sinap!$A$2:$R$9000,5,FALSE)</f>
        <v>0 años 4 meses</v>
      </c>
      <c r="N312" s="15" t="str">
        <f>VLOOKUP(A312,sinap!$A$2:$R$9000,6,FALSE)</f>
        <v>11-09-2025</v>
      </c>
      <c r="O312" s="15" t="str">
        <f>VLOOKUP(A312,sinap!$A$2:$R$9000,7,FALSE)</f>
        <v>Vivo</v>
      </c>
      <c r="P312" s="15" t="str">
        <f>VLOOKUP(A312,sinap!$A$2:$R$9000,8,FALSE)</f>
        <v>11.2.01.0038</v>
      </c>
      <c r="Q312" s="15" t="str">
        <f>VLOOKUP(A312,sinap!$A$2:$R$9000,12,FALSE)</f>
        <v>11.1.01.0893</v>
      </c>
      <c r="R312" s="15" t="str">
        <f>VLOOKUP(A312,sinap!$A$2:$R$9000,16,FALSE)</f>
        <v>11.1.01.0893</v>
      </c>
      <c r="S312" s="15" t="str">
        <f>VLOOKUP(A312,sinap!$A$2:$Y$9000,20,FALSE)</f>
        <v>SI</v>
      </c>
      <c r="T312" s="16">
        <v>45989</v>
      </c>
    </row>
    <row r="313" spans="1:20" x14ac:dyDescent="0.25">
      <c r="A313" s="15">
        <v>26234401</v>
      </c>
      <c r="J313" s="15" t="str">
        <f>VLOOKUP(A313,sinap!$A$2:$R$9000,2,FALSE)</f>
        <v>M</v>
      </c>
      <c r="K313" s="15" t="str">
        <f>VLOOKUP(A313,sinap!$A$2:$R$9000,3,FALSE)</f>
        <v>TERNERO</v>
      </c>
      <c r="L313" s="15" t="str">
        <f>VLOOKUP(A313,sinap!$A$2:$R$9000,4,FALSE)</f>
        <v>ANGUS NEGRO</v>
      </c>
      <c r="M313" s="15" t="str">
        <f>VLOOKUP(A313,sinap!$A$2:$R$9000,5,FALSE)</f>
        <v>0 años 4 meses</v>
      </c>
      <c r="N313" s="15" t="str">
        <f>VLOOKUP(A313,sinap!$A$2:$R$9000,6,FALSE)</f>
        <v>11-09-2025</v>
      </c>
      <c r="O313" s="15" t="str">
        <f>VLOOKUP(A313,sinap!$A$2:$R$9000,7,FALSE)</f>
        <v>Vivo</v>
      </c>
      <c r="P313" s="15" t="str">
        <f>VLOOKUP(A313,sinap!$A$2:$R$9000,8,FALSE)</f>
        <v>11.1.01.0791</v>
      </c>
      <c r="Q313" s="15" t="str">
        <f>VLOOKUP(A313,sinap!$A$2:$R$9000,12,FALSE)</f>
        <v>11.1.01.0893</v>
      </c>
      <c r="R313" s="15" t="str">
        <f>VLOOKUP(A313,sinap!$A$2:$R$9000,16,FALSE)</f>
        <v>11.1.01.0893</v>
      </c>
      <c r="S313" s="15" t="str">
        <f>VLOOKUP(A313,sinap!$A$2:$Y$9000,20,FALSE)</f>
        <v>SI</v>
      </c>
      <c r="T313" s="16">
        <v>45989</v>
      </c>
    </row>
    <row r="314" spans="1:20" x14ac:dyDescent="0.25">
      <c r="A314" s="15">
        <v>26234402</v>
      </c>
      <c r="J314" s="15" t="str">
        <f>VLOOKUP(A314,sinap!$A$2:$R$9000,2,FALSE)</f>
        <v>M</v>
      </c>
      <c r="K314" s="15" t="str">
        <f>VLOOKUP(A314,sinap!$A$2:$R$9000,3,FALSE)</f>
        <v>TERNERO</v>
      </c>
      <c r="L314" s="15" t="str">
        <f>VLOOKUP(A314,sinap!$A$2:$R$9000,4,FALSE)</f>
        <v>ANGUS NEGRO</v>
      </c>
      <c r="M314" s="15" t="str">
        <f>VLOOKUP(A314,sinap!$A$2:$R$9000,5,FALSE)</f>
        <v>0 años 4 meses</v>
      </c>
      <c r="N314" s="15" t="str">
        <f>VLOOKUP(A314,sinap!$A$2:$R$9000,6,FALSE)</f>
        <v>11-09-2025</v>
      </c>
      <c r="O314" s="15" t="str">
        <f>VLOOKUP(A314,sinap!$A$2:$R$9000,7,FALSE)</f>
        <v>Vivo</v>
      </c>
      <c r="P314" s="15" t="str">
        <f>VLOOKUP(A314,sinap!$A$2:$R$9000,8,FALSE)</f>
        <v>11.2.01.0038</v>
      </c>
      <c r="Q314" s="15" t="str">
        <f>VLOOKUP(A314,sinap!$A$2:$R$9000,12,FALSE)</f>
        <v>11.1.01.0893</v>
      </c>
      <c r="R314" s="15" t="str">
        <f>VLOOKUP(A314,sinap!$A$2:$R$9000,16,FALSE)</f>
        <v>11.1.01.0893</v>
      </c>
      <c r="S314" s="15" t="str">
        <f>VLOOKUP(A314,sinap!$A$2:$Y$9000,20,FALSE)</f>
        <v>SI</v>
      </c>
      <c r="T314" s="16">
        <v>45989</v>
      </c>
    </row>
    <row r="315" spans="1:20" x14ac:dyDescent="0.25">
      <c r="A315" s="15">
        <v>26234403</v>
      </c>
      <c r="J315" s="15" t="str">
        <f>VLOOKUP(A315,sinap!$A$2:$R$9000,2,FALSE)</f>
        <v>M</v>
      </c>
      <c r="K315" s="15" t="str">
        <f>VLOOKUP(A315,sinap!$A$2:$R$9000,3,FALSE)</f>
        <v>TERNERO</v>
      </c>
      <c r="L315" s="15" t="str">
        <f>VLOOKUP(A315,sinap!$A$2:$R$9000,4,FALSE)</f>
        <v>ANGUS NEGRO</v>
      </c>
      <c r="M315" s="15" t="str">
        <f>VLOOKUP(A315,sinap!$A$2:$R$9000,5,FALSE)</f>
        <v>0 años 4 meses</v>
      </c>
      <c r="N315" s="15" t="str">
        <f>VLOOKUP(A315,sinap!$A$2:$R$9000,6,FALSE)</f>
        <v>11-09-2025</v>
      </c>
      <c r="O315" s="15" t="str">
        <f>VLOOKUP(A315,sinap!$A$2:$R$9000,7,FALSE)</f>
        <v>Vivo</v>
      </c>
      <c r="P315" s="15" t="str">
        <f>VLOOKUP(A315,sinap!$A$2:$R$9000,8,FALSE)</f>
        <v>11.2.01.0038</v>
      </c>
      <c r="Q315" s="15" t="str">
        <f>VLOOKUP(A315,sinap!$A$2:$R$9000,12,FALSE)</f>
        <v>11.1.01.0893</v>
      </c>
      <c r="R315" s="15" t="str">
        <f>VLOOKUP(A315,sinap!$A$2:$R$9000,16,FALSE)</f>
        <v>11.1.01.0893</v>
      </c>
      <c r="S315" s="15" t="str">
        <f>VLOOKUP(A315,sinap!$A$2:$Y$9000,20,FALSE)</f>
        <v>SI</v>
      </c>
      <c r="T315" s="16">
        <v>45989</v>
      </c>
    </row>
    <row r="316" spans="1:20" x14ac:dyDescent="0.25">
      <c r="A316" s="15">
        <v>26234404</v>
      </c>
      <c r="J316" s="15" t="str">
        <f>VLOOKUP(A316,sinap!$A$2:$R$9000,2,FALSE)</f>
        <v>M</v>
      </c>
      <c r="K316" s="15" t="str">
        <f>VLOOKUP(A316,sinap!$A$2:$R$9000,3,FALSE)</f>
        <v>TERNERO</v>
      </c>
      <c r="L316" s="15" t="str">
        <f>VLOOKUP(A316,sinap!$A$2:$R$9000,4,FALSE)</f>
        <v>ANGUS NEGRO</v>
      </c>
      <c r="M316" s="15" t="str">
        <f>VLOOKUP(A316,sinap!$A$2:$R$9000,5,FALSE)</f>
        <v>0 años 4 meses</v>
      </c>
      <c r="N316" s="15" t="str">
        <f>VLOOKUP(A316,sinap!$A$2:$R$9000,6,FALSE)</f>
        <v>11-09-2025</v>
      </c>
      <c r="O316" s="15" t="str">
        <f>VLOOKUP(A316,sinap!$A$2:$R$9000,7,FALSE)</f>
        <v>Vivo</v>
      </c>
      <c r="P316" s="15" t="str">
        <f>VLOOKUP(A316,sinap!$A$2:$R$9000,8,FALSE)</f>
        <v>11.2.01.0038</v>
      </c>
      <c r="Q316" s="15" t="str">
        <f>VLOOKUP(A316,sinap!$A$2:$R$9000,12,FALSE)</f>
        <v>11.1.01.0893</v>
      </c>
      <c r="R316" s="15" t="str">
        <f>VLOOKUP(A316,sinap!$A$2:$R$9000,16,FALSE)</f>
        <v>11.1.01.0893</v>
      </c>
      <c r="S316" s="15" t="str">
        <f>VLOOKUP(A316,sinap!$A$2:$Y$9000,20,FALSE)</f>
        <v>SI</v>
      </c>
      <c r="T316" s="16">
        <v>45989</v>
      </c>
    </row>
    <row r="317" spans="1:20" x14ac:dyDescent="0.25">
      <c r="A317" s="15">
        <v>26234405</v>
      </c>
      <c r="J317" s="15" t="str">
        <f>VLOOKUP(A317,sinap!$A$2:$R$9000,2,FALSE)</f>
        <v>M</v>
      </c>
      <c r="K317" s="15" t="str">
        <f>VLOOKUP(A317,sinap!$A$2:$R$9000,3,FALSE)</f>
        <v>TERNERO</v>
      </c>
      <c r="L317" s="15" t="str">
        <f>VLOOKUP(A317,sinap!$A$2:$R$9000,4,FALSE)</f>
        <v>ANGUS NEGRO</v>
      </c>
      <c r="M317" s="15" t="str">
        <f>VLOOKUP(A317,sinap!$A$2:$R$9000,5,FALSE)</f>
        <v>0 años 4 meses</v>
      </c>
      <c r="N317" s="15" t="str">
        <f>VLOOKUP(A317,sinap!$A$2:$R$9000,6,FALSE)</f>
        <v>11-09-2025</v>
      </c>
      <c r="O317" s="15" t="str">
        <f>VLOOKUP(A317,sinap!$A$2:$R$9000,7,FALSE)</f>
        <v>Vivo</v>
      </c>
      <c r="P317" s="15" t="str">
        <f>VLOOKUP(A317,sinap!$A$2:$R$9000,8,FALSE)</f>
        <v>11.2.01.0038</v>
      </c>
      <c r="Q317" s="15" t="str">
        <f>VLOOKUP(A317,sinap!$A$2:$R$9000,12,FALSE)</f>
        <v>11.1.01.0893</v>
      </c>
      <c r="R317" s="15" t="str">
        <f>VLOOKUP(A317,sinap!$A$2:$R$9000,16,FALSE)</f>
        <v>11.1.01.0893</v>
      </c>
      <c r="S317" s="15" t="str">
        <f>VLOOKUP(A317,sinap!$A$2:$Y$9000,20,FALSE)</f>
        <v>SI</v>
      </c>
      <c r="T317" s="16">
        <v>45989</v>
      </c>
    </row>
    <row r="318" spans="1:20" x14ac:dyDescent="0.25">
      <c r="A318" s="15">
        <v>26234406</v>
      </c>
      <c r="J318" s="15" t="str">
        <f>VLOOKUP(A318,sinap!$A$2:$R$9000,2,FALSE)</f>
        <v>M</v>
      </c>
      <c r="K318" s="15" t="str">
        <f>VLOOKUP(A318,sinap!$A$2:$R$9000,3,FALSE)</f>
        <v>TERNERO</v>
      </c>
      <c r="L318" s="15" t="str">
        <f>VLOOKUP(A318,sinap!$A$2:$R$9000,4,FALSE)</f>
        <v>ANGUS NEGRO</v>
      </c>
      <c r="M318" s="15" t="str">
        <f>VLOOKUP(A318,sinap!$A$2:$R$9000,5,FALSE)</f>
        <v>0 años 4 meses</v>
      </c>
      <c r="N318" s="15" t="str">
        <f>VLOOKUP(A318,sinap!$A$2:$R$9000,6,FALSE)</f>
        <v>11-09-2025</v>
      </c>
      <c r="O318" s="15" t="str">
        <f>VLOOKUP(A318,sinap!$A$2:$R$9000,7,FALSE)</f>
        <v>Vivo</v>
      </c>
      <c r="P318" s="15" t="str">
        <f>VLOOKUP(A318,sinap!$A$2:$R$9000,8,FALSE)</f>
        <v>11.1.01.0791</v>
      </c>
      <c r="Q318" s="15" t="str">
        <f>VLOOKUP(A318,sinap!$A$2:$R$9000,12,FALSE)</f>
        <v>11.1.01.0893</v>
      </c>
      <c r="R318" s="15" t="str">
        <f>VLOOKUP(A318,sinap!$A$2:$R$9000,16,FALSE)</f>
        <v>11.1.01.0893</v>
      </c>
      <c r="S318" s="15" t="str">
        <f>VLOOKUP(A318,sinap!$A$2:$Y$9000,20,FALSE)</f>
        <v>SI</v>
      </c>
      <c r="T318" s="16">
        <v>45989</v>
      </c>
    </row>
    <row r="319" spans="1:20" x14ac:dyDescent="0.25">
      <c r="A319" s="15">
        <v>26234407</v>
      </c>
      <c r="J319" s="15" t="str">
        <f>VLOOKUP(A319,sinap!$A$2:$R$9000,2,FALSE)</f>
        <v>M</v>
      </c>
      <c r="K319" s="15" t="str">
        <f>VLOOKUP(A319,sinap!$A$2:$R$9000,3,FALSE)</f>
        <v>TERNERO</v>
      </c>
      <c r="L319" s="15" t="str">
        <f>VLOOKUP(A319,sinap!$A$2:$R$9000,4,FALSE)</f>
        <v>ANGUS NEGRO</v>
      </c>
      <c r="M319" s="15" t="str">
        <f>VLOOKUP(A319,sinap!$A$2:$R$9000,5,FALSE)</f>
        <v>0 años 3 meses</v>
      </c>
      <c r="N319" s="15" t="str">
        <f>VLOOKUP(A319,sinap!$A$2:$R$9000,6,FALSE)</f>
        <v>05-10-2025</v>
      </c>
      <c r="O319" s="15" t="str">
        <f>VLOOKUP(A319,sinap!$A$2:$R$9000,7,FALSE)</f>
        <v>Vivo</v>
      </c>
      <c r="P319" s="15" t="str">
        <f>VLOOKUP(A319,sinap!$A$2:$R$9000,8,FALSE)</f>
        <v>11.2.01.0038</v>
      </c>
      <c r="Q319" s="15" t="str">
        <f>VLOOKUP(A319,sinap!$A$2:$R$9000,12,FALSE)</f>
        <v>11.1.01.0893</v>
      </c>
      <c r="R319" s="15" t="str">
        <f>VLOOKUP(A319,sinap!$A$2:$R$9000,16,FALSE)</f>
        <v>11.1.01.0893</v>
      </c>
      <c r="S319" s="15" t="str">
        <f>VLOOKUP(A319,sinap!$A$2:$Y$9000,20,FALSE)</f>
        <v>SI</v>
      </c>
      <c r="T319" s="16">
        <v>45989</v>
      </c>
    </row>
    <row r="320" spans="1:20" x14ac:dyDescent="0.25">
      <c r="A320" s="15">
        <v>26234408</v>
      </c>
      <c r="J320" s="15" t="str">
        <f>VLOOKUP(A320,sinap!$A$2:$R$9000,2,FALSE)</f>
        <v>M</v>
      </c>
      <c r="K320" s="15" t="str">
        <f>VLOOKUP(A320,sinap!$A$2:$R$9000,3,FALSE)</f>
        <v>TERNERO</v>
      </c>
      <c r="L320" s="15" t="str">
        <f>VLOOKUP(A320,sinap!$A$2:$R$9000,4,FALSE)</f>
        <v>ANGUS NEGRO</v>
      </c>
      <c r="M320" s="15" t="str">
        <f>VLOOKUP(A320,sinap!$A$2:$R$9000,5,FALSE)</f>
        <v>0 años 4 meses</v>
      </c>
      <c r="N320" s="15" t="str">
        <f>VLOOKUP(A320,sinap!$A$2:$R$9000,6,FALSE)</f>
        <v>11-09-2025</v>
      </c>
      <c r="O320" s="15" t="str">
        <f>VLOOKUP(A320,sinap!$A$2:$R$9000,7,FALSE)</f>
        <v>Vivo</v>
      </c>
      <c r="P320" s="15" t="str">
        <f>VLOOKUP(A320,sinap!$A$2:$R$9000,8,FALSE)</f>
        <v>11.2.01.0038</v>
      </c>
      <c r="Q320" s="15" t="str">
        <f>VLOOKUP(A320,sinap!$A$2:$R$9000,12,FALSE)</f>
        <v>11.1.01.0893</v>
      </c>
      <c r="R320" s="15" t="str">
        <f>VLOOKUP(A320,sinap!$A$2:$R$9000,16,FALSE)</f>
        <v>11.1.01.0893</v>
      </c>
      <c r="S320" s="15" t="str">
        <f>VLOOKUP(A320,sinap!$A$2:$Y$9000,20,FALSE)</f>
        <v>SI</v>
      </c>
      <c r="T320" s="16">
        <v>45989</v>
      </c>
    </row>
    <row r="321" spans="1:20" x14ac:dyDescent="0.25">
      <c r="A321" s="15">
        <v>26234409</v>
      </c>
      <c r="J321" s="15" t="str">
        <f>VLOOKUP(A321,sinap!$A$2:$R$9000,2,FALSE)</f>
        <v>M</v>
      </c>
      <c r="K321" s="15" t="str">
        <f>VLOOKUP(A321,sinap!$A$2:$R$9000,3,FALSE)</f>
        <v>TERNERO</v>
      </c>
      <c r="L321" s="15" t="str">
        <f>VLOOKUP(A321,sinap!$A$2:$R$9000,4,FALSE)</f>
        <v>ANGUS NEGRO</v>
      </c>
      <c r="M321" s="15" t="str">
        <f>VLOOKUP(A321,sinap!$A$2:$R$9000,5,FALSE)</f>
        <v>0 años 4 meses</v>
      </c>
      <c r="N321" s="15" t="str">
        <f>VLOOKUP(A321,sinap!$A$2:$R$9000,6,FALSE)</f>
        <v>11-09-2025</v>
      </c>
      <c r="O321" s="15" t="str">
        <f>VLOOKUP(A321,sinap!$A$2:$R$9000,7,FALSE)</f>
        <v>Vivo</v>
      </c>
      <c r="P321" s="15" t="str">
        <f>VLOOKUP(A321,sinap!$A$2:$R$9000,8,FALSE)</f>
        <v>11.2.01.0038</v>
      </c>
      <c r="Q321" s="15" t="str">
        <f>VLOOKUP(A321,sinap!$A$2:$R$9000,12,FALSE)</f>
        <v>11.1.01.0893</v>
      </c>
      <c r="R321" s="15" t="str">
        <f>VLOOKUP(A321,sinap!$A$2:$R$9000,16,FALSE)</f>
        <v>11.1.01.0893</v>
      </c>
      <c r="S321" s="15" t="str">
        <f>VLOOKUP(A321,sinap!$A$2:$Y$9000,20,FALSE)</f>
        <v>SI</v>
      </c>
      <c r="T321" s="16">
        <v>45989</v>
      </c>
    </row>
    <row r="322" spans="1:20" x14ac:dyDescent="0.25">
      <c r="A322" s="15">
        <v>26234410</v>
      </c>
      <c r="J322" s="15" t="str">
        <f>VLOOKUP(A322,sinap!$A$2:$R$9000,2,FALSE)</f>
        <v>M</v>
      </c>
      <c r="K322" s="15" t="str">
        <f>VLOOKUP(A322,sinap!$A$2:$R$9000,3,FALSE)</f>
        <v>TERNERO</v>
      </c>
      <c r="L322" s="15" t="str">
        <f>VLOOKUP(A322,sinap!$A$2:$R$9000,4,FALSE)</f>
        <v>ANGUS NEGRO</v>
      </c>
      <c r="M322" s="15" t="str">
        <f>VLOOKUP(A322,sinap!$A$2:$R$9000,5,FALSE)</f>
        <v>0 años 4 meses</v>
      </c>
      <c r="N322" s="15" t="str">
        <f>VLOOKUP(A322,sinap!$A$2:$R$9000,6,FALSE)</f>
        <v>11-09-2025</v>
      </c>
      <c r="O322" s="15" t="str">
        <f>VLOOKUP(A322,sinap!$A$2:$R$9000,7,FALSE)</f>
        <v>Vivo</v>
      </c>
      <c r="P322" s="15" t="str">
        <f>VLOOKUP(A322,sinap!$A$2:$R$9000,8,FALSE)</f>
        <v>11.1.01.0791</v>
      </c>
      <c r="Q322" s="15" t="str">
        <f>VLOOKUP(A322,sinap!$A$2:$R$9000,12,FALSE)</f>
        <v>11.1.01.0893</v>
      </c>
      <c r="R322" s="15" t="str">
        <f>VLOOKUP(A322,sinap!$A$2:$R$9000,16,FALSE)</f>
        <v>11.1.01.0893</v>
      </c>
      <c r="S322" s="15" t="str">
        <f>VLOOKUP(A322,sinap!$A$2:$Y$9000,20,FALSE)</f>
        <v>SI</v>
      </c>
      <c r="T322" s="16">
        <v>45989</v>
      </c>
    </row>
    <row r="323" spans="1:20" x14ac:dyDescent="0.25">
      <c r="A323" s="15">
        <v>26234411</v>
      </c>
      <c r="J323" s="15" t="str">
        <f>VLOOKUP(A323,sinap!$A$2:$R$9000,2,FALSE)</f>
        <v>M</v>
      </c>
      <c r="K323" s="15" t="str">
        <f>VLOOKUP(A323,sinap!$A$2:$R$9000,3,FALSE)</f>
        <v>TERNERO</v>
      </c>
      <c r="L323" s="15" t="str">
        <f>VLOOKUP(A323,sinap!$A$2:$R$9000,4,FALSE)</f>
        <v>ANGUS NEGRO</v>
      </c>
      <c r="M323" s="15" t="str">
        <f>VLOOKUP(A323,sinap!$A$2:$R$9000,5,FALSE)</f>
        <v>0 años 4 meses</v>
      </c>
      <c r="N323" s="15" t="str">
        <f>VLOOKUP(A323,sinap!$A$2:$R$9000,6,FALSE)</f>
        <v>11-09-2025</v>
      </c>
      <c r="O323" s="15" t="str">
        <f>VLOOKUP(A323,sinap!$A$2:$R$9000,7,FALSE)</f>
        <v>Vivo</v>
      </c>
      <c r="P323" s="15" t="str">
        <f>VLOOKUP(A323,sinap!$A$2:$R$9000,8,FALSE)</f>
        <v>11.1.01.0791</v>
      </c>
      <c r="Q323" s="15" t="str">
        <f>VLOOKUP(A323,sinap!$A$2:$R$9000,12,FALSE)</f>
        <v>11.1.01.0893</v>
      </c>
      <c r="R323" s="15" t="str">
        <f>VLOOKUP(A323,sinap!$A$2:$R$9000,16,FALSE)</f>
        <v>11.1.01.0893</v>
      </c>
      <c r="S323" s="15" t="str">
        <f>VLOOKUP(A323,sinap!$A$2:$Y$9000,20,FALSE)</f>
        <v>SI</v>
      </c>
      <c r="T323" s="16">
        <v>45989</v>
      </c>
    </row>
    <row r="324" spans="1:20" x14ac:dyDescent="0.25">
      <c r="A324" s="15">
        <v>26234412</v>
      </c>
      <c r="J324" s="15" t="str">
        <f>VLOOKUP(A324,sinap!$A$2:$R$9000,2,FALSE)</f>
        <v>H</v>
      </c>
      <c r="K324" s="15" t="str">
        <f>VLOOKUP(A324,sinap!$A$2:$R$9000,3,FALSE)</f>
        <v>TERNERA</v>
      </c>
      <c r="L324" s="15" t="str">
        <f>VLOOKUP(A324,sinap!$A$2:$R$9000,4,FALSE)</f>
        <v>ANGUS NEGRO</v>
      </c>
      <c r="M324" s="15" t="str">
        <f>VLOOKUP(A324,sinap!$A$2:$R$9000,5,FALSE)</f>
        <v>0 años 4 meses</v>
      </c>
      <c r="N324" s="15" t="str">
        <f>VLOOKUP(A324,sinap!$A$2:$R$9000,6,FALSE)</f>
        <v>11-09-2025</v>
      </c>
      <c r="O324" s="15" t="str">
        <f>VLOOKUP(A324,sinap!$A$2:$R$9000,7,FALSE)</f>
        <v>Vivo</v>
      </c>
      <c r="P324" s="15" t="str">
        <f>VLOOKUP(A324,sinap!$A$2:$R$9000,8,FALSE)</f>
        <v>11.1.01.0791</v>
      </c>
      <c r="Q324" s="15" t="str">
        <f>VLOOKUP(A324,sinap!$A$2:$R$9000,12,FALSE)</f>
        <v>11.1.01.0893</v>
      </c>
      <c r="R324" s="15" t="str">
        <f>VLOOKUP(A324,sinap!$A$2:$R$9000,16,FALSE)</f>
        <v>11.1.01.0893</v>
      </c>
      <c r="S324" s="15" t="str">
        <f>VLOOKUP(A324,sinap!$A$2:$Y$9000,20,FALSE)</f>
        <v>SI</v>
      </c>
      <c r="T324" s="16">
        <v>45989</v>
      </c>
    </row>
    <row r="325" spans="1:20" x14ac:dyDescent="0.25">
      <c r="A325" s="15">
        <v>26234413</v>
      </c>
      <c r="J325" s="15" t="str">
        <f>VLOOKUP(A325,sinap!$A$2:$R$9000,2,FALSE)</f>
        <v>H</v>
      </c>
      <c r="K325" s="15" t="str">
        <f>VLOOKUP(A325,sinap!$A$2:$R$9000,3,FALSE)</f>
        <v>TERNERA</v>
      </c>
      <c r="L325" s="15" t="str">
        <f>VLOOKUP(A325,sinap!$A$2:$R$9000,4,FALSE)</f>
        <v>ANGUS NEGRO</v>
      </c>
      <c r="M325" s="15" t="str">
        <f>VLOOKUP(A325,sinap!$A$2:$R$9000,5,FALSE)</f>
        <v>0 años 4 meses</v>
      </c>
      <c r="N325" s="15" t="str">
        <f>VLOOKUP(A325,sinap!$A$2:$R$9000,6,FALSE)</f>
        <v>11-09-2025</v>
      </c>
      <c r="O325" s="15" t="str">
        <f>VLOOKUP(A325,sinap!$A$2:$R$9000,7,FALSE)</f>
        <v>Vivo</v>
      </c>
      <c r="P325" s="15" t="str">
        <f>VLOOKUP(A325,sinap!$A$2:$R$9000,8,FALSE)</f>
        <v>11.2.01.0038</v>
      </c>
      <c r="Q325" s="15" t="str">
        <f>VLOOKUP(A325,sinap!$A$2:$R$9000,12,FALSE)</f>
        <v>11.1.01.0893</v>
      </c>
      <c r="R325" s="15" t="str">
        <f>VLOOKUP(A325,sinap!$A$2:$R$9000,16,FALSE)</f>
        <v>11.1.01.0893</v>
      </c>
      <c r="S325" s="15" t="str">
        <f>VLOOKUP(A325,sinap!$A$2:$Y$9000,20,FALSE)</f>
        <v>SI</v>
      </c>
      <c r="T325" s="16">
        <v>45989</v>
      </c>
    </row>
    <row r="326" spans="1:20" x14ac:dyDescent="0.25">
      <c r="A326" s="15">
        <v>26234414</v>
      </c>
      <c r="J326" s="15" t="str">
        <f>VLOOKUP(A326,sinap!$A$2:$R$9000,2,FALSE)</f>
        <v>H</v>
      </c>
      <c r="K326" s="15" t="str">
        <f>VLOOKUP(A326,sinap!$A$2:$R$9000,3,FALSE)</f>
        <v>TERNERA</v>
      </c>
      <c r="L326" s="15" t="str">
        <f>VLOOKUP(A326,sinap!$A$2:$R$9000,4,FALSE)</f>
        <v>ANGUS NEGRO</v>
      </c>
      <c r="M326" s="15" t="str">
        <f>VLOOKUP(A326,sinap!$A$2:$R$9000,5,FALSE)</f>
        <v>0 años 4 meses</v>
      </c>
      <c r="N326" s="15" t="str">
        <f>VLOOKUP(A326,sinap!$A$2:$R$9000,6,FALSE)</f>
        <v>11-09-2025</v>
      </c>
      <c r="O326" s="15" t="str">
        <f>VLOOKUP(A326,sinap!$A$2:$R$9000,7,FALSE)</f>
        <v>Vivo</v>
      </c>
      <c r="P326" s="15" t="str">
        <f>VLOOKUP(A326,sinap!$A$2:$R$9000,8,FALSE)</f>
        <v>11.2.01.0038</v>
      </c>
      <c r="Q326" s="15" t="str">
        <f>VLOOKUP(A326,sinap!$A$2:$R$9000,12,FALSE)</f>
        <v>11.1.01.0893</v>
      </c>
      <c r="R326" s="15" t="str">
        <f>VLOOKUP(A326,sinap!$A$2:$R$9000,16,FALSE)</f>
        <v>11.1.01.0893</v>
      </c>
      <c r="S326" s="15" t="str">
        <f>VLOOKUP(A326,sinap!$A$2:$Y$9000,20,FALSE)</f>
        <v>SI</v>
      </c>
      <c r="T326" s="16">
        <v>45989</v>
      </c>
    </row>
    <row r="327" spans="1:20" x14ac:dyDescent="0.25">
      <c r="A327" s="15">
        <v>26234415</v>
      </c>
      <c r="J327" s="15" t="str">
        <f>VLOOKUP(A327,sinap!$A$2:$R$9000,2,FALSE)</f>
        <v>M</v>
      </c>
      <c r="K327" s="15" t="str">
        <f>VLOOKUP(A327,sinap!$A$2:$R$9000,3,FALSE)</f>
        <v>TERNERO</v>
      </c>
      <c r="L327" s="15" t="str">
        <f>VLOOKUP(A327,sinap!$A$2:$R$9000,4,FALSE)</f>
        <v>ANGUS NEGRO</v>
      </c>
      <c r="M327" s="15" t="str">
        <f>VLOOKUP(A327,sinap!$A$2:$R$9000,5,FALSE)</f>
        <v>0 años 4 meses</v>
      </c>
      <c r="N327" s="15" t="str">
        <f>VLOOKUP(A327,sinap!$A$2:$R$9000,6,FALSE)</f>
        <v>11-09-2025</v>
      </c>
      <c r="O327" s="15" t="str">
        <f>VLOOKUP(A327,sinap!$A$2:$R$9000,7,FALSE)</f>
        <v>Vivo</v>
      </c>
      <c r="P327" s="15" t="str">
        <f>VLOOKUP(A327,sinap!$A$2:$R$9000,8,FALSE)</f>
        <v>11.1.01.0791</v>
      </c>
      <c r="Q327" s="15" t="str">
        <f>VLOOKUP(A327,sinap!$A$2:$R$9000,12,FALSE)</f>
        <v>11.1.01.0893</v>
      </c>
      <c r="R327" s="15" t="str">
        <f>VLOOKUP(A327,sinap!$A$2:$R$9000,16,FALSE)</f>
        <v>11.1.01.0893</v>
      </c>
      <c r="S327" s="15" t="str">
        <f>VLOOKUP(A327,sinap!$A$2:$Y$9000,20,FALSE)</f>
        <v>SI</v>
      </c>
      <c r="T327" s="16">
        <v>45989</v>
      </c>
    </row>
    <row r="328" spans="1:20" x14ac:dyDescent="0.25">
      <c r="A328" s="15">
        <v>26234416</v>
      </c>
      <c r="J328" s="15" t="str">
        <f>VLOOKUP(A328,sinap!$A$2:$R$9000,2,FALSE)</f>
        <v>M</v>
      </c>
      <c r="K328" s="15" t="str">
        <f>VLOOKUP(A328,sinap!$A$2:$R$9000,3,FALSE)</f>
        <v>TERNERO</v>
      </c>
      <c r="L328" s="15" t="str">
        <f>VLOOKUP(A328,sinap!$A$2:$R$9000,4,FALSE)</f>
        <v>ANGUS NEGRO</v>
      </c>
      <c r="M328" s="15" t="str">
        <f>VLOOKUP(A328,sinap!$A$2:$R$9000,5,FALSE)</f>
        <v>0 años 4 meses</v>
      </c>
      <c r="N328" s="15" t="str">
        <f>VLOOKUP(A328,sinap!$A$2:$R$9000,6,FALSE)</f>
        <v>11-09-2025</v>
      </c>
      <c r="O328" s="15" t="str">
        <f>VLOOKUP(A328,sinap!$A$2:$R$9000,7,FALSE)</f>
        <v>Vivo</v>
      </c>
      <c r="P328" s="15" t="str">
        <f>VLOOKUP(A328,sinap!$A$2:$R$9000,8,FALSE)</f>
        <v>11.1.01.0791</v>
      </c>
      <c r="Q328" s="15" t="str">
        <f>VLOOKUP(A328,sinap!$A$2:$R$9000,12,FALSE)</f>
        <v>11.1.01.0893</v>
      </c>
      <c r="R328" s="15" t="str">
        <f>VLOOKUP(A328,sinap!$A$2:$R$9000,16,FALSE)</f>
        <v>11.1.01.0893</v>
      </c>
      <c r="S328" s="15" t="str">
        <f>VLOOKUP(A328,sinap!$A$2:$Y$9000,20,FALSE)</f>
        <v>SI</v>
      </c>
      <c r="T328" s="16">
        <v>45989</v>
      </c>
    </row>
    <row r="329" spans="1:20" x14ac:dyDescent="0.25">
      <c r="A329" s="15">
        <v>26234417</v>
      </c>
      <c r="J329" s="15" t="str">
        <f>VLOOKUP(A329,sinap!$A$2:$R$9000,2,FALSE)</f>
        <v>H</v>
      </c>
      <c r="K329" s="15" t="str">
        <f>VLOOKUP(A329,sinap!$A$2:$R$9000,3,FALSE)</f>
        <v>TERNERA</v>
      </c>
      <c r="L329" s="15" t="str">
        <f>VLOOKUP(A329,sinap!$A$2:$R$9000,4,FALSE)</f>
        <v>ANGUS NEGRO</v>
      </c>
      <c r="M329" s="15" t="str">
        <f>VLOOKUP(A329,sinap!$A$2:$R$9000,5,FALSE)</f>
        <v>0 años 4 meses</v>
      </c>
      <c r="N329" s="15" t="str">
        <f>VLOOKUP(A329,sinap!$A$2:$R$9000,6,FALSE)</f>
        <v>11-09-2025</v>
      </c>
      <c r="O329" s="15" t="str">
        <f>VLOOKUP(A329,sinap!$A$2:$R$9000,7,FALSE)</f>
        <v>Vivo</v>
      </c>
      <c r="P329" s="15" t="str">
        <f>VLOOKUP(A329,sinap!$A$2:$R$9000,8,FALSE)</f>
        <v>11.2.01.0038</v>
      </c>
      <c r="Q329" s="15" t="str">
        <f>VLOOKUP(A329,sinap!$A$2:$R$9000,12,FALSE)</f>
        <v>11.1.01.0893</v>
      </c>
      <c r="R329" s="15" t="str">
        <f>VLOOKUP(A329,sinap!$A$2:$R$9000,16,FALSE)</f>
        <v>11.1.01.0893</v>
      </c>
      <c r="S329" s="15" t="str">
        <f>VLOOKUP(A329,sinap!$A$2:$Y$9000,20,FALSE)</f>
        <v>SI</v>
      </c>
      <c r="T329" s="16">
        <v>45989</v>
      </c>
    </row>
    <row r="330" spans="1:20" x14ac:dyDescent="0.25">
      <c r="A330" s="15">
        <v>26234418</v>
      </c>
      <c r="J330" s="15" t="str">
        <f>VLOOKUP(A330,sinap!$A$2:$R$9000,2,FALSE)</f>
        <v>H</v>
      </c>
      <c r="K330" s="15" t="str">
        <f>VLOOKUP(A330,sinap!$A$2:$R$9000,3,FALSE)</f>
        <v>TERNERA</v>
      </c>
      <c r="L330" s="15" t="str">
        <f>VLOOKUP(A330,sinap!$A$2:$R$9000,4,FALSE)</f>
        <v>ANGUS NEGRO</v>
      </c>
      <c r="M330" s="15" t="str">
        <f>VLOOKUP(A330,sinap!$A$2:$R$9000,5,FALSE)</f>
        <v>0 años 4 meses</v>
      </c>
      <c r="N330" s="15" t="str">
        <f>VLOOKUP(A330,sinap!$A$2:$R$9000,6,FALSE)</f>
        <v>11-09-2025</v>
      </c>
      <c r="O330" s="15" t="str">
        <f>VLOOKUP(A330,sinap!$A$2:$R$9000,7,FALSE)</f>
        <v>Vivo</v>
      </c>
      <c r="P330" s="15" t="str">
        <f>VLOOKUP(A330,sinap!$A$2:$R$9000,8,FALSE)</f>
        <v>11.1.01.0791</v>
      </c>
      <c r="Q330" s="15" t="str">
        <f>VLOOKUP(A330,sinap!$A$2:$R$9000,12,FALSE)</f>
        <v>11.1.01.0893</v>
      </c>
      <c r="R330" s="15" t="str">
        <f>VLOOKUP(A330,sinap!$A$2:$R$9000,16,FALSE)</f>
        <v>11.1.01.0893</v>
      </c>
      <c r="S330" s="15" t="str">
        <f>VLOOKUP(A330,sinap!$A$2:$Y$9000,20,FALSE)</f>
        <v>SI</v>
      </c>
      <c r="T330" s="16">
        <v>45989</v>
      </c>
    </row>
    <row r="331" spans="1:20" x14ac:dyDescent="0.25">
      <c r="A331" s="15">
        <v>26234419</v>
      </c>
      <c r="J331" s="15" t="str">
        <f>VLOOKUP(A331,sinap!$A$2:$R$9000,2,FALSE)</f>
        <v>H</v>
      </c>
      <c r="K331" s="15" t="str">
        <f>VLOOKUP(A331,sinap!$A$2:$R$9000,3,FALSE)</f>
        <v>TERNERA</v>
      </c>
      <c r="L331" s="15" t="str">
        <f>VLOOKUP(A331,sinap!$A$2:$R$9000,4,FALSE)</f>
        <v>ANGUS ROJO</v>
      </c>
      <c r="M331" s="15" t="str">
        <f>VLOOKUP(A331,sinap!$A$2:$R$9000,5,FALSE)</f>
        <v>0 años 4 meses</v>
      </c>
      <c r="N331" s="15" t="str">
        <f>VLOOKUP(A331,sinap!$A$2:$R$9000,6,FALSE)</f>
        <v>11-09-2025</v>
      </c>
      <c r="O331" s="15" t="str">
        <f>VLOOKUP(A331,sinap!$A$2:$R$9000,7,FALSE)</f>
        <v>Vivo</v>
      </c>
      <c r="P331" s="15" t="str">
        <f>VLOOKUP(A331,sinap!$A$2:$R$9000,8,FALSE)</f>
        <v>11.1.01.0791</v>
      </c>
      <c r="Q331" s="15" t="str">
        <f>VLOOKUP(A331,sinap!$A$2:$R$9000,12,FALSE)</f>
        <v>11.1.01.0893</v>
      </c>
      <c r="R331" s="15" t="str">
        <f>VLOOKUP(A331,sinap!$A$2:$R$9000,16,FALSE)</f>
        <v>11.1.01.0893</v>
      </c>
      <c r="S331" s="15" t="str">
        <f>VLOOKUP(A331,sinap!$A$2:$Y$9000,20,FALSE)</f>
        <v>SI</v>
      </c>
      <c r="T331" s="16">
        <v>45989</v>
      </c>
    </row>
    <row r="332" spans="1:20" x14ac:dyDescent="0.25">
      <c r="A332" s="15">
        <v>26234420</v>
      </c>
      <c r="J332" s="15" t="str">
        <f>VLOOKUP(A332,sinap!$A$2:$R$9000,2,FALSE)</f>
        <v>M</v>
      </c>
      <c r="K332" s="15" t="str">
        <f>VLOOKUP(A332,sinap!$A$2:$R$9000,3,FALSE)</f>
        <v>TERNERO</v>
      </c>
      <c r="L332" s="15" t="str">
        <f>VLOOKUP(A332,sinap!$A$2:$R$9000,4,FALSE)</f>
        <v>ANGUS NEGRO</v>
      </c>
      <c r="M332" s="15" t="str">
        <f>VLOOKUP(A332,sinap!$A$2:$R$9000,5,FALSE)</f>
        <v>0 años 4 meses</v>
      </c>
      <c r="N332" s="15" t="str">
        <f>VLOOKUP(A332,sinap!$A$2:$R$9000,6,FALSE)</f>
        <v>11-09-2025</v>
      </c>
      <c r="O332" s="15" t="str">
        <f>VLOOKUP(A332,sinap!$A$2:$R$9000,7,FALSE)</f>
        <v>Vivo</v>
      </c>
      <c r="P332" s="15" t="str">
        <f>VLOOKUP(A332,sinap!$A$2:$R$9000,8,FALSE)</f>
        <v>11.1.01.0791</v>
      </c>
      <c r="Q332" s="15" t="str">
        <f>VLOOKUP(A332,sinap!$A$2:$R$9000,12,FALSE)</f>
        <v>11.1.01.0893</v>
      </c>
      <c r="R332" s="15" t="str">
        <f>VLOOKUP(A332,sinap!$A$2:$R$9000,16,FALSE)</f>
        <v>11.1.01.0893</v>
      </c>
      <c r="S332" s="15" t="str">
        <f>VLOOKUP(A332,sinap!$A$2:$Y$9000,20,FALSE)</f>
        <v>SI</v>
      </c>
      <c r="T332" s="16">
        <v>45989</v>
      </c>
    </row>
    <row r="333" spans="1:20" x14ac:dyDescent="0.25">
      <c r="A333" s="15">
        <v>26234421</v>
      </c>
      <c r="J333" s="15" t="str">
        <f>VLOOKUP(A333,sinap!$A$2:$R$9000,2,FALSE)</f>
        <v>M</v>
      </c>
      <c r="K333" s="15" t="str">
        <f>VLOOKUP(A333,sinap!$A$2:$R$9000,3,FALSE)</f>
        <v>TERNERO</v>
      </c>
      <c r="L333" s="15" t="str">
        <f>VLOOKUP(A333,sinap!$A$2:$R$9000,4,FALSE)</f>
        <v>ANGUS NEGRO</v>
      </c>
      <c r="M333" s="15" t="str">
        <f>VLOOKUP(A333,sinap!$A$2:$R$9000,5,FALSE)</f>
        <v>0 años 4 meses</v>
      </c>
      <c r="N333" s="15" t="str">
        <f>VLOOKUP(A333,sinap!$A$2:$R$9000,6,FALSE)</f>
        <v>11-09-2025</v>
      </c>
      <c r="O333" s="15" t="str">
        <f>VLOOKUP(A333,sinap!$A$2:$R$9000,7,FALSE)</f>
        <v>Vivo</v>
      </c>
      <c r="P333" s="15" t="str">
        <f>VLOOKUP(A333,sinap!$A$2:$R$9000,8,FALSE)</f>
        <v>11.1.01.0791</v>
      </c>
      <c r="Q333" s="15" t="str">
        <f>VLOOKUP(A333,sinap!$A$2:$R$9000,12,FALSE)</f>
        <v>11.1.01.0893</v>
      </c>
      <c r="R333" s="15" t="str">
        <f>VLOOKUP(A333,sinap!$A$2:$R$9000,16,FALSE)</f>
        <v>11.1.01.0893</v>
      </c>
      <c r="S333" s="15" t="str">
        <f>VLOOKUP(A333,sinap!$A$2:$Y$9000,20,FALSE)</f>
        <v>SI</v>
      </c>
      <c r="T333" s="16">
        <v>45989</v>
      </c>
    </row>
    <row r="334" spans="1:20" x14ac:dyDescent="0.25">
      <c r="A334" s="15">
        <v>26234422</v>
      </c>
      <c r="J334" s="15" t="str">
        <f>VLOOKUP(A334,sinap!$A$2:$R$9000,2,FALSE)</f>
        <v>H</v>
      </c>
      <c r="K334" s="15" t="str">
        <f>VLOOKUP(A334,sinap!$A$2:$R$9000,3,FALSE)</f>
        <v>TERNERA</v>
      </c>
      <c r="L334" s="15" t="str">
        <f>VLOOKUP(A334,sinap!$A$2:$R$9000,4,FALSE)</f>
        <v>ANGUS ROJO</v>
      </c>
      <c r="M334" s="15" t="str">
        <f>VLOOKUP(A334,sinap!$A$2:$R$9000,5,FALSE)</f>
        <v>0 años 4 meses</v>
      </c>
      <c r="N334" s="15" t="str">
        <f>VLOOKUP(A334,sinap!$A$2:$R$9000,6,FALSE)</f>
        <v>11-09-2025</v>
      </c>
      <c r="O334" s="15" t="str">
        <f>VLOOKUP(A334,sinap!$A$2:$R$9000,7,FALSE)</f>
        <v>Vivo</v>
      </c>
      <c r="P334" s="15" t="str">
        <f>VLOOKUP(A334,sinap!$A$2:$R$9000,8,FALSE)</f>
        <v>11.2.01.0038</v>
      </c>
      <c r="Q334" s="15" t="str">
        <f>VLOOKUP(A334,sinap!$A$2:$R$9000,12,FALSE)</f>
        <v>11.1.01.0893</v>
      </c>
      <c r="R334" s="15" t="str">
        <f>VLOOKUP(A334,sinap!$A$2:$R$9000,16,FALSE)</f>
        <v>11.1.01.0893</v>
      </c>
      <c r="S334" s="15" t="str">
        <f>VLOOKUP(A334,sinap!$A$2:$Y$9000,20,FALSE)</f>
        <v>SI</v>
      </c>
      <c r="T334" s="16">
        <v>45989</v>
      </c>
    </row>
    <row r="335" spans="1:20" x14ac:dyDescent="0.25">
      <c r="A335" s="15">
        <v>26234423</v>
      </c>
      <c r="J335" s="15" t="str">
        <f>VLOOKUP(A335,sinap!$A$2:$R$9000,2,FALSE)</f>
        <v>M</v>
      </c>
      <c r="K335" s="15" t="str">
        <f>VLOOKUP(A335,sinap!$A$2:$R$9000,3,FALSE)</f>
        <v>TERNERO</v>
      </c>
      <c r="L335" s="15" t="str">
        <f>VLOOKUP(A335,sinap!$A$2:$R$9000,4,FALSE)</f>
        <v>ANGUS NEGRO</v>
      </c>
      <c r="M335" s="15" t="str">
        <f>VLOOKUP(A335,sinap!$A$2:$R$9000,5,FALSE)</f>
        <v>0 años 4 meses</v>
      </c>
      <c r="N335" s="15" t="str">
        <f>VLOOKUP(A335,sinap!$A$2:$R$9000,6,FALSE)</f>
        <v>11-09-2025</v>
      </c>
      <c r="O335" s="15" t="str">
        <f>VLOOKUP(A335,sinap!$A$2:$R$9000,7,FALSE)</f>
        <v>Vivo</v>
      </c>
      <c r="P335" s="15" t="str">
        <f>VLOOKUP(A335,sinap!$A$2:$R$9000,8,FALSE)</f>
        <v>11.1.01.0791</v>
      </c>
      <c r="Q335" s="15" t="str">
        <f>VLOOKUP(A335,sinap!$A$2:$R$9000,12,FALSE)</f>
        <v>11.1.01.0893</v>
      </c>
      <c r="R335" s="15" t="str">
        <f>VLOOKUP(A335,sinap!$A$2:$R$9000,16,FALSE)</f>
        <v>11.1.01.0893</v>
      </c>
      <c r="S335" s="15" t="str">
        <f>VLOOKUP(A335,sinap!$A$2:$Y$9000,20,FALSE)</f>
        <v>SI</v>
      </c>
      <c r="T335" s="16">
        <v>45989</v>
      </c>
    </row>
    <row r="336" spans="1:20" x14ac:dyDescent="0.25">
      <c r="A336" s="15">
        <v>26234424</v>
      </c>
      <c r="J336" s="15" t="str">
        <f>VLOOKUP(A336,sinap!$A$2:$R$9000,2,FALSE)</f>
        <v>H</v>
      </c>
      <c r="K336" s="15" t="str">
        <f>VLOOKUP(A336,sinap!$A$2:$R$9000,3,FALSE)</f>
        <v>TERNERA</v>
      </c>
      <c r="L336" s="15" t="str">
        <f>VLOOKUP(A336,sinap!$A$2:$R$9000,4,FALSE)</f>
        <v>ANGUS NEGRO</v>
      </c>
      <c r="M336" s="15" t="str">
        <f>VLOOKUP(A336,sinap!$A$2:$R$9000,5,FALSE)</f>
        <v>0 años 4 meses</v>
      </c>
      <c r="N336" s="15" t="str">
        <f>VLOOKUP(A336,sinap!$A$2:$R$9000,6,FALSE)</f>
        <v>11-09-2025</v>
      </c>
      <c r="O336" s="15" t="str">
        <f>VLOOKUP(A336,sinap!$A$2:$R$9000,7,FALSE)</f>
        <v>Vivo</v>
      </c>
      <c r="P336" s="15" t="str">
        <f>VLOOKUP(A336,sinap!$A$2:$R$9000,8,FALSE)</f>
        <v>11.2.01.0038</v>
      </c>
      <c r="Q336" s="15" t="str">
        <f>VLOOKUP(A336,sinap!$A$2:$R$9000,12,FALSE)</f>
        <v>11.1.01.0893</v>
      </c>
      <c r="R336" s="15" t="str">
        <f>VLOOKUP(A336,sinap!$A$2:$R$9000,16,FALSE)</f>
        <v>11.1.01.0893</v>
      </c>
      <c r="S336" s="15" t="str">
        <f>VLOOKUP(A336,sinap!$A$2:$Y$9000,20,FALSE)</f>
        <v>SI</v>
      </c>
      <c r="T336" s="16">
        <v>45989</v>
      </c>
    </row>
    <row r="337" spans="1:20" x14ac:dyDescent="0.25">
      <c r="A337" s="15">
        <v>26234425</v>
      </c>
      <c r="J337" s="15" t="str">
        <f>VLOOKUP(A337,sinap!$A$2:$R$9000,2,FALSE)</f>
        <v>H</v>
      </c>
      <c r="K337" s="15" t="str">
        <f>VLOOKUP(A337,sinap!$A$2:$R$9000,3,FALSE)</f>
        <v>TERNERA</v>
      </c>
      <c r="L337" s="15" t="str">
        <f>VLOOKUP(A337,sinap!$A$2:$R$9000,4,FALSE)</f>
        <v>ANGUS NEGRO</v>
      </c>
      <c r="M337" s="15" t="str">
        <f>VLOOKUP(A337,sinap!$A$2:$R$9000,5,FALSE)</f>
        <v>0 años 4 meses</v>
      </c>
      <c r="N337" s="15" t="str">
        <f>VLOOKUP(A337,sinap!$A$2:$R$9000,6,FALSE)</f>
        <v>11-09-2025</v>
      </c>
      <c r="O337" s="15" t="str">
        <f>VLOOKUP(A337,sinap!$A$2:$R$9000,7,FALSE)</f>
        <v>Vivo</v>
      </c>
      <c r="P337" s="15" t="str">
        <f>VLOOKUP(A337,sinap!$A$2:$R$9000,8,FALSE)</f>
        <v>11.1.01.0791</v>
      </c>
      <c r="Q337" s="15" t="str">
        <f>VLOOKUP(A337,sinap!$A$2:$R$9000,12,FALSE)</f>
        <v>11.1.01.0893</v>
      </c>
      <c r="R337" s="15" t="str">
        <f>VLOOKUP(A337,sinap!$A$2:$R$9000,16,FALSE)</f>
        <v>11.1.01.0893</v>
      </c>
      <c r="S337" s="15" t="str">
        <f>VLOOKUP(A337,sinap!$A$2:$Y$9000,20,FALSE)</f>
        <v>SI</v>
      </c>
      <c r="T337" s="16">
        <v>45989</v>
      </c>
    </row>
    <row r="338" spans="1:20" x14ac:dyDescent="0.25">
      <c r="A338" s="15">
        <v>26234426</v>
      </c>
      <c r="J338" s="15" t="str">
        <f>VLOOKUP(A338,sinap!$A$2:$R$9000,2,FALSE)</f>
        <v>H</v>
      </c>
      <c r="K338" s="15" t="str">
        <f>VLOOKUP(A338,sinap!$A$2:$R$9000,3,FALSE)</f>
        <v>TERNERA</v>
      </c>
      <c r="L338" s="15" t="str">
        <f>VLOOKUP(A338,sinap!$A$2:$R$9000,4,FALSE)</f>
        <v>ANGUS NEGRO</v>
      </c>
      <c r="M338" s="15" t="str">
        <f>VLOOKUP(A338,sinap!$A$2:$R$9000,5,FALSE)</f>
        <v>0 años 4 meses</v>
      </c>
      <c r="N338" s="15" t="str">
        <f>VLOOKUP(A338,sinap!$A$2:$R$9000,6,FALSE)</f>
        <v>11-09-2025</v>
      </c>
      <c r="O338" s="15" t="str">
        <f>VLOOKUP(A338,sinap!$A$2:$R$9000,7,FALSE)</f>
        <v>Vivo</v>
      </c>
      <c r="P338" s="15" t="str">
        <f>VLOOKUP(A338,sinap!$A$2:$R$9000,8,FALSE)</f>
        <v>11.2.01.0038</v>
      </c>
      <c r="Q338" s="15" t="str">
        <f>VLOOKUP(A338,sinap!$A$2:$R$9000,12,FALSE)</f>
        <v>11.1.01.0893</v>
      </c>
      <c r="R338" s="15" t="str">
        <f>VLOOKUP(A338,sinap!$A$2:$R$9000,16,FALSE)</f>
        <v>11.1.01.0893</v>
      </c>
      <c r="S338" s="15" t="str">
        <f>VLOOKUP(A338,sinap!$A$2:$Y$9000,20,FALSE)</f>
        <v>SI</v>
      </c>
      <c r="T338" s="16">
        <v>45989</v>
      </c>
    </row>
    <row r="339" spans="1:20" x14ac:dyDescent="0.25">
      <c r="A339" s="15">
        <v>26234427</v>
      </c>
      <c r="J339" s="15" t="str">
        <f>VLOOKUP(A339,sinap!$A$2:$R$9000,2,FALSE)</f>
        <v>M</v>
      </c>
      <c r="K339" s="15" t="str">
        <f>VLOOKUP(A339,sinap!$A$2:$R$9000,3,FALSE)</f>
        <v>TERNERO</v>
      </c>
      <c r="L339" s="15" t="str">
        <f>VLOOKUP(A339,sinap!$A$2:$R$9000,4,FALSE)</f>
        <v>ANGUS NEGRO</v>
      </c>
      <c r="M339" s="15" t="str">
        <f>VLOOKUP(A339,sinap!$A$2:$R$9000,5,FALSE)</f>
        <v>0 años 4 meses</v>
      </c>
      <c r="N339" s="15" t="str">
        <f>VLOOKUP(A339,sinap!$A$2:$R$9000,6,FALSE)</f>
        <v>11-09-2025</v>
      </c>
      <c r="O339" s="15" t="str">
        <f>VLOOKUP(A339,sinap!$A$2:$R$9000,7,FALSE)</f>
        <v>Vivo</v>
      </c>
      <c r="P339" s="15" t="str">
        <f>VLOOKUP(A339,sinap!$A$2:$R$9000,8,FALSE)</f>
        <v>11.1.01.0791</v>
      </c>
      <c r="Q339" s="15" t="str">
        <f>VLOOKUP(A339,sinap!$A$2:$R$9000,12,FALSE)</f>
        <v>11.1.01.0893</v>
      </c>
      <c r="R339" s="15" t="str">
        <f>VLOOKUP(A339,sinap!$A$2:$R$9000,16,FALSE)</f>
        <v>11.1.01.0893</v>
      </c>
      <c r="S339" s="15" t="str">
        <f>VLOOKUP(A339,sinap!$A$2:$Y$9000,20,FALSE)</f>
        <v>SI</v>
      </c>
      <c r="T339" s="16">
        <v>45989</v>
      </c>
    </row>
    <row r="340" spans="1:20" x14ac:dyDescent="0.25">
      <c r="A340" s="15">
        <v>26234428</v>
      </c>
      <c r="J340" s="15" t="str">
        <f>VLOOKUP(A340,sinap!$A$2:$R$9000,2,FALSE)</f>
        <v>H</v>
      </c>
      <c r="K340" s="15" t="str">
        <f>VLOOKUP(A340,sinap!$A$2:$R$9000,3,FALSE)</f>
        <v>TERNERA</v>
      </c>
      <c r="L340" s="15" t="str">
        <f>VLOOKUP(A340,sinap!$A$2:$R$9000,4,FALSE)</f>
        <v>ANGUS NEGRO</v>
      </c>
      <c r="M340" s="15" t="str">
        <f>VLOOKUP(A340,sinap!$A$2:$R$9000,5,FALSE)</f>
        <v>0 años 4 meses</v>
      </c>
      <c r="N340" s="15" t="str">
        <f>VLOOKUP(A340,sinap!$A$2:$R$9000,6,FALSE)</f>
        <v>11-09-2025</v>
      </c>
      <c r="O340" s="15" t="str">
        <f>VLOOKUP(A340,sinap!$A$2:$R$9000,7,FALSE)</f>
        <v>Vivo</v>
      </c>
      <c r="P340" s="15" t="str">
        <f>VLOOKUP(A340,sinap!$A$2:$R$9000,8,FALSE)</f>
        <v>11.2.01.0038</v>
      </c>
      <c r="Q340" s="15" t="str">
        <f>VLOOKUP(A340,sinap!$A$2:$R$9000,12,FALSE)</f>
        <v>11.1.01.0893</v>
      </c>
      <c r="R340" s="15" t="str">
        <f>VLOOKUP(A340,sinap!$A$2:$R$9000,16,FALSE)</f>
        <v>11.1.01.0893</v>
      </c>
      <c r="S340" s="15" t="str">
        <f>VLOOKUP(A340,sinap!$A$2:$Y$9000,20,FALSE)</f>
        <v>SI</v>
      </c>
      <c r="T340" s="16">
        <v>45989</v>
      </c>
    </row>
    <row r="341" spans="1:20" x14ac:dyDescent="0.25">
      <c r="A341" s="15">
        <v>26234429</v>
      </c>
      <c r="J341" s="15" t="str">
        <f>VLOOKUP(A341,sinap!$A$2:$R$9000,2,FALSE)</f>
        <v>M</v>
      </c>
      <c r="K341" s="15" t="str">
        <f>VLOOKUP(A341,sinap!$A$2:$R$9000,3,FALSE)</f>
        <v>TERNERO</v>
      </c>
      <c r="L341" s="15" t="str">
        <f>VLOOKUP(A341,sinap!$A$2:$R$9000,4,FALSE)</f>
        <v>ANGUS NEGRO</v>
      </c>
      <c r="M341" s="15" t="str">
        <f>VLOOKUP(A341,sinap!$A$2:$R$9000,5,FALSE)</f>
        <v>0 años 4 meses</v>
      </c>
      <c r="N341" s="15" t="str">
        <f>VLOOKUP(A341,sinap!$A$2:$R$9000,6,FALSE)</f>
        <v>11-09-2025</v>
      </c>
      <c r="O341" s="15" t="str">
        <f>VLOOKUP(A341,sinap!$A$2:$R$9000,7,FALSE)</f>
        <v>Vivo</v>
      </c>
      <c r="P341" s="15" t="str">
        <f>VLOOKUP(A341,sinap!$A$2:$R$9000,8,FALSE)</f>
        <v>11.1.01.0791</v>
      </c>
      <c r="Q341" s="15" t="str">
        <f>VLOOKUP(A341,sinap!$A$2:$R$9000,12,FALSE)</f>
        <v>11.1.01.0893</v>
      </c>
      <c r="R341" s="15" t="str">
        <f>VLOOKUP(A341,sinap!$A$2:$R$9000,16,FALSE)</f>
        <v>11.1.01.0893</v>
      </c>
      <c r="S341" s="15" t="str">
        <f>VLOOKUP(A341,sinap!$A$2:$Y$9000,20,FALSE)</f>
        <v>SI</v>
      </c>
      <c r="T341" s="16">
        <v>45989</v>
      </c>
    </row>
    <row r="342" spans="1:20" x14ac:dyDescent="0.25">
      <c r="A342" s="15">
        <v>26234430</v>
      </c>
      <c r="J342" s="15" t="str">
        <f>VLOOKUP(A342,sinap!$A$2:$R$9000,2,FALSE)</f>
        <v>M</v>
      </c>
      <c r="K342" s="15" t="str">
        <f>VLOOKUP(A342,sinap!$A$2:$R$9000,3,FALSE)</f>
        <v>TERNERO</v>
      </c>
      <c r="L342" s="15" t="str">
        <f>VLOOKUP(A342,sinap!$A$2:$R$9000,4,FALSE)</f>
        <v>ANGUS NEGRO</v>
      </c>
      <c r="M342" s="15" t="str">
        <f>VLOOKUP(A342,sinap!$A$2:$R$9000,5,FALSE)</f>
        <v>0 años 4 meses</v>
      </c>
      <c r="N342" s="15" t="str">
        <f>VLOOKUP(A342,sinap!$A$2:$R$9000,6,FALSE)</f>
        <v>11-09-2025</v>
      </c>
      <c r="O342" s="15" t="str">
        <f>VLOOKUP(A342,sinap!$A$2:$R$9000,7,FALSE)</f>
        <v>Vivo</v>
      </c>
      <c r="P342" s="15" t="str">
        <f>VLOOKUP(A342,sinap!$A$2:$R$9000,8,FALSE)</f>
        <v>11.1.01.0791</v>
      </c>
      <c r="Q342" s="15" t="str">
        <f>VLOOKUP(A342,sinap!$A$2:$R$9000,12,FALSE)</f>
        <v>11.1.01.0893</v>
      </c>
      <c r="R342" s="15" t="str">
        <f>VLOOKUP(A342,sinap!$A$2:$R$9000,16,FALSE)</f>
        <v>11.1.01.0893</v>
      </c>
      <c r="S342" s="15" t="str">
        <f>VLOOKUP(A342,sinap!$A$2:$Y$9000,20,FALSE)</f>
        <v>SI</v>
      </c>
      <c r="T342" s="16">
        <v>45989</v>
      </c>
    </row>
    <row r="343" spans="1:20" x14ac:dyDescent="0.25">
      <c r="A343" s="15">
        <v>26234431</v>
      </c>
      <c r="J343" s="15" t="str">
        <f>VLOOKUP(A343,sinap!$A$2:$R$9000,2,FALSE)</f>
        <v>M</v>
      </c>
      <c r="K343" s="15" t="str">
        <f>VLOOKUP(A343,sinap!$A$2:$R$9000,3,FALSE)</f>
        <v>TERNERO</v>
      </c>
      <c r="L343" s="15" t="str">
        <f>VLOOKUP(A343,sinap!$A$2:$R$9000,4,FALSE)</f>
        <v>ANGUS NEGRO</v>
      </c>
      <c r="M343" s="15" t="str">
        <f>VLOOKUP(A343,sinap!$A$2:$R$9000,5,FALSE)</f>
        <v>0 años 4 meses</v>
      </c>
      <c r="N343" s="15" t="str">
        <f>VLOOKUP(A343,sinap!$A$2:$R$9000,6,FALSE)</f>
        <v>11-09-2025</v>
      </c>
      <c r="O343" s="15" t="str">
        <f>VLOOKUP(A343,sinap!$A$2:$R$9000,7,FALSE)</f>
        <v>Vivo</v>
      </c>
      <c r="P343" s="15" t="str">
        <f>VLOOKUP(A343,sinap!$A$2:$R$9000,8,FALSE)</f>
        <v>11.2.01.0038</v>
      </c>
      <c r="Q343" s="15" t="str">
        <f>VLOOKUP(A343,sinap!$A$2:$R$9000,12,FALSE)</f>
        <v>11.1.01.0893</v>
      </c>
      <c r="R343" s="15" t="str">
        <f>VLOOKUP(A343,sinap!$A$2:$R$9000,16,FALSE)</f>
        <v>11.1.01.0893</v>
      </c>
      <c r="S343" s="15" t="str">
        <f>VLOOKUP(A343,sinap!$A$2:$Y$9000,20,FALSE)</f>
        <v>SI</v>
      </c>
      <c r="T343" s="16">
        <v>45989</v>
      </c>
    </row>
    <row r="344" spans="1:20" x14ac:dyDescent="0.25">
      <c r="A344" s="15">
        <v>26234432</v>
      </c>
      <c r="J344" s="15" t="str">
        <f>VLOOKUP(A344,sinap!$A$2:$R$9000,2,FALSE)</f>
        <v>H</v>
      </c>
      <c r="K344" s="15" t="str">
        <f>VLOOKUP(A344,sinap!$A$2:$R$9000,3,FALSE)</f>
        <v>TERNERA</v>
      </c>
      <c r="L344" s="15" t="str">
        <f>VLOOKUP(A344,sinap!$A$2:$R$9000,4,FALSE)</f>
        <v>ANGUS NEGRO</v>
      </c>
      <c r="M344" s="15" t="str">
        <f>VLOOKUP(A344,sinap!$A$2:$R$9000,5,FALSE)</f>
        <v>0 años 4 meses</v>
      </c>
      <c r="N344" s="15" t="str">
        <f>VLOOKUP(A344,sinap!$A$2:$R$9000,6,FALSE)</f>
        <v>11-09-2025</v>
      </c>
      <c r="O344" s="15" t="str">
        <f>VLOOKUP(A344,sinap!$A$2:$R$9000,7,FALSE)</f>
        <v>Vivo</v>
      </c>
      <c r="P344" s="15" t="str">
        <f>VLOOKUP(A344,sinap!$A$2:$R$9000,8,FALSE)</f>
        <v>11.2.01.0038</v>
      </c>
      <c r="Q344" s="15" t="str">
        <f>VLOOKUP(A344,sinap!$A$2:$R$9000,12,FALSE)</f>
        <v>11.1.01.0893</v>
      </c>
      <c r="R344" s="15" t="str">
        <f>VLOOKUP(A344,sinap!$A$2:$R$9000,16,FALSE)</f>
        <v>11.1.01.0893</v>
      </c>
      <c r="S344" s="15" t="str">
        <f>VLOOKUP(A344,sinap!$A$2:$Y$9000,20,FALSE)</f>
        <v>SI</v>
      </c>
      <c r="T344" s="16">
        <v>45989</v>
      </c>
    </row>
    <row r="345" spans="1:20" x14ac:dyDescent="0.25">
      <c r="A345" s="15">
        <v>26234433</v>
      </c>
      <c r="J345" s="15" t="str">
        <f>VLOOKUP(A345,sinap!$A$2:$R$9000,2,FALSE)</f>
        <v>M</v>
      </c>
      <c r="K345" s="15" t="str">
        <f>VLOOKUP(A345,sinap!$A$2:$R$9000,3,FALSE)</f>
        <v>TERNERO</v>
      </c>
      <c r="L345" s="15" t="str">
        <f>VLOOKUP(A345,sinap!$A$2:$R$9000,4,FALSE)</f>
        <v>ANGUS NEGRO</v>
      </c>
      <c r="M345" s="15" t="str">
        <f>VLOOKUP(A345,sinap!$A$2:$R$9000,5,FALSE)</f>
        <v>0 años 4 meses</v>
      </c>
      <c r="N345" s="15" t="str">
        <f>VLOOKUP(A345,sinap!$A$2:$R$9000,6,FALSE)</f>
        <v>11-09-2025</v>
      </c>
      <c r="O345" s="15" t="str">
        <f>VLOOKUP(A345,sinap!$A$2:$R$9000,7,FALSE)</f>
        <v>Vivo</v>
      </c>
      <c r="P345" s="15" t="str">
        <f>VLOOKUP(A345,sinap!$A$2:$R$9000,8,FALSE)</f>
        <v>11.2.01.0038</v>
      </c>
      <c r="Q345" s="15" t="str">
        <f>VLOOKUP(A345,sinap!$A$2:$R$9000,12,FALSE)</f>
        <v>11.1.01.0893</v>
      </c>
      <c r="R345" s="15" t="str">
        <f>VLOOKUP(A345,sinap!$A$2:$R$9000,16,FALSE)</f>
        <v>11.1.01.0893</v>
      </c>
      <c r="S345" s="15" t="str">
        <f>VLOOKUP(A345,sinap!$A$2:$Y$9000,20,FALSE)</f>
        <v>SI</v>
      </c>
      <c r="T345" s="16">
        <v>45989</v>
      </c>
    </row>
    <row r="346" spans="1:20" x14ac:dyDescent="0.25">
      <c r="A346" s="15">
        <v>26234434</v>
      </c>
      <c r="J346" s="15" t="str">
        <f>VLOOKUP(A346,sinap!$A$2:$R$9000,2,FALSE)</f>
        <v>M</v>
      </c>
      <c r="K346" s="15" t="str">
        <f>VLOOKUP(A346,sinap!$A$2:$R$9000,3,FALSE)</f>
        <v>TERNERO</v>
      </c>
      <c r="L346" s="15" t="str">
        <f>VLOOKUP(A346,sinap!$A$2:$R$9000,4,FALSE)</f>
        <v>ANGUS NEGRO</v>
      </c>
      <c r="M346" s="15" t="str">
        <f>VLOOKUP(A346,sinap!$A$2:$R$9000,5,FALSE)</f>
        <v>0 años 4 meses</v>
      </c>
      <c r="N346" s="15" t="str">
        <f>VLOOKUP(A346,sinap!$A$2:$R$9000,6,FALSE)</f>
        <v>11-09-2025</v>
      </c>
      <c r="O346" s="15" t="str">
        <f>VLOOKUP(A346,sinap!$A$2:$R$9000,7,FALSE)</f>
        <v>Vivo</v>
      </c>
      <c r="P346" s="15" t="str">
        <f>VLOOKUP(A346,sinap!$A$2:$R$9000,8,FALSE)</f>
        <v>11.1.01.0791</v>
      </c>
      <c r="Q346" s="15" t="str">
        <f>VLOOKUP(A346,sinap!$A$2:$R$9000,12,FALSE)</f>
        <v>11.1.01.0893</v>
      </c>
      <c r="R346" s="15" t="str">
        <f>VLOOKUP(A346,sinap!$A$2:$R$9000,16,FALSE)</f>
        <v>11.1.01.0893</v>
      </c>
      <c r="S346" s="15" t="str">
        <f>VLOOKUP(A346,sinap!$A$2:$Y$9000,20,FALSE)</f>
        <v>SI</v>
      </c>
      <c r="T346" s="16">
        <v>45989</v>
      </c>
    </row>
    <row r="347" spans="1:20" x14ac:dyDescent="0.25">
      <c r="A347" s="15">
        <v>26234435</v>
      </c>
      <c r="J347" s="15" t="str">
        <f>VLOOKUP(A347,sinap!$A$2:$R$9000,2,FALSE)</f>
        <v>M</v>
      </c>
      <c r="K347" s="15" t="str">
        <f>VLOOKUP(A347,sinap!$A$2:$R$9000,3,FALSE)</f>
        <v>TERNERO</v>
      </c>
      <c r="L347" s="15" t="str">
        <f>VLOOKUP(A347,sinap!$A$2:$R$9000,4,FALSE)</f>
        <v>ANGUS NEGRO</v>
      </c>
      <c r="M347" s="15" t="str">
        <f>VLOOKUP(A347,sinap!$A$2:$R$9000,5,FALSE)</f>
        <v>0 años 4 meses</v>
      </c>
      <c r="N347" s="15" t="str">
        <f>VLOOKUP(A347,sinap!$A$2:$R$9000,6,FALSE)</f>
        <v>11-09-2025</v>
      </c>
      <c r="O347" s="15" t="str">
        <f>VLOOKUP(A347,sinap!$A$2:$R$9000,7,FALSE)</f>
        <v>Vivo</v>
      </c>
      <c r="P347" s="15" t="str">
        <f>VLOOKUP(A347,sinap!$A$2:$R$9000,8,FALSE)</f>
        <v>11.2.01.0038</v>
      </c>
      <c r="Q347" s="15" t="str">
        <f>VLOOKUP(A347,sinap!$A$2:$R$9000,12,FALSE)</f>
        <v>11.1.01.0893</v>
      </c>
      <c r="R347" s="15" t="str">
        <f>VLOOKUP(A347,sinap!$A$2:$R$9000,16,FALSE)</f>
        <v>11.1.01.0893</v>
      </c>
      <c r="S347" s="15" t="str">
        <f>VLOOKUP(A347,sinap!$A$2:$Y$9000,20,FALSE)</f>
        <v>SI</v>
      </c>
      <c r="T347" s="16">
        <v>45989</v>
      </c>
    </row>
    <row r="348" spans="1:20" x14ac:dyDescent="0.25">
      <c r="A348" s="15">
        <v>26234436</v>
      </c>
      <c r="J348" s="15" t="str">
        <f>VLOOKUP(A348,sinap!$A$2:$R$9000,2,FALSE)</f>
        <v>M</v>
      </c>
      <c r="K348" s="15" t="str">
        <f>VLOOKUP(A348,sinap!$A$2:$R$9000,3,FALSE)</f>
        <v>TERNERO</v>
      </c>
      <c r="L348" s="15" t="str">
        <f>VLOOKUP(A348,sinap!$A$2:$R$9000,4,FALSE)</f>
        <v>ANGUS ROJO</v>
      </c>
      <c r="M348" s="15" t="str">
        <f>VLOOKUP(A348,sinap!$A$2:$R$9000,5,FALSE)</f>
        <v>0 años 4 meses</v>
      </c>
      <c r="N348" s="15" t="str">
        <f>VLOOKUP(A348,sinap!$A$2:$R$9000,6,FALSE)</f>
        <v>11-09-2025</v>
      </c>
      <c r="O348" s="15" t="str">
        <f>VLOOKUP(A348,sinap!$A$2:$R$9000,7,FALSE)</f>
        <v>Vivo</v>
      </c>
      <c r="P348" s="15" t="str">
        <f>VLOOKUP(A348,sinap!$A$2:$R$9000,8,FALSE)</f>
        <v>11.1.01.0791</v>
      </c>
      <c r="Q348" s="15" t="str">
        <f>VLOOKUP(A348,sinap!$A$2:$R$9000,12,FALSE)</f>
        <v>11.1.01.0893</v>
      </c>
      <c r="R348" s="15" t="str">
        <f>VLOOKUP(A348,sinap!$A$2:$R$9000,16,FALSE)</f>
        <v>11.1.01.0893</v>
      </c>
      <c r="S348" s="15" t="str">
        <f>VLOOKUP(A348,sinap!$A$2:$Y$9000,20,FALSE)</f>
        <v>SI</v>
      </c>
      <c r="T348" s="16">
        <v>45989</v>
      </c>
    </row>
    <row r="349" spans="1:20" x14ac:dyDescent="0.25">
      <c r="A349" s="15">
        <v>26234437</v>
      </c>
      <c r="J349" s="15" t="str">
        <f>VLOOKUP(A349,sinap!$A$2:$R$9000,2,FALSE)</f>
        <v>H</v>
      </c>
      <c r="K349" s="15" t="str">
        <f>VLOOKUP(A349,sinap!$A$2:$R$9000,3,FALSE)</f>
        <v>TERNERA</v>
      </c>
      <c r="L349" s="15" t="str">
        <f>VLOOKUP(A349,sinap!$A$2:$R$9000,4,FALSE)</f>
        <v>ANGUS NEGRO</v>
      </c>
      <c r="M349" s="15" t="str">
        <f>VLOOKUP(A349,sinap!$A$2:$R$9000,5,FALSE)</f>
        <v>0 años 4 meses</v>
      </c>
      <c r="N349" s="15" t="str">
        <f>VLOOKUP(A349,sinap!$A$2:$R$9000,6,FALSE)</f>
        <v>11-09-2025</v>
      </c>
      <c r="O349" s="15" t="str">
        <f>VLOOKUP(A349,sinap!$A$2:$R$9000,7,FALSE)</f>
        <v>Vivo</v>
      </c>
      <c r="P349" s="15" t="str">
        <f>VLOOKUP(A349,sinap!$A$2:$R$9000,8,FALSE)</f>
        <v>11.2.01.0038</v>
      </c>
      <c r="Q349" s="15" t="str">
        <f>VLOOKUP(A349,sinap!$A$2:$R$9000,12,FALSE)</f>
        <v>11.1.01.0893</v>
      </c>
      <c r="R349" s="15" t="str">
        <f>VLOOKUP(A349,sinap!$A$2:$R$9000,16,FALSE)</f>
        <v>11.1.01.0893</v>
      </c>
      <c r="S349" s="15" t="str">
        <f>VLOOKUP(A349,sinap!$A$2:$Y$9000,20,FALSE)</f>
        <v>SI</v>
      </c>
      <c r="T349" s="16">
        <v>45989</v>
      </c>
    </row>
    <row r="350" spans="1:20" x14ac:dyDescent="0.25">
      <c r="A350" s="15">
        <v>26234438</v>
      </c>
      <c r="J350" s="15" t="str">
        <f>VLOOKUP(A350,sinap!$A$2:$R$9000,2,FALSE)</f>
        <v>H</v>
      </c>
      <c r="K350" s="15" t="str">
        <f>VLOOKUP(A350,sinap!$A$2:$R$9000,3,FALSE)</f>
        <v>TERNERA</v>
      </c>
      <c r="L350" s="15" t="str">
        <f>VLOOKUP(A350,sinap!$A$2:$R$9000,4,FALSE)</f>
        <v>ANGUS ROJO</v>
      </c>
      <c r="M350" s="15" t="str">
        <f>VLOOKUP(A350,sinap!$A$2:$R$9000,5,FALSE)</f>
        <v>0 años 4 meses</v>
      </c>
      <c r="N350" s="15" t="str">
        <f>VLOOKUP(A350,sinap!$A$2:$R$9000,6,FALSE)</f>
        <v>11-09-2025</v>
      </c>
      <c r="O350" s="15" t="str">
        <f>VLOOKUP(A350,sinap!$A$2:$R$9000,7,FALSE)</f>
        <v>Vivo</v>
      </c>
      <c r="P350" s="15" t="str">
        <f>VLOOKUP(A350,sinap!$A$2:$R$9000,8,FALSE)</f>
        <v>11.2.01.0038</v>
      </c>
      <c r="Q350" s="15" t="str">
        <f>VLOOKUP(A350,sinap!$A$2:$R$9000,12,FALSE)</f>
        <v>11.1.01.0893</v>
      </c>
      <c r="R350" s="15" t="str">
        <f>VLOOKUP(A350,sinap!$A$2:$R$9000,16,FALSE)</f>
        <v>11.1.01.0893</v>
      </c>
      <c r="S350" s="15" t="str">
        <f>VLOOKUP(A350,sinap!$A$2:$Y$9000,20,FALSE)</f>
        <v>SI</v>
      </c>
      <c r="T350" s="16">
        <v>45989</v>
      </c>
    </row>
    <row r="351" spans="1:20" x14ac:dyDescent="0.25">
      <c r="A351" s="15">
        <v>26234439</v>
      </c>
      <c r="J351" s="15" t="str">
        <f>VLOOKUP(A351,sinap!$A$2:$R$9000,2,FALSE)</f>
        <v>H</v>
      </c>
      <c r="K351" s="15" t="str">
        <f>VLOOKUP(A351,sinap!$A$2:$R$9000,3,FALSE)</f>
        <v>TERNERA</v>
      </c>
      <c r="L351" s="15" t="str">
        <f>VLOOKUP(A351,sinap!$A$2:$R$9000,4,FALSE)</f>
        <v>ANGUS NEGRO</v>
      </c>
      <c r="M351" s="15" t="str">
        <f>VLOOKUP(A351,sinap!$A$2:$R$9000,5,FALSE)</f>
        <v>0 años 4 meses</v>
      </c>
      <c r="N351" s="15" t="str">
        <f>VLOOKUP(A351,sinap!$A$2:$R$9000,6,FALSE)</f>
        <v>11-09-2025</v>
      </c>
      <c r="O351" s="15" t="str">
        <f>VLOOKUP(A351,sinap!$A$2:$R$9000,7,FALSE)</f>
        <v>Vivo</v>
      </c>
      <c r="P351" s="15" t="str">
        <f>VLOOKUP(A351,sinap!$A$2:$R$9000,8,FALSE)</f>
        <v>11.2.01.0038</v>
      </c>
      <c r="Q351" s="15" t="str">
        <f>VLOOKUP(A351,sinap!$A$2:$R$9000,12,FALSE)</f>
        <v>11.1.01.0893</v>
      </c>
      <c r="R351" s="15" t="str">
        <f>VLOOKUP(A351,sinap!$A$2:$R$9000,16,FALSE)</f>
        <v>11.1.01.0893</v>
      </c>
      <c r="S351" s="15" t="str">
        <f>VLOOKUP(A351,sinap!$A$2:$Y$9000,20,FALSE)</f>
        <v>SI</v>
      </c>
      <c r="T351" s="16">
        <v>45989</v>
      </c>
    </row>
    <row r="352" spans="1:20" x14ac:dyDescent="0.25">
      <c r="A352" s="15">
        <v>26234440</v>
      </c>
      <c r="J352" s="15" t="str">
        <f>VLOOKUP(A352,sinap!$A$2:$R$9000,2,FALSE)</f>
        <v>M</v>
      </c>
      <c r="K352" s="15" t="str">
        <f>VLOOKUP(A352,sinap!$A$2:$R$9000,3,FALSE)</f>
        <v>TERNERO</v>
      </c>
      <c r="L352" s="15" t="str">
        <f>VLOOKUP(A352,sinap!$A$2:$R$9000,4,FALSE)</f>
        <v>ANGUS ROJO</v>
      </c>
      <c r="M352" s="15" t="str">
        <f>VLOOKUP(A352,sinap!$A$2:$R$9000,5,FALSE)</f>
        <v>0 años 4 meses</v>
      </c>
      <c r="N352" s="15" t="str">
        <f>VLOOKUP(A352,sinap!$A$2:$R$9000,6,FALSE)</f>
        <v>11-09-2025</v>
      </c>
      <c r="O352" s="15" t="str">
        <f>VLOOKUP(A352,sinap!$A$2:$R$9000,7,FALSE)</f>
        <v>Vivo</v>
      </c>
      <c r="P352" s="15" t="str">
        <f>VLOOKUP(A352,sinap!$A$2:$R$9000,8,FALSE)</f>
        <v>11.2.01.0038</v>
      </c>
      <c r="Q352" s="15" t="str">
        <f>VLOOKUP(A352,sinap!$A$2:$R$9000,12,FALSE)</f>
        <v>11.1.01.0893</v>
      </c>
      <c r="R352" s="15" t="str">
        <f>VLOOKUP(A352,sinap!$A$2:$R$9000,16,FALSE)</f>
        <v>11.1.01.0893</v>
      </c>
      <c r="S352" s="15" t="str">
        <f>VLOOKUP(A352,sinap!$A$2:$Y$9000,20,FALSE)</f>
        <v>SI</v>
      </c>
      <c r="T352" s="16">
        <v>45989</v>
      </c>
    </row>
    <row r="353" spans="1:20" x14ac:dyDescent="0.25">
      <c r="A353" s="15">
        <v>26234441</v>
      </c>
      <c r="J353" s="15" t="str">
        <f>VLOOKUP(A353,sinap!$A$2:$R$9000,2,FALSE)</f>
        <v>M</v>
      </c>
      <c r="K353" s="15" t="str">
        <f>VLOOKUP(A353,sinap!$A$2:$R$9000,3,FALSE)</f>
        <v>TERNERO</v>
      </c>
      <c r="L353" s="15" t="str">
        <f>VLOOKUP(A353,sinap!$A$2:$R$9000,4,FALSE)</f>
        <v>ANGUS NEGRO</v>
      </c>
      <c r="M353" s="15" t="str">
        <f>VLOOKUP(A353,sinap!$A$2:$R$9000,5,FALSE)</f>
        <v>0 años 4 meses</v>
      </c>
      <c r="N353" s="15" t="str">
        <f>VLOOKUP(A353,sinap!$A$2:$R$9000,6,FALSE)</f>
        <v>11-09-2025</v>
      </c>
      <c r="O353" s="15" t="str">
        <f>VLOOKUP(A353,sinap!$A$2:$R$9000,7,FALSE)</f>
        <v>Vivo</v>
      </c>
      <c r="P353" s="15" t="str">
        <f>VLOOKUP(A353,sinap!$A$2:$R$9000,8,FALSE)</f>
        <v>11.2.01.0038</v>
      </c>
      <c r="Q353" s="15" t="str">
        <f>VLOOKUP(A353,sinap!$A$2:$R$9000,12,FALSE)</f>
        <v>11.1.01.0893</v>
      </c>
      <c r="R353" s="15" t="str">
        <f>VLOOKUP(A353,sinap!$A$2:$R$9000,16,FALSE)</f>
        <v>11.1.01.0893</v>
      </c>
      <c r="S353" s="15" t="str">
        <f>VLOOKUP(A353,sinap!$A$2:$Y$9000,20,FALSE)</f>
        <v>SI</v>
      </c>
      <c r="T353" s="16">
        <v>45989</v>
      </c>
    </row>
    <row r="354" spans="1:20" x14ac:dyDescent="0.25">
      <c r="A354" s="15">
        <v>26234442</v>
      </c>
      <c r="J354" s="15" t="str">
        <f>VLOOKUP(A354,sinap!$A$2:$R$9000,2,FALSE)</f>
        <v>M</v>
      </c>
      <c r="K354" s="15" t="str">
        <f>VLOOKUP(A354,sinap!$A$2:$R$9000,3,FALSE)</f>
        <v>TERNERO</v>
      </c>
      <c r="L354" s="15" t="str">
        <f>VLOOKUP(A354,sinap!$A$2:$R$9000,4,FALSE)</f>
        <v>ANGUS NEGRO</v>
      </c>
      <c r="M354" s="15" t="str">
        <f>VLOOKUP(A354,sinap!$A$2:$R$9000,5,FALSE)</f>
        <v>0 años 4 meses</v>
      </c>
      <c r="N354" s="15" t="str">
        <f>VLOOKUP(A354,sinap!$A$2:$R$9000,6,FALSE)</f>
        <v>11-09-2025</v>
      </c>
      <c r="O354" s="15" t="str">
        <f>VLOOKUP(A354,sinap!$A$2:$R$9000,7,FALSE)</f>
        <v>Vivo</v>
      </c>
      <c r="P354" s="15" t="str">
        <f>VLOOKUP(A354,sinap!$A$2:$R$9000,8,FALSE)</f>
        <v>11.1.01.0893</v>
      </c>
      <c r="Q354" s="15" t="str">
        <f>VLOOKUP(A354,sinap!$A$2:$R$9000,12,FALSE)</f>
        <v>Sin Movimiento</v>
      </c>
      <c r="R354" s="15" t="str">
        <f>VLOOKUP(A354,sinap!$A$2:$R$9000,16,FALSE)</f>
        <v>11.1.01.0893</v>
      </c>
      <c r="S354" s="15" t="str">
        <f>VLOOKUP(A354,sinap!$A$2:$Y$9000,20,FALSE)</f>
        <v>SI</v>
      </c>
      <c r="T354" s="16">
        <v>45989</v>
      </c>
    </row>
    <row r="355" spans="1:20" x14ac:dyDescent="0.25">
      <c r="A355" s="15">
        <v>26234443</v>
      </c>
      <c r="J355" s="15" t="str">
        <f>VLOOKUP(A355,sinap!$A$2:$R$9000,2,FALSE)</f>
        <v>M</v>
      </c>
      <c r="K355" s="15" t="str">
        <f>VLOOKUP(A355,sinap!$A$2:$R$9000,3,FALSE)</f>
        <v>TERNERO</v>
      </c>
      <c r="L355" s="15" t="str">
        <f>VLOOKUP(A355,sinap!$A$2:$R$9000,4,FALSE)</f>
        <v>ANGUS NEGRO</v>
      </c>
      <c r="M355" s="15" t="str">
        <f>VLOOKUP(A355,sinap!$A$2:$R$9000,5,FALSE)</f>
        <v>0 años 4 meses</v>
      </c>
      <c r="N355" s="15" t="str">
        <f>VLOOKUP(A355,sinap!$A$2:$R$9000,6,FALSE)</f>
        <v>11-09-2025</v>
      </c>
      <c r="O355" s="15" t="str">
        <f>VLOOKUP(A355,sinap!$A$2:$R$9000,7,FALSE)</f>
        <v>Vivo</v>
      </c>
      <c r="P355" s="15" t="str">
        <f>VLOOKUP(A355,sinap!$A$2:$R$9000,8,FALSE)</f>
        <v>11.2.01.0038</v>
      </c>
      <c r="Q355" s="15" t="str">
        <f>VLOOKUP(A355,sinap!$A$2:$R$9000,12,FALSE)</f>
        <v>11.1.01.0893</v>
      </c>
      <c r="R355" s="15" t="str">
        <f>VLOOKUP(A355,sinap!$A$2:$R$9000,16,FALSE)</f>
        <v>11.1.01.0893</v>
      </c>
      <c r="S355" s="15" t="str">
        <f>VLOOKUP(A355,sinap!$A$2:$Y$9000,20,FALSE)</f>
        <v>SI</v>
      </c>
      <c r="T355" s="16">
        <v>45989</v>
      </c>
    </row>
    <row r="356" spans="1:20" x14ac:dyDescent="0.25">
      <c r="A356" s="15">
        <v>26234444</v>
      </c>
      <c r="J356" s="15" t="str">
        <f>VLOOKUP(A356,sinap!$A$2:$R$9000,2,FALSE)</f>
        <v>H</v>
      </c>
      <c r="K356" s="15" t="str">
        <f>VLOOKUP(A356,sinap!$A$2:$R$9000,3,FALSE)</f>
        <v>TERNERA</v>
      </c>
      <c r="L356" s="15" t="str">
        <f>VLOOKUP(A356,sinap!$A$2:$R$9000,4,FALSE)</f>
        <v>ANGUS NEGRO</v>
      </c>
      <c r="M356" s="15" t="str">
        <f>VLOOKUP(A356,sinap!$A$2:$R$9000,5,FALSE)</f>
        <v>0 años 4 meses</v>
      </c>
      <c r="N356" s="15" t="str">
        <f>VLOOKUP(A356,sinap!$A$2:$R$9000,6,FALSE)</f>
        <v>11-09-2025</v>
      </c>
      <c r="O356" s="15" t="str">
        <f>VLOOKUP(A356,sinap!$A$2:$R$9000,7,FALSE)</f>
        <v>Vivo</v>
      </c>
      <c r="P356" s="15" t="str">
        <f>VLOOKUP(A356,sinap!$A$2:$R$9000,8,FALSE)</f>
        <v>11.2.01.0038</v>
      </c>
      <c r="Q356" s="15" t="str">
        <f>VLOOKUP(A356,sinap!$A$2:$R$9000,12,FALSE)</f>
        <v>11.1.01.0893</v>
      </c>
      <c r="R356" s="15" t="str">
        <f>VLOOKUP(A356,sinap!$A$2:$R$9000,16,FALSE)</f>
        <v>11.1.01.0893</v>
      </c>
      <c r="S356" s="15" t="str">
        <f>VLOOKUP(A356,sinap!$A$2:$Y$9000,20,FALSE)</f>
        <v>SI</v>
      </c>
      <c r="T356" s="16">
        <v>45989</v>
      </c>
    </row>
    <row r="357" spans="1:20" x14ac:dyDescent="0.25">
      <c r="A357" s="15">
        <v>26234445</v>
      </c>
      <c r="J357" s="15" t="str">
        <f>VLOOKUP(A357,sinap!$A$2:$R$9000,2,FALSE)</f>
        <v>M</v>
      </c>
      <c r="K357" s="15" t="str">
        <f>VLOOKUP(A357,sinap!$A$2:$R$9000,3,FALSE)</f>
        <v>TERNERO</v>
      </c>
      <c r="L357" s="15" t="str">
        <f>VLOOKUP(A357,sinap!$A$2:$R$9000,4,FALSE)</f>
        <v>ANGUS NEGRO</v>
      </c>
      <c r="M357" s="15" t="str">
        <f>VLOOKUP(A357,sinap!$A$2:$R$9000,5,FALSE)</f>
        <v>0 años 4 meses</v>
      </c>
      <c r="N357" s="15" t="str">
        <f>VLOOKUP(A357,sinap!$A$2:$R$9000,6,FALSE)</f>
        <v>11-09-2025</v>
      </c>
      <c r="O357" s="15" t="str">
        <f>VLOOKUP(A357,sinap!$A$2:$R$9000,7,FALSE)</f>
        <v>Vivo</v>
      </c>
      <c r="P357" s="15" t="str">
        <f>VLOOKUP(A357,sinap!$A$2:$R$9000,8,FALSE)</f>
        <v>11.1.01.0791</v>
      </c>
      <c r="Q357" s="15" t="str">
        <f>VLOOKUP(A357,sinap!$A$2:$R$9000,12,FALSE)</f>
        <v>11.1.01.0893</v>
      </c>
      <c r="R357" s="15" t="str">
        <f>VLOOKUP(A357,sinap!$A$2:$R$9000,16,FALSE)</f>
        <v>11.1.01.0893</v>
      </c>
      <c r="S357" s="15" t="str">
        <f>VLOOKUP(A357,sinap!$A$2:$Y$9000,20,FALSE)</f>
        <v>SI</v>
      </c>
      <c r="T357" s="16">
        <v>45989</v>
      </c>
    </row>
    <row r="358" spans="1:20" x14ac:dyDescent="0.25">
      <c r="A358" s="15">
        <v>26234446</v>
      </c>
      <c r="J358" s="15" t="str">
        <f>VLOOKUP(A358,sinap!$A$2:$R$9000,2,FALSE)</f>
        <v>M</v>
      </c>
      <c r="K358" s="15" t="str">
        <f>VLOOKUP(A358,sinap!$A$2:$R$9000,3,FALSE)</f>
        <v>TERNERO</v>
      </c>
      <c r="L358" s="15" t="str">
        <f>VLOOKUP(A358,sinap!$A$2:$R$9000,4,FALSE)</f>
        <v>ANGUS NEGRO</v>
      </c>
      <c r="M358" s="15" t="str">
        <f>VLOOKUP(A358,sinap!$A$2:$R$9000,5,FALSE)</f>
        <v>0 años 3 meses</v>
      </c>
      <c r="N358" s="15" t="str">
        <f>VLOOKUP(A358,sinap!$A$2:$R$9000,6,FALSE)</f>
        <v>05-10-2025</v>
      </c>
      <c r="O358" s="15" t="str">
        <f>VLOOKUP(A358,sinap!$A$2:$R$9000,7,FALSE)</f>
        <v>Vivo</v>
      </c>
      <c r="P358" s="15" t="str">
        <f>VLOOKUP(A358,sinap!$A$2:$R$9000,8,FALSE)</f>
        <v>11.1.01.0893</v>
      </c>
      <c r="Q358" s="15" t="str">
        <f>VLOOKUP(A358,sinap!$A$2:$R$9000,12,FALSE)</f>
        <v>Sin Movimiento</v>
      </c>
      <c r="R358" s="15" t="str">
        <f>VLOOKUP(A358,sinap!$A$2:$R$9000,16,FALSE)</f>
        <v>11.1.01.0893</v>
      </c>
      <c r="S358" s="15" t="str">
        <f>VLOOKUP(A358,sinap!$A$2:$Y$9000,20,FALSE)</f>
        <v>SI</v>
      </c>
      <c r="T358" s="16">
        <v>45989</v>
      </c>
    </row>
    <row r="359" spans="1:20" x14ac:dyDescent="0.25">
      <c r="A359" s="15">
        <v>26234447</v>
      </c>
      <c r="J359" s="15" t="str">
        <f>VLOOKUP(A359,sinap!$A$2:$R$9000,2,FALSE)</f>
        <v>H</v>
      </c>
      <c r="K359" s="15" t="str">
        <f>VLOOKUP(A359,sinap!$A$2:$R$9000,3,FALSE)</f>
        <v>TERNERA</v>
      </c>
      <c r="L359" s="15" t="str">
        <f>VLOOKUP(A359,sinap!$A$2:$R$9000,4,FALSE)</f>
        <v>ANGUS NEGRO</v>
      </c>
      <c r="M359" s="15" t="str">
        <f>VLOOKUP(A359,sinap!$A$2:$R$9000,5,FALSE)</f>
        <v>0 años 3 meses</v>
      </c>
      <c r="N359" s="15" t="str">
        <f>VLOOKUP(A359,sinap!$A$2:$R$9000,6,FALSE)</f>
        <v>05-10-2025</v>
      </c>
      <c r="O359" s="15" t="str">
        <f>VLOOKUP(A359,sinap!$A$2:$R$9000,7,FALSE)</f>
        <v>Vivo</v>
      </c>
      <c r="P359" s="15" t="str">
        <f>VLOOKUP(A359,sinap!$A$2:$R$9000,8,FALSE)</f>
        <v>11.2.01.0038</v>
      </c>
      <c r="Q359" s="15" t="str">
        <f>VLOOKUP(A359,sinap!$A$2:$R$9000,12,FALSE)</f>
        <v>11.1.01.0893</v>
      </c>
      <c r="R359" s="15" t="str">
        <f>VLOOKUP(A359,sinap!$A$2:$R$9000,16,FALSE)</f>
        <v>11.1.01.0893</v>
      </c>
      <c r="S359" s="15" t="str">
        <f>VLOOKUP(A359,sinap!$A$2:$Y$9000,20,FALSE)</f>
        <v>SI</v>
      </c>
      <c r="T359" s="16">
        <v>45989</v>
      </c>
    </row>
    <row r="360" spans="1:20" x14ac:dyDescent="0.25">
      <c r="A360" s="15">
        <v>26234448</v>
      </c>
      <c r="J360" s="15" t="str">
        <f>VLOOKUP(A360,sinap!$A$2:$R$9000,2,FALSE)</f>
        <v>H</v>
      </c>
      <c r="K360" s="15" t="str">
        <f>VLOOKUP(A360,sinap!$A$2:$R$9000,3,FALSE)</f>
        <v>TERNERA</v>
      </c>
      <c r="L360" s="15" t="str">
        <f>VLOOKUP(A360,sinap!$A$2:$R$9000,4,FALSE)</f>
        <v>ANGUS NEGRO</v>
      </c>
      <c r="M360" s="15" t="str">
        <f>VLOOKUP(A360,sinap!$A$2:$R$9000,5,FALSE)</f>
        <v>0 años 3 meses</v>
      </c>
      <c r="N360" s="15" t="str">
        <f>VLOOKUP(A360,sinap!$A$2:$R$9000,6,FALSE)</f>
        <v>05-10-2025</v>
      </c>
      <c r="O360" s="15" t="str">
        <f>VLOOKUP(A360,sinap!$A$2:$R$9000,7,FALSE)</f>
        <v>Vivo</v>
      </c>
      <c r="P360" s="15" t="str">
        <f>VLOOKUP(A360,sinap!$A$2:$R$9000,8,FALSE)</f>
        <v>11.2.01.0038</v>
      </c>
      <c r="Q360" s="15" t="str">
        <f>VLOOKUP(A360,sinap!$A$2:$R$9000,12,FALSE)</f>
        <v>11.1.01.0893</v>
      </c>
      <c r="R360" s="15" t="str">
        <f>VLOOKUP(A360,sinap!$A$2:$R$9000,16,FALSE)</f>
        <v>11.1.01.0893</v>
      </c>
      <c r="S360" s="15" t="str">
        <f>VLOOKUP(A360,sinap!$A$2:$Y$9000,20,FALSE)</f>
        <v>SI</v>
      </c>
      <c r="T360" s="16">
        <v>45989</v>
      </c>
    </row>
    <row r="361" spans="1:20" x14ac:dyDescent="0.25">
      <c r="A361" s="15">
        <v>26234449</v>
      </c>
      <c r="J361" s="15" t="str">
        <f>VLOOKUP(A361,sinap!$A$2:$R$9000,2,FALSE)</f>
        <v>M</v>
      </c>
      <c r="K361" s="15" t="str">
        <f>VLOOKUP(A361,sinap!$A$2:$R$9000,3,FALSE)</f>
        <v>TERNERO</v>
      </c>
      <c r="L361" s="15" t="str">
        <f>VLOOKUP(A361,sinap!$A$2:$R$9000,4,FALSE)</f>
        <v>ANGUS NEGRO</v>
      </c>
      <c r="M361" s="15" t="str">
        <f>VLOOKUP(A361,sinap!$A$2:$R$9000,5,FALSE)</f>
        <v>0 años 3 meses</v>
      </c>
      <c r="N361" s="15" t="str">
        <f>VLOOKUP(A361,sinap!$A$2:$R$9000,6,FALSE)</f>
        <v>05-10-2025</v>
      </c>
      <c r="O361" s="15" t="str">
        <f>VLOOKUP(A361,sinap!$A$2:$R$9000,7,FALSE)</f>
        <v>Vivo</v>
      </c>
      <c r="P361" s="15" t="str">
        <f>VLOOKUP(A361,sinap!$A$2:$R$9000,8,FALSE)</f>
        <v>11.2.01.0038</v>
      </c>
      <c r="Q361" s="15" t="str">
        <f>VLOOKUP(A361,sinap!$A$2:$R$9000,12,FALSE)</f>
        <v>11.1.01.0893</v>
      </c>
      <c r="R361" s="15" t="str">
        <f>VLOOKUP(A361,sinap!$A$2:$R$9000,16,FALSE)</f>
        <v>11.1.01.0893</v>
      </c>
      <c r="S361" s="15" t="str">
        <f>VLOOKUP(A361,sinap!$A$2:$Y$9000,20,FALSE)</f>
        <v>SI</v>
      </c>
      <c r="T361" s="16">
        <v>45989</v>
      </c>
    </row>
    <row r="362" spans="1:20" x14ac:dyDescent="0.25">
      <c r="A362" s="15">
        <v>26234450</v>
      </c>
      <c r="J362" s="15" t="str">
        <f>VLOOKUP(A362,sinap!$A$2:$R$9000,2,FALSE)</f>
        <v>M</v>
      </c>
      <c r="K362" s="15" t="str">
        <f>VLOOKUP(A362,sinap!$A$2:$R$9000,3,FALSE)</f>
        <v>TERNERO</v>
      </c>
      <c r="L362" s="15" t="str">
        <f>VLOOKUP(A362,sinap!$A$2:$R$9000,4,FALSE)</f>
        <v>ANGUS NEGRO</v>
      </c>
      <c r="M362" s="15" t="str">
        <f>VLOOKUP(A362,sinap!$A$2:$R$9000,5,FALSE)</f>
        <v>0 años 3 meses</v>
      </c>
      <c r="N362" s="15" t="str">
        <f>VLOOKUP(A362,sinap!$A$2:$R$9000,6,FALSE)</f>
        <v>05-10-2025</v>
      </c>
      <c r="O362" s="15" t="str">
        <f>VLOOKUP(A362,sinap!$A$2:$R$9000,7,FALSE)</f>
        <v>Vivo</v>
      </c>
      <c r="P362" s="15" t="str">
        <f>VLOOKUP(A362,sinap!$A$2:$R$9000,8,FALSE)</f>
        <v>11.2.01.0038</v>
      </c>
      <c r="Q362" s="15" t="str">
        <f>VLOOKUP(A362,sinap!$A$2:$R$9000,12,FALSE)</f>
        <v>11.1.01.0893</v>
      </c>
      <c r="R362" s="15" t="str">
        <f>VLOOKUP(A362,sinap!$A$2:$R$9000,16,FALSE)</f>
        <v>11.1.01.0893</v>
      </c>
      <c r="S362" s="15" t="str">
        <f>VLOOKUP(A362,sinap!$A$2:$Y$9000,20,FALSE)</f>
        <v>SI</v>
      </c>
      <c r="T362" s="16">
        <v>45989</v>
      </c>
    </row>
    <row r="363" spans="1:20" x14ac:dyDescent="0.25">
      <c r="A363" s="15">
        <v>26234451</v>
      </c>
      <c r="J363" s="15" t="str">
        <f>VLOOKUP(A363,sinap!$A$2:$R$9000,2,FALSE)</f>
        <v>H</v>
      </c>
      <c r="K363" s="15" t="str">
        <f>VLOOKUP(A363,sinap!$A$2:$R$9000,3,FALSE)</f>
        <v>TERNERA</v>
      </c>
      <c r="L363" s="15" t="str">
        <f>VLOOKUP(A363,sinap!$A$2:$R$9000,4,FALSE)</f>
        <v>ANGUS ROJO</v>
      </c>
      <c r="M363" s="15" t="str">
        <f>VLOOKUP(A363,sinap!$A$2:$R$9000,5,FALSE)</f>
        <v>0 años 3 meses</v>
      </c>
      <c r="N363" s="15" t="str">
        <f>VLOOKUP(A363,sinap!$A$2:$R$9000,6,FALSE)</f>
        <v>05-10-2025</v>
      </c>
      <c r="O363" s="15" t="str">
        <f>VLOOKUP(A363,sinap!$A$2:$R$9000,7,FALSE)</f>
        <v>Vivo</v>
      </c>
      <c r="P363" s="15" t="str">
        <f>VLOOKUP(A363,sinap!$A$2:$R$9000,8,FALSE)</f>
        <v>11.2.01.0038</v>
      </c>
      <c r="Q363" s="15" t="str">
        <f>VLOOKUP(A363,sinap!$A$2:$R$9000,12,FALSE)</f>
        <v>11.1.01.0893</v>
      </c>
      <c r="R363" s="15" t="str">
        <f>VLOOKUP(A363,sinap!$A$2:$R$9000,16,FALSE)</f>
        <v>11.1.01.0893</v>
      </c>
      <c r="S363" s="15" t="str">
        <f>VLOOKUP(A363,sinap!$A$2:$Y$9000,20,FALSE)</f>
        <v>SI</v>
      </c>
      <c r="T363" s="16">
        <v>45989</v>
      </c>
    </row>
    <row r="364" spans="1:20" x14ac:dyDescent="0.25">
      <c r="A364" s="15">
        <v>26234452</v>
      </c>
      <c r="J364" s="15" t="str">
        <f>VLOOKUP(A364,sinap!$A$2:$R$9000,2,FALSE)</f>
        <v>M</v>
      </c>
      <c r="K364" s="15" t="str">
        <f>VLOOKUP(A364,sinap!$A$2:$R$9000,3,FALSE)</f>
        <v>TERNERO</v>
      </c>
      <c r="L364" s="15" t="str">
        <f>VLOOKUP(A364,sinap!$A$2:$R$9000,4,FALSE)</f>
        <v>ANGUS NEGRO</v>
      </c>
      <c r="M364" s="15" t="str">
        <f>VLOOKUP(A364,sinap!$A$2:$R$9000,5,FALSE)</f>
        <v>0 años 3 meses</v>
      </c>
      <c r="N364" s="15" t="str">
        <f>VLOOKUP(A364,sinap!$A$2:$R$9000,6,FALSE)</f>
        <v>05-10-2025</v>
      </c>
      <c r="O364" s="15" t="str">
        <f>VLOOKUP(A364,sinap!$A$2:$R$9000,7,FALSE)</f>
        <v>Vivo</v>
      </c>
      <c r="P364" s="15" t="str">
        <f>VLOOKUP(A364,sinap!$A$2:$R$9000,8,FALSE)</f>
        <v>11.2.01.0038</v>
      </c>
      <c r="Q364" s="15" t="str">
        <f>VLOOKUP(A364,sinap!$A$2:$R$9000,12,FALSE)</f>
        <v>11.1.01.0893</v>
      </c>
      <c r="R364" s="15" t="str">
        <f>VLOOKUP(A364,sinap!$A$2:$R$9000,16,FALSE)</f>
        <v>11.1.01.0893</v>
      </c>
      <c r="S364" s="15" t="str">
        <f>VLOOKUP(A364,sinap!$A$2:$Y$9000,20,FALSE)</f>
        <v>SI</v>
      </c>
      <c r="T364" s="16">
        <v>45989</v>
      </c>
    </row>
    <row r="365" spans="1:20" x14ac:dyDescent="0.25">
      <c r="A365" s="15">
        <v>26234453</v>
      </c>
      <c r="J365" s="15" t="str">
        <f>VLOOKUP(A365,sinap!$A$2:$R$9000,2,FALSE)</f>
        <v>H</v>
      </c>
      <c r="K365" s="15" t="str">
        <f>VLOOKUP(A365,sinap!$A$2:$R$9000,3,FALSE)</f>
        <v>TERNERA</v>
      </c>
      <c r="L365" s="15" t="str">
        <f>VLOOKUP(A365,sinap!$A$2:$R$9000,4,FALSE)</f>
        <v>ANGUS NEGRO</v>
      </c>
      <c r="M365" s="15" t="str">
        <f>VLOOKUP(A365,sinap!$A$2:$R$9000,5,FALSE)</f>
        <v>0 años 3 meses</v>
      </c>
      <c r="N365" s="15" t="str">
        <f>VLOOKUP(A365,sinap!$A$2:$R$9000,6,FALSE)</f>
        <v>05-10-2025</v>
      </c>
      <c r="O365" s="15" t="str">
        <f>VLOOKUP(A365,sinap!$A$2:$R$9000,7,FALSE)</f>
        <v>Vivo</v>
      </c>
      <c r="P365" s="15" t="str">
        <f>VLOOKUP(A365,sinap!$A$2:$R$9000,8,FALSE)</f>
        <v>11.2.01.0038</v>
      </c>
      <c r="Q365" s="15" t="str">
        <f>VLOOKUP(A365,sinap!$A$2:$R$9000,12,FALSE)</f>
        <v>11.1.01.0893</v>
      </c>
      <c r="R365" s="15" t="str">
        <f>VLOOKUP(A365,sinap!$A$2:$R$9000,16,FALSE)</f>
        <v>11.1.01.0893</v>
      </c>
      <c r="S365" s="15" t="str">
        <f>VLOOKUP(A365,sinap!$A$2:$Y$9000,20,FALSE)</f>
        <v>SI</v>
      </c>
      <c r="T365" s="16">
        <v>45989</v>
      </c>
    </row>
    <row r="366" spans="1:20" x14ac:dyDescent="0.25">
      <c r="A366" s="15">
        <v>26234454</v>
      </c>
      <c r="J366" s="15" t="str">
        <f>VLOOKUP(A366,sinap!$A$2:$R$9000,2,FALSE)</f>
        <v>M</v>
      </c>
      <c r="K366" s="15" t="str">
        <f>VLOOKUP(A366,sinap!$A$2:$R$9000,3,FALSE)</f>
        <v>TERNERO</v>
      </c>
      <c r="L366" s="15" t="str">
        <f>VLOOKUP(A366,sinap!$A$2:$R$9000,4,FALSE)</f>
        <v>ANGUS NEGRO</v>
      </c>
      <c r="M366" s="15" t="str">
        <f>VLOOKUP(A366,sinap!$A$2:$R$9000,5,FALSE)</f>
        <v>0 años 3 meses</v>
      </c>
      <c r="N366" s="15" t="str">
        <f>VLOOKUP(A366,sinap!$A$2:$R$9000,6,FALSE)</f>
        <v>05-10-2025</v>
      </c>
      <c r="O366" s="15" t="str">
        <f>VLOOKUP(A366,sinap!$A$2:$R$9000,7,FALSE)</f>
        <v>Vivo</v>
      </c>
      <c r="P366" s="15" t="str">
        <f>VLOOKUP(A366,sinap!$A$2:$R$9000,8,FALSE)</f>
        <v>11.1.01.0791</v>
      </c>
      <c r="Q366" s="15" t="str">
        <f>VLOOKUP(A366,sinap!$A$2:$R$9000,12,FALSE)</f>
        <v>11.1.01.0893</v>
      </c>
      <c r="R366" s="15" t="str">
        <f>VLOOKUP(A366,sinap!$A$2:$R$9000,16,FALSE)</f>
        <v>11.1.01.0893</v>
      </c>
      <c r="S366" s="15" t="str">
        <f>VLOOKUP(A366,sinap!$A$2:$Y$9000,20,FALSE)</f>
        <v>SI</v>
      </c>
      <c r="T366" s="16">
        <v>45989</v>
      </c>
    </row>
    <row r="367" spans="1:20" x14ac:dyDescent="0.25">
      <c r="A367" s="15">
        <v>26234455</v>
      </c>
      <c r="J367" s="15" t="str">
        <f>VLOOKUP(A367,sinap!$A$2:$R$9000,2,FALSE)</f>
        <v>M</v>
      </c>
      <c r="K367" s="15" t="str">
        <f>VLOOKUP(A367,sinap!$A$2:$R$9000,3,FALSE)</f>
        <v>TERNERO</v>
      </c>
      <c r="L367" s="15" t="str">
        <f>VLOOKUP(A367,sinap!$A$2:$R$9000,4,FALSE)</f>
        <v>ANGUS NEGRO</v>
      </c>
      <c r="M367" s="15" t="str">
        <f>VLOOKUP(A367,sinap!$A$2:$R$9000,5,FALSE)</f>
        <v>0 años 1 meses</v>
      </c>
      <c r="N367" s="15" t="str">
        <f>VLOOKUP(A367,sinap!$A$2:$R$9000,6,FALSE)</f>
        <v>28-11-2025</v>
      </c>
      <c r="O367" s="15" t="str">
        <f>VLOOKUP(A367,sinap!$A$2:$R$9000,7,FALSE)</f>
        <v>Vivo</v>
      </c>
      <c r="P367" s="15" t="str">
        <f>VLOOKUP(A367,sinap!$A$2:$R$9000,8,FALSE)</f>
        <v>11.2.01.0038</v>
      </c>
      <c r="Q367" s="15" t="str">
        <f>VLOOKUP(A367,sinap!$A$2:$R$9000,12,FALSE)</f>
        <v>11.1.01.0893</v>
      </c>
      <c r="R367" s="15" t="str">
        <f>VLOOKUP(A367,sinap!$A$2:$R$9000,16,FALSE)</f>
        <v>11.1.01.0893</v>
      </c>
      <c r="S367" s="15" t="str">
        <f>VLOOKUP(A367,sinap!$A$2:$Y$9000,20,FALSE)</f>
        <v>SI</v>
      </c>
      <c r="T367" s="16">
        <v>45989</v>
      </c>
    </row>
    <row r="368" spans="1:20" x14ac:dyDescent="0.25">
      <c r="A368" s="15">
        <v>26234456</v>
      </c>
      <c r="J368" s="15" t="str">
        <f>VLOOKUP(A368,sinap!$A$2:$R$9000,2,FALSE)</f>
        <v>M</v>
      </c>
      <c r="K368" s="15" t="str">
        <f>VLOOKUP(A368,sinap!$A$2:$R$9000,3,FALSE)</f>
        <v>TERNERO</v>
      </c>
      <c r="L368" s="15" t="str">
        <f>VLOOKUP(A368,sinap!$A$2:$R$9000,4,FALSE)</f>
        <v>ANGUS NEGRO</v>
      </c>
      <c r="M368" s="15" t="str">
        <f>VLOOKUP(A368,sinap!$A$2:$R$9000,5,FALSE)</f>
        <v>0 años 1 meses</v>
      </c>
      <c r="N368" s="15" t="str">
        <f>VLOOKUP(A368,sinap!$A$2:$R$9000,6,FALSE)</f>
        <v>25-11-2025</v>
      </c>
      <c r="O368" s="15" t="str">
        <f>VLOOKUP(A368,sinap!$A$2:$R$9000,7,FALSE)</f>
        <v>Vivo</v>
      </c>
      <c r="P368" s="15" t="str">
        <f>VLOOKUP(A368,sinap!$A$2:$R$9000,8,FALSE)</f>
        <v>11.2.01.0038</v>
      </c>
      <c r="Q368" s="15" t="str">
        <f>VLOOKUP(A368,sinap!$A$2:$R$9000,12,FALSE)</f>
        <v>11.1.01.0893</v>
      </c>
      <c r="R368" s="15" t="str">
        <f>VLOOKUP(A368,sinap!$A$2:$R$9000,16,FALSE)</f>
        <v>11.1.01.0893</v>
      </c>
      <c r="S368" s="15" t="str">
        <f>VLOOKUP(A368,sinap!$A$2:$Y$9000,20,FALSE)</f>
        <v>SI</v>
      </c>
      <c r="T368" s="16">
        <v>45989</v>
      </c>
    </row>
    <row r="369" spans="1:20" x14ac:dyDescent="0.25">
      <c r="A369" s="15">
        <v>26234457</v>
      </c>
      <c r="J369" s="15" t="str">
        <f>VLOOKUP(A369,sinap!$A$2:$R$9000,2,FALSE)</f>
        <v>M</v>
      </c>
      <c r="K369" s="15" t="str">
        <f>VLOOKUP(A369,sinap!$A$2:$R$9000,3,FALSE)</f>
        <v>TERNERO</v>
      </c>
      <c r="L369" s="15" t="str">
        <f>VLOOKUP(A369,sinap!$A$2:$R$9000,4,FALSE)</f>
        <v>ANGUS NEGRO</v>
      </c>
      <c r="M369" s="15" t="str">
        <f>VLOOKUP(A369,sinap!$A$2:$R$9000,5,FALSE)</f>
        <v>0 años 1 meses</v>
      </c>
      <c r="N369" s="15" t="str">
        <f>VLOOKUP(A369,sinap!$A$2:$R$9000,6,FALSE)</f>
        <v>28-11-2025</v>
      </c>
      <c r="O369" s="15" t="str">
        <f>VLOOKUP(A369,sinap!$A$2:$R$9000,7,FALSE)</f>
        <v>Vivo</v>
      </c>
      <c r="P369" s="15" t="str">
        <f>VLOOKUP(A369,sinap!$A$2:$R$9000,8,FALSE)</f>
        <v>11.1.01.0893</v>
      </c>
      <c r="Q369" s="15" t="str">
        <f>VLOOKUP(A369,sinap!$A$2:$R$9000,12,FALSE)</f>
        <v>Sin Movimiento</v>
      </c>
      <c r="R369" s="15" t="str">
        <f>VLOOKUP(A369,sinap!$A$2:$R$9000,16,FALSE)</f>
        <v>11.1.01.0893</v>
      </c>
      <c r="S369" s="15" t="str">
        <f>VLOOKUP(A369,sinap!$A$2:$Y$9000,20,FALSE)</f>
        <v>SI</v>
      </c>
      <c r="T369" s="16">
        <v>45989</v>
      </c>
    </row>
    <row r="370" spans="1:20" x14ac:dyDescent="0.25">
      <c r="A370" s="15">
        <v>26234458</v>
      </c>
      <c r="J370" s="15" t="str">
        <f>VLOOKUP(A370,sinap!$A$2:$R$9000,2,FALSE)</f>
        <v>M</v>
      </c>
      <c r="K370" s="15" t="str">
        <f>VLOOKUP(A370,sinap!$A$2:$R$9000,3,FALSE)</f>
        <v>TERNERO</v>
      </c>
      <c r="L370" s="15" t="str">
        <f>VLOOKUP(A370,sinap!$A$2:$R$9000,4,FALSE)</f>
        <v>ANGUS NEGRO</v>
      </c>
      <c r="M370" s="15" t="str">
        <f>VLOOKUP(A370,sinap!$A$2:$R$9000,5,FALSE)</f>
        <v>0 años 1 meses</v>
      </c>
      <c r="N370" s="15" t="str">
        <f>VLOOKUP(A370,sinap!$A$2:$R$9000,6,FALSE)</f>
        <v>28-11-2025</v>
      </c>
      <c r="O370" s="15" t="str">
        <f>VLOOKUP(A370,sinap!$A$2:$R$9000,7,FALSE)</f>
        <v>Vivo</v>
      </c>
      <c r="P370" s="15" t="str">
        <f>VLOOKUP(A370,sinap!$A$2:$R$9000,8,FALSE)</f>
        <v>11.2.01.0038</v>
      </c>
      <c r="Q370" s="15" t="str">
        <f>VLOOKUP(A370,sinap!$A$2:$R$9000,12,FALSE)</f>
        <v>11.1.01.0893</v>
      </c>
      <c r="R370" s="15" t="str">
        <f>VLOOKUP(A370,sinap!$A$2:$R$9000,16,FALSE)</f>
        <v>11.1.01.0893</v>
      </c>
      <c r="S370" s="15" t="str">
        <f>VLOOKUP(A370,sinap!$A$2:$Y$9000,20,FALSE)</f>
        <v>SI</v>
      </c>
      <c r="T370" s="16">
        <v>45989</v>
      </c>
    </row>
    <row r="371" spans="1:20" x14ac:dyDescent="0.25">
      <c r="A371" s="15">
        <v>26234459</v>
      </c>
      <c r="J371" s="15" t="str">
        <f>VLOOKUP(A371,sinap!$A$2:$R$9000,2,FALSE)</f>
        <v>H</v>
      </c>
      <c r="K371" s="15" t="str">
        <f>VLOOKUP(A371,sinap!$A$2:$R$9000,3,FALSE)</f>
        <v>TERNERA</v>
      </c>
      <c r="L371" s="15" t="str">
        <f>VLOOKUP(A371,sinap!$A$2:$R$9000,4,FALSE)</f>
        <v>ANGUS NEGRO</v>
      </c>
      <c r="M371" s="15" t="str">
        <f>VLOOKUP(A371,sinap!$A$2:$R$9000,5,FALSE)</f>
        <v>0 años 3 meses</v>
      </c>
      <c r="N371" s="15" t="str">
        <f>VLOOKUP(A371,sinap!$A$2:$R$9000,6,FALSE)</f>
        <v>15-10-2025</v>
      </c>
      <c r="O371" s="15" t="str">
        <f>VLOOKUP(A371,sinap!$A$2:$R$9000,7,FALSE)</f>
        <v>Vivo</v>
      </c>
      <c r="P371" s="15" t="str">
        <f>VLOOKUP(A371,sinap!$A$2:$R$9000,8,FALSE)</f>
        <v>11.2.01.0038</v>
      </c>
      <c r="Q371" s="15" t="str">
        <f>VLOOKUP(A371,sinap!$A$2:$R$9000,12,FALSE)</f>
        <v>11.1.01.0893</v>
      </c>
      <c r="R371" s="15" t="str">
        <f>VLOOKUP(A371,sinap!$A$2:$R$9000,16,FALSE)</f>
        <v>11.1.01.0893</v>
      </c>
      <c r="S371" s="15" t="str">
        <f>VLOOKUP(A371,sinap!$A$2:$Y$9000,20,FALSE)</f>
        <v>SI</v>
      </c>
      <c r="T371" s="16">
        <v>45989</v>
      </c>
    </row>
    <row r="372" spans="1:20" x14ac:dyDescent="0.25">
      <c r="A372" s="15">
        <v>26234460</v>
      </c>
      <c r="J372" s="15" t="str">
        <f>VLOOKUP(A372,sinap!$A$2:$R$9000,2,FALSE)</f>
        <v>H</v>
      </c>
      <c r="K372" s="15" t="str">
        <f>VLOOKUP(A372,sinap!$A$2:$R$9000,3,FALSE)</f>
        <v>TERNERA</v>
      </c>
      <c r="L372" s="15" t="str">
        <f>VLOOKUP(A372,sinap!$A$2:$R$9000,4,FALSE)</f>
        <v>HEREFORD</v>
      </c>
      <c r="M372" s="15" t="str">
        <f>VLOOKUP(A372,sinap!$A$2:$R$9000,5,FALSE)</f>
        <v>0 años 3 meses</v>
      </c>
      <c r="N372" s="15" t="str">
        <f>VLOOKUP(A372,sinap!$A$2:$R$9000,6,FALSE)</f>
        <v>05-10-2025</v>
      </c>
      <c r="O372" s="15" t="str">
        <f>VLOOKUP(A372,sinap!$A$2:$R$9000,7,FALSE)</f>
        <v>Vivo</v>
      </c>
      <c r="P372" s="15" t="str">
        <f>VLOOKUP(A372,sinap!$A$2:$R$9000,8,FALSE)</f>
        <v>11.1.01.0941</v>
      </c>
      <c r="Q372" s="15" t="str">
        <f>VLOOKUP(A372,sinap!$A$2:$R$9000,12,FALSE)</f>
        <v>11.1.01.1241</v>
      </c>
      <c r="R372" s="15" t="str">
        <f>VLOOKUP(A372,sinap!$A$2:$R$9000,16,FALSE)</f>
        <v>11.1.01.1241</v>
      </c>
      <c r="S372" s="15" t="str">
        <f>VLOOKUP(A372,sinap!$A$2:$Y$9000,20,FALSE)</f>
        <v>SI</v>
      </c>
      <c r="T372" s="16">
        <v>46006</v>
      </c>
    </row>
    <row r="373" spans="1:20" x14ac:dyDescent="0.25">
      <c r="A373" s="15">
        <v>26234461</v>
      </c>
      <c r="J373" s="15" t="str">
        <f>VLOOKUP(A373,sinap!$A$2:$R$9000,2,FALSE)</f>
        <v>M</v>
      </c>
      <c r="K373" s="15" t="str">
        <f>VLOOKUP(A373,sinap!$A$2:$R$9000,3,FALSE)</f>
        <v>TERNERO</v>
      </c>
      <c r="L373" s="15" t="str">
        <f>VLOOKUP(A373,sinap!$A$2:$R$9000,4,FALSE)</f>
        <v>ANGUS NEGRO</v>
      </c>
      <c r="M373" s="15" t="str">
        <f>VLOOKUP(A373,sinap!$A$2:$R$9000,5,FALSE)</f>
        <v>0 años 1 meses</v>
      </c>
      <c r="N373" s="15" t="str">
        <f>VLOOKUP(A373,sinap!$A$2:$R$9000,6,FALSE)</f>
        <v>16-12-2025</v>
      </c>
      <c r="O373" s="15" t="str">
        <f>VLOOKUP(A373,sinap!$A$2:$R$9000,7,FALSE)</f>
        <v>Vivo</v>
      </c>
      <c r="P373" s="15" t="str">
        <f>VLOOKUP(A373,sinap!$A$2:$R$9000,8,FALSE)</f>
        <v>11.1.01.1241</v>
      </c>
      <c r="Q373" s="15" t="str">
        <f>VLOOKUP(A373,sinap!$A$2:$R$9000,12,FALSE)</f>
        <v>Sin Movimiento</v>
      </c>
      <c r="R373" s="15" t="str">
        <f>VLOOKUP(A373,sinap!$A$2:$R$9000,16,FALSE)</f>
        <v>11.1.01.1241</v>
      </c>
      <c r="S373" s="15" t="str">
        <f>VLOOKUP(A373,sinap!$A$2:$Y$9000,20,FALSE)</f>
        <v>SI</v>
      </c>
      <c r="T373" s="16">
        <v>46008</v>
      </c>
    </row>
    <row r="374" spans="1:20" x14ac:dyDescent="0.25">
      <c r="A374" s="15">
        <v>26234462</v>
      </c>
      <c r="J374" s="15" t="str">
        <f>VLOOKUP(A374,sinap!$A$2:$R$9000,2,FALSE)</f>
        <v>H</v>
      </c>
      <c r="K374" s="15" t="str">
        <f>VLOOKUP(A374,sinap!$A$2:$R$9000,3,FALSE)</f>
        <v>TERNERA</v>
      </c>
      <c r="L374" s="15" t="str">
        <f>VLOOKUP(A374,sinap!$A$2:$R$9000,4,FALSE)</f>
        <v>ANGUS NEGRO</v>
      </c>
      <c r="M374" s="15" t="str">
        <f>VLOOKUP(A374,sinap!$A$2:$R$9000,5,FALSE)</f>
        <v>0 años 1 meses</v>
      </c>
      <c r="N374" s="15" t="str">
        <f>VLOOKUP(A374,sinap!$A$2:$R$9000,6,FALSE)</f>
        <v>16-12-2025</v>
      </c>
      <c r="O374" s="15" t="str">
        <f>VLOOKUP(A374,sinap!$A$2:$R$9000,7,FALSE)</f>
        <v>Vivo</v>
      </c>
      <c r="P374" s="15" t="str">
        <f>VLOOKUP(A374,sinap!$A$2:$R$9000,8,FALSE)</f>
        <v>11.1.01.1241</v>
      </c>
      <c r="Q374" s="15" t="str">
        <f>VLOOKUP(A374,sinap!$A$2:$R$9000,12,FALSE)</f>
        <v>Sin Movimiento</v>
      </c>
      <c r="R374" s="15" t="str">
        <f>VLOOKUP(A374,sinap!$A$2:$R$9000,16,FALSE)</f>
        <v>11.1.01.1241</v>
      </c>
      <c r="S374" s="15" t="str">
        <f>VLOOKUP(A374,sinap!$A$2:$Y$9000,20,FALSE)</f>
        <v>SI</v>
      </c>
      <c r="T374" s="16">
        <v>46008</v>
      </c>
    </row>
    <row r="375" spans="1:20" x14ac:dyDescent="0.25">
      <c r="A375" s="15">
        <v>26234463</v>
      </c>
      <c r="J375" s="15" t="str">
        <f>VLOOKUP(A375,sinap!$A$2:$R$9000,2,FALSE)</f>
        <v>H</v>
      </c>
      <c r="K375" s="15" t="str">
        <f>VLOOKUP(A375,sinap!$A$2:$R$9000,3,FALSE)</f>
        <v>TERNERA</v>
      </c>
      <c r="L375" s="15" t="str">
        <f>VLOOKUP(A375,sinap!$A$2:$R$9000,4,FALSE)</f>
        <v>ANGUS ROJO</v>
      </c>
      <c r="M375" s="15" t="str">
        <f>VLOOKUP(A375,sinap!$A$2:$R$9000,5,FALSE)</f>
        <v>0 años 1 meses</v>
      </c>
      <c r="N375" s="15" t="str">
        <f>VLOOKUP(A375,sinap!$A$2:$R$9000,6,FALSE)</f>
        <v>16-12-2025</v>
      </c>
      <c r="O375" s="15" t="str">
        <f>VLOOKUP(A375,sinap!$A$2:$R$9000,7,FALSE)</f>
        <v>Vivo</v>
      </c>
      <c r="P375" s="15" t="str">
        <f>VLOOKUP(A375,sinap!$A$2:$R$9000,8,FALSE)</f>
        <v>11.1.01.1241</v>
      </c>
      <c r="Q375" s="15" t="str">
        <f>VLOOKUP(A375,sinap!$A$2:$R$9000,12,FALSE)</f>
        <v>Sin Movimiento</v>
      </c>
      <c r="R375" s="15" t="str">
        <f>VLOOKUP(A375,sinap!$A$2:$R$9000,16,FALSE)</f>
        <v>11.1.01.1241</v>
      </c>
      <c r="S375" s="15" t="str">
        <f>VLOOKUP(A375,sinap!$A$2:$Y$9000,20,FALSE)</f>
        <v>SI</v>
      </c>
      <c r="T375" s="16">
        <v>46008</v>
      </c>
    </row>
    <row r="376" spans="1:20" x14ac:dyDescent="0.25">
      <c r="A376" s="15">
        <v>26234464</v>
      </c>
      <c r="J376" s="15" t="str">
        <f>VLOOKUP(A376,sinap!$A$2:$R$9000,2,FALSE)</f>
        <v>H</v>
      </c>
      <c r="K376" s="15" t="str">
        <f>VLOOKUP(A376,sinap!$A$2:$R$9000,3,FALSE)</f>
        <v>TERNERA</v>
      </c>
      <c r="L376" s="15" t="str">
        <f>VLOOKUP(A376,sinap!$A$2:$R$9000,4,FALSE)</f>
        <v>HEREFORD</v>
      </c>
      <c r="M376" s="15" t="str">
        <f>VLOOKUP(A376,sinap!$A$2:$R$9000,5,FALSE)</f>
        <v>0 años 1 meses</v>
      </c>
      <c r="N376" s="15" t="str">
        <f>VLOOKUP(A376,sinap!$A$2:$R$9000,6,FALSE)</f>
        <v>16-12-2025</v>
      </c>
      <c r="O376" s="15" t="str">
        <f>VLOOKUP(A376,sinap!$A$2:$R$9000,7,FALSE)</f>
        <v>Vivo</v>
      </c>
      <c r="P376" s="15" t="str">
        <f>VLOOKUP(A376,sinap!$A$2:$R$9000,8,FALSE)</f>
        <v>11.1.01.1241</v>
      </c>
      <c r="Q376" s="15" t="str">
        <f>VLOOKUP(A376,sinap!$A$2:$R$9000,12,FALSE)</f>
        <v>Sin Movimiento</v>
      </c>
      <c r="R376" s="15" t="str">
        <f>VLOOKUP(A376,sinap!$A$2:$R$9000,16,FALSE)</f>
        <v>11.1.01.1241</v>
      </c>
      <c r="S376" s="15" t="str">
        <f>VLOOKUP(A376,sinap!$A$2:$Y$9000,20,FALSE)</f>
        <v>SI</v>
      </c>
      <c r="T376" s="16">
        <v>46008</v>
      </c>
    </row>
    <row r="377" spans="1:20" x14ac:dyDescent="0.25">
      <c r="A377" s="15">
        <v>26234465</v>
      </c>
      <c r="J377" s="15" t="str">
        <f>VLOOKUP(A377,sinap!$A$2:$R$9000,2,FALSE)</f>
        <v>H</v>
      </c>
      <c r="K377" s="15" t="str">
        <f>VLOOKUP(A377,sinap!$A$2:$R$9000,3,FALSE)</f>
        <v>TERNERA</v>
      </c>
      <c r="L377" s="15" t="str">
        <f>VLOOKUP(A377,sinap!$A$2:$R$9000,4,FALSE)</f>
        <v>HEREFORD</v>
      </c>
      <c r="M377" s="15" t="str">
        <f>VLOOKUP(A377,sinap!$A$2:$R$9000,5,FALSE)</f>
        <v>0 años 1 meses</v>
      </c>
      <c r="N377" s="15" t="str">
        <f>VLOOKUP(A377,sinap!$A$2:$R$9000,6,FALSE)</f>
        <v>16-12-2025</v>
      </c>
      <c r="O377" s="15" t="str">
        <f>VLOOKUP(A377,sinap!$A$2:$R$9000,7,FALSE)</f>
        <v>Vivo</v>
      </c>
      <c r="P377" s="15" t="str">
        <f>VLOOKUP(A377,sinap!$A$2:$R$9000,8,FALSE)</f>
        <v>11.1.01.1241</v>
      </c>
      <c r="Q377" s="15" t="str">
        <f>VLOOKUP(A377,sinap!$A$2:$R$9000,12,FALSE)</f>
        <v>Sin Movimiento</v>
      </c>
      <c r="R377" s="15" t="str">
        <f>VLOOKUP(A377,sinap!$A$2:$R$9000,16,FALSE)</f>
        <v>11.1.01.1241</v>
      </c>
      <c r="S377" s="15" t="str">
        <f>VLOOKUP(A377,sinap!$A$2:$Y$9000,20,FALSE)</f>
        <v>SI</v>
      </c>
      <c r="T377" s="16">
        <v>46008</v>
      </c>
    </row>
    <row r="378" spans="1:20" x14ac:dyDescent="0.25">
      <c r="A378" s="15">
        <v>26234466</v>
      </c>
      <c r="J378" s="15" t="str">
        <f>VLOOKUP(A378,sinap!$A$2:$R$9000,2,FALSE)</f>
        <v>M</v>
      </c>
      <c r="K378" s="15" t="str">
        <f>VLOOKUP(A378,sinap!$A$2:$R$9000,3,FALSE)</f>
        <v>TERNERO</v>
      </c>
      <c r="L378" s="15" t="str">
        <f>VLOOKUP(A378,sinap!$A$2:$R$9000,4,FALSE)</f>
        <v>HEREFORD</v>
      </c>
      <c r="M378" s="15" t="str">
        <f>VLOOKUP(A378,sinap!$A$2:$R$9000,5,FALSE)</f>
        <v>0 años 1 meses</v>
      </c>
      <c r="N378" s="15" t="str">
        <f>VLOOKUP(A378,sinap!$A$2:$R$9000,6,FALSE)</f>
        <v>16-12-2025</v>
      </c>
      <c r="O378" s="15" t="str">
        <f>VLOOKUP(A378,sinap!$A$2:$R$9000,7,FALSE)</f>
        <v>Vivo</v>
      </c>
      <c r="P378" s="15" t="str">
        <f>VLOOKUP(A378,sinap!$A$2:$R$9000,8,FALSE)</f>
        <v>11.1.01.1241</v>
      </c>
      <c r="Q378" s="15" t="str">
        <f>VLOOKUP(A378,sinap!$A$2:$R$9000,12,FALSE)</f>
        <v>Sin Movimiento</v>
      </c>
      <c r="R378" s="15" t="str">
        <f>VLOOKUP(A378,sinap!$A$2:$R$9000,16,FALSE)</f>
        <v>11.1.01.1241</v>
      </c>
      <c r="S378" s="15" t="str">
        <f>VLOOKUP(A378,sinap!$A$2:$Y$9000,20,FALSE)</f>
        <v>SI</v>
      </c>
      <c r="T378" s="16">
        <v>46008</v>
      </c>
    </row>
    <row r="379" spans="1:20" x14ac:dyDescent="0.25">
      <c r="A379" s="15">
        <v>26234467</v>
      </c>
      <c r="J379" s="15" t="str">
        <f>VLOOKUP(A379,sinap!$A$2:$R$9000,2,FALSE)</f>
        <v>M</v>
      </c>
      <c r="K379" s="15" t="str">
        <f>VLOOKUP(A379,sinap!$A$2:$R$9000,3,FALSE)</f>
        <v>TERNERO</v>
      </c>
      <c r="L379" s="15" t="str">
        <f>VLOOKUP(A379,sinap!$A$2:$R$9000,4,FALSE)</f>
        <v>HEREFORD</v>
      </c>
      <c r="M379" s="15" t="str">
        <f>VLOOKUP(A379,sinap!$A$2:$R$9000,5,FALSE)</f>
        <v>0 años 1 meses</v>
      </c>
      <c r="N379" s="15" t="str">
        <f>VLOOKUP(A379,sinap!$A$2:$R$9000,6,FALSE)</f>
        <v>16-12-2025</v>
      </c>
      <c r="O379" s="15" t="str">
        <f>VLOOKUP(A379,sinap!$A$2:$R$9000,7,FALSE)</f>
        <v>Vivo</v>
      </c>
      <c r="P379" s="15" t="str">
        <f>VLOOKUP(A379,sinap!$A$2:$R$9000,8,FALSE)</f>
        <v>11.1.01.1241</v>
      </c>
      <c r="Q379" s="15" t="str">
        <f>VLOOKUP(A379,sinap!$A$2:$R$9000,12,FALSE)</f>
        <v>Sin Movimiento</v>
      </c>
      <c r="R379" s="15" t="str">
        <f>VLOOKUP(A379,sinap!$A$2:$R$9000,16,FALSE)</f>
        <v>11.1.01.1241</v>
      </c>
      <c r="S379" s="15" t="str">
        <f>VLOOKUP(A379,sinap!$A$2:$Y$9000,20,FALSE)</f>
        <v>SI</v>
      </c>
      <c r="T379" s="16">
        <v>46008</v>
      </c>
    </row>
    <row r="380" spans="1:20" x14ac:dyDescent="0.25">
      <c r="A380" s="15">
        <v>26234468</v>
      </c>
      <c r="J380" s="15" t="str">
        <f>VLOOKUP(A380,sinap!$A$2:$R$9000,2,FALSE)</f>
        <v>H</v>
      </c>
      <c r="K380" s="15" t="str">
        <f>VLOOKUP(A380,sinap!$A$2:$R$9000,3,FALSE)</f>
        <v>TERNERA</v>
      </c>
      <c r="L380" s="15" t="str">
        <f>VLOOKUP(A380,sinap!$A$2:$R$9000,4,FALSE)</f>
        <v>HEREFORD</v>
      </c>
      <c r="M380" s="15" t="str">
        <f>VLOOKUP(A380,sinap!$A$2:$R$9000,5,FALSE)</f>
        <v>0 años 1 meses</v>
      </c>
      <c r="N380" s="15" t="str">
        <f>VLOOKUP(A380,sinap!$A$2:$R$9000,6,FALSE)</f>
        <v>16-12-2025</v>
      </c>
      <c r="O380" s="15" t="str">
        <f>VLOOKUP(A380,sinap!$A$2:$R$9000,7,FALSE)</f>
        <v>Vivo</v>
      </c>
      <c r="P380" s="15" t="str">
        <f>VLOOKUP(A380,sinap!$A$2:$R$9000,8,FALSE)</f>
        <v>11.1.01.1241</v>
      </c>
      <c r="Q380" s="15" t="str">
        <f>VLOOKUP(A380,sinap!$A$2:$R$9000,12,FALSE)</f>
        <v>Sin Movimiento</v>
      </c>
      <c r="R380" s="15" t="str">
        <f>VLOOKUP(A380,sinap!$A$2:$R$9000,16,FALSE)</f>
        <v>11.1.01.1241</v>
      </c>
      <c r="S380" s="15" t="str">
        <f>VLOOKUP(A380,sinap!$A$2:$Y$9000,20,FALSE)</f>
        <v>SI</v>
      </c>
      <c r="T380" s="16">
        <v>46008</v>
      </c>
    </row>
    <row r="381" spans="1:20" x14ac:dyDescent="0.25">
      <c r="A381" s="15">
        <v>26234469</v>
      </c>
      <c r="J381" s="15" t="str">
        <f>VLOOKUP(A381,sinap!$A$2:$R$9000,2,FALSE)</f>
        <v>M</v>
      </c>
      <c r="K381" s="15" t="str">
        <f>VLOOKUP(A381,sinap!$A$2:$R$9000,3,FALSE)</f>
        <v>TERNERO</v>
      </c>
      <c r="L381" s="15" t="str">
        <f>VLOOKUP(A381,sinap!$A$2:$R$9000,4,FALSE)</f>
        <v>HEREFORD</v>
      </c>
      <c r="M381" s="15" t="str">
        <f>VLOOKUP(A381,sinap!$A$2:$R$9000,5,FALSE)</f>
        <v>0 años 1 meses</v>
      </c>
      <c r="N381" s="15" t="str">
        <f>VLOOKUP(A381,sinap!$A$2:$R$9000,6,FALSE)</f>
        <v>16-12-2025</v>
      </c>
      <c r="O381" s="15" t="str">
        <f>VLOOKUP(A381,sinap!$A$2:$R$9000,7,FALSE)</f>
        <v>Vivo</v>
      </c>
      <c r="P381" s="15" t="str">
        <f>VLOOKUP(A381,sinap!$A$2:$R$9000,8,FALSE)</f>
        <v>11.1.01.1241</v>
      </c>
      <c r="Q381" s="15" t="str">
        <f>VLOOKUP(A381,sinap!$A$2:$R$9000,12,FALSE)</f>
        <v>Sin Movimiento</v>
      </c>
      <c r="R381" s="15" t="str">
        <f>VLOOKUP(A381,sinap!$A$2:$R$9000,16,FALSE)</f>
        <v>11.1.01.1241</v>
      </c>
      <c r="S381" s="15" t="str">
        <f>VLOOKUP(A381,sinap!$A$2:$Y$9000,20,FALSE)</f>
        <v>SI</v>
      </c>
      <c r="T381" s="16">
        <v>46008</v>
      </c>
    </row>
    <row r="382" spans="1:20" x14ac:dyDescent="0.25">
      <c r="A382" s="15">
        <v>26234470</v>
      </c>
      <c r="J382" s="15" t="str">
        <f>VLOOKUP(A382,sinap!$A$2:$R$9000,2,FALSE)</f>
        <v>M</v>
      </c>
      <c r="K382" s="15" t="str">
        <f>VLOOKUP(A382,sinap!$A$2:$R$9000,3,FALSE)</f>
        <v>TERNERO</v>
      </c>
      <c r="L382" s="15" t="str">
        <f>VLOOKUP(A382,sinap!$A$2:$R$9000,4,FALSE)</f>
        <v>HEREFORD</v>
      </c>
      <c r="M382" s="15" t="str">
        <f>VLOOKUP(A382,sinap!$A$2:$R$9000,5,FALSE)</f>
        <v>0 años 1 meses</v>
      </c>
      <c r="N382" s="15" t="str">
        <f>VLOOKUP(A382,sinap!$A$2:$R$9000,6,FALSE)</f>
        <v>16-12-2025</v>
      </c>
      <c r="O382" s="15" t="str">
        <f>VLOOKUP(A382,sinap!$A$2:$R$9000,7,FALSE)</f>
        <v>Vivo</v>
      </c>
      <c r="P382" s="15" t="str">
        <f>VLOOKUP(A382,sinap!$A$2:$R$9000,8,FALSE)</f>
        <v>11.1.01.1241</v>
      </c>
      <c r="Q382" s="15" t="str">
        <f>VLOOKUP(A382,sinap!$A$2:$R$9000,12,FALSE)</f>
        <v>Sin Movimiento</v>
      </c>
      <c r="R382" s="15" t="str">
        <f>VLOOKUP(A382,sinap!$A$2:$R$9000,16,FALSE)</f>
        <v>11.1.01.1241</v>
      </c>
      <c r="S382" s="15" t="str">
        <f>VLOOKUP(A382,sinap!$A$2:$Y$9000,20,FALSE)</f>
        <v>SI</v>
      </c>
      <c r="T382" s="16">
        <v>46008</v>
      </c>
    </row>
    <row r="383" spans="1:20" x14ac:dyDescent="0.25">
      <c r="A383" s="15">
        <v>26234471</v>
      </c>
      <c r="J383" s="15" t="str">
        <f>VLOOKUP(A383,sinap!$A$2:$R$9000,2,FALSE)</f>
        <v>M</v>
      </c>
      <c r="K383" s="15" t="str">
        <f>VLOOKUP(A383,sinap!$A$2:$R$9000,3,FALSE)</f>
        <v>TERNERO</v>
      </c>
      <c r="L383" s="15" t="str">
        <f>VLOOKUP(A383,sinap!$A$2:$R$9000,4,FALSE)</f>
        <v>HEREFORD</v>
      </c>
      <c r="M383" s="15" t="str">
        <f>VLOOKUP(A383,sinap!$A$2:$R$9000,5,FALSE)</f>
        <v>0 años 1 meses</v>
      </c>
      <c r="N383" s="15" t="str">
        <f>VLOOKUP(A383,sinap!$A$2:$R$9000,6,FALSE)</f>
        <v>16-12-2025</v>
      </c>
      <c r="O383" s="15" t="str">
        <f>VLOOKUP(A383,sinap!$A$2:$R$9000,7,FALSE)</f>
        <v>Vivo</v>
      </c>
      <c r="P383" s="15" t="str">
        <f>VLOOKUP(A383,sinap!$A$2:$R$9000,8,FALSE)</f>
        <v>11.1.01.1241</v>
      </c>
      <c r="Q383" s="15" t="str">
        <f>VLOOKUP(A383,sinap!$A$2:$R$9000,12,FALSE)</f>
        <v>Sin Movimiento</v>
      </c>
      <c r="R383" s="15" t="str">
        <f>VLOOKUP(A383,sinap!$A$2:$R$9000,16,FALSE)</f>
        <v>11.1.01.1241</v>
      </c>
      <c r="S383" s="15" t="str">
        <f>VLOOKUP(A383,sinap!$A$2:$Y$9000,20,FALSE)</f>
        <v>SI</v>
      </c>
      <c r="T383" s="16">
        <v>46008</v>
      </c>
    </row>
    <row r="384" spans="1:20" x14ac:dyDescent="0.25">
      <c r="A384" s="15">
        <v>26234472</v>
      </c>
      <c r="J384" s="15" t="str">
        <f>VLOOKUP(A384,sinap!$A$2:$R$9000,2,FALSE)</f>
        <v>M</v>
      </c>
      <c r="K384" s="15" t="str">
        <f>VLOOKUP(A384,sinap!$A$2:$R$9000,3,FALSE)</f>
        <v>TERNERO</v>
      </c>
      <c r="L384" s="15" t="str">
        <f>VLOOKUP(A384,sinap!$A$2:$R$9000,4,FALSE)</f>
        <v>ANGUS ROJO</v>
      </c>
      <c r="M384" s="15" t="str">
        <f>VLOOKUP(A384,sinap!$A$2:$R$9000,5,FALSE)</f>
        <v>0 años 1 meses</v>
      </c>
      <c r="N384" s="15" t="str">
        <f>VLOOKUP(A384,sinap!$A$2:$R$9000,6,FALSE)</f>
        <v>16-12-2025</v>
      </c>
      <c r="O384" s="15" t="str">
        <f>VLOOKUP(A384,sinap!$A$2:$R$9000,7,FALSE)</f>
        <v>Vivo</v>
      </c>
      <c r="P384" s="15" t="str">
        <f>VLOOKUP(A384,sinap!$A$2:$R$9000,8,FALSE)</f>
        <v>11.1.01.1241</v>
      </c>
      <c r="Q384" s="15" t="str">
        <f>VLOOKUP(A384,sinap!$A$2:$R$9000,12,FALSE)</f>
        <v>Sin Movimiento</v>
      </c>
      <c r="R384" s="15" t="str">
        <f>VLOOKUP(A384,sinap!$A$2:$R$9000,16,FALSE)</f>
        <v>11.1.01.1241</v>
      </c>
      <c r="S384" s="15" t="str">
        <f>VLOOKUP(A384,sinap!$A$2:$Y$9000,20,FALSE)</f>
        <v>SI</v>
      </c>
      <c r="T384" s="16">
        <v>46008</v>
      </c>
    </row>
    <row r="385" spans="1:20" x14ac:dyDescent="0.25">
      <c r="A385" s="15">
        <v>26234473</v>
      </c>
      <c r="J385" s="15" t="str">
        <f>VLOOKUP(A385,sinap!$A$2:$R$9000,2,FALSE)</f>
        <v>H</v>
      </c>
      <c r="K385" s="15" t="str">
        <f>VLOOKUP(A385,sinap!$A$2:$R$9000,3,FALSE)</f>
        <v>TERNERA</v>
      </c>
      <c r="L385" s="15" t="str">
        <f>VLOOKUP(A385,sinap!$A$2:$R$9000,4,FALSE)</f>
        <v>ANGUS NEGRO</v>
      </c>
      <c r="M385" s="15" t="str">
        <f>VLOOKUP(A385,sinap!$A$2:$R$9000,5,FALSE)</f>
        <v>0 años 1 meses</v>
      </c>
      <c r="N385" s="15" t="str">
        <f>VLOOKUP(A385,sinap!$A$2:$R$9000,6,FALSE)</f>
        <v>16-12-2025</v>
      </c>
      <c r="O385" s="15" t="str">
        <f>VLOOKUP(A385,sinap!$A$2:$R$9000,7,FALSE)</f>
        <v>Vivo</v>
      </c>
      <c r="P385" s="15" t="str">
        <f>VLOOKUP(A385,sinap!$A$2:$R$9000,8,FALSE)</f>
        <v>11.1.01.1241</v>
      </c>
      <c r="Q385" s="15" t="str">
        <f>VLOOKUP(A385,sinap!$A$2:$R$9000,12,FALSE)</f>
        <v>Sin Movimiento</v>
      </c>
      <c r="R385" s="15" t="str">
        <f>VLOOKUP(A385,sinap!$A$2:$R$9000,16,FALSE)</f>
        <v>11.1.01.1241</v>
      </c>
      <c r="S385" s="15" t="str">
        <f>VLOOKUP(A385,sinap!$A$2:$Y$9000,20,FALSE)</f>
        <v>SI</v>
      </c>
      <c r="T385" s="16">
        <v>46008</v>
      </c>
    </row>
    <row r="386" spans="1:20" x14ac:dyDescent="0.25">
      <c r="A386" s="15">
        <v>26234474</v>
      </c>
      <c r="J386" s="15" t="str">
        <f>VLOOKUP(A386,sinap!$A$2:$R$9000,2,FALSE)</f>
        <v>H</v>
      </c>
      <c r="K386" s="15" t="str">
        <f>VLOOKUP(A386,sinap!$A$2:$R$9000,3,FALSE)</f>
        <v>TERNERA</v>
      </c>
      <c r="L386" s="15" t="str">
        <f>VLOOKUP(A386,sinap!$A$2:$R$9000,4,FALSE)</f>
        <v>ANGUS NEGRO</v>
      </c>
      <c r="M386" s="15" t="str">
        <f>VLOOKUP(A386,sinap!$A$2:$R$9000,5,FALSE)</f>
        <v>0 años 1 meses</v>
      </c>
      <c r="N386" s="15" t="str">
        <f>VLOOKUP(A386,sinap!$A$2:$R$9000,6,FALSE)</f>
        <v>16-12-2025</v>
      </c>
      <c r="O386" s="15" t="str">
        <f>VLOOKUP(A386,sinap!$A$2:$R$9000,7,FALSE)</f>
        <v>Vivo</v>
      </c>
      <c r="P386" s="15" t="str">
        <f>VLOOKUP(A386,sinap!$A$2:$R$9000,8,FALSE)</f>
        <v>11.1.01.1241</v>
      </c>
      <c r="Q386" s="15" t="str">
        <f>VLOOKUP(A386,sinap!$A$2:$R$9000,12,FALSE)</f>
        <v>Sin Movimiento</v>
      </c>
      <c r="R386" s="15" t="str">
        <f>VLOOKUP(A386,sinap!$A$2:$R$9000,16,FALSE)</f>
        <v>11.1.01.1241</v>
      </c>
      <c r="S386" s="15" t="str">
        <f>VLOOKUP(A386,sinap!$A$2:$Y$9000,20,FALSE)</f>
        <v>SI</v>
      </c>
      <c r="T386" s="16">
        <v>46008</v>
      </c>
    </row>
    <row r="387" spans="1:20" x14ac:dyDescent="0.25">
      <c r="A387" s="15">
        <v>26234475</v>
      </c>
      <c r="J387" s="15" t="str">
        <f>VLOOKUP(A387,sinap!$A$2:$R$9000,2,FALSE)</f>
        <v>M</v>
      </c>
      <c r="K387" s="15" t="str">
        <f>VLOOKUP(A387,sinap!$A$2:$R$9000,3,FALSE)</f>
        <v>TERNERO</v>
      </c>
      <c r="L387" s="15" t="str">
        <f>VLOOKUP(A387,sinap!$A$2:$R$9000,4,FALSE)</f>
        <v>ANGUS NEGRO</v>
      </c>
      <c r="M387" s="15" t="str">
        <f>VLOOKUP(A387,sinap!$A$2:$R$9000,5,FALSE)</f>
        <v>0 años 1 meses</v>
      </c>
      <c r="N387" s="15" t="str">
        <f>VLOOKUP(A387,sinap!$A$2:$R$9000,6,FALSE)</f>
        <v>16-12-2025</v>
      </c>
      <c r="O387" s="15" t="str">
        <f>VLOOKUP(A387,sinap!$A$2:$R$9000,7,FALSE)</f>
        <v>Vivo</v>
      </c>
      <c r="P387" s="15" t="str">
        <f>VLOOKUP(A387,sinap!$A$2:$R$9000,8,FALSE)</f>
        <v>11.1.01.1241</v>
      </c>
      <c r="Q387" s="15" t="str">
        <f>VLOOKUP(A387,sinap!$A$2:$R$9000,12,FALSE)</f>
        <v>Sin Movimiento</v>
      </c>
      <c r="R387" s="15" t="str">
        <f>VLOOKUP(A387,sinap!$A$2:$R$9000,16,FALSE)</f>
        <v>11.1.01.1241</v>
      </c>
      <c r="S387" s="15" t="str">
        <f>VLOOKUP(A387,sinap!$A$2:$Y$9000,20,FALSE)</f>
        <v>SI</v>
      </c>
      <c r="T387" s="16">
        <v>46008</v>
      </c>
    </row>
    <row r="388" spans="1:20" x14ac:dyDescent="0.25">
      <c r="A388" s="15">
        <v>26234476</v>
      </c>
      <c r="J388" s="15" t="str">
        <f>VLOOKUP(A388,sinap!$A$2:$R$9000,2,FALSE)</f>
        <v>M</v>
      </c>
      <c r="K388" s="15" t="str">
        <f>VLOOKUP(A388,sinap!$A$2:$R$9000,3,FALSE)</f>
        <v>TERNERO</v>
      </c>
      <c r="L388" s="15" t="str">
        <f>VLOOKUP(A388,sinap!$A$2:$R$9000,4,FALSE)</f>
        <v>ANGUS NEGRO</v>
      </c>
      <c r="M388" s="15" t="str">
        <f>VLOOKUP(A388,sinap!$A$2:$R$9000,5,FALSE)</f>
        <v>0 años 1 meses</v>
      </c>
      <c r="N388" s="15" t="str">
        <f>VLOOKUP(A388,sinap!$A$2:$R$9000,6,FALSE)</f>
        <v>16-12-2025</v>
      </c>
      <c r="O388" s="15" t="str">
        <f>VLOOKUP(A388,sinap!$A$2:$R$9000,7,FALSE)</f>
        <v>Vivo</v>
      </c>
      <c r="P388" s="15" t="str">
        <f>VLOOKUP(A388,sinap!$A$2:$R$9000,8,FALSE)</f>
        <v>11.1.01.1241</v>
      </c>
      <c r="Q388" s="15" t="str">
        <f>VLOOKUP(A388,sinap!$A$2:$R$9000,12,FALSE)</f>
        <v>Sin Movimiento</v>
      </c>
      <c r="R388" s="15" t="str">
        <f>VLOOKUP(A388,sinap!$A$2:$R$9000,16,FALSE)</f>
        <v>11.1.01.1241</v>
      </c>
      <c r="S388" s="15" t="str">
        <f>VLOOKUP(A388,sinap!$A$2:$Y$9000,20,FALSE)</f>
        <v>SI</v>
      </c>
      <c r="T388" s="16">
        <v>46008</v>
      </c>
    </row>
    <row r="389" spans="1:20" x14ac:dyDescent="0.25">
      <c r="A389" s="15">
        <v>26234477</v>
      </c>
      <c r="J389" s="15" t="str">
        <f>VLOOKUP(A389,sinap!$A$2:$R$9000,2,FALSE)</f>
        <v>M</v>
      </c>
      <c r="K389" s="15" t="str">
        <f>VLOOKUP(A389,sinap!$A$2:$R$9000,3,FALSE)</f>
        <v>TERNERO</v>
      </c>
      <c r="L389" s="15" t="str">
        <f>VLOOKUP(A389,sinap!$A$2:$R$9000,4,FALSE)</f>
        <v>ANGUS NEGRO</v>
      </c>
      <c r="M389" s="15" t="str">
        <f>VLOOKUP(A389,sinap!$A$2:$R$9000,5,FALSE)</f>
        <v>0 años 1 meses</v>
      </c>
      <c r="N389" s="15" t="str">
        <f>VLOOKUP(A389,sinap!$A$2:$R$9000,6,FALSE)</f>
        <v>16-12-2025</v>
      </c>
      <c r="O389" s="15" t="str">
        <f>VLOOKUP(A389,sinap!$A$2:$R$9000,7,FALSE)</f>
        <v>Vivo</v>
      </c>
      <c r="P389" s="15" t="str">
        <f>VLOOKUP(A389,sinap!$A$2:$R$9000,8,FALSE)</f>
        <v>11.1.01.1241</v>
      </c>
      <c r="Q389" s="15" t="str">
        <f>VLOOKUP(A389,sinap!$A$2:$R$9000,12,FALSE)</f>
        <v>Sin Movimiento</v>
      </c>
      <c r="R389" s="15" t="str">
        <f>VLOOKUP(A389,sinap!$A$2:$R$9000,16,FALSE)</f>
        <v>11.1.01.1241</v>
      </c>
      <c r="S389" s="15" t="str">
        <f>VLOOKUP(A389,sinap!$A$2:$Y$9000,20,FALSE)</f>
        <v>SI</v>
      </c>
      <c r="T389" s="16">
        <v>46008</v>
      </c>
    </row>
    <row r="390" spans="1:20" x14ac:dyDescent="0.25">
      <c r="A390" s="15">
        <v>26234485</v>
      </c>
      <c r="J390" s="15" t="str">
        <f>VLOOKUP(A390,sinap!$A$2:$R$9000,2,FALSE)</f>
        <v>H</v>
      </c>
      <c r="K390" s="15" t="str">
        <f>VLOOKUP(A390,sinap!$A$2:$R$9000,3,FALSE)</f>
        <v>TERNERA</v>
      </c>
      <c r="L390" s="15" t="str">
        <f>VLOOKUP(A390,sinap!$A$2:$R$9000,4,FALSE)</f>
        <v>ANGUS NEGRO</v>
      </c>
      <c r="M390" s="15" t="str">
        <f>VLOOKUP(A390,sinap!$A$2:$R$9000,5,FALSE)</f>
        <v>0 años 0 meses</v>
      </c>
      <c r="N390" s="15" t="str">
        <f>VLOOKUP(A390,sinap!$A$2:$R$9000,6,FALSE)</f>
        <v>21-12-2025</v>
      </c>
      <c r="O390" s="15" t="str">
        <f>VLOOKUP(A390,sinap!$A$2:$R$9000,7,FALSE)</f>
        <v>Vivo</v>
      </c>
      <c r="P390" s="15" t="str">
        <f>VLOOKUP(A390,sinap!$A$2:$R$9000,8,FALSE)</f>
        <v>11.1.01.0791</v>
      </c>
      <c r="Q390" s="15" t="str">
        <f>VLOOKUP(A390,sinap!$A$2:$R$9000,12,FALSE)</f>
        <v>11.1.01.0893</v>
      </c>
      <c r="R390" s="15" t="str">
        <f>VLOOKUP(A390,sinap!$A$2:$R$9000,16,FALSE)</f>
        <v>11.1.01.0893</v>
      </c>
      <c r="S390" s="15" t="str">
        <f>VLOOKUP(A390,sinap!$A$2:$Y$9000,20,FALSE)</f>
        <v>SI</v>
      </c>
      <c r="T390" s="16">
        <v>46012</v>
      </c>
    </row>
  </sheetData>
  <autoFilter ref="A1:W390" xr:uid="{00000000-0009-0000-0000-000001000000}"/>
  <pageMargins left="0.7" right="0.7" top="0.75" bottom="0.75" header="0.3" footer="0.3"/>
  <pageSetup paperSize="30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00"/>
  </sheetPr>
  <dimension ref="A1:T2084"/>
  <sheetViews>
    <sheetView workbookViewId="0">
      <pane ySplit="1" topLeftCell="A2" activePane="bottomLeft" state="frozen"/>
      <selection pane="bottomLeft" activeCell="D1" sqref="D1"/>
    </sheetView>
  </sheetViews>
  <sheetFormatPr baseColWidth="10" defaultRowHeight="15" x14ac:dyDescent="0.25"/>
  <cols>
    <col min="1" max="1" width="11.42578125" style="15"/>
    <col min="2" max="3" width="16.28515625" style="15" customWidth="1"/>
    <col min="4" max="9" width="16.28515625" style="16" customWidth="1"/>
    <col min="10" max="11" width="11.42578125" style="15" customWidth="1"/>
    <col min="12" max="12" width="15.28515625" style="15" customWidth="1"/>
    <col min="13" max="14" width="11.42578125" style="15" customWidth="1"/>
    <col min="15" max="15" width="10.42578125" style="15" bestFit="1" customWidth="1"/>
    <col min="16" max="16" width="13.140625" style="15" customWidth="1"/>
    <col min="17" max="17" width="14.42578125" style="15" customWidth="1"/>
    <col min="18" max="18" width="13.42578125" style="15" customWidth="1"/>
    <col min="19" max="19" width="11.42578125" style="15" customWidth="1"/>
    <col min="20" max="20" width="14.28515625" style="16" customWidth="1"/>
    <col min="21" max="16384" width="11.42578125" style="15"/>
  </cols>
  <sheetData>
    <row r="1" spans="1:20" x14ac:dyDescent="0.25">
      <c r="A1" s="15" t="s">
        <v>331</v>
      </c>
      <c r="B1" s="15" t="s">
        <v>419</v>
      </c>
      <c r="C1" s="15" t="s">
        <v>420</v>
      </c>
      <c r="D1" s="16" t="s">
        <v>421</v>
      </c>
      <c r="E1" s="16" t="s">
        <v>422</v>
      </c>
      <c r="F1" s="16" t="s">
        <v>423</v>
      </c>
      <c r="G1" s="16" t="s">
        <v>424</v>
      </c>
      <c r="H1" s="16" t="s">
        <v>425</v>
      </c>
      <c r="I1" s="16" t="s">
        <v>467</v>
      </c>
      <c r="J1" s="15" t="s">
        <v>332</v>
      </c>
      <c r="K1" s="15" t="s">
        <v>333</v>
      </c>
      <c r="L1" s="15" t="s">
        <v>334</v>
      </c>
      <c r="M1" s="15" t="s">
        <v>335</v>
      </c>
      <c r="N1" s="15" t="s">
        <v>336</v>
      </c>
      <c r="O1" s="15" t="s">
        <v>368</v>
      </c>
      <c r="P1" s="15" t="s">
        <v>337</v>
      </c>
      <c r="Q1" s="15" t="s">
        <v>338</v>
      </c>
      <c r="R1" s="15" t="s">
        <v>339</v>
      </c>
      <c r="S1" s="15" t="s">
        <v>407</v>
      </c>
      <c r="T1" s="16" t="s">
        <v>418</v>
      </c>
    </row>
    <row r="2" spans="1:20" hidden="1" x14ac:dyDescent="0.25">
      <c r="A2" s="15">
        <v>55956</v>
      </c>
      <c r="J2" s="15" t="str">
        <f>VLOOKUP(A2,sinap!$A$2:$R$9000,2,FALSE)</f>
        <v>M</v>
      </c>
      <c r="K2" s="15" t="str">
        <f>VLOOKUP(A2,sinap!$A$2:$R$9000,3,FALSE)</f>
        <v>BUEY</v>
      </c>
      <c r="L2" s="15" t="str">
        <f>VLOOKUP(A2,sinap!$A$2:$R$9000,4,FALSE)</f>
        <v>OVERO COLORADO (CLAVEL ALEMAN)</v>
      </c>
      <c r="M2" s="15" t="str">
        <f>VLOOKUP(A2,sinap!$A$2:$R$9000,5,FALSE)</f>
        <v>23 años 11 meses</v>
      </c>
      <c r="N2" s="15" t="str">
        <f>VLOOKUP(A2,sinap!$A$2:$R$9000,6,FALSE)</f>
        <v>08-02-2002</v>
      </c>
      <c r="O2" s="15" t="str">
        <f>VLOOKUP(A2,sinap!$A$2:$R$9000,7,FALSE)</f>
        <v>Vivo</v>
      </c>
      <c r="P2" s="15" t="str">
        <f>VLOOKUP(A2,sinap!$A$2:$R$9000,8,FALSE)</f>
        <v>11.1.01.1241</v>
      </c>
      <c r="Q2" s="15" t="str">
        <f>VLOOKUP(A2,sinap!$A$2:$R$9000,12,FALSE)</f>
        <v>11.1.01.0789</v>
      </c>
      <c r="R2" s="15" t="str">
        <f>VLOOKUP(A2,sinap!$A$2:$R$9000,16,FALSE)</f>
        <v>11.1.01.0790</v>
      </c>
      <c r="S2" s="15" t="str">
        <f>VLOOKUP(A2,sinap!$A$2:$Y$9000,20,FALSE)</f>
        <v>SI</v>
      </c>
    </row>
    <row r="3" spans="1:20" hidden="1" x14ac:dyDescent="0.25">
      <c r="A3" s="15">
        <v>83926</v>
      </c>
      <c r="J3" s="15" t="str">
        <f>VLOOKUP(A3,sinap!$A$2:$R$9000,2,FALSE)</f>
        <v>M</v>
      </c>
      <c r="K3" s="15" t="str">
        <f>VLOOKUP(A3,sinap!$A$2:$R$9000,3,FALSE)</f>
        <v>BUEY</v>
      </c>
      <c r="L3" s="15" t="str">
        <f>VLOOKUP(A3,sinap!$A$2:$R$9000,4,FALSE)</f>
        <v>ANGUS NEGRO</v>
      </c>
      <c r="M3" s="15" t="str">
        <f>VLOOKUP(A3,sinap!$A$2:$R$9000,5,FALSE)</f>
        <v>21 años 4 meses</v>
      </c>
      <c r="N3" s="15" t="str">
        <f>VLOOKUP(A3,sinap!$A$2:$R$9000,6,FALSE)</f>
        <v>15-09-2004</v>
      </c>
      <c r="O3" s="15" t="str">
        <f>VLOOKUP(A3,sinap!$A$2:$R$9000,7,FALSE)</f>
        <v>Vivo</v>
      </c>
      <c r="P3" s="15" t="str">
        <f>VLOOKUP(A3,sinap!$A$2:$R$9000,8,FALSE)</f>
        <v>11.1.01.1241</v>
      </c>
      <c r="Q3" s="15" t="str">
        <f>VLOOKUP(A3,sinap!$A$2:$R$9000,12,FALSE)</f>
        <v>11.1.01.0291</v>
      </c>
      <c r="R3" s="15" t="str">
        <f>VLOOKUP(A3,sinap!$A$2:$R$9000,16,FALSE)</f>
        <v>11.1.01.0290</v>
      </c>
      <c r="S3" s="15" t="str">
        <f>VLOOKUP(A3,sinap!$A$2:$Y$9000,20,FALSE)</f>
        <v>SI</v>
      </c>
    </row>
    <row r="4" spans="1:20" hidden="1" x14ac:dyDescent="0.25">
      <c r="A4" s="15">
        <v>84361</v>
      </c>
      <c r="J4" s="15" t="str">
        <f>VLOOKUP(A4,sinap!$A$2:$R$9000,2,FALSE)</f>
        <v>H</v>
      </c>
      <c r="K4" s="15" t="str">
        <f>VLOOKUP(A4,sinap!$A$2:$R$9000,3,FALSE)</f>
        <v>VACA</v>
      </c>
      <c r="L4" s="15" t="str">
        <f>VLOOKUP(A4,sinap!$A$2:$R$9000,4,FALSE)</f>
        <v>POLLED HEREFORD</v>
      </c>
      <c r="M4" s="15" t="str">
        <f>VLOOKUP(A4,sinap!$A$2:$R$9000,5,FALSE)</f>
        <v>22 años 3 meses</v>
      </c>
      <c r="N4" s="15" t="str">
        <f>VLOOKUP(A4,sinap!$A$2:$R$9000,6,FALSE)</f>
        <v>15-10-2003</v>
      </c>
      <c r="O4" s="15" t="str">
        <f>VLOOKUP(A4,sinap!$A$2:$R$9000,7,FALSE)</f>
        <v>Vivo</v>
      </c>
      <c r="P4" s="15" t="str">
        <f>VLOOKUP(A4,sinap!$A$2:$R$9000,8,FALSE)</f>
        <v>11.1.01.1241</v>
      </c>
      <c r="Q4" s="15" t="str">
        <f>VLOOKUP(A4,sinap!$A$2:$R$9000,12,FALSE)</f>
        <v>11.1.01.0791</v>
      </c>
      <c r="R4" s="15" t="str">
        <f>VLOOKUP(A4,sinap!$A$2:$R$9000,16,FALSE)</f>
        <v>11.1.01.1241</v>
      </c>
      <c r="S4" s="15" t="str">
        <f>VLOOKUP(A4,sinap!$A$2:$Y$9000,20,FALSE)</f>
        <v>SI</v>
      </c>
    </row>
    <row r="5" spans="1:20" hidden="1" x14ac:dyDescent="0.25">
      <c r="A5" s="15">
        <v>84362</v>
      </c>
      <c r="J5" s="15" t="str">
        <f>VLOOKUP(A5,sinap!$A$2:$R$9000,2,FALSE)</f>
        <v>H</v>
      </c>
      <c r="K5" s="15" t="str">
        <f>VLOOKUP(A5,sinap!$A$2:$R$9000,3,FALSE)</f>
        <v>VACA</v>
      </c>
      <c r="L5" s="15" t="str">
        <f>VLOOKUP(A5,sinap!$A$2:$R$9000,4,FALSE)</f>
        <v>POLLED HEREFORD</v>
      </c>
      <c r="M5" s="15" t="str">
        <f>VLOOKUP(A5,sinap!$A$2:$R$9000,5,FALSE)</f>
        <v>22 años 3 meses</v>
      </c>
      <c r="N5" s="15" t="str">
        <f>VLOOKUP(A5,sinap!$A$2:$R$9000,6,FALSE)</f>
        <v>15-10-2003</v>
      </c>
      <c r="O5" s="15" t="str">
        <f>VLOOKUP(A5,sinap!$A$2:$R$9000,7,FALSE)</f>
        <v>Vivo</v>
      </c>
      <c r="P5" s="15" t="str">
        <f>VLOOKUP(A5,sinap!$A$2:$R$9000,8,FALSE)</f>
        <v>11.1.01.1241</v>
      </c>
      <c r="Q5" s="15" t="str">
        <f>VLOOKUP(A5,sinap!$A$2:$R$9000,12,FALSE)</f>
        <v>Sin Movimiento</v>
      </c>
      <c r="R5" s="15" t="str">
        <f>VLOOKUP(A5,sinap!$A$2:$R$9000,16,FALSE)</f>
        <v>11.1.01.1241</v>
      </c>
      <c r="S5" s="15" t="str">
        <f>VLOOKUP(A5,sinap!$A$2:$Y$9000,20,FALSE)</f>
        <v>SI</v>
      </c>
    </row>
    <row r="6" spans="1:20" hidden="1" x14ac:dyDescent="0.25">
      <c r="A6" s="15">
        <v>84369</v>
      </c>
      <c r="J6" s="15" t="str">
        <f>VLOOKUP(A6,sinap!$A$2:$R$9000,2,FALSE)</f>
        <v>H</v>
      </c>
      <c r="K6" s="15" t="str">
        <f>VLOOKUP(A6,sinap!$A$2:$R$9000,3,FALSE)</f>
        <v>VACA</v>
      </c>
      <c r="L6" s="15" t="str">
        <f>VLOOKUP(A6,sinap!$A$2:$R$9000,4,FALSE)</f>
        <v>OVERO COLORADO (CLAVEL ALEMAN)</v>
      </c>
      <c r="M6" s="15" t="str">
        <f>VLOOKUP(A6,sinap!$A$2:$R$9000,5,FALSE)</f>
        <v>22 años 3 meses</v>
      </c>
      <c r="N6" s="15" t="str">
        <f>VLOOKUP(A6,sinap!$A$2:$R$9000,6,FALSE)</f>
        <v>15-10-2003</v>
      </c>
      <c r="O6" s="15" t="str">
        <f>VLOOKUP(A6,sinap!$A$2:$R$9000,7,FALSE)</f>
        <v>Vivo</v>
      </c>
      <c r="P6" s="15" t="str">
        <f>VLOOKUP(A6,sinap!$A$2:$R$9000,8,FALSE)</f>
        <v>11.1.01.1241</v>
      </c>
      <c r="Q6" s="15" t="str">
        <f>VLOOKUP(A6,sinap!$A$2:$R$9000,12,FALSE)</f>
        <v>Sin Movimiento</v>
      </c>
      <c r="R6" s="15" t="str">
        <f>VLOOKUP(A6,sinap!$A$2:$R$9000,16,FALSE)</f>
        <v>11.1.01.1241</v>
      </c>
      <c r="S6" s="15" t="str">
        <f>VLOOKUP(A6,sinap!$A$2:$Y$9000,20,FALSE)</f>
        <v>SI</v>
      </c>
    </row>
    <row r="7" spans="1:20" hidden="1" x14ac:dyDescent="0.25">
      <c r="A7" s="15">
        <v>84393</v>
      </c>
      <c r="J7" s="15" t="str">
        <f>VLOOKUP(A7,sinap!$A$2:$R$9000,2,FALSE)</f>
        <v>H</v>
      </c>
      <c r="K7" s="15" t="str">
        <f>VLOOKUP(A7,sinap!$A$2:$R$9000,3,FALSE)</f>
        <v>VACA</v>
      </c>
      <c r="L7" s="15" t="str">
        <f>VLOOKUP(A7,sinap!$A$2:$R$9000,4,FALSE)</f>
        <v>POLLED HEREFORD</v>
      </c>
      <c r="M7" s="15" t="str">
        <f>VLOOKUP(A7,sinap!$A$2:$R$9000,5,FALSE)</f>
        <v>22 años 3 meses</v>
      </c>
      <c r="N7" s="15" t="str">
        <f>VLOOKUP(A7,sinap!$A$2:$R$9000,6,FALSE)</f>
        <v>15-10-2003</v>
      </c>
      <c r="O7" s="15" t="str">
        <f>VLOOKUP(A7,sinap!$A$2:$R$9000,7,FALSE)</f>
        <v>Vivo</v>
      </c>
      <c r="P7" s="15" t="str">
        <f>VLOOKUP(A7,sinap!$A$2:$R$9000,8,FALSE)</f>
        <v>11.1.01.1241</v>
      </c>
      <c r="Q7" s="15" t="str">
        <f>VLOOKUP(A7,sinap!$A$2:$R$9000,12,FALSE)</f>
        <v>11.1.01.1081</v>
      </c>
      <c r="R7" s="15" t="str">
        <f>VLOOKUP(A7,sinap!$A$2:$R$9000,16,FALSE)</f>
        <v>11.1.01.1241</v>
      </c>
      <c r="S7" s="15" t="str">
        <f>VLOOKUP(A7,sinap!$A$2:$Y$9000,20,FALSE)</f>
        <v>SI</v>
      </c>
    </row>
    <row r="8" spans="1:20" hidden="1" x14ac:dyDescent="0.25">
      <c r="A8" s="15">
        <v>84403</v>
      </c>
      <c r="J8" s="15" t="str">
        <f>VLOOKUP(A8,sinap!$A$2:$R$9000,2,FALSE)</f>
        <v>H</v>
      </c>
      <c r="K8" s="15" t="str">
        <f>VLOOKUP(A8,sinap!$A$2:$R$9000,3,FALSE)</f>
        <v>VACA</v>
      </c>
      <c r="L8" s="15" t="str">
        <f>VLOOKUP(A8,sinap!$A$2:$R$9000,4,FALSE)</f>
        <v>POLLED HEREFORD</v>
      </c>
      <c r="M8" s="15" t="str">
        <f>VLOOKUP(A8,sinap!$A$2:$R$9000,5,FALSE)</f>
        <v>22 años 3 meses</v>
      </c>
      <c r="N8" s="15" t="str">
        <f>VLOOKUP(A8,sinap!$A$2:$R$9000,6,FALSE)</f>
        <v>15-10-2003</v>
      </c>
      <c r="O8" s="15" t="str">
        <f>VLOOKUP(A8,sinap!$A$2:$R$9000,7,FALSE)</f>
        <v>Vivo</v>
      </c>
      <c r="P8" s="15" t="str">
        <f>VLOOKUP(A8,sinap!$A$2:$R$9000,8,FALSE)</f>
        <v>11.1.01.1241</v>
      </c>
      <c r="Q8" s="15" t="str">
        <f>VLOOKUP(A8,sinap!$A$2:$R$9000,12,FALSE)</f>
        <v>Sin Movimiento</v>
      </c>
      <c r="R8" s="15" t="str">
        <f>VLOOKUP(A8,sinap!$A$2:$R$9000,16,FALSE)</f>
        <v>11.1.01.1241</v>
      </c>
      <c r="S8" s="15" t="str">
        <f>VLOOKUP(A8,sinap!$A$2:$Y$9000,20,FALSE)</f>
        <v>SI</v>
      </c>
    </row>
    <row r="9" spans="1:20" hidden="1" x14ac:dyDescent="0.25">
      <c r="A9" s="15">
        <v>84427</v>
      </c>
      <c r="D9" s="16">
        <v>44121</v>
      </c>
      <c r="J9" s="15" t="str">
        <f>VLOOKUP(A9,sinap!$A$2:$R$9000,2,FALSE)</f>
        <v>H</v>
      </c>
      <c r="K9" s="15" t="str">
        <f>VLOOKUP(A9,sinap!$A$2:$R$9000,3,FALSE)</f>
        <v>VACA</v>
      </c>
      <c r="L9" s="15" t="str">
        <f>VLOOKUP(A9,sinap!$A$2:$R$9000,4,FALSE)</f>
        <v>ANGUS ROJO</v>
      </c>
      <c r="M9" s="15" t="str">
        <f>VLOOKUP(A9,sinap!$A$2:$R$9000,5,FALSE)</f>
        <v>21 años 3 meses</v>
      </c>
      <c r="N9" s="15" t="str">
        <f>VLOOKUP(A9,sinap!$A$2:$R$9000,6,FALSE)</f>
        <v>15-10-2004</v>
      </c>
      <c r="O9" s="15" t="str">
        <f>VLOOKUP(A9,sinap!$A$2:$R$9000,7,FALSE)</f>
        <v>Vivo</v>
      </c>
      <c r="P9" s="15" t="str">
        <f>VLOOKUP(A9,sinap!$A$2:$R$9000,8,FALSE)</f>
        <v>11.1.01.1241</v>
      </c>
      <c r="Q9" s="15" t="str">
        <f>VLOOKUP(A9,sinap!$A$2:$R$9000,12,FALSE)</f>
        <v>11.1.01.0790</v>
      </c>
      <c r="R9" s="15" t="str">
        <f>VLOOKUP(A9,sinap!$A$2:$R$9000,16,FALSE)</f>
        <v>11.1.01.0789</v>
      </c>
      <c r="S9" s="15" t="str">
        <f>VLOOKUP(A9,sinap!$A$2:$Y$9000,20,FALSE)</f>
        <v>SI</v>
      </c>
    </row>
    <row r="10" spans="1:20" s="16" customFormat="1" hidden="1" x14ac:dyDescent="0.25">
      <c r="A10" s="15">
        <v>84463</v>
      </c>
      <c r="B10" s="15"/>
      <c r="C10" s="15"/>
      <c r="J10" s="15" t="str">
        <f>VLOOKUP(A10,sinap!$A$2:$R$9000,2,FALSE)</f>
        <v>H</v>
      </c>
      <c r="K10" s="15" t="str">
        <f>VLOOKUP(A10,sinap!$A$2:$R$9000,3,FALSE)</f>
        <v>VACA</v>
      </c>
      <c r="L10" s="15" t="str">
        <f>VLOOKUP(A10,sinap!$A$2:$R$9000,4,FALSE)</f>
        <v>OVERO COLORADO (CLAVEL ALEMAN)</v>
      </c>
      <c r="M10" s="15" t="str">
        <f>VLOOKUP(A10,sinap!$A$2:$R$9000,5,FALSE)</f>
        <v>22 años 3 meses</v>
      </c>
      <c r="N10" s="15" t="str">
        <f>VLOOKUP(A10,sinap!$A$2:$R$9000,6,FALSE)</f>
        <v>15-10-2003</v>
      </c>
      <c r="O10" s="15" t="str">
        <f>VLOOKUP(A10,sinap!$A$2:$R$9000,7,FALSE)</f>
        <v>Vivo</v>
      </c>
      <c r="P10" s="15" t="str">
        <f>VLOOKUP(A10,sinap!$A$2:$R$9000,8,FALSE)</f>
        <v>11.1.01.1241</v>
      </c>
      <c r="Q10" s="15" t="str">
        <f>VLOOKUP(A10,sinap!$A$2:$R$9000,12,FALSE)</f>
        <v>Sin Movimiento</v>
      </c>
      <c r="R10" s="15" t="str">
        <f>VLOOKUP(A10,sinap!$A$2:$R$9000,16,FALSE)</f>
        <v>11.1.01.1241</v>
      </c>
      <c r="S10" s="15" t="str">
        <f>VLOOKUP(A10,sinap!$A$2:$Y$9000,20,FALSE)</f>
        <v>SI</v>
      </c>
    </row>
    <row r="11" spans="1:20" s="16" customFormat="1" hidden="1" x14ac:dyDescent="0.25">
      <c r="A11" s="15">
        <v>84657</v>
      </c>
      <c r="B11" s="15"/>
      <c r="C11" s="15"/>
      <c r="J11" s="15" t="str">
        <f>VLOOKUP(A11,sinap!$A$2:$R$9000,2,FALSE)</f>
        <v>H</v>
      </c>
      <c r="K11" s="15" t="str">
        <f>VLOOKUP(A11,sinap!$A$2:$R$9000,3,FALSE)</f>
        <v>VACA</v>
      </c>
      <c r="L11" s="15" t="str">
        <f>VLOOKUP(A11,sinap!$A$2:$R$9000,4,FALSE)</f>
        <v>HEREFORD</v>
      </c>
      <c r="M11" s="15" t="str">
        <f>VLOOKUP(A11,sinap!$A$2:$R$9000,5,FALSE)</f>
        <v>23 años 3 meses</v>
      </c>
      <c r="N11" s="15" t="str">
        <f>VLOOKUP(A11,sinap!$A$2:$R$9000,6,FALSE)</f>
        <v>15-10-2002</v>
      </c>
      <c r="O11" s="15" t="str">
        <f>VLOOKUP(A11,sinap!$A$2:$R$9000,7,FALSE)</f>
        <v>Vivo</v>
      </c>
      <c r="P11" s="15" t="str">
        <f>VLOOKUP(A11,sinap!$A$2:$R$9000,8,FALSE)</f>
        <v>11.1.01.1241</v>
      </c>
      <c r="Q11" s="15" t="str">
        <f>VLOOKUP(A11,sinap!$A$2:$R$9000,12,FALSE)</f>
        <v>11.1.01.0791</v>
      </c>
      <c r="R11" s="15" t="str">
        <f>VLOOKUP(A11,sinap!$A$2:$R$9000,16,FALSE)</f>
        <v>11.1.01.0791</v>
      </c>
      <c r="S11" s="15" t="str">
        <f>VLOOKUP(A11,sinap!$A$2:$Y$9000,20,FALSE)</f>
        <v>SI</v>
      </c>
    </row>
    <row r="12" spans="1:20" s="16" customFormat="1" hidden="1" x14ac:dyDescent="0.25">
      <c r="A12" s="15">
        <v>93136</v>
      </c>
      <c r="B12" s="15"/>
      <c r="C12" s="15"/>
      <c r="J12" s="15" t="str">
        <f>VLOOKUP(A12,sinap!$A$2:$R$9000,2,FALSE)</f>
        <v>M</v>
      </c>
      <c r="K12" s="15" t="str">
        <f>VLOOKUP(A12,sinap!$A$2:$R$9000,3,FALSE)</f>
        <v>BUEY</v>
      </c>
      <c r="L12" s="15" t="str">
        <f>VLOOKUP(A12,sinap!$A$2:$R$9000,4,FALSE)</f>
        <v>ANGUS NEGRO</v>
      </c>
      <c r="M12" s="15" t="str">
        <f>VLOOKUP(A12,sinap!$A$2:$R$9000,5,FALSE)</f>
        <v>20 años 3 meses</v>
      </c>
      <c r="N12" s="15" t="str">
        <f>VLOOKUP(A12,sinap!$A$2:$R$9000,6,FALSE)</f>
        <v>25-09-2005</v>
      </c>
      <c r="O12" s="15" t="str">
        <f>VLOOKUP(A12,sinap!$A$2:$R$9000,7,FALSE)</f>
        <v>Vivo</v>
      </c>
      <c r="P12" s="15" t="str">
        <f>VLOOKUP(A12,sinap!$A$2:$R$9000,8,FALSE)</f>
        <v>11.1.01.1241</v>
      </c>
      <c r="Q12" s="15" t="str">
        <f>VLOOKUP(A12,sinap!$A$2:$R$9000,12,FALSE)</f>
        <v>11.1.01.0790</v>
      </c>
      <c r="R12" s="15" t="str">
        <f>VLOOKUP(A12,sinap!$A$2:$R$9000,16,FALSE)</f>
        <v>11.1.01.0831</v>
      </c>
      <c r="S12" s="15" t="str">
        <f>VLOOKUP(A12,sinap!$A$2:$Y$9000,20,FALSE)</f>
        <v>SI</v>
      </c>
    </row>
    <row r="13" spans="1:20" s="16" customFormat="1" hidden="1" x14ac:dyDescent="0.25">
      <c r="A13" s="15">
        <v>133342</v>
      </c>
      <c r="B13" s="15"/>
      <c r="C13" s="15"/>
      <c r="J13" s="15" t="str">
        <f>VLOOKUP(A13,sinap!$A$2:$R$9000,2,FALSE)</f>
        <v>M</v>
      </c>
      <c r="K13" s="15" t="str">
        <f>VLOOKUP(A13,sinap!$A$2:$R$9000,3,FALSE)</f>
        <v>BUEY</v>
      </c>
      <c r="L13" s="15" t="str">
        <f>VLOOKUP(A13,sinap!$A$2:$R$9000,4,FALSE)</f>
        <v>OVERO COLORADO (CLAVEL ALEMAN)</v>
      </c>
      <c r="M13" s="15" t="str">
        <f>VLOOKUP(A13,sinap!$A$2:$R$9000,5,FALSE)</f>
        <v>20 años 3 meses</v>
      </c>
      <c r="N13" s="15" t="str">
        <f>VLOOKUP(A13,sinap!$A$2:$R$9000,6,FALSE)</f>
        <v>15-10-2005</v>
      </c>
      <c r="O13" s="15" t="str">
        <f>VLOOKUP(A13,sinap!$A$2:$R$9000,7,FALSE)</f>
        <v>Vivo</v>
      </c>
      <c r="P13" s="15" t="str">
        <f>VLOOKUP(A13,sinap!$A$2:$R$9000,8,FALSE)</f>
        <v>11.1.01.1241</v>
      </c>
      <c r="Q13" s="15" t="str">
        <f>VLOOKUP(A13,sinap!$A$2:$R$9000,12,FALSE)</f>
        <v>11.1.01.0893</v>
      </c>
      <c r="R13" s="15" t="str">
        <f>VLOOKUP(A13,sinap!$A$2:$R$9000,16,FALSE)</f>
        <v>11.1.01.0932</v>
      </c>
      <c r="S13" s="15" t="str">
        <f>VLOOKUP(A13,sinap!$A$2:$Y$9000,20,FALSE)</f>
        <v>SI</v>
      </c>
    </row>
    <row r="14" spans="1:20" s="16" customFormat="1" hidden="1" x14ac:dyDescent="0.25">
      <c r="A14" s="15">
        <v>150564</v>
      </c>
      <c r="B14" s="15"/>
      <c r="C14" s="15"/>
      <c r="J14" s="15" t="str">
        <f>VLOOKUP(A14,sinap!$A$2:$R$9000,2,FALSE)</f>
        <v>H</v>
      </c>
      <c r="K14" s="15" t="str">
        <f>VLOOKUP(A14,sinap!$A$2:$R$9000,3,FALSE)</f>
        <v>VACA</v>
      </c>
      <c r="L14" s="15" t="str">
        <f>VLOOKUP(A14,sinap!$A$2:$R$9000,4,FALSE)</f>
        <v>OVERO COLORADO (CLAVEL ALEMAN)</v>
      </c>
      <c r="M14" s="15" t="str">
        <f>VLOOKUP(A14,sinap!$A$2:$R$9000,5,FALSE)</f>
        <v>22 años 4 meses</v>
      </c>
      <c r="N14" s="15" t="str">
        <f>VLOOKUP(A14,sinap!$A$2:$R$9000,6,FALSE)</f>
        <v>15-09-2003</v>
      </c>
      <c r="O14" s="15" t="str">
        <f>VLOOKUP(A14,sinap!$A$2:$R$9000,7,FALSE)</f>
        <v>Vivo</v>
      </c>
      <c r="P14" s="15" t="str">
        <f>VLOOKUP(A14,sinap!$A$2:$R$9000,8,FALSE)</f>
        <v>11.1.01.1241</v>
      </c>
      <c r="Q14" s="15" t="str">
        <f>VLOOKUP(A14,sinap!$A$2:$R$9000,12,FALSE)</f>
        <v>11.1.01.1081</v>
      </c>
      <c r="R14" s="15" t="str">
        <f>VLOOKUP(A14,sinap!$A$2:$R$9000,16,FALSE)</f>
        <v>11.2.02.0112</v>
      </c>
      <c r="S14" s="15" t="str">
        <f>VLOOKUP(A14,sinap!$A$2:$Y$9000,20,FALSE)</f>
        <v>SI</v>
      </c>
    </row>
    <row r="15" spans="1:20" s="16" customFormat="1" hidden="1" x14ac:dyDescent="0.25">
      <c r="A15" s="15">
        <v>161892</v>
      </c>
      <c r="B15" s="15"/>
      <c r="C15" s="15"/>
      <c r="D15" s="16">
        <v>43983</v>
      </c>
      <c r="E15" s="16">
        <v>44491</v>
      </c>
      <c r="F15" s="16">
        <v>44883</v>
      </c>
      <c r="G15" s="16">
        <v>45253</v>
      </c>
      <c r="J15" s="15" t="str">
        <f>VLOOKUP(A15,sinap!$A$2:$R$9000,2,FALSE)</f>
        <v>H</v>
      </c>
      <c r="K15" s="15" t="str">
        <f>VLOOKUP(A15,sinap!$A$2:$R$9000,3,FALSE)</f>
        <v>VACA</v>
      </c>
      <c r="L15" s="15" t="str">
        <f>VLOOKUP(A15,sinap!$A$2:$R$9000,4,FALSE)</f>
        <v>POLLED HEREFORD</v>
      </c>
      <c r="M15" s="15" t="str">
        <f>VLOOKUP(A15,sinap!$A$2:$R$9000,5,FALSE)</f>
        <v>24 años 3 meses</v>
      </c>
      <c r="N15" s="15" t="str">
        <f>VLOOKUP(A15,sinap!$A$2:$R$9000,6,FALSE)</f>
        <v>15-10-2001</v>
      </c>
      <c r="O15" s="15" t="str">
        <f>VLOOKUP(A15,sinap!$A$2:$R$9000,7,FALSE)</f>
        <v>Vivo</v>
      </c>
      <c r="P15" s="15" t="str">
        <f>VLOOKUP(A15,sinap!$A$2:$R$9000,8,FALSE)</f>
        <v>11.1.01.1241</v>
      </c>
      <c r="Q15" s="15" t="str">
        <f>VLOOKUP(A15,sinap!$A$2:$R$9000,12,FALSE)</f>
        <v>Sin Movimiento</v>
      </c>
      <c r="R15" s="15" t="str">
        <f>VLOOKUP(A15,sinap!$A$2:$R$9000,16,FALSE)</f>
        <v>11.1.01.1241</v>
      </c>
      <c r="S15" s="15" t="str">
        <f>VLOOKUP(A15,sinap!$A$2:$Y$9000,20,FALSE)</f>
        <v>SI</v>
      </c>
    </row>
    <row r="16" spans="1:20" s="16" customFormat="1" hidden="1" x14ac:dyDescent="0.25">
      <c r="A16" s="15">
        <v>176301</v>
      </c>
      <c r="B16" s="15"/>
      <c r="C16" s="15"/>
      <c r="E16" s="16">
        <v>44491</v>
      </c>
      <c r="F16" s="16">
        <v>44893</v>
      </c>
      <c r="G16" s="16">
        <v>45240</v>
      </c>
      <c r="J16" s="15" t="str">
        <f>VLOOKUP(A16,sinap!$A$2:$R$9000,2,FALSE)</f>
        <v>M</v>
      </c>
      <c r="K16" s="15" t="str">
        <f>VLOOKUP(A16,sinap!$A$2:$R$9000,3,FALSE)</f>
        <v>BUEY</v>
      </c>
      <c r="L16" s="15" t="str">
        <f>VLOOKUP(A16,sinap!$A$2:$R$9000,4,FALSE)</f>
        <v>ANGUS NEGRO</v>
      </c>
      <c r="M16" s="15" t="str">
        <f>VLOOKUP(A16,sinap!$A$2:$R$9000,5,FALSE)</f>
        <v>20 años 3 meses</v>
      </c>
      <c r="N16" s="15" t="str">
        <f>VLOOKUP(A16,sinap!$A$2:$R$9000,6,FALSE)</f>
        <v>15-10-2005</v>
      </c>
      <c r="O16" s="15" t="str">
        <f>VLOOKUP(A16,sinap!$A$2:$R$9000,7,FALSE)</f>
        <v>Vivo</v>
      </c>
      <c r="P16" s="15" t="str">
        <f>VLOOKUP(A16,sinap!$A$2:$R$9000,8,FALSE)</f>
        <v>11.1.01.1241</v>
      </c>
      <c r="Q16" s="15" t="str">
        <f>VLOOKUP(A16,sinap!$A$2:$R$9000,12,FALSE)</f>
        <v>11.1.01.1081</v>
      </c>
      <c r="R16" s="15" t="str">
        <f>VLOOKUP(A16,sinap!$A$2:$R$9000,16,FALSE)</f>
        <v>11.1.01.0290</v>
      </c>
      <c r="S16" s="15" t="str">
        <f>VLOOKUP(A16,sinap!$A$2:$Y$9000,20,FALSE)</f>
        <v>SI</v>
      </c>
    </row>
    <row r="17" spans="1:19" s="16" customFormat="1" hidden="1" x14ac:dyDescent="0.25">
      <c r="A17" s="15">
        <v>176307</v>
      </c>
      <c r="B17" s="15"/>
      <c r="C17" s="15"/>
      <c r="J17" s="15" t="str">
        <f>VLOOKUP(A17,sinap!$A$2:$R$9000,2,FALSE)</f>
        <v>M</v>
      </c>
      <c r="K17" s="15" t="str">
        <f>VLOOKUP(A17,sinap!$A$2:$R$9000,3,FALSE)</f>
        <v>BUEY</v>
      </c>
      <c r="L17" s="15" t="str">
        <f>VLOOKUP(A17,sinap!$A$2:$R$9000,4,FALSE)</f>
        <v>ANGUS NEGRO</v>
      </c>
      <c r="M17" s="15" t="str">
        <f>VLOOKUP(A17,sinap!$A$2:$R$9000,5,FALSE)</f>
        <v>20 años 3 meses</v>
      </c>
      <c r="N17" s="15" t="str">
        <f>VLOOKUP(A17,sinap!$A$2:$R$9000,6,FALSE)</f>
        <v>15-10-2005</v>
      </c>
      <c r="O17" s="15" t="str">
        <f>VLOOKUP(A17,sinap!$A$2:$R$9000,7,FALSE)</f>
        <v>Vivo</v>
      </c>
      <c r="P17" s="15" t="str">
        <f>VLOOKUP(A17,sinap!$A$2:$R$9000,8,FALSE)</f>
        <v>11.1.01.1241</v>
      </c>
      <c r="Q17" s="15" t="str">
        <f>VLOOKUP(A17,sinap!$A$2:$R$9000,12,FALSE)</f>
        <v>11.1.01.0290</v>
      </c>
      <c r="R17" s="15" t="str">
        <f>VLOOKUP(A17,sinap!$A$2:$R$9000,16,FALSE)</f>
        <v>11.1.01.0290</v>
      </c>
      <c r="S17" s="15" t="str">
        <f>VLOOKUP(A17,sinap!$A$2:$Y$9000,20,FALSE)</f>
        <v>SI</v>
      </c>
    </row>
    <row r="18" spans="1:19" s="16" customFormat="1" hidden="1" x14ac:dyDescent="0.25">
      <c r="A18" s="15">
        <v>180512</v>
      </c>
      <c r="B18" s="15"/>
      <c r="C18" s="15"/>
      <c r="E18" s="16">
        <v>44491</v>
      </c>
      <c r="G18" s="16">
        <v>45090</v>
      </c>
      <c r="J18" s="15" t="str">
        <f>VLOOKUP(A18,sinap!$A$2:$R$9000,2,FALSE)</f>
        <v>H</v>
      </c>
      <c r="K18" s="15" t="str">
        <f>VLOOKUP(A18,sinap!$A$2:$R$9000,3,FALSE)</f>
        <v>VACA</v>
      </c>
      <c r="L18" s="15" t="str">
        <f>VLOOKUP(A18,sinap!$A$2:$R$9000,4,FALSE)</f>
        <v>HEREFORD</v>
      </c>
      <c r="M18" s="15" t="str">
        <f>VLOOKUP(A18,sinap!$A$2:$R$9000,5,FALSE)</f>
        <v>20 años 3 meses</v>
      </c>
      <c r="N18" s="15" t="str">
        <f>VLOOKUP(A18,sinap!$A$2:$R$9000,6,FALSE)</f>
        <v>15-10-2005</v>
      </c>
      <c r="O18" s="15" t="str">
        <f>VLOOKUP(A18,sinap!$A$2:$R$9000,7,FALSE)</f>
        <v>Vivo</v>
      </c>
      <c r="P18" s="15" t="str">
        <f>VLOOKUP(A18,sinap!$A$2:$R$9000,8,FALSE)</f>
        <v>11.1.01.1241</v>
      </c>
      <c r="Q18" s="15" t="str">
        <f>VLOOKUP(A18,sinap!$A$2:$R$9000,12,FALSE)</f>
        <v>11.1.01.0791</v>
      </c>
      <c r="R18" s="15" t="str">
        <f>VLOOKUP(A18,sinap!$A$2:$R$9000,16,FALSE)</f>
        <v>11.1.01.0791</v>
      </c>
      <c r="S18" s="15" t="str">
        <f>VLOOKUP(A18,sinap!$A$2:$Y$9000,20,FALSE)</f>
        <v>SI</v>
      </c>
    </row>
    <row r="19" spans="1:19" s="16" customFormat="1" hidden="1" x14ac:dyDescent="0.25">
      <c r="A19" s="15">
        <v>180524</v>
      </c>
      <c r="B19" s="15"/>
      <c r="C19" s="15"/>
      <c r="E19" s="16">
        <v>44491</v>
      </c>
      <c r="F19" s="16">
        <v>44908</v>
      </c>
      <c r="G19" s="16">
        <v>45265</v>
      </c>
      <c r="J19" s="15" t="str">
        <f>VLOOKUP(A19,sinap!$A$2:$R$9000,2,FALSE)</f>
        <v>H</v>
      </c>
      <c r="K19" s="15" t="str">
        <f>VLOOKUP(A19,sinap!$A$2:$R$9000,3,FALSE)</f>
        <v>VACA</v>
      </c>
      <c r="L19" s="15" t="str">
        <f>VLOOKUP(A19,sinap!$A$2:$R$9000,4,FALSE)</f>
        <v>HEREFORD</v>
      </c>
      <c r="M19" s="15" t="str">
        <f>VLOOKUP(A19,sinap!$A$2:$R$9000,5,FALSE)</f>
        <v>20 años 3 meses</v>
      </c>
      <c r="N19" s="15" t="str">
        <f>VLOOKUP(A19,sinap!$A$2:$R$9000,6,FALSE)</f>
        <v>15-10-2005</v>
      </c>
      <c r="O19" s="15" t="str">
        <f>VLOOKUP(A19,sinap!$A$2:$R$9000,7,FALSE)</f>
        <v>Vivo</v>
      </c>
      <c r="P19" s="15" t="str">
        <f>VLOOKUP(A19,sinap!$A$2:$R$9000,8,FALSE)</f>
        <v>11.1.01.1241</v>
      </c>
      <c r="Q19" s="15" t="str">
        <f>VLOOKUP(A19,sinap!$A$2:$R$9000,12,FALSE)</f>
        <v>11.1.01.1240</v>
      </c>
      <c r="R19" s="15" t="str">
        <f>VLOOKUP(A19,sinap!$A$2:$R$9000,16,FALSE)</f>
        <v>11.1.01.0791</v>
      </c>
      <c r="S19" s="15" t="str">
        <f>VLOOKUP(A19,sinap!$A$2:$Y$9000,20,FALSE)</f>
        <v>SI</v>
      </c>
    </row>
    <row r="20" spans="1:19" s="16" customFormat="1" hidden="1" x14ac:dyDescent="0.25">
      <c r="A20" s="15">
        <v>180528</v>
      </c>
      <c r="B20" s="15"/>
      <c r="C20" s="15"/>
      <c r="J20" s="15" t="str">
        <f>VLOOKUP(A20,sinap!$A$2:$R$9000,2,FALSE)</f>
        <v>H</v>
      </c>
      <c r="K20" s="15" t="str">
        <f>VLOOKUP(A20,sinap!$A$2:$R$9000,3,FALSE)</f>
        <v>VACA</v>
      </c>
      <c r="L20" s="15" t="str">
        <f>VLOOKUP(A20,sinap!$A$2:$R$9000,4,FALSE)</f>
        <v>HEREFORD</v>
      </c>
      <c r="M20" s="15" t="str">
        <f>VLOOKUP(A20,sinap!$A$2:$R$9000,5,FALSE)</f>
        <v>20 años 3 meses</v>
      </c>
      <c r="N20" s="15" t="str">
        <f>VLOOKUP(A20,sinap!$A$2:$R$9000,6,FALSE)</f>
        <v>15-10-2005</v>
      </c>
      <c r="O20" s="15" t="str">
        <f>VLOOKUP(A20,sinap!$A$2:$R$9000,7,FALSE)</f>
        <v>Vivo</v>
      </c>
      <c r="P20" s="15" t="str">
        <f>VLOOKUP(A20,sinap!$A$2:$R$9000,8,FALSE)</f>
        <v>11.1.01.1241</v>
      </c>
      <c r="Q20" s="15" t="str">
        <f>VLOOKUP(A20,sinap!$A$2:$R$9000,12,FALSE)</f>
        <v>11.1.01.0789</v>
      </c>
      <c r="R20" s="15" t="str">
        <f>VLOOKUP(A20,sinap!$A$2:$R$9000,16,FALSE)</f>
        <v>11.1.01.0791</v>
      </c>
      <c r="S20" s="15" t="str">
        <f>VLOOKUP(A20,sinap!$A$2:$Y$9000,20,FALSE)</f>
        <v>SI</v>
      </c>
    </row>
    <row r="21" spans="1:19" s="16" customFormat="1" hidden="1" x14ac:dyDescent="0.25">
      <c r="A21" s="15">
        <v>180529</v>
      </c>
      <c r="B21" s="15"/>
      <c r="C21" s="15"/>
      <c r="J21" s="15" t="str">
        <f>VLOOKUP(A21,sinap!$A$2:$R$9000,2,FALSE)</f>
        <v>H</v>
      </c>
      <c r="K21" s="15" t="str">
        <f>VLOOKUP(A21,sinap!$A$2:$R$9000,3,FALSE)</f>
        <v>VACA</v>
      </c>
      <c r="L21" s="15" t="str">
        <f>VLOOKUP(A21,sinap!$A$2:$R$9000,4,FALSE)</f>
        <v>HEREFORD</v>
      </c>
      <c r="M21" s="15" t="str">
        <f>VLOOKUP(A21,sinap!$A$2:$R$9000,5,FALSE)</f>
        <v>20 años 1 meses</v>
      </c>
      <c r="N21" s="15" t="str">
        <f>VLOOKUP(A21,sinap!$A$2:$R$9000,6,FALSE)</f>
        <v>15-12-2005</v>
      </c>
      <c r="O21" s="15" t="str">
        <f>VLOOKUP(A21,sinap!$A$2:$R$9000,7,FALSE)</f>
        <v>Vivo</v>
      </c>
      <c r="P21" s="15" t="str">
        <f>VLOOKUP(A21,sinap!$A$2:$R$9000,8,FALSE)</f>
        <v>11.1.01.1241</v>
      </c>
      <c r="Q21" s="15" t="str">
        <f>VLOOKUP(A21,sinap!$A$2:$R$9000,12,FALSE)</f>
        <v>11.1.01.1240</v>
      </c>
      <c r="R21" s="15" t="str">
        <f>VLOOKUP(A21,sinap!$A$2:$R$9000,16,FALSE)</f>
        <v>11.1.01.1240</v>
      </c>
      <c r="S21" s="15" t="str">
        <f>VLOOKUP(A21,sinap!$A$2:$Y$9000,20,FALSE)</f>
        <v>SI</v>
      </c>
    </row>
    <row r="22" spans="1:19" s="16" customFormat="1" hidden="1" x14ac:dyDescent="0.25">
      <c r="A22" s="15">
        <v>180560</v>
      </c>
      <c r="B22" s="15"/>
      <c r="C22" s="15"/>
      <c r="J22" s="15" t="str">
        <f>VLOOKUP(A22,sinap!$A$2:$R$9000,2,FALSE)</f>
        <v>H</v>
      </c>
      <c r="K22" s="15" t="str">
        <f>VLOOKUP(A22,sinap!$A$2:$R$9000,3,FALSE)</f>
        <v>VACA</v>
      </c>
      <c r="L22" s="15" t="str">
        <f>VLOOKUP(A22,sinap!$A$2:$R$9000,4,FALSE)</f>
        <v>OVERO COLORADO (CLAVEL ALEMAN)</v>
      </c>
      <c r="M22" s="15" t="str">
        <f>VLOOKUP(A22,sinap!$A$2:$R$9000,5,FALSE)</f>
        <v>20 años 3 meses</v>
      </c>
      <c r="N22" s="15" t="str">
        <f>VLOOKUP(A22,sinap!$A$2:$R$9000,6,FALSE)</f>
        <v>15-10-2005</v>
      </c>
      <c r="O22" s="15" t="str">
        <f>VLOOKUP(A22,sinap!$A$2:$R$9000,7,FALSE)</f>
        <v>Vivo</v>
      </c>
      <c r="P22" s="15" t="str">
        <f>VLOOKUP(A22,sinap!$A$2:$R$9000,8,FALSE)</f>
        <v>11.1.01.1241</v>
      </c>
      <c r="Q22" s="15" t="str">
        <f>VLOOKUP(A22,sinap!$A$2:$R$9000,12,FALSE)</f>
        <v>11.2.01.0038</v>
      </c>
      <c r="R22" s="15" t="str">
        <f>VLOOKUP(A22,sinap!$A$2:$R$9000,16,FALSE)</f>
        <v>11.1.01.1241</v>
      </c>
      <c r="S22" s="15" t="str">
        <f>VLOOKUP(A22,sinap!$A$2:$Y$9000,20,FALSE)</f>
        <v>SI</v>
      </c>
    </row>
    <row r="23" spans="1:19" s="16" customFormat="1" hidden="1" x14ac:dyDescent="0.25">
      <c r="A23" s="15">
        <v>180572</v>
      </c>
      <c r="B23" s="15"/>
      <c r="C23" s="15"/>
      <c r="J23" s="15" t="str">
        <f>VLOOKUP(A23,sinap!$A$2:$R$9000,2,FALSE)</f>
        <v>H</v>
      </c>
      <c r="K23" s="15" t="str">
        <f>VLOOKUP(A23,sinap!$A$2:$R$9000,3,FALSE)</f>
        <v>VACA</v>
      </c>
      <c r="L23" s="15" t="str">
        <f>VLOOKUP(A23,sinap!$A$2:$R$9000,4,FALSE)</f>
        <v>OVERO COLORADO (CLAVEL ALEMAN)</v>
      </c>
      <c r="M23" s="15" t="str">
        <f>VLOOKUP(A23,sinap!$A$2:$R$9000,5,FALSE)</f>
        <v>20 años 3 meses</v>
      </c>
      <c r="N23" s="15" t="str">
        <f>VLOOKUP(A23,sinap!$A$2:$R$9000,6,FALSE)</f>
        <v>15-10-2005</v>
      </c>
      <c r="O23" s="15" t="str">
        <f>VLOOKUP(A23,sinap!$A$2:$R$9000,7,FALSE)</f>
        <v>Vivo</v>
      </c>
      <c r="P23" s="15" t="str">
        <f>VLOOKUP(A23,sinap!$A$2:$R$9000,8,FALSE)</f>
        <v>11.1.01.1241</v>
      </c>
      <c r="Q23" s="15" t="str">
        <f>VLOOKUP(A23,sinap!$A$2:$R$9000,12,FALSE)</f>
        <v>11.2.01.0053</v>
      </c>
      <c r="R23" s="15" t="str">
        <f>VLOOKUP(A23,sinap!$A$2:$R$9000,16,FALSE)</f>
        <v>11.1.01.1241</v>
      </c>
      <c r="S23" s="15" t="str">
        <f>VLOOKUP(A23,sinap!$A$2:$Y$9000,20,FALSE)</f>
        <v>SI</v>
      </c>
    </row>
    <row r="24" spans="1:19" s="16" customFormat="1" hidden="1" x14ac:dyDescent="0.25">
      <c r="A24" s="15">
        <v>180592</v>
      </c>
      <c r="B24" s="15"/>
      <c r="C24" s="15"/>
      <c r="J24" s="15" t="str">
        <f>VLOOKUP(A24,sinap!$A$2:$R$9000,2,FALSE)</f>
        <v>H</v>
      </c>
      <c r="K24" s="15" t="str">
        <f>VLOOKUP(A24,sinap!$A$2:$R$9000,3,FALSE)</f>
        <v>VACA</v>
      </c>
      <c r="L24" s="15" t="str">
        <f>VLOOKUP(A24,sinap!$A$2:$R$9000,4,FALSE)</f>
        <v>OVERO COLORADO (CLAVEL ALEMAN)</v>
      </c>
      <c r="M24" s="15" t="str">
        <f>VLOOKUP(A24,sinap!$A$2:$R$9000,5,FALSE)</f>
        <v>20 años 3 meses</v>
      </c>
      <c r="N24" s="15" t="str">
        <f>VLOOKUP(A24,sinap!$A$2:$R$9000,6,FALSE)</f>
        <v>15-10-2005</v>
      </c>
      <c r="O24" s="15" t="str">
        <f>VLOOKUP(A24,sinap!$A$2:$R$9000,7,FALSE)</f>
        <v>Vivo</v>
      </c>
      <c r="P24" s="15" t="str">
        <f>VLOOKUP(A24,sinap!$A$2:$R$9000,8,FALSE)</f>
        <v>11.1.01.1241</v>
      </c>
      <c r="Q24" s="15" t="str">
        <f>VLOOKUP(A24,sinap!$A$2:$R$9000,12,FALSE)</f>
        <v>11.1.01.1240</v>
      </c>
      <c r="R24" s="15" t="str">
        <f>VLOOKUP(A24,sinap!$A$2:$R$9000,16,FALSE)</f>
        <v>11.1.01.1241</v>
      </c>
      <c r="S24" s="15" t="str">
        <f>VLOOKUP(A24,sinap!$A$2:$Y$9000,20,FALSE)</f>
        <v>SI</v>
      </c>
    </row>
    <row r="25" spans="1:19" s="16" customFormat="1" hidden="1" x14ac:dyDescent="0.25">
      <c r="A25" s="15">
        <v>180666</v>
      </c>
      <c r="B25" s="15"/>
      <c r="C25" s="15"/>
      <c r="J25" s="15" t="str">
        <f>VLOOKUP(A25,sinap!$A$2:$R$9000,2,FALSE)</f>
        <v>H</v>
      </c>
      <c r="K25" s="15" t="str">
        <f>VLOOKUP(A25,sinap!$A$2:$R$9000,3,FALSE)</f>
        <v>VACA</v>
      </c>
      <c r="L25" s="15" t="str">
        <f>VLOOKUP(A25,sinap!$A$2:$R$9000,4,FALSE)</f>
        <v>OVERO COLORADO (CLAVEL ALEMAN)</v>
      </c>
      <c r="M25" s="15" t="str">
        <f>VLOOKUP(A25,sinap!$A$2:$R$9000,5,FALSE)</f>
        <v>20 años 1 meses</v>
      </c>
      <c r="N25" s="15" t="str">
        <f>VLOOKUP(A25,sinap!$A$2:$R$9000,6,FALSE)</f>
        <v>15-12-2005</v>
      </c>
      <c r="O25" s="15" t="str">
        <f>VLOOKUP(A25,sinap!$A$2:$R$9000,7,FALSE)</f>
        <v>Vivo</v>
      </c>
      <c r="P25" s="15" t="str">
        <f>VLOOKUP(A25,sinap!$A$2:$R$9000,8,FALSE)</f>
        <v>11.1.01.1241</v>
      </c>
      <c r="Q25" s="15" t="str">
        <f>VLOOKUP(A25,sinap!$A$2:$R$9000,12,FALSE)</f>
        <v>11.1.01.0791</v>
      </c>
      <c r="R25" s="15" t="str">
        <f>VLOOKUP(A25,sinap!$A$2:$R$9000,16,FALSE)</f>
        <v>11.1.01.1241</v>
      </c>
      <c r="S25" s="15" t="str">
        <f>VLOOKUP(A25,sinap!$A$2:$Y$9000,20,FALSE)</f>
        <v>SI</v>
      </c>
    </row>
    <row r="26" spans="1:19" s="16" customFormat="1" hidden="1" x14ac:dyDescent="0.25">
      <c r="A26" s="15">
        <v>180700</v>
      </c>
      <c r="B26" s="15"/>
      <c r="C26" s="15"/>
      <c r="J26" s="15" t="str">
        <f>VLOOKUP(A26,sinap!$A$2:$R$9000,2,FALSE)</f>
        <v>H</v>
      </c>
      <c r="K26" s="15" t="str">
        <f>VLOOKUP(A26,sinap!$A$2:$R$9000,3,FALSE)</f>
        <v>VACA</v>
      </c>
      <c r="L26" s="15" t="str">
        <f>VLOOKUP(A26,sinap!$A$2:$R$9000,4,FALSE)</f>
        <v>HEREFORD</v>
      </c>
      <c r="M26" s="15" t="str">
        <f>VLOOKUP(A26,sinap!$A$2:$R$9000,5,FALSE)</f>
        <v>20 años 4 meses</v>
      </c>
      <c r="N26" s="15" t="str">
        <f>VLOOKUP(A26,sinap!$A$2:$R$9000,6,FALSE)</f>
        <v>15-09-2005</v>
      </c>
      <c r="O26" s="15" t="str">
        <f>VLOOKUP(A26,sinap!$A$2:$R$9000,7,FALSE)</f>
        <v>Vivo</v>
      </c>
      <c r="P26" s="15" t="str">
        <f>VLOOKUP(A26,sinap!$A$2:$R$9000,8,FALSE)</f>
        <v>11.1.01.1241</v>
      </c>
      <c r="Q26" s="15" t="str">
        <f>VLOOKUP(A26,sinap!$A$2:$R$9000,12,FALSE)</f>
        <v>11.2.01.2071</v>
      </c>
      <c r="R26" s="15" t="str">
        <f>VLOOKUP(A26,sinap!$A$2:$R$9000,16,FALSE)</f>
        <v>11.1.01.0790</v>
      </c>
      <c r="S26" s="15" t="str">
        <f>VLOOKUP(A26,sinap!$A$2:$Y$9000,20,FALSE)</f>
        <v>SI</v>
      </c>
    </row>
    <row r="27" spans="1:19" s="16" customFormat="1" hidden="1" x14ac:dyDescent="0.25">
      <c r="A27" s="15">
        <v>180705</v>
      </c>
      <c r="B27" s="15"/>
      <c r="C27" s="15"/>
      <c r="J27" s="15" t="str">
        <f>VLOOKUP(A27,sinap!$A$2:$R$9000,2,FALSE)</f>
        <v>H</v>
      </c>
      <c r="K27" s="15" t="str">
        <f>VLOOKUP(A27,sinap!$A$2:$R$9000,3,FALSE)</f>
        <v>VACA</v>
      </c>
      <c r="L27" s="15" t="str">
        <f>VLOOKUP(A27,sinap!$A$2:$R$9000,4,FALSE)</f>
        <v>OVERO COLORADO (CLAVEL ALEMAN)</v>
      </c>
      <c r="M27" s="15" t="str">
        <f>VLOOKUP(A27,sinap!$A$2:$R$9000,5,FALSE)</f>
        <v>20 años 4 meses</v>
      </c>
      <c r="N27" s="15" t="str">
        <f>VLOOKUP(A27,sinap!$A$2:$R$9000,6,FALSE)</f>
        <v>15-09-2005</v>
      </c>
      <c r="O27" s="15" t="str">
        <f>VLOOKUP(A27,sinap!$A$2:$R$9000,7,FALSE)</f>
        <v>Vivo</v>
      </c>
      <c r="P27" s="15" t="str">
        <f>VLOOKUP(A27,sinap!$A$2:$R$9000,8,FALSE)</f>
        <v>11.1.01.1241</v>
      </c>
      <c r="Q27" s="15" t="str">
        <f>VLOOKUP(A27,sinap!$A$2:$R$9000,12,FALSE)</f>
        <v>11.1.01.0791</v>
      </c>
      <c r="R27" s="15" t="str">
        <f>VLOOKUP(A27,sinap!$A$2:$R$9000,16,FALSE)</f>
        <v>11.1.01.0790</v>
      </c>
      <c r="S27" s="15" t="str">
        <f>VLOOKUP(A27,sinap!$A$2:$Y$9000,20,FALSE)</f>
        <v>SI</v>
      </c>
    </row>
    <row r="28" spans="1:19" s="16" customFormat="1" hidden="1" x14ac:dyDescent="0.25">
      <c r="A28" s="15">
        <v>180717</v>
      </c>
      <c r="B28" s="15"/>
      <c r="C28" s="15"/>
      <c r="J28" s="15" t="str">
        <f>VLOOKUP(A28,sinap!$A$2:$R$9000,2,FALSE)</f>
        <v>H</v>
      </c>
      <c r="K28" s="15" t="str">
        <f>VLOOKUP(A28,sinap!$A$2:$R$9000,3,FALSE)</f>
        <v>VACA</v>
      </c>
      <c r="L28" s="15" t="str">
        <f>VLOOKUP(A28,sinap!$A$2:$R$9000,4,FALSE)</f>
        <v>HEREFORD</v>
      </c>
      <c r="M28" s="15" t="str">
        <f>VLOOKUP(A28,sinap!$A$2:$R$9000,5,FALSE)</f>
        <v>20 años 3 meses</v>
      </c>
      <c r="N28" s="15" t="str">
        <f>VLOOKUP(A28,sinap!$A$2:$R$9000,6,FALSE)</f>
        <v>15-10-2005</v>
      </c>
      <c r="O28" s="15" t="str">
        <f>VLOOKUP(A28,sinap!$A$2:$R$9000,7,FALSE)</f>
        <v>Vivo</v>
      </c>
      <c r="P28" s="15" t="str">
        <f>VLOOKUP(A28,sinap!$A$2:$R$9000,8,FALSE)</f>
        <v>11.1.01.1241</v>
      </c>
      <c r="Q28" s="15" t="str">
        <f>VLOOKUP(A28,sinap!$A$2:$R$9000,12,FALSE)</f>
        <v>11.1.01.0791</v>
      </c>
      <c r="R28" s="15" t="str">
        <f>VLOOKUP(A28,sinap!$A$2:$R$9000,16,FALSE)</f>
        <v>11.1.01.0790</v>
      </c>
      <c r="S28" s="15" t="str">
        <f>VLOOKUP(A28,sinap!$A$2:$Y$9000,20,FALSE)</f>
        <v>SI</v>
      </c>
    </row>
    <row r="29" spans="1:19" s="16" customFormat="1" hidden="1" x14ac:dyDescent="0.25">
      <c r="A29" s="15">
        <v>180721</v>
      </c>
      <c r="B29" s="15"/>
      <c r="C29" s="15"/>
      <c r="D29" s="16">
        <v>44133</v>
      </c>
      <c r="E29" s="16">
        <v>44518</v>
      </c>
      <c r="F29" s="16">
        <v>44893</v>
      </c>
      <c r="G29" s="16">
        <v>45254</v>
      </c>
      <c r="J29" s="15" t="str">
        <f>VLOOKUP(A29,sinap!$A$2:$R$9000,2,FALSE)</f>
        <v>H</v>
      </c>
      <c r="K29" s="15" t="str">
        <f>VLOOKUP(A29,sinap!$A$2:$R$9000,3,FALSE)</f>
        <v>VACA</v>
      </c>
      <c r="L29" s="15" t="str">
        <f>VLOOKUP(A29,sinap!$A$2:$R$9000,4,FALSE)</f>
        <v>HEREFORD</v>
      </c>
      <c r="M29" s="15" t="str">
        <f>VLOOKUP(A29,sinap!$A$2:$R$9000,5,FALSE)</f>
        <v>20 años 3 meses</v>
      </c>
      <c r="N29" s="15" t="str">
        <f>VLOOKUP(A29,sinap!$A$2:$R$9000,6,FALSE)</f>
        <v>15-10-2005</v>
      </c>
      <c r="O29" s="15" t="str">
        <f>VLOOKUP(A29,sinap!$A$2:$R$9000,7,FALSE)</f>
        <v>Vivo</v>
      </c>
      <c r="P29" s="15" t="str">
        <f>VLOOKUP(A29,sinap!$A$2:$R$9000,8,FALSE)</f>
        <v>11.1.01.1241</v>
      </c>
      <c r="Q29" s="15" t="str">
        <f>VLOOKUP(A29,sinap!$A$2:$R$9000,12,FALSE)</f>
        <v>11.1.01.0791</v>
      </c>
      <c r="R29" s="15" t="str">
        <f>VLOOKUP(A29,sinap!$A$2:$R$9000,16,FALSE)</f>
        <v>11.1.01.0790</v>
      </c>
      <c r="S29" s="15" t="str">
        <f>VLOOKUP(A29,sinap!$A$2:$Y$9000,20,FALSE)</f>
        <v>SI</v>
      </c>
    </row>
    <row r="30" spans="1:19" s="16" customFormat="1" hidden="1" x14ac:dyDescent="0.25">
      <c r="A30" s="15">
        <v>1316934</v>
      </c>
      <c r="B30" s="15"/>
      <c r="C30" s="15"/>
      <c r="D30" s="16">
        <v>43983</v>
      </c>
      <c r="E30" s="16">
        <v>44491</v>
      </c>
      <c r="F30" s="16">
        <v>44912</v>
      </c>
      <c r="G30" s="16">
        <v>45253</v>
      </c>
      <c r="J30" s="15" t="str">
        <f>VLOOKUP(A30,sinap!$A$2:$R$9000,2,FALSE)</f>
        <v>M</v>
      </c>
      <c r="K30" s="15" t="str">
        <f>VLOOKUP(A30,sinap!$A$2:$R$9000,3,FALSE)</f>
        <v>BUEY</v>
      </c>
      <c r="L30" s="15" t="str">
        <f>VLOOKUP(A30,sinap!$A$2:$R$9000,4,FALSE)</f>
        <v>ANGUS NEGRO</v>
      </c>
      <c r="M30" s="15" t="str">
        <f>VLOOKUP(A30,sinap!$A$2:$R$9000,5,FALSE)</f>
        <v>19 años 3 meses</v>
      </c>
      <c r="N30" s="15" t="str">
        <f>VLOOKUP(A30,sinap!$A$2:$R$9000,6,FALSE)</f>
        <v>15-10-2006</v>
      </c>
      <c r="O30" s="15" t="str">
        <f>VLOOKUP(A30,sinap!$A$2:$R$9000,7,FALSE)</f>
        <v>Vivo</v>
      </c>
      <c r="P30" s="15" t="str">
        <f>VLOOKUP(A30,sinap!$A$2:$R$9000,8,FALSE)</f>
        <v>11.1.01.1241</v>
      </c>
      <c r="Q30" s="15" t="str">
        <f>VLOOKUP(A30,sinap!$A$2:$R$9000,12,FALSE)</f>
        <v>11.1.01.0290</v>
      </c>
      <c r="R30" s="15" t="str">
        <f>VLOOKUP(A30,sinap!$A$2:$R$9000,16,FALSE)</f>
        <v>11.1.01.0290</v>
      </c>
      <c r="S30" s="15" t="str">
        <f>VLOOKUP(A30,sinap!$A$2:$Y$9000,20,FALSE)</f>
        <v>SI</v>
      </c>
    </row>
    <row r="31" spans="1:19" s="16" customFormat="1" hidden="1" x14ac:dyDescent="0.25">
      <c r="A31" s="15">
        <v>1316953</v>
      </c>
      <c r="B31" s="15"/>
      <c r="C31" s="15"/>
      <c r="J31" s="15" t="str">
        <f>VLOOKUP(A31,sinap!$A$2:$R$9000,2,FALSE)</f>
        <v>M</v>
      </c>
      <c r="K31" s="15" t="str">
        <f>VLOOKUP(A31,sinap!$A$2:$R$9000,3,FALSE)</f>
        <v>BUEY</v>
      </c>
      <c r="L31" s="15" t="str">
        <f>VLOOKUP(A31,sinap!$A$2:$R$9000,4,FALSE)</f>
        <v>ANGUS ROJO</v>
      </c>
      <c r="M31" s="15" t="str">
        <f>VLOOKUP(A31,sinap!$A$2:$R$9000,5,FALSE)</f>
        <v>19 años 2 meses</v>
      </c>
      <c r="N31" s="15" t="str">
        <f>VLOOKUP(A31,sinap!$A$2:$R$9000,6,FALSE)</f>
        <v>30-10-2006</v>
      </c>
      <c r="O31" s="15" t="str">
        <f>VLOOKUP(A31,sinap!$A$2:$R$9000,7,FALSE)</f>
        <v>Vivo</v>
      </c>
      <c r="P31" s="15" t="str">
        <f>VLOOKUP(A31,sinap!$A$2:$R$9000,8,FALSE)</f>
        <v>11.1.01.1241</v>
      </c>
      <c r="Q31" s="15" t="str">
        <f>VLOOKUP(A31,sinap!$A$2:$R$9000,12,FALSE)</f>
        <v>11.1.01.0790</v>
      </c>
      <c r="R31" s="15" t="str">
        <f>VLOOKUP(A31,sinap!$A$2:$R$9000,16,FALSE)</f>
        <v>11.1.01.0790</v>
      </c>
      <c r="S31" s="15" t="str">
        <f>VLOOKUP(A31,sinap!$A$2:$Y$9000,20,FALSE)</f>
        <v>SI</v>
      </c>
    </row>
    <row r="32" spans="1:19" hidden="1" x14ac:dyDescent="0.25">
      <c r="A32" s="15">
        <v>1316957</v>
      </c>
      <c r="D32" s="16">
        <v>43983</v>
      </c>
      <c r="E32" s="16">
        <v>44491</v>
      </c>
      <c r="F32" s="16">
        <v>44908</v>
      </c>
      <c r="G32" s="16">
        <v>45253</v>
      </c>
      <c r="J32" s="15" t="str">
        <f>VLOOKUP(A32,sinap!$A$2:$R$9000,2,FALSE)</f>
        <v>H</v>
      </c>
      <c r="K32" s="15" t="str">
        <f>VLOOKUP(A32,sinap!$A$2:$R$9000,3,FALSE)</f>
        <v>VACA</v>
      </c>
      <c r="L32" s="15" t="str">
        <f>VLOOKUP(A32,sinap!$A$2:$R$9000,4,FALSE)</f>
        <v>OVERO COLORADO (CLAVEL ALEMAN)</v>
      </c>
      <c r="M32" s="15" t="str">
        <f>VLOOKUP(A32,sinap!$A$2:$R$9000,5,FALSE)</f>
        <v>19 años 2 meses</v>
      </c>
      <c r="N32" s="15" t="str">
        <f>VLOOKUP(A32,sinap!$A$2:$R$9000,6,FALSE)</f>
        <v>30-10-2006</v>
      </c>
      <c r="O32" s="15" t="str">
        <f>VLOOKUP(A32,sinap!$A$2:$R$9000,7,FALSE)</f>
        <v>Vivo</v>
      </c>
      <c r="P32" s="15" t="str">
        <f>VLOOKUP(A32,sinap!$A$2:$R$9000,8,FALSE)</f>
        <v>11.1.01.1241</v>
      </c>
      <c r="Q32" s="15" t="str">
        <f>VLOOKUP(A32,sinap!$A$2:$R$9000,12,FALSE)</f>
        <v>11.2.01.0053</v>
      </c>
      <c r="R32" s="15" t="str">
        <f>VLOOKUP(A32,sinap!$A$2:$R$9000,16,FALSE)</f>
        <v>11.1.01.0790</v>
      </c>
      <c r="S32" s="15" t="str">
        <f>VLOOKUP(A32,sinap!$A$2:$Y$9000,20,FALSE)</f>
        <v>SI</v>
      </c>
    </row>
    <row r="33" spans="1:19" hidden="1" x14ac:dyDescent="0.25">
      <c r="A33" s="15">
        <v>1316967</v>
      </c>
      <c r="D33" s="16">
        <v>44133</v>
      </c>
      <c r="E33" s="16">
        <v>44518</v>
      </c>
      <c r="F33" s="16">
        <v>44883</v>
      </c>
      <c r="J33" s="15" t="str">
        <f>VLOOKUP(A33,sinap!$A$2:$R$9000,2,FALSE)</f>
        <v>H</v>
      </c>
      <c r="K33" s="15" t="str">
        <f>VLOOKUP(A33,sinap!$A$2:$R$9000,3,FALSE)</f>
        <v>VACA</v>
      </c>
      <c r="L33" s="15" t="str">
        <f>VLOOKUP(A33,sinap!$A$2:$R$9000,4,FALSE)</f>
        <v>HEREFORD</v>
      </c>
      <c r="M33" s="15" t="str">
        <f>VLOOKUP(A33,sinap!$A$2:$R$9000,5,FALSE)</f>
        <v>19 años 1 meses</v>
      </c>
      <c r="N33" s="15" t="str">
        <f>VLOOKUP(A33,sinap!$A$2:$R$9000,6,FALSE)</f>
        <v>30-11-2006</v>
      </c>
      <c r="O33" s="15" t="str">
        <f>VLOOKUP(A33,sinap!$A$2:$R$9000,7,FALSE)</f>
        <v>Vivo</v>
      </c>
      <c r="P33" s="15" t="str">
        <f>VLOOKUP(A33,sinap!$A$2:$R$9000,8,FALSE)</f>
        <v>11.1.01.1241</v>
      </c>
      <c r="Q33" s="15" t="str">
        <f>VLOOKUP(A33,sinap!$A$2:$R$9000,12,FALSE)</f>
        <v>11.2.01.0053</v>
      </c>
      <c r="R33" s="15" t="str">
        <f>VLOOKUP(A33,sinap!$A$2:$R$9000,16,FALSE)</f>
        <v>11.1.01.0790</v>
      </c>
      <c r="S33" s="15" t="str">
        <f>VLOOKUP(A33,sinap!$A$2:$Y$9000,20,FALSE)</f>
        <v>SI</v>
      </c>
    </row>
    <row r="34" spans="1:19" hidden="1" x14ac:dyDescent="0.25">
      <c r="A34" s="15">
        <v>1318037</v>
      </c>
      <c r="J34" s="15" t="str">
        <f>VLOOKUP(A34,sinap!$A$2:$R$9000,2,FALSE)</f>
        <v>H</v>
      </c>
      <c r="K34" s="15" t="str">
        <f>VLOOKUP(A34,sinap!$A$2:$R$9000,3,FALSE)</f>
        <v>VACA</v>
      </c>
      <c r="L34" s="15" t="str">
        <f>VLOOKUP(A34,sinap!$A$2:$R$9000,4,FALSE)</f>
        <v>OVERO COLORADO (CLAVEL ALEMAN)</v>
      </c>
      <c r="M34" s="15" t="str">
        <f>VLOOKUP(A34,sinap!$A$2:$R$9000,5,FALSE)</f>
        <v>19 años 3 meses</v>
      </c>
      <c r="N34" s="15" t="str">
        <f>VLOOKUP(A34,sinap!$A$2:$R$9000,6,FALSE)</f>
        <v>15-10-2006</v>
      </c>
      <c r="O34" s="15" t="str">
        <f>VLOOKUP(A34,sinap!$A$2:$R$9000,7,FALSE)</f>
        <v>Vivo</v>
      </c>
      <c r="P34" s="15" t="str">
        <f>VLOOKUP(A34,sinap!$A$2:$R$9000,8,FALSE)</f>
        <v>11.1.01.1241</v>
      </c>
      <c r="Q34" s="15" t="str">
        <f>VLOOKUP(A34,sinap!$A$2:$R$9000,12,FALSE)</f>
        <v>11.2.01.0053</v>
      </c>
      <c r="R34" s="15" t="str">
        <f>VLOOKUP(A34,sinap!$A$2:$R$9000,16,FALSE)</f>
        <v>11.1.01.1241</v>
      </c>
      <c r="S34" s="15" t="str">
        <f>VLOOKUP(A34,sinap!$A$2:$Y$9000,20,FALSE)</f>
        <v>SI</v>
      </c>
    </row>
    <row r="35" spans="1:19" hidden="1" x14ac:dyDescent="0.25">
      <c r="A35" s="15">
        <v>1318058</v>
      </c>
      <c r="J35" s="15" t="str">
        <f>VLOOKUP(A35,sinap!$A$2:$R$9000,2,FALSE)</f>
        <v>H</v>
      </c>
      <c r="K35" s="15" t="str">
        <f>VLOOKUP(A35,sinap!$A$2:$R$9000,3,FALSE)</f>
        <v>VACA</v>
      </c>
      <c r="L35" s="15" t="str">
        <f>VLOOKUP(A35,sinap!$A$2:$R$9000,4,FALSE)</f>
        <v>OVERO COLORADO (CLAVEL ALEMAN)</v>
      </c>
      <c r="M35" s="15" t="str">
        <f>VLOOKUP(A35,sinap!$A$2:$R$9000,5,FALSE)</f>
        <v>19 años 3 meses</v>
      </c>
      <c r="N35" s="15" t="str">
        <f>VLOOKUP(A35,sinap!$A$2:$R$9000,6,FALSE)</f>
        <v>15-10-2006</v>
      </c>
      <c r="O35" s="15" t="str">
        <f>VLOOKUP(A35,sinap!$A$2:$R$9000,7,FALSE)</f>
        <v>Vivo</v>
      </c>
      <c r="P35" s="15" t="str">
        <f>VLOOKUP(A35,sinap!$A$2:$R$9000,8,FALSE)</f>
        <v>11.1.01.1241</v>
      </c>
      <c r="Q35" s="15" t="str">
        <f>VLOOKUP(A35,sinap!$A$2:$R$9000,12,FALSE)</f>
        <v>11.1.01.0893</v>
      </c>
      <c r="R35" s="15" t="str">
        <f>VLOOKUP(A35,sinap!$A$2:$R$9000,16,FALSE)</f>
        <v>11.1.01.1241</v>
      </c>
      <c r="S35" s="15" t="str">
        <f>VLOOKUP(A35,sinap!$A$2:$Y$9000,20,FALSE)</f>
        <v>SI</v>
      </c>
    </row>
    <row r="36" spans="1:19" hidden="1" x14ac:dyDescent="0.25">
      <c r="A36" s="15">
        <v>1318076</v>
      </c>
      <c r="J36" s="15" t="str">
        <f>VLOOKUP(A36,sinap!$A$2:$R$9000,2,FALSE)</f>
        <v>H</v>
      </c>
      <c r="K36" s="15" t="str">
        <f>VLOOKUP(A36,sinap!$A$2:$R$9000,3,FALSE)</f>
        <v>VACA</v>
      </c>
      <c r="L36" s="15" t="str">
        <f>VLOOKUP(A36,sinap!$A$2:$R$9000,4,FALSE)</f>
        <v>ANGUS ROJO</v>
      </c>
      <c r="M36" s="15" t="str">
        <f>VLOOKUP(A36,sinap!$A$2:$R$9000,5,FALSE)</f>
        <v>19 años 4 meses</v>
      </c>
      <c r="N36" s="15" t="str">
        <f>VLOOKUP(A36,sinap!$A$2:$R$9000,6,FALSE)</f>
        <v>15-09-2006</v>
      </c>
      <c r="O36" s="15" t="str">
        <f>VLOOKUP(A36,sinap!$A$2:$R$9000,7,FALSE)</f>
        <v>Vivo</v>
      </c>
      <c r="P36" s="15" t="str">
        <f>VLOOKUP(A36,sinap!$A$2:$R$9000,8,FALSE)</f>
        <v>11.1.01.1241</v>
      </c>
      <c r="Q36" s="15" t="str">
        <f>VLOOKUP(A36,sinap!$A$2:$R$9000,12,FALSE)</f>
        <v>Sin Movimiento</v>
      </c>
      <c r="R36" s="15" t="str">
        <f>VLOOKUP(A36,sinap!$A$2:$R$9000,16,FALSE)</f>
        <v>11.1.01.1241</v>
      </c>
      <c r="S36" s="15" t="str">
        <f>VLOOKUP(A36,sinap!$A$2:$Y$9000,20,FALSE)</f>
        <v>SI</v>
      </c>
    </row>
    <row r="37" spans="1:19" hidden="1" x14ac:dyDescent="0.25">
      <c r="A37" s="15">
        <v>1318087</v>
      </c>
      <c r="J37" s="15" t="str">
        <f>VLOOKUP(A37,sinap!$A$2:$R$9000,2,FALSE)</f>
        <v>H</v>
      </c>
      <c r="K37" s="15" t="str">
        <f>VLOOKUP(A37,sinap!$A$2:$R$9000,3,FALSE)</f>
        <v>VACA</v>
      </c>
      <c r="L37" s="15" t="str">
        <f>VLOOKUP(A37,sinap!$A$2:$R$9000,4,FALSE)</f>
        <v>HEREFORD</v>
      </c>
      <c r="M37" s="15" t="str">
        <f>VLOOKUP(A37,sinap!$A$2:$R$9000,5,FALSE)</f>
        <v>19 años 3 meses</v>
      </c>
      <c r="N37" s="15" t="str">
        <f>VLOOKUP(A37,sinap!$A$2:$R$9000,6,FALSE)</f>
        <v>15-10-2006</v>
      </c>
      <c r="O37" s="15" t="str">
        <f>VLOOKUP(A37,sinap!$A$2:$R$9000,7,FALSE)</f>
        <v>Vivo</v>
      </c>
      <c r="P37" s="15" t="str">
        <f>VLOOKUP(A37,sinap!$A$2:$R$9000,8,FALSE)</f>
        <v>11.1.01.1241</v>
      </c>
      <c r="Q37" s="15" t="str">
        <f>VLOOKUP(A37,sinap!$A$2:$R$9000,12,FALSE)</f>
        <v>11.2.01.0053</v>
      </c>
      <c r="R37" s="15" t="str">
        <f>VLOOKUP(A37,sinap!$A$2:$R$9000,16,FALSE)</f>
        <v>11.1.01.1241</v>
      </c>
      <c r="S37" s="15" t="str">
        <f>VLOOKUP(A37,sinap!$A$2:$Y$9000,20,FALSE)</f>
        <v>SI</v>
      </c>
    </row>
    <row r="38" spans="1:19" hidden="1" x14ac:dyDescent="0.25">
      <c r="A38" s="15">
        <v>1318097</v>
      </c>
      <c r="D38" s="16">
        <v>43983</v>
      </c>
      <c r="E38" s="16">
        <v>44497</v>
      </c>
      <c r="F38" s="16">
        <v>44868</v>
      </c>
      <c r="G38" s="16">
        <v>45253</v>
      </c>
      <c r="J38" s="15" t="str">
        <f>VLOOKUP(A38,sinap!$A$2:$R$9000,2,FALSE)</f>
        <v>H</v>
      </c>
      <c r="K38" s="15" t="str">
        <f>VLOOKUP(A38,sinap!$A$2:$R$9000,3,FALSE)</f>
        <v>VACA</v>
      </c>
      <c r="L38" s="15" t="str">
        <f>VLOOKUP(A38,sinap!$A$2:$R$9000,4,FALSE)</f>
        <v>HEREFORD</v>
      </c>
      <c r="M38" s="15" t="str">
        <f>VLOOKUP(A38,sinap!$A$2:$R$9000,5,FALSE)</f>
        <v>19 años 2 meses</v>
      </c>
      <c r="N38" s="15" t="str">
        <f>VLOOKUP(A38,sinap!$A$2:$R$9000,6,FALSE)</f>
        <v>15-11-2006</v>
      </c>
      <c r="O38" s="15" t="str">
        <f>VLOOKUP(A38,sinap!$A$2:$R$9000,7,FALSE)</f>
        <v>Vivo</v>
      </c>
      <c r="P38" s="15" t="str">
        <f>VLOOKUP(A38,sinap!$A$2:$R$9000,8,FALSE)</f>
        <v>11.1.01.1241</v>
      </c>
      <c r="Q38" s="15" t="str">
        <f>VLOOKUP(A38,sinap!$A$2:$R$9000,12,FALSE)</f>
        <v>11.2.01.0053</v>
      </c>
      <c r="R38" s="15" t="str">
        <f>VLOOKUP(A38,sinap!$A$2:$R$9000,16,FALSE)</f>
        <v>11.1.01.1241</v>
      </c>
      <c r="S38" s="15" t="str">
        <f>VLOOKUP(A38,sinap!$A$2:$Y$9000,20,FALSE)</f>
        <v>SI</v>
      </c>
    </row>
    <row r="39" spans="1:19" x14ac:dyDescent="0.25">
      <c r="A39" s="15">
        <v>1318106</v>
      </c>
      <c r="D39" s="16">
        <v>44144</v>
      </c>
      <c r="E39" s="16">
        <v>44350</v>
      </c>
      <c r="F39" s="16">
        <v>44868</v>
      </c>
      <c r="G39" s="16">
        <v>45092</v>
      </c>
      <c r="J39" s="15" t="str">
        <f>VLOOKUP(A39,sinap!$A$2:$R$9000,2,FALSE)</f>
        <v>H</v>
      </c>
      <c r="K39" s="15" t="str">
        <f>VLOOKUP(A39,sinap!$A$2:$R$9000,3,FALSE)</f>
        <v>VACA</v>
      </c>
      <c r="L39" s="15" t="str">
        <f>VLOOKUP(A39,sinap!$A$2:$R$9000,4,FALSE)</f>
        <v>ANGUS ROJO</v>
      </c>
      <c r="M39" s="15" t="str">
        <f>VLOOKUP(A39,sinap!$A$2:$R$9000,5,FALSE)</f>
        <v>19 años 2 meses</v>
      </c>
      <c r="N39" s="15" t="str">
        <f>VLOOKUP(A39,sinap!$A$2:$R$9000,6,FALSE)</f>
        <v>15-11-2006</v>
      </c>
      <c r="O39" s="15" t="str">
        <f>VLOOKUP(A39,sinap!$A$2:$R$9000,7,FALSE)</f>
        <v>Vivo</v>
      </c>
      <c r="P39" s="15" t="str">
        <f>VLOOKUP(A39,sinap!$A$2:$R$9000,8,FALSE)</f>
        <v>11.1.01.1241</v>
      </c>
      <c r="Q39" s="15" t="str">
        <f>VLOOKUP(A39,sinap!$A$2:$R$9000,12,FALSE)</f>
        <v>Sin Movimiento</v>
      </c>
      <c r="R39" s="15" t="str">
        <f>VLOOKUP(A39,sinap!$A$2:$R$9000,16,FALSE)</f>
        <v>11.1.01.1241</v>
      </c>
      <c r="S39" s="15" t="str">
        <f>VLOOKUP(A39,sinap!$A$2:$Y$9000,20,FALSE)</f>
        <v>SI</v>
      </c>
    </row>
    <row r="40" spans="1:19" hidden="1" x14ac:dyDescent="0.25">
      <c r="A40" s="15">
        <v>1318116</v>
      </c>
      <c r="D40" s="16">
        <v>44133</v>
      </c>
      <c r="E40" s="16">
        <v>44504</v>
      </c>
      <c r="F40" s="16">
        <v>44857</v>
      </c>
      <c r="G40" s="16">
        <v>45254</v>
      </c>
      <c r="J40" s="15" t="str">
        <f>VLOOKUP(A40,sinap!$A$2:$R$9000,2,FALSE)</f>
        <v>H</v>
      </c>
      <c r="K40" s="15" t="str">
        <f>VLOOKUP(A40,sinap!$A$2:$R$9000,3,FALSE)</f>
        <v>VACA</v>
      </c>
      <c r="L40" s="15" t="str">
        <f>VLOOKUP(A40,sinap!$A$2:$R$9000,4,FALSE)</f>
        <v>HEREFORD</v>
      </c>
      <c r="M40" s="15" t="str">
        <f>VLOOKUP(A40,sinap!$A$2:$R$9000,5,FALSE)</f>
        <v>19 años 2 meses</v>
      </c>
      <c r="N40" s="15" t="str">
        <f>VLOOKUP(A40,sinap!$A$2:$R$9000,6,FALSE)</f>
        <v>15-11-2006</v>
      </c>
      <c r="O40" s="15" t="str">
        <f>VLOOKUP(A40,sinap!$A$2:$R$9000,7,FALSE)</f>
        <v>Vivo</v>
      </c>
      <c r="P40" s="15" t="str">
        <f>VLOOKUP(A40,sinap!$A$2:$R$9000,8,FALSE)</f>
        <v>11.1.01.1241</v>
      </c>
      <c r="Q40" s="15" t="str">
        <f>VLOOKUP(A40,sinap!$A$2:$R$9000,12,FALSE)</f>
        <v>11.2.01.0053</v>
      </c>
      <c r="R40" s="15" t="str">
        <f>VLOOKUP(A40,sinap!$A$2:$R$9000,16,FALSE)</f>
        <v>11.1.01.1241</v>
      </c>
      <c r="S40" s="15" t="str">
        <f>VLOOKUP(A40,sinap!$A$2:$Y$9000,20,FALSE)</f>
        <v>SI</v>
      </c>
    </row>
    <row r="41" spans="1:19" hidden="1" x14ac:dyDescent="0.25">
      <c r="A41" s="15">
        <v>1318121</v>
      </c>
      <c r="J41" s="15" t="str">
        <f>VLOOKUP(A41,sinap!$A$2:$R$9000,2,FALSE)</f>
        <v>H</v>
      </c>
      <c r="K41" s="15" t="str">
        <f>VLOOKUP(A41,sinap!$A$2:$R$9000,3,FALSE)</f>
        <v>VACA</v>
      </c>
      <c r="L41" s="15" t="str">
        <f>VLOOKUP(A41,sinap!$A$2:$R$9000,4,FALSE)</f>
        <v>HEREFORD</v>
      </c>
      <c r="M41" s="15" t="str">
        <f>VLOOKUP(A41,sinap!$A$2:$R$9000,5,FALSE)</f>
        <v>19 años 2 meses</v>
      </c>
      <c r="N41" s="15" t="str">
        <f>VLOOKUP(A41,sinap!$A$2:$R$9000,6,FALSE)</f>
        <v>15-11-2006</v>
      </c>
      <c r="O41" s="15" t="str">
        <f>VLOOKUP(A41,sinap!$A$2:$R$9000,7,FALSE)</f>
        <v>Vivo</v>
      </c>
      <c r="P41" s="15" t="str">
        <f>VLOOKUP(A41,sinap!$A$2:$R$9000,8,FALSE)</f>
        <v>11.1.01.1241</v>
      </c>
      <c r="Q41" s="15" t="str">
        <f>VLOOKUP(A41,sinap!$A$2:$R$9000,12,FALSE)</f>
        <v>11.1.01.1081</v>
      </c>
      <c r="R41" s="15" t="str">
        <f>VLOOKUP(A41,sinap!$A$2:$R$9000,16,FALSE)</f>
        <v>11.1.01.1241</v>
      </c>
      <c r="S41" s="15" t="str">
        <f>VLOOKUP(A41,sinap!$A$2:$Y$9000,20,FALSE)</f>
        <v>SI</v>
      </c>
    </row>
    <row r="42" spans="1:19" hidden="1" x14ac:dyDescent="0.25">
      <c r="A42" s="15">
        <v>1318124</v>
      </c>
      <c r="E42" s="16">
        <v>44497</v>
      </c>
      <c r="F42" s="16">
        <v>44912</v>
      </c>
      <c r="G42" s="16">
        <v>45254</v>
      </c>
      <c r="J42" s="15" t="str">
        <f>VLOOKUP(A42,sinap!$A$2:$R$9000,2,FALSE)</f>
        <v>H</v>
      </c>
      <c r="K42" s="15" t="str">
        <f>VLOOKUP(A42,sinap!$A$2:$R$9000,3,FALSE)</f>
        <v>VACA</v>
      </c>
      <c r="L42" s="15" t="str">
        <f>VLOOKUP(A42,sinap!$A$2:$R$9000,4,FALSE)</f>
        <v>OVERO COLORADO (CLAVEL ALEMAN)</v>
      </c>
      <c r="M42" s="15" t="str">
        <f>VLOOKUP(A42,sinap!$A$2:$R$9000,5,FALSE)</f>
        <v>19 años 4 meses</v>
      </c>
      <c r="N42" s="15" t="str">
        <f>VLOOKUP(A42,sinap!$A$2:$R$9000,6,FALSE)</f>
        <v>15-09-2006</v>
      </c>
      <c r="O42" s="15" t="str">
        <f>VLOOKUP(A42,sinap!$A$2:$R$9000,7,FALSE)</f>
        <v>Vivo</v>
      </c>
      <c r="P42" s="15" t="str">
        <f>VLOOKUP(A42,sinap!$A$2:$R$9000,8,FALSE)</f>
        <v>11.1.01.1241</v>
      </c>
      <c r="Q42" s="15" t="str">
        <f>VLOOKUP(A42,sinap!$A$2:$R$9000,12,FALSE)</f>
        <v>11.2.01.0053</v>
      </c>
      <c r="R42" s="15" t="str">
        <f>VLOOKUP(A42,sinap!$A$2:$R$9000,16,FALSE)</f>
        <v>11.1.01.1241</v>
      </c>
      <c r="S42" s="15" t="str">
        <f>VLOOKUP(A42,sinap!$A$2:$Y$9000,20,FALSE)</f>
        <v>SI</v>
      </c>
    </row>
    <row r="43" spans="1:19" hidden="1" x14ac:dyDescent="0.25">
      <c r="A43" s="15">
        <v>1321994</v>
      </c>
      <c r="J43" s="15" t="str">
        <f>VLOOKUP(A43,sinap!$A$2:$R$9000,2,FALSE)</f>
        <v>H</v>
      </c>
      <c r="K43" s="15" t="str">
        <f>VLOOKUP(A43,sinap!$A$2:$R$9000,3,FALSE)</f>
        <v>VACA</v>
      </c>
      <c r="L43" s="15" t="str">
        <f>VLOOKUP(A43,sinap!$A$2:$R$9000,4,FALSE)</f>
        <v>HEREFORD</v>
      </c>
      <c r="M43" s="15" t="str">
        <f>VLOOKUP(A43,sinap!$A$2:$R$9000,5,FALSE)</f>
        <v>19 años 2 meses</v>
      </c>
      <c r="N43" s="15" t="str">
        <f>VLOOKUP(A43,sinap!$A$2:$R$9000,6,FALSE)</f>
        <v>30-10-2006</v>
      </c>
      <c r="O43" s="15" t="str">
        <f>VLOOKUP(A43,sinap!$A$2:$R$9000,7,FALSE)</f>
        <v>Vivo</v>
      </c>
      <c r="P43" s="15" t="str">
        <f>VLOOKUP(A43,sinap!$A$2:$R$9000,8,FALSE)</f>
        <v>11.1.01.2304</v>
      </c>
      <c r="Q43" s="15" t="str">
        <f>VLOOKUP(A43,sinap!$A$2:$R$9000,12,FALSE)</f>
        <v>11.1.01.0941</v>
      </c>
      <c r="R43" s="15" t="str">
        <f>VLOOKUP(A43,sinap!$A$2:$R$9000,16,FALSE)</f>
        <v>11.1.01.1240</v>
      </c>
      <c r="S43" s="15" t="str">
        <f>VLOOKUP(A43,sinap!$A$2:$Y$9000,20,FALSE)</f>
        <v>SI</v>
      </c>
    </row>
    <row r="44" spans="1:19" hidden="1" x14ac:dyDescent="0.25">
      <c r="A44" s="15">
        <v>1347970</v>
      </c>
      <c r="J44" s="15" t="str">
        <f>VLOOKUP(A44,sinap!$A$2:$R$9000,2,FALSE)</f>
        <v>M</v>
      </c>
      <c r="K44" s="15" t="str">
        <f>VLOOKUP(A44,sinap!$A$2:$R$9000,3,FALSE)</f>
        <v>BUEY</v>
      </c>
      <c r="L44" s="15" t="str">
        <f>VLOOKUP(A44,sinap!$A$2:$R$9000,4,FALSE)</f>
        <v>OVERO COLORADO (CLAVEL ALEMAN)</v>
      </c>
      <c r="M44" s="15" t="str">
        <f>VLOOKUP(A44,sinap!$A$2:$R$9000,5,FALSE)</f>
        <v>18 años 9 meses</v>
      </c>
      <c r="N44" s="15" t="str">
        <f>VLOOKUP(A44,sinap!$A$2:$R$9000,6,FALSE)</f>
        <v>30-03-2007</v>
      </c>
      <c r="O44" s="15" t="str">
        <f>VLOOKUP(A44,sinap!$A$2:$R$9000,7,FALSE)</f>
        <v>Vivo</v>
      </c>
      <c r="P44" s="15" t="str">
        <f>VLOOKUP(A44,sinap!$A$2:$R$9000,8,FALSE)</f>
        <v>11.1.01.1241</v>
      </c>
      <c r="Q44" s="15" t="str">
        <f>VLOOKUP(A44,sinap!$A$2:$R$9000,12,FALSE)</f>
        <v>11.1.01.1240</v>
      </c>
      <c r="R44" s="15" t="str">
        <f>VLOOKUP(A44,sinap!$A$2:$R$9000,16,FALSE)</f>
        <v>11.1.01.1240</v>
      </c>
      <c r="S44" s="15" t="str">
        <f>VLOOKUP(A44,sinap!$A$2:$Y$9000,20,FALSE)</f>
        <v>SI</v>
      </c>
    </row>
    <row r="45" spans="1:19" hidden="1" x14ac:dyDescent="0.25">
      <c r="A45" s="15">
        <v>1381760</v>
      </c>
      <c r="D45" s="16">
        <v>43983</v>
      </c>
      <c r="E45" s="16">
        <v>44497</v>
      </c>
      <c r="F45" s="16">
        <v>44912</v>
      </c>
      <c r="G45" s="16">
        <v>45265</v>
      </c>
      <c r="J45" s="15" t="str">
        <f>VLOOKUP(A45,sinap!$A$2:$R$9000,2,FALSE)</f>
        <v>H</v>
      </c>
      <c r="K45" s="15" t="str">
        <f>VLOOKUP(A45,sinap!$A$2:$R$9000,3,FALSE)</f>
        <v>VACA</v>
      </c>
      <c r="L45" s="15" t="str">
        <f>VLOOKUP(A45,sinap!$A$2:$R$9000,4,FALSE)</f>
        <v>OVERO COLORADO (CLAVEL ALEMAN)</v>
      </c>
      <c r="M45" s="15" t="str">
        <f>VLOOKUP(A45,sinap!$A$2:$R$9000,5,FALSE)</f>
        <v>18 años 3 meses</v>
      </c>
      <c r="N45" s="15" t="str">
        <f>VLOOKUP(A45,sinap!$A$2:$R$9000,6,FALSE)</f>
        <v>30-09-2007</v>
      </c>
      <c r="O45" s="15" t="str">
        <f>VLOOKUP(A45,sinap!$A$2:$R$9000,7,FALSE)</f>
        <v>Vivo</v>
      </c>
      <c r="P45" s="15" t="str">
        <f>VLOOKUP(A45,sinap!$A$2:$R$9000,8,FALSE)</f>
        <v>11.1.01.0893</v>
      </c>
      <c r="Q45" s="15" t="str">
        <f>VLOOKUP(A45,sinap!$A$2:$R$9000,12,FALSE)</f>
        <v>11.1.01.1241</v>
      </c>
      <c r="R45" s="15" t="str">
        <f>VLOOKUP(A45,sinap!$A$2:$R$9000,16,FALSE)</f>
        <v>11.1.01.0790</v>
      </c>
      <c r="S45" s="15" t="str">
        <f>VLOOKUP(A45,sinap!$A$2:$Y$9000,20,FALSE)</f>
        <v>SI</v>
      </c>
    </row>
    <row r="46" spans="1:19" hidden="1" x14ac:dyDescent="0.25">
      <c r="A46" s="15">
        <v>1381761</v>
      </c>
      <c r="D46" s="16">
        <v>44135</v>
      </c>
      <c r="F46" s="16">
        <v>44883</v>
      </c>
      <c r="G46" s="16">
        <v>45253</v>
      </c>
      <c r="J46" s="15" t="str">
        <f>VLOOKUP(A46,sinap!$A$2:$R$9000,2,FALSE)</f>
        <v>H</v>
      </c>
      <c r="K46" s="15" t="str">
        <f>VLOOKUP(A46,sinap!$A$2:$R$9000,3,FALSE)</f>
        <v>VACA</v>
      </c>
      <c r="L46" s="15" t="str">
        <f>VLOOKUP(A46,sinap!$A$2:$R$9000,4,FALSE)</f>
        <v>HEREFORD</v>
      </c>
      <c r="M46" s="15" t="str">
        <f>VLOOKUP(A46,sinap!$A$2:$R$9000,5,FALSE)</f>
        <v>18 años 3 meses</v>
      </c>
      <c r="N46" s="15" t="str">
        <f>VLOOKUP(A46,sinap!$A$2:$R$9000,6,FALSE)</f>
        <v>30-09-2007</v>
      </c>
      <c r="O46" s="15" t="str">
        <f>VLOOKUP(A46,sinap!$A$2:$R$9000,7,FALSE)</f>
        <v>Vivo</v>
      </c>
      <c r="P46" s="15" t="str">
        <f>VLOOKUP(A46,sinap!$A$2:$R$9000,8,FALSE)</f>
        <v>11.1.01.1241</v>
      </c>
      <c r="Q46" s="15" t="str">
        <f>VLOOKUP(A46,sinap!$A$2:$R$9000,12,FALSE)</f>
        <v>11.1.01.0790</v>
      </c>
      <c r="R46" s="15" t="str">
        <f>VLOOKUP(A46,sinap!$A$2:$R$9000,16,FALSE)</f>
        <v>11.1.01.0790</v>
      </c>
      <c r="S46" s="15" t="str">
        <f>VLOOKUP(A46,sinap!$A$2:$Y$9000,20,FALSE)</f>
        <v>SI</v>
      </c>
    </row>
    <row r="47" spans="1:19" hidden="1" x14ac:dyDescent="0.25">
      <c r="A47" s="15">
        <v>1381763</v>
      </c>
      <c r="D47" s="16">
        <v>44133</v>
      </c>
      <c r="F47" s="16">
        <v>44805</v>
      </c>
      <c r="J47" s="15" t="str">
        <f>VLOOKUP(A47,sinap!$A$2:$R$9000,2,FALSE)</f>
        <v>H</v>
      </c>
      <c r="K47" s="15" t="str">
        <f>VLOOKUP(A47,sinap!$A$2:$R$9000,3,FALSE)</f>
        <v>VACA</v>
      </c>
      <c r="L47" s="15" t="str">
        <f>VLOOKUP(A47,sinap!$A$2:$R$9000,4,FALSE)</f>
        <v>OVERO COLORADO (CLAVEL ALEMAN)</v>
      </c>
      <c r="M47" s="15" t="str">
        <f>VLOOKUP(A47,sinap!$A$2:$R$9000,5,FALSE)</f>
        <v>18 años 3 meses</v>
      </c>
      <c r="N47" s="15" t="str">
        <f>VLOOKUP(A47,sinap!$A$2:$R$9000,6,FALSE)</f>
        <v>30-09-2007</v>
      </c>
      <c r="O47" s="15" t="str">
        <f>VLOOKUP(A47,sinap!$A$2:$R$9000,7,FALSE)</f>
        <v>Vivo</v>
      </c>
      <c r="P47" s="15" t="str">
        <f>VLOOKUP(A47,sinap!$A$2:$R$9000,8,FALSE)</f>
        <v>11.1.01.0893</v>
      </c>
      <c r="Q47" s="15" t="str">
        <f>VLOOKUP(A47,sinap!$A$2:$R$9000,12,FALSE)</f>
        <v>11.2.01.2071</v>
      </c>
      <c r="R47" s="15" t="str">
        <f>VLOOKUP(A47,sinap!$A$2:$R$9000,16,FALSE)</f>
        <v>11.1.01.0790</v>
      </c>
      <c r="S47" s="15" t="str">
        <f>VLOOKUP(A47,sinap!$A$2:$Y$9000,20,FALSE)</f>
        <v>SI</v>
      </c>
    </row>
    <row r="48" spans="1:19" hidden="1" x14ac:dyDescent="0.25">
      <c r="A48" s="15">
        <v>1381768</v>
      </c>
      <c r="E48" s="16">
        <v>44350</v>
      </c>
      <c r="J48" s="15" t="str">
        <f>VLOOKUP(A48,sinap!$A$2:$R$9000,2,FALSE)</f>
        <v>H</v>
      </c>
      <c r="K48" s="15" t="str">
        <f>VLOOKUP(A48,sinap!$A$2:$R$9000,3,FALSE)</f>
        <v>VACA</v>
      </c>
      <c r="L48" s="15" t="str">
        <f>VLOOKUP(A48,sinap!$A$2:$R$9000,4,FALSE)</f>
        <v>OVERO COLORADO (CLAVEL ALEMAN)</v>
      </c>
      <c r="M48" s="15" t="str">
        <f>VLOOKUP(A48,sinap!$A$2:$R$9000,5,FALSE)</f>
        <v>18 años 3 meses</v>
      </c>
      <c r="N48" s="15" t="str">
        <f>VLOOKUP(A48,sinap!$A$2:$R$9000,6,FALSE)</f>
        <v>30-09-2007</v>
      </c>
      <c r="O48" s="15" t="str">
        <f>VLOOKUP(A48,sinap!$A$2:$R$9000,7,FALSE)</f>
        <v>Vivo</v>
      </c>
      <c r="P48" s="15" t="str">
        <f>VLOOKUP(A48,sinap!$A$2:$R$9000,8,FALSE)</f>
        <v>11.1.01.1241</v>
      </c>
      <c r="Q48" s="15" t="str">
        <f>VLOOKUP(A48,sinap!$A$2:$R$9000,12,FALSE)</f>
        <v>11.1.01.0790</v>
      </c>
      <c r="R48" s="15" t="str">
        <f>VLOOKUP(A48,sinap!$A$2:$R$9000,16,FALSE)</f>
        <v>11.1.01.0790</v>
      </c>
      <c r="S48" s="15" t="str">
        <f>VLOOKUP(A48,sinap!$A$2:$Y$9000,20,FALSE)</f>
        <v>SI</v>
      </c>
    </row>
    <row r="49" spans="1:19" hidden="1" x14ac:dyDescent="0.25">
      <c r="A49" s="15">
        <v>1381782</v>
      </c>
      <c r="J49" s="15" t="str">
        <f>VLOOKUP(A49,sinap!$A$2:$R$9000,2,FALSE)</f>
        <v>H</v>
      </c>
      <c r="K49" s="15" t="str">
        <f>VLOOKUP(A49,sinap!$A$2:$R$9000,3,FALSE)</f>
        <v>VACA</v>
      </c>
      <c r="L49" s="15" t="str">
        <f>VLOOKUP(A49,sinap!$A$2:$R$9000,4,FALSE)</f>
        <v>HEREFORD</v>
      </c>
      <c r="M49" s="15" t="str">
        <f>VLOOKUP(A49,sinap!$A$2:$R$9000,5,FALSE)</f>
        <v>18 años 1 meses</v>
      </c>
      <c r="N49" s="15" t="str">
        <f>VLOOKUP(A49,sinap!$A$2:$R$9000,6,FALSE)</f>
        <v>30-11-2007</v>
      </c>
      <c r="O49" s="15" t="str">
        <f>VLOOKUP(A49,sinap!$A$2:$R$9000,7,FALSE)</f>
        <v>Vivo</v>
      </c>
      <c r="P49" s="15" t="str">
        <f>VLOOKUP(A49,sinap!$A$2:$R$9000,8,FALSE)</f>
        <v>11.1.01.0893</v>
      </c>
      <c r="Q49" s="15" t="str">
        <f>VLOOKUP(A49,sinap!$A$2:$R$9000,12,FALSE)</f>
        <v>11.1.01.0790</v>
      </c>
      <c r="R49" s="15" t="str">
        <f>VLOOKUP(A49,sinap!$A$2:$R$9000,16,FALSE)</f>
        <v>11.1.01.0790</v>
      </c>
      <c r="S49" s="15" t="str">
        <f>VLOOKUP(A49,sinap!$A$2:$Y$9000,20,FALSE)</f>
        <v>SI</v>
      </c>
    </row>
    <row r="50" spans="1:19" hidden="1" x14ac:dyDescent="0.25">
      <c r="A50" s="15">
        <v>1381790</v>
      </c>
      <c r="D50" s="16">
        <v>44133</v>
      </c>
      <c r="E50" s="16">
        <v>44504</v>
      </c>
      <c r="F50" s="16">
        <v>44805</v>
      </c>
      <c r="G50" s="16">
        <v>45265</v>
      </c>
      <c r="J50" s="15" t="str">
        <f>VLOOKUP(A50,sinap!$A$2:$R$9000,2,FALSE)</f>
        <v>M</v>
      </c>
      <c r="K50" s="15" t="str">
        <f>VLOOKUP(A50,sinap!$A$2:$R$9000,3,FALSE)</f>
        <v>BUEY</v>
      </c>
      <c r="L50" s="15" t="str">
        <f>VLOOKUP(A50,sinap!$A$2:$R$9000,4,FALSE)</f>
        <v>ANGUS NEGRO</v>
      </c>
      <c r="M50" s="15" t="str">
        <f>VLOOKUP(A50,sinap!$A$2:$R$9000,5,FALSE)</f>
        <v>19 años 3 meses</v>
      </c>
      <c r="N50" s="15" t="str">
        <f>VLOOKUP(A50,sinap!$A$2:$R$9000,6,FALSE)</f>
        <v>30-09-2006</v>
      </c>
      <c r="O50" s="15" t="str">
        <f>VLOOKUP(A50,sinap!$A$2:$R$9000,7,FALSE)</f>
        <v>Vivo</v>
      </c>
      <c r="P50" s="15" t="str">
        <f>VLOOKUP(A50,sinap!$A$2:$R$9000,8,FALSE)</f>
        <v>11.1.01.1241</v>
      </c>
      <c r="Q50" s="15" t="str">
        <f>VLOOKUP(A50,sinap!$A$2:$R$9000,12,FALSE)</f>
        <v>11.1.01.0790</v>
      </c>
      <c r="R50" s="15" t="str">
        <f>VLOOKUP(A50,sinap!$A$2:$R$9000,16,FALSE)</f>
        <v>11.1.01.0790</v>
      </c>
      <c r="S50" s="15" t="str">
        <f>VLOOKUP(A50,sinap!$A$2:$Y$9000,20,FALSE)</f>
        <v>SI</v>
      </c>
    </row>
    <row r="51" spans="1:19" hidden="1" x14ac:dyDescent="0.25">
      <c r="A51" s="15">
        <v>1381820</v>
      </c>
      <c r="D51" s="16">
        <v>44133</v>
      </c>
      <c r="J51" s="15" t="str">
        <f>VLOOKUP(A51,sinap!$A$2:$R$9000,2,FALSE)</f>
        <v>H</v>
      </c>
      <c r="K51" s="15" t="str">
        <f>VLOOKUP(A51,sinap!$A$2:$R$9000,3,FALSE)</f>
        <v>VACA</v>
      </c>
      <c r="L51" s="15" t="str">
        <f>VLOOKUP(A51,sinap!$A$2:$R$9000,4,FALSE)</f>
        <v>OVERO COLORADO (CLAVEL ALEMAN)</v>
      </c>
      <c r="M51" s="15" t="str">
        <f>VLOOKUP(A51,sinap!$A$2:$R$9000,5,FALSE)</f>
        <v>17 años 9 meses</v>
      </c>
      <c r="N51" s="15" t="str">
        <f>VLOOKUP(A51,sinap!$A$2:$R$9000,6,FALSE)</f>
        <v>30-03-2008</v>
      </c>
      <c r="O51" s="15" t="str">
        <f>VLOOKUP(A51,sinap!$A$2:$R$9000,7,FALSE)</f>
        <v>Vivo</v>
      </c>
      <c r="P51" s="15" t="str">
        <f>VLOOKUP(A51,sinap!$A$2:$R$9000,8,FALSE)</f>
        <v>11.2.01.0038</v>
      </c>
      <c r="Q51" s="15" t="str">
        <f>VLOOKUP(A51,sinap!$A$2:$R$9000,12,FALSE)</f>
        <v>11.1.01.1241</v>
      </c>
      <c r="R51" s="15" t="str">
        <f>VLOOKUP(A51,sinap!$A$2:$R$9000,16,FALSE)</f>
        <v>11.1.01.1240</v>
      </c>
      <c r="S51" s="15" t="str">
        <f>VLOOKUP(A51,sinap!$A$2:$Y$9000,20,FALSE)</f>
        <v>SI</v>
      </c>
    </row>
    <row r="52" spans="1:19" s="16" customFormat="1" hidden="1" x14ac:dyDescent="0.25">
      <c r="A52" s="15">
        <v>2053297</v>
      </c>
      <c r="B52" s="15"/>
      <c r="C52" s="15"/>
      <c r="J52" s="15" t="str">
        <f>VLOOKUP(A52,sinap!$A$2:$R$9000,2,FALSE)</f>
        <v>H</v>
      </c>
      <c r="K52" s="15" t="str">
        <f>VLOOKUP(A52,sinap!$A$2:$R$9000,3,FALSE)</f>
        <v>VACA</v>
      </c>
      <c r="L52" s="15" t="str">
        <f>VLOOKUP(A52,sinap!$A$2:$R$9000,4,FALSE)</f>
        <v>ANGUS NEGRO</v>
      </c>
      <c r="M52" s="15" t="str">
        <f>VLOOKUP(A52,sinap!$A$2:$R$9000,5,FALSE)</f>
        <v>17 años 10 meses</v>
      </c>
      <c r="N52" s="15" t="str">
        <f>VLOOKUP(A52,sinap!$A$2:$R$9000,6,FALSE)</f>
        <v>15-03-2008</v>
      </c>
      <c r="O52" s="15" t="str">
        <f>VLOOKUP(A52,sinap!$A$2:$R$9000,7,FALSE)</f>
        <v>Vivo</v>
      </c>
      <c r="P52" s="15" t="str">
        <f>VLOOKUP(A52,sinap!$A$2:$R$9000,8,FALSE)</f>
        <v>11.1.01.2304</v>
      </c>
      <c r="Q52" s="15" t="str">
        <f>VLOOKUP(A52,sinap!$A$2:$R$9000,12,FALSE)</f>
        <v>11.1.01.0941</v>
      </c>
      <c r="R52" s="15" t="str">
        <f>VLOOKUP(A52,sinap!$A$2:$R$9000,16,FALSE)</f>
        <v>11.1.01.1241</v>
      </c>
      <c r="S52" s="15" t="str">
        <f>VLOOKUP(A52,sinap!$A$2:$Y$9000,20,FALSE)</f>
        <v>SI</v>
      </c>
    </row>
    <row r="53" spans="1:19" s="16" customFormat="1" hidden="1" x14ac:dyDescent="0.25">
      <c r="A53" s="15">
        <v>2054864</v>
      </c>
      <c r="B53" s="15"/>
      <c r="C53" s="15"/>
      <c r="J53" s="15" t="str">
        <f>VLOOKUP(A53,sinap!$A$2:$R$9000,2,FALSE)</f>
        <v>M</v>
      </c>
      <c r="K53" s="15" t="str">
        <f>VLOOKUP(A53,sinap!$A$2:$R$9000,3,FALSE)</f>
        <v>BUEY</v>
      </c>
      <c r="L53" s="15" t="str">
        <f>VLOOKUP(A53,sinap!$A$2:$R$9000,4,FALSE)</f>
        <v>ANGUS NEGRO</v>
      </c>
      <c r="M53" s="15" t="str">
        <f>VLOOKUP(A53,sinap!$A$2:$R$9000,5,FALSE)</f>
        <v>18 años 3 meses</v>
      </c>
      <c r="N53" s="15" t="str">
        <f>VLOOKUP(A53,sinap!$A$2:$R$9000,6,FALSE)</f>
        <v>15-10-2007</v>
      </c>
      <c r="O53" s="15" t="str">
        <f>VLOOKUP(A53,sinap!$A$2:$R$9000,7,FALSE)</f>
        <v>Vivo</v>
      </c>
      <c r="P53" s="15" t="str">
        <f>VLOOKUP(A53,sinap!$A$2:$R$9000,8,FALSE)</f>
        <v>11.1.01.1241</v>
      </c>
      <c r="Q53" s="15" t="str">
        <f>VLOOKUP(A53,sinap!$A$2:$R$9000,12,FALSE)</f>
        <v>11.1.01.0290</v>
      </c>
      <c r="R53" s="15" t="str">
        <f>VLOOKUP(A53,sinap!$A$2:$R$9000,16,FALSE)</f>
        <v>11.1.01.0290</v>
      </c>
      <c r="S53" s="15" t="str">
        <f>VLOOKUP(A53,sinap!$A$2:$Y$9000,20,FALSE)</f>
        <v>SI</v>
      </c>
    </row>
    <row r="54" spans="1:19" s="16" customFormat="1" hidden="1" x14ac:dyDescent="0.25">
      <c r="A54" s="15">
        <v>2058325</v>
      </c>
      <c r="B54" s="15"/>
      <c r="C54" s="15"/>
      <c r="J54" s="15" t="str">
        <f>VLOOKUP(A54,sinap!$A$2:$R$9000,2,FALSE)</f>
        <v>M</v>
      </c>
      <c r="K54" s="15" t="str">
        <f>VLOOKUP(A54,sinap!$A$2:$R$9000,3,FALSE)</f>
        <v>BUEY</v>
      </c>
      <c r="L54" s="15" t="str">
        <f>VLOOKUP(A54,sinap!$A$2:$R$9000,4,FALSE)</f>
        <v>ANGUS NEGRO</v>
      </c>
      <c r="M54" s="15" t="str">
        <f>VLOOKUP(A54,sinap!$A$2:$R$9000,5,FALSE)</f>
        <v>18 años 3 meses</v>
      </c>
      <c r="N54" s="15" t="str">
        <f>VLOOKUP(A54,sinap!$A$2:$R$9000,6,FALSE)</f>
        <v>15-10-2007</v>
      </c>
      <c r="O54" s="15" t="str">
        <f>VLOOKUP(A54,sinap!$A$2:$R$9000,7,FALSE)</f>
        <v>Vivo</v>
      </c>
      <c r="P54" s="15" t="str">
        <f>VLOOKUP(A54,sinap!$A$2:$R$9000,8,FALSE)</f>
        <v>11.1.01.1241</v>
      </c>
      <c r="Q54" s="15" t="str">
        <f>VLOOKUP(A54,sinap!$A$2:$R$9000,12,FALSE)</f>
        <v>11.1.01.1081</v>
      </c>
      <c r="R54" s="15" t="str">
        <f>VLOOKUP(A54,sinap!$A$2:$R$9000,16,FALSE)</f>
        <v>11.1.01.1077</v>
      </c>
      <c r="S54" s="15" t="str">
        <f>VLOOKUP(A54,sinap!$A$2:$Y$9000,20,FALSE)</f>
        <v>SI</v>
      </c>
    </row>
    <row r="55" spans="1:19" s="16" customFormat="1" x14ac:dyDescent="0.25">
      <c r="A55" s="15">
        <v>2547912</v>
      </c>
      <c r="B55" s="15"/>
      <c r="C55" s="15"/>
      <c r="D55" s="16">
        <v>44144</v>
      </c>
      <c r="F55" s="16">
        <v>44883</v>
      </c>
      <c r="G55" s="16">
        <v>45240</v>
      </c>
      <c r="J55" s="15" t="str">
        <f>VLOOKUP(A55,sinap!$A$2:$R$9000,2,FALSE)</f>
        <v>M</v>
      </c>
      <c r="K55" s="15" t="str">
        <f>VLOOKUP(A55,sinap!$A$2:$R$9000,3,FALSE)</f>
        <v>TORO</v>
      </c>
      <c r="L55" s="15" t="str">
        <f>VLOOKUP(A55,sinap!$A$2:$R$9000,4,FALSE)</f>
        <v>ANGUS NEGRO</v>
      </c>
      <c r="M55" s="15" t="str">
        <f>VLOOKUP(A55,sinap!$A$2:$R$9000,5,FALSE)</f>
        <v>17 años 3 meses</v>
      </c>
      <c r="N55" s="15" t="str">
        <f>VLOOKUP(A55,sinap!$A$2:$R$9000,6,FALSE)</f>
        <v>30-09-2008</v>
      </c>
      <c r="O55" s="15" t="str">
        <f>VLOOKUP(A55,sinap!$A$2:$R$9000,7,FALSE)</f>
        <v>Vivo</v>
      </c>
      <c r="P55" s="15" t="str">
        <f>VLOOKUP(A55,sinap!$A$2:$R$9000,8,FALSE)</f>
        <v>11.1.01.1241</v>
      </c>
      <c r="Q55" s="15" t="str">
        <f>VLOOKUP(A55,sinap!$A$2:$R$9000,12,FALSE)</f>
        <v>Sin Movimiento</v>
      </c>
      <c r="R55" s="15" t="str">
        <f>VLOOKUP(A55,sinap!$A$2:$R$9000,16,FALSE)</f>
        <v>11.1.01.1241</v>
      </c>
      <c r="S55" s="15" t="str">
        <f>VLOOKUP(A55,sinap!$A$2:$Y$9000,20,FALSE)</f>
        <v>SI</v>
      </c>
    </row>
    <row r="56" spans="1:19" s="16" customFormat="1" hidden="1" x14ac:dyDescent="0.25">
      <c r="A56" s="15">
        <v>2547943</v>
      </c>
      <c r="B56" s="15"/>
      <c r="C56" s="15"/>
      <c r="J56" s="15" t="str">
        <f>VLOOKUP(A56,sinap!$A$2:$R$9000,2,FALSE)</f>
        <v>H</v>
      </c>
      <c r="K56" s="15" t="str">
        <f>VLOOKUP(A56,sinap!$A$2:$R$9000,3,FALSE)</f>
        <v>VACA</v>
      </c>
      <c r="L56" s="15" t="str">
        <f>VLOOKUP(A56,sinap!$A$2:$R$9000,4,FALSE)</f>
        <v>HEREFORD</v>
      </c>
      <c r="M56" s="15" t="str">
        <f>VLOOKUP(A56,sinap!$A$2:$R$9000,5,FALSE)</f>
        <v>17 años 1 meses</v>
      </c>
      <c r="N56" s="15" t="str">
        <f>VLOOKUP(A56,sinap!$A$2:$R$9000,6,FALSE)</f>
        <v>30-11-2008</v>
      </c>
      <c r="O56" s="15" t="str">
        <f>VLOOKUP(A56,sinap!$A$2:$R$9000,7,FALSE)</f>
        <v>Vivo</v>
      </c>
      <c r="P56" s="15" t="str">
        <f>VLOOKUP(A56,sinap!$A$2:$R$9000,8,FALSE)</f>
        <v>11.1.01.1241</v>
      </c>
      <c r="Q56" s="15" t="str">
        <f>VLOOKUP(A56,sinap!$A$2:$R$9000,12,FALSE)</f>
        <v>11.1.01.0791</v>
      </c>
      <c r="R56" s="15" t="str">
        <f>VLOOKUP(A56,sinap!$A$2:$R$9000,16,FALSE)</f>
        <v>11.1.01.1241</v>
      </c>
      <c r="S56" s="15" t="str">
        <f>VLOOKUP(A56,sinap!$A$2:$Y$9000,20,FALSE)</f>
        <v>SI</v>
      </c>
    </row>
    <row r="57" spans="1:19" s="16" customFormat="1" x14ac:dyDescent="0.25">
      <c r="A57" s="15">
        <v>2547949</v>
      </c>
      <c r="B57" s="15"/>
      <c r="C57" s="15"/>
      <c r="D57" s="16">
        <v>44144</v>
      </c>
      <c r="E57" s="16">
        <v>44350</v>
      </c>
      <c r="J57" s="15" t="str">
        <f>VLOOKUP(A57,sinap!$A$2:$R$9000,2,FALSE)</f>
        <v>H</v>
      </c>
      <c r="K57" s="15" t="str">
        <f>VLOOKUP(A57,sinap!$A$2:$R$9000,3,FALSE)</f>
        <v>VACA</v>
      </c>
      <c r="L57" s="15" t="str">
        <f>VLOOKUP(A57,sinap!$A$2:$R$9000,4,FALSE)</f>
        <v>ANGUS NEGRO</v>
      </c>
      <c r="M57" s="15" t="str">
        <f>VLOOKUP(A57,sinap!$A$2:$R$9000,5,FALSE)</f>
        <v>17 años 1 meses</v>
      </c>
      <c r="N57" s="15" t="str">
        <f>VLOOKUP(A57,sinap!$A$2:$R$9000,6,FALSE)</f>
        <v>30-11-2008</v>
      </c>
      <c r="O57" s="15" t="str">
        <f>VLOOKUP(A57,sinap!$A$2:$R$9000,7,FALSE)</f>
        <v>Vivo</v>
      </c>
      <c r="P57" s="15" t="str">
        <f>VLOOKUP(A57,sinap!$A$2:$R$9000,8,FALSE)</f>
        <v>11.1.01.1241</v>
      </c>
      <c r="Q57" s="15" t="str">
        <f>VLOOKUP(A57,sinap!$A$2:$R$9000,12,FALSE)</f>
        <v>Sin Movimiento</v>
      </c>
      <c r="R57" s="15" t="str">
        <f>VLOOKUP(A57,sinap!$A$2:$R$9000,16,FALSE)</f>
        <v>11.1.01.1241</v>
      </c>
      <c r="S57" s="15" t="str">
        <f>VLOOKUP(A57,sinap!$A$2:$Y$9000,20,FALSE)</f>
        <v>SI</v>
      </c>
    </row>
    <row r="58" spans="1:19" s="16" customFormat="1" hidden="1" x14ac:dyDescent="0.25">
      <c r="A58" s="15">
        <v>2547954</v>
      </c>
      <c r="B58" s="15"/>
      <c r="C58" s="15"/>
      <c r="J58" s="15" t="str">
        <f>VLOOKUP(A58,sinap!$A$2:$R$9000,2,FALSE)</f>
        <v>H</v>
      </c>
      <c r="K58" s="15" t="str">
        <f>VLOOKUP(A58,sinap!$A$2:$R$9000,3,FALSE)</f>
        <v>VACA</v>
      </c>
      <c r="L58" s="15" t="str">
        <f>VLOOKUP(A58,sinap!$A$2:$R$9000,4,FALSE)</f>
        <v>HEREFORD</v>
      </c>
      <c r="M58" s="15" t="str">
        <f>VLOOKUP(A58,sinap!$A$2:$R$9000,5,FALSE)</f>
        <v>17 años 3 meses</v>
      </c>
      <c r="N58" s="15" t="str">
        <f>VLOOKUP(A58,sinap!$A$2:$R$9000,6,FALSE)</f>
        <v>30-09-2008</v>
      </c>
      <c r="O58" s="15" t="str">
        <f>VLOOKUP(A58,sinap!$A$2:$R$9000,7,FALSE)</f>
        <v>Vivo</v>
      </c>
      <c r="P58" s="15" t="str">
        <f>VLOOKUP(A58,sinap!$A$2:$R$9000,8,FALSE)</f>
        <v>11.1.01.1241</v>
      </c>
      <c r="Q58" s="15" t="str">
        <f>VLOOKUP(A58,sinap!$A$2:$R$9000,12,FALSE)</f>
        <v>11.1.01.1081</v>
      </c>
      <c r="R58" s="15" t="str">
        <f>VLOOKUP(A58,sinap!$A$2:$R$9000,16,FALSE)</f>
        <v>11.1.01.1241</v>
      </c>
      <c r="S58" s="15" t="str">
        <f>VLOOKUP(A58,sinap!$A$2:$Y$9000,20,FALSE)</f>
        <v>SI</v>
      </c>
    </row>
    <row r="59" spans="1:19" s="16" customFormat="1" hidden="1" x14ac:dyDescent="0.25">
      <c r="A59" s="15">
        <v>2547991</v>
      </c>
      <c r="B59" s="15"/>
      <c r="C59" s="15"/>
      <c r="D59" s="16">
        <v>43985</v>
      </c>
      <c r="E59" s="16">
        <v>44504</v>
      </c>
      <c r="F59" s="16">
        <v>44868</v>
      </c>
      <c r="G59" s="16">
        <v>45254</v>
      </c>
      <c r="J59" s="15" t="str">
        <f>VLOOKUP(A59,sinap!$A$2:$R$9000,2,FALSE)</f>
        <v>H</v>
      </c>
      <c r="K59" s="15" t="str">
        <f>VLOOKUP(A59,sinap!$A$2:$R$9000,3,FALSE)</f>
        <v>VACA</v>
      </c>
      <c r="L59" s="15" t="str">
        <f>VLOOKUP(A59,sinap!$A$2:$R$9000,4,FALSE)</f>
        <v>ANGUS ROJO</v>
      </c>
      <c r="M59" s="15" t="str">
        <f>VLOOKUP(A59,sinap!$A$2:$R$9000,5,FALSE)</f>
        <v>17 años 0 meses</v>
      </c>
      <c r="N59" s="15" t="str">
        <f>VLOOKUP(A59,sinap!$A$2:$R$9000,6,FALSE)</f>
        <v>30-12-2008</v>
      </c>
      <c r="O59" s="15" t="str">
        <f>VLOOKUP(A59,sinap!$A$2:$R$9000,7,FALSE)</f>
        <v>Vivo</v>
      </c>
      <c r="P59" s="15" t="str">
        <f>VLOOKUP(A59,sinap!$A$2:$R$9000,8,FALSE)</f>
        <v>11.1.01.1241</v>
      </c>
      <c r="Q59" s="15" t="str">
        <f>VLOOKUP(A59,sinap!$A$2:$R$9000,12,FALSE)</f>
        <v>11.1.01.0791</v>
      </c>
      <c r="R59" s="15" t="str">
        <f>VLOOKUP(A59,sinap!$A$2:$R$9000,16,FALSE)</f>
        <v>11.1.01.1241</v>
      </c>
      <c r="S59" s="15" t="str">
        <f>VLOOKUP(A59,sinap!$A$2:$Y$9000,20,FALSE)</f>
        <v>SI</v>
      </c>
    </row>
    <row r="60" spans="1:19" s="16" customFormat="1" hidden="1" x14ac:dyDescent="0.25">
      <c r="A60" s="15">
        <v>2548127</v>
      </c>
      <c r="B60" s="15"/>
      <c r="C60" s="15"/>
      <c r="D60" s="16">
        <v>44121</v>
      </c>
      <c r="J60" s="15" t="str">
        <f>VLOOKUP(A60,sinap!$A$2:$R$9000,2,FALSE)</f>
        <v>H</v>
      </c>
      <c r="K60" s="15" t="str">
        <f>VLOOKUP(A60,sinap!$A$2:$R$9000,3,FALSE)</f>
        <v>VACA</v>
      </c>
      <c r="L60" s="15" t="str">
        <f>VLOOKUP(A60,sinap!$A$2:$R$9000,4,FALSE)</f>
        <v>ANGUS NEGRO</v>
      </c>
      <c r="M60" s="15" t="str">
        <f>VLOOKUP(A60,sinap!$A$2:$R$9000,5,FALSE)</f>
        <v>17 años 3 meses</v>
      </c>
      <c r="N60" s="15" t="str">
        <f>VLOOKUP(A60,sinap!$A$2:$R$9000,6,FALSE)</f>
        <v>30-09-2008</v>
      </c>
      <c r="O60" s="15" t="str">
        <f>VLOOKUP(A60,sinap!$A$2:$R$9000,7,FALSE)</f>
        <v>Vivo</v>
      </c>
      <c r="P60" s="15" t="str">
        <f>VLOOKUP(A60,sinap!$A$2:$R$9000,8,FALSE)</f>
        <v>11.1.01.1241</v>
      </c>
      <c r="Q60" s="15" t="str">
        <f>VLOOKUP(A60,sinap!$A$2:$R$9000,12,FALSE)</f>
        <v>11.2.01.0038</v>
      </c>
      <c r="R60" s="15" t="str">
        <f>VLOOKUP(A60,sinap!$A$2:$R$9000,16,FALSE)</f>
        <v>11.1.01.1240</v>
      </c>
      <c r="S60" s="15" t="str">
        <f>VLOOKUP(A60,sinap!$A$2:$Y$9000,20,FALSE)</f>
        <v>SI</v>
      </c>
    </row>
    <row r="61" spans="1:19" s="16" customFormat="1" x14ac:dyDescent="0.25">
      <c r="A61" s="15">
        <v>2548143</v>
      </c>
      <c r="B61" s="15"/>
      <c r="C61" s="15"/>
      <c r="D61" s="16">
        <v>44144</v>
      </c>
      <c r="F61" s="16">
        <v>44868</v>
      </c>
      <c r="J61" s="15" t="str">
        <f>VLOOKUP(A61,sinap!$A$2:$R$9000,2,FALSE)</f>
        <v>H</v>
      </c>
      <c r="K61" s="15" t="str">
        <f>VLOOKUP(A61,sinap!$A$2:$R$9000,3,FALSE)</f>
        <v>VACA</v>
      </c>
      <c r="L61" s="15" t="str">
        <f>VLOOKUP(A61,sinap!$A$2:$R$9000,4,FALSE)</f>
        <v>LIMOUSIN</v>
      </c>
      <c r="M61" s="15" t="str">
        <f>VLOOKUP(A61,sinap!$A$2:$R$9000,5,FALSE)</f>
        <v>17 años 2 meses</v>
      </c>
      <c r="N61" s="15" t="str">
        <f>VLOOKUP(A61,sinap!$A$2:$R$9000,6,FALSE)</f>
        <v>30-10-2008</v>
      </c>
      <c r="O61" s="15" t="str">
        <f>VLOOKUP(A61,sinap!$A$2:$R$9000,7,FALSE)</f>
        <v>Vivo</v>
      </c>
      <c r="P61" s="15" t="str">
        <f>VLOOKUP(A61,sinap!$A$2:$R$9000,8,FALSE)</f>
        <v>11.1.01.1241</v>
      </c>
      <c r="Q61" s="15" t="str">
        <f>VLOOKUP(A61,sinap!$A$2:$R$9000,12,FALSE)</f>
        <v>11.2.01.0038</v>
      </c>
      <c r="R61" s="15" t="str">
        <f>VLOOKUP(A61,sinap!$A$2:$R$9000,16,FALSE)</f>
        <v>11.1.01.1240</v>
      </c>
      <c r="S61" s="15" t="str">
        <f>VLOOKUP(A61,sinap!$A$2:$Y$9000,20,FALSE)</f>
        <v>SI</v>
      </c>
    </row>
    <row r="62" spans="1:19" s="16" customFormat="1" hidden="1" x14ac:dyDescent="0.25">
      <c r="A62" s="15">
        <v>3583874</v>
      </c>
      <c r="B62" s="15">
        <v>2636134</v>
      </c>
      <c r="C62" s="15"/>
      <c r="E62" s="16">
        <v>44350</v>
      </c>
      <c r="G62" s="16">
        <v>45254</v>
      </c>
      <c r="J62" s="15" t="str">
        <f>VLOOKUP(A62,sinap!$A$2:$R$9000,2,FALSE)</f>
        <v>M</v>
      </c>
      <c r="K62" s="15" t="str">
        <f>VLOOKUP(A62,sinap!$A$2:$R$9000,3,FALSE)</f>
        <v>TORO</v>
      </c>
      <c r="L62" s="15" t="str">
        <f>VLOOKUP(A62,sinap!$A$2:$R$9000,4,FALSE)</f>
        <v>ANGUS NEGRO</v>
      </c>
      <c r="M62" s="15" t="str">
        <f>VLOOKUP(A62,sinap!$A$2:$R$9000,5,FALSE)</f>
        <v>7 años 4 meses</v>
      </c>
      <c r="N62" s="15" t="str">
        <f>VLOOKUP(A62,sinap!$A$2:$R$9000,6,FALSE)</f>
        <v>13-09-2018</v>
      </c>
      <c r="O62" s="15" t="str">
        <f>VLOOKUP(A62,sinap!$A$2:$R$9000,7,FALSE)</f>
        <v>Vivo</v>
      </c>
      <c r="P62" s="15" t="str">
        <f>VLOOKUP(A62,sinap!$A$2:$R$9000,8,FALSE)</f>
        <v>11.1.01.0791</v>
      </c>
      <c r="Q62" s="15" t="str">
        <f>VLOOKUP(A62,sinap!$A$2:$R$9000,12,FALSE)</f>
        <v>11.1.01.0893</v>
      </c>
      <c r="R62" s="15" t="str">
        <f>VLOOKUP(A62,sinap!$A$2:$R$9000,16,FALSE)</f>
        <v>11.1.01.0932</v>
      </c>
      <c r="S62" s="15" t="str">
        <f>VLOOKUP(A62,sinap!$A$2:$Y$9000,20,FALSE)</f>
        <v>SI</v>
      </c>
    </row>
    <row r="63" spans="1:19" s="16" customFormat="1" hidden="1" x14ac:dyDescent="0.25">
      <c r="A63" s="15">
        <v>6104909</v>
      </c>
      <c r="B63" s="15"/>
      <c r="C63" s="15"/>
      <c r="E63" s="16">
        <v>44504</v>
      </c>
      <c r="F63" s="16">
        <v>44883</v>
      </c>
      <c r="G63" s="16">
        <v>45254</v>
      </c>
      <c r="J63" s="15" t="str">
        <f>VLOOKUP(A63,sinap!$A$2:$R$9000,2,FALSE)</f>
        <v>M</v>
      </c>
      <c r="K63" s="15" t="str">
        <f>VLOOKUP(A63,sinap!$A$2:$R$9000,3,FALSE)</f>
        <v>TORO</v>
      </c>
      <c r="L63" s="15" t="str">
        <f>VLOOKUP(A63,sinap!$A$2:$R$9000,4,FALSE)</f>
        <v>ANGUS NEGRO</v>
      </c>
      <c r="M63" s="15" t="str">
        <f>VLOOKUP(A63,sinap!$A$2:$R$9000,5,FALSE)</f>
        <v>16 años 3 meses</v>
      </c>
      <c r="N63" s="15" t="str">
        <f>VLOOKUP(A63,sinap!$A$2:$R$9000,6,FALSE)</f>
        <v>30-09-2009</v>
      </c>
      <c r="O63" s="15" t="str">
        <f>VLOOKUP(A63,sinap!$A$2:$R$9000,7,FALSE)</f>
        <v>Vivo</v>
      </c>
      <c r="P63" s="15" t="str">
        <f>VLOOKUP(A63,sinap!$A$2:$R$9000,8,FALSE)</f>
        <v>11.1.01.1241</v>
      </c>
      <c r="Q63" s="15" t="str">
        <f>VLOOKUP(A63,sinap!$A$2:$R$9000,12,FALSE)</f>
        <v>Sin Movimiento</v>
      </c>
      <c r="R63" s="15" t="str">
        <f>VLOOKUP(A63,sinap!$A$2:$R$9000,16,FALSE)</f>
        <v>11.1.01.1241</v>
      </c>
      <c r="S63" s="15" t="str">
        <f>VLOOKUP(A63,sinap!$A$2:$Y$9000,20,FALSE)</f>
        <v>SI</v>
      </c>
    </row>
    <row r="64" spans="1:19" s="16" customFormat="1" hidden="1" x14ac:dyDescent="0.25">
      <c r="A64" s="15">
        <v>6104919</v>
      </c>
      <c r="B64" s="15"/>
      <c r="C64" s="15"/>
      <c r="F64" s="16">
        <v>44912</v>
      </c>
      <c r="G64" s="16">
        <v>45090</v>
      </c>
      <c r="J64" s="15" t="str">
        <f>VLOOKUP(A64,sinap!$A$2:$R$9000,2,FALSE)</f>
        <v>M</v>
      </c>
      <c r="K64" s="15" t="str">
        <f>VLOOKUP(A64,sinap!$A$2:$R$9000,3,FALSE)</f>
        <v>TORO</v>
      </c>
      <c r="L64" s="15" t="str">
        <f>VLOOKUP(A64,sinap!$A$2:$R$9000,4,FALSE)</f>
        <v>OVERO NEGRO</v>
      </c>
      <c r="M64" s="15" t="str">
        <f>VLOOKUP(A64,sinap!$A$2:$R$9000,5,FALSE)</f>
        <v>15 años 9 meses</v>
      </c>
      <c r="N64" s="15" t="str">
        <f>VLOOKUP(A64,sinap!$A$2:$R$9000,6,FALSE)</f>
        <v>30-03-2010</v>
      </c>
      <c r="O64" s="15" t="str">
        <f>VLOOKUP(A64,sinap!$A$2:$R$9000,7,FALSE)</f>
        <v>Vivo</v>
      </c>
      <c r="P64" s="15" t="str">
        <f>VLOOKUP(A64,sinap!$A$2:$R$9000,8,FALSE)</f>
        <v>11.1.01.1241</v>
      </c>
      <c r="Q64" s="15" t="str">
        <f>VLOOKUP(A64,sinap!$A$2:$R$9000,12,FALSE)</f>
        <v>Sin Movimiento</v>
      </c>
      <c r="R64" s="15" t="str">
        <f>VLOOKUP(A64,sinap!$A$2:$R$9000,16,FALSE)</f>
        <v>11.1.01.1241</v>
      </c>
      <c r="S64" s="15" t="str">
        <f>VLOOKUP(A64,sinap!$A$2:$Y$9000,20,FALSE)</f>
        <v>SI</v>
      </c>
    </row>
    <row r="65" spans="1:20" s="16" customFormat="1" hidden="1" x14ac:dyDescent="0.25">
      <c r="A65" s="15">
        <v>6104921</v>
      </c>
      <c r="B65" s="15"/>
      <c r="C65" s="15"/>
      <c r="F65" s="16">
        <v>44868</v>
      </c>
      <c r="G65" s="16">
        <v>45254</v>
      </c>
      <c r="J65" s="15" t="str">
        <f>VLOOKUP(A65,sinap!$A$2:$R$9000,2,FALSE)</f>
        <v>H</v>
      </c>
      <c r="K65" s="15" t="str">
        <f>VLOOKUP(A65,sinap!$A$2:$R$9000,3,FALSE)</f>
        <v>VACA</v>
      </c>
      <c r="L65" s="15" t="str">
        <f>VLOOKUP(A65,sinap!$A$2:$R$9000,4,FALSE)</f>
        <v>ANGUS ROJO</v>
      </c>
      <c r="M65" s="15" t="str">
        <f>VLOOKUP(A65,sinap!$A$2:$R$9000,5,FALSE)</f>
        <v>15 años 10 meses</v>
      </c>
      <c r="N65" s="15" t="str">
        <f>VLOOKUP(A65,sinap!$A$2:$R$9000,6,FALSE)</f>
        <v>28-02-2010</v>
      </c>
      <c r="O65" s="15" t="str">
        <f>VLOOKUP(A65,sinap!$A$2:$R$9000,7,FALSE)</f>
        <v>Vivo</v>
      </c>
      <c r="P65" s="15" t="str">
        <f>VLOOKUP(A65,sinap!$A$2:$R$9000,8,FALSE)</f>
        <v>11.1.01.1241</v>
      </c>
      <c r="Q65" s="15" t="str">
        <f>VLOOKUP(A65,sinap!$A$2:$R$9000,12,FALSE)</f>
        <v>Sin Movimiento</v>
      </c>
      <c r="R65" s="15" t="str">
        <f>VLOOKUP(A65,sinap!$A$2:$R$9000,16,FALSE)</f>
        <v>11.1.01.1241</v>
      </c>
      <c r="S65" s="15" t="str">
        <f>VLOOKUP(A65,sinap!$A$2:$Y$9000,20,FALSE)</f>
        <v>SI</v>
      </c>
    </row>
    <row r="66" spans="1:20" s="16" customFormat="1" hidden="1" x14ac:dyDescent="0.25">
      <c r="A66" s="15">
        <v>6104922</v>
      </c>
      <c r="B66" s="15"/>
      <c r="C66" s="15"/>
      <c r="G66" s="16">
        <v>45258</v>
      </c>
      <c r="J66" s="15" t="str">
        <f>VLOOKUP(A66,sinap!$A$2:$R$9000,2,FALSE)</f>
        <v>H</v>
      </c>
      <c r="K66" s="15" t="str">
        <f>VLOOKUP(A66,sinap!$A$2:$R$9000,3,FALSE)</f>
        <v>VACA</v>
      </c>
      <c r="L66" s="15" t="str">
        <f>VLOOKUP(A66,sinap!$A$2:$R$9000,4,FALSE)</f>
        <v>LIMOUSIN</v>
      </c>
      <c r="M66" s="15" t="str">
        <f>VLOOKUP(A66,sinap!$A$2:$R$9000,5,FALSE)</f>
        <v>16 años 1 meses</v>
      </c>
      <c r="N66" s="15" t="str">
        <f>VLOOKUP(A66,sinap!$A$2:$R$9000,6,FALSE)</f>
        <v>30-11-2009</v>
      </c>
      <c r="O66" s="15" t="str">
        <f>VLOOKUP(A66,sinap!$A$2:$R$9000,7,FALSE)</f>
        <v>Vivo</v>
      </c>
      <c r="P66" s="15" t="str">
        <f>VLOOKUP(A66,sinap!$A$2:$R$9000,8,FALSE)</f>
        <v>11.1.01.1241</v>
      </c>
      <c r="Q66" s="15" t="str">
        <f>VLOOKUP(A66,sinap!$A$2:$R$9000,12,FALSE)</f>
        <v>Sin Movimiento</v>
      </c>
      <c r="R66" s="15" t="str">
        <f>VLOOKUP(A66,sinap!$A$2:$R$9000,16,FALSE)</f>
        <v>11.1.01.1241</v>
      </c>
      <c r="S66" s="15" t="str">
        <f>VLOOKUP(A66,sinap!$A$2:$Y$9000,20,FALSE)</f>
        <v>SI</v>
      </c>
    </row>
    <row r="67" spans="1:20" s="16" customFormat="1" hidden="1" x14ac:dyDescent="0.25">
      <c r="A67" s="15">
        <v>6104945</v>
      </c>
      <c r="B67" s="15"/>
      <c r="C67" s="15"/>
      <c r="F67" s="16">
        <v>44868</v>
      </c>
      <c r="G67" s="16">
        <v>45254</v>
      </c>
      <c r="J67" s="15" t="str">
        <f>VLOOKUP(A67,sinap!$A$2:$R$9000,2,FALSE)</f>
        <v>M</v>
      </c>
      <c r="K67" s="15" t="str">
        <f>VLOOKUP(A67,sinap!$A$2:$R$9000,3,FALSE)</f>
        <v>TORO</v>
      </c>
      <c r="L67" s="15" t="str">
        <f>VLOOKUP(A67,sinap!$A$2:$R$9000,4,FALSE)</f>
        <v>ANGUS NEGRO</v>
      </c>
      <c r="M67" s="15" t="str">
        <f>VLOOKUP(A67,sinap!$A$2:$R$9000,5,FALSE)</f>
        <v>16 años 0 meses</v>
      </c>
      <c r="N67" s="15" t="str">
        <f>VLOOKUP(A67,sinap!$A$2:$R$9000,6,FALSE)</f>
        <v>30-12-2009</v>
      </c>
      <c r="O67" s="15" t="str">
        <f>VLOOKUP(A67,sinap!$A$2:$R$9000,7,FALSE)</f>
        <v>Vivo</v>
      </c>
      <c r="P67" s="15" t="str">
        <f>VLOOKUP(A67,sinap!$A$2:$R$9000,8,FALSE)</f>
        <v>11.1.01.1241</v>
      </c>
      <c r="Q67" s="15" t="str">
        <f>VLOOKUP(A67,sinap!$A$2:$R$9000,12,FALSE)</f>
        <v>Sin Movimiento</v>
      </c>
      <c r="R67" s="15" t="str">
        <f>VLOOKUP(A67,sinap!$A$2:$R$9000,16,FALSE)</f>
        <v>11.1.01.1241</v>
      </c>
      <c r="S67" s="15" t="str">
        <f>VLOOKUP(A67,sinap!$A$2:$Y$9000,20,FALSE)</f>
        <v>SI</v>
      </c>
    </row>
    <row r="68" spans="1:20" s="16" customFormat="1" hidden="1" x14ac:dyDescent="0.25">
      <c r="A68" s="15">
        <v>6104947</v>
      </c>
      <c r="B68" s="15"/>
      <c r="C68" s="15"/>
      <c r="F68" s="16">
        <v>44912</v>
      </c>
      <c r="G68" s="16">
        <v>45258</v>
      </c>
      <c r="J68" s="15" t="str">
        <f>VLOOKUP(A68,sinap!$A$2:$R$9000,2,FALSE)</f>
        <v>M</v>
      </c>
      <c r="K68" s="15" t="str">
        <f>VLOOKUP(A68,sinap!$A$2:$R$9000,3,FALSE)</f>
        <v>TORO</v>
      </c>
      <c r="L68" s="15" t="str">
        <f>VLOOKUP(A68,sinap!$A$2:$R$9000,4,FALSE)</f>
        <v>HEREFORD</v>
      </c>
      <c r="M68" s="15" t="str">
        <f>VLOOKUP(A68,sinap!$A$2:$R$9000,5,FALSE)</f>
        <v>16 años 2 meses</v>
      </c>
      <c r="N68" s="15" t="str">
        <f>VLOOKUP(A68,sinap!$A$2:$R$9000,6,FALSE)</f>
        <v>30-10-2009</v>
      </c>
      <c r="O68" s="15" t="str">
        <f>VLOOKUP(A68,sinap!$A$2:$R$9000,7,FALSE)</f>
        <v>Vivo</v>
      </c>
      <c r="P68" s="15" t="str">
        <f>VLOOKUP(A68,sinap!$A$2:$R$9000,8,FALSE)</f>
        <v>11.1.01.1241</v>
      </c>
      <c r="Q68" s="15" t="str">
        <f>VLOOKUP(A68,sinap!$A$2:$R$9000,12,FALSE)</f>
        <v>11.1.01.1081</v>
      </c>
      <c r="R68" s="15" t="str">
        <f>VLOOKUP(A68,sinap!$A$2:$R$9000,16,FALSE)</f>
        <v>11.1.01.1241</v>
      </c>
      <c r="S68" s="15" t="str">
        <f>VLOOKUP(A68,sinap!$A$2:$Y$9000,20,FALSE)</f>
        <v>SI</v>
      </c>
      <c r="T68" s="16">
        <v>44727</v>
      </c>
    </row>
    <row r="69" spans="1:20" s="16" customFormat="1" hidden="1" x14ac:dyDescent="0.25">
      <c r="A69" s="15">
        <v>6104948</v>
      </c>
      <c r="B69" s="15"/>
      <c r="C69" s="15"/>
      <c r="F69" s="16">
        <v>44868</v>
      </c>
      <c r="G69" s="16">
        <v>45253</v>
      </c>
      <c r="J69" s="15" t="str">
        <f>VLOOKUP(A69,sinap!$A$2:$R$9000,2,FALSE)</f>
        <v>H</v>
      </c>
      <c r="K69" s="15" t="str">
        <f>VLOOKUP(A69,sinap!$A$2:$R$9000,3,FALSE)</f>
        <v>VACA</v>
      </c>
      <c r="L69" s="15" t="str">
        <f>VLOOKUP(A69,sinap!$A$2:$R$9000,4,FALSE)</f>
        <v>ANGUS NEGRO</v>
      </c>
      <c r="M69" s="15" t="str">
        <f>VLOOKUP(A69,sinap!$A$2:$R$9000,5,FALSE)</f>
        <v>16 años 2 meses</v>
      </c>
      <c r="N69" s="15" t="str">
        <f>VLOOKUP(A69,sinap!$A$2:$R$9000,6,FALSE)</f>
        <v>30-10-2009</v>
      </c>
      <c r="O69" s="15" t="str">
        <f>VLOOKUP(A69,sinap!$A$2:$R$9000,7,FALSE)</f>
        <v>Vivo</v>
      </c>
      <c r="P69" s="15" t="str">
        <f>VLOOKUP(A69,sinap!$A$2:$R$9000,8,FALSE)</f>
        <v>11.1.01.1241</v>
      </c>
      <c r="Q69" s="15" t="str">
        <f>VLOOKUP(A69,sinap!$A$2:$R$9000,12,FALSE)</f>
        <v>11.1.01.0791</v>
      </c>
      <c r="R69" s="15" t="str">
        <f>VLOOKUP(A69,sinap!$A$2:$R$9000,16,FALSE)</f>
        <v>11.1.01.1241</v>
      </c>
      <c r="S69" s="15" t="str">
        <f>VLOOKUP(A69,sinap!$A$2:$Y$9000,20,FALSE)</f>
        <v>SI</v>
      </c>
    </row>
    <row r="70" spans="1:20" s="16" customFormat="1" hidden="1" x14ac:dyDescent="0.25">
      <c r="A70" s="15">
        <v>6104955</v>
      </c>
      <c r="B70" s="15"/>
      <c r="C70" s="15"/>
      <c r="F70" s="16">
        <v>44908</v>
      </c>
      <c r="G70" s="16">
        <v>45264</v>
      </c>
      <c r="J70" s="15" t="str">
        <f>VLOOKUP(A70,sinap!$A$2:$R$9000,2,FALSE)</f>
        <v>H</v>
      </c>
      <c r="K70" s="15" t="str">
        <f>VLOOKUP(A70,sinap!$A$2:$R$9000,3,FALSE)</f>
        <v>VACA</v>
      </c>
      <c r="L70" s="15" t="str">
        <f>VLOOKUP(A70,sinap!$A$2:$R$9000,4,FALSE)</f>
        <v>ANGUS ROJO</v>
      </c>
      <c r="M70" s="15" t="str">
        <f>VLOOKUP(A70,sinap!$A$2:$R$9000,5,FALSE)</f>
        <v>16 años 2 meses</v>
      </c>
      <c r="N70" s="15" t="str">
        <f>VLOOKUP(A70,sinap!$A$2:$R$9000,6,FALSE)</f>
        <v>30-10-2009</v>
      </c>
      <c r="O70" s="15" t="str">
        <f>VLOOKUP(A70,sinap!$A$2:$R$9000,7,FALSE)</f>
        <v>Vivo</v>
      </c>
      <c r="P70" s="15" t="str">
        <f>VLOOKUP(A70,sinap!$A$2:$R$9000,8,FALSE)</f>
        <v>11.1.01.1241</v>
      </c>
      <c r="Q70" s="15" t="str">
        <f>VLOOKUP(A70,sinap!$A$2:$R$9000,12,FALSE)</f>
        <v>11.2.01.0038</v>
      </c>
      <c r="R70" s="15" t="str">
        <f>VLOOKUP(A70,sinap!$A$2:$R$9000,16,FALSE)</f>
        <v>11.1.01.1241</v>
      </c>
      <c r="S70" s="15" t="str">
        <f>VLOOKUP(A70,sinap!$A$2:$Y$9000,20,FALSE)</f>
        <v>SI</v>
      </c>
      <c r="T70" s="16">
        <v>44532</v>
      </c>
    </row>
    <row r="71" spans="1:20" s="16" customFormat="1" hidden="1" x14ac:dyDescent="0.25">
      <c r="A71" s="15">
        <v>6104967</v>
      </c>
      <c r="B71" s="15"/>
      <c r="C71" s="15"/>
      <c r="G71" s="16">
        <v>45264</v>
      </c>
      <c r="J71" s="15" t="str">
        <f>VLOOKUP(A71,sinap!$A$2:$R$9000,2,FALSE)</f>
        <v>H</v>
      </c>
      <c r="K71" s="15" t="str">
        <f>VLOOKUP(A71,sinap!$A$2:$R$9000,3,FALSE)</f>
        <v>VACA</v>
      </c>
      <c r="L71" s="15" t="str">
        <f>VLOOKUP(A71,sinap!$A$2:$R$9000,4,FALSE)</f>
        <v>ANGUS NEGRO</v>
      </c>
      <c r="M71" s="15" t="str">
        <f>VLOOKUP(A71,sinap!$A$2:$R$9000,5,FALSE)</f>
        <v>16 años 2 meses</v>
      </c>
      <c r="N71" s="15" t="str">
        <f>VLOOKUP(A71,sinap!$A$2:$R$9000,6,FALSE)</f>
        <v>30-10-2009</v>
      </c>
      <c r="O71" s="15" t="str">
        <f>VLOOKUP(A71,sinap!$A$2:$R$9000,7,FALSE)</f>
        <v>Vivo</v>
      </c>
      <c r="P71" s="15" t="str">
        <f>VLOOKUP(A71,sinap!$A$2:$R$9000,8,FALSE)</f>
        <v>11.1.01.1241</v>
      </c>
      <c r="Q71" s="15" t="str">
        <f>VLOOKUP(A71,sinap!$A$2:$R$9000,12,FALSE)</f>
        <v>11.1.01.0791</v>
      </c>
      <c r="R71" s="15" t="str">
        <f>VLOOKUP(A71,sinap!$A$2:$R$9000,16,FALSE)</f>
        <v>11.1.01.1241</v>
      </c>
      <c r="S71" s="15" t="str">
        <f>VLOOKUP(A71,sinap!$A$2:$Y$9000,20,FALSE)</f>
        <v>SI</v>
      </c>
      <c r="T71" s="16">
        <v>44894</v>
      </c>
    </row>
    <row r="72" spans="1:20" s="16" customFormat="1" hidden="1" x14ac:dyDescent="0.25">
      <c r="A72" s="15">
        <v>6104976</v>
      </c>
      <c r="B72" s="15"/>
      <c r="C72" s="15"/>
      <c r="G72" s="16">
        <v>45264</v>
      </c>
      <c r="J72" s="15" t="str">
        <f>VLOOKUP(A72,sinap!$A$2:$R$9000,2,FALSE)</f>
        <v>H</v>
      </c>
      <c r="K72" s="15" t="str">
        <f>VLOOKUP(A72,sinap!$A$2:$R$9000,3,FALSE)</f>
        <v>VACA</v>
      </c>
      <c r="L72" s="15" t="str">
        <f>VLOOKUP(A72,sinap!$A$2:$R$9000,4,FALSE)</f>
        <v>ANGUS NEGRO</v>
      </c>
      <c r="M72" s="15" t="str">
        <f>VLOOKUP(A72,sinap!$A$2:$R$9000,5,FALSE)</f>
        <v>16 años 3 meses</v>
      </c>
      <c r="N72" s="15" t="str">
        <f>VLOOKUP(A72,sinap!$A$2:$R$9000,6,FALSE)</f>
        <v>30-09-2009</v>
      </c>
      <c r="O72" s="15" t="str">
        <f>VLOOKUP(A72,sinap!$A$2:$R$9000,7,FALSE)</f>
        <v>Vivo</v>
      </c>
      <c r="P72" s="15" t="str">
        <f>VLOOKUP(A72,sinap!$A$2:$R$9000,8,FALSE)</f>
        <v>11.1.01.1241</v>
      </c>
      <c r="Q72" s="15" t="str">
        <f>VLOOKUP(A72,sinap!$A$2:$R$9000,12,FALSE)</f>
        <v>11.2.01.0038</v>
      </c>
      <c r="R72" s="15" t="str">
        <f>VLOOKUP(A72,sinap!$A$2:$R$9000,16,FALSE)</f>
        <v>11.1.01.1241</v>
      </c>
      <c r="S72" s="15" t="str">
        <f>VLOOKUP(A72,sinap!$A$2:$Y$9000,20,FALSE)</f>
        <v>SI</v>
      </c>
      <c r="T72" s="16">
        <v>44894</v>
      </c>
    </row>
    <row r="73" spans="1:20" s="16" customFormat="1" hidden="1" x14ac:dyDescent="0.25">
      <c r="A73" s="15">
        <v>6104981</v>
      </c>
      <c r="B73" s="15"/>
      <c r="C73" s="15"/>
      <c r="G73" s="16">
        <v>45264</v>
      </c>
      <c r="J73" s="15" t="str">
        <f>VLOOKUP(A73,sinap!$A$2:$R$9000,2,FALSE)</f>
        <v>H</v>
      </c>
      <c r="K73" s="15" t="str">
        <f>VLOOKUP(A73,sinap!$A$2:$R$9000,3,FALSE)</f>
        <v>VACA</v>
      </c>
      <c r="L73" s="15" t="str">
        <f>VLOOKUP(A73,sinap!$A$2:$R$9000,4,FALSE)</f>
        <v>ANGUS NEGRO</v>
      </c>
      <c r="M73" s="15" t="str">
        <f>VLOOKUP(A73,sinap!$A$2:$R$9000,5,FALSE)</f>
        <v>16 años 3 meses</v>
      </c>
      <c r="N73" s="15" t="str">
        <f>VLOOKUP(A73,sinap!$A$2:$R$9000,6,FALSE)</f>
        <v>30-09-2009</v>
      </c>
      <c r="O73" s="15" t="str">
        <f>VLOOKUP(A73,sinap!$A$2:$R$9000,7,FALSE)</f>
        <v>Vivo</v>
      </c>
      <c r="P73" s="15" t="str">
        <f>VLOOKUP(A73,sinap!$A$2:$R$9000,8,FALSE)</f>
        <v>11.1.01.1241</v>
      </c>
      <c r="Q73" s="15" t="str">
        <f>VLOOKUP(A73,sinap!$A$2:$R$9000,12,FALSE)</f>
        <v>11.1.01.1022</v>
      </c>
      <c r="R73" s="15" t="str">
        <f>VLOOKUP(A73,sinap!$A$2:$R$9000,16,FALSE)</f>
        <v>11.1.01.1241</v>
      </c>
      <c r="S73" s="15" t="str">
        <f>VLOOKUP(A73,sinap!$A$2:$Y$9000,20,FALSE)</f>
        <v>SI</v>
      </c>
      <c r="T73" s="16">
        <v>44894</v>
      </c>
    </row>
    <row r="74" spans="1:20" s="16" customFormat="1" hidden="1" x14ac:dyDescent="0.25">
      <c r="A74" s="15">
        <v>6105008</v>
      </c>
      <c r="B74" s="15"/>
      <c r="C74" s="15"/>
      <c r="J74" s="15" t="str">
        <f>VLOOKUP(A74,sinap!$A$2:$R$9000,2,FALSE)</f>
        <v>H</v>
      </c>
      <c r="K74" s="15" t="str">
        <f>VLOOKUP(A74,sinap!$A$2:$R$9000,3,FALSE)</f>
        <v>VACA</v>
      </c>
      <c r="L74" s="15" t="str">
        <f>VLOOKUP(A74,sinap!$A$2:$R$9000,4,FALSE)</f>
        <v>ANGUS ROJO</v>
      </c>
      <c r="M74" s="15" t="str">
        <f>VLOOKUP(A74,sinap!$A$2:$R$9000,5,FALSE)</f>
        <v>16 años 4 meses</v>
      </c>
      <c r="N74" s="15" t="str">
        <f>VLOOKUP(A74,sinap!$A$2:$R$9000,6,FALSE)</f>
        <v>30-08-2009</v>
      </c>
      <c r="O74" s="15" t="str">
        <f>VLOOKUP(A74,sinap!$A$2:$R$9000,7,FALSE)</f>
        <v>Vivo</v>
      </c>
      <c r="P74" s="15" t="str">
        <f>VLOOKUP(A74,sinap!$A$2:$R$9000,8,FALSE)</f>
        <v>11.1.01.1241</v>
      </c>
      <c r="Q74" s="15" t="str">
        <f>VLOOKUP(A74,sinap!$A$2:$R$9000,12,FALSE)</f>
        <v>11.1.01.0791</v>
      </c>
      <c r="R74" s="15" t="str">
        <f>VLOOKUP(A74,sinap!$A$2:$R$9000,16,FALSE)</f>
        <v>11.1.01.1241</v>
      </c>
      <c r="S74" s="15" t="str">
        <f>VLOOKUP(A74,sinap!$A$2:$Y$9000,20,FALSE)</f>
        <v>SI</v>
      </c>
    </row>
    <row r="75" spans="1:20" s="16" customFormat="1" hidden="1" x14ac:dyDescent="0.25">
      <c r="A75" s="15">
        <v>6105013</v>
      </c>
      <c r="B75" s="15"/>
      <c r="C75" s="15"/>
      <c r="F75" s="16">
        <v>44923</v>
      </c>
      <c r="G75" s="16">
        <v>45239</v>
      </c>
      <c r="J75" s="15" t="str">
        <f>VLOOKUP(A75,sinap!$A$2:$R$9000,2,FALSE)</f>
        <v>H</v>
      </c>
      <c r="K75" s="15" t="str">
        <f>VLOOKUP(A75,sinap!$A$2:$R$9000,3,FALSE)</f>
        <v>VACA</v>
      </c>
      <c r="L75" s="15" t="str">
        <f>VLOOKUP(A75,sinap!$A$2:$R$9000,4,FALSE)</f>
        <v>HEREFORD</v>
      </c>
      <c r="M75" s="15" t="str">
        <f>VLOOKUP(A75,sinap!$A$2:$R$9000,5,FALSE)</f>
        <v>16 años 4 meses</v>
      </c>
      <c r="N75" s="15" t="str">
        <f>VLOOKUP(A75,sinap!$A$2:$R$9000,6,FALSE)</f>
        <v>30-08-2009</v>
      </c>
      <c r="O75" s="15" t="str">
        <f>VLOOKUP(A75,sinap!$A$2:$R$9000,7,FALSE)</f>
        <v>Vivo</v>
      </c>
      <c r="P75" s="15" t="str">
        <f>VLOOKUP(A75,sinap!$A$2:$R$9000,8,FALSE)</f>
        <v>11.1.01.1241</v>
      </c>
      <c r="Q75" s="15" t="str">
        <f>VLOOKUP(A75,sinap!$A$2:$R$9000,12,FALSE)</f>
        <v>11.1.01.1081</v>
      </c>
      <c r="R75" s="15" t="str">
        <f>VLOOKUP(A75,sinap!$A$2:$R$9000,16,FALSE)</f>
        <v>11.1.01.1241</v>
      </c>
      <c r="S75" s="15" t="str">
        <f>VLOOKUP(A75,sinap!$A$2:$Y$9000,20,FALSE)</f>
        <v>SI</v>
      </c>
    </row>
    <row r="76" spans="1:20" s="16" customFormat="1" hidden="1" x14ac:dyDescent="0.25">
      <c r="A76" s="15">
        <v>6105018</v>
      </c>
      <c r="B76" s="15"/>
      <c r="C76" s="15"/>
      <c r="G76" s="16">
        <v>45090</v>
      </c>
      <c r="J76" s="15" t="str">
        <f>VLOOKUP(A76,sinap!$A$2:$R$9000,2,FALSE)</f>
        <v>H</v>
      </c>
      <c r="K76" s="15" t="str">
        <f>VLOOKUP(A76,sinap!$A$2:$R$9000,3,FALSE)</f>
        <v>VACA</v>
      </c>
      <c r="L76" s="15" t="str">
        <f>VLOOKUP(A76,sinap!$A$2:$R$9000,4,FALSE)</f>
        <v>ANGUS ROJO</v>
      </c>
      <c r="M76" s="15" t="str">
        <f>VLOOKUP(A76,sinap!$A$2:$R$9000,5,FALSE)</f>
        <v>16 años 3 meses</v>
      </c>
      <c r="N76" s="15" t="str">
        <f>VLOOKUP(A76,sinap!$A$2:$R$9000,6,FALSE)</f>
        <v>30-09-2009</v>
      </c>
      <c r="O76" s="15" t="str">
        <f>VLOOKUP(A76,sinap!$A$2:$R$9000,7,FALSE)</f>
        <v>Vivo</v>
      </c>
      <c r="P76" s="15" t="str">
        <f>VLOOKUP(A76,sinap!$A$2:$R$9000,8,FALSE)</f>
        <v>11.1.01.1241</v>
      </c>
      <c r="Q76" s="15" t="str">
        <f>VLOOKUP(A76,sinap!$A$2:$R$9000,12,FALSE)</f>
        <v>11.1.01.0791</v>
      </c>
      <c r="R76" s="15" t="str">
        <f>VLOOKUP(A76,sinap!$A$2:$R$9000,16,FALSE)</f>
        <v>11.1.01.1241</v>
      </c>
      <c r="S76" s="15" t="str">
        <f>VLOOKUP(A76,sinap!$A$2:$Y$9000,20,FALSE)</f>
        <v>SI</v>
      </c>
      <c r="T76" s="16">
        <v>44274</v>
      </c>
    </row>
    <row r="77" spans="1:20" s="16" customFormat="1" hidden="1" x14ac:dyDescent="0.25">
      <c r="A77" s="15">
        <v>6105060</v>
      </c>
      <c r="B77" s="15"/>
      <c r="C77" s="15"/>
      <c r="F77" s="16">
        <v>44912</v>
      </c>
      <c r="G77" s="16">
        <v>45240</v>
      </c>
      <c r="J77" s="15" t="str">
        <f>VLOOKUP(A77,sinap!$A$2:$R$9000,2,FALSE)</f>
        <v>H</v>
      </c>
      <c r="K77" s="15" t="str">
        <f>VLOOKUP(A77,sinap!$A$2:$R$9000,3,FALSE)</f>
        <v>VACA</v>
      </c>
      <c r="L77" s="15" t="str">
        <f>VLOOKUP(A77,sinap!$A$2:$R$9000,4,FALSE)</f>
        <v>OVERO COLORADO (CLAVEL ALEMAN)</v>
      </c>
      <c r="M77" s="15" t="str">
        <f>VLOOKUP(A77,sinap!$A$2:$R$9000,5,FALSE)</f>
        <v>16 años 1 meses</v>
      </c>
      <c r="N77" s="15" t="str">
        <f>VLOOKUP(A77,sinap!$A$2:$R$9000,6,FALSE)</f>
        <v>30-11-2009</v>
      </c>
      <c r="O77" s="15" t="str">
        <f>VLOOKUP(A77,sinap!$A$2:$R$9000,7,FALSE)</f>
        <v>Vivo</v>
      </c>
      <c r="P77" s="15" t="str">
        <f>VLOOKUP(A77,sinap!$A$2:$R$9000,8,FALSE)</f>
        <v>11.1.01.1241</v>
      </c>
      <c r="Q77" s="15" t="str">
        <f>VLOOKUP(A77,sinap!$A$2:$R$9000,12,FALSE)</f>
        <v>Sin Movimiento</v>
      </c>
      <c r="R77" s="15" t="str">
        <f>VLOOKUP(A77,sinap!$A$2:$R$9000,16,FALSE)</f>
        <v>11.1.01.1241</v>
      </c>
      <c r="S77" s="15" t="str">
        <f>VLOOKUP(A77,sinap!$A$2:$Y$9000,20,FALSE)</f>
        <v>SI</v>
      </c>
    </row>
    <row r="78" spans="1:20" s="16" customFormat="1" hidden="1" x14ac:dyDescent="0.25">
      <c r="A78" s="15">
        <v>6105085</v>
      </c>
      <c r="B78" s="15"/>
      <c r="C78" s="15"/>
      <c r="F78" s="16">
        <v>44868</v>
      </c>
      <c r="G78" s="16">
        <v>45265</v>
      </c>
      <c r="J78" s="15" t="str">
        <f>VLOOKUP(A78,sinap!$A$2:$R$9000,2,FALSE)</f>
        <v>H</v>
      </c>
      <c r="K78" s="15" t="str">
        <f>VLOOKUP(A78,sinap!$A$2:$R$9000,3,FALSE)</f>
        <v>VACA</v>
      </c>
      <c r="L78" s="15" t="str">
        <f>VLOOKUP(A78,sinap!$A$2:$R$9000,4,FALSE)</f>
        <v>ANGUS NEGRO</v>
      </c>
      <c r="M78" s="15" t="str">
        <f>VLOOKUP(A78,sinap!$A$2:$R$9000,5,FALSE)</f>
        <v>16 años 1 meses</v>
      </c>
      <c r="N78" s="15" t="str">
        <f>VLOOKUP(A78,sinap!$A$2:$R$9000,6,FALSE)</f>
        <v>30-11-2009</v>
      </c>
      <c r="O78" s="15" t="str">
        <f>VLOOKUP(A78,sinap!$A$2:$R$9000,7,FALSE)</f>
        <v>Vivo</v>
      </c>
      <c r="P78" s="15" t="str">
        <f>VLOOKUP(A78,sinap!$A$2:$R$9000,8,FALSE)</f>
        <v>11.1.01.1241</v>
      </c>
      <c r="Q78" s="15" t="str">
        <f>VLOOKUP(A78,sinap!$A$2:$R$9000,12,FALSE)</f>
        <v>11.1.01.0791</v>
      </c>
      <c r="R78" s="15" t="str">
        <f>VLOOKUP(A78,sinap!$A$2:$R$9000,16,FALSE)</f>
        <v>11.1.01.1241</v>
      </c>
      <c r="S78" s="15" t="str">
        <f>VLOOKUP(A78,sinap!$A$2:$Y$9000,20,FALSE)</f>
        <v>SI</v>
      </c>
    </row>
    <row r="79" spans="1:20" s="16" customFormat="1" hidden="1" x14ac:dyDescent="0.25">
      <c r="A79" s="15">
        <v>6105098</v>
      </c>
      <c r="B79" s="15"/>
      <c r="C79" s="15"/>
      <c r="F79" s="16">
        <v>44868</v>
      </c>
      <c r="J79" s="15" t="str">
        <f>VLOOKUP(A79,sinap!$A$2:$R$9000,2,FALSE)</f>
        <v>H</v>
      </c>
      <c r="K79" s="15" t="str">
        <f>VLOOKUP(A79,sinap!$A$2:$R$9000,3,FALSE)</f>
        <v>VACA</v>
      </c>
      <c r="L79" s="15" t="str">
        <f>VLOOKUP(A79,sinap!$A$2:$R$9000,4,FALSE)</f>
        <v>OVERO NEGRO</v>
      </c>
      <c r="M79" s="15" t="str">
        <f>VLOOKUP(A79,sinap!$A$2:$R$9000,5,FALSE)</f>
        <v>16 años 2 meses</v>
      </c>
      <c r="N79" s="15" t="str">
        <f>VLOOKUP(A79,sinap!$A$2:$R$9000,6,FALSE)</f>
        <v>30-10-2009</v>
      </c>
      <c r="O79" s="15" t="str">
        <f>VLOOKUP(A79,sinap!$A$2:$R$9000,7,FALSE)</f>
        <v>Vivo</v>
      </c>
      <c r="P79" s="15" t="str">
        <f>VLOOKUP(A79,sinap!$A$2:$R$9000,8,FALSE)</f>
        <v>11.1.01.1241</v>
      </c>
      <c r="Q79" s="15" t="str">
        <f>VLOOKUP(A79,sinap!$A$2:$R$9000,12,FALSE)</f>
        <v>11.2.01.0038</v>
      </c>
      <c r="R79" s="15" t="str">
        <f>VLOOKUP(A79,sinap!$A$2:$R$9000,16,FALSE)</f>
        <v>11.1.01.1241</v>
      </c>
      <c r="S79" s="15" t="str">
        <f>VLOOKUP(A79,sinap!$A$2:$Y$9000,20,FALSE)</f>
        <v>SI</v>
      </c>
    </row>
    <row r="80" spans="1:20" s="16" customFormat="1" hidden="1" x14ac:dyDescent="0.25">
      <c r="A80" s="15">
        <v>6105132</v>
      </c>
      <c r="B80" s="15"/>
      <c r="C80" s="15"/>
      <c r="G80" s="16">
        <v>45090</v>
      </c>
      <c r="J80" s="15" t="str">
        <f>VLOOKUP(A80,sinap!$A$2:$R$9000,2,FALSE)</f>
        <v>M</v>
      </c>
      <c r="K80" s="15" t="str">
        <f>VLOOKUP(A80,sinap!$A$2:$R$9000,3,FALSE)</f>
        <v>TORO</v>
      </c>
      <c r="L80" s="15" t="str">
        <f>VLOOKUP(A80,sinap!$A$2:$R$9000,4,FALSE)</f>
        <v>HEREFORD</v>
      </c>
      <c r="M80" s="15" t="str">
        <f>VLOOKUP(A80,sinap!$A$2:$R$9000,5,FALSE)</f>
        <v>15 años 11 meses</v>
      </c>
      <c r="N80" s="15" t="str">
        <f>VLOOKUP(A80,sinap!$A$2:$R$9000,6,FALSE)</f>
        <v>30-01-2010</v>
      </c>
      <c r="O80" s="15" t="str">
        <f>VLOOKUP(A80,sinap!$A$2:$R$9000,7,FALSE)</f>
        <v>Vivo</v>
      </c>
      <c r="P80" s="15" t="str">
        <f>VLOOKUP(A80,sinap!$A$2:$R$9000,8,FALSE)</f>
        <v>11.1.01.1241</v>
      </c>
      <c r="Q80" s="15" t="str">
        <f>VLOOKUP(A80,sinap!$A$2:$R$9000,12,FALSE)</f>
        <v>Sin Movimiento</v>
      </c>
      <c r="R80" s="15" t="str">
        <f>VLOOKUP(A80,sinap!$A$2:$R$9000,16,FALSE)</f>
        <v>11.1.01.1241</v>
      </c>
      <c r="S80" s="15" t="str">
        <f>VLOOKUP(A80,sinap!$A$2:$Y$9000,20,FALSE)</f>
        <v>SI</v>
      </c>
    </row>
    <row r="81" spans="1:20" s="16" customFormat="1" hidden="1" x14ac:dyDescent="0.25">
      <c r="A81" s="15">
        <v>6105154</v>
      </c>
      <c r="B81" s="15"/>
      <c r="C81" s="15"/>
      <c r="G81" s="16">
        <v>45240</v>
      </c>
      <c r="J81" s="15" t="str">
        <f>VLOOKUP(A81,sinap!$A$2:$R$9000,2,FALSE)</f>
        <v>H</v>
      </c>
      <c r="K81" s="15" t="str">
        <f>VLOOKUP(A81,sinap!$A$2:$R$9000,3,FALSE)</f>
        <v>VACA</v>
      </c>
      <c r="L81" s="15" t="str">
        <f>VLOOKUP(A81,sinap!$A$2:$R$9000,4,FALSE)</f>
        <v>ANGUS ROJO</v>
      </c>
      <c r="M81" s="15" t="str">
        <f>VLOOKUP(A81,sinap!$A$2:$R$9000,5,FALSE)</f>
        <v>15 años 10 meses</v>
      </c>
      <c r="N81" s="15" t="str">
        <f>VLOOKUP(A81,sinap!$A$2:$R$9000,6,FALSE)</f>
        <v>28-02-2010</v>
      </c>
      <c r="O81" s="15" t="str">
        <f>VLOOKUP(A81,sinap!$A$2:$R$9000,7,FALSE)</f>
        <v>Vivo</v>
      </c>
      <c r="P81" s="15" t="str">
        <f>VLOOKUP(A81,sinap!$A$2:$R$9000,8,FALSE)</f>
        <v>11.2.01.0038</v>
      </c>
      <c r="Q81" s="15" t="str">
        <f>VLOOKUP(A81,sinap!$A$2:$R$9000,12,FALSE)</f>
        <v>11.1.01.1241</v>
      </c>
      <c r="R81" s="15" t="str">
        <f>VLOOKUP(A81,sinap!$A$2:$R$9000,16,FALSE)</f>
        <v>11.1.01.1241</v>
      </c>
      <c r="S81" s="15" t="str">
        <f>VLOOKUP(A81,sinap!$A$2:$Y$9000,20,FALSE)</f>
        <v>SI</v>
      </c>
    </row>
    <row r="82" spans="1:20" s="16" customFormat="1" hidden="1" x14ac:dyDescent="0.25">
      <c r="A82" s="15">
        <v>6105157</v>
      </c>
      <c r="B82" s="15"/>
      <c r="C82" s="15"/>
      <c r="F82" s="16">
        <v>44893</v>
      </c>
      <c r="G82" s="16">
        <v>45240</v>
      </c>
      <c r="J82" s="15" t="str">
        <f>VLOOKUP(A82,sinap!$A$2:$R$9000,2,FALSE)</f>
        <v>H</v>
      </c>
      <c r="K82" s="15" t="str">
        <f>VLOOKUP(A82,sinap!$A$2:$R$9000,3,FALSE)</f>
        <v>VACA</v>
      </c>
      <c r="L82" s="15" t="str">
        <f>VLOOKUP(A82,sinap!$A$2:$R$9000,4,FALSE)</f>
        <v>OVERO NEGRO</v>
      </c>
      <c r="M82" s="15" t="str">
        <f>VLOOKUP(A82,sinap!$A$2:$R$9000,5,FALSE)</f>
        <v>15 años 8 meses</v>
      </c>
      <c r="N82" s="15" t="str">
        <f>VLOOKUP(A82,sinap!$A$2:$R$9000,6,FALSE)</f>
        <v>22-04-2010</v>
      </c>
      <c r="O82" s="15" t="str">
        <f>VLOOKUP(A82,sinap!$A$2:$R$9000,7,FALSE)</f>
        <v>Vivo</v>
      </c>
      <c r="P82" s="15" t="str">
        <f>VLOOKUP(A82,sinap!$A$2:$R$9000,8,FALSE)</f>
        <v>11.1.01.1241</v>
      </c>
      <c r="Q82" s="15" t="str">
        <f>VLOOKUP(A82,sinap!$A$2:$R$9000,12,FALSE)</f>
        <v>Sin Movimiento</v>
      </c>
      <c r="R82" s="15" t="str">
        <f>VLOOKUP(A82,sinap!$A$2:$R$9000,16,FALSE)</f>
        <v>11.1.01.1241</v>
      </c>
      <c r="S82" s="15" t="str">
        <f>VLOOKUP(A82,sinap!$A$2:$Y$9000,20,FALSE)</f>
        <v>SI</v>
      </c>
      <c r="T82" s="16">
        <v>44893</v>
      </c>
    </row>
    <row r="83" spans="1:20" s="16" customFormat="1" hidden="1" x14ac:dyDescent="0.25">
      <c r="A83" s="15">
        <v>6105228</v>
      </c>
      <c r="B83" s="15"/>
      <c r="C83" s="15"/>
      <c r="G83" s="16">
        <v>45264</v>
      </c>
      <c r="J83" s="15" t="str">
        <f>VLOOKUP(A83,sinap!$A$2:$R$9000,2,FALSE)</f>
        <v>H</v>
      </c>
      <c r="K83" s="15" t="str">
        <f>VLOOKUP(A83,sinap!$A$2:$R$9000,3,FALSE)</f>
        <v>VACA</v>
      </c>
      <c r="L83" s="15" t="str">
        <f>VLOOKUP(A83,sinap!$A$2:$R$9000,4,FALSE)</f>
        <v>OVERO COLORADO (CLAVEL ALEMAN)</v>
      </c>
      <c r="M83" s="15" t="str">
        <f>VLOOKUP(A83,sinap!$A$2:$R$9000,5,FALSE)</f>
        <v>16 años 4 meses</v>
      </c>
      <c r="N83" s="15" t="str">
        <f>VLOOKUP(A83,sinap!$A$2:$R$9000,6,FALSE)</f>
        <v>30-08-2009</v>
      </c>
      <c r="O83" s="15" t="str">
        <f>VLOOKUP(A83,sinap!$A$2:$R$9000,7,FALSE)</f>
        <v>Vivo</v>
      </c>
      <c r="P83" s="15" t="str">
        <f>VLOOKUP(A83,sinap!$A$2:$R$9000,8,FALSE)</f>
        <v>11.2.01.0038</v>
      </c>
      <c r="Q83" s="15" t="str">
        <f>VLOOKUP(A83,sinap!$A$2:$R$9000,12,FALSE)</f>
        <v>11.1.01.1241</v>
      </c>
      <c r="R83" s="15" t="str">
        <f>VLOOKUP(A83,sinap!$A$2:$R$9000,16,FALSE)</f>
        <v>11.1.01.0790</v>
      </c>
      <c r="S83" s="15" t="str">
        <f>VLOOKUP(A83,sinap!$A$2:$Y$9000,20,FALSE)</f>
        <v>SI</v>
      </c>
    </row>
    <row r="84" spans="1:20" s="16" customFormat="1" hidden="1" x14ac:dyDescent="0.25">
      <c r="A84" s="15">
        <v>6105245</v>
      </c>
      <c r="B84" s="15"/>
      <c r="C84" s="15"/>
      <c r="F84" s="16">
        <v>44908</v>
      </c>
      <c r="G84" s="16">
        <v>45265</v>
      </c>
      <c r="J84" s="15" t="str">
        <f>VLOOKUP(A84,sinap!$A$2:$R$9000,2,FALSE)</f>
        <v>H</v>
      </c>
      <c r="K84" s="15" t="str">
        <f>VLOOKUP(A84,sinap!$A$2:$R$9000,3,FALSE)</f>
        <v>VACA</v>
      </c>
      <c r="L84" s="15" t="str">
        <f>VLOOKUP(A84,sinap!$A$2:$R$9000,4,FALSE)</f>
        <v>LIMOUSIN</v>
      </c>
      <c r="M84" s="15" t="str">
        <f>VLOOKUP(A84,sinap!$A$2:$R$9000,5,FALSE)</f>
        <v>16 años 2 meses</v>
      </c>
      <c r="N84" s="15" t="str">
        <f>VLOOKUP(A84,sinap!$A$2:$R$9000,6,FALSE)</f>
        <v>30-10-2009</v>
      </c>
      <c r="O84" s="15" t="str">
        <f>VLOOKUP(A84,sinap!$A$2:$R$9000,7,FALSE)</f>
        <v>Vivo</v>
      </c>
      <c r="P84" s="15" t="str">
        <f>VLOOKUP(A84,sinap!$A$2:$R$9000,8,FALSE)</f>
        <v>11.1.01.1241</v>
      </c>
      <c r="Q84" s="15" t="str">
        <f>VLOOKUP(A84,sinap!$A$2:$R$9000,12,FALSE)</f>
        <v>Sin Movimiento</v>
      </c>
      <c r="R84" s="15" t="str">
        <f>VLOOKUP(A84,sinap!$A$2:$R$9000,16,FALSE)</f>
        <v>11.1.01.1241</v>
      </c>
      <c r="S84" s="15" t="str">
        <f>VLOOKUP(A84,sinap!$A$2:$Y$9000,20,FALSE)</f>
        <v>SI</v>
      </c>
    </row>
    <row r="85" spans="1:20" s="16" customFormat="1" hidden="1" x14ac:dyDescent="0.25">
      <c r="A85" s="15">
        <v>6105250</v>
      </c>
      <c r="B85" s="15"/>
      <c r="C85" s="15"/>
      <c r="F85" s="16">
        <v>44908</v>
      </c>
      <c r="G85" s="16">
        <v>45265</v>
      </c>
      <c r="J85" s="15" t="str">
        <f>VLOOKUP(A85,sinap!$A$2:$R$9000,2,FALSE)</f>
        <v>H</v>
      </c>
      <c r="K85" s="15" t="str">
        <f>VLOOKUP(A85,sinap!$A$2:$R$9000,3,FALSE)</f>
        <v>VACA</v>
      </c>
      <c r="L85" s="15" t="str">
        <f>VLOOKUP(A85,sinap!$A$2:$R$9000,4,FALSE)</f>
        <v>HEREFORD</v>
      </c>
      <c r="M85" s="15" t="str">
        <f>VLOOKUP(A85,sinap!$A$2:$R$9000,5,FALSE)</f>
        <v>21 años 2 meses</v>
      </c>
      <c r="N85" s="15" t="str">
        <f>VLOOKUP(A85,sinap!$A$2:$R$9000,6,FALSE)</f>
        <v>30-10-2004</v>
      </c>
      <c r="O85" s="15" t="str">
        <f>VLOOKUP(A85,sinap!$A$2:$R$9000,7,FALSE)</f>
        <v>Vivo</v>
      </c>
      <c r="P85" s="15" t="str">
        <f>VLOOKUP(A85,sinap!$A$2:$R$9000,8,FALSE)</f>
        <v>11.1.01.1241</v>
      </c>
      <c r="Q85" s="15" t="str">
        <f>VLOOKUP(A85,sinap!$A$2:$R$9000,12,FALSE)</f>
        <v>Sin Movimiento</v>
      </c>
      <c r="R85" s="15" t="str">
        <f>VLOOKUP(A85,sinap!$A$2:$R$9000,16,FALSE)</f>
        <v>11.1.01.1241</v>
      </c>
      <c r="S85" s="15" t="str">
        <f>VLOOKUP(A85,sinap!$A$2:$Y$9000,20,FALSE)</f>
        <v>SI</v>
      </c>
    </row>
    <row r="86" spans="1:20" s="16" customFormat="1" hidden="1" x14ac:dyDescent="0.25">
      <c r="A86" s="15">
        <v>6105268</v>
      </c>
      <c r="B86" s="15"/>
      <c r="C86" s="15"/>
      <c r="F86" s="16">
        <v>44908</v>
      </c>
      <c r="G86" s="16">
        <v>45265</v>
      </c>
      <c r="J86" s="15" t="str">
        <f>VLOOKUP(A86,sinap!$A$2:$R$9000,2,FALSE)</f>
        <v>H</v>
      </c>
      <c r="K86" s="15" t="str">
        <f>VLOOKUP(A86,sinap!$A$2:$R$9000,3,FALSE)</f>
        <v>VACA</v>
      </c>
      <c r="L86" s="15" t="str">
        <f>VLOOKUP(A86,sinap!$A$2:$R$9000,4,FALSE)</f>
        <v>POLLED HEREFORD</v>
      </c>
      <c r="M86" s="15" t="str">
        <f>VLOOKUP(A86,sinap!$A$2:$R$9000,5,FALSE)</f>
        <v>21 años 0 meses</v>
      </c>
      <c r="N86" s="15" t="str">
        <f>VLOOKUP(A86,sinap!$A$2:$R$9000,6,FALSE)</f>
        <v>15-01-2005</v>
      </c>
      <c r="O86" s="15" t="str">
        <f>VLOOKUP(A86,sinap!$A$2:$R$9000,7,FALSE)</f>
        <v>Vivo</v>
      </c>
      <c r="P86" s="15" t="str">
        <f>VLOOKUP(A86,sinap!$A$2:$R$9000,8,FALSE)</f>
        <v>11.1.01.1241</v>
      </c>
      <c r="Q86" s="15" t="str">
        <f>VLOOKUP(A86,sinap!$A$2:$R$9000,12,FALSE)</f>
        <v>11.1.01.1241</v>
      </c>
      <c r="R86" s="15" t="str">
        <f>VLOOKUP(A86,sinap!$A$2:$R$9000,16,FALSE)</f>
        <v>11.1.01.0791</v>
      </c>
      <c r="S86" s="15" t="str">
        <f>VLOOKUP(A86,sinap!$A$2:$Y$9000,20,FALSE)</f>
        <v>SI</v>
      </c>
    </row>
    <row r="87" spans="1:20" s="16" customFormat="1" hidden="1" x14ac:dyDescent="0.25">
      <c r="A87" s="15">
        <v>6109946</v>
      </c>
      <c r="B87" s="15"/>
      <c r="C87" s="15"/>
      <c r="E87" s="16">
        <v>44490</v>
      </c>
      <c r="F87" s="16">
        <v>44867</v>
      </c>
      <c r="G87" s="16">
        <v>45240</v>
      </c>
      <c r="J87" s="15" t="str">
        <f>VLOOKUP(A87,sinap!$A$2:$R$9000,2,FALSE)</f>
        <v>M</v>
      </c>
      <c r="K87" s="15" t="str">
        <f>VLOOKUP(A87,sinap!$A$2:$R$9000,3,FALSE)</f>
        <v>TORO</v>
      </c>
      <c r="L87" s="15" t="str">
        <f>VLOOKUP(A87,sinap!$A$2:$R$9000,4,FALSE)</f>
        <v>ANGUS NEGRO</v>
      </c>
      <c r="M87" s="15" t="str">
        <f>VLOOKUP(A87,sinap!$A$2:$R$9000,5,FALSE)</f>
        <v>16 años 3 meses</v>
      </c>
      <c r="N87" s="15" t="str">
        <f>VLOOKUP(A87,sinap!$A$2:$R$9000,6,FALSE)</f>
        <v>15-10-2009</v>
      </c>
      <c r="O87" s="15" t="str">
        <f>VLOOKUP(A87,sinap!$A$2:$R$9000,7,FALSE)</f>
        <v>Vivo</v>
      </c>
      <c r="P87" s="15" t="str">
        <f>VLOOKUP(A87,sinap!$A$2:$R$9000,8,FALSE)</f>
        <v>11.1.01.1241</v>
      </c>
      <c r="Q87" s="15" t="str">
        <f>VLOOKUP(A87,sinap!$A$2:$R$9000,12,FALSE)</f>
        <v>11.1.01.0290</v>
      </c>
      <c r="R87" s="15" t="str">
        <f>VLOOKUP(A87,sinap!$A$2:$R$9000,16,FALSE)</f>
        <v>11.1.01.0290</v>
      </c>
      <c r="S87" s="15" t="str">
        <f>VLOOKUP(A87,sinap!$A$2:$Y$9000,20,FALSE)</f>
        <v>SI</v>
      </c>
    </row>
    <row r="88" spans="1:20" s="16" customFormat="1" hidden="1" x14ac:dyDescent="0.25">
      <c r="A88" s="15">
        <v>6154783</v>
      </c>
      <c r="B88" s="15"/>
      <c r="C88" s="15"/>
      <c r="E88" s="16">
        <v>44385</v>
      </c>
      <c r="F88" s="16">
        <v>44867</v>
      </c>
      <c r="G88" s="16">
        <v>45254</v>
      </c>
      <c r="J88" s="15" t="str">
        <f>VLOOKUP(A88,sinap!$A$2:$R$9000,2,FALSE)</f>
        <v>H</v>
      </c>
      <c r="K88" s="15" t="str">
        <f>VLOOKUP(A88,sinap!$A$2:$R$9000,3,FALSE)</f>
        <v>VACA</v>
      </c>
      <c r="L88" s="15" t="str">
        <f>VLOOKUP(A88,sinap!$A$2:$R$9000,4,FALSE)</f>
        <v>HEREFORD</v>
      </c>
      <c r="M88" s="15" t="str">
        <f>VLOOKUP(A88,sinap!$A$2:$R$9000,5,FALSE)</f>
        <v>15 años 0 meses</v>
      </c>
      <c r="N88" s="15" t="str">
        <f>VLOOKUP(A88,sinap!$A$2:$R$9000,6,FALSE)</f>
        <v>30-12-2010</v>
      </c>
      <c r="O88" s="15" t="str">
        <f>VLOOKUP(A88,sinap!$A$2:$R$9000,7,FALSE)</f>
        <v>Vivo</v>
      </c>
      <c r="P88" s="15" t="str">
        <f>VLOOKUP(A88,sinap!$A$2:$R$9000,8,FALSE)</f>
        <v>11.1.01.0893</v>
      </c>
      <c r="Q88" s="15" t="str">
        <f>VLOOKUP(A88,sinap!$A$2:$R$9000,12,FALSE)</f>
        <v>11.1.01.0790</v>
      </c>
      <c r="R88" s="15" t="str">
        <f>VLOOKUP(A88,sinap!$A$2:$R$9000,16,FALSE)</f>
        <v>11.1.01.1241</v>
      </c>
      <c r="S88" s="15" t="str">
        <f>VLOOKUP(A88,sinap!$A$2:$Y$9000,20,FALSE)</f>
        <v>SI</v>
      </c>
    </row>
    <row r="89" spans="1:20" s="16" customFormat="1" hidden="1" x14ac:dyDescent="0.25">
      <c r="A89" s="15">
        <v>6154853</v>
      </c>
      <c r="B89" s="15"/>
      <c r="C89" s="15"/>
      <c r="E89" s="16">
        <v>44490</v>
      </c>
      <c r="F89" s="16">
        <v>44912</v>
      </c>
      <c r="G89" s="16">
        <v>45253</v>
      </c>
      <c r="J89" s="15" t="str">
        <f>VLOOKUP(A89,sinap!$A$2:$R$9000,2,FALSE)</f>
        <v>H</v>
      </c>
      <c r="K89" s="15" t="str">
        <f>VLOOKUP(A89,sinap!$A$2:$R$9000,3,FALSE)</f>
        <v>VACA</v>
      </c>
      <c r="L89" s="15" t="str">
        <f>VLOOKUP(A89,sinap!$A$2:$R$9000,4,FALSE)</f>
        <v>ANGUS ROJO</v>
      </c>
      <c r="M89" s="15" t="str">
        <f>VLOOKUP(A89,sinap!$A$2:$R$9000,5,FALSE)</f>
        <v>15 años 3 meses</v>
      </c>
      <c r="N89" s="15" t="str">
        <f>VLOOKUP(A89,sinap!$A$2:$R$9000,6,FALSE)</f>
        <v>30-09-2010</v>
      </c>
      <c r="O89" s="15" t="str">
        <f>VLOOKUP(A89,sinap!$A$2:$R$9000,7,FALSE)</f>
        <v>Vivo</v>
      </c>
      <c r="P89" s="15" t="str">
        <f>VLOOKUP(A89,sinap!$A$2:$R$9000,8,FALSE)</f>
        <v>11.1.01.1241</v>
      </c>
      <c r="Q89" s="15" t="str">
        <f>VLOOKUP(A89,sinap!$A$2:$R$9000,12,FALSE)</f>
        <v>11.2.01.0053</v>
      </c>
      <c r="R89" s="15" t="str">
        <f>VLOOKUP(A89,sinap!$A$2:$R$9000,16,FALSE)</f>
        <v>11.1.01.1241</v>
      </c>
      <c r="S89" s="15" t="str">
        <f>VLOOKUP(A89,sinap!$A$2:$Y$9000,20,FALSE)</f>
        <v>SI</v>
      </c>
    </row>
    <row r="90" spans="1:20" s="16" customFormat="1" hidden="1" x14ac:dyDescent="0.25">
      <c r="A90" s="15">
        <v>6154866</v>
      </c>
      <c r="B90" s="15"/>
      <c r="C90" s="15"/>
      <c r="E90" s="16">
        <v>44385</v>
      </c>
      <c r="F90" s="16">
        <v>44867</v>
      </c>
      <c r="G90" s="16">
        <v>45253</v>
      </c>
      <c r="H90" s="16">
        <v>45297</v>
      </c>
      <c r="J90" s="15" t="str">
        <f>VLOOKUP(A90,sinap!$A$2:$R$9000,2,FALSE)</f>
        <v>H</v>
      </c>
      <c r="K90" s="15" t="str">
        <f>VLOOKUP(A90,sinap!$A$2:$R$9000,3,FALSE)</f>
        <v>VACA</v>
      </c>
      <c r="L90" s="15" t="str">
        <f>VLOOKUP(A90,sinap!$A$2:$R$9000,4,FALSE)</f>
        <v>ANGUS NEGRO</v>
      </c>
      <c r="M90" s="15" t="str">
        <f>VLOOKUP(A90,sinap!$A$2:$R$9000,5,FALSE)</f>
        <v>15 años 3 meses</v>
      </c>
      <c r="N90" s="15" t="str">
        <f>VLOOKUP(A90,sinap!$A$2:$R$9000,6,FALSE)</f>
        <v>30-09-2010</v>
      </c>
      <c r="O90" s="15" t="str">
        <f>VLOOKUP(A90,sinap!$A$2:$R$9000,7,FALSE)</f>
        <v>Vivo</v>
      </c>
      <c r="P90" s="15" t="str">
        <f>VLOOKUP(A90,sinap!$A$2:$R$9000,8,FALSE)</f>
        <v>11.2.01.0038</v>
      </c>
      <c r="Q90" s="15" t="str">
        <f>VLOOKUP(A90,sinap!$A$2:$R$9000,12,FALSE)</f>
        <v>11.1.01.0893</v>
      </c>
      <c r="R90" s="15" t="str">
        <f>VLOOKUP(A90,sinap!$A$2:$R$9000,16,FALSE)</f>
        <v>11.1.01.1241</v>
      </c>
      <c r="S90" s="15" t="str">
        <f>VLOOKUP(A90,sinap!$A$2:$Y$9000,20,FALSE)</f>
        <v>SI</v>
      </c>
    </row>
    <row r="91" spans="1:20" s="16" customFormat="1" hidden="1" x14ac:dyDescent="0.25">
      <c r="A91" s="15">
        <v>6154874</v>
      </c>
      <c r="B91" s="15"/>
      <c r="C91" s="15"/>
      <c r="E91" s="16">
        <v>44490</v>
      </c>
      <c r="F91" s="16">
        <v>44867</v>
      </c>
      <c r="G91" s="16">
        <v>45258</v>
      </c>
      <c r="J91" s="15" t="str">
        <f>VLOOKUP(A91,sinap!$A$2:$R$9000,2,FALSE)</f>
        <v>H</v>
      </c>
      <c r="K91" s="15" t="str">
        <f>VLOOKUP(A91,sinap!$A$2:$R$9000,3,FALSE)</f>
        <v>VACA</v>
      </c>
      <c r="L91" s="15" t="str">
        <f>VLOOKUP(A91,sinap!$A$2:$R$9000,4,FALSE)</f>
        <v>ANGUS NEGRO</v>
      </c>
      <c r="M91" s="15" t="str">
        <f>VLOOKUP(A91,sinap!$A$2:$R$9000,5,FALSE)</f>
        <v>15 años 2 meses</v>
      </c>
      <c r="N91" s="15" t="str">
        <f>VLOOKUP(A91,sinap!$A$2:$R$9000,6,FALSE)</f>
        <v>30-10-2010</v>
      </c>
      <c r="O91" s="15" t="str">
        <f>VLOOKUP(A91,sinap!$A$2:$R$9000,7,FALSE)</f>
        <v>Vivo</v>
      </c>
      <c r="P91" s="15" t="str">
        <f>VLOOKUP(A91,sinap!$A$2:$R$9000,8,FALSE)</f>
        <v>11.1.01.1241</v>
      </c>
      <c r="Q91" s="15" t="str">
        <f>VLOOKUP(A91,sinap!$A$2:$R$9000,12,FALSE)</f>
        <v>11.1.01.1081</v>
      </c>
      <c r="R91" s="15" t="str">
        <f>VLOOKUP(A91,sinap!$A$2:$R$9000,16,FALSE)</f>
        <v>11.1.01.1241</v>
      </c>
      <c r="S91" s="15" t="str">
        <f>VLOOKUP(A91,sinap!$A$2:$Y$9000,20,FALSE)</f>
        <v>SI</v>
      </c>
    </row>
    <row r="92" spans="1:20" s="16" customFormat="1" hidden="1" x14ac:dyDescent="0.25">
      <c r="A92" s="15">
        <v>6154881</v>
      </c>
      <c r="B92" s="15"/>
      <c r="C92" s="15"/>
      <c r="E92" s="16">
        <v>44531</v>
      </c>
      <c r="F92" s="16">
        <v>44868</v>
      </c>
      <c r="G92" s="16">
        <v>45253</v>
      </c>
      <c r="J92" s="15" t="str">
        <f>VLOOKUP(A92,sinap!$A$2:$R$9000,2,FALSE)</f>
        <v>H</v>
      </c>
      <c r="K92" s="15" t="str">
        <f>VLOOKUP(A92,sinap!$A$2:$R$9000,3,FALSE)</f>
        <v>VACA</v>
      </c>
      <c r="L92" s="15" t="str">
        <f>VLOOKUP(A92,sinap!$A$2:$R$9000,4,FALSE)</f>
        <v>ANGUS NEGRO</v>
      </c>
      <c r="M92" s="15" t="str">
        <f>VLOOKUP(A92,sinap!$A$2:$R$9000,5,FALSE)</f>
        <v>15 años 3 meses</v>
      </c>
      <c r="N92" s="15" t="str">
        <f>VLOOKUP(A92,sinap!$A$2:$R$9000,6,FALSE)</f>
        <v>30-09-2010</v>
      </c>
      <c r="O92" s="15" t="str">
        <f>VLOOKUP(A92,sinap!$A$2:$R$9000,7,FALSE)</f>
        <v>Vivo</v>
      </c>
      <c r="P92" s="15" t="str">
        <f>VLOOKUP(A92,sinap!$A$2:$R$9000,8,FALSE)</f>
        <v>11.2.01.0038</v>
      </c>
      <c r="Q92" s="15" t="str">
        <f>VLOOKUP(A92,sinap!$A$2:$R$9000,12,FALSE)</f>
        <v>11.1.01.1241</v>
      </c>
      <c r="R92" s="15" t="str">
        <f>VLOOKUP(A92,sinap!$A$2:$R$9000,16,FALSE)</f>
        <v>11.1.01.1241</v>
      </c>
      <c r="S92" s="15" t="str">
        <f>VLOOKUP(A92,sinap!$A$2:$Y$9000,20,FALSE)</f>
        <v>SI</v>
      </c>
    </row>
    <row r="93" spans="1:20" s="16" customFormat="1" hidden="1" x14ac:dyDescent="0.25">
      <c r="A93" s="15">
        <v>6154893</v>
      </c>
      <c r="B93" s="15"/>
      <c r="C93" s="15"/>
      <c r="E93" s="16">
        <v>44490</v>
      </c>
      <c r="J93" s="15" t="str">
        <f>VLOOKUP(A93,sinap!$A$2:$R$9000,2,FALSE)</f>
        <v>H</v>
      </c>
      <c r="K93" s="15" t="str">
        <f>VLOOKUP(A93,sinap!$A$2:$R$9000,3,FALSE)</f>
        <v>VACA</v>
      </c>
      <c r="L93" s="15" t="str">
        <f>VLOOKUP(A93,sinap!$A$2:$R$9000,4,FALSE)</f>
        <v>LIMOUSIN</v>
      </c>
      <c r="M93" s="15" t="str">
        <f>VLOOKUP(A93,sinap!$A$2:$R$9000,5,FALSE)</f>
        <v>15 años 1 meses</v>
      </c>
      <c r="N93" s="15" t="str">
        <f>VLOOKUP(A93,sinap!$A$2:$R$9000,6,FALSE)</f>
        <v>30-11-2010</v>
      </c>
      <c r="O93" s="15" t="str">
        <f>VLOOKUP(A93,sinap!$A$2:$R$9000,7,FALSE)</f>
        <v>Vivo</v>
      </c>
      <c r="P93" s="15" t="str">
        <f>VLOOKUP(A93,sinap!$A$2:$R$9000,8,FALSE)</f>
        <v>11.1.01.1241</v>
      </c>
      <c r="Q93" s="15" t="str">
        <f>VLOOKUP(A93,sinap!$A$2:$R$9000,12,FALSE)</f>
        <v>11.2.01.0038</v>
      </c>
      <c r="R93" s="15" t="str">
        <f>VLOOKUP(A93,sinap!$A$2:$R$9000,16,FALSE)</f>
        <v>11.1.01.1241</v>
      </c>
      <c r="S93" s="15" t="str">
        <f>VLOOKUP(A93,sinap!$A$2:$Y$9000,20,FALSE)</f>
        <v>SI</v>
      </c>
    </row>
    <row r="94" spans="1:20" s="16" customFormat="1" hidden="1" x14ac:dyDescent="0.25">
      <c r="A94" s="15">
        <v>6154926</v>
      </c>
      <c r="B94" s="15"/>
      <c r="C94" s="15"/>
      <c r="D94" s="16">
        <v>44052</v>
      </c>
      <c r="E94" s="16">
        <v>44385</v>
      </c>
      <c r="F94" s="16">
        <v>44908</v>
      </c>
      <c r="G94" s="16">
        <v>45265</v>
      </c>
      <c r="J94" s="15" t="str">
        <f>VLOOKUP(A94,sinap!$A$2:$R$9000,2,FALSE)</f>
        <v>M</v>
      </c>
      <c r="K94" s="15" t="str">
        <f>VLOOKUP(A94,sinap!$A$2:$R$9000,3,FALSE)</f>
        <v>TORO</v>
      </c>
      <c r="L94" s="15" t="str">
        <f>VLOOKUP(A94,sinap!$A$2:$R$9000,4,FALSE)</f>
        <v>OVERO COLORADO (CLAVEL ALEMAN)</v>
      </c>
      <c r="M94" s="15" t="str">
        <f>VLOOKUP(A94,sinap!$A$2:$R$9000,5,FALSE)</f>
        <v>15 años 3 meses</v>
      </c>
      <c r="N94" s="15" t="str">
        <f>VLOOKUP(A94,sinap!$A$2:$R$9000,6,FALSE)</f>
        <v>30-09-2010</v>
      </c>
      <c r="O94" s="15" t="str">
        <f>VLOOKUP(A94,sinap!$A$2:$R$9000,7,FALSE)</f>
        <v>Vivo</v>
      </c>
      <c r="P94" s="15" t="str">
        <f>VLOOKUP(A94,sinap!$A$2:$R$9000,8,FALSE)</f>
        <v>11.2.01.0038</v>
      </c>
      <c r="Q94" s="15" t="str">
        <f>VLOOKUP(A94,sinap!$A$2:$R$9000,12,FALSE)</f>
        <v>11.1.01.1241</v>
      </c>
      <c r="R94" s="15" t="str">
        <f>VLOOKUP(A94,sinap!$A$2:$R$9000,16,FALSE)</f>
        <v>11.1.01.1241</v>
      </c>
      <c r="S94" s="15" t="str">
        <f>VLOOKUP(A94,sinap!$A$2:$Y$9000,20,FALSE)</f>
        <v>SI</v>
      </c>
    </row>
    <row r="95" spans="1:20" s="16" customFormat="1" hidden="1" x14ac:dyDescent="0.25">
      <c r="A95" s="15">
        <v>6154936</v>
      </c>
      <c r="B95" s="15"/>
      <c r="C95" s="15"/>
      <c r="E95" s="16">
        <v>44490</v>
      </c>
      <c r="G95" s="16">
        <v>45265</v>
      </c>
      <c r="J95" s="15" t="str">
        <f>VLOOKUP(A95,sinap!$A$2:$R$9000,2,FALSE)</f>
        <v>H</v>
      </c>
      <c r="K95" s="15" t="str">
        <f>VLOOKUP(A95,sinap!$A$2:$R$9000,3,FALSE)</f>
        <v>VACA</v>
      </c>
      <c r="L95" s="15" t="str">
        <f>VLOOKUP(A95,sinap!$A$2:$R$9000,4,FALSE)</f>
        <v>ANGUS NEGRO</v>
      </c>
      <c r="M95" s="15" t="str">
        <f>VLOOKUP(A95,sinap!$A$2:$R$9000,5,FALSE)</f>
        <v>15 años 2 meses</v>
      </c>
      <c r="N95" s="15" t="str">
        <f>VLOOKUP(A95,sinap!$A$2:$R$9000,6,FALSE)</f>
        <v>30-10-2010</v>
      </c>
      <c r="O95" s="15" t="str">
        <f>VLOOKUP(A95,sinap!$A$2:$R$9000,7,FALSE)</f>
        <v>Vivo</v>
      </c>
      <c r="P95" s="15" t="str">
        <f>VLOOKUP(A95,sinap!$A$2:$R$9000,8,FALSE)</f>
        <v>11.1.01.1241</v>
      </c>
      <c r="Q95" s="15" t="str">
        <f>VLOOKUP(A95,sinap!$A$2:$R$9000,12,FALSE)</f>
        <v>11.1.01.1081</v>
      </c>
      <c r="R95" s="15" t="str">
        <f>VLOOKUP(A95,sinap!$A$2:$R$9000,16,FALSE)</f>
        <v>11.1.01.1241</v>
      </c>
      <c r="S95" s="15" t="str">
        <f>VLOOKUP(A95,sinap!$A$2:$Y$9000,20,FALSE)</f>
        <v>SI</v>
      </c>
    </row>
    <row r="96" spans="1:20" s="16" customFormat="1" hidden="1" x14ac:dyDescent="0.25">
      <c r="A96" s="15">
        <v>6154944</v>
      </c>
      <c r="B96" s="15"/>
      <c r="C96" s="15"/>
      <c r="E96" s="16">
        <v>44385</v>
      </c>
      <c r="F96" s="16">
        <v>44912</v>
      </c>
      <c r="G96" s="16">
        <v>45253</v>
      </c>
      <c r="J96" s="15" t="str">
        <f>VLOOKUP(A96,sinap!$A$2:$R$9000,2,FALSE)</f>
        <v>H</v>
      </c>
      <c r="K96" s="15" t="str">
        <f>VLOOKUP(A96,sinap!$A$2:$R$9000,3,FALSE)</f>
        <v>VACA</v>
      </c>
      <c r="L96" s="15" t="str">
        <f>VLOOKUP(A96,sinap!$A$2:$R$9000,4,FALSE)</f>
        <v>ANGUS NEGRO</v>
      </c>
      <c r="M96" s="15" t="str">
        <f>VLOOKUP(A96,sinap!$A$2:$R$9000,5,FALSE)</f>
        <v>15 años 2 meses</v>
      </c>
      <c r="N96" s="15" t="str">
        <f>VLOOKUP(A96,sinap!$A$2:$R$9000,6,FALSE)</f>
        <v>30-10-2010</v>
      </c>
      <c r="O96" s="15" t="str">
        <f>VLOOKUP(A96,sinap!$A$2:$R$9000,7,FALSE)</f>
        <v>Vivo</v>
      </c>
      <c r="P96" s="15" t="str">
        <f>VLOOKUP(A96,sinap!$A$2:$R$9000,8,FALSE)</f>
        <v>11.1.01.1241</v>
      </c>
      <c r="Q96" s="15" t="str">
        <f>VLOOKUP(A96,sinap!$A$2:$R$9000,12,FALSE)</f>
        <v>11.1.01.1081</v>
      </c>
      <c r="R96" s="15" t="str">
        <f>VLOOKUP(A96,sinap!$A$2:$R$9000,16,FALSE)</f>
        <v>11.1.01.1241</v>
      </c>
      <c r="S96" s="15" t="str">
        <f>VLOOKUP(A96,sinap!$A$2:$Y$9000,20,FALSE)</f>
        <v>SI</v>
      </c>
    </row>
    <row r="97" spans="1:19" s="16" customFormat="1" hidden="1" x14ac:dyDescent="0.25">
      <c r="A97" s="15">
        <v>6154954</v>
      </c>
      <c r="B97" s="15"/>
      <c r="C97" s="15"/>
      <c r="E97" s="16">
        <v>44385</v>
      </c>
      <c r="F97" s="16">
        <v>44867</v>
      </c>
      <c r="G97" s="16">
        <v>45253</v>
      </c>
      <c r="J97" s="15" t="str">
        <f>VLOOKUP(A97,sinap!$A$2:$R$9000,2,FALSE)</f>
        <v>H</v>
      </c>
      <c r="K97" s="15" t="str">
        <f>VLOOKUP(A97,sinap!$A$2:$R$9000,3,FALSE)</f>
        <v>VACA</v>
      </c>
      <c r="L97" s="15" t="str">
        <f>VLOOKUP(A97,sinap!$A$2:$R$9000,4,FALSE)</f>
        <v>ANGUS NEGRO</v>
      </c>
      <c r="M97" s="15" t="str">
        <f>VLOOKUP(A97,sinap!$A$2:$R$9000,5,FALSE)</f>
        <v>15 años 2 meses</v>
      </c>
      <c r="N97" s="15" t="str">
        <f>VLOOKUP(A97,sinap!$A$2:$R$9000,6,FALSE)</f>
        <v>30-10-2010</v>
      </c>
      <c r="O97" s="15" t="str">
        <f>VLOOKUP(A97,sinap!$A$2:$R$9000,7,FALSE)</f>
        <v>Vivo</v>
      </c>
      <c r="P97" s="15" t="str">
        <f>VLOOKUP(A97,sinap!$A$2:$R$9000,8,FALSE)</f>
        <v>11.1.01.1241</v>
      </c>
      <c r="Q97" s="15" t="str">
        <f>VLOOKUP(A97,sinap!$A$2:$R$9000,12,FALSE)</f>
        <v>11.1.01.1081</v>
      </c>
      <c r="R97" s="15" t="str">
        <f>VLOOKUP(A97,sinap!$A$2:$R$9000,16,FALSE)</f>
        <v>11.1.01.1241</v>
      </c>
      <c r="S97" s="15" t="str">
        <f>VLOOKUP(A97,sinap!$A$2:$Y$9000,20,FALSE)</f>
        <v>SI</v>
      </c>
    </row>
    <row r="98" spans="1:19" s="16" customFormat="1" hidden="1" x14ac:dyDescent="0.25">
      <c r="A98" s="15">
        <v>6154956</v>
      </c>
      <c r="B98" s="15"/>
      <c r="C98" s="15"/>
      <c r="E98" s="16">
        <v>44490</v>
      </c>
      <c r="F98" s="16">
        <v>44908</v>
      </c>
      <c r="G98" s="16">
        <v>45253</v>
      </c>
      <c r="J98" s="15" t="str">
        <f>VLOOKUP(A98,sinap!$A$2:$R$9000,2,FALSE)</f>
        <v>H</v>
      </c>
      <c r="K98" s="15" t="str">
        <f>VLOOKUP(A98,sinap!$A$2:$R$9000,3,FALSE)</f>
        <v>VACA</v>
      </c>
      <c r="L98" s="15" t="str">
        <f>VLOOKUP(A98,sinap!$A$2:$R$9000,4,FALSE)</f>
        <v>ANGUS NEGRO</v>
      </c>
      <c r="M98" s="15" t="str">
        <f>VLOOKUP(A98,sinap!$A$2:$R$9000,5,FALSE)</f>
        <v>15 años 3 meses</v>
      </c>
      <c r="N98" s="15" t="str">
        <f>VLOOKUP(A98,sinap!$A$2:$R$9000,6,FALSE)</f>
        <v>30-09-2010</v>
      </c>
      <c r="O98" s="15" t="str">
        <f>VLOOKUP(A98,sinap!$A$2:$R$9000,7,FALSE)</f>
        <v>Vivo</v>
      </c>
      <c r="P98" s="15" t="str">
        <f>VLOOKUP(A98,sinap!$A$2:$R$9000,8,FALSE)</f>
        <v>11.2.01.0038</v>
      </c>
      <c r="Q98" s="15" t="str">
        <f>VLOOKUP(A98,sinap!$A$2:$R$9000,12,FALSE)</f>
        <v>11.1.01.1241</v>
      </c>
      <c r="R98" s="15" t="str">
        <f>VLOOKUP(A98,sinap!$A$2:$R$9000,16,FALSE)</f>
        <v>11.1.01.1241</v>
      </c>
      <c r="S98" s="15" t="str">
        <f>VLOOKUP(A98,sinap!$A$2:$Y$9000,20,FALSE)</f>
        <v>SI</v>
      </c>
    </row>
    <row r="99" spans="1:19" s="16" customFormat="1" hidden="1" x14ac:dyDescent="0.25">
      <c r="A99" s="15">
        <v>6154964</v>
      </c>
      <c r="B99" s="15"/>
      <c r="C99" s="15"/>
      <c r="E99" s="16">
        <v>44490</v>
      </c>
      <c r="F99" s="16">
        <v>44908</v>
      </c>
      <c r="G99" s="16">
        <v>45253</v>
      </c>
      <c r="J99" s="15" t="str">
        <f>VLOOKUP(A99,sinap!$A$2:$R$9000,2,FALSE)</f>
        <v>H</v>
      </c>
      <c r="K99" s="15" t="str">
        <f>VLOOKUP(A99,sinap!$A$2:$R$9000,3,FALSE)</f>
        <v>VACA</v>
      </c>
      <c r="L99" s="15" t="str">
        <f>VLOOKUP(A99,sinap!$A$2:$R$9000,4,FALSE)</f>
        <v>ANGUS NEGRO</v>
      </c>
      <c r="M99" s="15" t="str">
        <f>VLOOKUP(A99,sinap!$A$2:$R$9000,5,FALSE)</f>
        <v>15 años 3 meses</v>
      </c>
      <c r="N99" s="15" t="str">
        <f>VLOOKUP(A99,sinap!$A$2:$R$9000,6,FALSE)</f>
        <v>30-09-2010</v>
      </c>
      <c r="O99" s="15" t="str">
        <f>VLOOKUP(A99,sinap!$A$2:$R$9000,7,FALSE)</f>
        <v>Vivo</v>
      </c>
      <c r="P99" s="15" t="str">
        <f>VLOOKUP(A99,sinap!$A$2:$R$9000,8,FALSE)</f>
        <v>11.1.01.1241</v>
      </c>
      <c r="Q99" s="15" t="str">
        <f>VLOOKUP(A99,sinap!$A$2:$R$9000,12,FALSE)</f>
        <v>11.2.01.0038</v>
      </c>
      <c r="R99" s="15" t="str">
        <f>VLOOKUP(A99,sinap!$A$2:$R$9000,16,FALSE)</f>
        <v>11.1.01.1241</v>
      </c>
      <c r="S99" s="15" t="str">
        <f>VLOOKUP(A99,sinap!$A$2:$Y$9000,20,FALSE)</f>
        <v>SI</v>
      </c>
    </row>
    <row r="100" spans="1:19" s="16" customFormat="1" hidden="1" x14ac:dyDescent="0.25">
      <c r="A100" s="15">
        <v>6154982</v>
      </c>
      <c r="B100" s="15"/>
      <c r="C100" s="15"/>
      <c r="E100" s="16">
        <v>44385</v>
      </c>
      <c r="F100" s="16">
        <v>44908</v>
      </c>
      <c r="G100" s="16">
        <v>45265</v>
      </c>
      <c r="J100" s="15" t="str">
        <f>VLOOKUP(A100,sinap!$A$2:$R$9000,2,FALSE)</f>
        <v>H</v>
      </c>
      <c r="K100" s="15" t="str">
        <f>VLOOKUP(A100,sinap!$A$2:$R$9000,3,FALSE)</f>
        <v>VACA</v>
      </c>
      <c r="L100" s="15" t="str">
        <f>VLOOKUP(A100,sinap!$A$2:$R$9000,4,FALSE)</f>
        <v>LIMOUSIN</v>
      </c>
      <c r="M100" s="15" t="str">
        <f>VLOOKUP(A100,sinap!$A$2:$R$9000,5,FALSE)</f>
        <v>15 años 1 meses</v>
      </c>
      <c r="N100" s="15" t="str">
        <f>VLOOKUP(A100,sinap!$A$2:$R$9000,6,FALSE)</f>
        <v>30-11-2010</v>
      </c>
      <c r="O100" s="15" t="str">
        <f>VLOOKUP(A100,sinap!$A$2:$R$9000,7,FALSE)</f>
        <v>Vivo</v>
      </c>
      <c r="P100" s="15" t="str">
        <f>VLOOKUP(A100,sinap!$A$2:$R$9000,8,FALSE)</f>
        <v>11.2.01.0038</v>
      </c>
      <c r="Q100" s="15" t="str">
        <f>VLOOKUP(A100,sinap!$A$2:$R$9000,12,FALSE)</f>
        <v>11.2.01.0053</v>
      </c>
      <c r="R100" s="15" t="str">
        <f>VLOOKUP(A100,sinap!$A$2:$R$9000,16,FALSE)</f>
        <v>11.1.01.1241</v>
      </c>
      <c r="S100" s="15" t="str">
        <f>VLOOKUP(A100,sinap!$A$2:$Y$9000,20,FALSE)</f>
        <v>SI</v>
      </c>
    </row>
    <row r="101" spans="1:19" s="16" customFormat="1" hidden="1" x14ac:dyDescent="0.25">
      <c r="A101" s="15">
        <v>6155010</v>
      </c>
      <c r="B101" s="15"/>
      <c r="C101" s="15"/>
      <c r="E101" s="16">
        <v>44385</v>
      </c>
      <c r="F101" s="16">
        <v>44867</v>
      </c>
      <c r="G101" s="16">
        <v>45253</v>
      </c>
      <c r="J101" s="15" t="str">
        <f>VLOOKUP(A101,sinap!$A$2:$R$9000,2,FALSE)</f>
        <v>H</v>
      </c>
      <c r="K101" s="15" t="str">
        <f>VLOOKUP(A101,sinap!$A$2:$R$9000,3,FALSE)</f>
        <v>VACA</v>
      </c>
      <c r="L101" s="15" t="str">
        <f>VLOOKUP(A101,sinap!$A$2:$R$9000,4,FALSE)</f>
        <v>ANGUS ROJO</v>
      </c>
      <c r="M101" s="15" t="str">
        <f>VLOOKUP(A101,sinap!$A$2:$R$9000,5,FALSE)</f>
        <v>15 años 3 meses</v>
      </c>
      <c r="N101" s="15" t="str">
        <f>VLOOKUP(A101,sinap!$A$2:$R$9000,6,FALSE)</f>
        <v>30-09-2010</v>
      </c>
      <c r="O101" s="15" t="str">
        <f>VLOOKUP(A101,sinap!$A$2:$R$9000,7,FALSE)</f>
        <v>Vivo</v>
      </c>
      <c r="P101" s="15" t="str">
        <f>VLOOKUP(A101,sinap!$A$2:$R$9000,8,FALSE)</f>
        <v>11.2.01.0038</v>
      </c>
      <c r="Q101" s="15" t="str">
        <f>VLOOKUP(A101,sinap!$A$2:$R$9000,12,FALSE)</f>
        <v>11.2.01.0053</v>
      </c>
      <c r="R101" s="15" t="str">
        <f>VLOOKUP(A101,sinap!$A$2:$R$9000,16,FALSE)</f>
        <v>11.1.01.0790</v>
      </c>
      <c r="S101" s="15" t="str">
        <f>VLOOKUP(A101,sinap!$A$2:$Y$9000,20,FALSE)</f>
        <v>SI</v>
      </c>
    </row>
    <row r="102" spans="1:19" s="16" customFormat="1" hidden="1" x14ac:dyDescent="0.25">
      <c r="A102" s="15">
        <v>6155016</v>
      </c>
      <c r="B102" s="15"/>
      <c r="C102" s="15"/>
      <c r="E102" s="16">
        <v>44385</v>
      </c>
      <c r="F102" s="16">
        <v>44908</v>
      </c>
      <c r="G102" s="16">
        <v>45253</v>
      </c>
      <c r="J102" s="15" t="str">
        <f>VLOOKUP(A102,sinap!$A$2:$R$9000,2,FALSE)</f>
        <v>H</v>
      </c>
      <c r="K102" s="15" t="str">
        <f>VLOOKUP(A102,sinap!$A$2:$R$9000,3,FALSE)</f>
        <v>VACA</v>
      </c>
      <c r="L102" s="15" t="str">
        <f>VLOOKUP(A102,sinap!$A$2:$R$9000,4,FALSE)</f>
        <v>HEREFORD</v>
      </c>
      <c r="M102" s="15" t="str">
        <f>VLOOKUP(A102,sinap!$A$2:$R$9000,5,FALSE)</f>
        <v>15 años 3 meses</v>
      </c>
      <c r="N102" s="15" t="str">
        <f>VLOOKUP(A102,sinap!$A$2:$R$9000,6,FALSE)</f>
        <v>30-09-2010</v>
      </c>
      <c r="O102" s="15" t="str">
        <f>VLOOKUP(A102,sinap!$A$2:$R$9000,7,FALSE)</f>
        <v>Vivo</v>
      </c>
      <c r="P102" s="15" t="str">
        <f>VLOOKUP(A102,sinap!$A$2:$R$9000,8,FALSE)</f>
        <v>11.1.01.0893</v>
      </c>
      <c r="Q102" s="15" t="str">
        <f>VLOOKUP(A102,sinap!$A$2:$R$9000,12,FALSE)</f>
        <v>11.1.01.1241</v>
      </c>
      <c r="R102" s="15" t="str">
        <f>VLOOKUP(A102,sinap!$A$2:$R$9000,16,FALSE)</f>
        <v>11.1.01.0790</v>
      </c>
      <c r="S102" s="15" t="str">
        <f>VLOOKUP(A102,sinap!$A$2:$Y$9000,20,FALSE)</f>
        <v>SI</v>
      </c>
    </row>
    <row r="103" spans="1:19" s="16" customFormat="1" hidden="1" x14ac:dyDescent="0.25">
      <c r="A103" s="15">
        <v>6155019</v>
      </c>
      <c r="B103" s="15"/>
      <c r="C103" s="15"/>
      <c r="E103" s="16">
        <v>44385</v>
      </c>
      <c r="F103" s="16">
        <v>44908</v>
      </c>
      <c r="G103" s="16">
        <v>45253</v>
      </c>
      <c r="J103" s="15" t="str">
        <f>VLOOKUP(A103,sinap!$A$2:$R$9000,2,FALSE)</f>
        <v>H</v>
      </c>
      <c r="K103" s="15" t="str">
        <f>VLOOKUP(A103,sinap!$A$2:$R$9000,3,FALSE)</f>
        <v>VACA</v>
      </c>
      <c r="L103" s="15" t="str">
        <f>VLOOKUP(A103,sinap!$A$2:$R$9000,4,FALSE)</f>
        <v>OVERO COLORADO (CLAVEL ALEMAN)</v>
      </c>
      <c r="M103" s="15" t="str">
        <f>VLOOKUP(A103,sinap!$A$2:$R$9000,5,FALSE)</f>
        <v>15 años 3 meses</v>
      </c>
      <c r="N103" s="15" t="str">
        <f>VLOOKUP(A103,sinap!$A$2:$R$9000,6,FALSE)</f>
        <v>30-09-2010</v>
      </c>
      <c r="O103" s="15" t="str">
        <f>VLOOKUP(A103,sinap!$A$2:$R$9000,7,FALSE)</f>
        <v>Vivo</v>
      </c>
      <c r="P103" s="15" t="str">
        <f>VLOOKUP(A103,sinap!$A$2:$R$9000,8,FALSE)</f>
        <v>11.2.01.0038</v>
      </c>
      <c r="Q103" s="15" t="str">
        <f>VLOOKUP(A103,sinap!$A$2:$R$9000,12,FALSE)</f>
        <v>11.2.01.0053</v>
      </c>
      <c r="R103" s="15" t="str">
        <f>VLOOKUP(A103,sinap!$A$2:$R$9000,16,FALSE)</f>
        <v>11.1.01.0790</v>
      </c>
      <c r="S103" s="15" t="str">
        <f>VLOOKUP(A103,sinap!$A$2:$Y$9000,20,FALSE)</f>
        <v>SI</v>
      </c>
    </row>
    <row r="104" spans="1:19" s="16" customFormat="1" hidden="1" x14ac:dyDescent="0.25">
      <c r="A104" s="15">
        <v>6155024</v>
      </c>
      <c r="B104" s="15"/>
      <c r="C104" s="15"/>
      <c r="E104" s="16">
        <v>44490</v>
      </c>
      <c r="F104" s="16">
        <v>44867</v>
      </c>
      <c r="J104" s="15" t="str">
        <f>VLOOKUP(A104,sinap!$A$2:$R$9000,2,FALSE)</f>
        <v>H</v>
      </c>
      <c r="K104" s="15" t="str">
        <f>VLOOKUP(A104,sinap!$A$2:$R$9000,3,FALSE)</f>
        <v>VACA</v>
      </c>
      <c r="L104" s="15" t="str">
        <f>VLOOKUP(A104,sinap!$A$2:$R$9000,4,FALSE)</f>
        <v>OVERO COLORADO (CLAVEL ALEMAN)</v>
      </c>
      <c r="M104" s="15" t="str">
        <f>VLOOKUP(A104,sinap!$A$2:$R$9000,5,FALSE)</f>
        <v>15 años 3 meses</v>
      </c>
      <c r="N104" s="15" t="str">
        <f>VLOOKUP(A104,sinap!$A$2:$R$9000,6,FALSE)</f>
        <v>30-09-2010</v>
      </c>
      <c r="O104" s="15" t="str">
        <f>VLOOKUP(A104,sinap!$A$2:$R$9000,7,FALSE)</f>
        <v>Vivo</v>
      </c>
      <c r="P104" s="15" t="str">
        <f>VLOOKUP(A104,sinap!$A$2:$R$9000,8,FALSE)</f>
        <v>11.2.01.0038</v>
      </c>
      <c r="Q104" s="15" t="str">
        <f>VLOOKUP(A104,sinap!$A$2:$R$9000,12,FALSE)</f>
        <v>11.2.01.0053</v>
      </c>
      <c r="R104" s="15" t="str">
        <f>VLOOKUP(A104,sinap!$A$2:$R$9000,16,FALSE)</f>
        <v>11.1.01.0790</v>
      </c>
      <c r="S104" s="15" t="str">
        <f>VLOOKUP(A104,sinap!$A$2:$Y$9000,20,FALSE)</f>
        <v>SI</v>
      </c>
    </row>
    <row r="105" spans="1:19" s="16" customFormat="1" hidden="1" x14ac:dyDescent="0.25">
      <c r="A105" s="15">
        <v>6155029</v>
      </c>
      <c r="B105" s="15"/>
      <c r="C105" s="15"/>
      <c r="E105" s="16">
        <v>44490</v>
      </c>
      <c r="F105" s="16">
        <v>44908</v>
      </c>
      <c r="G105" s="16">
        <v>45253</v>
      </c>
      <c r="J105" s="15" t="str">
        <f>VLOOKUP(A105,sinap!$A$2:$R$9000,2,FALSE)</f>
        <v>H</v>
      </c>
      <c r="K105" s="15" t="str">
        <f>VLOOKUP(A105,sinap!$A$2:$R$9000,3,FALSE)</f>
        <v>VACA</v>
      </c>
      <c r="L105" s="15" t="str">
        <f>VLOOKUP(A105,sinap!$A$2:$R$9000,4,FALSE)</f>
        <v>HEREFORD</v>
      </c>
      <c r="M105" s="15" t="str">
        <f>VLOOKUP(A105,sinap!$A$2:$R$9000,5,FALSE)</f>
        <v>15 años 0 meses</v>
      </c>
      <c r="N105" s="15" t="str">
        <f>VLOOKUP(A105,sinap!$A$2:$R$9000,6,FALSE)</f>
        <v>30-12-2010</v>
      </c>
      <c r="O105" s="15" t="str">
        <f>VLOOKUP(A105,sinap!$A$2:$R$9000,7,FALSE)</f>
        <v>Vivo</v>
      </c>
      <c r="P105" s="15" t="str">
        <f>VLOOKUP(A105,sinap!$A$2:$R$9000,8,FALSE)</f>
        <v>11.1.01.1241</v>
      </c>
      <c r="Q105" s="15" t="str">
        <f>VLOOKUP(A105,sinap!$A$2:$R$9000,12,FALSE)</f>
        <v>11.1.01.1081</v>
      </c>
      <c r="R105" s="15" t="str">
        <f>VLOOKUP(A105,sinap!$A$2:$R$9000,16,FALSE)</f>
        <v>11.1.01.0790</v>
      </c>
      <c r="S105" s="15" t="str">
        <f>VLOOKUP(A105,sinap!$A$2:$Y$9000,20,FALSE)</f>
        <v>SI</v>
      </c>
    </row>
    <row r="106" spans="1:19" s="16" customFormat="1" hidden="1" x14ac:dyDescent="0.25">
      <c r="A106" s="15">
        <v>6155037</v>
      </c>
      <c r="B106" s="15"/>
      <c r="C106" s="15"/>
      <c r="E106" s="16">
        <v>44490</v>
      </c>
      <c r="F106" s="16">
        <v>44867</v>
      </c>
      <c r="G106" s="16">
        <v>45258</v>
      </c>
      <c r="J106" s="15" t="str">
        <f>VLOOKUP(A106,sinap!$A$2:$R$9000,2,FALSE)</f>
        <v>H</v>
      </c>
      <c r="K106" s="15" t="str">
        <f>VLOOKUP(A106,sinap!$A$2:$R$9000,3,FALSE)</f>
        <v>VACA</v>
      </c>
      <c r="L106" s="15" t="str">
        <f>VLOOKUP(A106,sinap!$A$2:$R$9000,4,FALSE)</f>
        <v>OVERO COLORADO (CLAVEL ALEMAN)</v>
      </c>
      <c r="M106" s="15" t="str">
        <f>VLOOKUP(A106,sinap!$A$2:$R$9000,5,FALSE)</f>
        <v>15 años 3 meses</v>
      </c>
      <c r="N106" s="15" t="str">
        <f>VLOOKUP(A106,sinap!$A$2:$R$9000,6,FALSE)</f>
        <v>30-09-2010</v>
      </c>
      <c r="O106" s="15" t="str">
        <f>VLOOKUP(A106,sinap!$A$2:$R$9000,7,FALSE)</f>
        <v>Vivo</v>
      </c>
      <c r="P106" s="15" t="str">
        <f>VLOOKUP(A106,sinap!$A$2:$R$9000,8,FALSE)</f>
        <v>11.1.01.1241</v>
      </c>
      <c r="Q106" s="15" t="str">
        <f>VLOOKUP(A106,sinap!$A$2:$R$9000,12,FALSE)</f>
        <v>11.1.01.0893</v>
      </c>
      <c r="R106" s="15" t="str">
        <f>VLOOKUP(A106,sinap!$A$2:$R$9000,16,FALSE)</f>
        <v>11.1.01.0790</v>
      </c>
      <c r="S106" s="15" t="str">
        <f>VLOOKUP(A106,sinap!$A$2:$Y$9000,20,FALSE)</f>
        <v>SI</v>
      </c>
    </row>
    <row r="107" spans="1:19" s="16" customFormat="1" hidden="1" x14ac:dyDescent="0.25">
      <c r="A107" s="15">
        <v>6155038</v>
      </c>
      <c r="B107" s="15"/>
      <c r="C107" s="15"/>
      <c r="E107" s="16">
        <v>44385</v>
      </c>
      <c r="F107" s="16">
        <v>44867</v>
      </c>
      <c r="G107" s="16">
        <v>45253</v>
      </c>
      <c r="J107" s="15" t="str">
        <f>VLOOKUP(A107,sinap!$A$2:$R$9000,2,FALSE)</f>
        <v>H</v>
      </c>
      <c r="K107" s="15" t="str">
        <f>VLOOKUP(A107,sinap!$A$2:$R$9000,3,FALSE)</f>
        <v>VACA</v>
      </c>
      <c r="L107" s="15" t="str">
        <f>VLOOKUP(A107,sinap!$A$2:$R$9000,4,FALSE)</f>
        <v>ANGUS ROJO</v>
      </c>
      <c r="M107" s="15" t="str">
        <f>VLOOKUP(A107,sinap!$A$2:$R$9000,5,FALSE)</f>
        <v>15 años 3 meses</v>
      </c>
      <c r="N107" s="15" t="str">
        <f>VLOOKUP(A107,sinap!$A$2:$R$9000,6,FALSE)</f>
        <v>30-09-2010</v>
      </c>
      <c r="O107" s="15" t="str">
        <f>VLOOKUP(A107,sinap!$A$2:$R$9000,7,FALSE)</f>
        <v>Vivo</v>
      </c>
      <c r="P107" s="15" t="str">
        <f>VLOOKUP(A107,sinap!$A$2:$R$9000,8,FALSE)</f>
        <v>11.1.01.1241</v>
      </c>
      <c r="Q107" s="15" t="str">
        <f>VLOOKUP(A107,sinap!$A$2:$R$9000,12,FALSE)</f>
        <v>11.2.01.0038</v>
      </c>
      <c r="R107" s="15" t="str">
        <f>VLOOKUP(A107,sinap!$A$2:$R$9000,16,FALSE)</f>
        <v>11.1.01.0790</v>
      </c>
      <c r="S107" s="15" t="str">
        <f>VLOOKUP(A107,sinap!$A$2:$Y$9000,20,FALSE)</f>
        <v>SI</v>
      </c>
    </row>
    <row r="108" spans="1:19" s="16" customFormat="1" hidden="1" x14ac:dyDescent="0.25">
      <c r="A108" s="15">
        <v>6155049</v>
      </c>
      <c r="B108" s="15"/>
      <c r="C108" s="15"/>
      <c r="E108" s="16">
        <v>44490</v>
      </c>
      <c r="F108" s="16">
        <v>44867</v>
      </c>
      <c r="G108" s="16">
        <v>45090</v>
      </c>
      <c r="J108" s="15" t="str">
        <f>VLOOKUP(A108,sinap!$A$2:$R$9000,2,FALSE)</f>
        <v>H</v>
      </c>
      <c r="K108" s="15" t="str">
        <f>VLOOKUP(A108,sinap!$A$2:$R$9000,3,FALSE)</f>
        <v>VACA</v>
      </c>
      <c r="L108" s="15" t="str">
        <f>VLOOKUP(A108,sinap!$A$2:$R$9000,4,FALSE)</f>
        <v>HEREFORD</v>
      </c>
      <c r="M108" s="15" t="str">
        <f>VLOOKUP(A108,sinap!$A$2:$R$9000,5,FALSE)</f>
        <v>15 años 2 meses</v>
      </c>
      <c r="N108" s="15" t="str">
        <f>VLOOKUP(A108,sinap!$A$2:$R$9000,6,FALSE)</f>
        <v>30-10-2010</v>
      </c>
      <c r="O108" s="15" t="str">
        <f>VLOOKUP(A108,sinap!$A$2:$R$9000,7,FALSE)</f>
        <v>Vivo</v>
      </c>
      <c r="P108" s="15" t="str">
        <f>VLOOKUP(A108,sinap!$A$2:$R$9000,8,FALSE)</f>
        <v>11.2.01.0038</v>
      </c>
      <c r="Q108" s="15" t="str">
        <f>VLOOKUP(A108,sinap!$A$2:$R$9000,12,FALSE)</f>
        <v>11.2.01.0053</v>
      </c>
      <c r="R108" s="15" t="str">
        <f>VLOOKUP(A108,sinap!$A$2:$R$9000,16,FALSE)</f>
        <v>11.1.01.0790</v>
      </c>
      <c r="S108" s="15" t="str">
        <f>VLOOKUP(A108,sinap!$A$2:$Y$9000,20,FALSE)</f>
        <v>SI</v>
      </c>
    </row>
    <row r="109" spans="1:19" s="16" customFormat="1" hidden="1" x14ac:dyDescent="0.25">
      <c r="A109" s="15">
        <v>6155050</v>
      </c>
      <c r="B109" s="15"/>
      <c r="C109" s="15"/>
      <c r="E109" s="16">
        <v>44490</v>
      </c>
      <c r="F109" s="16">
        <v>44912</v>
      </c>
      <c r="G109" s="16">
        <v>45253</v>
      </c>
      <c r="J109" s="15" t="str">
        <f>VLOOKUP(A109,sinap!$A$2:$R$9000,2,FALSE)</f>
        <v>H</v>
      </c>
      <c r="K109" s="15" t="str">
        <f>VLOOKUP(A109,sinap!$A$2:$R$9000,3,FALSE)</f>
        <v>VACA</v>
      </c>
      <c r="L109" s="15" t="str">
        <f>VLOOKUP(A109,sinap!$A$2:$R$9000,4,FALSE)</f>
        <v>ANGUS NEGRO</v>
      </c>
      <c r="M109" s="15" t="str">
        <f>VLOOKUP(A109,sinap!$A$2:$R$9000,5,FALSE)</f>
        <v>15 años 2 meses</v>
      </c>
      <c r="N109" s="15" t="str">
        <f>VLOOKUP(A109,sinap!$A$2:$R$9000,6,FALSE)</f>
        <v>30-10-2010</v>
      </c>
      <c r="O109" s="15" t="str">
        <f>VLOOKUP(A109,sinap!$A$2:$R$9000,7,FALSE)</f>
        <v>Vivo</v>
      </c>
      <c r="P109" s="15" t="str">
        <f>VLOOKUP(A109,sinap!$A$2:$R$9000,8,FALSE)</f>
        <v>11.1.01.1241</v>
      </c>
      <c r="Q109" s="15" t="str">
        <f>VLOOKUP(A109,sinap!$A$2:$R$9000,12,FALSE)</f>
        <v>11.1.01.1081</v>
      </c>
      <c r="R109" s="15" t="str">
        <f>VLOOKUP(A109,sinap!$A$2:$R$9000,16,FALSE)</f>
        <v>11.1.01.1241</v>
      </c>
      <c r="S109" s="15" t="str">
        <f>VLOOKUP(A109,sinap!$A$2:$Y$9000,20,FALSE)</f>
        <v>SI</v>
      </c>
    </row>
    <row r="110" spans="1:19" s="16" customFormat="1" hidden="1" x14ac:dyDescent="0.25">
      <c r="A110" s="15">
        <v>6155054</v>
      </c>
      <c r="B110" s="15"/>
      <c r="C110" s="15"/>
      <c r="E110" s="16">
        <v>44490</v>
      </c>
      <c r="F110" s="16">
        <v>44867</v>
      </c>
      <c r="G110" s="16">
        <v>45265</v>
      </c>
      <c r="J110" s="15" t="str">
        <f>VLOOKUP(A110,sinap!$A$2:$R$9000,2,FALSE)</f>
        <v>M</v>
      </c>
      <c r="K110" s="15" t="str">
        <f>VLOOKUP(A110,sinap!$A$2:$R$9000,3,FALSE)</f>
        <v>TORO</v>
      </c>
      <c r="L110" s="15" t="str">
        <f>VLOOKUP(A110,sinap!$A$2:$R$9000,4,FALSE)</f>
        <v>ANGUS NEGRO</v>
      </c>
      <c r="M110" s="15" t="str">
        <f>VLOOKUP(A110,sinap!$A$2:$R$9000,5,FALSE)</f>
        <v>14 años 8 meses</v>
      </c>
      <c r="N110" s="15" t="str">
        <f>VLOOKUP(A110,sinap!$A$2:$R$9000,6,FALSE)</f>
        <v>30-04-2011</v>
      </c>
      <c r="O110" s="15" t="str">
        <f>VLOOKUP(A110,sinap!$A$2:$R$9000,7,FALSE)</f>
        <v>Vivo</v>
      </c>
      <c r="P110" s="15" t="str">
        <f>VLOOKUP(A110,sinap!$A$2:$R$9000,8,FALSE)</f>
        <v>11.1.01.1241</v>
      </c>
      <c r="Q110" s="15" t="str">
        <f>VLOOKUP(A110,sinap!$A$2:$R$9000,12,FALSE)</f>
        <v>Sin Movimiento</v>
      </c>
      <c r="R110" s="15" t="str">
        <f>VLOOKUP(A110,sinap!$A$2:$R$9000,16,FALSE)</f>
        <v>11.1.01.1241</v>
      </c>
      <c r="S110" s="15" t="str">
        <f>VLOOKUP(A110,sinap!$A$2:$Y$9000,20,FALSE)</f>
        <v>SI</v>
      </c>
    </row>
    <row r="111" spans="1:19" s="16" customFormat="1" hidden="1" x14ac:dyDescent="0.25">
      <c r="A111" s="15">
        <v>6155061</v>
      </c>
      <c r="B111" s="15"/>
      <c r="C111" s="15"/>
      <c r="E111" s="16">
        <v>44490</v>
      </c>
      <c r="F111" s="16">
        <v>44867</v>
      </c>
      <c r="G111" s="16">
        <v>45253</v>
      </c>
      <c r="J111" s="15" t="str">
        <f>VLOOKUP(A111,sinap!$A$2:$R$9000,2,FALSE)</f>
        <v>M</v>
      </c>
      <c r="K111" s="15" t="str">
        <f>VLOOKUP(A111,sinap!$A$2:$R$9000,3,FALSE)</f>
        <v>TORO</v>
      </c>
      <c r="L111" s="15" t="str">
        <f>VLOOKUP(A111,sinap!$A$2:$R$9000,4,FALSE)</f>
        <v>ANGUS ROJO</v>
      </c>
      <c r="M111" s="15" t="str">
        <f>VLOOKUP(A111,sinap!$A$2:$R$9000,5,FALSE)</f>
        <v>14 años 8 meses</v>
      </c>
      <c r="N111" s="15" t="str">
        <f>VLOOKUP(A111,sinap!$A$2:$R$9000,6,FALSE)</f>
        <v>15-05-2011</v>
      </c>
      <c r="O111" s="15" t="str">
        <f>VLOOKUP(A111,sinap!$A$2:$R$9000,7,FALSE)</f>
        <v>Vivo</v>
      </c>
      <c r="P111" s="15" t="str">
        <f>VLOOKUP(A111,sinap!$A$2:$R$9000,8,FALSE)</f>
        <v>11.1.01.1241</v>
      </c>
      <c r="Q111" s="15" t="str">
        <f>VLOOKUP(A111,sinap!$A$2:$R$9000,12,FALSE)</f>
        <v>Sin Movimiento</v>
      </c>
      <c r="R111" s="15" t="str">
        <f>VLOOKUP(A111,sinap!$A$2:$R$9000,16,FALSE)</f>
        <v>11.1.01.1241</v>
      </c>
      <c r="S111" s="15" t="str">
        <f>VLOOKUP(A111,sinap!$A$2:$Y$9000,20,FALSE)</f>
        <v>SI</v>
      </c>
    </row>
    <row r="112" spans="1:19" s="16" customFormat="1" hidden="1" x14ac:dyDescent="0.25">
      <c r="A112" s="15">
        <v>6155100</v>
      </c>
      <c r="B112" s="15"/>
      <c r="C112" s="15"/>
      <c r="E112" s="16">
        <v>44385</v>
      </c>
      <c r="J112" s="15" t="str">
        <f>VLOOKUP(A112,sinap!$A$2:$R$9000,2,FALSE)</f>
        <v>H</v>
      </c>
      <c r="K112" s="15" t="str">
        <f>VLOOKUP(A112,sinap!$A$2:$R$9000,3,FALSE)</f>
        <v>VACA</v>
      </c>
      <c r="L112" s="15" t="str">
        <f>VLOOKUP(A112,sinap!$A$2:$R$9000,4,FALSE)</f>
        <v>ANGUS NEGRO</v>
      </c>
      <c r="M112" s="15" t="str">
        <f>VLOOKUP(A112,sinap!$A$2:$R$9000,5,FALSE)</f>
        <v>14 años 4 meses</v>
      </c>
      <c r="N112" s="15" t="str">
        <f>VLOOKUP(A112,sinap!$A$2:$R$9000,6,FALSE)</f>
        <v>30-08-2011</v>
      </c>
      <c r="O112" s="15" t="str">
        <f>VLOOKUP(A112,sinap!$A$2:$R$9000,7,FALSE)</f>
        <v>Vivo</v>
      </c>
      <c r="P112" s="15" t="str">
        <f>VLOOKUP(A112,sinap!$A$2:$R$9000,8,FALSE)</f>
        <v>11.1.01.1241</v>
      </c>
      <c r="Q112" s="15" t="str">
        <f>VLOOKUP(A112,sinap!$A$2:$R$9000,12,FALSE)</f>
        <v>11.2.01.0053</v>
      </c>
      <c r="R112" s="15" t="str">
        <f>VLOOKUP(A112,sinap!$A$2:$R$9000,16,FALSE)</f>
        <v>11.1.01.1241</v>
      </c>
      <c r="S112" s="15" t="str">
        <f>VLOOKUP(A112,sinap!$A$2:$Y$9000,20,FALSE)</f>
        <v>SI</v>
      </c>
    </row>
    <row r="113" spans="1:19" s="16" customFormat="1" hidden="1" x14ac:dyDescent="0.25">
      <c r="A113" s="15">
        <v>6155107</v>
      </c>
      <c r="B113" s="15"/>
      <c r="C113" s="15"/>
      <c r="E113" s="16">
        <v>44490</v>
      </c>
      <c r="F113" s="16">
        <v>44908</v>
      </c>
      <c r="G113" s="16">
        <v>45253</v>
      </c>
      <c r="J113" s="15" t="str">
        <f>VLOOKUP(A113,sinap!$A$2:$R$9000,2,FALSE)</f>
        <v>M</v>
      </c>
      <c r="K113" s="15" t="str">
        <f>VLOOKUP(A113,sinap!$A$2:$R$9000,3,FALSE)</f>
        <v>TORO</v>
      </c>
      <c r="L113" s="15" t="str">
        <f>VLOOKUP(A113,sinap!$A$2:$R$9000,4,FALSE)</f>
        <v>OVERO COLORADO (CLAVEL ALEMAN)</v>
      </c>
      <c r="M113" s="15" t="str">
        <f>VLOOKUP(A113,sinap!$A$2:$R$9000,5,FALSE)</f>
        <v>14 años 4 meses</v>
      </c>
      <c r="N113" s="15" t="str">
        <f>VLOOKUP(A113,sinap!$A$2:$R$9000,6,FALSE)</f>
        <v>30-08-2011</v>
      </c>
      <c r="O113" s="15" t="str">
        <f>VLOOKUP(A113,sinap!$A$2:$R$9000,7,FALSE)</f>
        <v>Vivo</v>
      </c>
      <c r="P113" s="15" t="str">
        <f>VLOOKUP(A113,sinap!$A$2:$R$9000,8,FALSE)</f>
        <v>11.1.01.1241</v>
      </c>
      <c r="Q113" s="15" t="str">
        <f>VLOOKUP(A113,sinap!$A$2:$R$9000,12,FALSE)</f>
        <v>Sin Movimiento</v>
      </c>
      <c r="R113" s="15" t="str">
        <f>VLOOKUP(A113,sinap!$A$2:$R$9000,16,FALSE)</f>
        <v>11.1.01.1241</v>
      </c>
      <c r="S113" s="15" t="str">
        <f>VLOOKUP(A113,sinap!$A$2:$Y$9000,20,FALSE)</f>
        <v>SI</v>
      </c>
    </row>
    <row r="114" spans="1:19" s="16" customFormat="1" hidden="1" x14ac:dyDescent="0.25">
      <c r="A114" s="15">
        <v>6155109</v>
      </c>
      <c r="B114" s="15"/>
      <c r="C114" s="15"/>
      <c r="E114" s="16">
        <v>44385</v>
      </c>
      <c r="F114" s="16">
        <v>44908</v>
      </c>
      <c r="G114" s="16">
        <v>45265</v>
      </c>
      <c r="J114" s="15" t="str">
        <f>VLOOKUP(A114,sinap!$A$2:$R$9000,2,FALSE)</f>
        <v>H</v>
      </c>
      <c r="K114" s="15" t="str">
        <f>VLOOKUP(A114,sinap!$A$2:$R$9000,3,FALSE)</f>
        <v>VACA</v>
      </c>
      <c r="L114" s="15" t="str">
        <f>VLOOKUP(A114,sinap!$A$2:$R$9000,4,FALSE)</f>
        <v>OVERO COLORADO (CLAVEL ALEMAN)</v>
      </c>
      <c r="M114" s="15" t="str">
        <f>VLOOKUP(A114,sinap!$A$2:$R$9000,5,FALSE)</f>
        <v>14 años 3 meses</v>
      </c>
      <c r="N114" s="15" t="str">
        <f>VLOOKUP(A114,sinap!$A$2:$R$9000,6,FALSE)</f>
        <v>30-09-2011</v>
      </c>
      <c r="O114" s="15" t="str">
        <f>VLOOKUP(A114,sinap!$A$2:$R$9000,7,FALSE)</f>
        <v>Vivo</v>
      </c>
      <c r="P114" s="15" t="str">
        <f>VLOOKUP(A114,sinap!$A$2:$R$9000,8,FALSE)</f>
        <v>11.1.01.1241</v>
      </c>
      <c r="Q114" s="15" t="str">
        <f>VLOOKUP(A114,sinap!$A$2:$R$9000,12,FALSE)</f>
        <v>11.2.01.0053</v>
      </c>
      <c r="R114" s="15" t="str">
        <f>VLOOKUP(A114,sinap!$A$2:$R$9000,16,FALSE)</f>
        <v>11.1.01.1241</v>
      </c>
      <c r="S114" s="15" t="str">
        <f>VLOOKUP(A114,sinap!$A$2:$Y$9000,20,FALSE)</f>
        <v>SI</v>
      </c>
    </row>
    <row r="115" spans="1:19" s="16" customFormat="1" hidden="1" x14ac:dyDescent="0.25">
      <c r="A115" s="15">
        <v>6155115</v>
      </c>
      <c r="B115" s="15"/>
      <c r="C115" s="15"/>
      <c r="E115" s="16">
        <v>44490</v>
      </c>
      <c r="F115" s="16">
        <v>44867</v>
      </c>
      <c r="G115" s="16">
        <v>45258</v>
      </c>
      <c r="J115" s="15" t="str">
        <f>VLOOKUP(A115,sinap!$A$2:$R$9000,2,FALSE)</f>
        <v>M</v>
      </c>
      <c r="K115" s="15" t="str">
        <f>VLOOKUP(A115,sinap!$A$2:$R$9000,3,FALSE)</f>
        <v>TORO</v>
      </c>
      <c r="L115" s="15" t="str">
        <f>VLOOKUP(A115,sinap!$A$2:$R$9000,4,FALSE)</f>
        <v>HEREFORD</v>
      </c>
      <c r="M115" s="15" t="str">
        <f>VLOOKUP(A115,sinap!$A$2:$R$9000,5,FALSE)</f>
        <v>14 años 3 meses</v>
      </c>
      <c r="N115" s="15" t="str">
        <f>VLOOKUP(A115,sinap!$A$2:$R$9000,6,FALSE)</f>
        <v>30-09-2011</v>
      </c>
      <c r="O115" s="15" t="str">
        <f>VLOOKUP(A115,sinap!$A$2:$R$9000,7,FALSE)</f>
        <v>Vivo</v>
      </c>
      <c r="P115" s="15" t="str">
        <f>VLOOKUP(A115,sinap!$A$2:$R$9000,8,FALSE)</f>
        <v>11.1.01.1241</v>
      </c>
      <c r="Q115" s="15" t="str">
        <f>VLOOKUP(A115,sinap!$A$2:$R$9000,12,FALSE)</f>
        <v>Sin Movimiento</v>
      </c>
      <c r="R115" s="15" t="str">
        <f>VLOOKUP(A115,sinap!$A$2:$R$9000,16,FALSE)</f>
        <v>11.1.01.1241</v>
      </c>
      <c r="S115" s="15" t="str">
        <f>VLOOKUP(A115,sinap!$A$2:$Y$9000,20,FALSE)</f>
        <v>SI</v>
      </c>
    </row>
    <row r="116" spans="1:19" s="16" customFormat="1" hidden="1" x14ac:dyDescent="0.25">
      <c r="A116" s="15">
        <v>6155121</v>
      </c>
      <c r="B116" s="15"/>
      <c r="C116" s="15"/>
      <c r="E116" s="16">
        <v>44385</v>
      </c>
      <c r="F116" s="16">
        <v>44908</v>
      </c>
      <c r="G116" s="16">
        <v>45253</v>
      </c>
      <c r="J116" s="15" t="str">
        <f>VLOOKUP(A116,sinap!$A$2:$R$9000,2,FALSE)</f>
        <v>H</v>
      </c>
      <c r="K116" s="15" t="str">
        <f>VLOOKUP(A116,sinap!$A$2:$R$9000,3,FALSE)</f>
        <v>VACA</v>
      </c>
      <c r="L116" s="15" t="str">
        <f>VLOOKUP(A116,sinap!$A$2:$R$9000,4,FALSE)</f>
        <v>ANGUS NEGRO</v>
      </c>
      <c r="M116" s="15" t="str">
        <f>VLOOKUP(A116,sinap!$A$2:$R$9000,5,FALSE)</f>
        <v>14 años 2 meses</v>
      </c>
      <c r="N116" s="15" t="str">
        <f>VLOOKUP(A116,sinap!$A$2:$R$9000,6,FALSE)</f>
        <v>30-10-2011</v>
      </c>
      <c r="O116" s="15" t="str">
        <f>VLOOKUP(A116,sinap!$A$2:$R$9000,7,FALSE)</f>
        <v>Vivo</v>
      </c>
      <c r="P116" s="15" t="str">
        <f>VLOOKUP(A116,sinap!$A$2:$R$9000,8,FALSE)</f>
        <v>11.1.01.1241</v>
      </c>
      <c r="Q116" s="15" t="str">
        <f>VLOOKUP(A116,sinap!$A$2:$R$9000,12,FALSE)</f>
        <v>11.2.01.0038</v>
      </c>
      <c r="R116" s="15" t="str">
        <f>VLOOKUP(A116,sinap!$A$2:$R$9000,16,FALSE)</f>
        <v>11.1.01.1241</v>
      </c>
      <c r="S116" s="15" t="str">
        <f>VLOOKUP(A116,sinap!$A$2:$Y$9000,20,FALSE)</f>
        <v>SI</v>
      </c>
    </row>
    <row r="117" spans="1:19" s="16" customFormat="1" hidden="1" x14ac:dyDescent="0.25">
      <c r="A117" s="15">
        <v>6155127</v>
      </c>
      <c r="B117" s="15"/>
      <c r="C117" s="15"/>
      <c r="E117" s="16">
        <v>44385</v>
      </c>
      <c r="J117" s="15" t="str">
        <f>VLOOKUP(A117,sinap!$A$2:$R$9000,2,FALSE)</f>
        <v>M</v>
      </c>
      <c r="K117" s="15" t="str">
        <f>VLOOKUP(A117,sinap!$A$2:$R$9000,3,FALSE)</f>
        <v>TORO</v>
      </c>
      <c r="L117" s="15" t="str">
        <f>VLOOKUP(A117,sinap!$A$2:$R$9000,4,FALSE)</f>
        <v>ANGUS NEGRO</v>
      </c>
      <c r="M117" s="15" t="str">
        <f>VLOOKUP(A117,sinap!$A$2:$R$9000,5,FALSE)</f>
        <v>14 años 2 meses</v>
      </c>
      <c r="N117" s="15" t="str">
        <f>VLOOKUP(A117,sinap!$A$2:$R$9000,6,FALSE)</f>
        <v>30-10-2011</v>
      </c>
      <c r="O117" s="15" t="str">
        <f>VLOOKUP(A117,sinap!$A$2:$R$9000,7,FALSE)</f>
        <v>Vivo</v>
      </c>
      <c r="P117" s="15" t="str">
        <f>VLOOKUP(A117,sinap!$A$2:$R$9000,8,FALSE)</f>
        <v>11.1.01.1241</v>
      </c>
      <c r="Q117" s="15" t="str">
        <f>VLOOKUP(A117,sinap!$A$2:$R$9000,12,FALSE)</f>
        <v>Sin Movimiento</v>
      </c>
      <c r="R117" s="15" t="str">
        <f>VLOOKUP(A117,sinap!$A$2:$R$9000,16,FALSE)</f>
        <v>11.1.01.1241</v>
      </c>
      <c r="S117" s="15" t="str">
        <f>VLOOKUP(A117,sinap!$A$2:$Y$9000,20,FALSE)</f>
        <v>SI</v>
      </c>
    </row>
    <row r="118" spans="1:19" s="16" customFormat="1" hidden="1" x14ac:dyDescent="0.25">
      <c r="A118" s="15">
        <v>6155143</v>
      </c>
      <c r="B118" s="15"/>
      <c r="C118" s="15"/>
      <c r="E118" s="16">
        <v>44385</v>
      </c>
      <c r="J118" s="15" t="str">
        <f>VLOOKUP(A118,sinap!$A$2:$R$9000,2,FALSE)</f>
        <v>H</v>
      </c>
      <c r="K118" s="15" t="str">
        <f>VLOOKUP(A118,sinap!$A$2:$R$9000,3,FALSE)</f>
        <v>VACA</v>
      </c>
      <c r="L118" s="15" t="str">
        <f>VLOOKUP(A118,sinap!$A$2:$R$9000,4,FALSE)</f>
        <v>ANGUS NEGRO</v>
      </c>
      <c r="M118" s="15" t="str">
        <f>VLOOKUP(A118,sinap!$A$2:$R$9000,5,FALSE)</f>
        <v>14 años 2 meses</v>
      </c>
      <c r="N118" s="15" t="str">
        <f>VLOOKUP(A118,sinap!$A$2:$R$9000,6,FALSE)</f>
        <v>30-10-2011</v>
      </c>
      <c r="O118" s="15" t="str">
        <f>VLOOKUP(A118,sinap!$A$2:$R$9000,7,FALSE)</f>
        <v>Vivo</v>
      </c>
      <c r="P118" s="15" t="str">
        <f>VLOOKUP(A118,sinap!$A$2:$R$9000,8,FALSE)</f>
        <v>11.1.01.1241</v>
      </c>
      <c r="Q118" s="15" t="str">
        <f>VLOOKUP(A118,sinap!$A$2:$R$9000,12,FALSE)</f>
        <v>11.2.01.0053</v>
      </c>
      <c r="R118" s="15" t="str">
        <f>VLOOKUP(A118,sinap!$A$2:$R$9000,16,FALSE)</f>
        <v>11.1.01.1241</v>
      </c>
      <c r="S118" s="15" t="str">
        <f>VLOOKUP(A118,sinap!$A$2:$Y$9000,20,FALSE)</f>
        <v>SI</v>
      </c>
    </row>
    <row r="119" spans="1:19" s="16" customFormat="1" hidden="1" x14ac:dyDescent="0.25">
      <c r="A119" s="15">
        <v>6155146</v>
      </c>
      <c r="B119" s="15"/>
      <c r="C119" s="15"/>
      <c r="E119" s="16">
        <v>44490</v>
      </c>
      <c r="F119" s="16">
        <v>44912</v>
      </c>
      <c r="G119" s="16">
        <v>45240</v>
      </c>
      <c r="J119" s="15" t="str">
        <f>VLOOKUP(A119,sinap!$A$2:$R$9000,2,FALSE)</f>
        <v>H</v>
      </c>
      <c r="K119" s="15" t="str">
        <f>VLOOKUP(A119,sinap!$A$2:$R$9000,3,FALSE)</f>
        <v>VACA</v>
      </c>
      <c r="L119" s="15" t="str">
        <f>VLOOKUP(A119,sinap!$A$2:$R$9000,4,FALSE)</f>
        <v>OVERO COLORADO (CLAVEL ALEMAN)</v>
      </c>
      <c r="M119" s="15" t="str">
        <f>VLOOKUP(A119,sinap!$A$2:$R$9000,5,FALSE)</f>
        <v>14 años 2 meses</v>
      </c>
      <c r="N119" s="15" t="str">
        <f>VLOOKUP(A119,sinap!$A$2:$R$9000,6,FALSE)</f>
        <v>30-10-2011</v>
      </c>
      <c r="O119" s="15" t="str">
        <f>VLOOKUP(A119,sinap!$A$2:$R$9000,7,FALSE)</f>
        <v>Vivo</v>
      </c>
      <c r="P119" s="15" t="str">
        <f>VLOOKUP(A119,sinap!$A$2:$R$9000,8,FALSE)</f>
        <v>11.2.01.0038</v>
      </c>
      <c r="Q119" s="15" t="str">
        <f>VLOOKUP(A119,sinap!$A$2:$R$9000,12,FALSE)</f>
        <v>11.1.01.0791</v>
      </c>
      <c r="R119" s="15" t="str">
        <f>VLOOKUP(A119,sinap!$A$2:$R$9000,16,FALSE)</f>
        <v>11.1.01.1241</v>
      </c>
      <c r="S119" s="15" t="str">
        <f>VLOOKUP(A119,sinap!$A$2:$Y$9000,20,FALSE)</f>
        <v>SI</v>
      </c>
    </row>
    <row r="120" spans="1:19" s="16" customFormat="1" hidden="1" x14ac:dyDescent="0.25">
      <c r="A120" s="15">
        <v>6155159</v>
      </c>
      <c r="B120" s="15"/>
      <c r="C120" s="15"/>
      <c r="E120" s="16">
        <v>44490</v>
      </c>
      <c r="F120" s="16">
        <v>44867</v>
      </c>
      <c r="G120" s="16">
        <v>45090</v>
      </c>
      <c r="J120" s="15" t="str">
        <f>VLOOKUP(A120,sinap!$A$2:$R$9000,2,FALSE)</f>
        <v>M</v>
      </c>
      <c r="K120" s="15" t="str">
        <f>VLOOKUP(A120,sinap!$A$2:$R$9000,3,FALSE)</f>
        <v>TORO</v>
      </c>
      <c r="L120" s="15" t="str">
        <f>VLOOKUP(A120,sinap!$A$2:$R$9000,4,FALSE)</f>
        <v>ANGUS NEGRO</v>
      </c>
      <c r="M120" s="15" t="str">
        <f>VLOOKUP(A120,sinap!$A$2:$R$9000,5,FALSE)</f>
        <v>14 años 1 meses</v>
      </c>
      <c r="N120" s="15" t="str">
        <f>VLOOKUP(A120,sinap!$A$2:$R$9000,6,FALSE)</f>
        <v>30-11-2011</v>
      </c>
      <c r="O120" s="15" t="str">
        <f>VLOOKUP(A120,sinap!$A$2:$R$9000,7,FALSE)</f>
        <v>Vivo</v>
      </c>
      <c r="P120" s="15" t="str">
        <f>VLOOKUP(A120,sinap!$A$2:$R$9000,8,FALSE)</f>
        <v>11.1.01.1241</v>
      </c>
      <c r="Q120" s="15" t="str">
        <f>VLOOKUP(A120,sinap!$A$2:$R$9000,12,FALSE)</f>
        <v>11.1.01.1081</v>
      </c>
      <c r="R120" s="15" t="str">
        <f>VLOOKUP(A120,sinap!$A$2:$R$9000,16,FALSE)</f>
        <v>11.1.01.1241</v>
      </c>
      <c r="S120" s="15" t="str">
        <f>VLOOKUP(A120,sinap!$A$2:$Y$9000,20,FALSE)</f>
        <v>SI</v>
      </c>
    </row>
    <row r="121" spans="1:19" s="16" customFormat="1" hidden="1" x14ac:dyDescent="0.25">
      <c r="A121" s="15">
        <v>6165836</v>
      </c>
      <c r="B121" s="15"/>
      <c r="C121" s="15"/>
      <c r="E121" s="16">
        <v>44490</v>
      </c>
      <c r="F121" s="16">
        <v>44908</v>
      </c>
      <c r="G121" s="16">
        <v>45253</v>
      </c>
      <c r="J121" s="15" t="str">
        <f>VLOOKUP(A121,sinap!$A$2:$R$9000,2,FALSE)</f>
        <v>M</v>
      </c>
      <c r="K121" s="15" t="str">
        <f>VLOOKUP(A121,sinap!$A$2:$R$9000,3,FALSE)</f>
        <v>TORO</v>
      </c>
      <c r="L121" s="15" t="str">
        <f>VLOOKUP(A121,sinap!$A$2:$R$9000,4,FALSE)</f>
        <v>ANGUS NEGRO</v>
      </c>
      <c r="M121" s="15" t="str">
        <f>VLOOKUP(A121,sinap!$A$2:$R$9000,5,FALSE)</f>
        <v>15 años 3 meses</v>
      </c>
      <c r="N121" s="15" t="str">
        <f>VLOOKUP(A121,sinap!$A$2:$R$9000,6,FALSE)</f>
        <v>15-10-2010</v>
      </c>
      <c r="O121" s="15" t="str">
        <f>VLOOKUP(A121,sinap!$A$2:$R$9000,7,FALSE)</f>
        <v>Vivo</v>
      </c>
      <c r="P121" s="15" t="str">
        <f>VLOOKUP(A121,sinap!$A$2:$R$9000,8,FALSE)</f>
        <v>11.1.01.1241</v>
      </c>
      <c r="Q121" s="15" t="str">
        <f>VLOOKUP(A121,sinap!$A$2:$R$9000,12,FALSE)</f>
        <v>11.1.01.1081</v>
      </c>
      <c r="R121" s="15" t="str">
        <f>VLOOKUP(A121,sinap!$A$2:$R$9000,16,FALSE)</f>
        <v>11.1.01.0290</v>
      </c>
      <c r="S121" s="15" t="str">
        <f>VLOOKUP(A121,sinap!$A$2:$Y$9000,20,FALSE)</f>
        <v>SI</v>
      </c>
    </row>
    <row r="122" spans="1:19" s="16" customFormat="1" hidden="1" x14ac:dyDescent="0.25">
      <c r="A122" s="15">
        <v>6705798</v>
      </c>
      <c r="B122" s="15"/>
      <c r="C122" s="15"/>
      <c r="J122" s="15" t="str">
        <f>VLOOKUP(A122,sinap!$A$2:$R$9000,2,FALSE)</f>
        <v>no existe</v>
      </c>
      <c r="K122" s="15" t="str">
        <f>VLOOKUP(A122,sinap!$A$2:$R$9000,3,FALSE)</f>
        <v>no existe</v>
      </c>
      <c r="L122" s="15" t="str">
        <f>VLOOKUP(A122,sinap!$A$2:$R$9000,4,FALSE)</f>
        <v>no existe</v>
      </c>
      <c r="M122" s="15" t="str">
        <f>VLOOKUP(A122,sinap!$A$2:$R$9000,5,FALSE)</f>
        <v>no existe</v>
      </c>
      <c r="N122" s="15" t="str">
        <f>VLOOKUP(A122,sinap!$A$2:$R$9000,6,FALSE)</f>
        <v>no existe</v>
      </c>
      <c r="O122" s="15" t="str">
        <f>VLOOKUP(A122,sinap!$A$2:$R$9000,7,FALSE)</f>
        <v>no existe</v>
      </c>
      <c r="P122" s="15" t="str">
        <f>VLOOKUP(A122,sinap!$A$2:$R$9000,8,FALSE)</f>
        <v>no existe</v>
      </c>
      <c r="Q122" s="15" t="str">
        <f>VLOOKUP(A122,sinap!$A$2:$R$9000,12,FALSE)</f>
        <v>no existe</v>
      </c>
      <c r="R122" s="15" t="str">
        <f>VLOOKUP(A122,sinap!$A$2:$R$9000,16,FALSE)</f>
        <v>no existe</v>
      </c>
      <c r="S122" s="15" t="str">
        <f>VLOOKUP(A122,sinap!$A$2:$Y$9000,20,FALSE)</f>
        <v>no existe</v>
      </c>
    </row>
    <row r="123" spans="1:19" s="16" customFormat="1" hidden="1" x14ac:dyDescent="0.25">
      <c r="A123" s="15">
        <v>8092013</v>
      </c>
      <c r="B123" s="15"/>
      <c r="C123" s="15"/>
      <c r="D123" s="16">
        <v>44135</v>
      </c>
      <c r="J123" s="15" t="str">
        <f>VLOOKUP(A123,sinap!$A$2:$R$9000,2,FALSE)</f>
        <v>H</v>
      </c>
      <c r="K123" s="15" t="str">
        <f>VLOOKUP(A123,sinap!$A$2:$R$9000,3,FALSE)</f>
        <v>VACA</v>
      </c>
      <c r="L123" s="15" t="str">
        <f>VLOOKUP(A123,sinap!$A$2:$R$9000,4,FALSE)</f>
        <v>OVERO COLORADO (CLAVEL ALEMAN)</v>
      </c>
      <c r="M123" s="15" t="str">
        <f>VLOOKUP(A123,sinap!$A$2:$R$9000,5,FALSE)</f>
        <v>14 años 0 meses</v>
      </c>
      <c r="N123" s="15" t="str">
        <f>VLOOKUP(A123,sinap!$A$2:$R$9000,6,FALSE)</f>
        <v>15-01-2012</v>
      </c>
      <c r="O123" s="15" t="str">
        <f>VLOOKUP(A123,sinap!$A$2:$R$9000,7,FALSE)</f>
        <v>Vivo</v>
      </c>
      <c r="P123" s="15" t="str">
        <f>VLOOKUP(A123,sinap!$A$2:$R$9000,8,FALSE)</f>
        <v>11.2.01.0038</v>
      </c>
      <c r="Q123" s="15" t="str">
        <f>VLOOKUP(A123,sinap!$A$2:$R$9000,12,FALSE)</f>
        <v>11.1.01.0791</v>
      </c>
      <c r="R123" s="15" t="str">
        <f>VLOOKUP(A123,sinap!$A$2:$R$9000,16,FALSE)</f>
        <v>11.1.01.1241</v>
      </c>
      <c r="S123" s="15" t="str">
        <f>VLOOKUP(A123,sinap!$A$2:$Y$9000,20,FALSE)</f>
        <v>SI</v>
      </c>
    </row>
    <row r="124" spans="1:19" s="16" customFormat="1" hidden="1" x14ac:dyDescent="0.25">
      <c r="A124" s="15">
        <v>8092016</v>
      </c>
      <c r="B124" s="15"/>
      <c r="C124" s="15"/>
      <c r="D124" s="16">
        <v>44133</v>
      </c>
      <c r="E124" s="16">
        <v>44504</v>
      </c>
      <c r="J124" s="15" t="str">
        <f>VLOOKUP(A124,sinap!$A$2:$R$9000,2,FALSE)</f>
        <v>H</v>
      </c>
      <c r="K124" s="15" t="str">
        <f>VLOOKUP(A124,sinap!$A$2:$R$9000,3,FALSE)</f>
        <v>VACA</v>
      </c>
      <c r="L124" s="15" t="str">
        <f>VLOOKUP(A124,sinap!$A$2:$R$9000,4,FALSE)</f>
        <v>ANGUS ROJO</v>
      </c>
      <c r="M124" s="15" t="str">
        <f>VLOOKUP(A124,sinap!$A$2:$R$9000,5,FALSE)</f>
        <v>14 años 0 meses</v>
      </c>
      <c r="N124" s="15" t="str">
        <f>VLOOKUP(A124,sinap!$A$2:$R$9000,6,FALSE)</f>
        <v>15-01-2012</v>
      </c>
      <c r="O124" s="15" t="str">
        <f>VLOOKUP(A124,sinap!$A$2:$R$9000,7,FALSE)</f>
        <v>Vivo</v>
      </c>
      <c r="P124" s="15" t="str">
        <f>VLOOKUP(A124,sinap!$A$2:$R$9000,8,FALSE)</f>
        <v>11.1.01.1241</v>
      </c>
      <c r="Q124" s="15" t="str">
        <f>VLOOKUP(A124,sinap!$A$2:$R$9000,12,FALSE)</f>
        <v>11.2.01.0038</v>
      </c>
      <c r="R124" s="15" t="str">
        <f>VLOOKUP(A124,sinap!$A$2:$R$9000,16,FALSE)</f>
        <v>11.1.01.1241</v>
      </c>
      <c r="S124" s="15" t="str">
        <f>VLOOKUP(A124,sinap!$A$2:$Y$9000,20,FALSE)</f>
        <v>SI</v>
      </c>
    </row>
    <row r="125" spans="1:19" s="16" customFormat="1" hidden="1" x14ac:dyDescent="0.25">
      <c r="A125" s="15">
        <v>8092089</v>
      </c>
      <c r="B125" s="15"/>
      <c r="C125" s="15"/>
      <c r="D125" s="16">
        <v>44052</v>
      </c>
      <c r="E125" s="16">
        <v>44385</v>
      </c>
      <c r="F125" s="16">
        <v>44867</v>
      </c>
      <c r="G125" s="16">
        <v>45253</v>
      </c>
      <c r="J125" s="15" t="str">
        <f>VLOOKUP(A125,sinap!$A$2:$R$9000,2,FALSE)</f>
        <v>H</v>
      </c>
      <c r="K125" s="15" t="str">
        <f>VLOOKUP(A125,sinap!$A$2:$R$9000,3,FALSE)</f>
        <v>VACA</v>
      </c>
      <c r="L125" s="15" t="str">
        <f>VLOOKUP(A125,sinap!$A$2:$R$9000,4,FALSE)</f>
        <v>ANGUS NEGRO</v>
      </c>
      <c r="M125" s="15" t="str">
        <f>VLOOKUP(A125,sinap!$A$2:$R$9000,5,FALSE)</f>
        <v>14 años 3 meses</v>
      </c>
      <c r="N125" s="15" t="str">
        <f>VLOOKUP(A125,sinap!$A$2:$R$9000,6,FALSE)</f>
        <v>30-09-2011</v>
      </c>
      <c r="O125" s="15" t="str">
        <f>VLOOKUP(A125,sinap!$A$2:$R$9000,7,FALSE)</f>
        <v>Vivo</v>
      </c>
      <c r="P125" s="15" t="str">
        <f>VLOOKUP(A125,sinap!$A$2:$R$9000,8,FALSE)</f>
        <v>11.1.01.1241</v>
      </c>
      <c r="Q125" s="15" t="str">
        <f>VLOOKUP(A125,sinap!$A$2:$R$9000,12,FALSE)</f>
        <v>11.2.01.0053</v>
      </c>
      <c r="R125" s="15" t="str">
        <f>VLOOKUP(A125,sinap!$A$2:$R$9000,16,FALSE)</f>
        <v>11.1.01.1241</v>
      </c>
      <c r="S125" s="15" t="str">
        <f>VLOOKUP(A125,sinap!$A$2:$Y$9000,20,FALSE)</f>
        <v>SI</v>
      </c>
    </row>
    <row r="126" spans="1:19" s="16" customFormat="1" hidden="1" x14ac:dyDescent="0.25">
      <c r="A126" s="15">
        <v>8092094</v>
      </c>
      <c r="B126" s="15"/>
      <c r="C126" s="15"/>
      <c r="E126" s="16">
        <v>44497</v>
      </c>
      <c r="F126" s="16">
        <v>44912</v>
      </c>
      <c r="G126" s="16">
        <v>45258</v>
      </c>
      <c r="J126" s="15" t="str">
        <f>VLOOKUP(A126,sinap!$A$2:$R$9000,2,FALSE)</f>
        <v>M</v>
      </c>
      <c r="K126" s="15" t="str">
        <f>VLOOKUP(A126,sinap!$A$2:$R$9000,3,FALSE)</f>
        <v>TORO</v>
      </c>
      <c r="L126" s="15" t="str">
        <f>VLOOKUP(A126,sinap!$A$2:$R$9000,4,FALSE)</f>
        <v>OVERO COLORADO (CLAVEL ALEMAN)</v>
      </c>
      <c r="M126" s="15" t="str">
        <f>VLOOKUP(A126,sinap!$A$2:$R$9000,5,FALSE)</f>
        <v>13 años 10 meses</v>
      </c>
      <c r="N126" s="15" t="str">
        <f>VLOOKUP(A126,sinap!$A$2:$R$9000,6,FALSE)</f>
        <v>28-02-2012</v>
      </c>
      <c r="O126" s="15" t="str">
        <f>VLOOKUP(A126,sinap!$A$2:$R$9000,7,FALSE)</f>
        <v>Vivo</v>
      </c>
      <c r="P126" s="15" t="str">
        <f>VLOOKUP(A126,sinap!$A$2:$R$9000,8,FALSE)</f>
        <v>11.1.01.1241</v>
      </c>
      <c r="Q126" s="15" t="str">
        <f>VLOOKUP(A126,sinap!$A$2:$R$9000,12,FALSE)</f>
        <v>Sin Movimiento</v>
      </c>
      <c r="R126" s="15" t="str">
        <f>VLOOKUP(A126,sinap!$A$2:$R$9000,16,FALSE)</f>
        <v>11.1.01.1241</v>
      </c>
      <c r="S126" s="15" t="str">
        <f>VLOOKUP(A126,sinap!$A$2:$Y$9000,20,FALSE)</f>
        <v>SI</v>
      </c>
    </row>
    <row r="127" spans="1:19" s="16" customFormat="1" hidden="1" x14ac:dyDescent="0.25">
      <c r="A127" s="15">
        <v>8092101</v>
      </c>
      <c r="B127" s="15"/>
      <c r="C127" s="15"/>
      <c r="E127" s="16">
        <v>44497</v>
      </c>
      <c r="F127" s="16">
        <v>44912</v>
      </c>
      <c r="G127" s="16">
        <v>45254</v>
      </c>
      <c r="J127" s="15" t="str">
        <f>VLOOKUP(A127,sinap!$A$2:$R$9000,2,FALSE)</f>
        <v>H</v>
      </c>
      <c r="K127" s="15" t="str">
        <f>VLOOKUP(A127,sinap!$A$2:$R$9000,3,FALSE)</f>
        <v>VACA</v>
      </c>
      <c r="L127" s="15" t="str">
        <f>VLOOKUP(A127,sinap!$A$2:$R$9000,4,FALSE)</f>
        <v>ANGUS NEGRO</v>
      </c>
      <c r="M127" s="15" t="str">
        <f>VLOOKUP(A127,sinap!$A$2:$R$9000,5,FALSE)</f>
        <v>14 años 2 meses</v>
      </c>
      <c r="N127" s="15" t="str">
        <f>VLOOKUP(A127,sinap!$A$2:$R$9000,6,FALSE)</f>
        <v>30-10-2011</v>
      </c>
      <c r="O127" s="15" t="str">
        <f>VLOOKUP(A127,sinap!$A$2:$R$9000,7,FALSE)</f>
        <v>Vivo</v>
      </c>
      <c r="P127" s="15" t="str">
        <f>VLOOKUP(A127,sinap!$A$2:$R$9000,8,FALSE)</f>
        <v>11.1.01.1241</v>
      </c>
      <c r="Q127" s="15" t="str">
        <f>VLOOKUP(A127,sinap!$A$2:$R$9000,12,FALSE)</f>
        <v>11.2.01.0038</v>
      </c>
      <c r="R127" s="15" t="str">
        <f>VLOOKUP(A127,sinap!$A$2:$R$9000,16,FALSE)</f>
        <v>11.1.01.1241</v>
      </c>
      <c r="S127" s="15" t="str">
        <f>VLOOKUP(A127,sinap!$A$2:$Y$9000,20,FALSE)</f>
        <v>SI</v>
      </c>
    </row>
    <row r="128" spans="1:19" s="16" customFormat="1" hidden="1" x14ac:dyDescent="0.25">
      <c r="A128" s="15">
        <v>8092107</v>
      </c>
      <c r="B128" s="15"/>
      <c r="C128" s="15"/>
      <c r="E128" s="16">
        <v>44497</v>
      </c>
      <c r="F128" s="16">
        <v>44883</v>
      </c>
      <c r="G128" s="16">
        <v>45254</v>
      </c>
      <c r="J128" s="15" t="str">
        <f>VLOOKUP(A128,sinap!$A$2:$R$9000,2,FALSE)</f>
        <v>H</v>
      </c>
      <c r="K128" s="15" t="str">
        <f>VLOOKUP(A128,sinap!$A$2:$R$9000,3,FALSE)</f>
        <v>VACA</v>
      </c>
      <c r="L128" s="15" t="str">
        <f>VLOOKUP(A128,sinap!$A$2:$R$9000,4,FALSE)</f>
        <v>ANGUS NEGRO</v>
      </c>
      <c r="M128" s="15" t="str">
        <f>VLOOKUP(A128,sinap!$A$2:$R$9000,5,FALSE)</f>
        <v>14 años 3 meses</v>
      </c>
      <c r="N128" s="15" t="str">
        <f>VLOOKUP(A128,sinap!$A$2:$R$9000,6,FALSE)</f>
        <v>30-09-2011</v>
      </c>
      <c r="O128" s="15" t="str">
        <f>VLOOKUP(A128,sinap!$A$2:$R$9000,7,FALSE)</f>
        <v>Vivo</v>
      </c>
      <c r="P128" s="15" t="str">
        <f>VLOOKUP(A128,sinap!$A$2:$R$9000,8,FALSE)</f>
        <v>11.1.01.1241</v>
      </c>
      <c r="Q128" s="15" t="str">
        <f>VLOOKUP(A128,sinap!$A$2:$R$9000,12,FALSE)</f>
        <v>11.2.01.0038</v>
      </c>
      <c r="R128" s="15" t="str">
        <f>VLOOKUP(A128,sinap!$A$2:$R$9000,16,FALSE)</f>
        <v>11.1.01.1241</v>
      </c>
      <c r="S128" s="15" t="str">
        <f>VLOOKUP(A128,sinap!$A$2:$Y$9000,20,FALSE)</f>
        <v>SI</v>
      </c>
    </row>
    <row r="129" spans="1:19" s="16" customFormat="1" hidden="1" x14ac:dyDescent="0.25">
      <c r="A129" s="15">
        <v>8092111</v>
      </c>
      <c r="B129" s="15"/>
      <c r="C129" s="15"/>
      <c r="E129" s="16">
        <v>44497</v>
      </c>
      <c r="F129" s="16">
        <v>44912</v>
      </c>
      <c r="G129" s="16">
        <v>45253</v>
      </c>
      <c r="J129" s="15" t="str">
        <f>VLOOKUP(A129,sinap!$A$2:$R$9000,2,FALSE)</f>
        <v>H</v>
      </c>
      <c r="K129" s="15" t="str">
        <f>VLOOKUP(A129,sinap!$A$2:$R$9000,3,FALSE)</f>
        <v>VACA</v>
      </c>
      <c r="L129" s="15" t="str">
        <f>VLOOKUP(A129,sinap!$A$2:$R$9000,4,FALSE)</f>
        <v>ANGUS ROJO</v>
      </c>
      <c r="M129" s="15" t="str">
        <f>VLOOKUP(A129,sinap!$A$2:$R$9000,5,FALSE)</f>
        <v>14 años 3 meses</v>
      </c>
      <c r="N129" s="15" t="str">
        <f>VLOOKUP(A129,sinap!$A$2:$R$9000,6,FALSE)</f>
        <v>30-09-2011</v>
      </c>
      <c r="O129" s="15" t="str">
        <f>VLOOKUP(A129,sinap!$A$2:$R$9000,7,FALSE)</f>
        <v>Vivo</v>
      </c>
      <c r="P129" s="15" t="str">
        <f>VLOOKUP(A129,sinap!$A$2:$R$9000,8,FALSE)</f>
        <v>11.2.01.0038</v>
      </c>
      <c r="Q129" s="15" t="str">
        <f>VLOOKUP(A129,sinap!$A$2:$R$9000,12,FALSE)</f>
        <v>11.1.01.0791</v>
      </c>
      <c r="R129" s="15" t="str">
        <f>VLOOKUP(A129,sinap!$A$2:$R$9000,16,FALSE)</f>
        <v>11.1.01.1241</v>
      </c>
      <c r="S129" s="15" t="str">
        <f>VLOOKUP(A129,sinap!$A$2:$Y$9000,20,FALSE)</f>
        <v>SI</v>
      </c>
    </row>
    <row r="130" spans="1:19" s="16" customFormat="1" hidden="1" x14ac:dyDescent="0.25">
      <c r="A130" s="15">
        <v>8092113</v>
      </c>
      <c r="B130" s="15"/>
      <c r="C130" s="15"/>
      <c r="E130" s="16">
        <v>44491</v>
      </c>
      <c r="J130" s="15" t="str">
        <f>VLOOKUP(A130,sinap!$A$2:$R$9000,2,FALSE)</f>
        <v>H</v>
      </c>
      <c r="K130" s="15" t="str">
        <f>VLOOKUP(A130,sinap!$A$2:$R$9000,3,FALSE)</f>
        <v>VACA</v>
      </c>
      <c r="L130" s="15" t="str">
        <f>VLOOKUP(A130,sinap!$A$2:$R$9000,4,FALSE)</f>
        <v>HEREFORD</v>
      </c>
      <c r="M130" s="15" t="str">
        <f>VLOOKUP(A130,sinap!$A$2:$R$9000,5,FALSE)</f>
        <v>14 años 2 meses</v>
      </c>
      <c r="N130" s="15" t="str">
        <f>VLOOKUP(A130,sinap!$A$2:$R$9000,6,FALSE)</f>
        <v>30-10-2011</v>
      </c>
      <c r="O130" s="15" t="str">
        <f>VLOOKUP(A130,sinap!$A$2:$R$9000,7,FALSE)</f>
        <v>Vivo</v>
      </c>
      <c r="P130" s="15" t="str">
        <f>VLOOKUP(A130,sinap!$A$2:$R$9000,8,FALSE)</f>
        <v>11.1.01.1241</v>
      </c>
      <c r="Q130" s="15" t="str">
        <f>VLOOKUP(A130,sinap!$A$2:$R$9000,12,FALSE)</f>
        <v>11.1.01.0791</v>
      </c>
      <c r="R130" s="15" t="str">
        <f>VLOOKUP(A130,sinap!$A$2:$R$9000,16,FALSE)</f>
        <v>11.1.01.1241</v>
      </c>
      <c r="S130" s="15" t="str">
        <f>VLOOKUP(A130,sinap!$A$2:$Y$9000,20,FALSE)</f>
        <v>SI</v>
      </c>
    </row>
    <row r="131" spans="1:19" s="16" customFormat="1" hidden="1" x14ac:dyDescent="0.25">
      <c r="A131" s="15">
        <v>8092114</v>
      </c>
      <c r="B131" s="15"/>
      <c r="C131" s="15"/>
      <c r="E131" s="16">
        <v>44497</v>
      </c>
      <c r="F131" s="16">
        <v>44868</v>
      </c>
      <c r="G131" s="16">
        <v>45258</v>
      </c>
      <c r="J131" s="15" t="str">
        <f>VLOOKUP(A131,sinap!$A$2:$R$9000,2,FALSE)</f>
        <v>H</v>
      </c>
      <c r="K131" s="15" t="str">
        <f>VLOOKUP(A131,sinap!$A$2:$R$9000,3,FALSE)</f>
        <v>VACA</v>
      </c>
      <c r="L131" s="15" t="str">
        <f>VLOOKUP(A131,sinap!$A$2:$R$9000,4,FALSE)</f>
        <v>ANGUS NEGRO</v>
      </c>
      <c r="M131" s="15" t="str">
        <f>VLOOKUP(A131,sinap!$A$2:$R$9000,5,FALSE)</f>
        <v>13 años 10 meses</v>
      </c>
      <c r="N131" s="15" t="str">
        <f>VLOOKUP(A131,sinap!$A$2:$R$9000,6,FALSE)</f>
        <v>28-02-2012</v>
      </c>
      <c r="O131" s="15" t="str">
        <f>VLOOKUP(A131,sinap!$A$2:$R$9000,7,FALSE)</f>
        <v>Vivo</v>
      </c>
      <c r="P131" s="15" t="str">
        <f>VLOOKUP(A131,sinap!$A$2:$R$9000,8,FALSE)</f>
        <v>11.2.01.0038</v>
      </c>
      <c r="Q131" s="15" t="str">
        <f>VLOOKUP(A131,sinap!$A$2:$R$9000,12,FALSE)</f>
        <v>11.1.01.0791</v>
      </c>
      <c r="R131" s="15" t="str">
        <f>VLOOKUP(A131,sinap!$A$2:$R$9000,16,FALSE)</f>
        <v>11.1.01.1241</v>
      </c>
      <c r="S131" s="15" t="str">
        <f>VLOOKUP(A131,sinap!$A$2:$Y$9000,20,FALSE)</f>
        <v>SI</v>
      </c>
    </row>
    <row r="132" spans="1:19" s="16" customFormat="1" hidden="1" x14ac:dyDescent="0.25">
      <c r="A132" s="15">
        <v>8092115</v>
      </c>
      <c r="B132" s="15"/>
      <c r="C132" s="15"/>
      <c r="D132" s="16">
        <v>44052</v>
      </c>
      <c r="E132" s="16">
        <v>44385</v>
      </c>
      <c r="F132" s="16">
        <v>44908</v>
      </c>
      <c r="G132" s="16">
        <v>45265</v>
      </c>
      <c r="J132" s="15" t="str">
        <f>VLOOKUP(A132,sinap!$A$2:$R$9000,2,FALSE)</f>
        <v>H</v>
      </c>
      <c r="K132" s="15" t="str">
        <f>VLOOKUP(A132,sinap!$A$2:$R$9000,3,FALSE)</f>
        <v>VACA</v>
      </c>
      <c r="L132" s="15" t="str">
        <f>VLOOKUP(A132,sinap!$A$2:$R$9000,4,FALSE)</f>
        <v>ANGUS NEGRO</v>
      </c>
      <c r="M132" s="15" t="str">
        <f>VLOOKUP(A132,sinap!$A$2:$R$9000,5,FALSE)</f>
        <v>14 años 3 meses</v>
      </c>
      <c r="N132" s="15" t="str">
        <f>VLOOKUP(A132,sinap!$A$2:$R$9000,6,FALSE)</f>
        <v>30-09-2011</v>
      </c>
      <c r="O132" s="15" t="str">
        <f>VLOOKUP(A132,sinap!$A$2:$R$9000,7,FALSE)</f>
        <v>Vivo</v>
      </c>
      <c r="P132" s="15" t="str">
        <f>VLOOKUP(A132,sinap!$A$2:$R$9000,8,FALSE)</f>
        <v>11.1.01.1241</v>
      </c>
      <c r="Q132" s="15" t="str">
        <f>VLOOKUP(A132,sinap!$A$2:$R$9000,12,FALSE)</f>
        <v>11.2.01.0038</v>
      </c>
      <c r="R132" s="15" t="str">
        <f>VLOOKUP(A132,sinap!$A$2:$R$9000,16,FALSE)</f>
        <v>11.1.01.1241</v>
      </c>
      <c r="S132" s="15" t="str">
        <f>VLOOKUP(A132,sinap!$A$2:$Y$9000,20,FALSE)</f>
        <v>SI</v>
      </c>
    </row>
    <row r="133" spans="1:19" s="16" customFormat="1" hidden="1" x14ac:dyDescent="0.25">
      <c r="A133" s="15">
        <v>8092117</v>
      </c>
      <c r="B133" s="15"/>
      <c r="C133" s="15"/>
      <c r="D133" s="16">
        <v>44052</v>
      </c>
      <c r="E133" s="16">
        <v>44385</v>
      </c>
      <c r="F133" s="16">
        <v>44867</v>
      </c>
      <c r="G133" s="16">
        <v>45253</v>
      </c>
      <c r="H133" s="16">
        <v>45648</v>
      </c>
      <c r="I133" s="16">
        <v>45966</v>
      </c>
      <c r="J133" s="15" t="str">
        <f>VLOOKUP(A133,sinap!$A$2:$R$9000,2,FALSE)</f>
        <v>H</v>
      </c>
      <c r="K133" s="15" t="str">
        <f>VLOOKUP(A133,sinap!$A$2:$R$9000,3,FALSE)</f>
        <v>VACA</v>
      </c>
      <c r="L133" s="15" t="str">
        <f>VLOOKUP(A133,sinap!$A$2:$R$9000,4,FALSE)</f>
        <v>ANGUS NEGRO</v>
      </c>
      <c r="M133" s="15" t="str">
        <f>VLOOKUP(A133,sinap!$A$2:$R$9000,5,FALSE)</f>
        <v>14 años 2 meses</v>
      </c>
      <c r="N133" s="15" t="str">
        <f>VLOOKUP(A133,sinap!$A$2:$R$9000,6,FALSE)</f>
        <v>30-10-2011</v>
      </c>
      <c r="O133" s="15" t="str">
        <f>VLOOKUP(A133,sinap!$A$2:$R$9000,7,FALSE)</f>
        <v>Vivo</v>
      </c>
      <c r="P133" s="15" t="str">
        <f>VLOOKUP(A133,sinap!$A$2:$R$9000,8,FALSE)</f>
        <v>11.1.01.0941</v>
      </c>
      <c r="Q133" s="15" t="str">
        <f>VLOOKUP(A133,sinap!$A$2:$R$9000,12,FALSE)</f>
        <v>11.1.01.1241</v>
      </c>
      <c r="R133" s="15" t="str">
        <f>VLOOKUP(A133,sinap!$A$2:$R$9000,16,FALSE)</f>
        <v>11.1.01.1241</v>
      </c>
      <c r="S133" s="15" t="str">
        <f>VLOOKUP(A133,sinap!$A$2:$Y$9000,20,FALSE)</f>
        <v>SI</v>
      </c>
    </row>
    <row r="134" spans="1:19" s="16" customFormat="1" x14ac:dyDescent="0.25">
      <c r="A134" s="15">
        <v>8092128</v>
      </c>
      <c r="B134" s="15"/>
      <c r="C134" s="15"/>
      <c r="D134" s="16">
        <v>44144</v>
      </c>
      <c r="E134" s="16">
        <v>44504</v>
      </c>
      <c r="F134" s="16">
        <v>44883</v>
      </c>
      <c r="G134" s="16">
        <v>45253</v>
      </c>
      <c r="J134" s="15" t="str">
        <f>VLOOKUP(A134,sinap!$A$2:$R$9000,2,FALSE)</f>
        <v>H</v>
      </c>
      <c r="K134" s="15" t="str">
        <f>VLOOKUP(A134,sinap!$A$2:$R$9000,3,FALSE)</f>
        <v>VACA</v>
      </c>
      <c r="L134" s="15" t="str">
        <f>VLOOKUP(A134,sinap!$A$2:$R$9000,4,FALSE)</f>
        <v>OVERO COLORADO (CLAVEL ALEMAN)</v>
      </c>
      <c r="M134" s="15" t="str">
        <f>VLOOKUP(A134,sinap!$A$2:$R$9000,5,FALSE)</f>
        <v>14 años 2 meses</v>
      </c>
      <c r="N134" s="15" t="str">
        <f>VLOOKUP(A134,sinap!$A$2:$R$9000,6,FALSE)</f>
        <v>30-10-2011</v>
      </c>
      <c r="O134" s="15" t="str">
        <f>VLOOKUP(A134,sinap!$A$2:$R$9000,7,FALSE)</f>
        <v>Vivo</v>
      </c>
      <c r="P134" s="15" t="str">
        <f>VLOOKUP(A134,sinap!$A$2:$R$9000,8,FALSE)</f>
        <v>11.1.01.1241</v>
      </c>
      <c r="Q134" s="15" t="str">
        <f>VLOOKUP(A134,sinap!$A$2:$R$9000,12,FALSE)</f>
        <v>11.2.01.0038</v>
      </c>
      <c r="R134" s="15" t="str">
        <f>VLOOKUP(A134,sinap!$A$2:$R$9000,16,FALSE)</f>
        <v>11.1.01.1241</v>
      </c>
      <c r="S134" s="15" t="str">
        <f>VLOOKUP(A134,sinap!$A$2:$Y$9000,20,FALSE)</f>
        <v>SI</v>
      </c>
    </row>
    <row r="135" spans="1:19" s="16" customFormat="1" x14ac:dyDescent="0.25">
      <c r="A135" s="15">
        <v>8092171</v>
      </c>
      <c r="B135" s="15"/>
      <c r="C135" s="15"/>
      <c r="D135" s="16">
        <v>44144</v>
      </c>
      <c r="F135" s="16">
        <v>44908</v>
      </c>
      <c r="G135" s="16">
        <v>45265</v>
      </c>
      <c r="J135" s="15" t="str">
        <f>VLOOKUP(A135,sinap!$A$2:$R$9000,2,FALSE)</f>
        <v>H</v>
      </c>
      <c r="K135" s="15" t="str">
        <f>VLOOKUP(A135,sinap!$A$2:$R$9000,3,FALSE)</f>
        <v>VACA</v>
      </c>
      <c r="L135" s="15" t="str">
        <f>VLOOKUP(A135,sinap!$A$2:$R$9000,4,FALSE)</f>
        <v>OVERO COLORADO (CLAVEL ALEMAN)</v>
      </c>
      <c r="M135" s="15" t="str">
        <f>VLOOKUP(A135,sinap!$A$2:$R$9000,5,FALSE)</f>
        <v>14 años 2 meses</v>
      </c>
      <c r="N135" s="15" t="str">
        <f>VLOOKUP(A135,sinap!$A$2:$R$9000,6,FALSE)</f>
        <v>30-10-2011</v>
      </c>
      <c r="O135" s="15" t="str">
        <f>VLOOKUP(A135,sinap!$A$2:$R$9000,7,FALSE)</f>
        <v>Vivo</v>
      </c>
      <c r="P135" s="15" t="str">
        <f>VLOOKUP(A135,sinap!$A$2:$R$9000,8,FALSE)</f>
        <v>11.1.01.1241</v>
      </c>
      <c r="Q135" s="15" t="str">
        <f>VLOOKUP(A135,sinap!$A$2:$R$9000,12,FALSE)</f>
        <v>11.2.01.0053</v>
      </c>
      <c r="R135" s="15" t="str">
        <f>VLOOKUP(A135,sinap!$A$2:$R$9000,16,FALSE)</f>
        <v>11.1.01.1241</v>
      </c>
      <c r="S135" s="15" t="str">
        <f>VLOOKUP(A135,sinap!$A$2:$Y$9000,20,FALSE)</f>
        <v>SI</v>
      </c>
    </row>
    <row r="136" spans="1:19" s="16" customFormat="1" x14ac:dyDescent="0.25">
      <c r="A136" s="15">
        <v>8092178</v>
      </c>
      <c r="B136" s="15"/>
      <c r="C136" s="15"/>
      <c r="D136" s="16">
        <v>44144</v>
      </c>
      <c r="F136" s="16">
        <v>44912</v>
      </c>
      <c r="G136" s="16">
        <v>45258</v>
      </c>
      <c r="J136" s="15" t="str">
        <f>VLOOKUP(A136,sinap!$A$2:$R$9000,2,FALSE)</f>
        <v>H</v>
      </c>
      <c r="K136" s="15" t="str">
        <f>VLOOKUP(A136,sinap!$A$2:$R$9000,3,FALSE)</f>
        <v>VACA</v>
      </c>
      <c r="L136" s="15" t="str">
        <f>VLOOKUP(A136,sinap!$A$2:$R$9000,4,FALSE)</f>
        <v>OVERO COLORADO (CLAVEL ALEMAN)</v>
      </c>
      <c r="M136" s="15" t="str">
        <f>VLOOKUP(A136,sinap!$A$2:$R$9000,5,FALSE)</f>
        <v>13 años 11 meses</v>
      </c>
      <c r="N136" s="15" t="str">
        <f>VLOOKUP(A136,sinap!$A$2:$R$9000,6,FALSE)</f>
        <v>30-01-2012</v>
      </c>
      <c r="O136" s="15" t="str">
        <f>VLOOKUP(A136,sinap!$A$2:$R$9000,7,FALSE)</f>
        <v>Vivo</v>
      </c>
      <c r="P136" s="15" t="str">
        <f>VLOOKUP(A136,sinap!$A$2:$R$9000,8,FALSE)</f>
        <v>11.2.01.0038</v>
      </c>
      <c r="Q136" s="15" t="str">
        <f>VLOOKUP(A136,sinap!$A$2:$R$9000,12,FALSE)</f>
        <v>11.1.01.1241</v>
      </c>
      <c r="R136" s="15" t="str">
        <f>VLOOKUP(A136,sinap!$A$2:$R$9000,16,FALSE)</f>
        <v>11.1.01.1241</v>
      </c>
      <c r="S136" s="15" t="str">
        <f>VLOOKUP(A136,sinap!$A$2:$Y$9000,20,FALSE)</f>
        <v>SI</v>
      </c>
    </row>
    <row r="137" spans="1:19" s="16" customFormat="1" hidden="1" x14ac:dyDescent="0.25">
      <c r="A137" s="15">
        <v>8092235</v>
      </c>
      <c r="B137" s="15"/>
      <c r="C137" s="15"/>
      <c r="E137" s="16">
        <v>44489</v>
      </c>
      <c r="F137" s="16">
        <v>44908</v>
      </c>
      <c r="G137" s="16">
        <v>45265</v>
      </c>
      <c r="J137" s="15" t="str">
        <f>VLOOKUP(A137,sinap!$A$2:$R$9000,2,FALSE)</f>
        <v>H</v>
      </c>
      <c r="K137" s="15" t="str">
        <f>VLOOKUP(A137,sinap!$A$2:$R$9000,3,FALSE)</f>
        <v>VACA</v>
      </c>
      <c r="L137" s="15" t="str">
        <f>VLOOKUP(A137,sinap!$A$2:$R$9000,4,FALSE)</f>
        <v>HEREFORD</v>
      </c>
      <c r="M137" s="15" t="str">
        <f>VLOOKUP(A137,sinap!$A$2:$R$9000,5,FALSE)</f>
        <v>14 años 3 meses</v>
      </c>
      <c r="N137" s="15" t="str">
        <f>VLOOKUP(A137,sinap!$A$2:$R$9000,6,FALSE)</f>
        <v>30-09-2011</v>
      </c>
      <c r="O137" s="15" t="str">
        <f>VLOOKUP(A137,sinap!$A$2:$R$9000,7,FALSE)</f>
        <v>Vivo</v>
      </c>
      <c r="P137" s="15" t="str">
        <f>VLOOKUP(A137,sinap!$A$2:$R$9000,8,FALSE)</f>
        <v>11.1.01.1241</v>
      </c>
      <c r="Q137" s="15" t="str">
        <f>VLOOKUP(A137,sinap!$A$2:$R$9000,12,FALSE)</f>
        <v>11.1.01.1022</v>
      </c>
      <c r="R137" s="15" t="str">
        <f>VLOOKUP(A137,sinap!$A$2:$R$9000,16,FALSE)</f>
        <v>11.1.01.0790</v>
      </c>
      <c r="S137" s="15" t="str">
        <f>VLOOKUP(A137,sinap!$A$2:$Y$9000,20,FALSE)</f>
        <v>SI</v>
      </c>
    </row>
    <row r="138" spans="1:19" s="16" customFormat="1" hidden="1" x14ac:dyDescent="0.25">
      <c r="A138" s="15">
        <v>8092237</v>
      </c>
      <c r="B138" s="15"/>
      <c r="C138" s="15"/>
      <c r="E138" s="16">
        <v>44489</v>
      </c>
      <c r="F138" s="16">
        <v>44708</v>
      </c>
      <c r="G138" s="16">
        <v>45265</v>
      </c>
      <c r="J138" s="15" t="str">
        <f>VLOOKUP(A138,sinap!$A$2:$R$9000,2,FALSE)</f>
        <v>H</v>
      </c>
      <c r="K138" s="15" t="str">
        <f>VLOOKUP(A138,sinap!$A$2:$R$9000,3,FALSE)</f>
        <v>VACA</v>
      </c>
      <c r="L138" s="15" t="str">
        <f>VLOOKUP(A138,sinap!$A$2:$R$9000,4,FALSE)</f>
        <v>OVERO COLORADO (CLAVEL ALEMAN)</v>
      </c>
      <c r="M138" s="15" t="str">
        <f>VLOOKUP(A138,sinap!$A$2:$R$9000,5,FALSE)</f>
        <v>14 años 3 meses</v>
      </c>
      <c r="N138" s="15" t="str">
        <f>VLOOKUP(A138,sinap!$A$2:$R$9000,6,FALSE)</f>
        <v>30-09-2011</v>
      </c>
      <c r="O138" s="15" t="str">
        <f>VLOOKUP(A138,sinap!$A$2:$R$9000,7,FALSE)</f>
        <v>Vivo</v>
      </c>
      <c r="P138" s="15" t="str">
        <f>VLOOKUP(A138,sinap!$A$2:$R$9000,8,FALSE)</f>
        <v>11.1.01.1241</v>
      </c>
      <c r="Q138" s="15" t="str">
        <f>VLOOKUP(A138,sinap!$A$2:$R$9000,12,FALSE)</f>
        <v>11.1.01.0791</v>
      </c>
      <c r="R138" s="15" t="str">
        <f>VLOOKUP(A138,sinap!$A$2:$R$9000,16,FALSE)</f>
        <v>11.1.01.0790</v>
      </c>
      <c r="S138" s="15" t="str">
        <f>VLOOKUP(A138,sinap!$A$2:$Y$9000,20,FALSE)</f>
        <v>SI</v>
      </c>
    </row>
    <row r="139" spans="1:19" s="16" customFormat="1" hidden="1" x14ac:dyDescent="0.25">
      <c r="A139" s="15">
        <v>8092272</v>
      </c>
      <c r="B139" s="15"/>
      <c r="C139" s="15"/>
      <c r="E139" s="16">
        <v>44489</v>
      </c>
      <c r="F139" s="16">
        <v>44708</v>
      </c>
      <c r="G139" s="16">
        <v>45265</v>
      </c>
      <c r="J139" s="15" t="str">
        <f>VLOOKUP(A139,sinap!$A$2:$R$9000,2,FALSE)</f>
        <v>M</v>
      </c>
      <c r="K139" s="15" t="str">
        <f>VLOOKUP(A139,sinap!$A$2:$R$9000,3,FALSE)</f>
        <v>TORO</v>
      </c>
      <c r="L139" s="15" t="str">
        <f>VLOOKUP(A139,sinap!$A$2:$R$9000,4,FALSE)</f>
        <v>OVERO COLORADO (CLAVEL ALEMAN)</v>
      </c>
      <c r="M139" s="15" t="str">
        <f>VLOOKUP(A139,sinap!$A$2:$R$9000,5,FALSE)</f>
        <v>15 años 2 meses</v>
      </c>
      <c r="N139" s="15" t="str">
        <f>VLOOKUP(A139,sinap!$A$2:$R$9000,6,FALSE)</f>
        <v>30-10-2010</v>
      </c>
      <c r="O139" s="15" t="str">
        <f>VLOOKUP(A139,sinap!$A$2:$R$9000,7,FALSE)</f>
        <v>Vivo</v>
      </c>
      <c r="P139" s="15" t="str">
        <f>VLOOKUP(A139,sinap!$A$2:$R$9000,8,FALSE)</f>
        <v>11.1.01.1241</v>
      </c>
      <c r="Q139" s="15" t="str">
        <f>VLOOKUP(A139,sinap!$A$2:$R$9000,12,FALSE)</f>
        <v>11.2.01.2071</v>
      </c>
      <c r="R139" s="15" t="str">
        <f>VLOOKUP(A139,sinap!$A$2:$R$9000,16,FALSE)</f>
        <v>11.1.01.1241</v>
      </c>
      <c r="S139" s="15" t="str">
        <f>VLOOKUP(A139,sinap!$A$2:$Y$9000,20,FALSE)</f>
        <v>SI</v>
      </c>
    </row>
    <row r="140" spans="1:19" s="16" customFormat="1" hidden="1" x14ac:dyDescent="0.25">
      <c r="A140" s="15">
        <v>8092273</v>
      </c>
      <c r="B140" s="15"/>
      <c r="C140" s="15"/>
      <c r="E140" s="16">
        <v>44489</v>
      </c>
      <c r="F140" s="16">
        <v>44708</v>
      </c>
      <c r="G140" s="16">
        <v>45253</v>
      </c>
      <c r="J140" s="15" t="str">
        <f>VLOOKUP(A140,sinap!$A$2:$R$9000,2,FALSE)</f>
        <v>M</v>
      </c>
      <c r="K140" s="15" t="str">
        <f>VLOOKUP(A140,sinap!$A$2:$R$9000,3,FALSE)</f>
        <v>TORO</v>
      </c>
      <c r="L140" s="15" t="str">
        <f>VLOOKUP(A140,sinap!$A$2:$R$9000,4,FALSE)</f>
        <v>OVERO COLORADO (CLAVEL ALEMAN)</v>
      </c>
      <c r="M140" s="15" t="str">
        <f>VLOOKUP(A140,sinap!$A$2:$R$9000,5,FALSE)</f>
        <v>15 años 2 meses</v>
      </c>
      <c r="N140" s="15" t="str">
        <f>VLOOKUP(A140,sinap!$A$2:$R$9000,6,FALSE)</f>
        <v>30-10-2010</v>
      </c>
      <c r="O140" s="15" t="str">
        <f>VLOOKUP(A140,sinap!$A$2:$R$9000,7,FALSE)</f>
        <v>Vivo</v>
      </c>
      <c r="P140" s="15" t="str">
        <f>VLOOKUP(A140,sinap!$A$2:$R$9000,8,FALSE)</f>
        <v>11.1.01.1241</v>
      </c>
      <c r="Q140" s="15" t="str">
        <f>VLOOKUP(A140,sinap!$A$2:$R$9000,12,FALSE)</f>
        <v>11.2.01.2071</v>
      </c>
      <c r="R140" s="15" t="str">
        <f>VLOOKUP(A140,sinap!$A$2:$R$9000,16,FALSE)</f>
        <v>11.1.01.1241</v>
      </c>
      <c r="S140" s="15" t="str">
        <f>VLOOKUP(A140,sinap!$A$2:$Y$9000,20,FALSE)</f>
        <v>SI</v>
      </c>
    </row>
    <row r="141" spans="1:19" s="16" customFormat="1" hidden="1" x14ac:dyDescent="0.25">
      <c r="A141" s="15">
        <v>8092284</v>
      </c>
      <c r="B141" s="15"/>
      <c r="C141" s="15"/>
      <c r="H141" s="16">
        <v>45648</v>
      </c>
      <c r="J141" s="15" t="str">
        <f>VLOOKUP(A141,sinap!$A$2:$R$9000,2,FALSE)</f>
        <v>H</v>
      </c>
      <c r="K141" s="15" t="str">
        <f>VLOOKUP(A141,sinap!$A$2:$R$9000,3,FALSE)</f>
        <v>VACA</v>
      </c>
      <c r="L141" s="15" t="str">
        <f>VLOOKUP(A141,sinap!$A$2:$R$9000,4,FALSE)</f>
        <v>ANGUS ROJO</v>
      </c>
      <c r="M141" s="15" t="str">
        <f>VLOOKUP(A141,sinap!$A$2:$R$9000,5,FALSE)</f>
        <v>14 años 1 meses</v>
      </c>
      <c r="N141" s="15" t="str">
        <f>VLOOKUP(A141,sinap!$A$2:$R$9000,6,FALSE)</f>
        <v>30-11-2011</v>
      </c>
      <c r="O141" s="15" t="str">
        <f>VLOOKUP(A141,sinap!$A$2:$R$9000,7,FALSE)</f>
        <v>Vivo</v>
      </c>
      <c r="P141" s="15" t="str">
        <f>VLOOKUP(A141,sinap!$A$2:$R$9000,8,FALSE)</f>
        <v>11.1.01.1241</v>
      </c>
      <c r="Q141" s="15" t="str">
        <f>VLOOKUP(A141,sinap!$A$2:$R$9000,12,FALSE)</f>
        <v>11.2.01.0038</v>
      </c>
      <c r="R141" s="15" t="str">
        <f>VLOOKUP(A141,sinap!$A$2:$R$9000,16,FALSE)</f>
        <v>11.1.01.1241</v>
      </c>
      <c r="S141" s="15" t="str">
        <f>VLOOKUP(A141,sinap!$A$2:$Y$9000,20,FALSE)</f>
        <v>SI</v>
      </c>
    </row>
    <row r="142" spans="1:19" s="16" customFormat="1" hidden="1" x14ac:dyDescent="0.25">
      <c r="A142" s="15">
        <v>8092285</v>
      </c>
      <c r="B142" s="15"/>
      <c r="C142" s="15"/>
      <c r="E142" s="16">
        <v>44489</v>
      </c>
      <c r="F142" s="16">
        <v>44908</v>
      </c>
      <c r="G142" s="16">
        <v>45265</v>
      </c>
      <c r="J142" s="15" t="str">
        <f>VLOOKUP(A142,sinap!$A$2:$R$9000,2,FALSE)</f>
        <v>H</v>
      </c>
      <c r="K142" s="15" t="str">
        <f>VLOOKUP(A142,sinap!$A$2:$R$9000,3,FALSE)</f>
        <v>VACA</v>
      </c>
      <c r="L142" s="15" t="str">
        <f>VLOOKUP(A142,sinap!$A$2:$R$9000,4,FALSE)</f>
        <v>ANGUS NEGRO</v>
      </c>
      <c r="M142" s="15" t="str">
        <f>VLOOKUP(A142,sinap!$A$2:$R$9000,5,FALSE)</f>
        <v>14 años 1 meses</v>
      </c>
      <c r="N142" s="15" t="str">
        <f>VLOOKUP(A142,sinap!$A$2:$R$9000,6,FALSE)</f>
        <v>30-11-2011</v>
      </c>
      <c r="O142" s="15" t="str">
        <f>VLOOKUP(A142,sinap!$A$2:$R$9000,7,FALSE)</f>
        <v>Vivo</v>
      </c>
      <c r="P142" s="15" t="str">
        <f>VLOOKUP(A142,sinap!$A$2:$R$9000,8,FALSE)</f>
        <v>11.1.01.0893</v>
      </c>
      <c r="Q142" s="15" t="str">
        <f>VLOOKUP(A142,sinap!$A$2:$R$9000,12,FALSE)</f>
        <v>11.1.01.1241</v>
      </c>
      <c r="R142" s="15" t="str">
        <f>VLOOKUP(A142,sinap!$A$2:$R$9000,16,FALSE)</f>
        <v>11.1.01.1241</v>
      </c>
      <c r="S142" s="15" t="str">
        <f>VLOOKUP(A142,sinap!$A$2:$Y$9000,20,FALSE)</f>
        <v>SI</v>
      </c>
    </row>
    <row r="143" spans="1:19" s="16" customFormat="1" hidden="1" x14ac:dyDescent="0.25">
      <c r="A143" s="15">
        <v>8092291</v>
      </c>
      <c r="B143" s="15"/>
      <c r="C143" s="15"/>
      <c r="E143" s="16">
        <v>44489</v>
      </c>
      <c r="F143" s="16">
        <v>44908</v>
      </c>
      <c r="G143" s="16">
        <v>45265</v>
      </c>
      <c r="J143" s="15" t="str">
        <f>VLOOKUP(A143,sinap!$A$2:$R$9000,2,FALSE)</f>
        <v>H</v>
      </c>
      <c r="K143" s="15" t="str">
        <f>VLOOKUP(A143,sinap!$A$2:$R$9000,3,FALSE)</f>
        <v>VACA</v>
      </c>
      <c r="L143" s="15" t="str">
        <f>VLOOKUP(A143,sinap!$A$2:$R$9000,4,FALSE)</f>
        <v>OVERO COLORADO (CLAVEL ALEMAN)</v>
      </c>
      <c r="M143" s="15" t="str">
        <f>VLOOKUP(A143,sinap!$A$2:$R$9000,5,FALSE)</f>
        <v>13 años 9 meses</v>
      </c>
      <c r="N143" s="15" t="str">
        <f>VLOOKUP(A143,sinap!$A$2:$R$9000,6,FALSE)</f>
        <v>30-03-2012</v>
      </c>
      <c r="O143" s="15" t="str">
        <f>VLOOKUP(A143,sinap!$A$2:$R$9000,7,FALSE)</f>
        <v>Vivo</v>
      </c>
      <c r="P143" s="15" t="str">
        <f>VLOOKUP(A143,sinap!$A$2:$R$9000,8,FALSE)</f>
        <v>11.2.01.0038</v>
      </c>
      <c r="Q143" s="15" t="str">
        <f>VLOOKUP(A143,sinap!$A$2:$R$9000,12,FALSE)</f>
        <v>11.1.01.1241</v>
      </c>
      <c r="R143" s="15" t="str">
        <f>VLOOKUP(A143,sinap!$A$2:$R$9000,16,FALSE)</f>
        <v>11.1.01.1241</v>
      </c>
      <c r="S143" s="15" t="str">
        <f>VLOOKUP(A143,sinap!$A$2:$Y$9000,20,FALSE)</f>
        <v>SI</v>
      </c>
    </row>
    <row r="144" spans="1:19" s="16" customFormat="1" hidden="1" x14ac:dyDescent="0.25">
      <c r="A144" s="15">
        <v>8092294</v>
      </c>
      <c r="B144" s="15"/>
      <c r="C144" s="15"/>
      <c r="J144" s="15" t="str">
        <f>VLOOKUP(A144,sinap!$A$2:$R$9000,2,FALSE)</f>
        <v>H</v>
      </c>
      <c r="K144" s="15" t="str">
        <f>VLOOKUP(A144,sinap!$A$2:$R$9000,3,FALSE)</f>
        <v>VACA</v>
      </c>
      <c r="L144" s="15" t="str">
        <f>VLOOKUP(A144,sinap!$A$2:$R$9000,4,FALSE)</f>
        <v>ANGUS NEGRO</v>
      </c>
      <c r="M144" s="15" t="str">
        <f>VLOOKUP(A144,sinap!$A$2:$R$9000,5,FALSE)</f>
        <v>13 años 11 meses</v>
      </c>
      <c r="N144" s="15" t="str">
        <f>VLOOKUP(A144,sinap!$A$2:$R$9000,6,FALSE)</f>
        <v>30-01-2012</v>
      </c>
      <c r="O144" s="15" t="str">
        <f>VLOOKUP(A144,sinap!$A$2:$R$9000,7,FALSE)</f>
        <v>Vivo</v>
      </c>
      <c r="P144" s="15" t="str">
        <f>VLOOKUP(A144,sinap!$A$2:$R$9000,8,FALSE)</f>
        <v>11.1.01.1241</v>
      </c>
      <c r="Q144" s="15" t="str">
        <f>VLOOKUP(A144,sinap!$A$2:$R$9000,12,FALSE)</f>
        <v>11.2.01.0038</v>
      </c>
      <c r="R144" s="15" t="str">
        <f>VLOOKUP(A144,sinap!$A$2:$R$9000,16,FALSE)</f>
        <v>11.1.01.1241</v>
      </c>
      <c r="S144" s="15" t="str">
        <f>VLOOKUP(A144,sinap!$A$2:$Y$9000,20,FALSE)</f>
        <v>SI</v>
      </c>
    </row>
    <row r="145" spans="1:19" s="16" customFormat="1" hidden="1" x14ac:dyDescent="0.25">
      <c r="A145" s="15">
        <v>8092295</v>
      </c>
      <c r="B145" s="15"/>
      <c r="C145" s="15"/>
      <c r="J145" s="15" t="str">
        <f>VLOOKUP(A145,sinap!$A$2:$R$9000,2,FALSE)</f>
        <v>no existe</v>
      </c>
      <c r="K145" s="15" t="str">
        <f>VLOOKUP(A145,sinap!$A$2:$R$9000,3,FALSE)</f>
        <v>no existe</v>
      </c>
      <c r="L145" s="15" t="str">
        <f>VLOOKUP(A145,sinap!$A$2:$R$9000,4,FALSE)</f>
        <v>no existe</v>
      </c>
      <c r="M145" s="15" t="str">
        <f>VLOOKUP(A145,sinap!$A$2:$R$9000,5,FALSE)</f>
        <v>no existe</v>
      </c>
      <c r="N145" s="15" t="str">
        <f>VLOOKUP(A145,sinap!$A$2:$R$9000,6,FALSE)</f>
        <v>no existe</v>
      </c>
      <c r="O145" s="15" t="str">
        <f>VLOOKUP(A145,sinap!$A$2:$R$9000,7,FALSE)</f>
        <v>no existe</v>
      </c>
      <c r="P145" s="15" t="str">
        <f>VLOOKUP(A145,sinap!$A$2:$R$9000,8,FALSE)</f>
        <v>no existe</v>
      </c>
      <c r="Q145" s="15" t="str">
        <f>VLOOKUP(A145,sinap!$A$2:$R$9000,12,FALSE)</f>
        <v>no existe</v>
      </c>
      <c r="R145" s="15" t="str">
        <f>VLOOKUP(A145,sinap!$A$2:$R$9000,16,FALSE)</f>
        <v>no existe</v>
      </c>
      <c r="S145" s="15" t="str">
        <f>VLOOKUP(A145,sinap!$A$2:$Y$9000,20,FALSE)</f>
        <v>no existe</v>
      </c>
    </row>
    <row r="146" spans="1:19" s="16" customFormat="1" hidden="1" x14ac:dyDescent="0.25">
      <c r="A146" s="15">
        <v>8092298</v>
      </c>
      <c r="B146" s="15"/>
      <c r="C146" s="15"/>
      <c r="E146" s="16">
        <v>44489</v>
      </c>
      <c r="F146" s="16">
        <v>44708</v>
      </c>
      <c r="G146" s="16">
        <v>45265</v>
      </c>
      <c r="J146" s="15" t="str">
        <f>VLOOKUP(A146,sinap!$A$2:$R$9000,2,FALSE)</f>
        <v>no existe</v>
      </c>
      <c r="K146" s="15" t="str">
        <f>VLOOKUP(A146,sinap!$A$2:$R$9000,3,FALSE)</f>
        <v>no existe</v>
      </c>
      <c r="L146" s="15" t="str">
        <f>VLOOKUP(A146,sinap!$A$2:$R$9000,4,FALSE)</f>
        <v>no existe</v>
      </c>
      <c r="M146" s="15" t="str">
        <f>VLOOKUP(A146,sinap!$A$2:$R$9000,5,FALSE)</f>
        <v>no existe</v>
      </c>
      <c r="N146" s="15" t="str">
        <f>VLOOKUP(A146,sinap!$A$2:$R$9000,6,FALSE)</f>
        <v>no existe</v>
      </c>
      <c r="O146" s="15" t="str">
        <f>VLOOKUP(A146,sinap!$A$2:$R$9000,7,FALSE)</f>
        <v>no existe</v>
      </c>
      <c r="P146" s="15" t="str">
        <f>VLOOKUP(A146,sinap!$A$2:$R$9000,8,FALSE)</f>
        <v>no existe</v>
      </c>
      <c r="Q146" s="15" t="str">
        <f>VLOOKUP(A146,sinap!$A$2:$R$9000,12,FALSE)</f>
        <v>no existe</v>
      </c>
      <c r="R146" s="15" t="str">
        <f>VLOOKUP(A146,sinap!$A$2:$R$9000,16,FALSE)</f>
        <v>no existe</v>
      </c>
      <c r="S146" s="15" t="str">
        <f>VLOOKUP(A146,sinap!$A$2:$Y$9000,20,FALSE)</f>
        <v>no existe</v>
      </c>
    </row>
    <row r="147" spans="1:19" s="16" customFormat="1" hidden="1" x14ac:dyDescent="0.25">
      <c r="A147" s="15">
        <v>8092299</v>
      </c>
      <c r="B147" s="15"/>
      <c r="C147" s="15"/>
      <c r="E147" s="16">
        <v>44489</v>
      </c>
      <c r="F147" s="16">
        <v>44908</v>
      </c>
      <c r="G147" s="16">
        <v>45265</v>
      </c>
      <c r="J147" s="15" t="str">
        <f>VLOOKUP(A147,sinap!$A$2:$R$9000,2,FALSE)</f>
        <v>M</v>
      </c>
      <c r="K147" s="15" t="str">
        <f>VLOOKUP(A147,sinap!$A$2:$R$9000,3,FALSE)</f>
        <v>BUEY</v>
      </c>
      <c r="L147" s="15" t="str">
        <f>VLOOKUP(A147,sinap!$A$2:$R$9000,4,FALSE)</f>
        <v>ANGUS NEGRO</v>
      </c>
      <c r="M147" s="15" t="str">
        <f>VLOOKUP(A147,sinap!$A$2:$R$9000,5,FALSE)</f>
        <v>20 años 3 meses</v>
      </c>
      <c r="N147" s="15" t="str">
        <f>VLOOKUP(A147,sinap!$A$2:$R$9000,6,FALSE)</f>
        <v>15-10-2005</v>
      </c>
      <c r="O147" s="15" t="str">
        <f>VLOOKUP(A147,sinap!$A$2:$R$9000,7,FALSE)</f>
        <v>Vivo</v>
      </c>
      <c r="P147" s="15" t="str">
        <f>VLOOKUP(A147,sinap!$A$2:$R$9000,8,FALSE)</f>
        <v>11.1.01.1241</v>
      </c>
      <c r="Q147" s="15" t="str">
        <f>VLOOKUP(A147,sinap!$A$2:$R$9000,12,FALSE)</f>
        <v>11.2.01.2071</v>
      </c>
      <c r="R147" s="15" t="str">
        <f>VLOOKUP(A147,sinap!$A$2:$R$9000,16,FALSE)</f>
        <v>11.1.01.0290</v>
      </c>
      <c r="S147" s="15" t="str">
        <f>VLOOKUP(A147,sinap!$A$2:$Y$9000,20,FALSE)</f>
        <v>SI</v>
      </c>
    </row>
    <row r="148" spans="1:19" s="16" customFormat="1" hidden="1" x14ac:dyDescent="0.25">
      <c r="A148" s="15">
        <v>8092302</v>
      </c>
      <c r="B148" s="15"/>
      <c r="C148" s="15"/>
      <c r="E148" s="16">
        <v>44489</v>
      </c>
      <c r="F148" s="16">
        <v>44708</v>
      </c>
      <c r="G148" s="16">
        <v>45220</v>
      </c>
      <c r="J148" s="15" t="str">
        <f>VLOOKUP(A148,sinap!$A$2:$R$9000,2,FALSE)</f>
        <v>H</v>
      </c>
      <c r="K148" s="15" t="str">
        <f>VLOOKUP(A148,sinap!$A$2:$R$9000,3,FALSE)</f>
        <v>VACA</v>
      </c>
      <c r="L148" s="15" t="str">
        <f>VLOOKUP(A148,sinap!$A$2:$R$9000,4,FALSE)</f>
        <v>OVERO COLORADO (CLAVEL ALEMAN)</v>
      </c>
      <c r="M148" s="15" t="str">
        <f>VLOOKUP(A148,sinap!$A$2:$R$9000,5,FALSE)</f>
        <v>14 años 2 meses</v>
      </c>
      <c r="N148" s="15" t="str">
        <f>VLOOKUP(A148,sinap!$A$2:$R$9000,6,FALSE)</f>
        <v>30-10-2011</v>
      </c>
      <c r="O148" s="15" t="str">
        <f>VLOOKUP(A148,sinap!$A$2:$R$9000,7,FALSE)</f>
        <v>Vivo</v>
      </c>
      <c r="P148" s="15" t="str">
        <f>VLOOKUP(A148,sinap!$A$2:$R$9000,8,FALSE)</f>
        <v>11.2.01.0038</v>
      </c>
      <c r="Q148" s="15" t="str">
        <f>VLOOKUP(A148,sinap!$A$2:$R$9000,12,FALSE)</f>
        <v>11.1.01.0791</v>
      </c>
      <c r="R148" s="15" t="str">
        <f>VLOOKUP(A148,sinap!$A$2:$R$9000,16,FALSE)</f>
        <v>11.1.01.0790</v>
      </c>
      <c r="S148" s="15" t="str">
        <f>VLOOKUP(A148,sinap!$A$2:$Y$9000,20,FALSE)</f>
        <v>SI</v>
      </c>
    </row>
    <row r="149" spans="1:19" s="16" customFormat="1" hidden="1" x14ac:dyDescent="0.25">
      <c r="A149" s="15">
        <v>8092316</v>
      </c>
      <c r="B149" s="15"/>
      <c r="C149" s="15"/>
      <c r="E149" s="16">
        <v>44489</v>
      </c>
      <c r="F149" s="16">
        <v>44708</v>
      </c>
      <c r="G149" s="16">
        <v>45265</v>
      </c>
      <c r="J149" s="15" t="str">
        <f>VLOOKUP(A149,sinap!$A$2:$R$9000,2,FALSE)</f>
        <v>H</v>
      </c>
      <c r="K149" s="15" t="str">
        <f>VLOOKUP(A149,sinap!$A$2:$R$9000,3,FALSE)</f>
        <v>VACA</v>
      </c>
      <c r="L149" s="15" t="str">
        <f>VLOOKUP(A149,sinap!$A$2:$R$9000,4,FALSE)</f>
        <v>OVERO COLORADO (CLAVEL ALEMAN)</v>
      </c>
      <c r="M149" s="15" t="str">
        <f>VLOOKUP(A149,sinap!$A$2:$R$9000,5,FALSE)</f>
        <v>14 años 2 meses</v>
      </c>
      <c r="N149" s="15" t="str">
        <f>VLOOKUP(A149,sinap!$A$2:$R$9000,6,FALSE)</f>
        <v>30-10-2011</v>
      </c>
      <c r="O149" s="15" t="str">
        <f>VLOOKUP(A149,sinap!$A$2:$R$9000,7,FALSE)</f>
        <v>Vivo</v>
      </c>
      <c r="P149" s="15" t="str">
        <f>VLOOKUP(A149,sinap!$A$2:$R$9000,8,FALSE)</f>
        <v>11.2.01.0038</v>
      </c>
      <c r="Q149" s="15" t="str">
        <f>VLOOKUP(A149,sinap!$A$2:$R$9000,12,FALSE)</f>
        <v>11.1.01.0791</v>
      </c>
      <c r="R149" s="15" t="str">
        <f>VLOOKUP(A149,sinap!$A$2:$R$9000,16,FALSE)</f>
        <v>11.1.01.1241</v>
      </c>
      <c r="S149" s="15" t="str">
        <f>VLOOKUP(A149,sinap!$A$2:$Y$9000,20,FALSE)</f>
        <v>SI</v>
      </c>
    </row>
    <row r="150" spans="1:19" s="16" customFormat="1" hidden="1" x14ac:dyDescent="0.25">
      <c r="A150" s="15">
        <v>8092320</v>
      </c>
      <c r="B150" s="15"/>
      <c r="C150" s="15"/>
      <c r="E150" s="16">
        <v>44489</v>
      </c>
      <c r="F150" s="16">
        <v>44708</v>
      </c>
      <c r="G150" s="16">
        <v>45253</v>
      </c>
      <c r="J150" s="15" t="str">
        <f>VLOOKUP(A150,sinap!$A$2:$R$9000,2,FALSE)</f>
        <v>H</v>
      </c>
      <c r="K150" s="15" t="str">
        <f>VLOOKUP(A150,sinap!$A$2:$R$9000,3,FALSE)</f>
        <v>VACA</v>
      </c>
      <c r="L150" s="15" t="str">
        <f>VLOOKUP(A150,sinap!$A$2:$R$9000,4,FALSE)</f>
        <v>ANGUS ROJO</v>
      </c>
      <c r="M150" s="15" t="str">
        <f>VLOOKUP(A150,sinap!$A$2:$R$9000,5,FALSE)</f>
        <v>14 años 2 meses</v>
      </c>
      <c r="N150" s="15" t="str">
        <f>VLOOKUP(A150,sinap!$A$2:$R$9000,6,FALSE)</f>
        <v>30-10-2011</v>
      </c>
      <c r="O150" s="15" t="str">
        <f>VLOOKUP(A150,sinap!$A$2:$R$9000,7,FALSE)</f>
        <v>Vivo</v>
      </c>
      <c r="P150" s="15" t="str">
        <f>VLOOKUP(A150,sinap!$A$2:$R$9000,8,FALSE)</f>
        <v>11.2.01.0038</v>
      </c>
      <c r="Q150" s="15" t="str">
        <f>VLOOKUP(A150,sinap!$A$2:$R$9000,12,FALSE)</f>
        <v>11.1.01.0791</v>
      </c>
      <c r="R150" s="15" t="str">
        <f>VLOOKUP(A150,sinap!$A$2:$R$9000,16,FALSE)</f>
        <v>11.1.01.1241</v>
      </c>
      <c r="S150" s="15" t="str">
        <f>VLOOKUP(A150,sinap!$A$2:$Y$9000,20,FALSE)</f>
        <v>SI</v>
      </c>
    </row>
    <row r="151" spans="1:19" s="16" customFormat="1" hidden="1" x14ac:dyDescent="0.25">
      <c r="A151" s="15">
        <v>8092327</v>
      </c>
      <c r="B151" s="15"/>
      <c r="C151" s="15"/>
      <c r="E151" s="16">
        <v>44489</v>
      </c>
      <c r="F151" s="16">
        <v>44708</v>
      </c>
      <c r="G151" s="16">
        <v>45265</v>
      </c>
      <c r="J151" s="15" t="str">
        <f>VLOOKUP(A151,sinap!$A$2:$R$9000,2,FALSE)</f>
        <v>H</v>
      </c>
      <c r="K151" s="15" t="str">
        <f>VLOOKUP(A151,sinap!$A$2:$R$9000,3,FALSE)</f>
        <v>VACA</v>
      </c>
      <c r="L151" s="15" t="str">
        <f>VLOOKUP(A151,sinap!$A$2:$R$9000,4,FALSE)</f>
        <v>ANGUS NEGRO</v>
      </c>
      <c r="M151" s="15" t="str">
        <f>VLOOKUP(A151,sinap!$A$2:$R$9000,5,FALSE)</f>
        <v>14 años 2 meses</v>
      </c>
      <c r="N151" s="15" t="str">
        <f>VLOOKUP(A151,sinap!$A$2:$R$9000,6,FALSE)</f>
        <v>30-10-2011</v>
      </c>
      <c r="O151" s="15" t="str">
        <f>VLOOKUP(A151,sinap!$A$2:$R$9000,7,FALSE)</f>
        <v>Vivo</v>
      </c>
      <c r="P151" s="15" t="str">
        <f>VLOOKUP(A151,sinap!$A$2:$R$9000,8,FALSE)</f>
        <v>11.2.01.0038</v>
      </c>
      <c r="Q151" s="15" t="str">
        <f>VLOOKUP(A151,sinap!$A$2:$R$9000,12,FALSE)</f>
        <v>11.1.01.0791</v>
      </c>
      <c r="R151" s="15" t="str">
        <f>VLOOKUP(A151,sinap!$A$2:$R$9000,16,FALSE)</f>
        <v>11.1.01.1241</v>
      </c>
      <c r="S151" s="15" t="str">
        <f>VLOOKUP(A151,sinap!$A$2:$Y$9000,20,FALSE)</f>
        <v>SI</v>
      </c>
    </row>
    <row r="152" spans="1:19" s="16" customFormat="1" hidden="1" x14ac:dyDescent="0.25">
      <c r="A152" s="15">
        <v>8092334</v>
      </c>
      <c r="B152" s="15"/>
      <c r="C152" s="15"/>
      <c r="J152" s="15" t="str">
        <f>VLOOKUP(A152,sinap!$A$2:$R$9000,2,FALSE)</f>
        <v>H</v>
      </c>
      <c r="K152" s="15" t="str">
        <f>VLOOKUP(A152,sinap!$A$2:$R$9000,3,FALSE)</f>
        <v>VACA</v>
      </c>
      <c r="L152" s="15" t="str">
        <f>VLOOKUP(A152,sinap!$A$2:$R$9000,4,FALSE)</f>
        <v>HEREFORD</v>
      </c>
      <c r="M152" s="15" t="str">
        <f>VLOOKUP(A152,sinap!$A$2:$R$9000,5,FALSE)</f>
        <v>14 años 3 meses</v>
      </c>
      <c r="N152" s="15" t="str">
        <f>VLOOKUP(A152,sinap!$A$2:$R$9000,6,FALSE)</f>
        <v>30-09-2011</v>
      </c>
      <c r="O152" s="15" t="str">
        <f>VLOOKUP(A152,sinap!$A$2:$R$9000,7,FALSE)</f>
        <v>Vivo</v>
      </c>
      <c r="P152" s="15" t="str">
        <f>VLOOKUP(A152,sinap!$A$2:$R$9000,8,FALSE)</f>
        <v>11.2.01.0038</v>
      </c>
      <c r="Q152" s="15" t="str">
        <f>VLOOKUP(A152,sinap!$A$2:$R$9000,12,FALSE)</f>
        <v>11.1.01.0791</v>
      </c>
      <c r="R152" s="15" t="str">
        <f>VLOOKUP(A152,sinap!$A$2:$R$9000,16,FALSE)</f>
        <v>11.1.01.0790</v>
      </c>
      <c r="S152" s="15" t="str">
        <f>VLOOKUP(A152,sinap!$A$2:$Y$9000,20,FALSE)</f>
        <v>SI</v>
      </c>
    </row>
    <row r="153" spans="1:19" s="16" customFormat="1" hidden="1" x14ac:dyDescent="0.25">
      <c r="A153" s="15">
        <v>8092335</v>
      </c>
      <c r="B153" s="15"/>
      <c r="C153" s="15"/>
      <c r="E153" s="16">
        <v>44489</v>
      </c>
      <c r="F153" s="16">
        <v>44708</v>
      </c>
      <c r="G153" s="16">
        <v>45220</v>
      </c>
      <c r="J153" s="15" t="str">
        <f>VLOOKUP(A153,sinap!$A$2:$R$9000,2,FALSE)</f>
        <v>H</v>
      </c>
      <c r="K153" s="15" t="str">
        <f>VLOOKUP(A153,sinap!$A$2:$R$9000,3,FALSE)</f>
        <v>VACA</v>
      </c>
      <c r="L153" s="15" t="str">
        <f>VLOOKUP(A153,sinap!$A$2:$R$9000,4,FALSE)</f>
        <v>HEREFORD</v>
      </c>
      <c r="M153" s="15" t="str">
        <f>VLOOKUP(A153,sinap!$A$2:$R$9000,5,FALSE)</f>
        <v>14 años 3 meses</v>
      </c>
      <c r="N153" s="15" t="str">
        <f>VLOOKUP(A153,sinap!$A$2:$R$9000,6,FALSE)</f>
        <v>30-09-2011</v>
      </c>
      <c r="O153" s="15" t="str">
        <f>VLOOKUP(A153,sinap!$A$2:$R$9000,7,FALSE)</f>
        <v>Vivo</v>
      </c>
      <c r="P153" s="15" t="str">
        <f>VLOOKUP(A153,sinap!$A$2:$R$9000,8,FALSE)</f>
        <v>11.2.01.0038</v>
      </c>
      <c r="Q153" s="15" t="str">
        <f>VLOOKUP(A153,sinap!$A$2:$R$9000,12,FALSE)</f>
        <v>11.1.01.0791</v>
      </c>
      <c r="R153" s="15" t="str">
        <f>VLOOKUP(A153,sinap!$A$2:$R$9000,16,FALSE)</f>
        <v>11.1.01.1241</v>
      </c>
      <c r="S153" s="15" t="str">
        <f>VLOOKUP(A153,sinap!$A$2:$Y$9000,20,FALSE)</f>
        <v>SI</v>
      </c>
    </row>
    <row r="154" spans="1:19" s="16" customFormat="1" hidden="1" x14ac:dyDescent="0.25">
      <c r="A154" s="15">
        <v>8092336</v>
      </c>
      <c r="B154" s="15"/>
      <c r="C154" s="15"/>
      <c r="E154" s="16">
        <v>44489</v>
      </c>
      <c r="F154" s="16">
        <v>44908</v>
      </c>
      <c r="G154" s="16">
        <v>45265</v>
      </c>
      <c r="J154" s="15" t="str">
        <f>VLOOKUP(A154,sinap!$A$2:$R$9000,2,FALSE)</f>
        <v>H</v>
      </c>
      <c r="K154" s="15" t="str">
        <f>VLOOKUP(A154,sinap!$A$2:$R$9000,3,FALSE)</f>
        <v>VACA</v>
      </c>
      <c r="L154" s="15" t="str">
        <f>VLOOKUP(A154,sinap!$A$2:$R$9000,4,FALSE)</f>
        <v>ANGUS NEGRO</v>
      </c>
      <c r="M154" s="15" t="str">
        <f>VLOOKUP(A154,sinap!$A$2:$R$9000,5,FALSE)</f>
        <v>14 años 3 meses</v>
      </c>
      <c r="N154" s="15" t="str">
        <f>VLOOKUP(A154,sinap!$A$2:$R$9000,6,FALSE)</f>
        <v>30-09-2011</v>
      </c>
      <c r="O154" s="15" t="str">
        <f>VLOOKUP(A154,sinap!$A$2:$R$9000,7,FALSE)</f>
        <v>Vivo</v>
      </c>
      <c r="P154" s="15" t="str">
        <f>VLOOKUP(A154,sinap!$A$2:$R$9000,8,FALSE)</f>
        <v>11.2.01.0038</v>
      </c>
      <c r="Q154" s="15" t="str">
        <f>VLOOKUP(A154,sinap!$A$2:$R$9000,12,FALSE)</f>
        <v>11.1.01.0791</v>
      </c>
      <c r="R154" s="15" t="str">
        <f>VLOOKUP(A154,sinap!$A$2:$R$9000,16,FALSE)</f>
        <v>11.1.01.1241</v>
      </c>
      <c r="S154" s="15" t="str">
        <f>VLOOKUP(A154,sinap!$A$2:$Y$9000,20,FALSE)</f>
        <v>SI</v>
      </c>
    </row>
    <row r="155" spans="1:19" s="16" customFormat="1" hidden="1" x14ac:dyDescent="0.25">
      <c r="A155" s="15">
        <v>8092339</v>
      </c>
      <c r="B155" s="15"/>
      <c r="C155" s="15"/>
      <c r="E155" s="16">
        <v>44397</v>
      </c>
      <c r="J155" s="15" t="str">
        <f>VLOOKUP(A155,sinap!$A$2:$R$9000,2,FALSE)</f>
        <v>H</v>
      </c>
      <c r="K155" s="15" t="str">
        <f>VLOOKUP(A155,sinap!$A$2:$R$9000,3,FALSE)</f>
        <v>VACA</v>
      </c>
      <c r="L155" s="15" t="str">
        <f>VLOOKUP(A155,sinap!$A$2:$R$9000,4,FALSE)</f>
        <v>ANGUS NEGRO</v>
      </c>
      <c r="M155" s="15" t="str">
        <f>VLOOKUP(A155,sinap!$A$2:$R$9000,5,FALSE)</f>
        <v>14 años 1 meses</v>
      </c>
      <c r="N155" s="15" t="str">
        <f>VLOOKUP(A155,sinap!$A$2:$R$9000,6,FALSE)</f>
        <v>30-11-2011</v>
      </c>
      <c r="O155" s="15" t="str">
        <f>VLOOKUP(A155,sinap!$A$2:$R$9000,7,FALSE)</f>
        <v>Vivo</v>
      </c>
      <c r="P155" s="15" t="str">
        <f>VLOOKUP(A155,sinap!$A$2:$R$9000,8,FALSE)</f>
        <v>11.2.01.0038</v>
      </c>
      <c r="Q155" s="15" t="str">
        <f>VLOOKUP(A155,sinap!$A$2:$R$9000,12,FALSE)</f>
        <v>11.1.01.0791</v>
      </c>
      <c r="R155" s="15" t="str">
        <f>VLOOKUP(A155,sinap!$A$2:$R$9000,16,FALSE)</f>
        <v>11.1.01.1241</v>
      </c>
      <c r="S155" s="15" t="str">
        <f>VLOOKUP(A155,sinap!$A$2:$Y$9000,20,FALSE)</f>
        <v>SI</v>
      </c>
    </row>
    <row r="156" spans="1:19" s="16" customFormat="1" hidden="1" x14ac:dyDescent="0.25">
      <c r="A156" s="15">
        <v>8092345</v>
      </c>
      <c r="B156" s="15"/>
      <c r="C156" s="15"/>
      <c r="E156" s="16">
        <v>44397</v>
      </c>
      <c r="G156" s="16">
        <v>45264</v>
      </c>
      <c r="J156" s="15" t="str">
        <f>VLOOKUP(A156,sinap!$A$2:$R$9000,2,FALSE)</f>
        <v>H</v>
      </c>
      <c r="K156" s="15" t="str">
        <f>VLOOKUP(A156,sinap!$A$2:$R$9000,3,FALSE)</f>
        <v>VACA</v>
      </c>
      <c r="L156" s="15" t="str">
        <f>VLOOKUP(A156,sinap!$A$2:$R$9000,4,FALSE)</f>
        <v>ANGUS ROJO</v>
      </c>
      <c r="M156" s="15" t="str">
        <f>VLOOKUP(A156,sinap!$A$2:$R$9000,5,FALSE)</f>
        <v>14 años 2 meses</v>
      </c>
      <c r="N156" s="15" t="str">
        <f>VLOOKUP(A156,sinap!$A$2:$R$9000,6,FALSE)</f>
        <v>30-10-2011</v>
      </c>
      <c r="O156" s="15" t="str">
        <f>VLOOKUP(A156,sinap!$A$2:$R$9000,7,FALSE)</f>
        <v>Vivo</v>
      </c>
      <c r="P156" s="15" t="str">
        <f>VLOOKUP(A156,sinap!$A$2:$R$9000,8,FALSE)</f>
        <v>11.2.01.0038</v>
      </c>
      <c r="Q156" s="15" t="str">
        <f>VLOOKUP(A156,sinap!$A$2:$R$9000,12,FALSE)</f>
        <v>11.1.01.0791</v>
      </c>
      <c r="R156" s="15" t="str">
        <f>VLOOKUP(A156,sinap!$A$2:$R$9000,16,FALSE)</f>
        <v>11.1.01.0790</v>
      </c>
      <c r="S156" s="15" t="str">
        <f>VLOOKUP(A156,sinap!$A$2:$Y$9000,20,FALSE)</f>
        <v>SI</v>
      </c>
    </row>
    <row r="157" spans="1:19" s="16" customFormat="1" hidden="1" x14ac:dyDescent="0.25">
      <c r="A157" s="15">
        <v>8092354</v>
      </c>
      <c r="B157" s="15"/>
      <c r="C157" s="15"/>
      <c r="J157" s="15" t="str">
        <f>VLOOKUP(A157,sinap!$A$2:$R$9000,2,FALSE)</f>
        <v>H</v>
      </c>
      <c r="K157" s="15" t="str">
        <f>VLOOKUP(A157,sinap!$A$2:$R$9000,3,FALSE)</f>
        <v>VACA</v>
      </c>
      <c r="L157" s="15" t="str">
        <f>VLOOKUP(A157,sinap!$A$2:$R$9000,4,FALSE)</f>
        <v>ANGUS NEGRO</v>
      </c>
      <c r="M157" s="15" t="str">
        <f>VLOOKUP(A157,sinap!$A$2:$R$9000,5,FALSE)</f>
        <v>14 años 3 meses</v>
      </c>
      <c r="N157" s="15" t="str">
        <f>VLOOKUP(A157,sinap!$A$2:$R$9000,6,FALSE)</f>
        <v>30-09-2011</v>
      </c>
      <c r="O157" s="15" t="str">
        <f>VLOOKUP(A157,sinap!$A$2:$R$9000,7,FALSE)</f>
        <v>Vivo</v>
      </c>
      <c r="P157" s="15" t="str">
        <f>VLOOKUP(A157,sinap!$A$2:$R$9000,8,FALSE)</f>
        <v>11.2.01.0038</v>
      </c>
      <c r="Q157" s="15" t="str">
        <f>VLOOKUP(A157,sinap!$A$2:$R$9000,12,FALSE)</f>
        <v>11.1.01.1241</v>
      </c>
      <c r="R157" s="15" t="str">
        <f>VLOOKUP(A157,sinap!$A$2:$R$9000,16,FALSE)</f>
        <v>11.1.01.1241</v>
      </c>
      <c r="S157" s="15" t="str">
        <f>VLOOKUP(A157,sinap!$A$2:$Y$9000,20,FALSE)</f>
        <v>SI</v>
      </c>
    </row>
    <row r="158" spans="1:19" s="16" customFormat="1" hidden="1" x14ac:dyDescent="0.25">
      <c r="A158" s="15">
        <v>8092359</v>
      </c>
      <c r="B158" s="15"/>
      <c r="C158" s="15"/>
      <c r="J158" s="15" t="str">
        <f>VLOOKUP(A158,sinap!$A$2:$R$9000,2,FALSE)</f>
        <v>H</v>
      </c>
      <c r="K158" s="15" t="str">
        <f>VLOOKUP(A158,sinap!$A$2:$R$9000,3,FALSE)</f>
        <v>VACA</v>
      </c>
      <c r="L158" s="15" t="str">
        <f>VLOOKUP(A158,sinap!$A$2:$R$9000,4,FALSE)</f>
        <v>ANGUS NEGRO</v>
      </c>
      <c r="M158" s="15" t="str">
        <f>VLOOKUP(A158,sinap!$A$2:$R$9000,5,FALSE)</f>
        <v>14 años 2 meses</v>
      </c>
      <c r="N158" s="15" t="str">
        <f>VLOOKUP(A158,sinap!$A$2:$R$9000,6,FALSE)</f>
        <v>30-10-2011</v>
      </c>
      <c r="O158" s="15" t="str">
        <f>VLOOKUP(A158,sinap!$A$2:$R$9000,7,FALSE)</f>
        <v>Vivo</v>
      </c>
      <c r="P158" s="15" t="str">
        <f>VLOOKUP(A158,sinap!$A$2:$R$9000,8,FALSE)</f>
        <v>11.1.01.1241</v>
      </c>
      <c r="Q158" s="15" t="str">
        <f>VLOOKUP(A158,sinap!$A$2:$R$9000,12,FALSE)</f>
        <v>11.1.01.1022</v>
      </c>
      <c r="R158" s="15" t="str">
        <f>VLOOKUP(A158,sinap!$A$2:$R$9000,16,FALSE)</f>
        <v>11.1.01.1241</v>
      </c>
      <c r="S158" s="15" t="str">
        <f>VLOOKUP(A158,sinap!$A$2:$Y$9000,20,FALSE)</f>
        <v>SI</v>
      </c>
    </row>
    <row r="159" spans="1:19" s="16" customFormat="1" hidden="1" x14ac:dyDescent="0.25">
      <c r="A159" s="15">
        <v>8092361</v>
      </c>
      <c r="B159" s="15"/>
      <c r="C159" s="15"/>
      <c r="E159" s="16">
        <v>44397</v>
      </c>
      <c r="G159" s="16">
        <v>45264</v>
      </c>
      <c r="J159" s="15" t="str">
        <f>VLOOKUP(A159,sinap!$A$2:$R$9000,2,FALSE)</f>
        <v>H</v>
      </c>
      <c r="K159" s="15" t="str">
        <f>VLOOKUP(A159,sinap!$A$2:$R$9000,3,FALSE)</f>
        <v>VACA</v>
      </c>
      <c r="L159" s="15" t="str">
        <f>VLOOKUP(A159,sinap!$A$2:$R$9000,4,FALSE)</f>
        <v>HEREFORD</v>
      </c>
      <c r="M159" s="15" t="str">
        <f>VLOOKUP(A159,sinap!$A$2:$R$9000,5,FALSE)</f>
        <v>14 años 2 meses</v>
      </c>
      <c r="N159" s="15" t="str">
        <f>VLOOKUP(A159,sinap!$A$2:$R$9000,6,FALSE)</f>
        <v>30-10-2011</v>
      </c>
      <c r="O159" s="15" t="str">
        <f>VLOOKUP(A159,sinap!$A$2:$R$9000,7,FALSE)</f>
        <v>Vivo</v>
      </c>
      <c r="P159" s="15" t="str">
        <f>VLOOKUP(A159,sinap!$A$2:$R$9000,8,FALSE)</f>
        <v>11.2.01.0038</v>
      </c>
      <c r="Q159" s="15" t="str">
        <f>VLOOKUP(A159,sinap!$A$2:$R$9000,12,FALSE)</f>
        <v>11.1.01.0791</v>
      </c>
      <c r="R159" s="15" t="str">
        <f>VLOOKUP(A159,sinap!$A$2:$R$9000,16,FALSE)</f>
        <v>11.1.01.0790</v>
      </c>
      <c r="S159" s="15" t="str">
        <f>VLOOKUP(A159,sinap!$A$2:$Y$9000,20,FALSE)</f>
        <v>SI</v>
      </c>
    </row>
    <row r="160" spans="1:19" s="16" customFormat="1" hidden="1" x14ac:dyDescent="0.25">
      <c r="A160" s="15">
        <v>8092366</v>
      </c>
      <c r="B160" s="15"/>
      <c r="C160" s="15"/>
      <c r="D160" s="16">
        <v>44133</v>
      </c>
      <c r="E160" s="16">
        <v>44504</v>
      </c>
      <c r="J160" s="15" t="str">
        <f>VLOOKUP(A160,sinap!$A$2:$R$9000,2,FALSE)</f>
        <v>H</v>
      </c>
      <c r="K160" s="15" t="str">
        <f>VLOOKUP(A160,sinap!$A$2:$R$9000,3,FALSE)</f>
        <v>VACA</v>
      </c>
      <c r="L160" s="15" t="str">
        <f>VLOOKUP(A160,sinap!$A$2:$R$9000,4,FALSE)</f>
        <v>ANGUS ROJO</v>
      </c>
      <c r="M160" s="15" t="str">
        <f>VLOOKUP(A160,sinap!$A$2:$R$9000,5,FALSE)</f>
        <v>14 años 3 meses</v>
      </c>
      <c r="N160" s="15" t="str">
        <f>VLOOKUP(A160,sinap!$A$2:$R$9000,6,FALSE)</f>
        <v>30-09-2011</v>
      </c>
      <c r="O160" s="15" t="str">
        <f>VLOOKUP(A160,sinap!$A$2:$R$9000,7,FALSE)</f>
        <v>Vivo</v>
      </c>
      <c r="P160" s="15" t="str">
        <f>VLOOKUP(A160,sinap!$A$2:$R$9000,8,FALSE)</f>
        <v>11.2.01.0038</v>
      </c>
      <c r="Q160" s="15" t="str">
        <f>VLOOKUP(A160,sinap!$A$2:$R$9000,12,FALSE)</f>
        <v>11.1.01.0791</v>
      </c>
      <c r="R160" s="15" t="str">
        <f>VLOOKUP(A160,sinap!$A$2:$R$9000,16,FALSE)</f>
        <v>11.1.01.0790</v>
      </c>
      <c r="S160" s="15" t="str">
        <f>VLOOKUP(A160,sinap!$A$2:$Y$9000,20,FALSE)</f>
        <v>SI</v>
      </c>
    </row>
    <row r="161" spans="1:19" s="16" customFormat="1" hidden="1" x14ac:dyDescent="0.25">
      <c r="A161" s="15">
        <v>8092367</v>
      </c>
      <c r="B161" s="15"/>
      <c r="C161" s="15"/>
      <c r="J161" s="15" t="str">
        <f>VLOOKUP(A161,sinap!$A$2:$R$9000,2,FALSE)</f>
        <v>H</v>
      </c>
      <c r="K161" s="15" t="str">
        <f>VLOOKUP(A161,sinap!$A$2:$R$9000,3,FALSE)</f>
        <v>VACA</v>
      </c>
      <c r="L161" s="15" t="str">
        <f>VLOOKUP(A161,sinap!$A$2:$R$9000,4,FALSE)</f>
        <v>HEREFORD</v>
      </c>
      <c r="M161" s="15" t="str">
        <f>VLOOKUP(A161,sinap!$A$2:$R$9000,5,FALSE)</f>
        <v>14 años 3 meses</v>
      </c>
      <c r="N161" s="15" t="str">
        <f>VLOOKUP(A161,sinap!$A$2:$R$9000,6,FALSE)</f>
        <v>30-09-2011</v>
      </c>
      <c r="O161" s="15" t="str">
        <f>VLOOKUP(A161,sinap!$A$2:$R$9000,7,FALSE)</f>
        <v>Vivo</v>
      </c>
      <c r="P161" s="15" t="str">
        <f>VLOOKUP(A161,sinap!$A$2:$R$9000,8,FALSE)</f>
        <v>11.2.01.0038</v>
      </c>
      <c r="Q161" s="15" t="str">
        <f>VLOOKUP(A161,sinap!$A$2:$R$9000,12,FALSE)</f>
        <v>11.1.01.0791</v>
      </c>
      <c r="R161" s="15" t="str">
        <f>VLOOKUP(A161,sinap!$A$2:$R$9000,16,FALSE)</f>
        <v>11.1.01.0790</v>
      </c>
      <c r="S161" s="15" t="str">
        <f>VLOOKUP(A161,sinap!$A$2:$Y$9000,20,FALSE)</f>
        <v>SI</v>
      </c>
    </row>
    <row r="162" spans="1:19" s="16" customFormat="1" hidden="1" x14ac:dyDescent="0.25">
      <c r="A162" s="15">
        <v>8092370</v>
      </c>
      <c r="B162" s="15"/>
      <c r="C162" s="15"/>
      <c r="J162" s="15" t="str">
        <f>VLOOKUP(A162,sinap!$A$2:$R$9000,2,FALSE)</f>
        <v>H</v>
      </c>
      <c r="K162" s="15" t="str">
        <f>VLOOKUP(A162,sinap!$A$2:$R$9000,3,FALSE)</f>
        <v>VACA</v>
      </c>
      <c r="L162" s="15" t="str">
        <f>VLOOKUP(A162,sinap!$A$2:$R$9000,4,FALSE)</f>
        <v>ANGUS ROJO</v>
      </c>
      <c r="M162" s="15" t="str">
        <f>VLOOKUP(A162,sinap!$A$2:$R$9000,5,FALSE)</f>
        <v>14 años 2 meses</v>
      </c>
      <c r="N162" s="15" t="str">
        <f>VLOOKUP(A162,sinap!$A$2:$R$9000,6,FALSE)</f>
        <v>30-10-2011</v>
      </c>
      <c r="O162" s="15" t="str">
        <f>VLOOKUP(A162,sinap!$A$2:$R$9000,7,FALSE)</f>
        <v>Vivo</v>
      </c>
      <c r="P162" s="15" t="str">
        <f>VLOOKUP(A162,sinap!$A$2:$R$9000,8,FALSE)</f>
        <v>11.2.01.0038</v>
      </c>
      <c r="Q162" s="15" t="str">
        <f>VLOOKUP(A162,sinap!$A$2:$R$9000,12,FALSE)</f>
        <v>11.1.01.0791</v>
      </c>
      <c r="R162" s="15" t="str">
        <f>VLOOKUP(A162,sinap!$A$2:$R$9000,16,FALSE)</f>
        <v>11.1.01.0790</v>
      </c>
      <c r="S162" s="15" t="str">
        <f>VLOOKUP(A162,sinap!$A$2:$Y$9000,20,FALSE)</f>
        <v>SI</v>
      </c>
    </row>
    <row r="163" spans="1:19" s="16" customFormat="1" hidden="1" x14ac:dyDescent="0.25">
      <c r="A163" s="15">
        <v>8092373</v>
      </c>
      <c r="B163" s="15"/>
      <c r="C163" s="15"/>
      <c r="J163" s="15" t="str">
        <f>VLOOKUP(A163,sinap!$A$2:$R$9000,2,FALSE)</f>
        <v>H</v>
      </c>
      <c r="K163" s="15" t="str">
        <f>VLOOKUP(A163,sinap!$A$2:$R$9000,3,FALSE)</f>
        <v>VACA</v>
      </c>
      <c r="L163" s="15" t="str">
        <f>VLOOKUP(A163,sinap!$A$2:$R$9000,4,FALSE)</f>
        <v>ANGUS NEGRO</v>
      </c>
      <c r="M163" s="15" t="str">
        <f>VLOOKUP(A163,sinap!$A$2:$R$9000,5,FALSE)</f>
        <v>14 años 2 meses</v>
      </c>
      <c r="N163" s="15" t="str">
        <f>VLOOKUP(A163,sinap!$A$2:$R$9000,6,FALSE)</f>
        <v>30-10-2011</v>
      </c>
      <c r="O163" s="15" t="str">
        <f>VLOOKUP(A163,sinap!$A$2:$R$9000,7,FALSE)</f>
        <v>Vivo</v>
      </c>
      <c r="P163" s="15" t="str">
        <f>VLOOKUP(A163,sinap!$A$2:$R$9000,8,FALSE)</f>
        <v>11.2.01.0038</v>
      </c>
      <c r="Q163" s="15" t="str">
        <f>VLOOKUP(A163,sinap!$A$2:$R$9000,12,FALSE)</f>
        <v>11.1.01.0791</v>
      </c>
      <c r="R163" s="15" t="str">
        <f>VLOOKUP(A163,sinap!$A$2:$R$9000,16,FALSE)</f>
        <v>11.1.01.1241</v>
      </c>
      <c r="S163" s="15" t="str">
        <f>VLOOKUP(A163,sinap!$A$2:$Y$9000,20,FALSE)</f>
        <v>SI</v>
      </c>
    </row>
    <row r="164" spans="1:19" s="16" customFormat="1" hidden="1" x14ac:dyDescent="0.25">
      <c r="A164" s="15">
        <v>8092374</v>
      </c>
      <c r="B164" s="15"/>
      <c r="C164" s="15"/>
      <c r="E164" s="16">
        <v>44489</v>
      </c>
      <c r="F164" s="16">
        <v>44708</v>
      </c>
      <c r="G164" s="16">
        <v>45220</v>
      </c>
      <c r="J164" s="15" t="str">
        <f>VLOOKUP(A164,sinap!$A$2:$R$9000,2,FALSE)</f>
        <v>H</v>
      </c>
      <c r="K164" s="15" t="str">
        <f>VLOOKUP(A164,sinap!$A$2:$R$9000,3,FALSE)</f>
        <v>VACA</v>
      </c>
      <c r="L164" s="15" t="str">
        <f>VLOOKUP(A164,sinap!$A$2:$R$9000,4,FALSE)</f>
        <v>ANGUS NEGRO</v>
      </c>
      <c r="M164" s="15" t="str">
        <f>VLOOKUP(A164,sinap!$A$2:$R$9000,5,FALSE)</f>
        <v>14 años 2 meses</v>
      </c>
      <c r="N164" s="15" t="str">
        <f>VLOOKUP(A164,sinap!$A$2:$R$9000,6,FALSE)</f>
        <v>30-10-2011</v>
      </c>
      <c r="O164" s="15" t="str">
        <f>VLOOKUP(A164,sinap!$A$2:$R$9000,7,FALSE)</f>
        <v>Vivo</v>
      </c>
      <c r="P164" s="15" t="str">
        <f>VLOOKUP(A164,sinap!$A$2:$R$9000,8,FALSE)</f>
        <v>11.1.01.1241</v>
      </c>
      <c r="Q164" s="15" t="str">
        <f>VLOOKUP(A164,sinap!$A$2:$R$9000,12,FALSE)</f>
        <v>11.2.01.0053</v>
      </c>
      <c r="R164" s="15" t="str">
        <f>VLOOKUP(A164,sinap!$A$2:$R$9000,16,FALSE)</f>
        <v>11.1.01.1241</v>
      </c>
      <c r="S164" s="15" t="str">
        <f>VLOOKUP(A164,sinap!$A$2:$Y$9000,20,FALSE)</f>
        <v>SI</v>
      </c>
    </row>
    <row r="165" spans="1:19" s="16" customFormat="1" hidden="1" x14ac:dyDescent="0.25">
      <c r="A165" s="15">
        <v>8092375</v>
      </c>
      <c r="B165" s="15"/>
      <c r="C165" s="15"/>
      <c r="E165" s="16">
        <v>44489</v>
      </c>
      <c r="F165" s="16">
        <v>44908</v>
      </c>
      <c r="G165" s="16">
        <v>45253</v>
      </c>
      <c r="J165" s="15" t="str">
        <f>VLOOKUP(A165,sinap!$A$2:$R$9000,2,FALSE)</f>
        <v>H</v>
      </c>
      <c r="K165" s="15" t="str">
        <f>VLOOKUP(A165,sinap!$A$2:$R$9000,3,FALSE)</f>
        <v>VACA</v>
      </c>
      <c r="L165" s="15" t="str">
        <f>VLOOKUP(A165,sinap!$A$2:$R$9000,4,FALSE)</f>
        <v>OVERO COLORADO (CLAVEL ALEMAN)</v>
      </c>
      <c r="M165" s="15" t="str">
        <f>VLOOKUP(A165,sinap!$A$2:$R$9000,5,FALSE)</f>
        <v>14 años 3 meses</v>
      </c>
      <c r="N165" s="15" t="str">
        <f>VLOOKUP(A165,sinap!$A$2:$R$9000,6,FALSE)</f>
        <v>30-09-2011</v>
      </c>
      <c r="O165" s="15" t="str">
        <f>VLOOKUP(A165,sinap!$A$2:$R$9000,7,FALSE)</f>
        <v>Vivo</v>
      </c>
      <c r="P165" s="15" t="str">
        <f>VLOOKUP(A165,sinap!$A$2:$R$9000,8,FALSE)</f>
        <v>11.2.01.0038</v>
      </c>
      <c r="Q165" s="15" t="str">
        <f>VLOOKUP(A165,sinap!$A$2:$R$9000,12,FALSE)</f>
        <v>11.1.01.1241</v>
      </c>
      <c r="R165" s="15" t="str">
        <f>VLOOKUP(A165,sinap!$A$2:$R$9000,16,FALSE)</f>
        <v>11.1.01.0790</v>
      </c>
      <c r="S165" s="15" t="str">
        <f>VLOOKUP(A165,sinap!$A$2:$Y$9000,20,FALSE)</f>
        <v>SI</v>
      </c>
    </row>
    <row r="166" spans="1:19" s="16" customFormat="1" hidden="1" x14ac:dyDescent="0.25">
      <c r="A166" s="15">
        <v>8092376</v>
      </c>
      <c r="B166" s="15"/>
      <c r="C166" s="15"/>
      <c r="E166" s="16">
        <v>44489</v>
      </c>
      <c r="F166" s="16">
        <v>44708</v>
      </c>
      <c r="G166" s="16">
        <v>45253</v>
      </c>
      <c r="J166" s="15" t="str">
        <f>VLOOKUP(A166,sinap!$A$2:$R$9000,2,FALSE)</f>
        <v>H</v>
      </c>
      <c r="K166" s="15" t="str">
        <f>VLOOKUP(A166,sinap!$A$2:$R$9000,3,FALSE)</f>
        <v>VACA</v>
      </c>
      <c r="L166" s="15" t="str">
        <f>VLOOKUP(A166,sinap!$A$2:$R$9000,4,FALSE)</f>
        <v>ANGUS NEGRO</v>
      </c>
      <c r="M166" s="15" t="str">
        <f>VLOOKUP(A166,sinap!$A$2:$R$9000,5,FALSE)</f>
        <v>13 años 3 meses</v>
      </c>
      <c r="N166" s="15" t="str">
        <f>VLOOKUP(A166,sinap!$A$2:$R$9000,6,FALSE)</f>
        <v>15-10-2012</v>
      </c>
      <c r="O166" s="15" t="str">
        <f>VLOOKUP(A166,sinap!$A$2:$R$9000,7,FALSE)</f>
        <v>Vivo</v>
      </c>
      <c r="P166" s="15" t="str">
        <f>VLOOKUP(A166,sinap!$A$2:$R$9000,8,FALSE)</f>
        <v>11.2.01.0038</v>
      </c>
      <c r="Q166" s="15" t="str">
        <f>VLOOKUP(A166,sinap!$A$2:$R$9000,12,FALSE)</f>
        <v>11.1.01.0790</v>
      </c>
      <c r="R166" s="15" t="str">
        <f>VLOOKUP(A166,sinap!$A$2:$R$9000,16,FALSE)</f>
        <v>11.1.01.0790</v>
      </c>
      <c r="S166" s="15" t="str">
        <f>VLOOKUP(A166,sinap!$A$2:$Y$9000,20,FALSE)</f>
        <v>SI</v>
      </c>
    </row>
    <row r="167" spans="1:19" s="16" customFormat="1" hidden="1" x14ac:dyDescent="0.25">
      <c r="A167" s="15">
        <v>8092384</v>
      </c>
      <c r="B167" s="15"/>
      <c r="C167" s="15"/>
      <c r="E167" s="16">
        <v>44489</v>
      </c>
      <c r="F167" s="16">
        <v>44708</v>
      </c>
      <c r="G167" s="16">
        <v>45253</v>
      </c>
      <c r="J167" s="15" t="str">
        <f>VLOOKUP(A167,sinap!$A$2:$R$9000,2,FALSE)</f>
        <v>no existe</v>
      </c>
      <c r="K167" s="15" t="str">
        <f>VLOOKUP(A167,sinap!$A$2:$R$9000,3,FALSE)</f>
        <v>no existe</v>
      </c>
      <c r="L167" s="15" t="str">
        <f>VLOOKUP(A167,sinap!$A$2:$R$9000,4,FALSE)</f>
        <v>no existe</v>
      </c>
      <c r="M167" s="15" t="str">
        <f>VLOOKUP(A167,sinap!$A$2:$R$9000,5,FALSE)</f>
        <v>no existe</v>
      </c>
      <c r="N167" s="15" t="str">
        <f>VLOOKUP(A167,sinap!$A$2:$R$9000,6,FALSE)</f>
        <v>no existe</v>
      </c>
      <c r="O167" s="15" t="str">
        <f>VLOOKUP(A167,sinap!$A$2:$R$9000,7,FALSE)</f>
        <v>no existe</v>
      </c>
      <c r="P167" s="15" t="str">
        <f>VLOOKUP(A167,sinap!$A$2:$R$9000,8,FALSE)</f>
        <v>no existe</v>
      </c>
      <c r="Q167" s="15" t="str">
        <f>VLOOKUP(A167,sinap!$A$2:$R$9000,12,FALSE)</f>
        <v>no existe</v>
      </c>
      <c r="R167" s="15" t="str">
        <f>VLOOKUP(A167,sinap!$A$2:$R$9000,16,FALSE)</f>
        <v>no existe</v>
      </c>
      <c r="S167" s="15" t="str">
        <f>VLOOKUP(A167,sinap!$A$2:$Y$9000,20,FALSE)</f>
        <v>no existe</v>
      </c>
    </row>
    <row r="168" spans="1:19" s="16" customFormat="1" hidden="1" x14ac:dyDescent="0.25">
      <c r="A168" s="15">
        <v>8093565</v>
      </c>
      <c r="B168" s="15"/>
      <c r="C168" s="15"/>
      <c r="E168" s="16">
        <v>44489</v>
      </c>
      <c r="F168" s="16">
        <v>44708</v>
      </c>
      <c r="G168" s="16">
        <v>45265</v>
      </c>
      <c r="J168" s="15" t="str">
        <f>VLOOKUP(A168,sinap!$A$2:$R$9000,2,FALSE)</f>
        <v>H</v>
      </c>
      <c r="K168" s="15" t="str">
        <f>VLOOKUP(A168,sinap!$A$2:$R$9000,3,FALSE)</f>
        <v>VACA</v>
      </c>
      <c r="L168" s="15" t="str">
        <f>VLOOKUP(A168,sinap!$A$2:$R$9000,4,FALSE)</f>
        <v>HEREFORD</v>
      </c>
      <c r="M168" s="15" t="str">
        <f>VLOOKUP(A168,sinap!$A$2:$R$9000,5,FALSE)</f>
        <v>14 años 2 meses</v>
      </c>
      <c r="N168" s="15" t="str">
        <f>VLOOKUP(A168,sinap!$A$2:$R$9000,6,FALSE)</f>
        <v>19-10-2011</v>
      </c>
      <c r="O168" s="15" t="str">
        <f>VLOOKUP(A168,sinap!$A$2:$R$9000,7,FALSE)</f>
        <v>Vivo</v>
      </c>
      <c r="P168" s="15" t="str">
        <f>VLOOKUP(A168,sinap!$A$2:$R$9000,8,FALSE)</f>
        <v>11.1.01.1241</v>
      </c>
      <c r="Q168" s="15" t="str">
        <f>VLOOKUP(A168,sinap!$A$2:$R$9000,12,FALSE)</f>
        <v>11.2.01.0038</v>
      </c>
      <c r="R168" s="15" t="str">
        <f>VLOOKUP(A168,sinap!$A$2:$R$9000,16,FALSE)</f>
        <v>11.4.02.0363</v>
      </c>
      <c r="S168" s="15" t="str">
        <f>VLOOKUP(A168,sinap!$A$2:$Y$9000,20,FALSE)</f>
        <v>SI</v>
      </c>
    </row>
    <row r="169" spans="1:19" s="16" customFormat="1" hidden="1" x14ac:dyDescent="0.25">
      <c r="A169" s="15">
        <v>8161606</v>
      </c>
      <c r="B169" s="15"/>
      <c r="C169" s="15"/>
      <c r="J169" s="15" t="str">
        <f>VLOOKUP(A169,sinap!$A$2:$R$9000,2,FALSE)</f>
        <v>M</v>
      </c>
      <c r="K169" s="15" t="str">
        <f>VLOOKUP(A169,sinap!$A$2:$R$9000,3,FALSE)</f>
        <v>TORO</v>
      </c>
      <c r="L169" s="15" t="str">
        <f>VLOOKUP(A169,sinap!$A$2:$R$9000,4,FALSE)</f>
        <v>ANGUS NEGRO</v>
      </c>
      <c r="M169" s="15" t="str">
        <f>VLOOKUP(A169,sinap!$A$2:$R$9000,5,FALSE)</f>
        <v>14 años 2 meses</v>
      </c>
      <c r="N169" s="15" t="str">
        <f>VLOOKUP(A169,sinap!$A$2:$R$9000,6,FALSE)</f>
        <v>15-11-2011</v>
      </c>
      <c r="O169" s="15" t="str">
        <f>VLOOKUP(A169,sinap!$A$2:$R$9000,7,FALSE)</f>
        <v>Vivo</v>
      </c>
      <c r="P169" s="15" t="str">
        <f>VLOOKUP(A169,sinap!$A$2:$R$9000,8,FALSE)</f>
        <v>11.2.01.0038</v>
      </c>
      <c r="Q169" s="15" t="str">
        <f>VLOOKUP(A169,sinap!$A$2:$R$9000,12,FALSE)</f>
        <v>11.1.01.1081</v>
      </c>
      <c r="R169" s="15" t="str">
        <f>VLOOKUP(A169,sinap!$A$2:$R$9000,16,FALSE)</f>
        <v>11.1.01.0290</v>
      </c>
      <c r="S169" s="15" t="str">
        <f>VLOOKUP(A169,sinap!$A$2:$Y$9000,20,FALSE)</f>
        <v>SI</v>
      </c>
    </row>
    <row r="170" spans="1:19" s="16" customFormat="1" hidden="1" x14ac:dyDescent="0.25">
      <c r="A170" s="15">
        <v>8161641</v>
      </c>
      <c r="B170" s="15"/>
      <c r="C170" s="15"/>
      <c r="E170" s="16">
        <v>44489</v>
      </c>
      <c r="F170" s="16">
        <v>44708</v>
      </c>
      <c r="G170" s="16">
        <v>45265</v>
      </c>
      <c r="J170" s="15" t="str">
        <f>VLOOKUP(A170,sinap!$A$2:$R$9000,2,FALSE)</f>
        <v>M</v>
      </c>
      <c r="K170" s="15" t="str">
        <f>VLOOKUP(A170,sinap!$A$2:$R$9000,3,FALSE)</f>
        <v>TORO</v>
      </c>
      <c r="L170" s="15" t="str">
        <f>VLOOKUP(A170,sinap!$A$2:$R$9000,4,FALSE)</f>
        <v>ANGUS NEGRO</v>
      </c>
      <c r="M170" s="15" t="str">
        <f>VLOOKUP(A170,sinap!$A$2:$R$9000,5,FALSE)</f>
        <v>14 años 2 meses</v>
      </c>
      <c r="N170" s="15" t="str">
        <f>VLOOKUP(A170,sinap!$A$2:$R$9000,6,FALSE)</f>
        <v>15-11-2011</v>
      </c>
      <c r="O170" s="15" t="str">
        <f>VLOOKUP(A170,sinap!$A$2:$R$9000,7,FALSE)</f>
        <v>Vivo</v>
      </c>
      <c r="P170" s="15" t="str">
        <f>VLOOKUP(A170,sinap!$A$2:$R$9000,8,FALSE)</f>
        <v>11.1.01.1241</v>
      </c>
      <c r="Q170" s="15" t="str">
        <f>VLOOKUP(A170,sinap!$A$2:$R$9000,12,FALSE)</f>
        <v>11.2.01.0038</v>
      </c>
      <c r="R170" s="15" t="str">
        <f>VLOOKUP(A170,sinap!$A$2:$R$9000,16,FALSE)</f>
        <v>11.1.01.0290</v>
      </c>
      <c r="S170" s="15" t="str">
        <f>VLOOKUP(A170,sinap!$A$2:$Y$9000,20,FALSE)</f>
        <v>SI</v>
      </c>
    </row>
    <row r="171" spans="1:19" s="16" customFormat="1" hidden="1" x14ac:dyDescent="0.25">
      <c r="A171" s="15">
        <v>8199554</v>
      </c>
      <c r="B171" s="15"/>
      <c r="C171" s="15"/>
      <c r="E171" s="16">
        <v>44489</v>
      </c>
      <c r="F171" s="16">
        <v>44908</v>
      </c>
      <c r="G171" s="16">
        <v>45253</v>
      </c>
      <c r="J171" s="15" t="str">
        <f>VLOOKUP(A171,sinap!$A$2:$R$9000,2,FALSE)</f>
        <v>H</v>
      </c>
      <c r="K171" s="15" t="str">
        <f>VLOOKUP(A171,sinap!$A$2:$R$9000,3,FALSE)</f>
        <v>VACA</v>
      </c>
      <c r="L171" s="15" t="str">
        <f>VLOOKUP(A171,sinap!$A$2:$R$9000,4,FALSE)</f>
        <v>ANGUS NEGRO</v>
      </c>
      <c r="M171" s="15" t="str">
        <f>VLOOKUP(A171,sinap!$A$2:$R$9000,5,FALSE)</f>
        <v>18 años 3 meses</v>
      </c>
      <c r="N171" s="15" t="str">
        <f>VLOOKUP(A171,sinap!$A$2:$R$9000,6,FALSE)</f>
        <v>15-10-2007</v>
      </c>
      <c r="O171" s="15" t="str">
        <f>VLOOKUP(A171,sinap!$A$2:$R$9000,7,FALSE)</f>
        <v>Vivo</v>
      </c>
      <c r="P171" s="15" t="str">
        <f>VLOOKUP(A171,sinap!$A$2:$R$9000,8,FALSE)</f>
        <v>11.2.01.0038</v>
      </c>
      <c r="Q171" s="15" t="str">
        <f>VLOOKUP(A171,sinap!$A$2:$R$9000,12,FALSE)</f>
        <v>11.1.01.1241</v>
      </c>
      <c r="R171" s="15" t="str">
        <f>VLOOKUP(A171,sinap!$A$2:$R$9000,16,FALSE)</f>
        <v>11.1.01.0790</v>
      </c>
      <c r="S171" s="15" t="str">
        <f>VLOOKUP(A171,sinap!$A$2:$Y$9000,20,FALSE)</f>
        <v>SI</v>
      </c>
    </row>
    <row r="172" spans="1:19" s="16" customFormat="1" hidden="1" x14ac:dyDescent="0.25">
      <c r="A172" s="15">
        <v>8199979</v>
      </c>
      <c r="B172" s="15"/>
      <c r="C172" s="15"/>
      <c r="E172" s="16">
        <v>44489</v>
      </c>
      <c r="F172" s="16">
        <v>44708</v>
      </c>
      <c r="G172" s="16">
        <v>45253</v>
      </c>
      <c r="J172" s="15" t="str">
        <f>VLOOKUP(A172,sinap!$A$2:$R$9000,2,FALSE)</f>
        <v>M</v>
      </c>
      <c r="K172" s="15" t="str">
        <f>VLOOKUP(A172,sinap!$A$2:$R$9000,3,FALSE)</f>
        <v>TORO</v>
      </c>
      <c r="L172" s="15" t="str">
        <f>VLOOKUP(A172,sinap!$A$2:$R$9000,4,FALSE)</f>
        <v>CLAVEL CHILENO</v>
      </c>
      <c r="M172" s="15" t="str">
        <f>VLOOKUP(A172,sinap!$A$2:$R$9000,5,FALSE)</f>
        <v>12 años 2 meses</v>
      </c>
      <c r="N172" s="15" t="str">
        <f>VLOOKUP(A172,sinap!$A$2:$R$9000,6,FALSE)</f>
        <v>15-11-2013</v>
      </c>
      <c r="O172" s="15" t="str">
        <f>VLOOKUP(A172,sinap!$A$2:$R$9000,7,FALSE)</f>
        <v>Vivo</v>
      </c>
      <c r="P172" s="15" t="str">
        <f>VLOOKUP(A172,sinap!$A$2:$R$9000,8,FALSE)</f>
        <v>11.1.01.0893</v>
      </c>
      <c r="Q172" s="15" t="str">
        <f>VLOOKUP(A172,sinap!$A$2:$R$9000,12,FALSE)</f>
        <v>11.1.01.1187</v>
      </c>
      <c r="R172" s="15" t="str">
        <f>VLOOKUP(A172,sinap!$A$2:$R$9000,16,FALSE)</f>
        <v>11.1.01.1187</v>
      </c>
      <c r="S172" s="15" t="str">
        <f>VLOOKUP(A172,sinap!$A$2:$Y$9000,20,FALSE)</f>
        <v>SI</v>
      </c>
    </row>
    <row r="173" spans="1:19" s="16" customFormat="1" hidden="1" x14ac:dyDescent="0.25">
      <c r="A173" s="15">
        <v>8202197</v>
      </c>
      <c r="B173" s="15"/>
      <c r="C173" s="15"/>
      <c r="E173" s="16">
        <v>44489</v>
      </c>
      <c r="F173" s="16">
        <v>44908</v>
      </c>
      <c r="G173" s="16">
        <v>45265</v>
      </c>
      <c r="H173" s="16">
        <v>45648</v>
      </c>
      <c r="I173" s="16">
        <v>45965</v>
      </c>
      <c r="J173" s="15" t="str">
        <f>VLOOKUP(A173,sinap!$A$2:$R$9000,2,FALSE)</f>
        <v>H</v>
      </c>
      <c r="K173" s="15" t="str">
        <f>VLOOKUP(A173,sinap!$A$2:$R$9000,3,FALSE)</f>
        <v>VACA</v>
      </c>
      <c r="L173" s="15" t="str">
        <f>VLOOKUP(A173,sinap!$A$2:$R$9000,4,FALSE)</f>
        <v>ANGUS NEGRO</v>
      </c>
      <c r="M173" s="15" t="str">
        <f>VLOOKUP(A173,sinap!$A$2:$R$9000,5,FALSE)</f>
        <v>11 años 3 meses</v>
      </c>
      <c r="N173" s="15" t="str">
        <f>VLOOKUP(A173,sinap!$A$2:$R$9000,6,FALSE)</f>
        <v>15-10-2014</v>
      </c>
      <c r="O173" s="15" t="str">
        <f>VLOOKUP(A173,sinap!$A$2:$R$9000,7,FALSE)</f>
        <v>Vivo</v>
      </c>
      <c r="P173" s="15" t="str">
        <f>VLOOKUP(A173,sinap!$A$2:$R$9000,8,FALSE)</f>
        <v>11.1.01.2442</v>
      </c>
      <c r="Q173" s="15" t="str">
        <f>VLOOKUP(A173,sinap!$A$2:$R$9000,12,FALSE)</f>
        <v>11.1.01.0190</v>
      </c>
      <c r="R173" s="15" t="str">
        <f>VLOOKUP(A173,sinap!$A$2:$R$9000,16,FALSE)</f>
        <v>11.1.01.0893</v>
      </c>
      <c r="S173" s="15" t="str">
        <f>VLOOKUP(A173,sinap!$A$2:$Y$9000,20,FALSE)</f>
        <v>SI</v>
      </c>
    </row>
    <row r="174" spans="1:19" s="16" customFormat="1" hidden="1" x14ac:dyDescent="0.25">
      <c r="A174" s="15">
        <v>8392413</v>
      </c>
      <c r="B174" s="15"/>
      <c r="C174" s="15"/>
      <c r="E174" s="16">
        <v>44489</v>
      </c>
      <c r="F174" s="16">
        <v>44908</v>
      </c>
      <c r="G174" s="16">
        <v>45265</v>
      </c>
      <c r="J174" s="15" t="str">
        <f>VLOOKUP(A174,sinap!$A$2:$R$9000,2,FALSE)</f>
        <v>H</v>
      </c>
      <c r="K174" s="15" t="str">
        <f>VLOOKUP(A174,sinap!$A$2:$R$9000,3,FALSE)</f>
        <v>VACA</v>
      </c>
      <c r="L174" s="15" t="str">
        <f>VLOOKUP(A174,sinap!$A$2:$R$9000,4,FALSE)</f>
        <v>OVERO COLORADO (CLAVEL ALEMAN)</v>
      </c>
      <c r="M174" s="15" t="str">
        <f>VLOOKUP(A174,sinap!$A$2:$R$9000,5,FALSE)</f>
        <v>13 años 3 meses</v>
      </c>
      <c r="N174" s="15" t="str">
        <f>VLOOKUP(A174,sinap!$A$2:$R$9000,6,FALSE)</f>
        <v>15-10-2012</v>
      </c>
      <c r="O174" s="15" t="str">
        <f>VLOOKUP(A174,sinap!$A$2:$R$9000,7,FALSE)</f>
        <v>Vivo</v>
      </c>
      <c r="P174" s="15" t="str">
        <f>VLOOKUP(A174,sinap!$A$2:$R$9000,8,FALSE)</f>
        <v>11.2.01.0038</v>
      </c>
      <c r="Q174" s="15" t="str">
        <f>VLOOKUP(A174,sinap!$A$2:$R$9000,12,FALSE)</f>
        <v>11.1.01.1241</v>
      </c>
      <c r="R174" s="15" t="str">
        <f>VLOOKUP(A174,sinap!$A$2:$R$9000,16,FALSE)</f>
        <v>11.1.01.1241</v>
      </c>
      <c r="S174" s="15" t="str">
        <f>VLOOKUP(A174,sinap!$A$2:$Y$9000,20,FALSE)</f>
        <v>SI</v>
      </c>
    </row>
    <row r="175" spans="1:19" s="16" customFormat="1" hidden="1" x14ac:dyDescent="0.25">
      <c r="A175" s="15">
        <v>8392416</v>
      </c>
      <c r="B175" s="15"/>
      <c r="C175" s="15"/>
      <c r="E175" s="16">
        <v>44489</v>
      </c>
      <c r="F175" s="16">
        <v>44708</v>
      </c>
      <c r="G175" s="16">
        <v>45265</v>
      </c>
      <c r="J175" s="15" t="str">
        <f>VLOOKUP(A175,sinap!$A$2:$R$9000,2,FALSE)</f>
        <v>H</v>
      </c>
      <c r="K175" s="15" t="str">
        <f>VLOOKUP(A175,sinap!$A$2:$R$9000,3,FALSE)</f>
        <v>VACA</v>
      </c>
      <c r="L175" s="15" t="str">
        <f>VLOOKUP(A175,sinap!$A$2:$R$9000,4,FALSE)</f>
        <v>OVERO COLORADO (CLAVEL ALEMAN)</v>
      </c>
      <c r="M175" s="15" t="str">
        <f>VLOOKUP(A175,sinap!$A$2:$R$9000,5,FALSE)</f>
        <v>13 años 3 meses</v>
      </c>
      <c r="N175" s="15" t="str">
        <f>VLOOKUP(A175,sinap!$A$2:$R$9000,6,FALSE)</f>
        <v>30-09-2012</v>
      </c>
      <c r="O175" s="15" t="str">
        <f>VLOOKUP(A175,sinap!$A$2:$R$9000,7,FALSE)</f>
        <v>Vivo</v>
      </c>
      <c r="P175" s="15" t="str">
        <f>VLOOKUP(A175,sinap!$A$2:$R$9000,8,FALSE)</f>
        <v>11.1.01.1241</v>
      </c>
      <c r="Q175" s="15" t="str">
        <f>VLOOKUP(A175,sinap!$A$2:$R$9000,12,FALSE)</f>
        <v>11.1.01.0893</v>
      </c>
      <c r="R175" s="15" t="str">
        <f>VLOOKUP(A175,sinap!$A$2:$R$9000,16,FALSE)</f>
        <v>11.1.01.1241</v>
      </c>
      <c r="S175" s="15" t="str">
        <f>VLOOKUP(A175,sinap!$A$2:$Y$9000,20,FALSE)</f>
        <v>SI</v>
      </c>
    </row>
    <row r="176" spans="1:19" s="16" customFormat="1" hidden="1" x14ac:dyDescent="0.25">
      <c r="A176" s="15">
        <v>8392468</v>
      </c>
      <c r="B176" s="15"/>
      <c r="C176" s="15"/>
      <c r="J176" s="15" t="str">
        <f>VLOOKUP(A176,sinap!$A$2:$R$9000,2,FALSE)</f>
        <v>H</v>
      </c>
      <c r="K176" s="15" t="str">
        <f>VLOOKUP(A176,sinap!$A$2:$R$9000,3,FALSE)</f>
        <v>VACA</v>
      </c>
      <c r="L176" s="15" t="str">
        <f>VLOOKUP(A176,sinap!$A$2:$R$9000,4,FALSE)</f>
        <v>HEREFORD</v>
      </c>
      <c r="M176" s="15" t="str">
        <f>VLOOKUP(A176,sinap!$A$2:$R$9000,5,FALSE)</f>
        <v>13 años 3 meses</v>
      </c>
      <c r="N176" s="15" t="str">
        <f>VLOOKUP(A176,sinap!$A$2:$R$9000,6,FALSE)</f>
        <v>30-09-2012</v>
      </c>
      <c r="O176" s="15" t="str">
        <f>VLOOKUP(A176,sinap!$A$2:$R$9000,7,FALSE)</f>
        <v>Vivo</v>
      </c>
      <c r="P176" s="15" t="str">
        <f>VLOOKUP(A176,sinap!$A$2:$R$9000,8,FALSE)</f>
        <v>11.1.01.1241</v>
      </c>
      <c r="Q176" s="15" t="str">
        <f>VLOOKUP(A176,sinap!$A$2:$R$9000,12,FALSE)</f>
        <v>11.1.01.0791</v>
      </c>
      <c r="R176" s="15" t="str">
        <f>VLOOKUP(A176,sinap!$A$2:$R$9000,16,FALSE)</f>
        <v>11.1.01.1241</v>
      </c>
      <c r="S176" s="15" t="str">
        <f>VLOOKUP(A176,sinap!$A$2:$Y$9000,20,FALSE)</f>
        <v>SI</v>
      </c>
    </row>
    <row r="177" spans="1:19" s="16" customFormat="1" hidden="1" x14ac:dyDescent="0.25">
      <c r="A177" s="15">
        <v>8392472</v>
      </c>
      <c r="B177" s="15"/>
      <c r="C177" s="15"/>
      <c r="E177" s="16">
        <v>44489</v>
      </c>
      <c r="F177" s="16">
        <v>44908</v>
      </c>
      <c r="G177" s="16">
        <v>45253</v>
      </c>
      <c r="J177" s="15" t="str">
        <f>VLOOKUP(A177,sinap!$A$2:$R$9000,2,FALSE)</f>
        <v>M</v>
      </c>
      <c r="K177" s="15" t="str">
        <f>VLOOKUP(A177,sinap!$A$2:$R$9000,3,FALSE)</f>
        <v>TORO</v>
      </c>
      <c r="L177" s="15" t="str">
        <f>VLOOKUP(A177,sinap!$A$2:$R$9000,4,FALSE)</f>
        <v>HEREFORD</v>
      </c>
      <c r="M177" s="15" t="str">
        <f>VLOOKUP(A177,sinap!$A$2:$R$9000,5,FALSE)</f>
        <v>13 años 3 meses</v>
      </c>
      <c r="N177" s="15" t="str">
        <f>VLOOKUP(A177,sinap!$A$2:$R$9000,6,FALSE)</f>
        <v>30-09-2012</v>
      </c>
      <c r="O177" s="15" t="str">
        <f>VLOOKUP(A177,sinap!$A$2:$R$9000,7,FALSE)</f>
        <v>Vivo</v>
      </c>
      <c r="P177" s="15" t="str">
        <f>VLOOKUP(A177,sinap!$A$2:$R$9000,8,FALSE)</f>
        <v>11.1.01.1241</v>
      </c>
      <c r="Q177" s="15" t="str">
        <f>VLOOKUP(A177,sinap!$A$2:$R$9000,12,FALSE)</f>
        <v>Sin Movimiento</v>
      </c>
      <c r="R177" s="15" t="str">
        <f>VLOOKUP(A177,sinap!$A$2:$R$9000,16,FALSE)</f>
        <v>11.1.01.1241</v>
      </c>
      <c r="S177" s="15" t="str">
        <f>VLOOKUP(A177,sinap!$A$2:$Y$9000,20,FALSE)</f>
        <v>SI</v>
      </c>
    </row>
    <row r="178" spans="1:19" s="16" customFormat="1" hidden="1" x14ac:dyDescent="0.25">
      <c r="A178" s="15">
        <v>8392476</v>
      </c>
      <c r="B178" s="15"/>
      <c r="C178" s="15"/>
      <c r="E178" s="16">
        <v>44489</v>
      </c>
      <c r="F178" s="16">
        <v>44708</v>
      </c>
      <c r="G178" s="16">
        <v>45265</v>
      </c>
      <c r="J178" s="15" t="str">
        <f>VLOOKUP(A178,sinap!$A$2:$R$9000,2,FALSE)</f>
        <v>H</v>
      </c>
      <c r="K178" s="15" t="str">
        <f>VLOOKUP(A178,sinap!$A$2:$R$9000,3,FALSE)</f>
        <v>VACA</v>
      </c>
      <c r="L178" s="15" t="str">
        <f>VLOOKUP(A178,sinap!$A$2:$R$9000,4,FALSE)</f>
        <v>HEREFORD</v>
      </c>
      <c r="M178" s="15" t="str">
        <f>VLOOKUP(A178,sinap!$A$2:$R$9000,5,FALSE)</f>
        <v>13 años 2 meses</v>
      </c>
      <c r="N178" s="15" t="str">
        <f>VLOOKUP(A178,sinap!$A$2:$R$9000,6,FALSE)</f>
        <v>05-11-2012</v>
      </c>
      <c r="O178" s="15" t="str">
        <f>VLOOKUP(A178,sinap!$A$2:$R$9000,7,FALSE)</f>
        <v>Vivo</v>
      </c>
      <c r="P178" s="15" t="str">
        <f>VLOOKUP(A178,sinap!$A$2:$R$9000,8,FALSE)</f>
        <v>11.2.01.0038</v>
      </c>
      <c r="Q178" s="15" t="str">
        <f>VLOOKUP(A178,sinap!$A$2:$R$9000,12,FALSE)</f>
        <v>11.1.01.1081</v>
      </c>
      <c r="R178" s="15" t="str">
        <f>VLOOKUP(A178,sinap!$A$2:$R$9000,16,FALSE)</f>
        <v>11.1.01.1241</v>
      </c>
      <c r="S178" s="15" t="str">
        <f>VLOOKUP(A178,sinap!$A$2:$Y$9000,20,FALSE)</f>
        <v>SI</v>
      </c>
    </row>
    <row r="179" spans="1:19" s="16" customFormat="1" hidden="1" x14ac:dyDescent="0.25">
      <c r="A179" s="15">
        <v>8392483</v>
      </c>
      <c r="B179" s="15"/>
      <c r="C179" s="15"/>
      <c r="E179" s="16">
        <v>44489</v>
      </c>
      <c r="F179" s="16">
        <v>44708</v>
      </c>
      <c r="G179" s="16">
        <v>45265</v>
      </c>
      <c r="J179" s="15" t="str">
        <f>VLOOKUP(A179,sinap!$A$2:$R$9000,2,FALSE)</f>
        <v>H</v>
      </c>
      <c r="K179" s="15" t="str">
        <f>VLOOKUP(A179,sinap!$A$2:$R$9000,3,FALSE)</f>
        <v>VACA</v>
      </c>
      <c r="L179" s="15" t="str">
        <f>VLOOKUP(A179,sinap!$A$2:$R$9000,4,FALSE)</f>
        <v>OVERO COLORADO (CLAVEL ALEMAN)</v>
      </c>
      <c r="M179" s="15" t="str">
        <f>VLOOKUP(A179,sinap!$A$2:$R$9000,5,FALSE)</f>
        <v>13 años 3 meses</v>
      </c>
      <c r="N179" s="15" t="str">
        <f>VLOOKUP(A179,sinap!$A$2:$R$9000,6,FALSE)</f>
        <v>30-09-2012</v>
      </c>
      <c r="O179" s="15" t="str">
        <f>VLOOKUP(A179,sinap!$A$2:$R$9000,7,FALSE)</f>
        <v>Vivo</v>
      </c>
      <c r="P179" s="15" t="str">
        <f>VLOOKUP(A179,sinap!$A$2:$R$9000,8,FALSE)</f>
        <v>11.1.01.0893</v>
      </c>
      <c r="Q179" s="15" t="str">
        <f>VLOOKUP(A179,sinap!$A$2:$R$9000,12,FALSE)</f>
        <v>11.1.01.1022</v>
      </c>
      <c r="R179" s="15" t="str">
        <f>VLOOKUP(A179,sinap!$A$2:$R$9000,16,FALSE)</f>
        <v>11.1.01.1241</v>
      </c>
      <c r="S179" s="15" t="str">
        <f>VLOOKUP(A179,sinap!$A$2:$Y$9000,20,FALSE)</f>
        <v>SI</v>
      </c>
    </row>
    <row r="180" spans="1:19" s="16" customFormat="1" hidden="1" x14ac:dyDescent="0.25">
      <c r="A180" s="15">
        <v>8392498</v>
      </c>
      <c r="B180" s="15"/>
      <c r="C180" s="15"/>
      <c r="E180" s="16">
        <v>44489</v>
      </c>
      <c r="F180" s="16">
        <v>44908</v>
      </c>
      <c r="G180" s="16">
        <v>45265</v>
      </c>
      <c r="J180" s="15" t="str">
        <f>VLOOKUP(A180,sinap!$A$2:$R$9000,2,FALSE)</f>
        <v>M</v>
      </c>
      <c r="K180" s="15" t="str">
        <f>VLOOKUP(A180,sinap!$A$2:$R$9000,3,FALSE)</f>
        <v>TORO</v>
      </c>
      <c r="L180" s="15" t="str">
        <f>VLOOKUP(A180,sinap!$A$2:$R$9000,4,FALSE)</f>
        <v>ANGUS NEGRO</v>
      </c>
      <c r="M180" s="15" t="str">
        <f>VLOOKUP(A180,sinap!$A$2:$R$9000,5,FALSE)</f>
        <v>13 años 3 meses</v>
      </c>
      <c r="N180" s="15" t="str">
        <f>VLOOKUP(A180,sinap!$A$2:$R$9000,6,FALSE)</f>
        <v>30-09-2012</v>
      </c>
      <c r="O180" s="15" t="str">
        <f>VLOOKUP(A180,sinap!$A$2:$R$9000,7,FALSE)</f>
        <v>Vivo</v>
      </c>
      <c r="P180" s="15" t="str">
        <f>VLOOKUP(A180,sinap!$A$2:$R$9000,8,FALSE)</f>
        <v>11.1.01.1241</v>
      </c>
      <c r="Q180" s="15" t="str">
        <f>VLOOKUP(A180,sinap!$A$2:$R$9000,12,FALSE)</f>
        <v>11.1.01.1081</v>
      </c>
      <c r="R180" s="15" t="str">
        <f>VLOOKUP(A180,sinap!$A$2:$R$9000,16,FALSE)</f>
        <v>11.1.01.1241</v>
      </c>
      <c r="S180" s="15" t="str">
        <f>VLOOKUP(A180,sinap!$A$2:$Y$9000,20,FALSE)</f>
        <v>SI</v>
      </c>
    </row>
    <row r="181" spans="1:19" s="16" customFormat="1" hidden="1" x14ac:dyDescent="0.25">
      <c r="A181" s="15">
        <v>8392502</v>
      </c>
      <c r="B181" s="15"/>
      <c r="C181" s="15"/>
      <c r="E181" s="16">
        <v>44489</v>
      </c>
      <c r="F181" s="16">
        <v>44708</v>
      </c>
      <c r="G181" s="16">
        <v>45265</v>
      </c>
      <c r="H181" s="16">
        <v>45648</v>
      </c>
      <c r="I181" s="16">
        <v>45671</v>
      </c>
      <c r="J181" s="15" t="str">
        <f>VLOOKUP(A181,sinap!$A$2:$R$9000,2,FALSE)</f>
        <v>H</v>
      </c>
      <c r="K181" s="15" t="str">
        <f>VLOOKUP(A181,sinap!$A$2:$R$9000,3,FALSE)</f>
        <v>VACA</v>
      </c>
      <c r="L181" s="15" t="str">
        <f>VLOOKUP(A181,sinap!$A$2:$R$9000,4,FALSE)</f>
        <v>ANGUS NEGRO</v>
      </c>
      <c r="M181" s="15" t="str">
        <f>VLOOKUP(A181,sinap!$A$2:$R$9000,5,FALSE)</f>
        <v>13 años 4 meses</v>
      </c>
      <c r="N181" s="15" t="str">
        <f>VLOOKUP(A181,sinap!$A$2:$R$9000,6,FALSE)</f>
        <v>30-08-2012</v>
      </c>
      <c r="O181" s="15" t="str">
        <f>VLOOKUP(A181,sinap!$A$2:$R$9000,7,FALSE)</f>
        <v>Vivo</v>
      </c>
      <c r="P181" s="15" t="str">
        <f>VLOOKUP(A181,sinap!$A$2:$R$9000,8,FALSE)</f>
        <v>11.1.01.0941</v>
      </c>
      <c r="Q181" s="15" t="str">
        <f>VLOOKUP(A181,sinap!$A$2:$R$9000,12,FALSE)</f>
        <v>11.1.01.1241</v>
      </c>
      <c r="R181" s="15" t="str">
        <f>VLOOKUP(A181,sinap!$A$2:$R$9000,16,FALSE)</f>
        <v>11.1.01.1241</v>
      </c>
      <c r="S181" s="15" t="str">
        <f>VLOOKUP(A181,sinap!$A$2:$Y$9000,20,FALSE)</f>
        <v>SI</v>
      </c>
    </row>
    <row r="182" spans="1:19" s="16" customFormat="1" hidden="1" x14ac:dyDescent="0.25">
      <c r="A182" s="15">
        <v>8392507</v>
      </c>
      <c r="B182" s="15"/>
      <c r="C182" s="15"/>
      <c r="E182" s="16">
        <v>44489</v>
      </c>
      <c r="F182" s="16">
        <v>44708</v>
      </c>
      <c r="G182" s="16">
        <v>45265</v>
      </c>
      <c r="J182" s="15" t="str">
        <f>VLOOKUP(A182,sinap!$A$2:$R$9000,2,FALSE)</f>
        <v>H</v>
      </c>
      <c r="K182" s="15" t="str">
        <f>VLOOKUP(A182,sinap!$A$2:$R$9000,3,FALSE)</f>
        <v>VACA</v>
      </c>
      <c r="L182" s="15" t="str">
        <f>VLOOKUP(A182,sinap!$A$2:$R$9000,4,FALSE)</f>
        <v>HEREFORD</v>
      </c>
      <c r="M182" s="15" t="str">
        <f>VLOOKUP(A182,sinap!$A$2:$R$9000,5,FALSE)</f>
        <v>13 años 4 meses</v>
      </c>
      <c r="N182" s="15" t="str">
        <f>VLOOKUP(A182,sinap!$A$2:$R$9000,6,FALSE)</f>
        <v>30-08-2012</v>
      </c>
      <c r="O182" s="15" t="str">
        <f>VLOOKUP(A182,sinap!$A$2:$R$9000,7,FALSE)</f>
        <v>Vivo</v>
      </c>
      <c r="P182" s="15" t="str">
        <f>VLOOKUP(A182,sinap!$A$2:$R$9000,8,FALSE)</f>
        <v>11.2.01.0038</v>
      </c>
      <c r="Q182" s="15" t="str">
        <f>VLOOKUP(A182,sinap!$A$2:$R$9000,12,FALSE)</f>
        <v>11.1.01.1081</v>
      </c>
      <c r="R182" s="15" t="str">
        <f>VLOOKUP(A182,sinap!$A$2:$R$9000,16,FALSE)</f>
        <v>11.1.01.1241</v>
      </c>
      <c r="S182" s="15" t="str">
        <f>VLOOKUP(A182,sinap!$A$2:$Y$9000,20,FALSE)</f>
        <v>SI</v>
      </c>
    </row>
    <row r="183" spans="1:19" s="16" customFormat="1" hidden="1" x14ac:dyDescent="0.25">
      <c r="A183" s="15">
        <v>8392511</v>
      </c>
      <c r="B183" s="15"/>
      <c r="C183" s="15"/>
      <c r="E183" s="16">
        <v>44489</v>
      </c>
      <c r="F183" s="16">
        <v>44708</v>
      </c>
      <c r="G183" s="16">
        <v>45265</v>
      </c>
      <c r="J183" s="15" t="str">
        <f>VLOOKUP(A183,sinap!$A$2:$R$9000,2,FALSE)</f>
        <v>H</v>
      </c>
      <c r="K183" s="15" t="str">
        <f>VLOOKUP(A183,sinap!$A$2:$R$9000,3,FALSE)</f>
        <v>VACA</v>
      </c>
      <c r="L183" s="15" t="str">
        <f>VLOOKUP(A183,sinap!$A$2:$R$9000,4,FALSE)</f>
        <v>ANGUS NEGRO</v>
      </c>
      <c r="M183" s="15" t="str">
        <f>VLOOKUP(A183,sinap!$A$2:$R$9000,5,FALSE)</f>
        <v>13 años 3 meses</v>
      </c>
      <c r="N183" s="15" t="str">
        <f>VLOOKUP(A183,sinap!$A$2:$R$9000,6,FALSE)</f>
        <v>30-09-2012</v>
      </c>
      <c r="O183" s="15" t="str">
        <f>VLOOKUP(A183,sinap!$A$2:$R$9000,7,FALSE)</f>
        <v>Vivo</v>
      </c>
      <c r="P183" s="15" t="str">
        <f>VLOOKUP(A183,sinap!$A$2:$R$9000,8,FALSE)</f>
        <v>11.2.01.0038</v>
      </c>
      <c r="Q183" s="15" t="str">
        <f>VLOOKUP(A183,sinap!$A$2:$R$9000,12,FALSE)</f>
        <v>11.1.01.1241</v>
      </c>
      <c r="R183" s="15" t="str">
        <f>VLOOKUP(A183,sinap!$A$2:$R$9000,16,FALSE)</f>
        <v>11.1.01.1241</v>
      </c>
      <c r="S183" s="15" t="str">
        <f>VLOOKUP(A183,sinap!$A$2:$Y$9000,20,FALSE)</f>
        <v>SI</v>
      </c>
    </row>
    <row r="184" spans="1:19" s="16" customFormat="1" hidden="1" x14ac:dyDescent="0.25">
      <c r="A184" s="15">
        <v>8392525</v>
      </c>
      <c r="B184" s="15"/>
      <c r="C184" s="15"/>
      <c r="E184" s="16">
        <v>44489</v>
      </c>
      <c r="F184" s="16">
        <v>44908</v>
      </c>
      <c r="G184" s="16">
        <v>45265</v>
      </c>
      <c r="J184" s="15" t="str">
        <f>VLOOKUP(A184,sinap!$A$2:$R$9000,2,FALSE)</f>
        <v>H</v>
      </c>
      <c r="K184" s="15" t="str">
        <f>VLOOKUP(A184,sinap!$A$2:$R$9000,3,FALSE)</f>
        <v>VACA</v>
      </c>
      <c r="L184" s="15" t="str">
        <f>VLOOKUP(A184,sinap!$A$2:$R$9000,4,FALSE)</f>
        <v>ANGUS ROJO</v>
      </c>
      <c r="M184" s="15" t="str">
        <f>VLOOKUP(A184,sinap!$A$2:$R$9000,5,FALSE)</f>
        <v>13 años 4 meses</v>
      </c>
      <c r="N184" s="15" t="str">
        <f>VLOOKUP(A184,sinap!$A$2:$R$9000,6,FALSE)</f>
        <v>30-08-2012</v>
      </c>
      <c r="O184" s="15" t="str">
        <f>VLOOKUP(A184,sinap!$A$2:$R$9000,7,FALSE)</f>
        <v>Vivo</v>
      </c>
      <c r="P184" s="15" t="str">
        <f>VLOOKUP(A184,sinap!$A$2:$R$9000,8,FALSE)</f>
        <v>11.1.01.1241</v>
      </c>
      <c r="Q184" s="15" t="str">
        <f>VLOOKUP(A184,sinap!$A$2:$R$9000,12,FALSE)</f>
        <v>11.1.01.0791</v>
      </c>
      <c r="R184" s="15" t="str">
        <f>VLOOKUP(A184,sinap!$A$2:$R$9000,16,FALSE)</f>
        <v>11.1.01.1241</v>
      </c>
      <c r="S184" s="15" t="str">
        <f>VLOOKUP(A184,sinap!$A$2:$Y$9000,20,FALSE)</f>
        <v>SI</v>
      </c>
    </row>
    <row r="185" spans="1:19" s="16" customFormat="1" hidden="1" x14ac:dyDescent="0.25">
      <c r="A185" s="15">
        <v>8392537</v>
      </c>
      <c r="B185" s="15"/>
      <c r="C185" s="15"/>
      <c r="E185" s="16">
        <v>44489</v>
      </c>
      <c r="F185" s="16">
        <v>44708</v>
      </c>
      <c r="G185" s="16">
        <v>45265</v>
      </c>
      <c r="J185" s="15" t="str">
        <f>VLOOKUP(A185,sinap!$A$2:$R$9000,2,FALSE)</f>
        <v>H</v>
      </c>
      <c r="K185" s="15" t="str">
        <f>VLOOKUP(A185,sinap!$A$2:$R$9000,3,FALSE)</f>
        <v>VACA</v>
      </c>
      <c r="L185" s="15" t="str">
        <f>VLOOKUP(A185,sinap!$A$2:$R$9000,4,FALSE)</f>
        <v>ANGUS NEGRO</v>
      </c>
      <c r="M185" s="15" t="str">
        <f>VLOOKUP(A185,sinap!$A$2:$R$9000,5,FALSE)</f>
        <v>13 años 2 meses</v>
      </c>
      <c r="N185" s="15" t="str">
        <f>VLOOKUP(A185,sinap!$A$2:$R$9000,6,FALSE)</f>
        <v>30-10-2012</v>
      </c>
      <c r="O185" s="15" t="str">
        <f>VLOOKUP(A185,sinap!$A$2:$R$9000,7,FALSE)</f>
        <v>Vivo</v>
      </c>
      <c r="P185" s="15" t="str">
        <f>VLOOKUP(A185,sinap!$A$2:$R$9000,8,FALSE)</f>
        <v>11.1.01.1241</v>
      </c>
      <c r="Q185" s="15" t="str">
        <f>VLOOKUP(A185,sinap!$A$2:$R$9000,12,FALSE)</f>
        <v>11.2.01.0038</v>
      </c>
      <c r="R185" s="15" t="str">
        <f>VLOOKUP(A185,sinap!$A$2:$R$9000,16,FALSE)</f>
        <v>11.1.01.1241</v>
      </c>
      <c r="S185" s="15" t="str">
        <f>VLOOKUP(A185,sinap!$A$2:$Y$9000,20,FALSE)</f>
        <v>SI</v>
      </c>
    </row>
    <row r="186" spans="1:19" s="16" customFormat="1" hidden="1" x14ac:dyDescent="0.25">
      <c r="A186" s="15">
        <v>8392540</v>
      </c>
      <c r="B186" s="15"/>
      <c r="C186" s="15"/>
      <c r="E186" s="16">
        <v>44489</v>
      </c>
      <c r="F186" s="16">
        <v>44708</v>
      </c>
      <c r="G186" s="16">
        <v>45265</v>
      </c>
      <c r="J186" s="15" t="str">
        <f>VLOOKUP(A186,sinap!$A$2:$R$9000,2,FALSE)</f>
        <v>H</v>
      </c>
      <c r="K186" s="15" t="str">
        <f>VLOOKUP(A186,sinap!$A$2:$R$9000,3,FALSE)</f>
        <v>VACA</v>
      </c>
      <c r="L186" s="15" t="str">
        <f>VLOOKUP(A186,sinap!$A$2:$R$9000,4,FALSE)</f>
        <v>ANGUS ROJO</v>
      </c>
      <c r="M186" s="15" t="str">
        <f>VLOOKUP(A186,sinap!$A$2:$R$9000,5,FALSE)</f>
        <v>13 años 2 meses</v>
      </c>
      <c r="N186" s="15" t="str">
        <f>VLOOKUP(A186,sinap!$A$2:$R$9000,6,FALSE)</f>
        <v>30-10-2012</v>
      </c>
      <c r="O186" s="15" t="str">
        <f>VLOOKUP(A186,sinap!$A$2:$R$9000,7,FALSE)</f>
        <v>Vivo</v>
      </c>
      <c r="P186" s="15" t="str">
        <f>VLOOKUP(A186,sinap!$A$2:$R$9000,8,FALSE)</f>
        <v>11.1.01.1241</v>
      </c>
      <c r="Q186" s="15" t="str">
        <f>VLOOKUP(A186,sinap!$A$2:$R$9000,12,FALSE)</f>
        <v>11.1.01.1081</v>
      </c>
      <c r="R186" s="15" t="str">
        <f>VLOOKUP(A186,sinap!$A$2:$R$9000,16,FALSE)</f>
        <v>11.1.01.1241</v>
      </c>
      <c r="S186" s="15" t="str">
        <f>VLOOKUP(A186,sinap!$A$2:$Y$9000,20,FALSE)</f>
        <v>SI</v>
      </c>
    </row>
    <row r="187" spans="1:19" s="16" customFormat="1" hidden="1" x14ac:dyDescent="0.25">
      <c r="A187" s="15">
        <v>8392547</v>
      </c>
      <c r="B187" s="15"/>
      <c r="C187" s="15"/>
      <c r="E187" s="16">
        <v>44489</v>
      </c>
      <c r="F187" s="16">
        <v>44708</v>
      </c>
      <c r="G187" s="16">
        <v>45265</v>
      </c>
      <c r="J187" s="15" t="str">
        <f>VLOOKUP(A187,sinap!$A$2:$R$9000,2,FALSE)</f>
        <v>H</v>
      </c>
      <c r="K187" s="15" t="str">
        <f>VLOOKUP(A187,sinap!$A$2:$R$9000,3,FALSE)</f>
        <v>VACA</v>
      </c>
      <c r="L187" s="15" t="str">
        <f>VLOOKUP(A187,sinap!$A$2:$R$9000,4,FALSE)</f>
        <v>ANGUS NEGRO</v>
      </c>
      <c r="M187" s="15" t="str">
        <f>VLOOKUP(A187,sinap!$A$2:$R$9000,5,FALSE)</f>
        <v>13 años 2 meses</v>
      </c>
      <c r="N187" s="15" t="str">
        <f>VLOOKUP(A187,sinap!$A$2:$R$9000,6,FALSE)</f>
        <v>05-11-2012</v>
      </c>
      <c r="O187" s="15" t="str">
        <f>VLOOKUP(A187,sinap!$A$2:$R$9000,7,FALSE)</f>
        <v>Vivo</v>
      </c>
      <c r="P187" s="15" t="str">
        <f>VLOOKUP(A187,sinap!$A$2:$R$9000,8,FALSE)</f>
        <v>11.2.01.0038</v>
      </c>
      <c r="Q187" s="15" t="str">
        <f>VLOOKUP(A187,sinap!$A$2:$R$9000,12,FALSE)</f>
        <v>11.1.01.1081</v>
      </c>
      <c r="R187" s="15" t="str">
        <f>VLOOKUP(A187,sinap!$A$2:$R$9000,16,FALSE)</f>
        <v>11.1.01.1241</v>
      </c>
      <c r="S187" s="15" t="str">
        <f>VLOOKUP(A187,sinap!$A$2:$Y$9000,20,FALSE)</f>
        <v>SI</v>
      </c>
    </row>
    <row r="188" spans="1:19" s="16" customFormat="1" hidden="1" x14ac:dyDescent="0.25">
      <c r="A188" s="15">
        <v>8392549</v>
      </c>
      <c r="B188" s="15"/>
      <c r="C188" s="15"/>
      <c r="J188" s="15" t="str">
        <f>VLOOKUP(A188,sinap!$A$2:$R$9000,2,FALSE)</f>
        <v>H</v>
      </c>
      <c r="K188" s="15" t="str">
        <f>VLOOKUP(A188,sinap!$A$2:$R$9000,3,FALSE)</f>
        <v>VACA</v>
      </c>
      <c r="L188" s="15" t="str">
        <f>VLOOKUP(A188,sinap!$A$2:$R$9000,4,FALSE)</f>
        <v>ANGUS NEGRO</v>
      </c>
      <c r="M188" s="15" t="str">
        <f>VLOOKUP(A188,sinap!$A$2:$R$9000,5,FALSE)</f>
        <v>13 años 2 meses</v>
      </c>
      <c r="N188" s="15" t="str">
        <f>VLOOKUP(A188,sinap!$A$2:$R$9000,6,FALSE)</f>
        <v>30-10-2012</v>
      </c>
      <c r="O188" s="15" t="str">
        <f>VLOOKUP(A188,sinap!$A$2:$R$9000,7,FALSE)</f>
        <v>Vivo</v>
      </c>
      <c r="P188" s="15" t="str">
        <f>VLOOKUP(A188,sinap!$A$2:$R$9000,8,FALSE)</f>
        <v>11.2.01.0038</v>
      </c>
      <c r="Q188" s="15" t="str">
        <f>VLOOKUP(A188,sinap!$A$2:$R$9000,12,FALSE)</f>
        <v>11.1.01.1081</v>
      </c>
      <c r="R188" s="15" t="str">
        <f>VLOOKUP(A188,sinap!$A$2:$R$9000,16,FALSE)</f>
        <v>11.1.01.1241</v>
      </c>
      <c r="S188" s="15" t="str">
        <f>VLOOKUP(A188,sinap!$A$2:$Y$9000,20,FALSE)</f>
        <v>SI</v>
      </c>
    </row>
    <row r="189" spans="1:19" s="16" customFormat="1" hidden="1" x14ac:dyDescent="0.25">
      <c r="A189" s="15">
        <v>8392555</v>
      </c>
      <c r="B189" s="15"/>
      <c r="C189" s="15"/>
      <c r="E189" s="16">
        <v>44489</v>
      </c>
      <c r="F189" s="16">
        <v>44708</v>
      </c>
      <c r="G189" s="16">
        <v>45265</v>
      </c>
      <c r="J189" s="15" t="str">
        <f>VLOOKUP(A189,sinap!$A$2:$R$9000,2,FALSE)</f>
        <v>H</v>
      </c>
      <c r="K189" s="15" t="str">
        <f>VLOOKUP(A189,sinap!$A$2:$R$9000,3,FALSE)</f>
        <v>VACA</v>
      </c>
      <c r="L189" s="15" t="str">
        <f>VLOOKUP(A189,sinap!$A$2:$R$9000,4,FALSE)</f>
        <v>HEREFORD</v>
      </c>
      <c r="M189" s="15" t="str">
        <f>VLOOKUP(A189,sinap!$A$2:$R$9000,5,FALSE)</f>
        <v>13 años 2 meses</v>
      </c>
      <c r="N189" s="15" t="str">
        <f>VLOOKUP(A189,sinap!$A$2:$R$9000,6,FALSE)</f>
        <v>30-10-2012</v>
      </c>
      <c r="O189" s="15" t="str">
        <f>VLOOKUP(A189,sinap!$A$2:$R$9000,7,FALSE)</f>
        <v>Vivo</v>
      </c>
      <c r="P189" s="15" t="str">
        <f>VLOOKUP(A189,sinap!$A$2:$R$9000,8,FALSE)</f>
        <v>11.1.01.1241</v>
      </c>
      <c r="Q189" s="15" t="str">
        <f>VLOOKUP(A189,sinap!$A$2:$R$9000,12,FALSE)</f>
        <v>11.1.01.0791</v>
      </c>
      <c r="R189" s="15" t="str">
        <f>VLOOKUP(A189,sinap!$A$2:$R$9000,16,FALSE)</f>
        <v>11.1.01.1241</v>
      </c>
      <c r="S189" s="15" t="str">
        <f>VLOOKUP(A189,sinap!$A$2:$Y$9000,20,FALSE)</f>
        <v>SI</v>
      </c>
    </row>
    <row r="190" spans="1:19" s="16" customFormat="1" ht="15.75" hidden="1" customHeight="1" x14ac:dyDescent="0.25">
      <c r="A190" s="15">
        <v>8392581</v>
      </c>
      <c r="B190" s="15"/>
      <c r="C190" s="15"/>
      <c r="E190" s="16">
        <v>44489</v>
      </c>
      <c r="F190" s="16">
        <v>44708</v>
      </c>
      <c r="G190" s="16">
        <v>45220</v>
      </c>
      <c r="J190" s="15" t="str">
        <f>VLOOKUP(A190,sinap!$A$2:$R$9000,2,FALSE)</f>
        <v>H</v>
      </c>
      <c r="K190" s="15" t="str">
        <f>VLOOKUP(A190,sinap!$A$2:$R$9000,3,FALSE)</f>
        <v>VACA</v>
      </c>
      <c r="L190" s="15" t="str">
        <f>VLOOKUP(A190,sinap!$A$2:$R$9000,4,FALSE)</f>
        <v>ANGUS NEGRO</v>
      </c>
      <c r="M190" s="15" t="str">
        <f>VLOOKUP(A190,sinap!$A$2:$R$9000,5,FALSE)</f>
        <v>13 años 3 meses</v>
      </c>
      <c r="N190" s="15" t="str">
        <f>VLOOKUP(A190,sinap!$A$2:$R$9000,6,FALSE)</f>
        <v>30-09-2012</v>
      </c>
      <c r="O190" s="15" t="str">
        <f>VLOOKUP(A190,sinap!$A$2:$R$9000,7,FALSE)</f>
        <v>Vivo</v>
      </c>
      <c r="P190" s="15" t="str">
        <f>VLOOKUP(A190,sinap!$A$2:$R$9000,8,FALSE)</f>
        <v>11.1.01.1241</v>
      </c>
      <c r="Q190" s="15" t="str">
        <f>VLOOKUP(A190,sinap!$A$2:$R$9000,12,FALSE)</f>
        <v>11.1.01.1022</v>
      </c>
      <c r="R190" s="15" t="str">
        <f>VLOOKUP(A190,sinap!$A$2:$R$9000,16,FALSE)</f>
        <v>11.1.01.1241</v>
      </c>
      <c r="S190" s="15" t="str">
        <f>VLOOKUP(A190,sinap!$A$2:$Y$9000,20,FALSE)</f>
        <v>SI</v>
      </c>
    </row>
    <row r="191" spans="1:19" s="16" customFormat="1" hidden="1" x14ac:dyDescent="0.25">
      <c r="A191" s="15">
        <v>8392585</v>
      </c>
      <c r="B191" s="15"/>
      <c r="C191" s="15"/>
      <c r="E191" s="16">
        <v>44489</v>
      </c>
      <c r="F191" s="16">
        <v>44708</v>
      </c>
      <c r="G191" s="16">
        <v>45220</v>
      </c>
      <c r="J191" s="15" t="str">
        <f>VLOOKUP(A191,sinap!$A$2:$R$9000,2,FALSE)</f>
        <v>M</v>
      </c>
      <c r="K191" s="15" t="str">
        <f>VLOOKUP(A191,sinap!$A$2:$R$9000,3,FALSE)</f>
        <v>TORO</v>
      </c>
      <c r="L191" s="15" t="str">
        <f>VLOOKUP(A191,sinap!$A$2:$R$9000,4,FALSE)</f>
        <v>ANGUS NEGRO</v>
      </c>
      <c r="M191" s="15" t="str">
        <f>VLOOKUP(A191,sinap!$A$2:$R$9000,5,FALSE)</f>
        <v>13 años 2 meses</v>
      </c>
      <c r="N191" s="15" t="str">
        <f>VLOOKUP(A191,sinap!$A$2:$R$9000,6,FALSE)</f>
        <v>30-10-2012</v>
      </c>
      <c r="O191" s="15" t="str">
        <f>VLOOKUP(A191,sinap!$A$2:$R$9000,7,FALSE)</f>
        <v>Vivo</v>
      </c>
      <c r="P191" s="15" t="str">
        <f>VLOOKUP(A191,sinap!$A$2:$R$9000,8,FALSE)</f>
        <v>11.2.01.0038</v>
      </c>
      <c r="Q191" s="15" t="str">
        <f>VLOOKUP(A191,sinap!$A$2:$R$9000,12,FALSE)</f>
        <v>11.1.01.1241</v>
      </c>
      <c r="R191" s="15" t="str">
        <f>VLOOKUP(A191,sinap!$A$2:$R$9000,16,FALSE)</f>
        <v>11.1.01.1241</v>
      </c>
      <c r="S191" s="15" t="str">
        <f>VLOOKUP(A191,sinap!$A$2:$Y$9000,20,FALSE)</f>
        <v>SI</v>
      </c>
    </row>
    <row r="192" spans="1:19" s="16" customFormat="1" hidden="1" x14ac:dyDescent="0.25">
      <c r="A192" s="15">
        <v>8392591</v>
      </c>
      <c r="B192" s="15"/>
      <c r="C192" s="15"/>
      <c r="E192" s="16">
        <v>44489</v>
      </c>
      <c r="F192" s="16">
        <v>44708</v>
      </c>
      <c r="G192" s="16">
        <v>45265</v>
      </c>
      <c r="J192" s="15" t="str">
        <f>VLOOKUP(A192,sinap!$A$2:$R$9000,2,FALSE)</f>
        <v>M</v>
      </c>
      <c r="K192" s="15" t="str">
        <f>VLOOKUP(A192,sinap!$A$2:$R$9000,3,FALSE)</f>
        <v>TORO</v>
      </c>
      <c r="L192" s="15" t="str">
        <f>VLOOKUP(A192,sinap!$A$2:$R$9000,4,FALSE)</f>
        <v>ANGUS NEGRO</v>
      </c>
      <c r="M192" s="15" t="str">
        <f>VLOOKUP(A192,sinap!$A$2:$R$9000,5,FALSE)</f>
        <v>13 años 2 meses</v>
      </c>
      <c r="N192" s="15" t="str">
        <f>VLOOKUP(A192,sinap!$A$2:$R$9000,6,FALSE)</f>
        <v>30-10-2012</v>
      </c>
      <c r="O192" s="15" t="str">
        <f>VLOOKUP(A192,sinap!$A$2:$R$9000,7,FALSE)</f>
        <v>Vivo</v>
      </c>
      <c r="P192" s="15" t="str">
        <f>VLOOKUP(A192,sinap!$A$2:$R$9000,8,FALSE)</f>
        <v>11.1.01.1241</v>
      </c>
      <c r="Q192" s="15" t="str">
        <f>VLOOKUP(A192,sinap!$A$2:$R$9000,12,FALSE)</f>
        <v>Sin Movimiento</v>
      </c>
      <c r="R192" s="15" t="str">
        <f>VLOOKUP(A192,sinap!$A$2:$R$9000,16,FALSE)</f>
        <v>11.1.01.1241</v>
      </c>
      <c r="S192" s="15" t="str">
        <f>VLOOKUP(A192,sinap!$A$2:$Y$9000,20,FALSE)</f>
        <v>SI</v>
      </c>
    </row>
    <row r="193" spans="1:19" s="16" customFormat="1" hidden="1" x14ac:dyDescent="0.25">
      <c r="A193" s="15">
        <v>8392596</v>
      </c>
      <c r="B193" s="15"/>
      <c r="C193" s="15"/>
      <c r="E193" s="16">
        <v>44489</v>
      </c>
      <c r="F193" s="16">
        <v>44908</v>
      </c>
      <c r="G193" s="16">
        <v>45253</v>
      </c>
      <c r="J193" s="15" t="str">
        <f>VLOOKUP(A193,sinap!$A$2:$R$9000,2,FALSE)</f>
        <v>H</v>
      </c>
      <c r="K193" s="15" t="str">
        <f>VLOOKUP(A193,sinap!$A$2:$R$9000,3,FALSE)</f>
        <v>VACA</v>
      </c>
      <c r="L193" s="15" t="str">
        <f>VLOOKUP(A193,sinap!$A$2:$R$9000,4,FALSE)</f>
        <v>ANGUS ROJO</v>
      </c>
      <c r="M193" s="15" t="str">
        <f>VLOOKUP(A193,sinap!$A$2:$R$9000,5,FALSE)</f>
        <v>13 años 2 meses</v>
      </c>
      <c r="N193" s="15" t="str">
        <f>VLOOKUP(A193,sinap!$A$2:$R$9000,6,FALSE)</f>
        <v>30-10-2012</v>
      </c>
      <c r="O193" s="15" t="str">
        <f>VLOOKUP(A193,sinap!$A$2:$R$9000,7,FALSE)</f>
        <v>Vivo</v>
      </c>
      <c r="P193" s="15" t="str">
        <f>VLOOKUP(A193,sinap!$A$2:$R$9000,8,FALSE)</f>
        <v>11.1.01.1241</v>
      </c>
      <c r="Q193" s="15" t="str">
        <f>VLOOKUP(A193,sinap!$A$2:$R$9000,12,FALSE)</f>
        <v>11.1.01.0791</v>
      </c>
      <c r="R193" s="15" t="str">
        <f>VLOOKUP(A193,sinap!$A$2:$R$9000,16,FALSE)</f>
        <v>11.1.01.1241</v>
      </c>
      <c r="S193" s="15" t="str">
        <f>VLOOKUP(A193,sinap!$A$2:$Y$9000,20,FALSE)</f>
        <v>SI</v>
      </c>
    </row>
    <row r="194" spans="1:19" s="16" customFormat="1" hidden="1" x14ac:dyDescent="0.25">
      <c r="A194" s="15">
        <v>8392641</v>
      </c>
      <c r="B194" s="15"/>
      <c r="C194" s="15"/>
      <c r="E194" s="16">
        <v>44489</v>
      </c>
      <c r="F194" s="16">
        <v>44708</v>
      </c>
      <c r="G194" s="16">
        <v>45265</v>
      </c>
      <c r="J194" s="15" t="str">
        <f>VLOOKUP(A194,sinap!$A$2:$R$9000,2,FALSE)</f>
        <v>M</v>
      </c>
      <c r="K194" s="15" t="str">
        <f>VLOOKUP(A194,sinap!$A$2:$R$9000,3,FALSE)</f>
        <v>TORO</v>
      </c>
      <c r="L194" s="15" t="str">
        <f>VLOOKUP(A194,sinap!$A$2:$R$9000,4,FALSE)</f>
        <v>ANGUS NEGRO</v>
      </c>
      <c r="M194" s="15" t="str">
        <f>VLOOKUP(A194,sinap!$A$2:$R$9000,5,FALSE)</f>
        <v>13 años 0 meses</v>
      </c>
      <c r="N194" s="15" t="str">
        <f>VLOOKUP(A194,sinap!$A$2:$R$9000,6,FALSE)</f>
        <v>30-12-2012</v>
      </c>
      <c r="O194" s="15" t="str">
        <f>VLOOKUP(A194,sinap!$A$2:$R$9000,7,FALSE)</f>
        <v>Vivo</v>
      </c>
      <c r="P194" s="15" t="str">
        <f>VLOOKUP(A194,sinap!$A$2:$R$9000,8,FALSE)</f>
        <v>11.1.01.1241</v>
      </c>
      <c r="Q194" s="15" t="str">
        <f>VLOOKUP(A194,sinap!$A$2:$R$9000,12,FALSE)</f>
        <v>11.1.01.0790</v>
      </c>
      <c r="R194" s="15" t="str">
        <f>VLOOKUP(A194,sinap!$A$2:$R$9000,16,FALSE)</f>
        <v>11.1.01.0790</v>
      </c>
      <c r="S194" s="15" t="str">
        <f>VLOOKUP(A194,sinap!$A$2:$Y$9000,20,FALSE)</f>
        <v>SI</v>
      </c>
    </row>
    <row r="195" spans="1:19" s="16" customFormat="1" hidden="1" x14ac:dyDescent="0.25">
      <c r="A195" s="15">
        <v>8392660</v>
      </c>
      <c r="B195" s="15"/>
      <c r="C195" s="15"/>
      <c r="E195" s="16">
        <v>44489</v>
      </c>
      <c r="F195" s="16">
        <v>44708</v>
      </c>
      <c r="G195" s="16">
        <v>45265</v>
      </c>
      <c r="J195" s="15" t="str">
        <f>VLOOKUP(A195,sinap!$A$2:$R$9000,2,FALSE)</f>
        <v>M</v>
      </c>
      <c r="K195" s="15" t="str">
        <f>VLOOKUP(A195,sinap!$A$2:$R$9000,3,FALSE)</f>
        <v>TORO</v>
      </c>
      <c r="L195" s="15" t="str">
        <f>VLOOKUP(A195,sinap!$A$2:$R$9000,4,FALSE)</f>
        <v>OVERO COLORADO (CLAVEL ALEMAN)</v>
      </c>
      <c r="M195" s="15" t="str">
        <f>VLOOKUP(A195,sinap!$A$2:$R$9000,5,FALSE)</f>
        <v>13 años 4 meses</v>
      </c>
      <c r="N195" s="15" t="str">
        <f>VLOOKUP(A195,sinap!$A$2:$R$9000,6,FALSE)</f>
        <v>30-08-2012</v>
      </c>
      <c r="O195" s="15" t="str">
        <f>VLOOKUP(A195,sinap!$A$2:$R$9000,7,FALSE)</f>
        <v>Vivo</v>
      </c>
      <c r="P195" s="15" t="str">
        <f>VLOOKUP(A195,sinap!$A$2:$R$9000,8,FALSE)</f>
        <v>11.1.01.1241</v>
      </c>
      <c r="Q195" s="15" t="str">
        <f>VLOOKUP(A195,sinap!$A$2:$R$9000,12,FALSE)</f>
        <v>11.1.01.0790</v>
      </c>
      <c r="R195" s="15" t="str">
        <f>VLOOKUP(A195,sinap!$A$2:$R$9000,16,FALSE)</f>
        <v>11.1.01.0790</v>
      </c>
      <c r="S195" s="15" t="str">
        <f>VLOOKUP(A195,sinap!$A$2:$Y$9000,20,FALSE)</f>
        <v>SI</v>
      </c>
    </row>
    <row r="196" spans="1:19" s="16" customFormat="1" hidden="1" x14ac:dyDescent="0.25">
      <c r="A196" s="15">
        <v>8392739</v>
      </c>
      <c r="B196" s="15"/>
      <c r="C196" s="15"/>
      <c r="E196" s="16">
        <v>44489</v>
      </c>
      <c r="F196" s="16">
        <v>44708</v>
      </c>
      <c r="G196" s="16">
        <v>45265</v>
      </c>
      <c r="J196" s="15" t="str">
        <f>VLOOKUP(A196,sinap!$A$2:$R$9000,2,FALSE)</f>
        <v>H</v>
      </c>
      <c r="K196" s="15" t="str">
        <f>VLOOKUP(A196,sinap!$A$2:$R$9000,3,FALSE)</f>
        <v>VACA</v>
      </c>
      <c r="L196" s="15" t="str">
        <f>VLOOKUP(A196,sinap!$A$2:$R$9000,4,FALSE)</f>
        <v>ANGUS NEGRO</v>
      </c>
      <c r="M196" s="15" t="str">
        <f>VLOOKUP(A196,sinap!$A$2:$R$9000,5,FALSE)</f>
        <v>12 años 11 meses</v>
      </c>
      <c r="N196" s="15" t="str">
        <f>VLOOKUP(A196,sinap!$A$2:$R$9000,6,FALSE)</f>
        <v>28-01-2013</v>
      </c>
      <c r="O196" s="15" t="str">
        <f>VLOOKUP(A196,sinap!$A$2:$R$9000,7,FALSE)</f>
        <v>Vivo</v>
      </c>
      <c r="P196" s="15" t="str">
        <f>VLOOKUP(A196,sinap!$A$2:$R$9000,8,FALSE)</f>
        <v>11.1.01.1241</v>
      </c>
      <c r="Q196" s="15" t="str">
        <f>VLOOKUP(A196,sinap!$A$2:$R$9000,12,FALSE)</f>
        <v>11.2.01.0038</v>
      </c>
      <c r="R196" s="15" t="str">
        <f>VLOOKUP(A196,sinap!$A$2:$R$9000,16,FALSE)</f>
        <v>11.1.01.0790</v>
      </c>
      <c r="S196" s="15" t="str">
        <f>VLOOKUP(A196,sinap!$A$2:$Y$9000,20,FALSE)</f>
        <v>SI</v>
      </c>
    </row>
    <row r="197" spans="1:19" s="16" customFormat="1" hidden="1" x14ac:dyDescent="0.25">
      <c r="A197" s="15">
        <v>8392740</v>
      </c>
      <c r="B197" s="15"/>
      <c r="C197" s="15"/>
      <c r="E197" s="16">
        <v>44489</v>
      </c>
      <c r="F197" s="16">
        <v>44708</v>
      </c>
      <c r="G197" s="16">
        <v>45265</v>
      </c>
      <c r="J197" s="15" t="str">
        <f>VLOOKUP(A197,sinap!$A$2:$R$9000,2,FALSE)</f>
        <v>H</v>
      </c>
      <c r="K197" s="15" t="str">
        <f>VLOOKUP(A197,sinap!$A$2:$R$9000,3,FALSE)</f>
        <v>VACA</v>
      </c>
      <c r="L197" s="15" t="str">
        <f>VLOOKUP(A197,sinap!$A$2:$R$9000,4,FALSE)</f>
        <v>ANGUS ROJO</v>
      </c>
      <c r="M197" s="15" t="str">
        <f>VLOOKUP(A197,sinap!$A$2:$R$9000,5,FALSE)</f>
        <v>12 años 11 meses</v>
      </c>
      <c r="N197" s="15" t="str">
        <f>VLOOKUP(A197,sinap!$A$2:$R$9000,6,FALSE)</f>
        <v>28-01-2013</v>
      </c>
      <c r="O197" s="15" t="str">
        <f>VLOOKUP(A197,sinap!$A$2:$R$9000,7,FALSE)</f>
        <v>Vivo</v>
      </c>
      <c r="P197" s="15" t="str">
        <f>VLOOKUP(A197,sinap!$A$2:$R$9000,8,FALSE)</f>
        <v>11.1.01.1241</v>
      </c>
      <c r="Q197" s="15" t="str">
        <f>VLOOKUP(A197,sinap!$A$2:$R$9000,12,FALSE)</f>
        <v>11.2.01.0038</v>
      </c>
      <c r="R197" s="15" t="str">
        <f>VLOOKUP(A197,sinap!$A$2:$R$9000,16,FALSE)</f>
        <v>11.1.01.0790</v>
      </c>
      <c r="S197" s="15" t="str">
        <f>VLOOKUP(A197,sinap!$A$2:$Y$9000,20,FALSE)</f>
        <v>SI</v>
      </c>
    </row>
    <row r="198" spans="1:19" s="16" customFormat="1" hidden="1" x14ac:dyDescent="0.25">
      <c r="A198" s="15">
        <v>8392762</v>
      </c>
      <c r="B198" s="15"/>
      <c r="C198" s="15"/>
      <c r="E198" s="16">
        <v>44489</v>
      </c>
      <c r="F198" s="16">
        <v>44708</v>
      </c>
      <c r="G198" s="16">
        <v>45265</v>
      </c>
      <c r="J198" s="15" t="str">
        <f>VLOOKUP(A198,sinap!$A$2:$R$9000,2,FALSE)</f>
        <v>H</v>
      </c>
      <c r="K198" s="15" t="str">
        <f>VLOOKUP(A198,sinap!$A$2:$R$9000,3,FALSE)</f>
        <v>VACA</v>
      </c>
      <c r="L198" s="15" t="str">
        <f>VLOOKUP(A198,sinap!$A$2:$R$9000,4,FALSE)</f>
        <v>ANGUS NEGRO</v>
      </c>
      <c r="M198" s="15" t="str">
        <f>VLOOKUP(A198,sinap!$A$2:$R$9000,5,FALSE)</f>
        <v>12 años 11 meses</v>
      </c>
      <c r="N198" s="15" t="str">
        <f>VLOOKUP(A198,sinap!$A$2:$R$9000,6,FALSE)</f>
        <v>30-01-2013</v>
      </c>
      <c r="O198" s="15" t="str">
        <f>VLOOKUP(A198,sinap!$A$2:$R$9000,7,FALSE)</f>
        <v>Vivo</v>
      </c>
      <c r="P198" s="15" t="str">
        <f>VLOOKUP(A198,sinap!$A$2:$R$9000,8,FALSE)</f>
        <v>11.1.01.0893</v>
      </c>
      <c r="Q198" s="15" t="str">
        <f>VLOOKUP(A198,sinap!$A$2:$R$9000,12,FALSE)</f>
        <v>11.2.01.0038</v>
      </c>
      <c r="R198" s="15" t="str">
        <f>VLOOKUP(A198,sinap!$A$2:$R$9000,16,FALSE)</f>
        <v>11.1.01.1240</v>
      </c>
      <c r="S198" s="15" t="str">
        <f>VLOOKUP(A198,sinap!$A$2:$Y$9000,20,FALSE)</f>
        <v>SI</v>
      </c>
    </row>
    <row r="199" spans="1:19" s="16" customFormat="1" hidden="1" x14ac:dyDescent="0.25">
      <c r="A199" s="15">
        <v>8392777</v>
      </c>
      <c r="B199" s="15"/>
      <c r="C199" s="15"/>
      <c r="E199" s="16">
        <v>44489</v>
      </c>
      <c r="F199" s="16">
        <v>44908</v>
      </c>
      <c r="G199" s="16">
        <v>45253</v>
      </c>
      <c r="J199" s="15" t="str">
        <f>VLOOKUP(A199,sinap!$A$2:$R$9000,2,FALSE)</f>
        <v>H</v>
      </c>
      <c r="K199" s="15" t="str">
        <f>VLOOKUP(A199,sinap!$A$2:$R$9000,3,FALSE)</f>
        <v>VACA</v>
      </c>
      <c r="L199" s="15" t="str">
        <f>VLOOKUP(A199,sinap!$A$2:$R$9000,4,FALSE)</f>
        <v>ANGUS NEGRO</v>
      </c>
      <c r="M199" s="15" t="str">
        <f>VLOOKUP(A199,sinap!$A$2:$R$9000,5,FALSE)</f>
        <v>12 años 11 meses</v>
      </c>
      <c r="N199" s="15" t="str">
        <f>VLOOKUP(A199,sinap!$A$2:$R$9000,6,FALSE)</f>
        <v>30-01-2013</v>
      </c>
      <c r="O199" s="15" t="str">
        <f>VLOOKUP(A199,sinap!$A$2:$R$9000,7,FALSE)</f>
        <v>Vivo</v>
      </c>
      <c r="P199" s="15" t="str">
        <f>VLOOKUP(A199,sinap!$A$2:$R$9000,8,FALSE)</f>
        <v>11.2.01.0038</v>
      </c>
      <c r="Q199" s="15" t="str">
        <f>VLOOKUP(A199,sinap!$A$2:$R$9000,12,FALSE)</f>
        <v>11.1.01.0791</v>
      </c>
      <c r="R199" s="15" t="str">
        <f>VLOOKUP(A199,sinap!$A$2:$R$9000,16,FALSE)</f>
        <v>11.1.01.1240</v>
      </c>
      <c r="S199" s="15" t="str">
        <f>VLOOKUP(A199,sinap!$A$2:$Y$9000,20,FALSE)</f>
        <v>SI</v>
      </c>
    </row>
    <row r="200" spans="1:19" s="16" customFormat="1" hidden="1" x14ac:dyDescent="0.25">
      <c r="A200" s="15">
        <v>8392789</v>
      </c>
      <c r="B200" s="15"/>
      <c r="C200" s="15"/>
      <c r="J200" s="15" t="str">
        <f>VLOOKUP(A200,sinap!$A$2:$R$9000,2,FALSE)</f>
        <v>M</v>
      </c>
      <c r="K200" s="15" t="str">
        <f>VLOOKUP(A200,sinap!$A$2:$R$9000,3,FALSE)</f>
        <v>TORO</v>
      </c>
      <c r="L200" s="15" t="str">
        <f>VLOOKUP(A200,sinap!$A$2:$R$9000,4,FALSE)</f>
        <v>ANGUS NEGRO</v>
      </c>
      <c r="M200" s="15" t="str">
        <f>VLOOKUP(A200,sinap!$A$2:$R$9000,5,FALSE)</f>
        <v>12 años 11 meses</v>
      </c>
      <c r="N200" s="15" t="str">
        <f>VLOOKUP(A200,sinap!$A$2:$R$9000,6,FALSE)</f>
        <v>30-01-2013</v>
      </c>
      <c r="O200" s="15" t="str">
        <f>VLOOKUP(A200,sinap!$A$2:$R$9000,7,FALSE)</f>
        <v>Vivo</v>
      </c>
      <c r="P200" s="15" t="str">
        <f>VLOOKUP(A200,sinap!$A$2:$R$9000,8,FALSE)</f>
        <v>11.1.01.1241</v>
      </c>
      <c r="Q200" s="15" t="str">
        <f>VLOOKUP(A200,sinap!$A$2:$R$9000,12,FALSE)</f>
        <v>11.1.01.1081</v>
      </c>
      <c r="R200" s="15" t="str">
        <f>VLOOKUP(A200,sinap!$A$2:$R$9000,16,FALSE)</f>
        <v>11.1.01.1240</v>
      </c>
      <c r="S200" s="15" t="str">
        <f>VLOOKUP(A200,sinap!$A$2:$Y$9000,20,FALSE)</f>
        <v>SI</v>
      </c>
    </row>
    <row r="201" spans="1:19" s="16" customFormat="1" hidden="1" x14ac:dyDescent="0.25">
      <c r="A201" s="15">
        <v>8392809</v>
      </c>
      <c r="B201" s="15"/>
      <c r="C201" s="15"/>
      <c r="E201" s="16">
        <v>44497</v>
      </c>
      <c r="F201" s="16">
        <v>44908</v>
      </c>
      <c r="G201" s="16">
        <v>45265</v>
      </c>
      <c r="J201" s="15" t="str">
        <f>VLOOKUP(A201,sinap!$A$2:$R$9000,2,FALSE)</f>
        <v>H</v>
      </c>
      <c r="K201" s="15" t="str">
        <f>VLOOKUP(A201,sinap!$A$2:$R$9000,3,FALSE)</f>
        <v>VACA</v>
      </c>
      <c r="L201" s="15" t="str">
        <f>VLOOKUP(A201,sinap!$A$2:$R$9000,4,FALSE)</f>
        <v>ANGUS ROJO</v>
      </c>
      <c r="M201" s="15" t="str">
        <f>VLOOKUP(A201,sinap!$A$2:$R$9000,5,FALSE)</f>
        <v>12 años 11 meses</v>
      </c>
      <c r="N201" s="15" t="str">
        <f>VLOOKUP(A201,sinap!$A$2:$R$9000,6,FALSE)</f>
        <v>30-01-2013</v>
      </c>
      <c r="O201" s="15" t="str">
        <f>VLOOKUP(A201,sinap!$A$2:$R$9000,7,FALSE)</f>
        <v>Vivo</v>
      </c>
      <c r="P201" s="15" t="str">
        <f>VLOOKUP(A201,sinap!$A$2:$R$9000,8,FALSE)</f>
        <v>11.1.01.1241</v>
      </c>
      <c r="Q201" s="15" t="str">
        <f>VLOOKUP(A201,sinap!$A$2:$R$9000,12,FALSE)</f>
        <v>11.2.01.0038</v>
      </c>
      <c r="R201" s="15" t="str">
        <f>VLOOKUP(A201,sinap!$A$2:$R$9000,16,FALSE)</f>
        <v>11.1.01.1240</v>
      </c>
      <c r="S201" s="15" t="str">
        <f>VLOOKUP(A201,sinap!$A$2:$Y$9000,20,FALSE)</f>
        <v>SI</v>
      </c>
    </row>
    <row r="202" spans="1:19" s="16" customFormat="1" hidden="1" x14ac:dyDescent="0.25">
      <c r="A202" s="15">
        <v>8392824</v>
      </c>
      <c r="B202" s="15"/>
      <c r="C202" s="15"/>
      <c r="E202" s="16">
        <v>44489</v>
      </c>
      <c r="F202" s="16">
        <v>44708</v>
      </c>
      <c r="G202" s="16">
        <v>45265</v>
      </c>
      <c r="J202" s="15" t="str">
        <f>VLOOKUP(A202,sinap!$A$2:$R$9000,2,FALSE)</f>
        <v>M</v>
      </c>
      <c r="K202" s="15" t="str">
        <f>VLOOKUP(A202,sinap!$A$2:$R$9000,3,FALSE)</f>
        <v>TORO</v>
      </c>
      <c r="L202" s="15" t="str">
        <f>VLOOKUP(A202,sinap!$A$2:$R$9000,4,FALSE)</f>
        <v>ANGUS NEGRO</v>
      </c>
      <c r="M202" s="15" t="str">
        <f>VLOOKUP(A202,sinap!$A$2:$R$9000,5,FALSE)</f>
        <v>12 años 11 meses</v>
      </c>
      <c r="N202" s="15" t="str">
        <f>VLOOKUP(A202,sinap!$A$2:$R$9000,6,FALSE)</f>
        <v>30-01-2013</v>
      </c>
      <c r="O202" s="15" t="str">
        <f>VLOOKUP(A202,sinap!$A$2:$R$9000,7,FALSE)</f>
        <v>Vivo</v>
      </c>
      <c r="P202" s="15" t="str">
        <f>VLOOKUP(A202,sinap!$A$2:$R$9000,8,FALSE)</f>
        <v>11.1.01.1241</v>
      </c>
      <c r="Q202" s="15" t="str">
        <f>VLOOKUP(A202,sinap!$A$2:$R$9000,12,FALSE)</f>
        <v>11.2.01.0038</v>
      </c>
      <c r="R202" s="15" t="str">
        <f>VLOOKUP(A202,sinap!$A$2:$R$9000,16,FALSE)</f>
        <v>11.1.01.1240</v>
      </c>
      <c r="S202" s="15" t="str">
        <f>VLOOKUP(A202,sinap!$A$2:$Y$9000,20,FALSE)</f>
        <v>SI</v>
      </c>
    </row>
    <row r="203" spans="1:19" s="16" customFormat="1" hidden="1" x14ac:dyDescent="0.25">
      <c r="A203" s="15">
        <v>8392829</v>
      </c>
      <c r="B203" s="15"/>
      <c r="C203" s="15"/>
      <c r="E203" s="16">
        <v>44489</v>
      </c>
      <c r="F203" s="16">
        <v>44708</v>
      </c>
      <c r="G203" s="16">
        <v>45265</v>
      </c>
      <c r="J203" s="15" t="str">
        <f>VLOOKUP(A203,sinap!$A$2:$R$9000,2,FALSE)</f>
        <v>H</v>
      </c>
      <c r="K203" s="15" t="str">
        <f>VLOOKUP(A203,sinap!$A$2:$R$9000,3,FALSE)</f>
        <v>VACA</v>
      </c>
      <c r="L203" s="15" t="str">
        <f>VLOOKUP(A203,sinap!$A$2:$R$9000,4,FALSE)</f>
        <v>LIMOUSIN</v>
      </c>
      <c r="M203" s="15" t="str">
        <f>VLOOKUP(A203,sinap!$A$2:$R$9000,5,FALSE)</f>
        <v>12 años 11 meses</v>
      </c>
      <c r="N203" s="15" t="str">
        <f>VLOOKUP(A203,sinap!$A$2:$R$9000,6,FALSE)</f>
        <v>30-01-2013</v>
      </c>
      <c r="O203" s="15" t="str">
        <f>VLOOKUP(A203,sinap!$A$2:$R$9000,7,FALSE)</f>
        <v>Vivo</v>
      </c>
      <c r="P203" s="15" t="str">
        <f>VLOOKUP(A203,sinap!$A$2:$R$9000,8,FALSE)</f>
        <v>11.1.01.1241</v>
      </c>
      <c r="Q203" s="15" t="str">
        <f>VLOOKUP(A203,sinap!$A$2:$R$9000,12,FALSE)</f>
        <v>11.1.01.0791</v>
      </c>
      <c r="R203" s="15" t="str">
        <f>VLOOKUP(A203,sinap!$A$2:$R$9000,16,FALSE)</f>
        <v>11.1.01.1240</v>
      </c>
      <c r="S203" s="15" t="str">
        <f>VLOOKUP(A203,sinap!$A$2:$Y$9000,20,FALSE)</f>
        <v>SI</v>
      </c>
    </row>
    <row r="204" spans="1:19" s="16" customFormat="1" hidden="1" x14ac:dyDescent="0.25">
      <c r="A204" s="15">
        <v>8392844</v>
      </c>
      <c r="B204" s="15"/>
      <c r="C204" s="15"/>
      <c r="E204" s="16">
        <v>44489</v>
      </c>
      <c r="F204" s="16">
        <v>44708</v>
      </c>
      <c r="G204" s="16">
        <v>45265</v>
      </c>
      <c r="J204" s="15" t="str">
        <f>VLOOKUP(A204,sinap!$A$2:$R$9000,2,FALSE)</f>
        <v>H</v>
      </c>
      <c r="K204" s="15" t="str">
        <f>VLOOKUP(A204,sinap!$A$2:$R$9000,3,FALSE)</f>
        <v>VACA</v>
      </c>
      <c r="L204" s="15" t="str">
        <f>VLOOKUP(A204,sinap!$A$2:$R$9000,4,FALSE)</f>
        <v>ANGUS NEGRO</v>
      </c>
      <c r="M204" s="15" t="str">
        <f>VLOOKUP(A204,sinap!$A$2:$R$9000,5,FALSE)</f>
        <v>12 años 11 meses</v>
      </c>
      <c r="N204" s="15" t="str">
        <f>VLOOKUP(A204,sinap!$A$2:$R$9000,6,FALSE)</f>
        <v>30-01-2013</v>
      </c>
      <c r="O204" s="15" t="str">
        <f>VLOOKUP(A204,sinap!$A$2:$R$9000,7,FALSE)</f>
        <v>Vivo</v>
      </c>
      <c r="P204" s="15" t="str">
        <f>VLOOKUP(A204,sinap!$A$2:$R$9000,8,FALSE)</f>
        <v>11.1.01.1241</v>
      </c>
      <c r="Q204" s="15" t="str">
        <f>VLOOKUP(A204,sinap!$A$2:$R$9000,12,FALSE)</f>
        <v>11.2.01.0038</v>
      </c>
      <c r="R204" s="15" t="str">
        <f>VLOOKUP(A204,sinap!$A$2:$R$9000,16,FALSE)</f>
        <v>11.1.01.1240</v>
      </c>
      <c r="S204" s="15" t="str">
        <f>VLOOKUP(A204,sinap!$A$2:$Y$9000,20,FALSE)</f>
        <v>SI</v>
      </c>
    </row>
    <row r="205" spans="1:19" s="16" customFormat="1" hidden="1" x14ac:dyDescent="0.25">
      <c r="A205" s="15">
        <v>8392846</v>
      </c>
      <c r="B205" s="15"/>
      <c r="C205" s="15"/>
      <c r="E205" s="16">
        <v>44489</v>
      </c>
      <c r="F205" s="16">
        <v>44908</v>
      </c>
      <c r="G205" s="16">
        <v>45265</v>
      </c>
      <c r="J205" s="15" t="str">
        <f>VLOOKUP(A205,sinap!$A$2:$R$9000,2,FALSE)</f>
        <v>H</v>
      </c>
      <c r="K205" s="15" t="str">
        <f>VLOOKUP(A205,sinap!$A$2:$R$9000,3,FALSE)</f>
        <v>VACA</v>
      </c>
      <c r="L205" s="15" t="str">
        <f>VLOOKUP(A205,sinap!$A$2:$R$9000,4,FALSE)</f>
        <v>ANGUS ROJO</v>
      </c>
      <c r="M205" s="15" t="str">
        <f>VLOOKUP(A205,sinap!$A$2:$R$9000,5,FALSE)</f>
        <v>12 años 11 meses</v>
      </c>
      <c r="N205" s="15" t="str">
        <f>VLOOKUP(A205,sinap!$A$2:$R$9000,6,FALSE)</f>
        <v>30-01-2013</v>
      </c>
      <c r="O205" s="15" t="str">
        <f>VLOOKUP(A205,sinap!$A$2:$R$9000,7,FALSE)</f>
        <v>Vivo</v>
      </c>
      <c r="P205" s="15" t="str">
        <f>VLOOKUP(A205,sinap!$A$2:$R$9000,8,FALSE)</f>
        <v>11.1.01.1241</v>
      </c>
      <c r="Q205" s="15" t="str">
        <f>VLOOKUP(A205,sinap!$A$2:$R$9000,12,FALSE)</f>
        <v>11.1.01.0791</v>
      </c>
      <c r="R205" s="15" t="str">
        <f>VLOOKUP(A205,sinap!$A$2:$R$9000,16,FALSE)</f>
        <v>11.1.01.1240</v>
      </c>
      <c r="S205" s="15" t="str">
        <f>VLOOKUP(A205,sinap!$A$2:$Y$9000,20,FALSE)</f>
        <v>SI</v>
      </c>
    </row>
    <row r="206" spans="1:19" s="16" customFormat="1" hidden="1" x14ac:dyDescent="0.25">
      <c r="A206" s="15">
        <v>8392850</v>
      </c>
      <c r="B206" s="15"/>
      <c r="C206" s="15"/>
      <c r="J206" s="15" t="str">
        <f>VLOOKUP(A206,sinap!$A$2:$R$9000,2,FALSE)</f>
        <v>H</v>
      </c>
      <c r="K206" s="15" t="str">
        <f>VLOOKUP(A206,sinap!$A$2:$R$9000,3,FALSE)</f>
        <v>VACA</v>
      </c>
      <c r="L206" s="15" t="str">
        <f>VLOOKUP(A206,sinap!$A$2:$R$9000,4,FALSE)</f>
        <v>ANGUS ROJO</v>
      </c>
      <c r="M206" s="15" t="str">
        <f>VLOOKUP(A206,sinap!$A$2:$R$9000,5,FALSE)</f>
        <v>12 años 11 meses</v>
      </c>
      <c r="N206" s="15" t="str">
        <f>VLOOKUP(A206,sinap!$A$2:$R$9000,6,FALSE)</f>
        <v>30-01-2013</v>
      </c>
      <c r="O206" s="15" t="str">
        <f>VLOOKUP(A206,sinap!$A$2:$R$9000,7,FALSE)</f>
        <v>Vivo</v>
      </c>
      <c r="P206" s="15" t="str">
        <f>VLOOKUP(A206,sinap!$A$2:$R$9000,8,FALSE)</f>
        <v>11.1.01.1241</v>
      </c>
      <c r="Q206" s="15" t="str">
        <f>VLOOKUP(A206,sinap!$A$2:$R$9000,12,FALSE)</f>
        <v>11.1.01.0791</v>
      </c>
      <c r="R206" s="15" t="str">
        <f>VLOOKUP(A206,sinap!$A$2:$R$9000,16,FALSE)</f>
        <v>11.1.01.1240</v>
      </c>
      <c r="S206" s="15" t="str">
        <f>VLOOKUP(A206,sinap!$A$2:$Y$9000,20,FALSE)</f>
        <v>SI</v>
      </c>
    </row>
    <row r="207" spans="1:19" s="16" customFormat="1" hidden="1" x14ac:dyDescent="0.25">
      <c r="A207" s="15">
        <v>8392854</v>
      </c>
      <c r="B207" s="15"/>
      <c r="C207" s="15"/>
      <c r="J207" s="15" t="str">
        <f>VLOOKUP(A207,sinap!$A$2:$R$9000,2,FALSE)</f>
        <v>H</v>
      </c>
      <c r="K207" s="15" t="str">
        <f>VLOOKUP(A207,sinap!$A$2:$R$9000,3,FALSE)</f>
        <v>VACA</v>
      </c>
      <c r="L207" s="15" t="str">
        <f>VLOOKUP(A207,sinap!$A$2:$R$9000,4,FALSE)</f>
        <v>HEREFORD</v>
      </c>
      <c r="M207" s="15" t="str">
        <f>VLOOKUP(A207,sinap!$A$2:$R$9000,5,FALSE)</f>
        <v>12 años 11 meses</v>
      </c>
      <c r="N207" s="15" t="str">
        <f>VLOOKUP(A207,sinap!$A$2:$R$9000,6,FALSE)</f>
        <v>30-01-2013</v>
      </c>
      <c r="O207" s="15" t="str">
        <f>VLOOKUP(A207,sinap!$A$2:$R$9000,7,FALSE)</f>
        <v>Vivo</v>
      </c>
      <c r="P207" s="15" t="str">
        <f>VLOOKUP(A207,sinap!$A$2:$R$9000,8,FALSE)</f>
        <v>11.1.01.1241</v>
      </c>
      <c r="Q207" s="15" t="str">
        <f>VLOOKUP(A207,sinap!$A$2:$R$9000,12,FALSE)</f>
        <v>11.1.01.0791</v>
      </c>
      <c r="R207" s="15" t="str">
        <f>VLOOKUP(A207,sinap!$A$2:$R$9000,16,FALSE)</f>
        <v>11.1.01.1240</v>
      </c>
      <c r="S207" s="15" t="str">
        <f>VLOOKUP(A207,sinap!$A$2:$Y$9000,20,FALSE)</f>
        <v>SI</v>
      </c>
    </row>
    <row r="208" spans="1:19" s="16" customFormat="1" hidden="1" x14ac:dyDescent="0.25">
      <c r="A208" s="15">
        <v>8392857</v>
      </c>
      <c r="B208" s="15"/>
      <c r="C208" s="15"/>
      <c r="J208" s="15" t="str">
        <f>VLOOKUP(A208,sinap!$A$2:$R$9000,2,FALSE)</f>
        <v>H</v>
      </c>
      <c r="K208" s="15" t="str">
        <f>VLOOKUP(A208,sinap!$A$2:$R$9000,3,FALSE)</f>
        <v>VACA</v>
      </c>
      <c r="L208" s="15" t="str">
        <f>VLOOKUP(A208,sinap!$A$2:$R$9000,4,FALSE)</f>
        <v>ANGUS NEGRO</v>
      </c>
      <c r="M208" s="15" t="str">
        <f>VLOOKUP(A208,sinap!$A$2:$R$9000,5,FALSE)</f>
        <v>12 años 11 meses</v>
      </c>
      <c r="N208" s="15" t="str">
        <f>VLOOKUP(A208,sinap!$A$2:$R$9000,6,FALSE)</f>
        <v>30-01-2013</v>
      </c>
      <c r="O208" s="15" t="str">
        <f>VLOOKUP(A208,sinap!$A$2:$R$9000,7,FALSE)</f>
        <v>Vivo</v>
      </c>
      <c r="P208" s="15" t="str">
        <f>VLOOKUP(A208,sinap!$A$2:$R$9000,8,FALSE)</f>
        <v>11.1.01.1241</v>
      </c>
      <c r="Q208" s="15" t="str">
        <f>VLOOKUP(A208,sinap!$A$2:$R$9000,12,FALSE)</f>
        <v>11.1.01.0791</v>
      </c>
      <c r="R208" s="15" t="str">
        <f>VLOOKUP(A208,sinap!$A$2:$R$9000,16,FALSE)</f>
        <v>11.1.01.1240</v>
      </c>
      <c r="S208" s="15" t="str">
        <f>VLOOKUP(A208,sinap!$A$2:$Y$9000,20,FALSE)</f>
        <v>SI</v>
      </c>
    </row>
    <row r="209" spans="1:19" s="16" customFormat="1" hidden="1" x14ac:dyDescent="0.25">
      <c r="A209" s="15">
        <v>8392860</v>
      </c>
      <c r="B209" s="15"/>
      <c r="C209" s="15"/>
      <c r="E209" s="16">
        <v>44397</v>
      </c>
      <c r="G209" s="16">
        <v>45264</v>
      </c>
      <c r="J209" s="15" t="str">
        <f>VLOOKUP(A209,sinap!$A$2:$R$9000,2,FALSE)</f>
        <v>H</v>
      </c>
      <c r="K209" s="15" t="str">
        <f>VLOOKUP(A209,sinap!$A$2:$R$9000,3,FALSE)</f>
        <v>VACA</v>
      </c>
      <c r="L209" s="15" t="str">
        <f>VLOOKUP(A209,sinap!$A$2:$R$9000,4,FALSE)</f>
        <v>HEREFORD</v>
      </c>
      <c r="M209" s="15" t="str">
        <f>VLOOKUP(A209,sinap!$A$2:$R$9000,5,FALSE)</f>
        <v>12 años 11 meses</v>
      </c>
      <c r="N209" s="15" t="str">
        <f>VLOOKUP(A209,sinap!$A$2:$R$9000,6,FALSE)</f>
        <v>30-01-2013</v>
      </c>
      <c r="O209" s="15" t="str">
        <f>VLOOKUP(A209,sinap!$A$2:$R$9000,7,FALSE)</f>
        <v>Vivo</v>
      </c>
      <c r="P209" s="15" t="str">
        <f>VLOOKUP(A209,sinap!$A$2:$R$9000,8,FALSE)</f>
        <v>11.1.01.1241</v>
      </c>
      <c r="Q209" s="15" t="str">
        <f>VLOOKUP(A209,sinap!$A$2:$R$9000,12,FALSE)</f>
        <v>11.1.01.0791</v>
      </c>
      <c r="R209" s="15" t="str">
        <f>VLOOKUP(A209,sinap!$A$2:$R$9000,16,FALSE)</f>
        <v>11.1.01.1240</v>
      </c>
      <c r="S209" s="15" t="str">
        <f>VLOOKUP(A209,sinap!$A$2:$Y$9000,20,FALSE)</f>
        <v>SI</v>
      </c>
    </row>
    <row r="210" spans="1:19" s="16" customFormat="1" hidden="1" x14ac:dyDescent="0.25">
      <c r="A210" s="15">
        <v>8392871</v>
      </c>
      <c r="B210" s="15"/>
      <c r="C210" s="15"/>
      <c r="J210" s="15" t="str">
        <f>VLOOKUP(A210,sinap!$A$2:$R$9000,2,FALSE)</f>
        <v>no existe</v>
      </c>
      <c r="K210" s="15" t="str">
        <f>VLOOKUP(A210,sinap!$A$2:$R$9000,3,FALSE)</f>
        <v>no existe</v>
      </c>
      <c r="L210" s="15" t="str">
        <f>VLOOKUP(A210,sinap!$A$2:$R$9000,4,FALSE)</f>
        <v>no existe</v>
      </c>
      <c r="M210" s="15" t="str">
        <f>VLOOKUP(A210,sinap!$A$2:$R$9000,5,FALSE)</f>
        <v>no existe</v>
      </c>
      <c r="N210" s="15" t="str">
        <f>VLOOKUP(A210,sinap!$A$2:$R$9000,6,FALSE)</f>
        <v>no existe</v>
      </c>
      <c r="O210" s="15" t="str">
        <f>VLOOKUP(A210,sinap!$A$2:$R$9000,7,FALSE)</f>
        <v>no existe</v>
      </c>
      <c r="P210" s="15" t="str">
        <f>VLOOKUP(A210,sinap!$A$2:$R$9000,8,FALSE)</f>
        <v>no existe</v>
      </c>
      <c r="Q210" s="15" t="str">
        <f>VLOOKUP(A210,sinap!$A$2:$R$9000,12,FALSE)</f>
        <v>no existe</v>
      </c>
      <c r="R210" s="15" t="str">
        <f>VLOOKUP(A210,sinap!$A$2:$R$9000,16,FALSE)</f>
        <v>no existe</v>
      </c>
      <c r="S210" s="15" t="str">
        <f>VLOOKUP(A210,sinap!$A$2:$Y$9000,20,FALSE)</f>
        <v>no existe</v>
      </c>
    </row>
    <row r="211" spans="1:19" s="16" customFormat="1" hidden="1" x14ac:dyDescent="0.25">
      <c r="A211" s="15">
        <v>8392906</v>
      </c>
      <c r="B211" s="15"/>
      <c r="C211" s="15"/>
      <c r="G211" s="16">
        <v>45264</v>
      </c>
      <c r="J211" s="15" t="str">
        <f>VLOOKUP(A211,sinap!$A$2:$R$9000,2,FALSE)</f>
        <v>M</v>
      </c>
      <c r="K211" s="15" t="str">
        <f>VLOOKUP(A211,sinap!$A$2:$R$9000,3,FALSE)</f>
        <v>TORO</v>
      </c>
      <c r="L211" s="15" t="str">
        <f>VLOOKUP(A211,sinap!$A$2:$R$9000,4,FALSE)</f>
        <v>ANGUS ROJO</v>
      </c>
      <c r="M211" s="15" t="str">
        <f>VLOOKUP(A211,sinap!$A$2:$R$9000,5,FALSE)</f>
        <v>12 años 2 meses</v>
      </c>
      <c r="N211" s="15" t="str">
        <f>VLOOKUP(A211,sinap!$A$2:$R$9000,6,FALSE)</f>
        <v>20-10-2013</v>
      </c>
      <c r="O211" s="15" t="str">
        <f>VLOOKUP(A211,sinap!$A$2:$R$9000,7,FALSE)</f>
        <v>Vivo</v>
      </c>
      <c r="P211" s="15" t="str">
        <f>VLOOKUP(A211,sinap!$A$2:$R$9000,8,FALSE)</f>
        <v>11.1.01.1241</v>
      </c>
      <c r="Q211" s="15" t="str">
        <f>VLOOKUP(A211,sinap!$A$2:$R$9000,12,FALSE)</f>
        <v>11.1.01.1081</v>
      </c>
      <c r="R211" s="15" t="str">
        <f>VLOOKUP(A211,sinap!$A$2:$R$9000,16,FALSE)</f>
        <v>11.1.01.1081</v>
      </c>
      <c r="S211" s="15" t="str">
        <f>VLOOKUP(A211,sinap!$A$2:$Y$9000,20,FALSE)</f>
        <v>SI</v>
      </c>
    </row>
    <row r="212" spans="1:19" s="16" customFormat="1" hidden="1" x14ac:dyDescent="0.25">
      <c r="A212" s="15">
        <v>8392909</v>
      </c>
      <c r="B212" s="15"/>
      <c r="C212" s="15"/>
      <c r="J212" s="15" t="str">
        <f>VLOOKUP(A212,sinap!$A$2:$R$9000,2,FALSE)</f>
        <v>H</v>
      </c>
      <c r="K212" s="15" t="str">
        <f>VLOOKUP(A212,sinap!$A$2:$R$9000,3,FALSE)</f>
        <v>VACA</v>
      </c>
      <c r="L212" s="15" t="str">
        <f>VLOOKUP(A212,sinap!$A$2:$R$9000,4,FALSE)</f>
        <v>HEREFORD</v>
      </c>
      <c r="M212" s="15" t="str">
        <f>VLOOKUP(A212,sinap!$A$2:$R$9000,5,FALSE)</f>
        <v>12 años 2 meses</v>
      </c>
      <c r="N212" s="15" t="str">
        <f>VLOOKUP(A212,sinap!$A$2:$R$9000,6,FALSE)</f>
        <v>20-10-2013</v>
      </c>
      <c r="O212" s="15" t="str">
        <f>VLOOKUP(A212,sinap!$A$2:$R$9000,7,FALSE)</f>
        <v>Vivo</v>
      </c>
      <c r="P212" s="15" t="str">
        <f>VLOOKUP(A212,sinap!$A$2:$R$9000,8,FALSE)</f>
        <v>11.1.01.1241</v>
      </c>
      <c r="Q212" s="15" t="str">
        <f>VLOOKUP(A212,sinap!$A$2:$R$9000,12,FALSE)</f>
        <v>11.2.01.0038</v>
      </c>
      <c r="R212" s="15" t="str">
        <f>VLOOKUP(A212,sinap!$A$2:$R$9000,16,FALSE)</f>
        <v>11.1.01.1081</v>
      </c>
      <c r="S212" s="15" t="str">
        <f>VLOOKUP(A212,sinap!$A$2:$Y$9000,20,FALSE)</f>
        <v>SI</v>
      </c>
    </row>
    <row r="213" spans="1:19" s="16" customFormat="1" hidden="1" x14ac:dyDescent="0.25">
      <c r="A213" s="15">
        <v>8392912</v>
      </c>
      <c r="B213" s="15"/>
      <c r="C213" s="15"/>
      <c r="J213" s="15" t="str">
        <f>VLOOKUP(A213,sinap!$A$2:$R$9000,2,FALSE)</f>
        <v>H</v>
      </c>
      <c r="K213" s="15" t="str">
        <f>VLOOKUP(A213,sinap!$A$2:$R$9000,3,FALSE)</f>
        <v>VACA</v>
      </c>
      <c r="L213" s="15" t="str">
        <f>VLOOKUP(A213,sinap!$A$2:$R$9000,4,FALSE)</f>
        <v>ANGUS NEGRO</v>
      </c>
      <c r="M213" s="15" t="str">
        <f>VLOOKUP(A213,sinap!$A$2:$R$9000,5,FALSE)</f>
        <v>12 años 2 meses</v>
      </c>
      <c r="N213" s="15" t="str">
        <f>VLOOKUP(A213,sinap!$A$2:$R$9000,6,FALSE)</f>
        <v>20-10-2013</v>
      </c>
      <c r="O213" s="15" t="str">
        <f>VLOOKUP(A213,sinap!$A$2:$R$9000,7,FALSE)</f>
        <v>Vivo</v>
      </c>
      <c r="P213" s="15" t="str">
        <f>VLOOKUP(A213,sinap!$A$2:$R$9000,8,FALSE)</f>
        <v>11.1.01.1241</v>
      </c>
      <c r="Q213" s="15" t="str">
        <f>VLOOKUP(A213,sinap!$A$2:$R$9000,12,FALSE)</f>
        <v>11.1.01.1081</v>
      </c>
      <c r="R213" s="15" t="str">
        <f>VLOOKUP(A213,sinap!$A$2:$R$9000,16,FALSE)</f>
        <v>11.1.01.1081</v>
      </c>
      <c r="S213" s="15" t="str">
        <f>VLOOKUP(A213,sinap!$A$2:$Y$9000,20,FALSE)</f>
        <v>SI</v>
      </c>
    </row>
    <row r="214" spans="1:19" s="16" customFormat="1" hidden="1" x14ac:dyDescent="0.25">
      <c r="A214" s="15">
        <v>8392913</v>
      </c>
      <c r="B214" s="15"/>
      <c r="C214" s="15"/>
      <c r="G214" s="16">
        <v>45100</v>
      </c>
      <c r="J214" s="15" t="str">
        <f>VLOOKUP(A214,sinap!$A$2:$R$9000,2,FALSE)</f>
        <v>H</v>
      </c>
      <c r="K214" s="15" t="str">
        <f>VLOOKUP(A214,sinap!$A$2:$R$9000,3,FALSE)</f>
        <v>VACA</v>
      </c>
      <c r="L214" s="15" t="str">
        <f>VLOOKUP(A214,sinap!$A$2:$R$9000,4,FALSE)</f>
        <v>ANGUS NEGRO</v>
      </c>
      <c r="M214" s="15" t="str">
        <f>VLOOKUP(A214,sinap!$A$2:$R$9000,5,FALSE)</f>
        <v>12 años 2 meses</v>
      </c>
      <c r="N214" s="15" t="str">
        <f>VLOOKUP(A214,sinap!$A$2:$R$9000,6,FALSE)</f>
        <v>20-10-2013</v>
      </c>
      <c r="O214" s="15" t="str">
        <f>VLOOKUP(A214,sinap!$A$2:$R$9000,7,FALSE)</f>
        <v>Vivo</v>
      </c>
      <c r="P214" s="15" t="str">
        <f>VLOOKUP(A214,sinap!$A$2:$R$9000,8,FALSE)</f>
        <v>11.1.01.1241</v>
      </c>
      <c r="Q214" s="15" t="str">
        <f>VLOOKUP(A214,sinap!$A$2:$R$9000,12,FALSE)</f>
        <v>11.1.01.1241</v>
      </c>
      <c r="R214" s="15" t="str">
        <f>VLOOKUP(A214,sinap!$A$2:$R$9000,16,FALSE)</f>
        <v>11.1.01.1081</v>
      </c>
      <c r="S214" s="15" t="str">
        <f>VLOOKUP(A214,sinap!$A$2:$Y$9000,20,FALSE)</f>
        <v>SI</v>
      </c>
    </row>
    <row r="215" spans="1:19" s="16" customFormat="1" hidden="1" x14ac:dyDescent="0.25">
      <c r="A215" s="15">
        <v>8392914</v>
      </c>
      <c r="B215" s="15"/>
      <c r="C215" s="15"/>
      <c r="J215" s="15" t="str">
        <f>VLOOKUP(A215,sinap!$A$2:$R$9000,2,FALSE)</f>
        <v>M</v>
      </c>
      <c r="K215" s="15" t="str">
        <f>VLOOKUP(A215,sinap!$A$2:$R$9000,3,FALSE)</f>
        <v>TORO</v>
      </c>
      <c r="L215" s="15" t="str">
        <f>VLOOKUP(A215,sinap!$A$2:$R$9000,4,FALSE)</f>
        <v>ANGUS NEGRO</v>
      </c>
      <c r="M215" s="15" t="str">
        <f>VLOOKUP(A215,sinap!$A$2:$R$9000,5,FALSE)</f>
        <v>12 años 2 meses</v>
      </c>
      <c r="N215" s="15" t="str">
        <f>VLOOKUP(A215,sinap!$A$2:$R$9000,6,FALSE)</f>
        <v>20-10-2013</v>
      </c>
      <c r="O215" s="15" t="str">
        <f>VLOOKUP(A215,sinap!$A$2:$R$9000,7,FALSE)</f>
        <v>Vivo</v>
      </c>
      <c r="P215" s="15" t="str">
        <f>VLOOKUP(A215,sinap!$A$2:$R$9000,8,FALSE)</f>
        <v>11.1.01.1241</v>
      </c>
      <c r="Q215" s="15" t="str">
        <f>VLOOKUP(A215,sinap!$A$2:$R$9000,12,FALSE)</f>
        <v>11.1.01.1081</v>
      </c>
      <c r="R215" s="15" t="str">
        <f>VLOOKUP(A215,sinap!$A$2:$R$9000,16,FALSE)</f>
        <v>11.1.01.1081</v>
      </c>
      <c r="S215" s="15" t="str">
        <f>VLOOKUP(A215,sinap!$A$2:$Y$9000,20,FALSE)</f>
        <v>SI</v>
      </c>
    </row>
    <row r="216" spans="1:19" s="16" customFormat="1" hidden="1" x14ac:dyDescent="0.25">
      <c r="A216" s="15">
        <v>8392919</v>
      </c>
      <c r="B216" s="15"/>
      <c r="C216" s="15"/>
      <c r="G216" s="16">
        <v>45264</v>
      </c>
      <c r="J216" s="15" t="str">
        <f>VLOOKUP(A216,sinap!$A$2:$R$9000,2,FALSE)</f>
        <v>M</v>
      </c>
      <c r="K216" s="15" t="str">
        <f>VLOOKUP(A216,sinap!$A$2:$R$9000,3,FALSE)</f>
        <v>TORO</v>
      </c>
      <c r="L216" s="15" t="str">
        <f>VLOOKUP(A216,sinap!$A$2:$R$9000,4,FALSE)</f>
        <v>ANGUS NEGRO</v>
      </c>
      <c r="M216" s="15" t="str">
        <f>VLOOKUP(A216,sinap!$A$2:$R$9000,5,FALSE)</f>
        <v>12 años 2 meses</v>
      </c>
      <c r="N216" s="15" t="str">
        <f>VLOOKUP(A216,sinap!$A$2:$R$9000,6,FALSE)</f>
        <v>20-10-2013</v>
      </c>
      <c r="O216" s="15" t="str">
        <f>VLOOKUP(A216,sinap!$A$2:$R$9000,7,FALSE)</f>
        <v>Vivo</v>
      </c>
      <c r="P216" s="15" t="str">
        <f>VLOOKUP(A216,sinap!$A$2:$R$9000,8,FALSE)</f>
        <v>11.1.01.1241</v>
      </c>
      <c r="Q216" s="15" t="str">
        <f>VLOOKUP(A216,sinap!$A$2:$R$9000,12,FALSE)</f>
        <v>11.1.01.1081</v>
      </c>
      <c r="R216" s="15" t="str">
        <f>VLOOKUP(A216,sinap!$A$2:$R$9000,16,FALSE)</f>
        <v>11.1.01.1081</v>
      </c>
      <c r="S216" s="15" t="str">
        <f>VLOOKUP(A216,sinap!$A$2:$Y$9000,20,FALSE)</f>
        <v>SI</v>
      </c>
    </row>
    <row r="217" spans="1:19" s="16" customFormat="1" hidden="1" x14ac:dyDescent="0.25">
      <c r="A217" s="15">
        <v>8392921</v>
      </c>
      <c r="B217" s="15"/>
      <c r="C217" s="15"/>
      <c r="E217" s="16">
        <v>44489</v>
      </c>
      <c r="F217" s="16">
        <v>44708</v>
      </c>
      <c r="G217" s="16">
        <v>45265</v>
      </c>
      <c r="J217" s="15" t="str">
        <f>VLOOKUP(A217,sinap!$A$2:$R$9000,2,FALSE)</f>
        <v>M</v>
      </c>
      <c r="K217" s="15" t="str">
        <f>VLOOKUP(A217,sinap!$A$2:$R$9000,3,FALSE)</f>
        <v>TORO</v>
      </c>
      <c r="L217" s="15" t="str">
        <f>VLOOKUP(A217,sinap!$A$2:$R$9000,4,FALSE)</f>
        <v>ANGUS NEGRO</v>
      </c>
      <c r="M217" s="15" t="str">
        <f>VLOOKUP(A217,sinap!$A$2:$R$9000,5,FALSE)</f>
        <v>12 años 2 meses</v>
      </c>
      <c r="N217" s="15" t="str">
        <f>VLOOKUP(A217,sinap!$A$2:$R$9000,6,FALSE)</f>
        <v>20-10-2013</v>
      </c>
      <c r="O217" s="15" t="str">
        <f>VLOOKUP(A217,sinap!$A$2:$R$9000,7,FALSE)</f>
        <v>Vivo</v>
      </c>
      <c r="P217" s="15" t="str">
        <f>VLOOKUP(A217,sinap!$A$2:$R$9000,8,FALSE)</f>
        <v>11.1.01.1241</v>
      </c>
      <c r="Q217" s="15" t="str">
        <f>VLOOKUP(A217,sinap!$A$2:$R$9000,12,FALSE)</f>
        <v>11.1.01.1081</v>
      </c>
      <c r="R217" s="15" t="str">
        <f>VLOOKUP(A217,sinap!$A$2:$R$9000,16,FALSE)</f>
        <v>11.1.01.1081</v>
      </c>
      <c r="S217" s="15" t="str">
        <f>VLOOKUP(A217,sinap!$A$2:$Y$9000,20,FALSE)</f>
        <v>SI</v>
      </c>
    </row>
    <row r="218" spans="1:19" s="16" customFormat="1" hidden="1" x14ac:dyDescent="0.25">
      <c r="A218" s="15">
        <v>8392929</v>
      </c>
      <c r="B218" s="15"/>
      <c r="C218" s="15"/>
      <c r="E218" s="16">
        <v>44491</v>
      </c>
      <c r="G218" s="16">
        <v>45265</v>
      </c>
      <c r="J218" s="15" t="str">
        <f>VLOOKUP(A218,sinap!$A$2:$R$9000,2,FALSE)</f>
        <v>M</v>
      </c>
      <c r="K218" s="15" t="str">
        <f>VLOOKUP(A218,sinap!$A$2:$R$9000,3,FALSE)</f>
        <v>TORO</v>
      </c>
      <c r="L218" s="15" t="str">
        <f>VLOOKUP(A218,sinap!$A$2:$R$9000,4,FALSE)</f>
        <v>ANGUS ROJO</v>
      </c>
      <c r="M218" s="15" t="str">
        <f>VLOOKUP(A218,sinap!$A$2:$R$9000,5,FALSE)</f>
        <v>12 años 2 meses</v>
      </c>
      <c r="N218" s="15" t="str">
        <f>VLOOKUP(A218,sinap!$A$2:$R$9000,6,FALSE)</f>
        <v>20-10-2013</v>
      </c>
      <c r="O218" s="15" t="str">
        <f>VLOOKUP(A218,sinap!$A$2:$R$9000,7,FALSE)</f>
        <v>Vivo</v>
      </c>
      <c r="P218" s="15" t="str">
        <f>VLOOKUP(A218,sinap!$A$2:$R$9000,8,FALSE)</f>
        <v>11.1.01.1241</v>
      </c>
      <c r="Q218" s="15" t="str">
        <f>VLOOKUP(A218,sinap!$A$2:$R$9000,12,FALSE)</f>
        <v>11.1.01.1081</v>
      </c>
      <c r="R218" s="15" t="str">
        <f>VLOOKUP(A218,sinap!$A$2:$R$9000,16,FALSE)</f>
        <v>11.1.01.1081</v>
      </c>
      <c r="S218" s="15" t="str">
        <f>VLOOKUP(A218,sinap!$A$2:$Y$9000,20,FALSE)</f>
        <v>SI</v>
      </c>
    </row>
    <row r="219" spans="1:19" s="16" customFormat="1" hidden="1" x14ac:dyDescent="0.25">
      <c r="A219" s="15">
        <v>8392930</v>
      </c>
      <c r="B219" s="15"/>
      <c r="C219" s="15"/>
      <c r="E219" s="16">
        <v>44491</v>
      </c>
      <c r="F219" s="16">
        <v>44912</v>
      </c>
      <c r="G219" s="16">
        <v>45240</v>
      </c>
      <c r="J219" s="15" t="str">
        <f>VLOOKUP(A219,sinap!$A$2:$R$9000,2,FALSE)</f>
        <v>M</v>
      </c>
      <c r="K219" s="15" t="str">
        <f>VLOOKUP(A219,sinap!$A$2:$R$9000,3,FALSE)</f>
        <v>TORO</v>
      </c>
      <c r="L219" s="15" t="str">
        <f>VLOOKUP(A219,sinap!$A$2:$R$9000,4,FALSE)</f>
        <v>HEREFORD</v>
      </c>
      <c r="M219" s="15" t="str">
        <f>VLOOKUP(A219,sinap!$A$2:$R$9000,5,FALSE)</f>
        <v>12 años 2 meses</v>
      </c>
      <c r="N219" s="15" t="str">
        <f>VLOOKUP(A219,sinap!$A$2:$R$9000,6,FALSE)</f>
        <v>20-10-2013</v>
      </c>
      <c r="O219" s="15" t="str">
        <f>VLOOKUP(A219,sinap!$A$2:$R$9000,7,FALSE)</f>
        <v>Vivo</v>
      </c>
      <c r="P219" s="15" t="str">
        <f>VLOOKUP(A219,sinap!$A$2:$R$9000,8,FALSE)</f>
        <v>11.1.01.1241</v>
      </c>
      <c r="Q219" s="15" t="str">
        <f>VLOOKUP(A219,sinap!$A$2:$R$9000,12,FALSE)</f>
        <v>11.1.01.1081</v>
      </c>
      <c r="R219" s="15" t="str">
        <f>VLOOKUP(A219,sinap!$A$2:$R$9000,16,FALSE)</f>
        <v>11.1.01.1081</v>
      </c>
      <c r="S219" s="15" t="str">
        <f>VLOOKUP(A219,sinap!$A$2:$Y$9000,20,FALSE)</f>
        <v>SI</v>
      </c>
    </row>
    <row r="220" spans="1:19" s="16" customFormat="1" hidden="1" x14ac:dyDescent="0.25">
      <c r="A220" s="15">
        <v>8392937</v>
      </c>
      <c r="B220" s="15"/>
      <c r="C220" s="15"/>
      <c r="E220" s="16">
        <v>44497</v>
      </c>
      <c r="F220" s="16">
        <v>44867</v>
      </c>
      <c r="G220" s="16">
        <v>45254</v>
      </c>
      <c r="J220" s="15" t="str">
        <f>VLOOKUP(A220,sinap!$A$2:$R$9000,2,FALSE)</f>
        <v>M</v>
      </c>
      <c r="K220" s="15" t="str">
        <f>VLOOKUP(A220,sinap!$A$2:$R$9000,3,FALSE)</f>
        <v>TORO</v>
      </c>
      <c r="L220" s="15" t="str">
        <f>VLOOKUP(A220,sinap!$A$2:$R$9000,4,FALSE)</f>
        <v>HEREFORD</v>
      </c>
      <c r="M220" s="15" t="str">
        <f>VLOOKUP(A220,sinap!$A$2:$R$9000,5,FALSE)</f>
        <v>12 años 2 meses</v>
      </c>
      <c r="N220" s="15" t="str">
        <f>VLOOKUP(A220,sinap!$A$2:$R$9000,6,FALSE)</f>
        <v>20-10-2013</v>
      </c>
      <c r="O220" s="15" t="str">
        <f>VLOOKUP(A220,sinap!$A$2:$R$9000,7,FALSE)</f>
        <v>Vivo</v>
      </c>
      <c r="P220" s="15" t="str">
        <f>VLOOKUP(A220,sinap!$A$2:$R$9000,8,FALSE)</f>
        <v>11.1.01.1241</v>
      </c>
      <c r="Q220" s="15" t="str">
        <f>VLOOKUP(A220,sinap!$A$2:$R$9000,12,FALSE)</f>
        <v>11.1.01.1081</v>
      </c>
      <c r="R220" s="15" t="str">
        <f>VLOOKUP(A220,sinap!$A$2:$R$9000,16,FALSE)</f>
        <v>11.1.01.1081</v>
      </c>
      <c r="S220" s="15" t="str">
        <f>VLOOKUP(A220,sinap!$A$2:$Y$9000,20,FALSE)</f>
        <v>SI</v>
      </c>
    </row>
    <row r="221" spans="1:19" s="16" customFormat="1" hidden="1" x14ac:dyDescent="0.25">
      <c r="A221" s="15">
        <v>8392939</v>
      </c>
      <c r="B221" s="15"/>
      <c r="C221" s="15"/>
      <c r="E221" s="16">
        <v>44491</v>
      </c>
      <c r="F221" s="16">
        <v>44868</v>
      </c>
      <c r="G221" s="16">
        <v>45253</v>
      </c>
      <c r="J221" s="15" t="str">
        <f>VLOOKUP(A221,sinap!$A$2:$R$9000,2,FALSE)</f>
        <v>H</v>
      </c>
      <c r="K221" s="15" t="str">
        <f>VLOOKUP(A221,sinap!$A$2:$R$9000,3,FALSE)</f>
        <v>VACA</v>
      </c>
      <c r="L221" s="15" t="str">
        <f>VLOOKUP(A221,sinap!$A$2:$R$9000,4,FALSE)</f>
        <v>ANGUS NEGRO</v>
      </c>
      <c r="M221" s="15" t="str">
        <f>VLOOKUP(A221,sinap!$A$2:$R$9000,5,FALSE)</f>
        <v>12 años 2 meses</v>
      </c>
      <c r="N221" s="15" t="str">
        <f>VLOOKUP(A221,sinap!$A$2:$R$9000,6,FALSE)</f>
        <v>20-10-2013</v>
      </c>
      <c r="O221" s="15" t="str">
        <f>VLOOKUP(A221,sinap!$A$2:$R$9000,7,FALSE)</f>
        <v>Vivo</v>
      </c>
      <c r="P221" s="15" t="str">
        <f>VLOOKUP(A221,sinap!$A$2:$R$9000,8,FALSE)</f>
        <v>11.1.01.0893</v>
      </c>
      <c r="Q221" s="15" t="str">
        <f>VLOOKUP(A221,sinap!$A$2:$R$9000,12,FALSE)</f>
        <v>11.1.01.1241</v>
      </c>
      <c r="R221" s="15" t="str">
        <f>VLOOKUP(A221,sinap!$A$2:$R$9000,16,FALSE)</f>
        <v>11.1.01.1081</v>
      </c>
      <c r="S221" s="15" t="str">
        <f>VLOOKUP(A221,sinap!$A$2:$Y$9000,20,FALSE)</f>
        <v>SI</v>
      </c>
    </row>
    <row r="222" spans="1:19" s="16" customFormat="1" hidden="1" x14ac:dyDescent="0.25">
      <c r="A222" s="15">
        <v>8392940</v>
      </c>
      <c r="B222" s="15"/>
      <c r="C222" s="15"/>
      <c r="G222" s="16">
        <v>45215</v>
      </c>
      <c r="J222" s="15" t="str">
        <f>VLOOKUP(A222,sinap!$A$2:$R$9000,2,FALSE)</f>
        <v>H</v>
      </c>
      <c r="K222" s="15" t="str">
        <f>VLOOKUP(A222,sinap!$A$2:$R$9000,3,FALSE)</f>
        <v>VACA</v>
      </c>
      <c r="L222" s="15" t="str">
        <f>VLOOKUP(A222,sinap!$A$2:$R$9000,4,FALSE)</f>
        <v>ANGUS NEGRO</v>
      </c>
      <c r="M222" s="15" t="str">
        <f>VLOOKUP(A222,sinap!$A$2:$R$9000,5,FALSE)</f>
        <v>12 años 2 meses</v>
      </c>
      <c r="N222" s="15" t="str">
        <f>VLOOKUP(A222,sinap!$A$2:$R$9000,6,FALSE)</f>
        <v>20-10-2013</v>
      </c>
      <c r="O222" s="15" t="str">
        <f>VLOOKUP(A222,sinap!$A$2:$R$9000,7,FALSE)</f>
        <v>Vivo</v>
      </c>
      <c r="P222" s="15" t="str">
        <f>VLOOKUP(A222,sinap!$A$2:$R$9000,8,FALSE)</f>
        <v>11.1.01.1241</v>
      </c>
      <c r="Q222" s="15" t="str">
        <f>VLOOKUP(A222,sinap!$A$2:$R$9000,12,FALSE)</f>
        <v>11.1.01.1241</v>
      </c>
      <c r="R222" s="15" t="str">
        <f>VLOOKUP(A222,sinap!$A$2:$R$9000,16,FALSE)</f>
        <v>11.1.01.1081</v>
      </c>
      <c r="S222" s="15" t="str">
        <f>VLOOKUP(A222,sinap!$A$2:$Y$9000,20,FALSE)</f>
        <v>SI</v>
      </c>
    </row>
    <row r="223" spans="1:19" s="16" customFormat="1" hidden="1" x14ac:dyDescent="0.25">
      <c r="A223" s="15">
        <v>8392941</v>
      </c>
      <c r="B223" s="15"/>
      <c r="C223" s="15"/>
      <c r="G223" s="16">
        <v>45090</v>
      </c>
      <c r="J223" s="15" t="str">
        <f>VLOOKUP(A223,sinap!$A$2:$R$9000,2,FALSE)</f>
        <v>M</v>
      </c>
      <c r="K223" s="15" t="str">
        <f>VLOOKUP(A223,sinap!$A$2:$R$9000,3,FALSE)</f>
        <v>TORO</v>
      </c>
      <c r="L223" s="15" t="str">
        <f>VLOOKUP(A223,sinap!$A$2:$R$9000,4,FALSE)</f>
        <v>ANGUS NEGRO</v>
      </c>
      <c r="M223" s="15" t="str">
        <f>VLOOKUP(A223,sinap!$A$2:$R$9000,5,FALSE)</f>
        <v>12 años 2 meses</v>
      </c>
      <c r="N223" s="15" t="str">
        <f>VLOOKUP(A223,sinap!$A$2:$R$9000,6,FALSE)</f>
        <v>20-10-2013</v>
      </c>
      <c r="O223" s="15" t="str">
        <f>VLOOKUP(A223,sinap!$A$2:$R$9000,7,FALSE)</f>
        <v>Vivo</v>
      </c>
      <c r="P223" s="15" t="str">
        <f>VLOOKUP(A223,sinap!$A$2:$R$9000,8,FALSE)</f>
        <v>11.1.01.1241</v>
      </c>
      <c r="Q223" s="15" t="str">
        <f>VLOOKUP(A223,sinap!$A$2:$R$9000,12,FALSE)</f>
        <v>11.1.01.1081</v>
      </c>
      <c r="R223" s="15" t="str">
        <f>VLOOKUP(A223,sinap!$A$2:$R$9000,16,FALSE)</f>
        <v>11.1.01.1081</v>
      </c>
      <c r="S223" s="15" t="str">
        <f>VLOOKUP(A223,sinap!$A$2:$Y$9000,20,FALSE)</f>
        <v>SI</v>
      </c>
    </row>
    <row r="224" spans="1:19" s="16" customFormat="1" hidden="1" x14ac:dyDescent="0.25">
      <c r="A224" s="15">
        <v>8392943</v>
      </c>
      <c r="B224" s="15"/>
      <c r="C224" s="15"/>
      <c r="G224" s="16">
        <v>45215</v>
      </c>
      <c r="J224" s="15" t="str">
        <f>VLOOKUP(A224,sinap!$A$2:$R$9000,2,FALSE)</f>
        <v>M</v>
      </c>
      <c r="K224" s="15" t="str">
        <f>VLOOKUP(A224,sinap!$A$2:$R$9000,3,FALSE)</f>
        <v>TORO</v>
      </c>
      <c r="L224" s="15" t="str">
        <f>VLOOKUP(A224,sinap!$A$2:$R$9000,4,FALSE)</f>
        <v>ANGUS ROJO</v>
      </c>
      <c r="M224" s="15" t="str">
        <f>VLOOKUP(A224,sinap!$A$2:$R$9000,5,FALSE)</f>
        <v>12 años 2 meses</v>
      </c>
      <c r="N224" s="15" t="str">
        <f>VLOOKUP(A224,sinap!$A$2:$R$9000,6,FALSE)</f>
        <v>20-10-2013</v>
      </c>
      <c r="O224" s="15" t="str">
        <f>VLOOKUP(A224,sinap!$A$2:$R$9000,7,FALSE)</f>
        <v>Vivo</v>
      </c>
      <c r="P224" s="15" t="str">
        <f>VLOOKUP(A224,sinap!$A$2:$R$9000,8,FALSE)</f>
        <v>11.1.01.1241</v>
      </c>
      <c r="Q224" s="15" t="str">
        <f>VLOOKUP(A224,sinap!$A$2:$R$9000,12,FALSE)</f>
        <v>11.1.01.1081</v>
      </c>
      <c r="R224" s="15" t="str">
        <f>VLOOKUP(A224,sinap!$A$2:$R$9000,16,FALSE)</f>
        <v>11.1.01.1081</v>
      </c>
      <c r="S224" s="15" t="str">
        <f>VLOOKUP(A224,sinap!$A$2:$Y$9000,20,FALSE)</f>
        <v>SI</v>
      </c>
    </row>
    <row r="225" spans="1:19" s="16" customFormat="1" hidden="1" x14ac:dyDescent="0.25">
      <c r="A225" s="15">
        <v>8392944</v>
      </c>
      <c r="B225" s="15"/>
      <c r="C225" s="15"/>
      <c r="G225" s="16">
        <v>45215</v>
      </c>
      <c r="J225" s="15" t="str">
        <f>VLOOKUP(A225,sinap!$A$2:$R$9000,2,FALSE)</f>
        <v>H</v>
      </c>
      <c r="K225" s="15" t="str">
        <f>VLOOKUP(A225,sinap!$A$2:$R$9000,3,FALSE)</f>
        <v>VACA</v>
      </c>
      <c r="L225" s="15" t="str">
        <f>VLOOKUP(A225,sinap!$A$2:$R$9000,4,FALSE)</f>
        <v>ANGUS ROJO</v>
      </c>
      <c r="M225" s="15" t="str">
        <f>VLOOKUP(A225,sinap!$A$2:$R$9000,5,FALSE)</f>
        <v>12 años 2 meses</v>
      </c>
      <c r="N225" s="15" t="str">
        <f>VLOOKUP(A225,sinap!$A$2:$R$9000,6,FALSE)</f>
        <v>20-10-2013</v>
      </c>
      <c r="O225" s="15" t="str">
        <f>VLOOKUP(A225,sinap!$A$2:$R$9000,7,FALSE)</f>
        <v>Vivo</v>
      </c>
      <c r="P225" s="15" t="str">
        <f>VLOOKUP(A225,sinap!$A$2:$R$9000,8,FALSE)</f>
        <v>11.1.01.1241</v>
      </c>
      <c r="Q225" s="15" t="str">
        <f>VLOOKUP(A225,sinap!$A$2:$R$9000,12,FALSE)</f>
        <v>11.1.01.1081</v>
      </c>
      <c r="R225" s="15" t="str">
        <f>VLOOKUP(A225,sinap!$A$2:$R$9000,16,FALSE)</f>
        <v>11.1.01.1081</v>
      </c>
      <c r="S225" s="15" t="str">
        <f>VLOOKUP(A225,sinap!$A$2:$Y$9000,20,FALSE)</f>
        <v>SI</v>
      </c>
    </row>
    <row r="226" spans="1:19" s="16" customFormat="1" hidden="1" x14ac:dyDescent="0.25">
      <c r="A226" s="15">
        <v>8392945</v>
      </c>
      <c r="B226" s="15"/>
      <c r="C226" s="15"/>
      <c r="G226" s="16">
        <v>45215</v>
      </c>
      <c r="J226" s="15" t="str">
        <f>VLOOKUP(A226,sinap!$A$2:$R$9000,2,FALSE)</f>
        <v>H</v>
      </c>
      <c r="K226" s="15" t="str">
        <f>VLOOKUP(A226,sinap!$A$2:$R$9000,3,FALSE)</f>
        <v>VACA</v>
      </c>
      <c r="L226" s="15" t="str">
        <f>VLOOKUP(A226,sinap!$A$2:$R$9000,4,FALSE)</f>
        <v>ANGUS NEGRO</v>
      </c>
      <c r="M226" s="15" t="str">
        <f>VLOOKUP(A226,sinap!$A$2:$R$9000,5,FALSE)</f>
        <v>12 años 2 meses</v>
      </c>
      <c r="N226" s="15" t="str">
        <f>VLOOKUP(A226,sinap!$A$2:$R$9000,6,FALSE)</f>
        <v>20-10-2013</v>
      </c>
      <c r="O226" s="15" t="str">
        <f>VLOOKUP(A226,sinap!$A$2:$R$9000,7,FALSE)</f>
        <v>Vivo</v>
      </c>
      <c r="P226" s="15" t="str">
        <f>VLOOKUP(A226,sinap!$A$2:$R$9000,8,FALSE)</f>
        <v>11.1.01.1241</v>
      </c>
      <c r="Q226" s="15" t="str">
        <f>VLOOKUP(A226,sinap!$A$2:$R$9000,12,FALSE)</f>
        <v>11.1.01.1241</v>
      </c>
      <c r="R226" s="15" t="str">
        <f>VLOOKUP(A226,sinap!$A$2:$R$9000,16,FALSE)</f>
        <v>11.1.01.1081</v>
      </c>
      <c r="S226" s="15" t="str">
        <f>VLOOKUP(A226,sinap!$A$2:$Y$9000,20,FALSE)</f>
        <v>SI</v>
      </c>
    </row>
    <row r="227" spans="1:19" s="16" customFormat="1" hidden="1" x14ac:dyDescent="0.25">
      <c r="A227" s="15">
        <v>8392946</v>
      </c>
      <c r="B227" s="15"/>
      <c r="C227" s="15"/>
      <c r="G227" s="16">
        <v>45090</v>
      </c>
      <c r="J227" s="15" t="str">
        <f>VLOOKUP(A227,sinap!$A$2:$R$9000,2,FALSE)</f>
        <v>H</v>
      </c>
      <c r="K227" s="15" t="str">
        <f>VLOOKUP(A227,sinap!$A$2:$R$9000,3,FALSE)</f>
        <v>VACA</v>
      </c>
      <c r="L227" s="15" t="str">
        <f>VLOOKUP(A227,sinap!$A$2:$R$9000,4,FALSE)</f>
        <v>ANGUS NEGRO</v>
      </c>
      <c r="M227" s="15" t="str">
        <f>VLOOKUP(A227,sinap!$A$2:$R$9000,5,FALSE)</f>
        <v>12 años 2 meses</v>
      </c>
      <c r="N227" s="15" t="str">
        <f>VLOOKUP(A227,sinap!$A$2:$R$9000,6,FALSE)</f>
        <v>20-10-2013</v>
      </c>
      <c r="O227" s="15" t="str">
        <f>VLOOKUP(A227,sinap!$A$2:$R$9000,7,FALSE)</f>
        <v>Vivo</v>
      </c>
      <c r="P227" s="15" t="str">
        <f>VLOOKUP(A227,sinap!$A$2:$R$9000,8,FALSE)</f>
        <v>11.1.01.1241</v>
      </c>
      <c r="Q227" s="15" t="str">
        <f>VLOOKUP(A227,sinap!$A$2:$R$9000,12,FALSE)</f>
        <v>11.1.01.1241</v>
      </c>
      <c r="R227" s="15" t="str">
        <f>VLOOKUP(A227,sinap!$A$2:$R$9000,16,FALSE)</f>
        <v>11.1.01.1081</v>
      </c>
      <c r="S227" s="15" t="str">
        <f>VLOOKUP(A227,sinap!$A$2:$Y$9000,20,FALSE)</f>
        <v>SI</v>
      </c>
    </row>
    <row r="228" spans="1:19" s="16" customFormat="1" hidden="1" x14ac:dyDescent="0.25">
      <c r="A228" s="15">
        <v>8392949</v>
      </c>
      <c r="B228" s="15"/>
      <c r="C228" s="15"/>
      <c r="G228" s="16">
        <v>45090</v>
      </c>
      <c r="J228" s="15" t="str">
        <f>VLOOKUP(A228,sinap!$A$2:$R$9000,2,FALSE)</f>
        <v>H</v>
      </c>
      <c r="K228" s="15" t="str">
        <f>VLOOKUP(A228,sinap!$A$2:$R$9000,3,FALSE)</f>
        <v>VACA</v>
      </c>
      <c r="L228" s="15" t="str">
        <f>VLOOKUP(A228,sinap!$A$2:$R$9000,4,FALSE)</f>
        <v>HEREFORD</v>
      </c>
      <c r="M228" s="15" t="str">
        <f>VLOOKUP(A228,sinap!$A$2:$R$9000,5,FALSE)</f>
        <v>12 años 2 meses</v>
      </c>
      <c r="N228" s="15" t="str">
        <f>VLOOKUP(A228,sinap!$A$2:$R$9000,6,FALSE)</f>
        <v>20-10-2013</v>
      </c>
      <c r="O228" s="15" t="str">
        <f>VLOOKUP(A228,sinap!$A$2:$R$9000,7,FALSE)</f>
        <v>Vivo</v>
      </c>
      <c r="P228" s="15" t="str">
        <f>VLOOKUP(A228,sinap!$A$2:$R$9000,8,FALSE)</f>
        <v>11.1.01.1241</v>
      </c>
      <c r="Q228" s="15" t="str">
        <f>VLOOKUP(A228,sinap!$A$2:$R$9000,12,FALSE)</f>
        <v>11.1.01.1081</v>
      </c>
      <c r="R228" s="15" t="str">
        <f>VLOOKUP(A228,sinap!$A$2:$R$9000,16,FALSE)</f>
        <v>11.1.01.1081</v>
      </c>
      <c r="S228" s="15" t="str">
        <f>VLOOKUP(A228,sinap!$A$2:$Y$9000,20,FALSE)</f>
        <v>SI</v>
      </c>
    </row>
    <row r="229" spans="1:19" s="16" customFormat="1" hidden="1" x14ac:dyDescent="0.25">
      <c r="A229" s="15">
        <v>8392956</v>
      </c>
      <c r="B229" s="15"/>
      <c r="C229" s="15"/>
      <c r="G229" s="16">
        <v>45240</v>
      </c>
      <c r="J229" s="15" t="str">
        <f>VLOOKUP(A229,sinap!$A$2:$R$9000,2,FALSE)</f>
        <v>H</v>
      </c>
      <c r="K229" s="15" t="str">
        <f>VLOOKUP(A229,sinap!$A$2:$R$9000,3,FALSE)</f>
        <v>VACA</v>
      </c>
      <c r="L229" s="15" t="str">
        <f>VLOOKUP(A229,sinap!$A$2:$R$9000,4,FALSE)</f>
        <v>ANGUS ROJO</v>
      </c>
      <c r="M229" s="15" t="str">
        <f>VLOOKUP(A229,sinap!$A$2:$R$9000,5,FALSE)</f>
        <v>12 años 2 meses</v>
      </c>
      <c r="N229" s="15" t="str">
        <f>VLOOKUP(A229,sinap!$A$2:$R$9000,6,FALSE)</f>
        <v>20-10-2013</v>
      </c>
      <c r="O229" s="15" t="str">
        <f>VLOOKUP(A229,sinap!$A$2:$R$9000,7,FALSE)</f>
        <v>Vivo</v>
      </c>
      <c r="P229" s="15" t="str">
        <f>VLOOKUP(A229,sinap!$A$2:$R$9000,8,FALSE)</f>
        <v>11.1.01.1241</v>
      </c>
      <c r="Q229" s="15" t="str">
        <f>VLOOKUP(A229,sinap!$A$2:$R$9000,12,FALSE)</f>
        <v>11.1.01.1081</v>
      </c>
      <c r="R229" s="15" t="str">
        <f>VLOOKUP(A229,sinap!$A$2:$R$9000,16,FALSE)</f>
        <v>11.1.01.1081</v>
      </c>
      <c r="S229" s="15" t="str">
        <f>VLOOKUP(A229,sinap!$A$2:$Y$9000,20,FALSE)</f>
        <v>SI</v>
      </c>
    </row>
    <row r="230" spans="1:19" s="16" customFormat="1" hidden="1" x14ac:dyDescent="0.25">
      <c r="A230" s="15">
        <v>8392957</v>
      </c>
      <c r="B230" s="15"/>
      <c r="C230" s="15"/>
      <c r="G230" s="16">
        <v>45215</v>
      </c>
      <c r="J230" s="15" t="str">
        <f>VLOOKUP(A230,sinap!$A$2:$R$9000,2,FALSE)</f>
        <v>M</v>
      </c>
      <c r="K230" s="15" t="str">
        <f>VLOOKUP(A230,sinap!$A$2:$R$9000,3,FALSE)</f>
        <v>TORO</v>
      </c>
      <c r="L230" s="15" t="str">
        <f>VLOOKUP(A230,sinap!$A$2:$R$9000,4,FALSE)</f>
        <v>HEREFORD</v>
      </c>
      <c r="M230" s="15" t="str">
        <f>VLOOKUP(A230,sinap!$A$2:$R$9000,5,FALSE)</f>
        <v>12 años 2 meses</v>
      </c>
      <c r="N230" s="15" t="str">
        <f>VLOOKUP(A230,sinap!$A$2:$R$9000,6,FALSE)</f>
        <v>20-10-2013</v>
      </c>
      <c r="O230" s="15" t="str">
        <f>VLOOKUP(A230,sinap!$A$2:$R$9000,7,FALSE)</f>
        <v>Vivo</v>
      </c>
      <c r="P230" s="15" t="str">
        <f>VLOOKUP(A230,sinap!$A$2:$R$9000,8,FALSE)</f>
        <v>11.1.01.1241</v>
      </c>
      <c r="Q230" s="15" t="str">
        <f>VLOOKUP(A230,sinap!$A$2:$R$9000,12,FALSE)</f>
        <v>11.1.01.1081</v>
      </c>
      <c r="R230" s="15" t="str">
        <f>VLOOKUP(A230,sinap!$A$2:$R$9000,16,FALSE)</f>
        <v>11.1.01.1081</v>
      </c>
      <c r="S230" s="15" t="str">
        <f>VLOOKUP(A230,sinap!$A$2:$Y$9000,20,FALSE)</f>
        <v>SI</v>
      </c>
    </row>
    <row r="231" spans="1:19" s="16" customFormat="1" hidden="1" x14ac:dyDescent="0.25">
      <c r="A231" s="15">
        <v>8392960</v>
      </c>
      <c r="B231" s="15"/>
      <c r="C231" s="15"/>
      <c r="G231" s="16">
        <v>45090</v>
      </c>
      <c r="J231" s="15" t="str">
        <f>VLOOKUP(A231,sinap!$A$2:$R$9000,2,FALSE)</f>
        <v>M</v>
      </c>
      <c r="K231" s="15" t="str">
        <f>VLOOKUP(A231,sinap!$A$2:$R$9000,3,FALSE)</f>
        <v>TORO</v>
      </c>
      <c r="L231" s="15" t="str">
        <f>VLOOKUP(A231,sinap!$A$2:$R$9000,4,FALSE)</f>
        <v>HEREFORD</v>
      </c>
      <c r="M231" s="15" t="str">
        <f>VLOOKUP(A231,sinap!$A$2:$R$9000,5,FALSE)</f>
        <v>12 años 2 meses</v>
      </c>
      <c r="N231" s="15" t="str">
        <f>VLOOKUP(A231,sinap!$A$2:$R$9000,6,FALSE)</f>
        <v>20-10-2013</v>
      </c>
      <c r="O231" s="15" t="str">
        <f>VLOOKUP(A231,sinap!$A$2:$R$9000,7,FALSE)</f>
        <v>Vivo</v>
      </c>
      <c r="P231" s="15" t="str">
        <f>VLOOKUP(A231,sinap!$A$2:$R$9000,8,FALSE)</f>
        <v>11.1.01.1241</v>
      </c>
      <c r="Q231" s="15" t="str">
        <f>VLOOKUP(A231,sinap!$A$2:$R$9000,12,FALSE)</f>
        <v>11.1.01.1081</v>
      </c>
      <c r="R231" s="15" t="str">
        <f>VLOOKUP(A231,sinap!$A$2:$R$9000,16,FALSE)</f>
        <v>11.1.01.1081</v>
      </c>
      <c r="S231" s="15" t="str">
        <f>VLOOKUP(A231,sinap!$A$2:$Y$9000,20,FALSE)</f>
        <v>SI</v>
      </c>
    </row>
    <row r="232" spans="1:19" s="16" customFormat="1" hidden="1" x14ac:dyDescent="0.25">
      <c r="A232" s="15">
        <v>8392963</v>
      </c>
      <c r="B232" s="15"/>
      <c r="C232" s="15"/>
      <c r="G232" s="16">
        <v>45240</v>
      </c>
      <c r="J232" s="15" t="str">
        <f>VLOOKUP(A232,sinap!$A$2:$R$9000,2,FALSE)</f>
        <v>H</v>
      </c>
      <c r="K232" s="15" t="str">
        <f>VLOOKUP(A232,sinap!$A$2:$R$9000,3,FALSE)</f>
        <v>VACA</v>
      </c>
      <c r="L232" s="15" t="str">
        <f>VLOOKUP(A232,sinap!$A$2:$R$9000,4,FALSE)</f>
        <v>ANGUS NEGRO</v>
      </c>
      <c r="M232" s="15" t="str">
        <f>VLOOKUP(A232,sinap!$A$2:$R$9000,5,FALSE)</f>
        <v>12 años 2 meses</v>
      </c>
      <c r="N232" s="15" t="str">
        <f>VLOOKUP(A232,sinap!$A$2:$R$9000,6,FALSE)</f>
        <v>20-10-2013</v>
      </c>
      <c r="O232" s="15" t="str">
        <f>VLOOKUP(A232,sinap!$A$2:$R$9000,7,FALSE)</f>
        <v>Vivo</v>
      </c>
      <c r="P232" s="15" t="str">
        <f>VLOOKUP(A232,sinap!$A$2:$R$9000,8,FALSE)</f>
        <v>11.1.01.0893</v>
      </c>
      <c r="Q232" s="15" t="str">
        <f>VLOOKUP(A232,sinap!$A$2:$R$9000,12,FALSE)</f>
        <v>11.1.01.1241</v>
      </c>
      <c r="R232" s="15" t="str">
        <f>VLOOKUP(A232,sinap!$A$2:$R$9000,16,FALSE)</f>
        <v>11.1.01.1081</v>
      </c>
      <c r="S232" s="15" t="str">
        <f>VLOOKUP(A232,sinap!$A$2:$Y$9000,20,FALSE)</f>
        <v>SI</v>
      </c>
    </row>
    <row r="233" spans="1:19" s="16" customFormat="1" hidden="1" x14ac:dyDescent="0.25">
      <c r="A233" s="15">
        <v>8392964</v>
      </c>
      <c r="B233" s="15"/>
      <c r="C233" s="15"/>
      <c r="G233" s="16">
        <v>45090</v>
      </c>
      <c r="J233" s="15" t="str">
        <f>VLOOKUP(A233,sinap!$A$2:$R$9000,2,FALSE)</f>
        <v>M</v>
      </c>
      <c r="K233" s="15" t="str">
        <f>VLOOKUP(A233,sinap!$A$2:$R$9000,3,FALSE)</f>
        <v>TORO</v>
      </c>
      <c r="L233" s="15" t="str">
        <f>VLOOKUP(A233,sinap!$A$2:$R$9000,4,FALSE)</f>
        <v>ANGUS NEGRO</v>
      </c>
      <c r="M233" s="15" t="str">
        <f>VLOOKUP(A233,sinap!$A$2:$R$9000,5,FALSE)</f>
        <v>12 años 2 meses</v>
      </c>
      <c r="N233" s="15" t="str">
        <f>VLOOKUP(A233,sinap!$A$2:$R$9000,6,FALSE)</f>
        <v>20-10-2013</v>
      </c>
      <c r="O233" s="15" t="str">
        <f>VLOOKUP(A233,sinap!$A$2:$R$9000,7,FALSE)</f>
        <v>Vivo</v>
      </c>
      <c r="P233" s="15" t="str">
        <f>VLOOKUP(A233,sinap!$A$2:$R$9000,8,FALSE)</f>
        <v>11.1.01.1241</v>
      </c>
      <c r="Q233" s="15" t="str">
        <f>VLOOKUP(A233,sinap!$A$2:$R$9000,12,FALSE)</f>
        <v>11.1.01.1081</v>
      </c>
      <c r="R233" s="15" t="str">
        <f>VLOOKUP(A233,sinap!$A$2:$R$9000,16,FALSE)</f>
        <v>11.1.01.1081</v>
      </c>
      <c r="S233" s="15" t="str">
        <f>VLOOKUP(A233,sinap!$A$2:$Y$9000,20,FALSE)</f>
        <v>SI</v>
      </c>
    </row>
    <row r="234" spans="1:19" s="16" customFormat="1" hidden="1" x14ac:dyDescent="0.25">
      <c r="A234" s="15">
        <v>8392967</v>
      </c>
      <c r="B234" s="15"/>
      <c r="C234" s="15"/>
      <c r="G234" s="16">
        <v>45090</v>
      </c>
      <c r="J234" s="15" t="str">
        <f>VLOOKUP(A234,sinap!$A$2:$R$9000,2,FALSE)</f>
        <v>M</v>
      </c>
      <c r="K234" s="15" t="str">
        <f>VLOOKUP(A234,sinap!$A$2:$R$9000,3,FALSE)</f>
        <v>TORO</v>
      </c>
      <c r="L234" s="15" t="str">
        <f>VLOOKUP(A234,sinap!$A$2:$R$9000,4,FALSE)</f>
        <v>HEREFORD</v>
      </c>
      <c r="M234" s="15" t="str">
        <f>VLOOKUP(A234,sinap!$A$2:$R$9000,5,FALSE)</f>
        <v>12 años 2 meses</v>
      </c>
      <c r="N234" s="15" t="str">
        <f>VLOOKUP(A234,sinap!$A$2:$R$9000,6,FALSE)</f>
        <v>20-10-2013</v>
      </c>
      <c r="O234" s="15" t="str">
        <f>VLOOKUP(A234,sinap!$A$2:$R$9000,7,FALSE)</f>
        <v>Vivo</v>
      </c>
      <c r="P234" s="15" t="str">
        <f>VLOOKUP(A234,sinap!$A$2:$R$9000,8,FALSE)</f>
        <v>11.1.01.1241</v>
      </c>
      <c r="Q234" s="15" t="str">
        <f>VLOOKUP(A234,sinap!$A$2:$R$9000,12,FALSE)</f>
        <v>11.1.01.1081</v>
      </c>
      <c r="R234" s="15" t="str">
        <f>VLOOKUP(A234,sinap!$A$2:$R$9000,16,FALSE)</f>
        <v>11.1.01.1081</v>
      </c>
      <c r="S234" s="15" t="str">
        <f>VLOOKUP(A234,sinap!$A$2:$Y$9000,20,FALSE)</f>
        <v>SI</v>
      </c>
    </row>
    <row r="235" spans="1:19" s="16" customFormat="1" hidden="1" x14ac:dyDescent="0.25">
      <c r="A235" s="15">
        <v>8392991</v>
      </c>
      <c r="B235" s="15"/>
      <c r="C235" s="15"/>
      <c r="G235" s="16">
        <v>45215</v>
      </c>
      <c r="J235" s="15" t="str">
        <f>VLOOKUP(A235,sinap!$A$2:$R$9000,2,FALSE)</f>
        <v>H</v>
      </c>
      <c r="K235" s="15" t="str">
        <f>VLOOKUP(A235,sinap!$A$2:$R$9000,3,FALSE)</f>
        <v>VACA</v>
      </c>
      <c r="L235" s="15" t="str">
        <f>VLOOKUP(A235,sinap!$A$2:$R$9000,4,FALSE)</f>
        <v>ANGUS ROJO</v>
      </c>
      <c r="M235" s="15" t="str">
        <f>VLOOKUP(A235,sinap!$A$2:$R$9000,5,FALSE)</f>
        <v>12 años 2 meses</v>
      </c>
      <c r="N235" s="15" t="str">
        <f>VLOOKUP(A235,sinap!$A$2:$R$9000,6,FALSE)</f>
        <v>20-10-2013</v>
      </c>
      <c r="O235" s="15" t="str">
        <f>VLOOKUP(A235,sinap!$A$2:$R$9000,7,FALSE)</f>
        <v>Vivo</v>
      </c>
      <c r="P235" s="15" t="str">
        <f>VLOOKUP(A235,sinap!$A$2:$R$9000,8,FALSE)</f>
        <v>11.1.01.1241</v>
      </c>
      <c r="Q235" s="15" t="str">
        <f>VLOOKUP(A235,sinap!$A$2:$R$9000,12,FALSE)</f>
        <v>11.1.01.1081</v>
      </c>
      <c r="R235" s="15" t="str">
        <f>VLOOKUP(A235,sinap!$A$2:$R$9000,16,FALSE)</f>
        <v>11.1.01.1081</v>
      </c>
      <c r="S235" s="15" t="str">
        <f>VLOOKUP(A235,sinap!$A$2:$Y$9000,20,FALSE)</f>
        <v>SI</v>
      </c>
    </row>
    <row r="236" spans="1:19" s="16" customFormat="1" hidden="1" x14ac:dyDescent="0.25">
      <c r="A236" s="15">
        <v>8392997</v>
      </c>
      <c r="B236" s="15"/>
      <c r="C236" s="15"/>
      <c r="G236" s="16">
        <v>45215</v>
      </c>
      <c r="J236" s="15" t="str">
        <f>VLOOKUP(A236,sinap!$A$2:$R$9000,2,FALSE)</f>
        <v>H</v>
      </c>
      <c r="K236" s="15" t="str">
        <f>VLOOKUP(A236,sinap!$A$2:$R$9000,3,FALSE)</f>
        <v>VACA</v>
      </c>
      <c r="L236" s="15" t="str">
        <f>VLOOKUP(A236,sinap!$A$2:$R$9000,4,FALSE)</f>
        <v>ANGUS ROJO</v>
      </c>
      <c r="M236" s="15" t="str">
        <f>VLOOKUP(A236,sinap!$A$2:$R$9000,5,FALSE)</f>
        <v>12 años 2 meses</v>
      </c>
      <c r="N236" s="15" t="str">
        <f>VLOOKUP(A236,sinap!$A$2:$R$9000,6,FALSE)</f>
        <v>20-10-2013</v>
      </c>
      <c r="O236" s="15" t="str">
        <f>VLOOKUP(A236,sinap!$A$2:$R$9000,7,FALSE)</f>
        <v>Vivo</v>
      </c>
      <c r="P236" s="15" t="str">
        <f>VLOOKUP(A236,sinap!$A$2:$R$9000,8,FALSE)</f>
        <v>11.1.01.1241</v>
      </c>
      <c r="Q236" s="15" t="str">
        <f>VLOOKUP(A236,sinap!$A$2:$R$9000,12,FALSE)</f>
        <v>11.2.01.0038</v>
      </c>
      <c r="R236" s="15" t="str">
        <f>VLOOKUP(A236,sinap!$A$2:$R$9000,16,FALSE)</f>
        <v>11.1.01.1081</v>
      </c>
      <c r="S236" s="15" t="str">
        <f>VLOOKUP(A236,sinap!$A$2:$Y$9000,20,FALSE)</f>
        <v>SI</v>
      </c>
    </row>
    <row r="237" spans="1:19" s="16" customFormat="1" hidden="1" x14ac:dyDescent="0.25">
      <c r="A237" s="15">
        <v>8411976</v>
      </c>
      <c r="B237" s="15"/>
      <c r="C237" s="15"/>
      <c r="E237" s="16">
        <v>44404</v>
      </c>
      <c r="F237" s="16">
        <v>44708</v>
      </c>
      <c r="G237" s="16">
        <v>45253</v>
      </c>
      <c r="J237" s="15" t="str">
        <f>VLOOKUP(A237,sinap!$A$2:$R$9000,2,FALSE)</f>
        <v>M</v>
      </c>
      <c r="K237" s="15" t="str">
        <f>VLOOKUP(A237,sinap!$A$2:$R$9000,3,FALSE)</f>
        <v>TORO</v>
      </c>
      <c r="L237" s="15" t="str">
        <f>VLOOKUP(A237,sinap!$A$2:$R$9000,4,FALSE)</f>
        <v>ANGUS NEGRO</v>
      </c>
      <c r="M237" s="15" t="str">
        <f>VLOOKUP(A237,sinap!$A$2:$R$9000,5,FALSE)</f>
        <v>13 años 2 meses</v>
      </c>
      <c r="N237" s="15" t="str">
        <f>VLOOKUP(A237,sinap!$A$2:$R$9000,6,FALSE)</f>
        <v>15-11-2012</v>
      </c>
      <c r="O237" s="15" t="str">
        <f>VLOOKUP(A237,sinap!$A$2:$R$9000,7,FALSE)</f>
        <v>Vivo</v>
      </c>
      <c r="P237" s="15" t="str">
        <f>VLOOKUP(A237,sinap!$A$2:$R$9000,8,FALSE)</f>
        <v>11.1.01.1241</v>
      </c>
      <c r="Q237" s="15" t="str">
        <f>VLOOKUP(A237,sinap!$A$2:$R$9000,12,FALSE)</f>
        <v>11.2.01.0251</v>
      </c>
      <c r="R237" s="15" t="str">
        <f>VLOOKUP(A237,sinap!$A$2:$R$9000,16,FALSE)</f>
        <v>11.2.01.0251</v>
      </c>
      <c r="S237" s="15" t="str">
        <f>VLOOKUP(A237,sinap!$A$2:$Y$9000,20,FALSE)</f>
        <v>SI</v>
      </c>
    </row>
    <row r="238" spans="1:19" s="16" customFormat="1" hidden="1" x14ac:dyDescent="0.25">
      <c r="A238" s="15">
        <v>8411980</v>
      </c>
      <c r="B238" s="15"/>
      <c r="C238" s="15"/>
      <c r="G238" s="16">
        <v>45240</v>
      </c>
      <c r="J238" s="15" t="str">
        <f>VLOOKUP(A238,sinap!$A$2:$R$9000,2,FALSE)</f>
        <v>M</v>
      </c>
      <c r="K238" s="15" t="str">
        <f>VLOOKUP(A238,sinap!$A$2:$R$9000,3,FALSE)</f>
        <v>TORO</v>
      </c>
      <c r="L238" s="15" t="str">
        <f>VLOOKUP(A238,sinap!$A$2:$R$9000,4,FALSE)</f>
        <v>ANGUS NEGRO</v>
      </c>
      <c r="M238" s="15" t="str">
        <f>VLOOKUP(A238,sinap!$A$2:$R$9000,5,FALSE)</f>
        <v>13 años 1 meses</v>
      </c>
      <c r="N238" s="15" t="str">
        <f>VLOOKUP(A238,sinap!$A$2:$R$9000,6,FALSE)</f>
        <v>27-11-2012</v>
      </c>
      <c r="O238" s="15" t="str">
        <f>VLOOKUP(A238,sinap!$A$2:$R$9000,7,FALSE)</f>
        <v>Vivo</v>
      </c>
      <c r="P238" s="15" t="str">
        <f>VLOOKUP(A238,sinap!$A$2:$R$9000,8,FALSE)</f>
        <v>11.1.01.1241</v>
      </c>
      <c r="Q238" s="15" t="str">
        <f>VLOOKUP(A238,sinap!$A$2:$R$9000,12,FALSE)</f>
        <v>11.2.01.0251</v>
      </c>
      <c r="R238" s="15" t="str">
        <f>VLOOKUP(A238,sinap!$A$2:$R$9000,16,FALSE)</f>
        <v>11.2.01.0251</v>
      </c>
      <c r="S238" s="15" t="str">
        <f>VLOOKUP(A238,sinap!$A$2:$Y$9000,20,FALSE)</f>
        <v>SI</v>
      </c>
    </row>
    <row r="239" spans="1:19" s="16" customFormat="1" hidden="1" x14ac:dyDescent="0.25">
      <c r="A239" s="15">
        <v>8411986</v>
      </c>
      <c r="B239" s="15"/>
      <c r="C239" s="15"/>
      <c r="D239" s="16">
        <v>44133</v>
      </c>
      <c r="G239" s="16">
        <v>45254</v>
      </c>
      <c r="J239" s="15" t="str">
        <f>VLOOKUP(A239,sinap!$A$2:$R$9000,2,FALSE)</f>
        <v>M</v>
      </c>
      <c r="K239" s="15" t="str">
        <f>VLOOKUP(A239,sinap!$A$2:$R$9000,3,FALSE)</f>
        <v>TORO</v>
      </c>
      <c r="L239" s="15" t="str">
        <f>VLOOKUP(A239,sinap!$A$2:$R$9000,4,FALSE)</f>
        <v>ANGUS NEGRO</v>
      </c>
      <c r="M239" s="15" t="str">
        <f>VLOOKUP(A239,sinap!$A$2:$R$9000,5,FALSE)</f>
        <v>13 años 2 meses</v>
      </c>
      <c r="N239" s="15" t="str">
        <f>VLOOKUP(A239,sinap!$A$2:$R$9000,6,FALSE)</f>
        <v>10-11-2012</v>
      </c>
      <c r="O239" s="15" t="str">
        <f>VLOOKUP(A239,sinap!$A$2:$R$9000,7,FALSE)</f>
        <v>Vivo</v>
      </c>
      <c r="P239" s="15" t="str">
        <f>VLOOKUP(A239,sinap!$A$2:$R$9000,8,FALSE)</f>
        <v>11.1.01.1241</v>
      </c>
      <c r="Q239" s="15" t="str">
        <f>VLOOKUP(A239,sinap!$A$2:$R$9000,12,FALSE)</f>
        <v>11.2.01.0251</v>
      </c>
      <c r="R239" s="15" t="str">
        <f>VLOOKUP(A239,sinap!$A$2:$R$9000,16,FALSE)</f>
        <v>11.2.01.0251</v>
      </c>
      <c r="S239" s="15" t="str">
        <f>VLOOKUP(A239,sinap!$A$2:$Y$9000,20,FALSE)</f>
        <v>SI</v>
      </c>
    </row>
    <row r="240" spans="1:19" s="16" customFormat="1" hidden="1" x14ac:dyDescent="0.25">
      <c r="A240" s="15">
        <v>8411987</v>
      </c>
      <c r="B240" s="15"/>
      <c r="C240" s="15"/>
      <c r="D240" s="16">
        <v>44133</v>
      </c>
      <c r="E240" s="16">
        <v>44504</v>
      </c>
      <c r="J240" s="15" t="str">
        <f>VLOOKUP(A240,sinap!$A$2:$R$9000,2,FALSE)</f>
        <v>M</v>
      </c>
      <c r="K240" s="15" t="str">
        <f>VLOOKUP(A240,sinap!$A$2:$R$9000,3,FALSE)</f>
        <v>TORO</v>
      </c>
      <c r="L240" s="15" t="str">
        <f>VLOOKUP(A240,sinap!$A$2:$R$9000,4,FALSE)</f>
        <v>ANGUS NEGRO</v>
      </c>
      <c r="M240" s="15" t="str">
        <f>VLOOKUP(A240,sinap!$A$2:$R$9000,5,FALSE)</f>
        <v>13 años 2 meses</v>
      </c>
      <c r="N240" s="15" t="str">
        <f>VLOOKUP(A240,sinap!$A$2:$R$9000,6,FALSE)</f>
        <v>15-11-2012</v>
      </c>
      <c r="O240" s="15" t="str">
        <f>VLOOKUP(A240,sinap!$A$2:$R$9000,7,FALSE)</f>
        <v>Vivo</v>
      </c>
      <c r="P240" s="15" t="str">
        <f>VLOOKUP(A240,sinap!$A$2:$R$9000,8,FALSE)</f>
        <v>11.1.01.1241</v>
      </c>
      <c r="Q240" s="15" t="str">
        <f>VLOOKUP(A240,sinap!$A$2:$R$9000,12,FALSE)</f>
        <v>11.2.01.0038</v>
      </c>
      <c r="R240" s="15" t="str">
        <f>VLOOKUP(A240,sinap!$A$2:$R$9000,16,FALSE)</f>
        <v>11.2.01.0251</v>
      </c>
      <c r="S240" s="15" t="str">
        <f>VLOOKUP(A240,sinap!$A$2:$Y$9000,20,FALSE)</f>
        <v>SI</v>
      </c>
    </row>
    <row r="241" spans="1:19" s="16" customFormat="1" hidden="1" x14ac:dyDescent="0.25">
      <c r="A241" s="15">
        <v>8411989</v>
      </c>
      <c r="B241" s="15"/>
      <c r="C241" s="15"/>
      <c r="J241" s="15" t="str">
        <f>VLOOKUP(A241,sinap!$A$2:$R$9000,2,FALSE)</f>
        <v>M</v>
      </c>
      <c r="K241" s="15" t="str">
        <f>VLOOKUP(A241,sinap!$A$2:$R$9000,3,FALSE)</f>
        <v>TORO</v>
      </c>
      <c r="L241" s="15" t="str">
        <f>VLOOKUP(A241,sinap!$A$2:$R$9000,4,FALSE)</f>
        <v>ANGUS NEGRO</v>
      </c>
      <c r="M241" s="15" t="str">
        <f>VLOOKUP(A241,sinap!$A$2:$R$9000,5,FALSE)</f>
        <v>13 años 2 meses</v>
      </c>
      <c r="N241" s="15" t="str">
        <f>VLOOKUP(A241,sinap!$A$2:$R$9000,6,FALSE)</f>
        <v>15-11-2012</v>
      </c>
      <c r="O241" s="15" t="str">
        <f>VLOOKUP(A241,sinap!$A$2:$R$9000,7,FALSE)</f>
        <v>Vivo</v>
      </c>
      <c r="P241" s="15" t="str">
        <f>VLOOKUP(A241,sinap!$A$2:$R$9000,8,FALSE)</f>
        <v>11.1.01.1241</v>
      </c>
      <c r="Q241" s="15" t="str">
        <f>VLOOKUP(A241,sinap!$A$2:$R$9000,12,FALSE)</f>
        <v>11.2.01.0251</v>
      </c>
      <c r="R241" s="15" t="str">
        <f>VLOOKUP(A241,sinap!$A$2:$R$9000,16,FALSE)</f>
        <v>11.2.01.0251</v>
      </c>
      <c r="S241" s="15" t="str">
        <f>VLOOKUP(A241,sinap!$A$2:$Y$9000,20,FALSE)</f>
        <v>SI</v>
      </c>
    </row>
    <row r="242" spans="1:19" s="16" customFormat="1" hidden="1" x14ac:dyDescent="0.25">
      <c r="A242" s="15">
        <v>8411992</v>
      </c>
      <c r="B242" s="15"/>
      <c r="C242" s="15"/>
      <c r="D242" s="16">
        <v>44134</v>
      </c>
      <c r="E242" s="16">
        <v>44350</v>
      </c>
      <c r="F242" s="16">
        <v>44883</v>
      </c>
      <c r="G242" s="16">
        <v>45254</v>
      </c>
      <c r="J242" s="15" t="str">
        <f>VLOOKUP(A242,sinap!$A$2:$R$9000,2,FALSE)</f>
        <v>M</v>
      </c>
      <c r="K242" s="15" t="str">
        <f>VLOOKUP(A242,sinap!$A$2:$R$9000,3,FALSE)</f>
        <v>TORO</v>
      </c>
      <c r="L242" s="15" t="str">
        <f>VLOOKUP(A242,sinap!$A$2:$R$9000,4,FALSE)</f>
        <v>ANGUS NEGRO</v>
      </c>
      <c r="M242" s="15" t="str">
        <f>VLOOKUP(A242,sinap!$A$2:$R$9000,5,FALSE)</f>
        <v>13 años 2 meses</v>
      </c>
      <c r="N242" s="15" t="str">
        <f>VLOOKUP(A242,sinap!$A$2:$R$9000,6,FALSE)</f>
        <v>15-11-2012</v>
      </c>
      <c r="O242" s="15" t="str">
        <f>VLOOKUP(A242,sinap!$A$2:$R$9000,7,FALSE)</f>
        <v>Vivo</v>
      </c>
      <c r="P242" s="15" t="str">
        <f>VLOOKUP(A242,sinap!$A$2:$R$9000,8,FALSE)</f>
        <v>11.1.01.1241</v>
      </c>
      <c r="Q242" s="15" t="str">
        <f>VLOOKUP(A242,sinap!$A$2:$R$9000,12,FALSE)</f>
        <v>11.2.01.0251</v>
      </c>
      <c r="R242" s="15" t="str">
        <f>VLOOKUP(A242,sinap!$A$2:$R$9000,16,FALSE)</f>
        <v>11.2.01.0251</v>
      </c>
      <c r="S242" s="15" t="str">
        <f>VLOOKUP(A242,sinap!$A$2:$Y$9000,20,FALSE)</f>
        <v>SI</v>
      </c>
    </row>
    <row r="243" spans="1:19" s="16" customFormat="1" hidden="1" x14ac:dyDescent="0.25">
      <c r="A243" s="15">
        <v>8933118</v>
      </c>
      <c r="B243" s="15"/>
      <c r="C243" s="15"/>
      <c r="E243" s="16">
        <v>44350</v>
      </c>
      <c r="J243" s="15" t="str">
        <f>VLOOKUP(A243,sinap!$A$2:$R$9000,2,FALSE)</f>
        <v>M</v>
      </c>
      <c r="K243" s="15" t="str">
        <f>VLOOKUP(A243,sinap!$A$2:$R$9000,3,FALSE)</f>
        <v>TORO</v>
      </c>
      <c r="L243" s="15" t="str">
        <f>VLOOKUP(A243,sinap!$A$2:$R$9000,4,FALSE)</f>
        <v>ANGUS NEGRO</v>
      </c>
      <c r="M243" s="15" t="str">
        <f>VLOOKUP(A243,sinap!$A$2:$R$9000,5,FALSE)</f>
        <v>12 años 3 meses</v>
      </c>
      <c r="N243" s="15" t="str">
        <f>VLOOKUP(A243,sinap!$A$2:$R$9000,6,FALSE)</f>
        <v>15-10-2013</v>
      </c>
      <c r="O243" s="15" t="str">
        <f>VLOOKUP(A243,sinap!$A$2:$R$9000,7,FALSE)</f>
        <v>Vivo</v>
      </c>
      <c r="P243" s="15" t="str">
        <f>VLOOKUP(A243,sinap!$A$2:$R$9000,8,FALSE)</f>
        <v>11.1.01.1241</v>
      </c>
      <c r="Q243" s="15" t="str">
        <f>VLOOKUP(A243,sinap!$A$2:$R$9000,12,FALSE)</f>
        <v>Sin Movimiento</v>
      </c>
      <c r="R243" s="15" t="str">
        <f>VLOOKUP(A243,sinap!$A$2:$R$9000,16,FALSE)</f>
        <v>11.1.01.1241</v>
      </c>
      <c r="S243" s="15" t="str">
        <f>VLOOKUP(A243,sinap!$A$2:$Y$9000,20,FALSE)</f>
        <v>SI</v>
      </c>
    </row>
    <row r="244" spans="1:19" s="16" customFormat="1" hidden="1" x14ac:dyDescent="0.25">
      <c r="A244" s="15">
        <v>8933122</v>
      </c>
      <c r="B244" s="15"/>
      <c r="C244" s="15"/>
      <c r="E244" s="16">
        <v>44499</v>
      </c>
      <c r="G244" s="16">
        <v>45090</v>
      </c>
      <c r="J244" s="15" t="str">
        <f>VLOOKUP(A244,sinap!$A$2:$R$9000,2,FALSE)</f>
        <v>M</v>
      </c>
      <c r="K244" s="15" t="str">
        <f>VLOOKUP(A244,sinap!$A$2:$R$9000,3,FALSE)</f>
        <v>TORO</v>
      </c>
      <c r="L244" s="15" t="str">
        <f>VLOOKUP(A244,sinap!$A$2:$R$9000,4,FALSE)</f>
        <v>ANGUS NEGRO</v>
      </c>
      <c r="M244" s="15" t="str">
        <f>VLOOKUP(A244,sinap!$A$2:$R$9000,5,FALSE)</f>
        <v>12 años 3 meses</v>
      </c>
      <c r="N244" s="15" t="str">
        <f>VLOOKUP(A244,sinap!$A$2:$R$9000,6,FALSE)</f>
        <v>15-10-2013</v>
      </c>
      <c r="O244" s="15" t="str">
        <f>VLOOKUP(A244,sinap!$A$2:$R$9000,7,FALSE)</f>
        <v>Vivo</v>
      </c>
      <c r="P244" s="15" t="str">
        <f>VLOOKUP(A244,sinap!$A$2:$R$9000,8,FALSE)</f>
        <v>11.1.01.1241</v>
      </c>
      <c r="Q244" s="15" t="str">
        <f>VLOOKUP(A244,sinap!$A$2:$R$9000,12,FALSE)</f>
        <v>Sin Movimiento</v>
      </c>
      <c r="R244" s="15" t="str">
        <f>VLOOKUP(A244,sinap!$A$2:$R$9000,16,FALSE)</f>
        <v>11.1.01.1241</v>
      </c>
      <c r="S244" s="15" t="str">
        <f>VLOOKUP(A244,sinap!$A$2:$Y$9000,20,FALSE)</f>
        <v>SI</v>
      </c>
    </row>
    <row r="245" spans="1:19" s="16" customFormat="1" hidden="1" x14ac:dyDescent="0.25">
      <c r="A245" s="15">
        <v>8933125</v>
      </c>
      <c r="B245" s="15"/>
      <c r="C245" s="15"/>
      <c r="E245" s="16">
        <v>44350</v>
      </c>
      <c r="J245" s="15" t="str">
        <f>VLOOKUP(A245,sinap!$A$2:$R$9000,2,FALSE)</f>
        <v>M</v>
      </c>
      <c r="K245" s="15" t="str">
        <f>VLOOKUP(A245,sinap!$A$2:$R$9000,3,FALSE)</f>
        <v>TORO</v>
      </c>
      <c r="L245" s="15" t="str">
        <f>VLOOKUP(A245,sinap!$A$2:$R$9000,4,FALSE)</f>
        <v>ANGUS NEGRO</v>
      </c>
      <c r="M245" s="15" t="str">
        <f>VLOOKUP(A245,sinap!$A$2:$R$9000,5,FALSE)</f>
        <v>12 años 3 meses</v>
      </c>
      <c r="N245" s="15" t="str">
        <f>VLOOKUP(A245,sinap!$A$2:$R$9000,6,FALSE)</f>
        <v>15-10-2013</v>
      </c>
      <c r="O245" s="15" t="str">
        <f>VLOOKUP(A245,sinap!$A$2:$R$9000,7,FALSE)</f>
        <v>Vivo</v>
      </c>
      <c r="P245" s="15" t="str">
        <f>VLOOKUP(A245,sinap!$A$2:$R$9000,8,FALSE)</f>
        <v>11.1.01.1241</v>
      </c>
      <c r="Q245" s="15" t="str">
        <f>VLOOKUP(A245,sinap!$A$2:$R$9000,12,FALSE)</f>
        <v>Sin Movimiento</v>
      </c>
      <c r="R245" s="15" t="str">
        <f>VLOOKUP(A245,sinap!$A$2:$R$9000,16,FALSE)</f>
        <v>11.1.01.1241</v>
      </c>
      <c r="S245" s="15" t="str">
        <f>VLOOKUP(A245,sinap!$A$2:$Y$9000,20,FALSE)</f>
        <v>SI</v>
      </c>
    </row>
    <row r="246" spans="1:19" s="16" customFormat="1" hidden="1" x14ac:dyDescent="0.25">
      <c r="A246" s="15">
        <v>8933128</v>
      </c>
      <c r="B246" s="15"/>
      <c r="C246" s="15"/>
      <c r="E246" s="16">
        <v>44350</v>
      </c>
      <c r="G246" s="16">
        <v>45215</v>
      </c>
      <c r="J246" s="15" t="str">
        <f>VLOOKUP(A246,sinap!$A$2:$R$9000,2,FALSE)</f>
        <v>M</v>
      </c>
      <c r="K246" s="15" t="str">
        <f>VLOOKUP(A246,sinap!$A$2:$R$9000,3,FALSE)</f>
        <v>TORO</v>
      </c>
      <c r="L246" s="15" t="str">
        <f>VLOOKUP(A246,sinap!$A$2:$R$9000,4,FALSE)</f>
        <v>ANGUS ROJO</v>
      </c>
      <c r="M246" s="15" t="str">
        <f>VLOOKUP(A246,sinap!$A$2:$R$9000,5,FALSE)</f>
        <v>12 años 3 meses</v>
      </c>
      <c r="N246" s="15" t="str">
        <f>VLOOKUP(A246,sinap!$A$2:$R$9000,6,FALSE)</f>
        <v>15-10-2013</v>
      </c>
      <c r="O246" s="15" t="str">
        <f>VLOOKUP(A246,sinap!$A$2:$R$9000,7,FALSE)</f>
        <v>Vivo</v>
      </c>
      <c r="P246" s="15" t="str">
        <f>VLOOKUP(A246,sinap!$A$2:$R$9000,8,FALSE)</f>
        <v>11.1.01.1241</v>
      </c>
      <c r="Q246" s="15" t="str">
        <f>VLOOKUP(A246,sinap!$A$2:$R$9000,12,FALSE)</f>
        <v>Sin Movimiento</v>
      </c>
      <c r="R246" s="15" t="str">
        <f>VLOOKUP(A246,sinap!$A$2:$R$9000,16,FALSE)</f>
        <v>11.1.01.1241</v>
      </c>
      <c r="S246" s="15" t="str">
        <f>VLOOKUP(A246,sinap!$A$2:$Y$9000,20,FALSE)</f>
        <v>SI</v>
      </c>
    </row>
    <row r="247" spans="1:19" s="16" customFormat="1" hidden="1" x14ac:dyDescent="0.25">
      <c r="A247" s="15">
        <v>8933129</v>
      </c>
      <c r="B247" s="15"/>
      <c r="C247" s="15"/>
      <c r="E247" s="16">
        <v>44350</v>
      </c>
      <c r="G247" s="16">
        <v>45240</v>
      </c>
      <c r="J247" s="15" t="str">
        <f>VLOOKUP(A247,sinap!$A$2:$R$9000,2,FALSE)</f>
        <v>M</v>
      </c>
      <c r="K247" s="15" t="str">
        <f>VLOOKUP(A247,sinap!$A$2:$R$9000,3,FALSE)</f>
        <v>TORO</v>
      </c>
      <c r="L247" s="15" t="str">
        <f>VLOOKUP(A247,sinap!$A$2:$R$9000,4,FALSE)</f>
        <v>ANGUS NEGRO</v>
      </c>
      <c r="M247" s="15" t="str">
        <f>VLOOKUP(A247,sinap!$A$2:$R$9000,5,FALSE)</f>
        <v>12 años 3 meses</v>
      </c>
      <c r="N247" s="15" t="str">
        <f>VLOOKUP(A247,sinap!$A$2:$R$9000,6,FALSE)</f>
        <v>15-10-2013</v>
      </c>
      <c r="O247" s="15" t="str">
        <f>VLOOKUP(A247,sinap!$A$2:$R$9000,7,FALSE)</f>
        <v>Vivo</v>
      </c>
      <c r="P247" s="15" t="str">
        <f>VLOOKUP(A247,sinap!$A$2:$R$9000,8,FALSE)</f>
        <v>11.1.01.1241</v>
      </c>
      <c r="Q247" s="15" t="str">
        <f>VLOOKUP(A247,sinap!$A$2:$R$9000,12,FALSE)</f>
        <v>Sin Movimiento</v>
      </c>
      <c r="R247" s="15" t="str">
        <f>VLOOKUP(A247,sinap!$A$2:$R$9000,16,FALSE)</f>
        <v>11.1.01.1241</v>
      </c>
      <c r="S247" s="15" t="str">
        <f>VLOOKUP(A247,sinap!$A$2:$Y$9000,20,FALSE)</f>
        <v>SI</v>
      </c>
    </row>
    <row r="248" spans="1:19" s="16" customFormat="1" hidden="1" x14ac:dyDescent="0.25">
      <c r="A248" s="15">
        <v>8933132</v>
      </c>
      <c r="B248" s="15"/>
      <c r="C248" s="15"/>
      <c r="E248" s="16">
        <v>44350</v>
      </c>
      <c r="G248" s="16">
        <v>45215</v>
      </c>
      <c r="J248" s="15" t="str">
        <f>VLOOKUP(A248,sinap!$A$2:$R$9000,2,FALSE)</f>
        <v>M</v>
      </c>
      <c r="K248" s="15" t="str">
        <f>VLOOKUP(A248,sinap!$A$2:$R$9000,3,FALSE)</f>
        <v>TORO</v>
      </c>
      <c r="L248" s="15" t="str">
        <f>VLOOKUP(A248,sinap!$A$2:$R$9000,4,FALSE)</f>
        <v>ANGUS ROJO</v>
      </c>
      <c r="M248" s="15" t="str">
        <f>VLOOKUP(A248,sinap!$A$2:$R$9000,5,FALSE)</f>
        <v>12 años 3 meses</v>
      </c>
      <c r="N248" s="15" t="str">
        <f>VLOOKUP(A248,sinap!$A$2:$R$9000,6,FALSE)</f>
        <v>15-10-2013</v>
      </c>
      <c r="O248" s="15" t="str">
        <f>VLOOKUP(A248,sinap!$A$2:$R$9000,7,FALSE)</f>
        <v>Vivo</v>
      </c>
      <c r="P248" s="15" t="str">
        <f>VLOOKUP(A248,sinap!$A$2:$R$9000,8,FALSE)</f>
        <v>11.1.01.1241</v>
      </c>
      <c r="Q248" s="15" t="str">
        <f>VLOOKUP(A248,sinap!$A$2:$R$9000,12,FALSE)</f>
        <v>Sin Movimiento</v>
      </c>
      <c r="R248" s="15" t="str">
        <f>VLOOKUP(A248,sinap!$A$2:$R$9000,16,FALSE)</f>
        <v>11.1.01.1241</v>
      </c>
      <c r="S248" s="15" t="str">
        <f>VLOOKUP(A248,sinap!$A$2:$Y$9000,20,FALSE)</f>
        <v>SI</v>
      </c>
    </row>
    <row r="249" spans="1:19" s="16" customFormat="1" hidden="1" x14ac:dyDescent="0.25">
      <c r="A249" s="15">
        <v>8933139</v>
      </c>
      <c r="B249" s="15"/>
      <c r="C249" s="15"/>
      <c r="E249" s="16">
        <v>44350</v>
      </c>
      <c r="G249" s="16">
        <v>45215</v>
      </c>
      <c r="H249" s="16">
        <v>45648</v>
      </c>
      <c r="I249" s="16">
        <v>45671</v>
      </c>
      <c r="J249" s="15" t="str">
        <f>VLOOKUP(A249,sinap!$A$2:$R$9000,2,FALSE)</f>
        <v>H</v>
      </c>
      <c r="K249" s="15" t="str">
        <f>VLOOKUP(A249,sinap!$A$2:$R$9000,3,FALSE)</f>
        <v>VACA</v>
      </c>
      <c r="L249" s="15" t="str">
        <f>VLOOKUP(A249,sinap!$A$2:$R$9000,4,FALSE)</f>
        <v>ANGUS NEGRO</v>
      </c>
      <c r="M249" s="15" t="str">
        <f>VLOOKUP(A249,sinap!$A$2:$R$9000,5,FALSE)</f>
        <v>12 años 3 meses</v>
      </c>
      <c r="N249" s="15" t="str">
        <f>VLOOKUP(A249,sinap!$A$2:$R$9000,6,FALSE)</f>
        <v>15-10-2013</v>
      </c>
      <c r="O249" s="15" t="str">
        <f>VLOOKUP(A249,sinap!$A$2:$R$9000,7,FALSE)</f>
        <v>Vivo</v>
      </c>
      <c r="P249" s="15" t="str">
        <f>VLOOKUP(A249,sinap!$A$2:$R$9000,8,FALSE)</f>
        <v>11.1.01.1241</v>
      </c>
      <c r="Q249" s="15" t="str">
        <f>VLOOKUP(A249,sinap!$A$2:$R$9000,12,FALSE)</f>
        <v>11.2.01.0038</v>
      </c>
      <c r="R249" s="15" t="str">
        <f>VLOOKUP(A249,sinap!$A$2:$R$9000,16,FALSE)</f>
        <v>11.1.01.1241</v>
      </c>
      <c r="S249" s="15" t="str">
        <f>VLOOKUP(A249,sinap!$A$2:$Y$9000,20,FALSE)</f>
        <v>SI</v>
      </c>
    </row>
    <row r="250" spans="1:19" s="16" customFormat="1" ht="15.75" hidden="1" customHeight="1" x14ac:dyDescent="0.25">
      <c r="A250" s="15">
        <v>8933147</v>
      </c>
      <c r="B250" s="15"/>
      <c r="C250" s="15"/>
      <c r="J250" s="15" t="str">
        <f>VLOOKUP(A250,sinap!$A$2:$R$9000,2,FALSE)</f>
        <v>H</v>
      </c>
      <c r="K250" s="15" t="str">
        <f>VLOOKUP(A250,sinap!$A$2:$R$9000,3,FALSE)</f>
        <v>VACA</v>
      </c>
      <c r="L250" s="15" t="str">
        <f>VLOOKUP(A250,sinap!$A$2:$R$9000,4,FALSE)</f>
        <v>HEREFORD</v>
      </c>
      <c r="M250" s="15" t="str">
        <f>VLOOKUP(A250,sinap!$A$2:$R$9000,5,FALSE)</f>
        <v>12 años 3 meses</v>
      </c>
      <c r="N250" s="15" t="str">
        <f>VLOOKUP(A250,sinap!$A$2:$R$9000,6,FALSE)</f>
        <v>15-10-2013</v>
      </c>
      <c r="O250" s="15" t="str">
        <f>VLOOKUP(A250,sinap!$A$2:$R$9000,7,FALSE)</f>
        <v>Vivo</v>
      </c>
      <c r="P250" s="15" t="str">
        <f>VLOOKUP(A250,sinap!$A$2:$R$9000,8,FALSE)</f>
        <v>11.1.01.1241</v>
      </c>
      <c r="Q250" s="15" t="str">
        <f>VLOOKUP(A250,sinap!$A$2:$R$9000,12,FALSE)</f>
        <v>11.1.01.1081</v>
      </c>
      <c r="R250" s="15" t="str">
        <f>VLOOKUP(A250,sinap!$A$2:$R$9000,16,FALSE)</f>
        <v>11.1.01.1241</v>
      </c>
      <c r="S250" s="15" t="str">
        <f>VLOOKUP(A250,sinap!$A$2:$Y$9000,20,FALSE)</f>
        <v>SI</v>
      </c>
    </row>
    <row r="251" spans="1:19" s="16" customFormat="1" hidden="1" x14ac:dyDescent="0.25">
      <c r="A251" s="15">
        <v>8933151</v>
      </c>
      <c r="B251" s="15"/>
      <c r="C251" s="15"/>
      <c r="E251" s="16">
        <v>44499</v>
      </c>
      <c r="G251" s="16">
        <v>45090</v>
      </c>
      <c r="J251" s="15" t="str">
        <f>VLOOKUP(A251,sinap!$A$2:$R$9000,2,FALSE)</f>
        <v>M</v>
      </c>
      <c r="K251" s="15" t="str">
        <f>VLOOKUP(A251,sinap!$A$2:$R$9000,3,FALSE)</f>
        <v>TORO</v>
      </c>
      <c r="L251" s="15" t="str">
        <f>VLOOKUP(A251,sinap!$A$2:$R$9000,4,FALSE)</f>
        <v>ANGUS NEGRO</v>
      </c>
      <c r="M251" s="15" t="str">
        <f>VLOOKUP(A251,sinap!$A$2:$R$9000,5,FALSE)</f>
        <v>12 años 3 meses</v>
      </c>
      <c r="N251" s="15" t="str">
        <f>VLOOKUP(A251,sinap!$A$2:$R$9000,6,FALSE)</f>
        <v>15-10-2013</v>
      </c>
      <c r="O251" s="15" t="str">
        <f>VLOOKUP(A251,sinap!$A$2:$R$9000,7,FALSE)</f>
        <v>Vivo</v>
      </c>
      <c r="P251" s="15" t="str">
        <f>VLOOKUP(A251,sinap!$A$2:$R$9000,8,FALSE)</f>
        <v>11.1.01.1241</v>
      </c>
      <c r="Q251" s="15" t="str">
        <f>VLOOKUP(A251,sinap!$A$2:$R$9000,12,FALSE)</f>
        <v>Sin Movimiento</v>
      </c>
      <c r="R251" s="15" t="str">
        <f>VLOOKUP(A251,sinap!$A$2:$R$9000,16,FALSE)</f>
        <v>11.1.01.1241</v>
      </c>
      <c r="S251" s="15" t="str">
        <f>VLOOKUP(A251,sinap!$A$2:$Y$9000,20,FALSE)</f>
        <v>SI</v>
      </c>
    </row>
    <row r="252" spans="1:19" s="16" customFormat="1" hidden="1" x14ac:dyDescent="0.25">
      <c r="A252" s="15">
        <v>8933155</v>
      </c>
      <c r="B252" s="15"/>
      <c r="C252" s="15"/>
      <c r="E252" s="16">
        <v>44350</v>
      </c>
      <c r="G252" s="16">
        <v>45240</v>
      </c>
      <c r="J252" s="15" t="str">
        <f>VLOOKUP(A252,sinap!$A$2:$R$9000,2,FALSE)</f>
        <v>M</v>
      </c>
      <c r="K252" s="15" t="str">
        <f>VLOOKUP(A252,sinap!$A$2:$R$9000,3,FALSE)</f>
        <v>TORO</v>
      </c>
      <c r="L252" s="15" t="str">
        <f>VLOOKUP(A252,sinap!$A$2:$R$9000,4,FALSE)</f>
        <v>ANGUS NEGRO</v>
      </c>
      <c r="M252" s="15" t="str">
        <f>VLOOKUP(A252,sinap!$A$2:$R$9000,5,FALSE)</f>
        <v>12 años 3 meses</v>
      </c>
      <c r="N252" s="15" t="str">
        <f>VLOOKUP(A252,sinap!$A$2:$R$9000,6,FALSE)</f>
        <v>15-10-2013</v>
      </c>
      <c r="O252" s="15" t="str">
        <f>VLOOKUP(A252,sinap!$A$2:$R$9000,7,FALSE)</f>
        <v>Vivo</v>
      </c>
      <c r="P252" s="15" t="str">
        <f>VLOOKUP(A252,sinap!$A$2:$R$9000,8,FALSE)</f>
        <v>11.1.01.1241</v>
      </c>
      <c r="Q252" s="15" t="str">
        <f>VLOOKUP(A252,sinap!$A$2:$R$9000,12,FALSE)</f>
        <v>Sin Movimiento</v>
      </c>
      <c r="R252" s="15" t="str">
        <f>VLOOKUP(A252,sinap!$A$2:$R$9000,16,FALSE)</f>
        <v>11.1.01.1241</v>
      </c>
      <c r="S252" s="15" t="str">
        <f>VLOOKUP(A252,sinap!$A$2:$Y$9000,20,FALSE)</f>
        <v>SI</v>
      </c>
    </row>
    <row r="253" spans="1:19" s="16" customFormat="1" hidden="1" x14ac:dyDescent="0.25">
      <c r="A253" s="15">
        <v>8933158</v>
      </c>
      <c r="B253" s="15"/>
      <c r="C253" s="15"/>
      <c r="E253" s="16">
        <v>44350</v>
      </c>
      <c r="J253" s="15" t="str">
        <f>VLOOKUP(A253,sinap!$A$2:$R$9000,2,FALSE)</f>
        <v>M</v>
      </c>
      <c r="K253" s="15" t="str">
        <f>VLOOKUP(A253,sinap!$A$2:$R$9000,3,FALSE)</f>
        <v>TORO</v>
      </c>
      <c r="L253" s="15" t="str">
        <f>VLOOKUP(A253,sinap!$A$2:$R$9000,4,FALSE)</f>
        <v>ANGUS NEGRO</v>
      </c>
      <c r="M253" s="15" t="str">
        <f>VLOOKUP(A253,sinap!$A$2:$R$9000,5,FALSE)</f>
        <v>12 años 3 meses</v>
      </c>
      <c r="N253" s="15" t="str">
        <f>VLOOKUP(A253,sinap!$A$2:$R$9000,6,FALSE)</f>
        <v>15-10-2013</v>
      </c>
      <c r="O253" s="15" t="str">
        <f>VLOOKUP(A253,sinap!$A$2:$R$9000,7,FALSE)</f>
        <v>Vivo</v>
      </c>
      <c r="P253" s="15" t="str">
        <f>VLOOKUP(A253,sinap!$A$2:$R$9000,8,FALSE)</f>
        <v>11.1.01.1241</v>
      </c>
      <c r="Q253" s="15" t="str">
        <f>VLOOKUP(A253,sinap!$A$2:$R$9000,12,FALSE)</f>
        <v>Sin Movimiento</v>
      </c>
      <c r="R253" s="15" t="str">
        <f>VLOOKUP(A253,sinap!$A$2:$R$9000,16,FALSE)</f>
        <v>11.1.01.1241</v>
      </c>
      <c r="S253" s="15" t="str">
        <f>VLOOKUP(A253,sinap!$A$2:$Y$9000,20,FALSE)</f>
        <v>SI</v>
      </c>
    </row>
    <row r="254" spans="1:19" s="16" customFormat="1" hidden="1" x14ac:dyDescent="0.25">
      <c r="A254" s="15">
        <v>8933165</v>
      </c>
      <c r="B254" s="15"/>
      <c r="C254" s="15"/>
      <c r="E254" s="16">
        <v>44350</v>
      </c>
      <c r="G254" s="16">
        <v>45215</v>
      </c>
      <c r="J254" s="15" t="str">
        <f>VLOOKUP(A254,sinap!$A$2:$R$9000,2,FALSE)</f>
        <v>M</v>
      </c>
      <c r="K254" s="15" t="str">
        <f>VLOOKUP(A254,sinap!$A$2:$R$9000,3,FALSE)</f>
        <v>TORO</v>
      </c>
      <c r="L254" s="15" t="str">
        <f>VLOOKUP(A254,sinap!$A$2:$R$9000,4,FALSE)</f>
        <v>LIMOUSIN</v>
      </c>
      <c r="M254" s="15" t="str">
        <f>VLOOKUP(A254,sinap!$A$2:$R$9000,5,FALSE)</f>
        <v>12 años 3 meses</v>
      </c>
      <c r="N254" s="15" t="str">
        <f>VLOOKUP(A254,sinap!$A$2:$R$9000,6,FALSE)</f>
        <v>15-10-2013</v>
      </c>
      <c r="O254" s="15" t="str">
        <f>VLOOKUP(A254,sinap!$A$2:$R$9000,7,FALSE)</f>
        <v>Vivo</v>
      </c>
      <c r="P254" s="15" t="str">
        <f>VLOOKUP(A254,sinap!$A$2:$R$9000,8,FALSE)</f>
        <v>11.1.01.1241</v>
      </c>
      <c r="Q254" s="15" t="str">
        <f>VLOOKUP(A254,sinap!$A$2:$R$9000,12,FALSE)</f>
        <v>Sin Movimiento</v>
      </c>
      <c r="R254" s="15" t="str">
        <f>VLOOKUP(A254,sinap!$A$2:$R$9000,16,FALSE)</f>
        <v>11.1.01.1241</v>
      </c>
      <c r="S254" s="15" t="str">
        <f>VLOOKUP(A254,sinap!$A$2:$Y$9000,20,FALSE)</f>
        <v>SI</v>
      </c>
    </row>
    <row r="255" spans="1:19" s="16" customFormat="1" hidden="1" x14ac:dyDescent="0.25">
      <c r="A255" s="15">
        <v>8933166</v>
      </c>
      <c r="B255" s="15"/>
      <c r="C255" s="15"/>
      <c r="E255" s="16">
        <v>44499</v>
      </c>
      <c r="G255" s="16">
        <v>45254</v>
      </c>
      <c r="J255" s="15" t="str">
        <f>VLOOKUP(A255,sinap!$A$2:$R$9000,2,FALSE)</f>
        <v>M</v>
      </c>
      <c r="K255" s="15" t="str">
        <f>VLOOKUP(A255,sinap!$A$2:$R$9000,3,FALSE)</f>
        <v>TORO</v>
      </c>
      <c r="L255" s="15" t="str">
        <f>VLOOKUP(A255,sinap!$A$2:$R$9000,4,FALSE)</f>
        <v>ANGUS ROJO</v>
      </c>
      <c r="M255" s="15" t="str">
        <f>VLOOKUP(A255,sinap!$A$2:$R$9000,5,FALSE)</f>
        <v>12 años 3 meses</v>
      </c>
      <c r="N255" s="15" t="str">
        <f>VLOOKUP(A255,sinap!$A$2:$R$9000,6,FALSE)</f>
        <v>15-10-2013</v>
      </c>
      <c r="O255" s="15" t="str">
        <f>VLOOKUP(A255,sinap!$A$2:$R$9000,7,FALSE)</f>
        <v>Vivo</v>
      </c>
      <c r="P255" s="15" t="str">
        <f>VLOOKUP(A255,sinap!$A$2:$R$9000,8,FALSE)</f>
        <v>11.1.01.1241</v>
      </c>
      <c r="Q255" s="15" t="str">
        <f>VLOOKUP(A255,sinap!$A$2:$R$9000,12,FALSE)</f>
        <v>Sin Movimiento</v>
      </c>
      <c r="R255" s="15" t="str">
        <f>VLOOKUP(A255,sinap!$A$2:$R$9000,16,FALSE)</f>
        <v>11.1.01.1241</v>
      </c>
      <c r="S255" s="15" t="str">
        <f>VLOOKUP(A255,sinap!$A$2:$Y$9000,20,FALSE)</f>
        <v>SI</v>
      </c>
    </row>
    <row r="256" spans="1:19" s="16" customFormat="1" hidden="1" x14ac:dyDescent="0.25">
      <c r="A256" s="15">
        <v>8933170</v>
      </c>
      <c r="B256" s="15"/>
      <c r="C256" s="15"/>
      <c r="E256" s="16">
        <v>44350</v>
      </c>
      <c r="J256" s="15" t="str">
        <f>VLOOKUP(A256,sinap!$A$2:$R$9000,2,FALSE)</f>
        <v>M</v>
      </c>
      <c r="K256" s="15" t="str">
        <f>VLOOKUP(A256,sinap!$A$2:$R$9000,3,FALSE)</f>
        <v>TORO</v>
      </c>
      <c r="L256" s="15" t="str">
        <f>VLOOKUP(A256,sinap!$A$2:$R$9000,4,FALSE)</f>
        <v>HEREFORD</v>
      </c>
      <c r="M256" s="15" t="str">
        <f>VLOOKUP(A256,sinap!$A$2:$R$9000,5,FALSE)</f>
        <v>12 años 3 meses</v>
      </c>
      <c r="N256" s="15" t="str">
        <f>VLOOKUP(A256,sinap!$A$2:$R$9000,6,FALSE)</f>
        <v>15-10-2013</v>
      </c>
      <c r="O256" s="15" t="str">
        <f>VLOOKUP(A256,sinap!$A$2:$R$9000,7,FALSE)</f>
        <v>Vivo</v>
      </c>
      <c r="P256" s="15" t="str">
        <f>VLOOKUP(A256,sinap!$A$2:$R$9000,8,FALSE)</f>
        <v>11.1.01.1241</v>
      </c>
      <c r="Q256" s="15" t="str">
        <f>VLOOKUP(A256,sinap!$A$2:$R$9000,12,FALSE)</f>
        <v>Sin Movimiento</v>
      </c>
      <c r="R256" s="15" t="str">
        <f>VLOOKUP(A256,sinap!$A$2:$R$9000,16,FALSE)</f>
        <v>11.1.01.1241</v>
      </c>
      <c r="S256" s="15" t="str">
        <f>VLOOKUP(A256,sinap!$A$2:$Y$9000,20,FALSE)</f>
        <v>SI</v>
      </c>
    </row>
    <row r="257" spans="1:19" s="16" customFormat="1" hidden="1" x14ac:dyDescent="0.25">
      <c r="A257" s="15">
        <v>8933172</v>
      </c>
      <c r="B257" s="15"/>
      <c r="C257" s="15"/>
      <c r="E257" s="16">
        <v>44350</v>
      </c>
      <c r="G257" s="16">
        <v>45090</v>
      </c>
      <c r="J257" s="15" t="str">
        <f>VLOOKUP(A257,sinap!$A$2:$R$9000,2,FALSE)</f>
        <v>H</v>
      </c>
      <c r="K257" s="15" t="str">
        <f>VLOOKUP(A257,sinap!$A$2:$R$9000,3,FALSE)</f>
        <v>VACA</v>
      </c>
      <c r="L257" s="15" t="str">
        <f>VLOOKUP(A257,sinap!$A$2:$R$9000,4,FALSE)</f>
        <v>HEREFORD</v>
      </c>
      <c r="M257" s="15" t="str">
        <f>VLOOKUP(A257,sinap!$A$2:$R$9000,5,FALSE)</f>
        <v>12 años 3 meses</v>
      </c>
      <c r="N257" s="15" t="str">
        <f>VLOOKUP(A257,sinap!$A$2:$R$9000,6,FALSE)</f>
        <v>15-10-2013</v>
      </c>
      <c r="O257" s="15" t="str">
        <f>VLOOKUP(A257,sinap!$A$2:$R$9000,7,FALSE)</f>
        <v>Vivo</v>
      </c>
      <c r="P257" s="15" t="str">
        <f>VLOOKUP(A257,sinap!$A$2:$R$9000,8,FALSE)</f>
        <v>11.1.01.1241</v>
      </c>
      <c r="Q257" s="15" t="str">
        <f>VLOOKUP(A257,sinap!$A$2:$R$9000,12,FALSE)</f>
        <v>11.1.01.0893</v>
      </c>
      <c r="R257" s="15" t="str">
        <f>VLOOKUP(A257,sinap!$A$2:$R$9000,16,FALSE)</f>
        <v>11.1.01.1241</v>
      </c>
      <c r="S257" s="15" t="str">
        <f>VLOOKUP(A257,sinap!$A$2:$Y$9000,20,FALSE)</f>
        <v>SI</v>
      </c>
    </row>
    <row r="258" spans="1:19" s="16" customFormat="1" ht="15.75" hidden="1" customHeight="1" x14ac:dyDescent="0.25">
      <c r="A258" s="15">
        <v>8933175</v>
      </c>
      <c r="B258" s="15"/>
      <c r="C258" s="15"/>
      <c r="E258" s="16">
        <v>44499</v>
      </c>
      <c r="G258" s="16">
        <v>45215</v>
      </c>
      <c r="J258" s="15" t="str">
        <f>VLOOKUP(A258,sinap!$A$2:$R$9000,2,FALSE)</f>
        <v>M</v>
      </c>
      <c r="K258" s="15" t="str">
        <f>VLOOKUP(A258,sinap!$A$2:$R$9000,3,FALSE)</f>
        <v>TORO</v>
      </c>
      <c r="L258" s="15" t="str">
        <f>VLOOKUP(A258,sinap!$A$2:$R$9000,4,FALSE)</f>
        <v>HEREFORD</v>
      </c>
      <c r="M258" s="15" t="str">
        <f>VLOOKUP(A258,sinap!$A$2:$R$9000,5,FALSE)</f>
        <v>12 años 3 meses</v>
      </c>
      <c r="N258" s="15" t="str">
        <f>VLOOKUP(A258,sinap!$A$2:$R$9000,6,FALSE)</f>
        <v>15-10-2013</v>
      </c>
      <c r="O258" s="15" t="str">
        <f>VLOOKUP(A258,sinap!$A$2:$R$9000,7,FALSE)</f>
        <v>Vivo</v>
      </c>
      <c r="P258" s="15" t="str">
        <f>VLOOKUP(A258,sinap!$A$2:$R$9000,8,FALSE)</f>
        <v>11.1.01.1241</v>
      </c>
      <c r="Q258" s="15" t="str">
        <f>VLOOKUP(A258,sinap!$A$2:$R$9000,12,FALSE)</f>
        <v>Sin Movimiento</v>
      </c>
      <c r="R258" s="15" t="str">
        <f>VLOOKUP(A258,sinap!$A$2:$R$9000,16,FALSE)</f>
        <v>11.1.01.1241</v>
      </c>
      <c r="S258" s="15" t="str">
        <f>VLOOKUP(A258,sinap!$A$2:$Y$9000,20,FALSE)</f>
        <v>SI</v>
      </c>
    </row>
    <row r="259" spans="1:19" s="16" customFormat="1" hidden="1" x14ac:dyDescent="0.25">
      <c r="A259" s="15">
        <v>8933177</v>
      </c>
      <c r="B259" s="15"/>
      <c r="C259" s="15"/>
      <c r="E259" s="16">
        <v>44350</v>
      </c>
      <c r="J259" s="15" t="str">
        <f>VLOOKUP(A259,sinap!$A$2:$R$9000,2,FALSE)</f>
        <v>M</v>
      </c>
      <c r="K259" s="15" t="str">
        <f>VLOOKUP(A259,sinap!$A$2:$R$9000,3,FALSE)</f>
        <v>TORO</v>
      </c>
      <c r="L259" s="15" t="str">
        <f>VLOOKUP(A259,sinap!$A$2:$R$9000,4,FALSE)</f>
        <v>ANGUS NEGRO</v>
      </c>
      <c r="M259" s="15" t="str">
        <f>VLOOKUP(A259,sinap!$A$2:$R$9000,5,FALSE)</f>
        <v>12 años 3 meses</v>
      </c>
      <c r="N259" s="15" t="str">
        <f>VLOOKUP(A259,sinap!$A$2:$R$9000,6,FALSE)</f>
        <v>15-10-2013</v>
      </c>
      <c r="O259" s="15" t="str">
        <f>VLOOKUP(A259,sinap!$A$2:$R$9000,7,FALSE)</f>
        <v>Vivo</v>
      </c>
      <c r="P259" s="15" t="str">
        <f>VLOOKUP(A259,sinap!$A$2:$R$9000,8,FALSE)</f>
        <v>11.1.01.1241</v>
      </c>
      <c r="Q259" s="15" t="str">
        <f>VLOOKUP(A259,sinap!$A$2:$R$9000,12,FALSE)</f>
        <v>Sin Movimiento</v>
      </c>
      <c r="R259" s="15" t="str">
        <f>VLOOKUP(A259,sinap!$A$2:$R$9000,16,FALSE)</f>
        <v>11.1.01.1241</v>
      </c>
      <c r="S259" s="15" t="str">
        <f>VLOOKUP(A259,sinap!$A$2:$Y$9000,20,FALSE)</f>
        <v>SI</v>
      </c>
    </row>
    <row r="260" spans="1:19" s="16" customFormat="1" hidden="1" x14ac:dyDescent="0.25">
      <c r="A260" s="15">
        <v>8933178</v>
      </c>
      <c r="B260" s="15"/>
      <c r="C260" s="15"/>
      <c r="E260" s="16">
        <v>44350</v>
      </c>
      <c r="G260" s="16">
        <v>45215</v>
      </c>
      <c r="J260" s="15" t="str">
        <f>VLOOKUP(A260,sinap!$A$2:$R$9000,2,FALSE)</f>
        <v>H</v>
      </c>
      <c r="K260" s="15" t="str">
        <f>VLOOKUP(A260,sinap!$A$2:$R$9000,3,FALSE)</f>
        <v>VACA</v>
      </c>
      <c r="L260" s="15" t="str">
        <f>VLOOKUP(A260,sinap!$A$2:$R$9000,4,FALSE)</f>
        <v>ANGUS NEGRO</v>
      </c>
      <c r="M260" s="15" t="str">
        <f>VLOOKUP(A260,sinap!$A$2:$R$9000,5,FALSE)</f>
        <v>12 años 3 meses</v>
      </c>
      <c r="N260" s="15" t="str">
        <f>VLOOKUP(A260,sinap!$A$2:$R$9000,6,FALSE)</f>
        <v>15-10-2013</v>
      </c>
      <c r="O260" s="15" t="str">
        <f>VLOOKUP(A260,sinap!$A$2:$R$9000,7,FALSE)</f>
        <v>Vivo</v>
      </c>
      <c r="P260" s="15" t="str">
        <f>VLOOKUP(A260,sinap!$A$2:$R$9000,8,FALSE)</f>
        <v>11.1.01.1241</v>
      </c>
      <c r="Q260" s="15" t="str">
        <f>VLOOKUP(A260,sinap!$A$2:$R$9000,12,FALSE)</f>
        <v>11.1.01.1081</v>
      </c>
      <c r="R260" s="15" t="str">
        <f>VLOOKUP(A260,sinap!$A$2:$R$9000,16,FALSE)</f>
        <v>11.1.01.1241</v>
      </c>
      <c r="S260" s="15" t="str">
        <f>VLOOKUP(A260,sinap!$A$2:$Y$9000,20,FALSE)</f>
        <v>SI</v>
      </c>
    </row>
    <row r="261" spans="1:19" s="16" customFormat="1" hidden="1" x14ac:dyDescent="0.25">
      <c r="A261" s="15">
        <v>8933193</v>
      </c>
      <c r="B261" s="15"/>
      <c r="C261" s="15"/>
      <c r="D261" s="16">
        <v>44135</v>
      </c>
      <c r="E261" s="16">
        <v>44350</v>
      </c>
      <c r="F261" s="16">
        <v>44868</v>
      </c>
      <c r="G261" s="16">
        <v>45254</v>
      </c>
      <c r="J261" s="15" t="str">
        <f>VLOOKUP(A261,sinap!$A$2:$R$9000,2,FALSE)</f>
        <v>H</v>
      </c>
      <c r="K261" s="15" t="str">
        <f>VLOOKUP(A261,sinap!$A$2:$R$9000,3,FALSE)</f>
        <v>VACA</v>
      </c>
      <c r="L261" s="15" t="str">
        <f>VLOOKUP(A261,sinap!$A$2:$R$9000,4,FALSE)</f>
        <v>ANGUS NEGRO</v>
      </c>
      <c r="M261" s="15" t="str">
        <f>VLOOKUP(A261,sinap!$A$2:$R$9000,5,FALSE)</f>
        <v>12 años 1 meses</v>
      </c>
      <c r="N261" s="15" t="str">
        <f>VLOOKUP(A261,sinap!$A$2:$R$9000,6,FALSE)</f>
        <v>30-11-2013</v>
      </c>
      <c r="O261" s="15" t="str">
        <f>VLOOKUP(A261,sinap!$A$2:$R$9000,7,FALSE)</f>
        <v>Vivo</v>
      </c>
      <c r="P261" s="15" t="str">
        <f>VLOOKUP(A261,sinap!$A$2:$R$9000,8,FALSE)</f>
        <v>11.1.01.1241</v>
      </c>
      <c r="Q261" s="15" t="str">
        <f>VLOOKUP(A261,sinap!$A$2:$R$9000,12,FALSE)</f>
        <v>11.1.01.1022</v>
      </c>
      <c r="R261" s="15" t="str">
        <f>VLOOKUP(A261,sinap!$A$2:$R$9000,16,FALSE)</f>
        <v>11.1.01.1241</v>
      </c>
      <c r="S261" s="15" t="str">
        <f>VLOOKUP(A261,sinap!$A$2:$Y$9000,20,FALSE)</f>
        <v>SI</v>
      </c>
    </row>
    <row r="262" spans="1:19" s="16" customFormat="1" hidden="1" x14ac:dyDescent="0.25">
      <c r="A262" s="15">
        <v>8933197</v>
      </c>
      <c r="B262" s="15"/>
      <c r="C262" s="15"/>
      <c r="D262" s="16">
        <v>44135</v>
      </c>
      <c r="E262" s="16">
        <v>44350</v>
      </c>
      <c r="F262" s="16">
        <v>44868</v>
      </c>
      <c r="G262" s="16">
        <v>45254</v>
      </c>
      <c r="J262" s="15" t="str">
        <f>VLOOKUP(A262,sinap!$A$2:$R$9000,2,FALSE)</f>
        <v>H</v>
      </c>
      <c r="K262" s="15" t="str">
        <f>VLOOKUP(A262,sinap!$A$2:$R$9000,3,FALSE)</f>
        <v>VACA</v>
      </c>
      <c r="L262" s="15" t="str">
        <f>VLOOKUP(A262,sinap!$A$2:$R$9000,4,FALSE)</f>
        <v>ANGUS ROJO</v>
      </c>
      <c r="M262" s="15" t="str">
        <f>VLOOKUP(A262,sinap!$A$2:$R$9000,5,FALSE)</f>
        <v>12 años 1 meses</v>
      </c>
      <c r="N262" s="15" t="str">
        <f>VLOOKUP(A262,sinap!$A$2:$R$9000,6,FALSE)</f>
        <v>30-11-2013</v>
      </c>
      <c r="O262" s="15" t="str">
        <f>VLOOKUP(A262,sinap!$A$2:$R$9000,7,FALSE)</f>
        <v>Vivo</v>
      </c>
      <c r="P262" s="15" t="str">
        <f>VLOOKUP(A262,sinap!$A$2:$R$9000,8,FALSE)</f>
        <v>11.1.01.1241</v>
      </c>
      <c r="Q262" s="15" t="str">
        <f>VLOOKUP(A262,sinap!$A$2:$R$9000,12,FALSE)</f>
        <v>11.1.01.0893</v>
      </c>
      <c r="R262" s="15" t="str">
        <f>VLOOKUP(A262,sinap!$A$2:$R$9000,16,FALSE)</f>
        <v>11.1.01.1241</v>
      </c>
      <c r="S262" s="15" t="str">
        <f>VLOOKUP(A262,sinap!$A$2:$Y$9000,20,FALSE)</f>
        <v>SI</v>
      </c>
    </row>
    <row r="263" spans="1:19" s="16" customFormat="1" hidden="1" x14ac:dyDescent="0.25">
      <c r="A263" s="15">
        <v>8933200</v>
      </c>
      <c r="B263" s="15"/>
      <c r="C263" s="15"/>
      <c r="D263" s="16">
        <v>44135</v>
      </c>
      <c r="E263" s="16">
        <v>44518</v>
      </c>
      <c r="G263" s="16">
        <v>45254</v>
      </c>
      <c r="J263" s="15" t="str">
        <f>VLOOKUP(A263,sinap!$A$2:$R$9000,2,FALSE)</f>
        <v>H</v>
      </c>
      <c r="K263" s="15" t="str">
        <f>VLOOKUP(A263,sinap!$A$2:$R$9000,3,FALSE)</f>
        <v>VACA</v>
      </c>
      <c r="L263" s="15" t="str">
        <f>VLOOKUP(A263,sinap!$A$2:$R$9000,4,FALSE)</f>
        <v>ANGUS NEGRO</v>
      </c>
      <c r="M263" s="15" t="str">
        <f>VLOOKUP(A263,sinap!$A$2:$R$9000,5,FALSE)</f>
        <v>11 años 11 meses</v>
      </c>
      <c r="N263" s="15" t="str">
        <f>VLOOKUP(A263,sinap!$A$2:$R$9000,6,FALSE)</f>
        <v>15-02-2014</v>
      </c>
      <c r="O263" s="15" t="str">
        <f>VLOOKUP(A263,sinap!$A$2:$R$9000,7,FALSE)</f>
        <v>Vivo</v>
      </c>
      <c r="P263" s="15" t="str">
        <f>VLOOKUP(A263,sinap!$A$2:$R$9000,8,FALSE)</f>
        <v>11.1.01.1241</v>
      </c>
      <c r="Q263" s="15" t="str">
        <f>VLOOKUP(A263,sinap!$A$2:$R$9000,12,FALSE)</f>
        <v>11.1.01.1241</v>
      </c>
      <c r="R263" s="15" t="str">
        <f>VLOOKUP(A263,sinap!$A$2:$R$9000,16,FALSE)</f>
        <v>11.1.01.1241</v>
      </c>
      <c r="S263" s="15" t="str">
        <f>VLOOKUP(A263,sinap!$A$2:$Y$9000,20,FALSE)</f>
        <v>SI</v>
      </c>
    </row>
    <row r="264" spans="1:19" s="16" customFormat="1" hidden="1" x14ac:dyDescent="0.25">
      <c r="A264" s="15">
        <v>8933214</v>
      </c>
      <c r="B264" s="15"/>
      <c r="C264" s="15"/>
      <c r="D264" s="16">
        <v>44135</v>
      </c>
      <c r="E264" s="16">
        <v>44518</v>
      </c>
      <c r="F264" s="16">
        <v>44908</v>
      </c>
      <c r="G264" s="16">
        <v>45265</v>
      </c>
      <c r="J264" s="15" t="str">
        <f>VLOOKUP(A264,sinap!$A$2:$R$9000,2,FALSE)</f>
        <v>H</v>
      </c>
      <c r="K264" s="15" t="str">
        <f>VLOOKUP(A264,sinap!$A$2:$R$9000,3,FALSE)</f>
        <v>VACA</v>
      </c>
      <c r="L264" s="15" t="str">
        <f>VLOOKUP(A264,sinap!$A$2:$R$9000,4,FALSE)</f>
        <v>ANGUS NEGRO</v>
      </c>
      <c r="M264" s="15" t="str">
        <f>VLOOKUP(A264,sinap!$A$2:$R$9000,5,FALSE)</f>
        <v>11 años 10 meses</v>
      </c>
      <c r="N264" s="15" t="str">
        <f>VLOOKUP(A264,sinap!$A$2:$R$9000,6,FALSE)</f>
        <v>28-02-2014</v>
      </c>
      <c r="O264" s="15" t="str">
        <f>VLOOKUP(A264,sinap!$A$2:$R$9000,7,FALSE)</f>
        <v>Vivo</v>
      </c>
      <c r="P264" s="15" t="str">
        <f>VLOOKUP(A264,sinap!$A$2:$R$9000,8,FALSE)</f>
        <v>11.1.01.1241</v>
      </c>
      <c r="Q264" s="15" t="str">
        <f>VLOOKUP(A264,sinap!$A$2:$R$9000,12,FALSE)</f>
        <v>11.1.01.1241</v>
      </c>
      <c r="R264" s="15" t="str">
        <f>VLOOKUP(A264,sinap!$A$2:$R$9000,16,FALSE)</f>
        <v>11.1.01.1241</v>
      </c>
      <c r="S264" s="15" t="str">
        <f>VLOOKUP(A264,sinap!$A$2:$Y$9000,20,FALSE)</f>
        <v>SI</v>
      </c>
    </row>
    <row r="265" spans="1:19" s="16" customFormat="1" hidden="1" x14ac:dyDescent="0.25">
      <c r="A265" s="15">
        <v>8933222</v>
      </c>
      <c r="B265" s="15"/>
      <c r="C265" s="15"/>
      <c r="D265" s="16">
        <v>44135</v>
      </c>
      <c r="E265" s="16">
        <v>44350</v>
      </c>
      <c r="F265" s="16">
        <v>44912</v>
      </c>
      <c r="G265" s="16">
        <v>45254</v>
      </c>
      <c r="H265" s="16">
        <v>45648</v>
      </c>
      <c r="I265" s="16">
        <v>45671</v>
      </c>
      <c r="J265" s="15" t="str">
        <f>VLOOKUP(A265,sinap!$A$2:$R$9000,2,FALSE)</f>
        <v>H</v>
      </c>
      <c r="K265" s="15" t="str">
        <f>VLOOKUP(A265,sinap!$A$2:$R$9000,3,FALSE)</f>
        <v>VACA</v>
      </c>
      <c r="L265" s="15" t="str">
        <f>VLOOKUP(A265,sinap!$A$2:$R$9000,4,FALSE)</f>
        <v>ANGUS NEGRO</v>
      </c>
      <c r="M265" s="15" t="str">
        <f>VLOOKUP(A265,sinap!$A$2:$R$9000,5,FALSE)</f>
        <v>11 años 10 meses</v>
      </c>
      <c r="N265" s="15" t="str">
        <f>VLOOKUP(A265,sinap!$A$2:$R$9000,6,FALSE)</f>
        <v>28-02-2014</v>
      </c>
      <c r="O265" s="15" t="str">
        <f>VLOOKUP(A265,sinap!$A$2:$R$9000,7,FALSE)</f>
        <v>Vivo</v>
      </c>
      <c r="P265" s="15" t="str">
        <f>VLOOKUP(A265,sinap!$A$2:$R$9000,8,FALSE)</f>
        <v>11.1.01.1241</v>
      </c>
      <c r="Q265" s="15" t="str">
        <f>VLOOKUP(A265,sinap!$A$2:$R$9000,12,FALSE)</f>
        <v>11.1.01.0893</v>
      </c>
      <c r="R265" s="15" t="str">
        <f>VLOOKUP(A265,sinap!$A$2:$R$9000,16,FALSE)</f>
        <v>11.1.01.1241</v>
      </c>
      <c r="S265" s="15" t="str">
        <f>VLOOKUP(A265,sinap!$A$2:$Y$9000,20,FALSE)</f>
        <v>SI</v>
      </c>
    </row>
    <row r="266" spans="1:19" s="16" customFormat="1" hidden="1" x14ac:dyDescent="0.25">
      <c r="A266" s="15">
        <v>8933225</v>
      </c>
      <c r="B266" s="15"/>
      <c r="C266" s="15"/>
      <c r="D266" s="16">
        <v>44135</v>
      </c>
      <c r="E266" s="16">
        <v>44350</v>
      </c>
      <c r="F266" s="16">
        <v>44912</v>
      </c>
      <c r="G266" s="16">
        <v>45092</v>
      </c>
      <c r="J266" s="15" t="str">
        <f>VLOOKUP(A266,sinap!$A$2:$R$9000,2,FALSE)</f>
        <v>H</v>
      </c>
      <c r="K266" s="15" t="str">
        <f>VLOOKUP(A266,sinap!$A$2:$R$9000,3,FALSE)</f>
        <v>VACA</v>
      </c>
      <c r="L266" s="15" t="str">
        <f>VLOOKUP(A266,sinap!$A$2:$R$9000,4,FALSE)</f>
        <v>ANGUS NEGRO</v>
      </c>
      <c r="M266" s="15" t="str">
        <f>VLOOKUP(A266,sinap!$A$2:$R$9000,5,FALSE)</f>
        <v>11 años 11 meses</v>
      </c>
      <c r="N266" s="15" t="str">
        <f>VLOOKUP(A266,sinap!$A$2:$R$9000,6,FALSE)</f>
        <v>30-01-2014</v>
      </c>
      <c r="O266" s="15" t="str">
        <f>VLOOKUP(A266,sinap!$A$2:$R$9000,7,FALSE)</f>
        <v>Vivo</v>
      </c>
      <c r="P266" s="15" t="str">
        <f>VLOOKUP(A266,sinap!$A$2:$R$9000,8,FALSE)</f>
        <v>11.1.01.1241</v>
      </c>
      <c r="Q266" s="15" t="str">
        <f>VLOOKUP(A266,sinap!$A$2:$R$9000,12,FALSE)</f>
        <v>11.1.01.1241</v>
      </c>
      <c r="R266" s="15" t="str">
        <f>VLOOKUP(A266,sinap!$A$2:$R$9000,16,FALSE)</f>
        <v>11.1.01.1241</v>
      </c>
      <c r="S266" s="15" t="str">
        <f>VLOOKUP(A266,sinap!$A$2:$Y$9000,20,FALSE)</f>
        <v>SI</v>
      </c>
    </row>
    <row r="267" spans="1:19" s="16" customFormat="1" hidden="1" x14ac:dyDescent="0.25">
      <c r="A267" s="15">
        <v>8933228</v>
      </c>
      <c r="B267" s="15"/>
      <c r="C267" s="15"/>
      <c r="D267" s="16">
        <v>44135</v>
      </c>
      <c r="E267" s="16">
        <v>44350</v>
      </c>
      <c r="J267" s="15" t="str">
        <f>VLOOKUP(A267,sinap!$A$2:$R$9000,2,FALSE)</f>
        <v>H</v>
      </c>
      <c r="K267" s="15" t="str">
        <f>VLOOKUP(A267,sinap!$A$2:$R$9000,3,FALSE)</f>
        <v>VACA</v>
      </c>
      <c r="L267" s="15" t="str">
        <f>VLOOKUP(A267,sinap!$A$2:$R$9000,4,FALSE)</f>
        <v>ANGUS NEGRO</v>
      </c>
      <c r="M267" s="15" t="str">
        <f>VLOOKUP(A267,sinap!$A$2:$R$9000,5,FALSE)</f>
        <v>11 años 10 meses</v>
      </c>
      <c r="N267" s="15" t="str">
        <f>VLOOKUP(A267,sinap!$A$2:$R$9000,6,FALSE)</f>
        <v>28-02-2014</v>
      </c>
      <c r="O267" s="15" t="str">
        <f>VLOOKUP(A267,sinap!$A$2:$R$9000,7,FALSE)</f>
        <v>Vivo</v>
      </c>
      <c r="P267" s="15" t="str">
        <f>VLOOKUP(A267,sinap!$A$2:$R$9000,8,FALSE)</f>
        <v>11.1.01.1241</v>
      </c>
      <c r="Q267" s="15" t="str">
        <f>VLOOKUP(A267,sinap!$A$2:$R$9000,12,FALSE)</f>
        <v>11.1.01.1241</v>
      </c>
      <c r="R267" s="15" t="str">
        <f>VLOOKUP(A267,sinap!$A$2:$R$9000,16,FALSE)</f>
        <v>11.1.01.1241</v>
      </c>
      <c r="S267" s="15" t="str">
        <f>VLOOKUP(A267,sinap!$A$2:$Y$9000,20,FALSE)</f>
        <v>SI</v>
      </c>
    </row>
    <row r="268" spans="1:19" s="16" customFormat="1" hidden="1" x14ac:dyDescent="0.25">
      <c r="A268" s="15">
        <v>8933234</v>
      </c>
      <c r="B268" s="15"/>
      <c r="C268" s="15"/>
      <c r="E268" s="16">
        <v>44350</v>
      </c>
      <c r="J268" s="15" t="str">
        <f>VLOOKUP(A268,sinap!$A$2:$R$9000,2,FALSE)</f>
        <v>M</v>
      </c>
      <c r="K268" s="15" t="str">
        <f>VLOOKUP(A268,sinap!$A$2:$R$9000,3,FALSE)</f>
        <v>TORO</v>
      </c>
      <c r="L268" s="15" t="str">
        <f>VLOOKUP(A268,sinap!$A$2:$R$9000,4,FALSE)</f>
        <v>HEREFORD</v>
      </c>
      <c r="M268" s="15" t="str">
        <f>VLOOKUP(A268,sinap!$A$2:$R$9000,5,FALSE)</f>
        <v>12 años 2 meses</v>
      </c>
      <c r="N268" s="15" t="str">
        <f>VLOOKUP(A268,sinap!$A$2:$R$9000,6,FALSE)</f>
        <v>30-10-2013</v>
      </c>
      <c r="O268" s="15" t="str">
        <f>VLOOKUP(A268,sinap!$A$2:$R$9000,7,FALSE)</f>
        <v>Vivo</v>
      </c>
      <c r="P268" s="15" t="str">
        <f>VLOOKUP(A268,sinap!$A$2:$R$9000,8,FALSE)</f>
        <v>11.1.01.1241</v>
      </c>
      <c r="Q268" s="15" t="str">
        <f>VLOOKUP(A268,sinap!$A$2:$R$9000,12,FALSE)</f>
        <v>Sin Movimiento</v>
      </c>
      <c r="R268" s="15" t="str">
        <f>VLOOKUP(A268,sinap!$A$2:$R$9000,16,FALSE)</f>
        <v>11.1.01.1241</v>
      </c>
      <c r="S268" s="15" t="str">
        <f>VLOOKUP(A268,sinap!$A$2:$Y$9000,20,FALSE)</f>
        <v>SI</v>
      </c>
    </row>
    <row r="269" spans="1:19" s="16" customFormat="1" hidden="1" x14ac:dyDescent="0.25">
      <c r="A269" s="15">
        <v>8933236</v>
      </c>
      <c r="B269" s="15"/>
      <c r="C269" s="15"/>
      <c r="E269" s="16">
        <v>44350</v>
      </c>
      <c r="J269" s="15" t="str">
        <f>VLOOKUP(A269,sinap!$A$2:$R$9000,2,FALSE)</f>
        <v>M</v>
      </c>
      <c r="K269" s="15" t="str">
        <f>VLOOKUP(A269,sinap!$A$2:$R$9000,3,FALSE)</f>
        <v>TORO</v>
      </c>
      <c r="L269" s="15" t="str">
        <f>VLOOKUP(A269,sinap!$A$2:$R$9000,4,FALSE)</f>
        <v>ANGUS NEGRO</v>
      </c>
      <c r="M269" s="15" t="str">
        <f>VLOOKUP(A269,sinap!$A$2:$R$9000,5,FALSE)</f>
        <v>12 años 2 meses</v>
      </c>
      <c r="N269" s="15" t="str">
        <f>VLOOKUP(A269,sinap!$A$2:$R$9000,6,FALSE)</f>
        <v>30-10-2013</v>
      </c>
      <c r="O269" s="15" t="str">
        <f>VLOOKUP(A269,sinap!$A$2:$R$9000,7,FALSE)</f>
        <v>Vivo</v>
      </c>
      <c r="P269" s="15" t="str">
        <f>VLOOKUP(A269,sinap!$A$2:$R$9000,8,FALSE)</f>
        <v>11.1.01.1241</v>
      </c>
      <c r="Q269" s="15" t="str">
        <f>VLOOKUP(A269,sinap!$A$2:$R$9000,12,FALSE)</f>
        <v>Sin Movimiento</v>
      </c>
      <c r="R269" s="15" t="str">
        <f>VLOOKUP(A269,sinap!$A$2:$R$9000,16,FALSE)</f>
        <v>11.1.01.1241</v>
      </c>
      <c r="S269" s="15" t="str">
        <f>VLOOKUP(A269,sinap!$A$2:$Y$9000,20,FALSE)</f>
        <v>SI</v>
      </c>
    </row>
    <row r="270" spans="1:19" s="16" customFormat="1" hidden="1" x14ac:dyDescent="0.25">
      <c r="A270" s="15">
        <v>8933237</v>
      </c>
      <c r="B270" s="15"/>
      <c r="C270" s="15"/>
      <c r="E270" s="16">
        <v>44499</v>
      </c>
      <c r="G270" s="16">
        <v>45215</v>
      </c>
      <c r="J270" s="15" t="str">
        <f>VLOOKUP(A270,sinap!$A$2:$R$9000,2,FALSE)</f>
        <v>M</v>
      </c>
      <c r="K270" s="15" t="str">
        <f>VLOOKUP(A270,sinap!$A$2:$R$9000,3,FALSE)</f>
        <v>TORO</v>
      </c>
      <c r="L270" s="15" t="str">
        <f>VLOOKUP(A270,sinap!$A$2:$R$9000,4,FALSE)</f>
        <v>ANGUS NEGRO</v>
      </c>
      <c r="M270" s="15" t="str">
        <f>VLOOKUP(A270,sinap!$A$2:$R$9000,5,FALSE)</f>
        <v>12 años 2 meses</v>
      </c>
      <c r="N270" s="15" t="str">
        <f>VLOOKUP(A270,sinap!$A$2:$R$9000,6,FALSE)</f>
        <v>30-10-2013</v>
      </c>
      <c r="O270" s="15" t="str">
        <f>VLOOKUP(A270,sinap!$A$2:$R$9000,7,FALSE)</f>
        <v>Vivo</v>
      </c>
      <c r="P270" s="15" t="str">
        <f>VLOOKUP(A270,sinap!$A$2:$R$9000,8,FALSE)</f>
        <v>11.1.01.1241</v>
      </c>
      <c r="Q270" s="15" t="str">
        <f>VLOOKUP(A270,sinap!$A$2:$R$9000,12,FALSE)</f>
        <v>Sin Movimiento</v>
      </c>
      <c r="R270" s="15" t="str">
        <f>VLOOKUP(A270,sinap!$A$2:$R$9000,16,FALSE)</f>
        <v>11.1.01.1241</v>
      </c>
      <c r="S270" s="15" t="str">
        <f>VLOOKUP(A270,sinap!$A$2:$Y$9000,20,FALSE)</f>
        <v>SI</v>
      </c>
    </row>
    <row r="271" spans="1:19" s="16" customFormat="1" hidden="1" x14ac:dyDescent="0.25">
      <c r="A271" s="15">
        <v>8933240</v>
      </c>
      <c r="B271" s="15"/>
      <c r="C271" s="15"/>
      <c r="E271" s="16">
        <v>44350</v>
      </c>
      <c r="J271" s="15" t="str">
        <f>VLOOKUP(A271,sinap!$A$2:$R$9000,2,FALSE)</f>
        <v>H</v>
      </c>
      <c r="K271" s="15" t="str">
        <f>VLOOKUP(A271,sinap!$A$2:$R$9000,3,FALSE)</f>
        <v>VACA</v>
      </c>
      <c r="L271" s="15" t="str">
        <f>VLOOKUP(A271,sinap!$A$2:$R$9000,4,FALSE)</f>
        <v>ANGUS NEGRO</v>
      </c>
      <c r="M271" s="15" t="str">
        <f>VLOOKUP(A271,sinap!$A$2:$R$9000,5,FALSE)</f>
        <v>11 años 10 meses</v>
      </c>
      <c r="N271" s="15" t="str">
        <f>VLOOKUP(A271,sinap!$A$2:$R$9000,6,FALSE)</f>
        <v>28-02-2014</v>
      </c>
      <c r="O271" s="15" t="str">
        <f>VLOOKUP(A271,sinap!$A$2:$R$9000,7,FALSE)</f>
        <v>Vivo</v>
      </c>
      <c r="P271" s="15" t="str">
        <f>VLOOKUP(A271,sinap!$A$2:$R$9000,8,FALSE)</f>
        <v>11.1.01.1241</v>
      </c>
      <c r="Q271" s="15" t="str">
        <f>VLOOKUP(A271,sinap!$A$2:$R$9000,12,FALSE)</f>
        <v>11.1.01.1241</v>
      </c>
      <c r="R271" s="15" t="str">
        <f>VLOOKUP(A271,sinap!$A$2:$R$9000,16,FALSE)</f>
        <v>11.1.01.1241</v>
      </c>
      <c r="S271" s="15" t="str">
        <f>VLOOKUP(A271,sinap!$A$2:$Y$9000,20,FALSE)</f>
        <v>SI</v>
      </c>
    </row>
    <row r="272" spans="1:19" s="16" customFormat="1" hidden="1" x14ac:dyDescent="0.25">
      <c r="A272" s="15">
        <v>8933248</v>
      </c>
      <c r="B272" s="15"/>
      <c r="C272" s="15"/>
      <c r="E272" s="16">
        <v>44350</v>
      </c>
      <c r="F272" s="16">
        <v>44923</v>
      </c>
      <c r="G272" s="16">
        <v>45239</v>
      </c>
      <c r="J272" s="15" t="str">
        <f>VLOOKUP(A272,sinap!$A$2:$R$9000,2,FALSE)</f>
        <v>M</v>
      </c>
      <c r="K272" s="15" t="str">
        <f>VLOOKUP(A272,sinap!$A$2:$R$9000,3,FALSE)</f>
        <v>TORO</v>
      </c>
      <c r="L272" s="15" t="str">
        <f>VLOOKUP(A272,sinap!$A$2:$R$9000,4,FALSE)</f>
        <v>ANGUS NEGRO</v>
      </c>
      <c r="M272" s="15" t="str">
        <f>VLOOKUP(A272,sinap!$A$2:$R$9000,5,FALSE)</f>
        <v>12 años 3 meses</v>
      </c>
      <c r="N272" s="15" t="str">
        <f>VLOOKUP(A272,sinap!$A$2:$R$9000,6,FALSE)</f>
        <v>30-09-2013</v>
      </c>
      <c r="O272" s="15" t="str">
        <f>VLOOKUP(A272,sinap!$A$2:$R$9000,7,FALSE)</f>
        <v>Vivo</v>
      </c>
      <c r="P272" s="15" t="str">
        <f>VLOOKUP(A272,sinap!$A$2:$R$9000,8,FALSE)</f>
        <v>11.1.01.1241</v>
      </c>
      <c r="Q272" s="15" t="str">
        <f>VLOOKUP(A272,sinap!$A$2:$R$9000,12,FALSE)</f>
        <v>Sin Movimiento</v>
      </c>
      <c r="R272" s="15" t="str">
        <f>VLOOKUP(A272,sinap!$A$2:$R$9000,16,FALSE)</f>
        <v>11.1.01.1241</v>
      </c>
      <c r="S272" s="15" t="str">
        <f>VLOOKUP(A272,sinap!$A$2:$Y$9000,20,FALSE)</f>
        <v>SI</v>
      </c>
    </row>
    <row r="273" spans="1:19" s="16" customFormat="1" hidden="1" x14ac:dyDescent="0.25">
      <c r="A273" s="15">
        <v>8933249</v>
      </c>
      <c r="B273" s="15"/>
      <c r="C273" s="15"/>
      <c r="E273" s="16">
        <v>44350</v>
      </c>
      <c r="G273" s="16">
        <v>45090</v>
      </c>
      <c r="J273" s="15" t="str">
        <f>VLOOKUP(A273,sinap!$A$2:$R$9000,2,FALSE)</f>
        <v>M</v>
      </c>
      <c r="K273" s="15" t="str">
        <f>VLOOKUP(A273,sinap!$A$2:$R$9000,3,FALSE)</f>
        <v>TORO</v>
      </c>
      <c r="L273" s="15" t="str">
        <f>VLOOKUP(A273,sinap!$A$2:$R$9000,4,FALSE)</f>
        <v>ANGUS NEGRO</v>
      </c>
      <c r="M273" s="15" t="str">
        <f>VLOOKUP(A273,sinap!$A$2:$R$9000,5,FALSE)</f>
        <v>12 años 3 meses</v>
      </c>
      <c r="N273" s="15" t="str">
        <f>VLOOKUP(A273,sinap!$A$2:$R$9000,6,FALSE)</f>
        <v>30-09-2013</v>
      </c>
      <c r="O273" s="15" t="str">
        <f>VLOOKUP(A273,sinap!$A$2:$R$9000,7,FALSE)</f>
        <v>Vivo</v>
      </c>
      <c r="P273" s="15" t="str">
        <f>VLOOKUP(A273,sinap!$A$2:$R$9000,8,FALSE)</f>
        <v>11.1.01.1241</v>
      </c>
      <c r="Q273" s="15" t="str">
        <f>VLOOKUP(A273,sinap!$A$2:$R$9000,12,FALSE)</f>
        <v>Sin Movimiento</v>
      </c>
      <c r="R273" s="15" t="str">
        <f>VLOOKUP(A273,sinap!$A$2:$R$9000,16,FALSE)</f>
        <v>11.1.01.1241</v>
      </c>
      <c r="S273" s="15" t="str">
        <f>VLOOKUP(A273,sinap!$A$2:$Y$9000,20,FALSE)</f>
        <v>SI</v>
      </c>
    </row>
    <row r="274" spans="1:19" s="16" customFormat="1" hidden="1" x14ac:dyDescent="0.25">
      <c r="A274" s="15">
        <v>8933252</v>
      </c>
      <c r="B274" s="15"/>
      <c r="C274" s="15"/>
      <c r="E274" s="16">
        <v>44350</v>
      </c>
      <c r="G274" s="16">
        <v>45253</v>
      </c>
      <c r="J274" s="15" t="str">
        <f>VLOOKUP(A274,sinap!$A$2:$R$9000,2,FALSE)</f>
        <v>M</v>
      </c>
      <c r="K274" s="15" t="str">
        <f>VLOOKUP(A274,sinap!$A$2:$R$9000,3,FALSE)</f>
        <v>TORO</v>
      </c>
      <c r="L274" s="15" t="str">
        <f>VLOOKUP(A274,sinap!$A$2:$R$9000,4,FALSE)</f>
        <v>ANGUS NEGRO</v>
      </c>
      <c r="M274" s="15" t="str">
        <f>VLOOKUP(A274,sinap!$A$2:$R$9000,5,FALSE)</f>
        <v>17 años 2 meses</v>
      </c>
      <c r="N274" s="15" t="str">
        <f>VLOOKUP(A274,sinap!$A$2:$R$9000,6,FALSE)</f>
        <v>30-10-2008</v>
      </c>
      <c r="O274" s="15" t="str">
        <f>VLOOKUP(A274,sinap!$A$2:$R$9000,7,FALSE)</f>
        <v>Vivo</v>
      </c>
      <c r="P274" s="15" t="str">
        <f>VLOOKUP(A274,sinap!$A$2:$R$9000,8,FALSE)</f>
        <v>11.1.01.1241</v>
      </c>
      <c r="Q274" s="15" t="str">
        <f>VLOOKUP(A274,sinap!$A$2:$R$9000,12,FALSE)</f>
        <v>11.1.01.0893</v>
      </c>
      <c r="R274" s="15" t="str">
        <f>VLOOKUP(A274,sinap!$A$2:$R$9000,16,FALSE)</f>
        <v>11.1.01.1241</v>
      </c>
      <c r="S274" s="15" t="str">
        <f>VLOOKUP(A274,sinap!$A$2:$Y$9000,20,FALSE)</f>
        <v>SI</v>
      </c>
    </row>
    <row r="275" spans="1:19" s="16" customFormat="1" hidden="1" x14ac:dyDescent="0.25">
      <c r="A275" s="15">
        <v>8933253</v>
      </c>
      <c r="B275" s="15"/>
      <c r="C275" s="15"/>
      <c r="E275" s="16">
        <v>44350</v>
      </c>
      <c r="J275" s="15" t="str">
        <f>VLOOKUP(A275,sinap!$A$2:$R$9000,2,FALSE)</f>
        <v>M</v>
      </c>
      <c r="K275" s="15" t="str">
        <f>VLOOKUP(A275,sinap!$A$2:$R$9000,3,FALSE)</f>
        <v>TORO</v>
      </c>
      <c r="L275" s="15" t="str">
        <f>VLOOKUP(A275,sinap!$A$2:$R$9000,4,FALSE)</f>
        <v>ANGUS NEGRO</v>
      </c>
      <c r="M275" s="15" t="str">
        <f>VLOOKUP(A275,sinap!$A$2:$R$9000,5,FALSE)</f>
        <v>15 años 3 meses</v>
      </c>
      <c r="N275" s="15" t="str">
        <f>VLOOKUP(A275,sinap!$A$2:$R$9000,6,FALSE)</f>
        <v>15-10-2010</v>
      </c>
      <c r="O275" s="15" t="str">
        <f>VLOOKUP(A275,sinap!$A$2:$R$9000,7,FALSE)</f>
        <v>Vivo</v>
      </c>
      <c r="P275" s="15" t="str">
        <f>VLOOKUP(A275,sinap!$A$2:$R$9000,8,FALSE)</f>
        <v>11.1.01.1241</v>
      </c>
      <c r="Q275" s="15" t="str">
        <f>VLOOKUP(A275,sinap!$A$2:$R$9000,12,FALSE)</f>
        <v>11.2.01.0038</v>
      </c>
      <c r="R275" s="15" t="str">
        <f>VLOOKUP(A275,sinap!$A$2:$R$9000,16,FALSE)</f>
        <v>11.1.01.0290</v>
      </c>
      <c r="S275" s="15" t="str">
        <f>VLOOKUP(A275,sinap!$A$2:$Y$9000,20,FALSE)</f>
        <v>SI</v>
      </c>
    </row>
    <row r="276" spans="1:19" s="16" customFormat="1" hidden="1" x14ac:dyDescent="0.25">
      <c r="A276" s="15">
        <v>8933254</v>
      </c>
      <c r="B276" s="15"/>
      <c r="C276" s="15"/>
      <c r="E276" s="16">
        <v>44350</v>
      </c>
      <c r="J276" s="15" t="str">
        <f>VLOOKUP(A276,sinap!$A$2:$R$9000,2,FALSE)</f>
        <v>no existe</v>
      </c>
      <c r="K276" s="15" t="str">
        <f>VLOOKUP(A276,sinap!$A$2:$R$9000,3,FALSE)</f>
        <v>no existe</v>
      </c>
      <c r="L276" s="15" t="str">
        <f>VLOOKUP(A276,sinap!$A$2:$R$9000,4,FALSE)</f>
        <v>no existe</v>
      </c>
      <c r="M276" s="15" t="str">
        <f>VLOOKUP(A276,sinap!$A$2:$R$9000,5,FALSE)</f>
        <v>no existe</v>
      </c>
      <c r="N276" s="15" t="str">
        <f>VLOOKUP(A276,sinap!$A$2:$R$9000,6,FALSE)</f>
        <v>no existe</v>
      </c>
      <c r="O276" s="15" t="str">
        <f>VLOOKUP(A276,sinap!$A$2:$R$9000,7,FALSE)</f>
        <v>no existe</v>
      </c>
      <c r="P276" s="15" t="str">
        <f>VLOOKUP(A276,sinap!$A$2:$R$9000,8,FALSE)</f>
        <v>no existe</v>
      </c>
      <c r="Q276" s="15" t="str">
        <f>VLOOKUP(A276,sinap!$A$2:$R$9000,12,FALSE)</f>
        <v>no existe</v>
      </c>
      <c r="R276" s="15" t="str">
        <f>VLOOKUP(A276,sinap!$A$2:$R$9000,16,FALSE)</f>
        <v>no existe</v>
      </c>
      <c r="S276" s="15" t="str">
        <f>VLOOKUP(A276,sinap!$A$2:$Y$9000,20,FALSE)</f>
        <v>no existe</v>
      </c>
    </row>
    <row r="277" spans="1:19" s="16" customFormat="1" hidden="1" x14ac:dyDescent="0.25">
      <c r="A277" s="15">
        <v>8933257</v>
      </c>
      <c r="B277" s="15"/>
      <c r="C277" s="15"/>
      <c r="E277" s="16">
        <v>44350</v>
      </c>
      <c r="G277" s="16">
        <v>45215</v>
      </c>
      <c r="J277" s="15" t="str">
        <f>VLOOKUP(A277,sinap!$A$2:$R$9000,2,FALSE)</f>
        <v>M</v>
      </c>
      <c r="K277" s="15" t="str">
        <f>VLOOKUP(A277,sinap!$A$2:$R$9000,3,FALSE)</f>
        <v>TORO</v>
      </c>
      <c r="L277" s="15" t="str">
        <f>VLOOKUP(A277,sinap!$A$2:$R$9000,4,FALSE)</f>
        <v>ANGUS NEGRO</v>
      </c>
      <c r="M277" s="15" t="str">
        <f>VLOOKUP(A277,sinap!$A$2:$R$9000,5,FALSE)</f>
        <v>17 años 3 meses</v>
      </c>
      <c r="N277" s="15" t="str">
        <f>VLOOKUP(A277,sinap!$A$2:$R$9000,6,FALSE)</f>
        <v>15-10-2008</v>
      </c>
      <c r="O277" s="15" t="str">
        <f>VLOOKUP(A277,sinap!$A$2:$R$9000,7,FALSE)</f>
        <v>Vivo</v>
      </c>
      <c r="P277" s="15" t="str">
        <f>VLOOKUP(A277,sinap!$A$2:$R$9000,8,FALSE)</f>
        <v>11.1.01.1241</v>
      </c>
      <c r="Q277" s="15" t="str">
        <f>VLOOKUP(A277,sinap!$A$2:$R$9000,12,FALSE)</f>
        <v>11.1.01.0893</v>
      </c>
      <c r="R277" s="15" t="str">
        <f>VLOOKUP(A277,sinap!$A$2:$R$9000,16,FALSE)</f>
        <v>11.1.01.0290</v>
      </c>
      <c r="S277" s="15" t="str">
        <f>VLOOKUP(A277,sinap!$A$2:$Y$9000,20,FALSE)</f>
        <v>SI</v>
      </c>
    </row>
    <row r="278" spans="1:19" s="16" customFormat="1" hidden="1" x14ac:dyDescent="0.25">
      <c r="A278" s="15">
        <v>8933260</v>
      </c>
      <c r="B278" s="15"/>
      <c r="C278" s="15"/>
      <c r="E278" s="16">
        <v>44350</v>
      </c>
      <c r="G278" s="16">
        <v>45215</v>
      </c>
      <c r="J278" s="15" t="str">
        <f>VLOOKUP(A278,sinap!$A$2:$R$9000,2,FALSE)</f>
        <v>M</v>
      </c>
      <c r="K278" s="15" t="str">
        <f>VLOOKUP(A278,sinap!$A$2:$R$9000,3,FALSE)</f>
        <v>TORO</v>
      </c>
      <c r="L278" s="15" t="str">
        <f>VLOOKUP(A278,sinap!$A$2:$R$9000,4,FALSE)</f>
        <v>ANGUS NEGRO</v>
      </c>
      <c r="M278" s="15" t="str">
        <f>VLOOKUP(A278,sinap!$A$2:$R$9000,5,FALSE)</f>
        <v>16 años 3 meses</v>
      </c>
      <c r="N278" s="15" t="str">
        <f>VLOOKUP(A278,sinap!$A$2:$R$9000,6,FALSE)</f>
        <v>15-10-2009</v>
      </c>
      <c r="O278" s="15" t="str">
        <f>VLOOKUP(A278,sinap!$A$2:$R$9000,7,FALSE)</f>
        <v>Vivo</v>
      </c>
      <c r="P278" s="15" t="str">
        <f>VLOOKUP(A278,sinap!$A$2:$R$9000,8,FALSE)</f>
        <v>11.1.01.1241</v>
      </c>
      <c r="Q278" s="15" t="str">
        <f>VLOOKUP(A278,sinap!$A$2:$R$9000,12,FALSE)</f>
        <v>11.1.01.1081</v>
      </c>
      <c r="R278" s="15" t="str">
        <f>VLOOKUP(A278,sinap!$A$2:$R$9000,16,FALSE)</f>
        <v>11.1.01.0290</v>
      </c>
      <c r="S278" s="15" t="str">
        <f>VLOOKUP(A278,sinap!$A$2:$Y$9000,20,FALSE)</f>
        <v>SI</v>
      </c>
    </row>
    <row r="279" spans="1:19" s="16" customFormat="1" hidden="1" x14ac:dyDescent="0.25">
      <c r="A279" s="15">
        <v>8933262</v>
      </c>
      <c r="B279" s="15"/>
      <c r="C279" s="15"/>
      <c r="E279" s="16">
        <v>44350</v>
      </c>
      <c r="G279" s="16">
        <v>45215</v>
      </c>
      <c r="J279" s="15" t="str">
        <f>VLOOKUP(A279,sinap!$A$2:$R$9000,2,FALSE)</f>
        <v>no existe</v>
      </c>
      <c r="K279" s="15" t="str">
        <f>VLOOKUP(A279,sinap!$A$2:$R$9000,3,FALSE)</f>
        <v>no existe</v>
      </c>
      <c r="L279" s="15" t="str">
        <f>VLOOKUP(A279,sinap!$A$2:$R$9000,4,FALSE)</f>
        <v>no existe</v>
      </c>
      <c r="M279" s="15" t="str">
        <f>VLOOKUP(A279,sinap!$A$2:$R$9000,5,FALSE)</f>
        <v>no existe</v>
      </c>
      <c r="N279" s="15" t="str">
        <f>VLOOKUP(A279,sinap!$A$2:$R$9000,6,FALSE)</f>
        <v>no existe</v>
      </c>
      <c r="O279" s="15" t="str">
        <f>VLOOKUP(A279,sinap!$A$2:$R$9000,7,FALSE)</f>
        <v>no existe</v>
      </c>
      <c r="P279" s="15" t="str">
        <f>VLOOKUP(A279,sinap!$A$2:$R$9000,8,FALSE)</f>
        <v>no existe</v>
      </c>
      <c r="Q279" s="15" t="str">
        <f>VLOOKUP(A279,sinap!$A$2:$R$9000,12,FALSE)</f>
        <v>no existe</v>
      </c>
      <c r="R279" s="15" t="str">
        <f>VLOOKUP(A279,sinap!$A$2:$R$9000,16,FALSE)</f>
        <v>no existe</v>
      </c>
      <c r="S279" s="15" t="str">
        <f>VLOOKUP(A279,sinap!$A$2:$Y$9000,20,FALSE)</f>
        <v>no existe</v>
      </c>
    </row>
    <row r="280" spans="1:19" s="16" customFormat="1" x14ac:dyDescent="0.25">
      <c r="A280" s="15">
        <v>8933265</v>
      </c>
      <c r="B280" s="15"/>
      <c r="C280" s="15">
        <v>6165841</v>
      </c>
      <c r="D280" s="16">
        <v>44144</v>
      </c>
      <c r="F280" s="16">
        <v>44883</v>
      </c>
      <c r="G280" s="16">
        <v>45254</v>
      </c>
      <c r="J280" s="15" t="str">
        <f>VLOOKUP(A280,sinap!$A$2:$R$9000,2,FALSE)</f>
        <v>M</v>
      </c>
      <c r="K280" s="15" t="str">
        <f>VLOOKUP(A280,sinap!$A$2:$R$9000,3,FALSE)</f>
        <v>TORO</v>
      </c>
      <c r="L280" s="15" t="str">
        <f>VLOOKUP(A280,sinap!$A$2:$R$9000,4,FALSE)</f>
        <v>ANGUS NEGRO</v>
      </c>
      <c r="M280" s="15" t="str">
        <f>VLOOKUP(A280,sinap!$A$2:$R$9000,5,FALSE)</f>
        <v>15 años 3 meses</v>
      </c>
      <c r="N280" s="15" t="str">
        <f>VLOOKUP(A280,sinap!$A$2:$R$9000,6,FALSE)</f>
        <v>15-10-2010</v>
      </c>
      <c r="O280" s="15" t="str">
        <f>VLOOKUP(A280,sinap!$A$2:$R$9000,7,FALSE)</f>
        <v>Vivo</v>
      </c>
      <c r="P280" s="15" t="str">
        <f>VLOOKUP(A280,sinap!$A$2:$R$9000,8,FALSE)</f>
        <v>11.2.01.0038</v>
      </c>
      <c r="Q280" s="15" t="str">
        <f>VLOOKUP(A280,sinap!$A$2:$R$9000,12,FALSE)</f>
        <v>11.1.01.1241</v>
      </c>
      <c r="R280" s="15" t="str">
        <f>VLOOKUP(A280,sinap!$A$2:$R$9000,16,FALSE)</f>
        <v>11.1.01.0290</v>
      </c>
      <c r="S280" s="15" t="str">
        <f>VLOOKUP(A280,sinap!$A$2:$Y$9000,20,FALSE)</f>
        <v>SI</v>
      </c>
    </row>
    <row r="281" spans="1:19" x14ac:dyDescent="0.25">
      <c r="A281" s="15">
        <v>8933268</v>
      </c>
      <c r="D281" s="16">
        <v>44144</v>
      </c>
      <c r="F281" s="16">
        <v>44868</v>
      </c>
      <c r="G281" s="16">
        <v>45258</v>
      </c>
      <c r="J281" s="15" t="str">
        <f>VLOOKUP(A281,sinap!$A$2:$R$9000,2,FALSE)</f>
        <v>no existe</v>
      </c>
      <c r="K281" s="15" t="str">
        <f>VLOOKUP(A281,sinap!$A$2:$R$9000,3,FALSE)</f>
        <v>no existe</v>
      </c>
      <c r="L281" s="15" t="str">
        <f>VLOOKUP(A281,sinap!$A$2:$R$9000,4,FALSE)</f>
        <v>no existe</v>
      </c>
      <c r="M281" s="15" t="str">
        <f>VLOOKUP(A281,sinap!$A$2:$R$9000,5,FALSE)</f>
        <v>no existe</v>
      </c>
      <c r="N281" s="15" t="str">
        <f>VLOOKUP(A281,sinap!$A$2:$R$9000,6,FALSE)</f>
        <v>no existe</v>
      </c>
      <c r="O281" s="15" t="str">
        <f>VLOOKUP(A281,sinap!$A$2:$R$9000,7,FALSE)</f>
        <v>no existe</v>
      </c>
      <c r="P281" s="15" t="str">
        <f>VLOOKUP(A281,sinap!$A$2:$R$9000,8,FALSE)</f>
        <v>no existe</v>
      </c>
      <c r="Q281" s="15" t="str">
        <f>VLOOKUP(A281,sinap!$A$2:$R$9000,12,FALSE)</f>
        <v>no existe</v>
      </c>
      <c r="R281" s="15" t="str">
        <f>VLOOKUP(A281,sinap!$A$2:$R$9000,16,FALSE)</f>
        <v>no existe</v>
      </c>
      <c r="S281" s="15" t="str">
        <f>VLOOKUP(A281,sinap!$A$2:$Y$9000,20,FALSE)</f>
        <v>no existe</v>
      </c>
    </row>
    <row r="282" spans="1:19" x14ac:dyDescent="0.25">
      <c r="A282" s="15">
        <v>8933278</v>
      </c>
      <c r="D282" s="16">
        <v>44144</v>
      </c>
      <c r="E282" s="16">
        <v>44504</v>
      </c>
      <c r="F282" s="16">
        <v>44912</v>
      </c>
      <c r="G282" s="16">
        <v>45092</v>
      </c>
      <c r="J282" s="15" t="str">
        <f>VLOOKUP(A282,sinap!$A$2:$R$9000,2,FALSE)</f>
        <v>H</v>
      </c>
      <c r="K282" s="15" t="str">
        <f>VLOOKUP(A282,sinap!$A$2:$R$9000,3,FALSE)</f>
        <v>VACA</v>
      </c>
      <c r="L282" s="15" t="str">
        <f>VLOOKUP(A282,sinap!$A$2:$R$9000,4,FALSE)</f>
        <v>ANGUS NEGRO</v>
      </c>
      <c r="M282" s="15" t="str">
        <f>VLOOKUP(A282,sinap!$A$2:$R$9000,5,FALSE)</f>
        <v>10 años 2 meses</v>
      </c>
      <c r="N282" s="15" t="str">
        <f>VLOOKUP(A282,sinap!$A$2:$R$9000,6,FALSE)</f>
        <v>30-10-2015</v>
      </c>
      <c r="O282" s="15" t="str">
        <f>VLOOKUP(A282,sinap!$A$2:$R$9000,7,FALSE)</f>
        <v>Vivo</v>
      </c>
      <c r="P282" s="15" t="str">
        <f>VLOOKUP(A282,sinap!$A$2:$R$9000,8,FALSE)</f>
        <v>11.1.01.1241</v>
      </c>
      <c r="Q282" s="15" t="str">
        <f>VLOOKUP(A282,sinap!$A$2:$R$9000,12,FALSE)</f>
        <v>11.1.01.0893</v>
      </c>
      <c r="R282" s="15" t="str">
        <f>VLOOKUP(A282,sinap!$A$2:$R$9000,16,FALSE)</f>
        <v>11.1.01.1241</v>
      </c>
      <c r="S282" s="15" t="str">
        <f>VLOOKUP(A282,sinap!$A$2:$Y$9000,20,FALSE)</f>
        <v>SI</v>
      </c>
    </row>
    <row r="283" spans="1:19" hidden="1" x14ac:dyDescent="0.25">
      <c r="A283" s="15">
        <v>8933282</v>
      </c>
      <c r="E283" s="16">
        <v>44499</v>
      </c>
      <c r="H283" s="16">
        <v>45297</v>
      </c>
      <c r="J283" s="15" t="str">
        <f>VLOOKUP(A283,sinap!$A$2:$R$9000,2,FALSE)</f>
        <v>H</v>
      </c>
      <c r="K283" s="15" t="str">
        <f>VLOOKUP(A283,sinap!$A$2:$R$9000,3,FALSE)</f>
        <v>VACA</v>
      </c>
      <c r="L283" s="15" t="str">
        <f>VLOOKUP(A283,sinap!$A$2:$R$9000,4,FALSE)</f>
        <v>ANGUS NEGRO</v>
      </c>
      <c r="M283" s="15" t="str">
        <f>VLOOKUP(A283,sinap!$A$2:$R$9000,5,FALSE)</f>
        <v>10 años 0 meses</v>
      </c>
      <c r="N283" s="15" t="str">
        <f>VLOOKUP(A283,sinap!$A$2:$R$9000,6,FALSE)</f>
        <v>30-12-2015</v>
      </c>
      <c r="O283" s="15" t="str">
        <f>VLOOKUP(A283,sinap!$A$2:$R$9000,7,FALSE)</f>
        <v>Vivo</v>
      </c>
      <c r="P283" s="15" t="str">
        <f>VLOOKUP(A283,sinap!$A$2:$R$9000,8,FALSE)</f>
        <v>11.2.01.0038</v>
      </c>
      <c r="Q283" s="15" t="str">
        <f>VLOOKUP(A283,sinap!$A$2:$R$9000,12,FALSE)</f>
        <v>11.1.01.0893</v>
      </c>
      <c r="R283" s="15" t="str">
        <f>VLOOKUP(A283,sinap!$A$2:$R$9000,16,FALSE)</f>
        <v>11.1.01.1241</v>
      </c>
      <c r="S283" s="15" t="str">
        <f>VLOOKUP(A283,sinap!$A$2:$Y$9000,20,FALSE)</f>
        <v>SI</v>
      </c>
    </row>
    <row r="284" spans="1:19" hidden="1" x14ac:dyDescent="0.25">
      <c r="A284" s="15">
        <v>8933285</v>
      </c>
      <c r="E284" s="16">
        <v>44499</v>
      </c>
      <c r="G284" s="16">
        <v>45253</v>
      </c>
      <c r="J284" s="15" t="str">
        <f>VLOOKUP(A284,sinap!$A$2:$R$9000,2,FALSE)</f>
        <v>H</v>
      </c>
      <c r="K284" s="15" t="str">
        <f>VLOOKUP(A284,sinap!$A$2:$R$9000,3,FALSE)</f>
        <v>VACA</v>
      </c>
      <c r="L284" s="15" t="str">
        <f>VLOOKUP(A284,sinap!$A$2:$R$9000,4,FALSE)</f>
        <v>ANGUS NEGRO</v>
      </c>
      <c r="M284" s="15" t="str">
        <f>VLOOKUP(A284,sinap!$A$2:$R$9000,5,FALSE)</f>
        <v>10 años 2 meses</v>
      </c>
      <c r="N284" s="15" t="str">
        <f>VLOOKUP(A284,sinap!$A$2:$R$9000,6,FALSE)</f>
        <v>10-11-2015</v>
      </c>
      <c r="O284" s="15" t="str">
        <f>VLOOKUP(A284,sinap!$A$2:$R$9000,7,FALSE)</f>
        <v>Vivo</v>
      </c>
      <c r="P284" s="15" t="str">
        <f>VLOOKUP(A284,sinap!$A$2:$R$9000,8,FALSE)</f>
        <v>11.1.01.1241</v>
      </c>
      <c r="Q284" s="15" t="str">
        <f>VLOOKUP(A284,sinap!$A$2:$R$9000,12,FALSE)</f>
        <v>11.1.01.1022</v>
      </c>
      <c r="R284" s="15" t="str">
        <f>VLOOKUP(A284,sinap!$A$2:$R$9000,16,FALSE)</f>
        <v>11.1.01.1241</v>
      </c>
      <c r="S284" s="15" t="str">
        <f>VLOOKUP(A284,sinap!$A$2:$Y$9000,20,FALSE)</f>
        <v>SI</v>
      </c>
    </row>
    <row r="285" spans="1:19" hidden="1" x14ac:dyDescent="0.25">
      <c r="A285" s="15">
        <v>8933290</v>
      </c>
      <c r="H285" s="16">
        <v>45648</v>
      </c>
      <c r="I285" s="16">
        <v>45966</v>
      </c>
      <c r="J285" s="15" t="str">
        <f>VLOOKUP(A285,sinap!$A$2:$R$9000,2,FALSE)</f>
        <v>H</v>
      </c>
      <c r="K285" s="15" t="str">
        <f>VLOOKUP(A285,sinap!$A$2:$R$9000,3,FALSE)</f>
        <v>VACA</v>
      </c>
      <c r="L285" s="15" t="str">
        <f>VLOOKUP(A285,sinap!$A$2:$R$9000,4,FALSE)</f>
        <v>ANGUS NEGRO</v>
      </c>
      <c r="M285" s="15" t="str">
        <f>VLOOKUP(A285,sinap!$A$2:$R$9000,5,FALSE)</f>
        <v>10 años 1 meses</v>
      </c>
      <c r="N285" s="15" t="str">
        <f>VLOOKUP(A285,sinap!$A$2:$R$9000,6,FALSE)</f>
        <v>30-11-2015</v>
      </c>
      <c r="O285" s="15" t="str">
        <f>VLOOKUP(A285,sinap!$A$2:$R$9000,7,FALSE)</f>
        <v>Vivo</v>
      </c>
      <c r="P285" s="15" t="str">
        <f>VLOOKUP(A285,sinap!$A$2:$R$9000,8,FALSE)</f>
        <v>11.1.01.2442</v>
      </c>
      <c r="Q285" s="15" t="str">
        <f>VLOOKUP(A285,sinap!$A$2:$R$9000,12,FALSE)</f>
        <v>11.1.01.0190</v>
      </c>
      <c r="R285" s="15" t="str">
        <f>VLOOKUP(A285,sinap!$A$2:$R$9000,16,FALSE)</f>
        <v>11.1.01.1241</v>
      </c>
      <c r="S285" s="15" t="str">
        <f>VLOOKUP(A285,sinap!$A$2:$Y$9000,20,FALSE)</f>
        <v>SI</v>
      </c>
    </row>
    <row r="286" spans="1:19" hidden="1" x14ac:dyDescent="0.25">
      <c r="A286" s="15">
        <v>8933295</v>
      </c>
      <c r="E286" s="16">
        <v>44350</v>
      </c>
      <c r="G286" s="16">
        <v>45215</v>
      </c>
      <c r="J286" s="15" t="str">
        <f>VLOOKUP(A286,sinap!$A$2:$R$9000,2,FALSE)</f>
        <v>H</v>
      </c>
      <c r="K286" s="15" t="str">
        <f>VLOOKUP(A286,sinap!$A$2:$R$9000,3,FALSE)</f>
        <v>VACA</v>
      </c>
      <c r="L286" s="15" t="str">
        <f>VLOOKUP(A286,sinap!$A$2:$R$9000,4,FALSE)</f>
        <v>ANGUS NEGRO</v>
      </c>
      <c r="M286" s="15" t="str">
        <f>VLOOKUP(A286,sinap!$A$2:$R$9000,5,FALSE)</f>
        <v>9 años 11 meses</v>
      </c>
      <c r="N286" s="15" t="str">
        <f>VLOOKUP(A286,sinap!$A$2:$R$9000,6,FALSE)</f>
        <v>30-01-2016</v>
      </c>
      <c r="O286" s="15" t="str">
        <f>VLOOKUP(A286,sinap!$A$2:$R$9000,7,FALSE)</f>
        <v>Vivo</v>
      </c>
      <c r="P286" s="15" t="str">
        <f>VLOOKUP(A286,sinap!$A$2:$R$9000,8,FALSE)</f>
        <v>11.1.01.1241</v>
      </c>
      <c r="Q286" s="15" t="str">
        <f>VLOOKUP(A286,sinap!$A$2:$R$9000,12,FALSE)</f>
        <v>11.2.01.0038</v>
      </c>
      <c r="R286" s="15" t="str">
        <f>VLOOKUP(A286,sinap!$A$2:$R$9000,16,FALSE)</f>
        <v>11.1.01.1241</v>
      </c>
      <c r="S286" s="15" t="str">
        <f>VLOOKUP(A286,sinap!$A$2:$Y$9000,20,FALSE)</f>
        <v>SI</v>
      </c>
    </row>
    <row r="287" spans="1:19" hidden="1" x14ac:dyDescent="0.25">
      <c r="A287" s="15">
        <v>8933297</v>
      </c>
      <c r="E287" s="16">
        <v>44499</v>
      </c>
      <c r="G287" s="16">
        <v>45215</v>
      </c>
      <c r="J287" s="15" t="str">
        <f>VLOOKUP(A287,sinap!$A$2:$R$9000,2,FALSE)</f>
        <v>H</v>
      </c>
      <c r="K287" s="15" t="str">
        <f>VLOOKUP(A287,sinap!$A$2:$R$9000,3,FALSE)</f>
        <v>VACA</v>
      </c>
      <c r="L287" s="15" t="str">
        <f>VLOOKUP(A287,sinap!$A$2:$R$9000,4,FALSE)</f>
        <v>ANGUS NEGRO</v>
      </c>
      <c r="M287" s="15" t="str">
        <f>VLOOKUP(A287,sinap!$A$2:$R$9000,5,FALSE)</f>
        <v>9 años 10 meses</v>
      </c>
      <c r="N287" s="15" t="str">
        <f>VLOOKUP(A287,sinap!$A$2:$R$9000,6,FALSE)</f>
        <v>28-02-2016</v>
      </c>
      <c r="O287" s="15" t="str">
        <f>VLOOKUP(A287,sinap!$A$2:$R$9000,7,FALSE)</f>
        <v>Vivo</v>
      </c>
      <c r="P287" s="15" t="str">
        <f>VLOOKUP(A287,sinap!$A$2:$R$9000,8,FALSE)</f>
        <v>11.1.01.1241</v>
      </c>
      <c r="Q287" s="15" t="str">
        <f>VLOOKUP(A287,sinap!$A$2:$R$9000,12,FALSE)</f>
        <v>11.1.01.0893</v>
      </c>
      <c r="R287" s="15" t="str">
        <f>VLOOKUP(A287,sinap!$A$2:$R$9000,16,FALSE)</f>
        <v>11.1.01.1241</v>
      </c>
      <c r="S287" s="15" t="str">
        <f>VLOOKUP(A287,sinap!$A$2:$Y$9000,20,FALSE)</f>
        <v>SI</v>
      </c>
    </row>
    <row r="288" spans="1:19" hidden="1" x14ac:dyDescent="0.25">
      <c r="A288" s="15">
        <v>8933312</v>
      </c>
      <c r="E288" s="16">
        <v>44350</v>
      </c>
      <c r="G288" s="16">
        <v>45240</v>
      </c>
      <c r="J288" s="15" t="str">
        <f>VLOOKUP(A288,sinap!$A$2:$R$9000,2,FALSE)</f>
        <v>M</v>
      </c>
      <c r="K288" s="15" t="str">
        <f>VLOOKUP(A288,sinap!$A$2:$R$9000,3,FALSE)</f>
        <v>TORO</v>
      </c>
      <c r="L288" s="15" t="str">
        <f>VLOOKUP(A288,sinap!$A$2:$R$9000,4,FALSE)</f>
        <v>ANGUS NEGRO</v>
      </c>
      <c r="M288" s="15" t="str">
        <f>VLOOKUP(A288,sinap!$A$2:$R$9000,5,FALSE)</f>
        <v>11 años 2 meses</v>
      </c>
      <c r="N288" s="15" t="str">
        <f>VLOOKUP(A288,sinap!$A$2:$R$9000,6,FALSE)</f>
        <v>25-10-2014</v>
      </c>
      <c r="O288" s="15" t="str">
        <f>VLOOKUP(A288,sinap!$A$2:$R$9000,7,FALSE)</f>
        <v>Vivo</v>
      </c>
      <c r="P288" s="15" t="str">
        <f>VLOOKUP(A288,sinap!$A$2:$R$9000,8,FALSE)</f>
        <v>11.1.01.1241</v>
      </c>
      <c r="Q288" s="15" t="str">
        <f>VLOOKUP(A288,sinap!$A$2:$R$9000,12,FALSE)</f>
        <v>11.1.01.1240</v>
      </c>
      <c r="R288" s="15" t="str">
        <f>VLOOKUP(A288,sinap!$A$2:$R$9000,16,FALSE)</f>
        <v>11.1.01.1240</v>
      </c>
      <c r="S288" s="15" t="str">
        <f>VLOOKUP(A288,sinap!$A$2:$Y$9000,20,FALSE)</f>
        <v>SI</v>
      </c>
    </row>
    <row r="289" spans="1:19" hidden="1" x14ac:dyDescent="0.25">
      <c r="A289" s="15">
        <v>8933313</v>
      </c>
      <c r="E289" s="16">
        <v>44350</v>
      </c>
      <c r="G289" s="16">
        <v>45215</v>
      </c>
      <c r="J289" s="15" t="str">
        <f>VLOOKUP(A289,sinap!$A$2:$R$9000,2,FALSE)</f>
        <v>H</v>
      </c>
      <c r="K289" s="15" t="str">
        <f>VLOOKUP(A289,sinap!$A$2:$R$9000,3,FALSE)</f>
        <v>VACA</v>
      </c>
      <c r="L289" s="15" t="str">
        <f>VLOOKUP(A289,sinap!$A$2:$R$9000,4,FALSE)</f>
        <v>ANGUS NEGRO</v>
      </c>
      <c r="M289" s="15" t="str">
        <f>VLOOKUP(A289,sinap!$A$2:$R$9000,5,FALSE)</f>
        <v>11 años 2 meses</v>
      </c>
      <c r="N289" s="15" t="str">
        <f>VLOOKUP(A289,sinap!$A$2:$R$9000,6,FALSE)</f>
        <v>25-10-2014</v>
      </c>
      <c r="O289" s="15" t="str">
        <f>VLOOKUP(A289,sinap!$A$2:$R$9000,7,FALSE)</f>
        <v>Vivo</v>
      </c>
      <c r="P289" s="15" t="str">
        <f>VLOOKUP(A289,sinap!$A$2:$R$9000,8,FALSE)</f>
        <v>11.1.01.0893</v>
      </c>
      <c r="Q289" s="15" t="str">
        <f>VLOOKUP(A289,sinap!$A$2:$R$9000,12,FALSE)</f>
        <v>11.2.01.2071</v>
      </c>
      <c r="R289" s="15" t="str">
        <f>VLOOKUP(A289,sinap!$A$2:$R$9000,16,FALSE)</f>
        <v>11.1.01.1240</v>
      </c>
      <c r="S289" s="15" t="str">
        <f>VLOOKUP(A289,sinap!$A$2:$Y$9000,20,FALSE)</f>
        <v>SI</v>
      </c>
    </row>
    <row r="290" spans="1:19" hidden="1" x14ac:dyDescent="0.25">
      <c r="A290" s="15">
        <v>8933327</v>
      </c>
      <c r="E290" s="16">
        <v>44499</v>
      </c>
      <c r="J290" s="15" t="str">
        <f>VLOOKUP(A290,sinap!$A$2:$R$9000,2,FALSE)</f>
        <v>H</v>
      </c>
      <c r="K290" s="15" t="str">
        <f>VLOOKUP(A290,sinap!$A$2:$R$9000,3,FALSE)</f>
        <v>VACA</v>
      </c>
      <c r="L290" s="15" t="str">
        <f>VLOOKUP(A290,sinap!$A$2:$R$9000,4,FALSE)</f>
        <v>ANGUS NEGRO</v>
      </c>
      <c r="M290" s="15" t="str">
        <f>VLOOKUP(A290,sinap!$A$2:$R$9000,5,FALSE)</f>
        <v>10 años 2 meses</v>
      </c>
      <c r="N290" s="15" t="str">
        <f>VLOOKUP(A290,sinap!$A$2:$R$9000,6,FALSE)</f>
        <v>30-10-2015</v>
      </c>
      <c r="O290" s="15" t="str">
        <f>VLOOKUP(A290,sinap!$A$2:$R$9000,7,FALSE)</f>
        <v>Vivo</v>
      </c>
      <c r="P290" s="15" t="str">
        <f>VLOOKUP(A290,sinap!$A$2:$R$9000,8,FALSE)</f>
        <v>11.1.01.1241</v>
      </c>
      <c r="Q290" s="15" t="str">
        <f>VLOOKUP(A290,sinap!$A$2:$R$9000,12,FALSE)</f>
        <v>11.1.01.0791</v>
      </c>
      <c r="R290" s="15" t="str">
        <f>VLOOKUP(A290,sinap!$A$2:$R$9000,16,FALSE)</f>
        <v>11.1.01.1241</v>
      </c>
      <c r="S290" s="15" t="str">
        <f>VLOOKUP(A290,sinap!$A$2:$Y$9000,20,FALSE)</f>
        <v>SI</v>
      </c>
    </row>
    <row r="291" spans="1:19" hidden="1" x14ac:dyDescent="0.25">
      <c r="A291" s="15">
        <v>8933328</v>
      </c>
      <c r="E291" s="16">
        <v>44350</v>
      </c>
      <c r="G291" s="16">
        <v>45215</v>
      </c>
      <c r="J291" s="15" t="str">
        <f>VLOOKUP(A291,sinap!$A$2:$R$9000,2,FALSE)</f>
        <v>H</v>
      </c>
      <c r="K291" s="15" t="str">
        <f>VLOOKUP(A291,sinap!$A$2:$R$9000,3,FALSE)</f>
        <v>VACA</v>
      </c>
      <c r="L291" s="15" t="str">
        <f>VLOOKUP(A291,sinap!$A$2:$R$9000,4,FALSE)</f>
        <v>ANGUS ROJO</v>
      </c>
      <c r="M291" s="15" t="str">
        <f>VLOOKUP(A291,sinap!$A$2:$R$9000,5,FALSE)</f>
        <v>10 años 2 meses</v>
      </c>
      <c r="N291" s="15" t="str">
        <f>VLOOKUP(A291,sinap!$A$2:$R$9000,6,FALSE)</f>
        <v>30-10-2015</v>
      </c>
      <c r="O291" s="15" t="str">
        <f>VLOOKUP(A291,sinap!$A$2:$R$9000,7,FALSE)</f>
        <v>Vivo</v>
      </c>
      <c r="P291" s="15" t="str">
        <f>VLOOKUP(A291,sinap!$A$2:$R$9000,8,FALSE)</f>
        <v>11.1.01.1241</v>
      </c>
      <c r="Q291" s="15" t="str">
        <f>VLOOKUP(A291,sinap!$A$2:$R$9000,12,FALSE)</f>
        <v>11.1.01.1022</v>
      </c>
      <c r="R291" s="15" t="str">
        <f>VLOOKUP(A291,sinap!$A$2:$R$9000,16,FALSE)</f>
        <v>11.1.01.1241</v>
      </c>
      <c r="S291" s="15" t="str">
        <f>VLOOKUP(A291,sinap!$A$2:$Y$9000,20,FALSE)</f>
        <v>SI</v>
      </c>
    </row>
    <row r="292" spans="1:19" s="16" customFormat="1" hidden="1" x14ac:dyDescent="0.25">
      <c r="A292" s="15">
        <v>8933336</v>
      </c>
      <c r="B292" s="15"/>
      <c r="C292" s="15"/>
      <c r="E292" s="16">
        <v>44350</v>
      </c>
      <c r="G292" s="16">
        <v>45254</v>
      </c>
      <c r="H292" s="16">
        <v>45430</v>
      </c>
      <c r="J292" s="15" t="str">
        <f>VLOOKUP(A292,sinap!$A$2:$R$9000,2,FALSE)</f>
        <v>H</v>
      </c>
      <c r="K292" s="15" t="str">
        <f>VLOOKUP(A292,sinap!$A$2:$R$9000,3,FALSE)</f>
        <v>VACA</v>
      </c>
      <c r="L292" s="15" t="str">
        <f>VLOOKUP(A292,sinap!$A$2:$R$9000,4,FALSE)</f>
        <v>ANGUS NEGRO</v>
      </c>
      <c r="M292" s="15" t="str">
        <f>VLOOKUP(A292,sinap!$A$2:$R$9000,5,FALSE)</f>
        <v>12 años 0 meses</v>
      </c>
      <c r="N292" s="15" t="str">
        <f>VLOOKUP(A292,sinap!$A$2:$R$9000,6,FALSE)</f>
        <v>30-12-2013</v>
      </c>
      <c r="O292" s="15" t="str">
        <f>VLOOKUP(A292,sinap!$A$2:$R$9000,7,FALSE)</f>
        <v>Vivo</v>
      </c>
      <c r="P292" s="15" t="str">
        <f>VLOOKUP(A292,sinap!$A$2:$R$9000,8,FALSE)</f>
        <v>11.1.01.1241</v>
      </c>
      <c r="Q292" s="15" t="str">
        <f>VLOOKUP(A292,sinap!$A$2:$R$9000,12,FALSE)</f>
        <v>11.1.01.0870</v>
      </c>
      <c r="R292" s="15" t="str">
        <f>VLOOKUP(A292,sinap!$A$2:$R$9000,16,FALSE)</f>
        <v>11.1.01.1081</v>
      </c>
      <c r="S292" s="15" t="str">
        <f>VLOOKUP(A292,sinap!$A$2:$Y$9000,20,FALSE)</f>
        <v>SI</v>
      </c>
    </row>
    <row r="293" spans="1:19" s="16" customFormat="1" hidden="1" x14ac:dyDescent="0.25">
      <c r="A293" s="15">
        <v>8933340</v>
      </c>
      <c r="B293" s="15"/>
      <c r="C293" s="15"/>
      <c r="J293" s="15" t="str">
        <f>VLOOKUP(A293,sinap!$A$2:$R$9000,2,FALSE)</f>
        <v>H</v>
      </c>
      <c r="K293" s="15" t="str">
        <f>VLOOKUP(A293,sinap!$A$2:$R$9000,3,FALSE)</f>
        <v>VACA</v>
      </c>
      <c r="L293" s="15" t="str">
        <f>VLOOKUP(A293,sinap!$A$2:$R$9000,4,FALSE)</f>
        <v>ANGUS NEGRO</v>
      </c>
      <c r="M293" s="15" t="str">
        <f>VLOOKUP(A293,sinap!$A$2:$R$9000,5,FALSE)</f>
        <v>12 años 1 meses</v>
      </c>
      <c r="N293" s="15" t="str">
        <f>VLOOKUP(A293,sinap!$A$2:$R$9000,6,FALSE)</f>
        <v>10-12-2013</v>
      </c>
      <c r="O293" s="15" t="str">
        <f>VLOOKUP(A293,sinap!$A$2:$R$9000,7,FALSE)</f>
        <v>Vivo</v>
      </c>
      <c r="P293" s="15" t="str">
        <f>VLOOKUP(A293,sinap!$A$2:$R$9000,8,FALSE)</f>
        <v>11.1.01.1241</v>
      </c>
      <c r="Q293" s="15" t="str">
        <f>VLOOKUP(A293,sinap!$A$2:$R$9000,12,FALSE)</f>
        <v>11.2.01.0053</v>
      </c>
      <c r="R293" s="15" t="str">
        <f>VLOOKUP(A293,sinap!$A$2:$R$9000,16,FALSE)</f>
        <v>11.1.01.1081</v>
      </c>
      <c r="S293" s="15" t="str">
        <f>VLOOKUP(A293,sinap!$A$2:$Y$9000,20,FALSE)</f>
        <v>SI</v>
      </c>
    </row>
    <row r="294" spans="1:19" s="16" customFormat="1" hidden="1" x14ac:dyDescent="0.25">
      <c r="A294" s="15">
        <v>8933347</v>
      </c>
      <c r="B294" s="15"/>
      <c r="C294" s="15"/>
      <c r="J294" s="15" t="str">
        <f>VLOOKUP(A294,sinap!$A$2:$R$9000,2,FALSE)</f>
        <v>H</v>
      </c>
      <c r="K294" s="15" t="str">
        <f>VLOOKUP(A294,sinap!$A$2:$R$9000,3,FALSE)</f>
        <v>VACA</v>
      </c>
      <c r="L294" s="15" t="str">
        <f>VLOOKUP(A294,sinap!$A$2:$R$9000,4,FALSE)</f>
        <v>ANGUS NEGRO</v>
      </c>
      <c r="M294" s="15" t="str">
        <f>VLOOKUP(A294,sinap!$A$2:$R$9000,5,FALSE)</f>
        <v>12 años 0 meses</v>
      </c>
      <c r="N294" s="15" t="str">
        <f>VLOOKUP(A294,sinap!$A$2:$R$9000,6,FALSE)</f>
        <v>30-12-2013</v>
      </c>
      <c r="O294" s="15" t="str">
        <f>VLOOKUP(A294,sinap!$A$2:$R$9000,7,FALSE)</f>
        <v>Vivo</v>
      </c>
      <c r="P294" s="15" t="str">
        <f>VLOOKUP(A294,sinap!$A$2:$R$9000,8,FALSE)</f>
        <v>11.1.01.1241</v>
      </c>
      <c r="Q294" s="15" t="str">
        <f>VLOOKUP(A294,sinap!$A$2:$R$9000,12,FALSE)</f>
        <v>11.2.01.0038</v>
      </c>
      <c r="R294" s="15" t="str">
        <f>VLOOKUP(A294,sinap!$A$2:$R$9000,16,FALSE)</f>
        <v>11.1.01.1081</v>
      </c>
      <c r="S294" s="15" t="str">
        <f>VLOOKUP(A294,sinap!$A$2:$Y$9000,20,FALSE)</f>
        <v>SI</v>
      </c>
    </row>
    <row r="295" spans="1:19" s="16" customFormat="1" hidden="1" x14ac:dyDescent="0.25">
      <c r="A295" s="15">
        <v>8933357</v>
      </c>
      <c r="B295" s="15"/>
      <c r="C295" s="15"/>
      <c r="E295" s="16">
        <v>44350</v>
      </c>
      <c r="G295" s="16">
        <v>45215</v>
      </c>
      <c r="J295" s="15" t="str">
        <f>VLOOKUP(A295,sinap!$A$2:$R$9000,2,FALSE)</f>
        <v>M</v>
      </c>
      <c r="K295" s="15" t="str">
        <f>VLOOKUP(A295,sinap!$A$2:$R$9000,3,FALSE)</f>
        <v>TORO</v>
      </c>
      <c r="L295" s="15" t="str">
        <f>VLOOKUP(A295,sinap!$A$2:$R$9000,4,FALSE)</f>
        <v>HEREFORD</v>
      </c>
      <c r="M295" s="15" t="str">
        <f>VLOOKUP(A295,sinap!$A$2:$R$9000,5,FALSE)</f>
        <v>11 años 11 meses</v>
      </c>
      <c r="N295" s="15" t="str">
        <f>VLOOKUP(A295,sinap!$A$2:$R$9000,6,FALSE)</f>
        <v>30-01-2014</v>
      </c>
      <c r="O295" s="15" t="str">
        <f>VLOOKUP(A295,sinap!$A$2:$R$9000,7,FALSE)</f>
        <v>Vivo</v>
      </c>
      <c r="P295" s="15" t="str">
        <f>VLOOKUP(A295,sinap!$A$2:$R$9000,8,FALSE)</f>
        <v>11.1.01.1241</v>
      </c>
      <c r="Q295" s="15" t="str">
        <f>VLOOKUP(A295,sinap!$A$2:$R$9000,12,FALSE)</f>
        <v>11.1.01.1241</v>
      </c>
      <c r="R295" s="15" t="str">
        <f>VLOOKUP(A295,sinap!$A$2:$R$9000,16,FALSE)</f>
        <v>11.1.01.1081</v>
      </c>
      <c r="S295" s="15" t="str">
        <f>VLOOKUP(A295,sinap!$A$2:$Y$9000,20,FALSE)</f>
        <v>SI</v>
      </c>
    </row>
    <row r="296" spans="1:19" s="16" customFormat="1" hidden="1" x14ac:dyDescent="0.25">
      <c r="A296" s="15">
        <v>8933367</v>
      </c>
      <c r="B296" s="15"/>
      <c r="C296" s="15"/>
      <c r="E296" s="16">
        <v>44350</v>
      </c>
      <c r="J296" s="15" t="str">
        <f>VLOOKUP(A296,sinap!$A$2:$R$9000,2,FALSE)</f>
        <v>H</v>
      </c>
      <c r="K296" s="15" t="str">
        <f>VLOOKUP(A296,sinap!$A$2:$R$9000,3,FALSE)</f>
        <v>VACA</v>
      </c>
      <c r="L296" s="15" t="str">
        <f>VLOOKUP(A296,sinap!$A$2:$R$9000,4,FALSE)</f>
        <v>ANGUS NEGRO</v>
      </c>
      <c r="M296" s="15" t="str">
        <f>VLOOKUP(A296,sinap!$A$2:$R$9000,5,FALSE)</f>
        <v>12 años 1 meses</v>
      </c>
      <c r="N296" s="15" t="str">
        <f>VLOOKUP(A296,sinap!$A$2:$R$9000,6,FALSE)</f>
        <v>30-11-2013</v>
      </c>
      <c r="O296" s="15" t="str">
        <f>VLOOKUP(A296,sinap!$A$2:$R$9000,7,FALSE)</f>
        <v>Vivo</v>
      </c>
      <c r="P296" s="15" t="str">
        <f>VLOOKUP(A296,sinap!$A$2:$R$9000,8,FALSE)</f>
        <v>11.1.01.1241</v>
      </c>
      <c r="Q296" s="15" t="str">
        <f>VLOOKUP(A296,sinap!$A$2:$R$9000,12,FALSE)</f>
        <v>11.1.01.1081</v>
      </c>
      <c r="R296" s="15" t="str">
        <f>VLOOKUP(A296,sinap!$A$2:$R$9000,16,FALSE)</f>
        <v>11.1.01.1081</v>
      </c>
      <c r="S296" s="15" t="str">
        <f>VLOOKUP(A296,sinap!$A$2:$Y$9000,20,FALSE)</f>
        <v>SI</v>
      </c>
    </row>
    <row r="297" spans="1:19" s="16" customFormat="1" hidden="1" x14ac:dyDescent="0.25">
      <c r="A297" s="15">
        <v>8933370</v>
      </c>
      <c r="B297" s="15"/>
      <c r="C297" s="15"/>
      <c r="E297" s="16">
        <v>44350</v>
      </c>
      <c r="G297" s="16">
        <v>45090</v>
      </c>
      <c r="J297" s="15" t="str">
        <f>VLOOKUP(A297,sinap!$A$2:$R$9000,2,FALSE)</f>
        <v>H</v>
      </c>
      <c r="K297" s="15" t="str">
        <f>VLOOKUP(A297,sinap!$A$2:$R$9000,3,FALSE)</f>
        <v>VACA</v>
      </c>
      <c r="L297" s="15" t="str">
        <f>VLOOKUP(A297,sinap!$A$2:$R$9000,4,FALSE)</f>
        <v>ANGUS ROJO</v>
      </c>
      <c r="M297" s="15" t="str">
        <f>VLOOKUP(A297,sinap!$A$2:$R$9000,5,FALSE)</f>
        <v>11 años 9 meses</v>
      </c>
      <c r="N297" s="15" t="str">
        <f>VLOOKUP(A297,sinap!$A$2:$R$9000,6,FALSE)</f>
        <v>30-03-2014</v>
      </c>
      <c r="O297" s="15" t="str">
        <f>VLOOKUP(A297,sinap!$A$2:$R$9000,7,FALSE)</f>
        <v>Vivo</v>
      </c>
      <c r="P297" s="15" t="str">
        <f>VLOOKUP(A297,sinap!$A$2:$R$9000,8,FALSE)</f>
        <v>11.2.01.0038</v>
      </c>
      <c r="Q297" s="15" t="str">
        <f>VLOOKUP(A297,sinap!$A$2:$R$9000,12,FALSE)</f>
        <v>11.1.01.1081</v>
      </c>
      <c r="R297" s="15" t="str">
        <f>VLOOKUP(A297,sinap!$A$2:$R$9000,16,FALSE)</f>
        <v>11.1.01.1081</v>
      </c>
      <c r="S297" s="15" t="str">
        <f>VLOOKUP(A297,sinap!$A$2:$Y$9000,20,FALSE)</f>
        <v>SI</v>
      </c>
    </row>
    <row r="298" spans="1:19" s="16" customFormat="1" hidden="1" x14ac:dyDescent="0.25">
      <c r="A298" s="15">
        <v>8933372</v>
      </c>
      <c r="B298" s="15"/>
      <c r="C298" s="15"/>
      <c r="E298" s="16">
        <v>44350</v>
      </c>
      <c r="G298" s="16">
        <v>45215</v>
      </c>
      <c r="J298" s="15" t="str">
        <f>VLOOKUP(A298,sinap!$A$2:$R$9000,2,FALSE)</f>
        <v>H</v>
      </c>
      <c r="K298" s="15" t="str">
        <f>VLOOKUP(A298,sinap!$A$2:$R$9000,3,FALSE)</f>
        <v>VACA</v>
      </c>
      <c r="L298" s="15" t="str">
        <f>VLOOKUP(A298,sinap!$A$2:$R$9000,4,FALSE)</f>
        <v>ANGUS ROJO</v>
      </c>
      <c r="M298" s="15" t="str">
        <f>VLOOKUP(A298,sinap!$A$2:$R$9000,5,FALSE)</f>
        <v>12 años 2 meses</v>
      </c>
      <c r="N298" s="15" t="str">
        <f>VLOOKUP(A298,sinap!$A$2:$R$9000,6,FALSE)</f>
        <v>30-10-2013</v>
      </c>
      <c r="O298" s="15" t="str">
        <f>VLOOKUP(A298,sinap!$A$2:$R$9000,7,FALSE)</f>
        <v>Vivo</v>
      </c>
      <c r="P298" s="15" t="str">
        <f>VLOOKUP(A298,sinap!$A$2:$R$9000,8,FALSE)</f>
        <v>11.1.01.1241</v>
      </c>
      <c r="Q298" s="15" t="str">
        <f>VLOOKUP(A298,sinap!$A$2:$R$9000,12,FALSE)</f>
        <v>11.1.01.1081</v>
      </c>
      <c r="R298" s="15" t="str">
        <f>VLOOKUP(A298,sinap!$A$2:$R$9000,16,FALSE)</f>
        <v>11.1.01.1081</v>
      </c>
      <c r="S298" s="15" t="str">
        <f>VLOOKUP(A298,sinap!$A$2:$Y$9000,20,FALSE)</f>
        <v>SI</v>
      </c>
    </row>
    <row r="299" spans="1:19" s="16" customFormat="1" hidden="1" x14ac:dyDescent="0.25">
      <c r="A299" s="15">
        <v>8933373</v>
      </c>
      <c r="B299" s="15"/>
      <c r="C299" s="15"/>
      <c r="E299" s="16">
        <v>44350</v>
      </c>
      <c r="G299" s="16">
        <v>45215</v>
      </c>
      <c r="J299" s="15" t="str">
        <f>VLOOKUP(A299,sinap!$A$2:$R$9000,2,FALSE)</f>
        <v>H</v>
      </c>
      <c r="K299" s="15" t="str">
        <f>VLOOKUP(A299,sinap!$A$2:$R$9000,3,FALSE)</f>
        <v>VACA</v>
      </c>
      <c r="L299" s="15" t="str">
        <f>VLOOKUP(A299,sinap!$A$2:$R$9000,4,FALSE)</f>
        <v>ANGUS ROJO</v>
      </c>
      <c r="M299" s="15" t="str">
        <f>VLOOKUP(A299,sinap!$A$2:$R$9000,5,FALSE)</f>
        <v>11 años 10 meses</v>
      </c>
      <c r="N299" s="15" t="str">
        <f>VLOOKUP(A299,sinap!$A$2:$R$9000,6,FALSE)</f>
        <v>28-02-2014</v>
      </c>
      <c r="O299" s="15" t="str">
        <f>VLOOKUP(A299,sinap!$A$2:$R$9000,7,FALSE)</f>
        <v>Vivo</v>
      </c>
      <c r="P299" s="15" t="str">
        <f>VLOOKUP(A299,sinap!$A$2:$R$9000,8,FALSE)</f>
        <v>11.1.01.1241</v>
      </c>
      <c r="Q299" s="15" t="str">
        <f>VLOOKUP(A299,sinap!$A$2:$R$9000,12,FALSE)</f>
        <v>11.1.01.1241</v>
      </c>
      <c r="R299" s="15" t="str">
        <f>VLOOKUP(A299,sinap!$A$2:$R$9000,16,FALSE)</f>
        <v>11.1.01.1081</v>
      </c>
      <c r="S299" s="15" t="str">
        <f>VLOOKUP(A299,sinap!$A$2:$Y$9000,20,FALSE)</f>
        <v>SI</v>
      </c>
    </row>
    <row r="300" spans="1:19" s="16" customFormat="1" hidden="1" x14ac:dyDescent="0.25">
      <c r="A300" s="15">
        <v>8933386</v>
      </c>
      <c r="B300" s="15"/>
      <c r="C300" s="15"/>
      <c r="E300" s="16">
        <v>44499</v>
      </c>
      <c r="G300" s="16">
        <v>45215</v>
      </c>
      <c r="J300" s="15" t="str">
        <f>VLOOKUP(A300,sinap!$A$2:$R$9000,2,FALSE)</f>
        <v>H</v>
      </c>
      <c r="K300" s="15" t="str">
        <f>VLOOKUP(A300,sinap!$A$2:$R$9000,3,FALSE)</f>
        <v>VACA</v>
      </c>
      <c r="L300" s="15" t="str">
        <f>VLOOKUP(A300,sinap!$A$2:$R$9000,4,FALSE)</f>
        <v>HEREFORD</v>
      </c>
      <c r="M300" s="15" t="str">
        <f>VLOOKUP(A300,sinap!$A$2:$R$9000,5,FALSE)</f>
        <v>11 años 11 meses</v>
      </c>
      <c r="N300" s="15" t="str">
        <f>VLOOKUP(A300,sinap!$A$2:$R$9000,6,FALSE)</f>
        <v>30-01-2014</v>
      </c>
      <c r="O300" s="15" t="str">
        <f>VLOOKUP(A300,sinap!$A$2:$R$9000,7,FALSE)</f>
        <v>Vivo</v>
      </c>
      <c r="P300" s="15" t="str">
        <f>VLOOKUP(A300,sinap!$A$2:$R$9000,8,FALSE)</f>
        <v>11.1.01.1241</v>
      </c>
      <c r="Q300" s="15" t="str">
        <f>VLOOKUP(A300,sinap!$A$2:$R$9000,12,FALSE)</f>
        <v>11.1.01.1241</v>
      </c>
      <c r="R300" s="15" t="str">
        <f>VLOOKUP(A300,sinap!$A$2:$R$9000,16,FALSE)</f>
        <v>11.1.01.1081</v>
      </c>
      <c r="S300" s="15" t="str">
        <f>VLOOKUP(A300,sinap!$A$2:$Y$9000,20,FALSE)</f>
        <v>SI</v>
      </c>
    </row>
    <row r="301" spans="1:19" s="16" customFormat="1" hidden="1" x14ac:dyDescent="0.25">
      <c r="A301" s="15">
        <v>8933388</v>
      </c>
      <c r="B301" s="15"/>
      <c r="C301" s="15"/>
      <c r="E301" s="16">
        <v>44504</v>
      </c>
      <c r="G301" s="16">
        <v>45215</v>
      </c>
      <c r="J301" s="15" t="str">
        <f>VLOOKUP(A301,sinap!$A$2:$R$9000,2,FALSE)</f>
        <v>H</v>
      </c>
      <c r="K301" s="15" t="str">
        <f>VLOOKUP(A301,sinap!$A$2:$R$9000,3,FALSE)</f>
        <v>VACA</v>
      </c>
      <c r="L301" s="15" t="str">
        <f>VLOOKUP(A301,sinap!$A$2:$R$9000,4,FALSE)</f>
        <v>OVERO NEGRO</v>
      </c>
      <c r="M301" s="15" t="str">
        <f>VLOOKUP(A301,sinap!$A$2:$R$9000,5,FALSE)</f>
        <v>11 años 10 meses</v>
      </c>
      <c r="N301" s="15" t="str">
        <f>VLOOKUP(A301,sinap!$A$2:$R$9000,6,FALSE)</f>
        <v>28-02-2014</v>
      </c>
      <c r="O301" s="15" t="str">
        <f>VLOOKUP(A301,sinap!$A$2:$R$9000,7,FALSE)</f>
        <v>Vivo</v>
      </c>
      <c r="P301" s="15" t="str">
        <f>VLOOKUP(A301,sinap!$A$2:$R$9000,8,FALSE)</f>
        <v>11.1.01.1241</v>
      </c>
      <c r="Q301" s="15" t="str">
        <f>VLOOKUP(A301,sinap!$A$2:$R$9000,12,FALSE)</f>
        <v>11.1.01.1241</v>
      </c>
      <c r="R301" s="15" t="str">
        <f>VLOOKUP(A301,sinap!$A$2:$R$9000,16,FALSE)</f>
        <v>11.1.01.1081</v>
      </c>
      <c r="S301" s="15" t="str">
        <f>VLOOKUP(A301,sinap!$A$2:$Y$9000,20,FALSE)</f>
        <v>SI</v>
      </c>
    </row>
    <row r="302" spans="1:19" s="16" customFormat="1" hidden="1" x14ac:dyDescent="0.25">
      <c r="A302" s="15">
        <v>8933397</v>
      </c>
      <c r="B302" s="15"/>
      <c r="C302" s="15"/>
      <c r="E302" s="16">
        <v>44350</v>
      </c>
      <c r="G302" s="16">
        <v>45090</v>
      </c>
      <c r="J302" s="15" t="str">
        <f>VLOOKUP(A302,sinap!$A$2:$R$9000,2,FALSE)</f>
        <v>H</v>
      </c>
      <c r="K302" s="15" t="str">
        <f>VLOOKUP(A302,sinap!$A$2:$R$9000,3,FALSE)</f>
        <v>VACA</v>
      </c>
      <c r="L302" s="15" t="str">
        <f>VLOOKUP(A302,sinap!$A$2:$R$9000,4,FALSE)</f>
        <v>OVERO COLORADO (CLAVEL ALEMAN)</v>
      </c>
      <c r="M302" s="15" t="str">
        <f>VLOOKUP(A302,sinap!$A$2:$R$9000,5,FALSE)</f>
        <v>11 años 8 meses</v>
      </c>
      <c r="N302" s="15" t="str">
        <f>VLOOKUP(A302,sinap!$A$2:$R$9000,6,FALSE)</f>
        <v>30-04-2014</v>
      </c>
      <c r="O302" s="15" t="str">
        <f>VLOOKUP(A302,sinap!$A$2:$R$9000,7,FALSE)</f>
        <v>Vivo</v>
      </c>
      <c r="P302" s="15" t="str">
        <f>VLOOKUP(A302,sinap!$A$2:$R$9000,8,FALSE)</f>
        <v>11.1.01.1241</v>
      </c>
      <c r="Q302" s="15" t="str">
        <f>VLOOKUP(A302,sinap!$A$2:$R$9000,12,FALSE)</f>
        <v>11.1.01.0791</v>
      </c>
      <c r="R302" s="15" t="str">
        <f>VLOOKUP(A302,sinap!$A$2:$R$9000,16,FALSE)</f>
        <v>11.1.01.1081</v>
      </c>
      <c r="S302" s="15" t="str">
        <f>VLOOKUP(A302,sinap!$A$2:$Y$9000,20,FALSE)</f>
        <v>SI</v>
      </c>
    </row>
    <row r="303" spans="1:19" s="16" customFormat="1" hidden="1" x14ac:dyDescent="0.25">
      <c r="A303" s="15">
        <v>8933400</v>
      </c>
      <c r="B303" s="15"/>
      <c r="C303" s="15"/>
      <c r="E303" s="16">
        <v>44350</v>
      </c>
      <c r="J303" s="15" t="str">
        <f>VLOOKUP(A303,sinap!$A$2:$R$9000,2,FALSE)</f>
        <v>M</v>
      </c>
      <c r="K303" s="15" t="str">
        <f>VLOOKUP(A303,sinap!$A$2:$R$9000,3,FALSE)</f>
        <v>TORO</v>
      </c>
      <c r="L303" s="15" t="str">
        <f>VLOOKUP(A303,sinap!$A$2:$R$9000,4,FALSE)</f>
        <v>ANGUS NEGRO</v>
      </c>
      <c r="M303" s="15" t="str">
        <f>VLOOKUP(A303,sinap!$A$2:$R$9000,5,FALSE)</f>
        <v>11 años 3 meses</v>
      </c>
      <c r="N303" s="15" t="str">
        <f>VLOOKUP(A303,sinap!$A$2:$R$9000,6,FALSE)</f>
        <v>30-09-2014</v>
      </c>
      <c r="O303" s="15" t="str">
        <f>VLOOKUP(A303,sinap!$A$2:$R$9000,7,FALSE)</f>
        <v>Vivo</v>
      </c>
      <c r="P303" s="15" t="str">
        <f>VLOOKUP(A303,sinap!$A$2:$R$9000,8,FALSE)</f>
        <v>11.1.01.1241</v>
      </c>
      <c r="Q303" s="15" t="str">
        <f>VLOOKUP(A303,sinap!$A$2:$R$9000,12,FALSE)</f>
        <v>11.1.01.1081</v>
      </c>
      <c r="R303" s="15" t="str">
        <f>VLOOKUP(A303,sinap!$A$2:$R$9000,16,FALSE)</f>
        <v>11.1.01.1081</v>
      </c>
      <c r="S303" s="15" t="str">
        <f>VLOOKUP(A303,sinap!$A$2:$Y$9000,20,FALSE)</f>
        <v>SI</v>
      </c>
    </row>
    <row r="304" spans="1:19" s="16" customFormat="1" hidden="1" x14ac:dyDescent="0.25">
      <c r="A304" s="15">
        <v>8933402</v>
      </c>
      <c r="B304" s="15"/>
      <c r="C304" s="15"/>
      <c r="J304" s="15" t="str">
        <f>VLOOKUP(A304,sinap!$A$2:$R$9000,2,FALSE)</f>
        <v>H</v>
      </c>
      <c r="K304" s="15" t="str">
        <f>VLOOKUP(A304,sinap!$A$2:$R$9000,3,FALSE)</f>
        <v>VACA</v>
      </c>
      <c r="L304" s="15" t="str">
        <f>VLOOKUP(A304,sinap!$A$2:$R$9000,4,FALSE)</f>
        <v>ANGUS NEGRO</v>
      </c>
      <c r="M304" s="15" t="str">
        <f>VLOOKUP(A304,sinap!$A$2:$R$9000,5,FALSE)</f>
        <v>11 años 3 meses</v>
      </c>
      <c r="N304" s="15" t="str">
        <f>VLOOKUP(A304,sinap!$A$2:$R$9000,6,FALSE)</f>
        <v>30-09-2014</v>
      </c>
      <c r="O304" s="15" t="str">
        <f>VLOOKUP(A304,sinap!$A$2:$R$9000,7,FALSE)</f>
        <v>Vivo</v>
      </c>
      <c r="P304" s="15" t="str">
        <f>VLOOKUP(A304,sinap!$A$2:$R$9000,8,FALSE)</f>
        <v>11.1.01.1241</v>
      </c>
      <c r="Q304" s="15" t="str">
        <f>VLOOKUP(A304,sinap!$A$2:$R$9000,12,FALSE)</f>
        <v>11.1.01.0893</v>
      </c>
      <c r="R304" s="15" t="str">
        <f>VLOOKUP(A304,sinap!$A$2:$R$9000,16,FALSE)</f>
        <v>11.1.01.1081</v>
      </c>
      <c r="S304" s="15" t="str">
        <f>VLOOKUP(A304,sinap!$A$2:$Y$9000,20,FALSE)</f>
        <v>SI</v>
      </c>
    </row>
    <row r="305" spans="1:20" s="16" customFormat="1" hidden="1" x14ac:dyDescent="0.25">
      <c r="A305" s="15">
        <v>8933429</v>
      </c>
      <c r="B305" s="15"/>
      <c r="C305" s="15"/>
      <c r="J305" s="15" t="str">
        <f>VLOOKUP(A305,sinap!$A$2:$R$9000,2,FALSE)</f>
        <v>H</v>
      </c>
      <c r="K305" s="15" t="str">
        <f>VLOOKUP(A305,sinap!$A$2:$R$9000,3,FALSE)</f>
        <v>VACA</v>
      </c>
      <c r="L305" s="15" t="str">
        <f>VLOOKUP(A305,sinap!$A$2:$R$9000,4,FALSE)</f>
        <v>ANGUS NEGRO</v>
      </c>
      <c r="M305" s="15" t="str">
        <f>VLOOKUP(A305,sinap!$A$2:$R$9000,5,FALSE)</f>
        <v>11 años 2 meses</v>
      </c>
      <c r="N305" s="15" t="str">
        <f>VLOOKUP(A305,sinap!$A$2:$R$9000,6,FALSE)</f>
        <v>30-10-2014</v>
      </c>
      <c r="O305" s="15" t="str">
        <f>VLOOKUP(A305,sinap!$A$2:$R$9000,7,FALSE)</f>
        <v>Vivo</v>
      </c>
      <c r="P305" s="15" t="str">
        <f>VLOOKUP(A305,sinap!$A$2:$R$9000,8,FALSE)</f>
        <v>11.1.01.0893</v>
      </c>
      <c r="Q305" s="15" t="str">
        <f>VLOOKUP(A305,sinap!$A$2:$R$9000,12,FALSE)</f>
        <v>11.2.01.2071</v>
      </c>
      <c r="R305" s="15" t="str">
        <f>VLOOKUP(A305,sinap!$A$2:$R$9000,16,FALSE)</f>
        <v>11.1.01.1081</v>
      </c>
      <c r="S305" s="15" t="str">
        <f>VLOOKUP(A305,sinap!$A$2:$Y$9000,20,FALSE)</f>
        <v>SI</v>
      </c>
    </row>
    <row r="306" spans="1:20" s="16" customFormat="1" hidden="1" x14ac:dyDescent="0.25">
      <c r="A306" s="15">
        <v>8933434</v>
      </c>
      <c r="B306" s="15"/>
      <c r="C306" s="15"/>
      <c r="E306" s="16">
        <v>44499</v>
      </c>
      <c r="J306" s="15" t="str">
        <f>VLOOKUP(A306,sinap!$A$2:$R$9000,2,FALSE)</f>
        <v>M</v>
      </c>
      <c r="K306" s="15" t="str">
        <f>VLOOKUP(A306,sinap!$A$2:$R$9000,3,FALSE)</f>
        <v>TORO</v>
      </c>
      <c r="L306" s="15" t="str">
        <f>VLOOKUP(A306,sinap!$A$2:$R$9000,4,FALSE)</f>
        <v>ANGUS NEGRO</v>
      </c>
      <c r="M306" s="15" t="str">
        <f>VLOOKUP(A306,sinap!$A$2:$R$9000,5,FALSE)</f>
        <v>11 años 2 meses</v>
      </c>
      <c r="N306" s="15" t="str">
        <f>VLOOKUP(A306,sinap!$A$2:$R$9000,6,FALSE)</f>
        <v>15-11-2014</v>
      </c>
      <c r="O306" s="15" t="str">
        <f>VLOOKUP(A306,sinap!$A$2:$R$9000,7,FALSE)</f>
        <v>Vivo</v>
      </c>
      <c r="P306" s="15" t="str">
        <f>VLOOKUP(A306,sinap!$A$2:$R$9000,8,FALSE)</f>
        <v>11.1.01.1241</v>
      </c>
      <c r="Q306" s="15" t="str">
        <f>VLOOKUP(A306,sinap!$A$2:$R$9000,12,FALSE)</f>
        <v>11.1.01.1081</v>
      </c>
      <c r="R306" s="15" t="str">
        <f>VLOOKUP(A306,sinap!$A$2:$R$9000,16,FALSE)</f>
        <v>11.1.01.1081</v>
      </c>
      <c r="S306" s="15" t="str">
        <f>VLOOKUP(A306,sinap!$A$2:$Y$9000,20,FALSE)</f>
        <v>SI</v>
      </c>
    </row>
    <row r="307" spans="1:20" s="16" customFormat="1" hidden="1" x14ac:dyDescent="0.25">
      <c r="A307" s="15">
        <v>8933448</v>
      </c>
      <c r="B307" s="15"/>
      <c r="C307" s="15"/>
      <c r="E307" s="16">
        <v>44397</v>
      </c>
      <c r="G307" s="16">
        <v>45264</v>
      </c>
      <c r="J307" s="15" t="str">
        <f>VLOOKUP(A307,sinap!$A$2:$R$9000,2,FALSE)</f>
        <v>H</v>
      </c>
      <c r="K307" s="15" t="str">
        <f>VLOOKUP(A307,sinap!$A$2:$R$9000,3,FALSE)</f>
        <v>VACA</v>
      </c>
      <c r="L307" s="15" t="str">
        <f>VLOOKUP(A307,sinap!$A$2:$R$9000,4,FALSE)</f>
        <v>ANGUS NEGRO</v>
      </c>
      <c r="M307" s="15" t="str">
        <f>VLOOKUP(A307,sinap!$A$2:$R$9000,5,FALSE)</f>
        <v>11 años 2 meses</v>
      </c>
      <c r="N307" s="15" t="str">
        <f>VLOOKUP(A307,sinap!$A$2:$R$9000,6,FALSE)</f>
        <v>15-11-2014</v>
      </c>
      <c r="O307" s="15" t="str">
        <f>VLOOKUP(A307,sinap!$A$2:$R$9000,7,FALSE)</f>
        <v>Vivo</v>
      </c>
      <c r="P307" s="15" t="str">
        <f>VLOOKUP(A307,sinap!$A$2:$R$9000,8,FALSE)</f>
        <v>11.1.01.0893</v>
      </c>
      <c r="Q307" s="15" t="str">
        <f>VLOOKUP(A307,sinap!$A$2:$R$9000,12,FALSE)</f>
        <v>11.1.01.1241</v>
      </c>
      <c r="R307" s="15" t="str">
        <f>VLOOKUP(A307,sinap!$A$2:$R$9000,16,FALSE)</f>
        <v>11.1.01.1081</v>
      </c>
      <c r="S307" s="15" t="str">
        <f>VLOOKUP(A307,sinap!$A$2:$Y$9000,20,FALSE)</f>
        <v>SI</v>
      </c>
    </row>
    <row r="308" spans="1:20" s="16" customFormat="1" hidden="1" x14ac:dyDescent="0.25">
      <c r="A308" s="15">
        <v>8933449</v>
      </c>
      <c r="B308" s="15"/>
      <c r="C308" s="15"/>
      <c r="E308" s="16">
        <v>44397</v>
      </c>
      <c r="F308" s="16">
        <v>44908</v>
      </c>
      <c r="G308" s="16">
        <v>45265</v>
      </c>
      <c r="J308" s="15" t="str">
        <f>VLOOKUP(A308,sinap!$A$2:$R$9000,2,FALSE)</f>
        <v>H</v>
      </c>
      <c r="K308" s="15" t="str">
        <f>VLOOKUP(A308,sinap!$A$2:$R$9000,3,FALSE)</f>
        <v>VACA</v>
      </c>
      <c r="L308" s="15" t="str">
        <f>VLOOKUP(A308,sinap!$A$2:$R$9000,4,FALSE)</f>
        <v>ANGUS NEGRO</v>
      </c>
      <c r="M308" s="15" t="str">
        <f>VLOOKUP(A308,sinap!$A$2:$R$9000,5,FALSE)</f>
        <v>11 años 3 meses</v>
      </c>
      <c r="N308" s="15" t="str">
        <f>VLOOKUP(A308,sinap!$A$2:$R$9000,6,FALSE)</f>
        <v>30-09-2014</v>
      </c>
      <c r="O308" s="15" t="str">
        <f>VLOOKUP(A308,sinap!$A$2:$R$9000,7,FALSE)</f>
        <v>Vivo</v>
      </c>
      <c r="P308" s="15" t="str">
        <f>VLOOKUP(A308,sinap!$A$2:$R$9000,8,FALSE)</f>
        <v>11.1.01.1241</v>
      </c>
      <c r="Q308" s="15" t="str">
        <f>VLOOKUP(A308,sinap!$A$2:$R$9000,12,FALSE)</f>
        <v>11.2.01.0038</v>
      </c>
      <c r="R308" s="15" t="str">
        <f>VLOOKUP(A308,sinap!$A$2:$R$9000,16,FALSE)</f>
        <v>11.1.01.1081</v>
      </c>
      <c r="S308" s="15" t="str">
        <f>VLOOKUP(A308,sinap!$A$2:$Y$9000,20,FALSE)</f>
        <v>SI</v>
      </c>
    </row>
    <row r="309" spans="1:20" s="16" customFormat="1" hidden="1" x14ac:dyDescent="0.25">
      <c r="A309" s="15">
        <v>8933453</v>
      </c>
      <c r="B309" s="15"/>
      <c r="C309" s="15"/>
      <c r="E309" s="16">
        <v>44397</v>
      </c>
      <c r="J309" s="15" t="str">
        <f>VLOOKUP(A309,sinap!$A$2:$R$9000,2,FALSE)</f>
        <v>H</v>
      </c>
      <c r="K309" s="15" t="str">
        <f>VLOOKUP(A309,sinap!$A$2:$R$9000,3,FALSE)</f>
        <v>VACA</v>
      </c>
      <c r="L309" s="15" t="str">
        <f>VLOOKUP(A309,sinap!$A$2:$R$9000,4,FALSE)</f>
        <v>ANGUS NEGRO</v>
      </c>
      <c r="M309" s="15" t="str">
        <f>VLOOKUP(A309,sinap!$A$2:$R$9000,5,FALSE)</f>
        <v>11 años 2 meses</v>
      </c>
      <c r="N309" s="15" t="str">
        <f>VLOOKUP(A309,sinap!$A$2:$R$9000,6,FALSE)</f>
        <v>30-10-2014</v>
      </c>
      <c r="O309" s="15" t="str">
        <f>VLOOKUP(A309,sinap!$A$2:$R$9000,7,FALSE)</f>
        <v>Vivo</v>
      </c>
      <c r="P309" s="15" t="str">
        <f>VLOOKUP(A309,sinap!$A$2:$R$9000,8,FALSE)</f>
        <v>11.1.01.1241</v>
      </c>
      <c r="Q309" s="15" t="str">
        <f>VLOOKUP(A309,sinap!$A$2:$R$9000,12,FALSE)</f>
        <v>11.1.01.0791</v>
      </c>
      <c r="R309" s="15" t="str">
        <f>VLOOKUP(A309,sinap!$A$2:$R$9000,16,FALSE)</f>
        <v>11.1.01.1081</v>
      </c>
      <c r="S309" s="15" t="str">
        <f>VLOOKUP(A309,sinap!$A$2:$Y$9000,20,FALSE)</f>
        <v>SI</v>
      </c>
    </row>
    <row r="310" spans="1:20" s="16" customFormat="1" hidden="1" x14ac:dyDescent="0.25">
      <c r="A310" s="15">
        <v>8933454</v>
      </c>
      <c r="B310" s="15"/>
      <c r="C310" s="15"/>
      <c r="E310" s="16">
        <v>44397</v>
      </c>
      <c r="G310" s="16">
        <v>45264</v>
      </c>
      <c r="J310" s="15" t="str">
        <f>VLOOKUP(A310,sinap!$A$2:$R$9000,2,FALSE)</f>
        <v>M</v>
      </c>
      <c r="K310" s="15" t="str">
        <f>VLOOKUP(A310,sinap!$A$2:$R$9000,3,FALSE)</f>
        <v>TORO</v>
      </c>
      <c r="L310" s="15" t="str">
        <f>VLOOKUP(A310,sinap!$A$2:$R$9000,4,FALSE)</f>
        <v>ANGUS NEGRO</v>
      </c>
      <c r="M310" s="15" t="str">
        <f>VLOOKUP(A310,sinap!$A$2:$R$9000,5,FALSE)</f>
        <v>11 años 2 meses</v>
      </c>
      <c r="N310" s="15" t="str">
        <f>VLOOKUP(A310,sinap!$A$2:$R$9000,6,FALSE)</f>
        <v>15-11-2014</v>
      </c>
      <c r="O310" s="15" t="str">
        <f>VLOOKUP(A310,sinap!$A$2:$R$9000,7,FALSE)</f>
        <v>Vivo</v>
      </c>
      <c r="P310" s="15" t="str">
        <f>VLOOKUP(A310,sinap!$A$2:$R$9000,8,FALSE)</f>
        <v>11.1.01.1241</v>
      </c>
      <c r="Q310" s="15" t="str">
        <f>VLOOKUP(A310,sinap!$A$2:$R$9000,12,FALSE)</f>
        <v>11.1.01.1081</v>
      </c>
      <c r="R310" s="15" t="str">
        <f>VLOOKUP(A310,sinap!$A$2:$R$9000,16,FALSE)</f>
        <v>11.1.01.1081</v>
      </c>
      <c r="S310" s="15" t="str">
        <f>VLOOKUP(A310,sinap!$A$2:$Y$9000,20,FALSE)</f>
        <v>SI</v>
      </c>
      <c r="T310" s="16">
        <v>45232</v>
      </c>
    </row>
    <row r="311" spans="1:20" s="16" customFormat="1" hidden="1" x14ac:dyDescent="0.25">
      <c r="A311" s="15">
        <v>8933460</v>
      </c>
      <c r="B311" s="15"/>
      <c r="C311" s="15"/>
      <c r="E311" s="16">
        <v>44397</v>
      </c>
      <c r="G311" s="16">
        <v>45264</v>
      </c>
      <c r="J311" s="15" t="str">
        <f>VLOOKUP(A311,sinap!$A$2:$R$9000,2,FALSE)</f>
        <v>H</v>
      </c>
      <c r="K311" s="15" t="str">
        <f>VLOOKUP(A311,sinap!$A$2:$R$9000,3,FALSE)</f>
        <v>VACA</v>
      </c>
      <c r="L311" s="15" t="str">
        <f>VLOOKUP(A311,sinap!$A$2:$R$9000,4,FALSE)</f>
        <v>ANGUS NEGRO</v>
      </c>
      <c r="M311" s="15" t="str">
        <f>VLOOKUP(A311,sinap!$A$2:$R$9000,5,FALSE)</f>
        <v>11 años 2 meses</v>
      </c>
      <c r="N311" s="15" t="str">
        <f>VLOOKUP(A311,sinap!$A$2:$R$9000,6,FALSE)</f>
        <v>15-11-2014</v>
      </c>
      <c r="O311" s="15" t="str">
        <f>VLOOKUP(A311,sinap!$A$2:$R$9000,7,FALSE)</f>
        <v>Vivo</v>
      </c>
      <c r="P311" s="15" t="str">
        <f>VLOOKUP(A311,sinap!$A$2:$R$9000,8,FALSE)</f>
        <v>11.1.01.0893</v>
      </c>
      <c r="Q311" s="15" t="str">
        <f>VLOOKUP(A311,sinap!$A$2:$R$9000,12,FALSE)</f>
        <v>11.1.01.0791</v>
      </c>
      <c r="R311" s="15" t="str">
        <f>VLOOKUP(A311,sinap!$A$2:$R$9000,16,FALSE)</f>
        <v>11.1.01.1081</v>
      </c>
      <c r="S311" s="15" t="str">
        <f>VLOOKUP(A311,sinap!$A$2:$Y$9000,20,FALSE)</f>
        <v>SI</v>
      </c>
    </row>
    <row r="312" spans="1:20" hidden="1" x14ac:dyDescent="0.25">
      <c r="A312" s="15">
        <v>8933485</v>
      </c>
      <c r="E312" s="16">
        <v>44397</v>
      </c>
      <c r="G312" s="16">
        <v>45265</v>
      </c>
      <c r="J312" s="15" t="str">
        <f>VLOOKUP(A312,sinap!$A$2:$R$9000,2,FALSE)</f>
        <v>H</v>
      </c>
      <c r="K312" s="15" t="str">
        <f>VLOOKUP(A312,sinap!$A$2:$R$9000,3,FALSE)</f>
        <v>VACA</v>
      </c>
      <c r="L312" s="15" t="str">
        <f>VLOOKUP(A312,sinap!$A$2:$R$9000,4,FALSE)</f>
        <v>ANGUS NEGRO</v>
      </c>
      <c r="M312" s="15" t="str">
        <f>VLOOKUP(A312,sinap!$A$2:$R$9000,5,FALSE)</f>
        <v>11 años 3 meses</v>
      </c>
      <c r="N312" s="15" t="str">
        <f>VLOOKUP(A312,sinap!$A$2:$R$9000,6,FALSE)</f>
        <v>30-09-2014</v>
      </c>
      <c r="O312" s="15" t="str">
        <f>VLOOKUP(A312,sinap!$A$2:$R$9000,7,FALSE)</f>
        <v>Vivo</v>
      </c>
      <c r="P312" s="15" t="str">
        <f>VLOOKUP(A312,sinap!$A$2:$R$9000,8,FALSE)</f>
        <v>11.1.01.1241</v>
      </c>
      <c r="Q312" s="15" t="str">
        <f>VLOOKUP(A312,sinap!$A$2:$R$9000,12,FALSE)</f>
        <v>11.2.01.0038</v>
      </c>
      <c r="R312" s="15" t="str">
        <f>VLOOKUP(A312,sinap!$A$2:$R$9000,16,FALSE)</f>
        <v>11.1.01.1081</v>
      </c>
      <c r="S312" s="15" t="str">
        <f>VLOOKUP(A312,sinap!$A$2:$Y$9000,20,FALSE)</f>
        <v>SI</v>
      </c>
    </row>
    <row r="313" spans="1:20" hidden="1" x14ac:dyDescent="0.25">
      <c r="A313" s="15">
        <v>8933503</v>
      </c>
      <c r="E313" s="16">
        <v>44397</v>
      </c>
      <c r="G313" s="16">
        <v>45264</v>
      </c>
      <c r="J313" s="15" t="str">
        <f>VLOOKUP(A313,sinap!$A$2:$R$9000,2,FALSE)</f>
        <v>H</v>
      </c>
      <c r="K313" s="15" t="str">
        <f>VLOOKUP(A313,sinap!$A$2:$R$9000,3,FALSE)</f>
        <v>VACA</v>
      </c>
      <c r="L313" s="15" t="str">
        <f>VLOOKUP(A313,sinap!$A$2:$R$9000,4,FALSE)</f>
        <v>ANGUS NEGRO</v>
      </c>
      <c r="M313" s="15" t="str">
        <f>VLOOKUP(A313,sinap!$A$2:$R$9000,5,FALSE)</f>
        <v>11 años 2 meses</v>
      </c>
      <c r="N313" s="15" t="str">
        <f>VLOOKUP(A313,sinap!$A$2:$R$9000,6,FALSE)</f>
        <v>15-11-2014</v>
      </c>
      <c r="O313" s="15" t="str">
        <f>VLOOKUP(A313,sinap!$A$2:$R$9000,7,FALSE)</f>
        <v>Vivo</v>
      </c>
      <c r="P313" s="15" t="str">
        <f>VLOOKUP(A313,sinap!$A$2:$R$9000,8,FALSE)</f>
        <v>11.1.01.0893</v>
      </c>
      <c r="Q313" s="15" t="str">
        <f>VLOOKUP(A313,sinap!$A$2:$R$9000,12,FALSE)</f>
        <v>11.1.01.0791</v>
      </c>
      <c r="R313" s="15" t="str">
        <f>VLOOKUP(A313,sinap!$A$2:$R$9000,16,FALSE)</f>
        <v>11.1.01.1081</v>
      </c>
      <c r="S313" s="15" t="str">
        <f>VLOOKUP(A313,sinap!$A$2:$Y$9000,20,FALSE)</f>
        <v>SI</v>
      </c>
    </row>
    <row r="314" spans="1:20" hidden="1" x14ac:dyDescent="0.25">
      <c r="A314" s="15">
        <v>8933506</v>
      </c>
      <c r="E314" s="16">
        <v>44397</v>
      </c>
      <c r="G314" s="16">
        <v>45264</v>
      </c>
      <c r="J314" s="15" t="str">
        <f>VLOOKUP(A314,sinap!$A$2:$R$9000,2,FALSE)</f>
        <v>H</v>
      </c>
      <c r="K314" s="15" t="str">
        <f>VLOOKUP(A314,sinap!$A$2:$R$9000,3,FALSE)</f>
        <v>VACA</v>
      </c>
      <c r="L314" s="15" t="str">
        <f>VLOOKUP(A314,sinap!$A$2:$R$9000,4,FALSE)</f>
        <v>ANGUS ROJO</v>
      </c>
      <c r="M314" s="15" t="str">
        <f>VLOOKUP(A314,sinap!$A$2:$R$9000,5,FALSE)</f>
        <v>11 años 3 meses</v>
      </c>
      <c r="N314" s="15" t="str">
        <f>VLOOKUP(A314,sinap!$A$2:$R$9000,6,FALSE)</f>
        <v>30-09-2014</v>
      </c>
      <c r="O314" s="15" t="str">
        <f>VLOOKUP(A314,sinap!$A$2:$R$9000,7,FALSE)</f>
        <v>Vivo</v>
      </c>
      <c r="P314" s="15" t="str">
        <f>VLOOKUP(A314,sinap!$A$2:$R$9000,8,FALSE)</f>
        <v>11.2.01.0038</v>
      </c>
      <c r="Q314" s="15" t="str">
        <f>VLOOKUP(A314,sinap!$A$2:$R$9000,12,FALSE)</f>
        <v>11.1.01.0893</v>
      </c>
      <c r="R314" s="15" t="str">
        <f>VLOOKUP(A314,sinap!$A$2:$R$9000,16,FALSE)</f>
        <v>11.1.01.1081</v>
      </c>
      <c r="S314" s="15" t="str">
        <f>VLOOKUP(A314,sinap!$A$2:$Y$9000,20,FALSE)</f>
        <v>SI</v>
      </c>
    </row>
    <row r="315" spans="1:20" hidden="1" x14ac:dyDescent="0.25">
      <c r="A315" s="15">
        <v>8933510</v>
      </c>
      <c r="E315" s="16">
        <v>44397</v>
      </c>
      <c r="G315" s="16">
        <v>45265</v>
      </c>
      <c r="J315" s="15" t="str">
        <f>VLOOKUP(A315,sinap!$A$2:$R$9000,2,FALSE)</f>
        <v>M</v>
      </c>
      <c r="K315" s="15" t="str">
        <f>VLOOKUP(A315,sinap!$A$2:$R$9000,3,FALSE)</f>
        <v>TORO</v>
      </c>
      <c r="L315" s="15" t="str">
        <f>VLOOKUP(A315,sinap!$A$2:$R$9000,4,FALSE)</f>
        <v>ANGUS NEGRO</v>
      </c>
      <c r="M315" s="15" t="str">
        <f>VLOOKUP(A315,sinap!$A$2:$R$9000,5,FALSE)</f>
        <v>11 años 1 meses</v>
      </c>
      <c r="N315" s="15" t="str">
        <f>VLOOKUP(A315,sinap!$A$2:$R$9000,6,FALSE)</f>
        <v>30-11-2014</v>
      </c>
      <c r="O315" s="15" t="str">
        <f>VLOOKUP(A315,sinap!$A$2:$R$9000,7,FALSE)</f>
        <v>Vivo</v>
      </c>
      <c r="P315" s="15" t="str">
        <f>VLOOKUP(A315,sinap!$A$2:$R$9000,8,FALSE)</f>
        <v>11.1.01.1241</v>
      </c>
      <c r="Q315" s="15" t="str">
        <f>VLOOKUP(A315,sinap!$A$2:$R$9000,12,FALSE)</f>
        <v>11.1.01.1081</v>
      </c>
      <c r="R315" s="15" t="str">
        <f>VLOOKUP(A315,sinap!$A$2:$R$9000,16,FALSE)</f>
        <v>11.1.01.1081</v>
      </c>
      <c r="S315" s="15" t="str">
        <f>VLOOKUP(A315,sinap!$A$2:$Y$9000,20,FALSE)</f>
        <v>SI</v>
      </c>
    </row>
    <row r="316" spans="1:20" hidden="1" x14ac:dyDescent="0.25">
      <c r="A316" s="15">
        <v>8933511</v>
      </c>
      <c r="E316" s="16">
        <v>44497</v>
      </c>
      <c r="F316" s="16">
        <v>44868</v>
      </c>
      <c r="G316" s="16">
        <v>45254</v>
      </c>
      <c r="H316" s="16">
        <v>45297</v>
      </c>
      <c r="J316" s="15" t="str">
        <f>VLOOKUP(A316,sinap!$A$2:$R$9000,2,FALSE)</f>
        <v>H</v>
      </c>
      <c r="K316" s="15" t="str">
        <f>VLOOKUP(A316,sinap!$A$2:$R$9000,3,FALSE)</f>
        <v>VACA</v>
      </c>
      <c r="L316" s="15" t="str">
        <f>VLOOKUP(A316,sinap!$A$2:$R$9000,4,FALSE)</f>
        <v>ANGUS NEGRO</v>
      </c>
      <c r="M316" s="15" t="str">
        <f>VLOOKUP(A316,sinap!$A$2:$R$9000,5,FALSE)</f>
        <v>11 años 1 meses</v>
      </c>
      <c r="N316" s="15" t="str">
        <f>VLOOKUP(A316,sinap!$A$2:$R$9000,6,FALSE)</f>
        <v>30-11-2014</v>
      </c>
      <c r="O316" s="15" t="str">
        <f>VLOOKUP(A316,sinap!$A$2:$R$9000,7,FALSE)</f>
        <v>Vivo</v>
      </c>
      <c r="P316" s="15" t="str">
        <f>VLOOKUP(A316,sinap!$A$2:$R$9000,8,FALSE)</f>
        <v>11.1.01.0893</v>
      </c>
      <c r="Q316" s="15" t="str">
        <f>VLOOKUP(A316,sinap!$A$2:$R$9000,12,FALSE)</f>
        <v>11.1.01.0791</v>
      </c>
      <c r="R316" s="15" t="str">
        <f>VLOOKUP(A316,sinap!$A$2:$R$9000,16,FALSE)</f>
        <v>11.1.01.1081</v>
      </c>
      <c r="S316" s="15" t="str">
        <f>VLOOKUP(A316,sinap!$A$2:$Y$9000,20,FALSE)</f>
        <v>SI</v>
      </c>
    </row>
    <row r="317" spans="1:20" hidden="1" x14ac:dyDescent="0.25">
      <c r="A317" s="15">
        <v>8933513</v>
      </c>
      <c r="E317" s="16">
        <v>44497</v>
      </c>
      <c r="G317" s="16">
        <v>45265</v>
      </c>
      <c r="J317" s="15" t="str">
        <f>VLOOKUP(A317,sinap!$A$2:$R$9000,2,FALSE)</f>
        <v>M</v>
      </c>
      <c r="K317" s="15" t="str">
        <f>VLOOKUP(A317,sinap!$A$2:$R$9000,3,FALSE)</f>
        <v>TORO</v>
      </c>
      <c r="L317" s="15" t="str">
        <f>VLOOKUP(A317,sinap!$A$2:$R$9000,4,FALSE)</f>
        <v>ANGUS NEGRO</v>
      </c>
      <c r="M317" s="15" t="str">
        <f>VLOOKUP(A317,sinap!$A$2:$R$9000,5,FALSE)</f>
        <v>11 años 1 meses</v>
      </c>
      <c r="N317" s="15" t="str">
        <f>VLOOKUP(A317,sinap!$A$2:$R$9000,6,FALSE)</f>
        <v>30-11-2014</v>
      </c>
      <c r="O317" s="15" t="str">
        <f>VLOOKUP(A317,sinap!$A$2:$R$9000,7,FALSE)</f>
        <v>Vivo</v>
      </c>
      <c r="P317" s="15" t="str">
        <f>VLOOKUP(A317,sinap!$A$2:$R$9000,8,FALSE)</f>
        <v>11.1.01.1241</v>
      </c>
      <c r="Q317" s="15" t="str">
        <f>VLOOKUP(A317,sinap!$A$2:$R$9000,12,FALSE)</f>
        <v>11.1.01.1081</v>
      </c>
      <c r="R317" s="15" t="str">
        <f>VLOOKUP(A317,sinap!$A$2:$R$9000,16,FALSE)</f>
        <v>11.1.01.1081</v>
      </c>
      <c r="S317" s="15" t="str">
        <f>VLOOKUP(A317,sinap!$A$2:$Y$9000,20,FALSE)</f>
        <v>SI</v>
      </c>
      <c r="T317" s="16">
        <v>44156</v>
      </c>
    </row>
    <row r="318" spans="1:20" hidden="1" x14ac:dyDescent="0.25">
      <c r="A318" s="15">
        <v>8933515</v>
      </c>
      <c r="G318" s="16">
        <v>45215</v>
      </c>
      <c r="J318" s="15" t="str">
        <f>VLOOKUP(A318,sinap!$A$2:$R$9000,2,FALSE)</f>
        <v>M</v>
      </c>
      <c r="K318" s="15" t="str">
        <f>VLOOKUP(A318,sinap!$A$2:$R$9000,3,FALSE)</f>
        <v>TORO</v>
      </c>
      <c r="L318" s="15" t="str">
        <f>VLOOKUP(A318,sinap!$A$2:$R$9000,4,FALSE)</f>
        <v>ANGUS NEGRO</v>
      </c>
      <c r="M318" s="15" t="str">
        <f>VLOOKUP(A318,sinap!$A$2:$R$9000,5,FALSE)</f>
        <v>11 años 1 meses</v>
      </c>
      <c r="N318" s="15" t="str">
        <f>VLOOKUP(A318,sinap!$A$2:$R$9000,6,FALSE)</f>
        <v>30-11-2014</v>
      </c>
      <c r="O318" s="15" t="str">
        <f>VLOOKUP(A318,sinap!$A$2:$R$9000,7,FALSE)</f>
        <v>Vivo</v>
      </c>
      <c r="P318" s="15" t="str">
        <f>VLOOKUP(A318,sinap!$A$2:$R$9000,8,FALSE)</f>
        <v>11.1.01.1241</v>
      </c>
      <c r="Q318" s="15" t="str">
        <f>VLOOKUP(A318,sinap!$A$2:$R$9000,12,FALSE)</f>
        <v>11.1.01.1081</v>
      </c>
      <c r="R318" s="15" t="str">
        <f>VLOOKUP(A318,sinap!$A$2:$R$9000,16,FALSE)</f>
        <v>11.1.01.1081</v>
      </c>
      <c r="S318" s="15" t="str">
        <f>VLOOKUP(A318,sinap!$A$2:$Y$9000,20,FALSE)</f>
        <v>SI</v>
      </c>
    </row>
    <row r="319" spans="1:20" hidden="1" x14ac:dyDescent="0.25">
      <c r="A319" s="15">
        <v>8933522</v>
      </c>
      <c r="G319" s="16">
        <v>45253</v>
      </c>
      <c r="J319" s="15" t="str">
        <f>VLOOKUP(A319,sinap!$A$2:$R$9000,2,FALSE)</f>
        <v>M</v>
      </c>
      <c r="K319" s="15" t="str">
        <f>VLOOKUP(A319,sinap!$A$2:$R$9000,3,FALSE)</f>
        <v>TORO</v>
      </c>
      <c r="L319" s="15" t="str">
        <f>VLOOKUP(A319,sinap!$A$2:$R$9000,4,FALSE)</f>
        <v>ANGUS NEGRO</v>
      </c>
      <c r="M319" s="15" t="str">
        <f>VLOOKUP(A319,sinap!$A$2:$R$9000,5,FALSE)</f>
        <v>11 años 1 meses</v>
      </c>
      <c r="N319" s="15" t="str">
        <f>VLOOKUP(A319,sinap!$A$2:$R$9000,6,FALSE)</f>
        <v>30-11-2014</v>
      </c>
      <c r="O319" s="15" t="str">
        <f>VLOOKUP(A319,sinap!$A$2:$R$9000,7,FALSE)</f>
        <v>Vivo</v>
      </c>
      <c r="P319" s="15" t="str">
        <f>VLOOKUP(A319,sinap!$A$2:$R$9000,8,FALSE)</f>
        <v>11.1.01.1241</v>
      </c>
      <c r="Q319" s="15" t="str">
        <f>VLOOKUP(A319,sinap!$A$2:$R$9000,12,FALSE)</f>
        <v>11.1.01.1081</v>
      </c>
      <c r="R319" s="15" t="str">
        <f>VLOOKUP(A319,sinap!$A$2:$R$9000,16,FALSE)</f>
        <v>11.1.01.1081</v>
      </c>
      <c r="S319" s="15" t="str">
        <f>VLOOKUP(A319,sinap!$A$2:$Y$9000,20,FALSE)</f>
        <v>SI</v>
      </c>
    </row>
    <row r="320" spans="1:20" hidden="1" x14ac:dyDescent="0.25">
      <c r="A320" s="15">
        <v>8933525</v>
      </c>
      <c r="G320" s="16">
        <v>45215</v>
      </c>
      <c r="J320" s="15" t="str">
        <f>VLOOKUP(A320,sinap!$A$2:$R$9000,2,FALSE)</f>
        <v>M</v>
      </c>
      <c r="K320" s="15" t="str">
        <f>VLOOKUP(A320,sinap!$A$2:$R$9000,3,FALSE)</f>
        <v>TORO</v>
      </c>
      <c r="L320" s="15" t="str">
        <f>VLOOKUP(A320,sinap!$A$2:$R$9000,4,FALSE)</f>
        <v>OVERO COLORADO (CLAVEL ALEMAN)</v>
      </c>
      <c r="M320" s="15" t="str">
        <f>VLOOKUP(A320,sinap!$A$2:$R$9000,5,FALSE)</f>
        <v>10 años 9 meses</v>
      </c>
      <c r="N320" s="15" t="str">
        <f>VLOOKUP(A320,sinap!$A$2:$R$9000,6,FALSE)</f>
        <v>30-03-2015</v>
      </c>
      <c r="O320" s="15" t="str">
        <f>VLOOKUP(A320,sinap!$A$2:$R$9000,7,FALSE)</f>
        <v>Vivo</v>
      </c>
      <c r="P320" s="15" t="str">
        <f>VLOOKUP(A320,sinap!$A$2:$R$9000,8,FALSE)</f>
        <v>11.1.01.1241</v>
      </c>
      <c r="Q320" s="15" t="str">
        <f>VLOOKUP(A320,sinap!$A$2:$R$9000,12,FALSE)</f>
        <v>11.1.01.1081</v>
      </c>
      <c r="R320" s="15" t="str">
        <f>VLOOKUP(A320,sinap!$A$2:$R$9000,16,FALSE)</f>
        <v>11.1.01.1081</v>
      </c>
      <c r="S320" s="15" t="str">
        <f>VLOOKUP(A320,sinap!$A$2:$Y$9000,20,FALSE)</f>
        <v>SI</v>
      </c>
    </row>
    <row r="321" spans="1:19" hidden="1" x14ac:dyDescent="0.25">
      <c r="A321" s="15">
        <v>8933527</v>
      </c>
      <c r="G321" s="16">
        <v>45215</v>
      </c>
      <c r="J321" s="15" t="str">
        <f>VLOOKUP(A321,sinap!$A$2:$R$9000,2,FALSE)</f>
        <v>M</v>
      </c>
      <c r="K321" s="15" t="str">
        <f>VLOOKUP(A321,sinap!$A$2:$R$9000,3,FALSE)</f>
        <v>TORO</v>
      </c>
      <c r="L321" s="15" t="str">
        <f>VLOOKUP(A321,sinap!$A$2:$R$9000,4,FALSE)</f>
        <v>ANGUS NEGRO</v>
      </c>
      <c r="M321" s="15" t="str">
        <f>VLOOKUP(A321,sinap!$A$2:$R$9000,5,FALSE)</f>
        <v>10 años 9 meses</v>
      </c>
      <c r="N321" s="15" t="str">
        <f>VLOOKUP(A321,sinap!$A$2:$R$9000,6,FALSE)</f>
        <v>30-03-2015</v>
      </c>
      <c r="O321" s="15" t="str">
        <f>VLOOKUP(A321,sinap!$A$2:$R$9000,7,FALSE)</f>
        <v>Vivo</v>
      </c>
      <c r="P321" s="15" t="str">
        <f>VLOOKUP(A321,sinap!$A$2:$R$9000,8,FALSE)</f>
        <v>11.1.01.1241</v>
      </c>
      <c r="Q321" s="15" t="str">
        <f>VLOOKUP(A321,sinap!$A$2:$R$9000,12,FALSE)</f>
        <v>11.1.01.1081</v>
      </c>
      <c r="R321" s="15" t="str">
        <f>VLOOKUP(A321,sinap!$A$2:$R$9000,16,FALSE)</f>
        <v>11.1.01.1081</v>
      </c>
      <c r="S321" s="15" t="str">
        <f>VLOOKUP(A321,sinap!$A$2:$Y$9000,20,FALSE)</f>
        <v>SI</v>
      </c>
    </row>
    <row r="322" spans="1:19" hidden="1" x14ac:dyDescent="0.25">
      <c r="A322" s="15">
        <v>8933533</v>
      </c>
      <c r="G322" s="16">
        <v>45090</v>
      </c>
      <c r="J322" s="15" t="str">
        <f>VLOOKUP(A322,sinap!$A$2:$R$9000,2,FALSE)</f>
        <v>H</v>
      </c>
      <c r="K322" s="15" t="str">
        <f>VLOOKUP(A322,sinap!$A$2:$R$9000,3,FALSE)</f>
        <v>VACA</v>
      </c>
      <c r="L322" s="15" t="str">
        <f>VLOOKUP(A322,sinap!$A$2:$R$9000,4,FALSE)</f>
        <v>ANGUS ROJO</v>
      </c>
      <c r="M322" s="15" t="str">
        <f>VLOOKUP(A322,sinap!$A$2:$R$9000,5,FALSE)</f>
        <v>10 años 3 meses</v>
      </c>
      <c r="N322" s="15" t="str">
        <f>VLOOKUP(A322,sinap!$A$2:$R$9000,6,FALSE)</f>
        <v>30-09-2015</v>
      </c>
      <c r="O322" s="15" t="str">
        <f>VLOOKUP(A322,sinap!$A$2:$R$9000,7,FALSE)</f>
        <v>Vivo</v>
      </c>
      <c r="P322" s="15" t="str">
        <f>VLOOKUP(A322,sinap!$A$2:$R$9000,8,FALSE)</f>
        <v>11.1.01.0893</v>
      </c>
      <c r="Q322" s="15" t="str">
        <f>VLOOKUP(A322,sinap!$A$2:$R$9000,12,FALSE)</f>
        <v>11.1.01.0791</v>
      </c>
      <c r="R322" s="15" t="str">
        <f>VLOOKUP(A322,sinap!$A$2:$R$9000,16,FALSE)</f>
        <v>11.1.01.1081</v>
      </c>
      <c r="S322" s="15" t="str">
        <f>VLOOKUP(A322,sinap!$A$2:$Y$9000,20,FALSE)</f>
        <v>SI</v>
      </c>
    </row>
    <row r="323" spans="1:19" hidden="1" x14ac:dyDescent="0.25">
      <c r="A323" s="15">
        <v>8933563</v>
      </c>
      <c r="G323" s="16">
        <v>45090</v>
      </c>
      <c r="J323" s="15" t="str">
        <f>VLOOKUP(A323,sinap!$A$2:$R$9000,2,FALSE)</f>
        <v>M</v>
      </c>
      <c r="K323" s="15" t="str">
        <f>VLOOKUP(A323,sinap!$A$2:$R$9000,3,FALSE)</f>
        <v>TORO</v>
      </c>
      <c r="L323" s="15" t="str">
        <f>VLOOKUP(A323,sinap!$A$2:$R$9000,4,FALSE)</f>
        <v>ANGUS NEGRO</v>
      </c>
      <c r="M323" s="15" t="str">
        <f>VLOOKUP(A323,sinap!$A$2:$R$9000,5,FALSE)</f>
        <v>12 años 1 meses</v>
      </c>
      <c r="N323" s="15" t="str">
        <f>VLOOKUP(A323,sinap!$A$2:$R$9000,6,FALSE)</f>
        <v>30-11-2013</v>
      </c>
      <c r="O323" s="15" t="str">
        <f>VLOOKUP(A323,sinap!$A$2:$R$9000,7,FALSE)</f>
        <v>Vivo</v>
      </c>
      <c r="P323" s="15" t="str">
        <f>VLOOKUP(A323,sinap!$A$2:$R$9000,8,FALSE)</f>
        <v>11.1.01.1241</v>
      </c>
      <c r="Q323" s="15" t="str">
        <f>VLOOKUP(A323,sinap!$A$2:$R$9000,12,FALSE)</f>
        <v>11.2.01.0038</v>
      </c>
      <c r="R323" s="15" t="str">
        <f>VLOOKUP(A323,sinap!$A$2:$R$9000,16,FALSE)</f>
        <v>11.2.01.0038</v>
      </c>
      <c r="S323" s="15" t="str">
        <f>VLOOKUP(A323,sinap!$A$2:$Y$9000,20,FALSE)</f>
        <v>SI</v>
      </c>
    </row>
    <row r="324" spans="1:19" hidden="1" x14ac:dyDescent="0.25">
      <c r="A324" s="15">
        <v>8933566</v>
      </c>
      <c r="J324" s="15" t="str">
        <f>VLOOKUP(A324,sinap!$A$2:$R$9000,2,FALSE)</f>
        <v>H</v>
      </c>
      <c r="K324" s="15" t="str">
        <f>VLOOKUP(A324,sinap!$A$2:$R$9000,3,FALSE)</f>
        <v>VACA</v>
      </c>
      <c r="L324" s="15" t="str">
        <f>VLOOKUP(A324,sinap!$A$2:$R$9000,4,FALSE)</f>
        <v>ANGUS NEGRO</v>
      </c>
      <c r="M324" s="15" t="str">
        <f>VLOOKUP(A324,sinap!$A$2:$R$9000,5,FALSE)</f>
        <v>12 años 1 meses</v>
      </c>
      <c r="N324" s="15" t="str">
        <f>VLOOKUP(A324,sinap!$A$2:$R$9000,6,FALSE)</f>
        <v>30-11-2013</v>
      </c>
      <c r="O324" s="15" t="str">
        <f>VLOOKUP(A324,sinap!$A$2:$R$9000,7,FALSE)</f>
        <v>Vivo</v>
      </c>
      <c r="P324" s="15" t="str">
        <f>VLOOKUP(A324,sinap!$A$2:$R$9000,8,FALSE)</f>
        <v>11.2.01.0038</v>
      </c>
      <c r="Q324" s="15" t="str">
        <f>VLOOKUP(A324,sinap!$A$2:$R$9000,12,FALSE)</f>
        <v>11.1.01.1241</v>
      </c>
      <c r="R324" s="15" t="str">
        <f>VLOOKUP(A324,sinap!$A$2:$R$9000,16,FALSE)</f>
        <v>11.2.01.0038</v>
      </c>
      <c r="S324" s="15" t="str">
        <f>VLOOKUP(A324,sinap!$A$2:$Y$9000,20,FALSE)</f>
        <v>SI</v>
      </c>
    </row>
    <row r="325" spans="1:19" hidden="1" x14ac:dyDescent="0.25">
      <c r="A325" s="15">
        <v>8933588</v>
      </c>
      <c r="G325" s="16">
        <v>45215</v>
      </c>
      <c r="J325" s="15" t="str">
        <f>VLOOKUP(A325,sinap!$A$2:$R$9000,2,FALSE)</f>
        <v>H</v>
      </c>
      <c r="K325" s="15" t="str">
        <f>VLOOKUP(A325,sinap!$A$2:$R$9000,3,FALSE)</f>
        <v>VACA</v>
      </c>
      <c r="L325" s="15" t="str">
        <f>VLOOKUP(A325,sinap!$A$2:$R$9000,4,FALSE)</f>
        <v>LIMOUSIN</v>
      </c>
      <c r="M325" s="15" t="str">
        <f>VLOOKUP(A325,sinap!$A$2:$R$9000,5,FALSE)</f>
        <v>10 años 2 meses</v>
      </c>
      <c r="N325" s="15" t="str">
        <f>VLOOKUP(A325,sinap!$A$2:$R$9000,6,FALSE)</f>
        <v>30-10-2015</v>
      </c>
      <c r="O325" s="15" t="str">
        <f>VLOOKUP(A325,sinap!$A$2:$R$9000,7,FALSE)</f>
        <v>Vivo</v>
      </c>
      <c r="P325" s="15" t="str">
        <f>VLOOKUP(A325,sinap!$A$2:$R$9000,8,FALSE)</f>
        <v>11.2.01.0038</v>
      </c>
      <c r="Q325" s="15" t="str">
        <f>VLOOKUP(A325,sinap!$A$2:$R$9000,12,FALSE)</f>
        <v>11.1.01.1241</v>
      </c>
      <c r="R325" s="15" t="str">
        <f>VLOOKUP(A325,sinap!$A$2:$R$9000,16,FALSE)</f>
        <v>11.1.01.1241</v>
      </c>
      <c r="S325" s="15" t="str">
        <f>VLOOKUP(A325,sinap!$A$2:$Y$9000,20,FALSE)</f>
        <v>SI</v>
      </c>
    </row>
    <row r="326" spans="1:19" hidden="1" x14ac:dyDescent="0.25">
      <c r="A326" s="15">
        <v>8933589</v>
      </c>
      <c r="E326" s="16">
        <v>44499</v>
      </c>
      <c r="G326" s="16">
        <v>45253</v>
      </c>
      <c r="J326" s="15" t="str">
        <f>VLOOKUP(A326,sinap!$A$2:$R$9000,2,FALSE)</f>
        <v>H</v>
      </c>
      <c r="K326" s="15" t="str">
        <f>VLOOKUP(A326,sinap!$A$2:$R$9000,3,FALSE)</f>
        <v>VACA</v>
      </c>
      <c r="L326" s="15" t="str">
        <f>VLOOKUP(A326,sinap!$A$2:$R$9000,4,FALSE)</f>
        <v>ANGUS NEGRO</v>
      </c>
      <c r="M326" s="15" t="str">
        <f>VLOOKUP(A326,sinap!$A$2:$R$9000,5,FALSE)</f>
        <v>10 años 2 meses</v>
      </c>
      <c r="N326" s="15" t="str">
        <f>VLOOKUP(A326,sinap!$A$2:$R$9000,6,FALSE)</f>
        <v>30-10-2015</v>
      </c>
      <c r="O326" s="15" t="str">
        <f>VLOOKUP(A326,sinap!$A$2:$R$9000,7,FALSE)</f>
        <v>Vivo</v>
      </c>
      <c r="P326" s="15" t="str">
        <f>VLOOKUP(A326,sinap!$A$2:$R$9000,8,FALSE)</f>
        <v>11.2.01.0038</v>
      </c>
      <c r="Q326" s="15" t="str">
        <f>VLOOKUP(A326,sinap!$A$2:$R$9000,12,FALSE)</f>
        <v>11.1.01.1241</v>
      </c>
      <c r="R326" s="15" t="str">
        <f>VLOOKUP(A326,sinap!$A$2:$R$9000,16,FALSE)</f>
        <v>11.1.01.1241</v>
      </c>
      <c r="S326" s="15" t="str">
        <f>VLOOKUP(A326,sinap!$A$2:$Y$9000,20,FALSE)</f>
        <v>SI</v>
      </c>
    </row>
    <row r="327" spans="1:19" hidden="1" x14ac:dyDescent="0.25">
      <c r="A327" s="15">
        <v>8933596</v>
      </c>
      <c r="G327" s="16">
        <v>45090</v>
      </c>
      <c r="J327" s="15" t="str">
        <f>VLOOKUP(A327,sinap!$A$2:$R$9000,2,FALSE)</f>
        <v>H</v>
      </c>
      <c r="K327" s="15" t="str">
        <f>VLOOKUP(A327,sinap!$A$2:$R$9000,3,FALSE)</f>
        <v>VACA</v>
      </c>
      <c r="L327" s="15" t="str">
        <f>VLOOKUP(A327,sinap!$A$2:$R$9000,4,FALSE)</f>
        <v>ANGUS NEGRO</v>
      </c>
      <c r="M327" s="15" t="str">
        <f>VLOOKUP(A327,sinap!$A$2:$R$9000,5,FALSE)</f>
        <v>10 años 2 meses</v>
      </c>
      <c r="N327" s="15" t="str">
        <f>VLOOKUP(A327,sinap!$A$2:$R$9000,6,FALSE)</f>
        <v>30-10-2015</v>
      </c>
      <c r="O327" s="15" t="str">
        <f>VLOOKUP(A327,sinap!$A$2:$R$9000,7,FALSE)</f>
        <v>Vivo</v>
      </c>
      <c r="P327" s="15" t="str">
        <f>VLOOKUP(A327,sinap!$A$2:$R$9000,8,FALSE)</f>
        <v>11.1.01.1241</v>
      </c>
      <c r="Q327" s="15" t="str">
        <f>VLOOKUP(A327,sinap!$A$2:$R$9000,12,FALSE)</f>
        <v>11.2.01.0038</v>
      </c>
      <c r="R327" s="15" t="str">
        <f>VLOOKUP(A327,sinap!$A$2:$R$9000,16,FALSE)</f>
        <v>11.1.01.1241</v>
      </c>
      <c r="S327" s="15" t="str">
        <f>VLOOKUP(A327,sinap!$A$2:$Y$9000,20,FALSE)</f>
        <v>SI</v>
      </c>
    </row>
    <row r="328" spans="1:19" hidden="1" x14ac:dyDescent="0.25">
      <c r="A328" s="15">
        <v>8933599</v>
      </c>
      <c r="G328" s="16">
        <v>45090</v>
      </c>
      <c r="J328" s="15" t="str">
        <f>VLOOKUP(A328,sinap!$A$2:$R$9000,2,FALSE)</f>
        <v>H</v>
      </c>
      <c r="K328" s="15" t="str">
        <f>VLOOKUP(A328,sinap!$A$2:$R$9000,3,FALSE)</f>
        <v>VACA</v>
      </c>
      <c r="L328" s="15" t="str">
        <f>VLOOKUP(A328,sinap!$A$2:$R$9000,4,FALSE)</f>
        <v>ANGUS NEGRO</v>
      </c>
      <c r="M328" s="15" t="str">
        <f>VLOOKUP(A328,sinap!$A$2:$R$9000,5,FALSE)</f>
        <v>10 años 2 meses</v>
      </c>
      <c r="N328" s="15" t="str">
        <f>VLOOKUP(A328,sinap!$A$2:$R$9000,6,FALSE)</f>
        <v>30-10-2015</v>
      </c>
      <c r="O328" s="15" t="str">
        <f>VLOOKUP(A328,sinap!$A$2:$R$9000,7,FALSE)</f>
        <v>Vivo</v>
      </c>
      <c r="P328" s="15" t="str">
        <f>VLOOKUP(A328,sinap!$A$2:$R$9000,8,FALSE)</f>
        <v>11.1.01.1241</v>
      </c>
      <c r="Q328" s="15" t="str">
        <f>VLOOKUP(A328,sinap!$A$2:$R$9000,12,FALSE)</f>
        <v>11.1.01.0791</v>
      </c>
      <c r="R328" s="15" t="str">
        <f>VLOOKUP(A328,sinap!$A$2:$R$9000,16,FALSE)</f>
        <v>11.1.01.1241</v>
      </c>
      <c r="S328" s="15" t="str">
        <f>VLOOKUP(A328,sinap!$A$2:$Y$9000,20,FALSE)</f>
        <v>SI</v>
      </c>
    </row>
    <row r="329" spans="1:19" hidden="1" x14ac:dyDescent="0.25">
      <c r="A329" s="15">
        <v>8935707</v>
      </c>
      <c r="G329" s="16">
        <v>45240</v>
      </c>
      <c r="J329" s="15" t="str">
        <f>VLOOKUP(A329,sinap!$A$2:$R$9000,2,FALSE)</f>
        <v>H</v>
      </c>
      <c r="K329" s="15" t="str">
        <f>VLOOKUP(A329,sinap!$A$2:$R$9000,3,FALSE)</f>
        <v>VACA</v>
      </c>
      <c r="L329" s="15" t="str">
        <f>VLOOKUP(A329,sinap!$A$2:$R$9000,4,FALSE)</f>
        <v>ANGUS NEGRO</v>
      </c>
      <c r="M329" s="15" t="str">
        <f>VLOOKUP(A329,sinap!$A$2:$R$9000,5,FALSE)</f>
        <v>12 años 3 meses</v>
      </c>
      <c r="N329" s="15" t="str">
        <f>VLOOKUP(A329,sinap!$A$2:$R$9000,6,FALSE)</f>
        <v>15-10-2013</v>
      </c>
      <c r="O329" s="15" t="str">
        <f>VLOOKUP(A329,sinap!$A$2:$R$9000,7,FALSE)</f>
        <v>Vivo</v>
      </c>
      <c r="P329" s="15" t="str">
        <f>VLOOKUP(A329,sinap!$A$2:$R$9000,8,FALSE)</f>
        <v>11.1.01.0870</v>
      </c>
      <c r="Q329" s="15" t="str">
        <f>VLOOKUP(A329,sinap!$A$2:$R$9000,12,FALSE)</f>
        <v>11.1.01.1241</v>
      </c>
      <c r="R329" s="15" t="str">
        <f>VLOOKUP(A329,sinap!$A$2:$R$9000,16,FALSE)</f>
        <v>11.1.01.0790</v>
      </c>
      <c r="S329" s="15" t="str">
        <f>VLOOKUP(A329,sinap!$A$2:$Y$9000,20,FALSE)</f>
        <v>SI</v>
      </c>
    </row>
    <row r="330" spans="1:19" hidden="1" x14ac:dyDescent="0.25">
      <c r="A330" s="15">
        <v>8935710</v>
      </c>
      <c r="G330" s="16">
        <v>45215</v>
      </c>
      <c r="J330" s="15" t="str">
        <f>VLOOKUP(A330,sinap!$A$2:$R$9000,2,FALSE)</f>
        <v>H</v>
      </c>
      <c r="K330" s="15" t="str">
        <f>VLOOKUP(A330,sinap!$A$2:$R$9000,3,FALSE)</f>
        <v>VACA</v>
      </c>
      <c r="L330" s="15" t="str">
        <f>VLOOKUP(A330,sinap!$A$2:$R$9000,4,FALSE)</f>
        <v>ANGUS ROJO</v>
      </c>
      <c r="M330" s="15" t="str">
        <f>VLOOKUP(A330,sinap!$A$2:$R$9000,5,FALSE)</f>
        <v>12 años 2 meses</v>
      </c>
      <c r="N330" s="15" t="str">
        <f>VLOOKUP(A330,sinap!$A$2:$R$9000,6,FALSE)</f>
        <v>30-10-2013</v>
      </c>
      <c r="O330" s="15" t="str">
        <f>VLOOKUP(A330,sinap!$A$2:$R$9000,7,FALSE)</f>
        <v>Vivo</v>
      </c>
      <c r="P330" s="15" t="str">
        <f>VLOOKUP(A330,sinap!$A$2:$R$9000,8,FALSE)</f>
        <v>11.1.01.1241</v>
      </c>
      <c r="Q330" s="15" t="str">
        <f>VLOOKUP(A330,sinap!$A$2:$R$9000,12,FALSE)</f>
        <v>11.1.01.1022</v>
      </c>
      <c r="R330" s="15" t="str">
        <f>VLOOKUP(A330,sinap!$A$2:$R$9000,16,FALSE)</f>
        <v>11.1.01.0790</v>
      </c>
      <c r="S330" s="15" t="str">
        <f>VLOOKUP(A330,sinap!$A$2:$Y$9000,20,FALSE)</f>
        <v>SI</v>
      </c>
    </row>
    <row r="331" spans="1:19" hidden="1" x14ac:dyDescent="0.25">
      <c r="A331" s="15">
        <v>8935721</v>
      </c>
      <c r="G331" s="16">
        <v>45265</v>
      </c>
      <c r="J331" s="15" t="str">
        <f>VLOOKUP(A331,sinap!$A$2:$R$9000,2,FALSE)</f>
        <v>H</v>
      </c>
      <c r="K331" s="15" t="str">
        <f>VLOOKUP(A331,sinap!$A$2:$R$9000,3,FALSE)</f>
        <v>VACA</v>
      </c>
      <c r="L331" s="15" t="str">
        <f>VLOOKUP(A331,sinap!$A$2:$R$9000,4,FALSE)</f>
        <v>ANGUS NEGRO</v>
      </c>
      <c r="M331" s="15" t="str">
        <f>VLOOKUP(A331,sinap!$A$2:$R$9000,5,FALSE)</f>
        <v>12 años 1 meses</v>
      </c>
      <c r="N331" s="15" t="str">
        <f>VLOOKUP(A331,sinap!$A$2:$R$9000,6,FALSE)</f>
        <v>30-11-2013</v>
      </c>
      <c r="O331" s="15" t="str">
        <f>VLOOKUP(A331,sinap!$A$2:$R$9000,7,FALSE)</f>
        <v>Vivo</v>
      </c>
      <c r="P331" s="15" t="str">
        <f>VLOOKUP(A331,sinap!$A$2:$R$9000,8,FALSE)</f>
        <v>11.1.01.1241</v>
      </c>
      <c r="Q331" s="15" t="str">
        <f>VLOOKUP(A331,sinap!$A$2:$R$9000,12,FALSE)</f>
        <v>11.2.01.0038</v>
      </c>
      <c r="R331" s="15" t="str">
        <f>VLOOKUP(A331,sinap!$A$2:$R$9000,16,FALSE)</f>
        <v>11.1.01.0790</v>
      </c>
      <c r="S331" s="15" t="str">
        <f>VLOOKUP(A331,sinap!$A$2:$Y$9000,20,FALSE)</f>
        <v>SI</v>
      </c>
    </row>
    <row r="332" spans="1:19" hidden="1" x14ac:dyDescent="0.25">
      <c r="A332" s="15">
        <v>8935725</v>
      </c>
      <c r="G332" s="16">
        <v>45090</v>
      </c>
      <c r="J332" s="15" t="str">
        <f>VLOOKUP(A332,sinap!$A$2:$R$9000,2,FALSE)</f>
        <v>H</v>
      </c>
      <c r="K332" s="15" t="str">
        <f>VLOOKUP(A332,sinap!$A$2:$R$9000,3,FALSE)</f>
        <v>VACA</v>
      </c>
      <c r="L332" s="15" t="str">
        <f>VLOOKUP(A332,sinap!$A$2:$R$9000,4,FALSE)</f>
        <v>ANGUS ROJO</v>
      </c>
      <c r="M332" s="15" t="str">
        <f>VLOOKUP(A332,sinap!$A$2:$R$9000,5,FALSE)</f>
        <v>12 años 1 meses</v>
      </c>
      <c r="N332" s="15" t="str">
        <f>VLOOKUP(A332,sinap!$A$2:$R$9000,6,FALSE)</f>
        <v>30-11-2013</v>
      </c>
      <c r="O332" s="15" t="str">
        <f>VLOOKUP(A332,sinap!$A$2:$R$9000,7,FALSE)</f>
        <v>Vivo</v>
      </c>
      <c r="P332" s="15" t="str">
        <f>VLOOKUP(A332,sinap!$A$2:$R$9000,8,FALSE)</f>
        <v>11.2.01.0038</v>
      </c>
      <c r="Q332" s="15" t="str">
        <f>VLOOKUP(A332,sinap!$A$2:$R$9000,12,FALSE)</f>
        <v>11.1.01.1241</v>
      </c>
      <c r="R332" s="15" t="str">
        <f>VLOOKUP(A332,sinap!$A$2:$R$9000,16,FALSE)</f>
        <v>11.1.01.0790</v>
      </c>
      <c r="S332" s="15" t="str">
        <f>VLOOKUP(A332,sinap!$A$2:$Y$9000,20,FALSE)</f>
        <v>SI</v>
      </c>
    </row>
    <row r="333" spans="1:19" hidden="1" x14ac:dyDescent="0.25">
      <c r="A333" s="15">
        <v>8935725</v>
      </c>
      <c r="J333" s="15" t="str">
        <f>VLOOKUP(A333,sinap!$A$2:$R$9000,2,FALSE)</f>
        <v>H</v>
      </c>
      <c r="K333" s="15" t="str">
        <f>VLOOKUP(A333,sinap!$A$2:$R$9000,3,FALSE)</f>
        <v>VACA</v>
      </c>
      <c r="L333" s="15" t="str">
        <f>VLOOKUP(A333,sinap!$A$2:$R$9000,4,FALSE)</f>
        <v>ANGUS ROJO</v>
      </c>
      <c r="M333" s="15" t="str">
        <f>VLOOKUP(A333,sinap!$A$2:$R$9000,5,FALSE)</f>
        <v>12 años 1 meses</v>
      </c>
      <c r="N333" s="15" t="str">
        <f>VLOOKUP(A333,sinap!$A$2:$R$9000,6,FALSE)</f>
        <v>30-11-2013</v>
      </c>
      <c r="O333" s="15" t="str">
        <f>VLOOKUP(A333,sinap!$A$2:$R$9000,7,FALSE)</f>
        <v>Vivo</v>
      </c>
      <c r="P333" s="15" t="str">
        <f>VLOOKUP(A333,sinap!$A$2:$R$9000,8,FALSE)</f>
        <v>11.2.01.0038</v>
      </c>
      <c r="Q333" s="15" t="str">
        <f>VLOOKUP(A333,sinap!$A$2:$R$9000,12,FALSE)</f>
        <v>11.1.01.1241</v>
      </c>
      <c r="R333" s="15" t="str">
        <f>VLOOKUP(A333,sinap!$A$2:$R$9000,16,FALSE)</f>
        <v>11.1.01.0790</v>
      </c>
      <c r="S333" s="15" t="str">
        <f>VLOOKUP(A333,sinap!$A$2:$Y$9000,20,FALSE)</f>
        <v>SI</v>
      </c>
    </row>
    <row r="334" spans="1:19" hidden="1" x14ac:dyDescent="0.25">
      <c r="A334" s="15">
        <v>8935744</v>
      </c>
      <c r="J334" s="15" t="str">
        <f>VLOOKUP(A334,sinap!$A$2:$R$9000,2,FALSE)</f>
        <v>H</v>
      </c>
      <c r="K334" s="15" t="str">
        <f>VLOOKUP(A334,sinap!$A$2:$R$9000,3,FALSE)</f>
        <v>VACA</v>
      </c>
      <c r="L334" s="15" t="str">
        <f>VLOOKUP(A334,sinap!$A$2:$R$9000,4,FALSE)</f>
        <v>ANGUS ROJO</v>
      </c>
      <c r="M334" s="15" t="str">
        <f>VLOOKUP(A334,sinap!$A$2:$R$9000,5,FALSE)</f>
        <v>12 años 2 meses</v>
      </c>
      <c r="N334" s="15" t="str">
        <f>VLOOKUP(A334,sinap!$A$2:$R$9000,6,FALSE)</f>
        <v>30-10-2013</v>
      </c>
      <c r="O334" s="15" t="str">
        <f>VLOOKUP(A334,sinap!$A$2:$R$9000,7,FALSE)</f>
        <v>Vivo</v>
      </c>
      <c r="P334" s="15" t="str">
        <f>VLOOKUP(A334,sinap!$A$2:$R$9000,8,FALSE)</f>
        <v>11.1.01.1241</v>
      </c>
      <c r="Q334" s="15" t="str">
        <f>VLOOKUP(A334,sinap!$A$2:$R$9000,12,FALSE)</f>
        <v>11.1.01.0893</v>
      </c>
      <c r="R334" s="15" t="str">
        <f>VLOOKUP(A334,sinap!$A$2:$R$9000,16,FALSE)</f>
        <v>11.1.01.0790</v>
      </c>
      <c r="S334" s="15" t="str">
        <f>VLOOKUP(A334,sinap!$A$2:$Y$9000,20,FALSE)</f>
        <v>SI</v>
      </c>
    </row>
    <row r="335" spans="1:19" hidden="1" x14ac:dyDescent="0.25">
      <c r="A335" s="15">
        <v>8935744</v>
      </c>
      <c r="J335" s="15" t="str">
        <f>VLOOKUP(A335,sinap!$A$2:$R$9000,2,FALSE)</f>
        <v>H</v>
      </c>
      <c r="K335" s="15" t="str">
        <f>VLOOKUP(A335,sinap!$A$2:$R$9000,3,FALSE)</f>
        <v>VACA</v>
      </c>
      <c r="L335" s="15" t="str">
        <f>VLOOKUP(A335,sinap!$A$2:$R$9000,4,FALSE)</f>
        <v>ANGUS ROJO</v>
      </c>
      <c r="M335" s="15" t="str">
        <f>VLOOKUP(A335,sinap!$A$2:$R$9000,5,FALSE)</f>
        <v>12 años 2 meses</v>
      </c>
      <c r="N335" s="15" t="str">
        <f>VLOOKUP(A335,sinap!$A$2:$R$9000,6,FALSE)</f>
        <v>30-10-2013</v>
      </c>
      <c r="O335" s="15" t="str">
        <f>VLOOKUP(A335,sinap!$A$2:$R$9000,7,FALSE)</f>
        <v>Vivo</v>
      </c>
      <c r="P335" s="15" t="str">
        <f>VLOOKUP(A335,sinap!$A$2:$R$9000,8,FALSE)</f>
        <v>11.1.01.1241</v>
      </c>
      <c r="Q335" s="15" t="str">
        <f>VLOOKUP(A335,sinap!$A$2:$R$9000,12,FALSE)</f>
        <v>11.1.01.0893</v>
      </c>
      <c r="R335" s="15" t="str">
        <f>VLOOKUP(A335,sinap!$A$2:$R$9000,16,FALSE)</f>
        <v>11.1.01.0790</v>
      </c>
      <c r="S335" s="15" t="str">
        <f>VLOOKUP(A335,sinap!$A$2:$Y$9000,20,FALSE)</f>
        <v>SI</v>
      </c>
    </row>
    <row r="336" spans="1:19" hidden="1" x14ac:dyDescent="0.25">
      <c r="A336" s="15">
        <v>8935754</v>
      </c>
      <c r="G336" s="16">
        <v>45090</v>
      </c>
      <c r="J336" s="15" t="str">
        <f>VLOOKUP(A336,sinap!$A$2:$R$9000,2,FALSE)</f>
        <v>H</v>
      </c>
      <c r="K336" s="15" t="str">
        <f>VLOOKUP(A336,sinap!$A$2:$R$9000,3,FALSE)</f>
        <v>VACA</v>
      </c>
      <c r="L336" s="15" t="str">
        <f>VLOOKUP(A336,sinap!$A$2:$R$9000,4,FALSE)</f>
        <v>HEREFORD</v>
      </c>
      <c r="M336" s="15" t="str">
        <f>VLOOKUP(A336,sinap!$A$2:$R$9000,5,FALSE)</f>
        <v>12 años 2 meses</v>
      </c>
      <c r="N336" s="15" t="str">
        <f>VLOOKUP(A336,sinap!$A$2:$R$9000,6,FALSE)</f>
        <v>30-10-2013</v>
      </c>
      <c r="O336" s="15" t="str">
        <f>VLOOKUP(A336,sinap!$A$2:$R$9000,7,FALSE)</f>
        <v>Vivo</v>
      </c>
      <c r="P336" s="15" t="str">
        <f>VLOOKUP(A336,sinap!$A$2:$R$9000,8,FALSE)</f>
        <v>11.1.01.1241</v>
      </c>
      <c r="Q336" s="15" t="str">
        <f>VLOOKUP(A336,sinap!$A$2:$R$9000,12,FALSE)</f>
        <v>11.1.01.0791</v>
      </c>
      <c r="R336" s="15" t="str">
        <f>VLOOKUP(A336,sinap!$A$2:$R$9000,16,FALSE)</f>
        <v>11.1.01.0790</v>
      </c>
      <c r="S336" s="15" t="str">
        <f>VLOOKUP(A336,sinap!$A$2:$Y$9000,20,FALSE)</f>
        <v>SI</v>
      </c>
    </row>
    <row r="337" spans="1:20" hidden="1" x14ac:dyDescent="0.25">
      <c r="A337" s="15">
        <v>8935754</v>
      </c>
      <c r="J337" s="15" t="str">
        <f>VLOOKUP(A337,sinap!$A$2:$R$9000,2,FALSE)</f>
        <v>H</v>
      </c>
      <c r="K337" s="15" t="str">
        <f>VLOOKUP(A337,sinap!$A$2:$R$9000,3,FALSE)</f>
        <v>VACA</v>
      </c>
      <c r="L337" s="15" t="str">
        <f>VLOOKUP(A337,sinap!$A$2:$R$9000,4,FALSE)</f>
        <v>HEREFORD</v>
      </c>
      <c r="M337" s="15" t="str">
        <f>VLOOKUP(A337,sinap!$A$2:$R$9000,5,FALSE)</f>
        <v>12 años 2 meses</v>
      </c>
      <c r="N337" s="15" t="str">
        <f>VLOOKUP(A337,sinap!$A$2:$R$9000,6,FALSE)</f>
        <v>30-10-2013</v>
      </c>
      <c r="O337" s="15" t="str">
        <f>VLOOKUP(A337,sinap!$A$2:$R$9000,7,FALSE)</f>
        <v>Vivo</v>
      </c>
      <c r="P337" s="15" t="str">
        <f>VLOOKUP(A337,sinap!$A$2:$R$9000,8,FALSE)</f>
        <v>11.1.01.1241</v>
      </c>
      <c r="Q337" s="15" t="str">
        <f>VLOOKUP(A337,sinap!$A$2:$R$9000,12,FALSE)</f>
        <v>11.1.01.0791</v>
      </c>
      <c r="R337" s="15" t="str">
        <f>VLOOKUP(A337,sinap!$A$2:$R$9000,16,FALSE)</f>
        <v>11.1.01.0790</v>
      </c>
      <c r="S337" s="15" t="str">
        <f>VLOOKUP(A337,sinap!$A$2:$Y$9000,20,FALSE)</f>
        <v>SI</v>
      </c>
    </row>
    <row r="338" spans="1:20" hidden="1" x14ac:dyDescent="0.25">
      <c r="A338" s="15">
        <v>8935766</v>
      </c>
      <c r="E338" s="16">
        <v>44350</v>
      </c>
      <c r="G338" s="16">
        <v>45215</v>
      </c>
      <c r="J338" s="15" t="str">
        <f>VLOOKUP(A338,sinap!$A$2:$R$9000,2,FALSE)</f>
        <v>H</v>
      </c>
      <c r="K338" s="15" t="str">
        <f>VLOOKUP(A338,sinap!$A$2:$R$9000,3,FALSE)</f>
        <v>VACA</v>
      </c>
      <c r="L338" s="15" t="str">
        <f>VLOOKUP(A338,sinap!$A$2:$R$9000,4,FALSE)</f>
        <v>HEREFORD</v>
      </c>
      <c r="M338" s="15" t="str">
        <f>VLOOKUP(A338,sinap!$A$2:$R$9000,5,FALSE)</f>
        <v>12 años 3 meses</v>
      </c>
      <c r="N338" s="15" t="str">
        <f>VLOOKUP(A338,sinap!$A$2:$R$9000,6,FALSE)</f>
        <v>15-10-2013</v>
      </c>
      <c r="O338" s="15" t="str">
        <f>VLOOKUP(A338,sinap!$A$2:$R$9000,7,FALSE)</f>
        <v>Vivo</v>
      </c>
      <c r="P338" s="15" t="str">
        <f>VLOOKUP(A338,sinap!$A$2:$R$9000,8,FALSE)</f>
        <v>11.1.01.0893</v>
      </c>
      <c r="Q338" s="15" t="str">
        <f>VLOOKUP(A338,sinap!$A$2:$R$9000,12,FALSE)</f>
        <v>11.1.01.0791</v>
      </c>
      <c r="R338" s="15" t="str">
        <f>VLOOKUP(A338,sinap!$A$2:$R$9000,16,FALSE)</f>
        <v>11.1.01.0790</v>
      </c>
      <c r="S338" s="15" t="str">
        <f>VLOOKUP(A338,sinap!$A$2:$Y$9000,20,FALSE)</f>
        <v>SI</v>
      </c>
    </row>
    <row r="339" spans="1:20" hidden="1" x14ac:dyDescent="0.25">
      <c r="A339" s="15">
        <v>8935766</v>
      </c>
      <c r="J339" s="15" t="str">
        <f>VLOOKUP(A339,sinap!$A$2:$R$9000,2,FALSE)</f>
        <v>H</v>
      </c>
      <c r="K339" s="15" t="str">
        <f>VLOOKUP(A339,sinap!$A$2:$R$9000,3,FALSE)</f>
        <v>VACA</v>
      </c>
      <c r="L339" s="15" t="str">
        <f>VLOOKUP(A339,sinap!$A$2:$R$9000,4,FALSE)</f>
        <v>HEREFORD</v>
      </c>
      <c r="M339" s="15" t="str">
        <f>VLOOKUP(A339,sinap!$A$2:$R$9000,5,FALSE)</f>
        <v>12 años 3 meses</v>
      </c>
      <c r="N339" s="15" t="str">
        <f>VLOOKUP(A339,sinap!$A$2:$R$9000,6,FALSE)</f>
        <v>15-10-2013</v>
      </c>
      <c r="O339" s="15" t="str">
        <f>VLOOKUP(A339,sinap!$A$2:$R$9000,7,FALSE)</f>
        <v>Vivo</v>
      </c>
      <c r="P339" s="15" t="str">
        <f>VLOOKUP(A339,sinap!$A$2:$R$9000,8,FALSE)</f>
        <v>11.1.01.0893</v>
      </c>
      <c r="Q339" s="15" t="str">
        <f>VLOOKUP(A339,sinap!$A$2:$R$9000,12,FALSE)</f>
        <v>11.1.01.0791</v>
      </c>
      <c r="R339" s="15" t="str">
        <f>VLOOKUP(A339,sinap!$A$2:$R$9000,16,FALSE)</f>
        <v>11.1.01.0790</v>
      </c>
      <c r="S339" s="15" t="str">
        <f>VLOOKUP(A339,sinap!$A$2:$Y$9000,20,FALSE)</f>
        <v>SI</v>
      </c>
    </row>
    <row r="340" spans="1:20" hidden="1" x14ac:dyDescent="0.25">
      <c r="A340" s="15">
        <v>8935771</v>
      </c>
      <c r="E340" s="16">
        <v>44350</v>
      </c>
      <c r="H340" s="16">
        <v>45648</v>
      </c>
      <c r="I340" s="16">
        <v>45671</v>
      </c>
      <c r="J340" s="15" t="str">
        <f>VLOOKUP(A340,sinap!$A$2:$R$9000,2,FALSE)</f>
        <v>H</v>
      </c>
      <c r="K340" s="15" t="str">
        <f>VLOOKUP(A340,sinap!$A$2:$R$9000,3,FALSE)</f>
        <v>VACA</v>
      </c>
      <c r="L340" s="15" t="str">
        <f>VLOOKUP(A340,sinap!$A$2:$R$9000,4,FALSE)</f>
        <v>ANGUS NEGRO</v>
      </c>
      <c r="M340" s="15" t="str">
        <f>VLOOKUP(A340,sinap!$A$2:$R$9000,5,FALSE)</f>
        <v>12 años 1 meses</v>
      </c>
      <c r="N340" s="15" t="str">
        <f>VLOOKUP(A340,sinap!$A$2:$R$9000,6,FALSE)</f>
        <v>30-11-2013</v>
      </c>
      <c r="O340" s="15" t="str">
        <f>VLOOKUP(A340,sinap!$A$2:$R$9000,7,FALSE)</f>
        <v>Vivo</v>
      </c>
      <c r="P340" s="15" t="str">
        <f>VLOOKUP(A340,sinap!$A$2:$R$9000,8,FALSE)</f>
        <v>11.1.01.2442</v>
      </c>
      <c r="Q340" s="15" t="str">
        <f>VLOOKUP(A340,sinap!$A$2:$R$9000,12,FALSE)</f>
        <v>11.1.01.0190</v>
      </c>
      <c r="R340" s="15" t="str">
        <f>VLOOKUP(A340,sinap!$A$2:$R$9000,16,FALSE)</f>
        <v>11.1.01.0790</v>
      </c>
      <c r="S340" s="15" t="str">
        <f>VLOOKUP(A340,sinap!$A$2:$Y$9000,20,FALSE)</f>
        <v>SI</v>
      </c>
    </row>
    <row r="341" spans="1:20" hidden="1" x14ac:dyDescent="0.25">
      <c r="A341" s="15">
        <v>8935776</v>
      </c>
      <c r="E341" s="16">
        <v>44350</v>
      </c>
      <c r="G341" s="16">
        <v>45215</v>
      </c>
      <c r="J341" s="15" t="str">
        <f>VLOOKUP(A341,sinap!$A$2:$R$9000,2,FALSE)</f>
        <v>H</v>
      </c>
      <c r="K341" s="15" t="str">
        <f>VLOOKUP(A341,sinap!$A$2:$R$9000,3,FALSE)</f>
        <v>VACA</v>
      </c>
      <c r="L341" s="15" t="str">
        <f>VLOOKUP(A341,sinap!$A$2:$R$9000,4,FALSE)</f>
        <v>HEREFORD</v>
      </c>
      <c r="M341" s="15" t="str">
        <f>VLOOKUP(A341,sinap!$A$2:$R$9000,5,FALSE)</f>
        <v>11 años 11 meses</v>
      </c>
      <c r="N341" s="15" t="str">
        <f>VLOOKUP(A341,sinap!$A$2:$R$9000,6,FALSE)</f>
        <v>30-01-2014</v>
      </c>
      <c r="O341" s="15" t="str">
        <f>VLOOKUP(A341,sinap!$A$2:$R$9000,7,FALSE)</f>
        <v>Vivo</v>
      </c>
      <c r="P341" s="15" t="str">
        <f>VLOOKUP(A341,sinap!$A$2:$R$9000,8,FALSE)</f>
        <v>11.1.01.0893</v>
      </c>
      <c r="Q341" s="15" t="str">
        <f>VLOOKUP(A341,sinap!$A$2:$R$9000,12,FALSE)</f>
        <v>11.1.01.0790</v>
      </c>
      <c r="R341" s="15" t="str">
        <f>VLOOKUP(A341,sinap!$A$2:$R$9000,16,FALSE)</f>
        <v>11.1.01.0790</v>
      </c>
      <c r="S341" s="15" t="str">
        <f>VLOOKUP(A341,sinap!$A$2:$Y$9000,20,FALSE)</f>
        <v>SI</v>
      </c>
    </row>
    <row r="342" spans="1:20" hidden="1" x14ac:dyDescent="0.25">
      <c r="A342" s="15">
        <v>8935783</v>
      </c>
      <c r="E342" s="16">
        <v>44350</v>
      </c>
      <c r="G342" s="16">
        <v>45215</v>
      </c>
      <c r="J342" s="15" t="str">
        <f>VLOOKUP(A342,sinap!$A$2:$R$9000,2,FALSE)</f>
        <v>H</v>
      </c>
      <c r="K342" s="15" t="str">
        <f>VLOOKUP(A342,sinap!$A$2:$R$9000,3,FALSE)</f>
        <v>VACA</v>
      </c>
      <c r="L342" s="15" t="str">
        <f>VLOOKUP(A342,sinap!$A$2:$R$9000,4,FALSE)</f>
        <v>HEREFORD</v>
      </c>
      <c r="M342" s="15" t="str">
        <f>VLOOKUP(A342,sinap!$A$2:$R$9000,5,FALSE)</f>
        <v>12 años 1 meses</v>
      </c>
      <c r="N342" s="15" t="str">
        <f>VLOOKUP(A342,sinap!$A$2:$R$9000,6,FALSE)</f>
        <v>30-11-2013</v>
      </c>
      <c r="O342" s="15" t="str">
        <f>VLOOKUP(A342,sinap!$A$2:$R$9000,7,FALSE)</f>
        <v>Vivo</v>
      </c>
      <c r="P342" s="15" t="str">
        <f>VLOOKUP(A342,sinap!$A$2:$R$9000,8,FALSE)</f>
        <v>11.1.01.1241</v>
      </c>
      <c r="Q342" s="15" t="str">
        <f>VLOOKUP(A342,sinap!$A$2:$R$9000,12,FALSE)</f>
        <v>11.1.01.0791</v>
      </c>
      <c r="R342" s="15" t="str">
        <f>VLOOKUP(A342,sinap!$A$2:$R$9000,16,FALSE)</f>
        <v>11.2.01.2071</v>
      </c>
      <c r="S342" s="15" t="str">
        <f>VLOOKUP(A342,sinap!$A$2:$Y$9000,20,FALSE)</f>
        <v>SI</v>
      </c>
    </row>
    <row r="343" spans="1:20" hidden="1" x14ac:dyDescent="0.25">
      <c r="A343" s="15">
        <v>8935787</v>
      </c>
      <c r="J343" s="15" t="str">
        <f>VLOOKUP(A343,sinap!$A$2:$R$9000,2,FALSE)</f>
        <v>H</v>
      </c>
      <c r="K343" s="15" t="str">
        <f>VLOOKUP(A343,sinap!$A$2:$R$9000,3,FALSE)</f>
        <v>VACA</v>
      </c>
      <c r="L343" s="15" t="str">
        <f>VLOOKUP(A343,sinap!$A$2:$R$9000,4,FALSE)</f>
        <v>HEREFORD</v>
      </c>
      <c r="M343" s="15" t="str">
        <f>VLOOKUP(A343,sinap!$A$2:$R$9000,5,FALSE)</f>
        <v>12 años 2 meses</v>
      </c>
      <c r="N343" s="15" t="str">
        <f>VLOOKUP(A343,sinap!$A$2:$R$9000,6,FALSE)</f>
        <v>30-10-2013</v>
      </c>
      <c r="O343" s="15" t="str">
        <f>VLOOKUP(A343,sinap!$A$2:$R$9000,7,FALSE)</f>
        <v>Vivo</v>
      </c>
      <c r="P343" s="15" t="str">
        <f>VLOOKUP(A343,sinap!$A$2:$R$9000,8,FALSE)</f>
        <v>11.2.01.0038</v>
      </c>
      <c r="Q343" s="15" t="str">
        <f>VLOOKUP(A343,sinap!$A$2:$R$9000,12,FALSE)</f>
        <v>11.1.01.0893</v>
      </c>
      <c r="R343" s="15" t="str">
        <f>VLOOKUP(A343,sinap!$A$2:$R$9000,16,FALSE)</f>
        <v>11.2.01.2071</v>
      </c>
      <c r="S343" s="15" t="str">
        <f>VLOOKUP(A343,sinap!$A$2:$Y$9000,20,FALSE)</f>
        <v>SI</v>
      </c>
    </row>
    <row r="344" spans="1:20" hidden="1" x14ac:dyDescent="0.25">
      <c r="A344" s="15">
        <v>8935792</v>
      </c>
      <c r="J344" s="15" t="str">
        <f>VLOOKUP(A344,sinap!$A$2:$R$9000,2,FALSE)</f>
        <v>H</v>
      </c>
      <c r="K344" s="15" t="str">
        <f>VLOOKUP(A344,sinap!$A$2:$R$9000,3,FALSE)</f>
        <v>VACA</v>
      </c>
      <c r="L344" s="15" t="str">
        <f>VLOOKUP(A344,sinap!$A$2:$R$9000,4,FALSE)</f>
        <v>ANGUS NEGRO</v>
      </c>
      <c r="M344" s="15" t="str">
        <f>VLOOKUP(A344,sinap!$A$2:$R$9000,5,FALSE)</f>
        <v>12 años 2 meses</v>
      </c>
      <c r="N344" s="15" t="str">
        <f>VLOOKUP(A344,sinap!$A$2:$R$9000,6,FALSE)</f>
        <v>30-10-2013</v>
      </c>
      <c r="O344" s="15" t="str">
        <f>VLOOKUP(A344,sinap!$A$2:$R$9000,7,FALSE)</f>
        <v>Vivo</v>
      </c>
      <c r="P344" s="15" t="str">
        <f>VLOOKUP(A344,sinap!$A$2:$R$9000,8,FALSE)</f>
        <v>11.1.01.1241</v>
      </c>
      <c r="Q344" s="15" t="str">
        <f>VLOOKUP(A344,sinap!$A$2:$R$9000,12,FALSE)</f>
        <v>11.1.01.0791</v>
      </c>
      <c r="R344" s="15" t="str">
        <f>VLOOKUP(A344,sinap!$A$2:$R$9000,16,FALSE)</f>
        <v>11.2.01.2071</v>
      </c>
      <c r="S344" s="15" t="str">
        <f>VLOOKUP(A344,sinap!$A$2:$Y$9000,20,FALSE)</f>
        <v>SI</v>
      </c>
    </row>
    <row r="345" spans="1:20" hidden="1" x14ac:dyDescent="0.25">
      <c r="A345" s="15">
        <v>8935794</v>
      </c>
      <c r="E345" s="16">
        <v>44350</v>
      </c>
      <c r="J345" s="15" t="str">
        <f>VLOOKUP(A345,sinap!$A$2:$R$9000,2,FALSE)</f>
        <v>H</v>
      </c>
      <c r="K345" s="15" t="str">
        <f>VLOOKUP(A345,sinap!$A$2:$R$9000,3,FALSE)</f>
        <v>VACA</v>
      </c>
      <c r="L345" s="15" t="str">
        <f>VLOOKUP(A345,sinap!$A$2:$R$9000,4,FALSE)</f>
        <v>ANGUS NEGRO</v>
      </c>
      <c r="M345" s="15" t="str">
        <f>VLOOKUP(A345,sinap!$A$2:$R$9000,5,FALSE)</f>
        <v>12 años 2 meses</v>
      </c>
      <c r="N345" s="15" t="str">
        <f>VLOOKUP(A345,sinap!$A$2:$R$9000,6,FALSE)</f>
        <v>30-10-2013</v>
      </c>
      <c r="O345" s="15" t="str">
        <f>VLOOKUP(A345,sinap!$A$2:$R$9000,7,FALSE)</f>
        <v>Vivo</v>
      </c>
      <c r="P345" s="15" t="str">
        <f>VLOOKUP(A345,sinap!$A$2:$R$9000,8,FALSE)</f>
        <v>11.1.01.1241</v>
      </c>
      <c r="Q345" s="15" t="str">
        <f>VLOOKUP(A345,sinap!$A$2:$R$9000,12,FALSE)</f>
        <v>11.2.01.0038</v>
      </c>
      <c r="R345" s="15" t="str">
        <f>VLOOKUP(A345,sinap!$A$2:$R$9000,16,FALSE)</f>
        <v>11.2.01.2071</v>
      </c>
      <c r="S345" s="15" t="str">
        <f>VLOOKUP(A345,sinap!$A$2:$Y$9000,20,FALSE)</f>
        <v>SI</v>
      </c>
    </row>
    <row r="346" spans="1:20" hidden="1" x14ac:dyDescent="0.25">
      <c r="A346" s="15">
        <v>8935817</v>
      </c>
      <c r="E346" s="16">
        <v>44350</v>
      </c>
      <c r="J346" s="15" t="str">
        <f>VLOOKUP(A346,sinap!$A$2:$R$9000,2,FALSE)</f>
        <v>H</v>
      </c>
      <c r="K346" s="15" t="str">
        <f>VLOOKUP(A346,sinap!$A$2:$R$9000,3,FALSE)</f>
        <v>VACA</v>
      </c>
      <c r="L346" s="15" t="str">
        <f>VLOOKUP(A346,sinap!$A$2:$R$9000,4,FALSE)</f>
        <v>HEREFORD</v>
      </c>
      <c r="M346" s="15" t="str">
        <f>VLOOKUP(A346,sinap!$A$2:$R$9000,5,FALSE)</f>
        <v>12 años 2 meses</v>
      </c>
      <c r="N346" s="15" t="str">
        <f>VLOOKUP(A346,sinap!$A$2:$R$9000,6,FALSE)</f>
        <v>30-10-2013</v>
      </c>
      <c r="O346" s="15" t="str">
        <f>VLOOKUP(A346,sinap!$A$2:$R$9000,7,FALSE)</f>
        <v>Vivo</v>
      </c>
      <c r="P346" s="15" t="str">
        <f>VLOOKUP(A346,sinap!$A$2:$R$9000,8,FALSE)</f>
        <v>11.1.01.0893</v>
      </c>
      <c r="Q346" s="15" t="str">
        <f>VLOOKUP(A346,sinap!$A$2:$R$9000,12,FALSE)</f>
        <v>11.2.01.2071</v>
      </c>
      <c r="R346" s="15" t="str">
        <f>VLOOKUP(A346,sinap!$A$2:$R$9000,16,FALSE)</f>
        <v>11.2.01.2071</v>
      </c>
      <c r="S346" s="15" t="str">
        <f>VLOOKUP(A346,sinap!$A$2:$Y$9000,20,FALSE)</f>
        <v>SI</v>
      </c>
    </row>
    <row r="347" spans="1:20" hidden="1" x14ac:dyDescent="0.25">
      <c r="A347" s="15">
        <v>8935825</v>
      </c>
      <c r="E347" s="16">
        <v>44350</v>
      </c>
      <c r="G347" s="16">
        <v>45240</v>
      </c>
      <c r="J347" s="15" t="str">
        <f>VLOOKUP(A347,sinap!$A$2:$R$9000,2,FALSE)</f>
        <v>H</v>
      </c>
      <c r="K347" s="15" t="str">
        <f>VLOOKUP(A347,sinap!$A$2:$R$9000,3,FALSE)</f>
        <v>VACA</v>
      </c>
      <c r="L347" s="15" t="str">
        <f>VLOOKUP(A347,sinap!$A$2:$R$9000,4,FALSE)</f>
        <v>ANGUS NEGRO</v>
      </c>
      <c r="M347" s="15" t="str">
        <f>VLOOKUP(A347,sinap!$A$2:$R$9000,5,FALSE)</f>
        <v>12 años 2 meses</v>
      </c>
      <c r="N347" s="15" t="str">
        <f>VLOOKUP(A347,sinap!$A$2:$R$9000,6,FALSE)</f>
        <v>30-10-2013</v>
      </c>
      <c r="O347" s="15" t="str">
        <f>VLOOKUP(A347,sinap!$A$2:$R$9000,7,FALSE)</f>
        <v>Vivo</v>
      </c>
      <c r="P347" s="15" t="str">
        <f>VLOOKUP(A347,sinap!$A$2:$R$9000,8,FALSE)</f>
        <v>11.1.01.0893</v>
      </c>
      <c r="Q347" s="15" t="str">
        <f>VLOOKUP(A347,sinap!$A$2:$R$9000,12,FALSE)</f>
        <v>11.2.01.2071</v>
      </c>
      <c r="R347" s="15" t="str">
        <f>VLOOKUP(A347,sinap!$A$2:$R$9000,16,FALSE)</f>
        <v>11.2.01.2071</v>
      </c>
      <c r="S347" s="15" t="str">
        <f>VLOOKUP(A347,sinap!$A$2:$Y$9000,20,FALSE)</f>
        <v>SI</v>
      </c>
    </row>
    <row r="348" spans="1:20" hidden="1" x14ac:dyDescent="0.25">
      <c r="A348" s="15">
        <v>8935853</v>
      </c>
      <c r="E348" s="16">
        <v>44499</v>
      </c>
      <c r="G348" s="16">
        <v>45090</v>
      </c>
      <c r="J348" s="15" t="str">
        <f>VLOOKUP(A348,sinap!$A$2:$R$9000,2,FALSE)</f>
        <v>H</v>
      </c>
      <c r="K348" s="15" t="str">
        <f>VLOOKUP(A348,sinap!$A$2:$R$9000,3,FALSE)</f>
        <v>VACA</v>
      </c>
      <c r="L348" s="15" t="str">
        <f>VLOOKUP(A348,sinap!$A$2:$R$9000,4,FALSE)</f>
        <v>LIMOUSIN</v>
      </c>
      <c r="M348" s="15" t="str">
        <f>VLOOKUP(A348,sinap!$A$2:$R$9000,5,FALSE)</f>
        <v>11 años 11 meses</v>
      </c>
      <c r="N348" s="15" t="str">
        <f>VLOOKUP(A348,sinap!$A$2:$R$9000,6,FALSE)</f>
        <v>30-01-2014</v>
      </c>
      <c r="O348" s="15" t="str">
        <f>VLOOKUP(A348,sinap!$A$2:$R$9000,7,FALSE)</f>
        <v>Vivo</v>
      </c>
      <c r="P348" s="15" t="str">
        <f>VLOOKUP(A348,sinap!$A$2:$R$9000,8,FALSE)</f>
        <v>11.1.01.1241</v>
      </c>
      <c r="Q348" s="15" t="str">
        <f>VLOOKUP(A348,sinap!$A$2:$R$9000,12,FALSE)</f>
        <v>11.2.01.2071</v>
      </c>
      <c r="R348" s="15" t="str">
        <f>VLOOKUP(A348,sinap!$A$2:$R$9000,16,FALSE)</f>
        <v>11.2.01.2071</v>
      </c>
      <c r="S348" s="15" t="str">
        <f>VLOOKUP(A348,sinap!$A$2:$Y$9000,20,FALSE)</f>
        <v>SI</v>
      </c>
    </row>
    <row r="349" spans="1:20" hidden="1" x14ac:dyDescent="0.25">
      <c r="A349" s="15">
        <v>8935863</v>
      </c>
      <c r="E349" s="16">
        <v>44499</v>
      </c>
      <c r="G349" s="16">
        <v>45090</v>
      </c>
      <c r="J349" s="15" t="str">
        <f>VLOOKUP(A349,sinap!$A$2:$R$9000,2,FALSE)</f>
        <v>H</v>
      </c>
      <c r="K349" s="15" t="str">
        <f>VLOOKUP(A349,sinap!$A$2:$R$9000,3,FALSE)</f>
        <v>VACA</v>
      </c>
      <c r="L349" s="15" t="str">
        <f>VLOOKUP(A349,sinap!$A$2:$R$9000,4,FALSE)</f>
        <v>ANGUS ROJO</v>
      </c>
      <c r="M349" s="15" t="str">
        <f>VLOOKUP(A349,sinap!$A$2:$R$9000,5,FALSE)</f>
        <v>11 años 3 meses</v>
      </c>
      <c r="N349" s="15" t="str">
        <f>VLOOKUP(A349,sinap!$A$2:$R$9000,6,FALSE)</f>
        <v>30-09-2014</v>
      </c>
      <c r="O349" s="15" t="str">
        <f>VLOOKUP(A349,sinap!$A$2:$R$9000,7,FALSE)</f>
        <v>Vivo</v>
      </c>
      <c r="P349" s="15" t="str">
        <f>VLOOKUP(A349,sinap!$A$2:$R$9000,8,FALSE)</f>
        <v>11.1.01.0893</v>
      </c>
      <c r="Q349" s="15" t="str">
        <f>VLOOKUP(A349,sinap!$A$2:$R$9000,12,FALSE)</f>
        <v>11.1.01.1241</v>
      </c>
      <c r="R349" s="15" t="str">
        <f>VLOOKUP(A349,sinap!$A$2:$R$9000,16,FALSE)</f>
        <v>11.2.01.2071</v>
      </c>
      <c r="S349" s="15" t="str">
        <f>VLOOKUP(A349,sinap!$A$2:$Y$9000,20,FALSE)</f>
        <v>SI</v>
      </c>
    </row>
    <row r="350" spans="1:20" hidden="1" x14ac:dyDescent="0.25">
      <c r="A350" s="15">
        <v>8935869</v>
      </c>
      <c r="E350" s="16">
        <v>44385</v>
      </c>
      <c r="F350" s="16">
        <v>44867</v>
      </c>
      <c r="G350" s="16">
        <v>45254</v>
      </c>
      <c r="J350" s="15" t="str">
        <f>VLOOKUP(A350,sinap!$A$2:$R$9000,2,FALSE)</f>
        <v>M</v>
      </c>
      <c r="K350" s="15" t="str">
        <f>VLOOKUP(A350,sinap!$A$2:$R$9000,3,FALSE)</f>
        <v>TORO</v>
      </c>
      <c r="L350" s="15" t="str">
        <f>VLOOKUP(A350,sinap!$A$2:$R$9000,4,FALSE)</f>
        <v>ANGUS NEGRO</v>
      </c>
      <c r="M350" s="15" t="str">
        <f>VLOOKUP(A350,sinap!$A$2:$R$9000,5,FALSE)</f>
        <v>11 años 2 meses</v>
      </c>
      <c r="N350" s="15" t="str">
        <f>VLOOKUP(A350,sinap!$A$2:$R$9000,6,FALSE)</f>
        <v>15-11-2014</v>
      </c>
      <c r="O350" s="15" t="str">
        <f>VLOOKUP(A350,sinap!$A$2:$R$9000,7,FALSE)</f>
        <v>Vivo</v>
      </c>
      <c r="P350" s="15" t="str">
        <f>VLOOKUP(A350,sinap!$A$2:$R$9000,8,FALSE)</f>
        <v>11.1.01.1241</v>
      </c>
      <c r="Q350" s="15" t="str">
        <f>VLOOKUP(A350,sinap!$A$2:$R$9000,12,FALSE)</f>
        <v>11.2.01.2071</v>
      </c>
      <c r="R350" s="15" t="str">
        <f>VLOOKUP(A350,sinap!$A$2:$R$9000,16,FALSE)</f>
        <v>11.2.01.2071</v>
      </c>
      <c r="S350" s="15" t="str">
        <f>VLOOKUP(A350,sinap!$A$2:$Y$9000,20,FALSE)</f>
        <v>SI</v>
      </c>
    </row>
    <row r="351" spans="1:20" hidden="1" x14ac:dyDescent="0.25">
      <c r="A351" s="15">
        <v>8937507</v>
      </c>
      <c r="E351" s="16">
        <v>44404</v>
      </c>
      <c r="F351" s="16">
        <v>44923</v>
      </c>
      <c r="G351" s="16">
        <v>45239</v>
      </c>
      <c r="H351" s="16">
        <v>45297</v>
      </c>
      <c r="J351" s="15" t="str">
        <f>VLOOKUP(A351,sinap!$A$2:$R$9000,2,FALSE)</f>
        <v>H</v>
      </c>
      <c r="K351" s="15" t="str">
        <f>VLOOKUP(A351,sinap!$A$2:$R$9000,3,FALSE)</f>
        <v>VACA</v>
      </c>
      <c r="L351" s="15" t="str">
        <f>VLOOKUP(A351,sinap!$A$2:$R$9000,4,FALSE)</f>
        <v>ANGUS NEGRO</v>
      </c>
      <c r="M351" s="15" t="str">
        <f>VLOOKUP(A351,sinap!$A$2:$R$9000,5,FALSE)</f>
        <v>11 años 2 meses</v>
      </c>
      <c r="N351" s="15" t="str">
        <f>VLOOKUP(A351,sinap!$A$2:$R$9000,6,FALSE)</f>
        <v>30-10-2014</v>
      </c>
      <c r="O351" s="15" t="str">
        <f>VLOOKUP(A351,sinap!$A$2:$R$9000,7,FALSE)</f>
        <v>Vivo</v>
      </c>
      <c r="P351" s="15" t="str">
        <f>VLOOKUP(A351,sinap!$A$2:$R$9000,8,FALSE)</f>
        <v>11.1.01.0791</v>
      </c>
      <c r="Q351" s="15" t="str">
        <f>VLOOKUP(A351,sinap!$A$2:$R$9000,12,FALSE)</f>
        <v>11.1.01.0893</v>
      </c>
      <c r="R351" s="15" t="str">
        <f>VLOOKUP(A351,sinap!$A$2:$R$9000,16,FALSE)</f>
        <v>11.1.01.2304</v>
      </c>
      <c r="S351" s="15" t="str">
        <f>VLOOKUP(A351,sinap!$A$2:$Y$9000,20,FALSE)</f>
        <v>SI</v>
      </c>
      <c r="T351" s="16">
        <v>44233</v>
      </c>
    </row>
    <row r="352" spans="1:20" hidden="1" x14ac:dyDescent="0.25">
      <c r="A352" s="15">
        <v>8937521</v>
      </c>
      <c r="G352" s="16">
        <v>45215</v>
      </c>
      <c r="J352" s="15" t="str">
        <f>VLOOKUP(A352,sinap!$A$2:$R$9000,2,FALSE)</f>
        <v>H</v>
      </c>
      <c r="K352" s="15" t="str">
        <f>VLOOKUP(A352,sinap!$A$2:$R$9000,3,FALSE)</f>
        <v>VACA</v>
      </c>
      <c r="L352" s="15" t="str">
        <f>VLOOKUP(A352,sinap!$A$2:$R$9000,4,FALSE)</f>
        <v>ANGUS NEGRO</v>
      </c>
      <c r="M352" s="15" t="str">
        <f>VLOOKUP(A352,sinap!$A$2:$R$9000,5,FALSE)</f>
        <v>11 años 3 meses</v>
      </c>
      <c r="N352" s="15" t="str">
        <f>VLOOKUP(A352,sinap!$A$2:$R$9000,6,FALSE)</f>
        <v>30-09-2014</v>
      </c>
      <c r="O352" s="15" t="str">
        <f>VLOOKUP(A352,sinap!$A$2:$R$9000,7,FALSE)</f>
        <v>Vivo</v>
      </c>
      <c r="P352" s="15" t="str">
        <f>VLOOKUP(A352,sinap!$A$2:$R$9000,8,FALSE)</f>
        <v>11.1.01.0893</v>
      </c>
      <c r="Q352" s="15" t="str">
        <f>VLOOKUP(A352,sinap!$A$2:$R$9000,12,FALSE)</f>
        <v>11.1.01.0791</v>
      </c>
      <c r="R352" s="15" t="str">
        <f>VLOOKUP(A352,sinap!$A$2:$R$9000,16,FALSE)</f>
        <v>11.1.01.2304</v>
      </c>
      <c r="S352" s="15" t="str">
        <f>VLOOKUP(A352,sinap!$A$2:$Y$9000,20,FALSE)</f>
        <v>SI</v>
      </c>
      <c r="T352" s="16">
        <v>42024</v>
      </c>
    </row>
    <row r="353" spans="1:20" hidden="1" x14ac:dyDescent="0.25">
      <c r="A353" s="15">
        <v>8937525</v>
      </c>
      <c r="G353" s="16">
        <v>45215</v>
      </c>
      <c r="J353" s="15" t="str">
        <f>VLOOKUP(A353,sinap!$A$2:$R$9000,2,FALSE)</f>
        <v>H</v>
      </c>
      <c r="K353" s="15" t="str">
        <f>VLOOKUP(A353,sinap!$A$2:$R$9000,3,FALSE)</f>
        <v>VACA</v>
      </c>
      <c r="L353" s="15" t="str">
        <f>VLOOKUP(A353,sinap!$A$2:$R$9000,4,FALSE)</f>
        <v>ANGUS ROJO</v>
      </c>
      <c r="M353" s="15" t="str">
        <f>VLOOKUP(A353,sinap!$A$2:$R$9000,5,FALSE)</f>
        <v>11 años 3 meses</v>
      </c>
      <c r="N353" s="15" t="str">
        <f>VLOOKUP(A353,sinap!$A$2:$R$9000,6,FALSE)</f>
        <v>30-09-2014</v>
      </c>
      <c r="O353" s="15" t="str">
        <f>VLOOKUP(A353,sinap!$A$2:$R$9000,7,FALSE)</f>
        <v>Vivo</v>
      </c>
      <c r="P353" s="15" t="str">
        <f>VLOOKUP(A353,sinap!$A$2:$R$9000,8,FALSE)</f>
        <v>11.1.01.1241</v>
      </c>
      <c r="Q353" s="15" t="str">
        <f>VLOOKUP(A353,sinap!$A$2:$R$9000,12,FALSE)</f>
        <v>11.1.01.1241</v>
      </c>
      <c r="R353" s="15" t="str">
        <f>VLOOKUP(A353,sinap!$A$2:$R$9000,16,FALSE)</f>
        <v>11.1.01.2304</v>
      </c>
      <c r="S353" s="15" t="str">
        <f>VLOOKUP(A353,sinap!$A$2:$Y$9000,20,FALSE)</f>
        <v>SI</v>
      </c>
      <c r="T353" s="16">
        <v>42024</v>
      </c>
    </row>
    <row r="354" spans="1:20" hidden="1" x14ac:dyDescent="0.25">
      <c r="A354" s="15">
        <v>8937526</v>
      </c>
      <c r="G354" s="16">
        <v>45090</v>
      </c>
      <c r="J354" s="15" t="str">
        <f>VLOOKUP(A354,sinap!$A$2:$R$9000,2,FALSE)</f>
        <v>H</v>
      </c>
      <c r="K354" s="15" t="str">
        <f>VLOOKUP(A354,sinap!$A$2:$R$9000,3,FALSE)</f>
        <v>VACA</v>
      </c>
      <c r="L354" s="15" t="str">
        <f>VLOOKUP(A354,sinap!$A$2:$R$9000,4,FALSE)</f>
        <v>ANGUS NEGRO</v>
      </c>
      <c r="M354" s="15" t="str">
        <f>VLOOKUP(A354,sinap!$A$2:$R$9000,5,FALSE)</f>
        <v>11 años 2 meses</v>
      </c>
      <c r="N354" s="15" t="str">
        <f>VLOOKUP(A354,sinap!$A$2:$R$9000,6,FALSE)</f>
        <v>30-10-2014</v>
      </c>
      <c r="O354" s="15" t="str">
        <f>VLOOKUP(A354,sinap!$A$2:$R$9000,7,FALSE)</f>
        <v>Vivo</v>
      </c>
      <c r="P354" s="15" t="str">
        <f>VLOOKUP(A354,sinap!$A$2:$R$9000,8,FALSE)</f>
        <v>11.1.01.1241</v>
      </c>
      <c r="Q354" s="15" t="str">
        <f>VLOOKUP(A354,sinap!$A$2:$R$9000,12,FALSE)</f>
        <v>11.1.01.1241</v>
      </c>
      <c r="R354" s="15" t="str">
        <f>VLOOKUP(A354,sinap!$A$2:$R$9000,16,FALSE)</f>
        <v>11.1.01.2304</v>
      </c>
      <c r="S354" s="15" t="str">
        <f>VLOOKUP(A354,sinap!$A$2:$Y$9000,20,FALSE)</f>
        <v>SI</v>
      </c>
      <c r="T354" s="16">
        <v>42024</v>
      </c>
    </row>
    <row r="355" spans="1:20" hidden="1" x14ac:dyDescent="0.25">
      <c r="A355" s="15">
        <v>8937542</v>
      </c>
      <c r="G355" s="16">
        <v>45215</v>
      </c>
      <c r="J355" s="15" t="str">
        <f>VLOOKUP(A355,sinap!$A$2:$R$9000,2,FALSE)</f>
        <v>H</v>
      </c>
      <c r="K355" s="15" t="str">
        <f>VLOOKUP(A355,sinap!$A$2:$R$9000,3,FALSE)</f>
        <v>VACA</v>
      </c>
      <c r="L355" s="15" t="str">
        <f>VLOOKUP(A355,sinap!$A$2:$R$9000,4,FALSE)</f>
        <v>ANGUS NEGRO</v>
      </c>
      <c r="M355" s="15" t="str">
        <f>VLOOKUP(A355,sinap!$A$2:$R$9000,5,FALSE)</f>
        <v>11 años 3 meses</v>
      </c>
      <c r="N355" s="15" t="str">
        <f>VLOOKUP(A355,sinap!$A$2:$R$9000,6,FALSE)</f>
        <v>30-09-2014</v>
      </c>
      <c r="O355" s="15" t="str">
        <f>VLOOKUP(A355,sinap!$A$2:$R$9000,7,FALSE)</f>
        <v>Vivo</v>
      </c>
      <c r="P355" s="15" t="str">
        <f>VLOOKUP(A355,sinap!$A$2:$R$9000,8,FALSE)</f>
        <v>11.1.01.1241</v>
      </c>
      <c r="Q355" s="15" t="str">
        <f>VLOOKUP(A355,sinap!$A$2:$R$9000,12,FALSE)</f>
        <v>11.1.01.0893</v>
      </c>
      <c r="R355" s="15" t="str">
        <f>VLOOKUP(A355,sinap!$A$2:$R$9000,16,FALSE)</f>
        <v>11.1.01.2304</v>
      </c>
      <c r="S355" s="15" t="str">
        <f>VLOOKUP(A355,sinap!$A$2:$Y$9000,20,FALSE)</f>
        <v>SI</v>
      </c>
      <c r="T355" s="16">
        <v>42024</v>
      </c>
    </row>
    <row r="356" spans="1:20" hidden="1" x14ac:dyDescent="0.25">
      <c r="A356" s="15">
        <v>8937548</v>
      </c>
      <c r="G356" s="16">
        <v>45090</v>
      </c>
      <c r="J356" s="15" t="str">
        <f>VLOOKUP(A356,sinap!$A$2:$R$9000,2,FALSE)</f>
        <v>H</v>
      </c>
      <c r="K356" s="15" t="str">
        <f>VLOOKUP(A356,sinap!$A$2:$R$9000,3,FALSE)</f>
        <v>VACA</v>
      </c>
      <c r="L356" s="15" t="str">
        <f>VLOOKUP(A356,sinap!$A$2:$R$9000,4,FALSE)</f>
        <v>ANGUS NEGRO</v>
      </c>
      <c r="M356" s="15" t="str">
        <f>VLOOKUP(A356,sinap!$A$2:$R$9000,5,FALSE)</f>
        <v>11 años 3 meses</v>
      </c>
      <c r="N356" s="15" t="str">
        <f>VLOOKUP(A356,sinap!$A$2:$R$9000,6,FALSE)</f>
        <v>15-10-2014</v>
      </c>
      <c r="O356" s="15" t="str">
        <f>VLOOKUP(A356,sinap!$A$2:$R$9000,7,FALSE)</f>
        <v>Vivo</v>
      </c>
      <c r="P356" s="15" t="str">
        <f>VLOOKUP(A356,sinap!$A$2:$R$9000,8,FALSE)</f>
        <v>11.1.01.1241</v>
      </c>
      <c r="Q356" s="15" t="str">
        <f>VLOOKUP(A356,sinap!$A$2:$R$9000,12,FALSE)</f>
        <v>11.1.01.2304</v>
      </c>
      <c r="R356" s="15" t="str">
        <f>VLOOKUP(A356,sinap!$A$2:$R$9000,16,FALSE)</f>
        <v>11.1.01.2304</v>
      </c>
      <c r="S356" s="15" t="str">
        <f>VLOOKUP(A356,sinap!$A$2:$Y$9000,20,FALSE)</f>
        <v>SI</v>
      </c>
      <c r="T356" s="16">
        <v>42024</v>
      </c>
    </row>
    <row r="357" spans="1:20" s="16" customFormat="1" hidden="1" x14ac:dyDescent="0.25">
      <c r="A357" s="15">
        <v>8937552</v>
      </c>
      <c r="B357" s="15"/>
      <c r="C357" s="15"/>
      <c r="G357" s="16">
        <v>45215</v>
      </c>
      <c r="J357" s="15" t="str">
        <f>VLOOKUP(A357,sinap!$A$2:$R$9000,2,FALSE)</f>
        <v>M</v>
      </c>
      <c r="K357" s="15" t="str">
        <f>VLOOKUP(A357,sinap!$A$2:$R$9000,3,FALSE)</f>
        <v>TORO</v>
      </c>
      <c r="L357" s="15" t="str">
        <f>VLOOKUP(A357,sinap!$A$2:$R$9000,4,FALSE)</f>
        <v>ANGUS NEGRO</v>
      </c>
      <c r="M357" s="15" t="str">
        <f>VLOOKUP(A357,sinap!$A$2:$R$9000,5,FALSE)</f>
        <v>11 años 3 meses</v>
      </c>
      <c r="N357" s="15" t="str">
        <f>VLOOKUP(A357,sinap!$A$2:$R$9000,6,FALSE)</f>
        <v>30-09-2014</v>
      </c>
      <c r="O357" s="15" t="str">
        <f>VLOOKUP(A357,sinap!$A$2:$R$9000,7,FALSE)</f>
        <v>Vivo</v>
      </c>
      <c r="P357" s="15" t="str">
        <f>VLOOKUP(A357,sinap!$A$2:$R$9000,8,FALSE)</f>
        <v>11.1.01.1241</v>
      </c>
      <c r="Q357" s="15" t="str">
        <f>VLOOKUP(A357,sinap!$A$2:$R$9000,12,FALSE)</f>
        <v>11.1.01.2304</v>
      </c>
      <c r="R357" s="15" t="str">
        <f>VLOOKUP(A357,sinap!$A$2:$R$9000,16,FALSE)</f>
        <v>11.1.01.2304</v>
      </c>
      <c r="S357" s="15" t="str">
        <f>VLOOKUP(A357,sinap!$A$2:$Y$9000,20,FALSE)</f>
        <v>SI</v>
      </c>
      <c r="T357" s="16">
        <v>42024</v>
      </c>
    </row>
    <row r="358" spans="1:20" s="16" customFormat="1" hidden="1" x14ac:dyDescent="0.25">
      <c r="A358" s="15">
        <v>8937560</v>
      </c>
      <c r="B358" s="15"/>
      <c r="C358" s="15"/>
      <c r="J358" s="15" t="str">
        <f>VLOOKUP(A358,sinap!$A$2:$R$9000,2,FALSE)</f>
        <v>H</v>
      </c>
      <c r="K358" s="15" t="str">
        <f>VLOOKUP(A358,sinap!$A$2:$R$9000,3,FALSE)</f>
        <v>VACA</v>
      </c>
      <c r="L358" s="15" t="str">
        <f>VLOOKUP(A358,sinap!$A$2:$R$9000,4,FALSE)</f>
        <v>HEREFORD</v>
      </c>
      <c r="M358" s="15" t="str">
        <f>VLOOKUP(A358,sinap!$A$2:$R$9000,5,FALSE)</f>
        <v>11 años 4 meses</v>
      </c>
      <c r="N358" s="15" t="str">
        <f>VLOOKUP(A358,sinap!$A$2:$R$9000,6,FALSE)</f>
        <v>30-08-2014</v>
      </c>
      <c r="O358" s="15" t="str">
        <f>VLOOKUP(A358,sinap!$A$2:$R$9000,7,FALSE)</f>
        <v>Vivo</v>
      </c>
      <c r="P358" s="15" t="str">
        <f>VLOOKUP(A358,sinap!$A$2:$R$9000,8,FALSE)</f>
        <v>11.1.01.1241</v>
      </c>
      <c r="Q358" s="15" t="str">
        <f>VLOOKUP(A358,sinap!$A$2:$R$9000,12,FALSE)</f>
        <v>11.1.01.2304</v>
      </c>
      <c r="R358" s="15" t="str">
        <f>VLOOKUP(A358,sinap!$A$2:$R$9000,16,FALSE)</f>
        <v>11.1.01.2304</v>
      </c>
      <c r="S358" s="15" t="str">
        <f>VLOOKUP(A358,sinap!$A$2:$Y$9000,20,FALSE)</f>
        <v>SI</v>
      </c>
      <c r="T358" s="16">
        <v>42024</v>
      </c>
    </row>
    <row r="359" spans="1:20" s="16" customFormat="1" hidden="1" x14ac:dyDescent="0.25">
      <c r="A359" s="15">
        <v>8937566</v>
      </c>
      <c r="B359" s="15"/>
      <c r="C359" s="15"/>
      <c r="J359" s="15" t="str">
        <f>VLOOKUP(A359,sinap!$A$2:$R$9000,2,FALSE)</f>
        <v>H</v>
      </c>
      <c r="K359" s="15" t="str">
        <f>VLOOKUP(A359,sinap!$A$2:$R$9000,3,FALSE)</f>
        <v>VACA</v>
      </c>
      <c r="L359" s="15" t="str">
        <f>VLOOKUP(A359,sinap!$A$2:$R$9000,4,FALSE)</f>
        <v>ANGUS NEGRO</v>
      </c>
      <c r="M359" s="15" t="str">
        <f>VLOOKUP(A359,sinap!$A$2:$R$9000,5,FALSE)</f>
        <v>11 años 3 meses</v>
      </c>
      <c r="N359" s="15" t="str">
        <f>VLOOKUP(A359,sinap!$A$2:$R$9000,6,FALSE)</f>
        <v>30-09-2014</v>
      </c>
      <c r="O359" s="15" t="str">
        <f>VLOOKUP(A359,sinap!$A$2:$R$9000,7,FALSE)</f>
        <v>Vivo</v>
      </c>
      <c r="P359" s="15" t="str">
        <f>VLOOKUP(A359,sinap!$A$2:$R$9000,8,FALSE)</f>
        <v>11.1.01.0893</v>
      </c>
      <c r="Q359" s="15" t="str">
        <f>VLOOKUP(A359,sinap!$A$2:$R$9000,12,FALSE)</f>
        <v>11.1.01.1241</v>
      </c>
      <c r="R359" s="15" t="str">
        <f>VLOOKUP(A359,sinap!$A$2:$R$9000,16,FALSE)</f>
        <v>11.1.01.2304</v>
      </c>
      <c r="S359" s="15" t="str">
        <f>VLOOKUP(A359,sinap!$A$2:$Y$9000,20,FALSE)</f>
        <v>SI</v>
      </c>
      <c r="T359" s="16">
        <v>42024</v>
      </c>
    </row>
    <row r="360" spans="1:20" s="16" customFormat="1" hidden="1" x14ac:dyDescent="0.25">
      <c r="A360" s="15">
        <v>8937567</v>
      </c>
      <c r="B360" s="15"/>
      <c r="C360" s="15"/>
      <c r="G360" s="16">
        <v>45215</v>
      </c>
      <c r="J360" s="15" t="str">
        <f>VLOOKUP(A360,sinap!$A$2:$R$9000,2,FALSE)</f>
        <v>H</v>
      </c>
      <c r="K360" s="15" t="str">
        <f>VLOOKUP(A360,sinap!$A$2:$R$9000,3,FALSE)</f>
        <v>VACA</v>
      </c>
      <c r="L360" s="15" t="str">
        <f>VLOOKUP(A360,sinap!$A$2:$R$9000,4,FALSE)</f>
        <v>ANGUS NEGRO</v>
      </c>
      <c r="M360" s="15" t="str">
        <f>VLOOKUP(A360,sinap!$A$2:$R$9000,5,FALSE)</f>
        <v>11 años 4 meses</v>
      </c>
      <c r="N360" s="15" t="str">
        <f>VLOOKUP(A360,sinap!$A$2:$R$9000,6,FALSE)</f>
        <v>30-08-2014</v>
      </c>
      <c r="O360" s="15" t="str">
        <f>VLOOKUP(A360,sinap!$A$2:$R$9000,7,FALSE)</f>
        <v>Vivo</v>
      </c>
      <c r="P360" s="15" t="str">
        <f>VLOOKUP(A360,sinap!$A$2:$R$9000,8,FALSE)</f>
        <v>11.2.01.0038</v>
      </c>
      <c r="Q360" s="15" t="str">
        <f>VLOOKUP(A360,sinap!$A$2:$R$9000,12,FALSE)</f>
        <v>11.1.01.0893</v>
      </c>
      <c r="R360" s="15" t="str">
        <f>VLOOKUP(A360,sinap!$A$2:$R$9000,16,FALSE)</f>
        <v>11.1.01.2304</v>
      </c>
      <c r="S360" s="15" t="str">
        <f>VLOOKUP(A360,sinap!$A$2:$Y$9000,20,FALSE)</f>
        <v>SI</v>
      </c>
      <c r="T360" s="16">
        <v>42024</v>
      </c>
    </row>
    <row r="361" spans="1:20" s="16" customFormat="1" hidden="1" x14ac:dyDescent="0.25">
      <c r="A361" s="15">
        <v>8937574</v>
      </c>
      <c r="B361" s="15"/>
      <c r="C361" s="15"/>
      <c r="G361" s="16">
        <v>45215</v>
      </c>
      <c r="J361" s="15" t="str">
        <f>VLOOKUP(A361,sinap!$A$2:$R$9000,2,FALSE)</f>
        <v>M</v>
      </c>
      <c r="K361" s="15" t="str">
        <f>VLOOKUP(A361,sinap!$A$2:$R$9000,3,FALSE)</f>
        <v>TORO</v>
      </c>
      <c r="L361" s="15" t="str">
        <f>VLOOKUP(A361,sinap!$A$2:$R$9000,4,FALSE)</f>
        <v>ANGUS NEGRO</v>
      </c>
      <c r="M361" s="15" t="str">
        <f>VLOOKUP(A361,sinap!$A$2:$R$9000,5,FALSE)</f>
        <v>11 años 3 meses</v>
      </c>
      <c r="N361" s="15" t="str">
        <f>VLOOKUP(A361,sinap!$A$2:$R$9000,6,FALSE)</f>
        <v>15-10-2014</v>
      </c>
      <c r="O361" s="15" t="str">
        <f>VLOOKUP(A361,sinap!$A$2:$R$9000,7,FALSE)</f>
        <v>Vivo</v>
      </c>
      <c r="P361" s="15" t="str">
        <f>VLOOKUP(A361,sinap!$A$2:$R$9000,8,FALSE)</f>
        <v>11.1.01.1241</v>
      </c>
      <c r="Q361" s="15" t="str">
        <f>VLOOKUP(A361,sinap!$A$2:$R$9000,12,FALSE)</f>
        <v>11.1.01.2304</v>
      </c>
      <c r="R361" s="15" t="str">
        <f>VLOOKUP(A361,sinap!$A$2:$R$9000,16,FALSE)</f>
        <v>11.1.01.2304</v>
      </c>
      <c r="S361" s="15" t="str">
        <f>VLOOKUP(A361,sinap!$A$2:$Y$9000,20,FALSE)</f>
        <v>SI</v>
      </c>
    </row>
    <row r="362" spans="1:20" s="16" customFormat="1" hidden="1" x14ac:dyDescent="0.25">
      <c r="A362" s="15">
        <v>8937575</v>
      </c>
      <c r="B362" s="15"/>
      <c r="C362" s="15"/>
      <c r="G362" s="16">
        <v>45264</v>
      </c>
      <c r="J362" s="15" t="str">
        <f>VLOOKUP(A362,sinap!$A$2:$R$9000,2,FALSE)</f>
        <v>M</v>
      </c>
      <c r="K362" s="15" t="str">
        <f>VLOOKUP(A362,sinap!$A$2:$R$9000,3,FALSE)</f>
        <v>TORO</v>
      </c>
      <c r="L362" s="15" t="str">
        <f>VLOOKUP(A362,sinap!$A$2:$R$9000,4,FALSE)</f>
        <v>ANGUS NEGRO</v>
      </c>
      <c r="M362" s="15" t="str">
        <f>VLOOKUP(A362,sinap!$A$2:$R$9000,5,FALSE)</f>
        <v>11 años 4 meses</v>
      </c>
      <c r="N362" s="15" t="str">
        <f>VLOOKUP(A362,sinap!$A$2:$R$9000,6,FALSE)</f>
        <v>30-08-2014</v>
      </c>
      <c r="O362" s="15" t="str">
        <f>VLOOKUP(A362,sinap!$A$2:$R$9000,7,FALSE)</f>
        <v>Vivo</v>
      </c>
      <c r="P362" s="15" t="str">
        <f>VLOOKUP(A362,sinap!$A$2:$R$9000,8,FALSE)</f>
        <v>11.1.01.1241</v>
      </c>
      <c r="Q362" s="15" t="str">
        <f>VLOOKUP(A362,sinap!$A$2:$R$9000,12,FALSE)</f>
        <v>11.1.01.2304</v>
      </c>
      <c r="R362" s="15" t="str">
        <f>VLOOKUP(A362,sinap!$A$2:$R$9000,16,FALSE)</f>
        <v>11.1.01.2304</v>
      </c>
      <c r="S362" s="15" t="str">
        <f>VLOOKUP(A362,sinap!$A$2:$Y$9000,20,FALSE)</f>
        <v>SI</v>
      </c>
    </row>
    <row r="363" spans="1:20" s="16" customFormat="1" hidden="1" x14ac:dyDescent="0.25">
      <c r="A363" s="15">
        <v>8937583</v>
      </c>
      <c r="B363" s="15"/>
      <c r="C363" s="15"/>
      <c r="G363" s="16">
        <v>45264</v>
      </c>
      <c r="J363" s="15" t="str">
        <f>VLOOKUP(A363,sinap!$A$2:$R$9000,2,FALSE)</f>
        <v>H</v>
      </c>
      <c r="K363" s="15" t="str">
        <f>VLOOKUP(A363,sinap!$A$2:$R$9000,3,FALSE)</f>
        <v>VACA</v>
      </c>
      <c r="L363" s="15" t="str">
        <f>VLOOKUP(A363,sinap!$A$2:$R$9000,4,FALSE)</f>
        <v>ANGUS NEGRO</v>
      </c>
      <c r="M363" s="15" t="str">
        <f>VLOOKUP(A363,sinap!$A$2:$R$9000,5,FALSE)</f>
        <v>11 años 3 meses</v>
      </c>
      <c r="N363" s="15" t="str">
        <f>VLOOKUP(A363,sinap!$A$2:$R$9000,6,FALSE)</f>
        <v>30-09-2014</v>
      </c>
      <c r="O363" s="15" t="str">
        <f>VLOOKUP(A363,sinap!$A$2:$R$9000,7,FALSE)</f>
        <v>Vivo</v>
      </c>
      <c r="P363" s="15" t="str">
        <f>VLOOKUP(A363,sinap!$A$2:$R$9000,8,FALSE)</f>
        <v>11.1.01.1241</v>
      </c>
      <c r="Q363" s="15" t="str">
        <f>VLOOKUP(A363,sinap!$A$2:$R$9000,12,FALSE)</f>
        <v>11.2.01.0038</v>
      </c>
      <c r="R363" s="15" t="str">
        <f>VLOOKUP(A363,sinap!$A$2:$R$9000,16,FALSE)</f>
        <v>11.1.01.2304</v>
      </c>
      <c r="S363" s="15" t="str">
        <f>VLOOKUP(A363,sinap!$A$2:$Y$9000,20,FALSE)</f>
        <v>SI</v>
      </c>
    </row>
    <row r="364" spans="1:20" s="16" customFormat="1" hidden="1" x14ac:dyDescent="0.25">
      <c r="A364" s="15">
        <v>8937587</v>
      </c>
      <c r="B364" s="15"/>
      <c r="C364" s="15"/>
      <c r="G364" s="16">
        <v>45253</v>
      </c>
      <c r="J364" s="15" t="str">
        <f>VLOOKUP(A364,sinap!$A$2:$R$9000,2,FALSE)</f>
        <v>M</v>
      </c>
      <c r="K364" s="15" t="str">
        <f>VLOOKUP(A364,sinap!$A$2:$R$9000,3,FALSE)</f>
        <v>TORO</v>
      </c>
      <c r="L364" s="15" t="str">
        <f>VLOOKUP(A364,sinap!$A$2:$R$9000,4,FALSE)</f>
        <v>ANGUS NEGRO</v>
      </c>
      <c r="M364" s="15" t="str">
        <f>VLOOKUP(A364,sinap!$A$2:$R$9000,5,FALSE)</f>
        <v>11 años 2 meses</v>
      </c>
      <c r="N364" s="15" t="str">
        <f>VLOOKUP(A364,sinap!$A$2:$R$9000,6,FALSE)</f>
        <v>30-10-2014</v>
      </c>
      <c r="O364" s="15" t="str">
        <f>VLOOKUP(A364,sinap!$A$2:$R$9000,7,FALSE)</f>
        <v>Vivo</v>
      </c>
      <c r="P364" s="15" t="str">
        <f>VLOOKUP(A364,sinap!$A$2:$R$9000,8,FALSE)</f>
        <v>11.1.01.1241</v>
      </c>
      <c r="Q364" s="15" t="str">
        <f>VLOOKUP(A364,sinap!$A$2:$R$9000,12,FALSE)</f>
        <v>11.1.01.2304</v>
      </c>
      <c r="R364" s="15" t="str">
        <f>VLOOKUP(A364,sinap!$A$2:$R$9000,16,FALSE)</f>
        <v>11.1.01.2304</v>
      </c>
      <c r="S364" s="15" t="str">
        <f>VLOOKUP(A364,sinap!$A$2:$Y$9000,20,FALSE)</f>
        <v>SI</v>
      </c>
    </row>
    <row r="365" spans="1:20" s="16" customFormat="1" hidden="1" x14ac:dyDescent="0.25">
      <c r="A365" s="15">
        <v>8937588</v>
      </c>
      <c r="B365" s="15"/>
      <c r="C365" s="15"/>
      <c r="G365" s="16">
        <v>45264</v>
      </c>
      <c r="J365" s="15" t="str">
        <f>VLOOKUP(A365,sinap!$A$2:$R$9000,2,FALSE)</f>
        <v>H</v>
      </c>
      <c r="K365" s="15" t="str">
        <f>VLOOKUP(A365,sinap!$A$2:$R$9000,3,FALSE)</f>
        <v>VACA</v>
      </c>
      <c r="L365" s="15" t="str">
        <f>VLOOKUP(A365,sinap!$A$2:$R$9000,4,FALSE)</f>
        <v>ANGUS NEGRO</v>
      </c>
      <c r="M365" s="15" t="str">
        <f>VLOOKUP(A365,sinap!$A$2:$R$9000,5,FALSE)</f>
        <v>11 años 3 meses</v>
      </c>
      <c r="N365" s="15" t="str">
        <f>VLOOKUP(A365,sinap!$A$2:$R$9000,6,FALSE)</f>
        <v>15-10-2014</v>
      </c>
      <c r="O365" s="15" t="str">
        <f>VLOOKUP(A365,sinap!$A$2:$R$9000,7,FALSE)</f>
        <v>Vivo</v>
      </c>
      <c r="P365" s="15" t="str">
        <f>VLOOKUP(A365,sinap!$A$2:$R$9000,8,FALSE)</f>
        <v>11.1.01.0893</v>
      </c>
      <c r="Q365" s="15" t="str">
        <f>VLOOKUP(A365,sinap!$A$2:$R$9000,12,FALSE)</f>
        <v>11.1.01.0791</v>
      </c>
      <c r="R365" s="15" t="str">
        <f>VLOOKUP(A365,sinap!$A$2:$R$9000,16,FALSE)</f>
        <v>11.1.01.2304</v>
      </c>
      <c r="S365" s="15" t="str">
        <f>VLOOKUP(A365,sinap!$A$2:$Y$9000,20,FALSE)</f>
        <v>SI</v>
      </c>
    </row>
    <row r="366" spans="1:20" s="16" customFormat="1" hidden="1" x14ac:dyDescent="0.25">
      <c r="A366" s="15">
        <v>8937600</v>
      </c>
      <c r="B366" s="15"/>
      <c r="C366" s="15"/>
      <c r="G366" s="16">
        <v>45264</v>
      </c>
      <c r="J366" s="15" t="str">
        <f>VLOOKUP(A366,sinap!$A$2:$R$9000,2,FALSE)</f>
        <v>H</v>
      </c>
      <c r="K366" s="15" t="str">
        <f>VLOOKUP(A366,sinap!$A$2:$R$9000,3,FALSE)</f>
        <v>VACA</v>
      </c>
      <c r="L366" s="15" t="str">
        <f>VLOOKUP(A366,sinap!$A$2:$R$9000,4,FALSE)</f>
        <v>ANGUS NEGRO</v>
      </c>
      <c r="M366" s="15" t="str">
        <f>VLOOKUP(A366,sinap!$A$2:$R$9000,5,FALSE)</f>
        <v>11 años 4 meses</v>
      </c>
      <c r="N366" s="15" t="str">
        <f>VLOOKUP(A366,sinap!$A$2:$R$9000,6,FALSE)</f>
        <v>30-08-2014</v>
      </c>
      <c r="O366" s="15" t="str">
        <f>VLOOKUP(A366,sinap!$A$2:$R$9000,7,FALSE)</f>
        <v>Vivo</v>
      </c>
      <c r="P366" s="15" t="str">
        <f>VLOOKUP(A366,sinap!$A$2:$R$9000,8,FALSE)</f>
        <v>11.1.01.0893</v>
      </c>
      <c r="Q366" s="15" t="str">
        <f>VLOOKUP(A366,sinap!$A$2:$R$9000,12,FALSE)</f>
        <v>11.1.01.0791</v>
      </c>
      <c r="R366" s="15" t="str">
        <f>VLOOKUP(A366,sinap!$A$2:$R$9000,16,FALSE)</f>
        <v>11.1.01.2304</v>
      </c>
      <c r="S366" s="15" t="str">
        <f>VLOOKUP(A366,sinap!$A$2:$Y$9000,20,FALSE)</f>
        <v>SI</v>
      </c>
    </row>
    <row r="367" spans="1:20" s="16" customFormat="1" hidden="1" x14ac:dyDescent="0.25">
      <c r="A367" s="15">
        <v>8937604</v>
      </c>
      <c r="B367" s="15"/>
      <c r="C367" s="15"/>
      <c r="G367" s="16">
        <v>45264</v>
      </c>
      <c r="J367" s="15" t="str">
        <f>VLOOKUP(A367,sinap!$A$2:$R$9000,2,FALSE)</f>
        <v>H</v>
      </c>
      <c r="K367" s="15" t="str">
        <f>VLOOKUP(A367,sinap!$A$2:$R$9000,3,FALSE)</f>
        <v>VACA</v>
      </c>
      <c r="L367" s="15" t="str">
        <f>VLOOKUP(A367,sinap!$A$2:$R$9000,4,FALSE)</f>
        <v>ANGUS ROJO</v>
      </c>
      <c r="M367" s="15" t="str">
        <f>VLOOKUP(A367,sinap!$A$2:$R$9000,5,FALSE)</f>
        <v>10 años 11 meses</v>
      </c>
      <c r="N367" s="15" t="str">
        <f>VLOOKUP(A367,sinap!$A$2:$R$9000,6,FALSE)</f>
        <v>20-01-2015</v>
      </c>
      <c r="O367" s="15" t="str">
        <f>VLOOKUP(A367,sinap!$A$2:$R$9000,7,FALSE)</f>
        <v>Vivo</v>
      </c>
      <c r="P367" s="15" t="str">
        <f>VLOOKUP(A367,sinap!$A$2:$R$9000,8,FALSE)</f>
        <v>11.1.01.1241</v>
      </c>
      <c r="Q367" s="15" t="str">
        <f>VLOOKUP(A367,sinap!$A$2:$R$9000,12,FALSE)</f>
        <v>11.1.01.2304</v>
      </c>
      <c r="R367" s="15" t="str">
        <f>VLOOKUP(A367,sinap!$A$2:$R$9000,16,FALSE)</f>
        <v>11.1.01.2304</v>
      </c>
      <c r="S367" s="15" t="str">
        <f>VLOOKUP(A367,sinap!$A$2:$Y$9000,20,FALSE)</f>
        <v>SI</v>
      </c>
    </row>
    <row r="368" spans="1:20" s="16" customFormat="1" hidden="1" x14ac:dyDescent="0.25">
      <c r="A368" s="15">
        <v>8937608</v>
      </c>
      <c r="B368" s="15"/>
      <c r="C368" s="15"/>
      <c r="G368" s="16">
        <v>45264</v>
      </c>
      <c r="J368" s="15" t="str">
        <f>VLOOKUP(A368,sinap!$A$2:$R$9000,2,FALSE)</f>
        <v>H</v>
      </c>
      <c r="K368" s="15" t="str">
        <f>VLOOKUP(A368,sinap!$A$2:$R$9000,3,FALSE)</f>
        <v>VACA</v>
      </c>
      <c r="L368" s="15" t="str">
        <f>VLOOKUP(A368,sinap!$A$2:$R$9000,4,FALSE)</f>
        <v>ANGUS ROJO</v>
      </c>
      <c r="M368" s="15" t="str">
        <f>VLOOKUP(A368,sinap!$A$2:$R$9000,5,FALSE)</f>
        <v>10 años 11 meses</v>
      </c>
      <c r="N368" s="15" t="str">
        <f>VLOOKUP(A368,sinap!$A$2:$R$9000,6,FALSE)</f>
        <v>20-01-2015</v>
      </c>
      <c r="O368" s="15" t="str">
        <f>VLOOKUP(A368,sinap!$A$2:$R$9000,7,FALSE)</f>
        <v>Vivo</v>
      </c>
      <c r="P368" s="15" t="str">
        <f>VLOOKUP(A368,sinap!$A$2:$R$9000,8,FALSE)</f>
        <v>11.2.01.0038</v>
      </c>
      <c r="Q368" s="15" t="str">
        <f>VLOOKUP(A368,sinap!$A$2:$R$9000,12,FALSE)</f>
        <v>11.1.01.1241</v>
      </c>
      <c r="R368" s="15" t="str">
        <f>VLOOKUP(A368,sinap!$A$2:$R$9000,16,FALSE)</f>
        <v>11.1.01.2304</v>
      </c>
      <c r="S368" s="15" t="str">
        <f>VLOOKUP(A368,sinap!$A$2:$Y$9000,20,FALSE)</f>
        <v>SI</v>
      </c>
    </row>
    <row r="369" spans="1:20" s="16" customFormat="1" hidden="1" x14ac:dyDescent="0.25">
      <c r="A369" s="15">
        <v>8937623</v>
      </c>
      <c r="B369" s="15"/>
      <c r="C369" s="15"/>
      <c r="J369" s="15" t="str">
        <f>VLOOKUP(A369,sinap!$A$2:$R$9000,2,FALSE)</f>
        <v>M</v>
      </c>
      <c r="K369" s="15" t="str">
        <f>VLOOKUP(A369,sinap!$A$2:$R$9000,3,FALSE)</f>
        <v>TORO</v>
      </c>
      <c r="L369" s="15" t="str">
        <f>VLOOKUP(A369,sinap!$A$2:$R$9000,4,FALSE)</f>
        <v>LIMOUSIN</v>
      </c>
      <c r="M369" s="15" t="str">
        <f>VLOOKUP(A369,sinap!$A$2:$R$9000,5,FALSE)</f>
        <v>11 años 1 meses</v>
      </c>
      <c r="N369" s="15" t="str">
        <f>VLOOKUP(A369,sinap!$A$2:$R$9000,6,FALSE)</f>
        <v>30-11-2014</v>
      </c>
      <c r="O369" s="15" t="str">
        <f>VLOOKUP(A369,sinap!$A$2:$R$9000,7,FALSE)</f>
        <v>Vivo</v>
      </c>
      <c r="P369" s="15" t="str">
        <f>VLOOKUP(A369,sinap!$A$2:$R$9000,8,FALSE)</f>
        <v>11.1.01.1241</v>
      </c>
      <c r="Q369" s="15" t="str">
        <f>VLOOKUP(A369,sinap!$A$2:$R$9000,12,FALSE)</f>
        <v>11.1.01.2304</v>
      </c>
      <c r="R369" s="15" t="str">
        <f>VLOOKUP(A369,sinap!$A$2:$R$9000,16,FALSE)</f>
        <v>11.1.01.2304</v>
      </c>
      <c r="S369" s="15" t="str">
        <f>VLOOKUP(A369,sinap!$A$2:$Y$9000,20,FALSE)</f>
        <v>SI</v>
      </c>
    </row>
    <row r="370" spans="1:20" s="16" customFormat="1" hidden="1" x14ac:dyDescent="0.25">
      <c r="A370" s="15">
        <v>8937624</v>
      </c>
      <c r="B370" s="15"/>
      <c r="C370" s="15"/>
      <c r="F370" s="16">
        <v>44923</v>
      </c>
      <c r="G370" s="16">
        <v>45239</v>
      </c>
      <c r="J370" s="15" t="str">
        <f>VLOOKUP(A370,sinap!$A$2:$R$9000,2,FALSE)</f>
        <v>M</v>
      </c>
      <c r="K370" s="15" t="str">
        <f>VLOOKUP(A370,sinap!$A$2:$R$9000,3,FALSE)</f>
        <v>TORO</v>
      </c>
      <c r="L370" s="15" t="str">
        <f>VLOOKUP(A370,sinap!$A$2:$R$9000,4,FALSE)</f>
        <v>HEREFORD</v>
      </c>
      <c r="M370" s="15" t="str">
        <f>VLOOKUP(A370,sinap!$A$2:$R$9000,5,FALSE)</f>
        <v>10 años 9 meses</v>
      </c>
      <c r="N370" s="15" t="str">
        <f>VLOOKUP(A370,sinap!$A$2:$R$9000,6,FALSE)</f>
        <v>30-03-2015</v>
      </c>
      <c r="O370" s="15" t="str">
        <f>VLOOKUP(A370,sinap!$A$2:$R$9000,7,FALSE)</f>
        <v>Vivo</v>
      </c>
      <c r="P370" s="15" t="str">
        <f>VLOOKUP(A370,sinap!$A$2:$R$9000,8,FALSE)</f>
        <v>11.1.01.1241</v>
      </c>
      <c r="Q370" s="15" t="str">
        <f>VLOOKUP(A370,sinap!$A$2:$R$9000,12,FALSE)</f>
        <v>11.1.01.2304</v>
      </c>
      <c r="R370" s="15" t="str">
        <f>VLOOKUP(A370,sinap!$A$2:$R$9000,16,FALSE)</f>
        <v>11.1.01.2304</v>
      </c>
      <c r="S370" s="15" t="str">
        <f>VLOOKUP(A370,sinap!$A$2:$Y$9000,20,FALSE)</f>
        <v>SI</v>
      </c>
      <c r="T370" s="16">
        <v>42137</v>
      </c>
    </row>
    <row r="371" spans="1:20" s="16" customFormat="1" hidden="1" x14ac:dyDescent="0.25">
      <c r="A371" s="15">
        <v>8937632</v>
      </c>
      <c r="B371" s="15"/>
      <c r="C371" s="15"/>
      <c r="J371" s="15" t="str">
        <f>VLOOKUP(A371,sinap!$A$2:$R$9000,2,FALSE)</f>
        <v>M</v>
      </c>
      <c r="K371" s="15" t="str">
        <f>VLOOKUP(A371,sinap!$A$2:$R$9000,3,FALSE)</f>
        <v>TORO</v>
      </c>
      <c r="L371" s="15" t="str">
        <f>VLOOKUP(A371,sinap!$A$2:$R$9000,4,FALSE)</f>
        <v>LIMOUSIN</v>
      </c>
      <c r="M371" s="15" t="str">
        <f>VLOOKUP(A371,sinap!$A$2:$R$9000,5,FALSE)</f>
        <v>11 años 2 meses</v>
      </c>
      <c r="N371" s="15" t="str">
        <f>VLOOKUP(A371,sinap!$A$2:$R$9000,6,FALSE)</f>
        <v>10-11-2014</v>
      </c>
      <c r="O371" s="15" t="str">
        <f>VLOOKUP(A371,sinap!$A$2:$R$9000,7,FALSE)</f>
        <v>Vivo</v>
      </c>
      <c r="P371" s="15" t="str">
        <f>VLOOKUP(A371,sinap!$A$2:$R$9000,8,FALSE)</f>
        <v>11.1.01.1241</v>
      </c>
      <c r="Q371" s="15" t="str">
        <f>VLOOKUP(A371,sinap!$A$2:$R$9000,12,FALSE)</f>
        <v>11.1.01.2304</v>
      </c>
      <c r="R371" s="15" t="str">
        <f>VLOOKUP(A371,sinap!$A$2:$R$9000,16,FALSE)</f>
        <v>11.1.01.2304</v>
      </c>
      <c r="S371" s="15" t="str">
        <f>VLOOKUP(A371,sinap!$A$2:$Y$9000,20,FALSE)</f>
        <v>SI</v>
      </c>
      <c r="T371" s="16">
        <v>42137</v>
      </c>
    </row>
    <row r="372" spans="1:20" s="16" customFormat="1" hidden="1" x14ac:dyDescent="0.25">
      <c r="A372" s="15">
        <v>8937642</v>
      </c>
      <c r="B372" s="15"/>
      <c r="C372" s="15"/>
      <c r="F372" s="16">
        <v>44923</v>
      </c>
      <c r="G372" s="16">
        <v>45239</v>
      </c>
      <c r="J372" s="15" t="str">
        <f>VLOOKUP(A372,sinap!$A$2:$R$9000,2,FALSE)</f>
        <v>H</v>
      </c>
      <c r="K372" s="15" t="str">
        <f>VLOOKUP(A372,sinap!$A$2:$R$9000,3,FALSE)</f>
        <v>VACA</v>
      </c>
      <c r="L372" s="15" t="str">
        <f>VLOOKUP(A372,sinap!$A$2:$R$9000,4,FALSE)</f>
        <v>ANGUS ROJO</v>
      </c>
      <c r="M372" s="15" t="str">
        <f>VLOOKUP(A372,sinap!$A$2:$R$9000,5,FALSE)</f>
        <v>10 años 10 meses</v>
      </c>
      <c r="N372" s="15" t="str">
        <f>VLOOKUP(A372,sinap!$A$2:$R$9000,6,FALSE)</f>
        <v>28-02-2015</v>
      </c>
      <c r="O372" s="15" t="str">
        <f>VLOOKUP(A372,sinap!$A$2:$R$9000,7,FALSE)</f>
        <v>Vivo</v>
      </c>
      <c r="P372" s="15" t="str">
        <f>VLOOKUP(A372,sinap!$A$2:$R$9000,8,FALSE)</f>
        <v>11.1.01.1241</v>
      </c>
      <c r="Q372" s="15" t="str">
        <f>VLOOKUP(A372,sinap!$A$2:$R$9000,12,FALSE)</f>
        <v>11.1.01.2304</v>
      </c>
      <c r="R372" s="15" t="str">
        <f>VLOOKUP(A372,sinap!$A$2:$R$9000,16,FALSE)</f>
        <v>11.1.01.2304</v>
      </c>
      <c r="S372" s="15" t="str">
        <f>VLOOKUP(A372,sinap!$A$2:$Y$9000,20,FALSE)</f>
        <v>SI</v>
      </c>
      <c r="T372" s="16">
        <v>42137</v>
      </c>
    </row>
    <row r="373" spans="1:20" s="16" customFormat="1" hidden="1" x14ac:dyDescent="0.25">
      <c r="A373" s="15">
        <v>8937646</v>
      </c>
      <c r="B373" s="15"/>
      <c r="C373" s="15"/>
      <c r="F373" s="16">
        <v>44923</v>
      </c>
      <c r="G373" s="16">
        <v>45247</v>
      </c>
      <c r="H373" s="16">
        <v>45648</v>
      </c>
      <c r="I373" s="16">
        <v>45966</v>
      </c>
      <c r="J373" s="15" t="str">
        <f>VLOOKUP(A373,sinap!$A$2:$R$9000,2,FALSE)</f>
        <v>H</v>
      </c>
      <c r="K373" s="15" t="str">
        <f>VLOOKUP(A373,sinap!$A$2:$R$9000,3,FALSE)</f>
        <v>VACA</v>
      </c>
      <c r="L373" s="15" t="str">
        <f>VLOOKUP(A373,sinap!$A$2:$R$9000,4,FALSE)</f>
        <v>ANGUS NEGRO</v>
      </c>
      <c r="M373" s="15" t="str">
        <f>VLOOKUP(A373,sinap!$A$2:$R$9000,5,FALSE)</f>
        <v>10 años 9 meses</v>
      </c>
      <c r="N373" s="15" t="str">
        <f>VLOOKUP(A373,sinap!$A$2:$R$9000,6,FALSE)</f>
        <v>30-03-2015</v>
      </c>
      <c r="O373" s="15" t="str">
        <f>VLOOKUP(A373,sinap!$A$2:$R$9000,7,FALSE)</f>
        <v>Vivo</v>
      </c>
      <c r="P373" s="15" t="str">
        <f>VLOOKUP(A373,sinap!$A$2:$R$9000,8,FALSE)</f>
        <v>11.1.01.2442</v>
      </c>
      <c r="Q373" s="15" t="str">
        <f>VLOOKUP(A373,sinap!$A$2:$R$9000,12,FALSE)</f>
        <v>11.1.01.0190</v>
      </c>
      <c r="R373" s="15" t="str">
        <f>VLOOKUP(A373,sinap!$A$2:$R$9000,16,FALSE)</f>
        <v>11.1.01.2304</v>
      </c>
      <c r="S373" s="15" t="str">
        <f>VLOOKUP(A373,sinap!$A$2:$Y$9000,20,FALSE)</f>
        <v>SI</v>
      </c>
      <c r="T373" s="16">
        <v>42137</v>
      </c>
    </row>
    <row r="374" spans="1:20" s="16" customFormat="1" hidden="1" x14ac:dyDescent="0.25">
      <c r="A374" s="15">
        <v>8937647</v>
      </c>
      <c r="B374" s="15"/>
      <c r="C374" s="15"/>
      <c r="F374" s="16">
        <v>44707</v>
      </c>
      <c r="J374" s="15" t="str">
        <f>VLOOKUP(A374,sinap!$A$2:$R$9000,2,FALSE)</f>
        <v>M</v>
      </c>
      <c r="K374" s="15" t="str">
        <f>VLOOKUP(A374,sinap!$A$2:$R$9000,3,FALSE)</f>
        <v>TORO</v>
      </c>
      <c r="L374" s="15" t="str">
        <f>VLOOKUP(A374,sinap!$A$2:$R$9000,4,FALSE)</f>
        <v>ANGUS NEGRO</v>
      </c>
      <c r="M374" s="15" t="str">
        <f>VLOOKUP(A374,sinap!$A$2:$R$9000,5,FALSE)</f>
        <v>10 años 11 meses</v>
      </c>
      <c r="N374" s="15" t="str">
        <f>VLOOKUP(A374,sinap!$A$2:$R$9000,6,FALSE)</f>
        <v>30-01-2015</v>
      </c>
      <c r="O374" s="15" t="str">
        <f>VLOOKUP(A374,sinap!$A$2:$R$9000,7,FALSE)</f>
        <v>Vivo</v>
      </c>
      <c r="P374" s="15" t="str">
        <f>VLOOKUP(A374,sinap!$A$2:$R$9000,8,FALSE)</f>
        <v>11.1.01.1241</v>
      </c>
      <c r="Q374" s="15" t="str">
        <f>VLOOKUP(A374,sinap!$A$2:$R$9000,12,FALSE)</f>
        <v>11.1.01.2304</v>
      </c>
      <c r="R374" s="15" t="str">
        <f>VLOOKUP(A374,sinap!$A$2:$R$9000,16,FALSE)</f>
        <v>11.1.01.2304</v>
      </c>
      <c r="S374" s="15" t="str">
        <f>VLOOKUP(A374,sinap!$A$2:$Y$9000,20,FALSE)</f>
        <v>SI</v>
      </c>
      <c r="T374" s="16">
        <v>42137</v>
      </c>
    </row>
    <row r="375" spans="1:20" s="16" customFormat="1" hidden="1" x14ac:dyDescent="0.25">
      <c r="A375" s="15">
        <v>8937651</v>
      </c>
      <c r="B375" s="15"/>
      <c r="C375" s="15"/>
      <c r="F375" s="16">
        <v>44923</v>
      </c>
      <c r="G375" s="16">
        <v>45239</v>
      </c>
      <c r="J375" s="15" t="str">
        <f>VLOOKUP(A375,sinap!$A$2:$R$9000,2,FALSE)</f>
        <v>H</v>
      </c>
      <c r="K375" s="15" t="str">
        <f>VLOOKUP(A375,sinap!$A$2:$R$9000,3,FALSE)</f>
        <v>VACA</v>
      </c>
      <c r="L375" s="15" t="str">
        <f>VLOOKUP(A375,sinap!$A$2:$R$9000,4,FALSE)</f>
        <v>OVERO COLORADO (CLAVEL ALEMAN)</v>
      </c>
      <c r="M375" s="15" t="str">
        <f>VLOOKUP(A375,sinap!$A$2:$R$9000,5,FALSE)</f>
        <v>10 años 9 meses</v>
      </c>
      <c r="N375" s="15" t="str">
        <f>VLOOKUP(A375,sinap!$A$2:$R$9000,6,FALSE)</f>
        <v>30-03-2015</v>
      </c>
      <c r="O375" s="15" t="str">
        <f>VLOOKUP(A375,sinap!$A$2:$R$9000,7,FALSE)</f>
        <v>Vivo</v>
      </c>
      <c r="P375" s="15" t="str">
        <f>VLOOKUP(A375,sinap!$A$2:$R$9000,8,FALSE)</f>
        <v>11.1.01.1241</v>
      </c>
      <c r="Q375" s="15" t="str">
        <f>VLOOKUP(A375,sinap!$A$2:$R$9000,12,FALSE)</f>
        <v>11.2.01.0038</v>
      </c>
      <c r="R375" s="15" t="str">
        <f>VLOOKUP(A375,sinap!$A$2:$R$9000,16,FALSE)</f>
        <v>11.1.01.2304</v>
      </c>
      <c r="S375" s="15" t="str">
        <f>VLOOKUP(A375,sinap!$A$2:$Y$9000,20,FALSE)</f>
        <v>SI</v>
      </c>
      <c r="T375" s="16">
        <v>42137</v>
      </c>
    </row>
    <row r="376" spans="1:20" s="16" customFormat="1" hidden="1" x14ac:dyDescent="0.25">
      <c r="A376" s="15">
        <v>8937674</v>
      </c>
      <c r="B376" s="15"/>
      <c r="C376" s="15"/>
      <c r="F376" s="16">
        <v>44923</v>
      </c>
      <c r="G376" s="16">
        <v>45239</v>
      </c>
      <c r="J376" s="15" t="str">
        <f>VLOOKUP(A376,sinap!$A$2:$R$9000,2,FALSE)</f>
        <v>H</v>
      </c>
      <c r="K376" s="15" t="str">
        <f>VLOOKUP(A376,sinap!$A$2:$R$9000,3,FALSE)</f>
        <v>VACA</v>
      </c>
      <c r="L376" s="15" t="str">
        <f>VLOOKUP(A376,sinap!$A$2:$R$9000,4,FALSE)</f>
        <v>ANGUS NEGRO</v>
      </c>
      <c r="M376" s="15" t="str">
        <f>VLOOKUP(A376,sinap!$A$2:$R$9000,5,FALSE)</f>
        <v>10 años 3 meses</v>
      </c>
      <c r="N376" s="15" t="str">
        <f>VLOOKUP(A376,sinap!$A$2:$R$9000,6,FALSE)</f>
        <v>05-10-2015</v>
      </c>
      <c r="O376" s="15" t="str">
        <f>VLOOKUP(A376,sinap!$A$2:$R$9000,7,FALSE)</f>
        <v>Vivo</v>
      </c>
      <c r="P376" s="15" t="str">
        <f>VLOOKUP(A376,sinap!$A$2:$R$9000,8,FALSE)</f>
        <v>11.1.01.1241</v>
      </c>
      <c r="Q376" s="15" t="str">
        <f>VLOOKUP(A376,sinap!$A$2:$R$9000,12,FALSE)</f>
        <v>11.2.01.0038</v>
      </c>
      <c r="R376" s="15" t="str">
        <f>VLOOKUP(A376,sinap!$A$2:$R$9000,16,FALSE)</f>
        <v>11.1.01.2304</v>
      </c>
      <c r="S376" s="15" t="str">
        <f>VLOOKUP(A376,sinap!$A$2:$Y$9000,20,FALSE)</f>
        <v>SI</v>
      </c>
      <c r="T376" s="16">
        <v>42137</v>
      </c>
    </row>
    <row r="377" spans="1:20" s="16" customFormat="1" hidden="1" x14ac:dyDescent="0.25">
      <c r="A377" s="15">
        <v>8937676</v>
      </c>
      <c r="B377" s="15"/>
      <c r="C377" s="15"/>
      <c r="F377" s="16">
        <v>44923</v>
      </c>
      <c r="G377" s="16">
        <v>45239</v>
      </c>
      <c r="J377" s="15" t="str">
        <f>VLOOKUP(A377,sinap!$A$2:$R$9000,2,FALSE)</f>
        <v>H</v>
      </c>
      <c r="K377" s="15" t="str">
        <f>VLOOKUP(A377,sinap!$A$2:$R$9000,3,FALSE)</f>
        <v>VACA</v>
      </c>
      <c r="L377" s="15" t="str">
        <f>VLOOKUP(A377,sinap!$A$2:$R$9000,4,FALSE)</f>
        <v>ANGUS NEGRO</v>
      </c>
      <c r="M377" s="15" t="str">
        <f>VLOOKUP(A377,sinap!$A$2:$R$9000,5,FALSE)</f>
        <v>10 años 3 meses</v>
      </c>
      <c r="N377" s="15" t="str">
        <f>VLOOKUP(A377,sinap!$A$2:$R$9000,6,FALSE)</f>
        <v>30-09-2015</v>
      </c>
      <c r="O377" s="15" t="str">
        <f>VLOOKUP(A377,sinap!$A$2:$R$9000,7,FALSE)</f>
        <v>Vivo</v>
      </c>
      <c r="P377" s="15" t="str">
        <f>VLOOKUP(A377,sinap!$A$2:$R$9000,8,FALSE)</f>
        <v>11.1.01.1241</v>
      </c>
      <c r="Q377" s="15" t="str">
        <f>VLOOKUP(A377,sinap!$A$2:$R$9000,12,FALSE)</f>
        <v>11.1.01.0791</v>
      </c>
      <c r="R377" s="15" t="str">
        <f>VLOOKUP(A377,sinap!$A$2:$R$9000,16,FALSE)</f>
        <v>11.1.01.2304</v>
      </c>
      <c r="S377" s="15" t="str">
        <f>VLOOKUP(A377,sinap!$A$2:$Y$9000,20,FALSE)</f>
        <v>SI</v>
      </c>
      <c r="T377" s="16">
        <v>42137</v>
      </c>
    </row>
    <row r="378" spans="1:20" s="16" customFormat="1" hidden="1" x14ac:dyDescent="0.25">
      <c r="A378" s="15">
        <v>8937682</v>
      </c>
      <c r="B378" s="15"/>
      <c r="C378" s="15"/>
      <c r="F378" s="16">
        <v>44718</v>
      </c>
      <c r="J378" s="15" t="str">
        <f>VLOOKUP(A378,sinap!$A$2:$R$9000,2,FALSE)</f>
        <v>H</v>
      </c>
      <c r="K378" s="15" t="str">
        <f>VLOOKUP(A378,sinap!$A$2:$R$9000,3,FALSE)</f>
        <v>VACA</v>
      </c>
      <c r="L378" s="15" t="str">
        <f>VLOOKUP(A378,sinap!$A$2:$R$9000,4,FALSE)</f>
        <v>ANGUS ROJO</v>
      </c>
      <c r="M378" s="15" t="str">
        <f>VLOOKUP(A378,sinap!$A$2:$R$9000,5,FALSE)</f>
        <v>10 años 3 meses</v>
      </c>
      <c r="N378" s="15" t="str">
        <f>VLOOKUP(A378,sinap!$A$2:$R$9000,6,FALSE)</f>
        <v>10-10-2015</v>
      </c>
      <c r="O378" s="15" t="str">
        <f>VLOOKUP(A378,sinap!$A$2:$R$9000,7,FALSE)</f>
        <v>Vivo</v>
      </c>
      <c r="P378" s="15" t="str">
        <f>VLOOKUP(A378,sinap!$A$2:$R$9000,8,FALSE)</f>
        <v>11.1.01.1241</v>
      </c>
      <c r="Q378" s="15" t="str">
        <f>VLOOKUP(A378,sinap!$A$2:$R$9000,12,FALSE)</f>
        <v>11.1.01.0893</v>
      </c>
      <c r="R378" s="15" t="str">
        <f>VLOOKUP(A378,sinap!$A$2:$R$9000,16,FALSE)</f>
        <v>11.1.01.2304</v>
      </c>
      <c r="S378" s="15" t="str">
        <f>VLOOKUP(A378,sinap!$A$2:$Y$9000,20,FALSE)</f>
        <v>SI</v>
      </c>
      <c r="T378" s="16">
        <v>42137</v>
      </c>
    </row>
    <row r="379" spans="1:20" s="16" customFormat="1" hidden="1" x14ac:dyDescent="0.25">
      <c r="A379" s="15">
        <v>8937685</v>
      </c>
      <c r="B379" s="15"/>
      <c r="C379" s="15"/>
      <c r="F379" s="16">
        <v>44923</v>
      </c>
      <c r="G379" s="16">
        <v>45239</v>
      </c>
      <c r="J379" s="15" t="str">
        <f>VLOOKUP(A379,sinap!$A$2:$R$9000,2,FALSE)</f>
        <v>M</v>
      </c>
      <c r="K379" s="15" t="str">
        <f>VLOOKUP(A379,sinap!$A$2:$R$9000,3,FALSE)</f>
        <v>TORO</v>
      </c>
      <c r="L379" s="15" t="str">
        <f>VLOOKUP(A379,sinap!$A$2:$R$9000,4,FALSE)</f>
        <v>ANGUS NEGRO</v>
      </c>
      <c r="M379" s="15" t="str">
        <f>VLOOKUP(A379,sinap!$A$2:$R$9000,5,FALSE)</f>
        <v>10 años 6 meses</v>
      </c>
      <c r="N379" s="15" t="str">
        <f>VLOOKUP(A379,sinap!$A$2:$R$9000,6,FALSE)</f>
        <v>30-06-2015</v>
      </c>
      <c r="O379" s="15" t="str">
        <f>VLOOKUP(A379,sinap!$A$2:$R$9000,7,FALSE)</f>
        <v>Vivo</v>
      </c>
      <c r="P379" s="15" t="str">
        <f>VLOOKUP(A379,sinap!$A$2:$R$9000,8,FALSE)</f>
        <v>11.1.01.1241</v>
      </c>
      <c r="Q379" s="15" t="str">
        <f>VLOOKUP(A379,sinap!$A$2:$R$9000,12,FALSE)</f>
        <v>11.1.01.2304</v>
      </c>
      <c r="R379" s="15" t="str">
        <f>VLOOKUP(A379,sinap!$A$2:$R$9000,16,FALSE)</f>
        <v>11.1.01.2304</v>
      </c>
      <c r="S379" s="15" t="str">
        <f>VLOOKUP(A379,sinap!$A$2:$Y$9000,20,FALSE)</f>
        <v>SI</v>
      </c>
      <c r="T379" s="16">
        <v>42137</v>
      </c>
    </row>
    <row r="380" spans="1:20" s="16" customFormat="1" hidden="1" x14ac:dyDescent="0.25">
      <c r="A380" s="15">
        <v>8937691</v>
      </c>
      <c r="B380" s="15"/>
      <c r="C380" s="15"/>
      <c r="F380" s="16">
        <v>44923</v>
      </c>
      <c r="G380" s="16">
        <v>45239</v>
      </c>
      <c r="J380" s="15" t="str">
        <f>VLOOKUP(A380,sinap!$A$2:$R$9000,2,FALSE)</f>
        <v>M</v>
      </c>
      <c r="K380" s="15" t="str">
        <f>VLOOKUP(A380,sinap!$A$2:$R$9000,3,FALSE)</f>
        <v>TORO</v>
      </c>
      <c r="L380" s="15" t="str">
        <f>VLOOKUP(A380,sinap!$A$2:$R$9000,4,FALSE)</f>
        <v>ANGUS NEGRO</v>
      </c>
      <c r="M380" s="15" t="str">
        <f>VLOOKUP(A380,sinap!$A$2:$R$9000,5,FALSE)</f>
        <v>10 años 3 meses</v>
      </c>
      <c r="N380" s="15" t="str">
        <f>VLOOKUP(A380,sinap!$A$2:$R$9000,6,FALSE)</f>
        <v>30-09-2015</v>
      </c>
      <c r="O380" s="15" t="str">
        <f>VLOOKUP(A380,sinap!$A$2:$R$9000,7,FALSE)</f>
        <v>Vivo</v>
      </c>
      <c r="P380" s="15" t="str">
        <f>VLOOKUP(A380,sinap!$A$2:$R$9000,8,FALSE)</f>
        <v>11.1.01.1241</v>
      </c>
      <c r="Q380" s="15" t="str">
        <f>VLOOKUP(A380,sinap!$A$2:$R$9000,12,FALSE)</f>
        <v>11.1.01.2304</v>
      </c>
      <c r="R380" s="15" t="str">
        <f>VLOOKUP(A380,sinap!$A$2:$R$9000,16,FALSE)</f>
        <v>11.1.01.2304</v>
      </c>
      <c r="S380" s="15" t="str">
        <f>VLOOKUP(A380,sinap!$A$2:$Y$9000,20,FALSE)</f>
        <v>SI</v>
      </c>
      <c r="T380" s="16">
        <v>42137</v>
      </c>
    </row>
    <row r="381" spans="1:20" s="16" customFormat="1" hidden="1" x14ac:dyDescent="0.25">
      <c r="A381" s="15">
        <v>8937696</v>
      </c>
      <c r="B381" s="15"/>
      <c r="C381" s="15"/>
      <c r="F381" s="16">
        <v>44923</v>
      </c>
      <c r="G381" s="16">
        <v>45265</v>
      </c>
      <c r="J381" s="15" t="str">
        <f>VLOOKUP(A381,sinap!$A$2:$R$9000,2,FALSE)</f>
        <v>H</v>
      </c>
      <c r="K381" s="15" t="str">
        <f>VLOOKUP(A381,sinap!$A$2:$R$9000,3,FALSE)</f>
        <v>VACA</v>
      </c>
      <c r="L381" s="15" t="str">
        <f>VLOOKUP(A381,sinap!$A$2:$R$9000,4,FALSE)</f>
        <v>ANGUS NEGRO</v>
      </c>
      <c r="M381" s="15" t="str">
        <f>VLOOKUP(A381,sinap!$A$2:$R$9000,5,FALSE)</f>
        <v>10 años 3 meses</v>
      </c>
      <c r="N381" s="15" t="str">
        <f>VLOOKUP(A381,sinap!$A$2:$R$9000,6,FALSE)</f>
        <v>30-09-2015</v>
      </c>
      <c r="O381" s="15" t="str">
        <f>VLOOKUP(A381,sinap!$A$2:$R$9000,7,FALSE)</f>
        <v>Vivo</v>
      </c>
      <c r="P381" s="15" t="str">
        <f>VLOOKUP(A381,sinap!$A$2:$R$9000,8,FALSE)</f>
        <v>11.1.01.1241</v>
      </c>
      <c r="Q381" s="15" t="str">
        <f>VLOOKUP(A381,sinap!$A$2:$R$9000,12,FALSE)</f>
        <v>11.1.01.2304</v>
      </c>
      <c r="R381" s="15" t="str">
        <f>VLOOKUP(A381,sinap!$A$2:$R$9000,16,FALSE)</f>
        <v>11.1.01.2304</v>
      </c>
      <c r="S381" s="15" t="str">
        <f>VLOOKUP(A381,sinap!$A$2:$Y$9000,20,FALSE)</f>
        <v>SI</v>
      </c>
      <c r="T381" s="16">
        <v>42137</v>
      </c>
    </row>
    <row r="382" spans="1:20" s="16" customFormat="1" hidden="1" x14ac:dyDescent="0.25">
      <c r="A382" s="15">
        <v>8937718</v>
      </c>
      <c r="B382" s="15"/>
      <c r="C382" s="15"/>
      <c r="F382" s="16">
        <v>44923</v>
      </c>
      <c r="G382" s="16">
        <v>45247</v>
      </c>
      <c r="H382" s="16">
        <v>45648</v>
      </c>
      <c r="I382" s="16">
        <v>45966</v>
      </c>
      <c r="J382" s="15" t="str">
        <f>VLOOKUP(A382,sinap!$A$2:$R$9000,2,FALSE)</f>
        <v>H</v>
      </c>
      <c r="K382" s="15" t="str">
        <f>VLOOKUP(A382,sinap!$A$2:$R$9000,3,FALSE)</f>
        <v>VACA</v>
      </c>
      <c r="L382" s="15" t="str">
        <f>VLOOKUP(A382,sinap!$A$2:$R$9000,4,FALSE)</f>
        <v>ANGUS NEGRO</v>
      </c>
      <c r="M382" s="15" t="str">
        <f>VLOOKUP(A382,sinap!$A$2:$R$9000,5,FALSE)</f>
        <v>10 años 3 meses</v>
      </c>
      <c r="N382" s="15" t="str">
        <f>VLOOKUP(A382,sinap!$A$2:$R$9000,6,FALSE)</f>
        <v>10-10-2015</v>
      </c>
      <c r="O382" s="15" t="str">
        <f>VLOOKUP(A382,sinap!$A$2:$R$9000,7,FALSE)</f>
        <v>Vivo</v>
      </c>
      <c r="P382" s="15" t="str">
        <f>VLOOKUP(A382,sinap!$A$2:$R$9000,8,FALSE)</f>
        <v>11.1.01.2442</v>
      </c>
      <c r="Q382" s="15" t="str">
        <f>VLOOKUP(A382,sinap!$A$2:$R$9000,12,FALSE)</f>
        <v>11.1.01.0190</v>
      </c>
      <c r="R382" s="15" t="str">
        <f>VLOOKUP(A382,sinap!$A$2:$R$9000,16,FALSE)</f>
        <v>11.1.01.2304</v>
      </c>
      <c r="S382" s="15" t="str">
        <f>VLOOKUP(A382,sinap!$A$2:$Y$9000,20,FALSE)</f>
        <v>SI</v>
      </c>
      <c r="T382" s="16">
        <v>42137</v>
      </c>
    </row>
    <row r="383" spans="1:20" s="16" customFormat="1" hidden="1" x14ac:dyDescent="0.25">
      <c r="A383" s="15">
        <v>8937721</v>
      </c>
      <c r="B383" s="15"/>
      <c r="C383" s="15"/>
      <c r="J383" s="15" t="str">
        <f>VLOOKUP(A383,sinap!$A$2:$R$9000,2,FALSE)</f>
        <v>H</v>
      </c>
      <c r="K383" s="15" t="str">
        <f>VLOOKUP(A383,sinap!$A$2:$R$9000,3,FALSE)</f>
        <v>VACA</v>
      </c>
      <c r="L383" s="15" t="str">
        <f>VLOOKUP(A383,sinap!$A$2:$R$9000,4,FALSE)</f>
        <v>ANGUS NEGRO</v>
      </c>
      <c r="M383" s="15" t="str">
        <f>VLOOKUP(A383,sinap!$A$2:$R$9000,5,FALSE)</f>
        <v>10 años 3 meses</v>
      </c>
      <c r="N383" s="15" t="str">
        <f>VLOOKUP(A383,sinap!$A$2:$R$9000,6,FALSE)</f>
        <v>30-09-2015</v>
      </c>
      <c r="O383" s="15" t="str">
        <f>VLOOKUP(A383,sinap!$A$2:$R$9000,7,FALSE)</f>
        <v>Vivo</v>
      </c>
      <c r="P383" s="15" t="str">
        <f>VLOOKUP(A383,sinap!$A$2:$R$9000,8,FALSE)</f>
        <v>11.2.01.0038</v>
      </c>
      <c r="Q383" s="15" t="str">
        <f>VLOOKUP(A383,sinap!$A$2:$R$9000,12,FALSE)</f>
        <v>11.1.01.1241</v>
      </c>
      <c r="R383" s="15" t="str">
        <f>VLOOKUP(A383,sinap!$A$2:$R$9000,16,FALSE)</f>
        <v>11.1.01.2304</v>
      </c>
      <c r="S383" s="15" t="str">
        <f>VLOOKUP(A383,sinap!$A$2:$Y$9000,20,FALSE)</f>
        <v>SI</v>
      </c>
      <c r="T383" s="16">
        <v>42137</v>
      </c>
    </row>
    <row r="384" spans="1:20" s="16" customFormat="1" hidden="1" x14ac:dyDescent="0.25">
      <c r="A384" s="15">
        <v>8937759</v>
      </c>
      <c r="B384" s="15"/>
      <c r="C384" s="15"/>
      <c r="F384" s="16">
        <v>44923</v>
      </c>
      <c r="G384" s="16">
        <v>45247</v>
      </c>
      <c r="J384" s="15" t="str">
        <f>VLOOKUP(A384,sinap!$A$2:$R$9000,2,FALSE)</f>
        <v>H</v>
      </c>
      <c r="K384" s="15" t="str">
        <f>VLOOKUP(A384,sinap!$A$2:$R$9000,3,FALSE)</f>
        <v>VACA</v>
      </c>
      <c r="L384" s="15" t="str">
        <f>VLOOKUP(A384,sinap!$A$2:$R$9000,4,FALSE)</f>
        <v>ANGUS ROJO</v>
      </c>
      <c r="M384" s="15" t="str">
        <f>VLOOKUP(A384,sinap!$A$2:$R$9000,5,FALSE)</f>
        <v>10 años 0 meses</v>
      </c>
      <c r="N384" s="15" t="str">
        <f>VLOOKUP(A384,sinap!$A$2:$R$9000,6,FALSE)</f>
        <v>30-12-2015</v>
      </c>
      <c r="O384" s="15" t="str">
        <f>VLOOKUP(A384,sinap!$A$2:$R$9000,7,FALSE)</f>
        <v>Vivo</v>
      </c>
      <c r="P384" s="15" t="str">
        <f>VLOOKUP(A384,sinap!$A$2:$R$9000,8,FALSE)</f>
        <v>11.1.01.0893</v>
      </c>
      <c r="Q384" s="15" t="str">
        <f>VLOOKUP(A384,sinap!$A$2:$R$9000,12,FALSE)</f>
        <v>11.1.01.1241</v>
      </c>
      <c r="R384" s="15" t="str">
        <f>VLOOKUP(A384,sinap!$A$2:$R$9000,16,FALSE)</f>
        <v>11.1.01.1241</v>
      </c>
      <c r="S384" s="15" t="str">
        <f>VLOOKUP(A384,sinap!$A$2:$Y$9000,20,FALSE)</f>
        <v>SI</v>
      </c>
      <c r="T384" s="16">
        <v>42137</v>
      </c>
    </row>
    <row r="385" spans="1:20" s="16" customFormat="1" hidden="1" x14ac:dyDescent="0.25">
      <c r="A385" s="15">
        <v>8937762</v>
      </c>
      <c r="B385" s="15"/>
      <c r="C385" s="15"/>
      <c r="J385" s="15" t="str">
        <f>VLOOKUP(A385,sinap!$A$2:$R$9000,2,FALSE)</f>
        <v>H</v>
      </c>
      <c r="K385" s="15" t="str">
        <f>VLOOKUP(A385,sinap!$A$2:$R$9000,3,FALSE)</f>
        <v>VACA</v>
      </c>
      <c r="L385" s="15" t="str">
        <f>VLOOKUP(A385,sinap!$A$2:$R$9000,4,FALSE)</f>
        <v>ANGUS NEGRO</v>
      </c>
      <c r="M385" s="15" t="str">
        <f>VLOOKUP(A385,sinap!$A$2:$R$9000,5,FALSE)</f>
        <v>9 años 10 meses</v>
      </c>
      <c r="N385" s="15" t="str">
        <f>VLOOKUP(A385,sinap!$A$2:$R$9000,6,FALSE)</f>
        <v>28-02-2016</v>
      </c>
      <c r="O385" s="15" t="str">
        <f>VLOOKUP(A385,sinap!$A$2:$R$9000,7,FALSE)</f>
        <v>Vivo</v>
      </c>
      <c r="P385" s="15" t="str">
        <f>VLOOKUP(A385,sinap!$A$2:$R$9000,8,FALSE)</f>
        <v>11.1.01.1241</v>
      </c>
      <c r="Q385" s="15" t="str">
        <f>VLOOKUP(A385,sinap!$A$2:$R$9000,12,FALSE)</f>
        <v>11.1.01.0893</v>
      </c>
      <c r="R385" s="15" t="str">
        <f>VLOOKUP(A385,sinap!$A$2:$R$9000,16,FALSE)</f>
        <v>11.1.01.1241</v>
      </c>
      <c r="S385" s="15" t="str">
        <f>VLOOKUP(A385,sinap!$A$2:$Y$9000,20,FALSE)</f>
        <v>SI</v>
      </c>
    </row>
    <row r="386" spans="1:20" s="16" customFormat="1" hidden="1" x14ac:dyDescent="0.25">
      <c r="A386" s="15">
        <v>8937776</v>
      </c>
      <c r="B386" s="15"/>
      <c r="C386" s="15"/>
      <c r="F386" s="16">
        <v>44923</v>
      </c>
      <c r="G386" s="16">
        <v>45239</v>
      </c>
      <c r="J386" s="15" t="str">
        <f>VLOOKUP(A386,sinap!$A$2:$R$9000,2,FALSE)</f>
        <v>no existe</v>
      </c>
      <c r="K386" s="15" t="str">
        <f>VLOOKUP(A386,sinap!$A$2:$R$9000,3,FALSE)</f>
        <v>no existe</v>
      </c>
      <c r="L386" s="15" t="str">
        <f>VLOOKUP(A386,sinap!$A$2:$R$9000,4,FALSE)</f>
        <v>no existe</v>
      </c>
      <c r="M386" s="15" t="str">
        <f>VLOOKUP(A386,sinap!$A$2:$R$9000,5,FALSE)</f>
        <v>no existe</v>
      </c>
      <c r="N386" s="15" t="str">
        <f>VLOOKUP(A386,sinap!$A$2:$R$9000,6,FALSE)</f>
        <v>no existe</v>
      </c>
      <c r="O386" s="15" t="str">
        <f>VLOOKUP(A386,sinap!$A$2:$R$9000,7,FALSE)</f>
        <v>no existe</v>
      </c>
      <c r="P386" s="15" t="str">
        <f>VLOOKUP(A386,sinap!$A$2:$R$9000,8,FALSE)</f>
        <v>no existe</v>
      </c>
      <c r="Q386" s="15" t="str">
        <f>VLOOKUP(A386,sinap!$A$2:$R$9000,12,FALSE)</f>
        <v>no existe</v>
      </c>
      <c r="R386" s="15" t="str">
        <f>VLOOKUP(A386,sinap!$A$2:$R$9000,16,FALSE)</f>
        <v>no existe</v>
      </c>
      <c r="S386" s="15" t="str">
        <f>VLOOKUP(A386,sinap!$A$2:$Y$9000,20,FALSE)</f>
        <v>no existe</v>
      </c>
    </row>
    <row r="387" spans="1:20" s="16" customFormat="1" hidden="1" x14ac:dyDescent="0.25">
      <c r="A387" s="15">
        <v>8937777</v>
      </c>
      <c r="B387" s="15"/>
      <c r="C387" s="15"/>
      <c r="F387" s="16">
        <v>44718</v>
      </c>
      <c r="J387" s="15" t="str">
        <f>VLOOKUP(A387,sinap!$A$2:$R$9000,2,FALSE)</f>
        <v>no existe</v>
      </c>
      <c r="K387" s="15" t="str">
        <f>VLOOKUP(A387,sinap!$A$2:$R$9000,3,FALSE)</f>
        <v>no existe</v>
      </c>
      <c r="L387" s="15" t="str">
        <f>VLOOKUP(A387,sinap!$A$2:$R$9000,4,FALSE)</f>
        <v>no existe</v>
      </c>
      <c r="M387" s="15" t="str">
        <f>VLOOKUP(A387,sinap!$A$2:$R$9000,5,FALSE)</f>
        <v>no existe</v>
      </c>
      <c r="N387" s="15" t="str">
        <f>VLOOKUP(A387,sinap!$A$2:$R$9000,6,FALSE)</f>
        <v>no existe</v>
      </c>
      <c r="O387" s="15" t="str">
        <f>VLOOKUP(A387,sinap!$A$2:$R$9000,7,FALSE)</f>
        <v>no existe</v>
      </c>
      <c r="P387" s="15" t="str">
        <f>VLOOKUP(A387,sinap!$A$2:$R$9000,8,FALSE)</f>
        <v>no existe</v>
      </c>
      <c r="Q387" s="15" t="str">
        <f>VLOOKUP(A387,sinap!$A$2:$R$9000,12,FALSE)</f>
        <v>no existe</v>
      </c>
      <c r="R387" s="15" t="str">
        <f>VLOOKUP(A387,sinap!$A$2:$R$9000,16,FALSE)</f>
        <v>no existe</v>
      </c>
      <c r="S387" s="15" t="str">
        <f>VLOOKUP(A387,sinap!$A$2:$Y$9000,20,FALSE)</f>
        <v>no existe</v>
      </c>
    </row>
    <row r="388" spans="1:20" s="16" customFormat="1" hidden="1" x14ac:dyDescent="0.25">
      <c r="A388" s="15">
        <v>9005323</v>
      </c>
      <c r="B388" s="15"/>
      <c r="C388" s="15"/>
      <c r="F388" s="16">
        <v>44923</v>
      </c>
      <c r="G388" s="16">
        <v>45247</v>
      </c>
      <c r="J388" s="15" t="str">
        <f>VLOOKUP(A388,sinap!$A$2:$R$9000,2,FALSE)</f>
        <v>M</v>
      </c>
      <c r="K388" s="15" t="str">
        <f>VLOOKUP(A388,sinap!$A$2:$R$9000,3,FALSE)</f>
        <v>TORO</v>
      </c>
      <c r="L388" s="15" t="str">
        <f>VLOOKUP(A388,sinap!$A$2:$R$9000,4,FALSE)</f>
        <v>ANGUS NEGRO</v>
      </c>
      <c r="M388" s="15" t="str">
        <f>VLOOKUP(A388,sinap!$A$2:$R$9000,5,FALSE)</f>
        <v>12 años 3 meses</v>
      </c>
      <c r="N388" s="15" t="str">
        <f>VLOOKUP(A388,sinap!$A$2:$R$9000,6,FALSE)</f>
        <v>15-10-2013</v>
      </c>
      <c r="O388" s="15" t="str">
        <f>VLOOKUP(A388,sinap!$A$2:$R$9000,7,FALSE)</f>
        <v>Vivo</v>
      </c>
      <c r="P388" s="15" t="str">
        <f>VLOOKUP(A388,sinap!$A$2:$R$9000,8,FALSE)</f>
        <v>11.1.01.1241</v>
      </c>
      <c r="Q388" s="15" t="str">
        <f>VLOOKUP(A388,sinap!$A$2:$R$9000,12,FALSE)</f>
        <v>11.1.01.0791</v>
      </c>
      <c r="R388" s="15" t="str">
        <f>VLOOKUP(A388,sinap!$A$2:$R$9000,16,FALSE)</f>
        <v>11.1.01.0290</v>
      </c>
      <c r="S388" s="15" t="str">
        <f>VLOOKUP(A388,sinap!$A$2:$Y$9000,20,FALSE)</f>
        <v>SI</v>
      </c>
    </row>
    <row r="389" spans="1:20" s="16" customFormat="1" ht="14.25" hidden="1" customHeight="1" x14ac:dyDescent="0.25">
      <c r="A389" s="15">
        <v>9005327</v>
      </c>
      <c r="B389" s="15"/>
      <c r="C389" s="15"/>
      <c r="F389" s="16">
        <v>44923</v>
      </c>
      <c r="G389" s="16">
        <v>45239</v>
      </c>
      <c r="J389" s="15" t="str">
        <f>VLOOKUP(A389,sinap!$A$2:$R$9000,2,FALSE)</f>
        <v>M</v>
      </c>
      <c r="K389" s="15" t="str">
        <f>VLOOKUP(A389,sinap!$A$2:$R$9000,3,FALSE)</f>
        <v>TORO</v>
      </c>
      <c r="L389" s="15" t="str">
        <f>VLOOKUP(A389,sinap!$A$2:$R$9000,4,FALSE)</f>
        <v>ANGUS NEGRO</v>
      </c>
      <c r="M389" s="15" t="str">
        <f>VLOOKUP(A389,sinap!$A$2:$R$9000,5,FALSE)</f>
        <v>12 años 3 meses</v>
      </c>
      <c r="N389" s="15" t="str">
        <f>VLOOKUP(A389,sinap!$A$2:$R$9000,6,FALSE)</f>
        <v>15-10-2013</v>
      </c>
      <c r="O389" s="15" t="str">
        <f>VLOOKUP(A389,sinap!$A$2:$R$9000,7,FALSE)</f>
        <v>Vivo</v>
      </c>
      <c r="P389" s="15" t="str">
        <f>VLOOKUP(A389,sinap!$A$2:$R$9000,8,FALSE)</f>
        <v>11.1.01.1241</v>
      </c>
      <c r="Q389" s="15" t="str">
        <f>VLOOKUP(A389,sinap!$A$2:$R$9000,12,FALSE)</f>
        <v>11.1.01.1081</v>
      </c>
      <c r="R389" s="15" t="str">
        <f>VLOOKUP(A389,sinap!$A$2:$R$9000,16,FALSE)</f>
        <v>11.1.01.0290</v>
      </c>
      <c r="S389" s="15" t="str">
        <f>VLOOKUP(A389,sinap!$A$2:$Y$9000,20,FALSE)</f>
        <v>SI</v>
      </c>
    </row>
    <row r="390" spans="1:20" s="16" customFormat="1" hidden="1" x14ac:dyDescent="0.25">
      <c r="A390" s="15">
        <v>9005331</v>
      </c>
      <c r="B390" s="15"/>
      <c r="C390" s="15"/>
      <c r="F390" s="16">
        <v>44923</v>
      </c>
      <c r="G390" s="16">
        <v>45239</v>
      </c>
      <c r="J390" s="15" t="str">
        <f>VLOOKUP(A390,sinap!$A$2:$R$9000,2,FALSE)</f>
        <v>M</v>
      </c>
      <c r="K390" s="15" t="str">
        <f>VLOOKUP(A390,sinap!$A$2:$R$9000,3,FALSE)</f>
        <v>TORO</v>
      </c>
      <c r="L390" s="15" t="str">
        <f>VLOOKUP(A390,sinap!$A$2:$R$9000,4,FALSE)</f>
        <v>ANGUS NEGRO</v>
      </c>
      <c r="M390" s="15" t="str">
        <f>VLOOKUP(A390,sinap!$A$2:$R$9000,5,FALSE)</f>
        <v>12 años 3 meses</v>
      </c>
      <c r="N390" s="15" t="str">
        <f>VLOOKUP(A390,sinap!$A$2:$R$9000,6,FALSE)</f>
        <v>15-10-2013</v>
      </c>
      <c r="O390" s="15" t="str">
        <f>VLOOKUP(A390,sinap!$A$2:$R$9000,7,FALSE)</f>
        <v>Vivo</v>
      </c>
      <c r="P390" s="15" t="str">
        <f>VLOOKUP(A390,sinap!$A$2:$R$9000,8,FALSE)</f>
        <v>11.1.01.1241</v>
      </c>
      <c r="Q390" s="15" t="str">
        <f>VLOOKUP(A390,sinap!$A$2:$R$9000,12,FALSE)</f>
        <v>11.2.01.0038</v>
      </c>
      <c r="R390" s="15" t="str">
        <f>VLOOKUP(A390,sinap!$A$2:$R$9000,16,FALSE)</f>
        <v>11.1.01.0290</v>
      </c>
      <c r="S390" s="15" t="str">
        <f>VLOOKUP(A390,sinap!$A$2:$Y$9000,20,FALSE)</f>
        <v>SI</v>
      </c>
    </row>
    <row r="391" spans="1:20" s="16" customFormat="1" hidden="1" x14ac:dyDescent="0.25">
      <c r="A391" s="15">
        <v>9005357</v>
      </c>
      <c r="B391" s="15"/>
      <c r="C391" s="15"/>
      <c r="F391" s="16">
        <v>44923</v>
      </c>
      <c r="G391" s="16">
        <v>45247</v>
      </c>
      <c r="J391" s="15" t="str">
        <f>VLOOKUP(A391,sinap!$A$2:$R$9000,2,FALSE)</f>
        <v>M</v>
      </c>
      <c r="K391" s="15" t="str">
        <f>VLOOKUP(A391,sinap!$A$2:$R$9000,3,FALSE)</f>
        <v>TORO</v>
      </c>
      <c r="L391" s="15" t="str">
        <f>VLOOKUP(A391,sinap!$A$2:$R$9000,4,FALSE)</f>
        <v>ANGUS NEGRO</v>
      </c>
      <c r="M391" s="15" t="str">
        <f>VLOOKUP(A391,sinap!$A$2:$R$9000,5,FALSE)</f>
        <v>12 años 3 meses</v>
      </c>
      <c r="N391" s="15" t="str">
        <f>VLOOKUP(A391,sinap!$A$2:$R$9000,6,FALSE)</f>
        <v>15-10-2013</v>
      </c>
      <c r="O391" s="15" t="str">
        <f>VLOOKUP(A391,sinap!$A$2:$R$9000,7,FALSE)</f>
        <v>Vivo</v>
      </c>
      <c r="P391" s="15" t="str">
        <f>VLOOKUP(A391,sinap!$A$2:$R$9000,8,FALSE)</f>
        <v>11.1.01.1241</v>
      </c>
      <c r="Q391" s="15" t="str">
        <f>VLOOKUP(A391,sinap!$A$2:$R$9000,12,FALSE)</f>
        <v>11.1.01.0893</v>
      </c>
      <c r="R391" s="15" t="str">
        <f>VLOOKUP(A391,sinap!$A$2:$R$9000,16,FALSE)</f>
        <v>11.1.01.0290</v>
      </c>
      <c r="S391" s="15" t="str">
        <f>VLOOKUP(A391,sinap!$A$2:$Y$9000,20,FALSE)</f>
        <v>SI</v>
      </c>
    </row>
    <row r="392" spans="1:20" s="16" customFormat="1" hidden="1" x14ac:dyDescent="0.25">
      <c r="A392" s="15">
        <v>9005364</v>
      </c>
      <c r="B392" s="15"/>
      <c r="C392" s="15"/>
      <c r="F392" s="16">
        <v>44923</v>
      </c>
      <c r="G392" s="16">
        <v>45239</v>
      </c>
      <c r="J392" s="15" t="str">
        <f>VLOOKUP(A392,sinap!$A$2:$R$9000,2,FALSE)</f>
        <v>M</v>
      </c>
      <c r="K392" s="15" t="str">
        <f>VLOOKUP(A392,sinap!$A$2:$R$9000,3,FALSE)</f>
        <v>TORO</v>
      </c>
      <c r="L392" s="15" t="str">
        <f>VLOOKUP(A392,sinap!$A$2:$R$9000,4,FALSE)</f>
        <v>ANGUS NEGRO</v>
      </c>
      <c r="M392" s="15" t="str">
        <f>VLOOKUP(A392,sinap!$A$2:$R$9000,5,FALSE)</f>
        <v>12 años 3 meses</v>
      </c>
      <c r="N392" s="15" t="str">
        <f>VLOOKUP(A392,sinap!$A$2:$R$9000,6,FALSE)</f>
        <v>15-10-2013</v>
      </c>
      <c r="O392" s="15" t="str">
        <f>VLOOKUP(A392,sinap!$A$2:$R$9000,7,FALSE)</f>
        <v>Vivo</v>
      </c>
      <c r="P392" s="15" t="str">
        <f>VLOOKUP(A392,sinap!$A$2:$R$9000,8,FALSE)</f>
        <v>11.1.01.1241</v>
      </c>
      <c r="Q392" s="15" t="str">
        <f>VLOOKUP(A392,sinap!$A$2:$R$9000,12,FALSE)</f>
        <v>11.1.01.0893</v>
      </c>
      <c r="R392" s="15" t="str">
        <f>VLOOKUP(A392,sinap!$A$2:$R$9000,16,FALSE)</f>
        <v>11.1.01.0290</v>
      </c>
      <c r="S392" s="15" t="str">
        <f>VLOOKUP(A392,sinap!$A$2:$Y$9000,20,FALSE)</f>
        <v>SI</v>
      </c>
    </row>
    <row r="393" spans="1:20" s="16" customFormat="1" hidden="1" x14ac:dyDescent="0.25">
      <c r="A393" s="15">
        <v>9005390</v>
      </c>
      <c r="B393" s="15"/>
      <c r="C393" s="15"/>
      <c r="F393" s="16">
        <v>44923</v>
      </c>
      <c r="G393" s="16">
        <v>45247</v>
      </c>
      <c r="J393" s="15" t="str">
        <f>VLOOKUP(A393,sinap!$A$2:$R$9000,2,FALSE)</f>
        <v>M</v>
      </c>
      <c r="K393" s="15" t="str">
        <f>VLOOKUP(A393,sinap!$A$2:$R$9000,3,FALSE)</f>
        <v>TORO</v>
      </c>
      <c r="L393" s="15" t="str">
        <f>VLOOKUP(A393,sinap!$A$2:$R$9000,4,FALSE)</f>
        <v>ANGUS NEGRO</v>
      </c>
      <c r="M393" s="15" t="str">
        <f>VLOOKUP(A393,sinap!$A$2:$R$9000,5,FALSE)</f>
        <v>12 años 3 meses</v>
      </c>
      <c r="N393" s="15" t="str">
        <f>VLOOKUP(A393,sinap!$A$2:$R$9000,6,FALSE)</f>
        <v>15-10-2013</v>
      </c>
      <c r="O393" s="15" t="str">
        <f>VLOOKUP(A393,sinap!$A$2:$R$9000,7,FALSE)</f>
        <v>Vivo</v>
      </c>
      <c r="P393" s="15" t="str">
        <f>VLOOKUP(A393,sinap!$A$2:$R$9000,8,FALSE)</f>
        <v>11.1.01.1241</v>
      </c>
      <c r="Q393" s="15" t="str">
        <f>VLOOKUP(A393,sinap!$A$2:$R$9000,12,FALSE)</f>
        <v>11.1.01.0791</v>
      </c>
      <c r="R393" s="15" t="str">
        <f>VLOOKUP(A393,sinap!$A$2:$R$9000,16,FALSE)</f>
        <v>11.1.01.0290</v>
      </c>
      <c r="S393" s="15" t="str">
        <f>VLOOKUP(A393,sinap!$A$2:$Y$9000,20,FALSE)</f>
        <v>SI</v>
      </c>
    </row>
    <row r="394" spans="1:20" s="16" customFormat="1" hidden="1" x14ac:dyDescent="0.25">
      <c r="A394" s="15">
        <v>9320756</v>
      </c>
      <c r="B394" s="15"/>
      <c r="C394" s="15"/>
      <c r="F394" s="16">
        <v>44923</v>
      </c>
      <c r="G394" s="16">
        <v>45247</v>
      </c>
      <c r="J394" s="15" t="str">
        <f>VLOOKUP(A394,sinap!$A$2:$R$9000,2,FALSE)</f>
        <v>M</v>
      </c>
      <c r="K394" s="15" t="str">
        <f>VLOOKUP(A394,sinap!$A$2:$R$9000,3,FALSE)</f>
        <v>TORO</v>
      </c>
      <c r="L394" s="15" t="str">
        <f>VLOOKUP(A394,sinap!$A$2:$R$9000,4,FALSE)</f>
        <v>ANGUS NEGRO</v>
      </c>
      <c r="M394" s="15" t="str">
        <f>VLOOKUP(A394,sinap!$A$2:$R$9000,5,FALSE)</f>
        <v>11 años 3 meses</v>
      </c>
      <c r="N394" s="15" t="str">
        <f>VLOOKUP(A394,sinap!$A$2:$R$9000,6,FALSE)</f>
        <v>30-09-2014</v>
      </c>
      <c r="O394" s="15" t="str">
        <f>VLOOKUP(A394,sinap!$A$2:$R$9000,7,FALSE)</f>
        <v>Vivo</v>
      </c>
      <c r="P394" s="15" t="str">
        <f>VLOOKUP(A394,sinap!$A$2:$R$9000,8,FALSE)</f>
        <v>11.1.01.1241</v>
      </c>
      <c r="Q394" s="15" t="str">
        <f>VLOOKUP(A394,sinap!$A$2:$R$9000,12,FALSE)</f>
        <v>11.2.01.2071</v>
      </c>
      <c r="R394" s="15" t="str">
        <f>VLOOKUP(A394,sinap!$A$2:$R$9000,16,FALSE)</f>
        <v>11.2.01.2071</v>
      </c>
      <c r="S394" s="15" t="str">
        <f>VLOOKUP(A394,sinap!$A$2:$Y$9000,20,FALSE)</f>
        <v>SI</v>
      </c>
    </row>
    <row r="395" spans="1:20" s="16" customFormat="1" hidden="1" x14ac:dyDescent="0.25">
      <c r="A395" s="15">
        <v>9320761</v>
      </c>
      <c r="B395" s="15"/>
      <c r="C395" s="15"/>
      <c r="F395" s="16">
        <v>44923</v>
      </c>
      <c r="G395" s="16">
        <v>45247</v>
      </c>
      <c r="J395" s="15" t="str">
        <f>VLOOKUP(A395,sinap!$A$2:$R$9000,2,FALSE)</f>
        <v>H</v>
      </c>
      <c r="K395" s="15" t="str">
        <f>VLOOKUP(A395,sinap!$A$2:$R$9000,3,FALSE)</f>
        <v>VACA</v>
      </c>
      <c r="L395" s="15" t="str">
        <f>VLOOKUP(A395,sinap!$A$2:$R$9000,4,FALSE)</f>
        <v>ANGUS NEGRO</v>
      </c>
      <c r="M395" s="15" t="str">
        <f>VLOOKUP(A395,sinap!$A$2:$R$9000,5,FALSE)</f>
        <v>11 años 3 meses</v>
      </c>
      <c r="N395" s="15" t="str">
        <f>VLOOKUP(A395,sinap!$A$2:$R$9000,6,FALSE)</f>
        <v>30-09-2014</v>
      </c>
      <c r="O395" s="15" t="str">
        <f>VLOOKUP(A395,sinap!$A$2:$R$9000,7,FALSE)</f>
        <v>Vivo</v>
      </c>
      <c r="P395" s="15" t="str">
        <f>VLOOKUP(A395,sinap!$A$2:$R$9000,8,FALSE)</f>
        <v>11.1.01.1241</v>
      </c>
      <c r="Q395" s="15" t="str">
        <f>VLOOKUP(A395,sinap!$A$2:$R$9000,12,FALSE)</f>
        <v>11.2.01.0038</v>
      </c>
      <c r="R395" s="15" t="str">
        <f>VLOOKUP(A395,sinap!$A$2:$R$9000,16,FALSE)</f>
        <v>11.2.01.2071</v>
      </c>
      <c r="S395" s="15" t="str">
        <f>VLOOKUP(A395,sinap!$A$2:$Y$9000,20,FALSE)</f>
        <v>SI</v>
      </c>
      <c r="T395" s="16">
        <v>42024</v>
      </c>
    </row>
    <row r="396" spans="1:20" s="16" customFormat="1" hidden="1" x14ac:dyDescent="0.25">
      <c r="A396" s="15">
        <v>9320774</v>
      </c>
      <c r="B396" s="15"/>
      <c r="C396" s="15"/>
      <c r="F396" s="16">
        <v>44923</v>
      </c>
      <c r="G396" s="16">
        <v>45247</v>
      </c>
      <c r="J396" s="15" t="str">
        <f>VLOOKUP(A396,sinap!$A$2:$R$9000,2,FALSE)</f>
        <v>M</v>
      </c>
      <c r="K396" s="15" t="str">
        <f>VLOOKUP(A396,sinap!$A$2:$R$9000,3,FALSE)</f>
        <v>TORO</v>
      </c>
      <c r="L396" s="15" t="str">
        <f>VLOOKUP(A396,sinap!$A$2:$R$9000,4,FALSE)</f>
        <v>ANGUS NEGRO</v>
      </c>
      <c r="M396" s="15" t="str">
        <f>VLOOKUP(A396,sinap!$A$2:$R$9000,5,FALSE)</f>
        <v>10 años 8 meses</v>
      </c>
      <c r="N396" s="15" t="str">
        <f>VLOOKUP(A396,sinap!$A$2:$R$9000,6,FALSE)</f>
        <v>30-04-2015</v>
      </c>
      <c r="O396" s="15" t="str">
        <f>VLOOKUP(A396,sinap!$A$2:$R$9000,7,FALSE)</f>
        <v>Vivo</v>
      </c>
      <c r="P396" s="15" t="str">
        <f>VLOOKUP(A396,sinap!$A$2:$R$9000,8,FALSE)</f>
        <v>11.1.01.1241</v>
      </c>
      <c r="Q396" s="15" t="str">
        <f>VLOOKUP(A396,sinap!$A$2:$R$9000,12,FALSE)</f>
        <v>11.2.01.2071</v>
      </c>
      <c r="R396" s="15" t="str">
        <f>VLOOKUP(A396,sinap!$A$2:$R$9000,16,FALSE)</f>
        <v>11.2.01.2071</v>
      </c>
      <c r="S396" s="15" t="str">
        <f>VLOOKUP(A396,sinap!$A$2:$Y$9000,20,FALSE)</f>
        <v>SI</v>
      </c>
      <c r="T396" s="16">
        <v>42158</v>
      </c>
    </row>
    <row r="397" spans="1:20" s="16" customFormat="1" hidden="1" x14ac:dyDescent="0.25">
      <c r="A397" s="15">
        <v>9320778</v>
      </c>
      <c r="B397" s="15"/>
      <c r="C397" s="15"/>
      <c r="F397" s="16">
        <v>44923</v>
      </c>
      <c r="G397" s="16">
        <v>45239</v>
      </c>
      <c r="J397" s="15" t="str">
        <f>VLOOKUP(A397,sinap!$A$2:$R$9000,2,FALSE)</f>
        <v>no existe</v>
      </c>
      <c r="K397" s="15" t="str">
        <f>VLOOKUP(A397,sinap!$A$2:$R$9000,3,FALSE)</f>
        <v>no existe</v>
      </c>
      <c r="L397" s="15" t="str">
        <f>VLOOKUP(A397,sinap!$A$2:$R$9000,4,FALSE)</f>
        <v>no existe</v>
      </c>
      <c r="M397" s="15" t="str">
        <f>VLOOKUP(A397,sinap!$A$2:$R$9000,5,FALSE)</f>
        <v>no existe</v>
      </c>
      <c r="N397" s="15" t="str">
        <f>VLOOKUP(A397,sinap!$A$2:$R$9000,6,FALSE)</f>
        <v>no existe</v>
      </c>
      <c r="O397" s="15" t="str">
        <f>VLOOKUP(A397,sinap!$A$2:$R$9000,7,FALSE)</f>
        <v>no existe</v>
      </c>
      <c r="P397" s="15" t="str">
        <f>VLOOKUP(A397,sinap!$A$2:$R$9000,8,FALSE)</f>
        <v>no existe</v>
      </c>
      <c r="Q397" s="15" t="str">
        <f>VLOOKUP(A397,sinap!$A$2:$R$9000,12,FALSE)</f>
        <v>no existe</v>
      </c>
      <c r="R397" s="15" t="str">
        <f>VLOOKUP(A397,sinap!$A$2:$R$9000,16,FALSE)</f>
        <v>no existe</v>
      </c>
      <c r="S397" s="15" t="str">
        <f>VLOOKUP(A397,sinap!$A$2:$Y$9000,20,FALSE)</f>
        <v>no existe</v>
      </c>
    </row>
    <row r="398" spans="1:20" s="16" customFormat="1" hidden="1" x14ac:dyDescent="0.25">
      <c r="A398" s="15">
        <v>10281938</v>
      </c>
      <c r="B398" s="15"/>
      <c r="C398" s="15"/>
      <c r="F398" s="16">
        <v>44923</v>
      </c>
      <c r="G398" s="16">
        <v>45239</v>
      </c>
      <c r="H398" s="16">
        <v>45622</v>
      </c>
      <c r="I398" s="16">
        <v>45671</v>
      </c>
      <c r="J398" s="15" t="str">
        <f>VLOOKUP(A398,sinap!$A$2:$R$9000,2,FALSE)</f>
        <v>H</v>
      </c>
      <c r="K398" s="15" t="str">
        <f>VLOOKUP(A398,sinap!$A$2:$R$9000,3,FALSE)</f>
        <v>VACA</v>
      </c>
      <c r="L398" s="15" t="str">
        <f>VLOOKUP(A398,sinap!$A$2:$R$9000,4,FALSE)</f>
        <v>ANGUS NEGRO</v>
      </c>
      <c r="M398" s="15" t="str">
        <f>VLOOKUP(A398,sinap!$A$2:$R$9000,5,FALSE)</f>
        <v>12 años 1 meses</v>
      </c>
      <c r="N398" s="15" t="str">
        <f>VLOOKUP(A398,sinap!$A$2:$R$9000,6,FALSE)</f>
        <v>15-12-2013</v>
      </c>
      <c r="O398" s="15" t="str">
        <f>VLOOKUP(A398,sinap!$A$2:$R$9000,7,FALSE)</f>
        <v>Vivo</v>
      </c>
      <c r="P398" s="15" t="str">
        <f>VLOOKUP(A398,sinap!$A$2:$R$9000,8,FALSE)</f>
        <v>11.1.01.1241</v>
      </c>
      <c r="Q398" s="15" t="str">
        <f>VLOOKUP(A398,sinap!$A$2:$R$9000,12,FALSE)</f>
        <v>11.2.01.0038</v>
      </c>
      <c r="R398" s="15" t="str">
        <f>VLOOKUP(A398,sinap!$A$2:$R$9000,16,FALSE)</f>
        <v>11.2.01.0011</v>
      </c>
      <c r="S398" s="15" t="str">
        <f>VLOOKUP(A398,sinap!$A$2:$Y$9000,20,FALSE)</f>
        <v>SI</v>
      </c>
      <c r="T398" s="16">
        <v>41738</v>
      </c>
    </row>
    <row r="399" spans="1:20" s="16" customFormat="1" hidden="1" x14ac:dyDescent="0.25">
      <c r="A399" s="15">
        <v>10932004</v>
      </c>
      <c r="B399" s="15"/>
      <c r="C399" s="15"/>
      <c r="F399" s="16">
        <v>44923</v>
      </c>
      <c r="G399" s="16">
        <v>45239</v>
      </c>
      <c r="J399" s="15" t="str">
        <f>VLOOKUP(A399,sinap!$A$2:$R$9000,2,FALSE)</f>
        <v>H</v>
      </c>
      <c r="K399" s="15" t="str">
        <f>VLOOKUP(A399,sinap!$A$2:$R$9000,3,FALSE)</f>
        <v>VACA</v>
      </c>
      <c r="L399" s="15" t="str">
        <f>VLOOKUP(A399,sinap!$A$2:$R$9000,4,FALSE)</f>
        <v>ANGUS NEGRO</v>
      </c>
      <c r="M399" s="15" t="str">
        <f>VLOOKUP(A399,sinap!$A$2:$R$9000,5,FALSE)</f>
        <v>11 años 3 meses</v>
      </c>
      <c r="N399" s="15" t="str">
        <f>VLOOKUP(A399,sinap!$A$2:$R$9000,6,FALSE)</f>
        <v>30-09-2014</v>
      </c>
      <c r="O399" s="15" t="str">
        <f>VLOOKUP(A399,sinap!$A$2:$R$9000,7,FALSE)</f>
        <v>Vivo</v>
      </c>
      <c r="P399" s="15" t="str">
        <f>VLOOKUP(A399,sinap!$A$2:$R$9000,8,FALSE)</f>
        <v>11.1.01.1241</v>
      </c>
      <c r="Q399" s="15" t="str">
        <f>VLOOKUP(A399,sinap!$A$2:$R$9000,12,FALSE)</f>
        <v>11.1.01.0893</v>
      </c>
      <c r="R399" s="15" t="str">
        <f>VLOOKUP(A399,sinap!$A$2:$R$9000,16,FALSE)</f>
        <v>11.1.01.0790</v>
      </c>
      <c r="S399" s="15" t="str">
        <f>VLOOKUP(A399,sinap!$A$2:$Y$9000,20,FALSE)</f>
        <v>SI</v>
      </c>
      <c r="T399" s="16">
        <v>42024</v>
      </c>
    </row>
    <row r="400" spans="1:20" s="16" customFormat="1" hidden="1" x14ac:dyDescent="0.25">
      <c r="A400" s="15">
        <v>10932021</v>
      </c>
      <c r="B400" s="15"/>
      <c r="C400" s="15"/>
      <c r="F400" s="16">
        <v>44923</v>
      </c>
      <c r="G400" s="16">
        <v>45239</v>
      </c>
      <c r="J400" s="15" t="str">
        <f>VLOOKUP(A400,sinap!$A$2:$R$9000,2,FALSE)</f>
        <v>H</v>
      </c>
      <c r="K400" s="15" t="str">
        <f>VLOOKUP(A400,sinap!$A$2:$R$9000,3,FALSE)</f>
        <v>VACA</v>
      </c>
      <c r="L400" s="15" t="str">
        <f>VLOOKUP(A400,sinap!$A$2:$R$9000,4,FALSE)</f>
        <v>ANGUS NEGRO</v>
      </c>
      <c r="M400" s="15" t="str">
        <f>VLOOKUP(A400,sinap!$A$2:$R$9000,5,FALSE)</f>
        <v>11 años 3 meses</v>
      </c>
      <c r="N400" s="15" t="str">
        <f>VLOOKUP(A400,sinap!$A$2:$R$9000,6,FALSE)</f>
        <v>30-09-2014</v>
      </c>
      <c r="O400" s="15" t="str">
        <f>VLOOKUP(A400,sinap!$A$2:$R$9000,7,FALSE)</f>
        <v>Vivo</v>
      </c>
      <c r="P400" s="15" t="str">
        <f>VLOOKUP(A400,sinap!$A$2:$R$9000,8,FALSE)</f>
        <v>11.1.01.1241</v>
      </c>
      <c r="Q400" s="15" t="str">
        <f>VLOOKUP(A400,sinap!$A$2:$R$9000,12,FALSE)</f>
        <v>11.1.01.0893</v>
      </c>
      <c r="R400" s="15" t="str">
        <f>VLOOKUP(A400,sinap!$A$2:$R$9000,16,FALSE)</f>
        <v>11.1.01.0790</v>
      </c>
      <c r="S400" s="15" t="str">
        <f>VLOOKUP(A400,sinap!$A$2:$Y$9000,20,FALSE)</f>
        <v>SI</v>
      </c>
    </row>
    <row r="401" spans="1:19" s="16" customFormat="1" hidden="1" x14ac:dyDescent="0.25">
      <c r="A401" s="15">
        <v>10932028</v>
      </c>
      <c r="B401" s="15"/>
      <c r="C401" s="15"/>
      <c r="F401" s="16">
        <v>44923</v>
      </c>
      <c r="G401" s="16">
        <v>45247</v>
      </c>
      <c r="J401" s="15" t="str">
        <f>VLOOKUP(A401,sinap!$A$2:$R$9000,2,FALSE)</f>
        <v>H</v>
      </c>
      <c r="K401" s="15" t="str">
        <f>VLOOKUP(A401,sinap!$A$2:$R$9000,3,FALSE)</f>
        <v>VACA</v>
      </c>
      <c r="L401" s="15" t="str">
        <f>VLOOKUP(A401,sinap!$A$2:$R$9000,4,FALSE)</f>
        <v>ANGUS ROJO</v>
      </c>
      <c r="M401" s="15" t="str">
        <f>VLOOKUP(A401,sinap!$A$2:$R$9000,5,FALSE)</f>
        <v>11 años 3 meses</v>
      </c>
      <c r="N401" s="15" t="str">
        <f>VLOOKUP(A401,sinap!$A$2:$R$9000,6,FALSE)</f>
        <v>30-09-2014</v>
      </c>
      <c r="O401" s="15" t="str">
        <f>VLOOKUP(A401,sinap!$A$2:$R$9000,7,FALSE)</f>
        <v>Vivo</v>
      </c>
      <c r="P401" s="15" t="str">
        <f>VLOOKUP(A401,sinap!$A$2:$R$9000,8,FALSE)</f>
        <v>11.1.01.1241</v>
      </c>
      <c r="Q401" s="15" t="str">
        <f>VLOOKUP(A401,sinap!$A$2:$R$9000,12,FALSE)</f>
        <v>11.1.01.0893</v>
      </c>
      <c r="R401" s="15" t="str">
        <f>VLOOKUP(A401,sinap!$A$2:$R$9000,16,FALSE)</f>
        <v>11.1.01.0790</v>
      </c>
      <c r="S401" s="15" t="str">
        <f>VLOOKUP(A401,sinap!$A$2:$Y$9000,20,FALSE)</f>
        <v>SI</v>
      </c>
    </row>
    <row r="402" spans="1:19" s="16" customFormat="1" hidden="1" x14ac:dyDescent="0.25">
      <c r="A402" s="15">
        <v>10932029</v>
      </c>
      <c r="B402" s="15"/>
      <c r="C402" s="15"/>
      <c r="F402" s="16">
        <v>44923</v>
      </c>
      <c r="G402" s="16">
        <v>45239</v>
      </c>
      <c r="J402" s="15" t="str">
        <f>VLOOKUP(A402,sinap!$A$2:$R$9000,2,FALSE)</f>
        <v>M</v>
      </c>
      <c r="K402" s="15" t="str">
        <f>VLOOKUP(A402,sinap!$A$2:$R$9000,3,FALSE)</f>
        <v>TORO</v>
      </c>
      <c r="L402" s="15" t="str">
        <f>VLOOKUP(A402,sinap!$A$2:$R$9000,4,FALSE)</f>
        <v>ANGUS NEGRO</v>
      </c>
      <c r="M402" s="15" t="str">
        <f>VLOOKUP(A402,sinap!$A$2:$R$9000,5,FALSE)</f>
        <v>11 años 2 meses</v>
      </c>
      <c r="N402" s="15" t="str">
        <f>VLOOKUP(A402,sinap!$A$2:$R$9000,6,FALSE)</f>
        <v>30-10-2014</v>
      </c>
      <c r="O402" s="15" t="str">
        <f>VLOOKUP(A402,sinap!$A$2:$R$9000,7,FALSE)</f>
        <v>Vivo</v>
      </c>
      <c r="P402" s="15" t="str">
        <f>VLOOKUP(A402,sinap!$A$2:$R$9000,8,FALSE)</f>
        <v>11.1.01.1241</v>
      </c>
      <c r="Q402" s="15" t="str">
        <f>VLOOKUP(A402,sinap!$A$2:$R$9000,12,FALSE)</f>
        <v>11.1.01.0790</v>
      </c>
      <c r="R402" s="15" t="str">
        <f>VLOOKUP(A402,sinap!$A$2:$R$9000,16,FALSE)</f>
        <v>11.1.01.0790</v>
      </c>
      <c r="S402" s="15" t="str">
        <f>VLOOKUP(A402,sinap!$A$2:$Y$9000,20,FALSE)</f>
        <v>SI</v>
      </c>
    </row>
    <row r="403" spans="1:19" s="16" customFormat="1" hidden="1" x14ac:dyDescent="0.25">
      <c r="A403" s="15">
        <v>10932035</v>
      </c>
      <c r="B403" s="15"/>
      <c r="C403" s="15"/>
      <c r="F403" s="16">
        <v>44923</v>
      </c>
      <c r="G403" s="16">
        <v>45247</v>
      </c>
      <c r="J403" s="15" t="str">
        <f>VLOOKUP(A403,sinap!$A$2:$R$9000,2,FALSE)</f>
        <v>H</v>
      </c>
      <c r="K403" s="15" t="str">
        <f>VLOOKUP(A403,sinap!$A$2:$R$9000,3,FALSE)</f>
        <v>VACA</v>
      </c>
      <c r="L403" s="15" t="str">
        <f>VLOOKUP(A403,sinap!$A$2:$R$9000,4,FALSE)</f>
        <v>ANGUS NEGRO</v>
      </c>
      <c r="M403" s="15" t="str">
        <f>VLOOKUP(A403,sinap!$A$2:$R$9000,5,FALSE)</f>
        <v>11 años 2 meses</v>
      </c>
      <c r="N403" s="15" t="str">
        <f>VLOOKUP(A403,sinap!$A$2:$R$9000,6,FALSE)</f>
        <v>30-10-2014</v>
      </c>
      <c r="O403" s="15" t="str">
        <f>VLOOKUP(A403,sinap!$A$2:$R$9000,7,FALSE)</f>
        <v>Vivo</v>
      </c>
      <c r="P403" s="15" t="str">
        <f>VLOOKUP(A403,sinap!$A$2:$R$9000,8,FALSE)</f>
        <v>11.1.01.1241</v>
      </c>
      <c r="Q403" s="15" t="str">
        <f>VLOOKUP(A403,sinap!$A$2:$R$9000,12,FALSE)</f>
        <v>11.1.01.0893</v>
      </c>
      <c r="R403" s="15" t="str">
        <f>VLOOKUP(A403,sinap!$A$2:$R$9000,16,FALSE)</f>
        <v>11.1.01.0790</v>
      </c>
      <c r="S403" s="15" t="str">
        <f>VLOOKUP(A403,sinap!$A$2:$Y$9000,20,FALSE)</f>
        <v>SI</v>
      </c>
    </row>
    <row r="404" spans="1:19" s="16" customFormat="1" hidden="1" x14ac:dyDescent="0.25">
      <c r="A404" s="15">
        <v>10932036</v>
      </c>
      <c r="B404" s="15"/>
      <c r="C404" s="15"/>
      <c r="J404" s="15" t="str">
        <f>VLOOKUP(A404,sinap!$A$2:$R$9000,2,FALSE)</f>
        <v>H</v>
      </c>
      <c r="K404" s="15" t="str">
        <f>VLOOKUP(A404,sinap!$A$2:$R$9000,3,FALSE)</f>
        <v>VACA</v>
      </c>
      <c r="L404" s="15" t="str">
        <f>VLOOKUP(A404,sinap!$A$2:$R$9000,4,FALSE)</f>
        <v>ANGUS ROJO</v>
      </c>
      <c r="M404" s="15" t="str">
        <f>VLOOKUP(A404,sinap!$A$2:$R$9000,5,FALSE)</f>
        <v>11 años 2 meses</v>
      </c>
      <c r="N404" s="15" t="str">
        <f>VLOOKUP(A404,sinap!$A$2:$R$9000,6,FALSE)</f>
        <v>30-10-2014</v>
      </c>
      <c r="O404" s="15" t="str">
        <f>VLOOKUP(A404,sinap!$A$2:$R$9000,7,FALSE)</f>
        <v>Vivo</v>
      </c>
      <c r="P404" s="15" t="str">
        <f>VLOOKUP(A404,sinap!$A$2:$R$9000,8,FALSE)</f>
        <v>11.1.01.1241</v>
      </c>
      <c r="Q404" s="15" t="str">
        <f>VLOOKUP(A404,sinap!$A$2:$R$9000,12,FALSE)</f>
        <v>11.1.01.0893</v>
      </c>
      <c r="R404" s="15" t="str">
        <f>VLOOKUP(A404,sinap!$A$2:$R$9000,16,FALSE)</f>
        <v>11.1.01.0790</v>
      </c>
      <c r="S404" s="15" t="str">
        <f>VLOOKUP(A404,sinap!$A$2:$Y$9000,20,FALSE)</f>
        <v>SI</v>
      </c>
    </row>
    <row r="405" spans="1:19" s="16" customFormat="1" hidden="1" x14ac:dyDescent="0.25">
      <c r="A405" s="15">
        <v>10932041</v>
      </c>
      <c r="B405" s="15"/>
      <c r="C405" s="15"/>
      <c r="F405" s="16">
        <v>44923</v>
      </c>
      <c r="G405" s="16">
        <v>45247</v>
      </c>
      <c r="J405" s="15" t="str">
        <f>VLOOKUP(A405,sinap!$A$2:$R$9000,2,FALSE)</f>
        <v>H</v>
      </c>
      <c r="K405" s="15" t="str">
        <f>VLOOKUP(A405,sinap!$A$2:$R$9000,3,FALSE)</f>
        <v>VACA</v>
      </c>
      <c r="L405" s="15" t="str">
        <f>VLOOKUP(A405,sinap!$A$2:$R$9000,4,FALSE)</f>
        <v>ANGUS NEGRO</v>
      </c>
      <c r="M405" s="15" t="str">
        <f>VLOOKUP(A405,sinap!$A$2:$R$9000,5,FALSE)</f>
        <v>11 años 3 meses</v>
      </c>
      <c r="N405" s="15" t="str">
        <f>VLOOKUP(A405,sinap!$A$2:$R$9000,6,FALSE)</f>
        <v>30-09-2014</v>
      </c>
      <c r="O405" s="15" t="str">
        <f>VLOOKUP(A405,sinap!$A$2:$R$9000,7,FALSE)</f>
        <v>Vivo</v>
      </c>
      <c r="P405" s="15" t="str">
        <f>VLOOKUP(A405,sinap!$A$2:$R$9000,8,FALSE)</f>
        <v>11.1.01.1241</v>
      </c>
      <c r="Q405" s="15" t="str">
        <f>VLOOKUP(A405,sinap!$A$2:$R$9000,12,FALSE)</f>
        <v>11.1.01.0893</v>
      </c>
      <c r="R405" s="15" t="str">
        <f>VLOOKUP(A405,sinap!$A$2:$R$9000,16,FALSE)</f>
        <v>11.1.01.0790</v>
      </c>
      <c r="S405" s="15" t="str">
        <f>VLOOKUP(A405,sinap!$A$2:$Y$9000,20,FALSE)</f>
        <v>SI</v>
      </c>
    </row>
    <row r="406" spans="1:19" s="16" customFormat="1" hidden="1" x14ac:dyDescent="0.25">
      <c r="A406" s="15">
        <v>10932054</v>
      </c>
      <c r="B406" s="15"/>
      <c r="C406" s="15"/>
      <c r="F406" s="16">
        <v>44923</v>
      </c>
      <c r="G406" s="16">
        <v>45247</v>
      </c>
      <c r="J406" s="15" t="str">
        <f>VLOOKUP(A406,sinap!$A$2:$R$9000,2,FALSE)</f>
        <v>H</v>
      </c>
      <c r="K406" s="15" t="str">
        <f>VLOOKUP(A406,sinap!$A$2:$R$9000,3,FALSE)</f>
        <v>VACA</v>
      </c>
      <c r="L406" s="15" t="str">
        <f>VLOOKUP(A406,sinap!$A$2:$R$9000,4,FALSE)</f>
        <v>ANGUS NEGRO</v>
      </c>
      <c r="M406" s="15" t="str">
        <f>VLOOKUP(A406,sinap!$A$2:$R$9000,5,FALSE)</f>
        <v>11 años 2 meses</v>
      </c>
      <c r="N406" s="15" t="str">
        <f>VLOOKUP(A406,sinap!$A$2:$R$9000,6,FALSE)</f>
        <v>30-10-2014</v>
      </c>
      <c r="O406" s="15" t="str">
        <f>VLOOKUP(A406,sinap!$A$2:$R$9000,7,FALSE)</f>
        <v>Vivo</v>
      </c>
      <c r="P406" s="15" t="str">
        <f>VLOOKUP(A406,sinap!$A$2:$R$9000,8,FALSE)</f>
        <v>11.1.01.1241</v>
      </c>
      <c r="Q406" s="15" t="str">
        <f>VLOOKUP(A406,sinap!$A$2:$R$9000,12,FALSE)</f>
        <v>11.1.01.0893</v>
      </c>
      <c r="R406" s="15" t="str">
        <f>VLOOKUP(A406,sinap!$A$2:$R$9000,16,FALSE)</f>
        <v>11.1.01.0790</v>
      </c>
      <c r="S406" s="15" t="str">
        <f>VLOOKUP(A406,sinap!$A$2:$Y$9000,20,FALSE)</f>
        <v>SI</v>
      </c>
    </row>
    <row r="407" spans="1:19" s="16" customFormat="1" hidden="1" x14ac:dyDescent="0.25">
      <c r="A407" s="15">
        <v>10932055</v>
      </c>
      <c r="B407" s="15"/>
      <c r="C407" s="15"/>
      <c r="F407" s="16">
        <v>44923</v>
      </c>
      <c r="G407" s="16">
        <v>45239</v>
      </c>
      <c r="J407" s="15" t="str">
        <f>VLOOKUP(A407,sinap!$A$2:$R$9000,2,FALSE)</f>
        <v>H</v>
      </c>
      <c r="K407" s="15" t="str">
        <f>VLOOKUP(A407,sinap!$A$2:$R$9000,3,FALSE)</f>
        <v>VACA</v>
      </c>
      <c r="L407" s="15" t="str">
        <f>VLOOKUP(A407,sinap!$A$2:$R$9000,4,FALSE)</f>
        <v>HEREFORD</v>
      </c>
      <c r="M407" s="15" t="str">
        <f>VLOOKUP(A407,sinap!$A$2:$R$9000,5,FALSE)</f>
        <v>11 años 2 meses</v>
      </c>
      <c r="N407" s="15" t="str">
        <f>VLOOKUP(A407,sinap!$A$2:$R$9000,6,FALSE)</f>
        <v>30-10-2014</v>
      </c>
      <c r="O407" s="15" t="str">
        <f>VLOOKUP(A407,sinap!$A$2:$R$9000,7,FALSE)</f>
        <v>Vivo</v>
      </c>
      <c r="P407" s="15" t="str">
        <f>VLOOKUP(A407,sinap!$A$2:$R$9000,8,FALSE)</f>
        <v>11.1.01.1241</v>
      </c>
      <c r="Q407" s="15" t="str">
        <f>VLOOKUP(A407,sinap!$A$2:$R$9000,12,FALSE)</f>
        <v>11.1.01.0893</v>
      </c>
      <c r="R407" s="15" t="str">
        <f>VLOOKUP(A407,sinap!$A$2:$R$9000,16,FALSE)</f>
        <v>11.1.01.0790</v>
      </c>
      <c r="S407" s="15" t="str">
        <f>VLOOKUP(A407,sinap!$A$2:$Y$9000,20,FALSE)</f>
        <v>SI</v>
      </c>
    </row>
    <row r="408" spans="1:19" s="16" customFormat="1" hidden="1" x14ac:dyDescent="0.25">
      <c r="A408" s="15">
        <v>10932058</v>
      </c>
      <c r="B408" s="15"/>
      <c r="C408" s="15"/>
      <c r="J408" s="15" t="str">
        <f>VLOOKUP(A408,sinap!$A$2:$R$9000,2,FALSE)</f>
        <v>M</v>
      </c>
      <c r="K408" s="15" t="str">
        <f>VLOOKUP(A408,sinap!$A$2:$R$9000,3,FALSE)</f>
        <v>TORO</v>
      </c>
      <c r="L408" s="15" t="str">
        <f>VLOOKUP(A408,sinap!$A$2:$R$9000,4,FALSE)</f>
        <v>ANGUS NEGRO</v>
      </c>
      <c r="M408" s="15" t="str">
        <f>VLOOKUP(A408,sinap!$A$2:$R$9000,5,FALSE)</f>
        <v>11 años 3 meses</v>
      </c>
      <c r="N408" s="15" t="str">
        <f>VLOOKUP(A408,sinap!$A$2:$R$9000,6,FALSE)</f>
        <v>30-09-2014</v>
      </c>
      <c r="O408" s="15" t="str">
        <f>VLOOKUP(A408,sinap!$A$2:$R$9000,7,FALSE)</f>
        <v>Vivo</v>
      </c>
      <c r="P408" s="15" t="str">
        <f>VLOOKUP(A408,sinap!$A$2:$R$9000,8,FALSE)</f>
        <v>11.1.01.0893</v>
      </c>
      <c r="Q408" s="15" t="str">
        <f>VLOOKUP(A408,sinap!$A$2:$R$9000,12,FALSE)</f>
        <v>11.1.01.0790</v>
      </c>
      <c r="R408" s="15" t="str">
        <f>VLOOKUP(A408,sinap!$A$2:$R$9000,16,FALSE)</f>
        <v>11.1.01.0790</v>
      </c>
      <c r="S408" s="15" t="str">
        <f>VLOOKUP(A408,sinap!$A$2:$Y$9000,20,FALSE)</f>
        <v>SI</v>
      </c>
    </row>
    <row r="409" spans="1:19" s="16" customFormat="1" hidden="1" x14ac:dyDescent="0.25">
      <c r="A409" s="15">
        <v>10932060</v>
      </c>
      <c r="B409" s="15"/>
      <c r="C409" s="15"/>
      <c r="F409" s="16">
        <v>44923</v>
      </c>
      <c r="G409" s="16">
        <v>45247</v>
      </c>
      <c r="J409" s="15" t="str">
        <f>VLOOKUP(A409,sinap!$A$2:$R$9000,2,FALSE)</f>
        <v>H</v>
      </c>
      <c r="K409" s="15" t="str">
        <f>VLOOKUP(A409,sinap!$A$2:$R$9000,3,FALSE)</f>
        <v>VACA</v>
      </c>
      <c r="L409" s="15" t="str">
        <f>VLOOKUP(A409,sinap!$A$2:$R$9000,4,FALSE)</f>
        <v>OVERO NEGRO</v>
      </c>
      <c r="M409" s="15" t="str">
        <f>VLOOKUP(A409,sinap!$A$2:$R$9000,5,FALSE)</f>
        <v>11 años 3 meses</v>
      </c>
      <c r="N409" s="15" t="str">
        <f>VLOOKUP(A409,sinap!$A$2:$R$9000,6,FALSE)</f>
        <v>30-09-2014</v>
      </c>
      <c r="O409" s="15" t="str">
        <f>VLOOKUP(A409,sinap!$A$2:$R$9000,7,FALSE)</f>
        <v>Vivo</v>
      </c>
      <c r="P409" s="15" t="str">
        <f>VLOOKUP(A409,sinap!$A$2:$R$9000,8,FALSE)</f>
        <v>11.1.01.1241</v>
      </c>
      <c r="Q409" s="15" t="str">
        <f>VLOOKUP(A409,sinap!$A$2:$R$9000,12,FALSE)</f>
        <v>11.1.01.0893</v>
      </c>
      <c r="R409" s="15" t="str">
        <f>VLOOKUP(A409,sinap!$A$2:$R$9000,16,FALSE)</f>
        <v>11.1.01.0790</v>
      </c>
      <c r="S409" s="15" t="str">
        <f>VLOOKUP(A409,sinap!$A$2:$Y$9000,20,FALSE)</f>
        <v>SI</v>
      </c>
    </row>
    <row r="410" spans="1:19" s="16" customFormat="1" hidden="1" x14ac:dyDescent="0.25">
      <c r="A410" s="15">
        <v>10932065</v>
      </c>
      <c r="B410" s="15"/>
      <c r="C410" s="15"/>
      <c r="F410" s="16">
        <v>44923</v>
      </c>
      <c r="G410" s="16">
        <v>45247</v>
      </c>
      <c r="H410" s="16">
        <v>45648</v>
      </c>
      <c r="I410" s="16">
        <v>45965</v>
      </c>
      <c r="J410" s="15" t="str">
        <f>VLOOKUP(A410,sinap!$A$2:$R$9000,2,FALSE)</f>
        <v>H</v>
      </c>
      <c r="K410" s="15" t="str">
        <f>VLOOKUP(A410,sinap!$A$2:$R$9000,3,FALSE)</f>
        <v>VACA</v>
      </c>
      <c r="L410" s="15" t="str">
        <f>VLOOKUP(A410,sinap!$A$2:$R$9000,4,FALSE)</f>
        <v>ANGUS NEGRO</v>
      </c>
      <c r="M410" s="15" t="str">
        <f>VLOOKUP(A410,sinap!$A$2:$R$9000,5,FALSE)</f>
        <v>11 años 2 meses</v>
      </c>
      <c r="N410" s="15" t="str">
        <f>VLOOKUP(A410,sinap!$A$2:$R$9000,6,FALSE)</f>
        <v>30-10-2014</v>
      </c>
      <c r="O410" s="15" t="str">
        <f>VLOOKUP(A410,sinap!$A$2:$R$9000,7,FALSE)</f>
        <v>Vivo</v>
      </c>
      <c r="P410" s="15" t="str">
        <f>VLOOKUP(A410,sinap!$A$2:$R$9000,8,FALSE)</f>
        <v>11.1.01.0941</v>
      </c>
      <c r="Q410" s="15" t="str">
        <f>VLOOKUP(A410,sinap!$A$2:$R$9000,12,FALSE)</f>
        <v>11.1.01.1241</v>
      </c>
      <c r="R410" s="15" t="str">
        <f>VLOOKUP(A410,sinap!$A$2:$R$9000,16,FALSE)</f>
        <v>11.1.01.0790</v>
      </c>
      <c r="S410" s="15" t="str">
        <f>VLOOKUP(A410,sinap!$A$2:$Y$9000,20,FALSE)</f>
        <v>SI</v>
      </c>
    </row>
    <row r="411" spans="1:19" s="16" customFormat="1" hidden="1" x14ac:dyDescent="0.25">
      <c r="A411" s="15">
        <v>10932067</v>
      </c>
      <c r="B411" s="15"/>
      <c r="C411" s="15"/>
      <c r="F411" s="16">
        <v>44923</v>
      </c>
      <c r="G411" s="16">
        <v>45247</v>
      </c>
      <c r="J411" s="15" t="str">
        <f>VLOOKUP(A411,sinap!$A$2:$R$9000,2,FALSE)</f>
        <v>H</v>
      </c>
      <c r="K411" s="15" t="str">
        <f>VLOOKUP(A411,sinap!$A$2:$R$9000,3,FALSE)</f>
        <v>VACA</v>
      </c>
      <c r="L411" s="15" t="str">
        <f>VLOOKUP(A411,sinap!$A$2:$R$9000,4,FALSE)</f>
        <v>ANGUS NEGRO</v>
      </c>
      <c r="M411" s="15" t="str">
        <f>VLOOKUP(A411,sinap!$A$2:$R$9000,5,FALSE)</f>
        <v>11 años 3 meses</v>
      </c>
      <c r="N411" s="15" t="str">
        <f>VLOOKUP(A411,sinap!$A$2:$R$9000,6,FALSE)</f>
        <v>30-09-2014</v>
      </c>
      <c r="O411" s="15" t="str">
        <f>VLOOKUP(A411,sinap!$A$2:$R$9000,7,FALSE)</f>
        <v>Vivo</v>
      </c>
      <c r="P411" s="15" t="str">
        <f>VLOOKUP(A411,sinap!$A$2:$R$9000,8,FALSE)</f>
        <v>11.1.01.1241</v>
      </c>
      <c r="Q411" s="15" t="str">
        <f>VLOOKUP(A411,sinap!$A$2:$R$9000,12,FALSE)</f>
        <v>11.1.01.0893</v>
      </c>
      <c r="R411" s="15" t="str">
        <f>VLOOKUP(A411,sinap!$A$2:$R$9000,16,FALSE)</f>
        <v>11.1.01.0790</v>
      </c>
      <c r="S411" s="15" t="str">
        <f>VLOOKUP(A411,sinap!$A$2:$Y$9000,20,FALSE)</f>
        <v>SI</v>
      </c>
    </row>
    <row r="412" spans="1:19" s="16" customFormat="1" hidden="1" x14ac:dyDescent="0.25">
      <c r="A412" s="15">
        <v>10932069</v>
      </c>
      <c r="B412" s="15"/>
      <c r="C412" s="15"/>
      <c r="J412" s="15" t="str">
        <f>VLOOKUP(A412,sinap!$A$2:$R$9000,2,FALSE)</f>
        <v>H</v>
      </c>
      <c r="K412" s="15" t="str">
        <f>VLOOKUP(A412,sinap!$A$2:$R$9000,3,FALSE)</f>
        <v>VACA</v>
      </c>
      <c r="L412" s="15" t="str">
        <f>VLOOKUP(A412,sinap!$A$2:$R$9000,4,FALSE)</f>
        <v>ANGUS ROJO</v>
      </c>
      <c r="M412" s="15" t="str">
        <f>VLOOKUP(A412,sinap!$A$2:$R$9000,5,FALSE)</f>
        <v>11 años 2 meses</v>
      </c>
      <c r="N412" s="15" t="str">
        <f>VLOOKUP(A412,sinap!$A$2:$R$9000,6,FALSE)</f>
        <v>30-10-2014</v>
      </c>
      <c r="O412" s="15" t="str">
        <f>VLOOKUP(A412,sinap!$A$2:$R$9000,7,FALSE)</f>
        <v>Vivo</v>
      </c>
      <c r="P412" s="15" t="str">
        <f>VLOOKUP(A412,sinap!$A$2:$R$9000,8,FALSE)</f>
        <v>11.1.01.1241</v>
      </c>
      <c r="Q412" s="15" t="str">
        <f>VLOOKUP(A412,sinap!$A$2:$R$9000,12,FALSE)</f>
        <v>11.1.01.0893</v>
      </c>
      <c r="R412" s="15" t="str">
        <f>VLOOKUP(A412,sinap!$A$2:$R$9000,16,FALSE)</f>
        <v>11.1.01.0790</v>
      </c>
      <c r="S412" s="15" t="str">
        <f>VLOOKUP(A412,sinap!$A$2:$Y$9000,20,FALSE)</f>
        <v>SI</v>
      </c>
    </row>
    <row r="413" spans="1:19" s="16" customFormat="1" hidden="1" x14ac:dyDescent="0.25">
      <c r="A413" s="15">
        <v>10932070</v>
      </c>
      <c r="B413" s="15"/>
      <c r="C413" s="15"/>
      <c r="F413" s="16">
        <v>44923</v>
      </c>
      <c r="G413" s="16">
        <v>45239</v>
      </c>
      <c r="J413" s="15" t="str">
        <f>VLOOKUP(A413,sinap!$A$2:$R$9000,2,FALSE)</f>
        <v>H</v>
      </c>
      <c r="K413" s="15" t="str">
        <f>VLOOKUP(A413,sinap!$A$2:$R$9000,3,FALSE)</f>
        <v>VACA</v>
      </c>
      <c r="L413" s="15" t="str">
        <f>VLOOKUP(A413,sinap!$A$2:$R$9000,4,FALSE)</f>
        <v>ANGUS NEGRO</v>
      </c>
      <c r="M413" s="15" t="str">
        <f>VLOOKUP(A413,sinap!$A$2:$R$9000,5,FALSE)</f>
        <v>11 años 3 meses</v>
      </c>
      <c r="N413" s="15" t="str">
        <f>VLOOKUP(A413,sinap!$A$2:$R$9000,6,FALSE)</f>
        <v>30-09-2014</v>
      </c>
      <c r="O413" s="15" t="str">
        <f>VLOOKUP(A413,sinap!$A$2:$R$9000,7,FALSE)</f>
        <v>Vivo</v>
      </c>
      <c r="P413" s="15" t="str">
        <f>VLOOKUP(A413,sinap!$A$2:$R$9000,8,FALSE)</f>
        <v>11.1.01.1241</v>
      </c>
      <c r="Q413" s="15" t="str">
        <f>VLOOKUP(A413,sinap!$A$2:$R$9000,12,FALSE)</f>
        <v>11.1.01.0893</v>
      </c>
      <c r="R413" s="15" t="str">
        <f>VLOOKUP(A413,sinap!$A$2:$R$9000,16,FALSE)</f>
        <v>11.1.01.0790</v>
      </c>
      <c r="S413" s="15" t="str">
        <f>VLOOKUP(A413,sinap!$A$2:$Y$9000,20,FALSE)</f>
        <v>SI</v>
      </c>
    </row>
    <row r="414" spans="1:19" s="16" customFormat="1" hidden="1" x14ac:dyDescent="0.25">
      <c r="A414" s="15">
        <v>10932073</v>
      </c>
      <c r="B414" s="15"/>
      <c r="C414" s="15"/>
      <c r="F414" s="16">
        <v>44923</v>
      </c>
      <c r="G414" s="16">
        <v>45247</v>
      </c>
      <c r="J414" s="15" t="str">
        <f>VLOOKUP(A414,sinap!$A$2:$R$9000,2,FALSE)</f>
        <v>H</v>
      </c>
      <c r="K414" s="15" t="str">
        <f>VLOOKUP(A414,sinap!$A$2:$R$9000,3,FALSE)</f>
        <v>VACA</v>
      </c>
      <c r="L414" s="15" t="str">
        <f>VLOOKUP(A414,sinap!$A$2:$R$9000,4,FALSE)</f>
        <v>ANGUS NEGRO</v>
      </c>
      <c r="M414" s="15" t="str">
        <f>VLOOKUP(A414,sinap!$A$2:$R$9000,5,FALSE)</f>
        <v>11 años 3 meses</v>
      </c>
      <c r="N414" s="15" t="str">
        <f>VLOOKUP(A414,sinap!$A$2:$R$9000,6,FALSE)</f>
        <v>30-09-2014</v>
      </c>
      <c r="O414" s="15" t="str">
        <f>VLOOKUP(A414,sinap!$A$2:$R$9000,7,FALSE)</f>
        <v>Vivo</v>
      </c>
      <c r="P414" s="15" t="str">
        <f>VLOOKUP(A414,sinap!$A$2:$R$9000,8,FALSE)</f>
        <v>11.1.01.1241</v>
      </c>
      <c r="Q414" s="15" t="str">
        <f>VLOOKUP(A414,sinap!$A$2:$R$9000,12,FALSE)</f>
        <v>11.1.01.0893</v>
      </c>
      <c r="R414" s="15" t="str">
        <f>VLOOKUP(A414,sinap!$A$2:$R$9000,16,FALSE)</f>
        <v>11.1.01.0790</v>
      </c>
      <c r="S414" s="15" t="str">
        <f>VLOOKUP(A414,sinap!$A$2:$Y$9000,20,FALSE)</f>
        <v>SI</v>
      </c>
    </row>
    <row r="415" spans="1:19" s="16" customFormat="1" hidden="1" x14ac:dyDescent="0.25">
      <c r="A415" s="15">
        <v>10932074</v>
      </c>
      <c r="B415" s="15"/>
      <c r="C415" s="15"/>
      <c r="F415" s="16">
        <v>44923</v>
      </c>
      <c r="G415" s="16">
        <v>45239</v>
      </c>
      <c r="J415" s="15" t="str">
        <f>VLOOKUP(A415,sinap!$A$2:$R$9000,2,FALSE)</f>
        <v>H</v>
      </c>
      <c r="K415" s="15" t="str">
        <f>VLOOKUP(A415,sinap!$A$2:$R$9000,3,FALSE)</f>
        <v>VACA</v>
      </c>
      <c r="L415" s="15" t="str">
        <f>VLOOKUP(A415,sinap!$A$2:$R$9000,4,FALSE)</f>
        <v>LIMOUSIN</v>
      </c>
      <c r="M415" s="15" t="str">
        <f>VLOOKUP(A415,sinap!$A$2:$R$9000,5,FALSE)</f>
        <v>11 años 4 meses</v>
      </c>
      <c r="N415" s="15" t="str">
        <f>VLOOKUP(A415,sinap!$A$2:$R$9000,6,FALSE)</f>
        <v>30-08-2014</v>
      </c>
      <c r="O415" s="15" t="str">
        <f>VLOOKUP(A415,sinap!$A$2:$R$9000,7,FALSE)</f>
        <v>Vivo</v>
      </c>
      <c r="P415" s="15" t="str">
        <f>VLOOKUP(A415,sinap!$A$2:$R$9000,8,FALSE)</f>
        <v>11.1.01.1241</v>
      </c>
      <c r="Q415" s="15" t="str">
        <f>VLOOKUP(A415,sinap!$A$2:$R$9000,12,FALSE)</f>
        <v>11.1.01.0893</v>
      </c>
      <c r="R415" s="15" t="str">
        <f>VLOOKUP(A415,sinap!$A$2:$R$9000,16,FALSE)</f>
        <v>11.1.01.0790</v>
      </c>
      <c r="S415" s="15" t="str">
        <f>VLOOKUP(A415,sinap!$A$2:$Y$9000,20,FALSE)</f>
        <v>SI</v>
      </c>
    </row>
    <row r="416" spans="1:19" s="16" customFormat="1" hidden="1" x14ac:dyDescent="0.25">
      <c r="A416" s="15">
        <v>10932075</v>
      </c>
      <c r="B416" s="15"/>
      <c r="C416" s="15"/>
      <c r="F416" s="16">
        <v>44923</v>
      </c>
      <c r="G416" s="16">
        <v>45239</v>
      </c>
      <c r="J416" s="15" t="str">
        <f>VLOOKUP(A416,sinap!$A$2:$R$9000,2,FALSE)</f>
        <v>H</v>
      </c>
      <c r="K416" s="15" t="str">
        <f>VLOOKUP(A416,sinap!$A$2:$R$9000,3,FALSE)</f>
        <v>VACA</v>
      </c>
      <c r="L416" s="15" t="str">
        <f>VLOOKUP(A416,sinap!$A$2:$R$9000,4,FALSE)</f>
        <v>ANGUS ROJO</v>
      </c>
      <c r="M416" s="15" t="str">
        <f>VLOOKUP(A416,sinap!$A$2:$R$9000,5,FALSE)</f>
        <v>11 años 4 meses</v>
      </c>
      <c r="N416" s="15" t="str">
        <f>VLOOKUP(A416,sinap!$A$2:$R$9000,6,FALSE)</f>
        <v>30-08-2014</v>
      </c>
      <c r="O416" s="15" t="str">
        <f>VLOOKUP(A416,sinap!$A$2:$R$9000,7,FALSE)</f>
        <v>Vivo</v>
      </c>
      <c r="P416" s="15" t="str">
        <f>VLOOKUP(A416,sinap!$A$2:$R$9000,8,FALSE)</f>
        <v>11.1.01.1241</v>
      </c>
      <c r="Q416" s="15" t="str">
        <f>VLOOKUP(A416,sinap!$A$2:$R$9000,12,FALSE)</f>
        <v>11.1.01.0893</v>
      </c>
      <c r="R416" s="15" t="str">
        <f>VLOOKUP(A416,sinap!$A$2:$R$9000,16,FALSE)</f>
        <v>11.1.01.0790</v>
      </c>
      <c r="S416" s="15" t="str">
        <f>VLOOKUP(A416,sinap!$A$2:$Y$9000,20,FALSE)</f>
        <v>SI</v>
      </c>
    </row>
    <row r="417" spans="1:19" s="16" customFormat="1" hidden="1" x14ac:dyDescent="0.25">
      <c r="A417" s="15">
        <v>10932083</v>
      </c>
      <c r="B417" s="15"/>
      <c r="C417" s="15"/>
      <c r="F417" s="16">
        <v>44923</v>
      </c>
      <c r="G417" s="16">
        <v>45239</v>
      </c>
      <c r="J417" s="15" t="str">
        <f>VLOOKUP(A417,sinap!$A$2:$R$9000,2,FALSE)</f>
        <v>H</v>
      </c>
      <c r="K417" s="15" t="str">
        <f>VLOOKUP(A417,sinap!$A$2:$R$9000,3,FALSE)</f>
        <v>VACA</v>
      </c>
      <c r="L417" s="15" t="str">
        <f>VLOOKUP(A417,sinap!$A$2:$R$9000,4,FALSE)</f>
        <v>ANGUS NEGRO</v>
      </c>
      <c r="M417" s="15" t="str">
        <f>VLOOKUP(A417,sinap!$A$2:$R$9000,5,FALSE)</f>
        <v>11 años 4 meses</v>
      </c>
      <c r="N417" s="15" t="str">
        <f>VLOOKUP(A417,sinap!$A$2:$R$9000,6,FALSE)</f>
        <v>30-08-2014</v>
      </c>
      <c r="O417" s="15" t="str">
        <f>VLOOKUP(A417,sinap!$A$2:$R$9000,7,FALSE)</f>
        <v>Vivo</v>
      </c>
      <c r="P417" s="15" t="str">
        <f>VLOOKUP(A417,sinap!$A$2:$R$9000,8,FALSE)</f>
        <v>11.1.01.1241</v>
      </c>
      <c r="Q417" s="15" t="str">
        <f>VLOOKUP(A417,sinap!$A$2:$R$9000,12,FALSE)</f>
        <v>11.1.01.0893</v>
      </c>
      <c r="R417" s="15" t="str">
        <f>VLOOKUP(A417,sinap!$A$2:$R$9000,16,FALSE)</f>
        <v>11.1.01.0790</v>
      </c>
      <c r="S417" s="15" t="str">
        <f>VLOOKUP(A417,sinap!$A$2:$Y$9000,20,FALSE)</f>
        <v>SI</v>
      </c>
    </row>
    <row r="418" spans="1:19" s="16" customFormat="1" hidden="1" x14ac:dyDescent="0.25">
      <c r="A418" s="15">
        <v>10932091</v>
      </c>
      <c r="B418" s="15"/>
      <c r="C418" s="15"/>
      <c r="F418" s="16">
        <v>44923</v>
      </c>
      <c r="G418" s="16">
        <v>45239</v>
      </c>
      <c r="J418" s="15" t="str">
        <f>VLOOKUP(A418,sinap!$A$2:$R$9000,2,FALSE)</f>
        <v>H</v>
      </c>
      <c r="K418" s="15" t="str">
        <f>VLOOKUP(A418,sinap!$A$2:$R$9000,3,FALSE)</f>
        <v>VACA</v>
      </c>
      <c r="L418" s="15" t="str">
        <f>VLOOKUP(A418,sinap!$A$2:$R$9000,4,FALSE)</f>
        <v>ANGUS NEGRO</v>
      </c>
      <c r="M418" s="15" t="str">
        <f>VLOOKUP(A418,sinap!$A$2:$R$9000,5,FALSE)</f>
        <v>11 años 4 meses</v>
      </c>
      <c r="N418" s="15" t="str">
        <f>VLOOKUP(A418,sinap!$A$2:$R$9000,6,FALSE)</f>
        <v>30-08-2014</v>
      </c>
      <c r="O418" s="15" t="str">
        <f>VLOOKUP(A418,sinap!$A$2:$R$9000,7,FALSE)</f>
        <v>Vivo</v>
      </c>
      <c r="P418" s="15" t="str">
        <f>VLOOKUP(A418,sinap!$A$2:$R$9000,8,FALSE)</f>
        <v>11.1.01.1241</v>
      </c>
      <c r="Q418" s="15" t="str">
        <f>VLOOKUP(A418,sinap!$A$2:$R$9000,12,FALSE)</f>
        <v>11.1.01.0893</v>
      </c>
      <c r="R418" s="15" t="str">
        <f>VLOOKUP(A418,sinap!$A$2:$R$9000,16,FALSE)</f>
        <v>11.1.01.0790</v>
      </c>
      <c r="S418" s="15" t="str">
        <f>VLOOKUP(A418,sinap!$A$2:$Y$9000,20,FALSE)</f>
        <v>SI</v>
      </c>
    </row>
    <row r="419" spans="1:19" s="16" customFormat="1" hidden="1" x14ac:dyDescent="0.25">
      <c r="A419" s="15">
        <v>10932092</v>
      </c>
      <c r="B419" s="15"/>
      <c r="C419" s="15"/>
      <c r="F419" s="16">
        <v>44923</v>
      </c>
      <c r="G419" s="16">
        <v>45239</v>
      </c>
      <c r="J419" s="15" t="str">
        <f>VLOOKUP(A419,sinap!$A$2:$R$9000,2,FALSE)</f>
        <v>H</v>
      </c>
      <c r="K419" s="15" t="str">
        <f>VLOOKUP(A419,sinap!$A$2:$R$9000,3,FALSE)</f>
        <v>VACA</v>
      </c>
      <c r="L419" s="15" t="str">
        <f>VLOOKUP(A419,sinap!$A$2:$R$9000,4,FALSE)</f>
        <v>ANGUS ROJO</v>
      </c>
      <c r="M419" s="15" t="str">
        <f>VLOOKUP(A419,sinap!$A$2:$R$9000,5,FALSE)</f>
        <v>11 años 4 meses</v>
      </c>
      <c r="N419" s="15" t="str">
        <f>VLOOKUP(A419,sinap!$A$2:$R$9000,6,FALSE)</f>
        <v>30-08-2014</v>
      </c>
      <c r="O419" s="15" t="str">
        <f>VLOOKUP(A419,sinap!$A$2:$R$9000,7,FALSE)</f>
        <v>Vivo</v>
      </c>
      <c r="P419" s="15" t="str">
        <f>VLOOKUP(A419,sinap!$A$2:$R$9000,8,FALSE)</f>
        <v>11.1.01.1241</v>
      </c>
      <c r="Q419" s="15" t="str">
        <f>VLOOKUP(A419,sinap!$A$2:$R$9000,12,FALSE)</f>
        <v>11.1.01.0893</v>
      </c>
      <c r="R419" s="15" t="str">
        <f>VLOOKUP(A419,sinap!$A$2:$R$9000,16,FALSE)</f>
        <v>11.1.01.0790</v>
      </c>
      <c r="S419" s="15" t="str">
        <f>VLOOKUP(A419,sinap!$A$2:$Y$9000,20,FALSE)</f>
        <v>SI</v>
      </c>
    </row>
    <row r="420" spans="1:19" s="16" customFormat="1" hidden="1" x14ac:dyDescent="0.25">
      <c r="A420" s="15">
        <v>10932145</v>
      </c>
      <c r="B420" s="15"/>
      <c r="C420" s="15"/>
      <c r="F420" s="16">
        <v>44923</v>
      </c>
      <c r="G420" s="16">
        <v>45239</v>
      </c>
      <c r="J420" s="15" t="str">
        <f>VLOOKUP(A420,sinap!$A$2:$R$9000,2,FALSE)</f>
        <v>H</v>
      </c>
      <c r="K420" s="15" t="str">
        <f>VLOOKUP(A420,sinap!$A$2:$R$9000,3,FALSE)</f>
        <v>VACA</v>
      </c>
      <c r="L420" s="15" t="str">
        <f>VLOOKUP(A420,sinap!$A$2:$R$9000,4,FALSE)</f>
        <v>HEREFORD</v>
      </c>
      <c r="M420" s="15" t="str">
        <f>VLOOKUP(A420,sinap!$A$2:$R$9000,5,FALSE)</f>
        <v>10 años 4 meses</v>
      </c>
      <c r="N420" s="15" t="str">
        <f>VLOOKUP(A420,sinap!$A$2:$R$9000,6,FALSE)</f>
        <v>15-09-2015</v>
      </c>
      <c r="O420" s="15" t="str">
        <f>VLOOKUP(A420,sinap!$A$2:$R$9000,7,FALSE)</f>
        <v>Vivo</v>
      </c>
      <c r="P420" s="15" t="str">
        <f>VLOOKUP(A420,sinap!$A$2:$R$9000,8,FALSE)</f>
        <v>11.1.01.1241</v>
      </c>
      <c r="Q420" s="15" t="str">
        <f>VLOOKUP(A420,sinap!$A$2:$R$9000,12,FALSE)</f>
        <v>11.1.01.0893</v>
      </c>
      <c r="R420" s="15" t="str">
        <f>VLOOKUP(A420,sinap!$A$2:$R$9000,16,FALSE)</f>
        <v>11.1.01.0893</v>
      </c>
      <c r="S420" s="15" t="str">
        <f>VLOOKUP(A420,sinap!$A$2:$Y$9000,20,FALSE)</f>
        <v>SI</v>
      </c>
    </row>
    <row r="421" spans="1:19" s="16" customFormat="1" hidden="1" x14ac:dyDescent="0.25">
      <c r="A421" s="15">
        <v>10932161</v>
      </c>
      <c r="B421" s="15"/>
      <c r="C421" s="15"/>
      <c r="J421" s="15" t="str">
        <f>VLOOKUP(A421,sinap!$A$2:$R$9000,2,FALSE)</f>
        <v>H</v>
      </c>
      <c r="K421" s="15" t="str">
        <f>VLOOKUP(A421,sinap!$A$2:$R$9000,3,FALSE)</f>
        <v>VACA</v>
      </c>
      <c r="L421" s="15" t="str">
        <f>VLOOKUP(A421,sinap!$A$2:$R$9000,4,FALSE)</f>
        <v>ANGUS NEGRO</v>
      </c>
      <c r="M421" s="15" t="str">
        <f>VLOOKUP(A421,sinap!$A$2:$R$9000,5,FALSE)</f>
        <v>11 años 3 meses</v>
      </c>
      <c r="N421" s="15" t="str">
        <f>VLOOKUP(A421,sinap!$A$2:$R$9000,6,FALSE)</f>
        <v>30-09-2014</v>
      </c>
      <c r="O421" s="15" t="str">
        <f>VLOOKUP(A421,sinap!$A$2:$R$9000,7,FALSE)</f>
        <v>Vivo</v>
      </c>
      <c r="P421" s="15" t="str">
        <f>VLOOKUP(A421,sinap!$A$2:$R$9000,8,FALSE)</f>
        <v>11.1.01.0893</v>
      </c>
      <c r="Q421" s="15" t="str">
        <f>VLOOKUP(A421,sinap!$A$2:$R$9000,12,FALSE)</f>
        <v>11.1.01.1241</v>
      </c>
      <c r="R421" s="15" t="str">
        <f>VLOOKUP(A421,sinap!$A$2:$R$9000,16,FALSE)</f>
        <v>11.1.01.0790</v>
      </c>
      <c r="S421" s="15" t="str">
        <f>VLOOKUP(A421,sinap!$A$2:$Y$9000,20,FALSE)</f>
        <v>SI</v>
      </c>
    </row>
    <row r="422" spans="1:19" s="16" customFormat="1" hidden="1" x14ac:dyDescent="0.25">
      <c r="A422" s="15">
        <v>10943299</v>
      </c>
      <c r="B422" s="15"/>
      <c r="C422" s="15"/>
      <c r="F422" s="16">
        <v>44923</v>
      </c>
      <c r="G422" s="16">
        <v>45239</v>
      </c>
      <c r="H422" s="16">
        <v>45297</v>
      </c>
      <c r="J422" s="15" t="str">
        <f>VLOOKUP(A422,sinap!$A$2:$R$9000,2,FALSE)</f>
        <v>H</v>
      </c>
      <c r="K422" s="15" t="str">
        <f>VLOOKUP(A422,sinap!$A$2:$R$9000,3,FALSE)</f>
        <v>VACA</v>
      </c>
      <c r="L422" s="15" t="str">
        <f>VLOOKUP(A422,sinap!$A$2:$R$9000,4,FALSE)</f>
        <v>ANGUS NEGRO</v>
      </c>
      <c r="M422" s="15" t="str">
        <f>VLOOKUP(A422,sinap!$A$2:$R$9000,5,FALSE)</f>
        <v>11 años 2 meses</v>
      </c>
      <c r="N422" s="15" t="str">
        <f>VLOOKUP(A422,sinap!$A$2:$R$9000,6,FALSE)</f>
        <v>15-11-2014</v>
      </c>
      <c r="O422" s="15" t="str">
        <f>VLOOKUP(A422,sinap!$A$2:$R$9000,7,FALSE)</f>
        <v>Vivo</v>
      </c>
      <c r="P422" s="15" t="str">
        <f>VLOOKUP(A422,sinap!$A$2:$R$9000,8,FALSE)</f>
        <v>11.1.01.0791</v>
      </c>
      <c r="Q422" s="15" t="str">
        <f>VLOOKUP(A422,sinap!$A$2:$R$9000,12,FALSE)</f>
        <v>11.1.01.0893</v>
      </c>
      <c r="R422" s="15" t="str">
        <f>VLOOKUP(A422,sinap!$A$2:$R$9000,16,FALSE)</f>
        <v>11.2.01.0038</v>
      </c>
      <c r="S422" s="15" t="str">
        <f>VLOOKUP(A422,sinap!$A$2:$Y$9000,20,FALSE)</f>
        <v>SI</v>
      </c>
    </row>
    <row r="423" spans="1:19" s="16" customFormat="1" hidden="1" x14ac:dyDescent="0.25">
      <c r="A423" s="15">
        <v>10943330</v>
      </c>
      <c r="B423" s="15"/>
      <c r="C423" s="15"/>
      <c r="F423" s="16">
        <v>44923</v>
      </c>
      <c r="G423" s="16">
        <v>45239</v>
      </c>
      <c r="J423" s="15" t="str">
        <f>VLOOKUP(A423,sinap!$A$2:$R$9000,2,FALSE)</f>
        <v>M</v>
      </c>
      <c r="K423" s="15" t="str">
        <f>VLOOKUP(A423,sinap!$A$2:$R$9000,3,FALSE)</f>
        <v>TORO</v>
      </c>
      <c r="L423" s="15" t="str">
        <f>VLOOKUP(A423,sinap!$A$2:$R$9000,4,FALSE)</f>
        <v>ANGUS NEGRO</v>
      </c>
      <c r="M423" s="15" t="str">
        <f>VLOOKUP(A423,sinap!$A$2:$R$9000,5,FALSE)</f>
        <v>11 años 2 meses</v>
      </c>
      <c r="N423" s="15" t="str">
        <f>VLOOKUP(A423,sinap!$A$2:$R$9000,6,FALSE)</f>
        <v>15-11-2014</v>
      </c>
      <c r="O423" s="15" t="str">
        <f>VLOOKUP(A423,sinap!$A$2:$R$9000,7,FALSE)</f>
        <v>Vivo</v>
      </c>
      <c r="P423" s="15" t="str">
        <f>VLOOKUP(A423,sinap!$A$2:$R$9000,8,FALSE)</f>
        <v>11.1.01.1241</v>
      </c>
      <c r="Q423" s="15" t="str">
        <f>VLOOKUP(A423,sinap!$A$2:$R$9000,12,FALSE)</f>
        <v>11.2.01.0038</v>
      </c>
      <c r="R423" s="15" t="str">
        <f>VLOOKUP(A423,sinap!$A$2:$R$9000,16,FALSE)</f>
        <v>11.2.01.0038</v>
      </c>
      <c r="S423" s="15" t="str">
        <f>VLOOKUP(A423,sinap!$A$2:$Y$9000,20,FALSE)</f>
        <v>SI</v>
      </c>
    </row>
    <row r="424" spans="1:19" s="16" customFormat="1" hidden="1" x14ac:dyDescent="0.25">
      <c r="A424" s="15">
        <v>10943339</v>
      </c>
      <c r="B424" s="15"/>
      <c r="C424" s="15"/>
      <c r="F424" s="16">
        <v>44923</v>
      </c>
      <c r="G424" s="16">
        <v>45247</v>
      </c>
      <c r="J424" s="15" t="str">
        <f>VLOOKUP(A424,sinap!$A$2:$R$9000,2,FALSE)</f>
        <v>M</v>
      </c>
      <c r="K424" s="15" t="str">
        <f>VLOOKUP(A424,sinap!$A$2:$R$9000,3,FALSE)</f>
        <v>TORO</v>
      </c>
      <c r="L424" s="15" t="str">
        <f>VLOOKUP(A424,sinap!$A$2:$R$9000,4,FALSE)</f>
        <v>ANGUS NEGRO</v>
      </c>
      <c r="M424" s="15" t="str">
        <f>VLOOKUP(A424,sinap!$A$2:$R$9000,5,FALSE)</f>
        <v>11 años 2 meses</v>
      </c>
      <c r="N424" s="15" t="str">
        <f>VLOOKUP(A424,sinap!$A$2:$R$9000,6,FALSE)</f>
        <v>15-11-2014</v>
      </c>
      <c r="O424" s="15" t="str">
        <f>VLOOKUP(A424,sinap!$A$2:$R$9000,7,FALSE)</f>
        <v>Vivo</v>
      </c>
      <c r="P424" s="15" t="str">
        <f>VLOOKUP(A424,sinap!$A$2:$R$9000,8,FALSE)</f>
        <v>11.1.01.1241</v>
      </c>
      <c r="Q424" s="15" t="str">
        <f>VLOOKUP(A424,sinap!$A$2:$R$9000,12,FALSE)</f>
        <v>11.2.01.0038</v>
      </c>
      <c r="R424" s="15" t="str">
        <f>VLOOKUP(A424,sinap!$A$2:$R$9000,16,FALSE)</f>
        <v>11.2.01.0038</v>
      </c>
      <c r="S424" s="15" t="str">
        <f>VLOOKUP(A424,sinap!$A$2:$Y$9000,20,FALSE)</f>
        <v>SI</v>
      </c>
    </row>
    <row r="425" spans="1:19" s="16" customFormat="1" hidden="1" x14ac:dyDescent="0.25">
      <c r="A425" s="15">
        <v>11184715</v>
      </c>
      <c r="B425" s="15"/>
      <c r="C425" s="15"/>
      <c r="F425" s="16">
        <v>44923</v>
      </c>
      <c r="G425" s="16">
        <v>45239</v>
      </c>
      <c r="J425" s="15" t="str">
        <f>VLOOKUP(A425,sinap!$A$2:$R$9000,2,FALSE)</f>
        <v>M</v>
      </c>
      <c r="K425" s="15" t="str">
        <f>VLOOKUP(A425,sinap!$A$2:$R$9000,3,FALSE)</f>
        <v>TORO</v>
      </c>
      <c r="L425" s="15" t="str">
        <f>VLOOKUP(A425,sinap!$A$2:$R$9000,4,FALSE)</f>
        <v>ANGUS NEGRO</v>
      </c>
      <c r="M425" s="15" t="str">
        <f>VLOOKUP(A425,sinap!$A$2:$R$9000,5,FALSE)</f>
        <v>10 años 3 meses</v>
      </c>
      <c r="N425" s="15" t="str">
        <f>VLOOKUP(A425,sinap!$A$2:$R$9000,6,FALSE)</f>
        <v>30-09-2015</v>
      </c>
      <c r="O425" s="15" t="str">
        <f>VLOOKUP(A425,sinap!$A$2:$R$9000,7,FALSE)</f>
        <v>Vivo</v>
      </c>
      <c r="P425" s="15" t="str">
        <f>VLOOKUP(A425,sinap!$A$2:$R$9000,8,FALSE)</f>
        <v>11.1.01.1241</v>
      </c>
      <c r="Q425" s="15" t="str">
        <f>VLOOKUP(A425,sinap!$A$2:$R$9000,12,FALSE)</f>
        <v>11.1.01.0791</v>
      </c>
      <c r="R425" s="15" t="str">
        <f>VLOOKUP(A425,sinap!$A$2:$R$9000,16,FALSE)</f>
        <v>11.1.01.0290</v>
      </c>
      <c r="S425" s="15" t="str">
        <f>VLOOKUP(A425,sinap!$A$2:$Y$9000,20,FALSE)</f>
        <v>SI</v>
      </c>
    </row>
    <row r="426" spans="1:19" s="16" customFormat="1" hidden="1" x14ac:dyDescent="0.25">
      <c r="A426" s="15">
        <v>11184758</v>
      </c>
      <c r="B426" s="15"/>
      <c r="C426" s="15"/>
      <c r="F426" s="16">
        <v>44923</v>
      </c>
      <c r="G426" s="16">
        <v>45239</v>
      </c>
      <c r="J426" s="15" t="str">
        <f>VLOOKUP(A426,sinap!$A$2:$R$9000,2,FALSE)</f>
        <v>M</v>
      </c>
      <c r="K426" s="15" t="str">
        <f>VLOOKUP(A426,sinap!$A$2:$R$9000,3,FALSE)</f>
        <v>TORO</v>
      </c>
      <c r="L426" s="15" t="str">
        <f>VLOOKUP(A426,sinap!$A$2:$R$9000,4,FALSE)</f>
        <v>ANGUS NEGRO</v>
      </c>
      <c r="M426" s="15" t="str">
        <f>VLOOKUP(A426,sinap!$A$2:$R$9000,5,FALSE)</f>
        <v>10 años 3 meses</v>
      </c>
      <c r="N426" s="15" t="str">
        <f>VLOOKUP(A426,sinap!$A$2:$R$9000,6,FALSE)</f>
        <v>30-09-2015</v>
      </c>
      <c r="O426" s="15" t="str">
        <f>VLOOKUP(A426,sinap!$A$2:$R$9000,7,FALSE)</f>
        <v>Vivo</v>
      </c>
      <c r="P426" s="15" t="str">
        <f>VLOOKUP(A426,sinap!$A$2:$R$9000,8,FALSE)</f>
        <v>11.1.01.0893</v>
      </c>
      <c r="Q426" s="15" t="str">
        <f>VLOOKUP(A426,sinap!$A$2:$R$9000,12,FALSE)</f>
        <v>11.1.01.1241</v>
      </c>
      <c r="R426" s="15" t="str">
        <f>VLOOKUP(A426,sinap!$A$2:$R$9000,16,FALSE)</f>
        <v>11.1.01.0290</v>
      </c>
      <c r="S426" s="15" t="str">
        <f>VLOOKUP(A426,sinap!$A$2:$Y$9000,20,FALSE)</f>
        <v>SI</v>
      </c>
    </row>
    <row r="427" spans="1:19" s="16" customFormat="1" hidden="1" x14ac:dyDescent="0.25">
      <c r="A427" s="15">
        <v>11185013</v>
      </c>
      <c r="B427" s="15"/>
      <c r="C427" s="15"/>
      <c r="F427" s="16">
        <v>44923</v>
      </c>
      <c r="G427" s="16">
        <v>45247</v>
      </c>
      <c r="J427" s="15" t="str">
        <f>VLOOKUP(A427,sinap!$A$2:$R$9000,2,FALSE)</f>
        <v>no existe</v>
      </c>
      <c r="K427" s="15" t="str">
        <f>VLOOKUP(A427,sinap!$A$2:$R$9000,3,FALSE)</f>
        <v>no existe</v>
      </c>
      <c r="L427" s="15" t="str">
        <f>VLOOKUP(A427,sinap!$A$2:$R$9000,4,FALSE)</f>
        <v>no existe</v>
      </c>
      <c r="M427" s="15" t="str">
        <f>VLOOKUP(A427,sinap!$A$2:$R$9000,5,FALSE)</f>
        <v>no existe</v>
      </c>
      <c r="N427" s="15" t="str">
        <f>VLOOKUP(A427,sinap!$A$2:$R$9000,6,FALSE)</f>
        <v>no existe</v>
      </c>
      <c r="O427" s="15" t="str">
        <f>VLOOKUP(A427,sinap!$A$2:$R$9000,7,FALSE)</f>
        <v>no existe</v>
      </c>
      <c r="P427" s="15" t="str">
        <f>VLOOKUP(A427,sinap!$A$2:$R$9000,8,FALSE)</f>
        <v>no existe</v>
      </c>
      <c r="Q427" s="15" t="str">
        <f>VLOOKUP(A427,sinap!$A$2:$R$9000,12,FALSE)</f>
        <v>no existe</v>
      </c>
      <c r="R427" s="15" t="str">
        <f>VLOOKUP(A427,sinap!$A$2:$R$9000,16,FALSE)</f>
        <v>no existe</v>
      </c>
      <c r="S427" s="15" t="str">
        <f>VLOOKUP(A427,sinap!$A$2:$Y$9000,20,FALSE)</f>
        <v>no existe</v>
      </c>
    </row>
    <row r="428" spans="1:19" s="16" customFormat="1" hidden="1" x14ac:dyDescent="0.25">
      <c r="A428" s="15">
        <v>11189200</v>
      </c>
      <c r="B428" s="15"/>
      <c r="C428" s="15"/>
      <c r="F428" s="16">
        <v>44923</v>
      </c>
      <c r="G428" s="16">
        <v>45239</v>
      </c>
      <c r="J428" s="15" t="str">
        <f>VLOOKUP(A428,sinap!$A$2:$R$9000,2,FALSE)</f>
        <v>M</v>
      </c>
      <c r="K428" s="15" t="str">
        <f>VLOOKUP(A428,sinap!$A$2:$R$9000,3,FALSE)</f>
        <v>TORO</v>
      </c>
      <c r="L428" s="15" t="str">
        <f>VLOOKUP(A428,sinap!$A$2:$R$9000,4,FALSE)</f>
        <v>ANGUS NEGRO</v>
      </c>
      <c r="M428" s="15" t="str">
        <f>VLOOKUP(A428,sinap!$A$2:$R$9000,5,FALSE)</f>
        <v>11 años 3 meses</v>
      </c>
      <c r="N428" s="15" t="str">
        <f>VLOOKUP(A428,sinap!$A$2:$R$9000,6,FALSE)</f>
        <v>15-10-2014</v>
      </c>
      <c r="O428" s="15" t="str">
        <f>VLOOKUP(A428,sinap!$A$2:$R$9000,7,FALSE)</f>
        <v>Vivo</v>
      </c>
      <c r="P428" s="15" t="str">
        <f>VLOOKUP(A428,sinap!$A$2:$R$9000,8,FALSE)</f>
        <v>11.1.01.0893</v>
      </c>
      <c r="Q428" s="15" t="str">
        <f>VLOOKUP(A428,sinap!$A$2:$R$9000,12,FALSE)</f>
        <v>11.1.01.1241</v>
      </c>
      <c r="R428" s="15" t="str">
        <f>VLOOKUP(A428,sinap!$A$2:$R$9000,16,FALSE)</f>
        <v>11.1.01.0290</v>
      </c>
      <c r="S428" s="15" t="str">
        <f>VLOOKUP(A428,sinap!$A$2:$Y$9000,20,FALSE)</f>
        <v>SI</v>
      </c>
    </row>
    <row r="429" spans="1:19" s="16" customFormat="1" hidden="1" x14ac:dyDescent="0.25">
      <c r="A429" s="15">
        <v>11189268</v>
      </c>
      <c r="B429" s="15"/>
      <c r="C429" s="15"/>
      <c r="F429" s="16">
        <v>44923</v>
      </c>
      <c r="G429" s="16">
        <v>45239</v>
      </c>
      <c r="J429" s="15" t="str">
        <f>VLOOKUP(A429,sinap!$A$2:$R$9000,2,FALSE)</f>
        <v>M</v>
      </c>
      <c r="K429" s="15" t="str">
        <f>VLOOKUP(A429,sinap!$A$2:$R$9000,3,FALSE)</f>
        <v>TORO</v>
      </c>
      <c r="L429" s="15" t="str">
        <f>VLOOKUP(A429,sinap!$A$2:$R$9000,4,FALSE)</f>
        <v>ANGUS NEGRO</v>
      </c>
      <c r="M429" s="15" t="str">
        <f>VLOOKUP(A429,sinap!$A$2:$R$9000,5,FALSE)</f>
        <v>11 años 3 meses</v>
      </c>
      <c r="N429" s="15" t="str">
        <f>VLOOKUP(A429,sinap!$A$2:$R$9000,6,FALSE)</f>
        <v>15-10-2014</v>
      </c>
      <c r="O429" s="15" t="str">
        <f>VLOOKUP(A429,sinap!$A$2:$R$9000,7,FALSE)</f>
        <v>Vivo</v>
      </c>
      <c r="P429" s="15" t="str">
        <f>VLOOKUP(A429,sinap!$A$2:$R$9000,8,FALSE)</f>
        <v>11.2.01.0038</v>
      </c>
      <c r="Q429" s="15" t="str">
        <f>VLOOKUP(A429,sinap!$A$2:$R$9000,12,FALSE)</f>
        <v>11.1.01.1241</v>
      </c>
      <c r="R429" s="15" t="str">
        <f>VLOOKUP(A429,sinap!$A$2:$R$9000,16,FALSE)</f>
        <v>11.1.01.0290</v>
      </c>
      <c r="S429" s="15" t="str">
        <f>VLOOKUP(A429,sinap!$A$2:$Y$9000,20,FALSE)</f>
        <v>SI</v>
      </c>
    </row>
    <row r="430" spans="1:19" s="16" customFormat="1" hidden="1" x14ac:dyDescent="0.25">
      <c r="A430" s="15">
        <v>11793279</v>
      </c>
      <c r="B430" s="15"/>
      <c r="C430" s="15"/>
      <c r="F430" s="16">
        <v>44923</v>
      </c>
      <c r="G430" s="16">
        <v>45247</v>
      </c>
      <c r="J430" s="15" t="str">
        <f>VLOOKUP(A430,sinap!$A$2:$R$9000,2,FALSE)</f>
        <v>H</v>
      </c>
      <c r="K430" s="15" t="str">
        <f>VLOOKUP(A430,sinap!$A$2:$R$9000,3,FALSE)</f>
        <v>VACA</v>
      </c>
      <c r="L430" s="15" t="str">
        <f>VLOOKUP(A430,sinap!$A$2:$R$9000,4,FALSE)</f>
        <v>ANGUS ROJO</v>
      </c>
      <c r="M430" s="15" t="str">
        <f>VLOOKUP(A430,sinap!$A$2:$R$9000,5,FALSE)</f>
        <v>10 años 3 meses</v>
      </c>
      <c r="N430" s="15" t="str">
        <f>VLOOKUP(A430,sinap!$A$2:$R$9000,6,FALSE)</f>
        <v>15-10-2015</v>
      </c>
      <c r="O430" s="15" t="str">
        <f>VLOOKUP(A430,sinap!$A$2:$R$9000,7,FALSE)</f>
        <v>Vivo</v>
      </c>
      <c r="P430" s="15" t="str">
        <f>VLOOKUP(A430,sinap!$A$2:$R$9000,8,FALSE)</f>
        <v>11.1.01.1241</v>
      </c>
      <c r="Q430" s="15" t="str">
        <f>VLOOKUP(A430,sinap!$A$2:$R$9000,12,FALSE)</f>
        <v>11.1.01.0791</v>
      </c>
      <c r="R430" s="15" t="str">
        <f>VLOOKUP(A430,sinap!$A$2:$R$9000,16,FALSE)</f>
        <v>11.1.01.0893</v>
      </c>
      <c r="S430" s="15" t="str">
        <f>VLOOKUP(A430,sinap!$A$2:$Y$9000,20,FALSE)</f>
        <v>SI</v>
      </c>
    </row>
    <row r="431" spans="1:19" s="16" customFormat="1" hidden="1" x14ac:dyDescent="0.25">
      <c r="A431" s="15">
        <v>11793298</v>
      </c>
      <c r="B431" s="15"/>
      <c r="C431" s="15"/>
      <c r="F431" s="16">
        <v>44923</v>
      </c>
      <c r="G431" s="16">
        <v>45247</v>
      </c>
      <c r="J431" s="15" t="str">
        <f>VLOOKUP(A431,sinap!$A$2:$R$9000,2,FALSE)</f>
        <v>H</v>
      </c>
      <c r="K431" s="15" t="str">
        <f>VLOOKUP(A431,sinap!$A$2:$R$9000,3,FALSE)</f>
        <v>VACA</v>
      </c>
      <c r="L431" s="15" t="str">
        <f>VLOOKUP(A431,sinap!$A$2:$R$9000,4,FALSE)</f>
        <v>ANGUS NEGRO</v>
      </c>
      <c r="M431" s="15" t="str">
        <f>VLOOKUP(A431,sinap!$A$2:$R$9000,5,FALSE)</f>
        <v>10 años 4 meses</v>
      </c>
      <c r="N431" s="15" t="str">
        <f>VLOOKUP(A431,sinap!$A$2:$R$9000,6,FALSE)</f>
        <v>15-09-2015</v>
      </c>
      <c r="O431" s="15" t="str">
        <f>VLOOKUP(A431,sinap!$A$2:$R$9000,7,FALSE)</f>
        <v>Vivo</v>
      </c>
      <c r="P431" s="15" t="str">
        <f>VLOOKUP(A431,sinap!$A$2:$R$9000,8,FALSE)</f>
        <v>11.1.01.1241</v>
      </c>
      <c r="Q431" s="15" t="str">
        <f>VLOOKUP(A431,sinap!$A$2:$R$9000,12,FALSE)</f>
        <v>11.1.01.0893</v>
      </c>
      <c r="R431" s="15" t="str">
        <f>VLOOKUP(A431,sinap!$A$2:$R$9000,16,FALSE)</f>
        <v>11.1.01.0893</v>
      </c>
      <c r="S431" s="15" t="str">
        <f>VLOOKUP(A431,sinap!$A$2:$Y$9000,20,FALSE)</f>
        <v>SI</v>
      </c>
    </row>
    <row r="432" spans="1:19" s="16" customFormat="1" hidden="1" x14ac:dyDescent="0.25">
      <c r="A432" s="15">
        <v>11793309</v>
      </c>
      <c r="B432" s="15"/>
      <c r="C432" s="15"/>
      <c r="F432" s="16">
        <v>44923</v>
      </c>
      <c r="G432" s="16">
        <v>45247</v>
      </c>
      <c r="J432" s="15" t="str">
        <f>VLOOKUP(A432,sinap!$A$2:$R$9000,2,FALSE)</f>
        <v>H</v>
      </c>
      <c r="K432" s="15" t="str">
        <f>VLOOKUP(A432,sinap!$A$2:$R$9000,3,FALSE)</f>
        <v>VACA</v>
      </c>
      <c r="L432" s="15" t="str">
        <f>VLOOKUP(A432,sinap!$A$2:$R$9000,4,FALSE)</f>
        <v>ANGUS ROJO</v>
      </c>
      <c r="M432" s="15" t="str">
        <f>VLOOKUP(A432,sinap!$A$2:$R$9000,5,FALSE)</f>
        <v>10 años 3 meses</v>
      </c>
      <c r="N432" s="15" t="str">
        <f>VLOOKUP(A432,sinap!$A$2:$R$9000,6,FALSE)</f>
        <v>15-10-2015</v>
      </c>
      <c r="O432" s="15" t="str">
        <f>VLOOKUP(A432,sinap!$A$2:$R$9000,7,FALSE)</f>
        <v>Vivo</v>
      </c>
      <c r="P432" s="15" t="str">
        <f>VLOOKUP(A432,sinap!$A$2:$R$9000,8,FALSE)</f>
        <v>11.1.01.1241</v>
      </c>
      <c r="Q432" s="15" t="str">
        <f>VLOOKUP(A432,sinap!$A$2:$R$9000,12,FALSE)</f>
        <v>11.1.01.0893</v>
      </c>
      <c r="R432" s="15" t="str">
        <f>VLOOKUP(A432,sinap!$A$2:$R$9000,16,FALSE)</f>
        <v>11.1.01.0893</v>
      </c>
      <c r="S432" s="15" t="str">
        <f>VLOOKUP(A432,sinap!$A$2:$Y$9000,20,FALSE)</f>
        <v>SI</v>
      </c>
    </row>
    <row r="433" spans="1:19" s="16" customFormat="1" hidden="1" x14ac:dyDescent="0.25">
      <c r="A433" s="15">
        <v>11793314</v>
      </c>
      <c r="B433" s="15"/>
      <c r="C433" s="15"/>
      <c r="F433" s="16">
        <v>44923</v>
      </c>
      <c r="G433" s="16">
        <v>45247</v>
      </c>
      <c r="J433" s="15" t="str">
        <f>VLOOKUP(A433,sinap!$A$2:$R$9000,2,FALSE)</f>
        <v>M</v>
      </c>
      <c r="K433" s="15" t="str">
        <f>VLOOKUP(A433,sinap!$A$2:$R$9000,3,FALSE)</f>
        <v>TORO</v>
      </c>
      <c r="L433" s="15" t="str">
        <f>VLOOKUP(A433,sinap!$A$2:$R$9000,4,FALSE)</f>
        <v>ANGUS NEGRO</v>
      </c>
      <c r="M433" s="15" t="str">
        <f>VLOOKUP(A433,sinap!$A$2:$R$9000,5,FALSE)</f>
        <v>10 años 4 meses</v>
      </c>
      <c r="N433" s="15" t="str">
        <f>VLOOKUP(A433,sinap!$A$2:$R$9000,6,FALSE)</f>
        <v>15-09-2015</v>
      </c>
      <c r="O433" s="15" t="str">
        <f>VLOOKUP(A433,sinap!$A$2:$R$9000,7,FALSE)</f>
        <v>Vivo</v>
      </c>
      <c r="P433" s="15" t="str">
        <f>VLOOKUP(A433,sinap!$A$2:$R$9000,8,FALSE)</f>
        <v>11.1.01.1241</v>
      </c>
      <c r="Q433" s="15" t="str">
        <f>VLOOKUP(A433,sinap!$A$2:$R$9000,12,FALSE)</f>
        <v>11.1.01.0893</v>
      </c>
      <c r="R433" s="15" t="str">
        <f>VLOOKUP(A433,sinap!$A$2:$R$9000,16,FALSE)</f>
        <v>11.1.01.0893</v>
      </c>
      <c r="S433" s="15" t="str">
        <f>VLOOKUP(A433,sinap!$A$2:$Y$9000,20,FALSE)</f>
        <v>SI</v>
      </c>
    </row>
    <row r="434" spans="1:19" s="16" customFormat="1" hidden="1" x14ac:dyDescent="0.25">
      <c r="A434" s="15">
        <v>11793315</v>
      </c>
      <c r="B434" s="15"/>
      <c r="C434" s="15"/>
      <c r="F434" s="16">
        <v>44923</v>
      </c>
      <c r="G434" s="16">
        <v>45247</v>
      </c>
      <c r="J434" s="15" t="str">
        <f>VLOOKUP(A434,sinap!$A$2:$R$9000,2,FALSE)</f>
        <v>H</v>
      </c>
      <c r="K434" s="15" t="str">
        <f>VLOOKUP(A434,sinap!$A$2:$R$9000,3,FALSE)</f>
        <v>VACA</v>
      </c>
      <c r="L434" s="15" t="str">
        <f>VLOOKUP(A434,sinap!$A$2:$R$9000,4,FALSE)</f>
        <v>ANGUS NEGRO</v>
      </c>
      <c r="M434" s="15" t="str">
        <f>VLOOKUP(A434,sinap!$A$2:$R$9000,5,FALSE)</f>
        <v>10 años 4 meses</v>
      </c>
      <c r="N434" s="15" t="str">
        <f>VLOOKUP(A434,sinap!$A$2:$R$9000,6,FALSE)</f>
        <v>15-09-2015</v>
      </c>
      <c r="O434" s="15" t="str">
        <f>VLOOKUP(A434,sinap!$A$2:$R$9000,7,FALSE)</f>
        <v>Vivo</v>
      </c>
      <c r="P434" s="15" t="str">
        <f>VLOOKUP(A434,sinap!$A$2:$R$9000,8,FALSE)</f>
        <v>11.1.01.1241</v>
      </c>
      <c r="Q434" s="15" t="str">
        <f>VLOOKUP(A434,sinap!$A$2:$R$9000,12,FALSE)</f>
        <v>11.1.01.1022</v>
      </c>
      <c r="R434" s="15" t="str">
        <f>VLOOKUP(A434,sinap!$A$2:$R$9000,16,FALSE)</f>
        <v>11.1.01.0893</v>
      </c>
      <c r="S434" s="15" t="str">
        <f>VLOOKUP(A434,sinap!$A$2:$Y$9000,20,FALSE)</f>
        <v>SI</v>
      </c>
    </row>
    <row r="435" spans="1:19" s="16" customFormat="1" hidden="1" x14ac:dyDescent="0.25">
      <c r="A435" s="15">
        <v>11793318</v>
      </c>
      <c r="B435" s="15"/>
      <c r="C435" s="15"/>
      <c r="F435" s="16">
        <v>44923</v>
      </c>
      <c r="G435" s="16">
        <v>45239</v>
      </c>
      <c r="J435" s="15" t="str">
        <f>VLOOKUP(A435,sinap!$A$2:$R$9000,2,FALSE)</f>
        <v>H</v>
      </c>
      <c r="K435" s="15" t="str">
        <f>VLOOKUP(A435,sinap!$A$2:$R$9000,3,FALSE)</f>
        <v>VACA</v>
      </c>
      <c r="L435" s="15" t="str">
        <f>VLOOKUP(A435,sinap!$A$2:$R$9000,4,FALSE)</f>
        <v>ANGUS NEGRO</v>
      </c>
      <c r="M435" s="15" t="str">
        <f>VLOOKUP(A435,sinap!$A$2:$R$9000,5,FALSE)</f>
        <v>10 años 3 meses</v>
      </c>
      <c r="N435" s="15" t="str">
        <f>VLOOKUP(A435,sinap!$A$2:$R$9000,6,FALSE)</f>
        <v>15-10-2015</v>
      </c>
      <c r="O435" s="15" t="str">
        <f>VLOOKUP(A435,sinap!$A$2:$R$9000,7,FALSE)</f>
        <v>Vivo</v>
      </c>
      <c r="P435" s="15" t="str">
        <f>VLOOKUP(A435,sinap!$A$2:$R$9000,8,FALSE)</f>
        <v>11.1.01.0893</v>
      </c>
      <c r="Q435" s="15" t="str">
        <f>VLOOKUP(A435,sinap!$A$2:$R$9000,12,FALSE)</f>
        <v>11.2.01.0053</v>
      </c>
      <c r="R435" s="15" t="str">
        <f>VLOOKUP(A435,sinap!$A$2:$R$9000,16,FALSE)</f>
        <v>11.1.01.0893</v>
      </c>
      <c r="S435" s="15" t="str">
        <f>VLOOKUP(A435,sinap!$A$2:$Y$9000,20,FALSE)</f>
        <v>SI</v>
      </c>
    </row>
    <row r="436" spans="1:19" s="16" customFormat="1" hidden="1" x14ac:dyDescent="0.25">
      <c r="A436" s="15">
        <v>11793335</v>
      </c>
      <c r="B436" s="15"/>
      <c r="C436" s="15"/>
      <c r="F436" s="16">
        <v>44923</v>
      </c>
      <c r="G436" s="16">
        <v>45239</v>
      </c>
      <c r="J436" s="15" t="str">
        <f>VLOOKUP(A436,sinap!$A$2:$R$9000,2,FALSE)</f>
        <v>M</v>
      </c>
      <c r="K436" s="15" t="str">
        <f>VLOOKUP(A436,sinap!$A$2:$R$9000,3,FALSE)</f>
        <v>TORO</v>
      </c>
      <c r="L436" s="15" t="str">
        <f>VLOOKUP(A436,sinap!$A$2:$R$9000,4,FALSE)</f>
        <v>ANGUS NEGRO</v>
      </c>
      <c r="M436" s="15" t="str">
        <f>VLOOKUP(A436,sinap!$A$2:$R$9000,5,FALSE)</f>
        <v>10 años 0 meses</v>
      </c>
      <c r="N436" s="15" t="str">
        <f>VLOOKUP(A436,sinap!$A$2:$R$9000,6,FALSE)</f>
        <v>30-12-2015</v>
      </c>
      <c r="O436" s="15" t="str">
        <f>VLOOKUP(A436,sinap!$A$2:$R$9000,7,FALSE)</f>
        <v>Vivo</v>
      </c>
      <c r="P436" s="15" t="str">
        <f>VLOOKUP(A436,sinap!$A$2:$R$9000,8,FALSE)</f>
        <v>11.1.01.0893</v>
      </c>
      <c r="Q436" s="15" t="str">
        <f>VLOOKUP(A436,sinap!$A$2:$R$9000,12,FALSE)</f>
        <v>Sin Movimiento</v>
      </c>
      <c r="R436" s="15" t="str">
        <f>VLOOKUP(A436,sinap!$A$2:$R$9000,16,FALSE)</f>
        <v>11.1.01.0893</v>
      </c>
      <c r="S436" s="15" t="str">
        <f>VLOOKUP(A436,sinap!$A$2:$Y$9000,20,FALSE)</f>
        <v>SI</v>
      </c>
    </row>
    <row r="437" spans="1:19" s="16" customFormat="1" hidden="1" x14ac:dyDescent="0.25">
      <c r="A437" s="15">
        <v>12602008</v>
      </c>
      <c r="B437" s="15"/>
      <c r="C437" s="15"/>
      <c r="F437" s="16">
        <v>44923</v>
      </c>
      <c r="G437" s="16">
        <v>45247</v>
      </c>
      <c r="J437" s="15" t="str">
        <f>VLOOKUP(A437,sinap!$A$2:$R$9000,2,FALSE)</f>
        <v>H</v>
      </c>
      <c r="K437" s="15" t="str">
        <f>VLOOKUP(A437,sinap!$A$2:$R$9000,3,FALSE)</f>
        <v>VACA</v>
      </c>
      <c r="L437" s="15" t="str">
        <f>VLOOKUP(A437,sinap!$A$2:$R$9000,4,FALSE)</f>
        <v>ANGUS NEGRO</v>
      </c>
      <c r="M437" s="15" t="str">
        <f>VLOOKUP(A437,sinap!$A$2:$R$9000,5,FALSE)</f>
        <v>10 años 3 meses</v>
      </c>
      <c r="N437" s="15" t="str">
        <f>VLOOKUP(A437,sinap!$A$2:$R$9000,6,FALSE)</f>
        <v>30-09-2015</v>
      </c>
      <c r="O437" s="15" t="str">
        <f>VLOOKUP(A437,sinap!$A$2:$R$9000,7,FALSE)</f>
        <v>Vivo</v>
      </c>
      <c r="P437" s="15" t="str">
        <f>VLOOKUP(A437,sinap!$A$2:$R$9000,8,FALSE)</f>
        <v>11.1.01.1241</v>
      </c>
      <c r="Q437" s="15" t="str">
        <f>VLOOKUP(A437,sinap!$A$2:$R$9000,12,FALSE)</f>
        <v>11.1.01.0893</v>
      </c>
      <c r="R437" s="15" t="str">
        <f>VLOOKUP(A437,sinap!$A$2:$R$9000,16,FALSE)</f>
        <v>11.1.01.1081</v>
      </c>
      <c r="S437" s="15" t="str">
        <f>VLOOKUP(A437,sinap!$A$2:$Y$9000,20,FALSE)</f>
        <v>SI</v>
      </c>
    </row>
    <row r="438" spans="1:19" s="16" customFormat="1" hidden="1" x14ac:dyDescent="0.25">
      <c r="A438" s="15">
        <v>12602020</v>
      </c>
      <c r="B438" s="15"/>
      <c r="C438" s="15"/>
      <c r="F438" s="16">
        <v>44923</v>
      </c>
      <c r="G438" s="16">
        <v>45239</v>
      </c>
      <c r="J438" s="15" t="str">
        <f>VLOOKUP(A438,sinap!$A$2:$R$9000,2,FALSE)</f>
        <v>H</v>
      </c>
      <c r="K438" s="15" t="str">
        <f>VLOOKUP(A438,sinap!$A$2:$R$9000,3,FALSE)</f>
        <v>VACA</v>
      </c>
      <c r="L438" s="15" t="str">
        <f>VLOOKUP(A438,sinap!$A$2:$R$9000,4,FALSE)</f>
        <v>ANGUS ROJO</v>
      </c>
      <c r="M438" s="15" t="str">
        <f>VLOOKUP(A438,sinap!$A$2:$R$9000,5,FALSE)</f>
        <v>10 años 3 meses</v>
      </c>
      <c r="N438" s="15" t="str">
        <f>VLOOKUP(A438,sinap!$A$2:$R$9000,6,FALSE)</f>
        <v>30-09-2015</v>
      </c>
      <c r="O438" s="15" t="str">
        <f>VLOOKUP(A438,sinap!$A$2:$R$9000,7,FALSE)</f>
        <v>Vivo</v>
      </c>
      <c r="P438" s="15" t="str">
        <f>VLOOKUP(A438,sinap!$A$2:$R$9000,8,FALSE)</f>
        <v>11.1.01.1241</v>
      </c>
      <c r="Q438" s="15" t="str">
        <f>VLOOKUP(A438,sinap!$A$2:$R$9000,12,FALSE)</f>
        <v>11.1.01.0791</v>
      </c>
      <c r="R438" s="15" t="str">
        <f>VLOOKUP(A438,sinap!$A$2:$R$9000,16,FALSE)</f>
        <v>11.1.01.1081</v>
      </c>
      <c r="S438" s="15" t="str">
        <f>VLOOKUP(A438,sinap!$A$2:$Y$9000,20,FALSE)</f>
        <v>SI</v>
      </c>
    </row>
    <row r="439" spans="1:19" s="16" customFormat="1" hidden="1" x14ac:dyDescent="0.25">
      <c r="A439" s="15">
        <v>12602027</v>
      </c>
      <c r="B439" s="15"/>
      <c r="C439" s="15"/>
      <c r="F439" s="16">
        <v>44923</v>
      </c>
      <c r="G439" s="16">
        <v>45239</v>
      </c>
      <c r="J439" s="15" t="str">
        <f>VLOOKUP(A439,sinap!$A$2:$R$9000,2,FALSE)</f>
        <v>H</v>
      </c>
      <c r="K439" s="15" t="str">
        <f>VLOOKUP(A439,sinap!$A$2:$R$9000,3,FALSE)</f>
        <v>VACA</v>
      </c>
      <c r="L439" s="15" t="str">
        <f>VLOOKUP(A439,sinap!$A$2:$R$9000,4,FALSE)</f>
        <v>ANGUS ROJO</v>
      </c>
      <c r="M439" s="15" t="str">
        <f>VLOOKUP(A439,sinap!$A$2:$R$9000,5,FALSE)</f>
        <v>10 años 3 meses</v>
      </c>
      <c r="N439" s="15" t="str">
        <f>VLOOKUP(A439,sinap!$A$2:$R$9000,6,FALSE)</f>
        <v>10-10-2015</v>
      </c>
      <c r="O439" s="15" t="str">
        <f>VLOOKUP(A439,sinap!$A$2:$R$9000,7,FALSE)</f>
        <v>Vivo</v>
      </c>
      <c r="P439" s="15" t="str">
        <f>VLOOKUP(A439,sinap!$A$2:$R$9000,8,FALSE)</f>
        <v>11.2.01.0038</v>
      </c>
      <c r="Q439" s="15" t="str">
        <f>VLOOKUP(A439,sinap!$A$2:$R$9000,12,FALSE)</f>
        <v>11.1.01.0893</v>
      </c>
      <c r="R439" s="15" t="str">
        <f>VLOOKUP(A439,sinap!$A$2:$R$9000,16,FALSE)</f>
        <v>11.1.01.1081</v>
      </c>
      <c r="S439" s="15" t="str">
        <f>VLOOKUP(A439,sinap!$A$2:$Y$9000,20,FALSE)</f>
        <v>SI</v>
      </c>
    </row>
    <row r="440" spans="1:19" s="16" customFormat="1" hidden="1" x14ac:dyDescent="0.25">
      <c r="A440" s="15">
        <v>12602038</v>
      </c>
      <c r="B440" s="15"/>
      <c r="C440" s="15"/>
      <c r="J440" s="15" t="str">
        <f>VLOOKUP(A440,sinap!$A$2:$R$9000,2,FALSE)</f>
        <v>H</v>
      </c>
      <c r="K440" s="15" t="str">
        <f>VLOOKUP(A440,sinap!$A$2:$R$9000,3,FALSE)</f>
        <v>VACA</v>
      </c>
      <c r="L440" s="15" t="str">
        <f>VLOOKUP(A440,sinap!$A$2:$R$9000,4,FALSE)</f>
        <v>LIMOUSIN</v>
      </c>
      <c r="M440" s="15" t="str">
        <f>VLOOKUP(A440,sinap!$A$2:$R$9000,5,FALSE)</f>
        <v>10 años 3 meses</v>
      </c>
      <c r="N440" s="15" t="str">
        <f>VLOOKUP(A440,sinap!$A$2:$R$9000,6,FALSE)</f>
        <v>30-09-2015</v>
      </c>
      <c r="O440" s="15" t="str">
        <f>VLOOKUP(A440,sinap!$A$2:$R$9000,7,FALSE)</f>
        <v>Vivo</v>
      </c>
      <c r="P440" s="15" t="str">
        <f>VLOOKUP(A440,sinap!$A$2:$R$9000,8,FALSE)</f>
        <v>11.1.01.1241</v>
      </c>
      <c r="Q440" s="15" t="str">
        <f>VLOOKUP(A440,sinap!$A$2:$R$9000,12,FALSE)</f>
        <v>11.2.01.0038</v>
      </c>
      <c r="R440" s="15" t="str">
        <f>VLOOKUP(A440,sinap!$A$2:$R$9000,16,FALSE)</f>
        <v>11.1.01.1081</v>
      </c>
      <c r="S440" s="15" t="str">
        <f>VLOOKUP(A440,sinap!$A$2:$Y$9000,20,FALSE)</f>
        <v>SI</v>
      </c>
    </row>
    <row r="441" spans="1:19" s="16" customFormat="1" hidden="1" x14ac:dyDescent="0.25">
      <c r="A441" s="15">
        <v>12602039</v>
      </c>
      <c r="B441" s="15"/>
      <c r="C441" s="15"/>
      <c r="F441" s="16">
        <v>44923</v>
      </c>
      <c r="G441" s="16">
        <v>45247</v>
      </c>
      <c r="H441" s="16">
        <v>45297</v>
      </c>
      <c r="J441" s="15" t="str">
        <f>VLOOKUP(A441,sinap!$A$2:$R$9000,2,FALSE)</f>
        <v>H</v>
      </c>
      <c r="K441" s="15" t="str">
        <f>VLOOKUP(A441,sinap!$A$2:$R$9000,3,FALSE)</f>
        <v>VACA</v>
      </c>
      <c r="L441" s="15" t="str">
        <f>VLOOKUP(A441,sinap!$A$2:$R$9000,4,FALSE)</f>
        <v>ANGUS ROJO</v>
      </c>
      <c r="M441" s="15" t="str">
        <f>VLOOKUP(A441,sinap!$A$2:$R$9000,5,FALSE)</f>
        <v>10 años 3 meses</v>
      </c>
      <c r="N441" s="15" t="str">
        <f>VLOOKUP(A441,sinap!$A$2:$R$9000,6,FALSE)</f>
        <v>30-09-2015</v>
      </c>
      <c r="O441" s="15" t="str">
        <f>VLOOKUP(A441,sinap!$A$2:$R$9000,7,FALSE)</f>
        <v>Vivo</v>
      </c>
      <c r="P441" s="15" t="str">
        <f>VLOOKUP(A441,sinap!$A$2:$R$9000,8,FALSE)</f>
        <v>11.2.01.0038</v>
      </c>
      <c r="Q441" s="15" t="str">
        <f>VLOOKUP(A441,sinap!$A$2:$R$9000,12,FALSE)</f>
        <v>11.1.01.0893</v>
      </c>
      <c r="R441" s="15" t="str">
        <f>VLOOKUP(A441,sinap!$A$2:$R$9000,16,FALSE)</f>
        <v>11.1.01.1081</v>
      </c>
      <c r="S441" s="15" t="str">
        <f>VLOOKUP(A441,sinap!$A$2:$Y$9000,20,FALSE)</f>
        <v>SI</v>
      </c>
    </row>
    <row r="442" spans="1:19" s="16" customFormat="1" hidden="1" x14ac:dyDescent="0.25">
      <c r="A442" s="15">
        <v>12602046</v>
      </c>
      <c r="B442" s="15"/>
      <c r="C442" s="15"/>
      <c r="F442" s="16">
        <v>44923</v>
      </c>
      <c r="G442" s="16">
        <v>45239</v>
      </c>
      <c r="J442" s="15" t="str">
        <f>VLOOKUP(A442,sinap!$A$2:$R$9000,2,FALSE)</f>
        <v>H</v>
      </c>
      <c r="K442" s="15" t="str">
        <f>VLOOKUP(A442,sinap!$A$2:$R$9000,3,FALSE)</f>
        <v>VACA</v>
      </c>
      <c r="L442" s="15" t="str">
        <f>VLOOKUP(A442,sinap!$A$2:$R$9000,4,FALSE)</f>
        <v>ANGUS NEGRO</v>
      </c>
      <c r="M442" s="15" t="str">
        <f>VLOOKUP(A442,sinap!$A$2:$R$9000,5,FALSE)</f>
        <v>10 años 3 meses</v>
      </c>
      <c r="N442" s="15" t="str">
        <f>VLOOKUP(A442,sinap!$A$2:$R$9000,6,FALSE)</f>
        <v>30-09-2015</v>
      </c>
      <c r="O442" s="15" t="str">
        <f>VLOOKUP(A442,sinap!$A$2:$R$9000,7,FALSE)</f>
        <v>Vivo</v>
      </c>
      <c r="P442" s="15" t="str">
        <f>VLOOKUP(A442,sinap!$A$2:$R$9000,8,FALSE)</f>
        <v>11.1.01.1241</v>
      </c>
      <c r="Q442" s="15" t="str">
        <f>VLOOKUP(A442,sinap!$A$2:$R$9000,12,FALSE)</f>
        <v>11.2.01.0038</v>
      </c>
      <c r="R442" s="15" t="str">
        <f>VLOOKUP(A442,sinap!$A$2:$R$9000,16,FALSE)</f>
        <v>11.1.01.1081</v>
      </c>
      <c r="S442" s="15" t="str">
        <f>VLOOKUP(A442,sinap!$A$2:$Y$9000,20,FALSE)</f>
        <v>SI</v>
      </c>
    </row>
    <row r="443" spans="1:19" s="16" customFormat="1" hidden="1" x14ac:dyDescent="0.25">
      <c r="A443" s="15">
        <v>12602053</v>
      </c>
      <c r="B443" s="15"/>
      <c r="C443" s="15"/>
      <c r="F443" s="16">
        <v>44923</v>
      </c>
      <c r="G443" s="16">
        <v>45239</v>
      </c>
      <c r="H443" s="16">
        <v>45297</v>
      </c>
      <c r="J443" s="15" t="str">
        <f>VLOOKUP(A443,sinap!$A$2:$R$9000,2,FALSE)</f>
        <v>H</v>
      </c>
      <c r="K443" s="15" t="str">
        <f>VLOOKUP(A443,sinap!$A$2:$R$9000,3,FALSE)</f>
        <v>VACA</v>
      </c>
      <c r="L443" s="15" t="str">
        <f>VLOOKUP(A443,sinap!$A$2:$R$9000,4,FALSE)</f>
        <v>ANGUS NEGRO</v>
      </c>
      <c r="M443" s="15" t="str">
        <f>VLOOKUP(A443,sinap!$A$2:$R$9000,5,FALSE)</f>
        <v>10 años 3 meses</v>
      </c>
      <c r="N443" s="15" t="str">
        <f>VLOOKUP(A443,sinap!$A$2:$R$9000,6,FALSE)</f>
        <v>30-09-2015</v>
      </c>
      <c r="O443" s="15" t="str">
        <f>VLOOKUP(A443,sinap!$A$2:$R$9000,7,FALSE)</f>
        <v>Vivo</v>
      </c>
      <c r="P443" s="15" t="str">
        <f>VLOOKUP(A443,sinap!$A$2:$R$9000,8,FALSE)</f>
        <v>11.2.01.0038</v>
      </c>
      <c r="Q443" s="15" t="str">
        <f>VLOOKUP(A443,sinap!$A$2:$R$9000,12,FALSE)</f>
        <v>11.1.01.0893</v>
      </c>
      <c r="R443" s="15" t="str">
        <f>VLOOKUP(A443,sinap!$A$2:$R$9000,16,FALSE)</f>
        <v>11.1.01.1081</v>
      </c>
      <c r="S443" s="15" t="str">
        <f>VLOOKUP(A443,sinap!$A$2:$Y$9000,20,FALSE)</f>
        <v>SI</v>
      </c>
    </row>
    <row r="444" spans="1:19" s="16" customFormat="1" hidden="1" x14ac:dyDescent="0.25">
      <c r="A444" s="15">
        <v>12602061</v>
      </c>
      <c r="B444" s="15"/>
      <c r="C444" s="15"/>
      <c r="F444" s="16">
        <v>44923</v>
      </c>
      <c r="G444" s="16">
        <v>45239</v>
      </c>
      <c r="J444" s="15" t="str">
        <f>VLOOKUP(A444,sinap!$A$2:$R$9000,2,FALSE)</f>
        <v>H</v>
      </c>
      <c r="K444" s="15" t="str">
        <f>VLOOKUP(A444,sinap!$A$2:$R$9000,3,FALSE)</f>
        <v>VACA</v>
      </c>
      <c r="L444" s="15" t="str">
        <f>VLOOKUP(A444,sinap!$A$2:$R$9000,4,FALSE)</f>
        <v>ANGUS NEGRO</v>
      </c>
      <c r="M444" s="15" t="str">
        <f>VLOOKUP(A444,sinap!$A$2:$R$9000,5,FALSE)</f>
        <v>10 años 3 meses</v>
      </c>
      <c r="N444" s="15" t="str">
        <f>VLOOKUP(A444,sinap!$A$2:$R$9000,6,FALSE)</f>
        <v>30-09-2015</v>
      </c>
      <c r="O444" s="15" t="str">
        <f>VLOOKUP(A444,sinap!$A$2:$R$9000,7,FALSE)</f>
        <v>Vivo</v>
      </c>
      <c r="P444" s="15" t="str">
        <f>VLOOKUP(A444,sinap!$A$2:$R$9000,8,FALSE)</f>
        <v>11.1.01.1241</v>
      </c>
      <c r="Q444" s="15" t="str">
        <f>VLOOKUP(A444,sinap!$A$2:$R$9000,12,FALSE)</f>
        <v>11.1.01.0893</v>
      </c>
      <c r="R444" s="15" t="str">
        <f>VLOOKUP(A444,sinap!$A$2:$R$9000,16,FALSE)</f>
        <v>11.1.01.1081</v>
      </c>
      <c r="S444" s="15" t="str">
        <f>VLOOKUP(A444,sinap!$A$2:$Y$9000,20,FALSE)</f>
        <v>SI</v>
      </c>
    </row>
    <row r="445" spans="1:19" s="16" customFormat="1" hidden="1" x14ac:dyDescent="0.25">
      <c r="A445" s="15">
        <v>12602088</v>
      </c>
      <c r="B445" s="15"/>
      <c r="C445" s="15"/>
      <c r="F445" s="16">
        <v>44923</v>
      </c>
      <c r="G445" s="16">
        <v>45239</v>
      </c>
      <c r="J445" s="15" t="str">
        <f>VLOOKUP(A445,sinap!$A$2:$R$9000,2,FALSE)</f>
        <v>H</v>
      </c>
      <c r="K445" s="15" t="str">
        <f>VLOOKUP(A445,sinap!$A$2:$R$9000,3,FALSE)</f>
        <v>VACA</v>
      </c>
      <c r="L445" s="15" t="str">
        <f>VLOOKUP(A445,sinap!$A$2:$R$9000,4,FALSE)</f>
        <v>ANGUS NEGRO</v>
      </c>
      <c r="M445" s="15" t="str">
        <f>VLOOKUP(A445,sinap!$A$2:$R$9000,5,FALSE)</f>
        <v>10 años 4 meses</v>
      </c>
      <c r="N445" s="15" t="str">
        <f>VLOOKUP(A445,sinap!$A$2:$R$9000,6,FALSE)</f>
        <v>15-09-2015</v>
      </c>
      <c r="O445" s="15" t="str">
        <f>VLOOKUP(A445,sinap!$A$2:$R$9000,7,FALSE)</f>
        <v>Vivo</v>
      </c>
      <c r="P445" s="15" t="str">
        <f>VLOOKUP(A445,sinap!$A$2:$R$9000,8,FALSE)</f>
        <v>11.2.01.0038</v>
      </c>
      <c r="Q445" s="15" t="str">
        <f>VLOOKUP(A445,sinap!$A$2:$R$9000,12,FALSE)</f>
        <v>11.1.01.0893</v>
      </c>
      <c r="R445" s="15" t="str">
        <f>VLOOKUP(A445,sinap!$A$2:$R$9000,16,FALSE)</f>
        <v>11.1.01.1081</v>
      </c>
      <c r="S445" s="15" t="str">
        <f>VLOOKUP(A445,sinap!$A$2:$Y$9000,20,FALSE)</f>
        <v>SI</v>
      </c>
    </row>
    <row r="446" spans="1:19" s="16" customFormat="1" hidden="1" x14ac:dyDescent="0.25">
      <c r="A446" s="15">
        <v>12602095</v>
      </c>
      <c r="B446" s="15"/>
      <c r="C446" s="15"/>
      <c r="F446" s="16">
        <v>44923</v>
      </c>
      <c r="G446" s="16">
        <v>45239</v>
      </c>
      <c r="H446" s="16">
        <v>45297</v>
      </c>
      <c r="J446" s="15" t="str">
        <f>VLOOKUP(A446,sinap!$A$2:$R$9000,2,FALSE)</f>
        <v>H</v>
      </c>
      <c r="K446" s="15" t="str">
        <f>VLOOKUP(A446,sinap!$A$2:$R$9000,3,FALSE)</f>
        <v>VACA</v>
      </c>
      <c r="L446" s="15" t="str">
        <f>VLOOKUP(A446,sinap!$A$2:$R$9000,4,FALSE)</f>
        <v>ANGUS ROJO</v>
      </c>
      <c r="M446" s="15" t="str">
        <f>VLOOKUP(A446,sinap!$A$2:$R$9000,5,FALSE)</f>
        <v>10 años 3 meses</v>
      </c>
      <c r="N446" s="15" t="str">
        <f>VLOOKUP(A446,sinap!$A$2:$R$9000,6,FALSE)</f>
        <v>30-09-2015</v>
      </c>
      <c r="O446" s="15" t="str">
        <f>VLOOKUP(A446,sinap!$A$2:$R$9000,7,FALSE)</f>
        <v>Vivo</v>
      </c>
      <c r="P446" s="15" t="str">
        <f>VLOOKUP(A446,sinap!$A$2:$R$9000,8,FALSE)</f>
        <v>11.1.01.0791</v>
      </c>
      <c r="Q446" s="15" t="str">
        <f>VLOOKUP(A446,sinap!$A$2:$R$9000,12,FALSE)</f>
        <v>11.1.01.0893</v>
      </c>
      <c r="R446" s="15" t="str">
        <f>VLOOKUP(A446,sinap!$A$2:$R$9000,16,FALSE)</f>
        <v>11.1.01.1081</v>
      </c>
      <c r="S446" s="15" t="str">
        <f>VLOOKUP(A446,sinap!$A$2:$Y$9000,20,FALSE)</f>
        <v>SI</v>
      </c>
    </row>
    <row r="447" spans="1:19" s="16" customFormat="1" hidden="1" x14ac:dyDescent="0.25">
      <c r="A447" s="15">
        <v>12602113</v>
      </c>
      <c r="B447" s="15"/>
      <c r="C447" s="15"/>
      <c r="F447" s="16">
        <v>44923</v>
      </c>
      <c r="G447" s="16">
        <v>45239</v>
      </c>
      <c r="J447" s="15" t="str">
        <f>VLOOKUP(A447,sinap!$A$2:$R$9000,2,FALSE)</f>
        <v>H</v>
      </c>
      <c r="K447" s="15" t="str">
        <f>VLOOKUP(A447,sinap!$A$2:$R$9000,3,FALSE)</f>
        <v>VACA</v>
      </c>
      <c r="L447" s="15" t="str">
        <f>VLOOKUP(A447,sinap!$A$2:$R$9000,4,FALSE)</f>
        <v>ANGUS NEGRO</v>
      </c>
      <c r="M447" s="15" t="str">
        <f>VLOOKUP(A447,sinap!$A$2:$R$9000,5,FALSE)</f>
        <v>10 años 3 meses</v>
      </c>
      <c r="N447" s="15" t="str">
        <f>VLOOKUP(A447,sinap!$A$2:$R$9000,6,FALSE)</f>
        <v>15-10-2015</v>
      </c>
      <c r="O447" s="15" t="str">
        <f>VLOOKUP(A447,sinap!$A$2:$R$9000,7,FALSE)</f>
        <v>Vivo</v>
      </c>
      <c r="P447" s="15" t="str">
        <f>VLOOKUP(A447,sinap!$A$2:$R$9000,8,FALSE)</f>
        <v>11.1.01.0791</v>
      </c>
      <c r="Q447" s="15" t="str">
        <f>VLOOKUP(A447,sinap!$A$2:$R$9000,12,FALSE)</f>
        <v>11.1.01.0893</v>
      </c>
      <c r="R447" s="15" t="str">
        <f>VLOOKUP(A447,sinap!$A$2:$R$9000,16,FALSE)</f>
        <v>11.2.01.2071</v>
      </c>
      <c r="S447" s="15" t="str">
        <f>VLOOKUP(A447,sinap!$A$2:$Y$9000,20,FALSE)</f>
        <v>SI</v>
      </c>
    </row>
    <row r="448" spans="1:19" s="16" customFormat="1" hidden="1" x14ac:dyDescent="0.25">
      <c r="A448" s="15">
        <v>12602144</v>
      </c>
      <c r="B448" s="15"/>
      <c r="C448" s="15"/>
      <c r="F448" s="16">
        <v>44923</v>
      </c>
      <c r="G448" s="16">
        <v>45239</v>
      </c>
      <c r="J448" s="15" t="str">
        <f>VLOOKUP(A448,sinap!$A$2:$R$9000,2,FALSE)</f>
        <v>H</v>
      </c>
      <c r="K448" s="15" t="str">
        <f>VLOOKUP(A448,sinap!$A$2:$R$9000,3,FALSE)</f>
        <v>VACA</v>
      </c>
      <c r="L448" s="15" t="str">
        <f>VLOOKUP(A448,sinap!$A$2:$R$9000,4,FALSE)</f>
        <v>LIMOUSIN</v>
      </c>
      <c r="M448" s="15" t="str">
        <f>VLOOKUP(A448,sinap!$A$2:$R$9000,5,FALSE)</f>
        <v>10 años 2 meses</v>
      </c>
      <c r="N448" s="15" t="str">
        <f>VLOOKUP(A448,sinap!$A$2:$R$9000,6,FALSE)</f>
        <v>30-10-2015</v>
      </c>
      <c r="O448" s="15" t="str">
        <f>VLOOKUP(A448,sinap!$A$2:$R$9000,7,FALSE)</f>
        <v>Vivo</v>
      </c>
      <c r="P448" s="15" t="str">
        <f>VLOOKUP(A448,sinap!$A$2:$R$9000,8,FALSE)</f>
        <v>11.1.01.1241</v>
      </c>
      <c r="Q448" s="15" t="str">
        <f>VLOOKUP(A448,sinap!$A$2:$R$9000,12,FALSE)</f>
        <v>11.1.01.0893</v>
      </c>
      <c r="R448" s="15" t="str">
        <f>VLOOKUP(A448,sinap!$A$2:$R$9000,16,FALSE)</f>
        <v>11.2.01.2071</v>
      </c>
      <c r="S448" s="15" t="str">
        <f>VLOOKUP(A448,sinap!$A$2:$Y$9000,20,FALSE)</f>
        <v>SI</v>
      </c>
    </row>
    <row r="449" spans="1:19" s="16" customFormat="1" hidden="1" x14ac:dyDescent="0.25">
      <c r="A449" s="15">
        <v>12602155</v>
      </c>
      <c r="B449" s="15"/>
      <c r="C449" s="15"/>
      <c r="F449" s="16">
        <v>44779</v>
      </c>
      <c r="G449" s="16">
        <v>45264</v>
      </c>
      <c r="J449" s="15" t="str">
        <f>VLOOKUP(A449,sinap!$A$2:$R$9000,2,FALSE)</f>
        <v>H</v>
      </c>
      <c r="K449" s="15" t="str">
        <f>VLOOKUP(A449,sinap!$A$2:$R$9000,3,FALSE)</f>
        <v>VACA</v>
      </c>
      <c r="L449" s="15" t="str">
        <f>VLOOKUP(A449,sinap!$A$2:$R$9000,4,FALSE)</f>
        <v>ANGUS NEGRO</v>
      </c>
      <c r="M449" s="15" t="str">
        <f>VLOOKUP(A449,sinap!$A$2:$R$9000,5,FALSE)</f>
        <v>10 años 3 meses</v>
      </c>
      <c r="N449" s="15" t="str">
        <f>VLOOKUP(A449,sinap!$A$2:$R$9000,6,FALSE)</f>
        <v>10-10-2015</v>
      </c>
      <c r="O449" s="15" t="str">
        <f>VLOOKUP(A449,sinap!$A$2:$R$9000,7,FALSE)</f>
        <v>Vivo</v>
      </c>
      <c r="P449" s="15" t="str">
        <f>VLOOKUP(A449,sinap!$A$2:$R$9000,8,FALSE)</f>
        <v>11.2.01.0038</v>
      </c>
      <c r="Q449" s="15" t="str">
        <f>VLOOKUP(A449,sinap!$A$2:$R$9000,12,FALSE)</f>
        <v>11.1.01.0893</v>
      </c>
      <c r="R449" s="15" t="str">
        <f>VLOOKUP(A449,sinap!$A$2:$R$9000,16,FALSE)</f>
        <v>11.2.01.2071</v>
      </c>
      <c r="S449" s="15" t="str">
        <f>VLOOKUP(A449,sinap!$A$2:$Y$9000,20,FALSE)</f>
        <v>SI</v>
      </c>
    </row>
    <row r="450" spans="1:19" s="16" customFormat="1" hidden="1" x14ac:dyDescent="0.25">
      <c r="A450" s="15">
        <v>12602172</v>
      </c>
      <c r="B450" s="15"/>
      <c r="C450" s="15"/>
      <c r="J450" s="15" t="str">
        <f>VLOOKUP(A450,sinap!$A$2:$R$9000,2,FALSE)</f>
        <v>H</v>
      </c>
      <c r="K450" s="15" t="str">
        <f>VLOOKUP(A450,sinap!$A$2:$R$9000,3,FALSE)</f>
        <v>VACA</v>
      </c>
      <c r="L450" s="15" t="str">
        <f>VLOOKUP(A450,sinap!$A$2:$R$9000,4,FALSE)</f>
        <v>ANGUS NEGRO</v>
      </c>
      <c r="M450" s="15" t="str">
        <f>VLOOKUP(A450,sinap!$A$2:$R$9000,5,FALSE)</f>
        <v>10 años 4 meses</v>
      </c>
      <c r="N450" s="15" t="str">
        <f>VLOOKUP(A450,sinap!$A$2:$R$9000,6,FALSE)</f>
        <v>15-09-2015</v>
      </c>
      <c r="O450" s="15" t="str">
        <f>VLOOKUP(A450,sinap!$A$2:$R$9000,7,FALSE)</f>
        <v>Vivo</v>
      </c>
      <c r="P450" s="15" t="str">
        <f>VLOOKUP(A450,sinap!$A$2:$R$9000,8,FALSE)</f>
        <v>11.1.01.1241</v>
      </c>
      <c r="Q450" s="15" t="str">
        <f>VLOOKUP(A450,sinap!$A$2:$R$9000,12,FALSE)</f>
        <v>11.1.01.0791</v>
      </c>
      <c r="R450" s="15" t="str">
        <f>VLOOKUP(A450,sinap!$A$2:$R$9000,16,FALSE)</f>
        <v>11.2.01.0038</v>
      </c>
      <c r="S450" s="15" t="str">
        <f>VLOOKUP(A450,sinap!$A$2:$Y$9000,20,FALSE)</f>
        <v>SI</v>
      </c>
    </row>
    <row r="451" spans="1:19" s="16" customFormat="1" hidden="1" x14ac:dyDescent="0.25">
      <c r="A451" s="15">
        <v>12602174</v>
      </c>
      <c r="B451" s="15"/>
      <c r="C451" s="15"/>
      <c r="F451" s="16">
        <v>44923</v>
      </c>
      <c r="G451" s="16">
        <v>45239</v>
      </c>
      <c r="J451" s="15" t="str">
        <f>VLOOKUP(A451,sinap!$A$2:$R$9000,2,FALSE)</f>
        <v>H</v>
      </c>
      <c r="K451" s="15" t="str">
        <f>VLOOKUP(A451,sinap!$A$2:$R$9000,3,FALSE)</f>
        <v>VACA</v>
      </c>
      <c r="L451" s="15" t="str">
        <f>VLOOKUP(A451,sinap!$A$2:$R$9000,4,FALSE)</f>
        <v>HEREFORD</v>
      </c>
      <c r="M451" s="15" t="str">
        <f>VLOOKUP(A451,sinap!$A$2:$R$9000,5,FALSE)</f>
        <v>10 años 2 meses</v>
      </c>
      <c r="N451" s="15" t="str">
        <f>VLOOKUP(A451,sinap!$A$2:$R$9000,6,FALSE)</f>
        <v>05-11-2015</v>
      </c>
      <c r="O451" s="15" t="str">
        <f>VLOOKUP(A451,sinap!$A$2:$R$9000,7,FALSE)</f>
        <v>Vivo</v>
      </c>
      <c r="P451" s="15" t="str">
        <f>VLOOKUP(A451,sinap!$A$2:$R$9000,8,FALSE)</f>
        <v>11.1.01.1241</v>
      </c>
      <c r="Q451" s="15" t="str">
        <f>VLOOKUP(A451,sinap!$A$2:$R$9000,12,FALSE)</f>
        <v>11.1.01.0791</v>
      </c>
      <c r="R451" s="15" t="str">
        <f>VLOOKUP(A451,sinap!$A$2:$R$9000,16,FALSE)</f>
        <v>11.2.01.0038</v>
      </c>
      <c r="S451" s="15" t="str">
        <f>VLOOKUP(A451,sinap!$A$2:$Y$9000,20,FALSE)</f>
        <v>SI</v>
      </c>
    </row>
    <row r="452" spans="1:19" s="16" customFormat="1" hidden="1" x14ac:dyDescent="0.25">
      <c r="A452" s="15">
        <v>12602181</v>
      </c>
      <c r="B452" s="15"/>
      <c r="C452" s="15"/>
      <c r="F452" s="16">
        <v>44923</v>
      </c>
      <c r="G452" s="16">
        <v>45239</v>
      </c>
      <c r="J452" s="15" t="str">
        <f>VLOOKUP(A452,sinap!$A$2:$R$9000,2,FALSE)</f>
        <v>H</v>
      </c>
      <c r="K452" s="15" t="str">
        <f>VLOOKUP(A452,sinap!$A$2:$R$9000,3,FALSE)</f>
        <v>VACA</v>
      </c>
      <c r="L452" s="15" t="str">
        <f>VLOOKUP(A452,sinap!$A$2:$R$9000,4,FALSE)</f>
        <v>ANGUS NEGRO</v>
      </c>
      <c r="M452" s="15" t="str">
        <f>VLOOKUP(A452,sinap!$A$2:$R$9000,5,FALSE)</f>
        <v>10 años 4 meses</v>
      </c>
      <c r="N452" s="15" t="str">
        <f>VLOOKUP(A452,sinap!$A$2:$R$9000,6,FALSE)</f>
        <v>10-09-2015</v>
      </c>
      <c r="O452" s="15" t="str">
        <f>VLOOKUP(A452,sinap!$A$2:$R$9000,7,FALSE)</f>
        <v>Vivo</v>
      </c>
      <c r="P452" s="15" t="str">
        <f>VLOOKUP(A452,sinap!$A$2:$R$9000,8,FALSE)</f>
        <v>11.1.01.1241</v>
      </c>
      <c r="Q452" s="15" t="str">
        <f>VLOOKUP(A452,sinap!$A$2:$R$9000,12,FALSE)</f>
        <v>11.2.01.0038</v>
      </c>
      <c r="R452" s="15" t="str">
        <f>VLOOKUP(A452,sinap!$A$2:$R$9000,16,FALSE)</f>
        <v>11.2.01.0038</v>
      </c>
      <c r="S452" s="15" t="str">
        <f>VLOOKUP(A452,sinap!$A$2:$Y$9000,20,FALSE)</f>
        <v>SI</v>
      </c>
    </row>
    <row r="453" spans="1:19" s="16" customFormat="1" hidden="1" x14ac:dyDescent="0.25">
      <c r="A453" s="15">
        <v>12602190</v>
      </c>
      <c r="B453" s="15"/>
      <c r="C453" s="15"/>
      <c r="F453" s="16">
        <v>44923</v>
      </c>
      <c r="G453" s="16">
        <v>45247</v>
      </c>
      <c r="J453" s="15" t="str">
        <f>VLOOKUP(A453,sinap!$A$2:$R$9000,2,FALSE)</f>
        <v>H</v>
      </c>
      <c r="K453" s="15" t="str">
        <f>VLOOKUP(A453,sinap!$A$2:$R$9000,3,FALSE)</f>
        <v>VACA</v>
      </c>
      <c r="L453" s="15" t="str">
        <f>VLOOKUP(A453,sinap!$A$2:$R$9000,4,FALSE)</f>
        <v>ANGUS NEGRO</v>
      </c>
      <c r="M453" s="15" t="str">
        <f>VLOOKUP(A453,sinap!$A$2:$R$9000,5,FALSE)</f>
        <v>10 años 4 meses</v>
      </c>
      <c r="N453" s="15" t="str">
        <f>VLOOKUP(A453,sinap!$A$2:$R$9000,6,FALSE)</f>
        <v>10-09-2015</v>
      </c>
      <c r="O453" s="15" t="str">
        <f>VLOOKUP(A453,sinap!$A$2:$R$9000,7,FALSE)</f>
        <v>Vivo</v>
      </c>
      <c r="P453" s="15" t="str">
        <f>VLOOKUP(A453,sinap!$A$2:$R$9000,8,FALSE)</f>
        <v>11.1.01.1241</v>
      </c>
      <c r="Q453" s="15" t="str">
        <f>VLOOKUP(A453,sinap!$A$2:$R$9000,12,FALSE)</f>
        <v>11.2.01.0038</v>
      </c>
      <c r="R453" s="15" t="str">
        <f>VLOOKUP(A453,sinap!$A$2:$R$9000,16,FALSE)</f>
        <v>11.2.01.0038</v>
      </c>
      <c r="S453" s="15" t="str">
        <f>VLOOKUP(A453,sinap!$A$2:$Y$9000,20,FALSE)</f>
        <v>SI</v>
      </c>
    </row>
    <row r="454" spans="1:19" s="16" customFormat="1" hidden="1" x14ac:dyDescent="0.25">
      <c r="A454" s="15">
        <v>12602203</v>
      </c>
      <c r="B454" s="15"/>
      <c r="C454" s="15"/>
      <c r="F454" s="16">
        <v>44923</v>
      </c>
      <c r="G454" s="16">
        <v>45239</v>
      </c>
      <c r="J454" s="15" t="str">
        <f>VLOOKUP(A454,sinap!$A$2:$R$9000,2,FALSE)</f>
        <v>H</v>
      </c>
      <c r="K454" s="15" t="str">
        <f>VLOOKUP(A454,sinap!$A$2:$R$9000,3,FALSE)</f>
        <v>VACA</v>
      </c>
      <c r="L454" s="15" t="str">
        <f>VLOOKUP(A454,sinap!$A$2:$R$9000,4,FALSE)</f>
        <v>ANGUS NEGRO</v>
      </c>
      <c r="M454" s="15" t="str">
        <f>VLOOKUP(A454,sinap!$A$2:$R$9000,5,FALSE)</f>
        <v>10 años 4 meses</v>
      </c>
      <c r="N454" s="15" t="str">
        <f>VLOOKUP(A454,sinap!$A$2:$R$9000,6,FALSE)</f>
        <v>15-09-2015</v>
      </c>
      <c r="O454" s="15" t="str">
        <f>VLOOKUP(A454,sinap!$A$2:$R$9000,7,FALSE)</f>
        <v>Vivo</v>
      </c>
      <c r="P454" s="15" t="str">
        <f>VLOOKUP(A454,sinap!$A$2:$R$9000,8,FALSE)</f>
        <v>11.1.01.1241</v>
      </c>
      <c r="Q454" s="15" t="str">
        <f>VLOOKUP(A454,sinap!$A$2:$R$9000,12,FALSE)</f>
        <v>11.2.01.0038</v>
      </c>
      <c r="R454" s="15" t="str">
        <f>VLOOKUP(A454,sinap!$A$2:$R$9000,16,FALSE)</f>
        <v>11.2.01.0038</v>
      </c>
      <c r="S454" s="15" t="str">
        <f>VLOOKUP(A454,sinap!$A$2:$Y$9000,20,FALSE)</f>
        <v>SI</v>
      </c>
    </row>
    <row r="455" spans="1:19" s="16" customFormat="1" hidden="1" x14ac:dyDescent="0.25">
      <c r="A455" s="15">
        <v>12602210</v>
      </c>
      <c r="B455" s="15"/>
      <c r="C455" s="15"/>
      <c r="J455" s="15" t="str">
        <f>VLOOKUP(A455,sinap!$A$2:$R$9000,2,FALSE)</f>
        <v>M</v>
      </c>
      <c r="K455" s="15" t="str">
        <f>VLOOKUP(A455,sinap!$A$2:$R$9000,3,FALSE)</f>
        <v>TORO</v>
      </c>
      <c r="L455" s="15" t="str">
        <f>VLOOKUP(A455,sinap!$A$2:$R$9000,4,FALSE)</f>
        <v>ANGUS NEGRO</v>
      </c>
      <c r="M455" s="15" t="str">
        <f>VLOOKUP(A455,sinap!$A$2:$R$9000,5,FALSE)</f>
        <v>10 años 3 meses</v>
      </c>
      <c r="N455" s="15" t="str">
        <f>VLOOKUP(A455,sinap!$A$2:$R$9000,6,FALSE)</f>
        <v>30-09-2015</v>
      </c>
      <c r="O455" s="15" t="str">
        <f>VLOOKUP(A455,sinap!$A$2:$R$9000,7,FALSE)</f>
        <v>Vivo</v>
      </c>
      <c r="P455" s="15" t="str">
        <f>VLOOKUP(A455,sinap!$A$2:$R$9000,8,FALSE)</f>
        <v>11.1.01.1241</v>
      </c>
      <c r="Q455" s="15" t="str">
        <f>VLOOKUP(A455,sinap!$A$2:$R$9000,12,FALSE)</f>
        <v>11.2.01.0038</v>
      </c>
      <c r="R455" s="15" t="str">
        <f>VLOOKUP(A455,sinap!$A$2:$R$9000,16,FALSE)</f>
        <v>11.2.01.0038</v>
      </c>
      <c r="S455" s="15" t="str">
        <f>VLOOKUP(A455,sinap!$A$2:$Y$9000,20,FALSE)</f>
        <v>SI</v>
      </c>
    </row>
    <row r="456" spans="1:19" s="16" customFormat="1" hidden="1" x14ac:dyDescent="0.25">
      <c r="A456" s="15">
        <v>12602218</v>
      </c>
      <c r="B456" s="15"/>
      <c r="C456" s="15"/>
      <c r="F456" s="16">
        <v>44923</v>
      </c>
      <c r="G456" s="16">
        <v>45247</v>
      </c>
      <c r="J456" s="15" t="str">
        <f>VLOOKUP(A456,sinap!$A$2:$R$9000,2,FALSE)</f>
        <v>H</v>
      </c>
      <c r="K456" s="15" t="str">
        <f>VLOOKUP(A456,sinap!$A$2:$R$9000,3,FALSE)</f>
        <v>VACA</v>
      </c>
      <c r="L456" s="15" t="str">
        <f>VLOOKUP(A456,sinap!$A$2:$R$9000,4,FALSE)</f>
        <v>ANGUS NEGRO</v>
      </c>
      <c r="M456" s="15" t="str">
        <f>VLOOKUP(A456,sinap!$A$2:$R$9000,5,FALSE)</f>
        <v>10 años 4 meses</v>
      </c>
      <c r="N456" s="15" t="str">
        <f>VLOOKUP(A456,sinap!$A$2:$R$9000,6,FALSE)</f>
        <v>10-09-2015</v>
      </c>
      <c r="O456" s="15" t="str">
        <f>VLOOKUP(A456,sinap!$A$2:$R$9000,7,FALSE)</f>
        <v>Vivo</v>
      </c>
      <c r="P456" s="15" t="str">
        <f>VLOOKUP(A456,sinap!$A$2:$R$9000,8,FALSE)</f>
        <v>11.2.01.0038</v>
      </c>
      <c r="Q456" s="15" t="str">
        <f>VLOOKUP(A456,sinap!$A$2:$R$9000,12,FALSE)</f>
        <v>Sin Movimiento</v>
      </c>
      <c r="R456" s="15" t="str">
        <f>VLOOKUP(A456,sinap!$A$2:$R$9000,16,FALSE)</f>
        <v>11.2.01.0038</v>
      </c>
      <c r="S456" s="15" t="str">
        <f>VLOOKUP(A456,sinap!$A$2:$Y$9000,20,FALSE)</f>
        <v>SI</v>
      </c>
    </row>
    <row r="457" spans="1:19" s="16" customFormat="1" hidden="1" x14ac:dyDescent="0.25">
      <c r="A457" s="15">
        <v>12602228</v>
      </c>
      <c r="B457" s="15"/>
      <c r="C457" s="15"/>
      <c r="F457" s="16">
        <v>44923</v>
      </c>
      <c r="G457" s="16">
        <v>45239</v>
      </c>
      <c r="H457" s="16">
        <v>45297</v>
      </c>
      <c r="J457" s="15" t="str">
        <f>VLOOKUP(A457,sinap!$A$2:$R$9000,2,FALSE)</f>
        <v>H</v>
      </c>
      <c r="K457" s="15" t="str">
        <f>VLOOKUP(A457,sinap!$A$2:$R$9000,3,FALSE)</f>
        <v>VACA</v>
      </c>
      <c r="L457" s="15" t="str">
        <f>VLOOKUP(A457,sinap!$A$2:$R$9000,4,FALSE)</f>
        <v>ANGUS NEGRO</v>
      </c>
      <c r="M457" s="15" t="str">
        <f>VLOOKUP(A457,sinap!$A$2:$R$9000,5,FALSE)</f>
        <v>10 años 4 meses</v>
      </c>
      <c r="N457" s="15" t="str">
        <f>VLOOKUP(A457,sinap!$A$2:$R$9000,6,FALSE)</f>
        <v>10-09-2015</v>
      </c>
      <c r="O457" s="15" t="str">
        <f>VLOOKUP(A457,sinap!$A$2:$R$9000,7,FALSE)</f>
        <v>Vivo</v>
      </c>
      <c r="P457" s="15" t="str">
        <f>VLOOKUP(A457,sinap!$A$2:$R$9000,8,FALSE)</f>
        <v>11.2.01.0038</v>
      </c>
      <c r="Q457" s="15" t="str">
        <f>VLOOKUP(A457,sinap!$A$2:$R$9000,12,FALSE)</f>
        <v>11.1.01.0893</v>
      </c>
      <c r="R457" s="15" t="str">
        <f>VLOOKUP(A457,sinap!$A$2:$R$9000,16,FALSE)</f>
        <v>11.2.01.0038</v>
      </c>
      <c r="S457" s="15" t="str">
        <f>VLOOKUP(A457,sinap!$A$2:$Y$9000,20,FALSE)</f>
        <v>SI</v>
      </c>
    </row>
    <row r="458" spans="1:19" s="16" customFormat="1" hidden="1" x14ac:dyDescent="0.25">
      <c r="A458" s="15">
        <v>12602233</v>
      </c>
      <c r="B458" s="15"/>
      <c r="C458" s="15"/>
      <c r="J458" s="15" t="str">
        <f>VLOOKUP(A458,sinap!$A$2:$R$9000,2,FALSE)</f>
        <v>M</v>
      </c>
      <c r="K458" s="15" t="str">
        <f>VLOOKUP(A458,sinap!$A$2:$R$9000,3,FALSE)</f>
        <v>TORO</v>
      </c>
      <c r="L458" s="15" t="str">
        <f>VLOOKUP(A458,sinap!$A$2:$R$9000,4,FALSE)</f>
        <v>ANGUS NEGRO</v>
      </c>
      <c r="M458" s="15" t="str">
        <f>VLOOKUP(A458,sinap!$A$2:$R$9000,5,FALSE)</f>
        <v>10 años 3 meses</v>
      </c>
      <c r="N458" s="15" t="str">
        <f>VLOOKUP(A458,sinap!$A$2:$R$9000,6,FALSE)</f>
        <v>30-09-2015</v>
      </c>
      <c r="O458" s="15" t="str">
        <f>VLOOKUP(A458,sinap!$A$2:$R$9000,7,FALSE)</f>
        <v>Vivo</v>
      </c>
      <c r="P458" s="15" t="str">
        <f>VLOOKUP(A458,sinap!$A$2:$R$9000,8,FALSE)</f>
        <v>11.1.01.1241</v>
      </c>
      <c r="Q458" s="15" t="str">
        <f>VLOOKUP(A458,sinap!$A$2:$R$9000,12,FALSE)</f>
        <v>11.2.01.0038</v>
      </c>
      <c r="R458" s="15" t="str">
        <f>VLOOKUP(A458,sinap!$A$2:$R$9000,16,FALSE)</f>
        <v>11.2.01.0038</v>
      </c>
      <c r="S458" s="15" t="str">
        <f>VLOOKUP(A458,sinap!$A$2:$Y$9000,20,FALSE)</f>
        <v>SI</v>
      </c>
    </row>
    <row r="459" spans="1:19" s="16" customFormat="1" hidden="1" x14ac:dyDescent="0.25">
      <c r="A459" s="15">
        <v>12602236</v>
      </c>
      <c r="B459" s="15"/>
      <c r="C459" s="15"/>
      <c r="H459" s="16">
        <v>45297</v>
      </c>
      <c r="J459" s="15" t="str">
        <f>VLOOKUP(A459,sinap!$A$2:$R$9000,2,FALSE)</f>
        <v>H</v>
      </c>
      <c r="K459" s="15" t="str">
        <f>VLOOKUP(A459,sinap!$A$2:$R$9000,3,FALSE)</f>
        <v>VACA</v>
      </c>
      <c r="L459" s="15" t="str">
        <f>VLOOKUP(A459,sinap!$A$2:$R$9000,4,FALSE)</f>
        <v>ANGUS NEGRO</v>
      </c>
      <c r="M459" s="15" t="str">
        <f>VLOOKUP(A459,sinap!$A$2:$R$9000,5,FALSE)</f>
        <v>11 años 3 meses</v>
      </c>
      <c r="N459" s="15" t="str">
        <f>VLOOKUP(A459,sinap!$A$2:$R$9000,6,FALSE)</f>
        <v>30-09-2014</v>
      </c>
      <c r="O459" s="15" t="str">
        <f>VLOOKUP(A459,sinap!$A$2:$R$9000,7,FALSE)</f>
        <v>Vivo</v>
      </c>
      <c r="P459" s="15" t="str">
        <f>VLOOKUP(A459,sinap!$A$2:$R$9000,8,FALSE)</f>
        <v>11.2.01.0038</v>
      </c>
      <c r="Q459" s="15" t="str">
        <f>VLOOKUP(A459,sinap!$A$2:$R$9000,12,FALSE)</f>
        <v>11.1.01.0893</v>
      </c>
      <c r="R459" s="15" t="str">
        <f>VLOOKUP(A459,sinap!$A$2:$R$9000,16,FALSE)</f>
        <v>11.2.01.0038</v>
      </c>
      <c r="S459" s="15" t="str">
        <f>VLOOKUP(A459,sinap!$A$2:$Y$9000,20,FALSE)</f>
        <v>SI</v>
      </c>
    </row>
    <row r="460" spans="1:19" s="16" customFormat="1" hidden="1" x14ac:dyDescent="0.25">
      <c r="A460" s="15">
        <v>12602237</v>
      </c>
      <c r="B460" s="15"/>
      <c r="C460" s="15"/>
      <c r="F460" s="16">
        <v>44923</v>
      </c>
      <c r="G460" s="16">
        <v>45239</v>
      </c>
      <c r="J460" s="15" t="str">
        <f>VLOOKUP(A460,sinap!$A$2:$R$9000,2,FALSE)</f>
        <v>H</v>
      </c>
      <c r="K460" s="15" t="str">
        <f>VLOOKUP(A460,sinap!$A$2:$R$9000,3,FALSE)</f>
        <v>VACA</v>
      </c>
      <c r="L460" s="15" t="str">
        <f>VLOOKUP(A460,sinap!$A$2:$R$9000,4,FALSE)</f>
        <v>ANGUS NEGRO</v>
      </c>
      <c r="M460" s="15" t="str">
        <f>VLOOKUP(A460,sinap!$A$2:$R$9000,5,FALSE)</f>
        <v>11 años 3 meses</v>
      </c>
      <c r="N460" s="15" t="str">
        <f>VLOOKUP(A460,sinap!$A$2:$R$9000,6,FALSE)</f>
        <v>30-09-2014</v>
      </c>
      <c r="O460" s="15" t="str">
        <f>VLOOKUP(A460,sinap!$A$2:$R$9000,7,FALSE)</f>
        <v>Vivo</v>
      </c>
      <c r="P460" s="15" t="str">
        <f>VLOOKUP(A460,sinap!$A$2:$R$9000,8,FALSE)</f>
        <v>11.1.01.1241</v>
      </c>
      <c r="Q460" s="15" t="str">
        <f>VLOOKUP(A460,sinap!$A$2:$R$9000,12,FALSE)</f>
        <v>11.2.01.0038</v>
      </c>
      <c r="R460" s="15" t="str">
        <f>VLOOKUP(A460,sinap!$A$2:$R$9000,16,FALSE)</f>
        <v>11.1.01.0791</v>
      </c>
      <c r="S460" s="15" t="str">
        <f>VLOOKUP(A460,sinap!$A$2:$Y$9000,20,FALSE)</f>
        <v>SI</v>
      </c>
    </row>
    <row r="461" spans="1:19" s="16" customFormat="1" hidden="1" x14ac:dyDescent="0.25">
      <c r="A461" s="15">
        <v>12602239</v>
      </c>
      <c r="B461" s="15"/>
      <c r="C461" s="15"/>
      <c r="F461" s="16">
        <v>44923</v>
      </c>
      <c r="G461" s="16">
        <v>45247</v>
      </c>
      <c r="J461" s="15" t="str">
        <f>VLOOKUP(A461,sinap!$A$2:$R$9000,2,FALSE)</f>
        <v>no existe</v>
      </c>
      <c r="K461" s="15" t="str">
        <f>VLOOKUP(A461,sinap!$A$2:$R$9000,3,FALSE)</f>
        <v>no existe</v>
      </c>
      <c r="L461" s="15" t="str">
        <f>VLOOKUP(A461,sinap!$A$2:$R$9000,4,FALSE)</f>
        <v>no existe</v>
      </c>
      <c r="M461" s="15" t="str">
        <f>VLOOKUP(A461,sinap!$A$2:$R$9000,5,FALSE)</f>
        <v>no existe</v>
      </c>
      <c r="N461" s="15" t="str">
        <f>VLOOKUP(A461,sinap!$A$2:$R$9000,6,FALSE)</f>
        <v>no existe</v>
      </c>
      <c r="O461" s="15" t="str">
        <f>VLOOKUP(A461,sinap!$A$2:$R$9000,7,FALSE)</f>
        <v>no existe</v>
      </c>
      <c r="P461" s="15" t="str">
        <f>VLOOKUP(A461,sinap!$A$2:$R$9000,8,FALSE)</f>
        <v>no existe</v>
      </c>
      <c r="Q461" s="15" t="str">
        <f>VLOOKUP(A461,sinap!$A$2:$R$9000,12,FALSE)</f>
        <v>no existe</v>
      </c>
      <c r="R461" s="15" t="str">
        <f>VLOOKUP(A461,sinap!$A$2:$R$9000,16,FALSE)</f>
        <v>no existe</v>
      </c>
      <c r="S461" s="15" t="str">
        <f>VLOOKUP(A461,sinap!$A$2:$Y$9000,20,FALSE)</f>
        <v>no existe</v>
      </c>
    </row>
    <row r="462" spans="1:19" s="16" customFormat="1" hidden="1" x14ac:dyDescent="0.25">
      <c r="A462" s="15">
        <v>12602247</v>
      </c>
      <c r="B462" s="15"/>
      <c r="C462" s="15"/>
      <c r="F462" s="16">
        <v>44923</v>
      </c>
      <c r="G462" s="16">
        <v>45247</v>
      </c>
      <c r="J462" s="15" t="str">
        <f>VLOOKUP(A462,sinap!$A$2:$R$9000,2,FALSE)</f>
        <v>H</v>
      </c>
      <c r="K462" s="15" t="str">
        <f>VLOOKUP(A462,sinap!$A$2:$R$9000,3,FALSE)</f>
        <v>VACA</v>
      </c>
      <c r="L462" s="15" t="str">
        <f>VLOOKUP(A462,sinap!$A$2:$R$9000,4,FALSE)</f>
        <v>ANGUS NEGRO</v>
      </c>
      <c r="M462" s="15" t="str">
        <f>VLOOKUP(A462,sinap!$A$2:$R$9000,5,FALSE)</f>
        <v>10 años 2 meses</v>
      </c>
      <c r="N462" s="15" t="str">
        <f>VLOOKUP(A462,sinap!$A$2:$R$9000,6,FALSE)</f>
        <v>30-10-2015</v>
      </c>
      <c r="O462" s="15" t="str">
        <f>VLOOKUP(A462,sinap!$A$2:$R$9000,7,FALSE)</f>
        <v>Vivo</v>
      </c>
      <c r="P462" s="15" t="str">
        <f>VLOOKUP(A462,sinap!$A$2:$R$9000,8,FALSE)</f>
        <v>11.1.01.2442</v>
      </c>
      <c r="Q462" s="15" t="str">
        <f>VLOOKUP(A462,sinap!$A$2:$R$9000,12,FALSE)</f>
        <v>11.1.01.1241</v>
      </c>
      <c r="R462" s="15" t="str">
        <f>VLOOKUP(A462,sinap!$A$2:$R$9000,16,FALSE)</f>
        <v>11.1.01.1241</v>
      </c>
      <c r="S462" s="15" t="str">
        <f>VLOOKUP(A462,sinap!$A$2:$Y$9000,20,FALSE)</f>
        <v>SI</v>
      </c>
    </row>
    <row r="463" spans="1:19" s="16" customFormat="1" hidden="1" x14ac:dyDescent="0.25">
      <c r="A463" s="15">
        <v>12602256</v>
      </c>
      <c r="B463" s="15"/>
      <c r="C463" s="15"/>
      <c r="F463" s="16">
        <v>44923</v>
      </c>
      <c r="G463" s="16">
        <v>45239</v>
      </c>
      <c r="J463" s="15" t="str">
        <f>VLOOKUP(A463,sinap!$A$2:$R$9000,2,FALSE)</f>
        <v>M</v>
      </c>
      <c r="K463" s="15" t="str">
        <f>VLOOKUP(A463,sinap!$A$2:$R$9000,3,FALSE)</f>
        <v>TORO</v>
      </c>
      <c r="L463" s="15" t="str">
        <f>VLOOKUP(A463,sinap!$A$2:$R$9000,4,FALSE)</f>
        <v>ANGUS NEGRO</v>
      </c>
      <c r="M463" s="15" t="str">
        <f>VLOOKUP(A463,sinap!$A$2:$R$9000,5,FALSE)</f>
        <v>10 años 3 meses</v>
      </c>
      <c r="N463" s="15" t="str">
        <f>VLOOKUP(A463,sinap!$A$2:$R$9000,6,FALSE)</f>
        <v>30-09-2015</v>
      </c>
      <c r="O463" s="15" t="str">
        <f>VLOOKUP(A463,sinap!$A$2:$R$9000,7,FALSE)</f>
        <v>Vivo</v>
      </c>
      <c r="P463" s="15" t="str">
        <f>VLOOKUP(A463,sinap!$A$2:$R$9000,8,FALSE)</f>
        <v>11.1.01.1241</v>
      </c>
      <c r="Q463" s="15" t="str">
        <f>VLOOKUP(A463,sinap!$A$2:$R$9000,12,FALSE)</f>
        <v>Sin Movimiento</v>
      </c>
      <c r="R463" s="15" t="str">
        <f>VLOOKUP(A463,sinap!$A$2:$R$9000,16,FALSE)</f>
        <v>11.1.01.1241</v>
      </c>
      <c r="S463" s="15" t="str">
        <f>VLOOKUP(A463,sinap!$A$2:$Y$9000,20,FALSE)</f>
        <v>SI</v>
      </c>
    </row>
    <row r="464" spans="1:19" s="16" customFormat="1" hidden="1" x14ac:dyDescent="0.25">
      <c r="A464" s="15">
        <v>12602264</v>
      </c>
      <c r="B464" s="15"/>
      <c r="C464" s="15"/>
      <c r="F464" s="16">
        <v>44923</v>
      </c>
      <c r="G464" s="16">
        <v>45239</v>
      </c>
      <c r="J464" s="15" t="str">
        <f>VLOOKUP(A464,sinap!$A$2:$R$9000,2,FALSE)</f>
        <v>M</v>
      </c>
      <c r="K464" s="15" t="str">
        <f>VLOOKUP(A464,sinap!$A$2:$R$9000,3,FALSE)</f>
        <v>TORO</v>
      </c>
      <c r="L464" s="15" t="str">
        <f>VLOOKUP(A464,sinap!$A$2:$R$9000,4,FALSE)</f>
        <v>ANGUS NEGRO</v>
      </c>
      <c r="M464" s="15" t="str">
        <f>VLOOKUP(A464,sinap!$A$2:$R$9000,5,FALSE)</f>
        <v>10 años 1 meses</v>
      </c>
      <c r="N464" s="15" t="str">
        <f>VLOOKUP(A464,sinap!$A$2:$R$9000,6,FALSE)</f>
        <v>30-11-2015</v>
      </c>
      <c r="O464" s="15" t="str">
        <f>VLOOKUP(A464,sinap!$A$2:$R$9000,7,FALSE)</f>
        <v>Vivo</v>
      </c>
      <c r="P464" s="15" t="str">
        <f>VLOOKUP(A464,sinap!$A$2:$R$9000,8,FALSE)</f>
        <v>11.1.01.1241</v>
      </c>
      <c r="Q464" s="15" t="str">
        <f>VLOOKUP(A464,sinap!$A$2:$R$9000,12,FALSE)</f>
        <v>Sin Movimiento</v>
      </c>
      <c r="R464" s="15" t="str">
        <f>VLOOKUP(A464,sinap!$A$2:$R$9000,16,FALSE)</f>
        <v>11.1.01.1241</v>
      </c>
      <c r="S464" s="15" t="str">
        <f>VLOOKUP(A464,sinap!$A$2:$Y$9000,20,FALSE)</f>
        <v>SI</v>
      </c>
    </row>
    <row r="465" spans="1:19" s="16" customFormat="1" hidden="1" x14ac:dyDescent="0.25">
      <c r="A465" s="15">
        <v>12602266</v>
      </c>
      <c r="B465" s="15"/>
      <c r="C465" s="15"/>
      <c r="F465" s="16">
        <v>44923</v>
      </c>
      <c r="G465" s="16">
        <v>45239</v>
      </c>
      <c r="J465" s="15" t="str">
        <f>VLOOKUP(A465,sinap!$A$2:$R$9000,2,FALSE)</f>
        <v>M</v>
      </c>
      <c r="K465" s="15" t="str">
        <f>VLOOKUP(A465,sinap!$A$2:$R$9000,3,FALSE)</f>
        <v>TORO</v>
      </c>
      <c r="L465" s="15" t="str">
        <f>VLOOKUP(A465,sinap!$A$2:$R$9000,4,FALSE)</f>
        <v>LIMOUSIN</v>
      </c>
      <c r="M465" s="15" t="str">
        <f>VLOOKUP(A465,sinap!$A$2:$R$9000,5,FALSE)</f>
        <v>10 años 6 meses</v>
      </c>
      <c r="N465" s="15" t="str">
        <f>VLOOKUP(A465,sinap!$A$2:$R$9000,6,FALSE)</f>
        <v>30-06-2015</v>
      </c>
      <c r="O465" s="15" t="str">
        <f>VLOOKUP(A465,sinap!$A$2:$R$9000,7,FALSE)</f>
        <v>Vivo</v>
      </c>
      <c r="P465" s="15" t="str">
        <f>VLOOKUP(A465,sinap!$A$2:$R$9000,8,FALSE)</f>
        <v>11.1.01.1241</v>
      </c>
      <c r="Q465" s="15" t="str">
        <f>VLOOKUP(A465,sinap!$A$2:$R$9000,12,FALSE)</f>
        <v>Sin Movimiento</v>
      </c>
      <c r="R465" s="15" t="str">
        <f>VLOOKUP(A465,sinap!$A$2:$R$9000,16,FALSE)</f>
        <v>11.1.01.1241</v>
      </c>
      <c r="S465" s="15" t="str">
        <f>VLOOKUP(A465,sinap!$A$2:$Y$9000,20,FALSE)</f>
        <v>SI</v>
      </c>
    </row>
    <row r="466" spans="1:19" s="16" customFormat="1" hidden="1" x14ac:dyDescent="0.25">
      <c r="A466" s="15">
        <v>12602273</v>
      </c>
      <c r="B466" s="15"/>
      <c r="C466" s="15"/>
      <c r="F466" s="16">
        <v>44923</v>
      </c>
      <c r="G466" s="16">
        <v>45239</v>
      </c>
      <c r="H466" s="16">
        <v>45297</v>
      </c>
      <c r="J466" s="15" t="str">
        <f>VLOOKUP(A466,sinap!$A$2:$R$9000,2,FALSE)</f>
        <v>H</v>
      </c>
      <c r="K466" s="15" t="str">
        <f>VLOOKUP(A466,sinap!$A$2:$R$9000,3,FALSE)</f>
        <v>VACA</v>
      </c>
      <c r="L466" s="15" t="str">
        <f>VLOOKUP(A466,sinap!$A$2:$R$9000,4,FALSE)</f>
        <v>ANGUS NEGRO</v>
      </c>
      <c r="M466" s="15" t="str">
        <f>VLOOKUP(A466,sinap!$A$2:$R$9000,5,FALSE)</f>
        <v>10 años 2 meses</v>
      </c>
      <c r="N466" s="15" t="str">
        <f>VLOOKUP(A466,sinap!$A$2:$R$9000,6,FALSE)</f>
        <v>30-10-2015</v>
      </c>
      <c r="O466" s="15" t="str">
        <f>VLOOKUP(A466,sinap!$A$2:$R$9000,7,FALSE)</f>
        <v>Vivo</v>
      </c>
      <c r="P466" s="15" t="str">
        <f>VLOOKUP(A466,sinap!$A$2:$R$9000,8,FALSE)</f>
        <v>11.1.01.0791</v>
      </c>
      <c r="Q466" s="15" t="str">
        <f>VLOOKUP(A466,sinap!$A$2:$R$9000,12,FALSE)</f>
        <v>11.1.01.0893</v>
      </c>
      <c r="R466" s="15" t="str">
        <f>VLOOKUP(A466,sinap!$A$2:$R$9000,16,FALSE)</f>
        <v>11.1.01.0893</v>
      </c>
      <c r="S466" s="15" t="str">
        <f>VLOOKUP(A466,sinap!$A$2:$Y$9000,20,FALSE)</f>
        <v>SI</v>
      </c>
    </row>
    <row r="467" spans="1:19" s="16" customFormat="1" hidden="1" x14ac:dyDescent="0.25">
      <c r="A467" s="15">
        <v>12602322</v>
      </c>
      <c r="B467" s="15"/>
      <c r="C467" s="15"/>
      <c r="F467" s="16">
        <v>44923</v>
      </c>
      <c r="G467" s="16">
        <v>45239</v>
      </c>
      <c r="H467" s="16">
        <v>45297</v>
      </c>
      <c r="J467" s="15" t="str">
        <f>VLOOKUP(A467,sinap!$A$2:$R$9000,2,FALSE)</f>
        <v>H</v>
      </c>
      <c r="K467" s="15" t="str">
        <f>VLOOKUP(A467,sinap!$A$2:$R$9000,3,FALSE)</f>
        <v>VACA</v>
      </c>
      <c r="L467" s="15" t="str">
        <f>VLOOKUP(A467,sinap!$A$2:$R$9000,4,FALSE)</f>
        <v>ANGUS NEGRO</v>
      </c>
      <c r="M467" s="15" t="str">
        <f>VLOOKUP(A467,sinap!$A$2:$R$9000,5,FALSE)</f>
        <v>9 años 3 meses</v>
      </c>
      <c r="N467" s="15" t="str">
        <f>VLOOKUP(A467,sinap!$A$2:$R$9000,6,FALSE)</f>
        <v>15-10-2016</v>
      </c>
      <c r="O467" s="15" t="str">
        <f>VLOOKUP(A467,sinap!$A$2:$R$9000,7,FALSE)</f>
        <v>Vivo</v>
      </c>
      <c r="P467" s="15" t="str">
        <f>VLOOKUP(A467,sinap!$A$2:$R$9000,8,FALSE)</f>
        <v>11.1.01.0791</v>
      </c>
      <c r="Q467" s="15" t="str">
        <f>VLOOKUP(A467,sinap!$A$2:$R$9000,12,FALSE)</f>
        <v>11.1.01.0893</v>
      </c>
      <c r="R467" s="15" t="str">
        <f>VLOOKUP(A467,sinap!$A$2:$R$9000,16,FALSE)</f>
        <v>11.1.01.1241</v>
      </c>
      <c r="S467" s="15" t="str">
        <f>VLOOKUP(A467,sinap!$A$2:$Y$9000,20,FALSE)</f>
        <v>SI</v>
      </c>
    </row>
    <row r="468" spans="1:19" s="16" customFormat="1" hidden="1" x14ac:dyDescent="0.25">
      <c r="A468" s="15">
        <v>12602337</v>
      </c>
      <c r="B468" s="15"/>
      <c r="C468" s="15"/>
      <c r="F468" s="16">
        <v>44923</v>
      </c>
      <c r="G468" s="16">
        <v>45239</v>
      </c>
      <c r="H468" s="16">
        <v>45297</v>
      </c>
      <c r="I468" s="16">
        <v>45848</v>
      </c>
      <c r="J468" s="15" t="str">
        <f>VLOOKUP(A468,sinap!$A$2:$R$9000,2,FALSE)</f>
        <v>H</v>
      </c>
      <c r="K468" s="15" t="str">
        <f>VLOOKUP(A468,sinap!$A$2:$R$9000,3,FALSE)</f>
        <v>VACA</v>
      </c>
      <c r="L468" s="15" t="str">
        <f>VLOOKUP(A468,sinap!$A$2:$R$9000,4,FALSE)</f>
        <v>ANGUS ROJO</v>
      </c>
      <c r="M468" s="15" t="str">
        <f>VLOOKUP(A468,sinap!$A$2:$R$9000,5,FALSE)</f>
        <v>9 años 3 meses</v>
      </c>
      <c r="N468" s="15" t="str">
        <f>VLOOKUP(A468,sinap!$A$2:$R$9000,6,FALSE)</f>
        <v>15-10-2016</v>
      </c>
      <c r="O468" s="15" t="str">
        <f>VLOOKUP(A468,sinap!$A$2:$R$9000,7,FALSE)</f>
        <v>Vivo</v>
      </c>
      <c r="P468" s="15" t="str">
        <f>VLOOKUP(A468,sinap!$A$2:$R$9000,8,FALSE)</f>
        <v>11.2.01.0038</v>
      </c>
      <c r="Q468" s="15" t="str">
        <f>VLOOKUP(A468,sinap!$A$2:$R$9000,12,FALSE)</f>
        <v>11.1.01.0893</v>
      </c>
      <c r="R468" s="15" t="str">
        <f>VLOOKUP(A468,sinap!$A$2:$R$9000,16,FALSE)</f>
        <v>11.1.01.1241</v>
      </c>
      <c r="S468" s="15" t="str">
        <f>VLOOKUP(A468,sinap!$A$2:$Y$9000,20,FALSE)</f>
        <v>SI</v>
      </c>
    </row>
    <row r="469" spans="1:19" s="16" customFormat="1" hidden="1" x14ac:dyDescent="0.25">
      <c r="A469" s="15">
        <v>12602338</v>
      </c>
      <c r="B469" s="15"/>
      <c r="C469" s="15"/>
      <c r="F469" s="16">
        <v>44923</v>
      </c>
      <c r="G469" s="16">
        <v>45247</v>
      </c>
      <c r="J469" s="15" t="str">
        <f>VLOOKUP(A469,sinap!$A$2:$R$9000,2,FALSE)</f>
        <v>H</v>
      </c>
      <c r="K469" s="15" t="str">
        <f>VLOOKUP(A469,sinap!$A$2:$R$9000,3,FALSE)</f>
        <v>VACA</v>
      </c>
      <c r="L469" s="15" t="str">
        <f>VLOOKUP(A469,sinap!$A$2:$R$9000,4,FALSE)</f>
        <v>ANGUS NEGRO</v>
      </c>
      <c r="M469" s="15" t="str">
        <f>VLOOKUP(A469,sinap!$A$2:$R$9000,5,FALSE)</f>
        <v>9 años 3 meses</v>
      </c>
      <c r="N469" s="15" t="str">
        <f>VLOOKUP(A469,sinap!$A$2:$R$9000,6,FALSE)</f>
        <v>15-10-2016</v>
      </c>
      <c r="O469" s="15" t="str">
        <f>VLOOKUP(A469,sinap!$A$2:$R$9000,7,FALSE)</f>
        <v>Vivo</v>
      </c>
      <c r="P469" s="15" t="str">
        <f>VLOOKUP(A469,sinap!$A$2:$R$9000,8,FALSE)</f>
        <v>11.2.01.0038</v>
      </c>
      <c r="Q469" s="15" t="str">
        <f>VLOOKUP(A469,sinap!$A$2:$R$9000,12,FALSE)</f>
        <v>11.1.01.0893</v>
      </c>
      <c r="R469" s="15" t="str">
        <f>VLOOKUP(A469,sinap!$A$2:$R$9000,16,FALSE)</f>
        <v>11.1.01.1241</v>
      </c>
      <c r="S469" s="15" t="str">
        <f>VLOOKUP(A469,sinap!$A$2:$Y$9000,20,FALSE)</f>
        <v>SI</v>
      </c>
    </row>
    <row r="470" spans="1:19" s="16" customFormat="1" hidden="1" x14ac:dyDescent="0.25">
      <c r="A470" s="15">
        <v>12602339</v>
      </c>
      <c r="B470" s="15"/>
      <c r="C470" s="15"/>
      <c r="F470" s="16">
        <v>44923</v>
      </c>
      <c r="G470" s="16">
        <v>45247</v>
      </c>
      <c r="J470" s="15" t="str">
        <f>VLOOKUP(A470,sinap!$A$2:$R$9000,2,FALSE)</f>
        <v>M</v>
      </c>
      <c r="K470" s="15" t="str">
        <f>VLOOKUP(A470,sinap!$A$2:$R$9000,3,FALSE)</f>
        <v>TORO</v>
      </c>
      <c r="L470" s="15" t="str">
        <f>VLOOKUP(A470,sinap!$A$2:$R$9000,4,FALSE)</f>
        <v>OVERO COLORADO (CLAVEL ALEMAN)</v>
      </c>
      <c r="M470" s="15" t="str">
        <f>VLOOKUP(A470,sinap!$A$2:$R$9000,5,FALSE)</f>
        <v>9 años 3 meses</v>
      </c>
      <c r="N470" s="15" t="str">
        <f>VLOOKUP(A470,sinap!$A$2:$R$9000,6,FALSE)</f>
        <v>15-10-2016</v>
      </c>
      <c r="O470" s="15" t="str">
        <f>VLOOKUP(A470,sinap!$A$2:$R$9000,7,FALSE)</f>
        <v>Vivo</v>
      </c>
      <c r="P470" s="15" t="str">
        <f>VLOOKUP(A470,sinap!$A$2:$R$9000,8,FALSE)</f>
        <v>11.1.01.0893</v>
      </c>
      <c r="Q470" s="15" t="str">
        <f>VLOOKUP(A470,sinap!$A$2:$R$9000,12,FALSE)</f>
        <v>11.1.01.1081</v>
      </c>
      <c r="R470" s="15" t="str">
        <f>VLOOKUP(A470,sinap!$A$2:$R$9000,16,FALSE)</f>
        <v>11.1.01.1241</v>
      </c>
      <c r="S470" s="15" t="str">
        <f>VLOOKUP(A470,sinap!$A$2:$Y$9000,20,FALSE)</f>
        <v>SI</v>
      </c>
    </row>
    <row r="471" spans="1:19" s="16" customFormat="1" hidden="1" x14ac:dyDescent="0.25">
      <c r="A471" s="15">
        <v>12602340</v>
      </c>
      <c r="B471" s="15"/>
      <c r="C471" s="15"/>
      <c r="F471" s="16">
        <v>44923</v>
      </c>
      <c r="G471" s="16">
        <v>45247</v>
      </c>
      <c r="J471" s="15" t="str">
        <f>VLOOKUP(A471,sinap!$A$2:$R$9000,2,FALSE)</f>
        <v>H</v>
      </c>
      <c r="K471" s="15" t="str">
        <f>VLOOKUP(A471,sinap!$A$2:$R$9000,3,FALSE)</f>
        <v>VACA</v>
      </c>
      <c r="L471" s="15" t="str">
        <f>VLOOKUP(A471,sinap!$A$2:$R$9000,4,FALSE)</f>
        <v>ANGUS NEGRO</v>
      </c>
      <c r="M471" s="15" t="str">
        <f>VLOOKUP(A471,sinap!$A$2:$R$9000,5,FALSE)</f>
        <v>9 años 3 meses</v>
      </c>
      <c r="N471" s="15" t="str">
        <f>VLOOKUP(A471,sinap!$A$2:$R$9000,6,FALSE)</f>
        <v>15-10-2016</v>
      </c>
      <c r="O471" s="15" t="str">
        <f>VLOOKUP(A471,sinap!$A$2:$R$9000,7,FALSE)</f>
        <v>Vivo</v>
      </c>
      <c r="P471" s="15" t="str">
        <f>VLOOKUP(A471,sinap!$A$2:$R$9000,8,FALSE)</f>
        <v>11.2.01.0038</v>
      </c>
      <c r="Q471" s="15" t="str">
        <f>VLOOKUP(A471,sinap!$A$2:$R$9000,12,FALSE)</f>
        <v>11.1.01.0893</v>
      </c>
      <c r="R471" s="15" t="str">
        <f>VLOOKUP(A471,sinap!$A$2:$R$9000,16,FALSE)</f>
        <v>11.1.01.1241</v>
      </c>
      <c r="S471" s="15" t="str">
        <f>VLOOKUP(A471,sinap!$A$2:$Y$9000,20,FALSE)</f>
        <v>SI</v>
      </c>
    </row>
    <row r="472" spans="1:19" s="16" customFormat="1" hidden="1" x14ac:dyDescent="0.25">
      <c r="A472" s="15">
        <v>12602350</v>
      </c>
      <c r="B472" s="15"/>
      <c r="C472" s="15"/>
      <c r="F472" s="16">
        <v>44923</v>
      </c>
      <c r="G472" s="16">
        <v>45239</v>
      </c>
      <c r="J472" s="15" t="str">
        <f>VLOOKUP(A472,sinap!$A$2:$R$9000,2,FALSE)</f>
        <v>H</v>
      </c>
      <c r="K472" s="15" t="str">
        <f>VLOOKUP(A472,sinap!$A$2:$R$9000,3,FALSE)</f>
        <v>VACA</v>
      </c>
      <c r="L472" s="15" t="str">
        <f>VLOOKUP(A472,sinap!$A$2:$R$9000,4,FALSE)</f>
        <v>ANGUS NEGRO</v>
      </c>
      <c r="M472" s="15" t="str">
        <f>VLOOKUP(A472,sinap!$A$2:$R$9000,5,FALSE)</f>
        <v>9 años 3 meses</v>
      </c>
      <c r="N472" s="15" t="str">
        <f>VLOOKUP(A472,sinap!$A$2:$R$9000,6,FALSE)</f>
        <v>15-10-2016</v>
      </c>
      <c r="O472" s="15" t="str">
        <f>VLOOKUP(A472,sinap!$A$2:$R$9000,7,FALSE)</f>
        <v>Vivo</v>
      </c>
      <c r="P472" s="15" t="str">
        <f>VLOOKUP(A472,sinap!$A$2:$R$9000,8,FALSE)</f>
        <v>11.1.01.1241</v>
      </c>
      <c r="Q472" s="15" t="str">
        <f>VLOOKUP(A472,sinap!$A$2:$R$9000,12,FALSE)</f>
        <v>11.1.01.0893</v>
      </c>
      <c r="R472" s="15" t="str">
        <f>VLOOKUP(A472,sinap!$A$2:$R$9000,16,FALSE)</f>
        <v>11.1.01.1241</v>
      </c>
      <c r="S472" s="15" t="str">
        <f>VLOOKUP(A472,sinap!$A$2:$Y$9000,20,FALSE)</f>
        <v>SI</v>
      </c>
    </row>
    <row r="473" spans="1:19" s="16" customFormat="1" hidden="1" x14ac:dyDescent="0.25">
      <c r="A473" s="15">
        <v>12602351</v>
      </c>
      <c r="B473" s="15"/>
      <c r="C473" s="15"/>
      <c r="F473" s="16">
        <v>44923</v>
      </c>
      <c r="G473" s="16">
        <v>45239</v>
      </c>
      <c r="J473" s="15" t="str">
        <f>VLOOKUP(A473,sinap!$A$2:$R$9000,2,FALSE)</f>
        <v>H</v>
      </c>
      <c r="K473" s="15" t="str">
        <f>VLOOKUP(A473,sinap!$A$2:$R$9000,3,FALSE)</f>
        <v>VACA</v>
      </c>
      <c r="L473" s="15" t="str">
        <f>VLOOKUP(A473,sinap!$A$2:$R$9000,4,FALSE)</f>
        <v>ANGUS NEGRO</v>
      </c>
      <c r="M473" s="15" t="str">
        <f>VLOOKUP(A473,sinap!$A$2:$R$9000,5,FALSE)</f>
        <v>9 años 3 meses</v>
      </c>
      <c r="N473" s="15" t="str">
        <f>VLOOKUP(A473,sinap!$A$2:$R$9000,6,FALSE)</f>
        <v>15-10-2016</v>
      </c>
      <c r="O473" s="15" t="str">
        <f>VLOOKUP(A473,sinap!$A$2:$R$9000,7,FALSE)</f>
        <v>Vivo</v>
      </c>
      <c r="P473" s="15" t="str">
        <f>VLOOKUP(A473,sinap!$A$2:$R$9000,8,FALSE)</f>
        <v>11.1.01.1241</v>
      </c>
      <c r="Q473" s="15" t="str">
        <f>VLOOKUP(A473,sinap!$A$2:$R$9000,12,FALSE)</f>
        <v>11.1.01.0791</v>
      </c>
      <c r="R473" s="15" t="str">
        <f>VLOOKUP(A473,sinap!$A$2:$R$9000,16,FALSE)</f>
        <v>11.1.01.1241</v>
      </c>
      <c r="S473" s="15" t="str">
        <f>VLOOKUP(A473,sinap!$A$2:$Y$9000,20,FALSE)</f>
        <v>SI</v>
      </c>
    </row>
    <row r="474" spans="1:19" s="16" customFormat="1" hidden="1" x14ac:dyDescent="0.25">
      <c r="A474" s="15">
        <v>12602352</v>
      </c>
      <c r="B474" s="15"/>
      <c r="C474" s="15"/>
      <c r="F474" s="16">
        <v>44757</v>
      </c>
      <c r="J474" s="15" t="str">
        <f>VLOOKUP(A474,sinap!$A$2:$R$9000,2,FALSE)</f>
        <v>M</v>
      </c>
      <c r="K474" s="15" t="str">
        <f>VLOOKUP(A474,sinap!$A$2:$R$9000,3,FALSE)</f>
        <v>TORO</v>
      </c>
      <c r="L474" s="15" t="str">
        <f>VLOOKUP(A474,sinap!$A$2:$R$9000,4,FALSE)</f>
        <v>ANGUS NEGRO</v>
      </c>
      <c r="M474" s="15" t="str">
        <f>VLOOKUP(A474,sinap!$A$2:$R$9000,5,FALSE)</f>
        <v>9 años 3 meses</v>
      </c>
      <c r="N474" s="15" t="str">
        <f>VLOOKUP(A474,sinap!$A$2:$R$9000,6,FALSE)</f>
        <v>15-10-2016</v>
      </c>
      <c r="O474" s="15" t="str">
        <f>VLOOKUP(A474,sinap!$A$2:$R$9000,7,FALSE)</f>
        <v>Vivo</v>
      </c>
      <c r="P474" s="15" t="str">
        <f>VLOOKUP(A474,sinap!$A$2:$R$9000,8,FALSE)</f>
        <v>11.1.01.1241</v>
      </c>
      <c r="Q474" s="15" t="str">
        <f>VLOOKUP(A474,sinap!$A$2:$R$9000,12,FALSE)</f>
        <v>Sin Movimiento</v>
      </c>
      <c r="R474" s="15" t="str">
        <f>VLOOKUP(A474,sinap!$A$2:$R$9000,16,FALSE)</f>
        <v>11.1.01.1241</v>
      </c>
      <c r="S474" s="15" t="str">
        <f>VLOOKUP(A474,sinap!$A$2:$Y$9000,20,FALSE)</f>
        <v>SI</v>
      </c>
    </row>
    <row r="475" spans="1:19" s="16" customFormat="1" hidden="1" x14ac:dyDescent="0.25">
      <c r="A475" s="15">
        <v>12602357</v>
      </c>
      <c r="B475" s="15"/>
      <c r="C475" s="15"/>
      <c r="F475" s="16">
        <v>44923</v>
      </c>
      <c r="G475" s="16">
        <v>45247</v>
      </c>
      <c r="J475" s="15" t="str">
        <f>VLOOKUP(A475,sinap!$A$2:$R$9000,2,FALSE)</f>
        <v>M</v>
      </c>
      <c r="K475" s="15" t="str">
        <f>VLOOKUP(A475,sinap!$A$2:$R$9000,3,FALSE)</f>
        <v>TORO</v>
      </c>
      <c r="L475" s="15" t="str">
        <f>VLOOKUP(A475,sinap!$A$2:$R$9000,4,FALSE)</f>
        <v>ANGUS NEGRO</v>
      </c>
      <c r="M475" s="15" t="str">
        <f>VLOOKUP(A475,sinap!$A$2:$R$9000,5,FALSE)</f>
        <v>9 años 3 meses</v>
      </c>
      <c r="N475" s="15" t="str">
        <f>VLOOKUP(A475,sinap!$A$2:$R$9000,6,FALSE)</f>
        <v>15-10-2016</v>
      </c>
      <c r="O475" s="15" t="str">
        <f>VLOOKUP(A475,sinap!$A$2:$R$9000,7,FALSE)</f>
        <v>Vivo</v>
      </c>
      <c r="P475" s="15" t="str">
        <f>VLOOKUP(A475,sinap!$A$2:$R$9000,8,FALSE)</f>
        <v>11.1.01.1241</v>
      </c>
      <c r="Q475" s="15" t="str">
        <f>VLOOKUP(A475,sinap!$A$2:$R$9000,12,FALSE)</f>
        <v>Sin Movimiento</v>
      </c>
      <c r="R475" s="15" t="str">
        <f>VLOOKUP(A475,sinap!$A$2:$R$9000,16,FALSE)</f>
        <v>11.1.01.1241</v>
      </c>
      <c r="S475" s="15" t="str">
        <f>VLOOKUP(A475,sinap!$A$2:$Y$9000,20,FALSE)</f>
        <v>SI</v>
      </c>
    </row>
    <row r="476" spans="1:19" s="16" customFormat="1" hidden="1" x14ac:dyDescent="0.25">
      <c r="A476" s="15">
        <v>12602362</v>
      </c>
      <c r="B476" s="15"/>
      <c r="C476" s="15"/>
      <c r="F476" s="16">
        <v>44923</v>
      </c>
      <c r="G476" s="16">
        <v>45239</v>
      </c>
      <c r="J476" s="15" t="str">
        <f>VLOOKUP(A476,sinap!$A$2:$R$9000,2,FALSE)</f>
        <v>M</v>
      </c>
      <c r="K476" s="15" t="str">
        <f>VLOOKUP(A476,sinap!$A$2:$R$9000,3,FALSE)</f>
        <v>TORO</v>
      </c>
      <c r="L476" s="15" t="str">
        <f>VLOOKUP(A476,sinap!$A$2:$R$9000,4,FALSE)</f>
        <v>ANGUS ROJO</v>
      </c>
      <c r="M476" s="15" t="str">
        <f>VLOOKUP(A476,sinap!$A$2:$R$9000,5,FALSE)</f>
        <v>9 años 3 meses</v>
      </c>
      <c r="N476" s="15" t="str">
        <f>VLOOKUP(A476,sinap!$A$2:$R$9000,6,FALSE)</f>
        <v>15-10-2016</v>
      </c>
      <c r="O476" s="15" t="str">
        <f>VLOOKUP(A476,sinap!$A$2:$R$9000,7,FALSE)</f>
        <v>Vivo</v>
      </c>
      <c r="P476" s="15" t="str">
        <f>VLOOKUP(A476,sinap!$A$2:$R$9000,8,FALSE)</f>
        <v>11.1.01.0893</v>
      </c>
      <c r="Q476" s="15" t="str">
        <f>VLOOKUP(A476,sinap!$A$2:$R$9000,12,FALSE)</f>
        <v>11.1.01.1081</v>
      </c>
      <c r="R476" s="15" t="str">
        <f>VLOOKUP(A476,sinap!$A$2:$R$9000,16,FALSE)</f>
        <v>11.1.01.1241</v>
      </c>
      <c r="S476" s="15" t="str">
        <f>VLOOKUP(A476,sinap!$A$2:$Y$9000,20,FALSE)</f>
        <v>SI</v>
      </c>
    </row>
    <row r="477" spans="1:19" s="16" customFormat="1" hidden="1" x14ac:dyDescent="0.25">
      <c r="A477" s="15">
        <v>12602368</v>
      </c>
      <c r="B477" s="15"/>
      <c r="C477" s="15"/>
      <c r="F477" s="16">
        <v>44923</v>
      </c>
      <c r="G477" s="16">
        <v>45239</v>
      </c>
      <c r="H477" s="16">
        <v>45648</v>
      </c>
      <c r="I477" s="16">
        <v>45671</v>
      </c>
      <c r="J477" s="15" t="str">
        <f>VLOOKUP(A477,sinap!$A$2:$R$9000,2,FALSE)</f>
        <v>H</v>
      </c>
      <c r="K477" s="15" t="str">
        <f>VLOOKUP(A477,sinap!$A$2:$R$9000,3,FALSE)</f>
        <v>VACA</v>
      </c>
      <c r="L477" s="15" t="str">
        <f>VLOOKUP(A477,sinap!$A$2:$R$9000,4,FALSE)</f>
        <v>ANGUS NEGRO</v>
      </c>
      <c r="M477" s="15" t="str">
        <f>VLOOKUP(A477,sinap!$A$2:$R$9000,5,FALSE)</f>
        <v>9 años 3 meses</v>
      </c>
      <c r="N477" s="15" t="str">
        <f>VLOOKUP(A477,sinap!$A$2:$R$9000,6,FALSE)</f>
        <v>15-10-2016</v>
      </c>
      <c r="O477" s="15" t="str">
        <f>VLOOKUP(A477,sinap!$A$2:$R$9000,7,FALSE)</f>
        <v>Vivo</v>
      </c>
      <c r="P477" s="15" t="str">
        <f>VLOOKUP(A477,sinap!$A$2:$R$9000,8,FALSE)</f>
        <v>11.1.01.1241</v>
      </c>
      <c r="Q477" s="15" t="str">
        <f>VLOOKUP(A477,sinap!$A$2:$R$9000,12,FALSE)</f>
        <v>11.1.01.0893</v>
      </c>
      <c r="R477" s="15" t="str">
        <f>VLOOKUP(A477,sinap!$A$2:$R$9000,16,FALSE)</f>
        <v>11.1.01.1241</v>
      </c>
      <c r="S477" s="15" t="str">
        <f>VLOOKUP(A477,sinap!$A$2:$Y$9000,20,FALSE)</f>
        <v>SI</v>
      </c>
    </row>
    <row r="478" spans="1:19" s="16" customFormat="1" hidden="1" x14ac:dyDescent="0.25">
      <c r="A478" s="15">
        <v>12602387</v>
      </c>
      <c r="B478" s="15"/>
      <c r="C478" s="15"/>
      <c r="F478" s="16">
        <v>44923</v>
      </c>
      <c r="G478" s="16">
        <v>45239</v>
      </c>
      <c r="J478" s="15" t="str">
        <f>VLOOKUP(A478,sinap!$A$2:$R$9000,2,FALSE)</f>
        <v>H</v>
      </c>
      <c r="K478" s="15" t="str">
        <f>VLOOKUP(A478,sinap!$A$2:$R$9000,3,FALSE)</f>
        <v>VACA</v>
      </c>
      <c r="L478" s="15" t="str">
        <f>VLOOKUP(A478,sinap!$A$2:$R$9000,4,FALSE)</f>
        <v>ANGUS NEGRO</v>
      </c>
      <c r="M478" s="15" t="str">
        <f>VLOOKUP(A478,sinap!$A$2:$R$9000,5,FALSE)</f>
        <v>9 años 3 meses</v>
      </c>
      <c r="N478" s="15" t="str">
        <f>VLOOKUP(A478,sinap!$A$2:$R$9000,6,FALSE)</f>
        <v>15-10-2016</v>
      </c>
      <c r="O478" s="15" t="str">
        <f>VLOOKUP(A478,sinap!$A$2:$R$9000,7,FALSE)</f>
        <v>Vivo</v>
      </c>
      <c r="P478" s="15" t="str">
        <f>VLOOKUP(A478,sinap!$A$2:$R$9000,8,FALSE)</f>
        <v>11.1.01.1241</v>
      </c>
      <c r="Q478" s="15" t="str">
        <f>VLOOKUP(A478,sinap!$A$2:$R$9000,12,FALSE)</f>
        <v>11.2.01.0038</v>
      </c>
      <c r="R478" s="15" t="str">
        <f>VLOOKUP(A478,sinap!$A$2:$R$9000,16,FALSE)</f>
        <v>11.1.01.1241</v>
      </c>
      <c r="S478" s="15" t="str">
        <f>VLOOKUP(A478,sinap!$A$2:$Y$9000,20,FALSE)</f>
        <v>SI</v>
      </c>
    </row>
    <row r="479" spans="1:19" s="16" customFormat="1" hidden="1" x14ac:dyDescent="0.25">
      <c r="A479" s="15">
        <v>12602396</v>
      </c>
      <c r="B479" s="15"/>
      <c r="C479" s="15"/>
      <c r="F479" s="16">
        <v>44923</v>
      </c>
      <c r="G479" s="16">
        <v>45239</v>
      </c>
      <c r="J479" s="15" t="str">
        <f>VLOOKUP(A479,sinap!$A$2:$R$9000,2,FALSE)</f>
        <v>M</v>
      </c>
      <c r="K479" s="15" t="str">
        <f>VLOOKUP(A479,sinap!$A$2:$R$9000,3,FALSE)</f>
        <v>TORO</v>
      </c>
      <c r="L479" s="15" t="str">
        <f>VLOOKUP(A479,sinap!$A$2:$R$9000,4,FALSE)</f>
        <v>ANGUS NEGRO</v>
      </c>
      <c r="M479" s="15" t="str">
        <f>VLOOKUP(A479,sinap!$A$2:$R$9000,5,FALSE)</f>
        <v>9 años 3 meses</v>
      </c>
      <c r="N479" s="15" t="str">
        <f>VLOOKUP(A479,sinap!$A$2:$R$9000,6,FALSE)</f>
        <v>15-10-2016</v>
      </c>
      <c r="O479" s="15" t="str">
        <f>VLOOKUP(A479,sinap!$A$2:$R$9000,7,FALSE)</f>
        <v>Vivo</v>
      </c>
      <c r="P479" s="15" t="str">
        <f>VLOOKUP(A479,sinap!$A$2:$R$9000,8,FALSE)</f>
        <v>11.1.01.1241</v>
      </c>
      <c r="Q479" s="15" t="str">
        <f>VLOOKUP(A479,sinap!$A$2:$R$9000,12,FALSE)</f>
        <v>Sin Movimiento</v>
      </c>
      <c r="R479" s="15" t="str">
        <f>VLOOKUP(A479,sinap!$A$2:$R$9000,16,FALSE)</f>
        <v>11.1.01.1241</v>
      </c>
      <c r="S479" s="15" t="str">
        <f>VLOOKUP(A479,sinap!$A$2:$Y$9000,20,FALSE)</f>
        <v>SI</v>
      </c>
    </row>
    <row r="480" spans="1:19" s="16" customFormat="1" hidden="1" x14ac:dyDescent="0.25">
      <c r="A480" s="15">
        <v>14717718</v>
      </c>
      <c r="B480" s="15"/>
      <c r="C480" s="15"/>
      <c r="F480" s="16">
        <v>44923</v>
      </c>
      <c r="G480" s="16">
        <v>45247</v>
      </c>
      <c r="J480" s="15" t="str">
        <f>VLOOKUP(A480,sinap!$A$2:$R$9000,2,FALSE)</f>
        <v>H</v>
      </c>
      <c r="K480" s="15" t="str">
        <f>VLOOKUP(A480,sinap!$A$2:$R$9000,3,FALSE)</f>
        <v>VACA</v>
      </c>
      <c r="L480" s="15" t="str">
        <f>VLOOKUP(A480,sinap!$A$2:$R$9000,4,FALSE)</f>
        <v>ANGUS ROJO</v>
      </c>
      <c r="M480" s="15" t="str">
        <f>VLOOKUP(A480,sinap!$A$2:$R$9000,5,FALSE)</f>
        <v>9 años 3 meses</v>
      </c>
      <c r="N480" s="15" t="str">
        <f>VLOOKUP(A480,sinap!$A$2:$R$9000,6,FALSE)</f>
        <v>15-10-2016</v>
      </c>
      <c r="O480" s="15" t="str">
        <f>VLOOKUP(A480,sinap!$A$2:$R$9000,7,FALSE)</f>
        <v>Vivo</v>
      </c>
      <c r="P480" s="15" t="str">
        <f>VLOOKUP(A480,sinap!$A$2:$R$9000,8,FALSE)</f>
        <v>11.1.01.1241</v>
      </c>
      <c r="Q480" s="15" t="str">
        <f>VLOOKUP(A480,sinap!$A$2:$R$9000,12,FALSE)</f>
        <v>Sin Movimiento</v>
      </c>
      <c r="R480" s="15" t="str">
        <f>VLOOKUP(A480,sinap!$A$2:$R$9000,16,FALSE)</f>
        <v>11.1.01.1241</v>
      </c>
      <c r="S480" s="15" t="str">
        <f>VLOOKUP(A480,sinap!$A$2:$Y$9000,20,FALSE)</f>
        <v>SI</v>
      </c>
    </row>
    <row r="481" spans="1:19" s="16" customFormat="1" hidden="1" x14ac:dyDescent="0.25">
      <c r="A481" s="15">
        <v>14717723</v>
      </c>
      <c r="B481" s="15"/>
      <c r="C481" s="15"/>
      <c r="F481" s="16">
        <v>44923</v>
      </c>
      <c r="G481" s="16">
        <v>45239</v>
      </c>
      <c r="J481" s="15" t="str">
        <f>VLOOKUP(A481,sinap!$A$2:$R$9000,2,FALSE)</f>
        <v>M</v>
      </c>
      <c r="K481" s="15" t="str">
        <f>VLOOKUP(A481,sinap!$A$2:$R$9000,3,FALSE)</f>
        <v>TORO</v>
      </c>
      <c r="L481" s="15" t="str">
        <f>VLOOKUP(A481,sinap!$A$2:$R$9000,4,FALSE)</f>
        <v>ANGUS ROJO</v>
      </c>
      <c r="M481" s="15" t="str">
        <f>VLOOKUP(A481,sinap!$A$2:$R$9000,5,FALSE)</f>
        <v>9 años 3 meses</v>
      </c>
      <c r="N481" s="15" t="str">
        <f>VLOOKUP(A481,sinap!$A$2:$R$9000,6,FALSE)</f>
        <v>15-10-2016</v>
      </c>
      <c r="O481" s="15" t="str">
        <f>VLOOKUP(A481,sinap!$A$2:$R$9000,7,FALSE)</f>
        <v>Vivo</v>
      </c>
      <c r="P481" s="15" t="str">
        <f>VLOOKUP(A481,sinap!$A$2:$R$9000,8,FALSE)</f>
        <v>11.1.01.0893</v>
      </c>
      <c r="Q481" s="15" t="str">
        <f>VLOOKUP(A481,sinap!$A$2:$R$9000,12,FALSE)</f>
        <v>11.1.01.1081</v>
      </c>
      <c r="R481" s="15" t="str">
        <f>VLOOKUP(A481,sinap!$A$2:$R$9000,16,FALSE)</f>
        <v>11.1.01.1241</v>
      </c>
      <c r="S481" s="15" t="str">
        <f>VLOOKUP(A481,sinap!$A$2:$Y$9000,20,FALSE)</f>
        <v>SI</v>
      </c>
    </row>
    <row r="482" spans="1:19" s="16" customFormat="1" ht="15.75" hidden="1" customHeight="1" x14ac:dyDescent="0.25">
      <c r="A482" s="15">
        <v>14717727</v>
      </c>
      <c r="B482" s="15"/>
      <c r="C482" s="15"/>
      <c r="F482" s="16">
        <v>44923</v>
      </c>
      <c r="G482" s="16">
        <v>45239</v>
      </c>
      <c r="H482" s="16">
        <v>45297</v>
      </c>
      <c r="J482" s="15" t="str">
        <f>VLOOKUP(A482,sinap!$A$2:$R$9000,2,FALSE)</f>
        <v>H</v>
      </c>
      <c r="K482" s="15" t="str">
        <f>VLOOKUP(A482,sinap!$A$2:$R$9000,3,FALSE)</f>
        <v>VACA</v>
      </c>
      <c r="L482" s="15" t="str">
        <f>VLOOKUP(A482,sinap!$A$2:$R$9000,4,FALSE)</f>
        <v>ANGUS NEGRO</v>
      </c>
      <c r="M482" s="15" t="str">
        <f>VLOOKUP(A482,sinap!$A$2:$R$9000,5,FALSE)</f>
        <v>9 años 3 meses</v>
      </c>
      <c r="N482" s="15" t="str">
        <f>VLOOKUP(A482,sinap!$A$2:$R$9000,6,FALSE)</f>
        <v>15-10-2016</v>
      </c>
      <c r="O482" s="15" t="str">
        <f>VLOOKUP(A482,sinap!$A$2:$R$9000,7,FALSE)</f>
        <v>Vivo</v>
      </c>
      <c r="P482" s="15" t="str">
        <f>VLOOKUP(A482,sinap!$A$2:$R$9000,8,FALSE)</f>
        <v>11.2.01.0038</v>
      </c>
      <c r="Q482" s="15" t="str">
        <f>VLOOKUP(A482,sinap!$A$2:$R$9000,12,FALSE)</f>
        <v>11.1.01.0893</v>
      </c>
      <c r="R482" s="15" t="str">
        <f>VLOOKUP(A482,sinap!$A$2:$R$9000,16,FALSE)</f>
        <v>11.1.01.1241</v>
      </c>
      <c r="S482" s="15" t="str">
        <f>VLOOKUP(A482,sinap!$A$2:$Y$9000,20,FALSE)</f>
        <v>SI</v>
      </c>
    </row>
    <row r="483" spans="1:19" s="16" customFormat="1" hidden="1" x14ac:dyDescent="0.25">
      <c r="A483" s="15">
        <v>14717733</v>
      </c>
      <c r="B483" s="15"/>
      <c r="C483" s="15"/>
      <c r="F483" s="16">
        <v>44923</v>
      </c>
      <c r="G483" s="16">
        <v>45247</v>
      </c>
      <c r="J483" s="15" t="str">
        <f>VLOOKUP(A483,sinap!$A$2:$R$9000,2,FALSE)</f>
        <v>H</v>
      </c>
      <c r="K483" s="15" t="str">
        <f>VLOOKUP(A483,sinap!$A$2:$R$9000,3,FALSE)</f>
        <v>VACA</v>
      </c>
      <c r="L483" s="15" t="str">
        <f>VLOOKUP(A483,sinap!$A$2:$R$9000,4,FALSE)</f>
        <v>ANGUS ROJO</v>
      </c>
      <c r="M483" s="15" t="str">
        <f>VLOOKUP(A483,sinap!$A$2:$R$9000,5,FALSE)</f>
        <v>9 años 3 meses</v>
      </c>
      <c r="N483" s="15" t="str">
        <f>VLOOKUP(A483,sinap!$A$2:$R$9000,6,FALSE)</f>
        <v>15-10-2016</v>
      </c>
      <c r="O483" s="15" t="str">
        <f>VLOOKUP(A483,sinap!$A$2:$R$9000,7,FALSE)</f>
        <v>Vivo</v>
      </c>
      <c r="P483" s="15" t="str">
        <f>VLOOKUP(A483,sinap!$A$2:$R$9000,8,FALSE)</f>
        <v>11.1.01.1241</v>
      </c>
      <c r="Q483" s="15" t="str">
        <f>VLOOKUP(A483,sinap!$A$2:$R$9000,12,FALSE)</f>
        <v>11.2.01.0038</v>
      </c>
      <c r="R483" s="15" t="str">
        <f>VLOOKUP(A483,sinap!$A$2:$R$9000,16,FALSE)</f>
        <v>11.1.01.1241</v>
      </c>
      <c r="S483" s="15" t="str">
        <f>VLOOKUP(A483,sinap!$A$2:$Y$9000,20,FALSE)</f>
        <v>SI</v>
      </c>
    </row>
    <row r="484" spans="1:19" s="16" customFormat="1" hidden="1" x14ac:dyDescent="0.25">
      <c r="A484" s="15">
        <v>14717734</v>
      </c>
      <c r="B484" s="15"/>
      <c r="C484" s="15"/>
      <c r="F484" s="16">
        <v>44923</v>
      </c>
      <c r="G484" s="16">
        <v>45247</v>
      </c>
      <c r="J484" s="15" t="str">
        <f>VLOOKUP(A484,sinap!$A$2:$R$9000,2,FALSE)</f>
        <v>H</v>
      </c>
      <c r="K484" s="15" t="str">
        <f>VLOOKUP(A484,sinap!$A$2:$R$9000,3,FALSE)</f>
        <v>VACA</v>
      </c>
      <c r="L484" s="15" t="str">
        <f>VLOOKUP(A484,sinap!$A$2:$R$9000,4,FALSE)</f>
        <v>ANGUS NEGRO</v>
      </c>
      <c r="M484" s="15" t="str">
        <f>VLOOKUP(A484,sinap!$A$2:$R$9000,5,FALSE)</f>
        <v>9 años 3 meses</v>
      </c>
      <c r="N484" s="15" t="str">
        <f>VLOOKUP(A484,sinap!$A$2:$R$9000,6,FALSE)</f>
        <v>15-10-2016</v>
      </c>
      <c r="O484" s="15" t="str">
        <f>VLOOKUP(A484,sinap!$A$2:$R$9000,7,FALSE)</f>
        <v>Vivo</v>
      </c>
      <c r="P484" s="15" t="str">
        <f>VLOOKUP(A484,sinap!$A$2:$R$9000,8,FALSE)</f>
        <v>11.1.01.1241</v>
      </c>
      <c r="Q484" s="15" t="str">
        <f>VLOOKUP(A484,sinap!$A$2:$R$9000,12,FALSE)</f>
        <v>11.2.01.0038</v>
      </c>
      <c r="R484" s="15" t="str">
        <f>VLOOKUP(A484,sinap!$A$2:$R$9000,16,FALSE)</f>
        <v>11.1.01.1241</v>
      </c>
      <c r="S484" s="15" t="str">
        <f>VLOOKUP(A484,sinap!$A$2:$Y$9000,20,FALSE)</f>
        <v>SI</v>
      </c>
    </row>
    <row r="485" spans="1:19" s="16" customFormat="1" hidden="1" x14ac:dyDescent="0.25">
      <c r="A485" s="15">
        <v>14717738</v>
      </c>
      <c r="B485" s="15"/>
      <c r="C485" s="15"/>
      <c r="F485" s="16">
        <v>44923</v>
      </c>
      <c r="G485" s="16">
        <v>45239</v>
      </c>
      <c r="J485" s="15" t="str">
        <f>VLOOKUP(A485,sinap!$A$2:$R$9000,2,FALSE)</f>
        <v>H</v>
      </c>
      <c r="K485" s="15" t="str">
        <f>VLOOKUP(A485,sinap!$A$2:$R$9000,3,FALSE)</f>
        <v>VACA</v>
      </c>
      <c r="L485" s="15" t="str">
        <f>VLOOKUP(A485,sinap!$A$2:$R$9000,4,FALSE)</f>
        <v>ANGUS ROJO</v>
      </c>
      <c r="M485" s="15" t="str">
        <f>VLOOKUP(A485,sinap!$A$2:$R$9000,5,FALSE)</f>
        <v>9 años 3 meses</v>
      </c>
      <c r="N485" s="15" t="str">
        <f>VLOOKUP(A485,sinap!$A$2:$R$9000,6,FALSE)</f>
        <v>15-10-2016</v>
      </c>
      <c r="O485" s="15" t="str">
        <f>VLOOKUP(A485,sinap!$A$2:$R$9000,7,FALSE)</f>
        <v>Vivo</v>
      </c>
      <c r="P485" s="15" t="str">
        <f>VLOOKUP(A485,sinap!$A$2:$R$9000,8,FALSE)</f>
        <v>11.1.01.1241</v>
      </c>
      <c r="Q485" s="15" t="str">
        <f>VLOOKUP(A485,sinap!$A$2:$R$9000,12,FALSE)</f>
        <v>11.1.01.0893</v>
      </c>
      <c r="R485" s="15" t="str">
        <f>VLOOKUP(A485,sinap!$A$2:$R$9000,16,FALSE)</f>
        <v>11.1.01.0893</v>
      </c>
      <c r="S485" s="15" t="str">
        <f>VLOOKUP(A485,sinap!$A$2:$Y$9000,20,FALSE)</f>
        <v>SI</v>
      </c>
    </row>
    <row r="486" spans="1:19" s="16" customFormat="1" hidden="1" x14ac:dyDescent="0.25">
      <c r="A486" s="15">
        <v>14717740</v>
      </c>
      <c r="B486" s="15"/>
      <c r="C486" s="15"/>
      <c r="F486" s="16">
        <v>44923</v>
      </c>
      <c r="G486" s="16">
        <v>45142</v>
      </c>
      <c r="H486" s="16">
        <v>45297</v>
      </c>
      <c r="J486" s="15" t="str">
        <f>VLOOKUP(A486,sinap!$A$2:$R$9000,2,FALSE)</f>
        <v>H</v>
      </c>
      <c r="K486" s="15" t="str">
        <f>VLOOKUP(A486,sinap!$A$2:$R$9000,3,FALSE)</f>
        <v>VACA</v>
      </c>
      <c r="L486" s="15" t="str">
        <f>VLOOKUP(A486,sinap!$A$2:$R$9000,4,FALSE)</f>
        <v>ANGUS NEGRO</v>
      </c>
      <c r="M486" s="15" t="str">
        <f>VLOOKUP(A486,sinap!$A$2:$R$9000,5,FALSE)</f>
        <v>9 años 3 meses</v>
      </c>
      <c r="N486" s="15" t="str">
        <f>VLOOKUP(A486,sinap!$A$2:$R$9000,6,FALSE)</f>
        <v>15-10-2016</v>
      </c>
      <c r="O486" s="15" t="str">
        <f>VLOOKUP(A486,sinap!$A$2:$R$9000,7,FALSE)</f>
        <v>Vivo</v>
      </c>
      <c r="P486" s="15" t="str">
        <f>VLOOKUP(A486,sinap!$A$2:$R$9000,8,FALSE)</f>
        <v>11.2.01.0038</v>
      </c>
      <c r="Q486" s="15" t="str">
        <f>VLOOKUP(A486,sinap!$A$2:$R$9000,12,FALSE)</f>
        <v>11.1.01.0893</v>
      </c>
      <c r="R486" s="15" t="str">
        <f>VLOOKUP(A486,sinap!$A$2:$R$9000,16,FALSE)</f>
        <v>11.1.01.0893</v>
      </c>
      <c r="S486" s="15" t="str">
        <f>VLOOKUP(A486,sinap!$A$2:$Y$9000,20,FALSE)</f>
        <v>SI</v>
      </c>
    </row>
    <row r="487" spans="1:19" s="16" customFormat="1" hidden="1" x14ac:dyDescent="0.25">
      <c r="A487" s="15">
        <v>14717745</v>
      </c>
      <c r="B487" s="15"/>
      <c r="C487" s="15"/>
      <c r="J487" s="15" t="str">
        <f>VLOOKUP(A487,sinap!$A$2:$R$9000,2,FALSE)</f>
        <v>H</v>
      </c>
      <c r="K487" s="15" t="str">
        <f>VLOOKUP(A487,sinap!$A$2:$R$9000,3,FALSE)</f>
        <v>VACA</v>
      </c>
      <c r="L487" s="15" t="str">
        <f>VLOOKUP(A487,sinap!$A$2:$R$9000,4,FALSE)</f>
        <v>ANGUS NEGRO</v>
      </c>
      <c r="M487" s="15" t="str">
        <f>VLOOKUP(A487,sinap!$A$2:$R$9000,5,FALSE)</f>
        <v>9 años 3 meses</v>
      </c>
      <c r="N487" s="15" t="str">
        <f>VLOOKUP(A487,sinap!$A$2:$R$9000,6,FALSE)</f>
        <v>15-10-2016</v>
      </c>
      <c r="O487" s="15" t="str">
        <f>VLOOKUP(A487,sinap!$A$2:$R$9000,7,FALSE)</f>
        <v>Vivo</v>
      </c>
      <c r="P487" s="15" t="str">
        <f>VLOOKUP(A487,sinap!$A$2:$R$9000,8,FALSE)</f>
        <v>11.1.01.1241</v>
      </c>
      <c r="Q487" s="15" t="str">
        <f>VLOOKUP(A487,sinap!$A$2:$R$9000,12,FALSE)</f>
        <v>11.1.01.0893</v>
      </c>
      <c r="R487" s="15" t="str">
        <f>VLOOKUP(A487,sinap!$A$2:$R$9000,16,FALSE)</f>
        <v>11.1.01.0893</v>
      </c>
      <c r="S487" s="15" t="str">
        <f>VLOOKUP(A487,sinap!$A$2:$Y$9000,20,FALSE)</f>
        <v>SI</v>
      </c>
    </row>
    <row r="488" spans="1:19" s="16" customFormat="1" hidden="1" x14ac:dyDescent="0.25">
      <c r="A488" s="15">
        <v>14717748</v>
      </c>
      <c r="B488" s="15"/>
      <c r="C488" s="15"/>
      <c r="F488" s="16">
        <v>44923</v>
      </c>
      <c r="G488" s="16">
        <v>45239</v>
      </c>
      <c r="H488" s="16">
        <v>45648</v>
      </c>
      <c r="I488" s="16">
        <v>45965</v>
      </c>
      <c r="J488" s="15" t="str">
        <f>VLOOKUP(A488,sinap!$A$2:$R$9000,2,FALSE)</f>
        <v>H</v>
      </c>
      <c r="K488" s="15" t="str">
        <f>VLOOKUP(A488,sinap!$A$2:$R$9000,3,FALSE)</f>
        <v>VACA</v>
      </c>
      <c r="L488" s="15" t="str">
        <f>VLOOKUP(A488,sinap!$A$2:$R$9000,4,FALSE)</f>
        <v>ANGUS NEGRO</v>
      </c>
      <c r="M488" s="15" t="str">
        <f>VLOOKUP(A488,sinap!$A$2:$R$9000,5,FALSE)</f>
        <v>9 años 3 meses</v>
      </c>
      <c r="N488" s="15" t="str">
        <f>VLOOKUP(A488,sinap!$A$2:$R$9000,6,FALSE)</f>
        <v>15-10-2016</v>
      </c>
      <c r="O488" s="15" t="str">
        <f>VLOOKUP(A488,sinap!$A$2:$R$9000,7,FALSE)</f>
        <v>Vivo</v>
      </c>
      <c r="P488" s="15" t="str">
        <f>VLOOKUP(A488,sinap!$A$2:$R$9000,8,FALSE)</f>
        <v>11.1.01.2442</v>
      </c>
      <c r="Q488" s="15" t="str">
        <f>VLOOKUP(A488,sinap!$A$2:$R$9000,12,FALSE)</f>
        <v>11.1.01.0190</v>
      </c>
      <c r="R488" s="15" t="str">
        <f>VLOOKUP(A488,sinap!$A$2:$R$9000,16,FALSE)</f>
        <v>11.1.01.0893</v>
      </c>
      <c r="S488" s="15" t="str">
        <f>VLOOKUP(A488,sinap!$A$2:$Y$9000,20,FALSE)</f>
        <v>SI</v>
      </c>
    </row>
    <row r="489" spans="1:19" hidden="1" x14ac:dyDescent="0.25">
      <c r="A489" s="15">
        <v>14717778</v>
      </c>
      <c r="F489" s="16">
        <v>44923</v>
      </c>
      <c r="G489" s="16">
        <v>45239</v>
      </c>
      <c r="J489" s="15" t="str">
        <f>VLOOKUP(A489,sinap!$A$2:$R$9000,2,FALSE)</f>
        <v>H</v>
      </c>
      <c r="K489" s="15" t="str">
        <f>VLOOKUP(A489,sinap!$A$2:$R$9000,3,FALSE)</f>
        <v>VACA</v>
      </c>
      <c r="L489" s="15" t="str">
        <f>VLOOKUP(A489,sinap!$A$2:$R$9000,4,FALSE)</f>
        <v>ANGUS NEGRO</v>
      </c>
      <c r="M489" s="15" t="str">
        <f>VLOOKUP(A489,sinap!$A$2:$R$9000,5,FALSE)</f>
        <v>9 años 3 meses</v>
      </c>
      <c r="N489" s="15" t="str">
        <f>VLOOKUP(A489,sinap!$A$2:$R$9000,6,FALSE)</f>
        <v>15-10-2016</v>
      </c>
      <c r="O489" s="15" t="str">
        <f>VLOOKUP(A489,sinap!$A$2:$R$9000,7,FALSE)</f>
        <v>Vivo</v>
      </c>
      <c r="P489" s="15" t="str">
        <f>VLOOKUP(A489,sinap!$A$2:$R$9000,8,FALSE)</f>
        <v>11.1.01.0893</v>
      </c>
      <c r="Q489" s="15" t="str">
        <f>VLOOKUP(A489,sinap!$A$2:$R$9000,12,FALSE)</f>
        <v>11.2.01.0053</v>
      </c>
      <c r="R489" s="15" t="str">
        <f>VLOOKUP(A489,sinap!$A$2:$R$9000,16,FALSE)</f>
        <v>11.1.01.0893</v>
      </c>
      <c r="S489" s="15" t="str">
        <f>VLOOKUP(A489,sinap!$A$2:$Y$9000,20,FALSE)</f>
        <v>SI</v>
      </c>
    </row>
    <row r="490" spans="1:19" hidden="1" x14ac:dyDescent="0.25">
      <c r="A490" s="15">
        <v>14717781</v>
      </c>
      <c r="J490" s="15" t="str">
        <f>VLOOKUP(A490,sinap!$A$2:$R$9000,2,FALSE)</f>
        <v>H</v>
      </c>
      <c r="K490" s="15" t="str">
        <f>VLOOKUP(A490,sinap!$A$2:$R$9000,3,FALSE)</f>
        <v>VACA</v>
      </c>
      <c r="L490" s="15" t="str">
        <f>VLOOKUP(A490,sinap!$A$2:$R$9000,4,FALSE)</f>
        <v>ANGUS NEGRO</v>
      </c>
      <c r="M490" s="15" t="str">
        <f>VLOOKUP(A490,sinap!$A$2:$R$9000,5,FALSE)</f>
        <v>9 años 3 meses</v>
      </c>
      <c r="N490" s="15" t="str">
        <f>VLOOKUP(A490,sinap!$A$2:$R$9000,6,FALSE)</f>
        <v>15-10-2016</v>
      </c>
      <c r="O490" s="15" t="str">
        <f>VLOOKUP(A490,sinap!$A$2:$R$9000,7,FALSE)</f>
        <v>Vivo</v>
      </c>
      <c r="P490" s="15" t="str">
        <f>VLOOKUP(A490,sinap!$A$2:$R$9000,8,FALSE)</f>
        <v>11.2.01.0038</v>
      </c>
      <c r="Q490" s="15" t="str">
        <f>VLOOKUP(A490,sinap!$A$2:$R$9000,12,FALSE)</f>
        <v>11.1.01.1241</v>
      </c>
      <c r="R490" s="15" t="str">
        <f>VLOOKUP(A490,sinap!$A$2:$R$9000,16,FALSE)</f>
        <v>11.1.01.0893</v>
      </c>
      <c r="S490" s="15" t="str">
        <f>VLOOKUP(A490,sinap!$A$2:$Y$9000,20,FALSE)</f>
        <v>SI</v>
      </c>
    </row>
    <row r="491" spans="1:19" hidden="1" x14ac:dyDescent="0.25">
      <c r="A491" s="15">
        <v>14717796</v>
      </c>
      <c r="F491" s="16">
        <v>44923</v>
      </c>
      <c r="G491" s="16">
        <v>45247</v>
      </c>
      <c r="J491" s="15" t="str">
        <f>VLOOKUP(A491,sinap!$A$2:$R$9000,2,FALSE)</f>
        <v>H</v>
      </c>
      <c r="K491" s="15" t="str">
        <f>VLOOKUP(A491,sinap!$A$2:$R$9000,3,FALSE)</f>
        <v>VACA</v>
      </c>
      <c r="L491" s="15" t="str">
        <f>VLOOKUP(A491,sinap!$A$2:$R$9000,4,FALSE)</f>
        <v>ANGUS NEGRO</v>
      </c>
      <c r="M491" s="15" t="str">
        <f>VLOOKUP(A491,sinap!$A$2:$R$9000,5,FALSE)</f>
        <v>9 años 3 meses</v>
      </c>
      <c r="N491" s="15" t="str">
        <f>VLOOKUP(A491,sinap!$A$2:$R$9000,6,FALSE)</f>
        <v>15-10-2016</v>
      </c>
      <c r="O491" s="15" t="str">
        <f>VLOOKUP(A491,sinap!$A$2:$R$9000,7,FALSE)</f>
        <v>Vivo</v>
      </c>
      <c r="P491" s="15" t="str">
        <f>VLOOKUP(A491,sinap!$A$2:$R$9000,8,FALSE)</f>
        <v>11.1.01.0893</v>
      </c>
      <c r="Q491" s="15" t="str">
        <f>VLOOKUP(A491,sinap!$A$2:$R$9000,12,FALSE)</f>
        <v>11.1.01.0791</v>
      </c>
      <c r="R491" s="15" t="str">
        <f>VLOOKUP(A491,sinap!$A$2:$R$9000,16,FALSE)</f>
        <v>11.1.01.0893</v>
      </c>
      <c r="S491" s="15" t="str">
        <f>VLOOKUP(A491,sinap!$A$2:$Y$9000,20,FALSE)</f>
        <v>SI</v>
      </c>
    </row>
    <row r="492" spans="1:19" hidden="1" x14ac:dyDescent="0.25">
      <c r="A492" s="15">
        <v>14717816</v>
      </c>
      <c r="F492" s="16">
        <v>44923</v>
      </c>
      <c r="G492" s="16">
        <v>45247</v>
      </c>
      <c r="J492" s="15" t="str">
        <f>VLOOKUP(A492,sinap!$A$2:$R$9000,2,FALSE)</f>
        <v>H</v>
      </c>
      <c r="K492" s="15" t="str">
        <f>VLOOKUP(A492,sinap!$A$2:$R$9000,3,FALSE)</f>
        <v>VACA</v>
      </c>
      <c r="L492" s="15" t="str">
        <f>VLOOKUP(A492,sinap!$A$2:$R$9000,4,FALSE)</f>
        <v>ANGUS NEGRO</v>
      </c>
      <c r="M492" s="15" t="str">
        <f>VLOOKUP(A492,sinap!$A$2:$R$9000,5,FALSE)</f>
        <v>9 años 3 meses</v>
      </c>
      <c r="N492" s="15" t="str">
        <f>VLOOKUP(A492,sinap!$A$2:$R$9000,6,FALSE)</f>
        <v>15-10-2016</v>
      </c>
      <c r="O492" s="15" t="str">
        <f>VLOOKUP(A492,sinap!$A$2:$R$9000,7,FALSE)</f>
        <v>Vivo</v>
      </c>
      <c r="P492" s="15" t="str">
        <f>VLOOKUP(A492,sinap!$A$2:$R$9000,8,FALSE)</f>
        <v>11.1.01.1241</v>
      </c>
      <c r="Q492" s="15" t="str">
        <f>VLOOKUP(A492,sinap!$A$2:$R$9000,12,FALSE)</f>
        <v>11.2.01.0053</v>
      </c>
      <c r="R492" s="15" t="str">
        <f>VLOOKUP(A492,sinap!$A$2:$R$9000,16,FALSE)</f>
        <v>11.1.01.0893</v>
      </c>
      <c r="S492" s="15" t="str">
        <f>VLOOKUP(A492,sinap!$A$2:$Y$9000,20,FALSE)</f>
        <v>SI</v>
      </c>
    </row>
    <row r="493" spans="1:19" hidden="1" x14ac:dyDescent="0.25">
      <c r="A493" s="15">
        <v>14717820</v>
      </c>
      <c r="F493" s="16">
        <v>44923</v>
      </c>
      <c r="G493" s="16">
        <v>45239</v>
      </c>
      <c r="J493" s="15" t="str">
        <f>VLOOKUP(A493,sinap!$A$2:$R$9000,2,FALSE)</f>
        <v>H</v>
      </c>
      <c r="K493" s="15" t="str">
        <f>VLOOKUP(A493,sinap!$A$2:$R$9000,3,FALSE)</f>
        <v>VACA</v>
      </c>
      <c r="L493" s="15" t="str">
        <f>VLOOKUP(A493,sinap!$A$2:$R$9000,4,FALSE)</f>
        <v>ANGUS NEGRO</v>
      </c>
      <c r="M493" s="15" t="str">
        <f>VLOOKUP(A493,sinap!$A$2:$R$9000,5,FALSE)</f>
        <v>9 años 3 meses</v>
      </c>
      <c r="N493" s="15" t="str">
        <f>VLOOKUP(A493,sinap!$A$2:$R$9000,6,FALSE)</f>
        <v>15-10-2016</v>
      </c>
      <c r="O493" s="15" t="str">
        <f>VLOOKUP(A493,sinap!$A$2:$R$9000,7,FALSE)</f>
        <v>Vivo</v>
      </c>
      <c r="P493" s="15" t="str">
        <f>VLOOKUP(A493,sinap!$A$2:$R$9000,8,FALSE)</f>
        <v>11.1.01.0870</v>
      </c>
      <c r="Q493" s="15" t="str">
        <f>VLOOKUP(A493,sinap!$A$2:$R$9000,12,FALSE)</f>
        <v>11.1.01.1241</v>
      </c>
      <c r="R493" s="15" t="str">
        <f>VLOOKUP(A493,sinap!$A$2:$R$9000,16,FALSE)</f>
        <v>11.1.01.0893</v>
      </c>
      <c r="S493" s="15" t="str">
        <f>VLOOKUP(A493,sinap!$A$2:$Y$9000,20,FALSE)</f>
        <v>SI</v>
      </c>
    </row>
    <row r="494" spans="1:19" hidden="1" x14ac:dyDescent="0.25">
      <c r="A494" s="15">
        <v>14717827</v>
      </c>
      <c r="F494" s="16">
        <v>44923</v>
      </c>
      <c r="G494" s="16">
        <v>45239</v>
      </c>
      <c r="J494" s="15" t="str">
        <f>VLOOKUP(A494,sinap!$A$2:$R$9000,2,FALSE)</f>
        <v>H</v>
      </c>
      <c r="K494" s="15" t="str">
        <f>VLOOKUP(A494,sinap!$A$2:$R$9000,3,FALSE)</f>
        <v>VACA</v>
      </c>
      <c r="L494" s="15" t="str">
        <f>VLOOKUP(A494,sinap!$A$2:$R$9000,4,FALSE)</f>
        <v>ANGUS NEGRO</v>
      </c>
      <c r="M494" s="15" t="str">
        <f>VLOOKUP(A494,sinap!$A$2:$R$9000,5,FALSE)</f>
        <v>9 años 3 meses</v>
      </c>
      <c r="N494" s="15" t="str">
        <f>VLOOKUP(A494,sinap!$A$2:$R$9000,6,FALSE)</f>
        <v>15-10-2016</v>
      </c>
      <c r="O494" s="15" t="str">
        <f>VLOOKUP(A494,sinap!$A$2:$R$9000,7,FALSE)</f>
        <v>Vivo</v>
      </c>
      <c r="P494" s="15" t="str">
        <f>VLOOKUP(A494,sinap!$A$2:$R$9000,8,FALSE)</f>
        <v>11.2.01.0038</v>
      </c>
      <c r="Q494" s="15" t="str">
        <f>VLOOKUP(A494,sinap!$A$2:$R$9000,12,FALSE)</f>
        <v>11.1.01.1241</v>
      </c>
      <c r="R494" s="15" t="str">
        <f>VLOOKUP(A494,sinap!$A$2:$R$9000,16,FALSE)</f>
        <v>11.1.01.0893</v>
      </c>
      <c r="S494" s="15" t="str">
        <f>VLOOKUP(A494,sinap!$A$2:$Y$9000,20,FALSE)</f>
        <v>SI</v>
      </c>
    </row>
    <row r="495" spans="1:19" hidden="1" x14ac:dyDescent="0.25">
      <c r="A495" s="15">
        <v>14717834</v>
      </c>
      <c r="J495" s="15" t="str">
        <f>VLOOKUP(A495,sinap!$A$2:$R$9000,2,FALSE)</f>
        <v>M</v>
      </c>
      <c r="K495" s="15" t="str">
        <f>VLOOKUP(A495,sinap!$A$2:$R$9000,3,FALSE)</f>
        <v>TORO</v>
      </c>
      <c r="L495" s="15" t="str">
        <f>VLOOKUP(A495,sinap!$A$2:$R$9000,4,FALSE)</f>
        <v>LIMOUSIN</v>
      </c>
      <c r="M495" s="15" t="str">
        <f>VLOOKUP(A495,sinap!$A$2:$R$9000,5,FALSE)</f>
        <v>9 años 3 meses</v>
      </c>
      <c r="N495" s="15" t="str">
        <f>VLOOKUP(A495,sinap!$A$2:$R$9000,6,FALSE)</f>
        <v>15-10-2016</v>
      </c>
      <c r="O495" s="15" t="str">
        <f>VLOOKUP(A495,sinap!$A$2:$R$9000,7,FALSE)</f>
        <v>Vivo</v>
      </c>
      <c r="P495" s="15" t="str">
        <f>VLOOKUP(A495,sinap!$A$2:$R$9000,8,FALSE)</f>
        <v>11.1.01.0893</v>
      </c>
      <c r="Q495" s="15" t="str">
        <f>VLOOKUP(A495,sinap!$A$2:$R$9000,12,FALSE)</f>
        <v>Sin Movimiento</v>
      </c>
      <c r="R495" s="15" t="str">
        <f>VLOOKUP(A495,sinap!$A$2:$R$9000,16,FALSE)</f>
        <v>11.1.01.0893</v>
      </c>
      <c r="S495" s="15" t="str">
        <f>VLOOKUP(A495,sinap!$A$2:$Y$9000,20,FALSE)</f>
        <v>SI</v>
      </c>
    </row>
    <row r="496" spans="1:19" hidden="1" x14ac:dyDescent="0.25">
      <c r="A496" s="15">
        <v>14717837</v>
      </c>
      <c r="J496" s="15" t="str">
        <f>VLOOKUP(A496,sinap!$A$2:$R$9000,2,FALSE)</f>
        <v>H</v>
      </c>
      <c r="K496" s="15" t="str">
        <f>VLOOKUP(A496,sinap!$A$2:$R$9000,3,FALSE)</f>
        <v>VACA</v>
      </c>
      <c r="L496" s="15" t="str">
        <f>VLOOKUP(A496,sinap!$A$2:$R$9000,4,FALSE)</f>
        <v>ANGUS NEGRO</v>
      </c>
      <c r="M496" s="15" t="str">
        <f>VLOOKUP(A496,sinap!$A$2:$R$9000,5,FALSE)</f>
        <v>9 años 3 meses</v>
      </c>
      <c r="N496" s="15" t="str">
        <f>VLOOKUP(A496,sinap!$A$2:$R$9000,6,FALSE)</f>
        <v>15-10-2016</v>
      </c>
      <c r="O496" s="15" t="str">
        <f>VLOOKUP(A496,sinap!$A$2:$R$9000,7,FALSE)</f>
        <v>Vivo</v>
      </c>
      <c r="P496" s="15" t="str">
        <f>VLOOKUP(A496,sinap!$A$2:$R$9000,8,FALSE)</f>
        <v>11.1.01.0893</v>
      </c>
      <c r="Q496" s="15" t="str">
        <f>VLOOKUP(A496,sinap!$A$2:$R$9000,12,FALSE)</f>
        <v>11.2.01.0053</v>
      </c>
      <c r="R496" s="15" t="str">
        <f>VLOOKUP(A496,sinap!$A$2:$R$9000,16,FALSE)</f>
        <v>11.1.01.0893</v>
      </c>
      <c r="S496" s="15" t="str">
        <f>VLOOKUP(A496,sinap!$A$2:$Y$9000,20,FALSE)</f>
        <v>SI</v>
      </c>
    </row>
    <row r="497" spans="1:19" hidden="1" x14ac:dyDescent="0.25">
      <c r="A497" s="15">
        <v>14717843</v>
      </c>
      <c r="F497" s="16">
        <v>44923</v>
      </c>
      <c r="G497" s="16">
        <v>45239</v>
      </c>
      <c r="J497" s="15" t="str">
        <f>VLOOKUP(A497,sinap!$A$2:$R$9000,2,FALSE)</f>
        <v>H</v>
      </c>
      <c r="K497" s="15" t="str">
        <f>VLOOKUP(A497,sinap!$A$2:$R$9000,3,FALSE)</f>
        <v>VACA</v>
      </c>
      <c r="L497" s="15" t="str">
        <f>VLOOKUP(A497,sinap!$A$2:$R$9000,4,FALSE)</f>
        <v>ANGUS NEGRO</v>
      </c>
      <c r="M497" s="15" t="str">
        <f>VLOOKUP(A497,sinap!$A$2:$R$9000,5,FALSE)</f>
        <v>9 años 3 meses</v>
      </c>
      <c r="N497" s="15" t="str">
        <f>VLOOKUP(A497,sinap!$A$2:$R$9000,6,FALSE)</f>
        <v>15-10-2016</v>
      </c>
      <c r="O497" s="15" t="str">
        <f>VLOOKUP(A497,sinap!$A$2:$R$9000,7,FALSE)</f>
        <v>Vivo</v>
      </c>
      <c r="P497" s="15" t="str">
        <f>VLOOKUP(A497,sinap!$A$2:$R$9000,8,FALSE)</f>
        <v>11.2.01.0038</v>
      </c>
      <c r="Q497" s="15" t="str">
        <f>VLOOKUP(A497,sinap!$A$2:$R$9000,12,FALSE)</f>
        <v>11.1.01.1241</v>
      </c>
      <c r="R497" s="15" t="str">
        <f>VLOOKUP(A497,sinap!$A$2:$R$9000,16,FALSE)</f>
        <v>11.2.01.2071</v>
      </c>
      <c r="S497" s="15" t="str">
        <f>VLOOKUP(A497,sinap!$A$2:$Y$9000,20,FALSE)</f>
        <v>SI</v>
      </c>
    </row>
    <row r="498" spans="1:19" hidden="1" x14ac:dyDescent="0.25">
      <c r="A498" s="15">
        <v>14717852</v>
      </c>
      <c r="F498" s="16">
        <v>44923</v>
      </c>
      <c r="G498" s="16">
        <v>45239</v>
      </c>
      <c r="J498" s="15" t="str">
        <f>VLOOKUP(A498,sinap!$A$2:$R$9000,2,FALSE)</f>
        <v>H</v>
      </c>
      <c r="K498" s="15" t="str">
        <f>VLOOKUP(A498,sinap!$A$2:$R$9000,3,FALSE)</f>
        <v>VACA</v>
      </c>
      <c r="L498" s="15" t="str">
        <f>VLOOKUP(A498,sinap!$A$2:$R$9000,4,FALSE)</f>
        <v>ANGUS NEGRO</v>
      </c>
      <c r="M498" s="15" t="str">
        <f>VLOOKUP(A498,sinap!$A$2:$R$9000,5,FALSE)</f>
        <v>9 años 3 meses</v>
      </c>
      <c r="N498" s="15" t="str">
        <f>VLOOKUP(A498,sinap!$A$2:$R$9000,6,FALSE)</f>
        <v>15-10-2016</v>
      </c>
      <c r="O498" s="15" t="str">
        <f>VLOOKUP(A498,sinap!$A$2:$R$9000,7,FALSE)</f>
        <v>Vivo</v>
      </c>
      <c r="P498" s="15" t="str">
        <f>VLOOKUP(A498,sinap!$A$2:$R$9000,8,FALSE)</f>
        <v>11.1.01.0893</v>
      </c>
      <c r="Q498" s="15" t="str">
        <f>VLOOKUP(A498,sinap!$A$2:$R$9000,12,FALSE)</f>
        <v>11.2.01.2071</v>
      </c>
      <c r="R498" s="15" t="str">
        <f>VLOOKUP(A498,sinap!$A$2:$R$9000,16,FALSE)</f>
        <v>11.2.01.2071</v>
      </c>
      <c r="S498" s="15" t="str">
        <f>VLOOKUP(A498,sinap!$A$2:$Y$9000,20,FALSE)</f>
        <v>SI</v>
      </c>
    </row>
    <row r="499" spans="1:19" hidden="1" x14ac:dyDescent="0.25">
      <c r="A499" s="15">
        <v>14717855</v>
      </c>
      <c r="F499" s="16">
        <v>44923</v>
      </c>
      <c r="G499" s="16">
        <v>45239</v>
      </c>
      <c r="J499" s="15" t="str">
        <f>VLOOKUP(A499,sinap!$A$2:$R$9000,2,FALSE)</f>
        <v>M</v>
      </c>
      <c r="K499" s="15" t="str">
        <f>VLOOKUP(A499,sinap!$A$2:$R$9000,3,FALSE)</f>
        <v>TORO</v>
      </c>
      <c r="L499" s="15" t="str">
        <f>VLOOKUP(A499,sinap!$A$2:$R$9000,4,FALSE)</f>
        <v>ANGUS NEGRO</v>
      </c>
      <c r="M499" s="15" t="str">
        <f>VLOOKUP(A499,sinap!$A$2:$R$9000,5,FALSE)</f>
        <v>9 años 3 meses</v>
      </c>
      <c r="N499" s="15" t="str">
        <f>VLOOKUP(A499,sinap!$A$2:$R$9000,6,FALSE)</f>
        <v>15-10-2016</v>
      </c>
      <c r="O499" s="15" t="str">
        <f>VLOOKUP(A499,sinap!$A$2:$R$9000,7,FALSE)</f>
        <v>Vivo</v>
      </c>
      <c r="P499" s="15" t="str">
        <f>VLOOKUP(A499,sinap!$A$2:$R$9000,8,FALSE)</f>
        <v>11.1.01.0893</v>
      </c>
      <c r="Q499" s="15" t="str">
        <f>VLOOKUP(A499,sinap!$A$2:$R$9000,12,FALSE)</f>
        <v>11.1.01.1081</v>
      </c>
      <c r="R499" s="15" t="str">
        <f>VLOOKUP(A499,sinap!$A$2:$R$9000,16,FALSE)</f>
        <v>11.2.01.2071</v>
      </c>
      <c r="S499" s="15" t="str">
        <f>VLOOKUP(A499,sinap!$A$2:$Y$9000,20,FALSE)</f>
        <v>SI</v>
      </c>
    </row>
    <row r="500" spans="1:19" hidden="1" x14ac:dyDescent="0.25">
      <c r="A500" s="15">
        <v>14717856</v>
      </c>
      <c r="F500" s="16">
        <v>44923</v>
      </c>
      <c r="G500" s="16">
        <v>45247</v>
      </c>
      <c r="J500" s="15" t="str">
        <f>VLOOKUP(A500,sinap!$A$2:$R$9000,2,FALSE)</f>
        <v>M</v>
      </c>
      <c r="K500" s="15" t="str">
        <f>VLOOKUP(A500,sinap!$A$2:$R$9000,3,FALSE)</f>
        <v>TORO</v>
      </c>
      <c r="L500" s="15" t="str">
        <f>VLOOKUP(A500,sinap!$A$2:$R$9000,4,FALSE)</f>
        <v>OVERO NEGRO</v>
      </c>
      <c r="M500" s="15" t="str">
        <f>VLOOKUP(A500,sinap!$A$2:$R$9000,5,FALSE)</f>
        <v>9 años 3 meses</v>
      </c>
      <c r="N500" s="15" t="str">
        <f>VLOOKUP(A500,sinap!$A$2:$R$9000,6,FALSE)</f>
        <v>15-10-2016</v>
      </c>
      <c r="O500" s="15" t="str">
        <f>VLOOKUP(A500,sinap!$A$2:$R$9000,7,FALSE)</f>
        <v>Vivo</v>
      </c>
      <c r="P500" s="15" t="str">
        <f>VLOOKUP(A500,sinap!$A$2:$R$9000,8,FALSE)</f>
        <v>11.1.01.0893</v>
      </c>
      <c r="Q500" s="15" t="str">
        <f>VLOOKUP(A500,sinap!$A$2:$R$9000,12,FALSE)</f>
        <v>11.2.01.2071</v>
      </c>
      <c r="R500" s="15" t="str">
        <f>VLOOKUP(A500,sinap!$A$2:$R$9000,16,FALSE)</f>
        <v>11.2.01.2071</v>
      </c>
      <c r="S500" s="15" t="str">
        <f>VLOOKUP(A500,sinap!$A$2:$Y$9000,20,FALSE)</f>
        <v>SI</v>
      </c>
    </row>
    <row r="501" spans="1:19" hidden="1" x14ac:dyDescent="0.25">
      <c r="A501" s="15">
        <v>14717858</v>
      </c>
      <c r="F501" s="16">
        <v>44923</v>
      </c>
      <c r="G501" s="16">
        <v>45247</v>
      </c>
      <c r="J501" s="15" t="str">
        <f>VLOOKUP(A501,sinap!$A$2:$R$9000,2,FALSE)</f>
        <v>M</v>
      </c>
      <c r="K501" s="15" t="str">
        <f>VLOOKUP(A501,sinap!$A$2:$R$9000,3,FALSE)</f>
        <v>TORO</v>
      </c>
      <c r="L501" s="15" t="str">
        <f>VLOOKUP(A501,sinap!$A$2:$R$9000,4,FALSE)</f>
        <v>ANGUS NEGRO</v>
      </c>
      <c r="M501" s="15" t="str">
        <f>VLOOKUP(A501,sinap!$A$2:$R$9000,5,FALSE)</f>
        <v>9 años 3 meses</v>
      </c>
      <c r="N501" s="15" t="str">
        <f>VLOOKUP(A501,sinap!$A$2:$R$9000,6,FALSE)</f>
        <v>15-10-2016</v>
      </c>
      <c r="O501" s="15" t="str">
        <f>VLOOKUP(A501,sinap!$A$2:$R$9000,7,FALSE)</f>
        <v>Vivo</v>
      </c>
      <c r="P501" s="15" t="str">
        <f>VLOOKUP(A501,sinap!$A$2:$R$9000,8,FALSE)</f>
        <v>11.1.01.0893</v>
      </c>
      <c r="Q501" s="15" t="str">
        <f>VLOOKUP(A501,sinap!$A$2:$R$9000,12,FALSE)</f>
        <v>11.2.01.2071</v>
      </c>
      <c r="R501" s="15" t="str">
        <f>VLOOKUP(A501,sinap!$A$2:$R$9000,16,FALSE)</f>
        <v>11.2.01.2071</v>
      </c>
      <c r="S501" s="15" t="str">
        <f>VLOOKUP(A501,sinap!$A$2:$Y$9000,20,FALSE)</f>
        <v>SI</v>
      </c>
    </row>
    <row r="502" spans="1:19" hidden="1" x14ac:dyDescent="0.25">
      <c r="A502" s="15">
        <v>14717863</v>
      </c>
      <c r="F502" s="16">
        <v>44923</v>
      </c>
      <c r="G502" s="16">
        <v>45247</v>
      </c>
      <c r="J502" s="15" t="str">
        <f>VLOOKUP(A502,sinap!$A$2:$R$9000,2,FALSE)</f>
        <v>M</v>
      </c>
      <c r="K502" s="15" t="str">
        <f>VLOOKUP(A502,sinap!$A$2:$R$9000,3,FALSE)</f>
        <v>TORO</v>
      </c>
      <c r="L502" s="15" t="str">
        <f>VLOOKUP(A502,sinap!$A$2:$R$9000,4,FALSE)</f>
        <v>ANGUS ROJO</v>
      </c>
      <c r="M502" s="15" t="str">
        <f>VLOOKUP(A502,sinap!$A$2:$R$9000,5,FALSE)</f>
        <v>9 años 3 meses</v>
      </c>
      <c r="N502" s="15" t="str">
        <f>VLOOKUP(A502,sinap!$A$2:$R$9000,6,FALSE)</f>
        <v>15-10-2016</v>
      </c>
      <c r="O502" s="15" t="str">
        <f>VLOOKUP(A502,sinap!$A$2:$R$9000,7,FALSE)</f>
        <v>Vivo</v>
      </c>
      <c r="P502" s="15" t="str">
        <f>VLOOKUP(A502,sinap!$A$2:$R$9000,8,FALSE)</f>
        <v>11.1.01.1241</v>
      </c>
      <c r="Q502" s="15" t="str">
        <f>VLOOKUP(A502,sinap!$A$2:$R$9000,12,FALSE)</f>
        <v>11.1.01.1241</v>
      </c>
      <c r="R502" s="15" t="str">
        <f>VLOOKUP(A502,sinap!$A$2:$R$9000,16,FALSE)</f>
        <v>11.2.01.2071</v>
      </c>
      <c r="S502" s="15" t="str">
        <f>VLOOKUP(A502,sinap!$A$2:$Y$9000,20,FALSE)</f>
        <v>SI</v>
      </c>
    </row>
    <row r="503" spans="1:19" hidden="1" x14ac:dyDescent="0.25">
      <c r="A503" s="15">
        <v>14717865</v>
      </c>
      <c r="F503" s="16">
        <v>44923</v>
      </c>
      <c r="G503" s="16">
        <v>45247</v>
      </c>
      <c r="J503" s="15" t="str">
        <f>VLOOKUP(A503,sinap!$A$2:$R$9000,2,FALSE)</f>
        <v>H</v>
      </c>
      <c r="K503" s="15" t="str">
        <f>VLOOKUP(A503,sinap!$A$2:$R$9000,3,FALSE)</f>
        <v>VACA</v>
      </c>
      <c r="L503" s="15" t="str">
        <f>VLOOKUP(A503,sinap!$A$2:$R$9000,4,FALSE)</f>
        <v>HEREFORD</v>
      </c>
      <c r="M503" s="15" t="str">
        <f>VLOOKUP(A503,sinap!$A$2:$R$9000,5,FALSE)</f>
        <v>9 años 3 meses</v>
      </c>
      <c r="N503" s="15" t="str">
        <f>VLOOKUP(A503,sinap!$A$2:$R$9000,6,FALSE)</f>
        <v>15-10-2016</v>
      </c>
      <c r="O503" s="15" t="str">
        <f>VLOOKUP(A503,sinap!$A$2:$R$9000,7,FALSE)</f>
        <v>Vivo</v>
      </c>
      <c r="P503" s="15" t="str">
        <f>VLOOKUP(A503,sinap!$A$2:$R$9000,8,FALSE)</f>
        <v>11.1.01.0893</v>
      </c>
      <c r="Q503" s="15" t="str">
        <f>VLOOKUP(A503,sinap!$A$2:$R$9000,12,FALSE)</f>
        <v>11.2.01.2071</v>
      </c>
      <c r="R503" s="15" t="str">
        <f>VLOOKUP(A503,sinap!$A$2:$R$9000,16,FALSE)</f>
        <v>11.2.01.2071</v>
      </c>
      <c r="S503" s="15" t="str">
        <f>VLOOKUP(A503,sinap!$A$2:$Y$9000,20,FALSE)</f>
        <v>SI</v>
      </c>
    </row>
    <row r="504" spans="1:19" hidden="1" x14ac:dyDescent="0.25">
      <c r="A504" s="15">
        <v>14717866</v>
      </c>
      <c r="F504" s="16">
        <v>44923</v>
      </c>
      <c r="G504" s="16">
        <v>45247</v>
      </c>
      <c r="J504" s="15" t="str">
        <f>VLOOKUP(A504,sinap!$A$2:$R$9000,2,FALSE)</f>
        <v>H</v>
      </c>
      <c r="K504" s="15" t="str">
        <f>VLOOKUP(A504,sinap!$A$2:$R$9000,3,FALSE)</f>
        <v>VACA</v>
      </c>
      <c r="L504" s="15" t="str">
        <f>VLOOKUP(A504,sinap!$A$2:$R$9000,4,FALSE)</f>
        <v>ANGUS NEGRO</v>
      </c>
      <c r="M504" s="15" t="str">
        <f>VLOOKUP(A504,sinap!$A$2:$R$9000,5,FALSE)</f>
        <v>9 años 3 meses</v>
      </c>
      <c r="N504" s="15" t="str">
        <f>VLOOKUP(A504,sinap!$A$2:$R$9000,6,FALSE)</f>
        <v>15-10-2016</v>
      </c>
      <c r="O504" s="15" t="str">
        <f>VLOOKUP(A504,sinap!$A$2:$R$9000,7,FALSE)</f>
        <v>Vivo</v>
      </c>
      <c r="P504" s="15" t="str">
        <f>VLOOKUP(A504,sinap!$A$2:$R$9000,8,FALSE)</f>
        <v>11.1.01.0893</v>
      </c>
      <c r="Q504" s="15" t="str">
        <f>VLOOKUP(A504,sinap!$A$2:$R$9000,12,FALSE)</f>
        <v>11.1.01.1081</v>
      </c>
      <c r="R504" s="15" t="str">
        <f>VLOOKUP(A504,sinap!$A$2:$R$9000,16,FALSE)</f>
        <v>11.2.01.2071</v>
      </c>
      <c r="S504" s="15" t="str">
        <f>VLOOKUP(A504,sinap!$A$2:$Y$9000,20,FALSE)</f>
        <v>SI</v>
      </c>
    </row>
    <row r="505" spans="1:19" hidden="1" x14ac:dyDescent="0.25">
      <c r="A505" s="15">
        <v>14717901</v>
      </c>
      <c r="F505" s="16">
        <v>44923</v>
      </c>
      <c r="G505" s="16">
        <v>45239</v>
      </c>
      <c r="J505" s="15" t="str">
        <f>VLOOKUP(A505,sinap!$A$2:$R$9000,2,FALSE)</f>
        <v>M</v>
      </c>
      <c r="K505" s="15" t="str">
        <f>VLOOKUP(A505,sinap!$A$2:$R$9000,3,FALSE)</f>
        <v>TORO</v>
      </c>
      <c r="L505" s="15" t="str">
        <f>VLOOKUP(A505,sinap!$A$2:$R$9000,4,FALSE)</f>
        <v>ANGUS NEGRO</v>
      </c>
      <c r="M505" s="15" t="str">
        <f>VLOOKUP(A505,sinap!$A$2:$R$9000,5,FALSE)</f>
        <v>9 años 3 meses</v>
      </c>
      <c r="N505" s="15" t="str">
        <f>VLOOKUP(A505,sinap!$A$2:$R$9000,6,FALSE)</f>
        <v>15-10-2016</v>
      </c>
      <c r="O505" s="15" t="str">
        <f>VLOOKUP(A505,sinap!$A$2:$R$9000,7,FALSE)</f>
        <v>Vivo</v>
      </c>
      <c r="P505" s="15" t="str">
        <f>VLOOKUP(A505,sinap!$A$2:$R$9000,8,FALSE)</f>
        <v>11.1.01.0893</v>
      </c>
      <c r="Q505" s="15" t="str">
        <f>VLOOKUP(A505,sinap!$A$2:$R$9000,12,FALSE)</f>
        <v>11.1.01.1081</v>
      </c>
      <c r="R505" s="15" t="str">
        <f>VLOOKUP(A505,sinap!$A$2:$R$9000,16,FALSE)</f>
        <v>11.1.01.1081</v>
      </c>
      <c r="S505" s="15" t="str">
        <f>VLOOKUP(A505,sinap!$A$2:$Y$9000,20,FALSE)</f>
        <v>SI</v>
      </c>
    </row>
    <row r="506" spans="1:19" hidden="1" x14ac:dyDescent="0.25">
      <c r="A506" s="15">
        <v>14717914</v>
      </c>
      <c r="F506" s="16">
        <v>44923</v>
      </c>
      <c r="G506" s="16">
        <v>45247</v>
      </c>
      <c r="J506" s="15" t="str">
        <f>VLOOKUP(A506,sinap!$A$2:$R$9000,2,FALSE)</f>
        <v>M</v>
      </c>
      <c r="K506" s="15" t="str">
        <f>VLOOKUP(A506,sinap!$A$2:$R$9000,3,FALSE)</f>
        <v>TORO</v>
      </c>
      <c r="L506" s="15" t="str">
        <f>VLOOKUP(A506,sinap!$A$2:$R$9000,4,FALSE)</f>
        <v>ANGUS NEGRO</v>
      </c>
      <c r="M506" s="15" t="str">
        <f>VLOOKUP(A506,sinap!$A$2:$R$9000,5,FALSE)</f>
        <v>9 años 3 meses</v>
      </c>
      <c r="N506" s="15" t="str">
        <f>VLOOKUP(A506,sinap!$A$2:$R$9000,6,FALSE)</f>
        <v>15-10-2016</v>
      </c>
      <c r="O506" s="15" t="str">
        <f>VLOOKUP(A506,sinap!$A$2:$R$9000,7,FALSE)</f>
        <v>Vivo</v>
      </c>
      <c r="P506" s="15" t="str">
        <f>VLOOKUP(A506,sinap!$A$2:$R$9000,8,FALSE)</f>
        <v>11.1.01.0893</v>
      </c>
      <c r="Q506" s="15" t="str">
        <f>VLOOKUP(A506,sinap!$A$2:$R$9000,12,FALSE)</f>
        <v>11.1.01.1081</v>
      </c>
      <c r="R506" s="15" t="str">
        <f>VLOOKUP(A506,sinap!$A$2:$R$9000,16,FALSE)</f>
        <v>11.1.01.1081</v>
      </c>
      <c r="S506" s="15" t="str">
        <f>VLOOKUP(A506,sinap!$A$2:$Y$9000,20,FALSE)</f>
        <v>SI</v>
      </c>
    </row>
    <row r="507" spans="1:19" hidden="1" x14ac:dyDescent="0.25">
      <c r="A507" s="15">
        <v>14717941</v>
      </c>
      <c r="F507" s="16">
        <v>44923</v>
      </c>
      <c r="G507" s="16">
        <v>45247</v>
      </c>
      <c r="J507" s="15" t="str">
        <f>VLOOKUP(A507,sinap!$A$2:$R$9000,2,FALSE)</f>
        <v>M</v>
      </c>
      <c r="K507" s="15" t="str">
        <f>VLOOKUP(A507,sinap!$A$2:$R$9000,3,FALSE)</f>
        <v>TORO</v>
      </c>
      <c r="L507" s="15" t="str">
        <f>VLOOKUP(A507,sinap!$A$2:$R$9000,4,FALSE)</f>
        <v>ANGUS ROJO</v>
      </c>
      <c r="M507" s="15" t="str">
        <f>VLOOKUP(A507,sinap!$A$2:$R$9000,5,FALSE)</f>
        <v>9 años 3 meses</v>
      </c>
      <c r="N507" s="15" t="str">
        <f>VLOOKUP(A507,sinap!$A$2:$R$9000,6,FALSE)</f>
        <v>15-10-2016</v>
      </c>
      <c r="O507" s="15" t="str">
        <f>VLOOKUP(A507,sinap!$A$2:$R$9000,7,FALSE)</f>
        <v>Vivo</v>
      </c>
      <c r="P507" s="15" t="str">
        <f>VLOOKUP(A507,sinap!$A$2:$R$9000,8,FALSE)</f>
        <v>11.1.01.0893</v>
      </c>
      <c r="Q507" s="15" t="str">
        <f>VLOOKUP(A507,sinap!$A$2:$R$9000,12,FALSE)</f>
        <v>11.1.01.1081</v>
      </c>
      <c r="R507" s="15" t="str">
        <f>VLOOKUP(A507,sinap!$A$2:$R$9000,16,FALSE)</f>
        <v>11.1.01.1081</v>
      </c>
      <c r="S507" s="15" t="str">
        <f>VLOOKUP(A507,sinap!$A$2:$Y$9000,20,FALSE)</f>
        <v>SI</v>
      </c>
    </row>
    <row r="508" spans="1:19" hidden="1" x14ac:dyDescent="0.25">
      <c r="A508" s="15">
        <v>14717949</v>
      </c>
      <c r="F508" s="16">
        <v>44923</v>
      </c>
      <c r="G508" s="16">
        <v>45239</v>
      </c>
      <c r="H508" s="16">
        <v>45648</v>
      </c>
      <c r="I508" s="16">
        <v>45671</v>
      </c>
      <c r="J508" s="15" t="str">
        <f>VLOOKUP(A508,sinap!$A$2:$R$9000,2,FALSE)</f>
        <v>H</v>
      </c>
      <c r="K508" s="15" t="str">
        <f>VLOOKUP(A508,sinap!$A$2:$R$9000,3,FALSE)</f>
        <v>VACA</v>
      </c>
      <c r="L508" s="15" t="str">
        <f>VLOOKUP(A508,sinap!$A$2:$R$9000,4,FALSE)</f>
        <v>ANGUS ROJO</v>
      </c>
      <c r="M508" s="15" t="str">
        <f>VLOOKUP(A508,sinap!$A$2:$R$9000,5,FALSE)</f>
        <v>9 años 3 meses</v>
      </c>
      <c r="N508" s="15" t="str">
        <f>VLOOKUP(A508,sinap!$A$2:$R$9000,6,FALSE)</f>
        <v>15-10-2016</v>
      </c>
      <c r="O508" s="15" t="str">
        <f>VLOOKUP(A508,sinap!$A$2:$R$9000,7,FALSE)</f>
        <v>Vivo</v>
      </c>
      <c r="P508" s="15" t="str">
        <f>VLOOKUP(A508,sinap!$A$2:$R$9000,8,FALSE)</f>
        <v>11.1.01.1241</v>
      </c>
      <c r="Q508" s="15" t="str">
        <f>VLOOKUP(A508,sinap!$A$2:$R$9000,12,FALSE)</f>
        <v>11.1.01.0791</v>
      </c>
      <c r="R508" s="15" t="str">
        <f>VLOOKUP(A508,sinap!$A$2:$R$9000,16,FALSE)</f>
        <v>11.1.01.1081</v>
      </c>
      <c r="S508" s="15" t="str">
        <f>VLOOKUP(A508,sinap!$A$2:$Y$9000,20,FALSE)</f>
        <v>SI</v>
      </c>
    </row>
    <row r="509" spans="1:19" hidden="1" x14ac:dyDescent="0.25">
      <c r="A509" s="15">
        <v>14717951</v>
      </c>
      <c r="F509" s="16">
        <v>44923</v>
      </c>
      <c r="G509" s="16">
        <v>45247</v>
      </c>
      <c r="J509" s="15" t="str">
        <f>VLOOKUP(A509,sinap!$A$2:$R$9000,2,FALSE)</f>
        <v>H</v>
      </c>
      <c r="K509" s="15" t="str">
        <f>VLOOKUP(A509,sinap!$A$2:$R$9000,3,FALSE)</f>
        <v>VACA</v>
      </c>
      <c r="L509" s="15" t="str">
        <f>VLOOKUP(A509,sinap!$A$2:$R$9000,4,FALSE)</f>
        <v>ANGUS ROJO</v>
      </c>
      <c r="M509" s="15" t="str">
        <f>VLOOKUP(A509,sinap!$A$2:$R$9000,5,FALSE)</f>
        <v>9 años 3 meses</v>
      </c>
      <c r="N509" s="15" t="str">
        <f>VLOOKUP(A509,sinap!$A$2:$R$9000,6,FALSE)</f>
        <v>15-10-2016</v>
      </c>
      <c r="O509" s="15" t="str">
        <f>VLOOKUP(A509,sinap!$A$2:$R$9000,7,FALSE)</f>
        <v>Vivo</v>
      </c>
      <c r="P509" s="15" t="str">
        <f>VLOOKUP(A509,sinap!$A$2:$R$9000,8,FALSE)</f>
        <v>11.1.01.1241</v>
      </c>
      <c r="Q509" s="15" t="str">
        <f>VLOOKUP(A509,sinap!$A$2:$R$9000,12,FALSE)</f>
        <v>11.1.01.0893</v>
      </c>
      <c r="R509" s="15" t="str">
        <f>VLOOKUP(A509,sinap!$A$2:$R$9000,16,FALSE)</f>
        <v>11.1.01.1081</v>
      </c>
      <c r="S509" s="15" t="str">
        <f>VLOOKUP(A509,sinap!$A$2:$Y$9000,20,FALSE)</f>
        <v>SI</v>
      </c>
    </row>
    <row r="510" spans="1:19" hidden="1" x14ac:dyDescent="0.25">
      <c r="A510" s="15">
        <v>14717973</v>
      </c>
      <c r="F510" s="16">
        <v>44923</v>
      </c>
      <c r="G510" s="16">
        <v>45265</v>
      </c>
      <c r="J510" s="15" t="str">
        <f>VLOOKUP(A510,sinap!$A$2:$R$9000,2,FALSE)</f>
        <v>M</v>
      </c>
      <c r="K510" s="15" t="str">
        <f>VLOOKUP(A510,sinap!$A$2:$R$9000,3,FALSE)</f>
        <v>TORO</v>
      </c>
      <c r="L510" s="15" t="str">
        <f>VLOOKUP(A510,sinap!$A$2:$R$9000,4,FALSE)</f>
        <v>ANGUS NEGRO</v>
      </c>
      <c r="M510" s="15" t="str">
        <f>VLOOKUP(A510,sinap!$A$2:$R$9000,5,FALSE)</f>
        <v>9 años 3 meses</v>
      </c>
      <c r="N510" s="15" t="str">
        <f>VLOOKUP(A510,sinap!$A$2:$R$9000,6,FALSE)</f>
        <v>15-10-2016</v>
      </c>
      <c r="O510" s="15" t="str">
        <f>VLOOKUP(A510,sinap!$A$2:$R$9000,7,FALSE)</f>
        <v>Vivo</v>
      </c>
      <c r="P510" s="15" t="str">
        <f>VLOOKUP(A510,sinap!$A$2:$R$9000,8,FALSE)</f>
        <v>11.1.01.0893</v>
      </c>
      <c r="Q510" s="15" t="str">
        <f>VLOOKUP(A510,sinap!$A$2:$R$9000,12,FALSE)</f>
        <v>11.1.01.1081</v>
      </c>
      <c r="R510" s="15" t="str">
        <f>VLOOKUP(A510,sinap!$A$2:$R$9000,16,FALSE)</f>
        <v>11.1.01.1081</v>
      </c>
      <c r="S510" s="15" t="str">
        <f>VLOOKUP(A510,sinap!$A$2:$Y$9000,20,FALSE)</f>
        <v>SI</v>
      </c>
    </row>
    <row r="511" spans="1:19" hidden="1" x14ac:dyDescent="0.25">
      <c r="A511" s="15">
        <v>14717997</v>
      </c>
      <c r="F511" s="16">
        <v>44923</v>
      </c>
      <c r="G511" s="16">
        <v>45247</v>
      </c>
      <c r="J511" s="15" t="str">
        <f>VLOOKUP(A511,sinap!$A$2:$R$9000,2,FALSE)</f>
        <v>M</v>
      </c>
      <c r="K511" s="15" t="str">
        <f>VLOOKUP(A511,sinap!$A$2:$R$9000,3,FALSE)</f>
        <v>TORO</v>
      </c>
      <c r="L511" s="15" t="str">
        <f>VLOOKUP(A511,sinap!$A$2:$R$9000,4,FALSE)</f>
        <v>ANGUS NEGRO</v>
      </c>
      <c r="M511" s="15" t="str">
        <f>VLOOKUP(A511,sinap!$A$2:$R$9000,5,FALSE)</f>
        <v>9 años 3 meses</v>
      </c>
      <c r="N511" s="15" t="str">
        <f>VLOOKUP(A511,sinap!$A$2:$R$9000,6,FALSE)</f>
        <v>15-10-2016</v>
      </c>
      <c r="O511" s="15" t="str">
        <f>VLOOKUP(A511,sinap!$A$2:$R$9000,7,FALSE)</f>
        <v>Vivo</v>
      </c>
      <c r="P511" s="15" t="str">
        <f>VLOOKUP(A511,sinap!$A$2:$R$9000,8,FALSE)</f>
        <v>11.1.01.0893</v>
      </c>
      <c r="Q511" s="15" t="str">
        <f>VLOOKUP(A511,sinap!$A$2:$R$9000,12,FALSE)</f>
        <v>11.1.01.1081</v>
      </c>
      <c r="R511" s="15" t="str">
        <f>VLOOKUP(A511,sinap!$A$2:$R$9000,16,FALSE)</f>
        <v>11.1.01.1081</v>
      </c>
      <c r="S511" s="15" t="str">
        <f>VLOOKUP(A511,sinap!$A$2:$Y$9000,20,FALSE)</f>
        <v>SI</v>
      </c>
    </row>
    <row r="512" spans="1:19" hidden="1" x14ac:dyDescent="0.25">
      <c r="A512" s="15">
        <v>14718000</v>
      </c>
      <c r="F512" s="16">
        <v>44923</v>
      </c>
      <c r="G512" s="16">
        <v>45239</v>
      </c>
      <c r="H512" s="16">
        <v>45430</v>
      </c>
      <c r="J512" s="15" t="str">
        <f>VLOOKUP(A512,sinap!$A$2:$R$9000,2,FALSE)</f>
        <v>H</v>
      </c>
      <c r="K512" s="15" t="str">
        <f>VLOOKUP(A512,sinap!$A$2:$R$9000,3,FALSE)</f>
        <v>VACA</v>
      </c>
      <c r="L512" s="15" t="str">
        <f>VLOOKUP(A512,sinap!$A$2:$R$9000,4,FALSE)</f>
        <v>ANGUS NEGRO</v>
      </c>
      <c r="M512" s="15" t="str">
        <f>VLOOKUP(A512,sinap!$A$2:$R$9000,5,FALSE)</f>
        <v>9 años 3 meses</v>
      </c>
      <c r="N512" s="15" t="str">
        <f>VLOOKUP(A512,sinap!$A$2:$R$9000,6,FALSE)</f>
        <v>15-10-2016</v>
      </c>
      <c r="O512" s="15" t="str">
        <f>VLOOKUP(A512,sinap!$A$2:$R$9000,7,FALSE)</f>
        <v>Vivo</v>
      </c>
      <c r="P512" s="15" t="str">
        <f>VLOOKUP(A512,sinap!$A$2:$R$9000,8,FALSE)</f>
        <v>11.1.01.1241</v>
      </c>
      <c r="Q512" s="15" t="str">
        <f>VLOOKUP(A512,sinap!$A$2:$R$9000,12,FALSE)</f>
        <v>11.1.01.0870</v>
      </c>
      <c r="R512" s="15" t="str">
        <f>VLOOKUP(A512,sinap!$A$2:$R$9000,16,FALSE)</f>
        <v>11.1.01.1081</v>
      </c>
      <c r="S512" s="15" t="str">
        <f>VLOOKUP(A512,sinap!$A$2:$Y$9000,20,FALSE)</f>
        <v>SI</v>
      </c>
    </row>
    <row r="513" spans="1:19" hidden="1" x14ac:dyDescent="0.25">
      <c r="A513" s="15">
        <v>14718009</v>
      </c>
      <c r="F513" s="16">
        <v>44868</v>
      </c>
      <c r="G513" s="16">
        <v>45254</v>
      </c>
      <c r="J513" s="15" t="str">
        <f>VLOOKUP(A513,sinap!$A$2:$R$9000,2,FALSE)</f>
        <v>H</v>
      </c>
      <c r="K513" s="15" t="str">
        <f>VLOOKUP(A513,sinap!$A$2:$R$9000,3,FALSE)</f>
        <v>VACA</v>
      </c>
      <c r="L513" s="15" t="str">
        <f>VLOOKUP(A513,sinap!$A$2:$R$9000,4,FALSE)</f>
        <v>ANGUS ROJO</v>
      </c>
      <c r="M513" s="15" t="str">
        <f>VLOOKUP(A513,sinap!$A$2:$R$9000,5,FALSE)</f>
        <v>9 años 3 meses</v>
      </c>
      <c r="N513" s="15" t="str">
        <f>VLOOKUP(A513,sinap!$A$2:$R$9000,6,FALSE)</f>
        <v>15-10-2016</v>
      </c>
      <c r="O513" s="15" t="str">
        <f>VLOOKUP(A513,sinap!$A$2:$R$9000,7,FALSE)</f>
        <v>Vivo</v>
      </c>
      <c r="P513" s="15" t="str">
        <f>VLOOKUP(A513,sinap!$A$2:$R$9000,8,FALSE)</f>
        <v>11.1.01.0893</v>
      </c>
      <c r="Q513" s="15" t="str">
        <f>VLOOKUP(A513,sinap!$A$2:$R$9000,12,FALSE)</f>
        <v>11.1.01.1241</v>
      </c>
      <c r="R513" s="15" t="str">
        <f>VLOOKUP(A513,sinap!$A$2:$R$9000,16,FALSE)</f>
        <v>11.1.01.1081</v>
      </c>
      <c r="S513" s="15" t="str">
        <f>VLOOKUP(A513,sinap!$A$2:$Y$9000,20,FALSE)</f>
        <v>SI</v>
      </c>
    </row>
    <row r="514" spans="1:19" hidden="1" x14ac:dyDescent="0.25">
      <c r="A514" s="15">
        <v>14718016</v>
      </c>
      <c r="J514" s="15" t="str">
        <f>VLOOKUP(A514,sinap!$A$2:$R$9000,2,FALSE)</f>
        <v>M</v>
      </c>
      <c r="K514" s="15" t="str">
        <f>VLOOKUP(A514,sinap!$A$2:$R$9000,3,FALSE)</f>
        <v>TORO</v>
      </c>
      <c r="L514" s="15" t="str">
        <f>VLOOKUP(A514,sinap!$A$2:$R$9000,4,FALSE)</f>
        <v>ANGUS NEGRO</v>
      </c>
      <c r="M514" s="15" t="str">
        <f>VLOOKUP(A514,sinap!$A$2:$R$9000,5,FALSE)</f>
        <v>9 años 3 meses</v>
      </c>
      <c r="N514" s="15" t="str">
        <f>VLOOKUP(A514,sinap!$A$2:$R$9000,6,FALSE)</f>
        <v>15-10-2016</v>
      </c>
      <c r="O514" s="15" t="str">
        <f>VLOOKUP(A514,sinap!$A$2:$R$9000,7,FALSE)</f>
        <v>Vivo</v>
      </c>
      <c r="P514" s="15" t="str">
        <f>VLOOKUP(A514,sinap!$A$2:$R$9000,8,FALSE)</f>
        <v>11.1.01.0893</v>
      </c>
      <c r="Q514" s="15" t="str">
        <f>VLOOKUP(A514,sinap!$A$2:$R$9000,12,FALSE)</f>
        <v>11.1.01.1081</v>
      </c>
      <c r="R514" s="15" t="str">
        <f>VLOOKUP(A514,sinap!$A$2:$R$9000,16,FALSE)</f>
        <v>11.1.01.1081</v>
      </c>
      <c r="S514" s="15" t="str">
        <f>VLOOKUP(A514,sinap!$A$2:$Y$9000,20,FALSE)</f>
        <v>SI</v>
      </c>
    </row>
    <row r="515" spans="1:19" hidden="1" x14ac:dyDescent="0.25">
      <c r="A515" s="15">
        <v>14718030</v>
      </c>
      <c r="F515" s="16">
        <v>44883</v>
      </c>
      <c r="G515" s="16">
        <v>45258</v>
      </c>
      <c r="J515" s="15" t="str">
        <f>VLOOKUP(A515,sinap!$A$2:$R$9000,2,FALSE)</f>
        <v>H</v>
      </c>
      <c r="K515" s="15" t="str">
        <f>VLOOKUP(A515,sinap!$A$2:$R$9000,3,FALSE)</f>
        <v>VACA</v>
      </c>
      <c r="L515" s="15" t="str">
        <f>VLOOKUP(A515,sinap!$A$2:$R$9000,4,FALSE)</f>
        <v>ANGUS NEGRO</v>
      </c>
      <c r="M515" s="15" t="str">
        <f>VLOOKUP(A515,sinap!$A$2:$R$9000,5,FALSE)</f>
        <v>9 años 3 meses</v>
      </c>
      <c r="N515" s="15" t="str">
        <f>VLOOKUP(A515,sinap!$A$2:$R$9000,6,FALSE)</f>
        <v>15-10-2016</v>
      </c>
      <c r="O515" s="15" t="str">
        <f>VLOOKUP(A515,sinap!$A$2:$R$9000,7,FALSE)</f>
        <v>Vivo</v>
      </c>
      <c r="P515" s="15" t="str">
        <f>VLOOKUP(A515,sinap!$A$2:$R$9000,8,FALSE)</f>
        <v>11.1.01.1241</v>
      </c>
      <c r="Q515" s="15" t="str">
        <f>VLOOKUP(A515,sinap!$A$2:$R$9000,12,FALSE)</f>
        <v>11.1.01.1022</v>
      </c>
      <c r="R515" s="15" t="str">
        <f>VLOOKUP(A515,sinap!$A$2:$R$9000,16,FALSE)</f>
        <v>11.1.01.1081</v>
      </c>
      <c r="S515" s="15" t="str">
        <f>VLOOKUP(A515,sinap!$A$2:$Y$9000,20,FALSE)</f>
        <v>SI</v>
      </c>
    </row>
    <row r="516" spans="1:19" hidden="1" x14ac:dyDescent="0.25">
      <c r="A516" s="15">
        <v>14718038</v>
      </c>
      <c r="F516" s="16">
        <v>44883</v>
      </c>
      <c r="G516" s="16">
        <v>45254</v>
      </c>
      <c r="J516" s="15" t="str">
        <f>VLOOKUP(A516,sinap!$A$2:$R$9000,2,FALSE)</f>
        <v>M</v>
      </c>
      <c r="K516" s="15" t="str">
        <f>VLOOKUP(A516,sinap!$A$2:$R$9000,3,FALSE)</f>
        <v>TORO</v>
      </c>
      <c r="L516" s="15" t="str">
        <f>VLOOKUP(A516,sinap!$A$2:$R$9000,4,FALSE)</f>
        <v>ANGUS NEGRO</v>
      </c>
      <c r="M516" s="15" t="str">
        <f>VLOOKUP(A516,sinap!$A$2:$R$9000,5,FALSE)</f>
        <v>9 años 3 meses</v>
      </c>
      <c r="N516" s="15" t="str">
        <f>VLOOKUP(A516,sinap!$A$2:$R$9000,6,FALSE)</f>
        <v>15-10-2016</v>
      </c>
      <c r="O516" s="15" t="str">
        <f>VLOOKUP(A516,sinap!$A$2:$R$9000,7,FALSE)</f>
        <v>Vivo</v>
      </c>
      <c r="P516" s="15" t="str">
        <f>VLOOKUP(A516,sinap!$A$2:$R$9000,8,FALSE)</f>
        <v>11.1.01.0893</v>
      </c>
      <c r="Q516" s="15" t="str">
        <f>VLOOKUP(A516,sinap!$A$2:$R$9000,12,FALSE)</f>
        <v>11.1.01.1081</v>
      </c>
      <c r="R516" s="15" t="str">
        <f>VLOOKUP(A516,sinap!$A$2:$R$9000,16,FALSE)</f>
        <v>11.1.01.1081</v>
      </c>
      <c r="S516" s="15" t="str">
        <f>VLOOKUP(A516,sinap!$A$2:$Y$9000,20,FALSE)</f>
        <v>SI</v>
      </c>
    </row>
    <row r="517" spans="1:19" hidden="1" x14ac:dyDescent="0.25">
      <c r="A517" s="15">
        <v>14718044</v>
      </c>
      <c r="F517" s="16">
        <v>44923</v>
      </c>
      <c r="G517" s="16">
        <v>45239</v>
      </c>
      <c r="J517" s="15" t="str">
        <f>VLOOKUP(A517,sinap!$A$2:$R$9000,2,FALSE)</f>
        <v>H</v>
      </c>
      <c r="K517" s="15" t="str">
        <f>VLOOKUP(A517,sinap!$A$2:$R$9000,3,FALSE)</f>
        <v>VACA</v>
      </c>
      <c r="L517" s="15" t="str">
        <f>VLOOKUP(A517,sinap!$A$2:$R$9000,4,FALSE)</f>
        <v>ANGUS NEGRO</v>
      </c>
      <c r="M517" s="15" t="str">
        <f>VLOOKUP(A517,sinap!$A$2:$R$9000,5,FALSE)</f>
        <v>9 años 3 meses</v>
      </c>
      <c r="N517" s="15" t="str">
        <f>VLOOKUP(A517,sinap!$A$2:$R$9000,6,FALSE)</f>
        <v>15-10-2016</v>
      </c>
      <c r="O517" s="15" t="str">
        <f>VLOOKUP(A517,sinap!$A$2:$R$9000,7,FALSE)</f>
        <v>Vivo</v>
      </c>
      <c r="P517" s="15" t="str">
        <f>VLOOKUP(A517,sinap!$A$2:$R$9000,8,FALSE)</f>
        <v>11.2.01.0038</v>
      </c>
      <c r="Q517" s="15" t="str">
        <f>VLOOKUP(A517,sinap!$A$2:$R$9000,12,FALSE)</f>
        <v>11.1.01.1241</v>
      </c>
      <c r="R517" s="15" t="str">
        <f>VLOOKUP(A517,sinap!$A$2:$R$9000,16,FALSE)</f>
        <v>11.1.01.1081</v>
      </c>
      <c r="S517" s="15" t="str">
        <f>VLOOKUP(A517,sinap!$A$2:$Y$9000,20,FALSE)</f>
        <v>SI</v>
      </c>
    </row>
    <row r="518" spans="1:19" hidden="1" x14ac:dyDescent="0.25">
      <c r="A518" s="15">
        <v>14718054</v>
      </c>
      <c r="F518" s="16">
        <v>44779</v>
      </c>
      <c r="J518" s="15" t="str">
        <f>VLOOKUP(A518,sinap!$A$2:$R$9000,2,FALSE)</f>
        <v>M</v>
      </c>
      <c r="K518" s="15" t="str">
        <f>VLOOKUP(A518,sinap!$A$2:$R$9000,3,FALSE)</f>
        <v>TORO</v>
      </c>
      <c r="L518" s="15" t="str">
        <f>VLOOKUP(A518,sinap!$A$2:$R$9000,4,FALSE)</f>
        <v>ANGUS NEGRO</v>
      </c>
      <c r="M518" s="15" t="str">
        <f>VLOOKUP(A518,sinap!$A$2:$R$9000,5,FALSE)</f>
        <v>9 años 3 meses</v>
      </c>
      <c r="N518" s="15" t="str">
        <f>VLOOKUP(A518,sinap!$A$2:$R$9000,6,FALSE)</f>
        <v>15-10-2016</v>
      </c>
      <c r="O518" s="15" t="str">
        <f>VLOOKUP(A518,sinap!$A$2:$R$9000,7,FALSE)</f>
        <v>Vivo</v>
      </c>
      <c r="P518" s="15" t="str">
        <f>VLOOKUP(A518,sinap!$A$2:$R$9000,8,FALSE)</f>
        <v>11.1.01.0893</v>
      </c>
      <c r="Q518" s="15" t="str">
        <f>VLOOKUP(A518,sinap!$A$2:$R$9000,12,FALSE)</f>
        <v>11.1.01.1081</v>
      </c>
      <c r="R518" s="15" t="str">
        <f>VLOOKUP(A518,sinap!$A$2:$R$9000,16,FALSE)</f>
        <v>11.2.01.0038</v>
      </c>
      <c r="S518" s="15" t="str">
        <f>VLOOKUP(A518,sinap!$A$2:$Y$9000,20,FALSE)</f>
        <v>SI</v>
      </c>
    </row>
    <row r="519" spans="1:19" hidden="1" x14ac:dyDescent="0.25">
      <c r="A519" s="15">
        <v>14718055</v>
      </c>
      <c r="G519" s="16">
        <v>45253</v>
      </c>
      <c r="J519" s="15" t="str">
        <f>VLOOKUP(A519,sinap!$A$2:$R$9000,2,FALSE)</f>
        <v>M</v>
      </c>
      <c r="K519" s="15" t="str">
        <f>VLOOKUP(A519,sinap!$A$2:$R$9000,3,FALSE)</f>
        <v>TORO</v>
      </c>
      <c r="L519" s="15" t="str">
        <f>VLOOKUP(A519,sinap!$A$2:$R$9000,4,FALSE)</f>
        <v>ANGUS NEGRO</v>
      </c>
      <c r="M519" s="15" t="str">
        <f>VLOOKUP(A519,sinap!$A$2:$R$9000,5,FALSE)</f>
        <v>9 años 3 meses</v>
      </c>
      <c r="N519" s="15" t="str">
        <f>VLOOKUP(A519,sinap!$A$2:$R$9000,6,FALSE)</f>
        <v>15-10-2016</v>
      </c>
      <c r="O519" s="15" t="str">
        <f>VLOOKUP(A519,sinap!$A$2:$R$9000,7,FALSE)</f>
        <v>Vivo</v>
      </c>
      <c r="P519" s="15" t="str">
        <f>VLOOKUP(A519,sinap!$A$2:$R$9000,8,FALSE)</f>
        <v>11.1.01.0893</v>
      </c>
      <c r="Q519" s="15" t="str">
        <f>VLOOKUP(A519,sinap!$A$2:$R$9000,12,FALSE)</f>
        <v>11.1.01.1081</v>
      </c>
      <c r="R519" s="15" t="str">
        <f>VLOOKUP(A519,sinap!$A$2:$R$9000,16,FALSE)</f>
        <v>11.2.01.0038</v>
      </c>
      <c r="S519" s="15" t="str">
        <f>VLOOKUP(A519,sinap!$A$2:$Y$9000,20,FALSE)</f>
        <v>SI</v>
      </c>
    </row>
    <row r="520" spans="1:19" hidden="1" x14ac:dyDescent="0.25">
      <c r="A520" s="15">
        <v>14718061</v>
      </c>
      <c r="G520" s="16">
        <v>45253</v>
      </c>
      <c r="J520" s="15" t="str">
        <f>VLOOKUP(A520,sinap!$A$2:$R$9000,2,FALSE)</f>
        <v>H</v>
      </c>
      <c r="K520" s="15" t="str">
        <f>VLOOKUP(A520,sinap!$A$2:$R$9000,3,FALSE)</f>
        <v>VACA</v>
      </c>
      <c r="L520" s="15" t="str">
        <f>VLOOKUP(A520,sinap!$A$2:$R$9000,4,FALSE)</f>
        <v>ANGUS NEGRO</v>
      </c>
      <c r="M520" s="15" t="str">
        <f>VLOOKUP(A520,sinap!$A$2:$R$9000,5,FALSE)</f>
        <v>9 años 3 meses</v>
      </c>
      <c r="N520" s="15" t="str">
        <f>VLOOKUP(A520,sinap!$A$2:$R$9000,6,FALSE)</f>
        <v>15-10-2016</v>
      </c>
      <c r="O520" s="15" t="str">
        <f>VLOOKUP(A520,sinap!$A$2:$R$9000,7,FALSE)</f>
        <v>Vivo</v>
      </c>
      <c r="P520" s="15" t="str">
        <f>VLOOKUP(A520,sinap!$A$2:$R$9000,8,FALSE)</f>
        <v>11.1.01.0893</v>
      </c>
      <c r="Q520" s="15" t="str">
        <f>VLOOKUP(A520,sinap!$A$2:$R$9000,12,FALSE)</f>
        <v>11.1.01.1241</v>
      </c>
      <c r="R520" s="15" t="str">
        <f>VLOOKUP(A520,sinap!$A$2:$R$9000,16,FALSE)</f>
        <v>11.2.01.0038</v>
      </c>
      <c r="S520" s="15" t="str">
        <f>VLOOKUP(A520,sinap!$A$2:$Y$9000,20,FALSE)</f>
        <v>SI</v>
      </c>
    </row>
    <row r="521" spans="1:19" hidden="1" x14ac:dyDescent="0.25">
      <c r="A521" s="15">
        <v>14718062</v>
      </c>
      <c r="G521" s="16">
        <v>45254</v>
      </c>
      <c r="J521" s="15" t="str">
        <f>VLOOKUP(A521,sinap!$A$2:$R$9000,2,FALSE)</f>
        <v>M</v>
      </c>
      <c r="K521" s="15" t="str">
        <f>VLOOKUP(A521,sinap!$A$2:$R$9000,3,FALSE)</f>
        <v>TORO</v>
      </c>
      <c r="L521" s="15" t="str">
        <f>VLOOKUP(A521,sinap!$A$2:$R$9000,4,FALSE)</f>
        <v>ANGUS NEGRO</v>
      </c>
      <c r="M521" s="15" t="str">
        <f>VLOOKUP(A521,sinap!$A$2:$R$9000,5,FALSE)</f>
        <v>9 años 3 meses</v>
      </c>
      <c r="N521" s="15" t="str">
        <f>VLOOKUP(A521,sinap!$A$2:$R$9000,6,FALSE)</f>
        <v>15-10-2016</v>
      </c>
      <c r="O521" s="15" t="str">
        <f>VLOOKUP(A521,sinap!$A$2:$R$9000,7,FALSE)</f>
        <v>Vivo</v>
      </c>
      <c r="P521" s="15" t="str">
        <f>VLOOKUP(A521,sinap!$A$2:$R$9000,8,FALSE)</f>
        <v>11.2.01.0038</v>
      </c>
      <c r="Q521" s="15" t="str">
        <f>VLOOKUP(A521,sinap!$A$2:$R$9000,12,FALSE)</f>
        <v>Sin Movimiento</v>
      </c>
      <c r="R521" s="15" t="str">
        <f>VLOOKUP(A521,sinap!$A$2:$R$9000,16,FALSE)</f>
        <v>11.2.01.0038</v>
      </c>
      <c r="S521" s="15" t="str">
        <f>VLOOKUP(A521,sinap!$A$2:$Y$9000,20,FALSE)</f>
        <v>SI</v>
      </c>
    </row>
    <row r="522" spans="1:19" hidden="1" x14ac:dyDescent="0.25">
      <c r="A522" s="15">
        <v>14718064</v>
      </c>
      <c r="G522" s="16">
        <v>45265</v>
      </c>
      <c r="J522" s="15" t="str">
        <f>VLOOKUP(A522,sinap!$A$2:$R$9000,2,FALSE)</f>
        <v>M</v>
      </c>
      <c r="K522" s="15" t="str">
        <f>VLOOKUP(A522,sinap!$A$2:$R$9000,3,FALSE)</f>
        <v>TORO</v>
      </c>
      <c r="L522" s="15" t="str">
        <f>VLOOKUP(A522,sinap!$A$2:$R$9000,4,FALSE)</f>
        <v>ANGUS NEGRO</v>
      </c>
      <c r="M522" s="15" t="str">
        <f>VLOOKUP(A522,sinap!$A$2:$R$9000,5,FALSE)</f>
        <v>9 años 3 meses</v>
      </c>
      <c r="N522" s="15" t="str">
        <f>VLOOKUP(A522,sinap!$A$2:$R$9000,6,FALSE)</f>
        <v>15-10-2016</v>
      </c>
      <c r="O522" s="15" t="str">
        <f>VLOOKUP(A522,sinap!$A$2:$R$9000,7,FALSE)</f>
        <v>Vivo</v>
      </c>
      <c r="P522" s="15" t="str">
        <f>VLOOKUP(A522,sinap!$A$2:$R$9000,8,FALSE)</f>
        <v>11.1.01.0893</v>
      </c>
      <c r="Q522" s="15" t="str">
        <f>VLOOKUP(A522,sinap!$A$2:$R$9000,12,FALSE)</f>
        <v>11.1.01.1081</v>
      </c>
      <c r="R522" s="15" t="str">
        <f>VLOOKUP(A522,sinap!$A$2:$R$9000,16,FALSE)</f>
        <v>11.2.01.0038</v>
      </c>
      <c r="S522" s="15" t="str">
        <f>VLOOKUP(A522,sinap!$A$2:$Y$9000,20,FALSE)</f>
        <v>SI</v>
      </c>
    </row>
    <row r="523" spans="1:19" hidden="1" x14ac:dyDescent="0.25">
      <c r="A523" s="15">
        <v>14718071</v>
      </c>
      <c r="G523" s="16">
        <v>45254</v>
      </c>
      <c r="J523" s="15" t="str">
        <f>VLOOKUP(A523,sinap!$A$2:$R$9000,2,FALSE)</f>
        <v>H</v>
      </c>
      <c r="K523" s="15" t="str">
        <f>VLOOKUP(A523,sinap!$A$2:$R$9000,3,FALSE)</f>
        <v>VACA</v>
      </c>
      <c r="L523" s="15" t="str">
        <f>VLOOKUP(A523,sinap!$A$2:$R$9000,4,FALSE)</f>
        <v>ANGUS NEGRO</v>
      </c>
      <c r="M523" s="15" t="str">
        <f>VLOOKUP(A523,sinap!$A$2:$R$9000,5,FALSE)</f>
        <v>9 años 3 meses</v>
      </c>
      <c r="N523" s="15" t="str">
        <f>VLOOKUP(A523,sinap!$A$2:$R$9000,6,FALSE)</f>
        <v>15-10-2016</v>
      </c>
      <c r="O523" s="15" t="str">
        <f>VLOOKUP(A523,sinap!$A$2:$R$9000,7,FALSE)</f>
        <v>Vivo</v>
      </c>
      <c r="P523" s="15" t="str">
        <f>VLOOKUP(A523,sinap!$A$2:$R$9000,8,FALSE)</f>
        <v>11.1.01.1241</v>
      </c>
      <c r="Q523" s="15" t="str">
        <f>VLOOKUP(A523,sinap!$A$2:$R$9000,12,FALSE)</f>
        <v>11.1.01.0893</v>
      </c>
      <c r="R523" s="15" t="str">
        <f>VLOOKUP(A523,sinap!$A$2:$R$9000,16,FALSE)</f>
        <v>11.2.01.0038</v>
      </c>
      <c r="S523" s="15" t="str">
        <f>VLOOKUP(A523,sinap!$A$2:$Y$9000,20,FALSE)</f>
        <v>SI</v>
      </c>
    </row>
    <row r="524" spans="1:19" hidden="1" x14ac:dyDescent="0.25">
      <c r="A524" s="15">
        <v>14718072</v>
      </c>
      <c r="G524" s="16">
        <v>45254</v>
      </c>
      <c r="J524" s="15" t="str">
        <f>VLOOKUP(A524,sinap!$A$2:$R$9000,2,FALSE)</f>
        <v>M</v>
      </c>
      <c r="K524" s="15" t="str">
        <f>VLOOKUP(A524,sinap!$A$2:$R$9000,3,FALSE)</f>
        <v>TORO</v>
      </c>
      <c r="L524" s="15" t="str">
        <f>VLOOKUP(A524,sinap!$A$2:$R$9000,4,FALSE)</f>
        <v>ANGUS NEGRO</v>
      </c>
      <c r="M524" s="15" t="str">
        <f>VLOOKUP(A524,sinap!$A$2:$R$9000,5,FALSE)</f>
        <v>9 años 3 meses</v>
      </c>
      <c r="N524" s="15" t="str">
        <f>VLOOKUP(A524,sinap!$A$2:$R$9000,6,FALSE)</f>
        <v>15-10-2016</v>
      </c>
      <c r="O524" s="15" t="str">
        <f>VLOOKUP(A524,sinap!$A$2:$R$9000,7,FALSE)</f>
        <v>Vivo</v>
      </c>
      <c r="P524" s="15" t="str">
        <f>VLOOKUP(A524,sinap!$A$2:$R$9000,8,FALSE)</f>
        <v>11.1.01.0893</v>
      </c>
      <c r="Q524" s="15" t="str">
        <f>VLOOKUP(A524,sinap!$A$2:$R$9000,12,FALSE)</f>
        <v>11.1.01.1081</v>
      </c>
      <c r="R524" s="15" t="str">
        <f>VLOOKUP(A524,sinap!$A$2:$R$9000,16,FALSE)</f>
        <v>11.2.01.0038</v>
      </c>
      <c r="S524" s="15" t="str">
        <f>VLOOKUP(A524,sinap!$A$2:$Y$9000,20,FALSE)</f>
        <v>SI</v>
      </c>
    </row>
    <row r="525" spans="1:19" hidden="1" x14ac:dyDescent="0.25">
      <c r="A525" s="15">
        <v>14718076</v>
      </c>
      <c r="G525" s="16">
        <v>45092</v>
      </c>
      <c r="J525" s="15" t="str">
        <f>VLOOKUP(A525,sinap!$A$2:$R$9000,2,FALSE)</f>
        <v>H</v>
      </c>
      <c r="K525" s="15" t="str">
        <f>VLOOKUP(A525,sinap!$A$2:$R$9000,3,FALSE)</f>
        <v>VACA</v>
      </c>
      <c r="L525" s="15" t="str">
        <f>VLOOKUP(A525,sinap!$A$2:$R$9000,4,FALSE)</f>
        <v>ANGUS NEGRO</v>
      </c>
      <c r="M525" s="15" t="str">
        <f>VLOOKUP(A525,sinap!$A$2:$R$9000,5,FALSE)</f>
        <v>9 años 3 meses</v>
      </c>
      <c r="N525" s="15" t="str">
        <f>VLOOKUP(A525,sinap!$A$2:$R$9000,6,FALSE)</f>
        <v>15-10-2016</v>
      </c>
      <c r="O525" s="15" t="str">
        <f>VLOOKUP(A525,sinap!$A$2:$R$9000,7,FALSE)</f>
        <v>Vivo</v>
      </c>
      <c r="P525" s="15" t="str">
        <f>VLOOKUP(A525,sinap!$A$2:$R$9000,8,FALSE)</f>
        <v>11.1.01.1241</v>
      </c>
      <c r="Q525" s="15" t="str">
        <f>VLOOKUP(A525,sinap!$A$2:$R$9000,12,FALSE)</f>
        <v>11.2.01.0038</v>
      </c>
      <c r="R525" s="15" t="str">
        <f>VLOOKUP(A525,sinap!$A$2:$R$9000,16,FALSE)</f>
        <v>11.2.01.0038</v>
      </c>
      <c r="S525" s="15" t="str">
        <f>VLOOKUP(A525,sinap!$A$2:$Y$9000,20,FALSE)</f>
        <v>SI</v>
      </c>
    </row>
    <row r="526" spans="1:19" hidden="1" x14ac:dyDescent="0.25">
      <c r="A526" s="15">
        <v>14718078</v>
      </c>
      <c r="G526" s="16">
        <v>45254</v>
      </c>
      <c r="J526" s="15" t="str">
        <f>VLOOKUP(A526,sinap!$A$2:$R$9000,2,FALSE)</f>
        <v>M</v>
      </c>
      <c r="K526" s="15" t="str">
        <f>VLOOKUP(A526,sinap!$A$2:$R$9000,3,FALSE)</f>
        <v>TORO</v>
      </c>
      <c r="L526" s="15" t="str">
        <f>VLOOKUP(A526,sinap!$A$2:$R$9000,4,FALSE)</f>
        <v>ANGUS NEGRO</v>
      </c>
      <c r="M526" s="15" t="str">
        <f>VLOOKUP(A526,sinap!$A$2:$R$9000,5,FALSE)</f>
        <v>9 años 3 meses</v>
      </c>
      <c r="N526" s="15" t="str">
        <f>VLOOKUP(A526,sinap!$A$2:$R$9000,6,FALSE)</f>
        <v>15-10-2016</v>
      </c>
      <c r="O526" s="15" t="str">
        <f>VLOOKUP(A526,sinap!$A$2:$R$9000,7,FALSE)</f>
        <v>Vivo</v>
      </c>
      <c r="P526" s="15" t="str">
        <f>VLOOKUP(A526,sinap!$A$2:$R$9000,8,FALSE)</f>
        <v>11.1.01.0893</v>
      </c>
      <c r="Q526" s="15" t="str">
        <f>VLOOKUP(A526,sinap!$A$2:$R$9000,12,FALSE)</f>
        <v>11.1.01.1081</v>
      </c>
      <c r="R526" s="15" t="str">
        <f>VLOOKUP(A526,sinap!$A$2:$R$9000,16,FALSE)</f>
        <v>11.2.01.0038</v>
      </c>
      <c r="S526" s="15" t="str">
        <f>VLOOKUP(A526,sinap!$A$2:$Y$9000,20,FALSE)</f>
        <v>SI</v>
      </c>
    </row>
    <row r="527" spans="1:19" s="16" customFormat="1" hidden="1" x14ac:dyDescent="0.25">
      <c r="A527" s="15">
        <v>14718081</v>
      </c>
      <c r="B527" s="15"/>
      <c r="C527" s="15"/>
      <c r="J527" s="15" t="str">
        <f>VLOOKUP(A527,sinap!$A$2:$R$9000,2,FALSE)</f>
        <v>M</v>
      </c>
      <c r="K527" s="15" t="str">
        <f>VLOOKUP(A527,sinap!$A$2:$R$9000,3,FALSE)</f>
        <v>TORO</v>
      </c>
      <c r="L527" s="15" t="str">
        <f>VLOOKUP(A527,sinap!$A$2:$R$9000,4,FALSE)</f>
        <v>ANGUS NEGRO</v>
      </c>
      <c r="M527" s="15" t="str">
        <f>VLOOKUP(A527,sinap!$A$2:$R$9000,5,FALSE)</f>
        <v>9 años 3 meses</v>
      </c>
      <c r="N527" s="15" t="str">
        <f>VLOOKUP(A527,sinap!$A$2:$R$9000,6,FALSE)</f>
        <v>15-10-2016</v>
      </c>
      <c r="O527" s="15" t="str">
        <f>VLOOKUP(A527,sinap!$A$2:$R$9000,7,FALSE)</f>
        <v>Vivo</v>
      </c>
      <c r="P527" s="15" t="str">
        <f>VLOOKUP(A527,sinap!$A$2:$R$9000,8,FALSE)</f>
        <v>11.1.01.0893</v>
      </c>
      <c r="Q527" s="15" t="str">
        <f>VLOOKUP(A527,sinap!$A$2:$R$9000,12,FALSE)</f>
        <v>11.1.01.1081</v>
      </c>
      <c r="R527" s="15" t="str">
        <f>VLOOKUP(A527,sinap!$A$2:$R$9000,16,FALSE)</f>
        <v>11.2.01.0038</v>
      </c>
      <c r="S527" s="15" t="str">
        <f>VLOOKUP(A527,sinap!$A$2:$Y$9000,20,FALSE)</f>
        <v>SI</v>
      </c>
    </row>
    <row r="528" spans="1:19" s="16" customFormat="1" hidden="1" x14ac:dyDescent="0.25">
      <c r="A528" s="15">
        <v>14718083</v>
      </c>
      <c r="B528" s="15"/>
      <c r="C528" s="15"/>
      <c r="H528" s="16">
        <v>45648</v>
      </c>
      <c r="I528" s="16">
        <v>45671</v>
      </c>
      <c r="J528" s="15" t="str">
        <f>VLOOKUP(A528,sinap!$A$2:$R$9000,2,FALSE)</f>
        <v>H</v>
      </c>
      <c r="K528" s="15" t="str">
        <f>VLOOKUP(A528,sinap!$A$2:$R$9000,3,FALSE)</f>
        <v>VACA</v>
      </c>
      <c r="L528" s="15" t="str">
        <f>VLOOKUP(A528,sinap!$A$2:$R$9000,4,FALSE)</f>
        <v>ANGUS NEGRO</v>
      </c>
      <c r="M528" s="15" t="str">
        <f>VLOOKUP(A528,sinap!$A$2:$R$9000,5,FALSE)</f>
        <v>9 años 3 meses</v>
      </c>
      <c r="N528" s="15" t="str">
        <f>VLOOKUP(A528,sinap!$A$2:$R$9000,6,FALSE)</f>
        <v>15-10-2016</v>
      </c>
      <c r="O528" s="15" t="str">
        <f>VLOOKUP(A528,sinap!$A$2:$R$9000,7,FALSE)</f>
        <v>Vivo</v>
      </c>
      <c r="P528" s="15" t="str">
        <f>VLOOKUP(A528,sinap!$A$2:$R$9000,8,FALSE)</f>
        <v>11.1.01.1241</v>
      </c>
      <c r="Q528" s="15" t="str">
        <f>VLOOKUP(A528,sinap!$A$2:$R$9000,12,FALSE)</f>
        <v>11.1.01.0870</v>
      </c>
      <c r="R528" s="15" t="str">
        <f>VLOOKUP(A528,sinap!$A$2:$R$9000,16,FALSE)</f>
        <v>11.2.01.0038</v>
      </c>
      <c r="S528" s="15" t="str">
        <f>VLOOKUP(A528,sinap!$A$2:$Y$9000,20,FALSE)</f>
        <v>SI</v>
      </c>
    </row>
    <row r="529" spans="1:19" s="16" customFormat="1" hidden="1" x14ac:dyDescent="0.25">
      <c r="A529" s="15">
        <v>14718086</v>
      </c>
      <c r="B529" s="15"/>
      <c r="C529" s="15"/>
      <c r="H529" s="16">
        <v>45648</v>
      </c>
      <c r="I529" s="16">
        <v>45966</v>
      </c>
      <c r="J529" s="15" t="str">
        <f>VLOOKUP(A529,sinap!$A$2:$R$9000,2,FALSE)</f>
        <v>H</v>
      </c>
      <c r="K529" s="15" t="str">
        <f>VLOOKUP(A529,sinap!$A$2:$R$9000,3,FALSE)</f>
        <v>VACA</v>
      </c>
      <c r="L529" s="15" t="str">
        <f>VLOOKUP(A529,sinap!$A$2:$R$9000,4,FALSE)</f>
        <v>ANGUS NEGRO</v>
      </c>
      <c r="M529" s="15" t="str">
        <f>VLOOKUP(A529,sinap!$A$2:$R$9000,5,FALSE)</f>
        <v>9 años 3 meses</v>
      </c>
      <c r="N529" s="15" t="str">
        <f>VLOOKUP(A529,sinap!$A$2:$R$9000,6,FALSE)</f>
        <v>15-10-2016</v>
      </c>
      <c r="O529" s="15" t="str">
        <f>VLOOKUP(A529,sinap!$A$2:$R$9000,7,FALSE)</f>
        <v>Vivo</v>
      </c>
      <c r="P529" s="15" t="str">
        <f>VLOOKUP(A529,sinap!$A$2:$R$9000,8,FALSE)</f>
        <v>11.1.01.2442</v>
      </c>
      <c r="Q529" s="15" t="str">
        <f>VLOOKUP(A529,sinap!$A$2:$R$9000,12,FALSE)</f>
        <v>11.1.01.0190</v>
      </c>
      <c r="R529" s="15" t="str">
        <f>VLOOKUP(A529,sinap!$A$2:$R$9000,16,FALSE)</f>
        <v>11.2.01.0038</v>
      </c>
      <c r="S529" s="15" t="str">
        <f>VLOOKUP(A529,sinap!$A$2:$Y$9000,20,FALSE)</f>
        <v>SI</v>
      </c>
    </row>
    <row r="530" spans="1:19" s="16" customFormat="1" hidden="1" x14ac:dyDescent="0.25">
      <c r="A530" s="15">
        <v>14718087</v>
      </c>
      <c r="B530" s="15"/>
      <c r="C530" s="15"/>
      <c r="G530" s="16">
        <v>45264</v>
      </c>
      <c r="J530" s="15" t="str">
        <f>VLOOKUP(A530,sinap!$A$2:$R$9000,2,FALSE)</f>
        <v>M</v>
      </c>
      <c r="K530" s="15" t="str">
        <f>VLOOKUP(A530,sinap!$A$2:$R$9000,3,FALSE)</f>
        <v>TORO</v>
      </c>
      <c r="L530" s="15" t="str">
        <f>VLOOKUP(A530,sinap!$A$2:$R$9000,4,FALSE)</f>
        <v>ANGUS NEGRO</v>
      </c>
      <c r="M530" s="15" t="str">
        <f>VLOOKUP(A530,sinap!$A$2:$R$9000,5,FALSE)</f>
        <v>9 años 3 meses</v>
      </c>
      <c r="N530" s="15" t="str">
        <f>VLOOKUP(A530,sinap!$A$2:$R$9000,6,FALSE)</f>
        <v>15-10-2016</v>
      </c>
      <c r="O530" s="15" t="str">
        <f>VLOOKUP(A530,sinap!$A$2:$R$9000,7,FALSE)</f>
        <v>Vivo</v>
      </c>
      <c r="P530" s="15" t="str">
        <f>VLOOKUP(A530,sinap!$A$2:$R$9000,8,FALSE)</f>
        <v>11.1.01.0893</v>
      </c>
      <c r="Q530" s="15" t="str">
        <f>VLOOKUP(A530,sinap!$A$2:$R$9000,12,FALSE)</f>
        <v>11.2.01.0038</v>
      </c>
      <c r="R530" s="15" t="str">
        <f>VLOOKUP(A530,sinap!$A$2:$R$9000,16,FALSE)</f>
        <v>11.2.01.0038</v>
      </c>
      <c r="S530" s="15" t="str">
        <f>VLOOKUP(A530,sinap!$A$2:$Y$9000,20,FALSE)</f>
        <v>SI</v>
      </c>
    </row>
    <row r="531" spans="1:19" s="16" customFormat="1" hidden="1" x14ac:dyDescent="0.25">
      <c r="A531" s="15">
        <v>14718092</v>
      </c>
      <c r="B531" s="15"/>
      <c r="C531" s="15"/>
      <c r="E531" s="16">
        <v>44397</v>
      </c>
      <c r="G531" s="16">
        <v>45264</v>
      </c>
      <c r="H531" s="16">
        <v>45648</v>
      </c>
      <c r="I531" s="16">
        <v>45671</v>
      </c>
      <c r="J531" s="15" t="str">
        <f>VLOOKUP(A531,sinap!$A$2:$R$9000,2,FALSE)</f>
        <v>H</v>
      </c>
      <c r="K531" s="15" t="str">
        <f>VLOOKUP(A531,sinap!$A$2:$R$9000,3,FALSE)</f>
        <v>VACA</v>
      </c>
      <c r="L531" s="15" t="str">
        <f>VLOOKUP(A531,sinap!$A$2:$R$9000,4,FALSE)</f>
        <v>ANGUS NEGRO</v>
      </c>
      <c r="M531" s="15" t="str">
        <f>VLOOKUP(A531,sinap!$A$2:$R$9000,5,FALSE)</f>
        <v>9 años 3 meses</v>
      </c>
      <c r="N531" s="15" t="str">
        <f>VLOOKUP(A531,sinap!$A$2:$R$9000,6,FALSE)</f>
        <v>15-10-2016</v>
      </c>
      <c r="O531" s="15" t="str">
        <f>VLOOKUP(A531,sinap!$A$2:$R$9000,7,FALSE)</f>
        <v>Vivo</v>
      </c>
      <c r="P531" s="15" t="str">
        <f>VLOOKUP(A531,sinap!$A$2:$R$9000,8,FALSE)</f>
        <v>11.1.01.1241</v>
      </c>
      <c r="Q531" s="15" t="str">
        <f>VLOOKUP(A531,sinap!$A$2:$R$9000,12,FALSE)</f>
        <v>11.1.01.1022</v>
      </c>
      <c r="R531" s="15" t="str">
        <f>VLOOKUP(A531,sinap!$A$2:$R$9000,16,FALSE)</f>
        <v>11.2.01.0038</v>
      </c>
      <c r="S531" s="15" t="str">
        <f>VLOOKUP(A531,sinap!$A$2:$Y$9000,20,FALSE)</f>
        <v>SI</v>
      </c>
    </row>
    <row r="532" spans="1:19" s="16" customFormat="1" hidden="1" x14ac:dyDescent="0.25">
      <c r="A532" s="15">
        <v>14718093</v>
      </c>
      <c r="B532" s="15"/>
      <c r="C532" s="15"/>
      <c r="G532" s="16">
        <v>45253</v>
      </c>
      <c r="J532" s="15" t="str">
        <f>VLOOKUP(A532,sinap!$A$2:$R$9000,2,FALSE)</f>
        <v>M</v>
      </c>
      <c r="K532" s="15" t="str">
        <f>VLOOKUP(A532,sinap!$A$2:$R$9000,3,FALSE)</f>
        <v>TORO</v>
      </c>
      <c r="L532" s="15" t="str">
        <f>VLOOKUP(A532,sinap!$A$2:$R$9000,4,FALSE)</f>
        <v>ANGUS NEGRO</v>
      </c>
      <c r="M532" s="15" t="str">
        <f>VLOOKUP(A532,sinap!$A$2:$R$9000,5,FALSE)</f>
        <v>9 años 3 meses</v>
      </c>
      <c r="N532" s="15" t="str">
        <f>VLOOKUP(A532,sinap!$A$2:$R$9000,6,FALSE)</f>
        <v>15-10-2016</v>
      </c>
      <c r="O532" s="15" t="str">
        <f>VLOOKUP(A532,sinap!$A$2:$R$9000,7,FALSE)</f>
        <v>Vivo</v>
      </c>
      <c r="P532" s="15" t="str">
        <f>VLOOKUP(A532,sinap!$A$2:$R$9000,8,FALSE)</f>
        <v>11.1.01.0893</v>
      </c>
      <c r="Q532" s="15" t="str">
        <f>VLOOKUP(A532,sinap!$A$2:$R$9000,12,FALSE)</f>
        <v>11.1.01.1081</v>
      </c>
      <c r="R532" s="15" t="str">
        <f>VLOOKUP(A532,sinap!$A$2:$R$9000,16,FALSE)</f>
        <v>11.2.01.0038</v>
      </c>
      <c r="S532" s="15" t="str">
        <f>VLOOKUP(A532,sinap!$A$2:$Y$9000,20,FALSE)</f>
        <v>SI</v>
      </c>
    </row>
    <row r="533" spans="1:19" s="16" customFormat="1" hidden="1" x14ac:dyDescent="0.25">
      <c r="A533" s="15">
        <v>14718103</v>
      </c>
      <c r="B533" s="15"/>
      <c r="C533" s="15"/>
      <c r="J533" s="15" t="str">
        <f>VLOOKUP(A533,sinap!$A$2:$R$9000,2,FALSE)</f>
        <v>M</v>
      </c>
      <c r="K533" s="15" t="str">
        <f>VLOOKUP(A533,sinap!$A$2:$R$9000,3,FALSE)</f>
        <v>TORO</v>
      </c>
      <c r="L533" s="15" t="str">
        <f>VLOOKUP(A533,sinap!$A$2:$R$9000,4,FALSE)</f>
        <v>ANGUS NEGRO</v>
      </c>
      <c r="M533" s="15" t="str">
        <f>VLOOKUP(A533,sinap!$A$2:$R$9000,5,FALSE)</f>
        <v>9 años 3 meses</v>
      </c>
      <c r="N533" s="15" t="str">
        <f>VLOOKUP(A533,sinap!$A$2:$R$9000,6,FALSE)</f>
        <v>15-10-2016</v>
      </c>
      <c r="O533" s="15" t="str">
        <f>VLOOKUP(A533,sinap!$A$2:$R$9000,7,FALSE)</f>
        <v>Vivo</v>
      </c>
      <c r="P533" s="15" t="str">
        <f>VLOOKUP(A533,sinap!$A$2:$R$9000,8,FALSE)</f>
        <v>11.1.01.0893</v>
      </c>
      <c r="Q533" s="15" t="str">
        <f>VLOOKUP(A533,sinap!$A$2:$R$9000,12,FALSE)</f>
        <v>11.1.01.1081</v>
      </c>
      <c r="R533" s="15" t="str">
        <f>VLOOKUP(A533,sinap!$A$2:$R$9000,16,FALSE)</f>
        <v>11.2.01.0038</v>
      </c>
      <c r="S533" s="15" t="str">
        <f>VLOOKUP(A533,sinap!$A$2:$Y$9000,20,FALSE)</f>
        <v>SI</v>
      </c>
    </row>
    <row r="534" spans="1:19" s="16" customFormat="1" hidden="1" x14ac:dyDescent="0.25">
      <c r="A534" s="15">
        <v>14718104</v>
      </c>
      <c r="B534" s="15"/>
      <c r="C534" s="15"/>
      <c r="J534" s="15" t="str">
        <f>VLOOKUP(A534,sinap!$A$2:$R$9000,2,FALSE)</f>
        <v>M</v>
      </c>
      <c r="K534" s="15" t="str">
        <f>VLOOKUP(A534,sinap!$A$2:$R$9000,3,FALSE)</f>
        <v>TORO</v>
      </c>
      <c r="L534" s="15" t="str">
        <f>VLOOKUP(A534,sinap!$A$2:$R$9000,4,FALSE)</f>
        <v>ANGUS NEGRO</v>
      </c>
      <c r="M534" s="15" t="str">
        <f>VLOOKUP(A534,sinap!$A$2:$R$9000,5,FALSE)</f>
        <v>9 años 3 meses</v>
      </c>
      <c r="N534" s="15" t="str">
        <f>VLOOKUP(A534,sinap!$A$2:$R$9000,6,FALSE)</f>
        <v>15-10-2016</v>
      </c>
      <c r="O534" s="15" t="str">
        <f>VLOOKUP(A534,sinap!$A$2:$R$9000,7,FALSE)</f>
        <v>Vivo</v>
      </c>
      <c r="P534" s="15" t="str">
        <f>VLOOKUP(A534,sinap!$A$2:$R$9000,8,FALSE)</f>
        <v>11.1.01.0893</v>
      </c>
      <c r="Q534" s="15" t="str">
        <f>VLOOKUP(A534,sinap!$A$2:$R$9000,12,FALSE)</f>
        <v>11.1.01.1081</v>
      </c>
      <c r="R534" s="15" t="str">
        <f>VLOOKUP(A534,sinap!$A$2:$R$9000,16,FALSE)</f>
        <v>11.2.01.0038</v>
      </c>
      <c r="S534" s="15" t="str">
        <f>VLOOKUP(A534,sinap!$A$2:$Y$9000,20,FALSE)</f>
        <v>SI</v>
      </c>
    </row>
    <row r="535" spans="1:19" s="16" customFormat="1" hidden="1" x14ac:dyDescent="0.25">
      <c r="A535" s="15">
        <v>14718109</v>
      </c>
      <c r="B535" s="15"/>
      <c r="C535" s="15"/>
      <c r="G535" s="16">
        <v>45215</v>
      </c>
      <c r="J535" s="15" t="str">
        <f>VLOOKUP(A535,sinap!$A$2:$R$9000,2,FALSE)</f>
        <v>M</v>
      </c>
      <c r="K535" s="15" t="str">
        <f>VLOOKUP(A535,sinap!$A$2:$R$9000,3,FALSE)</f>
        <v>TORO</v>
      </c>
      <c r="L535" s="15" t="str">
        <f>VLOOKUP(A535,sinap!$A$2:$R$9000,4,FALSE)</f>
        <v>ANGUS NEGRO</v>
      </c>
      <c r="M535" s="15" t="str">
        <f>VLOOKUP(A535,sinap!$A$2:$R$9000,5,FALSE)</f>
        <v>9 años 3 meses</v>
      </c>
      <c r="N535" s="15" t="str">
        <f>VLOOKUP(A535,sinap!$A$2:$R$9000,6,FALSE)</f>
        <v>15-10-2016</v>
      </c>
      <c r="O535" s="15" t="str">
        <f>VLOOKUP(A535,sinap!$A$2:$R$9000,7,FALSE)</f>
        <v>Vivo</v>
      </c>
      <c r="P535" s="15" t="str">
        <f>VLOOKUP(A535,sinap!$A$2:$R$9000,8,FALSE)</f>
        <v>11.1.01.0893</v>
      </c>
      <c r="Q535" s="15" t="str">
        <f>VLOOKUP(A535,sinap!$A$2:$R$9000,12,FALSE)</f>
        <v>11.2.01.0038</v>
      </c>
      <c r="R535" s="15" t="str">
        <f>VLOOKUP(A535,sinap!$A$2:$R$9000,16,FALSE)</f>
        <v>11.2.01.0038</v>
      </c>
      <c r="S535" s="15" t="str">
        <f>VLOOKUP(A535,sinap!$A$2:$Y$9000,20,FALSE)</f>
        <v>SI</v>
      </c>
    </row>
    <row r="536" spans="1:19" s="16" customFormat="1" hidden="1" x14ac:dyDescent="0.25">
      <c r="A536" s="15">
        <v>14718111</v>
      </c>
      <c r="B536" s="15"/>
      <c r="C536" s="15"/>
      <c r="G536" s="16">
        <v>45215</v>
      </c>
      <c r="J536" s="15" t="str">
        <f>VLOOKUP(A536,sinap!$A$2:$R$9000,2,FALSE)</f>
        <v>M</v>
      </c>
      <c r="K536" s="15" t="str">
        <f>VLOOKUP(A536,sinap!$A$2:$R$9000,3,FALSE)</f>
        <v>TORO</v>
      </c>
      <c r="L536" s="15" t="str">
        <f>VLOOKUP(A536,sinap!$A$2:$R$9000,4,FALSE)</f>
        <v>ANGUS NEGRO</v>
      </c>
      <c r="M536" s="15" t="str">
        <f>VLOOKUP(A536,sinap!$A$2:$R$9000,5,FALSE)</f>
        <v>9 años 0 meses</v>
      </c>
      <c r="N536" s="15" t="str">
        <f>VLOOKUP(A536,sinap!$A$2:$R$9000,6,FALSE)</f>
        <v>20-12-2016</v>
      </c>
      <c r="O536" s="15" t="str">
        <f>VLOOKUP(A536,sinap!$A$2:$R$9000,7,FALSE)</f>
        <v>Vivo</v>
      </c>
      <c r="P536" s="15" t="str">
        <f>VLOOKUP(A536,sinap!$A$2:$R$9000,8,FALSE)</f>
        <v>11.1.01.0893</v>
      </c>
      <c r="Q536" s="15" t="str">
        <f>VLOOKUP(A536,sinap!$A$2:$R$9000,12,FALSE)</f>
        <v>11.1.01.1081</v>
      </c>
      <c r="R536" s="15" t="str">
        <f>VLOOKUP(A536,sinap!$A$2:$R$9000,16,FALSE)</f>
        <v>11.1.01.1081</v>
      </c>
      <c r="S536" s="15" t="str">
        <f>VLOOKUP(A536,sinap!$A$2:$Y$9000,20,FALSE)</f>
        <v>SI</v>
      </c>
    </row>
    <row r="537" spans="1:19" s="16" customFormat="1" hidden="1" x14ac:dyDescent="0.25">
      <c r="A537" s="15">
        <v>14718118</v>
      </c>
      <c r="B537" s="15"/>
      <c r="C537" s="15"/>
      <c r="G537" s="16">
        <v>45215</v>
      </c>
      <c r="J537" s="15" t="str">
        <f>VLOOKUP(A537,sinap!$A$2:$R$9000,2,FALSE)</f>
        <v>M</v>
      </c>
      <c r="K537" s="15" t="str">
        <f>VLOOKUP(A537,sinap!$A$2:$R$9000,3,FALSE)</f>
        <v>TORO</v>
      </c>
      <c r="L537" s="15" t="str">
        <f>VLOOKUP(A537,sinap!$A$2:$R$9000,4,FALSE)</f>
        <v>ANGUS NEGRO</v>
      </c>
      <c r="M537" s="15" t="str">
        <f>VLOOKUP(A537,sinap!$A$2:$R$9000,5,FALSE)</f>
        <v>9 años 0 meses</v>
      </c>
      <c r="N537" s="15" t="str">
        <f>VLOOKUP(A537,sinap!$A$2:$R$9000,6,FALSE)</f>
        <v>25-12-2016</v>
      </c>
      <c r="O537" s="15" t="str">
        <f>VLOOKUP(A537,sinap!$A$2:$R$9000,7,FALSE)</f>
        <v>Vivo</v>
      </c>
      <c r="P537" s="15" t="str">
        <f>VLOOKUP(A537,sinap!$A$2:$R$9000,8,FALSE)</f>
        <v>11.1.01.0893</v>
      </c>
      <c r="Q537" s="15" t="str">
        <f>VLOOKUP(A537,sinap!$A$2:$R$9000,12,FALSE)</f>
        <v>11.1.01.1081</v>
      </c>
      <c r="R537" s="15" t="str">
        <f>VLOOKUP(A537,sinap!$A$2:$R$9000,16,FALSE)</f>
        <v>11.2.01.0038</v>
      </c>
      <c r="S537" s="15" t="str">
        <f>VLOOKUP(A537,sinap!$A$2:$Y$9000,20,FALSE)</f>
        <v>SI</v>
      </c>
    </row>
    <row r="538" spans="1:19" s="16" customFormat="1" hidden="1" x14ac:dyDescent="0.25">
      <c r="A538" s="15">
        <v>14718119</v>
      </c>
      <c r="B538" s="15"/>
      <c r="C538" s="15"/>
      <c r="G538" s="16">
        <v>45215</v>
      </c>
      <c r="J538" s="15" t="str">
        <f>VLOOKUP(A538,sinap!$A$2:$R$9000,2,FALSE)</f>
        <v>M</v>
      </c>
      <c r="K538" s="15" t="str">
        <f>VLOOKUP(A538,sinap!$A$2:$R$9000,3,FALSE)</f>
        <v>TORO</v>
      </c>
      <c r="L538" s="15" t="str">
        <f>VLOOKUP(A538,sinap!$A$2:$R$9000,4,FALSE)</f>
        <v>ANGUS NEGRO</v>
      </c>
      <c r="M538" s="15" t="str">
        <f>VLOOKUP(A538,sinap!$A$2:$R$9000,5,FALSE)</f>
        <v>9 años 0 meses</v>
      </c>
      <c r="N538" s="15" t="str">
        <f>VLOOKUP(A538,sinap!$A$2:$R$9000,6,FALSE)</f>
        <v>15-01-2017</v>
      </c>
      <c r="O538" s="15" t="str">
        <f>VLOOKUP(A538,sinap!$A$2:$R$9000,7,FALSE)</f>
        <v>Vivo</v>
      </c>
      <c r="P538" s="15" t="str">
        <f>VLOOKUP(A538,sinap!$A$2:$R$9000,8,FALSE)</f>
        <v>11.1.01.0893</v>
      </c>
      <c r="Q538" s="15" t="str">
        <f>VLOOKUP(A538,sinap!$A$2:$R$9000,12,FALSE)</f>
        <v>11.1.01.1081</v>
      </c>
      <c r="R538" s="15" t="str">
        <f>VLOOKUP(A538,sinap!$A$2:$R$9000,16,FALSE)</f>
        <v>11.2.01.0038</v>
      </c>
      <c r="S538" s="15" t="str">
        <f>VLOOKUP(A538,sinap!$A$2:$Y$9000,20,FALSE)</f>
        <v>SI</v>
      </c>
    </row>
    <row r="539" spans="1:19" s="16" customFormat="1" hidden="1" x14ac:dyDescent="0.25">
      <c r="A539" s="15">
        <v>14718121</v>
      </c>
      <c r="B539" s="15"/>
      <c r="C539" s="15"/>
      <c r="G539" s="16">
        <v>45215</v>
      </c>
      <c r="J539" s="15" t="str">
        <f>VLOOKUP(A539,sinap!$A$2:$R$9000,2,FALSE)</f>
        <v>M</v>
      </c>
      <c r="K539" s="15" t="str">
        <f>VLOOKUP(A539,sinap!$A$2:$R$9000,3,FALSE)</f>
        <v>TORO</v>
      </c>
      <c r="L539" s="15" t="str">
        <f>VLOOKUP(A539,sinap!$A$2:$R$9000,4,FALSE)</f>
        <v>ANGUS NEGRO</v>
      </c>
      <c r="M539" s="15" t="str">
        <f>VLOOKUP(A539,sinap!$A$2:$R$9000,5,FALSE)</f>
        <v>9 años 1 meses</v>
      </c>
      <c r="N539" s="15" t="str">
        <f>VLOOKUP(A539,sinap!$A$2:$R$9000,6,FALSE)</f>
        <v>10-12-2016</v>
      </c>
      <c r="O539" s="15" t="str">
        <f>VLOOKUP(A539,sinap!$A$2:$R$9000,7,FALSE)</f>
        <v>Vivo</v>
      </c>
      <c r="P539" s="15" t="str">
        <f>VLOOKUP(A539,sinap!$A$2:$R$9000,8,FALSE)</f>
        <v>11.1.01.0893</v>
      </c>
      <c r="Q539" s="15" t="str">
        <f>VLOOKUP(A539,sinap!$A$2:$R$9000,12,FALSE)</f>
        <v>11.1.01.1081</v>
      </c>
      <c r="R539" s="15" t="str">
        <f>VLOOKUP(A539,sinap!$A$2:$R$9000,16,FALSE)</f>
        <v>11.2.01.0038</v>
      </c>
      <c r="S539" s="15" t="str">
        <f>VLOOKUP(A539,sinap!$A$2:$Y$9000,20,FALSE)</f>
        <v>SI</v>
      </c>
    </row>
    <row r="540" spans="1:19" s="16" customFormat="1" hidden="1" x14ac:dyDescent="0.25">
      <c r="A540" s="15">
        <v>14718122</v>
      </c>
      <c r="B540" s="15"/>
      <c r="C540" s="15"/>
      <c r="G540" s="16">
        <v>45215</v>
      </c>
      <c r="J540" s="15" t="str">
        <f>VLOOKUP(A540,sinap!$A$2:$R$9000,2,FALSE)</f>
        <v>M</v>
      </c>
      <c r="K540" s="15" t="str">
        <f>VLOOKUP(A540,sinap!$A$2:$R$9000,3,FALSE)</f>
        <v>TORO</v>
      </c>
      <c r="L540" s="15" t="str">
        <f>VLOOKUP(A540,sinap!$A$2:$R$9000,4,FALSE)</f>
        <v>ANGUS NEGRO</v>
      </c>
      <c r="M540" s="15" t="str">
        <f>VLOOKUP(A540,sinap!$A$2:$R$9000,5,FALSE)</f>
        <v>9 años 0 meses</v>
      </c>
      <c r="N540" s="15" t="str">
        <f>VLOOKUP(A540,sinap!$A$2:$R$9000,6,FALSE)</f>
        <v>02-01-2017</v>
      </c>
      <c r="O540" s="15" t="str">
        <f>VLOOKUP(A540,sinap!$A$2:$R$9000,7,FALSE)</f>
        <v>Vivo</v>
      </c>
      <c r="P540" s="15" t="str">
        <f>VLOOKUP(A540,sinap!$A$2:$R$9000,8,FALSE)</f>
        <v>11.1.01.0893</v>
      </c>
      <c r="Q540" s="15" t="str">
        <f>VLOOKUP(A540,sinap!$A$2:$R$9000,12,FALSE)</f>
        <v>11.1.01.1081</v>
      </c>
      <c r="R540" s="15" t="str">
        <f>VLOOKUP(A540,sinap!$A$2:$R$9000,16,FALSE)</f>
        <v>11.2.01.0038</v>
      </c>
      <c r="S540" s="15" t="str">
        <f>VLOOKUP(A540,sinap!$A$2:$Y$9000,20,FALSE)</f>
        <v>SI</v>
      </c>
    </row>
    <row r="541" spans="1:19" s="16" customFormat="1" hidden="1" x14ac:dyDescent="0.25">
      <c r="A541" s="15">
        <v>14718141</v>
      </c>
      <c r="B541" s="15"/>
      <c r="C541" s="15"/>
      <c r="G541" s="16">
        <v>45215</v>
      </c>
      <c r="I541" s="16">
        <v>45966</v>
      </c>
      <c r="J541" s="15" t="str">
        <f>VLOOKUP(A541,sinap!$A$2:$R$9000,2,FALSE)</f>
        <v>H</v>
      </c>
      <c r="K541" s="15" t="str">
        <f>VLOOKUP(A541,sinap!$A$2:$R$9000,3,FALSE)</f>
        <v>VACA</v>
      </c>
      <c r="L541" s="15" t="str">
        <f>VLOOKUP(A541,sinap!$A$2:$R$9000,4,FALSE)</f>
        <v>ANGUS ROJO</v>
      </c>
      <c r="M541" s="15" t="str">
        <f>VLOOKUP(A541,sinap!$A$2:$R$9000,5,FALSE)</f>
        <v>8 años 11 meses</v>
      </c>
      <c r="N541" s="15" t="str">
        <f>VLOOKUP(A541,sinap!$A$2:$R$9000,6,FALSE)</f>
        <v>20-01-2017</v>
      </c>
      <c r="O541" s="15" t="str">
        <f>VLOOKUP(A541,sinap!$A$2:$R$9000,7,FALSE)</f>
        <v>Vivo</v>
      </c>
      <c r="P541" s="15" t="str">
        <f>VLOOKUP(A541,sinap!$A$2:$R$9000,8,FALSE)</f>
        <v>11.1.01.2442</v>
      </c>
      <c r="Q541" s="15" t="str">
        <f>VLOOKUP(A541,sinap!$A$2:$R$9000,12,FALSE)</f>
        <v>11.1.01.0190</v>
      </c>
      <c r="R541" s="15" t="str">
        <f>VLOOKUP(A541,sinap!$A$2:$R$9000,16,FALSE)</f>
        <v>11.1.01.1241</v>
      </c>
      <c r="S541" s="15" t="str">
        <f>VLOOKUP(A541,sinap!$A$2:$Y$9000,20,FALSE)</f>
        <v>SI</v>
      </c>
    </row>
    <row r="542" spans="1:19" s="16" customFormat="1" hidden="1" x14ac:dyDescent="0.25">
      <c r="A542" s="15">
        <v>14718142</v>
      </c>
      <c r="B542" s="15"/>
      <c r="C542" s="15"/>
      <c r="G542" s="16">
        <v>45215</v>
      </c>
      <c r="J542" s="15" t="str">
        <f>VLOOKUP(A542,sinap!$A$2:$R$9000,2,FALSE)</f>
        <v>M</v>
      </c>
      <c r="K542" s="15" t="str">
        <f>VLOOKUP(A542,sinap!$A$2:$R$9000,3,FALSE)</f>
        <v>TORO</v>
      </c>
      <c r="L542" s="15" t="str">
        <f>VLOOKUP(A542,sinap!$A$2:$R$9000,4,FALSE)</f>
        <v>ANGUS NEGRO</v>
      </c>
      <c r="M542" s="15" t="str">
        <f>VLOOKUP(A542,sinap!$A$2:$R$9000,5,FALSE)</f>
        <v>8 años 10 meses</v>
      </c>
      <c r="N542" s="15" t="str">
        <f>VLOOKUP(A542,sinap!$A$2:$R$9000,6,FALSE)</f>
        <v>11-03-2017</v>
      </c>
      <c r="O542" s="15" t="str">
        <f>VLOOKUP(A542,sinap!$A$2:$R$9000,7,FALSE)</f>
        <v>Vivo</v>
      </c>
      <c r="P542" s="15" t="str">
        <f>VLOOKUP(A542,sinap!$A$2:$R$9000,8,FALSE)</f>
        <v>11.1.01.1241</v>
      </c>
      <c r="Q542" s="15" t="str">
        <f>VLOOKUP(A542,sinap!$A$2:$R$9000,12,FALSE)</f>
        <v>11.1.01.1022</v>
      </c>
      <c r="R542" s="15" t="str">
        <f>VLOOKUP(A542,sinap!$A$2:$R$9000,16,FALSE)</f>
        <v>11.1.01.1241</v>
      </c>
      <c r="S542" s="15" t="str">
        <f>VLOOKUP(A542,sinap!$A$2:$Y$9000,20,FALSE)</f>
        <v>SI</v>
      </c>
    </row>
    <row r="543" spans="1:19" s="16" customFormat="1" hidden="1" x14ac:dyDescent="0.25">
      <c r="A543" s="15">
        <v>14718147</v>
      </c>
      <c r="B543" s="15"/>
      <c r="C543" s="15"/>
      <c r="F543" s="16">
        <v>44923</v>
      </c>
      <c r="G543" s="16">
        <v>45239</v>
      </c>
      <c r="H543" s="16">
        <v>45648</v>
      </c>
      <c r="I543" s="16">
        <v>45966</v>
      </c>
      <c r="J543" s="15" t="str">
        <f>VLOOKUP(A543,sinap!$A$2:$R$9000,2,FALSE)</f>
        <v>H</v>
      </c>
      <c r="K543" s="15" t="str">
        <f>VLOOKUP(A543,sinap!$A$2:$R$9000,3,FALSE)</f>
        <v>VACA</v>
      </c>
      <c r="L543" s="15" t="str">
        <f>VLOOKUP(A543,sinap!$A$2:$R$9000,4,FALSE)</f>
        <v>ANGUS NEGRO</v>
      </c>
      <c r="M543" s="15" t="str">
        <f>VLOOKUP(A543,sinap!$A$2:$R$9000,5,FALSE)</f>
        <v>8 años 11 meses</v>
      </c>
      <c r="N543" s="15" t="str">
        <f>VLOOKUP(A543,sinap!$A$2:$R$9000,6,FALSE)</f>
        <v>30-01-2017</v>
      </c>
      <c r="O543" s="15" t="str">
        <f>VLOOKUP(A543,sinap!$A$2:$R$9000,7,FALSE)</f>
        <v>Vivo</v>
      </c>
      <c r="P543" s="15" t="str">
        <f>VLOOKUP(A543,sinap!$A$2:$R$9000,8,FALSE)</f>
        <v>11.1.01.2442</v>
      </c>
      <c r="Q543" s="15" t="str">
        <f>VLOOKUP(A543,sinap!$A$2:$R$9000,12,FALSE)</f>
        <v>11.1.01.0190</v>
      </c>
      <c r="R543" s="15" t="str">
        <f>VLOOKUP(A543,sinap!$A$2:$R$9000,16,FALSE)</f>
        <v>11.1.01.1241</v>
      </c>
      <c r="S543" s="15" t="str">
        <f>VLOOKUP(A543,sinap!$A$2:$Y$9000,20,FALSE)</f>
        <v>SI</v>
      </c>
    </row>
    <row r="544" spans="1:19" s="16" customFormat="1" hidden="1" x14ac:dyDescent="0.25">
      <c r="A544" s="15">
        <v>14718148</v>
      </c>
      <c r="B544" s="15"/>
      <c r="C544" s="15"/>
      <c r="G544" s="16">
        <v>45240</v>
      </c>
      <c r="J544" s="15" t="str">
        <f>VLOOKUP(A544,sinap!$A$2:$R$9000,2,FALSE)</f>
        <v>M</v>
      </c>
      <c r="K544" s="15" t="str">
        <f>VLOOKUP(A544,sinap!$A$2:$R$9000,3,FALSE)</f>
        <v>TORO</v>
      </c>
      <c r="L544" s="15" t="str">
        <f>VLOOKUP(A544,sinap!$A$2:$R$9000,4,FALSE)</f>
        <v>ANGUS NEGRO</v>
      </c>
      <c r="M544" s="15" t="str">
        <f>VLOOKUP(A544,sinap!$A$2:$R$9000,5,FALSE)</f>
        <v>9 años 0 meses</v>
      </c>
      <c r="N544" s="15" t="str">
        <f>VLOOKUP(A544,sinap!$A$2:$R$9000,6,FALSE)</f>
        <v>18-12-2016</v>
      </c>
      <c r="O544" s="15" t="str">
        <f>VLOOKUP(A544,sinap!$A$2:$R$9000,7,FALSE)</f>
        <v>Vivo</v>
      </c>
      <c r="P544" s="15" t="str">
        <f>VLOOKUP(A544,sinap!$A$2:$R$9000,8,FALSE)</f>
        <v>11.1.01.0893</v>
      </c>
      <c r="Q544" s="15" t="str">
        <f>VLOOKUP(A544,sinap!$A$2:$R$9000,12,FALSE)</f>
        <v>11.1.01.1081</v>
      </c>
      <c r="R544" s="15" t="str">
        <f>VLOOKUP(A544,sinap!$A$2:$R$9000,16,FALSE)</f>
        <v>11.1.01.1241</v>
      </c>
      <c r="S544" s="15" t="str">
        <f>VLOOKUP(A544,sinap!$A$2:$Y$9000,20,FALSE)</f>
        <v>SI</v>
      </c>
    </row>
    <row r="545" spans="1:19" s="16" customFormat="1" hidden="1" x14ac:dyDescent="0.25">
      <c r="A545" s="15">
        <v>14718149</v>
      </c>
      <c r="B545" s="15"/>
      <c r="C545" s="15"/>
      <c r="G545" s="16">
        <v>45240</v>
      </c>
      <c r="J545" s="15" t="str">
        <f>VLOOKUP(A545,sinap!$A$2:$R$9000,2,FALSE)</f>
        <v>M</v>
      </c>
      <c r="K545" s="15" t="str">
        <f>VLOOKUP(A545,sinap!$A$2:$R$9000,3,FALSE)</f>
        <v>TORO</v>
      </c>
      <c r="L545" s="15" t="str">
        <f>VLOOKUP(A545,sinap!$A$2:$R$9000,4,FALSE)</f>
        <v>ANGUS NEGRO</v>
      </c>
      <c r="M545" s="15" t="str">
        <f>VLOOKUP(A545,sinap!$A$2:$R$9000,5,FALSE)</f>
        <v>9 años 0 meses</v>
      </c>
      <c r="N545" s="15" t="str">
        <f>VLOOKUP(A545,sinap!$A$2:$R$9000,6,FALSE)</f>
        <v>10-01-2017</v>
      </c>
      <c r="O545" s="15" t="str">
        <f>VLOOKUP(A545,sinap!$A$2:$R$9000,7,FALSE)</f>
        <v>Vivo</v>
      </c>
      <c r="P545" s="15" t="str">
        <f>VLOOKUP(A545,sinap!$A$2:$R$9000,8,FALSE)</f>
        <v>11.1.01.0893</v>
      </c>
      <c r="Q545" s="15" t="str">
        <f>VLOOKUP(A545,sinap!$A$2:$R$9000,12,FALSE)</f>
        <v>11.1.01.1081</v>
      </c>
      <c r="R545" s="15" t="str">
        <f>VLOOKUP(A545,sinap!$A$2:$R$9000,16,FALSE)</f>
        <v>11.1.01.1241</v>
      </c>
      <c r="S545" s="15" t="str">
        <f>VLOOKUP(A545,sinap!$A$2:$Y$9000,20,FALSE)</f>
        <v>SI</v>
      </c>
    </row>
    <row r="546" spans="1:19" s="16" customFormat="1" hidden="1" x14ac:dyDescent="0.25">
      <c r="A546" s="15">
        <v>14718153</v>
      </c>
      <c r="B546" s="15"/>
      <c r="C546" s="15"/>
      <c r="D546" s="16">
        <v>44134</v>
      </c>
      <c r="E546" s="16">
        <v>44504</v>
      </c>
      <c r="F546" s="16">
        <v>44908</v>
      </c>
      <c r="G546" s="16">
        <v>45253</v>
      </c>
      <c r="J546" s="15" t="str">
        <f>VLOOKUP(A546,sinap!$A$2:$R$9000,2,FALSE)</f>
        <v>M</v>
      </c>
      <c r="K546" s="15" t="str">
        <f>VLOOKUP(A546,sinap!$A$2:$R$9000,3,FALSE)</f>
        <v>TORO</v>
      </c>
      <c r="L546" s="15" t="str">
        <f>VLOOKUP(A546,sinap!$A$2:$R$9000,4,FALSE)</f>
        <v>ANGUS NEGRO</v>
      </c>
      <c r="M546" s="15" t="str">
        <f>VLOOKUP(A546,sinap!$A$2:$R$9000,5,FALSE)</f>
        <v>8 años 10 meses</v>
      </c>
      <c r="N546" s="15" t="str">
        <f>VLOOKUP(A546,sinap!$A$2:$R$9000,6,FALSE)</f>
        <v>20-02-2017</v>
      </c>
      <c r="O546" s="15" t="str">
        <f>VLOOKUP(A546,sinap!$A$2:$R$9000,7,FALSE)</f>
        <v>Vivo</v>
      </c>
      <c r="P546" s="15" t="str">
        <f>VLOOKUP(A546,sinap!$A$2:$R$9000,8,FALSE)</f>
        <v>11.1.01.0893</v>
      </c>
      <c r="Q546" s="15" t="str">
        <f>VLOOKUP(A546,sinap!$A$2:$R$9000,12,FALSE)</f>
        <v>11.1.01.1241</v>
      </c>
      <c r="R546" s="15" t="str">
        <f>VLOOKUP(A546,sinap!$A$2:$R$9000,16,FALSE)</f>
        <v>11.1.01.1241</v>
      </c>
      <c r="S546" s="15" t="str">
        <f>VLOOKUP(A546,sinap!$A$2:$Y$9000,20,FALSE)</f>
        <v>SI</v>
      </c>
    </row>
    <row r="547" spans="1:19" s="16" customFormat="1" hidden="1" x14ac:dyDescent="0.25">
      <c r="A547" s="15">
        <v>14718156</v>
      </c>
      <c r="B547" s="15"/>
      <c r="C547" s="15"/>
      <c r="E547" s="16">
        <v>44489</v>
      </c>
      <c r="F547" s="16">
        <v>44708</v>
      </c>
      <c r="G547" s="16">
        <v>45253</v>
      </c>
      <c r="J547" s="15" t="str">
        <f>VLOOKUP(A547,sinap!$A$2:$R$9000,2,FALSE)</f>
        <v>M</v>
      </c>
      <c r="K547" s="15" t="str">
        <f>VLOOKUP(A547,sinap!$A$2:$R$9000,3,FALSE)</f>
        <v>TORO</v>
      </c>
      <c r="L547" s="15" t="str">
        <f>VLOOKUP(A547,sinap!$A$2:$R$9000,4,FALSE)</f>
        <v>ANGUS NEGRO</v>
      </c>
      <c r="M547" s="15" t="str">
        <f>VLOOKUP(A547,sinap!$A$2:$R$9000,5,FALSE)</f>
        <v>9 años 0 meses</v>
      </c>
      <c r="N547" s="15" t="str">
        <f>VLOOKUP(A547,sinap!$A$2:$R$9000,6,FALSE)</f>
        <v>18-12-2016</v>
      </c>
      <c r="O547" s="15" t="str">
        <f>VLOOKUP(A547,sinap!$A$2:$R$9000,7,FALSE)</f>
        <v>Vivo</v>
      </c>
      <c r="P547" s="15" t="str">
        <f>VLOOKUP(A547,sinap!$A$2:$R$9000,8,FALSE)</f>
        <v>11.1.01.0893</v>
      </c>
      <c r="Q547" s="15" t="str">
        <f>VLOOKUP(A547,sinap!$A$2:$R$9000,12,FALSE)</f>
        <v>11.1.01.1081</v>
      </c>
      <c r="R547" s="15" t="str">
        <f>VLOOKUP(A547,sinap!$A$2:$R$9000,16,FALSE)</f>
        <v>11.1.01.1241</v>
      </c>
      <c r="S547" s="15" t="str">
        <f>VLOOKUP(A547,sinap!$A$2:$Y$9000,20,FALSE)</f>
        <v>SI</v>
      </c>
    </row>
    <row r="548" spans="1:19" s="16" customFormat="1" hidden="1" x14ac:dyDescent="0.25">
      <c r="A548" s="15">
        <v>14718157</v>
      </c>
      <c r="B548" s="15"/>
      <c r="C548" s="15"/>
      <c r="D548" s="16">
        <v>44135</v>
      </c>
      <c r="E548" s="16">
        <v>44350</v>
      </c>
      <c r="F548" s="16">
        <v>44868</v>
      </c>
      <c r="G548" s="16">
        <v>45253</v>
      </c>
      <c r="J548" s="15" t="str">
        <f>VLOOKUP(A548,sinap!$A$2:$R$9000,2,FALSE)</f>
        <v>no existe</v>
      </c>
      <c r="K548" s="15" t="str">
        <f>VLOOKUP(A548,sinap!$A$2:$R$9000,3,FALSE)</f>
        <v>no existe</v>
      </c>
      <c r="L548" s="15" t="str">
        <f>VLOOKUP(A548,sinap!$A$2:$R$9000,4,FALSE)</f>
        <v>no existe</v>
      </c>
      <c r="M548" s="15" t="str">
        <f>VLOOKUP(A548,sinap!$A$2:$R$9000,5,FALSE)</f>
        <v>no existe</v>
      </c>
      <c r="N548" s="15" t="str">
        <f>VLOOKUP(A548,sinap!$A$2:$R$9000,6,FALSE)</f>
        <v>no existe</v>
      </c>
      <c r="O548" s="15" t="str">
        <f>VLOOKUP(A548,sinap!$A$2:$R$9000,7,FALSE)</f>
        <v>no existe</v>
      </c>
      <c r="P548" s="15" t="str">
        <f>VLOOKUP(A548,sinap!$A$2:$R$9000,8,FALSE)</f>
        <v>no existe</v>
      </c>
      <c r="Q548" s="15" t="str">
        <f>VLOOKUP(A548,sinap!$A$2:$R$9000,12,FALSE)</f>
        <v>no existe</v>
      </c>
      <c r="R548" s="15" t="str">
        <f>VLOOKUP(A548,sinap!$A$2:$R$9000,16,FALSE)</f>
        <v>no existe</v>
      </c>
      <c r="S548" s="15" t="str">
        <f>VLOOKUP(A548,sinap!$A$2:$Y$9000,20,FALSE)</f>
        <v>no existe</v>
      </c>
    </row>
    <row r="549" spans="1:19" s="16" customFormat="1" hidden="1" x14ac:dyDescent="0.25">
      <c r="A549" s="15">
        <v>14718158</v>
      </c>
      <c r="B549" s="15"/>
      <c r="C549" s="15"/>
      <c r="D549" s="16">
        <v>44134</v>
      </c>
      <c r="E549" s="16">
        <v>44518</v>
      </c>
      <c r="F549" s="16">
        <v>44908</v>
      </c>
      <c r="G549" s="16">
        <v>45253</v>
      </c>
      <c r="J549" s="15" t="str">
        <f>VLOOKUP(A549,sinap!$A$2:$R$9000,2,FALSE)</f>
        <v>no existe</v>
      </c>
      <c r="K549" s="15" t="str">
        <f>VLOOKUP(A549,sinap!$A$2:$R$9000,3,FALSE)</f>
        <v>no existe</v>
      </c>
      <c r="L549" s="15" t="str">
        <f>VLOOKUP(A549,sinap!$A$2:$R$9000,4,FALSE)</f>
        <v>no existe</v>
      </c>
      <c r="M549" s="15" t="str">
        <f>VLOOKUP(A549,sinap!$A$2:$R$9000,5,FALSE)</f>
        <v>no existe</v>
      </c>
      <c r="N549" s="15" t="str">
        <f>VLOOKUP(A549,sinap!$A$2:$R$9000,6,FALSE)</f>
        <v>no existe</v>
      </c>
      <c r="O549" s="15" t="str">
        <f>VLOOKUP(A549,sinap!$A$2:$R$9000,7,FALSE)</f>
        <v>no existe</v>
      </c>
      <c r="P549" s="15" t="str">
        <f>VLOOKUP(A549,sinap!$A$2:$R$9000,8,FALSE)</f>
        <v>no existe</v>
      </c>
      <c r="Q549" s="15" t="str">
        <f>VLOOKUP(A549,sinap!$A$2:$R$9000,12,FALSE)</f>
        <v>no existe</v>
      </c>
      <c r="R549" s="15" t="str">
        <f>VLOOKUP(A549,sinap!$A$2:$R$9000,16,FALSE)</f>
        <v>no existe</v>
      </c>
      <c r="S549" s="15" t="str">
        <f>VLOOKUP(A549,sinap!$A$2:$Y$9000,20,FALSE)</f>
        <v>no existe</v>
      </c>
    </row>
    <row r="550" spans="1:19" s="16" customFormat="1" hidden="1" x14ac:dyDescent="0.25">
      <c r="A550" s="15">
        <v>14718159</v>
      </c>
      <c r="B550" s="15"/>
      <c r="C550" s="15"/>
      <c r="G550" s="16">
        <v>45264</v>
      </c>
      <c r="J550" s="15" t="str">
        <f>VLOOKUP(A550,sinap!$A$2:$R$9000,2,FALSE)</f>
        <v>M</v>
      </c>
      <c r="K550" s="15" t="str">
        <f>VLOOKUP(A550,sinap!$A$2:$R$9000,3,FALSE)</f>
        <v>TORO</v>
      </c>
      <c r="L550" s="15" t="str">
        <f>VLOOKUP(A550,sinap!$A$2:$R$9000,4,FALSE)</f>
        <v>ANGUS NEGRO</v>
      </c>
      <c r="M550" s="15" t="str">
        <f>VLOOKUP(A550,sinap!$A$2:$R$9000,5,FALSE)</f>
        <v>9 años 0 meses</v>
      </c>
      <c r="N550" s="15" t="str">
        <f>VLOOKUP(A550,sinap!$A$2:$R$9000,6,FALSE)</f>
        <v>18-12-2016</v>
      </c>
      <c r="O550" s="15" t="str">
        <f>VLOOKUP(A550,sinap!$A$2:$R$9000,7,FALSE)</f>
        <v>Vivo</v>
      </c>
      <c r="P550" s="15" t="str">
        <f>VLOOKUP(A550,sinap!$A$2:$R$9000,8,FALSE)</f>
        <v>11.1.01.0893</v>
      </c>
      <c r="Q550" s="15" t="str">
        <f>VLOOKUP(A550,sinap!$A$2:$R$9000,12,FALSE)</f>
        <v>11.1.01.1081</v>
      </c>
      <c r="R550" s="15" t="str">
        <f>VLOOKUP(A550,sinap!$A$2:$R$9000,16,FALSE)</f>
        <v>11.1.01.1241</v>
      </c>
      <c r="S550" s="15" t="str">
        <f>VLOOKUP(A550,sinap!$A$2:$Y$9000,20,FALSE)</f>
        <v>SI</v>
      </c>
    </row>
    <row r="551" spans="1:19" s="16" customFormat="1" hidden="1" x14ac:dyDescent="0.25">
      <c r="A551" s="15">
        <v>14718163</v>
      </c>
      <c r="B551" s="15"/>
      <c r="C551" s="15"/>
      <c r="G551" s="16">
        <v>45265</v>
      </c>
      <c r="J551" s="15" t="str">
        <f>VLOOKUP(A551,sinap!$A$2:$R$9000,2,FALSE)</f>
        <v>M</v>
      </c>
      <c r="K551" s="15" t="str">
        <f>VLOOKUP(A551,sinap!$A$2:$R$9000,3,FALSE)</f>
        <v>TORO</v>
      </c>
      <c r="L551" s="15" t="str">
        <f>VLOOKUP(A551,sinap!$A$2:$R$9000,4,FALSE)</f>
        <v>ANGUS NEGRO</v>
      </c>
      <c r="M551" s="15" t="str">
        <f>VLOOKUP(A551,sinap!$A$2:$R$9000,5,FALSE)</f>
        <v>9 años 1 meses</v>
      </c>
      <c r="N551" s="15" t="str">
        <f>VLOOKUP(A551,sinap!$A$2:$R$9000,6,FALSE)</f>
        <v>30-11-2016</v>
      </c>
      <c r="O551" s="15" t="str">
        <f>VLOOKUP(A551,sinap!$A$2:$R$9000,7,FALSE)</f>
        <v>Vivo</v>
      </c>
      <c r="P551" s="15" t="str">
        <f>VLOOKUP(A551,sinap!$A$2:$R$9000,8,FALSE)</f>
        <v>11.1.01.0893</v>
      </c>
      <c r="Q551" s="15" t="str">
        <f>VLOOKUP(A551,sinap!$A$2:$R$9000,12,FALSE)</f>
        <v>11.1.01.1081</v>
      </c>
      <c r="R551" s="15" t="str">
        <f>VLOOKUP(A551,sinap!$A$2:$R$9000,16,FALSE)</f>
        <v>11.1.01.1241</v>
      </c>
      <c r="S551" s="15" t="str">
        <f>VLOOKUP(A551,sinap!$A$2:$Y$9000,20,FALSE)</f>
        <v>SI</v>
      </c>
    </row>
    <row r="552" spans="1:19" s="16" customFormat="1" hidden="1" x14ac:dyDescent="0.25">
      <c r="A552" s="15">
        <v>14718168</v>
      </c>
      <c r="B552" s="15"/>
      <c r="C552" s="15"/>
      <c r="G552" s="16">
        <v>45265</v>
      </c>
      <c r="H552" s="16">
        <v>45297</v>
      </c>
      <c r="J552" s="15" t="str">
        <f>VLOOKUP(A552,sinap!$A$2:$R$9000,2,FALSE)</f>
        <v>H</v>
      </c>
      <c r="K552" s="15" t="str">
        <f>VLOOKUP(A552,sinap!$A$2:$R$9000,3,FALSE)</f>
        <v>VACA</v>
      </c>
      <c r="L552" s="15" t="str">
        <f>VLOOKUP(A552,sinap!$A$2:$R$9000,4,FALSE)</f>
        <v>ANGUS NEGRO</v>
      </c>
      <c r="M552" s="15" t="str">
        <f>VLOOKUP(A552,sinap!$A$2:$R$9000,5,FALSE)</f>
        <v>9 años 1 meses</v>
      </c>
      <c r="N552" s="15" t="str">
        <f>VLOOKUP(A552,sinap!$A$2:$R$9000,6,FALSE)</f>
        <v>30-11-2016</v>
      </c>
      <c r="O552" s="15" t="str">
        <f>VLOOKUP(A552,sinap!$A$2:$R$9000,7,FALSE)</f>
        <v>Vivo</v>
      </c>
      <c r="P552" s="15" t="str">
        <f>VLOOKUP(A552,sinap!$A$2:$R$9000,8,FALSE)</f>
        <v>11.2.01.0038</v>
      </c>
      <c r="Q552" s="15" t="str">
        <f>VLOOKUP(A552,sinap!$A$2:$R$9000,12,FALSE)</f>
        <v>11.1.01.0893</v>
      </c>
      <c r="R552" s="15" t="str">
        <f>VLOOKUP(A552,sinap!$A$2:$R$9000,16,FALSE)</f>
        <v>11.1.01.0893</v>
      </c>
      <c r="S552" s="15" t="str">
        <f>VLOOKUP(A552,sinap!$A$2:$Y$9000,20,FALSE)</f>
        <v>SI</v>
      </c>
    </row>
    <row r="553" spans="1:19" s="16" customFormat="1" hidden="1" x14ac:dyDescent="0.25">
      <c r="A553" s="15">
        <v>14718169</v>
      </c>
      <c r="B553" s="15"/>
      <c r="C553" s="15"/>
      <c r="E553" s="16">
        <v>44489</v>
      </c>
      <c r="F553" s="16">
        <v>44708</v>
      </c>
      <c r="G553" s="16">
        <v>45265</v>
      </c>
      <c r="J553" s="15" t="str">
        <f>VLOOKUP(A553,sinap!$A$2:$R$9000,2,FALSE)</f>
        <v>H</v>
      </c>
      <c r="K553" s="15" t="str">
        <f>VLOOKUP(A553,sinap!$A$2:$R$9000,3,FALSE)</f>
        <v>VACA</v>
      </c>
      <c r="L553" s="15" t="str">
        <f>VLOOKUP(A553,sinap!$A$2:$R$9000,4,FALSE)</f>
        <v>ANGUS NEGRO</v>
      </c>
      <c r="M553" s="15" t="str">
        <f>VLOOKUP(A553,sinap!$A$2:$R$9000,5,FALSE)</f>
        <v>9 años 0 meses</v>
      </c>
      <c r="N553" s="15" t="str">
        <f>VLOOKUP(A553,sinap!$A$2:$R$9000,6,FALSE)</f>
        <v>30-12-2016</v>
      </c>
      <c r="O553" s="15" t="str">
        <f>VLOOKUP(A553,sinap!$A$2:$R$9000,7,FALSE)</f>
        <v>Vivo</v>
      </c>
      <c r="P553" s="15" t="str">
        <f>VLOOKUP(A553,sinap!$A$2:$R$9000,8,FALSE)</f>
        <v>11.1.01.0893</v>
      </c>
      <c r="Q553" s="15" t="str">
        <f>VLOOKUP(A553,sinap!$A$2:$R$9000,12,FALSE)</f>
        <v>Sin Movimiento</v>
      </c>
      <c r="R553" s="15" t="str">
        <f>VLOOKUP(A553,sinap!$A$2:$R$9000,16,FALSE)</f>
        <v>11.1.01.0893</v>
      </c>
      <c r="S553" s="15" t="str">
        <f>VLOOKUP(A553,sinap!$A$2:$Y$9000,20,FALSE)</f>
        <v>SI</v>
      </c>
    </row>
    <row r="554" spans="1:19" s="16" customFormat="1" hidden="1" x14ac:dyDescent="0.25">
      <c r="A554" s="15">
        <v>14718172</v>
      </c>
      <c r="B554" s="15"/>
      <c r="C554" s="15"/>
      <c r="G554" s="16">
        <v>45265</v>
      </c>
      <c r="J554" s="15" t="str">
        <f>VLOOKUP(A554,sinap!$A$2:$R$9000,2,FALSE)</f>
        <v>M</v>
      </c>
      <c r="K554" s="15" t="str">
        <f>VLOOKUP(A554,sinap!$A$2:$R$9000,3,FALSE)</f>
        <v>TORO</v>
      </c>
      <c r="L554" s="15" t="str">
        <f>VLOOKUP(A554,sinap!$A$2:$R$9000,4,FALSE)</f>
        <v>OVERO NEGRO</v>
      </c>
      <c r="M554" s="15" t="str">
        <f>VLOOKUP(A554,sinap!$A$2:$R$9000,5,FALSE)</f>
        <v>8 años 11 meses</v>
      </c>
      <c r="N554" s="15" t="str">
        <f>VLOOKUP(A554,sinap!$A$2:$R$9000,6,FALSE)</f>
        <v>30-01-2017</v>
      </c>
      <c r="O554" s="15" t="str">
        <f>VLOOKUP(A554,sinap!$A$2:$R$9000,7,FALSE)</f>
        <v>Vivo</v>
      </c>
      <c r="P554" s="15" t="str">
        <f>VLOOKUP(A554,sinap!$A$2:$R$9000,8,FALSE)</f>
        <v>11.1.01.0893</v>
      </c>
      <c r="Q554" s="15" t="str">
        <f>VLOOKUP(A554,sinap!$A$2:$R$9000,12,FALSE)</f>
        <v>11.2.01.2071</v>
      </c>
      <c r="R554" s="15" t="str">
        <f>VLOOKUP(A554,sinap!$A$2:$R$9000,16,FALSE)</f>
        <v>11.2.01.2071</v>
      </c>
      <c r="S554" s="15" t="str">
        <f>VLOOKUP(A554,sinap!$A$2:$Y$9000,20,FALSE)</f>
        <v>SI</v>
      </c>
    </row>
    <row r="555" spans="1:19" s="16" customFormat="1" hidden="1" x14ac:dyDescent="0.25">
      <c r="A555" s="15">
        <v>14718173</v>
      </c>
      <c r="B555" s="15"/>
      <c r="C555" s="15"/>
      <c r="E555" s="16">
        <v>44489</v>
      </c>
      <c r="F555" s="16">
        <v>44708</v>
      </c>
      <c r="G555" s="16">
        <v>45265</v>
      </c>
      <c r="J555" s="15" t="str">
        <f>VLOOKUP(A555,sinap!$A$2:$R$9000,2,FALSE)</f>
        <v>M</v>
      </c>
      <c r="K555" s="15" t="str">
        <f>VLOOKUP(A555,sinap!$A$2:$R$9000,3,FALSE)</f>
        <v>TORO</v>
      </c>
      <c r="L555" s="15" t="str">
        <f>VLOOKUP(A555,sinap!$A$2:$R$9000,4,FALSE)</f>
        <v>ANGUS ROJO</v>
      </c>
      <c r="M555" s="15" t="str">
        <f>VLOOKUP(A555,sinap!$A$2:$R$9000,5,FALSE)</f>
        <v>9 años 0 meses</v>
      </c>
      <c r="N555" s="15" t="str">
        <f>VLOOKUP(A555,sinap!$A$2:$R$9000,6,FALSE)</f>
        <v>30-12-2016</v>
      </c>
      <c r="O555" s="15" t="str">
        <f>VLOOKUP(A555,sinap!$A$2:$R$9000,7,FALSE)</f>
        <v>Vivo</v>
      </c>
      <c r="P555" s="15" t="str">
        <f>VLOOKUP(A555,sinap!$A$2:$R$9000,8,FALSE)</f>
        <v>11.1.01.0893</v>
      </c>
      <c r="Q555" s="15" t="str">
        <f>VLOOKUP(A555,sinap!$A$2:$R$9000,12,FALSE)</f>
        <v>11.2.01.2071</v>
      </c>
      <c r="R555" s="15" t="str">
        <f>VLOOKUP(A555,sinap!$A$2:$R$9000,16,FALSE)</f>
        <v>11.2.01.2071</v>
      </c>
      <c r="S555" s="15" t="str">
        <f>VLOOKUP(A555,sinap!$A$2:$Y$9000,20,FALSE)</f>
        <v>SI</v>
      </c>
    </row>
    <row r="556" spans="1:19" s="16" customFormat="1" hidden="1" x14ac:dyDescent="0.25">
      <c r="A556" s="15">
        <v>14718174</v>
      </c>
      <c r="B556" s="15"/>
      <c r="C556" s="15"/>
      <c r="G556" s="16">
        <v>45265</v>
      </c>
      <c r="J556" s="15" t="str">
        <f>VLOOKUP(A556,sinap!$A$2:$R$9000,2,FALSE)</f>
        <v>M</v>
      </c>
      <c r="K556" s="15" t="str">
        <f>VLOOKUP(A556,sinap!$A$2:$R$9000,3,FALSE)</f>
        <v>TORO</v>
      </c>
      <c r="L556" s="15" t="str">
        <f>VLOOKUP(A556,sinap!$A$2:$R$9000,4,FALSE)</f>
        <v>ANGUS NEGRO</v>
      </c>
      <c r="M556" s="15" t="str">
        <f>VLOOKUP(A556,sinap!$A$2:$R$9000,5,FALSE)</f>
        <v>9 años 0 meses</v>
      </c>
      <c r="N556" s="15" t="str">
        <f>VLOOKUP(A556,sinap!$A$2:$R$9000,6,FALSE)</f>
        <v>30-12-2016</v>
      </c>
      <c r="O556" s="15" t="str">
        <f>VLOOKUP(A556,sinap!$A$2:$R$9000,7,FALSE)</f>
        <v>Vivo</v>
      </c>
      <c r="P556" s="15" t="str">
        <f>VLOOKUP(A556,sinap!$A$2:$R$9000,8,FALSE)</f>
        <v>11.1.01.0893</v>
      </c>
      <c r="Q556" s="15" t="str">
        <f>VLOOKUP(A556,sinap!$A$2:$R$9000,12,FALSE)</f>
        <v>11.2.01.2071</v>
      </c>
      <c r="R556" s="15" t="str">
        <f>VLOOKUP(A556,sinap!$A$2:$R$9000,16,FALSE)</f>
        <v>11.2.01.2071</v>
      </c>
      <c r="S556" s="15" t="str">
        <f>VLOOKUP(A556,sinap!$A$2:$Y$9000,20,FALSE)</f>
        <v>SI</v>
      </c>
    </row>
    <row r="557" spans="1:19" s="16" customFormat="1" hidden="1" x14ac:dyDescent="0.25">
      <c r="A557" s="15">
        <v>14718175</v>
      </c>
      <c r="B557" s="15"/>
      <c r="C557" s="15"/>
      <c r="E557" s="16">
        <v>44489</v>
      </c>
      <c r="F557" s="16">
        <v>44708</v>
      </c>
      <c r="G557" s="16">
        <v>45265</v>
      </c>
      <c r="J557" s="15" t="str">
        <f>VLOOKUP(A557,sinap!$A$2:$R$9000,2,FALSE)</f>
        <v>M</v>
      </c>
      <c r="K557" s="15" t="str">
        <f>VLOOKUP(A557,sinap!$A$2:$R$9000,3,FALSE)</f>
        <v>TORO</v>
      </c>
      <c r="L557" s="15" t="str">
        <f>VLOOKUP(A557,sinap!$A$2:$R$9000,4,FALSE)</f>
        <v>ANGUS NEGRO</v>
      </c>
      <c r="M557" s="15" t="str">
        <f>VLOOKUP(A557,sinap!$A$2:$R$9000,5,FALSE)</f>
        <v>9 años 0 meses</v>
      </c>
      <c r="N557" s="15" t="str">
        <f>VLOOKUP(A557,sinap!$A$2:$R$9000,6,FALSE)</f>
        <v>30-12-2016</v>
      </c>
      <c r="O557" s="15" t="str">
        <f>VLOOKUP(A557,sinap!$A$2:$R$9000,7,FALSE)</f>
        <v>Vivo</v>
      </c>
      <c r="P557" s="15" t="str">
        <f>VLOOKUP(A557,sinap!$A$2:$R$9000,8,FALSE)</f>
        <v>11.1.01.0893</v>
      </c>
      <c r="Q557" s="15" t="str">
        <f>VLOOKUP(A557,sinap!$A$2:$R$9000,12,FALSE)</f>
        <v>11.2.01.2071</v>
      </c>
      <c r="R557" s="15" t="str">
        <f>VLOOKUP(A557,sinap!$A$2:$R$9000,16,FALSE)</f>
        <v>11.2.01.2071</v>
      </c>
      <c r="S557" s="15" t="str">
        <f>VLOOKUP(A557,sinap!$A$2:$Y$9000,20,FALSE)</f>
        <v>SI</v>
      </c>
    </row>
    <row r="558" spans="1:19" s="16" customFormat="1" hidden="1" x14ac:dyDescent="0.25">
      <c r="A558" s="15">
        <v>14718177</v>
      </c>
      <c r="B558" s="15"/>
      <c r="C558" s="15"/>
      <c r="E558" s="16">
        <v>44489</v>
      </c>
      <c r="F558" s="16">
        <v>44708</v>
      </c>
      <c r="G558" s="16">
        <v>45265</v>
      </c>
      <c r="J558" s="15" t="str">
        <f>VLOOKUP(A558,sinap!$A$2:$R$9000,2,FALSE)</f>
        <v>M</v>
      </c>
      <c r="K558" s="15" t="str">
        <f>VLOOKUP(A558,sinap!$A$2:$R$9000,3,FALSE)</f>
        <v>TORO</v>
      </c>
      <c r="L558" s="15" t="str">
        <f>VLOOKUP(A558,sinap!$A$2:$R$9000,4,FALSE)</f>
        <v>ANGUS ROJO</v>
      </c>
      <c r="M558" s="15" t="str">
        <f>VLOOKUP(A558,sinap!$A$2:$R$9000,5,FALSE)</f>
        <v>9 años 0 meses</v>
      </c>
      <c r="N558" s="15" t="str">
        <f>VLOOKUP(A558,sinap!$A$2:$R$9000,6,FALSE)</f>
        <v>20-12-2016</v>
      </c>
      <c r="O558" s="15" t="str">
        <f>VLOOKUP(A558,sinap!$A$2:$R$9000,7,FALSE)</f>
        <v>Vivo</v>
      </c>
      <c r="P558" s="15" t="str">
        <f>VLOOKUP(A558,sinap!$A$2:$R$9000,8,FALSE)</f>
        <v>11.1.01.0893</v>
      </c>
      <c r="Q558" s="15" t="str">
        <f>VLOOKUP(A558,sinap!$A$2:$R$9000,12,FALSE)</f>
        <v>Sin Movimiento</v>
      </c>
      <c r="R558" s="15" t="str">
        <f>VLOOKUP(A558,sinap!$A$2:$R$9000,16,FALSE)</f>
        <v>11.1.01.0893</v>
      </c>
      <c r="S558" s="15" t="str">
        <f>VLOOKUP(A558,sinap!$A$2:$Y$9000,20,FALSE)</f>
        <v>SI</v>
      </c>
    </row>
    <row r="559" spans="1:19" s="16" customFormat="1" hidden="1" x14ac:dyDescent="0.25">
      <c r="A559" s="15">
        <v>14718185</v>
      </c>
      <c r="B559" s="15"/>
      <c r="C559" s="15"/>
      <c r="G559" s="16">
        <v>45254</v>
      </c>
      <c r="H559" s="16">
        <v>45648</v>
      </c>
      <c r="I559" s="16">
        <v>45966</v>
      </c>
      <c r="J559" s="15" t="str">
        <f>VLOOKUP(A559,sinap!$A$2:$R$9000,2,FALSE)</f>
        <v>H</v>
      </c>
      <c r="K559" s="15" t="str">
        <f>VLOOKUP(A559,sinap!$A$2:$R$9000,3,FALSE)</f>
        <v>VACA</v>
      </c>
      <c r="L559" s="15" t="str">
        <f>VLOOKUP(A559,sinap!$A$2:$R$9000,4,FALSE)</f>
        <v>ANGUS NEGRO</v>
      </c>
      <c r="M559" s="15" t="str">
        <f>VLOOKUP(A559,sinap!$A$2:$R$9000,5,FALSE)</f>
        <v>8 años 3 meses</v>
      </c>
      <c r="N559" s="15" t="str">
        <f>VLOOKUP(A559,sinap!$A$2:$R$9000,6,FALSE)</f>
        <v>24-09-2017</v>
      </c>
      <c r="O559" s="15" t="str">
        <f>VLOOKUP(A559,sinap!$A$2:$R$9000,7,FALSE)</f>
        <v>Vivo</v>
      </c>
      <c r="P559" s="15" t="str">
        <f>VLOOKUP(A559,sinap!$A$2:$R$9000,8,FALSE)</f>
        <v>11.1.01.2442</v>
      </c>
      <c r="Q559" s="15" t="str">
        <f>VLOOKUP(A559,sinap!$A$2:$R$9000,12,FALSE)</f>
        <v>11.1.01.0190</v>
      </c>
      <c r="R559" s="15" t="str">
        <f>VLOOKUP(A559,sinap!$A$2:$R$9000,16,FALSE)</f>
        <v>11.1.01.0893</v>
      </c>
      <c r="S559" s="15" t="str">
        <f>VLOOKUP(A559,sinap!$A$2:$Y$9000,20,FALSE)</f>
        <v>SI</v>
      </c>
    </row>
    <row r="560" spans="1:19" s="16" customFormat="1" hidden="1" x14ac:dyDescent="0.25">
      <c r="A560" s="15">
        <v>14718186</v>
      </c>
      <c r="B560" s="15"/>
      <c r="C560" s="15"/>
      <c r="G560" s="16">
        <v>45254</v>
      </c>
      <c r="H560" s="16">
        <v>45648</v>
      </c>
      <c r="I560" s="16">
        <v>45671</v>
      </c>
      <c r="J560" s="15" t="str">
        <f>VLOOKUP(A560,sinap!$A$2:$R$9000,2,FALSE)</f>
        <v>H</v>
      </c>
      <c r="K560" s="15" t="str">
        <f>VLOOKUP(A560,sinap!$A$2:$R$9000,3,FALSE)</f>
        <v>VACA</v>
      </c>
      <c r="L560" s="15" t="str">
        <f>VLOOKUP(A560,sinap!$A$2:$R$9000,4,FALSE)</f>
        <v>ANGUS NEGRO</v>
      </c>
      <c r="M560" s="15" t="str">
        <f>VLOOKUP(A560,sinap!$A$2:$R$9000,5,FALSE)</f>
        <v>8 años 3 meses</v>
      </c>
      <c r="N560" s="15" t="str">
        <f>VLOOKUP(A560,sinap!$A$2:$R$9000,6,FALSE)</f>
        <v>25-09-2017</v>
      </c>
      <c r="O560" s="15" t="str">
        <f>VLOOKUP(A560,sinap!$A$2:$R$9000,7,FALSE)</f>
        <v>Vivo</v>
      </c>
      <c r="P560" s="15" t="str">
        <f>VLOOKUP(A560,sinap!$A$2:$R$9000,8,FALSE)</f>
        <v>11.1.01.1241</v>
      </c>
      <c r="Q560" s="15" t="str">
        <f>VLOOKUP(A560,sinap!$A$2:$R$9000,12,FALSE)</f>
        <v>11.2.01.0038</v>
      </c>
      <c r="R560" s="15" t="str">
        <f>VLOOKUP(A560,sinap!$A$2:$R$9000,16,FALSE)</f>
        <v>11.1.01.0893</v>
      </c>
      <c r="S560" s="15" t="str">
        <f>VLOOKUP(A560,sinap!$A$2:$Y$9000,20,FALSE)</f>
        <v>SI</v>
      </c>
    </row>
    <row r="561" spans="1:19" s="16" customFormat="1" hidden="1" x14ac:dyDescent="0.25">
      <c r="A561" s="15">
        <v>14718190</v>
      </c>
      <c r="B561" s="15"/>
      <c r="C561" s="15"/>
      <c r="G561" s="16">
        <v>45254</v>
      </c>
      <c r="J561" s="15" t="str">
        <f>VLOOKUP(A561,sinap!$A$2:$R$9000,2,FALSE)</f>
        <v>H</v>
      </c>
      <c r="K561" s="15" t="str">
        <f>VLOOKUP(A561,sinap!$A$2:$R$9000,3,FALSE)</f>
        <v>VACA</v>
      </c>
      <c r="L561" s="15" t="str">
        <f>VLOOKUP(A561,sinap!$A$2:$R$9000,4,FALSE)</f>
        <v>ANGUS NEGRO</v>
      </c>
      <c r="M561" s="15" t="str">
        <f>VLOOKUP(A561,sinap!$A$2:$R$9000,5,FALSE)</f>
        <v>8 años 3 meses</v>
      </c>
      <c r="N561" s="15" t="str">
        <f>VLOOKUP(A561,sinap!$A$2:$R$9000,6,FALSE)</f>
        <v>27-09-2017</v>
      </c>
      <c r="O561" s="15" t="str">
        <f>VLOOKUP(A561,sinap!$A$2:$R$9000,7,FALSE)</f>
        <v>Vivo</v>
      </c>
      <c r="P561" s="15" t="str">
        <f>VLOOKUP(A561,sinap!$A$2:$R$9000,8,FALSE)</f>
        <v>11.1.01.1241</v>
      </c>
      <c r="Q561" s="15" t="str">
        <f>VLOOKUP(A561,sinap!$A$2:$R$9000,12,FALSE)</f>
        <v>11.1.01.1022</v>
      </c>
      <c r="R561" s="15" t="str">
        <f>VLOOKUP(A561,sinap!$A$2:$R$9000,16,FALSE)</f>
        <v>11.1.01.0893</v>
      </c>
      <c r="S561" s="15" t="str">
        <f>VLOOKUP(A561,sinap!$A$2:$Y$9000,20,FALSE)</f>
        <v>SI</v>
      </c>
    </row>
    <row r="562" spans="1:19" s="16" customFormat="1" hidden="1" x14ac:dyDescent="0.25">
      <c r="A562" s="15">
        <v>14718193</v>
      </c>
      <c r="B562" s="15"/>
      <c r="C562" s="15"/>
      <c r="E562" s="16">
        <v>44397</v>
      </c>
      <c r="F562" s="16">
        <v>44908</v>
      </c>
      <c r="G562" s="16">
        <v>45264</v>
      </c>
      <c r="H562" s="16">
        <v>45297</v>
      </c>
      <c r="J562" s="15" t="str">
        <f>VLOOKUP(A562,sinap!$A$2:$R$9000,2,FALSE)</f>
        <v>H</v>
      </c>
      <c r="K562" s="15" t="str">
        <f>VLOOKUP(A562,sinap!$A$2:$R$9000,3,FALSE)</f>
        <v>VACA</v>
      </c>
      <c r="L562" s="15" t="str">
        <f>VLOOKUP(A562,sinap!$A$2:$R$9000,4,FALSE)</f>
        <v>ANGUS NEGRO</v>
      </c>
      <c r="M562" s="15" t="str">
        <f>VLOOKUP(A562,sinap!$A$2:$R$9000,5,FALSE)</f>
        <v>8 años 3 meses</v>
      </c>
      <c r="N562" s="15" t="str">
        <f>VLOOKUP(A562,sinap!$A$2:$R$9000,6,FALSE)</f>
        <v>28-09-2017</v>
      </c>
      <c r="O562" s="15" t="str">
        <f>VLOOKUP(A562,sinap!$A$2:$R$9000,7,FALSE)</f>
        <v>Vivo</v>
      </c>
      <c r="P562" s="15" t="str">
        <f>VLOOKUP(A562,sinap!$A$2:$R$9000,8,FALSE)</f>
        <v>11.1.01.0791</v>
      </c>
      <c r="Q562" s="15" t="str">
        <f>VLOOKUP(A562,sinap!$A$2:$R$9000,12,FALSE)</f>
        <v>11.1.01.0893</v>
      </c>
      <c r="R562" s="15" t="str">
        <f>VLOOKUP(A562,sinap!$A$2:$R$9000,16,FALSE)</f>
        <v>11.1.01.0893</v>
      </c>
      <c r="S562" s="15" t="str">
        <f>VLOOKUP(A562,sinap!$A$2:$Y$9000,20,FALSE)</f>
        <v>SI</v>
      </c>
    </row>
    <row r="563" spans="1:19" s="16" customFormat="1" hidden="1" x14ac:dyDescent="0.25">
      <c r="A563" s="15">
        <v>14718201</v>
      </c>
      <c r="B563" s="15"/>
      <c r="C563" s="15"/>
      <c r="J563" s="15" t="str">
        <f>VLOOKUP(A563,sinap!$A$2:$R$9000,2,FALSE)</f>
        <v>H</v>
      </c>
      <c r="K563" s="15" t="str">
        <f>VLOOKUP(A563,sinap!$A$2:$R$9000,3,FALSE)</f>
        <v>VACA</v>
      </c>
      <c r="L563" s="15" t="str">
        <f>VLOOKUP(A563,sinap!$A$2:$R$9000,4,FALSE)</f>
        <v>ANGUS ROJO</v>
      </c>
      <c r="M563" s="15" t="str">
        <f>VLOOKUP(A563,sinap!$A$2:$R$9000,5,FALSE)</f>
        <v>8 años 3 meses</v>
      </c>
      <c r="N563" s="15" t="str">
        <f>VLOOKUP(A563,sinap!$A$2:$R$9000,6,FALSE)</f>
        <v>30-09-2017</v>
      </c>
      <c r="O563" s="15" t="str">
        <f>VLOOKUP(A563,sinap!$A$2:$R$9000,7,FALSE)</f>
        <v>Vivo</v>
      </c>
      <c r="P563" s="15" t="str">
        <f>VLOOKUP(A563,sinap!$A$2:$R$9000,8,FALSE)</f>
        <v>11.1.01.1241</v>
      </c>
      <c r="Q563" s="15" t="str">
        <f>VLOOKUP(A563,sinap!$A$2:$R$9000,12,FALSE)</f>
        <v>11.1.01.1241</v>
      </c>
      <c r="R563" s="15" t="str">
        <f>VLOOKUP(A563,sinap!$A$2:$R$9000,16,FALSE)</f>
        <v>11.1.01.0893</v>
      </c>
      <c r="S563" s="15" t="str">
        <f>VLOOKUP(A563,sinap!$A$2:$Y$9000,20,FALSE)</f>
        <v>SI</v>
      </c>
    </row>
    <row r="564" spans="1:19" s="16" customFormat="1" hidden="1" x14ac:dyDescent="0.25">
      <c r="A564" s="15">
        <v>14718204</v>
      </c>
      <c r="B564" s="15"/>
      <c r="C564" s="15"/>
      <c r="J564" s="15" t="str">
        <f>VLOOKUP(A564,sinap!$A$2:$R$9000,2,FALSE)</f>
        <v>H</v>
      </c>
      <c r="K564" s="15" t="str">
        <f>VLOOKUP(A564,sinap!$A$2:$R$9000,3,FALSE)</f>
        <v>VACA</v>
      </c>
      <c r="L564" s="15" t="str">
        <f>VLOOKUP(A564,sinap!$A$2:$R$9000,4,FALSE)</f>
        <v>ANGUS NEGRO</v>
      </c>
      <c r="M564" s="15" t="str">
        <f>VLOOKUP(A564,sinap!$A$2:$R$9000,5,FALSE)</f>
        <v>8 años 3 meses</v>
      </c>
      <c r="N564" s="15" t="str">
        <f>VLOOKUP(A564,sinap!$A$2:$R$9000,6,FALSE)</f>
        <v>01-10-2017</v>
      </c>
      <c r="O564" s="15" t="str">
        <f>VLOOKUP(A564,sinap!$A$2:$R$9000,7,FALSE)</f>
        <v>Vivo</v>
      </c>
      <c r="P564" s="15" t="str">
        <f>VLOOKUP(A564,sinap!$A$2:$R$9000,8,FALSE)</f>
        <v>11.1.01.1241</v>
      </c>
      <c r="Q564" s="15" t="str">
        <f>VLOOKUP(A564,sinap!$A$2:$R$9000,12,FALSE)</f>
        <v>11.1.01.1022</v>
      </c>
      <c r="R564" s="15" t="str">
        <f>VLOOKUP(A564,sinap!$A$2:$R$9000,16,FALSE)</f>
        <v>11.1.01.0893</v>
      </c>
      <c r="S564" s="15" t="str">
        <f>VLOOKUP(A564,sinap!$A$2:$Y$9000,20,FALSE)</f>
        <v>SI</v>
      </c>
    </row>
    <row r="565" spans="1:19" s="16" customFormat="1" hidden="1" x14ac:dyDescent="0.25">
      <c r="A565" s="15">
        <v>14718209</v>
      </c>
      <c r="B565" s="15"/>
      <c r="C565" s="15"/>
      <c r="E565" s="16">
        <v>44489</v>
      </c>
      <c r="F565" s="16">
        <v>44708</v>
      </c>
      <c r="G565" s="16">
        <v>45265</v>
      </c>
      <c r="J565" s="15" t="str">
        <f>VLOOKUP(A565,sinap!$A$2:$R$9000,2,FALSE)</f>
        <v>H</v>
      </c>
      <c r="K565" s="15" t="str">
        <f>VLOOKUP(A565,sinap!$A$2:$R$9000,3,FALSE)</f>
        <v>VACA</v>
      </c>
      <c r="L565" s="15" t="str">
        <f>VLOOKUP(A565,sinap!$A$2:$R$9000,4,FALSE)</f>
        <v>ANGUS NEGRO</v>
      </c>
      <c r="M565" s="15" t="str">
        <f>VLOOKUP(A565,sinap!$A$2:$R$9000,5,FALSE)</f>
        <v>8 años 3 meses</v>
      </c>
      <c r="N565" s="15" t="str">
        <f>VLOOKUP(A565,sinap!$A$2:$R$9000,6,FALSE)</f>
        <v>03-10-2017</v>
      </c>
      <c r="O565" s="15" t="str">
        <f>VLOOKUP(A565,sinap!$A$2:$R$9000,7,FALSE)</f>
        <v>Vivo</v>
      </c>
      <c r="P565" s="15" t="str">
        <f>VLOOKUP(A565,sinap!$A$2:$R$9000,8,FALSE)</f>
        <v>11.2.01.0038</v>
      </c>
      <c r="Q565" s="15" t="str">
        <f>VLOOKUP(A565,sinap!$A$2:$R$9000,12,FALSE)</f>
        <v>11.1.01.0893</v>
      </c>
      <c r="R565" s="15" t="str">
        <f>VLOOKUP(A565,sinap!$A$2:$R$9000,16,FALSE)</f>
        <v>11.1.01.0893</v>
      </c>
      <c r="S565" s="15" t="str">
        <f>VLOOKUP(A565,sinap!$A$2:$Y$9000,20,FALSE)</f>
        <v>SI</v>
      </c>
    </row>
    <row r="566" spans="1:19" s="16" customFormat="1" x14ac:dyDescent="0.25">
      <c r="A566" s="15">
        <v>14718218</v>
      </c>
      <c r="B566" s="15"/>
      <c r="C566" s="15"/>
      <c r="D566" s="16">
        <v>44144</v>
      </c>
      <c r="F566" s="16">
        <v>44912</v>
      </c>
      <c r="G566" s="16">
        <v>45253</v>
      </c>
      <c r="J566" s="15" t="str">
        <f>VLOOKUP(A566,sinap!$A$2:$R$9000,2,FALSE)</f>
        <v>H</v>
      </c>
      <c r="K566" s="15" t="str">
        <f>VLOOKUP(A566,sinap!$A$2:$R$9000,3,FALSE)</f>
        <v>VACA</v>
      </c>
      <c r="L566" s="15" t="str">
        <f>VLOOKUP(A566,sinap!$A$2:$R$9000,4,FALSE)</f>
        <v>ANGUS NEGRO</v>
      </c>
      <c r="M566" s="15" t="str">
        <f>VLOOKUP(A566,sinap!$A$2:$R$9000,5,FALSE)</f>
        <v>8 años 3 meses</v>
      </c>
      <c r="N566" s="15" t="str">
        <f>VLOOKUP(A566,sinap!$A$2:$R$9000,6,FALSE)</f>
        <v>07-10-2017</v>
      </c>
      <c r="O566" s="15" t="str">
        <f>VLOOKUP(A566,sinap!$A$2:$R$9000,7,FALSE)</f>
        <v>Vivo</v>
      </c>
      <c r="P566" s="15" t="str">
        <f>VLOOKUP(A566,sinap!$A$2:$R$9000,8,FALSE)</f>
        <v>11.1.01.1240</v>
      </c>
      <c r="Q566" s="15" t="str">
        <f>VLOOKUP(A566,sinap!$A$2:$R$9000,12,FALSE)</f>
        <v>11.1.02.0004</v>
      </c>
      <c r="R566" s="15" t="str">
        <f>VLOOKUP(A566,sinap!$A$2:$R$9000,16,FALSE)</f>
        <v>11.1.01.0893</v>
      </c>
      <c r="S566" s="15" t="str">
        <f>VLOOKUP(A566,sinap!$A$2:$Y$9000,20,FALSE)</f>
        <v>SI</v>
      </c>
    </row>
    <row r="567" spans="1:19" s="16" customFormat="1" hidden="1" x14ac:dyDescent="0.25">
      <c r="A567" s="15">
        <v>14718221</v>
      </c>
      <c r="B567" s="15"/>
      <c r="C567" s="15"/>
      <c r="E567" s="16">
        <v>44491</v>
      </c>
      <c r="F567" s="16">
        <v>44708</v>
      </c>
      <c r="G567" s="16">
        <v>45253</v>
      </c>
      <c r="I567" s="16">
        <v>45965</v>
      </c>
      <c r="J567" s="15" t="str">
        <f>VLOOKUP(A567,sinap!$A$2:$R$9000,2,FALSE)</f>
        <v>H</v>
      </c>
      <c r="K567" s="15" t="str">
        <f>VLOOKUP(A567,sinap!$A$2:$R$9000,3,FALSE)</f>
        <v>VACA</v>
      </c>
      <c r="L567" s="15" t="str">
        <f>VLOOKUP(A567,sinap!$A$2:$R$9000,4,FALSE)</f>
        <v>ANGUS NEGRO</v>
      </c>
      <c r="M567" s="15" t="str">
        <f>VLOOKUP(A567,sinap!$A$2:$R$9000,5,FALSE)</f>
        <v>8 años 3 meses</v>
      </c>
      <c r="N567" s="15" t="str">
        <f>VLOOKUP(A567,sinap!$A$2:$R$9000,6,FALSE)</f>
        <v>08-10-2017</v>
      </c>
      <c r="O567" s="15" t="str">
        <f>VLOOKUP(A567,sinap!$A$2:$R$9000,7,FALSE)</f>
        <v>Vivo</v>
      </c>
      <c r="P567" s="15" t="str">
        <f>VLOOKUP(A567,sinap!$A$2:$R$9000,8,FALSE)</f>
        <v>11.1.01.2442</v>
      </c>
      <c r="Q567" s="15" t="str">
        <f>VLOOKUP(A567,sinap!$A$2:$R$9000,12,FALSE)</f>
        <v>11.1.01.0190</v>
      </c>
      <c r="R567" s="15" t="str">
        <f>VLOOKUP(A567,sinap!$A$2:$R$9000,16,FALSE)</f>
        <v>11.1.01.0893</v>
      </c>
      <c r="S567" s="15" t="str">
        <f>VLOOKUP(A567,sinap!$A$2:$Y$9000,20,FALSE)</f>
        <v>SI</v>
      </c>
    </row>
    <row r="568" spans="1:19" s="16" customFormat="1" hidden="1" x14ac:dyDescent="0.25">
      <c r="A568" s="15">
        <v>14718223</v>
      </c>
      <c r="B568" s="15"/>
      <c r="C568" s="15"/>
      <c r="E568" s="16">
        <v>44489</v>
      </c>
      <c r="F568" s="16">
        <v>44708</v>
      </c>
      <c r="G568" s="16">
        <v>45265</v>
      </c>
      <c r="H568" s="16">
        <v>45432</v>
      </c>
      <c r="J568" s="15" t="str">
        <f>VLOOKUP(A568,sinap!$A$2:$R$9000,2,FALSE)</f>
        <v>H</v>
      </c>
      <c r="K568" s="15" t="str">
        <f>VLOOKUP(A568,sinap!$A$2:$R$9000,3,FALSE)</f>
        <v>VACA</v>
      </c>
      <c r="L568" s="15" t="str">
        <f>VLOOKUP(A568,sinap!$A$2:$R$9000,4,FALSE)</f>
        <v>ANGUS NEGRO</v>
      </c>
      <c r="M568" s="15" t="str">
        <f>VLOOKUP(A568,sinap!$A$2:$R$9000,5,FALSE)</f>
        <v>8 años 3 meses</v>
      </c>
      <c r="N568" s="15" t="str">
        <f>VLOOKUP(A568,sinap!$A$2:$R$9000,6,FALSE)</f>
        <v>12-10-2017</v>
      </c>
      <c r="O568" s="15" t="str">
        <f>VLOOKUP(A568,sinap!$A$2:$R$9000,7,FALSE)</f>
        <v>Vivo</v>
      </c>
      <c r="P568" s="15" t="str">
        <f>VLOOKUP(A568,sinap!$A$2:$R$9000,8,FALSE)</f>
        <v>11.1.01.2442</v>
      </c>
      <c r="Q568" s="15" t="str">
        <f>VLOOKUP(A568,sinap!$A$2:$R$9000,12,FALSE)</f>
        <v>11.1.01.0190</v>
      </c>
      <c r="R568" s="15" t="str">
        <f>VLOOKUP(A568,sinap!$A$2:$R$9000,16,FALSE)</f>
        <v>11.1.01.0893</v>
      </c>
      <c r="S568" s="15" t="str">
        <f>VLOOKUP(A568,sinap!$A$2:$Y$9000,20,FALSE)</f>
        <v>SI</v>
      </c>
    </row>
    <row r="569" spans="1:19" s="16" customFormat="1" hidden="1" x14ac:dyDescent="0.25">
      <c r="A569" s="15">
        <v>14718226</v>
      </c>
      <c r="B569" s="15"/>
      <c r="C569" s="15"/>
      <c r="E569" s="16">
        <v>44489</v>
      </c>
      <c r="F569" s="16">
        <v>44908</v>
      </c>
      <c r="G569" s="16">
        <v>45265</v>
      </c>
      <c r="J569" s="15" t="str">
        <f>VLOOKUP(A569,sinap!$A$2:$R$9000,2,FALSE)</f>
        <v>H</v>
      </c>
      <c r="K569" s="15" t="str">
        <f>VLOOKUP(A569,sinap!$A$2:$R$9000,3,FALSE)</f>
        <v>VACA</v>
      </c>
      <c r="L569" s="15" t="str">
        <f>VLOOKUP(A569,sinap!$A$2:$R$9000,4,FALSE)</f>
        <v>ANGUS ROJO</v>
      </c>
      <c r="M569" s="15" t="str">
        <f>VLOOKUP(A569,sinap!$A$2:$R$9000,5,FALSE)</f>
        <v>8 años 3 meses</v>
      </c>
      <c r="N569" s="15" t="str">
        <f>VLOOKUP(A569,sinap!$A$2:$R$9000,6,FALSE)</f>
        <v>15-10-2017</v>
      </c>
      <c r="O569" s="15" t="str">
        <f>VLOOKUP(A569,sinap!$A$2:$R$9000,7,FALSE)</f>
        <v>Vivo</v>
      </c>
      <c r="P569" s="15" t="str">
        <f>VLOOKUP(A569,sinap!$A$2:$R$9000,8,FALSE)</f>
        <v>11.1.01.2304</v>
      </c>
      <c r="Q569" s="15" t="str">
        <f>VLOOKUP(A569,sinap!$A$2:$R$9000,12,FALSE)</f>
        <v>11.1.01.0941</v>
      </c>
      <c r="R569" s="15" t="str">
        <f>VLOOKUP(A569,sinap!$A$2:$R$9000,16,FALSE)</f>
        <v>11.1.01.0893</v>
      </c>
      <c r="S569" s="15" t="str">
        <f>VLOOKUP(A569,sinap!$A$2:$Y$9000,20,FALSE)</f>
        <v>SI</v>
      </c>
    </row>
    <row r="570" spans="1:19" s="16" customFormat="1" hidden="1" x14ac:dyDescent="0.25">
      <c r="A570" s="15">
        <v>14718228</v>
      </c>
      <c r="B570" s="15"/>
      <c r="C570" s="15"/>
      <c r="E570" s="16">
        <v>44489</v>
      </c>
      <c r="F570" s="16">
        <v>44708</v>
      </c>
      <c r="G570" s="16">
        <v>45253</v>
      </c>
      <c r="J570" s="15" t="str">
        <f>VLOOKUP(A570,sinap!$A$2:$R$9000,2,FALSE)</f>
        <v>H</v>
      </c>
      <c r="K570" s="15" t="str">
        <f>VLOOKUP(A570,sinap!$A$2:$R$9000,3,FALSE)</f>
        <v>VACA</v>
      </c>
      <c r="L570" s="15" t="str">
        <f>VLOOKUP(A570,sinap!$A$2:$R$9000,4,FALSE)</f>
        <v>ANGUS NEGRO</v>
      </c>
      <c r="M570" s="15" t="str">
        <f>VLOOKUP(A570,sinap!$A$2:$R$9000,5,FALSE)</f>
        <v>8 años 3 meses</v>
      </c>
      <c r="N570" s="15" t="str">
        <f>VLOOKUP(A570,sinap!$A$2:$R$9000,6,FALSE)</f>
        <v>16-10-2017</v>
      </c>
      <c r="O570" s="15" t="str">
        <f>VLOOKUP(A570,sinap!$A$2:$R$9000,7,FALSE)</f>
        <v>Vivo</v>
      </c>
      <c r="P570" s="15" t="str">
        <f>VLOOKUP(A570,sinap!$A$2:$R$9000,8,FALSE)</f>
        <v>11.1.01.1241</v>
      </c>
      <c r="Q570" s="15" t="str">
        <f>VLOOKUP(A570,sinap!$A$2:$R$9000,12,FALSE)</f>
        <v>11.2.01.0038</v>
      </c>
      <c r="R570" s="15" t="str">
        <f>VLOOKUP(A570,sinap!$A$2:$R$9000,16,FALSE)</f>
        <v>11.1.01.0893</v>
      </c>
      <c r="S570" s="15" t="str">
        <f>VLOOKUP(A570,sinap!$A$2:$Y$9000,20,FALSE)</f>
        <v>SI</v>
      </c>
    </row>
    <row r="571" spans="1:19" s="16" customFormat="1" hidden="1" x14ac:dyDescent="0.25">
      <c r="A571" s="15">
        <v>14718231</v>
      </c>
      <c r="B571" s="15"/>
      <c r="C571" s="15"/>
      <c r="G571" s="16">
        <v>45265</v>
      </c>
      <c r="H571" s="16">
        <v>45648</v>
      </c>
      <c r="I571" s="16">
        <v>45671</v>
      </c>
      <c r="J571" s="15" t="str">
        <f>VLOOKUP(A571,sinap!$A$2:$R$9000,2,FALSE)</f>
        <v>H</v>
      </c>
      <c r="K571" s="15" t="str">
        <f>VLOOKUP(A571,sinap!$A$2:$R$9000,3,FALSE)</f>
        <v>VACA</v>
      </c>
      <c r="L571" s="15" t="str">
        <f>VLOOKUP(A571,sinap!$A$2:$R$9000,4,FALSE)</f>
        <v>ANGUS ROJO</v>
      </c>
      <c r="M571" s="15" t="str">
        <f>VLOOKUP(A571,sinap!$A$2:$R$9000,5,FALSE)</f>
        <v>8 años 2 meses</v>
      </c>
      <c r="N571" s="15" t="str">
        <f>VLOOKUP(A571,sinap!$A$2:$R$9000,6,FALSE)</f>
        <v>17-10-2017</v>
      </c>
      <c r="O571" s="15" t="str">
        <f>VLOOKUP(A571,sinap!$A$2:$R$9000,7,FALSE)</f>
        <v>Vivo</v>
      </c>
      <c r="P571" s="15" t="str">
        <f>VLOOKUP(A571,sinap!$A$2:$R$9000,8,FALSE)</f>
        <v>11.1.01.1241</v>
      </c>
      <c r="Q571" s="15" t="str">
        <f>VLOOKUP(A571,sinap!$A$2:$R$9000,12,FALSE)</f>
        <v>11.2.01.0038</v>
      </c>
      <c r="R571" s="15" t="str">
        <f>VLOOKUP(A571,sinap!$A$2:$R$9000,16,FALSE)</f>
        <v>11.1.01.0893</v>
      </c>
      <c r="S571" s="15" t="str">
        <f>VLOOKUP(A571,sinap!$A$2:$Y$9000,20,FALSE)</f>
        <v>SI</v>
      </c>
    </row>
    <row r="572" spans="1:19" s="16" customFormat="1" hidden="1" x14ac:dyDescent="0.25">
      <c r="A572" s="15">
        <v>14718237</v>
      </c>
      <c r="B572" s="15"/>
      <c r="C572" s="15"/>
      <c r="G572" s="16">
        <v>45253</v>
      </c>
      <c r="H572" s="16">
        <v>45648</v>
      </c>
      <c r="I572" s="16">
        <v>45965</v>
      </c>
      <c r="J572" s="15" t="str">
        <f>VLOOKUP(A572,sinap!$A$2:$R$9000,2,FALSE)</f>
        <v>H</v>
      </c>
      <c r="K572" s="15" t="str">
        <f>VLOOKUP(A572,sinap!$A$2:$R$9000,3,FALSE)</f>
        <v>VACA</v>
      </c>
      <c r="L572" s="15" t="str">
        <f>VLOOKUP(A572,sinap!$A$2:$R$9000,4,FALSE)</f>
        <v>ANGUS NEGRO</v>
      </c>
      <c r="M572" s="15" t="str">
        <f>VLOOKUP(A572,sinap!$A$2:$R$9000,5,FALSE)</f>
        <v>8 años 2 meses</v>
      </c>
      <c r="N572" s="15" t="str">
        <f>VLOOKUP(A572,sinap!$A$2:$R$9000,6,FALSE)</f>
        <v>23-10-2017</v>
      </c>
      <c r="O572" s="15" t="str">
        <f>VLOOKUP(A572,sinap!$A$2:$R$9000,7,FALSE)</f>
        <v>Vivo</v>
      </c>
      <c r="P572" s="15" t="str">
        <f>VLOOKUP(A572,sinap!$A$2:$R$9000,8,FALSE)</f>
        <v>11.1.01.2442</v>
      </c>
      <c r="Q572" s="15" t="str">
        <f>VLOOKUP(A572,sinap!$A$2:$R$9000,12,FALSE)</f>
        <v>11.1.01.0190</v>
      </c>
      <c r="R572" s="15" t="str">
        <f>VLOOKUP(A572,sinap!$A$2:$R$9000,16,FALSE)</f>
        <v>11.1.01.0893</v>
      </c>
      <c r="S572" s="15" t="str">
        <f>VLOOKUP(A572,sinap!$A$2:$Y$9000,20,FALSE)</f>
        <v>SI</v>
      </c>
    </row>
    <row r="573" spans="1:19" s="16" customFormat="1" hidden="1" x14ac:dyDescent="0.25">
      <c r="A573" s="15">
        <v>14718242</v>
      </c>
      <c r="B573" s="15"/>
      <c r="C573" s="15"/>
      <c r="G573" s="16">
        <v>45265</v>
      </c>
      <c r="H573" s="16">
        <v>45648</v>
      </c>
      <c r="I573" s="16">
        <v>45671</v>
      </c>
      <c r="J573" s="15" t="str">
        <f>VLOOKUP(A573,sinap!$A$2:$R$9000,2,FALSE)</f>
        <v>H</v>
      </c>
      <c r="K573" s="15" t="str">
        <f>VLOOKUP(A573,sinap!$A$2:$R$9000,3,FALSE)</f>
        <v>VACA</v>
      </c>
      <c r="L573" s="15" t="str">
        <f>VLOOKUP(A573,sinap!$A$2:$R$9000,4,FALSE)</f>
        <v>ANGUS NEGRO</v>
      </c>
      <c r="M573" s="15" t="str">
        <f>VLOOKUP(A573,sinap!$A$2:$R$9000,5,FALSE)</f>
        <v>8 años 2 meses</v>
      </c>
      <c r="N573" s="15" t="str">
        <f>VLOOKUP(A573,sinap!$A$2:$R$9000,6,FALSE)</f>
        <v>28-10-2017</v>
      </c>
      <c r="O573" s="15" t="str">
        <f>VLOOKUP(A573,sinap!$A$2:$R$9000,7,FALSE)</f>
        <v>Vivo</v>
      </c>
      <c r="P573" s="15" t="str">
        <f>VLOOKUP(A573,sinap!$A$2:$R$9000,8,FALSE)</f>
        <v>11.1.01.1241</v>
      </c>
      <c r="Q573" s="15" t="str">
        <f>VLOOKUP(A573,sinap!$A$2:$R$9000,12,FALSE)</f>
        <v>11.2.01.0038</v>
      </c>
      <c r="R573" s="15" t="str">
        <f>VLOOKUP(A573,sinap!$A$2:$R$9000,16,FALSE)</f>
        <v>11.1.01.0893</v>
      </c>
      <c r="S573" s="15" t="str">
        <f>VLOOKUP(A573,sinap!$A$2:$Y$9000,20,FALSE)</f>
        <v>SI</v>
      </c>
    </row>
    <row r="574" spans="1:19" s="16" customFormat="1" hidden="1" x14ac:dyDescent="0.25">
      <c r="A574" s="15">
        <v>14718247</v>
      </c>
      <c r="B574" s="15"/>
      <c r="C574" s="15"/>
      <c r="G574" s="16">
        <v>45253</v>
      </c>
      <c r="H574" s="16">
        <v>45648</v>
      </c>
      <c r="I574" s="16">
        <v>45966</v>
      </c>
      <c r="J574" s="15" t="str">
        <f>VLOOKUP(A574,sinap!$A$2:$R$9000,2,FALSE)</f>
        <v>H</v>
      </c>
      <c r="K574" s="15" t="str">
        <f>VLOOKUP(A574,sinap!$A$2:$R$9000,3,FALSE)</f>
        <v>VACA</v>
      </c>
      <c r="L574" s="15" t="str">
        <f>VLOOKUP(A574,sinap!$A$2:$R$9000,4,FALSE)</f>
        <v>ANGUS ROJO</v>
      </c>
      <c r="M574" s="15" t="str">
        <f>VLOOKUP(A574,sinap!$A$2:$R$9000,5,FALSE)</f>
        <v>8 años 2 meses</v>
      </c>
      <c r="N574" s="15" t="str">
        <f>VLOOKUP(A574,sinap!$A$2:$R$9000,6,FALSE)</f>
        <v>06-11-2017</v>
      </c>
      <c r="O574" s="15" t="str">
        <f>VLOOKUP(A574,sinap!$A$2:$R$9000,7,FALSE)</f>
        <v>Vivo</v>
      </c>
      <c r="P574" s="15" t="str">
        <f>VLOOKUP(A574,sinap!$A$2:$R$9000,8,FALSE)</f>
        <v>11.1.01.0941</v>
      </c>
      <c r="Q574" s="15" t="str">
        <f>VLOOKUP(A574,sinap!$A$2:$R$9000,12,FALSE)</f>
        <v>11.1.01.1241</v>
      </c>
      <c r="R574" s="15" t="str">
        <f>VLOOKUP(A574,sinap!$A$2:$R$9000,16,FALSE)</f>
        <v>11.1.01.0893</v>
      </c>
      <c r="S574" s="15" t="str">
        <f>VLOOKUP(A574,sinap!$A$2:$Y$9000,20,FALSE)</f>
        <v>SI</v>
      </c>
    </row>
    <row r="575" spans="1:19" s="16" customFormat="1" hidden="1" x14ac:dyDescent="0.25">
      <c r="A575" s="15">
        <v>14718249</v>
      </c>
      <c r="B575" s="15"/>
      <c r="C575" s="15"/>
      <c r="G575" s="16">
        <v>45265</v>
      </c>
      <c r="J575" s="15" t="str">
        <f>VLOOKUP(A575,sinap!$A$2:$R$9000,2,FALSE)</f>
        <v>H</v>
      </c>
      <c r="K575" s="15" t="str">
        <f>VLOOKUP(A575,sinap!$A$2:$R$9000,3,FALSE)</f>
        <v>VACA</v>
      </c>
      <c r="L575" s="15" t="str">
        <f>VLOOKUP(A575,sinap!$A$2:$R$9000,4,FALSE)</f>
        <v>ANGUS NEGRO</v>
      </c>
      <c r="M575" s="15" t="str">
        <f>VLOOKUP(A575,sinap!$A$2:$R$9000,5,FALSE)</f>
        <v>8 años 2 meses</v>
      </c>
      <c r="N575" s="15" t="str">
        <f>VLOOKUP(A575,sinap!$A$2:$R$9000,6,FALSE)</f>
        <v>14-11-2017</v>
      </c>
      <c r="O575" s="15" t="str">
        <f>VLOOKUP(A575,sinap!$A$2:$R$9000,7,FALSE)</f>
        <v>Vivo</v>
      </c>
      <c r="P575" s="15" t="str">
        <f>VLOOKUP(A575,sinap!$A$2:$R$9000,8,FALSE)</f>
        <v>11.1.01.1241</v>
      </c>
      <c r="Q575" s="15" t="str">
        <f>VLOOKUP(A575,sinap!$A$2:$R$9000,12,FALSE)</f>
        <v>11.1.01.1022</v>
      </c>
      <c r="R575" s="15" t="str">
        <f>VLOOKUP(A575,sinap!$A$2:$R$9000,16,FALSE)</f>
        <v>11.1.01.0893</v>
      </c>
      <c r="S575" s="15" t="str">
        <f>VLOOKUP(A575,sinap!$A$2:$Y$9000,20,FALSE)</f>
        <v>SI</v>
      </c>
    </row>
    <row r="576" spans="1:19" s="16" customFormat="1" hidden="1" x14ac:dyDescent="0.25">
      <c r="A576" s="15">
        <v>14718267</v>
      </c>
      <c r="B576" s="15"/>
      <c r="C576" s="15"/>
      <c r="G576" s="16">
        <v>45265</v>
      </c>
      <c r="J576" s="15" t="str">
        <f>VLOOKUP(A576,sinap!$A$2:$R$9000,2,FALSE)</f>
        <v>H</v>
      </c>
      <c r="K576" s="15" t="str">
        <f>VLOOKUP(A576,sinap!$A$2:$R$9000,3,FALSE)</f>
        <v>VACA</v>
      </c>
      <c r="L576" s="15" t="str">
        <f>VLOOKUP(A576,sinap!$A$2:$R$9000,4,FALSE)</f>
        <v>ANGUS NEGRO</v>
      </c>
      <c r="M576" s="15" t="str">
        <f>VLOOKUP(A576,sinap!$A$2:$R$9000,5,FALSE)</f>
        <v>9 años 3 meses</v>
      </c>
      <c r="N576" s="15" t="str">
        <f>VLOOKUP(A576,sinap!$A$2:$R$9000,6,FALSE)</f>
        <v>10-10-2016</v>
      </c>
      <c r="O576" s="15" t="str">
        <f>VLOOKUP(A576,sinap!$A$2:$R$9000,7,FALSE)</f>
        <v>Vivo</v>
      </c>
      <c r="P576" s="15" t="str">
        <f>VLOOKUP(A576,sinap!$A$2:$R$9000,8,FALSE)</f>
        <v>11.1.01.1241</v>
      </c>
      <c r="Q576" s="15" t="str">
        <f>VLOOKUP(A576,sinap!$A$2:$R$9000,12,FALSE)</f>
        <v>Sin Movimiento</v>
      </c>
      <c r="R576" s="15" t="str">
        <f>VLOOKUP(A576,sinap!$A$2:$R$9000,16,FALSE)</f>
        <v>11.1.01.1241</v>
      </c>
      <c r="S576" s="15" t="str">
        <f>VLOOKUP(A576,sinap!$A$2:$Y$9000,20,FALSE)</f>
        <v>SI</v>
      </c>
    </row>
    <row r="577" spans="1:19" s="16" customFormat="1" hidden="1" x14ac:dyDescent="0.25">
      <c r="A577" s="15">
        <v>14718276</v>
      </c>
      <c r="B577" s="15"/>
      <c r="C577" s="15"/>
      <c r="G577" s="16">
        <v>45253</v>
      </c>
      <c r="H577" s="16">
        <v>45430</v>
      </c>
      <c r="J577" s="15" t="str">
        <f>VLOOKUP(A577,sinap!$A$2:$R$9000,2,FALSE)</f>
        <v>H</v>
      </c>
      <c r="K577" s="15" t="str">
        <f>VLOOKUP(A577,sinap!$A$2:$R$9000,3,FALSE)</f>
        <v>VACA</v>
      </c>
      <c r="L577" s="15" t="str">
        <f>VLOOKUP(A577,sinap!$A$2:$R$9000,4,FALSE)</f>
        <v>ANGUS NEGRO</v>
      </c>
      <c r="M577" s="15" t="str">
        <f>VLOOKUP(A577,sinap!$A$2:$R$9000,5,FALSE)</f>
        <v>9 años 3 meses</v>
      </c>
      <c r="N577" s="15" t="str">
        <f>VLOOKUP(A577,sinap!$A$2:$R$9000,6,FALSE)</f>
        <v>10-10-2016</v>
      </c>
      <c r="O577" s="15" t="str">
        <f>VLOOKUP(A577,sinap!$A$2:$R$9000,7,FALSE)</f>
        <v>Vivo</v>
      </c>
      <c r="P577" s="15" t="str">
        <f>VLOOKUP(A577,sinap!$A$2:$R$9000,8,FALSE)</f>
        <v>11.1.01.2442</v>
      </c>
      <c r="Q577" s="15" t="str">
        <f>VLOOKUP(A577,sinap!$A$2:$R$9000,12,FALSE)</f>
        <v>11.1.01.0190</v>
      </c>
      <c r="R577" s="15" t="str">
        <f>VLOOKUP(A577,sinap!$A$2:$R$9000,16,FALSE)</f>
        <v>11.1.01.1241</v>
      </c>
      <c r="S577" s="15" t="str">
        <f>VLOOKUP(A577,sinap!$A$2:$Y$9000,20,FALSE)</f>
        <v>SI</v>
      </c>
    </row>
    <row r="578" spans="1:19" s="16" customFormat="1" hidden="1" x14ac:dyDescent="0.25">
      <c r="A578" s="15">
        <v>14718282</v>
      </c>
      <c r="B578" s="15">
        <v>2636125</v>
      </c>
      <c r="C578" s="15"/>
      <c r="G578" s="16">
        <v>45253</v>
      </c>
      <c r="J578" s="15" t="str">
        <f>VLOOKUP(A578,sinap!$A$2:$R$9000,2,FALSE)</f>
        <v>M</v>
      </c>
      <c r="K578" s="15" t="str">
        <f>VLOOKUP(A578,sinap!$A$2:$R$9000,3,FALSE)</f>
        <v>BUEY</v>
      </c>
      <c r="L578" s="15" t="str">
        <f>VLOOKUP(A578,sinap!$A$2:$R$9000,4,FALSE)</f>
        <v>ANGUS NEGRO</v>
      </c>
      <c r="M578" s="15" t="str">
        <f>VLOOKUP(A578,sinap!$A$2:$R$9000,5,FALSE)</f>
        <v>12 años 3 meses</v>
      </c>
      <c r="N578" s="15" t="str">
        <f>VLOOKUP(A578,sinap!$A$2:$R$9000,6,FALSE)</f>
        <v>10-10-2013</v>
      </c>
      <c r="O578" s="15" t="str">
        <f>VLOOKUP(A578,sinap!$A$2:$R$9000,7,FALSE)</f>
        <v>Vivo</v>
      </c>
      <c r="P578" s="15" t="str">
        <f>VLOOKUP(A578,sinap!$A$2:$R$9000,8,FALSE)</f>
        <v>11.1.01.1241</v>
      </c>
      <c r="Q578" s="15" t="str">
        <f>VLOOKUP(A578,sinap!$A$2:$R$9000,12,FALSE)</f>
        <v>Sin Movimiento</v>
      </c>
      <c r="R578" s="15" t="str">
        <f>VLOOKUP(A578,sinap!$A$2:$R$9000,16,FALSE)</f>
        <v>11.1.01.1241</v>
      </c>
      <c r="S578" s="15" t="str">
        <f>VLOOKUP(A578,sinap!$A$2:$Y$9000,20,FALSE)</f>
        <v>NO</v>
      </c>
    </row>
    <row r="579" spans="1:19" s="16" customFormat="1" hidden="1" x14ac:dyDescent="0.25">
      <c r="A579" s="15">
        <v>14718285</v>
      </c>
      <c r="B579" s="15">
        <v>2636141</v>
      </c>
      <c r="C579" s="15"/>
      <c r="G579" s="16">
        <v>45253</v>
      </c>
      <c r="H579" s="16">
        <v>45574</v>
      </c>
      <c r="J579" s="15" t="str">
        <f>VLOOKUP(A579,sinap!$A$2:$R$9000,2,FALSE)</f>
        <v>M</v>
      </c>
      <c r="K579" s="15" t="str">
        <f>VLOOKUP(A579,sinap!$A$2:$R$9000,3,FALSE)</f>
        <v>BUEY</v>
      </c>
      <c r="L579" s="15" t="str">
        <f>VLOOKUP(A579,sinap!$A$2:$R$9000,4,FALSE)</f>
        <v>ANGUS NEGRO</v>
      </c>
      <c r="M579" s="15" t="str">
        <f>VLOOKUP(A579,sinap!$A$2:$R$9000,5,FALSE)</f>
        <v>11 años 3 meses</v>
      </c>
      <c r="N579" s="15" t="str">
        <f>VLOOKUP(A579,sinap!$A$2:$R$9000,6,FALSE)</f>
        <v>10-10-2014</v>
      </c>
      <c r="O579" s="15" t="str">
        <f>VLOOKUP(A579,sinap!$A$2:$R$9000,7,FALSE)</f>
        <v>Vivo</v>
      </c>
      <c r="P579" s="15" t="str">
        <f>VLOOKUP(A579,sinap!$A$2:$R$9000,8,FALSE)</f>
        <v>11.1.01.2442</v>
      </c>
      <c r="Q579" s="15" t="str">
        <f>VLOOKUP(A579,sinap!$A$2:$R$9000,12,FALSE)</f>
        <v>11.1.01.0190</v>
      </c>
      <c r="R579" s="15" t="str">
        <f>VLOOKUP(A579,sinap!$A$2:$R$9000,16,FALSE)</f>
        <v>11.1.01.0893</v>
      </c>
      <c r="S579" s="15" t="str">
        <f>VLOOKUP(A579,sinap!$A$2:$Y$9000,20,FALSE)</f>
        <v>NO</v>
      </c>
    </row>
    <row r="580" spans="1:19" s="16" customFormat="1" hidden="1" x14ac:dyDescent="0.25">
      <c r="A580" s="15">
        <v>14718287</v>
      </c>
      <c r="B580" s="15">
        <v>2636102</v>
      </c>
      <c r="C580" s="15"/>
      <c r="G580" s="16">
        <v>45253</v>
      </c>
      <c r="J580" s="15" t="str">
        <f>VLOOKUP(A580,sinap!$A$2:$R$9000,2,FALSE)</f>
        <v>M</v>
      </c>
      <c r="K580" s="15" t="str">
        <f>VLOOKUP(A580,sinap!$A$2:$R$9000,3,FALSE)</f>
        <v>BUEY</v>
      </c>
      <c r="L580" s="15" t="str">
        <f>VLOOKUP(A580,sinap!$A$2:$R$9000,4,FALSE)</f>
        <v>ANGUS NEGRO</v>
      </c>
      <c r="M580" s="15" t="str">
        <f>VLOOKUP(A580,sinap!$A$2:$R$9000,5,FALSE)</f>
        <v>11 años 3 meses</v>
      </c>
      <c r="N580" s="15" t="str">
        <f>VLOOKUP(A580,sinap!$A$2:$R$9000,6,FALSE)</f>
        <v>10-10-2014</v>
      </c>
      <c r="O580" s="15" t="str">
        <f>VLOOKUP(A580,sinap!$A$2:$R$9000,7,FALSE)</f>
        <v>Vivo</v>
      </c>
      <c r="P580" s="15" t="str">
        <f>VLOOKUP(A580,sinap!$A$2:$R$9000,8,FALSE)</f>
        <v>11.1.01.1241</v>
      </c>
      <c r="Q580" s="15" t="str">
        <f>VLOOKUP(A580,sinap!$A$2:$R$9000,12,FALSE)</f>
        <v>11.1.01.0893</v>
      </c>
      <c r="R580" s="15" t="str">
        <f>VLOOKUP(A580,sinap!$A$2:$R$9000,16,FALSE)</f>
        <v>11.1.01.0893</v>
      </c>
      <c r="S580" s="15" t="str">
        <f>VLOOKUP(A580,sinap!$A$2:$Y$9000,20,FALSE)</f>
        <v>NO</v>
      </c>
    </row>
    <row r="581" spans="1:19" s="16" customFormat="1" hidden="1" x14ac:dyDescent="0.25">
      <c r="A581" s="15">
        <v>14718288</v>
      </c>
      <c r="B581" s="15">
        <v>2636101</v>
      </c>
      <c r="C581" s="15"/>
      <c r="G581" s="16">
        <v>45092</v>
      </c>
      <c r="J581" s="15" t="str">
        <f>VLOOKUP(A581,sinap!$A$2:$R$9000,2,FALSE)</f>
        <v>M</v>
      </c>
      <c r="K581" s="15" t="str">
        <f>VLOOKUP(A581,sinap!$A$2:$R$9000,3,FALSE)</f>
        <v>TORO</v>
      </c>
      <c r="L581" s="15" t="str">
        <f>VLOOKUP(A581,sinap!$A$2:$R$9000,4,FALSE)</f>
        <v>ANGUS NEGRO</v>
      </c>
      <c r="M581" s="15" t="str">
        <f>VLOOKUP(A581,sinap!$A$2:$R$9000,5,FALSE)</f>
        <v>14 años 4 meses</v>
      </c>
      <c r="N581" s="15" t="str">
        <f>VLOOKUP(A581,sinap!$A$2:$R$9000,6,FALSE)</f>
        <v>30-08-2011</v>
      </c>
      <c r="O581" s="15" t="str">
        <f>VLOOKUP(A581,sinap!$A$2:$R$9000,7,FALSE)</f>
        <v>Vivo</v>
      </c>
      <c r="P581" s="15" t="str">
        <f>VLOOKUP(A581,sinap!$A$2:$R$9000,8,FALSE)</f>
        <v>11.1.01.1241</v>
      </c>
      <c r="Q581" s="15" t="str">
        <f>VLOOKUP(A581,sinap!$A$2:$R$9000,12,FALSE)</f>
        <v>11.1.01.0893</v>
      </c>
      <c r="R581" s="15" t="str">
        <f>VLOOKUP(A581,sinap!$A$2:$R$9000,16,FALSE)</f>
        <v>11.1.01.1241</v>
      </c>
      <c r="S581" s="15" t="str">
        <f>VLOOKUP(A581,sinap!$A$2:$Y$9000,20,FALSE)</f>
        <v>SI</v>
      </c>
    </row>
    <row r="582" spans="1:19" s="16" customFormat="1" hidden="1" x14ac:dyDescent="0.25">
      <c r="A582" s="15">
        <v>14718294</v>
      </c>
      <c r="B582" s="15"/>
      <c r="C582" s="15"/>
      <c r="E582" s="16">
        <v>44489</v>
      </c>
      <c r="F582" s="16">
        <v>44708</v>
      </c>
      <c r="G582" s="16">
        <v>45265</v>
      </c>
      <c r="J582" s="15" t="str">
        <f>VLOOKUP(A582,sinap!$A$2:$R$9000,2,FALSE)</f>
        <v>no existe</v>
      </c>
      <c r="K582" s="15" t="str">
        <f>VLOOKUP(A582,sinap!$A$2:$R$9000,3,FALSE)</f>
        <v>no existe</v>
      </c>
      <c r="L582" s="15" t="str">
        <f>VLOOKUP(A582,sinap!$A$2:$R$9000,4,FALSE)</f>
        <v>no existe</v>
      </c>
      <c r="M582" s="15" t="str">
        <f>VLOOKUP(A582,sinap!$A$2:$R$9000,5,FALSE)</f>
        <v>no existe</v>
      </c>
      <c r="N582" s="15" t="str">
        <f>VLOOKUP(A582,sinap!$A$2:$R$9000,6,FALSE)</f>
        <v>no existe</v>
      </c>
      <c r="O582" s="15" t="str">
        <f>VLOOKUP(A582,sinap!$A$2:$R$9000,7,FALSE)</f>
        <v>no existe</v>
      </c>
      <c r="P582" s="15" t="str">
        <f>VLOOKUP(A582,sinap!$A$2:$R$9000,8,FALSE)</f>
        <v>no existe</v>
      </c>
      <c r="Q582" s="15" t="str">
        <f>VLOOKUP(A582,sinap!$A$2:$R$9000,12,FALSE)</f>
        <v>no existe</v>
      </c>
      <c r="R582" s="15" t="str">
        <f>VLOOKUP(A582,sinap!$A$2:$R$9000,16,FALSE)</f>
        <v>no existe</v>
      </c>
      <c r="S582" s="15" t="str">
        <f>VLOOKUP(A582,sinap!$A$2:$Y$9000,20,FALSE)</f>
        <v>no existe</v>
      </c>
    </row>
    <row r="583" spans="1:19" s="16" customFormat="1" x14ac:dyDescent="0.25">
      <c r="A583" s="15">
        <v>14718295</v>
      </c>
      <c r="B583" s="15"/>
      <c r="C583" s="15"/>
      <c r="D583" s="16">
        <v>44139</v>
      </c>
      <c r="E583" s="16">
        <v>44489</v>
      </c>
      <c r="F583" s="16">
        <v>44708</v>
      </c>
      <c r="G583" s="16">
        <v>45265</v>
      </c>
      <c r="J583" s="15" t="str">
        <f>VLOOKUP(A583,sinap!$A$2:$R$9000,2,FALSE)</f>
        <v>no existe</v>
      </c>
      <c r="K583" s="15" t="str">
        <f>VLOOKUP(A583,sinap!$A$2:$R$9000,3,FALSE)</f>
        <v>no existe</v>
      </c>
      <c r="L583" s="15" t="str">
        <f>VLOOKUP(A583,sinap!$A$2:$R$9000,4,FALSE)</f>
        <v>no existe</v>
      </c>
      <c r="M583" s="15" t="str">
        <f>VLOOKUP(A583,sinap!$A$2:$R$9000,5,FALSE)</f>
        <v>no existe</v>
      </c>
      <c r="N583" s="15" t="str">
        <f>VLOOKUP(A583,sinap!$A$2:$R$9000,6,FALSE)</f>
        <v>no existe</v>
      </c>
      <c r="O583" s="15" t="str">
        <f>VLOOKUP(A583,sinap!$A$2:$R$9000,7,FALSE)</f>
        <v>no existe</v>
      </c>
      <c r="P583" s="15" t="str">
        <f>VLOOKUP(A583,sinap!$A$2:$R$9000,8,FALSE)</f>
        <v>no existe</v>
      </c>
      <c r="Q583" s="15" t="str">
        <f>VLOOKUP(A583,sinap!$A$2:$R$9000,12,FALSE)</f>
        <v>no existe</v>
      </c>
      <c r="R583" s="15" t="str">
        <f>VLOOKUP(A583,sinap!$A$2:$R$9000,16,FALSE)</f>
        <v>no existe</v>
      </c>
      <c r="S583" s="15" t="str">
        <f>VLOOKUP(A583,sinap!$A$2:$Y$9000,20,FALSE)</f>
        <v>no existe</v>
      </c>
    </row>
    <row r="584" spans="1:19" s="16" customFormat="1" hidden="1" x14ac:dyDescent="0.25">
      <c r="A584" s="15">
        <v>14718300</v>
      </c>
      <c r="B584" s="15"/>
      <c r="C584" s="15"/>
      <c r="J584" s="15" t="str">
        <f>VLOOKUP(A584,sinap!$A$2:$R$9000,2,FALSE)</f>
        <v>no existe</v>
      </c>
      <c r="K584" s="15" t="str">
        <f>VLOOKUP(A584,sinap!$A$2:$R$9000,3,FALSE)</f>
        <v>no existe</v>
      </c>
      <c r="L584" s="15" t="str">
        <f>VLOOKUP(A584,sinap!$A$2:$R$9000,4,FALSE)</f>
        <v>no existe</v>
      </c>
      <c r="M584" s="15" t="str">
        <f>VLOOKUP(A584,sinap!$A$2:$R$9000,5,FALSE)</f>
        <v>no existe</v>
      </c>
      <c r="N584" s="15" t="str">
        <f>VLOOKUP(A584,sinap!$A$2:$R$9000,6,FALSE)</f>
        <v>no existe</v>
      </c>
      <c r="O584" s="15" t="str">
        <f>VLOOKUP(A584,sinap!$A$2:$R$9000,7,FALSE)</f>
        <v>no existe</v>
      </c>
      <c r="P584" s="15" t="str">
        <f>VLOOKUP(A584,sinap!$A$2:$R$9000,8,FALSE)</f>
        <v>no existe</v>
      </c>
      <c r="Q584" s="15" t="str">
        <f>VLOOKUP(A584,sinap!$A$2:$R$9000,12,FALSE)</f>
        <v>no existe</v>
      </c>
      <c r="R584" s="15" t="str">
        <f>VLOOKUP(A584,sinap!$A$2:$R$9000,16,FALSE)</f>
        <v>no existe</v>
      </c>
      <c r="S584" s="15" t="str">
        <f>VLOOKUP(A584,sinap!$A$2:$Y$9000,20,FALSE)</f>
        <v>no existe</v>
      </c>
    </row>
    <row r="585" spans="1:19" s="16" customFormat="1" hidden="1" x14ac:dyDescent="0.25">
      <c r="A585" s="15">
        <v>15660945</v>
      </c>
      <c r="B585" s="15"/>
      <c r="C585" s="15"/>
      <c r="J585" s="15" t="str">
        <f>VLOOKUP(A585,sinap!$A$2:$R$9000,2,FALSE)</f>
        <v>H</v>
      </c>
      <c r="K585" s="15" t="str">
        <f>VLOOKUP(A585,sinap!$A$2:$R$9000,3,FALSE)</f>
        <v>VACA</v>
      </c>
      <c r="L585" s="15" t="str">
        <f>VLOOKUP(A585,sinap!$A$2:$R$9000,4,FALSE)</f>
        <v>ANGUS NEGRO</v>
      </c>
      <c r="M585" s="15" t="str">
        <f>VLOOKUP(A585,sinap!$A$2:$R$9000,5,FALSE)</f>
        <v>8 años 4 meses</v>
      </c>
      <c r="N585" s="15" t="str">
        <f>VLOOKUP(A585,sinap!$A$2:$R$9000,6,FALSE)</f>
        <v>10-09-2017</v>
      </c>
      <c r="O585" s="15" t="str">
        <f>VLOOKUP(A585,sinap!$A$2:$R$9000,7,FALSE)</f>
        <v>Vivo</v>
      </c>
      <c r="P585" s="15" t="str">
        <f>VLOOKUP(A585,sinap!$A$2:$R$9000,8,FALSE)</f>
        <v>11.1.01.1241</v>
      </c>
      <c r="Q585" s="15" t="str">
        <f>VLOOKUP(A585,sinap!$A$2:$R$9000,12,FALSE)</f>
        <v>11.1.01.1022</v>
      </c>
      <c r="R585" s="15" t="str">
        <f>VLOOKUP(A585,sinap!$A$2:$R$9000,16,FALSE)</f>
        <v>11.1.01.1241</v>
      </c>
      <c r="S585" s="15" t="str">
        <f>VLOOKUP(A585,sinap!$A$2:$Y$9000,20,FALSE)</f>
        <v>SI</v>
      </c>
    </row>
    <row r="586" spans="1:19" s="16" customFormat="1" hidden="1" x14ac:dyDescent="0.25">
      <c r="A586" s="15">
        <v>15660948</v>
      </c>
      <c r="B586" s="15"/>
      <c r="C586" s="15"/>
      <c r="J586" s="15" t="str">
        <f>VLOOKUP(A586,sinap!$A$2:$R$9000,2,FALSE)</f>
        <v>H</v>
      </c>
      <c r="K586" s="15" t="str">
        <f>VLOOKUP(A586,sinap!$A$2:$R$9000,3,FALSE)</f>
        <v>VACA</v>
      </c>
      <c r="L586" s="15" t="str">
        <f>VLOOKUP(A586,sinap!$A$2:$R$9000,4,FALSE)</f>
        <v>ANGUS NEGRO</v>
      </c>
      <c r="M586" s="15" t="str">
        <f>VLOOKUP(A586,sinap!$A$2:$R$9000,5,FALSE)</f>
        <v>8 años 3 meses</v>
      </c>
      <c r="N586" s="15" t="str">
        <f>VLOOKUP(A586,sinap!$A$2:$R$9000,6,FALSE)</f>
        <v>30-09-2017</v>
      </c>
      <c r="O586" s="15" t="str">
        <f>VLOOKUP(A586,sinap!$A$2:$R$9000,7,FALSE)</f>
        <v>Vivo</v>
      </c>
      <c r="P586" s="15" t="str">
        <f>VLOOKUP(A586,sinap!$A$2:$R$9000,8,FALSE)</f>
        <v>11.1.01.1241</v>
      </c>
      <c r="Q586" s="15" t="str">
        <f>VLOOKUP(A586,sinap!$A$2:$R$9000,12,FALSE)</f>
        <v>11.1.01.1241</v>
      </c>
      <c r="R586" s="15" t="str">
        <f>VLOOKUP(A586,sinap!$A$2:$R$9000,16,FALSE)</f>
        <v>11.1.01.1241</v>
      </c>
      <c r="S586" s="15" t="str">
        <f>VLOOKUP(A586,sinap!$A$2:$Y$9000,20,FALSE)</f>
        <v>SI</v>
      </c>
    </row>
    <row r="587" spans="1:19" s="16" customFormat="1" hidden="1" x14ac:dyDescent="0.25">
      <c r="A587" s="15">
        <v>15660953</v>
      </c>
      <c r="B587" s="15"/>
      <c r="C587" s="15"/>
      <c r="G587" s="16">
        <v>45288</v>
      </c>
      <c r="J587" s="15" t="str">
        <f>VLOOKUP(A587,sinap!$A$2:$R$9000,2,FALSE)</f>
        <v>H</v>
      </c>
      <c r="K587" s="15" t="str">
        <f>VLOOKUP(A587,sinap!$A$2:$R$9000,3,FALSE)</f>
        <v>VACA</v>
      </c>
      <c r="L587" s="15" t="str">
        <f>VLOOKUP(A587,sinap!$A$2:$R$9000,4,FALSE)</f>
        <v>ANGUS NEGRO</v>
      </c>
      <c r="M587" s="15" t="str">
        <f>VLOOKUP(A587,sinap!$A$2:$R$9000,5,FALSE)</f>
        <v>8 años 4 meses</v>
      </c>
      <c r="N587" s="15" t="str">
        <f>VLOOKUP(A587,sinap!$A$2:$R$9000,6,FALSE)</f>
        <v>30-08-2017</v>
      </c>
      <c r="O587" s="15" t="str">
        <f>VLOOKUP(A587,sinap!$A$2:$R$9000,7,FALSE)</f>
        <v>Vivo</v>
      </c>
      <c r="P587" s="15" t="str">
        <f>VLOOKUP(A587,sinap!$A$2:$R$9000,8,FALSE)</f>
        <v>11.1.01.1241</v>
      </c>
      <c r="Q587" s="15" t="str">
        <f>VLOOKUP(A587,sinap!$A$2:$R$9000,12,FALSE)</f>
        <v>Sin Movimiento</v>
      </c>
      <c r="R587" s="15" t="str">
        <f>VLOOKUP(A587,sinap!$A$2:$R$9000,16,FALSE)</f>
        <v>11.1.01.1241</v>
      </c>
      <c r="S587" s="15" t="str">
        <f>VLOOKUP(A587,sinap!$A$2:$Y$9000,20,FALSE)</f>
        <v>SI</v>
      </c>
    </row>
    <row r="588" spans="1:19" s="16" customFormat="1" hidden="1" x14ac:dyDescent="0.25">
      <c r="A588" s="15">
        <v>15660954</v>
      </c>
      <c r="B588" s="15"/>
      <c r="C588" s="15"/>
      <c r="G588" s="16">
        <v>45288</v>
      </c>
      <c r="J588" s="15" t="str">
        <f>VLOOKUP(A588,sinap!$A$2:$R$9000,2,FALSE)</f>
        <v>H</v>
      </c>
      <c r="K588" s="15" t="str">
        <f>VLOOKUP(A588,sinap!$A$2:$R$9000,3,FALSE)</f>
        <v>VACA</v>
      </c>
      <c r="L588" s="15" t="str">
        <f>VLOOKUP(A588,sinap!$A$2:$R$9000,4,FALSE)</f>
        <v>ANGUS NEGRO</v>
      </c>
      <c r="M588" s="15" t="str">
        <f>VLOOKUP(A588,sinap!$A$2:$R$9000,5,FALSE)</f>
        <v>8 años 4 meses</v>
      </c>
      <c r="N588" s="15" t="str">
        <f>VLOOKUP(A588,sinap!$A$2:$R$9000,6,FALSE)</f>
        <v>30-08-2017</v>
      </c>
      <c r="O588" s="15" t="str">
        <f>VLOOKUP(A588,sinap!$A$2:$R$9000,7,FALSE)</f>
        <v>Vivo</v>
      </c>
      <c r="P588" s="15" t="str">
        <f>VLOOKUP(A588,sinap!$A$2:$R$9000,8,FALSE)</f>
        <v>11.1.01.1241</v>
      </c>
      <c r="Q588" s="15" t="str">
        <f>VLOOKUP(A588,sinap!$A$2:$R$9000,12,FALSE)</f>
        <v>11.1.01.1241</v>
      </c>
      <c r="R588" s="15" t="str">
        <f>VLOOKUP(A588,sinap!$A$2:$R$9000,16,FALSE)</f>
        <v>11.1.01.1241</v>
      </c>
      <c r="S588" s="15" t="str">
        <f>VLOOKUP(A588,sinap!$A$2:$Y$9000,20,FALSE)</f>
        <v>SI</v>
      </c>
    </row>
    <row r="589" spans="1:19" s="16" customFormat="1" hidden="1" x14ac:dyDescent="0.25">
      <c r="A589" s="15">
        <v>15660960</v>
      </c>
      <c r="B589" s="15"/>
      <c r="C589" s="15"/>
      <c r="G589" s="16">
        <v>45288</v>
      </c>
      <c r="J589" s="15" t="str">
        <f>VLOOKUP(A589,sinap!$A$2:$R$9000,2,FALSE)</f>
        <v>H</v>
      </c>
      <c r="K589" s="15" t="str">
        <f>VLOOKUP(A589,sinap!$A$2:$R$9000,3,FALSE)</f>
        <v>VACA</v>
      </c>
      <c r="L589" s="15" t="str">
        <f>VLOOKUP(A589,sinap!$A$2:$R$9000,4,FALSE)</f>
        <v>ANGUS NEGRO</v>
      </c>
      <c r="M589" s="15" t="str">
        <f>VLOOKUP(A589,sinap!$A$2:$R$9000,5,FALSE)</f>
        <v>8 años 4 meses</v>
      </c>
      <c r="N589" s="15" t="str">
        <f>VLOOKUP(A589,sinap!$A$2:$R$9000,6,FALSE)</f>
        <v>10-09-2017</v>
      </c>
      <c r="O589" s="15" t="str">
        <f>VLOOKUP(A589,sinap!$A$2:$R$9000,7,FALSE)</f>
        <v>Vivo</v>
      </c>
      <c r="P589" s="15" t="str">
        <f>VLOOKUP(A589,sinap!$A$2:$R$9000,8,FALSE)</f>
        <v>11.1.01.1241</v>
      </c>
      <c r="Q589" s="15" t="str">
        <f>VLOOKUP(A589,sinap!$A$2:$R$9000,12,FALSE)</f>
        <v>Sin Movimiento</v>
      </c>
      <c r="R589" s="15" t="str">
        <f>VLOOKUP(A589,sinap!$A$2:$R$9000,16,FALSE)</f>
        <v>11.1.01.1241</v>
      </c>
      <c r="S589" s="15" t="str">
        <f>VLOOKUP(A589,sinap!$A$2:$Y$9000,20,FALSE)</f>
        <v>SI</v>
      </c>
    </row>
    <row r="590" spans="1:19" s="16" customFormat="1" hidden="1" x14ac:dyDescent="0.25">
      <c r="A590" s="15">
        <v>15660962</v>
      </c>
      <c r="B590" s="15"/>
      <c r="C590" s="15"/>
      <c r="G590" s="16">
        <v>45288</v>
      </c>
      <c r="J590" s="15" t="str">
        <f>VLOOKUP(A590,sinap!$A$2:$R$9000,2,FALSE)</f>
        <v>H</v>
      </c>
      <c r="K590" s="15" t="str">
        <f>VLOOKUP(A590,sinap!$A$2:$R$9000,3,FALSE)</f>
        <v>VACA</v>
      </c>
      <c r="L590" s="15" t="str">
        <f>VLOOKUP(A590,sinap!$A$2:$R$9000,4,FALSE)</f>
        <v>ANGUS NEGRO</v>
      </c>
      <c r="M590" s="15" t="str">
        <f>VLOOKUP(A590,sinap!$A$2:$R$9000,5,FALSE)</f>
        <v>8 años 4 meses</v>
      </c>
      <c r="N590" s="15" t="str">
        <f>VLOOKUP(A590,sinap!$A$2:$R$9000,6,FALSE)</f>
        <v>10-09-2017</v>
      </c>
      <c r="O590" s="15" t="str">
        <f>VLOOKUP(A590,sinap!$A$2:$R$9000,7,FALSE)</f>
        <v>Vivo</v>
      </c>
      <c r="P590" s="15" t="str">
        <f>VLOOKUP(A590,sinap!$A$2:$R$9000,8,FALSE)</f>
        <v>11.1.01.1241</v>
      </c>
      <c r="Q590" s="15" t="str">
        <f>VLOOKUP(A590,sinap!$A$2:$R$9000,12,FALSE)</f>
        <v>11.1.01.1022</v>
      </c>
      <c r="R590" s="15" t="str">
        <f>VLOOKUP(A590,sinap!$A$2:$R$9000,16,FALSE)</f>
        <v>11.1.01.1241</v>
      </c>
      <c r="S590" s="15" t="str">
        <f>VLOOKUP(A590,sinap!$A$2:$Y$9000,20,FALSE)</f>
        <v>SI</v>
      </c>
    </row>
    <row r="591" spans="1:19" s="16" customFormat="1" hidden="1" x14ac:dyDescent="0.25">
      <c r="A591" s="15">
        <v>15660965</v>
      </c>
      <c r="B591" s="15"/>
      <c r="C591" s="15"/>
      <c r="J591" s="15" t="str">
        <f>VLOOKUP(A591,sinap!$A$2:$R$9000,2,FALSE)</f>
        <v>H</v>
      </c>
      <c r="K591" s="15" t="str">
        <f>VLOOKUP(A591,sinap!$A$2:$R$9000,3,FALSE)</f>
        <v>VACA</v>
      </c>
      <c r="L591" s="15" t="str">
        <f>VLOOKUP(A591,sinap!$A$2:$R$9000,4,FALSE)</f>
        <v>ANGUS NEGRO</v>
      </c>
      <c r="M591" s="15" t="str">
        <f>VLOOKUP(A591,sinap!$A$2:$R$9000,5,FALSE)</f>
        <v>8 años 3 meses</v>
      </c>
      <c r="N591" s="15" t="str">
        <f>VLOOKUP(A591,sinap!$A$2:$R$9000,6,FALSE)</f>
        <v>15-10-2017</v>
      </c>
      <c r="O591" s="15" t="str">
        <f>VLOOKUP(A591,sinap!$A$2:$R$9000,7,FALSE)</f>
        <v>Vivo</v>
      </c>
      <c r="P591" s="15" t="str">
        <f>VLOOKUP(A591,sinap!$A$2:$R$9000,8,FALSE)</f>
        <v>11.1.01.2442</v>
      </c>
      <c r="Q591" s="15" t="str">
        <f>VLOOKUP(A591,sinap!$A$2:$R$9000,12,FALSE)</f>
        <v>11.1.01.1241</v>
      </c>
      <c r="R591" s="15" t="str">
        <f>VLOOKUP(A591,sinap!$A$2:$R$9000,16,FALSE)</f>
        <v>11.1.01.1241</v>
      </c>
      <c r="S591" s="15" t="str">
        <f>VLOOKUP(A591,sinap!$A$2:$Y$9000,20,FALSE)</f>
        <v>SI</v>
      </c>
    </row>
    <row r="592" spans="1:19" s="16" customFormat="1" hidden="1" x14ac:dyDescent="0.25">
      <c r="A592" s="15">
        <v>15660967</v>
      </c>
      <c r="B592" s="15"/>
      <c r="C592" s="15"/>
      <c r="G592" s="16">
        <v>45213</v>
      </c>
      <c r="J592" s="15" t="str">
        <f>VLOOKUP(A592,sinap!$A$2:$R$9000,2,FALSE)</f>
        <v>H</v>
      </c>
      <c r="K592" s="15" t="str">
        <f>VLOOKUP(A592,sinap!$A$2:$R$9000,3,FALSE)</f>
        <v>VACA</v>
      </c>
      <c r="L592" s="15" t="str">
        <f>VLOOKUP(A592,sinap!$A$2:$R$9000,4,FALSE)</f>
        <v>ANGUS NEGRO</v>
      </c>
      <c r="M592" s="15" t="str">
        <f>VLOOKUP(A592,sinap!$A$2:$R$9000,5,FALSE)</f>
        <v>8 años 3 meses</v>
      </c>
      <c r="N592" s="15" t="str">
        <f>VLOOKUP(A592,sinap!$A$2:$R$9000,6,FALSE)</f>
        <v>30-09-2017</v>
      </c>
      <c r="O592" s="15" t="str">
        <f>VLOOKUP(A592,sinap!$A$2:$R$9000,7,FALSE)</f>
        <v>Vivo</v>
      </c>
      <c r="P592" s="15" t="str">
        <f>VLOOKUP(A592,sinap!$A$2:$R$9000,8,FALSE)</f>
        <v>11.1.01.0791</v>
      </c>
      <c r="Q592" s="15" t="str">
        <f>VLOOKUP(A592,sinap!$A$2:$R$9000,12,FALSE)</f>
        <v>11.1.01.0893</v>
      </c>
      <c r="R592" s="15" t="str">
        <f>VLOOKUP(A592,sinap!$A$2:$R$9000,16,FALSE)</f>
        <v>11.1.01.1241</v>
      </c>
      <c r="S592" s="15" t="str">
        <f>VLOOKUP(A592,sinap!$A$2:$Y$9000,20,FALSE)</f>
        <v>SI</v>
      </c>
    </row>
    <row r="593" spans="1:19" s="16" customFormat="1" hidden="1" x14ac:dyDescent="0.25">
      <c r="A593" s="15">
        <v>15660969</v>
      </c>
      <c r="B593" s="15"/>
      <c r="C593" s="15"/>
      <c r="G593" s="16">
        <v>45288</v>
      </c>
      <c r="H593" s="16">
        <v>45648</v>
      </c>
      <c r="I593" s="16">
        <v>45965</v>
      </c>
      <c r="J593" s="15" t="str">
        <f>VLOOKUP(A593,sinap!$A$2:$R$9000,2,FALSE)</f>
        <v>H</v>
      </c>
      <c r="K593" s="15" t="str">
        <f>VLOOKUP(A593,sinap!$A$2:$R$9000,3,FALSE)</f>
        <v>VACA</v>
      </c>
      <c r="L593" s="15" t="str">
        <f>VLOOKUP(A593,sinap!$A$2:$R$9000,4,FALSE)</f>
        <v>ANGUS NEGRO</v>
      </c>
      <c r="M593" s="15" t="str">
        <f>VLOOKUP(A593,sinap!$A$2:$R$9000,5,FALSE)</f>
        <v>8 años 3 meses</v>
      </c>
      <c r="N593" s="15" t="str">
        <f>VLOOKUP(A593,sinap!$A$2:$R$9000,6,FALSE)</f>
        <v>30-09-2017</v>
      </c>
      <c r="O593" s="15" t="str">
        <f>VLOOKUP(A593,sinap!$A$2:$R$9000,7,FALSE)</f>
        <v>Vivo</v>
      </c>
      <c r="P593" s="15" t="str">
        <f>VLOOKUP(A593,sinap!$A$2:$R$9000,8,FALSE)</f>
        <v>11.1.01.2442</v>
      </c>
      <c r="Q593" s="15" t="str">
        <f>VLOOKUP(A593,sinap!$A$2:$R$9000,12,FALSE)</f>
        <v>11.1.01.0190</v>
      </c>
      <c r="R593" s="15" t="str">
        <f>VLOOKUP(A593,sinap!$A$2:$R$9000,16,FALSE)</f>
        <v>11.1.01.1241</v>
      </c>
      <c r="S593" s="15" t="str">
        <f>VLOOKUP(A593,sinap!$A$2:$Y$9000,20,FALSE)</f>
        <v>SI</v>
      </c>
    </row>
    <row r="594" spans="1:19" s="16" customFormat="1" hidden="1" x14ac:dyDescent="0.25">
      <c r="A594" s="15">
        <v>15660971</v>
      </c>
      <c r="B594" s="15"/>
      <c r="C594" s="15"/>
      <c r="H594" s="16">
        <v>45297</v>
      </c>
      <c r="J594" s="15" t="str">
        <f>VLOOKUP(A594,sinap!$A$2:$R$9000,2,FALSE)</f>
        <v>H</v>
      </c>
      <c r="K594" s="15" t="str">
        <f>VLOOKUP(A594,sinap!$A$2:$R$9000,3,FALSE)</f>
        <v>VACA</v>
      </c>
      <c r="L594" s="15" t="str">
        <f>VLOOKUP(A594,sinap!$A$2:$R$9000,4,FALSE)</f>
        <v>ANGUS NEGRO</v>
      </c>
      <c r="M594" s="15" t="str">
        <f>VLOOKUP(A594,sinap!$A$2:$R$9000,5,FALSE)</f>
        <v>8 años 3 meses</v>
      </c>
      <c r="N594" s="15" t="str">
        <f>VLOOKUP(A594,sinap!$A$2:$R$9000,6,FALSE)</f>
        <v>30-09-2017</v>
      </c>
      <c r="O594" s="15" t="str">
        <f>VLOOKUP(A594,sinap!$A$2:$R$9000,7,FALSE)</f>
        <v>Vivo</v>
      </c>
      <c r="P594" s="15" t="str">
        <f>VLOOKUP(A594,sinap!$A$2:$R$9000,8,FALSE)</f>
        <v>11.1.01.0893</v>
      </c>
      <c r="Q594" s="15" t="str">
        <f>VLOOKUP(A594,sinap!$A$2:$R$9000,12,FALSE)</f>
        <v>11.1.01.0791</v>
      </c>
      <c r="R594" s="15" t="str">
        <f>VLOOKUP(A594,sinap!$A$2:$R$9000,16,FALSE)</f>
        <v>11.1.01.1241</v>
      </c>
      <c r="S594" s="15" t="str">
        <f>VLOOKUP(A594,sinap!$A$2:$Y$9000,20,FALSE)</f>
        <v>SI</v>
      </c>
    </row>
    <row r="595" spans="1:19" s="16" customFormat="1" hidden="1" x14ac:dyDescent="0.25">
      <c r="A595" s="15">
        <v>15660975</v>
      </c>
      <c r="B595" s="15"/>
      <c r="C595" s="15"/>
      <c r="G595" s="16">
        <v>45288</v>
      </c>
      <c r="J595" s="15" t="str">
        <f>VLOOKUP(A595,sinap!$A$2:$R$9000,2,FALSE)</f>
        <v>H</v>
      </c>
      <c r="K595" s="15" t="str">
        <f>VLOOKUP(A595,sinap!$A$2:$R$9000,3,FALSE)</f>
        <v>VACA</v>
      </c>
      <c r="L595" s="15" t="str">
        <f>VLOOKUP(A595,sinap!$A$2:$R$9000,4,FALSE)</f>
        <v>ANGUS NEGRO</v>
      </c>
      <c r="M595" s="15" t="str">
        <f>VLOOKUP(A595,sinap!$A$2:$R$9000,5,FALSE)</f>
        <v>8 años 3 meses</v>
      </c>
      <c r="N595" s="15" t="str">
        <f>VLOOKUP(A595,sinap!$A$2:$R$9000,6,FALSE)</f>
        <v>10-10-2017</v>
      </c>
      <c r="O595" s="15" t="str">
        <f>VLOOKUP(A595,sinap!$A$2:$R$9000,7,FALSE)</f>
        <v>Vivo</v>
      </c>
      <c r="P595" s="15" t="str">
        <f>VLOOKUP(A595,sinap!$A$2:$R$9000,8,FALSE)</f>
        <v>11.2.01.0038</v>
      </c>
      <c r="Q595" s="15" t="str">
        <f>VLOOKUP(A595,sinap!$A$2:$R$9000,12,FALSE)</f>
        <v>11.1.01.0893</v>
      </c>
      <c r="R595" s="15" t="str">
        <f>VLOOKUP(A595,sinap!$A$2:$R$9000,16,FALSE)</f>
        <v>11.1.01.1241</v>
      </c>
      <c r="S595" s="15" t="str">
        <f>VLOOKUP(A595,sinap!$A$2:$Y$9000,20,FALSE)</f>
        <v>SI</v>
      </c>
    </row>
    <row r="596" spans="1:19" s="16" customFormat="1" hidden="1" x14ac:dyDescent="0.25">
      <c r="A596" s="15">
        <v>15660977</v>
      </c>
      <c r="B596" s="15"/>
      <c r="C596" s="15"/>
      <c r="J596" s="15" t="str">
        <f>VLOOKUP(A596,sinap!$A$2:$R$9000,2,FALSE)</f>
        <v>H</v>
      </c>
      <c r="K596" s="15" t="str">
        <f>VLOOKUP(A596,sinap!$A$2:$R$9000,3,FALSE)</f>
        <v>VACA</v>
      </c>
      <c r="L596" s="15" t="str">
        <f>VLOOKUP(A596,sinap!$A$2:$R$9000,4,FALSE)</f>
        <v>ANGUS NEGRO</v>
      </c>
      <c r="M596" s="15" t="str">
        <f>VLOOKUP(A596,sinap!$A$2:$R$9000,5,FALSE)</f>
        <v>8 años 3 meses</v>
      </c>
      <c r="N596" s="15" t="str">
        <f>VLOOKUP(A596,sinap!$A$2:$R$9000,6,FALSE)</f>
        <v>30-09-2017</v>
      </c>
      <c r="O596" s="15" t="str">
        <f>VLOOKUP(A596,sinap!$A$2:$R$9000,7,FALSE)</f>
        <v>Vivo</v>
      </c>
      <c r="P596" s="15" t="str">
        <f>VLOOKUP(A596,sinap!$A$2:$R$9000,8,FALSE)</f>
        <v>11.1.01.1241</v>
      </c>
      <c r="Q596" s="15" t="str">
        <f>VLOOKUP(A596,sinap!$A$2:$R$9000,12,FALSE)</f>
        <v>Sin Movimiento</v>
      </c>
      <c r="R596" s="15" t="str">
        <f>VLOOKUP(A596,sinap!$A$2:$R$9000,16,FALSE)</f>
        <v>11.1.01.1241</v>
      </c>
      <c r="S596" s="15" t="str">
        <f>VLOOKUP(A596,sinap!$A$2:$Y$9000,20,FALSE)</f>
        <v>SI</v>
      </c>
    </row>
    <row r="597" spans="1:19" s="16" customFormat="1" hidden="1" x14ac:dyDescent="0.25">
      <c r="A597" s="15">
        <v>15660978</v>
      </c>
      <c r="B597" s="15"/>
      <c r="C597" s="15"/>
      <c r="J597" s="15" t="str">
        <f>VLOOKUP(A597,sinap!$A$2:$R$9000,2,FALSE)</f>
        <v>H</v>
      </c>
      <c r="K597" s="15" t="str">
        <f>VLOOKUP(A597,sinap!$A$2:$R$9000,3,FALSE)</f>
        <v>VACA</v>
      </c>
      <c r="L597" s="15" t="str">
        <f>VLOOKUP(A597,sinap!$A$2:$R$9000,4,FALSE)</f>
        <v>ANGUS NEGRO</v>
      </c>
      <c r="M597" s="15" t="str">
        <f>VLOOKUP(A597,sinap!$A$2:$R$9000,5,FALSE)</f>
        <v>8 años 4 meses</v>
      </c>
      <c r="N597" s="15" t="str">
        <f>VLOOKUP(A597,sinap!$A$2:$R$9000,6,FALSE)</f>
        <v>10-09-2017</v>
      </c>
      <c r="O597" s="15" t="str">
        <f>VLOOKUP(A597,sinap!$A$2:$R$9000,7,FALSE)</f>
        <v>Vivo</v>
      </c>
      <c r="P597" s="15" t="str">
        <f>VLOOKUP(A597,sinap!$A$2:$R$9000,8,FALSE)</f>
        <v>11.2.01.0038</v>
      </c>
      <c r="Q597" s="15" t="str">
        <f>VLOOKUP(A597,sinap!$A$2:$R$9000,12,FALSE)</f>
        <v>11.1.01.1241</v>
      </c>
      <c r="R597" s="15" t="str">
        <f>VLOOKUP(A597,sinap!$A$2:$R$9000,16,FALSE)</f>
        <v>11.1.01.1241</v>
      </c>
      <c r="S597" s="15" t="str">
        <f>VLOOKUP(A597,sinap!$A$2:$Y$9000,20,FALSE)</f>
        <v>SI</v>
      </c>
    </row>
    <row r="598" spans="1:19" s="16" customFormat="1" hidden="1" x14ac:dyDescent="0.25">
      <c r="A598" s="15">
        <v>15660979</v>
      </c>
      <c r="B598" s="15"/>
      <c r="C598" s="15"/>
      <c r="G598" s="16">
        <v>45288</v>
      </c>
      <c r="H598" s="16">
        <v>45648</v>
      </c>
      <c r="I598" s="16">
        <v>45966</v>
      </c>
      <c r="J598" s="15" t="str">
        <f>VLOOKUP(A598,sinap!$A$2:$R$9000,2,FALSE)</f>
        <v>H</v>
      </c>
      <c r="K598" s="15" t="str">
        <f>VLOOKUP(A598,sinap!$A$2:$R$9000,3,FALSE)</f>
        <v>VACA</v>
      </c>
      <c r="L598" s="15" t="str">
        <f>VLOOKUP(A598,sinap!$A$2:$R$9000,4,FALSE)</f>
        <v>ANGUS ROJO</v>
      </c>
      <c r="M598" s="15" t="str">
        <f>VLOOKUP(A598,sinap!$A$2:$R$9000,5,FALSE)</f>
        <v>8 años 2 meses</v>
      </c>
      <c r="N598" s="15" t="str">
        <f>VLOOKUP(A598,sinap!$A$2:$R$9000,6,FALSE)</f>
        <v>30-10-2017</v>
      </c>
      <c r="O598" s="15" t="str">
        <f>VLOOKUP(A598,sinap!$A$2:$R$9000,7,FALSE)</f>
        <v>Vivo</v>
      </c>
      <c r="P598" s="15" t="str">
        <f>VLOOKUP(A598,sinap!$A$2:$R$9000,8,FALSE)</f>
        <v>11.1.01.2442</v>
      </c>
      <c r="Q598" s="15" t="str">
        <f>VLOOKUP(A598,sinap!$A$2:$R$9000,12,FALSE)</f>
        <v>11.1.01.0190</v>
      </c>
      <c r="R598" s="15" t="str">
        <f>VLOOKUP(A598,sinap!$A$2:$R$9000,16,FALSE)</f>
        <v>11.1.01.1241</v>
      </c>
      <c r="S598" s="15" t="str">
        <f>VLOOKUP(A598,sinap!$A$2:$Y$9000,20,FALSE)</f>
        <v>SI</v>
      </c>
    </row>
    <row r="599" spans="1:19" s="16" customFormat="1" hidden="1" x14ac:dyDescent="0.25">
      <c r="A599" s="15">
        <v>15660983</v>
      </c>
      <c r="B599" s="15"/>
      <c r="C599" s="15"/>
      <c r="H599" s="16">
        <v>45648</v>
      </c>
      <c r="I599" s="16">
        <v>45965</v>
      </c>
      <c r="J599" s="15" t="str">
        <f>VLOOKUP(A599,sinap!$A$2:$R$9000,2,FALSE)</f>
        <v>H</v>
      </c>
      <c r="K599" s="15" t="str">
        <f>VLOOKUP(A599,sinap!$A$2:$R$9000,3,FALSE)</f>
        <v>VACA</v>
      </c>
      <c r="L599" s="15" t="str">
        <f>VLOOKUP(A599,sinap!$A$2:$R$9000,4,FALSE)</f>
        <v>ANGUS NEGRO</v>
      </c>
      <c r="M599" s="15" t="str">
        <f>VLOOKUP(A599,sinap!$A$2:$R$9000,5,FALSE)</f>
        <v>8 años 4 meses</v>
      </c>
      <c r="N599" s="15" t="str">
        <f>VLOOKUP(A599,sinap!$A$2:$R$9000,6,FALSE)</f>
        <v>15-09-2017</v>
      </c>
      <c r="O599" s="15" t="str">
        <f>VLOOKUP(A599,sinap!$A$2:$R$9000,7,FALSE)</f>
        <v>Vivo</v>
      </c>
      <c r="P599" s="15" t="str">
        <f>VLOOKUP(A599,sinap!$A$2:$R$9000,8,FALSE)</f>
        <v>11.1.01.1241</v>
      </c>
      <c r="Q599" s="15" t="str">
        <f>VLOOKUP(A599,sinap!$A$2:$R$9000,12,FALSE)</f>
        <v>11.2.01.0038</v>
      </c>
      <c r="R599" s="15" t="str">
        <f>VLOOKUP(A599,sinap!$A$2:$R$9000,16,FALSE)</f>
        <v>11.1.01.1241</v>
      </c>
      <c r="S599" s="15" t="str">
        <f>VLOOKUP(A599,sinap!$A$2:$Y$9000,20,FALSE)</f>
        <v>SI</v>
      </c>
    </row>
    <row r="600" spans="1:19" s="16" customFormat="1" hidden="1" x14ac:dyDescent="0.25">
      <c r="A600" s="15">
        <v>15660983</v>
      </c>
      <c r="B600" s="15"/>
      <c r="C600" s="15"/>
      <c r="J600" s="15" t="str">
        <f>VLOOKUP(A600,sinap!$A$2:$R$9000,2,FALSE)</f>
        <v>H</v>
      </c>
      <c r="K600" s="15" t="str">
        <f>VLOOKUP(A600,sinap!$A$2:$R$9000,3,FALSE)</f>
        <v>VACA</v>
      </c>
      <c r="L600" s="15" t="str">
        <f>VLOOKUP(A600,sinap!$A$2:$R$9000,4,FALSE)</f>
        <v>ANGUS NEGRO</v>
      </c>
      <c r="M600" s="15" t="str">
        <f>VLOOKUP(A600,sinap!$A$2:$R$9000,5,FALSE)</f>
        <v>8 años 4 meses</v>
      </c>
      <c r="N600" s="15" t="str">
        <f>VLOOKUP(A600,sinap!$A$2:$R$9000,6,FALSE)</f>
        <v>15-09-2017</v>
      </c>
      <c r="O600" s="15" t="str">
        <f>VLOOKUP(A600,sinap!$A$2:$R$9000,7,FALSE)</f>
        <v>Vivo</v>
      </c>
      <c r="P600" s="15" t="str">
        <f>VLOOKUP(A600,sinap!$A$2:$R$9000,8,FALSE)</f>
        <v>11.1.01.1241</v>
      </c>
      <c r="Q600" s="15" t="str">
        <f>VLOOKUP(A600,sinap!$A$2:$R$9000,12,FALSE)</f>
        <v>11.2.01.0038</v>
      </c>
      <c r="R600" s="15" t="str">
        <f>VLOOKUP(A600,sinap!$A$2:$R$9000,16,FALSE)</f>
        <v>11.1.01.1241</v>
      </c>
      <c r="S600" s="15" t="str">
        <f>VLOOKUP(A600,sinap!$A$2:$Y$9000,20,FALSE)</f>
        <v>SI</v>
      </c>
    </row>
    <row r="601" spans="1:19" s="16" customFormat="1" hidden="1" x14ac:dyDescent="0.25">
      <c r="A601" s="15">
        <v>15660990</v>
      </c>
      <c r="B601" s="15"/>
      <c r="C601" s="15"/>
      <c r="G601" s="16">
        <v>45213</v>
      </c>
      <c r="J601" s="15" t="str">
        <f>VLOOKUP(A601,sinap!$A$2:$R$9000,2,FALSE)</f>
        <v>H</v>
      </c>
      <c r="K601" s="15" t="str">
        <f>VLOOKUP(A601,sinap!$A$2:$R$9000,3,FALSE)</f>
        <v>VACA</v>
      </c>
      <c r="L601" s="15" t="str">
        <f>VLOOKUP(A601,sinap!$A$2:$R$9000,4,FALSE)</f>
        <v>ANGUS ROJO</v>
      </c>
      <c r="M601" s="15" t="str">
        <f>VLOOKUP(A601,sinap!$A$2:$R$9000,5,FALSE)</f>
        <v>8 años 2 meses</v>
      </c>
      <c r="N601" s="15" t="str">
        <f>VLOOKUP(A601,sinap!$A$2:$R$9000,6,FALSE)</f>
        <v>30-10-2017</v>
      </c>
      <c r="O601" s="15" t="str">
        <f>VLOOKUP(A601,sinap!$A$2:$R$9000,7,FALSE)</f>
        <v>Vivo</v>
      </c>
      <c r="P601" s="15" t="str">
        <f>VLOOKUP(A601,sinap!$A$2:$R$9000,8,FALSE)</f>
        <v>11.1.01.0893</v>
      </c>
      <c r="Q601" s="15" t="str">
        <f>VLOOKUP(A601,sinap!$A$2:$R$9000,12,FALSE)</f>
        <v>Sin Movimiento</v>
      </c>
      <c r="R601" s="15" t="str">
        <f>VLOOKUP(A601,sinap!$A$2:$R$9000,16,FALSE)</f>
        <v>11.2.01.2071</v>
      </c>
      <c r="S601" s="15" t="str">
        <f>VLOOKUP(A601,sinap!$A$2:$Y$9000,20,FALSE)</f>
        <v>SI</v>
      </c>
    </row>
    <row r="602" spans="1:19" s="16" customFormat="1" hidden="1" x14ac:dyDescent="0.25">
      <c r="A602" s="15">
        <v>15660994</v>
      </c>
      <c r="B602" s="15"/>
      <c r="C602" s="15"/>
      <c r="G602" s="16">
        <v>45213</v>
      </c>
      <c r="J602" s="15" t="str">
        <f>VLOOKUP(A602,sinap!$A$2:$R$9000,2,FALSE)</f>
        <v>H</v>
      </c>
      <c r="K602" s="15" t="str">
        <f>VLOOKUP(A602,sinap!$A$2:$R$9000,3,FALSE)</f>
        <v>VACA</v>
      </c>
      <c r="L602" s="15" t="str">
        <f>VLOOKUP(A602,sinap!$A$2:$R$9000,4,FALSE)</f>
        <v>ANGUS ROJO</v>
      </c>
      <c r="M602" s="15" t="str">
        <f>VLOOKUP(A602,sinap!$A$2:$R$9000,5,FALSE)</f>
        <v>8 años 2 meses</v>
      </c>
      <c r="N602" s="15" t="str">
        <f>VLOOKUP(A602,sinap!$A$2:$R$9000,6,FALSE)</f>
        <v>30-10-2017</v>
      </c>
      <c r="O602" s="15" t="str">
        <f>VLOOKUP(A602,sinap!$A$2:$R$9000,7,FALSE)</f>
        <v>Vivo</v>
      </c>
      <c r="P602" s="15" t="str">
        <f>VLOOKUP(A602,sinap!$A$2:$R$9000,8,FALSE)</f>
        <v>11.1.01.0893</v>
      </c>
      <c r="Q602" s="15" t="str">
        <f>VLOOKUP(A602,sinap!$A$2:$R$9000,12,FALSE)</f>
        <v>Sin Movimiento</v>
      </c>
      <c r="R602" s="15" t="str">
        <f>VLOOKUP(A602,sinap!$A$2:$R$9000,16,FALSE)</f>
        <v>11.2.01.2071</v>
      </c>
      <c r="S602" s="15" t="str">
        <f>VLOOKUP(A602,sinap!$A$2:$Y$9000,20,FALSE)</f>
        <v>SI</v>
      </c>
    </row>
    <row r="603" spans="1:19" s="16" customFormat="1" hidden="1" x14ac:dyDescent="0.25">
      <c r="A603" s="15">
        <v>15660995</v>
      </c>
      <c r="B603" s="15"/>
      <c r="C603" s="15"/>
      <c r="G603" s="16">
        <v>45288</v>
      </c>
      <c r="J603" s="15" t="str">
        <f>VLOOKUP(A603,sinap!$A$2:$R$9000,2,FALSE)</f>
        <v>H</v>
      </c>
      <c r="K603" s="15" t="str">
        <f>VLOOKUP(A603,sinap!$A$2:$R$9000,3,FALSE)</f>
        <v>VACA</v>
      </c>
      <c r="L603" s="15" t="str">
        <f>VLOOKUP(A603,sinap!$A$2:$R$9000,4,FALSE)</f>
        <v>ANGUS NEGRO</v>
      </c>
      <c r="M603" s="15" t="str">
        <f>VLOOKUP(A603,sinap!$A$2:$R$9000,5,FALSE)</f>
        <v>8 años 4 meses</v>
      </c>
      <c r="N603" s="15" t="str">
        <f>VLOOKUP(A603,sinap!$A$2:$R$9000,6,FALSE)</f>
        <v>10-09-2017</v>
      </c>
      <c r="O603" s="15" t="str">
        <f>VLOOKUP(A603,sinap!$A$2:$R$9000,7,FALSE)</f>
        <v>Vivo</v>
      </c>
      <c r="P603" s="15" t="str">
        <f>VLOOKUP(A603,sinap!$A$2:$R$9000,8,FALSE)</f>
        <v>11.1.01.1241</v>
      </c>
      <c r="Q603" s="15" t="str">
        <f>VLOOKUP(A603,sinap!$A$2:$R$9000,12,FALSE)</f>
        <v>11.2.01.0038</v>
      </c>
      <c r="R603" s="15" t="str">
        <f>VLOOKUP(A603,sinap!$A$2:$R$9000,16,FALSE)</f>
        <v>11.2.01.2071</v>
      </c>
      <c r="S603" s="15" t="str">
        <f>VLOOKUP(A603,sinap!$A$2:$Y$9000,20,FALSE)</f>
        <v>SI</v>
      </c>
    </row>
    <row r="604" spans="1:19" s="16" customFormat="1" hidden="1" x14ac:dyDescent="0.25">
      <c r="A604" s="15">
        <v>15660998</v>
      </c>
      <c r="B604" s="15"/>
      <c r="C604" s="15"/>
      <c r="G604" s="16">
        <v>45288</v>
      </c>
      <c r="J604" s="15" t="str">
        <f>VLOOKUP(A604,sinap!$A$2:$R$9000,2,FALSE)</f>
        <v>H</v>
      </c>
      <c r="K604" s="15" t="str">
        <f>VLOOKUP(A604,sinap!$A$2:$R$9000,3,FALSE)</f>
        <v>VACA</v>
      </c>
      <c r="L604" s="15" t="str">
        <f>VLOOKUP(A604,sinap!$A$2:$R$9000,4,FALSE)</f>
        <v>ANGUS NEGRO</v>
      </c>
      <c r="M604" s="15" t="str">
        <f>VLOOKUP(A604,sinap!$A$2:$R$9000,5,FALSE)</f>
        <v>8 años 4 meses</v>
      </c>
      <c r="N604" s="15" t="str">
        <f>VLOOKUP(A604,sinap!$A$2:$R$9000,6,FALSE)</f>
        <v>10-09-2017</v>
      </c>
      <c r="O604" s="15" t="str">
        <f>VLOOKUP(A604,sinap!$A$2:$R$9000,7,FALSE)</f>
        <v>Vivo</v>
      </c>
      <c r="P604" s="15" t="str">
        <f>VLOOKUP(A604,sinap!$A$2:$R$9000,8,FALSE)</f>
        <v>11.1.01.1241</v>
      </c>
      <c r="Q604" s="15" t="str">
        <f>VLOOKUP(A604,sinap!$A$2:$R$9000,12,FALSE)</f>
        <v>11.1.01.0870</v>
      </c>
      <c r="R604" s="15" t="str">
        <f>VLOOKUP(A604,sinap!$A$2:$R$9000,16,FALSE)</f>
        <v>11.2.01.2071</v>
      </c>
      <c r="S604" s="15" t="str">
        <f>VLOOKUP(A604,sinap!$A$2:$Y$9000,20,FALSE)</f>
        <v>SI</v>
      </c>
    </row>
    <row r="605" spans="1:19" s="16" customFormat="1" hidden="1" x14ac:dyDescent="0.25">
      <c r="A605" s="15">
        <v>15661010</v>
      </c>
      <c r="B605" s="15"/>
      <c r="C605" s="15"/>
      <c r="J605" s="15" t="str">
        <f>VLOOKUP(A605,sinap!$A$2:$R$9000,2,FALSE)</f>
        <v>H</v>
      </c>
      <c r="K605" s="15" t="str">
        <f>VLOOKUP(A605,sinap!$A$2:$R$9000,3,FALSE)</f>
        <v>VACA</v>
      </c>
      <c r="L605" s="15" t="str">
        <f>VLOOKUP(A605,sinap!$A$2:$R$9000,4,FALSE)</f>
        <v>ANGUS NEGRO</v>
      </c>
      <c r="M605" s="15" t="str">
        <f>VLOOKUP(A605,sinap!$A$2:$R$9000,5,FALSE)</f>
        <v>8 años 3 meses</v>
      </c>
      <c r="N605" s="15" t="str">
        <f>VLOOKUP(A605,sinap!$A$2:$R$9000,6,FALSE)</f>
        <v>10-10-2017</v>
      </c>
      <c r="O605" s="15" t="str">
        <f>VLOOKUP(A605,sinap!$A$2:$R$9000,7,FALSE)</f>
        <v>Vivo</v>
      </c>
      <c r="P605" s="15" t="str">
        <f>VLOOKUP(A605,sinap!$A$2:$R$9000,8,FALSE)</f>
        <v>11.2.01.0038</v>
      </c>
      <c r="Q605" s="15" t="str">
        <f>VLOOKUP(A605,sinap!$A$2:$R$9000,12,FALSE)</f>
        <v>11.1.01.0893</v>
      </c>
      <c r="R605" s="15" t="str">
        <f>VLOOKUP(A605,sinap!$A$2:$R$9000,16,FALSE)</f>
        <v>11.2.01.2071</v>
      </c>
      <c r="S605" s="15" t="str">
        <f>VLOOKUP(A605,sinap!$A$2:$Y$9000,20,FALSE)</f>
        <v>SI</v>
      </c>
    </row>
    <row r="606" spans="1:19" s="16" customFormat="1" hidden="1" x14ac:dyDescent="0.25">
      <c r="A606" s="15">
        <v>15661014</v>
      </c>
      <c r="B606" s="15"/>
      <c r="C606" s="15"/>
      <c r="J606" s="15" t="str">
        <f>VLOOKUP(A606,sinap!$A$2:$R$9000,2,FALSE)</f>
        <v>H</v>
      </c>
      <c r="K606" s="15" t="str">
        <f>VLOOKUP(A606,sinap!$A$2:$R$9000,3,FALSE)</f>
        <v>VACA</v>
      </c>
      <c r="L606" s="15" t="str">
        <f>VLOOKUP(A606,sinap!$A$2:$R$9000,4,FALSE)</f>
        <v>ANGUS ROJO</v>
      </c>
      <c r="M606" s="15" t="str">
        <f>VLOOKUP(A606,sinap!$A$2:$R$9000,5,FALSE)</f>
        <v>8 años 4 meses</v>
      </c>
      <c r="N606" s="15" t="str">
        <f>VLOOKUP(A606,sinap!$A$2:$R$9000,6,FALSE)</f>
        <v>30-08-2017</v>
      </c>
      <c r="O606" s="15" t="str">
        <f>VLOOKUP(A606,sinap!$A$2:$R$9000,7,FALSE)</f>
        <v>Vivo</v>
      </c>
      <c r="P606" s="15" t="str">
        <f>VLOOKUP(A606,sinap!$A$2:$R$9000,8,FALSE)</f>
        <v>11.1.01.1241</v>
      </c>
      <c r="Q606" s="15" t="str">
        <f>VLOOKUP(A606,sinap!$A$2:$R$9000,12,FALSE)</f>
        <v>11.1.01.1022</v>
      </c>
      <c r="R606" s="15" t="str">
        <f>VLOOKUP(A606,sinap!$A$2:$R$9000,16,FALSE)</f>
        <v>11.2.01.2071</v>
      </c>
      <c r="S606" s="15" t="str">
        <f>VLOOKUP(A606,sinap!$A$2:$Y$9000,20,FALSE)</f>
        <v>SI</v>
      </c>
    </row>
    <row r="607" spans="1:19" s="16" customFormat="1" hidden="1" x14ac:dyDescent="0.25">
      <c r="A607" s="15">
        <v>15661059</v>
      </c>
      <c r="B607" s="15"/>
      <c r="C607" s="15"/>
      <c r="J607" s="15" t="str">
        <f>VLOOKUP(A607,sinap!$A$2:$R$9000,2,FALSE)</f>
        <v>H</v>
      </c>
      <c r="K607" s="15" t="str">
        <f>VLOOKUP(A607,sinap!$A$2:$R$9000,3,FALSE)</f>
        <v>VACA</v>
      </c>
      <c r="L607" s="15" t="str">
        <f>VLOOKUP(A607,sinap!$A$2:$R$9000,4,FALSE)</f>
        <v>ANGUS NEGRO</v>
      </c>
      <c r="M607" s="15" t="str">
        <f>VLOOKUP(A607,sinap!$A$2:$R$9000,5,FALSE)</f>
        <v>8 años 4 meses</v>
      </c>
      <c r="N607" s="15" t="str">
        <f>VLOOKUP(A607,sinap!$A$2:$R$9000,6,FALSE)</f>
        <v>10-09-2017</v>
      </c>
      <c r="O607" s="15" t="str">
        <f>VLOOKUP(A607,sinap!$A$2:$R$9000,7,FALSE)</f>
        <v>Vivo</v>
      </c>
      <c r="P607" s="15" t="str">
        <f>VLOOKUP(A607,sinap!$A$2:$R$9000,8,FALSE)</f>
        <v>11.1.01.1241</v>
      </c>
      <c r="Q607" s="15" t="str">
        <f>VLOOKUP(A607,sinap!$A$2:$R$9000,12,FALSE)</f>
        <v>11.1.01.1022</v>
      </c>
      <c r="R607" s="15" t="str">
        <f>VLOOKUP(A607,sinap!$A$2:$R$9000,16,FALSE)</f>
        <v>11.1.01.1241</v>
      </c>
      <c r="S607" s="15" t="str">
        <f>VLOOKUP(A607,sinap!$A$2:$Y$9000,20,FALSE)</f>
        <v>SI</v>
      </c>
    </row>
    <row r="608" spans="1:19" s="16" customFormat="1" hidden="1" x14ac:dyDescent="0.25">
      <c r="A608" s="15">
        <v>15661060</v>
      </c>
      <c r="B608" s="15"/>
      <c r="C608" s="15"/>
      <c r="J608" s="15" t="str">
        <f>VLOOKUP(A608,sinap!$A$2:$R$9000,2,FALSE)</f>
        <v>H</v>
      </c>
      <c r="K608" s="15" t="str">
        <f>VLOOKUP(A608,sinap!$A$2:$R$9000,3,FALSE)</f>
        <v>VACA</v>
      </c>
      <c r="L608" s="15" t="str">
        <f>VLOOKUP(A608,sinap!$A$2:$R$9000,4,FALSE)</f>
        <v>ANGUS NEGRO</v>
      </c>
      <c r="M608" s="15" t="str">
        <f>VLOOKUP(A608,sinap!$A$2:$R$9000,5,FALSE)</f>
        <v>8 años 2 meses</v>
      </c>
      <c r="N608" s="15" t="str">
        <f>VLOOKUP(A608,sinap!$A$2:$R$9000,6,FALSE)</f>
        <v>30-10-2017</v>
      </c>
      <c r="O608" s="15" t="str">
        <f>VLOOKUP(A608,sinap!$A$2:$R$9000,7,FALSE)</f>
        <v>Vivo</v>
      </c>
      <c r="P608" s="15" t="str">
        <f>VLOOKUP(A608,sinap!$A$2:$R$9000,8,FALSE)</f>
        <v>11.1.01.1241</v>
      </c>
      <c r="Q608" s="15" t="str">
        <f>VLOOKUP(A608,sinap!$A$2:$R$9000,12,FALSE)</f>
        <v>11.2.01.0038</v>
      </c>
      <c r="R608" s="15" t="str">
        <f>VLOOKUP(A608,sinap!$A$2:$R$9000,16,FALSE)</f>
        <v>11.1.01.1241</v>
      </c>
      <c r="S608" s="15" t="str">
        <f>VLOOKUP(A608,sinap!$A$2:$Y$9000,20,FALSE)</f>
        <v>SI</v>
      </c>
    </row>
    <row r="609" spans="1:19" s="16" customFormat="1" hidden="1" x14ac:dyDescent="0.25">
      <c r="A609" s="15">
        <v>15661061</v>
      </c>
      <c r="B609" s="15"/>
      <c r="C609" s="15"/>
      <c r="G609" s="16">
        <v>45090</v>
      </c>
      <c r="J609" s="15" t="str">
        <f>VLOOKUP(A609,sinap!$A$2:$R$9000,2,FALSE)</f>
        <v>H</v>
      </c>
      <c r="K609" s="15" t="str">
        <f>VLOOKUP(A609,sinap!$A$2:$R$9000,3,FALSE)</f>
        <v>VACA</v>
      </c>
      <c r="L609" s="15" t="str">
        <f>VLOOKUP(A609,sinap!$A$2:$R$9000,4,FALSE)</f>
        <v>ANGUS NEGRO</v>
      </c>
      <c r="M609" s="15" t="str">
        <f>VLOOKUP(A609,sinap!$A$2:$R$9000,5,FALSE)</f>
        <v>8 años 3 meses</v>
      </c>
      <c r="N609" s="15" t="str">
        <f>VLOOKUP(A609,sinap!$A$2:$R$9000,6,FALSE)</f>
        <v>20-09-2017</v>
      </c>
      <c r="O609" s="15" t="str">
        <f>VLOOKUP(A609,sinap!$A$2:$R$9000,7,FALSE)</f>
        <v>Vivo</v>
      </c>
      <c r="P609" s="15" t="str">
        <f>VLOOKUP(A609,sinap!$A$2:$R$9000,8,FALSE)</f>
        <v>11.1.01.0791</v>
      </c>
      <c r="Q609" s="15" t="str">
        <f>VLOOKUP(A609,sinap!$A$2:$R$9000,12,FALSE)</f>
        <v>11.1.01.0893</v>
      </c>
      <c r="R609" s="15" t="str">
        <f>VLOOKUP(A609,sinap!$A$2:$R$9000,16,FALSE)</f>
        <v>11.1.01.1241</v>
      </c>
      <c r="S609" s="15" t="str">
        <f>VLOOKUP(A609,sinap!$A$2:$Y$9000,20,FALSE)</f>
        <v>SI</v>
      </c>
    </row>
    <row r="610" spans="1:19" s="16" customFormat="1" hidden="1" x14ac:dyDescent="0.25">
      <c r="A610" s="15">
        <v>15661063</v>
      </c>
      <c r="B610" s="15"/>
      <c r="C610" s="15"/>
      <c r="G610" s="16">
        <v>45288</v>
      </c>
      <c r="H610" s="16">
        <v>45648</v>
      </c>
      <c r="I610" s="16">
        <v>45671</v>
      </c>
      <c r="J610" s="15" t="str">
        <f>VLOOKUP(A610,sinap!$A$2:$R$9000,2,FALSE)</f>
        <v>H</v>
      </c>
      <c r="K610" s="15" t="str">
        <f>VLOOKUP(A610,sinap!$A$2:$R$9000,3,FALSE)</f>
        <v>VACA</v>
      </c>
      <c r="L610" s="15" t="str">
        <f>VLOOKUP(A610,sinap!$A$2:$R$9000,4,FALSE)</f>
        <v>ANGUS NEGRO</v>
      </c>
      <c r="M610" s="15" t="str">
        <f>VLOOKUP(A610,sinap!$A$2:$R$9000,5,FALSE)</f>
        <v>8 años 3 meses</v>
      </c>
      <c r="N610" s="15" t="str">
        <f>VLOOKUP(A610,sinap!$A$2:$R$9000,6,FALSE)</f>
        <v>30-09-2017</v>
      </c>
      <c r="O610" s="15" t="str">
        <f>VLOOKUP(A610,sinap!$A$2:$R$9000,7,FALSE)</f>
        <v>Vivo</v>
      </c>
      <c r="P610" s="15" t="str">
        <f>VLOOKUP(A610,sinap!$A$2:$R$9000,8,FALSE)</f>
        <v>11.1.01.1241</v>
      </c>
      <c r="Q610" s="15" t="str">
        <f>VLOOKUP(A610,sinap!$A$2:$R$9000,12,FALSE)</f>
        <v>11.2.01.0038</v>
      </c>
      <c r="R610" s="15" t="str">
        <f>VLOOKUP(A610,sinap!$A$2:$R$9000,16,FALSE)</f>
        <v>11.1.01.1241</v>
      </c>
      <c r="S610" s="15" t="str">
        <f>VLOOKUP(A610,sinap!$A$2:$Y$9000,20,FALSE)</f>
        <v>SI</v>
      </c>
    </row>
    <row r="611" spans="1:19" s="16" customFormat="1" hidden="1" x14ac:dyDescent="0.25">
      <c r="A611" s="15">
        <v>15661069</v>
      </c>
      <c r="B611" s="15"/>
      <c r="C611" s="15"/>
      <c r="G611" s="16">
        <v>45213</v>
      </c>
      <c r="J611" s="15" t="str">
        <f>VLOOKUP(A611,sinap!$A$2:$R$9000,2,FALSE)</f>
        <v>H</v>
      </c>
      <c r="K611" s="15" t="str">
        <f>VLOOKUP(A611,sinap!$A$2:$R$9000,3,FALSE)</f>
        <v>VACA</v>
      </c>
      <c r="L611" s="15" t="str">
        <f>VLOOKUP(A611,sinap!$A$2:$R$9000,4,FALSE)</f>
        <v>ANGUS NEGRO</v>
      </c>
      <c r="M611" s="15" t="str">
        <f>VLOOKUP(A611,sinap!$A$2:$R$9000,5,FALSE)</f>
        <v>8 años 2 meses</v>
      </c>
      <c r="N611" s="15" t="str">
        <f>VLOOKUP(A611,sinap!$A$2:$R$9000,6,FALSE)</f>
        <v>10-11-2017</v>
      </c>
      <c r="O611" s="15" t="str">
        <f>VLOOKUP(A611,sinap!$A$2:$R$9000,7,FALSE)</f>
        <v>Vivo</v>
      </c>
      <c r="P611" s="15" t="str">
        <f>VLOOKUP(A611,sinap!$A$2:$R$9000,8,FALSE)</f>
        <v>11.1.01.1241</v>
      </c>
      <c r="Q611" s="15" t="str">
        <f>VLOOKUP(A611,sinap!$A$2:$R$9000,12,FALSE)</f>
        <v>Sin Movimiento</v>
      </c>
      <c r="R611" s="15" t="str">
        <f>VLOOKUP(A611,sinap!$A$2:$R$9000,16,FALSE)</f>
        <v>11.1.01.1241</v>
      </c>
      <c r="S611" s="15" t="str">
        <f>VLOOKUP(A611,sinap!$A$2:$Y$9000,20,FALSE)</f>
        <v>SI</v>
      </c>
    </row>
    <row r="612" spans="1:19" s="16" customFormat="1" hidden="1" x14ac:dyDescent="0.25">
      <c r="A612" s="15">
        <v>15661072</v>
      </c>
      <c r="B612" s="15"/>
      <c r="C612" s="15"/>
      <c r="G612" s="16">
        <v>45288</v>
      </c>
      <c r="H612" s="16">
        <v>45297</v>
      </c>
      <c r="J612" s="15" t="str">
        <f>VLOOKUP(A612,sinap!$A$2:$R$9000,2,FALSE)</f>
        <v>H</v>
      </c>
      <c r="K612" s="15" t="str">
        <f>VLOOKUP(A612,sinap!$A$2:$R$9000,3,FALSE)</f>
        <v>VACA</v>
      </c>
      <c r="L612" s="15" t="str">
        <f>VLOOKUP(A612,sinap!$A$2:$R$9000,4,FALSE)</f>
        <v>ANGUS NEGRO</v>
      </c>
      <c r="M612" s="15" t="str">
        <f>VLOOKUP(A612,sinap!$A$2:$R$9000,5,FALSE)</f>
        <v>8 años 2 meses</v>
      </c>
      <c r="N612" s="15" t="str">
        <f>VLOOKUP(A612,sinap!$A$2:$R$9000,6,FALSE)</f>
        <v>20-10-2017</v>
      </c>
      <c r="O612" s="15" t="str">
        <f>VLOOKUP(A612,sinap!$A$2:$R$9000,7,FALSE)</f>
        <v>Vivo</v>
      </c>
      <c r="P612" s="15" t="str">
        <f>VLOOKUP(A612,sinap!$A$2:$R$9000,8,FALSE)</f>
        <v>11.2.01.0038</v>
      </c>
      <c r="Q612" s="15" t="str">
        <f>VLOOKUP(A612,sinap!$A$2:$R$9000,12,FALSE)</f>
        <v>11.1.01.0893</v>
      </c>
      <c r="R612" s="15" t="str">
        <f>VLOOKUP(A612,sinap!$A$2:$R$9000,16,FALSE)</f>
        <v>11.1.01.1241</v>
      </c>
      <c r="S612" s="15" t="str">
        <f>VLOOKUP(A612,sinap!$A$2:$Y$9000,20,FALSE)</f>
        <v>SI</v>
      </c>
    </row>
    <row r="613" spans="1:19" s="16" customFormat="1" hidden="1" x14ac:dyDescent="0.25">
      <c r="A613" s="15">
        <v>15661083</v>
      </c>
      <c r="B613" s="15"/>
      <c r="C613" s="15"/>
      <c r="G613" s="16">
        <v>45288</v>
      </c>
      <c r="J613" s="15" t="str">
        <f>VLOOKUP(A613,sinap!$A$2:$R$9000,2,FALSE)</f>
        <v>H</v>
      </c>
      <c r="K613" s="15" t="str">
        <f>VLOOKUP(A613,sinap!$A$2:$R$9000,3,FALSE)</f>
        <v>VACA</v>
      </c>
      <c r="L613" s="15" t="str">
        <f>VLOOKUP(A613,sinap!$A$2:$R$9000,4,FALSE)</f>
        <v>ANGUS NEGRO</v>
      </c>
      <c r="M613" s="15" t="str">
        <f>VLOOKUP(A613,sinap!$A$2:$R$9000,5,FALSE)</f>
        <v>8 años 2 meses</v>
      </c>
      <c r="N613" s="15" t="str">
        <f>VLOOKUP(A613,sinap!$A$2:$R$9000,6,FALSE)</f>
        <v>30-10-2017</v>
      </c>
      <c r="O613" s="15" t="str">
        <f>VLOOKUP(A613,sinap!$A$2:$R$9000,7,FALSE)</f>
        <v>Vivo</v>
      </c>
      <c r="P613" s="15" t="str">
        <f>VLOOKUP(A613,sinap!$A$2:$R$9000,8,FALSE)</f>
        <v>11.1.01.1241</v>
      </c>
      <c r="Q613" s="15" t="str">
        <f>VLOOKUP(A613,sinap!$A$2:$R$9000,12,FALSE)</f>
        <v>11.1.01.1022</v>
      </c>
      <c r="R613" s="15" t="str">
        <f>VLOOKUP(A613,sinap!$A$2:$R$9000,16,FALSE)</f>
        <v>11.1.01.1241</v>
      </c>
      <c r="S613" s="15" t="str">
        <f>VLOOKUP(A613,sinap!$A$2:$Y$9000,20,FALSE)</f>
        <v>SI</v>
      </c>
    </row>
    <row r="614" spans="1:19" s="16" customFormat="1" hidden="1" x14ac:dyDescent="0.25">
      <c r="A614" s="15">
        <v>15661090</v>
      </c>
      <c r="B614" s="15"/>
      <c r="C614" s="15"/>
      <c r="G614" s="16">
        <v>45213</v>
      </c>
      <c r="J614" s="15" t="str">
        <f>VLOOKUP(A614,sinap!$A$2:$R$9000,2,FALSE)</f>
        <v>H</v>
      </c>
      <c r="K614" s="15" t="str">
        <f>VLOOKUP(A614,sinap!$A$2:$R$9000,3,FALSE)</f>
        <v>VACA</v>
      </c>
      <c r="L614" s="15" t="str">
        <f>VLOOKUP(A614,sinap!$A$2:$R$9000,4,FALSE)</f>
        <v>ANGUS ROJO</v>
      </c>
      <c r="M614" s="15" t="str">
        <f>VLOOKUP(A614,sinap!$A$2:$R$9000,5,FALSE)</f>
        <v>8 años 3 meses</v>
      </c>
      <c r="N614" s="15" t="str">
        <f>VLOOKUP(A614,sinap!$A$2:$R$9000,6,FALSE)</f>
        <v>10-10-2017</v>
      </c>
      <c r="O614" s="15" t="str">
        <f>VLOOKUP(A614,sinap!$A$2:$R$9000,7,FALSE)</f>
        <v>Vivo</v>
      </c>
      <c r="P614" s="15" t="str">
        <f>VLOOKUP(A614,sinap!$A$2:$R$9000,8,FALSE)</f>
        <v>11.1.01.2304</v>
      </c>
      <c r="Q614" s="15" t="str">
        <f>VLOOKUP(A614,sinap!$A$2:$R$9000,12,FALSE)</f>
        <v>11.1.01.0941</v>
      </c>
      <c r="R614" s="15" t="str">
        <f>VLOOKUP(A614,sinap!$A$2:$R$9000,16,FALSE)</f>
        <v>11.1.01.1241</v>
      </c>
      <c r="S614" s="15" t="str">
        <f>VLOOKUP(A614,sinap!$A$2:$Y$9000,20,FALSE)</f>
        <v>SI</v>
      </c>
    </row>
    <row r="615" spans="1:19" s="16" customFormat="1" hidden="1" x14ac:dyDescent="0.25">
      <c r="A615" s="15">
        <v>15661093</v>
      </c>
      <c r="B615" s="15"/>
      <c r="C615" s="15"/>
      <c r="G615" s="16">
        <v>45213</v>
      </c>
      <c r="J615" s="15" t="str">
        <f>VLOOKUP(A615,sinap!$A$2:$R$9000,2,FALSE)</f>
        <v>H</v>
      </c>
      <c r="K615" s="15" t="str">
        <f>VLOOKUP(A615,sinap!$A$2:$R$9000,3,FALSE)</f>
        <v>VACA</v>
      </c>
      <c r="L615" s="15" t="str">
        <f>VLOOKUP(A615,sinap!$A$2:$R$9000,4,FALSE)</f>
        <v>ANGUS NEGRO</v>
      </c>
      <c r="M615" s="15" t="str">
        <f>VLOOKUP(A615,sinap!$A$2:$R$9000,5,FALSE)</f>
        <v>8 años 3 meses</v>
      </c>
      <c r="N615" s="15" t="str">
        <f>VLOOKUP(A615,sinap!$A$2:$R$9000,6,FALSE)</f>
        <v>30-09-2017</v>
      </c>
      <c r="O615" s="15" t="str">
        <f>VLOOKUP(A615,sinap!$A$2:$R$9000,7,FALSE)</f>
        <v>Vivo</v>
      </c>
      <c r="P615" s="15" t="str">
        <f>VLOOKUP(A615,sinap!$A$2:$R$9000,8,FALSE)</f>
        <v>11.1.01.1241</v>
      </c>
      <c r="Q615" s="15" t="str">
        <f>VLOOKUP(A615,sinap!$A$2:$R$9000,12,FALSE)</f>
        <v>11.1.01.1022</v>
      </c>
      <c r="R615" s="15" t="str">
        <f>VLOOKUP(A615,sinap!$A$2:$R$9000,16,FALSE)</f>
        <v>11.1.01.1241</v>
      </c>
      <c r="S615" s="15" t="str">
        <f>VLOOKUP(A615,sinap!$A$2:$Y$9000,20,FALSE)</f>
        <v>SI</v>
      </c>
    </row>
    <row r="616" spans="1:19" s="16" customFormat="1" hidden="1" x14ac:dyDescent="0.25">
      <c r="A616" s="15">
        <v>15661098</v>
      </c>
      <c r="B616" s="15"/>
      <c r="C616" s="15"/>
      <c r="G616" s="16">
        <v>45213</v>
      </c>
      <c r="J616" s="15" t="str">
        <f>VLOOKUP(A616,sinap!$A$2:$R$9000,2,FALSE)</f>
        <v>H</v>
      </c>
      <c r="K616" s="15" t="str">
        <f>VLOOKUP(A616,sinap!$A$2:$R$9000,3,FALSE)</f>
        <v>VACA</v>
      </c>
      <c r="L616" s="15" t="str">
        <f>VLOOKUP(A616,sinap!$A$2:$R$9000,4,FALSE)</f>
        <v>ANGUS NEGRO</v>
      </c>
      <c r="M616" s="15" t="str">
        <f>VLOOKUP(A616,sinap!$A$2:$R$9000,5,FALSE)</f>
        <v>8 años 3 meses</v>
      </c>
      <c r="N616" s="15" t="str">
        <f>VLOOKUP(A616,sinap!$A$2:$R$9000,6,FALSE)</f>
        <v>10-10-2017</v>
      </c>
      <c r="O616" s="15" t="str">
        <f>VLOOKUP(A616,sinap!$A$2:$R$9000,7,FALSE)</f>
        <v>Vivo</v>
      </c>
      <c r="P616" s="15" t="str">
        <f>VLOOKUP(A616,sinap!$A$2:$R$9000,8,FALSE)</f>
        <v>11.1.01.1241</v>
      </c>
      <c r="Q616" s="15" t="str">
        <f>VLOOKUP(A616,sinap!$A$2:$R$9000,12,FALSE)</f>
        <v>11.1.01.1022</v>
      </c>
      <c r="R616" s="15" t="str">
        <f>VLOOKUP(A616,sinap!$A$2:$R$9000,16,FALSE)</f>
        <v>11.1.01.1241</v>
      </c>
      <c r="S616" s="15" t="str">
        <f>VLOOKUP(A616,sinap!$A$2:$Y$9000,20,FALSE)</f>
        <v>SI</v>
      </c>
    </row>
    <row r="617" spans="1:19" s="16" customFormat="1" hidden="1" x14ac:dyDescent="0.25">
      <c r="A617" s="15">
        <v>15661107</v>
      </c>
      <c r="B617" s="15"/>
      <c r="C617" s="15"/>
      <c r="G617" s="16">
        <v>45213</v>
      </c>
      <c r="J617" s="15" t="str">
        <f>VLOOKUP(A617,sinap!$A$2:$R$9000,2,FALSE)</f>
        <v>H</v>
      </c>
      <c r="K617" s="15" t="str">
        <f>VLOOKUP(A617,sinap!$A$2:$R$9000,3,FALSE)</f>
        <v>VACA</v>
      </c>
      <c r="L617" s="15" t="str">
        <f>VLOOKUP(A617,sinap!$A$2:$R$9000,4,FALSE)</f>
        <v>ANGUS ROJO</v>
      </c>
      <c r="M617" s="15" t="str">
        <f>VLOOKUP(A617,sinap!$A$2:$R$9000,5,FALSE)</f>
        <v>8 años 2 meses</v>
      </c>
      <c r="N617" s="15" t="str">
        <f>VLOOKUP(A617,sinap!$A$2:$R$9000,6,FALSE)</f>
        <v>10-11-2017</v>
      </c>
      <c r="O617" s="15" t="str">
        <f>VLOOKUP(A617,sinap!$A$2:$R$9000,7,FALSE)</f>
        <v>Vivo</v>
      </c>
      <c r="P617" s="15" t="str">
        <f>VLOOKUP(A617,sinap!$A$2:$R$9000,8,FALSE)</f>
        <v>11.2.01.0038</v>
      </c>
      <c r="Q617" s="15" t="str">
        <f>VLOOKUP(A617,sinap!$A$2:$R$9000,12,FALSE)</f>
        <v>11.1.01.0893</v>
      </c>
      <c r="R617" s="15" t="str">
        <f>VLOOKUP(A617,sinap!$A$2:$R$9000,16,FALSE)</f>
        <v>11.1.01.1241</v>
      </c>
      <c r="S617" s="15" t="str">
        <f>VLOOKUP(A617,sinap!$A$2:$Y$9000,20,FALSE)</f>
        <v>SI</v>
      </c>
    </row>
    <row r="618" spans="1:19" s="16" customFormat="1" hidden="1" x14ac:dyDescent="0.25">
      <c r="A618" s="15">
        <v>15661116</v>
      </c>
      <c r="B618" s="15"/>
      <c r="C618" s="15"/>
      <c r="G618" s="16">
        <v>45288</v>
      </c>
      <c r="J618" s="15" t="str">
        <f>VLOOKUP(A618,sinap!$A$2:$R$9000,2,FALSE)</f>
        <v>H</v>
      </c>
      <c r="K618" s="15" t="str">
        <f>VLOOKUP(A618,sinap!$A$2:$R$9000,3,FALSE)</f>
        <v>VACA</v>
      </c>
      <c r="L618" s="15" t="str">
        <f>VLOOKUP(A618,sinap!$A$2:$R$9000,4,FALSE)</f>
        <v>ANGUS NEGRO</v>
      </c>
      <c r="M618" s="15" t="str">
        <f>VLOOKUP(A618,sinap!$A$2:$R$9000,5,FALSE)</f>
        <v>8 años 2 meses</v>
      </c>
      <c r="N618" s="15" t="str">
        <f>VLOOKUP(A618,sinap!$A$2:$R$9000,6,FALSE)</f>
        <v>10-11-2017</v>
      </c>
      <c r="O618" s="15" t="str">
        <f>VLOOKUP(A618,sinap!$A$2:$R$9000,7,FALSE)</f>
        <v>Vivo</v>
      </c>
      <c r="P618" s="15" t="str">
        <f>VLOOKUP(A618,sinap!$A$2:$R$9000,8,FALSE)</f>
        <v>11.1.01.1241</v>
      </c>
      <c r="Q618" s="15" t="str">
        <f>VLOOKUP(A618,sinap!$A$2:$R$9000,12,FALSE)</f>
        <v>Sin Movimiento</v>
      </c>
      <c r="R618" s="15" t="str">
        <f>VLOOKUP(A618,sinap!$A$2:$R$9000,16,FALSE)</f>
        <v>11.1.01.1241</v>
      </c>
      <c r="S618" s="15" t="str">
        <f>VLOOKUP(A618,sinap!$A$2:$Y$9000,20,FALSE)</f>
        <v>SI</v>
      </c>
    </row>
    <row r="619" spans="1:19" s="16" customFormat="1" hidden="1" x14ac:dyDescent="0.25">
      <c r="A619" s="15">
        <v>15661123</v>
      </c>
      <c r="B619" s="15"/>
      <c r="C619" s="15"/>
      <c r="J619" s="15" t="str">
        <f>VLOOKUP(A619,sinap!$A$2:$R$9000,2,FALSE)</f>
        <v>H</v>
      </c>
      <c r="K619" s="15" t="str">
        <f>VLOOKUP(A619,sinap!$A$2:$R$9000,3,FALSE)</f>
        <v>VACA</v>
      </c>
      <c r="L619" s="15" t="str">
        <f>VLOOKUP(A619,sinap!$A$2:$R$9000,4,FALSE)</f>
        <v>ANGUS NEGRO</v>
      </c>
      <c r="M619" s="15" t="str">
        <f>VLOOKUP(A619,sinap!$A$2:$R$9000,5,FALSE)</f>
        <v>8 años 3 meses</v>
      </c>
      <c r="N619" s="15" t="str">
        <f>VLOOKUP(A619,sinap!$A$2:$R$9000,6,FALSE)</f>
        <v>15-10-2017</v>
      </c>
      <c r="O619" s="15" t="str">
        <f>VLOOKUP(A619,sinap!$A$2:$R$9000,7,FALSE)</f>
        <v>Vivo</v>
      </c>
      <c r="P619" s="15" t="str">
        <f>VLOOKUP(A619,sinap!$A$2:$R$9000,8,FALSE)</f>
        <v>11.1.01.0893</v>
      </c>
      <c r="Q619" s="15" t="str">
        <f>VLOOKUP(A619,sinap!$A$2:$R$9000,12,FALSE)</f>
        <v>11.2.01.0053</v>
      </c>
      <c r="R619" s="15" t="str">
        <f>VLOOKUP(A619,sinap!$A$2:$R$9000,16,FALSE)</f>
        <v>11.1.01.1241</v>
      </c>
      <c r="S619" s="15" t="str">
        <f>VLOOKUP(A619,sinap!$A$2:$Y$9000,20,FALSE)</f>
        <v>SI</v>
      </c>
    </row>
    <row r="620" spans="1:19" s="16" customFormat="1" hidden="1" x14ac:dyDescent="0.25">
      <c r="A620" s="15">
        <v>15661131</v>
      </c>
      <c r="B620" s="15"/>
      <c r="C620" s="15"/>
      <c r="J620" s="15" t="str">
        <f>VLOOKUP(A620,sinap!$A$2:$R$9000,2,FALSE)</f>
        <v>H</v>
      </c>
      <c r="K620" s="15" t="str">
        <f>VLOOKUP(A620,sinap!$A$2:$R$9000,3,FALSE)</f>
        <v>VACA</v>
      </c>
      <c r="L620" s="15" t="str">
        <f>VLOOKUP(A620,sinap!$A$2:$R$9000,4,FALSE)</f>
        <v>ANGUS NEGRO</v>
      </c>
      <c r="M620" s="15" t="str">
        <f>VLOOKUP(A620,sinap!$A$2:$R$9000,5,FALSE)</f>
        <v>8 años 3 meses</v>
      </c>
      <c r="N620" s="15" t="str">
        <f>VLOOKUP(A620,sinap!$A$2:$R$9000,6,FALSE)</f>
        <v>30-09-2017</v>
      </c>
      <c r="O620" s="15" t="str">
        <f>VLOOKUP(A620,sinap!$A$2:$R$9000,7,FALSE)</f>
        <v>Vivo</v>
      </c>
      <c r="P620" s="15" t="str">
        <f>VLOOKUP(A620,sinap!$A$2:$R$9000,8,FALSE)</f>
        <v>11.2.01.0038</v>
      </c>
      <c r="Q620" s="15" t="str">
        <f>VLOOKUP(A620,sinap!$A$2:$R$9000,12,FALSE)</f>
        <v>11.1.01.0893</v>
      </c>
      <c r="R620" s="15" t="str">
        <f>VLOOKUP(A620,sinap!$A$2:$R$9000,16,FALSE)</f>
        <v>11.1.01.1241</v>
      </c>
      <c r="S620" s="15" t="str">
        <f>VLOOKUP(A620,sinap!$A$2:$Y$9000,20,FALSE)</f>
        <v>SI</v>
      </c>
    </row>
    <row r="621" spans="1:19" s="16" customFormat="1" hidden="1" x14ac:dyDescent="0.25">
      <c r="A621" s="15">
        <v>15661133</v>
      </c>
      <c r="B621" s="15"/>
      <c r="C621" s="15"/>
      <c r="J621" s="15" t="str">
        <f>VLOOKUP(A621,sinap!$A$2:$R$9000,2,FALSE)</f>
        <v>H</v>
      </c>
      <c r="K621" s="15" t="str">
        <f>VLOOKUP(A621,sinap!$A$2:$R$9000,3,FALSE)</f>
        <v>VACA</v>
      </c>
      <c r="L621" s="15" t="str">
        <f>VLOOKUP(A621,sinap!$A$2:$R$9000,4,FALSE)</f>
        <v>ANGUS NEGRO</v>
      </c>
      <c r="M621" s="15" t="str">
        <f>VLOOKUP(A621,sinap!$A$2:$R$9000,5,FALSE)</f>
        <v>8 años 1 meses</v>
      </c>
      <c r="N621" s="15" t="str">
        <f>VLOOKUP(A621,sinap!$A$2:$R$9000,6,FALSE)</f>
        <v>20-11-2017</v>
      </c>
      <c r="O621" s="15" t="str">
        <f>VLOOKUP(A621,sinap!$A$2:$R$9000,7,FALSE)</f>
        <v>Vivo</v>
      </c>
      <c r="P621" s="15" t="str">
        <f>VLOOKUP(A621,sinap!$A$2:$R$9000,8,FALSE)</f>
        <v>11.1.01.1241</v>
      </c>
      <c r="Q621" s="15" t="str">
        <f>VLOOKUP(A621,sinap!$A$2:$R$9000,12,FALSE)</f>
        <v>Sin Movimiento</v>
      </c>
      <c r="R621" s="15" t="str">
        <f>VLOOKUP(A621,sinap!$A$2:$R$9000,16,FALSE)</f>
        <v>11.1.01.1241</v>
      </c>
      <c r="S621" s="15" t="str">
        <f>VLOOKUP(A621,sinap!$A$2:$Y$9000,20,FALSE)</f>
        <v>SI</v>
      </c>
    </row>
    <row r="622" spans="1:19" s="16" customFormat="1" hidden="1" x14ac:dyDescent="0.25">
      <c r="A622" s="15">
        <v>15661158</v>
      </c>
      <c r="B622" s="15"/>
      <c r="C622" s="15"/>
      <c r="G622" s="16">
        <v>45288</v>
      </c>
      <c r="H622" s="16">
        <v>45648</v>
      </c>
      <c r="I622" s="16">
        <v>45671</v>
      </c>
      <c r="J622" s="15" t="str">
        <f>VLOOKUP(A622,sinap!$A$2:$R$9000,2,FALSE)</f>
        <v>H</v>
      </c>
      <c r="K622" s="15" t="str">
        <f>VLOOKUP(A622,sinap!$A$2:$R$9000,3,FALSE)</f>
        <v>VACA</v>
      </c>
      <c r="L622" s="15" t="str">
        <f>VLOOKUP(A622,sinap!$A$2:$R$9000,4,FALSE)</f>
        <v>ANGUS NEGRO</v>
      </c>
      <c r="M622" s="15" t="str">
        <f>VLOOKUP(A622,sinap!$A$2:$R$9000,5,FALSE)</f>
        <v>8 años 3 meses</v>
      </c>
      <c r="N622" s="15" t="str">
        <f>VLOOKUP(A622,sinap!$A$2:$R$9000,6,FALSE)</f>
        <v>20-09-2017</v>
      </c>
      <c r="O622" s="15" t="str">
        <f>VLOOKUP(A622,sinap!$A$2:$R$9000,7,FALSE)</f>
        <v>Vivo</v>
      </c>
      <c r="P622" s="15" t="str">
        <f>VLOOKUP(A622,sinap!$A$2:$R$9000,8,FALSE)</f>
        <v>11.1.01.1241</v>
      </c>
      <c r="Q622" s="15" t="str">
        <f>VLOOKUP(A622,sinap!$A$2:$R$9000,12,FALSE)</f>
        <v>11.2.01.0038</v>
      </c>
      <c r="R622" s="15" t="str">
        <f>VLOOKUP(A622,sinap!$A$2:$R$9000,16,FALSE)</f>
        <v>11.1.01.1241</v>
      </c>
      <c r="S622" s="15" t="str">
        <f>VLOOKUP(A622,sinap!$A$2:$Y$9000,20,FALSE)</f>
        <v>SI</v>
      </c>
    </row>
    <row r="623" spans="1:19" s="16" customFormat="1" hidden="1" x14ac:dyDescent="0.25">
      <c r="A623" s="15">
        <v>15661164</v>
      </c>
      <c r="B623" s="15"/>
      <c r="C623" s="15"/>
      <c r="G623" s="16">
        <v>45288</v>
      </c>
      <c r="H623" s="16">
        <v>45648</v>
      </c>
      <c r="I623" s="16">
        <v>45965</v>
      </c>
      <c r="J623" s="15" t="str">
        <f>VLOOKUP(A623,sinap!$A$2:$R$9000,2,FALSE)</f>
        <v>H</v>
      </c>
      <c r="K623" s="15" t="str">
        <f>VLOOKUP(A623,sinap!$A$2:$R$9000,3,FALSE)</f>
        <v>VACA</v>
      </c>
      <c r="L623" s="15" t="str">
        <f>VLOOKUP(A623,sinap!$A$2:$R$9000,4,FALSE)</f>
        <v>ANGUS NEGRO</v>
      </c>
      <c r="M623" s="15" t="str">
        <f>VLOOKUP(A623,sinap!$A$2:$R$9000,5,FALSE)</f>
        <v>8 años 4 meses</v>
      </c>
      <c r="N623" s="15" t="str">
        <f>VLOOKUP(A623,sinap!$A$2:$R$9000,6,FALSE)</f>
        <v>10-09-2017</v>
      </c>
      <c r="O623" s="15" t="str">
        <f>VLOOKUP(A623,sinap!$A$2:$R$9000,7,FALSE)</f>
        <v>Vivo</v>
      </c>
      <c r="P623" s="15" t="str">
        <f>VLOOKUP(A623,sinap!$A$2:$R$9000,8,FALSE)</f>
        <v>11.1.01.1241</v>
      </c>
      <c r="Q623" s="15" t="str">
        <f>VLOOKUP(A623,sinap!$A$2:$R$9000,12,FALSE)</f>
        <v>11.2.01.0038</v>
      </c>
      <c r="R623" s="15" t="str">
        <f>VLOOKUP(A623,sinap!$A$2:$R$9000,16,FALSE)</f>
        <v>11.1.01.1241</v>
      </c>
      <c r="S623" s="15" t="str">
        <f>VLOOKUP(A623,sinap!$A$2:$Y$9000,20,FALSE)</f>
        <v>SI</v>
      </c>
    </row>
    <row r="624" spans="1:19" s="16" customFormat="1" hidden="1" x14ac:dyDescent="0.25">
      <c r="A624" s="15">
        <v>15661169</v>
      </c>
      <c r="B624" s="15"/>
      <c r="C624" s="15"/>
      <c r="G624" s="16">
        <v>45213</v>
      </c>
      <c r="J624" s="15" t="str">
        <f>VLOOKUP(A624,sinap!$A$2:$R$9000,2,FALSE)</f>
        <v>H</v>
      </c>
      <c r="K624" s="15" t="str">
        <f>VLOOKUP(A624,sinap!$A$2:$R$9000,3,FALSE)</f>
        <v>VACA</v>
      </c>
      <c r="L624" s="15" t="str">
        <f>VLOOKUP(A624,sinap!$A$2:$R$9000,4,FALSE)</f>
        <v>ANGUS ROJO</v>
      </c>
      <c r="M624" s="15" t="str">
        <f>VLOOKUP(A624,sinap!$A$2:$R$9000,5,FALSE)</f>
        <v>7 años 11 meses</v>
      </c>
      <c r="N624" s="15" t="str">
        <f>VLOOKUP(A624,sinap!$A$2:$R$9000,6,FALSE)</f>
        <v>05-02-2018</v>
      </c>
      <c r="O624" s="15" t="str">
        <f>VLOOKUP(A624,sinap!$A$2:$R$9000,7,FALSE)</f>
        <v>Vivo</v>
      </c>
      <c r="P624" s="15" t="str">
        <f>VLOOKUP(A624,sinap!$A$2:$R$9000,8,FALSE)</f>
        <v>11.1.01.2304</v>
      </c>
      <c r="Q624" s="15" t="str">
        <f>VLOOKUP(A624,sinap!$A$2:$R$9000,12,FALSE)</f>
        <v>11.1.01.0941</v>
      </c>
      <c r="R624" s="15" t="str">
        <f>VLOOKUP(A624,sinap!$A$2:$R$9000,16,FALSE)</f>
        <v>11.1.01.1241</v>
      </c>
      <c r="S624" s="15" t="str">
        <f>VLOOKUP(A624,sinap!$A$2:$Y$9000,20,FALSE)</f>
        <v>SI</v>
      </c>
    </row>
    <row r="625" spans="1:19" s="16" customFormat="1" hidden="1" x14ac:dyDescent="0.25">
      <c r="A625" s="15">
        <v>15661173</v>
      </c>
      <c r="B625" s="15"/>
      <c r="C625" s="15"/>
      <c r="J625" s="15" t="str">
        <f>VLOOKUP(A625,sinap!$A$2:$R$9000,2,FALSE)</f>
        <v>H</v>
      </c>
      <c r="K625" s="15" t="str">
        <f>VLOOKUP(A625,sinap!$A$2:$R$9000,3,FALSE)</f>
        <v>VACA</v>
      </c>
      <c r="L625" s="15" t="str">
        <f>VLOOKUP(A625,sinap!$A$2:$R$9000,4,FALSE)</f>
        <v>ANGUS NEGRO</v>
      </c>
      <c r="M625" s="15" t="str">
        <f>VLOOKUP(A625,sinap!$A$2:$R$9000,5,FALSE)</f>
        <v>8 años 3 meses</v>
      </c>
      <c r="N625" s="15" t="str">
        <f>VLOOKUP(A625,sinap!$A$2:$R$9000,6,FALSE)</f>
        <v>20-09-2017</v>
      </c>
      <c r="O625" s="15" t="str">
        <f>VLOOKUP(A625,sinap!$A$2:$R$9000,7,FALSE)</f>
        <v>Vivo</v>
      </c>
      <c r="P625" s="15" t="str">
        <f>VLOOKUP(A625,sinap!$A$2:$R$9000,8,FALSE)</f>
        <v>11.2.01.0038</v>
      </c>
      <c r="Q625" s="15" t="str">
        <f>VLOOKUP(A625,sinap!$A$2:$R$9000,12,FALSE)</f>
        <v>11.1.01.0893</v>
      </c>
      <c r="R625" s="15" t="str">
        <f>VLOOKUP(A625,sinap!$A$2:$R$9000,16,FALSE)</f>
        <v>11.1.01.1241</v>
      </c>
      <c r="S625" s="15" t="str">
        <f>VLOOKUP(A625,sinap!$A$2:$Y$9000,20,FALSE)</f>
        <v>SI</v>
      </c>
    </row>
    <row r="626" spans="1:19" s="16" customFormat="1" hidden="1" x14ac:dyDescent="0.25">
      <c r="A626" s="15">
        <v>15661174</v>
      </c>
      <c r="B626" s="15"/>
      <c r="C626" s="15"/>
      <c r="H626" s="16">
        <v>45648</v>
      </c>
      <c r="I626" s="16">
        <v>45966</v>
      </c>
      <c r="J626" s="15" t="str">
        <f>VLOOKUP(A626,sinap!$A$2:$R$9000,2,FALSE)</f>
        <v>H</v>
      </c>
      <c r="K626" s="15" t="str">
        <f>VLOOKUP(A626,sinap!$A$2:$R$9000,3,FALSE)</f>
        <v>VACA</v>
      </c>
      <c r="L626" s="15" t="str">
        <f>VLOOKUP(A626,sinap!$A$2:$R$9000,4,FALSE)</f>
        <v>ANGUS NEGRO</v>
      </c>
      <c r="M626" s="15" t="str">
        <f>VLOOKUP(A626,sinap!$A$2:$R$9000,5,FALSE)</f>
        <v>8 años 3 meses</v>
      </c>
      <c r="N626" s="15" t="str">
        <f>VLOOKUP(A626,sinap!$A$2:$R$9000,6,FALSE)</f>
        <v>20-09-2017</v>
      </c>
      <c r="O626" s="15" t="str">
        <f>VLOOKUP(A626,sinap!$A$2:$R$9000,7,FALSE)</f>
        <v>Vivo</v>
      </c>
      <c r="P626" s="15" t="str">
        <f>VLOOKUP(A626,sinap!$A$2:$R$9000,8,FALSE)</f>
        <v>11.1.01.2442</v>
      </c>
      <c r="Q626" s="15" t="str">
        <f>VLOOKUP(A626,sinap!$A$2:$R$9000,12,FALSE)</f>
        <v>11.1.01.0190</v>
      </c>
      <c r="R626" s="15" t="str">
        <f>VLOOKUP(A626,sinap!$A$2:$R$9000,16,FALSE)</f>
        <v>11.1.01.1241</v>
      </c>
      <c r="S626" s="15" t="str">
        <f>VLOOKUP(A626,sinap!$A$2:$Y$9000,20,FALSE)</f>
        <v>SI</v>
      </c>
    </row>
    <row r="627" spans="1:19" s="16" customFormat="1" hidden="1" x14ac:dyDescent="0.25">
      <c r="A627" s="15">
        <v>15661178</v>
      </c>
      <c r="B627" s="15"/>
      <c r="C627" s="15"/>
      <c r="G627" s="16">
        <v>45288</v>
      </c>
      <c r="J627" s="15" t="str">
        <f>VLOOKUP(A627,sinap!$A$2:$R$9000,2,FALSE)</f>
        <v>H</v>
      </c>
      <c r="K627" s="15" t="str">
        <f>VLOOKUP(A627,sinap!$A$2:$R$9000,3,FALSE)</f>
        <v>VACA</v>
      </c>
      <c r="L627" s="15" t="str">
        <f>VLOOKUP(A627,sinap!$A$2:$R$9000,4,FALSE)</f>
        <v>ANGUS NEGRO</v>
      </c>
      <c r="M627" s="15" t="str">
        <f>VLOOKUP(A627,sinap!$A$2:$R$9000,5,FALSE)</f>
        <v>8 años 2 meses</v>
      </c>
      <c r="N627" s="15" t="str">
        <f>VLOOKUP(A627,sinap!$A$2:$R$9000,6,FALSE)</f>
        <v>30-10-2017</v>
      </c>
      <c r="O627" s="15" t="str">
        <f>VLOOKUP(A627,sinap!$A$2:$R$9000,7,FALSE)</f>
        <v>Vivo</v>
      </c>
      <c r="P627" s="15" t="str">
        <f>VLOOKUP(A627,sinap!$A$2:$R$9000,8,FALSE)</f>
        <v>11.2.01.0038</v>
      </c>
      <c r="Q627" s="15" t="str">
        <f>VLOOKUP(A627,sinap!$A$2:$R$9000,12,FALSE)</f>
        <v>11.1.01.0893</v>
      </c>
      <c r="R627" s="15" t="str">
        <f>VLOOKUP(A627,sinap!$A$2:$R$9000,16,FALSE)</f>
        <v>11.1.01.1241</v>
      </c>
      <c r="S627" s="15" t="str">
        <f>VLOOKUP(A627,sinap!$A$2:$Y$9000,20,FALSE)</f>
        <v>SI</v>
      </c>
    </row>
    <row r="628" spans="1:19" s="16" customFormat="1" hidden="1" x14ac:dyDescent="0.25">
      <c r="A628" s="15">
        <v>15661286</v>
      </c>
      <c r="B628" s="15"/>
      <c r="C628" s="15"/>
      <c r="G628" s="16">
        <v>45213</v>
      </c>
      <c r="J628" s="15" t="str">
        <f>VLOOKUP(A628,sinap!$A$2:$R$9000,2,FALSE)</f>
        <v>no existe</v>
      </c>
      <c r="K628" s="15" t="str">
        <f>VLOOKUP(A628,sinap!$A$2:$R$9000,3,FALSE)</f>
        <v>no existe</v>
      </c>
      <c r="L628" s="15" t="str">
        <f>VLOOKUP(A628,sinap!$A$2:$R$9000,4,FALSE)</f>
        <v>no existe</v>
      </c>
      <c r="M628" s="15" t="str">
        <f>VLOOKUP(A628,sinap!$A$2:$R$9000,5,FALSE)</f>
        <v>no existe</v>
      </c>
      <c r="N628" s="15" t="str">
        <f>VLOOKUP(A628,sinap!$A$2:$R$9000,6,FALSE)</f>
        <v>no existe</v>
      </c>
      <c r="O628" s="15" t="str">
        <f>VLOOKUP(A628,sinap!$A$2:$R$9000,7,FALSE)</f>
        <v>no existe</v>
      </c>
      <c r="P628" s="15" t="str">
        <f>VLOOKUP(A628,sinap!$A$2:$R$9000,8,FALSE)</f>
        <v>no existe</v>
      </c>
      <c r="Q628" s="15" t="str">
        <f>VLOOKUP(A628,sinap!$A$2:$R$9000,12,FALSE)</f>
        <v>no existe</v>
      </c>
      <c r="R628" s="15" t="str">
        <f>VLOOKUP(A628,sinap!$A$2:$R$9000,16,FALSE)</f>
        <v>no existe</v>
      </c>
      <c r="S628" s="15" t="str">
        <f>VLOOKUP(A628,sinap!$A$2:$Y$9000,20,FALSE)</f>
        <v>no existe</v>
      </c>
    </row>
    <row r="629" spans="1:19" s="16" customFormat="1" hidden="1" x14ac:dyDescent="0.25">
      <c r="A629" s="15">
        <v>15661297</v>
      </c>
      <c r="B629" s="15"/>
      <c r="C629" s="15"/>
      <c r="G629" s="16">
        <v>45213</v>
      </c>
      <c r="J629" s="15" t="str">
        <f>VLOOKUP(A629,sinap!$A$2:$R$9000,2,FALSE)</f>
        <v>H</v>
      </c>
      <c r="K629" s="15" t="str">
        <f>VLOOKUP(A629,sinap!$A$2:$R$9000,3,FALSE)</f>
        <v>VACA</v>
      </c>
      <c r="L629" s="15" t="str">
        <f>VLOOKUP(A629,sinap!$A$2:$R$9000,4,FALSE)</f>
        <v>ANGUS NEGRO</v>
      </c>
      <c r="M629" s="15" t="str">
        <f>VLOOKUP(A629,sinap!$A$2:$R$9000,5,FALSE)</f>
        <v>8 años 3 meses</v>
      </c>
      <c r="N629" s="15" t="str">
        <f>VLOOKUP(A629,sinap!$A$2:$R$9000,6,FALSE)</f>
        <v>30-09-2017</v>
      </c>
      <c r="O629" s="15" t="str">
        <f>VLOOKUP(A629,sinap!$A$2:$R$9000,7,FALSE)</f>
        <v>Vivo</v>
      </c>
      <c r="P629" s="15" t="str">
        <f>VLOOKUP(A629,sinap!$A$2:$R$9000,8,FALSE)</f>
        <v>11.1.01.1240</v>
      </c>
      <c r="Q629" s="15" t="str">
        <f>VLOOKUP(A629,sinap!$A$2:$R$9000,12,FALSE)</f>
        <v>11.1.02.0004</v>
      </c>
      <c r="R629" s="15" t="str">
        <f>VLOOKUP(A629,sinap!$A$2:$R$9000,16,FALSE)</f>
        <v>11.1.01.0893</v>
      </c>
      <c r="S629" s="15" t="str">
        <f>VLOOKUP(A629,sinap!$A$2:$Y$9000,20,FALSE)</f>
        <v>SI</v>
      </c>
    </row>
    <row r="630" spans="1:19" s="16" customFormat="1" hidden="1" x14ac:dyDescent="0.25">
      <c r="A630" s="15">
        <v>15661298</v>
      </c>
      <c r="B630" s="15"/>
      <c r="C630" s="15"/>
      <c r="G630" s="16">
        <v>45288</v>
      </c>
      <c r="H630" s="16">
        <v>45648</v>
      </c>
      <c r="I630" s="16">
        <v>45966</v>
      </c>
      <c r="J630" s="15" t="str">
        <f>VLOOKUP(A630,sinap!$A$2:$R$9000,2,FALSE)</f>
        <v>H</v>
      </c>
      <c r="K630" s="15" t="str">
        <f>VLOOKUP(A630,sinap!$A$2:$R$9000,3,FALSE)</f>
        <v>VACA</v>
      </c>
      <c r="L630" s="15" t="str">
        <f>VLOOKUP(A630,sinap!$A$2:$R$9000,4,FALSE)</f>
        <v>ANGUS NEGRO</v>
      </c>
      <c r="M630" s="15" t="str">
        <f>VLOOKUP(A630,sinap!$A$2:$R$9000,5,FALSE)</f>
        <v>8 años 2 meses</v>
      </c>
      <c r="N630" s="15" t="str">
        <f>VLOOKUP(A630,sinap!$A$2:$R$9000,6,FALSE)</f>
        <v>30-10-2017</v>
      </c>
      <c r="O630" s="15" t="str">
        <f>VLOOKUP(A630,sinap!$A$2:$R$9000,7,FALSE)</f>
        <v>Vivo</v>
      </c>
      <c r="P630" s="15" t="str">
        <f>VLOOKUP(A630,sinap!$A$2:$R$9000,8,FALSE)</f>
        <v>11.1.01.2442</v>
      </c>
      <c r="Q630" s="15" t="str">
        <f>VLOOKUP(A630,sinap!$A$2:$R$9000,12,FALSE)</f>
        <v>11.1.01.0190</v>
      </c>
      <c r="R630" s="15" t="str">
        <f>VLOOKUP(A630,sinap!$A$2:$R$9000,16,FALSE)</f>
        <v>11.1.01.0893</v>
      </c>
      <c r="S630" s="15" t="str">
        <f>VLOOKUP(A630,sinap!$A$2:$Y$9000,20,FALSE)</f>
        <v>SI</v>
      </c>
    </row>
    <row r="631" spans="1:19" s="16" customFormat="1" hidden="1" x14ac:dyDescent="0.25">
      <c r="A631" s="15">
        <v>15661310</v>
      </c>
      <c r="B631" s="15"/>
      <c r="C631" s="15"/>
      <c r="G631" s="16">
        <v>45288</v>
      </c>
      <c r="J631" s="15" t="str">
        <f>VLOOKUP(A631,sinap!$A$2:$R$9000,2,FALSE)</f>
        <v>H</v>
      </c>
      <c r="K631" s="15" t="str">
        <f>VLOOKUP(A631,sinap!$A$2:$R$9000,3,FALSE)</f>
        <v>VACA</v>
      </c>
      <c r="L631" s="15" t="str">
        <f>VLOOKUP(A631,sinap!$A$2:$R$9000,4,FALSE)</f>
        <v>ANGUS NEGRO</v>
      </c>
      <c r="M631" s="15" t="str">
        <f>VLOOKUP(A631,sinap!$A$2:$R$9000,5,FALSE)</f>
        <v>8 años 3 meses</v>
      </c>
      <c r="N631" s="15" t="str">
        <f>VLOOKUP(A631,sinap!$A$2:$R$9000,6,FALSE)</f>
        <v>10-10-2017</v>
      </c>
      <c r="O631" s="15" t="str">
        <f>VLOOKUP(A631,sinap!$A$2:$R$9000,7,FALSE)</f>
        <v>Vivo</v>
      </c>
      <c r="P631" s="15" t="str">
        <f>VLOOKUP(A631,sinap!$A$2:$R$9000,8,FALSE)</f>
        <v>11.1.01.1241</v>
      </c>
      <c r="Q631" s="15" t="str">
        <f>VLOOKUP(A631,sinap!$A$2:$R$9000,12,FALSE)</f>
        <v>11.2.01.0038</v>
      </c>
      <c r="R631" s="15" t="str">
        <f>VLOOKUP(A631,sinap!$A$2:$R$9000,16,FALSE)</f>
        <v>11.1.01.0893</v>
      </c>
      <c r="S631" s="15" t="str">
        <f>VLOOKUP(A631,sinap!$A$2:$Y$9000,20,FALSE)</f>
        <v>SI</v>
      </c>
    </row>
    <row r="632" spans="1:19" s="16" customFormat="1" hidden="1" x14ac:dyDescent="0.25">
      <c r="A632" s="15">
        <v>15661313</v>
      </c>
      <c r="B632" s="15"/>
      <c r="C632" s="15"/>
      <c r="J632" s="15" t="str">
        <f>VLOOKUP(A632,sinap!$A$2:$R$9000,2,FALSE)</f>
        <v>H</v>
      </c>
      <c r="K632" s="15" t="str">
        <f>VLOOKUP(A632,sinap!$A$2:$R$9000,3,FALSE)</f>
        <v>VACA</v>
      </c>
      <c r="L632" s="15" t="str">
        <f>VLOOKUP(A632,sinap!$A$2:$R$9000,4,FALSE)</f>
        <v>ANGUS NEGRO</v>
      </c>
      <c r="M632" s="15" t="str">
        <f>VLOOKUP(A632,sinap!$A$2:$R$9000,5,FALSE)</f>
        <v>8 años 3 meses</v>
      </c>
      <c r="N632" s="15" t="str">
        <f>VLOOKUP(A632,sinap!$A$2:$R$9000,6,FALSE)</f>
        <v>10-10-2017</v>
      </c>
      <c r="O632" s="15" t="str">
        <f>VLOOKUP(A632,sinap!$A$2:$R$9000,7,FALSE)</f>
        <v>Vivo</v>
      </c>
      <c r="P632" s="15" t="str">
        <f>VLOOKUP(A632,sinap!$A$2:$R$9000,8,FALSE)</f>
        <v>11.1.01.0791</v>
      </c>
      <c r="Q632" s="15" t="str">
        <f>VLOOKUP(A632,sinap!$A$2:$R$9000,12,FALSE)</f>
        <v>11.1.01.0893</v>
      </c>
      <c r="R632" s="15" t="str">
        <f>VLOOKUP(A632,sinap!$A$2:$R$9000,16,FALSE)</f>
        <v>11.1.01.0893</v>
      </c>
      <c r="S632" s="15" t="str">
        <f>VLOOKUP(A632,sinap!$A$2:$Y$9000,20,FALSE)</f>
        <v>SI</v>
      </c>
    </row>
    <row r="633" spans="1:19" s="16" customFormat="1" ht="15.75" hidden="1" customHeight="1" x14ac:dyDescent="0.25">
      <c r="A633" s="15">
        <v>15661316</v>
      </c>
      <c r="B633" s="15"/>
      <c r="C633" s="15"/>
      <c r="G633" s="16">
        <v>45288</v>
      </c>
      <c r="H633" s="16">
        <v>45297</v>
      </c>
      <c r="J633" s="15" t="str">
        <f>VLOOKUP(A633,sinap!$A$2:$R$9000,2,FALSE)</f>
        <v>H</v>
      </c>
      <c r="K633" s="15" t="str">
        <f>VLOOKUP(A633,sinap!$A$2:$R$9000,3,FALSE)</f>
        <v>VACA</v>
      </c>
      <c r="L633" s="15" t="str">
        <f>VLOOKUP(A633,sinap!$A$2:$R$9000,4,FALSE)</f>
        <v>ANGUS NEGRO</v>
      </c>
      <c r="M633" s="15" t="str">
        <f>VLOOKUP(A633,sinap!$A$2:$R$9000,5,FALSE)</f>
        <v>8 años 3 meses</v>
      </c>
      <c r="N633" s="15" t="str">
        <f>VLOOKUP(A633,sinap!$A$2:$R$9000,6,FALSE)</f>
        <v>30-09-2017</v>
      </c>
      <c r="O633" s="15" t="str">
        <f>VLOOKUP(A633,sinap!$A$2:$R$9000,7,FALSE)</f>
        <v>Vivo</v>
      </c>
      <c r="P633" s="15" t="str">
        <f>VLOOKUP(A633,sinap!$A$2:$R$9000,8,FALSE)</f>
        <v>11.1.01.0791</v>
      </c>
      <c r="Q633" s="15" t="str">
        <f>VLOOKUP(A633,sinap!$A$2:$R$9000,12,FALSE)</f>
        <v>11.1.01.0893</v>
      </c>
      <c r="R633" s="15" t="str">
        <f>VLOOKUP(A633,sinap!$A$2:$R$9000,16,FALSE)</f>
        <v>11.1.01.0893</v>
      </c>
      <c r="S633" s="15" t="str">
        <f>VLOOKUP(A633,sinap!$A$2:$Y$9000,20,FALSE)</f>
        <v>SI</v>
      </c>
    </row>
    <row r="634" spans="1:19" s="16" customFormat="1" hidden="1" x14ac:dyDescent="0.25">
      <c r="A634" s="15">
        <v>15661320</v>
      </c>
      <c r="B634" s="15"/>
      <c r="C634" s="15"/>
      <c r="G634" s="16">
        <v>45288</v>
      </c>
      <c r="J634" s="15" t="str">
        <f>VLOOKUP(A634,sinap!$A$2:$R$9000,2,FALSE)</f>
        <v>H</v>
      </c>
      <c r="K634" s="15" t="str">
        <f>VLOOKUP(A634,sinap!$A$2:$R$9000,3,FALSE)</f>
        <v>VACA</v>
      </c>
      <c r="L634" s="15" t="str">
        <f>VLOOKUP(A634,sinap!$A$2:$R$9000,4,FALSE)</f>
        <v>ANGUS NEGRO</v>
      </c>
      <c r="M634" s="15" t="str">
        <f>VLOOKUP(A634,sinap!$A$2:$R$9000,5,FALSE)</f>
        <v>8 años 2 meses</v>
      </c>
      <c r="N634" s="15" t="str">
        <f>VLOOKUP(A634,sinap!$A$2:$R$9000,6,FALSE)</f>
        <v>20-10-2017</v>
      </c>
      <c r="O634" s="15" t="str">
        <f>VLOOKUP(A634,sinap!$A$2:$R$9000,7,FALSE)</f>
        <v>Vivo</v>
      </c>
      <c r="P634" s="15" t="str">
        <f>VLOOKUP(A634,sinap!$A$2:$R$9000,8,FALSE)</f>
        <v>11.1.01.1241</v>
      </c>
      <c r="Q634" s="15" t="str">
        <f>VLOOKUP(A634,sinap!$A$2:$R$9000,12,FALSE)</f>
        <v>11.2.01.0038</v>
      </c>
      <c r="R634" s="15" t="str">
        <f>VLOOKUP(A634,sinap!$A$2:$R$9000,16,FALSE)</f>
        <v>11.1.01.0893</v>
      </c>
      <c r="S634" s="15" t="str">
        <f>VLOOKUP(A634,sinap!$A$2:$Y$9000,20,FALSE)</f>
        <v>SI</v>
      </c>
    </row>
    <row r="635" spans="1:19" s="16" customFormat="1" hidden="1" x14ac:dyDescent="0.25">
      <c r="A635" s="15">
        <v>15661321</v>
      </c>
      <c r="B635" s="15"/>
      <c r="C635" s="15"/>
      <c r="J635" s="15" t="str">
        <f>VLOOKUP(A635,sinap!$A$2:$R$9000,2,FALSE)</f>
        <v>H</v>
      </c>
      <c r="K635" s="15" t="str">
        <f>VLOOKUP(A635,sinap!$A$2:$R$9000,3,FALSE)</f>
        <v>VACA</v>
      </c>
      <c r="L635" s="15" t="str">
        <f>VLOOKUP(A635,sinap!$A$2:$R$9000,4,FALSE)</f>
        <v>ANGUS NEGRO</v>
      </c>
      <c r="M635" s="15" t="str">
        <f>VLOOKUP(A635,sinap!$A$2:$R$9000,5,FALSE)</f>
        <v>8 años 2 meses</v>
      </c>
      <c r="N635" s="15" t="str">
        <f>VLOOKUP(A635,sinap!$A$2:$R$9000,6,FALSE)</f>
        <v>30-10-2017</v>
      </c>
      <c r="O635" s="15" t="str">
        <f>VLOOKUP(A635,sinap!$A$2:$R$9000,7,FALSE)</f>
        <v>Vivo</v>
      </c>
      <c r="P635" s="15" t="str">
        <f>VLOOKUP(A635,sinap!$A$2:$R$9000,8,FALSE)</f>
        <v>11.2.01.0038</v>
      </c>
      <c r="Q635" s="15" t="str">
        <f>VLOOKUP(A635,sinap!$A$2:$R$9000,12,FALSE)</f>
        <v>11.1.01.0893</v>
      </c>
      <c r="R635" s="15" t="str">
        <f>VLOOKUP(A635,sinap!$A$2:$R$9000,16,FALSE)</f>
        <v>11.1.01.0893</v>
      </c>
      <c r="S635" s="15" t="str">
        <f>VLOOKUP(A635,sinap!$A$2:$Y$9000,20,FALSE)</f>
        <v>SI</v>
      </c>
    </row>
    <row r="636" spans="1:19" s="16" customFormat="1" hidden="1" x14ac:dyDescent="0.25">
      <c r="A636" s="15">
        <v>15661323</v>
      </c>
      <c r="B636" s="15"/>
      <c r="C636" s="15"/>
      <c r="G636" s="16">
        <v>45288</v>
      </c>
      <c r="J636" s="15" t="str">
        <f>VLOOKUP(A636,sinap!$A$2:$R$9000,2,FALSE)</f>
        <v>H</v>
      </c>
      <c r="K636" s="15" t="str">
        <f>VLOOKUP(A636,sinap!$A$2:$R$9000,3,FALSE)</f>
        <v>VACA</v>
      </c>
      <c r="L636" s="15" t="str">
        <f>VLOOKUP(A636,sinap!$A$2:$R$9000,4,FALSE)</f>
        <v>ANGUS NEGRO</v>
      </c>
      <c r="M636" s="15" t="str">
        <f>VLOOKUP(A636,sinap!$A$2:$R$9000,5,FALSE)</f>
        <v>8 años 2 meses</v>
      </c>
      <c r="N636" s="15" t="str">
        <f>VLOOKUP(A636,sinap!$A$2:$R$9000,6,FALSE)</f>
        <v>30-10-2017</v>
      </c>
      <c r="O636" s="15" t="str">
        <f>VLOOKUP(A636,sinap!$A$2:$R$9000,7,FALSE)</f>
        <v>Vivo</v>
      </c>
      <c r="P636" s="15" t="str">
        <f>VLOOKUP(A636,sinap!$A$2:$R$9000,8,FALSE)</f>
        <v>11.2.01.0038</v>
      </c>
      <c r="Q636" s="15" t="str">
        <f>VLOOKUP(A636,sinap!$A$2:$R$9000,12,FALSE)</f>
        <v>11.1.01.0893</v>
      </c>
      <c r="R636" s="15" t="str">
        <f>VLOOKUP(A636,sinap!$A$2:$R$9000,16,FALSE)</f>
        <v>11.1.01.0893</v>
      </c>
      <c r="S636" s="15" t="str">
        <f>VLOOKUP(A636,sinap!$A$2:$Y$9000,20,FALSE)</f>
        <v>SI</v>
      </c>
    </row>
    <row r="637" spans="1:19" s="16" customFormat="1" hidden="1" x14ac:dyDescent="0.25">
      <c r="A637" s="15">
        <v>15661324</v>
      </c>
      <c r="B637" s="15"/>
      <c r="C637" s="15"/>
      <c r="G637" s="16">
        <v>45288</v>
      </c>
      <c r="H637" s="16">
        <v>45648</v>
      </c>
      <c r="I637" s="16">
        <v>45966</v>
      </c>
      <c r="J637" s="15" t="str">
        <f>VLOOKUP(A637,sinap!$A$2:$R$9000,2,FALSE)</f>
        <v>H</v>
      </c>
      <c r="K637" s="15" t="str">
        <f>VLOOKUP(A637,sinap!$A$2:$R$9000,3,FALSE)</f>
        <v>VACA</v>
      </c>
      <c r="L637" s="15" t="str">
        <f>VLOOKUP(A637,sinap!$A$2:$R$9000,4,FALSE)</f>
        <v>ANGUS NEGRO</v>
      </c>
      <c r="M637" s="15" t="str">
        <f>VLOOKUP(A637,sinap!$A$2:$R$9000,5,FALSE)</f>
        <v>8 años 3 meses</v>
      </c>
      <c r="N637" s="15" t="str">
        <f>VLOOKUP(A637,sinap!$A$2:$R$9000,6,FALSE)</f>
        <v>30-09-2017</v>
      </c>
      <c r="O637" s="15" t="str">
        <f>VLOOKUP(A637,sinap!$A$2:$R$9000,7,FALSE)</f>
        <v>Vivo</v>
      </c>
      <c r="P637" s="15" t="str">
        <f>VLOOKUP(A637,sinap!$A$2:$R$9000,8,FALSE)</f>
        <v>11.1.01.2442</v>
      </c>
      <c r="Q637" s="15" t="str">
        <f>VLOOKUP(A637,sinap!$A$2:$R$9000,12,FALSE)</f>
        <v>11.1.01.0190</v>
      </c>
      <c r="R637" s="15" t="str">
        <f>VLOOKUP(A637,sinap!$A$2:$R$9000,16,FALSE)</f>
        <v>11.1.01.0893</v>
      </c>
      <c r="S637" s="15" t="str">
        <f>VLOOKUP(A637,sinap!$A$2:$Y$9000,20,FALSE)</f>
        <v>SI</v>
      </c>
    </row>
    <row r="638" spans="1:19" s="16" customFormat="1" hidden="1" x14ac:dyDescent="0.25">
      <c r="A638" s="15">
        <v>15661338</v>
      </c>
      <c r="B638" s="15"/>
      <c r="C638" s="15"/>
      <c r="G638" s="16">
        <v>45288</v>
      </c>
      <c r="J638" s="15" t="str">
        <f>VLOOKUP(A638,sinap!$A$2:$R$9000,2,FALSE)</f>
        <v>H</v>
      </c>
      <c r="K638" s="15" t="str">
        <f>VLOOKUP(A638,sinap!$A$2:$R$9000,3,FALSE)</f>
        <v>VACA</v>
      </c>
      <c r="L638" s="15" t="str">
        <f>VLOOKUP(A638,sinap!$A$2:$R$9000,4,FALSE)</f>
        <v>ANGUS NEGRO</v>
      </c>
      <c r="M638" s="15" t="str">
        <f>VLOOKUP(A638,sinap!$A$2:$R$9000,5,FALSE)</f>
        <v>8 años 2 meses</v>
      </c>
      <c r="N638" s="15" t="str">
        <f>VLOOKUP(A638,sinap!$A$2:$R$9000,6,FALSE)</f>
        <v>30-10-2017</v>
      </c>
      <c r="O638" s="15" t="str">
        <f>VLOOKUP(A638,sinap!$A$2:$R$9000,7,FALSE)</f>
        <v>Vivo</v>
      </c>
      <c r="P638" s="15" t="str">
        <f>VLOOKUP(A638,sinap!$A$2:$R$9000,8,FALSE)</f>
        <v>11.2.01.0038</v>
      </c>
      <c r="Q638" s="15" t="str">
        <f>VLOOKUP(A638,sinap!$A$2:$R$9000,12,FALSE)</f>
        <v>11.1.01.0893</v>
      </c>
      <c r="R638" s="15" t="str">
        <f>VLOOKUP(A638,sinap!$A$2:$R$9000,16,FALSE)</f>
        <v>11.1.01.0893</v>
      </c>
      <c r="S638" s="15" t="str">
        <f>VLOOKUP(A638,sinap!$A$2:$Y$9000,20,FALSE)</f>
        <v>SI</v>
      </c>
    </row>
    <row r="639" spans="1:19" s="16" customFormat="1" hidden="1" x14ac:dyDescent="0.25">
      <c r="A639" s="15">
        <v>15661350</v>
      </c>
      <c r="B639" s="15"/>
      <c r="C639" s="15"/>
      <c r="G639" s="16">
        <v>45288</v>
      </c>
      <c r="J639" s="15" t="str">
        <f>VLOOKUP(A639,sinap!$A$2:$R$9000,2,FALSE)</f>
        <v>H</v>
      </c>
      <c r="K639" s="15" t="str">
        <f>VLOOKUP(A639,sinap!$A$2:$R$9000,3,FALSE)</f>
        <v>VACA</v>
      </c>
      <c r="L639" s="15" t="str">
        <f>VLOOKUP(A639,sinap!$A$2:$R$9000,4,FALSE)</f>
        <v>ANGUS NEGRO</v>
      </c>
      <c r="M639" s="15" t="str">
        <f>VLOOKUP(A639,sinap!$A$2:$R$9000,5,FALSE)</f>
        <v>14 años 3 meses</v>
      </c>
      <c r="N639" s="15" t="str">
        <f>VLOOKUP(A639,sinap!$A$2:$R$9000,6,FALSE)</f>
        <v>10-10-2011</v>
      </c>
      <c r="O639" s="15" t="str">
        <f>VLOOKUP(A639,sinap!$A$2:$R$9000,7,FALSE)</f>
        <v>Vivo</v>
      </c>
      <c r="P639" s="15" t="str">
        <f>VLOOKUP(A639,sinap!$A$2:$R$9000,8,FALSE)</f>
        <v>11.1.01.1241</v>
      </c>
      <c r="Q639" s="15" t="str">
        <f>VLOOKUP(A639,sinap!$A$2:$R$9000,12,FALSE)</f>
        <v>11.1.01.1022</v>
      </c>
      <c r="R639" s="15" t="str">
        <f>VLOOKUP(A639,sinap!$A$2:$R$9000,16,FALSE)</f>
        <v>11.1.01.1241</v>
      </c>
      <c r="S639" s="15" t="str">
        <f>VLOOKUP(A639,sinap!$A$2:$Y$9000,20,FALSE)</f>
        <v>NO</v>
      </c>
    </row>
    <row r="640" spans="1:19" s="16" customFormat="1" hidden="1" x14ac:dyDescent="0.25">
      <c r="A640" s="15">
        <v>15661359</v>
      </c>
      <c r="B640" s="15"/>
      <c r="C640" s="15"/>
      <c r="G640" s="16">
        <v>45213</v>
      </c>
      <c r="J640" s="15" t="str">
        <f>VLOOKUP(A640,sinap!$A$2:$R$9000,2,FALSE)</f>
        <v>no existe</v>
      </c>
      <c r="K640" s="15" t="str">
        <f>VLOOKUP(A640,sinap!$A$2:$R$9000,3,FALSE)</f>
        <v>no existe</v>
      </c>
      <c r="L640" s="15" t="str">
        <f>VLOOKUP(A640,sinap!$A$2:$R$9000,4,FALSE)</f>
        <v>no existe</v>
      </c>
      <c r="M640" s="15" t="str">
        <f>VLOOKUP(A640,sinap!$A$2:$R$9000,5,FALSE)</f>
        <v>no existe</v>
      </c>
      <c r="N640" s="15" t="str">
        <f>VLOOKUP(A640,sinap!$A$2:$R$9000,6,FALSE)</f>
        <v>no existe</v>
      </c>
      <c r="O640" s="15" t="str">
        <f>VLOOKUP(A640,sinap!$A$2:$R$9000,7,FALSE)</f>
        <v>no existe</v>
      </c>
      <c r="P640" s="15" t="str">
        <f>VLOOKUP(A640,sinap!$A$2:$R$9000,8,FALSE)</f>
        <v>no existe</v>
      </c>
      <c r="Q640" s="15" t="str">
        <f>VLOOKUP(A640,sinap!$A$2:$R$9000,12,FALSE)</f>
        <v>no existe</v>
      </c>
      <c r="R640" s="15" t="str">
        <f>VLOOKUP(A640,sinap!$A$2:$R$9000,16,FALSE)</f>
        <v>no existe</v>
      </c>
      <c r="S640" s="15" t="str">
        <f>VLOOKUP(A640,sinap!$A$2:$Y$9000,20,FALSE)</f>
        <v>no existe</v>
      </c>
    </row>
    <row r="641" spans="1:20" s="16" customFormat="1" hidden="1" x14ac:dyDescent="0.25">
      <c r="A641" s="15">
        <v>15661366</v>
      </c>
      <c r="B641" s="15"/>
      <c r="C641" s="15"/>
      <c r="J641" s="15" t="str">
        <f>VLOOKUP(A641,sinap!$A$2:$R$9000,2,FALSE)</f>
        <v>H</v>
      </c>
      <c r="K641" s="15" t="str">
        <f>VLOOKUP(A641,sinap!$A$2:$R$9000,3,FALSE)</f>
        <v>VACA</v>
      </c>
      <c r="L641" s="15" t="str">
        <f>VLOOKUP(A641,sinap!$A$2:$R$9000,4,FALSE)</f>
        <v>ANGUS NEGRO</v>
      </c>
      <c r="M641" s="15" t="str">
        <f>VLOOKUP(A641,sinap!$A$2:$R$9000,5,FALSE)</f>
        <v>8 años 4 meses</v>
      </c>
      <c r="N641" s="15" t="str">
        <f>VLOOKUP(A641,sinap!$A$2:$R$9000,6,FALSE)</f>
        <v>30-08-2017</v>
      </c>
      <c r="O641" s="15" t="str">
        <f>VLOOKUP(A641,sinap!$A$2:$R$9000,7,FALSE)</f>
        <v>Vivo</v>
      </c>
      <c r="P641" s="15" t="str">
        <f>VLOOKUP(A641,sinap!$A$2:$R$9000,8,FALSE)</f>
        <v>11.1.01.1240</v>
      </c>
      <c r="Q641" s="15" t="str">
        <f>VLOOKUP(A641,sinap!$A$2:$R$9000,12,FALSE)</f>
        <v>11.1.02.0004</v>
      </c>
      <c r="R641" s="15" t="str">
        <f>VLOOKUP(A641,sinap!$A$2:$R$9000,16,FALSE)</f>
        <v>11.2.01.0038</v>
      </c>
      <c r="S641" s="15" t="str">
        <f>VLOOKUP(A641,sinap!$A$2:$Y$9000,20,FALSE)</f>
        <v>SI</v>
      </c>
    </row>
    <row r="642" spans="1:20" s="16" customFormat="1" hidden="1" x14ac:dyDescent="0.25">
      <c r="A642" s="15">
        <v>15661373</v>
      </c>
      <c r="B642" s="15"/>
      <c r="C642" s="15"/>
      <c r="G642" s="16">
        <v>45288</v>
      </c>
      <c r="H642" s="16">
        <v>45648</v>
      </c>
      <c r="I642" s="16">
        <v>45965</v>
      </c>
      <c r="J642" s="15" t="str">
        <f>VLOOKUP(A642,sinap!$A$2:$R$9000,2,FALSE)</f>
        <v>H</v>
      </c>
      <c r="K642" s="15" t="str">
        <f>VLOOKUP(A642,sinap!$A$2:$R$9000,3,FALSE)</f>
        <v>VACA</v>
      </c>
      <c r="L642" s="15" t="str">
        <f>VLOOKUP(A642,sinap!$A$2:$R$9000,4,FALSE)</f>
        <v>ANGUS NEGRO</v>
      </c>
      <c r="M642" s="15" t="str">
        <f>VLOOKUP(A642,sinap!$A$2:$R$9000,5,FALSE)</f>
        <v>8 años 3 meses</v>
      </c>
      <c r="N642" s="15" t="str">
        <f>VLOOKUP(A642,sinap!$A$2:$R$9000,6,FALSE)</f>
        <v>10-10-2017</v>
      </c>
      <c r="O642" s="15" t="str">
        <f>VLOOKUP(A642,sinap!$A$2:$R$9000,7,FALSE)</f>
        <v>Vivo</v>
      </c>
      <c r="P642" s="15" t="str">
        <f>VLOOKUP(A642,sinap!$A$2:$R$9000,8,FALSE)</f>
        <v>11.1.01.2442</v>
      </c>
      <c r="Q642" s="15" t="str">
        <f>VLOOKUP(A642,sinap!$A$2:$R$9000,12,FALSE)</f>
        <v>11.1.01.0190</v>
      </c>
      <c r="R642" s="15" t="str">
        <f>VLOOKUP(A642,sinap!$A$2:$R$9000,16,FALSE)</f>
        <v>11.2.01.0038</v>
      </c>
      <c r="S642" s="15" t="str">
        <f>VLOOKUP(A642,sinap!$A$2:$Y$9000,20,FALSE)</f>
        <v>SI</v>
      </c>
    </row>
    <row r="643" spans="1:20" s="16" customFormat="1" hidden="1" x14ac:dyDescent="0.25">
      <c r="A643" s="15">
        <v>15661375</v>
      </c>
      <c r="B643" s="15"/>
      <c r="C643" s="15"/>
      <c r="G643" s="16">
        <v>45288</v>
      </c>
      <c r="H643" s="16">
        <v>45648</v>
      </c>
      <c r="I643" s="16">
        <v>45965</v>
      </c>
      <c r="J643" s="15" t="str">
        <f>VLOOKUP(A643,sinap!$A$2:$R$9000,2,FALSE)</f>
        <v>H</v>
      </c>
      <c r="K643" s="15" t="str">
        <f>VLOOKUP(A643,sinap!$A$2:$R$9000,3,FALSE)</f>
        <v>VACA</v>
      </c>
      <c r="L643" s="15" t="str">
        <f>VLOOKUP(A643,sinap!$A$2:$R$9000,4,FALSE)</f>
        <v>ANGUS NEGRO</v>
      </c>
      <c r="M643" s="15" t="str">
        <f>VLOOKUP(A643,sinap!$A$2:$R$9000,5,FALSE)</f>
        <v>7 años 11 meses</v>
      </c>
      <c r="N643" s="15" t="str">
        <f>VLOOKUP(A643,sinap!$A$2:$R$9000,6,FALSE)</f>
        <v>20-01-2018</v>
      </c>
      <c r="O643" s="15" t="str">
        <f>VLOOKUP(A643,sinap!$A$2:$R$9000,7,FALSE)</f>
        <v>Vivo</v>
      </c>
      <c r="P643" s="15" t="str">
        <f>VLOOKUP(A643,sinap!$A$2:$R$9000,8,FALSE)</f>
        <v>11.1.01.1241</v>
      </c>
      <c r="Q643" s="15" t="str">
        <f>VLOOKUP(A643,sinap!$A$2:$R$9000,12,FALSE)</f>
        <v>11.2.01.0038</v>
      </c>
      <c r="R643" s="15" t="str">
        <f>VLOOKUP(A643,sinap!$A$2:$R$9000,16,FALSE)</f>
        <v>11.2.01.0038</v>
      </c>
      <c r="S643" s="15" t="str">
        <f>VLOOKUP(A643,sinap!$A$2:$Y$9000,20,FALSE)</f>
        <v>SI</v>
      </c>
    </row>
    <row r="644" spans="1:20" s="16" customFormat="1" hidden="1" x14ac:dyDescent="0.25">
      <c r="A644" s="15">
        <v>15661377</v>
      </c>
      <c r="B644" s="15"/>
      <c r="C644" s="15"/>
      <c r="G644" s="16">
        <v>45288</v>
      </c>
      <c r="J644" s="15" t="str">
        <f>VLOOKUP(A644,sinap!$A$2:$R$9000,2,FALSE)</f>
        <v>H</v>
      </c>
      <c r="K644" s="15" t="str">
        <f>VLOOKUP(A644,sinap!$A$2:$R$9000,3,FALSE)</f>
        <v>VACA</v>
      </c>
      <c r="L644" s="15" t="str">
        <f>VLOOKUP(A644,sinap!$A$2:$R$9000,4,FALSE)</f>
        <v>ANGUS ROJO</v>
      </c>
      <c r="M644" s="15" t="str">
        <f>VLOOKUP(A644,sinap!$A$2:$R$9000,5,FALSE)</f>
        <v>7 años 11 meses</v>
      </c>
      <c r="N644" s="15" t="str">
        <f>VLOOKUP(A644,sinap!$A$2:$R$9000,6,FALSE)</f>
        <v>30-01-2018</v>
      </c>
      <c r="O644" s="15" t="str">
        <f>VLOOKUP(A644,sinap!$A$2:$R$9000,7,FALSE)</f>
        <v>Vivo</v>
      </c>
      <c r="P644" s="15" t="str">
        <f>VLOOKUP(A644,sinap!$A$2:$R$9000,8,FALSE)</f>
        <v>11.1.01.1241</v>
      </c>
      <c r="Q644" s="15" t="str">
        <f>VLOOKUP(A644,sinap!$A$2:$R$9000,12,FALSE)</f>
        <v>11.2.01.0038</v>
      </c>
      <c r="R644" s="15" t="str">
        <f>VLOOKUP(A644,sinap!$A$2:$R$9000,16,FALSE)</f>
        <v>11.2.01.0038</v>
      </c>
      <c r="S644" s="15" t="str">
        <f>VLOOKUP(A644,sinap!$A$2:$Y$9000,20,FALSE)</f>
        <v>SI</v>
      </c>
    </row>
    <row r="645" spans="1:20" s="16" customFormat="1" hidden="1" x14ac:dyDescent="0.25">
      <c r="A645" s="15">
        <v>15661378</v>
      </c>
      <c r="B645" s="15"/>
      <c r="C645" s="15"/>
      <c r="H645" s="16">
        <v>45648</v>
      </c>
      <c r="I645" s="16">
        <v>45965</v>
      </c>
      <c r="J645" s="15" t="str">
        <f>VLOOKUP(A645,sinap!$A$2:$R$9000,2,FALSE)</f>
        <v>H</v>
      </c>
      <c r="K645" s="15" t="str">
        <f>VLOOKUP(A645,sinap!$A$2:$R$9000,3,FALSE)</f>
        <v>VACA</v>
      </c>
      <c r="L645" s="15" t="str">
        <f>VLOOKUP(A645,sinap!$A$2:$R$9000,4,FALSE)</f>
        <v>ANGUS NEGRO</v>
      </c>
      <c r="M645" s="15" t="str">
        <f>VLOOKUP(A645,sinap!$A$2:$R$9000,5,FALSE)</f>
        <v>7 años 10 meses</v>
      </c>
      <c r="N645" s="15" t="str">
        <f>VLOOKUP(A645,sinap!$A$2:$R$9000,6,FALSE)</f>
        <v>01-03-2018</v>
      </c>
      <c r="O645" s="15" t="str">
        <f>VLOOKUP(A645,sinap!$A$2:$R$9000,7,FALSE)</f>
        <v>Vivo</v>
      </c>
      <c r="P645" s="15" t="str">
        <f>VLOOKUP(A645,sinap!$A$2:$R$9000,8,FALSE)</f>
        <v>11.1.01.2442</v>
      </c>
      <c r="Q645" s="15" t="str">
        <f>VLOOKUP(A645,sinap!$A$2:$R$9000,12,FALSE)</f>
        <v>11.1.01.0190</v>
      </c>
      <c r="R645" s="15" t="str">
        <f>VLOOKUP(A645,sinap!$A$2:$R$9000,16,FALSE)</f>
        <v>11.2.01.0038</v>
      </c>
      <c r="S645" s="15" t="str">
        <f>VLOOKUP(A645,sinap!$A$2:$Y$9000,20,FALSE)</f>
        <v>SI</v>
      </c>
    </row>
    <row r="646" spans="1:20" s="16" customFormat="1" hidden="1" x14ac:dyDescent="0.25">
      <c r="A646" s="15">
        <v>15661391</v>
      </c>
      <c r="B646" s="15"/>
      <c r="C646" s="15"/>
      <c r="J646" s="15" t="str">
        <f>VLOOKUP(A646,sinap!$A$2:$R$9000,2,FALSE)</f>
        <v>H</v>
      </c>
      <c r="K646" s="15" t="str">
        <f>VLOOKUP(A646,sinap!$A$2:$R$9000,3,FALSE)</f>
        <v>VACA</v>
      </c>
      <c r="L646" s="15" t="str">
        <f>VLOOKUP(A646,sinap!$A$2:$R$9000,4,FALSE)</f>
        <v>ANGUS NEGRO</v>
      </c>
      <c r="M646" s="15" t="str">
        <f>VLOOKUP(A646,sinap!$A$2:$R$9000,5,FALSE)</f>
        <v>13 años 3 meses</v>
      </c>
      <c r="N646" s="15" t="str">
        <f>VLOOKUP(A646,sinap!$A$2:$R$9000,6,FALSE)</f>
        <v>10-10-2012</v>
      </c>
      <c r="O646" s="15" t="str">
        <f>VLOOKUP(A646,sinap!$A$2:$R$9000,7,FALSE)</f>
        <v>Vivo</v>
      </c>
      <c r="P646" s="15" t="str">
        <f>VLOOKUP(A646,sinap!$A$2:$R$9000,8,FALSE)</f>
        <v>11.1.01.1241</v>
      </c>
      <c r="Q646" s="15" t="str">
        <f>VLOOKUP(A646,sinap!$A$2:$R$9000,12,FALSE)</f>
        <v>11.1.01.0893</v>
      </c>
      <c r="R646" s="15" t="str">
        <f>VLOOKUP(A646,sinap!$A$2:$R$9000,16,FALSE)</f>
        <v>11.1.01.0893</v>
      </c>
      <c r="S646" s="15" t="str">
        <f>VLOOKUP(A646,sinap!$A$2:$Y$9000,20,FALSE)</f>
        <v>NO</v>
      </c>
    </row>
    <row r="647" spans="1:20" s="16" customFormat="1" hidden="1" x14ac:dyDescent="0.25">
      <c r="A647" s="15">
        <v>15661393</v>
      </c>
      <c r="B647" s="15"/>
      <c r="C647" s="15"/>
      <c r="G647" s="16">
        <v>45288</v>
      </c>
      <c r="J647" s="15" t="str">
        <f>VLOOKUP(A647,sinap!$A$2:$R$9000,2,FALSE)</f>
        <v>M</v>
      </c>
      <c r="K647" s="15" t="str">
        <f>VLOOKUP(A647,sinap!$A$2:$R$9000,3,FALSE)</f>
        <v>TORO</v>
      </c>
      <c r="L647" s="15" t="str">
        <f>VLOOKUP(A647,sinap!$A$2:$R$9000,4,FALSE)</f>
        <v>ANGUS NEGRO</v>
      </c>
      <c r="M647" s="15" t="str">
        <f>VLOOKUP(A647,sinap!$A$2:$R$9000,5,FALSE)</f>
        <v>8 años 3 meses</v>
      </c>
      <c r="N647" s="15" t="str">
        <f>VLOOKUP(A647,sinap!$A$2:$R$9000,6,FALSE)</f>
        <v>15-10-2017</v>
      </c>
      <c r="O647" s="15" t="str">
        <f>VLOOKUP(A647,sinap!$A$2:$R$9000,7,FALSE)</f>
        <v>Vivo</v>
      </c>
      <c r="P647" s="15" t="str">
        <f>VLOOKUP(A647,sinap!$A$2:$R$9000,8,FALSE)</f>
        <v>11.1.01.0893</v>
      </c>
      <c r="Q647" s="15" t="str">
        <f>VLOOKUP(A647,sinap!$A$2:$R$9000,12,FALSE)</f>
        <v>Sin Movimiento</v>
      </c>
      <c r="R647" s="15" t="str">
        <f>VLOOKUP(A647,sinap!$A$2:$R$9000,16,FALSE)</f>
        <v>11.1.01.0893</v>
      </c>
      <c r="S647" s="15" t="str">
        <f>VLOOKUP(A647,sinap!$A$2:$Y$9000,20,FALSE)</f>
        <v>SI</v>
      </c>
    </row>
    <row r="648" spans="1:20" s="16" customFormat="1" hidden="1" x14ac:dyDescent="0.25">
      <c r="A648" s="15">
        <v>15661396</v>
      </c>
      <c r="B648" s="15"/>
      <c r="C648" s="15"/>
      <c r="G648" s="16">
        <v>45288</v>
      </c>
      <c r="J648" s="15" t="str">
        <f>VLOOKUP(A648,sinap!$A$2:$R$9000,2,FALSE)</f>
        <v>H</v>
      </c>
      <c r="K648" s="15" t="str">
        <f>VLOOKUP(A648,sinap!$A$2:$R$9000,3,FALSE)</f>
        <v>VACA</v>
      </c>
      <c r="L648" s="15" t="str">
        <f>VLOOKUP(A648,sinap!$A$2:$R$9000,4,FALSE)</f>
        <v>ANGUS NEGRO</v>
      </c>
      <c r="M648" s="15" t="str">
        <f>VLOOKUP(A648,sinap!$A$2:$R$9000,5,FALSE)</f>
        <v>7 años 9 meses</v>
      </c>
      <c r="N648" s="15" t="str">
        <f>VLOOKUP(A648,sinap!$A$2:$R$9000,6,FALSE)</f>
        <v>30-03-2018</v>
      </c>
      <c r="O648" s="15" t="str">
        <f>VLOOKUP(A648,sinap!$A$2:$R$9000,7,FALSE)</f>
        <v>Vivo</v>
      </c>
      <c r="P648" s="15" t="str">
        <f>VLOOKUP(A648,sinap!$A$2:$R$9000,8,FALSE)</f>
        <v>11.1.01.1241</v>
      </c>
      <c r="Q648" s="15" t="str">
        <f>VLOOKUP(A648,sinap!$A$2:$R$9000,12,FALSE)</f>
        <v>11.2.01.0038</v>
      </c>
      <c r="R648" s="15" t="str">
        <f>VLOOKUP(A648,sinap!$A$2:$R$9000,16,FALSE)</f>
        <v>11.2.01.0038</v>
      </c>
      <c r="S648" s="15" t="str">
        <f>VLOOKUP(A648,sinap!$A$2:$Y$9000,20,FALSE)</f>
        <v>SI</v>
      </c>
    </row>
    <row r="649" spans="1:20" s="16" customFormat="1" hidden="1" x14ac:dyDescent="0.25">
      <c r="A649" s="15">
        <v>15661432</v>
      </c>
      <c r="B649" s="15"/>
      <c r="C649" s="15"/>
      <c r="G649" s="16">
        <v>45093</v>
      </c>
      <c r="J649" s="15" t="str">
        <f>VLOOKUP(A649,sinap!$A$2:$R$9000,2,FALSE)</f>
        <v>H</v>
      </c>
      <c r="K649" s="15" t="str">
        <f>VLOOKUP(A649,sinap!$A$2:$R$9000,3,FALSE)</f>
        <v>VACA</v>
      </c>
      <c r="L649" s="15" t="str">
        <f>VLOOKUP(A649,sinap!$A$2:$R$9000,4,FALSE)</f>
        <v>LIMOUSIN</v>
      </c>
      <c r="M649" s="15" t="str">
        <f>VLOOKUP(A649,sinap!$A$2:$R$9000,5,FALSE)</f>
        <v>7 años 3 meses</v>
      </c>
      <c r="N649" s="15" t="str">
        <f>VLOOKUP(A649,sinap!$A$2:$R$9000,6,FALSE)</f>
        <v>20-09-2018</v>
      </c>
      <c r="O649" s="15" t="str">
        <f>VLOOKUP(A649,sinap!$A$2:$R$9000,7,FALSE)</f>
        <v>Vivo</v>
      </c>
      <c r="P649" s="15" t="str">
        <f>VLOOKUP(A649,sinap!$A$2:$R$9000,8,FALSE)</f>
        <v>11.1.01.1241</v>
      </c>
      <c r="Q649" s="15" t="str">
        <f>VLOOKUP(A649,sinap!$A$2:$R$9000,12,FALSE)</f>
        <v>Sin Movimiento</v>
      </c>
      <c r="R649" s="15" t="str">
        <f>VLOOKUP(A649,sinap!$A$2:$R$9000,16,FALSE)</f>
        <v>11.1.01.1241</v>
      </c>
      <c r="S649" s="15" t="str">
        <f>VLOOKUP(A649,sinap!$A$2:$Y$9000,20,FALSE)</f>
        <v>SI</v>
      </c>
    </row>
    <row r="650" spans="1:20" s="16" customFormat="1" hidden="1" x14ac:dyDescent="0.25">
      <c r="A650" s="15">
        <v>15661436</v>
      </c>
      <c r="B650" s="15"/>
      <c r="C650" s="15"/>
      <c r="G650" s="16">
        <v>45093</v>
      </c>
      <c r="J650" s="15" t="str">
        <f>VLOOKUP(A650,sinap!$A$2:$R$9000,2,FALSE)</f>
        <v>H</v>
      </c>
      <c r="K650" s="15" t="str">
        <f>VLOOKUP(A650,sinap!$A$2:$R$9000,3,FALSE)</f>
        <v>VACA</v>
      </c>
      <c r="L650" s="15" t="str">
        <f>VLOOKUP(A650,sinap!$A$2:$R$9000,4,FALSE)</f>
        <v>ANGUS NEGRO</v>
      </c>
      <c r="M650" s="15" t="str">
        <f>VLOOKUP(A650,sinap!$A$2:$R$9000,5,FALSE)</f>
        <v>7 años 3 meses</v>
      </c>
      <c r="N650" s="15" t="str">
        <f>VLOOKUP(A650,sinap!$A$2:$R$9000,6,FALSE)</f>
        <v>20-09-2018</v>
      </c>
      <c r="O650" s="15" t="str">
        <f>VLOOKUP(A650,sinap!$A$2:$R$9000,7,FALSE)</f>
        <v>Vivo</v>
      </c>
      <c r="P650" s="15" t="str">
        <f>VLOOKUP(A650,sinap!$A$2:$R$9000,8,FALSE)</f>
        <v>11.2.01.0038</v>
      </c>
      <c r="Q650" s="15" t="str">
        <f>VLOOKUP(A650,sinap!$A$2:$R$9000,12,FALSE)</f>
        <v>11.1.01.1241</v>
      </c>
      <c r="R650" s="15" t="str">
        <f>VLOOKUP(A650,sinap!$A$2:$R$9000,16,FALSE)</f>
        <v>11.1.01.1241</v>
      </c>
      <c r="S650" s="15" t="str">
        <f>VLOOKUP(A650,sinap!$A$2:$Y$9000,20,FALSE)</f>
        <v>SI</v>
      </c>
    </row>
    <row r="651" spans="1:20" s="16" customFormat="1" hidden="1" x14ac:dyDescent="0.25">
      <c r="A651" s="15">
        <v>16190664</v>
      </c>
      <c r="B651" s="15">
        <v>2636122</v>
      </c>
      <c r="C651" s="15"/>
      <c r="G651" s="16">
        <v>45093</v>
      </c>
      <c r="J651" s="15" t="str">
        <f>VLOOKUP(A651,sinap!$A$2:$R$9000,2,FALSE)</f>
        <v>M</v>
      </c>
      <c r="K651" s="15" t="str">
        <f>VLOOKUP(A651,sinap!$A$2:$R$9000,3,FALSE)</f>
        <v>BUEY</v>
      </c>
      <c r="L651" s="15" t="str">
        <f>VLOOKUP(A651,sinap!$A$2:$R$9000,4,FALSE)</f>
        <v>ANGUS NEGRO</v>
      </c>
      <c r="M651" s="15" t="str">
        <f>VLOOKUP(A651,sinap!$A$2:$R$9000,5,FALSE)</f>
        <v>7 años 3 meses</v>
      </c>
      <c r="N651" s="15" t="str">
        <f>VLOOKUP(A651,sinap!$A$2:$R$9000,6,FALSE)</f>
        <v>22-09-2018</v>
      </c>
      <c r="O651" s="15" t="str">
        <f>VLOOKUP(A651,sinap!$A$2:$R$9000,7,FALSE)</f>
        <v>Vivo</v>
      </c>
      <c r="P651" s="15" t="str">
        <f>VLOOKUP(A651,sinap!$A$2:$R$9000,8,FALSE)</f>
        <v>11.1.01.1241</v>
      </c>
      <c r="Q651" s="15" t="str">
        <f>VLOOKUP(A651,sinap!$A$2:$R$9000,12,FALSE)</f>
        <v>11.1.01.1014</v>
      </c>
      <c r="R651" s="15" t="str">
        <f>VLOOKUP(A651,sinap!$A$2:$R$9000,16,FALSE)</f>
        <v>11.2.01.0251</v>
      </c>
      <c r="S651" s="15" t="str">
        <f>VLOOKUP(A651,sinap!$A$2:$Y$9000,20,FALSE)</f>
        <v>NO</v>
      </c>
    </row>
    <row r="652" spans="1:20" s="16" customFormat="1" hidden="1" x14ac:dyDescent="0.25">
      <c r="A652" s="15">
        <v>16390406</v>
      </c>
      <c r="B652" s="15"/>
      <c r="C652" s="15"/>
      <c r="G652" s="16">
        <v>45093</v>
      </c>
      <c r="J652" s="15" t="str">
        <f>VLOOKUP(A652,sinap!$A$2:$R$9000,2,FALSE)</f>
        <v>H</v>
      </c>
      <c r="K652" s="15" t="str">
        <f>VLOOKUP(A652,sinap!$A$2:$R$9000,3,FALSE)</f>
        <v>VACA</v>
      </c>
      <c r="L652" s="15" t="str">
        <f>VLOOKUP(A652,sinap!$A$2:$R$9000,4,FALSE)</f>
        <v>ANGUS NEGRO</v>
      </c>
      <c r="M652" s="15" t="str">
        <f>VLOOKUP(A652,sinap!$A$2:$R$9000,5,FALSE)</f>
        <v>5 años 2 meses</v>
      </c>
      <c r="N652" s="15" t="str">
        <f>VLOOKUP(A652,sinap!$A$2:$R$9000,6,FALSE)</f>
        <v>30-10-2020</v>
      </c>
      <c r="O652" s="15" t="str">
        <f>VLOOKUP(A652,sinap!$A$2:$R$9000,7,FALSE)</f>
        <v>Vivo</v>
      </c>
      <c r="P652" s="15" t="str">
        <f>VLOOKUP(A652,sinap!$A$2:$R$9000,8,FALSE)</f>
        <v>11.1.01.1241</v>
      </c>
      <c r="Q652" s="15" t="str">
        <f>VLOOKUP(A652,sinap!$A$2:$R$9000,12,FALSE)</f>
        <v>11.1.01.1022</v>
      </c>
      <c r="R652" s="15" t="str">
        <f>VLOOKUP(A652,sinap!$A$2:$R$9000,16,FALSE)</f>
        <v>11.1.01.0893</v>
      </c>
      <c r="S652" s="15" t="str">
        <f>VLOOKUP(A652,sinap!$A$2:$Y$9000,20,FALSE)</f>
        <v>SI</v>
      </c>
      <c r="T652" s="16">
        <v>44274</v>
      </c>
    </row>
    <row r="653" spans="1:20" s="16" customFormat="1" hidden="1" x14ac:dyDescent="0.25">
      <c r="A653" s="15">
        <v>16390415</v>
      </c>
      <c r="B653" s="15"/>
      <c r="C653" s="15"/>
      <c r="G653" s="16">
        <v>45093</v>
      </c>
      <c r="H653" s="16">
        <v>45648</v>
      </c>
      <c r="I653" s="16">
        <v>45966</v>
      </c>
      <c r="J653" s="15" t="str">
        <f>VLOOKUP(A653,sinap!$A$2:$R$9000,2,FALSE)</f>
        <v>H</v>
      </c>
      <c r="K653" s="15" t="str">
        <f>VLOOKUP(A653,sinap!$A$2:$R$9000,3,FALSE)</f>
        <v>VACA</v>
      </c>
      <c r="L653" s="15" t="str">
        <f>VLOOKUP(A653,sinap!$A$2:$R$9000,4,FALSE)</f>
        <v>ANGUS NEGRO</v>
      </c>
      <c r="M653" s="15" t="str">
        <f>VLOOKUP(A653,sinap!$A$2:$R$9000,5,FALSE)</f>
        <v>5 años 2 meses</v>
      </c>
      <c r="N653" s="15" t="str">
        <f>VLOOKUP(A653,sinap!$A$2:$R$9000,6,FALSE)</f>
        <v>10-11-2020</v>
      </c>
      <c r="O653" s="15" t="str">
        <f>VLOOKUP(A653,sinap!$A$2:$R$9000,7,FALSE)</f>
        <v>Vivo</v>
      </c>
      <c r="P653" s="15" t="str">
        <f>VLOOKUP(A653,sinap!$A$2:$R$9000,8,FALSE)</f>
        <v>11.1.01.2442</v>
      </c>
      <c r="Q653" s="15" t="str">
        <f>VLOOKUP(A653,sinap!$A$2:$R$9000,12,FALSE)</f>
        <v>11.1.01.0190</v>
      </c>
      <c r="R653" s="15" t="str">
        <f>VLOOKUP(A653,sinap!$A$2:$R$9000,16,FALSE)</f>
        <v>11.1.01.0893</v>
      </c>
      <c r="S653" s="15" t="str">
        <f>VLOOKUP(A653,sinap!$A$2:$Y$9000,20,FALSE)</f>
        <v>SI</v>
      </c>
      <c r="T653" s="16">
        <v>44274</v>
      </c>
    </row>
    <row r="654" spans="1:20" s="16" customFormat="1" hidden="1" x14ac:dyDescent="0.25">
      <c r="A654" s="15">
        <v>16390420</v>
      </c>
      <c r="B654" s="15"/>
      <c r="C654" s="15"/>
      <c r="J654" s="15" t="str">
        <f>VLOOKUP(A654,sinap!$A$2:$R$9000,2,FALSE)</f>
        <v>H</v>
      </c>
      <c r="K654" s="15" t="str">
        <f>VLOOKUP(A654,sinap!$A$2:$R$9000,3,FALSE)</f>
        <v>VACA</v>
      </c>
      <c r="L654" s="15" t="str">
        <f>VLOOKUP(A654,sinap!$A$2:$R$9000,4,FALSE)</f>
        <v>ANGUS NEGRO</v>
      </c>
      <c r="M654" s="15" t="str">
        <f>VLOOKUP(A654,sinap!$A$2:$R$9000,5,FALSE)</f>
        <v>5 años 0 meses</v>
      </c>
      <c r="N654" s="15" t="str">
        <f>VLOOKUP(A654,sinap!$A$2:$R$9000,6,FALSE)</f>
        <v>30-12-2020</v>
      </c>
      <c r="O654" s="15" t="str">
        <f>VLOOKUP(A654,sinap!$A$2:$R$9000,7,FALSE)</f>
        <v>Vivo</v>
      </c>
      <c r="P654" s="15" t="str">
        <f>VLOOKUP(A654,sinap!$A$2:$R$9000,8,FALSE)</f>
        <v>11.1.01.2304</v>
      </c>
      <c r="Q654" s="15" t="str">
        <f>VLOOKUP(A654,sinap!$A$2:$R$9000,12,FALSE)</f>
        <v>11.2.01.0053</v>
      </c>
      <c r="R654" s="15" t="str">
        <f>VLOOKUP(A654,sinap!$A$2:$R$9000,16,FALSE)</f>
        <v>11.1.01.0893</v>
      </c>
      <c r="S654" s="15" t="str">
        <f>VLOOKUP(A654,sinap!$A$2:$Y$9000,20,FALSE)</f>
        <v>SI</v>
      </c>
      <c r="T654" s="16">
        <v>44274</v>
      </c>
    </row>
    <row r="655" spans="1:20" s="16" customFormat="1" hidden="1" x14ac:dyDescent="0.25">
      <c r="A655" s="15">
        <v>16390423</v>
      </c>
      <c r="B655" s="15"/>
      <c r="C655" s="15"/>
      <c r="J655" s="15" t="str">
        <f>VLOOKUP(A655,sinap!$A$2:$R$9000,2,FALSE)</f>
        <v>H</v>
      </c>
      <c r="K655" s="15" t="str">
        <f>VLOOKUP(A655,sinap!$A$2:$R$9000,3,FALSE)</f>
        <v>VACA</v>
      </c>
      <c r="L655" s="15" t="str">
        <f>VLOOKUP(A655,sinap!$A$2:$R$9000,4,FALSE)</f>
        <v>ANGUS NEGRO</v>
      </c>
      <c r="M655" s="15" t="str">
        <f>VLOOKUP(A655,sinap!$A$2:$R$9000,5,FALSE)</f>
        <v>5 años 2 meses</v>
      </c>
      <c r="N655" s="15" t="str">
        <f>VLOOKUP(A655,sinap!$A$2:$R$9000,6,FALSE)</f>
        <v>10-11-2020</v>
      </c>
      <c r="O655" s="15" t="str">
        <f>VLOOKUP(A655,sinap!$A$2:$R$9000,7,FALSE)</f>
        <v>Vivo</v>
      </c>
      <c r="P655" s="15" t="str">
        <f>VLOOKUP(A655,sinap!$A$2:$R$9000,8,FALSE)</f>
        <v>11.1.01.2304</v>
      </c>
      <c r="Q655" s="15" t="str">
        <f>VLOOKUP(A655,sinap!$A$2:$R$9000,12,FALSE)</f>
        <v>11.2.01.0053</v>
      </c>
      <c r="R655" s="15" t="str">
        <f>VLOOKUP(A655,sinap!$A$2:$R$9000,16,FALSE)</f>
        <v>11.1.01.0893</v>
      </c>
      <c r="S655" s="15" t="str">
        <f>VLOOKUP(A655,sinap!$A$2:$Y$9000,20,FALSE)</f>
        <v>SI</v>
      </c>
      <c r="T655" s="16">
        <v>44274</v>
      </c>
    </row>
    <row r="656" spans="1:20" s="16" customFormat="1" hidden="1" x14ac:dyDescent="0.25">
      <c r="A656" s="15">
        <v>16390431</v>
      </c>
      <c r="B656" s="15"/>
      <c r="C656" s="15"/>
      <c r="G656" s="16">
        <v>45093</v>
      </c>
      <c r="H656" s="16">
        <v>45648</v>
      </c>
      <c r="I656" s="16">
        <v>45965</v>
      </c>
      <c r="J656" s="15" t="str">
        <f>VLOOKUP(A656,sinap!$A$2:$R$9000,2,FALSE)</f>
        <v>H</v>
      </c>
      <c r="K656" s="15" t="str">
        <f>VLOOKUP(A656,sinap!$A$2:$R$9000,3,FALSE)</f>
        <v>VACA</v>
      </c>
      <c r="L656" s="15" t="str">
        <f>VLOOKUP(A656,sinap!$A$2:$R$9000,4,FALSE)</f>
        <v>ANGUS NEGRO</v>
      </c>
      <c r="M656" s="15" t="str">
        <f>VLOOKUP(A656,sinap!$A$2:$R$9000,5,FALSE)</f>
        <v>10 años 0 meses</v>
      </c>
      <c r="N656" s="15" t="str">
        <f>VLOOKUP(A656,sinap!$A$2:$R$9000,6,FALSE)</f>
        <v>30-12-2015</v>
      </c>
      <c r="O656" s="15" t="str">
        <f>VLOOKUP(A656,sinap!$A$2:$R$9000,7,FALSE)</f>
        <v>Vivo</v>
      </c>
      <c r="P656" s="15" t="str">
        <f>VLOOKUP(A656,sinap!$A$2:$R$9000,8,FALSE)</f>
        <v>11.1.01.2442</v>
      </c>
      <c r="Q656" s="15" t="str">
        <f>VLOOKUP(A656,sinap!$A$2:$R$9000,12,FALSE)</f>
        <v>11.1.01.0190</v>
      </c>
      <c r="R656" s="15" t="str">
        <f>VLOOKUP(A656,sinap!$A$2:$R$9000,16,FALSE)</f>
        <v>11.1.01.1241</v>
      </c>
      <c r="S656" s="15" t="str">
        <f>VLOOKUP(A656,sinap!$A$2:$Y$9000,20,FALSE)</f>
        <v>NO</v>
      </c>
      <c r="T656" s="16">
        <v>44283</v>
      </c>
    </row>
    <row r="657" spans="1:20" s="16" customFormat="1" hidden="1" x14ac:dyDescent="0.25">
      <c r="A657" s="15">
        <v>16390435</v>
      </c>
      <c r="B657" s="15"/>
      <c r="C657" s="15"/>
      <c r="G657" s="16">
        <v>45093</v>
      </c>
      <c r="J657" s="15" t="str">
        <f>VLOOKUP(A657,sinap!$A$2:$R$9000,2,FALSE)</f>
        <v>H</v>
      </c>
      <c r="K657" s="15" t="str">
        <f>VLOOKUP(A657,sinap!$A$2:$R$9000,3,FALSE)</f>
        <v>VACA</v>
      </c>
      <c r="L657" s="15" t="str">
        <f>VLOOKUP(A657,sinap!$A$2:$R$9000,4,FALSE)</f>
        <v>ANGUS NEGRO</v>
      </c>
      <c r="M657" s="15" t="str">
        <f>VLOOKUP(A657,sinap!$A$2:$R$9000,5,FALSE)</f>
        <v>10 años 0 meses</v>
      </c>
      <c r="N657" s="15" t="str">
        <f>VLOOKUP(A657,sinap!$A$2:$R$9000,6,FALSE)</f>
        <v>30-12-2015</v>
      </c>
      <c r="O657" s="15" t="str">
        <f>VLOOKUP(A657,sinap!$A$2:$R$9000,7,FALSE)</f>
        <v>Vivo</v>
      </c>
      <c r="P657" s="15" t="str">
        <f>VLOOKUP(A657,sinap!$A$2:$R$9000,8,FALSE)</f>
        <v>11.1.01.2442</v>
      </c>
      <c r="Q657" s="15" t="str">
        <f>VLOOKUP(A657,sinap!$A$2:$R$9000,12,FALSE)</f>
        <v>11.1.01.1240</v>
      </c>
      <c r="R657" s="15" t="str">
        <f>VLOOKUP(A657,sinap!$A$2:$R$9000,16,FALSE)</f>
        <v>11.1.01.1241</v>
      </c>
      <c r="S657" s="15" t="str">
        <f>VLOOKUP(A657,sinap!$A$2:$Y$9000,20,FALSE)</f>
        <v>NO</v>
      </c>
      <c r="T657" s="16">
        <v>44283</v>
      </c>
    </row>
    <row r="658" spans="1:20" s="16" customFormat="1" hidden="1" x14ac:dyDescent="0.25">
      <c r="A658" s="15">
        <v>16390436</v>
      </c>
      <c r="B658" s="15"/>
      <c r="C658" s="15"/>
      <c r="G658" s="16">
        <v>45093</v>
      </c>
      <c r="H658" s="16">
        <v>45648</v>
      </c>
      <c r="I658" s="16">
        <v>45671</v>
      </c>
      <c r="J658" s="15" t="str">
        <f>VLOOKUP(A658,sinap!$A$2:$R$9000,2,FALSE)</f>
        <v>H</v>
      </c>
      <c r="K658" s="15" t="str">
        <f>VLOOKUP(A658,sinap!$A$2:$R$9000,3,FALSE)</f>
        <v>VACA</v>
      </c>
      <c r="L658" s="15" t="str">
        <f>VLOOKUP(A658,sinap!$A$2:$R$9000,4,FALSE)</f>
        <v>ANGUS ROJO</v>
      </c>
      <c r="M658" s="15" t="str">
        <f>VLOOKUP(A658,sinap!$A$2:$R$9000,5,FALSE)</f>
        <v>10 años 0 meses</v>
      </c>
      <c r="N658" s="15" t="str">
        <f>VLOOKUP(A658,sinap!$A$2:$R$9000,6,FALSE)</f>
        <v>30-12-2015</v>
      </c>
      <c r="O658" s="15" t="str">
        <f>VLOOKUP(A658,sinap!$A$2:$R$9000,7,FALSE)</f>
        <v>Vivo</v>
      </c>
      <c r="P658" s="15" t="str">
        <f>VLOOKUP(A658,sinap!$A$2:$R$9000,8,FALSE)</f>
        <v>11.1.01.0941</v>
      </c>
      <c r="Q658" s="15" t="str">
        <f>VLOOKUP(A658,sinap!$A$2:$R$9000,12,FALSE)</f>
        <v>11.1.01.1241</v>
      </c>
      <c r="R658" s="15" t="str">
        <f>VLOOKUP(A658,sinap!$A$2:$R$9000,16,FALSE)</f>
        <v>11.1.01.1241</v>
      </c>
      <c r="S658" s="15" t="str">
        <f>VLOOKUP(A658,sinap!$A$2:$Y$9000,20,FALSE)</f>
        <v>NO</v>
      </c>
      <c r="T658" s="16">
        <v>44283</v>
      </c>
    </row>
    <row r="659" spans="1:20" s="16" customFormat="1" hidden="1" x14ac:dyDescent="0.25">
      <c r="A659" s="15">
        <v>16390444</v>
      </c>
      <c r="B659" s="15"/>
      <c r="C659" s="15"/>
      <c r="G659" s="16">
        <v>45093</v>
      </c>
      <c r="H659" s="16">
        <v>45648</v>
      </c>
      <c r="I659" s="16">
        <v>45671</v>
      </c>
      <c r="J659" s="15" t="str">
        <f>VLOOKUP(A659,sinap!$A$2:$R$9000,2,FALSE)</f>
        <v>H</v>
      </c>
      <c r="K659" s="15" t="str">
        <f>VLOOKUP(A659,sinap!$A$2:$R$9000,3,FALSE)</f>
        <v>VACA</v>
      </c>
      <c r="L659" s="15" t="str">
        <f>VLOOKUP(A659,sinap!$A$2:$R$9000,4,FALSE)</f>
        <v>ANGUS NEGRO</v>
      </c>
      <c r="M659" s="15" t="str">
        <f>VLOOKUP(A659,sinap!$A$2:$R$9000,5,FALSE)</f>
        <v>5 años 3 meses</v>
      </c>
      <c r="N659" s="15" t="str">
        <f>VLOOKUP(A659,sinap!$A$2:$R$9000,6,FALSE)</f>
        <v>30-09-2020</v>
      </c>
      <c r="O659" s="15" t="str">
        <f>VLOOKUP(A659,sinap!$A$2:$R$9000,7,FALSE)</f>
        <v>Vivo</v>
      </c>
      <c r="P659" s="15" t="str">
        <f>VLOOKUP(A659,sinap!$A$2:$R$9000,8,FALSE)</f>
        <v>11.1.01.1241</v>
      </c>
      <c r="Q659" s="15" t="str">
        <f>VLOOKUP(A659,sinap!$A$2:$R$9000,12,FALSE)</f>
        <v>11.1.01.1022</v>
      </c>
      <c r="R659" s="15" t="str">
        <f>VLOOKUP(A659,sinap!$A$2:$R$9000,16,FALSE)</f>
        <v>11.1.01.0893</v>
      </c>
      <c r="S659" s="15" t="str">
        <f>VLOOKUP(A659,sinap!$A$2:$Y$9000,20,FALSE)</f>
        <v>SI</v>
      </c>
    </row>
    <row r="660" spans="1:20" s="16" customFormat="1" hidden="1" x14ac:dyDescent="0.25">
      <c r="A660" s="15">
        <v>16390452</v>
      </c>
      <c r="B660" s="15"/>
      <c r="C660" s="15"/>
      <c r="J660" s="15" t="str">
        <f>VLOOKUP(A660,sinap!$A$2:$R$9000,2,FALSE)</f>
        <v>H</v>
      </c>
      <c r="K660" s="15" t="str">
        <f>VLOOKUP(A660,sinap!$A$2:$R$9000,3,FALSE)</f>
        <v>VACA</v>
      </c>
      <c r="L660" s="15" t="str">
        <f>VLOOKUP(A660,sinap!$A$2:$R$9000,4,FALSE)</f>
        <v>ANGUS ROJO</v>
      </c>
      <c r="M660" s="15" t="str">
        <f>VLOOKUP(A660,sinap!$A$2:$R$9000,5,FALSE)</f>
        <v>14 años 2 meses</v>
      </c>
      <c r="N660" s="15" t="str">
        <f>VLOOKUP(A660,sinap!$A$2:$R$9000,6,FALSE)</f>
        <v>30-10-2011</v>
      </c>
      <c r="O660" s="15" t="str">
        <f>VLOOKUP(A660,sinap!$A$2:$R$9000,7,FALSE)</f>
        <v>Vivo</v>
      </c>
      <c r="P660" s="15" t="str">
        <f>VLOOKUP(A660,sinap!$A$2:$R$9000,8,FALSE)</f>
        <v>11.1.01.1241</v>
      </c>
      <c r="Q660" s="15" t="str">
        <f>VLOOKUP(A660,sinap!$A$2:$R$9000,12,FALSE)</f>
        <v>11.2.01.0038</v>
      </c>
      <c r="R660" s="15" t="str">
        <f>VLOOKUP(A660,sinap!$A$2:$R$9000,16,FALSE)</f>
        <v>11.1.01.1241</v>
      </c>
      <c r="S660" s="15" t="str">
        <f>VLOOKUP(A660,sinap!$A$2:$Y$9000,20,FALSE)</f>
        <v>SI</v>
      </c>
    </row>
    <row r="661" spans="1:20" s="16" customFormat="1" hidden="1" x14ac:dyDescent="0.25">
      <c r="A661" s="15">
        <v>16390453</v>
      </c>
      <c r="B661" s="15"/>
      <c r="C661" s="15"/>
      <c r="G661" s="16">
        <v>45093</v>
      </c>
      <c r="J661" s="15" t="str">
        <f>VLOOKUP(A661,sinap!$A$2:$R$9000,2,FALSE)</f>
        <v>H</v>
      </c>
      <c r="K661" s="15" t="str">
        <f>VLOOKUP(A661,sinap!$A$2:$R$9000,3,FALSE)</f>
        <v>VACA</v>
      </c>
      <c r="L661" s="15" t="str">
        <f>VLOOKUP(A661,sinap!$A$2:$R$9000,4,FALSE)</f>
        <v>ANGUS NEGRO</v>
      </c>
      <c r="M661" s="15" t="str">
        <f>VLOOKUP(A661,sinap!$A$2:$R$9000,5,FALSE)</f>
        <v>11 años 4 meses</v>
      </c>
      <c r="N661" s="15" t="str">
        <f>VLOOKUP(A661,sinap!$A$2:$R$9000,6,FALSE)</f>
        <v>30-08-2014</v>
      </c>
      <c r="O661" s="15" t="str">
        <f>VLOOKUP(A661,sinap!$A$2:$R$9000,7,FALSE)</f>
        <v>Vivo</v>
      </c>
      <c r="P661" s="15" t="str">
        <f>VLOOKUP(A661,sinap!$A$2:$R$9000,8,FALSE)</f>
        <v>11.2.01.0038</v>
      </c>
      <c r="Q661" s="15" t="str">
        <f>VLOOKUP(A661,sinap!$A$2:$R$9000,12,FALSE)</f>
        <v>11.1.01.0893</v>
      </c>
      <c r="R661" s="15" t="str">
        <f>VLOOKUP(A661,sinap!$A$2:$R$9000,16,FALSE)</f>
        <v>11.1.01.2304</v>
      </c>
      <c r="S661" s="15" t="str">
        <f>VLOOKUP(A661,sinap!$A$2:$Y$9000,20,FALSE)</f>
        <v>SI</v>
      </c>
    </row>
    <row r="662" spans="1:20" s="16" customFormat="1" hidden="1" x14ac:dyDescent="0.25">
      <c r="A662" s="15">
        <v>16390458</v>
      </c>
      <c r="B662" s="15"/>
      <c r="C662" s="15"/>
      <c r="G662" s="16">
        <v>45093</v>
      </c>
      <c r="J662" s="15" t="str">
        <f>VLOOKUP(A662,sinap!$A$2:$R$9000,2,FALSE)</f>
        <v>H</v>
      </c>
      <c r="K662" s="15" t="str">
        <f>VLOOKUP(A662,sinap!$A$2:$R$9000,3,FALSE)</f>
        <v>VACA</v>
      </c>
      <c r="L662" s="15" t="str">
        <f>VLOOKUP(A662,sinap!$A$2:$R$9000,4,FALSE)</f>
        <v>ANGUS NEGRO</v>
      </c>
      <c r="M662" s="15" t="str">
        <f>VLOOKUP(A662,sinap!$A$2:$R$9000,5,FALSE)</f>
        <v>5 años 2 meses</v>
      </c>
      <c r="N662" s="15" t="str">
        <f>VLOOKUP(A662,sinap!$A$2:$R$9000,6,FALSE)</f>
        <v>07-11-2020</v>
      </c>
      <c r="O662" s="15" t="str">
        <f>VLOOKUP(A662,sinap!$A$2:$R$9000,7,FALSE)</f>
        <v>Vivo</v>
      </c>
      <c r="P662" s="15" t="str">
        <f>VLOOKUP(A662,sinap!$A$2:$R$9000,8,FALSE)</f>
        <v>11.2.01.0038</v>
      </c>
      <c r="Q662" s="15" t="str">
        <f>VLOOKUP(A662,sinap!$A$2:$R$9000,12,FALSE)</f>
        <v>11.1.01.0893</v>
      </c>
      <c r="R662" s="15" t="str">
        <f>VLOOKUP(A662,sinap!$A$2:$R$9000,16,FALSE)</f>
        <v>11.1.01.1241</v>
      </c>
      <c r="S662" s="15" t="str">
        <f>VLOOKUP(A662,sinap!$A$2:$Y$9000,20,FALSE)</f>
        <v>SI</v>
      </c>
    </row>
    <row r="663" spans="1:20" s="16" customFormat="1" hidden="1" x14ac:dyDescent="0.25">
      <c r="A663" s="15">
        <v>16390459</v>
      </c>
      <c r="B663" s="15"/>
      <c r="C663" s="15"/>
      <c r="G663" s="16">
        <v>45093</v>
      </c>
      <c r="H663" s="16">
        <v>45648</v>
      </c>
      <c r="I663" s="16">
        <v>45671</v>
      </c>
      <c r="J663" s="15" t="str">
        <f>VLOOKUP(A663,sinap!$A$2:$R$9000,2,FALSE)</f>
        <v>H</v>
      </c>
      <c r="K663" s="15" t="str">
        <f>VLOOKUP(A663,sinap!$A$2:$R$9000,3,FALSE)</f>
        <v>VACA</v>
      </c>
      <c r="L663" s="15" t="str">
        <f>VLOOKUP(A663,sinap!$A$2:$R$9000,4,FALSE)</f>
        <v>ANGUS NEGRO</v>
      </c>
      <c r="M663" s="15" t="str">
        <f>VLOOKUP(A663,sinap!$A$2:$R$9000,5,FALSE)</f>
        <v>9 años 3 meses</v>
      </c>
      <c r="N663" s="15" t="str">
        <f>VLOOKUP(A663,sinap!$A$2:$R$9000,6,FALSE)</f>
        <v>15-10-2016</v>
      </c>
      <c r="O663" s="15" t="str">
        <f>VLOOKUP(A663,sinap!$A$2:$R$9000,7,FALSE)</f>
        <v>Vivo</v>
      </c>
      <c r="P663" s="15" t="str">
        <f>VLOOKUP(A663,sinap!$A$2:$R$9000,8,FALSE)</f>
        <v>11.1.01.1241</v>
      </c>
      <c r="Q663" s="15" t="str">
        <f>VLOOKUP(A663,sinap!$A$2:$R$9000,12,FALSE)</f>
        <v>11.1.01.0870</v>
      </c>
      <c r="R663" s="15" t="str">
        <f>VLOOKUP(A663,sinap!$A$2:$R$9000,16,FALSE)</f>
        <v>11.1.01.0893</v>
      </c>
      <c r="S663" s="15" t="str">
        <f>VLOOKUP(A663,sinap!$A$2:$Y$9000,20,FALSE)</f>
        <v>SI</v>
      </c>
    </row>
    <row r="664" spans="1:20" s="16" customFormat="1" hidden="1" x14ac:dyDescent="0.25">
      <c r="A664" s="15">
        <v>16390462</v>
      </c>
      <c r="B664" s="15"/>
      <c r="C664" s="15"/>
      <c r="G664" s="16">
        <v>45093</v>
      </c>
      <c r="H664" s="16">
        <v>45648</v>
      </c>
      <c r="I664" s="16">
        <v>45671</v>
      </c>
      <c r="J664" s="15" t="str">
        <f>VLOOKUP(A664,sinap!$A$2:$R$9000,2,FALSE)</f>
        <v>H</v>
      </c>
      <c r="K664" s="15" t="str">
        <f>VLOOKUP(A664,sinap!$A$2:$R$9000,3,FALSE)</f>
        <v>VACA</v>
      </c>
      <c r="L664" s="15" t="str">
        <f>VLOOKUP(A664,sinap!$A$2:$R$9000,4,FALSE)</f>
        <v>ANGUS NEGRO</v>
      </c>
      <c r="M664" s="15" t="str">
        <f>VLOOKUP(A664,sinap!$A$2:$R$9000,5,FALSE)</f>
        <v>10 años 2 meses</v>
      </c>
      <c r="N664" s="15" t="str">
        <f>VLOOKUP(A664,sinap!$A$2:$R$9000,6,FALSE)</f>
        <v>30-10-2015</v>
      </c>
      <c r="O664" s="15" t="str">
        <f>VLOOKUP(A664,sinap!$A$2:$R$9000,7,FALSE)</f>
        <v>Vivo</v>
      </c>
      <c r="P664" s="15" t="str">
        <f>VLOOKUP(A664,sinap!$A$2:$R$9000,8,FALSE)</f>
        <v>11.1.01.2442</v>
      </c>
      <c r="Q664" s="15" t="str">
        <f>VLOOKUP(A664,sinap!$A$2:$R$9000,12,FALSE)</f>
        <v>11.1.01.0190</v>
      </c>
      <c r="R664" s="15" t="str">
        <f>VLOOKUP(A664,sinap!$A$2:$R$9000,16,FALSE)</f>
        <v>11.1.01.1241</v>
      </c>
      <c r="S664" s="15" t="str">
        <f>VLOOKUP(A664,sinap!$A$2:$Y$9000,20,FALSE)</f>
        <v>SI</v>
      </c>
    </row>
    <row r="665" spans="1:20" s="16" customFormat="1" hidden="1" x14ac:dyDescent="0.25">
      <c r="A665" s="15">
        <v>16390467</v>
      </c>
      <c r="B665" s="15"/>
      <c r="C665" s="15"/>
      <c r="G665" s="16">
        <v>45093</v>
      </c>
      <c r="H665" s="16">
        <v>45648</v>
      </c>
      <c r="I665" s="16">
        <v>45671</v>
      </c>
      <c r="J665" s="15" t="str">
        <f>VLOOKUP(A665,sinap!$A$2:$R$9000,2,FALSE)</f>
        <v>H</v>
      </c>
      <c r="K665" s="15" t="str">
        <f>VLOOKUP(A665,sinap!$A$2:$R$9000,3,FALSE)</f>
        <v>VACA</v>
      </c>
      <c r="L665" s="15" t="str">
        <f>VLOOKUP(A665,sinap!$A$2:$R$9000,4,FALSE)</f>
        <v>ANGUS NEGRO</v>
      </c>
      <c r="M665" s="15" t="str">
        <f>VLOOKUP(A665,sinap!$A$2:$R$9000,5,FALSE)</f>
        <v>11 años 3 meses</v>
      </c>
      <c r="N665" s="15" t="str">
        <f>VLOOKUP(A665,sinap!$A$2:$R$9000,6,FALSE)</f>
        <v>30-09-2014</v>
      </c>
      <c r="O665" s="15" t="str">
        <f>VLOOKUP(A665,sinap!$A$2:$R$9000,7,FALSE)</f>
        <v>Vivo</v>
      </c>
      <c r="P665" s="15" t="str">
        <f>VLOOKUP(A665,sinap!$A$2:$R$9000,8,FALSE)</f>
        <v>11.1.01.1241</v>
      </c>
      <c r="Q665" s="15" t="str">
        <f>VLOOKUP(A665,sinap!$A$2:$R$9000,12,FALSE)</f>
        <v>11.2.01.0038</v>
      </c>
      <c r="R665" s="15" t="str">
        <f>VLOOKUP(A665,sinap!$A$2:$R$9000,16,FALSE)</f>
        <v>11.1.01.1081</v>
      </c>
      <c r="S665" s="15" t="str">
        <f>VLOOKUP(A665,sinap!$A$2:$Y$9000,20,FALSE)</f>
        <v>SI</v>
      </c>
    </row>
    <row r="666" spans="1:20" s="16" customFormat="1" hidden="1" x14ac:dyDescent="0.25">
      <c r="A666" s="15">
        <v>16390471</v>
      </c>
      <c r="B666" s="15"/>
      <c r="C666" s="15"/>
      <c r="G666" s="16">
        <v>45093</v>
      </c>
      <c r="J666" s="15" t="str">
        <f>VLOOKUP(A666,sinap!$A$2:$R$9000,2,FALSE)</f>
        <v>H</v>
      </c>
      <c r="K666" s="15" t="str">
        <f>VLOOKUP(A666,sinap!$A$2:$R$9000,3,FALSE)</f>
        <v>VACA</v>
      </c>
      <c r="L666" s="15" t="str">
        <f>VLOOKUP(A666,sinap!$A$2:$R$9000,4,FALSE)</f>
        <v>ANGUS NEGRO</v>
      </c>
      <c r="M666" s="15" t="str">
        <f>VLOOKUP(A666,sinap!$A$2:$R$9000,5,FALSE)</f>
        <v>10 años 3 meses</v>
      </c>
      <c r="N666" s="15" t="str">
        <f>VLOOKUP(A666,sinap!$A$2:$R$9000,6,FALSE)</f>
        <v>15-10-2015</v>
      </c>
      <c r="O666" s="15" t="str">
        <f>VLOOKUP(A666,sinap!$A$2:$R$9000,7,FALSE)</f>
        <v>Vivo</v>
      </c>
      <c r="P666" s="15" t="str">
        <f>VLOOKUP(A666,sinap!$A$2:$R$9000,8,FALSE)</f>
        <v>11.1.01.1241</v>
      </c>
      <c r="Q666" s="15" t="str">
        <f>VLOOKUP(A666,sinap!$A$2:$R$9000,12,FALSE)</f>
        <v>Sin Movimiento</v>
      </c>
      <c r="R666" s="15" t="str">
        <f>VLOOKUP(A666,sinap!$A$2:$R$9000,16,FALSE)</f>
        <v>11.1.01.1241</v>
      </c>
      <c r="S666" s="15" t="str">
        <f>VLOOKUP(A666,sinap!$A$2:$Y$9000,20,FALSE)</f>
        <v>NO</v>
      </c>
    </row>
    <row r="667" spans="1:20" s="16" customFormat="1" hidden="1" x14ac:dyDescent="0.25">
      <c r="A667" s="15">
        <v>16390472</v>
      </c>
      <c r="B667" s="15"/>
      <c r="C667" s="15"/>
      <c r="G667" s="16">
        <v>45093</v>
      </c>
      <c r="H667" s="16">
        <v>45648</v>
      </c>
      <c r="I667" s="16">
        <v>45671</v>
      </c>
      <c r="J667" s="15" t="str">
        <f>VLOOKUP(A667,sinap!$A$2:$R$9000,2,FALSE)</f>
        <v>H</v>
      </c>
      <c r="K667" s="15" t="str">
        <f>VLOOKUP(A667,sinap!$A$2:$R$9000,3,FALSE)</f>
        <v>VACA</v>
      </c>
      <c r="L667" s="15" t="str">
        <f>VLOOKUP(A667,sinap!$A$2:$R$9000,4,FALSE)</f>
        <v>ANGUS NEGRO</v>
      </c>
      <c r="M667" s="15" t="str">
        <f>VLOOKUP(A667,sinap!$A$2:$R$9000,5,FALSE)</f>
        <v>10 años 0 meses</v>
      </c>
      <c r="N667" s="15" t="str">
        <f>VLOOKUP(A667,sinap!$A$2:$R$9000,6,FALSE)</f>
        <v>30-12-2015</v>
      </c>
      <c r="O667" s="15" t="str">
        <f>VLOOKUP(A667,sinap!$A$2:$R$9000,7,FALSE)</f>
        <v>Vivo</v>
      </c>
      <c r="P667" s="15" t="str">
        <f>VLOOKUP(A667,sinap!$A$2:$R$9000,8,FALSE)</f>
        <v>11.1.01.1241</v>
      </c>
      <c r="Q667" s="15" t="str">
        <f>VLOOKUP(A667,sinap!$A$2:$R$9000,12,FALSE)</f>
        <v>11.2.01.0038</v>
      </c>
      <c r="R667" s="15" t="str">
        <f>VLOOKUP(A667,sinap!$A$2:$R$9000,16,FALSE)</f>
        <v>11.1.01.1241</v>
      </c>
      <c r="S667" s="15" t="str">
        <f>VLOOKUP(A667,sinap!$A$2:$Y$9000,20,FALSE)</f>
        <v>NO</v>
      </c>
    </row>
    <row r="668" spans="1:20" s="16" customFormat="1" hidden="1" x14ac:dyDescent="0.25">
      <c r="A668" s="15">
        <v>16390473</v>
      </c>
      <c r="B668" s="15"/>
      <c r="C668" s="15"/>
      <c r="G668" s="16">
        <v>45093</v>
      </c>
      <c r="H668" s="16">
        <v>45648</v>
      </c>
      <c r="I668" s="16">
        <v>45671</v>
      </c>
      <c r="J668" s="15" t="str">
        <f>VLOOKUP(A668,sinap!$A$2:$R$9000,2,FALSE)</f>
        <v>H</v>
      </c>
      <c r="K668" s="15" t="str">
        <f>VLOOKUP(A668,sinap!$A$2:$R$9000,3,FALSE)</f>
        <v>VACA</v>
      </c>
      <c r="L668" s="15" t="str">
        <f>VLOOKUP(A668,sinap!$A$2:$R$9000,4,FALSE)</f>
        <v>ANGUS NEGRO</v>
      </c>
      <c r="M668" s="15" t="str">
        <f>VLOOKUP(A668,sinap!$A$2:$R$9000,5,FALSE)</f>
        <v>10 años 3 meses</v>
      </c>
      <c r="N668" s="15" t="str">
        <f>VLOOKUP(A668,sinap!$A$2:$R$9000,6,FALSE)</f>
        <v>15-10-2015</v>
      </c>
      <c r="O668" s="15" t="str">
        <f>VLOOKUP(A668,sinap!$A$2:$R$9000,7,FALSE)</f>
        <v>Vivo</v>
      </c>
      <c r="P668" s="15" t="str">
        <f>VLOOKUP(A668,sinap!$A$2:$R$9000,8,FALSE)</f>
        <v>11.1.01.1241</v>
      </c>
      <c r="Q668" s="15" t="str">
        <f>VLOOKUP(A668,sinap!$A$2:$R$9000,12,FALSE)</f>
        <v>Sin Movimiento</v>
      </c>
      <c r="R668" s="15" t="str">
        <f>VLOOKUP(A668,sinap!$A$2:$R$9000,16,FALSE)</f>
        <v>11.1.01.1241</v>
      </c>
      <c r="S668" s="15" t="str">
        <f>VLOOKUP(A668,sinap!$A$2:$Y$9000,20,FALSE)</f>
        <v>NO</v>
      </c>
    </row>
    <row r="669" spans="1:20" s="16" customFormat="1" hidden="1" x14ac:dyDescent="0.25">
      <c r="A669" s="15">
        <v>16390474</v>
      </c>
      <c r="B669" s="15"/>
      <c r="C669" s="15"/>
      <c r="G669" s="16">
        <v>45093</v>
      </c>
      <c r="H669" s="16">
        <v>45648</v>
      </c>
      <c r="I669" s="16">
        <v>45965</v>
      </c>
      <c r="J669" s="15" t="str">
        <f>VLOOKUP(A669,sinap!$A$2:$R$9000,2,FALSE)</f>
        <v>H</v>
      </c>
      <c r="K669" s="15" t="str">
        <f>VLOOKUP(A669,sinap!$A$2:$R$9000,3,FALSE)</f>
        <v>VACA</v>
      </c>
      <c r="L669" s="15" t="str">
        <f>VLOOKUP(A669,sinap!$A$2:$R$9000,4,FALSE)</f>
        <v>ANGUS NEGRO</v>
      </c>
      <c r="M669" s="15" t="str">
        <f>VLOOKUP(A669,sinap!$A$2:$R$9000,5,FALSE)</f>
        <v>10 años 3 meses</v>
      </c>
      <c r="N669" s="15" t="str">
        <f>VLOOKUP(A669,sinap!$A$2:$R$9000,6,FALSE)</f>
        <v>15-10-2015</v>
      </c>
      <c r="O669" s="15" t="str">
        <f>VLOOKUP(A669,sinap!$A$2:$R$9000,7,FALSE)</f>
        <v>Vivo</v>
      </c>
      <c r="P669" s="15" t="str">
        <f>VLOOKUP(A669,sinap!$A$2:$R$9000,8,FALSE)</f>
        <v>11.1.01.2442</v>
      </c>
      <c r="Q669" s="15" t="str">
        <f>VLOOKUP(A669,sinap!$A$2:$R$9000,12,FALSE)</f>
        <v>11.1.01.0190</v>
      </c>
      <c r="R669" s="15" t="str">
        <f>VLOOKUP(A669,sinap!$A$2:$R$9000,16,FALSE)</f>
        <v>11.1.01.1241</v>
      </c>
      <c r="S669" s="15" t="str">
        <f>VLOOKUP(A669,sinap!$A$2:$Y$9000,20,FALSE)</f>
        <v>NO</v>
      </c>
    </row>
    <row r="670" spans="1:20" s="16" customFormat="1" hidden="1" x14ac:dyDescent="0.25">
      <c r="A670" s="15">
        <v>16390480</v>
      </c>
      <c r="B670" s="15"/>
      <c r="C670" s="15"/>
      <c r="G670" s="16">
        <v>45093</v>
      </c>
      <c r="J670" s="15" t="str">
        <f>VLOOKUP(A670,sinap!$A$2:$R$9000,2,FALSE)</f>
        <v>H</v>
      </c>
      <c r="K670" s="15" t="str">
        <f>VLOOKUP(A670,sinap!$A$2:$R$9000,3,FALSE)</f>
        <v>VACA</v>
      </c>
      <c r="L670" s="15" t="str">
        <f>VLOOKUP(A670,sinap!$A$2:$R$9000,4,FALSE)</f>
        <v>ANGUS NEGRO</v>
      </c>
      <c r="M670" s="15" t="str">
        <f>VLOOKUP(A670,sinap!$A$2:$R$9000,5,FALSE)</f>
        <v>10 años 3 meses</v>
      </c>
      <c r="N670" s="15" t="str">
        <f>VLOOKUP(A670,sinap!$A$2:$R$9000,6,FALSE)</f>
        <v>15-10-2015</v>
      </c>
      <c r="O670" s="15" t="str">
        <f>VLOOKUP(A670,sinap!$A$2:$R$9000,7,FALSE)</f>
        <v>Vivo</v>
      </c>
      <c r="P670" s="15" t="str">
        <f>VLOOKUP(A670,sinap!$A$2:$R$9000,8,FALSE)</f>
        <v>11.2.01.0038</v>
      </c>
      <c r="Q670" s="15" t="str">
        <f>VLOOKUP(A670,sinap!$A$2:$R$9000,12,FALSE)</f>
        <v>11.1.01.0893</v>
      </c>
      <c r="R670" s="15" t="str">
        <f>VLOOKUP(A670,sinap!$A$2:$R$9000,16,FALSE)</f>
        <v>11.1.01.1241</v>
      </c>
      <c r="S670" s="15" t="str">
        <f>VLOOKUP(A670,sinap!$A$2:$Y$9000,20,FALSE)</f>
        <v>NO</v>
      </c>
    </row>
    <row r="671" spans="1:20" s="16" customFormat="1" hidden="1" x14ac:dyDescent="0.25">
      <c r="A671" s="15">
        <v>16390503</v>
      </c>
      <c r="B671" s="15"/>
      <c r="C671" s="15"/>
      <c r="G671" s="16">
        <v>45093</v>
      </c>
      <c r="J671" s="15" t="str">
        <f>VLOOKUP(A671,sinap!$A$2:$R$9000,2,FALSE)</f>
        <v>H</v>
      </c>
      <c r="K671" s="15" t="str">
        <f>VLOOKUP(A671,sinap!$A$2:$R$9000,3,FALSE)</f>
        <v>VACA</v>
      </c>
      <c r="L671" s="15" t="str">
        <f>VLOOKUP(A671,sinap!$A$2:$R$9000,4,FALSE)</f>
        <v>ANGUS NEGRO</v>
      </c>
      <c r="M671" s="15" t="str">
        <f>VLOOKUP(A671,sinap!$A$2:$R$9000,5,FALSE)</f>
        <v>13 años 3 meses</v>
      </c>
      <c r="N671" s="15" t="str">
        <f>VLOOKUP(A671,sinap!$A$2:$R$9000,6,FALSE)</f>
        <v>15-10-2012</v>
      </c>
      <c r="O671" s="15" t="str">
        <f>VLOOKUP(A671,sinap!$A$2:$R$9000,7,FALSE)</f>
        <v>Vivo</v>
      </c>
      <c r="P671" s="15" t="str">
        <f>VLOOKUP(A671,sinap!$A$2:$R$9000,8,FALSE)</f>
        <v>11.1.01.1240</v>
      </c>
      <c r="Q671" s="15" t="str">
        <f>VLOOKUP(A671,sinap!$A$2:$R$9000,12,FALSE)</f>
        <v>11.1.02.0004</v>
      </c>
      <c r="R671" s="15" t="str">
        <f>VLOOKUP(A671,sinap!$A$2:$R$9000,16,FALSE)</f>
        <v>11.1.01.0941</v>
      </c>
      <c r="S671" s="15" t="str">
        <f>VLOOKUP(A671,sinap!$A$2:$Y$9000,20,FALSE)</f>
        <v>NO</v>
      </c>
      <c r="T671" s="16">
        <v>44385</v>
      </c>
    </row>
    <row r="672" spans="1:20" s="16" customFormat="1" hidden="1" x14ac:dyDescent="0.25">
      <c r="A672" s="15">
        <v>16390516</v>
      </c>
      <c r="B672" s="15">
        <v>2636118</v>
      </c>
      <c r="C672" s="15"/>
      <c r="G672" s="16">
        <v>45093</v>
      </c>
      <c r="J672" s="15" t="str">
        <f>VLOOKUP(A672,sinap!$A$2:$R$9000,2,FALSE)</f>
        <v>M</v>
      </c>
      <c r="K672" s="15" t="str">
        <f>VLOOKUP(A672,sinap!$A$2:$R$9000,3,FALSE)</f>
        <v>TORO</v>
      </c>
      <c r="L672" s="15" t="str">
        <f>VLOOKUP(A672,sinap!$A$2:$R$9000,4,FALSE)</f>
        <v>ANGUS NEGRO</v>
      </c>
      <c r="M672" s="15" t="str">
        <f>VLOOKUP(A672,sinap!$A$2:$R$9000,5,FALSE)</f>
        <v>15 años 3 meses</v>
      </c>
      <c r="N672" s="15" t="str">
        <f>VLOOKUP(A672,sinap!$A$2:$R$9000,6,FALSE)</f>
        <v>15-10-2010</v>
      </c>
      <c r="O672" s="15" t="str">
        <f>VLOOKUP(A672,sinap!$A$2:$R$9000,7,FALSE)</f>
        <v>Vivo</v>
      </c>
      <c r="P672" s="15" t="str">
        <f>VLOOKUP(A672,sinap!$A$2:$R$9000,8,FALSE)</f>
        <v>11.1.01.1241</v>
      </c>
      <c r="Q672" s="15" t="str">
        <f>VLOOKUP(A672,sinap!$A$2:$R$9000,12,FALSE)</f>
        <v>11.1.01.0893</v>
      </c>
      <c r="R672" s="15" t="str">
        <f>VLOOKUP(A672,sinap!$A$2:$R$9000,16,FALSE)</f>
        <v>11.1.01.0290</v>
      </c>
      <c r="S672" s="15" t="str">
        <f>VLOOKUP(A672,sinap!$A$2:$Y$9000,20,FALSE)</f>
        <v>SI</v>
      </c>
    </row>
    <row r="673" spans="1:20" s="16" customFormat="1" hidden="1" x14ac:dyDescent="0.25">
      <c r="A673" s="15">
        <v>16390519</v>
      </c>
      <c r="B673" s="15"/>
      <c r="C673" s="15"/>
      <c r="G673" s="16">
        <v>45288</v>
      </c>
      <c r="J673" s="15" t="str">
        <f>VLOOKUP(A673,sinap!$A$2:$R$9000,2,FALSE)</f>
        <v>M</v>
      </c>
      <c r="K673" s="15" t="str">
        <f>VLOOKUP(A673,sinap!$A$2:$R$9000,3,FALSE)</f>
        <v>BUEY</v>
      </c>
      <c r="L673" s="15" t="str">
        <f>VLOOKUP(A673,sinap!$A$2:$R$9000,4,FALSE)</f>
        <v>ANGUS NEGRO</v>
      </c>
      <c r="M673" s="15" t="str">
        <f>VLOOKUP(A673,sinap!$A$2:$R$9000,5,FALSE)</f>
        <v>8 años 3 meses</v>
      </c>
      <c r="N673" s="15" t="str">
        <f>VLOOKUP(A673,sinap!$A$2:$R$9000,6,FALSE)</f>
        <v>15-10-2017</v>
      </c>
      <c r="O673" s="15" t="str">
        <f>VLOOKUP(A673,sinap!$A$2:$R$9000,7,FALSE)</f>
        <v>Vivo</v>
      </c>
      <c r="P673" s="15" t="str">
        <f>VLOOKUP(A673,sinap!$A$2:$R$9000,8,FALSE)</f>
        <v>11.1.01.1241</v>
      </c>
      <c r="Q673" s="15" t="str">
        <f>VLOOKUP(A673,sinap!$A$2:$R$9000,12,FALSE)</f>
        <v>Sin Movimiento</v>
      </c>
      <c r="R673" s="15" t="str">
        <f>VLOOKUP(A673,sinap!$A$2:$R$9000,16,FALSE)</f>
        <v>11.1.01.1241</v>
      </c>
      <c r="S673" s="15" t="str">
        <f>VLOOKUP(A673,sinap!$A$2:$Y$9000,20,FALSE)</f>
        <v>NO</v>
      </c>
      <c r="T673" s="16">
        <v>44397</v>
      </c>
    </row>
    <row r="674" spans="1:20" s="16" customFormat="1" hidden="1" x14ac:dyDescent="0.25">
      <c r="A674" s="15">
        <v>16390520</v>
      </c>
      <c r="B674" s="15"/>
      <c r="C674" s="15"/>
      <c r="J674" s="15" t="str">
        <f>VLOOKUP(A674,sinap!$A$2:$R$9000,2,FALSE)</f>
        <v>M</v>
      </c>
      <c r="K674" s="15" t="str">
        <f>VLOOKUP(A674,sinap!$A$2:$R$9000,3,FALSE)</f>
        <v>BUEY</v>
      </c>
      <c r="L674" s="15" t="str">
        <f>VLOOKUP(A674,sinap!$A$2:$R$9000,4,FALSE)</f>
        <v>ANGUS NEGRO</v>
      </c>
      <c r="M674" s="15" t="str">
        <f>VLOOKUP(A674,sinap!$A$2:$R$9000,5,FALSE)</f>
        <v>8 años 3 meses</v>
      </c>
      <c r="N674" s="15" t="str">
        <f>VLOOKUP(A674,sinap!$A$2:$R$9000,6,FALSE)</f>
        <v>15-10-2017</v>
      </c>
      <c r="O674" s="15" t="str">
        <f>VLOOKUP(A674,sinap!$A$2:$R$9000,7,FALSE)</f>
        <v>Vivo</v>
      </c>
      <c r="P674" s="15" t="str">
        <f>VLOOKUP(A674,sinap!$A$2:$R$9000,8,FALSE)</f>
        <v>11.1.01.1241</v>
      </c>
      <c r="Q674" s="15" t="str">
        <f>VLOOKUP(A674,sinap!$A$2:$R$9000,12,FALSE)</f>
        <v>Sin Movimiento</v>
      </c>
      <c r="R674" s="15" t="str">
        <f>VLOOKUP(A674,sinap!$A$2:$R$9000,16,FALSE)</f>
        <v>11.1.01.1241</v>
      </c>
      <c r="S674" s="15" t="str">
        <f>VLOOKUP(A674,sinap!$A$2:$Y$9000,20,FALSE)</f>
        <v>NO</v>
      </c>
      <c r="T674" s="16">
        <v>44397</v>
      </c>
    </row>
    <row r="675" spans="1:20" s="16" customFormat="1" hidden="1" x14ac:dyDescent="0.25">
      <c r="A675" s="15">
        <v>16390524</v>
      </c>
      <c r="B675" s="15"/>
      <c r="C675" s="15"/>
      <c r="J675" s="15" t="str">
        <f>VLOOKUP(A675,sinap!$A$2:$R$9000,2,FALSE)</f>
        <v>H</v>
      </c>
      <c r="K675" s="15" t="str">
        <f>VLOOKUP(A675,sinap!$A$2:$R$9000,3,FALSE)</f>
        <v>VACA</v>
      </c>
      <c r="L675" s="15" t="str">
        <f>VLOOKUP(A675,sinap!$A$2:$R$9000,4,FALSE)</f>
        <v>ANGUS NEGRO</v>
      </c>
      <c r="M675" s="15" t="str">
        <f>VLOOKUP(A675,sinap!$A$2:$R$9000,5,FALSE)</f>
        <v>7 años 4 meses</v>
      </c>
      <c r="N675" s="15" t="str">
        <f>VLOOKUP(A675,sinap!$A$2:$R$9000,6,FALSE)</f>
        <v>15-09-2018</v>
      </c>
      <c r="O675" s="15" t="str">
        <f>VLOOKUP(A675,sinap!$A$2:$R$9000,7,FALSE)</f>
        <v>Vivo</v>
      </c>
      <c r="P675" s="15" t="str">
        <f>VLOOKUP(A675,sinap!$A$2:$R$9000,8,FALSE)</f>
        <v>11.1.01.0791</v>
      </c>
      <c r="Q675" s="15" t="str">
        <f>VLOOKUP(A675,sinap!$A$2:$R$9000,12,FALSE)</f>
        <v>11.1.01.0893</v>
      </c>
      <c r="R675" s="15" t="str">
        <f>VLOOKUP(A675,sinap!$A$2:$R$9000,16,FALSE)</f>
        <v>11.1.01.0893</v>
      </c>
      <c r="S675" s="15" t="str">
        <f>VLOOKUP(A675,sinap!$A$2:$Y$9000,20,FALSE)</f>
        <v>SI</v>
      </c>
    </row>
    <row r="676" spans="1:20" s="16" customFormat="1" hidden="1" x14ac:dyDescent="0.25">
      <c r="A676" s="15">
        <v>16390525</v>
      </c>
      <c r="B676" s="15"/>
      <c r="C676" s="15"/>
      <c r="J676" s="15" t="str">
        <f>VLOOKUP(A676,sinap!$A$2:$R$9000,2,FALSE)</f>
        <v>H</v>
      </c>
      <c r="K676" s="15" t="str">
        <f>VLOOKUP(A676,sinap!$A$2:$R$9000,3,FALSE)</f>
        <v>VACA</v>
      </c>
      <c r="L676" s="15" t="str">
        <f>VLOOKUP(A676,sinap!$A$2:$R$9000,4,FALSE)</f>
        <v>ANGUS NEGRO</v>
      </c>
      <c r="M676" s="15" t="str">
        <f>VLOOKUP(A676,sinap!$A$2:$R$9000,5,FALSE)</f>
        <v>9 años 3 meses</v>
      </c>
      <c r="N676" s="15" t="str">
        <f>VLOOKUP(A676,sinap!$A$2:$R$9000,6,FALSE)</f>
        <v>15-10-2016</v>
      </c>
      <c r="O676" s="15" t="str">
        <f>VLOOKUP(A676,sinap!$A$2:$R$9000,7,FALSE)</f>
        <v>Vivo</v>
      </c>
      <c r="P676" s="15" t="str">
        <f>VLOOKUP(A676,sinap!$A$2:$R$9000,8,FALSE)</f>
        <v>11.1.01.1241</v>
      </c>
      <c r="Q676" s="15" t="str">
        <f>VLOOKUP(A676,sinap!$A$2:$R$9000,12,FALSE)</f>
        <v>11.1.01.0893</v>
      </c>
      <c r="R676" s="15" t="str">
        <f>VLOOKUP(A676,sinap!$A$2:$R$9000,16,FALSE)</f>
        <v>11.1.01.1081</v>
      </c>
      <c r="S676" s="15" t="str">
        <f>VLOOKUP(A676,sinap!$A$2:$Y$9000,20,FALSE)</f>
        <v>SI</v>
      </c>
    </row>
    <row r="677" spans="1:20" s="16" customFormat="1" hidden="1" x14ac:dyDescent="0.25">
      <c r="A677" s="15">
        <v>16390527</v>
      </c>
      <c r="B677" s="15"/>
      <c r="C677" s="15"/>
      <c r="J677" s="15" t="str">
        <f>VLOOKUP(A677,sinap!$A$2:$R$9000,2,FALSE)</f>
        <v>H</v>
      </c>
      <c r="K677" s="15" t="str">
        <f>VLOOKUP(A677,sinap!$A$2:$R$9000,3,FALSE)</f>
        <v>VACA</v>
      </c>
      <c r="L677" s="15" t="str">
        <f>VLOOKUP(A677,sinap!$A$2:$R$9000,4,FALSE)</f>
        <v>ANGUS NEGRO</v>
      </c>
      <c r="M677" s="15" t="str">
        <f>VLOOKUP(A677,sinap!$A$2:$R$9000,5,FALSE)</f>
        <v>9 años 3 meses</v>
      </c>
      <c r="N677" s="15" t="str">
        <f>VLOOKUP(A677,sinap!$A$2:$R$9000,6,FALSE)</f>
        <v>10-10-2016</v>
      </c>
      <c r="O677" s="15" t="str">
        <f>VLOOKUP(A677,sinap!$A$2:$R$9000,7,FALSE)</f>
        <v>Vivo</v>
      </c>
      <c r="P677" s="15" t="str">
        <f>VLOOKUP(A677,sinap!$A$2:$R$9000,8,FALSE)</f>
        <v>11.2.01.0038</v>
      </c>
      <c r="Q677" s="15" t="str">
        <f>VLOOKUP(A677,sinap!$A$2:$R$9000,12,FALSE)</f>
        <v>11.1.01.0893</v>
      </c>
      <c r="R677" s="15" t="str">
        <f>VLOOKUP(A677,sinap!$A$2:$R$9000,16,FALSE)</f>
        <v>11.1.01.0791</v>
      </c>
      <c r="S677" s="15" t="str">
        <f>VLOOKUP(A677,sinap!$A$2:$Y$9000,20,FALSE)</f>
        <v>SI</v>
      </c>
    </row>
    <row r="678" spans="1:20" s="16" customFormat="1" hidden="1" x14ac:dyDescent="0.25">
      <c r="A678" s="15">
        <v>16390531</v>
      </c>
      <c r="B678" s="15"/>
      <c r="C678" s="15"/>
      <c r="G678" s="16">
        <v>45264</v>
      </c>
      <c r="H678" s="16">
        <v>45648</v>
      </c>
      <c r="I678" s="16">
        <v>45671</v>
      </c>
      <c r="J678" s="15" t="str">
        <f>VLOOKUP(A678,sinap!$A$2:$R$9000,2,FALSE)</f>
        <v>H</v>
      </c>
      <c r="K678" s="15" t="str">
        <f>VLOOKUP(A678,sinap!$A$2:$R$9000,3,FALSE)</f>
        <v>VACA</v>
      </c>
      <c r="L678" s="15" t="str">
        <f>VLOOKUP(A678,sinap!$A$2:$R$9000,4,FALSE)</f>
        <v>ANGUS NEGRO</v>
      </c>
      <c r="M678" s="15" t="str">
        <f>VLOOKUP(A678,sinap!$A$2:$R$9000,5,FALSE)</f>
        <v>10 años 3 meses</v>
      </c>
      <c r="N678" s="15" t="str">
        <f>VLOOKUP(A678,sinap!$A$2:$R$9000,6,FALSE)</f>
        <v>30-09-2015</v>
      </c>
      <c r="O678" s="15" t="str">
        <f>VLOOKUP(A678,sinap!$A$2:$R$9000,7,FALSE)</f>
        <v>Vivo</v>
      </c>
      <c r="P678" s="15" t="str">
        <f>VLOOKUP(A678,sinap!$A$2:$R$9000,8,FALSE)</f>
        <v>11.1.01.2442</v>
      </c>
      <c r="Q678" s="15" t="str">
        <f>VLOOKUP(A678,sinap!$A$2:$R$9000,12,FALSE)</f>
        <v>11.1.01.0190</v>
      </c>
      <c r="R678" s="15" t="str">
        <f>VLOOKUP(A678,sinap!$A$2:$R$9000,16,FALSE)</f>
        <v>11.1.01.1081</v>
      </c>
      <c r="S678" s="15" t="str">
        <f>VLOOKUP(A678,sinap!$A$2:$Y$9000,20,FALSE)</f>
        <v>SI</v>
      </c>
    </row>
    <row r="679" spans="1:20" s="16" customFormat="1" hidden="1" x14ac:dyDescent="0.25">
      <c r="A679" s="15">
        <v>16390533</v>
      </c>
      <c r="B679" s="15"/>
      <c r="C679" s="15"/>
      <c r="G679" s="16">
        <v>45093</v>
      </c>
      <c r="H679" s="16">
        <v>45648</v>
      </c>
      <c r="I679" s="16">
        <v>45966</v>
      </c>
      <c r="J679" s="15" t="str">
        <f>VLOOKUP(A679,sinap!$A$2:$R$9000,2,FALSE)</f>
        <v>H</v>
      </c>
      <c r="K679" s="15" t="str">
        <f>VLOOKUP(A679,sinap!$A$2:$R$9000,3,FALSE)</f>
        <v>VACA</v>
      </c>
      <c r="L679" s="15" t="str">
        <f>VLOOKUP(A679,sinap!$A$2:$R$9000,4,FALSE)</f>
        <v>ANGUS ROJO</v>
      </c>
      <c r="M679" s="15" t="str">
        <f>VLOOKUP(A679,sinap!$A$2:$R$9000,5,FALSE)</f>
        <v>12 años 2 meses</v>
      </c>
      <c r="N679" s="15" t="str">
        <f>VLOOKUP(A679,sinap!$A$2:$R$9000,6,FALSE)</f>
        <v>30-10-2013</v>
      </c>
      <c r="O679" s="15" t="str">
        <f>VLOOKUP(A679,sinap!$A$2:$R$9000,7,FALSE)</f>
        <v>Vivo</v>
      </c>
      <c r="P679" s="15" t="str">
        <f>VLOOKUP(A679,sinap!$A$2:$R$9000,8,FALSE)</f>
        <v>11.1.01.2442</v>
      </c>
      <c r="Q679" s="15" t="str">
        <f>VLOOKUP(A679,sinap!$A$2:$R$9000,12,FALSE)</f>
        <v>11.1.01.0190</v>
      </c>
      <c r="R679" s="15" t="str">
        <f>VLOOKUP(A679,sinap!$A$2:$R$9000,16,FALSE)</f>
        <v>11.1.01.0790</v>
      </c>
      <c r="S679" s="15" t="str">
        <f>VLOOKUP(A679,sinap!$A$2:$Y$9000,20,FALSE)</f>
        <v>SI</v>
      </c>
    </row>
    <row r="680" spans="1:20" s="16" customFormat="1" hidden="1" x14ac:dyDescent="0.25">
      <c r="A680" s="15">
        <v>16390534</v>
      </c>
      <c r="B680" s="15"/>
      <c r="C680" s="15"/>
      <c r="G680" s="16">
        <v>45093</v>
      </c>
      <c r="J680" s="15" t="str">
        <f>VLOOKUP(A680,sinap!$A$2:$R$9000,2,FALSE)</f>
        <v>H</v>
      </c>
      <c r="K680" s="15" t="str">
        <f>VLOOKUP(A680,sinap!$A$2:$R$9000,3,FALSE)</f>
        <v>VACA</v>
      </c>
      <c r="L680" s="15" t="str">
        <f>VLOOKUP(A680,sinap!$A$2:$R$9000,4,FALSE)</f>
        <v>ANGUS NEGRO</v>
      </c>
      <c r="M680" s="15" t="str">
        <f>VLOOKUP(A680,sinap!$A$2:$R$9000,5,FALSE)</f>
        <v>10 años 3 meses</v>
      </c>
      <c r="N680" s="15" t="str">
        <f>VLOOKUP(A680,sinap!$A$2:$R$9000,6,FALSE)</f>
        <v>10-10-2015</v>
      </c>
      <c r="O680" s="15" t="str">
        <f>VLOOKUP(A680,sinap!$A$2:$R$9000,7,FALSE)</f>
        <v>Vivo</v>
      </c>
      <c r="P680" s="15" t="str">
        <f>VLOOKUP(A680,sinap!$A$2:$R$9000,8,FALSE)</f>
        <v>11.1.01.1241</v>
      </c>
      <c r="Q680" s="15" t="str">
        <f>VLOOKUP(A680,sinap!$A$2:$R$9000,12,FALSE)</f>
        <v>11.1.01.0893</v>
      </c>
      <c r="R680" s="15" t="str">
        <f>VLOOKUP(A680,sinap!$A$2:$R$9000,16,FALSE)</f>
        <v>11.1.01.2304</v>
      </c>
      <c r="S680" s="15" t="str">
        <f>VLOOKUP(A680,sinap!$A$2:$Y$9000,20,FALSE)</f>
        <v>SI</v>
      </c>
    </row>
    <row r="681" spans="1:20" s="16" customFormat="1" hidden="1" x14ac:dyDescent="0.25">
      <c r="A681" s="15">
        <v>16390535</v>
      </c>
      <c r="B681" s="15"/>
      <c r="C681" s="15"/>
      <c r="G681" s="16">
        <v>45213</v>
      </c>
      <c r="H681" s="16">
        <v>45297</v>
      </c>
      <c r="J681" s="15" t="str">
        <f>VLOOKUP(A681,sinap!$A$2:$R$9000,2,FALSE)</f>
        <v>H</v>
      </c>
      <c r="K681" s="15" t="str">
        <f>VLOOKUP(A681,sinap!$A$2:$R$9000,3,FALSE)</f>
        <v>VACA</v>
      </c>
      <c r="L681" s="15" t="str">
        <f>VLOOKUP(A681,sinap!$A$2:$R$9000,4,FALSE)</f>
        <v>ANGUS NEGRO</v>
      </c>
      <c r="M681" s="15" t="str">
        <f>VLOOKUP(A681,sinap!$A$2:$R$9000,5,FALSE)</f>
        <v>10 años 3 meses</v>
      </c>
      <c r="N681" s="15" t="str">
        <f>VLOOKUP(A681,sinap!$A$2:$R$9000,6,FALSE)</f>
        <v>10-10-2015</v>
      </c>
      <c r="O681" s="15" t="str">
        <f>VLOOKUP(A681,sinap!$A$2:$R$9000,7,FALSE)</f>
        <v>Vivo</v>
      </c>
      <c r="P681" s="15" t="str">
        <f>VLOOKUP(A681,sinap!$A$2:$R$9000,8,FALSE)</f>
        <v>11.2.01.0038</v>
      </c>
      <c r="Q681" s="15" t="str">
        <f>VLOOKUP(A681,sinap!$A$2:$R$9000,12,FALSE)</f>
        <v>11.1.01.0893</v>
      </c>
      <c r="R681" s="15" t="str">
        <f>VLOOKUP(A681,sinap!$A$2:$R$9000,16,FALSE)</f>
        <v>11.1.01.1081</v>
      </c>
      <c r="S681" s="15" t="str">
        <f>VLOOKUP(A681,sinap!$A$2:$Y$9000,20,FALSE)</f>
        <v>SI</v>
      </c>
    </row>
    <row r="682" spans="1:20" s="16" customFormat="1" hidden="1" x14ac:dyDescent="0.25">
      <c r="A682" s="15">
        <v>16390536</v>
      </c>
      <c r="B682" s="15"/>
      <c r="C682" s="15"/>
      <c r="G682" s="16">
        <v>45213</v>
      </c>
      <c r="H682" s="16">
        <v>45648</v>
      </c>
      <c r="I682" s="16">
        <v>45671</v>
      </c>
      <c r="J682" s="15" t="str">
        <f>VLOOKUP(A682,sinap!$A$2:$R$9000,2,FALSE)</f>
        <v>H</v>
      </c>
      <c r="K682" s="15" t="str">
        <f>VLOOKUP(A682,sinap!$A$2:$R$9000,3,FALSE)</f>
        <v>VACA</v>
      </c>
      <c r="L682" s="15" t="str">
        <f>VLOOKUP(A682,sinap!$A$2:$R$9000,4,FALSE)</f>
        <v>ANGUS NEGRO</v>
      </c>
      <c r="M682" s="15" t="str">
        <f>VLOOKUP(A682,sinap!$A$2:$R$9000,5,FALSE)</f>
        <v>10 años 3 meses</v>
      </c>
      <c r="N682" s="15" t="str">
        <f>VLOOKUP(A682,sinap!$A$2:$R$9000,6,FALSE)</f>
        <v>15-10-2015</v>
      </c>
      <c r="O682" s="15" t="str">
        <f>VLOOKUP(A682,sinap!$A$2:$R$9000,7,FALSE)</f>
        <v>Vivo</v>
      </c>
      <c r="P682" s="15" t="str">
        <f>VLOOKUP(A682,sinap!$A$2:$R$9000,8,FALSE)</f>
        <v>11.1.01.1241</v>
      </c>
      <c r="Q682" s="15" t="str">
        <f>VLOOKUP(A682,sinap!$A$2:$R$9000,12,FALSE)</f>
        <v>11.1.01.0870</v>
      </c>
      <c r="R682" s="15" t="str">
        <f>VLOOKUP(A682,sinap!$A$2:$R$9000,16,FALSE)</f>
        <v>11.1.01.0893</v>
      </c>
      <c r="S682" s="15" t="str">
        <f>VLOOKUP(A682,sinap!$A$2:$Y$9000,20,FALSE)</f>
        <v>NO</v>
      </c>
    </row>
    <row r="683" spans="1:20" s="16" customFormat="1" hidden="1" x14ac:dyDescent="0.25">
      <c r="A683" s="15">
        <v>16390542</v>
      </c>
      <c r="B683" s="15"/>
      <c r="C683" s="15"/>
      <c r="G683" s="16">
        <v>45213</v>
      </c>
      <c r="H683" s="16">
        <v>45648</v>
      </c>
      <c r="I683" s="16">
        <v>45671</v>
      </c>
      <c r="J683" s="15" t="str">
        <f>VLOOKUP(A683,sinap!$A$2:$R$9000,2,FALSE)</f>
        <v>H</v>
      </c>
      <c r="K683" s="15" t="str">
        <f>VLOOKUP(A683,sinap!$A$2:$R$9000,3,FALSE)</f>
        <v>VACA</v>
      </c>
      <c r="L683" s="15" t="str">
        <f>VLOOKUP(A683,sinap!$A$2:$R$9000,4,FALSE)</f>
        <v>ANGUS NEGRO</v>
      </c>
      <c r="M683" s="15" t="str">
        <f>VLOOKUP(A683,sinap!$A$2:$R$9000,5,FALSE)</f>
        <v>10 años 0 meses</v>
      </c>
      <c r="N683" s="15" t="str">
        <f>VLOOKUP(A683,sinap!$A$2:$R$9000,6,FALSE)</f>
        <v>30-12-2015</v>
      </c>
      <c r="O683" s="15" t="str">
        <f>VLOOKUP(A683,sinap!$A$2:$R$9000,7,FALSE)</f>
        <v>Vivo</v>
      </c>
      <c r="P683" s="15" t="str">
        <f>VLOOKUP(A683,sinap!$A$2:$R$9000,8,FALSE)</f>
        <v>11.1.01.1241</v>
      </c>
      <c r="Q683" s="15" t="str">
        <f>VLOOKUP(A683,sinap!$A$2:$R$9000,12,FALSE)</f>
        <v>Sin Movimiento</v>
      </c>
      <c r="R683" s="15" t="str">
        <f>VLOOKUP(A683,sinap!$A$2:$R$9000,16,FALSE)</f>
        <v>11.1.01.1241</v>
      </c>
      <c r="S683" s="15" t="str">
        <f>VLOOKUP(A683,sinap!$A$2:$Y$9000,20,FALSE)</f>
        <v>NO</v>
      </c>
    </row>
    <row r="684" spans="1:20" s="16" customFormat="1" hidden="1" x14ac:dyDescent="0.25">
      <c r="A684" s="15">
        <v>16390546</v>
      </c>
      <c r="B684" s="15"/>
      <c r="C684" s="15"/>
      <c r="G684" s="16">
        <v>45288</v>
      </c>
      <c r="J684" s="15" t="str">
        <f>VLOOKUP(A684,sinap!$A$2:$R$9000,2,FALSE)</f>
        <v>H</v>
      </c>
      <c r="K684" s="15" t="str">
        <f>VLOOKUP(A684,sinap!$A$2:$R$9000,3,FALSE)</f>
        <v>VACA</v>
      </c>
      <c r="L684" s="15" t="str">
        <f>VLOOKUP(A684,sinap!$A$2:$R$9000,4,FALSE)</f>
        <v>ANGUS NEGRO</v>
      </c>
      <c r="M684" s="15" t="str">
        <f>VLOOKUP(A684,sinap!$A$2:$R$9000,5,FALSE)</f>
        <v>9 años 3 meses</v>
      </c>
      <c r="N684" s="15" t="str">
        <f>VLOOKUP(A684,sinap!$A$2:$R$9000,6,FALSE)</f>
        <v>15-10-2016</v>
      </c>
      <c r="O684" s="15" t="str">
        <f>VLOOKUP(A684,sinap!$A$2:$R$9000,7,FALSE)</f>
        <v>Vivo</v>
      </c>
      <c r="P684" s="15" t="str">
        <f>VLOOKUP(A684,sinap!$A$2:$R$9000,8,FALSE)</f>
        <v>11.2.01.0038</v>
      </c>
      <c r="Q684" s="15" t="str">
        <f>VLOOKUP(A684,sinap!$A$2:$R$9000,12,FALSE)</f>
        <v>11.1.01.0893</v>
      </c>
      <c r="R684" s="15" t="str">
        <f>VLOOKUP(A684,sinap!$A$2:$R$9000,16,FALSE)</f>
        <v>11.1.01.1081</v>
      </c>
      <c r="S684" s="15" t="str">
        <f>VLOOKUP(A684,sinap!$A$2:$Y$9000,20,FALSE)</f>
        <v>SI</v>
      </c>
    </row>
    <row r="685" spans="1:20" s="16" customFormat="1" hidden="1" x14ac:dyDescent="0.25">
      <c r="A685" s="15">
        <v>16390547</v>
      </c>
      <c r="B685" s="15"/>
      <c r="C685" s="15"/>
      <c r="G685" s="16">
        <v>45213</v>
      </c>
      <c r="J685" s="15" t="str">
        <f>VLOOKUP(A685,sinap!$A$2:$R$9000,2,FALSE)</f>
        <v>H</v>
      </c>
      <c r="K685" s="15" t="str">
        <f>VLOOKUP(A685,sinap!$A$2:$R$9000,3,FALSE)</f>
        <v>VACA</v>
      </c>
      <c r="L685" s="15" t="str">
        <f>VLOOKUP(A685,sinap!$A$2:$R$9000,4,FALSE)</f>
        <v>ANGUS NEGRO</v>
      </c>
      <c r="M685" s="15" t="str">
        <f>VLOOKUP(A685,sinap!$A$2:$R$9000,5,FALSE)</f>
        <v>12 años 3 meses</v>
      </c>
      <c r="N685" s="15" t="str">
        <f>VLOOKUP(A685,sinap!$A$2:$R$9000,6,FALSE)</f>
        <v>15-10-2013</v>
      </c>
      <c r="O685" s="15" t="str">
        <f>VLOOKUP(A685,sinap!$A$2:$R$9000,7,FALSE)</f>
        <v>Vivo</v>
      </c>
      <c r="P685" s="15" t="str">
        <f>VLOOKUP(A685,sinap!$A$2:$R$9000,8,FALSE)</f>
        <v>11.1.01.1241</v>
      </c>
      <c r="Q685" s="15" t="str">
        <f>VLOOKUP(A685,sinap!$A$2:$R$9000,12,FALSE)</f>
        <v>11.1.01.0791</v>
      </c>
      <c r="R685" s="15" t="str">
        <f>VLOOKUP(A685,sinap!$A$2:$R$9000,16,FALSE)</f>
        <v>11.1.01.1241</v>
      </c>
      <c r="S685" s="15" t="str">
        <f>VLOOKUP(A685,sinap!$A$2:$Y$9000,20,FALSE)</f>
        <v>SI</v>
      </c>
    </row>
    <row r="686" spans="1:20" s="16" customFormat="1" hidden="1" x14ac:dyDescent="0.25">
      <c r="A686" s="15">
        <v>16390550</v>
      </c>
      <c r="B686" s="15"/>
      <c r="C686" s="15"/>
      <c r="E686" s="16">
        <v>44350</v>
      </c>
      <c r="G686" s="16">
        <v>45215</v>
      </c>
      <c r="H686" s="16">
        <v>45648</v>
      </c>
      <c r="I686" s="16">
        <v>45966</v>
      </c>
      <c r="J686" s="15" t="str">
        <f>VLOOKUP(A686,sinap!$A$2:$R$9000,2,FALSE)</f>
        <v>H</v>
      </c>
      <c r="K686" s="15" t="str">
        <f>VLOOKUP(A686,sinap!$A$2:$R$9000,3,FALSE)</f>
        <v>VACA</v>
      </c>
      <c r="L686" s="15" t="str">
        <f>VLOOKUP(A686,sinap!$A$2:$R$9000,4,FALSE)</f>
        <v>ANGUS NEGRO</v>
      </c>
      <c r="M686" s="15" t="str">
        <f>VLOOKUP(A686,sinap!$A$2:$R$9000,5,FALSE)</f>
        <v>8 años 2 meses</v>
      </c>
      <c r="N686" s="15" t="str">
        <f>VLOOKUP(A686,sinap!$A$2:$R$9000,6,FALSE)</f>
        <v>14-11-2017</v>
      </c>
      <c r="O686" s="15" t="str">
        <f>VLOOKUP(A686,sinap!$A$2:$R$9000,7,FALSE)</f>
        <v>Vivo</v>
      </c>
      <c r="P686" s="15" t="str">
        <f>VLOOKUP(A686,sinap!$A$2:$R$9000,8,FALSE)</f>
        <v>11.1.01.2442</v>
      </c>
      <c r="Q686" s="15" t="str">
        <f>VLOOKUP(A686,sinap!$A$2:$R$9000,12,FALSE)</f>
        <v>11.1.01.0190</v>
      </c>
      <c r="R686" s="15" t="str">
        <f>VLOOKUP(A686,sinap!$A$2:$R$9000,16,FALSE)</f>
        <v>11.1.01.0893</v>
      </c>
      <c r="S686" s="15" t="str">
        <f>VLOOKUP(A686,sinap!$A$2:$Y$9000,20,FALSE)</f>
        <v>SI</v>
      </c>
    </row>
    <row r="687" spans="1:20" s="16" customFormat="1" hidden="1" x14ac:dyDescent="0.25">
      <c r="A687" s="15">
        <v>16390551</v>
      </c>
      <c r="B687" s="15"/>
      <c r="C687" s="15"/>
      <c r="G687" s="16">
        <v>45215</v>
      </c>
      <c r="H687" s="16">
        <v>45648</v>
      </c>
      <c r="I687" s="16">
        <v>45671</v>
      </c>
      <c r="J687" s="15" t="str">
        <f>VLOOKUP(A687,sinap!$A$2:$R$9000,2,FALSE)</f>
        <v>H</v>
      </c>
      <c r="K687" s="15" t="str">
        <f>VLOOKUP(A687,sinap!$A$2:$R$9000,3,FALSE)</f>
        <v>VACA</v>
      </c>
      <c r="L687" s="15" t="str">
        <f>VLOOKUP(A687,sinap!$A$2:$R$9000,4,FALSE)</f>
        <v>ANGUS NEGRO</v>
      </c>
      <c r="M687" s="15" t="str">
        <f>VLOOKUP(A687,sinap!$A$2:$R$9000,5,FALSE)</f>
        <v>12 años 2 meses</v>
      </c>
      <c r="N687" s="15" t="str">
        <f>VLOOKUP(A687,sinap!$A$2:$R$9000,6,FALSE)</f>
        <v>20-10-2013</v>
      </c>
      <c r="O687" s="15" t="str">
        <f>VLOOKUP(A687,sinap!$A$2:$R$9000,7,FALSE)</f>
        <v>Vivo</v>
      </c>
      <c r="P687" s="15" t="str">
        <f>VLOOKUP(A687,sinap!$A$2:$R$9000,8,FALSE)</f>
        <v>11.1.01.1241</v>
      </c>
      <c r="Q687" s="15" t="str">
        <f>VLOOKUP(A687,sinap!$A$2:$R$9000,12,FALSE)</f>
        <v>11.1.01.0870</v>
      </c>
      <c r="R687" s="15" t="str">
        <f>VLOOKUP(A687,sinap!$A$2:$R$9000,16,FALSE)</f>
        <v>11.1.01.1081</v>
      </c>
      <c r="S687" s="15" t="str">
        <f>VLOOKUP(A687,sinap!$A$2:$Y$9000,20,FALSE)</f>
        <v>SI</v>
      </c>
    </row>
    <row r="688" spans="1:20" s="16" customFormat="1" hidden="1" x14ac:dyDescent="0.25">
      <c r="A688" s="15">
        <v>16390553</v>
      </c>
      <c r="B688" s="15"/>
      <c r="C688" s="15"/>
      <c r="H688" s="16">
        <v>45648</v>
      </c>
      <c r="I688" s="16">
        <v>45966</v>
      </c>
      <c r="J688" s="15" t="str">
        <f>VLOOKUP(A688,sinap!$A$2:$R$9000,2,FALSE)</f>
        <v>H</v>
      </c>
      <c r="K688" s="15" t="str">
        <f>VLOOKUP(A688,sinap!$A$2:$R$9000,3,FALSE)</f>
        <v>VACA</v>
      </c>
      <c r="L688" s="15" t="str">
        <f>VLOOKUP(A688,sinap!$A$2:$R$9000,4,FALSE)</f>
        <v>ANGUS NEGRO</v>
      </c>
      <c r="M688" s="15" t="str">
        <f>VLOOKUP(A688,sinap!$A$2:$R$9000,5,FALSE)</f>
        <v>10 años 1 meses</v>
      </c>
      <c r="N688" s="15" t="str">
        <f>VLOOKUP(A688,sinap!$A$2:$R$9000,6,FALSE)</f>
        <v>15-12-2015</v>
      </c>
      <c r="O688" s="15" t="str">
        <f>VLOOKUP(A688,sinap!$A$2:$R$9000,7,FALSE)</f>
        <v>Vivo</v>
      </c>
      <c r="P688" s="15" t="str">
        <f>VLOOKUP(A688,sinap!$A$2:$R$9000,8,FALSE)</f>
        <v>11.1.01.2442</v>
      </c>
      <c r="Q688" s="15" t="str">
        <f>VLOOKUP(A688,sinap!$A$2:$R$9000,12,FALSE)</f>
        <v>11.1.01.0190</v>
      </c>
      <c r="R688" s="15" t="str">
        <f>VLOOKUP(A688,sinap!$A$2:$R$9000,16,FALSE)</f>
        <v>11.1.01.1241</v>
      </c>
      <c r="S688" s="15" t="str">
        <f>VLOOKUP(A688,sinap!$A$2:$Y$9000,20,FALSE)</f>
        <v>NO</v>
      </c>
      <c r="T688" s="16">
        <v>44727</v>
      </c>
    </row>
    <row r="689" spans="1:20" s="16" customFormat="1" hidden="1" x14ac:dyDescent="0.25">
      <c r="A689" s="15">
        <v>16390554</v>
      </c>
      <c r="B689" s="15"/>
      <c r="C689" s="15"/>
      <c r="G689" s="16">
        <v>45213</v>
      </c>
      <c r="J689" s="15" t="str">
        <f>VLOOKUP(A689,sinap!$A$2:$R$9000,2,FALSE)</f>
        <v>H</v>
      </c>
      <c r="K689" s="15" t="str">
        <f>VLOOKUP(A689,sinap!$A$2:$R$9000,3,FALSE)</f>
        <v>VACA</v>
      </c>
      <c r="L689" s="15" t="str">
        <f>VLOOKUP(A689,sinap!$A$2:$R$9000,4,FALSE)</f>
        <v>ANGUS NEGRO</v>
      </c>
      <c r="M689" s="15" t="str">
        <f>VLOOKUP(A689,sinap!$A$2:$R$9000,5,FALSE)</f>
        <v>6 años 3 meses</v>
      </c>
      <c r="N689" s="15" t="str">
        <f>VLOOKUP(A689,sinap!$A$2:$R$9000,6,FALSE)</f>
        <v>30-09-2019</v>
      </c>
      <c r="O689" s="15" t="str">
        <f>VLOOKUP(A689,sinap!$A$2:$R$9000,7,FALSE)</f>
        <v>Vivo</v>
      </c>
      <c r="P689" s="15" t="str">
        <f>VLOOKUP(A689,sinap!$A$2:$R$9000,8,FALSE)</f>
        <v>11.1.01.0791</v>
      </c>
      <c r="Q689" s="15" t="str">
        <f>VLOOKUP(A689,sinap!$A$2:$R$9000,12,FALSE)</f>
        <v>11.1.01.0893</v>
      </c>
      <c r="R689" s="15" t="str">
        <f>VLOOKUP(A689,sinap!$A$2:$R$9000,16,FALSE)</f>
        <v>11.1.01.1241</v>
      </c>
      <c r="S689" s="15" t="str">
        <f>VLOOKUP(A689,sinap!$A$2:$Y$9000,20,FALSE)</f>
        <v>NO</v>
      </c>
    </row>
    <row r="690" spans="1:20" s="16" customFormat="1" hidden="1" x14ac:dyDescent="0.25">
      <c r="A690" s="15">
        <v>16390557</v>
      </c>
      <c r="B690" s="15">
        <v>2636125</v>
      </c>
      <c r="C690" s="15"/>
      <c r="I690" s="16">
        <v>45965</v>
      </c>
      <c r="J690" s="15" t="str">
        <f>VLOOKUP(A690,sinap!$A$2:$R$9000,2,FALSE)</f>
        <v>M</v>
      </c>
      <c r="K690" s="15" t="str">
        <f>VLOOKUP(A690,sinap!$A$2:$R$9000,3,FALSE)</f>
        <v>TORO</v>
      </c>
      <c r="L690" s="15" t="str">
        <f>VLOOKUP(A690,sinap!$A$2:$R$9000,4,FALSE)</f>
        <v>ANGUS NEGRO</v>
      </c>
      <c r="M690" s="15" t="str">
        <f>VLOOKUP(A690,sinap!$A$2:$R$9000,5,FALSE)</f>
        <v>6 años 2 meses</v>
      </c>
      <c r="N690" s="15" t="str">
        <f>VLOOKUP(A690,sinap!$A$2:$R$9000,6,FALSE)</f>
        <v>01-11-2019</v>
      </c>
      <c r="O690" s="15" t="str">
        <f>VLOOKUP(A690,sinap!$A$2:$R$9000,7,FALSE)</f>
        <v>Vivo</v>
      </c>
      <c r="P690" s="15" t="str">
        <f>VLOOKUP(A690,sinap!$A$2:$R$9000,8,FALSE)</f>
        <v>11.1.01.2442</v>
      </c>
      <c r="Q690" s="15" t="str">
        <f>VLOOKUP(A690,sinap!$A$2:$R$9000,12,FALSE)</f>
        <v>11.1.01.0190</v>
      </c>
      <c r="R690" s="15" t="str">
        <f>VLOOKUP(A690,sinap!$A$2:$R$9000,16,FALSE)</f>
        <v>11.1.01.0893</v>
      </c>
      <c r="S690" s="15" t="str">
        <f>VLOOKUP(A690,sinap!$A$2:$Y$9000,20,FALSE)</f>
        <v>NO</v>
      </c>
      <c r="T690" s="16">
        <v>44532</v>
      </c>
    </row>
    <row r="691" spans="1:20" s="16" customFormat="1" hidden="1" x14ac:dyDescent="0.25">
      <c r="A691" s="15">
        <v>16390558</v>
      </c>
      <c r="B691" s="15">
        <v>2636148</v>
      </c>
      <c r="C691" s="15"/>
      <c r="I691" s="16">
        <v>45818</v>
      </c>
      <c r="J691" s="15" t="str">
        <f>VLOOKUP(A691,sinap!$A$2:$R$9000,2,FALSE)</f>
        <v>M</v>
      </c>
      <c r="K691" s="15" t="str">
        <f>VLOOKUP(A691,sinap!$A$2:$R$9000,3,FALSE)</f>
        <v>BUEY</v>
      </c>
      <c r="L691" s="15" t="str">
        <f>VLOOKUP(A691,sinap!$A$2:$R$9000,4,FALSE)</f>
        <v>ANGUS NEGRO</v>
      </c>
      <c r="M691" s="15" t="str">
        <f>VLOOKUP(A691,sinap!$A$2:$R$9000,5,FALSE)</f>
        <v>6 años 2 meses</v>
      </c>
      <c r="N691" s="15" t="str">
        <f>VLOOKUP(A691,sinap!$A$2:$R$9000,6,FALSE)</f>
        <v>01-11-2019</v>
      </c>
      <c r="O691" s="15" t="str">
        <f>VLOOKUP(A691,sinap!$A$2:$R$9000,7,FALSE)</f>
        <v>Vivo</v>
      </c>
      <c r="P691" s="15" t="str">
        <f>VLOOKUP(A691,sinap!$A$2:$R$9000,8,FALSE)</f>
        <v>11.2.01.0038</v>
      </c>
      <c r="Q691" s="15" t="str">
        <f>VLOOKUP(A691,sinap!$A$2:$R$9000,12,FALSE)</f>
        <v>11.1.01.1241</v>
      </c>
      <c r="R691" s="15" t="str">
        <f>VLOOKUP(A691,sinap!$A$2:$R$9000,16,FALSE)</f>
        <v>11.1.01.1241</v>
      </c>
      <c r="S691" s="15" t="str">
        <f>VLOOKUP(A691,sinap!$A$2:$Y$9000,20,FALSE)</f>
        <v>NO</v>
      </c>
      <c r="T691" s="16">
        <v>44894</v>
      </c>
    </row>
    <row r="692" spans="1:20" s="16" customFormat="1" hidden="1" x14ac:dyDescent="0.25">
      <c r="A692" s="15">
        <v>16390559</v>
      </c>
      <c r="B692" s="15">
        <v>2636149</v>
      </c>
      <c r="C692" s="15"/>
      <c r="H692" s="16">
        <v>45636</v>
      </c>
      <c r="J692" s="15" t="str">
        <f>VLOOKUP(A692,sinap!$A$2:$R$9000,2,FALSE)</f>
        <v>M</v>
      </c>
      <c r="K692" s="15" t="str">
        <f>VLOOKUP(A692,sinap!$A$2:$R$9000,3,FALSE)</f>
        <v>BUEY</v>
      </c>
      <c r="L692" s="15" t="str">
        <f>VLOOKUP(A692,sinap!$A$2:$R$9000,4,FALSE)</f>
        <v>ANGUS NEGRO</v>
      </c>
      <c r="M692" s="15" t="str">
        <f>VLOOKUP(A692,sinap!$A$2:$R$9000,5,FALSE)</f>
        <v>6 años 3 meses</v>
      </c>
      <c r="N692" s="15" t="str">
        <f>VLOOKUP(A692,sinap!$A$2:$R$9000,6,FALSE)</f>
        <v>30-09-2019</v>
      </c>
      <c r="O692" s="15" t="str">
        <f>VLOOKUP(A692,sinap!$A$2:$R$9000,7,FALSE)</f>
        <v>Vivo</v>
      </c>
      <c r="P692" s="15" t="str">
        <f>VLOOKUP(A692,sinap!$A$2:$R$9000,8,FALSE)</f>
        <v>11.1.01.0791</v>
      </c>
      <c r="Q692" s="15" t="str">
        <f>VLOOKUP(A692,sinap!$A$2:$R$9000,12,FALSE)</f>
        <v>11.1.01.0893</v>
      </c>
      <c r="R692" s="15" t="str">
        <f>VLOOKUP(A692,sinap!$A$2:$R$9000,16,FALSE)</f>
        <v>11.1.01.1241</v>
      </c>
      <c r="S692" s="15" t="str">
        <f>VLOOKUP(A692,sinap!$A$2:$Y$9000,20,FALSE)</f>
        <v>NO</v>
      </c>
      <c r="T692" s="16">
        <v>44894</v>
      </c>
    </row>
    <row r="693" spans="1:20" s="16" customFormat="1" hidden="1" x14ac:dyDescent="0.25">
      <c r="A693" s="15">
        <v>16390560</v>
      </c>
      <c r="B693" s="15">
        <v>2636154</v>
      </c>
      <c r="C693" s="15"/>
      <c r="I693" s="16">
        <v>45818</v>
      </c>
      <c r="J693" s="15" t="str">
        <f>VLOOKUP(A693,sinap!$A$2:$R$9000,2,FALSE)</f>
        <v>M</v>
      </c>
      <c r="K693" s="15" t="str">
        <f>VLOOKUP(A693,sinap!$A$2:$R$9000,3,FALSE)</f>
        <v>BUEY</v>
      </c>
      <c r="L693" s="15" t="str">
        <f>VLOOKUP(A693,sinap!$A$2:$R$9000,4,FALSE)</f>
        <v>ANGUS NEGRO</v>
      </c>
      <c r="M693" s="15" t="str">
        <f>VLOOKUP(A693,sinap!$A$2:$R$9000,5,FALSE)</f>
        <v>6 años 2 meses</v>
      </c>
      <c r="N693" s="15" t="str">
        <f>VLOOKUP(A693,sinap!$A$2:$R$9000,6,FALSE)</f>
        <v>01-11-2019</v>
      </c>
      <c r="O693" s="15" t="str">
        <f>VLOOKUP(A693,sinap!$A$2:$R$9000,7,FALSE)</f>
        <v>Vivo</v>
      </c>
      <c r="P693" s="15" t="str">
        <f>VLOOKUP(A693,sinap!$A$2:$R$9000,8,FALSE)</f>
        <v>11.1.01.1241</v>
      </c>
      <c r="Q693" s="15" t="str">
        <f>VLOOKUP(A693,sinap!$A$2:$R$9000,12,FALSE)</f>
        <v>11.2.01.0038</v>
      </c>
      <c r="R693" s="15" t="str">
        <f>VLOOKUP(A693,sinap!$A$2:$R$9000,16,FALSE)</f>
        <v>11.1.01.1241</v>
      </c>
      <c r="S693" s="15" t="str">
        <f>VLOOKUP(A693,sinap!$A$2:$Y$9000,20,FALSE)</f>
        <v>NO</v>
      </c>
      <c r="T693" s="16">
        <v>44894</v>
      </c>
    </row>
    <row r="694" spans="1:20" s="16" customFormat="1" hidden="1" x14ac:dyDescent="0.25">
      <c r="A694" s="15">
        <v>16390561</v>
      </c>
      <c r="B694" s="15"/>
      <c r="C694" s="15"/>
      <c r="I694" s="16">
        <v>45818</v>
      </c>
      <c r="J694" s="15" t="str">
        <f>VLOOKUP(A694,sinap!$A$2:$R$9000,2,FALSE)</f>
        <v>M</v>
      </c>
      <c r="K694" s="15" t="str">
        <f>VLOOKUP(A694,sinap!$A$2:$R$9000,3,FALSE)</f>
        <v>BUEY</v>
      </c>
      <c r="L694" s="15" t="str">
        <f>VLOOKUP(A694,sinap!$A$2:$R$9000,4,FALSE)</f>
        <v>ANGUS NEGRO</v>
      </c>
      <c r="M694" s="15" t="str">
        <f>VLOOKUP(A694,sinap!$A$2:$R$9000,5,FALSE)</f>
        <v>6 años 3 meses</v>
      </c>
      <c r="N694" s="15" t="str">
        <f>VLOOKUP(A694,sinap!$A$2:$R$9000,6,FALSE)</f>
        <v>30-09-2019</v>
      </c>
      <c r="O694" s="15" t="str">
        <f>VLOOKUP(A694,sinap!$A$2:$R$9000,7,FALSE)</f>
        <v>Vivo</v>
      </c>
      <c r="P694" s="15" t="str">
        <f>VLOOKUP(A694,sinap!$A$2:$R$9000,8,FALSE)</f>
        <v>11.2.01.0038</v>
      </c>
      <c r="Q694" s="15" t="str">
        <f>VLOOKUP(A694,sinap!$A$2:$R$9000,12,FALSE)</f>
        <v>11.1.01.1241</v>
      </c>
      <c r="R694" s="15" t="str">
        <f>VLOOKUP(A694,sinap!$A$2:$R$9000,16,FALSE)</f>
        <v>11.1.01.1241</v>
      </c>
      <c r="S694" s="15" t="str">
        <f>VLOOKUP(A694,sinap!$A$2:$Y$9000,20,FALSE)</f>
        <v>NO</v>
      </c>
      <c r="T694" s="16">
        <v>44894</v>
      </c>
    </row>
    <row r="695" spans="1:20" s="16" customFormat="1" hidden="1" x14ac:dyDescent="0.25">
      <c r="A695" s="15">
        <v>16390562</v>
      </c>
      <c r="B695" s="15"/>
      <c r="C695" s="15"/>
      <c r="H695" s="16">
        <v>45648</v>
      </c>
      <c r="I695" s="16">
        <v>45965</v>
      </c>
      <c r="J695" s="15" t="str">
        <f>VLOOKUP(A695,sinap!$A$2:$R$9000,2,FALSE)</f>
        <v>H</v>
      </c>
      <c r="K695" s="15" t="str">
        <f>VLOOKUP(A695,sinap!$A$2:$R$9000,3,FALSE)</f>
        <v>VACA</v>
      </c>
      <c r="L695" s="15" t="str">
        <f>VLOOKUP(A695,sinap!$A$2:$R$9000,4,FALSE)</f>
        <v>ANGUS NEGRO</v>
      </c>
      <c r="M695" s="15" t="str">
        <f>VLOOKUP(A695,sinap!$A$2:$R$9000,5,FALSE)</f>
        <v>9 años 3 meses</v>
      </c>
      <c r="N695" s="15" t="str">
        <f>VLOOKUP(A695,sinap!$A$2:$R$9000,6,FALSE)</f>
        <v>15-10-2016</v>
      </c>
      <c r="O695" s="15" t="str">
        <f>VLOOKUP(A695,sinap!$A$2:$R$9000,7,FALSE)</f>
        <v>Vivo</v>
      </c>
      <c r="P695" s="15" t="str">
        <f>VLOOKUP(A695,sinap!$A$2:$R$9000,8,FALSE)</f>
        <v>11.1.01.2442</v>
      </c>
      <c r="Q695" s="15" t="str">
        <f>VLOOKUP(A695,sinap!$A$2:$R$9000,12,FALSE)</f>
        <v>11.1.01.0190</v>
      </c>
      <c r="R695" s="15" t="str">
        <f>VLOOKUP(A695,sinap!$A$2:$R$9000,16,FALSE)</f>
        <v>11.1.01.0893</v>
      </c>
      <c r="S695" s="15" t="str">
        <f>VLOOKUP(A695,sinap!$A$2:$Y$9000,20,FALSE)</f>
        <v>SI</v>
      </c>
    </row>
    <row r="696" spans="1:20" hidden="1" x14ac:dyDescent="0.25">
      <c r="A696" s="15">
        <v>16390565</v>
      </c>
      <c r="J696" s="15" t="str">
        <f>VLOOKUP(A696,sinap!$A$2:$R$9000,2,FALSE)</f>
        <v>M</v>
      </c>
      <c r="K696" s="15" t="str">
        <f>VLOOKUP(A696,sinap!$A$2:$R$9000,3,FALSE)</f>
        <v>TORO</v>
      </c>
      <c r="L696" s="15" t="str">
        <f>VLOOKUP(A696,sinap!$A$2:$R$9000,4,FALSE)</f>
        <v>ANGUS NEGRO</v>
      </c>
      <c r="M696" s="15" t="str">
        <f>VLOOKUP(A696,sinap!$A$2:$R$9000,5,FALSE)</f>
        <v>4 años 1 meses</v>
      </c>
      <c r="N696" s="15" t="str">
        <f>VLOOKUP(A696,sinap!$A$2:$R$9000,6,FALSE)</f>
        <v>05-12-2021</v>
      </c>
      <c r="O696" s="15" t="str">
        <f>VLOOKUP(A696,sinap!$A$2:$R$9000,7,FALSE)</f>
        <v>Vivo</v>
      </c>
      <c r="P696" s="15" t="str">
        <f>VLOOKUP(A696,sinap!$A$2:$R$9000,8,FALSE)</f>
        <v>11.1.01.0893</v>
      </c>
      <c r="Q696" s="15" t="str">
        <f>VLOOKUP(A696,sinap!$A$2:$R$9000,12,FALSE)</f>
        <v>11.1.01.1022</v>
      </c>
      <c r="R696" s="15" t="str">
        <f>VLOOKUP(A696,sinap!$A$2:$R$9000,16,FALSE)</f>
        <v>11.1.01.0893</v>
      </c>
      <c r="S696" s="15" t="str">
        <f>VLOOKUP(A696,sinap!$A$2:$Y$9000,20,FALSE)</f>
        <v>SI</v>
      </c>
    </row>
    <row r="697" spans="1:20" hidden="1" x14ac:dyDescent="0.25">
      <c r="A697" s="15">
        <v>16390566</v>
      </c>
      <c r="H697" s="16">
        <v>45648</v>
      </c>
      <c r="I697" s="16">
        <v>45965</v>
      </c>
      <c r="J697" s="15" t="str">
        <f>VLOOKUP(A697,sinap!$A$2:$R$9000,2,FALSE)</f>
        <v>H</v>
      </c>
      <c r="K697" s="15" t="str">
        <f>VLOOKUP(A697,sinap!$A$2:$R$9000,3,FALSE)</f>
        <v>VACA</v>
      </c>
      <c r="L697" s="15" t="str">
        <f>VLOOKUP(A697,sinap!$A$2:$R$9000,4,FALSE)</f>
        <v>ANGUS NEGRO</v>
      </c>
      <c r="M697" s="15" t="str">
        <f>VLOOKUP(A697,sinap!$A$2:$R$9000,5,FALSE)</f>
        <v>4 años 1 meses</v>
      </c>
      <c r="N697" s="15" t="str">
        <f>VLOOKUP(A697,sinap!$A$2:$R$9000,6,FALSE)</f>
        <v>30-11-2021</v>
      </c>
      <c r="O697" s="15" t="str">
        <f>VLOOKUP(A697,sinap!$A$2:$R$9000,7,FALSE)</f>
        <v>Vivo</v>
      </c>
      <c r="P697" s="15" t="str">
        <f>VLOOKUP(A697,sinap!$A$2:$R$9000,8,FALSE)</f>
        <v>11.1.01.2442</v>
      </c>
      <c r="Q697" s="15" t="str">
        <f>VLOOKUP(A697,sinap!$A$2:$R$9000,12,FALSE)</f>
        <v>11.1.01.0190</v>
      </c>
      <c r="R697" s="15" t="str">
        <f>VLOOKUP(A697,sinap!$A$2:$R$9000,16,FALSE)</f>
        <v>11.1.01.0893</v>
      </c>
      <c r="S697" s="15" t="str">
        <f>VLOOKUP(A697,sinap!$A$2:$Y$9000,20,FALSE)</f>
        <v>SI</v>
      </c>
    </row>
    <row r="698" spans="1:20" hidden="1" x14ac:dyDescent="0.25">
      <c r="A698" s="15">
        <v>16390567</v>
      </c>
      <c r="H698" s="16">
        <v>45648</v>
      </c>
      <c r="I698" s="16">
        <v>45671</v>
      </c>
      <c r="J698" s="15" t="str">
        <f>VLOOKUP(A698,sinap!$A$2:$R$9000,2,FALSE)</f>
        <v>H</v>
      </c>
      <c r="K698" s="15" t="str">
        <f>VLOOKUP(A698,sinap!$A$2:$R$9000,3,FALSE)</f>
        <v>VACA</v>
      </c>
      <c r="L698" s="15" t="str">
        <f>VLOOKUP(A698,sinap!$A$2:$R$9000,4,FALSE)</f>
        <v>ANGUS NEGRO</v>
      </c>
      <c r="M698" s="15" t="str">
        <f>VLOOKUP(A698,sinap!$A$2:$R$9000,5,FALSE)</f>
        <v>5 años 2 meses</v>
      </c>
      <c r="N698" s="15" t="str">
        <f>VLOOKUP(A698,sinap!$A$2:$R$9000,6,FALSE)</f>
        <v>30-10-2020</v>
      </c>
      <c r="O698" s="15" t="str">
        <f>VLOOKUP(A698,sinap!$A$2:$R$9000,7,FALSE)</f>
        <v>Vivo</v>
      </c>
      <c r="P698" s="15" t="str">
        <f>VLOOKUP(A698,sinap!$A$2:$R$9000,8,FALSE)</f>
        <v>11.1.01.1241</v>
      </c>
      <c r="Q698" s="15" t="str">
        <f>VLOOKUP(A698,sinap!$A$2:$R$9000,12,FALSE)</f>
        <v>11.1.01.1022</v>
      </c>
      <c r="R698" s="15" t="str">
        <f>VLOOKUP(A698,sinap!$A$2:$R$9000,16,FALSE)</f>
        <v>11.1.01.0893</v>
      </c>
      <c r="S698" s="15" t="str">
        <f>VLOOKUP(A698,sinap!$A$2:$Y$9000,20,FALSE)</f>
        <v>SI</v>
      </c>
    </row>
    <row r="699" spans="1:20" hidden="1" x14ac:dyDescent="0.25">
      <c r="A699" s="15">
        <v>16390579</v>
      </c>
      <c r="C699" s="15">
        <v>8933216</v>
      </c>
      <c r="G699" s="16">
        <v>45253</v>
      </c>
      <c r="H699" s="16">
        <v>45297</v>
      </c>
      <c r="J699" s="15" t="str">
        <f>VLOOKUP(A699,sinap!$A$2:$R$9000,2,FALSE)</f>
        <v>H</v>
      </c>
      <c r="K699" s="15" t="str">
        <f>VLOOKUP(A699,sinap!$A$2:$R$9000,3,FALSE)</f>
        <v>VACA</v>
      </c>
      <c r="L699" s="15" t="str">
        <f>VLOOKUP(A699,sinap!$A$2:$R$9000,4,FALSE)</f>
        <v>ANGUS ROJO</v>
      </c>
      <c r="M699" s="15" t="str">
        <f>VLOOKUP(A699,sinap!$A$2:$R$9000,5,FALSE)</f>
        <v>12 años 0 meses</v>
      </c>
      <c r="N699" s="15" t="str">
        <f>VLOOKUP(A699,sinap!$A$2:$R$9000,6,FALSE)</f>
        <v>30-12-2013</v>
      </c>
      <c r="O699" s="15" t="str">
        <f>VLOOKUP(A699,sinap!$A$2:$R$9000,7,FALSE)</f>
        <v>Vivo</v>
      </c>
      <c r="P699" s="15" t="str">
        <f>VLOOKUP(A699,sinap!$A$2:$R$9000,8,FALSE)</f>
        <v>11.2.01.0038</v>
      </c>
      <c r="Q699" s="15" t="str">
        <f>VLOOKUP(A699,sinap!$A$2:$R$9000,12,FALSE)</f>
        <v>11.1.01.0893</v>
      </c>
      <c r="R699" s="15" t="str">
        <f>VLOOKUP(A699,sinap!$A$2:$R$9000,16,FALSE)</f>
        <v>11.1.01.1241</v>
      </c>
      <c r="S699" s="15" t="str">
        <f>VLOOKUP(A699,sinap!$A$2:$Y$9000,20,FALSE)</f>
        <v>SI</v>
      </c>
    </row>
    <row r="700" spans="1:20" hidden="1" x14ac:dyDescent="0.25">
      <c r="A700" s="15">
        <v>16390580</v>
      </c>
      <c r="C700" s="15">
        <v>14717842</v>
      </c>
      <c r="G700" s="16">
        <v>45253</v>
      </c>
      <c r="J700" s="15" t="str">
        <f>VLOOKUP(A700,sinap!$A$2:$R$9000,2,FALSE)</f>
        <v>H</v>
      </c>
      <c r="K700" s="15" t="str">
        <f>VLOOKUP(A700,sinap!$A$2:$R$9000,3,FALSE)</f>
        <v>VACA</v>
      </c>
      <c r="L700" s="15" t="str">
        <f>VLOOKUP(A700,sinap!$A$2:$R$9000,4,FALSE)</f>
        <v>ANGUS NEGRO</v>
      </c>
      <c r="M700" s="15" t="str">
        <f>VLOOKUP(A700,sinap!$A$2:$R$9000,5,FALSE)</f>
        <v>9 años 3 meses</v>
      </c>
      <c r="N700" s="15" t="str">
        <f>VLOOKUP(A700,sinap!$A$2:$R$9000,6,FALSE)</f>
        <v>15-10-2016</v>
      </c>
      <c r="O700" s="15" t="str">
        <f>VLOOKUP(A700,sinap!$A$2:$R$9000,7,FALSE)</f>
        <v>Vivo</v>
      </c>
      <c r="P700" s="15" t="str">
        <f>VLOOKUP(A700,sinap!$A$2:$R$9000,8,FALSE)</f>
        <v>11.1.01.1241</v>
      </c>
      <c r="Q700" s="15" t="str">
        <f>VLOOKUP(A700,sinap!$A$2:$R$9000,12,FALSE)</f>
        <v>11.2.01.0038</v>
      </c>
      <c r="R700" s="15" t="str">
        <f>VLOOKUP(A700,sinap!$A$2:$R$9000,16,FALSE)</f>
        <v>11.2.01.2071</v>
      </c>
      <c r="S700" s="15" t="str">
        <f>VLOOKUP(A700,sinap!$A$2:$Y$9000,20,FALSE)</f>
        <v>SI</v>
      </c>
    </row>
    <row r="701" spans="1:20" hidden="1" x14ac:dyDescent="0.25">
      <c r="A701" s="15">
        <v>16390584</v>
      </c>
      <c r="C701" s="15">
        <v>14717854</v>
      </c>
      <c r="G701" s="16">
        <v>45253</v>
      </c>
      <c r="H701" s="16">
        <v>45430</v>
      </c>
      <c r="I701" s="16">
        <v>45671</v>
      </c>
      <c r="J701" s="15" t="str">
        <f>VLOOKUP(A701,sinap!$A$2:$R$9000,2,FALSE)</f>
        <v>H</v>
      </c>
      <c r="K701" s="15" t="str">
        <f>VLOOKUP(A701,sinap!$A$2:$R$9000,3,FALSE)</f>
        <v>VACA</v>
      </c>
      <c r="L701" s="15" t="str">
        <f>VLOOKUP(A701,sinap!$A$2:$R$9000,4,FALSE)</f>
        <v>ANGUS NEGRO</v>
      </c>
      <c r="M701" s="15" t="str">
        <f>VLOOKUP(A701,sinap!$A$2:$R$9000,5,FALSE)</f>
        <v>9 años 3 meses</v>
      </c>
      <c r="N701" s="15" t="str">
        <f>VLOOKUP(A701,sinap!$A$2:$R$9000,6,FALSE)</f>
        <v>15-10-2016</v>
      </c>
      <c r="O701" s="15" t="str">
        <f>VLOOKUP(A701,sinap!$A$2:$R$9000,7,FALSE)</f>
        <v>Vivo</v>
      </c>
      <c r="P701" s="15" t="str">
        <f>VLOOKUP(A701,sinap!$A$2:$R$9000,8,FALSE)</f>
        <v>11.1.01.1241</v>
      </c>
      <c r="Q701" s="15" t="str">
        <f>VLOOKUP(A701,sinap!$A$2:$R$9000,12,FALSE)</f>
        <v>11.2.01.0038</v>
      </c>
      <c r="R701" s="15" t="str">
        <f>VLOOKUP(A701,sinap!$A$2:$R$9000,16,FALSE)</f>
        <v>11.2.01.2071</v>
      </c>
      <c r="S701" s="15" t="str">
        <f>VLOOKUP(A701,sinap!$A$2:$Y$9000,20,FALSE)</f>
        <v>SI</v>
      </c>
    </row>
    <row r="702" spans="1:20" hidden="1" x14ac:dyDescent="0.25">
      <c r="A702" s="15">
        <v>16390585</v>
      </c>
      <c r="C702" s="15">
        <v>15661035</v>
      </c>
      <c r="G702" s="16">
        <v>45253</v>
      </c>
      <c r="H702" s="16">
        <v>45648</v>
      </c>
      <c r="I702" s="16">
        <v>45965</v>
      </c>
      <c r="J702" s="15" t="str">
        <f>VLOOKUP(A702,sinap!$A$2:$R$9000,2,FALSE)</f>
        <v>H</v>
      </c>
      <c r="K702" s="15" t="str">
        <f>VLOOKUP(A702,sinap!$A$2:$R$9000,3,FALSE)</f>
        <v>VACA</v>
      </c>
      <c r="L702" s="15" t="str">
        <f>VLOOKUP(A702,sinap!$A$2:$R$9000,4,FALSE)</f>
        <v>ANGUS NEGRO</v>
      </c>
      <c r="M702" s="15" t="str">
        <f>VLOOKUP(A702,sinap!$A$2:$R$9000,5,FALSE)</f>
        <v>8 años 3 meses</v>
      </c>
      <c r="N702" s="15" t="str">
        <f>VLOOKUP(A702,sinap!$A$2:$R$9000,6,FALSE)</f>
        <v>30-09-2017</v>
      </c>
      <c r="O702" s="15" t="str">
        <f>VLOOKUP(A702,sinap!$A$2:$R$9000,7,FALSE)</f>
        <v>Vivo</v>
      </c>
      <c r="P702" s="15" t="str">
        <f>VLOOKUP(A702,sinap!$A$2:$R$9000,8,FALSE)</f>
        <v>11.1.01.2442</v>
      </c>
      <c r="Q702" s="15" t="str">
        <f>VLOOKUP(A702,sinap!$A$2:$R$9000,12,FALSE)</f>
        <v>11.1.01.0190</v>
      </c>
      <c r="R702" s="15" t="str">
        <f>VLOOKUP(A702,sinap!$A$2:$R$9000,16,FALSE)</f>
        <v>11.1.01.1241</v>
      </c>
      <c r="S702" s="15" t="str">
        <f>VLOOKUP(A702,sinap!$A$2:$Y$9000,20,FALSE)</f>
        <v>SI</v>
      </c>
    </row>
    <row r="703" spans="1:20" hidden="1" x14ac:dyDescent="0.25">
      <c r="A703" s="15">
        <v>16390589</v>
      </c>
      <c r="C703" s="15">
        <v>8392977</v>
      </c>
      <c r="G703" s="16">
        <v>45253</v>
      </c>
      <c r="H703" s="16">
        <v>45648</v>
      </c>
      <c r="I703" s="16">
        <v>45671</v>
      </c>
      <c r="J703" s="15" t="str">
        <f>VLOOKUP(A703,sinap!$A$2:$R$9000,2,FALSE)</f>
        <v>H</v>
      </c>
      <c r="K703" s="15" t="str">
        <f>VLOOKUP(A703,sinap!$A$2:$R$9000,3,FALSE)</f>
        <v>VACA</v>
      </c>
      <c r="L703" s="15" t="str">
        <f>VLOOKUP(A703,sinap!$A$2:$R$9000,4,FALSE)</f>
        <v>ANGUS NEGRO</v>
      </c>
      <c r="M703" s="15" t="str">
        <f>VLOOKUP(A703,sinap!$A$2:$R$9000,5,FALSE)</f>
        <v>12 años 2 meses</v>
      </c>
      <c r="N703" s="15" t="str">
        <f>VLOOKUP(A703,sinap!$A$2:$R$9000,6,FALSE)</f>
        <v>20-10-2013</v>
      </c>
      <c r="O703" s="15" t="str">
        <f>VLOOKUP(A703,sinap!$A$2:$R$9000,7,FALSE)</f>
        <v>Vivo</v>
      </c>
      <c r="P703" s="15" t="str">
        <f>VLOOKUP(A703,sinap!$A$2:$R$9000,8,FALSE)</f>
        <v>11.1.01.0941</v>
      </c>
      <c r="Q703" s="15" t="str">
        <f>VLOOKUP(A703,sinap!$A$2:$R$9000,12,FALSE)</f>
        <v>11.1.01.1241</v>
      </c>
      <c r="R703" s="15" t="str">
        <f>VLOOKUP(A703,sinap!$A$2:$R$9000,16,FALSE)</f>
        <v>11.1.01.1081</v>
      </c>
      <c r="S703" s="15" t="str">
        <f>VLOOKUP(A703,sinap!$A$2:$Y$9000,20,FALSE)</f>
        <v>SI</v>
      </c>
    </row>
    <row r="704" spans="1:20" hidden="1" x14ac:dyDescent="0.25">
      <c r="A704" s="15">
        <v>16390592</v>
      </c>
      <c r="B704" s="15">
        <v>2636139</v>
      </c>
      <c r="C704" s="15">
        <v>15714197</v>
      </c>
      <c r="G704" s="16">
        <v>45253</v>
      </c>
      <c r="H704" s="16">
        <v>45636</v>
      </c>
      <c r="J704" s="15" t="str">
        <f>VLOOKUP(A704,sinap!$A$2:$R$9000,2,FALSE)</f>
        <v>M</v>
      </c>
      <c r="K704" s="15" t="str">
        <f>VLOOKUP(A704,sinap!$A$2:$R$9000,3,FALSE)</f>
        <v>TORO</v>
      </c>
      <c r="L704" s="15" t="str">
        <f>VLOOKUP(A704,sinap!$A$2:$R$9000,4,FALSE)</f>
        <v>ANGUS NEGRO</v>
      </c>
      <c r="M704" s="15" t="str">
        <f>VLOOKUP(A704,sinap!$A$2:$R$9000,5,FALSE)</f>
        <v>7 años 4 meses</v>
      </c>
      <c r="N704" s="15" t="str">
        <f>VLOOKUP(A704,sinap!$A$2:$R$9000,6,FALSE)</f>
        <v>12-09-2018</v>
      </c>
      <c r="O704" s="15" t="str">
        <f>VLOOKUP(A704,sinap!$A$2:$R$9000,7,FALSE)</f>
        <v>Vivo</v>
      </c>
      <c r="P704" s="15" t="str">
        <f>VLOOKUP(A704,sinap!$A$2:$R$9000,8,FALSE)</f>
        <v>11.1.01.0791</v>
      </c>
      <c r="Q704" s="15" t="str">
        <f>VLOOKUP(A704,sinap!$A$2:$R$9000,12,FALSE)</f>
        <v>11.1.01.0893</v>
      </c>
      <c r="R704" s="15" t="str">
        <f>VLOOKUP(A704,sinap!$A$2:$R$9000,16,FALSE)</f>
        <v>11.1.01.0932</v>
      </c>
      <c r="S704" s="15" t="str">
        <f>VLOOKUP(A704,sinap!$A$2:$Y$9000,20,FALSE)</f>
        <v>SI</v>
      </c>
    </row>
    <row r="705" spans="1:20" s="16" customFormat="1" hidden="1" x14ac:dyDescent="0.25">
      <c r="A705" s="15">
        <v>16390593</v>
      </c>
      <c r="B705" s="15"/>
      <c r="C705" s="15">
        <v>12602360</v>
      </c>
      <c r="H705" s="16">
        <v>45297</v>
      </c>
      <c r="J705" s="15" t="str">
        <f>VLOOKUP(A705,sinap!$A$2:$R$9000,2,FALSE)</f>
        <v>H</v>
      </c>
      <c r="K705" s="15" t="str">
        <f>VLOOKUP(A705,sinap!$A$2:$R$9000,3,FALSE)</f>
        <v>VACA</v>
      </c>
      <c r="L705" s="15" t="str">
        <f>VLOOKUP(A705,sinap!$A$2:$R$9000,4,FALSE)</f>
        <v>ANGUS NEGRO</v>
      </c>
      <c r="M705" s="15" t="str">
        <f>VLOOKUP(A705,sinap!$A$2:$R$9000,5,FALSE)</f>
        <v>9 años 3 meses</v>
      </c>
      <c r="N705" s="15" t="str">
        <f>VLOOKUP(A705,sinap!$A$2:$R$9000,6,FALSE)</f>
        <v>15-10-2016</v>
      </c>
      <c r="O705" s="15" t="str">
        <f>VLOOKUP(A705,sinap!$A$2:$R$9000,7,FALSE)</f>
        <v>Vivo</v>
      </c>
      <c r="P705" s="15" t="str">
        <f>VLOOKUP(A705,sinap!$A$2:$R$9000,8,FALSE)</f>
        <v>11.1.01.0791</v>
      </c>
      <c r="Q705" s="15" t="str">
        <f>VLOOKUP(A705,sinap!$A$2:$R$9000,12,FALSE)</f>
        <v>11.1.01.0893</v>
      </c>
      <c r="R705" s="15" t="str">
        <f>VLOOKUP(A705,sinap!$A$2:$R$9000,16,FALSE)</f>
        <v>11.1.01.1241</v>
      </c>
      <c r="S705" s="15" t="str">
        <f>VLOOKUP(A705,sinap!$A$2:$Y$9000,20,FALSE)</f>
        <v>SI</v>
      </c>
      <c r="T705" s="16">
        <v>42730</v>
      </c>
    </row>
    <row r="706" spans="1:20" s="16" customFormat="1" hidden="1" x14ac:dyDescent="0.25">
      <c r="A706" s="15">
        <v>16390594</v>
      </c>
      <c r="B706" s="15"/>
      <c r="C706" s="15">
        <v>16843197</v>
      </c>
      <c r="H706" s="16">
        <v>45297</v>
      </c>
      <c r="J706" s="15" t="str">
        <f>VLOOKUP(A706,sinap!$A$2:$R$9000,2,FALSE)</f>
        <v>H</v>
      </c>
      <c r="K706" s="15" t="str">
        <f>VLOOKUP(A706,sinap!$A$2:$R$9000,3,FALSE)</f>
        <v>VACA</v>
      </c>
      <c r="L706" s="15" t="str">
        <f>VLOOKUP(A706,sinap!$A$2:$R$9000,4,FALSE)</f>
        <v>ANGUS ROJO</v>
      </c>
      <c r="M706" s="15" t="str">
        <f>VLOOKUP(A706,sinap!$A$2:$R$9000,5,FALSE)</f>
        <v>7 años 3 meses</v>
      </c>
      <c r="N706" s="15" t="str">
        <f>VLOOKUP(A706,sinap!$A$2:$R$9000,6,FALSE)</f>
        <v>15-10-2018</v>
      </c>
      <c r="O706" s="15" t="str">
        <f>VLOOKUP(A706,sinap!$A$2:$R$9000,7,FALSE)</f>
        <v>Vivo</v>
      </c>
      <c r="P706" s="15" t="str">
        <f>VLOOKUP(A706,sinap!$A$2:$R$9000,8,FALSE)</f>
        <v>11.2.01.0038</v>
      </c>
      <c r="Q706" s="15" t="str">
        <f>VLOOKUP(A706,sinap!$A$2:$R$9000,12,FALSE)</f>
        <v>11.1.01.0893</v>
      </c>
      <c r="R706" s="15" t="str">
        <f>VLOOKUP(A706,sinap!$A$2:$R$9000,16,FALSE)</f>
        <v>11.1.01.1241</v>
      </c>
      <c r="S706" s="15" t="str">
        <f>VLOOKUP(A706,sinap!$A$2:$Y$9000,20,FALSE)</f>
        <v>SI</v>
      </c>
    </row>
    <row r="707" spans="1:20" s="16" customFormat="1" hidden="1" x14ac:dyDescent="0.25">
      <c r="A707" s="15">
        <v>16390596</v>
      </c>
      <c r="B707" s="15"/>
      <c r="C707" s="15">
        <v>15661434</v>
      </c>
      <c r="H707" s="16">
        <v>45297</v>
      </c>
      <c r="J707" s="15" t="str">
        <f>VLOOKUP(A707,sinap!$A$2:$R$9000,2,FALSE)</f>
        <v>H</v>
      </c>
      <c r="K707" s="15" t="str">
        <f>VLOOKUP(A707,sinap!$A$2:$R$9000,3,FALSE)</f>
        <v>VACA</v>
      </c>
      <c r="L707" s="15" t="str">
        <f>VLOOKUP(A707,sinap!$A$2:$R$9000,4,FALSE)</f>
        <v>ANGUS NEGRO</v>
      </c>
      <c r="M707" s="15" t="str">
        <f>VLOOKUP(A707,sinap!$A$2:$R$9000,5,FALSE)</f>
        <v>7 años 4 meses</v>
      </c>
      <c r="N707" s="15" t="str">
        <f>VLOOKUP(A707,sinap!$A$2:$R$9000,6,FALSE)</f>
        <v>10-09-2018</v>
      </c>
      <c r="O707" s="15" t="str">
        <f>VLOOKUP(A707,sinap!$A$2:$R$9000,7,FALSE)</f>
        <v>Vivo</v>
      </c>
      <c r="P707" s="15" t="str">
        <f>VLOOKUP(A707,sinap!$A$2:$R$9000,8,FALSE)</f>
        <v>11.2.01.0038</v>
      </c>
      <c r="Q707" s="15" t="str">
        <f>VLOOKUP(A707,sinap!$A$2:$R$9000,12,FALSE)</f>
        <v>11.1.01.0893</v>
      </c>
      <c r="R707" s="15" t="str">
        <f>VLOOKUP(A707,sinap!$A$2:$R$9000,16,FALSE)</f>
        <v>11.1.01.1241</v>
      </c>
      <c r="S707" s="15" t="str">
        <f>VLOOKUP(A707,sinap!$A$2:$Y$9000,20,FALSE)</f>
        <v>SI</v>
      </c>
    </row>
    <row r="708" spans="1:20" s="16" customFormat="1" hidden="1" x14ac:dyDescent="0.25">
      <c r="A708" s="15">
        <v>16390597</v>
      </c>
      <c r="B708" s="15"/>
      <c r="C708" s="15">
        <v>15660941</v>
      </c>
      <c r="J708" s="15" t="str">
        <f>VLOOKUP(A708,sinap!$A$2:$R$9000,2,FALSE)</f>
        <v>H</v>
      </c>
      <c r="K708" s="15" t="str">
        <f>VLOOKUP(A708,sinap!$A$2:$R$9000,3,FALSE)</f>
        <v>VACA</v>
      </c>
      <c r="L708" s="15" t="str">
        <f>VLOOKUP(A708,sinap!$A$2:$R$9000,4,FALSE)</f>
        <v>ANGUS NEGRO</v>
      </c>
      <c r="M708" s="15" t="str">
        <f>VLOOKUP(A708,sinap!$A$2:$R$9000,5,FALSE)</f>
        <v>8 años 3 meses</v>
      </c>
      <c r="N708" s="15" t="str">
        <f>VLOOKUP(A708,sinap!$A$2:$R$9000,6,FALSE)</f>
        <v>30-09-2017</v>
      </c>
      <c r="O708" s="15" t="str">
        <f>VLOOKUP(A708,sinap!$A$2:$R$9000,7,FALSE)</f>
        <v>Vivo</v>
      </c>
      <c r="P708" s="15" t="str">
        <f>VLOOKUP(A708,sinap!$A$2:$R$9000,8,FALSE)</f>
        <v>11.1.01.0791</v>
      </c>
      <c r="Q708" s="15" t="str">
        <f>VLOOKUP(A708,sinap!$A$2:$R$9000,12,FALSE)</f>
        <v>11.1.01.0893</v>
      </c>
      <c r="R708" s="15" t="str">
        <f>VLOOKUP(A708,sinap!$A$2:$R$9000,16,FALSE)</f>
        <v>11.1.01.1241</v>
      </c>
      <c r="S708" s="15" t="str">
        <f>VLOOKUP(A708,sinap!$A$2:$Y$9000,20,FALSE)</f>
        <v>SI</v>
      </c>
    </row>
    <row r="709" spans="1:20" s="16" customFormat="1" hidden="1" x14ac:dyDescent="0.25">
      <c r="A709" s="15">
        <v>16390599</v>
      </c>
      <c r="B709" s="15"/>
      <c r="C709" s="15"/>
      <c r="J709" s="15" t="str">
        <f>VLOOKUP(A709,sinap!$A$2:$R$9000,2,FALSE)</f>
        <v>H</v>
      </c>
      <c r="K709" s="15" t="str">
        <f>VLOOKUP(A709,sinap!$A$2:$R$9000,3,FALSE)</f>
        <v>VACA</v>
      </c>
      <c r="L709" s="15" t="str">
        <f>VLOOKUP(A709,sinap!$A$2:$R$9000,4,FALSE)</f>
        <v>ANGUS NEGRO</v>
      </c>
      <c r="M709" s="15" t="str">
        <f>VLOOKUP(A709,sinap!$A$2:$R$9000,5,FALSE)</f>
        <v>5 años 3 meses</v>
      </c>
      <c r="N709" s="15" t="str">
        <f>VLOOKUP(A709,sinap!$A$2:$R$9000,6,FALSE)</f>
        <v>15-10-2020</v>
      </c>
      <c r="O709" s="15" t="str">
        <f>VLOOKUP(A709,sinap!$A$2:$R$9000,7,FALSE)</f>
        <v>Vivo</v>
      </c>
      <c r="P709" s="15" t="str">
        <f>VLOOKUP(A709,sinap!$A$2:$R$9000,8,FALSE)</f>
        <v>11.2.01.0038</v>
      </c>
      <c r="Q709" s="15" t="str">
        <f>VLOOKUP(A709,sinap!$A$2:$R$9000,12,FALSE)</f>
        <v>11.1.01.0893</v>
      </c>
      <c r="R709" s="15" t="str">
        <f>VLOOKUP(A709,sinap!$A$2:$R$9000,16,FALSE)</f>
        <v>11.1.01.0893</v>
      </c>
      <c r="S709" s="15" t="str">
        <f>VLOOKUP(A709,sinap!$A$2:$Y$9000,20,FALSE)</f>
        <v>NO</v>
      </c>
      <c r="T709" s="16">
        <v>45065</v>
      </c>
    </row>
    <row r="710" spans="1:20" s="16" customFormat="1" hidden="1" x14ac:dyDescent="0.25">
      <c r="A710" s="15">
        <v>16705216</v>
      </c>
      <c r="B710" s="15"/>
      <c r="C710" s="15"/>
      <c r="J710" s="15" t="str">
        <f>VLOOKUP(A710,sinap!$A$2:$R$9000,2,FALSE)</f>
        <v>H</v>
      </c>
      <c r="K710" s="15" t="str">
        <f>VLOOKUP(A710,sinap!$A$2:$R$9000,3,FALSE)</f>
        <v>VACA</v>
      </c>
      <c r="L710" s="15" t="str">
        <f>VLOOKUP(A710,sinap!$A$2:$R$9000,4,FALSE)</f>
        <v>ANGUS ROJO</v>
      </c>
      <c r="M710" s="15" t="str">
        <f>VLOOKUP(A710,sinap!$A$2:$R$9000,5,FALSE)</f>
        <v>6 años 3 meses</v>
      </c>
      <c r="N710" s="15" t="str">
        <f>VLOOKUP(A710,sinap!$A$2:$R$9000,6,FALSE)</f>
        <v>20-09-2019</v>
      </c>
      <c r="O710" s="15" t="str">
        <f>VLOOKUP(A710,sinap!$A$2:$R$9000,7,FALSE)</f>
        <v>Vivo</v>
      </c>
      <c r="P710" s="15" t="str">
        <f>VLOOKUP(A710,sinap!$A$2:$R$9000,8,FALSE)</f>
        <v>11.1.01.1241</v>
      </c>
      <c r="Q710" s="15" t="str">
        <f>VLOOKUP(A710,sinap!$A$2:$R$9000,12,FALSE)</f>
        <v>11.1.01.0791</v>
      </c>
      <c r="R710" s="15" t="str">
        <f>VLOOKUP(A710,sinap!$A$2:$R$9000,16,FALSE)</f>
        <v>11.1.01.1241</v>
      </c>
      <c r="S710" s="15" t="str">
        <f>VLOOKUP(A710,sinap!$A$2:$Y$9000,20,FALSE)</f>
        <v>SI</v>
      </c>
    </row>
    <row r="711" spans="1:20" hidden="1" x14ac:dyDescent="0.25">
      <c r="A711" s="15">
        <v>16705223</v>
      </c>
      <c r="J711" s="15" t="str">
        <f>VLOOKUP(A711,sinap!$A$2:$R$9000,2,FALSE)</f>
        <v>H</v>
      </c>
      <c r="K711" s="15" t="str">
        <f>VLOOKUP(A711,sinap!$A$2:$R$9000,3,FALSE)</f>
        <v>VACA</v>
      </c>
      <c r="L711" s="15" t="str">
        <f>VLOOKUP(A711,sinap!$A$2:$R$9000,4,FALSE)</f>
        <v>ANGUS NEGRO</v>
      </c>
      <c r="M711" s="15" t="str">
        <f>VLOOKUP(A711,sinap!$A$2:$R$9000,5,FALSE)</f>
        <v>6 años 3 meses</v>
      </c>
      <c r="N711" s="15" t="str">
        <f>VLOOKUP(A711,sinap!$A$2:$R$9000,6,FALSE)</f>
        <v>20-09-2019</v>
      </c>
      <c r="O711" s="15" t="str">
        <f>VLOOKUP(A711,sinap!$A$2:$R$9000,7,FALSE)</f>
        <v>Vivo</v>
      </c>
      <c r="P711" s="15" t="str">
        <f>VLOOKUP(A711,sinap!$A$2:$R$9000,8,FALSE)</f>
        <v>11.1.01.1241</v>
      </c>
      <c r="Q711" s="15" t="str">
        <f>VLOOKUP(A711,sinap!$A$2:$R$9000,12,FALSE)</f>
        <v>11.1.01.0791</v>
      </c>
      <c r="R711" s="15" t="str">
        <f>VLOOKUP(A711,sinap!$A$2:$R$9000,16,FALSE)</f>
        <v>11.1.01.1241</v>
      </c>
      <c r="S711" s="15" t="str">
        <f>VLOOKUP(A711,sinap!$A$2:$Y$9000,20,FALSE)</f>
        <v>SI</v>
      </c>
    </row>
    <row r="712" spans="1:20" hidden="1" x14ac:dyDescent="0.25">
      <c r="A712" s="15">
        <v>16705224</v>
      </c>
      <c r="H712" s="16">
        <v>45648</v>
      </c>
      <c r="I712" s="16">
        <v>45671</v>
      </c>
      <c r="J712" s="15" t="str">
        <f>VLOOKUP(A712,sinap!$A$2:$R$9000,2,FALSE)</f>
        <v>H</v>
      </c>
      <c r="K712" s="15" t="str">
        <f>VLOOKUP(A712,sinap!$A$2:$R$9000,3,FALSE)</f>
        <v>VACA</v>
      </c>
      <c r="L712" s="15" t="str">
        <f>VLOOKUP(A712,sinap!$A$2:$R$9000,4,FALSE)</f>
        <v>ANGUS NEGRO</v>
      </c>
      <c r="M712" s="15" t="str">
        <f>VLOOKUP(A712,sinap!$A$2:$R$9000,5,FALSE)</f>
        <v>6 años 3 meses</v>
      </c>
      <c r="N712" s="15" t="str">
        <f>VLOOKUP(A712,sinap!$A$2:$R$9000,6,FALSE)</f>
        <v>20-09-2019</v>
      </c>
      <c r="O712" s="15" t="str">
        <f>VLOOKUP(A712,sinap!$A$2:$R$9000,7,FALSE)</f>
        <v>Vivo</v>
      </c>
      <c r="P712" s="15" t="str">
        <f>VLOOKUP(A712,sinap!$A$2:$R$9000,8,FALSE)</f>
        <v>11.1.01.1241</v>
      </c>
      <c r="Q712" s="15" t="str">
        <f>VLOOKUP(A712,sinap!$A$2:$R$9000,12,FALSE)</f>
        <v>11.2.01.0038</v>
      </c>
      <c r="R712" s="15" t="str">
        <f>VLOOKUP(A712,sinap!$A$2:$R$9000,16,FALSE)</f>
        <v>11.1.01.1241</v>
      </c>
      <c r="S712" s="15" t="str">
        <f>VLOOKUP(A712,sinap!$A$2:$Y$9000,20,FALSE)</f>
        <v>SI</v>
      </c>
    </row>
    <row r="713" spans="1:20" hidden="1" x14ac:dyDescent="0.25">
      <c r="A713" s="15">
        <v>16705231</v>
      </c>
      <c r="H713" s="16">
        <v>45648</v>
      </c>
      <c r="I713" s="16">
        <v>45671</v>
      </c>
      <c r="J713" s="15" t="str">
        <f>VLOOKUP(A713,sinap!$A$2:$R$9000,2,FALSE)</f>
        <v>H</v>
      </c>
      <c r="K713" s="15" t="str">
        <f>VLOOKUP(A713,sinap!$A$2:$R$9000,3,FALSE)</f>
        <v>VACA</v>
      </c>
      <c r="L713" s="15" t="str">
        <f>VLOOKUP(A713,sinap!$A$2:$R$9000,4,FALSE)</f>
        <v>ANGUS NEGRO</v>
      </c>
      <c r="M713" s="15" t="str">
        <f>VLOOKUP(A713,sinap!$A$2:$R$9000,5,FALSE)</f>
        <v>6 años 3 meses</v>
      </c>
      <c r="N713" s="15" t="str">
        <f>VLOOKUP(A713,sinap!$A$2:$R$9000,6,FALSE)</f>
        <v>30-09-2019</v>
      </c>
      <c r="O713" s="15" t="str">
        <f>VLOOKUP(A713,sinap!$A$2:$R$9000,7,FALSE)</f>
        <v>Vivo</v>
      </c>
      <c r="P713" s="15" t="str">
        <f>VLOOKUP(A713,sinap!$A$2:$R$9000,8,FALSE)</f>
        <v>11.1.01.1241</v>
      </c>
      <c r="Q713" s="15" t="str">
        <f>VLOOKUP(A713,sinap!$A$2:$R$9000,12,FALSE)</f>
        <v>11.1.01.0791</v>
      </c>
      <c r="R713" s="15" t="str">
        <f>VLOOKUP(A713,sinap!$A$2:$R$9000,16,FALSE)</f>
        <v>11.1.01.1241</v>
      </c>
      <c r="S713" s="15" t="str">
        <f>VLOOKUP(A713,sinap!$A$2:$Y$9000,20,FALSE)</f>
        <v>SI</v>
      </c>
    </row>
    <row r="714" spans="1:20" hidden="1" x14ac:dyDescent="0.25">
      <c r="A714" s="15">
        <v>16705234</v>
      </c>
      <c r="H714" s="16">
        <v>45297</v>
      </c>
      <c r="J714" s="15" t="str">
        <f>VLOOKUP(A714,sinap!$A$2:$R$9000,2,FALSE)</f>
        <v>H</v>
      </c>
      <c r="K714" s="15" t="str">
        <f>VLOOKUP(A714,sinap!$A$2:$R$9000,3,FALSE)</f>
        <v>VACA</v>
      </c>
      <c r="L714" s="15" t="str">
        <f>VLOOKUP(A714,sinap!$A$2:$R$9000,4,FALSE)</f>
        <v>ANGUS NEGRO</v>
      </c>
      <c r="M714" s="15" t="str">
        <f>VLOOKUP(A714,sinap!$A$2:$R$9000,5,FALSE)</f>
        <v>6 años 3 meses</v>
      </c>
      <c r="N714" s="15" t="str">
        <f>VLOOKUP(A714,sinap!$A$2:$R$9000,6,FALSE)</f>
        <v>20-09-2019</v>
      </c>
      <c r="O714" s="15" t="str">
        <f>VLOOKUP(A714,sinap!$A$2:$R$9000,7,FALSE)</f>
        <v>Vivo</v>
      </c>
      <c r="P714" s="15" t="str">
        <f>VLOOKUP(A714,sinap!$A$2:$R$9000,8,FALSE)</f>
        <v>11.2.01.0038</v>
      </c>
      <c r="Q714" s="15" t="str">
        <f>VLOOKUP(A714,sinap!$A$2:$R$9000,12,FALSE)</f>
        <v>11.1.01.0893</v>
      </c>
      <c r="R714" s="15" t="str">
        <f>VLOOKUP(A714,sinap!$A$2:$R$9000,16,FALSE)</f>
        <v>11.1.01.1241</v>
      </c>
      <c r="S714" s="15" t="str">
        <f>VLOOKUP(A714,sinap!$A$2:$Y$9000,20,FALSE)</f>
        <v>SI</v>
      </c>
    </row>
    <row r="715" spans="1:20" hidden="1" x14ac:dyDescent="0.25">
      <c r="A715" s="15">
        <v>16705255</v>
      </c>
      <c r="H715" s="16">
        <v>45297</v>
      </c>
      <c r="J715" s="15" t="str">
        <f>VLOOKUP(A715,sinap!$A$2:$R$9000,2,FALSE)</f>
        <v>H</v>
      </c>
      <c r="K715" s="15" t="str">
        <f>VLOOKUP(A715,sinap!$A$2:$R$9000,3,FALSE)</f>
        <v>VACA</v>
      </c>
      <c r="L715" s="15" t="str">
        <f>VLOOKUP(A715,sinap!$A$2:$R$9000,4,FALSE)</f>
        <v>ANGUS NEGRO</v>
      </c>
      <c r="M715" s="15" t="str">
        <f>VLOOKUP(A715,sinap!$A$2:$R$9000,5,FALSE)</f>
        <v>6 años 3 meses</v>
      </c>
      <c r="N715" s="15" t="str">
        <f>VLOOKUP(A715,sinap!$A$2:$R$9000,6,FALSE)</f>
        <v>20-09-2019</v>
      </c>
      <c r="O715" s="15" t="str">
        <f>VLOOKUP(A715,sinap!$A$2:$R$9000,7,FALSE)</f>
        <v>Vivo</v>
      </c>
      <c r="P715" s="15" t="str">
        <f>VLOOKUP(A715,sinap!$A$2:$R$9000,8,FALSE)</f>
        <v>11.2.01.0038</v>
      </c>
      <c r="Q715" s="15" t="str">
        <f>VLOOKUP(A715,sinap!$A$2:$R$9000,12,FALSE)</f>
        <v>11.1.01.0893</v>
      </c>
      <c r="R715" s="15" t="str">
        <f>VLOOKUP(A715,sinap!$A$2:$R$9000,16,FALSE)</f>
        <v>11.1.01.1241</v>
      </c>
      <c r="S715" s="15" t="str">
        <f>VLOOKUP(A715,sinap!$A$2:$Y$9000,20,FALSE)</f>
        <v>SI</v>
      </c>
    </row>
    <row r="716" spans="1:20" hidden="1" x14ac:dyDescent="0.25">
      <c r="A716" s="15">
        <v>16705256</v>
      </c>
      <c r="J716" s="15" t="str">
        <f>VLOOKUP(A716,sinap!$A$2:$R$9000,2,FALSE)</f>
        <v>M</v>
      </c>
      <c r="K716" s="15" t="str">
        <f>VLOOKUP(A716,sinap!$A$2:$R$9000,3,FALSE)</f>
        <v>TORO</v>
      </c>
      <c r="L716" s="15" t="str">
        <f>VLOOKUP(A716,sinap!$A$2:$R$9000,4,FALSE)</f>
        <v>OVERO COLORADO (CLAVEL ALEMAN)</v>
      </c>
      <c r="M716" s="15" t="str">
        <f>VLOOKUP(A716,sinap!$A$2:$R$9000,5,FALSE)</f>
        <v>6 años 2 meses</v>
      </c>
      <c r="N716" s="15" t="str">
        <f>VLOOKUP(A716,sinap!$A$2:$R$9000,6,FALSE)</f>
        <v>20-10-2019</v>
      </c>
      <c r="O716" s="15" t="str">
        <f>VLOOKUP(A716,sinap!$A$2:$R$9000,7,FALSE)</f>
        <v>Vivo</v>
      </c>
      <c r="P716" s="15" t="str">
        <f>VLOOKUP(A716,sinap!$A$2:$R$9000,8,FALSE)</f>
        <v>11.1.01.1241</v>
      </c>
      <c r="Q716" s="15" t="str">
        <f>VLOOKUP(A716,sinap!$A$2:$R$9000,12,FALSE)</f>
        <v>11.1.01.0893</v>
      </c>
      <c r="R716" s="15" t="str">
        <f>VLOOKUP(A716,sinap!$A$2:$R$9000,16,FALSE)</f>
        <v>11.1.01.1241</v>
      </c>
      <c r="S716" s="15" t="str">
        <f>VLOOKUP(A716,sinap!$A$2:$Y$9000,20,FALSE)</f>
        <v>SI</v>
      </c>
    </row>
    <row r="717" spans="1:20" hidden="1" x14ac:dyDescent="0.25">
      <c r="A717" s="15">
        <v>16705260</v>
      </c>
      <c r="H717" s="16">
        <v>45648</v>
      </c>
      <c r="I717" s="16">
        <v>45671</v>
      </c>
      <c r="J717" s="15" t="str">
        <f>VLOOKUP(A717,sinap!$A$2:$R$9000,2,FALSE)</f>
        <v>H</v>
      </c>
      <c r="K717" s="15" t="str">
        <f>VLOOKUP(A717,sinap!$A$2:$R$9000,3,FALSE)</f>
        <v>VACA</v>
      </c>
      <c r="L717" s="15" t="str">
        <f>VLOOKUP(A717,sinap!$A$2:$R$9000,4,FALSE)</f>
        <v>ANGUS NEGRO</v>
      </c>
      <c r="M717" s="15" t="str">
        <f>VLOOKUP(A717,sinap!$A$2:$R$9000,5,FALSE)</f>
        <v>6 años 3 meses</v>
      </c>
      <c r="N717" s="15" t="str">
        <f>VLOOKUP(A717,sinap!$A$2:$R$9000,6,FALSE)</f>
        <v>20-09-2019</v>
      </c>
      <c r="O717" s="15" t="str">
        <f>VLOOKUP(A717,sinap!$A$2:$R$9000,7,FALSE)</f>
        <v>Vivo</v>
      </c>
      <c r="P717" s="15" t="str">
        <f>VLOOKUP(A717,sinap!$A$2:$R$9000,8,FALSE)</f>
        <v>11.1.01.1241</v>
      </c>
      <c r="Q717" s="15" t="str">
        <f>VLOOKUP(A717,sinap!$A$2:$R$9000,12,FALSE)</f>
        <v>11.1.01.0870</v>
      </c>
      <c r="R717" s="15" t="str">
        <f>VLOOKUP(A717,sinap!$A$2:$R$9000,16,FALSE)</f>
        <v>11.1.01.1241</v>
      </c>
      <c r="S717" s="15" t="str">
        <f>VLOOKUP(A717,sinap!$A$2:$Y$9000,20,FALSE)</f>
        <v>SI</v>
      </c>
    </row>
    <row r="718" spans="1:20" hidden="1" x14ac:dyDescent="0.25">
      <c r="A718" s="15">
        <v>16705261</v>
      </c>
      <c r="G718" s="16">
        <v>45254</v>
      </c>
      <c r="H718" s="16">
        <v>45648</v>
      </c>
      <c r="I718" s="16">
        <v>45965</v>
      </c>
      <c r="J718" s="15" t="str">
        <f>VLOOKUP(A718,sinap!$A$2:$R$9000,2,FALSE)</f>
        <v>H</v>
      </c>
      <c r="K718" s="15" t="str">
        <f>VLOOKUP(A718,sinap!$A$2:$R$9000,3,FALSE)</f>
        <v>VACA</v>
      </c>
      <c r="L718" s="15" t="str">
        <f>VLOOKUP(A718,sinap!$A$2:$R$9000,4,FALSE)</f>
        <v>ANGUS NEGRO</v>
      </c>
      <c r="M718" s="15" t="str">
        <f>VLOOKUP(A718,sinap!$A$2:$R$9000,5,FALSE)</f>
        <v>6 años 4 meses</v>
      </c>
      <c r="N718" s="15" t="str">
        <f>VLOOKUP(A718,sinap!$A$2:$R$9000,6,FALSE)</f>
        <v>15-09-2019</v>
      </c>
      <c r="O718" s="15" t="str">
        <f>VLOOKUP(A718,sinap!$A$2:$R$9000,7,FALSE)</f>
        <v>Vivo</v>
      </c>
      <c r="P718" s="15" t="str">
        <f>VLOOKUP(A718,sinap!$A$2:$R$9000,8,FALSE)</f>
        <v>11.1.01.1241</v>
      </c>
      <c r="Q718" s="15" t="str">
        <f>VLOOKUP(A718,sinap!$A$2:$R$9000,12,FALSE)</f>
        <v>11.2.01.0038</v>
      </c>
      <c r="R718" s="15" t="str">
        <f>VLOOKUP(A718,sinap!$A$2:$R$9000,16,FALSE)</f>
        <v>11.1.01.1241</v>
      </c>
      <c r="S718" s="15" t="str">
        <f>VLOOKUP(A718,sinap!$A$2:$Y$9000,20,FALSE)</f>
        <v>SI</v>
      </c>
    </row>
    <row r="719" spans="1:20" hidden="1" x14ac:dyDescent="0.25">
      <c r="A719" s="15">
        <v>16705263</v>
      </c>
      <c r="G719" s="16">
        <v>45254</v>
      </c>
      <c r="H719" s="16">
        <v>45648</v>
      </c>
      <c r="I719" s="16">
        <v>45965</v>
      </c>
      <c r="J719" s="15" t="str">
        <f>VLOOKUP(A719,sinap!$A$2:$R$9000,2,FALSE)</f>
        <v>H</v>
      </c>
      <c r="K719" s="15" t="str">
        <f>VLOOKUP(A719,sinap!$A$2:$R$9000,3,FALSE)</f>
        <v>VACA</v>
      </c>
      <c r="L719" s="15" t="str">
        <f>VLOOKUP(A719,sinap!$A$2:$R$9000,4,FALSE)</f>
        <v>ANGUS NEGRO</v>
      </c>
      <c r="M719" s="15" t="str">
        <f>VLOOKUP(A719,sinap!$A$2:$R$9000,5,FALSE)</f>
        <v>6 años 4 meses</v>
      </c>
      <c r="N719" s="15" t="str">
        <f>VLOOKUP(A719,sinap!$A$2:$R$9000,6,FALSE)</f>
        <v>10-09-2019</v>
      </c>
      <c r="O719" s="15" t="str">
        <f>VLOOKUP(A719,sinap!$A$2:$R$9000,7,FALSE)</f>
        <v>Vivo</v>
      </c>
      <c r="P719" s="15" t="str">
        <f>VLOOKUP(A719,sinap!$A$2:$R$9000,8,FALSE)</f>
        <v>11.1.01.1241</v>
      </c>
      <c r="Q719" s="15" t="str">
        <f>VLOOKUP(A719,sinap!$A$2:$R$9000,12,FALSE)</f>
        <v>11.1.01.0791</v>
      </c>
      <c r="R719" s="15" t="str">
        <f>VLOOKUP(A719,sinap!$A$2:$R$9000,16,FALSE)</f>
        <v>11.1.01.1241</v>
      </c>
      <c r="S719" s="15" t="str">
        <f>VLOOKUP(A719,sinap!$A$2:$Y$9000,20,FALSE)</f>
        <v>SI</v>
      </c>
    </row>
    <row r="720" spans="1:20" hidden="1" x14ac:dyDescent="0.25">
      <c r="A720" s="15">
        <v>16705265</v>
      </c>
      <c r="J720" s="15" t="str">
        <f>VLOOKUP(A720,sinap!$A$2:$R$9000,2,FALSE)</f>
        <v>H</v>
      </c>
      <c r="K720" s="15" t="str">
        <f>VLOOKUP(A720,sinap!$A$2:$R$9000,3,FALSE)</f>
        <v>VACA</v>
      </c>
      <c r="L720" s="15" t="str">
        <f>VLOOKUP(A720,sinap!$A$2:$R$9000,4,FALSE)</f>
        <v>ANGUS NEGRO</v>
      </c>
      <c r="M720" s="15" t="str">
        <f>VLOOKUP(A720,sinap!$A$2:$R$9000,5,FALSE)</f>
        <v>6 años 3 meses</v>
      </c>
      <c r="N720" s="15" t="str">
        <f>VLOOKUP(A720,sinap!$A$2:$R$9000,6,FALSE)</f>
        <v>30-09-2019</v>
      </c>
      <c r="O720" s="15" t="str">
        <f>VLOOKUP(A720,sinap!$A$2:$R$9000,7,FALSE)</f>
        <v>Vivo</v>
      </c>
      <c r="P720" s="15" t="str">
        <f>VLOOKUP(A720,sinap!$A$2:$R$9000,8,FALSE)</f>
        <v>11.1.01.1241</v>
      </c>
      <c r="Q720" s="15" t="str">
        <f>VLOOKUP(A720,sinap!$A$2:$R$9000,12,FALSE)</f>
        <v>11.1.01.0791</v>
      </c>
      <c r="R720" s="15" t="str">
        <f>VLOOKUP(A720,sinap!$A$2:$R$9000,16,FALSE)</f>
        <v>11.1.01.1241</v>
      </c>
      <c r="S720" s="15" t="str">
        <f>VLOOKUP(A720,sinap!$A$2:$Y$9000,20,FALSE)</f>
        <v>SI</v>
      </c>
    </row>
    <row r="721" spans="1:19" hidden="1" x14ac:dyDescent="0.25">
      <c r="A721" s="15">
        <v>16705266</v>
      </c>
      <c r="G721" s="16">
        <v>45254</v>
      </c>
      <c r="H721" s="16">
        <v>45648</v>
      </c>
      <c r="I721" s="16">
        <v>45965</v>
      </c>
      <c r="J721" s="15" t="str">
        <f>VLOOKUP(A721,sinap!$A$2:$R$9000,2,FALSE)</f>
        <v>H</v>
      </c>
      <c r="K721" s="15" t="str">
        <f>VLOOKUP(A721,sinap!$A$2:$R$9000,3,FALSE)</f>
        <v>VACA</v>
      </c>
      <c r="L721" s="15" t="str">
        <f>VLOOKUP(A721,sinap!$A$2:$R$9000,4,FALSE)</f>
        <v>ANGUS NEGRO</v>
      </c>
      <c r="M721" s="15" t="str">
        <f>VLOOKUP(A721,sinap!$A$2:$R$9000,5,FALSE)</f>
        <v>6 años 3 meses</v>
      </c>
      <c r="N721" s="15" t="str">
        <f>VLOOKUP(A721,sinap!$A$2:$R$9000,6,FALSE)</f>
        <v>30-09-2019</v>
      </c>
      <c r="O721" s="15" t="str">
        <f>VLOOKUP(A721,sinap!$A$2:$R$9000,7,FALSE)</f>
        <v>Vivo</v>
      </c>
      <c r="P721" s="15" t="str">
        <f>VLOOKUP(A721,sinap!$A$2:$R$9000,8,FALSE)</f>
        <v>11.1.01.2442</v>
      </c>
      <c r="Q721" s="15" t="str">
        <f>VLOOKUP(A721,sinap!$A$2:$R$9000,12,FALSE)</f>
        <v>11.1.01.0190</v>
      </c>
      <c r="R721" s="15" t="str">
        <f>VLOOKUP(A721,sinap!$A$2:$R$9000,16,FALSE)</f>
        <v>11.1.01.1241</v>
      </c>
      <c r="S721" s="15" t="str">
        <f>VLOOKUP(A721,sinap!$A$2:$Y$9000,20,FALSE)</f>
        <v>SI</v>
      </c>
    </row>
    <row r="722" spans="1:19" hidden="1" x14ac:dyDescent="0.25">
      <c r="A722" s="15">
        <v>16705276</v>
      </c>
      <c r="J722" s="15" t="str">
        <f>VLOOKUP(A722,sinap!$A$2:$R$9000,2,FALSE)</f>
        <v>H</v>
      </c>
      <c r="K722" s="15" t="str">
        <f>VLOOKUP(A722,sinap!$A$2:$R$9000,3,FALSE)</f>
        <v>VACA</v>
      </c>
      <c r="L722" s="15" t="str">
        <f>VLOOKUP(A722,sinap!$A$2:$R$9000,4,FALSE)</f>
        <v>ANGUS NEGRO</v>
      </c>
      <c r="M722" s="15" t="str">
        <f>VLOOKUP(A722,sinap!$A$2:$R$9000,5,FALSE)</f>
        <v>6 años 3 meses</v>
      </c>
      <c r="N722" s="15" t="str">
        <f>VLOOKUP(A722,sinap!$A$2:$R$9000,6,FALSE)</f>
        <v>20-09-2019</v>
      </c>
      <c r="O722" s="15" t="str">
        <f>VLOOKUP(A722,sinap!$A$2:$R$9000,7,FALSE)</f>
        <v>Vivo</v>
      </c>
      <c r="P722" s="15" t="str">
        <f>VLOOKUP(A722,sinap!$A$2:$R$9000,8,FALSE)</f>
        <v>11.1.01.0791</v>
      </c>
      <c r="Q722" s="15" t="str">
        <f>VLOOKUP(A722,sinap!$A$2:$R$9000,12,FALSE)</f>
        <v>11.1.01.0893</v>
      </c>
      <c r="R722" s="15" t="str">
        <f>VLOOKUP(A722,sinap!$A$2:$R$9000,16,FALSE)</f>
        <v>11.1.01.1241</v>
      </c>
      <c r="S722" s="15" t="str">
        <f>VLOOKUP(A722,sinap!$A$2:$Y$9000,20,FALSE)</f>
        <v>SI</v>
      </c>
    </row>
    <row r="723" spans="1:19" hidden="1" x14ac:dyDescent="0.25">
      <c r="A723" s="15">
        <v>16705277</v>
      </c>
      <c r="J723" s="15" t="str">
        <f>VLOOKUP(A723,sinap!$A$2:$R$9000,2,FALSE)</f>
        <v>H</v>
      </c>
      <c r="K723" s="15" t="str">
        <f>VLOOKUP(A723,sinap!$A$2:$R$9000,3,FALSE)</f>
        <v>VACA</v>
      </c>
      <c r="L723" s="15" t="str">
        <f>VLOOKUP(A723,sinap!$A$2:$R$9000,4,FALSE)</f>
        <v>ANGUS NEGRO</v>
      </c>
      <c r="M723" s="15" t="str">
        <f>VLOOKUP(A723,sinap!$A$2:$R$9000,5,FALSE)</f>
        <v>6 años 4 meses</v>
      </c>
      <c r="N723" s="15" t="str">
        <f>VLOOKUP(A723,sinap!$A$2:$R$9000,6,FALSE)</f>
        <v>15-09-2019</v>
      </c>
      <c r="O723" s="15" t="str">
        <f>VLOOKUP(A723,sinap!$A$2:$R$9000,7,FALSE)</f>
        <v>Vivo</v>
      </c>
      <c r="P723" s="15" t="str">
        <f>VLOOKUP(A723,sinap!$A$2:$R$9000,8,FALSE)</f>
        <v>11.1.01.2304</v>
      </c>
      <c r="Q723" s="15" t="str">
        <f>VLOOKUP(A723,sinap!$A$2:$R$9000,12,FALSE)</f>
        <v>11.2.01.0053</v>
      </c>
      <c r="R723" s="15" t="str">
        <f>VLOOKUP(A723,sinap!$A$2:$R$9000,16,FALSE)</f>
        <v>11.1.01.1241</v>
      </c>
      <c r="S723" s="15" t="str">
        <f>VLOOKUP(A723,sinap!$A$2:$Y$9000,20,FALSE)</f>
        <v>SI</v>
      </c>
    </row>
    <row r="724" spans="1:19" hidden="1" x14ac:dyDescent="0.25">
      <c r="A724" s="15">
        <v>16705281</v>
      </c>
      <c r="J724" s="15" t="str">
        <f>VLOOKUP(A724,sinap!$A$2:$R$9000,2,FALSE)</f>
        <v>H</v>
      </c>
      <c r="K724" s="15" t="str">
        <f>VLOOKUP(A724,sinap!$A$2:$R$9000,3,FALSE)</f>
        <v>VACA</v>
      </c>
      <c r="L724" s="15" t="str">
        <f>VLOOKUP(A724,sinap!$A$2:$R$9000,4,FALSE)</f>
        <v>ANGUS NEGRO</v>
      </c>
      <c r="M724" s="15" t="str">
        <f>VLOOKUP(A724,sinap!$A$2:$R$9000,5,FALSE)</f>
        <v>6 años 3 meses</v>
      </c>
      <c r="N724" s="15" t="str">
        <f>VLOOKUP(A724,sinap!$A$2:$R$9000,6,FALSE)</f>
        <v>01-10-2019</v>
      </c>
      <c r="O724" s="15" t="str">
        <f>VLOOKUP(A724,sinap!$A$2:$R$9000,7,FALSE)</f>
        <v>Vivo</v>
      </c>
      <c r="P724" s="15" t="str">
        <f>VLOOKUP(A724,sinap!$A$2:$R$9000,8,FALSE)</f>
        <v>11.1.01.1241</v>
      </c>
      <c r="Q724" s="15" t="str">
        <f>VLOOKUP(A724,sinap!$A$2:$R$9000,12,FALSE)</f>
        <v>11.1.01.0791</v>
      </c>
      <c r="R724" s="15" t="str">
        <f>VLOOKUP(A724,sinap!$A$2:$R$9000,16,FALSE)</f>
        <v>11.1.01.1241</v>
      </c>
      <c r="S724" s="15" t="str">
        <f>VLOOKUP(A724,sinap!$A$2:$Y$9000,20,FALSE)</f>
        <v>SI</v>
      </c>
    </row>
    <row r="725" spans="1:19" hidden="1" x14ac:dyDescent="0.25">
      <c r="A725" s="15">
        <v>16705284</v>
      </c>
      <c r="H725" s="16">
        <v>45648</v>
      </c>
      <c r="I725" s="16">
        <v>45965</v>
      </c>
      <c r="J725" s="15" t="str">
        <f>VLOOKUP(A725,sinap!$A$2:$R$9000,2,FALSE)</f>
        <v>H</v>
      </c>
      <c r="K725" s="15" t="str">
        <f>VLOOKUP(A725,sinap!$A$2:$R$9000,3,FALSE)</f>
        <v>VACA</v>
      </c>
      <c r="L725" s="15" t="str">
        <f>VLOOKUP(A725,sinap!$A$2:$R$9000,4,FALSE)</f>
        <v>ANGUS NEGRO</v>
      </c>
      <c r="M725" s="15" t="str">
        <f>VLOOKUP(A725,sinap!$A$2:$R$9000,5,FALSE)</f>
        <v>6 años 3 meses</v>
      </c>
      <c r="N725" s="15" t="str">
        <f>VLOOKUP(A725,sinap!$A$2:$R$9000,6,FALSE)</f>
        <v>10-10-2019</v>
      </c>
      <c r="O725" s="15" t="str">
        <f>VLOOKUP(A725,sinap!$A$2:$R$9000,7,FALSE)</f>
        <v>Vivo</v>
      </c>
      <c r="P725" s="15" t="str">
        <f>VLOOKUP(A725,sinap!$A$2:$R$9000,8,FALSE)</f>
        <v>11.1.01.1241</v>
      </c>
      <c r="Q725" s="15" t="str">
        <f>VLOOKUP(A725,sinap!$A$2:$R$9000,12,FALSE)</f>
        <v>11.2.01.0038</v>
      </c>
      <c r="R725" s="15" t="str">
        <f>VLOOKUP(A725,sinap!$A$2:$R$9000,16,FALSE)</f>
        <v>11.1.01.1241</v>
      </c>
      <c r="S725" s="15" t="str">
        <f>VLOOKUP(A725,sinap!$A$2:$Y$9000,20,FALSE)</f>
        <v>SI</v>
      </c>
    </row>
    <row r="726" spans="1:19" hidden="1" x14ac:dyDescent="0.25">
      <c r="A726" s="15">
        <v>16705290</v>
      </c>
      <c r="J726" s="15" t="str">
        <f>VLOOKUP(A726,sinap!$A$2:$R$9000,2,FALSE)</f>
        <v>H</v>
      </c>
      <c r="K726" s="15" t="str">
        <f>VLOOKUP(A726,sinap!$A$2:$R$9000,3,FALSE)</f>
        <v>VACA</v>
      </c>
      <c r="L726" s="15" t="str">
        <f>VLOOKUP(A726,sinap!$A$2:$R$9000,4,FALSE)</f>
        <v>ANGUS NEGRO</v>
      </c>
      <c r="M726" s="15" t="str">
        <f>VLOOKUP(A726,sinap!$A$2:$R$9000,5,FALSE)</f>
        <v>6 años 3 meses</v>
      </c>
      <c r="N726" s="15" t="str">
        <f>VLOOKUP(A726,sinap!$A$2:$R$9000,6,FALSE)</f>
        <v>30-09-2019</v>
      </c>
      <c r="O726" s="15" t="str">
        <f>VLOOKUP(A726,sinap!$A$2:$R$9000,7,FALSE)</f>
        <v>Vivo</v>
      </c>
      <c r="P726" s="15" t="str">
        <f>VLOOKUP(A726,sinap!$A$2:$R$9000,8,FALSE)</f>
        <v>11.2.01.0038</v>
      </c>
      <c r="Q726" s="15" t="str">
        <f>VLOOKUP(A726,sinap!$A$2:$R$9000,12,FALSE)</f>
        <v>11.1.01.0893</v>
      </c>
      <c r="R726" s="15" t="str">
        <f>VLOOKUP(A726,sinap!$A$2:$R$9000,16,FALSE)</f>
        <v>11.1.01.1241</v>
      </c>
      <c r="S726" s="15" t="str">
        <f>VLOOKUP(A726,sinap!$A$2:$Y$9000,20,FALSE)</f>
        <v>SI</v>
      </c>
    </row>
    <row r="727" spans="1:19" hidden="1" x14ac:dyDescent="0.25">
      <c r="A727" s="15">
        <v>16705293</v>
      </c>
      <c r="H727" s="16">
        <v>45297</v>
      </c>
      <c r="J727" s="15" t="str">
        <f>VLOOKUP(A727,sinap!$A$2:$R$9000,2,FALSE)</f>
        <v>H</v>
      </c>
      <c r="K727" s="15" t="str">
        <f>VLOOKUP(A727,sinap!$A$2:$R$9000,3,FALSE)</f>
        <v>VACA</v>
      </c>
      <c r="L727" s="15" t="str">
        <f>VLOOKUP(A727,sinap!$A$2:$R$9000,4,FALSE)</f>
        <v>ANGUS NEGRO</v>
      </c>
      <c r="M727" s="15" t="str">
        <f>VLOOKUP(A727,sinap!$A$2:$R$9000,5,FALSE)</f>
        <v>6 años 3 meses</v>
      </c>
      <c r="N727" s="15" t="str">
        <f>VLOOKUP(A727,sinap!$A$2:$R$9000,6,FALSE)</f>
        <v>01-10-2019</v>
      </c>
      <c r="O727" s="15" t="str">
        <f>VLOOKUP(A727,sinap!$A$2:$R$9000,7,FALSE)</f>
        <v>Vivo</v>
      </c>
      <c r="P727" s="15" t="str">
        <f>VLOOKUP(A727,sinap!$A$2:$R$9000,8,FALSE)</f>
        <v>11.2.01.0038</v>
      </c>
      <c r="Q727" s="15" t="str">
        <f>VLOOKUP(A727,sinap!$A$2:$R$9000,12,FALSE)</f>
        <v>11.1.01.0893</v>
      </c>
      <c r="R727" s="15" t="str">
        <f>VLOOKUP(A727,sinap!$A$2:$R$9000,16,FALSE)</f>
        <v>11.1.01.1241</v>
      </c>
      <c r="S727" s="15" t="str">
        <f>VLOOKUP(A727,sinap!$A$2:$Y$9000,20,FALSE)</f>
        <v>SI</v>
      </c>
    </row>
    <row r="728" spans="1:19" hidden="1" x14ac:dyDescent="0.25">
      <c r="A728" s="15">
        <v>16705299</v>
      </c>
      <c r="J728" s="15" t="str">
        <f>VLOOKUP(A728,sinap!$A$2:$R$9000,2,FALSE)</f>
        <v>H</v>
      </c>
      <c r="K728" s="15" t="str">
        <f>VLOOKUP(A728,sinap!$A$2:$R$9000,3,FALSE)</f>
        <v>VACA</v>
      </c>
      <c r="L728" s="15" t="str">
        <f>VLOOKUP(A728,sinap!$A$2:$R$9000,4,FALSE)</f>
        <v>ANGUS ROJO</v>
      </c>
      <c r="M728" s="15" t="str">
        <f>VLOOKUP(A728,sinap!$A$2:$R$9000,5,FALSE)</f>
        <v>6 años 4 meses</v>
      </c>
      <c r="N728" s="15" t="str">
        <f>VLOOKUP(A728,sinap!$A$2:$R$9000,6,FALSE)</f>
        <v>15-09-2019</v>
      </c>
      <c r="O728" s="15" t="str">
        <f>VLOOKUP(A728,sinap!$A$2:$R$9000,7,FALSE)</f>
        <v>Vivo</v>
      </c>
      <c r="P728" s="15" t="str">
        <f>VLOOKUP(A728,sinap!$A$2:$R$9000,8,FALSE)</f>
        <v>11.1.01.1241</v>
      </c>
      <c r="Q728" s="15" t="str">
        <f>VLOOKUP(A728,sinap!$A$2:$R$9000,12,FALSE)</f>
        <v>Sin Movimiento</v>
      </c>
      <c r="R728" s="15" t="str">
        <f>VLOOKUP(A728,sinap!$A$2:$R$9000,16,FALSE)</f>
        <v>11.1.01.1241</v>
      </c>
      <c r="S728" s="15" t="str">
        <f>VLOOKUP(A728,sinap!$A$2:$Y$9000,20,FALSE)</f>
        <v>SI</v>
      </c>
    </row>
    <row r="729" spans="1:19" hidden="1" x14ac:dyDescent="0.25">
      <c r="A729" s="15">
        <v>16705303</v>
      </c>
      <c r="H729" s="16">
        <v>45297</v>
      </c>
      <c r="J729" s="15" t="str">
        <f>VLOOKUP(A729,sinap!$A$2:$R$9000,2,FALSE)</f>
        <v>H</v>
      </c>
      <c r="K729" s="15" t="str">
        <f>VLOOKUP(A729,sinap!$A$2:$R$9000,3,FALSE)</f>
        <v>VACA</v>
      </c>
      <c r="L729" s="15" t="str">
        <f>VLOOKUP(A729,sinap!$A$2:$R$9000,4,FALSE)</f>
        <v>ANGUS NEGRO</v>
      </c>
      <c r="M729" s="15" t="str">
        <f>VLOOKUP(A729,sinap!$A$2:$R$9000,5,FALSE)</f>
        <v>6 años 3 meses</v>
      </c>
      <c r="N729" s="15" t="str">
        <f>VLOOKUP(A729,sinap!$A$2:$R$9000,6,FALSE)</f>
        <v>20-09-2019</v>
      </c>
      <c r="O729" s="15" t="str">
        <f>VLOOKUP(A729,sinap!$A$2:$R$9000,7,FALSE)</f>
        <v>Vivo</v>
      </c>
      <c r="P729" s="15" t="str">
        <f>VLOOKUP(A729,sinap!$A$2:$R$9000,8,FALSE)</f>
        <v>11.1.01.0791</v>
      </c>
      <c r="Q729" s="15" t="str">
        <f>VLOOKUP(A729,sinap!$A$2:$R$9000,12,FALSE)</f>
        <v>11.1.01.0893</v>
      </c>
      <c r="R729" s="15" t="str">
        <f>VLOOKUP(A729,sinap!$A$2:$R$9000,16,FALSE)</f>
        <v>11.1.01.1241</v>
      </c>
      <c r="S729" s="15" t="str">
        <f>VLOOKUP(A729,sinap!$A$2:$Y$9000,20,FALSE)</f>
        <v>SI</v>
      </c>
    </row>
    <row r="730" spans="1:19" hidden="1" x14ac:dyDescent="0.25">
      <c r="A730" s="15">
        <v>16705318</v>
      </c>
      <c r="H730" s="16">
        <v>45648</v>
      </c>
      <c r="I730" s="16">
        <v>45966</v>
      </c>
      <c r="J730" s="15" t="str">
        <f>VLOOKUP(A730,sinap!$A$2:$R$9000,2,FALSE)</f>
        <v>H</v>
      </c>
      <c r="K730" s="15" t="str">
        <f>VLOOKUP(A730,sinap!$A$2:$R$9000,3,FALSE)</f>
        <v>VACA</v>
      </c>
      <c r="L730" s="15" t="str">
        <f>VLOOKUP(A730,sinap!$A$2:$R$9000,4,FALSE)</f>
        <v>ANGUS NEGRO</v>
      </c>
      <c r="M730" s="15" t="str">
        <f>VLOOKUP(A730,sinap!$A$2:$R$9000,5,FALSE)</f>
        <v>6 años 3 meses</v>
      </c>
      <c r="N730" s="15" t="str">
        <f>VLOOKUP(A730,sinap!$A$2:$R$9000,6,FALSE)</f>
        <v>30-09-2019</v>
      </c>
      <c r="O730" s="15" t="str">
        <f>VLOOKUP(A730,sinap!$A$2:$R$9000,7,FALSE)</f>
        <v>Vivo</v>
      </c>
      <c r="P730" s="15" t="str">
        <f>VLOOKUP(A730,sinap!$A$2:$R$9000,8,FALSE)</f>
        <v>11.1.01.2442</v>
      </c>
      <c r="Q730" s="15" t="str">
        <f>VLOOKUP(A730,sinap!$A$2:$R$9000,12,FALSE)</f>
        <v>11.1.01.0190</v>
      </c>
      <c r="R730" s="15" t="str">
        <f>VLOOKUP(A730,sinap!$A$2:$R$9000,16,FALSE)</f>
        <v>11.1.01.1241</v>
      </c>
      <c r="S730" s="15" t="str">
        <f>VLOOKUP(A730,sinap!$A$2:$Y$9000,20,FALSE)</f>
        <v>SI</v>
      </c>
    </row>
    <row r="731" spans="1:19" hidden="1" x14ac:dyDescent="0.25">
      <c r="A731" s="15">
        <v>16705322</v>
      </c>
      <c r="J731" s="15" t="str">
        <f>VLOOKUP(A731,sinap!$A$2:$R$9000,2,FALSE)</f>
        <v>H</v>
      </c>
      <c r="K731" s="15" t="str">
        <f>VLOOKUP(A731,sinap!$A$2:$R$9000,3,FALSE)</f>
        <v>VACA</v>
      </c>
      <c r="L731" s="15" t="str">
        <f>VLOOKUP(A731,sinap!$A$2:$R$9000,4,FALSE)</f>
        <v>ANGUS NEGRO</v>
      </c>
      <c r="M731" s="15" t="str">
        <f>VLOOKUP(A731,sinap!$A$2:$R$9000,5,FALSE)</f>
        <v>6 años 3 meses</v>
      </c>
      <c r="N731" s="15" t="str">
        <f>VLOOKUP(A731,sinap!$A$2:$R$9000,6,FALSE)</f>
        <v>10-10-2019</v>
      </c>
      <c r="O731" s="15" t="str">
        <f>VLOOKUP(A731,sinap!$A$2:$R$9000,7,FALSE)</f>
        <v>Vivo</v>
      </c>
      <c r="P731" s="15" t="str">
        <f>VLOOKUP(A731,sinap!$A$2:$R$9000,8,FALSE)</f>
        <v>11.1.01.1241</v>
      </c>
      <c r="Q731" s="15" t="str">
        <f>VLOOKUP(A731,sinap!$A$2:$R$9000,12,FALSE)</f>
        <v>11.1.01.0791</v>
      </c>
      <c r="R731" s="15" t="str">
        <f>VLOOKUP(A731,sinap!$A$2:$R$9000,16,FALSE)</f>
        <v>11.1.01.1241</v>
      </c>
      <c r="S731" s="15" t="str">
        <f>VLOOKUP(A731,sinap!$A$2:$Y$9000,20,FALSE)</f>
        <v>SI</v>
      </c>
    </row>
    <row r="732" spans="1:19" hidden="1" x14ac:dyDescent="0.25">
      <c r="A732" s="15">
        <v>16705324</v>
      </c>
      <c r="H732" s="16">
        <v>45648</v>
      </c>
      <c r="I732" s="16">
        <v>45671</v>
      </c>
      <c r="J732" s="15" t="str">
        <f>VLOOKUP(A732,sinap!$A$2:$R$9000,2,FALSE)</f>
        <v>H</v>
      </c>
      <c r="K732" s="15" t="str">
        <f>VLOOKUP(A732,sinap!$A$2:$R$9000,3,FALSE)</f>
        <v>VACA</v>
      </c>
      <c r="L732" s="15" t="str">
        <f>VLOOKUP(A732,sinap!$A$2:$R$9000,4,FALSE)</f>
        <v>ANGUS NEGRO</v>
      </c>
      <c r="M732" s="15" t="str">
        <f>VLOOKUP(A732,sinap!$A$2:$R$9000,5,FALSE)</f>
        <v>6 años 2 meses</v>
      </c>
      <c r="N732" s="15" t="str">
        <f>VLOOKUP(A732,sinap!$A$2:$R$9000,6,FALSE)</f>
        <v>25-10-2019</v>
      </c>
      <c r="O732" s="15" t="str">
        <f>VLOOKUP(A732,sinap!$A$2:$R$9000,7,FALSE)</f>
        <v>Vivo</v>
      </c>
      <c r="P732" s="15" t="str">
        <f>VLOOKUP(A732,sinap!$A$2:$R$9000,8,FALSE)</f>
        <v>11.1.01.1241</v>
      </c>
      <c r="Q732" s="15" t="str">
        <f>VLOOKUP(A732,sinap!$A$2:$R$9000,12,FALSE)</f>
        <v>11.2.01.0038</v>
      </c>
      <c r="R732" s="15" t="str">
        <f>VLOOKUP(A732,sinap!$A$2:$R$9000,16,FALSE)</f>
        <v>11.1.01.1241</v>
      </c>
      <c r="S732" s="15" t="str">
        <f>VLOOKUP(A732,sinap!$A$2:$Y$9000,20,FALSE)</f>
        <v>SI</v>
      </c>
    </row>
    <row r="733" spans="1:19" hidden="1" x14ac:dyDescent="0.25">
      <c r="A733" s="15">
        <v>16705325</v>
      </c>
      <c r="H733" s="16">
        <v>45430</v>
      </c>
      <c r="I733" s="16">
        <v>45965</v>
      </c>
      <c r="J733" s="15" t="str">
        <f>VLOOKUP(A733,sinap!$A$2:$R$9000,2,FALSE)</f>
        <v>H</v>
      </c>
      <c r="K733" s="15" t="str">
        <f>VLOOKUP(A733,sinap!$A$2:$R$9000,3,FALSE)</f>
        <v>VACA</v>
      </c>
      <c r="L733" s="15" t="str">
        <f>VLOOKUP(A733,sinap!$A$2:$R$9000,4,FALSE)</f>
        <v>ANGUS NEGRO</v>
      </c>
      <c r="M733" s="15" t="str">
        <f>VLOOKUP(A733,sinap!$A$2:$R$9000,5,FALSE)</f>
        <v>6 años 2 meses</v>
      </c>
      <c r="N733" s="15" t="str">
        <f>VLOOKUP(A733,sinap!$A$2:$R$9000,6,FALSE)</f>
        <v>05-11-2019</v>
      </c>
      <c r="O733" s="15" t="str">
        <f>VLOOKUP(A733,sinap!$A$2:$R$9000,7,FALSE)</f>
        <v>Vivo</v>
      </c>
      <c r="P733" s="15" t="str">
        <f>VLOOKUP(A733,sinap!$A$2:$R$9000,8,FALSE)</f>
        <v>11.1.01.2442</v>
      </c>
      <c r="Q733" s="15" t="str">
        <f>VLOOKUP(A733,sinap!$A$2:$R$9000,12,FALSE)</f>
        <v>11.1.01.0190</v>
      </c>
      <c r="R733" s="15" t="str">
        <f>VLOOKUP(A733,sinap!$A$2:$R$9000,16,FALSE)</f>
        <v>11.1.01.1241</v>
      </c>
      <c r="S733" s="15" t="str">
        <f>VLOOKUP(A733,sinap!$A$2:$Y$9000,20,FALSE)</f>
        <v>SI</v>
      </c>
    </row>
    <row r="734" spans="1:19" hidden="1" x14ac:dyDescent="0.25">
      <c r="A734" s="15">
        <v>16705327</v>
      </c>
      <c r="J734" s="15" t="str">
        <f>VLOOKUP(A734,sinap!$A$2:$R$9000,2,FALSE)</f>
        <v>H</v>
      </c>
      <c r="K734" s="15" t="str">
        <f>VLOOKUP(A734,sinap!$A$2:$R$9000,3,FALSE)</f>
        <v>VACA</v>
      </c>
      <c r="L734" s="15" t="str">
        <f>VLOOKUP(A734,sinap!$A$2:$R$9000,4,FALSE)</f>
        <v>ANGUS NEGRO</v>
      </c>
      <c r="M734" s="15" t="str">
        <f>VLOOKUP(A734,sinap!$A$2:$R$9000,5,FALSE)</f>
        <v>6 años 3 meses</v>
      </c>
      <c r="N734" s="15" t="str">
        <f>VLOOKUP(A734,sinap!$A$2:$R$9000,6,FALSE)</f>
        <v>10-10-2019</v>
      </c>
      <c r="O734" s="15" t="str">
        <f>VLOOKUP(A734,sinap!$A$2:$R$9000,7,FALSE)</f>
        <v>Vivo</v>
      </c>
      <c r="P734" s="15" t="str">
        <f>VLOOKUP(A734,sinap!$A$2:$R$9000,8,FALSE)</f>
        <v>11.1.01.2442</v>
      </c>
      <c r="Q734" s="15" t="str">
        <f>VLOOKUP(A734,sinap!$A$2:$R$9000,12,FALSE)</f>
        <v>11.1.01.1241</v>
      </c>
      <c r="R734" s="15" t="str">
        <f>VLOOKUP(A734,sinap!$A$2:$R$9000,16,FALSE)</f>
        <v>11.1.01.1241</v>
      </c>
      <c r="S734" s="15" t="str">
        <f>VLOOKUP(A734,sinap!$A$2:$Y$9000,20,FALSE)</f>
        <v>SI</v>
      </c>
    </row>
    <row r="735" spans="1:19" hidden="1" x14ac:dyDescent="0.25">
      <c r="A735" s="15">
        <v>16705328</v>
      </c>
      <c r="J735" s="15" t="str">
        <f>VLOOKUP(A735,sinap!$A$2:$R$9000,2,FALSE)</f>
        <v>H</v>
      </c>
      <c r="K735" s="15" t="str">
        <f>VLOOKUP(A735,sinap!$A$2:$R$9000,3,FALSE)</f>
        <v>VACA</v>
      </c>
      <c r="L735" s="15" t="str">
        <f>VLOOKUP(A735,sinap!$A$2:$R$9000,4,FALSE)</f>
        <v>ANGUS NEGRO</v>
      </c>
      <c r="M735" s="15" t="str">
        <f>VLOOKUP(A735,sinap!$A$2:$R$9000,5,FALSE)</f>
        <v>6 años 3 meses</v>
      </c>
      <c r="N735" s="15" t="str">
        <f>VLOOKUP(A735,sinap!$A$2:$R$9000,6,FALSE)</f>
        <v>25-09-2019</v>
      </c>
      <c r="O735" s="15" t="str">
        <f>VLOOKUP(A735,sinap!$A$2:$R$9000,7,FALSE)</f>
        <v>Vivo</v>
      </c>
      <c r="P735" s="15" t="str">
        <f>VLOOKUP(A735,sinap!$A$2:$R$9000,8,FALSE)</f>
        <v>11.1.01.0791</v>
      </c>
      <c r="Q735" s="15" t="str">
        <f>VLOOKUP(A735,sinap!$A$2:$R$9000,12,FALSE)</f>
        <v>11.1.01.0893</v>
      </c>
      <c r="R735" s="15" t="str">
        <f>VLOOKUP(A735,sinap!$A$2:$R$9000,16,FALSE)</f>
        <v>11.1.01.1241</v>
      </c>
      <c r="S735" s="15" t="str">
        <f>VLOOKUP(A735,sinap!$A$2:$Y$9000,20,FALSE)</f>
        <v>SI</v>
      </c>
    </row>
    <row r="736" spans="1:19" hidden="1" x14ac:dyDescent="0.25">
      <c r="A736" s="15">
        <v>16705331</v>
      </c>
      <c r="H736" s="16">
        <v>45648</v>
      </c>
      <c r="I736" s="16">
        <v>45671</v>
      </c>
      <c r="J736" s="15" t="str">
        <f>VLOOKUP(A736,sinap!$A$2:$R$9000,2,FALSE)</f>
        <v>H</v>
      </c>
      <c r="K736" s="15" t="str">
        <f>VLOOKUP(A736,sinap!$A$2:$R$9000,3,FALSE)</f>
        <v>VACA</v>
      </c>
      <c r="L736" s="15" t="str">
        <f>VLOOKUP(A736,sinap!$A$2:$R$9000,4,FALSE)</f>
        <v>ANGUS NEGRO</v>
      </c>
      <c r="M736" s="15" t="str">
        <f>VLOOKUP(A736,sinap!$A$2:$R$9000,5,FALSE)</f>
        <v>6 años 2 meses</v>
      </c>
      <c r="N736" s="15" t="str">
        <f>VLOOKUP(A736,sinap!$A$2:$R$9000,6,FALSE)</f>
        <v>30-10-2019</v>
      </c>
      <c r="O736" s="15" t="str">
        <f>VLOOKUP(A736,sinap!$A$2:$R$9000,7,FALSE)</f>
        <v>Vivo</v>
      </c>
      <c r="P736" s="15" t="str">
        <f>VLOOKUP(A736,sinap!$A$2:$R$9000,8,FALSE)</f>
        <v>11.1.01.1241</v>
      </c>
      <c r="Q736" s="15" t="str">
        <f>VLOOKUP(A736,sinap!$A$2:$R$9000,12,FALSE)</f>
        <v>11.2.01.0038</v>
      </c>
      <c r="R736" s="15" t="str">
        <f>VLOOKUP(A736,sinap!$A$2:$R$9000,16,FALSE)</f>
        <v>11.1.01.1241</v>
      </c>
      <c r="S736" s="15" t="str">
        <f>VLOOKUP(A736,sinap!$A$2:$Y$9000,20,FALSE)</f>
        <v>SI</v>
      </c>
    </row>
    <row r="737" spans="1:19" hidden="1" x14ac:dyDescent="0.25">
      <c r="A737" s="15">
        <v>16705332</v>
      </c>
      <c r="J737" s="15" t="str">
        <f>VLOOKUP(A737,sinap!$A$2:$R$9000,2,FALSE)</f>
        <v>H</v>
      </c>
      <c r="K737" s="15" t="str">
        <f>VLOOKUP(A737,sinap!$A$2:$R$9000,3,FALSE)</f>
        <v>VACA</v>
      </c>
      <c r="L737" s="15" t="str">
        <f>VLOOKUP(A737,sinap!$A$2:$R$9000,4,FALSE)</f>
        <v>ANGUS ROJO</v>
      </c>
      <c r="M737" s="15" t="str">
        <f>VLOOKUP(A737,sinap!$A$2:$R$9000,5,FALSE)</f>
        <v>6 años 4 meses</v>
      </c>
      <c r="N737" s="15" t="str">
        <f>VLOOKUP(A737,sinap!$A$2:$R$9000,6,FALSE)</f>
        <v>10-09-2019</v>
      </c>
      <c r="O737" s="15" t="str">
        <f>VLOOKUP(A737,sinap!$A$2:$R$9000,7,FALSE)</f>
        <v>Vivo</v>
      </c>
      <c r="P737" s="15" t="str">
        <f>VLOOKUP(A737,sinap!$A$2:$R$9000,8,FALSE)</f>
        <v>11.2.01.0038</v>
      </c>
      <c r="Q737" s="15" t="str">
        <f>VLOOKUP(A737,sinap!$A$2:$R$9000,12,FALSE)</f>
        <v>11.1.01.1241</v>
      </c>
      <c r="R737" s="15" t="str">
        <f>VLOOKUP(A737,sinap!$A$2:$R$9000,16,FALSE)</f>
        <v>11.1.01.1241</v>
      </c>
      <c r="S737" s="15" t="str">
        <f>VLOOKUP(A737,sinap!$A$2:$Y$9000,20,FALSE)</f>
        <v>SI</v>
      </c>
    </row>
    <row r="738" spans="1:19" hidden="1" x14ac:dyDescent="0.25">
      <c r="A738" s="15">
        <v>16705333</v>
      </c>
      <c r="H738" s="16">
        <v>45648</v>
      </c>
      <c r="I738" s="16">
        <v>45966</v>
      </c>
      <c r="J738" s="15" t="str">
        <f>VLOOKUP(A738,sinap!$A$2:$R$9000,2,FALSE)</f>
        <v>H</v>
      </c>
      <c r="K738" s="15" t="str">
        <f>VLOOKUP(A738,sinap!$A$2:$R$9000,3,FALSE)</f>
        <v>VACA</v>
      </c>
      <c r="L738" s="15" t="str">
        <f>VLOOKUP(A738,sinap!$A$2:$R$9000,4,FALSE)</f>
        <v>ANGUS NEGRO</v>
      </c>
      <c r="M738" s="15" t="str">
        <f>VLOOKUP(A738,sinap!$A$2:$R$9000,5,FALSE)</f>
        <v>6 años 3 meses</v>
      </c>
      <c r="N738" s="15" t="str">
        <f>VLOOKUP(A738,sinap!$A$2:$R$9000,6,FALSE)</f>
        <v>05-10-2019</v>
      </c>
      <c r="O738" s="15" t="str">
        <f>VLOOKUP(A738,sinap!$A$2:$R$9000,7,FALSE)</f>
        <v>Vivo</v>
      </c>
      <c r="P738" s="15" t="str">
        <f>VLOOKUP(A738,sinap!$A$2:$R$9000,8,FALSE)</f>
        <v>11.1.01.2442</v>
      </c>
      <c r="Q738" s="15" t="str">
        <f>VLOOKUP(A738,sinap!$A$2:$R$9000,12,FALSE)</f>
        <v>11.1.01.0190</v>
      </c>
      <c r="R738" s="15" t="str">
        <f>VLOOKUP(A738,sinap!$A$2:$R$9000,16,FALSE)</f>
        <v>11.1.01.1241</v>
      </c>
      <c r="S738" s="15" t="str">
        <f>VLOOKUP(A738,sinap!$A$2:$Y$9000,20,FALSE)</f>
        <v>SI</v>
      </c>
    </row>
    <row r="739" spans="1:19" hidden="1" x14ac:dyDescent="0.25">
      <c r="A739" s="15">
        <v>16705334</v>
      </c>
      <c r="H739" s="16">
        <v>45648</v>
      </c>
      <c r="I739" s="16">
        <v>45966</v>
      </c>
      <c r="J739" s="15" t="str">
        <f>VLOOKUP(A739,sinap!$A$2:$R$9000,2,FALSE)</f>
        <v>H</v>
      </c>
      <c r="K739" s="15" t="str">
        <f>VLOOKUP(A739,sinap!$A$2:$R$9000,3,FALSE)</f>
        <v>VACA</v>
      </c>
      <c r="L739" s="15" t="str">
        <f>VLOOKUP(A739,sinap!$A$2:$R$9000,4,FALSE)</f>
        <v>ANGUS NEGRO</v>
      </c>
      <c r="M739" s="15" t="str">
        <f>VLOOKUP(A739,sinap!$A$2:$R$9000,5,FALSE)</f>
        <v>6 años 3 meses</v>
      </c>
      <c r="N739" s="15" t="str">
        <f>VLOOKUP(A739,sinap!$A$2:$R$9000,6,FALSE)</f>
        <v>10-10-2019</v>
      </c>
      <c r="O739" s="15" t="str">
        <f>VLOOKUP(A739,sinap!$A$2:$R$9000,7,FALSE)</f>
        <v>Vivo</v>
      </c>
      <c r="P739" s="15" t="str">
        <f>VLOOKUP(A739,sinap!$A$2:$R$9000,8,FALSE)</f>
        <v>11.1.01.2442</v>
      </c>
      <c r="Q739" s="15" t="str">
        <f>VLOOKUP(A739,sinap!$A$2:$R$9000,12,FALSE)</f>
        <v>11.1.01.0190</v>
      </c>
      <c r="R739" s="15" t="str">
        <f>VLOOKUP(A739,sinap!$A$2:$R$9000,16,FALSE)</f>
        <v>11.1.01.1241</v>
      </c>
      <c r="S739" s="15" t="str">
        <f>VLOOKUP(A739,sinap!$A$2:$Y$9000,20,FALSE)</f>
        <v>SI</v>
      </c>
    </row>
    <row r="740" spans="1:19" hidden="1" x14ac:dyDescent="0.25">
      <c r="A740" s="15">
        <v>16705345</v>
      </c>
      <c r="J740" s="15" t="str">
        <f>VLOOKUP(A740,sinap!$A$2:$R$9000,2,FALSE)</f>
        <v>H</v>
      </c>
      <c r="K740" s="15" t="str">
        <f>VLOOKUP(A740,sinap!$A$2:$R$9000,3,FALSE)</f>
        <v>VACA</v>
      </c>
      <c r="L740" s="15" t="str">
        <f>VLOOKUP(A740,sinap!$A$2:$R$9000,4,FALSE)</f>
        <v>HEREFORD</v>
      </c>
      <c r="M740" s="15" t="str">
        <f>VLOOKUP(A740,sinap!$A$2:$R$9000,5,FALSE)</f>
        <v>6 años 2 meses</v>
      </c>
      <c r="N740" s="15" t="str">
        <f>VLOOKUP(A740,sinap!$A$2:$R$9000,6,FALSE)</f>
        <v>30-10-2019</v>
      </c>
      <c r="O740" s="15" t="str">
        <f>VLOOKUP(A740,sinap!$A$2:$R$9000,7,FALSE)</f>
        <v>Vivo</v>
      </c>
      <c r="P740" s="15" t="str">
        <f>VLOOKUP(A740,sinap!$A$2:$R$9000,8,FALSE)</f>
        <v>11.1.01.2304</v>
      </c>
      <c r="Q740" s="15" t="str">
        <f>VLOOKUP(A740,sinap!$A$2:$R$9000,12,FALSE)</f>
        <v>11.2.01.0053</v>
      </c>
      <c r="R740" s="15" t="str">
        <f>VLOOKUP(A740,sinap!$A$2:$R$9000,16,FALSE)</f>
        <v>11.1.01.1241</v>
      </c>
      <c r="S740" s="15" t="str">
        <f>VLOOKUP(A740,sinap!$A$2:$Y$9000,20,FALSE)</f>
        <v>SI</v>
      </c>
    </row>
    <row r="741" spans="1:19" hidden="1" x14ac:dyDescent="0.25">
      <c r="A741" s="15">
        <v>16705348</v>
      </c>
      <c r="H741" s="16">
        <v>45648</v>
      </c>
      <c r="I741" s="16">
        <v>45966</v>
      </c>
      <c r="J741" s="15" t="str">
        <f>VLOOKUP(A741,sinap!$A$2:$R$9000,2,FALSE)</f>
        <v>H</v>
      </c>
      <c r="K741" s="15" t="str">
        <f>VLOOKUP(A741,sinap!$A$2:$R$9000,3,FALSE)</f>
        <v>VACA</v>
      </c>
      <c r="L741" s="15" t="str">
        <f>VLOOKUP(A741,sinap!$A$2:$R$9000,4,FALSE)</f>
        <v>ANGUS NEGRO</v>
      </c>
      <c r="M741" s="15" t="str">
        <f>VLOOKUP(A741,sinap!$A$2:$R$9000,5,FALSE)</f>
        <v>6 años 2 meses</v>
      </c>
      <c r="N741" s="15" t="str">
        <f>VLOOKUP(A741,sinap!$A$2:$R$9000,6,FALSE)</f>
        <v>25-10-2019</v>
      </c>
      <c r="O741" s="15" t="str">
        <f>VLOOKUP(A741,sinap!$A$2:$R$9000,7,FALSE)</f>
        <v>Vivo</v>
      </c>
      <c r="P741" s="15" t="str">
        <f>VLOOKUP(A741,sinap!$A$2:$R$9000,8,FALSE)</f>
        <v>11.1.01.2442</v>
      </c>
      <c r="Q741" s="15" t="str">
        <f>VLOOKUP(A741,sinap!$A$2:$R$9000,12,FALSE)</f>
        <v>11.1.01.0190</v>
      </c>
      <c r="R741" s="15" t="str">
        <f>VLOOKUP(A741,sinap!$A$2:$R$9000,16,FALSE)</f>
        <v>11.1.01.1241</v>
      </c>
      <c r="S741" s="15" t="str">
        <f>VLOOKUP(A741,sinap!$A$2:$Y$9000,20,FALSE)</f>
        <v>SI</v>
      </c>
    </row>
    <row r="742" spans="1:19" hidden="1" x14ac:dyDescent="0.25">
      <c r="A742" s="15">
        <v>16705349</v>
      </c>
      <c r="J742" s="15" t="str">
        <f>VLOOKUP(A742,sinap!$A$2:$R$9000,2,FALSE)</f>
        <v>H</v>
      </c>
      <c r="K742" s="15" t="str">
        <f>VLOOKUP(A742,sinap!$A$2:$R$9000,3,FALSE)</f>
        <v>VACA</v>
      </c>
      <c r="L742" s="15" t="str">
        <f>VLOOKUP(A742,sinap!$A$2:$R$9000,4,FALSE)</f>
        <v>ANGUS NEGRO</v>
      </c>
      <c r="M742" s="15" t="str">
        <f>VLOOKUP(A742,sinap!$A$2:$R$9000,5,FALSE)</f>
        <v>6 años 2 meses</v>
      </c>
      <c r="N742" s="15" t="str">
        <f>VLOOKUP(A742,sinap!$A$2:$R$9000,6,FALSE)</f>
        <v>05-11-2019</v>
      </c>
      <c r="O742" s="15" t="str">
        <f>VLOOKUP(A742,sinap!$A$2:$R$9000,7,FALSE)</f>
        <v>Vivo</v>
      </c>
      <c r="P742" s="15" t="str">
        <f>VLOOKUP(A742,sinap!$A$2:$R$9000,8,FALSE)</f>
        <v>11.2.01.0038</v>
      </c>
      <c r="Q742" s="15" t="str">
        <f>VLOOKUP(A742,sinap!$A$2:$R$9000,12,FALSE)</f>
        <v>11.1.01.0893</v>
      </c>
      <c r="R742" s="15" t="str">
        <f>VLOOKUP(A742,sinap!$A$2:$R$9000,16,FALSE)</f>
        <v>11.1.01.1241</v>
      </c>
      <c r="S742" s="15" t="str">
        <f>VLOOKUP(A742,sinap!$A$2:$Y$9000,20,FALSE)</f>
        <v>SI</v>
      </c>
    </row>
    <row r="743" spans="1:19" hidden="1" x14ac:dyDescent="0.25">
      <c r="A743" s="15">
        <v>16705354</v>
      </c>
      <c r="H743" s="16">
        <v>45648</v>
      </c>
      <c r="I743" s="16">
        <v>45671</v>
      </c>
      <c r="J743" s="15" t="str">
        <f>VLOOKUP(A743,sinap!$A$2:$R$9000,2,FALSE)</f>
        <v>H</v>
      </c>
      <c r="K743" s="15" t="str">
        <f>VLOOKUP(A743,sinap!$A$2:$R$9000,3,FALSE)</f>
        <v>VACA</v>
      </c>
      <c r="L743" s="15" t="str">
        <f>VLOOKUP(A743,sinap!$A$2:$R$9000,4,FALSE)</f>
        <v>ANGUS NEGRO</v>
      </c>
      <c r="M743" s="15" t="str">
        <f>VLOOKUP(A743,sinap!$A$2:$R$9000,5,FALSE)</f>
        <v>6 años 3 meses</v>
      </c>
      <c r="N743" s="15" t="str">
        <f>VLOOKUP(A743,sinap!$A$2:$R$9000,6,FALSE)</f>
        <v>10-10-2019</v>
      </c>
      <c r="O743" s="15" t="str">
        <f>VLOOKUP(A743,sinap!$A$2:$R$9000,7,FALSE)</f>
        <v>Vivo</v>
      </c>
      <c r="P743" s="15" t="str">
        <f>VLOOKUP(A743,sinap!$A$2:$R$9000,8,FALSE)</f>
        <v>11.1.01.1241</v>
      </c>
      <c r="Q743" s="15" t="str">
        <f>VLOOKUP(A743,sinap!$A$2:$R$9000,12,FALSE)</f>
        <v>11.2.01.0038</v>
      </c>
      <c r="R743" s="15" t="str">
        <f>VLOOKUP(A743,sinap!$A$2:$R$9000,16,FALSE)</f>
        <v>11.1.01.1241</v>
      </c>
      <c r="S743" s="15" t="str">
        <f>VLOOKUP(A743,sinap!$A$2:$Y$9000,20,FALSE)</f>
        <v>SI</v>
      </c>
    </row>
    <row r="744" spans="1:19" hidden="1" x14ac:dyDescent="0.25">
      <c r="A744" s="15">
        <v>16705359</v>
      </c>
      <c r="J744" s="15" t="str">
        <f>VLOOKUP(A744,sinap!$A$2:$R$9000,2,FALSE)</f>
        <v>H</v>
      </c>
      <c r="K744" s="15" t="str">
        <f>VLOOKUP(A744,sinap!$A$2:$R$9000,3,FALSE)</f>
        <v>VACA</v>
      </c>
      <c r="L744" s="15" t="str">
        <f>VLOOKUP(A744,sinap!$A$2:$R$9000,4,FALSE)</f>
        <v>ANGUS NEGRO</v>
      </c>
      <c r="M744" s="15" t="str">
        <f>VLOOKUP(A744,sinap!$A$2:$R$9000,5,FALSE)</f>
        <v>7 años 0 meses</v>
      </c>
      <c r="N744" s="15" t="str">
        <f>VLOOKUP(A744,sinap!$A$2:$R$9000,6,FALSE)</f>
        <v>30-12-2018</v>
      </c>
      <c r="O744" s="15" t="str">
        <f>VLOOKUP(A744,sinap!$A$2:$R$9000,7,FALSE)</f>
        <v>Vivo</v>
      </c>
      <c r="P744" s="15" t="str">
        <f>VLOOKUP(A744,sinap!$A$2:$R$9000,8,FALSE)</f>
        <v>11.2.01.0038</v>
      </c>
      <c r="Q744" s="15" t="str">
        <f>VLOOKUP(A744,sinap!$A$2:$R$9000,12,FALSE)</f>
        <v>11.1.01.0893</v>
      </c>
      <c r="R744" s="15" t="str">
        <f>VLOOKUP(A744,sinap!$A$2:$R$9000,16,FALSE)</f>
        <v>11.1.01.1241</v>
      </c>
      <c r="S744" s="15" t="str">
        <f>VLOOKUP(A744,sinap!$A$2:$Y$9000,20,FALSE)</f>
        <v>SI</v>
      </c>
    </row>
    <row r="745" spans="1:19" hidden="1" x14ac:dyDescent="0.25">
      <c r="A745" s="15">
        <v>16705365</v>
      </c>
      <c r="J745" s="15" t="str">
        <f>VLOOKUP(A745,sinap!$A$2:$R$9000,2,FALSE)</f>
        <v>H</v>
      </c>
      <c r="K745" s="15" t="str">
        <f>VLOOKUP(A745,sinap!$A$2:$R$9000,3,FALSE)</f>
        <v>VACA</v>
      </c>
      <c r="L745" s="15" t="str">
        <f>VLOOKUP(A745,sinap!$A$2:$R$9000,4,FALSE)</f>
        <v>ANGUS NEGRO</v>
      </c>
      <c r="M745" s="15" t="str">
        <f>VLOOKUP(A745,sinap!$A$2:$R$9000,5,FALSE)</f>
        <v>6 años 3 meses</v>
      </c>
      <c r="N745" s="15" t="str">
        <f>VLOOKUP(A745,sinap!$A$2:$R$9000,6,FALSE)</f>
        <v>30-09-2019</v>
      </c>
      <c r="O745" s="15" t="str">
        <f>VLOOKUP(A745,sinap!$A$2:$R$9000,7,FALSE)</f>
        <v>Vivo</v>
      </c>
      <c r="P745" s="15" t="str">
        <f>VLOOKUP(A745,sinap!$A$2:$R$9000,8,FALSE)</f>
        <v>11.1.01.2442</v>
      </c>
      <c r="Q745" s="15" t="str">
        <f>VLOOKUP(A745,sinap!$A$2:$R$9000,12,FALSE)</f>
        <v>11.1.01.0893</v>
      </c>
      <c r="R745" s="15" t="str">
        <f>VLOOKUP(A745,sinap!$A$2:$R$9000,16,FALSE)</f>
        <v>11.1.01.0893</v>
      </c>
      <c r="S745" s="15" t="str">
        <f>VLOOKUP(A745,sinap!$A$2:$Y$9000,20,FALSE)</f>
        <v>SI</v>
      </c>
    </row>
    <row r="746" spans="1:19" hidden="1" x14ac:dyDescent="0.25">
      <c r="A746" s="15">
        <v>16705368</v>
      </c>
      <c r="H746" s="16">
        <v>45648</v>
      </c>
      <c r="I746" s="16">
        <v>45671</v>
      </c>
      <c r="J746" s="15" t="str">
        <f>VLOOKUP(A746,sinap!$A$2:$R$9000,2,FALSE)</f>
        <v>H</v>
      </c>
      <c r="K746" s="15" t="str">
        <f>VLOOKUP(A746,sinap!$A$2:$R$9000,3,FALSE)</f>
        <v>VACA</v>
      </c>
      <c r="L746" s="15" t="str">
        <f>VLOOKUP(A746,sinap!$A$2:$R$9000,4,FALSE)</f>
        <v>ANGUS NEGRO</v>
      </c>
      <c r="M746" s="15" t="str">
        <f>VLOOKUP(A746,sinap!$A$2:$R$9000,5,FALSE)</f>
        <v>6 años 2 meses</v>
      </c>
      <c r="N746" s="15" t="str">
        <f>VLOOKUP(A746,sinap!$A$2:$R$9000,6,FALSE)</f>
        <v>20-10-2019</v>
      </c>
      <c r="O746" s="15" t="str">
        <f>VLOOKUP(A746,sinap!$A$2:$R$9000,7,FALSE)</f>
        <v>Vivo</v>
      </c>
      <c r="P746" s="15" t="str">
        <f>VLOOKUP(A746,sinap!$A$2:$R$9000,8,FALSE)</f>
        <v>11.1.01.1241</v>
      </c>
      <c r="Q746" s="15" t="str">
        <f>VLOOKUP(A746,sinap!$A$2:$R$9000,12,FALSE)</f>
        <v>11.2.01.0038</v>
      </c>
      <c r="R746" s="15" t="str">
        <f>VLOOKUP(A746,sinap!$A$2:$R$9000,16,FALSE)</f>
        <v>11.1.01.0893</v>
      </c>
      <c r="S746" s="15" t="str">
        <f>VLOOKUP(A746,sinap!$A$2:$Y$9000,20,FALSE)</f>
        <v>SI</v>
      </c>
    </row>
    <row r="747" spans="1:19" hidden="1" x14ac:dyDescent="0.25">
      <c r="A747" s="15">
        <v>16705370</v>
      </c>
      <c r="H747" s="16">
        <v>45297</v>
      </c>
      <c r="J747" s="15" t="str">
        <f>VLOOKUP(A747,sinap!$A$2:$R$9000,2,FALSE)</f>
        <v>H</v>
      </c>
      <c r="K747" s="15" t="str">
        <f>VLOOKUP(A747,sinap!$A$2:$R$9000,3,FALSE)</f>
        <v>VACA</v>
      </c>
      <c r="L747" s="15" t="str">
        <f>VLOOKUP(A747,sinap!$A$2:$R$9000,4,FALSE)</f>
        <v>ANGUS NEGRO</v>
      </c>
      <c r="M747" s="15" t="str">
        <f>VLOOKUP(A747,sinap!$A$2:$R$9000,5,FALSE)</f>
        <v>6 años 3 meses</v>
      </c>
      <c r="N747" s="15" t="str">
        <f>VLOOKUP(A747,sinap!$A$2:$R$9000,6,FALSE)</f>
        <v>30-09-2019</v>
      </c>
      <c r="O747" s="15" t="str">
        <f>VLOOKUP(A747,sinap!$A$2:$R$9000,7,FALSE)</f>
        <v>Vivo</v>
      </c>
      <c r="P747" s="15" t="str">
        <f>VLOOKUP(A747,sinap!$A$2:$R$9000,8,FALSE)</f>
        <v>11.2.01.0038</v>
      </c>
      <c r="Q747" s="15" t="str">
        <f>VLOOKUP(A747,sinap!$A$2:$R$9000,12,FALSE)</f>
        <v>11.1.01.0893</v>
      </c>
      <c r="R747" s="15" t="str">
        <f>VLOOKUP(A747,sinap!$A$2:$R$9000,16,FALSE)</f>
        <v>11.1.01.0893</v>
      </c>
      <c r="S747" s="15" t="str">
        <f>VLOOKUP(A747,sinap!$A$2:$Y$9000,20,FALSE)</f>
        <v>SI</v>
      </c>
    </row>
    <row r="748" spans="1:19" hidden="1" x14ac:dyDescent="0.25">
      <c r="A748" s="15">
        <v>16705386</v>
      </c>
      <c r="J748" s="15" t="str">
        <f>VLOOKUP(A748,sinap!$A$2:$R$9000,2,FALSE)</f>
        <v>M</v>
      </c>
      <c r="K748" s="15" t="str">
        <f>VLOOKUP(A748,sinap!$A$2:$R$9000,3,FALSE)</f>
        <v>TORO</v>
      </c>
      <c r="L748" s="15" t="str">
        <f>VLOOKUP(A748,sinap!$A$2:$R$9000,4,FALSE)</f>
        <v>HEREFORD</v>
      </c>
      <c r="M748" s="15" t="str">
        <f>VLOOKUP(A748,sinap!$A$2:$R$9000,5,FALSE)</f>
        <v>6 años 3 meses</v>
      </c>
      <c r="N748" s="15" t="str">
        <f>VLOOKUP(A748,sinap!$A$2:$R$9000,6,FALSE)</f>
        <v>20-09-2019</v>
      </c>
      <c r="O748" s="15" t="str">
        <f>VLOOKUP(A748,sinap!$A$2:$R$9000,7,FALSE)</f>
        <v>Vivo</v>
      </c>
      <c r="P748" s="15" t="str">
        <f>VLOOKUP(A748,sinap!$A$2:$R$9000,8,FALSE)</f>
        <v>11.1.01.0791</v>
      </c>
      <c r="Q748" s="15" t="str">
        <f>VLOOKUP(A748,sinap!$A$2:$R$9000,12,FALSE)</f>
        <v>11.1.01.0893</v>
      </c>
      <c r="R748" s="15" t="str">
        <f>VLOOKUP(A748,sinap!$A$2:$R$9000,16,FALSE)</f>
        <v>11.1.01.0893</v>
      </c>
      <c r="S748" s="15" t="str">
        <f>VLOOKUP(A748,sinap!$A$2:$Y$9000,20,FALSE)</f>
        <v>SI</v>
      </c>
    </row>
    <row r="749" spans="1:19" hidden="1" x14ac:dyDescent="0.25">
      <c r="A749" s="15">
        <v>16705396</v>
      </c>
      <c r="H749" s="16">
        <v>45648</v>
      </c>
      <c r="I749" s="16">
        <v>45966</v>
      </c>
      <c r="J749" s="15" t="str">
        <f>VLOOKUP(A749,sinap!$A$2:$R$9000,2,FALSE)</f>
        <v>H</v>
      </c>
      <c r="K749" s="15" t="str">
        <f>VLOOKUP(A749,sinap!$A$2:$R$9000,3,FALSE)</f>
        <v>VACA</v>
      </c>
      <c r="L749" s="15" t="str">
        <f>VLOOKUP(A749,sinap!$A$2:$R$9000,4,FALSE)</f>
        <v>ANGUS NEGRO</v>
      </c>
      <c r="M749" s="15" t="str">
        <f>VLOOKUP(A749,sinap!$A$2:$R$9000,5,FALSE)</f>
        <v>6 años 2 meses</v>
      </c>
      <c r="N749" s="15" t="str">
        <f>VLOOKUP(A749,sinap!$A$2:$R$9000,6,FALSE)</f>
        <v>20-10-2019</v>
      </c>
      <c r="O749" s="15" t="str">
        <f>VLOOKUP(A749,sinap!$A$2:$R$9000,7,FALSE)</f>
        <v>Vivo</v>
      </c>
      <c r="P749" s="15" t="str">
        <f>VLOOKUP(A749,sinap!$A$2:$R$9000,8,FALSE)</f>
        <v>11.1.01.2442</v>
      </c>
      <c r="Q749" s="15" t="str">
        <f>VLOOKUP(A749,sinap!$A$2:$R$9000,12,FALSE)</f>
        <v>11.1.01.0190</v>
      </c>
      <c r="R749" s="15" t="str">
        <f>VLOOKUP(A749,sinap!$A$2:$R$9000,16,FALSE)</f>
        <v>11.1.01.0893</v>
      </c>
      <c r="S749" s="15" t="str">
        <f>VLOOKUP(A749,sinap!$A$2:$Y$9000,20,FALSE)</f>
        <v>SI</v>
      </c>
    </row>
    <row r="750" spans="1:19" hidden="1" x14ac:dyDescent="0.25">
      <c r="A750" s="15">
        <v>16705400</v>
      </c>
      <c r="J750" s="15" t="str">
        <f>VLOOKUP(A750,sinap!$A$2:$R$9000,2,FALSE)</f>
        <v>H</v>
      </c>
      <c r="K750" s="15" t="str">
        <f>VLOOKUP(A750,sinap!$A$2:$R$9000,3,FALSE)</f>
        <v>VACA</v>
      </c>
      <c r="L750" s="15" t="str">
        <f>VLOOKUP(A750,sinap!$A$2:$R$9000,4,FALSE)</f>
        <v>ANGUS NEGRO</v>
      </c>
      <c r="M750" s="15" t="str">
        <f>VLOOKUP(A750,sinap!$A$2:$R$9000,5,FALSE)</f>
        <v>6 años 3 meses</v>
      </c>
      <c r="N750" s="15" t="str">
        <f>VLOOKUP(A750,sinap!$A$2:$R$9000,6,FALSE)</f>
        <v>30-09-2019</v>
      </c>
      <c r="O750" s="15" t="str">
        <f>VLOOKUP(A750,sinap!$A$2:$R$9000,7,FALSE)</f>
        <v>Vivo</v>
      </c>
      <c r="P750" s="15" t="str">
        <f>VLOOKUP(A750,sinap!$A$2:$R$9000,8,FALSE)</f>
        <v>11.1.01.0791</v>
      </c>
      <c r="Q750" s="15" t="str">
        <f>VLOOKUP(A750,sinap!$A$2:$R$9000,12,FALSE)</f>
        <v>11.1.01.0893</v>
      </c>
      <c r="R750" s="15" t="str">
        <f>VLOOKUP(A750,sinap!$A$2:$R$9000,16,FALSE)</f>
        <v>11.1.01.0893</v>
      </c>
      <c r="S750" s="15" t="str">
        <f>VLOOKUP(A750,sinap!$A$2:$Y$9000,20,FALSE)</f>
        <v>SI</v>
      </c>
    </row>
    <row r="751" spans="1:19" s="16" customFormat="1" hidden="1" x14ac:dyDescent="0.25">
      <c r="A751" s="15">
        <v>16705401</v>
      </c>
      <c r="B751" s="15"/>
      <c r="C751" s="15"/>
      <c r="J751" s="15" t="str">
        <f>VLOOKUP(A751,sinap!$A$2:$R$9000,2,FALSE)</f>
        <v>H</v>
      </c>
      <c r="K751" s="15" t="str">
        <f>VLOOKUP(A751,sinap!$A$2:$R$9000,3,FALSE)</f>
        <v>VACA</v>
      </c>
      <c r="L751" s="15" t="str">
        <f>VLOOKUP(A751,sinap!$A$2:$R$9000,4,FALSE)</f>
        <v>ANGUS NEGRO</v>
      </c>
      <c r="M751" s="15" t="str">
        <f>VLOOKUP(A751,sinap!$A$2:$R$9000,5,FALSE)</f>
        <v>6 años 3 meses</v>
      </c>
      <c r="N751" s="15" t="str">
        <f>VLOOKUP(A751,sinap!$A$2:$R$9000,6,FALSE)</f>
        <v>30-09-2019</v>
      </c>
      <c r="O751" s="15" t="str">
        <f>VLOOKUP(A751,sinap!$A$2:$R$9000,7,FALSE)</f>
        <v>Vivo</v>
      </c>
      <c r="P751" s="15" t="str">
        <f>VLOOKUP(A751,sinap!$A$2:$R$9000,8,FALSE)</f>
        <v>11.1.01.0791</v>
      </c>
      <c r="Q751" s="15" t="str">
        <f>VLOOKUP(A751,sinap!$A$2:$R$9000,12,FALSE)</f>
        <v>11.1.01.0893</v>
      </c>
      <c r="R751" s="15" t="str">
        <f>VLOOKUP(A751,sinap!$A$2:$R$9000,16,FALSE)</f>
        <v>11.1.01.0893</v>
      </c>
      <c r="S751" s="15" t="str">
        <f>VLOOKUP(A751,sinap!$A$2:$Y$9000,20,FALSE)</f>
        <v>SI</v>
      </c>
    </row>
    <row r="752" spans="1:19" s="16" customFormat="1" hidden="1" x14ac:dyDescent="0.25">
      <c r="A752" s="15">
        <v>16705402</v>
      </c>
      <c r="B752" s="15"/>
      <c r="C752" s="15"/>
      <c r="H752" s="16">
        <v>45648</v>
      </c>
      <c r="I752" s="16">
        <v>45966</v>
      </c>
      <c r="J752" s="15" t="str">
        <f>VLOOKUP(A752,sinap!$A$2:$R$9000,2,FALSE)</f>
        <v>H</v>
      </c>
      <c r="K752" s="15" t="str">
        <f>VLOOKUP(A752,sinap!$A$2:$R$9000,3,FALSE)</f>
        <v>VACA</v>
      </c>
      <c r="L752" s="15" t="str">
        <f>VLOOKUP(A752,sinap!$A$2:$R$9000,4,FALSE)</f>
        <v>ANGUS NEGRO</v>
      </c>
      <c r="M752" s="15" t="str">
        <f>VLOOKUP(A752,sinap!$A$2:$R$9000,5,FALSE)</f>
        <v>6 años 3 meses</v>
      </c>
      <c r="N752" s="15" t="str">
        <f>VLOOKUP(A752,sinap!$A$2:$R$9000,6,FALSE)</f>
        <v>20-09-2019</v>
      </c>
      <c r="O752" s="15" t="str">
        <f>VLOOKUP(A752,sinap!$A$2:$R$9000,7,FALSE)</f>
        <v>Vivo</v>
      </c>
      <c r="P752" s="15" t="str">
        <f>VLOOKUP(A752,sinap!$A$2:$R$9000,8,FALSE)</f>
        <v>11.1.01.2442</v>
      </c>
      <c r="Q752" s="15" t="str">
        <f>VLOOKUP(A752,sinap!$A$2:$R$9000,12,FALSE)</f>
        <v>11.1.01.0190</v>
      </c>
      <c r="R752" s="15" t="str">
        <f>VLOOKUP(A752,sinap!$A$2:$R$9000,16,FALSE)</f>
        <v>11.1.01.0893</v>
      </c>
      <c r="S752" s="15" t="str">
        <f>VLOOKUP(A752,sinap!$A$2:$Y$9000,20,FALSE)</f>
        <v>SI</v>
      </c>
    </row>
    <row r="753" spans="1:19" s="16" customFormat="1" hidden="1" x14ac:dyDescent="0.25">
      <c r="A753" s="15">
        <v>16705403</v>
      </c>
      <c r="B753" s="15"/>
      <c r="C753" s="15"/>
      <c r="J753" s="15" t="str">
        <f>VLOOKUP(A753,sinap!$A$2:$R$9000,2,FALSE)</f>
        <v>H</v>
      </c>
      <c r="K753" s="15" t="str">
        <f>VLOOKUP(A753,sinap!$A$2:$R$9000,3,FALSE)</f>
        <v>VACA</v>
      </c>
      <c r="L753" s="15" t="str">
        <f>VLOOKUP(A753,sinap!$A$2:$R$9000,4,FALSE)</f>
        <v>ANGUS NEGRO</v>
      </c>
      <c r="M753" s="15" t="str">
        <f>VLOOKUP(A753,sinap!$A$2:$R$9000,5,FALSE)</f>
        <v>6 años 3 meses</v>
      </c>
      <c r="N753" s="15" t="str">
        <f>VLOOKUP(A753,sinap!$A$2:$R$9000,6,FALSE)</f>
        <v>30-09-2019</v>
      </c>
      <c r="O753" s="15" t="str">
        <f>VLOOKUP(A753,sinap!$A$2:$R$9000,7,FALSE)</f>
        <v>Vivo</v>
      </c>
      <c r="P753" s="15" t="str">
        <f>VLOOKUP(A753,sinap!$A$2:$R$9000,8,FALSE)</f>
        <v>11.1.01.0791</v>
      </c>
      <c r="Q753" s="15" t="str">
        <f>VLOOKUP(A753,sinap!$A$2:$R$9000,12,FALSE)</f>
        <v>11.1.01.0893</v>
      </c>
      <c r="R753" s="15" t="str">
        <f>VLOOKUP(A753,sinap!$A$2:$R$9000,16,FALSE)</f>
        <v>11.1.01.0893</v>
      </c>
      <c r="S753" s="15" t="str">
        <f>VLOOKUP(A753,sinap!$A$2:$Y$9000,20,FALSE)</f>
        <v>SI</v>
      </c>
    </row>
    <row r="754" spans="1:19" s="16" customFormat="1" hidden="1" x14ac:dyDescent="0.25">
      <c r="A754" s="15">
        <v>16705406</v>
      </c>
      <c r="B754" s="15"/>
      <c r="C754" s="15"/>
      <c r="J754" s="15" t="str">
        <f>VLOOKUP(A754,sinap!$A$2:$R$9000,2,FALSE)</f>
        <v>H</v>
      </c>
      <c r="K754" s="15" t="str">
        <f>VLOOKUP(A754,sinap!$A$2:$R$9000,3,FALSE)</f>
        <v>VACA</v>
      </c>
      <c r="L754" s="15" t="str">
        <f>VLOOKUP(A754,sinap!$A$2:$R$9000,4,FALSE)</f>
        <v>ANGUS NEGRO</v>
      </c>
      <c r="M754" s="15" t="str">
        <f>VLOOKUP(A754,sinap!$A$2:$R$9000,5,FALSE)</f>
        <v>6 años 3 meses</v>
      </c>
      <c r="N754" s="15" t="str">
        <f>VLOOKUP(A754,sinap!$A$2:$R$9000,6,FALSE)</f>
        <v>20-09-2019</v>
      </c>
      <c r="O754" s="15" t="str">
        <f>VLOOKUP(A754,sinap!$A$2:$R$9000,7,FALSE)</f>
        <v>Vivo</v>
      </c>
      <c r="P754" s="15" t="str">
        <f>VLOOKUP(A754,sinap!$A$2:$R$9000,8,FALSE)</f>
        <v>11.2.01.0038</v>
      </c>
      <c r="Q754" s="15" t="str">
        <f>VLOOKUP(A754,sinap!$A$2:$R$9000,12,FALSE)</f>
        <v>11.1.01.0893</v>
      </c>
      <c r="R754" s="15" t="str">
        <f>VLOOKUP(A754,sinap!$A$2:$R$9000,16,FALSE)</f>
        <v>11.1.01.0893</v>
      </c>
      <c r="S754" s="15" t="str">
        <f>VLOOKUP(A754,sinap!$A$2:$Y$9000,20,FALSE)</f>
        <v>SI</v>
      </c>
    </row>
    <row r="755" spans="1:19" s="16" customFormat="1" hidden="1" x14ac:dyDescent="0.25">
      <c r="A755" s="15">
        <v>16705410</v>
      </c>
      <c r="B755" s="15"/>
      <c r="C755" s="15"/>
      <c r="H755" s="16">
        <v>45297</v>
      </c>
      <c r="J755" s="15" t="str">
        <f>VLOOKUP(A755,sinap!$A$2:$R$9000,2,FALSE)</f>
        <v>H</v>
      </c>
      <c r="K755" s="15" t="str">
        <f>VLOOKUP(A755,sinap!$A$2:$R$9000,3,FALSE)</f>
        <v>VACA</v>
      </c>
      <c r="L755" s="15" t="str">
        <f>VLOOKUP(A755,sinap!$A$2:$R$9000,4,FALSE)</f>
        <v>ANGUS NEGRO</v>
      </c>
      <c r="M755" s="15" t="str">
        <f>VLOOKUP(A755,sinap!$A$2:$R$9000,5,FALSE)</f>
        <v>6 años 3 meses</v>
      </c>
      <c r="N755" s="15" t="str">
        <f>VLOOKUP(A755,sinap!$A$2:$R$9000,6,FALSE)</f>
        <v>10-10-2019</v>
      </c>
      <c r="O755" s="15" t="str">
        <f>VLOOKUP(A755,sinap!$A$2:$R$9000,7,FALSE)</f>
        <v>Vivo</v>
      </c>
      <c r="P755" s="15" t="str">
        <f>VLOOKUP(A755,sinap!$A$2:$R$9000,8,FALSE)</f>
        <v>11.2.01.0038</v>
      </c>
      <c r="Q755" s="15" t="str">
        <f>VLOOKUP(A755,sinap!$A$2:$R$9000,12,FALSE)</f>
        <v>11.1.01.0893</v>
      </c>
      <c r="R755" s="15" t="str">
        <f>VLOOKUP(A755,sinap!$A$2:$R$9000,16,FALSE)</f>
        <v>11.1.01.0893</v>
      </c>
      <c r="S755" s="15" t="str">
        <f>VLOOKUP(A755,sinap!$A$2:$Y$9000,20,FALSE)</f>
        <v>SI</v>
      </c>
    </row>
    <row r="756" spans="1:19" s="16" customFormat="1" hidden="1" x14ac:dyDescent="0.25">
      <c r="A756" s="15">
        <v>16705414</v>
      </c>
      <c r="B756" s="15"/>
      <c r="C756" s="15"/>
      <c r="H756" s="16">
        <v>45648</v>
      </c>
      <c r="I756" s="16">
        <v>45965</v>
      </c>
      <c r="J756" s="15" t="str">
        <f>VLOOKUP(A756,sinap!$A$2:$R$9000,2,FALSE)</f>
        <v>H</v>
      </c>
      <c r="K756" s="15" t="str">
        <f>VLOOKUP(A756,sinap!$A$2:$R$9000,3,FALSE)</f>
        <v>VACA</v>
      </c>
      <c r="L756" s="15" t="str">
        <f>VLOOKUP(A756,sinap!$A$2:$R$9000,4,FALSE)</f>
        <v>ANGUS NEGRO</v>
      </c>
      <c r="M756" s="15" t="str">
        <f>VLOOKUP(A756,sinap!$A$2:$R$9000,5,FALSE)</f>
        <v>6 años 2 meses</v>
      </c>
      <c r="N756" s="15" t="str">
        <f>VLOOKUP(A756,sinap!$A$2:$R$9000,6,FALSE)</f>
        <v>30-10-2019</v>
      </c>
      <c r="O756" s="15" t="str">
        <f>VLOOKUP(A756,sinap!$A$2:$R$9000,7,FALSE)</f>
        <v>Vivo</v>
      </c>
      <c r="P756" s="15" t="str">
        <f>VLOOKUP(A756,sinap!$A$2:$R$9000,8,FALSE)</f>
        <v>11.1.01.1241</v>
      </c>
      <c r="Q756" s="15" t="str">
        <f>VLOOKUP(A756,sinap!$A$2:$R$9000,12,FALSE)</f>
        <v>11.2.01.0038</v>
      </c>
      <c r="R756" s="15" t="str">
        <f>VLOOKUP(A756,sinap!$A$2:$R$9000,16,FALSE)</f>
        <v>11.1.01.0893</v>
      </c>
      <c r="S756" s="15" t="str">
        <f>VLOOKUP(A756,sinap!$A$2:$Y$9000,20,FALSE)</f>
        <v>SI</v>
      </c>
    </row>
    <row r="757" spans="1:19" s="16" customFormat="1" hidden="1" x14ac:dyDescent="0.25">
      <c r="A757" s="15">
        <v>16705419</v>
      </c>
      <c r="B757" s="15"/>
      <c r="C757" s="15"/>
      <c r="H757" s="16">
        <v>45648</v>
      </c>
      <c r="I757" s="16">
        <v>45966</v>
      </c>
      <c r="J757" s="15" t="str">
        <f>VLOOKUP(A757,sinap!$A$2:$R$9000,2,FALSE)</f>
        <v>H</v>
      </c>
      <c r="K757" s="15" t="str">
        <f>VLOOKUP(A757,sinap!$A$2:$R$9000,3,FALSE)</f>
        <v>VACA</v>
      </c>
      <c r="L757" s="15" t="str">
        <f>VLOOKUP(A757,sinap!$A$2:$R$9000,4,FALSE)</f>
        <v>ANGUS NEGRO</v>
      </c>
      <c r="M757" s="15" t="str">
        <f>VLOOKUP(A757,sinap!$A$2:$R$9000,5,FALSE)</f>
        <v>6 años 3 meses</v>
      </c>
      <c r="N757" s="15" t="str">
        <f>VLOOKUP(A757,sinap!$A$2:$R$9000,6,FALSE)</f>
        <v>20-09-2019</v>
      </c>
      <c r="O757" s="15" t="str">
        <f>VLOOKUP(A757,sinap!$A$2:$R$9000,7,FALSE)</f>
        <v>Vivo</v>
      </c>
      <c r="P757" s="15" t="str">
        <f>VLOOKUP(A757,sinap!$A$2:$R$9000,8,FALSE)</f>
        <v>11.1.01.2442</v>
      </c>
      <c r="Q757" s="15" t="str">
        <f>VLOOKUP(A757,sinap!$A$2:$R$9000,12,FALSE)</f>
        <v>11.1.01.0190</v>
      </c>
      <c r="R757" s="15" t="str">
        <f>VLOOKUP(A757,sinap!$A$2:$R$9000,16,FALSE)</f>
        <v>11.1.01.0893</v>
      </c>
      <c r="S757" s="15" t="str">
        <f>VLOOKUP(A757,sinap!$A$2:$Y$9000,20,FALSE)</f>
        <v>SI</v>
      </c>
    </row>
    <row r="758" spans="1:19" s="16" customFormat="1" hidden="1" x14ac:dyDescent="0.25">
      <c r="A758" s="15">
        <v>16705421</v>
      </c>
      <c r="B758" s="15"/>
      <c r="C758" s="15"/>
      <c r="J758" s="15" t="str">
        <f>VLOOKUP(A758,sinap!$A$2:$R$9000,2,FALSE)</f>
        <v>H</v>
      </c>
      <c r="K758" s="15" t="str">
        <f>VLOOKUP(A758,sinap!$A$2:$R$9000,3,FALSE)</f>
        <v>VACA</v>
      </c>
      <c r="L758" s="15" t="str">
        <f>VLOOKUP(A758,sinap!$A$2:$R$9000,4,FALSE)</f>
        <v>ANGUS NEGRO</v>
      </c>
      <c r="M758" s="15" t="str">
        <f>VLOOKUP(A758,sinap!$A$2:$R$9000,5,FALSE)</f>
        <v>6 años 3 meses</v>
      </c>
      <c r="N758" s="15" t="str">
        <f>VLOOKUP(A758,sinap!$A$2:$R$9000,6,FALSE)</f>
        <v>30-09-2019</v>
      </c>
      <c r="O758" s="15" t="str">
        <f>VLOOKUP(A758,sinap!$A$2:$R$9000,7,FALSE)</f>
        <v>Vivo</v>
      </c>
      <c r="P758" s="15" t="str">
        <f>VLOOKUP(A758,sinap!$A$2:$R$9000,8,FALSE)</f>
        <v>11.1.01.1241</v>
      </c>
      <c r="Q758" s="15" t="str">
        <f>VLOOKUP(A758,sinap!$A$2:$R$9000,12,FALSE)</f>
        <v>11.1.01.0791</v>
      </c>
      <c r="R758" s="15" t="str">
        <f>VLOOKUP(A758,sinap!$A$2:$R$9000,16,FALSE)</f>
        <v>11.1.01.0893</v>
      </c>
      <c r="S758" s="15" t="str">
        <f>VLOOKUP(A758,sinap!$A$2:$Y$9000,20,FALSE)</f>
        <v>SI</v>
      </c>
    </row>
    <row r="759" spans="1:19" s="16" customFormat="1" hidden="1" x14ac:dyDescent="0.25">
      <c r="A759" s="15">
        <v>16705422</v>
      </c>
      <c r="B759" s="15"/>
      <c r="C759" s="15"/>
      <c r="H759" s="16">
        <v>45297</v>
      </c>
      <c r="J759" s="15" t="str">
        <f>VLOOKUP(A759,sinap!$A$2:$R$9000,2,FALSE)</f>
        <v>H</v>
      </c>
      <c r="K759" s="15" t="str">
        <f>VLOOKUP(A759,sinap!$A$2:$R$9000,3,FALSE)</f>
        <v>VACA</v>
      </c>
      <c r="L759" s="15" t="str">
        <f>VLOOKUP(A759,sinap!$A$2:$R$9000,4,FALSE)</f>
        <v>ANGUS NEGRO</v>
      </c>
      <c r="M759" s="15" t="str">
        <f>VLOOKUP(A759,sinap!$A$2:$R$9000,5,FALSE)</f>
        <v>6 años 3 meses</v>
      </c>
      <c r="N759" s="15" t="str">
        <f>VLOOKUP(A759,sinap!$A$2:$R$9000,6,FALSE)</f>
        <v>30-09-2019</v>
      </c>
      <c r="O759" s="15" t="str">
        <f>VLOOKUP(A759,sinap!$A$2:$R$9000,7,FALSE)</f>
        <v>Vivo</v>
      </c>
      <c r="P759" s="15" t="str">
        <f>VLOOKUP(A759,sinap!$A$2:$R$9000,8,FALSE)</f>
        <v>11.2.01.0038</v>
      </c>
      <c r="Q759" s="15" t="str">
        <f>VLOOKUP(A759,sinap!$A$2:$R$9000,12,FALSE)</f>
        <v>11.1.01.0893</v>
      </c>
      <c r="R759" s="15" t="str">
        <f>VLOOKUP(A759,sinap!$A$2:$R$9000,16,FALSE)</f>
        <v>11.1.01.0893</v>
      </c>
      <c r="S759" s="15" t="str">
        <f>VLOOKUP(A759,sinap!$A$2:$Y$9000,20,FALSE)</f>
        <v>SI</v>
      </c>
    </row>
    <row r="760" spans="1:19" s="16" customFormat="1" hidden="1" x14ac:dyDescent="0.25">
      <c r="A760" s="15">
        <v>16705429</v>
      </c>
      <c r="B760" s="15"/>
      <c r="C760" s="15"/>
      <c r="J760" s="15" t="str">
        <f>VLOOKUP(A760,sinap!$A$2:$R$9000,2,FALSE)</f>
        <v>H</v>
      </c>
      <c r="K760" s="15" t="str">
        <f>VLOOKUP(A760,sinap!$A$2:$R$9000,3,FALSE)</f>
        <v>VACA</v>
      </c>
      <c r="L760" s="15" t="str">
        <f>VLOOKUP(A760,sinap!$A$2:$R$9000,4,FALSE)</f>
        <v>ANGUS NEGRO</v>
      </c>
      <c r="M760" s="15" t="str">
        <f>VLOOKUP(A760,sinap!$A$2:$R$9000,5,FALSE)</f>
        <v>6 años 3 meses</v>
      </c>
      <c r="N760" s="15" t="str">
        <f>VLOOKUP(A760,sinap!$A$2:$R$9000,6,FALSE)</f>
        <v>20-09-2019</v>
      </c>
      <c r="O760" s="15" t="str">
        <f>VLOOKUP(A760,sinap!$A$2:$R$9000,7,FALSE)</f>
        <v>Vivo</v>
      </c>
      <c r="P760" s="15" t="str">
        <f>VLOOKUP(A760,sinap!$A$2:$R$9000,8,FALSE)</f>
        <v>11.1.01.2442</v>
      </c>
      <c r="Q760" s="15" t="str">
        <f>VLOOKUP(A760,sinap!$A$2:$R$9000,12,FALSE)</f>
        <v>11.1.01.1241</v>
      </c>
      <c r="R760" s="15" t="str">
        <f>VLOOKUP(A760,sinap!$A$2:$R$9000,16,FALSE)</f>
        <v>11.1.01.0893</v>
      </c>
      <c r="S760" s="15" t="str">
        <f>VLOOKUP(A760,sinap!$A$2:$Y$9000,20,FALSE)</f>
        <v>SI</v>
      </c>
    </row>
    <row r="761" spans="1:19" s="16" customFormat="1" hidden="1" x14ac:dyDescent="0.25">
      <c r="A761" s="15">
        <v>16705435</v>
      </c>
      <c r="B761" s="15"/>
      <c r="C761" s="15"/>
      <c r="J761" s="15" t="str">
        <f>VLOOKUP(A761,sinap!$A$2:$R$9000,2,FALSE)</f>
        <v>H</v>
      </c>
      <c r="K761" s="15" t="str">
        <f>VLOOKUP(A761,sinap!$A$2:$R$9000,3,FALSE)</f>
        <v>VACA</v>
      </c>
      <c r="L761" s="15" t="str">
        <f>VLOOKUP(A761,sinap!$A$2:$R$9000,4,FALSE)</f>
        <v>ANGUS NEGRO</v>
      </c>
      <c r="M761" s="15" t="str">
        <f>VLOOKUP(A761,sinap!$A$2:$R$9000,5,FALSE)</f>
        <v>6 años 4 meses</v>
      </c>
      <c r="N761" s="15" t="str">
        <f>VLOOKUP(A761,sinap!$A$2:$R$9000,6,FALSE)</f>
        <v>15-09-2019</v>
      </c>
      <c r="O761" s="15" t="str">
        <f>VLOOKUP(A761,sinap!$A$2:$R$9000,7,FALSE)</f>
        <v>Vivo</v>
      </c>
      <c r="P761" s="15" t="str">
        <f>VLOOKUP(A761,sinap!$A$2:$R$9000,8,FALSE)</f>
        <v>11.1.01.0791</v>
      </c>
      <c r="Q761" s="15" t="str">
        <f>VLOOKUP(A761,sinap!$A$2:$R$9000,12,FALSE)</f>
        <v>11.1.01.0893</v>
      </c>
      <c r="R761" s="15" t="str">
        <f>VLOOKUP(A761,sinap!$A$2:$R$9000,16,FALSE)</f>
        <v>11.1.01.0893</v>
      </c>
      <c r="S761" s="15" t="str">
        <f>VLOOKUP(A761,sinap!$A$2:$Y$9000,20,FALSE)</f>
        <v>SI</v>
      </c>
    </row>
    <row r="762" spans="1:19" s="16" customFormat="1" hidden="1" x14ac:dyDescent="0.25">
      <c r="A762" s="15">
        <v>16705448</v>
      </c>
      <c r="B762" s="15"/>
      <c r="C762" s="15"/>
      <c r="J762" s="15" t="str">
        <f>VLOOKUP(A762,sinap!$A$2:$R$9000,2,FALSE)</f>
        <v>H</v>
      </c>
      <c r="K762" s="15" t="str">
        <f>VLOOKUP(A762,sinap!$A$2:$R$9000,3,FALSE)</f>
        <v>VACA</v>
      </c>
      <c r="L762" s="15" t="str">
        <f>VLOOKUP(A762,sinap!$A$2:$R$9000,4,FALSE)</f>
        <v>ANGUS NEGRO</v>
      </c>
      <c r="M762" s="15" t="str">
        <f>VLOOKUP(A762,sinap!$A$2:$R$9000,5,FALSE)</f>
        <v>6 años 3 meses</v>
      </c>
      <c r="N762" s="15" t="str">
        <f>VLOOKUP(A762,sinap!$A$2:$R$9000,6,FALSE)</f>
        <v>30-09-2019</v>
      </c>
      <c r="O762" s="15" t="str">
        <f>VLOOKUP(A762,sinap!$A$2:$R$9000,7,FALSE)</f>
        <v>Vivo</v>
      </c>
      <c r="P762" s="15" t="str">
        <f>VLOOKUP(A762,sinap!$A$2:$R$9000,8,FALSE)</f>
        <v>11.2.01.0038</v>
      </c>
      <c r="Q762" s="15" t="str">
        <f>VLOOKUP(A762,sinap!$A$2:$R$9000,12,FALSE)</f>
        <v>11.1.01.0893</v>
      </c>
      <c r="R762" s="15" t="str">
        <f>VLOOKUP(A762,sinap!$A$2:$R$9000,16,FALSE)</f>
        <v>11.1.01.0893</v>
      </c>
      <c r="S762" s="15" t="str">
        <f>VLOOKUP(A762,sinap!$A$2:$Y$9000,20,FALSE)</f>
        <v>SI</v>
      </c>
    </row>
    <row r="763" spans="1:19" s="16" customFormat="1" hidden="1" x14ac:dyDescent="0.25">
      <c r="A763" s="15">
        <v>16705449</v>
      </c>
      <c r="B763" s="15"/>
      <c r="C763" s="15"/>
      <c r="H763" s="16">
        <v>45297</v>
      </c>
      <c r="J763" s="15" t="str">
        <f>VLOOKUP(A763,sinap!$A$2:$R$9000,2,FALSE)</f>
        <v>H</v>
      </c>
      <c r="K763" s="15" t="str">
        <f>VLOOKUP(A763,sinap!$A$2:$R$9000,3,FALSE)</f>
        <v>VACA</v>
      </c>
      <c r="L763" s="15" t="str">
        <f>VLOOKUP(A763,sinap!$A$2:$R$9000,4,FALSE)</f>
        <v>ANGUS NEGRO</v>
      </c>
      <c r="M763" s="15" t="str">
        <f>VLOOKUP(A763,sinap!$A$2:$R$9000,5,FALSE)</f>
        <v>6 años 3 meses</v>
      </c>
      <c r="N763" s="15" t="str">
        <f>VLOOKUP(A763,sinap!$A$2:$R$9000,6,FALSE)</f>
        <v>10-10-2019</v>
      </c>
      <c r="O763" s="15" t="str">
        <f>VLOOKUP(A763,sinap!$A$2:$R$9000,7,FALSE)</f>
        <v>Vivo</v>
      </c>
      <c r="P763" s="15" t="str">
        <f>VLOOKUP(A763,sinap!$A$2:$R$9000,8,FALSE)</f>
        <v>11.2.01.0038</v>
      </c>
      <c r="Q763" s="15" t="str">
        <f>VLOOKUP(A763,sinap!$A$2:$R$9000,12,FALSE)</f>
        <v>11.1.01.0893</v>
      </c>
      <c r="R763" s="15" t="str">
        <f>VLOOKUP(A763,sinap!$A$2:$R$9000,16,FALSE)</f>
        <v>11.1.01.0893</v>
      </c>
      <c r="S763" s="15" t="str">
        <f>VLOOKUP(A763,sinap!$A$2:$Y$9000,20,FALSE)</f>
        <v>SI</v>
      </c>
    </row>
    <row r="764" spans="1:19" s="16" customFormat="1" hidden="1" x14ac:dyDescent="0.25">
      <c r="A764" s="15">
        <v>16705450</v>
      </c>
      <c r="B764" s="15"/>
      <c r="C764" s="15"/>
      <c r="H764" s="16">
        <v>45648</v>
      </c>
      <c r="I764" s="16">
        <v>45966</v>
      </c>
      <c r="J764" s="15" t="str">
        <f>VLOOKUP(A764,sinap!$A$2:$R$9000,2,FALSE)</f>
        <v>H</v>
      </c>
      <c r="K764" s="15" t="str">
        <f>VLOOKUP(A764,sinap!$A$2:$R$9000,3,FALSE)</f>
        <v>VACA</v>
      </c>
      <c r="L764" s="15" t="str">
        <f>VLOOKUP(A764,sinap!$A$2:$R$9000,4,FALSE)</f>
        <v>ANGUS NEGRO</v>
      </c>
      <c r="M764" s="15" t="str">
        <f>VLOOKUP(A764,sinap!$A$2:$R$9000,5,FALSE)</f>
        <v>6 años 2 meses</v>
      </c>
      <c r="N764" s="15" t="str">
        <f>VLOOKUP(A764,sinap!$A$2:$R$9000,6,FALSE)</f>
        <v>30-10-2019</v>
      </c>
      <c r="O764" s="15" t="str">
        <f>VLOOKUP(A764,sinap!$A$2:$R$9000,7,FALSE)</f>
        <v>Vivo</v>
      </c>
      <c r="P764" s="15" t="str">
        <f>VLOOKUP(A764,sinap!$A$2:$R$9000,8,FALSE)</f>
        <v>11.1.01.2442</v>
      </c>
      <c r="Q764" s="15" t="str">
        <f>VLOOKUP(A764,sinap!$A$2:$R$9000,12,FALSE)</f>
        <v>11.1.01.0190</v>
      </c>
      <c r="R764" s="15" t="str">
        <f>VLOOKUP(A764,sinap!$A$2:$R$9000,16,FALSE)</f>
        <v>11.1.01.0893</v>
      </c>
      <c r="S764" s="15" t="str">
        <f>VLOOKUP(A764,sinap!$A$2:$Y$9000,20,FALSE)</f>
        <v>SI</v>
      </c>
    </row>
    <row r="765" spans="1:19" s="16" customFormat="1" hidden="1" x14ac:dyDescent="0.25">
      <c r="A765" s="15">
        <v>16705452</v>
      </c>
      <c r="B765" s="15"/>
      <c r="C765" s="15"/>
      <c r="J765" s="15" t="str">
        <f>VLOOKUP(A765,sinap!$A$2:$R$9000,2,FALSE)</f>
        <v>H</v>
      </c>
      <c r="K765" s="15" t="str">
        <f>VLOOKUP(A765,sinap!$A$2:$R$9000,3,FALSE)</f>
        <v>VACA</v>
      </c>
      <c r="L765" s="15" t="str">
        <f>VLOOKUP(A765,sinap!$A$2:$R$9000,4,FALSE)</f>
        <v>ANGUS NEGRO</v>
      </c>
      <c r="M765" s="15" t="str">
        <f>VLOOKUP(A765,sinap!$A$2:$R$9000,5,FALSE)</f>
        <v>6 años 2 meses</v>
      </c>
      <c r="N765" s="15" t="str">
        <f>VLOOKUP(A765,sinap!$A$2:$R$9000,6,FALSE)</f>
        <v>30-10-2019</v>
      </c>
      <c r="O765" s="15" t="str">
        <f>VLOOKUP(A765,sinap!$A$2:$R$9000,7,FALSE)</f>
        <v>Vivo</v>
      </c>
      <c r="P765" s="15" t="str">
        <f>VLOOKUP(A765,sinap!$A$2:$R$9000,8,FALSE)</f>
        <v>11.1.01.0791</v>
      </c>
      <c r="Q765" s="15" t="str">
        <f>VLOOKUP(A765,sinap!$A$2:$R$9000,12,FALSE)</f>
        <v>11.1.01.0893</v>
      </c>
      <c r="R765" s="15" t="str">
        <f>VLOOKUP(A765,sinap!$A$2:$R$9000,16,FALSE)</f>
        <v>11.1.01.0893</v>
      </c>
      <c r="S765" s="15" t="str">
        <f>VLOOKUP(A765,sinap!$A$2:$Y$9000,20,FALSE)</f>
        <v>SI</v>
      </c>
    </row>
    <row r="766" spans="1:19" s="16" customFormat="1" hidden="1" x14ac:dyDescent="0.25">
      <c r="A766" s="15">
        <v>16705457</v>
      </c>
      <c r="B766" s="15"/>
      <c r="C766" s="15"/>
      <c r="J766" s="15" t="str">
        <f>VLOOKUP(A766,sinap!$A$2:$R$9000,2,FALSE)</f>
        <v>H</v>
      </c>
      <c r="K766" s="15" t="str">
        <f>VLOOKUP(A766,sinap!$A$2:$R$9000,3,FALSE)</f>
        <v>VACA</v>
      </c>
      <c r="L766" s="15" t="str">
        <f>VLOOKUP(A766,sinap!$A$2:$R$9000,4,FALSE)</f>
        <v>ANGUS NEGRO</v>
      </c>
      <c r="M766" s="15" t="str">
        <f>VLOOKUP(A766,sinap!$A$2:$R$9000,5,FALSE)</f>
        <v>6 años 3 meses</v>
      </c>
      <c r="N766" s="15" t="str">
        <f>VLOOKUP(A766,sinap!$A$2:$R$9000,6,FALSE)</f>
        <v>15-10-2019</v>
      </c>
      <c r="O766" s="15" t="str">
        <f>VLOOKUP(A766,sinap!$A$2:$R$9000,7,FALSE)</f>
        <v>Vivo</v>
      </c>
      <c r="P766" s="15" t="str">
        <f>VLOOKUP(A766,sinap!$A$2:$R$9000,8,FALSE)</f>
        <v>11.2.01.0038</v>
      </c>
      <c r="Q766" s="15" t="str">
        <f>VLOOKUP(A766,sinap!$A$2:$R$9000,12,FALSE)</f>
        <v>11.1.01.0893</v>
      </c>
      <c r="R766" s="15" t="str">
        <f>VLOOKUP(A766,sinap!$A$2:$R$9000,16,FALSE)</f>
        <v>11.1.01.0893</v>
      </c>
      <c r="S766" s="15" t="str">
        <f>VLOOKUP(A766,sinap!$A$2:$Y$9000,20,FALSE)</f>
        <v>SI</v>
      </c>
    </row>
    <row r="767" spans="1:19" s="16" customFormat="1" hidden="1" x14ac:dyDescent="0.25">
      <c r="A767" s="15">
        <v>16705460</v>
      </c>
      <c r="B767" s="15"/>
      <c r="C767" s="15"/>
      <c r="H767" s="16">
        <v>45648</v>
      </c>
      <c r="I767" s="16">
        <v>45671</v>
      </c>
      <c r="J767" s="15" t="str">
        <f>VLOOKUP(A767,sinap!$A$2:$R$9000,2,FALSE)</f>
        <v>H</v>
      </c>
      <c r="K767" s="15" t="str">
        <f>VLOOKUP(A767,sinap!$A$2:$R$9000,3,FALSE)</f>
        <v>VACA</v>
      </c>
      <c r="L767" s="15" t="str">
        <f>VLOOKUP(A767,sinap!$A$2:$R$9000,4,FALSE)</f>
        <v>ANGUS NEGRO</v>
      </c>
      <c r="M767" s="15" t="str">
        <f>VLOOKUP(A767,sinap!$A$2:$R$9000,5,FALSE)</f>
        <v>6 años 3 meses</v>
      </c>
      <c r="N767" s="15" t="str">
        <f>VLOOKUP(A767,sinap!$A$2:$R$9000,6,FALSE)</f>
        <v>30-09-2019</v>
      </c>
      <c r="O767" s="15" t="str">
        <f>VLOOKUP(A767,sinap!$A$2:$R$9000,7,FALSE)</f>
        <v>Vivo</v>
      </c>
      <c r="P767" s="15" t="str">
        <f>VLOOKUP(A767,sinap!$A$2:$R$9000,8,FALSE)</f>
        <v>11.1.01.1241</v>
      </c>
      <c r="Q767" s="15" t="str">
        <f>VLOOKUP(A767,sinap!$A$2:$R$9000,12,FALSE)</f>
        <v>11.2.01.0038</v>
      </c>
      <c r="R767" s="15" t="str">
        <f>VLOOKUP(A767,sinap!$A$2:$R$9000,16,FALSE)</f>
        <v>11.1.01.0893</v>
      </c>
      <c r="S767" s="15" t="str">
        <f>VLOOKUP(A767,sinap!$A$2:$Y$9000,20,FALSE)</f>
        <v>SI</v>
      </c>
    </row>
    <row r="768" spans="1:19" s="16" customFormat="1" hidden="1" x14ac:dyDescent="0.25">
      <c r="A768" s="15">
        <v>16705470</v>
      </c>
      <c r="B768" s="15"/>
      <c r="C768" s="15"/>
      <c r="J768" s="15" t="str">
        <f>VLOOKUP(A768,sinap!$A$2:$R$9000,2,FALSE)</f>
        <v>H</v>
      </c>
      <c r="K768" s="15" t="str">
        <f>VLOOKUP(A768,sinap!$A$2:$R$9000,3,FALSE)</f>
        <v>VACA</v>
      </c>
      <c r="L768" s="15" t="str">
        <f>VLOOKUP(A768,sinap!$A$2:$R$9000,4,FALSE)</f>
        <v>ANGUS NEGRO</v>
      </c>
      <c r="M768" s="15" t="str">
        <f>VLOOKUP(A768,sinap!$A$2:$R$9000,5,FALSE)</f>
        <v>6 años 3 meses</v>
      </c>
      <c r="N768" s="15" t="str">
        <f>VLOOKUP(A768,sinap!$A$2:$R$9000,6,FALSE)</f>
        <v>20-09-2019</v>
      </c>
      <c r="O768" s="15" t="str">
        <f>VLOOKUP(A768,sinap!$A$2:$R$9000,7,FALSE)</f>
        <v>Vivo</v>
      </c>
      <c r="P768" s="15" t="str">
        <f>VLOOKUP(A768,sinap!$A$2:$R$9000,8,FALSE)</f>
        <v>11.1.01.0791</v>
      </c>
      <c r="Q768" s="15" t="str">
        <f>VLOOKUP(A768,sinap!$A$2:$R$9000,12,FALSE)</f>
        <v>11.1.01.0893</v>
      </c>
      <c r="R768" s="15" t="str">
        <f>VLOOKUP(A768,sinap!$A$2:$R$9000,16,FALSE)</f>
        <v>11.1.01.0893</v>
      </c>
      <c r="S768" s="15" t="str">
        <f>VLOOKUP(A768,sinap!$A$2:$Y$9000,20,FALSE)</f>
        <v>SI</v>
      </c>
    </row>
    <row r="769" spans="1:19" s="16" customFormat="1" hidden="1" x14ac:dyDescent="0.25">
      <c r="A769" s="15">
        <v>16705478</v>
      </c>
      <c r="B769" s="15"/>
      <c r="C769" s="15"/>
      <c r="J769" s="15" t="str">
        <f>VLOOKUP(A769,sinap!$A$2:$R$9000,2,FALSE)</f>
        <v>H</v>
      </c>
      <c r="K769" s="15" t="str">
        <f>VLOOKUP(A769,sinap!$A$2:$R$9000,3,FALSE)</f>
        <v>VACA</v>
      </c>
      <c r="L769" s="15" t="str">
        <f>VLOOKUP(A769,sinap!$A$2:$R$9000,4,FALSE)</f>
        <v>ANGUS NEGRO</v>
      </c>
      <c r="M769" s="15" t="str">
        <f>VLOOKUP(A769,sinap!$A$2:$R$9000,5,FALSE)</f>
        <v>6 años 2 meses</v>
      </c>
      <c r="N769" s="15" t="str">
        <f>VLOOKUP(A769,sinap!$A$2:$R$9000,6,FALSE)</f>
        <v>30-10-2019</v>
      </c>
      <c r="O769" s="15" t="str">
        <f>VLOOKUP(A769,sinap!$A$2:$R$9000,7,FALSE)</f>
        <v>Vivo</v>
      </c>
      <c r="P769" s="15" t="str">
        <f>VLOOKUP(A769,sinap!$A$2:$R$9000,8,FALSE)</f>
        <v>11.1.01.1241</v>
      </c>
      <c r="Q769" s="15" t="str">
        <f>VLOOKUP(A769,sinap!$A$2:$R$9000,12,FALSE)</f>
        <v>11.1.01.0791</v>
      </c>
      <c r="R769" s="15" t="str">
        <f>VLOOKUP(A769,sinap!$A$2:$R$9000,16,FALSE)</f>
        <v>11.1.01.0893</v>
      </c>
      <c r="S769" s="15" t="str">
        <f>VLOOKUP(A769,sinap!$A$2:$Y$9000,20,FALSE)</f>
        <v>SI</v>
      </c>
    </row>
    <row r="770" spans="1:19" s="16" customFormat="1" hidden="1" x14ac:dyDescent="0.25">
      <c r="A770" s="15">
        <v>16705486</v>
      </c>
      <c r="B770" s="15"/>
      <c r="C770" s="15"/>
      <c r="J770" s="15" t="str">
        <f>VLOOKUP(A770,sinap!$A$2:$R$9000,2,FALSE)</f>
        <v>H</v>
      </c>
      <c r="K770" s="15" t="str">
        <f>VLOOKUP(A770,sinap!$A$2:$R$9000,3,FALSE)</f>
        <v>VACA</v>
      </c>
      <c r="L770" s="15" t="str">
        <f>VLOOKUP(A770,sinap!$A$2:$R$9000,4,FALSE)</f>
        <v>ANGUS NEGRO</v>
      </c>
      <c r="M770" s="15" t="str">
        <f>VLOOKUP(A770,sinap!$A$2:$R$9000,5,FALSE)</f>
        <v>6 años 3 meses</v>
      </c>
      <c r="N770" s="15" t="str">
        <f>VLOOKUP(A770,sinap!$A$2:$R$9000,6,FALSE)</f>
        <v>20-09-2019</v>
      </c>
      <c r="O770" s="15" t="str">
        <f>VLOOKUP(A770,sinap!$A$2:$R$9000,7,FALSE)</f>
        <v>Vivo</v>
      </c>
      <c r="P770" s="15" t="str">
        <f>VLOOKUP(A770,sinap!$A$2:$R$9000,8,FALSE)</f>
        <v>11.1.01.0791</v>
      </c>
      <c r="Q770" s="15" t="str">
        <f>VLOOKUP(A770,sinap!$A$2:$R$9000,12,FALSE)</f>
        <v>11.1.01.0893</v>
      </c>
      <c r="R770" s="15" t="str">
        <f>VLOOKUP(A770,sinap!$A$2:$R$9000,16,FALSE)</f>
        <v>11.1.01.0893</v>
      </c>
      <c r="S770" s="15" t="str">
        <f>VLOOKUP(A770,sinap!$A$2:$Y$9000,20,FALSE)</f>
        <v>SI</v>
      </c>
    </row>
    <row r="771" spans="1:19" s="16" customFormat="1" hidden="1" x14ac:dyDescent="0.25">
      <c r="A771" s="15">
        <v>16705493</v>
      </c>
      <c r="B771" s="15"/>
      <c r="C771" s="15"/>
      <c r="J771" s="15" t="str">
        <f>VLOOKUP(A771,sinap!$A$2:$R$9000,2,FALSE)</f>
        <v>H</v>
      </c>
      <c r="K771" s="15" t="str">
        <f>VLOOKUP(A771,sinap!$A$2:$R$9000,3,FALSE)</f>
        <v>VACA</v>
      </c>
      <c r="L771" s="15" t="str">
        <f>VLOOKUP(A771,sinap!$A$2:$R$9000,4,FALSE)</f>
        <v>ANGUS NEGRO</v>
      </c>
      <c r="M771" s="15" t="str">
        <f>VLOOKUP(A771,sinap!$A$2:$R$9000,5,FALSE)</f>
        <v>6 años 3 meses</v>
      </c>
      <c r="N771" s="15" t="str">
        <f>VLOOKUP(A771,sinap!$A$2:$R$9000,6,FALSE)</f>
        <v>25-09-2019</v>
      </c>
      <c r="O771" s="15" t="str">
        <f>VLOOKUP(A771,sinap!$A$2:$R$9000,7,FALSE)</f>
        <v>Vivo</v>
      </c>
      <c r="P771" s="15" t="str">
        <f>VLOOKUP(A771,sinap!$A$2:$R$9000,8,FALSE)</f>
        <v>11.2.01.0038</v>
      </c>
      <c r="Q771" s="15" t="str">
        <f>VLOOKUP(A771,sinap!$A$2:$R$9000,12,FALSE)</f>
        <v>11.1.01.0893</v>
      </c>
      <c r="R771" s="15" t="str">
        <f>VLOOKUP(A771,sinap!$A$2:$R$9000,16,FALSE)</f>
        <v>11.1.01.0893</v>
      </c>
      <c r="S771" s="15" t="str">
        <f>VLOOKUP(A771,sinap!$A$2:$Y$9000,20,FALSE)</f>
        <v>SI</v>
      </c>
    </row>
    <row r="772" spans="1:19" s="16" customFormat="1" hidden="1" x14ac:dyDescent="0.25">
      <c r="A772" s="15">
        <v>16705495</v>
      </c>
      <c r="B772" s="15"/>
      <c r="C772" s="15"/>
      <c r="H772" s="16">
        <v>45648</v>
      </c>
      <c r="I772" s="16">
        <v>45671</v>
      </c>
      <c r="J772" s="15" t="str">
        <f>VLOOKUP(A772,sinap!$A$2:$R$9000,2,FALSE)</f>
        <v>H</v>
      </c>
      <c r="K772" s="15" t="str">
        <f>VLOOKUP(A772,sinap!$A$2:$R$9000,3,FALSE)</f>
        <v>VACA</v>
      </c>
      <c r="L772" s="15" t="str">
        <f>VLOOKUP(A772,sinap!$A$2:$R$9000,4,FALSE)</f>
        <v>ANGUS NEGRO</v>
      </c>
      <c r="M772" s="15" t="str">
        <f>VLOOKUP(A772,sinap!$A$2:$R$9000,5,FALSE)</f>
        <v>6 años 3 meses</v>
      </c>
      <c r="N772" s="15" t="str">
        <f>VLOOKUP(A772,sinap!$A$2:$R$9000,6,FALSE)</f>
        <v>30-09-2019</v>
      </c>
      <c r="O772" s="15" t="str">
        <f>VLOOKUP(A772,sinap!$A$2:$R$9000,7,FALSE)</f>
        <v>Vivo</v>
      </c>
      <c r="P772" s="15" t="str">
        <f>VLOOKUP(A772,sinap!$A$2:$R$9000,8,FALSE)</f>
        <v>11.1.01.1241</v>
      </c>
      <c r="Q772" s="15" t="str">
        <f>VLOOKUP(A772,sinap!$A$2:$R$9000,12,FALSE)</f>
        <v>11.2.01.0038</v>
      </c>
      <c r="R772" s="15" t="str">
        <f>VLOOKUP(A772,sinap!$A$2:$R$9000,16,FALSE)</f>
        <v>11.1.01.0893</v>
      </c>
      <c r="S772" s="15" t="str">
        <f>VLOOKUP(A772,sinap!$A$2:$Y$9000,20,FALSE)</f>
        <v>SI</v>
      </c>
    </row>
    <row r="773" spans="1:19" s="16" customFormat="1" hidden="1" x14ac:dyDescent="0.25">
      <c r="A773" s="15">
        <v>16705497</v>
      </c>
      <c r="B773" s="15"/>
      <c r="C773" s="15"/>
      <c r="H773" s="16">
        <v>45648</v>
      </c>
      <c r="I773" s="16">
        <v>45671</v>
      </c>
      <c r="J773" s="15" t="str">
        <f>VLOOKUP(A773,sinap!$A$2:$R$9000,2,FALSE)</f>
        <v>H</v>
      </c>
      <c r="K773" s="15" t="str">
        <f>VLOOKUP(A773,sinap!$A$2:$R$9000,3,FALSE)</f>
        <v>VACA</v>
      </c>
      <c r="L773" s="15" t="str">
        <f>VLOOKUP(A773,sinap!$A$2:$R$9000,4,FALSE)</f>
        <v>ANGUS NEGRO</v>
      </c>
      <c r="M773" s="15" t="str">
        <f>VLOOKUP(A773,sinap!$A$2:$R$9000,5,FALSE)</f>
        <v>6 años 3 meses</v>
      </c>
      <c r="N773" s="15" t="str">
        <f>VLOOKUP(A773,sinap!$A$2:$R$9000,6,FALSE)</f>
        <v>05-10-2019</v>
      </c>
      <c r="O773" s="15" t="str">
        <f>VLOOKUP(A773,sinap!$A$2:$R$9000,7,FALSE)</f>
        <v>Vivo</v>
      </c>
      <c r="P773" s="15" t="str">
        <f>VLOOKUP(A773,sinap!$A$2:$R$9000,8,FALSE)</f>
        <v>11.1.01.1241</v>
      </c>
      <c r="Q773" s="15" t="str">
        <f>VLOOKUP(A773,sinap!$A$2:$R$9000,12,FALSE)</f>
        <v>11.1.01.0791</v>
      </c>
      <c r="R773" s="15" t="str">
        <f>VLOOKUP(A773,sinap!$A$2:$R$9000,16,FALSE)</f>
        <v>11.1.01.0893</v>
      </c>
      <c r="S773" s="15" t="str">
        <f>VLOOKUP(A773,sinap!$A$2:$Y$9000,20,FALSE)</f>
        <v>SI</v>
      </c>
    </row>
    <row r="774" spans="1:19" s="16" customFormat="1" hidden="1" x14ac:dyDescent="0.25">
      <c r="A774" s="15">
        <v>16705508</v>
      </c>
      <c r="B774" s="15"/>
      <c r="C774" s="15"/>
      <c r="D774" s="16">
        <v>44133</v>
      </c>
      <c r="E774" s="16">
        <v>44504</v>
      </c>
      <c r="F774" s="16">
        <v>44883</v>
      </c>
      <c r="G774" s="16">
        <v>45090</v>
      </c>
      <c r="J774" s="15" t="str">
        <f>VLOOKUP(A774,sinap!$A$2:$R$9000,2,FALSE)</f>
        <v>H</v>
      </c>
      <c r="K774" s="15" t="str">
        <f>VLOOKUP(A774,sinap!$A$2:$R$9000,3,FALSE)</f>
        <v>VACA</v>
      </c>
      <c r="L774" s="15" t="str">
        <f>VLOOKUP(A774,sinap!$A$2:$R$9000,4,FALSE)</f>
        <v>ANGUS NEGRO</v>
      </c>
      <c r="M774" s="15" t="str">
        <f>VLOOKUP(A774,sinap!$A$2:$R$9000,5,FALSE)</f>
        <v>6 años 3 meses</v>
      </c>
      <c r="N774" s="15" t="str">
        <f>VLOOKUP(A774,sinap!$A$2:$R$9000,6,FALSE)</f>
        <v>30-09-2019</v>
      </c>
      <c r="O774" s="15" t="str">
        <f>VLOOKUP(A774,sinap!$A$2:$R$9000,7,FALSE)</f>
        <v>Vivo</v>
      </c>
      <c r="P774" s="15" t="str">
        <f>VLOOKUP(A774,sinap!$A$2:$R$9000,8,FALSE)</f>
        <v>11.1.01.1241</v>
      </c>
      <c r="Q774" s="15" t="str">
        <f>VLOOKUP(A774,sinap!$A$2:$R$9000,12,FALSE)</f>
        <v>11.1.01.0791</v>
      </c>
      <c r="R774" s="15" t="str">
        <f>VLOOKUP(A774,sinap!$A$2:$R$9000,16,FALSE)</f>
        <v>11.1.01.0893</v>
      </c>
      <c r="S774" s="15" t="str">
        <f>VLOOKUP(A774,sinap!$A$2:$Y$9000,20,FALSE)</f>
        <v>SI</v>
      </c>
    </row>
    <row r="775" spans="1:19" s="16" customFormat="1" hidden="1" x14ac:dyDescent="0.25">
      <c r="A775" s="15">
        <v>16705510</v>
      </c>
      <c r="B775" s="15"/>
      <c r="C775" s="15"/>
      <c r="J775" s="15" t="str">
        <f>VLOOKUP(A775,sinap!$A$2:$R$9000,2,FALSE)</f>
        <v>H</v>
      </c>
      <c r="K775" s="15" t="str">
        <f>VLOOKUP(A775,sinap!$A$2:$R$9000,3,FALSE)</f>
        <v>VACA</v>
      </c>
      <c r="L775" s="15" t="str">
        <f>VLOOKUP(A775,sinap!$A$2:$R$9000,4,FALSE)</f>
        <v>ANGUS NEGRO</v>
      </c>
      <c r="M775" s="15" t="str">
        <f>VLOOKUP(A775,sinap!$A$2:$R$9000,5,FALSE)</f>
        <v>6 años 3 meses</v>
      </c>
      <c r="N775" s="15" t="str">
        <f>VLOOKUP(A775,sinap!$A$2:$R$9000,6,FALSE)</f>
        <v>30-09-2019</v>
      </c>
      <c r="O775" s="15" t="str">
        <f>VLOOKUP(A775,sinap!$A$2:$R$9000,7,FALSE)</f>
        <v>Vivo</v>
      </c>
      <c r="P775" s="15" t="str">
        <f>VLOOKUP(A775,sinap!$A$2:$R$9000,8,FALSE)</f>
        <v>11.1.01.0791</v>
      </c>
      <c r="Q775" s="15" t="str">
        <f>VLOOKUP(A775,sinap!$A$2:$R$9000,12,FALSE)</f>
        <v>11.1.01.0893</v>
      </c>
      <c r="R775" s="15" t="str">
        <f>VLOOKUP(A775,sinap!$A$2:$R$9000,16,FALSE)</f>
        <v>11.1.01.0893</v>
      </c>
      <c r="S775" s="15" t="str">
        <f>VLOOKUP(A775,sinap!$A$2:$Y$9000,20,FALSE)</f>
        <v>SI</v>
      </c>
    </row>
    <row r="776" spans="1:19" s="16" customFormat="1" hidden="1" x14ac:dyDescent="0.25">
      <c r="A776" s="15">
        <v>16705511</v>
      </c>
      <c r="B776" s="15"/>
      <c r="C776" s="15"/>
      <c r="D776" s="16">
        <v>44134</v>
      </c>
      <c r="E776" s="16">
        <v>44350</v>
      </c>
      <c r="F776" s="16">
        <v>44868</v>
      </c>
      <c r="G776" s="16">
        <v>45254</v>
      </c>
      <c r="H776" s="16">
        <v>45297</v>
      </c>
      <c r="J776" s="15" t="str">
        <f>VLOOKUP(A776,sinap!$A$2:$R$9000,2,FALSE)</f>
        <v>H</v>
      </c>
      <c r="K776" s="15" t="str">
        <f>VLOOKUP(A776,sinap!$A$2:$R$9000,3,FALSE)</f>
        <v>VACA</v>
      </c>
      <c r="L776" s="15" t="str">
        <f>VLOOKUP(A776,sinap!$A$2:$R$9000,4,FALSE)</f>
        <v>ANGUS NEGRO</v>
      </c>
      <c r="M776" s="15" t="str">
        <f>VLOOKUP(A776,sinap!$A$2:$R$9000,5,FALSE)</f>
        <v>6 años 3 meses</v>
      </c>
      <c r="N776" s="15" t="str">
        <f>VLOOKUP(A776,sinap!$A$2:$R$9000,6,FALSE)</f>
        <v>05-10-2019</v>
      </c>
      <c r="O776" s="15" t="str">
        <f>VLOOKUP(A776,sinap!$A$2:$R$9000,7,FALSE)</f>
        <v>Vivo</v>
      </c>
      <c r="P776" s="15" t="str">
        <f>VLOOKUP(A776,sinap!$A$2:$R$9000,8,FALSE)</f>
        <v>11.1.01.0791</v>
      </c>
      <c r="Q776" s="15" t="str">
        <f>VLOOKUP(A776,sinap!$A$2:$R$9000,12,FALSE)</f>
        <v>11.1.01.0893</v>
      </c>
      <c r="R776" s="15" t="str">
        <f>VLOOKUP(A776,sinap!$A$2:$R$9000,16,FALSE)</f>
        <v>11.1.01.0893</v>
      </c>
      <c r="S776" s="15" t="str">
        <f>VLOOKUP(A776,sinap!$A$2:$Y$9000,20,FALSE)</f>
        <v>SI</v>
      </c>
    </row>
    <row r="777" spans="1:19" s="16" customFormat="1" hidden="1" x14ac:dyDescent="0.25">
      <c r="A777" s="15">
        <v>16705530</v>
      </c>
      <c r="B777" s="15"/>
      <c r="C777" s="15"/>
      <c r="J777" s="15" t="str">
        <f>VLOOKUP(A777,sinap!$A$2:$R$9000,2,FALSE)</f>
        <v>H</v>
      </c>
      <c r="K777" s="15" t="str">
        <f>VLOOKUP(A777,sinap!$A$2:$R$9000,3,FALSE)</f>
        <v>VACA</v>
      </c>
      <c r="L777" s="15" t="str">
        <f>VLOOKUP(A777,sinap!$A$2:$R$9000,4,FALSE)</f>
        <v>ANGUS NEGRO</v>
      </c>
      <c r="M777" s="15" t="str">
        <f>VLOOKUP(A777,sinap!$A$2:$R$9000,5,FALSE)</f>
        <v>6 años 2 meses</v>
      </c>
      <c r="N777" s="15" t="str">
        <f>VLOOKUP(A777,sinap!$A$2:$R$9000,6,FALSE)</f>
        <v>05-11-2019</v>
      </c>
      <c r="O777" s="15" t="str">
        <f>VLOOKUP(A777,sinap!$A$2:$R$9000,7,FALSE)</f>
        <v>Vivo</v>
      </c>
      <c r="P777" s="15" t="str">
        <f>VLOOKUP(A777,sinap!$A$2:$R$9000,8,FALSE)</f>
        <v>11.1.01.2442</v>
      </c>
      <c r="Q777" s="15" t="str">
        <f>VLOOKUP(A777,sinap!$A$2:$R$9000,12,FALSE)</f>
        <v>11.1.01.0893</v>
      </c>
      <c r="R777" s="15" t="str">
        <f>VLOOKUP(A777,sinap!$A$2:$R$9000,16,FALSE)</f>
        <v>11.1.01.0893</v>
      </c>
      <c r="S777" s="15" t="str">
        <f>VLOOKUP(A777,sinap!$A$2:$Y$9000,20,FALSE)</f>
        <v>SI</v>
      </c>
    </row>
    <row r="778" spans="1:19" s="16" customFormat="1" hidden="1" x14ac:dyDescent="0.25">
      <c r="A778" s="15">
        <v>16705534</v>
      </c>
      <c r="B778" s="15"/>
      <c r="C778" s="15"/>
      <c r="J778" s="15" t="str">
        <f>VLOOKUP(A778,sinap!$A$2:$R$9000,2,FALSE)</f>
        <v>H</v>
      </c>
      <c r="K778" s="15" t="str">
        <f>VLOOKUP(A778,sinap!$A$2:$R$9000,3,FALSE)</f>
        <v>VACA</v>
      </c>
      <c r="L778" s="15" t="str">
        <f>VLOOKUP(A778,sinap!$A$2:$R$9000,4,FALSE)</f>
        <v>ANGUS NEGRO</v>
      </c>
      <c r="M778" s="15" t="str">
        <f>VLOOKUP(A778,sinap!$A$2:$R$9000,5,FALSE)</f>
        <v>6 años 2 meses</v>
      </c>
      <c r="N778" s="15" t="str">
        <f>VLOOKUP(A778,sinap!$A$2:$R$9000,6,FALSE)</f>
        <v>30-10-2019</v>
      </c>
      <c r="O778" s="15" t="str">
        <f>VLOOKUP(A778,sinap!$A$2:$R$9000,7,FALSE)</f>
        <v>Vivo</v>
      </c>
      <c r="P778" s="15" t="str">
        <f>VLOOKUP(A778,sinap!$A$2:$R$9000,8,FALSE)</f>
        <v>11.1.01.1241</v>
      </c>
      <c r="Q778" s="15" t="str">
        <f>VLOOKUP(A778,sinap!$A$2:$R$9000,12,FALSE)</f>
        <v>11.1.01.0791</v>
      </c>
      <c r="R778" s="15" t="str">
        <f>VLOOKUP(A778,sinap!$A$2:$R$9000,16,FALSE)</f>
        <v>11.1.01.0893</v>
      </c>
      <c r="S778" s="15" t="str">
        <f>VLOOKUP(A778,sinap!$A$2:$Y$9000,20,FALSE)</f>
        <v>SI</v>
      </c>
    </row>
    <row r="779" spans="1:19" s="16" customFormat="1" hidden="1" x14ac:dyDescent="0.25">
      <c r="A779" s="15">
        <v>16705535</v>
      </c>
      <c r="B779" s="15"/>
      <c r="C779" s="15"/>
      <c r="J779" s="15" t="str">
        <f>VLOOKUP(A779,sinap!$A$2:$R$9000,2,FALSE)</f>
        <v>H</v>
      </c>
      <c r="K779" s="15" t="str">
        <f>VLOOKUP(A779,sinap!$A$2:$R$9000,3,FALSE)</f>
        <v>VACA</v>
      </c>
      <c r="L779" s="15" t="str">
        <f>VLOOKUP(A779,sinap!$A$2:$R$9000,4,FALSE)</f>
        <v>ANGUS NEGRO</v>
      </c>
      <c r="M779" s="15" t="str">
        <f>VLOOKUP(A779,sinap!$A$2:$R$9000,5,FALSE)</f>
        <v>6 años 2 meses</v>
      </c>
      <c r="N779" s="15" t="str">
        <f>VLOOKUP(A779,sinap!$A$2:$R$9000,6,FALSE)</f>
        <v>25-10-2019</v>
      </c>
      <c r="O779" s="15" t="str">
        <f>VLOOKUP(A779,sinap!$A$2:$R$9000,7,FALSE)</f>
        <v>Vivo</v>
      </c>
      <c r="P779" s="15" t="str">
        <f>VLOOKUP(A779,sinap!$A$2:$R$9000,8,FALSE)</f>
        <v>11.1.01.1241</v>
      </c>
      <c r="Q779" s="15" t="str">
        <f>VLOOKUP(A779,sinap!$A$2:$R$9000,12,FALSE)</f>
        <v>11.1.01.0791</v>
      </c>
      <c r="R779" s="15" t="str">
        <f>VLOOKUP(A779,sinap!$A$2:$R$9000,16,FALSE)</f>
        <v>11.1.01.0893</v>
      </c>
      <c r="S779" s="15" t="str">
        <f>VLOOKUP(A779,sinap!$A$2:$Y$9000,20,FALSE)</f>
        <v>SI</v>
      </c>
    </row>
    <row r="780" spans="1:19" s="16" customFormat="1" hidden="1" x14ac:dyDescent="0.25">
      <c r="A780" s="15">
        <v>16705537</v>
      </c>
      <c r="B780" s="15"/>
      <c r="C780" s="15"/>
      <c r="E780" s="16">
        <v>44397</v>
      </c>
      <c r="G780" s="16">
        <v>45264</v>
      </c>
      <c r="H780" s="16">
        <v>45648</v>
      </c>
      <c r="I780" s="16">
        <v>45671</v>
      </c>
      <c r="J780" s="15" t="str">
        <f>VLOOKUP(A780,sinap!$A$2:$R$9000,2,FALSE)</f>
        <v>H</v>
      </c>
      <c r="K780" s="15" t="str">
        <f>VLOOKUP(A780,sinap!$A$2:$R$9000,3,FALSE)</f>
        <v>VACA</v>
      </c>
      <c r="L780" s="15" t="str">
        <f>VLOOKUP(A780,sinap!$A$2:$R$9000,4,FALSE)</f>
        <v>ANGUS NEGRO</v>
      </c>
      <c r="M780" s="15" t="str">
        <f>VLOOKUP(A780,sinap!$A$2:$R$9000,5,FALSE)</f>
        <v>6 años 3 meses</v>
      </c>
      <c r="N780" s="15" t="str">
        <f>VLOOKUP(A780,sinap!$A$2:$R$9000,6,FALSE)</f>
        <v>25-09-2019</v>
      </c>
      <c r="O780" s="15" t="str">
        <f>VLOOKUP(A780,sinap!$A$2:$R$9000,7,FALSE)</f>
        <v>Vivo</v>
      </c>
      <c r="P780" s="15" t="str">
        <f>VLOOKUP(A780,sinap!$A$2:$R$9000,8,FALSE)</f>
        <v>11.1.01.1241</v>
      </c>
      <c r="Q780" s="15" t="str">
        <f>VLOOKUP(A780,sinap!$A$2:$R$9000,12,FALSE)</f>
        <v>11.1.01.0791</v>
      </c>
      <c r="R780" s="15" t="str">
        <f>VLOOKUP(A780,sinap!$A$2:$R$9000,16,FALSE)</f>
        <v>11.1.01.0893</v>
      </c>
      <c r="S780" s="15" t="str">
        <f>VLOOKUP(A780,sinap!$A$2:$Y$9000,20,FALSE)</f>
        <v>SI</v>
      </c>
    </row>
    <row r="781" spans="1:19" s="16" customFormat="1" hidden="1" x14ac:dyDescent="0.25">
      <c r="A781" s="15">
        <v>16705539</v>
      </c>
      <c r="B781" s="15"/>
      <c r="C781" s="15"/>
      <c r="E781" s="16">
        <v>44397</v>
      </c>
      <c r="F781" s="16">
        <v>44908</v>
      </c>
      <c r="H781" s="16">
        <v>45432</v>
      </c>
      <c r="I781" s="16">
        <v>45671</v>
      </c>
      <c r="J781" s="15" t="str">
        <f>VLOOKUP(A781,sinap!$A$2:$R$9000,2,FALSE)</f>
        <v>H</v>
      </c>
      <c r="K781" s="15" t="str">
        <f>VLOOKUP(A781,sinap!$A$2:$R$9000,3,FALSE)</f>
        <v>VACA</v>
      </c>
      <c r="L781" s="15" t="str">
        <f>VLOOKUP(A781,sinap!$A$2:$R$9000,4,FALSE)</f>
        <v>ANGUS NEGRO</v>
      </c>
      <c r="M781" s="15" t="str">
        <f>VLOOKUP(A781,sinap!$A$2:$R$9000,5,FALSE)</f>
        <v>6 años 3 meses</v>
      </c>
      <c r="N781" s="15" t="str">
        <f>VLOOKUP(A781,sinap!$A$2:$R$9000,6,FALSE)</f>
        <v>20-09-2019</v>
      </c>
      <c r="O781" s="15" t="str">
        <f>VLOOKUP(A781,sinap!$A$2:$R$9000,7,FALSE)</f>
        <v>Vivo</v>
      </c>
      <c r="P781" s="15" t="str">
        <f>VLOOKUP(A781,sinap!$A$2:$R$9000,8,FALSE)</f>
        <v>11.1.01.2442</v>
      </c>
      <c r="Q781" s="15" t="str">
        <f>VLOOKUP(A781,sinap!$A$2:$R$9000,12,FALSE)</f>
        <v>11.1.01.0190</v>
      </c>
      <c r="R781" s="15" t="str">
        <f>VLOOKUP(A781,sinap!$A$2:$R$9000,16,FALSE)</f>
        <v>11.1.01.0893</v>
      </c>
      <c r="S781" s="15" t="str">
        <f>VLOOKUP(A781,sinap!$A$2:$Y$9000,20,FALSE)</f>
        <v>SI</v>
      </c>
    </row>
    <row r="782" spans="1:19" s="16" customFormat="1" x14ac:dyDescent="0.25">
      <c r="A782" s="15">
        <v>16705543</v>
      </c>
      <c r="B782" s="15"/>
      <c r="C782" s="15"/>
      <c r="D782" s="16">
        <v>44144</v>
      </c>
      <c r="F782" s="16">
        <v>44868</v>
      </c>
      <c r="G782" s="16">
        <v>45253</v>
      </c>
      <c r="H782" s="16">
        <v>45648</v>
      </c>
      <c r="I782" s="16">
        <v>45966</v>
      </c>
      <c r="J782" s="15" t="str">
        <f>VLOOKUP(A782,sinap!$A$2:$R$9000,2,FALSE)</f>
        <v>H</v>
      </c>
      <c r="K782" s="15" t="str">
        <f>VLOOKUP(A782,sinap!$A$2:$R$9000,3,FALSE)</f>
        <v>VACA</v>
      </c>
      <c r="L782" s="15" t="str">
        <f>VLOOKUP(A782,sinap!$A$2:$R$9000,4,FALSE)</f>
        <v>ANGUS NEGRO</v>
      </c>
      <c r="M782" s="15" t="str">
        <f>VLOOKUP(A782,sinap!$A$2:$R$9000,5,FALSE)</f>
        <v>6 años 3 meses</v>
      </c>
      <c r="N782" s="15" t="str">
        <f>VLOOKUP(A782,sinap!$A$2:$R$9000,6,FALSE)</f>
        <v>30-09-2019</v>
      </c>
      <c r="O782" s="15" t="str">
        <f>VLOOKUP(A782,sinap!$A$2:$R$9000,7,FALSE)</f>
        <v>Vivo</v>
      </c>
      <c r="P782" s="15" t="str">
        <f>VLOOKUP(A782,sinap!$A$2:$R$9000,8,FALSE)</f>
        <v>11.1.01.2442</v>
      </c>
      <c r="Q782" s="15" t="str">
        <f>VLOOKUP(A782,sinap!$A$2:$R$9000,12,FALSE)</f>
        <v>11.1.01.0190</v>
      </c>
      <c r="R782" s="15" t="str">
        <f>VLOOKUP(A782,sinap!$A$2:$R$9000,16,FALSE)</f>
        <v>11.1.01.0893</v>
      </c>
      <c r="S782" s="15" t="str">
        <f>VLOOKUP(A782,sinap!$A$2:$Y$9000,20,FALSE)</f>
        <v>SI</v>
      </c>
    </row>
    <row r="783" spans="1:19" s="16" customFormat="1" hidden="1" x14ac:dyDescent="0.25">
      <c r="A783" s="15">
        <v>16705545</v>
      </c>
      <c r="B783" s="15"/>
      <c r="C783" s="15"/>
      <c r="D783" s="16">
        <v>44134</v>
      </c>
      <c r="E783" s="16">
        <v>44350</v>
      </c>
      <c r="F783" s="16">
        <v>44893</v>
      </c>
      <c r="G783" s="16">
        <v>45258</v>
      </c>
      <c r="J783" s="15" t="str">
        <f>VLOOKUP(A783,sinap!$A$2:$R$9000,2,FALSE)</f>
        <v>H</v>
      </c>
      <c r="K783" s="15" t="str">
        <f>VLOOKUP(A783,sinap!$A$2:$R$9000,3,FALSE)</f>
        <v>VACA</v>
      </c>
      <c r="L783" s="15" t="str">
        <f>VLOOKUP(A783,sinap!$A$2:$R$9000,4,FALSE)</f>
        <v>ANGUS ROJO</v>
      </c>
      <c r="M783" s="15" t="str">
        <f>VLOOKUP(A783,sinap!$A$2:$R$9000,5,FALSE)</f>
        <v>6 años 3 meses</v>
      </c>
      <c r="N783" s="15" t="str">
        <f>VLOOKUP(A783,sinap!$A$2:$R$9000,6,FALSE)</f>
        <v>30-09-2019</v>
      </c>
      <c r="O783" s="15" t="str">
        <f>VLOOKUP(A783,sinap!$A$2:$R$9000,7,FALSE)</f>
        <v>Vivo</v>
      </c>
      <c r="P783" s="15" t="str">
        <f>VLOOKUP(A783,sinap!$A$2:$R$9000,8,FALSE)</f>
        <v>11.1.01.1241</v>
      </c>
      <c r="Q783" s="15" t="str">
        <f>VLOOKUP(A783,sinap!$A$2:$R$9000,12,FALSE)</f>
        <v>11.2.01.0053</v>
      </c>
      <c r="R783" s="15" t="str">
        <f>VLOOKUP(A783,sinap!$A$2:$R$9000,16,FALSE)</f>
        <v>11.1.01.0893</v>
      </c>
      <c r="S783" s="15" t="str">
        <f>VLOOKUP(A783,sinap!$A$2:$Y$9000,20,FALSE)</f>
        <v>SI</v>
      </c>
    </row>
    <row r="784" spans="1:19" s="16" customFormat="1" hidden="1" x14ac:dyDescent="0.25">
      <c r="A784" s="15">
        <v>16705549</v>
      </c>
      <c r="B784" s="15"/>
      <c r="C784" s="15"/>
      <c r="D784" s="16">
        <v>43983</v>
      </c>
      <c r="E784" s="16">
        <v>44491</v>
      </c>
      <c r="F784" s="16">
        <v>44893</v>
      </c>
      <c r="G784" s="16">
        <v>45254</v>
      </c>
      <c r="J784" s="15" t="str">
        <f>VLOOKUP(A784,sinap!$A$2:$R$9000,2,FALSE)</f>
        <v>H</v>
      </c>
      <c r="K784" s="15" t="str">
        <f>VLOOKUP(A784,sinap!$A$2:$R$9000,3,FALSE)</f>
        <v>VACA</v>
      </c>
      <c r="L784" s="15" t="str">
        <f>VLOOKUP(A784,sinap!$A$2:$R$9000,4,FALSE)</f>
        <v>ANGUS ROJO</v>
      </c>
      <c r="M784" s="15" t="str">
        <f>VLOOKUP(A784,sinap!$A$2:$R$9000,5,FALSE)</f>
        <v>6 años 3 meses</v>
      </c>
      <c r="N784" s="15" t="str">
        <f>VLOOKUP(A784,sinap!$A$2:$R$9000,6,FALSE)</f>
        <v>30-09-2019</v>
      </c>
      <c r="O784" s="15" t="str">
        <f>VLOOKUP(A784,sinap!$A$2:$R$9000,7,FALSE)</f>
        <v>Vivo</v>
      </c>
      <c r="P784" s="15" t="str">
        <f>VLOOKUP(A784,sinap!$A$2:$R$9000,8,FALSE)</f>
        <v>11.2.01.0038</v>
      </c>
      <c r="Q784" s="15" t="str">
        <f>VLOOKUP(A784,sinap!$A$2:$R$9000,12,FALSE)</f>
        <v>11.1.01.0893</v>
      </c>
      <c r="R784" s="15" t="str">
        <f>VLOOKUP(A784,sinap!$A$2:$R$9000,16,FALSE)</f>
        <v>11.1.01.0893</v>
      </c>
      <c r="S784" s="15" t="str">
        <f>VLOOKUP(A784,sinap!$A$2:$Y$9000,20,FALSE)</f>
        <v>SI</v>
      </c>
    </row>
    <row r="785" spans="1:19" s="16" customFormat="1" hidden="1" x14ac:dyDescent="0.25">
      <c r="A785" s="15">
        <v>16705551</v>
      </c>
      <c r="B785" s="15"/>
      <c r="C785" s="15"/>
      <c r="H785" s="16">
        <v>45297</v>
      </c>
      <c r="J785" s="15" t="str">
        <f>VLOOKUP(A785,sinap!$A$2:$R$9000,2,FALSE)</f>
        <v>H</v>
      </c>
      <c r="K785" s="15" t="str">
        <f>VLOOKUP(A785,sinap!$A$2:$R$9000,3,FALSE)</f>
        <v>VACA</v>
      </c>
      <c r="L785" s="15" t="str">
        <f>VLOOKUP(A785,sinap!$A$2:$R$9000,4,FALSE)</f>
        <v>ANGUS NEGRO</v>
      </c>
      <c r="M785" s="15" t="str">
        <f>VLOOKUP(A785,sinap!$A$2:$R$9000,5,FALSE)</f>
        <v>6 años 2 meses</v>
      </c>
      <c r="N785" s="15" t="str">
        <f>VLOOKUP(A785,sinap!$A$2:$R$9000,6,FALSE)</f>
        <v>30-10-2019</v>
      </c>
      <c r="O785" s="15" t="str">
        <f>VLOOKUP(A785,sinap!$A$2:$R$9000,7,FALSE)</f>
        <v>Vivo</v>
      </c>
      <c r="P785" s="15" t="str">
        <f>VLOOKUP(A785,sinap!$A$2:$R$9000,8,FALSE)</f>
        <v>11.1.01.0791</v>
      </c>
      <c r="Q785" s="15" t="str">
        <f>VLOOKUP(A785,sinap!$A$2:$R$9000,12,FALSE)</f>
        <v>11.1.01.0893</v>
      </c>
      <c r="R785" s="15" t="str">
        <f>VLOOKUP(A785,sinap!$A$2:$R$9000,16,FALSE)</f>
        <v>11.1.01.0893</v>
      </c>
      <c r="S785" s="15" t="str">
        <f>VLOOKUP(A785,sinap!$A$2:$Y$9000,20,FALSE)</f>
        <v>SI</v>
      </c>
    </row>
    <row r="786" spans="1:19" s="16" customFormat="1" hidden="1" x14ac:dyDescent="0.25">
      <c r="A786" s="15">
        <v>16705555</v>
      </c>
      <c r="B786" s="15"/>
      <c r="C786" s="15"/>
      <c r="H786" s="16">
        <v>45648</v>
      </c>
      <c r="I786" s="16">
        <v>45965</v>
      </c>
      <c r="J786" s="15" t="str">
        <f>VLOOKUP(A786,sinap!$A$2:$R$9000,2,FALSE)</f>
        <v>H</v>
      </c>
      <c r="K786" s="15" t="str">
        <f>VLOOKUP(A786,sinap!$A$2:$R$9000,3,FALSE)</f>
        <v>VACA</v>
      </c>
      <c r="L786" s="15" t="str">
        <f>VLOOKUP(A786,sinap!$A$2:$R$9000,4,FALSE)</f>
        <v>ANGUS ROJO</v>
      </c>
      <c r="M786" s="15" t="str">
        <f>VLOOKUP(A786,sinap!$A$2:$R$9000,5,FALSE)</f>
        <v>6 años 3 meses</v>
      </c>
      <c r="N786" s="15" t="str">
        <f>VLOOKUP(A786,sinap!$A$2:$R$9000,6,FALSE)</f>
        <v>30-09-2019</v>
      </c>
      <c r="O786" s="15" t="str">
        <f>VLOOKUP(A786,sinap!$A$2:$R$9000,7,FALSE)</f>
        <v>Vivo</v>
      </c>
      <c r="P786" s="15" t="str">
        <f>VLOOKUP(A786,sinap!$A$2:$R$9000,8,FALSE)</f>
        <v>11.1.01.1241</v>
      </c>
      <c r="Q786" s="15" t="str">
        <f>VLOOKUP(A786,sinap!$A$2:$R$9000,12,FALSE)</f>
        <v>11.2.01.0038</v>
      </c>
      <c r="R786" s="15" t="str">
        <f>VLOOKUP(A786,sinap!$A$2:$R$9000,16,FALSE)</f>
        <v>11.1.01.0893</v>
      </c>
      <c r="S786" s="15" t="str">
        <f>VLOOKUP(A786,sinap!$A$2:$Y$9000,20,FALSE)</f>
        <v>SI</v>
      </c>
    </row>
    <row r="787" spans="1:19" s="16" customFormat="1" hidden="1" x14ac:dyDescent="0.25">
      <c r="A787" s="15">
        <v>16705564</v>
      </c>
      <c r="B787" s="15"/>
      <c r="C787" s="15"/>
      <c r="E787" s="16">
        <v>44489</v>
      </c>
      <c r="F787" s="16">
        <v>44908</v>
      </c>
      <c r="G787" s="16">
        <v>45253</v>
      </c>
      <c r="H787" s="16">
        <v>45648</v>
      </c>
      <c r="I787" s="16">
        <v>45965</v>
      </c>
      <c r="J787" s="15" t="str">
        <f>VLOOKUP(A787,sinap!$A$2:$R$9000,2,FALSE)</f>
        <v>H</v>
      </c>
      <c r="K787" s="15" t="str">
        <f>VLOOKUP(A787,sinap!$A$2:$R$9000,3,FALSE)</f>
        <v>VACA</v>
      </c>
      <c r="L787" s="15" t="str">
        <f>VLOOKUP(A787,sinap!$A$2:$R$9000,4,FALSE)</f>
        <v>ANGUS NEGRO</v>
      </c>
      <c r="M787" s="15" t="str">
        <f>VLOOKUP(A787,sinap!$A$2:$R$9000,5,FALSE)</f>
        <v>6 años 3 meses</v>
      </c>
      <c r="N787" s="15" t="str">
        <f>VLOOKUP(A787,sinap!$A$2:$R$9000,6,FALSE)</f>
        <v>05-10-2019</v>
      </c>
      <c r="O787" s="15" t="str">
        <f>VLOOKUP(A787,sinap!$A$2:$R$9000,7,FALSE)</f>
        <v>Vivo</v>
      </c>
      <c r="P787" s="15" t="str">
        <f>VLOOKUP(A787,sinap!$A$2:$R$9000,8,FALSE)</f>
        <v>11.1.01.1241</v>
      </c>
      <c r="Q787" s="15" t="str">
        <f>VLOOKUP(A787,sinap!$A$2:$R$9000,12,FALSE)</f>
        <v>11.2.01.0038</v>
      </c>
      <c r="R787" s="15" t="str">
        <f>VLOOKUP(A787,sinap!$A$2:$R$9000,16,FALSE)</f>
        <v>11.1.01.0893</v>
      </c>
      <c r="S787" s="15" t="str">
        <f>VLOOKUP(A787,sinap!$A$2:$Y$9000,20,FALSE)</f>
        <v>SI</v>
      </c>
    </row>
    <row r="788" spans="1:19" s="16" customFormat="1" hidden="1" x14ac:dyDescent="0.25">
      <c r="A788" s="15">
        <v>16705565</v>
      </c>
      <c r="B788" s="15"/>
      <c r="C788" s="15"/>
      <c r="E788" s="16">
        <v>44489</v>
      </c>
      <c r="F788" s="16">
        <v>44908</v>
      </c>
      <c r="G788" s="16">
        <v>45265</v>
      </c>
      <c r="H788" s="16">
        <v>45648</v>
      </c>
      <c r="I788" s="16">
        <v>45966</v>
      </c>
      <c r="J788" s="15" t="str">
        <f>VLOOKUP(A788,sinap!$A$2:$R$9000,2,FALSE)</f>
        <v>H</v>
      </c>
      <c r="K788" s="15" t="str">
        <f>VLOOKUP(A788,sinap!$A$2:$R$9000,3,FALSE)</f>
        <v>VACA</v>
      </c>
      <c r="L788" s="15" t="str">
        <f>VLOOKUP(A788,sinap!$A$2:$R$9000,4,FALSE)</f>
        <v>ANGUS NEGRO</v>
      </c>
      <c r="M788" s="15" t="str">
        <f>VLOOKUP(A788,sinap!$A$2:$R$9000,5,FALSE)</f>
        <v>6 años 3 meses</v>
      </c>
      <c r="N788" s="15" t="str">
        <f>VLOOKUP(A788,sinap!$A$2:$R$9000,6,FALSE)</f>
        <v>05-10-2019</v>
      </c>
      <c r="O788" s="15" t="str">
        <f>VLOOKUP(A788,sinap!$A$2:$R$9000,7,FALSE)</f>
        <v>Vivo</v>
      </c>
      <c r="P788" s="15" t="str">
        <f>VLOOKUP(A788,sinap!$A$2:$R$9000,8,FALSE)</f>
        <v>11.1.01.2442</v>
      </c>
      <c r="Q788" s="15" t="str">
        <f>VLOOKUP(A788,sinap!$A$2:$R$9000,12,FALSE)</f>
        <v>11.1.01.0190</v>
      </c>
      <c r="R788" s="15" t="str">
        <f>VLOOKUP(A788,sinap!$A$2:$R$9000,16,FALSE)</f>
        <v>11.1.01.0893</v>
      </c>
      <c r="S788" s="15" t="str">
        <f>VLOOKUP(A788,sinap!$A$2:$Y$9000,20,FALSE)</f>
        <v>SI</v>
      </c>
    </row>
    <row r="789" spans="1:19" s="16" customFormat="1" hidden="1" x14ac:dyDescent="0.25">
      <c r="A789" s="15">
        <v>16705568</v>
      </c>
      <c r="B789" s="15"/>
      <c r="C789" s="15"/>
      <c r="J789" s="15" t="str">
        <f>VLOOKUP(A789,sinap!$A$2:$R$9000,2,FALSE)</f>
        <v>H</v>
      </c>
      <c r="K789" s="15" t="str">
        <f>VLOOKUP(A789,sinap!$A$2:$R$9000,3,FALSE)</f>
        <v>VACA</v>
      </c>
      <c r="L789" s="15" t="str">
        <f>VLOOKUP(A789,sinap!$A$2:$R$9000,4,FALSE)</f>
        <v>ANGUS NEGRO</v>
      </c>
      <c r="M789" s="15" t="str">
        <f>VLOOKUP(A789,sinap!$A$2:$R$9000,5,FALSE)</f>
        <v>6 años 3 meses</v>
      </c>
      <c r="N789" s="15" t="str">
        <f>VLOOKUP(A789,sinap!$A$2:$R$9000,6,FALSE)</f>
        <v>05-10-2019</v>
      </c>
      <c r="O789" s="15" t="str">
        <f>VLOOKUP(A789,sinap!$A$2:$R$9000,7,FALSE)</f>
        <v>Vivo</v>
      </c>
      <c r="P789" s="15" t="str">
        <f>VLOOKUP(A789,sinap!$A$2:$R$9000,8,FALSE)</f>
        <v>11.1.01.0791</v>
      </c>
      <c r="Q789" s="15" t="str">
        <f>VLOOKUP(A789,sinap!$A$2:$R$9000,12,FALSE)</f>
        <v>11.1.01.0893</v>
      </c>
      <c r="R789" s="15" t="str">
        <f>VLOOKUP(A789,sinap!$A$2:$R$9000,16,FALSE)</f>
        <v>11.1.01.0893</v>
      </c>
      <c r="S789" s="15" t="str">
        <f>VLOOKUP(A789,sinap!$A$2:$Y$9000,20,FALSE)</f>
        <v>SI</v>
      </c>
    </row>
    <row r="790" spans="1:19" s="16" customFormat="1" hidden="1" x14ac:dyDescent="0.25">
      <c r="A790" s="15">
        <v>16705576</v>
      </c>
      <c r="B790" s="15"/>
      <c r="C790" s="15"/>
      <c r="H790" s="16">
        <v>45648</v>
      </c>
      <c r="I790" s="16">
        <v>45671</v>
      </c>
      <c r="J790" s="15" t="str">
        <f>VLOOKUP(A790,sinap!$A$2:$R$9000,2,FALSE)</f>
        <v>H</v>
      </c>
      <c r="K790" s="15" t="str">
        <f>VLOOKUP(A790,sinap!$A$2:$R$9000,3,FALSE)</f>
        <v>VACA</v>
      </c>
      <c r="L790" s="15" t="str">
        <f>VLOOKUP(A790,sinap!$A$2:$R$9000,4,FALSE)</f>
        <v>ANGUS NEGRO</v>
      </c>
      <c r="M790" s="15" t="str">
        <f>VLOOKUP(A790,sinap!$A$2:$R$9000,5,FALSE)</f>
        <v>6 años 2 meses</v>
      </c>
      <c r="N790" s="15" t="str">
        <f>VLOOKUP(A790,sinap!$A$2:$R$9000,6,FALSE)</f>
        <v>20-10-2019</v>
      </c>
      <c r="O790" s="15" t="str">
        <f>VLOOKUP(A790,sinap!$A$2:$R$9000,7,FALSE)</f>
        <v>Vivo</v>
      </c>
      <c r="P790" s="15" t="str">
        <f>VLOOKUP(A790,sinap!$A$2:$R$9000,8,FALSE)</f>
        <v>11.1.01.1241</v>
      </c>
      <c r="Q790" s="15" t="str">
        <f>VLOOKUP(A790,sinap!$A$2:$R$9000,12,FALSE)</f>
        <v>11.2.01.0038</v>
      </c>
      <c r="R790" s="15" t="str">
        <f>VLOOKUP(A790,sinap!$A$2:$R$9000,16,FALSE)</f>
        <v>11.1.01.0893</v>
      </c>
      <c r="S790" s="15" t="str">
        <f>VLOOKUP(A790,sinap!$A$2:$Y$9000,20,FALSE)</f>
        <v>SI</v>
      </c>
    </row>
    <row r="791" spans="1:19" s="16" customFormat="1" hidden="1" x14ac:dyDescent="0.25">
      <c r="A791" s="15">
        <v>16705585</v>
      </c>
      <c r="B791" s="15"/>
      <c r="C791" s="15"/>
      <c r="J791" s="15" t="str">
        <f>VLOOKUP(A791,sinap!$A$2:$R$9000,2,FALSE)</f>
        <v>H</v>
      </c>
      <c r="K791" s="15" t="str">
        <f>VLOOKUP(A791,sinap!$A$2:$R$9000,3,FALSE)</f>
        <v>VACA</v>
      </c>
      <c r="L791" s="15" t="str">
        <f>VLOOKUP(A791,sinap!$A$2:$R$9000,4,FALSE)</f>
        <v>ANGUS NEGRO</v>
      </c>
      <c r="M791" s="15" t="str">
        <f>VLOOKUP(A791,sinap!$A$2:$R$9000,5,FALSE)</f>
        <v>6 años 3 meses</v>
      </c>
      <c r="N791" s="15" t="str">
        <f>VLOOKUP(A791,sinap!$A$2:$R$9000,6,FALSE)</f>
        <v>30-09-2019</v>
      </c>
      <c r="O791" s="15" t="str">
        <f>VLOOKUP(A791,sinap!$A$2:$R$9000,7,FALSE)</f>
        <v>Vivo</v>
      </c>
      <c r="P791" s="15" t="str">
        <f>VLOOKUP(A791,sinap!$A$2:$R$9000,8,FALSE)</f>
        <v>11.1.01.1241</v>
      </c>
      <c r="Q791" s="15" t="str">
        <f>VLOOKUP(A791,sinap!$A$2:$R$9000,12,FALSE)</f>
        <v>11.1.01.0791</v>
      </c>
      <c r="R791" s="15" t="str">
        <f>VLOOKUP(A791,sinap!$A$2:$R$9000,16,FALSE)</f>
        <v>11.1.01.0893</v>
      </c>
      <c r="S791" s="15" t="str">
        <f>VLOOKUP(A791,sinap!$A$2:$Y$9000,20,FALSE)</f>
        <v>SI</v>
      </c>
    </row>
    <row r="792" spans="1:19" s="16" customFormat="1" hidden="1" x14ac:dyDescent="0.25">
      <c r="A792" s="15">
        <v>16705610</v>
      </c>
      <c r="B792" s="15"/>
      <c r="C792" s="15"/>
      <c r="J792" s="15" t="str">
        <f>VLOOKUP(A792,sinap!$A$2:$R$9000,2,FALSE)</f>
        <v>M</v>
      </c>
      <c r="K792" s="15" t="str">
        <f>VLOOKUP(A792,sinap!$A$2:$R$9000,3,FALSE)</f>
        <v>TORO</v>
      </c>
      <c r="L792" s="15" t="str">
        <f>VLOOKUP(A792,sinap!$A$2:$R$9000,4,FALSE)</f>
        <v>ANGUS NEGRO</v>
      </c>
      <c r="M792" s="15" t="str">
        <f>VLOOKUP(A792,sinap!$A$2:$R$9000,5,FALSE)</f>
        <v>6 años 3 meses</v>
      </c>
      <c r="N792" s="15" t="str">
        <f>VLOOKUP(A792,sinap!$A$2:$R$9000,6,FALSE)</f>
        <v>20-09-2019</v>
      </c>
      <c r="O792" s="15" t="str">
        <f>VLOOKUP(A792,sinap!$A$2:$R$9000,7,FALSE)</f>
        <v>Vivo</v>
      </c>
      <c r="P792" s="15" t="str">
        <f>VLOOKUP(A792,sinap!$A$2:$R$9000,8,FALSE)</f>
        <v>11.1.01.1241</v>
      </c>
      <c r="Q792" s="15" t="str">
        <f>VLOOKUP(A792,sinap!$A$2:$R$9000,12,FALSE)</f>
        <v>Sin Movimiento</v>
      </c>
      <c r="R792" s="15" t="str">
        <f>VLOOKUP(A792,sinap!$A$2:$R$9000,16,FALSE)</f>
        <v>11.1.01.1241</v>
      </c>
      <c r="S792" s="15" t="str">
        <f>VLOOKUP(A792,sinap!$A$2:$Y$9000,20,FALSE)</f>
        <v>SI</v>
      </c>
    </row>
    <row r="793" spans="1:19" s="16" customFormat="1" hidden="1" x14ac:dyDescent="0.25">
      <c r="A793" s="15">
        <v>16705617</v>
      </c>
      <c r="B793" s="15"/>
      <c r="C793" s="15"/>
      <c r="J793" s="15" t="str">
        <f>VLOOKUP(A793,sinap!$A$2:$R$9000,2,FALSE)</f>
        <v>H</v>
      </c>
      <c r="K793" s="15" t="str">
        <f>VLOOKUP(A793,sinap!$A$2:$R$9000,3,FALSE)</f>
        <v>VACA</v>
      </c>
      <c r="L793" s="15" t="str">
        <f>VLOOKUP(A793,sinap!$A$2:$R$9000,4,FALSE)</f>
        <v>ANGUS NEGRO</v>
      </c>
      <c r="M793" s="15" t="str">
        <f>VLOOKUP(A793,sinap!$A$2:$R$9000,5,FALSE)</f>
        <v>6 años 2 meses</v>
      </c>
      <c r="N793" s="15" t="str">
        <f>VLOOKUP(A793,sinap!$A$2:$R$9000,6,FALSE)</f>
        <v>25-10-2019</v>
      </c>
      <c r="O793" s="15" t="str">
        <f>VLOOKUP(A793,sinap!$A$2:$R$9000,7,FALSE)</f>
        <v>Vivo</v>
      </c>
      <c r="P793" s="15" t="str">
        <f>VLOOKUP(A793,sinap!$A$2:$R$9000,8,FALSE)</f>
        <v>11.1.01.0791</v>
      </c>
      <c r="Q793" s="15" t="str">
        <f>VLOOKUP(A793,sinap!$A$2:$R$9000,12,FALSE)</f>
        <v>11.1.01.0893</v>
      </c>
      <c r="R793" s="15" t="str">
        <f>VLOOKUP(A793,sinap!$A$2:$R$9000,16,FALSE)</f>
        <v>11.1.01.1241</v>
      </c>
      <c r="S793" s="15" t="str">
        <f>VLOOKUP(A793,sinap!$A$2:$Y$9000,20,FALSE)</f>
        <v>SI</v>
      </c>
    </row>
    <row r="794" spans="1:19" hidden="1" x14ac:dyDescent="0.25">
      <c r="A794" s="15">
        <v>16705620</v>
      </c>
      <c r="H794" s="16">
        <v>45648</v>
      </c>
      <c r="I794" s="16">
        <v>45671</v>
      </c>
      <c r="J794" s="15" t="str">
        <f>VLOOKUP(A794,sinap!$A$2:$R$9000,2,FALSE)</f>
        <v>H</v>
      </c>
      <c r="K794" s="15" t="str">
        <f>VLOOKUP(A794,sinap!$A$2:$R$9000,3,FALSE)</f>
        <v>VACA</v>
      </c>
      <c r="L794" s="15" t="str">
        <f>VLOOKUP(A794,sinap!$A$2:$R$9000,4,FALSE)</f>
        <v>ANGUS NEGRO</v>
      </c>
      <c r="M794" s="15" t="str">
        <f>VLOOKUP(A794,sinap!$A$2:$R$9000,5,FALSE)</f>
        <v>6 años 3 meses</v>
      </c>
      <c r="N794" s="15" t="str">
        <f>VLOOKUP(A794,sinap!$A$2:$R$9000,6,FALSE)</f>
        <v>30-09-2019</v>
      </c>
      <c r="O794" s="15" t="str">
        <f>VLOOKUP(A794,sinap!$A$2:$R$9000,7,FALSE)</f>
        <v>Vivo</v>
      </c>
      <c r="P794" s="15" t="str">
        <f>VLOOKUP(A794,sinap!$A$2:$R$9000,8,FALSE)</f>
        <v>11.1.01.1241</v>
      </c>
      <c r="Q794" s="15" t="str">
        <f>VLOOKUP(A794,sinap!$A$2:$R$9000,12,FALSE)</f>
        <v>11.2.01.0038</v>
      </c>
      <c r="R794" s="15" t="str">
        <f>VLOOKUP(A794,sinap!$A$2:$R$9000,16,FALSE)</f>
        <v>11.1.01.1241</v>
      </c>
      <c r="S794" s="15" t="str">
        <f>VLOOKUP(A794,sinap!$A$2:$Y$9000,20,FALSE)</f>
        <v>SI</v>
      </c>
    </row>
    <row r="795" spans="1:19" hidden="1" x14ac:dyDescent="0.25">
      <c r="A795" s="15">
        <v>16705623</v>
      </c>
      <c r="J795" s="15" t="str">
        <f>VLOOKUP(A795,sinap!$A$2:$R$9000,2,FALSE)</f>
        <v>H</v>
      </c>
      <c r="K795" s="15" t="str">
        <f>VLOOKUP(A795,sinap!$A$2:$R$9000,3,FALSE)</f>
        <v>VACA</v>
      </c>
      <c r="L795" s="15" t="str">
        <f>VLOOKUP(A795,sinap!$A$2:$R$9000,4,FALSE)</f>
        <v>ANGUS NEGRO</v>
      </c>
      <c r="M795" s="15" t="str">
        <f>VLOOKUP(A795,sinap!$A$2:$R$9000,5,FALSE)</f>
        <v>6 años 2 meses</v>
      </c>
      <c r="N795" s="15" t="str">
        <f>VLOOKUP(A795,sinap!$A$2:$R$9000,6,FALSE)</f>
        <v>15-11-2019</v>
      </c>
      <c r="O795" s="15" t="str">
        <f>VLOOKUP(A795,sinap!$A$2:$R$9000,7,FALSE)</f>
        <v>Vivo</v>
      </c>
      <c r="P795" s="15" t="str">
        <f>VLOOKUP(A795,sinap!$A$2:$R$9000,8,FALSE)</f>
        <v>11.1.01.0893</v>
      </c>
      <c r="Q795" s="15" t="str">
        <f>VLOOKUP(A795,sinap!$A$2:$R$9000,12,FALSE)</f>
        <v>11.1.01.1241</v>
      </c>
      <c r="R795" s="15" t="str">
        <f>VLOOKUP(A795,sinap!$A$2:$R$9000,16,FALSE)</f>
        <v>11.1.01.1241</v>
      </c>
      <c r="S795" s="15" t="str">
        <f>VLOOKUP(A795,sinap!$A$2:$Y$9000,20,FALSE)</f>
        <v>SI</v>
      </c>
    </row>
    <row r="796" spans="1:19" hidden="1" x14ac:dyDescent="0.25">
      <c r="A796" s="15">
        <v>16705647</v>
      </c>
      <c r="J796" s="15" t="str">
        <f>VLOOKUP(A796,sinap!$A$2:$R$9000,2,FALSE)</f>
        <v>H</v>
      </c>
      <c r="K796" s="15" t="str">
        <f>VLOOKUP(A796,sinap!$A$2:$R$9000,3,FALSE)</f>
        <v>VACA</v>
      </c>
      <c r="L796" s="15" t="str">
        <f>VLOOKUP(A796,sinap!$A$2:$R$9000,4,FALSE)</f>
        <v>ANGUS NEGRO</v>
      </c>
      <c r="M796" s="15" t="str">
        <f>VLOOKUP(A796,sinap!$A$2:$R$9000,5,FALSE)</f>
        <v>6 años 3 meses</v>
      </c>
      <c r="N796" s="15" t="str">
        <f>VLOOKUP(A796,sinap!$A$2:$R$9000,6,FALSE)</f>
        <v>10-10-2019</v>
      </c>
      <c r="O796" s="15" t="str">
        <f>VLOOKUP(A796,sinap!$A$2:$R$9000,7,FALSE)</f>
        <v>Vivo</v>
      </c>
      <c r="P796" s="15" t="str">
        <f>VLOOKUP(A796,sinap!$A$2:$R$9000,8,FALSE)</f>
        <v>11.2.01.0038</v>
      </c>
      <c r="Q796" s="15" t="str">
        <f>VLOOKUP(A796,sinap!$A$2:$R$9000,12,FALSE)</f>
        <v>11.1.01.0893</v>
      </c>
      <c r="R796" s="15" t="str">
        <f>VLOOKUP(A796,sinap!$A$2:$R$9000,16,FALSE)</f>
        <v>11.1.01.1241</v>
      </c>
      <c r="S796" s="15" t="str">
        <f>VLOOKUP(A796,sinap!$A$2:$Y$9000,20,FALSE)</f>
        <v>SI</v>
      </c>
    </row>
    <row r="797" spans="1:19" hidden="1" x14ac:dyDescent="0.25">
      <c r="A797" s="15">
        <v>16705653</v>
      </c>
      <c r="J797" s="15" t="str">
        <f>VLOOKUP(A797,sinap!$A$2:$R$9000,2,FALSE)</f>
        <v>H</v>
      </c>
      <c r="K797" s="15" t="str">
        <f>VLOOKUP(A797,sinap!$A$2:$R$9000,3,FALSE)</f>
        <v>VACA</v>
      </c>
      <c r="L797" s="15" t="str">
        <f>VLOOKUP(A797,sinap!$A$2:$R$9000,4,FALSE)</f>
        <v>ANGUS NEGRO</v>
      </c>
      <c r="M797" s="15" t="str">
        <f>VLOOKUP(A797,sinap!$A$2:$R$9000,5,FALSE)</f>
        <v>6 años 2 meses</v>
      </c>
      <c r="N797" s="15" t="str">
        <f>VLOOKUP(A797,sinap!$A$2:$R$9000,6,FALSE)</f>
        <v>30-10-2019</v>
      </c>
      <c r="O797" s="15" t="str">
        <f>VLOOKUP(A797,sinap!$A$2:$R$9000,7,FALSE)</f>
        <v>Vivo</v>
      </c>
      <c r="P797" s="15" t="str">
        <f>VLOOKUP(A797,sinap!$A$2:$R$9000,8,FALSE)</f>
        <v>11.1.01.1241</v>
      </c>
      <c r="Q797" s="15" t="str">
        <f>VLOOKUP(A797,sinap!$A$2:$R$9000,12,FALSE)</f>
        <v>Sin Movimiento</v>
      </c>
      <c r="R797" s="15" t="str">
        <f>VLOOKUP(A797,sinap!$A$2:$R$9000,16,FALSE)</f>
        <v>11.1.01.1241</v>
      </c>
      <c r="S797" s="15" t="str">
        <f>VLOOKUP(A797,sinap!$A$2:$Y$9000,20,FALSE)</f>
        <v>SI</v>
      </c>
    </row>
    <row r="798" spans="1:19" hidden="1" x14ac:dyDescent="0.25">
      <c r="A798" s="15">
        <v>16705654</v>
      </c>
      <c r="J798" s="15" t="str">
        <f>VLOOKUP(A798,sinap!$A$2:$R$9000,2,FALSE)</f>
        <v>H</v>
      </c>
      <c r="K798" s="15" t="str">
        <f>VLOOKUP(A798,sinap!$A$2:$R$9000,3,FALSE)</f>
        <v>VACA</v>
      </c>
      <c r="L798" s="15" t="str">
        <f>VLOOKUP(A798,sinap!$A$2:$R$9000,4,FALSE)</f>
        <v>ANGUS NEGRO</v>
      </c>
      <c r="M798" s="15" t="str">
        <f>VLOOKUP(A798,sinap!$A$2:$R$9000,5,FALSE)</f>
        <v>6 años 2 meses</v>
      </c>
      <c r="N798" s="15" t="str">
        <f>VLOOKUP(A798,sinap!$A$2:$R$9000,6,FALSE)</f>
        <v>30-10-2019</v>
      </c>
      <c r="O798" s="15" t="str">
        <f>VLOOKUP(A798,sinap!$A$2:$R$9000,7,FALSE)</f>
        <v>Vivo</v>
      </c>
      <c r="P798" s="15" t="str">
        <f>VLOOKUP(A798,sinap!$A$2:$R$9000,8,FALSE)</f>
        <v>11.1.01.1241</v>
      </c>
      <c r="Q798" s="15" t="str">
        <f>VLOOKUP(A798,sinap!$A$2:$R$9000,12,FALSE)</f>
        <v>11.1.01.0791</v>
      </c>
      <c r="R798" s="15" t="str">
        <f>VLOOKUP(A798,sinap!$A$2:$R$9000,16,FALSE)</f>
        <v>11.1.01.1241</v>
      </c>
      <c r="S798" s="15" t="str">
        <f>VLOOKUP(A798,sinap!$A$2:$Y$9000,20,FALSE)</f>
        <v>SI</v>
      </c>
    </row>
    <row r="799" spans="1:19" hidden="1" x14ac:dyDescent="0.25">
      <c r="A799" s="15">
        <v>16705658</v>
      </c>
      <c r="J799" s="15" t="str">
        <f>VLOOKUP(A799,sinap!$A$2:$R$9000,2,FALSE)</f>
        <v>H</v>
      </c>
      <c r="K799" s="15" t="str">
        <f>VLOOKUP(A799,sinap!$A$2:$R$9000,3,FALSE)</f>
        <v>VACA</v>
      </c>
      <c r="L799" s="15" t="str">
        <f>VLOOKUP(A799,sinap!$A$2:$R$9000,4,FALSE)</f>
        <v>ANGUS NEGRO</v>
      </c>
      <c r="M799" s="15" t="str">
        <f>VLOOKUP(A799,sinap!$A$2:$R$9000,5,FALSE)</f>
        <v>6 años 3 meses</v>
      </c>
      <c r="N799" s="15" t="str">
        <f>VLOOKUP(A799,sinap!$A$2:$R$9000,6,FALSE)</f>
        <v>30-09-2019</v>
      </c>
      <c r="O799" s="15" t="str">
        <f>VLOOKUP(A799,sinap!$A$2:$R$9000,7,FALSE)</f>
        <v>Vivo</v>
      </c>
      <c r="P799" s="15" t="str">
        <f>VLOOKUP(A799,sinap!$A$2:$R$9000,8,FALSE)</f>
        <v>11.1.01.2442</v>
      </c>
      <c r="Q799" s="15" t="str">
        <f>VLOOKUP(A799,sinap!$A$2:$R$9000,12,FALSE)</f>
        <v>11.1.01.0893</v>
      </c>
      <c r="R799" s="15" t="str">
        <f>VLOOKUP(A799,sinap!$A$2:$R$9000,16,FALSE)</f>
        <v>11.2.01.0038</v>
      </c>
      <c r="S799" s="15" t="str">
        <f>VLOOKUP(A799,sinap!$A$2:$Y$9000,20,FALSE)</f>
        <v>SI</v>
      </c>
    </row>
    <row r="800" spans="1:19" hidden="1" x14ac:dyDescent="0.25">
      <c r="A800" s="15">
        <v>16705665</v>
      </c>
      <c r="J800" s="15" t="str">
        <f>VLOOKUP(A800,sinap!$A$2:$R$9000,2,FALSE)</f>
        <v>H</v>
      </c>
      <c r="K800" s="15" t="str">
        <f>VLOOKUP(A800,sinap!$A$2:$R$9000,3,FALSE)</f>
        <v>VACA</v>
      </c>
      <c r="L800" s="15" t="str">
        <f>VLOOKUP(A800,sinap!$A$2:$R$9000,4,FALSE)</f>
        <v>HEREFORD</v>
      </c>
      <c r="M800" s="15" t="str">
        <f>VLOOKUP(A800,sinap!$A$2:$R$9000,5,FALSE)</f>
        <v>6 años 3 meses</v>
      </c>
      <c r="N800" s="15" t="str">
        <f>VLOOKUP(A800,sinap!$A$2:$R$9000,6,FALSE)</f>
        <v>30-09-2019</v>
      </c>
      <c r="O800" s="15" t="str">
        <f>VLOOKUP(A800,sinap!$A$2:$R$9000,7,FALSE)</f>
        <v>Vivo</v>
      </c>
      <c r="P800" s="15" t="str">
        <f>VLOOKUP(A800,sinap!$A$2:$R$9000,8,FALSE)</f>
        <v>11.1.01.2304</v>
      </c>
      <c r="Q800" s="15" t="str">
        <f>VLOOKUP(A800,sinap!$A$2:$R$9000,12,FALSE)</f>
        <v>11.2.01.0053</v>
      </c>
      <c r="R800" s="15" t="str">
        <f>VLOOKUP(A800,sinap!$A$2:$R$9000,16,FALSE)</f>
        <v>11.2.01.0038</v>
      </c>
      <c r="S800" s="15" t="str">
        <f>VLOOKUP(A800,sinap!$A$2:$Y$9000,20,FALSE)</f>
        <v>SI</v>
      </c>
    </row>
    <row r="801" spans="1:19" hidden="1" x14ac:dyDescent="0.25">
      <c r="A801" s="15">
        <v>16705675</v>
      </c>
      <c r="H801" s="16">
        <v>45648</v>
      </c>
      <c r="I801" s="16">
        <v>45671</v>
      </c>
      <c r="J801" s="15" t="str">
        <f>VLOOKUP(A801,sinap!$A$2:$R$9000,2,FALSE)</f>
        <v>H</v>
      </c>
      <c r="K801" s="15" t="str">
        <f>VLOOKUP(A801,sinap!$A$2:$R$9000,3,FALSE)</f>
        <v>VACA</v>
      </c>
      <c r="L801" s="15" t="str">
        <f>VLOOKUP(A801,sinap!$A$2:$R$9000,4,FALSE)</f>
        <v>ANGUS NEGRO</v>
      </c>
      <c r="M801" s="15" t="str">
        <f>VLOOKUP(A801,sinap!$A$2:$R$9000,5,FALSE)</f>
        <v>6 años 2 meses</v>
      </c>
      <c r="N801" s="15" t="str">
        <f>VLOOKUP(A801,sinap!$A$2:$R$9000,6,FALSE)</f>
        <v>20-10-2019</v>
      </c>
      <c r="O801" s="15" t="str">
        <f>VLOOKUP(A801,sinap!$A$2:$R$9000,7,FALSE)</f>
        <v>Vivo</v>
      </c>
      <c r="P801" s="15" t="str">
        <f>VLOOKUP(A801,sinap!$A$2:$R$9000,8,FALSE)</f>
        <v>11.1.01.1241</v>
      </c>
      <c r="Q801" s="15" t="str">
        <f>VLOOKUP(A801,sinap!$A$2:$R$9000,12,FALSE)</f>
        <v>11.2.01.0038</v>
      </c>
      <c r="R801" s="15" t="str">
        <f>VLOOKUP(A801,sinap!$A$2:$R$9000,16,FALSE)</f>
        <v>11.2.01.0038</v>
      </c>
      <c r="S801" s="15" t="str">
        <f>VLOOKUP(A801,sinap!$A$2:$Y$9000,20,FALSE)</f>
        <v>SI</v>
      </c>
    </row>
    <row r="802" spans="1:19" hidden="1" x14ac:dyDescent="0.25">
      <c r="A802" s="15">
        <v>16705676</v>
      </c>
      <c r="J802" s="15" t="str">
        <f>VLOOKUP(A802,sinap!$A$2:$R$9000,2,FALSE)</f>
        <v>H</v>
      </c>
      <c r="K802" s="15" t="str">
        <f>VLOOKUP(A802,sinap!$A$2:$R$9000,3,FALSE)</f>
        <v>VACA</v>
      </c>
      <c r="L802" s="15" t="str">
        <f>VLOOKUP(A802,sinap!$A$2:$R$9000,4,FALSE)</f>
        <v>ANGUS NEGRO</v>
      </c>
      <c r="M802" s="15" t="str">
        <f>VLOOKUP(A802,sinap!$A$2:$R$9000,5,FALSE)</f>
        <v>6 años 3 meses</v>
      </c>
      <c r="N802" s="15" t="str">
        <f>VLOOKUP(A802,sinap!$A$2:$R$9000,6,FALSE)</f>
        <v>30-09-2019</v>
      </c>
      <c r="O802" s="15" t="str">
        <f>VLOOKUP(A802,sinap!$A$2:$R$9000,7,FALSE)</f>
        <v>Vivo</v>
      </c>
      <c r="P802" s="15" t="str">
        <f>VLOOKUP(A802,sinap!$A$2:$R$9000,8,FALSE)</f>
        <v>11.2.01.0038</v>
      </c>
      <c r="Q802" s="15" t="str">
        <f>VLOOKUP(A802,sinap!$A$2:$R$9000,12,FALSE)</f>
        <v>11.1.01.0893</v>
      </c>
      <c r="R802" s="15" t="str">
        <f>VLOOKUP(A802,sinap!$A$2:$R$9000,16,FALSE)</f>
        <v>11.2.01.0038</v>
      </c>
      <c r="S802" s="15" t="str">
        <f>VLOOKUP(A802,sinap!$A$2:$Y$9000,20,FALSE)</f>
        <v>SI</v>
      </c>
    </row>
    <row r="803" spans="1:19" hidden="1" x14ac:dyDescent="0.25">
      <c r="A803" s="15">
        <v>16705697</v>
      </c>
      <c r="J803" s="15" t="str">
        <f>VLOOKUP(A803,sinap!$A$2:$R$9000,2,FALSE)</f>
        <v>H</v>
      </c>
      <c r="K803" s="15" t="str">
        <f>VLOOKUP(A803,sinap!$A$2:$R$9000,3,FALSE)</f>
        <v>VACA</v>
      </c>
      <c r="L803" s="15" t="str">
        <f>VLOOKUP(A803,sinap!$A$2:$R$9000,4,FALSE)</f>
        <v>ANGUS NEGRO</v>
      </c>
      <c r="M803" s="15" t="str">
        <f>VLOOKUP(A803,sinap!$A$2:$R$9000,5,FALSE)</f>
        <v>9 años 3 meses</v>
      </c>
      <c r="N803" s="15" t="str">
        <f>VLOOKUP(A803,sinap!$A$2:$R$9000,6,FALSE)</f>
        <v>10-10-2016</v>
      </c>
      <c r="O803" s="15" t="str">
        <f>VLOOKUP(A803,sinap!$A$2:$R$9000,7,FALSE)</f>
        <v>Vivo</v>
      </c>
      <c r="P803" s="15" t="str">
        <f>VLOOKUP(A803,sinap!$A$2:$R$9000,8,FALSE)</f>
        <v>11.1.01.1241</v>
      </c>
      <c r="Q803" s="15" t="str">
        <f>VLOOKUP(A803,sinap!$A$2:$R$9000,12,FALSE)</f>
        <v>11.2.01.0038</v>
      </c>
      <c r="R803" s="15" t="str">
        <f>VLOOKUP(A803,sinap!$A$2:$R$9000,16,FALSE)</f>
        <v>11.1.01.0791</v>
      </c>
      <c r="S803" s="15" t="str">
        <f>VLOOKUP(A803,sinap!$A$2:$Y$9000,20,FALSE)</f>
        <v>SI</v>
      </c>
    </row>
    <row r="804" spans="1:19" hidden="1" x14ac:dyDescent="0.25">
      <c r="A804" s="15">
        <v>16705699</v>
      </c>
      <c r="H804" s="16">
        <v>45648</v>
      </c>
      <c r="I804" s="16">
        <v>45671</v>
      </c>
      <c r="J804" s="15" t="str">
        <f>VLOOKUP(A804,sinap!$A$2:$R$9000,2,FALSE)</f>
        <v>H</v>
      </c>
      <c r="K804" s="15" t="str">
        <f>VLOOKUP(A804,sinap!$A$2:$R$9000,3,FALSE)</f>
        <v>VACA</v>
      </c>
      <c r="L804" s="15" t="str">
        <f>VLOOKUP(A804,sinap!$A$2:$R$9000,4,FALSE)</f>
        <v>ANGUS NEGRO</v>
      </c>
      <c r="M804" s="15" t="str">
        <f>VLOOKUP(A804,sinap!$A$2:$R$9000,5,FALSE)</f>
        <v>9 años 3 meses</v>
      </c>
      <c r="N804" s="15" t="str">
        <f>VLOOKUP(A804,sinap!$A$2:$R$9000,6,FALSE)</f>
        <v>10-10-2016</v>
      </c>
      <c r="O804" s="15" t="str">
        <f>VLOOKUP(A804,sinap!$A$2:$R$9000,7,FALSE)</f>
        <v>Vivo</v>
      </c>
      <c r="P804" s="15" t="str">
        <f>VLOOKUP(A804,sinap!$A$2:$R$9000,8,FALSE)</f>
        <v>11.1.01.0870</v>
      </c>
      <c r="Q804" s="15" t="str">
        <f>VLOOKUP(A804,sinap!$A$2:$R$9000,12,FALSE)</f>
        <v>11.1.01.1241</v>
      </c>
      <c r="R804" s="15" t="str">
        <f>VLOOKUP(A804,sinap!$A$2:$R$9000,16,FALSE)</f>
        <v>11.1.01.0791</v>
      </c>
      <c r="S804" s="15" t="str">
        <f>VLOOKUP(A804,sinap!$A$2:$Y$9000,20,FALSE)</f>
        <v>SI</v>
      </c>
    </row>
    <row r="805" spans="1:19" hidden="1" x14ac:dyDescent="0.25">
      <c r="A805" s="15">
        <v>16705705</v>
      </c>
      <c r="I805" s="16">
        <v>45671</v>
      </c>
      <c r="J805" s="15" t="str">
        <f>VLOOKUP(A805,sinap!$A$2:$R$9000,2,FALSE)</f>
        <v>H</v>
      </c>
      <c r="K805" s="15" t="str">
        <f>VLOOKUP(A805,sinap!$A$2:$R$9000,3,FALSE)</f>
        <v>VACA</v>
      </c>
      <c r="L805" s="15" t="str">
        <f>VLOOKUP(A805,sinap!$A$2:$R$9000,4,FALSE)</f>
        <v>ANGUS NEGRO</v>
      </c>
      <c r="M805" s="15" t="str">
        <f>VLOOKUP(A805,sinap!$A$2:$R$9000,5,FALSE)</f>
        <v>16 años 3 meses</v>
      </c>
      <c r="N805" s="15" t="str">
        <f>VLOOKUP(A805,sinap!$A$2:$R$9000,6,FALSE)</f>
        <v>30-09-2009</v>
      </c>
      <c r="O805" s="15" t="str">
        <f>VLOOKUP(A805,sinap!$A$2:$R$9000,7,FALSE)</f>
        <v>Vivo</v>
      </c>
      <c r="P805" s="15" t="str">
        <f>VLOOKUP(A805,sinap!$A$2:$R$9000,8,FALSE)</f>
        <v>11.1.01.1241</v>
      </c>
      <c r="Q805" s="15" t="str">
        <f>VLOOKUP(A805,sinap!$A$2:$R$9000,12,FALSE)</f>
        <v>11.2.01.0038</v>
      </c>
      <c r="R805" s="15" t="str">
        <f>VLOOKUP(A805,sinap!$A$2:$R$9000,16,FALSE)</f>
        <v>11.1.01.1241</v>
      </c>
      <c r="S805" s="15" t="str">
        <f>VLOOKUP(A805,sinap!$A$2:$Y$9000,20,FALSE)</f>
        <v>SI</v>
      </c>
    </row>
    <row r="806" spans="1:19" hidden="1" x14ac:dyDescent="0.25">
      <c r="A806" s="15">
        <v>16705710</v>
      </c>
      <c r="J806" s="15" t="str">
        <f>VLOOKUP(A806,sinap!$A$2:$R$9000,2,FALSE)</f>
        <v>H</v>
      </c>
      <c r="K806" s="15" t="str">
        <f>VLOOKUP(A806,sinap!$A$2:$R$9000,3,FALSE)</f>
        <v>VACA</v>
      </c>
      <c r="L806" s="15" t="str">
        <f>VLOOKUP(A806,sinap!$A$2:$R$9000,4,FALSE)</f>
        <v>ANGUS NEGRO</v>
      </c>
      <c r="M806" s="15" t="str">
        <f>VLOOKUP(A806,sinap!$A$2:$R$9000,5,FALSE)</f>
        <v>8 años 4 meses</v>
      </c>
      <c r="N806" s="15" t="str">
        <f>VLOOKUP(A806,sinap!$A$2:$R$9000,6,FALSE)</f>
        <v>30-08-2017</v>
      </c>
      <c r="O806" s="15" t="str">
        <f>VLOOKUP(A806,sinap!$A$2:$R$9000,7,FALSE)</f>
        <v>Vivo</v>
      </c>
      <c r="P806" s="15" t="str">
        <f>VLOOKUP(A806,sinap!$A$2:$R$9000,8,FALSE)</f>
        <v>11.1.01.1241</v>
      </c>
      <c r="Q806" s="15" t="str">
        <f>VLOOKUP(A806,sinap!$A$2:$R$9000,12,FALSE)</f>
        <v>11.2.01.0038</v>
      </c>
      <c r="R806" s="15" t="str">
        <f>VLOOKUP(A806,sinap!$A$2:$R$9000,16,FALSE)</f>
        <v>11.1.01.1241</v>
      </c>
      <c r="S806" s="15" t="str">
        <f>VLOOKUP(A806,sinap!$A$2:$Y$9000,20,FALSE)</f>
        <v>SI</v>
      </c>
    </row>
    <row r="807" spans="1:19" hidden="1" x14ac:dyDescent="0.25">
      <c r="A807" s="15">
        <v>16705711</v>
      </c>
      <c r="H807" s="16">
        <v>45648</v>
      </c>
      <c r="I807" s="16">
        <v>45671</v>
      </c>
      <c r="J807" s="15" t="str">
        <f>VLOOKUP(A807,sinap!$A$2:$R$9000,2,FALSE)</f>
        <v>H</v>
      </c>
      <c r="K807" s="15" t="str">
        <f>VLOOKUP(A807,sinap!$A$2:$R$9000,3,FALSE)</f>
        <v>VACA</v>
      </c>
      <c r="L807" s="15" t="str">
        <f>VLOOKUP(A807,sinap!$A$2:$R$9000,4,FALSE)</f>
        <v>ANGUS NEGRO</v>
      </c>
      <c r="M807" s="15" t="str">
        <f>VLOOKUP(A807,sinap!$A$2:$R$9000,5,FALSE)</f>
        <v>8 años 3 meses</v>
      </c>
      <c r="N807" s="15" t="str">
        <f>VLOOKUP(A807,sinap!$A$2:$R$9000,6,FALSE)</f>
        <v>30-09-2017</v>
      </c>
      <c r="O807" s="15" t="str">
        <f>VLOOKUP(A807,sinap!$A$2:$R$9000,7,FALSE)</f>
        <v>Vivo</v>
      </c>
      <c r="P807" s="15" t="str">
        <f>VLOOKUP(A807,sinap!$A$2:$R$9000,8,FALSE)</f>
        <v>11.1.01.1241</v>
      </c>
      <c r="Q807" s="15" t="str">
        <f>VLOOKUP(A807,sinap!$A$2:$R$9000,12,FALSE)</f>
        <v>11.2.01.0038</v>
      </c>
      <c r="R807" s="15" t="str">
        <f>VLOOKUP(A807,sinap!$A$2:$R$9000,16,FALSE)</f>
        <v>11.2.01.2071</v>
      </c>
      <c r="S807" s="15" t="str">
        <f>VLOOKUP(A807,sinap!$A$2:$Y$9000,20,FALSE)</f>
        <v>SI</v>
      </c>
    </row>
    <row r="808" spans="1:19" hidden="1" x14ac:dyDescent="0.25">
      <c r="A808" s="15">
        <v>16705714</v>
      </c>
      <c r="H808" s="16">
        <v>45430</v>
      </c>
      <c r="I808" s="16">
        <v>45966</v>
      </c>
      <c r="J808" s="15" t="str">
        <f>VLOOKUP(A808,sinap!$A$2:$R$9000,2,FALSE)</f>
        <v>H</v>
      </c>
      <c r="K808" s="15" t="str">
        <f>VLOOKUP(A808,sinap!$A$2:$R$9000,3,FALSE)</f>
        <v>VACA</v>
      </c>
      <c r="L808" s="15" t="str">
        <f>VLOOKUP(A808,sinap!$A$2:$R$9000,4,FALSE)</f>
        <v>ANGUS NEGRO</v>
      </c>
      <c r="M808" s="15" t="str">
        <f>VLOOKUP(A808,sinap!$A$2:$R$9000,5,FALSE)</f>
        <v>14 años 2 meses</v>
      </c>
      <c r="N808" s="15" t="str">
        <f>VLOOKUP(A808,sinap!$A$2:$R$9000,6,FALSE)</f>
        <v>30-10-2011</v>
      </c>
      <c r="O808" s="15" t="str">
        <f>VLOOKUP(A808,sinap!$A$2:$R$9000,7,FALSE)</f>
        <v>Vivo</v>
      </c>
      <c r="P808" s="15" t="str">
        <f>VLOOKUP(A808,sinap!$A$2:$R$9000,8,FALSE)</f>
        <v>11.1.01.0941</v>
      </c>
      <c r="Q808" s="15" t="str">
        <f>VLOOKUP(A808,sinap!$A$2:$R$9000,12,FALSE)</f>
        <v>11.1.01.1241</v>
      </c>
      <c r="R808" s="15" t="str">
        <f>VLOOKUP(A808,sinap!$A$2:$R$9000,16,FALSE)</f>
        <v>11.1.01.0790</v>
      </c>
      <c r="S808" s="15" t="str">
        <f>VLOOKUP(A808,sinap!$A$2:$Y$9000,20,FALSE)</f>
        <v>SI</v>
      </c>
    </row>
    <row r="809" spans="1:19" hidden="1" x14ac:dyDescent="0.25">
      <c r="A809" s="15">
        <v>16705715</v>
      </c>
      <c r="J809" s="15" t="str">
        <f>VLOOKUP(A809,sinap!$A$2:$R$9000,2,FALSE)</f>
        <v>H</v>
      </c>
      <c r="K809" s="15" t="str">
        <f>VLOOKUP(A809,sinap!$A$2:$R$9000,3,FALSE)</f>
        <v>VACA</v>
      </c>
      <c r="L809" s="15" t="str">
        <f>VLOOKUP(A809,sinap!$A$2:$R$9000,4,FALSE)</f>
        <v>ANGUS NEGRO</v>
      </c>
      <c r="M809" s="15" t="str">
        <f>VLOOKUP(A809,sinap!$A$2:$R$9000,5,FALSE)</f>
        <v>16 años 3 meses</v>
      </c>
      <c r="N809" s="15" t="str">
        <f>VLOOKUP(A809,sinap!$A$2:$R$9000,6,FALSE)</f>
        <v>30-09-2009</v>
      </c>
      <c r="O809" s="15" t="str">
        <f>VLOOKUP(A809,sinap!$A$2:$R$9000,7,FALSE)</f>
        <v>Vivo</v>
      </c>
      <c r="P809" s="15" t="str">
        <f>VLOOKUP(A809,sinap!$A$2:$R$9000,8,FALSE)</f>
        <v>11.1.01.0791</v>
      </c>
      <c r="Q809" s="15" t="str">
        <f>VLOOKUP(A809,sinap!$A$2:$R$9000,12,FALSE)</f>
        <v>11.1.01.0893</v>
      </c>
      <c r="R809" s="15" t="str">
        <f>VLOOKUP(A809,sinap!$A$2:$R$9000,16,FALSE)</f>
        <v>11.1.01.1241</v>
      </c>
      <c r="S809" s="15" t="str">
        <f>VLOOKUP(A809,sinap!$A$2:$Y$9000,20,FALSE)</f>
        <v>SI</v>
      </c>
    </row>
    <row r="810" spans="1:19" hidden="1" x14ac:dyDescent="0.25">
      <c r="A810" s="15">
        <v>16705719</v>
      </c>
      <c r="J810" s="15" t="str">
        <f>VLOOKUP(A810,sinap!$A$2:$R$9000,2,FALSE)</f>
        <v>H</v>
      </c>
      <c r="K810" s="15" t="str">
        <f>VLOOKUP(A810,sinap!$A$2:$R$9000,3,FALSE)</f>
        <v>VACA</v>
      </c>
      <c r="L810" s="15" t="str">
        <f>VLOOKUP(A810,sinap!$A$2:$R$9000,4,FALSE)</f>
        <v>ANGUS NEGRO</v>
      </c>
      <c r="M810" s="15" t="str">
        <f>VLOOKUP(A810,sinap!$A$2:$R$9000,5,FALSE)</f>
        <v>14 años 1 meses</v>
      </c>
      <c r="N810" s="15" t="str">
        <f>VLOOKUP(A810,sinap!$A$2:$R$9000,6,FALSE)</f>
        <v>30-11-2011</v>
      </c>
      <c r="O810" s="15" t="str">
        <f>VLOOKUP(A810,sinap!$A$2:$R$9000,7,FALSE)</f>
        <v>Vivo</v>
      </c>
      <c r="P810" s="15" t="str">
        <f>VLOOKUP(A810,sinap!$A$2:$R$9000,8,FALSE)</f>
        <v>11.1.01.1241</v>
      </c>
      <c r="Q810" s="15" t="str">
        <f>VLOOKUP(A810,sinap!$A$2:$R$9000,12,FALSE)</f>
        <v>11.2.01.0038</v>
      </c>
      <c r="R810" s="15" t="str">
        <f>VLOOKUP(A810,sinap!$A$2:$R$9000,16,FALSE)</f>
        <v>11.1.01.1241</v>
      </c>
      <c r="S810" s="15" t="str">
        <f>VLOOKUP(A810,sinap!$A$2:$Y$9000,20,FALSE)</f>
        <v>SI</v>
      </c>
    </row>
    <row r="811" spans="1:19" hidden="1" x14ac:dyDescent="0.25">
      <c r="A811" s="15">
        <v>16705721</v>
      </c>
      <c r="J811" s="15" t="str">
        <f>VLOOKUP(A811,sinap!$A$2:$R$9000,2,FALSE)</f>
        <v>H</v>
      </c>
      <c r="K811" s="15" t="str">
        <f>VLOOKUP(A811,sinap!$A$2:$R$9000,3,FALSE)</f>
        <v>VACA</v>
      </c>
      <c r="L811" s="15" t="str">
        <f>VLOOKUP(A811,sinap!$A$2:$R$9000,4,FALSE)</f>
        <v>ANGUS NEGRO</v>
      </c>
      <c r="M811" s="15" t="str">
        <f>VLOOKUP(A811,sinap!$A$2:$R$9000,5,FALSE)</f>
        <v>13 años 3 meses</v>
      </c>
      <c r="N811" s="15" t="str">
        <f>VLOOKUP(A811,sinap!$A$2:$R$9000,6,FALSE)</f>
        <v>15-10-2012</v>
      </c>
      <c r="O811" s="15" t="str">
        <f>VLOOKUP(A811,sinap!$A$2:$R$9000,7,FALSE)</f>
        <v>Vivo</v>
      </c>
      <c r="P811" s="15" t="str">
        <f>VLOOKUP(A811,sinap!$A$2:$R$9000,8,FALSE)</f>
        <v>11.2.01.0038</v>
      </c>
      <c r="Q811" s="15" t="str">
        <f>VLOOKUP(A811,sinap!$A$2:$R$9000,12,FALSE)</f>
        <v>11.1.01.0893</v>
      </c>
      <c r="R811" s="15" t="str">
        <f>VLOOKUP(A811,sinap!$A$2:$R$9000,16,FALSE)</f>
        <v>11.1.01.1162</v>
      </c>
      <c r="S811" s="15" t="str">
        <f>VLOOKUP(A811,sinap!$A$2:$Y$9000,20,FALSE)</f>
        <v>SI</v>
      </c>
    </row>
    <row r="812" spans="1:19" hidden="1" x14ac:dyDescent="0.25">
      <c r="A812" s="15">
        <v>16705722</v>
      </c>
      <c r="J812" s="15" t="str">
        <f>VLOOKUP(A812,sinap!$A$2:$R$9000,2,FALSE)</f>
        <v>H</v>
      </c>
      <c r="K812" s="15" t="str">
        <f>VLOOKUP(A812,sinap!$A$2:$R$9000,3,FALSE)</f>
        <v>VACA</v>
      </c>
      <c r="L812" s="15" t="str">
        <f>VLOOKUP(A812,sinap!$A$2:$R$9000,4,FALSE)</f>
        <v>ANGUS NEGRO</v>
      </c>
      <c r="M812" s="15" t="str">
        <f>VLOOKUP(A812,sinap!$A$2:$R$9000,5,FALSE)</f>
        <v>8 años 3 meses</v>
      </c>
      <c r="N812" s="15" t="str">
        <f>VLOOKUP(A812,sinap!$A$2:$R$9000,6,FALSE)</f>
        <v>06-10-2017</v>
      </c>
      <c r="O812" s="15" t="str">
        <f>VLOOKUP(A812,sinap!$A$2:$R$9000,7,FALSE)</f>
        <v>Vivo</v>
      </c>
      <c r="P812" s="15" t="str">
        <f>VLOOKUP(A812,sinap!$A$2:$R$9000,8,FALSE)</f>
        <v>11.1.01.1241</v>
      </c>
      <c r="Q812" s="15" t="str">
        <f>VLOOKUP(A812,sinap!$A$2:$R$9000,12,FALSE)</f>
        <v>11.1.01.1022</v>
      </c>
      <c r="R812" s="15" t="str">
        <f>VLOOKUP(A812,sinap!$A$2:$R$9000,16,FALSE)</f>
        <v>11.1.01.0893</v>
      </c>
      <c r="S812" s="15" t="str">
        <f>VLOOKUP(A812,sinap!$A$2:$Y$9000,20,FALSE)</f>
        <v>SI</v>
      </c>
    </row>
    <row r="813" spans="1:19" hidden="1" x14ac:dyDescent="0.25">
      <c r="A813" s="15">
        <v>16705727</v>
      </c>
      <c r="H813" s="16">
        <v>45648</v>
      </c>
      <c r="I813" s="16">
        <v>45671</v>
      </c>
      <c r="J813" s="15" t="str">
        <f>VLOOKUP(A813,sinap!$A$2:$R$9000,2,FALSE)</f>
        <v>H</v>
      </c>
      <c r="K813" s="15" t="str">
        <f>VLOOKUP(A813,sinap!$A$2:$R$9000,3,FALSE)</f>
        <v>VACA</v>
      </c>
      <c r="L813" s="15" t="str">
        <f>VLOOKUP(A813,sinap!$A$2:$R$9000,4,FALSE)</f>
        <v>ANGUS NEGRO</v>
      </c>
      <c r="M813" s="15" t="str">
        <f>VLOOKUP(A813,sinap!$A$2:$R$9000,5,FALSE)</f>
        <v>13 años 3 meses</v>
      </c>
      <c r="N813" s="15" t="str">
        <f>VLOOKUP(A813,sinap!$A$2:$R$9000,6,FALSE)</f>
        <v>30-09-2012</v>
      </c>
      <c r="O813" s="15" t="str">
        <f>VLOOKUP(A813,sinap!$A$2:$R$9000,7,FALSE)</f>
        <v>Vivo</v>
      </c>
      <c r="P813" s="15" t="str">
        <f>VLOOKUP(A813,sinap!$A$2:$R$9000,8,FALSE)</f>
        <v>11.1.01.1241</v>
      </c>
      <c r="Q813" s="15" t="str">
        <f>VLOOKUP(A813,sinap!$A$2:$R$9000,12,FALSE)</f>
        <v>11.2.01.0038</v>
      </c>
      <c r="R813" s="15" t="str">
        <f>VLOOKUP(A813,sinap!$A$2:$R$9000,16,FALSE)</f>
        <v>11.1.01.1241</v>
      </c>
      <c r="S813" s="15" t="str">
        <f>VLOOKUP(A813,sinap!$A$2:$Y$9000,20,FALSE)</f>
        <v>SI</v>
      </c>
    </row>
    <row r="814" spans="1:19" hidden="1" x14ac:dyDescent="0.25">
      <c r="A814" s="15">
        <v>16705731</v>
      </c>
      <c r="H814" s="16">
        <v>45432</v>
      </c>
      <c r="I814" s="16">
        <v>45966</v>
      </c>
      <c r="J814" s="15" t="str">
        <f>VLOOKUP(A814,sinap!$A$2:$R$9000,2,FALSE)</f>
        <v>H</v>
      </c>
      <c r="K814" s="15" t="str">
        <f>VLOOKUP(A814,sinap!$A$2:$R$9000,3,FALSE)</f>
        <v>VACA</v>
      </c>
      <c r="L814" s="15" t="str">
        <f>VLOOKUP(A814,sinap!$A$2:$R$9000,4,FALSE)</f>
        <v>HEREFORD</v>
      </c>
      <c r="M814" s="15" t="str">
        <f>VLOOKUP(A814,sinap!$A$2:$R$9000,5,FALSE)</f>
        <v>12 años 2 meses</v>
      </c>
      <c r="N814" s="15" t="str">
        <f>VLOOKUP(A814,sinap!$A$2:$R$9000,6,FALSE)</f>
        <v>20-10-2013</v>
      </c>
      <c r="O814" s="15" t="str">
        <f>VLOOKUP(A814,sinap!$A$2:$R$9000,7,FALSE)</f>
        <v>Vivo</v>
      </c>
      <c r="P814" s="15" t="str">
        <f>VLOOKUP(A814,sinap!$A$2:$R$9000,8,FALSE)</f>
        <v>11.1.01.1241</v>
      </c>
      <c r="Q814" s="15" t="str">
        <f>VLOOKUP(A814,sinap!$A$2:$R$9000,12,FALSE)</f>
        <v>11.2.01.0038</v>
      </c>
      <c r="R814" s="15" t="str">
        <f>VLOOKUP(A814,sinap!$A$2:$R$9000,16,FALSE)</f>
        <v>11.1.01.1081</v>
      </c>
      <c r="S814" s="15" t="str">
        <f>VLOOKUP(A814,sinap!$A$2:$Y$9000,20,FALSE)</f>
        <v>SI</v>
      </c>
    </row>
    <row r="815" spans="1:19" hidden="1" x14ac:dyDescent="0.25">
      <c r="A815" s="15">
        <v>16705737</v>
      </c>
      <c r="H815" s="16">
        <v>45622</v>
      </c>
      <c r="I815" s="16">
        <v>45671</v>
      </c>
      <c r="J815" s="15" t="str">
        <f>VLOOKUP(A815,sinap!$A$2:$R$9000,2,FALSE)</f>
        <v>H</v>
      </c>
      <c r="K815" s="15" t="str">
        <f>VLOOKUP(A815,sinap!$A$2:$R$9000,3,FALSE)</f>
        <v>VACA</v>
      </c>
      <c r="L815" s="15" t="str">
        <f>VLOOKUP(A815,sinap!$A$2:$R$9000,4,FALSE)</f>
        <v>ANGUS NEGRO</v>
      </c>
      <c r="M815" s="15" t="str">
        <f>VLOOKUP(A815,sinap!$A$2:$R$9000,5,FALSE)</f>
        <v>14 años 3 meses</v>
      </c>
      <c r="N815" s="15" t="str">
        <f>VLOOKUP(A815,sinap!$A$2:$R$9000,6,FALSE)</f>
        <v>30-09-2011</v>
      </c>
      <c r="O815" s="15" t="str">
        <f>VLOOKUP(A815,sinap!$A$2:$R$9000,7,FALSE)</f>
        <v>Vivo</v>
      </c>
      <c r="P815" s="15" t="str">
        <f>VLOOKUP(A815,sinap!$A$2:$R$9000,8,FALSE)</f>
        <v>11.1.01.1241</v>
      </c>
      <c r="Q815" s="15" t="str">
        <f>VLOOKUP(A815,sinap!$A$2:$R$9000,12,FALSE)</f>
        <v>11.2.01.0038</v>
      </c>
      <c r="R815" s="15" t="str">
        <f>VLOOKUP(A815,sinap!$A$2:$R$9000,16,FALSE)</f>
        <v>11.1.01.0790</v>
      </c>
      <c r="S815" s="15" t="str">
        <f>VLOOKUP(A815,sinap!$A$2:$Y$9000,20,FALSE)</f>
        <v>SI</v>
      </c>
    </row>
    <row r="816" spans="1:19" hidden="1" x14ac:dyDescent="0.25">
      <c r="A816" s="15">
        <v>16705739</v>
      </c>
      <c r="J816" s="15" t="str">
        <f>VLOOKUP(A816,sinap!$A$2:$R$9000,2,FALSE)</f>
        <v>H</v>
      </c>
      <c r="K816" s="15" t="str">
        <f>VLOOKUP(A816,sinap!$A$2:$R$9000,3,FALSE)</f>
        <v>VACA</v>
      </c>
      <c r="L816" s="15" t="str">
        <f>VLOOKUP(A816,sinap!$A$2:$R$9000,4,FALSE)</f>
        <v>ANGUS NEGRO</v>
      </c>
      <c r="M816" s="15" t="str">
        <f>VLOOKUP(A816,sinap!$A$2:$R$9000,5,FALSE)</f>
        <v>12 años 11 meses</v>
      </c>
      <c r="N816" s="15" t="str">
        <f>VLOOKUP(A816,sinap!$A$2:$R$9000,6,FALSE)</f>
        <v>30-01-2013</v>
      </c>
      <c r="O816" s="15" t="str">
        <f>VLOOKUP(A816,sinap!$A$2:$R$9000,7,FALSE)</f>
        <v>Vivo</v>
      </c>
      <c r="P816" s="15" t="str">
        <f>VLOOKUP(A816,sinap!$A$2:$R$9000,8,FALSE)</f>
        <v>11.1.01.1241</v>
      </c>
      <c r="Q816" s="15" t="str">
        <f>VLOOKUP(A816,sinap!$A$2:$R$9000,12,FALSE)</f>
        <v>11.2.01.0038</v>
      </c>
      <c r="R816" s="15" t="str">
        <f>VLOOKUP(A816,sinap!$A$2:$R$9000,16,FALSE)</f>
        <v>11.1.01.1240</v>
      </c>
      <c r="S816" s="15" t="str">
        <f>VLOOKUP(A816,sinap!$A$2:$Y$9000,20,FALSE)</f>
        <v>SI</v>
      </c>
    </row>
    <row r="817" spans="1:19" hidden="1" x14ac:dyDescent="0.25">
      <c r="A817" s="15">
        <v>16705742</v>
      </c>
      <c r="J817" s="15" t="str">
        <f>VLOOKUP(A817,sinap!$A$2:$R$9000,2,FALSE)</f>
        <v>H</v>
      </c>
      <c r="K817" s="15" t="str">
        <f>VLOOKUP(A817,sinap!$A$2:$R$9000,3,FALSE)</f>
        <v>VACA</v>
      </c>
      <c r="L817" s="15" t="str">
        <f>VLOOKUP(A817,sinap!$A$2:$R$9000,4,FALSE)</f>
        <v>ANGUS NEGRO</v>
      </c>
      <c r="M817" s="15" t="str">
        <f>VLOOKUP(A817,sinap!$A$2:$R$9000,5,FALSE)</f>
        <v>15 años 3 meses</v>
      </c>
      <c r="N817" s="15" t="str">
        <f>VLOOKUP(A817,sinap!$A$2:$R$9000,6,FALSE)</f>
        <v>30-09-2010</v>
      </c>
      <c r="O817" s="15" t="str">
        <f>VLOOKUP(A817,sinap!$A$2:$R$9000,7,FALSE)</f>
        <v>Vivo</v>
      </c>
      <c r="P817" s="15" t="str">
        <f>VLOOKUP(A817,sinap!$A$2:$R$9000,8,FALSE)</f>
        <v>11.1.01.1240</v>
      </c>
      <c r="Q817" s="15" t="str">
        <f>VLOOKUP(A817,sinap!$A$2:$R$9000,12,FALSE)</f>
        <v>11.1.02.0004</v>
      </c>
      <c r="R817" s="15" t="str">
        <f>VLOOKUP(A817,sinap!$A$2:$R$9000,16,FALSE)</f>
        <v>11.1.01.1241</v>
      </c>
      <c r="S817" s="15" t="str">
        <f>VLOOKUP(A817,sinap!$A$2:$Y$9000,20,FALSE)</f>
        <v>SI</v>
      </c>
    </row>
    <row r="818" spans="1:19" hidden="1" x14ac:dyDescent="0.25">
      <c r="A818" s="15">
        <v>16705744</v>
      </c>
      <c r="J818" s="15" t="str">
        <f>VLOOKUP(A818,sinap!$A$2:$R$9000,2,FALSE)</f>
        <v>H</v>
      </c>
      <c r="K818" s="15" t="str">
        <f>VLOOKUP(A818,sinap!$A$2:$R$9000,3,FALSE)</f>
        <v>VACA</v>
      </c>
      <c r="L818" s="15" t="str">
        <f>VLOOKUP(A818,sinap!$A$2:$R$9000,4,FALSE)</f>
        <v>ANGUS NEGRO</v>
      </c>
      <c r="M818" s="15" t="str">
        <f>VLOOKUP(A818,sinap!$A$2:$R$9000,5,FALSE)</f>
        <v>9 años 3 meses</v>
      </c>
      <c r="N818" s="15" t="str">
        <f>VLOOKUP(A818,sinap!$A$2:$R$9000,6,FALSE)</f>
        <v>10-10-2016</v>
      </c>
      <c r="O818" s="15" t="str">
        <f>VLOOKUP(A818,sinap!$A$2:$R$9000,7,FALSE)</f>
        <v>Vivo</v>
      </c>
      <c r="P818" s="15" t="str">
        <f>VLOOKUP(A818,sinap!$A$2:$R$9000,8,FALSE)</f>
        <v>11.1.01.1241</v>
      </c>
      <c r="Q818" s="15" t="str">
        <f>VLOOKUP(A818,sinap!$A$2:$R$9000,12,FALSE)</f>
        <v>11.2.01.0038</v>
      </c>
      <c r="R818" s="15" t="str">
        <f>VLOOKUP(A818,sinap!$A$2:$R$9000,16,FALSE)</f>
        <v>11.1.01.1241</v>
      </c>
      <c r="S818" s="15" t="str">
        <f>VLOOKUP(A818,sinap!$A$2:$Y$9000,20,FALSE)</f>
        <v>SI</v>
      </c>
    </row>
    <row r="819" spans="1:19" hidden="1" x14ac:dyDescent="0.25">
      <c r="A819" s="15">
        <v>16705746</v>
      </c>
      <c r="J819" s="15" t="str">
        <f>VLOOKUP(A819,sinap!$A$2:$R$9000,2,FALSE)</f>
        <v>H</v>
      </c>
      <c r="K819" s="15" t="str">
        <f>VLOOKUP(A819,sinap!$A$2:$R$9000,3,FALSE)</f>
        <v>VACA</v>
      </c>
      <c r="L819" s="15" t="str">
        <f>VLOOKUP(A819,sinap!$A$2:$R$9000,4,FALSE)</f>
        <v>ANGUS NEGRO</v>
      </c>
      <c r="M819" s="15" t="str">
        <f>VLOOKUP(A819,sinap!$A$2:$R$9000,5,FALSE)</f>
        <v>12 años 11 meses</v>
      </c>
      <c r="N819" s="15" t="str">
        <f>VLOOKUP(A819,sinap!$A$2:$R$9000,6,FALSE)</f>
        <v>30-01-2013</v>
      </c>
      <c r="O819" s="15" t="str">
        <f>VLOOKUP(A819,sinap!$A$2:$R$9000,7,FALSE)</f>
        <v>Vivo</v>
      </c>
      <c r="P819" s="15" t="str">
        <f>VLOOKUP(A819,sinap!$A$2:$R$9000,8,FALSE)</f>
        <v>11.1.01.1241</v>
      </c>
      <c r="Q819" s="15" t="str">
        <f>VLOOKUP(A819,sinap!$A$2:$R$9000,12,FALSE)</f>
        <v>11.2.01.0038</v>
      </c>
      <c r="R819" s="15" t="str">
        <f>VLOOKUP(A819,sinap!$A$2:$R$9000,16,FALSE)</f>
        <v>11.1.01.1240</v>
      </c>
      <c r="S819" s="15" t="str">
        <f>VLOOKUP(A819,sinap!$A$2:$Y$9000,20,FALSE)</f>
        <v>SI</v>
      </c>
    </row>
    <row r="820" spans="1:19" hidden="1" x14ac:dyDescent="0.25">
      <c r="A820" s="15">
        <v>16705747</v>
      </c>
      <c r="H820" s="16">
        <v>45297</v>
      </c>
      <c r="J820" s="15" t="str">
        <f>VLOOKUP(A820,sinap!$A$2:$R$9000,2,FALSE)</f>
        <v>H</v>
      </c>
      <c r="K820" s="15" t="str">
        <f>VLOOKUP(A820,sinap!$A$2:$R$9000,3,FALSE)</f>
        <v>VACA</v>
      </c>
      <c r="L820" s="15" t="str">
        <f>VLOOKUP(A820,sinap!$A$2:$R$9000,4,FALSE)</f>
        <v>ANGUS NEGRO</v>
      </c>
      <c r="M820" s="15" t="str">
        <f>VLOOKUP(A820,sinap!$A$2:$R$9000,5,FALSE)</f>
        <v>11 años 3 meses</v>
      </c>
      <c r="N820" s="15" t="str">
        <f>VLOOKUP(A820,sinap!$A$2:$R$9000,6,FALSE)</f>
        <v>30-09-2014</v>
      </c>
      <c r="O820" s="15" t="str">
        <f>VLOOKUP(A820,sinap!$A$2:$R$9000,7,FALSE)</f>
        <v>Vivo</v>
      </c>
      <c r="P820" s="15" t="str">
        <f>VLOOKUP(A820,sinap!$A$2:$R$9000,8,FALSE)</f>
        <v>11.1.01.0791</v>
      </c>
      <c r="Q820" s="15" t="str">
        <f>VLOOKUP(A820,sinap!$A$2:$R$9000,12,FALSE)</f>
        <v>11.1.01.0893</v>
      </c>
      <c r="R820" s="15" t="str">
        <f>VLOOKUP(A820,sinap!$A$2:$R$9000,16,FALSE)</f>
        <v>11.1.01.2304</v>
      </c>
      <c r="S820" s="15" t="str">
        <f>VLOOKUP(A820,sinap!$A$2:$Y$9000,20,FALSE)</f>
        <v>SI</v>
      </c>
    </row>
    <row r="821" spans="1:19" hidden="1" x14ac:dyDescent="0.25">
      <c r="A821" s="15">
        <v>16705749</v>
      </c>
      <c r="H821" s="16">
        <v>45430</v>
      </c>
      <c r="J821" s="15" t="str">
        <f>VLOOKUP(A821,sinap!$A$2:$R$9000,2,FALSE)</f>
        <v>H</v>
      </c>
      <c r="K821" s="15" t="str">
        <f>VLOOKUP(A821,sinap!$A$2:$R$9000,3,FALSE)</f>
        <v>VACA</v>
      </c>
      <c r="L821" s="15" t="str">
        <f>VLOOKUP(A821,sinap!$A$2:$R$9000,4,FALSE)</f>
        <v>ANGUS NEGRO</v>
      </c>
      <c r="M821" s="15" t="str">
        <f>VLOOKUP(A821,sinap!$A$2:$R$9000,5,FALSE)</f>
        <v>12 años 3 meses</v>
      </c>
      <c r="N821" s="15" t="str">
        <f>VLOOKUP(A821,sinap!$A$2:$R$9000,6,FALSE)</f>
        <v>15-10-2013</v>
      </c>
      <c r="O821" s="15" t="str">
        <f>VLOOKUP(A821,sinap!$A$2:$R$9000,7,FALSE)</f>
        <v>Vivo</v>
      </c>
      <c r="P821" s="15" t="str">
        <f>VLOOKUP(A821,sinap!$A$2:$R$9000,8,FALSE)</f>
        <v>11.1.01.0941</v>
      </c>
      <c r="Q821" s="15" t="str">
        <f>VLOOKUP(A821,sinap!$A$2:$R$9000,12,FALSE)</f>
        <v>11.1.01.1241</v>
      </c>
      <c r="R821" s="15" t="str">
        <f>VLOOKUP(A821,sinap!$A$2:$R$9000,16,FALSE)</f>
        <v>11.1.01.0790</v>
      </c>
      <c r="S821" s="15" t="str">
        <f>VLOOKUP(A821,sinap!$A$2:$Y$9000,20,FALSE)</f>
        <v>SI</v>
      </c>
    </row>
    <row r="822" spans="1:19" hidden="1" x14ac:dyDescent="0.25">
      <c r="A822" s="15">
        <v>16705750</v>
      </c>
      <c r="J822" s="15" t="str">
        <f>VLOOKUP(A822,sinap!$A$2:$R$9000,2,FALSE)</f>
        <v>H</v>
      </c>
      <c r="K822" s="15" t="str">
        <f>VLOOKUP(A822,sinap!$A$2:$R$9000,3,FALSE)</f>
        <v>VACA</v>
      </c>
      <c r="L822" s="15" t="str">
        <f>VLOOKUP(A822,sinap!$A$2:$R$9000,4,FALSE)</f>
        <v>ANGUS NEGRO</v>
      </c>
      <c r="M822" s="15" t="str">
        <f>VLOOKUP(A822,sinap!$A$2:$R$9000,5,FALSE)</f>
        <v>14 años 0 meses</v>
      </c>
      <c r="N822" s="15" t="str">
        <f>VLOOKUP(A822,sinap!$A$2:$R$9000,6,FALSE)</f>
        <v>15-01-2012</v>
      </c>
      <c r="O822" s="15" t="str">
        <f>VLOOKUP(A822,sinap!$A$2:$R$9000,7,FALSE)</f>
        <v>Vivo</v>
      </c>
      <c r="P822" s="15" t="str">
        <f>VLOOKUP(A822,sinap!$A$2:$R$9000,8,FALSE)</f>
        <v>11.1.01.1241</v>
      </c>
      <c r="Q822" s="15" t="str">
        <f>VLOOKUP(A822,sinap!$A$2:$R$9000,12,FALSE)</f>
        <v>11.2.01.0038</v>
      </c>
      <c r="R822" s="15" t="str">
        <f>VLOOKUP(A822,sinap!$A$2:$R$9000,16,FALSE)</f>
        <v>11.1.01.1241</v>
      </c>
      <c r="S822" s="15" t="str">
        <f>VLOOKUP(A822,sinap!$A$2:$Y$9000,20,FALSE)</f>
        <v>SI</v>
      </c>
    </row>
    <row r="823" spans="1:19" hidden="1" x14ac:dyDescent="0.25">
      <c r="A823" s="15">
        <v>16705753</v>
      </c>
      <c r="J823" s="15" t="str">
        <f>VLOOKUP(A823,sinap!$A$2:$R$9000,2,FALSE)</f>
        <v>H</v>
      </c>
      <c r="K823" s="15" t="str">
        <f>VLOOKUP(A823,sinap!$A$2:$R$9000,3,FALSE)</f>
        <v>VACA</v>
      </c>
      <c r="L823" s="15" t="str">
        <f>VLOOKUP(A823,sinap!$A$2:$R$9000,4,FALSE)</f>
        <v>ANGUS NEGRO</v>
      </c>
      <c r="M823" s="15" t="str">
        <f>VLOOKUP(A823,sinap!$A$2:$R$9000,5,FALSE)</f>
        <v>9 años 3 meses</v>
      </c>
      <c r="N823" s="15" t="str">
        <f>VLOOKUP(A823,sinap!$A$2:$R$9000,6,FALSE)</f>
        <v>15-10-2016</v>
      </c>
      <c r="O823" s="15" t="str">
        <f>VLOOKUP(A823,sinap!$A$2:$R$9000,7,FALSE)</f>
        <v>Vivo</v>
      </c>
      <c r="P823" s="15" t="str">
        <f>VLOOKUP(A823,sinap!$A$2:$R$9000,8,FALSE)</f>
        <v>11.2.01.0038</v>
      </c>
      <c r="Q823" s="15" t="str">
        <f>VLOOKUP(A823,sinap!$A$2:$R$9000,12,FALSE)</f>
        <v>11.1.01.0893</v>
      </c>
      <c r="R823" s="15" t="str">
        <f>VLOOKUP(A823,sinap!$A$2:$R$9000,16,FALSE)</f>
        <v>11.1.01.1241</v>
      </c>
      <c r="S823" s="15" t="str">
        <f>VLOOKUP(A823,sinap!$A$2:$Y$9000,20,FALSE)</f>
        <v>SI</v>
      </c>
    </row>
    <row r="824" spans="1:19" hidden="1" x14ac:dyDescent="0.25">
      <c r="A824" s="15">
        <v>16705755</v>
      </c>
      <c r="H824" s="16">
        <v>45648</v>
      </c>
      <c r="I824" s="16">
        <v>45966</v>
      </c>
      <c r="J824" s="15" t="str">
        <f>VLOOKUP(A824,sinap!$A$2:$R$9000,2,FALSE)</f>
        <v>H</v>
      </c>
      <c r="K824" s="15" t="str">
        <f>VLOOKUP(A824,sinap!$A$2:$R$9000,3,FALSE)</f>
        <v>VACA</v>
      </c>
      <c r="L824" s="15" t="str">
        <f>VLOOKUP(A824,sinap!$A$2:$R$9000,4,FALSE)</f>
        <v>ANGUS NEGRO</v>
      </c>
      <c r="M824" s="15" t="str">
        <f>VLOOKUP(A824,sinap!$A$2:$R$9000,5,FALSE)</f>
        <v>11 años 4 meses</v>
      </c>
      <c r="N824" s="15" t="str">
        <f>VLOOKUP(A824,sinap!$A$2:$R$9000,6,FALSE)</f>
        <v>30-08-2014</v>
      </c>
      <c r="O824" s="15" t="str">
        <f>VLOOKUP(A824,sinap!$A$2:$R$9000,7,FALSE)</f>
        <v>Vivo</v>
      </c>
      <c r="P824" s="15" t="str">
        <f>VLOOKUP(A824,sinap!$A$2:$R$9000,8,FALSE)</f>
        <v>11.1.01.2442</v>
      </c>
      <c r="Q824" s="15" t="str">
        <f>VLOOKUP(A824,sinap!$A$2:$R$9000,12,FALSE)</f>
        <v>11.1.01.0190</v>
      </c>
      <c r="R824" s="15" t="str">
        <f>VLOOKUP(A824,sinap!$A$2:$R$9000,16,FALSE)</f>
        <v>11.1.01.2304</v>
      </c>
      <c r="S824" s="15" t="str">
        <f>VLOOKUP(A824,sinap!$A$2:$Y$9000,20,FALSE)</f>
        <v>SI</v>
      </c>
    </row>
    <row r="825" spans="1:19" hidden="1" x14ac:dyDescent="0.25">
      <c r="A825" s="15">
        <v>16705757</v>
      </c>
      <c r="J825" s="15" t="str">
        <f>VLOOKUP(A825,sinap!$A$2:$R$9000,2,FALSE)</f>
        <v>H</v>
      </c>
      <c r="K825" s="15" t="str">
        <f>VLOOKUP(A825,sinap!$A$2:$R$9000,3,FALSE)</f>
        <v>VACA</v>
      </c>
      <c r="L825" s="15" t="str">
        <f>VLOOKUP(A825,sinap!$A$2:$R$9000,4,FALSE)</f>
        <v>ANGUS NEGRO</v>
      </c>
      <c r="M825" s="15" t="str">
        <f>VLOOKUP(A825,sinap!$A$2:$R$9000,5,FALSE)</f>
        <v>14 años 3 meses</v>
      </c>
      <c r="N825" s="15" t="str">
        <f>VLOOKUP(A825,sinap!$A$2:$R$9000,6,FALSE)</f>
        <v>15-10-2011</v>
      </c>
      <c r="O825" s="15" t="str">
        <f>VLOOKUP(A825,sinap!$A$2:$R$9000,7,FALSE)</f>
        <v>Vivo</v>
      </c>
      <c r="P825" s="15" t="str">
        <f>VLOOKUP(A825,sinap!$A$2:$R$9000,8,FALSE)</f>
        <v>11.1.01.2442</v>
      </c>
      <c r="Q825" s="15" t="str">
        <f>VLOOKUP(A825,sinap!$A$2:$R$9000,12,FALSE)</f>
        <v>11.1.01.1241</v>
      </c>
      <c r="R825" s="15" t="str">
        <f>VLOOKUP(A825,sinap!$A$2:$R$9000,16,FALSE)</f>
        <v>11.1.01.1241</v>
      </c>
      <c r="S825" s="15" t="str">
        <f>VLOOKUP(A825,sinap!$A$2:$Y$9000,20,FALSE)</f>
        <v>SI</v>
      </c>
    </row>
    <row r="826" spans="1:19" hidden="1" x14ac:dyDescent="0.25">
      <c r="A826" s="15">
        <v>16705760</v>
      </c>
      <c r="H826" s="16">
        <v>45430</v>
      </c>
      <c r="I826" s="16">
        <v>45671</v>
      </c>
      <c r="J826" s="15" t="str">
        <f>VLOOKUP(A826,sinap!$A$2:$R$9000,2,FALSE)</f>
        <v>H</v>
      </c>
      <c r="K826" s="15" t="str">
        <f>VLOOKUP(A826,sinap!$A$2:$R$9000,3,FALSE)</f>
        <v>VACA</v>
      </c>
      <c r="L826" s="15" t="str">
        <f>VLOOKUP(A826,sinap!$A$2:$R$9000,4,FALSE)</f>
        <v>HEREFORD</v>
      </c>
      <c r="M826" s="15" t="str">
        <f>VLOOKUP(A826,sinap!$A$2:$R$9000,5,FALSE)</f>
        <v>13 años 1 meses</v>
      </c>
      <c r="N826" s="15" t="str">
        <f>VLOOKUP(A826,sinap!$A$2:$R$9000,6,FALSE)</f>
        <v>30-11-2012</v>
      </c>
      <c r="O826" s="15" t="str">
        <f>VLOOKUP(A826,sinap!$A$2:$R$9000,7,FALSE)</f>
        <v>Vivo</v>
      </c>
      <c r="P826" s="15" t="str">
        <f>VLOOKUP(A826,sinap!$A$2:$R$9000,8,FALSE)</f>
        <v>11.1.01.0941</v>
      </c>
      <c r="Q826" s="15" t="str">
        <f>VLOOKUP(A826,sinap!$A$2:$R$9000,12,FALSE)</f>
        <v>11.1.01.1241</v>
      </c>
      <c r="R826" s="15" t="str">
        <f>VLOOKUP(A826,sinap!$A$2:$R$9000,16,FALSE)</f>
        <v>11.1.01.0789</v>
      </c>
      <c r="S826" s="15" t="str">
        <f>VLOOKUP(A826,sinap!$A$2:$Y$9000,20,FALSE)</f>
        <v>SI</v>
      </c>
    </row>
    <row r="827" spans="1:19" hidden="1" x14ac:dyDescent="0.25">
      <c r="A827" s="15">
        <v>16705761</v>
      </c>
      <c r="J827" s="15" t="str">
        <f>VLOOKUP(A827,sinap!$A$2:$R$9000,2,FALSE)</f>
        <v>H</v>
      </c>
      <c r="K827" s="15" t="str">
        <f>VLOOKUP(A827,sinap!$A$2:$R$9000,3,FALSE)</f>
        <v>VACA</v>
      </c>
      <c r="L827" s="15" t="str">
        <f>VLOOKUP(A827,sinap!$A$2:$R$9000,4,FALSE)</f>
        <v>ANGUS ROJO</v>
      </c>
      <c r="M827" s="15" t="str">
        <f>VLOOKUP(A827,sinap!$A$2:$R$9000,5,FALSE)</f>
        <v>13 años 2 meses</v>
      </c>
      <c r="N827" s="15" t="str">
        <f>VLOOKUP(A827,sinap!$A$2:$R$9000,6,FALSE)</f>
        <v>30-10-2012</v>
      </c>
      <c r="O827" s="15" t="str">
        <f>VLOOKUP(A827,sinap!$A$2:$R$9000,7,FALSE)</f>
        <v>Vivo</v>
      </c>
      <c r="P827" s="15" t="str">
        <f>VLOOKUP(A827,sinap!$A$2:$R$9000,8,FALSE)</f>
        <v>11.2.01.0038</v>
      </c>
      <c r="Q827" s="15" t="str">
        <f>VLOOKUP(A827,sinap!$A$2:$R$9000,12,FALSE)</f>
        <v>11.1.01.1241</v>
      </c>
      <c r="R827" s="15" t="str">
        <f>VLOOKUP(A827,sinap!$A$2:$R$9000,16,FALSE)</f>
        <v>11.1.01.1241</v>
      </c>
      <c r="S827" s="15" t="str">
        <f>VLOOKUP(A827,sinap!$A$2:$Y$9000,20,FALSE)</f>
        <v>SI</v>
      </c>
    </row>
    <row r="828" spans="1:19" hidden="1" x14ac:dyDescent="0.25">
      <c r="A828" s="15">
        <v>16705763</v>
      </c>
      <c r="J828" s="15" t="str">
        <f>VLOOKUP(A828,sinap!$A$2:$R$9000,2,FALSE)</f>
        <v>H</v>
      </c>
      <c r="K828" s="15" t="str">
        <f>VLOOKUP(A828,sinap!$A$2:$R$9000,3,FALSE)</f>
        <v>VACA</v>
      </c>
      <c r="L828" s="15" t="str">
        <f>VLOOKUP(A828,sinap!$A$2:$R$9000,4,FALSE)</f>
        <v>ANGUS NEGRO</v>
      </c>
      <c r="M828" s="15" t="str">
        <f>VLOOKUP(A828,sinap!$A$2:$R$9000,5,FALSE)</f>
        <v>14 años 0 meses</v>
      </c>
      <c r="N828" s="15" t="str">
        <f>VLOOKUP(A828,sinap!$A$2:$R$9000,6,FALSE)</f>
        <v>15-01-2012</v>
      </c>
      <c r="O828" s="15" t="str">
        <f>VLOOKUP(A828,sinap!$A$2:$R$9000,7,FALSE)</f>
        <v>Vivo</v>
      </c>
      <c r="P828" s="15" t="str">
        <f>VLOOKUP(A828,sinap!$A$2:$R$9000,8,FALSE)</f>
        <v>11.1.01.1241</v>
      </c>
      <c r="Q828" s="15" t="str">
        <f>VLOOKUP(A828,sinap!$A$2:$R$9000,12,FALSE)</f>
        <v>11.2.01.0038</v>
      </c>
      <c r="R828" s="15" t="str">
        <f>VLOOKUP(A828,sinap!$A$2:$R$9000,16,FALSE)</f>
        <v>11.1.01.1241</v>
      </c>
      <c r="S828" s="15" t="str">
        <f>VLOOKUP(A828,sinap!$A$2:$Y$9000,20,FALSE)</f>
        <v>SI</v>
      </c>
    </row>
    <row r="829" spans="1:19" hidden="1" x14ac:dyDescent="0.25">
      <c r="A829" s="15">
        <v>16705764</v>
      </c>
      <c r="J829" s="15" t="str">
        <f>VLOOKUP(A829,sinap!$A$2:$R$9000,2,FALSE)</f>
        <v>H</v>
      </c>
      <c r="K829" s="15" t="str">
        <f>VLOOKUP(A829,sinap!$A$2:$R$9000,3,FALSE)</f>
        <v>VACA</v>
      </c>
      <c r="L829" s="15" t="str">
        <f>VLOOKUP(A829,sinap!$A$2:$R$9000,4,FALSE)</f>
        <v>ANGUS NEGRO</v>
      </c>
      <c r="M829" s="15" t="str">
        <f>VLOOKUP(A829,sinap!$A$2:$R$9000,5,FALSE)</f>
        <v>14 años 3 meses</v>
      </c>
      <c r="N829" s="15" t="str">
        <f>VLOOKUP(A829,sinap!$A$2:$R$9000,6,FALSE)</f>
        <v>30-09-2011</v>
      </c>
      <c r="O829" s="15" t="str">
        <f>VLOOKUP(A829,sinap!$A$2:$R$9000,7,FALSE)</f>
        <v>Vivo</v>
      </c>
      <c r="P829" s="15" t="str">
        <f>VLOOKUP(A829,sinap!$A$2:$R$9000,8,FALSE)</f>
        <v>11.1.01.1241</v>
      </c>
      <c r="Q829" s="15" t="str">
        <f>VLOOKUP(A829,sinap!$A$2:$R$9000,12,FALSE)</f>
        <v>11.2.01.0053</v>
      </c>
      <c r="R829" s="15" t="str">
        <f>VLOOKUP(A829,sinap!$A$2:$R$9000,16,FALSE)</f>
        <v>11.1.01.0790</v>
      </c>
      <c r="S829" s="15" t="str">
        <f>VLOOKUP(A829,sinap!$A$2:$Y$9000,20,FALSE)</f>
        <v>SI</v>
      </c>
    </row>
    <row r="830" spans="1:19" hidden="1" x14ac:dyDescent="0.25">
      <c r="A830" s="15">
        <v>16705775</v>
      </c>
      <c r="H830" s="16">
        <v>45648</v>
      </c>
      <c r="I830" s="16">
        <v>45671</v>
      </c>
      <c r="J830" s="15" t="str">
        <f>VLOOKUP(A830,sinap!$A$2:$R$9000,2,FALSE)</f>
        <v>H</v>
      </c>
      <c r="K830" s="15" t="str">
        <f>VLOOKUP(A830,sinap!$A$2:$R$9000,3,FALSE)</f>
        <v>VACA</v>
      </c>
      <c r="L830" s="15" t="str">
        <f>VLOOKUP(A830,sinap!$A$2:$R$9000,4,FALSE)</f>
        <v>ANGUS ROJO</v>
      </c>
      <c r="M830" s="15" t="str">
        <f>VLOOKUP(A830,sinap!$A$2:$R$9000,5,FALSE)</f>
        <v>12 años 3 meses</v>
      </c>
      <c r="N830" s="15" t="str">
        <f>VLOOKUP(A830,sinap!$A$2:$R$9000,6,FALSE)</f>
        <v>15-10-2013</v>
      </c>
      <c r="O830" s="15" t="str">
        <f>VLOOKUP(A830,sinap!$A$2:$R$9000,7,FALSE)</f>
        <v>Vivo</v>
      </c>
      <c r="P830" s="15" t="str">
        <f>VLOOKUP(A830,sinap!$A$2:$R$9000,8,FALSE)</f>
        <v>11.1.01.1241</v>
      </c>
      <c r="Q830" s="15" t="str">
        <f>VLOOKUP(A830,sinap!$A$2:$R$9000,12,FALSE)</f>
        <v>11.2.01.0038</v>
      </c>
      <c r="R830" s="15" t="str">
        <f>VLOOKUP(A830,sinap!$A$2:$R$9000,16,FALSE)</f>
        <v>11.2.01.2071</v>
      </c>
      <c r="S830" s="15" t="str">
        <f>VLOOKUP(A830,sinap!$A$2:$Y$9000,20,FALSE)</f>
        <v>SI</v>
      </c>
    </row>
    <row r="831" spans="1:19" hidden="1" x14ac:dyDescent="0.25">
      <c r="A831" s="15">
        <v>16705776</v>
      </c>
      <c r="H831" s="16">
        <v>45648</v>
      </c>
      <c r="I831" s="16">
        <v>45671</v>
      </c>
      <c r="J831" s="15" t="str">
        <f>VLOOKUP(A831,sinap!$A$2:$R$9000,2,FALSE)</f>
        <v>H</v>
      </c>
      <c r="K831" s="15" t="str">
        <f>VLOOKUP(A831,sinap!$A$2:$R$9000,3,FALSE)</f>
        <v>VACA</v>
      </c>
      <c r="L831" s="15" t="str">
        <f>VLOOKUP(A831,sinap!$A$2:$R$9000,4,FALSE)</f>
        <v>ANGUS NEGRO</v>
      </c>
      <c r="M831" s="15" t="str">
        <f>VLOOKUP(A831,sinap!$A$2:$R$9000,5,FALSE)</f>
        <v>12 años 11 meses</v>
      </c>
      <c r="N831" s="15" t="str">
        <f>VLOOKUP(A831,sinap!$A$2:$R$9000,6,FALSE)</f>
        <v>30-01-2013</v>
      </c>
      <c r="O831" s="15" t="str">
        <f>VLOOKUP(A831,sinap!$A$2:$R$9000,7,FALSE)</f>
        <v>Vivo</v>
      </c>
      <c r="P831" s="15" t="str">
        <f>VLOOKUP(A831,sinap!$A$2:$R$9000,8,FALSE)</f>
        <v>11.1.01.1241</v>
      </c>
      <c r="Q831" s="15" t="str">
        <f>VLOOKUP(A831,sinap!$A$2:$R$9000,12,FALSE)</f>
        <v>11.2.01.0038</v>
      </c>
      <c r="R831" s="15" t="str">
        <f>VLOOKUP(A831,sinap!$A$2:$R$9000,16,FALSE)</f>
        <v>11.1.01.1240</v>
      </c>
      <c r="S831" s="15" t="str">
        <f>VLOOKUP(A831,sinap!$A$2:$Y$9000,20,FALSE)</f>
        <v>SI</v>
      </c>
    </row>
    <row r="832" spans="1:19" hidden="1" x14ac:dyDescent="0.25">
      <c r="A832" s="15">
        <v>16705780</v>
      </c>
      <c r="H832" s="16">
        <v>45648</v>
      </c>
      <c r="I832" s="16">
        <v>45671</v>
      </c>
      <c r="J832" s="15" t="str">
        <f>VLOOKUP(A832,sinap!$A$2:$R$9000,2,FALSE)</f>
        <v>H</v>
      </c>
      <c r="K832" s="15" t="str">
        <f>VLOOKUP(A832,sinap!$A$2:$R$9000,3,FALSE)</f>
        <v>VACA</v>
      </c>
      <c r="L832" s="15" t="str">
        <f>VLOOKUP(A832,sinap!$A$2:$R$9000,4,FALSE)</f>
        <v>ANGUS NEGRO</v>
      </c>
      <c r="M832" s="15" t="str">
        <f>VLOOKUP(A832,sinap!$A$2:$R$9000,5,FALSE)</f>
        <v>10 años 3 meses</v>
      </c>
      <c r="N832" s="15" t="str">
        <f>VLOOKUP(A832,sinap!$A$2:$R$9000,6,FALSE)</f>
        <v>30-09-2015</v>
      </c>
      <c r="O832" s="15" t="str">
        <f>VLOOKUP(A832,sinap!$A$2:$R$9000,7,FALSE)</f>
        <v>Vivo</v>
      </c>
      <c r="P832" s="15" t="str">
        <f>VLOOKUP(A832,sinap!$A$2:$R$9000,8,FALSE)</f>
        <v>11.1.01.1241</v>
      </c>
      <c r="Q832" s="15" t="str">
        <f>VLOOKUP(A832,sinap!$A$2:$R$9000,12,FALSE)</f>
        <v>11.2.01.0038</v>
      </c>
      <c r="R832" s="15" t="str">
        <f>VLOOKUP(A832,sinap!$A$2:$R$9000,16,FALSE)</f>
        <v>11.1.01.2304</v>
      </c>
      <c r="S832" s="15" t="str">
        <f>VLOOKUP(A832,sinap!$A$2:$Y$9000,20,FALSE)</f>
        <v>SI</v>
      </c>
    </row>
    <row r="833" spans="1:19" hidden="1" x14ac:dyDescent="0.25">
      <c r="A833" s="15">
        <v>16705781</v>
      </c>
      <c r="J833" s="15" t="str">
        <f>VLOOKUP(A833,sinap!$A$2:$R$9000,2,FALSE)</f>
        <v>H</v>
      </c>
      <c r="K833" s="15" t="str">
        <f>VLOOKUP(A833,sinap!$A$2:$R$9000,3,FALSE)</f>
        <v>VACA</v>
      </c>
      <c r="L833" s="15" t="str">
        <f>VLOOKUP(A833,sinap!$A$2:$R$9000,4,FALSE)</f>
        <v>ANGUS NEGRO</v>
      </c>
      <c r="M833" s="15" t="str">
        <f>VLOOKUP(A833,sinap!$A$2:$R$9000,5,FALSE)</f>
        <v>18 años 2 meses</v>
      </c>
      <c r="N833" s="15" t="str">
        <f>VLOOKUP(A833,sinap!$A$2:$R$9000,6,FALSE)</f>
        <v>30-10-2007</v>
      </c>
      <c r="O833" s="15" t="str">
        <f>VLOOKUP(A833,sinap!$A$2:$R$9000,7,FALSE)</f>
        <v>Vivo</v>
      </c>
      <c r="P833" s="15" t="str">
        <f>VLOOKUP(A833,sinap!$A$2:$R$9000,8,FALSE)</f>
        <v>11.1.01.1241</v>
      </c>
      <c r="Q833" s="15" t="str">
        <f>VLOOKUP(A833,sinap!$A$2:$R$9000,12,FALSE)</f>
        <v>11.1.01.0893</v>
      </c>
      <c r="R833" s="15" t="str">
        <f>VLOOKUP(A833,sinap!$A$2:$R$9000,16,FALSE)</f>
        <v>11.1.01.1241</v>
      </c>
      <c r="S833" s="15" t="str">
        <f>VLOOKUP(A833,sinap!$A$2:$Y$9000,20,FALSE)</f>
        <v>SI</v>
      </c>
    </row>
    <row r="834" spans="1:19" hidden="1" x14ac:dyDescent="0.25">
      <c r="A834" s="15">
        <v>16705791</v>
      </c>
      <c r="J834" s="15" t="str">
        <f>VLOOKUP(A834,sinap!$A$2:$R$9000,2,FALSE)</f>
        <v>H</v>
      </c>
      <c r="K834" s="15" t="str">
        <f>VLOOKUP(A834,sinap!$A$2:$R$9000,3,FALSE)</f>
        <v>VACA</v>
      </c>
      <c r="L834" s="15" t="str">
        <f>VLOOKUP(A834,sinap!$A$2:$R$9000,4,FALSE)</f>
        <v>ANGUS NEGRO</v>
      </c>
      <c r="M834" s="15" t="str">
        <f>VLOOKUP(A834,sinap!$A$2:$R$9000,5,FALSE)</f>
        <v>6 años 0 meses</v>
      </c>
      <c r="N834" s="15" t="str">
        <f>VLOOKUP(A834,sinap!$A$2:$R$9000,6,FALSE)</f>
        <v>30-12-2019</v>
      </c>
      <c r="O834" s="15" t="str">
        <f>VLOOKUP(A834,sinap!$A$2:$R$9000,7,FALSE)</f>
        <v>Vivo</v>
      </c>
      <c r="P834" s="15" t="str">
        <f>VLOOKUP(A834,sinap!$A$2:$R$9000,8,FALSE)</f>
        <v>11.2.01.0038</v>
      </c>
      <c r="Q834" s="15" t="str">
        <f>VLOOKUP(A834,sinap!$A$2:$R$9000,12,FALSE)</f>
        <v>11.1.01.0893</v>
      </c>
      <c r="R834" s="15" t="str">
        <f>VLOOKUP(A834,sinap!$A$2:$R$9000,16,FALSE)</f>
        <v>11.1.01.0893</v>
      </c>
      <c r="S834" s="15" t="str">
        <f>VLOOKUP(A834,sinap!$A$2:$Y$9000,20,FALSE)</f>
        <v>SI</v>
      </c>
    </row>
    <row r="835" spans="1:19" hidden="1" x14ac:dyDescent="0.25">
      <c r="A835" s="15">
        <v>16705797</v>
      </c>
      <c r="H835" s="16">
        <v>45648</v>
      </c>
      <c r="I835" s="16">
        <v>45965</v>
      </c>
      <c r="J835" s="15" t="str">
        <f>VLOOKUP(A835,sinap!$A$2:$R$9000,2,FALSE)</f>
        <v>H</v>
      </c>
      <c r="K835" s="15" t="str">
        <f>VLOOKUP(A835,sinap!$A$2:$R$9000,3,FALSE)</f>
        <v>VACA</v>
      </c>
      <c r="L835" s="15" t="str">
        <f>VLOOKUP(A835,sinap!$A$2:$R$9000,4,FALSE)</f>
        <v>ANGUS ROJO</v>
      </c>
      <c r="M835" s="15" t="str">
        <f>VLOOKUP(A835,sinap!$A$2:$R$9000,5,FALSE)</f>
        <v>8 años 3 meses</v>
      </c>
      <c r="N835" s="15" t="str">
        <f>VLOOKUP(A835,sinap!$A$2:$R$9000,6,FALSE)</f>
        <v>20-09-2017</v>
      </c>
      <c r="O835" s="15" t="str">
        <f>VLOOKUP(A835,sinap!$A$2:$R$9000,7,FALSE)</f>
        <v>Vivo</v>
      </c>
      <c r="P835" s="15" t="str">
        <f>VLOOKUP(A835,sinap!$A$2:$R$9000,8,FALSE)</f>
        <v>11.1.01.2442</v>
      </c>
      <c r="Q835" s="15" t="str">
        <f>VLOOKUP(A835,sinap!$A$2:$R$9000,12,FALSE)</f>
        <v>11.1.01.0190</v>
      </c>
      <c r="R835" s="15" t="str">
        <f>VLOOKUP(A835,sinap!$A$2:$R$9000,16,FALSE)</f>
        <v>11.1.01.1241</v>
      </c>
      <c r="S835" s="15" t="str">
        <f>VLOOKUP(A835,sinap!$A$2:$Y$9000,20,FALSE)</f>
        <v>SI</v>
      </c>
    </row>
    <row r="836" spans="1:19" hidden="1" x14ac:dyDescent="0.25">
      <c r="A836" s="15">
        <v>16705798</v>
      </c>
      <c r="H836" s="16">
        <v>45297</v>
      </c>
      <c r="J836" s="15" t="str">
        <f>VLOOKUP(A836,sinap!$A$2:$R$9000,2,FALSE)</f>
        <v>H</v>
      </c>
      <c r="K836" s="15" t="str">
        <f>VLOOKUP(A836,sinap!$A$2:$R$9000,3,FALSE)</f>
        <v>VACA</v>
      </c>
      <c r="L836" s="15" t="str">
        <f>VLOOKUP(A836,sinap!$A$2:$R$9000,4,FALSE)</f>
        <v>ANGUS NEGRO</v>
      </c>
      <c r="M836" s="15" t="str">
        <f>VLOOKUP(A836,sinap!$A$2:$R$9000,5,FALSE)</f>
        <v>8 años 3 meses</v>
      </c>
      <c r="N836" s="15" t="str">
        <f>VLOOKUP(A836,sinap!$A$2:$R$9000,6,FALSE)</f>
        <v>07-10-2017</v>
      </c>
      <c r="O836" s="15" t="str">
        <f>VLOOKUP(A836,sinap!$A$2:$R$9000,7,FALSE)</f>
        <v>Vivo</v>
      </c>
      <c r="P836" s="15" t="str">
        <f>VLOOKUP(A836,sinap!$A$2:$R$9000,8,FALSE)</f>
        <v>11.1.01.0791</v>
      </c>
      <c r="Q836" s="15" t="str">
        <f>VLOOKUP(A836,sinap!$A$2:$R$9000,12,FALSE)</f>
        <v>11.1.01.0893</v>
      </c>
      <c r="R836" s="15" t="str">
        <f>VLOOKUP(A836,sinap!$A$2:$R$9000,16,FALSE)</f>
        <v>11.1.01.0893</v>
      </c>
      <c r="S836" s="15" t="str">
        <f>VLOOKUP(A836,sinap!$A$2:$Y$9000,20,FALSE)</f>
        <v>SI</v>
      </c>
    </row>
    <row r="837" spans="1:19" hidden="1" x14ac:dyDescent="0.25">
      <c r="A837" s="15">
        <v>16843001</v>
      </c>
      <c r="J837" s="15" t="str">
        <f>VLOOKUP(A837,sinap!$A$2:$R$9000,2,FALSE)</f>
        <v>H</v>
      </c>
      <c r="K837" s="15" t="str">
        <f>VLOOKUP(A837,sinap!$A$2:$R$9000,3,FALSE)</f>
        <v>VACA</v>
      </c>
      <c r="L837" s="15" t="str">
        <f>VLOOKUP(A837,sinap!$A$2:$R$9000,4,FALSE)</f>
        <v>ANGUS NEGRO</v>
      </c>
      <c r="M837" s="15" t="str">
        <f>VLOOKUP(A837,sinap!$A$2:$R$9000,5,FALSE)</f>
        <v>7 años 3 meses</v>
      </c>
      <c r="N837" s="15" t="str">
        <f>VLOOKUP(A837,sinap!$A$2:$R$9000,6,FALSE)</f>
        <v>20-09-2018</v>
      </c>
      <c r="O837" s="15" t="str">
        <f>VLOOKUP(A837,sinap!$A$2:$R$9000,7,FALSE)</f>
        <v>Vivo</v>
      </c>
      <c r="P837" s="15" t="str">
        <f>VLOOKUP(A837,sinap!$A$2:$R$9000,8,FALSE)</f>
        <v>11.1.01.2442</v>
      </c>
      <c r="Q837" s="15" t="str">
        <f>VLOOKUP(A837,sinap!$A$2:$R$9000,12,FALSE)</f>
        <v>11.1.01.0190</v>
      </c>
      <c r="R837" s="15" t="str">
        <f>VLOOKUP(A837,sinap!$A$2:$R$9000,16,FALSE)</f>
        <v>11.1.01.1241</v>
      </c>
      <c r="S837" s="15" t="str">
        <f>VLOOKUP(A837,sinap!$A$2:$Y$9000,20,FALSE)</f>
        <v>SI</v>
      </c>
    </row>
    <row r="838" spans="1:19" hidden="1" x14ac:dyDescent="0.25">
      <c r="A838" s="15">
        <v>16843002</v>
      </c>
      <c r="J838" s="15" t="str">
        <f>VLOOKUP(A838,sinap!$A$2:$R$9000,2,FALSE)</f>
        <v>H</v>
      </c>
      <c r="K838" s="15" t="str">
        <f>VLOOKUP(A838,sinap!$A$2:$R$9000,3,FALSE)</f>
        <v>VACA</v>
      </c>
      <c r="L838" s="15" t="str">
        <f>VLOOKUP(A838,sinap!$A$2:$R$9000,4,FALSE)</f>
        <v>HEREFORD</v>
      </c>
      <c r="M838" s="15" t="str">
        <f>VLOOKUP(A838,sinap!$A$2:$R$9000,5,FALSE)</f>
        <v>7 años 3 meses</v>
      </c>
      <c r="N838" s="15" t="str">
        <f>VLOOKUP(A838,sinap!$A$2:$R$9000,6,FALSE)</f>
        <v>20-09-2018</v>
      </c>
      <c r="O838" s="15" t="str">
        <f>VLOOKUP(A838,sinap!$A$2:$R$9000,7,FALSE)</f>
        <v>Vivo</v>
      </c>
      <c r="P838" s="15" t="str">
        <f>VLOOKUP(A838,sinap!$A$2:$R$9000,8,FALSE)</f>
        <v>11.1.01.1241</v>
      </c>
      <c r="Q838" s="15" t="str">
        <f>VLOOKUP(A838,sinap!$A$2:$R$9000,12,FALSE)</f>
        <v>11.2.01.0038</v>
      </c>
      <c r="R838" s="15" t="str">
        <f>VLOOKUP(A838,sinap!$A$2:$R$9000,16,FALSE)</f>
        <v>11.1.01.1241</v>
      </c>
      <c r="S838" s="15" t="str">
        <f>VLOOKUP(A838,sinap!$A$2:$Y$9000,20,FALSE)</f>
        <v>SI</v>
      </c>
    </row>
    <row r="839" spans="1:19" hidden="1" x14ac:dyDescent="0.25">
      <c r="A839" s="15">
        <v>16843009</v>
      </c>
      <c r="H839" s="16">
        <v>45297</v>
      </c>
      <c r="J839" s="15" t="str">
        <f>VLOOKUP(A839,sinap!$A$2:$R$9000,2,FALSE)</f>
        <v>H</v>
      </c>
      <c r="K839" s="15" t="str">
        <f>VLOOKUP(A839,sinap!$A$2:$R$9000,3,FALSE)</f>
        <v>VACA</v>
      </c>
      <c r="L839" s="15" t="str">
        <f>VLOOKUP(A839,sinap!$A$2:$R$9000,4,FALSE)</f>
        <v>ANGUS NEGRO</v>
      </c>
      <c r="M839" s="15" t="str">
        <f>VLOOKUP(A839,sinap!$A$2:$R$9000,5,FALSE)</f>
        <v>7 años 3 meses</v>
      </c>
      <c r="N839" s="15" t="str">
        <f>VLOOKUP(A839,sinap!$A$2:$R$9000,6,FALSE)</f>
        <v>20-09-2018</v>
      </c>
      <c r="O839" s="15" t="str">
        <f>VLOOKUP(A839,sinap!$A$2:$R$9000,7,FALSE)</f>
        <v>Vivo</v>
      </c>
      <c r="P839" s="15" t="str">
        <f>VLOOKUP(A839,sinap!$A$2:$R$9000,8,FALSE)</f>
        <v>11.1.01.0791</v>
      </c>
      <c r="Q839" s="15" t="str">
        <f>VLOOKUP(A839,sinap!$A$2:$R$9000,12,FALSE)</f>
        <v>11.1.01.0893</v>
      </c>
      <c r="R839" s="15" t="str">
        <f>VLOOKUP(A839,sinap!$A$2:$R$9000,16,FALSE)</f>
        <v>11.1.01.1241</v>
      </c>
      <c r="S839" s="15" t="str">
        <f>VLOOKUP(A839,sinap!$A$2:$Y$9000,20,FALSE)</f>
        <v>SI</v>
      </c>
    </row>
    <row r="840" spans="1:19" hidden="1" x14ac:dyDescent="0.25">
      <c r="A840" s="15">
        <v>16843012</v>
      </c>
      <c r="H840" s="16">
        <v>45297</v>
      </c>
      <c r="J840" s="15" t="str">
        <f>VLOOKUP(A840,sinap!$A$2:$R$9000,2,FALSE)</f>
        <v>H</v>
      </c>
      <c r="K840" s="15" t="str">
        <f>VLOOKUP(A840,sinap!$A$2:$R$9000,3,FALSE)</f>
        <v>VACA</v>
      </c>
      <c r="L840" s="15" t="str">
        <f>VLOOKUP(A840,sinap!$A$2:$R$9000,4,FALSE)</f>
        <v>ANGUS NEGRO</v>
      </c>
      <c r="M840" s="15" t="str">
        <f>VLOOKUP(A840,sinap!$A$2:$R$9000,5,FALSE)</f>
        <v>7 años 3 meses</v>
      </c>
      <c r="N840" s="15" t="str">
        <f>VLOOKUP(A840,sinap!$A$2:$R$9000,6,FALSE)</f>
        <v>20-09-2018</v>
      </c>
      <c r="O840" s="15" t="str">
        <f>VLOOKUP(A840,sinap!$A$2:$R$9000,7,FALSE)</f>
        <v>Vivo</v>
      </c>
      <c r="P840" s="15" t="str">
        <f>VLOOKUP(A840,sinap!$A$2:$R$9000,8,FALSE)</f>
        <v>11.2.01.0038</v>
      </c>
      <c r="Q840" s="15" t="str">
        <f>VLOOKUP(A840,sinap!$A$2:$R$9000,12,FALSE)</f>
        <v>11.1.01.0893</v>
      </c>
      <c r="R840" s="15" t="str">
        <f>VLOOKUP(A840,sinap!$A$2:$R$9000,16,FALSE)</f>
        <v>11.1.01.1241</v>
      </c>
      <c r="S840" s="15" t="str">
        <f>VLOOKUP(A840,sinap!$A$2:$Y$9000,20,FALSE)</f>
        <v>SI</v>
      </c>
    </row>
    <row r="841" spans="1:19" hidden="1" x14ac:dyDescent="0.25">
      <c r="A841" s="15">
        <v>16843017</v>
      </c>
      <c r="J841" s="15" t="str">
        <f>VLOOKUP(A841,sinap!$A$2:$R$9000,2,FALSE)</f>
        <v>H</v>
      </c>
      <c r="K841" s="15" t="str">
        <f>VLOOKUP(A841,sinap!$A$2:$R$9000,3,FALSE)</f>
        <v>VACA</v>
      </c>
      <c r="L841" s="15" t="str">
        <f>VLOOKUP(A841,sinap!$A$2:$R$9000,4,FALSE)</f>
        <v>ANGUS NEGRO</v>
      </c>
      <c r="M841" s="15" t="str">
        <f>VLOOKUP(A841,sinap!$A$2:$R$9000,5,FALSE)</f>
        <v>7 años 3 meses</v>
      </c>
      <c r="N841" s="15" t="str">
        <f>VLOOKUP(A841,sinap!$A$2:$R$9000,6,FALSE)</f>
        <v>20-09-2018</v>
      </c>
      <c r="O841" s="15" t="str">
        <f>VLOOKUP(A841,sinap!$A$2:$R$9000,7,FALSE)</f>
        <v>Vivo</v>
      </c>
      <c r="P841" s="15" t="str">
        <f>VLOOKUP(A841,sinap!$A$2:$R$9000,8,FALSE)</f>
        <v>11.1.01.0791</v>
      </c>
      <c r="Q841" s="15" t="str">
        <f>VLOOKUP(A841,sinap!$A$2:$R$9000,12,FALSE)</f>
        <v>11.1.01.0893</v>
      </c>
      <c r="R841" s="15" t="str">
        <f>VLOOKUP(A841,sinap!$A$2:$R$9000,16,FALSE)</f>
        <v>11.1.01.1241</v>
      </c>
      <c r="S841" s="15" t="str">
        <f>VLOOKUP(A841,sinap!$A$2:$Y$9000,20,FALSE)</f>
        <v>SI</v>
      </c>
    </row>
    <row r="842" spans="1:19" hidden="1" x14ac:dyDescent="0.25">
      <c r="A842" s="15">
        <v>16843019</v>
      </c>
      <c r="J842" s="15" t="str">
        <f>VLOOKUP(A842,sinap!$A$2:$R$9000,2,FALSE)</f>
        <v>H</v>
      </c>
      <c r="K842" s="15" t="str">
        <f>VLOOKUP(A842,sinap!$A$2:$R$9000,3,FALSE)</f>
        <v>VACA</v>
      </c>
      <c r="L842" s="15" t="str">
        <f>VLOOKUP(A842,sinap!$A$2:$R$9000,4,FALSE)</f>
        <v>LIMOUSIN</v>
      </c>
      <c r="M842" s="15" t="str">
        <f>VLOOKUP(A842,sinap!$A$2:$R$9000,5,FALSE)</f>
        <v>7 años 4 meses</v>
      </c>
      <c r="N842" s="15" t="str">
        <f>VLOOKUP(A842,sinap!$A$2:$R$9000,6,FALSE)</f>
        <v>10-09-2018</v>
      </c>
      <c r="O842" s="15" t="str">
        <f>VLOOKUP(A842,sinap!$A$2:$R$9000,7,FALSE)</f>
        <v>Vivo</v>
      </c>
      <c r="P842" s="15" t="str">
        <f>VLOOKUP(A842,sinap!$A$2:$R$9000,8,FALSE)</f>
        <v>11.1.01.0893</v>
      </c>
      <c r="Q842" s="15" t="str">
        <f>VLOOKUP(A842,sinap!$A$2:$R$9000,12,FALSE)</f>
        <v>11.2.01.0053</v>
      </c>
      <c r="R842" s="15" t="str">
        <f>VLOOKUP(A842,sinap!$A$2:$R$9000,16,FALSE)</f>
        <v>11.1.01.1241</v>
      </c>
      <c r="S842" s="15" t="str">
        <f>VLOOKUP(A842,sinap!$A$2:$Y$9000,20,FALSE)</f>
        <v>SI</v>
      </c>
    </row>
    <row r="843" spans="1:19" hidden="1" x14ac:dyDescent="0.25">
      <c r="A843" s="15">
        <v>16843020</v>
      </c>
      <c r="H843" s="16">
        <v>45297</v>
      </c>
      <c r="J843" s="15" t="str">
        <f>VLOOKUP(A843,sinap!$A$2:$R$9000,2,FALSE)</f>
        <v>H</v>
      </c>
      <c r="K843" s="15" t="str">
        <f>VLOOKUP(A843,sinap!$A$2:$R$9000,3,FALSE)</f>
        <v>VACA</v>
      </c>
      <c r="L843" s="15" t="str">
        <f>VLOOKUP(A843,sinap!$A$2:$R$9000,4,FALSE)</f>
        <v>ANGUS ROJO</v>
      </c>
      <c r="M843" s="15" t="str">
        <f>VLOOKUP(A843,sinap!$A$2:$R$9000,5,FALSE)</f>
        <v>7 años 3 meses</v>
      </c>
      <c r="N843" s="15" t="str">
        <f>VLOOKUP(A843,sinap!$A$2:$R$9000,6,FALSE)</f>
        <v>30-09-2018</v>
      </c>
      <c r="O843" s="15" t="str">
        <f>VLOOKUP(A843,sinap!$A$2:$R$9000,7,FALSE)</f>
        <v>Vivo</v>
      </c>
      <c r="P843" s="15" t="str">
        <f>VLOOKUP(A843,sinap!$A$2:$R$9000,8,FALSE)</f>
        <v>11.1.01.0893</v>
      </c>
      <c r="Q843" s="15" t="str">
        <f>VLOOKUP(A843,sinap!$A$2:$R$9000,12,FALSE)</f>
        <v>11.1.01.0791</v>
      </c>
      <c r="R843" s="15" t="str">
        <f>VLOOKUP(A843,sinap!$A$2:$R$9000,16,FALSE)</f>
        <v>11.1.01.1241</v>
      </c>
      <c r="S843" s="15" t="str">
        <f>VLOOKUP(A843,sinap!$A$2:$Y$9000,20,FALSE)</f>
        <v>SI</v>
      </c>
    </row>
    <row r="844" spans="1:19" hidden="1" x14ac:dyDescent="0.25">
      <c r="A844" s="15">
        <v>16843023</v>
      </c>
      <c r="J844" s="15" t="str">
        <f>VLOOKUP(A844,sinap!$A$2:$R$9000,2,FALSE)</f>
        <v>H</v>
      </c>
      <c r="K844" s="15" t="str">
        <f>VLOOKUP(A844,sinap!$A$2:$R$9000,3,FALSE)</f>
        <v>VACA</v>
      </c>
      <c r="L844" s="15" t="str">
        <f>VLOOKUP(A844,sinap!$A$2:$R$9000,4,FALSE)</f>
        <v>ANGUS NEGRO</v>
      </c>
      <c r="M844" s="15" t="str">
        <f>VLOOKUP(A844,sinap!$A$2:$R$9000,5,FALSE)</f>
        <v>7 años 3 meses</v>
      </c>
      <c r="N844" s="15" t="str">
        <f>VLOOKUP(A844,sinap!$A$2:$R$9000,6,FALSE)</f>
        <v>20-09-2018</v>
      </c>
      <c r="O844" s="15" t="str">
        <f>VLOOKUP(A844,sinap!$A$2:$R$9000,7,FALSE)</f>
        <v>Vivo</v>
      </c>
      <c r="P844" s="15" t="str">
        <f>VLOOKUP(A844,sinap!$A$2:$R$9000,8,FALSE)</f>
        <v>11.2.01.0038</v>
      </c>
      <c r="Q844" s="15" t="str">
        <f>VLOOKUP(A844,sinap!$A$2:$R$9000,12,FALSE)</f>
        <v>11.1.01.0893</v>
      </c>
      <c r="R844" s="15" t="str">
        <f>VLOOKUP(A844,sinap!$A$2:$R$9000,16,FALSE)</f>
        <v>11.1.01.1241</v>
      </c>
      <c r="S844" s="15" t="str">
        <f>VLOOKUP(A844,sinap!$A$2:$Y$9000,20,FALSE)</f>
        <v>SI</v>
      </c>
    </row>
    <row r="845" spans="1:19" hidden="1" x14ac:dyDescent="0.25">
      <c r="A845" s="15">
        <v>16843024</v>
      </c>
      <c r="J845" s="15" t="str">
        <f>VLOOKUP(A845,sinap!$A$2:$R$9000,2,FALSE)</f>
        <v>H</v>
      </c>
      <c r="K845" s="15" t="str">
        <f>VLOOKUP(A845,sinap!$A$2:$R$9000,3,FALSE)</f>
        <v>VACA</v>
      </c>
      <c r="L845" s="15" t="str">
        <f>VLOOKUP(A845,sinap!$A$2:$R$9000,4,FALSE)</f>
        <v>ANGUS NEGRO</v>
      </c>
      <c r="M845" s="15" t="str">
        <f>VLOOKUP(A845,sinap!$A$2:$R$9000,5,FALSE)</f>
        <v>7 años 3 meses</v>
      </c>
      <c r="N845" s="15" t="str">
        <f>VLOOKUP(A845,sinap!$A$2:$R$9000,6,FALSE)</f>
        <v>20-09-2018</v>
      </c>
      <c r="O845" s="15" t="str">
        <f>VLOOKUP(A845,sinap!$A$2:$R$9000,7,FALSE)</f>
        <v>Vivo</v>
      </c>
      <c r="P845" s="15" t="str">
        <f>VLOOKUP(A845,sinap!$A$2:$R$9000,8,FALSE)</f>
        <v>11.2.01.0038</v>
      </c>
      <c r="Q845" s="15" t="str">
        <f>VLOOKUP(A845,sinap!$A$2:$R$9000,12,FALSE)</f>
        <v>11.1.01.1241</v>
      </c>
      <c r="R845" s="15" t="str">
        <f>VLOOKUP(A845,sinap!$A$2:$R$9000,16,FALSE)</f>
        <v>11.1.01.1241</v>
      </c>
      <c r="S845" s="15" t="str">
        <f>VLOOKUP(A845,sinap!$A$2:$Y$9000,20,FALSE)</f>
        <v>SI</v>
      </c>
    </row>
    <row r="846" spans="1:19" hidden="1" x14ac:dyDescent="0.25">
      <c r="A846" s="15">
        <v>16843026</v>
      </c>
      <c r="J846" s="15" t="str">
        <f>VLOOKUP(A846,sinap!$A$2:$R$9000,2,FALSE)</f>
        <v>H</v>
      </c>
      <c r="K846" s="15" t="str">
        <f>VLOOKUP(A846,sinap!$A$2:$R$9000,3,FALSE)</f>
        <v>VACA</v>
      </c>
      <c r="L846" s="15" t="str">
        <f>VLOOKUP(A846,sinap!$A$2:$R$9000,4,FALSE)</f>
        <v>ANGUS NEGRO</v>
      </c>
      <c r="M846" s="15" t="str">
        <f>VLOOKUP(A846,sinap!$A$2:$R$9000,5,FALSE)</f>
        <v>7 años 3 meses</v>
      </c>
      <c r="N846" s="15" t="str">
        <f>VLOOKUP(A846,sinap!$A$2:$R$9000,6,FALSE)</f>
        <v>20-09-2018</v>
      </c>
      <c r="O846" s="15" t="str">
        <f>VLOOKUP(A846,sinap!$A$2:$R$9000,7,FALSE)</f>
        <v>Vivo</v>
      </c>
      <c r="P846" s="15" t="str">
        <f>VLOOKUP(A846,sinap!$A$2:$R$9000,8,FALSE)</f>
        <v>11.2.01.0038</v>
      </c>
      <c r="Q846" s="15" t="str">
        <f>VLOOKUP(A846,sinap!$A$2:$R$9000,12,FALSE)</f>
        <v>11.1.01.1241</v>
      </c>
      <c r="R846" s="15" t="str">
        <f>VLOOKUP(A846,sinap!$A$2:$R$9000,16,FALSE)</f>
        <v>11.1.01.1241</v>
      </c>
      <c r="S846" s="15" t="str">
        <f>VLOOKUP(A846,sinap!$A$2:$Y$9000,20,FALSE)</f>
        <v>SI</v>
      </c>
    </row>
    <row r="847" spans="1:19" hidden="1" x14ac:dyDescent="0.25">
      <c r="A847" s="15">
        <v>16843027</v>
      </c>
      <c r="H847" s="16">
        <v>45297</v>
      </c>
      <c r="J847" s="15" t="str">
        <f>VLOOKUP(A847,sinap!$A$2:$R$9000,2,FALSE)</f>
        <v>H</v>
      </c>
      <c r="K847" s="15" t="str">
        <f>VLOOKUP(A847,sinap!$A$2:$R$9000,3,FALSE)</f>
        <v>VACA</v>
      </c>
      <c r="L847" s="15" t="str">
        <f>VLOOKUP(A847,sinap!$A$2:$R$9000,4,FALSE)</f>
        <v>ANGUS NEGRO</v>
      </c>
      <c r="M847" s="15" t="str">
        <f>VLOOKUP(A847,sinap!$A$2:$R$9000,5,FALSE)</f>
        <v>7 años 3 meses</v>
      </c>
      <c r="N847" s="15" t="str">
        <f>VLOOKUP(A847,sinap!$A$2:$R$9000,6,FALSE)</f>
        <v>20-09-2018</v>
      </c>
      <c r="O847" s="15" t="str">
        <f>VLOOKUP(A847,sinap!$A$2:$R$9000,7,FALSE)</f>
        <v>Vivo</v>
      </c>
      <c r="P847" s="15" t="str">
        <f>VLOOKUP(A847,sinap!$A$2:$R$9000,8,FALSE)</f>
        <v>11.1.01.0791</v>
      </c>
      <c r="Q847" s="15" t="str">
        <f>VLOOKUP(A847,sinap!$A$2:$R$9000,12,FALSE)</f>
        <v>11.1.01.0893</v>
      </c>
      <c r="R847" s="15" t="str">
        <f>VLOOKUP(A847,sinap!$A$2:$R$9000,16,FALSE)</f>
        <v>11.1.01.1241</v>
      </c>
      <c r="S847" s="15" t="str">
        <f>VLOOKUP(A847,sinap!$A$2:$Y$9000,20,FALSE)</f>
        <v>SI</v>
      </c>
    </row>
    <row r="848" spans="1:19" hidden="1" x14ac:dyDescent="0.25">
      <c r="A848" s="15">
        <v>16843032</v>
      </c>
      <c r="H848" s="16">
        <v>45297</v>
      </c>
      <c r="J848" s="15" t="str">
        <f>VLOOKUP(A848,sinap!$A$2:$R$9000,2,FALSE)</f>
        <v>H</v>
      </c>
      <c r="K848" s="15" t="str">
        <f>VLOOKUP(A848,sinap!$A$2:$R$9000,3,FALSE)</f>
        <v>VACA</v>
      </c>
      <c r="L848" s="15" t="str">
        <f>VLOOKUP(A848,sinap!$A$2:$R$9000,4,FALSE)</f>
        <v>ANGUS NEGRO</v>
      </c>
      <c r="M848" s="15" t="str">
        <f>VLOOKUP(A848,sinap!$A$2:$R$9000,5,FALSE)</f>
        <v>7 años 3 meses</v>
      </c>
      <c r="N848" s="15" t="str">
        <f>VLOOKUP(A848,sinap!$A$2:$R$9000,6,FALSE)</f>
        <v>30-09-2018</v>
      </c>
      <c r="O848" s="15" t="str">
        <f>VLOOKUP(A848,sinap!$A$2:$R$9000,7,FALSE)</f>
        <v>Vivo</v>
      </c>
      <c r="P848" s="15" t="str">
        <f>VLOOKUP(A848,sinap!$A$2:$R$9000,8,FALSE)</f>
        <v>11.1.01.0791</v>
      </c>
      <c r="Q848" s="15" t="str">
        <f>VLOOKUP(A848,sinap!$A$2:$R$9000,12,FALSE)</f>
        <v>11.1.01.0893</v>
      </c>
      <c r="R848" s="15" t="str">
        <f>VLOOKUP(A848,sinap!$A$2:$R$9000,16,FALSE)</f>
        <v>11.1.01.1241</v>
      </c>
      <c r="S848" s="15" t="str">
        <f>VLOOKUP(A848,sinap!$A$2:$Y$9000,20,FALSE)</f>
        <v>SI</v>
      </c>
    </row>
    <row r="849" spans="1:19" hidden="1" x14ac:dyDescent="0.25">
      <c r="A849" s="15">
        <v>16843034</v>
      </c>
      <c r="J849" s="15" t="str">
        <f>VLOOKUP(A849,sinap!$A$2:$R$9000,2,FALSE)</f>
        <v>H</v>
      </c>
      <c r="K849" s="15" t="str">
        <f>VLOOKUP(A849,sinap!$A$2:$R$9000,3,FALSE)</f>
        <v>VACA</v>
      </c>
      <c r="L849" s="15" t="str">
        <f>VLOOKUP(A849,sinap!$A$2:$R$9000,4,FALSE)</f>
        <v>ANGUS ROJO</v>
      </c>
      <c r="M849" s="15" t="str">
        <f>VLOOKUP(A849,sinap!$A$2:$R$9000,5,FALSE)</f>
        <v>7 años 3 meses</v>
      </c>
      <c r="N849" s="15" t="str">
        <f>VLOOKUP(A849,sinap!$A$2:$R$9000,6,FALSE)</f>
        <v>20-09-2018</v>
      </c>
      <c r="O849" s="15" t="str">
        <f>VLOOKUP(A849,sinap!$A$2:$R$9000,7,FALSE)</f>
        <v>Vivo</v>
      </c>
      <c r="P849" s="15" t="str">
        <f>VLOOKUP(A849,sinap!$A$2:$R$9000,8,FALSE)</f>
        <v>11.1.01.0893</v>
      </c>
      <c r="Q849" s="15" t="str">
        <f>VLOOKUP(A849,sinap!$A$2:$R$9000,12,FALSE)</f>
        <v>11.1.01.0791</v>
      </c>
      <c r="R849" s="15" t="str">
        <f>VLOOKUP(A849,sinap!$A$2:$R$9000,16,FALSE)</f>
        <v>11.1.01.1241</v>
      </c>
      <c r="S849" s="15" t="str">
        <f>VLOOKUP(A849,sinap!$A$2:$Y$9000,20,FALSE)</f>
        <v>SI</v>
      </c>
    </row>
    <row r="850" spans="1:19" hidden="1" x14ac:dyDescent="0.25">
      <c r="A850" s="15">
        <v>16843040</v>
      </c>
      <c r="J850" s="15" t="str">
        <f>VLOOKUP(A850,sinap!$A$2:$R$9000,2,FALSE)</f>
        <v>H</v>
      </c>
      <c r="K850" s="15" t="str">
        <f>VLOOKUP(A850,sinap!$A$2:$R$9000,3,FALSE)</f>
        <v>VACA</v>
      </c>
      <c r="L850" s="15" t="str">
        <f>VLOOKUP(A850,sinap!$A$2:$R$9000,4,FALSE)</f>
        <v>ANGUS NEGRO</v>
      </c>
      <c r="M850" s="15" t="str">
        <f>VLOOKUP(A850,sinap!$A$2:$R$9000,5,FALSE)</f>
        <v>7 años 4 meses</v>
      </c>
      <c r="N850" s="15" t="str">
        <f>VLOOKUP(A850,sinap!$A$2:$R$9000,6,FALSE)</f>
        <v>30-08-2018</v>
      </c>
      <c r="O850" s="15" t="str">
        <f>VLOOKUP(A850,sinap!$A$2:$R$9000,7,FALSE)</f>
        <v>Vivo</v>
      </c>
      <c r="P850" s="15" t="str">
        <f>VLOOKUP(A850,sinap!$A$2:$R$9000,8,FALSE)</f>
        <v>11.2.01.0038</v>
      </c>
      <c r="Q850" s="15" t="str">
        <f>VLOOKUP(A850,sinap!$A$2:$R$9000,12,FALSE)</f>
        <v>11.1.01.0893</v>
      </c>
      <c r="R850" s="15" t="str">
        <f>VLOOKUP(A850,sinap!$A$2:$R$9000,16,FALSE)</f>
        <v>11.1.01.1241</v>
      </c>
      <c r="S850" s="15" t="str">
        <f>VLOOKUP(A850,sinap!$A$2:$Y$9000,20,FALSE)</f>
        <v>SI</v>
      </c>
    </row>
    <row r="851" spans="1:19" hidden="1" x14ac:dyDescent="0.25">
      <c r="A851" s="15">
        <v>16843048</v>
      </c>
      <c r="J851" s="15" t="str">
        <f>VLOOKUP(A851,sinap!$A$2:$R$9000,2,FALSE)</f>
        <v>M</v>
      </c>
      <c r="K851" s="15" t="str">
        <f>VLOOKUP(A851,sinap!$A$2:$R$9000,3,FALSE)</f>
        <v>TORO</v>
      </c>
      <c r="L851" s="15" t="str">
        <f>VLOOKUP(A851,sinap!$A$2:$R$9000,4,FALSE)</f>
        <v>ANGUS ROJO</v>
      </c>
      <c r="M851" s="15" t="str">
        <f>VLOOKUP(A851,sinap!$A$2:$R$9000,5,FALSE)</f>
        <v>7 años 3 meses</v>
      </c>
      <c r="N851" s="15" t="str">
        <f>VLOOKUP(A851,sinap!$A$2:$R$9000,6,FALSE)</f>
        <v>20-09-2018</v>
      </c>
      <c r="O851" s="15" t="str">
        <f>VLOOKUP(A851,sinap!$A$2:$R$9000,7,FALSE)</f>
        <v>Vivo</v>
      </c>
      <c r="P851" s="15" t="str">
        <f>VLOOKUP(A851,sinap!$A$2:$R$9000,8,FALSE)</f>
        <v>11.1.01.1241</v>
      </c>
      <c r="Q851" s="15" t="str">
        <f>VLOOKUP(A851,sinap!$A$2:$R$9000,12,FALSE)</f>
        <v>Sin Movimiento</v>
      </c>
      <c r="R851" s="15" t="str">
        <f>VLOOKUP(A851,sinap!$A$2:$R$9000,16,FALSE)</f>
        <v>11.1.01.1241</v>
      </c>
      <c r="S851" s="15" t="str">
        <f>VLOOKUP(A851,sinap!$A$2:$Y$9000,20,FALSE)</f>
        <v>SI</v>
      </c>
    </row>
    <row r="852" spans="1:19" hidden="1" x14ac:dyDescent="0.25">
      <c r="A852" s="15">
        <v>16843060</v>
      </c>
      <c r="J852" s="15" t="str">
        <f>VLOOKUP(A852,sinap!$A$2:$R$9000,2,FALSE)</f>
        <v>H</v>
      </c>
      <c r="K852" s="15" t="str">
        <f>VLOOKUP(A852,sinap!$A$2:$R$9000,3,FALSE)</f>
        <v>VACA</v>
      </c>
      <c r="L852" s="15" t="str">
        <f>VLOOKUP(A852,sinap!$A$2:$R$9000,4,FALSE)</f>
        <v>ANGUS NEGRO</v>
      </c>
      <c r="M852" s="15" t="str">
        <f>VLOOKUP(A852,sinap!$A$2:$R$9000,5,FALSE)</f>
        <v>7 años 3 meses</v>
      </c>
      <c r="N852" s="15" t="str">
        <f>VLOOKUP(A852,sinap!$A$2:$R$9000,6,FALSE)</f>
        <v>10-10-2018</v>
      </c>
      <c r="O852" s="15" t="str">
        <f>VLOOKUP(A852,sinap!$A$2:$R$9000,7,FALSE)</f>
        <v>Vivo</v>
      </c>
      <c r="P852" s="15" t="str">
        <f>VLOOKUP(A852,sinap!$A$2:$R$9000,8,FALSE)</f>
        <v>11.1.01.0893</v>
      </c>
      <c r="Q852" s="15" t="str">
        <f>VLOOKUP(A852,sinap!$A$2:$R$9000,12,FALSE)</f>
        <v>11.1.01.0791</v>
      </c>
      <c r="R852" s="15" t="str">
        <f>VLOOKUP(A852,sinap!$A$2:$R$9000,16,FALSE)</f>
        <v>11.1.01.1241</v>
      </c>
      <c r="S852" s="15" t="str">
        <f>VLOOKUP(A852,sinap!$A$2:$Y$9000,20,FALSE)</f>
        <v>SI</v>
      </c>
    </row>
    <row r="853" spans="1:19" hidden="1" x14ac:dyDescent="0.25">
      <c r="A853" s="15">
        <v>16843116</v>
      </c>
      <c r="H853" s="16">
        <v>45297</v>
      </c>
      <c r="J853" s="15" t="str">
        <f>VLOOKUP(A853,sinap!$A$2:$R$9000,2,FALSE)</f>
        <v>H</v>
      </c>
      <c r="K853" s="15" t="str">
        <f>VLOOKUP(A853,sinap!$A$2:$R$9000,3,FALSE)</f>
        <v>VACA</v>
      </c>
      <c r="L853" s="15" t="str">
        <f>VLOOKUP(A853,sinap!$A$2:$R$9000,4,FALSE)</f>
        <v>ANGUS NEGRO</v>
      </c>
      <c r="M853" s="15" t="str">
        <f>VLOOKUP(A853,sinap!$A$2:$R$9000,5,FALSE)</f>
        <v>7 años 3 meses</v>
      </c>
      <c r="N853" s="15" t="str">
        <f>VLOOKUP(A853,sinap!$A$2:$R$9000,6,FALSE)</f>
        <v>10-10-2018</v>
      </c>
      <c r="O853" s="15" t="str">
        <f>VLOOKUP(A853,sinap!$A$2:$R$9000,7,FALSE)</f>
        <v>Vivo</v>
      </c>
      <c r="P853" s="15" t="str">
        <f>VLOOKUP(A853,sinap!$A$2:$R$9000,8,FALSE)</f>
        <v>11.2.01.0038</v>
      </c>
      <c r="Q853" s="15" t="str">
        <f>VLOOKUP(A853,sinap!$A$2:$R$9000,12,FALSE)</f>
        <v>11.1.01.0893</v>
      </c>
      <c r="R853" s="15" t="str">
        <f>VLOOKUP(A853,sinap!$A$2:$R$9000,16,FALSE)</f>
        <v>11.1.01.1241</v>
      </c>
      <c r="S853" s="15" t="str">
        <f>VLOOKUP(A853,sinap!$A$2:$Y$9000,20,FALSE)</f>
        <v>SI</v>
      </c>
    </row>
    <row r="854" spans="1:19" hidden="1" x14ac:dyDescent="0.25">
      <c r="A854" s="15">
        <v>16843125</v>
      </c>
      <c r="B854" s="15">
        <v>2636110</v>
      </c>
      <c r="J854" s="15" t="str">
        <f>VLOOKUP(A854,sinap!$A$2:$R$9000,2,FALSE)</f>
        <v>M</v>
      </c>
      <c r="K854" s="15" t="str">
        <f>VLOOKUP(A854,sinap!$A$2:$R$9000,3,FALSE)</f>
        <v>TORO</v>
      </c>
      <c r="L854" s="15" t="str">
        <f>VLOOKUP(A854,sinap!$A$2:$R$9000,4,FALSE)</f>
        <v>ANGUS NEGRO</v>
      </c>
      <c r="M854" s="15" t="str">
        <f>VLOOKUP(A854,sinap!$A$2:$R$9000,5,FALSE)</f>
        <v>15 años 3 meses</v>
      </c>
      <c r="N854" s="15" t="str">
        <f>VLOOKUP(A854,sinap!$A$2:$R$9000,6,FALSE)</f>
        <v>15-10-2010</v>
      </c>
      <c r="O854" s="15" t="str">
        <f>VLOOKUP(A854,sinap!$A$2:$R$9000,7,FALSE)</f>
        <v>Vivo</v>
      </c>
      <c r="P854" s="15" t="str">
        <f>VLOOKUP(A854,sinap!$A$2:$R$9000,8,FALSE)</f>
        <v>11.1.01.1241</v>
      </c>
      <c r="Q854" s="15" t="str">
        <f>VLOOKUP(A854,sinap!$A$2:$R$9000,12,FALSE)</f>
        <v>11.1.01.0893</v>
      </c>
      <c r="R854" s="15" t="str">
        <f>VLOOKUP(A854,sinap!$A$2:$R$9000,16,FALSE)</f>
        <v>11.1.01.0290</v>
      </c>
      <c r="S854" s="15" t="str">
        <f>VLOOKUP(A854,sinap!$A$2:$Y$9000,20,FALSE)</f>
        <v>SI</v>
      </c>
    </row>
    <row r="855" spans="1:19" hidden="1" x14ac:dyDescent="0.25">
      <c r="A855" s="15">
        <v>16843126</v>
      </c>
      <c r="B855" s="15">
        <v>2636136</v>
      </c>
      <c r="J855" s="15" t="str">
        <f>VLOOKUP(A855,sinap!$A$2:$R$9000,2,FALSE)</f>
        <v>M</v>
      </c>
      <c r="K855" s="15" t="str">
        <f>VLOOKUP(A855,sinap!$A$2:$R$9000,3,FALSE)</f>
        <v>TORO</v>
      </c>
      <c r="L855" s="15" t="str">
        <f>VLOOKUP(A855,sinap!$A$2:$R$9000,4,FALSE)</f>
        <v>ANGUS NEGRO</v>
      </c>
      <c r="M855" s="15" t="str">
        <f>VLOOKUP(A855,sinap!$A$2:$R$9000,5,FALSE)</f>
        <v>10 años 3 meses</v>
      </c>
      <c r="N855" s="15" t="str">
        <f>VLOOKUP(A855,sinap!$A$2:$R$9000,6,FALSE)</f>
        <v>30-09-2015</v>
      </c>
      <c r="O855" s="15" t="str">
        <f>VLOOKUP(A855,sinap!$A$2:$R$9000,7,FALSE)</f>
        <v>Vivo</v>
      </c>
      <c r="P855" s="15" t="str">
        <f>VLOOKUP(A855,sinap!$A$2:$R$9000,8,FALSE)</f>
        <v>11.1.01.0893</v>
      </c>
      <c r="Q855" s="15" t="str">
        <f>VLOOKUP(A855,sinap!$A$2:$R$9000,12,FALSE)</f>
        <v>11.1.01.1241</v>
      </c>
      <c r="R855" s="15" t="str">
        <f>VLOOKUP(A855,sinap!$A$2:$R$9000,16,FALSE)</f>
        <v>11.1.01.0290</v>
      </c>
      <c r="S855" s="15" t="str">
        <f>VLOOKUP(A855,sinap!$A$2:$Y$9000,20,FALSE)</f>
        <v>SI</v>
      </c>
    </row>
    <row r="856" spans="1:19" hidden="1" x14ac:dyDescent="0.25">
      <c r="A856" s="15">
        <v>16843128</v>
      </c>
      <c r="B856" s="15">
        <v>2636145</v>
      </c>
      <c r="J856" s="15" t="str">
        <f>VLOOKUP(A856,sinap!$A$2:$R$9000,2,FALSE)</f>
        <v>M</v>
      </c>
      <c r="K856" s="15" t="str">
        <f>VLOOKUP(A856,sinap!$A$2:$R$9000,3,FALSE)</f>
        <v>TORO</v>
      </c>
      <c r="L856" s="15" t="str">
        <f>VLOOKUP(A856,sinap!$A$2:$R$9000,4,FALSE)</f>
        <v>ANGUS NEGRO</v>
      </c>
      <c r="M856" s="15" t="str">
        <f>VLOOKUP(A856,sinap!$A$2:$R$9000,5,FALSE)</f>
        <v>15 años 3 meses</v>
      </c>
      <c r="N856" s="15" t="str">
        <f>VLOOKUP(A856,sinap!$A$2:$R$9000,6,FALSE)</f>
        <v>15-10-2010</v>
      </c>
      <c r="O856" s="15" t="str">
        <f>VLOOKUP(A856,sinap!$A$2:$R$9000,7,FALSE)</f>
        <v>Vivo</v>
      </c>
      <c r="P856" s="15" t="str">
        <f>VLOOKUP(A856,sinap!$A$2:$R$9000,8,FALSE)</f>
        <v>11.1.01.1241</v>
      </c>
      <c r="Q856" s="15" t="str">
        <f>VLOOKUP(A856,sinap!$A$2:$R$9000,12,FALSE)</f>
        <v>11.1.01.0893</v>
      </c>
      <c r="R856" s="15" t="str">
        <f>VLOOKUP(A856,sinap!$A$2:$R$9000,16,FALSE)</f>
        <v>11.1.01.0290</v>
      </c>
      <c r="S856" s="15" t="str">
        <f>VLOOKUP(A856,sinap!$A$2:$Y$9000,20,FALSE)</f>
        <v>SI</v>
      </c>
    </row>
    <row r="857" spans="1:19" hidden="1" x14ac:dyDescent="0.25">
      <c r="A857" s="15">
        <v>16843129</v>
      </c>
      <c r="J857" s="15" t="str">
        <f>VLOOKUP(A857,sinap!$A$2:$R$9000,2,FALSE)</f>
        <v>M</v>
      </c>
      <c r="K857" s="15" t="str">
        <f>VLOOKUP(A857,sinap!$A$2:$R$9000,3,FALSE)</f>
        <v>TORO</v>
      </c>
      <c r="L857" s="15" t="str">
        <f>VLOOKUP(A857,sinap!$A$2:$R$9000,4,FALSE)</f>
        <v>ANGUS NEGRO</v>
      </c>
      <c r="M857" s="15" t="str">
        <f>VLOOKUP(A857,sinap!$A$2:$R$9000,5,FALSE)</f>
        <v>16 años 3 meses</v>
      </c>
      <c r="N857" s="15" t="str">
        <f>VLOOKUP(A857,sinap!$A$2:$R$9000,6,FALSE)</f>
        <v>15-10-2009</v>
      </c>
      <c r="O857" s="15" t="str">
        <f>VLOOKUP(A857,sinap!$A$2:$R$9000,7,FALSE)</f>
        <v>Vivo</v>
      </c>
      <c r="P857" s="15" t="str">
        <f>VLOOKUP(A857,sinap!$A$2:$R$9000,8,FALSE)</f>
        <v>11.1.01.1241</v>
      </c>
      <c r="Q857" s="15" t="str">
        <f>VLOOKUP(A857,sinap!$A$2:$R$9000,12,FALSE)</f>
        <v>11.1.01.0893</v>
      </c>
      <c r="R857" s="15" t="str">
        <f>VLOOKUP(A857,sinap!$A$2:$R$9000,16,FALSE)</f>
        <v>11.1.01.0290</v>
      </c>
      <c r="S857" s="15" t="str">
        <f>VLOOKUP(A857,sinap!$A$2:$Y$9000,20,FALSE)</f>
        <v>SI</v>
      </c>
    </row>
    <row r="858" spans="1:19" hidden="1" x14ac:dyDescent="0.25">
      <c r="A858" s="15">
        <v>16843134</v>
      </c>
      <c r="J858" s="15" t="str">
        <f>VLOOKUP(A858,sinap!$A$2:$R$9000,2,FALSE)</f>
        <v>M</v>
      </c>
      <c r="K858" s="15" t="str">
        <f>VLOOKUP(A858,sinap!$A$2:$R$9000,3,FALSE)</f>
        <v>TORO</v>
      </c>
      <c r="L858" s="15" t="str">
        <f>VLOOKUP(A858,sinap!$A$2:$R$9000,4,FALSE)</f>
        <v>ANGUS NEGRO</v>
      </c>
      <c r="M858" s="15" t="str">
        <f>VLOOKUP(A858,sinap!$A$2:$R$9000,5,FALSE)</f>
        <v>10 años 3 meses</v>
      </c>
      <c r="N858" s="15" t="str">
        <f>VLOOKUP(A858,sinap!$A$2:$R$9000,6,FALSE)</f>
        <v>30-09-2015</v>
      </c>
      <c r="O858" s="15" t="str">
        <f>VLOOKUP(A858,sinap!$A$2:$R$9000,7,FALSE)</f>
        <v>Vivo</v>
      </c>
      <c r="P858" s="15" t="str">
        <f>VLOOKUP(A858,sinap!$A$2:$R$9000,8,FALSE)</f>
        <v>11.2.01.0038</v>
      </c>
      <c r="Q858" s="15" t="str">
        <f>VLOOKUP(A858,sinap!$A$2:$R$9000,12,FALSE)</f>
        <v>11.1.01.1241</v>
      </c>
      <c r="R858" s="15" t="str">
        <f>VLOOKUP(A858,sinap!$A$2:$R$9000,16,FALSE)</f>
        <v>11.1.01.0290</v>
      </c>
      <c r="S858" s="15" t="str">
        <f>VLOOKUP(A858,sinap!$A$2:$Y$9000,20,FALSE)</f>
        <v>SI</v>
      </c>
    </row>
    <row r="859" spans="1:19" hidden="1" x14ac:dyDescent="0.25">
      <c r="A859" s="15">
        <v>16843136</v>
      </c>
      <c r="J859" s="15" t="str">
        <f>VLOOKUP(A859,sinap!$A$2:$R$9000,2,FALSE)</f>
        <v>no existe</v>
      </c>
      <c r="K859" s="15" t="str">
        <f>VLOOKUP(A859,sinap!$A$2:$R$9000,3,FALSE)</f>
        <v>no existe</v>
      </c>
      <c r="L859" s="15" t="str">
        <f>VLOOKUP(A859,sinap!$A$2:$R$9000,4,FALSE)</f>
        <v>no existe</v>
      </c>
      <c r="M859" s="15" t="str">
        <f>VLOOKUP(A859,sinap!$A$2:$R$9000,5,FALSE)</f>
        <v>no existe</v>
      </c>
      <c r="N859" s="15" t="str">
        <f>VLOOKUP(A859,sinap!$A$2:$R$9000,6,FALSE)</f>
        <v>no existe</v>
      </c>
      <c r="O859" s="15" t="str">
        <f>VLOOKUP(A859,sinap!$A$2:$R$9000,7,FALSE)</f>
        <v>no existe</v>
      </c>
      <c r="P859" s="15" t="str">
        <f>VLOOKUP(A859,sinap!$A$2:$R$9000,8,FALSE)</f>
        <v>no existe</v>
      </c>
      <c r="Q859" s="15" t="str">
        <f>VLOOKUP(A859,sinap!$A$2:$R$9000,12,FALSE)</f>
        <v>no existe</v>
      </c>
      <c r="R859" s="15" t="str">
        <f>VLOOKUP(A859,sinap!$A$2:$R$9000,16,FALSE)</f>
        <v>no existe</v>
      </c>
      <c r="S859" s="15" t="str">
        <f>VLOOKUP(A859,sinap!$A$2:$Y$9000,20,FALSE)</f>
        <v>no existe</v>
      </c>
    </row>
    <row r="860" spans="1:19" hidden="1" x14ac:dyDescent="0.25">
      <c r="A860" s="15">
        <v>16843139</v>
      </c>
      <c r="J860" s="15" t="str">
        <f>VLOOKUP(A860,sinap!$A$2:$R$9000,2,FALSE)</f>
        <v>no existe</v>
      </c>
      <c r="K860" s="15" t="str">
        <f>VLOOKUP(A860,sinap!$A$2:$R$9000,3,FALSE)</f>
        <v>no existe</v>
      </c>
      <c r="L860" s="15" t="str">
        <f>VLOOKUP(A860,sinap!$A$2:$R$9000,4,FALSE)</f>
        <v>no existe</v>
      </c>
      <c r="M860" s="15" t="str">
        <f>VLOOKUP(A860,sinap!$A$2:$R$9000,5,FALSE)</f>
        <v>no existe</v>
      </c>
      <c r="N860" s="15" t="str">
        <f>VLOOKUP(A860,sinap!$A$2:$R$9000,6,FALSE)</f>
        <v>no existe</v>
      </c>
      <c r="O860" s="15" t="str">
        <f>VLOOKUP(A860,sinap!$A$2:$R$9000,7,FALSE)</f>
        <v>no existe</v>
      </c>
      <c r="P860" s="15" t="str">
        <f>VLOOKUP(A860,sinap!$A$2:$R$9000,8,FALSE)</f>
        <v>no existe</v>
      </c>
      <c r="Q860" s="15" t="str">
        <f>VLOOKUP(A860,sinap!$A$2:$R$9000,12,FALSE)</f>
        <v>no existe</v>
      </c>
      <c r="R860" s="15" t="str">
        <f>VLOOKUP(A860,sinap!$A$2:$R$9000,16,FALSE)</f>
        <v>no existe</v>
      </c>
      <c r="S860" s="15" t="str">
        <f>VLOOKUP(A860,sinap!$A$2:$Y$9000,20,FALSE)</f>
        <v>no existe</v>
      </c>
    </row>
    <row r="861" spans="1:19" hidden="1" x14ac:dyDescent="0.25">
      <c r="A861" s="15">
        <v>16843140</v>
      </c>
      <c r="B861" s="15">
        <v>2636114</v>
      </c>
      <c r="J861" s="15" t="str">
        <f>VLOOKUP(A861,sinap!$A$2:$R$9000,2,FALSE)</f>
        <v>M</v>
      </c>
      <c r="K861" s="15" t="str">
        <f>VLOOKUP(A861,sinap!$A$2:$R$9000,3,FALSE)</f>
        <v>BUEY</v>
      </c>
      <c r="L861" s="15" t="str">
        <f>VLOOKUP(A861,sinap!$A$2:$R$9000,4,FALSE)</f>
        <v>ANGUS NEGRO</v>
      </c>
      <c r="M861" s="15" t="str">
        <f>VLOOKUP(A861,sinap!$A$2:$R$9000,5,FALSE)</f>
        <v>12 años 3 meses</v>
      </c>
      <c r="N861" s="15" t="str">
        <f>VLOOKUP(A861,sinap!$A$2:$R$9000,6,FALSE)</f>
        <v>10-10-2013</v>
      </c>
      <c r="O861" s="15" t="str">
        <f>VLOOKUP(A861,sinap!$A$2:$R$9000,7,FALSE)</f>
        <v>Vivo</v>
      </c>
      <c r="P861" s="15" t="str">
        <f>VLOOKUP(A861,sinap!$A$2:$R$9000,8,FALSE)</f>
        <v>11.1.01.1241</v>
      </c>
      <c r="Q861" s="15" t="str">
        <f>VLOOKUP(A861,sinap!$A$2:$R$9000,12,FALSE)</f>
        <v>Sin Movimiento</v>
      </c>
      <c r="R861" s="15" t="str">
        <f>VLOOKUP(A861,sinap!$A$2:$R$9000,16,FALSE)</f>
        <v>11.1.01.1241</v>
      </c>
      <c r="S861" s="15" t="str">
        <f>VLOOKUP(A861,sinap!$A$2:$Y$9000,20,FALSE)</f>
        <v>NO</v>
      </c>
    </row>
    <row r="862" spans="1:19" hidden="1" x14ac:dyDescent="0.25">
      <c r="A862" s="15">
        <v>16843142</v>
      </c>
      <c r="J862" s="15" t="str">
        <f>VLOOKUP(A862,sinap!$A$2:$R$9000,2,FALSE)</f>
        <v>H</v>
      </c>
      <c r="K862" s="15" t="str">
        <f>VLOOKUP(A862,sinap!$A$2:$R$9000,3,FALSE)</f>
        <v>VACA</v>
      </c>
      <c r="L862" s="15" t="str">
        <f>VLOOKUP(A862,sinap!$A$2:$R$9000,4,FALSE)</f>
        <v>ANGUS NEGRO</v>
      </c>
      <c r="M862" s="15" t="str">
        <f>VLOOKUP(A862,sinap!$A$2:$R$9000,5,FALSE)</f>
        <v>9 años 3 meses</v>
      </c>
      <c r="N862" s="15" t="str">
        <f>VLOOKUP(A862,sinap!$A$2:$R$9000,6,FALSE)</f>
        <v>10-10-2016</v>
      </c>
      <c r="O862" s="15" t="str">
        <f>VLOOKUP(A862,sinap!$A$2:$R$9000,7,FALSE)</f>
        <v>Vivo</v>
      </c>
      <c r="P862" s="15" t="str">
        <f>VLOOKUP(A862,sinap!$A$2:$R$9000,8,FALSE)</f>
        <v>11.1.01.1241</v>
      </c>
      <c r="Q862" s="15" t="str">
        <f>VLOOKUP(A862,sinap!$A$2:$R$9000,12,FALSE)</f>
        <v>Sin Movimiento</v>
      </c>
      <c r="R862" s="15" t="str">
        <f>VLOOKUP(A862,sinap!$A$2:$R$9000,16,FALSE)</f>
        <v>11.1.01.1241</v>
      </c>
      <c r="S862" s="15" t="str">
        <f>VLOOKUP(A862,sinap!$A$2:$Y$9000,20,FALSE)</f>
        <v>SI</v>
      </c>
    </row>
    <row r="863" spans="1:19" hidden="1" x14ac:dyDescent="0.25">
      <c r="A863" s="15">
        <v>16843146</v>
      </c>
      <c r="J863" s="15" t="str">
        <f>VLOOKUP(A863,sinap!$A$2:$R$9000,2,FALSE)</f>
        <v>M</v>
      </c>
      <c r="K863" s="15" t="str">
        <f>VLOOKUP(A863,sinap!$A$2:$R$9000,3,FALSE)</f>
        <v>TORO</v>
      </c>
      <c r="L863" s="15" t="str">
        <f>VLOOKUP(A863,sinap!$A$2:$R$9000,4,FALSE)</f>
        <v>ANGUS NEGRO</v>
      </c>
      <c r="M863" s="15" t="str">
        <f>VLOOKUP(A863,sinap!$A$2:$R$9000,5,FALSE)</f>
        <v>7 años 4 meses</v>
      </c>
      <c r="N863" s="15" t="str">
        <f>VLOOKUP(A863,sinap!$A$2:$R$9000,6,FALSE)</f>
        <v>10-09-2018</v>
      </c>
      <c r="O863" s="15" t="str">
        <f>VLOOKUP(A863,sinap!$A$2:$R$9000,7,FALSE)</f>
        <v>Vivo</v>
      </c>
      <c r="P863" s="15" t="str">
        <f>VLOOKUP(A863,sinap!$A$2:$R$9000,8,FALSE)</f>
        <v>11.1.01.1241</v>
      </c>
      <c r="Q863" s="15" t="str">
        <f>VLOOKUP(A863,sinap!$A$2:$R$9000,12,FALSE)</f>
        <v>Sin Movimiento</v>
      </c>
      <c r="R863" s="15" t="str">
        <f>VLOOKUP(A863,sinap!$A$2:$R$9000,16,FALSE)</f>
        <v>11.1.01.1241</v>
      </c>
      <c r="S863" s="15" t="str">
        <f>VLOOKUP(A863,sinap!$A$2:$Y$9000,20,FALSE)</f>
        <v>SI</v>
      </c>
    </row>
    <row r="864" spans="1:19" hidden="1" x14ac:dyDescent="0.25">
      <c r="A864" s="15">
        <v>16843164</v>
      </c>
      <c r="J864" s="15" t="str">
        <f>VLOOKUP(A864,sinap!$A$2:$R$9000,2,FALSE)</f>
        <v>H</v>
      </c>
      <c r="K864" s="15" t="str">
        <f>VLOOKUP(A864,sinap!$A$2:$R$9000,3,FALSE)</f>
        <v>VACA</v>
      </c>
      <c r="L864" s="15" t="str">
        <f>VLOOKUP(A864,sinap!$A$2:$R$9000,4,FALSE)</f>
        <v>ANGUS NEGRO</v>
      </c>
      <c r="M864" s="15" t="str">
        <f>VLOOKUP(A864,sinap!$A$2:$R$9000,5,FALSE)</f>
        <v>7 años 3 meses</v>
      </c>
      <c r="N864" s="15" t="str">
        <f>VLOOKUP(A864,sinap!$A$2:$R$9000,6,FALSE)</f>
        <v>20-09-2018</v>
      </c>
      <c r="O864" s="15" t="str">
        <f>VLOOKUP(A864,sinap!$A$2:$R$9000,7,FALSE)</f>
        <v>Vivo</v>
      </c>
      <c r="P864" s="15" t="str">
        <f>VLOOKUP(A864,sinap!$A$2:$R$9000,8,FALSE)</f>
        <v>11.1.01.0893</v>
      </c>
      <c r="Q864" s="15" t="str">
        <f>VLOOKUP(A864,sinap!$A$2:$R$9000,12,FALSE)</f>
        <v>11.2.01.0053</v>
      </c>
      <c r="R864" s="15" t="str">
        <f>VLOOKUP(A864,sinap!$A$2:$R$9000,16,FALSE)</f>
        <v>11.1.01.1241</v>
      </c>
      <c r="S864" s="15" t="str">
        <f>VLOOKUP(A864,sinap!$A$2:$Y$9000,20,FALSE)</f>
        <v>SI</v>
      </c>
    </row>
    <row r="865" spans="1:19" hidden="1" x14ac:dyDescent="0.25">
      <c r="A865" s="15">
        <v>16843179</v>
      </c>
      <c r="J865" s="15" t="str">
        <f>VLOOKUP(A865,sinap!$A$2:$R$9000,2,FALSE)</f>
        <v>H</v>
      </c>
      <c r="K865" s="15" t="str">
        <f>VLOOKUP(A865,sinap!$A$2:$R$9000,3,FALSE)</f>
        <v>VACA</v>
      </c>
      <c r="L865" s="15" t="str">
        <f>VLOOKUP(A865,sinap!$A$2:$R$9000,4,FALSE)</f>
        <v>ANGUS NEGRO</v>
      </c>
      <c r="M865" s="15" t="str">
        <f>VLOOKUP(A865,sinap!$A$2:$R$9000,5,FALSE)</f>
        <v>7 años 3 meses</v>
      </c>
      <c r="N865" s="15" t="str">
        <f>VLOOKUP(A865,sinap!$A$2:$R$9000,6,FALSE)</f>
        <v>20-09-2018</v>
      </c>
      <c r="O865" s="15" t="str">
        <f>VLOOKUP(A865,sinap!$A$2:$R$9000,7,FALSE)</f>
        <v>Vivo</v>
      </c>
      <c r="P865" s="15" t="str">
        <f>VLOOKUP(A865,sinap!$A$2:$R$9000,8,FALSE)</f>
        <v>11.1.01.1241</v>
      </c>
      <c r="Q865" s="15" t="str">
        <f>VLOOKUP(A865,sinap!$A$2:$R$9000,12,FALSE)</f>
        <v>11.1.01.0893</v>
      </c>
      <c r="R865" s="15" t="str">
        <f>VLOOKUP(A865,sinap!$A$2:$R$9000,16,FALSE)</f>
        <v>11.1.01.1241</v>
      </c>
      <c r="S865" s="15" t="str">
        <f>VLOOKUP(A865,sinap!$A$2:$Y$9000,20,FALSE)</f>
        <v>SI</v>
      </c>
    </row>
    <row r="866" spans="1:19" hidden="1" x14ac:dyDescent="0.25">
      <c r="A866" s="15">
        <v>16843180</v>
      </c>
      <c r="J866" s="15" t="str">
        <f>VLOOKUP(A866,sinap!$A$2:$R$9000,2,FALSE)</f>
        <v>H</v>
      </c>
      <c r="K866" s="15" t="str">
        <f>VLOOKUP(A866,sinap!$A$2:$R$9000,3,FALSE)</f>
        <v>VACA</v>
      </c>
      <c r="L866" s="15" t="str">
        <f>VLOOKUP(A866,sinap!$A$2:$R$9000,4,FALSE)</f>
        <v>ANGUS NEGRO</v>
      </c>
      <c r="M866" s="15" t="str">
        <f>VLOOKUP(A866,sinap!$A$2:$R$9000,5,FALSE)</f>
        <v>7 años 4 meses</v>
      </c>
      <c r="N866" s="15" t="str">
        <f>VLOOKUP(A866,sinap!$A$2:$R$9000,6,FALSE)</f>
        <v>15-09-2018</v>
      </c>
      <c r="O866" s="15" t="str">
        <f>VLOOKUP(A866,sinap!$A$2:$R$9000,7,FALSE)</f>
        <v>Vivo</v>
      </c>
      <c r="P866" s="15" t="str">
        <f>VLOOKUP(A866,sinap!$A$2:$R$9000,8,FALSE)</f>
        <v>11.1.01.0893</v>
      </c>
      <c r="Q866" s="15" t="str">
        <f>VLOOKUP(A866,sinap!$A$2:$R$9000,12,FALSE)</f>
        <v>11.1.01.0791</v>
      </c>
      <c r="R866" s="15" t="str">
        <f>VLOOKUP(A866,sinap!$A$2:$R$9000,16,FALSE)</f>
        <v>11.1.01.1241</v>
      </c>
      <c r="S866" s="15" t="str">
        <f>VLOOKUP(A866,sinap!$A$2:$Y$9000,20,FALSE)</f>
        <v>SI</v>
      </c>
    </row>
    <row r="867" spans="1:19" hidden="1" x14ac:dyDescent="0.25">
      <c r="A867" s="15">
        <v>16843181</v>
      </c>
      <c r="J867" s="15" t="str">
        <f>VLOOKUP(A867,sinap!$A$2:$R$9000,2,FALSE)</f>
        <v>H</v>
      </c>
      <c r="K867" s="15" t="str">
        <f>VLOOKUP(A867,sinap!$A$2:$R$9000,3,FALSE)</f>
        <v>VACA</v>
      </c>
      <c r="L867" s="15" t="str">
        <f>VLOOKUP(A867,sinap!$A$2:$R$9000,4,FALSE)</f>
        <v>ANGUS NEGRO</v>
      </c>
      <c r="M867" s="15" t="str">
        <f>VLOOKUP(A867,sinap!$A$2:$R$9000,5,FALSE)</f>
        <v>7 años 3 meses</v>
      </c>
      <c r="N867" s="15" t="str">
        <f>VLOOKUP(A867,sinap!$A$2:$R$9000,6,FALSE)</f>
        <v>30-09-2018</v>
      </c>
      <c r="O867" s="15" t="str">
        <f>VLOOKUP(A867,sinap!$A$2:$R$9000,7,FALSE)</f>
        <v>Vivo</v>
      </c>
      <c r="P867" s="15" t="str">
        <f>VLOOKUP(A867,sinap!$A$2:$R$9000,8,FALSE)</f>
        <v>11.2.01.0038</v>
      </c>
      <c r="Q867" s="15" t="str">
        <f>VLOOKUP(A867,sinap!$A$2:$R$9000,12,FALSE)</f>
        <v>11.1.01.0893</v>
      </c>
      <c r="R867" s="15" t="str">
        <f>VLOOKUP(A867,sinap!$A$2:$R$9000,16,FALSE)</f>
        <v>11.1.01.1241</v>
      </c>
      <c r="S867" s="15" t="str">
        <f>VLOOKUP(A867,sinap!$A$2:$Y$9000,20,FALSE)</f>
        <v>SI</v>
      </c>
    </row>
    <row r="868" spans="1:19" hidden="1" x14ac:dyDescent="0.25">
      <c r="A868" s="15">
        <v>16843184</v>
      </c>
      <c r="J868" s="15" t="str">
        <f>VLOOKUP(A868,sinap!$A$2:$R$9000,2,FALSE)</f>
        <v>H</v>
      </c>
      <c r="K868" s="15" t="str">
        <f>VLOOKUP(A868,sinap!$A$2:$R$9000,3,FALSE)</f>
        <v>VACA</v>
      </c>
      <c r="L868" s="15" t="str">
        <f>VLOOKUP(A868,sinap!$A$2:$R$9000,4,FALSE)</f>
        <v>ANGUS NEGRO</v>
      </c>
      <c r="M868" s="15" t="str">
        <f>VLOOKUP(A868,sinap!$A$2:$R$9000,5,FALSE)</f>
        <v>7 años 3 meses</v>
      </c>
      <c r="N868" s="15" t="str">
        <f>VLOOKUP(A868,sinap!$A$2:$R$9000,6,FALSE)</f>
        <v>30-09-2018</v>
      </c>
      <c r="O868" s="15" t="str">
        <f>VLOOKUP(A868,sinap!$A$2:$R$9000,7,FALSE)</f>
        <v>Vivo</v>
      </c>
      <c r="P868" s="15" t="str">
        <f>VLOOKUP(A868,sinap!$A$2:$R$9000,8,FALSE)</f>
        <v>11.2.01.0038</v>
      </c>
      <c r="Q868" s="15" t="str">
        <f>VLOOKUP(A868,sinap!$A$2:$R$9000,12,FALSE)</f>
        <v>11.1.01.0893</v>
      </c>
      <c r="R868" s="15" t="str">
        <f>VLOOKUP(A868,sinap!$A$2:$R$9000,16,FALSE)</f>
        <v>11.1.01.1241</v>
      </c>
      <c r="S868" s="15" t="str">
        <f>VLOOKUP(A868,sinap!$A$2:$Y$9000,20,FALSE)</f>
        <v>SI</v>
      </c>
    </row>
    <row r="869" spans="1:19" hidden="1" x14ac:dyDescent="0.25">
      <c r="A869" s="15">
        <v>16843192</v>
      </c>
      <c r="H869" s="16">
        <v>45297</v>
      </c>
      <c r="J869" s="15" t="str">
        <f>VLOOKUP(A869,sinap!$A$2:$R$9000,2,FALSE)</f>
        <v>H</v>
      </c>
      <c r="K869" s="15" t="str">
        <f>VLOOKUP(A869,sinap!$A$2:$R$9000,3,FALSE)</f>
        <v>VACA</v>
      </c>
      <c r="L869" s="15" t="str">
        <f>VLOOKUP(A869,sinap!$A$2:$R$9000,4,FALSE)</f>
        <v>ANGUS NEGRO</v>
      </c>
      <c r="M869" s="15" t="str">
        <f>VLOOKUP(A869,sinap!$A$2:$R$9000,5,FALSE)</f>
        <v>7 años 3 meses</v>
      </c>
      <c r="N869" s="15" t="str">
        <f>VLOOKUP(A869,sinap!$A$2:$R$9000,6,FALSE)</f>
        <v>30-09-2018</v>
      </c>
      <c r="O869" s="15" t="str">
        <f>VLOOKUP(A869,sinap!$A$2:$R$9000,7,FALSE)</f>
        <v>Vivo</v>
      </c>
      <c r="P869" s="15" t="str">
        <f>VLOOKUP(A869,sinap!$A$2:$R$9000,8,FALSE)</f>
        <v>11.2.01.0038</v>
      </c>
      <c r="Q869" s="15" t="str">
        <f>VLOOKUP(A869,sinap!$A$2:$R$9000,12,FALSE)</f>
        <v>11.1.01.0893</v>
      </c>
      <c r="R869" s="15" t="str">
        <f>VLOOKUP(A869,sinap!$A$2:$R$9000,16,FALSE)</f>
        <v>11.1.01.1241</v>
      </c>
      <c r="S869" s="15" t="str">
        <f>VLOOKUP(A869,sinap!$A$2:$Y$9000,20,FALSE)</f>
        <v>SI</v>
      </c>
    </row>
    <row r="870" spans="1:19" hidden="1" x14ac:dyDescent="0.25">
      <c r="A870" s="15">
        <v>16843206</v>
      </c>
      <c r="J870" s="15" t="str">
        <f>VLOOKUP(A870,sinap!$A$2:$R$9000,2,FALSE)</f>
        <v>H</v>
      </c>
      <c r="K870" s="15" t="str">
        <f>VLOOKUP(A870,sinap!$A$2:$R$9000,3,FALSE)</f>
        <v>VACA</v>
      </c>
      <c r="L870" s="15" t="str">
        <f>VLOOKUP(A870,sinap!$A$2:$R$9000,4,FALSE)</f>
        <v>ANGUS NEGRO</v>
      </c>
      <c r="M870" s="15" t="str">
        <f>VLOOKUP(A870,sinap!$A$2:$R$9000,5,FALSE)</f>
        <v>7 años 3 meses</v>
      </c>
      <c r="N870" s="15" t="str">
        <f>VLOOKUP(A870,sinap!$A$2:$R$9000,6,FALSE)</f>
        <v>30-09-2018</v>
      </c>
      <c r="O870" s="15" t="str">
        <f>VLOOKUP(A870,sinap!$A$2:$R$9000,7,FALSE)</f>
        <v>Vivo</v>
      </c>
      <c r="P870" s="15" t="str">
        <f>VLOOKUP(A870,sinap!$A$2:$R$9000,8,FALSE)</f>
        <v>11.1.01.0791</v>
      </c>
      <c r="Q870" s="15" t="str">
        <f>VLOOKUP(A870,sinap!$A$2:$R$9000,12,FALSE)</f>
        <v>11.1.01.0893</v>
      </c>
      <c r="R870" s="15" t="str">
        <f>VLOOKUP(A870,sinap!$A$2:$R$9000,16,FALSE)</f>
        <v>11.1.01.1241</v>
      </c>
      <c r="S870" s="15" t="str">
        <f>VLOOKUP(A870,sinap!$A$2:$Y$9000,20,FALSE)</f>
        <v>SI</v>
      </c>
    </row>
    <row r="871" spans="1:19" hidden="1" x14ac:dyDescent="0.25">
      <c r="A871" s="15">
        <v>16843212</v>
      </c>
      <c r="J871" s="15" t="str">
        <f>VLOOKUP(A871,sinap!$A$2:$R$9000,2,FALSE)</f>
        <v>H</v>
      </c>
      <c r="K871" s="15" t="str">
        <f>VLOOKUP(A871,sinap!$A$2:$R$9000,3,FALSE)</f>
        <v>VACA</v>
      </c>
      <c r="L871" s="15" t="str">
        <f>VLOOKUP(A871,sinap!$A$2:$R$9000,4,FALSE)</f>
        <v>ANGUS NEGRO</v>
      </c>
      <c r="M871" s="15" t="str">
        <f>VLOOKUP(A871,sinap!$A$2:$R$9000,5,FALSE)</f>
        <v>7 años 3 meses</v>
      </c>
      <c r="N871" s="15" t="str">
        <f>VLOOKUP(A871,sinap!$A$2:$R$9000,6,FALSE)</f>
        <v>30-09-2018</v>
      </c>
      <c r="O871" s="15" t="str">
        <f>VLOOKUP(A871,sinap!$A$2:$R$9000,7,FALSE)</f>
        <v>Vivo</v>
      </c>
      <c r="P871" s="15" t="str">
        <f>VLOOKUP(A871,sinap!$A$2:$R$9000,8,FALSE)</f>
        <v>11.2.01.0038</v>
      </c>
      <c r="Q871" s="15" t="str">
        <f>VLOOKUP(A871,sinap!$A$2:$R$9000,12,FALSE)</f>
        <v>11.1.01.1241</v>
      </c>
      <c r="R871" s="15" t="str">
        <f>VLOOKUP(A871,sinap!$A$2:$R$9000,16,FALSE)</f>
        <v>11.1.01.1241</v>
      </c>
      <c r="S871" s="15" t="str">
        <f>VLOOKUP(A871,sinap!$A$2:$Y$9000,20,FALSE)</f>
        <v>SI</v>
      </c>
    </row>
    <row r="872" spans="1:19" hidden="1" x14ac:dyDescent="0.25">
      <c r="A872" s="15">
        <v>16843223</v>
      </c>
      <c r="H872" s="16">
        <v>45297</v>
      </c>
      <c r="J872" s="15" t="str">
        <f>VLOOKUP(A872,sinap!$A$2:$R$9000,2,FALSE)</f>
        <v>H</v>
      </c>
      <c r="K872" s="15" t="str">
        <f>VLOOKUP(A872,sinap!$A$2:$R$9000,3,FALSE)</f>
        <v>VACA</v>
      </c>
      <c r="L872" s="15" t="str">
        <f>VLOOKUP(A872,sinap!$A$2:$R$9000,4,FALSE)</f>
        <v>ANGUS ROJO</v>
      </c>
      <c r="M872" s="15" t="str">
        <f>VLOOKUP(A872,sinap!$A$2:$R$9000,5,FALSE)</f>
        <v>7 años 4 meses</v>
      </c>
      <c r="N872" s="15" t="str">
        <f>VLOOKUP(A872,sinap!$A$2:$R$9000,6,FALSE)</f>
        <v>10-09-2018</v>
      </c>
      <c r="O872" s="15" t="str">
        <f>VLOOKUP(A872,sinap!$A$2:$R$9000,7,FALSE)</f>
        <v>Vivo</v>
      </c>
      <c r="P872" s="15" t="str">
        <f>VLOOKUP(A872,sinap!$A$2:$R$9000,8,FALSE)</f>
        <v>11.1.01.0893</v>
      </c>
      <c r="Q872" s="15" t="str">
        <f>VLOOKUP(A872,sinap!$A$2:$R$9000,12,FALSE)</f>
        <v>11.1.01.0791</v>
      </c>
      <c r="R872" s="15" t="str">
        <f>VLOOKUP(A872,sinap!$A$2:$R$9000,16,FALSE)</f>
        <v>11.1.01.0893</v>
      </c>
      <c r="S872" s="15" t="str">
        <f>VLOOKUP(A872,sinap!$A$2:$Y$9000,20,FALSE)</f>
        <v>SI</v>
      </c>
    </row>
    <row r="873" spans="1:19" hidden="1" x14ac:dyDescent="0.25">
      <c r="A873" s="15">
        <v>16843255</v>
      </c>
      <c r="J873" s="15" t="str">
        <f>VLOOKUP(A873,sinap!$A$2:$R$9000,2,FALSE)</f>
        <v>M</v>
      </c>
      <c r="K873" s="15" t="str">
        <f>VLOOKUP(A873,sinap!$A$2:$R$9000,3,FALSE)</f>
        <v>TORO</v>
      </c>
      <c r="L873" s="15" t="str">
        <f>VLOOKUP(A873,sinap!$A$2:$R$9000,4,FALSE)</f>
        <v>ANGUS NEGRO</v>
      </c>
      <c r="M873" s="15" t="str">
        <f>VLOOKUP(A873,sinap!$A$2:$R$9000,5,FALSE)</f>
        <v>7 años 2 meses</v>
      </c>
      <c r="N873" s="15" t="str">
        <f>VLOOKUP(A873,sinap!$A$2:$R$9000,6,FALSE)</f>
        <v>10-11-2018</v>
      </c>
      <c r="O873" s="15" t="str">
        <f>VLOOKUP(A873,sinap!$A$2:$R$9000,7,FALSE)</f>
        <v>Vivo</v>
      </c>
      <c r="P873" s="15" t="str">
        <f>VLOOKUP(A873,sinap!$A$2:$R$9000,8,FALSE)</f>
        <v>11.1.01.0893</v>
      </c>
      <c r="Q873" s="15" t="str">
        <f>VLOOKUP(A873,sinap!$A$2:$R$9000,12,FALSE)</f>
        <v>Sin Movimiento</v>
      </c>
      <c r="R873" s="15" t="str">
        <f>VLOOKUP(A873,sinap!$A$2:$R$9000,16,FALSE)</f>
        <v>11.1.01.0893</v>
      </c>
      <c r="S873" s="15" t="str">
        <f>VLOOKUP(A873,sinap!$A$2:$Y$9000,20,FALSE)</f>
        <v>SI</v>
      </c>
    </row>
    <row r="874" spans="1:19" hidden="1" x14ac:dyDescent="0.25">
      <c r="A874" s="15">
        <v>16843258</v>
      </c>
      <c r="H874" s="16">
        <v>45297</v>
      </c>
      <c r="J874" s="15" t="str">
        <f>VLOOKUP(A874,sinap!$A$2:$R$9000,2,FALSE)</f>
        <v>H</v>
      </c>
      <c r="K874" s="15" t="str">
        <f>VLOOKUP(A874,sinap!$A$2:$R$9000,3,FALSE)</f>
        <v>VACA</v>
      </c>
      <c r="L874" s="15" t="str">
        <f>VLOOKUP(A874,sinap!$A$2:$R$9000,4,FALSE)</f>
        <v>ANGUS NEGRO</v>
      </c>
      <c r="M874" s="15" t="str">
        <f>VLOOKUP(A874,sinap!$A$2:$R$9000,5,FALSE)</f>
        <v>7 años 3 meses</v>
      </c>
      <c r="N874" s="15" t="str">
        <f>VLOOKUP(A874,sinap!$A$2:$R$9000,6,FALSE)</f>
        <v>20-09-2018</v>
      </c>
      <c r="O874" s="15" t="str">
        <f>VLOOKUP(A874,sinap!$A$2:$R$9000,7,FALSE)</f>
        <v>Vivo</v>
      </c>
      <c r="P874" s="15" t="str">
        <f>VLOOKUP(A874,sinap!$A$2:$R$9000,8,FALSE)</f>
        <v>11.2.01.0038</v>
      </c>
      <c r="Q874" s="15" t="str">
        <f>VLOOKUP(A874,sinap!$A$2:$R$9000,12,FALSE)</f>
        <v>11.1.01.0893</v>
      </c>
      <c r="R874" s="15" t="str">
        <f>VLOOKUP(A874,sinap!$A$2:$R$9000,16,FALSE)</f>
        <v>11.1.01.0893</v>
      </c>
      <c r="S874" s="15" t="str">
        <f>VLOOKUP(A874,sinap!$A$2:$Y$9000,20,FALSE)</f>
        <v>SI</v>
      </c>
    </row>
    <row r="875" spans="1:19" hidden="1" x14ac:dyDescent="0.25">
      <c r="A875" s="15">
        <v>16843263</v>
      </c>
      <c r="J875" s="15" t="str">
        <f>VLOOKUP(A875,sinap!$A$2:$R$9000,2,FALSE)</f>
        <v>M</v>
      </c>
      <c r="K875" s="15" t="str">
        <f>VLOOKUP(A875,sinap!$A$2:$R$9000,3,FALSE)</f>
        <v>TORO</v>
      </c>
      <c r="L875" s="15" t="str">
        <f>VLOOKUP(A875,sinap!$A$2:$R$9000,4,FALSE)</f>
        <v>ANGUS NEGRO</v>
      </c>
      <c r="M875" s="15" t="str">
        <f>VLOOKUP(A875,sinap!$A$2:$R$9000,5,FALSE)</f>
        <v>7 años 3 meses</v>
      </c>
      <c r="N875" s="15" t="str">
        <f>VLOOKUP(A875,sinap!$A$2:$R$9000,6,FALSE)</f>
        <v>10-10-2018</v>
      </c>
      <c r="O875" s="15" t="str">
        <f>VLOOKUP(A875,sinap!$A$2:$R$9000,7,FALSE)</f>
        <v>Vivo</v>
      </c>
      <c r="P875" s="15" t="str">
        <f>VLOOKUP(A875,sinap!$A$2:$R$9000,8,FALSE)</f>
        <v>11.1.01.0893</v>
      </c>
      <c r="Q875" s="15" t="str">
        <f>VLOOKUP(A875,sinap!$A$2:$R$9000,12,FALSE)</f>
        <v>Sin Movimiento</v>
      </c>
      <c r="R875" s="15" t="str">
        <f>VLOOKUP(A875,sinap!$A$2:$R$9000,16,FALSE)</f>
        <v>11.1.01.0893</v>
      </c>
      <c r="S875" s="15" t="str">
        <f>VLOOKUP(A875,sinap!$A$2:$Y$9000,20,FALSE)</f>
        <v>SI</v>
      </c>
    </row>
    <row r="876" spans="1:19" hidden="1" x14ac:dyDescent="0.25">
      <c r="A876" s="15">
        <v>16843267</v>
      </c>
      <c r="H876" s="16">
        <v>45297</v>
      </c>
      <c r="J876" s="15" t="str">
        <f>VLOOKUP(A876,sinap!$A$2:$R$9000,2,FALSE)</f>
        <v>H</v>
      </c>
      <c r="K876" s="15" t="str">
        <f>VLOOKUP(A876,sinap!$A$2:$R$9000,3,FALSE)</f>
        <v>VACA</v>
      </c>
      <c r="L876" s="15" t="str">
        <f>VLOOKUP(A876,sinap!$A$2:$R$9000,4,FALSE)</f>
        <v>ANGUS NEGRO</v>
      </c>
      <c r="M876" s="15" t="str">
        <f>VLOOKUP(A876,sinap!$A$2:$R$9000,5,FALSE)</f>
        <v>7 años 4 meses</v>
      </c>
      <c r="N876" s="15" t="str">
        <f>VLOOKUP(A876,sinap!$A$2:$R$9000,6,FALSE)</f>
        <v>10-09-2018</v>
      </c>
      <c r="O876" s="15" t="str">
        <f>VLOOKUP(A876,sinap!$A$2:$R$9000,7,FALSE)</f>
        <v>Vivo</v>
      </c>
      <c r="P876" s="15" t="str">
        <f>VLOOKUP(A876,sinap!$A$2:$R$9000,8,FALSE)</f>
        <v>11.1.01.2442</v>
      </c>
      <c r="Q876" s="15" t="str">
        <f>VLOOKUP(A876,sinap!$A$2:$R$9000,12,FALSE)</f>
        <v>11.1.01.0190</v>
      </c>
      <c r="R876" s="15" t="str">
        <f>VLOOKUP(A876,sinap!$A$2:$R$9000,16,FALSE)</f>
        <v>11.1.01.0893</v>
      </c>
      <c r="S876" s="15" t="str">
        <f>VLOOKUP(A876,sinap!$A$2:$Y$9000,20,FALSE)</f>
        <v>SI</v>
      </c>
    </row>
    <row r="877" spans="1:19" hidden="1" x14ac:dyDescent="0.25">
      <c r="A877" s="15">
        <v>16843269</v>
      </c>
      <c r="J877" s="15" t="str">
        <f>VLOOKUP(A877,sinap!$A$2:$R$9000,2,FALSE)</f>
        <v>H</v>
      </c>
      <c r="K877" s="15" t="str">
        <f>VLOOKUP(A877,sinap!$A$2:$R$9000,3,FALSE)</f>
        <v>VACA</v>
      </c>
      <c r="L877" s="15" t="str">
        <f>VLOOKUP(A877,sinap!$A$2:$R$9000,4,FALSE)</f>
        <v>ANGUS NEGRO</v>
      </c>
      <c r="M877" s="15" t="str">
        <f>VLOOKUP(A877,sinap!$A$2:$R$9000,5,FALSE)</f>
        <v>7 años 4 meses</v>
      </c>
      <c r="N877" s="15" t="str">
        <f>VLOOKUP(A877,sinap!$A$2:$R$9000,6,FALSE)</f>
        <v>30-08-2018</v>
      </c>
      <c r="O877" s="15" t="str">
        <f>VLOOKUP(A877,sinap!$A$2:$R$9000,7,FALSE)</f>
        <v>Vivo</v>
      </c>
      <c r="P877" s="15" t="str">
        <f>VLOOKUP(A877,sinap!$A$2:$R$9000,8,FALSE)</f>
        <v>11.1.01.0893</v>
      </c>
      <c r="Q877" s="15" t="str">
        <f>VLOOKUP(A877,sinap!$A$2:$R$9000,12,FALSE)</f>
        <v>11.1.01.0791</v>
      </c>
      <c r="R877" s="15" t="str">
        <f>VLOOKUP(A877,sinap!$A$2:$R$9000,16,FALSE)</f>
        <v>11.1.01.0893</v>
      </c>
      <c r="S877" s="15" t="str">
        <f>VLOOKUP(A877,sinap!$A$2:$Y$9000,20,FALSE)</f>
        <v>SI</v>
      </c>
    </row>
    <row r="878" spans="1:19" hidden="1" x14ac:dyDescent="0.25">
      <c r="A878" s="15">
        <v>16843272</v>
      </c>
      <c r="J878" s="15" t="str">
        <f>VLOOKUP(A878,sinap!$A$2:$R$9000,2,FALSE)</f>
        <v>M</v>
      </c>
      <c r="K878" s="15" t="str">
        <f>VLOOKUP(A878,sinap!$A$2:$R$9000,3,FALSE)</f>
        <v>TORO</v>
      </c>
      <c r="L878" s="15" t="str">
        <f>VLOOKUP(A878,sinap!$A$2:$R$9000,4,FALSE)</f>
        <v>ANGUS NEGRO</v>
      </c>
      <c r="M878" s="15" t="str">
        <f>VLOOKUP(A878,sinap!$A$2:$R$9000,5,FALSE)</f>
        <v>7 años 4 meses</v>
      </c>
      <c r="N878" s="15" t="str">
        <f>VLOOKUP(A878,sinap!$A$2:$R$9000,6,FALSE)</f>
        <v>10-09-2018</v>
      </c>
      <c r="O878" s="15" t="str">
        <f>VLOOKUP(A878,sinap!$A$2:$R$9000,7,FALSE)</f>
        <v>Vivo</v>
      </c>
      <c r="P878" s="15" t="str">
        <f>VLOOKUP(A878,sinap!$A$2:$R$9000,8,FALSE)</f>
        <v>11.1.01.1241</v>
      </c>
      <c r="Q878" s="15" t="str">
        <f>VLOOKUP(A878,sinap!$A$2:$R$9000,12,FALSE)</f>
        <v>11.1.01.2512</v>
      </c>
      <c r="R878" s="15" t="str">
        <f>VLOOKUP(A878,sinap!$A$2:$R$9000,16,FALSE)</f>
        <v>11.1.01.0893</v>
      </c>
      <c r="S878" s="15" t="str">
        <f>VLOOKUP(A878,sinap!$A$2:$Y$9000,20,FALSE)</f>
        <v>SI</v>
      </c>
    </row>
    <row r="879" spans="1:19" hidden="1" x14ac:dyDescent="0.25">
      <c r="A879" s="15">
        <v>16843287</v>
      </c>
      <c r="J879" s="15" t="str">
        <f>VLOOKUP(A879,sinap!$A$2:$R$9000,2,FALSE)</f>
        <v>H</v>
      </c>
      <c r="K879" s="15" t="str">
        <f>VLOOKUP(A879,sinap!$A$2:$R$9000,3,FALSE)</f>
        <v>VACA</v>
      </c>
      <c r="L879" s="15" t="str">
        <f>VLOOKUP(A879,sinap!$A$2:$R$9000,4,FALSE)</f>
        <v>ANGUS NEGRO</v>
      </c>
      <c r="M879" s="15" t="str">
        <f>VLOOKUP(A879,sinap!$A$2:$R$9000,5,FALSE)</f>
        <v>7 años 3 meses</v>
      </c>
      <c r="N879" s="15" t="str">
        <f>VLOOKUP(A879,sinap!$A$2:$R$9000,6,FALSE)</f>
        <v>20-09-2018</v>
      </c>
      <c r="O879" s="15" t="str">
        <f>VLOOKUP(A879,sinap!$A$2:$R$9000,7,FALSE)</f>
        <v>Vivo</v>
      </c>
      <c r="P879" s="15" t="str">
        <f>VLOOKUP(A879,sinap!$A$2:$R$9000,8,FALSE)</f>
        <v>11.1.01.1241</v>
      </c>
      <c r="Q879" s="15" t="str">
        <f>VLOOKUP(A879,sinap!$A$2:$R$9000,12,FALSE)</f>
        <v>11.2.01.0038</v>
      </c>
      <c r="R879" s="15" t="str">
        <f>VLOOKUP(A879,sinap!$A$2:$R$9000,16,FALSE)</f>
        <v>11.1.01.0893</v>
      </c>
      <c r="S879" s="15" t="str">
        <f>VLOOKUP(A879,sinap!$A$2:$Y$9000,20,FALSE)</f>
        <v>SI</v>
      </c>
    </row>
    <row r="880" spans="1:19" hidden="1" x14ac:dyDescent="0.25">
      <c r="A880" s="15">
        <v>16843288</v>
      </c>
      <c r="H880" s="16">
        <v>45297</v>
      </c>
      <c r="J880" s="15" t="str">
        <f>VLOOKUP(A880,sinap!$A$2:$R$9000,2,FALSE)</f>
        <v>H</v>
      </c>
      <c r="K880" s="15" t="str">
        <f>VLOOKUP(A880,sinap!$A$2:$R$9000,3,FALSE)</f>
        <v>VACA</v>
      </c>
      <c r="L880" s="15" t="str">
        <f>VLOOKUP(A880,sinap!$A$2:$R$9000,4,FALSE)</f>
        <v>ANGUS NEGRO</v>
      </c>
      <c r="M880" s="15" t="str">
        <f>VLOOKUP(A880,sinap!$A$2:$R$9000,5,FALSE)</f>
        <v>7 años 3 meses</v>
      </c>
      <c r="N880" s="15" t="str">
        <f>VLOOKUP(A880,sinap!$A$2:$R$9000,6,FALSE)</f>
        <v>30-09-2018</v>
      </c>
      <c r="O880" s="15" t="str">
        <f>VLOOKUP(A880,sinap!$A$2:$R$9000,7,FALSE)</f>
        <v>Vivo</v>
      </c>
      <c r="P880" s="15" t="str">
        <f>VLOOKUP(A880,sinap!$A$2:$R$9000,8,FALSE)</f>
        <v>11.2.01.0038</v>
      </c>
      <c r="Q880" s="15" t="str">
        <f>VLOOKUP(A880,sinap!$A$2:$R$9000,12,FALSE)</f>
        <v>11.1.01.0893</v>
      </c>
      <c r="R880" s="15" t="str">
        <f>VLOOKUP(A880,sinap!$A$2:$R$9000,16,FALSE)</f>
        <v>11.1.01.0893</v>
      </c>
      <c r="S880" s="15" t="str">
        <f>VLOOKUP(A880,sinap!$A$2:$Y$9000,20,FALSE)</f>
        <v>SI</v>
      </c>
    </row>
    <row r="881" spans="1:19" hidden="1" x14ac:dyDescent="0.25">
      <c r="A881" s="15">
        <v>16843300</v>
      </c>
      <c r="J881" s="15" t="str">
        <f>VLOOKUP(A881,sinap!$A$2:$R$9000,2,FALSE)</f>
        <v>H</v>
      </c>
      <c r="K881" s="15" t="str">
        <f>VLOOKUP(A881,sinap!$A$2:$R$9000,3,FALSE)</f>
        <v>VACA</v>
      </c>
      <c r="L881" s="15" t="str">
        <f>VLOOKUP(A881,sinap!$A$2:$R$9000,4,FALSE)</f>
        <v>ANGUS NEGRO</v>
      </c>
      <c r="M881" s="15" t="str">
        <f>VLOOKUP(A881,sinap!$A$2:$R$9000,5,FALSE)</f>
        <v>7 años 3 meses</v>
      </c>
      <c r="N881" s="15" t="str">
        <f>VLOOKUP(A881,sinap!$A$2:$R$9000,6,FALSE)</f>
        <v>30-09-2018</v>
      </c>
      <c r="O881" s="15" t="str">
        <f>VLOOKUP(A881,sinap!$A$2:$R$9000,7,FALSE)</f>
        <v>Vivo</v>
      </c>
      <c r="P881" s="15" t="str">
        <f>VLOOKUP(A881,sinap!$A$2:$R$9000,8,FALSE)</f>
        <v>11.2.01.0038</v>
      </c>
      <c r="Q881" s="15" t="str">
        <f>VLOOKUP(A881,sinap!$A$2:$R$9000,12,FALSE)</f>
        <v>11.1.01.0893</v>
      </c>
      <c r="R881" s="15" t="str">
        <f>VLOOKUP(A881,sinap!$A$2:$R$9000,16,FALSE)</f>
        <v>11.1.01.0893</v>
      </c>
      <c r="S881" s="15" t="str">
        <f>VLOOKUP(A881,sinap!$A$2:$Y$9000,20,FALSE)</f>
        <v>SI</v>
      </c>
    </row>
    <row r="882" spans="1:19" hidden="1" x14ac:dyDescent="0.25">
      <c r="A882" s="15">
        <v>16843303</v>
      </c>
      <c r="J882" s="15" t="str">
        <f>VLOOKUP(A882,sinap!$A$2:$R$9000,2,FALSE)</f>
        <v>H</v>
      </c>
      <c r="K882" s="15" t="str">
        <f>VLOOKUP(A882,sinap!$A$2:$R$9000,3,FALSE)</f>
        <v>VACA</v>
      </c>
      <c r="L882" s="15" t="str">
        <f>VLOOKUP(A882,sinap!$A$2:$R$9000,4,FALSE)</f>
        <v>ANGUS NEGRO</v>
      </c>
      <c r="M882" s="15" t="str">
        <f>VLOOKUP(A882,sinap!$A$2:$R$9000,5,FALSE)</f>
        <v>7 años 2 meses</v>
      </c>
      <c r="N882" s="15" t="str">
        <f>VLOOKUP(A882,sinap!$A$2:$R$9000,6,FALSE)</f>
        <v>20-10-2018</v>
      </c>
      <c r="O882" s="15" t="str">
        <f>VLOOKUP(A882,sinap!$A$2:$R$9000,7,FALSE)</f>
        <v>Vivo</v>
      </c>
      <c r="P882" s="15" t="str">
        <f>VLOOKUP(A882,sinap!$A$2:$R$9000,8,FALSE)</f>
        <v>11.1.01.0791</v>
      </c>
      <c r="Q882" s="15" t="str">
        <f>VLOOKUP(A882,sinap!$A$2:$R$9000,12,FALSE)</f>
        <v>11.1.01.0893</v>
      </c>
      <c r="R882" s="15" t="str">
        <f>VLOOKUP(A882,sinap!$A$2:$R$9000,16,FALSE)</f>
        <v>11.1.01.0893</v>
      </c>
      <c r="S882" s="15" t="str">
        <f>VLOOKUP(A882,sinap!$A$2:$Y$9000,20,FALSE)</f>
        <v>SI</v>
      </c>
    </row>
    <row r="883" spans="1:19" hidden="1" x14ac:dyDescent="0.25">
      <c r="A883" s="15">
        <v>16843321</v>
      </c>
      <c r="H883" s="16">
        <v>45297</v>
      </c>
      <c r="J883" s="15" t="str">
        <f>VLOOKUP(A883,sinap!$A$2:$R$9000,2,FALSE)</f>
        <v>H</v>
      </c>
      <c r="K883" s="15" t="str">
        <f>VLOOKUP(A883,sinap!$A$2:$R$9000,3,FALSE)</f>
        <v>VACA</v>
      </c>
      <c r="L883" s="15" t="str">
        <f>VLOOKUP(A883,sinap!$A$2:$R$9000,4,FALSE)</f>
        <v>ANGUS NEGRO</v>
      </c>
      <c r="M883" s="15" t="str">
        <f>VLOOKUP(A883,sinap!$A$2:$R$9000,5,FALSE)</f>
        <v>7 años 4 meses</v>
      </c>
      <c r="N883" s="15" t="str">
        <f>VLOOKUP(A883,sinap!$A$2:$R$9000,6,FALSE)</f>
        <v>15-09-2018</v>
      </c>
      <c r="O883" s="15" t="str">
        <f>VLOOKUP(A883,sinap!$A$2:$R$9000,7,FALSE)</f>
        <v>Vivo</v>
      </c>
      <c r="P883" s="15" t="str">
        <f>VLOOKUP(A883,sinap!$A$2:$R$9000,8,FALSE)</f>
        <v>11.2.01.0038</v>
      </c>
      <c r="Q883" s="15" t="str">
        <f>VLOOKUP(A883,sinap!$A$2:$R$9000,12,FALSE)</f>
        <v>11.1.01.0893</v>
      </c>
      <c r="R883" s="15" t="str">
        <f>VLOOKUP(A883,sinap!$A$2:$R$9000,16,FALSE)</f>
        <v>11.1.01.0893</v>
      </c>
      <c r="S883" s="15" t="str">
        <f>VLOOKUP(A883,sinap!$A$2:$Y$9000,20,FALSE)</f>
        <v>SI</v>
      </c>
    </row>
    <row r="884" spans="1:19" hidden="1" x14ac:dyDescent="0.25">
      <c r="A884" s="15">
        <v>16843337</v>
      </c>
      <c r="J884" s="15" t="str">
        <f>VLOOKUP(A884,sinap!$A$2:$R$9000,2,FALSE)</f>
        <v>M</v>
      </c>
      <c r="K884" s="15" t="str">
        <f>VLOOKUP(A884,sinap!$A$2:$R$9000,3,FALSE)</f>
        <v>TORO</v>
      </c>
      <c r="L884" s="15" t="str">
        <f>VLOOKUP(A884,sinap!$A$2:$R$9000,4,FALSE)</f>
        <v>ANGUS NEGRO</v>
      </c>
      <c r="M884" s="15" t="str">
        <f>VLOOKUP(A884,sinap!$A$2:$R$9000,5,FALSE)</f>
        <v>7 años 3 meses</v>
      </c>
      <c r="N884" s="15" t="str">
        <f>VLOOKUP(A884,sinap!$A$2:$R$9000,6,FALSE)</f>
        <v>10-10-2018</v>
      </c>
      <c r="O884" s="15" t="str">
        <f>VLOOKUP(A884,sinap!$A$2:$R$9000,7,FALSE)</f>
        <v>Vivo</v>
      </c>
      <c r="P884" s="15" t="str">
        <f>VLOOKUP(A884,sinap!$A$2:$R$9000,8,FALSE)</f>
        <v>11.1.01.0893</v>
      </c>
      <c r="Q884" s="15" t="str">
        <f>VLOOKUP(A884,sinap!$A$2:$R$9000,12,FALSE)</f>
        <v>Sin Movimiento</v>
      </c>
      <c r="R884" s="15" t="str">
        <f>VLOOKUP(A884,sinap!$A$2:$R$9000,16,FALSE)</f>
        <v>11.1.01.0893</v>
      </c>
      <c r="S884" s="15" t="str">
        <f>VLOOKUP(A884,sinap!$A$2:$Y$9000,20,FALSE)</f>
        <v>SI</v>
      </c>
    </row>
    <row r="885" spans="1:19" hidden="1" x14ac:dyDescent="0.25">
      <c r="A885" s="15">
        <v>16843340</v>
      </c>
      <c r="J885" s="15" t="str">
        <f>VLOOKUP(A885,sinap!$A$2:$R$9000,2,FALSE)</f>
        <v>H</v>
      </c>
      <c r="K885" s="15" t="str">
        <f>VLOOKUP(A885,sinap!$A$2:$R$9000,3,FALSE)</f>
        <v>VACA</v>
      </c>
      <c r="L885" s="15" t="str">
        <f>VLOOKUP(A885,sinap!$A$2:$R$9000,4,FALSE)</f>
        <v>ANGUS ROJO</v>
      </c>
      <c r="M885" s="15" t="str">
        <f>VLOOKUP(A885,sinap!$A$2:$R$9000,5,FALSE)</f>
        <v>7 años 3 meses</v>
      </c>
      <c r="N885" s="15" t="str">
        <f>VLOOKUP(A885,sinap!$A$2:$R$9000,6,FALSE)</f>
        <v>30-09-2018</v>
      </c>
      <c r="O885" s="15" t="str">
        <f>VLOOKUP(A885,sinap!$A$2:$R$9000,7,FALSE)</f>
        <v>Vivo</v>
      </c>
      <c r="P885" s="15" t="str">
        <f>VLOOKUP(A885,sinap!$A$2:$R$9000,8,FALSE)</f>
        <v>11.2.01.0038</v>
      </c>
      <c r="Q885" s="15" t="str">
        <f>VLOOKUP(A885,sinap!$A$2:$R$9000,12,FALSE)</f>
        <v>11.1.01.0893</v>
      </c>
      <c r="R885" s="15" t="str">
        <f>VLOOKUP(A885,sinap!$A$2:$R$9000,16,FALSE)</f>
        <v>11.1.01.0893</v>
      </c>
      <c r="S885" s="15" t="str">
        <f>VLOOKUP(A885,sinap!$A$2:$Y$9000,20,FALSE)</f>
        <v>SI</v>
      </c>
    </row>
    <row r="886" spans="1:19" hidden="1" x14ac:dyDescent="0.25">
      <c r="A886" s="15">
        <v>16843342</v>
      </c>
      <c r="H886" s="16">
        <v>45297</v>
      </c>
      <c r="J886" s="15" t="str">
        <f>VLOOKUP(A886,sinap!$A$2:$R$9000,2,FALSE)</f>
        <v>H</v>
      </c>
      <c r="K886" s="15" t="str">
        <f>VLOOKUP(A886,sinap!$A$2:$R$9000,3,FALSE)</f>
        <v>VACA</v>
      </c>
      <c r="L886" s="15" t="str">
        <f>VLOOKUP(A886,sinap!$A$2:$R$9000,4,FALSE)</f>
        <v>ANGUS NEGRO</v>
      </c>
      <c r="M886" s="15" t="str">
        <f>VLOOKUP(A886,sinap!$A$2:$R$9000,5,FALSE)</f>
        <v>7 años 3 meses</v>
      </c>
      <c r="N886" s="15" t="str">
        <f>VLOOKUP(A886,sinap!$A$2:$R$9000,6,FALSE)</f>
        <v>20-09-2018</v>
      </c>
      <c r="O886" s="15" t="str">
        <f>VLOOKUP(A886,sinap!$A$2:$R$9000,7,FALSE)</f>
        <v>Vivo</v>
      </c>
      <c r="P886" s="15" t="str">
        <f>VLOOKUP(A886,sinap!$A$2:$R$9000,8,FALSE)</f>
        <v>11.2.01.0038</v>
      </c>
      <c r="Q886" s="15" t="str">
        <f>VLOOKUP(A886,sinap!$A$2:$R$9000,12,FALSE)</f>
        <v>11.1.01.0893</v>
      </c>
      <c r="R886" s="15" t="str">
        <f>VLOOKUP(A886,sinap!$A$2:$R$9000,16,FALSE)</f>
        <v>11.1.01.0893</v>
      </c>
      <c r="S886" s="15" t="str">
        <f>VLOOKUP(A886,sinap!$A$2:$Y$9000,20,FALSE)</f>
        <v>SI</v>
      </c>
    </row>
    <row r="887" spans="1:19" hidden="1" x14ac:dyDescent="0.25">
      <c r="A887" s="15">
        <v>16843347</v>
      </c>
      <c r="H887" s="16">
        <v>45297</v>
      </c>
      <c r="J887" s="15" t="str">
        <f>VLOOKUP(A887,sinap!$A$2:$R$9000,2,FALSE)</f>
        <v>H</v>
      </c>
      <c r="K887" s="15" t="str">
        <f>VLOOKUP(A887,sinap!$A$2:$R$9000,3,FALSE)</f>
        <v>VACA</v>
      </c>
      <c r="L887" s="15" t="str">
        <f>VLOOKUP(A887,sinap!$A$2:$R$9000,4,FALSE)</f>
        <v>ANGUS NEGRO</v>
      </c>
      <c r="M887" s="15" t="str">
        <f>VLOOKUP(A887,sinap!$A$2:$R$9000,5,FALSE)</f>
        <v>7 años 4 meses</v>
      </c>
      <c r="N887" s="15" t="str">
        <f>VLOOKUP(A887,sinap!$A$2:$R$9000,6,FALSE)</f>
        <v>30-08-2018</v>
      </c>
      <c r="O887" s="15" t="str">
        <f>VLOOKUP(A887,sinap!$A$2:$R$9000,7,FALSE)</f>
        <v>Vivo</v>
      </c>
      <c r="P887" s="15" t="str">
        <f>VLOOKUP(A887,sinap!$A$2:$R$9000,8,FALSE)</f>
        <v>11.1.01.0791</v>
      </c>
      <c r="Q887" s="15" t="str">
        <f>VLOOKUP(A887,sinap!$A$2:$R$9000,12,FALSE)</f>
        <v>11.1.01.0893</v>
      </c>
      <c r="R887" s="15" t="str">
        <f>VLOOKUP(A887,sinap!$A$2:$R$9000,16,FALSE)</f>
        <v>11.1.01.0893</v>
      </c>
      <c r="S887" s="15" t="str">
        <f>VLOOKUP(A887,sinap!$A$2:$Y$9000,20,FALSE)</f>
        <v>SI</v>
      </c>
    </row>
    <row r="888" spans="1:19" hidden="1" x14ac:dyDescent="0.25">
      <c r="A888" s="15">
        <v>16843348</v>
      </c>
      <c r="H888" s="16">
        <v>45297</v>
      </c>
      <c r="J888" s="15" t="str">
        <f>VLOOKUP(A888,sinap!$A$2:$R$9000,2,FALSE)</f>
        <v>H</v>
      </c>
      <c r="K888" s="15" t="str">
        <f>VLOOKUP(A888,sinap!$A$2:$R$9000,3,FALSE)</f>
        <v>VACA</v>
      </c>
      <c r="L888" s="15" t="str">
        <f>VLOOKUP(A888,sinap!$A$2:$R$9000,4,FALSE)</f>
        <v>ANGUS NEGRO</v>
      </c>
      <c r="M888" s="15" t="str">
        <f>VLOOKUP(A888,sinap!$A$2:$R$9000,5,FALSE)</f>
        <v>7 años 3 meses</v>
      </c>
      <c r="N888" s="15" t="str">
        <f>VLOOKUP(A888,sinap!$A$2:$R$9000,6,FALSE)</f>
        <v>30-09-2018</v>
      </c>
      <c r="O888" s="15" t="str">
        <f>VLOOKUP(A888,sinap!$A$2:$R$9000,7,FALSE)</f>
        <v>Vivo</v>
      </c>
      <c r="P888" s="15" t="str">
        <f>VLOOKUP(A888,sinap!$A$2:$R$9000,8,FALSE)</f>
        <v>11.2.01.0038</v>
      </c>
      <c r="Q888" s="15" t="str">
        <f>VLOOKUP(A888,sinap!$A$2:$R$9000,12,FALSE)</f>
        <v>11.1.01.0893</v>
      </c>
      <c r="R888" s="15" t="str">
        <f>VLOOKUP(A888,sinap!$A$2:$R$9000,16,FALSE)</f>
        <v>11.1.01.0893</v>
      </c>
      <c r="S888" s="15" t="str">
        <f>VLOOKUP(A888,sinap!$A$2:$Y$9000,20,FALSE)</f>
        <v>SI</v>
      </c>
    </row>
    <row r="889" spans="1:19" hidden="1" x14ac:dyDescent="0.25">
      <c r="A889" s="15">
        <v>16843358</v>
      </c>
      <c r="J889" s="15" t="str">
        <f>VLOOKUP(A889,sinap!$A$2:$R$9000,2,FALSE)</f>
        <v>H</v>
      </c>
      <c r="K889" s="15" t="str">
        <f>VLOOKUP(A889,sinap!$A$2:$R$9000,3,FALSE)</f>
        <v>VACA</v>
      </c>
      <c r="L889" s="15" t="str">
        <f>VLOOKUP(A889,sinap!$A$2:$R$9000,4,FALSE)</f>
        <v>ANGUS NEGRO</v>
      </c>
      <c r="M889" s="15" t="str">
        <f>VLOOKUP(A889,sinap!$A$2:$R$9000,5,FALSE)</f>
        <v>7 años 2 meses</v>
      </c>
      <c r="N889" s="15" t="str">
        <f>VLOOKUP(A889,sinap!$A$2:$R$9000,6,FALSE)</f>
        <v>20-10-2018</v>
      </c>
      <c r="O889" s="15" t="str">
        <f>VLOOKUP(A889,sinap!$A$2:$R$9000,7,FALSE)</f>
        <v>Vivo</v>
      </c>
      <c r="P889" s="15" t="str">
        <f>VLOOKUP(A889,sinap!$A$2:$R$9000,8,FALSE)</f>
        <v>11.1.01.0893</v>
      </c>
      <c r="Q889" s="15" t="str">
        <f>VLOOKUP(A889,sinap!$A$2:$R$9000,12,FALSE)</f>
        <v>Sin Movimiento</v>
      </c>
      <c r="R889" s="15" t="str">
        <f>VLOOKUP(A889,sinap!$A$2:$R$9000,16,FALSE)</f>
        <v>11.1.01.0893</v>
      </c>
      <c r="S889" s="15" t="str">
        <f>VLOOKUP(A889,sinap!$A$2:$Y$9000,20,FALSE)</f>
        <v>SI</v>
      </c>
    </row>
    <row r="890" spans="1:19" hidden="1" x14ac:dyDescent="0.25">
      <c r="A890" s="15">
        <v>16843372</v>
      </c>
      <c r="J890" s="15" t="str">
        <f>VLOOKUP(A890,sinap!$A$2:$R$9000,2,FALSE)</f>
        <v>H</v>
      </c>
      <c r="K890" s="15" t="str">
        <f>VLOOKUP(A890,sinap!$A$2:$R$9000,3,FALSE)</f>
        <v>VACA</v>
      </c>
      <c r="L890" s="15" t="str">
        <f>VLOOKUP(A890,sinap!$A$2:$R$9000,4,FALSE)</f>
        <v>ANGUS NEGRO</v>
      </c>
      <c r="M890" s="15" t="str">
        <f>VLOOKUP(A890,sinap!$A$2:$R$9000,5,FALSE)</f>
        <v>7 años 4 meses</v>
      </c>
      <c r="N890" s="15" t="str">
        <f>VLOOKUP(A890,sinap!$A$2:$R$9000,6,FALSE)</f>
        <v>30-08-2018</v>
      </c>
      <c r="O890" s="15" t="str">
        <f>VLOOKUP(A890,sinap!$A$2:$R$9000,7,FALSE)</f>
        <v>Vivo</v>
      </c>
      <c r="P890" s="15" t="str">
        <f>VLOOKUP(A890,sinap!$A$2:$R$9000,8,FALSE)</f>
        <v>11.1.01.0791</v>
      </c>
      <c r="Q890" s="15" t="str">
        <f>VLOOKUP(A890,sinap!$A$2:$R$9000,12,FALSE)</f>
        <v>11.1.01.0893</v>
      </c>
      <c r="R890" s="15" t="str">
        <f>VLOOKUP(A890,sinap!$A$2:$R$9000,16,FALSE)</f>
        <v>11.1.01.0893</v>
      </c>
      <c r="S890" s="15" t="str">
        <f>VLOOKUP(A890,sinap!$A$2:$Y$9000,20,FALSE)</f>
        <v>SI</v>
      </c>
    </row>
    <row r="891" spans="1:19" hidden="1" x14ac:dyDescent="0.25">
      <c r="A891" s="15">
        <v>16843373</v>
      </c>
      <c r="J891" s="15" t="str">
        <f>VLOOKUP(A891,sinap!$A$2:$R$9000,2,FALSE)</f>
        <v>H</v>
      </c>
      <c r="K891" s="15" t="str">
        <f>VLOOKUP(A891,sinap!$A$2:$R$9000,3,FALSE)</f>
        <v>VACA</v>
      </c>
      <c r="L891" s="15" t="str">
        <f>VLOOKUP(A891,sinap!$A$2:$R$9000,4,FALSE)</f>
        <v>ANGUS NEGRO</v>
      </c>
      <c r="M891" s="15" t="str">
        <f>VLOOKUP(A891,sinap!$A$2:$R$9000,5,FALSE)</f>
        <v>7 años 3 meses</v>
      </c>
      <c r="N891" s="15" t="str">
        <f>VLOOKUP(A891,sinap!$A$2:$R$9000,6,FALSE)</f>
        <v>20-09-2018</v>
      </c>
      <c r="O891" s="15" t="str">
        <f>VLOOKUP(A891,sinap!$A$2:$R$9000,7,FALSE)</f>
        <v>Vivo</v>
      </c>
      <c r="P891" s="15" t="str">
        <f>VLOOKUP(A891,sinap!$A$2:$R$9000,8,FALSE)</f>
        <v>11.1.01.0791</v>
      </c>
      <c r="Q891" s="15" t="str">
        <f>VLOOKUP(A891,sinap!$A$2:$R$9000,12,FALSE)</f>
        <v>11.1.01.0893</v>
      </c>
      <c r="R891" s="15" t="str">
        <f>VLOOKUP(A891,sinap!$A$2:$R$9000,16,FALSE)</f>
        <v>11.1.01.0893</v>
      </c>
      <c r="S891" s="15" t="str">
        <f>VLOOKUP(A891,sinap!$A$2:$Y$9000,20,FALSE)</f>
        <v>SI</v>
      </c>
    </row>
    <row r="892" spans="1:19" hidden="1" x14ac:dyDescent="0.25">
      <c r="A892" s="15">
        <v>16843376</v>
      </c>
      <c r="H892" s="16">
        <v>45297</v>
      </c>
      <c r="J892" s="15" t="str">
        <f>VLOOKUP(A892,sinap!$A$2:$R$9000,2,FALSE)</f>
        <v>H</v>
      </c>
      <c r="K892" s="15" t="str">
        <f>VLOOKUP(A892,sinap!$A$2:$R$9000,3,FALSE)</f>
        <v>VACA</v>
      </c>
      <c r="L892" s="15" t="str">
        <f>VLOOKUP(A892,sinap!$A$2:$R$9000,4,FALSE)</f>
        <v>ANGUS NEGRO</v>
      </c>
      <c r="M892" s="15" t="str">
        <f>VLOOKUP(A892,sinap!$A$2:$R$9000,5,FALSE)</f>
        <v>7 años 3 meses</v>
      </c>
      <c r="N892" s="15" t="str">
        <f>VLOOKUP(A892,sinap!$A$2:$R$9000,6,FALSE)</f>
        <v>30-09-2018</v>
      </c>
      <c r="O892" s="15" t="str">
        <f>VLOOKUP(A892,sinap!$A$2:$R$9000,7,FALSE)</f>
        <v>Vivo</v>
      </c>
      <c r="P892" s="15" t="str">
        <f>VLOOKUP(A892,sinap!$A$2:$R$9000,8,FALSE)</f>
        <v>11.2.01.0038</v>
      </c>
      <c r="Q892" s="15" t="str">
        <f>VLOOKUP(A892,sinap!$A$2:$R$9000,12,FALSE)</f>
        <v>11.1.01.0893</v>
      </c>
      <c r="R892" s="15" t="str">
        <f>VLOOKUP(A892,sinap!$A$2:$R$9000,16,FALSE)</f>
        <v>11.1.01.0893</v>
      </c>
      <c r="S892" s="15" t="str">
        <f>VLOOKUP(A892,sinap!$A$2:$Y$9000,20,FALSE)</f>
        <v>SI</v>
      </c>
    </row>
    <row r="893" spans="1:19" hidden="1" x14ac:dyDescent="0.25">
      <c r="A893" s="15">
        <v>16843387</v>
      </c>
      <c r="H893" s="16">
        <v>45297</v>
      </c>
      <c r="J893" s="15" t="str">
        <f>VLOOKUP(A893,sinap!$A$2:$R$9000,2,FALSE)</f>
        <v>H</v>
      </c>
      <c r="K893" s="15" t="str">
        <f>VLOOKUP(A893,sinap!$A$2:$R$9000,3,FALSE)</f>
        <v>VACA</v>
      </c>
      <c r="L893" s="15" t="str">
        <f>VLOOKUP(A893,sinap!$A$2:$R$9000,4,FALSE)</f>
        <v>ANGUS NEGRO</v>
      </c>
      <c r="M893" s="15" t="str">
        <f>VLOOKUP(A893,sinap!$A$2:$R$9000,5,FALSE)</f>
        <v>7 años 3 meses</v>
      </c>
      <c r="N893" s="15" t="str">
        <f>VLOOKUP(A893,sinap!$A$2:$R$9000,6,FALSE)</f>
        <v>30-09-2018</v>
      </c>
      <c r="O893" s="15" t="str">
        <f>VLOOKUP(A893,sinap!$A$2:$R$9000,7,FALSE)</f>
        <v>Vivo</v>
      </c>
      <c r="P893" s="15" t="str">
        <f>VLOOKUP(A893,sinap!$A$2:$R$9000,8,FALSE)</f>
        <v>11.1.01.0791</v>
      </c>
      <c r="Q893" s="15" t="str">
        <f>VLOOKUP(A893,sinap!$A$2:$R$9000,12,FALSE)</f>
        <v>11.1.01.0893</v>
      </c>
      <c r="R893" s="15" t="str">
        <f>VLOOKUP(A893,sinap!$A$2:$R$9000,16,FALSE)</f>
        <v>11.1.01.0893</v>
      </c>
      <c r="S893" s="15" t="str">
        <f>VLOOKUP(A893,sinap!$A$2:$Y$9000,20,FALSE)</f>
        <v>SI</v>
      </c>
    </row>
    <row r="894" spans="1:19" hidden="1" x14ac:dyDescent="0.25">
      <c r="A894" s="15">
        <v>16843391</v>
      </c>
      <c r="J894" s="15" t="str">
        <f>VLOOKUP(A894,sinap!$A$2:$R$9000,2,FALSE)</f>
        <v>H</v>
      </c>
      <c r="K894" s="15" t="str">
        <f>VLOOKUP(A894,sinap!$A$2:$R$9000,3,FALSE)</f>
        <v>VACA</v>
      </c>
      <c r="L894" s="15" t="str">
        <f>VLOOKUP(A894,sinap!$A$2:$R$9000,4,FALSE)</f>
        <v>ANGUS ROJO</v>
      </c>
      <c r="M894" s="15" t="str">
        <f>VLOOKUP(A894,sinap!$A$2:$R$9000,5,FALSE)</f>
        <v>7 años 3 meses</v>
      </c>
      <c r="N894" s="15" t="str">
        <f>VLOOKUP(A894,sinap!$A$2:$R$9000,6,FALSE)</f>
        <v>30-09-2018</v>
      </c>
      <c r="O894" s="15" t="str">
        <f>VLOOKUP(A894,sinap!$A$2:$R$9000,7,FALSE)</f>
        <v>Vivo</v>
      </c>
      <c r="P894" s="15" t="str">
        <f>VLOOKUP(A894,sinap!$A$2:$R$9000,8,FALSE)</f>
        <v>11.1.01.0893</v>
      </c>
      <c r="Q894" s="15" t="str">
        <f>VLOOKUP(A894,sinap!$A$2:$R$9000,12,FALSE)</f>
        <v>11.1.01.0791</v>
      </c>
      <c r="R894" s="15" t="str">
        <f>VLOOKUP(A894,sinap!$A$2:$R$9000,16,FALSE)</f>
        <v>11.1.01.0893</v>
      </c>
      <c r="S894" s="15" t="str">
        <f>VLOOKUP(A894,sinap!$A$2:$Y$9000,20,FALSE)</f>
        <v>SI</v>
      </c>
    </row>
    <row r="895" spans="1:19" hidden="1" x14ac:dyDescent="0.25">
      <c r="A895" s="15">
        <v>16843392</v>
      </c>
      <c r="J895" s="15" t="str">
        <f>VLOOKUP(A895,sinap!$A$2:$R$9000,2,FALSE)</f>
        <v>H</v>
      </c>
      <c r="K895" s="15" t="str">
        <f>VLOOKUP(A895,sinap!$A$2:$R$9000,3,FALSE)</f>
        <v>VACA</v>
      </c>
      <c r="L895" s="15" t="str">
        <f>VLOOKUP(A895,sinap!$A$2:$R$9000,4,FALSE)</f>
        <v>ANGUS NEGRO</v>
      </c>
      <c r="M895" s="15" t="str">
        <f>VLOOKUP(A895,sinap!$A$2:$R$9000,5,FALSE)</f>
        <v>7 años 2 meses</v>
      </c>
      <c r="N895" s="15" t="str">
        <f>VLOOKUP(A895,sinap!$A$2:$R$9000,6,FALSE)</f>
        <v>30-10-2018</v>
      </c>
      <c r="O895" s="15" t="str">
        <f>VLOOKUP(A895,sinap!$A$2:$R$9000,7,FALSE)</f>
        <v>Vivo</v>
      </c>
      <c r="P895" s="15" t="str">
        <f>VLOOKUP(A895,sinap!$A$2:$R$9000,8,FALSE)</f>
        <v>11.1.01.0893</v>
      </c>
      <c r="Q895" s="15" t="str">
        <f>VLOOKUP(A895,sinap!$A$2:$R$9000,12,FALSE)</f>
        <v>11.1.01.0791</v>
      </c>
      <c r="R895" s="15" t="str">
        <f>VLOOKUP(A895,sinap!$A$2:$R$9000,16,FALSE)</f>
        <v>11.1.01.0893</v>
      </c>
      <c r="S895" s="15" t="str">
        <f>VLOOKUP(A895,sinap!$A$2:$Y$9000,20,FALSE)</f>
        <v>SI</v>
      </c>
    </row>
    <row r="896" spans="1:19" hidden="1" x14ac:dyDescent="0.25">
      <c r="A896" s="15">
        <v>16843394</v>
      </c>
      <c r="H896" s="16">
        <v>45297</v>
      </c>
      <c r="J896" s="15" t="str">
        <f>VLOOKUP(A896,sinap!$A$2:$R$9000,2,FALSE)</f>
        <v>H</v>
      </c>
      <c r="K896" s="15" t="str">
        <f>VLOOKUP(A896,sinap!$A$2:$R$9000,3,FALSE)</f>
        <v>VACA</v>
      </c>
      <c r="L896" s="15" t="str">
        <f>VLOOKUP(A896,sinap!$A$2:$R$9000,4,FALSE)</f>
        <v>ANGUS NEGRO</v>
      </c>
      <c r="M896" s="15" t="str">
        <f>VLOOKUP(A896,sinap!$A$2:$R$9000,5,FALSE)</f>
        <v>7 años 3 meses</v>
      </c>
      <c r="N896" s="15" t="str">
        <f>VLOOKUP(A896,sinap!$A$2:$R$9000,6,FALSE)</f>
        <v>30-09-2018</v>
      </c>
      <c r="O896" s="15" t="str">
        <f>VLOOKUP(A896,sinap!$A$2:$R$9000,7,FALSE)</f>
        <v>Vivo</v>
      </c>
      <c r="P896" s="15" t="str">
        <f>VLOOKUP(A896,sinap!$A$2:$R$9000,8,FALSE)</f>
        <v>11.2.01.0038</v>
      </c>
      <c r="Q896" s="15" t="str">
        <f>VLOOKUP(A896,sinap!$A$2:$R$9000,12,FALSE)</f>
        <v>11.1.01.0893</v>
      </c>
      <c r="R896" s="15" t="str">
        <f>VLOOKUP(A896,sinap!$A$2:$R$9000,16,FALSE)</f>
        <v>11.1.01.0893</v>
      </c>
      <c r="S896" s="15" t="str">
        <f>VLOOKUP(A896,sinap!$A$2:$Y$9000,20,FALSE)</f>
        <v>SI</v>
      </c>
    </row>
    <row r="897" spans="1:19" hidden="1" x14ac:dyDescent="0.25">
      <c r="A897" s="15">
        <v>16843400</v>
      </c>
      <c r="H897" s="16">
        <v>45297</v>
      </c>
      <c r="J897" s="15" t="str">
        <f>VLOOKUP(A897,sinap!$A$2:$R$9000,2,FALSE)</f>
        <v>H</v>
      </c>
      <c r="K897" s="15" t="str">
        <f>VLOOKUP(A897,sinap!$A$2:$R$9000,3,FALSE)</f>
        <v>VACA</v>
      </c>
      <c r="L897" s="15" t="str">
        <f>VLOOKUP(A897,sinap!$A$2:$R$9000,4,FALSE)</f>
        <v>ANGUS NEGRO</v>
      </c>
      <c r="M897" s="15" t="str">
        <f>VLOOKUP(A897,sinap!$A$2:$R$9000,5,FALSE)</f>
        <v>7 años 2 meses</v>
      </c>
      <c r="N897" s="15" t="str">
        <f>VLOOKUP(A897,sinap!$A$2:$R$9000,6,FALSE)</f>
        <v>20-10-2018</v>
      </c>
      <c r="O897" s="15" t="str">
        <f>VLOOKUP(A897,sinap!$A$2:$R$9000,7,FALSE)</f>
        <v>Vivo</v>
      </c>
      <c r="P897" s="15" t="str">
        <f>VLOOKUP(A897,sinap!$A$2:$R$9000,8,FALSE)</f>
        <v>11.2.01.0038</v>
      </c>
      <c r="Q897" s="15" t="str">
        <f>VLOOKUP(A897,sinap!$A$2:$R$9000,12,FALSE)</f>
        <v>11.1.01.0893</v>
      </c>
      <c r="R897" s="15" t="str">
        <f>VLOOKUP(A897,sinap!$A$2:$R$9000,16,FALSE)</f>
        <v>11.1.01.0893</v>
      </c>
      <c r="S897" s="15" t="str">
        <f>VLOOKUP(A897,sinap!$A$2:$Y$9000,20,FALSE)</f>
        <v>SI</v>
      </c>
    </row>
    <row r="898" spans="1:19" hidden="1" x14ac:dyDescent="0.25">
      <c r="A898" s="15">
        <v>16843405</v>
      </c>
      <c r="H898" s="16">
        <v>45297</v>
      </c>
      <c r="J898" s="15" t="str">
        <f>VLOOKUP(A898,sinap!$A$2:$R$9000,2,FALSE)</f>
        <v>H</v>
      </c>
      <c r="K898" s="15" t="str">
        <f>VLOOKUP(A898,sinap!$A$2:$R$9000,3,FALSE)</f>
        <v>VACA</v>
      </c>
      <c r="L898" s="15" t="str">
        <f>VLOOKUP(A898,sinap!$A$2:$R$9000,4,FALSE)</f>
        <v>ANGUS ROJO</v>
      </c>
      <c r="M898" s="15" t="str">
        <f>VLOOKUP(A898,sinap!$A$2:$R$9000,5,FALSE)</f>
        <v>7 años 3 meses</v>
      </c>
      <c r="N898" s="15" t="str">
        <f>VLOOKUP(A898,sinap!$A$2:$R$9000,6,FALSE)</f>
        <v>30-09-2018</v>
      </c>
      <c r="O898" s="15" t="str">
        <f>VLOOKUP(A898,sinap!$A$2:$R$9000,7,FALSE)</f>
        <v>Vivo</v>
      </c>
      <c r="P898" s="15" t="str">
        <f>VLOOKUP(A898,sinap!$A$2:$R$9000,8,FALSE)</f>
        <v>11.2.01.0038</v>
      </c>
      <c r="Q898" s="15" t="str">
        <f>VLOOKUP(A898,sinap!$A$2:$R$9000,12,FALSE)</f>
        <v>11.1.01.0893</v>
      </c>
      <c r="R898" s="15" t="str">
        <f>VLOOKUP(A898,sinap!$A$2:$R$9000,16,FALSE)</f>
        <v>11.1.01.0893</v>
      </c>
      <c r="S898" s="15" t="str">
        <f>VLOOKUP(A898,sinap!$A$2:$Y$9000,20,FALSE)</f>
        <v>SI</v>
      </c>
    </row>
    <row r="899" spans="1:19" hidden="1" x14ac:dyDescent="0.25">
      <c r="A899" s="15">
        <v>16843410</v>
      </c>
      <c r="J899" s="15" t="str">
        <f>VLOOKUP(A899,sinap!$A$2:$R$9000,2,FALSE)</f>
        <v>H</v>
      </c>
      <c r="K899" s="15" t="str">
        <f>VLOOKUP(A899,sinap!$A$2:$R$9000,3,FALSE)</f>
        <v>VACA</v>
      </c>
      <c r="L899" s="15" t="str">
        <f>VLOOKUP(A899,sinap!$A$2:$R$9000,4,FALSE)</f>
        <v>ANGUS NEGRO</v>
      </c>
      <c r="M899" s="15" t="str">
        <f>VLOOKUP(A899,sinap!$A$2:$R$9000,5,FALSE)</f>
        <v>7 años 3 meses</v>
      </c>
      <c r="N899" s="15" t="str">
        <f>VLOOKUP(A899,sinap!$A$2:$R$9000,6,FALSE)</f>
        <v>30-09-2018</v>
      </c>
      <c r="O899" s="15" t="str">
        <f>VLOOKUP(A899,sinap!$A$2:$R$9000,7,FALSE)</f>
        <v>Vivo</v>
      </c>
      <c r="P899" s="15" t="str">
        <f>VLOOKUP(A899,sinap!$A$2:$R$9000,8,FALSE)</f>
        <v>11.2.01.0038</v>
      </c>
      <c r="Q899" s="15" t="str">
        <f>VLOOKUP(A899,sinap!$A$2:$R$9000,12,FALSE)</f>
        <v>11.1.01.0893</v>
      </c>
      <c r="R899" s="15" t="str">
        <f>VLOOKUP(A899,sinap!$A$2:$R$9000,16,FALSE)</f>
        <v>11.1.01.0893</v>
      </c>
      <c r="S899" s="15" t="str">
        <f>VLOOKUP(A899,sinap!$A$2:$Y$9000,20,FALSE)</f>
        <v>SI</v>
      </c>
    </row>
    <row r="900" spans="1:19" hidden="1" x14ac:dyDescent="0.25">
      <c r="A900" s="15">
        <v>16843416</v>
      </c>
      <c r="H900" s="16">
        <v>45297</v>
      </c>
      <c r="J900" s="15" t="str">
        <f>VLOOKUP(A900,sinap!$A$2:$R$9000,2,FALSE)</f>
        <v>H</v>
      </c>
      <c r="K900" s="15" t="str">
        <f>VLOOKUP(A900,sinap!$A$2:$R$9000,3,FALSE)</f>
        <v>VACA</v>
      </c>
      <c r="L900" s="15" t="str">
        <f>VLOOKUP(A900,sinap!$A$2:$R$9000,4,FALSE)</f>
        <v>ANGUS ROJO</v>
      </c>
      <c r="M900" s="15" t="str">
        <f>VLOOKUP(A900,sinap!$A$2:$R$9000,5,FALSE)</f>
        <v>7 años 2 meses</v>
      </c>
      <c r="N900" s="15" t="str">
        <f>VLOOKUP(A900,sinap!$A$2:$R$9000,6,FALSE)</f>
        <v>05-11-2018</v>
      </c>
      <c r="O900" s="15" t="str">
        <f>VLOOKUP(A900,sinap!$A$2:$R$9000,7,FALSE)</f>
        <v>Vivo</v>
      </c>
      <c r="P900" s="15" t="str">
        <f>VLOOKUP(A900,sinap!$A$2:$R$9000,8,FALSE)</f>
        <v>11.1.01.0791</v>
      </c>
      <c r="Q900" s="15" t="str">
        <f>VLOOKUP(A900,sinap!$A$2:$R$9000,12,FALSE)</f>
        <v>11.1.01.0893</v>
      </c>
      <c r="R900" s="15" t="str">
        <f>VLOOKUP(A900,sinap!$A$2:$R$9000,16,FALSE)</f>
        <v>11.1.01.0893</v>
      </c>
      <c r="S900" s="15" t="str">
        <f>VLOOKUP(A900,sinap!$A$2:$Y$9000,20,FALSE)</f>
        <v>SI</v>
      </c>
    </row>
    <row r="901" spans="1:19" hidden="1" x14ac:dyDescent="0.25">
      <c r="A901" s="15">
        <v>16843428</v>
      </c>
      <c r="H901" s="16">
        <v>45297</v>
      </c>
      <c r="J901" s="15" t="str">
        <f>VLOOKUP(A901,sinap!$A$2:$R$9000,2,FALSE)</f>
        <v>H</v>
      </c>
      <c r="K901" s="15" t="str">
        <f>VLOOKUP(A901,sinap!$A$2:$R$9000,3,FALSE)</f>
        <v>VACA</v>
      </c>
      <c r="L901" s="15" t="str">
        <f>VLOOKUP(A901,sinap!$A$2:$R$9000,4,FALSE)</f>
        <v>ANGUS NEGRO</v>
      </c>
      <c r="M901" s="15" t="str">
        <f>VLOOKUP(A901,sinap!$A$2:$R$9000,5,FALSE)</f>
        <v>7 años 3 meses</v>
      </c>
      <c r="N901" s="15" t="str">
        <f>VLOOKUP(A901,sinap!$A$2:$R$9000,6,FALSE)</f>
        <v>20-09-2018</v>
      </c>
      <c r="O901" s="15" t="str">
        <f>VLOOKUP(A901,sinap!$A$2:$R$9000,7,FALSE)</f>
        <v>Vivo</v>
      </c>
      <c r="P901" s="15" t="str">
        <f>VLOOKUP(A901,sinap!$A$2:$R$9000,8,FALSE)</f>
        <v>11.2.01.0038</v>
      </c>
      <c r="Q901" s="15" t="str">
        <f>VLOOKUP(A901,sinap!$A$2:$R$9000,12,FALSE)</f>
        <v>11.1.01.0893</v>
      </c>
      <c r="R901" s="15" t="str">
        <f>VLOOKUP(A901,sinap!$A$2:$R$9000,16,FALSE)</f>
        <v>11.1.01.0893</v>
      </c>
      <c r="S901" s="15" t="str">
        <f>VLOOKUP(A901,sinap!$A$2:$Y$9000,20,FALSE)</f>
        <v>SI</v>
      </c>
    </row>
    <row r="902" spans="1:19" hidden="1" x14ac:dyDescent="0.25">
      <c r="A902" s="15">
        <v>16843435</v>
      </c>
      <c r="H902" s="16">
        <v>45297</v>
      </c>
      <c r="J902" s="15" t="str">
        <f>VLOOKUP(A902,sinap!$A$2:$R$9000,2,FALSE)</f>
        <v>H</v>
      </c>
      <c r="K902" s="15" t="str">
        <f>VLOOKUP(A902,sinap!$A$2:$R$9000,3,FALSE)</f>
        <v>VACA</v>
      </c>
      <c r="L902" s="15" t="str">
        <f>VLOOKUP(A902,sinap!$A$2:$R$9000,4,FALSE)</f>
        <v>ANGUS NEGRO</v>
      </c>
      <c r="M902" s="15" t="str">
        <f>VLOOKUP(A902,sinap!$A$2:$R$9000,5,FALSE)</f>
        <v>7 años 3 meses</v>
      </c>
      <c r="N902" s="15" t="str">
        <f>VLOOKUP(A902,sinap!$A$2:$R$9000,6,FALSE)</f>
        <v>30-09-2018</v>
      </c>
      <c r="O902" s="15" t="str">
        <f>VLOOKUP(A902,sinap!$A$2:$R$9000,7,FALSE)</f>
        <v>Vivo</v>
      </c>
      <c r="P902" s="15" t="str">
        <f>VLOOKUP(A902,sinap!$A$2:$R$9000,8,FALSE)</f>
        <v>11.2.01.0038</v>
      </c>
      <c r="Q902" s="15" t="str">
        <f>VLOOKUP(A902,sinap!$A$2:$R$9000,12,FALSE)</f>
        <v>11.1.01.0893</v>
      </c>
      <c r="R902" s="15" t="str">
        <f>VLOOKUP(A902,sinap!$A$2:$R$9000,16,FALSE)</f>
        <v>11.1.01.0893</v>
      </c>
      <c r="S902" s="15" t="str">
        <f>VLOOKUP(A902,sinap!$A$2:$Y$9000,20,FALSE)</f>
        <v>SI</v>
      </c>
    </row>
    <row r="903" spans="1:19" hidden="1" x14ac:dyDescent="0.25">
      <c r="A903" s="15">
        <v>16843443</v>
      </c>
      <c r="J903" s="15" t="str">
        <f>VLOOKUP(A903,sinap!$A$2:$R$9000,2,FALSE)</f>
        <v>H</v>
      </c>
      <c r="K903" s="15" t="str">
        <f>VLOOKUP(A903,sinap!$A$2:$R$9000,3,FALSE)</f>
        <v>VACA</v>
      </c>
      <c r="L903" s="15" t="str">
        <f>VLOOKUP(A903,sinap!$A$2:$R$9000,4,FALSE)</f>
        <v>ANGUS NEGRO</v>
      </c>
      <c r="M903" s="15" t="str">
        <f>VLOOKUP(A903,sinap!$A$2:$R$9000,5,FALSE)</f>
        <v>7 años 3 meses</v>
      </c>
      <c r="N903" s="15" t="str">
        <f>VLOOKUP(A903,sinap!$A$2:$R$9000,6,FALSE)</f>
        <v>20-09-2018</v>
      </c>
      <c r="O903" s="15" t="str">
        <f>VLOOKUP(A903,sinap!$A$2:$R$9000,7,FALSE)</f>
        <v>Vivo</v>
      </c>
      <c r="P903" s="15" t="str">
        <f>VLOOKUP(A903,sinap!$A$2:$R$9000,8,FALSE)</f>
        <v>11.1.01.0893</v>
      </c>
      <c r="Q903" s="15" t="str">
        <f>VLOOKUP(A903,sinap!$A$2:$R$9000,12,FALSE)</f>
        <v>Sin Movimiento</v>
      </c>
      <c r="R903" s="15" t="str">
        <f>VLOOKUP(A903,sinap!$A$2:$R$9000,16,FALSE)</f>
        <v>11.1.01.0893</v>
      </c>
      <c r="S903" s="15" t="str">
        <f>VLOOKUP(A903,sinap!$A$2:$Y$9000,20,FALSE)</f>
        <v>SI</v>
      </c>
    </row>
    <row r="904" spans="1:19" hidden="1" x14ac:dyDescent="0.25">
      <c r="A904" s="15">
        <v>16843449</v>
      </c>
      <c r="H904" s="16">
        <v>45297</v>
      </c>
      <c r="J904" s="15" t="str">
        <f>VLOOKUP(A904,sinap!$A$2:$R$9000,2,FALSE)</f>
        <v>H</v>
      </c>
      <c r="K904" s="15" t="str">
        <f>VLOOKUP(A904,sinap!$A$2:$R$9000,3,FALSE)</f>
        <v>VACA</v>
      </c>
      <c r="L904" s="15" t="str">
        <f>VLOOKUP(A904,sinap!$A$2:$R$9000,4,FALSE)</f>
        <v>ANGUS NEGRO</v>
      </c>
      <c r="M904" s="15" t="str">
        <f>VLOOKUP(A904,sinap!$A$2:$R$9000,5,FALSE)</f>
        <v>7 años 3 meses</v>
      </c>
      <c r="N904" s="15" t="str">
        <f>VLOOKUP(A904,sinap!$A$2:$R$9000,6,FALSE)</f>
        <v>20-09-2018</v>
      </c>
      <c r="O904" s="15" t="str">
        <f>VLOOKUP(A904,sinap!$A$2:$R$9000,7,FALSE)</f>
        <v>Vivo</v>
      </c>
      <c r="P904" s="15" t="str">
        <f>VLOOKUP(A904,sinap!$A$2:$R$9000,8,FALSE)</f>
        <v>11.1.01.2442</v>
      </c>
      <c r="Q904" s="15" t="str">
        <f>VLOOKUP(A904,sinap!$A$2:$R$9000,12,FALSE)</f>
        <v>11.1.01.0190</v>
      </c>
      <c r="R904" s="15" t="str">
        <f>VLOOKUP(A904,sinap!$A$2:$R$9000,16,FALSE)</f>
        <v>11.1.01.0893</v>
      </c>
      <c r="S904" s="15" t="str">
        <f>VLOOKUP(A904,sinap!$A$2:$Y$9000,20,FALSE)</f>
        <v>SI</v>
      </c>
    </row>
    <row r="905" spans="1:19" hidden="1" x14ac:dyDescent="0.25">
      <c r="A905" s="15">
        <v>16843457</v>
      </c>
      <c r="H905" s="16">
        <v>45297</v>
      </c>
      <c r="J905" s="15" t="str">
        <f>VLOOKUP(A905,sinap!$A$2:$R$9000,2,FALSE)</f>
        <v>no existe</v>
      </c>
      <c r="K905" s="15" t="str">
        <f>VLOOKUP(A905,sinap!$A$2:$R$9000,3,FALSE)</f>
        <v>no existe</v>
      </c>
      <c r="L905" s="15" t="str">
        <f>VLOOKUP(A905,sinap!$A$2:$R$9000,4,FALSE)</f>
        <v>no existe</v>
      </c>
      <c r="M905" s="15" t="str">
        <f>VLOOKUP(A905,sinap!$A$2:$R$9000,5,FALSE)</f>
        <v>no existe</v>
      </c>
      <c r="N905" s="15" t="str">
        <f>VLOOKUP(A905,sinap!$A$2:$R$9000,6,FALSE)</f>
        <v>no existe</v>
      </c>
      <c r="O905" s="15" t="str">
        <f>VLOOKUP(A905,sinap!$A$2:$R$9000,7,FALSE)</f>
        <v>no existe</v>
      </c>
      <c r="P905" s="15" t="str">
        <f>VLOOKUP(A905,sinap!$A$2:$R$9000,8,FALSE)</f>
        <v>no existe</v>
      </c>
      <c r="Q905" s="15" t="str">
        <f>VLOOKUP(A905,sinap!$A$2:$R$9000,12,FALSE)</f>
        <v>no existe</v>
      </c>
      <c r="R905" s="15" t="str">
        <f>VLOOKUP(A905,sinap!$A$2:$R$9000,16,FALSE)</f>
        <v>no existe</v>
      </c>
      <c r="S905" s="15" t="str">
        <f>VLOOKUP(A905,sinap!$A$2:$Y$9000,20,FALSE)</f>
        <v>no existe</v>
      </c>
    </row>
    <row r="906" spans="1:19" hidden="1" x14ac:dyDescent="0.25">
      <c r="A906" s="15">
        <v>16843462</v>
      </c>
      <c r="H906" s="16">
        <v>45297</v>
      </c>
      <c r="J906" s="15" t="str">
        <f>VLOOKUP(A906,sinap!$A$2:$R$9000,2,FALSE)</f>
        <v>H</v>
      </c>
      <c r="K906" s="15" t="str">
        <f>VLOOKUP(A906,sinap!$A$2:$R$9000,3,FALSE)</f>
        <v>VACA</v>
      </c>
      <c r="L906" s="15" t="str">
        <f>VLOOKUP(A906,sinap!$A$2:$R$9000,4,FALSE)</f>
        <v>ANGUS NEGRO</v>
      </c>
      <c r="M906" s="15" t="str">
        <f>VLOOKUP(A906,sinap!$A$2:$R$9000,5,FALSE)</f>
        <v>7 años 3 meses</v>
      </c>
      <c r="N906" s="15" t="str">
        <f>VLOOKUP(A906,sinap!$A$2:$R$9000,6,FALSE)</f>
        <v>20-09-2018</v>
      </c>
      <c r="O906" s="15" t="str">
        <f>VLOOKUP(A906,sinap!$A$2:$R$9000,7,FALSE)</f>
        <v>Vivo</v>
      </c>
      <c r="P906" s="15" t="str">
        <f>VLOOKUP(A906,sinap!$A$2:$R$9000,8,FALSE)</f>
        <v>11.1.01.0893</v>
      </c>
      <c r="Q906" s="15" t="str">
        <f>VLOOKUP(A906,sinap!$A$2:$R$9000,12,FALSE)</f>
        <v>11.1.01.0791</v>
      </c>
      <c r="R906" s="15" t="str">
        <f>VLOOKUP(A906,sinap!$A$2:$R$9000,16,FALSE)</f>
        <v>11.1.01.0893</v>
      </c>
      <c r="S906" s="15" t="str">
        <f>VLOOKUP(A906,sinap!$A$2:$Y$9000,20,FALSE)</f>
        <v>SI</v>
      </c>
    </row>
    <row r="907" spans="1:19" hidden="1" x14ac:dyDescent="0.25">
      <c r="A907" s="15">
        <v>16843463</v>
      </c>
      <c r="J907" s="15" t="str">
        <f>VLOOKUP(A907,sinap!$A$2:$R$9000,2,FALSE)</f>
        <v>H</v>
      </c>
      <c r="K907" s="15" t="str">
        <f>VLOOKUP(A907,sinap!$A$2:$R$9000,3,FALSE)</f>
        <v>VACA</v>
      </c>
      <c r="L907" s="15" t="str">
        <f>VLOOKUP(A907,sinap!$A$2:$R$9000,4,FALSE)</f>
        <v>ANGUS NEGRO</v>
      </c>
      <c r="M907" s="15" t="str">
        <f>VLOOKUP(A907,sinap!$A$2:$R$9000,5,FALSE)</f>
        <v>7 años 3 meses</v>
      </c>
      <c r="N907" s="15" t="str">
        <f>VLOOKUP(A907,sinap!$A$2:$R$9000,6,FALSE)</f>
        <v>20-09-2018</v>
      </c>
      <c r="O907" s="15" t="str">
        <f>VLOOKUP(A907,sinap!$A$2:$R$9000,7,FALSE)</f>
        <v>Vivo</v>
      </c>
      <c r="P907" s="15" t="str">
        <f>VLOOKUP(A907,sinap!$A$2:$R$9000,8,FALSE)</f>
        <v>11.2.01.0038</v>
      </c>
      <c r="Q907" s="15" t="str">
        <f>VLOOKUP(A907,sinap!$A$2:$R$9000,12,FALSE)</f>
        <v>11.1.01.0893</v>
      </c>
      <c r="R907" s="15" t="str">
        <f>VLOOKUP(A907,sinap!$A$2:$R$9000,16,FALSE)</f>
        <v>11.1.01.0893</v>
      </c>
      <c r="S907" s="15" t="str">
        <f>VLOOKUP(A907,sinap!$A$2:$Y$9000,20,FALSE)</f>
        <v>SI</v>
      </c>
    </row>
    <row r="908" spans="1:19" hidden="1" x14ac:dyDescent="0.25">
      <c r="A908" s="15">
        <v>16843464</v>
      </c>
      <c r="J908" s="15" t="str">
        <f>VLOOKUP(A908,sinap!$A$2:$R$9000,2,FALSE)</f>
        <v>H</v>
      </c>
      <c r="K908" s="15" t="str">
        <f>VLOOKUP(A908,sinap!$A$2:$R$9000,3,FALSE)</f>
        <v>VACA</v>
      </c>
      <c r="L908" s="15" t="str">
        <f>VLOOKUP(A908,sinap!$A$2:$R$9000,4,FALSE)</f>
        <v>ANGUS ROJO</v>
      </c>
      <c r="M908" s="15" t="str">
        <f>VLOOKUP(A908,sinap!$A$2:$R$9000,5,FALSE)</f>
        <v>7 años 3 meses</v>
      </c>
      <c r="N908" s="15" t="str">
        <f>VLOOKUP(A908,sinap!$A$2:$R$9000,6,FALSE)</f>
        <v>20-09-2018</v>
      </c>
      <c r="O908" s="15" t="str">
        <f>VLOOKUP(A908,sinap!$A$2:$R$9000,7,FALSE)</f>
        <v>Vivo</v>
      </c>
      <c r="P908" s="15" t="str">
        <f>VLOOKUP(A908,sinap!$A$2:$R$9000,8,FALSE)</f>
        <v>11.1.01.0791</v>
      </c>
      <c r="Q908" s="15" t="str">
        <f>VLOOKUP(A908,sinap!$A$2:$R$9000,12,FALSE)</f>
        <v>11.1.01.0893</v>
      </c>
      <c r="R908" s="15" t="str">
        <f>VLOOKUP(A908,sinap!$A$2:$R$9000,16,FALSE)</f>
        <v>11.1.01.0893</v>
      </c>
      <c r="S908" s="15" t="str">
        <f>VLOOKUP(A908,sinap!$A$2:$Y$9000,20,FALSE)</f>
        <v>SI</v>
      </c>
    </row>
    <row r="909" spans="1:19" hidden="1" x14ac:dyDescent="0.25">
      <c r="A909" s="15">
        <v>16843465</v>
      </c>
      <c r="J909" s="15" t="str">
        <f>VLOOKUP(A909,sinap!$A$2:$R$9000,2,FALSE)</f>
        <v>H</v>
      </c>
      <c r="K909" s="15" t="str">
        <f>VLOOKUP(A909,sinap!$A$2:$R$9000,3,FALSE)</f>
        <v>VACA</v>
      </c>
      <c r="L909" s="15" t="str">
        <f>VLOOKUP(A909,sinap!$A$2:$R$9000,4,FALSE)</f>
        <v>ANGUS NEGRO</v>
      </c>
      <c r="M909" s="15" t="str">
        <f>VLOOKUP(A909,sinap!$A$2:$R$9000,5,FALSE)</f>
        <v>7 años 3 meses</v>
      </c>
      <c r="N909" s="15" t="str">
        <f>VLOOKUP(A909,sinap!$A$2:$R$9000,6,FALSE)</f>
        <v>30-09-2018</v>
      </c>
      <c r="O909" s="15" t="str">
        <f>VLOOKUP(A909,sinap!$A$2:$R$9000,7,FALSE)</f>
        <v>Vivo</v>
      </c>
      <c r="P909" s="15" t="str">
        <f>VLOOKUP(A909,sinap!$A$2:$R$9000,8,FALSE)</f>
        <v>11.1.01.2304</v>
      </c>
      <c r="Q909" s="15" t="str">
        <f>VLOOKUP(A909,sinap!$A$2:$R$9000,12,FALSE)</f>
        <v>11.1.01.0941</v>
      </c>
      <c r="R909" s="15" t="str">
        <f>VLOOKUP(A909,sinap!$A$2:$R$9000,16,FALSE)</f>
        <v>11.1.01.0893</v>
      </c>
      <c r="S909" s="15" t="str">
        <f>VLOOKUP(A909,sinap!$A$2:$Y$9000,20,FALSE)</f>
        <v>SI</v>
      </c>
    </row>
    <row r="910" spans="1:19" hidden="1" x14ac:dyDescent="0.25">
      <c r="A910" s="15">
        <v>16843474</v>
      </c>
      <c r="J910" s="15" t="str">
        <f>VLOOKUP(A910,sinap!$A$2:$R$9000,2,FALSE)</f>
        <v>H</v>
      </c>
      <c r="K910" s="15" t="str">
        <f>VLOOKUP(A910,sinap!$A$2:$R$9000,3,FALSE)</f>
        <v>VACA</v>
      </c>
      <c r="L910" s="15" t="str">
        <f>VLOOKUP(A910,sinap!$A$2:$R$9000,4,FALSE)</f>
        <v>ANGUS NEGRO</v>
      </c>
      <c r="M910" s="15" t="str">
        <f>VLOOKUP(A910,sinap!$A$2:$R$9000,5,FALSE)</f>
        <v>7 años 3 meses</v>
      </c>
      <c r="N910" s="15" t="str">
        <f>VLOOKUP(A910,sinap!$A$2:$R$9000,6,FALSE)</f>
        <v>20-09-2018</v>
      </c>
      <c r="O910" s="15" t="str">
        <f>VLOOKUP(A910,sinap!$A$2:$R$9000,7,FALSE)</f>
        <v>Vivo</v>
      </c>
      <c r="P910" s="15" t="str">
        <f>VLOOKUP(A910,sinap!$A$2:$R$9000,8,FALSE)</f>
        <v>11.2.01.0038</v>
      </c>
      <c r="Q910" s="15" t="str">
        <f>VLOOKUP(A910,sinap!$A$2:$R$9000,12,FALSE)</f>
        <v>11.1.01.0893</v>
      </c>
      <c r="R910" s="15" t="str">
        <f>VLOOKUP(A910,sinap!$A$2:$R$9000,16,FALSE)</f>
        <v>11.1.01.0893</v>
      </c>
      <c r="S910" s="15" t="str">
        <f>VLOOKUP(A910,sinap!$A$2:$Y$9000,20,FALSE)</f>
        <v>SI</v>
      </c>
    </row>
    <row r="911" spans="1:19" hidden="1" x14ac:dyDescent="0.25">
      <c r="A911" s="15">
        <v>16843481</v>
      </c>
      <c r="J911" s="15" t="str">
        <f>VLOOKUP(A911,sinap!$A$2:$R$9000,2,FALSE)</f>
        <v>H</v>
      </c>
      <c r="K911" s="15" t="str">
        <f>VLOOKUP(A911,sinap!$A$2:$R$9000,3,FALSE)</f>
        <v>VACA</v>
      </c>
      <c r="L911" s="15" t="str">
        <f>VLOOKUP(A911,sinap!$A$2:$R$9000,4,FALSE)</f>
        <v>ANGUS NEGRO</v>
      </c>
      <c r="M911" s="15" t="str">
        <f>VLOOKUP(A911,sinap!$A$2:$R$9000,5,FALSE)</f>
        <v>7 años 3 meses</v>
      </c>
      <c r="N911" s="15" t="str">
        <f>VLOOKUP(A911,sinap!$A$2:$R$9000,6,FALSE)</f>
        <v>20-09-2018</v>
      </c>
      <c r="O911" s="15" t="str">
        <f>VLOOKUP(A911,sinap!$A$2:$R$9000,7,FALSE)</f>
        <v>Vivo</v>
      </c>
      <c r="P911" s="15" t="str">
        <f>VLOOKUP(A911,sinap!$A$2:$R$9000,8,FALSE)</f>
        <v>11.1.01.0893</v>
      </c>
      <c r="Q911" s="15" t="str">
        <f>VLOOKUP(A911,sinap!$A$2:$R$9000,12,FALSE)</f>
        <v>Sin Movimiento</v>
      </c>
      <c r="R911" s="15" t="str">
        <f>VLOOKUP(A911,sinap!$A$2:$R$9000,16,FALSE)</f>
        <v>11.1.01.0893</v>
      </c>
      <c r="S911" s="15" t="str">
        <f>VLOOKUP(A911,sinap!$A$2:$Y$9000,20,FALSE)</f>
        <v>SI</v>
      </c>
    </row>
    <row r="912" spans="1:19" hidden="1" x14ac:dyDescent="0.25">
      <c r="A912" s="15">
        <v>16843493</v>
      </c>
      <c r="H912" s="16">
        <v>45297</v>
      </c>
      <c r="J912" s="15" t="str">
        <f>VLOOKUP(A912,sinap!$A$2:$R$9000,2,FALSE)</f>
        <v>H</v>
      </c>
      <c r="K912" s="15" t="str">
        <f>VLOOKUP(A912,sinap!$A$2:$R$9000,3,FALSE)</f>
        <v>VACA</v>
      </c>
      <c r="L912" s="15" t="str">
        <f>VLOOKUP(A912,sinap!$A$2:$R$9000,4,FALSE)</f>
        <v>ANGUS NEGRO</v>
      </c>
      <c r="M912" s="15" t="str">
        <f>VLOOKUP(A912,sinap!$A$2:$R$9000,5,FALSE)</f>
        <v>7 años 3 meses</v>
      </c>
      <c r="N912" s="15" t="str">
        <f>VLOOKUP(A912,sinap!$A$2:$R$9000,6,FALSE)</f>
        <v>30-09-2018</v>
      </c>
      <c r="O912" s="15" t="str">
        <f>VLOOKUP(A912,sinap!$A$2:$R$9000,7,FALSE)</f>
        <v>Vivo</v>
      </c>
      <c r="P912" s="15" t="str">
        <f>VLOOKUP(A912,sinap!$A$2:$R$9000,8,FALSE)</f>
        <v>11.2.01.0038</v>
      </c>
      <c r="Q912" s="15" t="str">
        <f>VLOOKUP(A912,sinap!$A$2:$R$9000,12,FALSE)</f>
        <v>11.1.01.0893</v>
      </c>
      <c r="R912" s="15" t="str">
        <f>VLOOKUP(A912,sinap!$A$2:$R$9000,16,FALSE)</f>
        <v>11.1.01.0893</v>
      </c>
      <c r="S912" s="15" t="str">
        <f>VLOOKUP(A912,sinap!$A$2:$Y$9000,20,FALSE)</f>
        <v>SI</v>
      </c>
    </row>
    <row r="913" spans="1:19" hidden="1" x14ac:dyDescent="0.25">
      <c r="A913" s="15">
        <v>16843504</v>
      </c>
      <c r="H913" s="16">
        <v>45297</v>
      </c>
      <c r="J913" s="15" t="str">
        <f>VLOOKUP(A913,sinap!$A$2:$R$9000,2,FALSE)</f>
        <v>H</v>
      </c>
      <c r="K913" s="15" t="str">
        <f>VLOOKUP(A913,sinap!$A$2:$R$9000,3,FALSE)</f>
        <v>VACA</v>
      </c>
      <c r="L913" s="15" t="str">
        <f>VLOOKUP(A913,sinap!$A$2:$R$9000,4,FALSE)</f>
        <v>ANGUS NEGRO</v>
      </c>
      <c r="M913" s="15" t="str">
        <f>VLOOKUP(A913,sinap!$A$2:$R$9000,5,FALSE)</f>
        <v>7 años 2 meses</v>
      </c>
      <c r="N913" s="15" t="str">
        <f>VLOOKUP(A913,sinap!$A$2:$R$9000,6,FALSE)</f>
        <v>30-10-2018</v>
      </c>
      <c r="O913" s="15" t="str">
        <f>VLOOKUP(A913,sinap!$A$2:$R$9000,7,FALSE)</f>
        <v>Vivo</v>
      </c>
      <c r="P913" s="15" t="str">
        <f>VLOOKUP(A913,sinap!$A$2:$R$9000,8,FALSE)</f>
        <v>11.1.01.0791</v>
      </c>
      <c r="Q913" s="15" t="str">
        <f>VLOOKUP(A913,sinap!$A$2:$R$9000,12,FALSE)</f>
        <v>11.1.01.0893</v>
      </c>
      <c r="R913" s="15" t="str">
        <f>VLOOKUP(A913,sinap!$A$2:$R$9000,16,FALSE)</f>
        <v>11.1.01.1241</v>
      </c>
      <c r="S913" s="15" t="str">
        <f>VLOOKUP(A913,sinap!$A$2:$Y$9000,20,FALSE)</f>
        <v>SI</v>
      </c>
    </row>
    <row r="914" spans="1:19" hidden="1" x14ac:dyDescent="0.25">
      <c r="A914" s="15">
        <v>16843507</v>
      </c>
      <c r="H914" s="16">
        <v>45297</v>
      </c>
      <c r="J914" s="15" t="str">
        <f>VLOOKUP(A914,sinap!$A$2:$R$9000,2,FALSE)</f>
        <v>H</v>
      </c>
      <c r="K914" s="15" t="str">
        <f>VLOOKUP(A914,sinap!$A$2:$R$9000,3,FALSE)</f>
        <v>VACA</v>
      </c>
      <c r="L914" s="15" t="str">
        <f>VLOOKUP(A914,sinap!$A$2:$R$9000,4,FALSE)</f>
        <v>ANGUS NEGRO</v>
      </c>
      <c r="M914" s="15" t="str">
        <f>VLOOKUP(A914,sinap!$A$2:$R$9000,5,FALSE)</f>
        <v>7 años 1 meses</v>
      </c>
      <c r="N914" s="15" t="str">
        <f>VLOOKUP(A914,sinap!$A$2:$R$9000,6,FALSE)</f>
        <v>20-11-2018</v>
      </c>
      <c r="O914" s="15" t="str">
        <f>VLOOKUP(A914,sinap!$A$2:$R$9000,7,FALSE)</f>
        <v>Vivo</v>
      </c>
      <c r="P914" s="15" t="str">
        <f>VLOOKUP(A914,sinap!$A$2:$R$9000,8,FALSE)</f>
        <v>11.1.01.0791</v>
      </c>
      <c r="Q914" s="15" t="str">
        <f>VLOOKUP(A914,sinap!$A$2:$R$9000,12,FALSE)</f>
        <v>11.1.01.0893</v>
      </c>
      <c r="R914" s="15" t="str">
        <f>VLOOKUP(A914,sinap!$A$2:$R$9000,16,FALSE)</f>
        <v>11.1.01.1241</v>
      </c>
      <c r="S914" s="15" t="str">
        <f>VLOOKUP(A914,sinap!$A$2:$Y$9000,20,FALSE)</f>
        <v>SI</v>
      </c>
    </row>
    <row r="915" spans="1:19" hidden="1" x14ac:dyDescent="0.25">
      <c r="A915" s="15">
        <v>16843508</v>
      </c>
      <c r="H915" s="16">
        <v>45297</v>
      </c>
      <c r="J915" s="15" t="str">
        <f>VLOOKUP(A915,sinap!$A$2:$R$9000,2,FALSE)</f>
        <v>H</v>
      </c>
      <c r="K915" s="15" t="str">
        <f>VLOOKUP(A915,sinap!$A$2:$R$9000,3,FALSE)</f>
        <v>VACA</v>
      </c>
      <c r="L915" s="15" t="str">
        <f>VLOOKUP(A915,sinap!$A$2:$R$9000,4,FALSE)</f>
        <v>ANGUS NEGRO</v>
      </c>
      <c r="M915" s="15" t="str">
        <f>VLOOKUP(A915,sinap!$A$2:$R$9000,5,FALSE)</f>
        <v>7 años 2 meses</v>
      </c>
      <c r="N915" s="15" t="str">
        <f>VLOOKUP(A915,sinap!$A$2:$R$9000,6,FALSE)</f>
        <v>30-10-2018</v>
      </c>
      <c r="O915" s="15" t="str">
        <f>VLOOKUP(A915,sinap!$A$2:$R$9000,7,FALSE)</f>
        <v>Vivo</v>
      </c>
      <c r="P915" s="15" t="str">
        <f>VLOOKUP(A915,sinap!$A$2:$R$9000,8,FALSE)</f>
        <v>11.1.01.0791</v>
      </c>
      <c r="Q915" s="15" t="str">
        <f>VLOOKUP(A915,sinap!$A$2:$R$9000,12,FALSE)</f>
        <v>11.1.01.0893</v>
      </c>
      <c r="R915" s="15" t="str">
        <f>VLOOKUP(A915,sinap!$A$2:$R$9000,16,FALSE)</f>
        <v>11.1.01.1241</v>
      </c>
      <c r="S915" s="15" t="str">
        <f>VLOOKUP(A915,sinap!$A$2:$Y$9000,20,FALSE)</f>
        <v>SI</v>
      </c>
    </row>
    <row r="916" spans="1:19" hidden="1" x14ac:dyDescent="0.25">
      <c r="A916" s="15">
        <v>16843512</v>
      </c>
      <c r="J916" s="15" t="str">
        <f>VLOOKUP(A916,sinap!$A$2:$R$9000,2,FALSE)</f>
        <v>H</v>
      </c>
      <c r="K916" s="15" t="str">
        <f>VLOOKUP(A916,sinap!$A$2:$R$9000,3,FALSE)</f>
        <v>VACA</v>
      </c>
      <c r="L916" s="15" t="str">
        <f>VLOOKUP(A916,sinap!$A$2:$R$9000,4,FALSE)</f>
        <v>ANGUS NEGRO</v>
      </c>
      <c r="M916" s="15" t="str">
        <f>VLOOKUP(A916,sinap!$A$2:$R$9000,5,FALSE)</f>
        <v>7 años 2 meses</v>
      </c>
      <c r="N916" s="15" t="str">
        <f>VLOOKUP(A916,sinap!$A$2:$R$9000,6,FALSE)</f>
        <v>10-11-2018</v>
      </c>
      <c r="O916" s="15" t="str">
        <f>VLOOKUP(A916,sinap!$A$2:$R$9000,7,FALSE)</f>
        <v>Vivo</v>
      </c>
      <c r="P916" s="15" t="str">
        <f>VLOOKUP(A916,sinap!$A$2:$R$9000,8,FALSE)</f>
        <v>11.1.01.0893</v>
      </c>
      <c r="Q916" s="15" t="str">
        <f>VLOOKUP(A916,sinap!$A$2:$R$9000,12,FALSE)</f>
        <v>Sin Movimiento</v>
      </c>
      <c r="R916" s="15" t="str">
        <f>VLOOKUP(A916,sinap!$A$2:$R$9000,16,FALSE)</f>
        <v>11.1.01.0893</v>
      </c>
      <c r="S916" s="15" t="str">
        <f>VLOOKUP(A916,sinap!$A$2:$Y$9000,20,FALSE)</f>
        <v>NO</v>
      </c>
    </row>
    <row r="917" spans="1:19" hidden="1" x14ac:dyDescent="0.25">
      <c r="A917" s="15">
        <v>16843524</v>
      </c>
      <c r="H917" s="16">
        <v>45297</v>
      </c>
      <c r="J917" s="15" t="str">
        <f>VLOOKUP(A917,sinap!$A$2:$R$9000,2,FALSE)</f>
        <v>H</v>
      </c>
      <c r="K917" s="15" t="str">
        <f>VLOOKUP(A917,sinap!$A$2:$R$9000,3,FALSE)</f>
        <v>VACA</v>
      </c>
      <c r="L917" s="15" t="str">
        <f>VLOOKUP(A917,sinap!$A$2:$R$9000,4,FALSE)</f>
        <v>ANGUS NEGRO</v>
      </c>
      <c r="M917" s="15" t="str">
        <f>VLOOKUP(A917,sinap!$A$2:$R$9000,5,FALSE)</f>
        <v>6 años 9 meses</v>
      </c>
      <c r="N917" s="15" t="str">
        <f>VLOOKUP(A917,sinap!$A$2:$R$9000,6,FALSE)</f>
        <v>10-04-2019</v>
      </c>
      <c r="O917" s="15" t="str">
        <f>VLOOKUP(A917,sinap!$A$2:$R$9000,7,FALSE)</f>
        <v>Vivo</v>
      </c>
      <c r="P917" s="15" t="str">
        <f>VLOOKUP(A917,sinap!$A$2:$R$9000,8,FALSE)</f>
        <v>11.2.01.0038</v>
      </c>
      <c r="Q917" s="15" t="str">
        <f>VLOOKUP(A917,sinap!$A$2:$R$9000,12,FALSE)</f>
        <v>11.1.01.0893</v>
      </c>
      <c r="R917" s="15" t="str">
        <f>VLOOKUP(A917,sinap!$A$2:$R$9000,16,FALSE)</f>
        <v>11.1.01.0893</v>
      </c>
      <c r="S917" s="15" t="str">
        <f>VLOOKUP(A917,sinap!$A$2:$Y$9000,20,FALSE)</f>
        <v>SI</v>
      </c>
    </row>
    <row r="918" spans="1:19" hidden="1" x14ac:dyDescent="0.25">
      <c r="A918" s="15">
        <v>16843552</v>
      </c>
      <c r="H918" s="16">
        <v>45297</v>
      </c>
      <c r="J918" s="15" t="str">
        <f>VLOOKUP(A918,sinap!$A$2:$R$9000,2,FALSE)</f>
        <v>H</v>
      </c>
      <c r="K918" s="15" t="str">
        <f>VLOOKUP(A918,sinap!$A$2:$R$9000,3,FALSE)</f>
        <v>VACA</v>
      </c>
      <c r="L918" s="15" t="str">
        <f>VLOOKUP(A918,sinap!$A$2:$R$9000,4,FALSE)</f>
        <v>ANGUS NEGRO</v>
      </c>
      <c r="M918" s="15" t="str">
        <f>VLOOKUP(A918,sinap!$A$2:$R$9000,5,FALSE)</f>
        <v>7 años 3 meses</v>
      </c>
      <c r="N918" s="15" t="str">
        <f>VLOOKUP(A918,sinap!$A$2:$R$9000,6,FALSE)</f>
        <v>29-09-2018</v>
      </c>
      <c r="O918" s="15" t="str">
        <f>VLOOKUP(A918,sinap!$A$2:$R$9000,7,FALSE)</f>
        <v>Vivo</v>
      </c>
      <c r="P918" s="15" t="str">
        <f>VLOOKUP(A918,sinap!$A$2:$R$9000,8,FALSE)</f>
        <v>11.1.01.0791</v>
      </c>
      <c r="Q918" s="15" t="str">
        <f>VLOOKUP(A918,sinap!$A$2:$R$9000,12,FALSE)</f>
        <v>11.1.01.0893</v>
      </c>
      <c r="R918" s="15" t="str">
        <f>VLOOKUP(A918,sinap!$A$2:$R$9000,16,FALSE)</f>
        <v>11.1.01.0893</v>
      </c>
      <c r="S918" s="15" t="str">
        <f>VLOOKUP(A918,sinap!$A$2:$Y$9000,20,FALSE)</f>
        <v>NO</v>
      </c>
    </row>
    <row r="919" spans="1:19" hidden="1" x14ac:dyDescent="0.25">
      <c r="A919" s="15">
        <v>16843556</v>
      </c>
      <c r="H919" s="16">
        <v>45297</v>
      </c>
      <c r="J919" s="15" t="str">
        <f>VLOOKUP(A919,sinap!$A$2:$R$9000,2,FALSE)</f>
        <v>H</v>
      </c>
      <c r="K919" s="15" t="str">
        <f>VLOOKUP(A919,sinap!$A$2:$R$9000,3,FALSE)</f>
        <v>VACA</v>
      </c>
      <c r="L919" s="15" t="str">
        <f>VLOOKUP(A919,sinap!$A$2:$R$9000,4,FALSE)</f>
        <v>ANGUS NEGRO</v>
      </c>
      <c r="M919" s="15" t="str">
        <f>VLOOKUP(A919,sinap!$A$2:$R$9000,5,FALSE)</f>
        <v>6 años 10 meses</v>
      </c>
      <c r="N919" s="15" t="str">
        <f>VLOOKUP(A919,sinap!$A$2:$R$9000,6,FALSE)</f>
        <v>20-02-2019</v>
      </c>
      <c r="O919" s="15" t="str">
        <f>VLOOKUP(A919,sinap!$A$2:$R$9000,7,FALSE)</f>
        <v>Vivo</v>
      </c>
      <c r="P919" s="15" t="str">
        <f>VLOOKUP(A919,sinap!$A$2:$R$9000,8,FALSE)</f>
        <v>11.1.01.0791</v>
      </c>
      <c r="Q919" s="15" t="str">
        <f>VLOOKUP(A919,sinap!$A$2:$R$9000,12,FALSE)</f>
        <v>11.1.01.0893</v>
      </c>
      <c r="R919" s="15" t="str">
        <f>VLOOKUP(A919,sinap!$A$2:$R$9000,16,FALSE)</f>
        <v>11.1.01.0893</v>
      </c>
      <c r="S919" s="15" t="str">
        <f>VLOOKUP(A919,sinap!$A$2:$Y$9000,20,FALSE)</f>
        <v>SI</v>
      </c>
    </row>
    <row r="920" spans="1:19" hidden="1" x14ac:dyDescent="0.25">
      <c r="A920" s="15">
        <v>16843618</v>
      </c>
      <c r="J920" s="15" t="str">
        <f>VLOOKUP(A920,sinap!$A$2:$R$9000,2,FALSE)</f>
        <v>M</v>
      </c>
      <c r="K920" s="15" t="str">
        <f>VLOOKUP(A920,sinap!$A$2:$R$9000,3,FALSE)</f>
        <v>TORO</v>
      </c>
      <c r="L920" s="15" t="str">
        <f>VLOOKUP(A920,sinap!$A$2:$R$9000,4,FALSE)</f>
        <v>ANGUS NEGRO</v>
      </c>
      <c r="M920" s="15" t="str">
        <f>VLOOKUP(A920,sinap!$A$2:$R$9000,5,FALSE)</f>
        <v>6 años 3 meses</v>
      </c>
      <c r="N920" s="15" t="str">
        <f>VLOOKUP(A920,sinap!$A$2:$R$9000,6,FALSE)</f>
        <v>30-09-2019</v>
      </c>
      <c r="O920" s="15" t="str">
        <f>VLOOKUP(A920,sinap!$A$2:$R$9000,7,FALSE)</f>
        <v>Vivo</v>
      </c>
      <c r="P920" s="15" t="str">
        <f>VLOOKUP(A920,sinap!$A$2:$R$9000,8,FALSE)</f>
        <v>11.1.01.1241</v>
      </c>
      <c r="Q920" s="15" t="str">
        <f>VLOOKUP(A920,sinap!$A$2:$R$9000,12,FALSE)</f>
        <v>Sin Movimiento</v>
      </c>
      <c r="R920" s="15" t="str">
        <f>VLOOKUP(A920,sinap!$A$2:$R$9000,16,FALSE)</f>
        <v>11.1.01.1241</v>
      </c>
      <c r="S920" s="15" t="str">
        <f>VLOOKUP(A920,sinap!$A$2:$Y$9000,20,FALSE)</f>
        <v>SI</v>
      </c>
    </row>
    <row r="921" spans="1:19" hidden="1" x14ac:dyDescent="0.25">
      <c r="A921" s="15">
        <v>16843622</v>
      </c>
      <c r="J921" s="15" t="str">
        <f>VLOOKUP(A921,sinap!$A$2:$R$9000,2,FALSE)</f>
        <v>M</v>
      </c>
      <c r="K921" s="15" t="str">
        <f>VLOOKUP(A921,sinap!$A$2:$R$9000,3,FALSE)</f>
        <v>TORO</v>
      </c>
      <c r="L921" s="15" t="str">
        <f>VLOOKUP(A921,sinap!$A$2:$R$9000,4,FALSE)</f>
        <v>ANGUS NEGRO</v>
      </c>
      <c r="M921" s="15" t="str">
        <f>VLOOKUP(A921,sinap!$A$2:$R$9000,5,FALSE)</f>
        <v>6 años 3 meses</v>
      </c>
      <c r="N921" s="15" t="str">
        <f>VLOOKUP(A921,sinap!$A$2:$R$9000,6,FALSE)</f>
        <v>20-09-2019</v>
      </c>
      <c r="O921" s="15" t="str">
        <f>VLOOKUP(A921,sinap!$A$2:$R$9000,7,FALSE)</f>
        <v>Vivo</v>
      </c>
      <c r="P921" s="15" t="str">
        <f>VLOOKUP(A921,sinap!$A$2:$R$9000,8,FALSE)</f>
        <v>11.1.01.1241</v>
      </c>
      <c r="Q921" s="15" t="str">
        <f>VLOOKUP(A921,sinap!$A$2:$R$9000,12,FALSE)</f>
        <v>Sin Movimiento</v>
      </c>
      <c r="R921" s="15" t="str">
        <f>VLOOKUP(A921,sinap!$A$2:$R$9000,16,FALSE)</f>
        <v>11.1.01.1241</v>
      </c>
      <c r="S921" s="15" t="str">
        <f>VLOOKUP(A921,sinap!$A$2:$Y$9000,20,FALSE)</f>
        <v>SI</v>
      </c>
    </row>
    <row r="922" spans="1:19" hidden="1" x14ac:dyDescent="0.25">
      <c r="A922" s="15">
        <v>16843635</v>
      </c>
      <c r="J922" s="15" t="str">
        <f>VLOOKUP(A922,sinap!$A$2:$R$9000,2,FALSE)</f>
        <v>M</v>
      </c>
      <c r="K922" s="15" t="str">
        <f>VLOOKUP(A922,sinap!$A$2:$R$9000,3,FALSE)</f>
        <v>TORO</v>
      </c>
      <c r="L922" s="15" t="str">
        <f>VLOOKUP(A922,sinap!$A$2:$R$9000,4,FALSE)</f>
        <v>ANGUS NEGRO</v>
      </c>
      <c r="M922" s="15" t="str">
        <f>VLOOKUP(A922,sinap!$A$2:$R$9000,5,FALSE)</f>
        <v>6 años 2 meses</v>
      </c>
      <c r="N922" s="15" t="str">
        <f>VLOOKUP(A922,sinap!$A$2:$R$9000,6,FALSE)</f>
        <v>20-10-2019</v>
      </c>
      <c r="O922" s="15" t="str">
        <f>VLOOKUP(A922,sinap!$A$2:$R$9000,7,FALSE)</f>
        <v>Vivo</v>
      </c>
      <c r="P922" s="15" t="str">
        <f>VLOOKUP(A922,sinap!$A$2:$R$9000,8,FALSE)</f>
        <v>11.1.01.1241</v>
      </c>
      <c r="Q922" s="15" t="str">
        <f>VLOOKUP(A922,sinap!$A$2:$R$9000,12,FALSE)</f>
        <v>Sin Movimiento</v>
      </c>
      <c r="R922" s="15" t="str">
        <f>VLOOKUP(A922,sinap!$A$2:$R$9000,16,FALSE)</f>
        <v>11.1.01.1241</v>
      </c>
      <c r="S922" s="15" t="str">
        <f>VLOOKUP(A922,sinap!$A$2:$Y$9000,20,FALSE)</f>
        <v>SI</v>
      </c>
    </row>
    <row r="923" spans="1:19" hidden="1" x14ac:dyDescent="0.25">
      <c r="A923" s="15">
        <v>18071569</v>
      </c>
      <c r="B923" s="15">
        <v>2636109</v>
      </c>
      <c r="J923" s="15" t="str">
        <f>VLOOKUP(A923,sinap!$A$2:$R$9000,2,FALSE)</f>
        <v>M</v>
      </c>
      <c r="K923" s="15" t="str">
        <f>VLOOKUP(A923,sinap!$A$2:$R$9000,3,FALSE)</f>
        <v>TORO</v>
      </c>
      <c r="L923" s="15" t="str">
        <f>VLOOKUP(A923,sinap!$A$2:$R$9000,4,FALSE)</f>
        <v>ANGUS NEGRO</v>
      </c>
      <c r="M923" s="15" t="str">
        <f>VLOOKUP(A923,sinap!$A$2:$R$9000,5,FALSE)</f>
        <v>8 años 3 meses</v>
      </c>
      <c r="N923" s="15" t="str">
        <f>VLOOKUP(A923,sinap!$A$2:$R$9000,6,FALSE)</f>
        <v>29-09-2017</v>
      </c>
      <c r="O923" s="15" t="str">
        <f>VLOOKUP(A923,sinap!$A$2:$R$9000,7,FALSE)</f>
        <v>Vivo</v>
      </c>
      <c r="P923" s="15" t="str">
        <f>VLOOKUP(A923,sinap!$A$2:$R$9000,8,FALSE)</f>
        <v>11.2.01.0038</v>
      </c>
      <c r="Q923" s="15" t="str">
        <f>VLOOKUP(A923,sinap!$A$2:$R$9000,12,FALSE)</f>
        <v>11.1.01.1241</v>
      </c>
      <c r="R923" s="15" t="str">
        <f>VLOOKUP(A923,sinap!$A$2:$R$9000,16,FALSE)</f>
        <v>11.1.01.0932</v>
      </c>
      <c r="S923" s="15" t="str">
        <f>VLOOKUP(A923,sinap!$A$2:$Y$9000,20,FALSE)</f>
        <v>SI</v>
      </c>
    </row>
    <row r="924" spans="1:19" hidden="1" x14ac:dyDescent="0.25">
      <c r="A924" s="15">
        <v>18072802</v>
      </c>
      <c r="J924" s="15" t="str">
        <f>VLOOKUP(A924,sinap!$A$2:$R$9000,2,FALSE)</f>
        <v>M</v>
      </c>
      <c r="K924" s="15" t="str">
        <f>VLOOKUP(A924,sinap!$A$2:$R$9000,3,FALSE)</f>
        <v>TORO</v>
      </c>
      <c r="L924" s="15" t="str">
        <f>VLOOKUP(A924,sinap!$A$2:$R$9000,4,FALSE)</f>
        <v>ANGUS NEGRO</v>
      </c>
      <c r="M924" s="15" t="str">
        <f>VLOOKUP(A924,sinap!$A$2:$R$9000,5,FALSE)</f>
        <v>6 años 1 meses</v>
      </c>
      <c r="N924" s="15" t="str">
        <f>VLOOKUP(A924,sinap!$A$2:$R$9000,6,FALSE)</f>
        <v>15-12-2019</v>
      </c>
      <c r="O924" s="15" t="str">
        <f>VLOOKUP(A924,sinap!$A$2:$R$9000,7,FALSE)</f>
        <v>Vivo</v>
      </c>
      <c r="P924" s="15" t="str">
        <f>VLOOKUP(A924,sinap!$A$2:$R$9000,8,FALSE)</f>
        <v>11.1.01.1241</v>
      </c>
      <c r="Q924" s="15" t="str">
        <f>VLOOKUP(A924,sinap!$A$2:$R$9000,12,FALSE)</f>
        <v>11.2.01.0251</v>
      </c>
      <c r="R924" s="15" t="str">
        <f>VLOOKUP(A924,sinap!$A$2:$R$9000,16,FALSE)</f>
        <v>11.2.01.0251</v>
      </c>
      <c r="S924" s="15" t="str">
        <f>VLOOKUP(A924,sinap!$A$2:$Y$9000,20,FALSE)</f>
        <v>SI</v>
      </c>
    </row>
    <row r="925" spans="1:19" hidden="1" x14ac:dyDescent="0.25">
      <c r="A925" s="15">
        <v>18072806</v>
      </c>
      <c r="B925" s="15">
        <v>2636151</v>
      </c>
      <c r="I925" s="16">
        <v>45818</v>
      </c>
      <c r="J925" s="15" t="str">
        <f>VLOOKUP(A925,sinap!$A$2:$R$9000,2,FALSE)</f>
        <v>M</v>
      </c>
      <c r="K925" s="15" t="str">
        <f>VLOOKUP(A925,sinap!$A$2:$R$9000,3,FALSE)</f>
        <v>TORO</v>
      </c>
      <c r="L925" s="15" t="str">
        <f>VLOOKUP(A925,sinap!$A$2:$R$9000,4,FALSE)</f>
        <v>ANGUS NEGRO</v>
      </c>
      <c r="M925" s="15" t="str">
        <f>VLOOKUP(A925,sinap!$A$2:$R$9000,5,FALSE)</f>
        <v>6 años 1 meses</v>
      </c>
      <c r="N925" s="15" t="str">
        <f>VLOOKUP(A925,sinap!$A$2:$R$9000,6,FALSE)</f>
        <v>15-12-2019</v>
      </c>
      <c r="O925" s="15" t="str">
        <f>VLOOKUP(A925,sinap!$A$2:$R$9000,7,FALSE)</f>
        <v>Vivo</v>
      </c>
      <c r="P925" s="15" t="str">
        <f>VLOOKUP(A925,sinap!$A$2:$R$9000,8,FALSE)</f>
        <v>11.1.01.1241</v>
      </c>
      <c r="Q925" s="15" t="str">
        <f>VLOOKUP(A925,sinap!$A$2:$R$9000,12,FALSE)</f>
        <v>11.1.01.1022</v>
      </c>
      <c r="R925" s="15" t="str">
        <f>VLOOKUP(A925,sinap!$A$2:$R$9000,16,FALSE)</f>
        <v>11.2.01.0251</v>
      </c>
      <c r="S925" s="15" t="str">
        <f>VLOOKUP(A925,sinap!$A$2:$Y$9000,20,FALSE)</f>
        <v>SI</v>
      </c>
    </row>
    <row r="926" spans="1:19" hidden="1" x14ac:dyDescent="0.25">
      <c r="A926" s="15">
        <v>18072813</v>
      </c>
      <c r="J926" s="15" t="str">
        <f>VLOOKUP(A926,sinap!$A$2:$R$9000,2,FALSE)</f>
        <v>M</v>
      </c>
      <c r="K926" s="15" t="str">
        <f>VLOOKUP(A926,sinap!$A$2:$R$9000,3,FALSE)</f>
        <v>TORO</v>
      </c>
      <c r="L926" s="15" t="str">
        <f>VLOOKUP(A926,sinap!$A$2:$R$9000,4,FALSE)</f>
        <v>ANGUS NEGRO</v>
      </c>
      <c r="M926" s="15" t="str">
        <f>VLOOKUP(A926,sinap!$A$2:$R$9000,5,FALSE)</f>
        <v>6 años 1 meses</v>
      </c>
      <c r="N926" s="15" t="str">
        <f>VLOOKUP(A926,sinap!$A$2:$R$9000,6,FALSE)</f>
        <v>15-12-2019</v>
      </c>
      <c r="O926" s="15" t="str">
        <f>VLOOKUP(A926,sinap!$A$2:$R$9000,7,FALSE)</f>
        <v>Vivo</v>
      </c>
      <c r="P926" s="15" t="str">
        <f>VLOOKUP(A926,sinap!$A$2:$R$9000,8,FALSE)</f>
        <v>11.1.01.1241</v>
      </c>
      <c r="Q926" s="15" t="str">
        <f>VLOOKUP(A926,sinap!$A$2:$R$9000,12,FALSE)</f>
        <v>11.1.01.1014</v>
      </c>
      <c r="R926" s="15" t="str">
        <f>VLOOKUP(A926,sinap!$A$2:$R$9000,16,FALSE)</f>
        <v>11.2.01.0251</v>
      </c>
      <c r="S926" s="15" t="str">
        <f>VLOOKUP(A926,sinap!$A$2:$Y$9000,20,FALSE)</f>
        <v>SI</v>
      </c>
    </row>
    <row r="927" spans="1:19" hidden="1" x14ac:dyDescent="0.25">
      <c r="A927" s="15">
        <v>18072814</v>
      </c>
      <c r="J927" s="15" t="str">
        <f>VLOOKUP(A927,sinap!$A$2:$R$9000,2,FALSE)</f>
        <v>H</v>
      </c>
      <c r="K927" s="15" t="str">
        <f>VLOOKUP(A927,sinap!$A$2:$R$9000,3,FALSE)</f>
        <v>VACA</v>
      </c>
      <c r="L927" s="15" t="str">
        <f>VLOOKUP(A927,sinap!$A$2:$R$9000,4,FALSE)</f>
        <v>ANGUS NEGRO</v>
      </c>
      <c r="M927" s="15" t="str">
        <f>VLOOKUP(A927,sinap!$A$2:$R$9000,5,FALSE)</f>
        <v>6 años 1 meses</v>
      </c>
      <c r="N927" s="15" t="str">
        <f>VLOOKUP(A927,sinap!$A$2:$R$9000,6,FALSE)</f>
        <v>15-12-2019</v>
      </c>
      <c r="O927" s="15" t="str">
        <f>VLOOKUP(A927,sinap!$A$2:$R$9000,7,FALSE)</f>
        <v>Vivo</v>
      </c>
      <c r="P927" s="15" t="str">
        <f>VLOOKUP(A927,sinap!$A$2:$R$9000,8,FALSE)</f>
        <v>11.1.01.1241</v>
      </c>
      <c r="Q927" s="15" t="str">
        <f>VLOOKUP(A927,sinap!$A$2:$R$9000,12,FALSE)</f>
        <v>11.1.01.1014</v>
      </c>
      <c r="R927" s="15" t="str">
        <f>VLOOKUP(A927,sinap!$A$2:$R$9000,16,FALSE)</f>
        <v>11.2.01.0251</v>
      </c>
      <c r="S927" s="15" t="str">
        <f>VLOOKUP(A927,sinap!$A$2:$Y$9000,20,FALSE)</f>
        <v>SI</v>
      </c>
    </row>
    <row r="928" spans="1:19" hidden="1" x14ac:dyDescent="0.25">
      <c r="A928" s="15">
        <v>18072820</v>
      </c>
      <c r="J928" s="15" t="str">
        <f>VLOOKUP(A928,sinap!$A$2:$R$9000,2,FALSE)</f>
        <v>M</v>
      </c>
      <c r="K928" s="15" t="str">
        <f>VLOOKUP(A928,sinap!$A$2:$R$9000,3,FALSE)</f>
        <v>TORO</v>
      </c>
      <c r="L928" s="15" t="str">
        <f>VLOOKUP(A928,sinap!$A$2:$R$9000,4,FALSE)</f>
        <v>ANGUS NEGRO</v>
      </c>
      <c r="M928" s="15" t="str">
        <f>VLOOKUP(A928,sinap!$A$2:$R$9000,5,FALSE)</f>
        <v>6 años 1 meses</v>
      </c>
      <c r="N928" s="15" t="str">
        <f>VLOOKUP(A928,sinap!$A$2:$R$9000,6,FALSE)</f>
        <v>15-12-2019</v>
      </c>
      <c r="O928" s="15" t="str">
        <f>VLOOKUP(A928,sinap!$A$2:$R$9000,7,FALSE)</f>
        <v>Vivo</v>
      </c>
      <c r="P928" s="15" t="str">
        <f>VLOOKUP(A928,sinap!$A$2:$R$9000,8,FALSE)</f>
        <v>11.1.01.1241</v>
      </c>
      <c r="Q928" s="15" t="str">
        <f>VLOOKUP(A928,sinap!$A$2:$R$9000,12,FALSE)</f>
        <v>11.1.01.0893</v>
      </c>
      <c r="R928" s="15" t="str">
        <f>VLOOKUP(A928,sinap!$A$2:$R$9000,16,FALSE)</f>
        <v>11.2.01.0251</v>
      </c>
      <c r="S928" s="15" t="str">
        <f>VLOOKUP(A928,sinap!$A$2:$Y$9000,20,FALSE)</f>
        <v>SI</v>
      </c>
    </row>
    <row r="929" spans="1:19" hidden="1" x14ac:dyDescent="0.25">
      <c r="A929" s="15">
        <v>18072823</v>
      </c>
      <c r="J929" s="15" t="str">
        <f>VLOOKUP(A929,sinap!$A$2:$R$9000,2,FALSE)</f>
        <v>M</v>
      </c>
      <c r="K929" s="15" t="str">
        <f>VLOOKUP(A929,sinap!$A$2:$R$9000,3,FALSE)</f>
        <v>TORO</v>
      </c>
      <c r="L929" s="15" t="str">
        <f>VLOOKUP(A929,sinap!$A$2:$R$9000,4,FALSE)</f>
        <v>ANGUS NEGRO</v>
      </c>
      <c r="M929" s="15" t="str">
        <f>VLOOKUP(A929,sinap!$A$2:$R$9000,5,FALSE)</f>
        <v>6 años 1 meses</v>
      </c>
      <c r="N929" s="15" t="str">
        <f>VLOOKUP(A929,sinap!$A$2:$R$9000,6,FALSE)</f>
        <v>15-12-2019</v>
      </c>
      <c r="O929" s="15" t="str">
        <f>VLOOKUP(A929,sinap!$A$2:$R$9000,7,FALSE)</f>
        <v>Vivo</v>
      </c>
      <c r="P929" s="15" t="str">
        <f>VLOOKUP(A929,sinap!$A$2:$R$9000,8,FALSE)</f>
        <v>11.1.01.1241</v>
      </c>
      <c r="Q929" s="15" t="str">
        <f>VLOOKUP(A929,sinap!$A$2:$R$9000,12,FALSE)</f>
        <v>11.2.01.0251</v>
      </c>
      <c r="R929" s="15" t="str">
        <f>VLOOKUP(A929,sinap!$A$2:$R$9000,16,FALSE)</f>
        <v>11.2.01.0251</v>
      </c>
      <c r="S929" s="15" t="str">
        <f>VLOOKUP(A929,sinap!$A$2:$Y$9000,20,FALSE)</f>
        <v>SI</v>
      </c>
    </row>
    <row r="930" spans="1:19" hidden="1" x14ac:dyDescent="0.25">
      <c r="A930" s="15">
        <v>18072830</v>
      </c>
      <c r="B930" s="15">
        <v>2636147</v>
      </c>
      <c r="H930" s="16">
        <v>45636</v>
      </c>
      <c r="J930" s="15" t="str">
        <f>VLOOKUP(A930,sinap!$A$2:$R$9000,2,FALSE)</f>
        <v>M</v>
      </c>
      <c r="K930" s="15" t="str">
        <f>VLOOKUP(A930,sinap!$A$2:$R$9000,3,FALSE)</f>
        <v>TORO</v>
      </c>
      <c r="L930" s="15" t="str">
        <f>VLOOKUP(A930,sinap!$A$2:$R$9000,4,FALSE)</f>
        <v>ANGUS NEGRO</v>
      </c>
      <c r="M930" s="15" t="str">
        <f>VLOOKUP(A930,sinap!$A$2:$R$9000,5,FALSE)</f>
        <v>6 años 1 meses</v>
      </c>
      <c r="N930" s="15" t="str">
        <f>VLOOKUP(A930,sinap!$A$2:$R$9000,6,FALSE)</f>
        <v>15-12-2019</v>
      </c>
      <c r="O930" s="15" t="str">
        <f>VLOOKUP(A930,sinap!$A$2:$R$9000,7,FALSE)</f>
        <v>Vivo</v>
      </c>
      <c r="P930" s="15" t="str">
        <f>VLOOKUP(A930,sinap!$A$2:$R$9000,8,FALSE)</f>
        <v>11.2.01.0038</v>
      </c>
      <c r="Q930" s="15" t="str">
        <f>VLOOKUP(A930,sinap!$A$2:$R$9000,12,FALSE)</f>
        <v>11.1.01.0893</v>
      </c>
      <c r="R930" s="15" t="str">
        <f>VLOOKUP(A930,sinap!$A$2:$R$9000,16,FALSE)</f>
        <v>11.2.01.0251</v>
      </c>
      <c r="S930" s="15" t="str">
        <f>VLOOKUP(A930,sinap!$A$2:$Y$9000,20,FALSE)</f>
        <v>SI</v>
      </c>
    </row>
    <row r="931" spans="1:19" hidden="1" x14ac:dyDescent="0.25">
      <c r="A931" s="15">
        <v>18943023</v>
      </c>
      <c r="H931" s="16">
        <v>45297</v>
      </c>
      <c r="J931" s="15" t="str">
        <f>VLOOKUP(A931,sinap!$A$2:$R$9000,2,FALSE)</f>
        <v>H</v>
      </c>
      <c r="K931" s="15" t="str">
        <f>VLOOKUP(A931,sinap!$A$2:$R$9000,3,FALSE)</f>
        <v>VACA</v>
      </c>
      <c r="L931" s="15" t="str">
        <f>VLOOKUP(A931,sinap!$A$2:$R$9000,4,FALSE)</f>
        <v>ANGUS NEGRO</v>
      </c>
      <c r="M931" s="15" t="str">
        <f>VLOOKUP(A931,sinap!$A$2:$R$9000,5,FALSE)</f>
        <v>7 años 3 meses</v>
      </c>
      <c r="N931" s="15" t="str">
        <f>VLOOKUP(A931,sinap!$A$2:$R$9000,6,FALSE)</f>
        <v>20-09-2018</v>
      </c>
      <c r="O931" s="15" t="str">
        <f>VLOOKUP(A931,sinap!$A$2:$R$9000,7,FALSE)</f>
        <v>Vivo</v>
      </c>
      <c r="P931" s="15" t="str">
        <f>VLOOKUP(A931,sinap!$A$2:$R$9000,8,FALSE)</f>
        <v>11.2.01.0038</v>
      </c>
      <c r="Q931" s="15" t="str">
        <f>VLOOKUP(A931,sinap!$A$2:$R$9000,12,FALSE)</f>
        <v>11.1.01.0893</v>
      </c>
      <c r="R931" s="15" t="str">
        <f>VLOOKUP(A931,sinap!$A$2:$R$9000,16,FALSE)</f>
        <v>11.1.01.1241</v>
      </c>
      <c r="S931" s="15" t="str">
        <f>VLOOKUP(A931,sinap!$A$2:$Y$9000,20,FALSE)</f>
        <v>SI</v>
      </c>
    </row>
    <row r="932" spans="1:19" hidden="1" x14ac:dyDescent="0.25">
      <c r="A932" s="15">
        <v>18943028</v>
      </c>
      <c r="J932" s="15" t="str">
        <f>VLOOKUP(A932,sinap!$A$2:$R$9000,2,FALSE)</f>
        <v>H</v>
      </c>
      <c r="K932" s="15" t="str">
        <f>VLOOKUP(A932,sinap!$A$2:$R$9000,3,FALSE)</f>
        <v>VACA</v>
      </c>
      <c r="L932" s="15" t="str">
        <f>VLOOKUP(A932,sinap!$A$2:$R$9000,4,FALSE)</f>
        <v>ANGUS NEGRO</v>
      </c>
      <c r="M932" s="15" t="str">
        <f>VLOOKUP(A932,sinap!$A$2:$R$9000,5,FALSE)</f>
        <v>10 años 3 meses</v>
      </c>
      <c r="N932" s="15" t="str">
        <f>VLOOKUP(A932,sinap!$A$2:$R$9000,6,FALSE)</f>
        <v>10-10-2015</v>
      </c>
      <c r="O932" s="15" t="str">
        <f>VLOOKUP(A932,sinap!$A$2:$R$9000,7,FALSE)</f>
        <v>Vivo</v>
      </c>
      <c r="P932" s="15" t="str">
        <f>VLOOKUP(A932,sinap!$A$2:$R$9000,8,FALSE)</f>
        <v>11.2.01.0038</v>
      </c>
      <c r="Q932" s="15" t="str">
        <f>VLOOKUP(A932,sinap!$A$2:$R$9000,12,FALSE)</f>
        <v>11.1.01.0893</v>
      </c>
      <c r="R932" s="15" t="str">
        <f>VLOOKUP(A932,sinap!$A$2:$R$9000,16,FALSE)</f>
        <v>11.1.01.1081</v>
      </c>
      <c r="S932" s="15" t="str">
        <f>VLOOKUP(A932,sinap!$A$2:$Y$9000,20,FALSE)</f>
        <v>SI</v>
      </c>
    </row>
    <row r="933" spans="1:19" hidden="1" x14ac:dyDescent="0.25">
      <c r="A933" s="15">
        <v>18943029</v>
      </c>
      <c r="H933" s="16">
        <v>45297</v>
      </c>
      <c r="J933" s="15" t="str">
        <f>VLOOKUP(A933,sinap!$A$2:$R$9000,2,FALSE)</f>
        <v>H</v>
      </c>
      <c r="K933" s="15" t="str">
        <f>VLOOKUP(A933,sinap!$A$2:$R$9000,3,FALSE)</f>
        <v>VACA</v>
      </c>
      <c r="L933" s="15" t="str">
        <f>VLOOKUP(A933,sinap!$A$2:$R$9000,4,FALSE)</f>
        <v>ANGUS NEGRO</v>
      </c>
      <c r="M933" s="15" t="str">
        <f>VLOOKUP(A933,sinap!$A$2:$R$9000,5,FALSE)</f>
        <v>10 años 2 meses</v>
      </c>
      <c r="N933" s="15" t="str">
        <f>VLOOKUP(A933,sinap!$A$2:$R$9000,6,FALSE)</f>
        <v>30-10-2015</v>
      </c>
      <c r="O933" s="15" t="str">
        <f>VLOOKUP(A933,sinap!$A$2:$R$9000,7,FALSE)</f>
        <v>Vivo</v>
      </c>
      <c r="P933" s="15" t="str">
        <f>VLOOKUP(A933,sinap!$A$2:$R$9000,8,FALSE)</f>
        <v>11.2.01.0038</v>
      </c>
      <c r="Q933" s="15" t="str">
        <f>VLOOKUP(A933,sinap!$A$2:$R$9000,12,FALSE)</f>
        <v>11.1.01.0893</v>
      </c>
      <c r="R933" s="15" t="str">
        <f>VLOOKUP(A933,sinap!$A$2:$R$9000,16,FALSE)</f>
        <v>11.1.01.1241</v>
      </c>
      <c r="S933" s="15" t="str">
        <f>VLOOKUP(A933,sinap!$A$2:$Y$9000,20,FALSE)</f>
        <v>SI</v>
      </c>
    </row>
    <row r="934" spans="1:19" hidden="1" x14ac:dyDescent="0.25">
      <c r="A934" s="15">
        <v>18943032</v>
      </c>
      <c r="H934" s="16">
        <v>45648</v>
      </c>
      <c r="I934" s="16">
        <v>45966</v>
      </c>
      <c r="J934" s="15" t="str">
        <f>VLOOKUP(A934,sinap!$A$2:$R$9000,2,FALSE)</f>
        <v>H</v>
      </c>
      <c r="K934" s="15" t="str">
        <f>VLOOKUP(A934,sinap!$A$2:$R$9000,3,FALSE)</f>
        <v>VACA</v>
      </c>
      <c r="L934" s="15" t="str">
        <f>VLOOKUP(A934,sinap!$A$2:$R$9000,4,FALSE)</f>
        <v>ANGUS NEGRO</v>
      </c>
      <c r="M934" s="15" t="str">
        <f>VLOOKUP(A934,sinap!$A$2:$R$9000,5,FALSE)</f>
        <v>9 años 3 meses</v>
      </c>
      <c r="N934" s="15" t="str">
        <f>VLOOKUP(A934,sinap!$A$2:$R$9000,6,FALSE)</f>
        <v>15-10-2016</v>
      </c>
      <c r="O934" s="15" t="str">
        <f>VLOOKUP(A934,sinap!$A$2:$R$9000,7,FALSE)</f>
        <v>Vivo</v>
      </c>
      <c r="P934" s="15" t="str">
        <f>VLOOKUP(A934,sinap!$A$2:$R$9000,8,FALSE)</f>
        <v>11.1.01.2442</v>
      </c>
      <c r="Q934" s="15" t="str">
        <f>VLOOKUP(A934,sinap!$A$2:$R$9000,12,FALSE)</f>
        <v>11.1.01.0190</v>
      </c>
      <c r="R934" s="15" t="str">
        <f>VLOOKUP(A934,sinap!$A$2:$R$9000,16,FALSE)</f>
        <v>11.1.01.0893</v>
      </c>
      <c r="S934" s="15" t="str">
        <f>VLOOKUP(A934,sinap!$A$2:$Y$9000,20,FALSE)</f>
        <v>SI</v>
      </c>
    </row>
    <row r="935" spans="1:19" hidden="1" x14ac:dyDescent="0.25">
      <c r="A935" s="15">
        <v>18943040</v>
      </c>
      <c r="H935" s="16">
        <v>45648</v>
      </c>
      <c r="I935" s="16">
        <v>45966</v>
      </c>
      <c r="J935" s="15" t="str">
        <f>VLOOKUP(A935,sinap!$A$2:$R$9000,2,FALSE)</f>
        <v>H</v>
      </c>
      <c r="K935" s="15" t="str">
        <f>VLOOKUP(A935,sinap!$A$2:$R$9000,3,FALSE)</f>
        <v>VACA</v>
      </c>
      <c r="L935" s="15" t="str">
        <f>VLOOKUP(A935,sinap!$A$2:$R$9000,4,FALSE)</f>
        <v>ANGUS NEGRO</v>
      </c>
      <c r="M935" s="15" t="str">
        <f>VLOOKUP(A935,sinap!$A$2:$R$9000,5,FALSE)</f>
        <v>5 años 3 meses</v>
      </c>
      <c r="N935" s="15" t="str">
        <f>VLOOKUP(A935,sinap!$A$2:$R$9000,6,FALSE)</f>
        <v>10-10-2020</v>
      </c>
      <c r="O935" s="15" t="str">
        <f>VLOOKUP(A935,sinap!$A$2:$R$9000,7,FALSE)</f>
        <v>Vivo</v>
      </c>
      <c r="P935" s="15" t="str">
        <f>VLOOKUP(A935,sinap!$A$2:$R$9000,8,FALSE)</f>
        <v>11.1.01.2442</v>
      </c>
      <c r="Q935" s="15" t="str">
        <f>VLOOKUP(A935,sinap!$A$2:$R$9000,12,FALSE)</f>
        <v>11.1.01.0190</v>
      </c>
      <c r="R935" s="15" t="str">
        <f>VLOOKUP(A935,sinap!$A$2:$R$9000,16,FALSE)</f>
        <v>11.1.01.0893</v>
      </c>
      <c r="S935" s="15" t="str">
        <f>VLOOKUP(A935,sinap!$A$2:$Y$9000,20,FALSE)</f>
        <v>SI</v>
      </c>
    </row>
    <row r="936" spans="1:19" hidden="1" x14ac:dyDescent="0.25">
      <c r="A936" s="15">
        <v>18943046</v>
      </c>
      <c r="H936" s="16">
        <v>45648</v>
      </c>
      <c r="I936" s="16">
        <v>45965</v>
      </c>
      <c r="J936" s="15" t="str">
        <f>VLOOKUP(A936,sinap!$A$2:$R$9000,2,FALSE)</f>
        <v>H</v>
      </c>
      <c r="K936" s="15" t="str">
        <f>VLOOKUP(A936,sinap!$A$2:$R$9000,3,FALSE)</f>
        <v>VACA</v>
      </c>
      <c r="L936" s="15" t="str">
        <f>VLOOKUP(A936,sinap!$A$2:$R$9000,4,FALSE)</f>
        <v>ANGUS NEGRO</v>
      </c>
      <c r="M936" s="15" t="str">
        <f>VLOOKUP(A936,sinap!$A$2:$R$9000,5,FALSE)</f>
        <v>5 años 3 meses</v>
      </c>
      <c r="N936" s="15" t="str">
        <f>VLOOKUP(A936,sinap!$A$2:$R$9000,6,FALSE)</f>
        <v>30-09-2020</v>
      </c>
      <c r="O936" s="15" t="str">
        <f>VLOOKUP(A936,sinap!$A$2:$R$9000,7,FALSE)</f>
        <v>Vivo</v>
      </c>
      <c r="P936" s="15" t="str">
        <f>VLOOKUP(A936,sinap!$A$2:$R$9000,8,FALSE)</f>
        <v>11.1.01.1241</v>
      </c>
      <c r="Q936" s="15" t="str">
        <f>VLOOKUP(A936,sinap!$A$2:$R$9000,12,FALSE)</f>
        <v>11.2.01.0038</v>
      </c>
      <c r="R936" s="15" t="str">
        <f>VLOOKUP(A936,sinap!$A$2:$R$9000,16,FALSE)</f>
        <v>11.1.01.0893</v>
      </c>
      <c r="S936" s="15" t="str">
        <f>VLOOKUP(A936,sinap!$A$2:$Y$9000,20,FALSE)</f>
        <v>SI</v>
      </c>
    </row>
    <row r="937" spans="1:19" hidden="1" x14ac:dyDescent="0.25">
      <c r="A937" s="15">
        <v>18943047</v>
      </c>
      <c r="H937" s="16">
        <v>45648</v>
      </c>
      <c r="I937" s="16">
        <v>45671</v>
      </c>
      <c r="J937" s="15" t="str">
        <f>VLOOKUP(A937,sinap!$A$2:$R$9000,2,FALSE)</f>
        <v>H</v>
      </c>
      <c r="K937" s="15" t="str">
        <f>VLOOKUP(A937,sinap!$A$2:$R$9000,3,FALSE)</f>
        <v>VACA</v>
      </c>
      <c r="L937" s="15" t="str">
        <f>VLOOKUP(A937,sinap!$A$2:$R$9000,4,FALSE)</f>
        <v>ANGUS NEGRO</v>
      </c>
      <c r="M937" s="15" t="str">
        <f>VLOOKUP(A937,sinap!$A$2:$R$9000,5,FALSE)</f>
        <v>5 años 3 meses</v>
      </c>
      <c r="N937" s="15" t="str">
        <f>VLOOKUP(A937,sinap!$A$2:$R$9000,6,FALSE)</f>
        <v>30-09-2020</v>
      </c>
      <c r="O937" s="15" t="str">
        <f>VLOOKUP(A937,sinap!$A$2:$R$9000,7,FALSE)</f>
        <v>Vivo</v>
      </c>
      <c r="P937" s="15" t="str">
        <f>VLOOKUP(A937,sinap!$A$2:$R$9000,8,FALSE)</f>
        <v>11.1.01.1241</v>
      </c>
      <c r="Q937" s="15" t="str">
        <f>VLOOKUP(A937,sinap!$A$2:$R$9000,12,FALSE)</f>
        <v>11.1.01.1022</v>
      </c>
      <c r="R937" s="15" t="str">
        <f>VLOOKUP(A937,sinap!$A$2:$R$9000,16,FALSE)</f>
        <v>11.1.01.0893</v>
      </c>
      <c r="S937" s="15" t="str">
        <f>VLOOKUP(A937,sinap!$A$2:$Y$9000,20,FALSE)</f>
        <v>SI</v>
      </c>
    </row>
    <row r="938" spans="1:19" hidden="1" x14ac:dyDescent="0.25">
      <c r="A938" s="15">
        <v>18943058</v>
      </c>
      <c r="H938" s="16">
        <v>45648</v>
      </c>
      <c r="I938" s="16">
        <v>45671</v>
      </c>
      <c r="J938" s="15" t="str">
        <f>VLOOKUP(A938,sinap!$A$2:$R$9000,2,FALSE)</f>
        <v>H</v>
      </c>
      <c r="K938" s="15" t="str">
        <f>VLOOKUP(A938,sinap!$A$2:$R$9000,3,FALSE)</f>
        <v>VACA</v>
      </c>
      <c r="L938" s="15" t="str">
        <f>VLOOKUP(A938,sinap!$A$2:$R$9000,4,FALSE)</f>
        <v>ANGUS NEGRO</v>
      </c>
      <c r="M938" s="15" t="str">
        <f>VLOOKUP(A938,sinap!$A$2:$R$9000,5,FALSE)</f>
        <v>5 años 3 meses</v>
      </c>
      <c r="N938" s="15" t="str">
        <f>VLOOKUP(A938,sinap!$A$2:$R$9000,6,FALSE)</f>
        <v>10-10-2020</v>
      </c>
      <c r="O938" s="15" t="str">
        <f>VLOOKUP(A938,sinap!$A$2:$R$9000,7,FALSE)</f>
        <v>Vivo</v>
      </c>
      <c r="P938" s="15" t="str">
        <f>VLOOKUP(A938,sinap!$A$2:$R$9000,8,FALSE)</f>
        <v>11.1.01.0941</v>
      </c>
      <c r="Q938" s="15" t="str">
        <f>VLOOKUP(A938,sinap!$A$2:$R$9000,12,FALSE)</f>
        <v>11.1.01.1241</v>
      </c>
      <c r="R938" s="15" t="str">
        <f>VLOOKUP(A938,sinap!$A$2:$R$9000,16,FALSE)</f>
        <v>11.1.01.0893</v>
      </c>
      <c r="S938" s="15" t="str">
        <f>VLOOKUP(A938,sinap!$A$2:$Y$9000,20,FALSE)</f>
        <v>SI</v>
      </c>
    </row>
    <row r="939" spans="1:19" hidden="1" x14ac:dyDescent="0.25">
      <c r="A939" s="15">
        <v>18943063</v>
      </c>
      <c r="H939" s="16">
        <v>45648</v>
      </c>
      <c r="I939" s="16">
        <v>45671</v>
      </c>
      <c r="J939" s="15" t="str">
        <f>VLOOKUP(A939,sinap!$A$2:$R$9000,2,FALSE)</f>
        <v>H</v>
      </c>
      <c r="K939" s="15" t="str">
        <f>VLOOKUP(A939,sinap!$A$2:$R$9000,3,FALSE)</f>
        <v>VACA</v>
      </c>
      <c r="L939" s="15" t="str">
        <f>VLOOKUP(A939,sinap!$A$2:$R$9000,4,FALSE)</f>
        <v>ANGUS NEGRO</v>
      </c>
      <c r="M939" s="15" t="str">
        <f>VLOOKUP(A939,sinap!$A$2:$R$9000,5,FALSE)</f>
        <v>5 años 3 meses</v>
      </c>
      <c r="N939" s="15" t="str">
        <f>VLOOKUP(A939,sinap!$A$2:$R$9000,6,FALSE)</f>
        <v>30-09-2020</v>
      </c>
      <c r="O939" s="15" t="str">
        <f>VLOOKUP(A939,sinap!$A$2:$R$9000,7,FALSE)</f>
        <v>Vivo</v>
      </c>
      <c r="P939" s="15" t="str">
        <f>VLOOKUP(A939,sinap!$A$2:$R$9000,8,FALSE)</f>
        <v>11.1.01.1241</v>
      </c>
      <c r="Q939" s="15" t="str">
        <f>VLOOKUP(A939,sinap!$A$2:$R$9000,12,FALSE)</f>
        <v>11.1.01.1022</v>
      </c>
      <c r="R939" s="15" t="str">
        <f>VLOOKUP(A939,sinap!$A$2:$R$9000,16,FALSE)</f>
        <v>11.1.01.0893</v>
      </c>
      <c r="S939" s="15" t="str">
        <f>VLOOKUP(A939,sinap!$A$2:$Y$9000,20,FALSE)</f>
        <v>SI</v>
      </c>
    </row>
    <row r="940" spans="1:19" hidden="1" x14ac:dyDescent="0.25">
      <c r="A940" s="15">
        <v>18943067</v>
      </c>
      <c r="H940" s="16">
        <v>45648</v>
      </c>
      <c r="I940" s="16">
        <v>45966</v>
      </c>
      <c r="J940" s="15" t="str">
        <f>VLOOKUP(A940,sinap!$A$2:$R$9000,2,FALSE)</f>
        <v>H</v>
      </c>
      <c r="K940" s="15" t="str">
        <f>VLOOKUP(A940,sinap!$A$2:$R$9000,3,FALSE)</f>
        <v>VACA</v>
      </c>
      <c r="L940" s="15" t="str">
        <f>VLOOKUP(A940,sinap!$A$2:$R$9000,4,FALSE)</f>
        <v>ANGUS NEGRO</v>
      </c>
      <c r="M940" s="15" t="str">
        <f>VLOOKUP(A940,sinap!$A$2:$R$9000,5,FALSE)</f>
        <v>5 años 4 meses</v>
      </c>
      <c r="N940" s="15" t="str">
        <f>VLOOKUP(A940,sinap!$A$2:$R$9000,6,FALSE)</f>
        <v>11-09-2020</v>
      </c>
      <c r="O940" s="15" t="str">
        <f>VLOOKUP(A940,sinap!$A$2:$R$9000,7,FALSE)</f>
        <v>Vivo</v>
      </c>
      <c r="P940" s="15" t="str">
        <f>VLOOKUP(A940,sinap!$A$2:$R$9000,8,FALSE)</f>
        <v>11.1.01.2442</v>
      </c>
      <c r="Q940" s="15" t="str">
        <f>VLOOKUP(A940,sinap!$A$2:$R$9000,12,FALSE)</f>
        <v>11.1.01.0190</v>
      </c>
      <c r="R940" s="15" t="str">
        <f>VLOOKUP(A940,sinap!$A$2:$R$9000,16,FALSE)</f>
        <v>11.1.01.0893</v>
      </c>
      <c r="S940" s="15" t="str">
        <f>VLOOKUP(A940,sinap!$A$2:$Y$9000,20,FALSE)</f>
        <v>SI</v>
      </c>
    </row>
    <row r="941" spans="1:19" hidden="1" x14ac:dyDescent="0.25">
      <c r="A941" s="15">
        <v>18943069</v>
      </c>
      <c r="J941" s="15" t="str">
        <f>VLOOKUP(A941,sinap!$A$2:$R$9000,2,FALSE)</f>
        <v>H</v>
      </c>
      <c r="K941" s="15" t="str">
        <f>VLOOKUP(A941,sinap!$A$2:$R$9000,3,FALSE)</f>
        <v>VACA</v>
      </c>
      <c r="L941" s="15" t="str">
        <f>VLOOKUP(A941,sinap!$A$2:$R$9000,4,FALSE)</f>
        <v>ANGUS NEGRO</v>
      </c>
      <c r="M941" s="15" t="str">
        <f>VLOOKUP(A941,sinap!$A$2:$R$9000,5,FALSE)</f>
        <v>5 años 4 meses</v>
      </c>
      <c r="N941" s="15" t="str">
        <f>VLOOKUP(A941,sinap!$A$2:$R$9000,6,FALSE)</f>
        <v>11-09-2020</v>
      </c>
      <c r="O941" s="15" t="str">
        <f>VLOOKUP(A941,sinap!$A$2:$R$9000,7,FALSE)</f>
        <v>Vivo</v>
      </c>
      <c r="P941" s="15" t="str">
        <f>VLOOKUP(A941,sinap!$A$2:$R$9000,8,FALSE)</f>
        <v>11.1.01.1241</v>
      </c>
      <c r="Q941" s="15" t="str">
        <f>VLOOKUP(A941,sinap!$A$2:$R$9000,12,FALSE)</f>
        <v>11.1.01.1022</v>
      </c>
      <c r="R941" s="15" t="str">
        <f>VLOOKUP(A941,sinap!$A$2:$R$9000,16,FALSE)</f>
        <v>11.1.01.0893</v>
      </c>
      <c r="S941" s="15" t="str">
        <f>VLOOKUP(A941,sinap!$A$2:$Y$9000,20,FALSE)</f>
        <v>SI</v>
      </c>
    </row>
    <row r="942" spans="1:19" hidden="1" x14ac:dyDescent="0.25">
      <c r="A942" s="15">
        <v>18943078</v>
      </c>
      <c r="H942" s="16">
        <v>45648</v>
      </c>
      <c r="I942" s="16">
        <v>45671</v>
      </c>
      <c r="J942" s="15" t="str">
        <f>VLOOKUP(A942,sinap!$A$2:$R$9000,2,FALSE)</f>
        <v>H</v>
      </c>
      <c r="K942" s="15" t="str">
        <f>VLOOKUP(A942,sinap!$A$2:$R$9000,3,FALSE)</f>
        <v>VACA</v>
      </c>
      <c r="L942" s="15" t="str">
        <f>VLOOKUP(A942,sinap!$A$2:$R$9000,4,FALSE)</f>
        <v>ANGUS NEGRO</v>
      </c>
      <c r="M942" s="15" t="str">
        <f>VLOOKUP(A942,sinap!$A$2:$R$9000,5,FALSE)</f>
        <v>5 años 3 meses</v>
      </c>
      <c r="N942" s="15" t="str">
        <f>VLOOKUP(A942,sinap!$A$2:$R$9000,6,FALSE)</f>
        <v>30-09-2020</v>
      </c>
      <c r="O942" s="15" t="str">
        <f>VLOOKUP(A942,sinap!$A$2:$R$9000,7,FALSE)</f>
        <v>Vivo</v>
      </c>
      <c r="P942" s="15" t="str">
        <f>VLOOKUP(A942,sinap!$A$2:$R$9000,8,FALSE)</f>
        <v>11.1.01.1241</v>
      </c>
      <c r="Q942" s="15" t="str">
        <f>VLOOKUP(A942,sinap!$A$2:$R$9000,12,FALSE)</f>
        <v>11.1.01.1022</v>
      </c>
      <c r="R942" s="15" t="str">
        <f>VLOOKUP(A942,sinap!$A$2:$R$9000,16,FALSE)</f>
        <v>11.1.01.0893</v>
      </c>
      <c r="S942" s="15" t="str">
        <f>VLOOKUP(A942,sinap!$A$2:$Y$9000,20,FALSE)</f>
        <v>SI</v>
      </c>
    </row>
    <row r="943" spans="1:19" hidden="1" x14ac:dyDescent="0.25">
      <c r="A943" s="15">
        <v>18943082</v>
      </c>
      <c r="H943" s="16">
        <v>45648</v>
      </c>
      <c r="I943" s="16">
        <v>45966</v>
      </c>
      <c r="J943" s="15" t="str">
        <f>VLOOKUP(A943,sinap!$A$2:$R$9000,2,FALSE)</f>
        <v>H</v>
      </c>
      <c r="K943" s="15" t="str">
        <f>VLOOKUP(A943,sinap!$A$2:$R$9000,3,FALSE)</f>
        <v>VACA</v>
      </c>
      <c r="L943" s="15" t="str">
        <f>VLOOKUP(A943,sinap!$A$2:$R$9000,4,FALSE)</f>
        <v>ANGUS NEGRO</v>
      </c>
      <c r="M943" s="15" t="str">
        <f>VLOOKUP(A943,sinap!$A$2:$R$9000,5,FALSE)</f>
        <v>5 años 3 meses</v>
      </c>
      <c r="N943" s="15" t="str">
        <f>VLOOKUP(A943,sinap!$A$2:$R$9000,6,FALSE)</f>
        <v>30-09-2020</v>
      </c>
      <c r="O943" s="15" t="str">
        <f>VLOOKUP(A943,sinap!$A$2:$R$9000,7,FALSE)</f>
        <v>Vivo</v>
      </c>
      <c r="P943" s="15" t="str">
        <f>VLOOKUP(A943,sinap!$A$2:$R$9000,8,FALSE)</f>
        <v>11.1.01.2442</v>
      </c>
      <c r="Q943" s="15" t="str">
        <f>VLOOKUP(A943,sinap!$A$2:$R$9000,12,FALSE)</f>
        <v>11.1.01.0190</v>
      </c>
      <c r="R943" s="15" t="str">
        <f>VLOOKUP(A943,sinap!$A$2:$R$9000,16,FALSE)</f>
        <v>11.1.01.0893</v>
      </c>
      <c r="S943" s="15" t="str">
        <f>VLOOKUP(A943,sinap!$A$2:$Y$9000,20,FALSE)</f>
        <v>SI</v>
      </c>
    </row>
    <row r="944" spans="1:19" hidden="1" x14ac:dyDescent="0.25">
      <c r="A944" s="15">
        <v>18943083</v>
      </c>
      <c r="J944" s="15" t="str">
        <f>VLOOKUP(A944,sinap!$A$2:$R$9000,2,FALSE)</f>
        <v>H</v>
      </c>
      <c r="K944" s="15" t="str">
        <f>VLOOKUP(A944,sinap!$A$2:$R$9000,3,FALSE)</f>
        <v>VACA</v>
      </c>
      <c r="L944" s="15" t="str">
        <f>VLOOKUP(A944,sinap!$A$2:$R$9000,4,FALSE)</f>
        <v>ANGUS NEGRO</v>
      </c>
      <c r="M944" s="15" t="str">
        <f>VLOOKUP(A944,sinap!$A$2:$R$9000,5,FALSE)</f>
        <v>5 años 3 meses</v>
      </c>
      <c r="N944" s="15" t="str">
        <f>VLOOKUP(A944,sinap!$A$2:$R$9000,6,FALSE)</f>
        <v>10-10-2020</v>
      </c>
      <c r="O944" s="15" t="str">
        <f>VLOOKUP(A944,sinap!$A$2:$R$9000,7,FALSE)</f>
        <v>Vivo</v>
      </c>
      <c r="P944" s="15" t="str">
        <f>VLOOKUP(A944,sinap!$A$2:$R$9000,8,FALSE)</f>
        <v>11.1.01.2304</v>
      </c>
      <c r="Q944" s="15" t="str">
        <f>VLOOKUP(A944,sinap!$A$2:$R$9000,12,FALSE)</f>
        <v>11.2.01.0053</v>
      </c>
      <c r="R944" s="15" t="str">
        <f>VLOOKUP(A944,sinap!$A$2:$R$9000,16,FALSE)</f>
        <v>11.1.01.0893</v>
      </c>
      <c r="S944" s="15" t="str">
        <f>VLOOKUP(A944,sinap!$A$2:$Y$9000,20,FALSE)</f>
        <v>SI</v>
      </c>
    </row>
    <row r="945" spans="1:19" hidden="1" x14ac:dyDescent="0.25">
      <c r="A945" s="15">
        <v>18943086</v>
      </c>
      <c r="H945" s="16">
        <v>45648</v>
      </c>
      <c r="I945" s="16">
        <v>45671</v>
      </c>
      <c r="J945" s="15" t="str">
        <f>VLOOKUP(A945,sinap!$A$2:$R$9000,2,FALSE)</f>
        <v>H</v>
      </c>
      <c r="K945" s="15" t="str">
        <f>VLOOKUP(A945,sinap!$A$2:$R$9000,3,FALSE)</f>
        <v>VACA</v>
      </c>
      <c r="L945" s="15" t="str">
        <f>VLOOKUP(A945,sinap!$A$2:$R$9000,4,FALSE)</f>
        <v>ANGUS NEGRO</v>
      </c>
      <c r="M945" s="15" t="str">
        <f>VLOOKUP(A945,sinap!$A$2:$R$9000,5,FALSE)</f>
        <v>5 años 3 meses</v>
      </c>
      <c r="N945" s="15" t="str">
        <f>VLOOKUP(A945,sinap!$A$2:$R$9000,6,FALSE)</f>
        <v>30-09-2020</v>
      </c>
      <c r="O945" s="15" t="str">
        <f>VLOOKUP(A945,sinap!$A$2:$R$9000,7,FALSE)</f>
        <v>Vivo</v>
      </c>
      <c r="P945" s="15" t="str">
        <f>VLOOKUP(A945,sinap!$A$2:$R$9000,8,FALSE)</f>
        <v>11.1.01.0941</v>
      </c>
      <c r="Q945" s="15" t="str">
        <f>VLOOKUP(A945,sinap!$A$2:$R$9000,12,FALSE)</f>
        <v>11.1.01.1241</v>
      </c>
      <c r="R945" s="15" t="str">
        <f>VLOOKUP(A945,sinap!$A$2:$R$9000,16,FALSE)</f>
        <v>11.1.01.0893</v>
      </c>
      <c r="S945" s="15" t="str">
        <f>VLOOKUP(A945,sinap!$A$2:$Y$9000,20,FALSE)</f>
        <v>SI</v>
      </c>
    </row>
    <row r="946" spans="1:19" hidden="1" x14ac:dyDescent="0.25">
      <c r="A946" s="15">
        <v>18943088</v>
      </c>
      <c r="J946" s="15" t="str">
        <f>VLOOKUP(A946,sinap!$A$2:$R$9000,2,FALSE)</f>
        <v>H</v>
      </c>
      <c r="K946" s="15" t="str">
        <f>VLOOKUP(A946,sinap!$A$2:$R$9000,3,FALSE)</f>
        <v>VACA</v>
      </c>
      <c r="L946" s="15" t="str">
        <f>VLOOKUP(A946,sinap!$A$2:$R$9000,4,FALSE)</f>
        <v>HEREFORD</v>
      </c>
      <c r="M946" s="15" t="str">
        <f>VLOOKUP(A946,sinap!$A$2:$R$9000,5,FALSE)</f>
        <v>5 años 3 meses</v>
      </c>
      <c r="N946" s="15" t="str">
        <f>VLOOKUP(A946,sinap!$A$2:$R$9000,6,FALSE)</f>
        <v>30-09-2020</v>
      </c>
      <c r="O946" s="15" t="str">
        <f>VLOOKUP(A946,sinap!$A$2:$R$9000,7,FALSE)</f>
        <v>Vivo</v>
      </c>
      <c r="P946" s="15" t="str">
        <f>VLOOKUP(A946,sinap!$A$2:$R$9000,8,FALSE)</f>
        <v>11.1.01.0893</v>
      </c>
      <c r="Q946" s="15" t="str">
        <f>VLOOKUP(A946,sinap!$A$2:$R$9000,12,FALSE)</f>
        <v>Sin Movimiento</v>
      </c>
      <c r="R946" s="15" t="str">
        <f>VLOOKUP(A946,sinap!$A$2:$R$9000,16,FALSE)</f>
        <v>11.1.01.0893</v>
      </c>
      <c r="S946" s="15" t="str">
        <f>VLOOKUP(A946,sinap!$A$2:$Y$9000,20,FALSE)</f>
        <v>SI</v>
      </c>
    </row>
    <row r="947" spans="1:19" hidden="1" x14ac:dyDescent="0.25">
      <c r="A947" s="15">
        <v>18943091</v>
      </c>
      <c r="H947" s="16">
        <v>45648</v>
      </c>
      <c r="I947" s="16">
        <v>45966</v>
      </c>
      <c r="J947" s="15" t="str">
        <f>VLOOKUP(A947,sinap!$A$2:$R$9000,2,FALSE)</f>
        <v>H</v>
      </c>
      <c r="K947" s="15" t="str">
        <f>VLOOKUP(A947,sinap!$A$2:$R$9000,3,FALSE)</f>
        <v>VACA</v>
      </c>
      <c r="L947" s="15" t="str">
        <f>VLOOKUP(A947,sinap!$A$2:$R$9000,4,FALSE)</f>
        <v>ANGUS NEGRO</v>
      </c>
      <c r="M947" s="15" t="str">
        <f>VLOOKUP(A947,sinap!$A$2:$R$9000,5,FALSE)</f>
        <v>5 años 2 meses</v>
      </c>
      <c r="N947" s="15" t="str">
        <f>VLOOKUP(A947,sinap!$A$2:$R$9000,6,FALSE)</f>
        <v>18-10-2020</v>
      </c>
      <c r="O947" s="15" t="str">
        <f>VLOOKUP(A947,sinap!$A$2:$R$9000,7,FALSE)</f>
        <v>Vivo</v>
      </c>
      <c r="P947" s="15" t="str">
        <f>VLOOKUP(A947,sinap!$A$2:$R$9000,8,FALSE)</f>
        <v>11.1.01.2442</v>
      </c>
      <c r="Q947" s="15" t="str">
        <f>VLOOKUP(A947,sinap!$A$2:$R$9000,12,FALSE)</f>
        <v>11.1.01.0190</v>
      </c>
      <c r="R947" s="15" t="str">
        <f>VLOOKUP(A947,sinap!$A$2:$R$9000,16,FALSE)</f>
        <v>11.1.01.0893</v>
      </c>
      <c r="S947" s="15" t="str">
        <f>VLOOKUP(A947,sinap!$A$2:$Y$9000,20,FALSE)</f>
        <v>SI</v>
      </c>
    </row>
    <row r="948" spans="1:19" hidden="1" x14ac:dyDescent="0.25">
      <c r="A948" s="15">
        <v>18943093</v>
      </c>
      <c r="H948" s="16">
        <v>45648</v>
      </c>
      <c r="I948" s="16">
        <v>45671</v>
      </c>
      <c r="J948" s="15" t="str">
        <f>VLOOKUP(A948,sinap!$A$2:$R$9000,2,FALSE)</f>
        <v>H</v>
      </c>
      <c r="K948" s="15" t="str">
        <f>VLOOKUP(A948,sinap!$A$2:$R$9000,3,FALSE)</f>
        <v>VACA</v>
      </c>
      <c r="L948" s="15" t="str">
        <f>VLOOKUP(A948,sinap!$A$2:$R$9000,4,FALSE)</f>
        <v>ANGUS NEGRO</v>
      </c>
      <c r="M948" s="15" t="str">
        <f>VLOOKUP(A948,sinap!$A$2:$R$9000,5,FALSE)</f>
        <v>14 años 7 meses</v>
      </c>
      <c r="N948" s="15" t="str">
        <f>VLOOKUP(A948,sinap!$A$2:$R$9000,6,FALSE)</f>
        <v>20-05-2011</v>
      </c>
      <c r="O948" s="15" t="str">
        <f>VLOOKUP(A948,sinap!$A$2:$R$9000,7,FALSE)</f>
        <v>Vivo</v>
      </c>
      <c r="P948" s="15" t="str">
        <f>VLOOKUP(A948,sinap!$A$2:$R$9000,8,FALSE)</f>
        <v>11.1.01.0941</v>
      </c>
      <c r="Q948" s="15" t="str">
        <f>VLOOKUP(A948,sinap!$A$2:$R$9000,12,FALSE)</f>
        <v>11.1.01.1241</v>
      </c>
      <c r="R948" s="15" t="str">
        <f>VLOOKUP(A948,sinap!$A$2:$R$9000,16,FALSE)</f>
        <v>11.1.01.1241</v>
      </c>
      <c r="S948" s="15" t="str">
        <f>VLOOKUP(A948,sinap!$A$2:$Y$9000,20,FALSE)</f>
        <v>SI</v>
      </c>
    </row>
    <row r="949" spans="1:19" hidden="1" x14ac:dyDescent="0.25">
      <c r="A949" s="15">
        <v>18943094</v>
      </c>
      <c r="J949" s="15" t="str">
        <f>VLOOKUP(A949,sinap!$A$2:$R$9000,2,FALSE)</f>
        <v>H</v>
      </c>
      <c r="K949" s="15" t="str">
        <f>VLOOKUP(A949,sinap!$A$2:$R$9000,3,FALSE)</f>
        <v>VACA</v>
      </c>
      <c r="L949" s="15" t="str">
        <f>VLOOKUP(A949,sinap!$A$2:$R$9000,4,FALSE)</f>
        <v>ANGUS NEGRO</v>
      </c>
      <c r="M949" s="15" t="str">
        <f>VLOOKUP(A949,sinap!$A$2:$R$9000,5,FALSE)</f>
        <v>12 años 3 meses</v>
      </c>
      <c r="N949" s="15" t="str">
        <f>VLOOKUP(A949,sinap!$A$2:$R$9000,6,FALSE)</f>
        <v>15-10-2013</v>
      </c>
      <c r="O949" s="15" t="str">
        <f>VLOOKUP(A949,sinap!$A$2:$R$9000,7,FALSE)</f>
        <v>Vivo</v>
      </c>
      <c r="P949" s="15" t="str">
        <f>VLOOKUP(A949,sinap!$A$2:$R$9000,8,FALSE)</f>
        <v>11.1.01.1241</v>
      </c>
      <c r="Q949" s="15" t="str">
        <f>VLOOKUP(A949,sinap!$A$2:$R$9000,12,FALSE)</f>
        <v>11.2.01.0038</v>
      </c>
      <c r="R949" s="15" t="str">
        <f>VLOOKUP(A949,sinap!$A$2:$R$9000,16,FALSE)</f>
        <v>11.1.01.1241</v>
      </c>
      <c r="S949" s="15" t="str">
        <f>VLOOKUP(A949,sinap!$A$2:$Y$9000,20,FALSE)</f>
        <v>SI</v>
      </c>
    </row>
    <row r="950" spans="1:19" hidden="1" x14ac:dyDescent="0.25">
      <c r="A950" s="15">
        <v>18943140</v>
      </c>
      <c r="J950" s="15" t="str">
        <f>VLOOKUP(A950,sinap!$A$2:$R$9000,2,FALSE)</f>
        <v>M</v>
      </c>
      <c r="K950" s="15" t="str">
        <f>VLOOKUP(A950,sinap!$A$2:$R$9000,3,FALSE)</f>
        <v>TORO</v>
      </c>
      <c r="L950" s="15" t="str">
        <f>VLOOKUP(A950,sinap!$A$2:$R$9000,4,FALSE)</f>
        <v>ANGUS ROJO</v>
      </c>
      <c r="M950" s="15" t="str">
        <f>VLOOKUP(A950,sinap!$A$2:$R$9000,5,FALSE)</f>
        <v>5 años 3 meses</v>
      </c>
      <c r="N950" s="15" t="str">
        <f>VLOOKUP(A950,sinap!$A$2:$R$9000,6,FALSE)</f>
        <v>10-10-2020</v>
      </c>
      <c r="O950" s="15" t="str">
        <f>VLOOKUP(A950,sinap!$A$2:$R$9000,7,FALSE)</f>
        <v>Vivo</v>
      </c>
      <c r="P950" s="15" t="str">
        <f>VLOOKUP(A950,sinap!$A$2:$R$9000,8,FALSE)</f>
        <v>11.1.01.1241</v>
      </c>
      <c r="Q950" s="15" t="str">
        <f>VLOOKUP(A950,sinap!$A$2:$R$9000,12,FALSE)</f>
        <v>Sin Movimiento</v>
      </c>
      <c r="R950" s="15" t="str">
        <f>VLOOKUP(A950,sinap!$A$2:$R$9000,16,FALSE)</f>
        <v>11.1.01.1241</v>
      </c>
      <c r="S950" s="15" t="str">
        <f>VLOOKUP(A950,sinap!$A$2:$Y$9000,20,FALSE)</f>
        <v>SI</v>
      </c>
    </row>
    <row r="951" spans="1:19" hidden="1" x14ac:dyDescent="0.25">
      <c r="A951" s="15">
        <v>18943171</v>
      </c>
      <c r="H951" s="16">
        <v>45648</v>
      </c>
      <c r="I951" s="16">
        <v>45966</v>
      </c>
      <c r="J951" s="15" t="str">
        <f>VLOOKUP(A951,sinap!$A$2:$R$9000,2,FALSE)</f>
        <v>H</v>
      </c>
      <c r="K951" s="15" t="str">
        <f>VLOOKUP(A951,sinap!$A$2:$R$9000,3,FALSE)</f>
        <v>VACA</v>
      </c>
      <c r="L951" s="15" t="str">
        <f>VLOOKUP(A951,sinap!$A$2:$R$9000,4,FALSE)</f>
        <v>ANGUS NEGRO</v>
      </c>
      <c r="M951" s="15" t="str">
        <f>VLOOKUP(A951,sinap!$A$2:$R$9000,5,FALSE)</f>
        <v>11 años 3 meses</v>
      </c>
      <c r="N951" s="15" t="str">
        <f>VLOOKUP(A951,sinap!$A$2:$R$9000,6,FALSE)</f>
        <v>30-09-2014</v>
      </c>
      <c r="O951" s="15" t="str">
        <f>VLOOKUP(A951,sinap!$A$2:$R$9000,7,FALSE)</f>
        <v>Vivo</v>
      </c>
      <c r="P951" s="15" t="str">
        <f>VLOOKUP(A951,sinap!$A$2:$R$9000,8,FALSE)</f>
        <v>11.1.01.2442</v>
      </c>
      <c r="Q951" s="15" t="str">
        <f>VLOOKUP(A951,sinap!$A$2:$R$9000,12,FALSE)</f>
        <v>11.1.01.0190</v>
      </c>
      <c r="R951" s="15" t="str">
        <f>VLOOKUP(A951,sinap!$A$2:$R$9000,16,FALSE)</f>
        <v>11.1.01.0790</v>
      </c>
      <c r="S951" s="15" t="str">
        <f>VLOOKUP(A951,sinap!$A$2:$Y$9000,20,FALSE)</f>
        <v>SI</v>
      </c>
    </row>
    <row r="952" spans="1:19" hidden="1" x14ac:dyDescent="0.25">
      <c r="A952" s="15">
        <v>18943174</v>
      </c>
      <c r="J952" s="15" t="str">
        <f>VLOOKUP(A952,sinap!$A$2:$R$9000,2,FALSE)</f>
        <v>H</v>
      </c>
      <c r="K952" s="15" t="str">
        <f>VLOOKUP(A952,sinap!$A$2:$R$9000,3,FALSE)</f>
        <v>VACA</v>
      </c>
      <c r="L952" s="15" t="str">
        <f>VLOOKUP(A952,sinap!$A$2:$R$9000,4,FALSE)</f>
        <v>ANGUS ROJO</v>
      </c>
      <c r="M952" s="15" t="str">
        <f>VLOOKUP(A952,sinap!$A$2:$R$9000,5,FALSE)</f>
        <v>12 años 2 meses</v>
      </c>
      <c r="N952" s="15" t="str">
        <f>VLOOKUP(A952,sinap!$A$2:$R$9000,6,FALSE)</f>
        <v>30-10-2013</v>
      </c>
      <c r="O952" s="15" t="str">
        <f>VLOOKUP(A952,sinap!$A$2:$R$9000,7,FALSE)</f>
        <v>Vivo</v>
      </c>
      <c r="P952" s="15" t="str">
        <f>VLOOKUP(A952,sinap!$A$2:$R$9000,8,FALSE)</f>
        <v>11.1.01.1241</v>
      </c>
      <c r="Q952" s="15" t="str">
        <f>VLOOKUP(A952,sinap!$A$2:$R$9000,12,FALSE)</f>
        <v>11.2.01.0038</v>
      </c>
      <c r="R952" s="15" t="str">
        <f>VLOOKUP(A952,sinap!$A$2:$R$9000,16,FALSE)</f>
        <v>11.1.01.1081</v>
      </c>
      <c r="S952" s="15" t="str">
        <f>VLOOKUP(A952,sinap!$A$2:$Y$9000,20,FALSE)</f>
        <v>SI</v>
      </c>
    </row>
    <row r="953" spans="1:19" hidden="1" x14ac:dyDescent="0.25">
      <c r="A953" s="15">
        <v>18943175</v>
      </c>
      <c r="H953" s="16">
        <v>45648</v>
      </c>
      <c r="I953" s="16">
        <v>45671</v>
      </c>
      <c r="J953" s="15" t="str">
        <f>VLOOKUP(A953,sinap!$A$2:$R$9000,2,FALSE)</f>
        <v>H</v>
      </c>
      <c r="K953" s="15" t="str">
        <f>VLOOKUP(A953,sinap!$A$2:$R$9000,3,FALSE)</f>
        <v>VACA</v>
      </c>
      <c r="L953" s="15" t="str">
        <f>VLOOKUP(A953,sinap!$A$2:$R$9000,4,FALSE)</f>
        <v>ANGUS ROJO</v>
      </c>
      <c r="M953" s="15" t="str">
        <f>VLOOKUP(A953,sinap!$A$2:$R$9000,5,FALSE)</f>
        <v>15 años 4 meses</v>
      </c>
      <c r="N953" s="15" t="str">
        <f>VLOOKUP(A953,sinap!$A$2:$R$9000,6,FALSE)</f>
        <v>30-08-2010</v>
      </c>
      <c r="O953" s="15" t="str">
        <f>VLOOKUP(A953,sinap!$A$2:$R$9000,7,FALSE)</f>
        <v>Vivo</v>
      </c>
      <c r="P953" s="15" t="str">
        <f>VLOOKUP(A953,sinap!$A$2:$R$9000,8,FALSE)</f>
        <v>11.1.01.1241</v>
      </c>
      <c r="Q953" s="15" t="str">
        <f>VLOOKUP(A953,sinap!$A$2:$R$9000,12,FALSE)</f>
        <v>11.2.01.0038</v>
      </c>
      <c r="R953" s="15" t="str">
        <f>VLOOKUP(A953,sinap!$A$2:$R$9000,16,FALSE)</f>
        <v>11.1.01.1241</v>
      </c>
      <c r="S953" s="15" t="str">
        <f>VLOOKUP(A953,sinap!$A$2:$Y$9000,20,FALSE)</f>
        <v>SI</v>
      </c>
    </row>
    <row r="954" spans="1:19" hidden="1" x14ac:dyDescent="0.25">
      <c r="A954" s="15">
        <v>18943183</v>
      </c>
      <c r="J954" s="15" t="str">
        <f>VLOOKUP(A954,sinap!$A$2:$R$9000,2,FALSE)</f>
        <v>H</v>
      </c>
      <c r="K954" s="15" t="str">
        <f>VLOOKUP(A954,sinap!$A$2:$R$9000,3,FALSE)</f>
        <v>VACA</v>
      </c>
      <c r="L954" s="15" t="str">
        <f>VLOOKUP(A954,sinap!$A$2:$R$9000,4,FALSE)</f>
        <v>ANGUS ROJO</v>
      </c>
      <c r="M954" s="15" t="str">
        <f>VLOOKUP(A954,sinap!$A$2:$R$9000,5,FALSE)</f>
        <v>5 años 3 meses</v>
      </c>
      <c r="N954" s="15" t="str">
        <f>VLOOKUP(A954,sinap!$A$2:$R$9000,6,FALSE)</f>
        <v>30-09-2020</v>
      </c>
      <c r="O954" s="15" t="str">
        <f>VLOOKUP(A954,sinap!$A$2:$R$9000,7,FALSE)</f>
        <v>Vivo</v>
      </c>
      <c r="P954" s="15" t="str">
        <f>VLOOKUP(A954,sinap!$A$2:$R$9000,8,FALSE)</f>
        <v>11.1.01.0893</v>
      </c>
      <c r="Q954" s="15" t="str">
        <f>VLOOKUP(A954,sinap!$A$2:$R$9000,12,FALSE)</f>
        <v>11.1.02.0004</v>
      </c>
      <c r="R954" s="15" t="str">
        <f>VLOOKUP(A954,sinap!$A$2:$R$9000,16,FALSE)</f>
        <v>11.1.01.1241</v>
      </c>
      <c r="S954" s="15" t="str">
        <f>VLOOKUP(A954,sinap!$A$2:$Y$9000,20,FALSE)</f>
        <v>SI</v>
      </c>
    </row>
    <row r="955" spans="1:19" hidden="1" x14ac:dyDescent="0.25">
      <c r="A955" s="15">
        <v>18943185</v>
      </c>
      <c r="J955" s="15" t="str">
        <f>VLOOKUP(A955,sinap!$A$2:$R$9000,2,FALSE)</f>
        <v>H</v>
      </c>
      <c r="K955" s="15" t="str">
        <f>VLOOKUP(A955,sinap!$A$2:$R$9000,3,FALSE)</f>
        <v>VACA</v>
      </c>
      <c r="L955" s="15" t="str">
        <f>VLOOKUP(A955,sinap!$A$2:$R$9000,4,FALSE)</f>
        <v>ANGUS NEGRO</v>
      </c>
      <c r="M955" s="15" t="str">
        <f>VLOOKUP(A955,sinap!$A$2:$R$9000,5,FALSE)</f>
        <v>5 años 3 meses</v>
      </c>
      <c r="N955" s="15" t="str">
        <f>VLOOKUP(A955,sinap!$A$2:$R$9000,6,FALSE)</f>
        <v>20-09-2020</v>
      </c>
      <c r="O955" s="15" t="str">
        <f>VLOOKUP(A955,sinap!$A$2:$R$9000,7,FALSE)</f>
        <v>Vivo</v>
      </c>
      <c r="P955" s="15" t="str">
        <f>VLOOKUP(A955,sinap!$A$2:$R$9000,8,FALSE)</f>
        <v>11.1.01.2304</v>
      </c>
      <c r="Q955" s="15" t="str">
        <f>VLOOKUP(A955,sinap!$A$2:$R$9000,12,FALSE)</f>
        <v>11.2.01.0053</v>
      </c>
      <c r="R955" s="15" t="str">
        <f>VLOOKUP(A955,sinap!$A$2:$R$9000,16,FALSE)</f>
        <v>11.1.01.1241</v>
      </c>
      <c r="S955" s="15" t="str">
        <f>VLOOKUP(A955,sinap!$A$2:$Y$9000,20,FALSE)</f>
        <v>SI</v>
      </c>
    </row>
    <row r="956" spans="1:19" hidden="1" x14ac:dyDescent="0.25">
      <c r="A956" s="15">
        <v>18943193</v>
      </c>
      <c r="J956" s="15" t="str">
        <f>VLOOKUP(A956,sinap!$A$2:$R$9000,2,FALSE)</f>
        <v>H</v>
      </c>
      <c r="K956" s="15" t="str">
        <f>VLOOKUP(A956,sinap!$A$2:$R$9000,3,FALSE)</f>
        <v>VACA</v>
      </c>
      <c r="L956" s="15" t="str">
        <f>VLOOKUP(A956,sinap!$A$2:$R$9000,4,FALSE)</f>
        <v>ANGUS NEGRO</v>
      </c>
      <c r="M956" s="15" t="str">
        <f>VLOOKUP(A956,sinap!$A$2:$R$9000,5,FALSE)</f>
        <v>5 años 2 meses</v>
      </c>
      <c r="N956" s="15" t="str">
        <f>VLOOKUP(A956,sinap!$A$2:$R$9000,6,FALSE)</f>
        <v>20-10-2020</v>
      </c>
      <c r="O956" s="15" t="str">
        <f>VLOOKUP(A956,sinap!$A$2:$R$9000,7,FALSE)</f>
        <v>Vivo</v>
      </c>
      <c r="P956" s="15" t="str">
        <f>VLOOKUP(A956,sinap!$A$2:$R$9000,8,FALSE)</f>
        <v>11.1.01.2304</v>
      </c>
      <c r="Q956" s="15" t="str">
        <f>VLOOKUP(A956,sinap!$A$2:$R$9000,12,FALSE)</f>
        <v>11.2.01.0053</v>
      </c>
      <c r="R956" s="15" t="str">
        <f>VLOOKUP(A956,sinap!$A$2:$R$9000,16,FALSE)</f>
        <v>11.1.01.1241</v>
      </c>
      <c r="S956" s="15" t="str">
        <f>VLOOKUP(A956,sinap!$A$2:$Y$9000,20,FALSE)</f>
        <v>SI</v>
      </c>
    </row>
    <row r="957" spans="1:19" hidden="1" x14ac:dyDescent="0.25">
      <c r="A957" s="15">
        <v>18943197</v>
      </c>
      <c r="H957" s="16">
        <v>45648</v>
      </c>
      <c r="I957" s="16">
        <v>45965</v>
      </c>
      <c r="J957" s="15" t="str">
        <f>VLOOKUP(A957,sinap!$A$2:$R$9000,2,FALSE)</f>
        <v>H</v>
      </c>
      <c r="K957" s="15" t="str">
        <f>VLOOKUP(A957,sinap!$A$2:$R$9000,3,FALSE)</f>
        <v>VACA</v>
      </c>
      <c r="L957" s="15" t="str">
        <f>VLOOKUP(A957,sinap!$A$2:$R$9000,4,FALSE)</f>
        <v>ANGUS NEGRO</v>
      </c>
      <c r="M957" s="15" t="str">
        <f>VLOOKUP(A957,sinap!$A$2:$R$9000,5,FALSE)</f>
        <v>5 años 2 meses</v>
      </c>
      <c r="N957" s="15" t="str">
        <f>VLOOKUP(A957,sinap!$A$2:$R$9000,6,FALSE)</f>
        <v>22-10-2020</v>
      </c>
      <c r="O957" s="15" t="str">
        <f>VLOOKUP(A957,sinap!$A$2:$R$9000,7,FALSE)</f>
        <v>Vivo</v>
      </c>
      <c r="P957" s="15" t="str">
        <f>VLOOKUP(A957,sinap!$A$2:$R$9000,8,FALSE)</f>
        <v>11.1.01.1241</v>
      </c>
      <c r="Q957" s="15" t="str">
        <f>VLOOKUP(A957,sinap!$A$2:$R$9000,12,FALSE)</f>
        <v>11.2.01.0038</v>
      </c>
      <c r="R957" s="15" t="str">
        <f>VLOOKUP(A957,sinap!$A$2:$R$9000,16,FALSE)</f>
        <v>11.1.01.1241</v>
      </c>
      <c r="S957" s="15" t="str">
        <f>VLOOKUP(A957,sinap!$A$2:$Y$9000,20,FALSE)</f>
        <v>SI</v>
      </c>
    </row>
    <row r="958" spans="1:19" hidden="1" x14ac:dyDescent="0.25">
      <c r="A958" s="15">
        <v>19050004</v>
      </c>
      <c r="J958" s="15" t="str">
        <f>VLOOKUP(A958,sinap!$A$2:$R$9000,2,FALSE)</f>
        <v>H</v>
      </c>
      <c r="K958" s="15" t="str">
        <f>VLOOKUP(A958,sinap!$A$2:$R$9000,3,FALSE)</f>
        <v>VACA</v>
      </c>
      <c r="L958" s="15" t="str">
        <f>VLOOKUP(A958,sinap!$A$2:$R$9000,4,FALSE)</f>
        <v>ANGUS NEGRO</v>
      </c>
      <c r="M958" s="15" t="str">
        <f>VLOOKUP(A958,sinap!$A$2:$R$9000,5,FALSE)</f>
        <v>5 años 2 meses</v>
      </c>
      <c r="N958" s="15" t="str">
        <f>VLOOKUP(A958,sinap!$A$2:$R$9000,6,FALSE)</f>
        <v>20-10-2020</v>
      </c>
      <c r="O958" s="15" t="str">
        <f>VLOOKUP(A958,sinap!$A$2:$R$9000,7,FALSE)</f>
        <v>Vivo</v>
      </c>
      <c r="P958" s="15" t="str">
        <f>VLOOKUP(A958,sinap!$A$2:$R$9000,8,FALSE)</f>
        <v>11.2.01.0038</v>
      </c>
      <c r="Q958" s="15" t="str">
        <f>VLOOKUP(A958,sinap!$A$2:$R$9000,12,FALSE)</f>
        <v>11.1.01.1241</v>
      </c>
      <c r="R958" s="15" t="str">
        <f>VLOOKUP(A958,sinap!$A$2:$R$9000,16,FALSE)</f>
        <v>11.1.01.1241</v>
      </c>
      <c r="S958" s="15" t="str">
        <f>VLOOKUP(A958,sinap!$A$2:$Y$9000,20,FALSE)</f>
        <v>SI</v>
      </c>
    </row>
    <row r="959" spans="1:19" hidden="1" x14ac:dyDescent="0.25">
      <c r="A959" s="15">
        <v>19050007</v>
      </c>
      <c r="J959" s="15" t="str">
        <f>VLOOKUP(A959,sinap!$A$2:$R$9000,2,FALSE)</f>
        <v>H</v>
      </c>
      <c r="K959" s="15" t="str">
        <f>VLOOKUP(A959,sinap!$A$2:$R$9000,3,FALSE)</f>
        <v>VACA</v>
      </c>
      <c r="L959" s="15" t="str">
        <f>VLOOKUP(A959,sinap!$A$2:$R$9000,4,FALSE)</f>
        <v>ANGUS NEGRO</v>
      </c>
      <c r="M959" s="15" t="str">
        <f>VLOOKUP(A959,sinap!$A$2:$R$9000,5,FALSE)</f>
        <v>5 años 2 meses</v>
      </c>
      <c r="N959" s="15" t="str">
        <f>VLOOKUP(A959,sinap!$A$2:$R$9000,6,FALSE)</f>
        <v>20-10-2020</v>
      </c>
      <c r="O959" s="15" t="str">
        <f>VLOOKUP(A959,sinap!$A$2:$R$9000,7,FALSE)</f>
        <v>Vivo</v>
      </c>
      <c r="P959" s="15" t="str">
        <f>VLOOKUP(A959,sinap!$A$2:$R$9000,8,FALSE)</f>
        <v>11.1.01.1241</v>
      </c>
      <c r="Q959" s="15" t="str">
        <f>VLOOKUP(A959,sinap!$A$2:$R$9000,12,FALSE)</f>
        <v>11.1.01.1022</v>
      </c>
      <c r="R959" s="15" t="str">
        <f>VLOOKUP(A959,sinap!$A$2:$R$9000,16,FALSE)</f>
        <v>11.1.01.1241</v>
      </c>
      <c r="S959" s="15" t="str">
        <f>VLOOKUP(A959,sinap!$A$2:$Y$9000,20,FALSE)</f>
        <v>SI</v>
      </c>
    </row>
    <row r="960" spans="1:19" hidden="1" x14ac:dyDescent="0.25">
      <c r="A960" s="15">
        <v>19050011</v>
      </c>
      <c r="H960" s="16">
        <v>45648</v>
      </c>
      <c r="I960" s="16">
        <v>45966</v>
      </c>
      <c r="J960" s="15" t="str">
        <f>VLOOKUP(A960,sinap!$A$2:$R$9000,2,FALSE)</f>
        <v>H</v>
      </c>
      <c r="K960" s="15" t="str">
        <f>VLOOKUP(A960,sinap!$A$2:$R$9000,3,FALSE)</f>
        <v>VACA</v>
      </c>
      <c r="L960" s="15" t="str">
        <f>VLOOKUP(A960,sinap!$A$2:$R$9000,4,FALSE)</f>
        <v>ANGUS NEGRO</v>
      </c>
      <c r="M960" s="15" t="str">
        <f>VLOOKUP(A960,sinap!$A$2:$R$9000,5,FALSE)</f>
        <v>5 años 3 meses</v>
      </c>
      <c r="N960" s="15" t="str">
        <f>VLOOKUP(A960,sinap!$A$2:$R$9000,6,FALSE)</f>
        <v>10-10-2020</v>
      </c>
      <c r="O960" s="15" t="str">
        <f>VLOOKUP(A960,sinap!$A$2:$R$9000,7,FALSE)</f>
        <v>Vivo</v>
      </c>
      <c r="P960" s="15" t="str">
        <f>VLOOKUP(A960,sinap!$A$2:$R$9000,8,FALSE)</f>
        <v>11.1.01.2442</v>
      </c>
      <c r="Q960" s="15" t="str">
        <f>VLOOKUP(A960,sinap!$A$2:$R$9000,12,FALSE)</f>
        <v>11.1.01.0190</v>
      </c>
      <c r="R960" s="15" t="str">
        <f>VLOOKUP(A960,sinap!$A$2:$R$9000,16,FALSE)</f>
        <v>11.1.01.1241</v>
      </c>
      <c r="S960" s="15" t="str">
        <f>VLOOKUP(A960,sinap!$A$2:$Y$9000,20,FALSE)</f>
        <v>SI</v>
      </c>
    </row>
    <row r="961" spans="1:19" hidden="1" x14ac:dyDescent="0.25">
      <c r="A961" s="15">
        <v>19050014</v>
      </c>
      <c r="J961" s="15" t="str">
        <f>VLOOKUP(A961,sinap!$A$2:$R$9000,2,FALSE)</f>
        <v>H</v>
      </c>
      <c r="K961" s="15" t="str">
        <f>VLOOKUP(A961,sinap!$A$2:$R$9000,3,FALSE)</f>
        <v>VACA</v>
      </c>
      <c r="L961" s="15" t="str">
        <f>VLOOKUP(A961,sinap!$A$2:$R$9000,4,FALSE)</f>
        <v>ANGUS NEGRO</v>
      </c>
      <c r="M961" s="15" t="str">
        <f>VLOOKUP(A961,sinap!$A$2:$R$9000,5,FALSE)</f>
        <v>5 años 3 meses</v>
      </c>
      <c r="N961" s="15" t="str">
        <f>VLOOKUP(A961,sinap!$A$2:$R$9000,6,FALSE)</f>
        <v>20-09-2020</v>
      </c>
      <c r="O961" s="15" t="str">
        <f>VLOOKUP(A961,sinap!$A$2:$R$9000,7,FALSE)</f>
        <v>Vivo</v>
      </c>
      <c r="P961" s="15" t="str">
        <f>VLOOKUP(A961,sinap!$A$2:$R$9000,8,FALSE)</f>
        <v>11.1.01.0893</v>
      </c>
      <c r="Q961" s="15" t="str">
        <f>VLOOKUP(A961,sinap!$A$2:$R$9000,12,FALSE)</f>
        <v>11.1.02.0004</v>
      </c>
      <c r="R961" s="15" t="str">
        <f>VLOOKUP(A961,sinap!$A$2:$R$9000,16,FALSE)</f>
        <v>11.1.01.1241</v>
      </c>
      <c r="S961" s="15" t="str">
        <f>VLOOKUP(A961,sinap!$A$2:$Y$9000,20,FALSE)</f>
        <v>SI</v>
      </c>
    </row>
    <row r="962" spans="1:19" hidden="1" x14ac:dyDescent="0.25">
      <c r="A962" s="15">
        <v>19050016</v>
      </c>
      <c r="H962" s="16">
        <v>45648</v>
      </c>
      <c r="I962" s="16">
        <v>45965</v>
      </c>
      <c r="J962" s="15" t="str">
        <f>VLOOKUP(A962,sinap!$A$2:$R$9000,2,FALSE)</f>
        <v>H</v>
      </c>
      <c r="K962" s="15" t="str">
        <f>VLOOKUP(A962,sinap!$A$2:$R$9000,3,FALSE)</f>
        <v>VACA</v>
      </c>
      <c r="L962" s="15" t="str">
        <f>VLOOKUP(A962,sinap!$A$2:$R$9000,4,FALSE)</f>
        <v>ANGUS NEGRO</v>
      </c>
      <c r="M962" s="15" t="str">
        <f>VLOOKUP(A962,sinap!$A$2:$R$9000,5,FALSE)</f>
        <v>5 años 3 meses</v>
      </c>
      <c r="N962" s="15" t="str">
        <f>VLOOKUP(A962,sinap!$A$2:$R$9000,6,FALSE)</f>
        <v>10-10-2020</v>
      </c>
      <c r="O962" s="15" t="str">
        <f>VLOOKUP(A962,sinap!$A$2:$R$9000,7,FALSE)</f>
        <v>Vivo</v>
      </c>
      <c r="P962" s="15" t="str">
        <f>VLOOKUP(A962,sinap!$A$2:$R$9000,8,FALSE)</f>
        <v>11.1.01.1241</v>
      </c>
      <c r="Q962" s="15" t="str">
        <f>VLOOKUP(A962,sinap!$A$2:$R$9000,12,FALSE)</f>
        <v>11.2.01.0038</v>
      </c>
      <c r="R962" s="15" t="str">
        <f>VLOOKUP(A962,sinap!$A$2:$R$9000,16,FALSE)</f>
        <v>11.1.01.1241</v>
      </c>
      <c r="S962" s="15" t="str">
        <f>VLOOKUP(A962,sinap!$A$2:$Y$9000,20,FALSE)</f>
        <v>SI</v>
      </c>
    </row>
    <row r="963" spans="1:19" hidden="1" x14ac:dyDescent="0.25">
      <c r="A963" s="15">
        <v>19050020</v>
      </c>
      <c r="J963" s="15" t="str">
        <f>VLOOKUP(A963,sinap!$A$2:$R$9000,2,FALSE)</f>
        <v>H</v>
      </c>
      <c r="K963" s="15" t="str">
        <f>VLOOKUP(A963,sinap!$A$2:$R$9000,3,FALSE)</f>
        <v>VACA</v>
      </c>
      <c r="L963" s="15" t="str">
        <f>VLOOKUP(A963,sinap!$A$2:$R$9000,4,FALSE)</f>
        <v>ANGUS NEGRO</v>
      </c>
      <c r="M963" s="15" t="str">
        <f>VLOOKUP(A963,sinap!$A$2:$R$9000,5,FALSE)</f>
        <v>5 años 2 meses</v>
      </c>
      <c r="N963" s="15" t="str">
        <f>VLOOKUP(A963,sinap!$A$2:$R$9000,6,FALSE)</f>
        <v>20-10-2020</v>
      </c>
      <c r="O963" s="15" t="str">
        <f>VLOOKUP(A963,sinap!$A$2:$R$9000,7,FALSE)</f>
        <v>Vivo</v>
      </c>
      <c r="P963" s="15" t="str">
        <f>VLOOKUP(A963,sinap!$A$2:$R$9000,8,FALSE)</f>
        <v>11.1.01.0893</v>
      </c>
      <c r="Q963" s="15" t="str">
        <f>VLOOKUP(A963,sinap!$A$2:$R$9000,12,FALSE)</f>
        <v>11.1.02.0004</v>
      </c>
      <c r="R963" s="15" t="str">
        <f>VLOOKUP(A963,sinap!$A$2:$R$9000,16,FALSE)</f>
        <v>11.1.01.1241</v>
      </c>
      <c r="S963" s="15" t="str">
        <f>VLOOKUP(A963,sinap!$A$2:$Y$9000,20,FALSE)</f>
        <v>SI</v>
      </c>
    </row>
    <row r="964" spans="1:19" hidden="1" x14ac:dyDescent="0.25">
      <c r="A964" s="15">
        <v>19050034</v>
      </c>
      <c r="H964" s="16">
        <v>45648</v>
      </c>
      <c r="I964" s="16">
        <v>45671</v>
      </c>
      <c r="J964" s="15" t="str">
        <f>VLOOKUP(A964,sinap!$A$2:$R$9000,2,FALSE)</f>
        <v>H</v>
      </c>
      <c r="K964" s="15" t="str">
        <f>VLOOKUP(A964,sinap!$A$2:$R$9000,3,FALSE)</f>
        <v>VACA</v>
      </c>
      <c r="L964" s="15" t="str">
        <f>VLOOKUP(A964,sinap!$A$2:$R$9000,4,FALSE)</f>
        <v>ANGUS NEGRO</v>
      </c>
      <c r="M964" s="15" t="str">
        <f>VLOOKUP(A964,sinap!$A$2:$R$9000,5,FALSE)</f>
        <v>5 años 3 meses</v>
      </c>
      <c r="N964" s="15" t="str">
        <f>VLOOKUP(A964,sinap!$A$2:$R$9000,6,FALSE)</f>
        <v>30-09-2020</v>
      </c>
      <c r="O964" s="15" t="str">
        <f>VLOOKUP(A964,sinap!$A$2:$R$9000,7,FALSE)</f>
        <v>Vivo</v>
      </c>
      <c r="P964" s="15" t="str">
        <f>VLOOKUP(A964,sinap!$A$2:$R$9000,8,FALSE)</f>
        <v>11.1.01.1241</v>
      </c>
      <c r="Q964" s="15" t="str">
        <f>VLOOKUP(A964,sinap!$A$2:$R$9000,12,FALSE)</f>
        <v>11.1.01.1022</v>
      </c>
      <c r="R964" s="15" t="str">
        <f>VLOOKUP(A964,sinap!$A$2:$R$9000,16,FALSE)</f>
        <v>11.1.01.1241</v>
      </c>
      <c r="S964" s="15" t="str">
        <f>VLOOKUP(A964,sinap!$A$2:$Y$9000,20,FALSE)</f>
        <v>SI</v>
      </c>
    </row>
    <row r="965" spans="1:19" hidden="1" x14ac:dyDescent="0.25">
      <c r="A965" s="15">
        <v>19050035</v>
      </c>
      <c r="J965" s="15" t="str">
        <f>VLOOKUP(A965,sinap!$A$2:$R$9000,2,FALSE)</f>
        <v>H</v>
      </c>
      <c r="K965" s="15" t="str">
        <f>VLOOKUP(A965,sinap!$A$2:$R$9000,3,FALSE)</f>
        <v>VACA</v>
      </c>
      <c r="L965" s="15" t="str">
        <f>VLOOKUP(A965,sinap!$A$2:$R$9000,4,FALSE)</f>
        <v>ANGUS NEGRO</v>
      </c>
      <c r="M965" s="15" t="str">
        <f>VLOOKUP(A965,sinap!$A$2:$R$9000,5,FALSE)</f>
        <v>5 años 2 meses</v>
      </c>
      <c r="N965" s="15" t="str">
        <f>VLOOKUP(A965,sinap!$A$2:$R$9000,6,FALSE)</f>
        <v>28-10-2020</v>
      </c>
      <c r="O965" s="15" t="str">
        <f>VLOOKUP(A965,sinap!$A$2:$R$9000,7,FALSE)</f>
        <v>Vivo</v>
      </c>
      <c r="P965" s="15" t="str">
        <f>VLOOKUP(A965,sinap!$A$2:$R$9000,8,FALSE)</f>
        <v>11.1.01.2304</v>
      </c>
      <c r="Q965" s="15" t="str">
        <f>VLOOKUP(A965,sinap!$A$2:$R$9000,12,FALSE)</f>
        <v>11.2.01.0053</v>
      </c>
      <c r="R965" s="15" t="str">
        <f>VLOOKUP(A965,sinap!$A$2:$R$9000,16,FALSE)</f>
        <v>11.1.01.1241</v>
      </c>
      <c r="S965" s="15" t="str">
        <f>VLOOKUP(A965,sinap!$A$2:$Y$9000,20,FALSE)</f>
        <v>SI</v>
      </c>
    </row>
    <row r="966" spans="1:19" hidden="1" x14ac:dyDescent="0.25">
      <c r="A966" s="15">
        <v>19050039</v>
      </c>
      <c r="H966" s="16">
        <v>45648</v>
      </c>
      <c r="I966" s="16">
        <v>45671</v>
      </c>
      <c r="J966" s="15" t="str">
        <f>VLOOKUP(A966,sinap!$A$2:$R$9000,2,FALSE)</f>
        <v>H</v>
      </c>
      <c r="K966" s="15" t="str">
        <f>VLOOKUP(A966,sinap!$A$2:$R$9000,3,FALSE)</f>
        <v>VACA</v>
      </c>
      <c r="L966" s="15" t="str">
        <f>VLOOKUP(A966,sinap!$A$2:$R$9000,4,FALSE)</f>
        <v>ANGUS NEGRO</v>
      </c>
      <c r="M966" s="15" t="str">
        <f>VLOOKUP(A966,sinap!$A$2:$R$9000,5,FALSE)</f>
        <v>11 años 10 meses</v>
      </c>
      <c r="N966" s="15" t="str">
        <f>VLOOKUP(A966,sinap!$A$2:$R$9000,6,FALSE)</f>
        <v>28-02-2014</v>
      </c>
      <c r="O966" s="15" t="str">
        <f>VLOOKUP(A966,sinap!$A$2:$R$9000,7,FALSE)</f>
        <v>Vivo</v>
      </c>
      <c r="P966" s="15" t="str">
        <f>VLOOKUP(A966,sinap!$A$2:$R$9000,8,FALSE)</f>
        <v>11.1.01.1241</v>
      </c>
      <c r="Q966" s="15" t="str">
        <f>VLOOKUP(A966,sinap!$A$2:$R$9000,12,FALSE)</f>
        <v>11.2.01.0038</v>
      </c>
      <c r="R966" s="15" t="str">
        <f>VLOOKUP(A966,sinap!$A$2:$R$9000,16,FALSE)</f>
        <v>11.1.01.1081</v>
      </c>
      <c r="S966" s="15" t="str">
        <f>VLOOKUP(A966,sinap!$A$2:$Y$9000,20,FALSE)</f>
        <v>SI</v>
      </c>
    </row>
    <row r="967" spans="1:19" hidden="1" x14ac:dyDescent="0.25">
      <c r="A967" s="15">
        <v>19050040</v>
      </c>
      <c r="H967" s="16">
        <v>45648</v>
      </c>
      <c r="I967" s="16">
        <v>45966</v>
      </c>
      <c r="J967" s="15" t="str">
        <f>VLOOKUP(A967,sinap!$A$2:$R$9000,2,FALSE)</f>
        <v>H</v>
      </c>
      <c r="K967" s="15" t="str">
        <f>VLOOKUP(A967,sinap!$A$2:$R$9000,3,FALSE)</f>
        <v>VACA</v>
      </c>
      <c r="L967" s="15" t="str">
        <f>VLOOKUP(A967,sinap!$A$2:$R$9000,4,FALSE)</f>
        <v>ANGUS ROJO</v>
      </c>
      <c r="M967" s="15" t="str">
        <f>VLOOKUP(A967,sinap!$A$2:$R$9000,5,FALSE)</f>
        <v>12 años 11 meses</v>
      </c>
      <c r="N967" s="15" t="str">
        <f>VLOOKUP(A967,sinap!$A$2:$R$9000,6,FALSE)</f>
        <v>28-01-2013</v>
      </c>
      <c r="O967" s="15" t="str">
        <f>VLOOKUP(A967,sinap!$A$2:$R$9000,7,FALSE)</f>
        <v>Vivo</v>
      </c>
      <c r="P967" s="15" t="str">
        <f>VLOOKUP(A967,sinap!$A$2:$R$9000,8,FALSE)</f>
        <v>11.1.01.1241</v>
      </c>
      <c r="Q967" s="15" t="str">
        <f>VLOOKUP(A967,sinap!$A$2:$R$9000,12,FALSE)</f>
        <v>11.2.01.0038</v>
      </c>
      <c r="R967" s="15" t="str">
        <f>VLOOKUP(A967,sinap!$A$2:$R$9000,16,FALSE)</f>
        <v>11.1.01.0790</v>
      </c>
      <c r="S967" s="15" t="str">
        <f>VLOOKUP(A967,sinap!$A$2:$Y$9000,20,FALSE)</f>
        <v>SI</v>
      </c>
    </row>
    <row r="968" spans="1:19" hidden="1" x14ac:dyDescent="0.25">
      <c r="A968" s="15">
        <v>19050042</v>
      </c>
      <c r="H968" s="16">
        <v>45297</v>
      </c>
      <c r="J968" s="15" t="str">
        <f>VLOOKUP(A968,sinap!$A$2:$R$9000,2,FALSE)</f>
        <v>H</v>
      </c>
      <c r="K968" s="15" t="str">
        <f>VLOOKUP(A968,sinap!$A$2:$R$9000,3,FALSE)</f>
        <v>VACA</v>
      </c>
      <c r="L968" s="15" t="str">
        <f>VLOOKUP(A968,sinap!$A$2:$R$9000,4,FALSE)</f>
        <v>ANGUS NEGRO</v>
      </c>
      <c r="M968" s="15" t="str">
        <f>VLOOKUP(A968,sinap!$A$2:$R$9000,5,FALSE)</f>
        <v>9 años 3 meses</v>
      </c>
      <c r="N968" s="15" t="str">
        <f>VLOOKUP(A968,sinap!$A$2:$R$9000,6,FALSE)</f>
        <v>15-10-2016</v>
      </c>
      <c r="O968" s="15" t="str">
        <f>VLOOKUP(A968,sinap!$A$2:$R$9000,7,FALSE)</f>
        <v>Vivo</v>
      </c>
      <c r="P968" s="15" t="str">
        <f>VLOOKUP(A968,sinap!$A$2:$R$9000,8,FALSE)</f>
        <v>11.2.01.0038</v>
      </c>
      <c r="Q968" s="15" t="str">
        <f>VLOOKUP(A968,sinap!$A$2:$R$9000,12,FALSE)</f>
        <v>11.1.01.0893</v>
      </c>
      <c r="R968" s="15" t="str">
        <f>VLOOKUP(A968,sinap!$A$2:$R$9000,16,FALSE)</f>
        <v>11.1.01.0893</v>
      </c>
      <c r="S968" s="15" t="str">
        <f>VLOOKUP(A968,sinap!$A$2:$Y$9000,20,FALSE)</f>
        <v>SI</v>
      </c>
    </row>
    <row r="969" spans="1:19" hidden="1" x14ac:dyDescent="0.25">
      <c r="A969" s="15">
        <v>19050045</v>
      </c>
      <c r="J969" s="15" t="str">
        <f>VLOOKUP(A969,sinap!$A$2:$R$9000,2,FALSE)</f>
        <v>H</v>
      </c>
      <c r="K969" s="15" t="str">
        <f>VLOOKUP(A969,sinap!$A$2:$R$9000,3,FALSE)</f>
        <v>VACA</v>
      </c>
      <c r="L969" s="15" t="str">
        <f>VLOOKUP(A969,sinap!$A$2:$R$9000,4,FALSE)</f>
        <v>ANGUS NEGRO</v>
      </c>
      <c r="M969" s="15" t="str">
        <f>VLOOKUP(A969,sinap!$A$2:$R$9000,5,FALSE)</f>
        <v>12 años 9 meses</v>
      </c>
      <c r="N969" s="15" t="str">
        <f>VLOOKUP(A969,sinap!$A$2:$R$9000,6,FALSE)</f>
        <v>30-03-2013</v>
      </c>
      <c r="O969" s="15" t="str">
        <f>VLOOKUP(A969,sinap!$A$2:$R$9000,7,FALSE)</f>
        <v>Vivo</v>
      </c>
      <c r="P969" s="15" t="str">
        <f>VLOOKUP(A969,sinap!$A$2:$R$9000,8,FALSE)</f>
        <v>11.1.01.1241</v>
      </c>
      <c r="Q969" s="15" t="str">
        <f>VLOOKUP(A969,sinap!$A$2:$R$9000,12,FALSE)</f>
        <v>11.2.01.0038</v>
      </c>
      <c r="R969" s="15" t="str">
        <f>VLOOKUP(A969,sinap!$A$2:$R$9000,16,FALSE)</f>
        <v>11.1.01.1240</v>
      </c>
      <c r="S969" s="15" t="str">
        <f>VLOOKUP(A969,sinap!$A$2:$Y$9000,20,FALSE)</f>
        <v>SI</v>
      </c>
    </row>
    <row r="970" spans="1:19" hidden="1" x14ac:dyDescent="0.25">
      <c r="A970" s="15">
        <v>19050048</v>
      </c>
      <c r="H970" s="16">
        <v>45648</v>
      </c>
      <c r="I970" s="16">
        <v>45966</v>
      </c>
      <c r="J970" s="15" t="str">
        <f>VLOOKUP(A970,sinap!$A$2:$R$9000,2,FALSE)</f>
        <v>H</v>
      </c>
      <c r="K970" s="15" t="str">
        <f>VLOOKUP(A970,sinap!$A$2:$R$9000,3,FALSE)</f>
        <v>VACA</v>
      </c>
      <c r="L970" s="15" t="str">
        <f>VLOOKUP(A970,sinap!$A$2:$R$9000,4,FALSE)</f>
        <v>ANGUS ROJO</v>
      </c>
      <c r="M970" s="15" t="str">
        <f>VLOOKUP(A970,sinap!$A$2:$R$9000,5,FALSE)</f>
        <v>13 años 3 meses</v>
      </c>
      <c r="N970" s="15" t="str">
        <f>VLOOKUP(A970,sinap!$A$2:$R$9000,6,FALSE)</f>
        <v>30-09-2012</v>
      </c>
      <c r="O970" s="15" t="str">
        <f>VLOOKUP(A970,sinap!$A$2:$R$9000,7,FALSE)</f>
        <v>Vivo</v>
      </c>
      <c r="P970" s="15" t="str">
        <f>VLOOKUP(A970,sinap!$A$2:$R$9000,8,FALSE)</f>
        <v>11.1.01.2442</v>
      </c>
      <c r="Q970" s="15" t="str">
        <f>VLOOKUP(A970,sinap!$A$2:$R$9000,12,FALSE)</f>
        <v>11.1.01.0190</v>
      </c>
      <c r="R970" s="15" t="str">
        <f>VLOOKUP(A970,sinap!$A$2:$R$9000,16,FALSE)</f>
        <v>11.1.01.1241</v>
      </c>
      <c r="S970" s="15" t="str">
        <f>VLOOKUP(A970,sinap!$A$2:$Y$9000,20,FALSE)</f>
        <v>SI</v>
      </c>
    </row>
    <row r="971" spans="1:19" hidden="1" x14ac:dyDescent="0.25">
      <c r="A971" s="15">
        <v>19050051</v>
      </c>
      <c r="J971" s="15" t="str">
        <f>VLOOKUP(A971,sinap!$A$2:$R$9000,2,FALSE)</f>
        <v>H</v>
      </c>
      <c r="K971" s="15" t="str">
        <f>VLOOKUP(A971,sinap!$A$2:$R$9000,3,FALSE)</f>
        <v>VACA</v>
      </c>
      <c r="L971" s="15" t="str">
        <f>VLOOKUP(A971,sinap!$A$2:$R$9000,4,FALSE)</f>
        <v>ANGUS NEGRO</v>
      </c>
      <c r="M971" s="15" t="str">
        <f>VLOOKUP(A971,sinap!$A$2:$R$9000,5,FALSE)</f>
        <v>13 años 2 meses</v>
      </c>
      <c r="N971" s="15" t="str">
        <f>VLOOKUP(A971,sinap!$A$2:$R$9000,6,FALSE)</f>
        <v>30-10-2012</v>
      </c>
      <c r="O971" s="15" t="str">
        <f>VLOOKUP(A971,sinap!$A$2:$R$9000,7,FALSE)</f>
        <v>Vivo</v>
      </c>
      <c r="P971" s="15" t="str">
        <f>VLOOKUP(A971,sinap!$A$2:$R$9000,8,FALSE)</f>
        <v>11.1.01.1241</v>
      </c>
      <c r="Q971" s="15" t="str">
        <f>VLOOKUP(A971,sinap!$A$2:$R$9000,12,FALSE)</f>
        <v>11.2.01.0038</v>
      </c>
      <c r="R971" s="15" t="str">
        <f>VLOOKUP(A971,sinap!$A$2:$R$9000,16,FALSE)</f>
        <v>11.1.01.1241</v>
      </c>
      <c r="S971" s="15" t="str">
        <f>VLOOKUP(A971,sinap!$A$2:$Y$9000,20,FALSE)</f>
        <v>SI</v>
      </c>
    </row>
    <row r="972" spans="1:19" hidden="1" x14ac:dyDescent="0.25">
      <c r="A972" s="15">
        <v>19050067</v>
      </c>
      <c r="J972" s="15" t="str">
        <f>VLOOKUP(A972,sinap!$A$2:$R$9000,2,FALSE)</f>
        <v>H</v>
      </c>
      <c r="K972" s="15" t="str">
        <f>VLOOKUP(A972,sinap!$A$2:$R$9000,3,FALSE)</f>
        <v>VACA</v>
      </c>
      <c r="L972" s="15" t="str">
        <f>VLOOKUP(A972,sinap!$A$2:$R$9000,4,FALSE)</f>
        <v>ANGUS NEGRO</v>
      </c>
      <c r="M972" s="15" t="str">
        <f>VLOOKUP(A972,sinap!$A$2:$R$9000,5,FALSE)</f>
        <v>5 años 2 meses</v>
      </c>
      <c r="N972" s="15" t="str">
        <f>VLOOKUP(A972,sinap!$A$2:$R$9000,6,FALSE)</f>
        <v>20-10-2020</v>
      </c>
      <c r="O972" s="15" t="str">
        <f>VLOOKUP(A972,sinap!$A$2:$R$9000,7,FALSE)</f>
        <v>Vivo</v>
      </c>
      <c r="P972" s="15" t="str">
        <f>VLOOKUP(A972,sinap!$A$2:$R$9000,8,FALSE)</f>
        <v>11.1.01.2304</v>
      </c>
      <c r="Q972" s="15" t="str">
        <f>VLOOKUP(A972,sinap!$A$2:$R$9000,12,FALSE)</f>
        <v>11.2.01.0053</v>
      </c>
      <c r="R972" s="15" t="str">
        <f>VLOOKUP(A972,sinap!$A$2:$R$9000,16,FALSE)</f>
        <v>11.1.01.1241</v>
      </c>
      <c r="S972" s="15" t="str">
        <f>VLOOKUP(A972,sinap!$A$2:$Y$9000,20,FALSE)</f>
        <v>SI</v>
      </c>
    </row>
    <row r="973" spans="1:19" hidden="1" x14ac:dyDescent="0.25">
      <c r="A973" s="15">
        <v>19050068</v>
      </c>
      <c r="J973" s="15" t="str">
        <f>VLOOKUP(A973,sinap!$A$2:$R$9000,2,FALSE)</f>
        <v>H</v>
      </c>
      <c r="K973" s="15" t="str">
        <f>VLOOKUP(A973,sinap!$A$2:$R$9000,3,FALSE)</f>
        <v>VACA</v>
      </c>
      <c r="L973" s="15" t="str">
        <f>VLOOKUP(A973,sinap!$A$2:$R$9000,4,FALSE)</f>
        <v>ANGUS NEGRO</v>
      </c>
      <c r="M973" s="15" t="str">
        <f>VLOOKUP(A973,sinap!$A$2:$R$9000,5,FALSE)</f>
        <v>5 años 3 meses</v>
      </c>
      <c r="N973" s="15" t="str">
        <f>VLOOKUP(A973,sinap!$A$2:$R$9000,6,FALSE)</f>
        <v>30-09-2020</v>
      </c>
      <c r="O973" s="15" t="str">
        <f>VLOOKUP(A973,sinap!$A$2:$R$9000,7,FALSE)</f>
        <v>Vivo</v>
      </c>
      <c r="P973" s="15" t="str">
        <f>VLOOKUP(A973,sinap!$A$2:$R$9000,8,FALSE)</f>
        <v>11.1.01.0893</v>
      </c>
      <c r="Q973" s="15" t="str">
        <f>VLOOKUP(A973,sinap!$A$2:$R$9000,12,FALSE)</f>
        <v>11.1.02.0004</v>
      </c>
      <c r="R973" s="15" t="str">
        <f>VLOOKUP(A973,sinap!$A$2:$R$9000,16,FALSE)</f>
        <v>11.1.01.1241</v>
      </c>
      <c r="S973" s="15" t="str">
        <f>VLOOKUP(A973,sinap!$A$2:$Y$9000,20,FALSE)</f>
        <v>SI</v>
      </c>
    </row>
    <row r="974" spans="1:19" hidden="1" x14ac:dyDescent="0.25">
      <c r="A974" s="15">
        <v>19050076</v>
      </c>
      <c r="H974" s="16">
        <v>45648</v>
      </c>
      <c r="I974" s="16">
        <v>45965</v>
      </c>
      <c r="J974" s="15" t="str">
        <f>VLOOKUP(A974,sinap!$A$2:$R$9000,2,FALSE)</f>
        <v>H</v>
      </c>
      <c r="K974" s="15" t="str">
        <f>VLOOKUP(A974,sinap!$A$2:$R$9000,3,FALSE)</f>
        <v>VACA</v>
      </c>
      <c r="L974" s="15" t="str">
        <f>VLOOKUP(A974,sinap!$A$2:$R$9000,4,FALSE)</f>
        <v>ANGUS NEGRO</v>
      </c>
      <c r="M974" s="15" t="str">
        <f>VLOOKUP(A974,sinap!$A$2:$R$9000,5,FALSE)</f>
        <v>5 años 3 meses</v>
      </c>
      <c r="N974" s="15" t="str">
        <f>VLOOKUP(A974,sinap!$A$2:$R$9000,6,FALSE)</f>
        <v>15-10-2020</v>
      </c>
      <c r="O974" s="15" t="str">
        <f>VLOOKUP(A974,sinap!$A$2:$R$9000,7,FALSE)</f>
        <v>Vivo</v>
      </c>
      <c r="P974" s="15" t="str">
        <f>VLOOKUP(A974,sinap!$A$2:$R$9000,8,FALSE)</f>
        <v>11.1.01.1241</v>
      </c>
      <c r="Q974" s="15" t="str">
        <f>VLOOKUP(A974,sinap!$A$2:$R$9000,12,FALSE)</f>
        <v>11.2.01.0038</v>
      </c>
      <c r="R974" s="15" t="str">
        <f>VLOOKUP(A974,sinap!$A$2:$R$9000,16,FALSE)</f>
        <v>11.1.01.1241</v>
      </c>
      <c r="S974" s="15" t="str">
        <f>VLOOKUP(A974,sinap!$A$2:$Y$9000,20,FALSE)</f>
        <v>SI</v>
      </c>
    </row>
    <row r="975" spans="1:19" hidden="1" x14ac:dyDescent="0.25">
      <c r="A975" s="15">
        <v>19050078</v>
      </c>
      <c r="J975" s="15" t="str">
        <f>VLOOKUP(A975,sinap!$A$2:$R$9000,2,FALSE)</f>
        <v>H</v>
      </c>
      <c r="K975" s="15" t="str">
        <f>VLOOKUP(A975,sinap!$A$2:$R$9000,3,FALSE)</f>
        <v>VACA</v>
      </c>
      <c r="L975" s="15" t="str">
        <f>VLOOKUP(A975,sinap!$A$2:$R$9000,4,FALSE)</f>
        <v>ANGUS NEGRO</v>
      </c>
      <c r="M975" s="15" t="str">
        <f>VLOOKUP(A975,sinap!$A$2:$R$9000,5,FALSE)</f>
        <v>5 años 3 meses</v>
      </c>
      <c r="N975" s="15" t="str">
        <f>VLOOKUP(A975,sinap!$A$2:$R$9000,6,FALSE)</f>
        <v>20-09-2020</v>
      </c>
      <c r="O975" s="15" t="str">
        <f>VLOOKUP(A975,sinap!$A$2:$R$9000,7,FALSE)</f>
        <v>Vivo</v>
      </c>
      <c r="P975" s="15" t="str">
        <f>VLOOKUP(A975,sinap!$A$2:$R$9000,8,FALSE)</f>
        <v>11.1.01.2304</v>
      </c>
      <c r="Q975" s="15" t="str">
        <f>VLOOKUP(A975,sinap!$A$2:$R$9000,12,FALSE)</f>
        <v>11.2.01.0053</v>
      </c>
      <c r="R975" s="15" t="str">
        <f>VLOOKUP(A975,sinap!$A$2:$R$9000,16,FALSE)</f>
        <v>11.1.01.1241</v>
      </c>
      <c r="S975" s="15" t="str">
        <f>VLOOKUP(A975,sinap!$A$2:$Y$9000,20,FALSE)</f>
        <v>SI</v>
      </c>
    </row>
    <row r="976" spans="1:19" hidden="1" x14ac:dyDescent="0.25">
      <c r="A976" s="15">
        <v>19050087</v>
      </c>
      <c r="J976" s="15" t="str">
        <f>VLOOKUP(A976,sinap!$A$2:$R$9000,2,FALSE)</f>
        <v>H</v>
      </c>
      <c r="K976" s="15" t="str">
        <f>VLOOKUP(A976,sinap!$A$2:$R$9000,3,FALSE)</f>
        <v>VACA</v>
      </c>
      <c r="L976" s="15" t="str">
        <f>VLOOKUP(A976,sinap!$A$2:$R$9000,4,FALSE)</f>
        <v>ANGUS NEGRO</v>
      </c>
      <c r="M976" s="15" t="str">
        <f>VLOOKUP(A976,sinap!$A$2:$R$9000,5,FALSE)</f>
        <v>5 años 3 meses</v>
      </c>
      <c r="N976" s="15" t="str">
        <f>VLOOKUP(A976,sinap!$A$2:$R$9000,6,FALSE)</f>
        <v>30-09-2020</v>
      </c>
      <c r="O976" s="15" t="str">
        <f>VLOOKUP(A976,sinap!$A$2:$R$9000,7,FALSE)</f>
        <v>Vivo</v>
      </c>
      <c r="P976" s="15" t="str">
        <f>VLOOKUP(A976,sinap!$A$2:$R$9000,8,FALSE)</f>
        <v>11.1.01.0791</v>
      </c>
      <c r="Q976" s="15" t="str">
        <f>VLOOKUP(A976,sinap!$A$2:$R$9000,12,FALSE)</f>
        <v>11.1.01.0893</v>
      </c>
      <c r="R976" s="15" t="str">
        <f>VLOOKUP(A976,sinap!$A$2:$R$9000,16,FALSE)</f>
        <v>11.1.01.1241</v>
      </c>
      <c r="S976" s="15" t="str">
        <f>VLOOKUP(A976,sinap!$A$2:$Y$9000,20,FALSE)</f>
        <v>SI</v>
      </c>
    </row>
    <row r="977" spans="1:19" hidden="1" x14ac:dyDescent="0.25">
      <c r="A977" s="15">
        <v>19050088</v>
      </c>
      <c r="J977" s="15" t="str">
        <f>VLOOKUP(A977,sinap!$A$2:$R$9000,2,FALSE)</f>
        <v>H</v>
      </c>
      <c r="K977" s="15" t="str">
        <f>VLOOKUP(A977,sinap!$A$2:$R$9000,3,FALSE)</f>
        <v>VACA</v>
      </c>
      <c r="L977" s="15" t="str">
        <f>VLOOKUP(A977,sinap!$A$2:$R$9000,4,FALSE)</f>
        <v>ANGUS NEGRO</v>
      </c>
      <c r="M977" s="15" t="str">
        <f>VLOOKUP(A977,sinap!$A$2:$R$9000,5,FALSE)</f>
        <v>5 años 3 meses</v>
      </c>
      <c r="N977" s="15" t="str">
        <f>VLOOKUP(A977,sinap!$A$2:$R$9000,6,FALSE)</f>
        <v>30-09-2020</v>
      </c>
      <c r="O977" s="15" t="str">
        <f>VLOOKUP(A977,sinap!$A$2:$R$9000,7,FALSE)</f>
        <v>Vivo</v>
      </c>
      <c r="P977" s="15" t="str">
        <f>VLOOKUP(A977,sinap!$A$2:$R$9000,8,FALSE)</f>
        <v>11.1.01.1241</v>
      </c>
      <c r="Q977" s="15" t="str">
        <f>VLOOKUP(A977,sinap!$A$2:$R$9000,12,FALSE)</f>
        <v>11.1.01.1022</v>
      </c>
      <c r="R977" s="15" t="str">
        <f>VLOOKUP(A977,sinap!$A$2:$R$9000,16,FALSE)</f>
        <v>11.1.01.1241</v>
      </c>
      <c r="S977" s="15" t="str">
        <f>VLOOKUP(A977,sinap!$A$2:$Y$9000,20,FALSE)</f>
        <v>SI</v>
      </c>
    </row>
    <row r="978" spans="1:19" hidden="1" x14ac:dyDescent="0.25">
      <c r="A978" s="15">
        <v>19050089</v>
      </c>
      <c r="H978" s="16">
        <v>45648</v>
      </c>
      <c r="I978" s="16">
        <v>45671</v>
      </c>
      <c r="J978" s="15" t="str">
        <f>VLOOKUP(A978,sinap!$A$2:$R$9000,2,FALSE)</f>
        <v>H</v>
      </c>
      <c r="K978" s="15" t="str">
        <f>VLOOKUP(A978,sinap!$A$2:$R$9000,3,FALSE)</f>
        <v>VACA</v>
      </c>
      <c r="L978" s="15" t="str">
        <f>VLOOKUP(A978,sinap!$A$2:$R$9000,4,FALSE)</f>
        <v>ANGUS NEGRO</v>
      </c>
      <c r="M978" s="15" t="str">
        <f>VLOOKUP(A978,sinap!$A$2:$R$9000,5,FALSE)</f>
        <v>5 años 3 meses</v>
      </c>
      <c r="N978" s="15" t="str">
        <f>VLOOKUP(A978,sinap!$A$2:$R$9000,6,FALSE)</f>
        <v>30-09-2020</v>
      </c>
      <c r="O978" s="15" t="str">
        <f>VLOOKUP(A978,sinap!$A$2:$R$9000,7,FALSE)</f>
        <v>Vivo</v>
      </c>
      <c r="P978" s="15" t="str">
        <f>VLOOKUP(A978,sinap!$A$2:$R$9000,8,FALSE)</f>
        <v>11.1.01.1241</v>
      </c>
      <c r="Q978" s="15" t="str">
        <f>VLOOKUP(A978,sinap!$A$2:$R$9000,12,FALSE)</f>
        <v>11.2.01.0038</v>
      </c>
      <c r="R978" s="15" t="str">
        <f>VLOOKUP(A978,sinap!$A$2:$R$9000,16,FALSE)</f>
        <v>11.1.01.1241</v>
      </c>
      <c r="S978" s="15" t="str">
        <f>VLOOKUP(A978,sinap!$A$2:$Y$9000,20,FALSE)</f>
        <v>SI</v>
      </c>
    </row>
    <row r="979" spans="1:19" hidden="1" x14ac:dyDescent="0.25">
      <c r="A979" s="15">
        <v>19050092</v>
      </c>
      <c r="J979" s="15" t="str">
        <f>VLOOKUP(A979,sinap!$A$2:$R$9000,2,FALSE)</f>
        <v>H</v>
      </c>
      <c r="K979" s="15" t="str">
        <f>VLOOKUP(A979,sinap!$A$2:$R$9000,3,FALSE)</f>
        <v>VACA</v>
      </c>
      <c r="L979" s="15" t="str">
        <f>VLOOKUP(A979,sinap!$A$2:$R$9000,4,FALSE)</f>
        <v>ANGUS NEGRO</v>
      </c>
      <c r="M979" s="15" t="str">
        <f>VLOOKUP(A979,sinap!$A$2:$R$9000,5,FALSE)</f>
        <v>5 años 4 meses</v>
      </c>
      <c r="N979" s="15" t="str">
        <f>VLOOKUP(A979,sinap!$A$2:$R$9000,6,FALSE)</f>
        <v>11-09-2020</v>
      </c>
      <c r="O979" s="15" t="str">
        <f>VLOOKUP(A979,sinap!$A$2:$R$9000,7,FALSE)</f>
        <v>Vivo</v>
      </c>
      <c r="P979" s="15" t="str">
        <f>VLOOKUP(A979,sinap!$A$2:$R$9000,8,FALSE)</f>
        <v>11.1.01.0893</v>
      </c>
      <c r="Q979" s="15" t="str">
        <f>VLOOKUP(A979,sinap!$A$2:$R$9000,12,FALSE)</f>
        <v>11.1.02.0004</v>
      </c>
      <c r="R979" s="15" t="str">
        <f>VLOOKUP(A979,sinap!$A$2:$R$9000,16,FALSE)</f>
        <v>11.1.01.1241</v>
      </c>
      <c r="S979" s="15" t="str">
        <f>VLOOKUP(A979,sinap!$A$2:$Y$9000,20,FALSE)</f>
        <v>SI</v>
      </c>
    </row>
    <row r="980" spans="1:19" hidden="1" x14ac:dyDescent="0.25">
      <c r="A980" s="15">
        <v>19050093</v>
      </c>
      <c r="J980" s="15" t="str">
        <f>VLOOKUP(A980,sinap!$A$2:$R$9000,2,FALSE)</f>
        <v>H</v>
      </c>
      <c r="K980" s="15" t="str">
        <f>VLOOKUP(A980,sinap!$A$2:$R$9000,3,FALSE)</f>
        <v>VACA</v>
      </c>
      <c r="L980" s="15" t="str">
        <f>VLOOKUP(A980,sinap!$A$2:$R$9000,4,FALSE)</f>
        <v>ANGUS NEGRO</v>
      </c>
      <c r="M980" s="15" t="str">
        <f>VLOOKUP(A980,sinap!$A$2:$R$9000,5,FALSE)</f>
        <v>5 años 2 meses</v>
      </c>
      <c r="N980" s="15" t="str">
        <f>VLOOKUP(A980,sinap!$A$2:$R$9000,6,FALSE)</f>
        <v>25-10-2020</v>
      </c>
      <c r="O980" s="15" t="str">
        <f>VLOOKUP(A980,sinap!$A$2:$R$9000,7,FALSE)</f>
        <v>Vivo</v>
      </c>
      <c r="P980" s="15" t="str">
        <f>VLOOKUP(A980,sinap!$A$2:$R$9000,8,FALSE)</f>
        <v>11.1.01.2304</v>
      </c>
      <c r="Q980" s="15" t="str">
        <f>VLOOKUP(A980,sinap!$A$2:$R$9000,12,FALSE)</f>
        <v>11.2.01.0053</v>
      </c>
      <c r="R980" s="15" t="str">
        <f>VLOOKUP(A980,sinap!$A$2:$R$9000,16,FALSE)</f>
        <v>11.1.01.1241</v>
      </c>
      <c r="S980" s="15" t="str">
        <f>VLOOKUP(A980,sinap!$A$2:$Y$9000,20,FALSE)</f>
        <v>SI</v>
      </c>
    </row>
    <row r="981" spans="1:19" hidden="1" x14ac:dyDescent="0.25">
      <c r="A981" s="15">
        <v>19050115</v>
      </c>
      <c r="H981" s="16">
        <v>45648</v>
      </c>
      <c r="I981" s="16">
        <v>45966</v>
      </c>
      <c r="J981" s="15" t="str">
        <f>VLOOKUP(A981,sinap!$A$2:$R$9000,2,FALSE)</f>
        <v>H</v>
      </c>
      <c r="K981" s="15" t="str">
        <f>VLOOKUP(A981,sinap!$A$2:$R$9000,3,FALSE)</f>
        <v>VACA</v>
      </c>
      <c r="L981" s="15" t="str">
        <f>VLOOKUP(A981,sinap!$A$2:$R$9000,4,FALSE)</f>
        <v>ANGUS NEGRO</v>
      </c>
      <c r="M981" s="15" t="str">
        <f>VLOOKUP(A981,sinap!$A$2:$R$9000,5,FALSE)</f>
        <v>5 años 3 meses</v>
      </c>
      <c r="N981" s="15" t="str">
        <f>VLOOKUP(A981,sinap!$A$2:$R$9000,6,FALSE)</f>
        <v>10-10-2020</v>
      </c>
      <c r="O981" s="15" t="str">
        <f>VLOOKUP(A981,sinap!$A$2:$R$9000,7,FALSE)</f>
        <v>Vivo</v>
      </c>
      <c r="P981" s="15" t="str">
        <f>VLOOKUP(A981,sinap!$A$2:$R$9000,8,FALSE)</f>
        <v>11.1.01.2442</v>
      </c>
      <c r="Q981" s="15" t="str">
        <f>VLOOKUP(A981,sinap!$A$2:$R$9000,12,FALSE)</f>
        <v>11.1.01.0190</v>
      </c>
      <c r="R981" s="15" t="str">
        <f>VLOOKUP(A981,sinap!$A$2:$R$9000,16,FALSE)</f>
        <v>11.1.01.1241</v>
      </c>
      <c r="S981" s="15" t="str">
        <f>VLOOKUP(A981,sinap!$A$2:$Y$9000,20,FALSE)</f>
        <v>SI</v>
      </c>
    </row>
    <row r="982" spans="1:19" hidden="1" x14ac:dyDescent="0.25">
      <c r="A982" s="15">
        <v>19050127</v>
      </c>
      <c r="H982" s="16">
        <v>45648</v>
      </c>
      <c r="I982" s="16">
        <v>45966</v>
      </c>
      <c r="J982" s="15" t="str">
        <f>VLOOKUP(A982,sinap!$A$2:$R$9000,2,FALSE)</f>
        <v>H</v>
      </c>
      <c r="K982" s="15" t="str">
        <f>VLOOKUP(A982,sinap!$A$2:$R$9000,3,FALSE)</f>
        <v>VACA</v>
      </c>
      <c r="L982" s="15" t="str">
        <f>VLOOKUP(A982,sinap!$A$2:$R$9000,4,FALSE)</f>
        <v>ANGUS NEGRO</v>
      </c>
      <c r="M982" s="15" t="str">
        <f>VLOOKUP(A982,sinap!$A$2:$R$9000,5,FALSE)</f>
        <v>9 años 3 meses</v>
      </c>
      <c r="N982" s="15" t="str">
        <f>VLOOKUP(A982,sinap!$A$2:$R$9000,6,FALSE)</f>
        <v>15-10-2016</v>
      </c>
      <c r="O982" s="15" t="str">
        <f>VLOOKUP(A982,sinap!$A$2:$R$9000,7,FALSE)</f>
        <v>Vivo</v>
      </c>
      <c r="P982" s="15" t="str">
        <f>VLOOKUP(A982,sinap!$A$2:$R$9000,8,FALSE)</f>
        <v>11.1.01.2442</v>
      </c>
      <c r="Q982" s="15" t="str">
        <f>VLOOKUP(A982,sinap!$A$2:$R$9000,12,FALSE)</f>
        <v>11.1.01.0190</v>
      </c>
      <c r="R982" s="15" t="str">
        <f>VLOOKUP(A982,sinap!$A$2:$R$9000,16,FALSE)</f>
        <v>11.2.01.2071</v>
      </c>
      <c r="S982" s="15" t="str">
        <f>VLOOKUP(A982,sinap!$A$2:$Y$9000,20,FALSE)</f>
        <v>SI</v>
      </c>
    </row>
    <row r="983" spans="1:19" hidden="1" x14ac:dyDescent="0.25">
      <c r="A983" s="15">
        <v>19050128</v>
      </c>
      <c r="J983" s="15" t="str">
        <f>VLOOKUP(A983,sinap!$A$2:$R$9000,2,FALSE)</f>
        <v>H</v>
      </c>
      <c r="K983" s="15" t="str">
        <f>VLOOKUP(A983,sinap!$A$2:$R$9000,3,FALSE)</f>
        <v>VACA</v>
      </c>
      <c r="L983" s="15" t="str">
        <f>VLOOKUP(A983,sinap!$A$2:$R$9000,4,FALSE)</f>
        <v>ANGUS NEGRO</v>
      </c>
      <c r="M983" s="15" t="str">
        <f>VLOOKUP(A983,sinap!$A$2:$R$9000,5,FALSE)</f>
        <v>8 años 3 meses</v>
      </c>
      <c r="N983" s="15" t="str">
        <f>VLOOKUP(A983,sinap!$A$2:$R$9000,6,FALSE)</f>
        <v>30-09-2017</v>
      </c>
      <c r="O983" s="15" t="str">
        <f>VLOOKUP(A983,sinap!$A$2:$R$9000,7,FALSE)</f>
        <v>Vivo</v>
      </c>
      <c r="P983" s="15" t="str">
        <f>VLOOKUP(A983,sinap!$A$2:$R$9000,8,FALSE)</f>
        <v>11.1.01.1241</v>
      </c>
      <c r="Q983" s="15" t="str">
        <f>VLOOKUP(A983,sinap!$A$2:$R$9000,12,FALSE)</f>
        <v>11.1.01.1022</v>
      </c>
      <c r="R983" s="15" t="str">
        <f>VLOOKUP(A983,sinap!$A$2:$R$9000,16,FALSE)</f>
        <v>11.1.01.0893</v>
      </c>
      <c r="S983" s="15" t="str">
        <f>VLOOKUP(A983,sinap!$A$2:$Y$9000,20,FALSE)</f>
        <v>SI</v>
      </c>
    </row>
    <row r="984" spans="1:19" hidden="1" x14ac:dyDescent="0.25">
      <c r="A984" s="15">
        <v>19050129</v>
      </c>
      <c r="H984" s="16">
        <v>45648</v>
      </c>
      <c r="I984" s="16">
        <v>45671</v>
      </c>
      <c r="J984" s="15" t="str">
        <f>VLOOKUP(A984,sinap!$A$2:$R$9000,2,FALSE)</f>
        <v>H</v>
      </c>
      <c r="K984" s="15" t="str">
        <f>VLOOKUP(A984,sinap!$A$2:$R$9000,3,FALSE)</f>
        <v>VACA</v>
      </c>
      <c r="L984" s="15" t="str">
        <f>VLOOKUP(A984,sinap!$A$2:$R$9000,4,FALSE)</f>
        <v>ANGUS NEGRO</v>
      </c>
      <c r="M984" s="15" t="str">
        <f>VLOOKUP(A984,sinap!$A$2:$R$9000,5,FALSE)</f>
        <v>12 años 2 meses</v>
      </c>
      <c r="N984" s="15" t="str">
        <f>VLOOKUP(A984,sinap!$A$2:$R$9000,6,FALSE)</f>
        <v>30-10-2013</v>
      </c>
      <c r="O984" s="15" t="str">
        <f>VLOOKUP(A984,sinap!$A$2:$R$9000,7,FALSE)</f>
        <v>Vivo</v>
      </c>
      <c r="P984" s="15" t="str">
        <f>VLOOKUP(A984,sinap!$A$2:$R$9000,8,FALSE)</f>
        <v>11.1.01.2442</v>
      </c>
      <c r="Q984" s="15" t="str">
        <f>VLOOKUP(A984,sinap!$A$2:$R$9000,12,FALSE)</f>
        <v>11.1.01.0190</v>
      </c>
      <c r="R984" s="15" t="str">
        <f>VLOOKUP(A984,sinap!$A$2:$R$9000,16,FALSE)</f>
        <v>11.2.01.2071</v>
      </c>
      <c r="S984" s="15" t="str">
        <f>VLOOKUP(A984,sinap!$A$2:$Y$9000,20,FALSE)</f>
        <v>SI</v>
      </c>
    </row>
    <row r="985" spans="1:19" hidden="1" x14ac:dyDescent="0.25">
      <c r="A985" s="15">
        <v>19050130</v>
      </c>
      <c r="J985" s="15" t="str">
        <f>VLOOKUP(A985,sinap!$A$2:$R$9000,2,FALSE)</f>
        <v>H</v>
      </c>
      <c r="K985" s="15" t="str">
        <f>VLOOKUP(A985,sinap!$A$2:$R$9000,3,FALSE)</f>
        <v>VACA</v>
      </c>
      <c r="L985" s="15" t="str">
        <f>VLOOKUP(A985,sinap!$A$2:$R$9000,4,FALSE)</f>
        <v>ANGUS NEGRO</v>
      </c>
      <c r="M985" s="15" t="str">
        <f>VLOOKUP(A985,sinap!$A$2:$R$9000,5,FALSE)</f>
        <v>5 años 3 meses</v>
      </c>
      <c r="N985" s="15" t="str">
        <f>VLOOKUP(A985,sinap!$A$2:$R$9000,6,FALSE)</f>
        <v>15-10-2020</v>
      </c>
      <c r="O985" s="15" t="str">
        <f>VLOOKUP(A985,sinap!$A$2:$R$9000,7,FALSE)</f>
        <v>Vivo</v>
      </c>
      <c r="P985" s="15" t="str">
        <f>VLOOKUP(A985,sinap!$A$2:$R$9000,8,FALSE)</f>
        <v>11.1.01.0893</v>
      </c>
      <c r="Q985" s="15" t="str">
        <f>VLOOKUP(A985,sinap!$A$2:$R$9000,12,FALSE)</f>
        <v>11.1.02.0004</v>
      </c>
      <c r="R985" s="15" t="str">
        <f>VLOOKUP(A985,sinap!$A$2:$R$9000,16,FALSE)</f>
        <v>11.1.01.1241</v>
      </c>
      <c r="S985" s="15" t="str">
        <f>VLOOKUP(A985,sinap!$A$2:$Y$9000,20,FALSE)</f>
        <v>SI</v>
      </c>
    </row>
    <row r="986" spans="1:19" hidden="1" x14ac:dyDescent="0.25">
      <c r="A986" s="15">
        <v>19050135</v>
      </c>
      <c r="H986" s="16">
        <v>45648</v>
      </c>
      <c r="I986" s="16">
        <v>45671</v>
      </c>
      <c r="J986" s="15" t="str">
        <f>VLOOKUP(A986,sinap!$A$2:$R$9000,2,FALSE)</f>
        <v>H</v>
      </c>
      <c r="K986" s="15" t="str">
        <f>VLOOKUP(A986,sinap!$A$2:$R$9000,3,FALSE)</f>
        <v>VACA</v>
      </c>
      <c r="L986" s="15" t="str">
        <f>VLOOKUP(A986,sinap!$A$2:$R$9000,4,FALSE)</f>
        <v>ANGUS NEGRO</v>
      </c>
      <c r="M986" s="15" t="str">
        <f>VLOOKUP(A986,sinap!$A$2:$R$9000,5,FALSE)</f>
        <v>5 años 2 meses</v>
      </c>
      <c r="N986" s="15" t="str">
        <f>VLOOKUP(A986,sinap!$A$2:$R$9000,6,FALSE)</f>
        <v>30-10-2020</v>
      </c>
      <c r="O986" s="15" t="str">
        <f>VLOOKUP(A986,sinap!$A$2:$R$9000,7,FALSE)</f>
        <v>Vivo</v>
      </c>
      <c r="P986" s="15" t="str">
        <f>VLOOKUP(A986,sinap!$A$2:$R$9000,8,FALSE)</f>
        <v>11.1.01.1241</v>
      </c>
      <c r="Q986" s="15" t="str">
        <f>VLOOKUP(A986,sinap!$A$2:$R$9000,12,FALSE)</f>
        <v>11.2.01.0038</v>
      </c>
      <c r="R986" s="15" t="str">
        <f>VLOOKUP(A986,sinap!$A$2:$R$9000,16,FALSE)</f>
        <v>11.1.01.1241</v>
      </c>
      <c r="S986" s="15" t="str">
        <f>VLOOKUP(A986,sinap!$A$2:$Y$9000,20,FALSE)</f>
        <v>SI</v>
      </c>
    </row>
    <row r="987" spans="1:19" hidden="1" x14ac:dyDescent="0.25">
      <c r="A987" s="15">
        <v>19050140</v>
      </c>
      <c r="J987" s="15" t="str">
        <f>VLOOKUP(A987,sinap!$A$2:$R$9000,2,FALSE)</f>
        <v>H</v>
      </c>
      <c r="K987" s="15" t="str">
        <f>VLOOKUP(A987,sinap!$A$2:$R$9000,3,FALSE)</f>
        <v>VACA</v>
      </c>
      <c r="L987" s="15" t="str">
        <f>VLOOKUP(A987,sinap!$A$2:$R$9000,4,FALSE)</f>
        <v>ANGUS NEGRO</v>
      </c>
      <c r="M987" s="15" t="str">
        <f>VLOOKUP(A987,sinap!$A$2:$R$9000,5,FALSE)</f>
        <v>5 años 2 meses</v>
      </c>
      <c r="N987" s="15" t="str">
        <f>VLOOKUP(A987,sinap!$A$2:$R$9000,6,FALSE)</f>
        <v>30-10-2020</v>
      </c>
      <c r="O987" s="15" t="str">
        <f>VLOOKUP(A987,sinap!$A$2:$R$9000,7,FALSE)</f>
        <v>Vivo</v>
      </c>
      <c r="P987" s="15" t="str">
        <f>VLOOKUP(A987,sinap!$A$2:$R$9000,8,FALSE)</f>
        <v>11.2.01.0038</v>
      </c>
      <c r="Q987" s="15" t="str">
        <f>VLOOKUP(A987,sinap!$A$2:$R$9000,12,FALSE)</f>
        <v>11.1.01.1241</v>
      </c>
      <c r="R987" s="15" t="str">
        <f>VLOOKUP(A987,sinap!$A$2:$R$9000,16,FALSE)</f>
        <v>11.1.01.1241</v>
      </c>
      <c r="S987" s="15" t="str">
        <f>VLOOKUP(A987,sinap!$A$2:$Y$9000,20,FALSE)</f>
        <v>SI</v>
      </c>
    </row>
    <row r="988" spans="1:19" hidden="1" x14ac:dyDescent="0.25">
      <c r="A988" s="15">
        <v>19050146</v>
      </c>
      <c r="H988" s="16">
        <v>45648</v>
      </c>
      <c r="I988" s="16">
        <v>45671</v>
      </c>
      <c r="J988" s="15" t="str">
        <f>VLOOKUP(A988,sinap!$A$2:$R$9000,2,FALSE)</f>
        <v>H</v>
      </c>
      <c r="K988" s="15" t="str">
        <f>VLOOKUP(A988,sinap!$A$2:$R$9000,3,FALSE)</f>
        <v>VACA</v>
      </c>
      <c r="L988" s="15" t="str">
        <f>VLOOKUP(A988,sinap!$A$2:$R$9000,4,FALSE)</f>
        <v>ANGUS NEGRO</v>
      </c>
      <c r="M988" s="15" t="str">
        <f>VLOOKUP(A988,sinap!$A$2:$R$9000,5,FALSE)</f>
        <v>5 años 4 meses</v>
      </c>
      <c r="N988" s="15" t="str">
        <f>VLOOKUP(A988,sinap!$A$2:$R$9000,6,FALSE)</f>
        <v>11-09-2020</v>
      </c>
      <c r="O988" s="15" t="str">
        <f>VLOOKUP(A988,sinap!$A$2:$R$9000,7,FALSE)</f>
        <v>Vivo</v>
      </c>
      <c r="P988" s="15" t="str">
        <f>VLOOKUP(A988,sinap!$A$2:$R$9000,8,FALSE)</f>
        <v>11.1.01.1241</v>
      </c>
      <c r="Q988" s="15" t="str">
        <f>VLOOKUP(A988,sinap!$A$2:$R$9000,12,FALSE)</f>
        <v>11.1.01.1022</v>
      </c>
      <c r="R988" s="15" t="str">
        <f>VLOOKUP(A988,sinap!$A$2:$R$9000,16,FALSE)</f>
        <v>11.1.01.1241</v>
      </c>
      <c r="S988" s="15" t="str">
        <f>VLOOKUP(A988,sinap!$A$2:$Y$9000,20,FALSE)</f>
        <v>SI</v>
      </c>
    </row>
    <row r="989" spans="1:19" hidden="1" x14ac:dyDescent="0.25">
      <c r="A989" s="15">
        <v>19050147</v>
      </c>
      <c r="H989" s="16">
        <v>45648</v>
      </c>
      <c r="I989" s="16">
        <v>45671</v>
      </c>
      <c r="J989" s="15" t="str">
        <f>VLOOKUP(A989,sinap!$A$2:$R$9000,2,FALSE)</f>
        <v>H</v>
      </c>
      <c r="K989" s="15" t="str">
        <f>VLOOKUP(A989,sinap!$A$2:$R$9000,3,FALSE)</f>
        <v>VACA</v>
      </c>
      <c r="L989" s="15" t="str">
        <f>VLOOKUP(A989,sinap!$A$2:$R$9000,4,FALSE)</f>
        <v>ANGUS NEGRO</v>
      </c>
      <c r="M989" s="15" t="str">
        <f>VLOOKUP(A989,sinap!$A$2:$R$9000,5,FALSE)</f>
        <v>5 años 3 meses</v>
      </c>
      <c r="N989" s="15" t="str">
        <f>VLOOKUP(A989,sinap!$A$2:$R$9000,6,FALSE)</f>
        <v>30-09-2020</v>
      </c>
      <c r="O989" s="15" t="str">
        <f>VLOOKUP(A989,sinap!$A$2:$R$9000,7,FALSE)</f>
        <v>Vivo</v>
      </c>
      <c r="P989" s="15" t="str">
        <f>VLOOKUP(A989,sinap!$A$2:$R$9000,8,FALSE)</f>
        <v>11.1.01.1241</v>
      </c>
      <c r="Q989" s="15" t="str">
        <f>VLOOKUP(A989,sinap!$A$2:$R$9000,12,FALSE)</f>
        <v>11.1.01.1022</v>
      </c>
      <c r="R989" s="15" t="str">
        <f>VLOOKUP(A989,sinap!$A$2:$R$9000,16,FALSE)</f>
        <v>11.1.01.1241</v>
      </c>
      <c r="S989" s="15" t="str">
        <f>VLOOKUP(A989,sinap!$A$2:$Y$9000,20,FALSE)</f>
        <v>SI</v>
      </c>
    </row>
    <row r="990" spans="1:19" hidden="1" x14ac:dyDescent="0.25">
      <c r="A990" s="15">
        <v>19050149</v>
      </c>
      <c r="H990" s="16">
        <v>45648</v>
      </c>
      <c r="I990" s="16">
        <v>45965</v>
      </c>
      <c r="J990" s="15" t="str">
        <f>VLOOKUP(A990,sinap!$A$2:$R$9000,2,FALSE)</f>
        <v>H</v>
      </c>
      <c r="K990" s="15" t="str">
        <f>VLOOKUP(A990,sinap!$A$2:$R$9000,3,FALSE)</f>
        <v>VACA</v>
      </c>
      <c r="L990" s="15" t="str">
        <f>VLOOKUP(A990,sinap!$A$2:$R$9000,4,FALSE)</f>
        <v>ANGUS NEGRO</v>
      </c>
      <c r="M990" s="15" t="str">
        <f>VLOOKUP(A990,sinap!$A$2:$R$9000,5,FALSE)</f>
        <v>5 años 4 meses</v>
      </c>
      <c r="N990" s="15" t="str">
        <f>VLOOKUP(A990,sinap!$A$2:$R$9000,6,FALSE)</f>
        <v>15-09-2020</v>
      </c>
      <c r="O990" s="15" t="str">
        <f>VLOOKUP(A990,sinap!$A$2:$R$9000,7,FALSE)</f>
        <v>Vivo</v>
      </c>
      <c r="P990" s="15" t="str">
        <f>VLOOKUP(A990,sinap!$A$2:$R$9000,8,FALSE)</f>
        <v>11.1.01.2442</v>
      </c>
      <c r="Q990" s="15" t="str">
        <f>VLOOKUP(A990,sinap!$A$2:$R$9000,12,FALSE)</f>
        <v>11.1.01.0190</v>
      </c>
      <c r="R990" s="15" t="str">
        <f>VLOOKUP(A990,sinap!$A$2:$R$9000,16,FALSE)</f>
        <v>11.1.01.1241</v>
      </c>
      <c r="S990" s="15" t="str">
        <f>VLOOKUP(A990,sinap!$A$2:$Y$9000,20,FALSE)</f>
        <v>SI</v>
      </c>
    </row>
    <row r="991" spans="1:19" hidden="1" x14ac:dyDescent="0.25">
      <c r="A991" s="15">
        <v>19050152</v>
      </c>
      <c r="H991" s="16">
        <v>45648</v>
      </c>
      <c r="I991" s="16">
        <v>45671</v>
      </c>
      <c r="J991" s="15" t="str">
        <f>VLOOKUP(A991,sinap!$A$2:$R$9000,2,FALSE)</f>
        <v>H</v>
      </c>
      <c r="K991" s="15" t="str">
        <f>VLOOKUP(A991,sinap!$A$2:$R$9000,3,FALSE)</f>
        <v>VACA</v>
      </c>
      <c r="L991" s="15" t="str">
        <f>VLOOKUP(A991,sinap!$A$2:$R$9000,4,FALSE)</f>
        <v>ANGUS NEGRO</v>
      </c>
      <c r="M991" s="15" t="str">
        <f>VLOOKUP(A991,sinap!$A$2:$R$9000,5,FALSE)</f>
        <v>5 años 4 meses</v>
      </c>
      <c r="N991" s="15" t="str">
        <f>VLOOKUP(A991,sinap!$A$2:$R$9000,6,FALSE)</f>
        <v>11-09-2020</v>
      </c>
      <c r="O991" s="15" t="str">
        <f>VLOOKUP(A991,sinap!$A$2:$R$9000,7,FALSE)</f>
        <v>Vivo</v>
      </c>
      <c r="P991" s="15" t="str">
        <f>VLOOKUP(A991,sinap!$A$2:$R$9000,8,FALSE)</f>
        <v>11.1.01.1241</v>
      </c>
      <c r="Q991" s="15" t="str">
        <f>VLOOKUP(A991,sinap!$A$2:$R$9000,12,FALSE)</f>
        <v>11.1.01.1022</v>
      </c>
      <c r="R991" s="15" t="str">
        <f>VLOOKUP(A991,sinap!$A$2:$R$9000,16,FALSE)</f>
        <v>11.1.01.1241</v>
      </c>
      <c r="S991" s="15" t="str">
        <f>VLOOKUP(A991,sinap!$A$2:$Y$9000,20,FALSE)</f>
        <v>SI</v>
      </c>
    </row>
    <row r="992" spans="1:19" hidden="1" x14ac:dyDescent="0.25">
      <c r="A992" s="15">
        <v>19050154</v>
      </c>
      <c r="J992" s="15" t="str">
        <f>VLOOKUP(A992,sinap!$A$2:$R$9000,2,FALSE)</f>
        <v>H</v>
      </c>
      <c r="K992" s="15" t="str">
        <f>VLOOKUP(A992,sinap!$A$2:$R$9000,3,FALSE)</f>
        <v>VACA</v>
      </c>
      <c r="L992" s="15" t="str">
        <f>VLOOKUP(A992,sinap!$A$2:$R$9000,4,FALSE)</f>
        <v>ANGUS NEGRO</v>
      </c>
      <c r="M992" s="15" t="str">
        <f>VLOOKUP(A992,sinap!$A$2:$R$9000,5,FALSE)</f>
        <v>5 años 4 meses</v>
      </c>
      <c r="N992" s="15" t="str">
        <f>VLOOKUP(A992,sinap!$A$2:$R$9000,6,FALSE)</f>
        <v>15-09-2020</v>
      </c>
      <c r="O992" s="15" t="str">
        <f>VLOOKUP(A992,sinap!$A$2:$R$9000,7,FALSE)</f>
        <v>Vivo</v>
      </c>
      <c r="P992" s="15" t="str">
        <f>VLOOKUP(A992,sinap!$A$2:$R$9000,8,FALSE)</f>
        <v>11.1.01.0893</v>
      </c>
      <c r="Q992" s="15" t="str">
        <f>VLOOKUP(A992,sinap!$A$2:$R$9000,12,FALSE)</f>
        <v>11.1.02.0004</v>
      </c>
      <c r="R992" s="15" t="str">
        <f>VLOOKUP(A992,sinap!$A$2:$R$9000,16,FALSE)</f>
        <v>11.1.01.1241</v>
      </c>
      <c r="S992" s="15" t="str">
        <f>VLOOKUP(A992,sinap!$A$2:$Y$9000,20,FALSE)</f>
        <v>SI</v>
      </c>
    </row>
    <row r="993" spans="1:19" hidden="1" x14ac:dyDescent="0.25">
      <c r="A993" s="15">
        <v>19050162</v>
      </c>
      <c r="H993" s="16">
        <v>45648</v>
      </c>
      <c r="I993" s="16">
        <v>45965</v>
      </c>
      <c r="J993" s="15" t="str">
        <f>VLOOKUP(A993,sinap!$A$2:$R$9000,2,FALSE)</f>
        <v>H</v>
      </c>
      <c r="K993" s="15" t="str">
        <f>VLOOKUP(A993,sinap!$A$2:$R$9000,3,FALSE)</f>
        <v>VACA</v>
      </c>
      <c r="L993" s="15" t="str">
        <f>VLOOKUP(A993,sinap!$A$2:$R$9000,4,FALSE)</f>
        <v>ANGUS ROJO</v>
      </c>
      <c r="M993" s="15" t="str">
        <f>VLOOKUP(A993,sinap!$A$2:$R$9000,5,FALSE)</f>
        <v>5 años 3 meses</v>
      </c>
      <c r="N993" s="15" t="str">
        <f>VLOOKUP(A993,sinap!$A$2:$R$9000,6,FALSE)</f>
        <v>05-10-2020</v>
      </c>
      <c r="O993" s="15" t="str">
        <f>VLOOKUP(A993,sinap!$A$2:$R$9000,7,FALSE)</f>
        <v>Vivo</v>
      </c>
      <c r="P993" s="15" t="str">
        <f>VLOOKUP(A993,sinap!$A$2:$R$9000,8,FALSE)</f>
        <v>11.1.01.1241</v>
      </c>
      <c r="Q993" s="15" t="str">
        <f>VLOOKUP(A993,sinap!$A$2:$R$9000,12,FALSE)</f>
        <v>11.2.01.0038</v>
      </c>
      <c r="R993" s="15" t="str">
        <f>VLOOKUP(A993,sinap!$A$2:$R$9000,16,FALSE)</f>
        <v>11.1.01.1241</v>
      </c>
      <c r="S993" s="15" t="str">
        <f>VLOOKUP(A993,sinap!$A$2:$Y$9000,20,FALSE)</f>
        <v>SI</v>
      </c>
    </row>
    <row r="994" spans="1:19" hidden="1" x14ac:dyDescent="0.25">
      <c r="A994" s="15">
        <v>19050165</v>
      </c>
      <c r="H994" s="16">
        <v>45648</v>
      </c>
      <c r="I994" s="16">
        <v>45966</v>
      </c>
      <c r="J994" s="15" t="str">
        <f>VLOOKUP(A994,sinap!$A$2:$R$9000,2,FALSE)</f>
        <v>H</v>
      </c>
      <c r="K994" s="15" t="str">
        <f>VLOOKUP(A994,sinap!$A$2:$R$9000,3,FALSE)</f>
        <v>VACA</v>
      </c>
      <c r="L994" s="15" t="str">
        <f>VLOOKUP(A994,sinap!$A$2:$R$9000,4,FALSE)</f>
        <v>ANGUS NEGRO</v>
      </c>
      <c r="M994" s="15" t="str">
        <f>VLOOKUP(A994,sinap!$A$2:$R$9000,5,FALSE)</f>
        <v>5 años 3 meses</v>
      </c>
      <c r="N994" s="15" t="str">
        <f>VLOOKUP(A994,sinap!$A$2:$R$9000,6,FALSE)</f>
        <v>25-09-2020</v>
      </c>
      <c r="O994" s="15" t="str">
        <f>VLOOKUP(A994,sinap!$A$2:$R$9000,7,FALSE)</f>
        <v>Vivo</v>
      </c>
      <c r="P994" s="15" t="str">
        <f>VLOOKUP(A994,sinap!$A$2:$R$9000,8,FALSE)</f>
        <v>11.1.01.2442</v>
      </c>
      <c r="Q994" s="15" t="str">
        <f>VLOOKUP(A994,sinap!$A$2:$R$9000,12,FALSE)</f>
        <v>11.1.01.0190</v>
      </c>
      <c r="R994" s="15" t="str">
        <f>VLOOKUP(A994,sinap!$A$2:$R$9000,16,FALSE)</f>
        <v>11.1.01.1241</v>
      </c>
      <c r="S994" s="15" t="str">
        <f>VLOOKUP(A994,sinap!$A$2:$Y$9000,20,FALSE)</f>
        <v>SI</v>
      </c>
    </row>
    <row r="995" spans="1:19" hidden="1" x14ac:dyDescent="0.25">
      <c r="A995" s="15">
        <v>19050172</v>
      </c>
      <c r="J995" s="15" t="str">
        <f>VLOOKUP(A995,sinap!$A$2:$R$9000,2,FALSE)</f>
        <v>H</v>
      </c>
      <c r="K995" s="15" t="str">
        <f>VLOOKUP(A995,sinap!$A$2:$R$9000,3,FALSE)</f>
        <v>VACA</v>
      </c>
      <c r="L995" s="15" t="str">
        <f>VLOOKUP(A995,sinap!$A$2:$R$9000,4,FALSE)</f>
        <v>ANGUS NEGRO</v>
      </c>
      <c r="M995" s="15" t="str">
        <f>VLOOKUP(A995,sinap!$A$2:$R$9000,5,FALSE)</f>
        <v>5 años 2 meses</v>
      </c>
      <c r="N995" s="15" t="str">
        <f>VLOOKUP(A995,sinap!$A$2:$R$9000,6,FALSE)</f>
        <v>30-10-2020</v>
      </c>
      <c r="O995" s="15" t="str">
        <f>VLOOKUP(A995,sinap!$A$2:$R$9000,7,FALSE)</f>
        <v>Vivo</v>
      </c>
      <c r="P995" s="15" t="str">
        <f>VLOOKUP(A995,sinap!$A$2:$R$9000,8,FALSE)</f>
        <v>11.1.01.1241</v>
      </c>
      <c r="Q995" s="15" t="str">
        <f>VLOOKUP(A995,sinap!$A$2:$R$9000,12,FALSE)</f>
        <v>Sin Movimiento</v>
      </c>
      <c r="R995" s="15" t="str">
        <f>VLOOKUP(A995,sinap!$A$2:$R$9000,16,FALSE)</f>
        <v>11.1.01.1241</v>
      </c>
      <c r="S995" s="15" t="str">
        <f>VLOOKUP(A995,sinap!$A$2:$Y$9000,20,FALSE)</f>
        <v>SI</v>
      </c>
    </row>
    <row r="996" spans="1:19" hidden="1" x14ac:dyDescent="0.25">
      <c r="A996" s="15">
        <v>19050173</v>
      </c>
      <c r="J996" s="15" t="str">
        <f>VLOOKUP(A996,sinap!$A$2:$R$9000,2,FALSE)</f>
        <v>H</v>
      </c>
      <c r="K996" s="15" t="str">
        <f>VLOOKUP(A996,sinap!$A$2:$R$9000,3,FALSE)</f>
        <v>VACA</v>
      </c>
      <c r="L996" s="15" t="str">
        <f>VLOOKUP(A996,sinap!$A$2:$R$9000,4,FALSE)</f>
        <v>ANGUS NEGRO</v>
      </c>
      <c r="M996" s="15" t="str">
        <f>VLOOKUP(A996,sinap!$A$2:$R$9000,5,FALSE)</f>
        <v>5 años 3 meses</v>
      </c>
      <c r="N996" s="15" t="str">
        <f>VLOOKUP(A996,sinap!$A$2:$R$9000,6,FALSE)</f>
        <v>30-09-2020</v>
      </c>
      <c r="O996" s="15" t="str">
        <f>VLOOKUP(A996,sinap!$A$2:$R$9000,7,FALSE)</f>
        <v>Vivo</v>
      </c>
      <c r="P996" s="15" t="str">
        <f>VLOOKUP(A996,sinap!$A$2:$R$9000,8,FALSE)</f>
        <v>11.2.01.0038</v>
      </c>
      <c r="Q996" s="15" t="str">
        <f>VLOOKUP(A996,sinap!$A$2:$R$9000,12,FALSE)</f>
        <v>11.1.01.1241</v>
      </c>
      <c r="R996" s="15" t="str">
        <f>VLOOKUP(A996,sinap!$A$2:$R$9000,16,FALSE)</f>
        <v>11.1.01.1241</v>
      </c>
      <c r="S996" s="15" t="str">
        <f>VLOOKUP(A996,sinap!$A$2:$Y$9000,20,FALSE)</f>
        <v>SI</v>
      </c>
    </row>
    <row r="997" spans="1:19" hidden="1" x14ac:dyDescent="0.25">
      <c r="A997" s="15">
        <v>19050177</v>
      </c>
      <c r="H997" s="16">
        <v>45430</v>
      </c>
      <c r="I997" s="16">
        <v>45966</v>
      </c>
      <c r="J997" s="15" t="str">
        <f>VLOOKUP(A997,sinap!$A$2:$R$9000,2,FALSE)</f>
        <v>H</v>
      </c>
      <c r="K997" s="15" t="str">
        <f>VLOOKUP(A997,sinap!$A$2:$R$9000,3,FALSE)</f>
        <v>VACA</v>
      </c>
      <c r="L997" s="15" t="str">
        <f>VLOOKUP(A997,sinap!$A$2:$R$9000,4,FALSE)</f>
        <v>ANGUS NEGRO</v>
      </c>
      <c r="M997" s="15" t="str">
        <f>VLOOKUP(A997,sinap!$A$2:$R$9000,5,FALSE)</f>
        <v>5 años 2 meses</v>
      </c>
      <c r="N997" s="15" t="str">
        <f>VLOOKUP(A997,sinap!$A$2:$R$9000,6,FALSE)</f>
        <v>25-10-2020</v>
      </c>
      <c r="O997" s="15" t="str">
        <f>VLOOKUP(A997,sinap!$A$2:$R$9000,7,FALSE)</f>
        <v>Vivo</v>
      </c>
      <c r="P997" s="15" t="str">
        <f>VLOOKUP(A997,sinap!$A$2:$R$9000,8,FALSE)</f>
        <v>11.1.01.2442</v>
      </c>
      <c r="Q997" s="15" t="str">
        <f>VLOOKUP(A997,sinap!$A$2:$R$9000,12,FALSE)</f>
        <v>11.1.01.0190</v>
      </c>
      <c r="R997" s="15" t="str">
        <f>VLOOKUP(A997,sinap!$A$2:$R$9000,16,FALSE)</f>
        <v>11.1.01.1241</v>
      </c>
      <c r="S997" s="15" t="str">
        <f>VLOOKUP(A997,sinap!$A$2:$Y$9000,20,FALSE)</f>
        <v>SI</v>
      </c>
    </row>
    <row r="998" spans="1:19" hidden="1" x14ac:dyDescent="0.25">
      <c r="A998" s="15">
        <v>19050183</v>
      </c>
      <c r="J998" s="15" t="str">
        <f>VLOOKUP(A998,sinap!$A$2:$R$9000,2,FALSE)</f>
        <v>H</v>
      </c>
      <c r="K998" s="15" t="str">
        <f>VLOOKUP(A998,sinap!$A$2:$R$9000,3,FALSE)</f>
        <v>VACA</v>
      </c>
      <c r="L998" s="15" t="str">
        <f>VLOOKUP(A998,sinap!$A$2:$R$9000,4,FALSE)</f>
        <v>ANGUS NEGRO</v>
      </c>
      <c r="M998" s="15" t="str">
        <f>VLOOKUP(A998,sinap!$A$2:$R$9000,5,FALSE)</f>
        <v>5 años 2 meses</v>
      </c>
      <c r="N998" s="15" t="str">
        <f>VLOOKUP(A998,sinap!$A$2:$R$9000,6,FALSE)</f>
        <v>20-10-2020</v>
      </c>
      <c r="O998" s="15" t="str">
        <f>VLOOKUP(A998,sinap!$A$2:$R$9000,7,FALSE)</f>
        <v>Vivo</v>
      </c>
      <c r="P998" s="15" t="str">
        <f>VLOOKUP(A998,sinap!$A$2:$R$9000,8,FALSE)</f>
        <v>11.1.01.0893</v>
      </c>
      <c r="Q998" s="15" t="str">
        <f>VLOOKUP(A998,sinap!$A$2:$R$9000,12,FALSE)</f>
        <v>11.1.02.0004</v>
      </c>
      <c r="R998" s="15" t="str">
        <f>VLOOKUP(A998,sinap!$A$2:$R$9000,16,FALSE)</f>
        <v>11.1.01.1241</v>
      </c>
      <c r="S998" s="15" t="str">
        <f>VLOOKUP(A998,sinap!$A$2:$Y$9000,20,FALSE)</f>
        <v>SI</v>
      </c>
    </row>
    <row r="999" spans="1:19" hidden="1" x14ac:dyDescent="0.25">
      <c r="A999" s="15">
        <v>19050196</v>
      </c>
      <c r="H999" s="16">
        <v>45648</v>
      </c>
      <c r="I999" s="16">
        <v>45671</v>
      </c>
      <c r="J999" s="15" t="str">
        <f>VLOOKUP(A999,sinap!$A$2:$R$9000,2,FALSE)</f>
        <v>H</v>
      </c>
      <c r="K999" s="15" t="str">
        <f>VLOOKUP(A999,sinap!$A$2:$R$9000,3,FALSE)</f>
        <v>VACA</v>
      </c>
      <c r="L999" s="15" t="str">
        <f>VLOOKUP(A999,sinap!$A$2:$R$9000,4,FALSE)</f>
        <v>ANGUS ROJO</v>
      </c>
      <c r="M999" s="15" t="str">
        <f>VLOOKUP(A999,sinap!$A$2:$R$9000,5,FALSE)</f>
        <v>5 años 3 meses</v>
      </c>
      <c r="N999" s="15" t="str">
        <f>VLOOKUP(A999,sinap!$A$2:$R$9000,6,FALSE)</f>
        <v>10-10-2020</v>
      </c>
      <c r="O999" s="15" t="str">
        <f>VLOOKUP(A999,sinap!$A$2:$R$9000,7,FALSE)</f>
        <v>Vivo</v>
      </c>
      <c r="P999" s="15" t="str">
        <f>VLOOKUP(A999,sinap!$A$2:$R$9000,8,FALSE)</f>
        <v>11.1.01.1241</v>
      </c>
      <c r="Q999" s="15" t="str">
        <f>VLOOKUP(A999,sinap!$A$2:$R$9000,12,FALSE)</f>
        <v>11.1.01.1022</v>
      </c>
      <c r="R999" s="15" t="str">
        <f>VLOOKUP(A999,sinap!$A$2:$R$9000,16,FALSE)</f>
        <v>11.1.01.1241</v>
      </c>
      <c r="S999" s="15" t="str">
        <f>VLOOKUP(A999,sinap!$A$2:$Y$9000,20,FALSE)</f>
        <v>SI</v>
      </c>
    </row>
    <row r="1000" spans="1:19" hidden="1" x14ac:dyDescent="0.25">
      <c r="A1000" s="15">
        <v>19050200</v>
      </c>
      <c r="H1000" s="16">
        <v>45648</v>
      </c>
      <c r="I1000" s="16">
        <v>45965</v>
      </c>
      <c r="J1000" s="15" t="str">
        <f>VLOOKUP(A1000,sinap!$A$2:$R$9000,2,FALSE)</f>
        <v>H</v>
      </c>
      <c r="K1000" s="15" t="str">
        <f>VLOOKUP(A1000,sinap!$A$2:$R$9000,3,FALSE)</f>
        <v>VACA</v>
      </c>
      <c r="L1000" s="15" t="str">
        <f>VLOOKUP(A1000,sinap!$A$2:$R$9000,4,FALSE)</f>
        <v>ANGUS NEGRO</v>
      </c>
      <c r="M1000" s="15" t="str">
        <f>VLOOKUP(A1000,sinap!$A$2:$R$9000,5,FALSE)</f>
        <v>5 años 3 meses</v>
      </c>
      <c r="N1000" s="15" t="str">
        <f>VLOOKUP(A1000,sinap!$A$2:$R$9000,6,FALSE)</f>
        <v>30-09-2020</v>
      </c>
      <c r="O1000" s="15" t="str">
        <f>VLOOKUP(A1000,sinap!$A$2:$R$9000,7,FALSE)</f>
        <v>Vivo</v>
      </c>
      <c r="P1000" s="15" t="str">
        <f>VLOOKUP(A1000,sinap!$A$2:$R$9000,8,FALSE)</f>
        <v>11.1.01.2442</v>
      </c>
      <c r="Q1000" s="15" t="str">
        <f>VLOOKUP(A1000,sinap!$A$2:$R$9000,12,FALSE)</f>
        <v>11.1.01.0190</v>
      </c>
      <c r="R1000" s="15" t="str">
        <f>VLOOKUP(A1000,sinap!$A$2:$R$9000,16,FALSE)</f>
        <v>11.1.01.1241</v>
      </c>
      <c r="S1000" s="15" t="str">
        <f>VLOOKUP(A1000,sinap!$A$2:$Y$9000,20,FALSE)</f>
        <v>SI</v>
      </c>
    </row>
    <row r="1001" spans="1:19" hidden="1" x14ac:dyDescent="0.25">
      <c r="A1001" s="15">
        <v>19050206</v>
      </c>
      <c r="H1001" s="16">
        <v>45648</v>
      </c>
      <c r="I1001" s="16">
        <v>45671</v>
      </c>
      <c r="J1001" s="15" t="str">
        <f>VLOOKUP(A1001,sinap!$A$2:$R$9000,2,FALSE)</f>
        <v>H</v>
      </c>
      <c r="K1001" s="15" t="str">
        <f>VLOOKUP(A1001,sinap!$A$2:$R$9000,3,FALSE)</f>
        <v>VACA</v>
      </c>
      <c r="L1001" s="15" t="str">
        <f>VLOOKUP(A1001,sinap!$A$2:$R$9000,4,FALSE)</f>
        <v>ANGUS NEGRO</v>
      </c>
      <c r="M1001" s="15" t="str">
        <f>VLOOKUP(A1001,sinap!$A$2:$R$9000,5,FALSE)</f>
        <v>5 años 3 meses</v>
      </c>
      <c r="N1001" s="15" t="str">
        <f>VLOOKUP(A1001,sinap!$A$2:$R$9000,6,FALSE)</f>
        <v>15-10-2020</v>
      </c>
      <c r="O1001" s="15" t="str">
        <f>VLOOKUP(A1001,sinap!$A$2:$R$9000,7,FALSE)</f>
        <v>Vivo</v>
      </c>
      <c r="P1001" s="15" t="str">
        <f>VLOOKUP(A1001,sinap!$A$2:$R$9000,8,FALSE)</f>
        <v>11.1.01.1241</v>
      </c>
      <c r="Q1001" s="15" t="str">
        <f>VLOOKUP(A1001,sinap!$A$2:$R$9000,12,FALSE)</f>
        <v>11.1.01.1022</v>
      </c>
      <c r="R1001" s="15" t="str">
        <f>VLOOKUP(A1001,sinap!$A$2:$R$9000,16,FALSE)</f>
        <v>11.1.01.1241</v>
      </c>
      <c r="S1001" s="15" t="str">
        <f>VLOOKUP(A1001,sinap!$A$2:$Y$9000,20,FALSE)</f>
        <v>SI</v>
      </c>
    </row>
    <row r="1002" spans="1:19" hidden="1" x14ac:dyDescent="0.25">
      <c r="A1002" s="15">
        <v>19050207</v>
      </c>
      <c r="H1002" s="16">
        <v>45648</v>
      </c>
      <c r="I1002" s="16">
        <v>45671</v>
      </c>
      <c r="J1002" s="15" t="str">
        <f>VLOOKUP(A1002,sinap!$A$2:$R$9000,2,FALSE)</f>
        <v>H</v>
      </c>
      <c r="K1002" s="15" t="str">
        <f>VLOOKUP(A1002,sinap!$A$2:$R$9000,3,FALSE)</f>
        <v>VACA</v>
      </c>
      <c r="L1002" s="15" t="str">
        <f>VLOOKUP(A1002,sinap!$A$2:$R$9000,4,FALSE)</f>
        <v>ANGUS NEGRO</v>
      </c>
      <c r="M1002" s="15" t="str">
        <f>VLOOKUP(A1002,sinap!$A$2:$R$9000,5,FALSE)</f>
        <v>5 años 2 meses</v>
      </c>
      <c r="N1002" s="15" t="str">
        <f>VLOOKUP(A1002,sinap!$A$2:$R$9000,6,FALSE)</f>
        <v>20-10-2020</v>
      </c>
      <c r="O1002" s="15" t="str">
        <f>VLOOKUP(A1002,sinap!$A$2:$R$9000,7,FALSE)</f>
        <v>Vivo</v>
      </c>
      <c r="P1002" s="15" t="str">
        <f>VLOOKUP(A1002,sinap!$A$2:$R$9000,8,FALSE)</f>
        <v>11.1.01.1241</v>
      </c>
      <c r="Q1002" s="15" t="str">
        <f>VLOOKUP(A1002,sinap!$A$2:$R$9000,12,FALSE)</f>
        <v>11.1.01.1022</v>
      </c>
      <c r="R1002" s="15" t="str">
        <f>VLOOKUP(A1002,sinap!$A$2:$R$9000,16,FALSE)</f>
        <v>11.1.01.1241</v>
      </c>
      <c r="S1002" s="15" t="str">
        <f>VLOOKUP(A1002,sinap!$A$2:$Y$9000,20,FALSE)</f>
        <v>SI</v>
      </c>
    </row>
    <row r="1003" spans="1:19" hidden="1" x14ac:dyDescent="0.25">
      <c r="A1003" s="15">
        <v>19050210</v>
      </c>
      <c r="J1003" s="15" t="str">
        <f>VLOOKUP(A1003,sinap!$A$2:$R$9000,2,FALSE)</f>
        <v>H</v>
      </c>
      <c r="K1003" s="15" t="str">
        <f>VLOOKUP(A1003,sinap!$A$2:$R$9000,3,FALSE)</f>
        <v>VACA</v>
      </c>
      <c r="L1003" s="15" t="str">
        <f>VLOOKUP(A1003,sinap!$A$2:$R$9000,4,FALSE)</f>
        <v>ANGUS NEGRO</v>
      </c>
      <c r="M1003" s="15" t="str">
        <f>VLOOKUP(A1003,sinap!$A$2:$R$9000,5,FALSE)</f>
        <v>5 años 3 meses</v>
      </c>
      <c r="N1003" s="15" t="str">
        <f>VLOOKUP(A1003,sinap!$A$2:$R$9000,6,FALSE)</f>
        <v>10-10-2020</v>
      </c>
      <c r="O1003" s="15" t="str">
        <f>VLOOKUP(A1003,sinap!$A$2:$R$9000,7,FALSE)</f>
        <v>Vivo</v>
      </c>
      <c r="P1003" s="15" t="str">
        <f>VLOOKUP(A1003,sinap!$A$2:$R$9000,8,FALSE)</f>
        <v>11.1.01.2304</v>
      </c>
      <c r="Q1003" s="15" t="str">
        <f>VLOOKUP(A1003,sinap!$A$2:$R$9000,12,FALSE)</f>
        <v>11.2.01.0053</v>
      </c>
      <c r="R1003" s="15" t="str">
        <f>VLOOKUP(A1003,sinap!$A$2:$R$9000,16,FALSE)</f>
        <v>11.1.01.1241</v>
      </c>
      <c r="S1003" s="15" t="str">
        <f>VLOOKUP(A1003,sinap!$A$2:$Y$9000,20,FALSE)</f>
        <v>SI</v>
      </c>
    </row>
    <row r="1004" spans="1:19" hidden="1" x14ac:dyDescent="0.25">
      <c r="A1004" s="15">
        <v>19050213</v>
      </c>
      <c r="J1004" s="15" t="str">
        <f>VLOOKUP(A1004,sinap!$A$2:$R$9000,2,FALSE)</f>
        <v>H</v>
      </c>
      <c r="K1004" s="15" t="str">
        <f>VLOOKUP(A1004,sinap!$A$2:$R$9000,3,FALSE)</f>
        <v>VACA</v>
      </c>
      <c r="L1004" s="15" t="str">
        <f>VLOOKUP(A1004,sinap!$A$2:$R$9000,4,FALSE)</f>
        <v>ANGUS NEGRO</v>
      </c>
      <c r="M1004" s="15" t="str">
        <f>VLOOKUP(A1004,sinap!$A$2:$R$9000,5,FALSE)</f>
        <v>5 años 2 meses</v>
      </c>
      <c r="N1004" s="15" t="str">
        <f>VLOOKUP(A1004,sinap!$A$2:$R$9000,6,FALSE)</f>
        <v>30-10-2020</v>
      </c>
      <c r="O1004" s="15" t="str">
        <f>VLOOKUP(A1004,sinap!$A$2:$R$9000,7,FALSE)</f>
        <v>Vivo</v>
      </c>
      <c r="P1004" s="15" t="str">
        <f>VLOOKUP(A1004,sinap!$A$2:$R$9000,8,FALSE)</f>
        <v>11.1.01.1241</v>
      </c>
      <c r="Q1004" s="15" t="str">
        <f>VLOOKUP(A1004,sinap!$A$2:$R$9000,12,FALSE)</f>
        <v>Sin Movimiento</v>
      </c>
      <c r="R1004" s="15" t="str">
        <f>VLOOKUP(A1004,sinap!$A$2:$R$9000,16,FALSE)</f>
        <v>11.1.01.1241</v>
      </c>
      <c r="S1004" s="15" t="str">
        <f>VLOOKUP(A1004,sinap!$A$2:$Y$9000,20,FALSE)</f>
        <v>SI</v>
      </c>
    </row>
    <row r="1005" spans="1:19" hidden="1" x14ac:dyDescent="0.25">
      <c r="A1005" s="15">
        <v>19050217</v>
      </c>
      <c r="J1005" s="15" t="str">
        <f>VLOOKUP(A1005,sinap!$A$2:$R$9000,2,FALSE)</f>
        <v>M</v>
      </c>
      <c r="K1005" s="15" t="str">
        <f>VLOOKUP(A1005,sinap!$A$2:$R$9000,3,FALSE)</f>
        <v>TORO</v>
      </c>
      <c r="L1005" s="15" t="str">
        <f>VLOOKUP(A1005,sinap!$A$2:$R$9000,4,FALSE)</f>
        <v>ANGUS NEGRO</v>
      </c>
      <c r="M1005" s="15" t="str">
        <f>VLOOKUP(A1005,sinap!$A$2:$R$9000,5,FALSE)</f>
        <v>5 años 2 meses</v>
      </c>
      <c r="N1005" s="15" t="str">
        <f>VLOOKUP(A1005,sinap!$A$2:$R$9000,6,FALSE)</f>
        <v>30-10-2020</v>
      </c>
      <c r="O1005" s="15" t="str">
        <f>VLOOKUP(A1005,sinap!$A$2:$R$9000,7,FALSE)</f>
        <v>Vivo</v>
      </c>
      <c r="P1005" s="15" t="str">
        <f>VLOOKUP(A1005,sinap!$A$2:$R$9000,8,FALSE)</f>
        <v>11.1.01.1241</v>
      </c>
      <c r="Q1005" s="15" t="str">
        <f>VLOOKUP(A1005,sinap!$A$2:$R$9000,12,FALSE)</f>
        <v>Sin Movimiento</v>
      </c>
      <c r="R1005" s="15" t="str">
        <f>VLOOKUP(A1005,sinap!$A$2:$R$9000,16,FALSE)</f>
        <v>11.1.01.1241</v>
      </c>
      <c r="S1005" s="15" t="str">
        <f>VLOOKUP(A1005,sinap!$A$2:$Y$9000,20,FALSE)</f>
        <v>SI</v>
      </c>
    </row>
    <row r="1006" spans="1:19" hidden="1" x14ac:dyDescent="0.25">
      <c r="A1006" s="15">
        <v>19050218</v>
      </c>
      <c r="J1006" s="15" t="str">
        <f>VLOOKUP(A1006,sinap!$A$2:$R$9000,2,FALSE)</f>
        <v>H</v>
      </c>
      <c r="K1006" s="15" t="str">
        <f>VLOOKUP(A1006,sinap!$A$2:$R$9000,3,FALSE)</f>
        <v>VACA</v>
      </c>
      <c r="L1006" s="15" t="str">
        <f>VLOOKUP(A1006,sinap!$A$2:$R$9000,4,FALSE)</f>
        <v>ANGUS NEGRO</v>
      </c>
      <c r="M1006" s="15" t="str">
        <f>VLOOKUP(A1006,sinap!$A$2:$R$9000,5,FALSE)</f>
        <v>5 años 2 meses</v>
      </c>
      <c r="N1006" s="15" t="str">
        <f>VLOOKUP(A1006,sinap!$A$2:$R$9000,6,FALSE)</f>
        <v>30-10-2020</v>
      </c>
      <c r="O1006" s="15" t="str">
        <f>VLOOKUP(A1006,sinap!$A$2:$R$9000,7,FALSE)</f>
        <v>Vivo</v>
      </c>
      <c r="P1006" s="15" t="str">
        <f>VLOOKUP(A1006,sinap!$A$2:$R$9000,8,FALSE)</f>
        <v>11.1.01.2304</v>
      </c>
      <c r="Q1006" s="15" t="str">
        <f>VLOOKUP(A1006,sinap!$A$2:$R$9000,12,FALSE)</f>
        <v>11.1.01.0941</v>
      </c>
      <c r="R1006" s="15" t="str">
        <f>VLOOKUP(A1006,sinap!$A$2:$R$9000,16,FALSE)</f>
        <v>11.1.01.1241</v>
      </c>
      <c r="S1006" s="15" t="str">
        <f>VLOOKUP(A1006,sinap!$A$2:$Y$9000,20,FALSE)</f>
        <v>SI</v>
      </c>
    </row>
    <row r="1007" spans="1:19" hidden="1" x14ac:dyDescent="0.25">
      <c r="A1007" s="15">
        <v>19050223</v>
      </c>
      <c r="B1007" s="15">
        <v>2636103</v>
      </c>
      <c r="I1007" s="16">
        <v>45965</v>
      </c>
      <c r="J1007" s="15" t="str">
        <f>VLOOKUP(A1007,sinap!$A$2:$R$9000,2,FALSE)</f>
        <v>M</v>
      </c>
      <c r="K1007" s="15" t="str">
        <f>VLOOKUP(A1007,sinap!$A$2:$R$9000,3,FALSE)</f>
        <v>TORO</v>
      </c>
      <c r="L1007" s="15" t="str">
        <f>VLOOKUP(A1007,sinap!$A$2:$R$9000,4,FALSE)</f>
        <v>ANGUS NEGRO</v>
      </c>
      <c r="M1007" s="15" t="str">
        <f>VLOOKUP(A1007,sinap!$A$2:$R$9000,5,FALSE)</f>
        <v>9 años 3 meses</v>
      </c>
      <c r="N1007" s="15" t="str">
        <f>VLOOKUP(A1007,sinap!$A$2:$R$9000,6,FALSE)</f>
        <v>24-09-2016</v>
      </c>
      <c r="O1007" s="15" t="str">
        <f>VLOOKUP(A1007,sinap!$A$2:$R$9000,7,FALSE)</f>
        <v>Vivo</v>
      </c>
      <c r="P1007" s="15" t="str">
        <f>VLOOKUP(A1007,sinap!$A$2:$R$9000,8,FALSE)</f>
        <v>11.1.01.2442</v>
      </c>
      <c r="Q1007" s="15" t="str">
        <f>VLOOKUP(A1007,sinap!$A$2:$R$9000,12,FALSE)</f>
        <v>11.1.01.0190</v>
      </c>
      <c r="R1007" s="15" t="str">
        <f>VLOOKUP(A1007,sinap!$A$2:$R$9000,16,FALSE)</f>
        <v>11.1.01.0932</v>
      </c>
      <c r="S1007" s="15" t="str">
        <f>VLOOKUP(A1007,sinap!$A$2:$Y$9000,20,FALSE)</f>
        <v>SI</v>
      </c>
    </row>
    <row r="1008" spans="1:19" hidden="1" x14ac:dyDescent="0.25">
      <c r="A1008" s="15">
        <v>19050228</v>
      </c>
      <c r="B1008" s="15">
        <v>2636123</v>
      </c>
      <c r="J1008" s="15" t="str">
        <f>VLOOKUP(A1008,sinap!$A$2:$R$9000,2,FALSE)</f>
        <v>M</v>
      </c>
      <c r="K1008" s="15" t="str">
        <f>VLOOKUP(A1008,sinap!$A$2:$R$9000,3,FALSE)</f>
        <v>BUEY</v>
      </c>
      <c r="L1008" s="15" t="str">
        <f>VLOOKUP(A1008,sinap!$A$2:$R$9000,4,FALSE)</f>
        <v>ANGUS NEGRO</v>
      </c>
      <c r="M1008" s="15" t="str">
        <f>VLOOKUP(A1008,sinap!$A$2:$R$9000,5,FALSE)</f>
        <v>8 años 3 meses</v>
      </c>
      <c r="N1008" s="15" t="str">
        <f>VLOOKUP(A1008,sinap!$A$2:$R$9000,6,FALSE)</f>
        <v>15-10-2017</v>
      </c>
      <c r="O1008" s="15" t="str">
        <f>VLOOKUP(A1008,sinap!$A$2:$R$9000,7,FALSE)</f>
        <v>Vivo</v>
      </c>
      <c r="P1008" s="15" t="str">
        <f>VLOOKUP(A1008,sinap!$A$2:$R$9000,8,FALSE)</f>
        <v>11.1.01.1241</v>
      </c>
      <c r="Q1008" s="15" t="str">
        <f>VLOOKUP(A1008,sinap!$A$2:$R$9000,12,FALSE)</f>
        <v>11.2.01.0038</v>
      </c>
      <c r="R1008" s="15" t="str">
        <f>VLOOKUP(A1008,sinap!$A$2:$R$9000,16,FALSE)</f>
        <v>11.1.01.1241</v>
      </c>
      <c r="S1008" s="15" t="str">
        <f>VLOOKUP(A1008,sinap!$A$2:$Y$9000,20,FALSE)</f>
        <v>NO</v>
      </c>
    </row>
    <row r="1009" spans="1:20" hidden="1" x14ac:dyDescent="0.25">
      <c r="A1009" s="15">
        <v>19050229</v>
      </c>
      <c r="B1009" s="15">
        <v>2636122</v>
      </c>
      <c r="I1009" s="16">
        <v>45818</v>
      </c>
      <c r="J1009" s="15" t="str">
        <f>VLOOKUP(A1009,sinap!$A$2:$R$9000,2,FALSE)</f>
        <v>M</v>
      </c>
      <c r="K1009" s="15" t="str">
        <f>VLOOKUP(A1009,sinap!$A$2:$R$9000,3,FALSE)</f>
        <v>BUEY</v>
      </c>
      <c r="L1009" s="15" t="str">
        <f>VLOOKUP(A1009,sinap!$A$2:$R$9000,4,FALSE)</f>
        <v>ANGUS NEGRO</v>
      </c>
      <c r="M1009" s="15" t="str">
        <f>VLOOKUP(A1009,sinap!$A$2:$R$9000,5,FALSE)</f>
        <v>13 años 1 meses</v>
      </c>
      <c r="N1009" s="15" t="str">
        <f>VLOOKUP(A1009,sinap!$A$2:$R$9000,6,FALSE)</f>
        <v>28-11-2012</v>
      </c>
      <c r="O1009" s="15" t="str">
        <f>VLOOKUP(A1009,sinap!$A$2:$R$9000,7,FALSE)</f>
        <v>Vivo</v>
      </c>
      <c r="P1009" s="15" t="str">
        <f>VLOOKUP(A1009,sinap!$A$2:$R$9000,8,FALSE)</f>
        <v>11.2.01.0038</v>
      </c>
      <c r="Q1009" s="15" t="str">
        <f>VLOOKUP(A1009,sinap!$A$2:$R$9000,12,FALSE)</f>
        <v>11.1.01.1241</v>
      </c>
      <c r="R1009" s="15" t="str">
        <f>VLOOKUP(A1009,sinap!$A$2:$R$9000,16,FALSE)</f>
        <v>11.1.01.1241</v>
      </c>
      <c r="S1009" s="15" t="str">
        <f>VLOOKUP(A1009,sinap!$A$2:$Y$9000,20,FALSE)</f>
        <v>NO</v>
      </c>
      <c r="T1009" s="16">
        <v>45232</v>
      </c>
    </row>
    <row r="1010" spans="1:20" hidden="1" x14ac:dyDescent="0.25">
      <c r="A1010" s="15">
        <v>19050240</v>
      </c>
      <c r="B1010" s="15">
        <v>2636143</v>
      </c>
      <c r="H1010" s="16">
        <v>45636</v>
      </c>
      <c r="J1010" s="15" t="str">
        <f>VLOOKUP(A1010,sinap!$A$2:$R$9000,2,FALSE)</f>
        <v>M</v>
      </c>
      <c r="K1010" s="15" t="str">
        <f>VLOOKUP(A1010,sinap!$A$2:$R$9000,3,FALSE)</f>
        <v>TORO</v>
      </c>
      <c r="L1010" s="15" t="str">
        <f>VLOOKUP(A1010,sinap!$A$2:$R$9000,4,FALSE)</f>
        <v>ANGUS NEGRO</v>
      </c>
      <c r="M1010" s="15" t="str">
        <f>VLOOKUP(A1010,sinap!$A$2:$R$9000,5,FALSE)</f>
        <v>7 años 2 meses</v>
      </c>
      <c r="N1010" s="15" t="str">
        <f>VLOOKUP(A1010,sinap!$A$2:$R$9000,6,FALSE)</f>
        <v>31-10-2018</v>
      </c>
      <c r="O1010" s="15" t="str">
        <f>VLOOKUP(A1010,sinap!$A$2:$R$9000,7,FALSE)</f>
        <v>Vivo</v>
      </c>
      <c r="P1010" s="15" t="str">
        <f>VLOOKUP(A1010,sinap!$A$2:$R$9000,8,FALSE)</f>
        <v>11.1.01.0791</v>
      </c>
      <c r="Q1010" s="15" t="str">
        <f>VLOOKUP(A1010,sinap!$A$2:$R$9000,12,FALSE)</f>
        <v>11.1.01.0893</v>
      </c>
      <c r="R1010" s="15" t="str">
        <f>VLOOKUP(A1010,sinap!$A$2:$R$9000,16,FALSE)</f>
        <v>11.2.01.0251</v>
      </c>
      <c r="S1010" s="15" t="str">
        <f>VLOOKUP(A1010,sinap!$A$2:$Y$9000,20,FALSE)</f>
        <v>SI</v>
      </c>
    </row>
    <row r="1011" spans="1:20" hidden="1" x14ac:dyDescent="0.25">
      <c r="A1011" s="15">
        <v>19050244</v>
      </c>
      <c r="H1011" s="16">
        <v>45297</v>
      </c>
      <c r="J1011" s="15" t="str">
        <f>VLOOKUP(A1011,sinap!$A$2:$R$9000,2,FALSE)</f>
        <v>H</v>
      </c>
      <c r="K1011" s="15" t="str">
        <f>VLOOKUP(A1011,sinap!$A$2:$R$9000,3,FALSE)</f>
        <v>VACA</v>
      </c>
      <c r="L1011" s="15" t="str">
        <f>VLOOKUP(A1011,sinap!$A$2:$R$9000,4,FALSE)</f>
        <v>ANGUS NEGRO</v>
      </c>
      <c r="M1011" s="15" t="str">
        <f>VLOOKUP(A1011,sinap!$A$2:$R$9000,5,FALSE)</f>
        <v>10 años 3 meses</v>
      </c>
      <c r="N1011" s="15" t="str">
        <f>VLOOKUP(A1011,sinap!$A$2:$R$9000,6,FALSE)</f>
        <v>15-10-2015</v>
      </c>
      <c r="O1011" s="15" t="str">
        <f>VLOOKUP(A1011,sinap!$A$2:$R$9000,7,FALSE)</f>
        <v>Vivo</v>
      </c>
      <c r="P1011" s="15" t="str">
        <f>VLOOKUP(A1011,sinap!$A$2:$R$9000,8,FALSE)</f>
        <v>11.2.01.0038</v>
      </c>
      <c r="Q1011" s="15" t="str">
        <f>VLOOKUP(A1011,sinap!$A$2:$R$9000,12,FALSE)</f>
        <v>11.1.01.0893</v>
      </c>
      <c r="R1011" s="15" t="str">
        <f>VLOOKUP(A1011,sinap!$A$2:$R$9000,16,FALSE)</f>
        <v>11.1.01.0893</v>
      </c>
      <c r="S1011" s="15" t="str">
        <f>VLOOKUP(A1011,sinap!$A$2:$Y$9000,20,FALSE)</f>
        <v>NO</v>
      </c>
      <c r="T1011" s="16">
        <v>44156</v>
      </c>
    </row>
    <row r="1012" spans="1:20" hidden="1" x14ac:dyDescent="0.25">
      <c r="A1012" s="15">
        <v>19050254</v>
      </c>
      <c r="H1012" s="16">
        <v>45648</v>
      </c>
      <c r="I1012" s="16">
        <v>45671</v>
      </c>
      <c r="J1012" s="15" t="str">
        <f>VLOOKUP(A1012,sinap!$A$2:$R$9000,2,FALSE)</f>
        <v>H</v>
      </c>
      <c r="K1012" s="15" t="str">
        <f>VLOOKUP(A1012,sinap!$A$2:$R$9000,3,FALSE)</f>
        <v>VACA</v>
      </c>
      <c r="L1012" s="15" t="str">
        <f>VLOOKUP(A1012,sinap!$A$2:$R$9000,4,FALSE)</f>
        <v>ANGUS NEGRO</v>
      </c>
      <c r="M1012" s="15" t="str">
        <f>VLOOKUP(A1012,sinap!$A$2:$R$9000,5,FALSE)</f>
        <v>5 años 3 meses</v>
      </c>
      <c r="N1012" s="15" t="str">
        <f>VLOOKUP(A1012,sinap!$A$2:$R$9000,6,FALSE)</f>
        <v>30-09-2020</v>
      </c>
      <c r="O1012" s="15" t="str">
        <f>VLOOKUP(A1012,sinap!$A$2:$R$9000,7,FALSE)</f>
        <v>Vivo</v>
      </c>
      <c r="P1012" s="15" t="str">
        <f>VLOOKUP(A1012,sinap!$A$2:$R$9000,8,FALSE)</f>
        <v>11.1.01.1241</v>
      </c>
      <c r="Q1012" s="15" t="str">
        <f>VLOOKUP(A1012,sinap!$A$2:$R$9000,12,FALSE)</f>
        <v>11.2.01.0038</v>
      </c>
      <c r="R1012" s="15" t="str">
        <f>VLOOKUP(A1012,sinap!$A$2:$R$9000,16,FALSE)</f>
        <v>11.1.01.0893</v>
      </c>
      <c r="S1012" s="15" t="str">
        <f>VLOOKUP(A1012,sinap!$A$2:$Y$9000,20,FALSE)</f>
        <v>SI</v>
      </c>
    </row>
    <row r="1013" spans="1:20" hidden="1" x14ac:dyDescent="0.25">
      <c r="A1013" s="15">
        <v>19050271</v>
      </c>
      <c r="H1013" s="16">
        <v>45648</v>
      </c>
      <c r="I1013" s="16">
        <v>45965</v>
      </c>
      <c r="J1013" s="15" t="str">
        <f>VLOOKUP(A1013,sinap!$A$2:$R$9000,2,FALSE)</f>
        <v>H</v>
      </c>
      <c r="K1013" s="15" t="str">
        <f>VLOOKUP(A1013,sinap!$A$2:$R$9000,3,FALSE)</f>
        <v>VACA</v>
      </c>
      <c r="L1013" s="15" t="str">
        <f>VLOOKUP(A1013,sinap!$A$2:$R$9000,4,FALSE)</f>
        <v>ANGUS NEGRO</v>
      </c>
      <c r="M1013" s="15" t="str">
        <f>VLOOKUP(A1013,sinap!$A$2:$R$9000,5,FALSE)</f>
        <v>5 años 3 meses</v>
      </c>
      <c r="N1013" s="15" t="str">
        <f>VLOOKUP(A1013,sinap!$A$2:$R$9000,6,FALSE)</f>
        <v>05-10-2020</v>
      </c>
      <c r="O1013" s="15" t="str">
        <f>VLOOKUP(A1013,sinap!$A$2:$R$9000,7,FALSE)</f>
        <v>Vivo</v>
      </c>
      <c r="P1013" s="15" t="str">
        <f>VLOOKUP(A1013,sinap!$A$2:$R$9000,8,FALSE)</f>
        <v>11.1.01.2442</v>
      </c>
      <c r="Q1013" s="15" t="str">
        <f>VLOOKUP(A1013,sinap!$A$2:$R$9000,12,FALSE)</f>
        <v>11.1.01.0190</v>
      </c>
      <c r="R1013" s="15" t="str">
        <f>VLOOKUP(A1013,sinap!$A$2:$R$9000,16,FALSE)</f>
        <v>11.1.01.0893</v>
      </c>
      <c r="S1013" s="15" t="str">
        <f>VLOOKUP(A1013,sinap!$A$2:$Y$9000,20,FALSE)</f>
        <v>SI</v>
      </c>
    </row>
    <row r="1014" spans="1:20" hidden="1" x14ac:dyDescent="0.25">
      <c r="A1014" s="15">
        <v>19050272</v>
      </c>
      <c r="H1014" s="16">
        <v>45648</v>
      </c>
      <c r="I1014" s="16">
        <v>45671</v>
      </c>
      <c r="J1014" s="15" t="str">
        <f>VLOOKUP(A1014,sinap!$A$2:$R$9000,2,FALSE)</f>
        <v>H</v>
      </c>
      <c r="K1014" s="15" t="str">
        <f>VLOOKUP(A1014,sinap!$A$2:$R$9000,3,FALSE)</f>
        <v>VACA</v>
      </c>
      <c r="L1014" s="15" t="str">
        <f>VLOOKUP(A1014,sinap!$A$2:$R$9000,4,FALSE)</f>
        <v>ANGUS NEGRO</v>
      </c>
      <c r="M1014" s="15" t="str">
        <f>VLOOKUP(A1014,sinap!$A$2:$R$9000,5,FALSE)</f>
        <v>5 años 3 meses</v>
      </c>
      <c r="N1014" s="15" t="str">
        <f>VLOOKUP(A1014,sinap!$A$2:$R$9000,6,FALSE)</f>
        <v>30-09-2020</v>
      </c>
      <c r="O1014" s="15" t="str">
        <f>VLOOKUP(A1014,sinap!$A$2:$R$9000,7,FALSE)</f>
        <v>Vivo</v>
      </c>
      <c r="P1014" s="15" t="str">
        <f>VLOOKUP(A1014,sinap!$A$2:$R$9000,8,FALSE)</f>
        <v>11.1.01.1241</v>
      </c>
      <c r="Q1014" s="15" t="str">
        <f>VLOOKUP(A1014,sinap!$A$2:$R$9000,12,FALSE)</f>
        <v>11.1.01.1022</v>
      </c>
      <c r="R1014" s="15" t="str">
        <f>VLOOKUP(A1014,sinap!$A$2:$R$9000,16,FALSE)</f>
        <v>11.1.01.0893</v>
      </c>
      <c r="S1014" s="15" t="str">
        <f>VLOOKUP(A1014,sinap!$A$2:$Y$9000,20,FALSE)</f>
        <v>SI</v>
      </c>
    </row>
    <row r="1015" spans="1:20" hidden="1" x14ac:dyDescent="0.25">
      <c r="A1015" s="15">
        <v>19050276</v>
      </c>
      <c r="J1015" s="15" t="str">
        <f>VLOOKUP(A1015,sinap!$A$2:$R$9000,2,FALSE)</f>
        <v>H</v>
      </c>
      <c r="K1015" s="15" t="str">
        <f>VLOOKUP(A1015,sinap!$A$2:$R$9000,3,FALSE)</f>
        <v>VACA</v>
      </c>
      <c r="L1015" s="15" t="str">
        <f>VLOOKUP(A1015,sinap!$A$2:$R$9000,4,FALSE)</f>
        <v>ANGUS NEGRO</v>
      </c>
      <c r="M1015" s="15" t="str">
        <f>VLOOKUP(A1015,sinap!$A$2:$R$9000,5,FALSE)</f>
        <v>5 años 3 meses</v>
      </c>
      <c r="N1015" s="15" t="str">
        <f>VLOOKUP(A1015,sinap!$A$2:$R$9000,6,FALSE)</f>
        <v>20-09-2020</v>
      </c>
      <c r="O1015" s="15" t="str">
        <f>VLOOKUP(A1015,sinap!$A$2:$R$9000,7,FALSE)</f>
        <v>Vivo</v>
      </c>
      <c r="P1015" s="15" t="str">
        <f>VLOOKUP(A1015,sinap!$A$2:$R$9000,8,FALSE)</f>
        <v>11.1.01.2304</v>
      </c>
      <c r="Q1015" s="15" t="str">
        <f>VLOOKUP(A1015,sinap!$A$2:$R$9000,12,FALSE)</f>
        <v>11.2.01.0053</v>
      </c>
      <c r="R1015" s="15" t="str">
        <f>VLOOKUP(A1015,sinap!$A$2:$R$9000,16,FALSE)</f>
        <v>11.1.01.0893</v>
      </c>
      <c r="S1015" s="15" t="str">
        <f>VLOOKUP(A1015,sinap!$A$2:$Y$9000,20,FALSE)</f>
        <v>SI</v>
      </c>
    </row>
    <row r="1016" spans="1:20" hidden="1" x14ac:dyDescent="0.25">
      <c r="A1016" s="15">
        <v>19050283</v>
      </c>
      <c r="H1016" s="16">
        <v>45648</v>
      </c>
      <c r="I1016" s="16">
        <v>45965</v>
      </c>
      <c r="J1016" s="15" t="str">
        <f>VLOOKUP(A1016,sinap!$A$2:$R$9000,2,FALSE)</f>
        <v>H</v>
      </c>
      <c r="K1016" s="15" t="str">
        <f>VLOOKUP(A1016,sinap!$A$2:$R$9000,3,FALSE)</f>
        <v>VACA</v>
      </c>
      <c r="L1016" s="15" t="str">
        <f>VLOOKUP(A1016,sinap!$A$2:$R$9000,4,FALSE)</f>
        <v>ANGUS NEGRO</v>
      </c>
      <c r="M1016" s="15" t="str">
        <f>VLOOKUP(A1016,sinap!$A$2:$R$9000,5,FALSE)</f>
        <v>5 años 3 meses</v>
      </c>
      <c r="N1016" s="15" t="str">
        <f>VLOOKUP(A1016,sinap!$A$2:$R$9000,6,FALSE)</f>
        <v>05-10-2020</v>
      </c>
      <c r="O1016" s="15" t="str">
        <f>VLOOKUP(A1016,sinap!$A$2:$R$9000,7,FALSE)</f>
        <v>Vivo</v>
      </c>
      <c r="P1016" s="15" t="str">
        <f>VLOOKUP(A1016,sinap!$A$2:$R$9000,8,FALSE)</f>
        <v>11.1.01.1241</v>
      </c>
      <c r="Q1016" s="15" t="str">
        <f>VLOOKUP(A1016,sinap!$A$2:$R$9000,12,FALSE)</f>
        <v>11.1.01.1022</v>
      </c>
      <c r="R1016" s="15" t="str">
        <f>VLOOKUP(A1016,sinap!$A$2:$R$9000,16,FALSE)</f>
        <v>11.1.01.0893</v>
      </c>
      <c r="S1016" s="15" t="str">
        <f>VLOOKUP(A1016,sinap!$A$2:$Y$9000,20,FALSE)</f>
        <v>SI</v>
      </c>
    </row>
    <row r="1017" spans="1:20" hidden="1" x14ac:dyDescent="0.25">
      <c r="A1017" s="15">
        <v>19050290</v>
      </c>
      <c r="J1017" s="15" t="str">
        <f>VLOOKUP(A1017,sinap!$A$2:$R$9000,2,FALSE)</f>
        <v>H</v>
      </c>
      <c r="K1017" s="15" t="str">
        <f>VLOOKUP(A1017,sinap!$A$2:$R$9000,3,FALSE)</f>
        <v>VACA</v>
      </c>
      <c r="L1017" s="15" t="str">
        <f>VLOOKUP(A1017,sinap!$A$2:$R$9000,4,FALSE)</f>
        <v>ANGUS NEGRO</v>
      </c>
      <c r="M1017" s="15" t="str">
        <f>VLOOKUP(A1017,sinap!$A$2:$R$9000,5,FALSE)</f>
        <v>5 años 3 meses</v>
      </c>
      <c r="N1017" s="15" t="str">
        <f>VLOOKUP(A1017,sinap!$A$2:$R$9000,6,FALSE)</f>
        <v>05-10-2020</v>
      </c>
      <c r="O1017" s="15" t="str">
        <f>VLOOKUP(A1017,sinap!$A$2:$R$9000,7,FALSE)</f>
        <v>Vivo</v>
      </c>
      <c r="P1017" s="15" t="str">
        <f>VLOOKUP(A1017,sinap!$A$2:$R$9000,8,FALSE)</f>
        <v>11.2.01.0038</v>
      </c>
      <c r="Q1017" s="15" t="str">
        <f>VLOOKUP(A1017,sinap!$A$2:$R$9000,12,FALSE)</f>
        <v>11.1.01.2304</v>
      </c>
      <c r="R1017" s="15" t="str">
        <f>VLOOKUP(A1017,sinap!$A$2:$R$9000,16,FALSE)</f>
        <v>11.1.01.0893</v>
      </c>
      <c r="S1017" s="15" t="str">
        <f>VLOOKUP(A1017,sinap!$A$2:$Y$9000,20,FALSE)</f>
        <v>SI</v>
      </c>
    </row>
    <row r="1018" spans="1:20" hidden="1" x14ac:dyDescent="0.25">
      <c r="A1018" s="15">
        <v>19050292</v>
      </c>
      <c r="H1018" s="16">
        <v>45648</v>
      </c>
      <c r="I1018" s="16">
        <v>45965</v>
      </c>
      <c r="J1018" s="15" t="str">
        <f>VLOOKUP(A1018,sinap!$A$2:$R$9000,2,FALSE)</f>
        <v>H</v>
      </c>
      <c r="K1018" s="15" t="str">
        <f>VLOOKUP(A1018,sinap!$A$2:$R$9000,3,FALSE)</f>
        <v>VACA</v>
      </c>
      <c r="L1018" s="15" t="str">
        <f>VLOOKUP(A1018,sinap!$A$2:$R$9000,4,FALSE)</f>
        <v>ANGUS NEGRO</v>
      </c>
      <c r="M1018" s="15" t="str">
        <f>VLOOKUP(A1018,sinap!$A$2:$R$9000,5,FALSE)</f>
        <v>5 años 3 meses</v>
      </c>
      <c r="N1018" s="15" t="str">
        <f>VLOOKUP(A1018,sinap!$A$2:$R$9000,6,FALSE)</f>
        <v>05-10-2020</v>
      </c>
      <c r="O1018" s="15" t="str">
        <f>VLOOKUP(A1018,sinap!$A$2:$R$9000,7,FALSE)</f>
        <v>Vivo</v>
      </c>
      <c r="P1018" s="15" t="str">
        <f>VLOOKUP(A1018,sinap!$A$2:$R$9000,8,FALSE)</f>
        <v>11.1.01.1241</v>
      </c>
      <c r="Q1018" s="15" t="str">
        <f>VLOOKUP(A1018,sinap!$A$2:$R$9000,12,FALSE)</f>
        <v>11.2.01.0038</v>
      </c>
      <c r="R1018" s="15" t="str">
        <f>VLOOKUP(A1018,sinap!$A$2:$R$9000,16,FALSE)</f>
        <v>11.1.01.0893</v>
      </c>
      <c r="S1018" s="15" t="str">
        <f>VLOOKUP(A1018,sinap!$A$2:$Y$9000,20,FALSE)</f>
        <v>SI</v>
      </c>
    </row>
    <row r="1019" spans="1:20" hidden="1" x14ac:dyDescent="0.25">
      <c r="A1019" s="15">
        <v>19050296</v>
      </c>
      <c r="H1019" s="16">
        <v>45430</v>
      </c>
      <c r="I1019" s="16">
        <v>45671</v>
      </c>
      <c r="J1019" s="15" t="str">
        <f>VLOOKUP(A1019,sinap!$A$2:$R$9000,2,FALSE)</f>
        <v>H</v>
      </c>
      <c r="K1019" s="15" t="str">
        <f>VLOOKUP(A1019,sinap!$A$2:$R$9000,3,FALSE)</f>
        <v>VACA</v>
      </c>
      <c r="L1019" s="15" t="str">
        <f>VLOOKUP(A1019,sinap!$A$2:$R$9000,4,FALSE)</f>
        <v>ANGUS NEGRO</v>
      </c>
      <c r="M1019" s="15" t="str">
        <f>VLOOKUP(A1019,sinap!$A$2:$R$9000,5,FALSE)</f>
        <v>5 años 3 meses</v>
      </c>
      <c r="N1019" s="15" t="str">
        <f>VLOOKUP(A1019,sinap!$A$2:$R$9000,6,FALSE)</f>
        <v>30-09-2020</v>
      </c>
      <c r="O1019" s="15" t="str">
        <f>VLOOKUP(A1019,sinap!$A$2:$R$9000,7,FALSE)</f>
        <v>Vivo</v>
      </c>
      <c r="P1019" s="15" t="str">
        <f>VLOOKUP(A1019,sinap!$A$2:$R$9000,8,FALSE)</f>
        <v>11.1.01.1241</v>
      </c>
      <c r="Q1019" s="15" t="str">
        <f>VLOOKUP(A1019,sinap!$A$2:$R$9000,12,FALSE)</f>
        <v>11.1.01.1022</v>
      </c>
      <c r="R1019" s="15" t="str">
        <f>VLOOKUP(A1019,sinap!$A$2:$R$9000,16,FALSE)</f>
        <v>11.1.01.0893</v>
      </c>
      <c r="S1019" s="15" t="str">
        <f>VLOOKUP(A1019,sinap!$A$2:$Y$9000,20,FALSE)</f>
        <v>SI</v>
      </c>
    </row>
    <row r="1020" spans="1:20" hidden="1" x14ac:dyDescent="0.25">
      <c r="A1020" s="15">
        <v>19050300</v>
      </c>
      <c r="J1020" s="15" t="str">
        <f>VLOOKUP(A1020,sinap!$A$2:$R$9000,2,FALSE)</f>
        <v>H</v>
      </c>
      <c r="K1020" s="15" t="str">
        <f>VLOOKUP(A1020,sinap!$A$2:$R$9000,3,FALSE)</f>
        <v>VACA</v>
      </c>
      <c r="L1020" s="15" t="str">
        <f>VLOOKUP(A1020,sinap!$A$2:$R$9000,4,FALSE)</f>
        <v>ANGUS NEGRO</v>
      </c>
      <c r="M1020" s="15" t="str">
        <f>VLOOKUP(A1020,sinap!$A$2:$R$9000,5,FALSE)</f>
        <v>5 años 3 meses</v>
      </c>
      <c r="N1020" s="15" t="str">
        <f>VLOOKUP(A1020,sinap!$A$2:$R$9000,6,FALSE)</f>
        <v>30-09-2020</v>
      </c>
      <c r="O1020" s="15" t="str">
        <f>VLOOKUP(A1020,sinap!$A$2:$R$9000,7,FALSE)</f>
        <v>Vivo</v>
      </c>
      <c r="P1020" s="15" t="str">
        <f>VLOOKUP(A1020,sinap!$A$2:$R$9000,8,FALSE)</f>
        <v>11.2.01.0038</v>
      </c>
      <c r="Q1020" s="15" t="str">
        <f>VLOOKUP(A1020,sinap!$A$2:$R$9000,12,FALSE)</f>
        <v>11.1.01.0893</v>
      </c>
      <c r="R1020" s="15" t="str">
        <f>VLOOKUP(A1020,sinap!$A$2:$R$9000,16,FALSE)</f>
        <v>11.1.01.0893</v>
      </c>
      <c r="S1020" s="15" t="str">
        <f>VLOOKUP(A1020,sinap!$A$2:$Y$9000,20,FALSE)</f>
        <v>SI</v>
      </c>
    </row>
    <row r="1021" spans="1:20" hidden="1" x14ac:dyDescent="0.25">
      <c r="A1021" s="15">
        <v>19050304</v>
      </c>
      <c r="H1021" s="16">
        <v>45648</v>
      </c>
      <c r="I1021" s="16">
        <v>45965</v>
      </c>
      <c r="J1021" s="15" t="str">
        <f>VLOOKUP(A1021,sinap!$A$2:$R$9000,2,FALSE)</f>
        <v>H</v>
      </c>
      <c r="K1021" s="15" t="str">
        <f>VLOOKUP(A1021,sinap!$A$2:$R$9000,3,FALSE)</f>
        <v>VACA</v>
      </c>
      <c r="L1021" s="15" t="str">
        <f>VLOOKUP(A1021,sinap!$A$2:$R$9000,4,FALSE)</f>
        <v>ANGUS NEGRO</v>
      </c>
      <c r="M1021" s="15" t="str">
        <f>VLOOKUP(A1021,sinap!$A$2:$R$9000,5,FALSE)</f>
        <v>5 años 3 meses</v>
      </c>
      <c r="N1021" s="15" t="str">
        <f>VLOOKUP(A1021,sinap!$A$2:$R$9000,6,FALSE)</f>
        <v>30-09-2020</v>
      </c>
      <c r="O1021" s="15" t="str">
        <f>VLOOKUP(A1021,sinap!$A$2:$R$9000,7,FALSE)</f>
        <v>Vivo</v>
      </c>
      <c r="P1021" s="15" t="str">
        <f>VLOOKUP(A1021,sinap!$A$2:$R$9000,8,FALSE)</f>
        <v>11.1.01.2442</v>
      </c>
      <c r="Q1021" s="15" t="str">
        <f>VLOOKUP(A1021,sinap!$A$2:$R$9000,12,FALSE)</f>
        <v>11.1.01.0190</v>
      </c>
      <c r="R1021" s="15" t="str">
        <f>VLOOKUP(A1021,sinap!$A$2:$R$9000,16,FALSE)</f>
        <v>11.1.01.0893</v>
      </c>
      <c r="S1021" s="15" t="str">
        <f>VLOOKUP(A1021,sinap!$A$2:$Y$9000,20,FALSE)</f>
        <v>SI</v>
      </c>
    </row>
    <row r="1022" spans="1:20" hidden="1" x14ac:dyDescent="0.25">
      <c r="A1022" s="15">
        <v>19050315</v>
      </c>
      <c r="J1022" s="15" t="str">
        <f>VLOOKUP(A1022,sinap!$A$2:$R$9000,2,FALSE)</f>
        <v>H</v>
      </c>
      <c r="K1022" s="15" t="str">
        <f>VLOOKUP(A1022,sinap!$A$2:$R$9000,3,FALSE)</f>
        <v>VACA</v>
      </c>
      <c r="L1022" s="15" t="str">
        <f>VLOOKUP(A1022,sinap!$A$2:$R$9000,4,FALSE)</f>
        <v>ANGUS ROJO</v>
      </c>
      <c r="M1022" s="15" t="str">
        <f>VLOOKUP(A1022,sinap!$A$2:$R$9000,5,FALSE)</f>
        <v>5 años 3 meses</v>
      </c>
      <c r="N1022" s="15" t="str">
        <f>VLOOKUP(A1022,sinap!$A$2:$R$9000,6,FALSE)</f>
        <v>30-09-2020</v>
      </c>
      <c r="O1022" s="15" t="str">
        <f>VLOOKUP(A1022,sinap!$A$2:$R$9000,7,FALSE)</f>
        <v>Vivo</v>
      </c>
      <c r="P1022" s="15" t="str">
        <f>VLOOKUP(A1022,sinap!$A$2:$R$9000,8,FALSE)</f>
        <v>11.1.01.0893</v>
      </c>
      <c r="Q1022" s="15" t="str">
        <f>VLOOKUP(A1022,sinap!$A$2:$R$9000,12,FALSE)</f>
        <v>11.1.02.0004</v>
      </c>
      <c r="R1022" s="15" t="str">
        <f>VLOOKUP(A1022,sinap!$A$2:$R$9000,16,FALSE)</f>
        <v>11.1.01.0893</v>
      </c>
      <c r="S1022" s="15" t="str">
        <f>VLOOKUP(A1022,sinap!$A$2:$Y$9000,20,FALSE)</f>
        <v>SI</v>
      </c>
    </row>
    <row r="1023" spans="1:20" hidden="1" x14ac:dyDescent="0.25">
      <c r="A1023" s="15">
        <v>19050333</v>
      </c>
      <c r="J1023" s="15" t="str">
        <f>VLOOKUP(A1023,sinap!$A$2:$R$9000,2,FALSE)</f>
        <v>H</v>
      </c>
      <c r="K1023" s="15" t="str">
        <f>VLOOKUP(A1023,sinap!$A$2:$R$9000,3,FALSE)</f>
        <v>VACA</v>
      </c>
      <c r="L1023" s="15" t="str">
        <f>VLOOKUP(A1023,sinap!$A$2:$R$9000,4,FALSE)</f>
        <v>ANGUS NEGRO</v>
      </c>
      <c r="M1023" s="15" t="str">
        <f>VLOOKUP(A1023,sinap!$A$2:$R$9000,5,FALSE)</f>
        <v>5 años 2 meses</v>
      </c>
      <c r="N1023" s="15" t="str">
        <f>VLOOKUP(A1023,sinap!$A$2:$R$9000,6,FALSE)</f>
        <v>30-10-2020</v>
      </c>
      <c r="O1023" s="15" t="str">
        <f>VLOOKUP(A1023,sinap!$A$2:$R$9000,7,FALSE)</f>
        <v>Vivo</v>
      </c>
      <c r="P1023" s="15" t="str">
        <f>VLOOKUP(A1023,sinap!$A$2:$R$9000,8,FALSE)</f>
        <v>11.1.01.0893</v>
      </c>
      <c r="Q1023" s="15" t="str">
        <f>VLOOKUP(A1023,sinap!$A$2:$R$9000,12,FALSE)</f>
        <v>11.1.02.0004</v>
      </c>
      <c r="R1023" s="15" t="str">
        <f>VLOOKUP(A1023,sinap!$A$2:$R$9000,16,FALSE)</f>
        <v>11.1.01.1241</v>
      </c>
      <c r="S1023" s="15" t="str">
        <f>VLOOKUP(A1023,sinap!$A$2:$Y$9000,20,FALSE)</f>
        <v>SI</v>
      </c>
    </row>
    <row r="1024" spans="1:20" hidden="1" x14ac:dyDescent="0.25">
      <c r="A1024" s="15">
        <v>19050338</v>
      </c>
      <c r="J1024" s="15" t="str">
        <f>VLOOKUP(A1024,sinap!$A$2:$R$9000,2,FALSE)</f>
        <v>H</v>
      </c>
      <c r="K1024" s="15" t="str">
        <f>VLOOKUP(A1024,sinap!$A$2:$R$9000,3,FALSE)</f>
        <v>VACA</v>
      </c>
      <c r="L1024" s="15" t="str">
        <f>VLOOKUP(A1024,sinap!$A$2:$R$9000,4,FALSE)</f>
        <v>HEREFORD</v>
      </c>
      <c r="M1024" s="15" t="str">
        <f>VLOOKUP(A1024,sinap!$A$2:$R$9000,5,FALSE)</f>
        <v>5 años 2 meses</v>
      </c>
      <c r="N1024" s="15" t="str">
        <f>VLOOKUP(A1024,sinap!$A$2:$R$9000,6,FALSE)</f>
        <v>05-11-2020</v>
      </c>
      <c r="O1024" s="15" t="str">
        <f>VLOOKUP(A1024,sinap!$A$2:$R$9000,7,FALSE)</f>
        <v>Vivo</v>
      </c>
      <c r="P1024" s="15" t="str">
        <f>VLOOKUP(A1024,sinap!$A$2:$R$9000,8,FALSE)</f>
        <v>11.2.01.0038</v>
      </c>
      <c r="Q1024" s="15" t="str">
        <f>VLOOKUP(A1024,sinap!$A$2:$R$9000,12,FALSE)</f>
        <v>11.1.01.1241</v>
      </c>
      <c r="R1024" s="15" t="str">
        <f>VLOOKUP(A1024,sinap!$A$2:$R$9000,16,FALSE)</f>
        <v>11.1.01.1241</v>
      </c>
      <c r="S1024" s="15" t="str">
        <f>VLOOKUP(A1024,sinap!$A$2:$Y$9000,20,FALSE)</f>
        <v>SI</v>
      </c>
    </row>
    <row r="1025" spans="1:20" hidden="1" x14ac:dyDescent="0.25">
      <c r="A1025" s="15">
        <v>19050339</v>
      </c>
      <c r="J1025" s="15" t="str">
        <f>VLOOKUP(A1025,sinap!$A$2:$R$9000,2,FALSE)</f>
        <v>H</v>
      </c>
      <c r="K1025" s="15" t="str">
        <f>VLOOKUP(A1025,sinap!$A$2:$R$9000,3,FALSE)</f>
        <v>VACA</v>
      </c>
      <c r="L1025" s="15" t="str">
        <f>VLOOKUP(A1025,sinap!$A$2:$R$9000,4,FALSE)</f>
        <v>ANGUS NEGRO</v>
      </c>
      <c r="M1025" s="15" t="str">
        <f>VLOOKUP(A1025,sinap!$A$2:$R$9000,5,FALSE)</f>
        <v>5 años 2 meses</v>
      </c>
      <c r="N1025" s="15" t="str">
        <f>VLOOKUP(A1025,sinap!$A$2:$R$9000,6,FALSE)</f>
        <v>30-10-2020</v>
      </c>
      <c r="O1025" s="15" t="str">
        <f>VLOOKUP(A1025,sinap!$A$2:$R$9000,7,FALSE)</f>
        <v>Vivo</v>
      </c>
      <c r="P1025" s="15" t="str">
        <f>VLOOKUP(A1025,sinap!$A$2:$R$9000,8,FALSE)</f>
        <v>11.2.01.0038</v>
      </c>
      <c r="Q1025" s="15" t="str">
        <f>VLOOKUP(A1025,sinap!$A$2:$R$9000,12,FALSE)</f>
        <v>11.1.01.1241</v>
      </c>
      <c r="R1025" s="15" t="str">
        <f>VLOOKUP(A1025,sinap!$A$2:$R$9000,16,FALSE)</f>
        <v>11.1.01.1241</v>
      </c>
      <c r="S1025" s="15" t="str">
        <f>VLOOKUP(A1025,sinap!$A$2:$Y$9000,20,FALSE)</f>
        <v>SI</v>
      </c>
    </row>
    <row r="1026" spans="1:20" hidden="1" x14ac:dyDescent="0.25">
      <c r="A1026" s="15">
        <v>19050340</v>
      </c>
      <c r="J1026" s="15" t="str">
        <f>VLOOKUP(A1026,sinap!$A$2:$R$9000,2,FALSE)</f>
        <v>H</v>
      </c>
      <c r="K1026" s="15" t="str">
        <f>VLOOKUP(A1026,sinap!$A$2:$R$9000,3,FALSE)</f>
        <v>VACA</v>
      </c>
      <c r="L1026" s="15" t="str">
        <f>VLOOKUP(A1026,sinap!$A$2:$R$9000,4,FALSE)</f>
        <v>ANGUS NEGRO</v>
      </c>
      <c r="M1026" s="15" t="str">
        <f>VLOOKUP(A1026,sinap!$A$2:$R$9000,5,FALSE)</f>
        <v>5 años 2 meses</v>
      </c>
      <c r="N1026" s="15" t="str">
        <f>VLOOKUP(A1026,sinap!$A$2:$R$9000,6,FALSE)</f>
        <v>05-11-2020</v>
      </c>
      <c r="O1026" s="15" t="str">
        <f>VLOOKUP(A1026,sinap!$A$2:$R$9000,7,FALSE)</f>
        <v>Vivo</v>
      </c>
      <c r="P1026" s="15" t="str">
        <f>VLOOKUP(A1026,sinap!$A$2:$R$9000,8,FALSE)</f>
        <v>11.1.01.2304</v>
      </c>
      <c r="Q1026" s="15" t="str">
        <f>VLOOKUP(A1026,sinap!$A$2:$R$9000,12,FALSE)</f>
        <v>11.2.01.0053</v>
      </c>
      <c r="R1026" s="15" t="str">
        <f>VLOOKUP(A1026,sinap!$A$2:$R$9000,16,FALSE)</f>
        <v>11.1.01.1241</v>
      </c>
      <c r="S1026" s="15" t="str">
        <f>VLOOKUP(A1026,sinap!$A$2:$Y$9000,20,FALSE)</f>
        <v>SI</v>
      </c>
    </row>
    <row r="1027" spans="1:20" hidden="1" x14ac:dyDescent="0.25">
      <c r="A1027" s="15">
        <v>19050343</v>
      </c>
      <c r="J1027" s="15" t="str">
        <f>VLOOKUP(A1027,sinap!$A$2:$R$9000,2,FALSE)</f>
        <v>H</v>
      </c>
      <c r="K1027" s="15" t="str">
        <f>VLOOKUP(A1027,sinap!$A$2:$R$9000,3,FALSE)</f>
        <v>VACA</v>
      </c>
      <c r="L1027" s="15" t="str">
        <f>VLOOKUP(A1027,sinap!$A$2:$R$9000,4,FALSE)</f>
        <v>ANGUS NEGRO</v>
      </c>
      <c r="M1027" s="15" t="str">
        <f>VLOOKUP(A1027,sinap!$A$2:$R$9000,5,FALSE)</f>
        <v>5 años 2 meses</v>
      </c>
      <c r="N1027" s="15" t="str">
        <f>VLOOKUP(A1027,sinap!$A$2:$R$9000,6,FALSE)</f>
        <v>10-11-2020</v>
      </c>
      <c r="O1027" s="15" t="str">
        <f>VLOOKUP(A1027,sinap!$A$2:$R$9000,7,FALSE)</f>
        <v>Vivo</v>
      </c>
      <c r="P1027" s="15" t="str">
        <f>VLOOKUP(A1027,sinap!$A$2:$R$9000,8,FALSE)</f>
        <v>11.1.01.2304</v>
      </c>
      <c r="Q1027" s="15" t="str">
        <f>VLOOKUP(A1027,sinap!$A$2:$R$9000,12,FALSE)</f>
        <v>11.2.01.0053</v>
      </c>
      <c r="R1027" s="15" t="str">
        <f>VLOOKUP(A1027,sinap!$A$2:$R$9000,16,FALSE)</f>
        <v>11.1.01.1241</v>
      </c>
      <c r="S1027" s="15" t="str">
        <f>VLOOKUP(A1027,sinap!$A$2:$Y$9000,20,FALSE)</f>
        <v>SI</v>
      </c>
    </row>
    <row r="1028" spans="1:20" hidden="1" x14ac:dyDescent="0.25">
      <c r="A1028" s="15">
        <v>19050346</v>
      </c>
      <c r="J1028" s="15" t="str">
        <f>VLOOKUP(A1028,sinap!$A$2:$R$9000,2,FALSE)</f>
        <v>H</v>
      </c>
      <c r="K1028" s="15" t="str">
        <f>VLOOKUP(A1028,sinap!$A$2:$R$9000,3,FALSE)</f>
        <v>VACA</v>
      </c>
      <c r="L1028" s="15" t="str">
        <f>VLOOKUP(A1028,sinap!$A$2:$R$9000,4,FALSE)</f>
        <v>ANGUS NEGRO</v>
      </c>
      <c r="M1028" s="15" t="str">
        <f>VLOOKUP(A1028,sinap!$A$2:$R$9000,5,FALSE)</f>
        <v>5 años 2 meses</v>
      </c>
      <c r="N1028" s="15" t="str">
        <f>VLOOKUP(A1028,sinap!$A$2:$R$9000,6,FALSE)</f>
        <v>30-10-2020</v>
      </c>
      <c r="O1028" s="15" t="str">
        <f>VLOOKUP(A1028,sinap!$A$2:$R$9000,7,FALSE)</f>
        <v>Vivo</v>
      </c>
      <c r="P1028" s="15" t="str">
        <f>VLOOKUP(A1028,sinap!$A$2:$R$9000,8,FALSE)</f>
        <v>11.1.01.2304</v>
      </c>
      <c r="Q1028" s="15" t="str">
        <f>VLOOKUP(A1028,sinap!$A$2:$R$9000,12,FALSE)</f>
        <v>11.2.01.0053</v>
      </c>
      <c r="R1028" s="15" t="str">
        <f>VLOOKUP(A1028,sinap!$A$2:$R$9000,16,FALSE)</f>
        <v>11.1.01.1241</v>
      </c>
      <c r="S1028" s="15" t="str">
        <f>VLOOKUP(A1028,sinap!$A$2:$Y$9000,20,FALSE)</f>
        <v>SI</v>
      </c>
    </row>
    <row r="1029" spans="1:20" hidden="1" x14ac:dyDescent="0.25">
      <c r="A1029" s="15">
        <v>19050349</v>
      </c>
      <c r="H1029" s="16">
        <v>45648</v>
      </c>
      <c r="I1029" s="16">
        <v>45671</v>
      </c>
      <c r="J1029" s="15" t="str">
        <f>VLOOKUP(A1029,sinap!$A$2:$R$9000,2,FALSE)</f>
        <v>H</v>
      </c>
      <c r="K1029" s="15" t="str">
        <f>VLOOKUP(A1029,sinap!$A$2:$R$9000,3,FALSE)</f>
        <v>VACA</v>
      </c>
      <c r="L1029" s="15" t="str">
        <f>VLOOKUP(A1029,sinap!$A$2:$R$9000,4,FALSE)</f>
        <v>ANGUS NEGRO</v>
      </c>
      <c r="M1029" s="15" t="str">
        <f>VLOOKUP(A1029,sinap!$A$2:$R$9000,5,FALSE)</f>
        <v>5 años 2 meses</v>
      </c>
      <c r="N1029" s="15" t="str">
        <f>VLOOKUP(A1029,sinap!$A$2:$R$9000,6,FALSE)</f>
        <v>05-11-2020</v>
      </c>
      <c r="O1029" s="15" t="str">
        <f>VLOOKUP(A1029,sinap!$A$2:$R$9000,7,FALSE)</f>
        <v>Vivo</v>
      </c>
      <c r="P1029" s="15" t="str">
        <f>VLOOKUP(A1029,sinap!$A$2:$R$9000,8,FALSE)</f>
        <v>11.1.01.1241</v>
      </c>
      <c r="Q1029" s="15" t="str">
        <f>VLOOKUP(A1029,sinap!$A$2:$R$9000,12,FALSE)</f>
        <v>11.1.01.1022</v>
      </c>
      <c r="R1029" s="15" t="str">
        <f>VLOOKUP(A1029,sinap!$A$2:$R$9000,16,FALSE)</f>
        <v>11.1.01.1241</v>
      </c>
      <c r="S1029" s="15" t="str">
        <f>VLOOKUP(A1029,sinap!$A$2:$Y$9000,20,FALSE)</f>
        <v>SI</v>
      </c>
    </row>
    <row r="1030" spans="1:20" hidden="1" x14ac:dyDescent="0.25">
      <c r="A1030" s="15">
        <v>19050364</v>
      </c>
      <c r="H1030" s="16">
        <v>45648</v>
      </c>
      <c r="I1030" s="16">
        <v>45671</v>
      </c>
      <c r="J1030" s="15" t="str">
        <f>VLOOKUP(A1030,sinap!$A$2:$R$9000,2,FALSE)</f>
        <v>H</v>
      </c>
      <c r="K1030" s="15" t="str">
        <f>VLOOKUP(A1030,sinap!$A$2:$R$9000,3,FALSE)</f>
        <v>VACA</v>
      </c>
      <c r="L1030" s="15" t="str">
        <f>VLOOKUP(A1030,sinap!$A$2:$R$9000,4,FALSE)</f>
        <v>ANGUS NEGRO</v>
      </c>
      <c r="M1030" s="15" t="str">
        <f>VLOOKUP(A1030,sinap!$A$2:$R$9000,5,FALSE)</f>
        <v>5 años 3 meses</v>
      </c>
      <c r="N1030" s="15" t="str">
        <f>VLOOKUP(A1030,sinap!$A$2:$R$9000,6,FALSE)</f>
        <v>30-09-2020</v>
      </c>
      <c r="O1030" s="15" t="str">
        <f>VLOOKUP(A1030,sinap!$A$2:$R$9000,7,FALSE)</f>
        <v>Vivo</v>
      </c>
      <c r="P1030" s="15" t="str">
        <f>VLOOKUP(A1030,sinap!$A$2:$R$9000,8,FALSE)</f>
        <v>11.1.01.1241</v>
      </c>
      <c r="Q1030" s="15" t="str">
        <f>VLOOKUP(A1030,sinap!$A$2:$R$9000,12,FALSE)</f>
        <v>11.1.01.1022</v>
      </c>
      <c r="R1030" s="15" t="str">
        <f>VLOOKUP(A1030,sinap!$A$2:$R$9000,16,FALSE)</f>
        <v>11.1.01.1241</v>
      </c>
      <c r="S1030" s="15" t="str">
        <f>VLOOKUP(A1030,sinap!$A$2:$Y$9000,20,FALSE)</f>
        <v>SI</v>
      </c>
    </row>
    <row r="1031" spans="1:20" hidden="1" x14ac:dyDescent="0.25">
      <c r="A1031" s="15">
        <v>19050383</v>
      </c>
      <c r="H1031" s="16">
        <v>45648</v>
      </c>
      <c r="I1031" s="16">
        <v>45671</v>
      </c>
      <c r="J1031" s="15" t="str">
        <f>VLOOKUP(A1031,sinap!$A$2:$R$9000,2,FALSE)</f>
        <v>H</v>
      </c>
      <c r="K1031" s="15" t="str">
        <f>VLOOKUP(A1031,sinap!$A$2:$R$9000,3,FALSE)</f>
        <v>VACA</v>
      </c>
      <c r="L1031" s="15" t="str">
        <f>VLOOKUP(A1031,sinap!$A$2:$R$9000,4,FALSE)</f>
        <v>ANGUS NEGRO</v>
      </c>
      <c r="M1031" s="15" t="str">
        <f>VLOOKUP(A1031,sinap!$A$2:$R$9000,5,FALSE)</f>
        <v>5 años 1 meses</v>
      </c>
      <c r="N1031" s="15" t="str">
        <f>VLOOKUP(A1031,sinap!$A$2:$R$9000,6,FALSE)</f>
        <v>10-12-2020</v>
      </c>
      <c r="O1031" s="15" t="str">
        <f>VLOOKUP(A1031,sinap!$A$2:$R$9000,7,FALSE)</f>
        <v>Vivo</v>
      </c>
      <c r="P1031" s="15" t="str">
        <f>VLOOKUP(A1031,sinap!$A$2:$R$9000,8,FALSE)</f>
        <v>11.1.01.1241</v>
      </c>
      <c r="Q1031" s="15" t="str">
        <f>VLOOKUP(A1031,sinap!$A$2:$R$9000,12,FALSE)</f>
        <v>11.2.01.0038</v>
      </c>
      <c r="R1031" s="15" t="str">
        <f>VLOOKUP(A1031,sinap!$A$2:$R$9000,16,FALSE)</f>
        <v>11.1.01.0893</v>
      </c>
      <c r="S1031" s="15" t="str">
        <f>VLOOKUP(A1031,sinap!$A$2:$Y$9000,20,FALSE)</f>
        <v>SI</v>
      </c>
      <c r="T1031" s="16">
        <v>44233</v>
      </c>
    </row>
    <row r="1032" spans="1:20" hidden="1" x14ac:dyDescent="0.25">
      <c r="A1032" s="15">
        <v>19050392</v>
      </c>
      <c r="H1032" s="16">
        <v>45648</v>
      </c>
      <c r="I1032" s="16">
        <v>45966</v>
      </c>
      <c r="J1032" s="15" t="str">
        <f>VLOOKUP(A1032,sinap!$A$2:$R$9000,2,FALSE)</f>
        <v>H</v>
      </c>
      <c r="K1032" s="15" t="str">
        <f>VLOOKUP(A1032,sinap!$A$2:$R$9000,3,FALSE)</f>
        <v>VACA</v>
      </c>
      <c r="L1032" s="15" t="str">
        <f>VLOOKUP(A1032,sinap!$A$2:$R$9000,4,FALSE)</f>
        <v>ANGUS NEGRO</v>
      </c>
      <c r="M1032" s="15" t="str">
        <f>VLOOKUP(A1032,sinap!$A$2:$R$9000,5,FALSE)</f>
        <v>5 años 2 meses</v>
      </c>
      <c r="N1032" s="15" t="str">
        <f>VLOOKUP(A1032,sinap!$A$2:$R$9000,6,FALSE)</f>
        <v>30-10-2020</v>
      </c>
      <c r="O1032" s="15" t="str">
        <f>VLOOKUP(A1032,sinap!$A$2:$R$9000,7,FALSE)</f>
        <v>Vivo</v>
      </c>
      <c r="P1032" s="15" t="str">
        <f>VLOOKUP(A1032,sinap!$A$2:$R$9000,8,FALSE)</f>
        <v>11.1.01.2442</v>
      </c>
      <c r="Q1032" s="15" t="str">
        <f>VLOOKUP(A1032,sinap!$A$2:$R$9000,12,FALSE)</f>
        <v>11.1.01.0190</v>
      </c>
      <c r="R1032" s="15" t="str">
        <f>VLOOKUP(A1032,sinap!$A$2:$R$9000,16,FALSE)</f>
        <v>11.1.01.0893</v>
      </c>
      <c r="S1032" s="15" t="str">
        <f>VLOOKUP(A1032,sinap!$A$2:$Y$9000,20,FALSE)</f>
        <v>SI</v>
      </c>
      <c r="T1032" s="16">
        <v>44274</v>
      </c>
    </row>
    <row r="1033" spans="1:20" hidden="1" x14ac:dyDescent="0.25">
      <c r="A1033" s="15">
        <v>19325277</v>
      </c>
      <c r="J1033" s="15" t="str">
        <f>VLOOKUP(A1033,sinap!$A$2:$R$9000,2,FALSE)</f>
        <v>H</v>
      </c>
      <c r="K1033" s="15" t="str">
        <f>VLOOKUP(A1033,sinap!$A$2:$R$9000,3,FALSE)</f>
        <v>VACA</v>
      </c>
      <c r="L1033" s="15" t="str">
        <f>VLOOKUP(A1033,sinap!$A$2:$R$9000,4,FALSE)</f>
        <v>POLLED HEREFORD</v>
      </c>
      <c r="M1033" s="15" t="str">
        <f>VLOOKUP(A1033,sinap!$A$2:$R$9000,5,FALSE)</f>
        <v>6 años 3 meses</v>
      </c>
      <c r="N1033" s="15" t="str">
        <f>VLOOKUP(A1033,sinap!$A$2:$R$9000,6,FALSE)</f>
        <v>01-10-2019</v>
      </c>
      <c r="O1033" s="15" t="str">
        <f>VLOOKUP(A1033,sinap!$A$2:$R$9000,7,FALSE)</f>
        <v>Vivo</v>
      </c>
      <c r="P1033" s="15" t="str">
        <f>VLOOKUP(A1033,sinap!$A$2:$R$9000,8,FALSE)</f>
        <v>11.1.01.0893</v>
      </c>
      <c r="Q1033" s="15" t="str">
        <f>VLOOKUP(A1033,sinap!$A$2:$R$9000,12,FALSE)</f>
        <v>11.1.01.0599</v>
      </c>
      <c r="R1033" s="15" t="str">
        <f>VLOOKUP(A1033,sinap!$A$2:$R$9000,16,FALSE)</f>
        <v>11.1.01.0599</v>
      </c>
      <c r="S1033" s="15" t="str">
        <f>VLOOKUP(A1033,sinap!$A$2:$Y$9000,20,FALSE)</f>
        <v>SI</v>
      </c>
    </row>
    <row r="1034" spans="1:20" hidden="1" x14ac:dyDescent="0.25">
      <c r="A1034" s="15">
        <v>19327079</v>
      </c>
      <c r="J1034" s="15" t="str">
        <f>VLOOKUP(A1034,sinap!$A$2:$R$9000,2,FALSE)</f>
        <v>H</v>
      </c>
      <c r="K1034" s="15" t="str">
        <f>VLOOKUP(A1034,sinap!$A$2:$R$9000,3,FALSE)</f>
        <v>VACA</v>
      </c>
      <c r="L1034" s="15" t="str">
        <f>VLOOKUP(A1034,sinap!$A$2:$R$9000,4,FALSE)</f>
        <v>ANGUS ROJO</v>
      </c>
      <c r="M1034" s="15" t="str">
        <f>VLOOKUP(A1034,sinap!$A$2:$R$9000,5,FALSE)</f>
        <v>6 años 3 meses</v>
      </c>
      <c r="N1034" s="15" t="str">
        <f>VLOOKUP(A1034,sinap!$A$2:$R$9000,6,FALSE)</f>
        <v>30-09-2019</v>
      </c>
      <c r="O1034" s="15" t="str">
        <f>VLOOKUP(A1034,sinap!$A$2:$R$9000,7,FALSE)</f>
        <v>Vivo</v>
      </c>
      <c r="P1034" s="15" t="str">
        <f>VLOOKUP(A1034,sinap!$A$2:$R$9000,8,FALSE)</f>
        <v>11.1.01.0893</v>
      </c>
      <c r="Q1034" s="15" t="str">
        <f>VLOOKUP(A1034,sinap!$A$2:$R$9000,12,FALSE)</f>
        <v>11.1.01.0742</v>
      </c>
      <c r="R1034" s="15" t="str">
        <f>VLOOKUP(A1034,sinap!$A$2:$R$9000,16,FALSE)</f>
        <v>11.4.02.0225</v>
      </c>
      <c r="S1034" s="15" t="str">
        <f>VLOOKUP(A1034,sinap!$A$2:$Y$9000,20,FALSE)</f>
        <v>SI</v>
      </c>
    </row>
    <row r="1035" spans="1:20" hidden="1" x14ac:dyDescent="0.25">
      <c r="A1035" s="15">
        <v>19657235</v>
      </c>
      <c r="H1035" s="16">
        <v>45648</v>
      </c>
      <c r="I1035" s="16">
        <v>45671</v>
      </c>
      <c r="J1035" s="15" t="str">
        <f>VLOOKUP(A1035,sinap!$A$2:$R$9000,2,FALSE)</f>
        <v>H</v>
      </c>
      <c r="K1035" s="15" t="str">
        <f>VLOOKUP(A1035,sinap!$A$2:$R$9000,3,FALSE)</f>
        <v>VACA</v>
      </c>
      <c r="L1035" s="15" t="str">
        <f>VLOOKUP(A1035,sinap!$A$2:$R$9000,4,FALSE)</f>
        <v>ANGUS NEGRO</v>
      </c>
      <c r="M1035" s="15" t="str">
        <f>VLOOKUP(A1035,sinap!$A$2:$R$9000,5,FALSE)</f>
        <v>5 años 3 meses</v>
      </c>
      <c r="N1035" s="15" t="str">
        <f>VLOOKUP(A1035,sinap!$A$2:$R$9000,6,FALSE)</f>
        <v>15-10-2020</v>
      </c>
      <c r="O1035" s="15" t="str">
        <f>VLOOKUP(A1035,sinap!$A$2:$R$9000,7,FALSE)</f>
        <v>Vivo</v>
      </c>
      <c r="P1035" s="15" t="str">
        <f>VLOOKUP(A1035,sinap!$A$2:$R$9000,8,FALSE)</f>
        <v>11.1.01.1241</v>
      </c>
      <c r="Q1035" s="15" t="str">
        <f>VLOOKUP(A1035,sinap!$A$2:$R$9000,12,FALSE)</f>
        <v>11.1.01.1022</v>
      </c>
      <c r="R1035" s="15" t="str">
        <f>VLOOKUP(A1035,sinap!$A$2:$R$9000,16,FALSE)</f>
        <v>11.1.01.0255</v>
      </c>
      <c r="S1035" s="15" t="str">
        <f>VLOOKUP(A1035,sinap!$A$2:$Y$9000,20,FALSE)</f>
        <v>SI</v>
      </c>
    </row>
    <row r="1036" spans="1:20" hidden="1" x14ac:dyDescent="0.25">
      <c r="A1036" s="15">
        <v>19776768</v>
      </c>
      <c r="J1036" s="15" t="str">
        <f>VLOOKUP(A1036,sinap!$A$2:$R$9000,2,FALSE)</f>
        <v>M</v>
      </c>
      <c r="K1036" s="15" t="str">
        <f>VLOOKUP(A1036,sinap!$A$2:$R$9000,3,FALSE)</f>
        <v>TORO</v>
      </c>
      <c r="L1036" s="15" t="str">
        <f>VLOOKUP(A1036,sinap!$A$2:$R$9000,4,FALSE)</f>
        <v>ANGUS NEGRO</v>
      </c>
      <c r="M1036" s="15" t="str">
        <f>VLOOKUP(A1036,sinap!$A$2:$R$9000,5,FALSE)</f>
        <v>5 años 2 meses</v>
      </c>
      <c r="N1036" s="15" t="str">
        <f>VLOOKUP(A1036,sinap!$A$2:$R$9000,6,FALSE)</f>
        <v>20-10-2020</v>
      </c>
      <c r="O1036" s="15" t="str">
        <f>VLOOKUP(A1036,sinap!$A$2:$R$9000,7,FALSE)</f>
        <v>Vivo</v>
      </c>
      <c r="P1036" s="15" t="str">
        <f>VLOOKUP(A1036,sinap!$A$2:$R$9000,8,FALSE)</f>
        <v>11.1.01.1241</v>
      </c>
      <c r="Q1036" s="15" t="str">
        <f>VLOOKUP(A1036,sinap!$A$2:$R$9000,12,FALSE)</f>
        <v>11.1.01.1022</v>
      </c>
      <c r="R1036" s="15" t="str">
        <f>VLOOKUP(A1036,sinap!$A$2:$R$9000,16,FALSE)</f>
        <v>11.2.01.0251</v>
      </c>
      <c r="S1036" s="15" t="str">
        <f>VLOOKUP(A1036,sinap!$A$2:$Y$9000,20,FALSE)</f>
        <v>SI</v>
      </c>
    </row>
    <row r="1037" spans="1:20" hidden="1" x14ac:dyDescent="0.25">
      <c r="A1037" s="15">
        <v>19776808</v>
      </c>
      <c r="B1037" s="15">
        <v>2636157</v>
      </c>
      <c r="I1037" s="16">
        <v>45818</v>
      </c>
      <c r="J1037" s="15" t="str">
        <f>VLOOKUP(A1037,sinap!$A$2:$R$9000,2,FALSE)</f>
        <v>M</v>
      </c>
      <c r="K1037" s="15" t="str">
        <f>VLOOKUP(A1037,sinap!$A$2:$R$9000,3,FALSE)</f>
        <v>TORO</v>
      </c>
      <c r="L1037" s="15" t="str">
        <f>VLOOKUP(A1037,sinap!$A$2:$R$9000,4,FALSE)</f>
        <v>ANGUS NEGRO</v>
      </c>
      <c r="M1037" s="15" t="str">
        <f>VLOOKUP(A1037,sinap!$A$2:$R$9000,5,FALSE)</f>
        <v>5 años 2 meses</v>
      </c>
      <c r="N1037" s="15" t="str">
        <f>VLOOKUP(A1037,sinap!$A$2:$R$9000,6,FALSE)</f>
        <v>20-10-2020</v>
      </c>
      <c r="O1037" s="15" t="str">
        <f>VLOOKUP(A1037,sinap!$A$2:$R$9000,7,FALSE)</f>
        <v>Vivo</v>
      </c>
      <c r="P1037" s="15" t="str">
        <f>VLOOKUP(A1037,sinap!$A$2:$R$9000,8,FALSE)</f>
        <v>11.2.01.0038</v>
      </c>
      <c r="Q1037" s="15" t="str">
        <f>VLOOKUP(A1037,sinap!$A$2:$R$9000,12,FALSE)</f>
        <v>11.1.01.1241</v>
      </c>
      <c r="R1037" s="15" t="str">
        <f>VLOOKUP(A1037,sinap!$A$2:$R$9000,16,FALSE)</f>
        <v>11.2.01.0251</v>
      </c>
      <c r="S1037" s="15" t="str">
        <f>VLOOKUP(A1037,sinap!$A$2:$Y$9000,20,FALSE)</f>
        <v>SI</v>
      </c>
    </row>
    <row r="1038" spans="1:20" hidden="1" x14ac:dyDescent="0.25">
      <c r="A1038" s="15">
        <v>19785423</v>
      </c>
      <c r="H1038" s="16">
        <v>45648</v>
      </c>
      <c r="I1038" s="16">
        <v>45671</v>
      </c>
      <c r="J1038" s="15" t="str">
        <f>VLOOKUP(A1038,sinap!$A$2:$R$9000,2,FALSE)</f>
        <v>H</v>
      </c>
      <c r="K1038" s="15" t="str">
        <f>VLOOKUP(A1038,sinap!$A$2:$R$9000,3,FALSE)</f>
        <v>VACA</v>
      </c>
      <c r="L1038" s="15" t="str">
        <f>VLOOKUP(A1038,sinap!$A$2:$R$9000,4,FALSE)</f>
        <v>ANGUS ROJO</v>
      </c>
      <c r="M1038" s="15" t="str">
        <f>VLOOKUP(A1038,sinap!$A$2:$R$9000,5,FALSE)</f>
        <v>5 años 3 meses</v>
      </c>
      <c r="N1038" s="15" t="str">
        <f>VLOOKUP(A1038,sinap!$A$2:$R$9000,6,FALSE)</f>
        <v>30-09-2020</v>
      </c>
      <c r="O1038" s="15" t="str">
        <f>VLOOKUP(A1038,sinap!$A$2:$R$9000,7,FALSE)</f>
        <v>Vivo</v>
      </c>
      <c r="P1038" s="15" t="str">
        <f>VLOOKUP(A1038,sinap!$A$2:$R$9000,8,FALSE)</f>
        <v>11.1.01.1241</v>
      </c>
      <c r="Q1038" s="15" t="str">
        <f>VLOOKUP(A1038,sinap!$A$2:$R$9000,12,FALSE)</f>
        <v>11.1.01.1022</v>
      </c>
      <c r="R1038" s="15" t="str">
        <f>VLOOKUP(A1038,sinap!$A$2:$R$9000,16,FALSE)</f>
        <v>11.1.01.1125</v>
      </c>
      <c r="S1038" s="15" t="str">
        <f>VLOOKUP(A1038,sinap!$A$2:$Y$9000,20,FALSE)</f>
        <v>SI</v>
      </c>
    </row>
    <row r="1039" spans="1:20" hidden="1" x14ac:dyDescent="0.25">
      <c r="A1039" s="15">
        <v>19785769</v>
      </c>
      <c r="B1039" s="15">
        <v>2636173</v>
      </c>
      <c r="I1039" s="16">
        <v>45965</v>
      </c>
      <c r="J1039" s="15" t="str">
        <f>VLOOKUP(A1039,sinap!$A$2:$R$9000,2,FALSE)</f>
        <v>M</v>
      </c>
      <c r="K1039" s="15" t="str">
        <f>VLOOKUP(A1039,sinap!$A$2:$R$9000,3,FALSE)</f>
        <v>TORO</v>
      </c>
      <c r="L1039" s="15" t="str">
        <f>VLOOKUP(A1039,sinap!$A$2:$R$9000,4,FALSE)</f>
        <v>ANGUS NEGRO</v>
      </c>
      <c r="M1039" s="15" t="str">
        <f>VLOOKUP(A1039,sinap!$A$2:$R$9000,5,FALSE)</f>
        <v>4 años 4 meses</v>
      </c>
      <c r="N1039" s="15" t="str">
        <f>VLOOKUP(A1039,sinap!$A$2:$R$9000,6,FALSE)</f>
        <v>15-09-2021</v>
      </c>
      <c r="O1039" s="15" t="str">
        <f>VLOOKUP(A1039,sinap!$A$2:$R$9000,7,FALSE)</f>
        <v>Vivo</v>
      </c>
      <c r="P1039" s="15" t="str">
        <f>VLOOKUP(A1039,sinap!$A$2:$R$9000,8,FALSE)</f>
        <v>11.1.01.2442</v>
      </c>
      <c r="Q1039" s="15" t="str">
        <f>VLOOKUP(A1039,sinap!$A$2:$R$9000,12,FALSE)</f>
        <v>11.1.01.0190</v>
      </c>
      <c r="R1039" s="15" t="str">
        <f>VLOOKUP(A1039,sinap!$A$2:$R$9000,16,FALSE)</f>
        <v>11.1.01.2408</v>
      </c>
      <c r="S1039" s="15" t="str">
        <f>VLOOKUP(A1039,sinap!$A$2:$Y$9000,20,FALSE)</f>
        <v>NO</v>
      </c>
    </row>
    <row r="1040" spans="1:20" hidden="1" x14ac:dyDescent="0.25">
      <c r="A1040" s="15">
        <v>19785784</v>
      </c>
      <c r="B1040" s="15">
        <v>2636164</v>
      </c>
      <c r="I1040" s="16">
        <v>45818</v>
      </c>
      <c r="J1040" s="15" t="str">
        <f>VLOOKUP(A1040,sinap!$A$2:$R$9000,2,FALSE)</f>
        <v>M</v>
      </c>
      <c r="K1040" s="15" t="str">
        <f>VLOOKUP(A1040,sinap!$A$2:$R$9000,3,FALSE)</f>
        <v>TORO</v>
      </c>
      <c r="L1040" s="15" t="str">
        <f>VLOOKUP(A1040,sinap!$A$2:$R$9000,4,FALSE)</f>
        <v>ANGUS NEGRO</v>
      </c>
      <c r="M1040" s="15" t="str">
        <f>VLOOKUP(A1040,sinap!$A$2:$R$9000,5,FALSE)</f>
        <v>4 años 4 meses</v>
      </c>
      <c r="N1040" s="15" t="str">
        <f>VLOOKUP(A1040,sinap!$A$2:$R$9000,6,FALSE)</f>
        <v>15-09-2021</v>
      </c>
      <c r="O1040" s="15" t="str">
        <f>VLOOKUP(A1040,sinap!$A$2:$R$9000,7,FALSE)</f>
        <v>Vivo</v>
      </c>
      <c r="P1040" s="15" t="str">
        <f>VLOOKUP(A1040,sinap!$A$2:$R$9000,8,FALSE)</f>
        <v>11.1.01.1241</v>
      </c>
      <c r="Q1040" s="15" t="str">
        <f>VLOOKUP(A1040,sinap!$A$2:$R$9000,12,FALSE)</f>
        <v>11.1.01.2408</v>
      </c>
      <c r="R1040" s="15" t="str">
        <f>VLOOKUP(A1040,sinap!$A$2:$R$9000,16,FALSE)</f>
        <v>11.1.01.2408</v>
      </c>
      <c r="S1040" s="15" t="str">
        <f>VLOOKUP(A1040,sinap!$A$2:$Y$9000,20,FALSE)</f>
        <v>NO</v>
      </c>
    </row>
    <row r="1041" spans="1:20" hidden="1" x14ac:dyDescent="0.25">
      <c r="A1041" s="15">
        <v>19785789</v>
      </c>
      <c r="B1041" s="15">
        <v>2636168</v>
      </c>
      <c r="I1041" s="16">
        <v>45965</v>
      </c>
      <c r="J1041" s="15" t="str">
        <f>VLOOKUP(A1041,sinap!$A$2:$R$9000,2,FALSE)</f>
        <v>M</v>
      </c>
      <c r="K1041" s="15" t="str">
        <f>VLOOKUP(A1041,sinap!$A$2:$R$9000,3,FALSE)</f>
        <v>TORO</v>
      </c>
      <c r="L1041" s="15" t="str">
        <f>VLOOKUP(A1041,sinap!$A$2:$R$9000,4,FALSE)</f>
        <v>ANGUS NEGRO</v>
      </c>
      <c r="M1041" s="15" t="str">
        <f>VLOOKUP(A1041,sinap!$A$2:$R$9000,5,FALSE)</f>
        <v>4 años 4 meses</v>
      </c>
      <c r="N1041" s="15" t="str">
        <f>VLOOKUP(A1041,sinap!$A$2:$R$9000,6,FALSE)</f>
        <v>15-09-2021</v>
      </c>
      <c r="O1041" s="15" t="str">
        <f>VLOOKUP(A1041,sinap!$A$2:$R$9000,7,FALSE)</f>
        <v>Vivo</v>
      </c>
      <c r="P1041" s="15" t="str">
        <f>VLOOKUP(A1041,sinap!$A$2:$R$9000,8,FALSE)</f>
        <v>11.1.01.2442</v>
      </c>
      <c r="Q1041" s="15" t="str">
        <f>VLOOKUP(A1041,sinap!$A$2:$R$9000,12,FALSE)</f>
        <v>11.1.01.0190</v>
      </c>
      <c r="R1041" s="15" t="str">
        <f>VLOOKUP(A1041,sinap!$A$2:$R$9000,16,FALSE)</f>
        <v>11.1.01.2408</v>
      </c>
      <c r="S1041" s="15" t="str">
        <f>VLOOKUP(A1041,sinap!$A$2:$Y$9000,20,FALSE)</f>
        <v>NO</v>
      </c>
    </row>
    <row r="1042" spans="1:20" hidden="1" x14ac:dyDescent="0.25">
      <c r="A1042" s="15">
        <v>19785804</v>
      </c>
      <c r="J1042" s="15" t="str">
        <f>VLOOKUP(A1042,sinap!$A$2:$R$9000,2,FALSE)</f>
        <v>M</v>
      </c>
      <c r="K1042" s="15" t="str">
        <f>VLOOKUP(A1042,sinap!$A$2:$R$9000,3,FALSE)</f>
        <v>TORO</v>
      </c>
      <c r="L1042" s="15" t="str">
        <f>VLOOKUP(A1042,sinap!$A$2:$R$9000,4,FALSE)</f>
        <v>ANGUS NEGRO</v>
      </c>
      <c r="M1042" s="15" t="str">
        <f>VLOOKUP(A1042,sinap!$A$2:$R$9000,5,FALSE)</f>
        <v>3 años 3 meses</v>
      </c>
      <c r="N1042" s="15" t="str">
        <f>VLOOKUP(A1042,sinap!$A$2:$R$9000,6,FALSE)</f>
        <v>15-10-2022</v>
      </c>
      <c r="O1042" s="15" t="str">
        <f>VLOOKUP(A1042,sinap!$A$2:$R$9000,7,FALSE)</f>
        <v>Vivo</v>
      </c>
      <c r="P1042" s="15" t="str">
        <f>VLOOKUP(A1042,sinap!$A$2:$R$9000,8,FALSE)</f>
        <v>11.1.01.1022</v>
      </c>
      <c r="Q1042" s="15" t="str">
        <f>VLOOKUP(A1042,sinap!$A$2:$R$9000,12,FALSE)</f>
        <v>11.1.01.0893</v>
      </c>
      <c r="R1042" s="15" t="str">
        <f>VLOOKUP(A1042,sinap!$A$2:$R$9000,16,FALSE)</f>
        <v>11.1.01.2408</v>
      </c>
      <c r="S1042" s="15" t="str">
        <f>VLOOKUP(A1042,sinap!$A$2:$Y$9000,20,FALSE)</f>
        <v>NO</v>
      </c>
    </row>
    <row r="1043" spans="1:20" hidden="1" x14ac:dyDescent="0.25">
      <c r="A1043" s="15">
        <v>20005035</v>
      </c>
      <c r="B1043" s="15">
        <v>2636155</v>
      </c>
      <c r="J1043" s="15" t="str">
        <f>VLOOKUP(A1043,sinap!$A$2:$R$9000,2,FALSE)</f>
        <v>M</v>
      </c>
      <c r="K1043" s="15" t="str">
        <f>VLOOKUP(A1043,sinap!$A$2:$R$9000,3,FALSE)</f>
        <v>TORO</v>
      </c>
      <c r="L1043" s="15" t="str">
        <f>VLOOKUP(A1043,sinap!$A$2:$R$9000,4,FALSE)</f>
        <v>ANGUS NEGRO</v>
      </c>
      <c r="M1043" s="15" t="str">
        <f>VLOOKUP(A1043,sinap!$A$2:$R$9000,5,FALSE)</f>
        <v>6 años 1 meses</v>
      </c>
      <c r="N1043" s="15" t="str">
        <f>VLOOKUP(A1043,sinap!$A$2:$R$9000,6,FALSE)</f>
        <v>15-12-2019</v>
      </c>
      <c r="O1043" s="15" t="str">
        <f>VLOOKUP(A1043,sinap!$A$2:$R$9000,7,FALSE)</f>
        <v>Vivo</v>
      </c>
      <c r="P1043" s="15" t="str">
        <f>VLOOKUP(A1043,sinap!$A$2:$R$9000,8,FALSE)</f>
        <v>11.1.01.1241</v>
      </c>
      <c r="Q1043" s="15" t="str">
        <f>VLOOKUP(A1043,sinap!$A$2:$R$9000,12,FALSE)</f>
        <v>11.1.01.1022</v>
      </c>
      <c r="R1043" s="15" t="str">
        <f>VLOOKUP(A1043,sinap!$A$2:$R$9000,16,FALSE)</f>
        <v>11.2.01.0251</v>
      </c>
      <c r="S1043" s="15" t="str">
        <f>VLOOKUP(A1043,sinap!$A$2:$Y$9000,20,FALSE)</f>
        <v>SI</v>
      </c>
    </row>
    <row r="1044" spans="1:20" hidden="1" x14ac:dyDescent="0.25">
      <c r="A1044" s="15">
        <v>20005435</v>
      </c>
      <c r="J1044" s="15" t="str">
        <f>VLOOKUP(A1044,sinap!$A$2:$R$9000,2,FALSE)</f>
        <v>M</v>
      </c>
      <c r="K1044" s="15" t="str">
        <f>VLOOKUP(A1044,sinap!$A$2:$R$9000,3,FALSE)</f>
        <v>TORO</v>
      </c>
      <c r="L1044" s="15" t="str">
        <f>VLOOKUP(A1044,sinap!$A$2:$R$9000,4,FALSE)</f>
        <v>ANGUS ROJO</v>
      </c>
      <c r="M1044" s="15" t="str">
        <f>VLOOKUP(A1044,sinap!$A$2:$R$9000,5,FALSE)</f>
        <v>4 años 3 meses</v>
      </c>
      <c r="N1044" s="15" t="str">
        <f>VLOOKUP(A1044,sinap!$A$2:$R$9000,6,FALSE)</f>
        <v>10-10-2021</v>
      </c>
      <c r="O1044" s="15" t="str">
        <f>VLOOKUP(A1044,sinap!$A$2:$R$9000,7,FALSE)</f>
        <v>Vivo</v>
      </c>
      <c r="P1044" s="15" t="str">
        <f>VLOOKUP(A1044,sinap!$A$2:$R$9000,8,FALSE)</f>
        <v>11.1.01.1241</v>
      </c>
      <c r="Q1044" s="15" t="str">
        <f>VLOOKUP(A1044,sinap!$A$2:$R$9000,12,FALSE)</f>
        <v>11.1.01.1014</v>
      </c>
      <c r="R1044" s="15" t="str">
        <f>VLOOKUP(A1044,sinap!$A$2:$R$9000,16,FALSE)</f>
        <v>11.1.01.0713</v>
      </c>
      <c r="S1044" s="15" t="str">
        <f>VLOOKUP(A1044,sinap!$A$2:$Y$9000,20,FALSE)</f>
        <v>SI</v>
      </c>
    </row>
    <row r="1045" spans="1:20" hidden="1" x14ac:dyDescent="0.25">
      <c r="A1045" s="15">
        <v>20910003</v>
      </c>
      <c r="J1045" s="15" t="str">
        <f>VLOOKUP(A1045,sinap!$A$2:$R$9000,2,FALSE)</f>
        <v>M</v>
      </c>
      <c r="K1045" s="15" t="str">
        <f>VLOOKUP(A1045,sinap!$A$2:$R$9000,3,FALSE)</f>
        <v>TORO</v>
      </c>
      <c r="L1045" s="15" t="str">
        <f>VLOOKUP(A1045,sinap!$A$2:$R$9000,4,FALSE)</f>
        <v>HEREFORD</v>
      </c>
      <c r="M1045" s="15" t="str">
        <f>VLOOKUP(A1045,sinap!$A$2:$R$9000,5,FALSE)</f>
        <v>4 años 3 meses</v>
      </c>
      <c r="N1045" s="15" t="str">
        <f>VLOOKUP(A1045,sinap!$A$2:$R$9000,6,FALSE)</f>
        <v>30-09-2021</v>
      </c>
      <c r="O1045" s="15" t="str">
        <f>VLOOKUP(A1045,sinap!$A$2:$R$9000,7,FALSE)</f>
        <v>Vivo</v>
      </c>
      <c r="P1045" s="15" t="str">
        <f>VLOOKUP(A1045,sinap!$A$2:$R$9000,8,FALSE)</f>
        <v>11.1.01.1241</v>
      </c>
      <c r="Q1045" s="15" t="str">
        <f>VLOOKUP(A1045,sinap!$A$2:$R$9000,12,FALSE)</f>
        <v>Sin Movimiento</v>
      </c>
      <c r="R1045" s="15" t="str">
        <f>VLOOKUP(A1045,sinap!$A$2:$R$9000,16,FALSE)</f>
        <v>11.1.01.1241</v>
      </c>
      <c r="S1045" s="15" t="str">
        <f>VLOOKUP(A1045,sinap!$A$2:$Y$9000,20,FALSE)</f>
        <v>SI</v>
      </c>
      <c r="T1045" s="16">
        <v>44480</v>
      </c>
    </row>
    <row r="1046" spans="1:20" hidden="1" x14ac:dyDescent="0.25">
      <c r="A1046" s="15">
        <v>20910008</v>
      </c>
      <c r="H1046" s="16">
        <v>45648</v>
      </c>
      <c r="I1046" s="16">
        <v>45671</v>
      </c>
      <c r="J1046" s="15" t="str">
        <f>VLOOKUP(A1046,sinap!$A$2:$R$9000,2,FALSE)</f>
        <v>H</v>
      </c>
      <c r="K1046" s="15" t="str">
        <f>VLOOKUP(A1046,sinap!$A$2:$R$9000,3,FALSE)</f>
        <v>VACA</v>
      </c>
      <c r="L1046" s="15" t="str">
        <f>VLOOKUP(A1046,sinap!$A$2:$R$9000,4,FALSE)</f>
        <v>ANGUS ROJO</v>
      </c>
      <c r="M1046" s="15" t="str">
        <f>VLOOKUP(A1046,sinap!$A$2:$R$9000,5,FALSE)</f>
        <v>4 años 3 meses</v>
      </c>
      <c r="N1046" s="15" t="str">
        <f>VLOOKUP(A1046,sinap!$A$2:$R$9000,6,FALSE)</f>
        <v>05-10-2021</v>
      </c>
      <c r="O1046" s="15" t="str">
        <f>VLOOKUP(A1046,sinap!$A$2:$R$9000,7,FALSE)</f>
        <v>Vivo</v>
      </c>
      <c r="P1046" s="15" t="str">
        <f>VLOOKUP(A1046,sinap!$A$2:$R$9000,8,FALSE)</f>
        <v>11.1.01.1241</v>
      </c>
      <c r="Q1046" s="15" t="str">
        <f>VLOOKUP(A1046,sinap!$A$2:$R$9000,12,FALSE)</f>
        <v>11.2.01.0038</v>
      </c>
      <c r="R1046" s="15" t="str">
        <f>VLOOKUP(A1046,sinap!$A$2:$R$9000,16,FALSE)</f>
        <v>11.1.01.1241</v>
      </c>
      <c r="S1046" s="15" t="str">
        <f>VLOOKUP(A1046,sinap!$A$2:$Y$9000,20,FALSE)</f>
        <v>SI</v>
      </c>
      <c r="T1046" s="16">
        <v>44480</v>
      </c>
    </row>
    <row r="1047" spans="1:20" hidden="1" x14ac:dyDescent="0.25">
      <c r="A1047" s="15">
        <v>20910012</v>
      </c>
      <c r="J1047" s="15" t="str">
        <f>VLOOKUP(A1047,sinap!$A$2:$R$9000,2,FALSE)</f>
        <v>H</v>
      </c>
      <c r="K1047" s="15" t="str">
        <f>VLOOKUP(A1047,sinap!$A$2:$R$9000,3,FALSE)</f>
        <v>VACA</v>
      </c>
      <c r="L1047" s="15" t="str">
        <f>VLOOKUP(A1047,sinap!$A$2:$R$9000,4,FALSE)</f>
        <v>ANGUS NEGRO</v>
      </c>
      <c r="M1047" s="15" t="str">
        <f>VLOOKUP(A1047,sinap!$A$2:$R$9000,5,FALSE)</f>
        <v>4 años 3 meses</v>
      </c>
      <c r="N1047" s="15" t="str">
        <f>VLOOKUP(A1047,sinap!$A$2:$R$9000,6,FALSE)</f>
        <v>30-09-2021</v>
      </c>
      <c r="O1047" s="15" t="str">
        <f>VLOOKUP(A1047,sinap!$A$2:$R$9000,7,FALSE)</f>
        <v>Vivo</v>
      </c>
      <c r="P1047" s="15" t="str">
        <f>VLOOKUP(A1047,sinap!$A$2:$R$9000,8,FALSE)</f>
        <v>11.1.01.2304</v>
      </c>
      <c r="Q1047" s="15" t="str">
        <f>VLOOKUP(A1047,sinap!$A$2:$R$9000,12,FALSE)</f>
        <v>11.2.01.0053</v>
      </c>
      <c r="R1047" s="15" t="str">
        <f>VLOOKUP(A1047,sinap!$A$2:$R$9000,16,FALSE)</f>
        <v>11.1.01.1241</v>
      </c>
      <c r="S1047" s="15" t="str">
        <f>VLOOKUP(A1047,sinap!$A$2:$Y$9000,20,FALSE)</f>
        <v>SI</v>
      </c>
      <c r="T1047" s="16">
        <v>44480</v>
      </c>
    </row>
    <row r="1048" spans="1:20" hidden="1" x14ac:dyDescent="0.25">
      <c r="A1048" s="15">
        <v>20910017</v>
      </c>
      <c r="H1048" s="16">
        <v>45648</v>
      </c>
      <c r="I1048" s="16">
        <v>45671</v>
      </c>
      <c r="J1048" s="15" t="str">
        <f>VLOOKUP(A1048,sinap!$A$2:$R$9000,2,FALSE)</f>
        <v>H</v>
      </c>
      <c r="K1048" s="15" t="str">
        <f>VLOOKUP(A1048,sinap!$A$2:$R$9000,3,FALSE)</f>
        <v>VACA</v>
      </c>
      <c r="L1048" s="15" t="str">
        <f>VLOOKUP(A1048,sinap!$A$2:$R$9000,4,FALSE)</f>
        <v>ANGUS ROJO</v>
      </c>
      <c r="M1048" s="15" t="str">
        <f>VLOOKUP(A1048,sinap!$A$2:$R$9000,5,FALSE)</f>
        <v>4 años 3 meses</v>
      </c>
      <c r="N1048" s="15" t="str">
        <f>VLOOKUP(A1048,sinap!$A$2:$R$9000,6,FALSE)</f>
        <v>18-09-2021</v>
      </c>
      <c r="O1048" s="15" t="str">
        <f>VLOOKUP(A1048,sinap!$A$2:$R$9000,7,FALSE)</f>
        <v>Vivo</v>
      </c>
      <c r="P1048" s="15" t="str">
        <f>VLOOKUP(A1048,sinap!$A$2:$R$9000,8,FALSE)</f>
        <v>11.1.01.1241</v>
      </c>
      <c r="Q1048" s="15" t="str">
        <f>VLOOKUP(A1048,sinap!$A$2:$R$9000,12,FALSE)</f>
        <v>11.2.01.0038</v>
      </c>
      <c r="R1048" s="15" t="str">
        <f>VLOOKUP(A1048,sinap!$A$2:$R$9000,16,FALSE)</f>
        <v>11.1.01.1241</v>
      </c>
      <c r="S1048" s="15" t="str">
        <f>VLOOKUP(A1048,sinap!$A$2:$Y$9000,20,FALSE)</f>
        <v>SI</v>
      </c>
      <c r="T1048" s="16">
        <v>44480</v>
      </c>
    </row>
    <row r="1049" spans="1:20" hidden="1" x14ac:dyDescent="0.25">
      <c r="A1049" s="15">
        <v>20910018</v>
      </c>
      <c r="J1049" s="15" t="str">
        <f>VLOOKUP(A1049,sinap!$A$2:$R$9000,2,FALSE)</f>
        <v>H</v>
      </c>
      <c r="K1049" s="15" t="str">
        <f>VLOOKUP(A1049,sinap!$A$2:$R$9000,3,FALSE)</f>
        <v>VACA</v>
      </c>
      <c r="L1049" s="15" t="str">
        <f>VLOOKUP(A1049,sinap!$A$2:$R$9000,4,FALSE)</f>
        <v>ANGUS ROJO</v>
      </c>
      <c r="M1049" s="15" t="str">
        <f>VLOOKUP(A1049,sinap!$A$2:$R$9000,5,FALSE)</f>
        <v>4 años 3 meses</v>
      </c>
      <c r="N1049" s="15" t="str">
        <f>VLOOKUP(A1049,sinap!$A$2:$R$9000,6,FALSE)</f>
        <v>30-09-2021</v>
      </c>
      <c r="O1049" s="15" t="str">
        <f>VLOOKUP(A1049,sinap!$A$2:$R$9000,7,FALSE)</f>
        <v>Vivo</v>
      </c>
      <c r="P1049" s="15" t="str">
        <f>VLOOKUP(A1049,sinap!$A$2:$R$9000,8,FALSE)</f>
        <v>11.1.01.0791</v>
      </c>
      <c r="Q1049" s="15" t="str">
        <f>VLOOKUP(A1049,sinap!$A$2:$R$9000,12,FALSE)</f>
        <v>11.1.01.0893</v>
      </c>
      <c r="R1049" s="15" t="str">
        <f>VLOOKUP(A1049,sinap!$A$2:$R$9000,16,FALSE)</f>
        <v>11.1.01.1241</v>
      </c>
      <c r="S1049" s="15" t="str">
        <f>VLOOKUP(A1049,sinap!$A$2:$Y$9000,20,FALSE)</f>
        <v>SI</v>
      </c>
      <c r="T1049" s="16">
        <v>44480</v>
      </c>
    </row>
    <row r="1050" spans="1:20" hidden="1" x14ac:dyDescent="0.25">
      <c r="A1050" s="15">
        <v>20910021</v>
      </c>
      <c r="H1050" s="16">
        <v>45648</v>
      </c>
      <c r="I1050" s="16">
        <v>45965</v>
      </c>
      <c r="J1050" s="15" t="str">
        <f>VLOOKUP(A1050,sinap!$A$2:$R$9000,2,FALSE)</f>
        <v>H</v>
      </c>
      <c r="K1050" s="15" t="str">
        <f>VLOOKUP(A1050,sinap!$A$2:$R$9000,3,FALSE)</f>
        <v>VACA</v>
      </c>
      <c r="L1050" s="15" t="str">
        <f>VLOOKUP(A1050,sinap!$A$2:$R$9000,4,FALSE)</f>
        <v>ANGUS NEGRO</v>
      </c>
      <c r="M1050" s="15" t="str">
        <f>VLOOKUP(A1050,sinap!$A$2:$R$9000,5,FALSE)</f>
        <v>4 años 3 meses</v>
      </c>
      <c r="N1050" s="15" t="str">
        <f>VLOOKUP(A1050,sinap!$A$2:$R$9000,6,FALSE)</f>
        <v>09-10-2021</v>
      </c>
      <c r="O1050" s="15" t="str">
        <f>VLOOKUP(A1050,sinap!$A$2:$R$9000,7,FALSE)</f>
        <v>Vivo</v>
      </c>
      <c r="P1050" s="15" t="str">
        <f>VLOOKUP(A1050,sinap!$A$2:$R$9000,8,FALSE)</f>
        <v>11.1.01.2442</v>
      </c>
      <c r="Q1050" s="15" t="str">
        <f>VLOOKUP(A1050,sinap!$A$2:$R$9000,12,FALSE)</f>
        <v>11.1.01.0190</v>
      </c>
      <c r="R1050" s="15" t="str">
        <f>VLOOKUP(A1050,sinap!$A$2:$R$9000,16,FALSE)</f>
        <v>11.1.01.1241</v>
      </c>
      <c r="S1050" s="15" t="str">
        <f>VLOOKUP(A1050,sinap!$A$2:$Y$9000,20,FALSE)</f>
        <v>SI</v>
      </c>
      <c r="T1050" s="16">
        <v>44480</v>
      </c>
    </row>
    <row r="1051" spans="1:20" hidden="1" x14ac:dyDescent="0.25">
      <c r="A1051" s="15">
        <v>20910026</v>
      </c>
      <c r="J1051" s="15" t="str">
        <f>VLOOKUP(A1051,sinap!$A$2:$R$9000,2,FALSE)</f>
        <v>H</v>
      </c>
      <c r="K1051" s="15" t="str">
        <f>VLOOKUP(A1051,sinap!$A$2:$R$9000,3,FALSE)</f>
        <v>VACA</v>
      </c>
      <c r="L1051" s="15" t="str">
        <f>VLOOKUP(A1051,sinap!$A$2:$R$9000,4,FALSE)</f>
        <v>ANGUS ROJO</v>
      </c>
      <c r="M1051" s="15" t="str">
        <f>VLOOKUP(A1051,sinap!$A$2:$R$9000,5,FALSE)</f>
        <v>4 años 3 meses</v>
      </c>
      <c r="N1051" s="15" t="str">
        <f>VLOOKUP(A1051,sinap!$A$2:$R$9000,6,FALSE)</f>
        <v>20-09-2021</v>
      </c>
      <c r="O1051" s="15" t="str">
        <f>VLOOKUP(A1051,sinap!$A$2:$R$9000,7,FALSE)</f>
        <v>Vivo</v>
      </c>
      <c r="P1051" s="15" t="str">
        <f>VLOOKUP(A1051,sinap!$A$2:$R$9000,8,FALSE)</f>
        <v>11.1.01.0893</v>
      </c>
      <c r="Q1051" s="15" t="str">
        <f>VLOOKUP(A1051,sinap!$A$2:$R$9000,12,FALSE)</f>
        <v>11.1.01.1241</v>
      </c>
      <c r="R1051" s="15" t="str">
        <f>VLOOKUP(A1051,sinap!$A$2:$R$9000,16,FALSE)</f>
        <v>11.1.01.1241</v>
      </c>
      <c r="S1051" s="15" t="str">
        <f>VLOOKUP(A1051,sinap!$A$2:$Y$9000,20,FALSE)</f>
        <v>SI</v>
      </c>
      <c r="T1051" s="16">
        <v>44480</v>
      </c>
    </row>
    <row r="1052" spans="1:20" hidden="1" x14ac:dyDescent="0.25">
      <c r="A1052" s="15">
        <v>20910031</v>
      </c>
      <c r="J1052" s="15" t="str">
        <f>VLOOKUP(A1052,sinap!$A$2:$R$9000,2,FALSE)</f>
        <v>H</v>
      </c>
      <c r="K1052" s="15" t="str">
        <f>VLOOKUP(A1052,sinap!$A$2:$R$9000,3,FALSE)</f>
        <v>VACA</v>
      </c>
      <c r="L1052" s="15" t="str">
        <f>VLOOKUP(A1052,sinap!$A$2:$R$9000,4,FALSE)</f>
        <v>ANGUS ROJO</v>
      </c>
      <c r="M1052" s="15" t="str">
        <f>VLOOKUP(A1052,sinap!$A$2:$R$9000,5,FALSE)</f>
        <v>4 años 3 meses</v>
      </c>
      <c r="N1052" s="15" t="str">
        <f>VLOOKUP(A1052,sinap!$A$2:$R$9000,6,FALSE)</f>
        <v>30-09-2021</v>
      </c>
      <c r="O1052" s="15" t="str">
        <f>VLOOKUP(A1052,sinap!$A$2:$R$9000,7,FALSE)</f>
        <v>Vivo</v>
      </c>
      <c r="P1052" s="15" t="str">
        <f>VLOOKUP(A1052,sinap!$A$2:$R$9000,8,FALSE)</f>
        <v>11.1.01.0791</v>
      </c>
      <c r="Q1052" s="15" t="str">
        <f>VLOOKUP(A1052,sinap!$A$2:$R$9000,12,FALSE)</f>
        <v>11.1.01.0893</v>
      </c>
      <c r="R1052" s="15" t="str">
        <f>VLOOKUP(A1052,sinap!$A$2:$R$9000,16,FALSE)</f>
        <v>11.1.01.1241</v>
      </c>
      <c r="S1052" s="15" t="str">
        <f>VLOOKUP(A1052,sinap!$A$2:$Y$9000,20,FALSE)</f>
        <v>SI</v>
      </c>
      <c r="T1052" s="16">
        <v>44480</v>
      </c>
    </row>
    <row r="1053" spans="1:20" hidden="1" x14ac:dyDescent="0.25">
      <c r="A1053" s="15">
        <v>20910039</v>
      </c>
      <c r="H1053" s="16">
        <v>45648</v>
      </c>
      <c r="I1053" s="16">
        <v>45671</v>
      </c>
      <c r="J1053" s="15" t="str">
        <f>VLOOKUP(A1053,sinap!$A$2:$R$9000,2,FALSE)</f>
        <v>H</v>
      </c>
      <c r="K1053" s="15" t="str">
        <f>VLOOKUP(A1053,sinap!$A$2:$R$9000,3,FALSE)</f>
        <v>VACA</v>
      </c>
      <c r="L1053" s="15" t="str">
        <f>VLOOKUP(A1053,sinap!$A$2:$R$9000,4,FALSE)</f>
        <v>ANGUS NEGRO</v>
      </c>
      <c r="M1053" s="15" t="str">
        <f>VLOOKUP(A1053,sinap!$A$2:$R$9000,5,FALSE)</f>
        <v>4 años 3 meses</v>
      </c>
      <c r="N1053" s="15" t="str">
        <f>VLOOKUP(A1053,sinap!$A$2:$R$9000,6,FALSE)</f>
        <v>30-09-2021</v>
      </c>
      <c r="O1053" s="15" t="str">
        <f>VLOOKUP(A1053,sinap!$A$2:$R$9000,7,FALSE)</f>
        <v>Vivo</v>
      </c>
      <c r="P1053" s="15" t="str">
        <f>VLOOKUP(A1053,sinap!$A$2:$R$9000,8,FALSE)</f>
        <v>11.1.01.1241</v>
      </c>
      <c r="Q1053" s="15" t="str">
        <f>VLOOKUP(A1053,sinap!$A$2:$R$9000,12,FALSE)</f>
        <v>11.1.01.1022</v>
      </c>
      <c r="R1053" s="15" t="str">
        <f>VLOOKUP(A1053,sinap!$A$2:$R$9000,16,FALSE)</f>
        <v>11.1.01.1241</v>
      </c>
      <c r="S1053" s="15" t="str">
        <f>VLOOKUP(A1053,sinap!$A$2:$Y$9000,20,FALSE)</f>
        <v>SI</v>
      </c>
      <c r="T1053" s="16">
        <v>44480</v>
      </c>
    </row>
    <row r="1054" spans="1:20" hidden="1" x14ac:dyDescent="0.25">
      <c r="A1054" s="15">
        <v>20910044</v>
      </c>
      <c r="J1054" s="15" t="str">
        <f>VLOOKUP(A1054,sinap!$A$2:$R$9000,2,FALSE)</f>
        <v>M</v>
      </c>
      <c r="K1054" s="15" t="str">
        <f>VLOOKUP(A1054,sinap!$A$2:$R$9000,3,FALSE)</f>
        <v>TORO</v>
      </c>
      <c r="L1054" s="15" t="str">
        <f>VLOOKUP(A1054,sinap!$A$2:$R$9000,4,FALSE)</f>
        <v>ANGUS NEGRO</v>
      </c>
      <c r="M1054" s="15" t="str">
        <f>VLOOKUP(A1054,sinap!$A$2:$R$9000,5,FALSE)</f>
        <v>4 años 3 meses</v>
      </c>
      <c r="N1054" s="15" t="str">
        <f>VLOOKUP(A1054,sinap!$A$2:$R$9000,6,FALSE)</f>
        <v>20-09-2021</v>
      </c>
      <c r="O1054" s="15" t="str">
        <f>VLOOKUP(A1054,sinap!$A$2:$R$9000,7,FALSE)</f>
        <v>Vivo</v>
      </c>
      <c r="P1054" s="15" t="str">
        <f>VLOOKUP(A1054,sinap!$A$2:$R$9000,8,FALSE)</f>
        <v>11.1.01.1241</v>
      </c>
      <c r="Q1054" s="15" t="str">
        <f>VLOOKUP(A1054,sinap!$A$2:$R$9000,12,FALSE)</f>
        <v>Sin Movimiento</v>
      </c>
      <c r="R1054" s="15" t="str">
        <f>VLOOKUP(A1054,sinap!$A$2:$R$9000,16,FALSE)</f>
        <v>11.1.01.1241</v>
      </c>
      <c r="S1054" s="15" t="str">
        <f>VLOOKUP(A1054,sinap!$A$2:$Y$9000,20,FALSE)</f>
        <v>SI</v>
      </c>
      <c r="T1054" s="16">
        <v>44480</v>
      </c>
    </row>
    <row r="1055" spans="1:20" hidden="1" x14ac:dyDescent="0.25">
      <c r="A1055" s="15">
        <v>20910049</v>
      </c>
      <c r="H1055" s="16">
        <v>45648</v>
      </c>
      <c r="I1055" s="16">
        <v>45671</v>
      </c>
      <c r="J1055" s="15" t="str">
        <f>VLOOKUP(A1055,sinap!$A$2:$R$9000,2,FALSE)</f>
        <v>H</v>
      </c>
      <c r="K1055" s="15" t="str">
        <f>VLOOKUP(A1055,sinap!$A$2:$R$9000,3,FALSE)</f>
        <v>VACA</v>
      </c>
      <c r="L1055" s="15" t="str">
        <f>VLOOKUP(A1055,sinap!$A$2:$R$9000,4,FALSE)</f>
        <v>ANGUS NEGRO</v>
      </c>
      <c r="M1055" s="15" t="str">
        <f>VLOOKUP(A1055,sinap!$A$2:$R$9000,5,FALSE)</f>
        <v>4 años 3 meses</v>
      </c>
      <c r="N1055" s="15" t="str">
        <f>VLOOKUP(A1055,sinap!$A$2:$R$9000,6,FALSE)</f>
        <v>05-10-2021</v>
      </c>
      <c r="O1055" s="15" t="str">
        <f>VLOOKUP(A1055,sinap!$A$2:$R$9000,7,FALSE)</f>
        <v>Vivo</v>
      </c>
      <c r="P1055" s="15" t="str">
        <f>VLOOKUP(A1055,sinap!$A$2:$R$9000,8,FALSE)</f>
        <v>11.1.01.1241</v>
      </c>
      <c r="Q1055" s="15" t="str">
        <f>VLOOKUP(A1055,sinap!$A$2:$R$9000,12,FALSE)</f>
        <v>11.1.01.1022</v>
      </c>
      <c r="R1055" s="15" t="str">
        <f>VLOOKUP(A1055,sinap!$A$2:$R$9000,16,FALSE)</f>
        <v>11.1.01.1241</v>
      </c>
      <c r="S1055" s="15" t="str">
        <f>VLOOKUP(A1055,sinap!$A$2:$Y$9000,20,FALSE)</f>
        <v>SI</v>
      </c>
      <c r="T1055" s="16">
        <v>44480</v>
      </c>
    </row>
    <row r="1056" spans="1:20" hidden="1" x14ac:dyDescent="0.25">
      <c r="A1056" s="15">
        <v>20910059</v>
      </c>
      <c r="J1056" s="15" t="str">
        <f>VLOOKUP(A1056,sinap!$A$2:$R$9000,2,FALSE)</f>
        <v>M</v>
      </c>
      <c r="K1056" s="15" t="str">
        <f>VLOOKUP(A1056,sinap!$A$2:$R$9000,3,FALSE)</f>
        <v>TORO</v>
      </c>
      <c r="L1056" s="15" t="str">
        <f>VLOOKUP(A1056,sinap!$A$2:$R$9000,4,FALSE)</f>
        <v>ANGUS ROJO</v>
      </c>
      <c r="M1056" s="15" t="str">
        <f>VLOOKUP(A1056,sinap!$A$2:$R$9000,5,FALSE)</f>
        <v>4 años 3 meses</v>
      </c>
      <c r="N1056" s="15" t="str">
        <f>VLOOKUP(A1056,sinap!$A$2:$R$9000,6,FALSE)</f>
        <v>30-09-2021</v>
      </c>
      <c r="O1056" s="15" t="str">
        <f>VLOOKUP(A1056,sinap!$A$2:$R$9000,7,FALSE)</f>
        <v>Vivo</v>
      </c>
      <c r="P1056" s="15" t="str">
        <f>VLOOKUP(A1056,sinap!$A$2:$R$9000,8,FALSE)</f>
        <v>11.1.01.1241</v>
      </c>
      <c r="Q1056" s="15" t="str">
        <f>VLOOKUP(A1056,sinap!$A$2:$R$9000,12,FALSE)</f>
        <v>Sin Movimiento</v>
      </c>
      <c r="R1056" s="15" t="str">
        <f>VLOOKUP(A1056,sinap!$A$2:$R$9000,16,FALSE)</f>
        <v>11.1.01.1241</v>
      </c>
      <c r="S1056" s="15" t="str">
        <f>VLOOKUP(A1056,sinap!$A$2:$Y$9000,20,FALSE)</f>
        <v>SI</v>
      </c>
    </row>
    <row r="1057" spans="1:20" hidden="1" x14ac:dyDescent="0.25">
      <c r="A1057" s="15">
        <v>20910062</v>
      </c>
      <c r="J1057" s="15" t="str">
        <f>VLOOKUP(A1057,sinap!$A$2:$R$9000,2,FALSE)</f>
        <v>H</v>
      </c>
      <c r="K1057" s="15" t="str">
        <f>VLOOKUP(A1057,sinap!$A$2:$R$9000,3,FALSE)</f>
        <v>VACA</v>
      </c>
      <c r="L1057" s="15" t="str">
        <f>VLOOKUP(A1057,sinap!$A$2:$R$9000,4,FALSE)</f>
        <v>ANGUS NEGRO</v>
      </c>
      <c r="M1057" s="15" t="str">
        <f>VLOOKUP(A1057,sinap!$A$2:$R$9000,5,FALSE)</f>
        <v>4 años 3 meses</v>
      </c>
      <c r="N1057" s="15" t="str">
        <f>VLOOKUP(A1057,sinap!$A$2:$R$9000,6,FALSE)</f>
        <v>19-09-2021</v>
      </c>
      <c r="O1057" s="15" t="str">
        <f>VLOOKUP(A1057,sinap!$A$2:$R$9000,7,FALSE)</f>
        <v>Vivo</v>
      </c>
      <c r="P1057" s="15" t="str">
        <f>VLOOKUP(A1057,sinap!$A$2:$R$9000,8,FALSE)</f>
        <v>11.1.01.0893</v>
      </c>
      <c r="Q1057" s="15" t="str">
        <f>VLOOKUP(A1057,sinap!$A$2:$R$9000,12,FALSE)</f>
        <v>11.1.01.1241</v>
      </c>
      <c r="R1057" s="15" t="str">
        <f>VLOOKUP(A1057,sinap!$A$2:$R$9000,16,FALSE)</f>
        <v>11.1.01.1241</v>
      </c>
      <c r="S1057" s="15" t="str">
        <f>VLOOKUP(A1057,sinap!$A$2:$Y$9000,20,FALSE)</f>
        <v>SI</v>
      </c>
    </row>
    <row r="1058" spans="1:20" hidden="1" x14ac:dyDescent="0.25">
      <c r="A1058" s="15">
        <v>20910066</v>
      </c>
      <c r="H1058" s="16">
        <v>45648</v>
      </c>
      <c r="I1058" s="16">
        <v>45671</v>
      </c>
      <c r="J1058" s="15" t="str">
        <f>VLOOKUP(A1058,sinap!$A$2:$R$9000,2,FALSE)</f>
        <v>H</v>
      </c>
      <c r="K1058" s="15" t="str">
        <f>VLOOKUP(A1058,sinap!$A$2:$R$9000,3,FALSE)</f>
        <v>VACA</v>
      </c>
      <c r="L1058" s="15" t="str">
        <f>VLOOKUP(A1058,sinap!$A$2:$R$9000,4,FALSE)</f>
        <v>ANGUS NEGRO</v>
      </c>
      <c r="M1058" s="15" t="str">
        <f>VLOOKUP(A1058,sinap!$A$2:$R$9000,5,FALSE)</f>
        <v>4 años 3 meses</v>
      </c>
      <c r="N1058" s="15" t="str">
        <f>VLOOKUP(A1058,sinap!$A$2:$R$9000,6,FALSE)</f>
        <v>10-10-2021</v>
      </c>
      <c r="O1058" s="15" t="str">
        <f>VLOOKUP(A1058,sinap!$A$2:$R$9000,7,FALSE)</f>
        <v>Vivo</v>
      </c>
      <c r="P1058" s="15" t="str">
        <f>VLOOKUP(A1058,sinap!$A$2:$R$9000,8,FALSE)</f>
        <v>11.1.01.1241</v>
      </c>
      <c r="Q1058" s="15" t="str">
        <f>VLOOKUP(A1058,sinap!$A$2:$R$9000,12,FALSE)</f>
        <v>11.1.01.1022</v>
      </c>
      <c r="R1058" s="15" t="str">
        <f>VLOOKUP(A1058,sinap!$A$2:$R$9000,16,FALSE)</f>
        <v>11.1.01.1241</v>
      </c>
      <c r="S1058" s="15" t="str">
        <f>VLOOKUP(A1058,sinap!$A$2:$Y$9000,20,FALSE)</f>
        <v>SI</v>
      </c>
    </row>
    <row r="1059" spans="1:20" hidden="1" x14ac:dyDescent="0.25">
      <c r="A1059" s="15">
        <v>20910072</v>
      </c>
      <c r="H1059" s="16">
        <v>45648</v>
      </c>
      <c r="I1059" s="16">
        <v>45965</v>
      </c>
      <c r="J1059" s="15" t="str">
        <f>VLOOKUP(A1059,sinap!$A$2:$R$9000,2,FALSE)</f>
        <v>H</v>
      </c>
      <c r="K1059" s="15" t="str">
        <f>VLOOKUP(A1059,sinap!$A$2:$R$9000,3,FALSE)</f>
        <v>VACA</v>
      </c>
      <c r="L1059" s="15" t="str">
        <f>VLOOKUP(A1059,sinap!$A$2:$R$9000,4,FALSE)</f>
        <v>ANGUS NEGRO</v>
      </c>
      <c r="M1059" s="15" t="str">
        <f>VLOOKUP(A1059,sinap!$A$2:$R$9000,5,FALSE)</f>
        <v>4 años 3 meses</v>
      </c>
      <c r="N1059" s="15" t="str">
        <f>VLOOKUP(A1059,sinap!$A$2:$R$9000,6,FALSE)</f>
        <v>05-10-2021</v>
      </c>
      <c r="O1059" s="15" t="str">
        <f>VLOOKUP(A1059,sinap!$A$2:$R$9000,7,FALSE)</f>
        <v>Vivo</v>
      </c>
      <c r="P1059" s="15" t="str">
        <f>VLOOKUP(A1059,sinap!$A$2:$R$9000,8,FALSE)</f>
        <v>11.1.01.1241</v>
      </c>
      <c r="Q1059" s="15" t="str">
        <f>VLOOKUP(A1059,sinap!$A$2:$R$9000,12,FALSE)</f>
        <v>11.2.01.0038</v>
      </c>
      <c r="R1059" s="15" t="str">
        <f>VLOOKUP(A1059,sinap!$A$2:$R$9000,16,FALSE)</f>
        <v>11.1.01.1241</v>
      </c>
      <c r="S1059" s="15" t="str">
        <f>VLOOKUP(A1059,sinap!$A$2:$Y$9000,20,FALSE)</f>
        <v>SI</v>
      </c>
    </row>
    <row r="1060" spans="1:20" hidden="1" x14ac:dyDescent="0.25">
      <c r="A1060" s="15">
        <v>20910073</v>
      </c>
      <c r="H1060" s="16">
        <v>45648</v>
      </c>
      <c r="I1060" s="16">
        <v>45671</v>
      </c>
      <c r="J1060" s="15" t="str">
        <f>VLOOKUP(A1060,sinap!$A$2:$R$9000,2,FALSE)</f>
        <v>H</v>
      </c>
      <c r="K1060" s="15" t="str">
        <f>VLOOKUP(A1060,sinap!$A$2:$R$9000,3,FALSE)</f>
        <v>VACA</v>
      </c>
      <c r="L1060" s="15" t="str">
        <f>VLOOKUP(A1060,sinap!$A$2:$R$9000,4,FALSE)</f>
        <v>ANGUS NEGRO</v>
      </c>
      <c r="M1060" s="15" t="str">
        <f>VLOOKUP(A1060,sinap!$A$2:$R$9000,5,FALSE)</f>
        <v>4 años 3 meses</v>
      </c>
      <c r="N1060" s="15" t="str">
        <f>VLOOKUP(A1060,sinap!$A$2:$R$9000,6,FALSE)</f>
        <v>30-09-2021</v>
      </c>
      <c r="O1060" s="15" t="str">
        <f>VLOOKUP(A1060,sinap!$A$2:$R$9000,7,FALSE)</f>
        <v>Vivo</v>
      </c>
      <c r="P1060" s="15" t="str">
        <f>VLOOKUP(A1060,sinap!$A$2:$R$9000,8,FALSE)</f>
        <v>11.1.01.1241</v>
      </c>
      <c r="Q1060" s="15" t="str">
        <f>VLOOKUP(A1060,sinap!$A$2:$R$9000,12,FALSE)</f>
        <v>11.2.01.0038</v>
      </c>
      <c r="R1060" s="15" t="str">
        <f>VLOOKUP(A1060,sinap!$A$2:$R$9000,16,FALSE)</f>
        <v>11.1.01.1241</v>
      </c>
      <c r="S1060" s="15" t="str">
        <f>VLOOKUP(A1060,sinap!$A$2:$Y$9000,20,FALSE)</f>
        <v>SI</v>
      </c>
    </row>
    <row r="1061" spans="1:20" hidden="1" x14ac:dyDescent="0.25">
      <c r="A1061" s="15">
        <v>20910074</v>
      </c>
      <c r="H1061" s="16">
        <v>45648</v>
      </c>
      <c r="I1061" s="16">
        <v>45965</v>
      </c>
      <c r="J1061" s="15" t="str">
        <f>VLOOKUP(A1061,sinap!$A$2:$R$9000,2,FALSE)</f>
        <v>H</v>
      </c>
      <c r="K1061" s="15" t="str">
        <f>VLOOKUP(A1061,sinap!$A$2:$R$9000,3,FALSE)</f>
        <v>VACA</v>
      </c>
      <c r="L1061" s="15" t="str">
        <f>VLOOKUP(A1061,sinap!$A$2:$R$9000,4,FALSE)</f>
        <v>ANGUS NEGRO</v>
      </c>
      <c r="M1061" s="15" t="str">
        <f>VLOOKUP(A1061,sinap!$A$2:$R$9000,5,FALSE)</f>
        <v>4 años 3 meses</v>
      </c>
      <c r="N1061" s="15" t="str">
        <f>VLOOKUP(A1061,sinap!$A$2:$R$9000,6,FALSE)</f>
        <v>30-09-2021</v>
      </c>
      <c r="O1061" s="15" t="str">
        <f>VLOOKUP(A1061,sinap!$A$2:$R$9000,7,FALSE)</f>
        <v>Vivo</v>
      </c>
      <c r="P1061" s="15" t="str">
        <f>VLOOKUP(A1061,sinap!$A$2:$R$9000,8,FALSE)</f>
        <v>11.1.01.1241</v>
      </c>
      <c r="Q1061" s="15" t="str">
        <f>VLOOKUP(A1061,sinap!$A$2:$R$9000,12,FALSE)</f>
        <v>11.2.01.0038</v>
      </c>
      <c r="R1061" s="15" t="str">
        <f>VLOOKUP(A1061,sinap!$A$2:$R$9000,16,FALSE)</f>
        <v>11.1.01.1241</v>
      </c>
      <c r="S1061" s="15" t="str">
        <f>VLOOKUP(A1061,sinap!$A$2:$Y$9000,20,FALSE)</f>
        <v>SI</v>
      </c>
    </row>
    <row r="1062" spans="1:20" hidden="1" x14ac:dyDescent="0.25">
      <c r="A1062" s="15">
        <v>20910075</v>
      </c>
      <c r="J1062" s="15" t="str">
        <f>VLOOKUP(A1062,sinap!$A$2:$R$9000,2,FALSE)</f>
        <v>H</v>
      </c>
      <c r="K1062" s="15" t="str">
        <f>VLOOKUP(A1062,sinap!$A$2:$R$9000,3,FALSE)</f>
        <v>VACA</v>
      </c>
      <c r="L1062" s="15" t="str">
        <f>VLOOKUP(A1062,sinap!$A$2:$R$9000,4,FALSE)</f>
        <v>ANGUS ROJO</v>
      </c>
      <c r="M1062" s="15" t="str">
        <f>VLOOKUP(A1062,sinap!$A$2:$R$9000,5,FALSE)</f>
        <v>4 años 3 meses</v>
      </c>
      <c r="N1062" s="15" t="str">
        <f>VLOOKUP(A1062,sinap!$A$2:$R$9000,6,FALSE)</f>
        <v>30-09-2021</v>
      </c>
      <c r="O1062" s="15" t="str">
        <f>VLOOKUP(A1062,sinap!$A$2:$R$9000,7,FALSE)</f>
        <v>Vivo</v>
      </c>
      <c r="P1062" s="15" t="str">
        <f>VLOOKUP(A1062,sinap!$A$2:$R$9000,8,FALSE)</f>
        <v>11.1.01.0791</v>
      </c>
      <c r="Q1062" s="15" t="str">
        <f>VLOOKUP(A1062,sinap!$A$2:$R$9000,12,FALSE)</f>
        <v>11.1.01.0893</v>
      </c>
      <c r="R1062" s="15" t="str">
        <f>VLOOKUP(A1062,sinap!$A$2:$R$9000,16,FALSE)</f>
        <v>11.1.01.1241</v>
      </c>
      <c r="S1062" s="15" t="str">
        <f>VLOOKUP(A1062,sinap!$A$2:$Y$9000,20,FALSE)</f>
        <v>SI</v>
      </c>
    </row>
    <row r="1063" spans="1:20" hidden="1" x14ac:dyDescent="0.25">
      <c r="A1063" s="15">
        <v>20910076</v>
      </c>
      <c r="H1063" s="16">
        <v>45648</v>
      </c>
      <c r="I1063" s="16">
        <v>45965</v>
      </c>
      <c r="J1063" s="15" t="str">
        <f>VLOOKUP(A1063,sinap!$A$2:$R$9000,2,FALSE)</f>
        <v>H</v>
      </c>
      <c r="K1063" s="15" t="str">
        <f>VLOOKUP(A1063,sinap!$A$2:$R$9000,3,FALSE)</f>
        <v>VACA</v>
      </c>
      <c r="L1063" s="15" t="str">
        <f>VLOOKUP(A1063,sinap!$A$2:$R$9000,4,FALSE)</f>
        <v>ANGUS ROJO</v>
      </c>
      <c r="M1063" s="15" t="str">
        <f>VLOOKUP(A1063,sinap!$A$2:$R$9000,5,FALSE)</f>
        <v>4 años 3 meses</v>
      </c>
      <c r="N1063" s="15" t="str">
        <f>VLOOKUP(A1063,sinap!$A$2:$R$9000,6,FALSE)</f>
        <v>10-10-2021</v>
      </c>
      <c r="O1063" s="15" t="str">
        <f>VLOOKUP(A1063,sinap!$A$2:$R$9000,7,FALSE)</f>
        <v>Vivo</v>
      </c>
      <c r="P1063" s="15" t="str">
        <f>VLOOKUP(A1063,sinap!$A$2:$R$9000,8,FALSE)</f>
        <v>11.1.01.1241</v>
      </c>
      <c r="Q1063" s="15" t="str">
        <f>VLOOKUP(A1063,sinap!$A$2:$R$9000,12,FALSE)</f>
        <v>11.2.01.0038</v>
      </c>
      <c r="R1063" s="15" t="str">
        <f>VLOOKUP(A1063,sinap!$A$2:$R$9000,16,FALSE)</f>
        <v>11.1.01.1241</v>
      </c>
      <c r="S1063" s="15" t="str">
        <f>VLOOKUP(A1063,sinap!$A$2:$Y$9000,20,FALSE)</f>
        <v>SI</v>
      </c>
    </row>
    <row r="1064" spans="1:20" hidden="1" x14ac:dyDescent="0.25">
      <c r="A1064" s="15">
        <v>20910080</v>
      </c>
      <c r="H1064" s="16">
        <v>45648</v>
      </c>
      <c r="I1064" s="16">
        <v>45966</v>
      </c>
      <c r="J1064" s="15" t="str">
        <f>VLOOKUP(A1064,sinap!$A$2:$R$9000,2,FALSE)</f>
        <v>H</v>
      </c>
      <c r="K1064" s="15" t="str">
        <f>VLOOKUP(A1064,sinap!$A$2:$R$9000,3,FALSE)</f>
        <v>VACA</v>
      </c>
      <c r="L1064" s="15" t="str">
        <f>VLOOKUP(A1064,sinap!$A$2:$R$9000,4,FALSE)</f>
        <v>ANGUS NEGRO</v>
      </c>
      <c r="M1064" s="15" t="str">
        <f>VLOOKUP(A1064,sinap!$A$2:$R$9000,5,FALSE)</f>
        <v>4 años 3 meses</v>
      </c>
      <c r="N1064" s="15" t="str">
        <f>VLOOKUP(A1064,sinap!$A$2:$R$9000,6,FALSE)</f>
        <v>10-10-2021</v>
      </c>
      <c r="O1064" s="15" t="str">
        <f>VLOOKUP(A1064,sinap!$A$2:$R$9000,7,FALSE)</f>
        <v>Vivo</v>
      </c>
      <c r="P1064" s="15" t="str">
        <f>VLOOKUP(A1064,sinap!$A$2:$R$9000,8,FALSE)</f>
        <v>11.1.01.2442</v>
      </c>
      <c r="Q1064" s="15" t="str">
        <f>VLOOKUP(A1064,sinap!$A$2:$R$9000,12,FALSE)</f>
        <v>11.1.01.0190</v>
      </c>
      <c r="R1064" s="15" t="str">
        <f>VLOOKUP(A1064,sinap!$A$2:$R$9000,16,FALSE)</f>
        <v>11.1.01.1241</v>
      </c>
      <c r="S1064" s="15" t="str">
        <f>VLOOKUP(A1064,sinap!$A$2:$Y$9000,20,FALSE)</f>
        <v>SI</v>
      </c>
    </row>
    <row r="1065" spans="1:20" hidden="1" x14ac:dyDescent="0.25">
      <c r="A1065" s="15">
        <v>20910125</v>
      </c>
      <c r="J1065" s="15" t="str">
        <f>VLOOKUP(A1065,sinap!$A$2:$R$9000,2,FALSE)</f>
        <v>H</v>
      </c>
      <c r="K1065" s="15" t="str">
        <f>VLOOKUP(A1065,sinap!$A$2:$R$9000,3,FALSE)</f>
        <v>VACA</v>
      </c>
      <c r="L1065" s="15" t="str">
        <f>VLOOKUP(A1065,sinap!$A$2:$R$9000,4,FALSE)</f>
        <v>ANGUS NEGRO</v>
      </c>
      <c r="M1065" s="15" t="str">
        <f>VLOOKUP(A1065,sinap!$A$2:$R$9000,5,FALSE)</f>
        <v>4 años 3 meses</v>
      </c>
      <c r="N1065" s="15" t="str">
        <f>VLOOKUP(A1065,sinap!$A$2:$R$9000,6,FALSE)</f>
        <v>05-10-2021</v>
      </c>
      <c r="O1065" s="15" t="str">
        <f>VLOOKUP(A1065,sinap!$A$2:$R$9000,7,FALSE)</f>
        <v>Vivo</v>
      </c>
      <c r="P1065" s="15" t="str">
        <f>VLOOKUP(A1065,sinap!$A$2:$R$9000,8,FALSE)</f>
        <v>11.1.01.1241</v>
      </c>
      <c r="Q1065" s="15" t="str">
        <f>VLOOKUP(A1065,sinap!$A$2:$R$9000,12,FALSE)</f>
        <v>11.2.01.0038</v>
      </c>
      <c r="R1065" s="15" t="str">
        <f>VLOOKUP(A1065,sinap!$A$2:$R$9000,16,FALSE)</f>
        <v>11.1.01.0893</v>
      </c>
      <c r="S1065" s="15" t="str">
        <f>VLOOKUP(A1065,sinap!$A$2:$Y$9000,20,FALSE)</f>
        <v>SI</v>
      </c>
      <c r="T1065" s="16">
        <v>44491</v>
      </c>
    </row>
    <row r="1066" spans="1:20" hidden="1" x14ac:dyDescent="0.25">
      <c r="A1066" s="15">
        <v>20910129</v>
      </c>
      <c r="J1066" s="15" t="str">
        <f>VLOOKUP(A1066,sinap!$A$2:$R$9000,2,FALSE)</f>
        <v>H</v>
      </c>
      <c r="K1066" s="15" t="str">
        <f>VLOOKUP(A1066,sinap!$A$2:$R$9000,3,FALSE)</f>
        <v>VACA</v>
      </c>
      <c r="L1066" s="15" t="str">
        <f>VLOOKUP(A1066,sinap!$A$2:$R$9000,4,FALSE)</f>
        <v>ANGUS NEGRO</v>
      </c>
      <c r="M1066" s="15" t="str">
        <f>VLOOKUP(A1066,sinap!$A$2:$R$9000,5,FALSE)</f>
        <v>4 años 2 meses</v>
      </c>
      <c r="N1066" s="15" t="str">
        <f>VLOOKUP(A1066,sinap!$A$2:$R$9000,6,FALSE)</f>
        <v>18-10-2021</v>
      </c>
      <c r="O1066" s="15" t="str">
        <f>VLOOKUP(A1066,sinap!$A$2:$R$9000,7,FALSE)</f>
        <v>Vivo</v>
      </c>
      <c r="P1066" s="15" t="str">
        <f>VLOOKUP(A1066,sinap!$A$2:$R$9000,8,FALSE)</f>
        <v>11.2.01.0038</v>
      </c>
      <c r="Q1066" s="15" t="str">
        <f>VLOOKUP(A1066,sinap!$A$2:$R$9000,12,FALSE)</f>
        <v>11.1.01.0893</v>
      </c>
      <c r="R1066" s="15" t="str">
        <f>VLOOKUP(A1066,sinap!$A$2:$R$9000,16,FALSE)</f>
        <v>11.1.01.0893</v>
      </c>
      <c r="S1066" s="15" t="str">
        <f>VLOOKUP(A1066,sinap!$A$2:$Y$9000,20,FALSE)</f>
        <v>SI</v>
      </c>
      <c r="T1066" s="16">
        <v>44491</v>
      </c>
    </row>
    <row r="1067" spans="1:20" hidden="1" x14ac:dyDescent="0.25">
      <c r="A1067" s="15">
        <v>20910142</v>
      </c>
      <c r="H1067" s="16">
        <v>45648</v>
      </c>
      <c r="I1067" s="16">
        <v>45671</v>
      </c>
      <c r="J1067" s="15" t="str">
        <f>VLOOKUP(A1067,sinap!$A$2:$R$9000,2,FALSE)</f>
        <v>H</v>
      </c>
      <c r="K1067" s="15" t="str">
        <f>VLOOKUP(A1067,sinap!$A$2:$R$9000,3,FALSE)</f>
        <v>VACA</v>
      </c>
      <c r="L1067" s="15" t="str">
        <f>VLOOKUP(A1067,sinap!$A$2:$R$9000,4,FALSE)</f>
        <v>ANGUS NEGRO</v>
      </c>
      <c r="M1067" s="15" t="str">
        <f>VLOOKUP(A1067,sinap!$A$2:$R$9000,5,FALSE)</f>
        <v>4 años 3 meses</v>
      </c>
      <c r="N1067" s="15" t="str">
        <f>VLOOKUP(A1067,sinap!$A$2:$R$9000,6,FALSE)</f>
        <v>30-09-2021</v>
      </c>
      <c r="O1067" s="15" t="str">
        <f>VLOOKUP(A1067,sinap!$A$2:$R$9000,7,FALSE)</f>
        <v>Vivo</v>
      </c>
      <c r="P1067" s="15" t="str">
        <f>VLOOKUP(A1067,sinap!$A$2:$R$9000,8,FALSE)</f>
        <v>11.1.01.1241</v>
      </c>
      <c r="Q1067" s="15" t="str">
        <f>VLOOKUP(A1067,sinap!$A$2:$R$9000,12,FALSE)</f>
        <v>11.1.01.1022</v>
      </c>
      <c r="R1067" s="15" t="str">
        <f>VLOOKUP(A1067,sinap!$A$2:$R$9000,16,FALSE)</f>
        <v>11.1.01.0893</v>
      </c>
      <c r="S1067" s="15" t="str">
        <f>VLOOKUP(A1067,sinap!$A$2:$Y$9000,20,FALSE)</f>
        <v>SI</v>
      </c>
      <c r="T1067" s="16">
        <v>44491</v>
      </c>
    </row>
    <row r="1068" spans="1:20" hidden="1" x14ac:dyDescent="0.25">
      <c r="A1068" s="15">
        <v>20910148</v>
      </c>
      <c r="H1068" s="16">
        <v>45648</v>
      </c>
      <c r="I1068" s="16">
        <v>45671</v>
      </c>
      <c r="J1068" s="15" t="str">
        <f>VLOOKUP(A1068,sinap!$A$2:$R$9000,2,FALSE)</f>
        <v>H</v>
      </c>
      <c r="K1068" s="15" t="str">
        <f>VLOOKUP(A1068,sinap!$A$2:$R$9000,3,FALSE)</f>
        <v>VACA</v>
      </c>
      <c r="L1068" s="15" t="str">
        <f>VLOOKUP(A1068,sinap!$A$2:$R$9000,4,FALSE)</f>
        <v>ANGUS NEGRO</v>
      </c>
      <c r="M1068" s="15" t="str">
        <f>VLOOKUP(A1068,sinap!$A$2:$R$9000,5,FALSE)</f>
        <v>4 años 3 meses</v>
      </c>
      <c r="N1068" s="15" t="str">
        <f>VLOOKUP(A1068,sinap!$A$2:$R$9000,6,FALSE)</f>
        <v>30-09-2021</v>
      </c>
      <c r="O1068" s="15" t="str">
        <f>VLOOKUP(A1068,sinap!$A$2:$R$9000,7,FALSE)</f>
        <v>Vivo</v>
      </c>
      <c r="P1068" s="15" t="str">
        <f>VLOOKUP(A1068,sinap!$A$2:$R$9000,8,FALSE)</f>
        <v>11.1.01.1241</v>
      </c>
      <c r="Q1068" s="15" t="str">
        <f>VLOOKUP(A1068,sinap!$A$2:$R$9000,12,FALSE)</f>
        <v>11.1.01.1022</v>
      </c>
      <c r="R1068" s="15" t="str">
        <f>VLOOKUP(A1068,sinap!$A$2:$R$9000,16,FALSE)</f>
        <v>11.1.01.0893</v>
      </c>
      <c r="S1068" s="15" t="str">
        <f>VLOOKUP(A1068,sinap!$A$2:$Y$9000,20,FALSE)</f>
        <v>SI</v>
      </c>
      <c r="T1068" s="16">
        <v>44491</v>
      </c>
    </row>
    <row r="1069" spans="1:20" hidden="1" x14ac:dyDescent="0.25">
      <c r="A1069" s="15">
        <v>20910155</v>
      </c>
      <c r="J1069" s="15" t="str">
        <f>VLOOKUP(A1069,sinap!$A$2:$R$9000,2,FALSE)</f>
        <v>M</v>
      </c>
      <c r="K1069" s="15" t="str">
        <f>VLOOKUP(A1069,sinap!$A$2:$R$9000,3,FALSE)</f>
        <v>TORO</v>
      </c>
      <c r="L1069" s="15" t="str">
        <f>VLOOKUP(A1069,sinap!$A$2:$R$9000,4,FALSE)</f>
        <v>ANGUS NEGRO</v>
      </c>
      <c r="M1069" s="15" t="str">
        <f>VLOOKUP(A1069,sinap!$A$2:$R$9000,5,FALSE)</f>
        <v>4 años 4 meses</v>
      </c>
      <c r="N1069" s="15" t="str">
        <f>VLOOKUP(A1069,sinap!$A$2:$R$9000,6,FALSE)</f>
        <v>10-09-2021</v>
      </c>
      <c r="O1069" s="15" t="str">
        <f>VLOOKUP(A1069,sinap!$A$2:$R$9000,7,FALSE)</f>
        <v>Vivo</v>
      </c>
      <c r="P1069" s="15" t="str">
        <f>VLOOKUP(A1069,sinap!$A$2:$R$9000,8,FALSE)</f>
        <v>11.1.01.0893</v>
      </c>
      <c r="Q1069" s="15" t="str">
        <f>VLOOKUP(A1069,sinap!$A$2:$R$9000,12,FALSE)</f>
        <v>Sin Movimiento</v>
      </c>
      <c r="R1069" s="15" t="str">
        <f>VLOOKUP(A1069,sinap!$A$2:$R$9000,16,FALSE)</f>
        <v>11.1.01.0893</v>
      </c>
      <c r="S1069" s="15" t="str">
        <f>VLOOKUP(A1069,sinap!$A$2:$Y$9000,20,FALSE)</f>
        <v>SI</v>
      </c>
      <c r="T1069" s="16">
        <v>44491</v>
      </c>
    </row>
    <row r="1070" spans="1:20" hidden="1" x14ac:dyDescent="0.25">
      <c r="A1070" s="15">
        <v>20910163</v>
      </c>
      <c r="J1070" s="15" t="str">
        <f>VLOOKUP(A1070,sinap!$A$2:$R$9000,2,FALSE)</f>
        <v>M</v>
      </c>
      <c r="K1070" s="15" t="str">
        <f>VLOOKUP(A1070,sinap!$A$2:$R$9000,3,FALSE)</f>
        <v>TORO</v>
      </c>
      <c r="L1070" s="15" t="str">
        <f>VLOOKUP(A1070,sinap!$A$2:$R$9000,4,FALSE)</f>
        <v>ANGUS NEGRO</v>
      </c>
      <c r="M1070" s="15" t="str">
        <f>VLOOKUP(A1070,sinap!$A$2:$R$9000,5,FALSE)</f>
        <v>4 años 3 meses</v>
      </c>
      <c r="N1070" s="15" t="str">
        <f>VLOOKUP(A1070,sinap!$A$2:$R$9000,6,FALSE)</f>
        <v>30-09-2021</v>
      </c>
      <c r="O1070" s="15" t="str">
        <f>VLOOKUP(A1070,sinap!$A$2:$R$9000,7,FALSE)</f>
        <v>Vivo</v>
      </c>
      <c r="P1070" s="15" t="str">
        <f>VLOOKUP(A1070,sinap!$A$2:$R$9000,8,FALSE)</f>
        <v>11.1.01.0893</v>
      </c>
      <c r="Q1070" s="15" t="str">
        <f>VLOOKUP(A1070,sinap!$A$2:$R$9000,12,FALSE)</f>
        <v>Sin Movimiento</v>
      </c>
      <c r="R1070" s="15" t="str">
        <f>VLOOKUP(A1070,sinap!$A$2:$R$9000,16,FALSE)</f>
        <v>11.1.01.0893</v>
      </c>
      <c r="S1070" s="15" t="str">
        <f>VLOOKUP(A1070,sinap!$A$2:$Y$9000,20,FALSE)</f>
        <v>SI</v>
      </c>
      <c r="T1070" s="16">
        <v>44491</v>
      </c>
    </row>
    <row r="1071" spans="1:20" hidden="1" x14ac:dyDescent="0.25">
      <c r="A1071" s="15">
        <v>20910172</v>
      </c>
      <c r="J1071" s="15" t="str">
        <f>VLOOKUP(A1071,sinap!$A$2:$R$9000,2,FALSE)</f>
        <v>H</v>
      </c>
      <c r="K1071" s="15" t="str">
        <f>VLOOKUP(A1071,sinap!$A$2:$R$9000,3,FALSE)</f>
        <v>VACA</v>
      </c>
      <c r="L1071" s="15" t="str">
        <f>VLOOKUP(A1071,sinap!$A$2:$R$9000,4,FALSE)</f>
        <v>ANGUS NEGRO</v>
      </c>
      <c r="M1071" s="15" t="str">
        <f>VLOOKUP(A1071,sinap!$A$2:$R$9000,5,FALSE)</f>
        <v>4 años 3 meses</v>
      </c>
      <c r="N1071" s="15" t="str">
        <f>VLOOKUP(A1071,sinap!$A$2:$R$9000,6,FALSE)</f>
        <v>05-10-2021</v>
      </c>
      <c r="O1071" s="15" t="str">
        <f>VLOOKUP(A1071,sinap!$A$2:$R$9000,7,FALSE)</f>
        <v>Vivo</v>
      </c>
      <c r="P1071" s="15" t="str">
        <f>VLOOKUP(A1071,sinap!$A$2:$R$9000,8,FALSE)</f>
        <v>11.1.01.0893</v>
      </c>
      <c r="Q1071" s="15" t="str">
        <f>VLOOKUP(A1071,sinap!$A$2:$R$9000,12,FALSE)</f>
        <v>Sin Movimiento</v>
      </c>
      <c r="R1071" s="15" t="str">
        <f>VLOOKUP(A1071,sinap!$A$2:$R$9000,16,FALSE)</f>
        <v>11.1.01.0893</v>
      </c>
      <c r="S1071" s="15" t="str">
        <f>VLOOKUP(A1071,sinap!$A$2:$Y$9000,20,FALSE)</f>
        <v>SI</v>
      </c>
      <c r="T1071" s="16">
        <v>44491</v>
      </c>
    </row>
    <row r="1072" spans="1:20" hidden="1" x14ac:dyDescent="0.25">
      <c r="A1072" s="15">
        <v>20910191</v>
      </c>
      <c r="H1072" s="16">
        <v>45648</v>
      </c>
      <c r="I1072" s="16">
        <v>45671</v>
      </c>
      <c r="J1072" s="15" t="str">
        <f>VLOOKUP(A1072,sinap!$A$2:$R$9000,2,FALSE)</f>
        <v>H</v>
      </c>
      <c r="K1072" s="15" t="str">
        <f>VLOOKUP(A1072,sinap!$A$2:$R$9000,3,FALSE)</f>
        <v>VACA</v>
      </c>
      <c r="L1072" s="15" t="str">
        <f>VLOOKUP(A1072,sinap!$A$2:$R$9000,4,FALSE)</f>
        <v>ANGUS NEGRO</v>
      </c>
      <c r="M1072" s="15" t="str">
        <f>VLOOKUP(A1072,sinap!$A$2:$R$9000,5,FALSE)</f>
        <v>4 años 3 meses</v>
      </c>
      <c r="N1072" s="15" t="str">
        <f>VLOOKUP(A1072,sinap!$A$2:$R$9000,6,FALSE)</f>
        <v>15-10-2021</v>
      </c>
      <c r="O1072" s="15" t="str">
        <f>VLOOKUP(A1072,sinap!$A$2:$R$9000,7,FALSE)</f>
        <v>Vivo</v>
      </c>
      <c r="P1072" s="15" t="str">
        <f>VLOOKUP(A1072,sinap!$A$2:$R$9000,8,FALSE)</f>
        <v>11.1.01.1241</v>
      </c>
      <c r="Q1072" s="15" t="str">
        <f>VLOOKUP(A1072,sinap!$A$2:$R$9000,12,FALSE)</f>
        <v>11.2.01.0038</v>
      </c>
      <c r="R1072" s="15" t="str">
        <f>VLOOKUP(A1072,sinap!$A$2:$R$9000,16,FALSE)</f>
        <v>11.1.01.0893</v>
      </c>
      <c r="S1072" s="15" t="str">
        <f>VLOOKUP(A1072,sinap!$A$2:$Y$9000,20,FALSE)</f>
        <v>SI</v>
      </c>
      <c r="T1072" s="16">
        <v>44491</v>
      </c>
    </row>
    <row r="1073" spans="1:20" hidden="1" x14ac:dyDescent="0.25">
      <c r="A1073" s="15">
        <v>20910193</v>
      </c>
      <c r="H1073" s="16">
        <v>45648</v>
      </c>
      <c r="I1073" s="16">
        <v>45671</v>
      </c>
      <c r="J1073" s="15" t="str">
        <f>VLOOKUP(A1073,sinap!$A$2:$R$9000,2,FALSE)</f>
        <v>H</v>
      </c>
      <c r="K1073" s="15" t="str">
        <f>VLOOKUP(A1073,sinap!$A$2:$R$9000,3,FALSE)</f>
        <v>VACA</v>
      </c>
      <c r="L1073" s="15" t="str">
        <f>VLOOKUP(A1073,sinap!$A$2:$R$9000,4,FALSE)</f>
        <v>ANGUS NEGRO</v>
      </c>
      <c r="M1073" s="15" t="str">
        <f>VLOOKUP(A1073,sinap!$A$2:$R$9000,5,FALSE)</f>
        <v>4 años 3 meses</v>
      </c>
      <c r="N1073" s="15" t="str">
        <f>VLOOKUP(A1073,sinap!$A$2:$R$9000,6,FALSE)</f>
        <v>15-10-2021</v>
      </c>
      <c r="O1073" s="15" t="str">
        <f>VLOOKUP(A1073,sinap!$A$2:$R$9000,7,FALSE)</f>
        <v>Vivo</v>
      </c>
      <c r="P1073" s="15" t="str">
        <f>VLOOKUP(A1073,sinap!$A$2:$R$9000,8,FALSE)</f>
        <v>11.1.01.1241</v>
      </c>
      <c r="Q1073" s="15" t="str">
        <f>VLOOKUP(A1073,sinap!$A$2:$R$9000,12,FALSE)</f>
        <v>11.1.01.1022</v>
      </c>
      <c r="R1073" s="15" t="str">
        <f>VLOOKUP(A1073,sinap!$A$2:$R$9000,16,FALSE)</f>
        <v>11.1.01.0893</v>
      </c>
      <c r="S1073" s="15" t="str">
        <f>VLOOKUP(A1073,sinap!$A$2:$Y$9000,20,FALSE)</f>
        <v>SI</v>
      </c>
      <c r="T1073" s="16">
        <v>44491</v>
      </c>
    </row>
    <row r="1074" spans="1:20" hidden="1" x14ac:dyDescent="0.25">
      <c r="A1074" s="15">
        <v>20910198</v>
      </c>
      <c r="H1074" s="16">
        <v>45648</v>
      </c>
      <c r="I1074" s="16">
        <v>45671</v>
      </c>
      <c r="J1074" s="15" t="str">
        <f>VLOOKUP(A1074,sinap!$A$2:$R$9000,2,FALSE)</f>
        <v>H</v>
      </c>
      <c r="K1074" s="15" t="str">
        <f>VLOOKUP(A1074,sinap!$A$2:$R$9000,3,FALSE)</f>
        <v>VACA</v>
      </c>
      <c r="L1074" s="15" t="str">
        <f>VLOOKUP(A1074,sinap!$A$2:$R$9000,4,FALSE)</f>
        <v>ANGUS ROJO</v>
      </c>
      <c r="M1074" s="15" t="str">
        <f>VLOOKUP(A1074,sinap!$A$2:$R$9000,5,FALSE)</f>
        <v>4 años 4 meses</v>
      </c>
      <c r="N1074" s="15" t="str">
        <f>VLOOKUP(A1074,sinap!$A$2:$R$9000,6,FALSE)</f>
        <v>30-08-2021</v>
      </c>
      <c r="O1074" s="15" t="str">
        <f>VLOOKUP(A1074,sinap!$A$2:$R$9000,7,FALSE)</f>
        <v>Vivo</v>
      </c>
      <c r="P1074" s="15" t="str">
        <f>VLOOKUP(A1074,sinap!$A$2:$R$9000,8,FALSE)</f>
        <v>11.1.01.1241</v>
      </c>
      <c r="Q1074" s="15" t="str">
        <f>VLOOKUP(A1074,sinap!$A$2:$R$9000,12,FALSE)</f>
        <v>11.2.01.0038</v>
      </c>
      <c r="R1074" s="15" t="str">
        <f>VLOOKUP(A1074,sinap!$A$2:$R$9000,16,FALSE)</f>
        <v>11.1.01.0893</v>
      </c>
      <c r="S1074" s="15" t="str">
        <f>VLOOKUP(A1074,sinap!$A$2:$Y$9000,20,FALSE)</f>
        <v>SI</v>
      </c>
      <c r="T1074" s="16">
        <v>44491</v>
      </c>
    </row>
    <row r="1075" spans="1:20" hidden="1" x14ac:dyDescent="0.25">
      <c r="A1075" s="15">
        <v>20910201</v>
      </c>
      <c r="H1075" s="16">
        <v>45648</v>
      </c>
      <c r="I1075" s="16">
        <v>45671</v>
      </c>
      <c r="J1075" s="15" t="str">
        <f>VLOOKUP(A1075,sinap!$A$2:$R$9000,2,FALSE)</f>
        <v>H</v>
      </c>
      <c r="K1075" s="15" t="str">
        <f>VLOOKUP(A1075,sinap!$A$2:$R$9000,3,FALSE)</f>
        <v>VACA</v>
      </c>
      <c r="L1075" s="15" t="str">
        <f>VLOOKUP(A1075,sinap!$A$2:$R$9000,4,FALSE)</f>
        <v>ANGUS NEGRO</v>
      </c>
      <c r="M1075" s="15" t="str">
        <f>VLOOKUP(A1075,sinap!$A$2:$R$9000,5,FALSE)</f>
        <v>4 años 4 meses</v>
      </c>
      <c r="N1075" s="15" t="str">
        <f>VLOOKUP(A1075,sinap!$A$2:$R$9000,6,FALSE)</f>
        <v>10-09-2021</v>
      </c>
      <c r="O1075" s="15" t="str">
        <f>VLOOKUP(A1075,sinap!$A$2:$R$9000,7,FALSE)</f>
        <v>Vivo</v>
      </c>
      <c r="P1075" s="15" t="str">
        <f>VLOOKUP(A1075,sinap!$A$2:$R$9000,8,FALSE)</f>
        <v>11.1.01.1241</v>
      </c>
      <c r="Q1075" s="15" t="str">
        <f>VLOOKUP(A1075,sinap!$A$2:$R$9000,12,FALSE)</f>
        <v>11.1.01.1022</v>
      </c>
      <c r="R1075" s="15" t="str">
        <f>VLOOKUP(A1075,sinap!$A$2:$R$9000,16,FALSE)</f>
        <v>11.1.01.0893</v>
      </c>
      <c r="S1075" s="15" t="str">
        <f>VLOOKUP(A1075,sinap!$A$2:$Y$9000,20,FALSE)</f>
        <v>SI</v>
      </c>
      <c r="T1075" s="16">
        <v>44491</v>
      </c>
    </row>
    <row r="1076" spans="1:20" hidden="1" x14ac:dyDescent="0.25">
      <c r="A1076" s="15">
        <v>20910205</v>
      </c>
      <c r="J1076" s="15" t="str">
        <f>VLOOKUP(A1076,sinap!$A$2:$R$9000,2,FALSE)</f>
        <v>M</v>
      </c>
      <c r="K1076" s="15" t="str">
        <f>VLOOKUP(A1076,sinap!$A$2:$R$9000,3,FALSE)</f>
        <v>TORO</v>
      </c>
      <c r="L1076" s="15" t="str">
        <f>VLOOKUP(A1076,sinap!$A$2:$R$9000,4,FALSE)</f>
        <v>ANGUS ROJO</v>
      </c>
      <c r="M1076" s="15" t="str">
        <f>VLOOKUP(A1076,sinap!$A$2:$R$9000,5,FALSE)</f>
        <v>4 años 3 meses</v>
      </c>
      <c r="N1076" s="15" t="str">
        <f>VLOOKUP(A1076,sinap!$A$2:$R$9000,6,FALSE)</f>
        <v>15-10-2021</v>
      </c>
      <c r="O1076" s="15" t="str">
        <f>VLOOKUP(A1076,sinap!$A$2:$R$9000,7,FALSE)</f>
        <v>Vivo</v>
      </c>
      <c r="P1076" s="15" t="str">
        <f>VLOOKUP(A1076,sinap!$A$2:$R$9000,8,FALSE)</f>
        <v>11.1.01.1241</v>
      </c>
      <c r="Q1076" s="15" t="str">
        <f>VLOOKUP(A1076,sinap!$A$2:$R$9000,12,FALSE)</f>
        <v>11.1.01.0893</v>
      </c>
      <c r="R1076" s="15" t="str">
        <f>VLOOKUP(A1076,sinap!$A$2:$R$9000,16,FALSE)</f>
        <v>11.1.01.0893</v>
      </c>
      <c r="S1076" s="15" t="str">
        <f>VLOOKUP(A1076,sinap!$A$2:$Y$9000,20,FALSE)</f>
        <v>SI</v>
      </c>
      <c r="T1076" s="16">
        <v>44491</v>
      </c>
    </row>
    <row r="1077" spans="1:20" hidden="1" x14ac:dyDescent="0.25">
      <c r="A1077" s="15">
        <v>20910206</v>
      </c>
      <c r="H1077" s="16">
        <v>45648</v>
      </c>
      <c r="I1077" s="16">
        <v>45965</v>
      </c>
      <c r="J1077" s="15" t="str">
        <f>VLOOKUP(A1077,sinap!$A$2:$R$9000,2,FALSE)</f>
        <v>H</v>
      </c>
      <c r="K1077" s="15" t="str">
        <f>VLOOKUP(A1077,sinap!$A$2:$R$9000,3,FALSE)</f>
        <v>VACA</v>
      </c>
      <c r="L1077" s="15" t="str">
        <f>VLOOKUP(A1077,sinap!$A$2:$R$9000,4,FALSE)</f>
        <v>ANGUS NEGRO</v>
      </c>
      <c r="M1077" s="15" t="str">
        <f>VLOOKUP(A1077,sinap!$A$2:$R$9000,5,FALSE)</f>
        <v>4 años 3 meses</v>
      </c>
      <c r="N1077" s="15" t="str">
        <f>VLOOKUP(A1077,sinap!$A$2:$R$9000,6,FALSE)</f>
        <v>25-09-2021</v>
      </c>
      <c r="O1077" s="15" t="str">
        <f>VLOOKUP(A1077,sinap!$A$2:$R$9000,7,FALSE)</f>
        <v>Vivo</v>
      </c>
      <c r="P1077" s="15" t="str">
        <f>VLOOKUP(A1077,sinap!$A$2:$R$9000,8,FALSE)</f>
        <v>11.1.01.1241</v>
      </c>
      <c r="Q1077" s="15" t="str">
        <f>VLOOKUP(A1077,sinap!$A$2:$R$9000,12,FALSE)</f>
        <v>11.2.01.0038</v>
      </c>
      <c r="R1077" s="15" t="str">
        <f>VLOOKUP(A1077,sinap!$A$2:$R$9000,16,FALSE)</f>
        <v>11.1.01.0893</v>
      </c>
      <c r="S1077" s="15" t="str">
        <f>VLOOKUP(A1077,sinap!$A$2:$Y$9000,20,FALSE)</f>
        <v>SI</v>
      </c>
      <c r="T1077" s="16">
        <v>44491</v>
      </c>
    </row>
    <row r="1078" spans="1:20" hidden="1" x14ac:dyDescent="0.25">
      <c r="A1078" s="15">
        <v>20910208</v>
      </c>
      <c r="H1078" s="16">
        <v>45648</v>
      </c>
      <c r="I1078" s="16">
        <v>45966</v>
      </c>
      <c r="J1078" s="15" t="str">
        <f>VLOOKUP(A1078,sinap!$A$2:$R$9000,2,FALSE)</f>
        <v>H</v>
      </c>
      <c r="K1078" s="15" t="str">
        <f>VLOOKUP(A1078,sinap!$A$2:$R$9000,3,FALSE)</f>
        <v>VACA</v>
      </c>
      <c r="L1078" s="15" t="str">
        <f>VLOOKUP(A1078,sinap!$A$2:$R$9000,4,FALSE)</f>
        <v>ANGUS ROJO</v>
      </c>
      <c r="M1078" s="15" t="str">
        <f>VLOOKUP(A1078,sinap!$A$2:$R$9000,5,FALSE)</f>
        <v>4 años 4 meses</v>
      </c>
      <c r="N1078" s="15" t="str">
        <f>VLOOKUP(A1078,sinap!$A$2:$R$9000,6,FALSE)</f>
        <v>10-09-2021</v>
      </c>
      <c r="O1078" s="15" t="str">
        <f>VLOOKUP(A1078,sinap!$A$2:$R$9000,7,FALSE)</f>
        <v>Vivo</v>
      </c>
      <c r="P1078" s="15" t="str">
        <f>VLOOKUP(A1078,sinap!$A$2:$R$9000,8,FALSE)</f>
        <v>11.1.01.2442</v>
      </c>
      <c r="Q1078" s="15" t="str">
        <f>VLOOKUP(A1078,sinap!$A$2:$R$9000,12,FALSE)</f>
        <v>11.1.01.0190</v>
      </c>
      <c r="R1078" s="15" t="str">
        <f>VLOOKUP(A1078,sinap!$A$2:$R$9000,16,FALSE)</f>
        <v>11.1.01.0893</v>
      </c>
      <c r="S1078" s="15" t="str">
        <f>VLOOKUP(A1078,sinap!$A$2:$Y$9000,20,FALSE)</f>
        <v>SI</v>
      </c>
      <c r="T1078" s="16">
        <v>44491</v>
      </c>
    </row>
    <row r="1079" spans="1:20" hidden="1" x14ac:dyDescent="0.25">
      <c r="A1079" s="15">
        <v>20910210</v>
      </c>
      <c r="H1079" s="16">
        <v>45648</v>
      </c>
      <c r="I1079" s="16">
        <v>45671</v>
      </c>
      <c r="J1079" s="15" t="str">
        <f>VLOOKUP(A1079,sinap!$A$2:$R$9000,2,FALSE)</f>
        <v>H</v>
      </c>
      <c r="K1079" s="15" t="str">
        <f>VLOOKUP(A1079,sinap!$A$2:$R$9000,3,FALSE)</f>
        <v>VACA</v>
      </c>
      <c r="L1079" s="15" t="str">
        <f>VLOOKUP(A1079,sinap!$A$2:$R$9000,4,FALSE)</f>
        <v>ANGUS NEGRO</v>
      </c>
      <c r="M1079" s="15" t="str">
        <f>VLOOKUP(A1079,sinap!$A$2:$R$9000,5,FALSE)</f>
        <v>4 años 3 meses</v>
      </c>
      <c r="N1079" s="15" t="str">
        <f>VLOOKUP(A1079,sinap!$A$2:$R$9000,6,FALSE)</f>
        <v>30-09-2021</v>
      </c>
      <c r="O1079" s="15" t="str">
        <f>VLOOKUP(A1079,sinap!$A$2:$R$9000,7,FALSE)</f>
        <v>Vivo</v>
      </c>
      <c r="P1079" s="15" t="str">
        <f>VLOOKUP(A1079,sinap!$A$2:$R$9000,8,FALSE)</f>
        <v>11.1.01.1241</v>
      </c>
      <c r="Q1079" s="15" t="str">
        <f>VLOOKUP(A1079,sinap!$A$2:$R$9000,12,FALSE)</f>
        <v>11.1.01.1022</v>
      </c>
      <c r="R1079" s="15" t="str">
        <f>VLOOKUP(A1079,sinap!$A$2:$R$9000,16,FALSE)</f>
        <v>11.1.01.0893</v>
      </c>
      <c r="S1079" s="15" t="str">
        <f>VLOOKUP(A1079,sinap!$A$2:$Y$9000,20,FALSE)</f>
        <v>SI</v>
      </c>
      <c r="T1079" s="16">
        <v>44491</v>
      </c>
    </row>
    <row r="1080" spans="1:20" hidden="1" x14ac:dyDescent="0.25">
      <c r="A1080" s="15">
        <v>20910215</v>
      </c>
      <c r="J1080" s="15" t="str">
        <f>VLOOKUP(A1080,sinap!$A$2:$R$9000,2,FALSE)</f>
        <v>H</v>
      </c>
      <c r="K1080" s="15" t="str">
        <f>VLOOKUP(A1080,sinap!$A$2:$R$9000,3,FALSE)</f>
        <v>VACA</v>
      </c>
      <c r="L1080" s="15" t="str">
        <f>VLOOKUP(A1080,sinap!$A$2:$R$9000,4,FALSE)</f>
        <v>ANGUS ROJO</v>
      </c>
      <c r="M1080" s="15" t="str">
        <f>VLOOKUP(A1080,sinap!$A$2:$R$9000,5,FALSE)</f>
        <v>4 años 4 meses</v>
      </c>
      <c r="N1080" s="15" t="str">
        <f>VLOOKUP(A1080,sinap!$A$2:$R$9000,6,FALSE)</f>
        <v>26-08-2021</v>
      </c>
      <c r="O1080" s="15" t="str">
        <f>VLOOKUP(A1080,sinap!$A$2:$R$9000,7,FALSE)</f>
        <v>Vivo</v>
      </c>
      <c r="P1080" s="15" t="str">
        <f>VLOOKUP(A1080,sinap!$A$2:$R$9000,8,FALSE)</f>
        <v>11.2.01.0038</v>
      </c>
      <c r="Q1080" s="15" t="str">
        <f>VLOOKUP(A1080,sinap!$A$2:$R$9000,12,FALSE)</f>
        <v>11.1.01.0893</v>
      </c>
      <c r="R1080" s="15" t="str">
        <f>VLOOKUP(A1080,sinap!$A$2:$R$9000,16,FALSE)</f>
        <v>11.1.01.0893</v>
      </c>
      <c r="S1080" s="15" t="str">
        <f>VLOOKUP(A1080,sinap!$A$2:$Y$9000,20,FALSE)</f>
        <v>SI</v>
      </c>
      <c r="T1080" s="16">
        <v>44491</v>
      </c>
    </row>
    <row r="1081" spans="1:20" hidden="1" x14ac:dyDescent="0.25">
      <c r="A1081" s="15">
        <v>20910217</v>
      </c>
      <c r="H1081" s="16">
        <v>45648</v>
      </c>
      <c r="I1081" s="16">
        <v>45671</v>
      </c>
      <c r="J1081" s="15" t="str">
        <f>VLOOKUP(A1081,sinap!$A$2:$R$9000,2,FALSE)</f>
        <v>H</v>
      </c>
      <c r="K1081" s="15" t="str">
        <f>VLOOKUP(A1081,sinap!$A$2:$R$9000,3,FALSE)</f>
        <v>VACA</v>
      </c>
      <c r="L1081" s="15" t="str">
        <f>VLOOKUP(A1081,sinap!$A$2:$R$9000,4,FALSE)</f>
        <v>ANGUS NEGRO</v>
      </c>
      <c r="M1081" s="15" t="str">
        <f>VLOOKUP(A1081,sinap!$A$2:$R$9000,5,FALSE)</f>
        <v>4 años 4 meses</v>
      </c>
      <c r="N1081" s="15" t="str">
        <f>VLOOKUP(A1081,sinap!$A$2:$R$9000,6,FALSE)</f>
        <v>15-09-2021</v>
      </c>
      <c r="O1081" s="15" t="str">
        <f>VLOOKUP(A1081,sinap!$A$2:$R$9000,7,FALSE)</f>
        <v>Vivo</v>
      </c>
      <c r="P1081" s="15" t="str">
        <f>VLOOKUP(A1081,sinap!$A$2:$R$9000,8,FALSE)</f>
        <v>11.1.01.1241</v>
      </c>
      <c r="Q1081" s="15" t="str">
        <f>VLOOKUP(A1081,sinap!$A$2:$R$9000,12,FALSE)</f>
        <v>11.1.01.1022</v>
      </c>
      <c r="R1081" s="15" t="str">
        <f>VLOOKUP(A1081,sinap!$A$2:$R$9000,16,FALSE)</f>
        <v>11.1.01.0893</v>
      </c>
      <c r="S1081" s="15" t="str">
        <f>VLOOKUP(A1081,sinap!$A$2:$Y$9000,20,FALSE)</f>
        <v>SI</v>
      </c>
      <c r="T1081" s="16">
        <v>44491</v>
      </c>
    </row>
    <row r="1082" spans="1:20" hidden="1" x14ac:dyDescent="0.25">
      <c r="A1082" s="15">
        <v>20910219</v>
      </c>
      <c r="J1082" s="15" t="str">
        <f>VLOOKUP(A1082,sinap!$A$2:$R$9000,2,FALSE)</f>
        <v>H</v>
      </c>
      <c r="K1082" s="15" t="str">
        <f>VLOOKUP(A1082,sinap!$A$2:$R$9000,3,FALSE)</f>
        <v>VACA</v>
      </c>
      <c r="L1082" s="15" t="str">
        <f>VLOOKUP(A1082,sinap!$A$2:$R$9000,4,FALSE)</f>
        <v>ANGUS NEGRO</v>
      </c>
      <c r="M1082" s="15" t="str">
        <f>VLOOKUP(A1082,sinap!$A$2:$R$9000,5,FALSE)</f>
        <v>4 años 3 meses</v>
      </c>
      <c r="N1082" s="15" t="str">
        <f>VLOOKUP(A1082,sinap!$A$2:$R$9000,6,FALSE)</f>
        <v>05-10-2021</v>
      </c>
      <c r="O1082" s="15" t="str">
        <f>VLOOKUP(A1082,sinap!$A$2:$R$9000,7,FALSE)</f>
        <v>Vivo</v>
      </c>
      <c r="P1082" s="15" t="str">
        <f>VLOOKUP(A1082,sinap!$A$2:$R$9000,8,FALSE)</f>
        <v>11.2.01.0038</v>
      </c>
      <c r="Q1082" s="15" t="str">
        <f>VLOOKUP(A1082,sinap!$A$2:$R$9000,12,FALSE)</f>
        <v>11.1.01.0893</v>
      </c>
      <c r="R1082" s="15" t="str">
        <f>VLOOKUP(A1082,sinap!$A$2:$R$9000,16,FALSE)</f>
        <v>11.1.01.0893</v>
      </c>
      <c r="S1082" s="15" t="str">
        <f>VLOOKUP(A1082,sinap!$A$2:$Y$9000,20,FALSE)</f>
        <v>SI</v>
      </c>
      <c r="T1082" s="16">
        <v>44491</v>
      </c>
    </row>
    <row r="1083" spans="1:20" hidden="1" x14ac:dyDescent="0.25">
      <c r="A1083" s="15">
        <v>20910223</v>
      </c>
      <c r="J1083" s="15" t="str">
        <f>VLOOKUP(A1083,sinap!$A$2:$R$9000,2,FALSE)</f>
        <v>H</v>
      </c>
      <c r="K1083" s="15" t="str">
        <f>VLOOKUP(A1083,sinap!$A$2:$R$9000,3,FALSE)</f>
        <v>VACA</v>
      </c>
      <c r="L1083" s="15" t="str">
        <f>VLOOKUP(A1083,sinap!$A$2:$R$9000,4,FALSE)</f>
        <v>OVERO COLORADO (CLAVEL ALEMAN)</v>
      </c>
      <c r="M1083" s="15" t="str">
        <f>VLOOKUP(A1083,sinap!$A$2:$R$9000,5,FALSE)</f>
        <v>4 años 3 meses</v>
      </c>
      <c r="N1083" s="15" t="str">
        <f>VLOOKUP(A1083,sinap!$A$2:$R$9000,6,FALSE)</f>
        <v>05-10-2021</v>
      </c>
      <c r="O1083" s="15" t="str">
        <f>VLOOKUP(A1083,sinap!$A$2:$R$9000,7,FALSE)</f>
        <v>Vivo</v>
      </c>
      <c r="P1083" s="15" t="str">
        <f>VLOOKUP(A1083,sinap!$A$2:$R$9000,8,FALSE)</f>
        <v>11.1.01.0893</v>
      </c>
      <c r="Q1083" s="15" t="str">
        <f>VLOOKUP(A1083,sinap!$A$2:$R$9000,12,FALSE)</f>
        <v>Sin Movimiento</v>
      </c>
      <c r="R1083" s="15" t="str">
        <f>VLOOKUP(A1083,sinap!$A$2:$R$9000,16,FALSE)</f>
        <v>11.1.01.0893</v>
      </c>
      <c r="S1083" s="15" t="str">
        <f>VLOOKUP(A1083,sinap!$A$2:$Y$9000,20,FALSE)</f>
        <v>SI</v>
      </c>
      <c r="T1083" s="16">
        <v>44491</v>
      </c>
    </row>
    <row r="1084" spans="1:20" hidden="1" x14ac:dyDescent="0.25">
      <c r="A1084" s="15">
        <v>20910224</v>
      </c>
      <c r="H1084" s="16">
        <v>45648</v>
      </c>
      <c r="I1084" s="16">
        <v>45671</v>
      </c>
      <c r="J1084" s="15" t="str">
        <f>VLOOKUP(A1084,sinap!$A$2:$R$9000,2,FALSE)</f>
        <v>H</v>
      </c>
      <c r="K1084" s="15" t="str">
        <f>VLOOKUP(A1084,sinap!$A$2:$R$9000,3,FALSE)</f>
        <v>VACA</v>
      </c>
      <c r="L1084" s="15" t="str">
        <f>VLOOKUP(A1084,sinap!$A$2:$R$9000,4,FALSE)</f>
        <v>ANGUS NEGRO</v>
      </c>
      <c r="M1084" s="15" t="str">
        <f>VLOOKUP(A1084,sinap!$A$2:$R$9000,5,FALSE)</f>
        <v>4 años 4 meses</v>
      </c>
      <c r="N1084" s="15" t="str">
        <f>VLOOKUP(A1084,sinap!$A$2:$R$9000,6,FALSE)</f>
        <v>15-09-2021</v>
      </c>
      <c r="O1084" s="15" t="str">
        <f>VLOOKUP(A1084,sinap!$A$2:$R$9000,7,FALSE)</f>
        <v>Vivo</v>
      </c>
      <c r="P1084" s="15" t="str">
        <f>VLOOKUP(A1084,sinap!$A$2:$R$9000,8,FALSE)</f>
        <v>11.1.01.1241</v>
      </c>
      <c r="Q1084" s="15" t="str">
        <f>VLOOKUP(A1084,sinap!$A$2:$R$9000,12,FALSE)</f>
        <v>11.1.01.1022</v>
      </c>
      <c r="R1084" s="15" t="str">
        <f>VLOOKUP(A1084,sinap!$A$2:$R$9000,16,FALSE)</f>
        <v>11.1.01.0893</v>
      </c>
      <c r="S1084" s="15" t="str">
        <f>VLOOKUP(A1084,sinap!$A$2:$Y$9000,20,FALSE)</f>
        <v>SI</v>
      </c>
      <c r="T1084" s="16">
        <v>44491</v>
      </c>
    </row>
    <row r="1085" spans="1:20" hidden="1" x14ac:dyDescent="0.25">
      <c r="A1085" s="15">
        <v>20910226</v>
      </c>
      <c r="H1085" s="16">
        <v>45648</v>
      </c>
      <c r="I1085" s="16">
        <v>45671</v>
      </c>
      <c r="J1085" s="15" t="str">
        <f>VLOOKUP(A1085,sinap!$A$2:$R$9000,2,FALSE)</f>
        <v>H</v>
      </c>
      <c r="K1085" s="15" t="str">
        <f>VLOOKUP(A1085,sinap!$A$2:$R$9000,3,FALSE)</f>
        <v>VACA</v>
      </c>
      <c r="L1085" s="15" t="str">
        <f>VLOOKUP(A1085,sinap!$A$2:$R$9000,4,FALSE)</f>
        <v>ANGUS ROJO</v>
      </c>
      <c r="M1085" s="15" t="str">
        <f>VLOOKUP(A1085,sinap!$A$2:$R$9000,5,FALSE)</f>
        <v>4 años 3 meses</v>
      </c>
      <c r="N1085" s="15" t="str">
        <f>VLOOKUP(A1085,sinap!$A$2:$R$9000,6,FALSE)</f>
        <v>05-10-2021</v>
      </c>
      <c r="O1085" s="15" t="str">
        <f>VLOOKUP(A1085,sinap!$A$2:$R$9000,7,FALSE)</f>
        <v>Vivo</v>
      </c>
      <c r="P1085" s="15" t="str">
        <f>VLOOKUP(A1085,sinap!$A$2:$R$9000,8,FALSE)</f>
        <v>11.1.01.1241</v>
      </c>
      <c r="Q1085" s="15" t="str">
        <f>VLOOKUP(A1085,sinap!$A$2:$R$9000,12,FALSE)</f>
        <v>11.2.01.0038</v>
      </c>
      <c r="R1085" s="15" t="str">
        <f>VLOOKUP(A1085,sinap!$A$2:$R$9000,16,FALSE)</f>
        <v>11.1.01.0893</v>
      </c>
      <c r="S1085" s="15" t="str">
        <f>VLOOKUP(A1085,sinap!$A$2:$Y$9000,20,FALSE)</f>
        <v>SI</v>
      </c>
      <c r="T1085" s="16">
        <v>44491</v>
      </c>
    </row>
    <row r="1086" spans="1:20" hidden="1" x14ac:dyDescent="0.25">
      <c r="A1086" s="15">
        <v>20910227</v>
      </c>
      <c r="J1086" s="15" t="str">
        <f>VLOOKUP(A1086,sinap!$A$2:$R$9000,2,FALSE)</f>
        <v>H</v>
      </c>
      <c r="K1086" s="15" t="str">
        <f>VLOOKUP(A1086,sinap!$A$2:$R$9000,3,FALSE)</f>
        <v>VACA</v>
      </c>
      <c r="L1086" s="15" t="str">
        <f>VLOOKUP(A1086,sinap!$A$2:$R$9000,4,FALSE)</f>
        <v>ANGUS NEGRO</v>
      </c>
      <c r="M1086" s="15" t="str">
        <f>VLOOKUP(A1086,sinap!$A$2:$R$9000,5,FALSE)</f>
        <v>4 años 4 meses</v>
      </c>
      <c r="N1086" s="15" t="str">
        <f>VLOOKUP(A1086,sinap!$A$2:$R$9000,6,FALSE)</f>
        <v>10-09-2021</v>
      </c>
      <c r="O1086" s="15" t="str">
        <f>VLOOKUP(A1086,sinap!$A$2:$R$9000,7,FALSE)</f>
        <v>Vivo</v>
      </c>
      <c r="P1086" s="15" t="str">
        <f>VLOOKUP(A1086,sinap!$A$2:$R$9000,8,FALSE)</f>
        <v>11.1.01.0791</v>
      </c>
      <c r="Q1086" s="15" t="str">
        <f>VLOOKUP(A1086,sinap!$A$2:$R$9000,12,FALSE)</f>
        <v>11.1.01.0893</v>
      </c>
      <c r="R1086" s="15" t="str">
        <f>VLOOKUP(A1086,sinap!$A$2:$R$9000,16,FALSE)</f>
        <v>11.1.01.0893</v>
      </c>
      <c r="S1086" s="15" t="str">
        <f>VLOOKUP(A1086,sinap!$A$2:$Y$9000,20,FALSE)</f>
        <v>SI</v>
      </c>
      <c r="T1086" s="16">
        <v>44491</v>
      </c>
    </row>
    <row r="1087" spans="1:20" hidden="1" x14ac:dyDescent="0.25">
      <c r="A1087" s="15">
        <v>20910228</v>
      </c>
      <c r="H1087" s="16">
        <v>45648</v>
      </c>
      <c r="I1087" s="16">
        <v>45965</v>
      </c>
      <c r="J1087" s="15" t="str">
        <f>VLOOKUP(A1087,sinap!$A$2:$R$9000,2,FALSE)</f>
        <v>H</v>
      </c>
      <c r="K1087" s="15" t="str">
        <f>VLOOKUP(A1087,sinap!$A$2:$R$9000,3,FALSE)</f>
        <v>VACA</v>
      </c>
      <c r="L1087" s="15" t="str">
        <f>VLOOKUP(A1087,sinap!$A$2:$R$9000,4,FALSE)</f>
        <v>ANGUS NEGRO</v>
      </c>
      <c r="M1087" s="15" t="str">
        <f>VLOOKUP(A1087,sinap!$A$2:$R$9000,5,FALSE)</f>
        <v>4 años 4 meses</v>
      </c>
      <c r="N1087" s="15" t="str">
        <f>VLOOKUP(A1087,sinap!$A$2:$R$9000,6,FALSE)</f>
        <v>10-09-2021</v>
      </c>
      <c r="O1087" s="15" t="str">
        <f>VLOOKUP(A1087,sinap!$A$2:$R$9000,7,FALSE)</f>
        <v>Vivo</v>
      </c>
      <c r="P1087" s="15" t="str">
        <f>VLOOKUP(A1087,sinap!$A$2:$R$9000,8,FALSE)</f>
        <v>11.1.01.1241</v>
      </c>
      <c r="Q1087" s="15" t="str">
        <f>VLOOKUP(A1087,sinap!$A$2:$R$9000,12,FALSE)</f>
        <v>11.2.01.0038</v>
      </c>
      <c r="R1087" s="15" t="str">
        <f>VLOOKUP(A1087,sinap!$A$2:$R$9000,16,FALSE)</f>
        <v>11.1.01.0893</v>
      </c>
      <c r="S1087" s="15" t="str">
        <f>VLOOKUP(A1087,sinap!$A$2:$Y$9000,20,FALSE)</f>
        <v>SI</v>
      </c>
      <c r="T1087" s="16">
        <v>44491</v>
      </c>
    </row>
    <row r="1088" spans="1:20" hidden="1" x14ac:dyDescent="0.25">
      <c r="A1088" s="15">
        <v>20910235</v>
      </c>
      <c r="H1088" s="16">
        <v>45648</v>
      </c>
      <c r="I1088" s="16">
        <v>45966</v>
      </c>
      <c r="J1088" s="15" t="str">
        <f>VLOOKUP(A1088,sinap!$A$2:$R$9000,2,FALSE)</f>
        <v>H</v>
      </c>
      <c r="K1088" s="15" t="str">
        <f>VLOOKUP(A1088,sinap!$A$2:$R$9000,3,FALSE)</f>
        <v>VACA</v>
      </c>
      <c r="L1088" s="15" t="str">
        <f>VLOOKUP(A1088,sinap!$A$2:$R$9000,4,FALSE)</f>
        <v>ANGUS NEGRO</v>
      </c>
      <c r="M1088" s="15" t="str">
        <f>VLOOKUP(A1088,sinap!$A$2:$R$9000,5,FALSE)</f>
        <v>4 años 3 meses</v>
      </c>
      <c r="N1088" s="15" t="str">
        <f>VLOOKUP(A1088,sinap!$A$2:$R$9000,6,FALSE)</f>
        <v>30-09-2021</v>
      </c>
      <c r="O1088" s="15" t="str">
        <f>VLOOKUP(A1088,sinap!$A$2:$R$9000,7,FALSE)</f>
        <v>Vivo</v>
      </c>
      <c r="P1088" s="15" t="str">
        <f>VLOOKUP(A1088,sinap!$A$2:$R$9000,8,FALSE)</f>
        <v>11.1.01.2442</v>
      </c>
      <c r="Q1088" s="15" t="str">
        <f>VLOOKUP(A1088,sinap!$A$2:$R$9000,12,FALSE)</f>
        <v>11.1.01.0190</v>
      </c>
      <c r="R1088" s="15" t="str">
        <f>VLOOKUP(A1088,sinap!$A$2:$R$9000,16,FALSE)</f>
        <v>11.1.01.0893</v>
      </c>
      <c r="S1088" s="15" t="str">
        <f>VLOOKUP(A1088,sinap!$A$2:$Y$9000,20,FALSE)</f>
        <v>SI</v>
      </c>
      <c r="T1088" s="16">
        <v>44491</v>
      </c>
    </row>
    <row r="1089" spans="1:20" hidden="1" x14ac:dyDescent="0.25">
      <c r="A1089" s="15">
        <v>20910236</v>
      </c>
      <c r="H1089" s="16">
        <v>45648</v>
      </c>
      <c r="I1089" s="16">
        <v>45671</v>
      </c>
      <c r="J1089" s="15" t="str">
        <f>VLOOKUP(A1089,sinap!$A$2:$R$9000,2,FALSE)</f>
        <v>H</v>
      </c>
      <c r="K1089" s="15" t="str">
        <f>VLOOKUP(A1089,sinap!$A$2:$R$9000,3,FALSE)</f>
        <v>VACA</v>
      </c>
      <c r="L1089" s="15" t="str">
        <f>VLOOKUP(A1089,sinap!$A$2:$R$9000,4,FALSE)</f>
        <v>ANGUS NEGRO</v>
      </c>
      <c r="M1089" s="15" t="str">
        <f>VLOOKUP(A1089,sinap!$A$2:$R$9000,5,FALSE)</f>
        <v>4 años 4 meses</v>
      </c>
      <c r="N1089" s="15" t="str">
        <f>VLOOKUP(A1089,sinap!$A$2:$R$9000,6,FALSE)</f>
        <v>15-09-2021</v>
      </c>
      <c r="O1089" s="15" t="str">
        <f>VLOOKUP(A1089,sinap!$A$2:$R$9000,7,FALSE)</f>
        <v>Vivo</v>
      </c>
      <c r="P1089" s="15" t="str">
        <f>VLOOKUP(A1089,sinap!$A$2:$R$9000,8,FALSE)</f>
        <v>11.1.01.1241</v>
      </c>
      <c r="Q1089" s="15" t="str">
        <f>VLOOKUP(A1089,sinap!$A$2:$R$9000,12,FALSE)</f>
        <v>11.2.01.0038</v>
      </c>
      <c r="R1089" s="15" t="str">
        <f>VLOOKUP(A1089,sinap!$A$2:$R$9000,16,FALSE)</f>
        <v>11.1.01.0893</v>
      </c>
      <c r="S1089" s="15" t="str">
        <f>VLOOKUP(A1089,sinap!$A$2:$Y$9000,20,FALSE)</f>
        <v>SI</v>
      </c>
      <c r="T1089" s="16">
        <v>44491</v>
      </c>
    </row>
    <row r="1090" spans="1:20" hidden="1" x14ac:dyDescent="0.25">
      <c r="A1090" s="15">
        <v>20910238</v>
      </c>
      <c r="H1090" s="16">
        <v>45648</v>
      </c>
      <c r="I1090" s="16">
        <v>45965</v>
      </c>
      <c r="J1090" s="15" t="str">
        <f>VLOOKUP(A1090,sinap!$A$2:$R$9000,2,FALSE)</f>
        <v>H</v>
      </c>
      <c r="K1090" s="15" t="str">
        <f>VLOOKUP(A1090,sinap!$A$2:$R$9000,3,FALSE)</f>
        <v>VACA</v>
      </c>
      <c r="L1090" s="15" t="str">
        <f>VLOOKUP(A1090,sinap!$A$2:$R$9000,4,FALSE)</f>
        <v>ANGUS NEGRO</v>
      </c>
      <c r="M1090" s="15" t="str">
        <f>VLOOKUP(A1090,sinap!$A$2:$R$9000,5,FALSE)</f>
        <v>4 años 3 meses</v>
      </c>
      <c r="N1090" s="15" t="str">
        <f>VLOOKUP(A1090,sinap!$A$2:$R$9000,6,FALSE)</f>
        <v>30-09-2021</v>
      </c>
      <c r="O1090" s="15" t="str">
        <f>VLOOKUP(A1090,sinap!$A$2:$R$9000,7,FALSE)</f>
        <v>Vivo</v>
      </c>
      <c r="P1090" s="15" t="str">
        <f>VLOOKUP(A1090,sinap!$A$2:$R$9000,8,FALSE)</f>
        <v>11.1.01.2442</v>
      </c>
      <c r="Q1090" s="15" t="str">
        <f>VLOOKUP(A1090,sinap!$A$2:$R$9000,12,FALSE)</f>
        <v>11.1.01.0190</v>
      </c>
      <c r="R1090" s="15" t="str">
        <f>VLOOKUP(A1090,sinap!$A$2:$R$9000,16,FALSE)</f>
        <v>11.1.01.0893</v>
      </c>
      <c r="S1090" s="15" t="str">
        <f>VLOOKUP(A1090,sinap!$A$2:$Y$9000,20,FALSE)</f>
        <v>SI</v>
      </c>
      <c r="T1090" s="16">
        <v>44491</v>
      </c>
    </row>
    <row r="1091" spans="1:20" hidden="1" x14ac:dyDescent="0.25">
      <c r="A1091" s="15">
        <v>20910241</v>
      </c>
      <c r="J1091" s="15" t="str">
        <f>VLOOKUP(A1091,sinap!$A$2:$R$9000,2,FALSE)</f>
        <v>H</v>
      </c>
      <c r="K1091" s="15" t="str">
        <f>VLOOKUP(A1091,sinap!$A$2:$R$9000,3,FALSE)</f>
        <v>VACA</v>
      </c>
      <c r="L1091" s="15" t="str">
        <f>VLOOKUP(A1091,sinap!$A$2:$R$9000,4,FALSE)</f>
        <v>ANGUS NEGRO</v>
      </c>
      <c r="M1091" s="15" t="str">
        <f>VLOOKUP(A1091,sinap!$A$2:$R$9000,5,FALSE)</f>
        <v>4 años 3 meses</v>
      </c>
      <c r="N1091" s="15" t="str">
        <f>VLOOKUP(A1091,sinap!$A$2:$R$9000,6,FALSE)</f>
        <v>30-09-2021</v>
      </c>
      <c r="O1091" s="15" t="str">
        <f>VLOOKUP(A1091,sinap!$A$2:$R$9000,7,FALSE)</f>
        <v>Vivo</v>
      </c>
      <c r="P1091" s="15" t="str">
        <f>VLOOKUP(A1091,sinap!$A$2:$R$9000,8,FALSE)</f>
        <v>11.2.01.0038</v>
      </c>
      <c r="Q1091" s="15" t="str">
        <f>VLOOKUP(A1091,sinap!$A$2:$R$9000,12,FALSE)</f>
        <v>11.1.01.0893</v>
      </c>
      <c r="R1091" s="15" t="str">
        <f>VLOOKUP(A1091,sinap!$A$2:$R$9000,16,FALSE)</f>
        <v>11.1.01.0893</v>
      </c>
      <c r="S1091" s="15" t="str">
        <f>VLOOKUP(A1091,sinap!$A$2:$Y$9000,20,FALSE)</f>
        <v>SI</v>
      </c>
      <c r="T1091" s="16">
        <v>44491</v>
      </c>
    </row>
    <row r="1092" spans="1:20" hidden="1" x14ac:dyDescent="0.25">
      <c r="A1092" s="15">
        <v>20910254</v>
      </c>
      <c r="J1092" s="15" t="str">
        <f>VLOOKUP(A1092,sinap!$A$2:$R$9000,2,FALSE)</f>
        <v>H</v>
      </c>
      <c r="K1092" s="15" t="str">
        <f>VLOOKUP(A1092,sinap!$A$2:$R$9000,3,FALSE)</f>
        <v>VACA</v>
      </c>
      <c r="L1092" s="15" t="str">
        <f>VLOOKUP(A1092,sinap!$A$2:$R$9000,4,FALSE)</f>
        <v>ANGUS NEGRO</v>
      </c>
      <c r="M1092" s="15" t="str">
        <f>VLOOKUP(A1092,sinap!$A$2:$R$9000,5,FALSE)</f>
        <v>4 años 3 meses</v>
      </c>
      <c r="N1092" s="15" t="str">
        <f>VLOOKUP(A1092,sinap!$A$2:$R$9000,6,FALSE)</f>
        <v>30-09-2021</v>
      </c>
      <c r="O1092" s="15" t="str">
        <f>VLOOKUP(A1092,sinap!$A$2:$R$9000,7,FALSE)</f>
        <v>Vivo</v>
      </c>
      <c r="P1092" s="15" t="str">
        <f>VLOOKUP(A1092,sinap!$A$2:$R$9000,8,FALSE)</f>
        <v>11.1.01.1241</v>
      </c>
      <c r="Q1092" s="15" t="str">
        <f>VLOOKUP(A1092,sinap!$A$2:$R$9000,12,FALSE)</f>
        <v>11.1.01.1022</v>
      </c>
      <c r="R1092" s="15" t="str">
        <f>VLOOKUP(A1092,sinap!$A$2:$R$9000,16,FALSE)</f>
        <v>11.1.01.0893</v>
      </c>
      <c r="S1092" s="15" t="str">
        <f>VLOOKUP(A1092,sinap!$A$2:$Y$9000,20,FALSE)</f>
        <v>SI</v>
      </c>
      <c r="T1092" s="16">
        <v>44491</v>
      </c>
    </row>
    <row r="1093" spans="1:20" hidden="1" x14ac:dyDescent="0.25">
      <c r="A1093" s="15">
        <v>20910255</v>
      </c>
      <c r="H1093" s="16">
        <v>45648</v>
      </c>
      <c r="I1093" s="16">
        <v>45671</v>
      </c>
      <c r="J1093" s="15" t="str">
        <f>VLOOKUP(A1093,sinap!$A$2:$R$9000,2,FALSE)</f>
        <v>H</v>
      </c>
      <c r="K1093" s="15" t="str">
        <f>VLOOKUP(A1093,sinap!$A$2:$R$9000,3,FALSE)</f>
        <v>VACA</v>
      </c>
      <c r="L1093" s="15" t="str">
        <f>VLOOKUP(A1093,sinap!$A$2:$R$9000,4,FALSE)</f>
        <v>ANGUS NEGRO</v>
      </c>
      <c r="M1093" s="15" t="str">
        <f>VLOOKUP(A1093,sinap!$A$2:$R$9000,5,FALSE)</f>
        <v>4 años 3 meses</v>
      </c>
      <c r="N1093" s="15" t="str">
        <f>VLOOKUP(A1093,sinap!$A$2:$R$9000,6,FALSE)</f>
        <v>30-09-2021</v>
      </c>
      <c r="O1093" s="15" t="str">
        <f>VLOOKUP(A1093,sinap!$A$2:$R$9000,7,FALSE)</f>
        <v>Vivo</v>
      </c>
      <c r="P1093" s="15" t="str">
        <f>VLOOKUP(A1093,sinap!$A$2:$R$9000,8,FALSE)</f>
        <v>11.1.01.2442</v>
      </c>
      <c r="Q1093" s="15" t="str">
        <f>VLOOKUP(A1093,sinap!$A$2:$R$9000,12,FALSE)</f>
        <v>11.1.01.0190</v>
      </c>
      <c r="R1093" s="15" t="str">
        <f>VLOOKUP(A1093,sinap!$A$2:$R$9000,16,FALSE)</f>
        <v>11.1.01.0893</v>
      </c>
      <c r="S1093" s="15" t="str">
        <f>VLOOKUP(A1093,sinap!$A$2:$Y$9000,20,FALSE)</f>
        <v>SI</v>
      </c>
      <c r="T1093" s="16">
        <v>44491</v>
      </c>
    </row>
    <row r="1094" spans="1:20" hidden="1" x14ac:dyDescent="0.25">
      <c r="A1094" s="15">
        <v>20910257</v>
      </c>
      <c r="J1094" s="15" t="str">
        <f>VLOOKUP(A1094,sinap!$A$2:$R$9000,2,FALSE)</f>
        <v>H</v>
      </c>
      <c r="K1094" s="15" t="str">
        <f>VLOOKUP(A1094,sinap!$A$2:$R$9000,3,FALSE)</f>
        <v>VACA</v>
      </c>
      <c r="L1094" s="15" t="str">
        <f>VLOOKUP(A1094,sinap!$A$2:$R$9000,4,FALSE)</f>
        <v>ANGUS NEGRO</v>
      </c>
      <c r="M1094" s="15" t="str">
        <f>VLOOKUP(A1094,sinap!$A$2:$R$9000,5,FALSE)</f>
        <v>4 años 4 meses</v>
      </c>
      <c r="N1094" s="15" t="str">
        <f>VLOOKUP(A1094,sinap!$A$2:$R$9000,6,FALSE)</f>
        <v>11-09-2021</v>
      </c>
      <c r="O1094" s="15" t="str">
        <f>VLOOKUP(A1094,sinap!$A$2:$R$9000,7,FALSE)</f>
        <v>Vivo</v>
      </c>
      <c r="P1094" s="15" t="str">
        <f>VLOOKUP(A1094,sinap!$A$2:$R$9000,8,FALSE)</f>
        <v>11.2.01.0038</v>
      </c>
      <c r="Q1094" s="15" t="str">
        <f>VLOOKUP(A1094,sinap!$A$2:$R$9000,12,FALSE)</f>
        <v>11.1.01.0893</v>
      </c>
      <c r="R1094" s="15" t="str">
        <f>VLOOKUP(A1094,sinap!$A$2:$R$9000,16,FALSE)</f>
        <v>11.1.01.0893</v>
      </c>
      <c r="S1094" s="15" t="str">
        <f>VLOOKUP(A1094,sinap!$A$2:$Y$9000,20,FALSE)</f>
        <v>SI</v>
      </c>
    </row>
    <row r="1095" spans="1:20" hidden="1" x14ac:dyDescent="0.25">
      <c r="A1095" s="15">
        <v>20910258</v>
      </c>
      <c r="H1095" s="16">
        <v>45648</v>
      </c>
      <c r="I1095" s="16">
        <v>45671</v>
      </c>
      <c r="J1095" s="15" t="str">
        <f>VLOOKUP(A1095,sinap!$A$2:$R$9000,2,FALSE)</f>
        <v>H</v>
      </c>
      <c r="K1095" s="15" t="str">
        <f>VLOOKUP(A1095,sinap!$A$2:$R$9000,3,FALSE)</f>
        <v>VACA</v>
      </c>
      <c r="L1095" s="15" t="str">
        <f>VLOOKUP(A1095,sinap!$A$2:$R$9000,4,FALSE)</f>
        <v>ANGUS NEGRO</v>
      </c>
      <c r="M1095" s="15" t="str">
        <f>VLOOKUP(A1095,sinap!$A$2:$R$9000,5,FALSE)</f>
        <v>4 años 4 meses</v>
      </c>
      <c r="N1095" s="15" t="str">
        <f>VLOOKUP(A1095,sinap!$A$2:$R$9000,6,FALSE)</f>
        <v>11-09-2021</v>
      </c>
      <c r="O1095" s="15" t="str">
        <f>VLOOKUP(A1095,sinap!$A$2:$R$9000,7,FALSE)</f>
        <v>Vivo</v>
      </c>
      <c r="P1095" s="15" t="str">
        <f>VLOOKUP(A1095,sinap!$A$2:$R$9000,8,FALSE)</f>
        <v>11.1.01.1241</v>
      </c>
      <c r="Q1095" s="15" t="str">
        <f>VLOOKUP(A1095,sinap!$A$2:$R$9000,12,FALSE)</f>
        <v>11.1.01.1022</v>
      </c>
      <c r="R1095" s="15" t="str">
        <f>VLOOKUP(A1095,sinap!$A$2:$R$9000,16,FALSE)</f>
        <v>11.1.01.0893</v>
      </c>
      <c r="S1095" s="15" t="str">
        <f>VLOOKUP(A1095,sinap!$A$2:$Y$9000,20,FALSE)</f>
        <v>SI</v>
      </c>
    </row>
    <row r="1096" spans="1:20" hidden="1" x14ac:dyDescent="0.25">
      <c r="A1096" s="15">
        <v>20910259</v>
      </c>
      <c r="H1096" s="16">
        <v>45648</v>
      </c>
      <c r="I1096" s="16">
        <v>45965</v>
      </c>
      <c r="J1096" s="15" t="str">
        <f>VLOOKUP(A1096,sinap!$A$2:$R$9000,2,FALSE)</f>
        <v>H</v>
      </c>
      <c r="K1096" s="15" t="str">
        <f>VLOOKUP(A1096,sinap!$A$2:$R$9000,3,FALSE)</f>
        <v>VACA</v>
      </c>
      <c r="L1096" s="15" t="str">
        <f>VLOOKUP(A1096,sinap!$A$2:$R$9000,4,FALSE)</f>
        <v>ANGUS NEGRO</v>
      </c>
      <c r="M1096" s="15" t="str">
        <f>VLOOKUP(A1096,sinap!$A$2:$R$9000,5,FALSE)</f>
        <v>4 años 3 meses</v>
      </c>
      <c r="N1096" s="15" t="str">
        <f>VLOOKUP(A1096,sinap!$A$2:$R$9000,6,FALSE)</f>
        <v>30-09-2021</v>
      </c>
      <c r="O1096" s="15" t="str">
        <f>VLOOKUP(A1096,sinap!$A$2:$R$9000,7,FALSE)</f>
        <v>Vivo</v>
      </c>
      <c r="P1096" s="15" t="str">
        <f>VLOOKUP(A1096,sinap!$A$2:$R$9000,8,FALSE)</f>
        <v>11.1.01.2442</v>
      </c>
      <c r="Q1096" s="15" t="str">
        <f>VLOOKUP(A1096,sinap!$A$2:$R$9000,12,FALSE)</f>
        <v>11.1.01.0190</v>
      </c>
      <c r="R1096" s="15" t="str">
        <f>VLOOKUP(A1096,sinap!$A$2:$R$9000,16,FALSE)</f>
        <v>11.1.01.0893</v>
      </c>
      <c r="S1096" s="15" t="str">
        <f>VLOOKUP(A1096,sinap!$A$2:$Y$9000,20,FALSE)</f>
        <v>SI</v>
      </c>
    </row>
    <row r="1097" spans="1:20" hidden="1" x14ac:dyDescent="0.25">
      <c r="A1097" s="15">
        <v>20910260</v>
      </c>
      <c r="J1097" s="15" t="str">
        <f>VLOOKUP(A1097,sinap!$A$2:$R$9000,2,FALSE)</f>
        <v>H</v>
      </c>
      <c r="K1097" s="15" t="str">
        <f>VLOOKUP(A1097,sinap!$A$2:$R$9000,3,FALSE)</f>
        <v>VACA</v>
      </c>
      <c r="L1097" s="15" t="str">
        <f>VLOOKUP(A1097,sinap!$A$2:$R$9000,4,FALSE)</f>
        <v>HEREFORD</v>
      </c>
      <c r="M1097" s="15" t="str">
        <f>VLOOKUP(A1097,sinap!$A$2:$R$9000,5,FALSE)</f>
        <v>4 años 4 meses</v>
      </c>
      <c r="N1097" s="15" t="str">
        <f>VLOOKUP(A1097,sinap!$A$2:$R$9000,6,FALSE)</f>
        <v>11-09-2021</v>
      </c>
      <c r="O1097" s="15" t="str">
        <f>VLOOKUP(A1097,sinap!$A$2:$R$9000,7,FALSE)</f>
        <v>Vivo</v>
      </c>
      <c r="P1097" s="15" t="str">
        <f>VLOOKUP(A1097,sinap!$A$2:$R$9000,8,FALSE)</f>
        <v>11.1.01.1241</v>
      </c>
      <c r="Q1097" s="15" t="str">
        <f>VLOOKUP(A1097,sinap!$A$2:$R$9000,12,FALSE)</f>
        <v>11.1.01.1022</v>
      </c>
      <c r="R1097" s="15" t="str">
        <f>VLOOKUP(A1097,sinap!$A$2:$R$9000,16,FALSE)</f>
        <v>11.1.01.0893</v>
      </c>
      <c r="S1097" s="15" t="str">
        <f>VLOOKUP(A1097,sinap!$A$2:$Y$9000,20,FALSE)</f>
        <v>SI</v>
      </c>
    </row>
    <row r="1098" spans="1:20" hidden="1" x14ac:dyDescent="0.25">
      <c r="A1098" s="15">
        <v>20910267</v>
      </c>
      <c r="J1098" s="15" t="str">
        <f>VLOOKUP(A1098,sinap!$A$2:$R$9000,2,FALSE)</f>
        <v>H</v>
      </c>
      <c r="K1098" s="15" t="str">
        <f>VLOOKUP(A1098,sinap!$A$2:$R$9000,3,FALSE)</f>
        <v>VACA</v>
      </c>
      <c r="L1098" s="15" t="str">
        <f>VLOOKUP(A1098,sinap!$A$2:$R$9000,4,FALSE)</f>
        <v>ANGUS NEGRO</v>
      </c>
      <c r="M1098" s="15" t="str">
        <f>VLOOKUP(A1098,sinap!$A$2:$R$9000,5,FALSE)</f>
        <v>4 años 3 meses</v>
      </c>
      <c r="N1098" s="15" t="str">
        <f>VLOOKUP(A1098,sinap!$A$2:$R$9000,6,FALSE)</f>
        <v>30-09-2021</v>
      </c>
      <c r="O1098" s="15" t="str">
        <f>VLOOKUP(A1098,sinap!$A$2:$R$9000,7,FALSE)</f>
        <v>Vivo</v>
      </c>
      <c r="P1098" s="15" t="str">
        <f>VLOOKUP(A1098,sinap!$A$2:$R$9000,8,FALSE)</f>
        <v>11.1.01.2442</v>
      </c>
      <c r="Q1098" s="15" t="str">
        <f>VLOOKUP(A1098,sinap!$A$2:$R$9000,12,FALSE)</f>
        <v>11.1.01.0893</v>
      </c>
      <c r="R1098" s="15" t="str">
        <f>VLOOKUP(A1098,sinap!$A$2:$R$9000,16,FALSE)</f>
        <v>11.1.01.0893</v>
      </c>
      <c r="S1098" s="15" t="str">
        <f>VLOOKUP(A1098,sinap!$A$2:$Y$9000,20,FALSE)</f>
        <v>SI</v>
      </c>
    </row>
    <row r="1099" spans="1:20" hidden="1" x14ac:dyDescent="0.25">
      <c r="A1099" s="15">
        <v>20910269</v>
      </c>
      <c r="H1099" s="16">
        <v>45430</v>
      </c>
      <c r="J1099" s="15" t="str">
        <f>VLOOKUP(A1099,sinap!$A$2:$R$9000,2,FALSE)</f>
        <v>M</v>
      </c>
      <c r="K1099" s="15" t="str">
        <f>VLOOKUP(A1099,sinap!$A$2:$R$9000,3,FALSE)</f>
        <v>TORO</v>
      </c>
      <c r="L1099" s="15" t="str">
        <f>VLOOKUP(A1099,sinap!$A$2:$R$9000,4,FALSE)</f>
        <v>ANGUS NEGRO</v>
      </c>
      <c r="M1099" s="15" t="str">
        <f>VLOOKUP(A1099,sinap!$A$2:$R$9000,5,FALSE)</f>
        <v>4 años 3 meses</v>
      </c>
      <c r="N1099" s="15" t="str">
        <f>VLOOKUP(A1099,sinap!$A$2:$R$9000,6,FALSE)</f>
        <v>30-09-2021</v>
      </c>
      <c r="O1099" s="15" t="str">
        <f>VLOOKUP(A1099,sinap!$A$2:$R$9000,7,FALSE)</f>
        <v>Vivo</v>
      </c>
      <c r="P1099" s="15" t="str">
        <f>VLOOKUP(A1099,sinap!$A$2:$R$9000,8,FALSE)</f>
        <v>11.1.01.2442</v>
      </c>
      <c r="Q1099" s="15" t="str">
        <f>VLOOKUP(A1099,sinap!$A$2:$R$9000,12,FALSE)</f>
        <v>11.1.01.0190</v>
      </c>
      <c r="R1099" s="15" t="str">
        <f>VLOOKUP(A1099,sinap!$A$2:$R$9000,16,FALSE)</f>
        <v>11.1.01.0893</v>
      </c>
      <c r="S1099" s="15" t="str">
        <f>VLOOKUP(A1099,sinap!$A$2:$Y$9000,20,FALSE)</f>
        <v>SI</v>
      </c>
    </row>
    <row r="1100" spans="1:20" hidden="1" x14ac:dyDescent="0.25">
      <c r="A1100" s="15">
        <v>20910271</v>
      </c>
      <c r="H1100" s="16">
        <v>45648</v>
      </c>
      <c r="I1100" s="16">
        <v>45965</v>
      </c>
      <c r="J1100" s="15" t="str">
        <f>VLOOKUP(A1100,sinap!$A$2:$R$9000,2,FALSE)</f>
        <v>M</v>
      </c>
      <c r="K1100" s="15" t="str">
        <f>VLOOKUP(A1100,sinap!$A$2:$R$9000,3,FALSE)</f>
        <v>TORO</v>
      </c>
      <c r="L1100" s="15" t="str">
        <f>VLOOKUP(A1100,sinap!$A$2:$R$9000,4,FALSE)</f>
        <v>ANGUS NEGRO</v>
      </c>
      <c r="M1100" s="15" t="str">
        <f>VLOOKUP(A1100,sinap!$A$2:$R$9000,5,FALSE)</f>
        <v>4 años 2 meses</v>
      </c>
      <c r="N1100" s="15" t="str">
        <f>VLOOKUP(A1100,sinap!$A$2:$R$9000,6,FALSE)</f>
        <v>20-10-2021</v>
      </c>
      <c r="O1100" s="15" t="str">
        <f>VLOOKUP(A1100,sinap!$A$2:$R$9000,7,FALSE)</f>
        <v>Vivo</v>
      </c>
      <c r="P1100" s="15" t="str">
        <f>VLOOKUP(A1100,sinap!$A$2:$R$9000,8,FALSE)</f>
        <v>11.1.01.2442</v>
      </c>
      <c r="Q1100" s="15" t="str">
        <f>VLOOKUP(A1100,sinap!$A$2:$R$9000,12,FALSE)</f>
        <v>11.1.01.0190</v>
      </c>
      <c r="R1100" s="15" t="str">
        <f>VLOOKUP(A1100,sinap!$A$2:$R$9000,16,FALSE)</f>
        <v>11.1.01.0893</v>
      </c>
      <c r="S1100" s="15" t="str">
        <f>VLOOKUP(A1100,sinap!$A$2:$Y$9000,20,FALSE)</f>
        <v>SI</v>
      </c>
    </row>
    <row r="1101" spans="1:20" hidden="1" x14ac:dyDescent="0.25">
      <c r="A1101" s="15">
        <v>20910272</v>
      </c>
      <c r="H1101" s="16">
        <v>45648</v>
      </c>
      <c r="I1101" s="16">
        <v>45966</v>
      </c>
      <c r="J1101" s="15" t="str">
        <f>VLOOKUP(A1101,sinap!$A$2:$R$9000,2,FALSE)</f>
        <v>H</v>
      </c>
      <c r="K1101" s="15" t="str">
        <f>VLOOKUP(A1101,sinap!$A$2:$R$9000,3,FALSE)</f>
        <v>VACA</v>
      </c>
      <c r="L1101" s="15" t="str">
        <f>VLOOKUP(A1101,sinap!$A$2:$R$9000,4,FALSE)</f>
        <v>ANGUS ROJO</v>
      </c>
      <c r="M1101" s="15" t="str">
        <f>VLOOKUP(A1101,sinap!$A$2:$R$9000,5,FALSE)</f>
        <v>4 años 4 meses</v>
      </c>
      <c r="N1101" s="15" t="str">
        <f>VLOOKUP(A1101,sinap!$A$2:$R$9000,6,FALSE)</f>
        <v>10-09-2021</v>
      </c>
      <c r="O1101" s="15" t="str">
        <f>VLOOKUP(A1101,sinap!$A$2:$R$9000,7,FALSE)</f>
        <v>Vivo</v>
      </c>
      <c r="P1101" s="15" t="str">
        <f>VLOOKUP(A1101,sinap!$A$2:$R$9000,8,FALSE)</f>
        <v>11.1.01.2442</v>
      </c>
      <c r="Q1101" s="15" t="str">
        <f>VLOOKUP(A1101,sinap!$A$2:$R$9000,12,FALSE)</f>
        <v>11.1.01.0190</v>
      </c>
      <c r="R1101" s="15" t="str">
        <f>VLOOKUP(A1101,sinap!$A$2:$R$9000,16,FALSE)</f>
        <v>11.1.01.0893</v>
      </c>
      <c r="S1101" s="15" t="str">
        <f>VLOOKUP(A1101,sinap!$A$2:$Y$9000,20,FALSE)</f>
        <v>SI</v>
      </c>
    </row>
    <row r="1102" spans="1:20" hidden="1" x14ac:dyDescent="0.25">
      <c r="A1102" s="15">
        <v>20910276</v>
      </c>
      <c r="H1102" s="16">
        <v>45648</v>
      </c>
      <c r="I1102" s="16">
        <v>45671</v>
      </c>
      <c r="J1102" s="15" t="str">
        <f>VLOOKUP(A1102,sinap!$A$2:$R$9000,2,FALSE)</f>
        <v>H</v>
      </c>
      <c r="K1102" s="15" t="str">
        <f>VLOOKUP(A1102,sinap!$A$2:$R$9000,3,FALSE)</f>
        <v>VACA</v>
      </c>
      <c r="L1102" s="15" t="str">
        <f>VLOOKUP(A1102,sinap!$A$2:$R$9000,4,FALSE)</f>
        <v>ANGUS NEGRO</v>
      </c>
      <c r="M1102" s="15" t="str">
        <f>VLOOKUP(A1102,sinap!$A$2:$R$9000,5,FALSE)</f>
        <v>4 años 3 meses</v>
      </c>
      <c r="N1102" s="15" t="str">
        <f>VLOOKUP(A1102,sinap!$A$2:$R$9000,6,FALSE)</f>
        <v>30-09-2021</v>
      </c>
      <c r="O1102" s="15" t="str">
        <f>VLOOKUP(A1102,sinap!$A$2:$R$9000,7,FALSE)</f>
        <v>Vivo</v>
      </c>
      <c r="P1102" s="15" t="str">
        <f>VLOOKUP(A1102,sinap!$A$2:$R$9000,8,FALSE)</f>
        <v>11.1.01.1241</v>
      </c>
      <c r="Q1102" s="15" t="str">
        <f>VLOOKUP(A1102,sinap!$A$2:$R$9000,12,FALSE)</f>
        <v>11.1.01.1022</v>
      </c>
      <c r="R1102" s="15" t="str">
        <f>VLOOKUP(A1102,sinap!$A$2:$R$9000,16,FALSE)</f>
        <v>11.1.01.0893</v>
      </c>
      <c r="S1102" s="15" t="str">
        <f>VLOOKUP(A1102,sinap!$A$2:$Y$9000,20,FALSE)</f>
        <v>SI</v>
      </c>
    </row>
    <row r="1103" spans="1:20" hidden="1" x14ac:dyDescent="0.25">
      <c r="A1103" s="15">
        <v>20910288</v>
      </c>
      <c r="H1103" s="16">
        <v>45648</v>
      </c>
      <c r="I1103" s="16">
        <v>45671</v>
      </c>
      <c r="J1103" s="15" t="str">
        <f>VLOOKUP(A1103,sinap!$A$2:$R$9000,2,FALSE)</f>
        <v>H</v>
      </c>
      <c r="K1103" s="15" t="str">
        <f>VLOOKUP(A1103,sinap!$A$2:$R$9000,3,FALSE)</f>
        <v>VACA</v>
      </c>
      <c r="L1103" s="15" t="str">
        <f>VLOOKUP(A1103,sinap!$A$2:$R$9000,4,FALSE)</f>
        <v>ANGUS NEGRO</v>
      </c>
      <c r="M1103" s="15" t="str">
        <f>VLOOKUP(A1103,sinap!$A$2:$R$9000,5,FALSE)</f>
        <v>4 años 4 meses</v>
      </c>
      <c r="N1103" s="15" t="str">
        <f>VLOOKUP(A1103,sinap!$A$2:$R$9000,6,FALSE)</f>
        <v>11-09-2021</v>
      </c>
      <c r="O1103" s="15" t="str">
        <f>VLOOKUP(A1103,sinap!$A$2:$R$9000,7,FALSE)</f>
        <v>Vivo</v>
      </c>
      <c r="P1103" s="15" t="str">
        <f>VLOOKUP(A1103,sinap!$A$2:$R$9000,8,FALSE)</f>
        <v>11.1.01.1241</v>
      </c>
      <c r="Q1103" s="15" t="str">
        <f>VLOOKUP(A1103,sinap!$A$2:$R$9000,12,FALSE)</f>
        <v>11.1.01.1022</v>
      </c>
      <c r="R1103" s="15" t="str">
        <f>VLOOKUP(A1103,sinap!$A$2:$R$9000,16,FALSE)</f>
        <v>11.1.01.0893</v>
      </c>
      <c r="S1103" s="15" t="str">
        <f>VLOOKUP(A1103,sinap!$A$2:$Y$9000,20,FALSE)</f>
        <v>SI</v>
      </c>
    </row>
    <row r="1104" spans="1:20" hidden="1" x14ac:dyDescent="0.25">
      <c r="A1104" s="15">
        <v>20910302</v>
      </c>
      <c r="H1104" s="16">
        <v>45648</v>
      </c>
      <c r="I1104" s="16">
        <v>45671</v>
      </c>
      <c r="J1104" s="15" t="str">
        <f>VLOOKUP(A1104,sinap!$A$2:$R$9000,2,FALSE)</f>
        <v>H</v>
      </c>
      <c r="K1104" s="15" t="str">
        <f>VLOOKUP(A1104,sinap!$A$2:$R$9000,3,FALSE)</f>
        <v>VACA</v>
      </c>
      <c r="L1104" s="15" t="str">
        <f>VLOOKUP(A1104,sinap!$A$2:$R$9000,4,FALSE)</f>
        <v>ANGUS ROJO</v>
      </c>
      <c r="M1104" s="15" t="str">
        <f>VLOOKUP(A1104,sinap!$A$2:$R$9000,5,FALSE)</f>
        <v>4 años 3 meses</v>
      </c>
      <c r="N1104" s="15" t="str">
        <f>VLOOKUP(A1104,sinap!$A$2:$R$9000,6,FALSE)</f>
        <v>30-09-2021</v>
      </c>
      <c r="O1104" s="15" t="str">
        <f>VLOOKUP(A1104,sinap!$A$2:$R$9000,7,FALSE)</f>
        <v>Vivo</v>
      </c>
      <c r="P1104" s="15" t="str">
        <f>VLOOKUP(A1104,sinap!$A$2:$R$9000,8,FALSE)</f>
        <v>11.1.01.1241</v>
      </c>
      <c r="Q1104" s="15" t="str">
        <f>VLOOKUP(A1104,sinap!$A$2:$R$9000,12,FALSE)</f>
        <v>11.2.01.0038</v>
      </c>
      <c r="R1104" s="15" t="str">
        <f>VLOOKUP(A1104,sinap!$A$2:$R$9000,16,FALSE)</f>
        <v>11.1.01.0893</v>
      </c>
      <c r="S1104" s="15" t="str">
        <f>VLOOKUP(A1104,sinap!$A$2:$Y$9000,20,FALSE)</f>
        <v>SI</v>
      </c>
    </row>
    <row r="1105" spans="1:19" hidden="1" x14ac:dyDescent="0.25">
      <c r="A1105" s="15">
        <v>20910304</v>
      </c>
      <c r="H1105" s="16">
        <v>45648</v>
      </c>
      <c r="I1105" s="16">
        <v>45671</v>
      </c>
      <c r="J1105" s="15" t="str">
        <f>VLOOKUP(A1105,sinap!$A$2:$R$9000,2,FALSE)</f>
        <v>H</v>
      </c>
      <c r="K1105" s="15" t="str">
        <f>VLOOKUP(A1105,sinap!$A$2:$R$9000,3,FALSE)</f>
        <v>VACA</v>
      </c>
      <c r="L1105" s="15" t="str">
        <f>VLOOKUP(A1105,sinap!$A$2:$R$9000,4,FALSE)</f>
        <v>ANGUS NEGRO</v>
      </c>
      <c r="M1105" s="15" t="str">
        <f>VLOOKUP(A1105,sinap!$A$2:$R$9000,5,FALSE)</f>
        <v>4 años 4 meses</v>
      </c>
      <c r="N1105" s="15" t="str">
        <f>VLOOKUP(A1105,sinap!$A$2:$R$9000,6,FALSE)</f>
        <v>11-09-2021</v>
      </c>
      <c r="O1105" s="15" t="str">
        <f>VLOOKUP(A1105,sinap!$A$2:$R$9000,7,FALSE)</f>
        <v>Vivo</v>
      </c>
      <c r="P1105" s="15" t="str">
        <f>VLOOKUP(A1105,sinap!$A$2:$R$9000,8,FALSE)</f>
        <v>11.1.01.1241</v>
      </c>
      <c r="Q1105" s="15" t="str">
        <f>VLOOKUP(A1105,sinap!$A$2:$R$9000,12,FALSE)</f>
        <v>11.1.01.1022</v>
      </c>
      <c r="R1105" s="15" t="str">
        <f>VLOOKUP(A1105,sinap!$A$2:$R$9000,16,FALSE)</f>
        <v>11.1.01.0893</v>
      </c>
      <c r="S1105" s="15" t="str">
        <f>VLOOKUP(A1105,sinap!$A$2:$Y$9000,20,FALSE)</f>
        <v>SI</v>
      </c>
    </row>
    <row r="1106" spans="1:19" hidden="1" x14ac:dyDescent="0.25">
      <c r="A1106" s="15">
        <v>20910307</v>
      </c>
      <c r="H1106" s="16">
        <v>45648</v>
      </c>
      <c r="I1106" s="16">
        <v>45965</v>
      </c>
      <c r="J1106" s="15" t="str">
        <f>VLOOKUP(A1106,sinap!$A$2:$R$9000,2,FALSE)</f>
        <v>H</v>
      </c>
      <c r="K1106" s="15" t="str">
        <f>VLOOKUP(A1106,sinap!$A$2:$R$9000,3,FALSE)</f>
        <v>VACA</v>
      </c>
      <c r="L1106" s="15" t="str">
        <f>VLOOKUP(A1106,sinap!$A$2:$R$9000,4,FALSE)</f>
        <v>ANGUS NEGRO</v>
      </c>
      <c r="M1106" s="15" t="str">
        <f>VLOOKUP(A1106,sinap!$A$2:$R$9000,5,FALSE)</f>
        <v>4 años 3 meses</v>
      </c>
      <c r="N1106" s="15" t="str">
        <f>VLOOKUP(A1106,sinap!$A$2:$R$9000,6,FALSE)</f>
        <v>30-09-2021</v>
      </c>
      <c r="O1106" s="15" t="str">
        <f>VLOOKUP(A1106,sinap!$A$2:$R$9000,7,FALSE)</f>
        <v>Vivo</v>
      </c>
      <c r="P1106" s="15" t="str">
        <f>VLOOKUP(A1106,sinap!$A$2:$R$9000,8,FALSE)</f>
        <v>11.1.01.2442</v>
      </c>
      <c r="Q1106" s="15" t="str">
        <f>VLOOKUP(A1106,sinap!$A$2:$R$9000,12,FALSE)</f>
        <v>11.1.01.0190</v>
      </c>
      <c r="R1106" s="15" t="str">
        <f>VLOOKUP(A1106,sinap!$A$2:$R$9000,16,FALSE)</f>
        <v>11.1.01.0893</v>
      </c>
      <c r="S1106" s="15" t="str">
        <f>VLOOKUP(A1106,sinap!$A$2:$Y$9000,20,FALSE)</f>
        <v>SI</v>
      </c>
    </row>
    <row r="1107" spans="1:19" hidden="1" x14ac:dyDescent="0.25">
      <c r="A1107" s="15">
        <v>20910308</v>
      </c>
      <c r="H1107" s="16">
        <v>45648</v>
      </c>
      <c r="I1107" s="16">
        <v>45966</v>
      </c>
      <c r="J1107" s="15" t="str">
        <f>VLOOKUP(A1107,sinap!$A$2:$R$9000,2,FALSE)</f>
        <v>H</v>
      </c>
      <c r="K1107" s="15" t="str">
        <f>VLOOKUP(A1107,sinap!$A$2:$R$9000,3,FALSE)</f>
        <v>VACA</v>
      </c>
      <c r="L1107" s="15" t="str">
        <f>VLOOKUP(A1107,sinap!$A$2:$R$9000,4,FALSE)</f>
        <v>ANGUS ROJO</v>
      </c>
      <c r="M1107" s="15" t="str">
        <f>VLOOKUP(A1107,sinap!$A$2:$R$9000,5,FALSE)</f>
        <v>4 años 3 meses</v>
      </c>
      <c r="N1107" s="15" t="str">
        <f>VLOOKUP(A1107,sinap!$A$2:$R$9000,6,FALSE)</f>
        <v>05-10-2021</v>
      </c>
      <c r="O1107" s="15" t="str">
        <f>VLOOKUP(A1107,sinap!$A$2:$R$9000,7,FALSE)</f>
        <v>Vivo</v>
      </c>
      <c r="P1107" s="15" t="str">
        <f>VLOOKUP(A1107,sinap!$A$2:$R$9000,8,FALSE)</f>
        <v>11.1.01.2442</v>
      </c>
      <c r="Q1107" s="15" t="str">
        <f>VLOOKUP(A1107,sinap!$A$2:$R$9000,12,FALSE)</f>
        <v>11.1.01.0190</v>
      </c>
      <c r="R1107" s="15" t="str">
        <f>VLOOKUP(A1107,sinap!$A$2:$R$9000,16,FALSE)</f>
        <v>11.1.01.0893</v>
      </c>
      <c r="S1107" s="15" t="str">
        <f>VLOOKUP(A1107,sinap!$A$2:$Y$9000,20,FALSE)</f>
        <v>SI</v>
      </c>
    </row>
    <row r="1108" spans="1:19" hidden="1" x14ac:dyDescent="0.25">
      <c r="A1108" s="15">
        <v>20910312</v>
      </c>
      <c r="H1108" s="16">
        <v>45648</v>
      </c>
      <c r="I1108" s="16">
        <v>45966</v>
      </c>
      <c r="J1108" s="15" t="str">
        <f>VLOOKUP(A1108,sinap!$A$2:$R$9000,2,FALSE)</f>
        <v>H</v>
      </c>
      <c r="K1108" s="15" t="str">
        <f>VLOOKUP(A1108,sinap!$A$2:$R$9000,3,FALSE)</f>
        <v>VACA</v>
      </c>
      <c r="L1108" s="15" t="str">
        <f>VLOOKUP(A1108,sinap!$A$2:$R$9000,4,FALSE)</f>
        <v>ANGUS NEGRO</v>
      </c>
      <c r="M1108" s="15" t="str">
        <f>VLOOKUP(A1108,sinap!$A$2:$R$9000,5,FALSE)</f>
        <v>4 años 3 meses</v>
      </c>
      <c r="N1108" s="15" t="str">
        <f>VLOOKUP(A1108,sinap!$A$2:$R$9000,6,FALSE)</f>
        <v>30-09-2021</v>
      </c>
      <c r="O1108" s="15" t="str">
        <f>VLOOKUP(A1108,sinap!$A$2:$R$9000,7,FALSE)</f>
        <v>Vivo</v>
      </c>
      <c r="P1108" s="15" t="str">
        <f>VLOOKUP(A1108,sinap!$A$2:$R$9000,8,FALSE)</f>
        <v>11.1.01.2442</v>
      </c>
      <c r="Q1108" s="15" t="str">
        <f>VLOOKUP(A1108,sinap!$A$2:$R$9000,12,FALSE)</f>
        <v>11.1.01.0190</v>
      </c>
      <c r="R1108" s="15" t="str">
        <f>VLOOKUP(A1108,sinap!$A$2:$R$9000,16,FALSE)</f>
        <v>11.1.01.0893</v>
      </c>
      <c r="S1108" s="15" t="str">
        <f>VLOOKUP(A1108,sinap!$A$2:$Y$9000,20,FALSE)</f>
        <v>SI</v>
      </c>
    </row>
    <row r="1109" spans="1:19" hidden="1" x14ac:dyDescent="0.25">
      <c r="A1109" s="15">
        <v>20910315</v>
      </c>
      <c r="H1109" s="16">
        <v>45648</v>
      </c>
      <c r="I1109" s="16">
        <v>45966</v>
      </c>
      <c r="J1109" s="15" t="str">
        <f>VLOOKUP(A1109,sinap!$A$2:$R$9000,2,FALSE)</f>
        <v>H</v>
      </c>
      <c r="K1109" s="15" t="str">
        <f>VLOOKUP(A1109,sinap!$A$2:$R$9000,3,FALSE)</f>
        <v>VACA</v>
      </c>
      <c r="L1109" s="15" t="str">
        <f>VLOOKUP(A1109,sinap!$A$2:$R$9000,4,FALSE)</f>
        <v>ANGUS NEGRO</v>
      </c>
      <c r="M1109" s="15" t="str">
        <f>VLOOKUP(A1109,sinap!$A$2:$R$9000,5,FALSE)</f>
        <v>4 años 3 meses</v>
      </c>
      <c r="N1109" s="15" t="str">
        <f>VLOOKUP(A1109,sinap!$A$2:$R$9000,6,FALSE)</f>
        <v>30-09-2021</v>
      </c>
      <c r="O1109" s="15" t="str">
        <f>VLOOKUP(A1109,sinap!$A$2:$R$9000,7,FALSE)</f>
        <v>Vivo</v>
      </c>
      <c r="P1109" s="15" t="str">
        <f>VLOOKUP(A1109,sinap!$A$2:$R$9000,8,FALSE)</f>
        <v>11.1.01.1241</v>
      </c>
      <c r="Q1109" s="15" t="str">
        <f>VLOOKUP(A1109,sinap!$A$2:$R$9000,12,FALSE)</f>
        <v>11.1.01.1022</v>
      </c>
      <c r="R1109" s="15" t="str">
        <f>VLOOKUP(A1109,sinap!$A$2:$R$9000,16,FALSE)</f>
        <v>11.1.01.0893</v>
      </c>
      <c r="S1109" s="15" t="str">
        <f>VLOOKUP(A1109,sinap!$A$2:$Y$9000,20,FALSE)</f>
        <v>SI</v>
      </c>
    </row>
    <row r="1110" spans="1:19" hidden="1" x14ac:dyDescent="0.25">
      <c r="A1110" s="15">
        <v>20910321</v>
      </c>
      <c r="H1110" s="16">
        <v>45648</v>
      </c>
      <c r="I1110" s="16">
        <v>45966</v>
      </c>
      <c r="J1110" s="15" t="str">
        <f>VLOOKUP(A1110,sinap!$A$2:$R$9000,2,FALSE)</f>
        <v>H</v>
      </c>
      <c r="K1110" s="15" t="str">
        <f>VLOOKUP(A1110,sinap!$A$2:$R$9000,3,FALSE)</f>
        <v>VACA</v>
      </c>
      <c r="L1110" s="15" t="str">
        <f>VLOOKUP(A1110,sinap!$A$2:$R$9000,4,FALSE)</f>
        <v>ANGUS NEGRO</v>
      </c>
      <c r="M1110" s="15" t="str">
        <f>VLOOKUP(A1110,sinap!$A$2:$R$9000,5,FALSE)</f>
        <v>4 años 3 meses</v>
      </c>
      <c r="N1110" s="15" t="str">
        <f>VLOOKUP(A1110,sinap!$A$2:$R$9000,6,FALSE)</f>
        <v>11-10-2021</v>
      </c>
      <c r="O1110" s="15" t="str">
        <f>VLOOKUP(A1110,sinap!$A$2:$R$9000,7,FALSE)</f>
        <v>Vivo</v>
      </c>
      <c r="P1110" s="15" t="str">
        <f>VLOOKUP(A1110,sinap!$A$2:$R$9000,8,FALSE)</f>
        <v>11.1.01.2442</v>
      </c>
      <c r="Q1110" s="15" t="str">
        <f>VLOOKUP(A1110,sinap!$A$2:$R$9000,12,FALSE)</f>
        <v>11.1.01.0190</v>
      </c>
      <c r="R1110" s="15" t="str">
        <f>VLOOKUP(A1110,sinap!$A$2:$R$9000,16,FALSE)</f>
        <v>11.1.01.0893</v>
      </c>
      <c r="S1110" s="15" t="str">
        <f>VLOOKUP(A1110,sinap!$A$2:$Y$9000,20,FALSE)</f>
        <v>SI</v>
      </c>
    </row>
    <row r="1111" spans="1:19" hidden="1" x14ac:dyDescent="0.25">
      <c r="A1111" s="15">
        <v>20910326</v>
      </c>
      <c r="H1111" s="16">
        <v>45648</v>
      </c>
      <c r="I1111" s="16">
        <v>45966</v>
      </c>
      <c r="J1111" s="15" t="str">
        <f>VLOOKUP(A1111,sinap!$A$2:$R$9000,2,FALSE)</f>
        <v>H</v>
      </c>
      <c r="K1111" s="15" t="str">
        <f>VLOOKUP(A1111,sinap!$A$2:$R$9000,3,FALSE)</f>
        <v>VACA</v>
      </c>
      <c r="L1111" s="15" t="str">
        <f>VLOOKUP(A1111,sinap!$A$2:$R$9000,4,FALSE)</f>
        <v>ANGUS NEGRO</v>
      </c>
      <c r="M1111" s="15" t="str">
        <f>VLOOKUP(A1111,sinap!$A$2:$R$9000,5,FALSE)</f>
        <v>4 años 3 meses</v>
      </c>
      <c r="N1111" s="15" t="str">
        <f>VLOOKUP(A1111,sinap!$A$2:$R$9000,6,FALSE)</f>
        <v>30-09-2021</v>
      </c>
      <c r="O1111" s="15" t="str">
        <f>VLOOKUP(A1111,sinap!$A$2:$R$9000,7,FALSE)</f>
        <v>Vivo</v>
      </c>
      <c r="P1111" s="15" t="str">
        <f>VLOOKUP(A1111,sinap!$A$2:$R$9000,8,FALSE)</f>
        <v>11.1.01.2442</v>
      </c>
      <c r="Q1111" s="15" t="str">
        <f>VLOOKUP(A1111,sinap!$A$2:$R$9000,12,FALSE)</f>
        <v>11.1.01.0190</v>
      </c>
      <c r="R1111" s="15" t="str">
        <f>VLOOKUP(A1111,sinap!$A$2:$R$9000,16,FALSE)</f>
        <v>11.1.01.0893</v>
      </c>
      <c r="S1111" s="15" t="str">
        <f>VLOOKUP(A1111,sinap!$A$2:$Y$9000,20,FALSE)</f>
        <v>SI</v>
      </c>
    </row>
    <row r="1112" spans="1:19" hidden="1" x14ac:dyDescent="0.25">
      <c r="A1112" s="15">
        <v>20910331</v>
      </c>
      <c r="H1112" s="16">
        <v>45648</v>
      </c>
      <c r="I1112" s="16">
        <v>45965</v>
      </c>
      <c r="J1112" s="15" t="str">
        <f>VLOOKUP(A1112,sinap!$A$2:$R$9000,2,FALSE)</f>
        <v>H</v>
      </c>
      <c r="K1112" s="15" t="str">
        <f>VLOOKUP(A1112,sinap!$A$2:$R$9000,3,FALSE)</f>
        <v>VACA</v>
      </c>
      <c r="L1112" s="15" t="str">
        <f>VLOOKUP(A1112,sinap!$A$2:$R$9000,4,FALSE)</f>
        <v>ANGUS NEGRO</v>
      </c>
      <c r="M1112" s="15" t="str">
        <f>VLOOKUP(A1112,sinap!$A$2:$R$9000,5,FALSE)</f>
        <v>4 años 3 meses</v>
      </c>
      <c r="N1112" s="15" t="str">
        <f>VLOOKUP(A1112,sinap!$A$2:$R$9000,6,FALSE)</f>
        <v>30-09-2021</v>
      </c>
      <c r="O1112" s="15" t="str">
        <f>VLOOKUP(A1112,sinap!$A$2:$R$9000,7,FALSE)</f>
        <v>Vivo</v>
      </c>
      <c r="P1112" s="15" t="str">
        <f>VLOOKUP(A1112,sinap!$A$2:$R$9000,8,FALSE)</f>
        <v>11.1.01.1241</v>
      </c>
      <c r="Q1112" s="15" t="str">
        <f>VLOOKUP(A1112,sinap!$A$2:$R$9000,12,FALSE)</f>
        <v>11.2.01.0038</v>
      </c>
      <c r="R1112" s="15" t="str">
        <f>VLOOKUP(A1112,sinap!$A$2:$R$9000,16,FALSE)</f>
        <v>11.1.01.0893</v>
      </c>
      <c r="S1112" s="15" t="str">
        <f>VLOOKUP(A1112,sinap!$A$2:$Y$9000,20,FALSE)</f>
        <v>SI</v>
      </c>
    </row>
    <row r="1113" spans="1:19" hidden="1" x14ac:dyDescent="0.25">
      <c r="A1113" s="15">
        <v>20910334</v>
      </c>
      <c r="H1113" s="16">
        <v>45648</v>
      </c>
      <c r="I1113" s="16">
        <v>45965</v>
      </c>
      <c r="J1113" s="15" t="str">
        <f>VLOOKUP(A1113,sinap!$A$2:$R$9000,2,FALSE)</f>
        <v>H</v>
      </c>
      <c r="K1113" s="15" t="str">
        <f>VLOOKUP(A1113,sinap!$A$2:$R$9000,3,FALSE)</f>
        <v>VACA</v>
      </c>
      <c r="L1113" s="15" t="str">
        <f>VLOOKUP(A1113,sinap!$A$2:$R$9000,4,FALSE)</f>
        <v>ANGUS NEGRO</v>
      </c>
      <c r="M1113" s="15" t="str">
        <f>VLOOKUP(A1113,sinap!$A$2:$R$9000,5,FALSE)</f>
        <v>4 años 3 meses</v>
      </c>
      <c r="N1113" s="15" t="str">
        <f>VLOOKUP(A1113,sinap!$A$2:$R$9000,6,FALSE)</f>
        <v>30-09-2021</v>
      </c>
      <c r="O1113" s="15" t="str">
        <f>VLOOKUP(A1113,sinap!$A$2:$R$9000,7,FALSE)</f>
        <v>Vivo</v>
      </c>
      <c r="P1113" s="15" t="str">
        <f>VLOOKUP(A1113,sinap!$A$2:$R$9000,8,FALSE)</f>
        <v>11.1.01.2442</v>
      </c>
      <c r="Q1113" s="15" t="str">
        <f>VLOOKUP(A1113,sinap!$A$2:$R$9000,12,FALSE)</f>
        <v>11.1.01.0190</v>
      </c>
      <c r="R1113" s="15" t="str">
        <f>VLOOKUP(A1113,sinap!$A$2:$R$9000,16,FALSE)</f>
        <v>11.1.01.1241</v>
      </c>
      <c r="S1113" s="15" t="str">
        <f>VLOOKUP(A1113,sinap!$A$2:$Y$9000,20,FALSE)</f>
        <v>SI</v>
      </c>
    </row>
    <row r="1114" spans="1:19" hidden="1" x14ac:dyDescent="0.25">
      <c r="A1114" s="15">
        <v>20910335</v>
      </c>
      <c r="J1114" s="15" t="str">
        <f>VLOOKUP(A1114,sinap!$A$2:$R$9000,2,FALSE)</f>
        <v>M</v>
      </c>
      <c r="K1114" s="15" t="str">
        <f>VLOOKUP(A1114,sinap!$A$2:$R$9000,3,FALSE)</f>
        <v>TORO</v>
      </c>
      <c r="L1114" s="15" t="str">
        <f>VLOOKUP(A1114,sinap!$A$2:$R$9000,4,FALSE)</f>
        <v>ANGUS NEGRO</v>
      </c>
      <c r="M1114" s="15" t="str">
        <f>VLOOKUP(A1114,sinap!$A$2:$R$9000,5,FALSE)</f>
        <v>4 años 2 meses</v>
      </c>
      <c r="N1114" s="15" t="str">
        <f>VLOOKUP(A1114,sinap!$A$2:$R$9000,6,FALSE)</f>
        <v>27-10-2021</v>
      </c>
      <c r="O1114" s="15" t="str">
        <f>VLOOKUP(A1114,sinap!$A$2:$R$9000,7,FALSE)</f>
        <v>Vivo</v>
      </c>
      <c r="P1114" s="15" t="str">
        <f>VLOOKUP(A1114,sinap!$A$2:$R$9000,8,FALSE)</f>
        <v>11.1.01.1241</v>
      </c>
      <c r="Q1114" s="15" t="str">
        <f>VLOOKUP(A1114,sinap!$A$2:$R$9000,12,FALSE)</f>
        <v>Sin Movimiento</v>
      </c>
      <c r="R1114" s="15" t="str">
        <f>VLOOKUP(A1114,sinap!$A$2:$R$9000,16,FALSE)</f>
        <v>11.1.01.1241</v>
      </c>
      <c r="S1114" s="15" t="str">
        <f>VLOOKUP(A1114,sinap!$A$2:$Y$9000,20,FALSE)</f>
        <v>SI</v>
      </c>
    </row>
    <row r="1115" spans="1:19" hidden="1" x14ac:dyDescent="0.25">
      <c r="A1115" s="15">
        <v>20910337</v>
      </c>
      <c r="J1115" s="15" t="str">
        <f>VLOOKUP(A1115,sinap!$A$2:$R$9000,2,FALSE)</f>
        <v>H</v>
      </c>
      <c r="K1115" s="15" t="str">
        <f>VLOOKUP(A1115,sinap!$A$2:$R$9000,3,FALSE)</f>
        <v>VACA</v>
      </c>
      <c r="L1115" s="15" t="str">
        <f>VLOOKUP(A1115,sinap!$A$2:$R$9000,4,FALSE)</f>
        <v>ANGUS ROJO</v>
      </c>
      <c r="M1115" s="15" t="str">
        <f>VLOOKUP(A1115,sinap!$A$2:$R$9000,5,FALSE)</f>
        <v>4 años 2 meses</v>
      </c>
      <c r="N1115" s="15" t="str">
        <f>VLOOKUP(A1115,sinap!$A$2:$R$9000,6,FALSE)</f>
        <v>22-10-2021</v>
      </c>
      <c r="O1115" s="15" t="str">
        <f>VLOOKUP(A1115,sinap!$A$2:$R$9000,7,FALSE)</f>
        <v>Vivo</v>
      </c>
      <c r="P1115" s="15" t="str">
        <f>VLOOKUP(A1115,sinap!$A$2:$R$9000,8,FALSE)</f>
        <v>11.1.01.1241</v>
      </c>
      <c r="Q1115" s="15" t="str">
        <f>VLOOKUP(A1115,sinap!$A$2:$R$9000,12,FALSE)</f>
        <v>Sin Movimiento</v>
      </c>
      <c r="R1115" s="15" t="str">
        <f>VLOOKUP(A1115,sinap!$A$2:$R$9000,16,FALSE)</f>
        <v>11.1.01.1241</v>
      </c>
      <c r="S1115" s="15" t="str">
        <f>VLOOKUP(A1115,sinap!$A$2:$Y$9000,20,FALSE)</f>
        <v>SI</v>
      </c>
    </row>
    <row r="1116" spans="1:19" hidden="1" x14ac:dyDescent="0.25">
      <c r="A1116" s="15">
        <v>20910339</v>
      </c>
      <c r="H1116" s="16">
        <v>45648</v>
      </c>
      <c r="I1116" s="16">
        <v>45965</v>
      </c>
      <c r="J1116" s="15" t="str">
        <f>VLOOKUP(A1116,sinap!$A$2:$R$9000,2,FALSE)</f>
        <v>H</v>
      </c>
      <c r="K1116" s="15" t="str">
        <f>VLOOKUP(A1116,sinap!$A$2:$R$9000,3,FALSE)</f>
        <v>VACA</v>
      </c>
      <c r="L1116" s="15" t="str">
        <f>VLOOKUP(A1116,sinap!$A$2:$R$9000,4,FALSE)</f>
        <v>ANGUS NEGRO</v>
      </c>
      <c r="M1116" s="15" t="str">
        <f>VLOOKUP(A1116,sinap!$A$2:$R$9000,5,FALSE)</f>
        <v>4 años 3 meses</v>
      </c>
      <c r="N1116" s="15" t="str">
        <f>VLOOKUP(A1116,sinap!$A$2:$R$9000,6,FALSE)</f>
        <v>30-09-2021</v>
      </c>
      <c r="O1116" s="15" t="str">
        <f>VLOOKUP(A1116,sinap!$A$2:$R$9000,7,FALSE)</f>
        <v>Vivo</v>
      </c>
      <c r="P1116" s="15" t="str">
        <f>VLOOKUP(A1116,sinap!$A$2:$R$9000,8,FALSE)</f>
        <v>11.1.01.1241</v>
      </c>
      <c r="Q1116" s="15" t="str">
        <f>VLOOKUP(A1116,sinap!$A$2:$R$9000,12,FALSE)</f>
        <v>11.2.01.0038</v>
      </c>
      <c r="R1116" s="15" t="str">
        <f>VLOOKUP(A1116,sinap!$A$2:$R$9000,16,FALSE)</f>
        <v>11.1.01.1241</v>
      </c>
      <c r="S1116" s="15" t="str">
        <f>VLOOKUP(A1116,sinap!$A$2:$Y$9000,20,FALSE)</f>
        <v>SI</v>
      </c>
    </row>
    <row r="1117" spans="1:19" hidden="1" x14ac:dyDescent="0.25">
      <c r="A1117" s="15">
        <v>20910343</v>
      </c>
      <c r="H1117" s="16">
        <v>45648</v>
      </c>
      <c r="I1117" s="16">
        <v>45965</v>
      </c>
      <c r="J1117" s="15" t="str">
        <f>VLOOKUP(A1117,sinap!$A$2:$R$9000,2,FALSE)</f>
        <v>H</v>
      </c>
      <c r="K1117" s="15" t="str">
        <f>VLOOKUP(A1117,sinap!$A$2:$R$9000,3,FALSE)</f>
        <v>VACA</v>
      </c>
      <c r="L1117" s="15" t="str">
        <f>VLOOKUP(A1117,sinap!$A$2:$R$9000,4,FALSE)</f>
        <v>ANGUS NEGRO</v>
      </c>
      <c r="M1117" s="15" t="str">
        <f>VLOOKUP(A1117,sinap!$A$2:$R$9000,5,FALSE)</f>
        <v>4 años 4 meses</v>
      </c>
      <c r="N1117" s="15" t="str">
        <f>VLOOKUP(A1117,sinap!$A$2:$R$9000,6,FALSE)</f>
        <v>11-09-2021</v>
      </c>
      <c r="O1117" s="15" t="str">
        <f>VLOOKUP(A1117,sinap!$A$2:$R$9000,7,FALSE)</f>
        <v>Vivo</v>
      </c>
      <c r="P1117" s="15" t="str">
        <f>VLOOKUP(A1117,sinap!$A$2:$R$9000,8,FALSE)</f>
        <v>11.1.01.1241</v>
      </c>
      <c r="Q1117" s="15" t="str">
        <f>VLOOKUP(A1117,sinap!$A$2:$R$9000,12,FALSE)</f>
        <v>11.2.01.0038</v>
      </c>
      <c r="R1117" s="15" t="str">
        <f>VLOOKUP(A1117,sinap!$A$2:$R$9000,16,FALSE)</f>
        <v>11.1.01.1241</v>
      </c>
      <c r="S1117" s="15" t="str">
        <f>VLOOKUP(A1117,sinap!$A$2:$Y$9000,20,FALSE)</f>
        <v>SI</v>
      </c>
    </row>
    <row r="1118" spans="1:19" hidden="1" x14ac:dyDescent="0.25">
      <c r="A1118" s="15">
        <v>20910348</v>
      </c>
      <c r="J1118" s="15" t="str">
        <f>VLOOKUP(A1118,sinap!$A$2:$R$9000,2,FALSE)</f>
        <v>H</v>
      </c>
      <c r="K1118" s="15" t="str">
        <f>VLOOKUP(A1118,sinap!$A$2:$R$9000,3,FALSE)</f>
        <v>VACA</v>
      </c>
      <c r="L1118" s="15" t="str">
        <f>VLOOKUP(A1118,sinap!$A$2:$R$9000,4,FALSE)</f>
        <v>ANGUS NEGRO</v>
      </c>
      <c r="M1118" s="15" t="str">
        <f>VLOOKUP(A1118,sinap!$A$2:$R$9000,5,FALSE)</f>
        <v>4 años 3 meses</v>
      </c>
      <c r="N1118" s="15" t="str">
        <f>VLOOKUP(A1118,sinap!$A$2:$R$9000,6,FALSE)</f>
        <v>30-09-2021</v>
      </c>
      <c r="O1118" s="15" t="str">
        <f>VLOOKUP(A1118,sinap!$A$2:$R$9000,7,FALSE)</f>
        <v>Vivo</v>
      </c>
      <c r="P1118" s="15" t="str">
        <f>VLOOKUP(A1118,sinap!$A$2:$R$9000,8,FALSE)</f>
        <v>11.1.01.0791</v>
      </c>
      <c r="Q1118" s="15" t="str">
        <f>VLOOKUP(A1118,sinap!$A$2:$R$9000,12,FALSE)</f>
        <v>11.1.01.0893</v>
      </c>
      <c r="R1118" s="15" t="str">
        <f>VLOOKUP(A1118,sinap!$A$2:$R$9000,16,FALSE)</f>
        <v>11.1.01.1241</v>
      </c>
      <c r="S1118" s="15" t="str">
        <f>VLOOKUP(A1118,sinap!$A$2:$Y$9000,20,FALSE)</f>
        <v>SI</v>
      </c>
    </row>
    <row r="1119" spans="1:19" hidden="1" x14ac:dyDescent="0.25">
      <c r="A1119" s="15">
        <v>20910350</v>
      </c>
      <c r="J1119" s="15" t="str">
        <f>VLOOKUP(A1119,sinap!$A$2:$R$9000,2,FALSE)</f>
        <v>H</v>
      </c>
      <c r="K1119" s="15" t="str">
        <f>VLOOKUP(A1119,sinap!$A$2:$R$9000,3,FALSE)</f>
        <v>VACA</v>
      </c>
      <c r="L1119" s="15" t="str">
        <f>VLOOKUP(A1119,sinap!$A$2:$R$9000,4,FALSE)</f>
        <v>ANGUS NEGRO</v>
      </c>
      <c r="M1119" s="15" t="str">
        <f>VLOOKUP(A1119,sinap!$A$2:$R$9000,5,FALSE)</f>
        <v>4 años 3 meses</v>
      </c>
      <c r="N1119" s="15" t="str">
        <f>VLOOKUP(A1119,sinap!$A$2:$R$9000,6,FALSE)</f>
        <v>30-09-2021</v>
      </c>
      <c r="O1119" s="15" t="str">
        <f>VLOOKUP(A1119,sinap!$A$2:$R$9000,7,FALSE)</f>
        <v>Vivo</v>
      </c>
      <c r="P1119" s="15" t="str">
        <f>VLOOKUP(A1119,sinap!$A$2:$R$9000,8,FALSE)</f>
        <v>11.2.01.0038</v>
      </c>
      <c r="Q1119" s="15" t="str">
        <f>VLOOKUP(A1119,sinap!$A$2:$R$9000,12,FALSE)</f>
        <v>11.1.01.1241</v>
      </c>
      <c r="R1119" s="15" t="str">
        <f>VLOOKUP(A1119,sinap!$A$2:$R$9000,16,FALSE)</f>
        <v>11.1.01.1241</v>
      </c>
      <c r="S1119" s="15" t="str">
        <f>VLOOKUP(A1119,sinap!$A$2:$Y$9000,20,FALSE)</f>
        <v>SI</v>
      </c>
    </row>
    <row r="1120" spans="1:19" hidden="1" x14ac:dyDescent="0.25">
      <c r="A1120" s="15">
        <v>20910354</v>
      </c>
      <c r="H1120" s="16">
        <v>45648</v>
      </c>
      <c r="I1120" s="16">
        <v>45671</v>
      </c>
      <c r="J1120" s="15" t="str">
        <f>VLOOKUP(A1120,sinap!$A$2:$R$9000,2,FALSE)</f>
        <v>H</v>
      </c>
      <c r="K1120" s="15" t="str">
        <f>VLOOKUP(A1120,sinap!$A$2:$R$9000,3,FALSE)</f>
        <v>VACA</v>
      </c>
      <c r="L1120" s="15" t="str">
        <f>VLOOKUP(A1120,sinap!$A$2:$R$9000,4,FALSE)</f>
        <v>ANGUS NEGRO</v>
      </c>
      <c r="M1120" s="15" t="str">
        <f>VLOOKUP(A1120,sinap!$A$2:$R$9000,5,FALSE)</f>
        <v>4 años 3 meses</v>
      </c>
      <c r="N1120" s="15" t="str">
        <f>VLOOKUP(A1120,sinap!$A$2:$R$9000,6,FALSE)</f>
        <v>05-10-2021</v>
      </c>
      <c r="O1120" s="15" t="str">
        <f>VLOOKUP(A1120,sinap!$A$2:$R$9000,7,FALSE)</f>
        <v>Vivo</v>
      </c>
      <c r="P1120" s="15" t="str">
        <f>VLOOKUP(A1120,sinap!$A$2:$R$9000,8,FALSE)</f>
        <v>11.1.01.1241</v>
      </c>
      <c r="Q1120" s="15" t="str">
        <f>VLOOKUP(A1120,sinap!$A$2:$R$9000,12,FALSE)</f>
        <v>11.2.01.0038</v>
      </c>
      <c r="R1120" s="15" t="str">
        <f>VLOOKUP(A1120,sinap!$A$2:$R$9000,16,FALSE)</f>
        <v>11.1.01.1241</v>
      </c>
      <c r="S1120" s="15" t="str">
        <f>VLOOKUP(A1120,sinap!$A$2:$Y$9000,20,FALSE)</f>
        <v>SI</v>
      </c>
    </row>
    <row r="1121" spans="1:19" hidden="1" x14ac:dyDescent="0.25">
      <c r="A1121" s="15">
        <v>20910356</v>
      </c>
      <c r="H1121" s="16">
        <v>45648</v>
      </c>
      <c r="I1121" s="16">
        <v>45671</v>
      </c>
      <c r="J1121" s="15" t="str">
        <f>VLOOKUP(A1121,sinap!$A$2:$R$9000,2,FALSE)</f>
        <v>H</v>
      </c>
      <c r="K1121" s="15" t="str">
        <f>VLOOKUP(A1121,sinap!$A$2:$R$9000,3,FALSE)</f>
        <v>VACA</v>
      </c>
      <c r="L1121" s="15" t="str">
        <f>VLOOKUP(A1121,sinap!$A$2:$R$9000,4,FALSE)</f>
        <v>ANGUS NEGRO</v>
      </c>
      <c r="M1121" s="15" t="str">
        <f>VLOOKUP(A1121,sinap!$A$2:$R$9000,5,FALSE)</f>
        <v>4 años 3 meses</v>
      </c>
      <c r="N1121" s="15" t="str">
        <f>VLOOKUP(A1121,sinap!$A$2:$R$9000,6,FALSE)</f>
        <v>30-09-2021</v>
      </c>
      <c r="O1121" s="15" t="str">
        <f>VLOOKUP(A1121,sinap!$A$2:$R$9000,7,FALSE)</f>
        <v>Vivo</v>
      </c>
      <c r="P1121" s="15" t="str">
        <f>VLOOKUP(A1121,sinap!$A$2:$R$9000,8,FALSE)</f>
        <v>11.1.01.1241</v>
      </c>
      <c r="Q1121" s="15" t="str">
        <f>VLOOKUP(A1121,sinap!$A$2:$R$9000,12,FALSE)</f>
        <v>11.1.01.1022</v>
      </c>
      <c r="R1121" s="15" t="str">
        <f>VLOOKUP(A1121,sinap!$A$2:$R$9000,16,FALSE)</f>
        <v>11.1.01.1241</v>
      </c>
      <c r="S1121" s="15" t="str">
        <f>VLOOKUP(A1121,sinap!$A$2:$Y$9000,20,FALSE)</f>
        <v>SI</v>
      </c>
    </row>
    <row r="1122" spans="1:19" hidden="1" x14ac:dyDescent="0.25">
      <c r="A1122" s="15">
        <v>20910365</v>
      </c>
      <c r="H1122" s="16">
        <v>45648</v>
      </c>
      <c r="I1122" s="16">
        <v>45671</v>
      </c>
      <c r="J1122" s="15" t="str">
        <f>VLOOKUP(A1122,sinap!$A$2:$R$9000,2,FALSE)</f>
        <v>H</v>
      </c>
      <c r="K1122" s="15" t="str">
        <f>VLOOKUP(A1122,sinap!$A$2:$R$9000,3,FALSE)</f>
        <v>VACA</v>
      </c>
      <c r="L1122" s="15" t="str">
        <f>VLOOKUP(A1122,sinap!$A$2:$R$9000,4,FALSE)</f>
        <v>ANGUS ROJO</v>
      </c>
      <c r="M1122" s="15" t="str">
        <f>VLOOKUP(A1122,sinap!$A$2:$R$9000,5,FALSE)</f>
        <v>4 años 2 meses</v>
      </c>
      <c r="N1122" s="15" t="str">
        <f>VLOOKUP(A1122,sinap!$A$2:$R$9000,6,FALSE)</f>
        <v>28-10-2021</v>
      </c>
      <c r="O1122" s="15" t="str">
        <f>VLOOKUP(A1122,sinap!$A$2:$R$9000,7,FALSE)</f>
        <v>Vivo</v>
      </c>
      <c r="P1122" s="15" t="str">
        <f>VLOOKUP(A1122,sinap!$A$2:$R$9000,8,FALSE)</f>
        <v>11.1.01.1241</v>
      </c>
      <c r="Q1122" s="15" t="str">
        <f>VLOOKUP(A1122,sinap!$A$2:$R$9000,12,FALSE)</f>
        <v>11.2.01.0038</v>
      </c>
      <c r="R1122" s="15" t="str">
        <f>VLOOKUP(A1122,sinap!$A$2:$R$9000,16,FALSE)</f>
        <v>11.1.01.1241</v>
      </c>
      <c r="S1122" s="15" t="str">
        <f>VLOOKUP(A1122,sinap!$A$2:$Y$9000,20,FALSE)</f>
        <v>SI</v>
      </c>
    </row>
    <row r="1123" spans="1:19" hidden="1" x14ac:dyDescent="0.25">
      <c r="A1123" s="15">
        <v>20910367</v>
      </c>
      <c r="H1123" s="16">
        <v>45648</v>
      </c>
      <c r="I1123" s="16">
        <v>45965</v>
      </c>
      <c r="J1123" s="15" t="str">
        <f>VLOOKUP(A1123,sinap!$A$2:$R$9000,2,FALSE)</f>
        <v>H</v>
      </c>
      <c r="K1123" s="15" t="str">
        <f>VLOOKUP(A1123,sinap!$A$2:$R$9000,3,FALSE)</f>
        <v>VACA</v>
      </c>
      <c r="L1123" s="15" t="str">
        <f>VLOOKUP(A1123,sinap!$A$2:$R$9000,4,FALSE)</f>
        <v>ANGUS ROJO</v>
      </c>
      <c r="M1123" s="15" t="str">
        <f>VLOOKUP(A1123,sinap!$A$2:$R$9000,5,FALSE)</f>
        <v>4 años 3 meses</v>
      </c>
      <c r="N1123" s="15" t="str">
        <f>VLOOKUP(A1123,sinap!$A$2:$R$9000,6,FALSE)</f>
        <v>30-09-2021</v>
      </c>
      <c r="O1123" s="15" t="str">
        <f>VLOOKUP(A1123,sinap!$A$2:$R$9000,7,FALSE)</f>
        <v>Vivo</v>
      </c>
      <c r="P1123" s="15" t="str">
        <f>VLOOKUP(A1123,sinap!$A$2:$R$9000,8,FALSE)</f>
        <v>11.1.01.1241</v>
      </c>
      <c r="Q1123" s="15" t="str">
        <f>VLOOKUP(A1123,sinap!$A$2:$R$9000,12,FALSE)</f>
        <v>11.2.01.0038</v>
      </c>
      <c r="R1123" s="15" t="str">
        <f>VLOOKUP(A1123,sinap!$A$2:$R$9000,16,FALSE)</f>
        <v>11.1.01.1241</v>
      </c>
      <c r="S1123" s="15" t="str">
        <f>VLOOKUP(A1123,sinap!$A$2:$Y$9000,20,FALSE)</f>
        <v>SI</v>
      </c>
    </row>
    <row r="1124" spans="1:19" hidden="1" x14ac:dyDescent="0.25">
      <c r="A1124" s="15">
        <v>20910372</v>
      </c>
      <c r="H1124" s="16">
        <v>45648</v>
      </c>
      <c r="I1124" s="16">
        <v>45966</v>
      </c>
      <c r="J1124" s="15" t="str">
        <f>VLOOKUP(A1124,sinap!$A$2:$R$9000,2,FALSE)</f>
        <v>H</v>
      </c>
      <c r="K1124" s="15" t="str">
        <f>VLOOKUP(A1124,sinap!$A$2:$R$9000,3,FALSE)</f>
        <v>VACA</v>
      </c>
      <c r="L1124" s="15" t="str">
        <f>VLOOKUP(A1124,sinap!$A$2:$R$9000,4,FALSE)</f>
        <v>ANGUS NEGRO</v>
      </c>
      <c r="M1124" s="15" t="str">
        <f>VLOOKUP(A1124,sinap!$A$2:$R$9000,5,FALSE)</f>
        <v>4 años 3 meses</v>
      </c>
      <c r="N1124" s="15" t="str">
        <f>VLOOKUP(A1124,sinap!$A$2:$R$9000,6,FALSE)</f>
        <v>30-09-2021</v>
      </c>
      <c r="O1124" s="15" t="str">
        <f>VLOOKUP(A1124,sinap!$A$2:$R$9000,7,FALSE)</f>
        <v>Vivo</v>
      </c>
      <c r="P1124" s="15" t="str">
        <f>VLOOKUP(A1124,sinap!$A$2:$R$9000,8,FALSE)</f>
        <v>11.1.01.2442</v>
      </c>
      <c r="Q1124" s="15" t="str">
        <f>VLOOKUP(A1124,sinap!$A$2:$R$9000,12,FALSE)</f>
        <v>11.1.01.0190</v>
      </c>
      <c r="R1124" s="15" t="str">
        <f>VLOOKUP(A1124,sinap!$A$2:$R$9000,16,FALSE)</f>
        <v>11.1.01.1241</v>
      </c>
      <c r="S1124" s="15" t="str">
        <f>VLOOKUP(A1124,sinap!$A$2:$Y$9000,20,FALSE)</f>
        <v>SI</v>
      </c>
    </row>
    <row r="1125" spans="1:19" hidden="1" x14ac:dyDescent="0.25">
      <c r="A1125" s="15">
        <v>20910373</v>
      </c>
      <c r="H1125" s="16">
        <v>45648</v>
      </c>
      <c r="I1125" s="16">
        <v>45966</v>
      </c>
      <c r="J1125" s="15" t="str">
        <f>VLOOKUP(A1125,sinap!$A$2:$R$9000,2,FALSE)</f>
        <v>H</v>
      </c>
      <c r="K1125" s="15" t="str">
        <f>VLOOKUP(A1125,sinap!$A$2:$R$9000,3,FALSE)</f>
        <v>VACA</v>
      </c>
      <c r="L1125" s="15" t="str">
        <f>VLOOKUP(A1125,sinap!$A$2:$R$9000,4,FALSE)</f>
        <v>ANGUS NEGRO</v>
      </c>
      <c r="M1125" s="15" t="str">
        <f>VLOOKUP(A1125,sinap!$A$2:$R$9000,5,FALSE)</f>
        <v>4 años 3 meses</v>
      </c>
      <c r="N1125" s="15" t="str">
        <f>VLOOKUP(A1125,sinap!$A$2:$R$9000,6,FALSE)</f>
        <v>05-10-2021</v>
      </c>
      <c r="O1125" s="15" t="str">
        <f>VLOOKUP(A1125,sinap!$A$2:$R$9000,7,FALSE)</f>
        <v>Vivo</v>
      </c>
      <c r="P1125" s="15" t="str">
        <f>VLOOKUP(A1125,sinap!$A$2:$R$9000,8,FALSE)</f>
        <v>11.1.01.2442</v>
      </c>
      <c r="Q1125" s="15" t="str">
        <f>VLOOKUP(A1125,sinap!$A$2:$R$9000,12,FALSE)</f>
        <v>11.1.01.0190</v>
      </c>
      <c r="R1125" s="15" t="str">
        <f>VLOOKUP(A1125,sinap!$A$2:$R$9000,16,FALSE)</f>
        <v>11.1.01.1241</v>
      </c>
      <c r="S1125" s="15" t="str">
        <f>VLOOKUP(A1125,sinap!$A$2:$Y$9000,20,FALSE)</f>
        <v>SI</v>
      </c>
    </row>
    <row r="1126" spans="1:19" hidden="1" x14ac:dyDescent="0.25">
      <c r="A1126" s="15">
        <v>20910375</v>
      </c>
      <c r="H1126" s="16">
        <v>45648</v>
      </c>
      <c r="I1126" s="16">
        <v>45671</v>
      </c>
      <c r="J1126" s="15" t="str">
        <f>VLOOKUP(A1126,sinap!$A$2:$R$9000,2,FALSE)</f>
        <v>H</v>
      </c>
      <c r="K1126" s="15" t="str">
        <f>VLOOKUP(A1126,sinap!$A$2:$R$9000,3,FALSE)</f>
        <v>VACA</v>
      </c>
      <c r="L1126" s="15" t="str">
        <f>VLOOKUP(A1126,sinap!$A$2:$R$9000,4,FALSE)</f>
        <v>ANGUS NEGRO</v>
      </c>
      <c r="M1126" s="15" t="str">
        <f>VLOOKUP(A1126,sinap!$A$2:$R$9000,5,FALSE)</f>
        <v>4 años 3 meses</v>
      </c>
      <c r="N1126" s="15" t="str">
        <f>VLOOKUP(A1126,sinap!$A$2:$R$9000,6,FALSE)</f>
        <v>05-10-2021</v>
      </c>
      <c r="O1126" s="15" t="str">
        <f>VLOOKUP(A1126,sinap!$A$2:$R$9000,7,FALSE)</f>
        <v>Vivo</v>
      </c>
      <c r="P1126" s="15" t="str">
        <f>VLOOKUP(A1126,sinap!$A$2:$R$9000,8,FALSE)</f>
        <v>11.1.01.1241</v>
      </c>
      <c r="Q1126" s="15" t="str">
        <f>VLOOKUP(A1126,sinap!$A$2:$R$9000,12,FALSE)</f>
        <v>11.1.01.1022</v>
      </c>
      <c r="R1126" s="15" t="str">
        <f>VLOOKUP(A1126,sinap!$A$2:$R$9000,16,FALSE)</f>
        <v>11.1.01.1241</v>
      </c>
      <c r="S1126" s="15" t="str">
        <f>VLOOKUP(A1126,sinap!$A$2:$Y$9000,20,FALSE)</f>
        <v>SI</v>
      </c>
    </row>
    <row r="1127" spans="1:19" hidden="1" x14ac:dyDescent="0.25">
      <c r="A1127" s="15">
        <v>20910376</v>
      </c>
      <c r="H1127" s="16">
        <v>45648</v>
      </c>
      <c r="I1127" s="16">
        <v>45671</v>
      </c>
      <c r="J1127" s="15" t="str">
        <f>VLOOKUP(A1127,sinap!$A$2:$R$9000,2,FALSE)</f>
        <v>H</v>
      </c>
      <c r="K1127" s="15" t="str">
        <f>VLOOKUP(A1127,sinap!$A$2:$R$9000,3,FALSE)</f>
        <v>VACA</v>
      </c>
      <c r="L1127" s="15" t="str">
        <f>VLOOKUP(A1127,sinap!$A$2:$R$9000,4,FALSE)</f>
        <v>ANGUS NEGRO</v>
      </c>
      <c r="M1127" s="15" t="str">
        <f>VLOOKUP(A1127,sinap!$A$2:$R$9000,5,FALSE)</f>
        <v>4 años 2 meses</v>
      </c>
      <c r="N1127" s="15" t="str">
        <f>VLOOKUP(A1127,sinap!$A$2:$R$9000,6,FALSE)</f>
        <v>20-10-2021</v>
      </c>
      <c r="O1127" s="15" t="str">
        <f>VLOOKUP(A1127,sinap!$A$2:$R$9000,7,FALSE)</f>
        <v>Vivo</v>
      </c>
      <c r="P1127" s="15" t="str">
        <f>VLOOKUP(A1127,sinap!$A$2:$R$9000,8,FALSE)</f>
        <v>11.1.01.1241</v>
      </c>
      <c r="Q1127" s="15" t="str">
        <f>VLOOKUP(A1127,sinap!$A$2:$R$9000,12,FALSE)</f>
        <v>11.2.01.0038</v>
      </c>
      <c r="R1127" s="15" t="str">
        <f>VLOOKUP(A1127,sinap!$A$2:$R$9000,16,FALSE)</f>
        <v>11.1.01.1241</v>
      </c>
      <c r="S1127" s="15" t="str">
        <f>VLOOKUP(A1127,sinap!$A$2:$Y$9000,20,FALSE)</f>
        <v>SI</v>
      </c>
    </row>
    <row r="1128" spans="1:19" hidden="1" x14ac:dyDescent="0.25">
      <c r="A1128" s="15">
        <v>20910379</v>
      </c>
      <c r="B1128" s="15">
        <v>2636175</v>
      </c>
      <c r="I1128" s="16">
        <v>45965</v>
      </c>
      <c r="J1128" s="15" t="str">
        <f>VLOOKUP(A1128,sinap!$A$2:$R$9000,2,FALSE)</f>
        <v>M</v>
      </c>
      <c r="K1128" s="15" t="str">
        <f>VLOOKUP(A1128,sinap!$A$2:$R$9000,3,FALSE)</f>
        <v>TORO</v>
      </c>
      <c r="L1128" s="15" t="str">
        <f>VLOOKUP(A1128,sinap!$A$2:$R$9000,4,FALSE)</f>
        <v>ANGUS NEGRO</v>
      </c>
      <c r="M1128" s="15" t="str">
        <f>VLOOKUP(A1128,sinap!$A$2:$R$9000,5,FALSE)</f>
        <v>4 años 3 meses</v>
      </c>
      <c r="N1128" s="15" t="str">
        <f>VLOOKUP(A1128,sinap!$A$2:$R$9000,6,FALSE)</f>
        <v>30-09-2021</v>
      </c>
      <c r="O1128" s="15" t="str">
        <f>VLOOKUP(A1128,sinap!$A$2:$R$9000,7,FALSE)</f>
        <v>Vivo</v>
      </c>
      <c r="P1128" s="15" t="str">
        <f>VLOOKUP(A1128,sinap!$A$2:$R$9000,8,FALSE)</f>
        <v>11.1.01.2442</v>
      </c>
      <c r="Q1128" s="15" t="str">
        <f>VLOOKUP(A1128,sinap!$A$2:$R$9000,12,FALSE)</f>
        <v>11.1.01.0190</v>
      </c>
      <c r="R1128" s="15" t="str">
        <f>VLOOKUP(A1128,sinap!$A$2:$R$9000,16,FALSE)</f>
        <v>11.1.01.1241</v>
      </c>
      <c r="S1128" s="15" t="str">
        <f>VLOOKUP(A1128,sinap!$A$2:$Y$9000,20,FALSE)</f>
        <v>SI</v>
      </c>
    </row>
    <row r="1129" spans="1:19" hidden="1" x14ac:dyDescent="0.25">
      <c r="A1129" s="15">
        <v>20910380</v>
      </c>
      <c r="B1129" s="15">
        <v>2636174</v>
      </c>
      <c r="I1129" s="16">
        <v>45818</v>
      </c>
      <c r="J1129" s="15" t="str">
        <f>VLOOKUP(A1129,sinap!$A$2:$R$9000,2,FALSE)</f>
        <v>M</v>
      </c>
      <c r="K1129" s="15" t="str">
        <f>VLOOKUP(A1129,sinap!$A$2:$R$9000,3,FALSE)</f>
        <v>TORO</v>
      </c>
      <c r="L1129" s="15" t="str">
        <f>VLOOKUP(A1129,sinap!$A$2:$R$9000,4,FALSE)</f>
        <v>ANGUS NEGRO</v>
      </c>
      <c r="M1129" s="15" t="str">
        <f>VLOOKUP(A1129,sinap!$A$2:$R$9000,5,FALSE)</f>
        <v>4 años 3 meses</v>
      </c>
      <c r="N1129" s="15" t="str">
        <f>VLOOKUP(A1129,sinap!$A$2:$R$9000,6,FALSE)</f>
        <v>30-09-2021</v>
      </c>
      <c r="O1129" s="15" t="str">
        <f>VLOOKUP(A1129,sinap!$A$2:$R$9000,7,FALSE)</f>
        <v>Vivo</v>
      </c>
      <c r="P1129" s="15" t="str">
        <f>VLOOKUP(A1129,sinap!$A$2:$R$9000,8,FALSE)</f>
        <v>11.1.01.1241</v>
      </c>
      <c r="Q1129" s="15" t="str">
        <f>VLOOKUP(A1129,sinap!$A$2:$R$9000,12,FALSE)</f>
        <v>Sin Movimiento</v>
      </c>
      <c r="R1129" s="15" t="str">
        <f>VLOOKUP(A1129,sinap!$A$2:$R$9000,16,FALSE)</f>
        <v>11.1.01.1241</v>
      </c>
      <c r="S1129" s="15" t="str">
        <f>VLOOKUP(A1129,sinap!$A$2:$Y$9000,20,FALSE)</f>
        <v>SI</v>
      </c>
    </row>
    <row r="1130" spans="1:19" hidden="1" x14ac:dyDescent="0.25">
      <c r="A1130" s="15">
        <v>20910381</v>
      </c>
      <c r="J1130" s="15" t="str">
        <f>VLOOKUP(A1130,sinap!$A$2:$R$9000,2,FALSE)</f>
        <v>H</v>
      </c>
      <c r="K1130" s="15" t="str">
        <f>VLOOKUP(A1130,sinap!$A$2:$R$9000,3,FALSE)</f>
        <v>VACA</v>
      </c>
      <c r="L1130" s="15" t="str">
        <f>VLOOKUP(A1130,sinap!$A$2:$R$9000,4,FALSE)</f>
        <v>ANGUS NEGRO</v>
      </c>
      <c r="M1130" s="15" t="str">
        <f>VLOOKUP(A1130,sinap!$A$2:$R$9000,5,FALSE)</f>
        <v>4 años 3 meses</v>
      </c>
      <c r="N1130" s="15" t="str">
        <f>VLOOKUP(A1130,sinap!$A$2:$R$9000,6,FALSE)</f>
        <v>30-09-2021</v>
      </c>
      <c r="O1130" s="15" t="str">
        <f>VLOOKUP(A1130,sinap!$A$2:$R$9000,7,FALSE)</f>
        <v>Vivo</v>
      </c>
      <c r="P1130" s="15" t="str">
        <f>VLOOKUP(A1130,sinap!$A$2:$R$9000,8,FALSE)</f>
        <v>11.1.01.1241</v>
      </c>
      <c r="Q1130" s="15" t="str">
        <f>VLOOKUP(A1130,sinap!$A$2:$R$9000,12,FALSE)</f>
        <v>11.2.01.0038</v>
      </c>
      <c r="R1130" s="15" t="str">
        <f>VLOOKUP(A1130,sinap!$A$2:$R$9000,16,FALSE)</f>
        <v>11.1.01.1241</v>
      </c>
      <c r="S1130" s="15" t="str">
        <f>VLOOKUP(A1130,sinap!$A$2:$Y$9000,20,FALSE)</f>
        <v>SI</v>
      </c>
    </row>
    <row r="1131" spans="1:19" hidden="1" x14ac:dyDescent="0.25">
      <c r="A1131" s="15">
        <v>20910385</v>
      </c>
      <c r="J1131" s="15" t="str">
        <f>VLOOKUP(A1131,sinap!$A$2:$R$9000,2,FALSE)</f>
        <v>H</v>
      </c>
      <c r="K1131" s="15" t="str">
        <f>VLOOKUP(A1131,sinap!$A$2:$R$9000,3,FALSE)</f>
        <v>VACA</v>
      </c>
      <c r="L1131" s="15" t="str">
        <f>VLOOKUP(A1131,sinap!$A$2:$R$9000,4,FALSE)</f>
        <v>ANGUS NEGRO</v>
      </c>
      <c r="M1131" s="15" t="str">
        <f>VLOOKUP(A1131,sinap!$A$2:$R$9000,5,FALSE)</f>
        <v>4 años 3 meses</v>
      </c>
      <c r="N1131" s="15" t="str">
        <f>VLOOKUP(A1131,sinap!$A$2:$R$9000,6,FALSE)</f>
        <v>05-10-2021</v>
      </c>
      <c r="O1131" s="15" t="str">
        <f>VLOOKUP(A1131,sinap!$A$2:$R$9000,7,FALSE)</f>
        <v>Vivo</v>
      </c>
      <c r="P1131" s="15" t="str">
        <f>VLOOKUP(A1131,sinap!$A$2:$R$9000,8,FALSE)</f>
        <v>11.2.01.0038</v>
      </c>
      <c r="Q1131" s="15" t="str">
        <f>VLOOKUP(A1131,sinap!$A$2:$R$9000,12,FALSE)</f>
        <v>11.1.01.0893</v>
      </c>
      <c r="R1131" s="15" t="str">
        <f>VLOOKUP(A1131,sinap!$A$2:$R$9000,16,FALSE)</f>
        <v>11.1.01.1241</v>
      </c>
      <c r="S1131" s="15" t="str">
        <f>VLOOKUP(A1131,sinap!$A$2:$Y$9000,20,FALSE)</f>
        <v>SI</v>
      </c>
    </row>
    <row r="1132" spans="1:19" hidden="1" x14ac:dyDescent="0.25">
      <c r="A1132" s="15">
        <v>20910386</v>
      </c>
      <c r="H1132" s="16">
        <v>45648</v>
      </c>
      <c r="I1132" s="16">
        <v>45671</v>
      </c>
      <c r="J1132" s="15" t="str">
        <f>VLOOKUP(A1132,sinap!$A$2:$R$9000,2,FALSE)</f>
        <v>H</v>
      </c>
      <c r="K1132" s="15" t="str">
        <f>VLOOKUP(A1132,sinap!$A$2:$R$9000,3,FALSE)</f>
        <v>VACA</v>
      </c>
      <c r="L1132" s="15" t="str">
        <f>VLOOKUP(A1132,sinap!$A$2:$R$9000,4,FALSE)</f>
        <v>ANGUS NEGRO</v>
      </c>
      <c r="M1132" s="15" t="str">
        <f>VLOOKUP(A1132,sinap!$A$2:$R$9000,5,FALSE)</f>
        <v>4 años 3 meses</v>
      </c>
      <c r="N1132" s="15" t="str">
        <f>VLOOKUP(A1132,sinap!$A$2:$R$9000,6,FALSE)</f>
        <v>30-09-2021</v>
      </c>
      <c r="O1132" s="15" t="str">
        <f>VLOOKUP(A1132,sinap!$A$2:$R$9000,7,FALSE)</f>
        <v>Vivo</v>
      </c>
      <c r="P1132" s="15" t="str">
        <f>VLOOKUP(A1132,sinap!$A$2:$R$9000,8,FALSE)</f>
        <v>11.1.01.1241</v>
      </c>
      <c r="Q1132" s="15" t="str">
        <f>VLOOKUP(A1132,sinap!$A$2:$R$9000,12,FALSE)</f>
        <v>11.1.01.1022</v>
      </c>
      <c r="R1132" s="15" t="str">
        <f>VLOOKUP(A1132,sinap!$A$2:$R$9000,16,FALSE)</f>
        <v>11.1.01.1241</v>
      </c>
      <c r="S1132" s="15" t="str">
        <f>VLOOKUP(A1132,sinap!$A$2:$Y$9000,20,FALSE)</f>
        <v>SI</v>
      </c>
    </row>
    <row r="1133" spans="1:19" hidden="1" x14ac:dyDescent="0.25">
      <c r="A1133" s="15">
        <v>20910387</v>
      </c>
      <c r="H1133" s="16">
        <v>45648</v>
      </c>
      <c r="I1133" s="16">
        <v>45965</v>
      </c>
      <c r="J1133" s="15" t="str">
        <f>VLOOKUP(A1133,sinap!$A$2:$R$9000,2,FALSE)</f>
        <v>H</v>
      </c>
      <c r="K1133" s="15" t="str">
        <f>VLOOKUP(A1133,sinap!$A$2:$R$9000,3,FALSE)</f>
        <v>VACA</v>
      </c>
      <c r="L1133" s="15" t="str">
        <f>VLOOKUP(A1133,sinap!$A$2:$R$9000,4,FALSE)</f>
        <v>ANGUS NEGRO</v>
      </c>
      <c r="M1133" s="15" t="str">
        <f>VLOOKUP(A1133,sinap!$A$2:$R$9000,5,FALSE)</f>
        <v>4 años 2 meses</v>
      </c>
      <c r="N1133" s="15" t="str">
        <f>VLOOKUP(A1133,sinap!$A$2:$R$9000,6,FALSE)</f>
        <v>20-10-2021</v>
      </c>
      <c r="O1133" s="15" t="str">
        <f>VLOOKUP(A1133,sinap!$A$2:$R$9000,7,FALSE)</f>
        <v>Vivo</v>
      </c>
      <c r="P1133" s="15" t="str">
        <f>VLOOKUP(A1133,sinap!$A$2:$R$9000,8,FALSE)</f>
        <v>11.1.01.1241</v>
      </c>
      <c r="Q1133" s="15" t="str">
        <f>VLOOKUP(A1133,sinap!$A$2:$R$9000,12,FALSE)</f>
        <v>11.2.01.0038</v>
      </c>
      <c r="R1133" s="15" t="str">
        <f>VLOOKUP(A1133,sinap!$A$2:$R$9000,16,FALSE)</f>
        <v>11.1.01.1241</v>
      </c>
      <c r="S1133" s="15" t="str">
        <f>VLOOKUP(A1133,sinap!$A$2:$Y$9000,20,FALSE)</f>
        <v>SI</v>
      </c>
    </row>
    <row r="1134" spans="1:19" hidden="1" x14ac:dyDescent="0.25">
      <c r="A1134" s="15">
        <v>20910389</v>
      </c>
      <c r="H1134" s="16">
        <v>45648</v>
      </c>
      <c r="I1134" s="16">
        <v>45965</v>
      </c>
      <c r="J1134" s="15" t="str">
        <f>VLOOKUP(A1134,sinap!$A$2:$R$9000,2,FALSE)</f>
        <v>H</v>
      </c>
      <c r="K1134" s="15" t="str">
        <f>VLOOKUP(A1134,sinap!$A$2:$R$9000,3,FALSE)</f>
        <v>VACA</v>
      </c>
      <c r="L1134" s="15" t="str">
        <f>VLOOKUP(A1134,sinap!$A$2:$R$9000,4,FALSE)</f>
        <v>ANGUS NEGRO</v>
      </c>
      <c r="M1134" s="15" t="str">
        <f>VLOOKUP(A1134,sinap!$A$2:$R$9000,5,FALSE)</f>
        <v>4 años 2 meses</v>
      </c>
      <c r="N1134" s="15" t="str">
        <f>VLOOKUP(A1134,sinap!$A$2:$R$9000,6,FALSE)</f>
        <v>20-10-2021</v>
      </c>
      <c r="O1134" s="15" t="str">
        <f>VLOOKUP(A1134,sinap!$A$2:$R$9000,7,FALSE)</f>
        <v>Vivo</v>
      </c>
      <c r="P1134" s="15" t="str">
        <f>VLOOKUP(A1134,sinap!$A$2:$R$9000,8,FALSE)</f>
        <v>11.1.01.1241</v>
      </c>
      <c r="Q1134" s="15" t="str">
        <f>VLOOKUP(A1134,sinap!$A$2:$R$9000,12,FALSE)</f>
        <v>11.2.01.0038</v>
      </c>
      <c r="R1134" s="15" t="str">
        <f>VLOOKUP(A1134,sinap!$A$2:$R$9000,16,FALSE)</f>
        <v>11.1.01.1241</v>
      </c>
      <c r="S1134" s="15" t="str">
        <f>VLOOKUP(A1134,sinap!$A$2:$Y$9000,20,FALSE)</f>
        <v>SI</v>
      </c>
    </row>
    <row r="1135" spans="1:19" hidden="1" x14ac:dyDescent="0.25">
      <c r="A1135" s="15">
        <v>20910390</v>
      </c>
      <c r="H1135" s="16">
        <v>45648</v>
      </c>
      <c r="I1135" s="16">
        <v>45671</v>
      </c>
      <c r="J1135" s="15" t="str">
        <f>VLOOKUP(A1135,sinap!$A$2:$R$9000,2,FALSE)</f>
        <v>H</v>
      </c>
      <c r="K1135" s="15" t="str">
        <f>VLOOKUP(A1135,sinap!$A$2:$R$9000,3,FALSE)</f>
        <v>VACA</v>
      </c>
      <c r="L1135" s="15" t="str">
        <f>VLOOKUP(A1135,sinap!$A$2:$R$9000,4,FALSE)</f>
        <v>ANGUS NEGRO</v>
      </c>
      <c r="M1135" s="15" t="str">
        <f>VLOOKUP(A1135,sinap!$A$2:$R$9000,5,FALSE)</f>
        <v>4 años 3 meses</v>
      </c>
      <c r="N1135" s="15" t="str">
        <f>VLOOKUP(A1135,sinap!$A$2:$R$9000,6,FALSE)</f>
        <v>05-10-2021</v>
      </c>
      <c r="O1135" s="15" t="str">
        <f>VLOOKUP(A1135,sinap!$A$2:$R$9000,7,FALSE)</f>
        <v>Vivo</v>
      </c>
      <c r="P1135" s="15" t="str">
        <f>VLOOKUP(A1135,sinap!$A$2:$R$9000,8,FALSE)</f>
        <v>11.1.01.1241</v>
      </c>
      <c r="Q1135" s="15" t="str">
        <f>VLOOKUP(A1135,sinap!$A$2:$R$9000,12,FALSE)</f>
        <v>11.2.01.0038</v>
      </c>
      <c r="R1135" s="15" t="str">
        <f>VLOOKUP(A1135,sinap!$A$2:$R$9000,16,FALSE)</f>
        <v>11.1.01.1241</v>
      </c>
      <c r="S1135" s="15" t="str">
        <f>VLOOKUP(A1135,sinap!$A$2:$Y$9000,20,FALSE)</f>
        <v>SI</v>
      </c>
    </row>
    <row r="1136" spans="1:19" hidden="1" x14ac:dyDescent="0.25">
      <c r="A1136" s="15">
        <v>20910392</v>
      </c>
      <c r="H1136" s="16">
        <v>45648</v>
      </c>
      <c r="I1136" s="16">
        <v>45965</v>
      </c>
      <c r="J1136" s="15" t="str">
        <f>VLOOKUP(A1136,sinap!$A$2:$R$9000,2,FALSE)</f>
        <v>H</v>
      </c>
      <c r="K1136" s="15" t="str">
        <f>VLOOKUP(A1136,sinap!$A$2:$R$9000,3,FALSE)</f>
        <v>VACA</v>
      </c>
      <c r="L1136" s="15" t="str">
        <f>VLOOKUP(A1136,sinap!$A$2:$R$9000,4,FALSE)</f>
        <v>ANGUS NEGRO</v>
      </c>
      <c r="M1136" s="15" t="str">
        <f>VLOOKUP(A1136,sinap!$A$2:$R$9000,5,FALSE)</f>
        <v>4 años 3 meses</v>
      </c>
      <c r="N1136" s="15" t="str">
        <f>VLOOKUP(A1136,sinap!$A$2:$R$9000,6,FALSE)</f>
        <v>05-10-2021</v>
      </c>
      <c r="O1136" s="15" t="str">
        <f>VLOOKUP(A1136,sinap!$A$2:$R$9000,7,FALSE)</f>
        <v>Vivo</v>
      </c>
      <c r="P1136" s="15" t="str">
        <f>VLOOKUP(A1136,sinap!$A$2:$R$9000,8,FALSE)</f>
        <v>11.1.01.1241</v>
      </c>
      <c r="Q1136" s="15" t="str">
        <f>VLOOKUP(A1136,sinap!$A$2:$R$9000,12,FALSE)</f>
        <v>11.2.01.0038</v>
      </c>
      <c r="R1136" s="15" t="str">
        <f>VLOOKUP(A1136,sinap!$A$2:$R$9000,16,FALSE)</f>
        <v>11.1.01.1241</v>
      </c>
      <c r="S1136" s="15" t="str">
        <f>VLOOKUP(A1136,sinap!$A$2:$Y$9000,20,FALSE)</f>
        <v>SI</v>
      </c>
    </row>
    <row r="1137" spans="1:19" hidden="1" x14ac:dyDescent="0.25">
      <c r="A1137" s="15">
        <v>20910393</v>
      </c>
      <c r="J1137" s="15" t="str">
        <f>VLOOKUP(A1137,sinap!$A$2:$R$9000,2,FALSE)</f>
        <v>H</v>
      </c>
      <c r="K1137" s="15" t="str">
        <f>VLOOKUP(A1137,sinap!$A$2:$R$9000,3,FALSE)</f>
        <v>VACA</v>
      </c>
      <c r="L1137" s="15" t="str">
        <f>VLOOKUP(A1137,sinap!$A$2:$R$9000,4,FALSE)</f>
        <v>ANGUS NEGRO</v>
      </c>
      <c r="M1137" s="15" t="str">
        <f>VLOOKUP(A1137,sinap!$A$2:$R$9000,5,FALSE)</f>
        <v>4 años 2 meses</v>
      </c>
      <c r="N1137" s="15" t="str">
        <f>VLOOKUP(A1137,sinap!$A$2:$R$9000,6,FALSE)</f>
        <v>25-10-2021</v>
      </c>
      <c r="O1137" s="15" t="str">
        <f>VLOOKUP(A1137,sinap!$A$2:$R$9000,7,FALSE)</f>
        <v>Vivo</v>
      </c>
      <c r="P1137" s="15" t="str">
        <f>VLOOKUP(A1137,sinap!$A$2:$R$9000,8,FALSE)</f>
        <v>11.1.01.1241</v>
      </c>
      <c r="Q1137" s="15" t="str">
        <f>VLOOKUP(A1137,sinap!$A$2:$R$9000,12,FALSE)</f>
        <v>Sin Movimiento</v>
      </c>
      <c r="R1137" s="15" t="str">
        <f>VLOOKUP(A1137,sinap!$A$2:$R$9000,16,FALSE)</f>
        <v>11.1.01.1241</v>
      </c>
      <c r="S1137" s="15" t="str">
        <f>VLOOKUP(A1137,sinap!$A$2:$Y$9000,20,FALSE)</f>
        <v>SI</v>
      </c>
    </row>
    <row r="1138" spans="1:19" hidden="1" x14ac:dyDescent="0.25">
      <c r="A1138" s="15">
        <v>20910398</v>
      </c>
      <c r="J1138" s="15" t="str">
        <f>VLOOKUP(A1138,sinap!$A$2:$R$9000,2,FALSE)</f>
        <v>M</v>
      </c>
      <c r="K1138" s="15" t="str">
        <f>VLOOKUP(A1138,sinap!$A$2:$R$9000,3,FALSE)</f>
        <v>TORO</v>
      </c>
      <c r="L1138" s="15" t="str">
        <f>VLOOKUP(A1138,sinap!$A$2:$R$9000,4,FALSE)</f>
        <v>ANGUS NEGRO</v>
      </c>
      <c r="M1138" s="15" t="str">
        <f>VLOOKUP(A1138,sinap!$A$2:$R$9000,5,FALSE)</f>
        <v>4 años 3 meses</v>
      </c>
      <c r="N1138" s="15" t="str">
        <f>VLOOKUP(A1138,sinap!$A$2:$R$9000,6,FALSE)</f>
        <v>11-10-2021</v>
      </c>
      <c r="O1138" s="15" t="str">
        <f>VLOOKUP(A1138,sinap!$A$2:$R$9000,7,FALSE)</f>
        <v>Vivo</v>
      </c>
      <c r="P1138" s="15" t="str">
        <f>VLOOKUP(A1138,sinap!$A$2:$R$9000,8,FALSE)</f>
        <v>11.1.01.1241</v>
      </c>
      <c r="Q1138" s="15" t="str">
        <f>VLOOKUP(A1138,sinap!$A$2:$R$9000,12,FALSE)</f>
        <v>Sin Movimiento</v>
      </c>
      <c r="R1138" s="15" t="str">
        <f>VLOOKUP(A1138,sinap!$A$2:$R$9000,16,FALSE)</f>
        <v>11.1.01.1241</v>
      </c>
      <c r="S1138" s="15" t="str">
        <f>VLOOKUP(A1138,sinap!$A$2:$Y$9000,20,FALSE)</f>
        <v>SI</v>
      </c>
    </row>
    <row r="1139" spans="1:19" hidden="1" x14ac:dyDescent="0.25">
      <c r="A1139" s="15">
        <v>20910404</v>
      </c>
      <c r="H1139" s="16">
        <v>45648</v>
      </c>
      <c r="I1139" s="16">
        <v>45671</v>
      </c>
      <c r="J1139" s="15" t="str">
        <f>VLOOKUP(A1139,sinap!$A$2:$R$9000,2,FALSE)</f>
        <v>H</v>
      </c>
      <c r="K1139" s="15" t="str">
        <f>VLOOKUP(A1139,sinap!$A$2:$R$9000,3,FALSE)</f>
        <v>VACA</v>
      </c>
      <c r="L1139" s="15" t="str">
        <f>VLOOKUP(A1139,sinap!$A$2:$R$9000,4,FALSE)</f>
        <v>ANGUS NEGRO</v>
      </c>
      <c r="M1139" s="15" t="str">
        <f>VLOOKUP(A1139,sinap!$A$2:$R$9000,5,FALSE)</f>
        <v>4 años 2 meses</v>
      </c>
      <c r="N1139" s="15" t="str">
        <f>VLOOKUP(A1139,sinap!$A$2:$R$9000,6,FALSE)</f>
        <v>20-10-2021</v>
      </c>
      <c r="O1139" s="15" t="str">
        <f>VLOOKUP(A1139,sinap!$A$2:$R$9000,7,FALSE)</f>
        <v>Vivo</v>
      </c>
      <c r="P1139" s="15" t="str">
        <f>VLOOKUP(A1139,sinap!$A$2:$R$9000,8,FALSE)</f>
        <v>11.1.01.1241</v>
      </c>
      <c r="Q1139" s="15" t="str">
        <f>VLOOKUP(A1139,sinap!$A$2:$R$9000,12,FALSE)</f>
        <v>11.1.01.1022</v>
      </c>
      <c r="R1139" s="15" t="str">
        <f>VLOOKUP(A1139,sinap!$A$2:$R$9000,16,FALSE)</f>
        <v>11.1.01.1241</v>
      </c>
      <c r="S1139" s="15" t="str">
        <f>VLOOKUP(A1139,sinap!$A$2:$Y$9000,20,FALSE)</f>
        <v>SI</v>
      </c>
    </row>
    <row r="1140" spans="1:19" hidden="1" x14ac:dyDescent="0.25">
      <c r="A1140" s="15">
        <v>20910405</v>
      </c>
      <c r="J1140" s="15" t="str">
        <f>VLOOKUP(A1140,sinap!$A$2:$R$9000,2,FALSE)</f>
        <v>M</v>
      </c>
      <c r="K1140" s="15" t="str">
        <f>VLOOKUP(A1140,sinap!$A$2:$R$9000,3,FALSE)</f>
        <v>TORO</v>
      </c>
      <c r="L1140" s="15" t="str">
        <f>VLOOKUP(A1140,sinap!$A$2:$R$9000,4,FALSE)</f>
        <v>ANGUS NEGRO</v>
      </c>
      <c r="M1140" s="15" t="str">
        <f>VLOOKUP(A1140,sinap!$A$2:$R$9000,5,FALSE)</f>
        <v>4 años 3 meses</v>
      </c>
      <c r="N1140" s="15" t="str">
        <f>VLOOKUP(A1140,sinap!$A$2:$R$9000,6,FALSE)</f>
        <v>05-10-2021</v>
      </c>
      <c r="O1140" s="15" t="str">
        <f>VLOOKUP(A1140,sinap!$A$2:$R$9000,7,FALSE)</f>
        <v>Vivo</v>
      </c>
      <c r="P1140" s="15" t="str">
        <f>VLOOKUP(A1140,sinap!$A$2:$R$9000,8,FALSE)</f>
        <v>11.1.01.1241</v>
      </c>
      <c r="Q1140" s="15" t="str">
        <f>VLOOKUP(A1140,sinap!$A$2:$R$9000,12,FALSE)</f>
        <v>Sin Movimiento</v>
      </c>
      <c r="R1140" s="15" t="str">
        <f>VLOOKUP(A1140,sinap!$A$2:$R$9000,16,FALSE)</f>
        <v>11.1.01.1241</v>
      </c>
      <c r="S1140" s="15" t="str">
        <f>VLOOKUP(A1140,sinap!$A$2:$Y$9000,20,FALSE)</f>
        <v>SI</v>
      </c>
    </row>
    <row r="1141" spans="1:19" hidden="1" x14ac:dyDescent="0.25">
      <c r="A1141" s="15">
        <v>20910410</v>
      </c>
      <c r="J1141" s="15" t="str">
        <f>VLOOKUP(A1141,sinap!$A$2:$R$9000,2,FALSE)</f>
        <v>H</v>
      </c>
      <c r="K1141" s="15" t="str">
        <f>VLOOKUP(A1141,sinap!$A$2:$R$9000,3,FALSE)</f>
        <v>VACA</v>
      </c>
      <c r="L1141" s="15" t="str">
        <f>VLOOKUP(A1141,sinap!$A$2:$R$9000,4,FALSE)</f>
        <v>ANGUS ROJO</v>
      </c>
      <c r="M1141" s="15" t="str">
        <f>VLOOKUP(A1141,sinap!$A$2:$R$9000,5,FALSE)</f>
        <v>4 años 2 meses</v>
      </c>
      <c r="N1141" s="15" t="str">
        <f>VLOOKUP(A1141,sinap!$A$2:$R$9000,6,FALSE)</f>
        <v>25-10-2021</v>
      </c>
      <c r="O1141" s="15" t="str">
        <f>VLOOKUP(A1141,sinap!$A$2:$R$9000,7,FALSE)</f>
        <v>Vivo</v>
      </c>
      <c r="P1141" s="15" t="str">
        <f>VLOOKUP(A1141,sinap!$A$2:$R$9000,8,FALSE)</f>
        <v>11.1.01.1241</v>
      </c>
      <c r="Q1141" s="15" t="str">
        <f>VLOOKUP(A1141,sinap!$A$2:$R$9000,12,FALSE)</f>
        <v>Sin Movimiento</v>
      </c>
      <c r="R1141" s="15" t="str">
        <f>VLOOKUP(A1141,sinap!$A$2:$R$9000,16,FALSE)</f>
        <v>11.1.01.1241</v>
      </c>
      <c r="S1141" s="15" t="str">
        <f>VLOOKUP(A1141,sinap!$A$2:$Y$9000,20,FALSE)</f>
        <v>SI</v>
      </c>
    </row>
    <row r="1142" spans="1:19" hidden="1" x14ac:dyDescent="0.25">
      <c r="A1142" s="15">
        <v>20910412</v>
      </c>
      <c r="H1142" s="16">
        <v>45648</v>
      </c>
      <c r="I1142" s="16">
        <v>45671</v>
      </c>
      <c r="J1142" s="15" t="str">
        <f>VLOOKUP(A1142,sinap!$A$2:$R$9000,2,FALSE)</f>
        <v>H</v>
      </c>
      <c r="K1142" s="15" t="str">
        <f>VLOOKUP(A1142,sinap!$A$2:$R$9000,3,FALSE)</f>
        <v>VACA</v>
      </c>
      <c r="L1142" s="15" t="str">
        <f>VLOOKUP(A1142,sinap!$A$2:$R$9000,4,FALSE)</f>
        <v>ANGUS ROJO</v>
      </c>
      <c r="M1142" s="15" t="str">
        <f>VLOOKUP(A1142,sinap!$A$2:$R$9000,5,FALSE)</f>
        <v>4 años 2 meses</v>
      </c>
      <c r="N1142" s="15" t="str">
        <f>VLOOKUP(A1142,sinap!$A$2:$R$9000,6,FALSE)</f>
        <v>25-10-2021</v>
      </c>
      <c r="O1142" s="15" t="str">
        <f>VLOOKUP(A1142,sinap!$A$2:$R$9000,7,FALSE)</f>
        <v>Vivo</v>
      </c>
      <c r="P1142" s="15" t="str">
        <f>VLOOKUP(A1142,sinap!$A$2:$R$9000,8,FALSE)</f>
        <v>11.1.01.1241</v>
      </c>
      <c r="Q1142" s="15" t="str">
        <f>VLOOKUP(A1142,sinap!$A$2:$R$9000,12,FALSE)</f>
        <v>11.2.01.0038</v>
      </c>
      <c r="R1142" s="15" t="str">
        <f>VLOOKUP(A1142,sinap!$A$2:$R$9000,16,FALSE)</f>
        <v>11.1.01.1241</v>
      </c>
      <c r="S1142" s="15" t="str">
        <f>VLOOKUP(A1142,sinap!$A$2:$Y$9000,20,FALSE)</f>
        <v>SI</v>
      </c>
    </row>
    <row r="1143" spans="1:19" hidden="1" x14ac:dyDescent="0.25">
      <c r="A1143" s="15">
        <v>20910420</v>
      </c>
      <c r="H1143" s="16">
        <v>45648</v>
      </c>
      <c r="I1143" s="16">
        <v>45966</v>
      </c>
      <c r="J1143" s="15" t="str">
        <f>VLOOKUP(A1143,sinap!$A$2:$R$9000,2,FALSE)</f>
        <v>H</v>
      </c>
      <c r="K1143" s="15" t="str">
        <f>VLOOKUP(A1143,sinap!$A$2:$R$9000,3,FALSE)</f>
        <v>VACA</v>
      </c>
      <c r="L1143" s="15" t="str">
        <f>VLOOKUP(A1143,sinap!$A$2:$R$9000,4,FALSE)</f>
        <v>ANGUS NEGRO</v>
      </c>
      <c r="M1143" s="15" t="str">
        <f>VLOOKUP(A1143,sinap!$A$2:$R$9000,5,FALSE)</f>
        <v>4 años 2 meses</v>
      </c>
      <c r="N1143" s="15" t="str">
        <f>VLOOKUP(A1143,sinap!$A$2:$R$9000,6,FALSE)</f>
        <v>20-10-2021</v>
      </c>
      <c r="O1143" s="15" t="str">
        <f>VLOOKUP(A1143,sinap!$A$2:$R$9000,7,FALSE)</f>
        <v>Vivo</v>
      </c>
      <c r="P1143" s="15" t="str">
        <f>VLOOKUP(A1143,sinap!$A$2:$R$9000,8,FALSE)</f>
        <v>11.1.01.2442</v>
      </c>
      <c r="Q1143" s="15" t="str">
        <f>VLOOKUP(A1143,sinap!$A$2:$R$9000,12,FALSE)</f>
        <v>11.1.01.0190</v>
      </c>
      <c r="R1143" s="15" t="str">
        <f>VLOOKUP(A1143,sinap!$A$2:$R$9000,16,FALSE)</f>
        <v>11.1.01.1241</v>
      </c>
      <c r="S1143" s="15" t="str">
        <f>VLOOKUP(A1143,sinap!$A$2:$Y$9000,20,FALSE)</f>
        <v>SI</v>
      </c>
    </row>
    <row r="1144" spans="1:19" hidden="1" x14ac:dyDescent="0.25">
      <c r="A1144" s="15">
        <v>20910428</v>
      </c>
      <c r="H1144" s="16">
        <v>45648</v>
      </c>
      <c r="I1144" s="16">
        <v>45671</v>
      </c>
      <c r="J1144" s="15" t="str">
        <f>VLOOKUP(A1144,sinap!$A$2:$R$9000,2,FALSE)</f>
        <v>H</v>
      </c>
      <c r="K1144" s="15" t="str">
        <f>VLOOKUP(A1144,sinap!$A$2:$R$9000,3,FALSE)</f>
        <v>VACA</v>
      </c>
      <c r="L1144" s="15" t="str">
        <f>VLOOKUP(A1144,sinap!$A$2:$R$9000,4,FALSE)</f>
        <v>ANGUS NEGRO</v>
      </c>
      <c r="M1144" s="15" t="str">
        <f>VLOOKUP(A1144,sinap!$A$2:$R$9000,5,FALSE)</f>
        <v>4 años 3 meses</v>
      </c>
      <c r="N1144" s="15" t="str">
        <f>VLOOKUP(A1144,sinap!$A$2:$R$9000,6,FALSE)</f>
        <v>30-09-2021</v>
      </c>
      <c r="O1144" s="15" t="str">
        <f>VLOOKUP(A1144,sinap!$A$2:$R$9000,7,FALSE)</f>
        <v>Vivo</v>
      </c>
      <c r="P1144" s="15" t="str">
        <f>VLOOKUP(A1144,sinap!$A$2:$R$9000,8,FALSE)</f>
        <v>11.1.01.1241</v>
      </c>
      <c r="Q1144" s="15" t="str">
        <f>VLOOKUP(A1144,sinap!$A$2:$R$9000,12,FALSE)</f>
        <v>11.1.01.1022</v>
      </c>
      <c r="R1144" s="15" t="str">
        <f>VLOOKUP(A1144,sinap!$A$2:$R$9000,16,FALSE)</f>
        <v>11.1.01.1241</v>
      </c>
      <c r="S1144" s="15" t="str">
        <f>VLOOKUP(A1144,sinap!$A$2:$Y$9000,20,FALSE)</f>
        <v>SI</v>
      </c>
    </row>
    <row r="1145" spans="1:19" hidden="1" x14ac:dyDescent="0.25">
      <c r="A1145" s="15">
        <v>20910429</v>
      </c>
      <c r="H1145" s="16">
        <v>45648</v>
      </c>
      <c r="I1145" s="16">
        <v>45671</v>
      </c>
      <c r="J1145" s="15" t="str">
        <f>VLOOKUP(A1145,sinap!$A$2:$R$9000,2,FALSE)</f>
        <v>H</v>
      </c>
      <c r="K1145" s="15" t="str">
        <f>VLOOKUP(A1145,sinap!$A$2:$R$9000,3,FALSE)</f>
        <v>VACA</v>
      </c>
      <c r="L1145" s="15" t="str">
        <f>VLOOKUP(A1145,sinap!$A$2:$R$9000,4,FALSE)</f>
        <v>ANGUS NEGRO</v>
      </c>
      <c r="M1145" s="15" t="str">
        <f>VLOOKUP(A1145,sinap!$A$2:$R$9000,5,FALSE)</f>
        <v>4 años 3 meses</v>
      </c>
      <c r="N1145" s="15" t="str">
        <f>VLOOKUP(A1145,sinap!$A$2:$R$9000,6,FALSE)</f>
        <v>05-10-2021</v>
      </c>
      <c r="O1145" s="15" t="str">
        <f>VLOOKUP(A1145,sinap!$A$2:$R$9000,7,FALSE)</f>
        <v>Vivo</v>
      </c>
      <c r="P1145" s="15" t="str">
        <f>VLOOKUP(A1145,sinap!$A$2:$R$9000,8,FALSE)</f>
        <v>11.1.01.2442</v>
      </c>
      <c r="Q1145" s="15" t="str">
        <f>VLOOKUP(A1145,sinap!$A$2:$R$9000,12,FALSE)</f>
        <v>11.1.01.0190</v>
      </c>
      <c r="R1145" s="15" t="str">
        <f>VLOOKUP(A1145,sinap!$A$2:$R$9000,16,FALSE)</f>
        <v>11.1.01.1241</v>
      </c>
      <c r="S1145" s="15" t="str">
        <f>VLOOKUP(A1145,sinap!$A$2:$Y$9000,20,FALSE)</f>
        <v>SI</v>
      </c>
    </row>
    <row r="1146" spans="1:19" hidden="1" x14ac:dyDescent="0.25">
      <c r="A1146" s="15">
        <v>20910436</v>
      </c>
      <c r="H1146" s="16">
        <v>45648</v>
      </c>
      <c r="I1146" s="16">
        <v>45671</v>
      </c>
      <c r="J1146" s="15" t="str">
        <f>VLOOKUP(A1146,sinap!$A$2:$R$9000,2,FALSE)</f>
        <v>H</v>
      </c>
      <c r="K1146" s="15" t="str">
        <f>VLOOKUP(A1146,sinap!$A$2:$R$9000,3,FALSE)</f>
        <v>VACA</v>
      </c>
      <c r="L1146" s="15" t="str">
        <f>VLOOKUP(A1146,sinap!$A$2:$R$9000,4,FALSE)</f>
        <v>ANGUS NEGRO</v>
      </c>
      <c r="M1146" s="15" t="str">
        <f>VLOOKUP(A1146,sinap!$A$2:$R$9000,5,FALSE)</f>
        <v>4 años 2 meses</v>
      </c>
      <c r="N1146" s="15" t="str">
        <f>VLOOKUP(A1146,sinap!$A$2:$R$9000,6,FALSE)</f>
        <v>20-10-2021</v>
      </c>
      <c r="O1146" s="15" t="str">
        <f>VLOOKUP(A1146,sinap!$A$2:$R$9000,7,FALSE)</f>
        <v>Vivo</v>
      </c>
      <c r="P1146" s="15" t="str">
        <f>VLOOKUP(A1146,sinap!$A$2:$R$9000,8,FALSE)</f>
        <v>11.1.01.1241</v>
      </c>
      <c r="Q1146" s="15" t="str">
        <f>VLOOKUP(A1146,sinap!$A$2:$R$9000,12,FALSE)</f>
        <v>11.1.01.1022</v>
      </c>
      <c r="R1146" s="15" t="str">
        <f>VLOOKUP(A1146,sinap!$A$2:$R$9000,16,FALSE)</f>
        <v>11.1.01.1241</v>
      </c>
      <c r="S1146" s="15" t="str">
        <f>VLOOKUP(A1146,sinap!$A$2:$Y$9000,20,FALSE)</f>
        <v>SI</v>
      </c>
    </row>
    <row r="1147" spans="1:19" hidden="1" x14ac:dyDescent="0.25">
      <c r="A1147" s="15">
        <v>20910439</v>
      </c>
      <c r="J1147" s="15" t="str">
        <f>VLOOKUP(A1147,sinap!$A$2:$R$9000,2,FALSE)</f>
        <v>H</v>
      </c>
      <c r="K1147" s="15" t="str">
        <f>VLOOKUP(A1147,sinap!$A$2:$R$9000,3,FALSE)</f>
        <v>VACA</v>
      </c>
      <c r="L1147" s="15" t="str">
        <f>VLOOKUP(A1147,sinap!$A$2:$R$9000,4,FALSE)</f>
        <v>HEREFORD</v>
      </c>
      <c r="M1147" s="15" t="str">
        <f>VLOOKUP(A1147,sinap!$A$2:$R$9000,5,FALSE)</f>
        <v>4 años 2 meses</v>
      </c>
      <c r="N1147" s="15" t="str">
        <f>VLOOKUP(A1147,sinap!$A$2:$R$9000,6,FALSE)</f>
        <v>20-10-2021</v>
      </c>
      <c r="O1147" s="15" t="str">
        <f>VLOOKUP(A1147,sinap!$A$2:$R$9000,7,FALSE)</f>
        <v>Vivo</v>
      </c>
      <c r="P1147" s="15" t="str">
        <f>VLOOKUP(A1147,sinap!$A$2:$R$9000,8,FALSE)</f>
        <v>11.1.01.1241</v>
      </c>
      <c r="Q1147" s="15" t="str">
        <f>VLOOKUP(A1147,sinap!$A$2:$R$9000,12,FALSE)</f>
        <v>Sin Movimiento</v>
      </c>
      <c r="R1147" s="15" t="str">
        <f>VLOOKUP(A1147,sinap!$A$2:$R$9000,16,FALSE)</f>
        <v>11.1.01.1241</v>
      </c>
      <c r="S1147" s="15" t="str">
        <f>VLOOKUP(A1147,sinap!$A$2:$Y$9000,20,FALSE)</f>
        <v>SI</v>
      </c>
    </row>
    <row r="1148" spans="1:19" hidden="1" x14ac:dyDescent="0.25">
      <c r="A1148" s="15">
        <v>20910442</v>
      </c>
      <c r="J1148" s="15" t="str">
        <f>VLOOKUP(A1148,sinap!$A$2:$R$9000,2,FALSE)</f>
        <v>H</v>
      </c>
      <c r="K1148" s="15" t="str">
        <f>VLOOKUP(A1148,sinap!$A$2:$R$9000,3,FALSE)</f>
        <v>VACA</v>
      </c>
      <c r="L1148" s="15" t="str">
        <f>VLOOKUP(A1148,sinap!$A$2:$R$9000,4,FALSE)</f>
        <v>ANGUS NEGRO</v>
      </c>
      <c r="M1148" s="15" t="str">
        <f>VLOOKUP(A1148,sinap!$A$2:$R$9000,5,FALSE)</f>
        <v>4 años 2 meses</v>
      </c>
      <c r="N1148" s="15" t="str">
        <f>VLOOKUP(A1148,sinap!$A$2:$R$9000,6,FALSE)</f>
        <v>20-10-2021</v>
      </c>
      <c r="O1148" s="15" t="str">
        <f>VLOOKUP(A1148,sinap!$A$2:$R$9000,7,FALSE)</f>
        <v>Vivo</v>
      </c>
      <c r="P1148" s="15" t="str">
        <f>VLOOKUP(A1148,sinap!$A$2:$R$9000,8,FALSE)</f>
        <v>11.2.01.0038</v>
      </c>
      <c r="Q1148" s="15" t="str">
        <f>VLOOKUP(A1148,sinap!$A$2:$R$9000,12,FALSE)</f>
        <v>11.1.01.1241</v>
      </c>
      <c r="R1148" s="15" t="str">
        <f>VLOOKUP(A1148,sinap!$A$2:$R$9000,16,FALSE)</f>
        <v>11.1.01.1241</v>
      </c>
      <c r="S1148" s="15" t="str">
        <f>VLOOKUP(A1148,sinap!$A$2:$Y$9000,20,FALSE)</f>
        <v>SI</v>
      </c>
    </row>
    <row r="1149" spans="1:19" hidden="1" x14ac:dyDescent="0.25">
      <c r="A1149" s="15">
        <v>20910443</v>
      </c>
      <c r="J1149" s="15" t="str">
        <f>VLOOKUP(A1149,sinap!$A$2:$R$9000,2,FALSE)</f>
        <v>H</v>
      </c>
      <c r="K1149" s="15" t="str">
        <f>VLOOKUP(A1149,sinap!$A$2:$R$9000,3,FALSE)</f>
        <v>VACA</v>
      </c>
      <c r="L1149" s="15" t="str">
        <f>VLOOKUP(A1149,sinap!$A$2:$R$9000,4,FALSE)</f>
        <v>ANGUS NEGRO</v>
      </c>
      <c r="M1149" s="15" t="str">
        <f>VLOOKUP(A1149,sinap!$A$2:$R$9000,5,FALSE)</f>
        <v>4 años 3 meses</v>
      </c>
      <c r="N1149" s="15" t="str">
        <f>VLOOKUP(A1149,sinap!$A$2:$R$9000,6,FALSE)</f>
        <v>11-10-2021</v>
      </c>
      <c r="O1149" s="15" t="str">
        <f>VLOOKUP(A1149,sinap!$A$2:$R$9000,7,FALSE)</f>
        <v>Vivo</v>
      </c>
      <c r="P1149" s="15" t="str">
        <f>VLOOKUP(A1149,sinap!$A$2:$R$9000,8,FALSE)</f>
        <v>11.2.01.0038</v>
      </c>
      <c r="Q1149" s="15" t="str">
        <f>VLOOKUP(A1149,sinap!$A$2:$R$9000,12,FALSE)</f>
        <v>11.1.01.0893</v>
      </c>
      <c r="R1149" s="15" t="str">
        <f>VLOOKUP(A1149,sinap!$A$2:$R$9000,16,FALSE)</f>
        <v>11.1.01.1241</v>
      </c>
      <c r="S1149" s="15" t="str">
        <f>VLOOKUP(A1149,sinap!$A$2:$Y$9000,20,FALSE)</f>
        <v>SI</v>
      </c>
    </row>
    <row r="1150" spans="1:19" hidden="1" x14ac:dyDescent="0.25">
      <c r="A1150" s="15">
        <v>20910444</v>
      </c>
      <c r="H1150" s="16">
        <v>45648</v>
      </c>
      <c r="I1150" s="16">
        <v>45965</v>
      </c>
      <c r="J1150" s="15" t="str">
        <f>VLOOKUP(A1150,sinap!$A$2:$R$9000,2,FALSE)</f>
        <v>H</v>
      </c>
      <c r="K1150" s="15" t="str">
        <f>VLOOKUP(A1150,sinap!$A$2:$R$9000,3,FALSE)</f>
        <v>VACA</v>
      </c>
      <c r="L1150" s="15" t="str">
        <f>VLOOKUP(A1150,sinap!$A$2:$R$9000,4,FALSE)</f>
        <v>ANGUS NEGRO</v>
      </c>
      <c r="M1150" s="15" t="str">
        <f>VLOOKUP(A1150,sinap!$A$2:$R$9000,5,FALSE)</f>
        <v>4 años 2 meses</v>
      </c>
      <c r="N1150" s="15" t="str">
        <f>VLOOKUP(A1150,sinap!$A$2:$R$9000,6,FALSE)</f>
        <v>25-10-2021</v>
      </c>
      <c r="O1150" s="15" t="str">
        <f>VLOOKUP(A1150,sinap!$A$2:$R$9000,7,FALSE)</f>
        <v>Vivo</v>
      </c>
      <c r="P1150" s="15" t="str">
        <f>VLOOKUP(A1150,sinap!$A$2:$R$9000,8,FALSE)</f>
        <v>11.1.01.2442</v>
      </c>
      <c r="Q1150" s="15" t="str">
        <f>VLOOKUP(A1150,sinap!$A$2:$R$9000,12,FALSE)</f>
        <v>11.1.01.0190</v>
      </c>
      <c r="R1150" s="15" t="str">
        <f>VLOOKUP(A1150,sinap!$A$2:$R$9000,16,FALSE)</f>
        <v>11.1.01.1241</v>
      </c>
      <c r="S1150" s="15" t="str">
        <f>VLOOKUP(A1150,sinap!$A$2:$Y$9000,20,FALSE)</f>
        <v>SI</v>
      </c>
    </row>
    <row r="1151" spans="1:19" hidden="1" x14ac:dyDescent="0.25">
      <c r="A1151" s="15">
        <v>20910446</v>
      </c>
      <c r="J1151" s="15" t="str">
        <f>VLOOKUP(A1151,sinap!$A$2:$R$9000,2,FALSE)</f>
        <v>H</v>
      </c>
      <c r="K1151" s="15" t="str">
        <f>VLOOKUP(A1151,sinap!$A$2:$R$9000,3,FALSE)</f>
        <v>VACA</v>
      </c>
      <c r="L1151" s="15" t="str">
        <f>VLOOKUP(A1151,sinap!$A$2:$R$9000,4,FALSE)</f>
        <v>ANGUS NEGRO</v>
      </c>
      <c r="M1151" s="15" t="str">
        <f>VLOOKUP(A1151,sinap!$A$2:$R$9000,5,FALSE)</f>
        <v>4 años 3 meses</v>
      </c>
      <c r="N1151" s="15" t="str">
        <f>VLOOKUP(A1151,sinap!$A$2:$R$9000,6,FALSE)</f>
        <v>30-09-2021</v>
      </c>
      <c r="O1151" s="15" t="str">
        <f>VLOOKUP(A1151,sinap!$A$2:$R$9000,7,FALSE)</f>
        <v>Vivo</v>
      </c>
      <c r="P1151" s="15" t="str">
        <f>VLOOKUP(A1151,sinap!$A$2:$R$9000,8,FALSE)</f>
        <v>11.1.01.1241</v>
      </c>
      <c r="Q1151" s="15" t="str">
        <f>VLOOKUP(A1151,sinap!$A$2:$R$9000,12,FALSE)</f>
        <v>11.2.01.0038</v>
      </c>
      <c r="R1151" s="15" t="str">
        <f>VLOOKUP(A1151,sinap!$A$2:$R$9000,16,FALSE)</f>
        <v>11.1.01.1241</v>
      </c>
      <c r="S1151" s="15" t="str">
        <f>VLOOKUP(A1151,sinap!$A$2:$Y$9000,20,FALSE)</f>
        <v>SI</v>
      </c>
    </row>
    <row r="1152" spans="1:19" hidden="1" x14ac:dyDescent="0.25">
      <c r="A1152" s="15">
        <v>20910471</v>
      </c>
      <c r="J1152" s="15" t="str">
        <f>VLOOKUP(A1152,sinap!$A$2:$R$9000,2,FALSE)</f>
        <v>H</v>
      </c>
      <c r="K1152" s="15" t="str">
        <f>VLOOKUP(A1152,sinap!$A$2:$R$9000,3,FALSE)</f>
        <v>VACA</v>
      </c>
      <c r="L1152" s="15" t="str">
        <f>VLOOKUP(A1152,sinap!$A$2:$R$9000,4,FALSE)</f>
        <v>HEREFORD</v>
      </c>
      <c r="M1152" s="15" t="str">
        <f>VLOOKUP(A1152,sinap!$A$2:$R$9000,5,FALSE)</f>
        <v>4 años 3 meses</v>
      </c>
      <c r="N1152" s="15" t="str">
        <f>VLOOKUP(A1152,sinap!$A$2:$R$9000,6,FALSE)</f>
        <v>05-10-2021</v>
      </c>
      <c r="O1152" s="15" t="str">
        <f>VLOOKUP(A1152,sinap!$A$2:$R$9000,7,FALSE)</f>
        <v>Vivo</v>
      </c>
      <c r="P1152" s="15" t="str">
        <f>VLOOKUP(A1152,sinap!$A$2:$R$9000,8,FALSE)</f>
        <v>11.1.01.0893</v>
      </c>
      <c r="Q1152" s="15" t="str">
        <f>VLOOKUP(A1152,sinap!$A$2:$R$9000,12,FALSE)</f>
        <v>11.1.01.1241</v>
      </c>
      <c r="R1152" s="15" t="str">
        <f>VLOOKUP(A1152,sinap!$A$2:$R$9000,16,FALSE)</f>
        <v>11.1.01.1241</v>
      </c>
      <c r="S1152" s="15" t="str">
        <f>VLOOKUP(A1152,sinap!$A$2:$Y$9000,20,FALSE)</f>
        <v>SI</v>
      </c>
    </row>
    <row r="1153" spans="1:20" hidden="1" x14ac:dyDescent="0.25">
      <c r="A1153" s="15">
        <v>20910474</v>
      </c>
      <c r="H1153" s="16">
        <v>45648</v>
      </c>
      <c r="I1153" s="16">
        <v>45965</v>
      </c>
      <c r="J1153" s="15" t="str">
        <f>VLOOKUP(A1153,sinap!$A$2:$R$9000,2,FALSE)</f>
        <v>H</v>
      </c>
      <c r="K1153" s="15" t="str">
        <f>VLOOKUP(A1153,sinap!$A$2:$R$9000,3,FALSE)</f>
        <v>VACA</v>
      </c>
      <c r="L1153" s="15" t="str">
        <f>VLOOKUP(A1153,sinap!$A$2:$R$9000,4,FALSE)</f>
        <v>ANGUS NEGRO</v>
      </c>
      <c r="M1153" s="15" t="str">
        <f>VLOOKUP(A1153,sinap!$A$2:$R$9000,5,FALSE)</f>
        <v>4 años 2 meses</v>
      </c>
      <c r="N1153" s="15" t="str">
        <f>VLOOKUP(A1153,sinap!$A$2:$R$9000,6,FALSE)</f>
        <v>25-10-2021</v>
      </c>
      <c r="O1153" s="15" t="str">
        <f>VLOOKUP(A1153,sinap!$A$2:$R$9000,7,FALSE)</f>
        <v>Vivo</v>
      </c>
      <c r="P1153" s="15" t="str">
        <f>VLOOKUP(A1153,sinap!$A$2:$R$9000,8,FALSE)</f>
        <v>11.1.01.1241</v>
      </c>
      <c r="Q1153" s="15" t="str">
        <f>VLOOKUP(A1153,sinap!$A$2:$R$9000,12,FALSE)</f>
        <v>11.2.01.0038</v>
      </c>
      <c r="R1153" s="15" t="str">
        <f>VLOOKUP(A1153,sinap!$A$2:$R$9000,16,FALSE)</f>
        <v>11.1.01.1241</v>
      </c>
      <c r="S1153" s="15" t="str">
        <f>VLOOKUP(A1153,sinap!$A$2:$Y$9000,20,FALSE)</f>
        <v>SI</v>
      </c>
    </row>
    <row r="1154" spans="1:20" hidden="1" x14ac:dyDescent="0.25">
      <c r="A1154" s="15">
        <v>20910476</v>
      </c>
      <c r="H1154" s="16">
        <v>45648</v>
      </c>
      <c r="I1154" s="16">
        <v>45966</v>
      </c>
      <c r="J1154" s="15" t="str">
        <f>VLOOKUP(A1154,sinap!$A$2:$R$9000,2,FALSE)</f>
        <v>H</v>
      </c>
      <c r="K1154" s="15" t="str">
        <f>VLOOKUP(A1154,sinap!$A$2:$R$9000,3,FALSE)</f>
        <v>VACA</v>
      </c>
      <c r="L1154" s="15" t="str">
        <f>VLOOKUP(A1154,sinap!$A$2:$R$9000,4,FALSE)</f>
        <v>ANGUS NEGRO</v>
      </c>
      <c r="M1154" s="15" t="str">
        <f>VLOOKUP(A1154,sinap!$A$2:$R$9000,5,FALSE)</f>
        <v>4 años 3 meses</v>
      </c>
      <c r="N1154" s="15" t="str">
        <f>VLOOKUP(A1154,sinap!$A$2:$R$9000,6,FALSE)</f>
        <v>05-10-2021</v>
      </c>
      <c r="O1154" s="15" t="str">
        <f>VLOOKUP(A1154,sinap!$A$2:$R$9000,7,FALSE)</f>
        <v>Vivo</v>
      </c>
      <c r="P1154" s="15" t="str">
        <f>VLOOKUP(A1154,sinap!$A$2:$R$9000,8,FALSE)</f>
        <v>11.1.01.2442</v>
      </c>
      <c r="Q1154" s="15" t="str">
        <f>VLOOKUP(A1154,sinap!$A$2:$R$9000,12,FALSE)</f>
        <v>11.1.01.0190</v>
      </c>
      <c r="R1154" s="15" t="str">
        <f>VLOOKUP(A1154,sinap!$A$2:$R$9000,16,FALSE)</f>
        <v>11.1.01.1241</v>
      </c>
      <c r="S1154" s="15" t="str">
        <f>VLOOKUP(A1154,sinap!$A$2:$Y$9000,20,FALSE)</f>
        <v>SI</v>
      </c>
    </row>
    <row r="1155" spans="1:20" hidden="1" x14ac:dyDescent="0.25">
      <c r="A1155" s="15">
        <v>20910478</v>
      </c>
      <c r="H1155" s="16">
        <v>45648</v>
      </c>
      <c r="I1155" s="16">
        <v>45965</v>
      </c>
      <c r="J1155" s="15" t="str">
        <f>VLOOKUP(A1155,sinap!$A$2:$R$9000,2,FALSE)</f>
        <v>H</v>
      </c>
      <c r="K1155" s="15" t="str">
        <f>VLOOKUP(A1155,sinap!$A$2:$R$9000,3,FALSE)</f>
        <v>VACA</v>
      </c>
      <c r="L1155" s="15" t="str">
        <f>VLOOKUP(A1155,sinap!$A$2:$R$9000,4,FALSE)</f>
        <v>ANGUS NEGRO</v>
      </c>
      <c r="M1155" s="15" t="str">
        <f>VLOOKUP(A1155,sinap!$A$2:$R$9000,5,FALSE)</f>
        <v>4 años 3 meses</v>
      </c>
      <c r="N1155" s="15" t="str">
        <f>VLOOKUP(A1155,sinap!$A$2:$R$9000,6,FALSE)</f>
        <v>30-09-2021</v>
      </c>
      <c r="O1155" s="15" t="str">
        <f>VLOOKUP(A1155,sinap!$A$2:$R$9000,7,FALSE)</f>
        <v>Vivo</v>
      </c>
      <c r="P1155" s="15" t="str">
        <f>VLOOKUP(A1155,sinap!$A$2:$R$9000,8,FALSE)</f>
        <v>11.1.01.1241</v>
      </c>
      <c r="Q1155" s="15" t="str">
        <f>VLOOKUP(A1155,sinap!$A$2:$R$9000,12,FALSE)</f>
        <v>11.2.01.0038</v>
      </c>
      <c r="R1155" s="15" t="str">
        <f>VLOOKUP(A1155,sinap!$A$2:$R$9000,16,FALSE)</f>
        <v>11.1.01.1241</v>
      </c>
      <c r="S1155" s="15" t="str">
        <f>VLOOKUP(A1155,sinap!$A$2:$Y$9000,20,FALSE)</f>
        <v>SI</v>
      </c>
    </row>
    <row r="1156" spans="1:20" hidden="1" x14ac:dyDescent="0.25">
      <c r="A1156" s="15">
        <v>20910482</v>
      </c>
      <c r="H1156" s="16">
        <v>45648</v>
      </c>
      <c r="I1156" s="16">
        <v>45671</v>
      </c>
      <c r="J1156" s="15" t="str">
        <f>VLOOKUP(A1156,sinap!$A$2:$R$9000,2,FALSE)</f>
        <v>H</v>
      </c>
      <c r="K1156" s="15" t="str">
        <f>VLOOKUP(A1156,sinap!$A$2:$R$9000,3,FALSE)</f>
        <v>VACA</v>
      </c>
      <c r="L1156" s="15" t="str">
        <f>VLOOKUP(A1156,sinap!$A$2:$R$9000,4,FALSE)</f>
        <v>ANGUS NEGRO</v>
      </c>
      <c r="M1156" s="15" t="str">
        <f>VLOOKUP(A1156,sinap!$A$2:$R$9000,5,FALSE)</f>
        <v>4 años 3 meses</v>
      </c>
      <c r="N1156" s="15" t="str">
        <f>VLOOKUP(A1156,sinap!$A$2:$R$9000,6,FALSE)</f>
        <v>05-10-2021</v>
      </c>
      <c r="O1156" s="15" t="str">
        <f>VLOOKUP(A1156,sinap!$A$2:$R$9000,7,FALSE)</f>
        <v>Vivo</v>
      </c>
      <c r="P1156" s="15" t="str">
        <f>VLOOKUP(A1156,sinap!$A$2:$R$9000,8,FALSE)</f>
        <v>11.1.01.1241</v>
      </c>
      <c r="Q1156" s="15" t="str">
        <f>VLOOKUP(A1156,sinap!$A$2:$R$9000,12,FALSE)</f>
        <v>11.1.01.1022</v>
      </c>
      <c r="R1156" s="15" t="str">
        <f>VLOOKUP(A1156,sinap!$A$2:$R$9000,16,FALSE)</f>
        <v>11.1.01.1241</v>
      </c>
      <c r="S1156" s="15" t="str">
        <f>VLOOKUP(A1156,sinap!$A$2:$Y$9000,20,FALSE)</f>
        <v>SI</v>
      </c>
    </row>
    <row r="1157" spans="1:20" hidden="1" x14ac:dyDescent="0.25">
      <c r="A1157" s="15">
        <v>20910484</v>
      </c>
      <c r="H1157" s="16">
        <v>45648</v>
      </c>
      <c r="I1157" s="16">
        <v>45671</v>
      </c>
      <c r="J1157" s="15" t="str">
        <f>VLOOKUP(A1157,sinap!$A$2:$R$9000,2,FALSE)</f>
        <v>H</v>
      </c>
      <c r="K1157" s="15" t="str">
        <f>VLOOKUP(A1157,sinap!$A$2:$R$9000,3,FALSE)</f>
        <v>VACA</v>
      </c>
      <c r="L1157" s="15" t="str">
        <f>VLOOKUP(A1157,sinap!$A$2:$R$9000,4,FALSE)</f>
        <v>ANGUS NEGRO</v>
      </c>
      <c r="M1157" s="15" t="str">
        <f>VLOOKUP(A1157,sinap!$A$2:$R$9000,5,FALSE)</f>
        <v>4 años 3 meses</v>
      </c>
      <c r="N1157" s="15" t="str">
        <f>VLOOKUP(A1157,sinap!$A$2:$R$9000,6,FALSE)</f>
        <v>05-10-2021</v>
      </c>
      <c r="O1157" s="15" t="str">
        <f>VLOOKUP(A1157,sinap!$A$2:$R$9000,7,FALSE)</f>
        <v>Vivo</v>
      </c>
      <c r="P1157" s="15" t="str">
        <f>VLOOKUP(A1157,sinap!$A$2:$R$9000,8,FALSE)</f>
        <v>11.1.01.1241</v>
      </c>
      <c r="Q1157" s="15" t="str">
        <f>VLOOKUP(A1157,sinap!$A$2:$R$9000,12,FALSE)</f>
        <v>11.1.01.1022</v>
      </c>
      <c r="R1157" s="15" t="str">
        <f>VLOOKUP(A1157,sinap!$A$2:$R$9000,16,FALSE)</f>
        <v>11.1.01.1241</v>
      </c>
      <c r="S1157" s="15" t="str">
        <f>VLOOKUP(A1157,sinap!$A$2:$Y$9000,20,FALSE)</f>
        <v>SI</v>
      </c>
    </row>
    <row r="1158" spans="1:20" hidden="1" x14ac:dyDescent="0.25">
      <c r="A1158" s="15">
        <v>20910486</v>
      </c>
      <c r="H1158" s="16">
        <v>45648</v>
      </c>
      <c r="I1158" s="16">
        <v>45965</v>
      </c>
      <c r="J1158" s="15" t="str">
        <f>VLOOKUP(A1158,sinap!$A$2:$R$9000,2,FALSE)</f>
        <v>H</v>
      </c>
      <c r="K1158" s="15" t="str">
        <f>VLOOKUP(A1158,sinap!$A$2:$R$9000,3,FALSE)</f>
        <v>VACA</v>
      </c>
      <c r="L1158" s="15" t="str">
        <f>VLOOKUP(A1158,sinap!$A$2:$R$9000,4,FALSE)</f>
        <v>ANGUS NEGRO</v>
      </c>
      <c r="M1158" s="15" t="str">
        <f>VLOOKUP(A1158,sinap!$A$2:$R$9000,5,FALSE)</f>
        <v>4 años 2 meses</v>
      </c>
      <c r="N1158" s="15" t="str">
        <f>VLOOKUP(A1158,sinap!$A$2:$R$9000,6,FALSE)</f>
        <v>25-10-2021</v>
      </c>
      <c r="O1158" s="15" t="str">
        <f>VLOOKUP(A1158,sinap!$A$2:$R$9000,7,FALSE)</f>
        <v>Vivo</v>
      </c>
      <c r="P1158" s="15" t="str">
        <f>VLOOKUP(A1158,sinap!$A$2:$R$9000,8,FALSE)</f>
        <v>11.1.01.1241</v>
      </c>
      <c r="Q1158" s="15" t="str">
        <f>VLOOKUP(A1158,sinap!$A$2:$R$9000,12,FALSE)</f>
        <v>11.2.01.0038</v>
      </c>
      <c r="R1158" s="15" t="str">
        <f>VLOOKUP(A1158,sinap!$A$2:$R$9000,16,FALSE)</f>
        <v>11.1.01.1241</v>
      </c>
      <c r="S1158" s="15" t="str">
        <f>VLOOKUP(A1158,sinap!$A$2:$Y$9000,20,FALSE)</f>
        <v>SI</v>
      </c>
    </row>
    <row r="1159" spans="1:20" hidden="1" x14ac:dyDescent="0.25">
      <c r="A1159" s="15">
        <v>20910490</v>
      </c>
      <c r="H1159" s="16">
        <v>45648</v>
      </c>
      <c r="I1159" s="16">
        <v>45671</v>
      </c>
      <c r="J1159" s="15" t="str">
        <f>VLOOKUP(A1159,sinap!$A$2:$R$9000,2,FALSE)</f>
        <v>H</v>
      </c>
      <c r="K1159" s="15" t="str">
        <f>VLOOKUP(A1159,sinap!$A$2:$R$9000,3,FALSE)</f>
        <v>VACA</v>
      </c>
      <c r="L1159" s="15" t="str">
        <f>VLOOKUP(A1159,sinap!$A$2:$R$9000,4,FALSE)</f>
        <v>ANGUS NEGRO</v>
      </c>
      <c r="M1159" s="15" t="str">
        <f>VLOOKUP(A1159,sinap!$A$2:$R$9000,5,FALSE)</f>
        <v>4 años 3 meses</v>
      </c>
      <c r="N1159" s="15" t="str">
        <f>VLOOKUP(A1159,sinap!$A$2:$R$9000,6,FALSE)</f>
        <v>05-10-2021</v>
      </c>
      <c r="O1159" s="15" t="str">
        <f>VLOOKUP(A1159,sinap!$A$2:$R$9000,7,FALSE)</f>
        <v>Vivo</v>
      </c>
      <c r="P1159" s="15" t="str">
        <f>VLOOKUP(A1159,sinap!$A$2:$R$9000,8,FALSE)</f>
        <v>11.1.01.1241</v>
      </c>
      <c r="Q1159" s="15" t="str">
        <f>VLOOKUP(A1159,sinap!$A$2:$R$9000,12,FALSE)</f>
        <v>11.1.01.1022</v>
      </c>
      <c r="R1159" s="15" t="str">
        <f>VLOOKUP(A1159,sinap!$A$2:$R$9000,16,FALSE)</f>
        <v>11.1.01.1241</v>
      </c>
      <c r="S1159" s="15" t="str">
        <f>VLOOKUP(A1159,sinap!$A$2:$Y$9000,20,FALSE)</f>
        <v>SI</v>
      </c>
    </row>
    <row r="1160" spans="1:20" hidden="1" x14ac:dyDescent="0.25">
      <c r="A1160" s="15">
        <v>20910493</v>
      </c>
      <c r="H1160" s="16">
        <v>45648</v>
      </c>
      <c r="I1160" s="16">
        <v>45671</v>
      </c>
      <c r="J1160" s="15" t="str">
        <f>VLOOKUP(A1160,sinap!$A$2:$R$9000,2,FALSE)</f>
        <v>H</v>
      </c>
      <c r="K1160" s="15" t="str">
        <f>VLOOKUP(A1160,sinap!$A$2:$R$9000,3,FALSE)</f>
        <v>VACA</v>
      </c>
      <c r="L1160" s="15" t="str">
        <f>VLOOKUP(A1160,sinap!$A$2:$R$9000,4,FALSE)</f>
        <v>ANGUS NEGRO</v>
      </c>
      <c r="M1160" s="15" t="str">
        <f>VLOOKUP(A1160,sinap!$A$2:$R$9000,5,FALSE)</f>
        <v>4 años 3 meses</v>
      </c>
      <c r="N1160" s="15" t="str">
        <f>VLOOKUP(A1160,sinap!$A$2:$R$9000,6,FALSE)</f>
        <v>05-10-2021</v>
      </c>
      <c r="O1160" s="15" t="str">
        <f>VLOOKUP(A1160,sinap!$A$2:$R$9000,7,FALSE)</f>
        <v>Vivo</v>
      </c>
      <c r="P1160" s="15" t="str">
        <f>VLOOKUP(A1160,sinap!$A$2:$R$9000,8,FALSE)</f>
        <v>11.1.01.1241</v>
      </c>
      <c r="Q1160" s="15" t="str">
        <f>VLOOKUP(A1160,sinap!$A$2:$R$9000,12,FALSE)</f>
        <v>11.1.01.1022</v>
      </c>
      <c r="R1160" s="15" t="str">
        <f>VLOOKUP(A1160,sinap!$A$2:$R$9000,16,FALSE)</f>
        <v>11.1.01.1241</v>
      </c>
      <c r="S1160" s="15" t="str">
        <f>VLOOKUP(A1160,sinap!$A$2:$Y$9000,20,FALSE)</f>
        <v>SI</v>
      </c>
    </row>
    <row r="1161" spans="1:20" hidden="1" x14ac:dyDescent="0.25">
      <c r="A1161" s="15">
        <v>20910498</v>
      </c>
      <c r="H1161" s="16">
        <v>45648</v>
      </c>
      <c r="I1161" s="16">
        <v>45966</v>
      </c>
      <c r="J1161" s="15" t="str">
        <f>VLOOKUP(A1161,sinap!$A$2:$R$9000,2,FALSE)</f>
        <v>H</v>
      </c>
      <c r="K1161" s="15" t="str">
        <f>VLOOKUP(A1161,sinap!$A$2:$R$9000,3,FALSE)</f>
        <v>VACA</v>
      </c>
      <c r="L1161" s="15" t="str">
        <f>VLOOKUP(A1161,sinap!$A$2:$R$9000,4,FALSE)</f>
        <v>ANGUS NEGRO</v>
      </c>
      <c r="M1161" s="15" t="str">
        <f>VLOOKUP(A1161,sinap!$A$2:$R$9000,5,FALSE)</f>
        <v>4 años 2 meses</v>
      </c>
      <c r="N1161" s="15" t="str">
        <f>VLOOKUP(A1161,sinap!$A$2:$R$9000,6,FALSE)</f>
        <v>20-10-2021</v>
      </c>
      <c r="O1161" s="15" t="str">
        <f>VLOOKUP(A1161,sinap!$A$2:$R$9000,7,FALSE)</f>
        <v>Vivo</v>
      </c>
      <c r="P1161" s="15" t="str">
        <f>VLOOKUP(A1161,sinap!$A$2:$R$9000,8,FALSE)</f>
        <v>11.1.01.1241</v>
      </c>
      <c r="Q1161" s="15" t="str">
        <f>VLOOKUP(A1161,sinap!$A$2:$R$9000,12,FALSE)</f>
        <v>11.1.01.1022</v>
      </c>
      <c r="R1161" s="15" t="str">
        <f>VLOOKUP(A1161,sinap!$A$2:$R$9000,16,FALSE)</f>
        <v>11.1.01.1241</v>
      </c>
      <c r="S1161" s="15" t="str">
        <f>VLOOKUP(A1161,sinap!$A$2:$Y$9000,20,FALSE)</f>
        <v>SI</v>
      </c>
    </row>
    <row r="1162" spans="1:20" hidden="1" x14ac:dyDescent="0.25">
      <c r="A1162" s="15">
        <v>20910500</v>
      </c>
      <c r="H1162" s="16">
        <v>45648</v>
      </c>
      <c r="I1162" s="16">
        <v>45671</v>
      </c>
      <c r="J1162" s="15" t="str">
        <f>VLOOKUP(A1162,sinap!$A$2:$R$9000,2,FALSE)</f>
        <v>H</v>
      </c>
      <c r="K1162" s="15" t="str">
        <f>VLOOKUP(A1162,sinap!$A$2:$R$9000,3,FALSE)</f>
        <v>VACA</v>
      </c>
      <c r="L1162" s="15" t="str">
        <f>VLOOKUP(A1162,sinap!$A$2:$R$9000,4,FALSE)</f>
        <v>ANGUS NEGRO</v>
      </c>
      <c r="M1162" s="15" t="str">
        <f>VLOOKUP(A1162,sinap!$A$2:$R$9000,5,FALSE)</f>
        <v>4 años 3 meses</v>
      </c>
      <c r="N1162" s="15" t="str">
        <f>VLOOKUP(A1162,sinap!$A$2:$R$9000,6,FALSE)</f>
        <v>05-10-2021</v>
      </c>
      <c r="O1162" s="15" t="str">
        <f>VLOOKUP(A1162,sinap!$A$2:$R$9000,7,FALSE)</f>
        <v>Vivo</v>
      </c>
      <c r="P1162" s="15" t="str">
        <f>VLOOKUP(A1162,sinap!$A$2:$R$9000,8,FALSE)</f>
        <v>11.1.01.1241</v>
      </c>
      <c r="Q1162" s="15" t="str">
        <f>VLOOKUP(A1162,sinap!$A$2:$R$9000,12,FALSE)</f>
        <v>11.1.01.1022</v>
      </c>
      <c r="R1162" s="15" t="str">
        <f>VLOOKUP(A1162,sinap!$A$2:$R$9000,16,FALSE)</f>
        <v>11.1.01.1241</v>
      </c>
      <c r="S1162" s="15" t="str">
        <f>VLOOKUP(A1162,sinap!$A$2:$Y$9000,20,FALSE)</f>
        <v>SI</v>
      </c>
    </row>
    <row r="1163" spans="1:20" hidden="1" x14ac:dyDescent="0.25">
      <c r="A1163" s="15">
        <v>20910506</v>
      </c>
      <c r="H1163" s="16">
        <v>45648</v>
      </c>
      <c r="I1163" s="16">
        <v>45671</v>
      </c>
      <c r="J1163" s="15" t="str">
        <f>VLOOKUP(A1163,sinap!$A$2:$R$9000,2,FALSE)</f>
        <v>H</v>
      </c>
      <c r="K1163" s="15" t="str">
        <f>VLOOKUP(A1163,sinap!$A$2:$R$9000,3,FALSE)</f>
        <v>VACA</v>
      </c>
      <c r="L1163" s="15" t="str">
        <f>VLOOKUP(A1163,sinap!$A$2:$R$9000,4,FALSE)</f>
        <v>ANGUS NEGRO</v>
      </c>
      <c r="M1163" s="15" t="str">
        <f>VLOOKUP(A1163,sinap!$A$2:$R$9000,5,FALSE)</f>
        <v>4 años 2 meses</v>
      </c>
      <c r="N1163" s="15" t="str">
        <f>VLOOKUP(A1163,sinap!$A$2:$R$9000,6,FALSE)</f>
        <v>20-10-2021</v>
      </c>
      <c r="O1163" s="15" t="str">
        <f>VLOOKUP(A1163,sinap!$A$2:$R$9000,7,FALSE)</f>
        <v>Vivo</v>
      </c>
      <c r="P1163" s="15" t="str">
        <f>VLOOKUP(A1163,sinap!$A$2:$R$9000,8,FALSE)</f>
        <v>11.1.01.1241</v>
      </c>
      <c r="Q1163" s="15" t="str">
        <f>VLOOKUP(A1163,sinap!$A$2:$R$9000,12,FALSE)</f>
        <v>11.2.01.0038</v>
      </c>
      <c r="R1163" s="15" t="str">
        <f>VLOOKUP(A1163,sinap!$A$2:$R$9000,16,FALSE)</f>
        <v>11.1.01.1241</v>
      </c>
      <c r="S1163" s="15" t="str">
        <f>VLOOKUP(A1163,sinap!$A$2:$Y$9000,20,FALSE)</f>
        <v>SI</v>
      </c>
    </row>
    <row r="1164" spans="1:20" hidden="1" x14ac:dyDescent="0.25">
      <c r="A1164" s="15">
        <v>20910511</v>
      </c>
      <c r="J1164" s="15" t="str">
        <f>VLOOKUP(A1164,sinap!$A$2:$R$9000,2,FALSE)</f>
        <v>H</v>
      </c>
      <c r="K1164" s="15" t="str">
        <f>VLOOKUP(A1164,sinap!$A$2:$R$9000,3,FALSE)</f>
        <v>VACA</v>
      </c>
      <c r="L1164" s="15" t="str">
        <f>VLOOKUP(A1164,sinap!$A$2:$R$9000,4,FALSE)</f>
        <v>ANGUS ROJO</v>
      </c>
      <c r="M1164" s="15" t="str">
        <f>VLOOKUP(A1164,sinap!$A$2:$R$9000,5,FALSE)</f>
        <v>4 años 2 meses</v>
      </c>
      <c r="N1164" s="15" t="str">
        <f>VLOOKUP(A1164,sinap!$A$2:$R$9000,6,FALSE)</f>
        <v>05-11-2021</v>
      </c>
      <c r="O1164" s="15" t="str">
        <f>VLOOKUP(A1164,sinap!$A$2:$R$9000,7,FALSE)</f>
        <v>Vivo</v>
      </c>
      <c r="P1164" s="15" t="str">
        <f>VLOOKUP(A1164,sinap!$A$2:$R$9000,8,FALSE)</f>
        <v>11.1.01.2442</v>
      </c>
      <c r="Q1164" s="15" t="str">
        <f>VLOOKUP(A1164,sinap!$A$2:$R$9000,12,FALSE)</f>
        <v>11.1.01.0190</v>
      </c>
      <c r="R1164" s="15" t="str">
        <f>VLOOKUP(A1164,sinap!$A$2:$R$9000,16,FALSE)</f>
        <v>11.1.01.1241</v>
      </c>
      <c r="S1164" s="15" t="str">
        <f>VLOOKUP(A1164,sinap!$A$2:$Y$9000,20,FALSE)</f>
        <v>SI</v>
      </c>
    </row>
    <row r="1165" spans="1:20" hidden="1" x14ac:dyDescent="0.25">
      <c r="A1165" s="15">
        <v>20910515</v>
      </c>
      <c r="J1165" s="15" t="str">
        <f>VLOOKUP(A1165,sinap!$A$2:$R$9000,2,FALSE)</f>
        <v>H</v>
      </c>
      <c r="K1165" s="15" t="str">
        <f>VLOOKUP(A1165,sinap!$A$2:$R$9000,3,FALSE)</f>
        <v>VACA</v>
      </c>
      <c r="L1165" s="15" t="str">
        <f>VLOOKUP(A1165,sinap!$A$2:$R$9000,4,FALSE)</f>
        <v>ANGUS NEGRO</v>
      </c>
      <c r="M1165" s="15" t="str">
        <f>VLOOKUP(A1165,sinap!$A$2:$R$9000,5,FALSE)</f>
        <v>4 años 2 meses</v>
      </c>
      <c r="N1165" s="15" t="str">
        <f>VLOOKUP(A1165,sinap!$A$2:$R$9000,6,FALSE)</f>
        <v>30-10-2021</v>
      </c>
      <c r="O1165" s="15" t="str">
        <f>VLOOKUP(A1165,sinap!$A$2:$R$9000,7,FALSE)</f>
        <v>Vivo</v>
      </c>
      <c r="P1165" s="15" t="str">
        <f>VLOOKUP(A1165,sinap!$A$2:$R$9000,8,FALSE)</f>
        <v>11.2.01.0038</v>
      </c>
      <c r="Q1165" s="15" t="str">
        <f>VLOOKUP(A1165,sinap!$A$2:$R$9000,12,FALSE)</f>
        <v>11.1.01.1241</v>
      </c>
      <c r="R1165" s="15" t="str">
        <f>VLOOKUP(A1165,sinap!$A$2:$R$9000,16,FALSE)</f>
        <v>11.1.01.1241</v>
      </c>
      <c r="S1165" s="15" t="str">
        <f>VLOOKUP(A1165,sinap!$A$2:$Y$9000,20,FALSE)</f>
        <v>SI</v>
      </c>
    </row>
    <row r="1166" spans="1:20" hidden="1" x14ac:dyDescent="0.25">
      <c r="A1166" s="15">
        <v>20910516</v>
      </c>
      <c r="H1166" s="16">
        <v>45648</v>
      </c>
      <c r="I1166" s="16">
        <v>45671</v>
      </c>
      <c r="J1166" s="15" t="str">
        <f>VLOOKUP(A1166,sinap!$A$2:$R$9000,2,FALSE)</f>
        <v>H</v>
      </c>
      <c r="K1166" s="15" t="str">
        <f>VLOOKUP(A1166,sinap!$A$2:$R$9000,3,FALSE)</f>
        <v>VACA</v>
      </c>
      <c r="L1166" s="15" t="str">
        <f>VLOOKUP(A1166,sinap!$A$2:$R$9000,4,FALSE)</f>
        <v>ANGUS NEGRO</v>
      </c>
      <c r="M1166" s="15" t="str">
        <f>VLOOKUP(A1166,sinap!$A$2:$R$9000,5,FALSE)</f>
        <v>4 años 2 meses</v>
      </c>
      <c r="N1166" s="15" t="str">
        <f>VLOOKUP(A1166,sinap!$A$2:$R$9000,6,FALSE)</f>
        <v>05-11-2021</v>
      </c>
      <c r="O1166" s="15" t="str">
        <f>VLOOKUP(A1166,sinap!$A$2:$R$9000,7,FALSE)</f>
        <v>Vivo</v>
      </c>
      <c r="P1166" s="15" t="str">
        <f>VLOOKUP(A1166,sinap!$A$2:$R$9000,8,FALSE)</f>
        <v>11.1.01.2442</v>
      </c>
      <c r="Q1166" s="15" t="str">
        <f>VLOOKUP(A1166,sinap!$A$2:$R$9000,12,FALSE)</f>
        <v>11.1.01.0190</v>
      </c>
      <c r="R1166" s="15" t="str">
        <f>VLOOKUP(A1166,sinap!$A$2:$R$9000,16,FALSE)</f>
        <v>11.1.01.1241</v>
      </c>
      <c r="S1166" s="15" t="str">
        <f>VLOOKUP(A1166,sinap!$A$2:$Y$9000,20,FALSE)</f>
        <v>SI</v>
      </c>
    </row>
    <row r="1167" spans="1:20" hidden="1" x14ac:dyDescent="0.25">
      <c r="A1167" s="15">
        <v>20910519</v>
      </c>
      <c r="H1167" s="16">
        <v>45648</v>
      </c>
      <c r="I1167" s="16">
        <v>45671</v>
      </c>
      <c r="J1167" s="15" t="str">
        <f>VLOOKUP(A1167,sinap!$A$2:$R$9000,2,FALSE)</f>
        <v>H</v>
      </c>
      <c r="K1167" s="15" t="str">
        <f>VLOOKUP(A1167,sinap!$A$2:$R$9000,3,FALSE)</f>
        <v>VACA</v>
      </c>
      <c r="L1167" s="15" t="str">
        <f>VLOOKUP(A1167,sinap!$A$2:$R$9000,4,FALSE)</f>
        <v>ANGUS NEGRO</v>
      </c>
      <c r="M1167" s="15" t="str">
        <f>VLOOKUP(A1167,sinap!$A$2:$R$9000,5,FALSE)</f>
        <v>4 años 3 meses</v>
      </c>
      <c r="N1167" s="15" t="str">
        <f>VLOOKUP(A1167,sinap!$A$2:$R$9000,6,FALSE)</f>
        <v>05-10-2021</v>
      </c>
      <c r="O1167" s="15" t="str">
        <f>VLOOKUP(A1167,sinap!$A$2:$R$9000,7,FALSE)</f>
        <v>Vivo</v>
      </c>
      <c r="P1167" s="15" t="str">
        <f>VLOOKUP(A1167,sinap!$A$2:$R$9000,8,FALSE)</f>
        <v>11.1.01.1241</v>
      </c>
      <c r="Q1167" s="15" t="str">
        <f>VLOOKUP(A1167,sinap!$A$2:$R$9000,12,FALSE)</f>
        <v>11.1.01.1022</v>
      </c>
      <c r="R1167" s="15" t="str">
        <f>VLOOKUP(A1167,sinap!$A$2:$R$9000,16,FALSE)</f>
        <v>11.1.01.1241</v>
      </c>
      <c r="S1167" s="15" t="str">
        <f>VLOOKUP(A1167,sinap!$A$2:$Y$9000,20,FALSE)</f>
        <v>SI</v>
      </c>
    </row>
    <row r="1168" spans="1:20" hidden="1" x14ac:dyDescent="0.25">
      <c r="A1168" s="15">
        <v>20910527</v>
      </c>
      <c r="J1168" s="15" t="str">
        <f>VLOOKUP(A1168,sinap!$A$2:$R$9000,2,FALSE)</f>
        <v>H</v>
      </c>
      <c r="K1168" s="15" t="str">
        <f>VLOOKUP(A1168,sinap!$A$2:$R$9000,3,FALSE)</f>
        <v>VACA</v>
      </c>
      <c r="L1168" s="15" t="str">
        <f>VLOOKUP(A1168,sinap!$A$2:$R$9000,4,FALSE)</f>
        <v>ANGUS NEGRO</v>
      </c>
      <c r="M1168" s="15" t="str">
        <f>VLOOKUP(A1168,sinap!$A$2:$R$9000,5,FALSE)</f>
        <v>4 años 1 meses</v>
      </c>
      <c r="N1168" s="15" t="str">
        <f>VLOOKUP(A1168,sinap!$A$2:$R$9000,6,FALSE)</f>
        <v>20-11-2021</v>
      </c>
      <c r="O1168" s="15" t="str">
        <f>VLOOKUP(A1168,sinap!$A$2:$R$9000,7,FALSE)</f>
        <v>Vivo</v>
      </c>
      <c r="P1168" s="15" t="str">
        <f>VLOOKUP(A1168,sinap!$A$2:$R$9000,8,FALSE)</f>
        <v>11.1.01.1241</v>
      </c>
      <c r="Q1168" s="15" t="str">
        <f>VLOOKUP(A1168,sinap!$A$2:$R$9000,12,FALSE)</f>
        <v>11.1.01.0893</v>
      </c>
      <c r="R1168" s="15" t="str">
        <f>VLOOKUP(A1168,sinap!$A$2:$R$9000,16,FALSE)</f>
        <v>11.1.01.0893</v>
      </c>
      <c r="S1168" s="15" t="str">
        <f>VLOOKUP(A1168,sinap!$A$2:$Y$9000,20,FALSE)</f>
        <v>SI</v>
      </c>
      <c r="T1168" s="16">
        <v>44570</v>
      </c>
    </row>
    <row r="1169" spans="1:20" hidden="1" x14ac:dyDescent="0.25">
      <c r="A1169" s="15">
        <v>20910537</v>
      </c>
      <c r="H1169" s="16">
        <v>45648</v>
      </c>
      <c r="I1169" s="16">
        <v>45671</v>
      </c>
      <c r="J1169" s="15" t="str">
        <f>VLOOKUP(A1169,sinap!$A$2:$R$9000,2,FALSE)</f>
        <v>H</v>
      </c>
      <c r="K1169" s="15" t="str">
        <f>VLOOKUP(A1169,sinap!$A$2:$R$9000,3,FALSE)</f>
        <v>VACA</v>
      </c>
      <c r="L1169" s="15" t="str">
        <f>VLOOKUP(A1169,sinap!$A$2:$R$9000,4,FALSE)</f>
        <v>ANGUS NEGRO</v>
      </c>
      <c r="M1169" s="15" t="str">
        <f>VLOOKUP(A1169,sinap!$A$2:$R$9000,5,FALSE)</f>
        <v>4 años 0 meses</v>
      </c>
      <c r="N1169" s="15" t="str">
        <f>VLOOKUP(A1169,sinap!$A$2:$R$9000,6,FALSE)</f>
        <v>24-12-2021</v>
      </c>
      <c r="O1169" s="15" t="str">
        <f>VLOOKUP(A1169,sinap!$A$2:$R$9000,7,FALSE)</f>
        <v>Vivo</v>
      </c>
      <c r="P1169" s="15" t="str">
        <f>VLOOKUP(A1169,sinap!$A$2:$R$9000,8,FALSE)</f>
        <v>11.1.01.1241</v>
      </c>
      <c r="Q1169" s="15" t="str">
        <f>VLOOKUP(A1169,sinap!$A$2:$R$9000,12,FALSE)</f>
        <v>11.1.01.1022</v>
      </c>
      <c r="R1169" s="15" t="str">
        <f>VLOOKUP(A1169,sinap!$A$2:$R$9000,16,FALSE)</f>
        <v>11.1.01.0893</v>
      </c>
      <c r="S1169" s="15" t="str">
        <f>VLOOKUP(A1169,sinap!$A$2:$Y$9000,20,FALSE)</f>
        <v>SI</v>
      </c>
      <c r="T1169" s="16">
        <v>44570</v>
      </c>
    </row>
    <row r="1170" spans="1:20" hidden="1" x14ac:dyDescent="0.25">
      <c r="A1170" s="15">
        <v>20910563</v>
      </c>
      <c r="J1170" s="15" t="str">
        <f>VLOOKUP(A1170,sinap!$A$2:$R$9000,2,FALSE)</f>
        <v>H</v>
      </c>
      <c r="K1170" s="15" t="str">
        <f>VLOOKUP(A1170,sinap!$A$2:$R$9000,3,FALSE)</f>
        <v>VACA</v>
      </c>
      <c r="L1170" s="15" t="str">
        <f>VLOOKUP(A1170,sinap!$A$2:$R$9000,4,FALSE)</f>
        <v>HEREFORD</v>
      </c>
      <c r="M1170" s="15" t="str">
        <f>VLOOKUP(A1170,sinap!$A$2:$R$9000,5,FALSE)</f>
        <v>4 años 0 meses</v>
      </c>
      <c r="N1170" s="15" t="str">
        <f>VLOOKUP(A1170,sinap!$A$2:$R$9000,6,FALSE)</f>
        <v>24-12-2021</v>
      </c>
      <c r="O1170" s="15" t="str">
        <f>VLOOKUP(A1170,sinap!$A$2:$R$9000,7,FALSE)</f>
        <v>Vivo</v>
      </c>
      <c r="P1170" s="15" t="str">
        <f>VLOOKUP(A1170,sinap!$A$2:$R$9000,8,FALSE)</f>
        <v>11.1.01.0893</v>
      </c>
      <c r="Q1170" s="15" t="str">
        <f>VLOOKUP(A1170,sinap!$A$2:$R$9000,12,FALSE)</f>
        <v>11.1.01.0941</v>
      </c>
      <c r="R1170" s="15" t="str">
        <f>VLOOKUP(A1170,sinap!$A$2:$R$9000,16,FALSE)</f>
        <v>11.1.01.0941</v>
      </c>
      <c r="S1170" s="15" t="str">
        <f>VLOOKUP(A1170,sinap!$A$2:$Y$9000,20,FALSE)</f>
        <v>SI</v>
      </c>
      <c r="T1170" s="16">
        <v>44654</v>
      </c>
    </row>
    <row r="1171" spans="1:20" hidden="1" x14ac:dyDescent="0.25">
      <c r="A1171" s="15">
        <v>20910565</v>
      </c>
      <c r="J1171" s="15" t="str">
        <f>VLOOKUP(A1171,sinap!$A$2:$R$9000,2,FALSE)</f>
        <v>H</v>
      </c>
      <c r="K1171" s="15" t="str">
        <f>VLOOKUP(A1171,sinap!$A$2:$R$9000,3,FALSE)</f>
        <v>VACA</v>
      </c>
      <c r="L1171" s="15" t="str">
        <f>VLOOKUP(A1171,sinap!$A$2:$R$9000,4,FALSE)</f>
        <v>ANGUS NEGRO</v>
      </c>
      <c r="M1171" s="15" t="str">
        <f>VLOOKUP(A1171,sinap!$A$2:$R$9000,5,FALSE)</f>
        <v>4 años 3 meses</v>
      </c>
      <c r="N1171" s="15" t="str">
        <f>VLOOKUP(A1171,sinap!$A$2:$R$9000,6,FALSE)</f>
        <v>05-10-2021</v>
      </c>
      <c r="O1171" s="15" t="str">
        <f>VLOOKUP(A1171,sinap!$A$2:$R$9000,7,FALSE)</f>
        <v>Vivo</v>
      </c>
      <c r="P1171" s="15" t="str">
        <f>VLOOKUP(A1171,sinap!$A$2:$R$9000,8,FALSE)</f>
        <v>11.1.01.1241</v>
      </c>
      <c r="Q1171" s="15" t="str">
        <f>VLOOKUP(A1171,sinap!$A$2:$R$9000,12,FALSE)</f>
        <v>Sin Movimiento</v>
      </c>
      <c r="R1171" s="15" t="str">
        <f>VLOOKUP(A1171,sinap!$A$2:$R$9000,16,FALSE)</f>
        <v>11.1.01.1241</v>
      </c>
      <c r="S1171" s="15" t="str">
        <f>VLOOKUP(A1171,sinap!$A$2:$Y$9000,20,FALSE)</f>
        <v>SI</v>
      </c>
    </row>
    <row r="1172" spans="1:20" hidden="1" x14ac:dyDescent="0.25">
      <c r="A1172" s="15">
        <v>20910568</v>
      </c>
      <c r="J1172" s="15" t="str">
        <f>VLOOKUP(A1172,sinap!$A$2:$R$9000,2,FALSE)</f>
        <v>M</v>
      </c>
      <c r="K1172" s="15" t="str">
        <f>VLOOKUP(A1172,sinap!$A$2:$R$9000,3,FALSE)</f>
        <v>TORO</v>
      </c>
      <c r="L1172" s="15" t="str">
        <f>VLOOKUP(A1172,sinap!$A$2:$R$9000,4,FALSE)</f>
        <v>HEREFORD</v>
      </c>
      <c r="M1172" s="15" t="str">
        <f>VLOOKUP(A1172,sinap!$A$2:$R$9000,5,FALSE)</f>
        <v>4 años 1 meses</v>
      </c>
      <c r="N1172" s="15" t="str">
        <f>VLOOKUP(A1172,sinap!$A$2:$R$9000,6,FALSE)</f>
        <v>30-11-2021</v>
      </c>
      <c r="O1172" s="15" t="str">
        <f>VLOOKUP(A1172,sinap!$A$2:$R$9000,7,FALSE)</f>
        <v>Vivo</v>
      </c>
      <c r="P1172" s="15" t="str">
        <f>VLOOKUP(A1172,sinap!$A$2:$R$9000,8,FALSE)</f>
        <v>11.1.01.1241</v>
      </c>
      <c r="Q1172" s="15" t="str">
        <f>VLOOKUP(A1172,sinap!$A$2:$R$9000,12,FALSE)</f>
        <v>Sin Movimiento</v>
      </c>
      <c r="R1172" s="15" t="str">
        <f>VLOOKUP(A1172,sinap!$A$2:$R$9000,16,FALSE)</f>
        <v>11.1.01.1241</v>
      </c>
      <c r="S1172" s="15" t="str">
        <f>VLOOKUP(A1172,sinap!$A$2:$Y$9000,20,FALSE)</f>
        <v>SI</v>
      </c>
      <c r="T1172" s="16">
        <v>44660</v>
      </c>
    </row>
    <row r="1173" spans="1:20" hidden="1" x14ac:dyDescent="0.25">
      <c r="A1173" s="15">
        <v>20910571</v>
      </c>
      <c r="H1173" s="16">
        <v>45648</v>
      </c>
      <c r="I1173" s="16">
        <v>45671</v>
      </c>
      <c r="J1173" s="15" t="str">
        <f>VLOOKUP(A1173,sinap!$A$2:$R$9000,2,FALSE)</f>
        <v>H</v>
      </c>
      <c r="K1173" s="15" t="str">
        <f>VLOOKUP(A1173,sinap!$A$2:$R$9000,3,FALSE)</f>
        <v>VACA</v>
      </c>
      <c r="L1173" s="15" t="str">
        <f>VLOOKUP(A1173,sinap!$A$2:$R$9000,4,FALSE)</f>
        <v>ANGUS NEGRO</v>
      </c>
      <c r="M1173" s="15" t="str">
        <f>VLOOKUP(A1173,sinap!$A$2:$R$9000,5,FALSE)</f>
        <v>4 años 1 meses</v>
      </c>
      <c r="N1173" s="15" t="str">
        <f>VLOOKUP(A1173,sinap!$A$2:$R$9000,6,FALSE)</f>
        <v>07-12-2021</v>
      </c>
      <c r="O1173" s="15" t="str">
        <f>VLOOKUP(A1173,sinap!$A$2:$R$9000,7,FALSE)</f>
        <v>Vivo</v>
      </c>
      <c r="P1173" s="15" t="str">
        <f>VLOOKUP(A1173,sinap!$A$2:$R$9000,8,FALSE)</f>
        <v>11.1.01.1241</v>
      </c>
      <c r="Q1173" s="15" t="str">
        <f>VLOOKUP(A1173,sinap!$A$2:$R$9000,12,FALSE)</f>
        <v>11.2.01.0038</v>
      </c>
      <c r="R1173" s="15" t="str">
        <f>VLOOKUP(A1173,sinap!$A$2:$R$9000,16,FALSE)</f>
        <v>11.1.01.0893</v>
      </c>
      <c r="S1173" s="15" t="str">
        <f>VLOOKUP(A1173,sinap!$A$2:$Y$9000,20,FALSE)</f>
        <v>SI</v>
      </c>
      <c r="T1173" s="16">
        <v>44708</v>
      </c>
    </row>
    <row r="1174" spans="1:20" hidden="1" x14ac:dyDescent="0.25">
      <c r="A1174" s="15">
        <v>20910572</v>
      </c>
      <c r="H1174" s="16">
        <v>45648</v>
      </c>
      <c r="I1174" s="16">
        <v>45671</v>
      </c>
      <c r="J1174" s="15" t="str">
        <f>VLOOKUP(A1174,sinap!$A$2:$R$9000,2,FALSE)</f>
        <v>H</v>
      </c>
      <c r="K1174" s="15" t="str">
        <f>VLOOKUP(A1174,sinap!$A$2:$R$9000,3,FALSE)</f>
        <v>VACA</v>
      </c>
      <c r="L1174" s="15" t="str">
        <f>VLOOKUP(A1174,sinap!$A$2:$R$9000,4,FALSE)</f>
        <v>ANGUS NEGRO</v>
      </c>
      <c r="M1174" s="15" t="str">
        <f>VLOOKUP(A1174,sinap!$A$2:$R$9000,5,FALSE)</f>
        <v>4 años 1 meses</v>
      </c>
      <c r="N1174" s="15" t="str">
        <f>VLOOKUP(A1174,sinap!$A$2:$R$9000,6,FALSE)</f>
        <v>07-12-2021</v>
      </c>
      <c r="O1174" s="15" t="str">
        <f>VLOOKUP(A1174,sinap!$A$2:$R$9000,7,FALSE)</f>
        <v>Vivo</v>
      </c>
      <c r="P1174" s="15" t="str">
        <f>VLOOKUP(A1174,sinap!$A$2:$R$9000,8,FALSE)</f>
        <v>11.1.01.1241</v>
      </c>
      <c r="Q1174" s="15" t="str">
        <f>VLOOKUP(A1174,sinap!$A$2:$R$9000,12,FALSE)</f>
        <v>11.1.01.1022</v>
      </c>
      <c r="R1174" s="15" t="str">
        <f>VLOOKUP(A1174,sinap!$A$2:$R$9000,16,FALSE)</f>
        <v>11.1.01.0893</v>
      </c>
      <c r="S1174" s="15" t="str">
        <f>VLOOKUP(A1174,sinap!$A$2:$Y$9000,20,FALSE)</f>
        <v>SI</v>
      </c>
      <c r="T1174" s="16">
        <v>44708</v>
      </c>
    </row>
    <row r="1175" spans="1:20" hidden="1" x14ac:dyDescent="0.25">
      <c r="A1175" s="15">
        <v>20910573</v>
      </c>
      <c r="H1175" s="16">
        <v>45648</v>
      </c>
      <c r="I1175" s="16">
        <v>45966</v>
      </c>
      <c r="J1175" s="15" t="str">
        <f>VLOOKUP(A1175,sinap!$A$2:$R$9000,2,FALSE)</f>
        <v>H</v>
      </c>
      <c r="K1175" s="15" t="str">
        <f>VLOOKUP(A1175,sinap!$A$2:$R$9000,3,FALSE)</f>
        <v>VACA</v>
      </c>
      <c r="L1175" s="15" t="str">
        <f>VLOOKUP(A1175,sinap!$A$2:$R$9000,4,FALSE)</f>
        <v>ANGUS ROJO</v>
      </c>
      <c r="M1175" s="15" t="str">
        <f>VLOOKUP(A1175,sinap!$A$2:$R$9000,5,FALSE)</f>
        <v>4 años 1 meses</v>
      </c>
      <c r="N1175" s="15" t="str">
        <f>VLOOKUP(A1175,sinap!$A$2:$R$9000,6,FALSE)</f>
        <v>07-12-2021</v>
      </c>
      <c r="O1175" s="15" t="str">
        <f>VLOOKUP(A1175,sinap!$A$2:$R$9000,7,FALSE)</f>
        <v>Vivo</v>
      </c>
      <c r="P1175" s="15" t="str">
        <f>VLOOKUP(A1175,sinap!$A$2:$R$9000,8,FALSE)</f>
        <v>11.1.01.2442</v>
      </c>
      <c r="Q1175" s="15" t="str">
        <f>VLOOKUP(A1175,sinap!$A$2:$R$9000,12,FALSE)</f>
        <v>11.1.01.0190</v>
      </c>
      <c r="R1175" s="15" t="str">
        <f>VLOOKUP(A1175,sinap!$A$2:$R$9000,16,FALSE)</f>
        <v>11.1.01.0893</v>
      </c>
      <c r="S1175" s="15" t="str">
        <f>VLOOKUP(A1175,sinap!$A$2:$Y$9000,20,FALSE)</f>
        <v>SI</v>
      </c>
      <c r="T1175" s="16">
        <v>44708</v>
      </c>
    </row>
    <row r="1176" spans="1:20" hidden="1" x14ac:dyDescent="0.25">
      <c r="A1176" s="15">
        <v>20910576</v>
      </c>
      <c r="H1176" s="16">
        <v>45648</v>
      </c>
      <c r="I1176" s="16">
        <v>45671</v>
      </c>
      <c r="J1176" s="15" t="str">
        <f>VLOOKUP(A1176,sinap!$A$2:$R$9000,2,FALSE)</f>
        <v>H</v>
      </c>
      <c r="K1176" s="15" t="str">
        <f>VLOOKUP(A1176,sinap!$A$2:$R$9000,3,FALSE)</f>
        <v>VACA</v>
      </c>
      <c r="L1176" s="15" t="str">
        <f>VLOOKUP(A1176,sinap!$A$2:$R$9000,4,FALSE)</f>
        <v>ANGUS NEGRO</v>
      </c>
      <c r="M1176" s="15" t="str">
        <f>VLOOKUP(A1176,sinap!$A$2:$R$9000,5,FALSE)</f>
        <v>4 años 1 meses</v>
      </c>
      <c r="N1176" s="15" t="str">
        <f>VLOOKUP(A1176,sinap!$A$2:$R$9000,6,FALSE)</f>
        <v>07-12-2021</v>
      </c>
      <c r="O1176" s="15" t="str">
        <f>VLOOKUP(A1176,sinap!$A$2:$R$9000,7,FALSE)</f>
        <v>Vivo</v>
      </c>
      <c r="P1176" s="15" t="str">
        <f>VLOOKUP(A1176,sinap!$A$2:$R$9000,8,FALSE)</f>
        <v>11.1.01.2442</v>
      </c>
      <c r="Q1176" s="15" t="str">
        <f>VLOOKUP(A1176,sinap!$A$2:$R$9000,12,FALSE)</f>
        <v>11.1.01.0190</v>
      </c>
      <c r="R1176" s="15" t="str">
        <f>VLOOKUP(A1176,sinap!$A$2:$R$9000,16,FALSE)</f>
        <v>11.1.01.0893</v>
      </c>
      <c r="S1176" s="15" t="str">
        <f>VLOOKUP(A1176,sinap!$A$2:$Y$9000,20,FALSE)</f>
        <v>SI</v>
      </c>
      <c r="T1176" s="16">
        <v>44708</v>
      </c>
    </row>
    <row r="1177" spans="1:20" hidden="1" x14ac:dyDescent="0.25">
      <c r="A1177" s="15">
        <v>20910579</v>
      </c>
      <c r="H1177" s="16">
        <v>45648</v>
      </c>
      <c r="I1177" s="16">
        <v>45671</v>
      </c>
      <c r="J1177" s="15" t="str">
        <f>VLOOKUP(A1177,sinap!$A$2:$R$9000,2,FALSE)</f>
        <v>H</v>
      </c>
      <c r="K1177" s="15" t="str">
        <f>VLOOKUP(A1177,sinap!$A$2:$R$9000,3,FALSE)</f>
        <v>VACA</v>
      </c>
      <c r="L1177" s="15" t="str">
        <f>VLOOKUP(A1177,sinap!$A$2:$R$9000,4,FALSE)</f>
        <v>ANGUS NEGRO</v>
      </c>
      <c r="M1177" s="15" t="str">
        <f>VLOOKUP(A1177,sinap!$A$2:$R$9000,5,FALSE)</f>
        <v>4 años 1 meses</v>
      </c>
      <c r="N1177" s="15" t="str">
        <f>VLOOKUP(A1177,sinap!$A$2:$R$9000,6,FALSE)</f>
        <v>07-12-2021</v>
      </c>
      <c r="O1177" s="15" t="str">
        <f>VLOOKUP(A1177,sinap!$A$2:$R$9000,7,FALSE)</f>
        <v>Vivo</v>
      </c>
      <c r="P1177" s="15" t="str">
        <f>VLOOKUP(A1177,sinap!$A$2:$R$9000,8,FALSE)</f>
        <v>11.1.01.1241</v>
      </c>
      <c r="Q1177" s="15" t="str">
        <f>VLOOKUP(A1177,sinap!$A$2:$R$9000,12,FALSE)</f>
        <v>11.1.01.1022</v>
      </c>
      <c r="R1177" s="15" t="str">
        <f>VLOOKUP(A1177,sinap!$A$2:$R$9000,16,FALSE)</f>
        <v>11.1.01.0893</v>
      </c>
      <c r="S1177" s="15" t="str">
        <f>VLOOKUP(A1177,sinap!$A$2:$Y$9000,20,FALSE)</f>
        <v>SI</v>
      </c>
      <c r="T1177" s="16">
        <v>44708</v>
      </c>
    </row>
    <row r="1178" spans="1:20" hidden="1" x14ac:dyDescent="0.25">
      <c r="A1178" s="15">
        <v>20910584</v>
      </c>
      <c r="H1178" s="16">
        <v>45648</v>
      </c>
      <c r="I1178" s="16">
        <v>45965</v>
      </c>
      <c r="J1178" s="15" t="str">
        <f>VLOOKUP(A1178,sinap!$A$2:$R$9000,2,FALSE)</f>
        <v>H</v>
      </c>
      <c r="K1178" s="15" t="str">
        <f>VLOOKUP(A1178,sinap!$A$2:$R$9000,3,FALSE)</f>
        <v>VACA</v>
      </c>
      <c r="L1178" s="15" t="str">
        <f>VLOOKUP(A1178,sinap!$A$2:$R$9000,4,FALSE)</f>
        <v>ANGUS NEGRO</v>
      </c>
      <c r="M1178" s="15" t="str">
        <f>VLOOKUP(A1178,sinap!$A$2:$R$9000,5,FALSE)</f>
        <v>4 años 1 meses</v>
      </c>
      <c r="N1178" s="15" t="str">
        <f>VLOOKUP(A1178,sinap!$A$2:$R$9000,6,FALSE)</f>
        <v>07-12-2021</v>
      </c>
      <c r="O1178" s="15" t="str">
        <f>VLOOKUP(A1178,sinap!$A$2:$R$9000,7,FALSE)</f>
        <v>Vivo</v>
      </c>
      <c r="P1178" s="15" t="str">
        <f>VLOOKUP(A1178,sinap!$A$2:$R$9000,8,FALSE)</f>
        <v>11.1.01.1241</v>
      </c>
      <c r="Q1178" s="15" t="str">
        <f>VLOOKUP(A1178,sinap!$A$2:$R$9000,12,FALSE)</f>
        <v>11.2.01.0038</v>
      </c>
      <c r="R1178" s="15" t="str">
        <f>VLOOKUP(A1178,sinap!$A$2:$R$9000,16,FALSE)</f>
        <v>11.1.01.0893</v>
      </c>
      <c r="S1178" s="15" t="str">
        <f>VLOOKUP(A1178,sinap!$A$2:$Y$9000,20,FALSE)</f>
        <v>SI</v>
      </c>
      <c r="T1178" s="16">
        <v>44708</v>
      </c>
    </row>
    <row r="1179" spans="1:20" hidden="1" x14ac:dyDescent="0.25">
      <c r="A1179" s="15">
        <v>20910590</v>
      </c>
      <c r="H1179" s="16">
        <v>45648</v>
      </c>
      <c r="I1179" s="16">
        <v>45965</v>
      </c>
      <c r="J1179" s="15" t="str">
        <f>VLOOKUP(A1179,sinap!$A$2:$R$9000,2,FALSE)</f>
        <v>H</v>
      </c>
      <c r="K1179" s="15" t="str">
        <f>VLOOKUP(A1179,sinap!$A$2:$R$9000,3,FALSE)</f>
        <v>VACA</v>
      </c>
      <c r="L1179" s="15" t="str">
        <f>VLOOKUP(A1179,sinap!$A$2:$R$9000,4,FALSE)</f>
        <v>ANGUS NEGRO</v>
      </c>
      <c r="M1179" s="15" t="str">
        <f>VLOOKUP(A1179,sinap!$A$2:$R$9000,5,FALSE)</f>
        <v>4 años 1 meses</v>
      </c>
      <c r="N1179" s="15" t="str">
        <f>VLOOKUP(A1179,sinap!$A$2:$R$9000,6,FALSE)</f>
        <v>07-12-2021</v>
      </c>
      <c r="O1179" s="15" t="str">
        <f>VLOOKUP(A1179,sinap!$A$2:$R$9000,7,FALSE)</f>
        <v>Vivo</v>
      </c>
      <c r="P1179" s="15" t="str">
        <f>VLOOKUP(A1179,sinap!$A$2:$R$9000,8,FALSE)</f>
        <v>11.1.01.1241</v>
      </c>
      <c r="Q1179" s="15" t="str">
        <f>VLOOKUP(A1179,sinap!$A$2:$R$9000,12,FALSE)</f>
        <v>11.2.01.0038</v>
      </c>
      <c r="R1179" s="15" t="str">
        <f>VLOOKUP(A1179,sinap!$A$2:$R$9000,16,FALSE)</f>
        <v>11.1.01.0893</v>
      </c>
      <c r="S1179" s="15" t="str">
        <f>VLOOKUP(A1179,sinap!$A$2:$Y$9000,20,FALSE)</f>
        <v>SI</v>
      </c>
      <c r="T1179" s="16">
        <v>44708</v>
      </c>
    </row>
    <row r="1180" spans="1:20" hidden="1" x14ac:dyDescent="0.25">
      <c r="A1180" s="15">
        <v>20910591</v>
      </c>
      <c r="J1180" s="15" t="str">
        <f>VLOOKUP(A1180,sinap!$A$2:$R$9000,2,FALSE)</f>
        <v>H</v>
      </c>
      <c r="K1180" s="15" t="str">
        <f>VLOOKUP(A1180,sinap!$A$2:$R$9000,3,FALSE)</f>
        <v>VACA</v>
      </c>
      <c r="L1180" s="15" t="str">
        <f>VLOOKUP(A1180,sinap!$A$2:$R$9000,4,FALSE)</f>
        <v>ANGUS ROJO</v>
      </c>
      <c r="M1180" s="15" t="str">
        <f>VLOOKUP(A1180,sinap!$A$2:$R$9000,5,FALSE)</f>
        <v>4 años 1 meses</v>
      </c>
      <c r="N1180" s="15" t="str">
        <f>VLOOKUP(A1180,sinap!$A$2:$R$9000,6,FALSE)</f>
        <v>07-12-2021</v>
      </c>
      <c r="O1180" s="15" t="str">
        <f>VLOOKUP(A1180,sinap!$A$2:$R$9000,7,FALSE)</f>
        <v>Vivo</v>
      </c>
      <c r="P1180" s="15" t="str">
        <f>VLOOKUP(A1180,sinap!$A$2:$R$9000,8,FALSE)</f>
        <v>11.1.01.2442</v>
      </c>
      <c r="Q1180" s="15" t="str">
        <f>VLOOKUP(A1180,sinap!$A$2:$R$9000,12,FALSE)</f>
        <v>11.1.01.0893</v>
      </c>
      <c r="R1180" s="15" t="str">
        <f>VLOOKUP(A1180,sinap!$A$2:$R$9000,16,FALSE)</f>
        <v>11.1.01.0893</v>
      </c>
      <c r="S1180" s="15" t="str">
        <f>VLOOKUP(A1180,sinap!$A$2:$Y$9000,20,FALSE)</f>
        <v>SI</v>
      </c>
      <c r="T1180" s="16">
        <v>44708</v>
      </c>
    </row>
    <row r="1181" spans="1:20" hidden="1" x14ac:dyDescent="0.25">
      <c r="A1181" s="15">
        <v>20910604</v>
      </c>
      <c r="H1181" s="16">
        <v>45648</v>
      </c>
      <c r="I1181" s="16">
        <v>45671</v>
      </c>
      <c r="J1181" s="15" t="str">
        <f>VLOOKUP(A1181,sinap!$A$2:$R$9000,2,FALSE)</f>
        <v>H</v>
      </c>
      <c r="K1181" s="15" t="str">
        <f>VLOOKUP(A1181,sinap!$A$2:$R$9000,3,FALSE)</f>
        <v>VACA</v>
      </c>
      <c r="L1181" s="15" t="str">
        <f>VLOOKUP(A1181,sinap!$A$2:$R$9000,4,FALSE)</f>
        <v>ANGUS NEGRO</v>
      </c>
      <c r="M1181" s="15" t="str">
        <f>VLOOKUP(A1181,sinap!$A$2:$R$9000,5,FALSE)</f>
        <v>4 años 1 meses</v>
      </c>
      <c r="N1181" s="15" t="str">
        <f>VLOOKUP(A1181,sinap!$A$2:$R$9000,6,FALSE)</f>
        <v>15-12-2021</v>
      </c>
      <c r="O1181" s="15" t="str">
        <f>VLOOKUP(A1181,sinap!$A$2:$R$9000,7,FALSE)</f>
        <v>Vivo</v>
      </c>
      <c r="P1181" s="15" t="str">
        <f>VLOOKUP(A1181,sinap!$A$2:$R$9000,8,FALSE)</f>
        <v>11.1.01.1241</v>
      </c>
      <c r="Q1181" s="15" t="str">
        <f>VLOOKUP(A1181,sinap!$A$2:$R$9000,12,FALSE)</f>
        <v>11.1.01.1022</v>
      </c>
      <c r="R1181" s="15" t="str">
        <f>VLOOKUP(A1181,sinap!$A$2:$R$9000,16,FALSE)</f>
        <v>11.1.01.1241</v>
      </c>
      <c r="S1181" s="15" t="str">
        <f>VLOOKUP(A1181,sinap!$A$2:$Y$9000,20,FALSE)</f>
        <v>SI</v>
      </c>
      <c r="T1181" s="16">
        <v>44709</v>
      </c>
    </row>
    <row r="1182" spans="1:20" hidden="1" x14ac:dyDescent="0.25">
      <c r="A1182" s="15">
        <v>20910606</v>
      </c>
      <c r="H1182" s="16">
        <v>45648</v>
      </c>
      <c r="I1182" s="16">
        <v>45671</v>
      </c>
      <c r="J1182" s="15" t="str">
        <f>VLOOKUP(A1182,sinap!$A$2:$R$9000,2,FALSE)</f>
        <v>H</v>
      </c>
      <c r="K1182" s="15" t="str">
        <f>VLOOKUP(A1182,sinap!$A$2:$R$9000,3,FALSE)</f>
        <v>VACA</v>
      </c>
      <c r="L1182" s="15" t="str">
        <f>VLOOKUP(A1182,sinap!$A$2:$R$9000,4,FALSE)</f>
        <v>ANGUS NEGRO</v>
      </c>
      <c r="M1182" s="15" t="str">
        <f>VLOOKUP(A1182,sinap!$A$2:$R$9000,5,FALSE)</f>
        <v>4 años 1 meses</v>
      </c>
      <c r="N1182" s="15" t="str">
        <f>VLOOKUP(A1182,sinap!$A$2:$R$9000,6,FALSE)</f>
        <v>15-12-2021</v>
      </c>
      <c r="O1182" s="15" t="str">
        <f>VLOOKUP(A1182,sinap!$A$2:$R$9000,7,FALSE)</f>
        <v>Vivo</v>
      </c>
      <c r="P1182" s="15" t="str">
        <f>VLOOKUP(A1182,sinap!$A$2:$R$9000,8,FALSE)</f>
        <v>11.1.01.2442</v>
      </c>
      <c r="Q1182" s="15" t="str">
        <f>VLOOKUP(A1182,sinap!$A$2:$R$9000,12,FALSE)</f>
        <v>11.1.01.0190</v>
      </c>
      <c r="R1182" s="15" t="str">
        <f>VLOOKUP(A1182,sinap!$A$2:$R$9000,16,FALSE)</f>
        <v>11.1.01.1241</v>
      </c>
      <c r="S1182" s="15" t="str">
        <f>VLOOKUP(A1182,sinap!$A$2:$Y$9000,20,FALSE)</f>
        <v>SI</v>
      </c>
      <c r="T1182" s="16">
        <v>44709</v>
      </c>
    </row>
    <row r="1183" spans="1:20" hidden="1" x14ac:dyDescent="0.25">
      <c r="A1183" s="15">
        <v>20910607</v>
      </c>
      <c r="J1183" s="15" t="str">
        <f>VLOOKUP(A1183,sinap!$A$2:$R$9000,2,FALSE)</f>
        <v>H</v>
      </c>
      <c r="K1183" s="15" t="str">
        <f>VLOOKUP(A1183,sinap!$A$2:$R$9000,3,FALSE)</f>
        <v>VACA</v>
      </c>
      <c r="L1183" s="15" t="str">
        <f>VLOOKUP(A1183,sinap!$A$2:$R$9000,4,FALSE)</f>
        <v>ANGUS NEGRO</v>
      </c>
      <c r="M1183" s="15" t="str">
        <f>VLOOKUP(A1183,sinap!$A$2:$R$9000,5,FALSE)</f>
        <v>4 años 1 meses</v>
      </c>
      <c r="N1183" s="15" t="str">
        <f>VLOOKUP(A1183,sinap!$A$2:$R$9000,6,FALSE)</f>
        <v>15-12-2021</v>
      </c>
      <c r="O1183" s="15" t="str">
        <f>VLOOKUP(A1183,sinap!$A$2:$R$9000,7,FALSE)</f>
        <v>Vivo</v>
      </c>
      <c r="P1183" s="15" t="str">
        <f>VLOOKUP(A1183,sinap!$A$2:$R$9000,8,FALSE)</f>
        <v>11.1.01.0791</v>
      </c>
      <c r="Q1183" s="15" t="str">
        <f>VLOOKUP(A1183,sinap!$A$2:$R$9000,12,FALSE)</f>
        <v>11.1.01.0893</v>
      </c>
      <c r="R1183" s="15" t="str">
        <f>VLOOKUP(A1183,sinap!$A$2:$R$9000,16,FALSE)</f>
        <v>11.1.01.1241</v>
      </c>
      <c r="S1183" s="15" t="str">
        <f>VLOOKUP(A1183,sinap!$A$2:$Y$9000,20,FALSE)</f>
        <v>SI</v>
      </c>
      <c r="T1183" s="16">
        <v>44709</v>
      </c>
    </row>
    <row r="1184" spans="1:20" hidden="1" x14ac:dyDescent="0.25">
      <c r="A1184" s="15">
        <v>20910608</v>
      </c>
      <c r="H1184" s="16">
        <v>45648</v>
      </c>
      <c r="I1184" s="16">
        <v>45965</v>
      </c>
      <c r="J1184" s="15" t="str">
        <f>VLOOKUP(A1184,sinap!$A$2:$R$9000,2,FALSE)</f>
        <v>H</v>
      </c>
      <c r="K1184" s="15" t="str">
        <f>VLOOKUP(A1184,sinap!$A$2:$R$9000,3,FALSE)</f>
        <v>VACA</v>
      </c>
      <c r="L1184" s="15" t="str">
        <f>VLOOKUP(A1184,sinap!$A$2:$R$9000,4,FALSE)</f>
        <v>ANGUS NEGRO</v>
      </c>
      <c r="M1184" s="15" t="str">
        <f>VLOOKUP(A1184,sinap!$A$2:$R$9000,5,FALSE)</f>
        <v>4 años 1 meses</v>
      </c>
      <c r="N1184" s="15" t="str">
        <f>VLOOKUP(A1184,sinap!$A$2:$R$9000,6,FALSE)</f>
        <v>15-12-2021</v>
      </c>
      <c r="O1184" s="15" t="str">
        <f>VLOOKUP(A1184,sinap!$A$2:$R$9000,7,FALSE)</f>
        <v>Vivo</v>
      </c>
      <c r="P1184" s="15" t="str">
        <f>VLOOKUP(A1184,sinap!$A$2:$R$9000,8,FALSE)</f>
        <v>11.1.01.2442</v>
      </c>
      <c r="Q1184" s="15" t="str">
        <f>VLOOKUP(A1184,sinap!$A$2:$R$9000,12,FALSE)</f>
        <v>11.1.01.0190</v>
      </c>
      <c r="R1184" s="15" t="str">
        <f>VLOOKUP(A1184,sinap!$A$2:$R$9000,16,FALSE)</f>
        <v>11.1.01.1241</v>
      </c>
      <c r="S1184" s="15" t="str">
        <f>VLOOKUP(A1184,sinap!$A$2:$Y$9000,20,FALSE)</f>
        <v>SI</v>
      </c>
      <c r="T1184" s="16">
        <v>44709</v>
      </c>
    </row>
    <row r="1185" spans="1:20" hidden="1" x14ac:dyDescent="0.25">
      <c r="A1185" s="15">
        <v>20910612</v>
      </c>
      <c r="C1185" s="15">
        <v>6154958</v>
      </c>
      <c r="H1185" s="16">
        <v>45432</v>
      </c>
      <c r="J1185" s="15" t="str">
        <f>VLOOKUP(A1185,sinap!$A$2:$R$9000,2,FALSE)</f>
        <v>H</v>
      </c>
      <c r="K1185" s="15" t="str">
        <f>VLOOKUP(A1185,sinap!$A$2:$R$9000,3,FALSE)</f>
        <v>VACA</v>
      </c>
      <c r="L1185" s="15" t="str">
        <f>VLOOKUP(A1185,sinap!$A$2:$R$9000,4,FALSE)</f>
        <v>ANGUS NEGRO</v>
      </c>
      <c r="M1185" s="15" t="str">
        <f>VLOOKUP(A1185,sinap!$A$2:$R$9000,5,FALSE)</f>
        <v>15 años 3 meses</v>
      </c>
      <c r="N1185" s="15" t="str">
        <f>VLOOKUP(A1185,sinap!$A$2:$R$9000,6,FALSE)</f>
        <v>30-09-2010</v>
      </c>
      <c r="O1185" s="15" t="str">
        <f>VLOOKUP(A1185,sinap!$A$2:$R$9000,7,FALSE)</f>
        <v>Vivo</v>
      </c>
      <c r="P1185" s="15" t="str">
        <f>VLOOKUP(A1185,sinap!$A$2:$R$9000,8,FALSE)</f>
        <v>11.1.01.0941</v>
      </c>
      <c r="Q1185" s="15" t="str">
        <f>VLOOKUP(A1185,sinap!$A$2:$R$9000,12,FALSE)</f>
        <v>11.1.01.1241</v>
      </c>
      <c r="R1185" s="15" t="str">
        <f>VLOOKUP(A1185,sinap!$A$2:$R$9000,16,FALSE)</f>
        <v>11.1.01.1241</v>
      </c>
      <c r="S1185" s="15" t="str">
        <f>VLOOKUP(A1185,sinap!$A$2:$Y$9000,20,FALSE)</f>
        <v>SI</v>
      </c>
    </row>
    <row r="1186" spans="1:20" hidden="1" x14ac:dyDescent="0.25">
      <c r="A1186" s="15">
        <v>20910613</v>
      </c>
      <c r="C1186" s="15">
        <v>6154794</v>
      </c>
      <c r="J1186" s="15" t="str">
        <f>VLOOKUP(A1186,sinap!$A$2:$R$9000,2,FALSE)</f>
        <v>H</v>
      </c>
      <c r="K1186" s="15" t="str">
        <f>VLOOKUP(A1186,sinap!$A$2:$R$9000,3,FALSE)</f>
        <v>VACA</v>
      </c>
      <c r="L1186" s="15" t="str">
        <f>VLOOKUP(A1186,sinap!$A$2:$R$9000,4,FALSE)</f>
        <v>ANGUS NEGRO</v>
      </c>
      <c r="M1186" s="15" t="str">
        <f>VLOOKUP(A1186,sinap!$A$2:$R$9000,5,FALSE)</f>
        <v>14 años 11 meses</v>
      </c>
      <c r="N1186" s="15" t="str">
        <f>VLOOKUP(A1186,sinap!$A$2:$R$9000,6,FALSE)</f>
        <v>30-01-2011</v>
      </c>
      <c r="O1186" s="15" t="str">
        <f>VLOOKUP(A1186,sinap!$A$2:$R$9000,7,FALSE)</f>
        <v>Vivo</v>
      </c>
      <c r="P1186" s="15" t="str">
        <f>VLOOKUP(A1186,sinap!$A$2:$R$9000,8,FALSE)</f>
        <v>11.1.01.1241</v>
      </c>
      <c r="Q1186" s="15" t="str">
        <f>VLOOKUP(A1186,sinap!$A$2:$R$9000,12,FALSE)</f>
        <v>11.2.01.0038</v>
      </c>
      <c r="R1186" s="15" t="str">
        <f>VLOOKUP(A1186,sinap!$A$2:$R$9000,16,FALSE)</f>
        <v>11.1.01.1241</v>
      </c>
      <c r="S1186" s="15" t="str">
        <f>VLOOKUP(A1186,sinap!$A$2:$Y$9000,20,FALSE)</f>
        <v>SI</v>
      </c>
    </row>
    <row r="1187" spans="1:20" hidden="1" x14ac:dyDescent="0.25">
      <c r="A1187" s="15">
        <v>20910614</v>
      </c>
      <c r="C1187" s="15">
        <v>8392827</v>
      </c>
      <c r="H1187" s="16">
        <v>45432</v>
      </c>
      <c r="J1187" s="15" t="str">
        <f>VLOOKUP(A1187,sinap!$A$2:$R$9000,2,FALSE)</f>
        <v>H</v>
      </c>
      <c r="K1187" s="15" t="str">
        <f>VLOOKUP(A1187,sinap!$A$2:$R$9000,3,FALSE)</f>
        <v>VACA</v>
      </c>
      <c r="L1187" s="15" t="str">
        <f>VLOOKUP(A1187,sinap!$A$2:$R$9000,4,FALSE)</f>
        <v>ANGUS NEGRO</v>
      </c>
      <c r="M1187" s="15" t="str">
        <f>VLOOKUP(A1187,sinap!$A$2:$R$9000,5,FALSE)</f>
        <v>12 años 11 meses</v>
      </c>
      <c r="N1187" s="15" t="str">
        <f>VLOOKUP(A1187,sinap!$A$2:$R$9000,6,FALSE)</f>
        <v>30-01-2013</v>
      </c>
      <c r="O1187" s="15" t="str">
        <f>VLOOKUP(A1187,sinap!$A$2:$R$9000,7,FALSE)</f>
        <v>Vivo</v>
      </c>
      <c r="P1187" s="15" t="str">
        <f>VLOOKUP(A1187,sinap!$A$2:$R$9000,8,FALSE)</f>
        <v>11.1.01.1241</v>
      </c>
      <c r="Q1187" s="15" t="str">
        <f>VLOOKUP(A1187,sinap!$A$2:$R$9000,12,FALSE)</f>
        <v>11.1.01.0870</v>
      </c>
      <c r="R1187" s="15" t="str">
        <f>VLOOKUP(A1187,sinap!$A$2:$R$9000,16,FALSE)</f>
        <v>11.1.01.1240</v>
      </c>
      <c r="S1187" s="15" t="str">
        <f>VLOOKUP(A1187,sinap!$A$2:$Y$9000,20,FALSE)</f>
        <v>SI</v>
      </c>
    </row>
    <row r="1188" spans="1:20" hidden="1" x14ac:dyDescent="0.25">
      <c r="A1188" s="15">
        <v>20910620</v>
      </c>
      <c r="H1188" s="16">
        <v>45648</v>
      </c>
      <c r="I1188" s="16">
        <v>45671</v>
      </c>
      <c r="J1188" s="15" t="str">
        <f>VLOOKUP(A1188,sinap!$A$2:$R$9000,2,FALSE)</f>
        <v>H</v>
      </c>
      <c r="K1188" s="15" t="str">
        <f>VLOOKUP(A1188,sinap!$A$2:$R$9000,3,FALSE)</f>
        <v>VACA</v>
      </c>
      <c r="L1188" s="15" t="str">
        <f>VLOOKUP(A1188,sinap!$A$2:$R$9000,4,FALSE)</f>
        <v>LIMOUSIN</v>
      </c>
      <c r="M1188" s="15" t="str">
        <f>VLOOKUP(A1188,sinap!$A$2:$R$9000,5,FALSE)</f>
        <v>4 años 0 meses</v>
      </c>
      <c r="N1188" s="15" t="str">
        <f>VLOOKUP(A1188,sinap!$A$2:$R$9000,6,FALSE)</f>
        <v>30-12-2021</v>
      </c>
      <c r="O1188" s="15" t="str">
        <f>VLOOKUP(A1188,sinap!$A$2:$R$9000,7,FALSE)</f>
        <v>Vivo</v>
      </c>
      <c r="P1188" s="15" t="str">
        <f>VLOOKUP(A1188,sinap!$A$2:$R$9000,8,FALSE)</f>
        <v>11.1.01.1241</v>
      </c>
      <c r="Q1188" s="15" t="str">
        <f>VLOOKUP(A1188,sinap!$A$2:$R$9000,12,FALSE)</f>
        <v>11.1.01.1022</v>
      </c>
      <c r="R1188" s="15" t="str">
        <f>VLOOKUP(A1188,sinap!$A$2:$R$9000,16,FALSE)</f>
        <v>11.1.01.1241</v>
      </c>
      <c r="S1188" s="15" t="str">
        <f>VLOOKUP(A1188,sinap!$A$2:$Y$9000,20,FALSE)</f>
        <v>SI</v>
      </c>
      <c r="T1188" s="16">
        <v>44780</v>
      </c>
    </row>
    <row r="1189" spans="1:20" hidden="1" x14ac:dyDescent="0.25">
      <c r="A1189" s="15">
        <v>20910625</v>
      </c>
      <c r="J1189" s="15" t="str">
        <f>VLOOKUP(A1189,sinap!$A$2:$R$9000,2,FALSE)</f>
        <v>M</v>
      </c>
      <c r="K1189" s="15" t="str">
        <f>VLOOKUP(A1189,sinap!$A$2:$R$9000,3,FALSE)</f>
        <v>TORO</v>
      </c>
      <c r="L1189" s="15" t="str">
        <f>VLOOKUP(A1189,sinap!$A$2:$R$9000,4,FALSE)</f>
        <v>ANGUS ROJO</v>
      </c>
      <c r="M1189" s="15" t="str">
        <f>VLOOKUP(A1189,sinap!$A$2:$R$9000,5,FALSE)</f>
        <v>4 años 0 meses</v>
      </c>
      <c r="N1189" s="15" t="str">
        <f>VLOOKUP(A1189,sinap!$A$2:$R$9000,6,FALSE)</f>
        <v>30-12-2021</v>
      </c>
      <c r="O1189" s="15" t="str">
        <f>VLOOKUP(A1189,sinap!$A$2:$R$9000,7,FALSE)</f>
        <v>Vivo</v>
      </c>
      <c r="P1189" s="15" t="str">
        <f>VLOOKUP(A1189,sinap!$A$2:$R$9000,8,FALSE)</f>
        <v>11.1.01.2442</v>
      </c>
      <c r="Q1189" s="15" t="str">
        <f>VLOOKUP(A1189,sinap!$A$2:$R$9000,12,FALSE)</f>
        <v>11.1.01.0190</v>
      </c>
      <c r="R1189" s="15" t="str">
        <f>VLOOKUP(A1189,sinap!$A$2:$R$9000,16,FALSE)</f>
        <v>11.1.01.1241</v>
      </c>
      <c r="S1189" s="15" t="str">
        <f>VLOOKUP(A1189,sinap!$A$2:$Y$9000,20,FALSE)</f>
        <v>SI</v>
      </c>
      <c r="T1189" s="16">
        <v>44780</v>
      </c>
    </row>
    <row r="1190" spans="1:20" hidden="1" x14ac:dyDescent="0.25">
      <c r="A1190" s="15">
        <v>20910636</v>
      </c>
      <c r="C1190" s="15">
        <v>14717775</v>
      </c>
      <c r="H1190" s="16">
        <v>45648</v>
      </c>
      <c r="I1190" s="16">
        <v>45671</v>
      </c>
      <c r="J1190" s="15" t="str">
        <f>VLOOKUP(A1190,sinap!$A$2:$R$9000,2,FALSE)</f>
        <v>H</v>
      </c>
      <c r="K1190" s="15" t="str">
        <f>VLOOKUP(A1190,sinap!$A$2:$R$9000,3,FALSE)</f>
        <v>VACA</v>
      </c>
      <c r="L1190" s="15" t="str">
        <f>VLOOKUP(A1190,sinap!$A$2:$R$9000,4,FALSE)</f>
        <v>ANGUS NEGRO</v>
      </c>
      <c r="M1190" s="15" t="str">
        <f>VLOOKUP(A1190,sinap!$A$2:$R$9000,5,FALSE)</f>
        <v>9 años 3 meses</v>
      </c>
      <c r="N1190" s="15" t="str">
        <f>VLOOKUP(A1190,sinap!$A$2:$R$9000,6,FALSE)</f>
        <v>15-10-2016</v>
      </c>
      <c r="O1190" s="15" t="str">
        <f>VLOOKUP(A1190,sinap!$A$2:$R$9000,7,FALSE)</f>
        <v>Vivo</v>
      </c>
      <c r="P1190" s="15" t="str">
        <f>VLOOKUP(A1190,sinap!$A$2:$R$9000,8,FALSE)</f>
        <v>11.1.01.1241</v>
      </c>
      <c r="Q1190" s="15" t="str">
        <f>VLOOKUP(A1190,sinap!$A$2:$R$9000,12,FALSE)</f>
        <v>11.2.01.0038</v>
      </c>
      <c r="R1190" s="15" t="str">
        <f>VLOOKUP(A1190,sinap!$A$2:$R$9000,16,FALSE)</f>
        <v>11.1.01.0893</v>
      </c>
      <c r="S1190" s="15" t="str">
        <f>VLOOKUP(A1190,sinap!$A$2:$Y$9000,20,FALSE)</f>
        <v>SI</v>
      </c>
    </row>
    <row r="1191" spans="1:20" hidden="1" x14ac:dyDescent="0.25">
      <c r="A1191" s="15">
        <v>20910637</v>
      </c>
      <c r="H1191" s="16">
        <v>45648</v>
      </c>
      <c r="I1191" s="16">
        <v>45965</v>
      </c>
      <c r="J1191" s="15" t="str">
        <f>VLOOKUP(A1191,sinap!$A$2:$R$9000,2,FALSE)</f>
        <v>H</v>
      </c>
      <c r="K1191" s="15" t="str">
        <f>VLOOKUP(A1191,sinap!$A$2:$R$9000,3,FALSE)</f>
        <v>VACA</v>
      </c>
      <c r="L1191" s="15" t="str">
        <f>VLOOKUP(A1191,sinap!$A$2:$R$9000,4,FALSE)</f>
        <v>ANGUS NEGRO</v>
      </c>
      <c r="M1191" s="15" t="str">
        <f>VLOOKUP(A1191,sinap!$A$2:$R$9000,5,FALSE)</f>
        <v>11 años 3 meses</v>
      </c>
      <c r="N1191" s="15" t="str">
        <f>VLOOKUP(A1191,sinap!$A$2:$R$9000,6,FALSE)</f>
        <v>15-10-2014</v>
      </c>
      <c r="O1191" s="15" t="str">
        <f>VLOOKUP(A1191,sinap!$A$2:$R$9000,7,FALSE)</f>
        <v>Vivo</v>
      </c>
      <c r="P1191" s="15" t="str">
        <f>VLOOKUP(A1191,sinap!$A$2:$R$9000,8,FALSE)</f>
        <v>11.1.01.2442</v>
      </c>
      <c r="Q1191" s="15" t="str">
        <f>VLOOKUP(A1191,sinap!$A$2:$R$9000,12,FALSE)</f>
        <v>11.1.01.0190</v>
      </c>
      <c r="R1191" s="15" t="str">
        <f>VLOOKUP(A1191,sinap!$A$2:$R$9000,16,FALSE)</f>
        <v>11.1.01.1241</v>
      </c>
      <c r="S1191" s="15" t="str">
        <f>VLOOKUP(A1191,sinap!$A$2:$Y$9000,20,FALSE)</f>
        <v>NO</v>
      </c>
      <c r="T1191" s="16">
        <v>45090</v>
      </c>
    </row>
    <row r="1192" spans="1:20" hidden="1" x14ac:dyDescent="0.25">
      <c r="A1192" s="15">
        <v>20910640</v>
      </c>
      <c r="H1192" s="16">
        <v>45648</v>
      </c>
      <c r="I1192" s="16">
        <v>45671</v>
      </c>
      <c r="J1192" s="15" t="str">
        <f>VLOOKUP(A1192,sinap!$A$2:$R$9000,2,FALSE)</f>
        <v>H</v>
      </c>
      <c r="K1192" s="15" t="str">
        <f>VLOOKUP(A1192,sinap!$A$2:$R$9000,3,FALSE)</f>
        <v>VACA</v>
      </c>
      <c r="L1192" s="15" t="str">
        <f>VLOOKUP(A1192,sinap!$A$2:$R$9000,4,FALSE)</f>
        <v>ANGUS NEGRO</v>
      </c>
      <c r="M1192" s="15" t="str">
        <f>VLOOKUP(A1192,sinap!$A$2:$R$9000,5,FALSE)</f>
        <v>11 años 3 meses</v>
      </c>
      <c r="N1192" s="15" t="str">
        <f>VLOOKUP(A1192,sinap!$A$2:$R$9000,6,FALSE)</f>
        <v>15-10-2014</v>
      </c>
      <c r="O1192" s="15" t="str">
        <f>VLOOKUP(A1192,sinap!$A$2:$R$9000,7,FALSE)</f>
        <v>Vivo</v>
      </c>
      <c r="P1192" s="15" t="str">
        <f>VLOOKUP(A1192,sinap!$A$2:$R$9000,8,FALSE)</f>
        <v>11.1.01.1241</v>
      </c>
      <c r="Q1192" s="15" t="str">
        <f>VLOOKUP(A1192,sinap!$A$2:$R$9000,12,FALSE)</f>
        <v>Sin Movimiento</v>
      </c>
      <c r="R1192" s="15" t="str">
        <f>VLOOKUP(A1192,sinap!$A$2:$R$9000,16,FALSE)</f>
        <v>11.1.01.1241</v>
      </c>
      <c r="S1192" s="15" t="str">
        <f>VLOOKUP(A1192,sinap!$A$2:$Y$9000,20,FALSE)</f>
        <v>NO</v>
      </c>
      <c r="T1192" s="16">
        <v>45090</v>
      </c>
    </row>
    <row r="1193" spans="1:20" hidden="1" x14ac:dyDescent="0.25">
      <c r="A1193" s="15">
        <v>20910641</v>
      </c>
      <c r="C1193" s="15">
        <v>8392478</v>
      </c>
      <c r="H1193" s="16">
        <v>45648</v>
      </c>
      <c r="I1193" s="16">
        <v>45671</v>
      </c>
      <c r="J1193" s="15" t="str">
        <f>VLOOKUP(A1193,sinap!$A$2:$R$9000,2,FALSE)</f>
        <v>H</v>
      </c>
      <c r="K1193" s="15" t="str">
        <f>VLOOKUP(A1193,sinap!$A$2:$R$9000,3,FALSE)</f>
        <v>VACA</v>
      </c>
      <c r="L1193" s="15" t="str">
        <f>VLOOKUP(A1193,sinap!$A$2:$R$9000,4,FALSE)</f>
        <v>ANGUS NEGRO</v>
      </c>
      <c r="M1193" s="15" t="str">
        <f>VLOOKUP(A1193,sinap!$A$2:$R$9000,5,FALSE)</f>
        <v>13 años 2 meses</v>
      </c>
      <c r="N1193" s="15" t="str">
        <f>VLOOKUP(A1193,sinap!$A$2:$R$9000,6,FALSE)</f>
        <v>30-10-2012</v>
      </c>
      <c r="O1193" s="15" t="str">
        <f>VLOOKUP(A1193,sinap!$A$2:$R$9000,7,FALSE)</f>
        <v>Vivo</v>
      </c>
      <c r="P1193" s="15" t="str">
        <f>VLOOKUP(A1193,sinap!$A$2:$R$9000,8,FALSE)</f>
        <v>11.1.01.1241</v>
      </c>
      <c r="Q1193" s="15" t="str">
        <f>VLOOKUP(A1193,sinap!$A$2:$R$9000,12,FALSE)</f>
        <v>11.2.01.0038</v>
      </c>
      <c r="R1193" s="15" t="str">
        <f>VLOOKUP(A1193,sinap!$A$2:$R$9000,16,FALSE)</f>
        <v>11.1.01.1241</v>
      </c>
      <c r="S1193" s="15" t="str">
        <f>VLOOKUP(A1193,sinap!$A$2:$Y$9000,20,FALSE)</f>
        <v>SI</v>
      </c>
    </row>
    <row r="1194" spans="1:20" hidden="1" x14ac:dyDescent="0.25">
      <c r="A1194" s="15">
        <v>20910643</v>
      </c>
      <c r="C1194" s="15">
        <v>8933487</v>
      </c>
      <c r="H1194" s="16">
        <v>45648</v>
      </c>
      <c r="I1194" s="16">
        <v>45965</v>
      </c>
      <c r="J1194" s="15" t="str">
        <f>VLOOKUP(A1194,sinap!$A$2:$R$9000,2,FALSE)</f>
        <v>H</v>
      </c>
      <c r="K1194" s="15" t="str">
        <f>VLOOKUP(A1194,sinap!$A$2:$R$9000,3,FALSE)</f>
        <v>VACA</v>
      </c>
      <c r="L1194" s="15" t="str">
        <f>VLOOKUP(A1194,sinap!$A$2:$R$9000,4,FALSE)</f>
        <v>ANGUS NEGRO</v>
      </c>
      <c r="M1194" s="15" t="str">
        <f>VLOOKUP(A1194,sinap!$A$2:$R$9000,5,FALSE)</f>
        <v>11 años 2 meses</v>
      </c>
      <c r="N1194" s="15" t="str">
        <f>VLOOKUP(A1194,sinap!$A$2:$R$9000,6,FALSE)</f>
        <v>30-10-2014</v>
      </c>
      <c r="O1194" s="15" t="str">
        <f>VLOOKUP(A1194,sinap!$A$2:$R$9000,7,FALSE)</f>
        <v>Vivo</v>
      </c>
      <c r="P1194" s="15" t="str">
        <f>VLOOKUP(A1194,sinap!$A$2:$R$9000,8,FALSE)</f>
        <v>11.1.01.2442</v>
      </c>
      <c r="Q1194" s="15" t="str">
        <f>VLOOKUP(A1194,sinap!$A$2:$R$9000,12,FALSE)</f>
        <v>11.1.01.0190</v>
      </c>
      <c r="R1194" s="15" t="str">
        <f>VLOOKUP(A1194,sinap!$A$2:$R$9000,16,FALSE)</f>
        <v>11.1.01.1081</v>
      </c>
      <c r="S1194" s="15" t="str">
        <f>VLOOKUP(A1194,sinap!$A$2:$Y$9000,20,FALSE)</f>
        <v>SI</v>
      </c>
    </row>
    <row r="1195" spans="1:20" hidden="1" x14ac:dyDescent="0.25">
      <c r="A1195" s="15">
        <v>20910650</v>
      </c>
      <c r="J1195" s="15" t="str">
        <f>VLOOKUP(A1195,sinap!$A$2:$R$9000,2,FALSE)</f>
        <v>M</v>
      </c>
      <c r="K1195" s="15" t="str">
        <f>VLOOKUP(A1195,sinap!$A$2:$R$9000,3,FALSE)</f>
        <v>TORO</v>
      </c>
      <c r="L1195" s="15" t="str">
        <f>VLOOKUP(A1195,sinap!$A$2:$R$9000,4,FALSE)</f>
        <v>ANGUS NEGRO</v>
      </c>
      <c r="M1195" s="15" t="str">
        <f>VLOOKUP(A1195,sinap!$A$2:$R$9000,5,FALSE)</f>
        <v>3 años 2 meses</v>
      </c>
      <c r="N1195" s="15" t="str">
        <f>VLOOKUP(A1195,sinap!$A$2:$R$9000,6,FALSE)</f>
        <v>15-11-2022</v>
      </c>
      <c r="O1195" s="15" t="str">
        <f>VLOOKUP(A1195,sinap!$A$2:$R$9000,7,FALSE)</f>
        <v>Vivo</v>
      </c>
      <c r="P1195" s="15" t="str">
        <f>VLOOKUP(A1195,sinap!$A$2:$R$9000,8,FALSE)</f>
        <v>11.1.01.2442</v>
      </c>
      <c r="Q1195" s="15" t="str">
        <f>VLOOKUP(A1195,sinap!$A$2:$R$9000,12,FALSE)</f>
        <v>11.2.01.2086</v>
      </c>
      <c r="R1195" s="15" t="str">
        <f>VLOOKUP(A1195,sinap!$A$2:$R$9000,16,FALSE)</f>
        <v>11.1.01.1241</v>
      </c>
      <c r="S1195" s="15" t="str">
        <f>VLOOKUP(A1195,sinap!$A$2:$Y$9000,20,FALSE)</f>
        <v>SI</v>
      </c>
      <c r="T1195" s="16">
        <v>45091</v>
      </c>
    </row>
    <row r="1196" spans="1:20" hidden="1" x14ac:dyDescent="0.25">
      <c r="A1196" s="15">
        <v>20910653</v>
      </c>
      <c r="B1196" s="15">
        <v>2636172</v>
      </c>
      <c r="C1196" s="15">
        <v>18072809</v>
      </c>
      <c r="H1196" s="16">
        <v>45636</v>
      </c>
      <c r="J1196" s="15" t="str">
        <f>VLOOKUP(A1196,sinap!$A$2:$R$9000,2,FALSE)</f>
        <v>M</v>
      </c>
      <c r="K1196" s="15" t="str">
        <f>VLOOKUP(A1196,sinap!$A$2:$R$9000,3,FALSE)</f>
        <v>TORO</v>
      </c>
      <c r="L1196" s="15" t="str">
        <f>VLOOKUP(A1196,sinap!$A$2:$R$9000,4,FALSE)</f>
        <v>ANGUS NEGRO</v>
      </c>
      <c r="M1196" s="15" t="str">
        <f>VLOOKUP(A1196,sinap!$A$2:$R$9000,5,FALSE)</f>
        <v>6 años 1 meses</v>
      </c>
      <c r="N1196" s="15" t="str">
        <f>VLOOKUP(A1196,sinap!$A$2:$R$9000,6,FALSE)</f>
        <v>15-12-2019</v>
      </c>
      <c r="O1196" s="15" t="str">
        <f>VLOOKUP(A1196,sinap!$A$2:$R$9000,7,FALSE)</f>
        <v>Vivo</v>
      </c>
      <c r="P1196" s="15" t="str">
        <f>VLOOKUP(A1196,sinap!$A$2:$R$9000,8,FALSE)</f>
        <v>11.1.01.0893</v>
      </c>
      <c r="Q1196" s="15" t="str">
        <f>VLOOKUP(A1196,sinap!$A$2:$R$9000,12,FALSE)</f>
        <v>11.1.01.0791</v>
      </c>
      <c r="R1196" s="15" t="str">
        <f>VLOOKUP(A1196,sinap!$A$2:$R$9000,16,FALSE)</f>
        <v>11.2.01.0251</v>
      </c>
      <c r="S1196" s="15" t="str">
        <f>VLOOKUP(A1196,sinap!$A$2:$Y$9000,20,FALSE)</f>
        <v>SI</v>
      </c>
    </row>
    <row r="1197" spans="1:20" hidden="1" x14ac:dyDescent="0.25">
      <c r="A1197" s="15">
        <v>20910654</v>
      </c>
      <c r="B1197" s="15">
        <v>2636142</v>
      </c>
      <c r="C1197" s="15">
        <v>19050239</v>
      </c>
      <c r="I1197" s="16">
        <v>45818</v>
      </c>
      <c r="J1197" s="15" t="str">
        <f>VLOOKUP(A1197,sinap!$A$2:$R$9000,2,FALSE)</f>
        <v>M</v>
      </c>
      <c r="K1197" s="15" t="str">
        <f>VLOOKUP(A1197,sinap!$A$2:$R$9000,3,FALSE)</f>
        <v>TORO</v>
      </c>
      <c r="L1197" s="15" t="str">
        <f>VLOOKUP(A1197,sinap!$A$2:$R$9000,4,FALSE)</f>
        <v>ANGUS NEGRO</v>
      </c>
      <c r="M1197" s="15" t="str">
        <f>VLOOKUP(A1197,sinap!$A$2:$R$9000,5,FALSE)</f>
        <v>7 años 2 meses</v>
      </c>
      <c r="N1197" s="15" t="str">
        <f>VLOOKUP(A1197,sinap!$A$2:$R$9000,6,FALSE)</f>
        <v>12-11-2018</v>
      </c>
      <c r="O1197" s="15" t="str">
        <f>VLOOKUP(A1197,sinap!$A$2:$R$9000,7,FALSE)</f>
        <v>Vivo</v>
      </c>
      <c r="P1197" s="15" t="str">
        <f>VLOOKUP(A1197,sinap!$A$2:$R$9000,8,FALSE)</f>
        <v>11.1.01.1241</v>
      </c>
      <c r="Q1197" s="15" t="str">
        <f>VLOOKUP(A1197,sinap!$A$2:$R$9000,12,FALSE)</f>
        <v>11.2.01.0038</v>
      </c>
      <c r="R1197" s="15" t="str">
        <f>VLOOKUP(A1197,sinap!$A$2:$R$9000,16,FALSE)</f>
        <v>11.2.01.0251</v>
      </c>
      <c r="S1197" s="15" t="str">
        <f>VLOOKUP(A1197,sinap!$A$2:$Y$9000,20,FALSE)</f>
        <v>SI</v>
      </c>
    </row>
    <row r="1198" spans="1:20" hidden="1" x14ac:dyDescent="0.25">
      <c r="A1198" s="15">
        <v>20910659</v>
      </c>
      <c r="J1198" s="15" t="str">
        <f>VLOOKUP(A1198,sinap!$A$2:$R$9000,2,FALSE)</f>
        <v>M</v>
      </c>
      <c r="K1198" s="15" t="str">
        <f>VLOOKUP(A1198,sinap!$A$2:$R$9000,3,FALSE)</f>
        <v>TORO</v>
      </c>
      <c r="L1198" s="15" t="str">
        <f>VLOOKUP(A1198,sinap!$A$2:$R$9000,4,FALSE)</f>
        <v>OVERO NEGRO</v>
      </c>
      <c r="M1198" s="15" t="str">
        <f>VLOOKUP(A1198,sinap!$A$2:$R$9000,5,FALSE)</f>
        <v>3 años 1 meses</v>
      </c>
      <c r="N1198" s="15" t="str">
        <f>VLOOKUP(A1198,sinap!$A$2:$R$9000,6,FALSE)</f>
        <v>15-12-2022</v>
      </c>
      <c r="O1198" s="15" t="str">
        <f>VLOOKUP(A1198,sinap!$A$2:$R$9000,7,FALSE)</f>
        <v>Vivo</v>
      </c>
      <c r="P1198" s="15" t="str">
        <f>VLOOKUP(A1198,sinap!$A$2:$R$9000,8,FALSE)</f>
        <v>11.1.01.2442</v>
      </c>
      <c r="Q1198" s="15" t="str">
        <f>VLOOKUP(A1198,sinap!$A$2:$R$9000,12,FALSE)</f>
        <v>11.1.01.0190</v>
      </c>
      <c r="R1198" s="15" t="str">
        <f>VLOOKUP(A1198,sinap!$A$2:$R$9000,16,FALSE)</f>
        <v>11.1.01.1241</v>
      </c>
      <c r="S1198" s="15" t="str">
        <f>VLOOKUP(A1198,sinap!$A$2:$Y$9000,20,FALSE)</f>
        <v>SI</v>
      </c>
      <c r="T1198" s="16">
        <v>45091</v>
      </c>
    </row>
    <row r="1199" spans="1:20" hidden="1" x14ac:dyDescent="0.25">
      <c r="A1199" s="15">
        <v>20910665</v>
      </c>
      <c r="I1199" s="16">
        <v>45969</v>
      </c>
      <c r="J1199" s="15" t="str">
        <f>VLOOKUP(A1199,sinap!$A$2:$R$9000,2,FALSE)</f>
        <v>H</v>
      </c>
      <c r="K1199" s="15" t="str">
        <f>VLOOKUP(A1199,sinap!$A$2:$R$9000,3,FALSE)</f>
        <v>VAQUILLA</v>
      </c>
      <c r="L1199" s="15" t="str">
        <f>VLOOKUP(A1199,sinap!$A$2:$R$9000,4,FALSE)</f>
        <v>ANGUS NEGRO</v>
      </c>
      <c r="M1199" s="15" t="str">
        <f>VLOOKUP(A1199,sinap!$A$2:$R$9000,5,FALSE)</f>
        <v>2 años 3 meses</v>
      </c>
      <c r="N1199" s="15" t="str">
        <f>VLOOKUP(A1199,sinap!$A$2:$R$9000,6,FALSE)</f>
        <v>30-09-2023</v>
      </c>
      <c r="O1199" s="15" t="str">
        <f>VLOOKUP(A1199,sinap!$A$2:$R$9000,7,FALSE)</f>
        <v>Vivo</v>
      </c>
      <c r="P1199" s="15" t="str">
        <f>VLOOKUP(A1199,sinap!$A$2:$R$9000,8,FALSE)</f>
        <v>11.1.01.2442</v>
      </c>
      <c r="Q1199" s="15" t="str">
        <f>VLOOKUP(A1199,sinap!$A$2:$R$9000,12,FALSE)</f>
        <v>11.1.01.0190</v>
      </c>
      <c r="R1199" s="15" t="str">
        <f>VLOOKUP(A1199,sinap!$A$2:$R$9000,16,FALSE)</f>
        <v>11.1.01.1241</v>
      </c>
      <c r="S1199" s="15" t="str">
        <f>VLOOKUP(A1199,sinap!$A$2:$Y$9000,20,FALSE)</f>
        <v>SI</v>
      </c>
    </row>
    <row r="1200" spans="1:20" hidden="1" x14ac:dyDescent="0.25">
      <c r="A1200" s="15">
        <v>20910692</v>
      </c>
      <c r="I1200" s="16">
        <v>45969</v>
      </c>
      <c r="J1200" s="15" t="str">
        <f>VLOOKUP(A1200,sinap!$A$2:$R$9000,2,FALSE)</f>
        <v>H</v>
      </c>
      <c r="K1200" s="15" t="str">
        <f>VLOOKUP(A1200,sinap!$A$2:$R$9000,3,FALSE)</f>
        <v>VAQUILLA</v>
      </c>
      <c r="L1200" s="15" t="str">
        <f>VLOOKUP(A1200,sinap!$A$2:$R$9000,4,FALSE)</f>
        <v>ANGUS NEGRO</v>
      </c>
      <c r="M1200" s="15" t="str">
        <f>VLOOKUP(A1200,sinap!$A$2:$R$9000,5,FALSE)</f>
        <v>2 años 3 meses</v>
      </c>
      <c r="N1200" s="15" t="str">
        <f>VLOOKUP(A1200,sinap!$A$2:$R$9000,6,FALSE)</f>
        <v>30-09-2023</v>
      </c>
      <c r="O1200" s="15" t="str">
        <f>VLOOKUP(A1200,sinap!$A$2:$R$9000,7,FALSE)</f>
        <v>Vivo</v>
      </c>
      <c r="P1200" s="15" t="str">
        <f>VLOOKUP(A1200,sinap!$A$2:$R$9000,8,FALSE)</f>
        <v>11.1.01.1022</v>
      </c>
      <c r="Q1200" s="15" t="str">
        <f>VLOOKUP(A1200,sinap!$A$2:$R$9000,12,FALSE)</f>
        <v>11.1.01.0941</v>
      </c>
      <c r="R1200" s="15" t="str">
        <f>VLOOKUP(A1200,sinap!$A$2:$R$9000,16,FALSE)</f>
        <v>11.1.01.1241</v>
      </c>
      <c r="S1200" s="15" t="str">
        <f>VLOOKUP(A1200,sinap!$A$2:$Y$9000,20,FALSE)</f>
        <v>SI</v>
      </c>
    </row>
    <row r="1201" spans="1:20" hidden="1" x14ac:dyDescent="0.25">
      <c r="A1201" s="15">
        <v>20910699</v>
      </c>
      <c r="J1201" s="15" t="str">
        <f>VLOOKUP(A1201,sinap!$A$2:$R$9000,2,FALSE)</f>
        <v>M</v>
      </c>
      <c r="K1201" s="15" t="str">
        <f>VLOOKUP(A1201,sinap!$A$2:$R$9000,3,FALSE)</f>
        <v>NOVILLO</v>
      </c>
      <c r="L1201" s="15" t="str">
        <f>VLOOKUP(A1201,sinap!$A$2:$R$9000,4,FALSE)</f>
        <v>ANGUS ROJO</v>
      </c>
      <c r="M1201" s="15" t="str">
        <f>VLOOKUP(A1201,sinap!$A$2:$R$9000,5,FALSE)</f>
        <v>2 años 3 meses</v>
      </c>
      <c r="N1201" s="15" t="str">
        <f>VLOOKUP(A1201,sinap!$A$2:$R$9000,6,FALSE)</f>
        <v>30-09-2023</v>
      </c>
      <c r="O1201" s="15" t="str">
        <f>VLOOKUP(A1201,sinap!$A$2:$R$9000,7,FALSE)</f>
        <v>Vivo</v>
      </c>
      <c r="P1201" s="15" t="str">
        <f>VLOOKUP(A1201,sinap!$A$2:$R$9000,8,FALSE)</f>
        <v>11.1.01.1241</v>
      </c>
      <c r="Q1201" s="15" t="str">
        <f>VLOOKUP(A1201,sinap!$A$2:$R$9000,12,FALSE)</f>
        <v>Sin Movimiento</v>
      </c>
      <c r="R1201" s="15" t="str">
        <f>VLOOKUP(A1201,sinap!$A$2:$R$9000,16,FALSE)</f>
        <v>11.1.01.1241</v>
      </c>
      <c r="S1201" s="15" t="str">
        <f>VLOOKUP(A1201,sinap!$A$2:$Y$9000,20,FALSE)</f>
        <v>SI</v>
      </c>
    </row>
    <row r="1202" spans="1:20" hidden="1" x14ac:dyDescent="0.25">
      <c r="A1202" s="15">
        <v>20910726</v>
      </c>
      <c r="I1202" s="16">
        <v>45969</v>
      </c>
      <c r="J1202" s="15" t="str">
        <f>VLOOKUP(A1202,sinap!$A$2:$R$9000,2,FALSE)</f>
        <v>H</v>
      </c>
      <c r="K1202" s="15" t="str">
        <f>VLOOKUP(A1202,sinap!$A$2:$R$9000,3,FALSE)</f>
        <v>VAQUILLA</v>
      </c>
      <c r="L1202" s="15" t="str">
        <f>VLOOKUP(A1202,sinap!$A$2:$R$9000,4,FALSE)</f>
        <v>ANGUS NEGRO</v>
      </c>
      <c r="M1202" s="15" t="str">
        <f>VLOOKUP(A1202,sinap!$A$2:$R$9000,5,FALSE)</f>
        <v>2 años 3 meses</v>
      </c>
      <c r="N1202" s="15" t="str">
        <f>VLOOKUP(A1202,sinap!$A$2:$R$9000,6,FALSE)</f>
        <v>05-10-2023</v>
      </c>
      <c r="O1202" s="15" t="str">
        <f>VLOOKUP(A1202,sinap!$A$2:$R$9000,7,FALSE)</f>
        <v>Vivo</v>
      </c>
      <c r="P1202" s="15" t="str">
        <f>VLOOKUP(A1202,sinap!$A$2:$R$9000,8,FALSE)</f>
        <v>11.1.01.1022</v>
      </c>
      <c r="Q1202" s="15" t="str">
        <f>VLOOKUP(A1202,sinap!$A$2:$R$9000,12,FALSE)</f>
        <v>11.1.01.0941</v>
      </c>
      <c r="R1202" s="15" t="str">
        <f>VLOOKUP(A1202,sinap!$A$2:$R$9000,16,FALSE)</f>
        <v>11.1.01.1241</v>
      </c>
      <c r="S1202" s="15" t="str">
        <f>VLOOKUP(A1202,sinap!$A$2:$Y$9000,20,FALSE)</f>
        <v>SI</v>
      </c>
    </row>
    <row r="1203" spans="1:20" hidden="1" x14ac:dyDescent="0.25">
      <c r="A1203" s="15">
        <v>20910733</v>
      </c>
      <c r="I1203" s="16">
        <v>45969</v>
      </c>
      <c r="J1203" s="15" t="str">
        <f>VLOOKUP(A1203,sinap!$A$2:$R$9000,2,FALSE)</f>
        <v>H</v>
      </c>
      <c r="K1203" s="15" t="str">
        <f>VLOOKUP(A1203,sinap!$A$2:$R$9000,3,FALSE)</f>
        <v>VAQUILLA</v>
      </c>
      <c r="L1203" s="15" t="str">
        <f>VLOOKUP(A1203,sinap!$A$2:$R$9000,4,FALSE)</f>
        <v>ANGUS NEGRO</v>
      </c>
      <c r="M1203" s="15" t="str">
        <f>VLOOKUP(A1203,sinap!$A$2:$R$9000,5,FALSE)</f>
        <v>2 años 3 meses</v>
      </c>
      <c r="N1203" s="15" t="str">
        <f>VLOOKUP(A1203,sinap!$A$2:$R$9000,6,FALSE)</f>
        <v>30-09-2023</v>
      </c>
      <c r="O1203" s="15" t="str">
        <f>VLOOKUP(A1203,sinap!$A$2:$R$9000,7,FALSE)</f>
        <v>Vivo</v>
      </c>
      <c r="P1203" s="15" t="str">
        <f>VLOOKUP(A1203,sinap!$A$2:$R$9000,8,FALSE)</f>
        <v>11.1.01.2442</v>
      </c>
      <c r="Q1203" s="15" t="str">
        <f>VLOOKUP(A1203,sinap!$A$2:$R$9000,12,FALSE)</f>
        <v>11.1.01.0190</v>
      </c>
      <c r="R1203" s="15" t="str">
        <f>VLOOKUP(A1203,sinap!$A$2:$R$9000,16,FALSE)</f>
        <v>11.1.01.1241</v>
      </c>
      <c r="S1203" s="15" t="str">
        <f>VLOOKUP(A1203,sinap!$A$2:$Y$9000,20,FALSE)</f>
        <v>SI</v>
      </c>
    </row>
    <row r="1204" spans="1:20" hidden="1" x14ac:dyDescent="0.25">
      <c r="A1204" s="15">
        <v>20910739</v>
      </c>
      <c r="C1204" s="15">
        <v>20910602</v>
      </c>
      <c r="H1204" s="16">
        <v>45648</v>
      </c>
      <c r="I1204" s="16">
        <v>45966</v>
      </c>
      <c r="J1204" s="15" t="str">
        <f>VLOOKUP(A1204,sinap!$A$2:$R$9000,2,FALSE)</f>
        <v>H</v>
      </c>
      <c r="K1204" s="15" t="str">
        <f>VLOOKUP(A1204,sinap!$A$2:$R$9000,3,FALSE)</f>
        <v>VACA</v>
      </c>
      <c r="L1204" s="15" t="str">
        <f>VLOOKUP(A1204,sinap!$A$2:$R$9000,4,FALSE)</f>
        <v>ANGUS NEGRO</v>
      </c>
      <c r="M1204" s="15" t="str">
        <f>VLOOKUP(A1204,sinap!$A$2:$R$9000,5,FALSE)</f>
        <v>4 años 1 meses</v>
      </c>
      <c r="N1204" s="15" t="str">
        <f>VLOOKUP(A1204,sinap!$A$2:$R$9000,6,FALSE)</f>
        <v>15-12-2021</v>
      </c>
      <c r="O1204" s="15" t="str">
        <f>VLOOKUP(A1204,sinap!$A$2:$R$9000,7,FALSE)</f>
        <v>Vivo</v>
      </c>
      <c r="P1204" s="15" t="str">
        <f>VLOOKUP(A1204,sinap!$A$2:$R$9000,8,FALSE)</f>
        <v>11.1.01.2442</v>
      </c>
      <c r="Q1204" s="15" t="str">
        <f>VLOOKUP(A1204,sinap!$A$2:$R$9000,12,FALSE)</f>
        <v>11.1.01.0190</v>
      </c>
      <c r="R1204" s="15" t="str">
        <f>VLOOKUP(A1204,sinap!$A$2:$R$9000,16,FALSE)</f>
        <v>11.1.01.1241</v>
      </c>
      <c r="S1204" s="15" t="str">
        <f>VLOOKUP(A1204,sinap!$A$2:$Y$9000,20,FALSE)</f>
        <v>SI</v>
      </c>
    </row>
    <row r="1205" spans="1:20" hidden="1" x14ac:dyDescent="0.25">
      <c r="A1205" s="15">
        <v>20910740</v>
      </c>
      <c r="C1205" s="15">
        <v>8937516</v>
      </c>
      <c r="H1205" s="16">
        <v>45648</v>
      </c>
      <c r="I1205" s="16">
        <v>45671</v>
      </c>
      <c r="J1205" s="15" t="str">
        <f>VLOOKUP(A1205,sinap!$A$2:$R$9000,2,FALSE)</f>
        <v>H</v>
      </c>
      <c r="K1205" s="15" t="str">
        <f>VLOOKUP(A1205,sinap!$A$2:$R$9000,3,FALSE)</f>
        <v>VACA</v>
      </c>
      <c r="L1205" s="15" t="str">
        <f>VLOOKUP(A1205,sinap!$A$2:$R$9000,4,FALSE)</f>
        <v>ANGUS NEGRO</v>
      </c>
      <c r="M1205" s="15" t="str">
        <f>VLOOKUP(A1205,sinap!$A$2:$R$9000,5,FALSE)</f>
        <v>11 años 3 meses</v>
      </c>
      <c r="N1205" s="15" t="str">
        <f>VLOOKUP(A1205,sinap!$A$2:$R$9000,6,FALSE)</f>
        <v>30-09-2014</v>
      </c>
      <c r="O1205" s="15" t="str">
        <f>VLOOKUP(A1205,sinap!$A$2:$R$9000,7,FALSE)</f>
        <v>Vivo</v>
      </c>
      <c r="P1205" s="15" t="str">
        <f>VLOOKUP(A1205,sinap!$A$2:$R$9000,8,FALSE)</f>
        <v>11.1.01.1241</v>
      </c>
      <c r="Q1205" s="15" t="str">
        <f>VLOOKUP(A1205,sinap!$A$2:$R$9000,12,FALSE)</f>
        <v>11.2.01.0038</v>
      </c>
      <c r="R1205" s="15" t="str">
        <f>VLOOKUP(A1205,sinap!$A$2:$R$9000,16,FALSE)</f>
        <v>11.1.01.2304</v>
      </c>
      <c r="S1205" s="15" t="str">
        <f>VLOOKUP(A1205,sinap!$A$2:$Y$9000,20,FALSE)</f>
        <v>SI</v>
      </c>
    </row>
    <row r="1206" spans="1:20" hidden="1" x14ac:dyDescent="0.25">
      <c r="A1206" s="15">
        <v>20910747</v>
      </c>
      <c r="C1206" s="15">
        <v>8937616</v>
      </c>
      <c r="J1206" s="15" t="str">
        <f>VLOOKUP(A1206,sinap!$A$2:$R$9000,2,FALSE)</f>
        <v>H</v>
      </c>
      <c r="K1206" s="15" t="str">
        <f>VLOOKUP(A1206,sinap!$A$2:$R$9000,3,FALSE)</f>
        <v>VACA</v>
      </c>
      <c r="L1206" s="15" t="str">
        <f>VLOOKUP(A1206,sinap!$A$2:$R$9000,4,FALSE)</f>
        <v>HEREFORD</v>
      </c>
      <c r="M1206" s="15" t="str">
        <f>VLOOKUP(A1206,sinap!$A$2:$R$9000,5,FALSE)</f>
        <v>10 años 9 meses</v>
      </c>
      <c r="N1206" s="15" t="str">
        <f>VLOOKUP(A1206,sinap!$A$2:$R$9000,6,FALSE)</f>
        <v>30-03-2015</v>
      </c>
      <c r="O1206" s="15" t="str">
        <f>VLOOKUP(A1206,sinap!$A$2:$R$9000,7,FALSE)</f>
        <v>Vivo</v>
      </c>
      <c r="P1206" s="15" t="str">
        <f>VLOOKUP(A1206,sinap!$A$2:$R$9000,8,FALSE)</f>
        <v>11.2.01.0038</v>
      </c>
      <c r="Q1206" s="15" t="str">
        <f>VLOOKUP(A1206,sinap!$A$2:$R$9000,12,FALSE)</f>
        <v>11.1.01.0893</v>
      </c>
      <c r="R1206" s="15" t="str">
        <f>VLOOKUP(A1206,sinap!$A$2:$R$9000,16,FALSE)</f>
        <v>11.1.01.2304</v>
      </c>
      <c r="S1206" s="15" t="str">
        <f>VLOOKUP(A1206,sinap!$A$2:$Y$9000,20,FALSE)</f>
        <v>SI</v>
      </c>
    </row>
    <row r="1207" spans="1:20" hidden="1" x14ac:dyDescent="0.25">
      <c r="A1207" s="15">
        <v>20910751</v>
      </c>
      <c r="B1207" s="17">
        <v>2636110</v>
      </c>
      <c r="J1207" s="15" t="str">
        <f>VLOOKUP(A1207,sinap!$A$2:$R$9000,2,FALSE)</f>
        <v>H</v>
      </c>
      <c r="K1207" s="15" t="str">
        <f>VLOOKUP(A1207,sinap!$A$2:$R$9000,3,FALSE)</f>
        <v>VACA</v>
      </c>
      <c r="L1207" s="15" t="str">
        <f>VLOOKUP(A1207,sinap!$A$2:$R$9000,4,FALSE)</f>
        <v>ANGUS NEGRO</v>
      </c>
      <c r="M1207" s="15" t="str">
        <f>VLOOKUP(A1207,sinap!$A$2:$R$9000,5,FALSE)</f>
        <v>6 años 2 meses</v>
      </c>
      <c r="N1207" s="15" t="str">
        <f>VLOOKUP(A1207,sinap!$A$2:$R$9000,6,FALSE)</f>
        <v>01-11-2019</v>
      </c>
      <c r="O1207" s="15" t="str">
        <f>VLOOKUP(A1207,sinap!$A$2:$R$9000,7,FALSE)</f>
        <v>Vivo</v>
      </c>
      <c r="P1207" s="15" t="str">
        <f>VLOOKUP(A1207,sinap!$A$2:$R$9000,8,FALSE)</f>
        <v>11.1.01.1241</v>
      </c>
      <c r="Q1207" s="15" t="str">
        <f>VLOOKUP(A1207,sinap!$A$2:$R$9000,12,FALSE)</f>
        <v>Sin Movimiento</v>
      </c>
      <c r="R1207" s="15" t="str">
        <f>VLOOKUP(A1207,sinap!$A$2:$R$9000,16,FALSE)</f>
        <v>11.1.01.1241</v>
      </c>
      <c r="S1207" s="15" t="str">
        <f>VLOOKUP(A1207,sinap!$A$2:$Y$9000,20,FALSE)</f>
        <v>NO</v>
      </c>
      <c r="T1207" s="16">
        <v>45459</v>
      </c>
    </row>
    <row r="1208" spans="1:20" hidden="1" x14ac:dyDescent="0.25">
      <c r="A1208" s="15">
        <v>20910752</v>
      </c>
      <c r="H1208" s="16">
        <v>45297</v>
      </c>
      <c r="J1208" s="15" t="str">
        <f>VLOOKUP(A1208,sinap!$A$2:$R$9000,2,FALSE)</f>
        <v>H</v>
      </c>
      <c r="K1208" s="15" t="str">
        <f>VLOOKUP(A1208,sinap!$A$2:$R$9000,3,FALSE)</f>
        <v>VACA</v>
      </c>
      <c r="L1208" s="15" t="str">
        <f>VLOOKUP(A1208,sinap!$A$2:$R$9000,4,FALSE)</f>
        <v>ANGUS NEGRO</v>
      </c>
      <c r="M1208" s="15" t="str">
        <f>VLOOKUP(A1208,sinap!$A$2:$R$9000,5,FALSE)</f>
        <v>5 años 2 meses</v>
      </c>
      <c r="N1208" s="15" t="str">
        <f>VLOOKUP(A1208,sinap!$A$2:$R$9000,6,FALSE)</f>
        <v>21-10-2020</v>
      </c>
      <c r="O1208" s="15" t="str">
        <f>VLOOKUP(A1208,sinap!$A$2:$R$9000,7,FALSE)</f>
        <v>Vivo</v>
      </c>
      <c r="P1208" s="15" t="str">
        <f>VLOOKUP(A1208,sinap!$A$2:$R$9000,8,FALSE)</f>
        <v>11.2.01.0038</v>
      </c>
      <c r="Q1208" s="15" t="str">
        <f>VLOOKUP(A1208,sinap!$A$2:$R$9000,12,FALSE)</f>
        <v>11.1.01.0893</v>
      </c>
      <c r="R1208" s="15" t="str">
        <f>VLOOKUP(A1208,sinap!$A$2:$R$9000,16,FALSE)</f>
        <v>11.1.01.0893</v>
      </c>
      <c r="S1208" s="15" t="str">
        <f>VLOOKUP(A1208,sinap!$A$2:$Y$9000,20,FALSE)</f>
        <v>NO</v>
      </c>
    </row>
    <row r="1209" spans="1:20" hidden="1" x14ac:dyDescent="0.25">
      <c r="A1209" s="15">
        <v>20910755</v>
      </c>
      <c r="C1209" s="15">
        <v>16843155</v>
      </c>
      <c r="H1209" s="16">
        <v>45297</v>
      </c>
      <c r="J1209" s="15" t="str">
        <f>VLOOKUP(A1209,sinap!$A$2:$R$9000,2,FALSE)</f>
        <v>H</v>
      </c>
      <c r="K1209" s="15" t="str">
        <f>VLOOKUP(A1209,sinap!$A$2:$R$9000,3,FALSE)</f>
        <v>VACA</v>
      </c>
      <c r="L1209" s="15" t="str">
        <f>VLOOKUP(A1209,sinap!$A$2:$R$9000,4,FALSE)</f>
        <v>ANGUS NEGRO</v>
      </c>
      <c r="M1209" s="15" t="str">
        <f>VLOOKUP(A1209,sinap!$A$2:$R$9000,5,FALSE)</f>
        <v>7 años 3 meses</v>
      </c>
      <c r="N1209" s="15" t="str">
        <f>VLOOKUP(A1209,sinap!$A$2:$R$9000,6,FALSE)</f>
        <v>15-10-2018</v>
      </c>
      <c r="O1209" s="15" t="str">
        <f>VLOOKUP(A1209,sinap!$A$2:$R$9000,7,FALSE)</f>
        <v>Vivo</v>
      </c>
      <c r="P1209" s="15" t="str">
        <f>VLOOKUP(A1209,sinap!$A$2:$R$9000,8,FALSE)</f>
        <v>11.2.01.0038</v>
      </c>
      <c r="Q1209" s="15" t="str">
        <f>VLOOKUP(A1209,sinap!$A$2:$R$9000,12,FALSE)</f>
        <v>11.1.01.0893</v>
      </c>
      <c r="R1209" s="15" t="str">
        <f>VLOOKUP(A1209,sinap!$A$2:$R$9000,16,FALSE)</f>
        <v>11.1.01.1241</v>
      </c>
      <c r="S1209" s="15" t="str">
        <f>VLOOKUP(A1209,sinap!$A$2:$Y$9000,20,FALSE)</f>
        <v>SI</v>
      </c>
    </row>
    <row r="1210" spans="1:20" hidden="1" x14ac:dyDescent="0.25">
      <c r="A1210" s="15">
        <v>20910757</v>
      </c>
      <c r="C1210" s="15">
        <v>16843343</v>
      </c>
      <c r="H1210" s="16">
        <v>45297</v>
      </c>
      <c r="J1210" s="15" t="str">
        <f>VLOOKUP(A1210,sinap!$A$2:$R$9000,2,FALSE)</f>
        <v>H</v>
      </c>
      <c r="K1210" s="15" t="str">
        <f>VLOOKUP(A1210,sinap!$A$2:$R$9000,3,FALSE)</f>
        <v>VACA</v>
      </c>
      <c r="L1210" s="15" t="str">
        <f>VLOOKUP(A1210,sinap!$A$2:$R$9000,4,FALSE)</f>
        <v>ANGUS NEGRO</v>
      </c>
      <c r="M1210" s="15" t="str">
        <f>VLOOKUP(A1210,sinap!$A$2:$R$9000,5,FALSE)</f>
        <v>7 años 4 meses</v>
      </c>
      <c r="N1210" s="15" t="str">
        <f>VLOOKUP(A1210,sinap!$A$2:$R$9000,6,FALSE)</f>
        <v>10-09-2018</v>
      </c>
      <c r="O1210" s="15" t="str">
        <f>VLOOKUP(A1210,sinap!$A$2:$R$9000,7,FALSE)</f>
        <v>Vivo</v>
      </c>
      <c r="P1210" s="15" t="str">
        <f>VLOOKUP(A1210,sinap!$A$2:$R$9000,8,FALSE)</f>
        <v>11.2.01.0038</v>
      </c>
      <c r="Q1210" s="15" t="str">
        <f>VLOOKUP(A1210,sinap!$A$2:$R$9000,12,FALSE)</f>
        <v>11.1.01.0893</v>
      </c>
      <c r="R1210" s="15" t="str">
        <f>VLOOKUP(A1210,sinap!$A$2:$R$9000,16,FALSE)</f>
        <v>11.1.01.0893</v>
      </c>
      <c r="S1210" s="15" t="str">
        <f>VLOOKUP(A1210,sinap!$A$2:$Y$9000,20,FALSE)</f>
        <v>SI</v>
      </c>
    </row>
    <row r="1211" spans="1:20" hidden="1" x14ac:dyDescent="0.25">
      <c r="A1211" s="15">
        <v>20910758</v>
      </c>
      <c r="H1211" s="16">
        <v>45297</v>
      </c>
      <c r="J1211" s="15" t="str">
        <f>VLOOKUP(A1211,sinap!$A$2:$R$9000,2,FALSE)</f>
        <v>H</v>
      </c>
      <c r="K1211" s="15" t="str">
        <f>VLOOKUP(A1211,sinap!$A$2:$R$9000,3,FALSE)</f>
        <v>VACA</v>
      </c>
      <c r="L1211" s="15" t="str">
        <f>VLOOKUP(A1211,sinap!$A$2:$R$9000,4,FALSE)</f>
        <v>ANGUS ROJO</v>
      </c>
      <c r="M1211" s="15" t="str">
        <f>VLOOKUP(A1211,sinap!$A$2:$R$9000,5,FALSE)</f>
        <v>5 años 2 meses</v>
      </c>
      <c r="N1211" s="15" t="str">
        <f>VLOOKUP(A1211,sinap!$A$2:$R$9000,6,FALSE)</f>
        <v>21-10-2020</v>
      </c>
      <c r="O1211" s="15" t="str">
        <f>VLOOKUP(A1211,sinap!$A$2:$R$9000,7,FALSE)</f>
        <v>Vivo</v>
      </c>
      <c r="P1211" s="15" t="str">
        <f>VLOOKUP(A1211,sinap!$A$2:$R$9000,8,FALSE)</f>
        <v>11.1.01.0791</v>
      </c>
      <c r="Q1211" s="15" t="str">
        <f>VLOOKUP(A1211,sinap!$A$2:$R$9000,12,FALSE)</f>
        <v>11.1.01.0893</v>
      </c>
      <c r="R1211" s="15" t="str">
        <f>VLOOKUP(A1211,sinap!$A$2:$R$9000,16,FALSE)</f>
        <v>11.1.01.0893</v>
      </c>
      <c r="S1211" s="15" t="str">
        <f>VLOOKUP(A1211,sinap!$A$2:$Y$9000,20,FALSE)</f>
        <v>NO</v>
      </c>
    </row>
    <row r="1212" spans="1:20" hidden="1" x14ac:dyDescent="0.25">
      <c r="A1212" s="15">
        <v>20910759</v>
      </c>
      <c r="C1212" s="15">
        <v>16843022</v>
      </c>
      <c r="J1212" s="15" t="str">
        <f>VLOOKUP(A1212,sinap!$A$2:$R$9000,2,FALSE)</f>
        <v>H</v>
      </c>
      <c r="K1212" s="15" t="str">
        <f>VLOOKUP(A1212,sinap!$A$2:$R$9000,3,FALSE)</f>
        <v>VACA</v>
      </c>
      <c r="L1212" s="15" t="str">
        <f>VLOOKUP(A1212,sinap!$A$2:$R$9000,4,FALSE)</f>
        <v>ANGUS NEGRO</v>
      </c>
      <c r="M1212" s="15" t="str">
        <f>VLOOKUP(A1212,sinap!$A$2:$R$9000,5,FALSE)</f>
        <v>7 años 3 meses</v>
      </c>
      <c r="N1212" s="15" t="str">
        <f>VLOOKUP(A1212,sinap!$A$2:$R$9000,6,FALSE)</f>
        <v>20-09-2018</v>
      </c>
      <c r="O1212" s="15" t="str">
        <f>VLOOKUP(A1212,sinap!$A$2:$R$9000,7,FALSE)</f>
        <v>Vivo</v>
      </c>
      <c r="P1212" s="15" t="str">
        <f>VLOOKUP(A1212,sinap!$A$2:$R$9000,8,FALSE)</f>
        <v>11.2.01.0038</v>
      </c>
      <c r="Q1212" s="15" t="str">
        <f>VLOOKUP(A1212,sinap!$A$2:$R$9000,12,FALSE)</f>
        <v>11.1.01.0893</v>
      </c>
      <c r="R1212" s="15" t="str">
        <f>VLOOKUP(A1212,sinap!$A$2:$R$9000,16,FALSE)</f>
        <v>11.1.01.1241</v>
      </c>
      <c r="S1212" s="15" t="str">
        <f>VLOOKUP(A1212,sinap!$A$2:$Y$9000,20,FALSE)</f>
        <v>SI</v>
      </c>
    </row>
    <row r="1213" spans="1:20" hidden="1" x14ac:dyDescent="0.25">
      <c r="A1213" s="15">
        <v>20910760</v>
      </c>
      <c r="C1213" s="15">
        <v>16843218</v>
      </c>
      <c r="H1213" s="16">
        <v>45297</v>
      </c>
      <c r="J1213" s="15" t="str">
        <f>VLOOKUP(A1213,sinap!$A$2:$R$9000,2,FALSE)</f>
        <v>H</v>
      </c>
      <c r="K1213" s="15" t="str">
        <f>VLOOKUP(A1213,sinap!$A$2:$R$9000,3,FALSE)</f>
        <v>VACA</v>
      </c>
      <c r="L1213" s="15" t="str">
        <f>VLOOKUP(A1213,sinap!$A$2:$R$9000,4,FALSE)</f>
        <v>ANGUS NEGRO</v>
      </c>
      <c r="M1213" s="15" t="str">
        <f>VLOOKUP(A1213,sinap!$A$2:$R$9000,5,FALSE)</f>
        <v>7 años 3 meses</v>
      </c>
      <c r="N1213" s="15" t="str">
        <f>VLOOKUP(A1213,sinap!$A$2:$R$9000,6,FALSE)</f>
        <v>20-09-2018</v>
      </c>
      <c r="O1213" s="15" t="str">
        <f>VLOOKUP(A1213,sinap!$A$2:$R$9000,7,FALSE)</f>
        <v>Vivo</v>
      </c>
      <c r="P1213" s="15" t="str">
        <f>VLOOKUP(A1213,sinap!$A$2:$R$9000,8,FALSE)</f>
        <v>11.2.01.0038</v>
      </c>
      <c r="Q1213" s="15" t="str">
        <f>VLOOKUP(A1213,sinap!$A$2:$R$9000,12,FALSE)</f>
        <v>11.1.01.0893</v>
      </c>
      <c r="R1213" s="15" t="str">
        <f>VLOOKUP(A1213,sinap!$A$2:$R$9000,16,FALSE)</f>
        <v>11.1.01.1241</v>
      </c>
      <c r="S1213" s="15" t="str">
        <f>VLOOKUP(A1213,sinap!$A$2:$Y$9000,20,FALSE)</f>
        <v>SI</v>
      </c>
    </row>
    <row r="1214" spans="1:20" hidden="1" x14ac:dyDescent="0.25">
      <c r="A1214" s="15">
        <v>20910762</v>
      </c>
      <c r="J1214" s="15" t="str">
        <f>VLOOKUP(A1214,sinap!$A$2:$R$9000,2,FALSE)</f>
        <v>H</v>
      </c>
      <c r="K1214" s="15" t="str">
        <f>VLOOKUP(A1214,sinap!$A$2:$R$9000,3,FALSE)</f>
        <v>VACA</v>
      </c>
      <c r="L1214" s="15" t="str">
        <f>VLOOKUP(A1214,sinap!$A$2:$R$9000,4,FALSE)</f>
        <v>ANGUS NEGRO</v>
      </c>
      <c r="M1214" s="15" t="str">
        <f>VLOOKUP(A1214,sinap!$A$2:$R$9000,5,FALSE)</f>
        <v>4 años 1 meses</v>
      </c>
      <c r="N1214" s="15" t="str">
        <f>VLOOKUP(A1214,sinap!$A$2:$R$9000,6,FALSE)</f>
        <v>15-12-2021</v>
      </c>
      <c r="O1214" s="15" t="str">
        <f>VLOOKUP(A1214,sinap!$A$2:$R$9000,7,FALSE)</f>
        <v>Vivo</v>
      </c>
      <c r="P1214" s="15" t="str">
        <f>VLOOKUP(A1214,sinap!$A$2:$R$9000,8,FALSE)</f>
        <v>11.1.01.1241</v>
      </c>
      <c r="Q1214" s="15" t="str">
        <f>VLOOKUP(A1214,sinap!$A$2:$R$9000,12,FALSE)</f>
        <v>Sin Movimiento</v>
      </c>
      <c r="R1214" s="15" t="str">
        <f>VLOOKUP(A1214,sinap!$A$2:$R$9000,16,FALSE)</f>
        <v>11.1.01.1241</v>
      </c>
      <c r="S1214" s="15" t="str">
        <f>VLOOKUP(A1214,sinap!$A$2:$Y$9000,20,FALSE)</f>
        <v>NO</v>
      </c>
      <c r="T1214" s="16">
        <v>45774</v>
      </c>
    </row>
    <row r="1215" spans="1:20" hidden="1" x14ac:dyDescent="0.25">
      <c r="A1215" s="15">
        <v>20910763</v>
      </c>
      <c r="H1215" s="16">
        <v>45648</v>
      </c>
      <c r="I1215" s="16">
        <v>45671</v>
      </c>
      <c r="J1215" s="15" t="str">
        <f>VLOOKUP(A1215,sinap!$A$2:$R$9000,2,FALSE)</f>
        <v>H</v>
      </c>
      <c r="K1215" s="15" t="str">
        <f>VLOOKUP(A1215,sinap!$A$2:$R$9000,3,FALSE)</f>
        <v>VACA</v>
      </c>
      <c r="L1215" s="15" t="str">
        <f>VLOOKUP(A1215,sinap!$A$2:$R$9000,4,FALSE)</f>
        <v>ANGUS NEGRO</v>
      </c>
      <c r="M1215" s="15" t="str">
        <f>VLOOKUP(A1215,sinap!$A$2:$R$9000,5,FALSE)</f>
        <v>6 años 3 meses</v>
      </c>
      <c r="N1215" s="15" t="str">
        <f>VLOOKUP(A1215,sinap!$A$2:$R$9000,6,FALSE)</f>
        <v>15-10-2019</v>
      </c>
      <c r="O1215" s="15" t="str">
        <f>VLOOKUP(A1215,sinap!$A$2:$R$9000,7,FALSE)</f>
        <v>Vivo</v>
      </c>
      <c r="P1215" s="15" t="str">
        <f>VLOOKUP(A1215,sinap!$A$2:$R$9000,8,FALSE)</f>
        <v>11.1.01.0941</v>
      </c>
      <c r="Q1215" s="15" t="str">
        <f>VLOOKUP(A1215,sinap!$A$2:$R$9000,12,FALSE)</f>
        <v>11.1.01.1241</v>
      </c>
      <c r="R1215" s="15" t="str">
        <f>VLOOKUP(A1215,sinap!$A$2:$R$9000,16,FALSE)</f>
        <v>11.1.01.1241</v>
      </c>
      <c r="S1215" s="15" t="str">
        <f>VLOOKUP(A1215,sinap!$A$2:$Y$9000,20,FALSE)</f>
        <v>NO</v>
      </c>
    </row>
    <row r="1216" spans="1:20" hidden="1" x14ac:dyDescent="0.25">
      <c r="A1216" s="15">
        <v>20910766</v>
      </c>
      <c r="B1216" s="15">
        <v>2636163</v>
      </c>
      <c r="C1216" s="15">
        <v>19050225</v>
      </c>
      <c r="J1216" s="15" t="str">
        <f>VLOOKUP(A1216,sinap!$A$2:$R$9000,2,FALSE)</f>
        <v>M</v>
      </c>
      <c r="K1216" s="15" t="str">
        <f>VLOOKUP(A1216,sinap!$A$2:$R$9000,3,FALSE)</f>
        <v>TORO</v>
      </c>
      <c r="L1216" s="15" t="str">
        <f>VLOOKUP(A1216,sinap!$A$2:$R$9000,4,FALSE)</f>
        <v>ANGUS NEGRO</v>
      </c>
      <c r="M1216" s="15" t="str">
        <f>VLOOKUP(A1216,sinap!$A$2:$R$9000,5,FALSE)</f>
        <v>7 años 2 meses</v>
      </c>
      <c r="N1216" s="15" t="str">
        <f>VLOOKUP(A1216,sinap!$A$2:$R$9000,6,FALSE)</f>
        <v>29-10-2018</v>
      </c>
      <c r="O1216" s="15" t="str">
        <f>VLOOKUP(A1216,sinap!$A$2:$R$9000,7,FALSE)</f>
        <v>Vivo</v>
      </c>
      <c r="P1216" s="15" t="str">
        <f>VLOOKUP(A1216,sinap!$A$2:$R$9000,8,FALSE)</f>
        <v>11.2.01.0038</v>
      </c>
      <c r="Q1216" s="15" t="str">
        <f>VLOOKUP(A1216,sinap!$A$2:$R$9000,12,FALSE)</f>
        <v>11.1.01.1241</v>
      </c>
      <c r="R1216" s="15" t="str">
        <f>VLOOKUP(A1216,sinap!$A$2:$R$9000,16,FALSE)</f>
        <v>11.2.01.0251</v>
      </c>
      <c r="S1216" s="15" t="str">
        <f>VLOOKUP(A1216,sinap!$A$2:$Y$9000,20,FALSE)</f>
        <v>SI</v>
      </c>
    </row>
    <row r="1217" spans="1:20" hidden="1" x14ac:dyDescent="0.25">
      <c r="A1217" s="15">
        <v>20910767</v>
      </c>
      <c r="B1217" s="15">
        <v>2636131</v>
      </c>
      <c r="C1217" s="15">
        <v>19050226</v>
      </c>
      <c r="I1217" s="16">
        <v>45818</v>
      </c>
      <c r="J1217" s="15" t="str">
        <f>VLOOKUP(A1217,sinap!$A$2:$R$9000,2,FALSE)</f>
        <v>M</v>
      </c>
      <c r="K1217" s="15" t="str">
        <f>VLOOKUP(A1217,sinap!$A$2:$R$9000,3,FALSE)</f>
        <v>TORO</v>
      </c>
      <c r="L1217" s="15" t="str">
        <f>VLOOKUP(A1217,sinap!$A$2:$R$9000,4,FALSE)</f>
        <v>ANGUS NEGRO</v>
      </c>
      <c r="M1217" s="15" t="str">
        <f>VLOOKUP(A1217,sinap!$A$2:$R$9000,5,FALSE)</f>
        <v>10 años 3 meses</v>
      </c>
      <c r="N1217" s="15" t="str">
        <f>VLOOKUP(A1217,sinap!$A$2:$R$9000,6,FALSE)</f>
        <v>30-09-2015</v>
      </c>
      <c r="O1217" s="15" t="str">
        <f>VLOOKUP(A1217,sinap!$A$2:$R$9000,7,FALSE)</f>
        <v>Vivo</v>
      </c>
      <c r="P1217" s="15" t="str">
        <f>VLOOKUP(A1217,sinap!$A$2:$R$9000,8,FALSE)</f>
        <v>11.2.01.0038</v>
      </c>
      <c r="Q1217" s="15" t="str">
        <f>VLOOKUP(A1217,sinap!$A$2:$R$9000,12,FALSE)</f>
        <v>11.1.01.1241</v>
      </c>
      <c r="R1217" s="15" t="str">
        <f>VLOOKUP(A1217,sinap!$A$2:$R$9000,16,FALSE)</f>
        <v>11.1.01.0290</v>
      </c>
      <c r="S1217" s="15" t="str">
        <f>VLOOKUP(A1217,sinap!$A$2:$Y$9000,20,FALSE)</f>
        <v>SI</v>
      </c>
    </row>
    <row r="1218" spans="1:20" hidden="1" x14ac:dyDescent="0.25">
      <c r="A1218" s="15">
        <v>20910768</v>
      </c>
      <c r="I1218" s="16">
        <v>45818</v>
      </c>
      <c r="J1218" s="15" t="str">
        <f>VLOOKUP(A1218,sinap!$A$2:$R$9000,2,FALSE)</f>
        <v>M</v>
      </c>
      <c r="K1218" s="15" t="str">
        <f>VLOOKUP(A1218,sinap!$A$2:$R$9000,3,FALSE)</f>
        <v>NOVILLO</v>
      </c>
      <c r="L1218" s="15" t="str">
        <f>VLOOKUP(A1218,sinap!$A$2:$R$9000,4,FALSE)</f>
        <v>ANGUS NEGRO</v>
      </c>
      <c r="M1218" s="15" t="str">
        <f>VLOOKUP(A1218,sinap!$A$2:$R$9000,5,FALSE)</f>
        <v>2 años 11 meses</v>
      </c>
      <c r="N1218" s="15" t="str">
        <f>VLOOKUP(A1218,sinap!$A$2:$R$9000,6,FALSE)</f>
        <v>20-01-2023</v>
      </c>
      <c r="O1218" s="15" t="str">
        <f>VLOOKUP(A1218,sinap!$A$2:$R$9000,7,FALSE)</f>
        <v>Vivo</v>
      </c>
      <c r="P1218" s="15" t="str">
        <f>VLOOKUP(A1218,sinap!$A$2:$R$9000,8,FALSE)</f>
        <v>11.1.01.2442</v>
      </c>
      <c r="Q1218" s="15" t="str">
        <f>VLOOKUP(A1218,sinap!$A$2:$R$9000,12,FALSE)</f>
        <v>11.1.01.0190</v>
      </c>
      <c r="R1218" s="15" t="str">
        <f>VLOOKUP(A1218,sinap!$A$2:$R$9000,16,FALSE)</f>
        <v>11.1.01.1241</v>
      </c>
      <c r="S1218" s="15" t="str">
        <f>VLOOKUP(A1218,sinap!$A$2:$Y$9000,20,FALSE)</f>
        <v>SI</v>
      </c>
    </row>
    <row r="1219" spans="1:20" hidden="1" x14ac:dyDescent="0.25">
      <c r="A1219" s="15">
        <v>20910769</v>
      </c>
      <c r="B1219" s="15">
        <v>2636170</v>
      </c>
      <c r="C1219" s="15">
        <v>19776849</v>
      </c>
      <c r="J1219" s="15" t="str">
        <f>VLOOKUP(A1219,sinap!$A$2:$R$9000,2,FALSE)</f>
        <v>M</v>
      </c>
      <c r="K1219" s="15" t="str">
        <f>VLOOKUP(A1219,sinap!$A$2:$R$9000,3,FALSE)</f>
        <v>TORO</v>
      </c>
      <c r="L1219" s="15" t="str">
        <f>VLOOKUP(A1219,sinap!$A$2:$R$9000,4,FALSE)</f>
        <v>ANGUS NEGRO</v>
      </c>
      <c r="M1219" s="15" t="str">
        <f>VLOOKUP(A1219,sinap!$A$2:$R$9000,5,FALSE)</f>
        <v>5 años 4 meses</v>
      </c>
      <c r="N1219" s="15" t="str">
        <f>VLOOKUP(A1219,sinap!$A$2:$R$9000,6,FALSE)</f>
        <v>15-09-2020</v>
      </c>
      <c r="O1219" s="15" t="str">
        <f>VLOOKUP(A1219,sinap!$A$2:$R$9000,7,FALSE)</f>
        <v>Vivo</v>
      </c>
      <c r="P1219" s="15" t="str">
        <f>VLOOKUP(A1219,sinap!$A$2:$R$9000,8,FALSE)</f>
        <v>11.2.01.0038</v>
      </c>
      <c r="Q1219" s="15" t="str">
        <f>VLOOKUP(A1219,sinap!$A$2:$R$9000,12,FALSE)</f>
        <v>11.1.01.1241</v>
      </c>
      <c r="R1219" s="15" t="str">
        <f>VLOOKUP(A1219,sinap!$A$2:$R$9000,16,FALSE)</f>
        <v>11.1.01.0290</v>
      </c>
      <c r="S1219" s="15" t="str">
        <f>VLOOKUP(A1219,sinap!$A$2:$Y$9000,20,FALSE)</f>
        <v>NO</v>
      </c>
      <c r="T1219" s="16">
        <v>45433</v>
      </c>
    </row>
    <row r="1220" spans="1:20" hidden="1" x14ac:dyDescent="0.25">
      <c r="A1220" s="15">
        <v>20910770</v>
      </c>
      <c r="H1220" s="16">
        <v>45432</v>
      </c>
      <c r="I1220" s="16">
        <v>45966</v>
      </c>
      <c r="J1220" s="15" t="str">
        <f>VLOOKUP(A1220,sinap!$A$2:$R$9000,2,FALSE)</f>
        <v>H</v>
      </c>
      <c r="K1220" s="15" t="str">
        <f>VLOOKUP(A1220,sinap!$A$2:$R$9000,3,FALSE)</f>
        <v>VACA</v>
      </c>
      <c r="L1220" s="15" t="str">
        <f>VLOOKUP(A1220,sinap!$A$2:$R$9000,4,FALSE)</f>
        <v>ANGUS NEGRO</v>
      </c>
      <c r="M1220" s="15" t="str">
        <f>VLOOKUP(A1220,sinap!$A$2:$R$9000,5,FALSE)</f>
        <v>6 años 2 meses</v>
      </c>
      <c r="N1220" s="15" t="str">
        <f>VLOOKUP(A1220,sinap!$A$2:$R$9000,6,FALSE)</f>
        <v>01-11-2019</v>
      </c>
      <c r="O1220" s="15" t="str">
        <f>VLOOKUP(A1220,sinap!$A$2:$R$9000,7,FALSE)</f>
        <v>Vivo</v>
      </c>
      <c r="P1220" s="15" t="str">
        <f>VLOOKUP(A1220,sinap!$A$2:$R$9000,8,FALSE)</f>
        <v>11.1.01.2442</v>
      </c>
      <c r="Q1220" s="15" t="str">
        <f>VLOOKUP(A1220,sinap!$A$2:$R$9000,12,FALSE)</f>
        <v>11.1.01.0190</v>
      </c>
      <c r="R1220" s="15" t="str">
        <f>VLOOKUP(A1220,sinap!$A$2:$R$9000,16,FALSE)</f>
        <v>11.1.01.1241</v>
      </c>
      <c r="S1220" s="15" t="str">
        <f>VLOOKUP(A1220,sinap!$A$2:$Y$9000,20,FALSE)</f>
        <v>NO</v>
      </c>
      <c r="T1220" s="16">
        <v>45433</v>
      </c>
    </row>
    <row r="1221" spans="1:20" hidden="1" x14ac:dyDescent="0.25">
      <c r="A1221" s="15">
        <v>20910771</v>
      </c>
      <c r="C1221" s="15">
        <v>14718270</v>
      </c>
      <c r="H1221" s="16">
        <v>45648</v>
      </c>
      <c r="I1221" s="16">
        <v>45966</v>
      </c>
      <c r="J1221" s="15" t="str">
        <f>VLOOKUP(A1221,sinap!$A$2:$R$9000,2,FALSE)</f>
        <v>H</v>
      </c>
      <c r="K1221" s="15" t="str">
        <f>VLOOKUP(A1221,sinap!$A$2:$R$9000,3,FALSE)</f>
        <v>VACA</v>
      </c>
      <c r="L1221" s="15" t="str">
        <f>VLOOKUP(A1221,sinap!$A$2:$R$9000,4,FALSE)</f>
        <v>ANGUS NEGRO</v>
      </c>
      <c r="M1221" s="15" t="str">
        <f>VLOOKUP(A1221,sinap!$A$2:$R$9000,5,FALSE)</f>
        <v>9 años 3 meses</v>
      </c>
      <c r="N1221" s="15" t="str">
        <f>VLOOKUP(A1221,sinap!$A$2:$R$9000,6,FALSE)</f>
        <v>10-10-2016</v>
      </c>
      <c r="O1221" s="15" t="str">
        <f>VLOOKUP(A1221,sinap!$A$2:$R$9000,7,FALSE)</f>
        <v>Vivo</v>
      </c>
      <c r="P1221" s="15" t="str">
        <f>VLOOKUP(A1221,sinap!$A$2:$R$9000,8,FALSE)</f>
        <v>11.1.01.2442</v>
      </c>
      <c r="Q1221" s="15" t="str">
        <f>VLOOKUP(A1221,sinap!$A$2:$R$9000,12,FALSE)</f>
        <v>11.1.01.0190</v>
      </c>
      <c r="R1221" s="15" t="str">
        <f>VLOOKUP(A1221,sinap!$A$2:$R$9000,16,FALSE)</f>
        <v>11.1.01.0893</v>
      </c>
      <c r="S1221" s="15" t="str">
        <f>VLOOKUP(A1221,sinap!$A$2:$Y$9000,20,FALSE)</f>
        <v>SI</v>
      </c>
    </row>
    <row r="1222" spans="1:20" hidden="1" x14ac:dyDescent="0.25">
      <c r="A1222" s="15">
        <v>20910773</v>
      </c>
      <c r="C1222" s="15">
        <v>16843440</v>
      </c>
      <c r="H1222" s="16">
        <v>45297</v>
      </c>
      <c r="J1222" s="15" t="str">
        <f>VLOOKUP(A1222,sinap!$A$2:$R$9000,2,FALSE)</f>
        <v>H</v>
      </c>
      <c r="K1222" s="15" t="str">
        <f>VLOOKUP(A1222,sinap!$A$2:$R$9000,3,FALSE)</f>
        <v>VACA</v>
      </c>
      <c r="L1222" s="15" t="str">
        <f>VLOOKUP(A1222,sinap!$A$2:$R$9000,4,FALSE)</f>
        <v>ANGUS NEGRO</v>
      </c>
      <c r="M1222" s="15" t="str">
        <f>VLOOKUP(A1222,sinap!$A$2:$R$9000,5,FALSE)</f>
        <v>7 años 3 meses</v>
      </c>
      <c r="N1222" s="15" t="str">
        <f>VLOOKUP(A1222,sinap!$A$2:$R$9000,6,FALSE)</f>
        <v>30-09-2018</v>
      </c>
      <c r="O1222" s="15" t="str">
        <f>VLOOKUP(A1222,sinap!$A$2:$R$9000,7,FALSE)</f>
        <v>Vivo</v>
      </c>
      <c r="P1222" s="15" t="str">
        <f>VLOOKUP(A1222,sinap!$A$2:$R$9000,8,FALSE)</f>
        <v>11.2.01.0038</v>
      </c>
      <c r="Q1222" s="15" t="str">
        <f>VLOOKUP(A1222,sinap!$A$2:$R$9000,12,FALSE)</f>
        <v>11.1.01.0893</v>
      </c>
      <c r="R1222" s="15" t="str">
        <f>VLOOKUP(A1222,sinap!$A$2:$R$9000,16,FALSE)</f>
        <v>11.1.01.0893</v>
      </c>
      <c r="S1222" s="15" t="str">
        <f>VLOOKUP(A1222,sinap!$A$2:$Y$9000,20,FALSE)</f>
        <v>SI</v>
      </c>
    </row>
    <row r="1223" spans="1:20" hidden="1" x14ac:dyDescent="0.25">
      <c r="A1223" s="15">
        <v>20910775</v>
      </c>
      <c r="C1223" s="15">
        <v>14717892</v>
      </c>
      <c r="J1223" s="15" t="str">
        <f>VLOOKUP(A1223,sinap!$A$2:$R$9000,2,FALSE)</f>
        <v>H</v>
      </c>
      <c r="K1223" s="15" t="str">
        <f>VLOOKUP(A1223,sinap!$A$2:$R$9000,3,FALSE)</f>
        <v>VACA</v>
      </c>
      <c r="L1223" s="15" t="str">
        <f>VLOOKUP(A1223,sinap!$A$2:$R$9000,4,FALSE)</f>
        <v>LIMOUSIN</v>
      </c>
      <c r="M1223" s="15" t="str">
        <f>VLOOKUP(A1223,sinap!$A$2:$R$9000,5,FALSE)</f>
        <v>9 años 3 meses</v>
      </c>
      <c r="N1223" s="15" t="str">
        <f>VLOOKUP(A1223,sinap!$A$2:$R$9000,6,FALSE)</f>
        <v>15-10-2016</v>
      </c>
      <c r="O1223" s="15" t="str">
        <f>VLOOKUP(A1223,sinap!$A$2:$R$9000,7,FALSE)</f>
        <v>Vivo</v>
      </c>
      <c r="P1223" s="15" t="str">
        <f>VLOOKUP(A1223,sinap!$A$2:$R$9000,8,FALSE)</f>
        <v>11.1.01.0893</v>
      </c>
      <c r="Q1223" s="15" t="str">
        <f>VLOOKUP(A1223,sinap!$A$2:$R$9000,12,FALSE)</f>
        <v>11.1.01.1081</v>
      </c>
      <c r="R1223" s="15" t="str">
        <f>VLOOKUP(A1223,sinap!$A$2:$R$9000,16,FALSE)</f>
        <v>11.1.01.1081</v>
      </c>
      <c r="S1223" s="15" t="str">
        <f>VLOOKUP(A1223,sinap!$A$2:$Y$9000,20,FALSE)</f>
        <v>SI</v>
      </c>
    </row>
    <row r="1224" spans="1:20" hidden="1" x14ac:dyDescent="0.25">
      <c r="A1224" s="15">
        <v>20910776</v>
      </c>
      <c r="C1224" s="15">
        <v>16843302</v>
      </c>
      <c r="H1224" s="16">
        <v>45297</v>
      </c>
      <c r="J1224" s="15" t="str">
        <f>VLOOKUP(A1224,sinap!$A$2:$R$9000,2,FALSE)</f>
        <v>H</v>
      </c>
      <c r="K1224" s="15" t="str">
        <f>VLOOKUP(A1224,sinap!$A$2:$R$9000,3,FALSE)</f>
        <v>VACA</v>
      </c>
      <c r="L1224" s="15" t="str">
        <f>VLOOKUP(A1224,sinap!$A$2:$R$9000,4,FALSE)</f>
        <v>ANGUS NEGRO</v>
      </c>
      <c r="M1224" s="15" t="str">
        <f>VLOOKUP(A1224,sinap!$A$2:$R$9000,5,FALSE)</f>
        <v>7 años 2 meses</v>
      </c>
      <c r="N1224" s="15" t="str">
        <f>VLOOKUP(A1224,sinap!$A$2:$R$9000,6,FALSE)</f>
        <v>20-10-2018</v>
      </c>
      <c r="O1224" s="15" t="str">
        <f>VLOOKUP(A1224,sinap!$A$2:$R$9000,7,FALSE)</f>
        <v>Vivo</v>
      </c>
      <c r="P1224" s="15" t="str">
        <f>VLOOKUP(A1224,sinap!$A$2:$R$9000,8,FALSE)</f>
        <v>11.2.01.0038</v>
      </c>
      <c r="Q1224" s="15" t="str">
        <f>VLOOKUP(A1224,sinap!$A$2:$R$9000,12,FALSE)</f>
        <v>11.1.01.0893</v>
      </c>
      <c r="R1224" s="15" t="str">
        <f>VLOOKUP(A1224,sinap!$A$2:$R$9000,16,FALSE)</f>
        <v>11.1.01.0893</v>
      </c>
      <c r="S1224" s="15" t="str">
        <f>VLOOKUP(A1224,sinap!$A$2:$Y$9000,20,FALSE)</f>
        <v>SI</v>
      </c>
    </row>
    <row r="1225" spans="1:20" hidden="1" x14ac:dyDescent="0.25">
      <c r="A1225" s="15">
        <v>20910777</v>
      </c>
      <c r="C1225" s="15">
        <v>16843375</v>
      </c>
      <c r="J1225" s="15" t="str">
        <f>VLOOKUP(A1225,sinap!$A$2:$R$9000,2,FALSE)</f>
        <v>H</v>
      </c>
      <c r="K1225" s="15" t="str">
        <f>VLOOKUP(A1225,sinap!$A$2:$R$9000,3,FALSE)</f>
        <v>VACA</v>
      </c>
      <c r="L1225" s="15" t="str">
        <f>VLOOKUP(A1225,sinap!$A$2:$R$9000,4,FALSE)</f>
        <v>ANGUS NEGRO</v>
      </c>
      <c r="M1225" s="15" t="str">
        <f>VLOOKUP(A1225,sinap!$A$2:$R$9000,5,FALSE)</f>
        <v>7 años 4 meses</v>
      </c>
      <c r="N1225" s="15" t="str">
        <f>VLOOKUP(A1225,sinap!$A$2:$R$9000,6,FALSE)</f>
        <v>10-09-2018</v>
      </c>
      <c r="O1225" s="15" t="str">
        <f>VLOOKUP(A1225,sinap!$A$2:$R$9000,7,FALSE)</f>
        <v>Vivo</v>
      </c>
      <c r="P1225" s="15" t="str">
        <f>VLOOKUP(A1225,sinap!$A$2:$R$9000,8,FALSE)</f>
        <v>11.1.01.0791</v>
      </c>
      <c r="Q1225" s="15" t="str">
        <f>VLOOKUP(A1225,sinap!$A$2:$R$9000,12,FALSE)</f>
        <v>11.1.01.0893</v>
      </c>
      <c r="R1225" s="15" t="str">
        <f>VLOOKUP(A1225,sinap!$A$2:$R$9000,16,FALSE)</f>
        <v>11.1.01.0893</v>
      </c>
      <c r="S1225" s="15" t="str">
        <f>VLOOKUP(A1225,sinap!$A$2:$Y$9000,20,FALSE)</f>
        <v>SI</v>
      </c>
    </row>
    <row r="1226" spans="1:20" hidden="1" x14ac:dyDescent="0.25">
      <c r="A1226" s="15">
        <v>20910779</v>
      </c>
      <c r="C1226" s="15">
        <v>16843282</v>
      </c>
      <c r="J1226" s="15" t="str">
        <f>VLOOKUP(A1226,sinap!$A$2:$R$9000,2,FALSE)</f>
        <v>H</v>
      </c>
      <c r="K1226" s="15" t="str">
        <f>VLOOKUP(A1226,sinap!$A$2:$R$9000,3,FALSE)</f>
        <v>VACA</v>
      </c>
      <c r="L1226" s="15" t="str">
        <f>VLOOKUP(A1226,sinap!$A$2:$R$9000,4,FALSE)</f>
        <v>ANGUS NEGRO</v>
      </c>
      <c r="M1226" s="15" t="str">
        <f>VLOOKUP(A1226,sinap!$A$2:$R$9000,5,FALSE)</f>
        <v>7 años 4 meses</v>
      </c>
      <c r="N1226" s="15" t="str">
        <f>VLOOKUP(A1226,sinap!$A$2:$R$9000,6,FALSE)</f>
        <v>10-09-2018</v>
      </c>
      <c r="O1226" s="15" t="str">
        <f>VLOOKUP(A1226,sinap!$A$2:$R$9000,7,FALSE)</f>
        <v>Vivo</v>
      </c>
      <c r="P1226" s="15" t="str">
        <f>VLOOKUP(A1226,sinap!$A$2:$R$9000,8,FALSE)</f>
        <v>11.2.01.0038</v>
      </c>
      <c r="Q1226" s="15" t="str">
        <f>VLOOKUP(A1226,sinap!$A$2:$R$9000,12,FALSE)</f>
        <v>11.1.01.0893</v>
      </c>
      <c r="R1226" s="15" t="str">
        <f>VLOOKUP(A1226,sinap!$A$2:$R$9000,16,FALSE)</f>
        <v>11.1.01.0893</v>
      </c>
      <c r="S1226" s="15" t="str">
        <f>VLOOKUP(A1226,sinap!$A$2:$Y$9000,20,FALSE)</f>
        <v>SI</v>
      </c>
    </row>
    <row r="1227" spans="1:20" hidden="1" x14ac:dyDescent="0.25">
      <c r="A1227" s="15">
        <v>20910784</v>
      </c>
      <c r="J1227" s="15" t="str">
        <f>VLOOKUP(A1227,sinap!$A$2:$R$9000,2,FALSE)</f>
        <v>no existe</v>
      </c>
      <c r="K1227" s="15" t="str">
        <f>VLOOKUP(A1227,sinap!$A$2:$R$9000,3,FALSE)</f>
        <v>no existe</v>
      </c>
      <c r="L1227" s="15" t="str">
        <f>VLOOKUP(A1227,sinap!$A$2:$R$9000,4,FALSE)</f>
        <v>no existe</v>
      </c>
      <c r="M1227" s="15" t="str">
        <f>VLOOKUP(A1227,sinap!$A$2:$R$9000,5,FALSE)</f>
        <v>no existe</v>
      </c>
      <c r="N1227" s="15" t="str">
        <f>VLOOKUP(A1227,sinap!$A$2:$R$9000,6,FALSE)</f>
        <v>no existe</v>
      </c>
      <c r="O1227" s="15" t="str">
        <f>VLOOKUP(A1227,sinap!$A$2:$R$9000,7,FALSE)</f>
        <v>no existe</v>
      </c>
      <c r="P1227" s="15" t="str">
        <f>VLOOKUP(A1227,sinap!$A$2:$R$9000,8,FALSE)</f>
        <v>no existe</v>
      </c>
      <c r="Q1227" s="15" t="str">
        <f>VLOOKUP(A1227,sinap!$A$2:$R$9000,12,FALSE)</f>
        <v>no existe</v>
      </c>
      <c r="R1227" s="15" t="str">
        <f>VLOOKUP(A1227,sinap!$A$2:$R$9000,16,FALSE)</f>
        <v>no existe</v>
      </c>
      <c r="S1227" s="15" t="str">
        <f>VLOOKUP(A1227,sinap!$A$2:$Y$9000,20,FALSE)</f>
        <v>no existe</v>
      </c>
      <c r="T1227" s="16">
        <v>45065</v>
      </c>
    </row>
    <row r="1228" spans="1:20" hidden="1" x14ac:dyDescent="0.25">
      <c r="A1228" s="15">
        <v>20910785</v>
      </c>
      <c r="H1228" s="16">
        <v>45297</v>
      </c>
      <c r="J1228" s="15" t="str">
        <f>VLOOKUP(A1228,sinap!$A$2:$R$9000,2,FALSE)</f>
        <v>H</v>
      </c>
      <c r="K1228" s="15" t="str">
        <f>VLOOKUP(A1228,sinap!$A$2:$R$9000,3,FALSE)</f>
        <v>VACA</v>
      </c>
      <c r="L1228" s="15" t="str">
        <f>VLOOKUP(A1228,sinap!$A$2:$R$9000,4,FALSE)</f>
        <v>ANGUS NEGRO</v>
      </c>
      <c r="M1228" s="15" t="str">
        <f>VLOOKUP(A1228,sinap!$A$2:$R$9000,5,FALSE)</f>
        <v>5 años 3 meses</v>
      </c>
      <c r="N1228" s="15" t="str">
        <f>VLOOKUP(A1228,sinap!$A$2:$R$9000,6,FALSE)</f>
        <v>15-10-2020</v>
      </c>
      <c r="O1228" s="15" t="str">
        <f>VLOOKUP(A1228,sinap!$A$2:$R$9000,7,FALSE)</f>
        <v>Vivo</v>
      </c>
      <c r="P1228" s="15" t="str">
        <f>VLOOKUP(A1228,sinap!$A$2:$R$9000,8,FALSE)</f>
        <v>11.2.01.0038</v>
      </c>
      <c r="Q1228" s="15" t="str">
        <f>VLOOKUP(A1228,sinap!$A$2:$R$9000,12,FALSE)</f>
        <v>11.1.01.0893</v>
      </c>
      <c r="R1228" s="15" t="str">
        <f>VLOOKUP(A1228,sinap!$A$2:$R$9000,16,FALSE)</f>
        <v>11.1.01.0893</v>
      </c>
      <c r="S1228" s="15" t="str">
        <f>VLOOKUP(A1228,sinap!$A$2:$Y$9000,20,FALSE)</f>
        <v>NO</v>
      </c>
      <c r="T1228" s="16">
        <v>45065</v>
      </c>
    </row>
    <row r="1229" spans="1:20" hidden="1" x14ac:dyDescent="0.25">
      <c r="A1229" s="15">
        <v>20910786</v>
      </c>
      <c r="J1229" s="15" t="str">
        <f>VLOOKUP(A1229,sinap!$A$2:$R$9000,2,FALSE)</f>
        <v>H</v>
      </c>
      <c r="K1229" s="15" t="str">
        <f>VLOOKUP(A1229,sinap!$A$2:$R$9000,3,FALSE)</f>
        <v>VACA</v>
      </c>
      <c r="L1229" s="15" t="str">
        <f>VLOOKUP(A1229,sinap!$A$2:$R$9000,4,FALSE)</f>
        <v>ANGUS NEGRO</v>
      </c>
      <c r="M1229" s="15" t="str">
        <f>VLOOKUP(A1229,sinap!$A$2:$R$9000,5,FALSE)</f>
        <v>5 años 3 meses</v>
      </c>
      <c r="N1229" s="15" t="str">
        <f>VLOOKUP(A1229,sinap!$A$2:$R$9000,6,FALSE)</f>
        <v>15-10-2020</v>
      </c>
      <c r="O1229" s="15" t="str">
        <f>VLOOKUP(A1229,sinap!$A$2:$R$9000,7,FALSE)</f>
        <v>Vivo</v>
      </c>
      <c r="P1229" s="15" t="str">
        <f>VLOOKUP(A1229,sinap!$A$2:$R$9000,8,FALSE)</f>
        <v>11.1.01.2442</v>
      </c>
      <c r="Q1229" s="15" t="str">
        <f>VLOOKUP(A1229,sinap!$A$2:$R$9000,12,FALSE)</f>
        <v>11.1.01.0893</v>
      </c>
      <c r="R1229" s="15" t="str">
        <f>VLOOKUP(A1229,sinap!$A$2:$R$9000,16,FALSE)</f>
        <v>11.1.01.0893</v>
      </c>
      <c r="S1229" s="15" t="str">
        <f>VLOOKUP(A1229,sinap!$A$2:$Y$9000,20,FALSE)</f>
        <v>NO</v>
      </c>
      <c r="T1229" s="16">
        <v>45065</v>
      </c>
    </row>
    <row r="1230" spans="1:20" hidden="1" x14ac:dyDescent="0.25">
      <c r="A1230" s="15">
        <v>20910787</v>
      </c>
      <c r="H1230" s="16">
        <v>45297</v>
      </c>
      <c r="J1230" s="15" t="str">
        <f>VLOOKUP(A1230,sinap!$A$2:$R$9000,2,FALSE)</f>
        <v>H</v>
      </c>
      <c r="K1230" s="15" t="str">
        <f>VLOOKUP(A1230,sinap!$A$2:$R$9000,3,FALSE)</f>
        <v>VACA</v>
      </c>
      <c r="L1230" s="15" t="str">
        <f>VLOOKUP(A1230,sinap!$A$2:$R$9000,4,FALSE)</f>
        <v>ANGUS NEGRO</v>
      </c>
      <c r="M1230" s="15" t="str">
        <f>VLOOKUP(A1230,sinap!$A$2:$R$9000,5,FALSE)</f>
        <v>5 años 3 meses</v>
      </c>
      <c r="N1230" s="15" t="str">
        <f>VLOOKUP(A1230,sinap!$A$2:$R$9000,6,FALSE)</f>
        <v>15-10-2020</v>
      </c>
      <c r="O1230" s="15" t="str">
        <f>VLOOKUP(A1230,sinap!$A$2:$R$9000,7,FALSE)</f>
        <v>Vivo</v>
      </c>
      <c r="P1230" s="15" t="str">
        <f>VLOOKUP(A1230,sinap!$A$2:$R$9000,8,FALSE)</f>
        <v>11.2.01.0038</v>
      </c>
      <c r="Q1230" s="15" t="str">
        <f>VLOOKUP(A1230,sinap!$A$2:$R$9000,12,FALSE)</f>
        <v>11.1.01.0893</v>
      </c>
      <c r="R1230" s="15" t="str">
        <f>VLOOKUP(A1230,sinap!$A$2:$R$9000,16,FALSE)</f>
        <v>11.1.01.0893</v>
      </c>
      <c r="S1230" s="15" t="str">
        <f>VLOOKUP(A1230,sinap!$A$2:$Y$9000,20,FALSE)</f>
        <v>NO</v>
      </c>
      <c r="T1230" s="16">
        <v>45065</v>
      </c>
    </row>
    <row r="1231" spans="1:20" hidden="1" x14ac:dyDescent="0.25">
      <c r="A1231" s="15">
        <v>20910788</v>
      </c>
      <c r="H1231" s="16">
        <v>45297</v>
      </c>
      <c r="J1231" s="15" t="str">
        <f>VLOOKUP(A1231,sinap!$A$2:$R$9000,2,FALSE)</f>
        <v>H</v>
      </c>
      <c r="K1231" s="15" t="str">
        <f>VLOOKUP(A1231,sinap!$A$2:$R$9000,3,FALSE)</f>
        <v>VACA</v>
      </c>
      <c r="L1231" s="15" t="str">
        <f>VLOOKUP(A1231,sinap!$A$2:$R$9000,4,FALSE)</f>
        <v>ANGUS NEGRO</v>
      </c>
      <c r="M1231" s="15" t="str">
        <f>VLOOKUP(A1231,sinap!$A$2:$R$9000,5,FALSE)</f>
        <v>5 años 3 meses</v>
      </c>
      <c r="N1231" s="15" t="str">
        <f>VLOOKUP(A1231,sinap!$A$2:$R$9000,6,FALSE)</f>
        <v>15-10-2020</v>
      </c>
      <c r="O1231" s="15" t="str">
        <f>VLOOKUP(A1231,sinap!$A$2:$R$9000,7,FALSE)</f>
        <v>Vivo</v>
      </c>
      <c r="P1231" s="15" t="str">
        <f>VLOOKUP(A1231,sinap!$A$2:$R$9000,8,FALSE)</f>
        <v>11.2.01.0038</v>
      </c>
      <c r="Q1231" s="15" t="str">
        <f>VLOOKUP(A1231,sinap!$A$2:$R$9000,12,FALSE)</f>
        <v>11.1.01.0893</v>
      </c>
      <c r="R1231" s="15" t="str">
        <f>VLOOKUP(A1231,sinap!$A$2:$R$9000,16,FALSE)</f>
        <v>11.1.01.0893</v>
      </c>
      <c r="S1231" s="15" t="str">
        <f>VLOOKUP(A1231,sinap!$A$2:$Y$9000,20,FALSE)</f>
        <v>NO</v>
      </c>
      <c r="T1231" s="16">
        <v>45065</v>
      </c>
    </row>
    <row r="1232" spans="1:20" hidden="1" x14ac:dyDescent="0.25">
      <c r="A1232" s="15">
        <v>20910790</v>
      </c>
      <c r="H1232" s="16">
        <v>45297</v>
      </c>
      <c r="J1232" s="15" t="str">
        <f>VLOOKUP(A1232,sinap!$A$2:$R$9000,2,FALSE)</f>
        <v>H</v>
      </c>
      <c r="K1232" s="15" t="str">
        <f>VLOOKUP(A1232,sinap!$A$2:$R$9000,3,FALSE)</f>
        <v>VACA</v>
      </c>
      <c r="L1232" s="15" t="str">
        <f>VLOOKUP(A1232,sinap!$A$2:$R$9000,4,FALSE)</f>
        <v>ANGUS NEGRO</v>
      </c>
      <c r="M1232" s="15" t="str">
        <f>VLOOKUP(A1232,sinap!$A$2:$R$9000,5,FALSE)</f>
        <v>5 años 3 meses</v>
      </c>
      <c r="N1232" s="15" t="str">
        <f>VLOOKUP(A1232,sinap!$A$2:$R$9000,6,FALSE)</f>
        <v>15-10-2020</v>
      </c>
      <c r="O1232" s="15" t="str">
        <f>VLOOKUP(A1232,sinap!$A$2:$R$9000,7,FALSE)</f>
        <v>Vivo</v>
      </c>
      <c r="P1232" s="15" t="str">
        <f>VLOOKUP(A1232,sinap!$A$2:$R$9000,8,FALSE)</f>
        <v>11.1.01.0791</v>
      </c>
      <c r="Q1232" s="15" t="str">
        <f>VLOOKUP(A1232,sinap!$A$2:$R$9000,12,FALSE)</f>
        <v>11.1.01.0893</v>
      </c>
      <c r="R1232" s="15" t="str">
        <f>VLOOKUP(A1232,sinap!$A$2:$R$9000,16,FALSE)</f>
        <v>11.1.01.0893</v>
      </c>
      <c r="S1232" s="15" t="str">
        <f>VLOOKUP(A1232,sinap!$A$2:$Y$9000,20,FALSE)</f>
        <v>NO</v>
      </c>
      <c r="T1232" s="16">
        <v>45065</v>
      </c>
    </row>
    <row r="1233" spans="1:20" hidden="1" x14ac:dyDescent="0.25">
      <c r="A1233" s="15">
        <v>20910791</v>
      </c>
      <c r="J1233" s="15" t="str">
        <f>VLOOKUP(A1233,sinap!$A$2:$R$9000,2,FALSE)</f>
        <v>H</v>
      </c>
      <c r="K1233" s="15" t="str">
        <f>VLOOKUP(A1233,sinap!$A$2:$R$9000,3,FALSE)</f>
        <v>VACA</v>
      </c>
      <c r="L1233" s="15" t="str">
        <f>VLOOKUP(A1233,sinap!$A$2:$R$9000,4,FALSE)</f>
        <v>ANGUS NEGRO</v>
      </c>
      <c r="M1233" s="15" t="str">
        <f>VLOOKUP(A1233,sinap!$A$2:$R$9000,5,FALSE)</f>
        <v>5 años 3 meses</v>
      </c>
      <c r="N1233" s="15" t="str">
        <f>VLOOKUP(A1233,sinap!$A$2:$R$9000,6,FALSE)</f>
        <v>15-10-2020</v>
      </c>
      <c r="O1233" s="15" t="str">
        <f>VLOOKUP(A1233,sinap!$A$2:$R$9000,7,FALSE)</f>
        <v>Vivo</v>
      </c>
      <c r="P1233" s="15" t="str">
        <f>VLOOKUP(A1233,sinap!$A$2:$R$9000,8,FALSE)</f>
        <v>11.2.01.0038</v>
      </c>
      <c r="Q1233" s="15" t="str">
        <f>VLOOKUP(A1233,sinap!$A$2:$R$9000,12,FALSE)</f>
        <v>11.1.01.0893</v>
      </c>
      <c r="R1233" s="15" t="str">
        <f>VLOOKUP(A1233,sinap!$A$2:$R$9000,16,FALSE)</f>
        <v>11.1.01.0893</v>
      </c>
      <c r="S1233" s="15" t="str">
        <f>VLOOKUP(A1233,sinap!$A$2:$Y$9000,20,FALSE)</f>
        <v>NO</v>
      </c>
      <c r="T1233" s="16">
        <v>45065</v>
      </c>
    </row>
    <row r="1234" spans="1:20" hidden="1" x14ac:dyDescent="0.25">
      <c r="A1234" s="15">
        <v>20910792</v>
      </c>
      <c r="J1234" s="15" t="str">
        <f>VLOOKUP(A1234,sinap!$A$2:$R$9000,2,FALSE)</f>
        <v>H</v>
      </c>
      <c r="K1234" s="15" t="str">
        <f>VLOOKUP(A1234,sinap!$A$2:$R$9000,3,FALSE)</f>
        <v>VACA</v>
      </c>
      <c r="L1234" s="15" t="str">
        <f>VLOOKUP(A1234,sinap!$A$2:$R$9000,4,FALSE)</f>
        <v>ANGUS NEGRO</v>
      </c>
      <c r="M1234" s="15" t="str">
        <f>VLOOKUP(A1234,sinap!$A$2:$R$9000,5,FALSE)</f>
        <v>5 años 3 meses</v>
      </c>
      <c r="N1234" s="15" t="str">
        <f>VLOOKUP(A1234,sinap!$A$2:$R$9000,6,FALSE)</f>
        <v>15-10-2020</v>
      </c>
      <c r="O1234" s="15" t="str">
        <f>VLOOKUP(A1234,sinap!$A$2:$R$9000,7,FALSE)</f>
        <v>Vivo</v>
      </c>
      <c r="P1234" s="15" t="str">
        <f>VLOOKUP(A1234,sinap!$A$2:$R$9000,8,FALSE)</f>
        <v>11.2.01.0038</v>
      </c>
      <c r="Q1234" s="15" t="str">
        <f>VLOOKUP(A1234,sinap!$A$2:$R$9000,12,FALSE)</f>
        <v>11.1.01.0893</v>
      </c>
      <c r="R1234" s="15" t="str">
        <f>VLOOKUP(A1234,sinap!$A$2:$R$9000,16,FALSE)</f>
        <v>11.1.01.0893</v>
      </c>
      <c r="S1234" s="15" t="str">
        <f>VLOOKUP(A1234,sinap!$A$2:$Y$9000,20,FALSE)</f>
        <v>NO</v>
      </c>
      <c r="T1234" s="16">
        <v>45065</v>
      </c>
    </row>
    <row r="1235" spans="1:20" hidden="1" x14ac:dyDescent="0.25">
      <c r="A1235" s="15">
        <v>20910793</v>
      </c>
      <c r="J1235" s="15" t="str">
        <f>VLOOKUP(A1235,sinap!$A$2:$R$9000,2,FALSE)</f>
        <v>H</v>
      </c>
      <c r="K1235" s="15" t="str">
        <f>VLOOKUP(A1235,sinap!$A$2:$R$9000,3,FALSE)</f>
        <v>VACA</v>
      </c>
      <c r="L1235" s="15" t="str">
        <f>VLOOKUP(A1235,sinap!$A$2:$R$9000,4,FALSE)</f>
        <v>ANGUS NEGRO</v>
      </c>
      <c r="M1235" s="15" t="str">
        <f>VLOOKUP(A1235,sinap!$A$2:$R$9000,5,FALSE)</f>
        <v>5 años 3 meses</v>
      </c>
      <c r="N1235" s="15" t="str">
        <f>VLOOKUP(A1235,sinap!$A$2:$R$9000,6,FALSE)</f>
        <v>15-10-2020</v>
      </c>
      <c r="O1235" s="15" t="str">
        <f>VLOOKUP(A1235,sinap!$A$2:$R$9000,7,FALSE)</f>
        <v>Vivo</v>
      </c>
      <c r="P1235" s="15" t="str">
        <f>VLOOKUP(A1235,sinap!$A$2:$R$9000,8,FALSE)</f>
        <v>11.1.01.0791</v>
      </c>
      <c r="Q1235" s="15" t="str">
        <f>VLOOKUP(A1235,sinap!$A$2:$R$9000,12,FALSE)</f>
        <v>11.1.01.0893</v>
      </c>
      <c r="R1235" s="15" t="str">
        <f>VLOOKUP(A1235,sinap!$A$2:$R$9000,16,FALSE)</f>
        <v>11.1.01.0893</v>
      </c>
      <c r="S1235" s="15" t="str">
        <f>VLOOKUP(A1235,sinap!$A$2:$Y$9000,20,FALSE)</f>
        <v>NO</v>
      </c>
      <c r="T1235" s="16">
        <v>45065</v>
      </c>
    </row>
    <row r="1236" spans="1:20" hidden="1" x14ac:dyDescent="0.25">
      <c r="A1236" s="15">
        <v>20910794</v>
      </c>
      <c r="J1236" s="15" t="str">
        <f>VLOOKUP(A1236,sinap!$A$2:$R$9000,2,FALSE)</f>
        <v>H</v>
      </c>
      <c r="K1236" s="15" t="str">
        <f>VLOOKUP(A1236,sinap!$A$2:$R$9000,3,FALSE)</f>
        <v>VACA</v>
      </c>
      <c r="L1236" s="15" t="str">
        <f>VLOOKUP(A1236,sinap!$A$2:$R$9000,4,FALSE)</f>
        <v>ANGUS NEGRO</v>
      </c>
      <c r="M1236" s="15" t="str">
        <f>VLOOKUP(A1236,sinap!$A$2:$R$9000,5,FALSE)</f>
        <v>5 años 3 meses</v>
      </c>
      <c r="N1236" s="15" t="str">
        <f>VLOOKUP(A1236,sinap!$A$2:$R$9000,6,FALSE)</f>
        <v>15-10-2020</v>
      </c>
      <c r="O1236" s="15" t="str">
        <f>VLOOKUP(A1236,sinap!$A$2:$R$9000,7,FALSE)</f>
        <v>Vivo</v>
      </c>
      <c r="P1236" s="15" t="str">
        <f>VLOOKUP(A1236,sinap!$A$2:$R$9000,8,FALSE)</f>
        <v>11.2.01.0038</v>
      </c>
      <c r="Q1236" s="15" t="str">
        <f>VLOOKUP(A1236,sinap!$A$2:$R$9000,12,FALSE)</f>
        <v>11.1.01.0893</v>
      </c>
      <c r="R1236" s="15" t="str">
        <f>VLOOKUP(A1236,sinap!$A$2:$R$9000,16,FALSE)</f>
        <v>11.1.01.0893</v>
      </c>
      <c r="S1236" s="15" t="str">
        <f>VLOOKUP(A1236,sinap!$A$2:$Y$9000,20,FALSE)</f>
        <v>NO</v>
      </c>
      <c r="T1236" s="16">
        <v>45065</v>
      </c>
    </row>
    <row r="1237" spans="1:20" hidden="1" x14ac:dyDescent="0.25">
      <c r="A1237" s="15">
        <v>20910796</v>
      </c>
      <c r="C1237" s="15">
        <v>8937509</v>
      </c>
      <c r="H1237" s="16">
        <v>45432</v>
      </c>
      <c r="J1237" s="15" t="str">
        <f>VLOOKUP(A1237,sinap!$A$2:$R$9000,2,FALSE)</f>
        <v>H</v>
      </c>
      <c r="K1237" s="15" t="str">
        <f>VLOOKUP(A1237,sinap!$A$2:$R$9000,3,FALSE)</f>
        <v>VACA</v>
      </c>
      <c r="L1237" s="15" t="str">
        <f>VLOOKUP(A1237,sinap!$A$2:$R$9000,4,FALSE)</f>
        <v>ANGUS ROJO</v>
      </c>
      <c r="M1237" s="15" t="str">
        <f>VLOOKUP(A1237,sinap!$A$2:$R$9000,5,FALSE)</f>
        <v>11 años 3 meses</v>
      </c>
      <c r="N1237" s="15" t="str">
        <f>VLOOKUP(A1237,sinap!$A$2:$R$9000,6,FALSE)</f>
        <v>30-09-2014</v>
      </c>
      <c r="O1237" s="15" t="str">
        <f>VLOOKUP(A1237,sinap!$A$2:$R$9000,7,FALSE)</f>
        <v>Vivo</v>
      </c>
      <c r="P1237" s="15" t="str">
        <f>VLOOKUP(A1237,sinap!$A$2:$R$9000,8,FALSE)</f>
        <v>11.1.01.1241</v>
      </c>
      <c r="Q1237" s="15" t="str">
        <f>VLOOKUP(A1237,sinap!$A$2:$R$9000,12,FALSE)</f>
        <v>11.2.01.0038</v>
      </c>
      <c r="R1237" s="15" t="str">
        <f>VLOOKUP(A1237,sinap!$A$2:$R$9000,16,FALSE)</f>
        <v>11.1.01.2304</v>
      </c>
      <c r="S1237" s="15" t="str">
        <f>VLOOKUP(A1237,sinap!$A$2:$Y$9000,20,FALSE)</f>
        <v>SI</v>
      </c>
    </row>
    <row r="1238" spans="1:20" hidden="1" x14ac:dyDescent="0.25">
      <c r="A1238" s="15">
        <v>20910799</v>
      </c>
      <c r="C1238" s="15">
        <v>16843423</v>
      </c>
      <c r="H1238" s="16">
        <v>45297</v>
      </c>
      <c r="J1238" s="15" t="str">
        <f>VLOOKUP(A1238,sinap!$A$2:$R$9000,2,FALSE)</f>
        <v>H</v>
      </c>
      <c r="K1238" s="15" t="str">
        <f>VLOOKUP(A1238,sinap!$A$2:$R$9000,3,FALSE)</f>
        <v>VACA</v>
      </c>
      <c r="L1238" s="15" t="str">
        <f>VLOOKUP(A1238,sinap!$A$2:$R$9000,4,FALSE)</f>
        <v>ANGUS NEGRO</v>
      </c>
      <c r="M1238" s="15" t="str">
        <f>VLOOKUP(A1238,sinap!$A$2:$R$9000,5,FALSE)</f>
        <v>7 años 3 meses</v>
      </c>
      <c r="N1238" s="15" t="str">
        <f>VLOOKUP(A1238,sinap!$A$2:$R$9000,6,FALSE)</f>
        <v>20-09-2018</v>
      </c>
      <c r="O1238" s="15" t="str">
        <f>VLOOKUP(A1238,sinap!$A$2:$R$9000,7,FALSE)</f>
        <v>Vivo</v>
      </c>
      <c r="P1238" s="15" t="str">
        <f>VLOOKUP(A1238,sinap!$A$2:$R$9000,8,FALSE)</f>
        <v>11.2.01.0038</v>
      </c>
      <c r="Q1238" s="15" t="str">
        <f>VLOOKUP(A1238,sinap!$A$2:$R$9000,12,FALSE)</f>
        <v>11.1.01.0893</v>
      </c>
      <c r="R1238" s="15" t="str">
        <f>VLOOKUP(A1238,sinap!$A$2:$R$9000,16,FALSE)</f>
        <v>11.1.01.0893</v>
      </c>
      <c r="S1238" s="15" t="str">
        <f>VLOOKUP(A1238,sinap!$A$2:$Y$9000,20,FALSE)</f>
        <v>SI</v>
      </c>
    </row>
    <row r="1239" spans="1:20" hidden="1" x14ac:dyDescent="0.25">
      <c r="A1239" s="15">
        <v>20910800</v>
      </c>
      <c r="C1239" s="15">
        <v>16843194</v>
      </c>
      <c r="H1239" s="16">
        <v>45297</v>
      </c>
      <c r="J1239" s="15" t="str">
        <f>VLOOKUP(A1239,sinap!$A$2:$R$9000,2,FALSE)</f>
        <v>H</v>
      </c>
      <c r="K1239" s="15" t="str">
        <f>VLOOKUP(A1239,sinap!$A$2:$R$9000,3,FALSE)</f>
        <v>VACA</v>
      </c>
      <c r="L1239" s="15" t="str">
        <f>VLOOKUP(A1239,sinap!$A$2:$R$9000,4,FALSE)</f>
        <v>ANGUS NEGRO</v>
      </c>
      <c r="M1239" s="15" t="str">
        <f>VLOOKUP(A1239,sinap!$A$2:$R$9000,5,FALSE)</f>
        <v>7 años 3 meses</v>
      </c>
      <c r="N1239" s="15" t="str">
        <f>VLOOKUP(A1239,sinap!$A$2:$R$9000,6,FALSE)</f>
        <v>20-09-2018</v>
      </c>
      <c r="O1239" s="15" t="str">
        <f>VLOOKUP(A1239,sinap!$A$2:$R$9000,7,FALSE)</f>
        <v>Vivo</v>
      </c>
      <c r="P1239" s="15" t="str">
        <f>VLOOKUP(A1239,sinap!$A$2:$R$9000,8,FALSE)</f>
        <v>11.2.01.0038</v>
      </c>
      <c r="Q1239" s="15" t="str">
        <f>VLOOKUP(A1239,sinap!$A$2:$R$9000,12,FALSE)</f>
        <v>11.1.01.0893</v>
      </c>
      <c r="R1239" s="15" t="str">
        <f>VLOOKUP(A1239,sinap!$A$2:$R$9000,16,FALSE)</f>
        <v>11.1.01.1241</v>
      </c>
      <c r="S1239" s="15" t="str">
        <f>VLOOKUP(A1239,sinap!$A$2:$Y$9000,20,FALSE)</f>
        <v>SI</v>
      </c>
    </row>
    <row r="1240" spans="1:20" hidden="1" x14ac:dyDescent="0.25">
      <c r="A1240" s="15">
        <v>20916625</v>
      </c>
      <c r="J1240" s="15" t="str">
        <f>VLOOKUP(A1240,sinap!$A$2:$R$9000,2,FALSE)</f>
        <v>H</v>
      </c>
      <c r="K1240" s="15" t="str">
        <f>VLOOKUP(A1240,sinap!$A$2:$R$9000,3,FALSE)</f>
        <v>VACA</v>
      </c>
      <c r="L1240" s="15" t="str">
        <f>VLOOKUP(A1240,sinap!$A$2:$R$9000,4,FALSE)</f>
        <v>ANGUS NEGRO</v>
      </c>
      <c r="M1240" s="15" t="str">
        <f>VLOOKUP(A1240,sinap!$A$2:$R$9000,5,FALSE)</f>
        <v>3 años 10 meses</v>
      </c>
      <c r="N1240" s="15" t="str">
        <f>VLOOKUP(A1240,sinap!$A$2:$R$9000,6,FALSE)</f>
        <v>15-03-2022</v>
      </c>
      <c r="O1240" s="15" t="str">
        <f>VLOOKUP(A1240,sinap!$A$2:$R$9000,7,FALSE)</f>
        <v>Vivo</v>
      </c>
      <c r="P1240" s="15" t="str">
        <f>VLOOKUP(A1240,sinap!$A$2:$R$9000,8,FALSE)</f>
        <v>11.1.01.1022</v>
      </c>
      <c r="Q1240" s="15" t="str">
        <f>VLOOKUP(A1240,sinap!$A$2:$R$9000,12,FALSE)</f>
        <v>Sin Movimiento</v>
      </c>
      <c r="R1240" s="15" t="str">
        <f>VLOOKUP(A1240,sinap!$A$2:$R$9000,16,FALSE)</f>
        <v>11.1.01.1022</v>
      </c>
      <c r="S1240" s="15" t="str">
        <f>VLOOKUP(A1240,sinap!$A$2:$Y$9000,20,FALSE)</f>
        <v>SI</v>
      </c>
      <c r="T1240" s="16">
        <v>44658</v>
      </c>
    </row>
    <row r="1241" spans="1:20" hidden="1" x14ac:dyDescent="0.25">
      <c r="A1241" s="15">
        <v>20916627</v>
      </c>
      <c r="J1241" s="15" t="str">
        <f>VLOOKUP(A1241,sinap!$A$2:$R$9000,2,FALSE)</f>
        <v>H</v>
      </c>
      <c r="K1241" s="15" t="str">
        <f>VLOOKUP(A1241,sinap!$A$2:$R$9000,3,FALSE)</f>
        <v>VACA</v>
      </c>
      <c r="L1241" s="15" t="str">
        <f>VLOOKUP(A1241,sinap!$A$2:$R$9000,4,FALSE)</f>
        <v>ANGUS NEGRO</v>
      </c>
      <c r="M1241" s="15" t="str">
        <f>VLOOKUP(A1241,sinap!$A$2:$R$9000,5,FALSE)</f>
        <v>3 años 11 meses</v>
      </c>
      <c r="N1241" s="15" t="str">
        <f>VLOOKUP(A1241,sinap!$A$2:$R$9000,6,FALSE)</f>
        <v>15-02-2022</v>
      </c>
      <c r="O1241" s="15" t="str">
        <f>VLOOKUP(A1241,sinap!$A$2:$R$9000,7,FALSE)</f>
        <v>Vivo</v>
      </c>
      <c r="P1241" s="15" t="str">
        <f>VLOOKUP(A1241,sinap!$A$2:$R$9000,8,FALSE)</f>
        <v>11.1.01.1022</v>
      </c>
      <c r="Q1241" s="15" t="str">
        <f>VLOOKUP(A1241,sinap!$A$2:$R$9000,12,FALSE)</f>
        <v>Sin Movimiento</v>
      </c>
      <c r="R1241" s="15" t="str">
        <f>VLOOKUP(A1241,sinap!$A$2:$R$9000,16,FALSE)</f>
        <v>11.1.01.1022</v>
      </c>
      <c r="S1241" s="15" t="str">
        <f>VLOOKUP(A1241,sinap!$A$2:$Y$9000,20,FALSE)</f>
        <v>SI</v>
      </c>
      <c r="T1241" s="16">
        <v>44658</v>
      </c>
    </row>
    <row r="1242" spans="1:20" hidden="1" x14ac:dyDescent="0.25">
      <c r="A1242" s="15">
        <v>20916632</v>
      </c>
      <c r="J1242" s="15" t="str">
        <f>VLOOKUP(A1242,sinap!$A$2:$R$9000,2,FALSE)</f>
        <v>H</v>
      </c>
      <c r="K1242" s="15" t="str">
        <f>VLOOKUP(A1242,sinap!$A$2:$R$9000,3,FALSE)</f>
        <v>VACA</v>
      </c>
      <c r="L1242" s="15" t="str">
        <f>VLOOKUP(A1242,sinap!$A$2:$R$9000,4,FALSE)</f>
        <v>ANGUS ROJO</v>
      </c>
      <c r="M1242" s="15" t="str">
        <f>VLOOKUP(A1242,sinap!$A$2:$R$9000,5,FALSE)</f>
        <v>4 años 0 meses</v>
      </c>
      <c r="N1242" s="15" t="str">
        <f>VLOOKUP(A1242,sinap!$A$2:$R$9000,6,FALSE)</f>
        <v>15-01-2022</v>
      </c>
      <c r="O1242" s="15" t="str">
        <f>VLOOKUP(A1242,sinap!$A$2:$R$9000,7,FALSE)</f>
        <v>Vivo</v>
      </c>
      <c r="P1242" s="15" t="str">
        <f>VLOOKUP(A1242,sinap!$A$2:$R$9000,8,FALSE)</f>
        <v>11.1.01.1022</v>
      </c>
      <c r="Q1242" s="15" t="str">
        <f>VLOOKUP(A1242,sinap!$A$2:$R$9000,12,FALSE)</f>
        <v>Sin Movimiento</v>
      </c>
      <c r="R1242" s="15" t="str">
        <f>VLOOKUP(A1242,sinap!$A$2:$R$9000,16,FALSE)</f>
        <v>11.1.01.1022</v>
      </c>
      <c r="S1242" s="15" t="str">
        <f>VLOOKUP(A1242,sinap!$A$2:$Y$9000,20,FALSE)</f>
        <v>SI</v>
      </c>
      <c r="T1242" s="16">
        <v>44658</v>
      </c>
    </row>
    <row r="1243" spans="1:20" hidden="1" x14ac:dyDescent="0.25">
      <c r="A1243" s="15">
        <v>20916635</v>
      </c>
      <c r="J1243" s="15" t="str">
        <f>VLOOKUP(A1243,sinap!$A$2:$R$9000,2,FALSE)</f>
        <v>H</v>
      </c>
      <c r="K1243" s="15" t="str">
        <f>VLOOKUP(A1243,sinap!$A$2:$R$9000,3,FALSE)</f>
        <v>VACA</v>
      </c>
      <c r="L1243" s="15" t="str">
        <f>VLOOKUP(A1243,sinap!$A$2:$R$9000,4,FALSE)</f>
        <v>ANGUS ROJO</v>
      </c>
      <c r="M1243" s="15" t="str">
        <f>VLOOKUP(A1243,sinap!$A$2:$R$9000,5,FALSE)</f>
        <v>4 años 0 meses</v>
      </c>
      <c r="N1243" s="15" t="str">
        <f>VLOOKUP(A1243,sinap!$A$2:$R$9000,6,FALSE)</f>
        <v>15-01-2022</v>
      </c>
      <c r="O1243" s="15" t="str">
        <f>VLOOKUP(A1243,sinap!$A$2:$R$9000,7,FALSE)</f>
        <v>Vivo</v>
      </c>
      <c r="P1243" s="15" t="str">
        <f>VLOOKUP(A1243,sinap!$A$2:$R$9000,8,FALSE)</f>
        <v>11.1.01.1022</v>
      </c>
      <c r="Q1243" s="15" t="str">
        <f>VLOOKUP(A1243,sinap!$A$2:$R$9000,12,FALSE)</f>
        <v>Sin Movimiento</v>
      </c>
      <c r="R1243" s="15" t="str">
        <f>VLOOKUP(A1243,sinap!$A$2:$R$9000,16,FALSE)</f>
        <v>11.1.01.1022</v>
      </c>
      <c r="S1243" s="15" t="str">
        <f>VLOOKUP(A1243,sinap!$A$2:$Y$9000,20,FALSE)</f>
        <v>SI</v>
      </c>
      <c r="T1243" s="16">
        <v>44880</v>
      </c>
    </row>
    <row r="1244" spans="1:20" hidden="1" x14ac:dyDescent="0.25">
      <c r="A1244" s="15">
        <v>21070641</v>
      </c>
      <c r="J1244" s="15" t="str">
        <f>VLOOKUP(A1244,sinap!$A$2:$R$9000,2,FALSE)</f>
        <v>M</v>
      </c>
      <c r="K1244" s="15" t="str">
        <f>VLOOKUP(A1244,sinap!$A$2:$R$9000,3,FALSE)</f>
        <v>TORITO</v>
      </c>
      <c r="L1244" s="15" t="str">
        <f>VLOOKUP(A1244,sinap!$A$2:$R$9000,4,FALSE)</f>
        <v>ANGUS NEGRO</v>
      </c>
      <c r="M1244" s="15" t="str">
        <f>VLOOKUP(A1244,sinap!$A$2:$R$9000,5,FALSE)</f>
        <v>2 años 4 meses</v>
      </c>
      <c r="N1244" s="15" t="str">
        <f>VLOOKUP(A1244,sinap!$A$2:$R$9000,6,FALSE)</f>
        <v>15-09-2023</v>
      </c>
      <c r="O1244" s="15" t="str">
        <f>VLOOKUP(A1244,sinap!$A$2:$R$9000,7,FALSE)</f>
        <v>Vivo</v>
      </c>
      <c r="P1244" s="15" t="str">
        <f>VLOOKUP(A1244,sinap!$A$2:$R$9000,8,FALSE)</f>
        <v>11.1.01.1022</v>
      </c>
      <c r="Q1244" s="15" t="str">
        <f>VLOOKUP(A1244,sinap!$A$2:$R$9000,12,FALSE)</f>
        <v>11.1.01.0893</v>
      </c>
      <c r="R1244" s="15" t="str">
        <f>VLOOKUP(A1244,sinap!$A$2:$R$9000,16,FALSE)</f>
        <v>11.1.01.0290</v>
      </c>
      <c r="S1244" s="15" t="str">
        <f>VLOOKUP(A1244,sinap!$A$2:$Y$9000,20,FALSE)</f>
        <v>SI</v>
      </c>
    </row>
    <row r="1245" spans="1:20" hidden="1" x14ac:dyDescent="0.25">
      <c r="A1245" s="15">
        <v>22350004</v>
      </c>
      <c r="H1245" s="16">
        <v>45623</v>
      </c>
      <c r="I1245" s="16">
        <v>45848</v>
      </c>
      <c r="J1245" s="15" t="str">
        <f>VLOOKUP(A1245,sinap!$A$2:$R$9000,2,FALSE)</f>
        <v>H</v>
      </c>
      <c r="K1245" s="15" t="str">
        <f>VLOOKUP(A1245,sinap!$A$2:$R$9000,3,FALSE)</f>
        <v>VACA</v>
      </c>
      <c r="L1245" s="15" t="str">
        <f>VLOOKUP(A1245,sinap!$A$2:$R$9000,4,FALSE)</f>
        <v>ANGUS NEGRO</v>
      </c>
      <c r="M1245" s="15" t="str">
        <f>VLOOKUP(A1245,sinap!$A$2:$R$9000,5,FALSE)</f>
        <v>3 años 3 meses</v>
      </c>
      <c r="N1245" s="15" t="str">
        <f>VLOOKUP(A1245,sinap!$A$2:$R$9000,6,FALSE)</f>
        <v>30-09-2022</v>
      </c>
      <c r="O1245" s="15" t="str">
        <f>VLOOKUP(A1245,sinap!$A$2:$R$9000,7,FALSE)</f>
        <v>Vivo</v>
      </c>
      <c r="P1245" s="15" t="str">
        <f>VLOOKUP(A1245,sinap!$A$2:$R$9000,8,FALSE)</f>
        <v>11.1.01.0791</v>
      </c>
      <c r="Q1245" s="15" t="str">
        <f>VLOOKUP(A1245,sinap!$A$2:$R$9000,12,FALSE)</f>
        <v>11.1.01.0893</v>
      </c>
      <c r="R1245" s="15" t="str">
        <f>VLOOKUP(A1245,sinap!$A$2:$R$9000,16,FALSE)</f>
        <v>11.1.01.1241</v>
      </c>
      <c r="S1245" s="15" t="str">
        <f>VLOOKUP(A1245,sinap!$A$2:$Y$9000,20,FALSE)</f>
        <v>SI</v>
      </c>
      <c r="T1245" s="16">
        <v>44867</v>
      </c>
    </row>
    <row r="1246" spans="1:20" hidden="1" x14ac:dyDescent="0.25">
      <c r="A1246" s="15">
        <v>22350005</v>
      </c>
      <c r="H1246" s="16">
        <v>45623</v>
      </c>
      <c r="I1246" s="16">
        <v>45848</v>
      </c>
      <c r="J1246" s="15" t="str">
        <f>VLOOKUP(A1246,sinap!$A$2:$R$9000,2,FALSE)</f>
        <v>H</v>
      </c>
      <c r="K1246" s="15" t="str">
        <f>VLOOKUP(A1246,sinap!$A$2:$R$9000,3,FALSE)</f>
        <v>VACA</v>
      </c>
      <c r="L1246" s="15" t="str">
        <f>VLOOKUP(A1246,sinap!$A$2:$R$9000,4,FALSE)</f>
        <v>ANGUS NEGRO</v>
      </c>
      <c r="M1246" s="15" t="str">
        <f>VLOOKUP(A1246,sinap!$A$2:$R$9000,5,FALSE)</f>
        <v>3 años 2 meses</v>
      </c>
      <c r="N1246" s="15" t="str">
        <f>VLOOKUP(A1246,sinap!$A$2:$R$9000,6,FALSE)</f>
        <v>20-10-2022</v>
      </c>
      <c r="O1246" s="15" t="str">
        <f>VLOOKUP(A1246,sinap!$A$2:$R$9000,7,FALSE)</f>
        <v>Vivo</v>
      </c>
      <c r="P1246" s="15" t="str">
        <f>VLOOKUP(A1246,sinap!$A$2:$R$9000,8,FALSE)</f>
        <v>11.1.01.0791</v>
      </c>
      <c r="Q1246" s="15" t="str">
        <f>VLOOKUP(A1246,sinap!$A$2:$R$9000,12,FALSE)</f>
        <v>11.1.01.0893</v>
      </c>
      <c r="R1246" s="15" t="str">
        <f>VLOOKUP(A1246,sinap!$A$2:$R$9000,16,FALSE)</f>
        <v>11.1.01.1241</v>
      </c>
      <c r="S1246" s="15" t="str">
        <f>VLOOKUP(A1246,sinap!$A$2:$Y$9000,20,FALSE)</f>
        <v>SI</v>
      </c>
      <c r="T1246" s="16">
        <v>44880</v>
      </c>
    </row>
    <row r="1247" spans="1:20" hidden="1" x14ac:dyDescent="0.25">
      <c r="A1247" s="15">
        <v>22350007</v>
      </c>
      <c r="H1247" s="16">
        <v>45623</v>
      </c>
      <c r="I1247" s="16">
        <v>45848</v>
      </c>
      <c r="J1247" s="15" t="str">
        <f>VLOOKUP(A1247,sinap!$A$2:$R$9000,2,FALSE)</f>
        <v>H</v>
      </c>
      <c r="K1247" s="15" t="str">
        <f>VLOOKUP(A1247,sinap!$A$2:$R$9000,3,FALSE)</f>
        <v>VACA</v>
      </c>
      <c r="L1247" s="15" t="str">
        <f>VLOOKUP(A1247,sinap!$A$2:$R$9000,4,FALSE)</f>
        <v>ANGUS NEGRO</v>
      </c>
      <c r="M1247" s="15" t="str">
        <f>VLOOKUP(A1247,sinap!$A$2:$R$9000,5,FALSE)</f>
        <v>3 años 3 meses</v>
      </c>
      <c r="N1247" s="15" t="str">
        <f>VLOOKUP(A1247,sinap!$A$2:$R$9000,6,FALSE)</f>
        <v>30-09-2022</v>
      </c>
      <c r="O1247" s="15" t="str">
        <f>VLOOKUP(A1247,sinap!$A$2:$R$9000,7,FALSE)</f>
        <v>Vivo</v>
      </c>
      <c r="P1247" s="15" t="str">
        <f>VLOOKUP(A1247,sinap!$A$2:$R$9000,8,FALSE)</f>
        <v>11.1.01.0791</v>
      </c>
      <c r="Q1247" s="15" t="str">
        <f>VLOOKUP(A1247,sinap!$A$2:$R$9000,12,FALSE)</f>
        <v>11.1.01.0893</v>
      </c>
      <c r="R1247" s="15" t="str">
        <f>VLOOKUP(A1247,sinap!$A$2:$R$9000,16,FALSE)</f>
        <v>11.1.01.1241</v>
      </c>
      <c r="S1247" s="15" t="str">
        <f>VLOOKUP(A1247,sinap!$A$2:$Y$9000,20,FALSE)</f>
        <v>SI</v>
      </c>
      <c r="T1247" s="16">
        <v>44880</v>
      </c>
    </row>
    <row r="1248" spans="1:20" hidden="1" x14ac:dyDescent="0.25">
      <c r="A1248" s="15">
        <v>22350010</v>
      </c>
      <c r="H1248" s="16">
        <v>45623</v>
      </c>
      <c r="I1248" s="16">
        <v>45848</v>
      </c>
      <c r="J1248" s="15" t="str">
        <f>VLOOKUP(A1248,sinap!$A$2:$R$9000,2,FALSE)</f>
        <v>H</v>
      </c>
      <c r="K1248" s="15" t="str">
        <f>VLOOKUP(A1248,sinap!$A$2:$R$9000,3,FALSE)</f>
        <v>VACA</v>
      </c>
      <c r="L1248" s="15" t="str">
        <f>VLOOKUP(A1248,sinap!$A$2:$R$9000,4,FALSE)</f>
        <v>ANGUS NEGRO</v>
      </c>
      <c r="M1248" s="15" t="str">
        <f>VLOOKUP(A1248,sinap!$A$2:$R$9000,5,FALSE)</f>
        <v>3 años 3 meses</v>
      </c>
      <c r="N1248" s="15" t="str">
        <f>VLOOKUP(A1248,sinap!$A$2:$R$9000,6,FALSE)</f>
        <v>30-09-2022</v>
      </c>
      <c r="O1248" s="15" t="str">
        <f>VLOOKUP(A1248,sinap!$A$2:$R$9000,7,FALSE)</f>
        <v>Vivo</v>
      </c>
      <c r="P1248" s="15" t="str">
        <f>VLOOKUP(A1248,sinap!$A$2:$R$9000,8,FALSE)</f>
        <v>11.1.01.0791</v>
      </c>
      <c r="Q1248" s="15" t="str">
        <f>VLOOKUP(A1248,sinap!$A$2:$R$9000,12,FALSE)</f>
        <v>11.1.01.0893</v>
      </c>
      <c r="R1248" s="15" t="str">
        <f>VLOOKUP(A1248,sinap!$A$2:$R$9000,16,FALSE)</f>
        <v>11.1.01.1241</v>
      </c>
      <c r="S1248" s="15" t="str">
        <f>VLOOKUP(A1248,sinap!$A$2:$Y$9000,20,FALSE)</f>
        <v>SI</v>
      </c>
      <c r="T1248" s="16">
        <v>44867</v>
      </c>
    </row>
    <row r="1249" spans="1:20" hidden="1" x14ac:dyDescent="0.25">
      <c r="A1249" s="15">
        <v>22350017</v>
      </c>
      <c r="H1249" s="16">
        <v>45623</v>
      </c>
      <c r="I1249" s="16">
        <v>45848</v>
      </c>
      <c r="J1249" s="15" t="str">
        <f>VLOOKUP(A1249,sinap!$A$2:$R$9000,2,FALSE)</f>
        <v>H</v>
      </c>
      <c r="K1249" s="15" t="str">
        <f>VLOOKUP(A1249,sinap!$A$2:$R$9000,3,FALSE)</f>
        <v>VACA</v>
      </c>
      <c r="L1249" s="15" t="str">
        <f>VLOOKUP(A1249,sinap!$A$2:$R$9000,4,FALSE)</f>
        <v>ANGUS NEGRO</v>
      </c>
      <c r="M1249" s="15" t="str">
        <f>VLOOKUP(A1249,sinap!$A$2:$R$9000,5,FALSE)</f>
        <v>3 años 3 meses</v>
      </c>
      <c r="N1249" s="15" t="str">
        <f>VLOOKUP(A1249,sinap!$A$2:$R$9000,6,FALSE)</f>
        <v>02-10-2022</v>
      </c>
      <c r="O1249" s="15" t="str">
        <f>VLOOKUP(A1249,sinap!$A$2:$R$9000,7,FALSE)</f>
        <v>Vivo</v>
      </c>
      <c r="P1249" s="15" t="str">
        <f>VLOOKUP(A1249,sinap!$A$2:$R$9000,8,FALSE)</f>
        <v>11.1.01.0791</v>
      </c>
      <c r="Q1249" s="15" t="str">
        <f>VLOOKUP(A1249,sinap!$A$2:$R$9000,12,FALSE)</f>
        <v>11.1.01.0893</v>
      </c>
      <c r="R1249" s="15" t="str">
        <f>VLOOKUP(A1249,sinap!$A$2:$R$9000,16,FALSE)</f>
        <v>11.1.01.1241</v>
      </c>
      <c r="S1249" s="15" t="str">
        <f>VLOOKUP(A1249,sinap!$A$2:$Y$9000,20,FALSE)</f>
        <v>SI</v>
      </c>
      <c r="T1249" s="16">
        <v>44880</v>
      </c>
    </row>
    <row r="1250" spans="1:20" hidden="1" x14ac:dyDescent="0.25">
      <c r="A1250" s="15">
        <v>22350029</v>
      </c>
      <c r="H1250" s="16">
        <v>45623</v>
      </c>
      <c r="I1250" s="16">
        <v>45848</v>
      </c>
      <c r="J1250" s="15" t="str">
        <f>VLOOKUP(A1250,sinap!$A$2:$R$9000,2,FALSE)</f>
        <v>H</v>
      </c>
      <c r="K1250" s="15" t="str">
        <f>VLOOKUP(A1250,sinap!$A$2:$R$9000,3,FALSE)</f>
        <v>VACA</v>
      </c>
      <c r="L1250" s="15" t="str">
        <f>VLOOKUP(A1250,sinap!$A$2:$R$9000,4,FALSE)</f>
        <v>ANGUS NEGRO</v>
      </c>
      <c r="M1250" s="15" t="str">
        <f>VLOOKUP(A1250,sinap!$A$2:$R$9000,5,FALSE)</f>
        <v>3 años 3 meses</v>
      </c>
      <c r="N1250" s="15" t="str">
        <f>VLOOKUP(A1250,sinap!$A$2:$R$9000,6,FALSE)</f>
        <v>30-09-2022</v>
      </c>
      <c r="O1250" s="15" t="str">
        <f>VLOOKUP(A1250,sinap!$A$2:$R$9000,7,FALSE)</f>
        <v>Vivo</v>
      </c>
      <c r="P1250" s="15" t="str">
        <f>VLOOKUP(A1250,sinap!$A$2:$R$9000,8,FALSE)</f>
        <v>11.1.01.0791</v>
      </c>
      <c r="Q1250" s="15" t="str">
        <f>VLOOKUP(A1250,sinap!$A$2:$R$9000,12,FALSE)</f>
        <v>11.1.01.0893</v>
      </c>
      <c r="R1250" s="15" t="str">
        <f>VLOOKUP(A1250,sinap!$A$2:$R$9000,16,FALSE)</f>
        <v>11.1.01.1241</v>
      </c>
      <c r="S1250" s="15" t="str">
        <f>VLOOKUP(A1250,sinap!$A$2:$Y$9000,20,FALSE)</f>
        <v>SI</v>
      </c>
      <c r="T1250" s="16">
        <v>44867</v>
      </c>
    </row>
    <row r="1251" spans="1:20" hidden="1" x14ac:dyDescent="0.25">
      <c r="A1251" s="15">
        <v>22350033</v>
      </c>
      <c r="H1251" s="16">
        <v>45623</v>
      </c>
      <c r="I1251" s="16">
        <v>45848</v>
      </c>
      <c r="J1251" s="15" t="str">
        <f>VLOOKUP(A1251,sinap!$A$2:$R$9000,2,FALSE)</f>
        <v>H</v>
      </c>
      <c r="K1251" s="15" t="str">
        <f>VLOOKUP(A1251,sinap!$A$2:$R$9000,3,FALSE)</f>
        <v>VACA</v>
      </c>
      <c r="L1251" s="15" t="str">
        <f>VLOOKUP(A1251,sinap!$A$2:$R$9000,4,FALSE)</f>
        <v>ANGUS NEGRO</v>
      </c>
      <c r="M1251" s="15" t="str">
        <f>VLOOKUP(A1251,sinap!$A$2:$R$9000,5,FALSE)</f>
        <v>3 años 2 meses</v>
      </c>
      <c r="N1251" s="15" t="str">
        <f>VLOOKUP(A1251,sinap!$A$2:$R$9000,6,FALSE)</f>
        <v>20-10-2022</v>
      </c>
      <c r="O1251" s="15" t="str">
        <f>VLOOKUP(A1251,sinap!$A$2:$R$9000,7,FALSE)</f>
        <v>Vivo</v>
      </c>
      <c r="P1251" s="15" t="str">
        <f>VLOOKUP(A1251,sinap!$A$2:$R$9000,8,FALSE)</f>
        <v>11.1.01.0791</v>
      </c>
      <c r="Q1251" s="15" t="str">
        <f>VLOOKUP(A1251,sinap!$A$2:$R$9000,12,FALSE)</f>
        <v>11.1.01.0893</v>
      </c>
      <c r="R1251" s="15" t="str">
        <f>VLOOKUP(A1251,sinap!$A$2:$R$9000,16,FALSE)</f>
        <v>11.1.01.1241</v>
      </c>
      <c r="S1251" s="15" t="str">
        <f>VLOOKUP(A1251,sinap!$A$2:$Y$9000,20,FALSE)</f>
        <v>SI</v>
      </c>
      <c r="T1251" s="16">
        <v>44880</v>
      </c>
    </row>
    <row r="1252" spans="1:20" hidden="1" x14ac:dyDescent="0.25">
      <c r="A1252" s="15">
        <v>22350053</v>
      </c>
      <c r="J1252" s="15" t="str">
        <f>VLOOKUP(A1252,sinap!$A$2:$R$9000,2,FALSE)</f>
        <v>M</v>
      </c>
      <c r="K1252" s="15" t="str">
        <f>VLOOKUP(A1252,sinap!$A$2:$R$9000,3,FALSE)</f>
        <v>TORO</v>
      </c>
      <c r="L1252" s="15" t="str">
        <f>VLOOKUP(A1252,sinap!$A$2:$R$9000,4,FALSE)</f>
        <v>ANGUS NEGRO</v>
      </c>
      <c r="M1252" s="15" t="str">
        <f>VLOOKUP(A1252,sinap!$A$2:$R$9000,5,FALSE)</f>
        <v>3 años 4 meses</v>
      </c>
      <c r="N1252" s="15" t="str">
        <f>VLOOKUP(A1252,sinap!$A$2:$R$9000,6,FALSE)</f>
        <v>04-09-2022</v>
      </c>
      <c r="O1252" s="15" t="str">
        <f>VLOOKUP(A1252,sinap!$A$2:$R$9000,7,FALSE)</f>
        <v>Vivo</v>
      </c>
      <c r="P1252" s="15" t="str">
        <f>VLOOKUP(A1252,sinap!$A$2:$R$9000,8,FALSE)</f>
        <v>11.1.01.2442</v>
      </c>
      <c r="Q1252" s="15" t="str">
        <f>VLOOKUP(A1252,sinap!$A$2:$R$9000,12,FALSE)</f>
        <v>11.1.01.0190</v>
      </c>
      <c r="R1252" s="15" t="str">
        <f>VLOOKUP(A1252,sinap!$A$2:$R$9000,16,FALSE)</f>
        <v>11.1.01.1241</v>
      </c>
      <c r="S1252" s="15" t="str">
        <f>VLOOKUP(A1252,sinap!$A$2:$Y$9000,20,FALSE)</f>
        <v>SI</v>
      </c>
      <c r="T1252" s="16">
        <v>44880</v>
      </c>
    </row>
    <row r="1253" spans="1:20" hidden="1" x14ac:dyDescent="0.25">
      <c r="A1253" s="15">
        <v>22350056</v>
      </c>
      <c r="H1253" s="16">
        <v>45623</v>
      </c>
      <c r="I1253" s="16">
        <v>45848</v>
      </c>
      <c r="J1253" s="15" t="str">
        <f>VLOOKUP(A1253,sinap!$A$2:$R$9000,2,FALSE)</f>
        <v>H</v>
      </c>
      <c r="K1253" s="15" t="str">
        <f>VLOOKUP(A1253,sinap!$A$2:$R$9000,3,FALSE)</f>
        <v>VACA</v>
      </c>
      <c r="L1253" s="15" t="str">
        <f>VLOOKUP(A1253,sinap!$A$2:$R$9000,4,FALSE)</f>
        <v>ANGUS NEGRO</v>
      </c>
      <c r="M1253" s="15" t="str">
        <f>VLOOKUP(A1253,sinap!$A$2:$R$9000,5,FALSE)</f>
        <v>3 años 3 meses</v>
      </c>
      <c r="N1253" s="15" t="str">
        <f>VLOOKUP(A1253,sinap!$A$2:$R$9000,6,FALSE)</f>
        <v>30-09-2022</v>
      </c>
      <c r="O1253" s="15" t="str">
        <f>VLOOKUP(A1253,sinap!$A$2:$R$9000,7,FALSE)</f>
        <v>Vivo</v>
      </c>
      <c r="P1253" s="15" t="str">
        <f>VLOOKUP(A1253,sinap!$A$2:$R$9000,8,FALSE)</f>
        <v>11.1.01.0791</v>
      </c>
      <c r="Q1253" s="15" t="str">
        <f>VLOOKUP(A1253,sinap!$A$2:$R$9000,12,FALSE)</f>
        <v>11.1.01.0893</v>
      </c>
      <c r="R1253" s="15" t="str">
        <f>VLOOKUP(A1253,sinap!$A$2:$R$9000,16,FALSE)</f>
        <v>11.1.01.1241</v>
      </c>
      <c r="S1253" s="15" t="str">
        <f>VLOOKUP(A1253,sinap!$A$2:$Y$9000,20,FALSE)</f>
        <v>SI</v>
      </c>
      <c r="T1253" s="16">
        <v>44867</v>
      </c>
    </row>
    <row r="1254" spans="1:20" hidden="1" x14ac:dyDescent="0.25">
      <c r="A1254" s="15">
        <v>22350057</v>
      </c>
      <c r="J1254" s="15" t="str">
        <f>VLOOKUP(A1254,sinap!$A$2:$R$9000,2,FALSE)</f>
        <v>M</v>
      </c>
      <c r="K1254" s="15" t="str">
        <f>VLOOKUP(A1254,sinap!$A$2:$R$9000,3,FALSE)</f>
        <v>TORO</v>
      </c>
      <c r="L1254" s="15" t="str">
        <f>VLOOKUP(A1254,sinap!$A$2:$R$9000,4,FALSE)</f>
        <v>ANGUS NEGRO</v>
      </c>
      <c r="M1254" s="15" t="str">
        <f>VLOOKUP(A1254,sinap!$A$2:$R$9000,5,FALSE)</f>
        <v>3 años 2 meses</v>
      </c>
      <c r="N1254" s="15" t="str">
        <f>VLOOKUP(A1254,sinap!$A$2:$R$9000,6,FALSE)</f>
        <v>20-10-2022</v>
      </c>
      <c r="O1254" s="15" t="str">
        <f>VLOOKUP(A1254,sinap!$A$2:$R$9000,7,FALSE)</f>
        <v>Vivo</v>
      </c>
      <c r="P1254" s="15" t="str">
        <f>VLOOKUP(A1254,sinap!$A$2:$R$9000,8,FALSE)</f>
        <v>11.1.01.1241</v>
      </c>
      <c r="Q1254" s="15" t="str">
        <f>VLOOKUP(A1254,sinap!$A$2:$R$9000,12,FALSE)</f>
        <v>Sin Movimiento</v>
      </c>
      <c r="R1254" s="15" t="str">
        <f>VLOOKUP(A1254,sinap!$A$2:$R$9000,16,FALSE)</f>
        <v>11.1.01.1241</v>
      </c>
      <c r="S1254" s="15" t="str">
        <f>VLOOKUP(A1254,sinap!$A$2:$Y$9000,20,FALSE)</f>
        <v>SI</v>
      </c>
      <c r="T1254" s="16">
        <v>44867</v>
      </c>
    </row>
    <row r="1255" spans="1:20" hidden="1" x14ac:dyDescent="0.25">
      <c r="A1255" s="15">
        <v>22350059</v>
      </c>
      <c r="J1255" s="15" t="str">
        <f>VLOOKUP(A1255,sinap!$A$2:$R$9000,2,FALSE)</f>
        <v>H</v>
      </c>
      <c r="K1255" s="15" t="str">
        <f>VLOOKUP(A1255,sinap!$A$2:$R$9000,3,FALSE)</f>
        <v>VACA</v>
      </c>
      <c r="L1255" s="15" t="str">
        <f>VLOOKUP(A1255,sinap!$A$2:$R$9000,4,FALSE)</f>
        <v>ANGUS ROJO</v>
      </c>
      <c r="M1255" s="15" t="str">
        <f>VLOOKUP(A1255,sinap!$A$2:$R$9000,5,FALSE)</f>
        <v>3 años 2 meses</v>
      </c>
      <c r="N1255" s="15" t="str">
        <f>VLOOKUP(A1255,sinap!$A$2:$R$9000,6,FALSE)</f>
        <v>25-10-2022</v>
      </c>
      <c r="O1255" s="15" t="str">
        <f>VLOOKUP(A1255,sinap!$A$2:$R$9000,7,FALSE)</f>
        <v>Vivo</v>
      </c>
      <c r="P1255" s="15" t="str">
        <f>VLOOKUP(A1255,sinap!$A$2:$R$9000,8,FALSE)</f>
        <v>11.1.01.1241</v>
      </c>
      <c r="Q1255" s="15" t="str">
        <f>VLOOKUP(A1255,sinap!$A$2:$R$9000,12,FALSE)</f>
        <v>Sin Movimiento</v>
      </c>
      <c r="R1255" s="15" t="str">
        <f>VLOOKUP(A1255,sinap!$A$2:$R$9000,16,FALSE)</f>
        <v>11.1.01.1241</v>
      </c>
      <c r="S1255" s="15" t="str">
        <f>VLOOKUP(A1255,sinap!$A$2:$Y$9000,20,FALSE)</f>
        <v>SI</v>
      </c>
      <c r="T1255" s="16">
        <v>44867</v>
      </c>
    </row>
    <row r="1256" spans="1:20" hidden="1" x14ac:dyDescent="0.25">
      <c r="A1256" s="15">
        <v>22350063</v>
      </c>
      <c r="J1256" s="15" t="str">
        <f>VLOOKUP(A1256,sinap!$A$2:$R$9000,2,FALSE)</f>
        <v>H</v>
      </c>
      <c r="K1256" s="15" t="str">
        <f>VLOOKUP(A1256,sinap!$A$2:$R$9000,3,FALSE)</f>
        <v>VACA</v>
      </c>
      <c r="L1256" s="15" t="str">
        <f>VLOOKUP(A1256,sinap!$A$2:$R$9000,4,FALSE)</f>
        <v>ANGUS NEGRO</v>
      </c>
      <c r="M1256" s="15" t="str">
        <f>VLOOKUP(A1256,sinap!$A$2:$R$9000,5,FALSE)</f>
        <v>3 años 3 meses</v>
      </c>
      <c r="N1256" s="15" t="str">
        <f>VLOOKUP(A1256,sinap!$A$2:$R$9000,6,FALSE)</f>
        <v>30-09-2022</v>
      </c>
      <c r="O1256" s="15" t="str">
        <f>VLOOKUP(A1256,sinap!$A$2:$R$9000,7,FALSE)</f>
        <v>Vivo</v>
      </c>
      <c r="P1256" s="15" t="str">
        <f>VLOOKUP(A1256,sinap!$A$2:$R$9000,8,FALSE)</f>
        <v>11.1.01.2304</v>
      </c>
      <c r="Q1256" s="15" t="str">
        <f>VLOOKUP(A1256,sinap!$A$2:$R$9000,12,FALSE)</f>
        <v>11.2.01.0053</v>
      </c>
      <c r="R1256" s="15" t="str">
        <f>VLOOKUP(A1256,sinap!$A$2:$R$9000,16,FALSE)</f>
        <v>11.1.01.1241</v>
      </c>
      <c r="S1256" s="15" t="str">
        <f>VLOOKUP(A1256,sinap!$A$2:$Y$9000,20,FALSE)</f>
        <v>SI</v>
      </c>
      <c r="T1256" s="16">
        <v>44880</v>
      </c>
    </row>
    <row r="1257" spans="1:20" hidden="1" x14ac:dyDescent="0.25">
      <c r="A1257" s="15">
        <v>22350066</v>
      </c>
      <c r="H1257" s="16">
        <v>45623</v>
      </c>
      <c r="J1257" s="15" t="str">
        <f>VLOOKUP(A1257,sinap!$A$2:$R$9000,2,FALSE)</f>
        <v>H</v>
      </c>
      <c r="K1257" s="15" t="str">
        <f>VLOOKUP(A1257,sinap!$A$2:$R$9000,3,FALSE)</f>
        <v>VACA</v>
      </c>
      <c r="L1257" s="15" t="str">
        <f>VLOOKUP(A1257,sinap!$A$2:$R$9000,4,FALSE)</f>
        <v>ANGUS NEGRO</v>
      </c>
      <c r="M1257" s="15" t="str">
        <f>VLOOKUP(A1257,sinap!$A$2:$R$9000,5,FALSE)</f>
        <v>3 años 2 meses</v>
      </c>
      <c r="N1257" s="15" t="str">
        <f>VLOOKUP(A1257,sinap!$A$2:$R$9000,6,FALSE)</f>
        <v>25-10-2022</v>
      </c>
      <c r="O1257" s="15" t="str">
        <f>VLOOKUP(A1257,sinap!$A$2:$R$9000,7,FALSE)</f>
        <v>Vivo</v>
      </c>
      <c r="P1257" s="15" t="str">
        <f>VLOOKUP(A1257,sinap!$A$2:$R$9000,8,FALSE)</f>
        <v>11.2.01.0038</v>
      </c>
      <c r="Q1257" s="15" t="str">
        <f>VLOOKUP(A1257,sinap!$A$2:$R$9000,12,FALSE)</f>
        <v>11.1.01.0893</v>
      </c>
      <c r="R1257" s="15" t="str">
        <f>VLOOKUP(A1257,sinap!$A$2:$R$9000,16,FALSE)</f>
        <v>11.1.01.1241</v>
      </c>
      <c r="S1257" s="15" t="str">
        <f>VLOOKUP(A1257,sinap!$A$2:$Y$9000,20,FALSE)</f>
        <v>SI</v>
      </c>
      <c r="T1257" s="16">
        <v>44867</v>
      </c>
    </row>
    <row r="1258" spans="1:20" hidden="1" x14ac:dyDescent="0.25">
      <c r="A1258" s="15">
        <v>22350068</v>
      </c>
      <c r="H1258" s="16">
        <v>45623</v>
      </c>
      <c r="I1258" s="16">
        <v>45965</v>
      </c>
      <c r="J1258" s="15" t="str">
        <f>VLOOKUP(A1258,sinap!$A$2:$R$9000,2,FALSE)</f>
        <v>H</v>
      </c>
      <c r="K1258" s="15" t="str">
        <f>VLOOKUP(A1258,sinap!$A$2:$R$9000,3,FALSE)</f>
        <v>VACA</v>
      </c>
      <c r="L1258" s="15" t="str">
        <f>VLOOKUP(A1258,sinap!$A$2:$R$9000,4,FALSE)</f>
        <v>ANGUS NEGRO</v>
      </c>
      <c r="M1258" s="15" t="str">
        <f>VLOOKUP(A1258,sinap!$A$2:$R$9000,5,FALSE)</f>
        <v>3 años 2 meses</v>
      </c>
      <c r="N1258" s="15" t="str">
        <f>VLOOKUP(A1258,sinap!$A$2:$R$9000,6,FALSE)</f>
        <v>25-10-2022</v>
      </c>
      <c r="O1258" s="15" t="str">
        <f>VLOOKUP(A1258,sinap!$A$2:$R$9000,7,FALSE)</f>
        <v>Vivo</v>
      </c>
      <c r="P1258" s="15" t="str">
        <f>VLOOKUP(A1258,sinap!$A$2:$R$9000,8,FALSE)</f>
        <v>11.1.01.2442</v>
      </c>
      <c r="Q1258" s="15" t="str">
        <f>VLOOKUP(A1258,sinap!$A$2:$R$9000,12,FALSE)</f>
        <v>11.1.01.0190</v>
      </c>
      <c r="R1258" s="15" t="str">
        <f>VLOOKUP(A1258,sinap!$A$2:$R$9000,16,FALSE)</f>
        <v>11.1.01.1241</v>
      </c>
      <c r="S1258" s="15" t="str">
        <f>VLOOKUP(A1258,sinap!$A$2:$Y$9000,20,FALSE)</f>
        <v>SI</v>
      </c>
      <c r="T1258" s="16">
        <v>44867</v>
      </c>
    </row>
    <row r="1259" spans="1:20" hidden="1" x14ac:dyDescent="0.25">
      <c r="A1259" s="15">
        <v>22350072</v>
      </c>
      <c r="H1259" s="16">
        <v>45623</v>
      </c>
      <c r="I1259" s="16">
        <v>45848</v>
      </c>
      <c r="J1259" s="15" t="str">
        <f>VLOOKUP(A1259,sinap!$A$2:$R$9000,2,FALSE)</f>
        <v>H</v>
      </c>
      <c r="K1259" s="15" t="str">
        <f>VLOOKUP(A1259,sinap!$A$2:$R$9000,3,FALSE)</f>
        <v>VACA</v>
      </c>
      <c r="L1259" s="15" t="str">
        <f>VLOOKUP(A1259,sinap!$A$2:$R$9000,4,FALSE)</f>
        <v>ANGUS NEGRO</v>
      </c>
      <c r="M1259" s="15" t="str">
        <f>VLOOKUP(A1259,sinap!$A$2:$R$9000,5,FALSE)</f>
        <v>3 años 4 meses</v>
      </c>
      <c r="N1259" s="15" t="str">
        <f>VLOOKUP(A1259,sinap!$A$2:$R$9000,6,FALSE)</f>
        <v>11-09-2022</v>
      </c>
      <c r="O1259" s="15" t="str">
        <f>VLOOKUP(A1259,sinap!$A$2:$R$9000,7,FALSE)</f>
        <v>Vivo</v>
      </c>
      <c r="P1259" s="15" t="str">
        <f>VLOOKUP(A1259,sinap!$A$2:$R$9000,8,FALSE)</f>
        <v>11.1.01.0791</v>
      </c>
      <c r="Q1259" s="15" t="str">
        <f>VLOOKUP(A1259,sinap!$A$2:$R$9000,12,FALSE)</f>
        <v>11.1.01.0893</v>
      </c>
      <c r="R1259" s="15" t="str">
        <f>VLOOKUP(A1259,sinap!$A$2:$R$9000,16,FALSE)</f>
        <v>11.1.01.1241</v>
      </c>
      <c r="S1259" s="15" t="str">
        <f>VLOOKUP(A1259,sinap!$A$2:$Y$9000,20,FALSE)</f>
        <v>SI</v>
      </c>
      <c r="T1259" s="16">
        <v>44880</v>
      </c>
    </row>
    <row r="1260" spans="1:20" hidden="1" x14ac:dyDescent="0.25">
      <c r="A1260" s="15">
        <v>22350081</v>
      </c>
      <c r="J1260" s="15" t="str">
        <f>VLOOKUP(A1260,sinap!$A$2:$R$9000,2,FALSE)</f>
        <v>H</v>
      </c>
      <c r="K1260" s="15" t="str">
        <f>VLOOKUP(A1260,sinap!$A$2:$R$9000,3,FALSE)</f>
        <v>VACA</v>
      </c>
      <c r="L1260" s="15" t="str">
        <f>VLOOKUP(A1260,sinap!$A$2:$R$9000,4,FALSE)</f>
        <v>ANGUS NEGRO</v>
      </c>
      <c r="M1260" s="15" t="str">
        <f>VLOOKUP(A1260,sinap!$A$2:$R$9000,5,FALSE)</f>
        <v>3 años 3 meses</v>
      </c>
      <c r="N1260" s="15" t="str">
        <f>VLOOKUP(A1260,sinap!$A$2:$R$9000,6,FALSE)</f>
        <v>30-09-2022</v>
      </c>
      <c r="O1260" s="15" t="str">
        <f>VLOOKUP(A1260,sinap!$A$2:$R$9000,7,FALSE)</f>
        <v>Vivo</v>
      </c>
      <c r="P1260" s="15" t="str">
        <f>VLOOKUP(A1260,sinap!$A$2:$R$9000,8,FALSE)</f>
        <v>11.2.01.0038</v>
      </c>
      <c r="Q1260" s="15" t="str">
        <f>VLOOKUP(A1260,sinap!$A$2:$R$9000,12,FALSE)</f>
        <v>11.1.01.1241</v>
      </c>
      <c r="R1260" s="15" t="str">
        <f>VLOOKUP(A1260,sinap!$A$2:$R$9000,16,FALSE)</f>
        <v>11.1.01.1241</v>
      </c>
      <c r="S1260" s="15" t="str">
        <f>VLOOKUP(A1260,sinap!$A$2:$Y$9000,20,FALSE)</f>
        <v>SI</v>
      </c>
      <c r="T1260" s="16">
        <v>44867</v>
      </c>
    </row>
    <row r="1261" spans="1:20" hidden="1" x14ac:dyDescent="0.25">
      <c r="A1261" s="15">
        <v>22350082</v>
      </c>
      <c r="J1261" s="15" t="str">
        <f>VLOOKUP(A1261,sinap!$A$2:$R$9000,2,FALSE)</f>
        <v>H</v>
      </c>
      <c r="K1261" s="15" t="str">
        <f>VLOOKUP(A1261,sinap!$A$2:$R$9000,3,FALSE)</f>
        <v>VACA</v>
      </c>
      <c r="L1261" s="15" t="str">
        <f>VLOOKUP(A1261,sinap!$A$2:$R$9000,4,FALSE)</f>
        <v>ANGUS NEGRO</v>
      </c>
      <c r="M1261" s="15" t="str">
        <f>VLOOKUP(A1261,sinap!$A$2:$R$9000,5,FALSE)</f>
        <v>3 años 3 meses</v>
      </c>
      <c r="N1261" s="15" t="str">
        <f>VLOOKUP(A1261,sinap!$A$2:$R$9000,6,FALSE)</f>
        <v>10-10-2022</v>
      </c>
      <c r="O1261" s="15" t="str">
        <f>VLOOKUP(A1261,sinap!$A$2:$R$9000,7,FALSE)</f>
        <v>Vivo</v>
      </c>
      <c r="P1261" s="15" t="str">
        <f>VLOOKUP(A1261,sinap!$A$2:$R$9000,8,FALSE)</f>
        <v>11.1.01.2304</v>
      </c>
      <c r="Q1261" s="15" t="str">
        <f>VLOOKUP(A1261,sinap!$A$2:$R$9000,12,FALSE)</f>
        <v>11.2.01.0053</v>
      </c>
      <c r="R1261" s="15" t="str">
        <f>VLOOKUP(A1261,sinap!$A$2:$R$9000,16,FALSE)</f>
        <v>11.1.01.1241</v>
      </c>
      <c r="S1261" s="15" t="str">
        <f>VLOOKUP(A1261,sinap!$A$2:$Y$9000,20,FALSE)</f>
        <v>SI</v>
      </c>
      <c r="T1261" s="16">
        <v>44867</v>
      </c>
    </row>
    <row r="1262" spans="1:20" hidden="1" x14ac:dyDescent="0.25">
      <c r="A1262" s="15">
        <v>22350085</v>
      </c>
      <c r="J1262" s="15" t="str">
        <f>VLOOKUP(A1262,sinap!$A$2:$R$9000,2,FALSE)</f>
        <v>H</v>
      </c>
      <c r="K1262" s="15" t="str">
        <f>VLOOKUP(A1262,sinap!$A$2:$R$9000,3,FALSE)</f>
        <v>VACA</v>
      </c>
      <c r="L1262" s="15" t="str">
        <f>VLOOKUP(A1262,sinap!$A$2:$R$9000,4,FALSE)</f>
        <v>ANGUS ROJO</v>
      </c>
      <c r="M1262" s="15" t="str">
        <f>VLOOKUP(A1262,sinap!$A$2:$R$9000,5,FALSE)</f>
        <v>3 años 2 meses</v>
      </c>
      <c r="N1262" s="15" t="str">
        <f>VLOOKUP(A1262,sinap!$A$2:$R$9000,6,FALSE)</f>
        <v>20-10-2022</v>
      </c>
      <c r="O1262" s="15" t="str">
        <f>VLOOKUP(A1262,sinap!$A$2:$R$9000,7,FALSE)</f>
        <v>Vivo</v>
      </c>
      <c r="P1262" s="15" t="str">
        <f>VLOOKUP(A1262,sinap!$A$2:$R$9000,8,FALSE)</f>
        <v>11.1.01.1241</v>
      </c>
      <c r="Q1262" s="15" t="str">
        <f>VLOOKUP(A1262,sinap!$A$2:$R$9000,12,FALSE)</f>
        <v>Sin Movimiento</v>
      </c>
      <c r="R1262" s="15" t="str">
        <f>VLOOKUP(A1262,sinap!$A$2:$R$9000,16,FALSE)</f>
        <v>11.1.01.1241</v>
      </c>
      <c r="S1262" s="15" t="str">
        <f>VLOOKUP(A1262,sinap!$A$2:$Y$9000,20,FALSE)</f>
        <v>SI</v>
      </c>
      <c r="T1262" s="16">
        <v>44867</v>
      </c>
    </row>
    <row r="1263" spans="1:20" hidden="1" x14ac:dyDescent="0.25">
      <c r="A1263" s="15">
        <v>22350089</v>
      </c>
      <c r="H1263" s="16">
        <v>45623</v>
      </c>
      <c r="I1263" s="16">
        <v>45848</v>
      </c>
      <c r="J1263" s="15" t="str">
        <f>VLOOKUP(A1263,sinap!$A$2:$R$9000,2,FALSE)</f>
        <v>H</v>
      </c>
      <c r="K1263" s="15" t="str">
        <f>VLOOKUP(A1263,sinap!$A$2:$R$9000,3,FALSE)</f>
        <v>VACA</v>
      </c>
      <c r="L1263" s="15" t="str">
        <f>VLOOKUP(A1263,sinap!$A$2:$R$9000,4,FALSE)</f>
        <v>ANGUS NEGRO</v>
      </c>
      <c r="M1263" s="15" t="str">
        <f>VLOOKUP(A1263,sinap!$A$2:$R$9000,5,FALSE)</f>
        <v>3 años 3 meses</v>
      </c>
      <c r="N1263" s="15" t="str">
        <f>VLOOKUP(A1263,sinap!$A$2:$R$9000,6,FALSE)</f>
        <v>30-09-2022</v>
      </c>
      <c r="O1263" s="15" t="str">
        <f>VLOOKUP(A1263,sinap!$A$2:$R$9000,7,FALSE)</f>
        <v>Vivo</v>
      </c>
      <c r="P1263" s="15" t="str">
        <f>VLOOKUP(A1263,sinap!$A$2:$R$9000,8,FALSE)</f>
        <v>11.1.01.0791</v>
      </c>
      <c r="Q1263" s="15" t="str">
        <f>VLOOKUP(A1263,sinap!$A$2:$R$9000,12,FALSE)</f>
        <v>11.1.01.0893</v>
      </c>
      <c r="R1263" s="15" t="str">
        <f>VLOOKUP(A1263,sinap!$A$2:$R$9000,16,FALSE)</f>
        <v>11.1.01.1241</v>
      </c>
      <c r="S1263" s="15" t="str">
        <f>VLOOKUP(A1263,sinap!$A$2:$Y$9000,20,FALSE)</f>
        <v>SI</v>
      </c>
      <c r="T1263" s="16">
        <v>44867</v>
      </c>
    </row>
    <row r="1264" spans="1:20" hidden="1" x14ac:dyDescent="0.25">
      <c r="A1264" s="15">
        <v>22350090</v>
      </c>
      <c r="H1264" s="16">
        <v>45623</v>
      </c>
      <c r="I1264" s="16">
        <v>45848</v>
      </c>
      <c r="J1264" s="15" t="str">
        <f>VLOOKUP(A1264,sinap!$A$2:$R$9000,2,FALSE)</f>
        <v>H</v>
      </c>
      <c r="K1264" s="15" t="str">
        <f>VLOOKUP(A1264,sinap!$A$2:$R$9000,3,FALSE)</f>
        <v>VACA</v>
      </c>
      <c r="L1264" s="15" t="str">
        <f>VLOOKUP(A1264,sinap!$A$2:$R$9000,4,FALSE)</f>
        <v>ANGUS NEGRO</v>
      </c>
      <c r="M1264" s="15" t="str">
        <f>VLOOKUP(A1264,sinap!$A$2:$R$9000,5,FALSE)</f>
        <v>3 años 3 meses</v>
      </c>
      <c r="N1264" s="15" t="str">
        <f>VLOOKUP(A1264,sinap!$A$2:$R$9000,6,FALSE)</f>
        <v>30-09-2022</v>
      </c>
      <c r="O1264" s="15" t="str">
        <f>VLOOKUP(A1264,sinap!$A$2:$R$9000,7,FALSE)</f>
        <v>Vivo</v>
      </c>
      <c r="P1264" s="15" t="str">
        <f>VLOOKUP(A1264,sinap!$A$2:$R$9000,8,FALSE)</f>
        <v>11.1.01.0893</v>
      </c>
      <c r="Q1264" s="15" t="str">
        <f>VLOOKUP(A1264,sinap!$A$2:$R$9000,12,FALSE)</f>
        <v>11.1.01.1022</v>
      </c>
      <c r="R1264" s="15" t="str">
        <f>VLOOKUP(A1264,sinap!$A$2:$R$9000,16,FALSE)</f>
        <v>11.1.01.1241</v>
      </c>
      <c r="S1264" s="15" t="str">
        <f>VLOOKUP(A1264,sinap!$A$2:$Y$9000,20,FALSE)</f>
        <v>SI</v>
      </c>
      <c r="T1264" s="16">
        <v>44880</v>
      </c>
    </row>
    <row r="1265" spans="1:20" hidden="1" x14ac:dyDescent="0.25">
      <c r="A1265" s="15">
        <v>22350095</v>
      </c>
      <c r="H1265" s="16">
        <v>45623</v>
      </c>
      <c r="I1265" s="16">
        <v>45848</v>
      </c>
      <c r="J1265" s="15" t="str">
        <f>VLOOKUP(A1265,sinap!$A$2:$R$9000,2,FALSE)</f>
        <v>H</v>
      </c>
      <c r="K1265" s="15" t="str">
        <f>VLOOKUP(A1265,sinap!$A$2:$R$9000,3,FALSE)</f>
        <v>VACA</v>
      </c>
      <c r="L1265" s="15" t="str">
        <f>VLOOKUP(A1265,sinap!$A$2:$R$9000,4,FALSE)</f>
        <v>ANGUS NEGRO</v>
      </c>
      <c r="M1265" s="15" t="str">
        <f>VLOOKUP(A1265,sinap!$A$2:$R$9000,5,FALSE)</f>
        <v>3 años 3 meses</v>
      </c>
      <c r="N1265" s="15" t="str">
        <f>VLOOKUP(A1265,sinap!$A$2:$R$9000,6,FALSE)</f>
        <v>30-09-2022</v>
      </c>
      <c r="O1265" s="15" t="str">
        <f>VLOOKUP(A1265,sinap!$A$2:$R$9000,7,FALSE)</f>
        <v>Vivo</v>
      </c>
      <c r="P1265" s="15" t="str">
        <f>VLOOKUP(A1265,sinap!$A$2:$R$9000,8,FALSE)</f>
        <v>11.1.01.0791</v>
      </c>
      <c r="Q1265" s="15" t="str">
        <f>VLOOKUP(A1265,sinap!$A$2:$R$9000,12,FALSE)</f>
        <v>11.1.01.0893</v>
      </c>
      <c r="R1265" s="15" t="str">
        <f>VLOOKUP(A1265,sinap!$A$2:$R$9000,16,FALSE)</f>
        <v>11.1.01.1241</v>
      </c>
      <c r="S1265" s="15" t="str">
        <f>VLOOKUP(A1265,sinap!$A$2:$Y$9000,20,FALSE)</f>
        <v>SI</v>
      </c>
      <c r="T1265" s="16">
        <v>44868</v>
      </c>
    </row>
    <row r="1266" spans="1:20" hidden="1" x14ac:dyDescent="0.25">
      <c r="A1266" s="15">
        <v>22350096</v>
      </c>
      <c r="J1266" s="15" t="str">
        <f>VLOOKUP(A1266,sinap!$A$2:$R$9000,2,FALSE)</f>
        <v>H</v>
      </c>
      <c r="K1266" s="15" t="str">
        <f>VLOOKUP(A1266,sinap!$A$2:$R$9000,3,FALSE)</f>
        <v>VACA</v>
      </c>
      <c r="L1266" s="15" t="str">
        <f>VLOOKUP(A1266,sinap!$A$2:$R$9000,4,FALSE)</f>
        <v>ANGUS NEGRO</v>
      </c>
      <c r="M1266" s="15" t="str">
        <f>VLOOKUP(A1266,sinap!$A$2:$R$9000,5,FALSE)</f>
        <v>3 años 2 meses</v>
      </c>
      <c r="N1266" s="15" t="str">
        <f>VLOOKUP(A1266,sinap!$A$2:$R$9000,6,FALSE)</f>
        <v>20-10-2022</v>
      </c>
      <c r="O1266" s="15" t="str">
        <f>VLOOKUP(A1266,sinap!$A$2:$R$9000,7,FALSE)</f>
        <v>Vivo</v>
      </c>
      <c r="P1266" s="15" t="str">
        <f>VLOOKUP(A1266,sinap!$A$2:$R$9000,8,FALSE)</f>
        <v>11.1.01.0791</v>
      </c>
      <c r="Q1266" s="15" t="str">
        <f>VLOOKUP(A1266,sinap!$A$2:$R$9000,12,FALSE)</f>
        <v>11.1.01.0893</v>
      </c>
      <c r="R1266" s="15" t="str">
        <f>VLOOKUP(A1266,sinap!$A$2:$R$9000,16,FALSE)</f>
        <v>11.1.01.1241</v>
      </c>
      <c r="S1266" s="15" t="str">
        <f>VLOOKUP(A1266,sinap!$A$2:$Y$9000,20,FALSE)</f>
        <v>SI</v>
      </c>
      <c r="T1266" s="16">
        <v>44868</v>
      </c>
    </row>
    <row r="1267" spans="1:20" hidden="1" x14ac:dyDescent="0.25">
      <c r="A1267" s="15">
        <v>22350102</v>
      </c>
      <c r="J1267" s="15" t="str">
        <f>VLOOKUP(A1267,sinap!$A$2:$R$9000,2,FALSE)</f>
        <v>H</v>
      </c>
      <c r="K1267" s="15" t="str">
        <f>VLOOKUP(A1267,sinap!$A$2:$R$9000,3,FALSE)</f>
        <v>VACA</v>
      </c>
      <c r="L1267" s="15" t="str">
        <f>VLOOKUP(A1267,sinap!$A$2:$R$9000,4,FALSE)</f>
        <v>ANGUS ROJO</v>
      </c>
      <c r="M1267" s="15" t="str">
        <f>VLOOKUP(A1267,sinap!$A$2:$R$9000,5,FALSE)</f>
        <v>3 años 3 meses</v>
      </c>
      <c r="N1267" s="15" t="str">
        <f>VLOOKUP(A1267,sinap!$A$2:$R$9000,6,FALSE)</f>
        <v>20-09-2022</v>
      </c>
      <c r="O1267" s="15" t="str">
        <f>VLOOKUP(A1267,sinap!$A$2:$R$9000,7,FALSE)</f>
        <v>Vivo</v>
      </c>
      <c r="P1267" s="15" t="str">
        <f>VLOOKUP(A1267,sinap!$A$2:$R$9000,8,FALSE)</f>
        <v>11.1.01.2304</v>
      </c>
      <c r="Q1267" s="15" t="str">
        <f>VLOOKUP(A1267,sinap!$A$2:$R$9000,12,FALSE)</f>
        <v>11.1.01.0941</v>
      </c>
      <c r="R1267" s="15" t="str">
        <f>VLOOKUP(A1267,sinap!$A$2:$R$9000,16,FALSE)</f>
        <v>11.1.01.1241</v>
      </c>
      <c r="S1267" s="15" t="str">
        <f>VLOOKUP(A1267,sinap!$A$2:$Y$9000,20,FALSE)</f>
        <v>SI</v>
      </c>
      <c r="T1267" s="16">
        <v>44868</v>
      </c>
    </row>
    <row r="1268" spans="1:20" hidden="1" x14ac:dyDescent="0.25">
      <c r="A1268" s="15">
        <v>22350106</v>
      </c>
      <c r="J1268" s="15" t="str">
        <f>VLOOKUP(A1268,sinap!$A$2:$R$9000,2,FALSE)</f>
        <v>H</v>
      </c>
      <c r="K1268" s="15" t="str">
        <f>VLOOKUP(A1268,sinap!$A$2:$R$9000,3,FALSE)</f>
        <v>VACA</v>
      </c>
      <c r="L1268" s="15" t="str">
        <f>VLOOKUP(A1268,sinap!$A$2:$R$9000,4,FALSE)</f>
        <v>ANGUS NEGRO</v>
      </c>
      <c r="M1268" s="15" t="str">
        <f>VLOOKUP(A1268,sinap!$A$2:$R$9000,5,FALSE)</f>
        <v>3 años 2 meses</v>
      </c>
      <c r="N1268" s="15" t="str">
        <f>VLOOKUP(A1268,sinap!$A$2:$R$9000,6,FALSE)</f>
        <v>20-10-2022</v>
      </c>
      <c r="O1268" s="15" t="str">
        <f>VLOOKUP(A1268,sinap!$A$2:$R$9000,7,FALSE)</f>
        <v>Vivo</v>
      </c>
      <c r="P1268" s="15" t="str">
        <f>VLOOKUP(A1268,sinap!$A$2:$R$9000,8,FALSE)</f>
        <v>11.1.01.1241</v>
      </c>
      <c r="Q1268" s="15" t="str">
        <f>VLOOKUP(A1268,sinap!$A$2:$R$9000,12,FALSE)</f>
        <v>Sin Movimiento</v>
      </c>
      <c r="R1268" s="15" t="str">
        <f>VLOOKUP(A1268,sinap!$A$2:$R$9000,16,FALSE)</f>
        <v>11.1.01.1241</v>
      </c>
      <c r="S1268" s="15" t="str">
        <f>VLOOKUP(A1268,sinap!$A$2:$Y$9000,20,FALSE)</f>
        <v>SI</v>
      </c>
      <c r="T1268" s="16">
        <v>44868</v>
      </c>
    </row>
    <row r="1269" spans="1:20" hidden="1" x14ac:dyDescent="0.25">
      <c r="A1269" s="15">
        <v>22350111</v>
      </c>
      <c r="H1269" s="16">
        <v>45623</v>
      </c>
      <c r="I1269" s="16">
        <v>45848</v>
      </c>
      <c r="J1269" s="15" t="str">
        <f>VLOOKUP(A1269,sinap!$A$2:$R$9000,2,FALSE)</f>
        <v>H</v>
      </c>
      <c r="K1269" s="15" t="str">
        <f>VLOOKUP(A1269,sinap!$A$2:$R$9000,3,FALSE)</f>
        <v>VACA</v>
      </c>
      <c r="L1269" s="15" t="str">
        <f>VLOOKUP(A1269,sinap!$A$2:$R$9000,4,FALSE)</f>
        <v>ANGUS NEGRO</v>
      </c>
      <c r="M1269" s="15" t="str">
        <f>VLOOKUP(A1269,sinap!$A$2:$R$9000,5,FALSE)</f>
        <v>3 años 2 meses</v>
      </c>
      <c r="N1269" s="15" t="str">
        <f>VLOOKUP(A1269,sinap!$A$2:$R$9000,6,FALSE)</f>
        <v>20-10-2022</v>
      </c>
      <c r="O1269" s="15" t="str">
        <f>VLOOKUP(A1269,sinap!$A$2:$R$9000,7,FALSE)</f>
        <v>Vivo</v>
      </c>
      <c r="P1269" s="15" t="str">
        <f>VLOOKUP(A1269,sinap!$A$2:$R$9000,8,FALSE)</f>
        <v>11.1.01.1022</v>
      </c>
      <c r="Q1269" s="15" t="str">
        <f>VLOOKUP(A1269,sinap!$A$2:$R$9000,12,FALSE)</f>
        <v>11.1.01.0893</v>
      </c>
      <c r="R1269" s="15" t="str">
        <f>VLOOKUP(A1269,sinap!$A$2:$R$9000,16,FALSE)</f>
        <v>11.1.01.1241</v>
      </c>
      <c r="S1269" s="15" t="str">
        <f>VLOOKUP(A1269,sinap!$A$2:$Y$9000,20,FALSE)</f>
        <v>SI</v>
      </c>
      <c r="T1269" s="16">
        <v>44880</v>
      </c>
    </row>
    <row r="1270" spans="1:20" hidden="1" x14ac:dyDescent="0.25">
      <c r="A1270" s="15">
        <v>22350119</v>
      </c>
      <c r="H1270" s="16">
        <v>45623</v>
      </c>
      <c r="I1270" s="16">
        <v>45848</v>
      </c>
      <c r="J1270" s="15" t="str">
        <f>VLOOKUP(A1270,sinap!$A$2:$R$9000,2,FALSE)</f>
        <v>H</v>
      </c>
      <c r="K1270" s="15" t="str">
        <f>VLOOKUP(A1270,sinap!$A$2:$R$9000,3,FALSE)</f>
        <v>VACA</v>
      </c>
      <c r="L1270" s="15" t="str">
        <f>VLOOKUP(A1270,sinap!$A$2:$R$9000,4,FALSE)</f>
        <v>ANGUS ROJO</v>
      </c>
      <c r="M1270" s="15" t="str">
        <f>VLOOKUP(A1270,sinap!$A$2:$R$9000,5,FALSE)</f>
        <v>3 años 3 meses</v>
      </c>
      <c r="N1270" s="15" t="str">
        <f>VLOOKUP(A1270,sinap!$A$2:$R$9000,6,FALSE)</f>
        <v>30-09-2022</v>
      </c>
      <c r="O1270" s="15" t="str">
        <f>VLOOKUP(A1270,sinap!$A$2:$R$9000,7,FALSE)</f>
        <v>Vivo</v>
      </c>
      <c r="P1270" s="15" t="str">
        <f>VLOOKUP(A1270,sinap!$A$2:$R$9000,8,FALSE)</f>
        <v>11.1.01.0791</v>
      </c>
      <c r="Q1270" s="15" t="str">
        <f>VLOOKUP(A1270,sinap!$A$2:$R$9000,12,FALSE)</f>
        <v>11.1.01.0893</v>
      </c>
      <c r="R1270" s="15" t="str">
        <f>VLOOKUP(A1270,sinap!$A$2:$R$9000,16,FALSE)</f>
        <v>11.1.01.1241</v>
      </c>
      <c r="S1270" s="15" t="str">
        <f>VLOOKUP(A1270,sinap!$A$2:$Y$9000,20,FALSE)</f>
        <v>SI</v>
      </c>
      <c r="T1270" s="16">
        <v>44868</v>
      </c>
    </row>
    <row r="1271" spans="1:20" hidden="1" x14ac:dyDescent="0.25">
      <c r="A1271" s="15">
        <v>22350125</v>
      </c>
      <c r="J1271" s="15" t="str">
        <f>VLOOKUP(A1271,sinap!$A$2:$R$9000,2,FALSE)</f>
        <v>M</v>
      </c>
      <c r="K1271" s="15" t="str">
        <f>VLOOKUP(A1271,sinap!$A$2:$R$9000,3,FALSE)</f>
        <v>TORO</v>
      </c>
      <c r="L1271" s="15" t="str">
        <f>VLOOKUP(A1271,sinap!$A$2:$R$9000,4,FALSE)</f>
        <v>ANGUS NEGRO</v>
      </c>
      <c r="M1271" s="15" t="str">
        <f>VLOOKUP(A1271,sinap!$A$2:$R$9000,5,FALSE)</f>
        <v>3 años 2 meses</v>
      </c>
      <c r="N1271" s="15" t="str">
        <f>VLOOKUP(A1271,sinap!$A$2:$R$9000,6,FALSE)</f>
        <v>20-10-2022</v>
      </c>
      <c r="O1271" s="15" t="str">
        <f>VLOOKUP(A1271,sinap!$A$2:$R$9000,7,FALSE)</f>
        <v>Vivo</v>
      </c>
      <c r="P1271" s="15" t="str">
        <f>VLOOKUP(A1271,sinap!$A$2:$R$9000,8,FALSE)</f>
        <v>11.1.01.1241</v>
      </c>
      <c r="Q1271" s="15" t="str">
        <f>VLOOKUP(A1271,sinap!$A$2:$R$9000,12,FALSE)</f>
        <v>Sin Movimiento</v>
      </c>
      <c r="R1271" s="15" t="str">
        <f>VLOOKUP(A1271,sinap!$A$2:$R$9000,16,FALSE)</f>
        <v>11.1.01.1241</v>
      </c>
      <c r="S1271" s="15" t="str">
        <f>VLOOKUP(A1271,sinap!$A$2:$Y$9000,20,FALSE)</f>
        <v>SI</v>
      </c>
      <c r="T1271" s="16">
        <v>44868</v>
      </c>
    </row>
    <row r="1272" spans="1:20" hidden="1" x14ac:dyDescent="0.25">
      <c r="A1272" s="15">
        <v>22350126</v>
      </c>
      <c r="J1272" s="15" t="str">
        <f>VLOOKUP(A1272,sinap!$A$2:$R$9000,2,FALSE)</f>
        <v>M</v>
      </c>
      <c r="K1272" s="15" t="str">
        <f>VLOOKUP(A1272,sinap!$A$2:$R$9000,3,FALSE)</f>
        <v>TORO</v>
      </c>
      <c r="L1272" s="15" t="str">
        <f>VLOOKUP(A1272,sinap!$A$2:$R$9000,4,FALSE)</f>
        <v>ANGUS ROJO</v>
      </c>
      <c r="M1272" s="15" t="str">
        <f>VLOOKUP(A1272,sinap!$A$2:$R$9000,5,FALSE)</f>
        <v>3 años 2 meses</v>
      </c>
      <c r="N1272" s="15" t="str">
        <f>VLOOKUP(A1272,sinap!$A$2:$R$9000,6,FALSE)</f>
        <v>30-10-2022</v>
      </c>
      <c r="O1272" s="15" t="str">
        <f>VLOOKUP(A1272,sinap!$A$2:$R$9000,7,FALSE)</f>
        <v>Vivo</v>
      </c>
      <c r="P1272" s="15" t="str">
        <f>VLOOKUP(A1272,sinap!$A$2:$R$9000,8,FALSE)</f>
        <v>11.1.01.2442</v>
      </c>
      <c r="Q1272" s="15" t="str">
        <f>VLOOKUP(A1272,sinap!$A$2:$R$9000,12,FALSE)</f>
        <v>11.1.01.0190</v>
      </c>
      <c r="R1272" s="15" t="str">
        <f>VLOOKUP(A1272,sinap!$A$2:$R$9000,16,FALSE)</f>
        <v>11.1.01.1241</v>
      </c>
      <c r="S1272" s="15" t="str">
        <f>VLOOKUP(A1272,sinap!$A$2:$Y$9000,20,FALSE)</f>
        <v>SI</v>
      </c>
      <c r="T1272" s="16">
        <v>44868</v>
      </c>
    </row>
    <row r="1273" spans="1:20" hidden="1" x14ac:dyDescent="0.25">
      <c r="A1273" s="15">
        <v>22350132</v>
      </c>
      <c r="J1273" s="15" t="str">
        <f>VLOOKUP(A1273,sinap!$A$2:$R$9000,2,FALSE)</f>
        <v>H</v>
      </c>
      <c r="K1273" s="15" t="str">
        <f>VLOOKUP(A1273,sinap!$A$2:$R$9000,3,FALSE)</f>
        <v>VACA</v>
      </c>
      <c r="L1273" s="15" t="str">
        <f>VLOOKUP(A1273,sinap!$A$2:$R$9000,4,FALSE)</f>
        <v>ANGUS NEGRO</v>
      </c>
      <c r="M1273" s="15" t="str">
        <f>VLOOKUP(A1273,sinap!$A$2:$R$9000,5,FALSE)</f>
        <v>3 años 2 meses</v>
      </c>
      <c r="N1273" s="15" t="str">
        <f>VLOOKUP(A1273,sinap!$A$2:$R$9000,6,FALSE)</f>
        <v>25-10-2022</v>
      </c>
      <c r="O1273" s="15" t="str">
        <f>VLOOKUP(A1273,sinap!$A$2:$R$9000,7,FALSE)</f>
        <v>Vivo</v>
      </c>
      <c r="P1273" s="15" t="str">
        <f>VLOOKUP(A1273,sinap!$A$2:$R$9000,8,FALSE)</f>
        <v>11.1.01.1241</v>
      </c>
      <c r="Q1273" s="15" t="str">
        <f>VLOOKUP(A1273,sinap!$A$2:$R$9000,12,FALSE)</f>
        <v>Sin Movimiento</v>
      </c>
      <c r="R1273" s="15" t="str">
        <f>VLOOKUP(A1273,sinap!$A$2:$R$9000,16,FALSE)</f>
        <v>11.1.01.1241</v>
      </c>
      <c r="S1273" s="15" t="str">
        <f>VLOOKUP(A1273,sinap!$A$2:$Y$9000,20,FALSE)</f>
        <v>SI</v>
      </c>
      <c r="T1273" s="16">
        <v>44880</v>
      </c>
    </row>
    <row r="1274" spans="1:20" hidden="1" x14ac:dyDescent="0.25">
      <c r="A1274" s="15">
        <v>22350144</v>
      </c>
      <c r="H1274" s="16">
        <v>45623</v>
      </c>
      <c r="I1274" s="16">
        <v>45848</v>
      </c>
      <c r="J1274" s="15" t="str">
        <f>VLOOKUP(A1274,sinap!$A$2:$R$9000,2,FALSE)</f>
        <v>H</v>
      </c>
      <c r="K1274" s="15" t="str">
        <f>VLOOKUP(A1274,sinap!$A$2:$R$9000,3,FALSE)</f>
        <v>VACA</v>
      </c>
      <c r="L1274" s="15" t="str">
        <f>VLOOKUP(A1274,sinap!$A$2:$R$9000,4,FALSE)</f>
        <v>ANGUS ROJO</v>
      </c>
      <c r="M1274" s="15" t="str">
        <f>VLOOKUP(A1274,sinap!$A$2:$R$9000,5,FALSE)</f>
        <v>3 años 3 meses</v>
      </c>
      <c r="N1274" s="15" t="str">
        <f>VLOOKUP(A1274,sinap!$A$2:$R$9000,6,FALSE)</f>
        <v>30-09-2022</v>
      </c>
      <c r="O1274" s="15" t="str">
        <f>VLOOKUP(A1274,sinap!$A$2:$R$9000,7,FALSE)</f>
        <v>Vivo</v>
      </c>
      <c r="P1274" s="15" t="str">
        <f>VLOOKUP(A1274,sinap!$A$2:$R$9000,8,FALSE)</f>
        <v>11.1.01.0791</v>
      </c>
      <c r="Q1274" s="15" t="str">
        <f>VLOOKUP(A1274,sinap!$A$2:$R$9000,12,FALSE)</f>
        <v>11.1.01.0893</v>
      </c>
      <c r="R1274" s="15" t="str">
        <f>VLOOKUP(A1274,sinap!$A$2:$R$9000,16,FALSE)</f>
        <v>11.1.01.1241</v>
      </c>
      <c r="S1274" s="15" t="str">
        <f>VLOOKUP(A1274,sinap!$A$2:$Y$9000,20,FALSE)</f>
        <v>SI</v>
      </c>
      <c r="T1274" s="16">
        <v>44868</v>
      </c>
    </row>
    <row r="1275" spans="1:20" hidden="1" x14ac:dyDescent="0.25">
      <c r="A1275" s="15">
        <v>22350149</v>
      </c>
      <c r="J1275" s="15" t="str">
        <f>VLOOKUP(A1275,sinap!$A$2:$R$9000,2,FALSE)</f>
        <v>H</v>
      </c>
      <c r="K1275" s="15" t="str">
        <f>VLOOKUP(A1275,sinap!$A$2:$R$9000,3,FALSE)</f>
        <v>VACA</v>
      </c>
      <c r="L1275" s="15" t="str">
        <f>VLOOKUP(A1275,sinap!$A$2:$R$9000,4,FALSE)</f>
        <v>ANGUS ROJO</v>
      </c>
      <c r="M1275" s="15" t="str">
        <f>VLOOKUP(A1275,sinap!$A$2:$R$9000,5,FALSE)</f>
        <v>3 años 2 meses</v>
      </c>
      <c r="N1275" s="15" t="str">
        <f>VLOOKUP(A1275,sinap!$A$2:$R$9000,6,FALSE)</f>
        <v>20-10-2022</v>
      </c>
      <c r="O1275" s="15" t="str">
        <f>VLOOKUP(A1275,sinap!$A$2:$R$9000,7,FALSE)</f>
        <v>Vivo</v>
      </c>
      <c r="P1275" s="15" t="str">
        <f>VLOOKUP(A1275,sinap!$A$2:$R$9000,8,FALSE)</f>
        <v>11.1.01.1241</v>
      </c>
      <c r="Q1275" s="15" t="str">
        <f>VLOOKUP(A1275,sinap!$A$2:$R$9000,12,FALSE)</f>
        <v>Sin Movimiento</v>
      </c>
      <c r="R1275" s="15" t="str">
        <f>VLOOKUP(A1275,sinap!$A$2:$R$9000,16,FALSE)</f>
        <v>11.1.01.1241</v>
      </c>
      <c r="S1275" s="15" t="str">
        <f>VLOOKUP(A1275,sinap!$A$2:$Y$9000,20,FALSE)</f>
        <v>SI</v>
      </c>
      <c r="T1275" s="16">
        <v>44868</v>
      </c>
    </row>
    <row r="1276" spans="1:20" hidden="1" x14ac:dyDescent="0.25">
      <c r="A1276" s="15">
        <v>22350151</v>
      </c>
      <c r="J1276" s="15" t="str">
        <f>VLOOKUP(A1276,sinap!$A$2:$R$9000,2,FALSE)</f>
        <v>H</v>
      </c>
      <c r="K1276" s="15" t="str">
        <f>VLOOKUP(A1276,sinap!$A$2:$R$9000,3,FALSE)</f>
        <v>VACA</v>
      </c>
      <c r="L1276" s="15" t="str">
        <f>VLOOKUP(A1276,sinap!$A$2:$R$9000,4,FALSE)</f>
        <v>ANGUS ROJO</v>
      </c>
      <c r="M1276" s="15" t="str">
        <f>VLOOKUP(A1276,sinap!$A$2:$R$9000,5,FALSE)</f>
        <v>3 años 3 meses</v>
      </c>
      <c r="N1276" s="15" t="str">
        <f>VLOOKUP(A1276,sinap!$A$2:$R$9000,6,FALSE)</f>
        <v>30-09-2022</v>
      </c>
      <c r="O1276" s="15" t="str">
        <f>VLOOKUP(A1276,sinap!$A$2:$R$9000,7,FALSE)</f>
        <v>Vivo</v>
      </c>
      <c r="P1276" s="15" t="str">
        <f>VLOOKUP(A1276,sinap!$A$2:$R$9000,8,FALSE)</f>
        <v>11.1.01.1241</v>
      </c>
      <c r="Q1276" s="15" t="str">
        <f>VLOOKUP(A1276,sinap!$A$2:$R$9000,12,FALSE)</f>
        <v>Sin Movimiento</v>
      </c>
      <c r="R1276" s="15" t="str">
        <f>VLOOKUP(A1276,sinap!$A$2:$R$9000,16,FALSE)</f>
        <v>11.1.01.1241</v>
      </c>
      <c r="S1276" s="15" t="str">
        <f>VLOOKUP(A1276,sinap!$A$2:$Y$9000,20,FALSE)</f>
        <v>SI</v>
      </c>
      <c r="T1276" s="16">
        <v>44868</v>
      </c>
    </row>
    <row r="1277" spans="1:20" hidden="1" x14ac:dyDescent="0.25">
      <c r="A1277" s="15">
        <v>22350152</v>
      </c>
      <c r="J1277" s="15" t="str">
        <f>VLOOKUP(A1277,sinap!$A$2:$R$9000,2,FALSE)</f>
        <v>M</v>
      </c>
      <c r="K1277" s="15" t="str">
        <f>VLOOKUP(A1277,sinap!$A$2:$R$9000,3,FALSE)</f>
        <v>TORO</v>
      </c>
      <c r="L1277" s="15" t="str">
        <f>VLOOKUP(A1277,sinap!$A$2:$R$9000,4,FALSE)</f>
        <v>ANGUS NEGRO</v>
      </c>
      <c r="M1277" s="15" t="str">
        <f>VLOOKUP(A1277,sinap!$A$2:$R$9000,5,FALSE)</f>
        <v>3 años 3 meses</v>
      </c>
      <c r="N1277" s="15" t="str">
        <f>VLOOKUP(A1277,sinap!$A$2:$R$9000,6,FALSE)</f>
        <v>05-10-2022</v>
      </c>
      <c r="O1277" s="15" t="str">
        <f>VLOOKUP(A1277,sinap!$A$2:$R$9000,7,FALSE)</f>
        <v>Vivo</v>
      </c>
      <c r="P1277" s="15" t="str">
        <f>VLOOKUP(A1277,sinap!$A$2:$R$9000,8,FALSE)</f>
        <v>11.1.01.1241</v>
      </c>
      <c r="Q1277" s="15" t="str">
        <f>VLOOKUP(A1277,sinap!$A$2:$R$9000,12,FALSE)</f>
        <v>Sin Movimiento</v>
      </c>
      <c r="R1277" s="15" t="str">
        <f>VLOOKUP(A1277,sinap!$A$2:$R$9000,16,FALSE)</f>
        <v>11.1.01.1241</v>
      </c>
      <c r="S1277" s="15" t="str">
        <f>VLOOKUP(A1277,sinap!$A$2:$Y$9000,20,FALSE)</f>
        <v>SI</v>
      </c>
      <c r="T1277" s="16">
        <v>44880</v>
      </c>
    </row>
    <row r="1278" spans="1:20" hidden="1" x14ac:dyDescent="0.25">
      <c r="A1278" s="15">
        <v>22350153</v>
      </c>
      <c r="H1278" s="16">
        <v>45623</v>
      </c>
      <c r="I1278" s="16">
        <v>45848</v>
      </c>
      <c r="J1278" s="15" t="str">
        <f>VLOOKUP(A1278,sinap!$A$2:$R$9000,2,FALSE)</f>
        <v>H</v>
      </c>
      <c r="K1278" s="15" t="str">
        <f>VLOOKUP(A1278,sinap!$A$2:$R$9000,3,FALSE)</f>
        <v>VACA</v>
      </c>
      <c r="L1278" s="15" t="str">
        <f>VLOOKUP(A1278,sinap!$A$2:$R$9000,4,FALSE)</f>
        <v>ANGUS NEGRO</v>
      </c>
      <c r="M1278" s="15" t="str">
        <f>VLOOKUP(A1278,sinap!$A$2:$R$9000,5,FALSE)</f>
        <v>3 años 3 meses</v>
      </c>
      <c r="N1278" s="15" t="str">
        <f>VLOOKUP(A1278,sinap!$A$2:$R$9000,6,FALSE)</f>
        <v>30-09-2022</v>
      </c>
      <c r="O1278" s="15" t="str">
        <f>VLOOKUP(A1278,sinap!$A$2:$R$9000,7,FALSE)</f>
        <v>Vivo</v>
      </c>
      <c r="P1278" s="15" t="str">
        <f>VLOOKUP(A1278,sinap!$A$2:$R$9000,8,FALSE)</f>
        <v>11.1.01.0791</v>
      </c>
      <c r="Q1278" s="15" t="str">
        <f>VLOOKUP(A1278,sinap!$A$2:$R$9000,12,FALSE)</f>
        <v>11.1.01.0893</v>
      </c>
      <c r="R1278" s="15" t="str">
        <f>VLOOKUP(A1278,sinap!$A$2:$R$9000,16,FALSE)</f>
        <v>11.1.01.1241</v>
      </c>
      <c r="S1278" s="15" t="str">
        <f>VLOOKUP(A1278,sinap!$A$2:$Y$9000,20,FALSE)</f>
        <v>SI</v>
      </c>
      <c r="T1278" s="16">
        <v>44868</v>
      </c>
    </row>
    <row r="1279" spans="1:20" hidden="1" x14ac:dyDescent="0.25">
      <c r="A1279" s="15">
        <v>22350154</v>
      </c>
      <c r="J1279" s="15" t="str">
        <f>VLOOKUP(A1279,sinap!$A$2:$R$9000,2,FALSE)</f>
        <v>M</v>
      </c>
      <c r="K1279" s="15" t="str">
        <f>VLOOKUP(A1279,sinap!$A$2:$R$9000,3,FALSE)</f>
        <v>TORO</v>
      </c>
      <c r="L1279" s="15" t="str">
        <f>VLOOKUP(A1279,sinap!$A$2:$R$9000,4,FALSE)</f>
        <v>ANGUS NEGRO</v>
      </c>
      <c r="M1279" s="15" t="str">
        <f>VLOOKUP(A1279,sinap!$A$2:$R$9000,5,FALSE)</f>
        <v>3 años 2 meses</v>
      </c>
      <c r="N1279" s="15" t="str">
        <f>VLOOKUP(A1279,sinap!$A$2:$R$9000,6,FALSE)</f>
        <v>20-10-2022</v>
      </c>
      <c r="O1279" s="15" t="str">
        <f>VLOOKUP(A1279,sinap!$A$2:$R$9000,7,FALSE)</f>
        <v>Vivo</v>
      </c>
      <c r="P1279" s="15" t="str">
        <f>VLOOKUP(A1279,sinap!$A$2:$R$9000,8,FALSE)</f>
        <v>11.1.01.1241</v>
      </c>
      <c r="Q1279" s="15" t="str">
        <f>VLOOKUP(A1279,sinap!$A$2:$R$9000,12,FALSE)</f>
        <v>Sin Movimiento</v>
      </c>
      <c r="R1279" s="15" t="str">
        <f>VLOOKUP(A1279,sinap!$A$2:$R$9000,16,FALSE)</f>
        <v>11.1.01.1241</v>
      </c>
      <c r="S1279" s="15" t="str">
        <f>VLOOKUP(A1279,sinap!$A$2:$Y$9000,20,FALSE)</f>
        <v>SI</v>
      </c>
      <c r="T1279" s="16">
        <v>44868</v>
      </c>
    </row>
    <row r="1280" spans="1:20" hidden="1" x14ac:dyDescent="0.25">
      <c r="A1280" s="15">
        <v>22350159</v>
      </c>
      <c r="J1280" s="15" t="str">
        <f>VLOOKUP(A1280,sinap!$A$2:$R$9000,2,FALSE)</f>
        <v>H</v>
      </c>
      <c r="K1280" s="15" t="str">
        <f>VLOOKUP(A1280,sinap!$A$2:$R$9000,3,FALSE)</f>
        <v>VACA</v>
      </c>
      <c r="L1280" s="15" t="str">
        <f>VLOOKUP(A1280,sinap!$A$2:$R$9000,4,FALSE)</f>
        <v>ANGUS NEGRO</v>
      </c>
      <c r="M1280" s="15" t="str">
        <f>VLOOKUP(A1280,sinap!$A$2:$R$9000,5,FALSE)</f>
        <v>3 años 3 meses</v>
      </c>
      <c r="N1280" s="15" t="str">
        <f>VLOOKUP(A1280,sinap!$A$2:$R$9000,6,FALSE)</f>
        <v>30-09-2022</v>
      </c>
      <c r="O1280" s="15" t="str">
        <f>VLOOKUP(A1280,sinap!$A$2:$R$9000,7,FALSE)</f>
        <v>Vivo</v>
      </c>
      <c r="P1280" s="15" t="str">
        <f>VLOOKUP(A1280,sinap!$A$2:$R$9000,8,FALSE)</f>
        <v>11.1.01.1241</v>
      </c>
      <c r="Q1280" s="15" t="str">
        <f>VLOOKUP(A1280,sinap!$A$2:$R$9000,12,FALSE)</f>
        <v>Sin Movimiento</v>
      </c>
      <c r="R1280" s="15" t="str">
        <f>VLOOKUP(A1280,sinap!$A$2:$R$9000,16,FALSE)</f>
        <v>11.1.01.1241</v>
      </c>
      <c r="S1280" s="15" t="str">
        <f>VLOOKUP(A1280,sinap!$A$2:$Y$9000,20,FALSE)</f>
        <v>SI</v>
      </c>
      <c r="T1280" s="16">
        <v>44868</v>
      </c>
    </row>
    <row r="1281" spans="1:20" hidden="1" x14ac:dyDescent="0.25">
      <c r="A1281" s="15">
        <v>22350161</v>
      </c>
      <c r="J1281" s="15" t="str">
        <f>VLOOKUP(A1281,sinap!$A$2:$R$9000,2,FALSE)</f>
        <v>M</v>
      </c>
      <c r="K1281" s="15" t="str">
        <f>VLOOKUP(A1281,sinap!$A$2:$R$9000,3,FALSE)</f>
        <v>TORO</v>
      </c>
      <c r="L1281" s="15" t="str">
        <f>VLOOKUP(A1281,sinap!$A$2:$R$9000,4,FALSE)</f>
        <v>ANGUS ROJO</v>
      </c>
      <c r="M1281" s="15" t="str">
        <f>VLOOKUP(A1281,sinap!$A$2:$R$9000,5,FALSE)</f>
        <v>3 años 3 meses</v>
      </c>
      <c r="N1281" s="15" t="str">
        <f>VLOOKUP(A1281,sinap!$A$2:$R$9000,6,FALSE)</f>
        <v>30-09-2022</v>
      </c>
      <c r="O1281" s="15" t="str">
        <f>VLOOKUP(A1281,sinap!$A$2:$R$9000,7,FALSE)</f>
        <v>Vivo</v>
      </c>
      <c r="P1281" s="15" t="str">
        <f>VLOOKUP(A1281,sinap!$A$2:$R$9000,8,FALSE)</f>
        <v>11.1.01.1241</v>
      </c>
      <c r="Q1281" s="15" t="str">
        <f>VLOOKUP(A1281,sinap!$A$2:$R$9000,12,FALSE)</f>
        <v>Sin Movimiento</v>
      </c>
      <c r="R1281" s="15" t="str">
        <f>VLOOKUP(A1281,sinap!$A$2:$R$9000,16,FALSE)</f>
        <v>11.1.01.1241</v>
      </c>
      <c r="S1281" s="15" t="str">
        <f>VLOOKUP(A1281,sinap!$A$2:$Y$9000,20,FALSE)</f>
        <v>SI</v>
      </c>
      <c r="T1281" s="16">
        <v>44880</v>
      </c>
    </row>
    <row r="1282" spans="1:20" hidden="1" x14ac:dyDescent="0.25">
      <c r="A1282" s="15">
        <v>22350162</v>
      </c>
      <c r="J1282" s="15" t="str">
        <f>VLOOKUP(A1282,sinap!$A$2:$R$9000,2,FALSE)</f>
        <v>H</v>
      </c>
      <c r="K1282" s="15" t="str">
        <f>VLOOKUP(A1282,sinap!$A$2:$R$9000,3,FALSE)</f>
        <v>VACA</v>
      </c>
      <c r="L1282" s="15" t="str">
        <f>VLOOKUP(A1282,sinap!$A$2:$R$9000,4,FALSE)</f>
        <v>ANGUS NEGRO</v>
      </c>
      <c r="M1282" s="15" t="str">
        <f>VLOOKUP(A1282,sinap!$A$2:$R$9000,5,FALSE)</f>
        <v>3 años 3 meses</v>
      </c>
      <c r="N1282" s="15" t="str">
        <f>VLOOKUP(A1282,sinap!$A$2:$R$9000,6,FALSE)</f>
        <v>30-09-2022</v>
      </c>
      <c r="O1282" s="15" t="str">
        <f>VLOOKUP(A1282,sinap!$A$2:$R$9000,7,FALSE)</f>
        <v>Vivo</v>
      </c>
      <c r="P1282" s="15" t="str">
        <f>VLOOKUP(A1282,sinap!$A$2:$R$9000,8,FALSE)</f>
        <v>11.2.01.0038</v>
      </c>
      <c r="Q1282" s="15" t="str">
        <f>VLOOKUP(A1282,sinap!$A$2:$R$9000,12,FALSE)</f>
        <v>11.1.01.1241</v>
      </c>
      <c r="R1282" s="15" t="str">
        <f>VLOOKUP(A1282,sinap!$A$2:$R$9000,16,FALSE)</f>
        <v>11.1.01.1241</v>
      </c>
      <c r="S1282" s="15" t="str">
        <f>VLOOKUP(A1282,sinap!$A$2:$Y$9000,20,FALSE)</f>
        <v>SI</v>
      </c>
      <c r="T1282" s="16">
        <v>44868</v>
      </c>
    </row>
    <row r="1283" spans="1:20" hidden="1" x14ac:dyDescent="0.25">
      <c r="A1283" s="15">
        <v>22350164</v>
      </c>
      <c r="H1283" s="16">
        <v>45623</v>
      </c>
      <c r="I1283" s="16">
        <v>45848</v>
      </c>
      <c r="J1283" s="15" t="str">
        <f>VLOOKUP(A1283,sinap!$A$2:$R$9000,2,FALSE)</f>
        <v>H</v>
      </c>
      <c r="K1283" s="15" t="str">
        <f>VLOOKUP(A1283,sinap!$A$2:$R$9000,3,FALSE)</f>
        <v>VACA</v>
      </c>
      <c r="L1283" s="15" t="str">
        <f>VLOOKUP(A1283,sinap!$A$2:$R$9000,4,FALSE)</f>
        <v>ANGUS NEGRO</v>
      </c>
      <c r="M1283" s="15" t="str">
        <f>VLOOKUP(A1283,sinap!$A$2:$R$9000,5,FALSE)</f>
        <v>3 años 2 meses</v>
      </c>
      <c r="N1283" s="15" t="str">
        <f>VLOOKUP(A1283,sinap!$A$2:$R$9000,6,FALSE)</f>
        <v>20-10-2022</v>
      </c>
      <c r="O1283" s="15" t="str">
        <f>VLOOKUP(A1283,sinap!$A$2:$R$9000,7,FALSE)</f>
        <v>Vivo</v>
      </c>
      <c r="P1283" s="15" t="str">
        <f>VLOOKUP(A1283,sinap!$A$2:$R$9000,8,FALSE)</f>
        <v>11.1.01.0791</v>
      </c>
      <c r="Q1283" s="15" t="str">
        <f>VLOOKUP(A1283,sinap!$A$2:$R$9000,12,FALSE)</f>
        <v>11.1.01.0893</v>
      </c>
      <c r="R1283" s="15" t="str">
        <f>VLOOKUP(A1283,sinap!$A$2:$R$9000,16,FALSE)</f>
        <v>11.1.01.1241</v>
      </c>
      <c r="S1283" s="15" t="str">
        <f>VLOOKUP(A1283,sinap!$A$2:$Y$9000,20,FALSE)</f>
        <v>SI</v>
      </c>
      <c r="T1283" s="16">
        <v>44868</v>
      </c>
    </row>
    <row r="1284" spans="1:20" hidden="1" x14ac:dyDescent="0.25">
      <c r="A1284" s="15">
        <v>22350170</v>
      </c>
      <c r="H1284" s="16">
        <v>45623</v>
      </c>
      <c r="I1284" s="16">
        <v>45848</v>
      </c>
      <c r="J1284" s="15" t="str">
        <f>VLOOKUP(A1284,sinap!$A$2:$R$9000,2,FALSE)</f>
        <v>H</v>
      </c>
      <c r="K1284" s="15" t="str">
        <f>VLOOKUP(A1284,sinap!$A$2:$R$9000,3,FALSE)</f>
        <v>VACA</v>
      </c>
      <c r="L1284" s="15" t="str">
        <f>VLOOKUP(A1284,sinap!$A$2:$R$9000,4,FALSE)</f>
        <v>ANGUS NEGRO</v>
      </c>
      <c r="M1284" s="15" t="str">
        <f>VLOOKUP(A1284,sinap!$A$2:$R$9000,5,FALSE)</f>
        <v>3 años 3 meses</v>
      </c>
      <c r="N1284" s="15" t="str">
        <f>VLOOKUP(A1284,sinap!$A$2:$R$9000,6,FALSE)</f>
        <v>05-10-2022</v>
      </c>
      <c r="O1284" s="15" t="str">
        <f>VLOOKUP(A1284,sinap!$A$2:$R$9000,7,FALSE)</f>
        <v>Vivo</v>
      </c>
      <c r="P1284" s="15" t="str">
        <f>VLOOKUP(A1284,sinap!$A$2:$R$9000,8,FALSE)</f>
        <v>11.1.01.0791</v>
      </c>
      <c r="Q1284" s="15" t="str">
        <f>VLOOKUP(A1284,sinap!$A$2:$R$9000,12,FALSE)</f>
        <v>11.1.01.0893</v>
      </c>
      <c r="R1284" s="15" t="str">
        <f>VLOOKUP(A1284,sinap!$A$2:$R$9000,16,FALSE)</f>
        <v>11.1.01.1241</v>
      </c>
      <c r="S1284" s="15" t="str">
        <f>VLOOKUP(A1284,sinap!$A$2:$Y$9000,20,FALSE)</f>
        <v>SI</v>
      </c>
      <c r="T1284" s="16">
        <v>44868</v>
      </c>
    </row>
    <row r="1285" spans="1:20" hidden="1" x14ac:dyDescent="0.25">
      <c r="A1285" s="15">
        <v>22350178</v>
      </c>
      <c r="J1285" s="15" t="str">
        <f>VLOOKUP(A1285,sinap!$A$2:$R$9000,2,FALSE)</f>
        <v>H</v>
      </c>
      <c r="K1285" s="15" t="str">
        <f>VLOOKUP(A1285,sinap!$A$2:$R$9000,3,FALSE)</f>
        <v>VACA</v>
      </c>
      <c r="L1285" s="15" t="str">
        <f>VLOOKUP(A1285,sinap!$A$2:$R$9000,4,FALSE)</f>
        <v>OVERO NEGRO</v>
      </c>
      <c r="M1285" s="15" t="str">
        <f>VLOOKUP(A1285,sinap!$A$2:$R$9000,5,FALSE)</f>
        <v>3 años 2 meses</v>
      </c>
      <c r="N1285" s="15" t="str">
        <f>VLOOKUP(A1285,sinap!$A$2:$R$9000,6,FALSE)</f>
        <v>20-10-2022</v>
      </c>
      <c r="O1285" s="15" t="str">
        <f>VLOOKUP(A1285,sinap!$A$2:$R$9000,7,FALSE)</f>
        <v>Vivo</v>
      </c>
      <c r="P1285" s="15" t="str">
        <f>VLOOKUP(A1285,sinap!$A$2:$R$9000,8,FALSE)</f>
        <v>11.1.01.0893</v>
      </c>
      <c r="Q1285" s="15" t="str">
        <f>VLOOKUP(A1285,sinap!$A$2:$R$9000,12,FALSE)</f>
        <v>11.1.01.0941</v>
      </c>
      <c r="R1285" s="15" t="str">
        <f>VLOOKUP(A1285,sinap!$A$2:$R$9000,16,FALSE)</f>
        <v>11.1.01.1241</v>
      </c>
      <c r="S1285" s="15" t="str">
        <f>VLOOKUP(A1285,sinap!$A$2:$Y$9000,20,FALSE)</f>
        <v>SI</v>
      </c>
      <c r="T1285" s="16">
        <v>44868</v>
      </c>
    </row>
    <row r="1286" spans="1:20" hidden="1" x14ac:dyDescent="0.25">
      <c r="A1286" s="15">
        <v>22350179</v>
      </c>
      <c r="J1286" s="15" t="str">
        <f>VLOOKUP(A1286,sinap!$A$2:$R$9000,2,FALSE)</f>
        <v>H</v>
      </c>
      <c r="K1286" s="15" t="str">
        <f>VLOOKUP(A1286,sinap!$A$2:$R$9000,3,FALSE)</f>
        <v>VACA</v>
      </c>
      <c r="L1286" s="15" t="str">
        <f>VLOOKUP(A1286,sinap!$A$2:$R$9000,4,FALSE)</f>
        <v>ANGUS NEGRO</v>
      </c>
      <c r="M1286" s="15" t="str">
        <f>VLOOKUP(A1286,sinap!$A$2:$R$9000,5,FALSE)</f>
        <v>3 años 3 meses</v>
      </c>
      <c r="N1286" s="15" t="str">
        <f>VLOOKUP(A1286,sinap!$A$2:$R$9000,6,FALSE)</f>
        <v>05-10-2022</v>
      </c>
      <c r="O1286" s="15" t="str">
        <f>VLOOKUP(A1286,sinap!$A$2:$R$9000,7,FALSE)</f>
        <v>Vivo</v>
      </c>
      <c r="P1286" s="15" t="str">
        <f>VLOOKUP(A1286,sinap!$A$2:$R$9000,8,FALSE)</f>
        <v>11.1.01.1241</v>
      </c>
      <c r="Q1286" s="15" t="str">
        <f>VLOOKUP(A1286,sinap!$A$2:$R$9000,12,FALSE)</f>
        <v>Sin Movimiento</v>
      </c>
      <c r="R1286" s="15" t="str">
        <f>VLOOKUP(A1286,sinap!$A$2:$R$9000,16,FALSE)</f>
        <v>11.1.01.1241</v>
      </c>
      <c r="S1286" s="15" t="str">
        <f>VLOOKUP(A1286,sinap!$A$2:$Y$9000,20,FALSE)</f>
        <v>SI</v>
      </c>
      <c r="T1286" s="16">
        <v>44868</v>
      </c>
    </row>
    <row r="1287" spans="1:20" hidden="1" x14ac:dyDescent="0.25">
      <c r="A1287" s="15">
        <v>22350181</v>
      </c>
      <c r="H1287" s="16">
        <v>45623</v>
      </c>
      <c r="J1287" s="15" t="str">
        <f>VLOOKUP(A1287,sinap!$A$2:$R$9000,2,FALSE)</f>
        <v>H</v>
      </c>
      <c r="K1287" s="15" t="str">
        <f>VLOOKUP(A1287,sinap!$A$2:$R$9000,3,FALSE)</f>
        <v>VACA</v>
      </c>
      <c r="L1287" s="15" t="str">
        <f>VLOOKUP(A1287,sinap!$A$2:$R$9000,4,FALSE)</f>
        <v>ANGUS NEGRO</v>
      </c>
      <c r="M1287" s="15" t="str">
        <f>VLOOKUP(A1287,sinap!$A$2:$R$9000,5,FALSE)</f>
        <v>3 años 2 meses</v>
      </c>
      <c r="N1287" s="15" t="str">
        <f>VLOOKUP(A1287,sinap!$A$2:$R$9000,6,FALSE)</f>
        <v>20-10-2022</v>
      </c>
      <c r="O1287" s="15" t="str">
        <f>VLOOKUP(A1287,sinap!$A$2:$R$9000,7,FALSE)</f>
        <v>Vivo</v>
      </c>
      <c r="P1287" s="15" t="str">
        <f>VLOOKUP(A1287,sinap!$A$2:$R$9000,8,FALSE)</f>
        <v>11.1.01.0791</v>
      </c>
      <c r="Q1287" s="15" t="str">
        <f>VLOOKUP(A1287,sinap!$A$2:$R$9000,12,FALSE)</f>
        <v>11.1.01.0893</v>
      </c>
      <c r="R1287" s="15" t="str">
        <f>VLOOKUP(A1287,sinap!$A$2:$R$9000,16,FALSE)</f>
        <v>11.1.01.1241</v>
      </c>
      <c r="S1287" s="15" t="str">
        <f>VLOOKUP(A1287,sinap!$A$2:$Y$9000,20,FALSE)</f>
        <v>SI</v>
      </c>
      <c r="T1287" s="16">
        <v>44880</v>
      </c>
    </row>
    <row r="1288" spans="1:20" hidden="1" x14ac:dyDescent="0.25">
      <c r="A1288" s="15">
        <v>22350184</v>
      </c>
      <c r="H1288" s="16">
        <v>45623</v>
      </c>
      <c r="I1288" s="16">
        <v>45848</v>
      </c>
      <c r="J1288" s="15" t="str">
        <f>VLOOKUP(A1288,sinap!$A$2:$R$9000,2,FALSE)</f>
        <v>H</v>
      </c>
      <c r="K1288" s="15" t="str">
        <f>VLOOKUP(A1288,sinap!$A$2:$R$9000,3,FALSE)</f>
        <v>VACA</v>
      </c>
      <c r="L1288" s="15" t="str">
        <f>VLOOKUP(A1288,sinap!$A$2:$R$9000,4,FALSE)</f>
        <v>ANGUS NEGRO</v>
      </c>
      <c r="M1288" s="15" t="str">
        <f>VLOOKUP(A1288,sinap!$A$2:$R$9000,5,FALSE)</f>
        <v>3 años 3 meses</v>
      </c>
      <c r="N1288" s="15" t="str">
        <f>VLOOKUP(A1288,sinap!$A$2:$R$9000,6,FALSE)</f>
        <v>30-09-2022</v>
      </c>
      <c r="O1288" s="15" t="str">
        <f>VLOOKUP(A1288,sinap!$A$2:$R$9000,7,FALSE)</f>
        <v>Vivo</v>
      </c>
      <c r="P1288" s="15" t="str">
        <f>VLOOKUP(A1288,sinap!$A$2:$R$9000,8,FALSE)</f>
        <v>11.1.01.0791</v>
      </c>
      <c r="Q1288" s="15" t="str">
        <f>VLOOKUP(A1288,sinap!$A$2:$R$9000,12,FALSE)</f>
        <v>11.1.01.0893</v>
      </c>
      <c r="R1288" s="15" t="str">
        <f>VLOOKUP(A1288,sinap!$A$2:$R$9000,16,FALSE)</f>
        <v>11.1.01.1241</v>
      </c>
      <c r="S1288" s="15" t="str">
        <f>VLOOKUP(A1288,sinap!$A$2:$Y$9000,20,FALSE)</f>
        <v>SI</v>
      </c>
      <c r="T1288" s="16">
        <v>44880</v>
      </c>
    </row>
    <row r="1289" spans="1:20" hidden="1" x14ac:dyDescent="0.25">
      <c r="A1289" s="15">
        <v>22350186</v>
      </c>
      <c r="H1289" s="16">
        <v>45623</v>
      </c>
      <c r="I1289" s="16">
        <v>45848</v>
      </c>
      <c r="J1289" s="15" t="str">
        <f>VLOOKUP(A1289,sinap!$A$2:$R$9000,2,FALSE)</f>
        <v>H</v>
      </c>
      <c r="K1289" s="15" t="str">
        <f>VLOOKUP(A1289,sinap!$A$2:$R$9000,3,FALSE)</f>
        <v>VACA</v>
      </c>
      <c r="L1289" s="15" t="str">
        <f>VLOOKUP(A1289,sinap!$A$2:$R$9000,4,FALSE)</f>
        <v>ANGUS NEGRO</v>
      </c>
      <c r="M1289" s="15" t="str">
        <f>VLOOKUP(A1289,sinap!$A$2:$R$9000,5,FALSE)</f>
        <v>3 años 3 meses</v>
      </c>
      <c r="N1289" s="15" t="str">
        <f>VLOOKUP(A1289,sinap!$A$2:$R$9000,6,FALSE)</f>
        <v>05-10-2022</v>
      </c>
      <c r="O1289" s="15" t="str">
        <f>VLOOKUP(A1289,sinap!$A$2:$R$9000,7,FALSE)</f>
        <v>Vivo</v>
      </c>
      <c r="P1289" s="15" t="str">
        <f>VLOOKUP(A1289,sinap!$A$2:$R$9000,8,FALSE)</f>
        <v>11.1.01.0791</v>
      </c>
      <c r="Q1289" s="15" t="str">
        <f>VLOOKUP(A1289,sinap!$A$2:$R$9000,12,FALSE)</f>
        <v>11.1.01.0893</v>
      </c>
      <c r="R1289" s="15" t="str">
        <f>VLOOKUP(A1289,sinap!$A$2:$R$9000,16,FALSE)</f>
        <v>11.1.01.1241</v>
      </c>
      <c r="S1289" s="15" t="str">
        <f>VLOOKUP(A1289,sinap!$A$2:$Y$9000,20,FALSE)</f>
        <v>SI</v>
      </c>
      <c r="T1289" s="16">
        <v>44883</v>
      </c>
    </row>
    <row r="1290" spans="1:20" hidden="1" x14ac:dyDescent="0.25">
      <c r="A1290" s="15">
        <v>22350189</v>
      </c>
      <c r="H1290" s="16">
        <v>45623</v>
      </c>
      <c r="J1290" s="15" t="str">
        <f>VLOOKUP(A1290,sinap!$A$2:$R$9000,2,FALSE)</f>
        <v>H</v>
      </c>
      <c r="K1290" s="15" t="str">
        <f>VLOOKUP(A1290,sinap!$A$2:$R$9000,3,FALSE)</f>
        <v>VACA</v>
      </c>
      <c r="L1290" s="15" t="str">
        <f>VLOOKUP(A1290,sinap!$A$2:$R$9000,4,FALSE)</f>
        <v>ANGUS NEGRO</v>
      </c>
      <c r="M1290" s="15" t="str">
        <f>VLOOKUP(A1290,sinap!$A$2:$R$9000,5,FALSE)</f>
        <v>3 años 3 meses</v>
      </c>
      <c r="N1290" s="15" t="str">
        <f>VLOOKUP(A1290,sinap!$A$2:$R$9000,6,FALSE)</f>
        <v>05-10-2022</v>
      </c>
      <c r="O1290" s="15" t="str">
        <f>VLOOKUP(A1290,sinap!$A$2:$R$9000,7,FALSE)</f>
        <v>Vivo</v>
      </c>
      <c r="P1290" s="15" t="str">
        <f>VLOOKUP(A1290,sinap!$A$2:$R$9000,8,FALSE)</f>
        <v>11.1.01.1022</v>
      </c>
      <c r="Q1290" s="15" t="str">
        <f>VLOOKUP(A1290,sinap!$A$2:$R$9000,12,FALSE)</f>
        <v>11.1.01.0941</v>
      </c>
      <c r="R1290" s="15" t="str">
        <f>VLOOKUP(A1290,sinap!$A$2:$R$9000,16,FALSE)</f>
        <v>11.1.01.1241</v>
      </c>
      <c r="S1290" s="15" t="str">
        <f>VLOOKUP(A1290,sinap!$A$2:$Y$9000,20,FALSE)</f>
        <v>SI</v>
      </c>
      <c r="T1290" s="16">
        <v>44883</v>
      </c>
    </row>
    <row r="1291" spans="1:20" hidden="1" x14ac:dyDescent="0.25">
      <c r="A1291" s="15">
        <v>22350194</v>
      </c>
      <c r="J1291" s="15" t="str">
        <f>VLOOKUP(A1291,sinap!$A$2:$R$9000,2,FALSE)</f>
        <v>H</v>
      </c>
      <c r="K1291" s="15" t="str">
        <f>VLOOKUP(A1291,sinap!$A$2:$R$9000,3,FALSE)</f>
        <v>VACA</v>
      </c>
      <c r="L1291" s="15" t="str">
        <f>VLOOKUP(A1291,sinap!$A$2:$R$9000,4,FALSE)</f>
        <v>ANGUS NEGRO</v>
      </c>
      <c r="M1291" s="15" t="str">
        <f>VLOOKUP(A1291,sinap!$A$2:$R$9000,5,FALSE)</f>
        <v>3 años 3 meses</v>
      </c>
      <c r="N1291" s="15" t="str">
        <f>VLOOKUP(A1291,sinap!$A$2:$R$9000,6,FALSE)</f>
        <v>05-10-2022</v>
      </c>
      <c r="O1291" s="15" t="str">
        <f>VLOOKUP(A1291,sinap!$A$2:$R$9000,7,FALSE)</f>
        <v>Vivo</v>
      </c>
      <c r="P1291" s="15" t="str">
        <f>VLOOKUP(A1291,sinap!$A$2:$R$9000,8,FALSE)</f>
        <v>11.1.01.2304</v>
      </c>
      <c r="Q1291" s="15" t="str">
        <f>VLOOKUP(A1291,sinap!$A$2:$R$9000,12,FALSE)</f>
        <v>11.2.01.0053</v>
      </c>
      <c r="R1291" s="15" t="str">
        <f>VLOOKUP(A1291,sinap!$A$2:$R$9000,16,FALSE)</f>
        <v>11.1.01.1241</v>
      </c>
      <c r="S1291" s="15" t="str">
        <f>VLOOKUP(A1291,sinap!$A$2:$Y$9000,20,FALSE)</f>
        <v>SI</v>
      </c>
      <c r="T1291" s="16">
        <v>44883</v>
      </c>
    </row>
    <row r="1292" spans="1:20" hidden="1" x14ac:dyDescent="0.25">
      <c r="A1292" s="15">
        <v>22350200</v>
      </c>
      <c r="J1292" s="15" t="str">
        <f>VLOOKUP(A1292,sinap!$A$2:$R$9000,2,FALSE)</f>
        <v>M</v>
      </c>
      <c r="K1292" s="15" t="str">
        <f>VLOOKUP(A1292,sinap!$A$2:$R$9000,3,FALSE)</f>
        <v>TORO</v>
      </c>
      <c r="L1292" s="15" t="str">
        <f>VLOOKUP(A1292,sinap!$A$2:$R$9000,4,FALSE)</f>
        <v>ANGUS NEGRO</v>
      </c>
      <c r="M1292" s="15" t="str">
        <f>VLOOKUP(A1292,sinap!$A$2:$R$9000,5,FALSE)</f>
        <v>3 años 4 meses</v>
      </c>
      <c r="N1292" s="15" t="str">
        <f>VLOOKUP(A1292,sinap!$A$2:$R$9000,6,FALSE)</f>
        <v>04-09-2022</v>
      </c>
      <c r="O1292" s="15" t="str">
        <f>VLOOKUP(A1292,sinap!$A$2:$R$9000,7,FALSE)</f>
        <v>Vivo</v>
      </c>
      <c r="P1292" s="15" t="str">
        <f>VLOOKUP(A1292,sinap!$A$2:$R$9000,8,FALSE)</f>
        <v>11.1.01.1241</v>
      </c>
      <c r="Q1292" s="15" t="str">
        <f>VLOOKUP(A1292,sinap!$A$2:$R$9000,12,FALSE)</f>
        <v>Sin Movimiento</v>
      </c>
      <c r="R1292" s="15" t="str">
        <f>VLOOKUP(A1292,sinap!$A$2:$R$9000,16,FALSE)</f>
        <v>11.1.01.1241</v>
      </c>
      <c r="S1292" s="15" t="str">
        <f>VLOOKUP(A1292,sinap!$A$2:$Y$9000,20,FALSE)</f>
        <v>SI</v>
      </c>
      <c r="T1292" s="16">
        <v>44883</v>
      </c>
    </row>
    <row r="1293" spans="1:20" hidden="1" x14ac:dyDescent="0.25">
      <c r="A1293" s="15">
        <v>22350204</v>
      </c>
      <c r="H1293" s="16">
        <v>45623</v>
      </c>
      <c r="I1293" s="16">
        <v>45848</v>
      </c>
      <c r="J1293" s="15" t="str">
        <f>VLOOKUP(A1293,sinap!$A$2:$R$9000,2,FALSE)</f>
        <v>H</v>
      </c>
      <c r="K1293" s="15" t="str">
        <f>VLOOKUP(A1293,sinap!$A$2:$R$9000,3,FALSE)</f>
        <v>VACA</v>
      </c>
      <c r="L1293" s="15" t="str">
        <f>VLOOKUP(A1293,sinap!$A$2:$R$9000,4,FALSE)</f>
        <v>ANGUS NEGRO</v>
      </c>
      <c r="M1293" s="15" t="str">
        <f>VLOOKUP(A1293,sinap!$A$2:$R$9000,5,FALSE)</f>
        <v>3 años 2 meses</v>
      </c>
      <c r="N1293" s="15" t="str">
        <f>VLOOKUP(A1293,sinap!$A$2:$R$9000,6,FALSE)</f>
        <v>20-10-2022</v>
      </c>
      <c r="O1293" s="15" t="str">
        <f>VLOOKUP(A1293,sinap!$A$2:$R$9000,7,FALSE)</f>
        <v>Vivo</v>
      </c>
      <c r="P1293" s="15" t="str">
        <f>VLOOKUP(A1293,sinap!$A$2:$R$9000,8,FALSE)</f>
        <v>11.1.01.0791</v>
      </c>
      <c r="Q1293" s="15" t="str">
        <f>VLOOKUP(A1293,sinap!$A$2:$R$9000,12,FALSE)</f>
        <v>11.1.01.0893</v>
      </c>
      <c r="R1293" s="15" t="str">
        <f>VLOOKUP(A1293,sinap!$A$2:$R$9000,16,FALSE)</f>
        <v>11.1.01.1241</v>
      </c>
      <c r="S1293" s="15" t="str">
        <f>VLOOKUP(A1293,sinap!$A$2:$Y$9000,20,FALSE)</f>
        <v>SI</v>
      </c>
      <c r="T1293" s="16">
        <v>44883</v>
      </c>
    </row>
    <row r="1294" spans="1:20" hidden="1" x14ac:dyDescent="0.25">
      <c r="A1294" s="15">
        <v>22350215</v>
      </c>
      <c r="H1294" s="16">
        <v>45623</v>
      </c>
      <c r="I1294" s="16">
        <v>45848</v>
      </c>
      <c r="J1294" s="15" t="str">
        <f>VLOOKUP(A1294,sinap!$A$2:$R$9000,2,FALSE)</f>
        <v>H</v>
      </c>
      <c r="K1294" s="15" t="str">
        <f>VLOOKUP(A1294,sinap!$A$2:$R$9000,3,FALSE)</f>
        <v>VACA</v>
      </c>
      <c r="L1294" s="15" t="str">
        <f>VLOOKUP(A1294,sinap!$A$2:$R$9000,4,FALSE)</f>
        <v>ANGUS NEGRO</v>
      </c>
      <c r="M1294" s="15" t="str">
        <f>VLOOKUP(A1294,sinap!$A$2:$R$9000,5,FALSE)</f>
        <v>3 años 3 meses</v>
      </c>
      <c r="N1294" s="15" t="str">
        <f>VLOOKUP(A1294,sinap!$A$2:$R$9000,6,FALSE)</f>
        <v>30-09-2022</v>
      </c>
      <c r="O1294" s="15" t="str">
        <f>VLOOKUP(A1294,sinap!$A$2:$R$9000,7,FALSE)</f>
        <v>Vivo</v>
      </c>
      <c r="P1294" s="15" t="str">
        <f>VLOOKUP(A1294,sinap!$A$2:$R$9000,8,FALSE)</f>
        <v>11.1.01.0791</v>
      </c>
      <c r="Q1294" s="15" t="str">
        <f>VLOOKUP(A1294,sinap!$A$2:$R$9000,12,FALSE)</f>
        <v>11.1.01.0893</v>
      </c>
      <c r="R1294" s="15" t="str">
        <f>VLOOKUP(A1294,sinap!$A$2:$R$9000,16,FALSE)</f>
        <v>11.1.01.1241</v>
      </c>
      <c r="S1294" s="15" t="str">
        <f>VLOOKUP(A1294,sinap!$A$2:$Y$9000,20,FALSE)</f>
        <v>SI</v>
      </c>
      <c r="T1294" s="16">
        <v>44883</v>
      </c>
    </row>
    <row r="1295" spans="1:20" hidden="1" x14ac:dyDescent="0.25">
      <c r="A1295" s="15">
        <v>22350219</v>
      </c>
      <c r="H1295" s="16">
        <v>45623</v>
      </c>
      <c r="J1295" s="15" t="str">
        <f>VLOOKUP(A1295,sinap!$A$2:$R$9000,2,FALSE)</f>
        <v>H</v>
      </c>
      <c r="K1295" s="15" t="str">
        <f>VLOOKUP(A1295,sinap!$A$2:$R$9000,3,FALSE)</f>
        <v>VACA</v>
      </c>
      <c r="L1295" s="15" t="str">
        <f>VLOOKUP(A1295,sinap!$A$2:$R$9000,4,FALSE)</f>
        <v>ANGUS NEGRO</v>
      </c>
      <c r="M1295" s="15" t="str">
        <f>VLOOKUP(A1295,sinap!$A$2:$R$9000,5,FALSE)</f>
        <v>3 años 3 meses</v>
      </c>
      <c r="N1295" s="15" t="str">
        <f>VLOOKUP(A1295,sinap!$A$2:$R$9000,6,FALSE)</f>
        <v>10-10-2022</v>
      </c>
      <c r="O1295" s="15" t="str">
        <f>VLOOKUP(A1295,sinap!$A$2:$R$9000,7,FALSE)</f>
        <v>Vivo</v>
      </c>
      <c r="P1295" s="15" t="str">
        <f>VLOOKUP(A1295,sinap!$A$2:$R$9000,8,FALSE)</f>
        <v>11.2.01.0038</v>
      </c>
      <c r="Q1295" s="15" t="str">
        <f>VLOOKUP(A1295,sinap!$A$2:$R$9000,12,FALSE)</f>
        <v>11.1.01.0893</v>
      </c>
      <c r="R1295" s="15" t="str">
        <f>VLOOKUP(A1295,sinap!$A$2:$R$9000,16,FALSE)</f>
        <v>11.1.01.1241</v>
      </c>
      <c r="S1295" s="15" t="str">
        <f>VLOOKUP(A1295,sinap!$A$2:$Y$9000,20,FALSE)</f>
        <v>SI</v>
      </c>
      <c r="T1295" s="16">
        <v>44883</v>
      </c>
    </row>
    <row r="1296" spans="1:20" hidden="1" x14ac:dyDescent="0.25">
      <c r="A1296" s="15">
        <v>22350225</v>
      </c>
      <c r="H1296" s="16">
        <v>45623</v>
      </c>
      <c r="I1296" s="16">
        <v>45848</v>
      </c>
      <c r="J1296" s="15" t="str">
        <f>VLOOKUP(A1296,sinap!$A$2:$R$9000,2,FALSE)</f>
        <v>H</v>
      </c>
      <c r="K1296" s="15" t="str">
        <f>VLOOKUP(A1296,sinap!$A$2:$R$9000,3,FALSE)</f>
        <v>VACA</v>
      </c>
      <c r="L1296" s="15" t="str">
        <f>VLOOKUP(A1296,sinap!$A$2:$R$9000,4,FALSE)</f>
        <v>ANGUS NEGRO</v>
      </c>
      <c r="M1296" s="15" t="str">
        <f>VLOOKUP(A1296,sinap!$A$2:$R$9000,5,FALSE)</f>
        <v>3 años 3 meses</v>
      </c>
      <c r="N1296" s="15" t="str">
        <f>VLOOKUP(A1296,sinap!$A$2:$R$9000,6,FALSE)</f>
        <v>05-10-2022</v>
      </c>
      <c r="O1296" s="15" t="str">
        <f>VLOOKUP(A1296,sinap!$A$2:$R$9000,7,FALSE)</f>
        <v>Vivo</v>
      </c>
      <c r="P1296" s="15" t="str">
        <f>VLOOKUP(A1296,sinap!$A$2:$R$9000,8,FALSE)</f>
        <v>11.1.01.0791</v>
      </c>
      <c r="Q1296" s="15" t="str">
        <f>VLOOKUP(A1296,sinap!$A$2:$R$9000,12,FALSE)</f>
        <v>11.1.01.0893</v>
      </c>
      <c r="R1296" s="15" t="str">
        <f>VLOOKUP(A1296,sinap!$A$2:$R$9000,16,FALSE)</f>
        <v>11.1.01.1241</v>
      </c>
      <c r="S1296" s="15" t="str">
        <f>VLOOKUP(A1296,sinap!$A$2:$Y$9000,20,FALSE)</f>
        <v>SI</v>
      </c>
      <c r="T1296" s="16">
        <v>44883</v>
      </c>
    </row>
    <row r="1297" spans="1:20" hidden="1" x14ac:dyDescent="0.25">
      <c r="A1297" s="15">
        <v>22350228</v>
      </c>
      <c r="H1297" s="16">
        <v>45623</v>
      </c>
      <c r="I1297" s="16">
        <v>45848</v>
      </c>
      <c r="J1297" s="15" t="str">
        <f>VLOOKUP(A1297,sinap!$A$2:$R$9000,2,FALSE)</f>
        <v>H</v>
      </c>
      <c r="K1297" s="15" t="str">
        <f>VLOOKUP(A1297,sinap!$A$2:$R$9000,3,FALSE)</f>
        <v>VACA</v>
      </c>
      <c r="L1297" s="15" t="str">
        <f>VLOOKUP(A1297,sinap!$A$2:$R$9000,4,FALSE)</f>
        <v>ANGUS NEGRO</v>
      </c>
      <c r="M1297" s="15" t="str">
        <f>VLOOKUP(A1297,sinap!$A$2:$R$9000,5,FALSE)</f>
        <v>3 años 2 meses</v>
      </c>
      <c r="N1297" s="15" t="str">
        <f>VLOOKUP(A1297,sinap!$A$2:$R$9000,6,FALSE)</f>
        <v>20-10-2022</v>
      </c>
      <c r="O1297" s="15" t="str">
        <f>VLOOKUP(A1297,sinap!$A$2:$R$9000,7,FALSE)</f>
        <v>Vivo</v>
      </c>
      <c r="P1297" s="15" t="str">
        <f>VLOOKUP(A1297,sinap!$A$2:$R$9000,8,FALSE)</f>
        <v>11.1.01.0791</v>
      </c>
      <c r="Q1297" s="15" t="str">
        <f>VLOOKUP(A1297,sinap!$A$2:$R$9000,12,FALSE)</f>
        <v>11.1.01.0893</v>
      </c>
      <c r="R1297" s="15" t="str">
        <f>VLOOKUP(A1297,sinap!$A$2:$R$9000,16,FALSE)</f>
        <v>11.1.01.1241</v>
      </c>
      <c r="S1297" s="15" t="str">
        <f>VLOOKUP(A1297,sinap!$A$2:$Y$9000,20,FALSE)</f>
        <v>SI</v>
      </c>
      <c r="T1297" s="16">
        <v>44883</v>
      </c>
    </row>
    <row r="1298" spans="1:20" hidden="1" x14ac:dyDescent="0.25">
      <c r="A1298" s="15">
        <v>22350230</v>
      </c>
      <c r="H1298" s="16">
        <v>45623</v>
      </c>
      <c r="I1298" s="16">
        <v>45848</v>
      </c>
      <c r="J1298" s="15" t="str">
        <f>VLOOKUP(A1298,sinap!$A$2:$R$9000,2,FALSE)</f>
        <v>H</v>
      </c>
      <c r="K1298" s="15" t="str">
        <f>VLOOKUP(A1298,sinap!$A$2:$R$9000,3,FALSE)</f>
        <v>VACA</v>
      </c>
      <c r="L1298" s="15" t="str">
        <f>VLOOKUP(A1298,sinap!$A$2:$R$9000,4,FALSE)</f>
        <v>ANGUS NEGRO</v>
      </c>
      <c r="M1298" s="15" t="str">
        <f>VLOOKUP(A1298,sinap!$A$2:$R$9000,5,FALSE)</f>
        <v>3 años 3 meses</v>
      </c>
      <c r="N1298" s="15" t="str">
        <f>VLOOKUP(A1298,sinap!$A$2:$R$9000,6,FALSE)</f>
        <v>05-10-2022</v>
      </c>
      <c r="O1298" s="15" t="str">
        <f>VLOOKUP(A1298,sinap!$A$2:$R$9000,7,FALSE)</f>
        <v>Vivo</v>
      </c>
      <c r="P1298" s="15" t="str">
        <f>VLOOKUP(A1298,sinap!$A$2:$R$9000,8,FALSE)</f>
        <v>11.1.01.0791</v>
      </c>
      <c r="Q1298" s="15" t="str">
        <f>VLOOKUP(A1298,sinap!$A$2:$R$9000,12,FALSE)</f>
        <v>11.1.01.0893</v>
      </c>
      <c r="R1298" s="15" t="str">
        <f>VLOOKUP(A1298,sinap!$A$2:$R$9000,16,FALSE)</f>
        <v>11.1.01.1241</v>
      </c>
      <c r="S1298" s="15" t="str">
        <f>VLOOKUP(A1298,sinap!$A$2:$Y$9000,20,FALSE)</f>
        <v>SI</v>
      </c>
      <c r="T1298" s="16">
        <v>44883</v>
      </c>
    </row>
    <row r="1299" spans="1:20" hidden="1" x14ac:dyDescent="0.25">
      <c r="A1299" s="15">
        <v>22350232</v>
      </c>
      <c r="H1299" s="16">
        <v>45623</v>
      </c>
      <c r="I1299" s="16">
        <v>45848</v>
      </c>
      <c r="J1299" s="15" t="str">
        <f>VLOOKUP(A1299,sinap!$A$2:$R$9000,2,FALSE)</f>
        <v>H</v>
      </c>
      <c r="K1299" s="15" t="str">
        <f>VLOOKUP(A1299,sinap!$A$2:$R$9000,3,FALSE)</f>
        <v>VACA</v>
      </c>
      <c r="L1299" s="15" t="str">
        <f>VLOOKUP(A1299,sinap!$A$2:$R$9000,4,FALSE)</f>
        <v>ANGUS NEGRO</v>
      </c>
      <c r="M1299" s="15" t="str">
        <f>VLOOKUP(A1299,sinap!$A$2:$R$9000,5,FALSE)</f>
        <v>3 años 3 meses</v>
      </c>
      <c r="N1299" s="15" t="str">
        <f>VLOOKUP(A1299,sinap!$A$2:$R$9000,6,FALSE)</f>
        <v>05-10-2022</v>
      </c>
      <c r="O1299" s="15" t="str">
        <f>VLOOKUP(A1299,sinap!$A$2:$R$9000,7,FALSE)</f>
        <v>Vivo</v>
      </c>
      <c r="P1299" s="15" t="str">
        <f>VLOOKUP(A1299,sinap!$A$2:$R$9000,8,FALSE)</f>
        <v>11.1.01.0893</v>
      </c>
      <c r="Q1299" s="15" t="str">
        <f>VLOOKUP(A1299,sinap!$A$2:$R$9000,12,FALSE)</f>
        <v>11.1.01.1022</v>
      </c>
      <c r="R1299" s="15" t="str">
        <f>VLOOKUP(A1299,sinap!$A$2:$R$9000,16,FALSE)</f>
        <v>11.1.01.1241</v>
      </c>
      <c r="S1299" s="15" t="str">
        <f>VLOOKUP(A1299,sinap!$A$2:$Y$9000,20,FALSE)</f>
        <v>SI</v>
      </c>
      <c r="T1299" s="16">
        <v>44883</v>
      </c>
    </row>
    <row r="1300" spans="1:20" hidden="1" x14ac:dyDescent="0.25">
      <c r="A1300" s="15">
        <v>22350233</v>
      </c>
      <c r="H1300" s="16">
        <v>45623</v>
      </c>
      <c r="I1300" s="16">
        <v>45848</v>
      </c>
      <c r="J1300" s="15" t="str">
        <f>VLOOKUP(A1300,sinap!$A$2:$R$9000,2,FALSE)</f>
        <v>H</v>
      </c>
      <c r="K1300" s="15" t="str">
        <f>VLOOKUP(A1300,sinap!$A$2:$R$9000,3,FALSE)</f>
        <v>VACA</v>
      </c>
      <c r="L1300" s="15" t="str">
        <f>VLOOKUP(A1300,sinap!$A$2:$R$9000,4,FALSE)</f>
        <v>ANGUS NEGRO</v>
      </c>
      <c r="M1300" s="15" t="str">
        <f>VLOOKUP(A1300,sinap!$A$2:$R$9000,5,FALSE)</f>
        <v>3 años 2 meses</v>
      </c>
      <c r="N1300" s="15" t="str">
        <f>VLOOKUP(A1300,sinap!$A$2:$R$9000,6,FALSE)</f>
        <v>25-10-2022</v>
      </c>
      <c r="O1300" s="15" t="str">
        <f>VLOOKUP(A1300,sinap!$A$2:$R$9000,7,FALSE)</f>
        <v>Vivo</v>
      </c>
      <c r="P1300" s="15" t="str">
        <f>VLOOKUP(A1300,sinap!$A$2:$R$9000,8,FALSE)</f>
        <v>11.1.01.0791</v>
      </c>
      <c r="Q1300" s="15" t="str">
        <f>VLOOKUP(A1300,sinap!$A$2:$R$9000,12,FALSE)</f>
        <v>11.1.01.0893</v>
      </c>
      <c r="R1300" s="15" t="str">
        <f>VLOOKUP(A1300,sinap!$A$2:$R$9000,16,FALSE)</f>
        <v>11.1.01.1241</v>
      </c>
      <c r="S1300" s="15" t="str">
        <f>VLOOKUP(A1300,sinap!$A$2:$Y$9000,20,FALSE)</f>
        <v>SI</v>
      </c>
      <c r="T1300" s="16">
        <v>44883</v>
      </c>
    </row>
    <row r="1301" spans="1:20" hidden="1" x14ac:dyDescent="0.25">
      <c r="A1301" s="15">
        <v>22350242</v>
      </c>
      <c r="J1301" s="15" t="str">
        <f>VLOOKUP(A1301,sinap!$A$2:$R$9000,2,FALSE)</f>
        <v>M</v>
      </c>
      <c r="K1301" s="15" t="str">
        <f>VLOOKUP(A1301,sinap!$A$2:$R$9000,3,FALSE)</f>
        <v>TORO</v>
      </c>
      <c r="L1301" s="15" t="str">
        <f>VLOOKUP(A1301,sinap!$A$2:$R$9000,4,FALSE)</f>
        <v>ANGUS ROJO</v>
      </c>
      <c r="M1301" s="15" t="str">
        <f>VLOOKUP(A1301,sinap!$A$2:$R$9000,5,FALSE)</f>
        <v>3 años 2 meses</v>
      </c>
      <c r="N1301" s="15" t="str">
        <f>VLOOKUP(A1301,sinap!$A$2:$R$9000,6,FALSE)</f>
        <v>20-10-2022</v>
      </c>
      <c r="O1301" s="15" t="str">
        <f>VLOOKUP(A1301,sinap!$A$2:$R$9000,7,FALSE)</f>
        <v>Vivo</v>
      </c>
      <c r="P1301" s="15" t="str">
        <f>VLOOKUP(A1301,sinap!$A$2:$R$9000,8,FALSE)</f>
        <v>11.1.01.1241</v>
      </c>
      <c r="Q1301" s="15" t="str">
        <f>VLOOKUP(A1301,sinap!$A$2:$R$9000,12,FALSE)</f>
        <v>Sin Movimiento</v>
      </c>
      <c r="R1301" s="15" t="str">
        <f>VLOOKUP(A1301,sinap!$A$2:$R$9000,16,FALSE)</f>
        <v>11.1.01.1241</v>
      </c>
      <c r="S1301" s="15" t="str">
        <f>VLOOKUP(A1301,sinap!$A$2:$Y$9000,20,FALSE)</f>
        <v>SI</v>
      </c>
      <c r="T1301" s="16">
        <v>44887</v>
      </c>
    </row>
    <row r="1302" spans="1:20" hidden="1" x14ac:dyDescent="0.25">
      <c r="A1302" s="15">
        <v>22350253</v>
      </c>
      <c r="H1302" s="16">
        <v>45623</v>
      </c>
      <c r="I1302" s="16">
        <v>45848</v>
      </c>
      <c r="J1302" s="15" t="str">
        <f>VLOOKUP(A1302,sinap!$A$2:$R$9000,2,FALSE)</f>
        <v>H</v>
      </c>
      <c r="K1302" s="15" t="str">
        <f>VLOOKUP(A1302,sinap!$A$2:$R$9000,3,FALSE)</f>
        <v>VACA</v>
      </c>
      <c r="L1302" s="15" t="str">
        <f>VLOOKUP(A1302,sinap!$A$2:$R$9000,4,FALSE)</f>
        <v>ANGUS NEGRO</v>
      </c>
      <c r="M1302" s="15" t="str">
        <f>VLOOKUP(A1302,sinap!$A$2:$R$9000,5,FALSE)</f>
        <v>3 años 3 meses</v>
      </c>
      <c r="N1302" s="15" t="str">
        <f>VLOOKUP(A1302,sinap!$A$2:$R$9000,6,FALSE)</f>
        <v>05-10-2022</v>
      </c>
      <c r="O1302" s="15" t="str">
        <f>VLOOKUP(A1302,sinap!$A$2:$R$9000,7,FALSE)</f>
        <v>Vivo</v>
      </c>
      <c r="P1302" s="15" t="str">
        <f>VLOOKUP(A1302,sinap!$A$2:$R$9000,8,FALSE)</f>
        <v>11.1.01.0791</v>
      </c>
      <c r="Q1302" s="15" t="str">
        <f>VLOOKUP(A1302,sinap!$A$2:$R$9000,12,FALSE)</f>
        <v>11.1.01.0893</v>
      </c>
      <c r="R1302" s="15" t="str">
        <f>VLOOKUP(A1302,sinap!$A$2:$R$9000,16,FALSE)</f>
        <v>11.1.01.1241</v>
      </c>
      <c r="S1302" s="15" t="str">
        <f>VLOOKUP(A1302,sinap!$A$2:$Y$9000,20,FALSE)</f>
        <v>SI</v>
      </c>
      <c r="T1302" s="16">
        <v>44893</v>
      </c>
    </row>
    <row r="1303" spans="1:20" hidden="1" x14ac:dyDescent="0.25">
      <c r="A1303" s="15">
        <v>22350266</v>
      </c>
      <c r="J1303" s="15" t="str">
        <f>VLOOKUP(A1303,sinap!$A$2:$R$9000,2,FALSE)</f>
        <v>H</v>
      </c>
      <c r="K1303" s="15" t="str">
        <f>VLOOKUP(A1303,sinap!$A$2:$R$9000,3,FALSE)</f>
        <v>VACA</v>
      </c>
      <c r="L1303" s="15" t="str">
        <f>VLOOKUP(A1303,sinap!$A$2:$R$9000,4,FALSE)</f>
        <v>ANGUS ROJO</v>
      </c>
      <c r="M1303" s="15" t="str">
        <f>VLOOKUP(A1303,sinap!$A$2:$R$9000,5,FALSE)</f>
        <v>3 años 2 meses</v>
      </c>
      <c r="N1303" s="15" t="str">
        <f>VLOOKUP(A1303,sinap!$A$2:$R$9000,6,FALSE)</f>
        <v>05-11-2022</v>
      </c>
      <c r="O1303" s="15" t="str">
        <f>VLOOKUP(A1303,sinap!$A$2:$R$9000,7,FALSE)</f>
        <v>Vivo</v>
      </c>
      <c r="P1303" s="15" t="str">
        <f>VLOOKUP(A1303,sinap!$A$2:$R$9000,8,FALSE)</f>
        <v>11.1.01.1241</v>
      </c>
      <c r="Q1303" s="15" t="str">
        <f>VLOOKUP(A1303,sinap!$A$2:$R$9000,12,FALSE)</f>
        <v>Sin Movimiento</v>
      </c>
      <c r="R1303" s="15" t="str">
        <f>VLOOKUP(A1303,sinap!$A$2:$R$9000,16,FALSE)</f>
        <v>11.1.01.1241</v>
      </c>
      <c r="S1303" s="15" t="str">
        <f>VLOOKUP(A1303,sinap!$A$2:$Y$9000,20,FALSE)</f>
        <v>SI</v>
      </c>
      <c r="T1303" s="16">
        <v>44912</v>
      </c>
    </row>
    <row r="1304" spans="1:20" hidden="1" x14ac:dyDescent="0.25">
      <c r="A1304" s="15">
        <v>22350269</v>
      </c>
      <c r="H1304" s="16">
        <v>45623</v>
      </c>
      <c r="I1304" s="16">
        <v>45848</v>
      </c>
      <c r="J1304" s="15" t="str">
        <f>VLOOKUP(A1304,sinap!$A$2:$R$9000,2,FALSE)</f>
        <v>H</v>
      </c>
      <c r="K1304" s="15" t="str">
        <f>VLOOKUP(A1304,sinap!$A$2:$R$9000,3,FALSE)</f>
        <v>VACA</v>
      </c>
      <c r="L1304" s="15" t="str">
        <f>VLOOKUP(A1304,sinap!$A$2:$R$9000,4,FALSE)</f>
        <v>ANGUS NEGRO</v>
      </c>
      <c r="M1304" s="15" t="str">
        <f>VLOOKUP(A1304,sinap!$A$2:$R$9000,5,FALSE)</f>
        <v>3 años 2 meses</v>
      </c>
      <c r="N1304" s="15" t="str">
        <f>VLOOKUP(A1304,sinap!$A$2:$R$9000,6,FALSE)</f>
        <v>05-11-2022</v>
      </c>
      <c r="O1304" s="15" t="str">
        <f>VLOOKUP(A1304,sinap!$A$2:$R$9000,7,FALSE)</f>
        <v>Vivo</v>
      </c>
      <c r="P1304" s="15" t="str">
        <f>VLOOKUP(A1304,sinap!$A$2:$R$9000,8,FALSE)</f>
        <v>11.1.01.1022</v>
      </c>
      <c r="Q1304" s="15" t="str">
        <f>VLOOKUP(A1304,sinap!$A$2:$R$9000,12,FALSE)</f>
        <v>11.1.01.0893</v>
      </c>
      <c r="R1304" s="15" t="str">
        <f>VLOOKUP(A1304,sinap!$A$2:$R$9000,16,FALSE)</f>
        <v>11.1.01.1241</v>
      </c>
      <c r="S1304" s="15" t="str">
        <f>VLOOKUP(A1304,sinap!$A$2:$Y$9000,20,FALSE)</f>
        <v>SI</v>
      </c>
      <c r="T1304" s="16">
        <v>44912</v>
      </c>
    </row>
    <row r="1305" spans="1:20" hidden="1" x14ac:dyDescent="0.25">
      <c r="A1305" s="15">
        <v>22350289</v>
      </c>
      <c r="H1305" s="16">
        <v>45623</v>
      </c>
      <c r="I1305" s="16">
        <v>45848</v>
      </c>
      <c r="J1305" s="15" t="str">
        <f>VLOOKUP(A1305,sinap!$A$2:$R$9000,2,FALSE)</f>
        <v>H</v>
      </c>
      <c r="K1305" s="15" t="str">
        <f>VLOOKUP(A1305,sinap!$A$2:$R$9000,3,FALSE)</f>
        <v>VACA</v>
      </c>
      <c r="L1305" s="15" t="str">
        <f>VLOOKUP(A1305,sinap!$A$2:$R$9000,4,FALSE)</f>
        <v>ANGUS NEGRO</v>
      </c>
      <c r="M1305" s="15" t="str">
        <f>VLOOKUP(A1305,sinap!$A$2:$R$9000,5,FALSE)</f>
        <v>3 años 2 meses</v>
      </c>
      <c r="N1305" s="15" t="str">
        <f>VLOOKUP(A1305,sinap!$A$2:$R$9000,6,FALSE)</f>
        <v>15-11-2022</v>
      </c>
      <c r="O1305" s="15" t="str">
        <f>VLOOKUP(A1305,sinap!$A$2:$R$9000,7,FALSE)</f>
        <v>Vivo</v>
      </c>
      <c r="P1305" s="15" t="str">
        <f>VLOOKUP(A1305,sinap!$A$2:$R$9000,8,FALSE)</f>
        <v>11.1.01.0791</v>
      </c>
      <c r="Q1305" s="15" t="str">
        <f>VLOOKUP(A1305,sinap!$A$2:$R$9000,12,FALSE)</f>
        <v>11.1.01.0893</v>
      </c>
      <c r="R1305" s="15" t="str">
        <f>VLOOKUP(A1305,sinap!$A$2:$R$9000,16,FALSE)</f>
        <v>11.1.01.1241</v>
      </c>
      <c r="S1305" s="15" t="str">
        <f>VLOOKUP(A1305,sinap!$A$2:$Y$9000,20,FALSE)</f>
        <v>SI</v>
      </c>
      <c r="T1305" s="16">
        <v>44916</v>
      </c>
    </row>
    <row r="1306" spans="1:20" hidden="1" x14ac:dyDescent="0.25">
      <c r="A1306" s="15">
        <v>22350290</v>
      </c>
      <c r="H1306" s="16">
        <v>45623</v>
      </c>
      <c r="I1306" s="16">
        <v>45848</v>
      </c>
      <c r="J1306" s="15" t="str">
        <f>VLOOKUP(A1306,sinap!$A$2:$R$9000,2,FALSE)</f>
        <v>H</v>
      </c>
      <c r="K1306" s="15" t="str">
        <f>VLOOKUP(A1306,sinap!$A$2:$R$9000,3,FALSE)</f>
        <v>VACA</v>
      </c>
      <c r="L1306" s="15" t="str">
        <f>VLOOKUP(A1306,sinap!$A$2:$R$9000,4,FALSE)</f>
        <v>ANGUS ROJO</v>
      </c>
      <c r="M1306" s="15" t="str">
        <f>VLOOKUP(A1306,sinap!$A$2:$R$9000,5,FALSE)</f>
        <v>3 años 3 meses</v>
      </c>
      <c r="N1306" s="15" t="str">
        <f>VLOOKUP(A1306,sinap!$A$2:$R$9000,6,FALSE)</f>
        <v>10-10-2022</v>
      </c>
      <c r="O1306" s="15" t="str">
        <f>VLOOKUP(A1306,sinap!$A$2:$R$9000,7,FALSE)</f>
        <v>Vivo</v>
      </c>
      <c r="P1306" s="15" t="str">
        <f>VLOOKUP(A1306,sinap!$A$2:$R$9000,8,FALSE)</f>
        <v>11.1.01.0791</v>
      </c>
      <c r="Q1306" s="15" t="str">
        <f>VLOOKUP(A1306,sinap!$A$2:$R$9000,12,FALSE)</f>
        <v>11.1.01.0893</v>
      </c>
      <c r="R1306" s="15" t="str">
        <f>VLOOKUP(A1306,sinap!$A$2:$R$9000,16,FALSE)</f>
        <v>11.1.01.0893</v>
      </c>
      <c r="S1306" s="15" t="str">
        <f>VLOOKUP(A1306,sinap!$A$2:$Y$9000,20,FALSE)</f>
        <v>SI</v>
      </c>
      <c r="T1306" s="16">
        <v>44916</v>
      </c>
    </row>
    <row r="1307" spans="1:20" hidden="1" x14ac:dyDescent="0.25">
      <c r="A1307" s="15">
        <v>22350291</v>
      </c>
      <c r="J1307" s="15" t="str">
        <f>VLOOKUP(A1307,sinap!$A$2:$R$9000,2,FALSE)</f>
        <v>H</v>
      </c>
      <c r="K1307" s="15" t="str">
        <f>VLOOKUP(A1307,sinap!$A$2:$R$9000,3,FALSE)</f>
        <v>VACA</v>
      </c>
      <c r="L1307" s="15" t="str">
        <f>VLOOKUP(A1307,sinap!$A$2:$R$9000,4,FALSE)</f>
        <v>ANGUS NEGRO</v>
      </c>
      <c r="M1307" s="15" t="str">
        <f>VLOOKUP(A1307,sinap!$A$2:$R$9000,5,FALSE)</f>
        <v>3 años 3 meses</v>
      </c>
      <c r="N1307" s="15" t="str">
        <f>VLOOKUP(A1307,sinap!$A$2:$R$9000,6,FALSE)</f>
        <v>10-10-2022</v>
      </c>
      <c r="O1307" s="15" t="str">
        <f>VLOOKUP(A1307,sinap!$A$2:$R$9000,7,FALSE)</f>
        <v>Vivo</v>
      </c>
      <c r="P1307" s="15" t="str">
        <f>VLOOKUP(A1307,sinap!$A$2:$R$9000,8,FALSE)</f>
        <v>11.1.01.2304</v>
      </c>
      <c r="Q1307" s="15" t="str">
        <f>VLOOKUP(A1307,sinap!$A$2:$R$9000,12,FALSE)</f>
        <v>11.1.01.0941</v>
      </c>
      <c r="R1307" s="15" t="str">
        <f>VLOOKUP(A1307,sinap!$A$2:$R$9000,16,FALSE)</f>
        <v>11.1.01.0893</v>
      </c>
      <c r="S1307" s="15" t="str">
        <f>VLOOKUP(A1307,sinap!$A$2:$Y$9000,20,FALSE)</f>
        <v>SI</v>
      </c>
      <c r="T1307" s="16">
        <v>44916</v>
      </c>
    </row>
    <row r="1308" spans="1:20" hidden="1" x14ac:dyDescent="0.25">
      <c r="A1308" s="15">
        <v>22350294</v>
      </c>
      <c r="H1308" s="16">
        <v>45623</v>
      </c>
      <c r="I1308" s="16">
        <v>45848</v>
      </c>
      <c r="J1308" s="15" t="str">
        <f>VLOOKUP(A1308,sinap!$A$2:$R$9000,2,FALSE)</f>
        <v>H</v>
      </c>
      <c r="K1308" s="15" t="str">
        <f>VLOOKUP(A1308,sinap!$A$2:$R$9000,3,FALSE)</f>
        <v>VACA</v>
      </c>
      <c r="L1308" s="15" t="str">
        <f>VLOOKUP(A1308,sinap!$A$2:$R$9000,4,FALSE)</f>
        <v>ANGUS NEGRO</v>
      </c>
      <c r="M1308" s="15" t="str">
        <f>VLOOKUP(A1308,sinap!$A$2:$R$9000,5,FALSE)</f>
        <v>3 años 3 meses</v>
      </c>
      <c r="N1308" s="15" t="str">
        <f>VLOOKUP(A1308,sinap!$A$2:$R$9000,6,FALSE)</f>
        <v>10-10-2022</v>
      </c>
      <c r="O1308" s="15" t="str">
        <f>VLOOKUP(A1308,sinap!$A$2:$R$9000,7,FALSE)</f>
        <v>Vivo</v>
      </c>
      <c r="P1308" s="15" t="str">
        <f>VLOOKUP(A1308,sinap!$A$2:$R$9000,8,FALSE)</f>
        <v>11.1.01.0791</v>
      </c>
      <c r="Q1308" s="15" t="str">
        <f>VLOOKUP(A1308,sinap!$A$2:$R$9000,12,FALSE)</f>
        <v>11.1.01.0893</v>
      </c>
      <c r="R1308" s="15" t="str">
        <f>VLOOKUP(A1308,sinap!$A$2:$R$9000,16,FALSE)</f>
        <v>11.1.01.0893</v>
      </c>
      <c r="S1308" s="15" t="str">
        <f>VLOOKUP(A1308,sinap!$A$2:$Y$9000,20,FALSE)</f>
        <v>SI</v>
      </c>
      <c r="T1308" s="16">
        <v>44916</v>
      </c>
    </row>
    <row r="1309" spans="1:20" hidden="1" x14ac:dyDescent="0.25">
      <c r="A1309" s="15">
        <v>22350297</v>
      </c>
      <c r="H1309" s="16">
        <v>45623</v>
      </c>
      <c r="I1309" s="16">
        <v>45848</v>
      </c>
      <c r="J1309" s="15" t="str">
        <f>VLOOKUP(A1309,sinap!$A$2:$R$9000,2,FALSE)</f>
        <v>H</v>
      </c>
      <c r="K1309" s="15" t="str">
        <f>VLOOKUP(A1309,sinap!$A$2:$R$9000,3,FALSE)</f>
        <v>VACA</v>
      </c>
      <c r="L1309" s="15" t="str">
        <f>VLOOKUP(A1309,sinap!$A$2:$R$9000,4,FALSE)</f>
        <v>ANGUS NEGRO</v>
      </c>
      <c r="M1309" s="15" t="str">
        <f>VLOOKUP(A1309,sinap!$A$2:$R$9000,5,FALSE)</f>
        <v>3 años 3 meses</v>
      </c>
      <c r="N1309" s="15" t="str">
        <f>VLOOKUP(A1309,sinap!$A$2:$R$9000,6,FALSE)</f>
        <v>10-10-2022</v>
      </c>
      <c r="O1309" s="15" t="str">
        <f>VLOOKUP(A1309,sinap!$A$2:$R$9000,7,FALSE)</f>
        <v>Vivo</v>
      </c>
      <c r="P1309" s="15" t="str">
        <f>VLOOKUP(A1309,sinap!$A$2:$R$9000,8,FALSE)</f>
        <v>11.1.01.0791</v>
      </c>
      <c r="Q1309" s="15" t="str">
        <f>VLOOKUP(A1309,sinap!$A$2:$R$9000,12,FALSE)</f>
        <v>11.1.01.0893</v>
      </c>
      <c r="R1309" s="15" t="str">
        <f>VLOOKUP(A1309,sinap!$A$2:$R$9000,16,FALSE)</f>
        <v>11.1.01.0893</v>
      </c>
      <c r="S1309" s="15" t="str">
        <f>VLOOKUP(A1309,sinap!$A$2:$Y$9000,20,FALSE)</f>
        <v>SI</v>
      </c>
      <c r="T1309" s="16">
        <v>44916</v>
      </c>
    </row>
    <row r="1310" spans="1:20" hidden="1" x14ac:dyDescent="0.25">
      <c r="A1310" s="15">
        <v>22350300</v>
      </c>
      <c r="H1310" s="16">
        <v>45623</v>
      </c>
      <c r="I1310" s="16">
        <v>45848</v>
      </c>
      <c r="J1310" s="15" t="str">
        <f>VLOOKUP(A1310,sinap!$A$2:$R$9000,2,FALSE)</f>
        <v>H</v>
      </c>
      <c r="K1310" s="15" t="str">
        <f>VLOOKUP(A1310,sinap!$A$2:$R$9000,3,FALSE)</f>
        <v>VACA</v>
      </c>
      <c r="L1310" s="15" t="str">
        <f>VLOOKUP(A1310,sinap!$A$2:$R$9000,4,FALSE)</f>
        <v>ANGUS NEGRO</v>
      </c>
      <c r="M1310" s="15" t="str">
        <f>VLOOKUP(A1310,sinap!$A$2:$R$9000,5,FALSE)</f>
        <v>3 años 3 meses</v>
      </c>
      <c r="N1310" s="15" t="str">
        <f>VLOOKUP(A1310,sinap!$A$2:$R$9000,6,FALSE)</f>
        <v>10-10-2022</v>
      </c>
      <c r="O1310" s="15" t="str">
        <f>VLOOKUP(A1310,sinap!$A$2:$R$9000,7,FALSE)</f>
        <v>Vivo</v>
      </c>
      <c r="P1310" s="15" t="str">
        <f>VLOOKUP(A1310,sinap!$A$2:$R$9000,8,FALSE)</f>
        <v>11.1.01.0791</v>
      </c>
      <c r="Q1310" s="15" t="str">
        <f>VLOOKUP(A1310,sinap!$A$2:$R$9000,12,FALSE)</f>
        <v>11.1.01.0893</v>
      </c>
      <c r="R1310" s="15" t="str">
        <f>VLOOKUP(A1310,sinap!$A$2:$R$9000,16,FALSE)</f>
        <v>11.1.01.0893</v>
      </c>
      <c r="S1310" s="15" t="str">
        <f>VLOOKUP(A1310,sinap!$A$2:$Y$9000,20,FALSE)</f>
        <v>SI</v>
      </c>
      <c r="T1310" s="16">
        <v>44916</v>
      </c>
    </row>
    <row r="1311" spans="1:20" hidden="1" x14ac:dyDescent="0.25">
      <c r="A1311" s="15">
        <v>22350304</v>
      </c>
      <c r="H1311" s="16">
        <v>45623</v>
      </c>
      <c r="I1311" s="16">
        <v>45848</v>
      </c>
      <c r="J1311" s="15" t="str">
        <f>VLOOKUP(A1311,sinap!$A$2:$R$9000,2,FALSE)</f>
        <v>H</v>
      </c>
      <c r="K1311" s="15" t="str">
        <f>VLOOKUP(A1311,sinap!$A$2:$R$9000,3,FALSE)</f>
        <v>VACA</v>
      </c>
      <c r="L1311" s="15" t="str">
        <f>VLOOKUP(A1311,sinap!$A$2:$R$9000,4,FALSE)</f>
        <v>ANGUS NEGRO</v>
      </c>
      <c r="M1311" s="15" t="str">
        <f>VLOOKUP(A1311,sinap!$A$2:$R$9000,5,FALSE)</f>
        <v>3 años 3 meses</v>
      </c>
      <c r="N1311" s="15" t="str">
        <f>VLOOKUP(A1311,sinap!$A$2:$R$9000,6,FALSE)</f>
        <v>10-10-2022</v>
      </c>
      <c r="O1311" s="15" t="str">
        <f>VLOOKUP(A1311,sinap!$A$2:$R$9000,7,FALSE)</f>
        <v>Vivo</v>
      </c>
      <c r="P1311" s="15" t="str">
        <f>VLOOKUP(A1311,sinap!$A$2:$R$9000,8,FALSE)</f>
        <v>11.1.01.0791</v>
      </c>
      <c r="Q1311" s="15" t="str">
        <f>VLOOKUP(A1311,sinap!$A$2:$R$9000,12,FALSE)</f>
        <v>11.1.01.0893</v>
      </c>
      <c r="R1311" s="15" t="str">
        <f>VLOOKUP(A1311,sinap!$A$2:$R$9000,16,FALSE)</f>
        <v>11.1.01.0893</v>
      </c>
      <c r="S1311" s="15" t="str">
        <f>VLOOKUP(A1311,sinap!$A$2:$Y$9000,20,FALSE)</f>
        <v>SI</v>
      </c>
      <c r="T1311" s="16">
        <v>44916</v>
      </c>
    </row>
    <row r="1312" spans="1:20" hidden="1" x14ac:dyDescent="0.25">
      <c r="A1312" s="15">
        <v>22350305</v>
      </c>
      <c r="H1312" s="16">
        <v>45623</v>
      </c>
      <c r="I1312" s="16">
        <v>45848</v>
      </c>
      <c r="J1312" s="15" t="str">
        <f>VLOOKUP(A1312,sinap!$A$2:$R$9000,2,FALSE)</f>
        <v>H</v>
      </c>
      <c r="K1312" s="15" t="str">
        <f>VLOOKUP(A1312,sinap!$A$2:$R$9000,3,FALSE)</f>
        <v>VACA</v>
      </c>
      <c r="L1312" s="15" t="str">
        <f>VLOOKUP(A1312,sinap!$A$2:$R$9000,4,FALSE)</f>
        <v>ANGUS NEGRO</v>
      </c>
      <c r="M1312" s="15" t="str">
        <f>VLOOKUP(A1312,sinap!$A$2:$R$9000,5,FALSE)</f>
        <v>3 años 3 meses</v>
      </c>
      <c r="N1312" s="15" t="str">
        <f>VLOOKUP(A1312,sinap!$A$2:$R$9000,6,FALSE)</f>
        <v>10-10-2022</v>
      </c>
      <c r="O1312" s="15" t="str">
        <f>VLOOKUP(A1312,sinap!$A$2:$R$9000,7,FALSE)</f>
        <v>Vivo</v>
      </c>
      <c r="P1312" s="15" t="str">
        <f>VLOOKUP(A1312,sinap!$A$2:$R$9000,8,FALSE)</f>
        <v>11.1.01.0791</v>
      </c>
      <c r="Q1312" s="15" t="str">
        <f>VLOOKUP(A1312,sinap!$A$2:$R$9000,12,FALSE)</f>
        <v>11.1.01.0893</v>
      </c>
      <c r="R1312" s="15" t="str">
        <f>VLOOKUP(A1312,sinap!$A$2:$R$9000,16,FALSE)</f>
        <v>11.1.01.0893</v>
      </c>
      <c r="S1312" s="15" t="str">
        <f>VLOOKUP(A1312,sinap!$A$2:$Y$9000,20,FALSE)</f>
        <v>SI</v>
      </c>
      <c r="T1312" s="16">
        <v>44916</v>
      </c>
    </row>
    <row r="1313" spans="1:20" hidden="1" x14ac:dyDescent="0.25">
      <c r="A1313" s="15">
        <v>22350306</v>
      </c>
      <c r="H1313" s="16">
        <v>45623</v>
      </c>
      <c r="I1313" s="16">
        <v>45848</v>
      </c>
      <c r="J1313" s="15" t="str">
        <f>VLOOKUP(A1313,sinap!$A$2:$R$9000,2,FALSE)</f>
        <v>H</v>
      </c>
      <c r="K1313" s="15" t="str">
        <f>VLOOKUP(A1313,sinap!$A$2:$R$9000,3,FALSE)</f>
        <v>VACA</v>
      </c>
      <c r="L1313" s="15" t="str">
        <f>VLOOKUP(A1313,sinap!$A$2:$R$9000,4,FALSE)</f>
        <v>ANGUS NEGRO</v>
      </c>
      <c r="M1313" s="15" t="str">
        <f>VLOOKUP(A1313,sinap!$A$2:$R$9000,5,FALSE)</f>
        <v>3 años 3 meses</v>
      </c>
      <c r="N1313" s="15" t="str">
        <f>VLOOKUP(A1313,sinap!$A$2:$R$9000,6,FALSE)</f>
        <v>10-10-2022</v>
      </c>
      <c r="O1313" s="15" t="str">
        <f>VLOOKUP(A1313,sinap!$A$2:$R$9000,7,FALSE)</f>
        <v>Vivo</v>
      </c>
      <c r="P1313" s="15" t="str">
        <f>VLOOKUP(A1313,sinap!$A$2:$R$9000,8,FALSE)</f>
        <v>11.1.01.0791</v>
      </c>
      <c r="Q1313" s="15" t="str">
        <f>VLOOKUP(A1313,sinap!$A$2:$R$9000,12,FALSE)</f>
        <v>11.1.01.0893</v>
      </c>
      <c r="R1313" s="15" t="str">
        <f>VLOOKUP(A1313,sinap!$A$2:$R$9000,16,FALSE)</f>
        <v>11.1.01.0893</v>
      </c>
      <c r="S1313" s="15" t="str">
        <f>VLOOKUP(A1313,sinap!$A$2:$Y$9000,20,FALSE)</f>
        <v>SI</v>
      </c>
      <c r="T1313" s="16">
        <v>44916</v>
      </c>
    </row>
    <row r="1314" spans="1:20" hidden="1" x14ac:dyDescent="0.25">
      <c r="A1314" s="15">
        <v>22350310</v>
      </c>
      <c r="H1314" s="16">
        <v>45623</v>
      </c>
      <c r="I1314" s="16">
        <v>45848</v>
      </c>
      <c r="J1314" s="15" t="str">
        <f>VLOOKUP(A1314,sinap!$A$2:$R$9000,2,FALSE)</f>
        <v>H</v>
      </c>
      <c r="K1314" s="15" t="str">
        <f>VLOOKUP(A1314,sinap!$A$2:$R$9000,3,FALSE)</f>
        <v>VACA</v>
      </c>
      <c r="L1314" s="15" t="str">
        <f>VLOOKUP(A1314,sinap!$A$2:$R$9000,4,FALSE)</f>
        <v>ANGUS NEGRO</v>
      </c>
      <c r="M1314" s="15" t="str">
        <f>VLOOKUP(A1314,sinap!$A$2:$R$9000,5,FALSE)</f>
        <v>3 años 3 meses</v>
      </c>
      <c r="N1314" s="15" t="str">
        <f>VLOOKUP(A1314,sinap!$A$2:$R$9000,6,FALSE)</f>
        <v>10-10-2022</v>
      </c>
      <c r="O1314" s="15" t="str">
        <f>VLOOKUP(A1314,sinap!$A$2:$R$9000,7,FALSE)</f>
        <v>Vivo</v>
      </c>
      <c r="P1314" s="15" t="str">
        <f>VLOOKUP(A1314,sinap!$A$2:$R$9000,8,FALSE)</f>
        <v>11.1.01.0791</v>
      </c>
      <c r="Q1314" s="15" t="str">
        <f>VLOOKUP(A1314,sinap!$A$2:$R$9000,12,FALSE)</f>
        <v>11.1.01.0893</v>
      </c>
      <c r="R1314" s="15" t="str">
        <f>VLOOKUP(A1314,sinap!$A$2:$R$9000,16,FALSE)</f>
        <v>11.1.01.0893</v>
      </c>
      <c r="S1314" s="15" t="str">
        <f>VLOOKUP(A1314,sinap!$A$2:$Y$9000,20,FALSE)</f>
        <v>SI</v>
      </c>
      <c r="T1314" s="16">
        <v>44916</v>
      </c>
    </row>
    <row r="1315" spans="1:20" hidden="1" x14ac:dyDescent="0.25">
      <c r="A1315" s="15">
        <v>22350312</v>
      </c>
      <c r="H1315" s="16">
        <v>45623</v>
      </c>
      <c r="I1315" s="16">
        <v>45848</v>
      </c>
      <c r="J1315" s="15" t="str">
        <f>VLOOKUP(A1315,sinap!$A$2:$R$9000,2,FALSE)</f>
        <v>H</v>
      </c>
      <c r="K1315" s="15" t="str">
        <f>VLOOKUP(A1315,sinap!$A$2:$R$9000,3,FALSE)</f>
        <v>VACA</v>
      </c>
      <c r="L1315" s="15" t="str">
        <f>VLOOKUP(A1315,sinap!$A$2:$R$9000,4,FALSE)</f>
        <v>ANGUS NEGRO</v>
      </c>
      <c r="M1315" s="15" t="str">
        <f>VLOOKUP(A1315,sinap!$A$2:$R$9000,5,FALSE)</f>
        <v>3 años 3 meses</v>
      </c>
      <c r="N1315" s="15" t="str">
        <f>VLOOKUP(A1315,sinap!$A$2:$R$9000,6,FALSE)</f>
        <v>10-10-2022</v>
      </c>
      <c r="O1315" s="15" t="str">
        <f>VLOOKUP(A1315,sinap!$A$2:$R$9000,7,FALSE)</f>
        <v>Vivo</v>
      </c>
      <c r="P1315" s="15" t="str">
        <f>VLOOKUP(A1315,sinap!$A$2:$R$9000,8,FALSE)</f>
        <v>11.1.01.0791</v>
      </c>
      <c r="Q1315" s="15" t="str">
        <f>VLOOKUP(A1315,sinap!$A$2:$R$9000,12,FALSE)</f>
        <v>11.1.01.0893</v>
      </c>
      <c r="R1315" s="15" t="str">
        <f>VLOOKUP(A1315,sinap!$A$2:$R$9000,16,FALSE)</f>
        <v>11.1.01.0893</v>
      </c>
      <c r="S1315" s="15" t="str">
        <f>VLOOKUP(A1315,sinap!$A$2:$Y$9000,20,FALSE)</f>
        <v>SI</v>
      </c>
      <c r="T1315" s="16">
        <v>44916</v>
      </c>
    </row>
    <row r="1316" spans="1:20" hidden="1" x14ac:dyDescent="0.25">
      <c r="A1316" s="15">
        <v>22350314</v>
      </c>
      <c r="H1316" s="16">
        <v>45623</v>
      </c>
      <c r="I1316" s="16">
        <v>45848</v>
      </c>
      <c r="J1316" s="15" t="str">
        <f>VLOOKUP(A1316,sinap!$A$2:$R$9000,2,FALSE)</f>
        <v>H</v>
      </c>
      <c r="K1316" s="15" t="str">
        <f>VLOOKUP(A1316,sinap!$A$2:$R$9000,3,FALSE)</f>
        <v>VACA</v>
      </c>
      <c r="L1316" s="15" t="str">
        <f>VLOOKUP(A1316,sinap!$A$2:$R$9000,4,FALSE)</f>
        <v>ANGUS NEGRO</v>
      </c>
      <c r="M1316" s="15" t="str">
        <f>VLOOKUP(A1316,sinap!$A$2:$R$9000,5,FALSE)</f>
        <v>3 años 3 meses</v>
      </c>
      <c r="N1316" s="15" t="str">
        <f>VLOOKUP(A1316,sinap!$A$2:$R$9000,6,FALSE)</f>
        <v>10-10-2022</v>
      </c>
      <c r="O1316" s="15" t="str">
        <f>VLOOKUP(A1316,sinap!$A$2:$R$9000,7,FALSE)</f>
        <v>Vivo</v>
      </c>
      <c r="P1316" s="15" t="str">
        <f>VLOOKUP(A1316,sinap!$A$2:$R$9000,8,FALSE)</f>
        <v>11.1.01.0791</v>
      </c>
      <c r="Q1316" s="15" t="str">
        <f>VLOOKUP(A1316,sinap!$A$2:$R$9000,12,FALSE)</f>
        <v>11.1.01.0893</v>
      </c>
      <c r="R1316" s="15" t="str">
        <f>VLOOKUP(A1316,sinap!$A$2:$R$9000,16,FALSE)</f>
        <v>11.1.01.0893</v>
      </c>
      <c r="S1316" s="15" t="str">
        <f>VLOOKUP(A1316,sinap!$A$2:$Y$9000,20,FALSE)</f>
        <v>SI</v>
      </c>
      <c r="T1316" s="16">
        <v>44916</v>
      </c>
    </row>
    <row r="1317" spans="1:20" hidden="1" x14ac:dyDescent="0.25">
      <c r="A1317" s="15">
        <v>22350320</v>
      </c>
      <c r="H1317" s="16">
        <v>45623</v>
      </c>
      <c r="I1317" s="16">
        <v>45848</v>
      </c>
      <c r="J1317" s="15" t="str">
        <f>VLOOKUP(A1317,sinap!$A$2:$R$9000,2,FALSE)</f>
        <v>H</v>
      </c>
      <c r="K1317" s="15" t="str">
        <f>VLOOKUP(A1317,sinap!$A$2:$R$9000,3,FALSE)</f>
        <v>VACA</v>
      </c>
      <c r="L1317" s="15" t="str">
        <f>VLOOKUP(A1317,sinap!$A$2:$R$9000,4,FALSE)</f>
        <v>ANGUS NEGRO</v>
      </c>
      <c r="M1317" s="15" t="str">
        <f>VLOOKUP(A1317,sinap!$A$2:$R$9000,5,FALSE)</f>
        <v>3 años 3 meses</v>
      </c>
      <c r="N1317" s="15" t="str">
        <f>VLOOKUP(A1317,sinap!$A$2:$R$9000,6,FALSE)</f>
        <v>10-10-2022</v>
      </c>
      <c r="O1317" s="15" t="str">
        <f>VLOOKUP(A1317,sinap!$A$2:$R$9000,7,FALSE)</f>
        <v>Vivo</v>
      </c>
      <c r="P1317" s="15" t="str">
        <f>VLOOKUP(A1317,sinap!$A$2:$R$9000,8,FALSE)</f>
        <v>11.1.01.0791</v>
      </c>
      <c r="Q1317" s="15" t="str">
        <f>VLOOKUP(A1317,sinap!$A$2:$R$9000,12,FALSE)</f>
        <v>11.1.01.0893</v>
      </c>
      <c r="R1317" s="15" t="str">
        <f>VLOOKUP(A1317,sinap!$A$2:$R$9000,16,FALSE)</f>
        <v>11.1.01.0893</v>
      </c>
      <c r="S1317" s="15" t="str">
        <f>VLOOKUP(A1317,sinap!$A$2:$Y$9000,20,FALSE)</f>
        <v>SI</v>
      </c>
      <c r="T1317" s="16">
        <v>44916</v>
      </c>
    </row>
    <row r="1318" spans="1:20" hidden="1" x14ac:dyDescent="0.25">
      <c r="A1318" s="15">
        <v>22350321</v>
      </c>
      <c r="H1318" s="16">
        <v>45623</v>
      </c>
      <c r="I1318" s="16">
        <v>45848</v>
      </c>
      <c r="J1318" s="15" t="str">
        <f>VLOOKUP(A1318,sinap!$A$2:$R$9000,2,FALSE)</f>
        <v>H</v>
      </c>
      <c r="K1318" s="15" t="str">
        <f>VLOOKUP(A1318,sinap!$A$2:$R$9000,3,FALSE)</f>
        <v>VACA</v>
      </c>
      <c r="L1318" s="15" t="str">
        <f>VLOOKUP(A1318,sinap!$A$2:$R$9000,4,FALSE)</f>
        <v>ANGUS NEGRO</v>
      </c>
      <c r="M1318" s="15" t="str">
        <f>VLOOKUP(A1318,sinap!$A$2:$R$9000,5,FALSE)</f>
        <v>3 años 3 meses</v>
      </c>
      <c r="N1318" s="15" t="str">
        <f>VLOOKUP(A1318,sinap!$A$2:$R$9000,6,FALSE)</f>
        <v>10-10-2022</v>
      </c>
      <c r="O1318" s="15" t="str">
        <f>VLOOKUP(A1318,sinap!$A$2:$R$9000,7,FALSE)</f>
        <v>Vivo</v>
      </c>
      <c r="P1318" s="15" t="str">
        <f>VLOOKUP(A1318,sinap!$A$2:$R$9000,8,FALSE)</f>
        <v>11.1.01.0791</v>
      </c>
      <c r="Q1318" s="15" t="str">
        <f>VLOOKUP(A1318,sinap!$A$2:$R$9000,12,FALSE)</f>
        <v>11.1.01.0893</v>
      </c>
      <c r="R1318" s="15" t="str">
        <f>VLOOKUP(A1318,sinap!$A$2:$R$9000,16,FALSE)</f>
        <v>11.1.01.0893</v>
      </c>
      <c r="S1318" s="15" t="str">
        <f>VLOOKUP(A1318,sinap!$A$2:$Y$9000,20,FALSE)</f>
        <v>SI</v>
      </c>
      <c r="T1318" s="16">
        <v>44916</v>
      </c>
    </row>
    <row r="1319" spans="1:20" hidden="1" x14ac:dyDescent="0.25">
      <c r="A1319" s="15">
        <v>22350323</v>
      </c>
      <c r="H1319" s="16">
        <v>45623</v>
      </c>
      <c r="I1319" s="16">
        <v>45848</v>
      </c>
      <c r="J1319" s="15" t="str">
        <f>VLOOKUP(A1319,sinap!$A$2:$R$9000,2,FALSE)</f>
        <v>H</v>
      </c>
      <c r="K1319" s="15" t="str">
        <f>VLOOKUP(A1319,sinap!$A$2:$R$9000,3,FALSE)</f>
        <v>VACA</v>
      </c>
      <c r="L1319" s="15" t="str">
        <f>VLOOKUP(A1319,sinap!$A$2:$R$9000,4,FALSE)</f>
        <v>ANGUS NEGRO</v>
      </c>
      <c r="M1319" s="15" t="str">
        <f>VLOOKUP(A1319,sinap!$A$2:$R$9000,5,FALSE)</f>
        <v>3 años 3 meses</v>
      </c>
      <c r="N1319" s="15" t="str">
        <f>VLOOKUP(A1319,sinap!$A$2:$R$9000,6,FALSE)</f>
        <v>10-10-2022</v>
      </c>
      <c r="O1319" s="15" t="str">
        <f>VLOOKUP(A1319,sinap!$A$2:$R$9000,7,FALSE)</f>
        <v>Vivo</v>
      </c>
      <c r="P1319" s="15" t="str">
        <f>VLOOKUP(A1319,sinap!$A$2:$R$9000,8,FALSE)</f>
        <v>11.1.01.1022</v>
      </c>
      <c r="Q1319" s="15" t="str">
        <f>VLOOKUP(A1319,sinap!$A$2:$R$9000,12,FALSE)</f>
        <v>11.1.01.0893</v>
      </c>
      <c r="R1319" s="15" t="str">
        <f>VLOOKUP(A1319,sinap!$A$2:$R$9000,16,FALSE)</f>
        <v>11.1.01.0893</v>
      </c>
      <c r="S1319" s="15" t="str">
        <f>VLOOKUP(A1319,sinap!$A$2:$Y$9000,20,FALSE)</f>
        <v>SI</v>
      </c>
      <c r="T1319" s="16">
        <v>44916</v>
      </c>
    </row>
    <row r="1320" spans="1:20" hidden="1" x14ac:dyDescent="0.25">
      <c r="A1320" s="15">
        <v>22350327</v>
      </c>
      <c r="H1320" s="16">
        <v>45623</v>
      </c>
      <c r="I1320" s="16">
        <v>45848</v>
      </c>
      <c r="J1320" s="15" t="str">
        <f>VLOOKUP(A1320,sinap!$A$2:$R$9000,2,FALSE)</f>
        <v>H</v>
      </c>
      <c r="K1320" s="15" t="str">
        <f>VLOOKUP(A1320,sinap!$A$2:$R$9000,3,FALSE)</f>
        <v>VACA</v>
      </c>
      <c r="L1320" s="15" t="str">
        <f>VLOOKUP(A1320,sinap!$A$2:$R$9000,4,FALSE)</f>
        <v>ANGUS NEGRO</v>
      </c>
      <c r="M1320" s="15" t="str">
        <f>VLOOKUP(A1320,sinap!$A$2:$R$9000,5,FALSE)</f>
        <v>3 años 3 meses</v>
      </c>
      <c r="N1320" s="15" t="str">
        <f>VLOOKUP(A1320,sinap!$A$2:$R$9000,6,FALSE)</f>
        <v>10-10-2022</v>
      </c>
      <c r="O1320" s="15" t="str">
        <f>VLOOKUP(A1320,sinap!$A$2:$R$9000,7,FALSE)</f>
        <v>Vivo</v>
      </c>
      <c r="P1320" s="15" t="str">
        <f>VLOOKUP(A1320,sinap!$A$2:$R$9000,8,FALSE)</f>
        <v>11.1.01.0791</v>
      </c>
      <c r="Q1320" s="15" t="str">
        <f>VLOOKUP(A1320,sinap!$A$2:$R$9000,12,FALSE)</f>
        <v>11.1.01.0893</v>
      </c>
      <c r="R1320" s="15" t="str">
        <f>VLOOKUP(A1320,sinap!$A$2:$R$9000,16,FALSE)</f>
        <v>11.1.01.0893</v>
      </c>
      <c r="S1320" s="15" t="str">
        <f>VLOOKUP(A1320,sinap!$A$2:$Y$9000,20,FALSE)</f>
        <v>SI</v>
      </c>
      <c r="T1320" s="16">
        <v>44916</v>
      </c>
    </row>
    <row r="1321" spans="1:20" hidden="1" x14ac:dyDescent="0.25">
      <c r="A1321" s="15">
        <v>22350330</v>
      </c>
      <c r="H1321" s="16">
        <v>45623</v>
      </c>
      <c r="I1321" s="16">
        <v>45848</v>
      </c>
      <c r="J1321" s="15" t="str">
        <f>VLOOKUP(A1321,sinap!$A$2:$R$9000,2,FALSE)</f>
        <v>H</v>
      </c>
      <c r="K1321" s="15" t="str">
        <f>VLOOKUP(A1321,sinap!$A$2:$R$9000,3,FALSE)</f>
        <v>VACA</v>
      </c>
      <c r="L1321" s="15" t="str">
        <f>VLOOKUP(A1321,sinap!$A$2:$R$9000,4,FALSE)</f>
        <v>ANGUS NEGRO</v>
      </c>
      <c r="M1321" s="15" t="str">
        <f>VLOOKUP(A1321,sinap!$A$2:$R$9000,5,FALSE)</f>
        <v>3 años 3 meses</v>
      </c>
      <c r="N1321" s="15" t="str">
        <f>VLOOKUP(A1321,sinap!$A$2:$R$9000,6,FALSE)</f>
        <v>10-10-2022</v>
      </c>
      <c r="O1321" s="15" t="str">
        <f>VLOOKUP(A1321,sinap!$A$2:$R$9000,7,FALSE)</f>
        <v>Vivo</v>
      </c>
      <c r="P1321" s="15" t="str">
        <f>VLOOKUP(A1321,sinap!$A$2:$R$9000,8,FALSE)</f>
        <v>11.1.01.0791</v>
      </c>
      <c r="Q1321" s="15" t="str">
        <f>VLOOKUP(A1321,sinap!$A$2:$R$9000,12,FALSE)</f>
        <v>11.1.01.0893</v>
      </c>
      <c r="R1321" s="15" t="str">
        <f>VLOOKUP(A1321,sinap!$A$2:$R$9000,16,FALSE)</f>
        <v>11.1.01.0893</v>
      </c>
      <c r="S1321" s="15" t="str">
        <f>VLOOKUP(A1321,sinap!$A$2:$Y$9000,20,FALSE)</f>
        <v>SI</v>
      </c>
      <c r="T1321" s="16">
        <v>44916</v>
      </c>
    </row>
    <row r="1322" spans="1:20" hidden="1" x14ac:dyDescent="0.25">
      <c r="A1322" s="15">
        <v>22350331</v>
      </c>
      <c r="H1322" s="16">
        <v>45623</v>
      </c>
      <c r="I1322" s="16">
        <v>45848</v>
      </c>
      <c r="J1322" s="15" t="str">
        <f>VLOOKUP(A1322,sinap!$A$2:$R$9000,2,FALSE)</f>
        <v>H</v>
      </c>
      <c r="K1322" s="15" t="str">
        <f>VLOOKUP(A1322,sinap!$A$2:$R$9000,3,FALSE)</f>
        <v>VACA</v>
      </c>
      <c r="L1322" s="15" t="str">
        <f>VLOOKUP(A1322,sinap!$A$2:$R$9000,4,FALSE)</f>
        <v>ANGUS NEGRO</v>
      </c>
      <c r="M1322" s="15" t="str">
        <f>VLOOKUP(A1322,sinap!$A$2:$R$9000,5,FALSE)</f>
        <v>3 años 3 meses</v>
      </c>
      <c r="N1322" s="15" t="str">
        <f>VLOOKUP(A1322,sinap!$A$2:$R$9000,6,FALSE)</f>
        <v>10-10-2022</v>
      </c>
      <c r="O1322" s="15" t="str">
        <f>VLOOKUP(A1322,sinap!$A$2:$R$9000,7,FALSE)</f>
        <v>Vivo</v>
      </c>
      <c r="P1322" s="15" t="str">
        <f>VLOOKUP(A1322,sinap!$A$2:$R$9000,8,FALSE)</f>
        <v>11.1.01.0791</v>
      </c>
      <c r="Q1322" s="15" t="str">
        <f>VLOOKUP(A1322,sinap!$A$2:$R$9000,12,FALSE)</f>
        <v>11.1.01.0893</v>
      </c>
      <c r="R1322" s="15" t="str">
        <f>VLOOKUP(A1322,sinap!$A$2:$R$9000,16,FALSE)</f>
        <v>11.1.01.0893</v>
      </c>
      <c r="S1322" s="15" t="str">
        <f>VLOOKUP(A1322,sinap!$A$2:$Y$9000,20,FALSE)</f>
        <v>SI</v>
      </c>
      <c r="T1322" s="16">
        <v>44916</v>
      </c>
    </row>
    <row r="1323" spans="1:20" hidden="1" x14ac:dyDescent="0.25">
      <c r="A1323" s="15">
        <v>22350334</v>
      </c>
      <c r="H1323" s="16">
        <v>45623</v>
      </c>
      <c r="I1323" s="16">
        <v>45848</v>
      </c>
      <c r="J1323" s="15" t="str">
        <f>VLOOKUP(A1323,sinap!$A$2:$R$9000,2,FALSE)</f>
        <v>H</v>
      </c>
      <c r="K1323" s="15" t="str">
        <f>VLOOKUP(A1323,sinap!$A$2:$R$9000,3,FALSE)</f>
        <v>VACA</v>
      </c>
      <c r="L1323" s="15" t="str">
        <f>VLOOKUP(A1323,sinap!$A$2:$R$9000,4,FALSE)</f>
        <v>ANGUS NEGRO</v>
      </c>
      <c r="M1323" s="15" t="str">
        <f>VLOOKUP(A1323,sinap!$A$2:$R$9000,5,FALSE)</f>
        <v>3 años 3 meses</v>
      </c>
      <c r="N1323" s="15" t="str">
        <f>VLOOKUP(A1323,sinap!$A$2:$R$9000,6,FALSE)</f>
        <v>10-10-2022</v>
      </c>
      <c r="O1323" s="15" t="str">
        <f>VLOOKUP(A1323,sinap!$A$2:$R$9000,7,FALSE)</f>
        <v>Vivo</v>
      </c>
      <c r="P1323" s="15" t="str">
        <f>VLOOKUP(A1323,sinap!$A$2:$R$9000,8,FALSE)</f>
        <v>11.1.01.1022</v>
      </c>
      <c r="Q1323" s="15" t="str">
        <f>VLOOKUP(A1323,sinap!$A$2:$R$9000,12,FALSE)</f>
        <v>11.1.01.0893</v>
      </c>
      <c r="R1323" s="15" t="str">
        <f>VLOOKUP(A1323,sinap!$A$2:$R$9000,16,FALSE)</f>
        <v>11.1.01.0893</v>
      </c>
      <c r="S1323" s="15" t="str">
        <f>VLOOKUP(A1323,sinap!$A$2:$Y$9000,20,FALSE)</f>
        <v>SI</v>
      </c>
      <c r="T1323" s="16">
        <v>44916</v>
      </c>
    </row>
    <row r="1324" spans="1:20" hidden="1" x14ac:dyDescent="0.25">
      <c r="A1324" s="15">
        <v>22350336</v>
      </c>
      <c r="J1324" s="15" t="str">
        <f>VLOOKUP(A1324,sinap!$A$2:$R$9000,2,FALSE)</f>
        <v>M</v>
      </c>
      <c r="K1324" s="15" t="str">
        <f>VLOOKUP(A1324,sinap!$A$2:$R$9000,3,FALSE)</f>
        <v>TORO</v>
      </c>
      <c r="L1324" s="15" t="str">
        <f>VLOOKUP(A1324,sinap!$A$2:$R$9000,4,FALSE)</f>
        <v>ANGUS NEGRO</v>
      </c>
      <c r="M1324" s="15" t="str">
        <f>VLOOKUP(A1324,sinap!$A$2:$R$9000,5,FALSE)</f>
        <v>3 años 3 meses</v>
      </c>
      <c r="N1324" s="15" t="str">
        <f>VLOOKUP(A1324,sinap!$A$2:$R$9000,6,FALSE)</f>
        <v>10-10-2022</v>
      </c>
      <c r="O1324" s="15" t="str">
        <f>VLOOKUP(A1324,sinap!$A$2:$R$9000,7,FALSE)</f>
        <v>Vivo</v>
      </c>
      <c r="P1324" s="15" t="str">
        <f>VLOOKUP(A1324,sinap!$A$2:$R$9000,8,FALSE)</f>
        <v>11.1.01.2442</v>
      </c>
      <c r="Q1324" s="15" t="str">
        <f>VLOOKUP(A1324,sinap!$A$2:$R$9000,12,FALSE)</f>
        <v>11.1.01.0190</v>
      </c>
      <c r="R1324" s="15" t="str">
        <f>VLOOKUP(A1324,sinap!$A$2:$R$9000,16,FALSE)</f>
        <v>11.1.01.0893</v>
      </c>
      <c r="S1324" s="15" t="str">
        <f>VLOOKUP(A1324,sinap!$A$2:$Y$9000,20,FALSE)</f>
        <v>SI</v>
      </c>
      <c r="T1324" s="16">
        <v>44916</v>
      </c>
    </row>
    <row r="1325" spans="1:20" hidden="1" x14ac:dyDescent="0.25">
      <c r="A1325" s="15">
        <v>22350341</v>
      </c>
      <c r="H1325" s="16">
        <v>45623</v>
      </c>
      <c r="I1325" s="16">
        <v>45848</v>
      </c>
      <c r="J1325" s="15" t="str">
        <f>VLOOKUP(A1325,sinap!$A$2:$R$9000,2,FALSE)</f>
        <v>H</v>
      </c>
      <c r="K1325" s="15" t="str">
        <f>VLOOKUP(A1325,sinap!$A$2:$R$9000,3,FALSE)</f>
        <v>VACA</v>
      </c>
      <c r="L1325" s="15" t="str">
        <f>VLOOKUP(A1325,sinap!$A$2:$R$9000,4,FALSE)</f>
        <v>ANGUS NEGRO</v>
      </c>
      <c r="M1325" s="15" t="str">
        <f>VLOOKUP(A1325,sinap!$A$2:$R$9000,5,FALSE)</f>
        <v>3 años 3 meses</v>
      </c>
      <c r="N1325" s="15" t="str">
        <f>VLOOKUP(A1325,sinap!$A$2:$R$9000,6,FALSE)</f>
        <v>10-10-2022</v>
      </c>
      <c r="O1325" s="15" t="str">
        <f>VLOOKUP(A1325,sinap!$A$2:$R$9000,7,FALSE)</f>
        <v>Vivo</v>
      </c>
      <c r="P1325" s="15" t="str">
        <f>VLOOKUP(A1325,sinap!$A$2:$R$9000,8,FALSE)</f>
        <v>11.1.01.0791</v>
      </c>
      <c r="Q1325" s="15" t="str">
        <f>VLOOKUP(A1325,sinap!$A$2:$R$9000,12,FALSE)</f>
        <v>11.1.01.0893</v>
      </c>
      <c r="R1325" s="15" t="str">
        <f>VLOOKUP(A1325,sinap!$A$2:$R$9000,16,FALSE)</f>
        <v>11.1.01.0893</v>
      </c>
      <c r="S1325" s="15" t="str">
        <f>VLOOKUP(A1325,sinap!$A$2:$Y$9000,20,FALSE)</f>
        <v>SI</v>
      </c>
      <c r="T1325" s="16">
        <v>44916</v>
      </c>
    </row>
    <row r="1326" spans="1:20" hidden="1" x14ac:dyDescent="0.25">
      <c r="A1326" s="15">
        <v>22350344</v>
      </c>
      <c r="H1326" s="16">
        <v>45623</v>
      </c>
      <c r="I1326" s="16">
        <v>45848</v>
      </c>
      <c r="J1326" s="15" t="str">
        <f>VLOOKUP(A1326,sinap!$A$2:$R$9000,2,FALSE)</f>
        <v>H</v>
      </c>
      <c r="K1326" s="15" t="str">
        <f>VLOOKUP(A1326,sinap!$A$2:$R$9000,3,FALSE)</f>
        <v>VACA</v>
      </c>
      <c r="L1326" s="15" t="str">
        <f>VLOOKUP(A1326,sinap!$A$2:$R$9000,4,FALSE)</f>
        <v>ANGUS NEGRO</v>
      </c>
      <c r="M1326" s="15" t="str">
        <f>VLOOKUP(A1326,sinap!$A$2:$R$9000,5,FALSE)</f>
        <v>3 años 3 meses</v>
      </c>
      <c r="N1326" s="15" t="str">
        <f>VLOOKUP(A1326,sinap!$A$2:$R$9000,6,FALSE)</f>
        <v>10-10-2022</v>
      </c>
      <c r="O1326" s="15" t="str">
        <f>VLOOKUP(A1326,sinap!$A$2:$R$9000,7,FALSE)</f>
        <v>Vivo</v>
      </c>
      <c r="P1326" s="15" t="str">
        <f>VLOOKUP(A1326,sinap!$A$2:$R$9000,8,FALSE)</f>
        <v>11.1.01.1022</v>
      </c>
      <c r="Q1326" s="15" t="str">
        <f>VLOOKUP(A1326,sinap!$A$2:$R$9000,12,FALSE)</f>
        <v>11.1.01.0893</v>
      </c>
      <c r="R1326" s="15" t="str">
        <f>VLOOKUP(A1326,sinap!$A$2:$R$9000,16,FALSE)</f>
        <v>11.1.01.0893</v>
      </c>
      <c r="S1326" s="15" t="str">
        <f>VLOOKUP(A1326,sinap!$A$2:$Y$9000,20,FALSE)</f>
        <v>SI</v>
      </c>
      <c r="T1326" s="16">
        <v>44916</v>
      </c>
    </row>
    <row r="1327" spans="1:20" hidden="1" x14ac:dyDescent="0.25">
      <c r="A1327" s="15">
        <v>22350346</v>
      </c>
      <c r="H1327" s="16">
        <v>45623</v>
      </c>
      <c r="I1327" s="16">
        <v>45848</v>
      </c>
      <c r="J1327" s="15" t="str">
        <f>VLOOKUP(A1327,sinap!$A$2:$R$9000,2,FALSE)</f>
        <v>H</v>
      </c>
      <c r="K1327" s="15" t="str">
        <f>VLOOKUP(A1327,sinap!$A$2:$R$9000,3,FALSE)</f>
        <v>VACA</v>
      </c>
      <c r="L1327" s="15" t="str">
        <f>VLOOKUP(A1327,sinap!$A$2:$R$9000,4,FALSE)</f>
        <v>ANGUS NEGRO</v>
      </c>
      <c r="M1327" s="15" t="str">
        <f>VLOOKUP(A1327,sinap!$A$2:$R$9000,5,FALSE)</f>
        <v>3 años 3 meses</v>
      </c>
      <c r="N1327" s="15" t="str">
        <f>VLOOKUP(A1327,sinap!$A$2:$R$9000,6,FALSE)</f>
        <v>10-10-2022</v>
      </c>
      <c r="O1327" s="15" t="str">
        <f>VLOOKUP(A1327,sinap!$A$2:$R$9000,7,FALSE)</f>
        <v>Vivo</v>
      </c>
      <c r="P1327" s="15" t="str">
        <f>VLOOKUP(A1327,sinap!$A$2:$R$9000,8,FALSE)</f>
        <v>11.1.01.0791</v>
      </c>
      <c r="Q1327" s="15" t="str">
        <f>VLOOKUP(A1327,sinap!$A$2:$R$9000,12,FALSE)</f>
        <v>11.1.01.0893</v>
      </c>
      <c r="R1327" s="15" t="str">
        <f>VLOOKUP(A1327,sinap!$A$2:$R$9000,16,FALSE)</f>
        <v>11.1.01.0893</v>
      </c>
      <c r="S1327" s="15" t="str">
        <f>VLOOKUP(A1327,sinap!$A$2:$Y$9000,20,FALSE)</f>
        <v>SI</v>
      </c>
      <c r="T1327" s="16">
        <v>44916</v>
      </c>
    </row>
    <row r="1328" spans="1:20" hidden="1" x14ac:dyDescent="0.25">
      <c r="A1328" s="15">
        <v>22350347</v>
      </c>
      <c r="H1328" s="16">
        <v>45623</v>
      </c>
      <c r="I1328" s="16">
        <v>45848</v>
      </c>
      <c r="J1328" s="15" t="str">
        <f>VLOOKUP(A1328,sinap!$A$2:$R$9000,2,FALSE)</f>
        <v>H</v>
      </c>
      <c r="K1328" s="15" t="str">
        <f>VLOOKUP(A1328,sinap!$A$2:$R$9000,3,FALSE)</f>
        <v>VACA</v>
      </c>
      <c r="L1328" s="15" t="str">
        <f>VLOOKUP(A1328,sinap!$A$2:$R$9000,4,FALSE)</f>
        <v>ANGUS NEGRO</v>
      </c>
      <c r="M1328" s="15" t="str">
        <f>VLOOKUP(A1328,sinap!$A$2:$R$9000,5,FALSE)</f>
        <v>3 años 3 meses</v>
      </c>
      <c r="N1328" s="15" t="str">
        <f>VLOOKUP(A1328,sinap!$A$2:$R$9000,6,FALSE)</f>
        <v>10-10-2022</v>
      </c>
      <c r="O1328" s="15" t="str">
        <f>VLOOKUP(A1328,sinap!$A$2:$R$9000,7,FALSE)</f>
        <v>Vivo</v>
      </c>
      <c r="P1328" s="15" t="str">
        <f>VLOOKUP(A1328,sinap!$A$2:$R$9000,8,FALSE)</f>
        <v>11.1.01.1022</v>
      </c>
      <c r="Q1328" s="15" t="str">
        <f>VLOOKUP(A1328,sinap!$A$2:$R$9000,12,FALSE)</f>
        <v>11.1.01.0893</v>
      </c>
      <c r="R1328" s="15" t="str">
        <f>VLOOKUP(A1328,sinap!$A$2:$R$9000,16,FALSE)</f>
        <v>11.1.01.0893</v>
      </c>
      <c r="S1328" s="15" t="str">
        <f>VLOOKUP(A1328,sinap!$A$2:$Y$9000,20,FALSE)</f>
        <v>SI</v>
      </c>
      <c r="T1328" s="16">
        <v>44916</v>
      </c>
    </row>
    <row r="1329" spans="1:20" hidden="1" x14ac:dyDescent="0.25">
      <c r="A1329" s="15">
        <v>22350349</v>
      </c>
      <c r="H1329" s="16">
        <v>45623</v>
      </c>
      <c r="I1329" s="16">
        <v>45848</v>
      </c>
      <c r="J1329" s="15" t="str">
        <f>VLOOKUP(A1329,sinap!$A$2:$R$9000,2,FALSE)</f>
        <v>H</v>
      </c>
      <c r="K1329" s="15" t="str">
        <f>VLOOKUP(A1329,sinap!$A$2:$R$9000,3,FALSE)</f>
        <v>VACA</v>
      </c>
      <c r="L1329" s="15" t="str">
        <f>VLOOKUP(A1329,sinap!$A$2:$R$9000,4,FALSE)</f>
        <v>ANGUS NEGRO</v>
      </c>
      <c r="M1329" s="15" t="str">
        <f>VLOOKUP(A1329,sinap!$A$2:$R$9000,5,FALSE)</f>
        <v>3 años 3 meses</v>
      </c>
      <c r="N1329" s="15" t="str">
        <f>VLOOKUP(A1329,sinap!$A$2:$R$9000,6,FALSE)</f>
        <v>10-10-2022</v>
      </c>
      <c r="O1329" s="15" t="str">
        <f>VLOOKUP(A1329,sinap!$A$2:$R$9000,7,FALSE)</f>
        <v>Vivo</v>
      </c>
      <c r="P1329" s="15" t="str">
        <f>VLOOKUP(A1329,sinap!$A$2:$R$9000,8,FALSE)</f>
        <v>11.1.01.0791</v>
      </c>
      <c r="Q1329" s="15" t="str">
        <f>VLOOKUP(A1329,sinap!$A$2:$R$9000,12,FALSE)</f>
        <v>11.1.01.0893</v>
      </c>
      <c r="R1329" s="15" t="str">
        <f>VLOOKUP(A1329,sinap!$A$2:$R$9000,16,FALSE)</f>
        <v>11.1.01.0893</v>
      </c>
      <c r="S1329" s="15" t="str">
        <f>VLOOKUP(A1329,sinap!$A$2:$Y$9000,20,FALSE)</f>
        <v>SI</v>
      </c>
      <c r="T1329" s="16">
        <v>44916</v>
      </c>
    </row>
    <row r="1330" spans="1:20" hidden="1" x14ac:dyDescent="0.25">
      <c r="A1330" s="15">
        <v>22350352</v>
      </c>
      <c r="H1330" s="16">
        <v>45623</v>
      </c>
      <c r="I1330" s="16">
        <v>45848</v>
      </c>
      <c r="J1330" s="15" t="str">
        <f>VLOOKUP(A1330,sinap!$A$2:$R$9000,2,FALSE)</f>
        <v>H</v>
      </c>
      <c r="K1330" s="15" t="str">
        <f>VLOOKUP(A1330,sinap!$A$2:$R$9000,3,FALSE)</f>
        <v>VACA</v>
      </c>
      <c r="L1330" s="15" t="str">
        <f>VLOOKUP(A1330,sinap!$A$2:$R$9000,4,FALSE)</f>
        <v>ANGUS NEGRO</v>
      </c>
      <c r="M1330" s="15" t="str">
        <f>VLOOKUP(A1330,sinap!$A$2:$R$9000,5,FALSE)</f>
        <v>3 años 3 meses</v>
      </c>
      <c r="N1330" s="15" t="str">
        <f>VLOOKUP(A1330,sinap!$A$2:$R$9000,6,FALSE)</f>
        <v>10-10-2022</v>
      </c>
      <c r="O1330" s="15" t="str">
        <f>VLOOKUP(A1330,sinap!$A$2:$R$9000,7,FALSE)</f>
        <v>Vivo</v>
      </c>
      <c r="P1330" s="15" t="str">
        <f>VLOOKUP(A1330,sinap!$A$2:$R$9000,8,FALSE)</f>
        <v>11.1.01.0791</v>
      </c>
      <c r="Q1330" s="15" t="str">
        <f>VLOOKUP(A1330,sinap!$A$2:$R$9000,12,FALSE)</f>
        <v>11.1.01.0893</v>
      </c>
      <c r="R1330" s="15" t="str">
        <f>VLOOKUP(A1330,sinap!$A$2:$R$9000,16,FALSE)</f>
        <v>11.1.01.0893</v>
      </c>
      <c r="S1330" s="15" t="str">
        <f>VLOOKUP(A1330,sinap!$A$2:$Y$9000,20,FALSE)</f>
        <v>SI</v>
      </c>
      <c r="T1330" s="16">
        <v>44916</v>
      </c>
    </row>
    <row r="1331" spans="1:20" hidden="1" x14ac:dyDescent="0.25">
      <c r="A1331" s="15">
        <v>22350354</v>
      </c>
      <c r="H1331" s="16">
        <v>45623</v>
      </c>
      <c r="I1331" s="16">
        <v>45848</v>
      </c>
      <c r="J1331" s="15" t="str">
        <f>VLOOKUP(A1331,sinap!$A$2:$R$9000,2,FALSE)</f>
        <v>H</v>
      </c>
      <c r="K1331" s="15" t="str">
        <f>VLOOKUP(A1331,sinap!$A$2:$R$9000,3,FALSE)</f>
        <v>VACA</v>
      </c>
      <c r="L1331" s="15" t="str">
        <f>VLOOKUP(A1331,sinap!$A$2:$R$9000,4,FALSE)</f>
        <v>ANGUS NEGRO</v>
      </c>
      <c r="M1331" s="15" t="str">
        <f>VLOOKUP(A1331,sinap!$A$2:$R$9000,5,FALSE)</f>
        <v>3 años 3 meses</v>
      </c>
      <c r="N1331" s="15" t="str">
        <f>VLOOKUP(A1331,sinap!$A$2:$R$9000,6,FALSE)</f>
        <v>10-10-2022</v>
      </c>
      <c r="O1331" s="15" t="str">
        <f>VLOOKUP(A1331,sinap!$A$2:$R$9000,7,FALSE)</f>
        <v>Vivo</v>
      </c>
      <c r="P1331" s="15" t="str">
        <f>VLOOKUP(A1331,sinap!$A$2:$R$9000,8,FALSE)</f>
        <v>11.1.01.0791</v>
      </c>
      <c r="Q1331" s="15" t="str">
        <f>VLOOKUP(A1331,sinap!$A$2:$R$9000,12,FALSE)</f>
        <v>11.1.01.0893</v>
      </c>
      <c r="R1331" s="15" t="str">
        <f>VLOOKUP(A1331,sinap!$A$2:$R$9000,16,FALSE)</f>
        <v>11.1.01.0893</v>
      </c>
      <c r="S1331" s="15" t="str">
        <f>VLOOKUP(A1331,sinap!$A$2:$Y$9000,20,FALSE)</f>
        <v>SI</v>
      </c>
      <c r="T1331" s="16">
        <v>44916</v>
      </c>
    </row>
    <row r="1332" spans="1:20" hidden="1" x14ac:dyDescent="0.25">
      <c r="A1332" s="15">
        <v>22350358</v>
      </c>
      <c r="H1332" s="16">
        <v>45623</v>
      </c>
      <c r="I1332" s="16">
        <v>45848</v>
      </c>
      <c r="J1332" s="15" t="str">
        <f>VLOOKUP(A1332,sinap!$A$2:$R$9000,2,FALSE)</f>
        <v>H</v>
      </c>
      <c r="K1332" s="15" t="str">
        <f>VLOOKUP(A1332,sinap!$A$2:$R$9000,3,FALSE)</f>
        <v>VACA</v>
      </c>
      <c r="L1332" s="15" t="str">
        <f>VLOOKUP(A1332,sinap!$A$2:$R$9000,4,FALSE)</f>
        <v>ANGUS NEGRO</v>
      </c>
      <c r="M1332" s="15" t="str">
        <f>VLOOKUP(A1332,sinap!$A$2:$R$9000,5,FALSE)</f>
        <v>3 años 3 meses</v>
      </c>
      <c r="N1332" s="15" t="str">
        <f>VLOOKUP(A1332,sinap!$A$2:$R$9000,6,FALSE)</f>
        <v>10-10-2022</v>
      </c>
      <c r="O1332" s="15" t="str">
        <f>VLOOKUP(A1332,sinap!$A$2:$R$9000,7,FALSE)</f>
        <v>Vivo</v>
      </c>
      <c r="P1332" s="15" t="str">
        <f>VLOOKUP(A1332,sinap!$A$2:$R$9000,8,FALSE)</f>
        <v>11.1.01.0791</v>
      </c>
      <c r="Q1332" s="15" t="str">
        <f>VLOOKUP(A1332,sinap!$A$2:$R$9000,12,FALSE)</f>
        <v>11.1.01.0893</v>
      </c>
      <c r="R1332" s="15" t="str">
        <f>VLOOKUP(A1332,sinap!$A$2:$R$9000,16,FALSE)</f>
        <v>11.1.01.0893</v>
      </c>
      <c r="S1332" s="15" t="str">
        <f>VLOOKUP(A1332,sinap!$A$2:$Y$9000,20,FALSE)</f>
        <v>SI</v>
      </c>
      <c r="T1332" s="16">
        <v>44916</v>
      </c>
    </row>
    <row r="1333" spans="1:20" hidden="1" x14ac:dyDescent="0.25">
      <c r="A1333" s="15">
        <v>22350362</v>
      </c>
      <c r="H1333" s="16">
        <v>45623</v>
      </c>
      <c r="I1333" s="16">
        <v>45848</v>
      </c>
      <c r="J1333" s="15" t="str">
        <f>VLOOKUP(A1333,sinap!$A$2:$R$9000,2,FALSE)</f>
        <v>H</v>
      </c>
      <c r="K1333" s="15" t="str">
        <f>VLOOKUP(A1333,sinap!$A$2:$R$9000,3,FALSE)</f>
        <v>VACA</v>
      </c>
      <c r="L1333" s="15" t="str">
        <f>VLOOKUP(A1333,sinap!$A$2:$R$9000,4,FALSE)</f>
        <v>ANGUS NEGRO</v>
      </c>
      <c r="M1333" s="15" t="str">
        <f>VLOOKUP(A1333,sinap!$A$2:$R$9000,5,FALSE)</f>
        <v>3 años 3 meses</v>
      </c>
      <c r="N1333" s="15" t="str">
        <f>VLOOKUP(A1333,sinap!$A$2:$R$9000,6,FALSE)</f>
        <v>10-10-2022</v>
      </c>
      <c r="O1333" s="15" t="str">
        <f>VLOOKUP(A1333,sinap!$A$2:$R$9000,7,FALSE)</f>
        <v>Vivo</v>
      </c>
      <c r="P1333" s="15" t="str">
        <f>VLOOKUP(A1333,sinap!$A$2:$R$9000,8,FALSE)</f>
        <v>11.1.01.0791</v>
      </c>
      <c r="Q1333" s="15" t="str">
        <f>VLOOKUP(A1333,sinap!$A$2:$R$9000,12,FALSE)</f>
        <v>11.1.01.0893</v>
      </c>
      <c r="R1333" s="15" t="str">
        <f>VLOOKUP(A1333,sinap!$A$2:$R$9000,16,FALSE)</f>
        <v>11.1.01.0893</v>
      </c>
      <c r="S1333" s="15" t="str">
        <f>VLOOKUP(A1333,sinap!$A$2:$Y$9000,20,FALSE)</f>
        <v>SI</v>
      </c>
      <c r="T1333" s="16">
        <v>44916</v>
      </c>
    </row>
    <row r="1334" spans="1:20" hidden="1" x14ac:dyDescent="0.25">
      <c r="A1334" s="15">
        <v>22350363</v>
      </c>
      <c r="H1334" s="16">
        <v>45623</v>
      </c>
      <c r="I1334" s="16">
        <v>45848</v>
      </c>
      <c r="J1334" s="15" t="str">
        <f>VLOOKUP(A1334,sinap!$A$2:$R$9000,2,FALSE)</f>
        <v>H</v>
      </c>
      <c r="K1334" s="15" t="str">
        <f>VLOOKUP(A1334,sinap!$A$2:$R$9000,3,FALSE)</f>
        <v>VACA</v>
      </c>
      <c r="L1334" s="15" t="str">
        <f>VLOOKUP(A1334,sinap!$A$2:$R$9000,4,FALSE)</f>
        <v>ANGUS NEGRO</v>
      </c>
      <c r="M1334" s="15" t="str">
        <f>VLOOKUP(A1334,sinap!$A$2:$R$9000,5,FALSE)</f>
        <v>3 años 3 meses</v>
      </c>
      <c r="N1334" s="15" t="str">
        <f>VLOOKUP(A1334,sinap!$A$2:$R$9000,6,FALSE)</f>
        <v>10-10-2022</v>
      </c>
      <c r="O1334" s="15" t="str">
        <f>VLOOKUP(A1334,sinap!$A$2:$R$9000,7,FALSE)</f>
        <v>Vivo</v>
      </c>
      <c r="P1334" s="15" t="str">
        <f>VLOOKUP(A1334,sinap!$A$2:$R$9000,8,FALSE)</f>
        <v>11.1.01.0791</v>
      </c>
      <c r="Q1334" s="15" t="str">
        <f>VLOOKUP(A1334,sinap!$A$2:$R$9000,12,FALSE)</f>
        <v>11.1.01.0893</v>
      </c>
      <c r="R1334" s="15" t="str">
        <f>VLOOKUP(A1334,sinap!$A$2:$R$9000,16,FALSE)</f>
        <v>11.1.01.0893</v>
      </c>
      <c r="S1334" s="15" t="str">
        <f>VLOOKUP(A1334,sinap!$A$2:$Y$9000,20,FALSE)</f>
        <v>SI</v>
      </c>
      <c r="T1334" s="16">
        <v>44916</v>
      </c>
    </row>
    <row r="1335" spans="1:20" hidden="1" x14ac:dyDescent="0.25">
      <c r="A1335" s="15">
        <v>22350364</v>
      </c>
      <c r="H1335" s="16">
        <v>45623</v>
      </c>
      <c r="J1335" s="15" t="str">
        <f>VLOOKUP(A1335,sinap!$A$2:$R$9000,2,FALSE)</f>
        <v>H</v>
      </c>
      <c r="K1335" s="15" t="str">
        <f>VLOOKUP(A1335,sinap!$A$2:$R$9000,3,FALSE)</f>
        <v>VACA</v>
      </c>
      <c r="L1335" s="15" t="str">
        <f>VLOOKUP(A1335,sinap!$A$2:$R$9000,4,FALSE)</f>
        <v>ANGUS NEGRO</v>
      </c>
      <c r="M1335" s="15" t="str">
        <f>VLOOKUP(A1335,sinap!$A$2:$R$9000,5,FALSE)</f>
        <v>3 años 3 meses</v>
      </c>
      <c r="N1335" s="15" t="str">
        <f>VLOOKUP(A1335,sinap!$A$2:$R$9000,6,FALSE)</f>
        <v>10-10-2022</v>
      </c>
      <c r="O1335" s="15" t="str">
        <f>VLOOKUP(A1335,sinap!$A$2:$R$9000,7,FALSE)</f>
        <v>Vivo</v>
      </c>
      <c r="P1335" s="15" t="str">
        <f>VLOOKUP(A1335,sinap!$A$2:$R$9000,8,FALSE)</f>
        <v>11.2.01.0038</v>
      </c>
      <c r="Q1335" s="15" t="str">
        <f>VLOOKUP(A1335,sinap!$A$2:$R$9000,12,FALSE)</f>
        <v>11.1.01.0893</v>
      </c>
      <c r="R1335" s="15" t="str">
        <f>VLOOKUP(A1335,sinap!$A$2:$R$9000,16,FALSE)</f>
        <v>11.1.01.0893</v>
      </c>
      <c r="S1335" s="15" t="str">
        <f>VLOOKUP(A1335,sinap!$A$2:$Y$9000,20,FALSE)</f>
        <v>SI</v>
      </c>
      <c r="T1335" s="16">
        <v>44916</v>
      </c>
    </row>
    <row r="1336" spans="1:20" hidden="1" x14ac:dyDescent="0.25">
      <c r="A1336" s="15">
        <v>22350365</v>
      </c>
      <c r="H1336" s="16">
        <v>45623</v>
      </c>
      <c r="I1336" s="16">
        <v>45848</v>
      </c>
      <c r="J1336" s="15" t="str">
        <f>VLOOKUP(A1336,sinap!$A$2:$R$9000,2,FALSE)</f>
        <v>H</v>
      </c>
      <c r="K1336" s="15" t="str">
        <f>VLOOKUP(A1336,sinap!$A$2:$R$9000,3,FALSE)</f>
        <v>VACA</v>
      </c>
      <c r="L1336" s="15" t="str">
        <f>VLOOKUP(A1336,sinap!$A$2:$R$9000,4,FALSE)</f>
        <v>ANGUS NEGRO</v>
      </c>
      <c r="M1336" s="15" t="str">
        <f>VLOOKUP(A1336,sinap!$A$2:$R$9000,5,FALSE)</f>
        <v>3 años 3 meses</v>
      </c>
      <c r="N1336" s="15" t="str">
        <f>VLOOKUP(A1336,sinap!$A$2:$R$9000,6,FALSE)</f>
        <v>10-10-2022</v>
      </c>
      <c r="O1336" s="15" t="str">
        <f>VLOOKUP(A1336,sinap!$A$2:$R$9000,7,FALSE)</f>
        <v>Vivo</v>
      </c>
      <c r="P1336" s="15" t="str">
        <f>VLOOKUP(A1336,sinap!$A$2:$R$9000,8,FALSE)</f>
        <v>11.1.01.0791</v>
      </c>
      <c r="Q1336" s="15" t="str">
        <f>VLOOKUP(A1336,sinap!$A$2:$R$9000,12,FALSE)</f>
        <v>11.1.01.0893</v>
      </c>
      <c r="R1336" s="15" t="str">
        <f>VLOOKUP(A1336,sinap!$A$2:$R$9000,16,FALSE)</f>
        <v>11.1.01.0893</v>
      </c>
      <c r="S1336" s="15" t="str">
        <f>VLOOKUP(A1336,sinap!$A$2:$Y$9000,20,FALSE)</f>
        <v>SI</v>
      </c>
      <c r="T1336" s="16">
        <v>44916</v>
      </c>
    </row>
    <row r="1337" spans="1:20" hidden="1" x14ac:dyDescent="0.25">
      <c r="A1337" s="15">
        <v>22350368</v>
      </c>
      <c r="H1337" s="16">
        <v>45623</v>
      </c>
      <c r="I1337" s="16">
        <v>45848</v>
      </c>
      <c r="J1337" s="15" t="str">
        <f>VLOOKUP(A1337,sinap!$A$2:$R$9000,2,FALSE)</f>
        <v>H</v>
      </c>
      <c r="K1337" s="15" t="str">
        <f>VLOOKUP(A1337,sinap!$A$2:$R$9000,3,FALSE)</f>
        <v>VACA</v>
      </c>
      <c r="L1337" s="15" t="str">
        <f>VLOOKUP(A1337,sinap!$A$2:$R$9000,4,FALSE)</f>
        <v>ANGUS NEGRO</v>
      </c>
      <c r="M1337" s="15" t="str">
        <f>VLOOKUP(A1337,sinap!$A$2:$R$9000,5,FALSE)</f>
        <v>3 años 3 meses</v>
      </c>
      <c r="N1337" s="15" t="str">
        <f>VLOOKUP(A1337,sinap!$A$2:$R$9000,6,FALSE)</f>
        <v>10-10-2022</v>
      </c>
      <c r="O1337" s="15" t="str">
        <f>VLOOKUP(A1337,sinap!$A$2:$R$9000,7,FALSE)</f>
        <v>Vivo</v>
      </c>
      <c r="P1337" s="15" t="str">
        <f>VLOOKUP(A1337,sinap!$A$2:$R$9000,8,FALSE)</f>
        <v>11.1.01.0791</v>
      </c>
      <c r="Q1337" s="15" t="str">
        <f>VLOOKUP(A1337,sinap!$A$2:$R$9000,12,FALSE)</f>
        <v>11.1.01.0893</v>
      </c>
      <c r="R1337" s="15" t="str">
        <f>VLOOKUP(A1337,sinap!$A$2:$R$9000,16,FALSE)</f>
        <v>11.1.01.0893</v>
      </c>
      <c r="S1337" s="15" t="str">
        <f>VLOOKUP(A1337,sinap!$A$2:$Y$9000,20,FALSE)</f>
        <v>SI</v>
      </c>
      <c r="T1337" s="16">
        <v>44916</v>
      </c>
    </row>
    <row r="1338" spans="1:20" hidden="1" x14ac:dyDescent="0.25">
      <c r="A1338" s="15">
        <v>22350375</v>
      </c>
      <c r="H1338" s="16">
        <v>45623</v>
      </c>
      <c r="I1338" s="16">
        <v>45848</v>
      </c>
      <c r="J1338" s="15" t="str">
        <f>VLOOKUP(A1338,sinap!$A$2:$R$9000,2,FALSE)</f>
        <v>H</v>
      </c>
      <c r="K1338" s="15" t="str">
        <f>VLOOKUP(A1338,sinap!$A$2:$R$9000,3,FALSE)</f>
        <v>VACA</v>
      </c>
      <c r="L1338" s="15" t="str">
        <f>VLOOKUP(A1338,sinap!$A$2:$R$9000,4,FALSE)</f>
        <v>ANGUS NEGRO</v>
      </c>
      <c r="M1338" s="15" t="str">
        <f>VLOOKUP(A1338,sinap!$A$2:$R$9000,5,FALSE)</f>
        <v>3 años 3 meses</v>
      </c>
      <c r="N1338" s="15" t="str">
        <f>VLOOKUP(A1338,sinap!$A$2:$R$9000,6,FALSE)</f>
        <v>10-10-2022</v>
      </c>
      <c r="O1338" s="15" t="str">
        <f>VLOOKUP(A1338,sinap!$A$2:$R$9000,7,FALSE)</f>
        <v>Vivo</v>
      </c>
      <c r="P1338" s="15" t="str">
        <f>VLOOKUP(A1338,sinap!$A$2:$R$9000,8,FALSE)</f>
        <v>11.1.01.1022</v>
      </c>
      <c r="Q1338" s="15" t="str">
        <f>VLOOKUP(A1338,sinap!$A$2:$R$9000,12,FALSE)</f>
        <v>11.1.01.0893</v>
      </c>
      <c r="R1338" s="15" t="str">
        <f>VLOOKUP(A1338,sinap!$A$2:$R$9000,16,FALSE)</f>
        <v>11.1.01.0893</v>
      </c>
      <c r="S1338" s="15" t="str">
        <f>VLOOKUP(A1338,sinap!$A$2:$Y$9000,20,FALSE)</f>
        <v>SI</v>
      </c>
      <c r="T1338" s="16">
        <v>44916</v>
      </c>
    </row>
    <row r="1339" spans="1:20" hidden="1" x14ac:dyDescent="0.25">
      <c r="A1339" s="15">
        <v>22350377</v>
      </c>
      <c r="H1339" s="16">
        <v>45623</v>
      </c>
      <c r="I1339" s="16">
        <v>45848</v>
      </c>
      <c r="J1339" s="15" t="str">
        <f>VLOOKUP(A1339,sinap!$A$2:$R$9000,2,FALSE)</f>
        <v>H</v>
      </c>
      <c r="K1339" s="15" t="str">
        <f>VLOOKUP(A1339,sinap!$A$2:$R$9000,3,FALSE)</f>
        <v>VACA</v>
      </c>
      <c r="L1339" s="15" t="str">
        <f>VLOOKUP(A1339,sinap!$A$2:$R$9000,4,FALSE)</f>
        <v>ANGUS NEGRO</v>
      </c>
      <c r="M1339" s="15" t="str">
        <f>VLOOKUP(A1339,sinap!$A$2:$R$9000,5,FALSE)</f>
        <v>3 años 3 meses</v>
      </c>
      <c r="N1339" s="15" t="str">
        <f>VLOOKUP(A1339,sinap!$A$2:$R$9000,6,FALSE)</f>
        <v>10-10-2022</v>
      </c>
      <c r="O1339" s="15" t="str">
        <f>VLOOKUP(A1339,sinap!$A$2:$R$9000,7,FALSE)</f>
        <v>Vivo</v>
      </c>
      <c r="P1339" s="15" t="str">
        <f>VLOOKUP(A1339,sinap!$A$2:$R$9000,8,FALSE)</f>
        <v>11.1.01.0791</v>
      </c>
      <c r="Q1339" s="15" t="str">
        <f>VLOOKUP(A1339,sinap!$A$2:$R$9000,12,FALSE)</f>
        <v>11.1.01.0893</v>
      </c>
      <c r="R1339" s="15" t="str">
        <f>VLOOKUP(A1339,sinap!$A$2:$R$9000,16,FALSE)</f>
        <v>11.1.01.0893</v>
      </c>
      <c r="S1339" s="15" t="str">
        <f>VLOOKUP(A1339,sinap!$A$2:$Y$9000,20,FALSE)</f>
        <v>SI</v>
      </c>
      <c r="T1339" s="16">
        <v>44916</v>
      </c>
    </row>
    <row r="1340" spans="1:20" hidden="1" x14ac:dyDescent="0.25">
      <c r="A1340" s="15">
        <v>22350378</v>
      </c>
      <c r="H1340" s="16">
        <v>45623</v>
      </c>
      <c r="I1340" s="16">
        <v>45848</v>
      </c>
      <c r="J1340" s="15" t="str">
        <f>VLOOKUP(A1340,sinap!$A$2:$R$9000,2,FALSE)</f>
        <v>H</v>
      </c>
      <c r="K1340" s="15" t="str">
        <f>VLOOKUP(A1340,sinap!$A$2:$R$9000,3,FALSE)</f>
        <v>VACA</v>
      </c>
      <c r="L1340" s="15" t="str">
        <f>VLOOKUP(A1340,sinap!$A$2:$R$9000,4,FALSE)</f>
        <v>ANGUS NEGRO</v>
      </c>
      <c r="M1340" s="15" t="str">
        <f>VLOOKUP(A1340,sinap!$A$2:$R$9000,5,FALSE)</f>
        <v>3 años 3 meses</v>
      </c>
      <c r="N1340" s="15" t="str">
        <f>VLOOKUP(A1340,sinap!$A$2:$R$9000,6,FALSE)</f>
        <v>10-10-2022</v>
      </c>
      <c r="O1340" s="15" t="str">
        <f>VLOOKUP(A1340,sinap!$A$2:$R$9000,7,FALSE)</f>
        <v>Vivo</v>
      </c>
      <c r="P1340" s="15" t="str">
        <f>VLOOKUP(A1340,sinap!$A$2:$R$9000,8,FALSE)</f>
        <v>11.1.01.0791</v>
      </c>
      <c r="Q1340" s="15" t="str">
        <f>VLOOKUP(A1340,sinap!$A$2:$R$9000,12,FALSE)</f>
        <v>11.1.01.0893</v>
      </c>
      <c r="R1340" s="15" t="str">
        <f>VLOOKUP(A1340,sinap!$A$2:$R$9000,16,FALSE)</f>
        <v>11.1.01.0893</v>
      </c>
      <c r="S1340" s="15" t="str">
        <f>VLOOKUP(A1340,sinap!$A$2:$Y$9000,20,FALSE)</f>
        <v>SI</v>
      </c>
      <c r="T1340" s="16">
        <v>44916</v>
      </c>
    </row>
    <row r="1341" spans="1:20" hidden="1" x14ac:dyDescent="0.25">
      <c r="A1341" s="15">
        <v>22350380</v>
      </c>
      <c r="H1341" s="16">
        <v>45623</v>
      </c>
      <c r="I1341" s="16">
        <v>45848</v>
      </c>
      <c r="J1341" s="15" t="str">
        <f>VLOOKUP(A1341,sinap!$A$2:$R$9000,2,FALSE)</f>
        <v>H</v>
      </c>
      <c r="K1341" s="15" t="str">
        <f>VLOOKUP(A1341,sinap!$A$2:$R$9000,3,FALSE)</f>
        <v>VACA</v>
      </c>
      <c r="L1341" s="15" t="str">
        <f>VLOOKUP(A1341,sinap!$A$2:$R$9000,4,FALSE)</f>
        <v>ANGUS NEGRO</v>
      </c>
      <c r="M1341" s="15" t="str">
        <f>VLOOKUP(A1341,sinap!$A$2:$R$9000,5,FALSE)</f>
        <v>3 años 3 meses</v>
      </c>
      <c r="N1341" s="15" t="str">
        <f>VLOOKUP(A1341,sinap!$A$2:$R$9000,6,FALSE)</f>
        <v>10-10-2022</v>
      </c>
      <c r="O1341" s="15" t="str">
        <f>VLOOKUP(A1341,sinap!$A$2:$R$9000,7,FALSE)</f>
        <v>Vivo</v>
      </c>
      <c r="P1341" s="15" t="str">
        <f>VLOOKUP(A1341,sinap!$A$2:$R$9000,8,FALSE)</f>
        <v>11.1.01.0791</v>
      </c>
      <c r="Q1341" s="15" t="str">
        <f>VLOOKUP(A1341,sinap!$A$2:$R$9000,12,FALSE)</f>
        <v>11.1.01.0893</v>
      </c>
      <c r="R1341" s="15" t="str">
        <f>VLOOKUP(A1341,sinap!$A$2:$R$9000,16,FALSE)</f>
        <v>11.1.01.0893</v>
      </c>
      <c r="S1341" s="15" t="str">
        <f>VLOOKUP(A1341,sinap!$A$2:$Y$9000,20,FALSE)</f>
        <v>SI</v>
      </c>
      <c r="T1341" s="16">
        <v>44916</v>
      </c>
    </row>
    <row r="1342" spans="1:20" hidden="1" x14ac:dyDescent="0.25">
      <c r="A1342" s="15">
        <v>22350386</v>
      </c>
      <c r="H1342" s="16">
        <v>45623</v>
      </c>
      <c r="I1342" s="16">
        <v>45848</v>
      </c>
      <c r="J1342" s="15" t="str">
        <f>VLOOKUP(A1342,sinap!$A$2:$R$9000,2,FALSE)</f>
        <v>H</v>
      </c>
      <c r="K1342" s="15" t="str">
        <f>VLOOKUP(A1342,sinap!$A$2:$R$9000,3,FALSE)</f>
        <v>VACA</v>
      </c>
      <c r="L1342" s="15" t="str">
        <f>VLOOKUP(A1342,sinap!$A$2:$R$9000,4,FALSE)</f>
        <v>ANGUS NEGRO</v>
      </c>
      <c r="M1342" s="15" t="str">
        <f>VLOOKUP(A1342,sinap!$A$2:$R$9000,5,FALSE)</f>
        <v>3 años 3 meses</v>
      </c>
      <c r="N1342" s="15" t="str">
        <f>VLOOKUP(A1342,sinap!$A$2:$R$9000,6,FALSE)</f>
        <v>10-10-2022</v>
      </c>
      <c r="O1342" s="15" t="str">
        <f>VLOOKUP(A1342,sinap!$A$2:$R$9000,7,FALSE)</f>
        <v>Vivo</v>
      </c>
      <c r="P1342" s="15" t="str">
        <f>VLOOKUP(A1342,sinap!$A$2:$R$9000,8,FALSE)</f>
        <v>11.1.01.1022</v>
      </c>
      <c r="Q1342" s="15" t="str">
        <f>VLOOKUP(A1342,sinap!$A$2:$R$9000,12,FALSE)</f>
        <v>11.1.01.0893</v>
      </c>
      <c r="R1342" s="15" t="str">
        <f>VLOOKUP(A1342,sinap!$A$2:$R$9000,16,FALSE)</f>
        <v>11.1.01.0893</v>
      </c>
      <c r="S1342" s="15" t="str">
        <f>VLOOKUP(A1342,sinap!$A$2:$Y$9000,20,FALSE)</f>
        <v>SI</v>
      </c>
      <c r="T1342" s="16">
        <v>44916</v>
      </c>
    </row>
    <row r="1343" spans="1:20" hidden="1" x14ac:dyDescent="0.25">
      <c r="A1343" s="15">
        <v>22350390</v>
      </c>
      <c r="H1343" s="16">
        <v>45623</v>
      </c>
      <c r="I1343" s="16">
        <v>45848</v>
      </c>
      <c r="J1343" s="15" t="str">
        <f>VLOOKUP(A1343,sinap!$A$2:$R$9000,2,FALSE)</f>
        <v>H</v>
      </c>
      <c r="K1343" s="15" t="str">
        <f>VLOOKUP(A1343,sinap!$A$2:$R$9000,3,FALSE)</f>
        <v>VACA</v>
      </c>
      <c r="L1343" s="15" t="str">
        <f>VLOOKUP(A1343,sinap!$A$2:$R$9000,4,FALSE)</f>
        <v>ANGUS ROJO</v>
      </c>
      <c r="M1343" s="15" t="str">
        <f>VLOOKUP(A1343,sinap!$A$2:$R$9000,5,FALSE)</f>
        <v>3 años 3 meses</v>
      </c>
      <c r="N1343" s="15" t="str">
        <f>VLOOKUP(A1343,sinap!$A$2:$R$9000,6,FALSE)</f>
        <v>10-10-2022</v>
      </c>
      <c r="O1343" s="15" t="str">
        <f>VLOOKUP(A1343,sinap!$A$2:$R$9000,7,FALSE)</f>
        <v>Vivo</v>
      </c>
      <c r="P1343" s="15" t="str">
        <f>VLOOKUP(A1343,sinap!$A$2:$R$9000,8,FALSE)</f>
        <v>11.1.01.0791</v>
      </c>
      <c r="Q1343" s="15" t="str">
        <f>VLOOKUP(A1343,sinap!$A$2:$R$9000,12,FALSE)</f>
        <v>11.1.01.0893</v>
      </c>
      <c r="R1343" s="15" t="str">
        <f>VLOOKUP(A1343,sinap!$A$2:$R$9000,16,FALSE)</f>
        <v>11.1.01.0893</v>
      </c>
      <c r="S1343" s="15" t="str">
        <f>VLOOKUP(A1343,sinap!$A$2:$Y$9000,20,FALSE)</f>
        <v>SI</v>
      </c>
      <c r="T1343" s="16">
        <v>44916</v>
      </c>
    </row>
    <row r="1344" spans="1:20" hidden="1" x14ac:dyDescent="0.25">
      <c r="A1344" s="15">
        <v>22350394</v>
      </c>
      <c r="H1344" s="16">
        <v>45623</v>
      </c>
      <c r="I1344" s="16">
        <v>45848</v>
      </c>
      <c r="J1344" s="15" t="str">
        <f>VLOOKUP(A1344,sinap!$A$2:$R$9000,2,FALSE)</f>
        <v>H</v>
      </c>
      <c r="K1344" s="15" t="str">
        <f>VLOOKUP(A1344,sinap!$A$2:$R$9000,3,FALSE)</f>
        <v>VACA</v>
      </c>
      <c r="L1344" s="15" t="str">
        <f>VLOOKUP(A1344,sinap!$A$2:$R$9000,4,FALSE)</f>
        <v>ANGUS NEGRO</v>
      </c>
      <c r="M1344" s="15" t="str">
        <f>VLOOKUP(A1344,sinap!$A$2:$R$9000,5,FALSE)</f>
        <v>3 años 3 meses</v>
      </c>
      <c r="N1344" s="15" t="str">
        <f>VLOOKUP(A1344,sinap!$A$2:$R$9000,6,FALSE)</f>
        <v>10-10-2022</v>
      </c>
      <c r="O1344" s="15" t="str">
        <f>VLOOKUP(A1344,sinap!$A$2:$R$9000,7,FALSE)</f>
        <v>Vivo</v>
      </c>
      <c r="P1344" s="15" t="str">
        <f>VLOOKUP(A1344,sinap!$A$2:$R$9000,8,FALSE)</f>
        <v>11.1.01.0791</v>
      </c>
      <c r="Q1344" s="15" t="str">
        <f>VLOOKUP(A1344,sinap!$A$2:$R$9000,12,FALSE)</f>
        <v>11.1.01.0893</v>
      </c>
      <c r="R1344" s="15" t="str">
        <f>VLOOKUP(A1344,sinap!$A$2:$R$9000,16,FALSE)</f>
        <v>11.1.01.0893</v>
      </c>
      <c r="S1344" s="15" t="str">
        <f>VLOOKUP(A1344,sinap!$A$2:$Y$9000,20,FALSE)</f>
        <v>SI</v>
      </c>
      <c r="T1344" s="16">
        <v>44916</v>
      </c>
    </row>
    <row r="1345" spans="1:20" hidden="1" x14ac:dyDescent="0.25">
      <c r="A1345" s="15">
        <v>22350396</v>
      </c>
      <c r="H1345" s="16">
        <v>45623</v>
      </c>
      <c r="I1345" s="16">
        <v>45848</v>
      </c>
      <c r="J1345" s="15" t="str">
        <f>VLOOKUP(A1345,sinap!$A$2:$R$9000,2,FALSE)</f>
        <v>H</v>
      </c>
      <c r="K1345" s="15" t="str">
        <f>VLOOKUP(A1345,sinap!$A$2:$R$9000,3,FALSE)</f>
        <v>VACA</v>
      </c>
      <c r="L1345" s="15" t="str">
        <f>VLOOKUP(A1345,sinap!$A$2:$R$9000,4,FALSE)</f>
        <v>ANGUS NEGRO</v>
      </c>
      <c r="M1345" s="15" t="str">
        <f>VLOOKUP(A1345,sinap!$A$2:$R$9000,5,FALSE)</f>
        <v>3 años 3 meses</v>
      </c>
      <c r="N1345" s="15" t="str">
        <f>VLOOKUP(A1345,sinap!$A$2:$R$9000,6,FALSE)</f>
        <v>10-10-2022</v>
      </c>
      <c r="O1345" s="15" t="str">
        <f>VLOOKUP(A1345,sinap!$A$2:$R$9000,7,FALSE)</f>
        <v>Vivo</v>
      </c>
      <c r="P1345" s="15" t="str">
        <f>VLOOKUP(A1345,sinap!$A$2:$R$9000,8,FALSE)</f>
        <v>11.1.01.0791</v>
      </c>
      <c r="Q1345" s="15" t="str">
        <f>VLOOKUP(A1345,sinap!$A$2:$R$9000,12,FALSE)</f>
        <v>11.1.01.0893</v>
      </c>
      <c r="R1345" s="15" t="str">
        <f>VLOOKUP(A1345,sinap!$A$2:$R$9000,16,FALSE)</f>
        <v>11.1.01.0893</v>
      </c>
      <c r="S1345" s="15" t="str">
        <f>VLOOKUP(A1345,sinap!$A$2:$Y$9000,20,FALSE)</f>
        <v>SI</v>
      </c>
      <c r="T1345" s="16">
        <v>44916</v>
      </c>
    </row>
    <row r="1346" spans="1:20" hidden="1" x14ac:dyDescent="0.25">
      <c r="A1346" s="15">
        <v>22350397</v>
      </c>
      <c r="H1346" s="16">
        <v>45623</v>
      </c>
      <c r="I1346" s="16">
        <v>45848</v>
      </c>
      <c r="J1346" s="15" t="str">
        <f>VLOOKUP(A1346,sinap!$A$2:$R$9000,2,FALSE)</f>
        <v>H</v>
      </c>
      <c r="K1346" s="15" t="str">
        <f>VLOOKUP(A1346,sinap!$A$2:$R$9000,3,FALSE)</f>
        <v>VACA</v>
      </c>
      <c r="L1346" s="15" t="str">
        <f>VLOOKUP(A1346,sinap!$A$2:$R$9000,4,FALSE)</f>
        <v>ANGUS NEGRO</v>
      </c>
      <c r="M1346" s="15" t="str">
        <f>VLOOKUP(A1346,sinap!$A$2:$R$9000,5,FALSE)</f>
        <v>3 años 3 meses</v>
      </c>
      <c r="N1346" s="15" t="str">
        <f>VLOOKUP(A1346,sinap!$A$2:$R$9000,6,FALSE)</f>
        <v>10-10-2022</v>
      </c>
      <c r="O1346" s="15" t="str">
        <f>VLOOKUP(A1346,sinap!$A$2:$R$9000,7,FALSE)</f>
        <v>Vivo</v>
      </c>
      <c r="P1346" s="15" t="str">
        <f>VLOOKUP(A1346,sinap!$A$2:$R$9000,8,FALSE)</f>
        <v>11.1.01.0791</v>
      </c>
      <c r="Q1346" s="15" t="str">
        <f>VLOOKUP(A1346,sinap!$A$2:$R$9000,12,FALSE)</f>
        <v>11.1.01.0893</v>
      </c>
      <c r="R1346" s="15" t="str">
        <f>VLOOKUP(A1346,sinap!$A$2:$R$9000,16,FALSE)</f>
        <v>11.1.01.0893</v>
      </c>
      <c r="S1346" s="15" t="str">
        <f>VLOOKUP(A1346,sinap!$A$2:$Y$9000,20,FALSE)</f>
        <v>SI</v>
      </c>
      <c r="T1346" s="16">
        <v>44916</v>
      </c>
    </row>
    <row r="1347" spans="1:20" hidden="1" x14ac:dyDescent="0.25">
      <c r="A1347" s="15">
        <v>22350399</v>
      </c>
      <c r="H1347" s="16">
        <v>45623</v>
      </c>
      <c r="I1347" s="16">
        <v>45848</v>
      </c>
      <c r="J1347" s="15" t="str">
        <f>VLOOKUP(A1347,sinap!$A$2:$R$9000,2,FALSE)</f>
        <v>H</v>
      </c>
      <c r="K1347" s="15" t="str">
        <f>VLOOKUP(A1347,sinap!$A$2:$R$9000,3,FALSE)</f>
        <v>VACA</v>
      </c>
      <c r="L1347" s="15" t="str">
        <f>VLOOKUP(A1347,sinap!$A$2:$R$9000,4,FALSE)</f>
        <v>ANGUS NEGRO</v>
      </c>
      <c r="M1347" s="15" t="str">
        <f>VLOOKUP(A1347,sinap!$A$2:$R$9000,5,FALSE)</f>
        <v>3 años 3 meses</v>
      </c>
      <c r="N1347" s="15" t="str">
        <f>VLOOKUP(A1347,sinap!$A$2:$R$9000,6,FALSE)</f>
        <v>10-10-2022</v>
      </c>
      <c r="O1347" s="15" t="str">
        <f>VLOOKUP(A1347,sinap!$A$2:$R$9000,7,FALSE)</f>
        <v>Vivo</v>
      </c>
      <c r="P1347" s="15" t="str">
        <f>VLOOKUP(A1347,sinap!$A$2:$R$9000,8,FALSE)</f>
        <v>11.1.01.0791</v>
      </c>
      <c r="Q1347" s="15" t="str">
        <f>VLOOKUP(A1347,sinap!$A$2:$R$9000,12,FALSE)</f>
        <v>11.1.01.0893</v>
      </c>
      <c r="R1347" s="15" t="str">
        <f>VLOOKUP(A1347,sinap!$A$2:$R$9000,16,FALSE)</f>
        <v>11.1.01.0893</v>
      </c>
      <c r="S1347" s="15" t="str">
        <f>VLOOKUP(A1347,sinap!$A$2:$Y$9000,20,FALSE)</f>
        <v>SI</v>
      </c>
      <c r="T1347" s="16">
        <v>44923</v>
      </c>
    </row>
    <row r="1348" spans="1:20" hidden="1" x14ac:dyDescent="0.25">
      <c r="A1348" s="15">
        <v>22350403</v>
      </c>
      <c r="H1348" s="16">
        <v>45623</v>
      </c>
      <c r="I1348" s="16">
        <v>45848</v>
      </c>
      <c r="J1348" s="15" t="str">
        <f>VLOOKUP(A1348,sinap!$A$2:$R$9000,2,FALSE)</f>
        <v>H</v>
      </c>
      <c r="K1348" s="15" t="str">
        <f>VLOOKUP(A1348,sinap!$A$2:$R$9000,3,FALSE)</f>
        <v>VACA</v>
      </c>
      <c r="L1348" s="15" t="str">
        <f>VLOOKUP(A1348,sinap!$A$2:$R$9000,4,FALSE)</f>
        <v>ANGUS NEGRO</v>
      </c>
      <c r="M1348" s="15" t="str">
        <f>VLOOKUP(A1348,sinap!$A$2:$R$9000,5,FALSE)</f>
        <v>3 años 2 meses</v>
      </c>
      <c r="N1348" s="15" t="str">
        <f>VLOOKUP(A1348,sinap!$A$2:$R$9000,6,FALSE)</f>
        <v>05-11-2022</v>
      </c>
      <c r="O1348" s="15" t="str">
        <f>VLOOKUP(A1348,sinap!$A$2:$R$9000,7,FALSE)</f>
        <v>Vivo</v>
      </c>
      <c r="P1348" s="15" t="str">
        <f>VLOOKUP(A1348,sinap!$A$2:$R$9000,8,FALSE)</f>
        <v>11.1.01.0791</v>
      </c>
      <c r="Q1348" s="15" t="str">
        <f>VLOOKUP(A1348,sinap!$A$2:$R$9000,12,FALSE)</f>
        <v>11.1.01.0893</v>
      </c>
      <c r="R1348" s="15" t="str">
        <f>VLOOKUP(A1348,sinap!$A$2:$R$9000,16,FALSE)</f>
        <v>11.1.01.1241</v>
      </c>
      <c r="S1348" s="15" t="str">
        <f>VLOOKUP(A1348,sinap!$A$2:$Y$9000,20,FALSE)</f>
        <v>SI</v>
      </c>
      <c r="T1348" s="16">
        <v>44923</v>
      </c>
    </row>
    <row r="1349" spans="1:20" hidden="1" x14ac:dyDescent="0.25">
      <c r="A1349" s="15">
        <v>22350406</v>
      </c>
      <c r="J1349" s="15" t="str">
        <f>VLOOKUP(A1349,sinap!$A$2:$R$9000,2,FALSE)</f>
        <v>H</v>
      </c>
      <c r="K1349" s="15" t="str">
        <f>VLOOKUP(A1349,sinap!$A$2:$R$9000,3,FALSE)</f>
        <v>VACA</v>
      </c>
      <c r="L1349" s="15" t="str">
        <f>VLOOKUP(A1349,sinap!$A$2:$R$9000,4,FALSE)</f>
        <v>ANGUS NEGRO</v>
      </c>
      <c r="M1349" s="15" t="str">
        <f>VLOOKUP(A1349,sinap!$A$2:$R$9000,5,FALSE)</f>
        <v>3 años 2 meses</v>
      </c>
      <c r="N1349" s="15" t="str">
        <f>VLOOKUP(A1349,sinap!$A$2:$R$9000,6,FALSE)</f>
        <v>30-10-2022</v>
      </c>
      <c r="O1349" s="15" t="str">
        <f>VLOOKUP(A1349,sinap!$A$2:$R$9000,7,FALSE)</f>
        <v>Vivo</v>
      </c>
      <c r="P1349" s="15" t="str">
        <f>VLOOKUP(A1349,sinap!$A$2:$R$9000,8,FALSE)</f>
        <v>11.1.01.1241</v>
      </c>
      <c r="Q1349" s="15" t="str">
        <f>VLOOKUP(A1349,sinap!$A$2:$R$9000,12,FALSE)</f>
        <v>Sin Movimiento</v>
      </c>
      <c r="R1349" s="15" t="str">
        <f>VLOOKUP(A1349,sinap!$A$2:$R$9000,16,FALSE)</f>
        <v>11.1.01.1241</v>
      </c>
      <c r="S1349" s="15" t="str">
        <f>VLOOKUP(A1349,sinap!$A$2:$Y$9000,20,FALSE)</f>
        <v>SI</v>
      </c>
      <c r="T1349" s="16">
        <v>44950</v>
      </c>
    </row>
    <row r="1350" spans="1:20" hidden="1" x14ac:dyDescent="0.25">
      <c r="A1350" s="15">
        <v>22350408</v>
      </c>
      <c r="H1350" s="16">
        <v>45623</v>
      </c>
      <c r="J1350" s="15" t="str">
        <f>VLOOKUP(A1350,sinap!$A$2:$R$9000,2,FALSE)</f>
        <v>H</v>
      </c>
      <c r="K1350" s="15" t="str">
        <f>VLOOKUP(A1350,sinap!$A$2:$R$9000,3,FALSE)</f>
        <v>VACA</v>
      </c>
      <c r="L1350" s="15" t="str">
        <f>VLOOKUP(A1350,sinap!$A$2:$R$9000,4,FALSE)</f>
        <v>ANGUS NEGRO</v>
      </c>
      <c r="M1350" s="15" t="str">
        <f>VLOOKUP(A1350,sinap!$A$2:$R$9000,5,FALSE)</f>
        <v>3 años 2 meses</v>
      </c>
      <c r="N1350" s="15" t="str">
        <f>VLOOKUP(A1350,sinap!$A$2:$R$9000,6,FALSE)</f>
        <v>05-11-2022</v>
      </c>
      <c r="O1350" s="15" t="str">
        <f>VLOOKUP(A1350,sinap!$A$2:$R$9000,7,FALSE)</f>
        <v>Vivo</v>
      </c>
      <c r="P1350" s="15" t="str">
        <f>VLOOKUP(A1350,sinap!$A$2:$R$9000,8,FALSE)</f>
        <v>11.1.01.1022</v>
      </c>
      <c r="Q1350" s="15" t="str">
        <f>VLOOKUP(A1350,sinap!$A$2:$R$9000,12,FALSE)</f>
        <v>11.1.01.0941</v>
      </c>
      <c r="R1350" s="15" t="str">
        <f>VLOOKUP(A1350,sinap!$A$2:$R$9000,16,FALSE)</f>
        <v>11.1.01.1241</v>
      </c>
      <c r="S1350" s="15" t="str">
        <f>VLOOKUP(A1350,sinap!$A$2:$Y$9000,20,FALSE)</f>
        <v>SI</v>
      </c>
      <c r="T1350" s="16">
        <v>44950</v>
      </c>
    </row>
    <row r="1351" spans="1:20" hidden="1" x14ac:dyDescent="0.25">
      <c r="A1351" s="15">
        <v>22350409</v>
      </c>
      <c r="J1351" s="15" t="str">
        <f>VLOOKUP(A1351,sinap!$A$2:$R$9000,2,FALSE)</f>
        <v>H</v>
      </c>
      <c r="K1351" s="15" t="str">
        <f>VLOOKUP(A1351,sinap!$A$2:$R$9000,3,FALSE)</f>
        <v>VACA</v>
      </c>
      <c r="L1351" s="15" t="str">
        <f>VLOOKUP(A1351,sinap!$A$2:$R$9000,4,FALSE)</f>
        <v>ANGUS NEGRO</v>
      </c>
      <c r="M1351" s="15" t="str">
        <f>VLOOKUP(A1351,sinap!$A$2:$R$9000,5,FALSE)</f>
        <v>3 años 2 meses</v>
      </c>
      <c r="N1351" s="15" t="str">
        <f>VLOOKUP(A1351,sinap!$A$2:$R$9000,6,FALSE)</f>
        <v>30-10-2022</v>
      </c>
      <c r="O1351" s="15" t="str">
        <f>VLOOKUP(A1351,sinap!$A$2:$R$9000,7,FALSE)</f>
        <v>Vivo</v>
      </c>
      <c r="P1351" s="15" t="str">
        <f>VLOOKUP(A1351,sinap!$A$2:$R$9000,8,FALSE)</f>
        <v>11.1.01.1241</v>
      </c>
      <c r="Q1351" s="15" t="str">
        <f>VLOOKUP(A1351,sinap!$A$2:$R$9000,12,FALSE)</f>
        <v>Sin Movimiento</v>
      </c>
      <c r="R1351" s="15" t="str">
        <f>VLOOKUP(A1351,sinap!$A$2:$R$9000,16,FALSE)</f>
        <v>11.1.01.1241</v>
      </c>
      <c r="S1351" s="15" t="str">
        <f>VLOOKUP(A1351,sinap!$A$2:$Y$9000,20,FALSE)</f>
        <v>SI</v>
      </c>
      <c r="T1351" s="16">
        <v>44978</v>
      </c>
    </row>
    <row r="1352" spans="1:20" hidden="1" x14ac:dyDescent="0.25">
      <c r="A1352" s="15">
        <v>22350411</v>
      </c>
      <c r="H1352" s="16">
        <v>45623</v>
      </c>
      <c r="I1352" s="16">
        <v>45848</v>
      </c>
      <c r="J1352" s="15" t="str">
        <f>VLOOKUP(A1352,sinap!$A$2:$R$9000,2,FALSE)</f>
        <v>H</v>
      </c>
      <c r="K1352" s="15" t="str">
        <f>VLOOKUP(A1352,sinap!$A$2:$R$9000,3,FALSE)</f>
        <v>VACA</v>
      </c>
      <c r="L1352" s="15" t="str">
        <f>VLOOKUP(A1352,sinap!$A$2:$R$9000,4,FALSE)</f>
        <v>ANGUS NEGRO</v>
      </c>
      <c r="M1352" s="15" t="str">
        <f>VLOOKUP(A1352,sinap!$A$2:$R$9000,5,FALSE)</f>
        <v>3 años 1 meses</v>
      </c>
      <c r="N1352" s="15" t="str">
        <f>VLOOKUP(A1352,sinap!$A$2:$R$9000,6,FALSE)</f>
        <v>30-11-2022</v>
      </c>
      <c r="O1352" s="15" t="str">
        <f>VLOOKUP(A1352,sinap!$A$2:$R$9000,7,FALSE)</f>
        <v>Vivo</v>
      </c>
      <c r="P1352" s="15" t="str">
        <f>VLOOKUP(A1352,sinap!$A$2:$R$9000,8,FALSE)</f>
        <v>11.1.01.0791</v>
      </c>
      <c r="Q1352" s="15" t="str">
        <f>VLOOKUP(A1352,sinap!$A$2:$R$9000,12,FALSE)</f>
        <v>11.1.01.0893</v>
      </c>
      <c r="R1352" s="15" t="str">
        <f>VLOOKUP(A1352,sinap!$A$2:$R$9000,16,FALSE)</f>
        <v>11.1.01.0893</v>
      </c>
      <c r="S1352" s="15" t="str">
        <f>VLOOKUP(A1352,sinap!$A$2:$Y$9000,20,FALSE)</f>
        <v>SI</v>
      </c>
      <c r="T1352" s="16">
        <v>45058</v>
      </c>
    </row>
    <row r="1353" spans="1:20" hidden="1" x14ac:dyDescent="0.25">
      <c r="A1353" s="15">
        <v>22350412</v>
      </c>
      <c r="H1353" s="16">
        <v>45623</v>
      </c>
      <c r="I1353" s="16">
        <v>45848</v>
      </c>
      <c r="J1353" s="15" t="str">
        <f>VLOOKUP(A1353,sinap!$A$2:$R$9000,2,FALSE)</f>
        <v>H</v>
      </c>
      <c r="K1353" s="15" t="str">
        <f>VLOOKUP(A1353,sinap!$A$2:$R$9000,3,FALSE)</f>
        <v>VACA</v>
      </c>
      <c r="L1353" s="15" t="str">
        <f>VLOOKUP(A1353,sinap!$A$2:$R$9000,4,FALSE)</f>
        <v>ANGUS NEGRO</v>
      </c>
      <c r="M1353" s="15" t="str">
        <f>VLOOKUP(A1353,sinap!$A$2:$R$9000,5,FALSE)</f>
        <v>3 años 1 meses</v>
      </c>
      <c r="N1353" s="15" t="str">
        <f>VLOOKUP(A1353,sinap!$A$2:$R$9000,6,FALSE)</f>
        <v>30-11-2022</v>
      </c>
      <c r="O1353" s="15" t="str">
        <f>VLOOKUP(A1353,sinap!$A$2:$R$9000,7,FALSE)</f>
        <v>Vivo</v>
      </c>
      <c r="P1353" s="15" t="str">
        <f>VLOOKUP(A1353,sinap!$A$2:$R$9000,8,FALSE)</f>
        <v>11.1.01.0791</v>
      </c>
      <c r="Q1353" s="15" t="str">
        <f>VLOOKUP(A1353,sinap!$A$2:$R$9000,12,FALSE)</f>
        <v>11.1.01.0893</v>
      </c>
      <c r="R1353" s="15" t="str">
        <f>VLOOKUP(A1353,sinap!$A$2:$R$9000,16,FALSE)</f>
        <v>11.1.01.0893</v>
      </c>
      <c r="S1353" s="15" t="str">
        <f>VLOOKUP(A1353,sinap!$A$2:$Y$9000,20,FALSE)</f>
        <v>SI</v>
      </c>
      <c r="T1353" s="16">
        <v>45091</v>
      </c>
    </row>
    <row r="1354" spans="1:20" hidden="1" x14ac:dyDescent="0.25">
      <c r="A1354" s="15">
        <v>22350419</v>
      </c>
      <c r="H1354" s="16">
        <v>45623</v>
      </c>
      <c r="J1354" s="15" t="str">
        <f>VLOOKUP(A1354,sinap!$A$2:$R$9000,2,FALSE)</f>
        <v>H</v>
      </c>
      <c r="K1354" s="15" t="str">
        <f>VLOOKUP(A1354,sinap!$A$2:$R$9000,3,FALSE)</f>
        <v>VACA</v>
      </c>
      <c r="L1354" s="15" t="str">
        <f>VLOOKUP(A1354,sinap!$A$2:$R$9000,4,FALSE)</f>
        <v>ANGUS NEGRO</v>
      </c>
      <c r="M1354" s="15" t="str">
        <f>VLOOKUP(A1354,sinap!$A$2:$R$9000,5,FALSE)</f>
        <v>3 años 1 meses</v>
      </c>
      <c r="N1354" s="15" t="str">
        <f>VLOOKUP(A1354,sinap!$A$2:$R$9000,6,FALSE)</f>
        <v>15-12-2022</v>
      </c>
      <c r="O1354" s="15" t="str">
        <f>VLOOKUP(A1354,sinap!$A$2:$R$9000,7,FALSE)</f>
        <v>Vivo</v>
      </c>
      <c r="P1354" s="15" t="str">
        <f>VLOOKUP(A1354,sinap!$A$2:$R$9000,8,FALSE)</f>
        <v>11.1.01.2442</v>
      </c>
      <c r="Q1354" s="15" t="str">
        <f>VLOOKUP(A1354,sinap!$A$2:$R$9000,12,FALSE)</f>
        <v>11.1.01.0893</v>
      </c>
      <c r="R1354" s="15" t="str">
        <f>VLOOKUP(A1354,sinap!$A$2:$R$9000,16,FALSE)</f>
        <v>11.1.01.1241</v>
      </c>
      <c r="S1354" s="15" t="str">
        <f>VLOOKUP(A1354,sinap!$A$2:$Y$9000,20,FALSE)</f>
        <v>SI</v>
      </c>
      <c r="T1354" s="16">
        <v>45269</v>
      </c>
    </row>
    <row r="1355" spans="1:20" hidden="1" x14ac:dyDescent="0.25">
      <c r="A1355" s="15">
        <v>22350428</v>
      </c>
      <c r="H1355" s="16">
        <v>45623</v>
      </c>
      <c r="J1355" s="15" t="str">
        <f>VLOOKUP(A1355,sinap!$A$2:$R$9000,2,FALSE)</f>
        <v>H</v>
      </c>
      <c r="K1355" s="15" t="str">
        <f>VLOOKUP(A1355,sinap!$A$2:$R$9000,3,FALSE)</f>
        <v>VACA</v>
      </c>
      <c r="L1355" s="15" t="str">
        <f>VLOOKUP(A1355,sinap!$A$2:$R$9000,4,FALSE)</f>
        <v>ANGUS NEGRO</v>
      </c>
      <c r="M1355" s="15" t="str">
        <f>VLOOKUP(A1355,sinap!$A$2:$R$9000,5,FALSE)</f>
        <v>3 años 3 meses</v>
      </c>
      <c r="N1355" s="15" t="str">
        <f>VLOOKUP(A1355,sinap!$A$2:$R$9000,6,FALSE)</f>
        <v>30-09-2022</v>
      </c>
      <c r="O1355" s="15" t="str">
        <f>VLOOKUP(A1355,sinap!$A$2:$R$9000,7,FALSE)</f>
        <v>Vivo</v>
      </c>
      <c r="P1355" s="15" t="str">
        <f>VLOOKUP(A1355,sinap!$A$2:$R$9000,8,FALSE)</f>
        <v>11.1.01.0791</v>
      </c>
      <c r="Q1355" s="15" t="str">
        <f>VLOOKUP(A1355,sinap!$A$2:$R$9000,12,FALSE)</f>
        <v>11.1.01.0893</v>
      </c>
      <c r="R1355" s="15" t="str">
        <f>VLOOKUP(A1355,sinap!$A$2:$R$9000,16,FALSE)</f>
        <v>11.1.01.1241</v>
      </c>
      <c r="S1355" s="15" t="str">
        <f>VLOOKUP(A1355,sinap!$A$2:$Y$9000,20,FALSE)</f>
        <v>NO</v>
      </c>
      <c r="T1355" s="16">
        <v>45269</v>
      </c>
    </row>
    <row r="1356" spans="1:20" hidden="1" x14ac:dyDescent="0.25">
      <c r="A1356" s="15">
        <v>22350436</v>
      </c>
      <c r="C1356" s="15">
        <v>19050324</v>
      </c>
      <c r="H1356" s="16">
        <v>45648</v>
      </c>
      <c r="I1356" s="16">
        <v>45671</v>
      </c>
      <c r="J1356" s="15" t="str">
        <f>VLOOKUP(A1356,sinap!$A$2:$R$9000,2,FALSE)</f>
        <v>H</v>
      </c>
      <c r="K1356" s="15" t="str">
        <f>VLOOKUP(A1356,sinap!$A$2:$R$9000,3,FALSE)</f>
        <v>VACA</v>
      </c>
      <c r="L1356" s="15" t="str">
        <f>VLOOKUP(A1356,sinap!$A$2:$R$9000,4,FALSE)</f>
        <v>ANGUS NEGRO</v>
      </c>
      <c r="M1356" s="15" t="str">
        <f>VLOOKUP(A1356,sinap!$A$2:$R$9000,5,FALSE)</f>
        <v>5 años 3 meses</v>
      </c>
      <c r="N1356" s="15" t="str">
        <f>VLOOKUP(A1356,sinap!$A$2:$R$9000,6,FALSE)</f>
        <v>30-09-2020</v>
      </c>
      <c r="O1356" s="15" t="str">
        <f>VLOOKUP(A1356,sinap!$A$2:$R$9000,7,FALSE)</f>
        <v>Vivo</v>
      </c>
      <c r="P1356" s="15" t="str">
        <f>VLOOKUP(A1356,sinap!$A$2:$R$9000,8,FALSE)</f>
        <v>11.1.01.1241</v>
      </c>
      <c r="Q1356" s="15" t="str">
        <f>VLOOKUP(A1356,sinap!$A$2:$R$9000,12,FALSE)</f>
        <v>11.1.01.1022</v>
      </c>
      <c r="R1356" s="15" t="str">
        <f>VLOOKUP(A1356,sinap!$A$2:$R$9000,16,FALSE)</f>
        <v>11.1.01.0893</v>
      </c>
      <c r="S1356" s="15" t="str">
        <f>VLOOKUP(A1356,sinap!$A$2:$Y$9000,20,FALSE)</f>
        <v>SI</v>
      </c>
    </row>
    <row r="1357" spans="1:20" hidden="1" x14ac:dyDescent="0.25">
      <c r="A1357" s="15">
        <v>22350437</v>
      </c>
      <c r="C1357" s="15">
        <v>19050321</v>
      </c>
      <c r="H1357" s="16">
        <v>45648</v>
      </c>
      <c r="I1357" s="16">
        <v>45671</v>
      </c>
      <c r="J1357" s="15" t="str">
        <f>VLOOKUP(A1357,sinap!$A$2:$R$9000,2,FALSE)</f>
        <v>H</v>
      </c>
      <c r="K1357" s="15" t="str">
        <f>VLOOKUP(A1357,sinap!$A$2:$R$9000,3,FALSE)</f>
        <v>VACA</v>
      </c>
      <c r="L1357" s="15" t="str">
        <f>VLOOKUP(A1357,sinap!$A$2:$R$9000,4,FALSE)</f>
        <v>ANGUS NEGRO</v>
      </c>
      <c r="M1357" s="15" t="str">
        <f>VLOOKUP(A1357,sinap!$A$2:$R$9000,5,FALSE)</f>
        <v>5 años 3 meses</v>
      </c>
      <c r="N1357" s="15" t="str">
        <f>VLOOKUP(A1357,sinap!$A$2:$R$9000,6,FALSE)</f>
        <v>30-09-2020</v>
      </c>
      <c r="O1357" s="15" t="str">
        <f>VLOOKUP(A1357,sinap!$A$2:$R$9000,7,FALSE)</f>
        <v>Vivo</v>
      </c>
      <c r="P1357" s="15" t="str">
        <f>VLOOKUP(A1357,sinap!$A$2:$R$9000,8,FALSE)</f>
        <v>11.1.01.1241</v>
      </c>
      <c r="Q1357" s="15" t="str">
        <f>VLOOKUP(A1357,sinap!$A$2:$R$9000,12,FALSE)</f>
        <v>11.1.01.1022</v>
      </c>
      <c r="R1357" s="15" t="str">
        <f>VLOOKUP(A1357,sinap!$A$2:$R$9000,16,FALSE)</f>
        <v>11.1.01.0893</v>
      </c>
      <c r="S1357" s="15" t="str">
        <f>VLOOKUP(A1357,sinap!$A$2:$Y$9000,20,FALSE)</f>
        <v>SI</v>
      </c>
    </row>
    <row r="1358" spans="1:20" hidden="1" x14ac:dyDescent="0.25">
      <c r="A1358" s="15">
        <v>22350439</v>
      </c>
      <c r="C1358" s="15">
        <v>22350263</v>
      </c>
      <c r="H1358" s="16">
        <v>45623</v>
      </c>
      <c r="I1358" s="16">
        <v>45848</v>
      </c>
      <c r="J1358" s="15" t="str">
        <f>VLOOKUP(A1358,sinap!$A$2:$R$9000,2,FALSE)</f>
        <v>H</v>
      </c>
      <c r="K1358" s="15" t="str">
        <f>VLOOKUP(A1358,sinap!$A$2:$R$9000,3,FALSE)</f>
        <v>VACA</v>
      </c>
      <c r="L1358" s="15" t="str">
        <f>VLOOKUP(A1358,sinap!$A$2:$R$9000,4,FALSE)</f>
        <v>ANGUS NEGRO</v>
      </c>
      <c r="M1358" s="15" t="str">
        <f>VLOOKUP(A1358,sinap!$A$2:$R$9000,5,FALSE)</f>
        <v>3 años 2 meses</v>
      </c>
      <c r="N1358" s="15" t="str">
        <f>VLOOKUP(A1358,sinap!$A$2:$R$9000,6,FALSE)</f>
        <v>30-10-2022</v>
      </c>
      <c r="O1358" s="15" t="str">
        <f>VLOOKUP(A1358,sinap!$A$2:$R$9000,7,FALSE)</f>
        <v>Vivo</v>
      </c>
      <c r="P1358" s="15" t="str">
        <f>VLOOKUP(A1358,sinap!$A$2:$R$9000,8,FALSE)</f>
        <v>11.1.01.0791</v>
      </c>
      <c r="Q1358" s="15" t="str">
        <f>VLOOKUP(A1358,sinap!$A$2:$R$9000,12,FALSE)</f>
        <v>11.1.01.0893</v>
      </c>
      <c r="R1358" s="15" t="str">
        <f>VLOOKUP(A1358,sinap!$A$2:$R$9000,16,FALSE)</f>
        <v>11.1.01.1241</v>
      </c>
      <c r="S1358" s="15" t="str">
        <f>VLOOKUP(A1358,sinap!$A$2:$Y$9000,20,FALSE)</f>
        <v>SI</v>
      </c>
    </row>
    <row r="1359" spans="1:20" hidden="1" x14ac:dyDescent="0.25">
      <c r="A1359" s="15">
        <v>22350440</v>
      </c>
      <c r="C1359" s="15">
        <v>22350046</v>
      </c>
      <c r="H1359" s="16">
        <v>45623</v>
      </c>
      <c r="I1359" s="16">
        <v>45848</v>
      </c>
      <c r="J1359" s="15" t="str">
        <f>VLOOKUP(A1359,sinap!$A$2:$R$9000,2,FALSE)</f>
        <v>H</v>
      </c>
      <c r="K1359" s="15" t="str">
        <f>VLOOKUP(A1359,sinap!$A$2:$R$9000,3,FALSE)</f>
        <v>VACA</v>
      </c>
      <c r="L1359" s="15" t="str">
        <f>VLOOKUP(A1359,sinap!$A$2:$R$9000,4,FALSE)</f>
        <v>ANGUS NEGRO</v>
      </c>
      <c r="M1359" s="15" t="str">
        <f>VLOOKUP(A1359,sinap!$A$2:$R$9000,5,FALSE)</f>
        <v>3 años 3 meses</v>
      </c>
      <c r="N1359" s="15" t="str">
        <f>VLOOKUP(A1359,sinap!$A$2:$R$9000,6,FALSE)</f>
        <v>30-09-2022</v>
      </c>
      <c r="O1359" s="15" t="str">
        <f>VLOOKUP(A1359,sinap!$A$2:$R$9000,7,FALSE)</f>
        <v>Vivo</v>
      </c>
      <c r="P1359" s="15" t="str">
        <f>VLOOKUP(A1359,sinap!$A$2:$R$9000,8,FALSE)</f>
        <v>11.1.01.0791</v>
      </c>
      <c r="Q1359" s="15" t="str">
        <f>VLOOKUP(A1359,sinap!$A$2:$R$9000,12,FALSE)</f>
        <v>11.1.01.0893</v>
      </c>
      <c r="R1359" s="15" t="str">
        <f>VLOOKUP(A1359,sinap!$A$2:$R$9000,16,FALSE)</f>
        <v>11.1.01.1241</v>
      </c>
      <c r="S1359" s="15" t="str">
        <f>VLOOKUP(A1359,sinap!$A$2:$Y$9000,20,FALSE)</f>
        <v>SI</v>
      </c>
    </row>
    <row r="1360" spans="1:20" hidden="1" x14ac:dyDescent="0.25">
      <c r="A1360" s="15">
        <v>22364297</v>
      </c>
      <c r="J1360" s="15" t="str">
        <f>VLOOKUP(A1360,sinap!$A$2:$R$9000,2,FALSE)</f>
        <v>M</v>
      </c>
      <c r="K1360" s="15" t="str">
        <f>VLOOKUP(A1360,sinap!$A$2:$R$9000,3,FALSE)</f>
        <v>NOVILLO</v>
      </c>
      <c r="L1360" s="15" t="str">
        <f>VLOOKUP(A1360,sinap!$A$2:$R$9000,4,FALSE)</f>
        <v>ANGUS NEGRO</v>
      </c>
      <c r="M1360" s="15" t="str">
        <f>VLOOKUP(A1360,sinap!$A$2:$R$9000,5,FALSE)</f>
        <v>2 años 4 meses</v>
      </c>
      <c r="N1360" s="15" t="str">
        <f>VLOOKUP(A1360,sinap!$A$2:$R$9000,6,FALSE)</f>
        <v>01-09-2023</v>
      </c>
      <c r="O1360" s="15" t="str">
        <f>VLOOKUP(A1360,sinap!$A$2:$R$9000,7,FALSE)</f>
        <v>Vivo</v>
      </c>
      <c r="P1360" s="15" t="str">
        <f>VLOOKUP(A1360,sinap!$A$2:$R$9000,8,FALSE)</f>
        <v>11.1.01.1022</v>
      </c>
      <c r="Q1360" s="15" t="str">
        <f>VLOOKUP(A1360,sinap!$A$2:$R$9000,12,FALSE)</f>
        <v>11.1.01.0893</v>
      </c>
      <c r="R1360" s="15" t="str">
        <f>VLOOKUP(A1360,sinap!$A$2:$R$9000,16,FALSE)</f>
        <v>11.1.01.2408</v>
      </c>
      <c r="S1360" s="15" t="str">
        <f>VLOOKUP(A1360,sinap!$A$2:$Y$9000,20,FALSE)</f>
        <v>NO</v>
      </c>
    </row>
    <row r="1361" spans="1:20" hidden="1" x14ac:dyDescent="0.25">
      <c r="A1361" s="15">
        <v>22364298</v>
      </c>
      <c r="J1361" s="15" t="str">
        <f>VLOOKUP(A1361,sinap!$A$2:$R$9000,2,FALSE)</f>
        <v>M</v>
      </c>
      <c r="K1361" s="15" t="str">
        <f>VLOOKUP(A1361,sinap!$A$2:$R$9000,3,FALSE)</f>
        <v>NOVILLO</v>
      </c>
      <c r="L1361" s="15" t="str">
        <f>VLOOKUP(A1361,sinap!$A$2:$R$9000,4,FALSE)</f>
        <v>ANGUS NEGRO</v>
      </c>
      <c r="M1361" s="15" t="str">
        <f>VLOOKUP(A1361,sinap!$A$2:$R$9000,5,FALSE)</f>
        <v>2 años 5 meses</v>
      </c>
      <c r="N1361" s="15" t="str">
        <f>VLOOKUP(A1361,sinap!$A$2:$R$9000,6,FALSE)</f>
        <v>15-08-2023</v>
      </c>
      <c r="O1361" s="15" t="str">
        <f>VLOOKUP(A1361,sinap!$A$2:$R$9000,7,FALSE)</f>
        <v>Vivo</v>
      </c>
      <c r="P1361" s="15" t="str">
        <f>VLOOKUP(A1361,sinap!$A$2:$R$9000,8,FALSE)</f>
        <v>11.1.01.1022</v>
      </c>
      <c r="Q1361" s="15" t="str">
        <f>VLOOKUP(A1361,sinap!$A$2:$R$9000,12,FALSE)</f>
        <v>11.1.01.0893</v>
      </c>
      <c r="R1361" s="15" t="str">
        <f>VLOOKUP(A1361,sinap!$A$2:$R$9000,16,FALSE)</f>
        <v>11.1.01.2408</v>
      </c>
      <c r="S1361" s="15" t="str">
        <f>VLOOKUP(A1361,sinap!$A$2:$Y$9000,20,FALSE)</f>
        <v>NO</v>
      </c>
    </row>
    <row r="1362" spans="1:20" hidden="1" x14ac:dyDescent="0.25">
      <c r="A1362" s="15">
        <v>22794790</v>
      </c>
      <c r="J1362" s="15" t="str">
        <f>VLOOKUP(A1362,sinap!$A$2:$R$9000,2,FALSE)</f>
        <v>M</v>
      </c>
      <c r="K1362" s="15" t="str">
        <f>VLOOKUP(A1362,sinap!$A$2:$R$9000,3,FALSE)</f>
        <v>TORO</v>
      </c>
      <c r="L1362" s="15" t="str">
        <f>VLOOKUP(A1362,sinap!$A$2:$R$9000,4,FALSE)</f>
        <v>ANGUS NEGRO</v>
      </c>
      <c r="M1362" s="15" t="str">
        <f>VLOOKUP(A1362,sinap!$A$2:$R$9000,5,FALSE)</f>
        <v>3 años 6 meses</v>
      </c>
      <c r="N1362" s="15" t="str">
        <f>VLOOKUP(A1362,sinap!$A$2:$R$9000,6,FALSE)</f>
        <v>15-07-2022</v>
      </c>
      <c r="O1362" s="15" t="str">
        <f>VLOOKUP(A1362,sinap!$A$2:$R$9000,7,FALSE)</f>
        <v>Vivo</v>
      </c>
      <c r="P1362" s="15" t="str">
        <f>VLOOKUP(A1362,sinap!$A$2:$R$9000,8,FALSE)</f>
        <v>11.1.01.1241</v>
      </c>
      <c r="Q1362" s="15" t="str">
        <f>VLOOKUP(A1362,sinap!$A$2:$R$9000,12,FALSE)</f>
        <v>11.1.01.2408</v>
      </c>
      <c r="R1362" s="15" t="str">
        <f>VLOOKUP(A1362,sinap!$A$2:$R$9000,16,FALSE)</f>
        <v>11.1.01.2408</v>
      </c>
      <c r="S1362" s="15" t="str">
        <f>VLOOKUP(A1362,sinap!$A$2:$Y$9000,20,FALSE)</f>
        <v>NO</v>
      </c>
    </row>
    <row r="1363" spans="1:20" hidden="1" x14ac:dyDescent="0.25">
      <c r="A1363" s="15">
        <v>23323211</v>
      </c>
      <c r="I1363" s="16">
        <v>45969</v>
      </c>
      <c r="J1363" s="15" t="str">
        <f>VLOOKUP(A1363,sinap!$A$2:$R$9000,2,FALSE)</f>
        <v>H</v>
      </c>
      <c r="K1363" s="15" t="str">
        <f>VLOOKUP(A1363,sinap!$A$2:$R$9000,3,FALSE)</f>
        <v>VAQUILLA</v>
      </c>
      <c r="L1363" s="15" t="str">
        <f>VLOOKUP(A1363,sinap!$A$2:$R$9000,4,FALSE)</f>
        <v>OVERO NEGRO</v>
      </c>
      <c r="M1363" s="15" t="str">
        <f>VLOOKUP(A1363,sinap!$A$2:$R$9000,5,FALSE)</f>
        <v>2 años 3 meses</v>
      </c>
      <c r="N1363" s="15" t="str">
        <f>VLOOKUP(A1363,sinap!$A$2:$R$9000,6,FALSE)</f>
        <v>15-10-2023</v>
      </c>
      <c r="O1363" s="15" t="str">
        <f>VLOOKUP(A1363,sinap!$A$2:$R$9000,7,FALSE)</f>
        <v>Vivo</v>
      </c>
      <c r="P1363" s="15" t="str">
        <f>VLOOKUP(A1363,sinap!$A$2:$R$9000,8,FALSE)</f>
        <v>11.1.01.2304</v>
      </c>
      <c r="Q1363" s="15" t="str">
        <f>VLOOKUP(A1363,sinap!$A$2:$R$9000,12,FALSE)</f>
        <v>11.1.01.0941</v>
      </c>
      <c r="R1363" s="15" t="str">
        <f>VLOOKUP(A1363,sinap!$A$2:$R$9000,16,FALSE)</f>
        <v>11.1.01.1241</v>
      </c>
      <c r="S1363" s="15" t="str">
        <f>VLOOKUP(A1363,sinap!$A$2:$Y$9000,20,FALSE)</f>
        <v>SI</v>
      </c>
      <c r="T1363" s="16">
        <v>45240</v>
      </c>
    </row>
    <row r="1364" spans="1:20" hidden="1" x14ac:dyDescent="0.25">
      <c r="A1364" s="15">
        <v>23323212</v>
      </c>
      <c r="J1364" s="15" t="str">
        <f>VLOOKUP(A1364,sinap!$A$2:$R$9000,2,FALSE)</f>
        <v>H</v>
      </c>
      <c r="K1364" s="15" t="str">
        <f>VLOOKUP(A1364,sinap!$A$2:$R$9000,3,FALSE)</f>
        <v>VAQUILLA</v>
      </c>
      <c r="L1364" s="15" t="str">
        <f>VLOOKUP(A1364,sinap!$A$2:$R$9000,4,FALSE)</f>
        <v>ANGUS NEGRO</v>
      </c>
      <c r="M1364" s="15" t="str">
        <f>VLOOKUP(A1364,sinap!$A$2:$R$9000,5,FALSE)</f>
        <v>2 años 3 meses</v>
      </c>
      <c r="N1364" s="15" t="str">
        <f>VLOOKUP(A1364,sinap!$A$2:$R$9000,6,FALSE)</f>
        <v>15-10-2023</v>
      </c>
      <c r="O1364" s="15" t="str">
        <f>VLOOKUP(A1364,sinap!$A$2:$R$9000,7,FALSE)</f>
        <v>Vivo</v>
      </c>
      <c r="P1364" s="15" t="str">
        <f>VLOOKUP(A1364,sinap!$A$2:$R$9000,8,FALSE)</f>
        <v>11.1.01.1241</v>
      </c>
      <c r="Q1364" s="15" t="str">
        <f>VLOOKUP(A1364,sinap!$A$2:$R$9000,12,FALSE)</f>
        <v>Sin Movimiento</v>
      </c>
      <c r="R1364" s="15" t="str">
        <f>VLOOKUP(A1364,sinap!$A$2:$R$9000,16,FALSE)</f>
        <v>11.1.01.1241</v>
      </c>
      <c r="S1364" s="15" t="str">
        <f>VLOOKUP(A1364,sinap!$A$2:$Y$9000,20,FALSE)</f>
        <v>SI</v>
      </c>
      <c r="T1364" s="16">
        <v>45240</v>
      </c>
    </row>
    <row r="1365" spans="1:20" hidden="1" x14ac:dyDescent="0.25">
      <c r="A1365" s="15">
        <v>23323219</v>
      </c>
      <c r="I1365" s="16">
        <v>45680</v>
      </c>
      <c r="J1365" s="15" t="str">
        <f>VLOOKUP(A1365,sinap!$A$2:$R$9000,2,FALSE)</f>
        <v>H</v>
      </c>
      <c r="K1365" s="15" t="str">
        <f>VLOOKUP(A1365,sinap!$A$2:$R$9000,3,FALSE)</f>
        <v>VAQUILLA</v>
      </c>
      <c r="L1365" s="15" t="str">
        <f>VLOOKUP(A1365,sinap!$A$2:$R$9000,4,FALSE)</f>
        <v>ANGUS NEGRO</v>
      </c>
      <c r="M1365" s="15" t="str">
        <f>VLOOKUP(A1365,sinap!$A$2:$R$9000,5,FALSE)</f>
        <v>2 años 3 meses</v>
      </c>
      <c r="N1365" s="15" t="str">
        <f>VLOOKUP(A1365,sinap!$A$2:$R$9000,6,FALSE)</f>
        <v>15-10-2023</v>
      </c>
      <c r="O1365" s="15" t="str">
        <f>VLOOKUP(A1365,sinap!$A$2:$R$9000,7,FALSE)</f>
        <v>Vivo</v>
      </c>
      <c r="P1365" s="15" t="str">
        <f>VLOOKUP(A1365,sinap!$A$2:$R$9000,8,FALSE)</f>
        <v>11.1.01.1022</v>
      </c>
      <c r="Q1365" s="15" t="str">
        <f>VLOOKUP(A1365,sinap!$A$2:$R$9000,12,FALSE)</f>
        <v>11.1.01.0941</v>
      </c>
      <c r="R1365" s="15" t="str">
        <f>VLOOKUP(A1365,sinap!$A$2:$R$9000,16,FALSE)</f>
        <v>11.1.01.1241</v>
      </c>
      <c r="S1365" s="15" t="str">
        <f>VLOOKUP(A1365,sinap!$A$2:$Y$9000,20,FALSE)</f>
        <v>SI</v>
      </c>
      <c r="T1365" s="16">
        <v>45240</v>
      </c>
    </row>
    <row r="1366" spans="1:20" hidden="1" x14ac:dyDescent="0.25">
      <c r="A1366" s="15">
        <v>23323224</v>
      </c>
      <c r="I1366" s="16">
        <v>45969</v>
      </c>
      <c r="J1366" s="15" t="str">
        <f>VLOOKUP(A1366,sinap!$A$2:$R$9000,2,FALSE)</f>
        <v>H</v>
      </c>
      <c r="K1366" s="15" t="str">
        <f>VLOOKUP(A1366,sinap!$A$2:$R$9000,3,FALSE)</f>
        <v>VAQUILLA</v>
      </c>
      <c r="L1366" s="15" t="str">
        <f>VLOOKUP(A1366,sinap!$A$2:$R$9000,4,FALSE)</f>
        <v>ANGUS NEGRO</v>
      </c>
      <c r="M1366" s="15" t="str">
        <f>VLOOKUP(A1366,sinap!$A$2:$R$9000,5,FALSE)</f>
        <v>2 años 2 meses</v>
      </c>
      <c r="N1366" s="15" t="str">
        <f>VLOOKUP(A1366,sinap!$A$2:$R$9000,6,FALSE)</f>
        <v>30-10-2023</v>
      </c>
      <c r="O1366" s="15" t="str">
        <f>VLOOKUP(A1366,sinap!$A$2:$R$9000,7,FALSE)</f>
        <v>Vivo</v>
      </c>
      <c r="P1366" s="15" t="str">
        <f>VLOOKUP(A1366,sinap!$A$2:$R$9000,8,FALSE)</f>
        <v>11.1.01.1022</v>
      </c>
      <c r="Q1366" s="15" t="str">
        <f>VLOOKUP(A1366,sinap!$A$2:$R$9000,12,FALSE)</f>
        <v>11.1.01.0941</v>
      </c>
      <c r="R1366" s="15" t="str">
        <f>VLOOKUP(A1366,sinap!$A$2:$R$9000,16,FALSE)</f>
        <v>11.1.01.1241</v>
      </c>
      <c r="S1366" s="15" t="str">
        <f>VLOOKUP(A1366,sinap!$A$2:$Y$9000,20,FALSE)</f>
        <v>SI</v>
      </c>
      <c r="T1366" s="16">
        <v>45240</v>
      </c>
    </row>
    <row r="1367" spans="1:20" hidden="1" x14ac:dyDescent="0.25">
      <c r="A1367" s="15">
        <v>23323226</v>
      </c>
      <c r="I1367" s="16">
        <v>45680</v>
      </c>
      <c r="J1367" s="15" t="str">
        <f>VLOOKUP(A1367,sinap!$A$2:$R$9000,2,FALSE)</f>
        <v>H</v>
      </c>
      <c r="K1367" s="15" t="str">
        <f>VLOOKUP(A1367,sinap!$A$2:$R$9000,3,FALSE)</f>
        <v>VAQUILLA</v>
      </c>
      <c r="L1367" s="15" t="str">
        <f>VLOOKUP(A1367,sinap!$A$2:$R$9000,4,FALSE)</f>
        <v>ANGUS NEGRO</v>
      </c>
      <c r="M1367" s="15" t="str">
        <f>VLOOKUP(A1367,sinap!$A$2:$R$9000,5,FALSE)</f>
        <v>2 años 2 meses</v>
      </c>
      <c r="N1367" s="15" t="str">
        <f>VLOOKUP(A1367,sinap!$A$2:$R$9000,6,FALSE)</f>
        <v>30-10-2023</v>
      </c>
      <c r="O1367" s="15" t="str">
        <f>VLOOKUP(A1367,sinap!$A$2:$R$9000,7,FALSE)</f>
        <v>Vivo</v>
      </c>
      <c r="P1367" s="15" t="str">
        <f>VLOOKUP(A1367,sinap!$A$2:$R$9000,8,FALSE)</f>
        <v>11.1.01.1022</v>
      </c>
      <c r="Q1367" s="15" t="str">
        <f>VLOOKUP(A1367,sinap!$A$2:$R$9000,12,FALSE)</f>
        <v>11.1.01.0941</v>
      </c>
      <c r="R1367" s="15" t="str">
        <f>VLOOKUP(A1367,sinap!$A$2:$R$9000,16,FALSE)</f>
        <v>11.1.01.1241</v>
      </c>
      <c r="S1367" s="15" t="str">
        <f>VLOOKUP(A1367,sinap!$A$2:$Y$9000,20,FALSE)</f>
        <v>SI</v>
      </c>
      <c r="T1367" s="16">
        <v>45240</v>
      </c>
    </row>
    <row r="1368" spans="1:20" hidden="1" x14ac:dyDescent="0.25">
      <c r="A1368" s="15">
        <v>23323228</v>
      </c>
      <c r="I1368" s="16">
        <v>45969</v>
      </c>
      <c r="J1368" s="15" t="str">
        <f>VLOOKUP(A1368,sinap!$A$2:$R$9000,2,FALSE)</f>
        <v>H</v>
      </c>
      <c r="K1368" s="15" t="str">
        <f>VLOOKUP(A1368,sinap!$A$2:$R$9000,3,FALSE)</f>
        <v>VAQUILLA</v>
      </c>
      <c r="L1368" s="15" t="str">
        <f>VLOOKUP(A1368,sinap!$A$2:$R$9000,4,FALSE)</f>
        <v>ANGUS NEGRO</v>
      </c>
      <c r="M1368" s="15" t="str">
        <f>VLOOKUP(A1368,sinap!$A$2:$R$9000,5,FALSE)</f>
        <v>2 años 3 meses</v>
      </c>
      <c r="N1368" s="15" t="str">
        <f>VLOOKUP(A1368,sinap!$A$2:$R$9000,6,FALSE)</f>
        <v>15-10-2023</v>
      </c>
      <c r="O1368" s="15" t="str">
        <f>VLOOKUP(A1368,sinap!$A$2:$R$9000,7,FALSE)</f>
        <v>Vivo</v>
      </c>
      <c r="P1368" s="15" t="str">
        <f>VLOOKUP(A1368,sinap!$A$2:$R$9000,8,FALSE)</f>
        <v>11.1.01.2442</v>
      </c>
      <c r="Q1368" s="15" t="str">
        <f>VLOOKUP(A1368,sinap!$A$2:$R$9000,12,FALSE)</f>
        <v>11.1.01.0190</v>
      </c>
      <c r="R1368" s="15" t="str">
        <f>VLOOKUP(A1368,sinap!$A$2:$R$9000,16,FALSE)</f>
        <v>11.1.01.1241</v>
      </c>
      <c r="S1368" s="15" t="str">
        <f>VLOOKUP(A1368,sinap!$A$2:$Y$9000,20,FALSE)</f>
        <v>SI</v>
      </c>
      <c r="T1368" s="16">
        <v>45240</v>
      </c>
    </row>
    <row r="1369" spans="1:20" hidden="1" x14ac:dyDescent="0.25">
      <c r="A1369" s="15">
        <v>23323239</v>
      </c>
      <c r="I1369" s="16">
        <v>45680</v>
      </c>
      <c r="J1369" s="15" t="str">
        <f>VLOOKUP(A1369,sinap!$A$2:$R$9000,2,FALSE)</f>
        <v>H</v>
      </c>
      <c r="K1369" s="15" t="str">
        <f>VLOOKUP(A1369,sinap!$A$2:$R$9000,3,FALSE)</f>
        <v>VAQUILLA</v>
      </c>
      <c r="L1369" s="15" t="str">
        <f>VLOOKUP(A1369,sinap!$A$2:$R$9000,4,FALSE)</f>
        <v>ANGUS NEGRO</v>
      </c>
      <c r="M1369" s="15" t="str">
        <f>VLOOKUP(A1369,sinap!$A$2:$R$9000,5,FALSE)</f>
        <v>2 años 3 meses</v>
      </c>
      <c r="N1369" s="15" t="str">
        <f>VLOOKUP(A1369,sinap!$A$2:$R$9000,6,FALSE)</f>
        <v>15-10-2023</v>
      </c>
      <c r="O1369" s="15" t="str">
        <f>VLOOKUP(A1369,sinap!$A$2:$R$9000,7,FALSE)</f>
        <v>Vivo</v>
      </c>
      <c r="P1369" s="15" t="str">
        <f>VLOOKUP(A1369,sinap!$A$2:$R$9000,8,FALSE)</f>
        <v>11.1.01.1022</v>
      </c>
      <c r="Q1369" s="15" t="str">
        <f>VLOOKUP(A1369,sinap!$A$2:$R$9000,12,FALSE)</f>
        <v>11.1.01.0941</v>
      </c>
      <c r="R1369" s="15" t="str">
        <f>VLOOKUP(A1369,sinap!$A$2:$R$9000,16,FALSE)</f>
        <v>11.1.01.1241</v>
      </c>
      <c r="S1369" s="15" t="str">
        <f>VLOOKUP(A1369,sinap!$A$2:$Y$9000,20,FALSE)</f>
        <v>SI</v>
      </c>
      <c r="T1369" s="16">
        <v>45240</v>
      </c>
    </row>
    <row r="1370" spans="1:20" hidden="1" x14ac:dyDescent="0.25">
      <c r="A1370" s="15">
        <v>23323245</v>
      </c>
      <c r="I1370" s="16">
        <v>45969</v>
      </c>
      <c r="J1370" s="15" t="str">
        <f>VLOOKUP(A1370,sinap!$A$2:$R$9000,2,FALSE)</f>
        <v>H</v>
      </c>
      <c r="K1370" s="15" t="str">
        <f>VLOOKUP(A1370,sinap!$A$2:$R$9000,3,FALSE)</f>
        <v>VAQUILLA</v>
      </c>
      <c r="L1370" s="15" t="str">
        <f>VLOOKUP(A1370,sinap!$A$2:$R$9000,4,FALSE)</f>
        <v>ANGUS NEGRO</v>
      </c>
      <c r="M1370" s="15" t="str">
        <f>VLOOKUP(A1370,sinap!$A$2:$R$9000,5,FALSE)</f>
        <v>2 años 2 meses</v>
      </c>
      <c r="N1370" s="15" t="str">
        <f>VLOOKUP(A1370,sinap!$A$2:$R$9000,6,FALSE)</f>
        <v>30-10-2023</v>
      </c>
      <c r="O1370" s="15" t="str">
        <f>VLOOKUP(A1370,sinap!$A$2:$R$9000,7,FALSE)</f>
        <v>Vivo</v>
      </c>
      <c r="P1370" s="15" t="str">
        <f>VLOOKUP(A1370,sinap!$A$2:$R$9000,8,FALSE)</f>
        <v>11.1.01.1022</v>
      </c>
      <c r="Q1370" s="15" t="str">
        <f>VLOOKUP(A1370,sinap!$A$2:$R$9000,12,FALSE)</f>
        <v>11.1.01.0941</v>
      </c>
      <c r="R1370" s="15" t="str">
        <f>VLOOKUP(A1370,sinap!$A$2:$R$9000,16,FALSE)</f>
        <v>11.1.01.0893</v>
      </c>
      <c r="S1370" s="15" t="str">
        <f>VLOOKUP(A1370,sinap!$A$2:$Y$9000,20,FALSE)</f>
        <v>SI</v>
      </c>
    </row>
    <row r="1371" spans="1:20" hidden="1" x14ac:dyDescent="0.25">
      <c r="A1371" s="15">
        <v>23323247</v>
      </c>
      <c r="J1371" s="15" t="str">
        <f>VLOOKUP(A1371,sinap!$A$2:$R$9000,2,FALSE)</f>
        <v>M</v>
      </c>
      <c r="K1371" s="15" t="str">
        <f>VLOOKUP(A1371,sinap!$A$2:$R$9000,3,FALSE)</f>
        <v>NOVILLO</v>
      </c>
      <c r="L1371" s="15" t="str">
        <f>VLOOKUP(A1371,sinap!$A$2:$R$9000,4,FALSE)</f>
        <v>ANGUS NEGRO</v>
      </c>
      <c r="M1371" s="15" t="str">
        <f>VLOOKUP(A1371,sinap!$A$2:$R$9000,5,FALSE)</f>
        <v>2 años 3 meses</v>
      </c>
      <c r="N1371" s="15" t="str">
        <f>VLOOKUP(A1371,sinap!$A$2:$R$9000,6,FALSE)</f>
        <v>30-09-2023</v>
      </c>
      <c r="O1371" s="15" t="str">
        <f>VLOOKUP(A1371,sinap!$A$2:$R$9000,7,FALSE)</f>
        <v>Vivo</v>
      </c>
      <c r="P1371" s="15" t="str">
        <f>VLOOKUP(A1371,sinap!$A$2:$R$9000,8,FALSE)</f>
        <v>11.1.01.0893</v>
      </c>
      <c r="Q1371" s="15" t="str">
        <f>VLOOKUP(A1371,sinap!$A$2:$R$9000,12,FALSE)</f>
        <v>Sin Movimiento</v>
      </c>
      <c r="R1371" s="15" t="str">
        <f>VLOOKUP(A1371,sinap!$A$2:$R$9000,16,FALSE)</f>
        <v>11.1.01.0893</v>
      </c>
      <c r="S1371" s="15" t="str">
        <f>VLOOKUP(A1371,sinap!$A$2:$Y$9000,20,FALSE)</f>
        <v>SI</v>
      </c>
    </row>
    <row r="1372" spans="1:20" hidden="1" x14ac:dyDescent="0.25">
      <c r="A1372" s="15">
        <v>23323257</v>
      </c>
      <c r="I1372" s="16">
        <v>45969</v>
      </c>
      <c r="J1372" s="15" t="str">
        <f>VLOOKUP(A1372,sinap!$A$2:$R$9000,2,FALSE)</f>
        <v>H</v>
      </c>
      <c r="K1372" s="15" t="str">
        <f>VLOOKUP(A1372,sinap!$A$2:$R$9000,3,FALSE)</f>
        <v>VAQUILLA</v>
      </c>
      <c r="L1372" s="15" t="str">
        <f>VLOOKUP(A1372,sinap!$A$2:$R$9000,4,FALSE)</f>
        <v>ANGUS NEGRO</v>
      </c>
      <c r="M1372" s="15" t="str">
        <f>VLOOKUP(A1372,sinap!$A$2:$R$9000,5,FALSE)</f>
        <v>2 años 2 meses</v>
      </c>
      <c r="N1372" s="15" t="str">
        <f>VLOOKUP(A1372,sinap!$A$2:$R$9000,6,FALSE)</f>
        <v>30-10-2023</v>
      </c>
      <c r="O1372" s="15" t="str">
        <f>VLOOKUP(A1372,sinap!$A$2:$R$9000,7,FALSE)</f>
        <v>Vivo</v>
      </c>
      <c r="P1372" s="15" t="str">
        <f>VLOOKUP(A1372,sinap!$A$2:$R$9000,8,FALSE)</f>
        <v>11.1.01.1022</v>
      </c>
      <c r="Q1372" s="15" t="str">
        <f>VLOOKUP(A1372,sinap!$A$2:$R$9000,12,FALSE)</f>
        <v>11.1.01.0941</v>
      </c>
      <c r="R1372" s="15" t="str">
        <f>VLOOKUP(A1372,sinap!$A$2:$R$9000,16,FALSE)</f>
        <v>11.1.01.0893</v>
      </c>
      <c r="S1372" s="15" t="str">
        <f>VLOOKUP(A1372,sinap!$A$2:$Y$9000,20,FALSE)</f>
        <v>SI</v>
      </c>
    </row>
    <row r="1373" spans="1:20" hidden="1" x14ac:dyDescent="0.25">
      <c r="A1373" s="15">
        <v>23323260</v>
      </c>
      <c r="I1373" s="16">
        <v>45969</v>
      </c>
      <c r="J1373" s="15" t="str">
        <f>VLOOKUP(A1373,sinap!$A$2:$R$9000,2,FALSE)</f>
        <v>H</v>
      </c>
      <c r="K1373" s="15" t="str">
        <f>VLOOKUP(A1373,sinap!$A$2:$R$9000,3,FALSE)</f>
        <v>VAQUILLA</v>
      </c>
      <c r="L1373" s="15" t="str">
        <f>VLOOKUP(A1373,sinap!$A$2:$R$9000,4,FALSE)</f>
        <v>ANGUS NEGRO</v>
      </c>
      <c r="M1373" s="15" t="str">
        <f>VLOOKUP(A1373,sinap!$A$2:$R$9000,5,FALSE)</f>
        <v>2 años 2 meses</v>
      </c>
      <c r="N1373" s="15" t="str">
        <f>VLOOKUP(A1373,sinap!$A$2:$R$9000,6,FALSE)</f>
        <v>30-10-2023</v>
      </c>
      <c r="O1373" s="15" t="str">
        <f>VLOOKUP(A1373,sinap!$A$2:$R$9000,7,FALSE)</f>
        <v>Vivo</v>
      </c>
      <c r="P1373" s="15" t="str">
        <f>VLOOKUP(A1373,sinap!$A$2:$R$9000,8,FALSE)</f>
        <v>11.1.01.1022</v>
      </c>
      <c r="Q1373" s="15" t="str">
        <f>VLOOKUP(A1373,sinap!$A$2:$R$9000,12,FALSE)</f>
        <v>11.1.01.0941</v>
      </c>
      <c r="R1373" s="15" t="str">
        <f>VLOOKUP(A1373,sinap!$A$2:$R$9000,16,FALSE)</f>
        <v>11.1.01.0893</v>
      </c>
      <c r="S1373" s="15" t="str">
        <f>VLOOKUP(A1373,sinap!$A$2:$Y$9000,20,FALSE)</f>
        <v>SI</v>
      </c>
    </row>
    <row r="1374" spans="1:20" hidden="1" x14ac:dyDescent="0.25">
      <c r="A1374" s="15">
        <v>23323265</v>
      </c>
      <c r="I1374" s="16">
        <v>45969</v>
      </c>
      <c r="J1374" s="15" t="str">
        <f>VLOOKUP(A1374,sinap!$A$2:$R$9000,2,FALSE)</f>
        <v>H</v>
      </c>
      <c r="K1374" s="15" t="str">
        <f>VLOOKUP(A1374,sinap!$A$2:$R$9000,3,FALSE)</f>
        <v>VAQUILLA</v>
      </c>
      <c r="L1374" s="15" t="str">
        <f>VLOOKUP(A1374,sinap!$A$2:$R$9000,4,FALSE)</f>
        <v>ANGUS NEGRO</v>
      </c>
      <c r="M1374" s="15" t="str">
        <f>VLOOKUP(A1374,sinap!$A$2:$R$9000,5,FALSE)</f>
        <v>2 años 3 meses</v>
      </c>
      <c r="N1374" s="15" t="str">
        <f>VLOOKUP(A1374,sinap!$A$2:$R$9000,6,FALSE)</f>
        <v>15-10-2023</v>
      </c>
      <c r="O1374" s="15" t="str">
        <f>VLOOKUP(A1374,sinap!$A$2:$R$9000,7,FALSE)</f>
        <v>Vivo</v>
      </c>
      <c r="P1374" s="15" t="str">
        <f>VLOOKUP(A1374,sinap!$A$2:$R$9000,8,FALSE)</f>
        <v>11.1.01.1022</v>
      </c>
      <c r="Q1374" s="15" t="str">
        <f>VLOOKUP(A1374,sinap!$A$2:$R$9000,12,FALSE)</f>
        <v>11.1.01.0941</v>
      </c>
      <c r="R1374" s="15" t="str">
        <f>VLOOKUP(A1374,sinap!$A$2:$R$9000,16,FALSE)</f>
        <v>11.1.01.0893</v>
      </c>
      <c r="S1374" s="15" t="str">
        <f>VLOOKUP(A1374,sinap!$A$2:$Y$9000,20,FALSE)</f>
        <v>SI</v>
      </c>
    </row>
    <row r="1375" spans="1:20" hidden="1" x14ac:dyDescent="0.25">
      <c r="A1375" s="15">
        <v>23323267</v>
      </c>
      <c r="I1375" s="16">
        <v>45969</v>
      </c>
      <c r="J1375" s="15" t="str">
        <f>VLOOKUP(A1375,sinap!$A$2:$R$9000,2,FALSE)</f>
        <v>H</v>
      </c>
      <c r="K1375" s="15" t="str">
        <f>VLOOKUP(A1375,sinap!$A$2:$R$9000,3,FALSE)</f>
        <v>VAQUILLA</v>
      </c>
      <c r="L1375" s="15" t="str">
        <f>VLOOKUP(A1375,sinap!$A$2:$R$9000,4,FALSE)</f>
        <v>ANGUS NEGRO</v>
      </c>
      <c r="M1375" s="15" t="str">
        <f>VLOOKUP(A1375,sinap!$A$2:$R$9000,5,FALSE)</f>
        <v>2 años 3 meses</v>
      </c>
      <c r="N1375" s="15" t="str">
        <f>VLOOKUP(A1375,sinap!$A$2:$R$9000,6,FALSE)</f>
        <v>15-10-2023</v>
      </c>
      <c r="O1375" s="15" t="str">
        <f>VLOOKUP(A1375,sinap!$A$2:$R$9000,7,FALSE)</f>
        <v>Vivo</v>
      </c>
      <c r="P1375" s="15" t="str">
        <f>VLOOKUP(A1375,sinap!$A$2:$R$9000,8,FALSE)</f>
        <v>11.1.01.1022</v>
      </c>
      <c r="Q1375" s="15" t="str">
        <f>VLOOKUP(A1375,sinap!$A$2:$R$9000,12,FALSE)</f>
        <v>11.1.01.0941</v>
      </c>
      <c r="R1375" s="15" t="str">
        <f>VLOOKUP(A1375,sinap!$A$2:$R$9000,16,FALSE)</f>
        <v>11.1.01.0893</v>
      </c>
      <c r="S1375" s="15" t="str">
        <f>VLOOKUP(A1375,sinap!$A$2:$Y$9000,20,FALSE)</f>
        <v>SI</v>
      </c>
    </row>
    <row r="1376" spans="1:20" hidden="1" x14ac:dyDescent="0.25">
      <c r="A1376" s="15">
        <v>23323301</v>
      </c>
      <c r="I1376" s="16">
        <v>45969</v>
      </c>
      <c r="J1376" s="15" t="str">
        <f>VLOOKUP(A1376,sinap!$A$2:$R$9000,2,FALSE)</f>
        <v>H</v>
      </c>
      <c r="K1376" s="15" t="str">
        <f>VLOOKUP(A1376,sinap!$A$2:$R$9000,3,FALSE)</f>
        <v>VAQUILLA</v>
      </c>
      <c r="L1376" s="15" t="str">
        <f>VLOOKUP(A1376,sinap!$A$2:$R$9000,4,FALSE)</f>
        <v>ANGUS NEGRO</v>
      </c>
      <c r="M1376" s="15" t="str">
        <f>VLOOKUP(A1376,sinap!$A$2:$R$9000,5,FALSE)</f>
        <v>2 años 3 meses</v>
      </c>
      <c r="N1376" s="15" t="str">
        <f>VLOOKUP(A1376,sinap!$A$2:$R$9000,6,FALSE)</f>
        <v>15-10-2023</v>
      </c>
      <c r="O1376" s="15" t="str">
        <f>VLOOKUP(A1376,sinap!$A$2:$R$9000,7,FALSE)</f>
        <v>Vivo</v>
      </c>
      <c r="P1376" s="15" t="str">
        <f>VLOOKUP(A1376,sinap!$A$2:$R$9000,8,FALSE)</f>
        <v>11.1.01.1022</v>
      </c>
      <c r="Q1376" s="15" t="str">
        <f>VLOOKUP(A1376,sinap!$A$2:$R$9000,12,FALSE)</f>
        <v>11.1.01.0941</v>
      </c>
      <c r="R1376" s="15" t="str">
        <f>VLOOKUP(A1376,sinap!$A$2:$R$9000,16,FALSE)</f>
        <v>11.1.01.0893</v>
      </c>
      <c r="S1376" s="15" t="str">
        <f>VLOOKUP(A1376,sinap!$A$2:$Y$9000,20,FALSE)</f>
        <v>SI</v>
      </c>
    </row>
    <row r="1377" spans="1:20" hidden="1" x14ac:dyDescent="0.25">
      <c r="A1377" s="15">
        <v>23323314</v>
      </c>
      <c r="I1377" s="16">
        <v>45969</v>
      </c>
      <c r="J1377" s="15" t="str">
        <f>VLOOKUP(A1377,sinap!$A$2:$R$9000,2,FALSE)</f>
        <v>H</v>
      </c>
      <c r="K1377" s="15" t="str">
        <f>VLOOKUP(A1377,sinap!$A$2:$R$9000,3,FALSE)</f>
        <v>VAQUILLA</v>
      </c>
      <c r="L1377" s="15" t="str">
        <f>VLOOKUP(A1377,sinap!$A$2:$R$9000,4,FALSE)</f>
        <v>ANGUS NEGRO</v>
      </c>
      <c r="M1377" s="15" t="str">
        <f>VLOOKUP(A1377,sinap!$A$2:$R$9000,5,FALSE)</f>
        <v>2 años 2 meses</v>
      </c>
      <c r="N1377" s="15" t="str">
        <f>VLOOKUP(A1377,sinap!$A$2:$R$9000,6,FALSE)</f>
        <v>30-10-2023</v>
      </c>
      <c r="O1377" s="15" t="str">
        <f>VLOOKUP(A1377,sinap!$A$2:$R$9000,7,FALSE)</f>
        <v>Vivo</v>
      </c>
      <c r="P1377" s="15" t="str">
        <f>VLOOKUP(A1377,sinap!$A$2:$R$9000,8,FALSE)</f>
        <v>11.1.01.1022</v>
      </c>
      <c r="Q1377" s="15" t="str">
        <f>VLOOKUP(A1377,sinap!$A$2:$R$9000,12,FALSE)</f>
        <v>11.1.01.0941</v>
      </c>
      <c r="R1377" s="15" t="str">
        <f>VLOOKUP(A1377,sinap!$A$2:$R$9000,16,FALSE)</f>
        <v>11.1.01.0893</v>
      </c>
      <c r="S1377" s="15" t="str">
        <f>VLOOKUP(A1377,sinap!$A$2:$Y$9000,20,FALSE)</f>
        <v>SI</v>
      </c>
    </row>
    <row r="1378" spans="1:20" hidden="1" x14ac:dyDescent="0.25">
      <c r="A1378" s="15">
        <v>23323322</v>
      </c>
      <c r="I1378" s="16">
        <v>45969</v>
      </c>
      <c r="J1378" s="15" t="str">
        <f>VLOOKUP(A1378,sinap!$A$2:$R$9000,2,FALSE)</f>
        <v>H</v>
      </c>
      <c r="K1378" s="15" t="str">
        <f>VLOOKUP(A1378,sinap!$A$2:$R$9000,3,FALSE)</f>
        <v>VAQUILLA</v>
      </c>
      <c r="L1378" s="15" t="str">
        <f>VLOOKUP(A1378,sinap!$A$2:$R$9000,4,FALSE)</f>
        <v>ANGUS NEGRO</v>
      </c>
      <c r="M1378" s="15" t="str">
        <f>VLOOKUP(A1378,sinap!$A$2:$R$9000,5,FALSE)</f>
        <v>2 años 3 meses</v>
      </c>
      <c r="N1378" s="15" t="str">
        <f>VLOOKUP(A1378,sinap!$A$2:$R$9000,6,FALSE)</f>
        <v>15-10-2023</v>
      </c>
      <c r="O1378" s="15" t="str">
        <f>VLOOKUP(A1378,sinap!$A$2:$R$9000,7,FALSE)</f>
        <v>Vivo</v>
      </c>
      <c r="P1378" s="15" t="str">
        <f>VLOOKUP(A1378,sinap!$A$2:$R$9000,8,FALSE)</f>
        <v>11.1.01.1022</v>
      </c>
      <c r="Q1378" s="15" t="str">
        <f>VLOOKUP(A1378,sinap!$A$2:$R$9000,12,FALSE)</f>
        <v>11.1.01.0941</v>
      </c>
      <c r="R1378" s="15" t="str">
        <f>VLOOKUP(A1378,sinap!$A$2:$R$9000,16,FALSE)</f>
        <v>11.1.01.0893</v>
      </c>
      <c r="S1378" s="15" t="str">
        <f>VLOOKUP(A1378,sinap!$A$2:$Y$9000,20,FALSE)</f>
        <v>SI</v>
      </c>
    </row>
    <row r="1379" spans="1:20" hidden="1" x14ac:dyDescent="0.25">
      <c r="A1379" s="15">
        <v>23323326</v>
      </c>
      <c r="I1379" s="16">
        <v>45680</v>
      </c>
      <c r="J1379" s="15" t="str">
        <f>VLOOKUP(A1379,sinap!$A$2:$R$9000,2,FALSE)</f>
        <v>H</v>
      </c>
      <c r="K1379" s="15" t="str">
        <f>VLOOKUP(A1379,sinap!$A$2:$R$9000,3,FALSE)</f>
        <v>VAQUILLA</v>
      </c>
      <c r="L1379" s="15" t="str">
        <f>VLOOKUP(A1379,sinap!$A$2:$R$9000,4,FALSE)</f>
        <v>HIBRIDO</v>
      </c>
      <c r="M1379" s="15" t="str">
        <f>VLOOKUP(A1379,sinap!$A$2:$R$9000,5,FALSE)</f>
        <v>2 años 2 meses</v>
      </c>
      <c r="N1379" s="15" t="str">
        <f>VLOOKUP(A1379,sinap!$A$2:$R$9000,6,FALSE)</f>
        <v>15-11-2023</v>
      </c>
      <c r="O1379" s="15" t="str">
        <f>VLOOKUP(A1379,sinap!$A$2:$R$9000,7,FALSE)</f>
        <v>Vivo</v>
      </c>
      <c r="P1379" s="15" t="str">
        <f>VLOOKUP(A1379,sinap!$A$2:$R$9000,8,FALSE)</f>
        <v>11.1.01.2442</v>
      </c>
      <c r="Q1379" s="15" t="str">
        <f>VLOOKUP(A1379,sinap!$A$2:$R$9000,12,FALSE)</f>
        <v>11.1.01.0190</v>
      </c>
      <c r="R1379" s="15" t="str">
        <f>VLOOKUP(A1379,sinap!$A$2:$R$9000,16,FALSE)</f>
        <v>11.1.01.1241</v>
      </c>
      <c r="S1379" s="15" t="str">
        <f>VLOOKUP(A1379,sinap!$A$2:$Y$9000,20,FALSE)</f>
        <v>SI</v>
      </c>
      <c r="T1379" s="16">
        <v>45258</v>
      </c>
    </row>
    <row r="1380" spans="1:20" hidden="1" x14ac:dyDescent="0.25">
      <c r="A1380" s="15">
        <v>23323327</v>
      </c>
      <c r="I1380" s="16">
        <v>45969</v>
      </c>
      <c r="J1380" s="15" t="str">
        <f>VLOOKUP(A1380,sinap!$A$2:$R$9000,2,FALSE)</f>
        <v>H</v>
      </c>
      <c r="K1380" s="15" t="str">
        <f>VLOOKUP(A1380,sinap!$A$2:$R$9000,3,FALSE)</f>
        <v>VAQUILLA</v>
      </c>
      <c r="L1380" s="15" t="str">
        <f>VLOOKUP(A1380,sinap!$A$2:$R$9000,4,FALSE)</f>
        <v>ANGUS ROJO</v>
      </c>
      <c r="M1380" s="15" t="str">
        <f>VLOOKUP(A1380,sinap!$A$2:$R$9000,5,FALSE)</f>
        <v>2 años 2 meses</v>
      </c>
      <c r="N1380" s="15" t="str">
        <f>VLOOKUP(A1380,sinap!$A$2:$R$9000,6,FALSE)</f>
        <v>30-10-2023</v>
      </c>
      <c r="O1380" s="15" t="str">
        <f>VLOOKUP(A1380,sinap!$A$2:$R$9000,7,FALSE)</f>
        <v>Vivo</v>
      </c>
      <c r="P1380" s="15" t="str">
        <f>VLOOKUP(A1380,sinap!$A$2:$R$9000,8,FALSE)</f>
        <v>11.1.01.1022</v>
      </c>
      <c r="Q1380" s="15" t="str">
        <f>VLOOKUP(A1380,sinap!$A$2:$R$9000,12,FALSE)</f>
        <v>11.1.01.0941</v>
      </c>
      <c r="R1380" s="15" t="str">
        <f>VLOOKUP(A1380,sinap!$A$2:$R$9000,16,FALSE)</f>
        <v>11.1.01.1241</v>
      </c>
      <c r="S1380" s="15" t="str">
        <f>VLOOKUP(A1380,sinap!$A$2:$Y$9000,20,FALSE)</f>
        <v>SI</v>
      </c>
      <c r="T1380" s="16">
        <v>45261</v>
      </c>
    </row>
    <row r="1381" spans="1:20" hidden="1" x14ac:dyDescent="0.25">
      <c r="A1381" s="15">
        <v>23323342</v>
      </c>
      <c r="I1381" s="16">
        <v>45969</v>
      </c>
      <c r="J1381" s="15" t="str">
        <f>VLOOKUP(A1381,sinap!$A$2:$R$9000,2,FALSE)</f>
        <v>H</v>
      </c>
      <c r="K1381" s="15" t="str">
        <f>VLOOKUP(A1381,sinap!$A$2:$R$9000,3,FALSE)</f>
        <v>VAQUILLA</v>
      </c>
      <c r="L1381" s="15" t="str">
        <f>VLOOKUP(A1381,sinap!$A$2:$R$9000,4,FALSE)</f>
        <v>ANGUS NEGRO</v>
      </c>
      <c r="M1381" s="15" t="str">
        <f>VLOOKUP(A1381,sinap!$A$2:$R$9000,5,FALSE)</f>
        <v>2 años 1 meses</v>
      </c>
      <c r="N1381" s="15" t="str">
        <f>VLOOKUP(A1381,sinap!$A$2:$R$9000,6,FALSE)</f>
        <v>30-11-2023</v>
      </c>
      <c r="O1381" s="15" t="str">
        <f>VLOOKUP(A1381,sinap!$A$2:$R$9000,7,FALSE)</f>
        <v>Vivo</v>
      </c>
      <c r="P1381" s="15" t="str">
        <f>VLOOKUP(A1381,sinap!$A$2:$R$9000,8,FALSE)</f>
        <v>11.1.01.2442</v>
      </c>
      <c r="Q1381" s="15" t="str">
        <f>VLOOKUP(A1381,sinap!$A$2:$R$9000,12,FALSE)</f>
        <v>11.1.01.0190</v>
      </c>
      <c r="R1381" s="15" t="str">
        <f>VLOOKUP(A1381,sinap!$A$2:$R$9000,16,FALSE)</f>
        <v>11.1.01.1241</v>
      </c>
      <c r="S1381" s="15" t="str">
        <f>VLOOKUP(A1381,sinap!$A$2:$Y$9000,20,FALSE)</f>
        <v>SI</v>
      </c>
      <c r="T1381" s="16">
        <v>45261</v>
      </c>
    </row>
    <row r="1382" spans="1:20" hidden="1" x14ac:dyDescent="0.25">
      <c r="A1382" s="15">
        <v>23323343</v>
      </c>
      <c r="I1382" s="16">
        <v>45969</v>
      </c>
      <c r="J1382" s="15" t="str">
        <f>VLOOKUP(A1382,sinap!$A$2:$R$9000,2,FALSE)</f>
        <v>H</v>
      </c>
      <c r="K1382" s="15" t="str">
        <f>VLOOKUP(A1382,sinap!$A$2:$R$9000,3,FALSE)</f>
        <v>VAQUILLA</v>
      </c>
      <c r="L1382" s="15" t="str">
        <f>VLOOKUP(A1382,sinap!$A$2:$R$9000,4,FALSE)</f>
        <v>ANGUS NEGRO</v>
      </c>
      <c r="M1382" s="15" t="str">
        <f>VLOOKUP(A1382,sinap!$A$2:$R$9000,5,FALSE)</f>
        <v>2 años 2 meses</v>
      </c>
      <c r="N1382" s="15" t="str">
        <f>VLOOKUP(A1382,sinap!$A$2:$R$9000,6,FALSE)</f>
        <v>05-11-2023</v>
      </c>
      <c r="O1382" s="15" t="str">
        <f>VLOOKUP(A1382,sinap!$A$2:$R$9000,7,FALSE)</f>
        <v>Vivo</v>
      </c>
      <c r="P1382" s="15" t="str">
        <f>VLOOKUP(A1382,sinap!$A$2:$R$9000,8,FALSE)</f>
        <v>11.1.01.1022</v>
      </c>
      <c r="Q1382" s="15" t="str">
        <f>VLOOKUP(A1382,sinap!$A$2:$R$9000,12,FALSE)</f>
        <v>11.1.01.0941</v>
      </c>
      <c r="R1382" s="15" t="str">
        <f>VLOOKUP(A1382,sinap!$A$2:$R$9000,16,FALSE)</f>
        <v>11.1.01.1241</v>
      </c>
      <c r="S1382" s="15" t="str">
        <f>VLOOKUP(A1382,sinap!$A$2:$Y$9000,20,FALSE)</f>
        <v>SI</v>
      </c>
      <c r="T1382" s="16">
        <v>45261</v>
      </c>
    </row>
    <row r="1383" spans="1:20" hidden="1" x14ac:dyDescent="0.25">
      <c r="A1383" s="15">
        <v>23323344</v>
      </c>
      <c r="I1383" s="16">
        <v>45969</v>
      </c>
      <c r="J1383" s="15" t="str">
        <f>VLOOKUP(A1383,sinap!$A$2:$R$9000,2,FALSE)</f>
        <v>H</v>
      </c>
      <c r="K1383" s="15" t="str">
        <f>VLOOKUP(A1383,sinap!$A$2:$R$9000,3,FALSE)</f>
        <v>VAQUILLA</v>
      </c>
      <c r="L1383" s="15" t="str">
        <f>VLOOKUP(A1383,sinap!$A$2:$R$9000,4,FALSE)</f>
        <v>ANGUS NEGRO</v>
      </c>
      <c r="M1383" s="15" t="str">
        <f>VLOOKUP(A1383,sinap!$A$2:$R$9000,5,FALSE)</f>
        <v>2 años 2 meses</v>
      </c>
      <c r="N1383" s="15" t="str">
        <f>VLOOKUP(A1383,sinap!$A$2:$R$9000,6,FALSE)</f>
        <v>05-11-2023</v>
      </c>
      <c r="O1383" s="15" t="str">
        <f>VLOOKUP(A1383,sinap!$A$2:$R$9000,7,FALSE)</f>
        <v>Vivo</v>
      </c>
      <c r="P1383" s="15" t="str">
        <f>VLOOKUP(A1383,sinap!$A$2:$R$9000,8,FALSE)</f>
        <v>11.1.01.1022</v>
      </c>
      <c r="Q1383" s="15" t="str">
        <f>VLOOKUP(A1383,sinap!$A$2:$R$9000,12,FALSE)</f>
        <v>11.1.01.0941</v>
      </c>
      <c r="R1383" s="15" t="str">
        <f>VLOOKUP(A1383,sinap!$A$2:$R$9000,16,FALSE)</f>
        <v>11.1.01.1241</v>
      </c>
      <c r="S1383" s="15" t="str">
        <f>VLOOKUP(A1383,sinap!$A$2:$Y$9000,20,FALSE)</f>
        <v>SI</v>
      </c>
      <c r="T1383" s="16">
        <v>45261</v>
      </c>
    </row>
    <row r="1384" spans="1:20" hidden="1" x14ac:dyDescent="0.25">
      <c r="A1384" s="15">
        <v>23323346</v>
      </c>
      <c r="I1384" s="16">
        <v>45680</v>
      </c>
      <c r="J1384" s="15" t="str">
        <f>VLOOKUP(A1384,sinap!$A$2:$R$9000,2,FALSE)</f>
        <v>H</v>
      </c>
      <c r="K1384" s="15" t="str">
        <f>VLOOKUP(A1384,sinap!$A$2:$R$9000,3,FALSE)</f>
        <v>VAQUILLA</v>
      </c>
      <c r="L1384" s="15" t="str">
        <f>VLOOKUP(A1384,sinap!$A$2:$R$9000,4,FALSE)</f>
        <v>ANGUS NEGRO</v>
      </c>
      <c r="M1384" s="15" t="str">
        <f>VLOOKUP(A1384,sinap!$A$2:$R$9000,5,FALSE)</f>
        <v>2 años 2 meses</v>
      </c>
      <c r="N1384" s="15" t="str">
        <f>VLOOKUP(A1384,sinap!$A$2:$R$9000,6,FALSE)</f>
        <v>10-11-2023</v>
      </c>
      <c r="O1384" s="15" t="str">
        <f>VLOOKUP(A1384,sinap!$A$2:$R$9000,7,FALSE)</f>
        <v>Vivo</v>
      </c>
      <c r="P1384" s="15" t="str">
        <f>VLOOKUP(A1384,sinap!$A$2:$R$9000,8,FALSE)</f>
        <v>11.1.01.1022</v>
      </c>
      <c r="Q1384" s="15" t="str">
        <f>VLOOKUP(A1384,sinap!$A$2:$R$9000,12,FALSE)</f>
        <v>11.1.01.0941</v>
      </c>
      <c r="R1384" s="15" t="str">
        <f>VLOOKUP(A1384,sinap!$A$2:$R$9000,16,FALSE)</f>
        <v>11.1.01.1241</v>
      </c>
      <c r="S1384" s="15" t="str">
        <f>VLOOKUP(A1384,sinap!$A$2:$Y$9000,20,FALSE)</f>
        <v>SI</v>
      </c>
      <c r="T1384" s="16">
        <v>45261</v>
      </c>
    </row>
    <row r="1385" spans="1:20" hidden="1" x14ac:dyDescent="0.25">
      <c r="A1385" s="15">
        <v>23323348</v>
      </c>
      <c r="I1385" s="16">
        <v>45969</v>
      </c>
      <c r="J1385" s="15" t="str">
        <f>VLOOKUP(A1385,sinap!$A$2:$R$9000,2,FALSE)</f>
        <v>H</v>
      </c>
      <c r="K1385" s="15" t="str">
        <f>VLOOKUP(A1385,sinap!$A$2:$R$9000,3,FALSE)</f>
        <v>VAQUILLA</v>
      </c>
      <c r="L1385" s="15" t="str">
        <f>VLOOKUP(A1385,sinap!$A$2:$R$9000,4,FALSE)</f>
        <v>ANGUS NEGRO</v>
      </c>
      <c r="M1385" s="15" t="str">
        <f>VLOOKUP(A1385,sinap!$A$2:$R$9000,5,FALSE)</f>
        <v>2 años 2 meses</v>
      </c>
      <c r="N1385" s="15" t="str">
        <f>VLOOKUP(A1385,sinap!$A$2:$R$9000,6,FALSE)</f>
        <v>05-11-2023</v>
      </c>
      <c r="O1385" s="15" t="str">
        <f>VLOOKUP(A1385,sinap!$A$2:$R$9000,7,FALSE)</f>
        <v>Vivo</v>
      </c>
      <c r="P1385" s="15" t="str">
        <f>VLOOKUP(A1385,sinap!$A$2:$R$9000,8,FALSE)</f>
        <v>11.1.01.1022</v>
      </c>
      <c r="Q1385" s="15" t="str">
        <f>VLOOKUP(A1385,sinap!$A$2:$R$9000,12,FALSE)</f>
        <v>11.1.01.0941</v>
      </c>
      <c r="R1385" s="15" t="str">
        <f>VLOOKUP(A1385,sinap!$A$2:$R$9000,16,FALSE)</f>
        <v>11.1.01.1241</v>
      </c>
      <c r="S1385" s="15" t="str">
        <f>VLOOKUP(A1385,sinap!$A$2:$Y$9000,20,FALSE)</f>
        <v>SI</v>
      </c>
      <c r="T1385" s="16">
        <v>45261</v>
      </c>
    </row>
    <row r="1386" spans="1:20" hidden="1" x14ac:dyDescent="0.25">
      <c r="A1386" s="15">
        <v>23323350</v>
      </c>
      <c r="I1386" s="16">
        <v>45969</v>
      </c>
      <c r="J1386" s="15" t="str">
        <f>VLOOKUP(A1386,sinap!$A$2:$R$9000,2,FALSE)</f>
        <v>H</v>
      </c>
      <c r="K1386" s="15" t="str">
        <f>VLOOKUP(A1386,sinap!$A$2:$R$9000,3,FALSE)</f>
        <v>VAQUILLA</v>
      </c>
      <c r="L1386" s="15" t="str">
        <f>VLOOKUP(A1386,sinap!$A$2:$R$9000,4,FALSE)</f>
        <v>ANGUS NEGRO</v>
      </c>
      <c r="M1386" s="15" t="str">
        <f>VLOOKUP(A1386,sinap!$A$2:$R$9000,5,FALSE)</f>
        <v>2 años 2 meses</v>
      </c>
      <c r="N1386" s="15" t="str">
        <f>VLOOKUP(A1386,sinap!$A$2:$R$9000,6,FALSE)</f>
        <v>05-11-2023</v>
      </c>
      <c r="O1386" s="15" t="str">
        <f>VLOOKUP(A1386,sinap!$A$2:$R$9000,7,FALSE)</f>
        <v>Vivo</v>
      </c>
      <c r="P1386" s="15" t="str">
        <f>VLOOKUP(A1386,sinap!$A$2:$R$9000,8,FALSE)</f>
        <v>11.1.01.1022</v>
      </c>
      <c r="Q1386" s="15" t="str">
        <f>VLOOKUP(A1386,sinap!$A$2:$R$9000,12,FALSE)</f>
        <v>11.1.01.0941</v>
      </c>
      <c r="R1386" s="15" t="str">
        <f>VLOOKUP(A1386,sinap!$A$2:$R$9000,16,FALSE)</f>
        <v>11.1.01.1241</v>
      </c>
      <c r="S1386" s="15" t="str">
        <f>VLOOKUP(A1386,sinap!$A$2:$Y$9000,20,FALSE)</f>
        <v>SI</v>
      </c>
      <c r="T1386" s="16">
        <v>45261</v>
      </c>
    </row>
    <row r="1387" spans="1:20" hidden="1" x14ac:dyDescent="0.25">
      <c r="A1387" s="15">
        <v>23323354</v>
      </c>
      <c r="I1387" s="16">
        <v>45969</v>
      </c>
      <c r="J1387" s="15" t="str">
        <f>VLOOKUP(A1387,sinap!$A$2:$R$9000,2,FALSE)</f>
        <v>H</v>
      </c>
      <c r="K1387" s="15" t="str">
        <f>VLOOKUP(A1387,sinap!$A$2:$R$9000,3,FALSE)</f>
        <v>VAQUILLA</v>
      </c>
      <c r="L1387" s="15" t="str">
        <f>VLOOKUP(A1387,sinap!$A$2:$R$9000,4,FALSE)</f>
        <v>ANGUS NEGRO</v>
      </c>
      <c r="M1387" s="15" t="str">
        <f>VLOOKUP(A1387,sinap!$A$2:$R$9000,5,FALSE)</f>
        <v>2 años 2 meses</v>
      </c>
      <c r="N1387" s="15" t="str">
        <f>VLOOKUP(A1387,sinap!$A$2:$R$9000,6,FALSE)</f>
        <v>15-11-2023</v>
      </c>
      <c r="O1387" s="15" t="str">
        <f>VLOOKUP(A1387,sinap!$A$2:$R$9000,7,FALSE)</f>
        <v>Vivo</v>
      </c>
      <c r="P1387" s="15" t="str">
        <f>VLOOKUP(A1387,sinap!$A$2:$R$9000,8,FALSE)</f>
        <v>11.1.01.1022</v>
      </c>
      <c r="Q1387" s="15" t="str">
        <f>VLOOKUP(A1387,sinap!$A$2:$R$9000,12,FALSE)</f>
        <v>11.1.01.0941</v>
      </c>
      <c r="R1387" s="15" t="str">
        <f>VLOOKUP(A1387,sinap!$A$2:$R$9000,16,FALSE)</f>
        <v>11.1.01.1241</v>
      </c>
      <c r="S1387" s="15" t="str">
        <f>VLOOKUP(A1387,sinap!$A$2:$Y$9000,20,FALSE)</f>
        <v>SI</v>
      </c>
      <c r="T1387" s="16">
        <v>45265</v>
      </c>
    </row>
    <row r="1388" spans="1:20" hidden="1" x14ac:dyDescent="0.25">
      <c r="A1388" s="15">
        <v>23323367</v>
      </c>
      <c r="I1388" s="16">
        <v>45969</v>
      </c>
      <c r="J1388" s="15" t="str">
        <f>VLOOKUP(A1388,sinap!$A$2:$R$9000,2,FALSE)</f>
        <v>H</v>
      </c>
      <c r="K1388" s="15" t="str">
        <f>VLOOKUP(A1388,sinap!$A$2:$R$9000,3,FALSE)</f>
        <v>VAQUILLA</v>
      </c>
      <c r="L1388" s="15" t="str">
        <f>VLOOKUP(A1388,sinap!$A$2:$R$9000,4,FALSE)</f>
        <v>ANGUS NEGRO</v>
      </c>
      <c r="M1388" s="15" t="str">
        <f>VLOOKUP(A1388,sinap!$A$2:$R$9000,5,FALSE)</f>
        <v>2 años 3 meses</v>
      </c>
      <c r="N1388" s="15" t="str">
        <f>VLOOKUP(A1388,sinap!$A$2:$R$9000,6,FALSE)</f>
        <v>15-10-2023</v>
      </c>
      <c r="O1388" s="15" t="str">
        <f>VLOOKUP(A1388,sinap!$A$2:$R$9000,7,FALSE)</f>
        <v>Vivo</v>
      </c>
      <c r="P1388" s="15" t="str">
        <f>VLOOKUP(A1388,sinap!$A$2:$R$9000,8,FALSE)</f>
        <v>11.1.01.1022</v>
      </c>
      <c r="Q1388" s="15" t="str">
        <f>VLOOKUP(A1388,sinap!$A$2:$R$9000,12,FALSE)</f>
        <v>11.1.01.0941</v>
      </c>
      <c r="R1388" s="15" t="str">
        <f>VLOOKUP(A1388,sinap!$A$2:$R$9000,16,FALSE)</f>
        <v>11.1.01.0893</v>
      </c>
      <c r="S1388" s="15" t="str">
        <f>VLOOKUP(A1388,sinap!$A$2:$Y$9000,20,FALSE)</f>
        <v>SI</v>
      </c>
      <c r="T1388" s="16">
        <v>45265</v>
      </c>
    </row>
    <row r="1389" spans="1:20" hidden="1" x14ac:dyDescent="0.25">
      <c r="A1389" s="15">
        <v>23323376</v>
      </c>
      <c r="I1389" s="16">
        <v>45969</v>
      </c>
      <c r="J1389" s="15" t="str">
        <f>VLOOKUP(A1389,sinap!$A$2:$R$9000,2,FALSE)</f>
        <v>H</v>
      </c>
      <c r="K1389" s="15" t="str">
        <f>VLOOKUP(A1389,sinap!$A$2:$R$9000,3,FALSE)</f>
        <v>VAQUILLA</v>
      </c>
      <c r="L1389" s="15" t="str">
        <f>VLOOKUP(A1389,sinap!$A$2:$R$9000,4,FALSE)</f>
        <v>ANGUS NEGRO</v>
      </c>
      <c r="M1389" s="15" t="str">
        <f>VLOOKUP(A1389,sinap!$A$2:$R$9000,5,FALSE)</f>
        <v>2 años 3 meses</v>
      </c>
      <c r="N1389" s="15" t="str">
        <f>VLOOKUP(A1389,sinap!$A$2:$R$9000,6,FALSE)</f>
        <v>15-10-2023</v>
      </c>
      <c r="O1389" s="15" t="str">
        <f>VLOOKUP(A1389,sinap!$A$2:$R$9000,7,FALSE)</f>
        <v>Vivo</v>
      </c>
      <c r="P1389" s="15" t="str">
        <f>VLOOKUP(A1389,sinap!$A$2:$R$9000,8,FALSE)</f>
        <v>11.1.01.1022</v>
      </c>
      <c r="Q1389" s="15" t="str">
        <f>VLOOKUP(A1389,sinap!$A$2:$R$9000,12,FALSE)</f>
        <v>11.1.01.0941</v>
      </c>
      <c r="R1389" s="15" t="str">
        <f>VLOOKUP(A1389,sinap!$A$2:$R$9000,16,FALSE)</f>
        <v>11.1.01.0893</v>
      </c>
      <c r="S1389" s="15" t="str">
        <f>VLOOKUP(A1389,sinap!$A$2:$Y$9000,20,FALSE)</f>
        <v>SI</v>
      </c>
      <c r="T1389" s="16">
        <v>45265</v>
      </c>
    </row>
    <row r="1390" spans="1:20" hidden="1" x14ac:dyDescent="0.25">
      <c r="A1390" s="15">
        <v>23323399</v>
      </c>
      <c r="I1390" s="16">
        <v>45969</v>
      </c>
      <c r="J1390" s="15" t="str">
        <f>VLOOKUP(A1390,sinap!$A$2:$R$9000,2,FALSE)</f>
        <v>H</v>
      </c>
      <c r="K1390" s="15" t="str">
        <f>VLOOKUP(A1390,sinap!$A$2:$R$9000,3,FALSE)</f>
        <v>VAQUILLA</v>
      </c>
      <c r="L1390" s="15" t="str">
        <f>VLOOKUP(A1390,sinap!$A$2:$R$9000,4,FALSE)</f>
        <v>ANGUS NEGRO</v>
      </c>
      <c r="M1390" s="15" t="str">
        <f>VLOOKUP(A1390,sinap!$A$2:$R$9000,5,FALSE)</f>
        <v>2 años 3 meses</v>
      </c>
      <c r="N1390" s="15" t="str">
        <f>VLOOKUP(A1390,sinap!$A$2:$R$9000,6,FALSE)</f>
        <v>01-10-2023</v>
      </c>
      <c r="O1390" s="15" t="str">
        <f>VLOOKUP(A1390,sinap!$A$2:$R$9000,7,FALSE)</f>
        <v>Vivo</v>
      </c>
      <c r="P1390" s="15" t="str">
        <f>VLOOKUP(A1390,sinap!$A$2:$R$9000,8,FALSE)</f>
        <v>11.1.01.1022</v>
      </c>
      <c r="Q1390" s="15" t="str">
        <f>VLOOKUP(A1390,sinap!$A$2:$R$9000,12,FALSE)</f>
        <v>11.1.01.0941</v>
      </c>
      <c r="R1390" s="15" t="str">
        <f>VLOOKUP(A1390,sinap!$A$2:$R$9000,16,FALSE)</f>
        <v>11.1.01.0893</v>
      </c>
      <c r="S1390" s="15" t="str">
        <f>VLOOKUP(A1390,sinap!$A$2:$Y$9000,20,FALSE)</f>
        <v>SI</v>
      </c>
      <c r="T1390" s="16">
        <v>45265</v>
      </c>
    </row>
    <row r="1391" spans="1:20" hidden="1" x14ac:dyDescent="0.25">
      <c r="A1391" s="15">
        <v>23323408</v>
      </c>
      <c r="I1391" s="16">
        <v>45969</v>
      </c>
      <c r="J1391" s="15" t="str">
        <f>VLOOKUP(A1391,sinap!$A$2:$R$9000,2,FALSE)</f>
        <v>H</v>
      </c>
      <c r="K1391" s="15" t="str">
        <f>VLOOKUP(A1391,sinap!$A$2:$R$9000,3,FALSE)</f>
        <v>VAQUILLA</v>
      </c>
      <c r="L1391" s="15" t="str">
        <f>VLOOKUP(A1391,sinap!$A$2:$R$9000,4,FALSE)</f>
        <v>ANGUS ROJO</v>
      </c>
      <c r="M1391" s="15" t="str">
        <f>VLOOKUP(A1391,sinap!$A$2:$R$9000,5,FALSE)</f>
        <v>2 años 3 meses</v>
      </c>
      <c r="N1391" s="15" t="str">
        <f>VLOOKUP(A1391,sinap!$A$2:$R$9000,6,FALSE)</f>
        <v>01-10-2023</v>
      </c>
      <c r="O1391" s="15" t="str">
        <f>VLOOKUP(A1391,sinap!$A$2:$R$9000,7,FALSE)</f>
        <v>Vivo</v>
      </c>
      <c r="P1391" s="15" t="str">
        <f>VLOOKUP(A1391,sinap!$A$2:$R$9000,8,FALSE)</f>
        <v>11.1.01.1022</v>
      </c>
      <c r="Q1391" s="15" t="str">
        <f>VLOOKUP(A1391,sinap!$A$2:$R$9000,12,FALSE)</f>
        <v>11.1.01.0941</v>
      </c>
      <c r="R1391" s="15" t="str">
        <f>VLOOKUP(A1391,sinap!$A$2:$R$9000,16,FALSE)</f>
        <v>11.1.01.0893</v>
      </c>
      <c r="S1391" s="15" t="str">
        <f>VLOOKUP(A1391,sinap!$A$2:$Y$9000,20,FALSE)</f>
        <v>SI</v>
      </c>
      <c r="T1391" s="16">
        <v>45265</v>
      </c>
    </row>
    <row r="1392" spans="1:20" hidden="1" x14ac:dyDescent="0.25">
      <c r="A1392" s="15">
        <v>23323418</v>
      </c>
      <c r="I1392" s="16">
        <v>45969</v>
      </c>
      <c r="J1392" s="15" t="str">
        <f>VLOOKUP(A1392,sinap!$A$2:$R$9000,2,FALSE)</f>
        <v>H</v>
      </c>
      <c r="K1392" s="15" t="str">
        <f>VLOOKUP(A1392,sinap!$A$2:$R$9000,3,FALSE)</f>
        <v>VAQUILLA</v>
      </c>
      <c r="L1392" s="15" t="str">
        <f>VLOOKUP(A1392,sinap!$A$2:$R$9000,4,FALSE)</f>
        <v>ANGUS NEGRO</v>
      </c>
      <c r="M1392" s="15" t="str">
        <f>VLOOKUP(A1392,sinap!$A$2:$R$9000,5,FALSE)</f>
        <v>2 años 1 meses</v>
      </c>
      <c r="N1392" s="15" t="str">
        <f>VLOOKUP(A1392,sinap!$A$2:$R$9000,6,FALSE)</f>
        <v>30-11-2023</v>
      </c>
      <c r="O1392" s="15" t="str">
        <f>VLOOKUP(A1392,sinap!$A$2:$R$9000,7,FALSE)</f>
        <v>Vivo</v>
      </c>
      <c r="P1392" s="15" t="str">
        <f>VLOOKUP(A1392,sinap!$A$2:$R$9000,8,FALSE)</f>
        <v>11.1.01.1022</v>
      </c>
      <c r="Q1392" s="15" t="str">
        <f>VLOOKUP(A1392,sinap!$A$2:$R$9000,12,FALSE)</f>
        <v>11.1.01.0941</v>
      </c>
      <c r="R1392" s="15" t="str">
        <f>VLOOKUP(A1392,sinap!$A$2:$R$9000,16,FALSE)</f>
        <v>11.1.01.0893</v>
      </c>
      <c r="S1392" s="15" t="str">
        <f>VLOOKUP(A1392,sinap!$A$2:$Y$9000,20,FALSE)</f>
        <v>SI</v>
      </c>
      <c r="T1392" s="16">
        <v>45265</v>
      </c>
    </row>
    <row r="1393" spans="1:20" hidden="1" x14ac:dyDescent="0.25">
      <c r="A1393" s="15">
        <v>23323421</v>
      </c>
      <c r="I1393" s="16">
        <v>45969</v>
      </c>
      <c r="J1393" s="15" t="str">
        <f>VLOOKUP(A1393,sinap!$A$2:$R$9000,2,FALSE)</f>
        <v>H</v>
      </c>
      <c r="K1393" s="15" t="str">
        <f>VLOOKUP(A1393,sinap!$A$2:$R$9000,3,FALSE)</f>
        <v>VAQUILLA</v>
      </c>
      <c r="L1393" s="15" t="str">
        <f>VLOOKUP(A1393,sinap!$A$2:$R$9000,4,FALSE)</f>
        <v>ANGUS ROJO</v>
      </c>
      <c r="M1393" s="15" t="str">
        <f>VLOOKUP(A1393,sinap!$A$2:$R$9000,5,FALSE)</f>
        <v>2 años 3 meses</v>
      </c>
      <c r="N1393" s="15" t="str">
        <f>VLOOKUP(A1393,sinap!$A$2:$R$9000,6,FALSE)</f>
        <v>15-10-2023</v>
      </c>
      <c r="O1393" s="15" t="str">
        <f>VLOOKUP(A1393,sinap!$A$2:$R$9000,7,FALSE)</f>
        <v>Vivo</v>
      </c>
      <c r="P1393" s="15" t="str">
        <f>VLOOKUP(A1393,sinap!$A$2:$R$9000,8,FALSE)</f>
        <v>11.1.01.1022</v>
      </c>
      <c r="Q1393" s="15" t="str">
        <f>VLOOKUP(A1393,sinap!$A$2:$R$9000,12,FALSE)</f>
        <v>11.1.01.0941</v>
      </c>
      <c r="R1393" s="15" t="str">
        <f>VLOOKUP(A1393,sinap!$A$2:$R$9000,16,FALSE)</f>
        <v>11.1.01.0893</v>
      </c>
      <c r="S1393" s="15" t="str">
        <f>VLOOKUP(A1393,sinap!$A$2:$Y$9000,20,FALSE)</f>
        <v>SI</v>
      </c>
      <c r="T1393" s="16">
        <v>45265</v>
      </c>
    </row>
    <row r="1394" spans="1:20" hidden="1" x14ac:dyDescent="0.25">
      <c r="A1394" s="15">
        <v>23323434</v>
      </c>
      <c r="I1394" s="16">
        <v>45969</v>
      </c>
      <c r="J1394" s="15" t="str">
        <f>VLOOKUP(A1394,sinap!$A$2:$R$9000,2,FALSE)</f>
        <v>H</v>
      </c>
      <c r="K1394" s="15" t="str">
        <f>VLOOKUP(A1394,sinap!$A$2:$R$9000,3,FALSE)</f>
        <v>VAQUILLA</v>
      </c>
      <c r="L1394" s="15" t="str">
        <f>VLOOKUP(A1394,sinap!$A$2:$R$9000,4,FALSE)</f>
        <v>ANGUS NEGRO</v>
      </c>
      <c r="M1394" s="15" t="str">
        <f>VLOOKUP(A1394,sinap!$A$2:$R$9000,5,FALSE)</f>
        <v>2 años 2 meses</v>
      </c>
      <c r="N1394" s="15" t="str">
        <f>VLOOKUP(A1394,sinap!$A$2:$R$9000,6,FALSE)</f>
        <v>01-11-2023</v>
      </c>
      <c r="O1394" s="15" t="str">
        <f>VLOOKUP(A1394,sinap!$A$2:$R$9000,7,FALSE)</f>
        <v>Vivo</v>
      </c>
      <c r="P1394" s="15" t="str">
        <f>VLOOKUP(A1394,sinap!$A$2:$R$9000,8,FALSE)</f>
        <v>11.1.01.1022</v>
      </c>
      <c r="Q1394" s="15" t="str">
        <f>VLOOKUP(A1394,sinap!$A$2:$R$9000,12,FALSE)</f>
        <v>11.1.01.0941</v>
      </c>
      <c r="R1394" s="15" t="str">
        <f>VLOOKUP(A1394,sinap!$A$2:$R$9000,16,FALSE)</f>
        <v>11.1.01.0893</v>
      </c>
      <c r="S1394" s="15" t="str">
        <f>VLOOKUP(A1394,sinap!$A$2:$Y$9000,20,FALSE)</f>
        <v>SI</v>
      </c>
      <c r="T1394" s="16">
        <v>45265</v>
      </c>
    </row>
    <row r="1395" spans="1:20" hidden="1" x14ac:dyDescent="0.25">
      <c r="A1395" s="15">
        <v>23323438</v>
      </c>
      <c r="I1395" s="16">
        <v>45680</v>
      </c>
      <c r="J1395" s="15" t="str">
        <f>VLOOKUP(A1395,sinap!$A$2:$R$9000,2,FALSE)</f>
        <v>H</v>
      </c>
      <c r="K1395" s="15" t="str">
        <f>VLOOKUP(A1395,sinap!$A$2:$R$9000,3,FALSE)</f>
        <v>VAQUILLA</v>
      </c>
      <c r="L1395" s="15" t="str">
        <f>VLOOKUP(A1395,sinap!$A$2:$R$9000,4,FALSE)</f>
        <v>ANGUS NEGRO</v>
      </c>
      <c r="M1395" s="15" t="str">
        <f>VLOOKUP(A1395,sinap!$A$2:$R$9000,5,FALSE)</f>
        <v>2 años 2 meses</v>
      </c>
      <c r="N1395" s="15" t="str">
        <f>VLOOKUP(A1395,sinap!$A$2:$R$9000,6,FALSE)</f>
        <v>01-11-2023</v>
      </c>
      <c r="O1395" s="15" t="str">
        <f>VLOOKUP(A1395,sinap!$A$2:$R$9000,7,FALSE)</f>
        <v>Vivo</v>
      </c>
      <c r="P1395" s="15" t="str">
        <f>VLOOKUP(A1395,sinap!$A$2:$R$9000,8,FALSE)</f>
        <v>11.1.01.1022</v>
      </c>
      <c r="Q1395" s="15" t="str">
        <f>VLOOKUP(A1395,sinap!$A$2:$R$9000,12,FALSE)</f>
        <v>11.1.01.0941</v>
      </c>
      <c r="R1395" s="15" t="str">
        <f>VLOOKUP(A1395,sinap!$A$2:$R$9000,16,FALSE)</f>
        <v>11.1.01.0893</v>
      </c>
      <c r="S1395" s="15" t="str">
        <f>VLOOKUP(A1395,sinap!$A$2:$Y$9000,20,FALSE)</f>
        <v>SI</v>
      </c>
      <c r="T1395" s="16">
        <v>45265</v>
      </c>
    </row>
    <row r="1396" spans="1:20" hidden="1" x14ac:dyDescent="0.25">
      <c r="A1396" s="15">
        <v>23323461</v>
      </c>
      <c r="I1396" s="16">
        <v>45969</v>
      </c>
      <c r="J1396" s="15" t="str">
        <f>VLOOKUP(A1396,sinap!$A$2:$R$9000,2,FALSE)</f>
        <v>M</v>
      </c>
      <c r="K1396" s="15" t="str">
        <f>VLOOKUP(A1396,sinap!$A$2:$R$9000,3,FALSE)</f>
        <v>NOVILLO</v>
      </c>
      <c r="L1396" s="15" t="str">
        <f>VLOOKUP(A1396,sinap!$A$2:$R$9000,4,FALSE)</f>
        <v>ANGUS NEGRO</v>
      </c>
      <c r="M1396" s="15" t="str">
        <f>VLOOKUP(A1396,sinap!$A$2:$R$9000,5,FALSE)</f>
        <v>2 años 1 meses</v>
      </c>
      <c r="N1396" s="15" t="str">
        <f>VLOOKUP(A1396,sinap!$A$2:$R$9000,6,FALSE)</f>
        <v>30-11-2023</v>
      </c>
      <c r="O1396" s="15" t="str">
        <f>VLOOKUP(A1396,sinap!$A$2:$R$9000,7,FALSE)</f>
        <v>Vivo</v>
      </c>
      <c r="P1396" s="15" t="str">
        <f>VLOOKUP(A1396,sinap!$A$2:$R$9000,8,FALSE)</f>
        <v>11.1.01.1022</v>
      </c>
      <c r="Q1396" s="15" t="str">
        <f>VLOOKUP(A1396,sinap!$A$2:$R$9000,12,FALSE)</f>
        <v>11.1.01.0941</v>
      </c>
      <c r="R1396" s="15" t="str">
        <f>VLOOKUP(A1396,sinap!$A$2:$R$9000,16,FALSE)</f>
        <v>11.1.01.0893</v>
      </c>
      <c r="S1396" s="15" t="str">
        <f>VLOOKUP(A1396,sinap!$A$2:$Y$9000,20,FALSE)</f>
        <v>SI</v>
      </c>
      <c r="T1396" s="16">
        <v>45265</v>
      </c>
    </row>
    <row r="1397" spans="1:20" hidden="1" x14ac:dyDescent="0.25">
      <c r="A1397" s="15">
        <v>23323466</v>
      </c>
      <c r="I1397" s="16">
        <v>45969</v>
      </c>
      <c r="J1397" s="15" t="str">
        <f>VLOOKUP(A1397,sinap!$A$2:$R$9000,2,FALSE)</f>
        <v>H</v>
      </c>
      <c r="K1397" s="15" t="str">
        <f>VLOOKUP(A1397,sinap!$A$2:$R$9000,3,FALSE)</f>
        <v>VAQUILLA</v>
      </c>
      <c r="L1397" s="15" t="str">
        <f>VLOOKUP(A1397,sinap!$A$2:$R$9000,4,FALSE)</f>
        <v>ANGUS NEGRO</v>
      </c>
      <c r="M1397" s="15" t="str">
        <f>VLOOKUP(A1397,sinap!$A$2:$R$9000,5,FALSE)</f>
        <v>2 años 2 meses</v>
      </c>
      <c r="N1397" s="15" t="str">
        <f>VLOOKUP(A1397,sinap!$A$2:$R$9000,6,FALSE)</f>
        <v>15-11-2023</v>
      </c>
      <c r="O1397" s="15" t="str">
        <f>VLOOKUP(A1397,sinap!$A$2:$R$9000,7,FALSE)</f>
        <v>Vivo</v>
      </c>
      <c r="P1397" s="15" t="str">
        <f>VLOOKUP(A1397,sinap!$A$2:$R$9000,8,FALSE)</f>
        <v>11.1.01.1022</v>
      </c>
      <c r="Q1397" s="15" t="str">
        <f>VLOOKUP(A1397,sinap!$A$2:$R$9000,12,FALSE)</f>
        <v>11.1.01.0941</v>
      </c>
      <c r="R1397" s="15" t="str">
        <f>VLOOKUP(A1397,sinap!$A$2:$R$9000,16,FALSE)</f>
        <v>11.1.01.0893</v>
      </c>
      <c r="S1397" s="15" t="str">
        <f>VLOOKUP(A1397,sinap!$A$2:$Y$9000,20,FALSE)</f>
        <v>SI</v>
      </c>
      <c r="T1397" s="16">
        <v>45265</v>
      </c>
    </row>
    <row r="1398" spans="1:20" hidden="1" x14ac:dyDescent="0.25">
      <c r="A1398" s="15">
        <v>23323468</v>
      </c>
      <c r="I1398" s="16">
        <v>45969</v>
      </c>
      <c r="J1398" s="15" t="str">
        <f>VLOOKUP(A1398,sinap!$A$2:$R$9000,2,FALSE)</f>
        <v>H</v>
      </c>
      <c r="K1398" s="15" t="str">
        <f>VLOOKUP(A1398,sinap!$A$2:$R$9000,3,FALSE)</f>
        <v>VAQUILLA</v>
      </c>
      <c r="L1398" s="15" t="str">
        <f>VLOOKUP(A1398,sinap!$A$2:$R$9000,4,FALSE)</f>
        <v>ANGUS NEGRO</v>
      </c>
      <c r="M1398" s="15" t="str">
        <f>VLOOKUP(A1398,sinap!$A$2:$R$9000,5,FALSE)</f>
        <v>2 años 2 meses</v>
      </c>
      <c r="N1398" s="15" t="str">
        <f>VLOOKUP(A1398,sinap!$A$2:$R$9000,6,FALSE)</f>
        <v>01-11-2023</v>
      </c>
      <c r="O1398" s="15" t="str">
        <f>VLOOKUP(A1398,sinap!$A$2:$R$9000,7,FALSE)</f>
        <v>Vivo</v>
      </c>
      <c r="P1398" s="15" t="str">
        <f>VLOOKUP(A1398,sinap!$A$2:$R$9000,8,FALSE)</f>
        <v>11.1.01.1022</v>
      </c>
      <c r="Q1398" s="15" t="str">
        <f>VLOOKUP(A1398,sinap!$A$2:$R$9000,12,FALSE)</f>
        <v>11.1.01.0941</v>
      </c>
      <c r="R1398" s="15" t="str">
        <f>VLOOKUP(A1398,sinap!$A$2:$R$9000,16,FALSE)</f>
        <v>11.1.01.0893</v>
      </c>
      <c r="S1398" s="15" t="str">
        <f>VLOOKUP(A1398,sinap!$A$2:$Y$9000,20,FALSE)</f>
        <v>SI</v>
      </c>
      <c r="T1398" s="16">
        <v>45265</v>
      </c>
    </row>
    <row r="1399" spans="1:20" hidden="1" x14ac:dyDescent="0.25">
      <c r="A1399" s="15">
        <v>23323480</v>
      </c>
      <c r="I1399" s="16">
        <v>45680</v>
      </c>
      <c r="J1399" s="15" t="str">
        <f>VLOOKUP(A1399,sinap!$A$2:$R$9000,2,FALSE)</f>
        <v>H</v>
      </c>
      <c r="K1399" s="15" t="str">
        <f>VLOOKUP(A1399,sinap!$A$2:$R$9000,3,FALSE)</f>
        <v>VAQUILLA</v>
      </c>
      <c r="L1399" s="15" t="str">
        <f>VLOOKUP(A1399,sinap!$A$2:$R$9000,4,FALSE)</f>
        <v>ANGUS NEGRO</v>
      </c>
      <c r="M1399" s="15" t="str">
        <f>VLOOKUP(A1399,sinap!$A$2:$R$9000,5,FALSE)</f>
        <v>2 años 1 meses</v>
      </c>
      <c r="N1399" s="15" t="str">
        <f>VLOOKUP(A1399,sinap!$A$2:$R$9000,6,FALSE)</f>
        <v>01-12-2023</v>
      </c>
      <c r="O1399" s="15" t="str">
        <f>VLOOKUP(A1399,sinap!$A$2:$R$9000,7,FALSE)</f>
        <v>Vivo</v>
      </c>
      <c r="P1399" s="15" t="str">
        <f>VLOOKUP(A1399,sinap!$A$2:$R$9000,8,FALSE)</f>
        <v>11.1.01.2442</v>
      </c>
      <c r="Q1399" s="15" t="str">
        <f>VLOOKUP(A1399,sinap!$A$2:$R$9000,12,FALSE)</f>
        <v>11.1.01.0190</v>
      </c>
      <c r="R1399" s="15" t="str">
        <f>VLOOKUP(A1399,sinap!$A$2:$R$9000,16,FALSE)</f>
        <v>11.1.01.1241</v>
      </c>
      <c r="S1399" s="15" t="str">
        <f>VLOOKUP(A1399,sinap!$A$2:$Y$9000,20,FALSE)</f>
        <v>SI</v>
      </c>
    </row>
    <row r="1400" spans="1:20" hidden="1" x14ac:dyDescent="0.25">
      <c r="A1400" s="15">
        <v>23323481</v>
      </c>
      <c r="I1400" s="16">
        <v>45969</v>
      </c>
      <c r="J1400" s="15" t="str">
        <f>VLOOKUP(A1400,sinap!$A$2:$R$9000,2,FALSE)</f>
        <v>H</v>
      </c>
      <c r="K1400" s="15" t="str">
        <f>VLOOKUP(A1400,sinap!$A$2:$R$9000,3,FALSE)</f>
        <v>VAQUILLA</v>
      </c>
      <c r="L1400" s="15" t="str">
        <f>VLOOKUP(A1400,sinap!$A$2:$R$9000,4,FALSE)</f>
        <v>ANGUS NEGRO</v>
      </c>
      <c r="M1400" s="15" t="str">
        <f>VLOOKUP(A1400,sinap!$A$2:$R$9000,5,FALSE)</f>
        <v>2 años 2 meses</v>
      </c>
      <c r="N1400" s="15" t="str">
        <f>VLOOKUP(A1400,sinap!$A$2:$R$9000,6,FALSE)</f>
        <v>15-11-2023</v>
      </c>
      <c r="O1400" s="15" t="str">
        <f>VLOOKUP(A1400,sinap!$A$2:$R$9000,7,FALSE)</f>
        <v>Vivo</v>
      </c>
      <c r="P1400" s="15" t="str">
        <f>VLOOKUP(A1400,sinap!$A$2:$R$9000,8,FALSE)</f>
        <v>11.1.01.1022</v>
      </c>
      <c r="Q1400" s="15" t="str">
        <f>VLOOKUP(A1400,sinap!$A$2:$R$9000,12,FALSE)</f>
        <v>11.1.01.0941</v>
      </c>
      <c r="R1400" s="15" t="str">
        <f>VLOOKUP(A1400,sinap!$A$2:$R$9000,16,FALSE)</f>
        <v>11.1.01.1241</v>
      </c>
      <c r="S1400" s="15" t="str">
        <f>VLOOKUP(A1400,sinap!$A$2:$Y$9000,20,FALSE)</f>
        <v>SI</v>
      </c>
    </row>
    <row r="1401" spans="1:20" hidden="1" x14ac:dyDescent="0.25">
      <c r="A1401" s="15">
        <v>23323490</v>
      </c>
      <c r="I1401" s="16">
        <v>45680</v>
      </c>
      <c r="J1401" s="15" t="str">
        <f>VLOOKUP(A1401,sinap!$A$2:$R$9000,2,FALSE)</f>
        <v>H</v>
      </c>
      <c r="K1401" s="15" t="str">
        <f>VLOOKUP(A1401,sinap!$A$2:$R$9000,3,FALSE)</f>
        <v>VAQUILLA</v>
      </c>
      <c r="L1401" s="15" t="str">
        <f>VLOOKUP(A1401,sinap!$A$2:$R$9000,4,FALSE)</f>
        <v>ANGUS NEGRO</v>
      </c>
      <c r="M1401" s="15" t="str">
        <f>VLOOKUP(A1401,sinap!$A$2:$R$9000,5,FALSE)</f>
        <v>2 años 1 meses</v>
      </c>
      <c r="N1401" s="15" t="str">
        <f>VLOOKUP(A1401,sinap!$A$2:$R$9000,6,FALSE)</f>
        <v>09-12-2023</v>
      </c>
      <c r="O1401" s="15" t="str">
        <f>VLOOKUP(A1401,sinap!$A$2:$R$9000,7,FALSE)</f>
        <v>Vivo</v>
      </c>
      <c r="P1401" s="15" t="str">
        <f>VLOOKUP(A1401,sinap!$A$2:$R$9000,8,FALSE)</f>
        <v>11.1.01.1022</v>
      </c>
      <c r="Q1401" s="15" t="str">
        <f>VLOOKUP(A1401,sinap!$A$2:$R$9000,12,FALSE)</f>
        <v>11.1.01.0941</v>
      </c>
      <c r="R1401" s="15" t="str">
        <f>VLOOKUP(A1401,sinap!$A$2:$R$9000,16,FALSE)</f>
        <v>11.1.01.1241</v>
      </c>
      <c r="S1401" s="15" t="str">
        <f>VLOOKUP(A1401,sinap!$A$2:$Y$9000,20,FALSE)</f>
        <v>SI</v>
      </c>
    </row>
    <row r="1402" spans="1:20" hidden="1" x14ac:dyDescent="0.25">
      <c r="A1402" s="15">
        <v>23323494</v>
      </c>
      <c r="H1402" s="16">
        <v>45648</v>
      </c>
      <c r="I1402" s="16">
        <v>45671</v>
      </c>
      <c r="J1402" s="15" t="str">
        <f>VLOOKUP(A1402,sinap!$A$2:$R$9000,2,FALSE)</f>
        <v>H</v>
      </c>
      <c r="K1402" s="15" t="str">
        <f>VLOOKUP(A1402,sinap!$A$2:$R$9000,3,FALSE)</f>
        <v>VACA</v>
      </c>
      <c r="L1402" s="15" t="str">
        <f>VLOOKUP(A1402,sinap!$A$2:$R$9000,4,FALSE)</f>
        <v>ANGUS ROJO</v>
      </c>
      <c r="M1402" s="15" t="str">
        <f>VLOOKUP(A1402,sinap!$A$2:$R$9000,5,FALSE)</f>
        <v>8 años 3 meses</v>
      </c>
      <c r="N1402" s="15" t="str">
        <f>VLOOKUP(A1402,sinap!$A$2:$R$9000,6,FALSE)</f>
        <v>15-10-2017</v>
      </c>
      <c r="O1402" s="15" t="str">
        <f>VLOOKUP(A1402,sinap!$A$2:$R$9000,7,FALSE)</f>
        <v>Vivo</v>
      </c>
      <c r="P1402" s="15" t="str">
        <f>VLOOKUP(A1402,sinap!$A$2:$R$9000,8,FALSE)</f>
        <v>11.1.01.1241</v>
      </c>
      <c r="Q1402" s="15" t="str">
        <f>VLOOKUP(A1402,sinap!$A$2:$R$9000,12,FALSE)</f>
        <v>Sin Movimiento</v>
      </c>
      <c r="R1402" s="15" t="str">
        <f>VLOOKUP(A1402,sinap!$A$2:$R$9000,16,FALSE)</f>
        <v>11.1.01.1241</v>
      </c>
      <c r="S1402" s="15" t="str">
        <f>VLOOKUP(A1402,sinap!$A$2:$Y$9000,20,FALSE)</f>
        <v>NO</v>
      </c>
    </row>
    <row r="1403" spans="1:20" hidden="1" x14ac:dyDescent="0.25">
      <c r="A1403" s="15">
        <v>23323495</v>
      </c>
      <c r="H1403" s="16">
        <v>45648</v>
      </c>
      <c r="I1403" s="16">
        <v>45671</v>
      </c>
      <c r="J1403" s="15" t="str">
        <f>VLOOKUP(A1403,sinap!$A$2:$R$9000,2,FALSE)</f>
        <v>H</v>
      </c>
      <c r="K1403" s="15" t="str">
        <f>VLOOKUP(A1403,sinap!$A$2:$R$9000,3,FALSE)</f>
        <v>VACA</v>
      </c>
      <c r="L1403" s="15" t="str">
        <f>VLOOKUP(A1403,sinap!$A$2:$R$9000,4,FALSE)</f>
        <v>ANGUS NEGRO</v>
      </c>
      <c r="M1403" s="15" t="str">
        <f>VLOOKUP(A1403,sinap!$A$2:$R$9000,5,FALSE)</f>
        <v>6 años 0 meses</v>
      </c>
      <c r="N1403" s="15" t="str">
        <f>VLOOKUP(A1403,sinap!$A$2:$R$9000,6,FALSE)</f>
        <v>18-12-2019</v>
      </c>
      <c r="O1403" s="15" t="str">
        <f>VLOOKUP(A1403,sinap!$A$2:$R$9000,7,FALSE)</f>
        <v>Vivo</v>
      </c>
      <c r="P1403" s="15" t="str">
        <f>VLOOKUP(A1403,sinap!$A$2:$R$9000,8,FALSE)</f>
        <v>11.1.01.1241</v>
      </c>
      <c r="Q1403" s="15" t="str">
        <f>VLOOKUP(A1403,sinap!$A$2:$R$9000,12,FALSE)</f>
        <v>Sin Movimiento</v>
      </c>
      <c r="R1403" s="15" t="str">
        <f>VLOOKUP(A1403,sinap!$A$2:$R$9000,16,FALSE)</f>
        <v>11.1.01.1241</v>
      </c>
      <c r="S1403" s="15" t="str">
        <f>VLOOKUP(A1403,sinap!$A$2:$Y$9000,20,FALSE)</f>
        <v>NO</v>
      </c>
      <c r="T1403" s="16">
        <v>45433</v>
      </c>
    </row>
    <row r="1404" spans="1:20" hidden="1" x14ac:dyDescent="0.25">
      <c r="A1404" s="15">
        <v>23323496</v>
      </c>
      <c r="H1404" s="16">
        <v>45648</v>
      </c>
      <c r="I1404" s="16">
        <v>45671</v>
      </c>
      <c r="J1404" s="15" t="str">
        <f>VLOOKUP(A1404,sinap!$A$2:$R$9000,2,FALSE)</f>
        <v>H</v>
      </c>
      <c r="K1404" s="15" t="str">
        <f>VLOOKUP(A1404,sinap!$A$2:$R$9000,3,FALSE)</f>
        <v>VACA</v>
      </c>
      <c r="L1404" s="15" t="str">
        <f>VLOOKUP(A1404,sinap!$A$2:$R$9000,4,FALSE)</f>
        <v>ANGUS NEGRO</v>
      </c>
      <c r="M1404" s="15" t="str">
        <f>VLOOKUP(A1404,sinap!$A$2:$R$9000,5,FALSE)</f>
        <v>6 años 2 meses</v>
      </c>
      <c r="N1404" s="15" t="str">
        <f>VLOOKUP(A1404,sinap!$A$2:$R$9000,6,FALSE)</f>
        <v>01-11-2019</v>
      </c>
      <c r="O1404" s="15" t="str">
        <f>VLOOKUP(A1404,sinap!$A$2:$R$9000,7,FALSE)</f>
        <v>Vivo</v>
      </c>
      <c r="P1404" s="15" t="str">
        <f>VLOOKUP(A1404,sinap!$A$2:$R$9000,8,FALSE)</f>
        <v>11.1.01.1241</v>
      </c>
      <c r="Q1404" s="15" t="str">
        <f>VLOOKUP(A1404,sinap!$A$2:$R$9000,12,FALSE)</f>
        <v>Sin Movimiento</v>
      </c>
      <c r="R1404" s="15" t="str">
        <f>VLOOKUP(A1404,sinap!$A$2:$R$9000,16,FALSE)</f>
        <v>11.1.01.1241</v>
      </c>
      <c r="S1404" s="15" t="str">
        <f>VLOOKUP(A1404,sinap!$A$2:$Y$9000,20,FALSE)</f>
        <v>NO</v>
      </c>
      <c r="T1404" s="16">
        <v>45433</v>
      </c>
    </row>
    <row r="1405" spans="1:20" hidden="1" x14ac:dyDescent="0.25">
      <c r="A1405" s="15">
        <v>23323501</v>
      </c>
      <c r="I1405" s="16">
        <v>45969</v>
      </c>
      <c r="J1405" s="15" t="str">
        <f>VLOOKUP(A1405,sinap!$A$2:$R$9000,2,FALSE)</f>
        <v>H</v>
      </c>
      <c r="K1405" s="15" t="str">
        <f>VLOOKUP(A1405,sinap!$A$2:$R$9000,3,FALSE)</f>
        <v>VAQUILLA</v>
      </c>
      <c r="L1405" s="15" t="str">
        <f>VLOOKUP(A1405,sinap!$A$2:$R$9000,4,FALSE)</f>
        <v>ANGUS NEGRO</v>
      </c>
      <c r="M1405" s="15" t="str">
        <f>VLOOKUP(A1405,sinap!$A$2:$R$9000,5,FALSE)</f>
        <v>2 años 1 meses</v>
      </c>
      <c r="N1405" s="15" t="str">
        <f>VLOOKUP(A1405,sinap!$A$2:$R$9000,6,FALSE)</f>
        <v>10-12-2023</v>
      </c>
      <c r="O1405" s="15" t="str">
        <f>VLOOKUP(A1405,sinap!$A$2:$R$9000,7,FALSE)</f>
        <v>Vivo</v>
      </c>
      <c r="P1405" s="15" t="str">
        <f>VLOOKUP(A1405,sinap!$A$2:$R$9000,8,FALSE)</f>
        <v>11.1.01.1022</v>
      </c>
      <c r="Q1405" s="15" t="str">
        <f>VLOOKUP(A1405,sinap!$A$2:$R$9000,12,FALSE)</f>
        <v>11.1.01.0941</v>
      </c>
      <c r="R1405" s="15" t="str">
        <f>VLOOKUP(A1405,sinap!$A$2:$R$9000,16,FALSE)</f>
        <v>11.1.01.1241</v>
      </c>
      <c r="S1405" s="15" t="str">
        <f>VLOOKUP(A1405,sinap!$A$2:$Y$9000,20,FALSE)</f>
        <v>SI</v>
      </c>
    </row>
    <row r="1406" spans="1:20" hidden="1" x14ac:dyDescent="0.25">
      <c r="A1406" s="15">
        <v>23323507</v>
      </c>
      <c r="I1406" s="16">
        <v>45969</v>
      </c>
      <c r="J1406" s="15" t="str">
        <f>VLOOKUP(A1406,sinap!$A$2:$R$9000,2,FALSE)</f>
        <v>H</v>
      </c>
      <c r="K1406" s="15" t="str">
        <f>VLOOKUP(A1406,sinap!$A$2:$R$9000,3,FALSE)</f>
        <v>VAQUILLA</v>
      </c>
      <c r="L1406" s="15" t="str">
        <f>VLOOKUP(A1406,sinap!$A$2:$R$9000,4,FALSE)</f>
        <v>ANGUS ROJO</v>
      </c>
      <c r="M1406" s="15" t="str">
        <f>VLOOKUP(A1406,sinap!$A$2:$R$9000,5,FALSE)</f>
        <v>2 años 3 meses</v>
      </c>
      <c r="N1406" s="15" t="str">
        <f>VLOOKUP(A1406,sinap!$A$2:$R$9000,6,FALSE)</f>
        <v>05-10-2023</v>
      </c>
      <c r="O1406" s="15" t="str">
        <f>VLOOKUP(A1406,sinap!$A$2:$R$9000,7,FALSE)</f>
        <v>Vivo</v>
      </c>
      <c r="P1406" s="15" t="str">
        <f>VLOOKUP(A1406,sinap!$A$2:$R$9000,8,FALSE)</f>
        <v>11.1.01.1022</v>
      </c>
      <c r="Q1406" s="15" t="str">
        <f>VLOOKUP(A1406,sinap!$A$2:$R$9000,12,FALSE)</f>
        <v>11.1.01.0941</v>
      </c>
      <c r="R1406" s="15" t="str">
        <f>VLOOKUP(A1406,sinap!$A$2:$R$9000,16,FALSE)</f>
        <v>11.1.01.1241</v>
      </c>
      <c r="S1406" s="15" t="str">
        <f>VLOOKUP(A1406,sinap!$A$2:$Y$9000,20,FALSE)</f>
        <v>SI</v>
      </c>
    </row>
    <row r="1407" spans="1:20" hidden="1" x14ac:dyDescent="0.25">
      <c r="A1407" s="15">
        <v>23323510</v>
      </c>
      <c r="I1407" s="16">
        <v>45969</v>
      </c>
      <c r="J1407" s="15" t="str">
        <f>VLOOKUP(A1407,sinap!$A$2:$R$9000,2,FALSE)</f>
        <v>H</v>
      </c>
      <c r="K1407" s="15" t="str">
        <f>VLOOKUP(A1407,sinap!$A$2:$R$9000,3,FALSE)</f>
        <v>VAQUILLA</v>
      </c>
      <c r="L1407" s="15" t="str">
        <f>VLOOKUP(A1407,sinap!$A$2:$R$9000,4,FALSE)</f>
        <v>ANGUS NEGRO</v>
      </c>
      <c r="M1407" s="15" t="str">
        <f>VLOOKUP(A1407,sinap!$A$2:$R$9000,5,FALSE)</f>
        <v>2 años 0 meses</v>
      </c>
      <c r="N1407" s="15" t="str">
        <f>VLOOKUP(A1407,sinap!$A$2:$R$9000,6,FALSE)</f>
        <v>18-12-2023</v>
      </c>
      <c r="O1407" s="15" t="str">
        <f>VLOOKUP(A1407,sinap!$A$2:$R$9000,7,FALSE)</f>
        <v>Vivo</v>
      </c>
      <c r="P1407" s="15" t="str">
        <f>VLOOKUP(A1407,sinap!$A$2:$R$9000,8,FALSE)</f>
        <v>11.1.01.2442</v>
      </c>
      <c r="Q1407" s="15" t="str">
        <f>VLOOKUP(A1407,sinap!$A$2:$R$9000,12,FALSE)</f>
        <v>11.1.01.0190</v>
      </c>
      <c r="R1407" s="15" t="str">
        <f>VLOOKUP(A1407,sinap!$A$2:$R$9000,16,FALSE)</f>
        <v>11.1.01.1241</v>
      </c>
      <c r="S1407" s="15" t="str">
        <f>VLOOKUP(A1407,sinap!$A$2:$Y$9000,20,FALSE)</f>
        <v>SI</v>
      </c>
    </row>
    <row r="1408" spans="1:20" hidden="1" x14ac:dyDescent="0.25">
      <c r="A1408" s="15">
        <v>23323515</v>
      </c>
      <c r="I1408" s="16">
        <v>45969</v>
      </c>
      <c r="J1408" s="15" t="str">
        <f>VLOOKUP(A1408,sinap!$A$2:$R$9000,2,FALSE)</f>
        <v>H</v>
      </c>
      <c r="K1408" s="15" t="str">
        <f>VLOOKUP(A1408,sinap!$A$2:$R$9000,3,FALSE)</f>
        <v>VAQUILLA</v>
      </c>
      <c r="L1408" s="15" t="str">
        <f>VLOOKUP(A1408,sinap!$A$2:$R$9000,4,FALSE)</f>
        <v>ANGUS NEGRO</v>
      </c>
      <c r="M1408" s="15" t="str">
        <f>VLOOKUP(A1408,sinap!$A$2:$R$9000,5,FALSE)</f>
        <v>2 años 1 meses</v>
      </c>
      <c r="N1408" s="15" t="str">
        <f>VLOOKUP(A1408,sinap!$A$2:$R$9000,6,FALSE)</f>
        <v>25-11-2023</v>
      </c>
      <c r="O1408" s="15" t="str">
        <f>VLOOKUP(A1408,sinap!$A$2:$R$9000,7,FALSE)</f>
        <v>Vivo</v>
      </c>
      <c r="P1408" s="15" t="str">
        <f>VLOOKUP(A1408,sinap!$A$2:$R$9000,8,FALSE)</f>
        <v>11.1.01.1022</v>
      </c>
      <c r="Q1408" s="15" t="str">
        <f>VLOOKUP(A1408,sinap!$A$2:$R$9000,12,FALSE)</f>
        <v>11.1.01.0941</v>
      </c>
      <c r="R1408" s="15" t="str">
        <f>VLOOKUP(A1408,sinap!$A$2:$R$9000,16,FALSE)</f>
        <v>11.1.01.1241</v>
      </c>
      <c r="S1408" s="15" t="str">
        <f>VLOOKUP(A1408,sinap!$A$2:$Y$9000,20,FALSE)</f>
        <v>SI</v>
      </c>
    </row>
    <row r="1409" spans="1:20" hidden="1" x14ac:dyDescent="0.25">
      <c r="A1409" s="15">
        <v>23323523</v>
      </c>
      <c r="I1409" s="16">
        <v>45969</v>
      </c>
      <c r="J1409" s="15" t="str">
        <f>VLOOKUP(A1409,sinap!$A$2:$R$9000,2,FALSE)</f>
        <v>H</v>
      </c>
      <c r="K1409" s="15" t="str">
        <f>VLOOKUP(A1409,sinap!$A$2:$R$9000,3,FALSE)</f>
        <v>VAQUILLA</v>
      </c>
      <c r="L1409" s="15" t="str">
        <f>VLOOKUP(A1409,sinap!$A$2:$R$9000,4,FALSE)</f>
        <v>ANGUS NEGRO</v>
      </c>
      <c r="M1409" s="15" t="str">
        <f>VLOOKUP(A1409,sinap!$A$2:$R$9000,5,FALSE)</f>
        <v>2 años 1 meses</v>
      </c>
      <c r="N1409" s="15" t="str">
        <f>VLOOKUP(A1409,sinap!$A$2:$R$9000,6,FALSE)</f>
        <v>30-11-2023</v>
      </c>
      <c r="O1409" s="15" t="str">
        <f>VLOOKUP(A1409,sinap!$A$2:$R$9000,7,FALSE)</f>
        <v>Vivo</v>
      </c>
      <c r="P1409" s="15" t="str">
        <f>VLOOKUP(A1409,sinap!$A$2:$R$9000,8,FALSE)</f>
        <v>11.1.01.1022</v>
      </c>
      <c r="Q1409" s="15" t="str">
        <f>VLOOKUP(A1409,sinap!$A$2:$R$9000,12,FALSE)</f>
        <v>11.1.01.0941</v>
      </c>
      <c r="R1409" s="15" t="str">
        <f>VLOOKUP(A1409,sinap!$A$2:$R$9000,16,FALSE)</f>
        <v>11.1.01.0893</v>
      </c>
      <c r="S1409" s="15" t="str">
        <f>VLOOKUP(A1409,sinap!$A$2:$Y$9000,20,FALSE)</f>
        <v>SI</v>
      </c>
    </row>
    <row r="1410" spans="1:20" hidden="1" x14ac:dyDescent="0.25">
      <c r="A1410" s="15">
        <v>23323525</v>
      </c>
      <c r="I1410" s="16">
        <v>45969</v>
      </c>
      <c r="J1410" s="15" t="str">
        <f>VLOOKUP(A1410,sinap!$A$2:$R$9000,2,FALSE)</f>
        <v>H</v>
      </c>
      <c r="K1410" s="15" t="str">
        <f>VLOOKUP(A1410,sinap!$A$2:$R$9000,3,FALSE)</f>
        <v>VAQUILLA</v>
      </c>
      <c r="L1410" s="15" t="str">
        <f>VLOOKUP(A1410,sinap!$A$2:$R$9000,4,FALSE)</f>
        <v>ANGUS NEGRO</v>
      </c>
      <c r="M1410" s="15" t="str">
        <f>VLOOKUP(A1410,sinap!$A$2:$R$9000,5,FALSE)</f>
        <v>2 años 2 meses</v>
      </c>
      <c r="N1410" s="15" t="str">
        <f>VLOOKUP(A1410,sinap!$A$2:$R$9000,6,FALSE)</f>
        <v>05-11-2023</v>
      </c>
      <c r="O1410" s="15" t="str">
        <f>VLOOKUP(A1410,sinap!$A$2:$R$9000,7,FALSE)</f>
        <v>Vivo</v>
      </c>
      <c r="P1410" s="15" t="str">
        <f>VLOOKUP(A1410,sinap!$A$2:$R$9000,8,FALSE)</f>
        <v>11.1.01.1022</v>
      </c>
      <c r="Q1410" s="15" t="str">
        <f>VLOOKUP(A1410,sinap!$A$2:$R$9000,12,FALSE)</f>
        <v>11.1.01.0941</v>
      </c>
      <c r="R1410" s="15" t="str">
        <f>VLOOKUP(A1410,sinap!$A$2:$R$9000,16,FALSE)</f>
        <v>11.1.01.0893</v>
      </c>
      <c r="S1410" s="15" t="str">
        <f>VLOOKUP(A1410,sinap!$A$2:$Y$9000,20,FALSE)</f>
        <v>SI</v>
      </c>
    </row>
    <row r="1411" spans="1:20" hidden="1" x14ac:dyDescent="0.25">
      <c r="A1411" s="15">
        <v>23323529</v>
      </c>
      <c r="I1411" s="16">
        <v>45680</v>
      </c>
      <c r="J1411" s="15" t="str">
        <f>VLOOKUP(A1411,sinap!$A$2:$R$9000,2,FALSE)</f>
        <v>H</v>
      </c>
      <c r="K1411" s="15" t="str">
        <f>VLOOKUP(A1411,sinap!$A$2:$R$9000,3,FALSE)</f>
        <v>VAQUILLA</v>
      </c>
      <c r="L1411" s="15" t="str">
        <f>VLOOKUP(A1411,sinap!$A$2:$R$9000,4,FALSE)</f>
        <v>ANGUS ROJO</v>
      </c>
      <c r="M1411" s="15" t="str">
        <f>VLOOKUP(A1411,sinap!$A$2:$R$9000,5,FALSE)</f>
        <v>2 años 2 meses</v>
      </c>
      <c r="N1411" s="15" t="str">
        <f>VLOOKUP(A1411,sinap!$A$2:$R$9000,6,FALSE)</f>
        <v>05-11-2023</v>
      </c>
      <c r="O1411" s="15" t="str">
        <f>VLOOKUP(A1411,sinap!$A$2:$R$9000,7,FALSE)</f>
        <v>Vivo</v>
      </c>
      <c r="P1411" s="15" t="str">
        <f>VLOOKUP(A1411,sinap!$A$2:$R$9000,8,FALSE)</f>
        <v>11.1.01.1022</v>
      </c>
      <c r="Q1411" s="15" t="str">
        <f>VLOOKUP(A1411,sinap!$A$2:$R$9000,12,FALSE)</f>
        <v>11.1.01.0941</v>
      </c>
      <c r="R1411" s="15" t="str">
        <f>VLOOKUP(A1411,sinap!$A$2:$R$9000,16,FALSE)</f>
        <v>11.1.01.0893</v>
      </c>
      <c r="S1411" s="15" t="str">
        <f>VLOOKUP(A1411,sinap!$A$2:$Y$9000,20,FALSE)</f>
        <v>SI</v>
      </c>
    </row>
    <row r="1412" spans="1:20" hidden="1" x14ac:dyDescent="0.25">
      <c r="A1412" s="15">
        <v>23323530</v>
      </c>
      <c r="I1412" s="16">
        <v>45969</v>
      </c>
      <c r="J1412" s="15" t="str">
        <f>VLOOKUP(A1412,sinap!$A$2:$R$9000,2,FALSE)</f>
        <v>H</v>
      </c>
      <c r="K1412" s="15" t="str">
        <f>VLOOKUP(A1412,sinap!$A$2:$R$9000,3,FALSE)</f>
        <v>VAQUILLA</v>
      </c>
      <c r="L1412" s="15" t="str">
        <f>VLOOKUP(A1412,sinap!$A$2:$R$9000,4,FALSE)</f>
        <v>ANGUS NEGRO</v>
      </c>
      <c r="M1412" s="15" t="str">
        <f>VLOOKUP(A1412,sinap!$A$2:$R$9000,5,FALSE)</f>
        <v>2 años 2 meses</v>
      </c>
      <c r="N1412" s="15" t="str">
        <f>VLOOKUP(A1412,sinap!$A$2:$R$9000,6,FALSE)</f>
        <v>05-11-2023</v>
      </c>
      <c r="O1412" s="15" t="str">
        <f>VLOOKUP(A1412,sinap!$A$2:$R$9000,7,FALSE)</f>
        <v>Vivo</v>
      </c>
      <c r="P1412" s="15" t="str">
        <f>VLOOKUP(A1412,sinap!$A$2:$R$9000,8,FALSE)</f>
        <v>11.1.01.1022</v>
      </c>
      <c r="Q1412" s="15" t="str">
        <f>VLOOKUP(A1412,sinap!$A$2:$R$9000,12,FALSE)</f>
        <v>11.1.01.0941</v>
      </c>
      <c r="R1412" s="15" t="str">
        <f>VLOOKUP(A1412,sinap!$A$2:$R$9000,16,FALSE)</f>
        <v>11.1.01.0893</v>
      </c>
      <c r="S1412" s="15" t="str">
        <f>VLOOKUP(A1412,sinap!$A$2:$Y$9000,20,FALSE)</f>
        <v>SI</v>
      </c>
    </row>
    <row r="1413" spans="1:20" hidden="1" x14ac:dyDescent="0.25">
      <c r="A1413" s="15">
        <v>23323531</v>
      </c>
      <c r="I1413" s="16">
        <v>45969</v>
      </c>
      <c r="J1413" s="15" t="str">
        <f>VLOOKUP(A1413,sinap!$A$2:$R$9000,2,FALSE)</f>
        <v>H</v>
      </c>
      <c r="K1413" s="15" t="str">
        <f>VLOOKUP(A1413,sinap!$A$2:$R$9000,3,FALSE)</f>
        <v>VAQUILLA</v>
      </c>
      <c r="L1413" s="15" t="str">
        <f>VLOOKUP(A1413,sinap!$A$2:$R$9000,4,FALSE)</f>
        <v>ANGUS NEGRO</v>
      </c>
      <c r="M1413" s="15" t="str">
        <f>VLOOKUP(A1413,sinap!$A$2:$R$9000,5,FALSE)</f>
        <v>2 años 1 meses</v>
      </c>
      <c r="N1413" s="15" t="str">
        <f>VLOOKUP(A1413,sinap!$A$2:$R$9000,6,FALSE)</f>
        <v>11-12-2023</v>
      </c>
      <c r="O1413" s="15" t="str">
        <f>VLOOKUP(A1413,sinap!$A$2:$R$9000,7,FALSE)</f>
        <v>Vivo</v>
      </c>
      <c r="P1413" s="15" t="str">
        <f>VLOOKUP(A1413,sinap!$A$2:$R$9000,8,FALSE)</f>
        <v>11.1.01.1022</v>
      </c>
      <c r="Q1413" s="15" t="str">
        <f>VLOOKUP(A1413,sinap!$A$2:$R$9000,12,FALSE)</f>
        <v>11.1.01.0941</v>
      </c>
      <c r="R1413" s="15" t="str">
        <f>VLOOKUP(A1413,sinap!$A$2:$R$9000,16,FALSE)</f>
        <v>11.1.01.0893</v>
      </c>
      <c r="S1413" s="15" t="str">
        <f>VLOOKUP(A1413,sinap!$A$2:$Y$9000,20,FALSE)</f>
        <v>SI</v>
      </c>
    </row>
    <row r="1414" spans="1:20" hidden="1" x14ac:dyDescent="0.25">
      <c r="A1414" s="15">
        <v>23323534</v>
      </c>
      <c r="I1414" s="16">
        <v>45969</v>
      </c>
      <c r="J1414" s="15" t="str">
        <f>VLOOKUP(A1414,sinap!$A$2:$R$9000,2,FALSE)</f>
        <v>H</v>
      </c>
      <c r="K1414" s="15" t="str">
        <f>VLOOKUP(A1414,sinap!$A$2:$R$9000,3,FALSE)</f>
        <v>VAQUILLA</v>
      </c>
      <c r="L1414" s="15" t="str">
        <f>VLOOKUP(A1414,sinap!$A$2:$R$9000,4,FALSE)</f>
        <v>ANGUS NEGRO</v>
      </c>
      <c r="M1414" s="15" t="str">
        <f>VLOOKUP(A1414,sinap!$A$2:$R$9000,5,FALSE)</f>
        <v>2 años 3 meses</v>
      </c>
      <c r="N1414" s="15" t="str">
        <f>VLOOKUP(A1414,sinap!$A$2:$R$9000,6,FALSE)</f>
        <v>05-10-2023</v>
      </c>
      <c r="O1414" s="15" t="str">
        <f>VLOOKUP(A1414,sinap!$A$2:$R$9000,7,FALSE)</f>
        <v>Vivo</v>
      </c>
      <c r="P1414" s="15" t="str">
        <f>VLOOKUP(A1414,sinap!$A$2:$R$9000,8,FALSE)</f>
        <v>11.1.01.1022</v>
      </c>
      <c r="Q1414" s="15" t="str">
        <f>VLOOKUP(A1414,sinap!$A$2:$R$9000,12,FALSE)</f>
        <v>11.1.01.0941</v>
      </c>
      <c r="R1414" s="15" t="str">
        <f>VLOOKUP(A1414,sinap!$A$2:$R$9000,16,FALSE)</f>
        <v>11.1.01.0893</v>
      </c>
      <c r="S1414" s="15" t="str">
        <f>VLOOKUP(A1414,sinap!$A$2:$Y$9000,20,FALSE)</f>
        <v>SI</v>
      </c>
    </row>
    <row r="1415" spans="1:20" hidden="1" x14ac:dyDescent="0.25">
      <c r="A1415" s="15">
        <v>23323538</v>
      </c>
      <c r="I1415" s="16">
        <v>45969</v>
      </c>
      <c r="J1415" s="15" t="str">
        <f>VLOOKUP(A1415,sinap!$A$2:$R$9000,2,FALSE)</f>
        <v>H</v>
      </c>
      <c r="K1415" s="15" t="str">
        <f>VLOOKUP(A1415,sinap!$A$2:$R$9000,3,FALSE)</f>
        <v>VAQUILLA</v>
      </c>
      <c r="L1415" s="15" t="str">
        <f>VLOOKUP(A1415,sinap!$A$2:$R$9000,4,FALSE)</f>
        <v>ANGUS ROJO</v>
      </c>
      <c r="M1415" s="15" t="str">
        <f>VLOOKUP(A1415,sinap!$A$2:$R$9000,5,FALSE)</f>
        <v>2 años 3 meses</v>
      </c>
      <c r="N1415" s="15" t="str">
        <f>VLOOKUP(A1415,sinap!$A$2:$R$9000,6,FALSE)</f>
        <v>05-10-2023</v>
      </c>
      <c r="O1415" s="15" t="str">
        <f>VLOOKUP(A1415,sinap!$A$2:$R$9000,7,FALSE)</f>
        <v>Vivo</v>
      </c>
      <c r="P1415" s="15" t="str">
        <f>VLOOKUP(A1415,sinap!$A$2:$R$9000,8,FALSE)</f>
        <v>11.1.01.1022</v>
      </c>
      <c r="Q1415" s="15" t="str">
        <f>VLOOKUP(A1415,sinap!$A$2:$R$9000,12,FALSE)</f>
        <v>11.1.01.0941</v>
      </c>
      <c r="R1415" s="15" t="str">
        <f>VLOOKUP(A1415,sinap!$A$2:$R$9000,16,FALSE)</f>
        <v>11.1.01.0893</v>
      </c>
      <c r="S1415" s="15" t="str">
        <f>VLOOKUP(A1415,sinap!$A$2:$Y$9000,20,FALSE)</f>
        <v>SI</v>
      </c>
    </row>
    <row r="1416" spans="1:20" hidden="1" x14ac:dyDescent="0.25">
      <c r="A1416" s="15">
        <v>23323539</v>
      </c>
      <c r="I1416" s="16">
        <v>45969</v>
      </c>
      <c r="J1416" s="15" t="str">
        <f>VLOOKUP(A1416,sinap!$A$2:$R$9000,2,FALSE)</f>
        <v>H</v>
      </c>
      <c r="K1416" s="15" t="str">
        <f>VLOOKUP(A1416,sinap!$A$2:$R$9000,3,FALSE)</f>
        <v>VAQUILLA</v>
      </c>
      <c r="L1416" s="15" t="str">
        <f>VLOOKUP(A1416,sinap!$A$2:$R$9000,4,FALSE)</f>
        <v>ANGUS NEGRO</v>
      </c>
      <c r="M1416" s="15" t="str">
        <f>VLOOKUP(A1416,sinap!$A$2:$R$9000,5,FALSE)</f>
        <v>2 años 1 meses</v>
      </c>
      <c r="N1416" s="15" t="str">
        <f>VLOOKUP(A1416,sinap!$A$2:$R$9000,6,FALSE)</f>
        <v>20-11-2023</v>
      </c>
      <c r="O1416" s="15" t="str">
        <f>VLOOKUP(A1416,sinap!$A$2:$R$9000,7,FALSE)</f>
        <v>Vivo</v>
      </c>
      <c r="P1416" s="15" t="str">
        <f>VLOOKUP(A1416,sinap!$A$2:$R$9000,8,FALSE)</f>
        <v>11.1.01.1022</v>
      </c>
      <c r="Q1416" s="15" t="str">
        <f>VLOOKUP(A1416,sinap!$A$2:$R$9000,12,FALSE)</f>
        <v>11.1.01.0941</v>
      </c>
      <c r="R1416" s="15" t="str">
        <f>VLOOKUP(A1416,sinap!$A$2:$R$9000,16,FALSE)</f>
        <v>11.1.01.0893</v>
      </c>
      <c r="S1416" s="15" t="str">
        <f>VLOOKUP(A1416,sinap!$A$2:$Y$9000,20,FALSE)</f>
        <v>SI</v>
      </c>
    </row>
    <row r="1417" spans="1:20" hidden="1" x14ac:dyDescent="0.25">
      <c r="A1417" s="15">
        <v>23323541</v>
      </c>
      <c r="I1417" s="16">
        <v>45969</v>
      </c>
      <c r="J1417" s="15" t="str">
        <f>VLOOKUP(A1417,sinap!$A$2:$R$9000,2,FALSE)</f>
        <v>H</v>
      </c>
      <c r="K1417" s="15" t="str">
        <f>VLOOKUP(A1417,sinap!$A$2:$R$9000,3,FALSE)</f>
        <v>VAQUILLA</v>
      </c>
      <c r="L1417" s="15" t="str">
        <f>VLOOKUP(A1417,sinap!$A$2:$R$9000,4,FALSE)</f>
        <v>ANGUS NEGRO</v>
      </c>
      <c r="M1417" s="15" t="str">
        <f>VLOOKUP(A1417,sinap!$A$2:$R$9000,5,FALSE)</f>
        <v>2 años 1 meses</v>
      </c>
      <c r="N1417" s="15" t="str">
        <f>VLOOKUP(A1417,sinap!$A$2:$R$9000,6,FALSE)</f>
        <v>05-12-2023</v>
      </c>
      <c r="O1417" s="15" t="str">
        <f>VLOOKUP(A1417,sinap!$A$2:$R$9000,7,FALSE)</f>
        <v>Vivo</v>
      </c>
      <c r="P1417" s="15" t="str">
        <f>VLOOKUP(A1417,sinap!$A$2:$R$9000,8,FALSE)</f>
        <v>11.1.01.1022</v>
      </c>
      <c r="Q1417" s="15" t="str">
        <f>VLOOKUP(A1417,sinap!$A$2:$R$9000,12,FALSE)</f>
        <v>11.1.01.0941</v>
      </c>
      <c r="R1417" s="15" t="str">
        <f>VLOOKUP(A1417,sinap!$A$2:$R$9000,16,FALSE)</f>
        <v>11.1.01.0893</v>
      </c>
      <c r="S1417" s="15" t="str">
        <f>VLOOKUP(A1417,sinap!$A$2:$Y$9000,20,FALSE)</f>
        <v>SI</v>
      </c>
    </row>
    <row r="1418" spans="1:20" hidden="1" x14ac:dyDescent="0.25">
      <c r="A1418" s="15">
        <v>23323542</v>
      </c>
      <c r="I1418" s="16">
        <v>45680</v>
      </c>
      <c r="J1418" s="15" t="str">
        <f>VLOOKUP(A1418,sinap!$A$2:$R$9000,2,FALSE)</f>
        <v>H</v>
      </c>
      <c r="K1418" s="15" t="str">
        <f>VLOOKUP(A1418,sinap!$A$2:$R$9000,3,FALSE)</f>
        <v>VAQUILLA</v>
      </c>
      <c r="L1418" s="15" t="str">
        <f>VLOOKUP(A1418,sinap!$A$2:$R$9000,4,FALSE)</f>
        <v>ANGUS ROJO</v>
      </c>
      <c r="M1418" s="15" t="str">
        <f>VLOOKUP(A1418,sinap!$A$2:$R$9000,5,FALSE)</f>
        <v>2 años 1 meses</v>
      </c>
      <c r="N1418" s="15" t="str">
        <f>VLOOKUP(A1418,sinap!$A$2:$R$9000,6,FALSE)</f>
        <v>25-11-2023</v>
      </c>
      <c r="O1418" s="15" t="str">
        <f>VLOOKUP(A1418,sinap!$A$2:$R$9000,7,FALSE)</f>
        <v>Vivo</v>
      </c>
      <c r="P1418" s="15" t="str">
        <f>VLOOKUP(A1418,sinap!$A$2:$R$9000,8,FALSE)</f>
        <v>11.1.01.1022</v>
      </c>
      <c r="Q1418" s="15" t="str">
        <f>VLOOKUP(A1418,sinap!$A$2:$R$9000,12,FALSE)</f>
        <v>11.1.01.0941</v>
      </c>
      <c r="R1418" s="15" t="str">
        <f>VLOOKUP(A1418,sinap!$A$2:$R$9000,16,FALSE)</f>
        <v>11.1.01.0893</v>
      </c>
      <c r="S1418" s="15" t="str">
        <f>VLOOKUP(A1418,sinap!$A$2:$Y$9000,20,FALSE)</f>
        <v>SI</v>
      </c>
    </row>
    <row r="1419" spans="1:20" hidden="1" x14ac:dyDescent="0.25">
      <c r="A1419" s="15">
        <v>23323545</v>
      </c>
      <c r="I1419" s="16">
        <v>45969</v>
      </c>
      <c r="J1419" s="15" t="str">
        <f>VLOOKUP(A1419,sinap!$A$2:$R$9000,2,FALSE)</f>
        <v>H</v>
      </c>
      <c r="K1419" s="15" t="str">
        <f>VLOOKUP(A1419,sinap!$A$2:$R$9000,3,FALSE)</f>
        <v>VAQUILLA</v>
      </c>
      <c r="L1419" s="15" t="str">
        <f>VLOOKUP(A1419,sinap!$A$2:$R$9000,4,FALSE)</f>
        <v>ANGUS NEGRO</v>
      </c>
      <c r="M1419" s="15" t="str">
        <f>VLOOKUP(A1419,sinap!$A$2:$R$9000,5,FALSE)</f>
        <v>2 años 1 meses</v>
      </c>
      <c r="N1419" s="15" t="str">
        <f>VLOOKUP(A1419,sinap!$A$2:$R$9000,6,FALSE)</f>
        <v>30-11-2023</v>
      </c>
      <c r="O1419" s="15" t="str">
        <f>VLOOKUP(A1419,sinap!$A$2:$R$9000,7,FALSE)</f>
        <v>Vivo</v>
      </c>
      <c r="P1419" s="15" t="str">
        <f>VLOOKUP(A1419,sinap!$A$2:$R$9000,8,FALSE)</f>
        <v>11.1.01.1022</v>
      </c>
      <c r="Q1419" s="15" t="str">
        <f>VLOOKUP(A1419,sinap!$A$2:$R$9000,12,FALSE)</f>
        <v>11.1.01.0941</v>
      </c>
      <c r="R1419" s="15" t="str">
        <f>VLOOKUP(A1419,sinap!$A$2:$R$9000,16,FALSE)</f>
        <v>11.1.01.0893</v>
      </c>
      <c r="S1419" s="15" t="str">
        <f>VLOOKUP(A1419,sinap!$A$2:$Y$9000,20,FALSE)</f>
        <v>SI</v>
      </c>
    </row>
    <row r="1420" spans="1:20" hidden="1" x14ac:dyDescent="0.25">
      <c r="A1420" s="15">
        <v>23323546</v>
      </c>
      <c r="I1420" s="16">
        <v>45969</v>
      </c>
      <c r="J1420" s="15" t="str">
        <f>VLOOKUP(A1420,sinap!$A$2:$R$9000,2,FALSE)</f>
        <v>H</v>
      </c>
      <c r="K1420" s="15" t="str">
        <f>VLOOKUP(A1420,sinap!$A$2:$R$9000,3,FALSE)</f>
        <v>VAQUILLA</v>
      </c>
      <c r="L1420" s="15" t="str">
        <f>VLOOKUP(A1420,sinap!$A$2:$R$9000,4,FALSE)</f>
        <v>ANGUS NEGRO</v>
      </c>
      <c r="M1420" s="15" t="str">
        <f>VLOOKUP(A1420,sinap!$A$2:$R$9000,5,FALSE)</f>
        <v>2 años 2 meses</v>
      </c>
      <c r="N1420" s="15" t="str">
        <f>VLOOKUP(A1420,sinap!$A$2:$R$9000,6,FALSE)</f>
        <v>05-11-2023</v>
      </c>
      <c r="O1420" s="15" t="str">
        <f>VLOOKUP(A1420,sinap!$A$2:$R$9000,7,FALSE)</f>
        <v>Vivo</v>
      </c>
      <c r="P1420" s="15" t="str">
        <f>VLOOKUP(A1420,sinap!$A$2:$R$9000,8,FALSE)</f>
        <v>11.1.01.1022</v>
      </c>
      <c r="Q1420" s="15" t="str">
        <f>VLOOKUP(A1420,sinap!$A$2:$R$9000,12,FALSE)</f>
        <v>11.1.01.0941</v>
      </c>
      <c r="R1420" s="15" t="str">
        <f>VLOOKUP(A1420,sinap!$A$2:$R$9000,16,FALSE)</f>
        <v>11.1.01.0893</v>
      </c>
      <c r="S1420" s="15" t="str">
        <f>VLOOKUP(A1420,sinap!$A$2:$Y$9000,20,FALSE)</f>
        <v>SI</v>
      </c>
    </row>
    <row r="1421" spans="1:20" hidden="1" x14ac:dyDescent="0.25">
      <c r="A1421" s="15">
        <v>23323549</v>
      </c>
      <c r="I1421" s="16">
        <v>45969</v>
      </c>
      <c r="J1421" s="15" t="str">
        <f>VLOOKUP(A1421,sinap!$A$2:$R$9000,2,FALSE)</f>
        <v>H</v>
      </c>
      <c r="K1421" s="15" t="str">
        <f>VLOOKUP(A1421,sinap!$A$2:$R$9000,3,FALSE)</f>
        <v>VAQUILLA</v>
      </c>
      <c r="L1421" s="15" t="str">
        <f>VLOOKUP(A1421,sinap!$A$2:$R$9000,4,FALSE)</f>
        <v>ANGUS NEGRO</v>
      </c>
      <c r="M1421" s="15" t="str">
        <f>VLOOKUP(A1421,sinap!$A$2:$R$9000,5,FALSE)</f>
        <v>2 años 1 meses</v>
      </c>
      <c r="N1421" s="15" t="str">
        <f>VLOOKUP(A1421,sinap!$A$2:$R$9000,6,FALSE)</f>
        <v>05-12-2023</v>
      </c>
      <c r="O1421" s="15" t="str">
        <f>VLOOKUP(A1421,sinap!$A$2:$R$9000,7,FALSE)</f>
        <v>Vivo</v>
      </c>
      <c r="P1421" s="15" t="str">
        <f>VLOOKUP(A1421,sinap!$A$2:$R$9000,8,FALSE)</f>
        <v>11.1.01.1022</v>
      </c>
      <c r="Q1421" s="15" t="str">
        <f>VLOOKUP(A1421,sinap!$A$2:$R$9000,12,FALSE)</f>
        <v>11.1.01.0941</v>
      </c>
      <c r="R1421" s="15" t="str">
        <f>VLOOKUP(A1421,sinap!$A$2:$R$9000,16,FALSE)</f>
        <v>11.1.01.0893</v>
      </c>
      <c r="S1421" s="15" t="str">
        <f>VLOOKUP(A1421,sinap!$A$2:$Y$9000,20,FALSE)</f>
        <v>SI</v>
      </c>
    </row>
    <row r="1422" spans="1:20" hidden="1" x14ac:dyDescent="0.25">
      <c r="A1422" s="15">
        <v>23323552</v>
      </c>
      <c r="I1422" s="16">
        <v>45969</v>
      </c>
      <c r="J1422" s="15" t="str">
        <f>VLOOKUP(A1422,sinap!$A$2:$R$9000,2,FALSE)</f>
        <v>H</v>
      </c>
      <c r="K1422" s="15" t="str">
        <f>VLOOKUP(A1422,sinap!$A$2:$R$9000,3,FALSE)</f>
        <v>VAQUILLA</v>
      </c>
      <c r="L1422" s="15" t="str">
        <f>VLOOKUP(A1422,sinap!$A$2:$R$9000,4,FALSE)</f>
        <v>ANGUS NEGRO</v>
      </c>
      <c r="M1422" s="15" t="str">
        <f>VLOOKUP(A1422,sinap!$A$2:$R$9000,5,FALSE)</f>
        <v>2 años 1 meses</v>
      </c>
      <c r="N1422" s="15" t="str">
        <f>VLOOKUP(A1422,sinap!$A$2:$R$9000,6,FALSE)</f>
        <v>05-12-2023</v>
      </c>
      <c r="O1422" s="15" t="str">
        <f>VLOOKUP(A1422,sinap!$A$2:$R$9000,7,FALSE)</f>
        <v>Vivo</v>
      </c>
      <c r="P1422" s="15" t="str">
        <f>VLOOKUP(A1422,sinap!$A$2:$R$9000,8,FALSE)</f>
        <v>11.1.01.1022</v>
      </c>
      <c r="Q1422" s="15" t="str">
        <f>VLOOKUP(A1422,sinap!$A$2:$R$9000,12,FALSE)</f>
        <v>11.1.01.0941</v>
      </c>
      <c r="R1422" s="15" t="str">
        <f>VLOOKUP(A1422,sinap!$A$2:$R$9000,16,FALSE)</f>
        <v>11.1.01.0893</v>
      </c>
      <c r="S1422" s="15" t="str">
        <f>VLOOKUP(A1422,sinap!$A$2:$Y$9000,20,FALSE)</f>
        <v>SI</v>
      </c>
    </row>
    <row r="1423" spans="1:20" hidden="1" x14ac:dyDescent="0.25">
      <c r="A1423" s="15">
        <v>23323553</v>
      </c>
      <c r="I1423" s="16">
        <v>45969</v>
      </c>
      <c r="J1423" s="15" t="str">
        <f>VLOOKUP(A1423,sinap!$A$2:$R$9000,2,FALSE)</f>
        <v>H</v>
      </c>
      <c r="K1423" s="15" t="str">
        <f>VLOOKUP(A1423,sinap!$A$2:$R$9000,3,FALSE)</f>
        <v>VAQUILLA</v>
      </c>
      <c r="L1423" s="15" t="str">
        <f>VLOOKUP(A1423,sinap!$A$2:$R$9000,4,FALSE)</f>
        <v>ANGUS NEGRO</v>
      </c>
      <c r="M1423" s="15" t="str">
        <f>VLOOKUP(A1423,sinap!$A$2:$R$9000,5,FALSE)</f>
        <v>2 años 2 meses</v>
      </c>
      <c r="N1423" s="15" t="str">
        <f>VLOOKUP(A1423,sinap!$A$2:$R$9000,6,FALSE)</f>
        <v>05-11-2023</v>
      </c>
      <c r="O1423" s="15" t="str">
        <f>VLOOKUP(A1423,sinap!$A$2:$R$9000,7,FALSE)</f>
        <v>Vivo</v>
      </c>
      <c r="P1423" s="15" t="str">
        <f>VLOOKUP(A1423,sinap!$A$2:$R$9000,8,FALSE)</f>
        <v>11.1.01.1022</v>
      </c>
      <c r="Q1423" s="15" t="str">
        <f>VLOOKUP(A1423,sinap!$A$2:$R$9000,12,FALSE)</f>
        <v>11.1.01.0941</v>
      </c>
      <c r="R1423" s="15" t="str">
        <f>VLOOKUP(A1423,sinap!$A$2:$R$9000,16,FALSE)</f>
        <v>11.1.01.0893</v>
      </c>
      <c r="S1423" s="15" t="str">
        <f>VLOOKUP(A1423,sinap!$A$2:$Y$9000,20,FALSE)</f>
        <v>SI</v>
      </c>
    </row>
    <row r="1424" spans="1:20" hidden="1" x14ac:dyDescent="0.25">
      <c r="A1424" s="15">
        <v>23323555</v>
      </c>
      <c r="I1424" s="16">
        <v>45680</v>
      </c>
      <c r="J1424" s="15" t="str">
        <f>VLOOKUP(A1424,sinap!$A$2:$R$9000,2,FALSE)</f>
        <v>H</v>
      </c>
      <c r="K1424" s="15" t="str">
        <f>VLOOKUP(A1424,sinap!$A$2:$R$9000,3,FALSE)</f>
        <v>VAQUILLA</v>
      </c>
      <c r="L1424" s="15" t="str">
        <f>VLOOKUP(A1424,sinap!$A$2:$R$9000,4,FALSE)</f>
        <v>ANGUS NEGRO</v>
      </c>
      <c r="M1424" s="15" t="str">
        <f>VLOOKUP(A1424,sinap!$A$2:$R$9000,5,FALSE)</f>
        <v>2 años 0 meses</v>
      </c>
      <c r="N1424" s="15" t="str">
        <f>VLOOKUP(A1424,sinap!$A$2:$R$9000,6,FALSE)</f>
        <v>31-12-2023</v>
      </c>
      <c r="O1424" s="15" t="str">
        <f>VLOOKUP(A1424,sinap!$A$2:$R$9000,7,FALSE)</f>
        <v>Vivo</v>
      </c>
      <c r="P1424" s="15" t="str">
        <f>VLOOKUP(A1424,sinap!$A$2:$R$9000,8,FALSE)</f>
        <v>11.1.01.1022</v>
      </c>
      <c r="Q1424" s="15" t="str">
        <f>VLOOKUP(A1424,sinap!$A$2:$R$9000,12,FALSE)</f>
        <v>11.1.01.0941</v>
      </c>
      <c r="R1424" s="15" t="str">
        <f>VLOOKUP(A1424,sinap!$A$2:$R$9000,16,FALSE)</f>
        <v>11.1.01.1241</v>
      </c>
      <c r="S1424" s="15" t="str">
        <f>VLOOKUP(A1424,sinap!$A$2:$Y$9000,20,FALSE)</f>
        <v>SI</v>
      </c>
      <c r="T1424" s="16">
        <v>45311</v>
      </c>
    </row>
    <row r="1425" spans="1:20" hidden="1" x14ac:dyDescent="0.25">
      <c r="A1425" s="15">
        <v>23323557</v>
      </c>
      <c r="I1425" s="16">
        <v>45969</v>
      </c>
      <c r="J1425" s="15" t="str">
        <f>VLOOKUP(A1425,sinap!$A$2:$R$9000,2,FALSE)</f>
        <v>H</v>
      </c>
      <c r="K1425" s="15" t="str">
        <f>VLOOKUP(A1425,sinap!$A$2:$R$9000,3,FALSE)</f>
        <v>VAQUILLA</v>
      </c>
      <c r="L1425" s="15" t="str">
        <f>VLOOKUP(A1425,sinap!$A$2:$R$9000,4,FALSE)</f>
        <v>HEREFORD</v>
      </c>
      <c r="M1425" s="15" t="str">
        <f>VLOOKUP(A1425,sinap!$A$2:$R$9000,5,FALSE)</f>
        <v>2 años 0 meses</v>
      </c>
      <c r="N1425" s="15" t="str">
        <f>VLOOKUP(A1425,sinap!$A$2:$R$9000,6,FALSE)</f>
        <v>31-12-2023</v>
      </c>
      <c r="O1425" s="15" t="str">
        <f>VLOOKUP(A1425,sinap!$A$2:$R$9000,7,FALSE)</f>
        <v>Vivo</v>
      </c>
      <c r="P1425" s="15" t="str">
        <f>VLOOKUP(A1425,sinap!$A$2:$R$9000,8,FALSE)</f>
        <v>11.1.01.2442</v>
      </c>
      <c r="Q1425" s="15" t="str">
        <f>VLOOKUP(A1425,sinap!$A$2:$R$9000,12,FALSE)</f>
        <v>11.1.01.0190</v>
      </c>
      <c r="R1425" s="15" t="str">
        <f>VLOOKUP(A1425,sinap!$A$2:$R$9000,16,FALSE)</f>
        <v>11.1.01.1241</v>
      </c>
      <c r="S1425" s="15" t="str">
        <f>VLOOKUP(A1425,sinap!$A$2:$Y$9000,20,FALSE)</f>
        <v>SI</v>
      </c>
      <c r="T1425" s="16">
        <v>45311</v>
      </c>
    </row>
    <row r="1426" spans="1:20" hidden="1" x14ac:dyDescent="0.25">
      <c r="A1426" s="15">
        <v>23323558</v>
      </c>
      <c r="I1426" s="16">
        <v>45680</v>
      </c>
      <c r="J1426" s="15" t="str">
        <f>VLOOKUP(A1426,sinap!$A$2:$R$9000,2,FALSE)</f>
        <v>H</v>
      </c>
      <c r="K1426" s="15" t="str">
        <f>VLOOKUP(A1426,sinap!$A$2:$R$9000,3,FALSE)</f>
        <v>VAQUILLA</v>
      </c>
      <c r="L1426" s="15" t="str">
        <f>VLOOKUP(A1426,sinap!$A$2:$R$9000,4,FALSE)</f>
        <v>ANGUS NEGRO</v>
      </c>
      <c r="M1426" s="15" t="str">
        <f>VLOOKUP(A1426,sinap!$A$2:$R$9000,5,FALSE)</f>
        <v>2 años 0 meses</v>
      </c>
      <c r="N1426" s="15" t="str">
        <f>VLOOKUP(A1426,sinap!$A$2:$R$9000,6,FALSE)</f>
        <v>25-12-2023</v>
      </c>
      <c r="O1426" s="15" t="str">
        <f>VLOOKUP(A1426,sinap!$A$2:$R$9000,7,FALSE)</f>
        <v>Vivo</v>
      </c>
      <c r="P1426" s="15" t="str">
        <f>VLOOKUP(A1426,sinap!$A$2:$R$9000,8,FALSE)</f>
        <v>11.1.01.1022</v>
      </c>
      <c r="Q1426" s="15" t="str">
        <f>VLOOKUP(A1426,sinap!$A$2:$R$9000,12,FALSE)</f>
        <v>11.1.01.0941</v>
      </c>
      <c r="R1426" s="15" t="str">
        <f>VLOOKUP(A1426,sinap!$A$2:$R$9000,16,FALSE)</f>
        <v>11.1.01.1241</v>
      </c>
      <c r="S1426" s="15" t="str">
        <f>VLOOKUP(A1426,sinap!$A$2:$Y$9000,20,FALSE)</f>
        <v>SI</v>
      </c>
      <c r="T1426" s="16">
        <v>45311</v>
      </c>
    </row>
    <row r="1427" spans="1:20" hidden="1" x14ac:dyDescent="0.25">
      <c r="A1427" s="15">
        <v>23323559</v>
      </c>
      <c r="I1427" s="16">
        <v>45969</v>
      </c>
      <c r="J1427" s="15" t="str">
        <f>VLOOKUP(A1427,sinap!$A$2:$R$9000,2,FALSE)</f>
        <v>H</v>
      </c>
      <c r="K1427" s="15" t="str">
        <f>VLOOKUP(A1427,sinap!$A$2:$R$9000,3,FALSE)</f>
        <v>VAQUILLA</v>
      </c>
      <c r="L1427" s="15" t="str">
        <f>VLOOKUP(A1427,sinap!$A$2:$R$9000,4,FALSE)</f>
        <v>ANGUS ROJO</v>
      </c>
      <c r="M1427" s="15" t="str">
        <f>VLOOKUP(A1427,sinap!$A$2:$R$9000,5,FALSE)</f>
        <v>2 años 0 meses</v>
      </c>
      <c r="N1427" s="15" t="str">
        <f>VLOOKUP(A1427,sinap!$A$2:$R$9000,6,FALSE)</f>
        <v>25-12-2023</v>
      </c>
      <c r="O1427" s="15" t="str">
        <f>VLOOKUP(A1427,sinap!$A$2:$R$9000,7,FALSE)</f>
        <v>Vivo</v>
      </c>
      <c r="P1427" s="15" t="str">
        <f>VLOOKUP(A1427,sinap!$A$2:$R$9000,8,FALSE)</f>
        <v>11.1.01.1022</v>
      </c>
      <c r="Q1427" s="15" t="str">
        <f>VLOOKUP(A1427,sinap!$A$2:$R$9000,12,FALSE)</f>
        <v>11.1.01.0941</v>
      </c>
      <c r="R1427" s="15" t="str">
        <f>VLOOKUP(A1427,sinap!$A$2:$R$9000,16,FALSE)</f>
        <v>11.1.01.1241</v>
      </c>
      <c r="S1427" s="15" t="str">
        <f>VLOOKUP(A1427,sinap!$A$2:$Y$9000,20,FALSE)</f>
        <v>SI</v>
      </c>
      <c r="T1427" s="16">
        <v>45311</v>
      </c>
    </row>
    <row r="1428" spans="1:20" hidden="1" x14ac:dyDescent="0.25">
      <c r="A1428" s="15">
        <v>23323561</v>
      </c>
      <c r="I1428" s="16">
        <v>45680</v>
      </c>
      <c r="J1428" s="15" t="str">
        <f>VLOOKUP(A1428,sinap!$A$2:$R$9000,2,FALSE)</f>
        <v>H</v>
      </c>
      <c r="K1428" s="15" t="str">
        <f>VLOOKUP(A1428,sinap!$A$2:$R$9000,3,FALSE)</f>
        <v>VAQUILLA</v>
      </c>
      <c r="L1428" s="15" t="str">
        <f>VLOOKUP(A1428,sinap!$A$2:$R$9000,4,FALSE)</f>
        <v>HEREFORD</v>
      </c>
      <c r="M1428" s="15" t="str">
        <f>VLOOKUP(A1428,sinap!$A$2:$R$9000,5,FALSE)</f>
        <v>2 años 0 meses</v>
      </c>
      <c r="N1428" s="15" t="str">
        <f>VLOOKUP(A1428,sinap!$A$2:$R$9000,6,FALSE)</f>
        <v>31-12-2023</v>
      </c>
      <c r="O1428" s="15" t="str">
        <f>VLOOKUP(A1428,sinap!$A$2:$R$9000,7,FALSE)</f>
        <v>Vivo</v>
      </c>
      <c r="P1428" s="15" t="str">
        <f>VLOOKUP(A1428,sinap!$A$2:$R$9000,8,FALSE)</f>
        <v>11.1.01.2304</v>
      </c>
      <c r="Q1428" s="15" t="str">
        <f>VLOOKUP(A1428,sinap!$A$2:$R$9000,12,FALSE)</f>
        <v>11.1.01.0941</v>
      </c>
      <c r="R1428" s="15" t="str">
        <f>VLOOKUP(A1428,sinap!$A$2:$R$9000,16,FALSE)</f>
        <v>11.1.01.1241</v>
      </c>
      <c r="S1428" s="15" t="str">
        <f>VLOOKUP(A1428,sinap!$A$2:$Y$9000,20,FALSE)</f>
        <v>SI</v>
      </c>
      <c r="T1428" s="16">
        <v>45311</v>
      </c>
    </row>
    <row r="1429" spans="1:20" hidden="1" x14ac:dyDescent="0.25">
      <c r="A1429" s="15">
        <v>23323562</v>
      </c>
      <c r="I1429" s="16">
        <v>45680</v>
      </c>
      <c r="J1429" s="15" t="str">
        <f>VLOOKUP(A1429,sinap!$A$2:$R$9000,2,FALSE)</f>
        <v>H</v>
      </c>
      <c r="K1429" s="15" t="str">
        <f>VLOOKUP(A1429,sinap!$A$2:$R$9000,3,FALSE)</f>
        <v>VAQUILLA</v>
      </c>
      <c r="L1429" s="15" t="str">
        <f>VLOOKUP(A1429,sinap!$A$2:$R$9000,4,FALSE)</f>
        <v>ANGUS NEGRO</v>
      </c>
      <c r="M1429" s="15" t="str">
        <f>VLOOKUP(A1429,sinap!$A$2:$R$9000,5,FALSE)</f>
        <v>2 años 0 meses</v>
      </c>
      <c r="N1429" s="15" t="str">
        <f>VLOOKUP(A1429,sinap!$A$2:$R$9000,6,FALSE)</f>
        <v>31-12-2023</v>
      </c>
      <c r="O1429" s="15" t="str">
        <f>VLOOKUP(A1429,sinap!$A$2:$R$9000,7,FALSE)</f>
        <v>Vivo</v>
      </c>
      <c r="P1429" s="15" t="str">
        <f>VLOOKUP(A1429,sinap!$A$2:$R$9000,8,FALSE)</f>
        <v>11.1.01.1022</v>
      </c>
      <c r="Q1429" s="15" t="str">
        <f>VLOOKUP(A1429,sinap!$A$2:$R$9000,12,FALSE)</f>
        <v>11.1.01.0941</v>
      </c>
      <c r="R1429" s="15" t="str">
        <f>VLOOKUP(A1429,sinap!$A$2:$R$9000,16,FALSE)</f>
        <v>11.1.01.1241</v>
      </c>
      <c r="S1429" s="15" t="str">
        <f>VLOOKUP(A1429,sinap!$A$2:$Y$9000,20,FALSE)</f>
        <v>SI</v>
      </c>
      <c r="T1429" s="16">
        <v>45311</v>
      </c>
    </row>
    <row r="1430" spans="1:20" hidden="1" x14ac:dyDescent="0.25">
      <c r="A1430" s="15">
        <v>23323563</v>
      </c>
      <c r="I1430" s="16">
        <v>45969</v>
      </c>
      <c r="J1430" s="15" t="str">
        <f>VLOOKUP(A1430,sinap!$A$2:$R$9000,2,FALSE)</f>
        <v>H</v>
      </c>
      <c r="K1430" s="15" t="str">
        <f>VLOOKUP(A1430,sinap!$A$2:$R$9000,3,FALSE)</f>
        <v>VAQUILLA</v>
      </c>
      <c r="L1430" s="15" t="str">
        <f>VLOOKUP(A1430,sinap!$A$2:$R$9000,4,FALSE)</f>
        <v>ANGUS NEGRO</v>
      </c>
      <c r="M1430" s="15" t="str">
        <f>VLOOKUP(A1430,sinap!$A$2:$R$9000,5,FALSE)</f>
        <v>2 años 0 meses</v>
      </c>
      <c r="N1430" s="15" t="str">
        <f>VLOOKUP(A1430,sinap!$A$2:$R$9000,6,FALSE)</f>
        <v>25-12-2023</v>
      </c>
      <c r="O1430" s="15" t="str">
        <f>VLOOKUP(A1430,sinap!$A$2:$R$9000,7,FALSE)</f>
        <v>Vivo</v>
      </c>
      <c r="P1430" s="15" t="str">
        <f>VLOOKUP(A1430,sinap!$A$2:$R$9000,8,FALSE)</f>
        <v>11.1.01.1022</v>
      </c>
      <c r="Q1430" s="15" t="str">
        <f>VLOOKUP(A1430,sinap!$A$2:$R$9000,12,FALSE)</f>
        <v>11.1.01.0941</v>
      </c>
      <c r="R1430" s="15" t="str">
        <f>VLOOKUP(A1430,sinap!$A$2:$R$9000,16,FALSE)</f>
        <v>11.1.01.1241</v>
      </c>
      <c r="S1430" s="15" t="str">
        <f>VLOOKUP(A1430,sinap!$A$2:$Y$9000,20,FALSE)</f>
        <v>SI</v>
      </c>
      <c r="T1430" s="16">
        <v>45311</v>
      </c>
    </row>
    <row r="1431" spans="1:20" hidden="1" x14ac:dyDescent="0.25">
      <c r="A1431" s="15">
        <v>23323564</v>
      </c>
      <c r="I1431" s="16">
        <v>45969</v>
      </c>
      <c r="J1431" s="15" t="str">
        <f>VLOOKUP(A1431,sinap!$A$2:$R$9000,2,FALSE)</f>
        <v>H</v>
      </c>
      <c r="K1431" s="15" t="str">
        <f>VLOOKUP(A1431,sinap!$A$2:$R$9000,3,FALSE)</f>
        <v>VAQUILLA</v>
      </c>
      <c r="L1431" s="15" t="str">
        <f>VLOOKUP(A1431,sinap!$A$2:$R$9000,4,FALSE)</f>
        <v>ANGUS NEGRO</v>
      </c>
      <c r="M1431" s="15" t="str">
        <f>VLOOKUP(A1431,sinap!$A$2:$R$9000,5,FALSE)</f>
        <v>2 años 0 meses</v>
      </c>
      <c r="N1431" s="15" t="str">
        <f>VLOOKUP(A1431,sinap!$A$2:$R$9000,6,FALSE)</f>
        <v>25-12-2023</v>
      </c>
      <c r="O1431" s="15" t="str">
        <f>VLOOKUP(A1431,sinap!$A$2:$R$9000,7,FALSE)</f>
        <v>Vivo</v>
      </c>
      <c r="P1431" s="15" t="str">
        <f>VLOOKUP(A1431,sinap!$A$2:$R$9000,8,FALSE)</f>
        <v>11.1.01.1022</v>
      </c>
      <c r="Q1431" s="15" t="str">
        <f>VLOOKUP(A1431,sinap!$A$2:$R$9000,12,FALSE)</f>
        <v>11.1.01.0941</v>
      </c>
      <c r="R1431" s="15" t="str">
        <f>VLOOKUP(A1431,sinap!$A$2:$R$9000,16,FALSE)</f>
        <v>11.1.01.1241</v>
      </c>
      <c r="S1431" s="15" t="str">
        <f>VLOOKUP(A1431,sinap!$A$2:$Y$9000,20,FALSE)</f>
        <v>SI</v>
      </c>
      <c r="T1431" s="16">
        <v>45311</v>
      </c>
    </row>
    <row r="1432" spans="1:20" hidden="1" x14ac:dyDescent="0.25">
      <c r="A1432" s="15">
        <v>23323566</v>
      </c>
      <c r="I1432" s="16">
        <v>45680</v>
      </c>
      <c r="J1432" s="15" t="str">
        <f>VLOOKUP(A1432,sinap!$A$2:$R$9000,2,FALSE)</f>
        <v>H</v>
      </c>
      <c r="K1432" s="15" t="str">
        <f>VLOOKUP(A1432,sinap!$A$2:$R$9000,3,FALSE)</f>
        <v>VAQUILLA</v>
      </c>
      <c r="L1432" s="15" t="str">
        <f>VLOOKUP(A1432,sinap!$A$2:$R$9000,4,FALSE)</f>
        <v>ANGUS NEGRO</v>
      </c>
      <c r="M1432" s="15" t="str">
        <f>VLOOKUP(A1432,sinap!$A$2:$R$9000,5,FALSE)</f>
        <v>2 años 0 meses</v>
      </c>
      <c r="N1432" s="15" t="str">
        <f>VLOOKUP(A1432,sinap!$A$2:$R$9000,6,FALSE)</f>
        <v>25-12-2023</v>
      </c>
      <c r="O1432" s="15" t="str">
        <f>VLOOKUP(A1432,sinap!$A$2:$R$9000,7,FALSE)</f>
        <v>Vivo</v>
      </c>
      <c r="P1432" s="15" t="str">
        <f>VLOOKUP(A1432,sinap!$A$2:$R$9000,8,FALSE)</f>
        <v>11.1.01.1022</v>
      </c>
      <c r="Q1432" s="15" t="str">
        <f>VLOOKUP(A1432,sinap!$A$2:$R$9000,12,FALSE)</f>
        <v>11.1.01.0941</v>
      </c>
      <c r="R1432" s="15" t="str">
        <f>VLOOKUP(A1432,sinap!$A$2:$R$9000,16,FALSE)</f>
        <v>11.1.01.1241</v>
      </c>
      <c r="S1432" s="15" t="str">
        <f>VLOOKUP(A1432,sinap!$A$2:$Y$9000,20,FALSE)</f>
        <v>SI</v>
      </c>
      <c r="T1432" s="16">
        <v>45318</v>
      </c>
    </row>
    <row r="1433" spans="1:20" hidden="1" x14ac:dyDescent="0.25">
      <c r="A1433" s="15">
        <v>23323572</v>
      </c>
      <c r="I1433" s="16">
        <v>45969</v>
      </c>
      <c r="J1433" s="15" t="str">
        <f>VLOOKUP(A1433,sinap!$A$2:$R$9000,2,FALSE)</f>
        <v>H</v>
      </c>
      <c r="K1433" s="15" t="str">
        <f>VLOOKUP(A1433,sinap!$A$2:$R$9000,3,FALSE)</f>
        <v>VAQUILLA</v>
      </c>
      <c r="L1433" s="15" t="str">
        <f>VLOOKUP(A1433,sinap!$A$2:$R$9000,4,FALSE)</f>
        <v>ANGUS NEGRO</v>
      </c>
      <c r="M1433" s="15" t="str">
        <f>VLOOKUP(A1433,sinap!$A$2:$R$9000,5,FALSE)</f>
        <v>2 años 1 meses</v>
      </c>
      <c r="N1433" s="15" t="str">
        <f>VLOOKUP(A1433,sinap!$A$2:$R$9000,6,FALSE)</f>
        <v>05-12-2023</v>
      </c>
      <c r="O1433" s="15" t="str">
        <f>VLOOKUP(A1433,sinap!$A$2:$R$9000,7,FALSE)</f>
        <v>Vivo</v>
      </c>
      <c r="P1433" s="15" t="str">
        <f>VLOOKUP(A1433,sinap!$A$2:$R$9000,8,FALSE)</f>
        <v>11.1.01.1022</v>
      </c>
      <c r="Q1433" s="15" t="str">
        <f>VLOOKUP(A1433,sinap!$A$2:$R$9000,12,FALSE)</f>
        <v>11.1.01.0941</v>
      </c>
      <c r="R1433" s="15" t="str">
        <f>VLOOKUP(A1433,sinap!$A$2:$R$9000,16,FALSE)</f>
        <v>11.1.01.0893</v>
      </c>
      <c r="S1433" s="15" t="str">
        <f>VLOOKUP(A1433,sinap!$A$2:$Y$9000,20,FALSE)</f>
        <v>SI</v>
      </c>
      <c r="T1433" s="16">
        <v>45318</v>
      </c>
    </row>
    <row r="1434" spans="1:20" hidden="1" x14ac:dyDescent="0.25">
      <c r="A1434" s="15">
        <v>23323574</v>
      </c>
      <c r="I1434" s="16">
        <v>45969</v>
      </c>
      <c r="J1434" s="15" t="str">
        <f>VLOOKUP(A1434,sinap!$A$2:$R$9000,2,FALSE)</f>
        <v>H</v>
      </c>
      <c r="K1434" s="15" t="str">
        <f>VLOOKUP(A1434,sinap!$A$2:$R$9000,3,FALSE)</f>
        <v>VAQUILLA</v>
      </c>
      <c r="L1434" s="15" t="str">
        <f>VLOOKUP(A1434,sinap!$A$2:$R$9000,4,FALSE)</f>
        <v>ANGUS NEGRO</v>
      </c>
      <c r="M1434" s="15" t="str">
        <f>VLOOKUP(A1434,sinap!$A$2:$R$9000,5,FALSE)</f>
        <v>2 años 0 meses</v>
      </c>
      <c r="N1434" s="15" t="str">
        <f>VLOOKUP(A1434,sinap!$A$2:$R$9000,6,FALSE)</f>
        <v>31-12-2023</v>
      </c>
      <c r="O1434" s="15" t="str">
        <f>VLOOKUP(A1434,sinap!$A$2:$R$9000,7,FALSE)</f>
        <v>Vivo</v>
      </c>
      <c r="P1434" s="15" t="str">
        <f>VLOOKUP(A1434,sinap!$A$2:$R$9000,8,FALSE)</f>
        <v>11.1.01.1022</v>
      </c>
      <c r="Q1434" s="15" t="str">
        <f>VLOOKUP(A1434,sinap!$A$2:$R$9000,12,FALSE)</f>
        <v>11.1.01.0941</v>
      </c>
      <c r="R1434" s="15" t="str">
        <f>VLOOKUP(A1434,sinap!$A$2:$R$9000,16,FALSE)</f>
        <v>11.1.01.0893</v>
      </c>
      <c r="S1434" s="15" t="str">
        <f>VLOOKUP(A1434,sinap!$A$2:$Y$9000,20,FALSE)</f>
        <v>SI</v>
      </c>
      <c r="T1434" s="16">
        <v>45318</v>
      </c>
    </row>
    <row r="1435" spans="1:20" hidden="1" x14ac:dyDescent="0.25">
      <c r="A1435" s="15">
        <v>23323575</v>
      </c>
      <c r="I1435" s="16">
        <v>45969</v>
      </c>
      <c r="J1435" s="15" t="str">
        <f>VLOOKUP(A1435,sinap!$A$2:$R$9000,2,FALSE)</f>
        <v>H</v>
      </c>
      <c r="K1435" s="15" t="str">
        <f>VLOOKUP(A1435,sinap!$A$2:$R$9000,3,FALSE)</f>
        <v>VAQUILLA</v>
      </c>
      <c r="L1435" s="15" t="str">
        <f>VLOOKUP(A1435,sinap!$A$2:$R$9000,4,FALSE)</f>
        <v>ANGUS NEGRO</v>
      </c>
      <c r="M1435" s="15" t="str">
        <f>VLOOKUP(A1435,sinap!$A$2:$R$9000,5,FALSE)</f>
        <v>2 años 1 meses</v>
      </c>
      <c r="N1435" s="15" t="str">
        <f>VLOOKUP(A1435,sinap!$A$2:$R$9000,6,FALSE)</f>
        <v>30-11-2023</v>
      </c>
      <c r="O1435" s="15" t="str">
        <f>VLOOKUP(A1435,sinap!$A$2:$R$9000,7,FALSE)</f>
        <v>Vivo</v>
      </c>
      <c r="P1435" s="15" t="str">
        <f>VLOOKUP(A1435,sinap!$A$2:$R$9000,8,FALSE)</f>
        <v>11.1.01.1022</v>
      </c>
      <c r="Q1435" s="15" t="str">
        <f>VLOOKUP(A1435,sinap!$A$2:$R$9000,12,FALSE)</f>
        <v>11.1.01.0941</v>
      </c>
      <c r="R1435" s="15" t="str">
        <f>VLOOKUP(A1435,sinap!$A$2:$R$9000,16,FALSE)</f>
        <v>11.1.01.0893</v>
      </c>
      <c r="S1435" s="15" t="str">
        <f>VLOOKUP(A1435,sinap!$A$2:$Y$9000,20,FALSE)</f>
        <v>SI</v>
      </c>
      <c r="T1435" s="16">
        <v>45318</v>
      </c>
    </row>
    <row r="1436" spans="1:20" hidden="1" x14ac:dyDescent="0.25">
      <c r="A1436" s="15">
        <v>23323576</v>
      </c>
      <c r="J1436" s="15" t="str">
        <f>VLOOKUP(A1436,sinap!$A$2:$R$9000,2,FALSE)</f>
        <v>H</v>
      </c>
      <c r="K1436" s="15" t="str">
        <f>VLOOKUP(A1436,sinap!$A$2:$R$9000,3,FALSE)</f>
        <v>VAQUILLA</v>
      </c>
      <c r="L1436" s="15" t="str">
        <f>VLOOKUP(A1436,sinap!$A$2:$R$9000,4,FALSE)</f>
        <v>ANGUS ROJO</v>
      </c>
      <c r="M1436" s="15" t="str">
        <f>VLOOKUP(A1436,sinap!$A$2:$R$9000,5,FALSE)</f>
        <v>2 años 1 meses</v>
      </c>
      <c r="N1436" s="15" t="str">
        <f>VLOOKUP(A1436,sinap!$A$2:$R$9000,6,FALSE)</f>
        <v>05-12-2023</v>
      </c>
      <c r="O1436" s="15" t="str">
        <f>VLOOKUP(A1436,sinap!$A$2:$R$9000,7,FALSE)</f>
        <v>Vivo</v>
      </c>
      <c r="P1436" s="15" t="str">
        <f>VLOOKUP(A1436,sinap!$A$2:$R$9000,8,FALSE)</f>
        <v>11.1.01.0893</v>
      </c>
      <c r="Q1436" s="15" t="str">
        <f>VLOOKUP(A1436,sinap!$A$2:$R$9000,12,FALSE)</f>
        <v>Sin Movimiento</v>
      </c>
      <c r="R1436" s="15" t="str">
        <f>VLOOKUP(A1436,sinap!$A$2:$R$9000,16,FALSE)</f>
        <v>11.1.01.0893</v>
      </c>
      <c r="S1436" s="15" t="str">
        <f>VLOOKUP(A1436,sinap!$A$2:$Y$9000,20,FALSE)</f>
        <v>SI</v>
      </c>
      <c r="T1436" s="16">
        <v>45318</v>
      </c>
    </row>
    <row r="1437" spans="1:20" hidden="1" x14ac:dyDescent="0.25">
      <c r="A1437" s="15">
        <v>23323577</v>
      </c>
      <c r="I1437" s="16">
        <v>45680</v>
      </c>
      <c r="J1437" s="15" t="str">
        <f>VLOOKUP(A1437,sinap!$A$2:$R$9000,2,FALSE)</f>
        <v>H</v>
      </c>
      <c r="K1437" s="15" t="str">
        <f>VLOOKUP(A1437,sinap!$A$2:$R$9000,3,FALSE)</f>
        <v>VAQUILLA</v>
      </c>
      <c r="L1437" s="15" t="str">
        <f>VLOOKUP(A1437,sinap!$A$2:$R$9000,4,FALSE)</f>
        <v>ANGUS NEGRO</v>
      </c>
      <c r="M1437" s="15" t="str">
        <f>VLOOKUP(A1437,sinap!$A$2:$R$9000,5,FALSE)</f>
        <v>2 años 2 meses</v>
      </c>
      <c r="N1437" s="15" t="str">
        <f>VLOOKUP(A1437,sinap!$A$2:$R$9000,6,FALSE)</f>
        <v>05-11-2023</v>
      </c>
      <c r="O1437" s="15" t="str">
        <f>VLOOKUP(A1437,sinap!$A$2:$R$9000,7,FALSE)</f>
        <v>Vivo</v>
      </c>
      <c r="P1437" s="15" t="str">
        <f>VLOOKUP(A1437,sinap!$A$2:$R$9000,8,FALSE)</f>
        <v>11.1.01.1022</v>
      </c>
      <c r="Q1437" s="15" t="str">
        <f>VLOOKUP(A1437,sinap!$A$2:$R$9000,12,FALSE)</f>
        <v>11.1.01.0941</v>
      </c>
      <c r="R1437" s="15" t="str">
        <f>VLOOKUP(A1437,sinap!$A$2:$R$9000,16,FALSE)</f>
        <v>11.1.01.0893</v>
      </c>
      <c r="S1437" s="15" t="str">
        <f>VLOOKUP(A1437,sinap!$A$2:$Y$9000,20,FALSE)</f>
        <v>SI</v>
      </c>
      <c r="T1437" s="16">
        <v>45318</v>
      </c>
    </row>
    <row r="1438" spans="1:20" hidden="1" x14ac:dyDescent="0.25">
      <c r="A1438" s="15">
        <v>23323584</v>
      </c>
      <c r="I1438" s="16">
        <v>45969</v>
      </c>
      <c r="J1438" s="15" t="str">
        <f>VLOOKUP(A1438,sinap!$A$2:$R$9000,2,FALSE)</f>
        <v>H</v>
      </c>
      <c r="K1438" s="15" t="str">
        <f>VLOOKUP(A1438,sinap!$A$2:$R$9000,3,FALSE)</f>
        <v>VAQUILLA</v>
      </c>
      <c r="L1438" s="15" t="str">
        <f>VLOOKUP(A1438,sinap!$A$2:$R$9000,4,FALSE)</f>
        <v>ANGUS NEGRO</v>
      </c>
      <c r="M1438" s="15" t="str">
        <f>VLOOKUP(A1438,sinap!$A$2:$R$9000,5,FALSE)</f>
        <v>2 años 1 meses</v>
      </c>
      <c r="N1438" s="15" t="str">
        <f>VLOOKUP(A1438,sinap!$A$2:$R$9000,6,FALSE)</f>
        <v>05-12-2023</v>
      </c>
      <c r="O1438" s="15" t="str">
        <f>VLOOKUP(A1438,sinap!$A$2:$R$9000,7,FALSE)</f>
        <v>Vivo</v>
      </c>
      <c r="P1438" s="15" t="str">
        <f>VLOOKUP(A1438,sinap!$A$2:$R$9000,8,FALSE)</f>
        <v>11.1.01.1022</v>
      </c>
      <c r="Q1438" s="15" t="str">
        <f>VLOOKUP(A1438,sinap!$A$2:$R$9000,12,FALSE)</f>
        <v>11.1.01.0941</v>
      </c>
      <c r="R1438" s="15" t="str">
        <f>VLOOKUP(A1438,sinap!$A$2:$R$9000,16,FALSE)</f>
        <v>11.1.01.0893</v>
      </c>
      <c r="S1438" s="15" t="str">
        <f>VLOOKUP(A1438,sinap!$A$2:$Y$9000,20,FALSE)</f>
        <v>SI</v>
      </c>
      <c r="T1438" s="16">
        <v>45318</v>
      </c>
    </row>
    <row r="1439" spans="1:20" hidden="1" x14ac:dyDescent="0.25">
      <c r="A1439" s="15">
        <v>23323585</v>
      </c>
      <c r="I1439" s="16">
        <v>45969</v>
      </c>
      <c r="J1439" s="15" t="str">
        <f>VLOOKUP(A1439,sinap!$A$2:$R$9000,2,FALSE)</f>
        <v>H</v>
      </c>
      <c r="K1439" s="15" t="str">
        <f>VLOOKUP(A1439,sinap!$A$2:$R$9000,3,FALSE)</f>
        <v>VAQUILLA</v>
      </c>
      <c r="L1439" s="15" t="str">
        <f>VLOOKUP(A1439,sinap!$A$2:$R$9000,4,FALSE)</f>
        <v>ANGUS NEGRO</v>
      </c>
      <c r="M1439" s="15" t="str">
        <f>VLOOKUP(A1439,sinap!$A$2:$R$9000,5,FALSE)</f>
        <v>2 años 1 meses</v>
      </c>
      <c r="N1439" s="15" t="str">
        <f>VLOOKUP(A1439,sinap!$A$2:$R$9000,6,FALSE)</f>
        <v>30-11-2023</v>
      </c>
      <c r="O1439" s="15" t="str">
        <f>VLOOKUP(A1439,sinap!$A$2:$R$9000,7,FALSE)</f>
        <v>Vivo</v>
      </c>
      <c r="P1439" s="15" t="str">
        <f>VLOOKUP(A1439,sinap!$A$2:$R$9000,8,FALSE)</f>
        <v>11.1.01.1022</v>
      </c>
      <c r="Q1439" s="15" t="str">
        <f>VLOOKUP(A1439,sinap!$A$2:$R$9000,12,FALSE)</f>
        <v>11.1.01.0941</v>
      </c>
      <c r="R1439" s="15" t="str">
        <f>VLOOKUP(A1439,sinap!$A$2:$R$9000,16,FALSE)</f>
        <v>11.1.01.0893</v>
      </c>
      <c r="S1439" s="15" t="str">
        <f>VLOOKUP(A1439,sinap!$A$2:$Y$9000,20,FALSE)</f>
        <v>SI</v>
      </c>
      <c r="T1439" s="16">
        <v>45318</v>
      </c>
    </row>
    <row r="1440" spans="1:20" hidden="1" x14ac:dyDescent="0.25">
      <c r="A1440" s="15">
        <v>23323589</v>
      </c>
      <c r="I1440" s="16">
        <v>45969</v>
      </c>
      <c r="J1440" s="15" t="str">
        <f>VLOOKUP(A1440,sinap!$A$2:$R$9000,2,FALSE)</f>
        <v>H</v>
      </c>
      <c r="K1440" s="15" t="str">
        <f>VLOOKUP(A1440,sinap!$A$2:$R$9000,3,FALSE)</f>
        <v>VAQUILLA</v>
      </c>
      <c r="L1440" s="15" t="str">
        <f>VLOOKUP(A1440,sinap!$A$2:$R$9000,4,FALSE)</f>
        <v>ANGUS ROJO</v>
      </c>
      <c r="M1440" s="15" t="str">
        <f>VLOOKUP(A1440,sinap!$A$2:$R$9000,5,FALSE)</f>
        <v>2 años 2 meses</v>
      </c>
      <c r="N1440" s="15" t="str">
        <f>VLOOKUP(A1440,sinap!$A$2:$R$9000,6,FALSE)</f>
        <v>15-11-2023</v>
      </c>
      <c r="O1440" s="15" t="str">
        <f>VLOOKUP(A1440,sinap!$A$2:$R$9000,7,FALSE)</f>
        <v>Vivo</v>
      </c>
      <c r="P1440" s="15" t="str">
        <f>VLOOKUP(A1440,sinap!$A$2:$R$9000,8,FALSE)</f>
        <v>11.1.01.1022</v>
      </c>
      <c r="Q1440" s="15" t="str">
        <f>VLOOKUP(A1440,sinap!$A$2:$R$9000,12,FALSE)</f>
        <v>11.1.01.0941</v>
      </c>
      <c r="R1440" s="15" t="str">
        <f>VLOOKUP(A1440,sinap!$A$2:$R$9000,16,FALSE)</f>
        <v>11.1.01.0893</v>
      </c>
      <c r="S1440" s="15" t="str">
        <f>VLOOKUP(A1440,sinap!$A$2:$Y$9000,20,FALSE)</f>
        <v>SI</v>
      </c>
      <c r="T1440" s="16">
        <v>45318</v>
      </c>
    </row>
    <row r="1441" spans="1:20" hidden="1" x14ac:dyDescent="0.25">
      <c r="A1441" s="15">
        <v>23323590</v>
      </c>
      <c r="I1441" s="16">
        <v>45969</v>
      </c>
      <c r="J1441" s="15" t="str">
        <f>VLOOKUP(A1441,sinap!$A$2:$R$9000,2,FALSE)</f>
        <v>H</v>
      </c>
      <c r="K1441" s="15" t="str">
        <f>VLOOKUP(A1441,sinap!$A$2:$R$9000,3,FALSE)</f>
        <v>VAQUILLA</v>
      </c>
      <c r="L1441" s="15" t="str">
        <f>VLOOKUP(A1441,sinap!$A$2:$R$9000,4,FALSE)</f>
        <v>ANGUS NEGRO</v>
      </c>
      <c r="M1441" s="15" t="str">
        <f>VLOOKUP(A1441,sinap!$A$2:$R$9000,5,FALSE)</f>
        <v>2 años 2 meses</v>
      </c>
      <c r="N1441" s="15" t="str">
        <f>VLOOKUP(A1441,sinap!$A$2:$R$9000,6,FALSE)</f>
        <v>15-11-2023</v>
      </c>
      <c r="O1441" s="15" t="str">
        <f>VLOOKUP(A1441,sinap!$A$2:$R$9000,7,FALSE)</f>
        <v>Vivo</v>
      </c>
      <c r="P1441" s="15" t="str">
        <f>VLOOKUP(A1441,sinap!$A$2:$R$9000,8,FALSE)</f>
        <v>11.1.01.1022</v>
      </c>
      <c r="Q1441" s="15" t="str">
        <f>VLOOKUP(A1441,sinap!$A$2:$R$9000,12,FALSE)</f>
        <v>11.1.01.0941</v>
      </c>
      <c r="R1441" s="15" t="str">
        <f>VLOOKUP(A1441,sinap!$A$2:$R$9000,16,FALSE)</f>
        <v>11.1.01.0893</v>
      </c>
      <c r="S1441" s="15" t="str">
        <f>VLOOKUP(A1441,sinap!$A$2:$Y$9000,20,FALSE)</f>
        <v>SI</v>
      </c>
      <c r="T1441" s="16">
        <v>45432</v>
      </c>
    </row>
    <row r="1442" spans="1:20" hidden="1" x14ac:dyDescent="0.25">
      <c r="A1442" s="15">
        <v>23323593</v>
      </c>
      <c r="I1442" s="16">
        <v>45680</v>
      </c>
      <c r="J1442" s="15" t="str">
        <f>VLOOKUP(A1442,sinap!$A$2:$R$9000,2,FALSE)</f>
        <v>H</v>
      </c>
      <c r="K1442" s="15" t="str">
        <f>VLOOKUP(A1442,sinap!$A$2:$R$9000,3,FALSE)</f>
        <v>VAQUILLA</v>
      </c>
      <c r="L1442" s="15" t="str">
        <f>VLOOKUP(A1442,sinap!$A$2:$R$9000,4,FALSE)</f>
        <v>ANGUS NEGRO</v>
      </c>
      <c r="M1442" s="15" t="str">
        <f>VLOOKUP(A1442,sinap!$A$2:$R$9000,5,FALSE)</f>
        <v>1 años 10 meses</v>
      </c>
      <c r="N1442" s="15" t="str">
        <f>VLOOKUP(A1442,sinap!$A$2:$R$9000,6,FALSE)</f>
        <v>11-03-2024</v>
      </c>
      <c r="O1442" s="15" t="str">
        <f>VLOOKUP(A1442,sinap!$A$2:$R$9000,7,FALSE)</f>
        <v>Vivo</v>
      </c>
      <c r="P1442" s="15" t="str">
        <f>VLOOKUP(A1442,sinap!$A$2:$R$9000,8,FALSE)</f>
        <v>11.1.01.1022</v>
      </c>
      <c r="Q1442" s="15" t="str">
        <f>VLOOKUP(A1442,sinap!$A$2:$R$9000,12,FALSE)</f>
        <v>11.1.01.0941</v>
      </c>
      <c r="R1442" s="15" t="str">
        <f>VLOOKUP(A1442,sinap!$A$2:$R$9000,16,FALSE)</f>
        <v>11.1.01.1241</v>
      </c>
      <c r="S1442" s="15" t="str">
        <f>VLOOKUP(A1442,sinap!$A$2:$Y$9000,20,FALSE)</f>
        <v>SI</v>
      </c>
      <c r="T1442" s="16">
        <v>45432</v>
      </c>
    </row>
    <row r="1443" spans="1:20" hidden="1" x14ac:dyDescent="0.25">
      <c r="A1443" s="15">
        <v>23323597</v>
      </c>
      <c r="I1443" s="16">
        <v>45969</v>
      </c>
      <c r="J1443" s="15" t="str">
        <f>VLOOKUP(A1443,sinap!$A$2:$R$9000,2,FALSE)</f>
        <v>M</v>
      </c>
      <c r="K1443" s="15" t="str">
        <f>VLOOKUP(A1443,sinap!$A$2:$R$9000,3,FALSE)</f>
        <v>NOVILLO</v>
      </c>
      <c r="L1443" s="15" t="str">
        <f>VLOOKUP(A1443,sinap!$A$2:$R$9000,4,FALSE)</f>
        <v>ANGUS NEGRO</v>
      </c>
      <c r="M1443" s="15" t="str">
        <f>VLOOKUP(A1443,sinap!$A$2:$R$9000,5,FALSE)</f>
        <v>2 años 0 meses</v>
      </c>
      <c r="N1443" s="15" t="str">
        <f>VLOOKUP(A1443,sinap!$A$2:$R$9000,6,FALSE)</f>
        <v>30-12-2023</v>
      </c>
      <c r="O1443" s="15" t="str">
        <f>VLOOKUP(A1443,sinap!$A$2:$R$9000,7,FALSE)</f>
        <v>Vivo</v>
      </c>
      <c r="P1443" s="15" t="str">
        <f>VLOOKUP(A1443,sinap!$A$2:$R$9000,8,FALSE)</f>
        <v>11.1.01.1022</v>
      </c>
      <c r="Q1443" s="15" t="str">
        <f>VLOOKUP(A1443,sinap!$A$2:$R$9000,12,FALSE)</f>
        <v>11.1.01.0941</v>
      </c>
      <c r="R1443" s="15" t="str">
        <f>VLOOKUP(A1443,sinap!$A$2:$R$9000,16,FALSE)</f>
        <v>11.1.01.1241</v>
      </c>
      <c r="S1443" s="15" t="str">
        <f>VLOOKUP(A1443,sinap!$A$2:$Y$9000,20,FALSE)</f>
        <v>SI</v>
      </c>
      <c r="T1443" s="16">
        <v>45432</v>
      </c>
    </row>
    <row r="1444" spans="1:20" hidden="1" x14ac:dyDescent="0.25">
      <c r="A1444" s="15">
        <v>23323598</v>
      </c>
      <c r="I1444" s="16">
        <v>45969</v>
      </c>
      <c r="J1444" s="15" t="str">
        <f>VLOOKUP(A1444,sinap!$A$2:$R$9000,2,FALSE)</f>
        <v>H</v>
      </c>
      <c r="K1444" s="15" t="str">
        <f>VLOOKUP(A1444,sinap!$A$2:$R$9000,3,FALSE)</f>
        <v>VAQUILLA</v>
      </c>
      <c r="L1444" s="15" t="str">
        <f>VLOOKUP(A1444,sinap!$A$2:$R$9000,4,FALSE)</f>
        <v>ANGUS NEGRO</v>
      </c>
      <c r="M1444" s="15" t="str">
        <f>VLOOKUP(A1444,sinap!$A$2:$R$9000,5,FALSE)</f>
        <v>2 años 0 meses</v>
      </c>
      <c r="N1444" s="15" t="str">
        <f>VLOOKUP(A1444,sinap!$A$2:$R$9000,6,FALSE)</f>
        <v>30-12-2023</v>
      </c>
      <c r="O1444" s="15" t="str">
        <f>VLOOKUP(A1444,sinap!$A$2:$R$9000,7,FALSE)</f>
        <v>Vivo</v>
      </c>
      <c r="P1444" s="15" t="str">
        <f>VLOOKUP(A1444,sinap!$A$2:$R$9000,8,FALSE)</f>
        <v>11.1.01.1022</v>
      </c>
      <c r="Q1444" s="15" t="str">
        <f>VLOOKUP(A1444,sinap!$A$2:$R$9000,12,FALSE)</f>
        <v>11.1.01.0941</v>
      </c>
      <c r="R1444" s="15" t="str">
        <f>VLOOKUP(A1444,sinap!$A$2:$R$9000,16,FALSE)</f>
        <v>11.1.01.1241</v>
      </c>
      <c r="S1444" s="15" t="str">
        <f>VLOOKUP(A1444,sinap!$A$2:$Y$9000,20,FALSE)</f>
        <v>SI</v>
      </c>
      <c r="T1444" s="16">
        <v>45432</v>
      </c>
    </row>
    <row r="1445" spans="1:20" hidden="1" x14ac:dyDescent="0.25">
      <c r="A1445" s="15">
        <v>23323599</v>
      </c>
      <c r="I1445" s="16">
        <v>45969</v>
      </c>
      <c r="J1445" s="15" t="str">
        <f>VLOOKUP(A1445,sinap!$A$2:$R$9000,2,FALSE)</f>
        <v>H</v>
      </c>
      <c r="K1445" s="15" t="str">
        <f>VLOOKUP(A1445,sinap!$A$2:$R$9000,3,FALSE)</f>
        <v>VAQUILLA</v>
      </c>
      <c r="L1445" s="15" t="str">
        <f>VLOOKUP(A1445,sinap!$A$2:$R$9000,4,FALSE)</f>
        <v>ANGUS NEGRO</v>
      </c>
      <c r="M1445" s="15" t="str">
        <f>VLOOKUP(A1445,sinap!$A$2:$R$9000,5,FALSE)</f>
        <v>2 años 0 meses</v>
      </c>
      <c r="N1445" s="15" t="str">
        <f>VLOOKUP(A1445,sinap!$A$2:$R$9000,6,FALSE)</f>
        <v>30-12-2023</v>
      </c>
      <c r="O1445" s="15" t="str">
        <f>VLOOKUP(A1445,sinap!$A$2:$R$9000,7,FALSE)</f>
        <v>Vivo</v>
      </c>
      <c r="P1445" s="15" t="str">
        <f>VLOOKUP(A1445,sinap!$A$2:$R$9000,8,FALSE)</f>
        <v>11.1.01.1022</v>
      </c>
      <c r="Q1445" s="15" t="str">
        <f>VLOOKUP(A1445,sinap!$A$2:$R$9000,12,FALSE)</f>
        <v>11.1.01.0941</v>
      </c>
      <c r="R1445" s="15" t="str">
        <f>VLOOKUP(A1445,sinap!$A$2:$R$9000,16,FALSE)</f>
        <v>11.1.01.1241</v>
      </c>
      <c r="S1445" s="15" t="str">
        <f>VLOOKUP(A1445,sinap!$A$2:$Y$9000,20,FALSE)</f>
        <v>SI</v>
      </c>
      <c r="T1445" s="16">
        <v>45432</v>
      </c>
    </row>
    <row r="1446" spans="1:20" hidden="1" x14ac:dyDescent="0.25">
      <c r="A1446" s="15">
        <v>23323602</v>
      </c>
      <c r="I1446" s="16">
        <v>45969</v>
      </c>
      <c r="J1446" s="15" t="str">
        <f>VLOOKUP(A1446,sinap!$A$2:$R$9000,2,FALSE)</f>
        <v>H</v>
      </c>
      <c r="K1446" s="15" t="str">
        <f>VLOOKUP(A1446,sinap!$A$2:$R$9000,3,FALSE)</f>
        <v>VAQUILLA</v>
      </c>
      <c r="L1446" s="15" t="str">
        <f>VLOOKUP(A1446,sinap!$A$2:$R$9000,4,FALSE)</f>
        <v>ANGUS ROJO</v>
      </c>
      <c r="M1446" s="15" t="str">
        <f>VLOOKUP(A1446,sinap!$A$2:$R$9000,5,FALSE)</f>
        <v>2 años 1 meses</v>
      </c>
      <c r="N1446" s="15" t="str">
        <f>VLOOKUP(A1446,sinap!$A$2:$R$9000,6,FALSE)</f>
        <v>05-12-2023</v>
      </c>
      <c r="O1446" s="15" t="str">
        <f>VLOOKUP(A1446,sinap!$A$2:$R$9000,7,FALSE)</f>
        <v>Vivo</v>
      </c>
      <c r="P1446" s="15" t="str">
        <f>VLOOKUP(A1446,sinap!$A$2:$R$9000,8,FALSE)</f>
        <v>11.1.01.1022</v>
      </c>
      <c r="Q1446" s="15" t="str">
        <f>VLOOKUP(A1446,sinap!$A$2:$R$9000,12,FALSE)</f>
        <v>11.1.01.0941</v>
      </c>
      <c r="R1446" s="15" t="str">
        <f>VLOOKUP(A1446,sinap!$A$2:$R$9000,16,FALSE)</f>
        <v>11.1.01.1241</v>
      </c>
      <c r="S1446" s="15" t="str">
        <f>VLOOKUP(A1446,sinap!$A$2:$Y$9000,20,FALSE)</f>
        <v>SI</v>
      </c>
      <c r="T1446" s="16">
        <v>45432</v>
      </c>
    </row>
    <row r="1447" spans="1:20" hidden="1" x14ac:dyDescent="0.25">
      <c r="A1447" s="15">
        <v>23323604</v>
      </c>
      <c r="I1447" s="16">
        <v>45969</v>
      </c>
      <c r="J1447" s="15" t="str">
        <f>VLOOKUP(A1447,sinap!$A$2:$R$9000,2,FALSE)</f>
        <v>H</v>
      </c>
      <c r="K1447" s="15" t="str">
        <f>VLOOKUP(A1447,sinap!$A$2:$R$9000,3,FALSE)</f>
        <v>VAQUILLA</v>
      </c>
      <c r="L1447" s="15" t="str">
        <f>VLOOKUP(A1447,sinap!$A$2:$R$9000,4,FALSE)</f>
        <v>ANGUS NEGRO</v>
      </c>
      <c r="M1447" s="15" t="str">
        <f>VLOOKUP(A1447,sinap!$A$2:$R$9000,5,FALSE)</f>
        <v>2 años 1 meses</v>
      </c>
      <c r="N1447" s="15" t="str">
        <f>VLOOKUP(A1447,sinap!$A$2:$R$9000,6,FALSE)</f>
        <v>05-12-2023</v>
      </c>
      <c r="O1447" s="15" t="str">
        <f>VLOOKUP(A1447,sinap!$A$2:$R$9000,7,FALSE)</f>
        <v>Vivo</v>
      </c>
      <c r="P1447" s="15" t="str">
        <f>VLOOKUP(A1447,sinap!$A$2:$R$9000,8,FALSE)</f>
        <v>11.1.01.1022</v>
      </c>
      <c r="Q1447" s="15" t="str">
        <f>VLOOKUP(A1447,sinap!$A$2:$R$9000,12,FALSE)</f>
        <v>11.1.01.0941</v>
      </c>
      <c r="R1447" s="15" t="str">
        <f>VLOOKUP(A1447,sinap!$A$2:$R$9000,16,FALSE)</f>
        <v>11.1.01.1241</v>
      </c>
      <c r="S1447" s="15" t="str">
        <f>VLOOKUP(A1447,sinap!$A$2:$Y$9000,20,FALSE)</f>
        <v>SI</v>
      </c>
      <c r="T1447" s="16">
        <v>45647</v>
      </c>
    </row>
    <row r="1448" spans="1:20" hidden="1" x14ac:dyDescent="0.25">
      <c r="A1448" s="15">
        <v>23323606</v>
      </c>
      <c r="I1448" s="16">
        <v>45680</v>
      </c>
      <c r="J1448" s="15" t="str">
        <f>VLOOKUP(A1448,sinap!$A$2:$R$9000,2,FALSE)</f>
        <v>H</v>
      </c>
      <c r="K1448" s="15" t="str">
        <f>VLOOKUP(A1448,sinap!$A$2:$R$9000,3,FALSE)</f>
        <v>VAQUILLA</v>
      </c>
      <c r="L1448" s="15" t="str">
        <f>VLOOKUP(A1448,sinap!$A$2:$R$9000,4,FALSE)</f>
        <v>ANGUS NEGRO</v>
      </c>
      <c r="M1448" s="15" t="str">
        <f>VLOOKUP(A1448,sinap!$A$2:$R$9000,5,FALSE)</f>
        <v>2 años 0 meses</v>
      </c>
      <c r="N1448" s="15" t="str">
        <f>VLOOKUP(A1448,sinap!$A$2:$R$9000,6,FALSE)</f>
        <v>30-12-2023</v>
      </c>
      <c r="O1448" s="15" t="str">
        <f>VLOOKUP(A1448,sinap!$A$2:$R$9000,7,FALSE)</f>
        <v>Vivo</v>
      </c>
      <c r="P1448" s="15" t="str">
        <f>VLOOKUP(A1448,sinap!$A$2:$R$9000,8,FALSE)</f>
        <v>11.1.01.1022</v>
      </c>
      <c r="Q1448" s="15" t="str">
        <f>VLOOKUP(A1448,sinap!$A$2:$R$9000,12,FALSE)</f>
        <v>11.1.01.0941</v>
      </c>
      <c r="R1448" s="15" t="str">
        <f>VLOOKUP(A1448,sinap!$A$2:$R$9000,16,FALSE)</f>
        <v>11.1.01.1241</v>
      </c>
      <c r="S1448" s="15" t="str">
        <f>VLOOKUP(A1448,sinap!$A$2:$Y$9000,20,FALSE)</f>
        <v>SI</v>
      </c>
      <c r="T1448" s="16">
        <v>45647</v>
      </c>
    </row>
    <row r="1449" spans="1:20" hidden="1" x14ac:dyDescent="0.25">
      <c r="A1449" s="15">
        <v>23323607</v>
      </c>
      <c r="I1449" s="16">
        <v>45969</v>
      </c>
      <c r="J1449" s="15" t="str">
        <f>VLOOKUP(A1449,sinap!$A$2:$R$9000,2,FALSE)</f>
        <v>H</v>
      </c>
      <c r="K1449" s="15" t="str">
        <f>VLOOKUP(A1449,sinap!$A$2:$R$9000,3,FALSE)</f>
        <v>VAQUILLA</v>
      </c>
      <c r="L1449" s="15" t="str">
        <f>VLOOKUP(A1449,sinap!$A$2:$R$9000,4,FALSE)</f>
        <v>ANGUS NEGRO</v>
      </c>
      <c r="M1449" s="15" t="str">
        <f>VLOOKUP(A1449,sinap!$A$2:$R$9000,5,FALSE)</f>
        <v>2 años 0 meses</v>
      </c>
      <c r="N1449" s="15" t="str">
        <f>VLOOKUP(A1449,sinap!$A$2:$R$9000,6,FALSE)</f>
        <v>30-12-2023</v>
      </c>
      <c r="O1449" s="15" t="str">
        <f>VLOOKUP(A1449,sinap!$A$2:$R$9000,7,FALSE)</f>
        <v>Vivo</v>
      </c>
      <c r="P1449" s="15" t="str">
        <f>VLOOKUP(A1449,sinap!$A$2:$R$9000,8,FALSE)</f>
        <v>11.1.01.1022</v>
      </c>
      <c r="Q1449" s="15" t="str">
        <f>VLOOKUP(A1449,sinap!$A$2:$R$9000,12,FALSE)</f>
        <v>11.1.01.0941</v>
      </c>
      <c r="R1449" s="15" t="str">
        <f>VLOOKUP(A1449,sinap!$A$2:$R$9000,16,FALSE)</f>
        <v>11.1.01.1241</v>
      </c>
      <c r="S1449" s="15" t="str">
        <f>VLOOKUP(A1449,sinap!$A$2:$Y$9000,20,FALSE)</f>
        <v>SI</v>
      </c>
      <c r="T1449" s="16">
        <v>45647</v>
      </c>
    </row>
    <row r="1450" spans="1:20" hidden="1" x14ac:dyDescent="0.25">
      <c r="A1450" s="15">
        <v>23323611</v>
      </c>
      <c r="I1450" s="16">
        <v>45969</v>
      </c>
      <c r="J1450" s="15" t="str">
        <f>VLOOKUP(A1450,sinap!$A$2:$R$9000,2,FALSE)</f>
        <v>H</v>
      </c>
      <c r="K1450" s="15" t="str">
        <f>VLOOKUP(A1450,sinap!$A$2:$R$9000,3,FALSE)</f>
        <v>VAQUILLA</v>
      </c>
      <c r="L1450" s="15" t="str">
        <f>VLOOKUP(A1450,sinap!$A$2:$R$9000,4,FALSE)</f>
        <v>ANGUS ROJO</v>
      </c>
      <c r="M1450" s="15" t="str">
        <f>VLOOKUP(A1450,sinap!$A$2:$R$9000,5,FALSE)</f>
        <v>2 años 0 meses</v>
      </c>
      <c r="N1450" s="15" t="str">
        <f>VLOOKUP(A1450,sinap!$A$2:$R$9000,6,FALSE)</f>
        <v>25-12-2023</v>
      </c>
      <c r="O1450" s="15" t="str">
        <f>VLOOKUP(A1450,sinap!$A$2:$R$9000,7,FALSE)</f>
        <v>Vivo</v>
      </c>
      <c r="P1450" s="15" t="str">
        <f>VLOOKUP(A1450,sinap!$A$2:$R$9000,8,FALSE)</f>
        <v>11.1.01.1022</v>
      </c>
      <c r="Q1450" s="15" t="str">
        <f>VLOOKUP(A1450,sinap!$A$2:$R$9000,12,FALSE)</f>
        <v>11.1.01.0941</v>
      </c>
      <c r="R1450" s="15" t="str">
        <f>VLOOKUP(A1450,sinap!$A$2:$R$9000,16,FALSE)</f>
        <v>11.1.01.1241</v>
      </c>
      <c r="S1450" s="15" t="str">
        <f>VLOOKUP(A1450,sinap!$A$2:$Y$9000,20,FALSE)</f>
        <v>SI</v>
      </c>
      <c r="T1450" s="16">
        <v>45647</v>
      </c>
    </row>
    <row r="1451" spans="1:20" hidden="1" x14ac:dyDescent="0.25">
      <c r="A1451" s="15">
        <v>23323612</v>
      </c>
      <c r="I1451" s="16">
        <v>45680</v>
      </c>
      <c r="J1451" s="15" t="str">
        <f>VLOOKUP(A1451,sinap!$A$2:$R$9000,2,FALSE)</f>
        <v>H</v>
      </c>
      <c r="K1451" s="15" t="str">
        <f>VLOOKUP(A1451,sinap!$A$2:$R$9000,3,FALSE)</f>
        <v>VACA</v>
      </c>
      <c r="L1451" s="15" t="str">
        <f>VLOOKUP(A1451,sinap!$A$2:$R$9000,4,FALSE)</f>
        <v>ANGUS ROJO</v>
      </c>
      <c r="M1451" s="15" t="str">
        <f>VLOOKUP(A1451,sinap!$A$2:$R$9000,5,FALSE)</f>
        <v>2 años 11 meses</v>
      </c>
      <c r="N1451" s="15" t="str">
        <f>VLOOKUP(A1451,sinap!$A$2:$R$9000,6,FALSE)</f>
        <v>30-01-2023</v>
      </c>
      <c r="O1451" s="15" t="str">
        <f>VLOOKUP(A1451,sinap!$A$2:$R$9000,7,FALSE)</f>
        <v>Vivo</v>
      </c>
      <c r="P1451" s="15" t="str">
        <f>VLOOKUP(A1451,sinap!$A$2:$R$9000,8,FALSE)</f>
        <v>11.1.01.1022</v>
      </c>
      <c r="Q1451" s="15" t="str">
        <f>VLOOKUP(A1451,sinap!$A$2:$R$9000,12,FALSE)</f>
        <v>11.1.01.0941</v>
      </c>
      <c r="R1451" s="15" t="str">
        <f>VLOOKUP(A1451,sinap!$A$2:$R$9000,16,FALSE)</f>
        <v>11.1.01.1241</v>
      </c>
      <c r="S1451" s="15" t="str">
        <f>VLOOKUP(A1451,sinap!$A$2:$Y$9000,20,FALSE)</f>
        <v>NO</v>
      </c>
      <c r="T1451" s="16">
        <v>45647</v>
      </c>
    </row>
    <row r="1452" spans="1:20" hidden="1" x14ac:dyDescent="0.25">
      <c r="A1452" s="15">
        <v>23323614</v>
      </c>
      <c r="I1452" s="16">
        <v>45969</v>
      </c>
      <c r="J1452" s="15" t="str">
        <f>VLOOKUP(A1452,sinap!$A$2:$R$9000,2,FALSE)</f>
        <v>H</v>
      </c>
      <c r="K1452" s="15" t="str">
        <f>VLOOKUP(A1452,sinap!$A$2:$R$9000,3,FALSE)</f>
        <v>VAQUILLA</v>
      </c>
      <c r="L1452" s="15" t="str">
        <f>VLOOKUP(A1452,sinap!$A$2:$R$9000,4,FALSE)</f>
        <v>ANGUS NEGRO</v>
      </c>
      <c r="M1452" s="15" t="str">
        <f>VLOOKUP(A1452,sinap!$A$2:$R$9000,5,FALSE)</f>
        <v>1 años 11 meses</v>
      </c>
      <c r="N1452" s="15" t="str">
        <f>VLOOKUP(A1452,sinap!$A$2:$R$9000,6,FALSE)</f>
        <v>30-01-2024</v>
      </c>
      <c r="O1452" s="15" t="str">
        <f>VLOOKUP(A1452,sinap!$A$2:$R$9000,7,FALSE)</f>
        <v>Vivo</v>
      </c>
      <c r="P1452" s="15" t="str">
        <f>VLOOKUP(A1452,sinap!$A$2:$R$9000,8,FALSE)</f>
        <v>11.1.01.1022</v>
      </c>
      <c r="Q1452" s="15" t="str">
        <f>VLOOKUP(A1452,sinap!$A$2:$R$9000,12,FALSE)</f>
        <v>11.1.01.0941</v>
      </c>
      <c r="R1452" s="15" t="str">
        <f>VLOOKUP(A1452,sinap!$A$2:$R$9000,16,FALSE)</f>
        <v>11.1.01.1241</v>
      </c>
      <c r="S1452" s="15" t="str">
        <f>VLOOKUP(A1452,sinap!$A$2:$Y$9000,20,FALSE)</f>
        <v>SI</v>
      </c>
      <c r="T1452" s="16">
        <v>45647</v>
      </c>
    </row>
    <row r="1453" spans="1:20" hidden="1" x14ac:dyDescent="0.25">
      <c r="A1453" s="15">
        <v>23323618</v>
      </c>
      <c r="I1453" s="16">
        <v>45969</v>
      </c>
      <c r="J1453" s="15" t="str">
        <f>VLOOKUP(A1453,sinap!$A$2:$R$9000,2,FALSE)</f>
        <v>H</v>
      </c>
      <c r="K1453" s="15" t="str">
        <f>VLOOKUP(A1453,sinap!$A$2:$R$9000,3,FALSE)</f>
        <v>VAQUILLA</v>
      </c>
      <c r="L1453" s="15" t="str">
        <f>VLOOKUP(A1453,sinap!$A$2:$R$9000,4,FALSE)</f>
        <v>ANGUS NEGRO</v>
      </c>
      <c r="M1453" s="15" t="str">
        <f>VLOOKUP(A1453,sinap!$A$2:$R$9000,5,FALSE)</f>
        <v>1 años 11 meses</v>
      </c>
      <c r="N1453" s="15" t="str">
        <f>VLOOKUP(A1453,sinap!$A$2:$R$9000,6,FALSE)</f>
        <v>30-01-2024</v>
      </c>
      <c r="O1453" s="15" t="str">
        <f>VLOOKUP(A1453,sinap!$A$2:$R$9000,7,FALSE)</f>
        <v>Vivo</v>
      </c>
      <c r="P1453" s="15" t="str">
        <f>VLOOKUP(A1453,sinap!$A$2:$R$9000,8,FALSE)</f>
        <v>11.1.01.1022</v>
      </c>
      <c r="Q1453" s="15" t="str">
        <f>VLOOKUP(A1453,sinap!$A$2:$R$9000,12,FALSE)</f>
        <v>11.1.01.0941</v>
      </c>
      <c r="R1453" s="15" t="str">
        <f>VLOOKUP(A1453,sinap!$A$2:$R$9000,16,FALSE)</f>
        <v>11.1.01.1241</v>
      </c>
      <c r="S1453" s="15" t="str">
        <f>VLOOKUP(A1453,sinap!$A$2:$Y$9000,20,FALSE)</f>
        <v>SI</v>
      </c>
      <c r="T1453" s="16">
        <v>45647</v>
      </c>
    </row>
    <row r="1454" spans="1:20" hidden="1" x14ac:dyDescent="0.25">
      <c r="A1454" s="15">
        <v>23323619</v>
      </c>
      <c r="J1454" s="15" t="str">
        <f>VLOOKUP(A1454,sinap!$A$2:$R$9000,2,FALSE)</f>
        <v>H</v>
      </c>
      <c r="K1454" s="15" t="str">
        <f>VLOOKUP(A1454,sinap!$A$2:$R$9000,3,FALSE)</f>
        <v>VAQUILLA</v>
      </c>
      <c r="L1454" s="15" t="str">
        <f>VLOOKUP(A1454,sinap!$A$2:$R$9000,4,FALSE)</f>
        <v>ANGUS NEGRO</v>
      </c>
      <c r="M1454" s="15" t="str">
        <f>VLOOKUP(A1454,sinap!$A$2:$R$9000,5,FALSE)</f>
        <v>1 años 10 meses</v>
      </c>
      <c r="N1454" s="15" t="str">
        <f>VLOOKUP(A1454,sinap!$A$2:$R$9000,6,FALSE)</f>
        <v>11-03-2024</v>
      </c>
      <c r="O1454" s="15" t="str">
        <f>VLOOKUP(A1454,sinap!$A$2:$R$9000,7,FALSE)</f>
        <v>Vivo</v>
      </c>
      <c r="P1454" s="15" t="str">
        <f>VLOOKUP(A1454,sinap!$A$2:$R$9000,8,FALSE)</f>
        <v>11.1.01.1241</v>
      </c>
      <c r="Q1454" s="15" t="str">
        <f>VLOOKUP(A1454,sinap!$A$2:$R$9000,12,FALSE)</f>
        <v>Sin Movimiento</v>
      </c>
      <c r="R1454" s="15" t="str">
        <f>VLOOKUP(A1454,sinap!$A$2:$R$9000,16,FALSE)</f>
        <v>11.1.01.1241</v>
      </c>
      <c r="S1454" s="15" t="str">
        <f>VLOOKUP(A1454,sinap!$A$2:$Y$9000,20,FALSE)</f>
        <v>SI</v>
      </c>
      <c r="T1454" s="16">
        <v>45438</v>
      </c>
    </row>
    <row r="1455" spans="1:20" hidden="1" x14ac:dyDescent="0.25">
      <c r="A1455" s="15">
        <v>23323622</v>
      </c>
      <c r="I1455" s="16">
        <v>45969</v>
      </c>
      <c r="J1455" s="15" t="str">
        <f>VLOOKUP(A1455,sinap!$A$2:$R$9000,2,FALSE)</f>
        <v>H</v>
      </c>
      <c r="K1455" s="15" t="str">
        <f>VLOOKUP(A1455,sinap!$A$2:$R$9000,3,FALSE)</f>
        <v>VAQUILLA</v>
      </c>
      <c r="L1455" s="15" t="str">
        <f>VLOOKUP(A1455,sinap!$A$2:$R$9000,4,FALSE)</f>
        <v>ANGUS ROJO</v>
      </c>
      <c r="M1455" s="15" t="str">
        <f>VLOOKUP(A1455,sinap!$A$2:$R$9000,5,FALSE)</f>
        <v>2 años 1 meses</v>
      </c>
      <c r="N1455" s="15" t="str">
        <f>VLOOKUP(A1455,sinap!$A$2:$R$9000,6,FALSE)</f>
        <v>15-12-2023</v>
      </c>
      <c r="O1455" s="15" t="str">
        <f>VLOOKUP(A1455,sinap!$A$2:$R$9000,7,FALSE)</f>
        <v>Vivo</v>
      </c>
      <c r="P1455" s="15" t="str">
        <f>VLOOKUP(A1455,sinap!$A$2:$R$9000,8,FALSE)</f>
        <v>11.1.01.1022</v>
      </c>
      <c r="Q1455" s="15" t="str">
        <f>VLOOKUP(A1455,sinap!$A$2:$R$9000,12,FALSE)</f>
        <v>11.1.01.0941</v>
      </c>
      <c r="R1455" s="15" t="str">
        <f>VLOOKUP(A1455,sinap!$A$2:$R$9000,16,FALSE)</f>
        <v>11.1.01.0893</v>
      </c>
      <c r="S1455" s="15" t="str">
        <f>VLOOKUP(A1455,sinap!$A$2:$Y$9000,20,FALSE)</f>
        <v>SI</v>
      </c>
      <c r="T1455" s="16">
        <v>45438</v>
      </c>
    </row>
    <row r="1456" spans="1:20" hidden="1" x14ac:dyDescent="0.25">
      <c r="A1456" s="15">
        <v>23323625</v>
      </c>
      <c r="I1456" s="16">
        <v>45969</v>
      </c>
      <c r="J1456" s="15" t="str">
        <f>VLOOKUP(A1456,sinap!$A$2:$R$9000,2,FALSE)</f>
        <v>H</v>
      </c>
      <c r="K1456" s="15" t="str">
        <f>VLOOKUP(A1456,sinap!$A$2:$R$9000,3,FALSE)</f>
        <v>VAQUILLA</v>
      </c>
      <c r="L1456" s="15" t="str">
        <f>VLOOKUP(A1456,sinap!$A$2:$R$9000,4,FALSE)</f>
        <v>ANGUS NEGRO</v>
      </c>
      <c r="M1456" s="15" t="str">
        <f>VLOOKUP(A1456,sinap!$A$2:$R$9000,5,FALSE)</f>
        <v>2 años 1 meses</v>
      </c>
      <c r="N1456" s="15" t="str">
        <f>VLOOKUP(A1456,sinap!$A$2:$R$9000,6,FALSE)</f>
        <v>15-12-2023</v>
      </c>
      <c r="O1456" s="15" t="str">
        <f>VLOOKUP(A1456,sinap!$A$2:$R$9000,7,FALSE)</f>
        <v>Vivo</v>
      </c>
      <c r="P1456" s="15" t="str">
        <f>VLOOKUP(A1456,sinap!$A$2:$R$9000,8,FALSE)</f>
        <v>11.1.01.1022</v>
      </c>
      <c r="Q1456" s="15" t="str">
        <f>VLOOKUP(A1456,sinap!$A$2:$R$9000,12,FALSE)</f>
        <v>11.1.01.0941</v>
      </c>
      <c r="R1456" s="15" t="str">
        <f>VLOOKUP(A1456,sinap!$A$2:$R$9000,16,FALSE)</f>
        <v>11.1.01.0893</v>
      </c>
      <c r="S1456" s="15" t="str">
        <f>VLOOKUP(A1456,sinap!$A$2:$Y$9000,20,FALSE)</f>
        <v>SI</v>
      </c>
      <c r="T1456" s="16">
        <v>45438</v>
      </c>
    </row>
    <row r="1457" spans="1:20" hidden="1" x14ac:dyDescent="0.25">
      <c r="A1457" s="15">
        <v>23323626</v>
      </c>
      <c r="C1457" s="15">
        <v>23323246</v>
      </c>
      <c r="I1457" s="16">
        <v>45969</v>
      </c>
      <c r="J1457" s="15" t="str">
        <f>VLOOKUP(A1457,sinap!$A$2:$R$9000,2,FALSE)</f>
        <v>H</v>
      </c>
      <c r="K1457" s="15" t="str">
        <f>VLOOKUP(A1457,sinap!$A$2:$R$9000,3,FALSE)</f>
        <v>VAQUILLA</v>
      </c>
      <c r="L1457" s="15" t="str">
        <f>VLOOKUP(A1457,sinap!$A$2:$R$9000,4,FALSE)</f>
        <v>ANGUS NEGRO</v>
      </c>
      <c r="M1457" s="15" t="str">
        <f>VLOOKUP(A1457,sinap!$A$2:$R$9000,5,FALSE)</f>
        <v>2 años 3 meses</v>
      </c>
      <c r="N1457" s="15" t="str">
        <f>VLOOKUP(A1457,sinap!$A$2:$R$9000,6,FALSE)</f>
        <v>15-10-2023</v>
      </c>
      <c r="O1457" s="15" t="str">
        <f>VLOOKUP(A1457,sinap!$A$2:$R$9000,7,FALSE)</f>
        <v>Vivo</v>
      </c>
      <c r="P1457" s="15" t="str">
        <f>VLOOKUP(A1457,sinap!$A$2:$R$9000,8,FALSE)</f>
        <v>11.1.01.1022</v>
      </c>
      <c r="Q1457" s="15" t="str">
        <f>VLOOKUP(A1457,sinap!$A$2:$R$9000,12,FALSE)</f>
        <v>11.1.01.0941</v>
      </c>
      <c r="R1457" s="15" t="str">
        <f>VLOOKUP(A1457,sinap!$A$2:$R$9000,16,FALSE)</f>
        <v>11.1.01.0893</v>
      </c>
      <c r="S1457" s="15" t="str">
        <f>VLOOKUP(A1457,sinap!$A$2:$Y$9000,20,FALSE)</f>
        <v>SI</v>
      </c>
    </row>
    <row r="1458" spans="1:20" hidden="1" x14ac:dyDescent="0.25">
      <c r="A1458" s="15">
        <v>23323627</v>
      </c>
      <c r="I1458" s="16">
        <v>45680</v>
      </c>
      <c r="J1458" s="15" t="str">
        <f>VLOOKUP(A1458,sinap!$A$2:$R$9000,2,FALSE)</f>
        <v>H</v>
      </c>
      <c r="K1458" s="15" t="str">
        <f>VLOOKUP(A1458,sinap!$A$2:$R$9000,3,FALSE)</f>
        <v>VACA</v>
      </c>
      <c r="L1458" s="15" t="str">
        <f>VLOOKUP(A1458,sinap!$A$2:$R$9000,4,FALSE)</f>
        <v>ANGUS NEGRO</v>
      </c>
      <c r="M1458" s="15" t="str">
        <f>VLOOKUP(A1458,sinap!$A$2:$R$9000,5,FALSE)</f>
        <v>3 años 0 meses</v>
      </c>
      <c r="N1458" s="15" t="str">
        <f>VLOOKUP(A1458,sinap!$A$2:$R$9000,6,FALSE)</f>
        <v>15-01-2023</v>
      </c>
      <c r="O1458" s="15" t="str">
        <f>VLOOKUP(A1458,sinap!$A$2:$R$9000,7,FALSE)</f>
        <v>Vivo</v>
      </c>
      <c r="P1458" s="15" t="str">
        <f>VLOOKUP(A1458,sinap!$A$2:$R$9000,8,FALSE)</f>
        <v>11.1.01.1022</v>
      </c>
      <c r="Q1458" s="15" t="str">
        <f>VLOOKUP(A1458,sinap!$A$2:$R$9000,12,FALSE)</f>
        <v>11.1.01.0941</v>
      </c>
      <c r="R1458" s="15" t="str">
        <f>VLOOKUP(A1458,sinap!$A$2:$R$9000,16,FALSE)</f>
        <v>11.1.01.1241</v>
      </c>
      <c r="S1458" s="15" t="str">
        <f>VLOOKUP(A1458,sinap!$A$2:$Y$9000,20,FALSE)</f>
        <v>NO</v>
      </c>
      <c r="T1458" s="16">
        <v>45452</v>
      </c>
    </row>
    <row r="1459" spans="1:20" hidden="1" x14ac:dyDescent="0.25">
      <c r="A1459" s="15">
        <v>23323630</v>
      </c>
      <c r="I1459" s="16">
        <v>45969</v>
      </c>
      <c r="J1459" s="15" t="str">
        <f>VLOOKUP(A1459,sinap!$A$2:$R$9000,2,FALSE)</f>
        <v>H</v>
      </c>
      <c r="K1459" s="15" t="str">
        <f>VLOOKUP(A1459,sinap!$A$2:$R$9000,3,FALSE)</f>
        <v>VAQUILLA</v>
      </c>
      <c r="L1459" s="15" t="str">
        <f>VLOOKUP(A1459,sinap!$A$2:$R$9000,4,FALSE)</f>
        <v>ANGUS NEGRO</v>
      </c>
      <c r="M1459" s="15" t="str">
        <f>VLOOKUP(A1459,sinap!$A$2:$R$9000,5,FALSE)</f>
        <v>1 años 9 meses</v>
      </c>
      <c r="N1459" s="15" t="str">
        <f>VLOOKUP(A1459,sinap!$A$2:$R$9000,6,FALSE)</f>
        <v>31-03-2024</v>
      </c>
      <c r="O1459" s="15" t="str">
        <f>VLOOKUP(A1459,sinap!$A$2:$R$9000,7,FALSE)</f>
        <v>Vivo</v>
      </c>
      <c r="P1459" s="15" t="str">
        <f>VLOOKUP(A1459,sinap!$A$2:$R$9000,8,FALSE)</f>
        <v>11.1.01.1022</v>
      </c>
      <c r="Q1459" s="15" t="str">
        <f>VLOOKUP(A1459,sinap!$A$2:$R$9000,12,FALSE)</f>
        <v>11.1.01.0941</v>
      </c>
      <c r="R1459" s="15" t="str">
        <f>VLOOKUP(A1459,sinap!$A$2:$R$9000,16,FALSE)</f>
        <v>11.1.01.1241</v>
      </c>
      <c r="S1459" s="15" t="str">
        <f>VLOOKUP(A1459,sinap!$A$2:$Y$9000,20,FALSE)</f>
        <v>SI</v>
      </c>
      <c r="T1459" s="16">
        <v>45459</v>
      </c>
    </row>
    <row r="1460" spans="1:20" hidden="1" x14ac:dyDescent="0.25">
      <c r="A1460" s="15">
        <v>23323631</v>
      </c>
      <c r="I1460" s="16">
        <v>45680</v>
      </c>
      <c r="J1460" s="15" t="str">
        <f>VLOOKUP(A1460,sinap!$A$2:$R$9000,2,FALSE)</f>
        <v>H</v>
      </c>
      <c r="K1460" s="15" t="str">
        <f>VLOOKUP(A1460,sinap!$A$2:$R$9000,3,FALSE)</f>
        <v>VAQUILLA</v>
      </c>
      <c r="L1460" s="15" t="str">
        <f>VLOOKUP(A1460,sinap!$A$2:$R$9000,4,FALSE)</f>
        <v>ANGUS NEGRO</v>
      </c>
      <c r="M1460" s="15" t="str">
        <f>VLOOKUP(A1460,sinap!$A$2:$R$9000,5,FALSE)</f>
        <v>1 años 9 meses</v>
      </c>
      <c r="N1460" s="15" t="str">
        <f>VLOOKUP(A1460,sinap!$A$2:$R$9000,6,FALSE)</f>
        <v>31-03-2024</v>
      </c>
      <c r="O1460" s="15" t="str">
        <f>VLOOKUP(A1460,sinap!$A$2:$R$9000,7,FALSE)</f>
        <v>Vivo</v>
      </c>
      <c r="P1460" s="15" t="str">
        <f>VLOOKUP(A1460,sinap!$A$2:$R$9000,8,FALSE)</f>
        <v>11.1.01.1022</v>
      </c>
      <c r="Q1460" s="15" t="str">
        <f>VLOOKUP(A1460,sinap!$A$2:$R$9000,12,FALSE)</f>
        <v>11.1.01.0941</v>
      </c>
      <c r="R1460" s="15" t="str">
        <f>VLOOKUP(A1460,sinap!$A$2:$R$9000,16,FALSE)</f>
        <v>11.1.01.1241</v>
      </c>
      <c r="S1460" s="15" t="str">
        <f>VLOOKUP(A1460,sinap!$A$2:$Y$9000,20,FALSE)</f>
        <v>SI</v>
      </c>
      <c r="T1460" s="16">
        <v>45459</v>
      </c>
    </row>
    <row r="1461" spans="1:20" hidden="1" x14ac:dyDescent="0.25">
      <c r="A1461" s="15">
        <v>23323636</v>
      </c>
      <c r="C1461" s="15">
        <v>16843085</v>
      </c>
      <c r="H1461" s="16">
        <v>45648</v>
      </c>
      <c r="I1461" s="16">
        <v>45966</v>
      </c>
      <c r="J1461" s="15" t="str">
        <f>VLOOKUP(A1461,sinap!$A$2:$R$9000,2,FALSE)</f>
        <v>H</v>
      </c>
      <c r="K1461" s="15" t="str">
        <f>VLOOKUP(A1461,sinap!$A$2:$R$9000,3,FALSE)</f>
        <v>VACA</v>
      </c>
      <c r="L1461" s="15" t="str">
        <f>VLOOKUP(A1461,sinap!$A$2:$R$9000,4,FALSE)</f>
        <v>ANGUS NEGRO</v>
      </c>
      <c r="M1461" s="15" t="str">
        <f>VLOOKUP(A1461,sinap!$A$2:$R$9000,5,FALSE)</f>
        <v>6 años 3 meses</v>
      </c>
      <c r="N1461" s="15" t="str">
        <f>VLOOKUP(A1461,sinap!$A$2:$R$9000,6,FALSE)</f>
        <v>30-09-2019</v>
      </c>
      <c r="O1461" s="15" t="str">
        <f>VLOOKUP(A1461,sinap!$A$2:$R$9000,7,FALSE)</f>
        <v>Vivo</v>
      </c>
      <c r="P1461" s="15" t="str">
        <f>VLOOKUP(A1461,sinap!$A$2:$R$9000,8,FALSE)</f>
        <v>11.1.01.2442</v>
      </c>
      <c r="Q1461" s="15" t="str">
        <f>VLOOKUP(A1461,sinap!$A$2:$R$9000,12,FALSE)</f>
        <v>11.1.01.0190</v>
      </c>
      <c r="R1461" s="15" t="str">
        <f>VLOOKUP(A1461,sinap!$A$2:$R$9000,16,FALSE)</f>
        <v>11.2.01.0053</v>
      </c>
      <c r="S1461" s="15" t="str">
        <f>VLOOKUP(A1461,sinap!$A$2:$Y$9000,20,FALSE)</f>
        <v>SI</v>
      </c>
    </row>
    <row r="1462" spans="1:20" hidden="1" x14ac:dyDescent="0.25">
      <c r="A1462" s="15">
        <v>23323637</v>
      </c>
      <c r="I1462" s="16">
        <v>45966</v>
      </c>
      <c r="J1462" s="15" t="str">
        <f>VLOOKUP(A1462,sinap!$A$2:$R$9000,2,FALSE)</f>
        <v>H</v>
      </c>
      <c r="K1462" s="15" t="str">
        <f>VLOOKUP(A1462,sinap!$A$2:$R$9000,3,FALSE)</f>
        <v>VACA</v>
      </c>
      <c r="L1462" s="15" t="str">
        <f>VLOOKUP(A1462,sinap!$A$2:$R$9000,4,FALSE)</f>
        <v>ANGUS NEGRO</v>
      </c>
      <c r="M1462" s="15" t="str">
        <f>VLOOKUP(A1462,sinap!$A$2:$R$9000,5,FALSE)</f>
        <v>4 años 1 meses</v>
      </c>
      <c r="N1462" s="15" t="str">
        <f>VLOOKUP(A1462,sinap!$A$2:$R$9000,6,FALSE)</f>
        <v>15-12-2021</v>
      </c>
      <c r="O1462" s="15" t="str">
        <f>VLOOKUP(A1462,sinap!$A$2:$R$9000,7,FALSE)</f>
        <v>Vivo</v>
      </c>
      <c r="P1462" s="15" t="str">
        <f>VLOOKUP(A1462,sinap!$A$2:$R$9000,8,FALSE)</f>
        <v>11.1.01.2442</v>
      </c>
      <c r="Q1462" s="15" t="str">
        <f>VLOOKUP(A1462,sinap!$A$2:$R$9000,12,FALSE)</f>
        <v>11.1.01.0190</v>
      </c>
      <c r="R1462" s="15" t="str">
        <f>VLOOKUP(A1462,sinap!$A$2:$R$9000,16,FALSE)</f>
        <v>11.1.01.1241</v>
      </c>
      <c r="S1462" s="15" t="str">
        <f>VLOOKUP(A1462,sinap!$A$2:$Y$9000,20,FALSE)</f>
        <v>NO</v>
      </c>
      <c r="T1462" s="16">
        <v>45774</v>
      </c>
    </row>
    <row r="1463" spans="1:20" hidden="1" x14ac:dyDescent="0.25">
      <c r="A1463" s="15">
        <v>23323640</v>
      </c>
      <c r="H1463" s="16">
        <v>45648</v>
      </c>
      <c r="I1463" s="16">
        <v>45671</v>
      </c>
      <c r="J1463" s="15" t="str">
        <f>VLOOKUP(A1463,sinap!$A$2:$R$9000,2,FALSE)</f>
        <v>H</v>
      </c>
      <c r="K1463" s="15" t="str">
        <f>VLOOKUP(A1463,sinap!$A$2:$R$9000,3,FALSE)</f>
        <v>VACA</v>
      </c>
      <c r="L1463" s="15" t="str">
        <f>VLOOKUP(A1463,sinap!$A$2:$R$9000,4,FALSE)</f>
        <v>ANGUS NEGRO</v>
      </c>
      <c r="M1463" s="15" t="str">
        <f>VLOOKUP(A1463,sinap!$A$2:$R$9000,5,FALSE)</f>
        <v>5 años 3 meses</v>
      </c>
      <c r="N1463" s="15" t="str">
        <f>VLOOKUP(A1463,sinap!$A$2:$R$9000,6,FALSE)</f>
        <v>30-09-2020</v>
      </c>
      <c r="O1463" s="15" t="str">
        <f>VLOOKUP(A1463,sinap!$A$2:$R$9000,7,FALSE)</f>
        <v>Vivo</v>
      </c>
      <c r="P1463" s="15" t="str">
        <f>VLOOKUP(A1463,sinap!$A$2:$R$9000,8,FALSE)</f>
        <v>11.1.01.1241</v>
      </c>
      <c r="Q1463" s="15" t="str">
        <f>VLOOKUP(A1463,sinap!$A$2:$R$9000,12,FALSE)</f>
        <v>11.2.01.0038</v>
      </c>
      <c r="R1463" s="15" t="str">
        <f>VLOOKUP(A1463,sinap!$A$2:$R$9000,16,FALSE)</f>
        <v>11.1.01.1241</v>
      </c>
      <c r="S1463" s="15" t="str">
        <f>VLOOKUP(A1463,sinap!$A$2:$Y$9000,20,FALSE)</f>
        <v>NO</v>
      </c>
      <c r="T1463" s="16">
        <v>45636</v>
      </c>
    </row>
    <row r="1464" spans="1:20" hidden="1" x14ac:dyDescent="0.25">
      <c r="A1464" s="15">
        <v>23323641</v>
      </c>
      <c r="C1464" s="15">
        <v>14717848</v>
      </c>
      <c r="H1464" s="16">
        <v>45648</v>
      </c>
      <c r="I1464" s="16">
        <v>45966</v>
      </c>
      <c r="J1464" s="15" t="str">
        <f>VLOOKUP(A1464,sinap!$A$2:$R$9000,2,FALSE)</f>
        <v>H</v>
      </c>
      <c r="K1464" s="15" t="str">
        <f>VLOOKUP(A1464,sinap!$A$2:$R$9000,3,FALSE)</f>
        <v>VACA</v>
      </c>
      <c r="L1464" s="15" t="str">
        <f>VLOOKUP(A1464,sinap!$A$2:$R$9000,4,FALSE)</f>
        <v>ANGUS NEGRO</v>
      </c>
      <c r="M1464" s="15" t="str">
        <f>VLOOKUP(A1464,sinap!$A$2:$R$9000,5,FALSE)</f>
        <v>9 años 3 meses</v>
      </c>
      <c r="N1464" s="15" t="str">
        <f>VLOOKUP(A1464,sinap!$A$2:$R$9000,6,FALSE)</f>
        <v>15-10-2016</v>
      </c>
      <c r="O1464" s="15" t="str">
        <f>VLOOKUP(A1464,sinap!$A$2:$R$9000,7,FALSE)</f>
        <v>Vivo</v>
      </c>
      <c r="P1464" s="15" t="str">
        <f>VLOOKUP(A1464,sinap!$A$2:$R$9000,8,FALSE)</f>
        <v>11.1.01.2442</v>
      </c>
      <c r="Q1464" s="15" t="str">
        <f>VLOOKUP(A1464,sinap!$A$2:$R$9000,12,FALSE)</f>
        <v>11.1.01.0190</v>
      </c>
      <c r="R1464" s="15" t="str">
        <f>VLOOKUP(A1464,sinap!$A$2:$R$9000,16,FALSE)</f>
        <v>11.2.01.2071</v>
      </c>
      <c r="S1464" s="15" t="str">
        <f>VLOOKUP(A1464,sinap!$A$2:$Y$9000,20,FALSE)</f>
        <v>SI</v>
      </c>
    </row>
    <row r="1465" spans="1:20" hidden="1" x14ac:dyDescent="0.25">
      <c r="A1465" s="15">
        <v>23323642</v>
      </c>
      <c r="C1465" s="15">
        <v>16843240</v>
      </c>
      <c r="J1465" s="15" t="str">
        <f>VLOOKUP(A1465,sinap!$A$2:$R$9000,2,FALSE)</f>
        <v>H</v>
      </c>
      <c r="K1465" s="15" t="str">
        <f>VLOOKUP(A1465,sinap!$A$2:$R$9000,3,FALSE)</f>
        <v>VACA</v>
      </c>
      <c r="L1465" s="15" t="str">
        <f>VLOOKUP(A1465,sinap!$A$2:$R$9000,4,FALSE)</f>
        <v>ANGUS NEGRO</v>
      </c>
      <c r="M1465" s="15" t="str">
        <f>VLOOKUP(A1465,sinap!$A$2:$R$9000,5,FALSE)</f>
        <v>7 años 4 meses</v>
      </c>
      <c r="N1465" s="15" t="str">
        <f>VLOOKUP(A1465,sinap!$A$2:$R$9000,6,FALSE)</f>
        <v>10-09-2018</v>
      </c>
      <c r="O1465" s="15" t="str">
        <f>VLOOKUP(A1465,sinap!$A$2:$R$9000,7,FALSE)</f>
        <v>Vivo</v>
      </c>
      <c r="P1465" s="15" t="str">
        <f>VLOOKUP(A1465,sinap!$A$2:$R$9000,8,FALSE)</f>
        <v>11.2.01.0038</v>
      </c>
      <c r="Q1465" s="15" t="str">
        <f>VLOOKUP(A1465,sinap!$A$2:$R$9000,12,FALSE)</f>
        <v>11.1.01.0893</v>
      </c>
      <c r="R1465" s="15" t="str">
        <f>VLOOKUP(A1465,sinap!$A$2:$R$9000,16,FALSE)</f>
        <v>11.1.01.0893</v>
      </c>
      <c r="S1465" s="15" t="str">
        <f>VLOOKUP(A1465,sinap!$A$2:$Y$9000,20,FALSE)</f>
        <v>SI</v>
      </c>
    </row>
    <row r="1466" spans="1:20" hidden="1" x14ac:dyDescent="0.25">
      <c r="A1466" s="15">
        <v>23323643</v>
      </c>
      <c r="C1466" s="15">
        <v>16843275</v>
      </c>
      <c r="H1466" s="16">
        <v>45297</v>
      </c>
      <c r="J1466" s="15" t="str">
        <f>VLOOKUP(A1466,sinap!$A$2:$R$9000,2,FALSE)</f>
        <v>H</v>
      </c>
      <c r="K1466" s="15" t="str">
        <f>VLOOKUP(A1466,sinap!$A$2:$R$9000,3,FALSE)</f>
        <v>VACA</v>
      </c>
      <c r="L1466" s="15" t="str">
        <f>VLOOKUP(A1466,sinap!$A$2:$R$9000,4,FALSE)</f>
        <v>ANGUS NEGRO</v>
      </c>
      <c r="M1466" s="15" t="str">
        <f>VLOOKUP(A1466,sinap!$A$2:$R$9000,5,FALSE)</f>
        <v>7 años 3 meses</v>
      </c>
      <c r="N1466" s="15" t="str">
        <f>VLOOKUP(A1466,sinap!$A$2:$R$9000,6,FALSE)</f>
        <v>30-09-2018</v>
      </c>
      <c r="O1466" s="15" t="str">
        <f>VLOOKUP(A1466,sinap!$A$2:$R$9000,7,FALSE)</f>
        <v>Vivo</v>
      </c>
      <c r="P1466" s="15" t="str">
        <f>VLOOKUP(A1466,sinap!$A$2:$R$9000,8,FALSE)</f>
        <v>11.1.01.0791</v>
      </c>
      <c r="Q1466" s="15" t="str">
        <f>VLOOKUP(A1466,sinap!$A$2:$R$9000,12,FALSE)</f>
        <v>11.1.01.0893</v>
      </c>
      <c r="R1466" s="15" t="str">
        <f>VLOOKUP(A1466,sinap!$A$2:$R$9000,16,FALSE)</f>
        <v>11.1.01.0893</v>
      </c>
      <c r="S1466" s="15" t="str">
        <f>VLOOKUP(A1466,sinap!$A$2:$Y$9000,20,FALSE)</f>
        <v>SI</v>
      </c>
    </row>
    <row r="1467" spans="1:20" hidden="1" x14ac:dyDescent="0.25">
      <c r="A1467" s="15">
        <v>23323644</v>
      </c>
      <c r="C1467" s="15">
        <v>14717758</v>
      </c>
      <c r="H1467" s="16">
        <v>45297</v>
      </c>
      <c r="J1467" s="15" t="str">
        <f>VLOOKUP(A1467,sinap!$A$2:$R$9000,2,FALSE)</f>
        <v>H</v>
      </c>
      <c r="K1467" s="15" t="str">
        <f>VLOOKUP(A1467,sinap!$A$2:$R$9000,3,FALSE)</f>
        <v>VACA</v>
      </c>
      <c r="L1467" s="15" t="str">
        <f>VLOOKUP(A1467,sinap!$A$2:$R$9000,4,FALSE)</f>
        <v>ANGUS NEGRO</v>
      </c>
      <c r="M1467" s="15" t="str">
        <f>VLOOKUP(A1467,sinap!$A$2:$R$9000,5,FALSE)</f>
        <v>9 años 3 meses</v>
      </c>
      <c r="N1467" s="15" t="str">
        <f>VLOOKUP(A1467,sinap!$A$2:$R$9000,6,FALSE)</f>
        <v>15-10-2016</v>
      </c>
      <c r="O1467" s="15" t="str">
        <f>VLOOKUP(A1467,sinap!$A$2:$R$9000,7,FALSE)</f>
        <v>Vivo</v>
      </c>
      <c r="P1467" s="15" t="str">
        <f>VLOOKUP(A1467,sinap!$A$2:$R$9000,8,FALSE)</f>
        <v>11.2.01.0038</v>
      </c>
      <c r="Q1467" s="15" t="str">
        <f>VLOOKUP(A1467,sinap!$A$2:$R$9000,12,FALSE)</f>
        <v>11.1.01.0893</v>
      </c>
      <c r="R1467" s="15" t="str">
        <f>VLOOKUP(A1467,sinap!$A$2:$R$9000,16,FALSE)</f>
        <v>11.1.01.0893</v>
      </c>
      <c r="S1467" s="15" t="str">
        <f>VLOOKUP(A1467,sinap!$A$2:$Y$9000,20,FALSE)</f>
        <v>SI</v>
      </c>
    </row>
    <row r="1468" spans="1:20" hidden="1" x14ac:dyDescent="0.25">
      <c r="A1468" s="15">
        <v>23323645</v>
      </c>
      <c r="C1468" s="15">
        <v>16843236</v>
      </c>
      <c r="J1468" s="15" t="str">
        <f>VLOOKUP(A1468,sinap!$A$2:$R$9000,2,FALSE)</f>
        <v>M</v>
      </c>
      <c r="K1468" s="15" t="str">
        <f>VLOOKUP(A1468,sinap!$A$2:$R$9000,3,FALSE)</f>
        <v>TORO</v>
      </c>
      <c r="L1468" s="15" t="str">
        <f>VLOOKUP(A1468,sinap!$A$2:$R$9000,4,FALSE)</f>
        <v>ANGUS NEGRO</v>
      </c>
      <c r="M1468" s="15" t="str">
        <f>VLOOKUP(A1468,sinap!$A$2:$R$9000,5,FALSE)</f>
        <v>7 años 4 meses</v>
      </c>
      <c r="N1468" s="15" t="str">
        <f>VLOOKUP(A1468,sinap!$A$2:$R$9000,6,FALSE)</f>
        <v>10-09-2018</v>
      </c>
      <c r="O1468" s="15" t="str">
        <f>VLOOKUP(A1468,sinap!$A$2:$R$9000,7,FALSE)</f>
        <v>Vivo</v>
      </c>
      <c r="P1468" s="15" t="str">
        <f>VLOOKUP(A1468,sinap!$A$2:$R$9000,8,FALSE)</f>
        <v>11.1.01.0791</v>
      </c>
      <c r="Q1468" s="15" t="str">
        <f>VLOOKUP(A1468,sinap!$A$2:$R$9000,12,FALSE)</f>
        <v>11.1.01.0893</v>
      </c>
      <c r="R1468" s="15" t="str">
        <f>VLOOKUP(A1468,sinap!$A$2:$R$9000,16,FALSE)</f>
        <v>11.1.01.0893</v>
      </c>
      <c r="S1468" s="15" t="str">
        <f>VLOOKUP(A1468,sinap!$A$2:$Y$9000,20,FALSE)</f>
        <v>SI</v>
      </c>
      <c r="T1468" s="16">
        <v>45662</v>
      </c>
    </row>
    <row r="1469" spans="1:20" hidden="1" x14ac:dyDescent="0.25">
      <c r="A1469" s="15">
        <v>23323646</v>
      </c>
      <c r="C1469" s="15">
        <v>16843018</v>
      </c>
      <c r="H1469" s="16">
        <v>45297</v>
      </c>
      <c r="J1469" s="15" t="str">
        <f>VLOOKUP(A1469,sinap!$A$2:$R$9000,2,FALSE)</f>
        <v>H</v>
      </c>
      <c r="K1469" s="15" t="str">
        <f>VLOOKUP(A1469,sinap!$A$2:$R$9000,3,FALSE)</f>
        <v>VACA</v>
      </c>
      <c r="L1469" s="15" t="str">
        <f>VLOOKUP(A1469,sinap!$A$2:$R$9000,4,FALSE)</f>
        <v>ANGUS NEGRO</v>
      </c>
      <c r="M1469" s="15" t="str">
        <f>VLOOKUP(A1469,sinap!$A$2:$R$9000,5,FALSE)</f>
        <v>7 años 3 meses</v>
      </c>
      <c r="N1469" s="15" t="str">
        <f>VLOOKUP(A1469,sinap!$A$2:$R$9000,6,FALSE)</f>
        <v>20-09-2018</v>
      </c>
      <c r="O1469" s="15" t="str">
        <f>VLOOKUP(A1469,sinap!$A$2:$R$9000,7,FALSE)</f>
        <v>Vivo</v>
      </c>
      <c r="P1469" s="15" t="str">
        <f>VLOOKUP(A1469,sinap!$A$2:$R$9000,8,FALSE)</f>
        <v>11.1.01.0791</v>
      </c>
      <c r="Q1469" s="15" t="str">
        <f>VLOOKUP(A1469,sinap!$A$2:$R$9000,12,FALSE)</f>
        <v>11.1.01.0893</v>
      </c>
      <c r="R1469" s="15" t="str">
        <f>VLOOKUP(A1469,sinap!$A$2:$R$9000,16,FALSE)</f>
        <v>11.1.01.1241</v>
      </c>
      <c r="S1469" s="15" t="str">
        <f>VLOOKUP(A1469,sinap!$A$2:$Y$9000,20,FALSE)</f>
        <v>SI</v>
      </c>
      <c r="T1469" s="16">
        <v>45636</v>
      </c>
    </row>
    <row r="1470" spans="1:20" hidden="1" x14ac:dyDescent="0.25">
      <c r="A1470" s="15">
        <v>23323647</v>
      </c>
      <c r="J1470" s="15" t="str">
        <f>VLOOKUP(A1470,sinap!$A$2:$R$9000,2,FALSE)</f>
        <v>H</v>
      </c>
      <c r="K1470" s="15" t="str">
        <f>VLOOKUP(A1470,sinap!$A$2:$R$9000,3,FALSE)</f>
        <v>VACA</v>
      </c>
      <c r="L1470" s="15" t="str">
        <f>VLOOKUP(A1470,sinap!$A$2:$R$9000,4,FALSE)</f>
        <v>ANGUS NEGRO</v>
      </c>
      <c r="M1470" s="15" t="str">
        <f>VLOOKUP(A1470,sinap!$A$2:$R$9000,5,FALSE)</f>
        <v>7 años 3 meses</v>
      </c>
      <c r="N1470" s="15" t="str">
        <f>VLOOKUP(A1470,sinap!$A$2:$R$9000,6,FALSE)</f>
        <v>20-09-2018</v>
      </c>
      <c r="O1470" s="15" t="str">
        <f>VLOOKUP(A1470,sinap!$A$2:$R$9000,7,FALSE)</f>
        <v>Vivo</v>
      </c>
      <c r="P1470" s="15" t="str">
        <f>VLOOKUP(A1470,sinap!$A$2:$R$9000,8,FALSE)</f>
        <v>11.2.01.0038</v>
      </c>
      <c r="Q1470" s="15" t="str">
        <f>VLOOKUP(A1470,sinap!$A$2:$R$9000,12,FALSE)</f>
        <v>11.1.01.0893</v>
      </c>
      <c r="R1470" s="15" t="str">
        <f>VLOOKUP(A1470,sinap!$A$2:$R$9000,16,FALSE)</f>
        <v>11.1.01.0893</v>
      </c>
      <c r="S1470" s="15" t="str">
        <f>VLOOKUP(A1470,sinap!$A$2:$Y$9000,20,FALSE)</f>
        <v>SI</v>
      </c>
    </row>
    <row r="1471" spans="1:20" hidden="1" x14ac:dyDescent="0.25">
      <c r="A1471" s="15">
        <v>23323648</v>
      </c>
      <c r="J1471" s="15" t="str">
        <f>VLOOKUP(A1471,sinap!$A$2:$R$9000,2,FALSE)</f>
        <v>M</v>
      </c>
      <c r="K1471" s="15" t="str">
        <f>VLOOKUP(A1471,sinap!$A$2:$R$9000,3,FALSE)</f>
        <v>BUEY</v>
      </c>
      <c r="L1471" s="15" t="str">
        <f>VLOOKUP(A1471,sinap!$A$2:$R$9000,4,FALSE)</f>
        <v>ANGUS NEGRO</v>
      </c>
      <c r="M1471" s="15" t="str">
        <f>VLOOKUP(A1471,sinap!$A$2:$R$9000,5,FALSE)</f>
        <v>6 años 2 meses</v>
      </c>
      <c r="N1471" s="15" t="str">
        <f>VLOOKUP(A1471,sinap!$A$2:$R$9000,6,FALSE)</f>
        <v>01-11-2019</v>
      </c>
      <c r="O1471" s="15" t="str">
        <f>VLOOKUP(A1471,sinap!$A$2:$R$9000,7,FALSE)</f>
        <v>Vivo</v>
      </c>
      <c r="P1471" s="15" t="str">
        <f>VLOOKUP(A1471,sinap!$A$2:$R$9000,8,FALSE)</f>
        <v>11.1.01.2442</v>
      </c>
      <c r="Q1471" s="15" t="str">
        <f>VLOOKUP(A1471,sinap!$A$2:$R$9000,12,FALSE)</f>
        <v>11.1.01.0190</v>
      </c>
      <c r="R1471" s="15" t="str">
        <f>VLOOKUP(A1471,sinap!$A$2:$R$9000,16,FALSE)</f>
        <v>11.1.01.0893</v>
      </c>
      <c r="S1471" s="15" t="str">
        <f>VLOOKUP(A1471,sinap!$A$2:$Y$9000,20,FALSE)</f>
        <v>NO</v>
      </c>
      <c r="T1471" s="16">
        <v>45662</v>
      </c>
    </row>
    <row r="1472" spans="1:20" hidden="1" x14ac:dyDescent="0.25">
      <c r="A1472" s="15">
        <v>23323649</v>
      </c>
      <c r="B1472" s="15">
        <v>2636171</v>
      </c>
      <c r="H1472" s="16">
        <v>45636</v>
      </c>
      <c r="J1472" s="15" t="str">
        <f>VLOOKUP(A1472,sinap!$A$2:$R$9000,2,FALSE)</f>
        <v>M</v>
      </c>
      <c r="K1472" s="15" t="str">
        <f>VLOOKUP(A1472,sinap!$A$2:$R$9000,3,FALSE)</f>
        <v>TORO</v>
      </c>
      <c r="L1472" s="15" t="str">
        <f>VLOOKUP(A1472,sinap!$A$2:$R$9000,4,FALSE)</f>
        <v>ANGUS NEGRO</v>
      </c>
      <c r="M1472" s="15" t="str">
        <f>VLOOKUP(A1472,sinap!$A$2:$R$9000,5,FALSE)</f>
        <v>6 años 2 meses</v>
      </c>
      <c r="N1472" s="15" t="str">
        <f>VLOOKUP(A1472,sinap!$A$2:$R$9000,6,FALSE)</f>
        <v>01-11-2019</v>
      </c>
      <c r="O1472" s="15" t="str">
        <f>VLOOKUP(A1472,sinap!$A$2:$R$9000,7,FALSE)</f>
        <v>Vivo</v>
      </c>
      <c r="P1472" s="15" t="str">
        <f>VLOOKUP(A1472,sinap!$A$2:$R$9000,8,FALSE)</f>
        <v>11.2.01.0038</v>
      </c>
      <c r="Q1472" s="15" t="str">
        <f>VLOOKUP(A1472,sinap!$A$2:$R$9000,12,FALSE)</f>
        <v>11.1.01.0893</v>
      </c>
      <c r="R1472" s="15" t="str">
        <f>VLOOKUP(A1472,sinap!$A$2:$R$9000,16,FALSE)</f>
        <v>11.1.01.1241</v>
      </c>
      <c r="S1472" s="15" t="str">
        <f>VLOOKUP(A1472,sinap!$A$2:$Y$9000,20,FALSE)</f>
        <v>NO</v>
      </c>
      <c r="T1472" s="16">
        <v>45636</v>
      </c>
    </row>
    <row r="1473" spans="1:20" hidden="1" x14ac:dyDescent="0.25">
      <c r="A1473" s="15">
        <v>23323650</v>
      </c>
      <c r="B1473" s="15">
        <v>2636124</v>
      </c>
      <c r="C1473" s="15">
        <v>15417634</v>
      </c>
      <c r="I1473" s="16">
        <v>45965</v>
      </c>
      <c r="J1473" s="15" t="str">
        <f>VLOOKUP(A1473,sinap!$A$2:$R$9000,2,FALSE)</f>
        <v>M</v>
      </c>
      <c r="K1473" s="15" t="str">
        <f>VLOOKUP(A1473,sinap!$A$2:$R$9000,3,FALSE)</f>
        <v>TORO</v>
      </c>
      <c r="L1473" s="15" t="str">
        <f>VLOOKUP(A1473,sinap!$A$2:$R$9000,4,FALSE)</f>
        <v>ANGUS NEGRO</v>
      </c>
      <c r="M1473" s="15" t="str">
        <f>VLOOKUP(A1473,sinap!$A$2:$R$9000,5,FALSE)</f>
        <v>8 años 2 meses</v>
      </c>
      <c r="N1473" s="15" t="str">
        <f>VLOOKUP(A1473,sinap!$A$2:$R$9000,6,FALSE)</f>
        <v>07-11-2017</v>
      </c>
      <c r="O1473" s="15" t="str">
        <f>VLOOKUP(A1473,sinap!$A$2:$R$9000,7,FALSE)</f>
        <v>Vivo</v>
      </c>
      <c r="P1473" s="15" t="str">
        <f>VLOOKUP(A1473,sinap!$A$2:$R$9000,8,FALSE)</f>
        <v>11.1.01.2442</v>
      </c>
      <c r="Q1473" s="15" t="str">
        <f>VLOOKUP(A1473,sinap!$A$2:$R$9000,12,FALSE)</f>
        <v>11.1.01.0190</v>
      </c>
      <c r="R1473" s="15" t="str">
        <f>VLOOKUP(A1473,sinap!$A$2:$R$9000,16,FALSE)</f>
        <v>11.2.01.0251</v>
      </c>
      <c r="S1473" s="15" t="str">
        <f>VLOOKUP(A1473,sinap!$A$2:$Y$9000,20,FALSE)</f>
        <v>SI</v>
      </c>
    </row>
    <row r="1474" spans="1:20" hidden="1" x14ac:dyDescent="0.25">
      <c r="A1474" s="15">
        <v>23323651</v>
      </c>
      <c r="B1474" s="15">
        <v>2636116</v>
      </c>
      <c r="C1474" s="15">
        <v>19050220</v>
      </c>
      <c r="J1474" s="15" t="str">
        <f>VLOOKUP(A1474,sinap!$A$2:$R$9000,2,FALSE)</f>
        <v>M</v>
      </c>
      <c r="K1474" s="15" t="str">
        <f>VLOOKUP(A1474,sinap!$A$2:$R$9000,3,FALSE)</f>
        <v>BUEY</v>
      </c>
      <c r="L1474" s="15" t="str">
        <f>VLOOKUP(A1474,sinap!$A$2:$R$9000,4,FALSE)</f>
        <v>ANGUS NEGRO</v>
      </c>
      <c r="M1474" s="15" t="str">
        <f>VLOOKUP(A1474,sinap!$A$2:$R$9000,5,FALSE)</f>
        <v>12 años 3 meses</v>
      </c>
      <c r="N1474" s="15" t="str">
        <f>VLOOKUP(A1474,sinap!$A$2:$R$9000,6,FALSE)</f>
        <v>10-10-2013</v>
      </c>
      <c r="O1474" s="15" t="str">
        <f>VLOOKUP(A1474,sinap!$A$2:$R$9000,7,FALSE)</f>
        <v>Vivo</v>
      </c>
      <c r="P1474" s="15" t="str">
        <f>VLOOKUP(A1474,sinap!$A$2:$R$9000,8,FALSE)</f>
        <v>11.1.01.0791</v>
      </c>
      <c r="Q1474" s="15" t="str">
        <f>VLOOKUP(A1474,sinap!$A$2:$R$9000,12,FALSE)</f>
        <v>11.1.01.0893</v>
      </c>
      <c r="R1474" s="15" t="str">
        <f>VLOOKUP(A1474,sinap!$A$2:$R$9000,16,FALSE)</f>
        <v>11.1.01.0893</v>
      </c>
      <c r="S1474" s="15" t="str">
        <f>VLOOKUP(A1474,sinap!$A$2:$Y$9000,20,FALSE)</f>
        <v>NO</v>
      </c>
    </row>
    <row r="1475" spans="1:20" hidden="1" x14ac:dyDescent="0.25">
      <c r="A1475" s="15">
        <v>23323653</v>
      </c>
      <c r="C1475" s="15">
        <v>18943177</v>
      </c>
      <c r="H1475" s="16">
        <v>45648</v>
      </c>
      <c r="I1475" s="16">
        <v>45965</v>
      </c>
      <c r="J1475" s="15" t="str">
        <f>VLOOKUP(A1475,sinap!$A$2:$R$9000,2,FALSE)</f>
        <v>H</v>
      </c>
      <c r="K1475" s="15" t="str">
        <f>VLOOKUP(A1475,sinap!$A$2:$R$9000,3,FALSE)</f>
        <v>VACA</v>
      </c>
      <c r="L1475" s="15" t="str">
        <f>VLOOKUP(A1475,sinap!$A$2:$R$9000,4,FALSE)</f>
        <v>ANGUS ROJO</v>
      </c>
      <c r="M1475" s="15" t="str">
        <f>VLOOKUP(A1475,sinap!$A$2:$R$9000,5,FALSE)</f>
        <v>16 años 4 meses</v>
      </c>
      <c r="N1475" s="15" t="str">
        <f>VLOOKUP(A1475,sinap!$A$2:$R$9000,6,FALSE)</f>
        <v>30-08-2009</v>
      </c>
      <c r="O1475" s="15" t="str">
        <f>VLOOKUP(A1475,sinap!$A$2:$R$9000,7,FALSE)</f>
        <v>Vivo</v>
      </c>
      <c r="P1475" s="15" t="str">
        <f>VLOOKUP(A1475,sinap!$A$2:$R$9000,8,FALSE)</f>
        <v>11.1.01.2442</v>
      </c>
      <c r="Q1475" s="15" t="str">
        <f>VLOOKUP(A1475,sinap!$A$2:$R$9000,12,FALSE)</f>
        <v>11.1.01.0190</v>
      </c>
      <c r="R1475" s="15" t="str">
        <f>VLOOKUP(A1475,sinap!$A$2:$R$9000,16,FALSE)</f>
        <v>11.1.01.0790</v>
      </c>
      <c r="S1475" s="15" t="str">
        <f>VLOOKUP(A1475,sinap!$A$2:$Y$9000,20,FALSE)</f>
        <v>SI</v>
      </c>
    </row>
    <row r="1476" spans="1:20" hidden="1" x14ac:dyDescent="0.25">
      <c r="A1476" s="15">
        <v>23323657</v>
      </c>
      <c r="J1476" s="15" t="str">
        <f>VLOOKUP(A1476,sinap!$A$2:$R$9000,2,FALSE)</f>
        <v>H</v>
      </c>
      <c r="K1476" s="15" t="str">
        <f>VLOOKUP(A1476,sinap!$A$2:$R$9000,3,FALSE)</f>
        <v>VACA</v>
      </c>
      <c r="L1476" s="15" t="str">
        <f>VLOOKUP(A1476,sinap!$A$2:$R$9000,4,FALSE)</f>
        <v>ANGUS NEGRO</v>
      </c>
      <c r="M1476" s="15" t="str">
        <f>VLOOKUP(A1476,sinap!$A$2:$R$9000,5,FALSE)</f>
        <v>6 años 2 meses</v>
      </c>
      <c r="N1476" s="15" t="str">
        <f>VLOOKUP(A1476,sinap!$A$2:$R$9000,6,FALSE)</f>
        <v>01-11-2019</v>
      </c>
      <c r="O1476" s="15" t="str">
        <f>VLOOKUP(A1476,sinap!$A$2:$R$9000,7,FALSE)</f>
        <v>Vivo</v>
      </c>
      <c r="P1476" s="15" t="str">
        <f>VLOOKUP(A1476,sinap!$A$2:$R$9000,8,FALSE)</f>
        <v>11.1.01.0791</v>
      </c>
      <c r="Q1476" s="15" t="str">
        <f>VLOOKUP(A1476,sinap!$A$2:$R$9000,12,FALSE)</f>
        <v>11.1.01.0893</v>
      </c>
      <c r="R1476" s="15" t="str">
        <f>VLOOKUP(A1476,sinap!$A$2:$R$9000,16,FALSE)</f>
        <v>11.1.01.0893</v>
      </c>
      <c r="S1476" s="15" t="str">
        <f>VLOOKUP(A1476,sinap!$A$2:$Y$9000,20,FALSE)</f>
        <v>NO</v>
      </c>
      <c r="T1476" s="16">
        <v>45674</v>
      </c>
    </row>
    <row r="1477" spans="1:20" hidden="1" x14ac:dyDescent="0.25">
      <c r="A1477" s="15">
        <v>23323658</v>
      </c>
      <c r="J1477" s="15" t="str">
        <f>VLOOKUP(A1477,sinap!$A$2:$R$9000,2,FALSE)</f>
        <v>H</v>
      </c>
      <c r="K1477" s="15" t="str">
        <f>VLOOKUP(A1477,sinap!$A$2:$R$9000,3,FALSE)</f>
        <v>VACA</v>
      </c>
      <c r="L1477" s="15" t="str">
        <f>VLOOKUP(A1477,sinap!$A$2:$R$9000,4,FALSE)</f>
        <v>ANGUS NEGRO</v>
      </c>
      <c r="M1477" s="15" t="str">
        <f>VLOOKUP(A1477,sinap!$A$2:$R$9000,5,FALSE)</f>
        <v>6 años 2 meses</v>
      </c>
      <c r="N1477" s="15" t="str">
        <f>VLOOKUP(A1477,sinap!$A$2:$R$9000,6,FALSE)</f>
        <v>01-11-2019</v>
      </c>
      <c r="O1477" s="15" t="str">
        <f>VLOOKUP(A1477,sinap!$A$2:$R$9000,7,FALSE)</f>
        <v>Vivo</v>
      </c>
      <c r="P1477" s="15" t="str">
        <f>VLOOKUP(A1477,sinap!$A$2:$R$9000,8,FALSE)</f>
        <v>11.1.01.0791</v>
      </c>
      <c r="Q1477" s="15" t="str">
        <f>VLOOKUP(A1477,sinap!$A$2:$R$9000,12,FALSE)</f>
        <v>11.1.01.0893</v>
      </c>
      <c r="R1477" s="15" t="str">
        <f>VLOOKUP(A1477,sinap!$A$2:$R$9000,16,FALSE)</f>
        <v>11.1.01.0893</v>
      </c>
      <c r="S1477" s="15" t="str">
        <f>VLOOKUP(A1477,sinap!$A$2:$Y$9000,20,FALSE)</f>
        <v>NO</v>
      </c>
      <c r="T1477" s="16">
        <v>45674</v>
      </c>
    </row>
    <row r="1478" spans="1:20" hidden="1" x14ac:dyDescent="0.25">
      <c r="A1478" s="15">
        <v>23323659</v>
      </c>
      <c r="J1478" s="15" t="str">
        <f>VLOOKUP(A1478,sinap!$A$2:$R$9000,2,FALSE)</f>
        <v>H</v>
      </c>
      <c r="K1478" s="15" t="str">
        <f>VLOOKUP(A1478,sinap!$A$2:$R$9000,3,FALSE)</f>
        <v>VACA</v>
      </c>
      <c r="L1478" s="15" t="str">
        <f>VLOOKUP(A1478,sinap!$A$2:$R$9000,4,FALSE)</f>
        <v>ANGUS ROJO</v>
      </c>
      <c r="M1478" s="15" t="str">
        <f>VLOOKUP(A1478,sinap!$A$2:$R$9000,5,FALSE)</f>
        <v>6 años 3 meses</v>
      </c>
      <c r="N1478" s="15" t="str">
        <f>VLOOKUP(A1478,sinap!$A$2:$R$9000,6,FALSE)</f>
        <v>30-09-2019</v>
      </c>
      <c r="O1478" s="15" t="str">
        <f>VLOOKUP(A1478,sinap!$A$2:$R$9000,7,FALSE)</f>
        <v>Vivo</v>
      </c>
      <c r="P1478" s="15" t="str">
        <f>VLOOKUP(A1478,sinap!$A$2:$R$9000,8,FALSE)</f>
        <v>11.1.01.0791</v>
      </c>
      <c r="Q1478" s="15" t="str">
        <f>VLOOKUP(A1478,sinap!$A$2:$R$9000,12,FALSE)</f>
        <v>11.1.01.0893</v>
      </c>
      <c r="R1478" s="15" t="str">
        <f>VLOOKUP(A1478,sinap!$A$2:$R$9000,16,FALSE)</f>
        <v>11.1.01.0893</v>
      </c>
      <c r="S1478" s="15" t="str">
        <f>VLOOKUP(A1478,sinap!$A$2:$Y$9000,20,FALSE)</f>
        <v>NO</v>
      </c>
      <c r="T1478" s="16">
        <v>45674</v>
      </c>
    </row>
    <row r="1479" spans="1:20" hidden="1" x14ac:dyDescent="0.25">
      <c r="A1479" s="15">
        <v>23323661</v>
      </c>
      <c r="J1479" s="15" t="str">
        <f>VLOOKUP(A1479,sinap!$A$2:$R$9000,2,FALSE)</f>
        <v>H</v>
      </c>
      <c r="K1479" s="15" t="str">
        <f>VLOOKUP(A1479,sinap!$A$2:$R$9000,3,FALSE)</f>
        <v>VACA</v>
      </c>
      <c r="L1479" s="15" t="str">
        <f>VLOOKUP(A1479,sinap!$A$2:$R$9000,4,FALSE)</f>
        <v>ANGUS NEGRO</v>
      </c>
      <c r="M1479" s="15" t="str">
        <f>VLOOKUP(A1479,sinap!$A$2:$R$9000,5,FALSE)</f>
        <v>6 años 2 meses</v>
      </c>
      <c r="N1479" s="15" t="str">
        <f>VLOOKUP(A1479,sinap!$A$2:$R$9000,6,FALSE)</f>
        <v>20-10-2019</v>
      </c>
      <c r="O1479" s="15" t="str">
        <f>VLOOKUP(A1479,sinap!$A$2:$R$9000,7,FALSE)</f>
        <v>Vivo</v>
      </c>
      <c r="P1479" s="15" t="str">
        <f>VLOOKUP(A1479,sinap!$A$2:$R$9000,8,FALSE)</f>
        <v>11.2.01.0038</v>
      </c>
      <c r="Q1479" s="15" t="str">
        <f>VLOOKUP(A1479,sinap!$A$2:$R$9000,12,FALSE)</f>
        <v>11.1.01.0893</v>
      </c>
      <c r="R1479" s="15" t="str">
        <f>VLOOKUP(A1479,sinap!$A$2:$R$9000,16,FALSE)</f>
        <v>11.1.01.0893</v>
      </c>
      <c r="S1479" s="15" t="str">
        <f>VLOOKUP(A1479,sinap!$A$2:$Y$9000,20,FALSE)</f>
        <v>NO</v>
      </c>
      <c r="T1479" s="16">
        <v>45674</v>
      </c>
    </row>
    <row r="1480" spans="1:20" hidden="1" x14ac:dyDescent="0.25">
      <c r="A1480" s="15">
        <v>23323662</v>
      </c>
      <c r="C1480" s="15">
        <v>16843299</v>
      </c>
      <c r="J1480" s="15" t="str">
        <f>VLOOKUP(A1480,sinap!$A$2:$R$9000,2,FALSE)</f>
        <v>H</v>
      </c>
      <c r="K1480" s="15" t="str">
        <f>VLOOKUP(A1480,sinap!$A$2:$R$9000,3,FALSE)</f>
        <v>VACA</v>
      </c>
      <c r="L1480" s="15" t="str">
        <f>VLOOKUP(A1480,sinap!$A$2:$R$9000,4,FALSE)</f>
        <v>ANGUS NEGRO</v>
      </c>
      <c r="M1480" s="15" t="str">
        <f>VLOOKUP(A1480,sinap!$A$2:$R$9000,5,FALSE)</f>
        <v>7 años 3 meses</v>
      </c>
      <c r="N1480" s="15" t="str">
        <f>VLOOKUP(A1480,sinap!$A$2:$R$9000,6,FALSE)</f>
        <v>30-09-2018</v>
      </c>
      <c r="O1480" s="15" t="str">
        <f>VLOOKUP(A1480,sinap!$A$2:$R$9000,7,FALSE)</f>
        <v>Vivo</v>
      </c>
      <c r="P1480" s="15" t="str">
        <f>VLOOKUP(A1480,sinap!$A$2:$R$9000,8,FALSE)</f>
        <v>11.1.01.0791</v>
      </c>
      <c r="Q1480" s="15" t="str">
        <f>VLOOKUP(A1480,sinap!$A$2:$R$9000,12,FALSE)</f>
        <v>11.1.01.0893</v>
      </c>
      <c r="R1480" s="15" t="str">
        <f>VLOOKUP(A1480,sinap!$A$2:$R$9000,16,FALSE)</f>
        <v>11.1.01.0893</v>
      </c>
      <c r="S1480" s="15" t="str">
        <f>VLOOKUP(A1480,sinap!$A$2:$Y$9000,20,FALSE)</f>
        <v>SI</v>
      </c>
    </row>
    <row r="1481" spans="1:20" hidden="1" x14ac:dyDescent="0.25">
      <c r="A1481" s="15">
        <v>23323663</v>
      </c>
      <c r="C1481" s="15">
        <v>16843492</v>
      </c>
      <c r="J1481" s="15" t="str">
        <f>VLOOKUP(A1481,sinap!$A$2:$R$9000,2,FALSE)</f>
        <v>H</v>
      </c>
      <c r="K1481" s="15" t="str">
        <f>VLOOKUP(A1481,sinap!$A$2:$R$9000,3,FALSE)</f>
        <v>VACA</v>
      </c>
      <c r="L1481" s="15" t="str">
        <f>VLOOKUP(A1481,sinap!$A$2:$R$9000,4,FALSE)</f>
        <v>ANGUS NEGRO</v>
      </c>
      <c r="M1481" s="15" t="str">
        <f>VLOOKUP(A1481,sinap!$A$2:$R$9000,5,FALSE)</f>
        <v>7 años 4 meses</v>
      </c>
      <c r="N1481" s="15" t="str">
        <f>VLOOKUP(A1481,sinap!$A$2:$R$9000,6,FALSE)</f>
        <v>15-09-2018</v>
      </c>
      <c r="O1481" s="15" t="str">
        <f>VLOOKUP(A1481,sinap!$A$2:$R$9000,7,FALSE)</f>
        <v>Vivo</v>
      </c>
      <c r="P1481" s="15" t="str">
        <f>VLOOKUP(A1481,sinap!$A$2:$R$9000,8,FALSE)</f>
        <v>11.1.01.0791</v>
      </c>
      <c r="Q1481" s="15" t="str">
        <f>VLOOKUP(A1481,sinap!$A$2:$R$9000,12,FALSE)</f>
        <v>11.1.01.0893</v>
      </c>
      <c r="R1481" s="15" t="str">
        <f>VLOOKUP(A1481,sinap!$A$2:$R$9000,16,FALSE)</f>
        <v>11.1.01.0893</v>
      </c>
      <c r="S1481" s="15" t="str">
        <f>VLOOKUP(A1481,sinap!$A$2:$Y$9000,20,FALSE)</f>
        <v>SI</v>
      </c>
    </row>
    <row r="1482" spans="1:20" hidden="1" x14ac:dyDescent="0.25">
      <c r="A1482" s="15">
        <v>23323664</v>
      </c>
      <c r="J1482" s="15" t="str">
        <f>VLOOKUP(A1482,sinap!$A$2:$R$9000,2,FALSE)</f>
        <v>H</v>
      </c>
      <c r="K1482" s="15" t="str">
        <f>VLOOKUP(A1482,sinap!$A$2:$R$9000,3,FALSE)</f>
        <v>VACA</v>
      </c>
      <c r="L1482" s="15" t="str">
        <f>VLOOKUP(A1482,sinap!$A$2:$R$9000,4,FALSE)</f>
        <v>ANGUS NEGRO</v>
      </c>
      <c r="M1482" s="15" t="str">
        <f>VLOOKUP(A1482,sinap!$A$2:$R$9000,5,FALSE)</f>
        <v>4 años 1 meses</v>
      </c>
      <c r="N1482" s="15" t="str">
        <f>VLOOKUP(A1482,sinap!$A$2:$R$9000,6,FALSE)</f>
        <v>15-12-2021</v>
      </c>
      <c r="O1482" s="15" t="str">
        <f>VLOOKUP(A1482,sinap!$A$2:$R$9000,7,FALSE)</f>
        <v>Vivo</v>
      </c>
      <c r="P1482" s="15" t="str">
        <f>VLOOKUP(A1482,sinap!$A$2:$R$9000,8,FALSE)</f>
        <v>11.1.01.1241</v>
      </c>
      <c r="Q1482" s="15" t="str">
        <f>VLOOKUP(A1482,sinap!$A$2:$R$9000,12,FALSE)</f>
        <v>Sin Movimiento</v>
      </c>
      <c r="R1482" s="15" t="str">
        <f>VLOOKUP(A1482,sinap!$A$2:$R$9000,16,FALSE)</f>
        <v>11.1.01.1241</v>
      </c>
      <c r="S1482" s="15" t="str">
        <f>VLOOKUP(A1482,sinap!$A$2:$Y$9000,20,FALSE)</f>
        <v>NO</v>
      </c>
      <c r="T1482" s="16">
        <v>45773</v>
      </c>
    </row>
    <row r="1483" spans="1:20" hidden="1" x14ac:dyDescent="0.25">
      <c r="A1483" s="15">
        <v>23323666</v>
      </c>
      <c r="C1483" s="15">
        <v>15661292</v>
      </c>
      <c r="H1483" s="16">
        <v>45430</v>
      </c>
      <c r="I1483" s="16">
        <v>45966</v>
      </c>
      <c r="J1483" s="15" t="str">
        <f>VLOOKUP(A1483,sinap!$A$2:$R$9000,2,FALSE)</f>
        <v>H</v>
      </c>
      <c r="K1483" s="15" t="str">
        <f>VLOOKUP(A1483,sinap!$A$2:$R$9000,3,FALSE)</f>
        <v>VACA</v>
      </c>
      <c r="L1483" s="15" t="str">
        <f>VLOOKUP(A1483,sinap!$A$2:$R$9000,4,FALSE)</f>
        <v>ANGUS NEGRO</v>
      </c>
      <c r="M1483" s="15" t="str">
        <f>VLOOKUP(A1483,sinap!$A$2:$R$9000,5,FALSE)</f>
        <v>8 años 3 meses</v>
      </c>
      <c r="N1483" s="15" t="str">
        <f>VLOOKUP(A1483,sinap!$A$2:$R$9000,6,FALSE)</f>
        <v>30-09-2017</v>
      </c>
      <c r="O1483" s="15" t="str">
        <f>VLOOKUP(A1483,sinap!$A$2:$R$9000,7,FALSE)</f>
        <v>Vivo</v>
      </c>
      <c r="P1483" s="15" t="str">
        <f>VLOOKUP(A1483,sinap!$A$2:$R$9000,8,FALSE)</f>
        <v>11.1.01.2442</v>
      </c>
      <c r="Q1483" s="15" t="str">
        <f>VLOOKUP(A1483,sinap!$A$2:$R$9000,12,FALSE)</f>
        <v>11.1.01.0190</v>
      </c>
      <c r="R1483" s="15" t="str">
        <f>VLOOKUP(A1483,sinap!$A$2:$R$9000,16,FALSE)</f>
        <v>11.1.01.0893</v>
      </c>
      <c r="S1483" s="15" t="str">
        <f>VLOOKUP(A1483,sinap!$A$2:$Y$9000,20,FALSE)</f>
        <v>SI</v>
      </c>
    </row>
    <row r="1484" spans="1:20" hidden="1" x14ac:dyDescent="0.25">
      <c r="A1484" s="15">
        <v>23323667</v>
      </c>
      <c r="C1484" s="15">
        <v>20910480</v>
      </c>
      <c r="H1484" s="16">
        <v>45648</v>
      </c>
      <c r="J1484" s="15" t="str">
        <f>VLOOKUP(A1484,sinap!$A$2:$R$9000,2,FALSE)</f>
        <v>H</v>
      </c>
      <c r="K1484" s="15" t="str">
        <f>VLOOKUP(A1484,sinap!$A$2:$R$9000,3,FALSE)</f>
        <v>VACA</v>
      </c>
      <c r="L1484" s="15" t="str">
        <f>VLOOKUP(A1484,sinap!$A$2:$R$9000,4,FALSE)</f>
        <v>ANGUS ROJO</v>
      </c>
      <c r="M1484" s="15" t="str">
        <f>VLOOKUP(A1484,sinap!$A$2:$R$9000,5,FALSE)</f>
        <v>4 años 3 meses</v>
      </c>
      <c r="N1484" s="15" t="str">
        <f>VLOOKUP(A1484,sinap!$A$2:$R$9000,6,FALSE)</f>
        <v>15-10-2021</v>
      </c>
      <c r="O1484" s="15" t="str">
        <f>VLOOKUP(A1484,sinap!$A$2:$R$9000,7,FALSE)</f>
        <v>Vivo</v>
      </c>
      <c r="P1484" s="15" t="str">
        <f>VLOOKUP(A1484,sinap!$A$2:$R$9000,8,FALSE)</f>
        <v>11.1.01.1241</v>
      </c>
      <c r="Q1484" s="15" t="str">
        <f>VLOOKUP(A1484,sinap!$A$2:$R$9000,12,FALSE)</f>
        <v>11.2.01.0038</v>
      </c>
      <c r="R1484" s="15" t="str">
        <f>VLOOKUP(A1484,sinap!$A$2:$R$9000,16,FALSE)</f>
        <v>11.1.01.1241</v>
      </c>
      <c r="S1484" s="15" t="str">
        <f>VLOOKUP(A1484,sinap!$A$2:$Y$9000,20,FALSE)</f>
        <v>SI</v>
      </c>
    </row>
    <row r="1485" spans="1:20" hidden="1" x14ac:dyDescent="0.25">
      <c r="A1485" s="15">
        <v>23323670</v>
      </c>
      <c r="C1485" s="15">
        <v>24567522</v>
      </c>
      <c r="I1485" s="16">
        <v>45966</v>
      </c>
      <c r="J1485" s="15" t="str">
        <f>VLOOKUP(A1485,sinap!$A$2:$R$9000,2,FALSE)</f>
        <v>H</v>
      </c>
      <c r="K1485" s="15" t="str">
        <f>VLOOKUP(A1485,sinap!$A$2:$R$9000,3,FALSE)</f>
        <v>VAQUILLA</v>
      </c>
      <c r="L1485" s="15" t="str">
        <f>VLOOKUP(A1485,sinap!$A$2:$R$9000,4,FALSE)</f>
        <v>ANGUS ROJO</v>
      </c>
      <c r="M1485" s="15" t="str">
        <f>VLOOKUP(A1485,sinap!$A$2:$R$9000,5,FALSE)</f>
        <v>1 años 4 meses</v>
      </c>
      <c r="N1485" s="15" t="str">
        <f>VLOOKUP(A1485,sinap!$A$2:$R$9000,6,FALSE)</f>
        <v>15-09-2024</v>
      </c>
      <c r="O1485" s="15" t="str">
        <f>VLOOKUP(A1485,sinap!$A$2:$R$9000,7,FALSE)</f>
        <v>Vivo</v>
      </c>
      <c r="P1485" s="15" t="str">
        <f>VLOOKUP(A1485,sinap!$A$2:$R$9000,8,FALSE)</f>
        <v>11.1.01.2442</v>
      </c>
      <c r="Q1485" s="15" t="str">
        <f>VLOOKUP(A1485,sinap!$A$2:$R$9000,12,FALSE)</f>
        <v>11.1.01.0190</v>
      </c>
      <c r="R1485" s="15" t="str">
        <f>VLOOKUP(A1485,sinap!$A$2:$R$9000,16,FALSE)</f>
        <v>11.1.01.0893</v>
      </c>
      <c r="S1485" s="15" t="str">
        <f>VLOOKUP(A1485,sinap!$A$2:$Y$9000,20,FALSE)</f>
        <v>SI</v>
      </c>
      <c r="T1485" s="16">
        <v>45550</v>
      </c>
    </row>
    <row r="1486" spans="1:20" hidden="1" x14ac:dyDescent="0.25">
      <c r="A1486" s="15">
        <v>23323671</v>
      </c>
      <c r="C1486" s="15">
        <v>84465</v>
      </c>
      <c r="J1486" s="15" t="str">
        <f>VLOOKUP(A1486,sinap!$A$2:$R$9000,2,FALSE)</f>
        <v>H</v>
      </c>
      <c r="K1486" s="15" t="str">
        <f>VLOOKUP(A1486,sinap!$A$2:$R$9000,3,FALSE)</f>
        <v>VACA</v>
      </c>
      <c r="L1486" s="15" t="str">
        <f>VLOOKUP(A1486,sinap!$A$2:$R$9000,4,FALSE)</f>
        <v>POLLED HEREFORD</v>
      </c>
      <c r="M1486" s="15" t="str">
        <f>VLOOKUP(A1486,sinap!$A$2:$R$9000,5,FALSE)</f>
        <v>22 años 3 meses</v>
      </c>
      <c r="N1486" s="15" t="str">
        <f>VLOOKUP(A1486,sinap!$A$2:$R$9000,6,FALSE)</f>
        <v>15-10-2003</v>
      </c>
      <c r="O1486" s="15" t="str">
        <f>VLOOKUP(A1486,sinap!$A$2:$R$9000,7,FALSE)</f>
        <v>Vivo</v>
      </c>
      <c r="P1486" s="15" t="str">
        <f>VLOOKUP(A1486,sinap!$A$2:$R$9000,8,FALSE)</f>
        <v>11.1.01.1241</v>
      </c>
      <c r="Q1486" s="15" t="str">
        <f>VLOOKUP(A1486,sinap!$A$2:$R$9000,12,FALSE)</f>
        <v>11.1.01.0790</v>
      </c>
      <c r="R1486" s="15" t="str">
        <f>VLOOKUP(A1486,sinap!$A$2:$R$9000,16,FALSE)</f>
        <v>11.1.01.1241</v>
      </c>
      <c r="S1486" s="15" t="str">
        <f>VLOOKUP(A1486,sinap!$A$2:$Y$9000,20,FALSE)</f>
        <v>SI</v>
      </c>
    </row>
    <row r="1487" spans="1:20" hidden="1" x14ac:dyDescent="0.25">
      <c r="A1487" s="15">
        <v>23323673</v>
      </c>
      <c r="C1487" s="15">
        <v>84634</v>
      </c>
      <c r="J1487" s="15" t="str">
        <f>VLOOKUP(A1487,sinap!$A$2:$R$9000,2,FALSE)</f>
        <v>H</v>
      </c>
      <c r="K1487" s="15" t="str">
        <f>VLOOKUP(A1487,sinap!$A$2:$R$9000,3,FALSE)</f>
        <v>VACA</v>
      </c>
      <c r="L1487" s="15" t="str">
        <f>VLOOKUP(A1487,sinap!$A$2:$R$9000,4,FALSE)</f>
        <v>HEREFORD</v>
      </c>
      <c r="M1487" s="15" t="str">
        <f>VLOOKUP(A1487,sinap!$A$2:$R$9000,5,FALSE)</f>
        <v>24 años 3 meses</v>
      </c>
      <c r="N1487" s="15" t="str">
        <f>VLOOKUP(A1487,sinap!$A$2:$R$9000,6,FALSE)</f>
        <v>15-10-2001</v>
      </c>
      <c r="O1487" s="15" t="str">
        <f>VLOOKUP(A1487,sinap!$A$2:$R$9000,7,FALSE)</f>
        <v>Vivo</v>
      </c>
      <c r="P1487" s="15" t="str">
        <f>VLOOKUP(A1487,sinap!$A$2:$R$9000,8,FALSE)</f>
        <v>11.1.01.1241</v>
      </c>
      <c r="Q1487" s="15" t="str">
        <f>VLOOKUP(A1487,sinap!$A$2:$R$9000,12,FALSE)</f>
        <v>11.1.01.0789</v>
      </c>
      <c r="R1487" s="15" t="str">
        <f>VLOOKUP(A1487,sinap!$A$2:$R$9000,16,FALSE)</f>
        <v>11.1.01.0791</v>
      </c>
      <c r="S1487" s="15" t="str">
        <f>VLOOKUP(A1487,sinap!$A$2:$Y$9000,20,FALSE)</f>
        <v>SI</v>
      </c>
    </row>
    <row r="1488" spans="1:20" hidden="1" x14ac:dyDescent="0.25">
      <c r="A1488" s="15">
        <v>23323674</v>
      </c>
      <c r="C1488" s="15">
        <v>84494</v>
      </c>
      <c r="J1488" s="15" t="str">
        <f>VLOOKUP(A1488,sinap!$A$2:$R$9000,2,FALSE)</f>
        <v>H</v>
      </c>
      <c r="K1488" s="15" t="str">
        <f>VLOOKUP(A1488,sinap!$A$2:$R$9000,3,FALSE)</f>
        <v>VACA</v>
      </c>
      <c r="L1488" s="15" t="str">
        <f>VLOOKUP(A1488,sinap!$A$2:$R$9000,4,FALSE)</f>
        <v>OVERO COLORADO (CLAVEL ALEMAN)</v>
      </c>
      <c r="M1488" s="15" t="str">
        <f>VLOOKUP(A1488,sinap!$A$2:$R$9000,5,FALSE)</f>
        <v>21 años 3 meses</v>
      </c>
      <c r="N1488" s="15" t="str">
        <f>VLOOKUP(A1488,sinap!$A$2:$R$9000,6,FALSE)</f>
        <v>15-10-2004</v>
      </c>
      <c r="O1488" s="15" t="str">
        <f>VLOOKUP(A1488,sinap!$A$2:$R$9000,7,FALSE)</f>
        <v>Vivo</v>
      </c>
      <c r="P1488" s="15" t="str">
        <f>VLOOKUP(A1488,sinap!$A$2:$R$9000,8,FALSE)</f>
        <v>11.2.01.0038</v>
      </c>
      <c r="Q1488" s="15" t="str">
        <f>VLOOKUP(A1488,sinap!$A$2:$R$9000,12,FALSE)</f>
        <v>11.1.01.1241</v>
      </c>
      <c r="R1488" s="15" t="str">
        <f>VLOOKUP(A1488,sinap!$A$2:$R$9000,16,FALSE)</f>
        <v>11.1.01.0789</v>
      </c>
      <c r="S1488" s="15" t="str">
        <f>VLOOKUP(A1488,sinap!$A$2:$Y$9000,20,FALSE)</f>
        <v>SI</v>
      </c>
    </row>
    <row r="1489" spans="1:20" hidden="1" x14ac:dyDescent="0.25">
      <c r="A1489" s="15">
        <v>23323676</v>
      </c>
      <c r="C1489" s="15">
        <v>15661176</v>
      </c>
      <c r="H1489" s="16">
        <v>45648</v>
      </c>
      <c r="I1489" s="16">
        <v>45965</v>
      </c>
      <c r="J1489" s="15" t="str">
        <f>VLOOKUP(A1489,sinap!$A$2:$R$9000,2,FALSE)</f>
        <v>H</v>
      </c>
      <c r="K1489" s="15" t="str">
        <f>VLOOKUP(A1489,sinap!$A$2:$R$9000,3,FALSE)</f>
        <v>VACA</v>
      </c>
      <c r="L1489" s="15" t="str">
        <f>VLOOKUP(A1489,sinap!$A$2:$R$9000,4,FALSE)</f>
        <v>ANGUS NEGRO</v>
      </c>
      <c r="M1489" s="15" t="str">
        <f>VLOOKUP(A1489,sinap!$A$2:$R$9000,5,FALSE)</f>
        <v>8 años 4 meses</v>
      </c>
      <c r="N1489" s="15" t="str">
        <f>VLOOKUP(A1489,sinap!$A$2:$R$9000,6,FALSE)</f>
        <v>01-09-2017</v>
      </c>
      <c r="O1489" s="15" t="str">
        <f>VLOOKUP(A1489,sinap!$A$2:$R$9000,7,FALSE)</f>
        <v>Vivo</v>
      </c>
      <c r="P1489" s="15" t="str">
        <f>VLOOKUP(A1489,sinap!$A$2:$R$9000,8,FALSE)</f>
        <v>11.1.01.0941</v>
      </c>
      <c r="Q1489" s="15" t="str">
        <f>VLOOKUP(A1489,sinap!$A$2:$R$9000,12,FALSE)</f>
        <v>11.1.01.1241</v>
      </c>
      <c r="R1489" s="15" t="str">
        <f>VLOOKUP(A1489,sinap!$A$2:$R$9000,16,FALSE)</f>
        <v>11.1.01.1241</v>
      </c>
      <c r="S1489" s="15" t="str">
        <f>VLOOKUP(A1489,sinap!$A$2:$Y$9000,20,FALSE)</f>
        <v>SI</v>
      </c>
    </row>
    <row r="1490" spans="1:20" hidden="1" x14ac:dyDescent="0.25">
      <c r="A1490" s="15">
        <v>23323678</v>
      </c>
      <c r="C1490" s="15">
        <v>24567520</v>
      </c>
      <c r="J1490" s="15" t="str">
        <f>VLOOKUP(A1490,sinap!$A$2:$R$9000,2,FALSE)</f>
        <v>H</v>
      </c>
      <c r="K1490" s="15" t="str">
        <f>VLOOKUP(A1490,sinap!$A$2:$R$9000,3,FALSE)</f>
        <v>VAQUILLA</v>
      </c>
      <c r="L1490" s="15" t="str">
        <f>VLOOKUP(A1490,sinap!$A$2:$R$9000,4,FALSE)</f>
        <v>ANGUS NEGRO</v>
      </c>
      <c r="M1490" s="15" t="str">
        <f>VLOOKUP(A1490,sinap!$A$2:$R$9000,5,FALSE)</f>
        <v>1 años 4 meses</v>
      </c>
      <c r="N1490" s="15" t="str">
        <f>VLOOKUP(A1490,sinap!$A$2:$R$9000,6,FALSE)</f>
        <v>15-09-2024</v>
      </c>
      <c r="O1490" s="15" t="str">
        <f>VLOOKUP(A1490,sinap!$A$2:$R$9000,7,FALSE)</f>
        <v>Vivo</v>
      </c>
      <c r="P1490" s="15" t="str">
        <f>VLOOKUP(A1490,sinap!$A$2:$R$9000,8,FALSE)</f>
        <v>11.1.01.2442</v>
      </c>
      <c r="Q1490" s="15" t="str">
        <f>VLOOKUP(A1490,sinap!$A$2:$R$9000,12,FALSE)</f>
        <v>11.1.01.0190</v>
      </c>
      <c r="R1490" s="15" t="str">
        <f>VLOOKUP(A1490,sinap!$A$2:$R$9000,16,FALSE)</f>
        <v>11.1.01.0893</v>
      </c>
      <c r="S1490" s="15" t="str">
        <f>VLOOKUP(A1490,sinap!$A$2:$Y$9000,20,FALSE)</f>
        <v>SI</v>
      </c>
      <c r="T1490" s="16">
        <v>45550</v>
      </c>
    </row>
    <row r="1491" spans="1:20" hidden="1" x14ac:dyDescent="0.25">
      <c r="A1491" s="15">
        <v>23323679</v>
      </c>
      <c r="C1491" s="15">
        <v>18943053</v>
      </c>
      <c r="G1491" s="16">
        <v>45090</v>
      </c>
      <c r="H1491" s="16">
        <v>45432</v>
      </c>
      <c r="I1491" s="16">
        <v>45966</v>
      </c>
      <c r="J1491" s="15" t="str">
        <f>VLOOKUP(A1491,sinap!$A$2:$R$9000,2,FALSE)</f>
        <v>H</v>
      </c>
      <c r="K1491" s="15" t="str">
        <f>VLOOKUP(A1491,sinap!$A$2:$R$9000,3,FALSE)</f>
        <v>VACA</v>
      </c>
      <c r="L1491" s="15" t="str">
        <f>VLOOKUP(A1491,sinap!$A$2:$R$9000,4,FALSE)</f>
        <v>ANGUS NEGRO</v>
      </c>
      <c r="M1491" s="15" t="str">
        <f>VLOOKUP(A1491,sinap!$A$2:$R$9000,5,FALSE)</f>
        <v>5 años 3 meses</v>
      </c>
      <c r="N1491" s="15" t="str">
        <f>VLOOKUP(A1491,sinap!$A$2:$R$9000,6,FALSE)</f>
        <v>30-09-2020</v>
      </c>
      <c r="O1491" s="15" t="str">
        <f>VLOOKUP(A1491,sinap!$A$2:$R$9000,7,FALSE)</f>
        <v>Vivo</v>
      </c>
      <c r="P1491" s="15" t="str">
        <f>VLOOKUP(A1491,sinap!$A$2:$R$9000,8,FALSE)</f>
        <v>11.1.01.2442</v>
      </c>
      <c r="Q1491" s="15" t="str">
        <f>VLOOKUP(A1491,sinap!$A$2:$R$9000,12,FALSE)</f>
        <v>11.1.01.0190</v>
      </c>
      <c r="R1491" s="15" t="str">
        <f>VLOOKUP(A1491,sinap!$A$2:$R$9000,16,FALSE)</f>
        <v>11.1.01.0893</v>
      </c>
      <c r="S1491" s="15" t="str">
        <f>VLOOKUP(A1491,sinap!$A$2:$Y$9000,20,FALSE)</f>
        <v>SI</v>
      </c>
      <c r="T1491" s="16">
        <v>44104</v>
      </c>
    </row>
    <row r="1492" spans="1:20" hidden="1" x14ac:dyDescent="0.25">
      <c r="A1492" s="15">
        <v>23323686</v>
      </c>
      <c r="C1492" s="15">
        <v>16390491</v>
      </c>
      <c r="J1492" s="15" t="str">
        <f>VLOOKUP(A1492,sinap!$A$2:$R$9000,2,FALSE)</f>
        <v>H</v>
      </c>
      <c r="K1492" s="15" t="str">
        <f>VLOOKUP(A1492,sinap!$A$2:$R$9000,3,FALSE)</f>
        <v>VACA</v>
      </c>
      <c r="L1492" s="15" t="str">
        <f>VLOOKUP(A1492,sinap!$A$2:$R$9000,4,FALSE)</f>
        <v>ANGUS NEGRO</v>
      </c>
      <c r="M1492" s="15" t="str">
        <f>VLOOKUP(A1492,sinap!$A$2:$R$9000,5,FALSE)</f>
        <v>5 años 1 meses</v>
      </c>
      <c r="N1492" s="15" t="str">
        <f>VLOOKUP(A1492,sinap!$A$2:$R$9000,6,FALSE)</f>
        <v>30-11-2020</v>
      </c>
      <c r="O1492" s="15" t="str">
        <f>VLOOKUP(A1492,sinap!$A$2:$R$9000,7,FALSE)</f>
        <v>Vivo</v>
      </c>
      <c r="P1492" s="15" t="str">
        <f>VLOOKUP(A1492,sinap!$A$2:$R$9000,8,FALSE)</f>
        <v>11.1.01.0791</v>
      </c>
      <c r="Q1492" s="15" t="str">
        <f>VLOOKUP(A1492,sinap!$A$2:$R$9000,12,FALSE)</f>
        <v>11.1.01.0893</v>
      </c>
      <c r="R1492" s="15" t="str">
        <f>VLOOKUP(A1492,sinap!$A$2:$R$9000,16,FALSE)</f>
        <v>11.1.01.1241</v>
      </c>
      <c r="S1492" s="15" t="str">
        <f>VLOOKUP(A1492,sinap!$A$2:$Y$9000,20,FALSE)</f>
        <v>SI</v>
      </c>
    </row>
    <row r="1493" spans="1:20" hidden="1" x14ac:dyDescent="0.25">
      <c r="A1493" s="15">
        <v>23323687</v>
      </c>
      <c r="C1493" s="15">
        <v>14717764</v>
      </c>
      <c r="E1493" s="15"/>
      <c r="F1493" s="16">
        <v>44923</v>
      </c>
      <c r="G1493" s="16">
        <v>45247</v>
      </c>
      <c r="H1493" s="16">
        <v>45432</v>
      </c>
      <c r="I1493" s="16">
        <v>45671</v>
      </c>
      <c r="J1493" s="15" t="str">
        <f>VLOOKUP(A1493,sinap!$A$2:$R$9000,2,FALSE)</f>
        <v>H</v>
      </c>
      <c r="K1493" s="15" t="str">
        <f>VLOOKUP(A1493,sinap!$A$2:$R$9000,3,FALSE)</f>
        <v>VACA</v>
      </c>
      <c r="L1493" s="15" t="str">
        <f>VLOOKUP(A1493,sinap!$A$2:$R$9000,4,FALSE)</f>
        <v>ANGUS NEGRO</v>
      </c>
      <c r="M1493" s="15" t="str">
        <f>VLOOKUP(A1493,sinap!$A$2:$R$9000,5,FALSE)</f>
        <v>9 años 3 meses</v>
      </c>
      <c r="N1493" s="15" t="str">
        <f>VLOOKUP(A1493,sinap!$A$2:$R$9000,6,FALSE)</f>
        <v>15-10-2016</v>
      </c>
      <c r="O1493" s="15" t="str">
        <f>VLOOKUP(A1493,sinap!$A$2:$R$9000,7,FALSE)</f>
        <v>Vivo</v>
      </c>
      <c r="P1493" s="15" t="str">
        <f>VLOOKUP(A1493,sinap!$A$2:$R$9000,8,FALSE)</f>
        <v>11.1.01.1241</v>
      </c>
      <c r="Q1493" s="15" t="str">
        <f>VLOOKUP(A1493,sinap!$A$2:$R$9000,12,FALSE)</f>
        <v>11.2.01.0038</v>
      </c>
      <c r="R1493" s="15" t="str">
        <f>VLOOKUP(A1493,sinap!$A$2:$R$9000,16,FALSE)</f>
        <v>11.1.01.0893</v>
      </c>
      <c r="S1493" s="15" t="str">
        <f>VLOOKUP(A1493,sinap!$A$2:$Y$9000,20,FALSE)</f>
        <v>SI</v>
      </c>
    </row>
    <row r="1494" spans="1:20" hidden="1" x14ac:dyDescent="0.25">
      <c r="A1494" s="15">
        <v>23323688</v>
      </c>
      <c r="C1494" s="15">
        <v>20910190</v>
      </c>
      <c r="H1494" s="16">
        <v>45648</v>
      </c>
      <c r="I1494" s="16">
        <v>45671</v>
      </c>
      <c r="J1494" s="15" t="str">
        <f>VLOOKUP(A1494,sinap!$A$2:$R$9000,2,FALSE)</f>
        <v>H</v>
      </c>
      <c r="K1494" s="15" t="str">
        <f>VLOOKUP(A1494,sinap!$A$2:$R$9000,3,FALSE)</f>
        <v>VACA</v>
      </c>
      <c r="L1494" s="15" t="str">
        <f>VLOOKUP(A1494,sinap!$A$2:$R$9000,4,FALSE)</f>
        <v>ANGUS NEGRO</v>
      </c>
      <c r="M1494" s="15" t="str">
        <f>VLOOKUP(A1494,sinap!$A$2:$R$9000,5,FALSE)</f>
        <v>4 años 3 meses</v>
      </c>
      <c r="N1494" s="15" t="str">
        <f>VLOOKUP(A1494,sinap!$A$2:$R$9000,6,FALSE)</f>
        <v>15-10-2021</v>
      </c>
      <c r="O1494" s="15" t="str">
        <f>VLOOKUP(A1494,sinap!$A$2:$R$9000,7,FALSE)</f>
        <v>Vivo</v>
      </c>
      <c r="P1494" s="15" t="str">
        <f>VLOOKUP(A1494,sinap!$A$2:$R$9000,8,FALSE)</f>
        <v>11.1.01.1241</v>
      </c>
      <c r="Q1494" s="15" t="str">
        <f>VLOOKUP(A1494,sinap!$A$2:$R$9000,12,FALSE)</f>
        <v>11.1.01.1022</v>
      </c>
      <c r="R1494" s="15" t="str">
        <f>VLOOKUP(A1494,sinap!$A$2:$R$9000,16,FALSE)</f>
        <v>11.1.01.0893</v>
      </c>
      <c r="S1494" s="15" t="str">
        <f>VLOOKUP(A1494,sinap!$A$2:$Y$9000,20,FALSE)</f>
        <v>SI</v>
      </c>
    </row>
    <row r="1495" spans="1:20" hidden="1" x14ac:dyDescent="0.25">
      <c r="A1495" s="15">
        <v>23323689</v>
      </c>
      <c r="C1495" s="15">
        <v>16843407</v>
      </c>
      <c r="H1495" s="16">
        <v>45297</v>
      </c>
      <c r="J1495" s="15" t="str">
        <f>VLOOKUP(A1495,sinap!$A$2:$R$9000,2,FALSE)</f>
        <v>H</v>
      </c>
      <c r="K1495" s="15" t="str">
        <f>VLOOKUP(A1495,sinap!$A$2:$R$9000,3,FALSE)</f>
        <v>VACA</v>
      </c>
      <c r="L1495" s="15" t="str">
        <f>VLOOKUP(A1495,sinap!$A$2:$R$9000,4,FALSE)</f>
        <v>ANGUS NEGRO</v>
      </c>
      <c r="M1495" s="15" t="str">
        <f>VLOOKUP(A1495,sinap!$A$2:$R$9000,5,FALSE)</f>
        <v>7 años 3 meses</v>
      </c>
      <c r="N1495" s="15" t="str">
        <f>VLOOKUP(A1495,sinap!$A$2:$R$9000,6,FALSE)</f>
        <v>20-09-2018</v>
      </c>
      <c r="O1495" s="15" t="str">
        <f>VLOOKUP(A1495,sinap!$A$2:$R$9000,7,FALSE)</f>
        <v>Vivo</v>
      </c>
      <c r="P1495" s="15" t="str">
        <f>VLOOKUP(A1495,sinap!$A$2:$R$9000,8,FALSE)</f>
        <v>11.1.01.0791</v>
      </c>
      <c r="Q1495" s="15" t="str">
        <f>VLOOKUP(A1495,sinap!$A$2:$R$9000,12,FALSE)</f>
        <v>11.1.01.0893</v>
      </c>
      <c r="R1495" s="15" t="str">
        <f>VLOOKUP(A1495,sinap!$A$2:$R$9000,16,FALSE)</f>
        <v>11.1.01.0893</v>
      </c>
      <c r="S1495" s="15" t="str">
        <f>VLOOKUP(A1495,sinap!$A$2:$Y$9000,20,FALSE)</f>
        <v>SI</v>
      </c>
    </row>
    <row r="1496" spans="1:20" hidden="1" x14ac:dyDescent="0.25">
      <c r="A1496" s="15">
        <v>23323690</v>
      </c>
      <c r="C1496" s="15">
        <v>16843264</v>
      </c>
      <c r="H1496" s="16">
        <v>45297</v>
      </c>
      <c r="J1496" s="15" t="str">
        <f>VLOOKUP(A1496,sinap!$A$2:$R$9000,2,FALSE)</f>
        <v>H</v>
      </c>
      <c r="K1496" s="15" t="str">
        <f>VLOOKUP(A1496,sinap!$A$2:$R$9000,3,FALSE)</f>
        <v>VACA</v>
      </c>
      <c r="L1496" s="15" t="str">
        <f>VLOOKUP(A1496,sinap!$A$2:$R$9000,4,FALSE)</f>
        <v>ANGUS NEGRO</v>
      </c>
      <c r="M1496" s="15" t="str">
        <f>VLOOKUP(A1496,sinap!$A$2:$R$9000,5,FALSE)</f>
        <v>7 años 4 meses</v>
      </c>
      <c r="N1496" s="15" t="str">
        <f>VLOOKUP(A1496,sinap!$A$2:$R$9000,6,FALSE)</f>
        <v>10-09-2018</v>
      </c>
      <c r="O1496" s="15" t="str">
        <f>VLOOKUP(A1496,sinap!$A$2:$R$9000,7,FALSE)</f>
        <v>Vivo</v>
      </c>
      <c r="P1496" s="15" t="str">
        <f>VLOOKUP(A1496,sinap!$A$2:$R$9000,8,FALSE)</f>
        <v>11.2.01.0038</v>
      </c>
      <c r="Q1496" s="15" t="str">
        <f>VLOOKUP(A1496,sinap!$A$2:$R$9000,12,FALSE)</f>
        <v>11.1.01.0893</v>
      </c>
      <c r="R1496" s="15" t="str">
        <f>VLOOKUP(A1496,sinap!$A$2:$R$9000,16,FALSE)</f>
        <v>11.1.01.0893</v>
      </c>
      <c r="S1496" s="15" t="str">
        <f>VLOOKUP(A1496,sinap!$A$2:$Y$9000,20,FALSE)</f>
        <v>SI</v>
      </c>
    </row>
    <row r="1497" spans="1:20" hidden="1" x14ac:dyDescent="0.25">
      <c r="A1497" s="15">
        <v>23323691</v>
      </c>
      <c r="C1497" s="15">
        <v>16843228</v>
      </c>
      <c r="H1497" s="16">
        <v>45297</v>
      </c>
      <c r="J1497" s="15" t="str">
        <f>VLOOKUP(A1497,sinap!$A$2:$R$9000,2,FALSE)</f>
        <v>H</v>
      </c>
      <c r="K1497" s="15" t="str">
        <f>VLOOKUP(A1497,sinap!$A$2:$R$9000,3,FALSE)</f>
        <v>VACA</v>
      </c>
      <c r="L1497" s="15" t="str">
        <f>VLOOKUP(A1497,sinap!$A$2:$R$9000,4,FALSE)</f>
        <v>ANGUS NEGRO</v>
      </c>
      <c r="M1497" s="15" t="str">
        <f>VLOOKUP(A1497,sinap!$A$2:$R$9000,5,FALSE)</f>
        <v>7 años 3 meses</v>
      </c>
      <c r="N1497" s="15" t="str">
        <f>VLOOKUP(A1497,sinap!$A$2:$R$9000,6,FALSE)</f>
        <v>20-09-2018</v>
      </c>
      <c r="O1497" s="15" t="str">
        <f>VLOOKUP(A1497,sinap!$A$2:$R$9000,7,FALSE)</f>
        <v>Vivo</v>
      </c>
      <c r="P1497" s="15" t="str">
        <f>VLOOKUP(A1497,sinap!$A$2:$R$9000,8,FALSE)</f>
        <v>11.2.01.0038</v>
      </c>
      <c r="Q1497" s="15" t="str">
        <f>VLOOKUP(A1497,sinap!$A$2:$R$9000,12,FALSE)</f>
        <v>11.1.01.0893</v>
      </c>
      <c r="R1497" s="15" t="str">
        <f>VLOOKUP(A1497,sinap!$A$2:$R$9000,16,FALSE)</f>
        <v>11.1.01.0893</v>
      </c>
      <c r="S1497" s="15" t="str">
        <f>VLOOKUP(A1497,sinap!$A$2:$Y$9000,20,FALSE)</f>
        <v>SI</v>
      </c>
    </row>
    <row r="1498" spans="1:20" hidden="1" x14ac:dyDescent="0.25">
      <c r="A1498" s="15">
        <v>23323692</v>
      </c>
      <c r="C1498" s="15">
        <v>16843403</v>
      </c>
      <c r="H1498" s="16">
        <v>45297</v>
      </c>
      <c r="J1498" s="15" t="str">
        <f>VLOOKUP(A1498,sinap!$A$2:$R$9000,2,FALSE)</f>
        <v>H</v>
      </c>
      <c r="K1498" s="15" t="str">
        <f>VLOOKUP(A1498,sinap!$A$2:$R$9000,3,FALSE)</f>
        <v>VACA</v>
      </c>
      <c r="L1498" s="15" t="str">
        <f>VLOOKUP(A1498,sinap!$A$2:$R$9000,4,FALSE)</f>
        <v>ANGUS ROJO</v>
      </c>
      <c r="M1498" s="15" t="str">
        <f>VLOOKUP(A1498,sinap!$A$2:$R$9000,5,FALSE)</f>
        <v>7 años 2 meses</v>
      </c>
      <c r="N1498" s="15" t="str">
        <f>VLOOKUP(A1498,sinap!$A$2:$R$9000,6,FALSE)</f>
        <v>05-11-2018</v>
      </c>
      <c r="O1498" s="15" t="str">
        <f>VLOOKUP(A1498,sinap!$A$2:$R$9000,7,FALSE)</f>
        <v>Vivo</v>
      </c>
      <c r="P1498" s="15" t="str">
        <f>VLOOKUP(A1498,sinap!$A$2:$R$9000,8,FALSE)</f>
        <v>11.2.01.0038</v>
      </c>
      <c r="Q1498" s="15" t="str">
        <f>VLOOKUP(A1498,sinap!$A$2:$R$9000,12,FALSE)</f>
        <v>11.1.01.0893</v>
      </c>
      <c r="R1498" s="15" t="str">
        <f>VLOOKUP(A1498,sinap!$A$2:$R$9000,16,FALSE)</f>
        <v>11.1.01.0893</v>
      </c>
      <c r="S1498" s="15" t="str">
        <f>VLOOKUP(A1498,sinap!$A$2:$Y$9000,20,FALSE)</f>
        <v>SI</v>
      </c>
    </row>
    <row r="1499" spans="1:20" hidden="1" x14ac:dyDescent="0.25">
      <c r="A1499" s="15">
        <v>23323693</v>
      </c>
      <c r="C1499" s="15">
        <v>8392927</v>
      </c>
      <c r="E1499" s="16">
        <v>44497</v>
      </c>
      <c r="F1499" s="16">
        <v>44868</v>
      </c>
      <c r="J1499" s="15" t="str">
        <f>VLOOKUP(A1499,sinap!$A$2:$R$9000,2,FALSE)</f>
        <v>H</v>
      </c>
      <c r="K1499" s="15" t="str">
        <f>VLOOKUP(A1499,sinap!$A$2:$R$9000,3,FALSE)</f>
        <v>VACA</v>
      </c>
      <c r="L1499" s="15" t="str">
        <f>VLOOKUP(A1499,sinap!$A$2:$R$9000,4,FALSE)</f>
        <v>ANGUS ROJO</v>
      </c>
      <c r="M1499" s="15" t="str">
        <f>VLOOKUP(A1499,sinap!$A$2:$R$9000,5,FALSE)</f>
        <v>12 años 2 meses</v>
      </c>
      <c r="N1499" s="15" t="str">
        <f>VLOOKUP(A1499,sinap!$A$2:$R$9000,6,FALSE)</f>
        <v>20-10-2013</v>
      </c>
      <c r="O1499" s="15" t="str">
        <f>VLOOKUP(A1499,sinap!$A$2:$R$9000,7,FALSE)</f>
        <v>Vivo</v>
      </c>
      <c r="P1499" s="15" t="str">
        <f>VLOOKUP(A1499,sinap!$A$2:$R$9000,8,FALSE)</f>
        <v>11.2.01.0038</v>
      </c>
      <c r="Q1499" s="15" t="str">
        <f>VLOOKUP(A1499,sinap!$A$2:$R$9000,12,FALSE)</f>
        <v>11.1.01.0893</v>
      </c>
      <c r="R1499" s="15" t="str">
        <f>VLOOKUP(A1499,sinap!$A$2:$R$9000,16,FALSE)</f>
        <v>11.1.01.1081</v>
      </c>
      <c r="S1499" s="15" t="str">
        <f>VLOOKUP(A1499,sinap!$A$2:$Y$9000,20,FALSE)</f>
        <v>SI</v>
      </c>
    </row>
    <row r="1500" spans="1:20" hidden="1" x14ac:dyDescent="0.25">
      <c r="A1500" s="15">
        <v>23323694</v>
      </c>
      <c r="C1500" s="15">
        <v>16843434</v>
      </c>
      <c r="H1500" s="16">
        <v>45297</v>
      </c>
      <c r="J1500" s="15" t="str">
        <f>VLOOKUP(A1500,sinap!$A$2:$R$9000,2,FALSE)</f>
        <v>H</v>
      </c>
      <c r="K1500" s="15" t="str">
        <f>VLOOKUP(A1500,sinap!$A$2:$R$9000,3,FALSE)</f>
        <v>VACA</v>
      </c>
      <c r="L1500" s="15" t="str">
        <f>VLOOKUP(A1500,sinap!$A$2:$R$9000,4,FALSE)</f>
        <v>ANGUS NEGRO</v>
      </c>
      <c r="M1500" s="15" t="str">
        <f>VLOOKUP(A1500,sinap!$A$2:$R$9000,5,FALSE)</f>
        <v>7 años 4 meses</v>
      </c>
      <c r="N1500" s="15" t="str">
        <f>VLOOKUP(A1500,sinap!$A$2:$R$9000,6,FALSE)</f>
        <v>15-09-2018</v>
      </c>
      <c r="O1500" s="15" t="str">
        <f>VLOOKUP(A1500,sinap!$A$2:$R$9000,7,FALSE)</f>
        <v>Vivo</v>
      </c>
      <c r="P1500" s="15" t="str">
        <f>VLOOKUP(A1500,sinap!$A$2:$R$9000,8,FALSE)</f>
        <v>11.1.01.0791</v>
      </c>
      <c r="Q1500" s="15" t="str">
        <f>VLOOKUP(A1500,sinap!$A$2:$R$9000,12,FALSE)</f>
        <v>11.1.01.0893</v>
      </c>
      <c r="R1500" s="15" t="str">
        <f>VLOOKUP(A1500,sinap!$A$2:$R$9000,16,FALSE)</f>
        <v>11.1.01.0893</v>
      </c>
      <c r="S1500" s="15" t="str">
        <f>VLOOKUP(A1500,sinap!$A$2:$Y$9000,20,FALSE)</f>
        <v>SI</v>
      </c>
    </row>
    <row r="1501" spans="1:20" hidden="1" x14ac:dyDescent="0.25">
      <c r="A1501" s="15">
        <v>23323695</v>
      </c>
      <c r="C1501" s="15">
        <v>15660964</v>
      </c>
      <c r="G1501" s="16">
        <v>45288</v>
      </c>
      <c r="J1501" s="15" t="str">
        <f>VLOOKUP(A1501,sinap!$A$2:$R$9000,2,FALSE)</f>
        <v>H</v>
      </c>
      <c r="K1501" s="15" t="str">
        <f>VLOOKUP(A1501,sinap!$A$2:$R$9000,3,FALSE)</f>
        <v>VACA</v>
      </c>
      <c r="L1501" s="15" t="str">
        <f>VLOOKUP(A1501,sinap!$A$2:$R$9000,4,FALSE)</f>
        <v>ANGUS ROJO</v>
      </c>
      <c r="M1501" s="15" t="str">
        <f>VLOOKUP(A1501,sinap!$A$2:$R$9000,5,FALSE)</f>
        <v>8 años 2 meses</v>
      </c>
      <c r="N1501" s="15" t="str">
        <f>VLOOKUP(A1501,sinap!$A$2:$R$9000,6,FALSE)</f>
        <v>20-10-2017</v>
      </c>
      <c r="O1501" s="15" t="str">
        <f>VLOOKUP(A1501,sinap!$A$2:$R$9000,7,FALSE)</f>
        <v>Vivo</v>
      </c>
      <c r="P1501" s="15" t="str">
        <f>VLOOKUP(A1501,sinap!$A$2:$R$9000,8,FALSE)</f>
        <v>11.2.01.0038</v>
      </c>
      <c r="Q1501" s="15" t="str">
        <f>VLOOKUP(A1501,sinap!$A$2:$R$9000,12,FALSE)</f>
        <v>11.1.01.0893</v>
      </c>
      <c r="R1501" s="15" t="str">
        <f>VLOOKUP(A1501,sinap!$A$2:$R$9000,16,FALSE)</f>
        <v>11.1.01.1241</v>
      </c>
      <c r="S1501" s="15" t="str">
        <f>VLOOKUP(A1501,sinap!$A$2:$Y$9000,20,FALSE)</f>
        <v>SI</v>
      </c>
    </row>
    <row r="1502" spans="1:20" hidden="1" x14ac:dyDescent="0.25">
      <c r="A1502" s="15">
        <v>23323696</v>
      </c>
      <c r="C1502" s="15">
        <v>16843229</v>
      </c>
      <c r="J1502" s="15" t="str">
        <f>VLOOKUP(A1502,sinap!$A$2:$R$9000,2,FALSE)</f>
        <v>H</v>
      </c>
      <c r="K1502" s="15" t="str">
        <f>VLOOKUP(A1502,sinap!$A$2:$R$9000,3,FALSE)</f>
        <v>VACA</v>
      </c>
      <c r="L1502" s="15" t="str">
        <f>VLOOKUP(A1502,sinap!$A$2:$R$9000,4,FALSE)</f>
        <v>ANGUS NEGRO</v>
      </c>
      <c r="M1502" s="15" t="str">
        <f>VLOOKUP(A1502,sinap!$A$2:$R$9000,5,FALSE)</f>
        <v>7 años 3 meses</v>
      </c>
      <c r="N1502" s="15" t="str">
        <f>VLOOKUP(A1502,sinap!$A$2:$R$9000,6,FALSE)</f>
        <v>30-09-2018</v>
      </c>
      <c r="O1502" s="15" t="str">
        <f>VLOOKUP(A1502,sinap!$A$2:$R$9000,7,FALSE)</f>
        <v>Vivo</v>
      </c>
      <c r="P1502" s="15" t="str">
        <f>VLOOKUP(A1502,sinap!$A$2:$R$9000,8,FALSE)</f>
        <v>11.1.01.0791</v>
      </c>
      <c r="Q1502" s="15" t="str">
        <f>VLOOKUP(A1502,sinap!$A$2:$R$9000,12,FALSE)</f>
        <v>11.1.01.0893</v>
      </c>
      <c r="R1502" s="15" t="str">
        <f>VLOOKUP(A1502,sinap!$A$2:$R$9000,16,FALSE)</f>
        <v>11.1.01.0893</v>
      </c>
      <c r="S1502" s="15" t="str">
        <f>VLOOKUP(A1502,sinap!$A$2:$Y$9000,20,FALSE)</f>
        <v>SI</v>
      </c>
    </row>
    <row r="1503" spans="1:20" hidden="1" x14ac:dyDescent="0.25">
      <c r="A1503" s="15">
        <v>23323697</v>
      </c>
      <c r="C1503" s="15">
        <v>8392652</v>
      </c>
      <c r="J1503" s="15" t="str">
        <f>VLOOKUP(A1503,sinap!$A$2:$R$9000,2,FALSE)</f>
        <v>H</v>
      </c>
      <c r="K1503" s="15" t="str">
        <f>VLOOKUP(A1503,sinap!$A$2:$R$9000,3,FALSE)</f>
        <v>VACA</v>
      </c>
      <c r="L1503" s="15" t="str">
        <f>VLOOKUP(A1503,sinap!$A$2:$R$9000,4,FALSE)</f>
        <v>ANGUS NEGRO</v>
      </c>
      <c r="M1503" s="15" t="str">
        <f>VLOOKUP(A1503,sinap!$A$2:$R$9000,5,FALSE)</f>
        <v>13 años 2 meses</v>
      </c>
      <c r="N1503" s="15" t="str">
        <f>VLOOKUP(A1503,sinap!$A$2:$R$9000,6,FALSE)</f>
        <v>30-10-2012</v>
      </c>
      <c r="O1503" s="15" t="str">
        <f>VLOOKUP(A1503,sinap!$A$2:$R$9000,7,FALSE)</f>
        <v>Vivo</v>
      </c>
      <c r="P1503" s="15" t="str">
        <f>VLOOKUP(A1503,sinap!$A$2:$R$9000,8,FALSE)</f>
        <v>11.2.01.0038</v>
      </c>
      <c r="Q1503" s="15" t="str">
        <f>VLOOKUP(A1503,sinap!$A$2:$R$9000,12,FALSE)</f>
        <v>11.1.01.0893</v>
      </c>
      <c r="R1503" s="15" t="str">
        <f>VLOOKUP(A1503,sinap!$A$2:$R$9000,16,FALSE)</f>
        <v>11.1.01.0790</v>
      </c>
      <c r="S1503" s="15" t="str">
        <f>VLOOKUP(A1503,sinap!$A$2:$Y$9000,20,FALSE)</f>
        <v>SI</v>
      </c>
    </row>
    <row r="1504" spans="1:20" hidden="1" x14ac:dyDescent="0.25">
      <c r="A1504" s="15">
        <v>23323698</v>
      </c>
      <c r="C1504" s="15">
        <v>16843537</v>
      </c>
      <c r="H1504" s="16">
        <v>45297</v>
      </c>
      <c r="J1504" s="15" t="str">
        <f>VLOOKUP(A1504,sinap!$A$2:$R$9000,2,FALSE)</f>
        <v>H</v>
      </c>
      <c r="K1504" s="15" t="str">
        <f>VLOOKUP(A1504,sinap!$A$2:$R$9000,3,FALSE)</f>
        <v>VACA</v>
      </c>
      <c r="L1504" s="15" t="str">
        <f>VLOOKUP(A1504,sinap!$A$2:$R$9000,4,FALSE)</f>
        <v>ANGUS NEGRO</v>
      </c>
      <c r="M1504" s="15" t="str">
        <f>VLOOKUP(A1504,sinap!$A$2:$R$9000,5,FALSE)</f>
        <v>7 años 3 meses</v>
      </c>
      <c r="N1504" s="15" t="str">
        <f>VLOOKUP(A1504,sinap!$A$2:$R$9000,6,FALSE)</f>
        <v>30-09-2018</v>
      </c>
      <c r="O1504" s="15" t="str">
        <f>VLOOKUP(A1504,sinap!$A$2:$R$9000,7,FALSE)</f>
        <v>Vivo</v>
      </c>
      <c r="P1504" s="15" t="str">
        <f>VLOOKUP(A1504,sinap!$A$2:$R$9000,8,FALSE)</f>
        <v>11.1.01.0791</v>
      </c>
      <c r="Q1504" s="15" t="str">
        <f>VLOOKUP(A1504,sinap!$A$2:$R$9000,12,FALSE)</f>
        <v>11.1.01.0893</v>
      </c>
      <c r="R1504" s="15" t="str">
        <f>VLOOKUP(A1504,sinap!$A$2:$R$9000,16,FALSE)</f>
        <v>11.1.01.0893</v>
      </c>
      <c r="S1504" s="15" t="str">
        <f>VLOOKUP(A1504,sinap!$A$2:$Y$9000,20,FALSE)</f>
        <v>NO</v>
      </c>
    </row>
    <row r="1505" spans="1:20" x14ac:dyDescent="0.25">
      <c r="A1505" s="15">
        <v>23323699</v>
      </c>
      <c r="C1505" s="15">
        <v>8392634</v>
      </c>
      <c r="D1505" s="16">
        <v>44139</v>
      </c>
      <c r="E1505" s="16">
        <v>44385</v>
      </c>
      <c r="J1505" s="15" t="str">
        <f>VLOOKUP(A1505,sinap!$A$2:$R$9000,2,FALSE)</f>
        <v>H</v>
      </c>
      <c r="K1505" s="15" t="str">
        <f>VLOOKUP(A1505,sinap!$A$2:$R$9000,3,FALSE)</f>
        <v>VACA</v>
      </c>
      <c r="L1505" s="15" t="str">
        <f>VLOOKUP(A1505,sinap!$A$2:$R$9000,4,FALSE)</f>
        <v>ANGUS NEGRO</v>
      </c>
      <c r="M1505" s="15" t="str">
        <f>VLOOKUP(A1505,sinap!$A$2:$R$9000,5,FALSE)</f>
        <v>13 años 2 meses</v>
      </c>
      <c r="N1505" s="15" t="str">
        <f>VLOOKUP(A1505,sinap!$A$2:$R$9000,6,FALSE)</f>
        <v>30-10-2012</v>
      </c>
      <c r="O1505" s="15" t="str">
        <f>VLOOKUP(A1505,sinap!$A$2:$R$9000,7,FALSE)</f>
        <v>Vivo</v>
      </c>
      <c r="P1505" s="15" t="str">
        <f>VLOOKUP(A1505,sinap!$A$2:$R$9000,8,FALSE)</f>
        <v>11.2.01.0038</v>
      </c>
      <c r="Q1505" s="15" t="str">
        <f>VLOOKUP(A1505,sinap!$A$2:$R$9000,12,FALSE)</f>
        <v>11.1.01.0893</v>
      </c>
      <c r="R1505" s="15" t="str">
        <f>VLOOKUP(A1505,sinap!$A$2:$R$9000,16,FALSE)</f>
        <v>11.1.01.0789</v>
      </c>
      <c r="S1505" s="15" t="str">
        <f>VLOOKUP(A1505,sinap!$A$2:$Y$9000,20,FALSE)</f>
        <v>SI</v>
      </c>
    </row>
    <row r="1506" spans="1:20" hidden="1" x14ac:dyDescent="0.25">
      <c r="A1506" s="15">
        <v>23584127</v>
      </c>
      <c r="J1506" s="15" t="str">
        <f>VLOOKUP(A1506,sinap!$A$2:$R$9000,2,FALSE)</f>
        <v>M</v>
      </c>
      <c r="K1506" s="15" t="str">
        <f>VLOOKUP(A1506,sinap!$A$2:$R$9000,3,FALSE)</f>
        <v>NOVILLO</v>
      </c>
      <c r="L1506" s="15" t="str">
        <f>VLOOKUP(A1506,sinap!$A$2:$R$9000,4,FALSE)</f>
        <v>ANGUS NEGRO</v>
      </c>
      <c r="M1506" s="15" t="str">
        <f>VLOOKUP(A1506,sinap!$A$2:$R$9000,5,FALSE)</f>
        <v>2 años 3 meses</v>
      </c>
      <c r="N1506" s="15" t="str">
        <f>VLOOKUP(A1506,sinap!$A$2:$R$9000,6,FALSE)</f>
        <v>15-10-2023</v>
      </c>
      <c r="O1506" s="15" t="str">
        <f>VLOOKUP(A1506,sinap!$A$2:$R$9000,7,FALSE)</f>
        <v>Vivo</v>
      </c>
      <c r="P1506" s="15" t="str">
        <f>VLOOKUP(A1506,sinap!$A$2:$R$9000,8,FALSE)</f>
        <v>11.1.01.1241</v>
      </c>
      <c r="Q1506" s="15" t="str">
        <f>VLOOKUP(A1506,sinap!$A$2:$R$9000,12,FALSE)</f>
        <v>11.1.01.2408</v>
      </c>
      <c r="R1506" s="15" t="str">
        <f>VLOOKUP(A1506,sinap!$A$2:$R$9000,16,FALSE)</f>
        <v>11.1.01.0290</v>
      </c>
      <c r="S1506" s="15" t="str">
        <f>VLOOKUP(A1506,sinap!$A$2:$Y$9000,20,FALSE)</f>
        <v>SI</v>
      </c>
    </row>
    <row r="1507" spans="1:20" hidden="1" x14ac:dyDescent="0.25">
      <c r="A1507" s="15">
        <v>24567015</v>
      </c>
      <c r="J1507" s="15" t="str">
        <f>VLOOKUP(A1507,sinap!$A$2:$R$9000,2,FALSE)</f>
        <v>H</v>
      </c>
      <c r="K1507" s="15" t="str">
        <f>VLOOKUP(A1507,sinap!$A$2:$R$9000,3,FALSE)</f>
        <v>VAQUILLA</v>
      </c>
      <c r="L1507" s="15" t="str">
        <f>VLOOKUP(A1507,sinap!$A$2:$R$9000,4,FALSE)</f>
        <v>ANGUS ROJO</v>
      </c>
      <c r="M1507" s="15" t="str">
        <f>VLOOKUP(A1507,sinap!$A$2:$R$9000,5,FALSE)</f>
        <v>1 años 4 meses</v>
      </c>
      <c r="N1507" s="15" t="str">
        <f>VLOOKUP(A1507,sinap!$A$2:$R$9000,6,FALSE)</f>
        <v>15-09-2024</v>
      </c>
      <c r="O1507" s="15" t="str">
        <f>VLOOKUP(A1507,sinap!$A$2:$R$9000,7,FALSE)</f>
        <v>Vivo</v>
      </c>
      <c r="P1507" s="15" t="str">
        <f>VLOOKUP(A1507,sinap!$A$2:$R$9000,8,FALSE)</f>
        <v>11.1.01.1241</v>
      </c>
      <c r="Q1507" s="15" t="str">
        <f>VLOOKUP(A1507,sinap!$A$2:$R$9000,12,FALSE)</f>
        <v>11.2.01.0038</v>
      </c>
      <c r="R1507" s="15" t="str">
        <f>VLOOKUP(A1507,sinap!$A$2:$R$9000,16,FALSE)</f>
        <v>11.1.01.1241</v>
      </c>
      <c r="S1507" s="15" t="str">
        <f>VLOOKUP(A1507,sinap!$A$2:$Y$9000,20,FALSE)</f>
        <v>SI</v>
      </c>
      <c r="T1507" s="16">
        <v>45577</v>
      </c>
    </row>
    <row r="1508" spans="1:20" hidden="1" x14ac:dyDescent="0.25">
      <c r="A1508" s="15">
        <v>24567018</v>
      </c>
      <c r="J1508" s="15" t="str">
        <f>VLOOKUP(A1508,sinap!$A$2:$R$9000,2,FALSE)</f>
        <v>H</v>
      </c>
      <c r="K1508" s="15" t="str">
        <f>VLOOKUP(A1508,sinap!$A$2:$R$9000,3,FALSE)</f>
        <v>VAQUILLA</v>
      </c>
      <c r="L1508" s="15" t="str">
        <f>VLOOKUP(A1508,sinap!$A$2:$R$9000,4,FALSE)</f>
        <v>ANGUS NEGRO</v>
      </c>
      <c r="M1508" s="15" t="str">
        <f>VLOOKUP(A1508,sinap!$A$2:$R$9000,5,FALSE)</f>
        <v>1 años 4 meses</v>
      </c>
      <c r="N1508" s="15" t="str">
        <f>VLOOKUP(A1508,sinap!$A$2:$R$9000,6,FALSE)</f>
        <v>15-09-2024</v>
      </c>
      <c r="O1508" s="15" t="str">
        <f>VLOOKUP(A1508,sinap!$A$2:$R$9000,7,FALSE)</f>
        <v>Vivo</v>
      </c>
      <c r="P1508" s="15" t="str">
        <f>VLOOKUP(A1508,sinap!$A$2:$R$9000,8,FALSE)</f>
        <v>11.1.01.2304</v>
      </c>
      <c r="Q1508" s="15" t="str">
        <f>VLOOKUP(A1508,sinap!$A$2:$R$9000,12,FALSE)</f>
        <v>11.2.01.0053</v>
      </c>
      <c r="R1508" s="15" t="str">
        <f>VLOOKUP(A1508,sinap!$A$2:$R$9000,16,FALSE)</f>
        <v>11.1.01.1241</v>
      </c>
      <c r="S1508" s="15" t="str">
        <f>VLOOKUP(A1508,sinap!$A$2:$Y$9000,20,FALSE)</f>
        <v>SI</v>
      </c>
      <c r="T1508" s="16">
        <v>45550</v>
      </c>
    </row>
    <row r="1509" spans="1:20" hidden="1" x14ac:dyDescent="0.25">
      <c r="A1509" s="15">
        <v>24567021</v>
      </c>
      <c r="I1509" s="16">
        <v>45887</v>
      </c>
      <c r="J1509" s="15" t="str">
        <f>VLOOKUP(A1509,sinap!$A$2:$R$9000,2,FALSE)</f>
        <v>H</v>
      </c>
      <c r="K1509" s="15" t="str">
        <f>VLOOKUP(A1509,sinap!$A$2:$R$9000,3,FALSE)</f>
        <v>VAQUILLA</v>
      </c>
      <c r="L1509" s="15" t="str">
        <f>VLOOKUP(A1509,sinap!$A$2:$R$9000,4,FALSE)</f>
        <v>ANGUS NEGRO</v>
      </c>
      <c r="M1509" s="15" t="str">
        <f>VLOOKUP(A1509,sinap!$A$2:$R$9000,5,FALSE)</f>
        <v>1 años 4 meses</v>
      </c>
      <c r="N1509" s="15" t="str">
        <f>VLOOKUP(A1509,sinap!$A$2:$R$9000,6,FALSE)</f>
        <v>15-09-2024</v>
      </c>
      <c r="O1509" s="15" t="str">
        <f>VLOOKUP(A1509,sinap!$A$2:$R$9000,7,FALSE)</f>
        <v>Vivo</v>
      </c>
      <c r="P1509" s="15" t="str">
        <f>VLOOKUP(A1509,sinap!$A$2:$R$9000,8,FALSE)</f>
        <v>11.1.01.0941</v>
      </c>
      <c r="Q1509" s="15" t="str">
        <f>VLOOKUP(A1509,sinap!$A$2:$R$9000,12,FALSE)</f>
        <v>11.2.01.0053</v>
      </c>
      <c r="R1509" s="15" t="str">
        <f>VLOOKUP(A1509,sinap!$A$2:$R$9000,16,FALSE)</f>
        <v>11.1.01.1241</v>
      </c>
      <c r="S1509" s="15" t="str">
        <f>VLOOKUP(A1509,sinap!$A$2:$Y$9000,20,FALSE)</f>
        <v>SI</v>
      </c>
      <c r="T1509" s="16">
        <v>45550</v>
      </c>
    </row>
    <row r="1510" spans="1:20" hidden="1" x14ac:dyDescent="0.25">
      <c r="A1510" s="15">
        <v>24567029</v>
      </c>
      <c r="I1510" s="16">
        <v>45887</v>
      </c>
      <c r="J1510" s="15" t="str">
        <f>VLOOKUP(A1510,sinap!$A$2:$R$9000,2,FALSE)</f>
        <v>H</v>
      </c>
      <c r="K1510" s="15" t="str">
        <f>VLOOKUP(A1510,sinap!$A$2:$R$9000,3,FALSE)</f>
        <v>VAQUILLA</v>
      </c>
      <c r="L1510" s="15" t="str">
        <f>VLOOKUP(A1510,sinap!$A$2:$R$9000,4,FALSE)</f>
        <v>ANGUS NEGRO</v>
      </c>
      <c r="M1510" s="15" t="str">
        <f>VLOOKUP(A1510,sinap!$A$2:$R$9000,5,FALSE)</f>
        <v>1 años 4 meses</v>
      </c>
      <c r="N1510" s="15" t="str">
        <f>VLOOKUP(A1510,sinap!$A$2:$R$9000,6,FALSE)</f>
        <v>15-09-2024</v>
      </c>
      <c r="O1510" s="15" t="str">
        <f>VLOOKUP(A1510,sinap!$A$2:$R$9000,7,FALSE)</f>
        <v>Vivo</v>
      </c>
      <c r="P1510" s="15" t="str">
        <f>VLOOKUP(A1510,sinap!$A$2:$R$9000,8,FALSE)</f>
        <v>11.1.01.0941</v>
      </c>
      <c r="Q1510" s="15" t="str">
        <f>VLOOKUP(A1510,sinap!$A$2:$R$9000,12,FALSE)</f>
        <v>11.2.01.0053</v>
      </c>
      <c r="R1510" s="15" t="str">
        <f>VLOOKUP(A1510,sinap!$A$2:$R$9000,16,FALSE)</f>
        <v>11.1.01.1241</v>
      </c>
      <c r="S1510" s="15" t="str">
        <f>VLOOKUP(A1510,sinap!$A$2:$Y$9000,20,FALSE)</f>
        <v>SI</v>
      </c>
      <c r="T1510" s="16">
        <v>45577</v>
      </c>
    </row>
    <row r="1511" spans="1:20" hidden="1" x14ac:dyDescent="0.25">
      <c r="A1511" s="15">
        <v>24567032</v>
      </c>
      <c r="I1511" s="16">
        <v>45887</v>
      </c>
      <c r="J1511" s="15" t="str">
        <f>VLOOKUP(A1511,sinap!$A$2:$R$9000,2,FALSE)</f>
        <v>H</v>
      </c>
      <c r="K1511" s="15" t="str">
        <f>VLOOKUP(A1511,sinap!$A$2:$R$9000,3,FALSE)</f>
        <v>VAQUILLA</v>
      </c>
      <c r="L1511" s="15" t="str">
        <f>VLOOKUP(A1511,sinap!$A$2:$R$9000,4,FALSE)</f>
        <v>ANGUS NEGRO</v>
      </c>
      <c r="M1511" s="15" t="str">
        <f>VLOOKUP(A1511,sinap!$A$2:$R$9000,5,FALSE)</f>
        <v>1 años 4 meses</v>
      </c>
      <c r="N1511" s="15" t="str">
        <f>VLOOKUP(A1511,sinap!$A$2:$R$9000,6,FALSE)</f>
        <v>15-09-2024</v>
      </c>
      <c r="O1511" s="15" t="str">
        <f>VLOOKUP(A1511,sinap!$A$2:$R$9000,7,FALSE)</f>
        <v>Vivo</v>
      </c>
      <c r="P1511" s="15" t="str">
        <f>VLOOKUP(A1511,sinap!$A$2:$R$9000,8,FALSE)</f>
        <v>11.1.01.0941</v>
      </c>
      <c r="Q1511" s="15" t="str">
        <f>VLOOKUP(A1511,sinap!$A$2:$R$9000,12,FALSE)</f>
        <v>11.2.01.0053</v>
      </c>
      <c r="R1511" s="15" t="str">
        <f>VLOOKUP(A1511,sinap!$A$2:$R$9000,16,FALSE)</f>
        <v>11.1.01.1241</v>
      </c>
      <c r="S1511" s="15" t="str">
        <f>VLOOKUP(A1511,sinap!$A$2:$Y$9000,20,FALSE)</f>
        <v>SI</v>
      </c>
      <c r="T1511" s="16">
        <v>45577</v>
      </c>
    </row>
    <row r="1512" spans="1:20" hidden="1" x14ac:dyDescent="0.25">
      <c r="A1512" s="15">
        <v>24567038</v>
      </c>
      <c r="I1512" s="16">
        <v>45813</v>
      </c>
      <c r="J1512" s="15" t="str">
        <f>VLOOKUP(A1512,sinap!$A$2:$R$9000,2,FALSE)</f>
        <v>H</v>
      </c>
      <c r="K1512" s="15" t="str">
        <f>VLOOKUP(A1512,sinap!$A$2:$R$9000,3,FALSE)</f>
        <v>VAQUILLA</v>
      </c>
      <c r="L1512" s="15" t="str">
        <f>VLOOKUP(A1512,sinap!$A$2:$R$9000,4,FALSE)</f>
        <v>ANGUS NEGRO</v>
      </c>
      <c r="M1512" s="15" t="str">
        <f>VLOOKUP(A1512,sinap!$A$2:$R$9000,5,FALSE)</f>
        <v>1 años 4 meses</v>
      </c>
      <c r="N1512" s="15" t="str">
        <f>VLOOKUP(A1512,sinap!$A$2:$R$9000,6,FALSE)</f>
        <v>15-09-2024</v>
      </c>
      <c r="O1512" s="15" t="str">
        <f>VLOOKUP(A1512,sinap!$A$2:$R$9000,7,FALSE)</f>
        <v>Vivo</v>
      </c>
      <c r="P1512" s="15" t="str">
        <f>VLOOKUP(A1512,sinap!$A$2:$R$9000,8,FALSE)</f>
        <v>11.1.01.1241</v>
      </c>
      <c r="Q1512" s="15" t="str">
        <f>VLOOKUP(A1512,sinap!$A$2:$R$9000,12,FALSE)</f>
        <v>11.2.01.0038</v>
      </c>
      <c r="R1512" s="15" t="str">
        <f>VLOOKUP(A1512,sinap!$A$2:$R$9000,16,FALSE)</f>
        <v>11.1.01.1241</v>
      </c>
      <c r="S1512" s="15" t="str">
        <f>VLOOKUP(A1512,sinap!$A$2:$Y$9000,20,FALSE)</f>
        <v>SI</v>
      </c>
      <c r="T1512" s="16">
        <v>45577</v>
      </c>
    </row>
    <row r="1513" spans="1:20" hidden="1" x14ac:dyDescent="0.25">
      <c r="A1513" s="15">
        <v>24567039</v>
      </c>
      <c r="I1513" s="16">
        <v>45887</v>
      </c>
      <c r="J1513" s="15" t="str">
        <f>VLOOKUP(A1513,sinap!$A$2:$R$9000,2,FALSE)</f>
        <v>H</v>
      </c>
      <c r="K1513" s="15" t="str">
        <f>VLOOKUP(A1513,sinap!$A$2:$R$9000,3,FALSE)</f>
        <v>VAQUILLA</v>
      </c>
      <c r="L1513" s="15" t="str">
        <f>VLOOKUP(A1513,sinap!$A$2:$R$9000,4,FALSE)</f>
        <v>ANGUS NEGRO</v>
      </c>
      <c r="M1513" s="15" t="str">
        <f>VLOOKUP(A1513,sinap!$A$2:$R$9000,5,FALSE)</f>
        <v>1 años 4 meses</v>
      </c>
      <c r="N1513" s="15" t="str">
        <f>VLOOKUP(A1513,sinap!$A$2:$R$9000,6,FALSE)</f>
        <v>15-09-2024</v>
      </c>
      <c r="O1513" s="15" t="str">
        <f>VLOOKUP(A1513,sinap!$A$2:$R$9000,7,FALSE)</f>
        <v>Vivo</v>
      </c>
      <c r="P1513" s="15" t="str">
        <f>VLOOKUP(A1513,sinap!$A$2:$R$9000,8,FALSE)</f>
        <v>11.1.01.0941</v>
      </c>
      <c r="Q1513" s="15" t="str">
        <f>VLOOKUP(A1513,sinap!$A$2:$R$9000,12,FALSE)</f>
        <v>11.2.01.0053</v>
      </c>
      <c r="R1513" s="15" t="str">
        <f>VLOOKUP(A1513,sinap!$A$2:$R$9000,16,FALSE)</f>
        <v>11.1.01.1241</v>
      </c>
      <c r="S1513" s="15" t="str">
        <f>VLOOKUP(A1513,sinap!$A$2:$Y$9000,20,FALSE)</f>
        <v>SI</v>
      </c>
      <c r="T1513" s="16">
        <v>45577</v>
      </c>
    </row>
    <row r="1514" spans="1:20" hidden="1" x14ac:dyDescent="0.25">
      <c r="A1514" s="15">
        <v>24567044</v>
      </c>
      <c r="J1514" s="15" t="str">
        <f>VLOOKUP(A1514,sinap!$A$2:$R$9000,2,FALSE)</f>
        <v>M</v>
      </c>
      <c r="K1514" s="15" t="str">
        <f>VLOOKUP(A1514,sinap!$A$2:$R$9000,3,FALSE)</f>
        <v>NOVILLO</v>
      </c>
      <c r="L1514" s="15" t="str">
        <f>VLOOKUP(A1514,sinap!$A$2:$R$9000,4,FALSE)</f>
        <v>ANGUS NEGRO</v>
      </c>
      <c r="M1514" s="15" t="str">
        <f>VLOOKUP(A1514,sinap!$A$2:$R$9000,5,FALSE)</f>
        <v>1 años 4 meses</v>
      </c>
      <c r="N1514" s="15" t="str">
        <f>VLOOKUP(A1514,sinap!$A$2:$R$9000,6,FALSE)</f>
        <v>15-09-2024</v>
      </c>
      <c r="O1514" s="15" t="str">
        <f>VLOOKUP(A1514,sinap!$A$2:$R$9000,7,FALSE)</f>
        <v>Vivo</v>
      </c>
      <c r="P1514" s="15" t="str">
        <f>VLOOKUP(A1514,sinap!$A$2:$R$9000,8,FALSE)</f>
        <v>11.1.01.1241</v>
      </c>
      <c r="Q1514" s="15" t="str">
        <f>VLOOKUP(A1514,sinap!$A$2:$R$9000,12,FALSE)</f>
        <v>Sin Movimiento</v>
      </c>
      <c r="R1514" s="15" t="str">
        <f>VLOOKUP(A1514,sinap!$A$2:$R$9000,16,FALSE)</f>
        <v>11.1.01.1241</v>
      </c>
      <c r="S1514" s="15" t="str">
        <f>VLOOKUP(A1514,sinap!$A$2:$Y$9000,20,FALSE)</f>
        <v>SI</v>
      </c>
      <c r="T1514" s="16">
        <v>45577</v>
      </c>
    </row>
    <row r="1515" spans="1:20" hidden="1" x14ac:dyDescent="0.25">
      <c r="A1515" s="15">
        <v>24567046</v>
      </c>
      <c r="I1515" s="16">
        <v>45887</v>
      </c>
      <c r="J1515" s="15" t="str">
        <f>VLOOKUP(A1515,sinap!$A$2:$R$9000,2,FALSE)</f>
        <v>H</v>
      </c>
      <c r="K1515" s="15" t="str">
        <f>VLOOKUP(A1515,sinap!$A$2:$R$9000,3,FALSE)</f>
        <v>VAQUILLA</v>
      </c>
      <c r="L1515" s="15" t="str">
        <f>VLOOKUP(A1515,sinap!$A$2:$R$9000,4,FALSE)</f>
        <v>ANGUS NEGRO</v>
      </c>
      <c r="M1515" s="15" t="str">
        <f>VLOOKUP(A1515,sinap!$A$2:$R$9000,5,FALSE)</f>
        <v>1 años 4 meses</v>
      </c>
      <c r="N1515" s="15" t="str">
        <f>VLOOKUP(A1515,sinap!$A$2:$R$9000,6,FALSE)</f>
        <v>15-09-2024</v>
      </c>
      <c r="O1515" s="15" t="str">
        <f>VLOOKUP(A1515,sinap!$A$2:$R$9000,7,FALSE)</f>
        <v>Vivo</v>
      </c>
      <c r="P1515" s="15" t="str">
        <f>VLOOKUP(A1515,sinap!$A$2:$R$9000,8,FALSE)</f>
        <v>11.1.01.0941</v>
      </c>
      <c r="Q1515" s="15" t="str">
        <f>VLOOKUP(A1515,sinap!$A$2:$R$9000,12,FALSE)</f>
        <v>11.2.01.0053</v>
      </c>
      <c r="R1515" s="15" t="str">
        <f>VLOOKUP(A1515,sinap!$A$2:$R$9000,16,FALSE)</f>
        <v>11.1.01.1241</v>
      </c>
      <c r="S1515" s="15" t="str">
        <f>VLOOKUP(A1515,sinap!$A$2:$Y$9000,20,FALSE)</f>
        <v>SI</v>
      </c>
      <c r="T1515" s="16">
        <v>45550</v>
      </c>
    </row>
    <row r="1516" spans="1:20" hidden="1" x14ac:dyDescent="0.25">
      <c r="A1516" s="15">
        <v>24567047</v>
      </c>
      <c r="I1516" s="16">
        <v>45887</v>
      </c>
      <c r="J1516" s="15" t="str">
        <f>VLOOKUP(A1516,sinap!$A$2:$R$9000,2,FALSE)</f>
        <v>H</v>
      </c>
      <c r="K1516" s="15" t="str">
        <f>VLOOKUP(A1516,sinap!$A$2:$R$9000,3,FALSE)</f>
        <v>VAQUILLA</v>
      </c>
      <c r="L1516" s="15" t="str">
        <f>VLOOKUP(A1516,sinap!$A$2:$R$9000,4,FALSE)</f>
        <v>ANGUS NEGRO</v>
      </c>
      <c r="M1516" s="15" t="str">
        <f>VLOOKUP(A1516,sinap!$A$2:$R$9000,5,FALSE)</f>
        <v>1 años 4 meses</v>
      </c>
      <c r="N1516" s="15" t="str">
        <f>VLOOKUP(A1516,sinap!$A$2:$R$9000,6,FALSE)</f>
        <v>15-09-2024</v>
      </c>
      <c r="O1516" s="15" t="str">
        <f>VLOOKUP(A1516,sinap!$A$2:$R$9000,7,FALSE)</f>
        <v>Vivo</v>
      </c>
      <c r="P1516" s="15" t="str">
        <f>VLOOKUP(A1516,sinap!$A$2:$R$9000,8,FALSE)</f>
        <v>11.1.01.0941</v>
      </c>
      <c r="Q1516" s="15" t="str">
        <f>VLOOKUP(A1516,sinap!$A$2:$R$9000,12,FALSE)</f>
        <v>11.2.01.0053</v>
      </c>
      <c r="R1516" s="15" t="str">
        <f>VLOOKUP(A1516,sinap!$A$2:$R$9000,16,FALSE)</f>
        <v>11.1.01.1241</v>
      </c>
      <c r="S1516" s="15" t="str">
        <f>VLOOKUP(A1516,sinap!$A$2:$Y$9000,20,FALSE)</f>
        <v>SI</v>
      </c>
      <c r="T1516" s="16">
        <v>45550</v>
      </c>
    </row>
    <row r="1517" spans="1:20" hidden="1" x14ac:dyDescent="0.25">
      <c r="A1517" s="15">
        <v>24567052</v>
      </c>
      <c r="J1517" s="15" t="str">
        <f>VLOOKUP(A1517,sinap!$A$2:$R$9000,2,FALSE)</f>
        <v>M</v>
      </c>
      <c r="K1517" s="15" t="str">
        <f>VLOOKUP(A1517,sinap!$A$2:$R$9000,3,FALSE)</f>
        <v>NOVILLO</v>
      </c>
      <c r="L1517" s="15" t="str">
        <f>VLOOKUP(A1517,sinap!$A$2:$R$9000,4,FALSE)</f>
        <v>ANGUS NEGRO</v>
      </c>
      <c r="M1517" s="15" t="str">
        <f>VLOOKUP(A1517,sinap!$A$2:$R$9000,5,FALSE)</f>
        <v>1 años 4 meses</v>
      </c>
      <c r="N1517" s="15" t="str">
        <f>VLOOKUP(A1517,sinap!$A$2:$R$9000,6,FALSE)</f>
        <v>15-09-2024</v>
      </c>
      <c r="O1517" s="15" t="str">
        <f>VLOOKUP(A1517,sinap!$A$2:$R$9000,7,FALSE)</f>
        <v>Vivo</v>
      </c>
      <c r="P1517" s="15" t="str">
        <f>VLOOKUP(A1517,sinap!$A$2:$R$9000,8,FALSE)</f>
        <v>11.1.01.1241</v>
      </c>
      <c r="Q1517" s="15" t="str">
        <f>VLOOKUP(A1517,sinap!$A$2:$R$9000,12,FALSE)</f>
        <v>Sin Movimiento</v>
      </c>
      <c r="R1517" s="15" t="str">
        <f>VLOOKUP(A1517,sinap!$A$2:$R$9000,16,FALSE)</f>
        <v>11.1.01.1241</v>
      </c>
      <c r="S1517" s="15" t="str">
        <f>VLOOKUP(A1517,sinap!$A$2:$Y$9000,20,FALSE)</f>
        <v>SI</v>
      </c>
      <c r="T1517" s="16">
        <v>45577</v>
      </c>
    </row>
    <row r="1518" spans="1:20" hidden="1" x14ac:dyDescent="0.25">
      <c r="A1518" s="15">
        <v>24567054</v>
      </c>
      <c r="J1518" s="15" t="str">
        <f>VLOOKUP(A1518,sinap!$A$2:$R$9000,2,FALSE)</f>
        <v>H</v>
      </c>
      <c r="K1518" s="15" t="str">
        <f>VLOOKUP(A1518,sinap!$A$2:$R$9000,3,FALSE)</f>
        <v>VAQUILLA</v>
      </c>
      <c r="L1518" s="15" t="str">
        <f>VLOOKUP(A1518,sinap!$A$2:$R$9000,4,FALSE)</f>
        <v>ANGUS NEGRO</v>
      </c>
      <c r="M1518" s="15" t="str">
        <f>VLOOKUP(A1518,sinap!$A$2:$R$9000,5,FALSE)</f>
        <v>1 años 4 meses</v>
      </c>
      <c r="N1518" s="15" t="str">
        <f>VLOOKUP(A1518,sinap!$A$2:$R$9000,6,FALSE)</f>
        <v>15-09-2024</v>
      </c>
      <c r="O1518" s="15" t="str">
        <f>VLOOKUP(A1518,sinap!$A$2:$R$9000,7,FALSE)</f>
        <v>Vivo</v>
      </c>
      <c r="P1518" s="15" t="str">
        <f>VLOOKUP(A1518,sinap!$A$2:$R$9000,8,FALSE)</f>
        <v>11.1.01.1241</v>
      </c>
      <c r="Q1518" s="15" t="str">
        <f>VLOOKUP(A1518,sinap!$A$2:$R$9000,12,FALSE)</f>
        <v>Sin Movimiento</v>
      </c>
      <c r="R1518" s="15" t="str">
        <f>VLOOKUP(A1518,sinap!$A$2:$R$9000,16,FALSE)</f>
        <v>11.1.01.1241</v>
      </c>
      <c r="S1518" s="15" t="str">
        <f>VLOOKUP(A1518,sinap!$A$2:$Y$9000,20,FALSE)</f>
        <v>SI</v>
      </c>
      <c r="T1518" s="16">
        <v>45577</v>
      </c>
    </row>
    <row r="1519" spans="1:20" hidden="1" x14ac:dyDescent="0.25">
      <c r="A1519" s="15">
        <v>24567064</v>
      </c>
      <c r="I1519" s="16">
        <v>45887</v>
      </c>
      <c r="J1519" s="15" t="str">
        <f>VLOOKUP(A1519,sinap!$A$2:$R$9000,2,FALSE)</f>
        <v>H</v>
      </c>
      <c r="K1519" s="15" t="str">
        <f>VLOOKUP(A1519,sinap!$A$2:$R$9000,3,FALSE)</f>
        <v>VAQUILLA</v>
      </c>
      <c r="L1519" s="15" t="str">
        <f>VLOOKUP(A1519,sinap!$A$2:$R$9000,4,FALSE)</f>
        <v>ANGUS NEGRO</v>
      </c>
      <c r="M1519" s="15" t="str">
        <f>VLOOKUP(A1519,sinap!$A$2:$R$9000,5,FALSE)</f>
        <v>1 años 5 meses</v>
      </c>
      <c r="N1519" s="15" t="str">
        <f>VLOOKUP(A1519,sinap!$A$2:$R$9000,6,FALSE)</f>
        <v>15-08-2024</v>
      </c>
      <c r="O1519" s="15" t="str">
        <f>VLOOKUP(A1519,sinap!$A$2:$R$9000,7,FALSE)</f>
        <v>Vivo</v>
      </c>
      <c r="P1519" s="15" t="str">
        <f>VLOOKUP(A1519,sinap!$A$2:$R$9000,8,FALSE)</f>
        <v>11.1.01.0941</v>
      </c>
      <c r="Q1519" s="15" t="str">
        <f>VLOOKUP(A1519,sinap!$A$2:$R$9000,12,FALSE)</f>
        <v>11.2.01.0053</v>
      </c>
      <c r="R1519" s="15" t="str">
        <f>VLOOKUP(A1519,sinap!$A$2:$R$9000,16,FALSE)</f>
        <v>11.1.01.1241</v>
      </c>
      <c r="S1519" s="15" t="str">
        <f>VLOOKUP(A1519,sinap!$A$2:$Y$9000,20,FALSE)</f>
        <v>SI</v>
      </c>
      <c r="T1519" s="16">
        <v>45577</v>
      </c>
    </row>
    <row r="1520" spans="1:20" hidden="1" x14ac:dyDescent="0.25">
      <c r="A1520" s="15">
        <v>24567065</v>
      </c>
      <c r="I1520" s="16">
        <v>45813</v>
      </c>
      <c r="J1520" s="15" t="str">
        <f>VLOOKUP(A1520,sinap!$A$2:$R$9000,2,FALSE)</f>
        <v>H</v>
      </c>
      <c r="K1520" s="15" t="str">
        <f>VLOOKUP(A1520,sinap!$A$2:$R$9000,3,FALSE)</f>
        <v>VAQUILLA</v>
      </c>
      <c r="L1520" s="15" t="str">
        <f>VLOOKUP(A1520,sinap!$A$2:$R$9000,4,FALSE)</f>
        <v>ANGUS ROJO</v>
      </c>
      <c r="M1520" s="15" t="str">
        <f>VLOOKUP(A1520,sinap!$A$2:$R$9000,5,FALSE)</f>
        <v>1 años 4 meses</v>
      </c>
      <c r="N1520" s="15" t="str">
        <f>VLOOKUP(A1520,sinap!$A$2:$R$9000,6,FALSE)</f>
        <v>15-09-2024</v>
      </c>
      <c r="O1520" s="15" t="str">
        <f>VLOOKUP(A1520,sinap!$A$2:$R$9000,7,FALSE)</f>
        <v>Vivo</v>
      </c>
      <c r="P1520" s="15" t="str">
        <f>VLOOKUP(A1520,sinap!$A$2:$R$9000,8,FALSE)</f>
        <v>11.1.01.1241</v>
      </c>
      <c r="Q1520" s="15" t="str">
        <f>VLOOKUP(A1520,sinap!$A$2:$R$9000,12,FALSE)</f>
        <v>11.2.01.0038</v>
      </c>
      <c r="R1520" s="15" t="str">
        <f>VLOOKUP(A1520,sinap!$A$2:$R$9000,16,FALSE)</f>
        <v>11.1.01.1241</v>
      </c>
      <c r="S1520" s="15" t="str">
        <f>VLOOKUP(A1520,sinap!$A$2:$Y$9000,20,FALSE)</f>
        <v>SI</v>
      </c>
      <c r="T1520" s="16">
        <v>45577</v>
      </c>
    </row>
    <row r="1521" spans="1:20" hidden="1" x14ac:dyDescent="0.25">
      <c r="A1521" s="15">
        <v>24567068</v>
      </c>
      <c r="I1521" s="16">
        <v>45813</v>
      </c>
      <c r="J1521" s="15" t="str">
        <f>VLOOKUP(A1521,sinap!$A$2:$R$9000,2,FALSE)</f>
        <v>H</v>
      </c>
      <c r="K1521" s="15" t="str">
        <f>VLOOKUP(A1521,sinap!$A$2:$R$9000,3,FALSE)</f>
        <v>VAQUILLA</v>
      </c>
      <c r="L1521" s="15" t="str">
        <f>VLOOKUP(A1521,sinap!$A$2:$R$9000,4,FALSE)</f>
        <v>ANGUS NEGRO</v>
      </c>
      <c r="M1521" s="15" t="str">
        <f>VLOOKUP(A1521,sinap!$A$2:$R$9000,5,FALSE)</f>
        <v>1 años 4 meses</v>
      </c>
      <c r="N1521" s="15" t="str">
        <f>VLOOKUP(A1521,sinap!$A$2:$R$9000,6,FALSE)</f>
        <v>15-09-2024</v>
      </c>
      <c r="O1521" s="15" t="str">
        <f>VLOOKUP(A1521,sinap!$A$2:$R$9000,7,FALSE)</f>
        <v>Vivo</v>
      </c>
      <c r="P1521" s="15" t="str">
        <f>VLOOKUP(A1521,sinap!$A$2:$R$9000,8,FALSE)</f>
        <v>11.1.01.1241</v>
      </c>
      <c r="Q1521" s="15" t="str">
        <f>VLOOKUP(A1521,sinap!$A$2:$R$9000,12,FALSE)</f>
        <v>11.2.01.0038</v>
      </c>
      <c r="R1521" s="15" t="str">
        <f>VLOOKUP(A1521,sinap!$A$2:$R$9000,16,FALSE)</f>
        <v>11.1.01.1241</v>
      </c>
      <c r="S1521" s="15" t="str">
        <f>VLOOKUP(A1521,sinap!$A$2:$Y$9000,20,FALSE)</f>
        <v>SI</v>
      </c>
      <c r="T1521" s="16">
        <v>45577</v>
      </c>
    </row>
    <row r="1522" spans="1:20" hidden="1" x14ac:dyDescent="0.25">
      <c r="A1522" s="15">
        <v>24567070</v>
      </c>
      <c r="I1522" s="16">
        <v>45887</v>
      </c>
      <c r="J1522" s="15" t="str">
        <f>VLOOKUP(A1522,sinap!$A$2:$R$9000,2,FALSE)</f>
        <v>H</v>
      </c>
      <c r="K1522" s="15" t="str">
        <f>VLOOKUP(A1522,sinap!$A$2:$R$9000,3,FALSE)</f>
        <v>VAQUILLA</v>
      </c>
      <c r="L1522" s="15" t="str">
        <f>VLOOKUP(A1522,sinap!$A$2:$R$9000,4,FALSE)</f>
        <v>ANGUS ROJO</v>
      </c>
      <c r="M1522" s="15" t="str">
        <f>VLOOKUP(A1522,sinap!$A$2:$R$9000,5,FALSE)</f>
        <v>1 años 4 meses</v>
      </c>
      <c r="N1522" s="15" t="str">
        <f>VLOOKUP(A1522,sinap!$A$2:$R$9000,6,FALSE)</f>
        <v>15-09-2024</v>
      </c>
      <c r="O1522" s="15" t="str">
        <f>VLOOKUP(A1522,sinap!$A$2:$R$9000,7,FALSE)</f>
        <v>Vivo</v>
      </c>
      <c r="P1522" s="15" t="str">
        <f>VLOOKUP(A1522,sinap!$A$2:$R$9000,8,FALSE)</f>
        <v>11.1.01.0941</v>
      </c>
      <c r="Q1522" s="15" t="str">
        <f>VLOOKUP(A1522,sinap!$A$2:$R$9000,12,FALSE)</f>
        <v>11.2.01.0053</v>
      </c>
      <c r="R1522" s="15" t="str">
        <f>VLOOKUP(A1522,sinap!$A$2:$R$9000,16,FALSE)</f>
        <v>11.1.01.1241</v>
      </c>
      <c r="S1522" s="15" t="str">
        <f>VLOOKUP(A1522,sinap!$A$2:$Y$9000,20,FALSE)</f>
        <v>SI</v>
      </c>
      <c r="T1522" s="16">
        <v>45577</v>
      </c>
    </row>
    <row r="1523" spans="1:20" hidden="1" x14ac:dyDescent="0.25">
      <c r="A1523" s="15">
        <v>24567074</v>
      </c>
      <c r="I1523" s="16">
        <v>45813</v>
      </c>
      <c r="J1523" s="15" t="str">
        <f>VLOOKUP(A1523,sinap!$A$2:$R$9000,2,FALSE)</f>
        <v>H</v>
      </c>
      <c r="K1523" s="15" t="str">
        <f>VLOOKUP(A1523,sinap!$A$2:$R$9000,3,FALSE)</f>
        <v>VAQUILLA</v>
      </c>
      <c r="L1523" s="15" t="str">
        <f>VLOOKUP(A1523,sinap!$A$2:$R$9000,4,FALSE)</f>
        <v>ANGUS NEGRO</v>
      </c>
      <c r="M1523" s="15" t="str">
        <f>VLOOKUP(A1523,sinap!$A$2:$R$9000,5,FALSE)</f>
        <v>1 años 3 meses</v>
      </c>
      <c r="N1523" s="15" t="str">
        <f>VLOOKUP(A1523,sinap!$A$2:$R$9000,6,FALSE)</f>
        <v>01-10-2024</v>
      </c>
      <c r="O1523" s="15" t="str">
        <f>VLOOKUP(A1523,sinap!$A$2:$R$9000,7,FALSE)</f>
        <v>Vivo</v>
      </c>
      <c r="P1523" s="15" t="str">
        <f>VLOOKUP(A1523,sinap!$A$2:$R$9000,8,FALSE)</f>
        <v>11.1.01.1241</v>
      </c>
      <c r="Q1523" s="15" t="str">
        <f>VLOOKUP(A1523,sinap!$A$2:$R$9000,12,FALSE)</f>
        <v>11.2.01.0038</v>
      </c>
      <c r="R1523" s="15" t="str">
        <f>VLOOKUP(A1523,sinap!$A$2:$R$9000,16,FALSE)</f>
        <v>11.1.01.1241</v>
      </c>
      <c r="S1523" s="15" t="str">
        <f>VLOOKUP(A1523,sinap!$A$2:$Y$9000,20,FALSE)</f>
        <v>SI</v>
      </c>
      <c r="T1523" s="16">
        <v>45577</v>
      </c>
    </row>
    <row r="1524" spans="1:20" hidden="1" x14ac:dyDescent="0.25">
      <c r="A1524" s="15">
        <v>24567077</v>
      </c>
      <c r="I1524" s="16">
        <v>45813</v>
      </c>
      <c r="J1524" s="15" t="str">
        <f>VLOOKUP(A1524,sinap!$A$2:$R$9000,2,FALSE)</f>
        <v>H</v>
      </c>
      <c r="K1524" s="15" t="str">
        <f>VLOOKUP(A1524,sinap!$A$2:$R$9000,3,FALSE)</f>
        <v>VAQUILLA</v>
      </c>
      <c r="L1524" s="15" t="str">
        <f>VLOOKUP(A1524,sinap!$A$2:$R$9000,4,FALSE)</f>
        <v>ANGUS NEGRO</v>
      </c>
      <c r="M1524" s="15" t="str">
        <f>VLOOKUP(A1524,sinap!$A$2:$R$9000,5,FALSE)</f>
        <v>1 años 4 meses</v>
      </c>
      <c r="N1524" s="15" t="str">
        <f>VLOOKUP(A1524,sinap!$A$2:$R$9000,6,FALSE)</f>
        <v>15-09-2024</v>
      </c>
      <c r="O1524" s="15" t="str">
        <f>VLOOKUP(A1524,sinap!$A$2:$R$9000,7,FALSE)</f>
        <v>Vivo</v>
      </c>
      <c r="P1524" s="15" t="str">
        <f>VLOOKUP(A1524,sinap!$A$2:$R$9000,8,FALSE)</f>
        <v>11.1.01.1241</v>
      </c>
      <c r="Q1524" s="15" t="str">
        <f>VLOOKUP(A1524,sinap!$A$2:$R$9000,12,FALSE)</f>
        <v>11.2.01.0038</v>
      </c>
      <c r="R1524" s="15" t="str">
        <f>VLOOKUP(A1524,sinap!$A$2:$R$9000,16,FALSE)</f>
        <v>11.1.01.1241</v>
      </c>
      <c r="S1524" s="15" t="str">
        <f>VLOOKUP(A1524,sinap!$A$2:$Y$9000,20,FALSE)</f>
        <v>SI</v>
      </c>
      <c r="T1524" s="16">
        <v>45577</v>
      </c>
    </row>
    <row r="1525" spans="1:20" hidden="1" x14ac:dyDescent="0.25">
      <c r="A1525" s="15">
        <v>24567078</v>
      </c>
      <c r="I1525" s="16">
        <v>45887</v>
      </c>
      <c r="J1525" s="15" t="str">
        <f>VLOOKUP(A1525,sinap!$A$2:$R$9000,2,FALSE)</f>
        <v>H</v>
      </c>
      <c r="K1525" s="15" t="str">
        <f>VLOOKUP(A1525,sinap!$A$2:$R$9000,3,FALSE)</f>
        <v>VAQUILLA</v>
      </c>
      <c r="L1525" s="15" t="str">
        <f>VLOOKUP(A1525,sinap!$A$2:$R$9000,4,FALSE)</f>
        <v>ANGUS NEGRO</v>
      </c>
      <c r="M1525" s="15" t="str">
        <f>VLOOKUP(A1525,sinap!$A$2:$R$9000,5,FALSE)</f>
        <v>1 años 4 meses</v>
      </c>
      <c r="N1525" s="15" t="str">
        <f>VLOOKUP(A1525,sinap!$A$2:$R$9000,6,FALSE)</f>
        <v>15-09-2024</v>
      </c>
      <c r="O1525" s="15" t="str">
        <f>VLOOKUP(A1525,sinap!$A$2:$R$9000,7,FALSE)</f>
        <v>Vivo</v>
      </c>
      <c r="P1525" s="15" t="str">
        <f>VLOOKUP(A1525,sinap!$A$2:$R$9000,8,FALSE)</f>
        <v>11.1.01.0941</v>
      </c>
      <c r="Q1525" s="15" t="str">
        <f>VLOOKUP(A1525,sinap!$A$2:$R$9000,12,FALSE)</f>
        <v>11.2.01.0053</v>
      </c>
      <c r="R1525" s="15" t="str">
        <f>VLOOKUP(A1525,sinap!$A$2:$R$9000,16,FALSE)</f>
        <v>11.1.01.1241</v>
      </c>
      <c r="S1525" s="15" t="str">
        <f>VLOOKUP(A1525,sinap!$A$2:$Y$9000,20,FALSE)</f>
        <v>SI</v>
      </c>
      <c r="T1525" s="16">
        <v>45550</v>
      </c>
    </row>
    <row r="1526" spans="1:20" hidden="1" x14ac:dyDescent="0.25">
      <c r="A1526" s="15">
        <v>24567083</v>
      </c>
      <c r="J1526" s="15" t="str">
        <f>VLOOKUP(A1526,sinap!$A$2:$R$9000,2,FALSE)</f>
        <v>H</v>
      </c>
      <c r="K1526" s="15" t="str">
        <f>VLOOKUP(A1526,sinap!$A$2:$R$9000,3,FALSE)</f>
        <v>VAQUILLA</v>
      </c>
      <c r="L1526" s="15" t="str">
        <f>VLOOKUP(A1526,sinap!$A$2:$R$9000,4,FALSE)</f>
        <v>ANGUS ROJO</v>
      </c>
      <c r="M1526" s="15" t="str">
        <f>VLOOKUP(A1526,sinap!$A$2:$R$9000,5,FALSE)</f>
        <v>1 años 4 meses</v>
      </c>
      <c r="N1526" s="15" t="str">
        <f>VLOOKUP(A1526,sinap!$A$2:$R$9000,6,FALSE)</f>
        <v>15-09-2024</v>
      </c>
      <c r="O1526" s="15" t="str">
        <f>VLOOKUP(A1526,sinap!$A$2:$R$9000,7,FALSE)</f>
        <v>Vivo</v>
      </c>
      <c r="P1526" s="15" t="str">
        <f>VLOOKUP(A1526,sinap!$A$2:$R$9000,8,FALSE)</f>
        <v>11.1.01.1241</v>
      </c>
      <c r="Q1526" s="15" t="str">
        <f>VLOOKUP(A1526,sinap!$A$2:$R$9000,12,FALSE)</f>
        <v>11.2.01.0038</v>
      </c>
      <c r="R1526" s="15" t="str">
        <f>VLOOKUP(A1526,sinap!$A$2:$R$9000,16,FALSE)</f>
        <v>11.1.01.1241</v>
      </c>
      <c r="S1526" s="15" t="str">
        <f>VLOOKUP(A1526,sinap!$A$2:$Y$9000,20,FALSE)</f>
        <v>SI</v>
      </c>
      <c r="T1526" s="16">
        <v>45577</v>
      </c>
    </row>
    <row r="1527" spans="1:20" hidden="1" x14ac:dyDescent="0.25">
      <c r="A1527" s="15">
        <v>24567085</v>
      </c>
      <c r="I1527" s="16">
        <v>45887</v>
      </c>
      <c r="J1527" s="15" t="str">
        <f>VLOOKUP(A1527,sinap!$A$2:$R$9000,2,FALSE)</f>
        <v>H</v>
      </c>
      <c r="K1527" s="15" t="str">
        <f>VLOOKUP(A1527,sinap!$A$2:$R$9000,3,FALSE)</f>
        <v>VAQUILLA</v>
      </c>
      <c r="L1527" s="15" t="str">
        <f>VLOOKUP(A1527,sinap!$A$2:$R$9000,4,FALSE)</f>
        <v>ANGUS NEGRO</v>
      </c>
      <c r="M1527" s="15" t="str">
        <f>VLOOKUP(A1527,sinap!$A$2:$R$9000,5,FALSE)</f>
        <v>1 años 4 meses</v>
      </c>
      <c r="N1527" s="15" t="str">
        <f>VLOOKUP(A1527,sinap!$A$2:$R$9000,6,FALSE)</f>
        <v>15-09-2024</v>
      </c>
      <c r="O1527" s="15" t="str">
        <f>VLOOKUP(A1527,sinap!$A$2:$R$9000,7,FALSE)</f>
        <v>Vivo</v>
      </c>
      <c r="P1527" s="15" t="str">
        <f>VLOOKUP(A1527,sinap!$A$2:$R$9000,8,FALSE)</f>
        <v>11.1.01.0941</v>
      </c>
      <c r="Q1527" s="15" t="str">
        <f>VLOOKUP(A1527,sinap!$A$2:$R$9000,12,FALSE)</f>
        <v>11.2.01.0053</v>
      </c>
      <c r="R1527" s="15" t="str">
        <f>VLOOKUP(A1527,sinap!$A$2:$R$9000,16,FALSE)</f>
        <v>11.1.01.1241</v>
      </c>
      <c r="S1527" s="15" t="str">
        <f>VLOOKUP(A1527,sinap!$A$2:$Y$9000,20,FALSE)</f>
        <v>SI</v>
      </c>
      <c r="T1527" s="16">
        <v>45550</v>
      </c>
    </row>
    <row r="1528" spans="1:20" hidden="1" x14ac:dyDescent="0.25">
      <c r="A1528" s="15">
        <v>24567089</v>
      </c>
      <c r="J1528" s="15" t="str">
        <f>VLOOKUP(A1528,sinap!$A$2:$R$9000,2,FALSE)</f>
        <v>H</v>
      </c>
      <c r="K1528" s="15" t="str">
        <f>VLOOKUP(A1528,sinap!$A$2:$R$9000,3,FALSE)</f>
        <v>VAQUILLA</v>
      </c>
      <c r="L1528" s="15" t="str">
        <f>VLOOKUP(A1528,sinap!$A$2:$R$9000,4,FALSE)</f>
        <v>ANGUS NEGRO</v>
      </c>
      <c r="M1528" s="15" t="str">
        <f>VLOOKUP(A1528,sinap!$A$2:$R$9000,5,FALSE)</f>
        <v>1 años 4 meses</v>
      </c>
      <c r="N1528" s="15" t="str">
        <f>VLOOKUP(A1528,sinap!$A$2:$R$9000,6,FALSE)</f>
        <v>15-09-2024</v>
      </c>
      <c r="O1528" s="15" t="str">
        <f>VLOOKUP(A1528,sinap!$A$2:$R$9000,7,FALSE)</f>
        <v>Vivo</v>
      </c>
      <c r="P1528" s="15" t="str">
        <f>VLOOKUP(A1528,sinap!$A$2:$R$9000,8,FALSE)</f>
        <v>11.1.01.1241</v>
      </c>
      <c r="Q1528" s="15" t="str">
        <f>VLOOKUP(A1528,sinap!$A$2:$R$9000,12,FALSE)</f>
        <v>Sin Movimiento</v>
      </c>
      <c r="R1528" s="15" t="str">
        <f>VLOOKUP(A1528,sinap!$A$2:$R$9000,16,FALSE)</f>
        <v>11.1.01.1241</v>
      </c>
      <c r="S1528" s="15" t="str">
        <f>VLOOKUP(A1528,sinap!$A$2:$Y$9000,20,FALSE)</f>
        <v>SI</v>
      </c>
      <c r="T1528" s="16">
        <v>45578</v>
      </c>
    </row>
    <row r="1529" spans="1:20" hidden="1" x14ac:dyDescent="0.25">
      <c r="A1529" s="15">
        <v>24567095</v>
      </c>
      <c r="H1529" s="16">
        <v>45606</v>
      </c>
      <c r="J1529" s="15" t="str">
        <f>VLOOKUP(A1529,sinap!$A$2:$R$9000,2,FALSE)</f>
        <v>H</v>
      </c>
      <c r="K1529" s="15" t="str">
        <f>VLOOKUP(A1529,sinap!$A$2:$R$9000,3,FALSE)</f>
        <v>VAQUILLA</v>
      </c>
      <c r="L1529" s="15" t="str">
        <f>VLOOKUP(A1529,sinap!$A$2:$R$9000,4,FALSE)</f>
        <v>ANGUS NEGRO</v>
      </c>
      <c r="M1529" s="15" t="str">
        <f>VLOOKUP(A1529,sinap!$A$2:$R$9000,5,FALSE)</f>
        <v>1 años 4 meses</v>
      </c>
      <c r="N1529" s="15" t="str">
        <f>VLOOKUP(A1529,sinap!$A$2:$R$9000,6,FALSE)</f>
        <v>15-09-2024</v>
      </c>
      <c r="O1529" s="15" t="str">
        <f>VLOOKUP(A1529,sinap!$A$2:$R$9000,7,FALSE)</f>
        <v>Vivo</v>
      </c>
      <c r="P1529" s="15" t="str">
        <f>VLOOKUP(A1529,sinap!$A$2:$R$9000,8,FALSE)</f>
        <v>11.1.01.1241</v>
      </c>
      <c r="Q1529" s="15" t="str">
        <f>VLOOKUP(A1529,sinap!$A$2:$R$9000,12,FALSE)</f>
        <v>Sin Movimiento</v>
      </c>
      <c r="R1529" s="15" t="str">
        <f>VLOOKUP(A1529,sinap!$A$2:$R$9000,16,FALSE)</f>
        <v>11.1.01.1241</v>
      </c>
      <c r="S1529" s="15" t="str">
        <f>VLOOKUP(A1529,sinap!$A$2:$Y$9000,20,FALSE)</f>
        <v>SI</v>
      </c>
      <c r="T1529" s="16">
        <v>45578</v>
      </c>
    </row>
    <row r="1530" spans="1:20" hidden="1" x14ac:dyDescent="0.25">
      <c r="A1530" s="15">
        <v>24567102</v>
      </c>
      <c r="J1530" s="15" t="str">
        <f>VLOOKUP(A1530,sinap!$A$2:$R$9000,2,FALSE)</f>
        <v>M</v>
      </c>
      <c r="K1530" s="15" t="str">
        <f>VLOOKUP(A1530,sinap!$A$2:$R$9000,3,FALSE)</f>
        <v>NOVILLO</v>
      </c>
      <c r="L1530" s="15" t="str">
        <f>VLOOKUP(A1530,sinap!$A$2:$R$9000,4,FALSE)</f>
        <v>ANGUS ROJO</v>
      </c>
      <c r="M1530" s="15" t="str">
        <f>VLOOKUP(A1530,sinap!$A$2:$R$9000,5,FALSE)</f>
        <v>1 años 4 meses</v>
      </c>
      <c r="N1530" s="15" t="str">
        <f>VLOOKUP(A1530,sinap!$A$2:$R$9000,6,FALSE)</f>
        <v>15-09-2024</v>
      </c>
      <c r="O1530" s="15" t="str">
        <f>VLOOKUP(A1530,sinap!$A$2:$R$9000,7,FALSE)</f>
        <v>Vivo</v>
      </c>
      <c r="P1530" s="15" t="str">
        <f>VLOOKUP(A1530,sinap!$A$2:$R$9000,8,FALSE)</f>
        <v>11.1.01.1241</v>
      </c>
      <c r="Q1530" s="15" t="str">
        <f>VLOOKUP(A1530,sinap!$A$2:$R$9000,12,FALSE)</f>
        <v>Sin Movimiento</v>
      </c>
      <c r="R1530" s="15" t="str">
        <f>VLOOKUP(A1530,sinap!$A$2:$R$9000,16,FALSE)</f>
        <v>11.1.01.1241</v>
      </c>
      <c r="S1530" s="15" t="str">
        <f>VLOOKUP(A1530,sinap!$A$2:$Y$9000,20,FALSE)</f>
        <v>SI</v>
      </c>
      <c r="T1530" s="16">
        <v>45578</v>
      </c>
    </row>
    <row r="1531" spans="1:20" hidden="1" x14ac:dyDescent="0.25">
      <c r="A1531" s="15">
        <v>24567105</v>
      </c>
      <c r="I1531" s="16">
        <v>45887</v>
      </c>
      <c r="J1531" s="15" t="str">
        <f>VLOOKUP(A1531,sinap!$A$2:$R$9000,2,FALSE)</f>
        <v>H</v>
      </c>
      <c r="K1531" s="15" t="str">
        <f>VLOOKUP(A1531,sinap!$A$2:$R$9000,3,FALSE)</f>
        <v>VAQUILLA</v>
      </c>
      <c r="L1531" s="15" t="str">
        <f>VLOOKUP(A1531,sinap!$A$2:$R$9000,4,FALSE)</f>
        <v>ANGUS NEGRO</v>
      </c>
      <c r="M1531" s="15" t="str">
        <f>VLOOKUP(A1531,sinap!$A$2:$R$9000,5,FALSE)</f>
        <v>1 años 4 meses</v>
      </c>
      <c r="N1531" s="15" t="str">
        <f>VLOOKUP(A1531,sinap!$A$2:$R$9000,6,FALSE)</f>
        <v>15-09-2024</v>
      </c>
      <c r="O1531" s="15" t="str">
        <f>VLOOKUP(A1531,sinap!$A$2:$R$9000,7,FALSE)</f>
        <v>Vivo</v>
      </c>
      <c r="P1531" s="15" t="str">
        <f>VLOOKUP(A1531,sinap!$A$2:$R$9000,8,FALSE)</f>
        <v>11.1.01.0941</v>
      </c>
      <c r="Q1531" s="15" t="str">
        <f>VLOOKUP(A1531,sinap!$A$2:$R$9000,12,FALSE)</f>
        <v>11.2.01.0053</v>
      </c>
      <c r="R1531" s="15" t="str">
        <f>VLOOKUP(A1531,sinap!$A$2:$R$9000,16,FALSE)</f>
        <v>11.1.01.1241</v>
      </c>
      <c r="S1531" s="15" t="str">
        <f>VLOOKUP(A1531,sinap!$A$2:$Y$9000,20,FALSE)</f>
        <v>SI</v>
      </c>
      <c r="T1531" s="16">
        <v>45550</v>
      </c>
    </row>
    <row r="1532" spans="1:20" hidden="1" x14ac:dyDescent="0.25">
      <c r="A1532" s="15">
        <v>24567110</v>
      </c>
      <c r="I1532" s="16">
        <v>45887</v>
      </c>
      <c r="J1532" s="15" t="str">
        <f>VLOOKUP(A1532,sinap!$A$2:$R$9000,2,FALSE)</f>
        <v>H</v>
      </c>
      <c r="K1532" s="15" t="str">
        <f>VLOOKUP(A1532,sinap!$A$2:$R$9000,3,FALSE)</f>
        <v>VAQUILLA</v>
      </c>
      <c r="L1532" s="15" t="str">
        <f>VLOOKUP(A1532,sinap!$A$2:$R$9000,4,FALSE)</f>
        <v>ANGUS NEGRO</v>
      </c>
      <c r="M1532" s="15" t="str">
        <f>VLOOKUP(A1532,sinap!$A$2:$R$9000,5,FALSE)</f>
        <v>1 años 4 meses</v>
      </c>
      <c r="N1532" s="15" t="str">
        <f>VLOOKUP(A1532,sinap!$A$2:$R$9000,6,FALSE)</f>
        <v>15-09-2024</v>
      </c>
      <c r="O1532" s="15" t="str">
        <f>VLOOKUP(A1532,sinap!$A$2:$R$9000,7,FALSE)</f>
        <v>Vivo</v>
      </c>
      <c r="P1532" s="15" t="str">
        <f>VLOOKUP(A1532,sinap!$A$2:$R$9000,8,FALSE)</f>
        <v>11.1.01.0941</v>
      </c>
      <c r="Q1532" s="15" t="str">
        <f>VLOOKUP(A1532,sinap!$A$2:$R$9000,12,FALSE)</f>
        <v>11.2.01.0053</v>
      </c>
      <c r="R1532" s="15" t="str">
        <f>VLOOKUP(A1532,sinap!$A$2:$R$9000,16,FALSE)</f>
        <v>11.1.01.1241</v>
      </c>
      <c r="S1532" s="15" t="str">
        <f>VLOOKUP(A1532,sinap!$A$2:$Y$9000,20,FALSE)</f>
        <v>SI</v>
      </c>
      <c r="T1532" s="16">
        <v>45550</v>
      </c>
    </row>
    <row r="1533" spans="1:20" hidden="1" x14ac:dyDescent="0.25">
      <c r="A1533" s="15">
        <v>24567112</v>
      </c>
      <c r="H1533" s="16">
        <v>45606</v>
      </c>
      <c r="I1533" s="16">
        <v>45813</v>
      </c>
      <c r="J1533" s="15" t="str">
        <f>VLOOKUP(A1533,sinap!$A$2:$R$9000,2,FALSE)</f>
        <v>H</v>
      </c>
      <c r="K1533" s="15" t="str">
        <f>VLOOKUP(A1533,sinap!$A$2:$R$9000,3,FALSE)</f>
        <v>VAQUILLA</v>
      </c>
      <c r="L1533" s="15" t="str">
        <f>VLOOKUP(A1533,sinap!$A$2:$R$9000,4,FALSE)</f>
        <v>ANGUS NEGRO</v>
      </c>
      <c r="M1533" s="15" t="str">
        <f>VLOOKUP(A1533,sinap!$A$2:$R$9000,5,FALSE)</f>
        <v>1 años 4 meses</v>
      </c>
      <c r="N1533" s="15" t="str">
        <f>VLOOKUP(A1533,sinap!$A$2:$R$9000,6,FALSE)</f>
        <v>15-09-2024</v>
      </c>
      <c r="O1533" s="15" t="str">
        <f>VLOOKUP(A1533,sinap!$A$2:$R$9000,7,FALSE)</f>
        <v>Vivo</v>
      </c>
      <c r="P1533" s="15" t="str">
        <f>VLOOKUP(A1533,sinap!$A$2:$R$9000,8,FALSE)</f>
        <v>11.1.01.1241</v>
      </c>
      <c r="Q1533" s="15" t="str">
        <f>VLOOKUP(A1533,sinap!$A$2:$R$9000,12,FALSE)</f>
        <v>11.2.01.0038</v>
      </c>
      <c r="R1533" s="15" t="str">
        <f>VLOOKUP(A1533,sinap!$A$2:$R$9000,16,FALSE)</f>
        <v>11.1.01.1241</v>
      </c>
      <c r="S1533" s="15" t="str">
        <f>VLOOKUP(A1533,sinap!$A$2:$Y$9000,20,FALSE)</f>
        <v>SI</v>
      </c>
      <c r="T1533" s="16">
        <v>45578</v>
      </c>
    </row>
    <row r="1534" spans="1:20" hidden="1" x14ac:dyDescent="0.25">
      <c r="A1534" s="15">
        <v>24567116</v>
      </c>
      <c r="H1534" s="16">
        <v>45606</v>
      </c>
      <c r="J1534" s="15" t="str">
        <f>VLOOKUP(A1534,sinap!$A$2:$R$9000,2,FALSE)</f>
        <v>H</v>
      </c>
      <c r="K1534" s="15" t="str">
        <f>VLOOKUP(A1534,sinap!$A$2:$R$9000,3,FALSE)</f>
        <v>VAQUILLA</v>
      </c>
      <c r="L1534" s="15" t="str">
        <f>VLOOKUP(A1534,sinap!$A$2:$R$9000,4,FALSE)</f>
        <v>ANGUS NEGRO</v>
      </c>
      <c r="M1534" s="15" t="str">
        <f>VLOOKUP(A1534,sinap!$A$2:$R$9000,5,FALSE)</f>
        <v>1 años 4 meses</v>
      </c>
      <c r="N1534" s="15" t="str">
        <f>VLOOKUP(A1534,sinap!$A$2:$R$9000,6,FALSE)</f>
        <v>15-09-2024</v>
      </c>
      <c r="O1534" s="15" t="str">
        <f>VLOOKUP(A1534,sinap!$A$2:$R$9000,7,FALSE)</f>
        <v>Vivo</v>
      </c>
      <c r="P1534" s="15" t="str">
        <f>VLOOKUP(A1534,sinap!$A$2:$R$9000,8,FALSE)</f>
        <v>11.1.01.1241</v>
      </c>
      <c r="Q1534" s="15" t="str">
        <f>VLOOKUP(A1534,sinap!$A$2:$R$9000,12,FALSE)</f>
        <v>Sin Movimiento</v>
      </c>
      <c r="R1534" s="15" t="str">
        <f>VLOOKUP(A1534,sinap!$A$2:$R$9000,16,FALSE)</f>
        <v>11.1.01.1241</v>
      </c>
      <c r="S1534" s="15" t="str">
        <f>VLOOKUP(A1534,sinap!$A$2:$Y$9000,20,FALSE)</f>
        <v>SI</v>
      </c>
      <c r="T1534" s="16">
        <v>45578</v>
      </c>
    </row>
    <row r="1535" spans="1:20" hidden="1" x14ac:dyDescent="0.25">
      <c r="A1535" s="15">
        <v>24567117</v>
      </c>
      <c r="I1535" s="16">
        <v>45887</v>
      </c>
      <c r="J1535" s="15" t="str">
        <f>VLOOKUP(A1535,sinap!$A$2:$R$9000,2,FALSE)</f>
        <v>H</v>
      </c>
      <c r="K1535" s="15" t="str">
        <f>VLOOKUP(A1535,sinap!$A$2:$R$9000,3,FALSE)</f>
        <v>VAQUILLA</v>
      </c>
      <c r="L1535" s="15" t="str">
        <f>VLOOKUP(A1535,sinap!$A$2:$R$9000,4,FALSE)</f>
        <v>ANGUS NEGRO</v>
      </c>
      <c r="M1535" s="15" t="str">
        <f>VLOOKUP(A1535,sinap!$A$2:$R$9000,5,FALSE)</f>
        <v>1 años 4 meses</v>
      </c>
      <c r="N1535" s="15" t="str">
        <f>VLOOKUP(A1535,sinap!$A$2:$R$9000,6,FALSE)</f>
        <v>15-09-2024</v>
      </c>
      <c r="O1535" s="15" t="str">
        <f>VLOOKUP(A1535,sinap!$A$2:$R$9000,7,FALSE)</f>
        <v>Vivo</v>
      </c>
      <c r="P1535" s="15" t="str">
        <f>VLOOKUP(A1535,sinap!$A$2:$R$9000,8,FALSE)</f>
        <v>11.1.01.0941</v>
      </c>
      <c r="Q1535" s="15" t="str">
        <f>VLOOKUP(A1535,sinap!$A$2:$R$9000,12,FALSE)</f>
        <v>11.2.01.0053</v>
      </c>
      <c r="R1535" s="15" t="str">
        <f>VLOOKUP(A1535,sinap!$A$2:$R$9000,16,FALSE)</f>
        <v>11.1.01.1241</v>
      </c>
      <c r="S1535" s="15" t="str">
        <f>VLOOKUP(A1535,sinap!$A$2:$Y$9000,20,FALSE)</f>
        <v>SI</v>
      </c>
      <c r="T1535" s="16">
        <v>45578</v>
      </c>
    </row>
    <row r="1536" spans="1:20" hidden="1" x14ac:dyDescent="0.25">
      <c r="A1536" s="15">
        <v>24567131</v>
      </c>
      <c r="I1536" s="16">
        <v>45887</v>
      </c>
      <c r="J1536" s="15" t="str">
        <f>VLOOKUP(A1536,sinap!$A$2:$R$9000,2,FALSE)</f>
        <v>H</v>
      </c>
      <c r="K1536" s="15" t="str">
        <f>VLOOKUP(A1536,sinap!$A$2:$R$9000,3,FALSE)</f>
        <v>VAQUILLA</v>
      </c>
      <c r="L1536" s="15" t="str">
        <f>VLOOKUP(A1536,sinap!$A$2:$R$9000,4,FALSE)</f>
        <v>ANGUS NEGRO</v>
      </c>
      <c r="M1536" s="15" t="str">
        <f>VLOOKUP(A1536,sinap!$A$2:$R$9000,5,FALSE)</f>
        <v>1 años 4 meses</v>
      </c>
      <c r="N1536" s="15" t="str">
        <f>VLOOKUP(A1536,sinap!$A$2:$R$9000,6,FALSE)</f>
        <v>15-09-2024</v>
      </c>
      <c r="O1536" s="15" t="str">
        <f>VLOOKUP(A1536,sinap!$A$2:$R$9000,7,FALSE)</f>
        <v>Vivo</v>
      </c>
      <c r="P1536" s="15" t="str">
        <f>VLOOKUP(A1536,sinap!$A$2:$R$9000,8,FALSE)</f>
        <v>11.1.01.0941</v>
      </c>
      <c r="Q1536" s="15" t="str">
        <f>VLOOKUP(A1536,sinap!$A$2:$R$9000,12,FALSE)</f>
        <v>11.2.01.0053</v>
      </c>
      <c r="R1536" s="15" t="str">
        <f>VLOOKUP(A1536,sinap!$A$2:$R$9000,16,FALSE)</f>
        <v>11.1.01.1241</v>
      </c>
      <c r="S1536" s="15" t="str">
        <f>VLOOKUP(A1536,sinap!$A$2:$Y$9000,20,FALSE)</f>
        <v>SI</v>
      </c>
      <c r="T1536" s="16">
        <v>45550</v>
      </c>
    </row>
    <row r="1537" spans="1:20" hidden="1" x14ac:dyDescent="0.25">
      <c r="A1537" s="15">
        <v>24567144</v>
      </c>
      <c r="H1537" s="16">
        <v>45606</v>
      </c>
      <c r="J1537" s="15" t="str">
        <f>VLOOKUP(A1537,sinap!$A$2:$R$9000,2,FALSE)</f>
        <v>H</v>
      </c>
      <c r="K1537" s="15" t="str">
        <f>VLOOKUP(A1537,sinap!$A$2:$R$9000,3,FALSE)</f>
        <v>VAQUILLA</v>
      </c>
      <c r="L1537" s="15" t="str">
        <f>VLOOKUP(A1537,sinap!$A$2:$R$9000,4,FALSE)</f>
        <v>ANGUS NEGRO</v>
      </c>
      <c r="M1537" s="15" t="str">
        <f>VLOOKUP(A1537,sinap!$A$2:$R$9000,5,FALSE)</f>
        <v>1 años 4 meses</v>
      </c>
      <c r="N1537" s="15" t="str">
        <f>VLOOKUP(A1537,sinap!$A$2:$R$9000,6,FALSE)</f>
        <v>15-09-2024</v>
      </c>
      <c r="O1537" s="15" t="str">
        <f>VLOOKUP(A1537,sinap!$A$2:$R$9000,7,FALSE)</f>
        <v>Vivo</v>
      </c>
      <c r="P1537" s="15" t="str">
        <f>VLOOKUP(A1537,sinap!$A$2:$R$9000,8,FALSE)</f>
        <v>11.2.01.0038</v>
      </c>
      <c r="Q1537" s="15" t="str">
        <f>VLOOKUP(A1537,sinap!$A$2:$R$9000,12,FALSE)</f>
        <v>11.1.01.1241</v>
      </c>
      <c r="R1537" s="15" t="str">
        <f>VLOOKUP(A1537,sinap!$A$2:$R$9000,16,FALSE)</f>
        <v>11.1.01.1241</v>
      </c>
      <c r="S1537" s="15" t="str">
        <f>VLOOKUP(A1537,sinap!$A$2:$Y$9000,20,FALSE)</f>
        <v>SI</v>
      </c>
      <c r="T1537" s="16">
        <v>45578</v>
      </c>
    </row>
    <row r="1538" spans="1:20" ht="15.75" hidden="1" customHeight="1" x14ac:dyDescent="0.25">
      <c r="A1538" s="15">
        <v>24567148</v>
      </c>
      <c r="I1538" s="16">
        <v>45887</v>
      </c>
      <c r="J1538" s="15" t="str">
        <f>VLOOKUP(A1538,sinap!$A$2:$R$9000,2,FALSE)</f>
        <v>H</v>
      </c>
      <c r="K1538" s="15" t="str">
        <f>VLOOKUP(A1538,sinap!$A$2:$R$9000,3,FALSE)</f>
        <v>VAQUILLA</v>
      </c>
      <c r="L1538" s="15" t="str">
        <f>VLOOKUP(A1538,sinap!$A$2:$R$9000,4,FALSE)</f>
        <v>ANGUS NEGRO</v>
      </c>
      <c r="M1538" s="15" t="str">
        <f>VLOOKUP(A1538,sinap!$A$2:$R$9000,5,FALSE)</f>
        <v>1 años 4 meses</v>
      </c>
      <c r="N1538" s="15" t="str">
        <f>VLOOKUP(A1538,sinap!$A$2:$R$9000,6,FALSE)</f>
        <v>15-09-2024</v>
      </c>
      <c r="O1538" s="15" t="str">
        <f>VLOOKUP(A1538,sinap!$A$2:$R$9000,7,FALSE)</f>
        <v>Vivo</v>
      </c>
      <c r="P1538" s="15" t="str">
        <f>VLOOKUP(A1538,sinap!$A$2:$R$9000,8,FALSE)</f>
        <v>11.1.01.0941</v>
      </c>
      <c r="Q1538" s="15" t="str">
        <f>VLOOKUP(A1538,sinap!$A$2:$R$9000,12,FALSE)</f>
        <v>11.2.01.0053</v>
      </c>
      <c r="R1538" s="15" t="str">
        <f>VLOOKUP(A1538,sinap!$A$2:$R$9000,16,FALSE)</f>
        <v>11.1.01.1241</v>
      </c>
      <c r="S1538" s="15" t="str">
        <f>VLOOKUP(A1538,sinap!$A$2:$Y$9000,20,FALSE)</f>
        <v>SI</v>
      </c>
      <c r="T1538" s="16">
        <v>45550</v>
      </c>
    </row>
    <row r="1539" spans="1:20" hidden="1" x14ac:dyDescent="0.25">
      <c r="A1539" s="15">
        <v>24567150</v>
      </c>
      <c r="I1539" s="16">
        <v>45887</v>
      </c>
      <c r="J1539" s="15" t="str">
        <f>VLOOKUP(A1539,sinap!$A$2:$R$9000,2,FALSE)</f>
        <v>H</v>
      </c>
      <c r="K1539" s="15" t="str">
        <f>VLOOKUP(A1539,sinap!$A$2:$R$9000,3,FALSE)</f>
        <v>VAQUILLA</v>
      </c>
      <c r="L1539" s="15" t="str">
        <f>VLOOKUP(A1539,sinap!$A$2:$R$9000,4,FALSE)</f>
        <v>ANGUS NEGRO</v>
      </c>
      <c r="M1539" s="15" t="str">
        <f>VLOOKUP(A1539,sinap!$A$2:$R$9000,5,FALSE)</f>
        <v>1 años 4 meses</v>
      </c>
      <c r="N1539" s="15" t="str">
        <f>VLOOKUP(A1539,sinap!$A$2:$R$9000,6,FALSE)</f>
        <v>15-09-2024</v>
      </c>
      <c r="O1539" s="15" t="str">
        <f>VLOOKUP(A1539,sinap!$A$2:$R$9000,7,FALSE)</f>
        <v>Vivo</v>
      </c>
      <c r="P1539" s="15" t="str">
        <f>VLOOKUP(A1539,sinap!$A$2:$R$9000,8,FALSE)</f>
        <v>11.1.01.0941</v>
      </c>
      <c r="Q1539" s="15" t="str">
        <f>VLOOKUP(A1539,sinap!$A$2:$R$9000,12,FALSE)</f>
        <v>11.2.01.0053</v>
      </c>
      <c r="R1539" s="15" t="str">
        <f>VLOOKUP(A1539,sinap!$A$2:$R$9000,16,FALSE)</f>
        <v>11.1.01.1241</v>
      </c>
      <c r="S1539" s="15" t="str">
        <f>VLOOKUP(A1539,sinap!$A$2:$Y$9000,20,FALSE)</f>
        <v>SI</v>
      </c>
      <c r="T1539" s="16">
        <v>45578</v>
      </c>
    </row>
    <row r="1540" spans="1:20" hidden="1" x14ac:dyDescent="0.25">
      <c r="A1540" s="15">
        <v>24567151</v>
      </c>
      <c r="J1540" s="15" t="str">
        <f>VLOOKUP(A1540,sinap!$A$2:$R$9000,2,FALSE)</f>
        <v>H</v>
      </c>
      <c r="K1540" s="15" t="str">
        <f>VLOOKUP(A1540,sinap!$A$2:$R$9000,3,FALSE)</f>
        <v>VAQUILLA</v>
      </c>
      <c r="L1540" s="15" t="str">
        <f>VLOOKUP(A1540,sinap!$A$2:$R$9000,4,FALSE)</f>
        <v>ANGUS NEGRO</v>
      </c>
      <c r="M1540" s="15" t="str">
        <f>VLOOKUP(A1540,sinap!$A$2:$R$9000,5,FALSE)</f>
        <v>1 años 4 meses</v>
      </c>
      <c r="N1540" s="15" t="str">
        <f>VLOOKUP(A1540,sinap!$A$2:$R$9000,6,FALSE)</f>
        <v>15-09-2024</v>
      </c>
      <c r="O1540" s="15" t="str">
        <f>VLOOKUP(A1540,sinap!$A$2:$R$9000,7,FALSE)</f>
        <v>Vivo</v>
      </c>
      <c r="P1540" s="15" t="str">
        <f>VLOOKUP(A1540,sinap!$A$2:$R$9000,8,FALSE)</f>
        <v>11.1.01.0941</v>
      </c>
      <c r="Q1540" s="15" t="str">
        <f>VLOOKUP(A1540,sinap!$A$2:$R$9000,12,FALSE)</f>
        <v>11.2.01.0053</v>
      </c>
      <c r="R1540" s="15" t="str">
        <f>VLOOKUP(A1540,sinap!$A$2:$R$9000,16,FALSE)</f>
        <v>11.1.01.1241</v>
      </c>
      <c r="S1540" s="15" t="str">
        <f>VLOOKUP(A1540,sinap!$A$2:$Y$9000,20,FALSE)</f>
        <v>SI</v>
      </c>
      <c r="T1540" s="16">
        <v>45550</v>
      </c>
    </row>
    <row r="1541" spans="1:20" hidden="1" x14ac:dyDescent="0.25">
      <c r="A1541" s="15">
        <v>24567155</v>
      </c>
      <c r="I1541" s="16">
        <v>45887</v>
      </c>
      <c r="J1541" s="15" t="str">
        <f>VLOOKUP(A1541,sinap!$A$2:$R$9000,2,FALSE)</f>
        <v>H</v>
      </c>
      <c r="K1541" s="15" t="str">
        <f>VLOOKUP(A1541,sinap!$A$2:$R$9000,3,FALSE)</f>
        <v>VAQUILLA</v>
      </c>
      <c r="L1541" s="15" t="str">
        <f>VLOOKUP(A1541,sinap!$A$2:$R$9000,4,FALSE)</f>
        <v>ANGUS NEGRO</v>
      </c>
      <c r="M1541" s="15" t="str">
        <f>VLOOKUP(A1541,sinap!$A$2:$R$9000,5,FALSE)</f>
        <v>1 años 4 meses</v>
      </c>
      <c r="N1541" s="15" t="str">
        <f>VLOOKUP(A1541,sinap!$A$2:$R$9000,6,FALSE)</f>
        <v>15-09-2024</v>
      </c>
      <c r="O1541" s="15" t="str">
        <f>VLOOKUP(A1541,sinap!$A$2:$R$9000,7,FALSE)</f>
        <v>Vivo</v>
      </c>
      <c r="P1541" s="15" t="str">
        <f>VLOOKUP(A1541,sinap!$A$2:$R$9000,8,FALSE)</f>
        <v>11.1.01.0941</v>
      </c>
      <c r="Q1541" s="15" t="str">
        <f>VLOOKUP(A1541,sinap!$A$2:$R$9000,12,FALSE)</f>
        <v>11.2.01.0053</v>
      </c>
      <c r="R1541" s="15" t="str">
        <f>VLOOKUP(A1541,sinap!$A$2:$R$9000,16,FALSE)</f>
        <v>11.1.01.1241</v>
      </c>
      <c r="S1541" s="15" t="str">
        <f>VLOOKUP(A1541,sinap!$A$2:$Y$9000,20,FALSE)</f>
        <v>SI</v>
      </c>
      <c r="T1541" s="16">
        <v>45550</v>
      </c>
    </row>
    <row r="1542" spans="1:20" hidden="1" x14ac:dyDescent="0.25">
      <c r="A1542" s="15">
        <v>24567156</v>
      </c>
      <c r="I1542" s="16">
        <v>45887</v>
      </c>
      <c r="J1542" s="15" t="str">
        <f>VLOOKUP(A1542,sinap!$A$2:$R$9000,2,FALSE)</f>
        <v>H</v>
      </c>
      <c r="K1542" s="15" t="str">
        <f>VLOOKUP(A1542,sinap!$A$2:$R$9000,3,FALSE)</f>
        <v>VAQUILLA</v>
      </c>
      <c r="L1542" s="15" t="str">
        <f>VLOOKUP(A1542,sinap!$A$2:$R$9000,4,FALSE)</f>
        <v>ANGUS NEGRO</v>
      </c>
      <c r="M1542" s="15" t="str">
        <f>VLOOKUP(A1542,sinap!$A$2:$R$9000,5,FALSE)</f>
        <v>1 años 3 meses</v>
      </c>
      <c r="N1542" s="15" t="str">
        <f>VLOOKUP(A1542,sinap!$A$2:$R$9000,6,FALSE)</f>
        <v>30-09-2024</v>
      </c>
      <c r="O1542" s="15" t="str">
        <f>VLOOKUP(A1542,sinap!$A$2:$R$9000,7,FALSE)</f>
        <v>Vivo</v>
      </c>
      <c r="P1542" s="15" t="str">
        <f>VLOOKUP(A1542,sinap!$A$2:$R$9000,8,FALSE)</f>
        <v>11.1.01.0941</v>
      </c>
      <c r="Q1542" s="15" t="str">
        <f>VLOOKUP(A1542,sinap!$A$2:$R$9000,12,FALSE)</f>
        <v>11.2.01.0053</v>
      </c>
      <c r="R1542" s="15" t="str">
        <f>VLOOKUP(A1542,sinap!$A$2:$R$9000,16,FALSE)</f>
        <v>11.1.01.1241</v>
      </c>
      <c r="S1542" s="15" t="str">
        <f>VLOOKUP(A1542,sinap!$A$2:$Y$9000,20,FALSE)</f>
        <v>SI</v>
      </c>
      <c r="T1542" s="16">
        <v>45565</v>
      </c>
    </row>
    <row r="1543" spans="1:20" hidden="1" x14ac:dyDescent="0.25">
      <c r="A1543" s="15">
        <v>24567160</v>
      </c>
      <c r="J1543" s="15" t="str">
        <f>VLOOKUP(A1543,sinap!$A$2:$R$9000,2,FALSE)</f>
        <v>H</v>
      </c>
      <c r="K1543" s="15" t="str">
        <f>VLOOKUP(A1543,sinap!$A$2:$R$9000,3,FALSE)</f>
        <v>VAQUILLA</v>
      </c>
      <c r="L1543" s="15" t="str">
        <f>VLOOKUP(A1543,sinap!$A$2:$R$9000,4,FALSE)</f>
        <v>ANGUS NEGRO</v>
      </c>
      <c r="M1543" s="15" t="str">
        <f>VLOOKUP(A1543,sinap!$A$2:$R$9000,5,FALSE)</f>
        <v>1 años 3 meses</v>
      </c>
      <c r="N1543" s="15" t="str">
        <f>VLOOKUP(A1543,sinap!$A$2:$R$9000,6,FALSE)</f>
        <v>05-10-2024</v>
      </c>
      <c r="O1543" s="15" t="str">
        <f>VLOOKUP(A1543,sinap!$A$2:$R$9000,7,FALSE)</f>
        <v>Vivo</v>
      </c>
      <c r="P1543" s="15" t="str">
        <f>VLOOKUP(A1543,sinap!$A$2:$R$9000,8,FALSE)</f>
        <v>11.1.01.0941</v>
      </c>
      <c r="Q1543" s="15" t="str">
        <f>VLOOKUP(A1543,sinap!$A$2:$R$9000,12,FALSE)</f>
        <v>11.2.01.0053</v>
      </c>
      <c r="R1543" s="15" t="str">
        <f>VLOOKUP(A1543,sinap!$A$2:$R$9000,16,FALSE)</f>
        <v>11.1.01.1241</v>
      </c>
      <c r="S1543" s="15" t="str">
        <f>VLOOKUP(A1543,sinap!$A$2:$Y$9000,20,FALSE)</f>
        <v>SI</v>
      </c>
      <c r="T1543" s="16">
        <v>45587</v>
      </c>
    </row>
    <row r="1544" spans="1:20" hidden="1" x14ac:dyDescent="0.25">
      <c r="A1544" s="15">
        <v>24567161</v>
      </c>
      <c r="I1544" s="16">
        <v>45887</v>
      </c>
      <c r="J1544" s="15" t="str">
        <f>VLOOKUP(A1544,sinap!$A$2:$R$9000,2,FALSE)</f>
        <v>H</v>
      </c>
      <c r="K1544" s="15" t="str">
        <f>VLOOKUP(A1544,sinap!$A$2:$R$9000,3,FALSE)</f>
        <v>VAQUILLA</v>
      </c>
      <c r="L1544" s="15" t="str">
        <f>VLOOKUP(A1544,sinap!$A$2:$R$9000,4,FALSE)</f>
        <v>ANGUS NEGRO</v>
      </c>
      <c r="M1544" s="15" t="str">
        <f>VLOOKUP(A1544,sinap!$A$2:$R$9000,5,FALSE)</f>
        <v>1 años 3 meses</v>
      </c>
      <c r="N1544" s="15" t="str">
        <f>VLOOKUP(A1544,sinap!$A$2:$R$9000,6,FALSE)</f>
        <v>30-09-2024</v>
      </c>
      <c r="O1544" s="15" t="str">
        <f>VLOOKUP(A1544,sinap!$A$2:$R$9000,7,FALSE)</f>
        <v>Vivo</v>
      </c>
      <c r="P1544" s="15" t="str">
        <f>VLOOKUP(A1544,sinap!$A$2:$R$9000,8,FALSE)</f>
        <v>11.1.01.0941</v>
      </c>
      <c r="Q1544" s="15" t="str">
        <f>VLOOKUP(A1544,sinap!$A$2:$R$9000,12,FALSE)</f>
        <v>11.2.01.0053</v>
      </c>
      <c r="R1544" s="15" t="str">
        <f>VLOOKUP(A1544,sinap!$A$2:$R$9000,16,FALSE)</f>
        <v>11.1.01.1241</v>
      </c>
      <c r="S1544" s="15" t="str">
        <f>VLOOKUP(A1544,sinap!$A$2:$Y$9000,20,FALSE)</f>
        <v>SI</v>
      </c>
      <c r="T1544" s="16">
        <v>45587</v>
      </c>
    </row>
    <row r="1545" spans="1:20" hidden="1" x14ac:dyDescent="0.25">
      <c r="A1545" s="15">
        <v>24567166</v>
      </c>
      <c r="I1545" s="16">
        <v>45887</v>
      </c>
      <c r="J1545" s="15" t="str">
        <f>VLOOKUP(A1545,sinap!$A$2:$R$9000,2,FALSE)</f>
        <v>H</v>
      </c>
      <c r="K1545" s="15" t="str">
        <f>VLOOKUP(A1545,sinap!$A$2:$R$9000,3,FALSE)</f>
        <v>VAQUILLA</v>
      </c>
      <c r="L1545" s="15" t="str">
        <f>VLOOKUP(A1545,sinap!$A$2:$R$9000,4,FALSE)</f>
        <v>ANGUS ROJO</v>
      </c>
      <c r="M1545" s="15" t="str">
        <f>VLOOKUP(A1545,sinap!$A$2:$R$9000,5,FALSE)</f>
        <v>1 años 3 meses</v>
      </c>
      <c r="N1545" s="15" t="str">
        <f>VLOOKUP(A1545,sinap!$A$2:$R$9000,6,FALSE)</f>
        <v>05-10-2024</v>
      </c>
      <c r="O1545" s="15" t="str">
        <f>VLOOKUP(A1545,sinap!$A$2:$R$9000,7,FALSE)</f>
        <v>Vivo</v>
      </c>
      <c r="P1545" s="15" t="str">
        <f>VLOOKUP(A1545,sinap!$A$2:$R$9000,8,FALSE)</f>
        <v>11.1.01.0941</v>
      </c>
      <c r="Q1545" s="15" t="str">
        <f>VLOOKUP(A1545,sinap!$A$2:$R$9000,12,FALSE)</f>
        <v>11.2.01.0053</v>
      </c>
      <c r="R1545" s="15" t="str">
        <f>VLOOKUP(A1545,sinap!$A$2:$R$9000,16,FALSE)</f>
        <v>11.1.01.1241</v>
      </c>
      <c r="S1545" s="15" t="str">
        <f>VLOOKUP(A1545,sinap!$A$2:$Y$9000,20,FALSE)</f>
        <v>SI</v>
      </c>
      <c r="T1545" s="16">
        <v>45570</v>
      </c>
    </row>
    <row r="1546" spans="1:20" hidden="1" x14ac:dyDescent="0.25">
      <c r="A1546" s="15">
        <v>24567167</v>
      </c>
      <c r="I1546" s="16">
        <v>45887</v>
      </c>
      <c r="J1546" s="15" t="str">
        <f>VLOOKUP(A1546,sinap!$A$2:$R$9000,2,FALSE)</f>
        <v>H</v>
      </c>
      <c r="K1546" s="15" t="str">
        <f>VLOOKUP(A1546,sinap!$A$2:$R$9000,3,FALSE)</f>
        <v>VAQUILLA</v>
      </c>
      <c r="L1546" s="15" t="str">
        <f>VLOOKUP(A1546,sinap!$A$2:$R$9000,4,FALSE)</f>
        <v>ANGUS NEGRO</v>
      </c>
      <c r="M1546" s="15" t="str">
        <f>VLOOKUP(A1546,sinap!$A$2:$R$9000,5,FALSE)</f>
        <v>1 años 3 meses</v>
      </c>
      <c r="N1546" s="15" t="str">
        <f>VLOOKUP(A1546,sinap!$A$2:$R$9000,6,FALSE)</f>
        <v>05-10-2024</v>
      </c>
      <c r="O1546" s="15" t="str">
        <f>VLOOKUP(A1546,sinap!$A$2:$R$9000,7,FALSE)</f>
        <v>Vivo</v>
      </c>
      <c r="P1546" s="15" t="str">
        <f>VLOOKUP(A1546,sinap!$A$2:$R$9000,8,FALSE)</f>
        <v>11.1.01.0941</v>
      </c>
      <c r="Q1546" s="15" t="str">
        <f>VLOOKUP(A1546,sinap!$A$2:$R$9000,12,FALSE)</f>
        <v>11.2.01.0053</v>
      </c>
      <c r="R1546" s="15" t="str">
        <f>VLOOKUP(A1546,sinap!$A$2:$R$9000,16,FALSE)</f>
        <v>11.1.01.1241</v>
      </c>
      <c r="S1546" s="15" t="str">
        <f>VLOOKUP(A1546,sinap!$A$2:$Y$9000,20,FALSE)</f>
        <v>SI</v>
      </c>
      <c r="T1546" s="16">
        <v>45570</v>
      </c>
    </row>
    <row r="1547" spans="1:20" hidden="1" x14ac:dyDescent="0.25">
      <c r="A1547" s="15">
        <v>24567173</v>
      </c>
      <c r="I1547" s="16">
        <v>45887</v>
      </c>
      <c r="J1547" s="15" t="str">
        <f>VLOOKUP(A1547,sinap!$A$2:$R$9000,2,FALSE)</f>
        <v>H</v>
      </c>
      <c r="K1547" s="15" t="str">
        <f>VLOOKUP(A1547,sinap!$A$2:$R$9000,3,FALSE)</f>
        <v>VAQUILLA</v>
      </c>
      <c r="L1547" s="15" t="str">
        <f>VLOOKUP(A1547,sinap!$A$2:$R$9000,4,FALSE)</f>
        <v>ANGUS ROJO</v>
      </c>
      <c r="M1547" s="15" t="str">
        <f>VLOOKUP(A1547,sinap!$A$2:$R$9000,5,FALSE)</f>
        <v>1 años 3 meses</v>
      </c>
      <c r="N1547" s="15" t="str">
        <f>VLOOKUP(A1547,sinap!$A$2:$R$9000,6,FALSE)</f>
        <v>30-09-2024</v>
      </c>
      <c r="O1547" s="15" t="str">
        <f>VLOOKUP(A1547,sinap!$A$2:$R$9000,7,FALSE)</f>
        <v>Vivo</v>
      </c>
      <c r="P1547" s="15" t="str">
        <f>VLOOKUP(A1547,sinap!$A$2:$R$9000,8,FALSE)</f>
        <v>11.1.01.0941</v>
      </c>
      <c r="Q1547" s="15" t="str">
        <f>VLOOKUP(A1547,sinap!$A$2:$R$9000,12,FALSE)</f>
        <v>11.2.01.0053</v>
      </c>
      <c r="R1547" s="15" t="str">
        <f>VLOOKUP(A1547,sinap!$A$2:$R$9000,16,FALSE)</f>
        <v>11.1.01.1241</v>
      </c>
      <c r="S1547" s="15" t="str">
        <f>VLOOKUP(A1547,sinap!$A$2:$Y$9000,20,FALSE)</f>
        <v>SI</v>
      </c>
      <c r="T1547" s="16">
        <v>45565</v>
      </c>
    </row>
    <row r="1548" spans="1:20" hidden="1" x14ac:dyDescent="0.25">
      <c r="A1548" s="15">
        <v>24567175</v>
      </c>
      <c r="I1548" s="16">
        <v>45887</v>
      </c>
      <c r="J1548" s="15" t="str">
        <f>VLOOKUP(A1548,sinap!$A$2:$R$9000,2,FALSE)</f>
        <v>H</v>
      </c>
      <c r="K1548" s="15" t="str">
        <f>VLOOKUP(A1548,sinap!$A$2:$R$9000,3,FALSE)</f>
        <v>VAQUILLA</v>
      </c>
      <c r="L1548" s="15" t="str">
        <f>VLOOKUP(A1548,sinap!$A$2:$R$9000,4,FALSE)</f>
        <v>ANGUS NEGRO</v>
      </c>
      <c r="M1548" s="15" t="str">
        <f>VLOOKUP(A1548,sinap!$A$2:$R$9000,5,FALSE)</f>
        <v>1 años 3 meses</v>
      </c>
      <c r="N1548" s="15" t="str">
        <f>VLOOKUP(A1548,sinap!$A$2:$R$9000,6,FALSE)</f>
        <v>05-10-2024</v>
      </c>
      <c r="O1548" s="15" t="str">
        <f>VLOOKUP(A1548,sinap!$A$2:$R$9000,7,FALSE)</f>
        <v>Vivo</v>
      </c>
      <c r="P1548" s="15" t="str">
        <f>VLOOKUP(A1548,sinap!$A$2:$R$9000,8,FALSE)</f>
        <v>11.1.01.0941</v>
      </c>
      <c r="Q1548" s="15" t="str">
        <f>VLOOKUP(A1548,sinap!$A$2:$R$9000,12,FALSE)</f>
        <v>11.2.01.0053</v>
      </c>
      <c r="R1548" s="15" t="str">
        <f>VLOOKUP(A1548,sinap!$A$2:$R$9000,16,FALSE)</f>
        <v>11.1.01.1241</v>
      </c>
      <c r="S1548" s="15" t="str">
        <f>VLOOKUP(A1548,sinap!$A$2:$Y$9000,20,FALSE)</f>
        <v>SI</v>
      </c>
      <c r="T1548" s="16">
        <v>45587</v>
      </c>
    </row>
    <row r="1549" spans="1:20" hidden="1" x14ac:dyDescent="0.25">
      <c r="A1549" s="15">
        <v>24567184</v>
      </c>
      <c r="J1549" s="15" t="str">
        <f>VLOOKUP(A1549,sinap!$A$2:$R$9000,2,FALSE)</f>
        <v>H</v>
      </c>
      <c r="K1549" s="15" t="str">
        <f>VLOOKUP(A1549,sinap!$A$2:$R$9000,3,FALSE)</f>
        <v>VAQUILLA</v>
      </c>
      <c r="L1549" s="15" t="str">
        <f>VLOOKUP(A1549,sinap!$A$2:$R$9000,4,FALSE)</f>
        <v>ANGUS NEGRO</v>
      </c>
      <c r="M1549" s="15" t="str">
        <f>VLOOKUP(A1549,sinap!$A$2:$R$9000,5,FALSE)</f>
        <v>1 años 3 meses</v>
      </c>
      <c r="N1549" s="15" t="str">
        <f>VLOOKUP(A1549,sinap!$A$2:$R$9000,6,FALSE)</f>
        <v>11-10-2024</v>
      </c>
      <c r="O1549" s="15" t="str">
        <f>VLOOKUP(A1549,sinap!$A$2:$R$9000,7,FALSE)</f>
        <v>Vivo</v>
      </c>
      <c r="P1549" s="15" t="str">
        <f>VLOOKUP(A1549,sinap!$A$2:$R$9000,8,FALSE)</f>
        <v>11.1.01.0941</v>
      </c>
      <c r="Q1549" s="15" t="str">
        <f>VLOOKUP(A1549,sinap!$A$2:$R$9000,12,FALSE)</f>
        <v>11.2.01.0053</v>
      </c>
      <c r="R1549" s="15" t="str">
        <f>VLOOKUP(A1549,sinap!$A$2:$R$9000,16,FALSE)</f>
        <v>11.1.01.1241</v>
      </c>
      <c r="S1549" s="15" t="str">
        <f>VLOOKUP(A1549,sinap!$A$2:$Y$9000,20,FALSE)</f>
        <v>SI</v>
      </c>
      <c r="T1549" s="16">
        <v>45587</v>
      </c>
    </row>
    <row r="1550" spans="1:20" hidden="1" x14ac:dyDescent="0.25">
      <c r="A1550" s="15">
        <v>24567186</v>
      </c>
      <c r="J1550" s="15" t="str">
        <f>VLOOKUP(A1550,sinap!$A$2:$R$9000,2,FALSE)</f>
        <v>H</v>
      </c>
      <c r="K1550" s="15" t="str">
        <f>VLOOKUP(A1550,sinap!$A$2:$R$9000,3,FALSE)</f>
        <v>VAQUILLA</v>
      </c>
      <c r="L1550" s="15" t="str">
        <f>VLOOKUP(A1550,sinap!$A$2:$R$9000,4,FALSE)</f>
        <v>ANGUS NEGRO</v>
      </c>
      <c r="M1550" s="15" t="str">
        <f>VLOOKUP(A1550,sinap!$A$2:$R$9000,5,FALSE)</f>
        <v>1 años 3 meses</v>
      </c>
      <c r="N1550" s="15" t="str">
        <f>VLOOKUP(A1550,sinap!$A$2:$R$9000,6,FALSE)</f>
        <v>05-10-2024</v>
      </c>
      <c r="O1550" s="15" t="str">
        <f>VLOOKUP(A1550,sinap!$A$2:$R$9000,7,FALSE)</f>
        <v>Vivo</v>
      </c>
      <c r="P1550" s="15" t="str">
        <f>VLOOKUP(A1550,sinap!$A$2:$R$9000,8,FALSE)</f>
        <v>11.1.01.1241</v>
      </c>
      <c r="Q1550" s="15" t="str">
        <f>VLOOKUP(A1550,sinap!$A$2:$R$9000,12,FALSE)</f>
        <v>Sin Movimiento</v>
      </c>
      <c r="R1550" s="15" t="str">
        <f>VLOOKUP(A1550,sinap!$A$2:$R$9000,16,FALSE)</f>
        <v>11.1.01.1241</v>
      </c>
      <c r="S1550" s="15" t="str">
        <f>VLOOKUP(A1550,sinap!$A$2:$Y$9000,20,FALSE)</f>
        <v>SI</v>
      </c>
      <c r="T1550" s="16">
        <v>45587</v>
      </c>
    </row>
    <row r="1551" spans="1:20" hidden="1" x14ac:dyDescent="0.25">
      <c r="A1551" s="15">
        <v>24567188</v>
      </c>
      <c r="J1551" s="15" t="str">
        <f>VLOOKUP(A1551,sinap!$A$2:$R$9000,2,FALSE)</f>
        <v>M</v>
      </c>
      <c r="K1551" s="15" t="str">
        <f>VLOOKUP(A1551,sinap!$A$2:$R$9000,3,FALSE)</f>
        <v>NOVILLO</v>
      </c>
      <c r="L1551" s="15" t="str">
        <f>VLOOKUP(A1551,sinap!$A$2:$R$9000,4,FALSE)</f>
        <v>ANGUS NEGRO</v>
      </c>
      <c r="M1551" s="15" t="str">
        <f>VLOOKUP(A1551,sinap!$A$2:$R$9000,5,FALSE)</f>
        <v>1 años 3 meses</v>
      </c>
      <c r="N1551" s="15" t="str">
        <f>VLOOKUP(A1551,sinap!$A$2:$R$9000,6,FALSE)</f>
        <v>05-10-2024</v>
      </c>
      <c r="O1551" s="15" t="str">
        <f>VLOOKUP(A1551,sinap!$A$2:$R$9000,7,FALSE)</f>
        <v>Vivo</v>
      </c>
      <c r="P1551" s="15" t="str">
        <f>VLOOKUP(A1551,sinap!$A$2:$R$9000,8,FALSE)</f>
        <v>11.1.01.1241</v>
      </c>
      <c r="Q1551" s="15" t="str">
        <f>VLOOKUP(A1551,sinap!$A$2:$R$9000,12,FALSE)</f>
        <v>Sin Movimiento</v>
      </c>
      <c r="R1551" s="15" t="str">
        <f>VLOOKUP(A1551,sinap!$A$2:$R$9000,16,FALSE)</f>
        <v>11.1.01.1241</v>
      </c>
      <c r="S1551" s="15" t="str">
        <f>VLOOKUP(A1551,sinap!$A$2:$Y$9000,20,FALSE)</f>
        <v>SI</v>
      </c>
      <c r="T1551" s="16">
        <v>45587</v>
      </c>
    </row>
    <row r="1552" spans="1:20" hidden="1" x14ac:dyDescent="0.25">
      <c r="A1552" s="15">
        <v>24567190</v>
      </c>
      <c r="I1552" s="16">
        <v>45887</v>
      </c>
      <c r="J1552" s="15" t="str">
        <f>VLOOKUP(A1552,sinap!$A$2:$R$9000,2,FALSE)</f>
        <v>H</v>
      </c>
      <c r="K1552" s="15" t="str">
        <f>VLOOKUP(A1552,sinap!$A$2:$R$9000,3,FALSE)</f>
        <v>VAQUILLA</v>
      </c>
      <c r="L1552" s="15" t="str">
        <f>VLOOKUP(A1552,sinap!$A$2:$R$9000,4,FALSE)</f>
        <v>ANGUS NEGRO</v>
      </c>
      <c r="M1552" s="15" t="str">
        <f>VLOOKUP(A1552,sinap!$A$2:$R$9000,5,FALSE)</f>
        <v>1 años 3 meses</v>
      </c>
      <c r="N1552" s="15" t="str">
        <f>VLOOKUP(A1552,sinap!$A$2:$R$9000,6,FALSE)</f>
        <v>05-10-2024</v>
      </c>
      <c r="O1552" s="15" t="str">
        <f>VLOOKUP(A1552,sinap!$A$2:$R$9000,7,FALSE)</f>
        <v>Vivo</v>
      </c>
      <c r="P1552" s="15" t="str">
        <f>VLOOKUP(A1552,sinap!$A$2:$R$9000,8,FALSE)</f>
        <v>11.1.01.0941</v>
      </c>
      <c r="Q1552" s="15" t="str">
        <f>VLOOKUP(A1552,sinap!$A$2:$R$9000,12,FALSE)</f>
        <v>11.2.01.0053</v>
      </c>
      <c r="R1552" s="15" t="str">
        <f>VLOOKUP(A1552,sinap!$A$2:$R$9000,16,FALSE)</f>
        <v>11.1.01.1241</v>
      </c>
      <c r="S1552" s="15" t="str">
        <f>VLOOKUP(A1552,sinap!$A$2:$Y$9000,20,FALSE)</f>
        <v>SI</v>
      </c>
      <c r="T1552" s="16">
        <v>45570</v>
      </c>
    </row>
    <row r="1553" spans="1:20" hidden="1" x14ac:dyDescent="0.25">
      <c r="A1553" s="15">
        <v>24567192</v>
      </c>
      <c r="I1553" s="16">
        <v>45887</v>
      </c>
      <c r="J1553" s="15" t="str">
        <f>VLOOKUP(A1553,sinap!$A$2:$R$9000,2,FALSE)</f>
        <v>H</v>
      </c>
      <c r="K1553" s="15" t="str">
        <f>VLOOKUP(A1553,sinap!$A$2:$R$9000,3,FALSE)</f>
        <v>VAQUILLA</v>
      </c>
      <c r="L1553" s="15" t="str">
        <f>VLOOKUP(A1553,sinap!$A$2:$R$9000,4,FALSE)</f>
        <v>ANGUS NEGRO</v>
      </c>
      <c r="M1553" s="15" t="str">
        <f>VLOOKUP(A1553,sinap!$A$2:$R$9000,5,FALSE)</f>
        <v>1 años 3 meses</v>
      </c>
      <c r="N1553" s="15" t="str">
        <f>VLOOKUP(A1553,sinap!$A$2:$R$9000,6,FALSE)</f>
        <v>05-10-2024</v>
      </c>
      <c r="O1553" s="15" t="str">
        <f>VLOOKUP(A1553,sinap!$A$2:$R$9000,7,FALSE)</f>
        <v>Vivo</v>
      </c>
      <c r="P1553" s="15" t="str">
        <f>VLOOKUP(A1553,sinap!$A$2:$R$9000,8,FALSE)</f>
        <v>11.1.01.0941</v>
      </c>
      <c r="Q1553" s="15" t="str">
        <f>VLOOKUP(A1553,sinap!$A$2:$R$9000,12,FALSE)</f>
        <v>11.2.01.0053</v>
      </c>
      <c r="R1553" s="15" t="str">
        <f>VLOOKUP(A1553,sinap!$A$2:$R$9000,16,FALSE)</f>
        <v>11.1.01.1241</v>
      </c>
      <c r="S1553" s="15" t="str">
        <f>VLOOKUP(A1553,sinap!$A$2:$Y$9000,20,FALSE)</f>
        <v>SI</v>
      </c>
      <c r="T1553" s="16">
        <v>45587</v>
      </c>
    </row>
    <row r="1554" spans="1:20" hidden="1" x14ac:dyDescent="0.25">
      <c r="A1554" s="15">
        <v>24567194</v>
      </c>
      <c r="I1554" s="16">
        <v>45887</v>
      </c>
      <c r="J1554" s="15" t="str">
        <f>VLOOKUP(A1554,sinap!$A$2:$R$9000,2,FALSE)</f>
        <v>H</v>
      </c>
      <c r="K1554" s="15" t="str">
        <f>VLOOKUP(A1554,sinap!$A$2:$R$9000,3,FALSE)</f>
        <v>VAQUILLA</v>
      </c>
      <c r="L1554" s="15" t="str">
        <f>VLOOKUP(A1554,sinap!$A$2:$R$9000,4,FALSE)</f>
        <v>ANGUS NEGRO</v>
      </c>
      <c r="M1554" s="15" t="str">
        <f>VLOOKUP(A1554,sinap!$A$2:$R$9000,5,FALSE)</f>
        <v>1 años 3 meses</v>
      </c>
      <c r="N1554" s="15" t="str">
        <f>VLOOKUP(A1554,sinap!$A$2:$R$9000,6,FALSE)</f>
        <v>05-10-2024</v>
      </c>
      <c r="O1554" s="15" t="str">
        <f>VLOOKUP(A1554,sinap!$A$2:$R$9000,7,FALSE)</f>
        <v>Vivo</v>
      </c>
      <c r="P1554" s="15" t="str">
        <f>VLOOKUP(A1554,sinap!$A$2:$R$9000,8,FALSE)</f>
        <v>11.1.01.0941</v>
      </c>
      <c r="Q1554" s="15" t="str">
        <f>VLOOKUP(A1554,sinap!$A$2:$R$9000,12,FALSE)</f>
        <v>11.2.01.0053</v>
      </c>
      <c r="R1554" s="15" t="str">
        <f>VLOOKUP(A1554,sinap!$A$2:$R$9000,16,FALSE)</f>
        <v>11.1.01.1241</v>
      </c>
      <c r="S1554" s="15" t="str">
        <f>VLOOKUP(A1554,sinap!$A$2:$Y$9000,20,FALSE)</f>
        <v>SI</v>
      </c>
      <c r="T1554" s="16">
        <v>45587</v>
      </c>
    </row>
    <row r="1555" spans="1:20" hidden="1" x14ac:dyDescent="0.25">
      <c r="A1555" s="15">
        <v>24567198</v>
      </c>
      <c r="I1555" s="16">
        <v>45887</v>
      </c>
      <c r="J1555" s="15" t="str">
        <f>VLOOKUP(A1555,sinap!$A$2:$R$9000,2,FALSE)</f>
        <v>H</v>
      </c>
      <c r="K1555" s="15" t="str">
        <f>VLOOKUP(A1555,sinap!$A$2:$R$9000,3,FALSE)</f>
        <v>VAQUILLA</v>
      </c>
      <c r="L1555" s="15" t="str">
        <f>VLOOKUP(A1555,sinap!$A$2:$R$9000,4,FALSE)</f>
        <v>ANGUS NEGRO</v>
      </c>
      <c r="M1555" s="15" t="str">
        <f>VLOOKUP(A1555,sinap!$A$2:$R$9000,5,FALSE)</f>
        <v>1 años 3 meses</v>
      </c>
      <c r="N1555" s="15" t="str">
        <f>VLOOKUP(A1555,sinap!$A$2:$R$9000,6,FALSE)</f>
        <v>05-10-2024</v>
      </c>
      <c r="O1555" s="15" t="str">
        <f>VLOOKUP(A1555,sinap!$A$2:$R$9000,7,FALSE)</f>
        <v>Vivo</v>
      </c>
      <c r="P1555" s="15" t="str">
        <f>VLOOKUP(A1555,sinap!$A$2:$R$9000,8,FALSE)</f>
        <v>11.1.01.0941</v>
      </c>
      <c r="Q1555" s="15" t="str">
        <f>VLOOKUP(A1555,sinap!$A$2:$R$9000,12,FALSE)</f>
        <v>11.2.01.0053</v>
      </c>
      <c r="R1555" s="15" t="str">
        <f>VLOOKUP(A1555,sinap!$A$2:$R$9000,16,FALSE)</f>
        <v>11.1.01.1241</v>
      </c>
      <c r="S1555" s="15" t="str">
        <f>VLOOKUP(A1555,sinap!$A$2:$Y$9000,20,FALSE)</f>
        <v>SI</v>
      </c>
      <c r="T1555" s="16">
        <v>45570</v>
      </c>
    </row>
    <row r="1556" spans="1:20" hidden="1" x14ac:dyDescent="0.25">
      <c r="A1556" s="15">
        <v>24567202</v>
      </c>
      <c r="J1556" s="15" t="str">
        <f>VLOOKUP(A1556,sinap!$A$2:$R$9000,2,FALSE)</f>
        <v>H</v>
      </c>
      <c r="K1556" s="15" t="str">
        <f>VLOOKUP(A1556,sinap!$A$2:$R$9000,3,FALSE)</f>
        <v>VAQUILLA</v>
      </c>
      <c r="L1556" s="15" t="str">
        <f>VLOOKUP(A1556,sinap!$A$2:$R$9000,4,FALSE)</f>
        <v>ANGUS NEGRO</v>
      </c>
      <c r="M1556" s="15" t="str">
        <f>VLOOKUP(A1556,sinap!$A$2:$R$9000,5,FALSE)</f>
        <v>1 años 3 meses</v>
      </c>
      <c r="N1556" s="15" t="str">
        <f>VLOOKUP(A1556,sinap!$A$2:$R$9000,6,FALSE)</f>
        <v>05-10-2024</v>
      </c>
      <c r="O1556" s="15" t="str">
        <f>VLOOKUP(A1556,sinap!$A$2:$R$9000,7,FALSE)</f>
        <v>Vivo</v>
      </c>
      <c r="P1556" s="15" t="str">
        <f>VLOOKUP(A1556,sinap!$A$2:$R$9000,8,FALSE)</f>
        <v>11.1.01.0941</v>
      </c>
      <c r="Q1556" s="15" t="str">
        <f>VLOOKUP(A1556,sinap!$A$2:$R$9000,12,FALSE)</f>
        <v>11.2.01.0053</v>
      </c>
      <c r="R1556" s="15" t="str">
        <f>VLOOKUP(A1556,sinap!$A$2:$R$9000,16,FALSE)</f>
        <v>11.1.01.1241</v>
      </c>
      <c r="S1556" s="15" t="str">
        <f>VLOOKUP(A1556,sinap!$A$2:$Y$9000,20,FALSE)</f>
        <v>SI</v>
      </c>
      <c r="T1556" s="16">
        <v>45570</v>
      </c>
    </row>
    <row r="1557" spans="1:20" hidden="1" x14ac:dyDescent="0.25">
      <c r="A1557" s="15">
        <v>24567204</v>
      </c>
      <c r="I1557" s="16">
        <v>45887</v>
      </c>
      <c r="J1557" s="15" t="str">
        <f>VLOOKUP(A1557,sinap!$A$2:$R$9000,2,FALSE)</f>
        <v>H</v>
      </c>
      <c r="K1557" s="15" t="str">
        <f>VLOOKUP(A1557,sinap!$A$2:$R$9000,3,FALSE)</f>
        <v>VAQUILLA</v>
      </c>
      <c r="L1557" s="15" t="str">
        <f>VLOOKUP(A1557,sinap!$A$2:$R$9000,4,FALSE)</f>
        <v>ANGUS NEGRO</v>
      </c>
      <c r="M1557" s="15" t="str">
        <f>VLOOKUP(A1557,sinap!$A$2:$R$9000,5,FALSE)</f>
        <v>1 años 3 meses</v>
      </c>
      <c r="N1557" s="15" t="str">
        <f>VLOOKUP(A1557,sinap!$A$2:$R$9000,6,FALSE)</f>
        <v>05-10-2024</v>
      </c>
      <c r="O1557" s="15" t="str">
        <f>VLOOKUP(A1557,sinap!$A$2:$R$9000,7,FALSE)</f>
        <v>Vivo</v>
      </c>
      <c r="P1557" s="15" t="str">
        <f>VLOOKUP(A1557,sinap!$A$2:$R$9000,8,FALSE)</f>
        <v>11.1.01.0941</v>
      </c>
      <c r="Q1557" s="15" t="str">
        <f>VLOOKUP(A1557,sinap!$A$2:$R$9000,12,FALSE)</f>
        <v>11.2.01.0053</v>
      </c>
      <c r="R1557" s="15" t="str">
        <f>VLOOKUP(A1557,sinap!$A$2:$R$9000,16,FALSE)</f>
        <v>11.1.01.1241</v>
      </c>
      <c r="S1557" s="15" t="str">
        <f>VLOOKUP(A1557,sinap!$A$2:$Y$9000,20,FALSE)</f>
        <v>SI</v>
      </c>
      <c r="T1557" s="16">
        <v>45570</v>
      </c>
    </row>
    <row r="1558" spans="1:20" hidden="1" x14ac:dyDescent="0.25">
      <c r="A1558" s="15">
        <v>24567210</v>
      </c>
      <c r="I1558" s="16">
        <v>45887</v>
      </c>
      <c r="J1558" s="15" t="str">
        <f>VLOOKUP(A1558,sinap!$A$2:$R$9000,2,FALSE)</f>
        <v>M</v>
      </c>
      <c r="K1558" s="15" t="str">
        <f>VLOOKUP(A1558,sinap!$A$2:$R$9000,3,FALSE)</f>
        <v>NOVILLO</v>
      </c>
      <c r="L1558" s="15" t="str">
        <f>VLOOKUP(A1558,sinap!$A$2:$R$9000,4,FALSE)</f>
        <v>ANGUS NEGRO</v>
      </c>
      <c r="M1558" s="15" t="str">
        <f>VLOOKUP(A1558,sinap!$A$2:$R$9000,5,FALSE)</f>
        <v>1 años 3 meses</v>
      </c>
      <c r="N1558" s="15" t="str">
        <f>VLOOKUP(A1558,sinap!$A$2:$R$9000,6,FALSE)</f>
        <v>05-10-2024</v>
      </c>
      <c r="O1558" s="15" t="str">
        <f>VLOOKUP(A1558,sinap!$A$2:$R$9000,7,FALSE)</f>
        <v>Vivo</v>
      </c>
      <c r="P1558" s="15" t="str">
        <f>VLOOKUP(A1558,sinap!$A$2:$R$9000,8,FALSE)</f>
        <v>11.1.01.0941</v>
      </c>
      <c r="Q1558" s="15" t="str">
        <f>VLOOKUP(A1558,sinap!$A$2:$R$9000,12,FALSE)</f>
        <v>11.2.01.0053</v>
      </c>
      <c r="R1558" s="15" t="str">
        <f>VLOOKUP(A1558,sinap!$A$2:$R$9000,16,FALSE)</f>
        <v>11.1.01.1241</v>
      </c>
      <c r="S1558" s="15" t="str">
        <f>VLOOKUP(A1558,sinap!$A$2:$Y$9000,20,FALSE)</f>
        <v>SI</v>
      </c>
      <c r="T1558" s="16">
        <v>45587</v>
      </c>
    </row>
    <row r="1559" spans="1:20" hidden="1" x14ac:dyDescent="0.25">
      <c r="A1559" s="15">
        <v>24567214</v>
      </c>
      <c r="J1559" s="15" t="str">
        <f>VLOOKUP(A1559,sinap!$A$2:$R$9000,2,FALSE)</f>
        <v>M</v>
      </c>
      <c r="K1559" s="15" t="str">
        <f>VLOOKUP(A1559,sinap!$A$2:$R$9000,3,FALSE)</f>
        <v>NOVILLO</v>
      </c>
      <c r="L1559" s="15" t="str">
        <f>VLOOKUP(A1559,sinap!$A$2:$R$9000,4,FALSE)</f>
        <v>ANGUS NEGRO</v>
      </c>
      <c r="M1559" s="15" t="str">
        <f>VLOOKUP(A1559,sinap!$A$2:$R$9000,5,FALSE)</f>
        <v>1 años 3 meses</v>
      </c>
      <c r="N1559" s="15" t="str">
        <f>VLOOKUP(A1559,sinap!$A$2:$R$9000,6,FALSE)</f>
        <v>05-10-2024</v>
      </c>
      <c r="O1559" s="15" t="str">
        <f>VLOOKUP(A1559,sinap!$A$2:$R$9000,7,FALSE)</f>
        <v>Vivo</v>
      </c>
      <c r="P1559" s="15" t="str">
        <f>VLOOKUP(A1559,sinap!$A$2:$R$9000,8,FALSE)</f>
        <v>11.1.01.1241</v>
      </c>
      <c r="Q1559" s="15" t="str">
        <f>VLOOKUP(A1559,sinap!$A$2:$R$9000,12,FALSE)</f>
        <v>Sin Movimiento</v>
      </c>
      <c r="R1559" s="15" t="str">
        <f>VLOOKUP(A1559,sinap!$A$2:$R$9000,16,FALSE)</f>
        <v>11.1.01.1241</v>
      </c>
      <c r="S1559" s="15" t="str">
        <f>VLOOKUP(A1559,sinap!$A$2:$Y$9000,20,FALSE)</f>
        <v>SI</v>
      </c>
      <c r="T1559" s="16">
        <v>45587</v>
      </c>
    </row>
    <row r="1560" spans="1:20" hidden="1" x14ac:dyDescent="0.25">
      <c r="A1560" s="15">
        <v>24567215</v>
      </c>
      <c r="I1560" s="16">
        <v>45887</v>
      </c>
      <c r="J1560" s="15" t="str">
        <f>VLOOKUP(A1560,sinap!$A$2:$R$9000,2,FALSE)</f>
        <v>H</v>
      </c>
      <c r="K1560" s="15" t="str">
        <f>VLOOKUP(A1560,sinap!$A$2:$R$9000,3,FALSE)</f>
        <v>VAQUILLA</v>
      </c>
      <c r="L1560" s="15" t="str">
        <f>VLOOKUP(A1560,sinap!$A$2:$R$9000,4,FALSE)</f>
        <v>ANGUS NEGRO</v>
      </c>
      <c r="M1560" s="15" t="str">
        <f>VLOOKUP(A1560,sinap!$A$2:$R$9000,5,FALSE)</f>
        <v>1 años 3 meses</v>
      </c>
      <c r="N1560" s="15" t="str">
        <f>VLOOKUP(A1560,sinap!$A$2:$R$9000,6,FALSE)</f>
        <v>05-10-2024</v>
      </c>
      <c r="O1560" s="15" t="str">
        <f>VLOOKUP(A1560,sinap!$A$2:$R$9000,7,FALSE)</f>
        <v>Vivo</v>
      </c>
      <c r="P1560" s="15" t="str">
        <f>VLOOKUP(A1560,sinap!$A$2:$R$9000,8,FALSE)</f>
        <v>11.1.01.0941</v>
      </c>
      <c r="Q1560" s="15" t="str">
        <f>VLOOKUP(A1560,sinap!$A$2:$R$9000,12,FALSE)</f>
        <v>11.2.01.0053</v>
      </c>
      <c r="R1560" s="15" t="str">
        <f>VLOOKUP(A1560,sinap!$A$2:$R$9000,16,FALSE)</f>
        <v>11.1.01.1241</v>
      </c>
      <c r="S1560" s="15" t="str">
        <f>VLOOKUP(A1560,sinap!$A$2:$Y$9000,20,FALSE)</f>
        <v>SI</v>
      </c>
      <c r="T1560" s="16">
        <v>45587</v>
      </c>
    </row>
    <row r="1561" spans="1:20" hidden="1" x14ac:dyDescent="0.25">
      <c r="A1561" s="15">
        <v>24567219</v>
      </c>
      <c r="I1561" s="16">
        <v>45887</v>
      </c>
      <c r="J1561" s="15" t="str">
        <f>VLOOKUP(A1561,sinap!$A$2:$R$9000,2,FALSE)</f>
        <v>H</v>
      </c>
      <c r="K1561" s="15" t="str">
        <f>VLOOKUP(A1561,sinap!$A$2:$R$9000,3,FALSE)</f>
        <v>VAQUILLA</v>
      </c>
      <c r="L1561" s="15" t="str">
        <f>VLOOKUP(A1561,sinap!$A$2:$R$9000,4,FALSE)</f>
        <v>ANGUS NEGRO</v>
      </c>
      <c r="M1561" s="15" t="str">
        <f>VLOOKUP(A1561,sinap!$A$2:$R$9000,5,FALSE)</f>
        <v>1 años 3 meses</v>
      </c>
      <c r="N1561" s="15" t="str">
        <f>VLOOKUP(A1561,sinap!$A$2:$R$9000,6,FALSE)</f>
        <v>05-10-2024</v>
      </c>
      <c r="O1561" s="15" t="str">
        <f>VLOOKUP(A1561,sinap!$A$2:$R$9000,7,FALSE)</f>
        <v>Vivo</v>
      </c>
      <c r="P1561" s="15" t="str">
        <f>VLOOKUP(A1561,sinap!$A$2:$R$9000,8,FALSE)</f>
        <v>11.1.01.0941</v>
      </c>
      <c r="Q1561" s="15" t="str">
        <f>VLOOKUP(A1561,sinap!$A$2:$R$9000,12,FALSE)</f>
        <v>11.2.01.0053</v>
      </c>
      <c r="R1561" s="15" t="str">
        <f>VLOOKUP(A1561,sinap!$A$2:$R$9000,16,FALSE)</f>
        <v>11.1.01.1241</v>
      </c>
      <c r="S1561" s="15" t="str">
        <f>VLOOKUP(A1561,sinap!$A$2:$Y$9000,20,FALSE)</f>
        <v>SI</v>
      </c>
      <c r="T1561" s="16">
        <v>45587</v>
      </c>
    </row>
    <row r="1562" spans="1:20" hidden="1" x14ac:dyDescent="0.25">
      <c r="A1562" s="15">
        <v>24567220</v>
      </c>
      <c r="I1562" s="16">
        <v>45887</v>
      </c>
      <c r="J1562" s="15" t="str">
        <f>VLOOKUP(A1562,sinap!$A$2:$R$9000,2,FALSE)</f>
        <v>H</v>
      </c>
      <c r="K1562" s="15" t="str">
        <f>VLOOKUP(A1562,sinap!$A$2:$R$9000,3,FALSE)</f>
        <v>VAQUILLA</v>
      </c>
      <c r="L1562" s="15" t="str">
        <f>VLOOKUP(A1562,sinap!$A$2:$R$9000,4,FALSE)</f>
        <v>ANGUS NEGRO</v>
      </c>
      <c r="M1562" s="15" t="str">
        <f>VLOOKUP(A1562,sinap!$A$2:$R$9000,5,FALSE)</f>
        <v>1 años 3 meses</v>
      </c>
      <c r="N1562" s="15" t="str">
        <f>VLOOKUP(A1562,sinap!$A$2:$R$9000,6,FALSE)</f>
        <v>05-10-2024</v>
      </c>
      <c r="O1562" s="15" t="str">
        <f>VLOOKUP(A1562,sinap!$A$2:$R$9000,7,FALSE)</f>
        <v>Vivo</v>
      </c>
      <c r="P1562" s="15" t="str">
        <f>VLOOKUP(A1562,sinap!$A$2:$R$9000,8,FALSE)</f>
        <v>11.1.01.0941</v>
      </c>
      <c r="Q1562" s="15" t="str">
        <f>VLOOKUP(A1562,sinap!$A$2:$R$9000,12,FALSE)</f>
        <v>11.2.01.0053</v>
      </c>
      <c r="R1562" s="15" t="str">
        <f>VLOOKUP(A1562,sinap!$A$2:$R$9000,16,FALSE)</f>
        <v>11.1.01.1241</v>
      </c>
      <c r="S1562" s="15" t="str">
        <f>VLOOKUP(A1562,sinap!$A$2:$Y$9000,20,FALSE)</f>
        <v>SI</v>
      </c>
      <c r="T1562" s="16">
        <v>45587</v>
      </c>
    </row>
    <row r="1563" spans="1:20" hidden="1" x14ac:dyDescent="0.25">
      <c r="A1563" s="15">
        <v>24567221</v>
      </c>
      <c r="I1563" s="16">
        <v>45887</v>
      </c>
      <c r="J1563" s="15" t="str">
        <f>VLOOKUP(A1563,sinap!$A$2:$R$9000,2,FALSE)</f>
        <v>H</v>
      </c>
      <c r="K1563" s="15" t="str">
        <f>VLOOKUP(A1563,sinap!$A$2:$R$9000,3,FALSE)</f>
        <v>VAQUILLA</v>
      </c>
      <c r="L1563" s="15" t="str">
        <f>VLOOKUP(A1563,sinap!$A$2:$R$9000,4,FALSE)</f>
        <v>ANGUS NEGRO</v>
      </c>
      <c r="M1563" s="15" t="str">
        <f>VLOOKUP(A1563,sinap!$A$2:$R$9000,5,FALSE)</f>
        <v>1 años 2 meses</v>
      </c>
      <c r="N1563" s="15" t="str">
        <f>VLOOKUP(A1563,sinap!$A$2:$R$9000,6,FALSE)</f>
        <v>18-10-2024</v>
      </c>
      <c r="O1563" s="15" t="str">
        <f>VLOOKUP(A1563,sinap!$A$2:$R$9000,7,FALSE)</f>
        <v>Vivo</v>
      </c>
      <c r="P1563" s="15" t="str">
        <f>VLOOKUP(A1563,sinap!$A$2:$R$9000,8,FALSE)</f>
        <v>11.1.01.0941</v>
      </c>
      <c r="Q1563" s="15" t="str">
        <f>VLOOKUP(A1563,sinap!$A$2:$R$9000,12,FALSE)</f>
        <v>11.2.01.0053</v>
      </c>
      <c r="R1563" s="15" t="str">
        <f>VLOOKUP(A1563,sinap!$A$2:$R$9000,16,FALSE)</f>
        <v>11.1.01.1241</v>
      </c>
      <c r="S1563" s="15" t="str">
        <f>VLOOKUP(A1563,sinap!$A$2:$Y$9000,20,FALSE)</f>
        <v>SI</v>
      </c>
      <c r="T1563" s="16">
        <v>45583</v>
      </c>
    </row>
    <row r="1564" spans="1:20" hidden="1" x14ac:dyDescent="0.25">
      <c r="A1564" s="15">
        <v>24567224</v>
      </c>
      <c r="I1564" s="16">
        <v>45887</v>
      </c>
      <c r="J1564" s="15" t="str">
        <f>VLOOKUP(A1564,sinap!$A$2:$R$9000,2,FALSE)</f>
        <v>H</v>
      </c>
      <c r="K1564" s="15" t="str">
        <f>VLOOKUP(A1564,sinap!$A$2:$R$9000,3,FALSE)</f>
        <v>VAQUILLA</v>
      </c>
      <c r="L1564" s="15" t="str">
        <f>VLOOKUP(A1564,sinap!$A$2:$R$9000,4,FALSE)</f>
        <v>ANGUS NEGRO</v>
      </c>
      <c r="M1564" s="15" t="str">
        <f>VLOOKUP(A1564,sinap!$A$2:$R$9000,5,FALSE)</f>
        <v>1 años 3 meses</v>
      </c>
      <c r="N1564" s="15" t="str">
        <f>VLOOKUP(A1564,sinap!$A$2:$R$9000,6,FALSE)</f>
        <v>05-10-2024</v>
      </c>
      <c r="O1564" s="15" t="str">
        <f>VLOOKUP(A1564,sinap!$A$2:$R$9000,7,FALSE)</f>
        <v>Vivo</v>
      </c>
      <c r="P1564" s="15" t="str">
        <f>VLOOKUP(A1564,sinap!$A$2:$R$9000,8,FALSE)</f>
        <v>11.1.01.0941</v>
      </c>
      <c r="Q1564" s="15" t="str">
        <f>VLOOKUP(A1564,sinap!$A$2:$R$9000,12,FALSE)</f>
        <v>11.2.01.0053</v>
      </c>
      <c r="R1564" s="15" t="str">
        <f>VLOOKUP(A1564,sinap!$A$2:$R$9000,16,FALSE)</f>
        <v>11.1.01.1241</v>
      </c>
      <c r="S1564" s="15" t="str">
        <f>VLOOKUP(A1564,sinap!$A$2:$Y$9000,20,FALSE)</f>
        <v>SI</v>
      </c>
      <c r="T1564" s="16">
        <v>45587</v>
      </c>
    </row>
    <row r="1565" spans="1:20" hidden="1" x14ac:dyDescent="0.25">
      <c r="A1565" s="15">
        <v>24567226</v>
      </c>
      <c r="I1565" s="16">
        <v>45887</v>
      </c>
      <c r="J1565" s="15" t="str">
        <f>VLOOKUP(A1565,sinap!$A$2:$R$9000,2,FALSE)</f>
        <v>H</v>
      </c>
      <c r="K1565" s="15" t="str">
        <f>VLOOKUP(A1565,sinap!$A$2:$R$9000,3,FALSE)</f>
        <v>VAQUILLA</v>
      </c>
      <c r="L1565" s="15" t="str">
        <f>VLOOKUP(A1565,sinap!$A$2:$R$9000,4,FALSE)</f>
        <v>ANGUS NEGRO</v>
      </c>
      <c r="M1565" s="15" t="str">
        <f>VLOOKUP(A1565,sinap!$A$2:$R$9000,5,FALSE)</f>
        <v>1 años 3 meses</v>
      </c>
      <c r="N1565" s="15" t="str">
        <f>VLOOKUP(A1565,sinap!$A$2:$R$9000,6,FALSE)</f>
        <v>05-10-2024</v>
      </c>
      <c r="O1565" s="15" t="str">
        <f>VLOOKUP(A1565,sinap!$A$2:$R$9000,7,FALSE)</f>
        <v>Vivo</v>
      </c>
      <c r="P1565" s="15" t="str">
        <f>VLOOKUP(A1565,sinap!$A$2:$R$9000,8,FALSE)</f>
        <v>11.1.01.0941</v>
      </c>
      <c r="Q1565" s="15" t="str">
        <f>VLOOKUP(A1565,sinap!$A$2:$R$9000,12,FALSE)</f>
        <v>11.2.01.0053</v>
      </c>
      <c r="R1565" s="15" t="str">
        <f>VLOOKUP(A1565,sinap!$A$2:$R$9000,16,FALSE)</f>
        <v>11.1.01.1241</v>
      </c>
      <c r="S1565" s="15" t="str">
        <f>VLOOKUP(A1565,sinap!$A$2:$Y$9000,20,FALSE)</f>
        <v>SI</v>
      </c>
      <c r="T1565" s="16">
        <v>45570</v>
      </c>
    </row>
    <row r="1566" spans="1:20" hidden="1" x14ac:dyDescent="0.25">
      <c r="A1566" s="15">
        <v>24567229</v>
      </c>
      <c r="I1566" s="16">
        <v>45887</v>
      </c>
      <c r="J1566" s="15" t="str">
        <f>VLOOKUP(A1566,sinap!$A$2:$R$9000,2,FALSE)</f>
        <v>H</v>
      </c>
      <c r="K1566" s="15" t="str">
        <f>VLOOKUP(A1566,sinap!$A$2:$R$9000,3,FALSE)</f>
        <v>VAQUILLA</v>
      </c>
      <c r="L1566" s="15" t="str">
        <f>VLOOKUP(A1566,sinap!$A$2:$R$9000,4,FALSE)</f>
        <v>ANGUS NEGRO</v>
      </c>
      <c r="M1566" s="15" t="str">
        <f>VLOOKUP(A1566,sinap!$A$2:$R$9000,5,FALSE)</f>
        <v>1 años 3 meses</v>
      </c>
      <c r="N1566" s="15" t="str">
        <f>VLOOKUP(A1566,sinap!$A$2:$R$9000,6,FALSE)</f>
        <v>05-10-2024</v>
      </c>
      <c r="O1566" s="15" t="str">
        <f>VLOOKUP(A1566,sinap!$A$2:$R$9000,7,FALSE)</f>
        <v>Vivo</v>
      </c>
      <c r="P1566" s="15" t="str">
        <f>VLOOKUP(A1566,sinap!$A$2:$R$9000,8,FALSE)</f>
        <v>11.1.01.0941</v>
      </c>
      <c r="Q1566" s="15" t="str">
        <f>VLOOKUP(A1566,sinap!$A$2:$R$9000,12,FALSE)</f>
        <v>11.2.01.0053</v>
      </c>
      <c r="R1566" s="15" t="str">
        <f>VLOOKUP(A1566,sinap!$A$2:$R$9000,16,FALSE)</f>
        <v>11.1.01.1241</v>
      </c>
      <c r="S1566" s="15" t="str">
        <f>VLOOKUP(A1566,sinap!$A$2:$Y$9000,20,FALSE)</f>
        <v>SI</v>
      </c>
      <c r="T1566" s="16">
        <v>45587</v>
      </c>
    </row>
    <row r="1567" spans="1:20" hidden="1" x14ac:dyDescent="0.25">
      <c r="A1567" s="15">
        <v>24567231</v>
      </c>
      <c r="H1567" s="16">
        <v>45606</v>
      </c>
      <c r="J1567" s="15" t="str">
        <f>VLOOKUP(A1567,sinap!$A$2:$R$9000,2,FALSE)</f>
        <v>H</v>
      </c>
      <c r="K1567" s="15" t="str">
        <f>VLOOKUP(A1567,sinap!$A$2:$R$9000,3,FALSE)</f>
        <v>VAQUILLA</v>
      </c>
      <c r="L1567" s="15" t="str">
        <f>VLOOKUP(A1567,sinap!$A$2:$R$9000,4,FALSE)</f>
        <v>ANGUS NEGRO</v>
      </c>
      <c r="M1567" s="15" t="str">
        <f>VLOOKUP(A1567,sinap!$A$2:$R$9000,5,FALSE)</f>
        <v>1 años 3 meses</v>
      </c>
      <c r="N1567" s="15" t="str">
        <f>VLOOKUP(A1567,sinap!$A$2:$R$9000,6,FALSE)</f>
        <v>05-10-2024</v>
      </c>
      <c r="O1567" s="15" t="str">
        <f>VLOOKUP(A1567,sinap!$A$2:$R$9000,7,FALSE)</f>
        <v>Vivo</v>
      </c>
      <c r="P1567" s="15" t="str">
        <f>VLOOKUP(A1567,sinap!$A$2:$R$9000,8,FALSE)</f>
        <v>11.1.01.1241</v>
      </c>
      <c r="Q1567" s="15" t="str">
        <f>VLOOKUP(A1567,sinap!$A$2:$R$9000,12,FALSE)</f>
        <v>Sin Movimiento</v>
      </c>
      <c r="R1567" s="15" t="str">
        <f>VLOOKUP(A1567,sinap!$A$2:$R$9000,16,FALSE)</f>
        <v>11.1.01.1241</v>
      </c>
      <c r="S1567" s="15" t="str">
        <f>VLOOKUP(A1567,sinap!$A$2:$Y$9000,20,FALSE)</f>
        <v>SI</v>
      </c>
      <c r="T1567" s="16">
        <v>45606</v>
      </c>
    </row>
    <row r="1568" spans="1:20" hidden="1" x14ac:dyDescent="0.25">
      <c r="A1568" s="15">
        <v>24567232</v>
      </c>
      <c r="I1568" s="16">
        <v>45887</v>
      </c>
      <c r="J1568" s="15" t="str">
        <f>VLOOKUP(A1568,sinap!$A$2:$R$9000,2,FALSE)</f>
        <v>H</v>
      </c>
      <c r="K1568" s="15" t="str">
        <f>VLOOKUP(A1568,sinap!$A$2:$R$9000,3,FALSE)</f>
        <v>VAQUILLA</v>
      </c>
      <c r="L1568" s="15" t="str">
        <f>VLOOKUP(A1568,sinap!$A$2:$R$9000,4,FALSE)</f>
        <v>ANGUS NEGRO</v>
      </c>
      <c r="M1568" s="15" t="str">
        <f>VLOOKUP(A1568,sinap!$A$2:$R$9000,5,FALSE)</f>
        <v>1 años 3 meses</v>
      </c>
      <c r="N1568" s="15" t="str">
        <f>VLOOKUP(A1568,sinap!$A$2:$R$9000,6,FALSE)</f>
        <v>05-10-2024</v>
      </c>
      <c r="O1568" s="15" t="str">
        <f>VLOOKUP(A1568,sinap!$A$2:$R$9000,7,FALSE)</f>
        <v>Vivo</v>
      </c>
      <c r="P1568" s="15" t="str">
        <f>VLOOKUP(A1568,sinap!$A$2:$R$9000,8,FALSE)</f>
        <v>11.1.01.0941</v>
      </c>
      <c r="Q1568" s="15" t="str">
        <f>VLOOKUP(A1568,sinap!$A$2:$R$9000,12,FALSE)</f>
        <v>11.2.01.0053</v>
      </c>
      <c r="R1568" s="15" t="str">
        <f>VLOOKUP(A1568,sinap!$A$2:$R$9000,16,FALSE)</f>
        <v>11.1.01.1241</v>
      </c>
      <c r="S1568" s="15" t="str">
        <f>VLOOKUP(A1568,sinap!$A$2:$Y$9000,20,FALSE)</f>
        <v>SI</v>
      </c>
      <c r="T1568" s="16">
        <v>45570</v>
      </c>
    </row>
    <row r="1569" spans="1:20" hidden="1" x14ac:dyDescent="0.25">
      <c r="A1569" s="15">
        <v>24567242</v>
      </c>
      <c r="I1569" s="16">
        <v>45887</v>
      </c>
      <c r="J1569" s="15" t="str">
        <f>VLOOKUP(A1569,sinap!$A$2:$R$9000,2,FALSE)</f>
        <v>H</v>
      </c>
      <c r="K1569" s="15" t="str">
        <f>VLOOKUP(A1569,sinap!$A$2:$R$9000,3,FALSE)</f>
        <v>VAQUILLA</v>
      </c>
      <c r="L1569" s="15" t="str">
        <f>VLOOKUP(A1569,sinap!$A$2:$R$9000,4,FALSE)</f>
        <v>ANGUS NEGRO</v>
      </c>
      <c r="M1569" s="15" t="str">
        <f>VLOOKUP(A1569,sinap!$A$2:$R$9000,5,FALSE)</f>
        <v>1 años 2 meses</v>
      </c>
      <c r="N1569" s="15" t="str">
        <f>VLOOKUP(A1569,sinap!$A$2:$R$9000,6,FALSE)</f>
        <v>20-10-2024</v>
      </c>
      <c r="O1569" s="15" t="str">
        <f>VLOOKUP(A1569,sinap!$A$2:$R$9000,7,FALSE)</f>
        <v>Vivo</v>
      </c>
      <c r="P1569" s="15" t="str">
        <f>VLOOKUP(A1569,sinap!$A$2:$R$9000,8,FALSE)</f>
        <v>11.1.01.0941</v>
      </c>
      <c r="Q1569" s="15" t="str">
        <f>VLOOKUP(A1569,sinap!$A$2:$R$9000,12,FALSE)</f>
        <v>11.2.01.0053</v>
      </c>
      <c r="R1569" s="15" t="str">
        <f>VLOOKUP(A1569,sinap!$A$2:$R$9000,16,FALSE)</f>
        <v>11.1.01.1241</v>
      </c>
      <c r="S1569" s="15" t="str">
        <f>VLOOKUP(A1569,sinap!$A$2:$Y$9000,20,FALSE)</f>
        <v>SI</v>
      </c>
      <c r="T1569" s="16">
        <v>45606</v>
      </c>
    </row>
    <row r="1570" spans="1:20" hidden="1" x14ac:dyDescent="0.25">
      <c r="A1570" s="15">
        <v>24567244</v>
      </c>
      <c r="H1570" s="16">
        <v>45606</v>
      </c>
      <c r="J1570" s="15" t="str">
        <f>VLOOKUP(A1570,sinap!$A$2:$R$9000,2,FALSE)</f>
        <v>H</v>
      </c>
      <c r="K1570" s="15" t="str">
        <f>VLOOKUP(A1570,sinap!$A$2:$R$9000,3,FALSE)</f>
        <v>VAQUILLA</v>
      </c>
      <c r="L1570" s="15" t="str">
        <f>VLOOKUP(A1570,sinap!$A$2:$R$9000,4,FALSE)</f>
        <v>ANGUS NEGRO</v>
      </c>
      <c r="M1570" s="15" t="str">
        <f>VLOOKUP(A1570,sinap!$A$2:$R$9000,5,FALSE)</f>
        <v>1 años 2 meses</v>
      </c>
      <c r="N1570" s="15" t="str">
        <f>VLOOKUP(A1570,sinap!$A$2:$R$9000,6,FALSE)</f>
        <v>20-10-2024</v>
      </c>
      <c r="O1570" s="15" t="str">
        <f>VLOOKUP(A1570,sinap!$A$2:$R$9000,7,FALSE)</f>
        <v>Vivo</v>
      </c>
      <c r="P1570" s="15" t="str">
        <f>VLOOKUP(A1570,sinap!$A$2:$R$9000,8,FALSE)</f>
        <v>11.1.01.1241</v>
      </c>
      <c r="Q1570" s="15" t="str">
        <f>VLOOKUP(A1570,sinap!$A$2:$R$9000,12,FALSE)</f>
        <v>Sin Movimiento</v>
      </c>
      <c r="R1570" s="15" t="str">
        <f>VLOOKUP(A1570,sinap!$A$2:$R$9000,16,FALSE)</f>
        <v>11.1.01.1241</v>
      </c>
      <c r="S1570" s="15" t="str">
        <f>VLOOKUP(A1570,sinap!$A$2:$Y$9000,20,FALSE)</f>
        <v>SI</v>
      </c>
      <c r="T1570" s="16">
        <v>45612</v>
      </c>
    </row>
    <row r="1571" spans="1:20" hidden="1" x14ac:dyDescent="0.25">
      <c r="A1571" s="15">
        <v>24567251</v>
      </c>
      <c r="I1571" s="16">
        <v>45887</v>
      </c>
      <c r="J1571" s="15" t="str">
        <f>VLOOKUP(A1571,sinap!$A$2:$R$9000,2,FALSE)</f>
        <v>H</v>
      </c>
      <c r="K1571" s="15" t="str">
        <f>VLOOKUP(A1571,sinap!$A$2:$R$9000,3,FALSE)</f>
        <v>VAQUILLA</v>
      </c>
      <c r="L1571" s="15" t="str">
        <f>VLOOKUP(A1571,sinap!$A$2:$R$9000,4,FALSE)</f>
        <v>ANGUS NEGRO</v>
      </c>
      <c r="M1571" s="15" t="str">
        <f>VLOOKUP(A1571,sinap!$A$2:$R$9000,5,FALSE)</f>
        <v>1 años 3 meses</v>
      </c>
      <c r="N1571" s="15" t="str">
        <f>VLOOKUP(A1571,sinap!$A$2:$R$9000,6,FALSE)</f>
        <v>05-10-2024</v>
      </c>
      <c r="O1571" s="15" t="str">
        <f>VLOOKUP(A1571,sinap!$A$2:$R$9000,7,FALSE)</f>
        <v>Vivo</v>
      </c>
      <c r="P1571" s="15" t="str">
        <f>VLOOKUP(A1571,sinap!$A$2:$R$9000,8,FALSE)</f>
        <v>11.1.01.0941</v>
      </c>
      <c r="Q1571" s="15" t="str">
        <f>VLOOKUP(A1571,sinap!$A$2:$R$9000,12,FALSE)</f>
        <v>11.2.01.0053</v>
      </c>
      <c r="R1571" s="15" t="str">
        <f>VLOOKUP(A1571,sinap!$A$2:$R$9000,16,FALSE)</f>
        <v>11.1.01.1241</v>
      </c>
      <c r="S1571" s="15" t="str">
        <f>VLOOKUP(A1571,sinap!$A$2:$Y$9000,20,FALSE)</f>
        <v>SI</v>
      </c>
      <c r="T1571" s="16">
        <v>45570</v>
      </c>
    </row>
    <row r="1572" spans="1:20" hidden="1" x14ac:dyDescent="0.25">
      <c r="A1572" s="15">
        <v>24567254</v>
      </c>
      <c r="I1572" s="16">
        <v>45887</v>
      </c>
      <c r="J1572" s="15" t="str">
        <f>VLOOKUP(A1572,sinap!$A$2:$R$9000,2,FALSE)</f>
        <v>H</v>
      </c>
      <c r="K1572" s="15" t="str">
        <f>VLOOKUP(A1572,sinap!$A$2:$R$9000,3,FALSE)</f>
        <v>VAQUILLA</v>
      </c>
      <c r="L1572" s="15" t="str">
        <f>VLOOKUP(A1572,sinap!$A$2:$R$9000,4,FALSE)</f>
        <v>ANGUS NEGRO</v>
      </c>
      <c r="M1572" s="15" t="str">
        <f>VLOOKUP(A1572,sinap!$A$2:$R$9000,5,FALSE)</f>
        <v>1 años 3 meses</v>
      </c>
      <c r="N1572" s="15" t="str">
        <f>VLOOKUP(A1572,sinap!$A$2:$R$9000,6,FALSE)</f>
        <v>15-10-2024</v>
      </c>
      <c r="O1572" s="15" t="str">
        <f>VLOOKUP(A1572,sinap!$A$2:$R$9000,7,FALSE)</f>
        <v>Vivo</v>
      </c>
      <c r="P1572" s="15" t="str">
        <f>VLOOKUP(A1572,sinap!$A$2:$R$9000,8,FALSE)</f>
        <v>11.1.01.0941</v>
      </c>
      <c r="Q1572" s="15" t="str">
        <f>VLOOKUP(A1572,sinap!$A$2:$R$9000,12,FALSE)</f>
        <v>11.2.01.0053</v>
      </c>
      <c r="R1572" s="15" t="str">
        <f>VLOOKUP(A1572,sinap!$A$2:$R$9000,16,FALSE)</f>
        <v>11.1.01.1241</v>
      </c>
      <c r="S1572" s="15" t="str">
        <f>VLOOKUP(A1572,sinap!$A$2:$Y$9000,20,FALSE)</f>
        <v>SI</v>
      </c>
      <c r="T1572" s="16">
        <v>45580</v>
      </c>
    </row>
    <row r="1573" spans="1:20" hidden="1" x14ac:dyDescent="0.25">
      <c r="A1573" s="15">
        <v>24567255</v>
      </c>
      <c r="I1573" s="16">
        <v>45813</v>
      </c>
      <c r="J1573" s="15" t="str">
        <f>VLOOKUP(A1573,sinap!$A$2:$R$9000,2,FALSE)</f>
        <v>H</v>
      </c>
      <c r="K1573" s="15" t="str">
        <f>VLOOKUP(A1573,sinap!$A$2:$R$9000,3,FALSE)</f>
        <v>VAQUILLA</v>
      </c>
      <c r="L1573" s="15" t="str">
        <f>VLOOKUP(A1573,sinap!$A$2:$R$9000,4,FALSE)</f>
        <v>ANGUS NEGRO</v>
      </c>
      <c r="M1573" s="15" t="str">
        <f>VLOOKUP(A1573,sinap!$A$2:$R$9000,5,FALSE)</f>
        <v>1 años 2 meses</v>
      </c>
      <c r="N1573" s="15" t="str">
        <f>VLOOKUP(A1573,sinap!$A$2:$R$9000,6,FALSE)</f>
        <v>30-10-2024</v>
      </c>
      <c r="O1573" s="15" t="str">
        <f>VLOOKUP(A1573,sinap!$A$2:$R$9000,7,FALSE)</f>
        <v>Vivo</v>
      </c>
      <c r="P1573" s="15" t="str">
        <f>VLOOKUP(A1573,sinap!$A$2:$R$9000,8,FALSE)</f>
        <v>11.1.01.1241</v>
      </c>
      <c r="Q1573" s="15" t="str">
        <f>VLOOKUP(A1573,sinap!$A$2:$R$9000,12,FALSE)</f>
        <v>11.2.01.0038</v>
      </c>
      <c r="R1573" s="15" t="str">
        <f>VLOOKUP(A1573,sinap!$A$2:$R$9000,16,FALSE)</f>
        <v>11.1.01.1241</v>
      </c>
      <c r="S1573" s="15" t="str">
        <f>VLOOKUP(A1573,sinap!$A$2:$Y$9000,20,FALSE)</f>
        <v>SI</v>
      </c>
      <c r="T1573" s="16">
        <v>45612</v>
      </c>
    </row>
    <row r="1574" spans="1:20" hidden="1" x14ac:dyDescent="0.25">
      <c r="A1574" s="15">
        <v>24567256</v>
      </c>
      <c r="I1574" s="16">
        <v>45887</v>
      </c>
      <c r="J1574" s="15" t="str">
        <f>VLOOKUP(A1574,sinap!$A$2:$R$9000,2,FALSE)</f>
        <v>H</v>
      </c>
      <c r="K1574" s="15" t="str">
        <f>VLOOKUP(A1574,sinap!$A$2:$R$9000,3,FALSE)</f>
        <v>VAQUILLA</v>
      </c>
      <c r="L1574" s="15" t="str">
        <f>VLOOKUP(A1574,sinap!$A$2:$R$9000,4,FALSE)</f>
        <v>ANGUS NEGRO</v>
      </c>
      <c r="M1574" s="15" t="str">
        <f>VLOOKUP(A1574,sinap!$A$2:$R$9000,5,FALSE)</f>
        <v>1 años 3 meses</v>
      </c>
      <c r="N1574" s="15" t="str">
        <f>VLOOKUP(A1574,sinap!$A$2:$R$9000,6,FALSE)</f>
        <v>15-10-2024</v>
      </c>
      <c r="O1574" s="15" t="str">
        <f>VLOOKUP(A1574,sinap!$A$2:$R$9000,7,FALSE)</f>
        <v>Vivo</v>
      </c>
      <c r="P1574" s="15" t="str">
        <f>VLOOKUP(A1574,sinap!$A$2:$R$9000,8,FALSE)</f>
        <v>11.1.01.0941</v>
      </c>
      <c r="Q1574" s="15" t="str">
        <f>VLOOKUP(A1574,sinap!$A$2:$R$9000,12,FALSE)</f>
        <v>11.2.01.0053</v>
      </c>
      <c r="R1574" s="15" t="str">
        <f>VLOOKUP(A1574,sinap!$A$2:$R$9000,16,FALSE)</f>
        <v>11.1.01.1241</v>
      </c>
      <c r="S1574" s="15" t="str">
        <f>VLOOKUP(A1574,sinap!$A$2:$Y$9000,20,FALSE)</f>
        <v>SI</v>
      </c>
      <c r="T1574" s="16">
        <v>45580</v>
      </c>
    </row>
    <row r="1575" spans="1:20" hidden="1" x14ac:dyDescent="0.25">
      <c r="A1575" s="15">
        <v>24567258</v>
      </c>
      <c r="I1575" s="16">
        <v>45813</v>
      </c>
      <c r="J1575" s="15" t="str">
        <f>VLOOKUP(A1575,sinap!$A$2:$R$9000,2,FALSE)</f>
        <v>H</v>
      </c>
      <c r="K1575" s="15" t="str">
        <f>VLOOKUP(A1575,sinap!$A$2:$R$9000,3,FALSE)</f>
        <v>VAQUILLA</v>
      </c>
      <c r="L1575" s="15" t="str">
        <f>VLOOKUP(A1575,sinap!$A$2:$R$9000,4,FALSE)</f>
        <v>ANGUS NEGRO</v>
      </c>
      <c r="M1575" s="15" t="str">
        <f>VLOOKUP(A1575,sinap!$A$2:$R$9000,5,FALSE)</f>
        <v>1 años 3 meses</v>
      </c>
      <c r="N1575" s="15" t="str">
        <f>VLOOKUP(A1575,sinap!$A$2:$R$9000,6,FALSE)</f>
        <v>15-10-2024</v>
      </c>
      <c r="O1575" s="15" t="str">
        <f>VLOOKUP(A1575,sinap!$A$2:$R$9000,7,FALSE)</f>
        <v>Vivo</v>
      </c>
      <c r="P1575" s="15" t="str">
        <f>VLOOKUP(A1575,sinap!$A$2:$R$9000,8,FALSE)</f>
        <v>11.1.01.1241</v>
      </c>
      <c r="Q1575" s="15" t="str">
        <f>VLOOKUP(A1575,sinap!$A$2:$R$9000,12,FALSE)</f>
        <v>11.2.01.0038</v>
      </c>
      <c r="R1575" s="15" t="str">
        <f>VLOOKUP(A1575,sinap!$A$2:$R$9000,16,FALSE)</f>
        <v>11.1.01.1241</v>
      </c>
      <c r="S1575" s="15" t="str">
        <f>VLOOKUP(A1575,sinap!$A$2:$Y$9000,20,FALSE)</f>
        <v>SI</v>
      </c>
      <c r="T1575" s="16">
        <v>45612</v>
      </c>
    </row>
    <row r="1576" spans="1:20" hidden="1" x14ac:dyDescent="0.25">
      <c r="A1576" s="15">
        <v>24567259</v>
      </c>
      <c r="I1576" s="16">
        <v>45887</v>
      </c>
      <c r="J1576" s="15" t="str">
        <f>VLOOKUP(A1576,sinap!$A$2:$R$9000,2,FALSE)</f>
        <v>H</v>
      </c>
      <c r="K1576" s="15" t="str">
        <f>VLOOKUP(A1576,sinap!$A$2:$R$9000,3,FALSE)</f>
        <v>VAQUILLA</v>
      </c>
      <c r="L1576" s="15" t="str">
        <f>VLOOKUP(A1576,sinap!$A$2:$R$9000,4,FALSE)</f>
        <v>ANGUS NEGRO</v>
      </c>
      <c r="M1576" s="15" t="str">
        <f>VLOOKUP(A1576,sinap!$A$2:$R$9000,5,FALSE)</f>
        <v>1 años 3 meses</v>
      </c>
      <c r="N1576" s="15" t="str">
        <f>VLOOKUP(A1576,sinap!$A$2:$R$9000,6,FALSE)</f>
        <v>15-10-2024</v>
      </c>
      <c r="O1576" s="15" t="str">
        <f>VLOOKUP(A1576,sinap!$A$2:$R$9000,7,FALSE)</f>
        <v>Vivo</v>
      </c>
      <c r="P1576" s="15" t="str">
        <f>VLOOKUP(A1576,sinap!$A$2:$R$9000,8,FALSE)</f>
        <v>11.1.01.0941</v>
      </c>
      <c r="Q1576" s="15" t="str">
        <f>VLOOKUP(A1576,sinap!$A$2:$R$9000,12,FALSE)</f>
        <v>11.2.01.0053</v>
      </c>
      <c r="R1576" s="15" t="str">
        <f>VLOOKUP(A1576,sinap!$A$2:$R$9000,16,FALSE)</f>
        <v>11.1.01.1241</v>
      </c>
      <c r="S1576" s="15" t="str">
        <f>VLOOKUP(A1576,sinap!$A$2:$Y$9000,20,FALSE)</f>
        <v>SI</v>
      </c>
      <c r="T1576" s="16">
        <v>45612</v>
      </c>
    </row>
    <row r="1577" spans="1:20" hidden="1" x14ac:dyDescent="0.25">
      <c r="A1577" s="15">
        <v>24567260</v>
      </c>
      <c r="I1577" s="16">
        <v>45887</v>
      </c>
      <c r="J1577" s="15" t="str">
        <f>VLOOKUP(A1577,sinap!$A$2:$R$9000,2,FALSE)</f>
        <v>H</v>
      </c>
      <c r="K1577" s="15" t="str">
        <f>VLOOKUP(A1577,sinap!$A$2:$R$9000,3,FALSE)</f>
        <v>VAQUILLA</v>
      </c>
      <c r="L1577" s="15" t="str">
        <f>VLOOKUP(A1577,sinap!$A$2:$R$9000,4,FALSE)</f>
        <v>ANGUS NEGRO</v>
      </c>
      <c r="M1577" s="15" t="str">
        <f>VLOOKUP(A1577,sinap!$A$2:$R$9000,5,FALSE)</f>
        <v>1 años 3 meses</v>
      </c>
      <c r="N1577" s="15" t="str">
        <f>VLOOKUP(A1577,sinap!$A$2:$R$9000,6,FALSE)</f>
        <v>15-10-2024</v>
      </c>
      <c r="O1577" s="15" t="str">
        <f>VLOOKUP(A1577,sinap!$A$2:$R$9000,7,FALSE)</f>
        <v>Vivo</v>
      </c>
      <c r="P1577" s="15" t="str">
        <f>VLOOKUP(A1577,sinap!$A$2:$R$9000,8,FALSE)</f>
        <v>11.1.01.0941</v>
      </c>
      <c r="Q1577" s="15" t="str">
        <f>VLOOKUP(A1577,sinap!$A$2:$R$9000,12,FALSE)</f>
        <v>11.2.01.0053</v>
      </c>
      <c r="R1577" s="15" t="str">
        <f>VLOOKUP(A1577,sinap!$A$2:$R$9000,16,FALSE)</f>
        <v>11.1.01.1241</v>
      </c>
      <c r="S1577" s="15" t="str">
        <f>VLOOKUP(A1577,sinap!$A$2:$Y$9000,20,FALSE)</f>
        <v>SI</v>
      </c>
      <c r="T1577" s="16">
        <v>45580</v>
      </c>
    </row>
    <row r="1578" spans="1:20" hidden="1" x14ac:dyDescent="0.25">
      <c r="A1578" s="15">
        <v>24567261</v>
      </c>
      <c r="J1578" s="15" t="str">
        <f>VLOOKUP(A1578,sinap!$A$2:$R$9000,2,FALSE)</f>
        <v>H</v>
      </c>
      <c r="K1578" s="15" t="str">
        <f>VLOOKUP(A1578,sinap!$A$2:$R$9000,3,FALSE)</f>
        <v>VAQUILLA</v>
      </c>
      <c r="L1578" s="15" t="str">
        <f>VLOOKUP(A1578,sinap!$A$2:$R$9000,4,FALSE)</f>
        <v>ANGUS NEGRO</v>
      </c>
      <c r="M1578" s="15" t="str">
        <f>VLOOKUP(A1578,sinap!$A$2:$R$9000,5,FALSE)</f>
        <v>1 años 2 meses</v>
      </c>
      <c r="N1578" s="15" t="str">
        <f>VLOOKUP(A1578,sinap!$A$2:$R$9000,6,FALSE)</f>
        <v>05-11-2024</v>
      </c>
      <c r="O1578" s="15" t="str">
        <f>VLOOKUP(A1578,sinap!$A$2:$R$9000,7,FALSE)</f>
        <v>Vivo</v>
      </c>
      <c r="P1578" s="15" t="str">
        <f>VLOOKUP(A1578,sinap!$A$2:$R$9000,8,FALSE)</f>
        <v>11.1.01.0941</v>
      </c>
      <c r="Q1578" s="15" t="str">
        <f>VLOOKUP(A1578,sinap!$A$2:$R$9000,12,FALSE)</f>
        <v>11.2.01.0053</v>
      </c>
      <c r="R1578" s="15" t="str">
        <f>VLOOKUP(A1578,sinap!$A$2:$R$9000,16,FALSE)</f>
        <v>11.1.01.1241</v>
      </c>
      <c r="S1578" s="15" t="str">
        <f>VLOOKUP(A1578,sinap!$A$2:$Y$9000,20,FALSE)</f>
        <v>SI</v>
      </c>
      <c r="T1578" s="16">
        <v>45612</v>
      </c>
    </row>
    <row r="1579" spans="1:20" hidden="1" x14ac:dyDescent="0.25">
      <c r="A1579" s="15">
        <v>24567262</v>
      </c>
      <c r="I1579" s="16">
        <v>45887</v>
      </c>
      <c r="J1579" s="15" t="str">
        <f>VLOOKUP(A1579,sinap!$A$2:$R$9000,2,FALSE)</f>
        <v>H</v>
      </c>
      <c r="K1579" s="15" t="str">
        <f>VLOOKUP(A1579,sinap!$A$2:$R$9000,3,FALSE)</f>
        <v>VAQUILLA</v>
      </c>
      <c r="L1579" s="15" t="str">
        <f>VLOOKUP(A1579,sinap!$A$2:$R$9000,4,FALSE)</f>
        <v>ANGUS NEGRO</v>
      </c>
      <c r="M1579" s="15" t="str">
        <f>VLOOKUP(A1579,sinap!$A$2:$R$9000,5,FALSE)</f>
        <v>1 años 2 meses</v>
      </c>
      <c r="N1579" s="15" t="str">
        <f>VLOOKUP(A1579,sinap!$A$2:$R$9000,6,FALSE)</f>
        <v>05-11-2024</v>
      </c>
      <c r="O1579" s="15" t="str">
        <f>VLOOKUP(A1579,sinap!$A$2:$R$9000,7,FALSE)</f>
        <v>Vivo</v>
      </c>
      <c r="P1579" s="15" t="str">
        <f>VLOOKUP(A1579,sinap!$A$2:$R$9000,8,FALSE)</f>
        <v>11.1.01.0941</v>
      </c>
      <c r="Q1579" s="15" t="str">
        <f>VLOOKUP(A1579,sinap!$A$2:$R$9000,12,FALSE)</f>
        <v>11.2.01.0053</v>
      </c>
      <c r="R1579" s="15" t="str">
        <f>VLOOKUP(A1579,sinap!$A$2:$R$9000,16,FALSE)</f>
        <v>11.1.01.1241</v>
      </c>
      <c r="S1579" s="15" t="str">
        <f>VLOOKUP(A1579,sinap!$A$2:$Y$9000,20,FALSE)</f>
        <v>SI</v>
      </c>
      <c r="T1579" s="16">
        <v>45612</v>
      </c>
    </row>
    <row r="1580" spans="1:20" hidden="1" x14ac:dyDescent="0.25">
      <c r="A1580" s="15">
        <v>24567264</v>
      </c>
      <c r="I1580" s="16">
        <v>45887</v>
      </c>
      <c r="J1580" s="15" t="str">
        <f>VLOOKUP(A1580,sinap!$A$2:$R$9000,2,FALSE)</f>
        <v>H</v>
      </c>
      <c r="K1580" s="15" t="str">
        <f>VLOOKUP(A1580,sinap!$A$2:$R$9000,3,FALSE)</f>
        <v>VAQUILLA</v>
      </c>
      <c r="L1580" s="15" t="str">
        <f>VLOOKUP(A1580,sinap!$A$2:$R$9000,4,FALSE)</f>
        <v>ANGUS NEGRO</v>
      </c>
      <c r="M1580" s="15" t="str">
        <f>VLOOKUP(A1580,sinap!$A$2:$R$9000,5,FALSE)</f>
        <v>1 años 2 meses</v>
      </c>
      <c r="N1580" s="15" t="str">
        <f>VLOOKUP(A1580,sinap!$A$2:$R$9000,6,FALSE)</f>
        <v>30-10-2024</v>
      </c>
      <c r="O1580" s="15" t="str">
        <f>VLOOKUP(A1580,sinap!$A$2:$R$9000,7,FALSE)</f>
        <v>Vivo</v>
      </c>
      <c r="P1580" s="15" t="str">
        <f>VLOOKUP(A1580,sinap!$A$2:$R$9000,8,FALSE)</f>
        <v>11.1.01.0941</v>
      </c>
      <c r="Q1580" s="15" t="str">
        <f>VLOOKUP(A1580,sinap!$A$2:$R$9000,12,FALSE)</f>
        <v>11.2.01.0053</v>
      </c>
      <c r="R1580" s="15" t="str">
        <f>VLOOKUP(A1580,sinap!$A$2:$R$9000,16,FALSE)</f>
        <v>11.1.01.1241</v>
      </c>
      <c r="S1580" s="15" t="str">
        <f>VLOOKUP(A1580,sinap!$A$2:$Y$9000,20,FALSE)</f>
        <v>SI</v>
      </c>
      <c r="T1580" s="16">
        <v>45595</v>
      </c>
    </row>
    <row r="1581" spans="1:20" hidden="1" x14ac:dyDescent="0.25">
      <c r="A1581" s="15">
        <v>24567265</v>
      </c>
      <c r="I1581" s="16">
        <v>45813</v>
      </c>
      <c r="J1581" s="15" t="str">
        <f>VLOOKUP(A1581,sinap!$A$2:$R$9000,2,FALSE)</f>
        <v>H</v>
      </c>
      <c r="K1581" s="15" t="str">
        <f>VLOOKUP(A1581,sinap!$A$2:$R$9000,3,FALSE)</f>
        <v>VAQUILLA</v>
      </c>
      <c r="L1581" s="15" t="str">
        <f>VLOOKUP(A1581,sinap!$A$2:$R$9000,4,FALSE)</f>
        <v>ANGUS NEGRO</v>
      </c>
      <c r="M1581" s="15" t="str">
        <f>VLOOKUP(A1581,sinap!$A$2:$R$9000,5,FALSE)</f>
        <v>1 años 2 meses</v>
      </c>
      <c r="N1581" s="15" t="str">
        <f>VLOOKUP(A1581,sinap!$A$2:$R$9000,6,FALSE)</f>
        <v>30-10-2024</v>
      </c>
      <c r="O1581" s="15" t="str">
        <f>VLOOKUP(A1581,sinap!$A$2:$R$9000,7,FALSE)</f>
        <v>Vivo</v>
      </c>
      <c r="P1581" s="15" t="str">
        <f>VLOOKUP(A1581,sinap!$A$2:$R$9000,8,FALSE)</f>
        <v>11.1.01.1241</v>
      </c>
      <c r="Q1581" s="15" t="str">
        <f>VLOOKUP(A1581,sinap!$A$2:$R$9000,12,FALSE)</f>
        <v>11.2.01.0038</v>
      </c>
      <c r="R1581" s="15" t="str">
        <f>VLOOKUP(A1581,sinap!$A$2:$R$9000,16,FALSE)</f>
        <v>11.1.01.1241</v>
      </c>
      <c r="S1581" s="15" t="str">
        <f>VLOOKUP(A1581,sinap!$A$2:$Y$9000,20,FALSE)</f>
        <v>SI</v>
      </c>
      <c r="T1581" s="16">
        <v>45612</v>
      </c>
    </row>
    <row r="1582" spans="1:20" hidden="1" x14ac:dyDescent="0.25">
      <c r="A1582" s="15">
        <v>24567267</v>
      </c>
      <c r="I1582" s="16">
        <v>45887</v>
      </c>
      <c r="J1582" s="15" t="str">
        <f>VLOOKUP(A1582,sinap!$A$2:$R$9000,2,FALSE)</f>
        <v>H</v>
      </c>
      <c r="K1582" s="15" t="str">
        <f>VLOOKUP(A1582,sinap!$A$2:$R$9000,3,FALSE)</f>
        <v>VAQUILLA</v>
      </c>
      <c r="L1582" s="15" t="str">
        <f>VLOOKUP(A1582,sinap!$A$2:$R$9000,4,FALSE)</f>
        <v>ANGUS NEGRO</v>
      </c>
      <c r="M1582" s="15" t="str">
        <f>VLOOKUP(A1582,sinap!$A$2:$R$9000,5,FALSE)</f>
        <v>1 años 2 meses</v>
      </c>
      <c r="N1582" s="15" t="str">
        <f>VLOOKUP(A1582,sinap!$A$2:$R$9000,6,FALSE)</f>
        <v>30-10-2024</v>
      </c>
      <c r="O1582" s="15" t="str">
        <f>VLOOKUP(A1582,sinap!$A$2:$R$9000,7,FALSE)</f>
        <v>Vivo</v>
      </c>
      <c r="P1582" s="15" t="str">
        <f>VLOOKUP(A1582,sinap!$A$2:$R$9000,8,FALSE)</f>
        <v>11.1.01.0941</v>
      </c>
      <c r="Q1582" s="15" t="str">
        <f>VLOOKUP(A1582,sinap!$A$2:$R$9000,12,FALSE)</f>
        <v>11.2.01.0053</v>
      </c>
      <c r="R1582" s="15" t="str">
        <f>VLOOKUP(A1582,sinap!$A$2:$R$9000,16,FALSE)</f>
        <v>11.1.01.1241</v>
      </c>
      <c r="S1582" s="15" t="str">
        <f>VLOOKUP(A1582,sinap!$A$2:$Y$9000,20,FALSE)</f>
        <v>SI</v>
      </c>
      <c r="T1582" s="16">
        <v>45595</v>
      </c>
    </row>
    <row r="1583" spans="1:20" hidden="1" x14ac:dyDescent="0.25">
      <c r="A1583" s="15">
        <v>24567276</v>
      </c>
      <c r="I1583" s="16">
        <v>45887</v>
      </c>
      <c r="J1583" s="15" t="str">
        <f>VLOOKUP(A1583,sinap!$A$2:$R$9000,2,FALSE)</f>
        <v>H</v>
      </c>
      <c r="K1583" s="15" t="str">
        <f>VLOOKUP(A1583,sinap!$A$2:$R$9000,3,FALSE)</f>
        <v>VAQUILLA</v>
      </c>
      <c r="L1583" s="15" t="str">
        <f>VLOOKUP(A1583,sinap!$A$2:$R$9000,4,FALSE)</f>
        <v>ANGUS NEGRO</v>
      </c>
      <c r="M1583" s="15" t="str">
        <f>VLOOKUP(A1583,sinap!$A$2:$R$9000,5,FALSE)</f>
        <v>1 años 2 meses</v>
      </c>
      <c r="N1583" s="15" t="str">
        <f>VLOOKUP(A1583,sinap!$A$2:$R$9000,6,FALSE)</f>
        <v>15-11-2024</v>
      </c>
      <c r="O1583" s="15" t="str">
        <f>VLOOKUP(A1583,sinap!$A$2:$R$9000,7,FALSE)</f>
        <v>Vivo</v>
      </c>
      <c r="P1583" s="15" t="str">
        <f>VLOOKUP(A1583,sinap!$A$2:$R$9000,8,FALSE)</f>
        <v>11.1.01.0941</v>
      </c>
      <c r="Q1583" s="15" t="str">
        <f>VLOOKUP(A1583,sinap!$A$2:$R$9000,12,FALSE)</f>
        <v>11.2.01.0053</v>
      </c>
      <c r="R1583" s="15" t="str">
        <f>VLOOKUP(A1583,sinap!$A$2:$R$9000,16,FALSE)</f>
        <v>11.1.01.1241</v>
      </c>
      <c r="S1583" s="15" t="str">
        <f>VLOOKUP(A1583,sinap!$A$2:$Y$9000,20,FALSE)</f>
        <v>SI</v>
      </c>
      <c r="T1583" s="16">
        <v>45611</v>
      </c>
    </row>
    <row r="1584" spans="1:20" hidden="1" x14ac:dyDescent="0.25">
      <c r="A1584" s="15">
        <v>24567281</v>
      </c>
      <c r="J1584" s="15" t="str">
        <f>VLOOKUP(A1584,sinap!$A$2:$R$9000,2,FALSE)</f>
        <v>H</v>
      </c>
      <c r="K1584" s="15" t="str">
        <f>VLOOKUP(A1584,sinap!$A$2:$R$9000,3,FALSE)</f>
        <v>VAQUILLA</v>
      </c>
      <c r="L1584" s="15" t="str">
        <f>VLOOKUP(A1584,sinap!$A$2:$R$9000,4,FALSE)</f>
        <v>ANGUS NEGRO</v>
      </c>
      <c r="M1584" s="15" t="str">
        <f>VLOOKUP(A1584,sinap!$A$2:$R$9000,5,FALSE)</f>
        <v>1 años 2 meses</v>
      </c>
      <c r="N1584" s="15" t="str">
        <f>VLOOKUP(A1584,sinap!$A$2:$R$9000,6,FALSE)</f>
        <v>05-11-2024</v>
      </c>
      <c r="O1584" s="15" t="str">
        <f>VLOOKUP(A1584,sinap!$A$2:$R$9000,7,FALSE)</f>
        <v>Vivo</v>
      </c>
      <c r="P1584" s="15" t="str">
        <f>VLOOKUP(A1584,sinap!$A$2:$R$9000,8,FALSE)</f>
        <v>11.1.01.2304</v>
      </c>
      <c r="Q1584" s="15" t="str">
        <f>VLOOKUP(A1584,sinap!$A$2:$R$9000,12,FALSE)</f>
        <v>11.2.01.0053</v>
      </c>
      <c r="R1584" s="15" t="str">
        <f>VLOOKUP(A1584,sinap!$A$2:$R$9000,16,FALSE)</f>
        <v>11.1.01.1241</v>
      </c>
      <c r="S1584" s="15" t="str">
        <f>VLOOKUP(A1584,sinap!$A$2:$Y$9000,20,FALSE)</f>
        <v>SI</v>
      </c>
      <c r="T1584" s="16">
        <v>45612</v>
      </c>
    </row>
    <row r="1585" spans="1:20" hidden="1" x14ac:dyDescent="0.25">
      <c r="A1585" s="15">
        <v>24567288</v>
      </c>
      <c r="I1585" s="16">
        <v>45887</v>
      </c>
      <c r="J1585" s="15" t="str">
        <f>VLOOKUP(A1585,sinap!$A$2:$R$9000,2,FALSE)</f>
        <v>H</v>
      </c>
      <c r="K1585" s="15" t="str">
        <f>VLOOKUP(A1585,sinap!$A$2:$R$9000,3,FALSE)</f>
        <v>VAQUILLA</v>
      </c>
      <c r="L1585" s="15" t="str">
        <f>VLOOKUP(A1585,sinap!$A$2:$R$9000,4,FALSE)</f>
        <v>ANGUS NEGRO</v>
      </c>
      <c r="M1585" s="15" t="str">
        <f>VLOOKUP(A1585,sinap!$A$2:$R$9000,5,FALSE)</f>
        <v>1 años 2 meses</v>
      </c>
      <c r="N1585" s="15" t="str">
        <f>VLOOKUP(A1585,sinap!$A$2:$R$9000,6,FALSE)</f>
        <v>05-11-2024</v>
      </c>
      <c r="O1585" s="15" t="str">
        <f>VLOOKUP(A1585,sinap!$A$2:$R$9000,7,FALSE)</f>
        <v>Vivo</v>
      </c>
      <c r="P1585" s="15" t="str">
        <f>VLOOKUP(A1585,sinap!$A$2:$R$9000,8,FALSE)</f>
        <v>11.1.01.0941</v>
      </c>
      <c r="Q1585" s="15" t="str">
        <f>VLOOKUP(A1585,sinap!$A$2:$R$9000,12,FALSE)</f>
        <v>11.2.01.0053</v>
      </c>
      <c r="R1585" s="15" t="str">
        <f>VLOOKUP(A1585,sinap!$A$2:$R$9000,16,FALSE)</f>
        <v>11.1.01.1241</v>
      </c>
      <c r="S1585" s="15" t="str">
        <f>VLOOKUP(A1585,sinap!$A$2:$Y$9000,20,FALSE)</f>
        <v>SI</v>
      </c>
      <c r="T1585" s="16">
        <v>45612</v>
      </c>
    </row>
    <row r="1586" spans="1:20" hidden="1" x14ac:dyDescent="0.25">
      <c r="A1586" s="15">
        <v>24567289</v>
      </c>
      <c r="I1586" s="16">
        <v>45887</v>
      </c>
      <c r="J1586" s="15" t="str">
        <f>VLOOKUP(A1586,sinap!$A$2:$R$9000,2,FALSE)</f>
        <v>H</v>
      </c>
      <c r="K1586" s="15" t="str">
        <f>VLOOKUP(A1586,sinap!$A$2:$R$9000,3,FALSE)</f>
        <v>VAQUILLA</v>
      </c>
      <c r="L1586" s="15" t="str">
        <f>VLOOKUP(A1586,sinap!$A$2:$R$9000,4,FALSE)</f>
        <v>ANGUS NEGRO</v>
      </c>
      <c r="M1586" s="15" t="str">
        <f>VLOOKUP(A1586,sinap!$A$2:$R$9000,5,FALSE)</f>
        <v>1 años 2 meses</v>
      </c>
      <c r="N1586" s="15" t="str">
        <f>VLOOKUP(A1586,sinap!$A$2:$R$9000,6,FALSE)</f>
        <v>05-11-2024</v>
      </c>
      <c r="O1586" s="15" t="str">
        <f>VLOOKUP(A1586,sinap!$A$2:$R$9000,7,FALSE)</f>
        <v>Vivo</v>
      </c>
      <c r="P1586" s="15" t="str">
        <f>VLOOKUP(A1586,sinap!$A$2:$R$9000,8,FALSE)</f>
        <v>11.1.01.0941</v>
      </c>
      <c r="Q1586" s="15" t="str">
        <f>VLOOKUP(A1586,sinap!$A$2:$R$9000,12,FALSE)</f>
        <v>11.2.01.0053</v>
      </c>
      <c r="R1586" s="15" t="str">
        <f>VLOOKUP(A1586,sinap!$A$2:$R$9000,16,FALSE)</f>
        <v>11.1.01.1241</v>
      </c>
      <c r="S1586" s="15" t="str">
        <f>VLOOKUP(A1586,sinap!$A$2:$Y$9000,20,FALSE)</f>
        <v>SI</v>
      </c>
      <c r="T1586" s="16">
        <v>45612</v>
      </c>
    </row>
    <row r="1587" spans="1:20" hidden="1" x14ac:dyDescent="0.25">
      <c r="A1587" s="15">
        <v>24567291</v>
      </c>
      <c r="J1587" s="15" t="str">
        <f>VLOOKUP(A1587,sinap!$A$2:$R$9000,2,FALSE)</f>
        <v>M</v>
      </c>
      <c r="K1587" s="15" t="str">
        <f>VLOOKUP(A1587,sinap!$A$2:$R$9000,3,FALSE)</f>
        <v>NOVILLO</v>
      </c>
      <c r="L1587" s="15" t="str">
        <f>VLOOKUP(A1587,sinap!$A$2:$R$9000,4,FALSE)</f>
        <v>ANGUS NEGRO</v>
      </c>
      <c r="M1587" s="15" t="str">
        <f>VLOOKUP(A1587,sinap!$A$2:$R$9000,5,FALSE)</f>
        <v>1 años 2 meses</v>
      </c>
      <c r="N1587" s="15" t="str">
        <f>VLOOKUP(A1587,sinap!$A$2:$R$9000,6,FALSE)</f>
        <v>05-11-2024</v>
      </c>
      <c r="O1587" s="15" t="str">
        <f>VLOOKUP(A1587,sinap!$A$2:$R$9000,7,FALSE)</f>
        <v>Vivo</v>
      </c>
      <c r="P1587" s="15" t="str">
        <f>VLOOKUP(A1587,sinap!$A$2:$R$9000,8,FALSE)</f>
        <v>11.1.01.1241</v>
      </c>
      <c r="Q1587" s="15" t="str">
        <f>VLOOKUP(A1587,sinap!$A$2:$R$9000,12,FALSE)</f>
        <v>Sin Movimiento</v>
      </c>
      <c r="R1587" s="15" t="str">
        <f>VLOOKUP(A1587,sinap!$A$2:$R$9000,16,FALSE)</f>
        <v>11.1.01.1241</v>
      </c>
      <c r="S1587" s="15" t="str">
        <f>VLOOKUP(A1587,sinap!$A$2:$Y$9000,20,FALSE)</f>
        <v>SI</v>
      </c>
      <c r="T1587" s="16">
        <v>45612</v>
      </c>
    </row>
    <row r="1588" spans="1:20" hidden="1" x14ac:dyDescent="0.25">
      <c r="A1588" s="15">
        <v>24567293</v>
      </c>
      <c r="I1588" s="16">
        <v>45887</v>
      </c>
      <c r="J1588" s="15" t="str">
        <f>VLOOKUP(A1588,sinap!$A$2:$R$9000,2,FALSE)</f>
        <v>H</v>
      </c>
      <c r="K1588" s="15" t="str">
        <f>VLOOKUP(A1588,sinap!$A$2:$R$9000,3,FALSE)</f>
        <v>VAQUILLA</v>
      </c>
      <c r="L1588" s="15" t="str">
        <f>VLOOKUP(A1588,sinap!$A$2:$R$9000,4,FALSE)</f>
        <v>ANGUS NEGRO</v>
      </c>
      <c r="M1588" s="15" t="str">
        <f>VLOOKUP(A1588,sinap!$A$2:$R$9000,5,FALSE)</f>
        <v>1 años 2 meses</v>
      </c>
      <c r="N1588" s="15" t="str">
        <f>VLOOKUP(A1588,sinap!$A$2:$R$9000,6,FALSE)</f>
        <v>05-11-2024</v>
      </c>
      <c r="O1588" s="15" t="str">
        <f>VLOOKUP(A1588,sinap!$A$2:$R$9000,7,FALSE)</f>
        <v>Vivo</v>
      </c>
      <c r="P1588" s="15" t="str">
        <f>VLOOKUP(A1588,sinap!$A$2:$R$9000,8,FALSE)</f>
        <v>11.1.01.0941</v>
      </c>
      <c r="Q1588" s="15" t="str">
        <f>VLOOKUP(A1588,sinap!$A$2:$R$9000,12,FALSE)</f>
        <v>11.2.01.0053</v>
      </c>
      <c r="R1588" s="15" t="str">
        <f>VLOOKUP(A1588,sinap!$A$2:$R$9000,16,FALSE)</f>
        <v>11.1.01.1241</v>
      </c>
      <c r="S1588" s="15" t="str">
        <f>VLOOKUP(A1588,sinap!$A$2:$Y$9000,20,FALSE)</f>
        <v>SI</v>
      </c>
      <c r="T1588" s="16">
        <v>45601</v>
      </c>
    </row>
    <row r="1589" spans="1:20" hidden="1" x14ac:dyDescent="0.25">
      <c r="A1589" s="15">
        <v>24567294</v>
      </c>
      <c r="I1589" s="16">
        <v>45887</v>
      </c>
      <c r="J1589" s="15" t="str">
        <f>VLOOKUP(A1589,sinap!$A$2:$R$9000,2,FALSE)</f>
        <v>H</v>
      </c>
      <c r="K1589" s="15" t="str">
        <f>VLOOKUP(A1589,sinap!$A$2:$R$9000,3,FALSE)</f>
        <v>VAQUILLA</v>
      </c>
      <c r="L1589" s="15" t="str">
        <f>VLOOKUP(A1589,sinap!$A$2:$R$9000,4,FALSE)</f>
        <v>ANGUS NEGRO</v>
      </c>
      <c r="M1589" s="15" t="str">
        <f>VLOOKUP(A1589,sinap!$A$2:$R$9000,5,FALSE)</f>
        <v>1 años 2 meses</v>
      </c>
      <c r="N1589" s="15" t="str">
        <f>VLOOKUP(A1589,sinap!$A$2:$R$9000,6,FALSE)</f>
        <v>05-11-2024</v>
      </c>
      <c r="O1589" s="15" t="str">
        <f>VLOOKUP(A1589,sinap!$A$2:$R$9000,7,FALSE)</f>
        <v>Vivo</v>
      </c>
      <c r="P1589" s="15" t="str">
        <f>VLOOKUP(A1589,sinap!$A$2:$R$9000,8,FALSE)</f>
        <v>11.1.01.0941</v>
      </c>
      <c r="Q1589" s="15" t="str">
        <f>VLOOKUP(A1589,sinap!$A$2:$R$9000,12,FALSE)</f>
        <v>11.2.01.0053</v>
      </c>
      <c r="R1589" s="15" t="str">
        <f>VLOOKUP(A1589,sinap!$A$2:$R$9000,16,FALSE)</f>
        <v>11.1.01.1241</v>
      </c>
      <c r="S1589" s="15" t="str">
        <f>VLOOKUP(A1589,sinap!$A$2:$Y$9000,20,FALSE)</f>
        <v>SI</v>
      </c>
      <c r="T1589" s="16">
        <v>45612</v>
      </c>
    </row>
    <row r="1590" spans="1:20" hidden="1" x14ac:dyDescent="0.25">
      <c r="A1590" s="15">
        <v>24567300</v>
      </c>
      <c r="J1590" s="15" t="str">
        <f>VLOOKUP(A1590,sinap!$A$2:$R$9000,2,FALSE)</f>
        <v>H</v>
      </c>
      <c r="K1590" s="15" t="str">
        <f>VLOOKUP(A1590,sinap!$A$2:$R$9000,3,FALSE)</f>
        <v>VAQUILLA</v>
      </c>
      <c r="L1590" s="15" t="str">
        <f>VLOOKUP(A1590,sinap!$A$2:$R$9000,4,FALSE)</f>
        <v>ANGUS NEGRO</v>
      </c>
      <c r="M1590" s="15" t="str">
        <f>VLOOKUP(A1590,sinap!$A$2:$R$9000,5,FALSE)</f>
        <v>1 años 3 meses</v>
      </c>
      <c r="N1590" s="15" t="str">
        <f>VLOOKUP(A1590,sinap!$A$2:$R$9000,6,FALSE)</f>
        <v>30-09-2024</v>
      </c>
      <c r="O1590" s="15" t="str">
        <f>VLOOKUP(A1590,sinap!$A$2:$R$9000,7,FALSE)</f>
        <v>Vivo</v>
      </c>
      <c r="P1590" s="15" t="str">
        <f>VLOOKUP(A1590,sinap!$A$2:$R$9000,8,FALSE)</f>
        <v>11.1.01.0941</v>
      </c>
      <c r="Q1590" s="15" t="str">
        <f>VLOOKUP(A1590,sinap!$A$2:$R$9000,12,FALSE)</f>
        <v>11.2.01.0053</v>
      </c>
      <c r="R1590" s="15" t="str">
        <f>VLOOKUP(A1590,sinap!$A$2:$R$9000,16,FALSE)</f>
        <v>11.1.01.1241</v>
      </c>
      <c r="S1590" s="15" t="str">
        <f>VLOOKUP(A1590,sinap!$A$2:$Y$9000,20,FALSE)</f>
        <v>SI</v>
      </c>
      <c r="T1590" s="16">
        <v>45612</v>
      </c>
    </row>
    <row r="1591" spans="1:20" hidden="1" x14ac:dyDescent="0.25">
      <c r="A1591" s="15">
        <v>24567302</v>
      </c>
      <c r="I1591" s="16">
        <v>45887</v>
      </c>
      <c r="J1591" s="15" t="str">
        <f>VLOOKUP(A1591,sinap!$A$2:$R$9000,2,FALSE)</f>
        <v>H</v>
      </c>
      <c r="K1591" s="15" t="str">
        <f>VLOOKUP(A1591,sinap!$A$2:$R$9000,3,FALSE)</f>
        <v>VAQUILLA</v>
      </c>
      <c r="L1591" s="15" t="str">
        <f>VLOOKUP(A1591,sinap!$A$2:$R$9000,4,FALSE)</f>
        <v>ANGUS NEGRO</v>
      </c>
      <c r="M1591" s="15" t="str">
        <f>VLOOKUP(A1591,sinap!$A$2:$R$9000,5,FALSE)</f>
        <v>1 años 3 meses</v>
      </c>
      <c r="N1591" s="15" t="str">
        <f>VLOOKUP(A1591,sinap!$A$2:$R$9000,6,FALSE)</f>
        <v>05-10-2024</v>
      </c>
      <c r="O1591" s="15" t="str">
        <f>VLOOKUP(A1591,sinap!$A$2:$R$9000,7,FALSE)</f>
        <v>Vivo</v>
      </c>
      <c r="P1591" s="15" t="str">
        <f>VLOOKUP(A1591,sinap!$A$2:$R$9000,8,FALSE)</f>
        <v>11.1.01.0941</v>
      </c>
      <c r="Q1591" s="15" t="str">
        <f>VLOOKUP(A1591,sinap!$A$2:$R$9000,12,FALSE)</f>
        <v>11.2.01.0053</v>
      </c>
      <c r="R1591" s="15" t="str">
        <f>VLOOKUP(A1591,sinap!$A$2:$R$9000,16,FALSE)</f>
        <v>11.1.01.1241</v>
      </c>
      <c r="S1591" s="15" t="str">
        <f>VLOOKUP(A1591,sinap!$A$2:$Y$9000,20,FALSE)</f>
        <v>SI</v>
      </c>
      <c r="T1591" s="16">
        <v>45661</v>
      </c>
    </row>
    <row r="1592" spans="1:20" hidden="1" x14ac:dyDescent="0.25">
      <c r="A1592" s="15">
        <v>24567304</v>
      </c>
      <c r="I1592" s="16">
        <v>45887</v>
      </c>
      <c r="J1592" s="15" t="str">
        <f>VLOOKUP(A1592,sinap!$A$2:$R$9000,2,FALSE)</f>
        <v>H</v>
      </c>
      <c r="K1592" s="15" t="str">
        <f>VLOOKUP(A1592,sinap!$A$2:$R$9000,3,FALSE)</f>
        <v>VAQUILLA</v>
      </c>
      <c r="L1592" s="15" t="str">
        <f>VLOOKUP(A1592,sinap!$A$2:$R$9000,4,FALSE)</f>
        <v>ANGUS NEGRO</v>
      </c>
      <c r="M1592" s="15" t="str">
        <f>VLOOKUP(A1592,sinap!$A$2:$R$9000,5,FALSE)</f>
        <v>1 años 3 meses</v>
      </c>
      <c r="N1592" s="15" t="str">
        <f>VLOOKUP(A1592,sinap!$A$2:$R$9000,6,FALSE)</f>
        <v>05-10-2024</v>
      </c>
      <c r="O1592" s="15" t="str">
        <f>VLOOKUP(A1592,sinap!$A$2:$R$9000,7,FALSE)</f>
        <v>Vivo</v>
      </c>
      <c r="P1592" s="15" t="str">
        <f>VLOOKUP(A1592,sinap!$A$2:$R$9000,8,FALSE)</f>
        <v>11.1.01.0941</v>
      </c>
      <c r="Q1592" s="15" t="str">
        <f>VLOOKUP(A1592,sinap!$A$2:$R$9000,12,FALSE)</f>
        <v>11.2.01.0053</v>
      </c>
      <c r="R1592" s="15" t="str">
        <f>VLOOKUP(A1592,sinap!$A$2:$R$9000,16,FALSE)</f>
        <v>11.1.01.1241</v>
      </c>
      <c r="S1592" s="15" t="str">
        <f>VLOOKUP(A1592,sinap!$A$2:$Y$9000,20,FALSE)</f>
        <v>SI</v>
      </c>
      <c r="T1592" s="16">
        <v>45612</v>
      </c>
    </row>
    <row r="1593" spans="1:20" hidden="1" x14ac:dyDescent="0.25">
      <c r="A1593" s="15">
        <v>24567305</v>
      </c>
      <c r="J1593" s="15" t="str">
        <f>VLOOKUP(A1593,sinap!$A$2:$R$9000,2,FALSE)</f>
        <v>H</v>
      </c>
      <c r="K1593" s="15" t="str">
        <f>VLOOKUP(A1593,sinap!$A$2:$R$9000,3,FALSE)</f>
        <v>VAQUILLA</v>
      </c>
      <c r="L1593" s="15" t="str">
        <f>VLOOKUP(A1593,sinap!$A$2:$R$9000,4,FALSE)</f>
        <v>ANGUS NEGRO</v>
      </c>
      <c r="M1593" s="15" t="str">
        <f>VLOOKUP(A1593,sinap!$A$2:$R$9000,5,FALSE)</f>
        <v>1 años 3 meses</v>
      </c>
      <c r="N1593" s="15" t="str">
        <f>VLOOKUP(A1593,sinap!$A$2:$R$9000,6,FALSE)</f>
        <v>05-10-2024</v>
      </c>
      <c r="O1593" s="15" t="str">
        <f>VLOOKUP(A1593,sinap!$A$2:$R$9000,7,FALSE)</f>
        <v>Vivo</v>
      </c>
      <c r="P1593" s="15" t="str">
        <f>VLOOKUP(A1593,sinap!$A$2:$R$9000,8,FALSE)</f>
        <v>11.1.01.0941</v>
      </c>
      <c r="Q1593" s="15" t="str">
        <f>VLOOKUP(A1593,sinap!$A$2:$R$9000,12,FALSE)</f>
        <v>11.2.01.0053</v>
      </c>
      <c r="R1593" s="15" t="str">
        <f>VLOOKUP(A1593,sinap!$A$2:$R$9000,16,FALSE)</f>
        <v>11.1.01.1241</v>
      </c>
      <c r="S1593" s="15" t="str">
        <f>VLOOKUP(A1593,sinap!$A$2:$Y$9000,20,FALSE)</f>
        <v>SI</v>
      </c>
      <c r="T1593" s="16">
        <v>45612</v>
      </c>
    </row>
    <row r="1594" spans="1:20" hidden="1" x14ac:dyDescent="0.25">
      <c r="A1594" s="15">
        <v>24567342</v>
      </c>
      <c r="I1594" s="16">
        <v>45815</v>
      </c>
      <c r="J1594" s="15" t="str">
        <f>VLOOKUP(A1594,sinap!$A$2:$R$9000,2,FALSE)</f>
        <v>H</v>
      </c>
      <c r="K1594" s="15" t="str">
        <f>VLOOKUP(A1594,sinap!$A$2:$R$9000,3,FALSE)</f>
        <v>VAQUILLA</v>
      </c>
      <c r="L1594" s="15" t="str">
        <f>VLOOKUP(A1594,sinap!$A$2:$R$9000,4,FALSE)</f>
        <v>ANGUS ROJO</v>
      </c>
      <c r="M1594" s="15" t="str">
        <f>VLOOKUP(A1594,sinap!$A$2:$R$9000,5,FALSE)</f>
        <v>1 años 4 meses</v>
      </c>
      <c r="N1594" s="15" t="str">
        <f>VLOOKUP(A1594,sinap!$A$2:$R$9000,6,FALSE)</f>
        <v>15-09-2024</v>
      </c>
      <c r="O1594" s="15" t="str">
        <f>VLOOKUP(A1594,sinap!$A$2:$R$9000,7,FALSE)</f>
        <v>Vivo</v>
      </c>
      <c r="P1594" s="15" t="str">
        <f>VLOOKUP(A1594,sinap!$A$2:$R$9000,8,FALSE)</f>
        <v>11.1.01.0941</v>
      </c>
      <c r="Q1594" s="15" t="str">
        <f>VLOOKUP(A1594,sinap!$A$2:$R$9000,12,FALSE)</f>
        <v>11.1.01.0893</v>
      </c>
      <c r="R1594" s="15" t="str">
        <f>VLOOKUP(A1594,sinap!$A$2:$R$9000,16,FALSE)</f>
        <v>11.1.01.0893</v>
      </c>
      <c r="S1594" s="15" t="str">
        <f>VLOOKUP(A1594,sinap!$A$2:$Y$9000,20,FALSE)</f>
        <v>SI</v>
      </c>
      <c r="T1594" s="16">
        <v>45661</v>
      </c>
    </row>
    <row r="1595" spans="1:20" hidden="1" x14ac:dyDescent="0.25">
      <c r="A1595" s="15">
        <v>24567347</v>
      </c>
      <c r="J1595" s="15" t="str">
        <f>VLOOKUP(A1595,sinap!$A$2:$R$9000,2,FALSE)</f>
        <v>H</v>
      </c>
      <c r="K1595" s="15" t="str">
        <f>VLOOKUP(A1595,sinap!$A$2:$R$9000,3,FALSE)</f>
        <v>VAQUILLA</v>
      </c>
      <c r="L1595" s="15" t="str">
        <f>VLOOKUP(A1595,sinap!$A$2:$R$9000,4,FALSE)</f>
        <v>ANGUS NEGRO</v>
      </c>
      <c r="M1595" s="15" t="str">
        <f>VLOOKUP(A1595,sinap!$A$2:$R$9000,5,FALSE)</f>
        <v>1 años 4 meses</v>
      </c>
      <c r="N1595" s="15" t="str">
        <f>VLOOKUP(A1595,sinap!$A$2:$R$9000,6,FALSE)</f>
        <v>15-09-2024</v>
      </c>
      <c r="O1595" s="15" t="str">
        <f>VLOOKUP(A1595,sinap!$A$2:$R$9000,7,FALSE)</f>
        <v>Vivo</v>
      </c>
      <c r="P1595" s="15" t="str">
        <f>VLOOKUP(A1595,sinap!$A$2:$R$9000,8,FALSE)</f>
        <v>11.1.01.0893</v>
      </c>
      <c r="Q1595" s="15" t="str">
        <f>VLOOKUP(A1595,sinap!$A$2:$R$9000,12,FALSE)</f>
        <v>11.1.01.0791</v>
      </c>
      <c r="R1595" s="15" t="str">
        <f>VLOOKUP(A1595,sinap!$A$2:$R$9000,16,FALSE)</f>
        <v>11.1.01.0893</v>
      </c>
      <c r="S1595" s="15" t="str">
        <f>VLOOKUP(A1595,sinap!$A$2:$Y$9000,20,FALSE)</f>
        <v>SI</v>
      </c>
      <c r="T1595" s="16">
        <v>45661</v>
      </c>
    </row>
    <row r="1596" spans="1:20" hidden="1" x14ac:dyDescent="0.25">
      <c r="A1596" s="15">
        <v>24567386</v>
      </c>
      <c r="J1596" s="15" t="str">
        <f>VLOOKUP(A1596,sinap!$A$2:$R$9000,2,FALSE)</f>
        <v>M</v>
      </c>
      <c r="K1596" s="15" t="str">
        <f>VLOOKUP(A1596,sinap!$A$2:$R$9000,3,FALSE)</f>
        <v>NOVILLO</v>
      </c>
      <c r="L1596" s="15" t="str">
        <f>VLOOKUP(A1596,sinap!$A$2:$R$9000,4,FALSE)</f>
        <v>ANGUS NEGRO</v>
      </c>
      <c r="M1596" s="15" t="str">
        <f>VLOOKUP(A1596,sinap!$A$2:$R$9000,5,FALSE)</f>
        <v>1 años 8 meses</v>
      </c>
      <c r="N1596" s="15" t="str">
        <f>VLOOKUP(A1596,sinap!$A$2:$R$9000,6,FALSE)</f>
        <v>30-04-2024</v>
      </c>
      <c r="O1596" s="15" t="str">
        <f>VLOOKUP(A1596,sinap!$A$2:$R$9000,7,FALSE)</f>
        <v>Vivo</v>
      </c>
      <c r="P1596" s="15" t="str">
        <f>VLOOKUP(A1596,sinap!$A$2:$R$9000,8,FALSE)</f>
        <v>11.1.01.2442</v>
      </c>
      <c r="Q1596" s="15" t="str">
        <f>VLOOKUP(A1596,sinap!$A$2:$R$9000,12,FALSE)</f>
        <v>11.1.01.0190</v>
      </c>
      <c r="R1596" s="15" t="str">
        <f>VLOOKUP(A1596,sinap!$A$2:$R$9000,16,FALSE)</f>
        <v>11.1.01.1241</v>
      </c>
      <c r="S1596" s="15" t="str">
        <f>VLOOKUP(A1596,sinap!$A$2:$Y$9000,20,FALSE)</f>
        <v>SI</v>
      </c>
      <c r="T1596" s="16">
        <v>45632</v>
      </c>
    </row>
    <row r="1597" spans="1:20" hidden="1" x14ac:dyDescent="0.25">
      <c r="A1597" s="15">
        <v>24567399</v>
      </c>
      <c r="J1597" s="15" t="str">
        <f>VLOOKUP(A1597,sinap!$A$2:$R$9000,2,FALSE)</f>
        <v>H</v>
      </c>
      <c r="K1597" s="15" t="str">
        <f>VLOOKUP(A1597,sinap!$A$2:$R$9000,3,FALSE)</f>
        <v>VAQUILLA</v>
      </c>
      <c r="L1597" s="15" t="str">
        <f>VLOOKUP(A1597,sinap!$A$2:$R$9000,4,FALSE)</f>
        <v>ANGUS NEGRO</v>
      </c>
      <c r="M1597" s="15" t="str">
        <f>VLOOKUP(A1597,sinap!$A$2:$R$9000,5,FALSE)</f>
        <v>1 años 8 meses</v>
      </c>
      <c r="N1597" s="15" t="str">
        <f>VLOOKUP(A1597,sinap!$A$2:$R$9000,6,FALSE)</f>
        <v>30-04-2024</v>
      </c>
      <c r="O1597" s="15" t="str">
        <f>VLOOKUP(A1597,sinap!$A$2:$R$9000,7,FALSE)</f>
        <v>Vivo</v>
      </c>
      <c r="P1597" s="15" t="str">
        <f>VLOOKUP(A1597,sinap!$A$2:$R$9000,8,FALSE)</f>
        <v>11.1.01.2442</v>
      </c>
      <c r="Q1597" s="15" t="str">
        <f>VLOOKUP(A1597,sinap!$A$2:$R$9000,12,FALSE)</f>
        <v>11.1.01.0190</v>
      </c>
      <c r="R1597" s="15" t="str">
        <f>VLOOKUP(A1597,sinap!$A$2:$R$9000,16,FALSE)</f>
        <v>11.1.01.1241</v>
      </c>
      <c r="S1597" s="15" t="str">
        <f>VLOOKUP(A1597,sinap!$A$2:$Y$9000,20,FALSE)</f>
        <v>SI</v>
      </c>
      <c r="T1597" s="16">
        <v>45632</v>
      </c>
    </row>
    <row r="1598" spans="1:20" hidden="1" x14ac:dyDescent="0.25">
      <c r="A1598" s="15">
        <v>24567400</v>
      </c>
      <c r="J1598" s="15" t="str">
        <f>VLOOKUP(A1598,sinap!$A$2:$R$9000,2,FALSE)</f>
        <v>H</v>
      </c>
      <c r="K1598" s="15" t="str">
        <f>VLOOKUP(A1598,sinap!$A$2:$R$9000,3,FALSE)</f>
        <v>VAQUILLA</v>
      </c>
      <c r="L1598" s="15" t="str">
        <f>VLOOKUP(A1598,sinap!$A$2:$R$9000,4,FALSE)</f>
        <v>ANGUS NEGRO</v>
      </c>
      <c r="M1598" s="15" t="str">
        <f>VLOOKUP(A1598,sinap!$A$2:$R$9000,5,FALSE)</f>
        <v>1 años 8 meses</v>
      </c>
      <c r="N1598" s="15" t="str">
        <f>VLOOKUP(A1598,sinap!$A$2:$R$9000,6,FALSE)</f>
        <v>30-04-2024</v>
      </c>
      <c r="O1598" s="15" t="str">
        <f>VLOOKUP(A1598,sinap!$A$2:$R$9000,7,FALSE)</f>
        <v>Vivo</v>
      </c>
      <c r="P1598" s="15" t="str">
        <f>VLOOKUP(A1598,sinap!$A$2:$R$9000,8,FALSE)</f>
        <v>11.1.01.2442</v>
      </c>
      <c r="Q1598" s="15" t="str">
        <f>VLOOKUP(A1598,sinap!$A$2:$R$9000,12,FALSE)</f>
        <v>11.1.01.0190</v>
      </c>
      <c r="R1598" s="15" t="str">
        <f>VLOOKUP(A1598,sinap!$A$2:$R$9000,16,FALSE)</f>
        <v>11.1.01.1241</v>
      </c>
      <c r="S1598" s="15" t="str">
        <f>VLOOKUP(A1598,sinap!$A$2:$Y$9000,20,FALSE)</f>
        <v>SI</v>
      </c>
      <c r="T1598" s="16">
        <v>45632</v>
      </c>
    </row>
    <row r="1599" spans="1:20" hidden="1" x14ac:dyDescent="0.25">
      <c r="A1599" s="15">
        <v>24567401</v>
      </c>
      <c r="J1599" s="15" t="str">
        <f>VLOOKUP(A1599,sinap!$A$2:$R$9000,2,FALSE)</f>
        <v>H</v>
      </c>
      <c r="K1599" s="15" t="str">
        <f>VLOOKUP(A1599,sinap!$A$2:$R$9000,3,FALSE)</f>
        <v>VAQUILLA</v>
      </c>
      <c r="L1599" s="15" t="str">
        <f>VLOOKUP(A1599,sinap!$A$2:$R$9000,4,FALSE)</f>
        <v>ANGUS NEGRO</v>
      </c>
      <c r="M1599" s="15" t="str">
        <f>VLOOKUP(A1599,sinap!$A$2:$R$9000,5,FALSE)</f>
        <v>1 años 8 meses</v>
      </c>
      <c r="N1599" s="15" t="str">
        <f>VLOOKUP(A1599,sinap!$A$2:$R$9000,6,FALSE)</f>
        <v>30-04-2024</v>
      </c>
      <c r="O1599" s="15" t="str">
        <f>VLOOKUP(A1599,sinap!$A$2:$R$9000,7,FALSE)</f>
        <v>Vivo</v>
      </c>
      <c r="P1599" s="15" t="str">
        <f>VLOOKUP(A1599,sinap!$A$2:$R$9000,8,FALSE)</f>
        <v>11.1.01.2442</v>
      </c>
      <c r="Q1599" s="15" t="str">
        <f>VLOOKUP(A1599,sinap!$A$2:$R$9000,12,FALSE)</f>
        <v>11.1.01.0190</v>
      </c>
      <c r="R1599" s="15" t="str">
        <f>VLOOKUP(A1599,sinap!$A$2:$R$9000,16,FALSE)</f>
        <v>11.1.01.1241</v>
      </c>
      <c r="S1599" s="15" t="str">
        <f>VLOOKUP(A1599,sinap!$A$2:$Y$9000,20,FALSE)</f>
        <v>SI</v>
      </c>
      <c r="T1599" s="16">
        <v>45632</v>
      </c>
    </row>
    <row r="1600" spans="1:20" hidden="1" x14ac:dyDescent="0.25">
      <c r="A1600" s="15">
        <v>24567402</v>
      </c>
      <c r="J1600" s="15" t="str">
        <f>VLOOKUP(A1600,sinap!$A$2:$R$9000,2,FALSE)</f>
        <v>H</v>
      </c>
      <c r="K1600" s="15" t="str">
        <f>VLOOKUP(A1600,sinap!$A$2:$R$9000,3,FALSE)</f>
        <v>VAQUILLA</v>
      </c>
      <c r="L1600" s="15" t="str">
        <f>VLOOKUP(A1600,sinap!$A$2:$R$9000,4,FALSE)</f>
        <v>ANGUS NEGRO</v>
      </c>
      <c r="M1600" s="15" t="str">
        <f>VLOOKUP(A1600,sinap!$A$2:$R$9000,5,FALSE)</f>
        <v>1 años 8 meses</v>
      </c>
      <c r="N1600" s="15" t="str">
        <f>VLOOKUP(A1600,sinap!$A$2:$R$9000,6,FALSE)</f>
        <v>30-04-2024</v>
      </c>
      <c r="O1600" s="15" t="str">
        <f>VLOOKUP(A1600,sinap!$A$2:$R$9000,7,FALSE)</f>
        <v>Vivo</v>
      </c>
      <c r="P1600" s="15" t="str">
        <f>VLOOKUP(A1600,sinap!$A$2:$R$9000,8,FALSE)</f>
        <v>11.1.01.2442</v>
      </c>
      <c r="Q1600" s="15" t="str">
        <f>VLOOKUP(A1600,sinap!$A$2:$R$9000,12,FALSE)</f>
        <v>11.1.01.0190</v>
      </c>
      <c r="R1600" s="15" t="str">
        <f>VLOOKUP(A1600,sinap!$A$2:$R$9000,16,FALSE)</f>
        <v>11.1.01.1241</v>
      </c>
      <c r="S1600" s="15" t="str">
        <f>VLOOKUP(A1600,sinap!$A$2:$Y$9000,20,FALSE)</f>
        <v>SI</v>
      </c>
      <c r="T1600" s="16">
        <v>45632</v>
      </c>
    </row>
    <row r="1601" spans="1:20" hidden="1" x14ac:dyDescent="0.25">
      <c r="A1601" s="15">
        <v>24567403</v>
      </c>
      <c r="J1601" s="15" t="str">
        <f>VLOOKUP(A1601,sinap!$A$2:$R$9000,2,FALSE)</f>
        <v>H</v>
      </c>
      <c r="K1601" s="15" t="str">
        <f>VLOOKUP(A1601,sinap!$A$2:$R$9000,3,FALSE)</f>
        <v>VAQUILLA</v>
      </c>
      <c r="L1601" s="15" t="str">
        <f>VLOOKUP(A1601,sinap!$A$2:$R$9000,4,FALSE)</f>
        <v>ANGUS NEGRO</v>
      </c>
      <c r="M1601" s="15" t="str">
        <f>VLOOKUP(A1601,sinap!$A$2:$R$9000,5,FALSE)</f>
        <v>1 años 8 meses</v>
      </c>
      <c r="N1601" s="15" t="str">
        <f>VLOOKUP(A1601,sinap!$A$2:$R$9000,6,FALSE)</f>
        <v>30-04-2024</v>
      </c>
      <c r="O1601" s="15" t="str">
        <f>VLOOKUP(A1601,sinap!$A$2:$R$9000,7,FALSE)</f>
        <v>Vivo</v>
      </c>
      <c r="P1601" s="15" t="str">
        <f>VLOOKUP(A1601,sinap!$A$2:$R$9000,8,FALSE)</f>
        <v>11.1.01.2442</v>
      </c>
      <c r="Q1601" s="15" t="str">
        <f>VLOOKUP(A1601,sinap!$A$2:$R$9000,12,FALSE)</f>
        <v>11.1.01.0190</v>
      </c>
      <c r="R1601" s="15" t="str">
        <f>VLOOKUP(A1601,sinap!$A$2:$R$9000,16,FALSE)</f>
        <v>11.1.01.1241</v>
      </c>
      <c r="S1601" s="15" t="str">
        <f>VLOOKUP(A1601,sinap!$A$2:$Y$9000,20,FALSE)</f>
        <v>SI</v>
      </c>
      <c r="T1601" s="16">
        <v>45632</v>
      </c>
    </row>
    <row r="1602" spans="1:20" hidden="1" x14ac:dyDescent="0.25">
      <c r="A1602" s="15">
        <v>24567404</v>
      </c>
      <c r="J1602" s="15" t="str">
        <f>VLOOKUP(A1602,sinap!$A$2:$R$9000,2,FALSE)</f>
        <v>H</v>
      </c>
      <c r="K1602" s="15" t="str">
        <f>VLOOKUP(A1602,sinap!$A$2:$R$9000,3,FALSE)</f>
        <v>VAQUILLA</v>
      </c>
      <c r="L1602" s="15" t="str">
        <f>VLOOKUP(A1602,sinap!$A$2:$R$9000,4,FALSE)</f>
        <v>ANGUS NEGRO</v>
      </c>
      <c r="M1602" s="15" t="str">
        <f>VLOOKUP(A1602,sinap!$A$2:$R$9000,5,FALSE)</f>
        <v>1 años 8 meses</v>
      </c>
      <c r="N1602" s="15" t="str">
        <f>VLOOKUP(A1602,sinap!$A$2:$R$9000,6,FALSE)</f>
        <v>30-04-2024</v>
      </c>
      <c r="O1602" s="15" t="str">
        <f>VLOOKUP(A1602,sinap!$A$2:$R$9000,7,FALSE)</f>
        <v>Vivo</v>
      </c>
      <c r="P1602" s="15" t="str">
        <f>VLOOKUP(A1602,sinap!$A$2:$R$9000,8,FALSE)</f>
        <v>11.1.01.2442</v>
      </c>
      <c r="Q1602" s="15" t="str">
        <f>VLOOKUP(A1602,sinap!$A$2:$R$9000,12,FALSE)</f>
        <v>11.1.01.0190</v>
      </c>
      <c r="R1602" s="15" t="str">
        <f>VLOOKUP(A1602,sinap!$A$2:$R$9000,16,FALSE)</f>
        <v>11.1.01.1241</v>
      </c>
      <c r="S1602" s="15" t="str">
        <f>VLOOKUP(A1602,sinap!$A$2:$Y$9000,20,FALSE)</f>
        <v>SI</v>
      </c>
      <c r="T1602" s="16">
        <v>45632</v>
      </c>
    </row>
    <row r="1603" spans="1:20" hidden="1" x14ac:dyDescent="0.25">
      <c r="A1603" s="15">
        <v>24567405</v>
      </c>
      <c r="J1603" s="15" t="str">
        <f>VLOOKUP(A1603,sinap!$A$2:$R$9000,2,FALSE)</f>
        <v>H</v>
      </c>
      <c r="K1603" s="15" t="str">
        <f>VLOOKUP(A1603,sinap!$A$2:$R$9000,3,FALSE)</f>
        <v>VAQUILLA</v>
      </c>
      <c r="L1603" s="15" t="str">
        <f>VLOOKUP(A1603,sinap!$A$2:$R$9000,4,FALSE)</f>
        <v>ANGUS NEGRO</v>
      </c>
      <c r="M1603" s="15" t="str">
        <f>VLOOKUP(A1603,sinap!$A$2:$R$9000,5,FALSE)</f>
        <v>1 años 8 meses</v>
      </c>
      <c r="N1603" s="15" t="str">
        <f>VLOOKUP(A1603,sinap!$A$2:$R$9000,6,FALSE)</f>
        <v>30-04-2024</v>
      </c>
      <c r="O1603" s="15" t="str">
        <f>VLOOKUP(A1603,sinap!$A$2:$R$9000,7,FALSE)</f>
        <v>Vivo</v>
      </c>
      <c r="P1603" s="15" t="str">
        <f>VLOOKUP(A1603,sinap!$A$2:$R$9000,8,FALSE)</f>
        <v>11.1.01.2442</v>
      </c>
      <c r="Q1603" s="15" t="str">
        <f>VLOOKUP(A1603,sinap!$A$2:$R$9000,12,FALSE)</f>
        <v>11.1.01.0190</v>
      </c>
      <c r="R1603" s="15" t="str">
        <f>VLOOKUP(A1603,sinap!$A$2:$R$9000,16,FALSE)</f>
        <v>11.1.01.1241</v>
      </c>
      <c r="S1603" s="15" t="str">
        <f>VLOOKUP(A1603,sinap!$A$2:$Y$9000,20,FALSE)</f>
        <v>SI</v>
      </c>
      <c r="T1603" s="16">
        <v>45632</v>
      </c>
    </row>
    <row r="1604" spans="1:20" hidden="1" x14ac:dyDescent="0.25">
      <c r="A1604" s="15">
        <v>24567406</v>
      </c>
      <c r="J1604" s="15" t="str">
        <f>VLOOKUP(A1604,sinap!$A$2:$R$9000,2,FALSE)</f>
        <v>H</v>
      </c>
      <c r="K1604" s="15" t="str">
        <f>VLOOKUP(A1604,sinap!$A$2:$R$9000,3,FALSE)</f>
        <v>VAQUILLA</v>
      </c>
      <c r="L1604" s="15" t="str">
        <f>VLOOKUP(A1604,sinap!$A$2:$R$9000,4,FALSE)</f>
        <v>ANGUS NEGRO</v>
      </c>
      <c r="M1604" s="15" t="str">
        <f>VLOOKUP(A1604,sinap!$A$2:$R$9000,5,FALSE)</f>
        <v>1 años 8 meses</v>
      </c>
      <c r="N1604" s="15" t="str">
        <f>VLOOKUP(A1604,sinap!$A$2:$R$9000,6,FALSE)</f>
        <v>30-04-2024</v>
      </c>
      <c r="O1604" s="15" t="str">
        <f>VLOOKUP(A1604,sinap!$A$2:$R$9000,7,FALSE)</f>
        <v>Vivo</v>
      </c>
      <c r="P1604" s="15" t="str">
        <f>VLOOKUP(A1604,sinap!$A$2:$R$9000,8,FALSE)</f>
        <v>11.1.01.2442</v>
      </c>
      <c r="Q1604" s="15" t="str">
        <f>VLOOKUP(A1604,sinap!$A$2:$R$9000,12,FALSE)</f>
        <v>11.1.01.0190</v>
      </c>
      <c r="R1604" s="15" t="str">
        <f>VLOOKUP(A1604,sinap!$A$2:$R$9000,16,FALSE)</f>
        <v>11.1.01.1241</v>
      </c>
      <c r="S1604" s="15" t="str">
        <f>VLOOKUP(A1604,sinap!$A$2:$Y$9000,20,FALSE)</f>
        <v>SI</v>
      </c>
      <c r="T1604" s="16">
        <v>45632</v>
      </c>
    </row>
    <row r="1605" spans="1:20" hidden="1" x14ac:dyDescent="0.25">
      <c r="A1605" s="15">
        <v>24567407</v>
      </c>
      <c r="J1605" s="15" t="str">
        <f>VLOOKUP(A1605,sinap!$A$2:$R$9000,2,FALSE)</f>
        <v>H</v>
      </c>
      <c r="K1605" s="15" t="str">
        <f>VLOOKUP(A1605,sinap!$A$2:$R$9000,3,FALSE)</f>
        <v>VAQUILLA</v>
      </c>
      <c r="L1605" s="15" t="str">
        <f>VLOOKUP(A1605,sinap!$A$2:$R$9000,4,FALSE)</f>
        <v>ANGUS NEGRO</v>
      </c>
      <c r="M1605" s="15" t="str">
        <f>VLOOKUP(A1605,sinap!$A$2:$R$9000,5,FALSE)</f>
        <v>1 años 8 meses</v>
      </c>
      <c r="N1605" s="15" t="str">
        <f>VLOOKUP(A1605,sinap!$A$2:$R$9000,6,FALSE)</f>
        <v>30-04-2024</v>
      </c>
      <c r="O1605" s="15" t="str">
        <f>VLOOKUP(A1605,sinap!$A$2:$R$9000,7,FALSE)</f>
        <v>Vivo</v>
      </c>
      <c r="P1605" s="15" t="str">
        <f>VLOOKUP(A1605,sinap!$A$2:$R$9000,8,FALSE)</f>
        <v>11.1.01.2442</v>
      </c>
      <c r="Q1605" s="15" t="str">
        <f>VLOOKUP(A1605,sinap!$A$2:$R$9000,12,FALSE)</f>
        <v>11.1.01.0190</v>
      </c>
      <c r="R1605" s="15" t="str">
        <f>VLOOKUP(A1605,sinap!$A$2:$R$9000,16,FALSE)</f>
        <v>11.1.01.1241</v>
      </c>
      <c r="S1605" s="15" t="str">
        <f>VLOOKUP(A1605,sinap!$A$2:$Y$9000,20,FALSE)</f>
        <v>SI</v>
      </c>
      <c r="T1605" s="16">
        <v>45632</v>
      </c>
    </row>
    <row r="1606" spans="1:20" hidden="1" x14ac:dyDescent="0.25">
      <c r="A1606" s="15">
        <v>24567408</v>
      </c>
      <c r="J1606" s="15" t="str">
        <f>VLOOKUP(A1606,sinap!$A$2:$R$9000,2,FALSE)</f>
        <v>H</v>
      </c>
      <c r="K1606" s="15" t="str">
        <f>VLOOKUP(A1606,sinap!$A$2:$R$9000,3,FALSE)</f>
        <v>VAQUILLA</v>
      </c>
      <c r="L1606" s="15" t="str">
        <f>VLOOKUP(A1606,sinap!$A$2:$R$9000,4,FALSE)</f>
        <v>ANGUS NEGRO</v>
      </c>
      <c r="M1606" s="15" t="str">
        <f>VLOOKUP(A1606,sinap!$A$2:$R$9000,5,FALSE)</f>
        <v>1 años 8 meses</v>
      </c>
      <c r="N1606" s="15" t="str">
        <f>VLOOKUP(A1606,sinap!$A$2:$R$9000,6,FALSE)</f>
        <v>30-04-2024</v>
      </c>
      <c r="O1606" s="15" t="str">
        <f>VLOOKUP(A1606,sinap!$A$2:$R$9000,7,FALSE)</f>
        <v>Vivo</v>
      </c>
      <c r="P1606" s="15" t="str">
        <f>VLOOKUP(A1606,sinap!$A$2:$R$9000,8,FALSE)</f>
        <v>11.1.01.2442</v>
      </c>
      <c r="Q1606" s="15" t="str">
        <f>VLOOKUP(A1606,sinap!$A$2:$R$9000,12,FALSE)</f>
        <v>11.1.01.0190</v>
      </c>
      <c r="R1606" s="15" t="str">
        <f>VLOOKUP(A1606,sinap!$A$2:$R$9000,16,FALSE)</f>
        <v>11.1.01.1241</v>
      </c>
      <c r="S1606" s="15" t="str">
        <f>VLOOKUP(A1606,sinap!$A$2:$Y$9000,20,FALSE)</f>
        <v>SI</v>
      </c>
      <c r="T1606" s="16">
        <v>45632</v>
      </c>
    </row>
    <row r="1607" spans="1:20" hidden="1" x14ac:dyDescent="0.25">
      <c r="A1607" s="15">
        <v>24567409</v>
      </c>
      <c r="I1607" s="16">
        <v>45887</v>
      </c>
      <c r="J1607" s="15" t="str">
        <f>VLOOKUP(A1607,sinap!$A$2:$R$9000,2,FALSE)</f>
        <v>H</v>
      </c>
      <c r="K1607" s="15" t="str">
        <f>VLOOKUP(A1607,sinap!$A$2:$R$9000,3,FALSE)</f>
        <v>VAQUILLA</v>
      </c>
      <c r="L1607" s="15" t="str">
        <f>VLOOKUP(A1607,sinap!$A$2:$R$9000,4,FALSE)</f>
        <v>ANGUS NEGRO</v>
      </c>
      <c r="M1607" s="15" t="str">
        <f>VLOOKUP(A1607,sinap!$A$2:$R$9000,5,FALSE)</f>
        <v>1 años 3 meses</v>
      </c>
      <c r="N1607" s="15" t="str">
        <f>VLOOKUP(A1607,sinap!$A$2:$R$9000,6,FALSE)</f>
        <v>05-10-2024</v>
      </c>
      <c r="O1607" s="15" t="str">
        <f>VLOOKUP(A1607,sinap!$A$2:$R$9000,7,FALSE)</f>
        <v>Vivo</v>
      </c>
      <c r="P1607" s="15" t="str">
        <f>VLOOKUP(A1607,sinap!$A$2:$R$9000,8,FALSE)</f>
        <v>11.1.01.0941</v>
      </c>
      <c r="Q1607" s="15" t="str">
        <f>VLOOKUP(A1607,sinap!$A$2:$R$9000,12,FALSE)</f>
        <v>11.2.01.0053</v>
      </c>
      <c r="R1607" s="15" t="str">
        <f>VLOOKUP(A1607,sinap!$A$2:$R$9000,16,FALSE)</f>
        <v>11.1.01.1241</v>
      </c>
      <c r="S1607" s="15" t="str">
        <f>VLOOKUP(A1607,sinap!$A$2:$Y$9000,20,FALSE)</f>
        <v>SI</v>
      </c>
      <c r="T1607" s="16">
        <v>45636</v>
      </c>
    </row>
    <row r="1608" spans="1:20" hidden="1" x14ac:dyDescent="0.25">
      <c r="A1608" s="15">
        <v>24567410</v>
      </c>
      <c r="I1608" s="16">
        <v>45887</v>
      </c>
      <c r="J1608" s="15" t="str">
        <f>VLOOKUP(A1608,sinap!$A$2:$R$9000,2,FALSE)</f>
        <v>H</v>
      </c>
      <c r="K1608" s="15" t="str">
        <f>VLOOKUP(A1608,sinap!$A$2:$R$9000,3,FALSE)</f>
        <v>VAQUILLA</v>
      </c>
      <c r="L1608" s="15" t="str">
        <f>VLOOKUP(A1608,sinap!$A$2:$R$9000,4,FALSE)</f>
        <v>ANGUS NEGRO</v>
      </c>
      <c r="M1608" s="15" t="str">
        <f>VLOOKUP(A1608,sinap!$A$2:$R$9000,5,FALSE)</f>
        <v>1 años 2 meses</v>
      </c>
      <c r="N1608" s="15" t="str">
        <f>VLOOKUP(A1608,sinap!$A$2:$R$9000,6,FALSE)</f>
        <v>05-11-2024</v>
      </c>
      <c r="O1608" s="15" t="str">
        <f>VLOOKUP(A1608,sinap!$A$2:$R$9000,7,FALSE)</f>
        <v>Vivo</v>
      </c>
      <c r="P1608" s="15" t="str">
        <f>VLOOKUP(A1608,sinap!$A$2:$R$9000,8,FALSE)</f>
        <v>11.1.01.0941</v>
      </c>
      <c r="Q1608" s="15" t="str">
        <f>VLOOKUP(A1608,sinap!$A$2:$R$9000,12,FALSE)</f>
        <v>11.2.01.0053</v>
      </c>
      <c r="R1608" s="15" t="str">
        <f>VLOOKUP(A1608,sinap!$A$2:$R$9000,16,FALSE)</f>
        <v>11.1.01.1241</v>
      </c>
      <c r="S1608" s="15" t="str">
        <f>VLOOKUP(A1608,sinap!$A$2:$Y$9000,20,FALSE)</f>
        <v>SI</v>
      </c>
      <c r="T1608" s="16">
        <v>45601</v>
      </c>
    </row>
    <row r="1609" spans="1:20" hidden="1" x14ac:dyDescent="0.25">
      <c r="A1609" s="15">
        <v>24567411</v>
      </c>
      <c r="I1609" s="16">
        <v>45887</v>
      </c>
      <c r="J1609" s="15" t="str">
        <f>VLOOKUP(A1609,sinap!$A$2:$R$9000,2,FALSE)</f>
        <v>H</v>
      </c>
      <c r="K1609" s="15" t="str">
        <f>VLOOKUP(A1609,sinap!$A$2:$R$9000,3,FALSE)</f>
        <v>VAQUILLA</v>
      </c>
      <c r="L1609" s="15" t="str">
        <f>VLOOKUP(A1609,sinap!$A$2:$R$9000,4,FALSE)</f>
        <v>ANGUS NEGRO</v>
      </c>
      <c r="M1609" s="15" t="str">
        <f>VLOOKUP(A1609,sinap!$A$2:$R$9000,5,FALSE)</f>
        <v>1 años 2 meses</v>
      </c>
      <c r="N1609" s="15" t="str">
        <f>VLOOKUP(A1609,sinap!$A$2:$R$9000,6,FALSE)</f>
        <v>05-11-2024</v>
      </c>
      <c r="O1609" s="15" t="str">
        <f>VLOOKUP(A1609,sinap!$A$2:$R$9000,7,FALSE)</f>
        <v>Vivo</v>
      </c>
      <c r="P1609" s="15" t="str">
        <f>VLOOKUP(A1609,sinap!$A$2:$R$9000,8,FALSE)</f>
        <v>11.1.01.0941</v>
      </c>
      <c r="Q1609" s="15" t="str">
        <f>VLOOKUP(A1609,sinap!$A$2:$R$9000,12,FALSE)</f>
        <v>11.2.01.0053</v>
      </c>
      <c r="R1609" s="15" t="str">
        <f>VLOOKUP(A1609,sinap!$A$2:$R$9000,16,FALSE)</f>
        <v>11.1.01.1241</v>
      </c>
      <c r="S1609" s="15" t="str">
        <f>VLOOKUP(A1609,sinap!$A$2:$Y$9000,20,FALSE)</f>
        <v>SI</v>
      </c>
      <c r="T1609" s="16">
        <v>45601</v>
      </c>
    </row>
    <row r="1610" spans="1:20" hidden="1" x14ac:dyDescent="0.25">
      <c r="A1610" s="15">
        <v>24567412</v>
      </c>
      <c r="I1610" s="16">
        <v>45887</v>
      </c>
      <c r="J1610" s="15" t="str">
        <f>VLOOKUP(A1610,sinap!$A$2:$R$9000,2,FALSE)</f>
        <v>H</v>
      </c>
      <c r="K1610" s="15" t="str">
        <f>VLOOKUP(A1610,sinap!$A$2:$R$9000,3,FALSE)</f>
        <v>VAQUILLA</v>
      </c>
      <c r="L1610" s="15" t="str">
        <f>VLOOKUP(A1610,sinap!$A$2:$R$9000,4,FALSE)</f>
        <v>ANGUS NEGRO</v>
      </c>
      <c r="M1610" s="15" t="str">
        <f>VLOOKUP(A1610,sinap!$A$2:$R$9000,5,FALSE)</f>
        <v>1 años 3 meses</v>
      </c>
      <c r="N1610" s="15" t="str">
        <f>VLOOKUP(A1610,sinap!$A$2:$R$9000,6,FALSE)</f>
        <v>05-10-2024</v>
      </c>
      <c r="O1610" s="15" t="str">
        <f>VLOOKUP(A1610,sinap!$A$2:$R$9000,7,FALSE)</f>
        <v>Vivo</v>
      </c>
      <c r="P1610" s="15" t="str">
        <f>VLOOKUP(A1610,sinap!$A$2:$R$9000,8,FALSE)</f>
        <v>11.1.01.0941</v>
      </c>
      <c r="Q1610" s="15" t="str">
        <f>VLOOKUP(A1610,sinap!$A$2:$R$9000,12,FALSE)</f>
        <v>11.2.01.0053</v>
      </c>
      <c r="R1610" s="15" t="str">
        <f>VLOOKUP(A1610,sinap!$A$2:$R$9000,16,FALSE)</f>
        <v>11.1.01.1241</v>
      </c>
      <c r="S1610" s="15" t="str">
        <f>VLOOKUP(A1610,sinap!$A$2:$Y$9000,20,FALSE)</f>
        <v>SI</v>
      </c>
      <c r="T1610" s="16">
        <v>45570</v>
      </c>
    </row>
    <row r="1611" spans="1:20" hidden="1" x14ac:dyDescent="0.25">
      <c r="A1611" s="15">
        <v>24567413</v>
      </c>
      <c r="I1611" s="16">
        <v>45887</v>
      </c>
      <c r="J1611" s="15" t="str">
        <f>VLOOKUP(A1611,sinap!$A$2:$R$9000,2,FALSE)</f>
        <v>H</v>
      </c>
      <c r="K1611" s="15" t="str">
        <f>VLOOKUP(A1611,sinap!$A$2:$R$9000,3,FALSE)</f>
        <v>VAQUILLA</v>
      </c>
      <c r="L1611" s="15" t="str">
        <f>VLOOKUP(A1611,sinap!$A$2:$R$9000,4,FALSE)</f>
        <v>ANGUS NEGRO</v>
      </c>
      <c r="M1611" s="15" t="str">
        <f>VLOOKUP(A1611,sinap!$A$2:$R$9000,5,FALSE)</f>
        <v>1 años 2 meses</v>
      </c>
      <c r="N1611" s="15" t="str">
        <f>VLOOKUP(A1611,sinap!$A$2:$R$9000,6,FALSE)</f>
        <v>05-11-2024</v>
      </c>
      <c r="O1611" s="15" t="str">
        <f>VLOOKUP(A1611,sinap!$A$2:$R$9000,7,FALSE)</f>
        <v>Vivo</v>
      </c>
      <c r="P1611" s="15" t="str">
        <f>VLOOKUP(A1611,sinap!$A$2:$R$9000,8,FALSE)</f>
        <v>11.1.01.0941</v>
      </c>
      <c r="Q1611" s="15" t="str">
        <f>VLOOKUP(A1611,sinap!$A$2:$R$9000,12,FALSE)</f>
        <v>11.2.01.0053</v>
      </c>
      <c r="R1611" s="15" t="str">
        <f>VLOOKUP(A1611,sinap!$A$2:$R$9000,16,FALSE)</f>
        <v>11.1.01.1241</v>
      </c>
      <c r="S1611" s="15" t="str">
        <f>VLOOKUP(A1611,sinap!$A$2:$Y$9000,20,FALSE)</f>
        <v>SI</v>
      </c>
      <c r="T1611" s="16">
        <v>45647</v>
      </c>
    </row>
    <row r="1612" spans="1:20" hidden="1" x14ac:dyDescent="0.25">
      <c r="A1612" s="15">
        <v>24567414</v>
      </c>
      <c r="C1612" s="15">
        <v>24567143</v>
      </c>
      <c r="J1612" s="15" t="str">
        <f>VLOOKUP(A1612,sinap!$A$2:$R$9000,2,FALSE)</f>
        <v>H</v>
      </c>
      <c r="K1612" s="15" t="str">
        <f>VLOOKUP(A1612,sinap!$A$2:$R$9000,3,FALSE)</f>
        <v>VAQUILLA</v>
      </c>
      <c r="L1612" s="15" t="str">
        <f>VLOOKUP(A1612,sinap!$A$2:$R$9000,4,FALSE)</f>
        <v>ANGUS NEGRO</v>
      </c>
      <c r="M1612" s="15" t="str">
        <f>VLOOKUP(A1612,sinap!$A$2:$R$9000,5,FALSE)</f>
        <v>1 años 2 meses</v>
      </c>
      <c r="N1612" s="15" t="str">
        <f>VLOOKUP(A1612,sinap!$A$2:$R$9000,6,FALSE)</f>
        <v>15-11-2024</v>
      </c>
      <c r="O1612" s="15" t="str">
        <f>VLOOKUP(A1612,sinap!$A$2:$R$9000,7,FALSE)</f>
        <v>Vivo</v>
      </c>
      <c r="P1612" s="15" t="str">
        <f>VLOOKUP(A1612,sinap!$A$2:$R$9000,8,FALSE)</f>
        <v>11.1.01.0941</v>
      </c>
      <c r="Q1612" s="15" t="str">
        <f>VLOOKUP(A1612,sinap!$A$2:$R$9000,12,FALSE)</f>
        <v>11.2.01.0053</v>
      </c>
      <c r="R1612" s="15" t="str">
        <f>VLOOKUP(A1612,sinap!$A$2:$R$9000,16,FALSE)</f>
        <v>11.1.01.1241</v>
      </c>
      <c r="S1612" s="15" t="str">
        <f>VLOOKUP(A1612,sinap!$A$2:$Y$9000,20,FALSE)</f>
        <v>SI</v>
      </c>
      <c r="T1612" s="16" t="e">
        <v>#N/A</v>
      </c>
    </row>
    <row r="1613" spans="1:20" hidden="1" x14ac:dyDescent="0.25">
      <c r="A1613" s="15">
        <v>24567415</v>
      </c>
      <c r="I1613" s="16">
        <v>45887</v>
      </c>
      <c r="J1613" s="15" t="str">
        <f>VLOOKUP(A1613,sinap!$A$2:$R$9000,2,FALSE)</f>
        <v>H</v>
      </c>
      <c r="K1613" s="15" t="str">
        <f>VLOOKUP(A1613,sinap!$A$2:$R$9000,3,FALSE)</f>
        <v>VAQUILLA</v>
      </c>
      <c r="L1613" s="15" t="str">
        <f>VLOOKUP(A1613,sinap!$A$2:$R$9000,4,FALSE)</f>
        <v>ANGUS NEGRO</v>
      </c>
      <c r="M1613" s="15" t="str">
        <f>VLOOKUP(A1613,sinap!$A$2:$R$9000,5,FALSE)</f>
        <v>1 años 2 meses</v>
      </c>
      <c r="N1613" s="15" t="str">
        <f>VLOOKUP(A1613,sinap!$A$2:$R$9000,6,FALSE)</f>
        <v>05-11-2024</v>
      </c>
      <c r="O1613" s="15" t="str">
        <f>VLOOKUP(A1613,sinap!$A$2:$R$9000,7,FALSE)</f>
        <v>Vivo</v>
      </c>
      <c r="P1613" s="15" t="str">
        <f>VLOOKUP(A1613,sinap!$A$2:$R$9000,8,FALSE)</f>
        <v>11.1.01.0941</v>
      </c>
      <c r="Q1613" s="15" t="str">
        <f>VLOOKUP(A1613,sinap!$A$2:$R$9000,12,FALSE)</f>
        <v>11.2.01.0053</v>
      </c>
      <c r="R1613" s="15" t="str">
        <f>VLOOKUP(A1613,sinap!$A$2:$R$9000,16,FALSE)</f>
        <v>11.1.01.1241</v>
      </c>
      <c r="S1613" s="15" t="str">
        <f>VLOOKUP(A1613,sinap!$A$2:$Y$9000,20,FALSE)</f>
        <v>SI</v>
      </c>
      <c r="T1613" s="16">
        <v>45647</v>
      </c>
    </row>
    <row r="1614" spans="1:20" hidden="1" x14ac:dyDescent="0.25">
      <c r="A1614" s="15">
        <v>24567416</v>
      </c>
      <c r="I1614" s="16">
        <v>45887</v>
      </c>
      <c r="J1614" s="15" t="str">
        <f>VLOOKUP(A1614,sinap!$A$2:$R$9000,2,FALSE)</f>
        <v>H</v>
      </c>
      <c r="K1614" s="15" t="str">
        <f>VLOOKUP(A1614,sinap!$A$2:$R$9000,3,FALSE)</f>
        <v>VAQUILLA</v>
      </c>
      <c r="L1614" s="15" t="str">
        <f>VLOOKUP(A1614,sinap!$A$2:$R$9000,4,FALSE)</f>
        <v>ANGUS NEGRO</v>
      </c>
      <c r="M1614" s="15" t="str">
        <f>VLOOKUP(A1614,sinap!$A$2:$R$9000,5,FALSE)</f>
        <v>1 años 2 meses</v>
      </c>
      <c r="N1614" s="15" t="str">
        <f>VLOOKUP(A1614,sinap!$A$2:$R$9000,6,FALSE)</f>
        <v>05-11-2024</v>
      </c>
      <c r="O1614" s="15" t="str">
        <f>VLOOKUP(A1614,sinap!$A$2:$R$9000,7,FALSE)</f>
        <v>Vivo</v>
      </c>
      <c r="P1614" s="15" t="str">
        <f>VLOOKUP(A1614,sinap!$A$2:$R$9000,8,FALSE)</f>
        <v>11.1.01.0941</v>
      </c>
      <c r="Q1614" s="15" t="str">
        <f>VLOOKUP(A1614,sinap!$A$2:$R$9000,12,FALSE)</f>
        <v>11.2.01.0053</v>
      </c>
      <c r="R1614" s="15" t="str">
        <f>VLOOKUP(A1614,sinap!$A$2:$R$9000,16,FALSE)</f>
        <v>11.1.01.1241</v>
      </c>
      <c r="S1614" s="15" t="str">
        <f>VLOOKUP(A1614,sinap!$A$2:$Y$9000,20,FALSE)</f>
        <v>SI</v>
      </c>
      <c r="T1614" s="16">
        <v>45647</v>
      </c>
    </row>
    <row r="1615" spans="1:20" hidden="1" x14ac:dyDescent="0.25">
      <c r="A1615" s="15">
        <v>24567417</v>
      </c>
      <c r="J1615" s="15" t="str">
        <f>VLOOKUP(A1615,sinap!$A$2:$R$9000,2,FALSE)</f>
        <v>H</v>
      </c>
      <c r="K1615" s="15" t="str">
        <f>VLOOKUP(A1615,sinap!$A$2:$R$9000,3,FALSE)</f>
        <v>VAQUILLA</v>
      </c>
      <c r="L1615" s="15" t="str">
        <f>VLOOKUP(A1615,sinap!$A$2:$R$9000,4,FALSE)</f>
        <v>ANGUS NEGRO</v>
      </c>
      <c r="M1615" s="15" t="str">
        <f>VLOOKUP(A1615,sinap!$A$2:$R$9000,5,FALSE)</f>
        <v>1 años 2 meses</v>
      </c>
      <c r="N1615" s="15" t="str">
        <f>VLOOKUP(A1615,sinap!$A$2:$R$9000,6,FALSE)</f>
        <v>05-11-2024</v>
      </c>
      <c r="O1615" s="15" t="str">
        <f>VLOOKUP(A1615,sinap!$A$2:$R$9000,7,FALSE)</f>
        <v>Vivo</v>
      </c>
      <c r="P1615" s="15" t="str">
        <f>VLOOKUP(A1615,sinap!$A$2:$R$9000,8,FALSE)</f>
        <v>11.1.01.0941</v>
      </c>
      <c r="Q1615" s="15" t="str">
        <f>VLOOKUP(A1615,sinap!$A$2:$R$9000,12,FALSE)</f>
        <v>11.2.01.0053</v>
      </c>
      <c r="R1615" s="15" t="str">
        <f>VLOOKUP(A1615,sinap!$A$2:$R$9000,16,FALSE)</f>
        <v>11.1.01.1241</v>
      </c>
      <c r="S1615" s="15" t="str">
        <f>VLOOKUP(A1615,sinap!$A$2:$Y$9000,20,FALSE)</f>
        <v>SI</v>
      </c>
      <c r="T1615" s="16">
        <v>45647</v>
      </c>
    </row>
    <row r="1616" spans="1:20" hidden="1" x14ac:dyDescent="0.25">
      <c r="A1616" s="15">
        <v>24567418</v>
      </c>
      <c r="I1616" s="16">
        <v>45813</v>
      </c>
      <c r="J1616" s="15" t="str">
        <f>VLOOKUP(A1616,sinap!$A$2:$R$9000,2,FALSE)</f>
        <v>H</v>
      </c>
      <c r="K1616" s="15" t="str">
        <f>VLOOKUP(A1616,sinap!$A$2:$R$9000,3,FALSE)</f>
        <v>VAQUILLA</v>
      </c>
      <c r="L1616" s="15" t="str">
        <f>VLOOKUP(A1616,sinap!$A$2:$R$9000,4,FALSE)</f>
        <v>ANGUS NEGRO</v>
      </c>
      <c r="M1616" s="15" t="str">
        <f>VLOOKUP(A1616,sinap!$A$2:$R$9000,5,FALSE)</f>
        <v>1 años 2 meses</v>
      </c>
      <c r="N1616" s="15" t="str">
        <f>VLOOKUP(A1616,sinap!$A$2:$R$9000,6,FALSE)</f>
        <v>05-11-2024</v>
      </c>
      <c r="O1616" s="15" t="str">
        <f>VLOOKUP(A1616,sinap!$A$2:$R$9000,7,FALSE)</f>
        <v>Vivo</v>
      </c>
      <c r="P1616" s="15" t="str">
        <f>VLOOKUP(A1616,sinap!$A$2:$R$9000,8,FALSE)</f>
        <v>11.1.01.1241</v>
      </c>
      <c r="Q1616" s="15" t="str">
        <f>VLOOKUP(A1616,sinap!$A$2:$R$9000,12,FALSE)</f>
        <v>11.2.01.0038</v>
      </c>
      <c r="R1616" s="15" t="str">
        <f>VLOOKUP(A1616,sinap!$A$2:$R$9000,16,FALSE)</f>
        <v>11.1.01.1241</v>
      </c>
      <c r="S1616" s="15" t="str">
        <f>VLOOKUP(A1616,sinap!$A$2:$Y$9000,20,FALSE)</f>
        <v>SI</v>
      </c>
      <c r="T1616" s="16">
        <v>45647</v>
      </c>
    </row>
    <row r="1617" spans="1:20" hidden="1" x14ac:dyDescent="0.25">
      <c r="A1617" s="15">
        <v>24567419</v>
      </c>
      <c r="I1617" s="16">
        <v>45887</v>
      </c>
      <c r="J1617" s="15" t="str">
        <f>VLOOKUP(A1617,sinap!$A$2:$R$9000,2,FALSE)</f>
        <v>H</v>
      </c>
      <c r="K1617" s="15" t="str">
        <f>VLOOKUP(A1617,sinap!$A$2:$R$9000,3,FALSE)</f>
        <v>VAQUILLA</v>
      </c>
      <c r="L1617" s="15" t="str">
        <f>VLOOKUP(A1617,sinap!$A$2:$R$9000,4,FALSE)</f>
        <v>ANGUS NEGRO</v>
      </c>
      <c r="M1617" s="15" t="str">
        <f>VLOOKUP(A1617,sinap!$A$2:$R$9000,5,FALSE)</f>
        <v>1 años 3 meses</v>
      </c>
      <c r="N1617" s="15" t="str">
        <f>VLOOKUP(A1617,sinap!$A$2:$R$9000,6,FALSE)</f>
        <v>30-09-2024</v>
      </c>
      <c r="O1617" s="15" t="str">
        <f>VLOOKUP(A1617,sinap!$A$2:$R$9000,7,FALSE)</f>
        <v>Vivo</v>
      </c>
      <c r="P1617" s="15" t="str">
        <f>VLOOKUP(A1617,sinap!$A$2:$R$9000,8,FALSE)</f>
        <v>11.1.01.0941</v>
      </c>
      <c r="Q1617" s="15" t="str">
        <f>VLOOKUP(A1617,sinap!$A$2:$R$9000,12,FALSE)</f>
        <v>11.2.01.0053</v>
      </c>
      <c r="R1617" s="15" t="str">
        <f>VLOOKUP(A1617,sinap!$A$2:$R$9000,16,FALSE)</f>
        <v>11.1.01.1241</v>
      </c>
      <c r="S1617" s="15" t="str">
        <f>VLOOKUP(A1617,sinap!$A$2:$Y$9000,20,FALSE)</f>
        <v>SI</v>
      </c>
      <c r="T1617" s="16">
        <v>45565</v>
      </c>
    </row>
    <row r="1618" spans="1:20" hidden="1" x14ac:dyDescent="0.25">
      <c r="A1618" s="15">
        <v>24567420</v>
      </c>
      <c r="I1618" s="16">
        <v>45887</v>
      </c>
      <c r="J1618" s="15" t="str">
        <f>VLOOKUP(A1618,sinap!$A$2:$R$9000,2,FALSE)</f>
        <v>H</v>
      </c>
      <c r="K1618" s="15" t="str">
        <f>VLOOKUP(A1618,sinap!$A$2:$R$9000,3,FALSE)</f>
        <v>VAQUILLA</v>
      </c>
      <c r="L1618" s="15" t="str">
        <f>VLOOKUP(A1618,sinap!$A$2:$R$9000,4,FALSE)</f>
        <v>ANGUS ROJO</v>
      </c>
      <c r="M1618" s="15" t="str">
        <f>VLOOKUP(A1618,sinap!$A$2:$R$9000,5,FALSE)</f>
        <v>1 años 2 meses</v>
      </c>
      <c r="N1618" s="15" t="str">
        <f>VLOOKUP(A1618,sinap!$A$2:$R$9000,6,FALSE)</f>
        <v>05-11-2024</v>
      </c>
      <c r="O1618" s="15" t="str">
        <f>VLOOKUP(A1618,sinap!$A$2:$R$9000,7,FALSE)</f>
        <v>Vivo</v>
      </c>
      <c r="P1618" s="15" t="str">
        <f>VLOOKUP(A1618,sinap!$A$2:$R$9000,8,FALSE)</f>
        <v>11.1.01.0941</v>
      </c>
      <c r="Q1618" s="15" t="str">
        <f>VLOOKUP(A1618,sinap!$A$2:$R$9000,12,FALSE)</f>
        <v>11.2.01.0053</v>
      </c>
      <c r="R1618" s="15" t="str">
        <f>VLOOKUP(A1618,sinap!$A$2:$R$9000,16,FALSE)</f>
        <v>11.1.01.1241</v>
      </c>
      <c r="S1618" s="15" t="str">
        <f>VLOOKUP(A1618,sinap!$A$2:$Y$9000,20,FALSE)</f>
        <v>SI</v>
      </c>
      <c r="T1618" s="16">
        <v>45647</v>
      </c>
    </row>
    <row r="1619" spans="1:20" hidden="1" x14ac:dyDescent="0.25">
      <c r="A1619" s="15">
        <v>24567421</v>
      </c>
      <c r="C1619" s="15">
        <v>24567181</v>
      </c>
      <c r="I1619" s="16">
        <v>45813</v>
      </c>
      <c r="J1619" s="15" t="str">
        <f>VLOOKUP(A1619,sinap!$A$2:$R$9000,2,FALSE)</f>
        <v>H</v>
      </c>
      <c r="K1619" s="15" t="str">
        <f>VLOOKUP(A1619,sinap!$A$2:$R$9000,3,FALSE)</f>
        <v>VAQUILLA</v>
      </c>
      <c r="L1619" s="15" t="str">
        <f>VLOOKUP(A1619,sinap!$A$2:$R$9000,4,FALSE)</f>
        <v>ANGUS NEGRO</v>
      </c>
      <c r="M1619" s="15" t="str">
        <f>VLOOKUP(A1619,sinap!$A$2:$R$9000,5,FALSE)</f>
        <v>1 años 4 meses</v>
      </c>
      <c r="N1619" s="15" t="str">
        <f>VLOOKUP(A1619,sinap!$A$2:$R$9000,6,FALSE)</f>
        <v>15-09-2024</v>
      </c>
      <c r="O1619" s="15" t="str">
        <f>VLOOKUP(A1619,sinap!$A$2:$R$9000,7,FALSE)</f>
        <v>Vivo</v>
      </c>
      <c r="P1619" s="15" t="str">
        <f>VLOOKUP(A1619,sinap!$A$2:$R$9000,8,FALSE)</f>
        <v>11.1.01.1241</v>
      </c>
      <c r="Q1619" s="15" t="str">
        <f>VLOOKUP(A1619,sinap!$A$2:$R$9000,12,FALSE)</f>
        <v>11.2.01.0038</v>
      </c>
      <c r="R1619" s="15" t="str">
        <f>VLOOKUP(A1619,sinap!$A$2:$R$9000,16,FALSE)</f>
        <v>11.1.01.1241</v>
      </c>
      <c r="S1619" s="15" t="str">
        <f>VLOOKUP(A1619,sinap!$A$2:$Y$9000,20,FALSE)</f>
        <v>SI</v>
      </c>
    </row>
    <row r="1620" spans="1:20" hidden="1" x14ac:dyDescent="0.25">
      <c r="A1620" s="15">
        <v>24567432</v>
      </c>
      <c r="J1620" s="15" t="str">
        <f>VLOOKUP(A1620,sinap!$A$2:$R$9000,2,FALSE)</f>
        <v>H</v>
      </c>
      <c r="K1620" s="15" t="str">
        <f>VLOOKUP(A1620,sinap!$A$2:$R$9000,3,FALSE)</f>
        <v>VAQUILLA</v>
      </c>
      <c r="L1620" s="15" t="str">
        <f>VLOOKUP(A1620,sinap!$A$2:$R$9000,4,FALSE)</f>
        <v>ANGUS ROJO</v>
      </c>
      <c r="M1620" s="15" t="str">
        <f>VLOOKUP(A1620,sinap!$A$2:$R$9000,5,FALSE)</f>
        <v>1 años 1 meses</v>
      </c>
      <c r="N1620" s="15" t="str">
        <f>VLOOKUP(A1620,sinap!$A$2:$R$9000,6,FALSE)</f>
        <v>30-11-2024</v>
      </c>
      <c r="O1620" s="15" t="str">
        <f>VLOOKUP(A1620,sinap!$A$2:$R$9000,7,FALSE)</f>
        <v>Vivo</v>
      </c>
      <c r="P1620" s="15" t="str">
        <f>VLOOKUP(A1620,sinap!$A$2:$R$9000,8,FALSE)</f>
        <v>11.1.01.0941</v>
      </c>
      <c r="Q1620" s="15" t="str">
        <f>VLOOKUP(A1620,sinap!$A$2:$R$9000,12,FALSE)</f>
        <v>11.1.01.0893</v>
      </c>
      <c r="R1620" s="15" t="str">
        <f>VLOOKUP(A1620,sinap!$A$2:$R$9000,16,FALSE)</f>
        <v>11.1.01.0893</v>
      </c>
      <c r="S1620" s="15" t="str">
        <f>VLOOKUP(A1620,sinap!$A$2:$Y$9000,20,FALSE)</f>
        <v>SI</v>
      </c>
      <c r="T1620" s="16">
        <v>45654</v>
      </c>
    </row>
    <row r="1621" spans="1:20" hidden="1" x14ac:dyDescent="0.25">
      <c r="A1621" s="15">
        <v>24567443</v>
      </c>
      <c r="J1621" s="15" t="str">
        <f>VLOOKUP(A1621,sinap!$A$2:$R$9000,2,FALSE)</f>
        <v>H</v>
      </c>
      <c r="K1621" s="15" t="str">
        <f>VLOOKUP(A1621,sinap!$A$2:$R$9000,3,FALSE)</f>
        <v>VAQUILLA</v>
      </c>
      <c r="L1621" s="15" t="str">
        <f>VLOOKUP(A1621,sinap!$A$2:$R$9000,4,FALSE)</f>
        <v>ANGUS NEGRO</v>
      </c>
      <c r="M1621" s="15" t="str">
        <f>VLOOKUP(A1621,sinap!$A$2:$R$9000,5,FALSE)</f>
        <v>1 años 1 meses</v>
      </c>
      <c r="N1621" s="15" t="str">
        <f>VLOOKUP(A1621,sinap!$A$2:$R$9000,6,FALSE)</f>
        <v>30-11-2024</v>
      </c>
      <c r="O1621" s="15" t="str">
        <f>VLOOKUP(A1621,sinap!$A$2:$R$9000,7,FALSE)</f>
        <v>Vivo</v>
      </c>
      <c r="P1621" s="15" t="str">
        <f>VLOOKUP(A1621,sinap!$A$2:$R$9000,8,FALSE)</f>
        <v>11.1.01.0941</v>
      </c>
      <c r="Q1621" s="15" t="str">
        <f>VLOOKUP(A1621,sinap!$A$2:$R$9000,12,FALSE)</f>
        <v>11.1.01.0893</v>
      </c>
      <c r="R1621" s="15" t="str">
        <f>VLOOKUP(A1621,sinap!$A$2:$R$9000,16,FALSE)</f>
        <v>11.1.01.0893</v>
      </c>
      <c r="S1621" s="15" t="str">
        <f>VLOOKUP(A1621,sinap!$A$2:$Y$9000,20,FALSE)</f>
        <v>SI</v>
      </c>
      <c r="T1621" s="16">
        <v>45654</v>
      </c>
    </row>
    <row r="1622" spans="1:20" hidden="1" x14ac:dyDescent="0.25">
      <c r="A1622" s="15">
        <v>24567455</v>
      </c>
      <c r="J1622" s="15" t="str">
        <f>VLOOKUP(A1622,sinap!$A$2:$R$9000,2,FALSE)</f>
        <v>H</v>
      </c>
      <c r="K1622" s="15" t="str">
        <f>VLOOKUP(A1622,sinap!$A$2:$R$9000,3,FALSE)</f>
        <v>VAQUILLA</v>
      </c>
      <c r="L1622" s="15" t="str">
        <f>VLOOKUP(A1622,sinap!$A$2:$R$9000,4,FALSE)</f>
        <v>ANGUS NEGRO</v>
      </c>
      <c r="M1622" s="15" t="str">
        <f>VLOOKUP(A1622,sinap!$A$2:$R$9000,5,FALSE)</f>
        <v>1 años 1 meses</v>
      </c>
      <c r="N1622" s="15" t="str">
        <f>VLOOKUP(A1622,sinap!$A$2:$R$9000,6,FALSE)</f>
        <v>30-11-2024</v>
      </c>
      <c r="O1622" s="15" t="str">
        <f>VLOOKUP(A1622,sinap!$A$2:$R$9000,7,FALSE)</f>
        <v>Vivo</v>
      </c>
      <c r="P1622" s="15" t="str">
        <f>VLOOKUP(A1622,sinap!$A$2:$R$9000,8,FALSE)</f>
        <v>11.1.01.0941</v>
      </c>
      <c r="Q1622" s="15" t="str">
        <f>VLOOKUP(A1622,sinap!$A$2:$R$9000,12,FALSE)</f>
        <v>11.1.01.0893</v>
      </c>
      <c r="R1622" s="15" t="str">
        <f>VLOOKUP(A1622,sinap!$A$2:$R$9000,16,FALSE)</f>
        <v>11.1.01.0893</v>
      </c>
      <c r="S1622" s="15" t="str">
        <f>VLOOKUP(A1622,sinap!$A$2:$Y$9000,20,FALSE)</f>
        <v>SI</v>
      </c>
      <c r="T1622" s="16">
        <v>45661</v>
      </c>
    </row>
    <row r="1623" spans="1:20" hidden="1" x14ac:dyDescent="0.25">
      <c r="A1623" s="15">
        <v>24567455</v>
      </c>
      <c r="J1623" s="15" t="str">
        <f>VLOOKUP(A1623,sinap!$A$2:$R$9000,2,FALSE)</f>
        <v>H</v>
      </c>
      <c r="K1623" s="15" t="str">
        <f>VLOOKUP(A1623,sinap!$A$2:$R$9000,3,FALSE)</f>
        <v>VAQUILLA</v>
      </c>
      <c r="L1623" s="15" t="str">
        <f>VLOOKUP(A1623,sinap!$A$2:$R$9000,4,FALSE)</f>
        <v>ANGUS NEGRO</v>
      </c>
      <c r="M1623" s="15" t="str">
        <f>VLOOKUP(A1623,sinap!$A$2:$R$9000,5,FALSE)</f>
        <v>1 años 1 meses</v>
      </c>
      <c r="N1623" s="15" t="str">
        <f>VLOOKUP(A1623,sinap!$A$2:$R$9000,6,FALSE)</f>
        <v>30-11-2024</v>
      </c>
      <c r="O1623" s="15" t="str">
        <f>VLOOKUP(A1623,sinap!$A$2:$R$9000,7,FALSE)</f>
        <v>Vivo</v>
      </c>
      <c r="P1623" s="15" t="str">
        <f>VLOOKUP(A1623,sinap!$A$2:$R$9000,8,FALSE)</f>
        <v>11.1.01.0941</v>
      </c>
      <c r="Q1623" s="15" t="str">
        <f>VLOOKUP(A1623,sinap!$A$2:$R$9000,12,FALSE)</f>
        <v>11.1.01.0893</v>
      </c>
      <c r="R1623" s="15" t="str">
        <f>VLOOKUP(A1623,sinap!$A$2:$R$9000,16,FALSE)</f>
        <v>11.1.01.0893</v>
      </c>
      <c r="S1623" s="15" t="str">
        <f>VLOOKUP(A1623,sinap!$A$2:$Y$9000,20,FALSE)</f>
        <v>SI</v>
      </c>
    </row>
    <row r="1624" spans="1:20" hidden="1" x14ac:dyDescent="0.25">
      <c r="A1624" s="15">
        <v>24567458</v>
      </c>
      <c r="J1624" s="15" t="str">
        <f>VLOOKUP(A1624,sinap!$A$2:$R$9000,2,FALSE)</f>
        <v>H</v>
      </c>
      <c r="K1624" s="15" t="str">
        <f>VLOOKUP(A1624,sinap!$A$2:$R$9000,3,FALSE)</f>
        <v>VAQUILLA</v>
      </c>
      <c r="L1624" s="15" t="str">
        <f>VLOOKUP(A1624,sinap!$A$2:$R$9000,4,FALSE)</f>
        <v>ANGUS NEGRO</v>
      </c>
      <c r="M1624" s="15" t="str">
        <f>VLOOKUP(A1624,sinap!$A$2:$R$9000,5,FALSE)</f>
        <v>1 años 1 meses</v>
      </c>
      <c r="N1624" s="15" t="str">
        <f>VLOOKUP(A1624,sinap!$A$2:$R$9000,6,FALSE)</f>
        <v>30-11-2024</v>
      </c>
      <c r="O1624" s="15" t="str">
        <f>VLOOKUP(A1624,sinap!$A$2:$R$9000,7,FALSE)</f>
        <v>Vivo</v>
      </c>
      <c r="P1624" s="15" t="str">
        <f>VLOOKUP(A1624,sinap!$A$2:$R$9000,8,FALSE)</f>
        <v>11.1.01.0941</v>
      </c>
      <c r="Q1624" s="15" t="str">
        <f>VLOOKUP(A1624,sinap!$A$2:$R$9000,12,FALSE)</f>
        <v>11.1.01.0893</v>
      </c>
      <c r="R1624" s="15" t="str">
        <f>VLOOKUP(A1624,sinap!$A$2:$R$9000,16,FALSE)</f>
        <v>11.1.01.0893</v>
      </c>
      <c r="S1624" s="15" t="str">
        <f>VLOOKUP(A1624,sinap!$A$2:$Y$9000,20,FALSE)</f>
        <v>SI</v>
      </c>
      <c r="T1624" s="16">
        <v>45661</v>
      </c>
    </row>
    <row r="1625" spans="1:20" hidden="1" x14ac:dyDescent="0.25">
      <c r="A1625" s="15">
        <v>24567461</v>
      </c>
      <c r="I1625" s="16">
        <v>45887</v>
      </c>
      <c r="J1625" s="15" t="str">
        <f>VLOOKUP(A1625,sinap!$A$2:$R$9000,2,FALSE)</f>
        <v>H</v>
      </c>
      <c r="K1625" s="15" t="str">
        <f>VLOOKUP(A1625,sinap!$A$2:$R$9000,3,FALSE)</f>
        <v>VAQUILLA</v>
      </c>
      <c r="L1625" s="15" t="str">
        <f>VLOOKUP(A1625,sinap!$A$2:$R$9000,4,FALSE)</f>
        <v>ANGUS NEGRO</v>
      </c>
      <c r="M1625" s="15" t="str">
        <f>VLOOKUP(A1625,sinap!$A$2:$R$9000,5,FALSE)</f>
        <v>1 años 1 meses</v>
      </c>
      <c r="N1625" s="15" t="str">
        <f>VLOOKUP(A1625,sinap!$A$2:$R$9000,6,FALSE)</f>
        <v>05-12-2024</v>
      </c>
      <c r="O1625" s="15" t="str">
        <f>VLOOKUP(A1625,sinap!$A$2:$R$9000,7,FALSE)</f>
        <v>Vivo</v>
      </c>
      <c r="P1625" s="15" t="str">
        <f>VLOOKUP(A1625,sinap!$A$2:$R$9000,8,FALSE)</f>
        <v>11.1.01.0941</v>
      </c>
      <c r="Q1625" s="15" t="str">
        <f>VLOOKUP(A1625,sinap!$A$2:$R$9000,12,FALSE)</f>
        <v>11.2.01.0053</v>
      </c>
      <c r="R1625" s="15" t="str">
        <f>VLOOKUP(A1625,sinap!$A$2:$R$9000,16,FALSE)</f>
        <v>11.1.01.1241</v>
      </c>
      <c r="S1625" s="15" t="str">
        <f>VLOOKUP(A1625,sinap!$A$2:$Y$9000,20,FALSE)</f>
        <v>SI</v>
      </c>
      <c r="T1625" s="16">
        <v>45671</v>
      </c>
    </row>
    <row r="1626" spans="1:20" hidden="1" x14ac:dyDescent="0.25">
      <c r="A1626" s="15">
        <v>24567464</v>
      </c>
      <c r="I1626" s="16">
        <v>45887</v>
      </c>
      <c r="J1626" s="15" t="str">
        <f>VLOOKUP(A1626,sinap!$A$2:$R$9000,2,FALSE)</f>
        <v>H</v>
      </c>
      <c r="K1626" s="15" t="str">
        <f>VLOOKUP(A1626,sinap!$A$2:$R$9000,3,FALSE)</f>
        <v>VAQUILLA</v>
      </c>
      <c r="L1626" s="15" t="str">
        <f>VLOOKUP(A1626,sinap!$A$2:$R$9000,4,FALSE)</f>
        <v>ANGUS NEGRO</v>
      </c>
      <c r="M1626" s="15" t="str">
        <f>VLOOKUP(A1626,sinap!$A$2:$R$9000,5,FALSE)</f>
        <v>1 años 1 meses</v>
      </c>
      <c r="N1626" s="15" t="str">
        <f>VLOOKUP(A1626,sinap!$A$2:$R$9000,6,FALSE)</f>
        <v>05-12-2024</v>
      </c>
      <c r="O1626" s="15" t="str">
        <f>VLOOKUP(A1626,sinap!$A$2:$R$9000,7,FALSE)</f>
        <v>Vivo</v>
      </c>
      <c r="P1626" s="15" t="str">
        <f>VLOOKUP(A1626,sinap!$A$2:$R$9000,8,FALSE)</f>
        <v>11.1.01.0941</v>
      </c>
      <c r="Q1626" s="15" t="str">
        <f>VLOOKUP(A1626,sinap!$A$2:$R$9000,12,FALSE)</f>
        <v>11.2.01.0053</v>
      </c>
      <c r="R1626" s="15" t="str">
        <f>VLOOKUP(A1626,sinap!$A$2:$R$9000,16,FALSE)</f>
        <v>11.1.01.1241</v>
      </c>
      <c r="S1626" s="15" t="str">
        <f>VLOOKUP(A1626,sinap!$A$2:$Y$9000,20,FALSE)</f>
        <v>SI</v>
      </c>
      <c r="T1626" s="16">
        <v>45671</v>
      </c>
    </row>
    <row r="1627" spans="1:20" hidden="1" x14ac:dyDescent="0.25">
      <c r="A1627" s="15">
        <v>24567465</v>
      </c>
      <c r="J1627" s="15" t="str">
        <f>VLOOKUP(A1627,sinap!$A$2:$R$9000,2,FALSE)</f>
        <v>H</v>
      </c>
      <c r="K1627" s="15" t="str">
        <f>VLOOKUP(A1627,sinap!$A$2:$R$9000,3,FALSE)</f>
        <v>VAQUILLA</v>
      </c>
      <c r="L1627" s="15" t="str">
        <f>VLOOKUP(A1627,sinap!$A$2:$R$9000,4,FALSE)</f>
        <v>ANGUS NEGRO</v>
      </c>
      <c r="M1627" s="15" t="str">
        <f>VLOOKUP(A1627,sinap!$A$2:$R$9000,5,FALSE)</f>
        <v>1 años 1 meses</v>
      </c>
      <c r="N1627" s="15" t="str">
        <f>VLOOKUP(A1627,sinap!$A$2:$R$9000,6,FALSE)</f>
        <v>05-12-2024</v>
      </c>
      <c r="O1627" s="15" t="str">
        <f>VLOOKUP(A1627,sinap!$A$2:$R$9000,7,FALSE)</f>
        <v>Vivo</v>
      </c>
      <c r="P1627" s="15" t="str">
        <f>VLOOKUP(A1627,sinap!$A$2:$R$9000,8,FALSE)</f>
        <v>11.1.01.0941</v>
      </c>
      <c r="Q1627" s="15" t="str">
        <f>VLOOKUP(A1627,sinap!$A$2:$R$9000,12,FALSE)</f>
        <v>11.2.01.0053</v>
      </c>
      <c r="R1627" s="15" t="str">
        <f>VLOOKUP(A1627,sinap!$A$2:$R$9000,16,FALSE)</f>
        <v>11.1.01.1241</v>
      </c>
      <c r="S1627" s="15" t="str">
        <f>VLOOKUP(A1627,sinap!$A$2:$Y$9000,20,FALSE)</f>
        <v>SI</v>
      </c>
      <c r="T1627" s="16">
        <v>45671</v>
      </c>
    </row>
    <row r="1628" spans="1:20" hidden="1" x14ac:dyDescent="0.25">
      <c r="A1628" s="15">
        <v>24567467</v>
      </c>
      <c r="I1628" s="16">
        <v>45887</v>
      </c>
      <c r="J1628" s="15" t="str">
        <f>VLOOKUP(A1628,sinap!$A$2:$R$9000,2,FALSE)</f>
        <v>H</v>
      </c>
      <c r="K1628" s="15" t="str">
        <f>VLOOKUP(A1628,sinap!$A$2:$R$9000,3,FALSE)</f>
        <v>VAQUILLA</v>
      </c>
      <c r="L1628" s="15" t="str">
        <f>VLOOKUP(A1628,sinap!$A$2:$R$9000,4,FALSE)</f>
        <v>ANGUS NEGRO</v>
      </c>
      <c r="M1628" s="15" t="str">
        <f>VLOOKUP(A1628,sinap!$A$2:$R$9000,5,FALSE)</f>
        <v>1 años 1 meses</v>
      </c>
      <c r="N1628" s="15" t="str">
        <f>VLOOKUP(A1628,sinap!$A$2:$R$9000,6,FALSE)</f>
        <v>05-12-2024</v>
      </c>
      <c r="O1628" s="15" t="str">
        <f>VLOOKUP(A1628,sinap!$A$2:$R$9000,7,FALSE)</f>
        <v>Vivo</v>
      </c>
      <c r="P1628" s="15" t="str">
        <f>VLOOKUP(A1628,sinap!$A$2:$R$9000,8,FALSE)</f>
        <v>11.1.01.0941</v>
      </c>
      <c r="Q1628" s="15" t="str">
        <f>VLOOKUP(A1628,sinap!$A$2:$R$9000,12,FALSE)</f>
        <v>11.2.01.0053</v>
      </c>
      <c r="R1628" s="15" t="str">
        <f>VLOOKUP(A1628,sinap!$A$2:$R$9000,16,FALSE)</f>
        <v>11.1.01.1241</v>
      </c>
      <c r="S1628" s="15" t="str">
        <f>VLOOKUP(A1628,sinap!$A$2:$Y$9000,20,FALSE)</f>
        <v>SI</v>
      </c>
      <c r="T1628" s="16">
        <v>45671</v>
      </c>
    </row>
    <row r="1629" spans="1:20" hidden="1" x14ac:dyDescent="0.25">
      <c r="A1629" s="15">
        <v>24567469</v>
      </c>
      <c r="J1629" s="15" t="str">
        <f>VLOOKUP(A1629,sinap!$A$2:$R$9000,2,FALSE)</f>
        <v>H</v>
      </c>
      <c r="K1629" s="15" t="str">
        <f>VLOOKUP(A1629,sinap!$A$2:$R$9000,3,FALSE)</f>
        <v>VAQUILLA</v>
      </c>
      <c r="L1629" s="15" t="str">
        <f>VLOOKUP(A1629,sinap!$A$2:$R$9000,4,FALSE)</f>
        <v>ANGUS ROJO</v>
      </c>
      <c r="M1629" s="15" t="str">
        <f>VLOOKUP(A1629,sinap!$A$2:$R$9000,5,FALSE)</f>
        <v>1 años 1 meses</v>
      </c>
      <c r="N1629" s="15" t="str">
        <f>VLOOKUP(A1629,sinap!$A$2:$R$9000,6,FALSE)</f>
        <v>05-12-2024</v>
      </c>
      <c r="O1629" s="15" t="str">
        <f>VLOOKUP(A1629,sinap!$A$2:$R$9000,7,FALSE)</f>
        <v>Vivo</v>
      </c>
      <c r="P1629" s="15" t="str">
        <f>VLOOKUP(A1629,sinap!$A$2:$R$9000,8,FALSE)</f>
        <v>11.1.01.0941</v>
      </c>
      <c r="Q1629" s="15" t="str">
        <f>VLOOKUP(A1629,sinap!$A$2:$R$9000,12,FALSE)</f>
        <v>11.2.01.0053</v>
      </c>
      <c r="R1629" s="15" t="str">
        <f>VLOOKUP(A1629,sinap!$A$2:$R$9000,16,FALSE)</f>
        <v>11.1.01.1241</v>
      </c>
      <c r="S1629" s="15" t="str">
        <f>VLOOKUP(A1629,sinap!$A$2:$Y$9000,20,FALSE)</f>
        <v>SI</v>
      </c>
      <c r="T1629" s="16">
        <v>45671</v>
      </c>
    </row>
    <row r="1630" spans="1:20" hidden="1" x14ac:dyDescent="0.25">
      <c r="A1630" s="15">
        <v>24567471</v>
      </c>
      <c r="I1630" s="16">
        <v>45887</v>
      </c>
      <c r="J1630" s="15" t="str">
        <f>VLOOKUP(A1630,sinap!$A$2:$R$9000,2,FALSE)</f>
        <v>H</v>
      </c>
      <c r="K1630" s="15" t="str">
        <f>VLOOKUP(A1630,sinap!$A$2:$R$9000,3,FALSE)</f>
        <v>VAQUILLA</v>
      </c>
      <c r="L1630" s="15" t="str">
        <f>VLOOKUP(A1630,sinap!$A$2:$R$9000,4,FALSE)</f>
        <v>ANGUS ROJO</v>
      </c>
      <c r="M1630" s="15" t="str">
        <f>VLOOKUP(A1630,sinap!$A$2:$R$9000,5,FALSE)</f>
        <v>1 años 1 meses</v>
      </c>
      <c r="N1630" s="15" t="str">
        <f>VLOOKUP(A1630,sinap!$A$2:$R$9000,6,FALSE)</f>
        <v>05-12-2024</v>
      </c>
      <c r="O1630" s="15" t="str">
        <f>VLOOKUP(A1630,sinap!$A$2:$R$9000,7,FALSE)</f>
        <v>Vivo</v>
      </c>
      <c r="P1630" s="15" t="str">
        <f>VLOOKUP(A1630,sinap!$A$2:$R$9000,8,FALSE)</f>
        <v>11.1.01.0941</v>
      </c>
      <c r="Q1630" s="15" t="str">
        <f>VLOOKUP(A1630,sinap!$A$2:$R$9000,12,FALSE)</f>
        <v>11.2.01.0053</v>
      </c>
      <c r="R1630" s="15" t="str">
        <f>VLOOKUP(A1630,sinap!$A$2:$R$9000,16,FALSE)</f>
        <v>11.1.01.1241</v>
      </c>
      <c r="S1630" s="15" t="str">
        <f>VLOOKUP(A1630,sinap!$A$2:$Y$9000,20,FALSE)</f>
        <v>SI</v>
      </c>
      <c r="T1630" s="16">
        <v>45671</v>
      </c>
    </row>
    <row r="1631" spans="1:20" hidden="1" x14ac:dyDescent="0.25">
      <c r="A1631" s="15">
        <v>24567472</v>
      </c>
      <c r="I1631" s="16">
        <v>45887</v>
      </c>
      <c r="J1631" s="15" t="str">
        <f>VLOOKUP(A1631,sinap!$A$2:$R$9000,2,FALSE)</f>
        <v>H</v>
      </c>
      <c r="K1631" s="15" t="str">
        <f>VLOOKUP(A1631,sinap!$A$2:$R$9000,3,FALSE)</f>
        <v>VAQUILLA</v>
      </c>
      <c r="L1631" s="15" t="str">
        <f>VLOOKUP(A1631,sinap!$A$2:$R$9000,4,FALSE)</f>
        <v>ANGUS ROJO</v>
      </c>
      <c r="M1631" s="15" t="str">
        <f>VLOOKUP(A1631,sinap!$A$2:$R$9000,5,FALSE)</f>
        <v>1 años 1 meses</v>
      </c>
      <c r="N1631" s="15" t="str">
        <f>VLOOKUP(A1631,sinap!$A$2:$R$9000,6,FALSE)</f>
        <v>05-12-2024</v>
      </c>
      <c r="O1631" s="15" t="str">
        <f>VLOOKUP(A1631,sinap!$A$2:$R$9000,7,FALSE)</f>
        <v>Vivo</v>
      </c>
      <c r="P1631" s="15" t="str">
        <f>VLOOKUP(A1631,sinap!$A$2:$R$9000,8,FALSE)</f>
        <v>11.1.01.0941</v>
      </c>
      <c r="Q1631" s="15" t="str">
        <f>VLOOKUP(A1631,sinap!$A$2:$R$9000,12,FALSE)</f>
        <v>11.2.01.0053</v>
      </c>
      <c r="R1631" s="15" t="str">
        <f>VLOOKUP(A1631,sinap!$A$2:$R$9000,16,FALSE)</f>
        <v>11.1.01.1241</v>
      </c>
      <c r="S1631" s="15" t="str">
        <f>VLOOKUP(A1631,sinap!$A$2:$Y$9000,20,FALSE)</f>
        <v>SI</v>
      </c>
      <c r="T1631" s="16">
        <v>45671</v>
      </c>
    </row>
    <row r="1632" spans="1:20" hidden="1" x14ac:dyDescent="0.25">
      <c r="A1632" s="15">
        <v>24567474</v>
      </c>
      <c r="J1632" s="15" t="str">
        <f>VLOOKUP(A1632,sinap!$A$2:$R$9000,2,FALSE)</f>
        <v>M</v>
      </c>
      <c r="K1632" s="15" t="str">
        <f>VLOOKUP(A1632,sinap!$A$2:$R$9000,3,FALSE)</f>
        <v>NOVILLO</v>
      </c>
      <c r="L1632" s="15" t="str">
        <f>VLOOKUP(A1632,sinap!$A$2:$R$9000,4,FALSE)</f>
        <v>ANGUS NEGRO</v>
      </c>
      <c r="M1632" s="15" t="str">
        <f>VLOOKUP(A1632,sinap!$A$2:$R$9000,5,FALSE)</f>
        <v>1 años 2 meses</v>
      </c>
      <c r="N1632" s="15" t="str">
        <f>VLOOKUP(A1632,sinap!$A$2:$R$9000,6,FALSE)</f>
        <v>05-11-2024</v>
      </c>
      <c r="O1632" s="15" t="str">
        <f>VLOOKUP(A1632,sinap!$A$2:$R$9000,7,FALSE)</f>
        <v>Vivo</v>
      </c>
      <c r="P1632" s="15" t="str">
        <f>VLOOKUP(A1632,sinap!$A$2:$R$9000,8,FALSE)</f>
        <v>11.1.01.2442</v>
      </c>
      <c r="Q1632" s="15" t="str">
        <f>VLOOKUP(A1632,sinap!$A$2:$R$9000,12,FALSE)</f>
        <v>11.1.01.0190</v>
      </c>
      <c r="R1632" s="15" t="str">
        <f>VLOOKUP(A1632,sinap!$A$2:$R$9000,16,FALSE)</f>
        <v>11.1.01.1241</v>
      </c>
      <c r="S1632" s="15" t="str">
        <f>VLOOKUP(A1632,sinap!$A$2:$Y$9000,20,FALSE)</f>
        <v>SI</v>
      </c>
      <c r="T1632" s="16">
        <v>45671</v>
      </c>
    </row>
    <row r="1633" spans="1:20" hidden="1" x14ac:dyDescent="0.25">
      <c r="A1633" s="15">
        <v>24567475</v>
      </c>
      <c r="I1633" s="16">
        <v>45887</v>
      </c>
      <c r="J1633" s="15" t="str">
        <f>VLOOKUP(A1633,sinap!$A$2:$R$9000,2,FALSE)</f>
        <v>H</v>
      </c>
      <c r="K1633" s="15" t="str">
        <f>VLOOKUP(A1633,sinap!$A$2:$R$9000,3,FALSE)</f>
        <v>VAQUILLA</v>
      </c>
      <c r="L1633" s="15" t="str">
        <f>VLOOKUP(A1633,sinap!$A$2:$R$9000,4,FALSE)</f>
        <v>ANGUS NEGRO</v>
      </c>
      <c r="M1633" s="15" t="str">
        <f>VLOOKUP(A1633,sinap!$A$2:$R$9000,5,FALSE)</f>
        <v>1 años 1 meses</v>
      </c>
      <c r="N1633" s="15" t="str">
        <f>VLOOKUP(A1633,sinap!$A$2:$R$9000,6,FALSE)</f>
        <v>30-11-2024</v>
      </c>
      <c r="O1633" s="15" t="str">
        <f>VLOOKUP(A1633,sinap!$A$2:$R$9000,7,FALSE)</f>
        <v>Vivo</v>
      </c>
      <c r="P1633" s="15" t="str">
        <f>VLOOKUP(A1633,sinap!$A$2:$R$9000,8,FALSE)</f>
        <v>11.1.01.0941</v>
      </c>
      <c r="Q1633" s="15" t="str">
        <f>VLOOKUP(A1633,sinap!$A$2:$R$9000,12,FALSE)</f>
        <v>11.2.01.0053</v>
      </c>
      <c r="R1633" s="15" t="str">
        <f>VLOOKUP(A1633,sinap!$A$2:$R$9000,16,FALSE)</f>
        <v>11.1.01.1241</v>
      </c>
      <c r="S1633" s="15" t="str">
        <f>VLOOKUP(A1633,sinap!$A$2:$Y$9000,20,FALSE)</f>
        <v>SI</v>
      </c>
      <c r="T1633" s="16">
        <v>45671</v>
      </c>
    </row>
    <row r="1634" spans="1:20" hidden="1" x14ac:dyDescent="0.25">
      <c r="A1634" s="15">
        <v>24567477</v>
      </c>
      <c r="J1634" s="15" t="str">
        <f>VLOOKUP(A1634,sinap!$A$2:$R$9000,2,FALSE)</f>
        <v>H</v>
      </c>
      <c r="K1634" s="15" t="str">
        <f>VLOOKUP(A1634,sinap!$A$2:$R$9000,3,FALSE)</f>
        <v>VAQUILLA</v>
      </c>
      <c r="L1634" s="15" t="str">
        <f>VLOOKUP(A1634,sinap!$A$2:$R$9000,4,FALSE)</f>
        <v>ANGUS NEGRO</v>
      </c>
      <c r="M1634" s="15" t="str">
        <f>VLOOKUP(A1634,sinap!$A$2:$R$9000,5,FALSE)</f>
        <v>1 años 0 meses</v>
      </c>
      <c r="N1634" s="15" t="str">
        <f>VLOOKUP(A1634,sinap!$A$2:$R$9000,6,FALSE)</f>
        <v>18-12-2024</v>
      </c>
      <c r="O1634" s="15" t="str">
        <f>VLOOKUP(A1634,sinap!$A$2:$R$9000,7,FALSE)</f>
        <v>Vivo</v>
      </c>
      <c r="P1634" s="15" t="str">
        <f>VLOOKUP(A1634,sinap!$A$2:$R$9000,8,FALSE)</f>
        <v>11.1.01.1241</v>
      </c>
      <c r="Q1634" s="15" t="str">
        <f>VLOOKUP(A1634,sinap!$A$2:$R$9000,12,FALSE)</f>
        <v>Sin Movimiento</v>
      </c>
      <c r="R1634" s="15" t="str">
        <f>VLOOKUP(A1634,sinap!$A$2:$R$9000,16,FALSE)</f>
        <v>11.1.01.1241</v>
      </c>
      <c r="S1634" s="15" t="str">
        <f>VLOOKUP(A1634,sinap!$A$2:$Y$9000,20,FALSE)</f>
        <v>SI</v>
      </c>
      <c r="T1634" s="16">
        <v>45671</v>
      </c>
    </row>
    <row r="1635" spans="1:20" hidden="1" x14ac:dyDescent="0.25">
      <c r="A1635" s="15">
        <v>24567479</v>
      </c>
      <c r="J1635" s="15" t="str">
        <f>VLOOKUP(A1635,sinap!$A$2:$R$9000,2,FALSE)</f>
        <v>H</v>
      </c>
      <c r="K1635" s="15" t="str">
        <f>VLOOKUP(A1635,sinap!$A$2:$R$9000,3,FALSE)</f>
        <v>VAQUILLA</v>
      </c>
      <c r="L1635" s="15" t="str">
        <f>VLOOKUP(A1635,sinap!$A$2:$R$9000,4,FALSE)</f>
        <v>ANGUS NEGRO</v>
      </c>
      <c r="M1635" s="15" t="str">
        <f>VLOOKUP(A1635,sinap!$A$2:$R$9000,5,FALSE)</f>
        <v>1 años 1 meses</v>
      </c>
      <c r="N1635" s="15" t="str">
        <f>VLOOKUP(A1635,sinap!$A$2:$R$9000,6,FALSE)</f>
        <v>30-11-2024</v>
      </c>
      <c r="O1635" s="15" t="str">
        <f>VLOOKUP(A1635,sinap!$A$2:$R$9000,7,FALSE)</f>
        <v>Vivo</v>
      </c>
      <c r="P1635" s="15" t="str">
        <f>VLOOKUP(A1635,sinap!$A$2:$R$9000,8,FALSE)</f>
        <v>11.1.01.2442</v>
      </c>
      <c r="Q1635" s="15" t="str">
        <f>VLOOKUP(A1635,sinap!$A$2:$R$9000,12,FALSE)</f>
        <v>11.1.01.0190</v>
      </c>
      <c r="R1635" s="15" t="str">
        <f>VLOOKUP(A1635,sinap!$A$2:$R$9000,16,FALSE)</f>
        <v>11.1.01.1241</v>
      </c>
      <c r="S1635" s="15" t="str">
        <f>VLOOKUP(A1635,sinap!$A$2:$Y$9000,20,FALSE)</f>
        <v>SI</v>
      </c>
      <c r="T1635" s="16">
        <v>45671</v>
      </c>
    </row>
    <row r="1636" spans="1:20" hidden="1" x14ac:dyDescent="0.25">
      <c r="A1636" s="15">
        <v>24567481</v>
      </c>
      <c r="J1636" s="15" t="str">
        <f>VLOOKUP(A1636,sinap!$A$2:$R$9000,2,FALSE)</f>
        <v>H</v>
      </c>
      <c r="K1636" s="15" t="str">
        <f>VLOOKUP(A1636,sinap!$A$2:$R$9000,3,FALSE)</f>
        <v>VAQUILLA</v>
      </c>
      <c r="L1636" s="15" t="str">
        <f>VLOOKUP(A1636,sinap!$A$2:$R$9000,4,FALSE)</f>
        <v>ANGUS NEGRO</v>
      </c>
      <c r="M1636" s="15" t="str">
        <f>VLOOKUP(A1636,sinap!$A$2:$R$9000,5,FALSE)</f>
        <v>1 años 1 meses</v>
      </c>
      <c r="N1636" s="15" t="str">
        <f>VLOOKUP(A1636,sinap!$A$2:$R$9000,6,FALSE)</f>
        <v>30-11-2024</v>
      </c>
      <c r="O1636" s="15" t="str">
        <f>VLOOKUP(A1636,sinap!$A$2:$R$9000,7,FALSE)</f>
        <v>Vivo</v>
      </c>
      <c r="P1636" s="15" t="str">
        <f>VLOOKUP(A1636,sinap!$A$2:$R$9000,8,FALSE)</f>
        <v>11.1.01.0941</v>
      </c>
      <c r="Q1636" s="15" t="str">
        <f>VLOOKUP(A1636,sinap!$A$2:$R$9000,12,FALSE)</f>
        <v>11.2.01.0053</v>
      </c>
      <c r="R1636" s="15" t="str">
        <f>VLOOKUP(A1636,sinap!$A$2:$R$9000,16,FALSE)</f>
        <v>11.1.01.1241</v>
      </c>
      <c r="S1636" s="15" t="str">
        <f>VLOOKUP(A1636,sinap!$A$2:$Y$9000,20,FALSE)</f>
        <v>SI</v>
      </c>
      <c r="T1636" s="16">
        <v>45671</v>
      </c>
    </row>
    <row r="1637" spans="1:20" hidden="1" x14ac:dyDescent="0.25">
      <c r="A1637" s="15">
        <v>24567486</v>
      </c>
      <c r="I1637" s="16">
        <v>45887</v>
      </c>
      <c r="J1637" s="15" t="str">
        <f>VLOOKUP(A1637,sinap!$A$2:$R$9000,2,FALSE)</f>
        <v>H</v>
      </c>
      <c r="K1637" s="15" t="str">
        <f>VLOOKUP(A1637,sinap!$A$2:$R$9000,3,FALSE)</f>
        <v>VAQUILLA</v>
      </c>
      <c r="L1637" s="15" t="str">
        <f>VLOOKUP(A1637,sinap!$A$2:$R$9000,4,FALSE)</f>
        <v>ANGUS NEGRO</v>
      </c>
      <c r="M1637" s="15" t="str">
        <f>VLOOKUP(A1637,sinap!$A$2:$R$9000,5,FALSE)</f>
        <v>1 años 1 meses</v>
      </c>
      <c r="N1637" s="15" t="str">
        <f>VLOOKUP(A1637,sinap!$A$2:$R$9000,6,FALSE)</f>
        <v>05-12-2024</v>
      </c>
      <c r="O1637" s="15" t="str">
        <f>VLOOKUP(A1637,sinap!$A$2:$R$9000,7,FALSE)</f>
        <v>Vivo</v>
      </c>
      <c r="P1637" s="15" t="str">
        <f>VLOOKUP(A1637,sinap!$A$2:$R$9000,8,FALSE)</f>
        <v>11.1.01.0941</v>
      </c>
      <c r="Q1637" s="15" t="str">
        <f>VLOOKUP(A1637,sinap!$A$2:$R$9000,12,FALSE)</f>
        <v>11.2.01.0053</v>
      </c>
      <c r="R1637" s="15" t="str">
        <f>VLOOKUP(A1637,sinap!$A$2:$R$9000,16,FALSE)</f>
        <v>11.1.01.1241</v>
      </c>
      <c r="S1637" s="15" t="str">
        <f>VLOOKUP(A1637,sinap!$A$2:$Y$9000,20,FALSE)</f>
        <v>SI</v>
      </c>
      <c r="T1637" s="16">
        <v>45671</v>
      </c>
    </row>
    <row r="1638" spans="1:20" hidden="1" x14ac:dyDescent="0.25">
      <c r="A1638" s="15">
        <v>24567490</v>
      </c>
      <c r="I1638" s="16">
        <v>45887</v>
      </c>
      <c r="J1638" s="15" t="str">
        <f>VLOOKUP(A1638,sinap!$A$2:$R$9000,2,FALSE)</f>
        <v>H</v>
      </c>
      <c r="K1638" s="15" t="str">
        <f>VLOOKUP(A1638,sinap!$A$2:$R$9000,3,FALSE)</f>
        <v>VAQUILLA</v>
      </c>
      <c r="L1638" s="15" t="str">
        <f>VLOOKUP(A1638,sinap!$A$2:$R$9000,4,FALSE)</f>
        <v>ANGUS NEGRO</v>
      </c>
      <c r="M1638" s="15" t="str">
        <f>VLOOKUP(A1638,sinap!$A$2:$R$9000,5,FALSE)</f>
        <v>1 años 1 meses</v>
      </c>
      <c r="N1638" s="15" t="str">
        <f>VLOOKUP(A1638,sinap!$A$2:$R$9000,6,FALSE)</f>
        <v>05-12-2024</v>
      </c>
      <c r="O1638" s="15" t="str">
        <f>VLOOKUP(A1638,sinap!$A$2:$R$9000,7,FALSE)</f>
        <v>Vivo</v>
      </c>
      <c r="P1638" s="15" t="str">
        <f>VLOOKUP(A1638,sinap!$A$2:$R$9000,8,FALSE)</f>
        <v>11.1.01.0941</v>
      </c>
      <c r="Q1638" s="15" t="str">
        <f>VLOOKUP(A1638,sinap!$A$2:$R$9000,12,FALSE)</f>
        <v>11.2.01.0053</v>
      </c>
      <c r="R1638" s="15" t="str">
        <f>VLOOKUP(A1638,sinap!$A$2:$R$9000,16,FALSE)</f>
        <v>11.1.01.1241</v>
      </c>
      <c r="S1638" s="15" t="str">
        <f>VLOOKUP(A1638,sinap!$A$2:$Y$9000,20,FALSE)</f>
        <v>SI</v>
      </c>
      <c r="T1638" s="16">
        <v>45671</v>
      </c>
    </row>
    <row r="1639" spans="1:20" hidden="1" x14ac:dyDescent="0.25">
      <c r="A1639" s="15">
        <v>24567495</v>
      </c>
      <c r="I1639" s="16">
        <v>45815</v>
      </c>
      <c r="J1639" s="15" t="str">
        <f>VLOOKUP(A1639,sinap!$A$2:$R$9000,2,FALSE)</f>
        <v>H</v>
      </c>
      <c r="K1639" s="15" t="str">
        <f>VLOOKUP(A1639,sinap!$A$2:$R$9000,3,FALSE)</f>
        <v>VAQUILLA</v>
      </c>
      <c r="L1639" s="15" t="str">
        <f>VLOOKUP(A1639,sinap!$A$2:$R$9000,4,FALSE)</f>
        <v>ANGUS NEGRO</v>
      </c>
      <c r="M1639" s="15" t="str">
        <f>VLOOKUP(A1639,sinap!$A$2:$R$9000,5,FALSE)</f>
        <v>1 años 4 meses</v>
      </c>
      <c r="N1639" s="15" t="str">
        <f>VLOOKUP(A1639,sinap!$A$2:$R$9000,6,FALSE)</f>
        <v>15-09-2024</v>
      </c>
      <c r="O1639" s="15" t="str">
        <f>VLOOKUP(A1639,sinap!$A$2:$R$9000,7,FALSE)</f>
        <v>Vivo</v>
      </c>
      <c r="P1639" s="15" t="str">
        <f>VLOOKUP(A1639,sinap!$A$2:$R$9000,8,FALSE)</f>
        <v>11.1.01.0941</v>
      </c>
      <c r="Q1639" s="15" t="str">
        <f>VLOOKUP(A1639,sinap!$A$2:$R$9000,12,FALSE)</f>
        <v>11.1.01.0893</v>
      </c>
      <c r="R1639" s="15" t="str">
        <f>VLOOKUP(A1639,sinap!$A$2:$R$9000,16,FALSE)</f>
        <v>11.1.01.0893</v>
      </c>
      <c r="S1639" s="15" t="str">
        <f>VLOOKUP(A1639,sinap!$A$2:$Y$9000,20,FALSE)</f>
        <v>SI</v>
      </c>
      <c r="T1639" s="16">
        <v>45674</v>
      </c>
    </row>
    <row r="1640" spans="1:20" hidden="1" x14ac:dyDescent="0.25">
      <c r="A1640" s="15">
        <v>24567496</v>
      </c>
      <c r="I1640" s="16">
        <v>45815</v>
      </c>
      <c r="J1640" s="15" t="str">
        <f>VLOOKUP(A1640,sinap!$A$2:$R$9000,2,FALSE)</f>
        <v>H</v>
      </c>
      <c r="K1640" s="15" t="str">
        <f>VLOOKUP(A1640,sinap!$A$2:$R$9000,3,FALSE)</f>
        <v>VAQUILLA</v>
      </c>
      <c r="L1640" s="15" t="str">
        <f>VLOOKUP(A1640,sinap!$A$2:$R$9000,4,FALSE)</f>
        <v>ANGUS NEGRO</v>
      </c>
      <c r="M1640" s="15" t="str">
        <f>VLOOKUP(A1640,sinap!$A$2:$R$9000,5,FALSE)</f>
        <v>1 años 4 meses</v>
      </c>
      <c r="N1640" s="15" t="str">
        <f>VLOOKUP(A1640,sinap!$A$2:$R$9000,6,FALSE)</f>
        <v>15-09-2024</v>
      </c>
      <c r="O1640" s="15" t="str">
        <f>VLOOKUP(A1640,sinap!$A$2:$R$9000,7,FALSE)</f>
        <v>Vivo</v>
      </c>
      <c r="P1640" s="15" t="str">
        <f>VLOOKUP(A1640,sinap!$A$2:$R$9000,8,FALSE)</f>
        <v>11.1.01.0941</v>
      </c>
      <c r="Q1640" s="15" t="str">
        <f>VLOOKUP(A1640,sinap!$A$2:$R$9000,12,FALSE)</f>
        <v>11.1.01.0893</v>
      </c>
      <c r="R1640" s="15" t="str">
        <f>VLOOKUP(A1640,sinap!$A$2:$R$9000,16,FALSE)</f>
        <v>11.1.01.0893</v>
      </c>
      <c r="S1640" s="15" t="str">
        <f>VLOOKUP(A1640,sinap!$A$2:$Y$9000,20,FALSE)</f>
        <v>SI</v>
      </c>
      <c r="T1640" s="16">
        <v>45674</v>
      </c>
    </row>
    <row r="1641" spans="1:20" hidden="1" x14ac:dyDescent="0.25">
      <c r="A1641" s="15">
        <v>24567500</v>
      </c>
      <c r="I1641" s="16">
        <v>45815</v>
      </c>
      <c r="J1641" s="15" t="str">
        <f>VLOOKUP(A1641,sinap!$A$2:$R$9000,2,FALSE)</f>
        <v>H</v>
      </c>
      <c r="K1641" s="15" t="str">
        <f>VLOOKUP(A1641,sinap!$A$2:$R$9000,3,FALSE)</f>
        <v>VAQUILLA</v>
      </c>
      <c r="L1641" s="15" t="str">
        <f>VLOOKUP(A1641,sinap!$A$2:$R$9000,4,FALSE)</f>
        <v>ANGUS NEGRO</v>
      </c>
      <c r="M1641" s="15" t="str">
        <f>VLOOKUP(A1641,sinap!$A$2:$R$9000,5,FALSE)</f>
        <v>1 años 4 meses</v>
      </c>
      <c r="N1641" s="15" t="str">
        <f>VLOOKUP(A1641,sinap!$A$2:$R$9000,6,FALSE)</f>
        <v>15-09-2024</v>
      </c>
      <c r="O1641" s="15" t="str">
        <f>VLOOKUP(A1641,sinap!$A$2:$R$9000,7,FALSE)</f>
        <v>Vivo</v>
      </c>
      <c r="P1641" s="15" t="str">
        <f>VLOOKUP(A1641,sinap!$A$2:$R$9000,8,FALSE)</f>
        <v>11.1.01.0941</v>
      </c>
      <c r="Q1641" s="15" t="str">
        <f>VLOOKUP(A1641,sinap!$A$2:$R$9000,12,FALSE)</f>
        <v>11.1.01.0893</v>
      </c>
      <c r="R1641" s="15" t="str">
        <f>VLOOKUP(A1641,sinap!$A$2:$R$9000,16,FALSE)</f>
        <v>11.1.01.0893</v>
      </c>
      <c r="S1641" s="15" t="str">
        <f>VLOOKUP(A1641,sinap!$A$2:$Y$9000,20,FALSE)</f>
        <v>SI</v>
      </c>
      <c r="T1641" s="16">
        <v>45674</v>
      </c>
    </row>
    <row r="1642" spans="1:20" hidden="1" x14ac:dyDescent="0.25">
      <c r="A1642" s="15">
        <v>24567502</v>
      </c>
      <c r="I1642" s="16">
        <v>45815</v>
      </c>
      <c r="J1642" s="15" t="str">
        <f>VLOOKUP(A1642,sinap!$A$2:$R$9000,2,FALSE)</f>
        <v>H</v>
      </c>
      <c r="K1642" s="15" t="str">
        <f>VLOOKUP(A1642,sinap!$A$2:$R$9000,3,FALSE)</f>
        <v>VAQUILLA</v>
      </c>
      <c r="L1642" s="15" t="str">
        <f>VLOOKUP(A1642,sinap!$A$2:$R$9000,4,FALSE)</f>
        <v>ANGUS NEGRO</v>
      </c>
      <c r="M1642" s="15" t="str">
        <f>VLOOKUP(A1642,sinap!$A$2:$R$9000,5,FALSE)</f>
        <v>1 años 4 meses</v>
      </c>
      <c r="N1642" s="15" t="str">
        <f>VLOOKUP(A1642,sinap!$A$2:$R$9000,6,FALSE)</f>
        <v>15-09-2024</v>
      </c>
      <c r="O1642" s="15" t="str">
        <f>VLOOKUP(A1642,sinap!$A$2:$R$9000,7,FALSE)</f>
        <v>Vivo</v>
      </c>
      <c r="P1642" s="15" t="str">
        <f>VLOOKUP(A1642,sinap!$A$2:$R$9000,8,FALSE)</f>
        <v>11.1.01.0941</v>
      </c>
      <c r="Q1642" s="15" t="str">
        <f>VLOOKUP(A1642,sinap!$A$2:$R$9000,12,FALSE)</f>
        <v>11.1.01.0893</v>
      </c>
      <c r="R1642" s="15" t="str">
        <f>VLOOKUP(A1642,sinap!$A$2:$R$9000,16,FALSE)</f>
        <v>11.1.01.0893</v>
      </c>
      <c r="S1642" s="15" t="str">
        <f>VLOOKUP(A1642,sinap!$A$2:$Y$9000,20,FALSE)</f>
        <v>SI</v>
      </c>
      <c r="T1642" s="16">
        <v>45674</v>
      </c>
    </row>
    <row r="1643" spans="1:20" hidden="1" x14ac:dyDescent="0.25">
      <c r="A1643" s="15">
        <v>24567504</v>
      </c>
      <c r="I1643" s="16">
        <v>45815</v>
      </c>
      <c r="J1643" s="15" t="str">
        <f>VLOOKUP(A1643,sinap!$A$2:$R$9000,2,FALSE)</f>
        <v>H</v>
      </c>
      <c r="K1643" s="15" t="str">
        <f>VLOOKUP(A1643,sinap!$A$2:$R$9000,3,FALSE)</f>
        <v>VAQUILLA</v>
      </c>
      <c r="L1643" s="15" t="str">
        <f>VLOOKUP(A1643,sinap!$A$2:$R$9000,4,FALSE)</f>
        <v>ANGUS NEGRO</v>
      </c>
      <c r="M1643" s="15" t="str">
        <f>VLOOKUP(A1643,sinap!$A$2:$R$9000,5,FALSE)</f>
        <v>1 años 4 meses</v>
      </c>
      <c r="N1643" s="15" t="str">
        <f>VLOOKUP(A1643,sinap!$A$2:$R$9000,6,FALSE)</f>
        <v>15-09-2024</v>
      </c>
      <c r="O1643" s="15" t="str">
        <f>VLOOKUP(A1643,sinap!$A$2:$R$9000,7,FALSE)</f>
        <v>Vivo</v>
      </c>
      <c r="P1643" s="15" t="str">
        <f>VLOOKUP(A1643,sinap!$A$2:$R$9000,8,FALSE)</f>
        <v>11.1.01.0941</v>
      </c>
      <c r="Q1643" s="15" t="str">
        <f>VLOOKUP(A1643,sinap!$A$2:$R$9000,12,FALSE)</f>
        <v>11.1.01.0893</v>
      </c>
      <c r="R1643" s="15" t="str">
        <f>VLOOKUP(A1643,sinap!$A$2:$R$9000,16,FALSE)</f>
        <v>11.1.01.0893</v>
      </c>
      <c r="S1643" s="15" t="str">
        <f>VLOOKUP(A1643,sinap!$A$2:$Y$9000,20,FALSE)</f>
        <v>SI</v>
      </c>
      <c r="T1643" s="16">
        <v>45674</v>
      </c>
    </row>
    <row r="1644" spans="1:20" hidden="1" x14ac:dyDescent="0.25">
      <c r="A1644" s="15">
        <v>24567507</v>
      </c>
      <c r="I1644" s="16">
        <v>45815</v>
      </c>
      <c r="J1644" s="15" t="str">
        <f>VLOOKUP(A1644,sinap!$A$2:$R$9000,2,FALSE)</f>
        <v>H</v>
      </c>
      <c r="K1644" s="15" t="str">
        <f>VLOOKUP(A1644,sinap!$A$2:$R$9000,3,FALSE)</f>
        <v>VAQUILLA</v>
      </c>
      <c r="L1644" s="15" t="str">
        <f>VLOOKUP(A1644,sinap!$A$2:$R$9000,4,FALSE)</f>
        <v>ANGUS NEGRO</v>
      </c>
      <c r="M1644" s="15" t="str">
        <f>VLOOKUP(A1644,sinap!$A$2:$R$9000,5,FALSE)</f>
        <v>1 años 4 meses</v>
      </c>
      <c r="N1644" s="15" t="str">
        <f>VLOOKUP(A1644,sinap!$A$2:$R$9000,6,FALSE)</f>
        <v>15-09-2024</v>
      </c>
      <c r="O1644" s="15" t="str">
        <f>VLOOKUP(A1644,sinap!$A$2:$R$9000,7,FALSE)</f>
        <v>Vivo</v>
      </c>
      <c r="P1644" s="15" t="str">
        <f>VLOOKUP(A1644,sinap!$A$2:$R$9000,8,FALSE)</f>
        <v>11.1.01.0941</v>
      </c>
      <c r="Q1644" s="15" t="str">
        <f>VLOOKUP(A1644,sinap!$A$2:$R$9000,12,FALSE)</f>
        <v>11.1.01.0893</v>
      </c>
      <c r="R1644" s="15" t="str">
        <f>VLOOKUP(A1644,sinap!$A$2:$R$9000,16,FALSE)</f>
        <v>11.1.01.0893</v>
      </c>
      <c r="S1644" s="15" t="str">
        <f>VLOOKUP(A1644,sinap!$A$2:$Y$9000,20,FALSE)</f>
        <v>SI</v>
      </c>
      <c r="T1644" s="16">
        <v>45674</v>
      </c>
    </row>
    <row r="1645" spans="1:20" hidden="1" x14ac:dyDescent="0.25">
      <c r="A1645" s="15">
        <v>24567508</v>
      </c>
      <c r="I1645" s="16">
        <v>45815</v>
      </c>
      <c r="J1645" s="15" t="str">
        <f>VLOOKUP(A1645,sinap!$A$2:$R$9000,2,FALSE)</f>
        <v>no existe</v>
      </c>
      <c r="K1645" s="15" t="str">
        <f>VLOOKUP(A1645,sinap!$A$2:$R$9000,3,FALSE)</f>
        <v>no existe</v>
      </c>
      <c r="L1645" s="15" t="str">
        <f>VLOOKUP(A1645,sinap!$A$2:$R$9000,4,FALSE)</f>
        <v>no existe</v>
      </c>
      <c r="M1645" s="15" t="str">
        <f>VLOOKUP(A1645,sinap!$A$2:$R$9000,5,FALSE)</f>
        <v>no existe</v>
      </c>
      <c r="N1645" s="15" t="str">
        <f>VLOOKUP(A1645,sinap!$A$2:$R$9000,6,FALSE)</f>
        <v>no existe</v>
      </c>
      <c r="O1645" s="15" t="str">
        <f>VLOOKUP(A1645,sinap!$A$2:$R$9000,7,FALSE)</f>
        <v>no existe</v>
      </c>
      <c r="P1645" s="15" t="str">
        <f>VLOOKUP(A1645,sinap!$A$2:$R$9000,8,FALSE)</f>
        <v>no existe</v>
      </c>
      <c r="Q1645" s="15" t="str">
        <f>VLOOKUP(A1645,sinap!$A$2:$R$9000,12,FALSE)</f>
        <v>no existe</v>
      </c>
      <c r="R1645" s="15" t="str">
        <f>VLOOKUP(A1645,sinap!$A$2:$R$9000,16,FALSE)</f>
        <v>no existe</v>
      </c>
      <c r="S1645" s="15" t="str">
        <f>VLOOKUP(A1645,sinap!$A$2:$Y$9000,20,FALSE)</f>
        <v>no existe</v>
      </c>
      <c r="T1645" s="16">
        <v>45674</v>
      </c>
    </row>
    <row r="1646" spans="1:20" hidden="1" x14ac:dyDescent="0.25">
      <c r="A1646" s="15">
        <v>24567509</v>
      </c>
      <c r="I1646" s="16">
        <v>45815</v>
      </c>
      <c r="J1646" s="15" t="str">
        <f>VLOOKUP(A1646,sinap!$A$2:$R$9000,2,FALSE)</f>
        <v>H</v>
      </c>
      <c r="K1646" s="15" t="str">
        <f>VLOOKUP(A1646,sinap!$A$2:$R$9000,3,FALSE)</f>
        <v>VAQUILLA</v>
      </c>
      <c r="L1646" s="15" t="str">
        <f>VLOOKUP(A1646,sinap!$A$2:$R$9000,4,FALSE)</f>
        <v>ANGUS NEGRO</v>
      </c>
      <c r="M1646" s="15" t="str">
        <f>VLOOKUP(A1646,sinap!$A$2:$R$9000,5,FALSE)</f>
        <v>1 años 4 meses</v>
      </c>
      <c r="N1646" s="15" t="str">
        <f>VLOOKUP(A1646,sinap!$A$2:$R$9000,6,FALSE)</f>
        <v>15-09-2024</v>
      </c>
      <c r="O1646" s="15" t="str">
        <f>VLOOKUP(A1646,sinap!$A$2:$R$9000,7,FALSE)</f>
        <v>Vivo</v>
      </c>
      <c r="P1646" s="15" t="str">
        <f>VLOOKUP(A1646,sinap!$A$2:$R$9000,8,FALSE)</f>
        <v>11.1.01.0941</v>
      </c>
      <c r="Q1646" s="15" t="str">
        <f>VLOOKUP(A1646,sinap!$A$2:$R$9000,12,FALSE)</f>
        <v>11.1.01.0893</v>
      </c>
      <c r="R1646" s="15" t="str">
        <f>VLOOKUP(A1646,sinap!$A$2:$R$9000,16,FALSE)</f>
        <v>11.1.01.0893</v>
      </c>
      <c r="S1646" s="15" t="str">
        <f>VLOOKUP(A1646,sinap!$A$2:$Y$9000,20,FALSE)</f>
        <v>SI</v>
      </c>
      <c r="T1646" s="16">
        <v>45674</v>
      </c>
    </row>
    <row r="1647" spans="1:20" hidden="1" x14ac:dyDescent="0.25">
      <c r="A1647" s="15">
        <v>24567510</v>
      </c>
      <c r="I1647" s="16">
        <v>45815</v>
      </c>
      <c r="J1647" s="15" t="str">
        <f>VLOOKUP(A1647,sinap!$A$2:$R$9000,2,FALSE)</f>
        <v>H</v>
      </c>
      <c r="K1647" s="15" t="str">
        <f>VLOOKUP(A1647,sinap!$A$2:$R$9000,3,FALSE)</f>
        <v>VAQUILLA</v>
      </c>
      <c r="L1647" s="15" t="str">
        <f>VLOOKUP(A1647,sinap!$A$2:$R$9000,4,FALSE)</f>
        <v>ANGUS NEGRO</v>
      </c>
      <c r="M1647" s="15" t="str">
        <f>VLOOKUP(A1647,sinap!$A$2:$R$9000,5,FALSE)</f>
        <v>1 años 4 meses</v>
      </c>
      <c r="N1647" s="15" t="str">
        <f>VLOOKUP(A1647,sinap!$A$2:$R$9000,6,FALSE)</f>
        <v>15-09-2024</v>
      </c>
      <c r="O1647" s="15" t="str">
        <f>VLOOKUP(A1647,sinap!$A$2:$R$9000,7,FALSE)</f>
        <v>Vivo</v>
      </c>
      <c r="P1647" s="15" t="str">
        <f>VLOOKUP(A1647,sinap!$A$2:$R$9000,8,FALSE)</f>
        <v>11.1.01.0941</v>
      </c>
      <c r="Q1647" s="15" t="str">
        <f>VLOOKUP(A1647,sinap!$A$2:$R$9000,12,FALSE)</f>
        <v>11.1.01.0893</v>
      </c>
      <c r="R1647" s="15" t="str">
        <f>VLOOKUP(A1647,sinap!$A$2:$R$9000,16,FALSE)</f>
        <v>11.1.01.0893</v>
      </c>
      <c r="S1647" s="15" t="str">
        <f>VLOOKUP(A1647,sinap!$A$2:$Y$9000,20,FALSE)</f>
        <v>SI</v>
      </c>
      <c r="T1647" s="16">
        <v>45674</v>
      </c>
    </row>
    <row r="1648" spans="1:20" hidden="1" x14ac:dyDescent="0.25">
      <c r="A1648" s="15">
        <v>24567511</v>
      </c>
      <c r="I1648" s="16">
        <v>45815</v>
      </c>
      <c r="J1648" s="15" t="str">
        <f>VLOOKUP(A1648,sinap!$A$2:$R$9000,2,FALSE)</f>
        <v>H</v>
      </c>
      <c r="K1648" s="15" t="str">
        <f>VLOOKUP(A1648,sinap!$A$2:$R$9000,3,FALSE)</f>
        <v>VAQUILLA</v>
      </c>
      <c r="L1648" s="15" t="str">
        <f>VLOOKUP(A1648,sinap!$A$2:$R$9000,4,FALSE)</f>
        <v>ANGUS NEGRO</v>
      </c>
      <c r="M1648" s="15" t="str">
        <f>VLOOKUP(A1648,sinap!$A$2:$R$9000,5,FALSE)</f>
        <v>1 años 4 meses</v>
      </c>
      <c r="N1648" s="15" t="str">
        <f>VLOOKUP(A1648,sinap!$A$2:$R$9000,6,FALSE)</f>
        <v>15-09-2024</v>
      </c>
      <c r="O1648" s="15" t="str">
        <f>VLOOKUP(A1648,sinap!$A$2:$R$9000,7,FALSE)</f>
        <v>Vivo</v>
      </c>
      <c r="P1648" s="15" t="str">
        <f>VLOOKUP(A1648,sinap!$A$2:$R$9000,8,FALSE)</f>
        <v>11.1.01.0941</v>
      </c>
      <c r="Q1648" s="15" t="str">
        <f>VLOOKUP(A1648,sinap!$A$2:$R$9000,12,FALSE)</f>
        <v>11.1.01.0893</v>
      </c>
      <c r="R1648" s="15" t="str">
        <f>VLOOKUP(A1648,sinap!$A$2:$R$9000,16,FALSE)</f>
        <v>11.1.01.0893</v>
      </c>
      <c r="S1648" s="15" t="str">
        <f>VLOOKUP(A1648,sinap!$A$2:$Y$9000,20,FALSE)</f>
        <v>SI</v>
      </c>
      <c r="T1648" s="16">
        <v>45674</v>
      </c>
    </row>
    <row r="1649" spans="1:20" hidden="1" x14ac:dyDescent="0.25">
      <c r="A1649" s="15">
        <v>24567514</v>
      </c>
      <c r="I1649" s="16">
        <v>45815</v>
      </c>
      <c r="J1649" s="15" t="str">
        <f>VLOOKUP(A1649,sinap!$A$2:$R$9000,2,FALSE)</f>
        <v>H</v>
      </c>
      <c r="K1649" s="15" t="str">
        <f>VLOOKUP(A1649,sinap!$A$2:$R$9000,3,FALSE)</f>
        <v>VAQUILLA</v>
      </c>
      <c r="L1649" s="15" t="str">
        <f>VLOOKUP(A1649,sinap!$A$2:$R$9000,4,FALSE)</f>
        <v>ANGUS NEGRO</v>
      </c>
      <c r="M1649" s="15" t="str">
        <f>VLOOKUP(A1649,sinap!$A$2:$R$9000,5,FALSE)</f>
        <v>1 años 4 meses</v>
      </c>
      <c r="N1649" s="15" t="str">
        <f>VLOOKUP(A1649,sinap!$A$2:$R$9000,6,FALSE)</f>
        <v>15-09-2024</v>
      </c>
      <c r="O1649" s="15" t="str">
        <f>VLOOKUP(A1649,sinap!$A$2:$R$9000,7,FALSE)</f>
        <v>Vivo</v>
      </c>
      <c r="P1649" s="15" t="str">
        <f>VLOOKUP(A1649,sinap!$A$2:$R$9000,8,FALSE)</f>
        <v>11.1.01.0941</v>
      </c>
      <c r="Q1649" s="15" t="str">
        <f>VLOOKUP(A1649,sinap!$A$2:$R$9000,12,FALSE)</f>
        <v>11.1.01.0893</v>
      </c>
      <c r="R1649" s="15" t="str">
        <f>VLOOKUP(A1649,sinap!$A$2:$R$9000,16,FALSE)</f>
        <v>11.1.01.0893</v>
      </c>
      <c r="S1649" s="15" t="str">
        <f>VLOOKUP(A1649,sinap!$A$2:$Y$9000,20,FALSE)</f>
        <v>SI</v>
      </c>
      <c r="T1649" s="16">
        <v>45674</v>
      </c>
    </row>
    <row r="1650" spans="1:20" hidden="1" x14ac:dyDescent="0.25">
      <c r="A1650" s="15">
        <v>24567516</v>
      </c>
      <c r="I1650" s="16">
        <v>45815</v>
      </c>
      <c r="J1650" s="15" t="str">
        <f>VLOOKUP(A1650,sinap!$A$2:$R$9000,2,FALSE)</f>
        <v>H</v>
      </c>
      <c r="K1650" s="15" t="str">
        <f>VLOOKUP(A1650,sinap!$A$2:$R$9000,3,FALSE)</f>
        <v>VAQUILLA</v>
      </c>
      <c r="L1650" s="15" t="str">
        <f>VLOOKUP(A1650,sinap!$A$2:$R$9000,4,FALSE)</f>
        <v>ANGUS NEGRO</v>
      </c>
      <c r="M1650" s="15" t="str">
        <f>VLOOKUP(A1650,sinap!$A$2:$R$9000,5,FALSE)</f>
        <v>1 años 4 meses</v>
      </c>
      <c r="N1650" s="15" t="str">
        <f>VLOOKUP(A1650,sinap!$A$2:$R$9000,6,FALSE)</f>
        <v>15-09-2024</v>
      </c>
      <c r="O1650" s="15" t="str">
        <f>VLOOKUP(A1650,sinap!$A$2:$R$9000,7,FALSE)</f>
        <v>Vivo</v>
      </c>
      <c r="P1650" s="15" t="str">
        <f>VLOOKUP(A1650,sinap!$A$2:$R$9000,8,FALSE)</f>
        <v>11.1.01.0941</v>
      </c>
      <c r="Q1650" s="15" t="str">
        <f>VLOOKUP(A1650,sinap!$A$2:$R$9000,12,FALSE)</f>
        <v>11.1.01.0893</v>
      </c>
      <c r="R1650" s="15" t="str">
        <f>VLOOKUP(A1650,sinap!$A$2:$R$9000,16,FALSE)</f>
        <v>11.1.01.0893</v>
      </c>
      <c r="S1650" s="15" t="str">
        <f>VLOOKUP(A1650,sinap!$A$2:$Y$9000,20,FALSE)</f>
        <v>SI</v>
      </c>
      <c r="T1650" s="16">
        <v>45674</v>
      </c>
    </row>
    <row r="1651" spans="1:20" hidden="1" x14ac:dyDescent="0.25">
      <c r="A1651" s="15">
        <v>24567518</v>
      </c>
      <c r="I1651" s="16">
        <v>45815</v>
      </c>
      <c r="J1651" s="15" t="str">
        <f>VLOOKUP(A1651,sinap!$A$2:$R$9000,2,FALSE)</f>
        <v>H</v>
      </c>
      <c r="K1651" s="15" t="str">
        <f>VLOOKUP(A1651,sinap!$A$2:$R$9000,3,FALSE)</f>
        <v>VAQUILLA</v>
      </c>
      <c r="L1651" s="15" t="str">
        <f>VLOOKUP(A1651,sinap!$A$2:$R$9000,4,FALSE)</f>
        <v>ANGUS NEGRO</v>
      </c>
      <c r="M1651" s="15" t="str">
        <f>VLOOKUP(A1651,sinap!$A$2:$R$9000,5,FALSE)</f>
        <v>1 años 4 meses</v>
      </c>
      <c r="N1651" s="15" t="str">
        <f>VLOOKUP(A1651,sinap!$A$2:$R$9000,6,FALSE)</f>
        <v>15-09-2024</v>
      </c>
      <c r="O1651" s="15" t="str">
        <f>VLOOKUP(A1651,sinap!$A$2:$R$9000,7,FALSE)</f>
        <v>Vivo</v>
      </c>
      <c r="P1651" s="15" t="str">
        <f>VLOOKUP(A1651,sinap!$A$2:$R$9000,8,FALSE)</f>
        <v>11.1.01.0941</v>
      </c>
      <c r="Q1651" s="15" t="str">
        <f>VLOOKUP(A1651,sinap!$A$2:$R$9000,12,FALSE)</f>
        <v>11.1.01.0893</v>
      </c>
      <c r="R1651" s="15" t="str">
        <f>VLOOKUP(A1651,sinap!$A$2:$R$9000,16,FALSE)</f>
        <v>11.1.01.0893</v>
      </c>
      <c r="S1651" s="15" t="str">
        <f>VLOOKUP(A1651,sinap!$A$2:$Y$9000,20,FALSE)</f>
        <v>SI</v>
      </c>
      <c r="T1651" s="16">
        <v>45674</v>
      </c>
    </row>
    <row r="1652" spans="1:20" hidden="1" x14ac:dyDescent="0.25">
      <c r="A1652" s="15">
        <v>24567521</v>
      </c>
      <c r="I1652" s="16">
        <v>45815</v>
      </c>
      <c r="J1652" s="15" t="str">
        <f>VLOOKUP(A1652,sinap!$A$2:$R$9000,2,FALSE)</f>
        <v>H</v>
      </c>
      <c r="K1652" s="15" t="str">
        <f>VLOOKUP(A1652,sinap!$A$2:$R$9000,3,FALSE)</f>
        <v>VAQUILLA</v>
      </c>
      <c r="L1652" s="15" t="str">
        <f>VLOOKUP(A1652,sinap!$A$2:$R$9000,4,FALSE)</f>
        <v>ANGUS NEGRO</v>
      </c>
      <c r="M1652" s="15" t="str">
        <f>VLOOKUP(A1652,sinap!$A$2:$R$9000,5,FALSE)</f>
        <v>1 años 4 meses</v>
      </c>
      <c r="N1652" s="15" t="str">
        <f>VLOOKUP(A1652,sinap!$A$2:$R$9000,6,FALSE)</f>
        <v>15-09-2024</v>
      </c>
      <c r="O1652" s="15" t="str">
        <f>VLOOKUP(A1652,sinap!$A$2:$R$9000,7,FALSE)</f>
        <v>Vivo</v>
      </c>
      <c r="P1652" s="15" t="str">
        <f>VLOOKUP(A1652,sinap!$A$2:$R$9000,8,FALSE)</f>
        <v>11.1.01.0941</v>
      </c>
      <c r="Q1652" s="15" t="str">
        <f>VLOOKUP(A1652,sinap!$A$2:$R$9000,12,FALSE)</f>
        <v>11.1.01.0893</v>
      </c>
      <c r="R1652" s="15" t="str">
        <f>VLOOKUP(A1652,sinap!$A$2:$R$9000,16,FALSE)</f>
        <v>11.1.01.0893</v>
      </c>
      <c r="S1652" s="15" t="str">
        <f>VLOOKUP(A1652,sinap!$A$2:$Y$9000,20,FALSE)</f>
        <v>SI</v>
      </c>
      <c r="T1652" s="16">
        <v>45674</v>
      </c>
    </row>
    <row r="1653" spans="1:20" hidden="1" x14ac:dyDescent="0.25">
      <c r="A1653" s="15">
        <v>24567523</v>
      </c>
      <c r="I1653" s="16">
        <v>45815</v>
      </c>
      <c r="J1653" s="15" t="str">
        <f>VLOOKUP(A1653,sinap!$A$2:$R$9000,2,FALSE)</f>
        <v>H</v>
      </c>
      <c r="K1653" s="15" t="str">
        <f>VLOOKUP(A1653,sinap!$A$2:$R$9000,3,FALSE)</f>
        <v>VAQUILLA</v>
      </c>
      <c r="L1653" s="15" t="str">
        <f>VLOOKUP(A1653,sinap!$A$2:$R$9000,4,FALSE)</f>
        <v>ANGUS ROJO</v>
      </c>
      <c r="M1653" s="15" t="str">
        <f>VLOOKUP(A1653,sinap!$A$2:$R$9000,5,FALSE)</f>
        <v>1 años 4 meses</v>
      </c>
      <c r="N1653" s="15" t="str">
        <f>VLOOKUP(A1653,sinap!$A$2:$R$9000,6,FALSE)</f>
        <v>15-09-2024</v>
      </c>
      <c r="O1653" s="15" t="str">
        <f>VLOOKUP(A1653,sinap!$A$2:$R$9000,7,FALSE)</f>
        <v>Vivo</v>
      </c>
      <c r="P1653" s="15" t="str">
        <f>VLOOKUP(A1653,sinap!$A$2:$R$9000,8,FALSE)</f>
        <v>11.1.01.0941</v>
      </c>
      <c r="Q1653" s="15" t="str">
        <f>VLOOKUP(A1653,sinap!$A$2:$R$9000,12,FALSE)</f>
        <v>11.1.01.0893</v>
      </c>
      <c r="R1653" s="15" t="str">
        <f>VLOOKUP(A1653,sinap!$A$2:$R$9000,16,FALSE)</f>
        <v>11.1.01.0893</v>
      </c>
      <c r="S1653" s="15" t="str">
        <f>VLOOKUP(A1653,sinap!$A$2:$Y$9000,20,FALSE)</f>
        <v>SI</v>
      </c>
      <c r="T1653" s="16">
        <v>45674</v>
      </c>
    </row>
    <row r="1654" spans="1:20" hidden="1" x14ac:dyDescent="0.25">
      <c r="A1654" s="15">
        <v>24567524</v>
      </c>
      <c r="I1654" s="16">
        <v>45815</v>
      </c>
      <c r="J1654" s="15" t="str">
        <f>VLOOKUP(A1654,sinap!$A$2:$R$9000,2,FALSE)</f>
        <v>H</v>
      </c>
      <c r="K1654" s="15" t="str">
        <f>VLOOKUP(A1654,sinap!$A$2:$R$9000,3,FALSE)</f>
        <v>VAQUILLA</v>
      </c>
      <c r="L1654" s="15" t="str">
        <f>VLOOKUP(A1654,sinap!$A$2:$R$9000,4,FALSE)</f>
        <v>ANGUS NEGRO</v>
      </c>
      <c r="M1654" s="15" t="str">
        <f>VLOOKUP(A1654,sinap!$A$2:$R$9000,5,FALSE)</f>
        <v>1 años 4 meses</v>
      </c>
      <c r="N1654" s="15" t="str">
        <f>VLOOKUP(A1654,sinap!$A$2:$R$9000,6,FALSE)</f>
        <v>15-09-2024</v>
      </c>
      <c r="O1654" s="15" t="str">
        <f>VLOOKUP(A1654,sinap!$A$2:$R$9000,7,FALSE)</f>
        <v>Vivo</v>
      </c>
      <c r="P1654" s="15" t="str">
        <f>VLOOKUP(A1654,sinap!$A$2:$R$9000,8,FALSE)</f>
        <v>11.1.01.0941</v>
      </c>
      <c r="Q1654" s="15" t="str">
        <f>VLOOKUP(A1654,sinap!$A$2:$R$9000,12,FALSE)</f>
        <v>11.1.01.0893</v>
      </c>
      <c r="R1654" s="15" t="str">
        <f>VLOOKUP(A1654,sinap!$A$2:$R$9000,16,FALSE)</f>
        <v>11.1.01.0893</v>
      </c>
      <c r="S1654" s="15" t="str">
        <f>VLOOKUP(A1654,sinap!$A$2:$Y$9000,20,FALSE)</f>
        <v>SI</v>
      </c>
      <c r="T1654" s="16">
        <v>45674</v>
      </c>
    </row>
    <row r="1655" spans="1:20" hidden="1" x14ac:dyDescent="0.25">
      <c r="A1655" s="15">
        <v>24567525</v>
      </c>
      <c r="I1655" s="16">
        <v>45815</v>
      </c>
      <c r="J1655" s="15" t="str">
        <f>VLOOKUP(A1655,sinap!$A$2:$R$9000,2,FALSE)</f>
        <v>H</v>
      </c>
      <c r="K1655" s="15" t="str">
        <f>VLOOKUP(A1655,sinap!$A$2:$R$9000,3,FALSE)</f>
        <v>VAQUILLA</v>
      </c>
      <c r="L1655" s="15" t="str">
        <f>VLOOKUP(A1655,sinap!$A$2:$R$9000,4,FALSE)</f>
        <v>ANGUS NEGRO</v>
      </c>
      <c r="M1655" s="15" t="str">
        <f>VLOOKUP(A1655,sinap!$A$2:$R$9000,5,FALSE)</f>
        <v>1 años 4 meses</v>
      </c>
      <c r="N1655" s="15" t="str">
        <f>VLOOKUP(A1655,sinap!$A$2:$R$9000,6,FALSE)</f>
        <v>15-09-2024</v>
      </c>
      <c r="O1655" s="15" t="str">
        <f>VLOOKUP(A1655,sinap!$A$2:$R$9000,7,FALSE)</f>
        <v>Vivo</v>
      </c>
      <c r="P1655" s="15" t="str">
        <f>VLOOKUP(A1655,sinap!$A$2:$R$9000,8,FALSE)</f>
        <v>11.1.01.0941</v>
      </c>
      <c r="Q1655" s="15" t="str">
        <f>VLOOKUP(A1655,sinap!$A$2:$R$9000,12,FALSE)</f>
        <v>11.1.01.0893</v>
      </c>
      <c r="R1655" s="15" t="str">
        <f>VLOOKUP(A1655,sinap!$A$2:$R$9000,16,FALSE)</f>
        <v>11.1.01.0893</v>
      </c>
      <c r="S1655" s="15" t="str">
        <f>VLOOKUP(A1655,sinap!$A$2:$Y$9000,20,FALSE)</f>
        <v>SI</v>
      </c>
      <c r="T1655" s="16">
        <v>45674</v>
      </c>
    </row>
    <row r="1656" spans="1:20" hidden="1" x14ac:dyDescent="0.25">
      <c r="A1656" s="15">
        <v>24567526</v>
      </c>
      <c r="I1656" s="16">
        <v>45815</v>
      </c>
      <c r="J1656" s="15" t="str">
        <f>VLOOKUP(A1656,sinap!$A$2:$R$9000,2,FALSE)</f>
        <v>H</v>
      </c>
      <c r="K1656" s="15" t="str">
        <f>VLOOKUP(A1656,sinap!$A$2:$R$9000,3,FALSE)</f>
        <v>VAQUILLA</v>
      </c>
      <c r="L1656" s="15" t="str">
        <f>VLOOKUP(A1656,sinap!$A$2:$R$9000,4,FALSE)</f>
        <v>ANGUS NEGRO</v>
      </c>
      <c r="M1656" s="15" t="str">
        <f>VLOOKUP(A1656,sinap!$A$2:$R$9000,5,FALSE)</f>
        <v>1 años 4 meses</v>
      </c>
      <c r="N1656" s="15" t="str">
        <f>VLOOKUP(A1656,sinap!$A$2:$R$9000,6,FALSE)</f>
        <v>15-09-2024</v>
      </c>
      <c r="O1656" s="15" t="str">
        <f>VLOOKUP(A1656,sinap!$A$2:$R$9000,7,FALSE)</f>
        <v>Vivo</v>
      </c>
      <c r="P1656" s="15" t="str">
        <f>VLOOKUP(A1656,sinap!$A$2:$R$9000,8,FALSE)</f>
        <v>11.1.01.0941</v>
      </c>
      <c r="Q1656" s="15" t="str">
        <f>VLOOKUP(A1656,sinap!$A$2:$R$9000,12,FALSE)</f>
        <v>11.1.01.0893</v>
      </c>
      <c r="R1656" s="15" t="str">
        <f>VLOOKUP(A1656,sinap!$A$2:$R$9000,16,FALSE)</f>
        <v>11.1.01.0893</v>
      </c>
      <c r="S1656" s="15" t="str">
        <f>VLOOKUP(A1656,sinap!$A$2:$Y$9000,20,FALSE)</f>
        <v>SI</v>
      </c>
      <c r="T1656" s="16">
        <v>45674</v>
      </c>
    </row>
    <row r="1657" spans="1:20" hidden="1" x14ac:dyDescent="0.25">
      <c r="A1657" s="15">
        <v>24567528</v>
      </c>
      <c r="I1657" s="16">
        <v>45815</v>
      </c>
      <c r="J1657" s="15" t="str">
        <f>VLOOKUP(A1657,sinap!$A$2:$R$9000,2,FALSE)</f>
        <v>H</v>
      </c>
      <c r="K1657" s="15" t="str">
        <f>VLOOKUP(A1657,sinap!$A$2:$R$9000,3,FALSE)</f>
        <v>VAQUILLA</v>
      </c>
      <c r="L1657" s="15" t="str">
        <f>VLOOKUP(A1657,sinap!$A$2:$R$9000,4,FALSE)</f>
        <v>ANGUS NEGRO</v>
      </c>
      <c r="M1657" s="15" t="str">
        <f>VLOOKUP(A1657,sinap!$A$2:$R$9000,5,FALSE)</f>
        <v>1 años 4 meses</v>
      </c>
      <c r="N1657" s="15" t="str">
        <f>VLOOKUP(A1657,sinap!$A$2:$R$9000,6,FALSE)</f>
        <v>15-09-2024</v>
      </c>
      <c r="O1657" s="15" t="str">
        <f>VLOOKUP(A1657,sinap!$A$2:$R$9000,7,FALSE)</f>
        <v>Vivo</v>
      </c>
      <c r="P1657" s="15" t="str">
        <f>VLOOKUP(A1657,sinap!$A$2:$R$9000,8,FALSE)</f>
        <v>11.1.01.0941</v>
      </c>
      <c r="Q1657" s="15" t="str">
        <f>VLOOKUP(A1657,sinap!$A$2:$R$9000,12,FALSE)</f>
        <v>11.1.01.0893</v>
      </c>
      <c r="R1657" s="15" t="str">
        <f>VLOOKUP(A1657,sinap!$A$2:$R$9000,16,FALSE)</f>
        <v>11.1.01.0893</v>
      </c>
      <c r="S1657" s="15" t="str">
        <f>VLOOKUP(A1657,sinap!$A$2:$Y$9000,20,FALSE)</f>
        <v>SI</v>
      </c>
      <c r="T1657" s="16">
        <v>45674</v>
      </c>
    </row>
    <row r="1658" spans="1:20" hidden="1" x14ac:dyDescent="0.25">
      <c r="A1658" s="15">
        <v>24567529</v>
      </c>
      <c r="I1658" s="16">
        <v>45815</v>
      </c>
      <c r="J1658" s="15" t="str">
        <f>VLOOKUP(A1658,sinap!$A$2:$R$9000,2,FALSE)</f>
        <v>H</v>
      </c>
      <c r="K1658" s="15" t="str">
        <f>VLOOKUP(A1658,sinap!$A$2:$R$9000,3,FALSE)</f>
        <v>VAQUILLA</v>
      </c>
      <c r="L1658" s="15" t="str">
        <f>VLOOKUP(A1658,sinap!$A$2:$R$9000,4,FALSE)</f>
        <v>ANGUS ROJO</v>
      </c>
      <c r="M1658" s="15" t="str">
        <f>VLOOKUP(A1658,sinap!$A$2:$R$9000,5,FALSE)</f>
        <v>1 años 4 meses</v>
      </c>
      <c r="N1658" s="15" t="str">
        <f>VLOOKUP(A1658,sinap!$A$2:$R$9000,6,FALSE)</f>
        <v>15-09-2024</v>
      </c>
      <c r="O1658" s="15" t="str">
        <f>VLOOKUP(A1658,sinap!$A$2:$R$9000,7,FALSE)</f>
        <v>Vivo</v>
      </c>
      <c r="P1658" s="15" t="str">
        <f>VLOOKUP(A1658,sinap!$A$2:$R$9000,8,FALSE)</f>
        <v>11.1.01.0941</v>
      </c>
      <c r="Q1658" s="15" t="str">
        <f>VLOOKUP(A1658,sinap!$A$2:$R$9000,12,FALSE)</f>
        <v>11.1.01.0893</v>
      </c>
      <c r="R1658" s="15" t="str">
        <f>VLOOKUP(A1658,sinap!$A$2:$R$9000,16,FALSE)</f>
        <v>11.1.01.0893</v>
      </c>
      <c r="S1658" s="15" t="str">
        <f>VLOOKUP(A1658,sinap!$A$2:$Y$9000,20,FALSE)</f>
        <v>SI</v>
      </c>
      <c r="T1658" s="16">
        <v>45674</v>
      </c>
    </row>
    <row r="1659" spans="1:20" hidden="1" x14ac:dyDescent="0.25">
      <c r="A1659" s="15">
        <v>24567531</v>
      </c>
      <c r="I1659" s="16">
        <v>45815</v>
      </c>
      <c r="J1659" s="15" t="str">
        <f>VLOOKUP(A1659,sinap!$A$2:$R$9000,2,FALSE)</f>
        <v>H</v>
      </c>
      <c r="K1659" s="15" t="str">
        <f>VLOOKUP(A1659,sinap!$A$2:$R$9000,3,FALSE)</f>
        <v>VAQUILLA</v>
      </c>
      <c r="L1659" s="15" t="str">
        <f>VLOOKUP(A1659,sinap!$A$2:$R$9000,4,FALSE)</f>
        <v>ANGUS ROJO</v>
      </c>
      <c r="M1659" s="15" t="str">
        <f>VLOOKUP(A1659,sinap!$A$2:$R$9000,5,FALSE)</f>
        <v>1 años 4 meses</v>
      </c>
      <c r="N1659" s="15" t="str">
        <f>VLOOKUP(A1659,sinap!$A$2:$R$9000,6,FALSE)</f>
        <v>15-09-2024</v>
      </c>
      <c r="O1659" s="15" t="str">
        <f>VLOOKUP(A1659,sinap!$A$2:$R$9000,7,FALSE)</f>
        <v>Vivo</v>
      </c>
      <c r="P1659" s="15" t="str">
        <f>VLOOKUP(A1659,sinap!$A$2:$R$9000,8,FALSE)</f>
        <v>11.1.01.0941</v>
      </c>
      <c r="Q1659" s="15" t="str">
        <f>VLOOKUP(A1659,sinap!$A$2:$R$9000,12,FALSE)</f>
        <v>11.1.01.0893</v>
      </c>
      <c r="R1659" s="15" t="str">
        <f>VLOOKUP(A1659,sinap!$A$2:$R$9000,16,FALSE)</f>
        <v>11.1.01.0893</v>
      </c>
      <c r="S1659" s="15" t="str">
        <f>VLOOKUP(A1659,sinap!$A$2:$Y$9000,20,FALSE)</f>
        <v>SI</v>
      </c>
      <c r="T1659" s="16">
        <v>45674</v>
      </c>
    </row>
    <row r="1660" spans="1:20" hidden="1" x14ac:dyDescent="0.25">
      <c r="A1660" s="15">
        <v>24567532</v>
      </c>
      <c r="I1660" s="16">
        <v>45815</v>
      </c>
      <c r="J1660" s="15" t="str">
        <f>VLOOKUP(A1660,sinap!$A$2:$R$9000,2,FALSE)</f>
        <v>H</v>
      </c>
      <c r="K1660" s="15" t="str">
        <f>VLOOKUP(A1660,sinap!$A$2:$R$9000,3,FALSE)</f>
        <v>VAQUILLA</v>
      </c>
      <c r="L1660" s="15" t="str">
        <f>VLOOKUP(A1660,sinap!$A$2:$R$9000,4,FALSE)</f>
        <v>ANGUS NEGRO</v>
      </c>
      <c r="M1660" s="15" t="str">
        <f>VLOOKUP(A1660,sinap!$A$2:$R$9000,5,FALSE)</f>
        <v>1 años 4 meses</v>
      </c>
      <c r="N1660" s="15" t="str">
        <f>VLOOKUP(A1660,sinap!$A$2:$R$9000,6,FALSE)</f>
        <v>15-09-2024</v>
      </c>
      <c r="O1660" s="15" t="str">
        <f>VLOOKUP(A1660,sinap!$A$2:$R$9000,7,FALSE)</f>
        <v>Vivo</v>
      </c>
      <c r="P1660" s="15" t="str">
        <f>VLOOKUP(A1660,sinap!$A$2:$R$9000,8,FALSE)</f>
        <v>11.1.01.0941</v>
      </c>
      <c r="Q1660" s="15" t="str">
        <f>VLOOKUP(A1660,sinap!$A$2:$R$9000,12,FALSE)</f>
        <v>11.1.01.0893</v>
      </c>
      <c r="R1660" s="15" t="str">
        <f>VLOOKUP(A1660,sinap!$A$2:$R$9000,16,FALSE)</f>
        <v>11.1.01.0893</v>
      </c>
      <c r="S1660" s="15" t="str">
        <f>VLOOKUP(A1660,sinap!$A$2:$Y$9000,20,FALSE)</f>
        <v>SI</v>
      </c>
      <c r="T1660" s="16">
        <v>45674</v>
      </c>
    </row>
    <row r="1661" spans="1:20" hidden="1" x14ac:dyDescent="0.25">
      <c r="A1661" s="15">
        <v>24567533</v>
      </c>
      <c r="I1661" s="16">
        <v>45815</v>
      </c>
      <c r="J1661" s="15" t="str">
        <f>VLOOKUP(A1661,sinap!$A$2:$R$9000,2,FALSE)</f>
        <v>H</v>
      </c>
      <c r="K1661" s="15" t="str">
        <f>VLOOKUP(A1661,sinap!$A$2:$R$9000,3,FALSE)</f>
        <v>VAQUILLA</v>
      </c>
      <c r="L1661" s="15" t="str">
        <f>VLOOKUP(A1661,sinap!$A$2:$R$9000,4,FALSE)</f>
        <v>ANGUS NEGRO</v>
      </c>
      <c r="M1661" s="15" t="str">
        <f>VLOOKUP(A1661,sinap!$A$2:$R$9000,5,FALSE)</f>
        <v>1 años 4 meses</v>
      </c>
      <c r="N1661" s="15" t="str">
        <f>VLOOKUP(A1661,sinap!$A$2:$R$9000,6,FALSE)</f>
        <v>15-09-2024</v>
      </c>
      <c r="O1661" s="15" t="str">
        <f>VLOOKUP(A1661,sinap!$A$2:$R$9000,7,FALSE)</f>
        <v>Vivo</v>
      </c>
      <c r="P1661" s="15" t="str">
        <f>VLOOKUP(A1661,sinap!$A$2:$R$9000,8,FALSE)</f>
        <v>11.1.01.0941</v>
      </c>
      <c r="Q1661" s="15" t="str">
        <f>VLOOKUP(A1661,sinap!$A$2:$R$9000,12,FALSE)</f>
        <v>11.1.01.0893</v>
      </c>
      <c r="R1661" s="15" t="str">
        <f>VLOOKUP(A1661,sinap!$A$2:$R$9000,16,FALSE)</f>
        <v>11.1.01.0893</v>
      </c>
      <c r="S1661" s="15" t="str">
        <f>VLOOKUP(A1661,sinap!$A$2:$Y$9000,20,FALSE)</f>
        <v>SI</v>
      </c>
      <c r="T1661" s="16">
        <v>45674</v>
      </c>
    </row>
    <row r="1662" spans="1:20" hidden="1" x14ac:dyDescent="0.25">
      <c r="A1662" s="15">
        <v>24567536</v>
      </c>
      <c r="I1662" s="16">
        <v>45815</v>
      </c>
      <c r="J1662" s="15" t="str">
        <f>VLOOKUP(A1662,sinap!$A$2:$R$9000,2,FALSE)</f>
        <v>H</v>
      </c>
      <c r="K1662" s="15" t="str">
        <f>VLOOKUP(A1662,sinap!$A$2:$R$9000,3,FALSE)</f>
        <v>VAQUILLA</v>
      </c>
      <c r="L1662" s="15" t="str">
        <f>VLOOKUP(A1662,sinap!$A$2:$R$9000,4,FALSE)</f>
        <v>ANGUS NEGRO</v>
      </c>
      <c r="M1662" s="15" t="str">
        <f>VLOOKUP(A1662,sinap!$A$2:$R$9000,5,FALSE)</f>
        <v>1 años 4 meses</v>
      </c>
      <c r="N1662" s="15" t="str">
        <f>VLOOKUP(A1662,sinap!$A$2:$R$9000,6,FALSE)</f>
        <v>15-09-2024</v>
      </c>
      <c r="O1662" s="15" t="str">
        <f>VLOOKUP(A1662,sinap!$A$2:$R$9000,7,FALSE)</f>
        <v>Vivo</v>
      </c>
      <c r="P1662" s="15" t="str">
        <f>VLOOKUP(A1662,sinap!$A$2:$R$9000,8,FALSE)</f>
        <v>11.1.01.0941</v>
      </c>
      <c r="Q1662" s="15" t="str">
        <f>VLOOKUP(A1662,sinap!$A$2:$R$9000,12,FALSE)</f>
        <v>11.1.01.0893</v>
      </c>
      <c r="R1662" s="15" t="str">
        <f>VLOOKUP(A1662,sinap!$A$2:$R$9000,16,FALSE)</f>
        <v>11.1.01.0893</v>
      </c>
      <c r="S1662" s="15" t="str">
        <f>VLOOKUP(A1662,sinap!$A$2:$Y$9000,20,FALSE)</f>
        <v>SI</v>
      </c>
      <c r="T1662" s="16">
        <v>45674</v>
      </c>
    </row>
    <row r="1663" spans="1:20" hidden="1" x14ac:dyDescent="0.25">
      <c r="A1663" s="15">
        <v>24567539</v>
      </c>
      <c r="I1663" s="16">
        <v>45815</v>
      </c>
      <c r="J1663" s="15" t="str">
        <f>VLOOKUP(A1663,sinap!$A$2:$R$9000,2,FALSE)</f>
        <v>H</v>
      </c>
      <c r="K1663" s="15" t="str">
        <f>VLOOKUP(A1663,sinap!$A$2:$R$9000,3,FALSE)</f>
        <v>VAQUILLA</v>
      </c>
      <c r="L1663" s="15" t="str">
        <f>VLOOKUP(A1663,sinap!$A$2:$R$9000,4,FALSE)</f>
        <v>LIMOUSIN</v>
      </c>
      <c r="M1663" s="15" t="str">
        <f>VLOOKUP(A1663,sinap!$A$2:$R$9000,5,FALSE)</f>
        <v>1 años 4 meses</v>
      </c>
      <c r="N1663" s="15" t="str">
        <f>VLOOKUP(A1663,sinap!$A$2:$R$9000,6,FALSE)</f>
        <v>15-09-2024</v>
      </c>
      <c r="O1663" s="15" t="str">
        <f>VLOOKUP(A1663,sinap!$A$2:$R$9000,7,FALSE)</f>
        <v>Vivo</v>
      </c>
      <c r="P1663" s="15" t="str">
        <f>VLOOKUP(A1663,sinap!$A$2:$R$9000,8,FALSE)</f>
        <v>11.1.01.0893</v>
      </c>
      <c r="Q1663" s="15" t="str">
        <f>VLOOKUP(A1663,sinap!$A$2:$R$9000,12,FALSE)</f>
        <v>Sin Movimiento</v>
      </c>
      <c r="R1663" s="15" t="str">
        <f>VLOOKUP(A1663,sinap!$A$2:$R$9000,16,FALSE)</f>
        <v>11.1.01.0893</v>
      </c>
      <c r="S1663" s="15" t="str">
        <f>VLOOKUP(A1663,sinap!$A$2:$Y$9000,20,FALSE)</f>
        <v>SI</v>
      </c>
      <c r="T1663" s="16">
        <v>45674</v>
      </c>
    </row>
    <row r="1664" spans="1:20" hidden="1" x14ac:dyDescent="0.25">
      <c r="A1664" s="15">
        <v>24567541</v>
      </c>
      <c r="I1664" s="16">
        <v>45815</v>
      </c>
      <c r="J1664" s="15" t="str">
        <f>VLOOKUP(A1664,sinap!$A$2:$R$9000,2,FALSE)</f>
        <v>H</v>
      </c>
      <c r="K1664" s="15" t="str">
        <f>VLOOKUP(A1664,sinap!$A$2:$R$9000,3,FALSE)</f>
        <v>VAQUILLA</v>
      </c>
      <c r="L1664" s="15" t="str">
        <f>VLOOKUP(A1664,sinap!$A$2:$R$9000,4,FALSE)</f>
        <v>ANGUS NEGRO</v>
      </c>
      <c r="M1664" s="15" t="str">
        <f>VLOOKUP(A1664,sinap!$A$2:$R$9000,5,FALSE)</f>
        <v>1 años 4 meses</v>
      </c>
      <c r="N1664" s="15" t="str">
        <f>VLOOKUP(A1664,sinap!$A$2:$R$9000,6,FALSE)</f>
        <v>15-09-2024</v>
      </c>
      <c r="O1664" s="15" t="str">
        <f>VLOOKUP(A1664,sinap!$A$2:$R$9000,7,FALSE)</f>
        <v>Vivo</v>
      </c>
      <c r="P1664" s="15" t="str">
        <f>VLOOKUP(A1664,sinap!$A$2:$R$9000,8,FALSE)</f>
        <v>11.1.01.0941</v>
      </c>
      <c r="Q1664" s="15" t="str">
        <f>VLOOKUP(A1664,sinap!$A$2:$R$9000,12,FALSE)</f>
        <v>11.1.01.0893</v>
      </c>
      <c r="R1664" s="15" t="str">
        <f>VLOOKUP(A1664,sinap!$A$2:$R$9000,16,FALSE)</f>
        <v>11.1.01.0893</v>
      </c>
      <c r="S1664" s="15" t="str">
        <f>VLOOKUP(A1664,sinap!$A$2:$Y$9000,20,FALSE)</f>
        <v>SI</v>
      </c>
      <c r="T1664" s="16">
        <v>45674</v>
      </c>
    </row>
    <row r="1665" spans="1:20" hidden="1" x14ac:dyDescent="0.25">
      <c r="A1665" s="15">
        <v>24567542</v>
      </c>
      <c r="I1665" s="16">
        <v>45815</v>
      </c>
      <c r="J1665" s="15" t="str">
        <f>VLOOKUP(A1665,sinap!$A$2:$R$9000,2,FALSE)</f>
        <v>H</v>
      </c>
      <c r="K1665" s="15" t="str">
        <f>VLOOKUP(A1665,sinap!$A$2:$R$9000,3,FALSE)</f>
        <v>VAQUILLA</v>
      </c>
      <c r="L1665" s="15" t="str">
        <f>VLOOKUP(A1665,sinap!$A$2:$R$9000,4,FALSE)</f>
        <v>ANGUS NEGRO</v>
      </c>
      <c r="M1665" s="15" t="str">
        <f>VLOOKUP(A1665,sinap!$A$2:$R$9000,5,FALSE)</f>
        <v>1 años 4 meses</v>
      </c>
      <c r="N1665" s="15" t="str">
        <f>VLOOKUP(A1665,sinap!$A$2:$R$9000,6,FALSE)</f>
        <v>15-09-2024</v>
      </c>
      <c r="O1665" s="15" t="str">
        <f>VLOOKUP(A1665,sinap!$A$2:$R$9000,7,FALSE)</f>
        <v>Vivo</v>
      </c>
      <c r="P1665" s="15" t="str">
        <f>VLOOKUP(A1665,sinap!$A$2:$R$9000,8,FALSE)</f>
        <v>11.1.01.1241</v>
      </c>
      <c r="Q1665" s="15" t="str">
        <f>VLOOKUP(A1665,sinap!$A$2:$R$9000,12,FALSE)</f>
        <v>11.1.01.0893</v>
      </c>
      <c r="R1665" s="15" t="str">
        <f>VLOOKUP(A1665,sinap!$A$2:$R$9000,16,FALSE)</f>
        <v>11.1.01.0893</v>
      </c>
      <c r="S1665" s="15" t="str">
        <f>VLOOKUP(A1665,sinap!$A$2:$Y$9000,20,FALSE)</f>
        <v>SI</v>
      </c>
      <c r="T1665" s="16">
        <v>45674</v>
      </c>
    </row>
    <row r="1666" spans="1:20" hidden="1" x14ac:dyDescent="0.25">
      <c r="A1666" s="15">
        <v>24567543</v>
      </c>
      <c r="I1666" s="16">
        <v>45815</v>
      </c>
      <c r="J1666" s="15" t="str">
        <f>VLOOKUP(A1666,sinap!$A$2:$R$9000,2,FALSE)</f>
        <v>H</v>
      </c>
      <c r="K1666" s="15" t="str">
        <f>VLOOKUP(A1666,sinap!$A$2:$R$9000,3,FALSE)</f>
        <v>VAQUILLA</v>
      </c>
      <c r="L1666" s="15" t="str">
        <f>VLOOKUP(A1666,sinap!$A$2:$R$9000,4,FALSE)</f>
        <v>ANGUS NEGRO</v>
      </c>
      <c r="M1666" s="15" t="str">
        <f>VLOOKUP(A1666,sinap!$A$2:$R$9000,5,FALSE)</f>
        <v>1 años 4 meses</v>
      </c>
      <c r="N1666" s="15" t="str">
        <f>VLOOKUP(A1666,sinap!$A$2:$R$9000,6,FALSE)</f>
        <v>15-09-2024</v>
      </c>
      <c r="O1666" s="15" t="str">
        <f>VLOOKUP(A1666,sinap!$A$2:$R$9000,7,FALSE)</f>
        <v>Vivo</v>
      </c>
      <c r="P1666" s="15" t="str">
        <f>VLOOKUP(A1666,sinap!$A$2:$R$9000,8,FALSE)</f>
        <v>11.1.01.0941</v>
      </c>
      <c r="Q1666" s="15" t="str">
        <f>VLOOKUP(A1666,sinap!$A$2:$R$9000,12,FALSE)</f>
        <v>11.1.01.0893</v>
      </c>
      <c r="R1666" s="15" t="str">
        <f>VLOOKUP(A1666,sinap!$A$2:$R$9000,16,FALSE)</f>
        <v>11.1.01.0893</v>
      </c>
      <c r="S1666" s="15" t="str">
        <f>VLOOKUP(A1666,sinap!$A$2:$Y$9000,20,FALSE)</f>
        <v>SI</v>
      </c>
      <c r="T1666" s="16">
        <v>45674</v>
      </c>
    </row>
    <row r="1667" spans="1:20" hidden="1" x14ac:dyDescent="0.25">
      <c r="A1667" s="15">
        <v>24567545</v>
      </c>
      <c r="I1667" s="16">
        <v>45815</v>
      </c>
      <c r="J1667" s="15" t="str">
        <f>VLOOKUP(A1667,sinap!$A$2:$R$9000,2,FALSE)</f>
        <v>H</v>
      </c>
      <c r="K1667" s="15" t="str">
        <f>VLOOKUP(A1667,sinap!$A$2:$R$9000,3,FALSE)</f>
        <v>VAQUILLA</v>
      </c>
      <c r="L1667" s="15" t="str">
        <f>VLOOKUP(A1667,sinap!$A$2:$R$9000,4,FALSE)</f>
        <v>ANGUS NEGRO</v>
      </c>
      <c r="M1667" s="15" t="str">
        <f>VLOOKUP(A1667,sinap!$A$2:$R$9000,5,FALSE)</f>
        <v>1 años 4 meses</v>
      </c>
      <c r="N1667" s="15" t="str">
        <f>VLOOKUP(A1667,sinap!$A$2:$R$9000,6,FALSE)</f>
        <v>15-09-2024</v>
      </c>
      <c r="O1667" s="15" t="str">
        <f>VLOOKUP(A1667,sinap!$A$2:$R$9000,7,FALSE)</f>
        <v>Vivo</v>
      </c>
      <c r="P1667" s="15" t="str">
        <f>VLOOKUP(A1667,sinap!$A$2:$R$9000,8,FALSE)</f>
        <v>11.1.01.0941</v>
      </c>
      <c r="Q1667" s="15" t="str">
        <f>VLOOKUP(A1667,sinap!$A$2:$R$9000,12,FALSE)</f>
        <v>11.1.01.0893</v>
      </c>
      <c r="R1667" s="15" t="str">
        <f>VLOOKUP(A1667,sinap!$A$2:$R$9000,16,FALSE)</f>
        <v>11.1.01.0893</v>
      </c>
      <c r="S1667" s="15" t="str">
        <f>VLOOKUP(A1667,sinap!$A$2:$Y$9000,20,FALSE)</f>
        <v>SI</v>
      </c>
      <c r="T1667" s="16">
        <v>45674</v>
      </c>
    </row>
    <row r="1668" spans="1:20" hidden="1" x14ac:dyDescent="0.25">
      <c r="A1668" s="15">
        <v>24567551</v>
      </c>
      <c r="I1668" s="16">
        <v>45815</v>
      </c>
      <c r="J1668" s="15" t="str">
        <f>VLOOKUP(A1668,sinap!$A$2:$R$9000,2,FALSE)</f>
        <v>H</v>
      </c>
      <c r="K1668" s="15" t="str">
        <f>VLOOKUP(A1668,sinap!$A$2:$R$9000,3,FALSE)</f>
        <v>VAQUILLA</v>
      </c>
      <c r="L1668" s="15" t="str">
        <f>VLOOKUP(A1668,sinap!$A$2:$R$9000,4,FALSE)</f>
        <v>ANGUS NEGRO</v>
      </c>
      <c r="M1668" s="15" t="str">
        <f>VLOOKUP(A1668,sinap!$A$2:$R$9000,5,FALSE)</f>
        <v>1 años 4 meses</v>
      </c>
      <c r="N1668" s="15" t="str">
        <f>VLOOKUP(A1668,sinap!$A$2:$R$9000,6,FALSE)</f>
        <v>15-09-2024</v>
      </c>
      <c r="O1668" s="15" t="str">
        <f>VLOOKUP(A1668,sinap!$A$2:$R$9000,7,FALSE)</f>
        <v>Vivo</v>
      </c>
      <c r="P1668" s="15" t="str">
        <f>VLOOKUP(A1668,sinap!$A$2:$R$9000,8,FALSE)</f>
        <v>11.1.01.0941</v>
      </c>
      <c r="Q1668" s="15" t="str">
        <f>VLOOKUP(A1668,sinap!$A$2:$R$9000,12,FALSE)</f>
        <v>11.1.01.0893</v>
      </c>
      <c r="R1668" s="15" t="str">
        <f>VLOOKUP(A1668,sinap!$A$2:$R$9000,16,FALSE)</f>
        <v>11.1.01.0893</v>
      </c>
      <c r="S1668" s="15" t="str">
        <f>VLOOKUP(A1668,sinap!$A$2:$Y$9000,20,FALSE)</f>
        <v>SI</v>
      </c>
      <c r="T1668" s="16">
        <v>45674</v>
      </c>
    </row>
    <row r="1669" spans="1:20" hidden="1" x14ac:dyDescent="0.25">
      <c r="A1669" s="15">
        <v>24567553</v>
      </c>
      <c r="I1669" s="16">
        <v>45815</v>
      </c>
      <c r="J1669" s="15" t="str">
        <f>VLOOKUP(A1669,sinap!$A$2:$R$9000,2,FALSE)</f>
        <v>H</v>
      </c>
      <c r="K1669" s="15" t="str">
        <f>VLOOKUP(A1669,sinap!$A$2:$R$9000,3,FALSE)</f>
        <v>VAQUILLA</v>
      </c>
      <c r="L1669" s="15" t="str">
        <f>VLOOKUP(A1669,sinap!$A$2:$R$9000,4,FALSE)</f>
        <v>ANGUS NEGRO</v>
      </c>
      <c r="M1669" s="15" t="str">
        <f>VLOOKUP(A1669,sinap!$A$2:$R$9000,5,FALSE)</f>
        <v>1 años 4 meses</v>
      </c>
      <c r="N1669" s="15" t="str">
        <f>VLOOKUP(A1669,sinap!$A$2:$R$9000,6,FALSE)</f>
        <v>15-09-2024</v>
      </c>
      <c r="O1669" s="15" t="str">
        <f>VLOOKUP(A1669,sinap!$A$2:$R$9000,7,FALSE)</f>
        <v>Vivo</v>
      </c>
      <c r="P1669" s="15" t="str">
        <f>VLOOKUP(A1669,sinap!$A$2:$R$9000,8,FALSE)</f>
        <v>11.1.01.1241</v>
      </c>
      <c r="Q1669" s="15" t="str">
        <f>VLOOKUP(A1669,sinap!$A$2:$R$9000,12,FALSE)</f>
        <v>11.1.01.0893</v>
      </c>
      <c r="R1669" s="15" t="str">
        <f>VLOOKUP(A1669,sinap!$A$2:$R$9000,16,FALSE)</f>
        <v>11.1.01.0893</v>
      </c>
      <c r="S1669" s="15" t="str">
        <f>VLOOKUP(A1669,sinap!$A$2:$Y$9000,20,FALSE)</f>
        <v>SI</v>
      </c>
      <c r="T1669" s="16">
        <v>45674</v>
      </c>
    </row>
    <row r="1670" spans="1:20" hidden="1" x14ac:dyDescent="0.25">
      <c r="A1670" s="15">
        <v>24567555</v>
      </c>
      <c r="I1670" s="16">
        <v>45815</v>
      </c>
      <c r="J1670" s="15" t="str">
        <f>VLOOKUP(A1670,sinap!$A$2:$R$9000,2,FALSE)</f>
        <v>H</v>
      </c>
      <c r="K1670" s="15" t="str">
        <f>VLOOKUP(A1670,sinap!$A$2:$R$9000,3,FALSE)</f>
        <v>VAQUILLA</v>
      </c>
      <c r="L1670" s="15" t="str">
        <f>VLOOKUP(A1670,sinap!$A$2:$R$9000,4,FALSE)</f>
        <v>ANGUS NEGRO</v>
      </c>
      <c r="M1670" s="15" t="str">
        <f>VLOOKUP(A1670,sinap!$A$2:$R$9000,5,FALSE)</f>
        <v>1 años 4 meses</v>
      </c>
      <c r="N1670" s="15" t="str">
        <f>VLOOKUP(A1670,sinap!$A$2:$R$9000,6,FALSE)</f>
        <v>15-09-2024</v>
      </c>
      <c r="O1670" s="15" t="str">
        <f>VLOOKUP(A1670,sinap!$A$2:$R$9000,7,FALSE)</f>
        <v>Vivo</v>
      </c>
      <c r="P1670" s="15" t="str">
        <f>VLOOKUP(A1670,sinap!$A$2:$R$9000,8,FALSE)</f>
        <v>11.1.01.0941</v>
      </c>
      <c r="Q1670" s="15" t="str">
        <f>VLOOKUP(A1670,sinap!$A$2:$R$9000,12,FALSE)</f>
        <v>11.1.01.0893</v>
      </c>
      <c r="R1670" s="15" t="str">
        <f>VLOOKUP(A1670,sinap!$A$2:$R$9000,16,FALSE)</f>
        <v>11.1.01.0893</v>
      </c>
      <c r="S1670" s="15" t="str">
        <f>VLOOKUP(A1670,sinap!$A$2:$Y$9000,20,FALSE)</f>
        <v>SI</v>
      </c>
      <c r="T1670" s="16">
        <v>45674</v>
      </c>
    </row>
    <row r="1671" spans="1:20" hidden="1" x14ac:dyDescent="0.25">
      <c r="A1671" s="15">
        <v>24567556</v>
      </c>
      <c r="I1671" s="16">
        <v>45815</v>
      </c>
      <c r="J1671" s="15" t="str">
        <f>VLOOKUP(A1671,sinap!$A$2:$R$9000,2,FALSE)</f>
        <v>H</v>
      </c>
      <c r="K1671" s="15" t="str">
        <f>VLOOKUP(A1671,sinap!$A$2:$R$9000,3,FALSE)</f>
        <v>VAQUILLA</v>
      </c>
      <c r="L1671" s="15" t="str">
        <f>VLOOKUP(A1671,sinap!$A$2:$R$9000,4,FALSE)</f>
        <v>ANGUS NEGRO</v>
      </c>
      <c r="M1671" s="15" t="str">
        <f>VLOOKUP(A1671,sinap!$A$2:$R$9000,5,FALSE)</f>
        <v>1 años 4 meses</v>
      </c>
      <c r="N1671" s="15" t="str">
        <f>VLOOKUP(A1671,sinap!$A$2:$R$9000,6,FALSE)</f>
        <v>15-09-2024</v>
      </c>
      <c r="O1671" s="15" t="str">
        <f>VLOOKUP(A1671,sinap!$A$2:$R$9000,7,FALSE)</f>
        <v>Vivo</v>
      </c>
      <c r="P1671" s="15" t="str">
        <f>VLOOKUP(A1671,sinap!$A$2:$R$9000,8,FALSE)</f>
        <v>11.1.01.0941</v>
      </c>
      <c r="Q1671" s="15" t="str">
        <f>VLOOKUP(A1671,sinap!$A$2:$R$9000,12,FALSE)</f>
        <v>11.1.01.0893</v>
      </c>
      <c r="R1671" s="15" t="str">
        <f>VLOOKUP(A1671,sinap!$A$2:$R$9000,16,FALSE)</f>
        <v>11.1.01.0893</v>
      </c>
      <c r="S1671" s="15" t="str">
        <f>VLOOKUP(A1671,sinap!$A$2:$Y$9000,20,FALSE)</f>
        <v>SI</v>
      </c>
      <c r="T1671" s="16">
        <v>45674</v>
      </c>
    </row>
    <row r="1672" spans="1:20" hidden="1" x14ac:dyDescent="0.25">
      <c r="A1672" s="15">
        <v>24567557</v>
      </c>
      <c r="I1672" s="16">
        <v>45815</v>
      </c>
      <c r="J1672" s="15" t="str">
        <f>VLOOKUP(A1672,sinap!$A$2:$R$9000,2,FALSE)</f>
        <v>H</v>
      </c>
      <c r="K1672" s="15" t="str">
        <f>VLOOKUP(A1672,sinap!$A$2:$R$9000,3,FALSE)</f>
        <v>VAQUILLA</v>
      </c>
      <c r="L1672" s="15" t="str">
        <f>VLOOKUP(A1672,sinap!$A$2:$R$9000,4,FALSE)</f>
        <v>ANGUS NEGRO</v>
      </c>
      <c r="M1672" s="15" t="str">
        <f>VLOOKUP(A1672,sinap!$A$2:$R$9000,5,FALSE)</f>
        <v>1 años 4 meses</v>
      </c>
      <c r="N1672" s="15" t="str">
        <f>VLOOKUP(A1672,sinap!$A$2:$R$9000,6,FALSE)</f>
        <v>15-09-2024</v>
      </c>
      <c r="O1672" s="15" t="str">
        <f>VLOOKUP(A1672,sinap!$A$2:$R$9000,7,FALSE)</f>
        <v>Vivo</v>
      </c>
      <c r="P1672" s="15" t="str">
        <f>VLOOKUP(A1672,sinap!$A$2:$R$9000,8,FALSE)</f>
        <v>11.1.01.0941</v>
      </c>
      <c r="Q1672" s="15" t="str">
        <f>VLOOKUP(A1672,sinap!$A$2:$R$9000,12,FALSE)</f>
        <v>11.1.01.0893</v>
      </c>
      <c r="R1672" s="15" t="str">
        <f>VLOOKUP(A1672,sinap!$A$2:$R$9000,16,FALSE)</f>
        <v>11.1.01.0893</v>
      </c>
      <c r="S1672" s="15" t="str">
        <f>VLOOKUP(A1672,sinap!$A$2:$Y$9000,20,FALSE)</f>
        <v>SI</v>
      </c>
      <c r="T1672" s="16">
        <v>45674</v>
      </c>
    </row>
    <row r="1673" spans="1:20" hidden="1" x14ac:dyDescent="0.25">
      <c r="A1673" s="15">
        <v>24567562</v>
      </c>
      <c r="I1673" s="16">
        <v>45815</v>
      </c>
      <c r="J1673" s="15" t="str">
        <f>VLOOKUP(A1673,sinap!$A$2:$R$9000,2,FALSE)</f>
        <v>H</v>
      </c>
      <c r="K1673" s="15" t="str">
        <f>VLOOKUP(A1673,sinap!$A$2:$R$9000,3,FALSE)</f>
        <v>VAQUILLA</v>
      </c>
      <c r="L1673" s="15" t="str">
        <f>VLOOKUP(A1673,sinap!$A$2:$R$9000,4,FALSE)</f>
        <v>ANGUS NEGRO</v>
      </c>
      <c r="M1673" s="15" t="str">
        <f>VLOOKUP(A1673,sinap!$A$2:$R$9000,5,FALSE)</f>
        <v>1 años 4 meses</v>
      </c>
      <c r="N1673" s="15" t="str">
        <f>VLOOKUP(A1673,sinap!$A$2:$R$9000,6,FALSE)</f>
        <v>15-09-2024</v>
      </c>
      <c r="O1673" s="15" t="str">
        <f>VLOOKUP(A1673,sinap!$A$2:$R$9000,7,FALSE)</f>
        <v>Vivo</v>
      </c>
      <c r="P1673" s="15" t="str">
        <f>VLOOKUP(A1673,sinap!$A$2:$R$9000,8,FALSE)</f>
        <v>11.1.01.0941</v>
      </c>
      <c r="Q1673" s="15" t="str">
        <f>VLOOKUP(A1673,sinap!$A$2:$R$9000,12,FALSE)</f>
        <v>11.1.01.0893</v>
      </c>
      <c r="R1673" s="15" t="str">
        <f>VLOOKUP(A1673,sinap!$A$2:$R$9000,16,FALSE)</f>
        <v>11.1.01.0893</v>
      </c>
      <c r="S1673" s="15" t="str">
        <f>VLOOKUP(A1673,sinap!$A$2:$Y$9000,20,FALSE)</f>
        <v>SI</v>
      </c>
      <c r="T1673" s="16">
        <v>45674</v>
      </c>
    </row>
    <row r="1674" spans="1:20" hidden="1" x14ac:dyDescent="0.25">
      <c r="A1674" s="15">
        <v>24567563</v>
      </c>
      <c r="I1674" s="16">
        <v>45815</v>
      </c>
      <c r="J1674" s="15" t="str">
        <f>VLOOKUP(A1674,sinap!$A$2:$R$9000,2,FALSE)</f>
        <v>H</v>
      </c>
      <c r="K1674" s="15" t="str">
        <f>VLOOKUP(A1674,sinap!$A$2:$R$9000,3,FALSE)</f>
        <v>VAQUILLA</v>
      </c>
      <c r="L1674" s="15" t="str">
        <f>VLOOKUP(A1674,sinap!$A$2:$R$9000,4,FALSE)</f>
        <v>ANGUS NEGRO</v>
      </c>
      <c r="M1674" s="15" t="str">
        <f>VLOOKUP(A1674,sinap!$A$2:$R$9000,5,FALSE)</f>
        <v>1 años 4 meses</v>
      </c>
      <c r="N1674" s="15" t="str">
        <f>VLOOKUP(A1674,sinap!$A$2:$R$9000,6,FALSE)</f>
        <v>15-09-2024</v>
      </c>
      <c r="O1674" s="15" t="str">
        <f>VLOOKUP(A1674,sinap!$A$2:$R$9000,7,FALSE)</f>
        <v>Vivo</v>
      </c>
      <c r="P1674" s="15" t="str">
        <f>VLOOKUP(A1674,sinap!$A$2:$R$9000,8,FALSE)</f>
        <v>11.1.01.0941</v>
      </c>
      <c r="Q1674" s="15" t="str">
        <f>VLOOKUP(A1674,sinap!$A$2:$R$9000,12,FALSE)</f>
        <v>11.1.01.0893</v>
      </c>
      <c r="R1674" s="15" t="str">
        <f>VLOOKUP(A1674,sinap!$A$2:$R$9000,16,FALSE)</f>
        <v>11.1.01.0893</v>
      </c>
      <c r="S1674" s="15" t="str">
        <f>VLOOKUP(A1674,sinap!$A$2:$Y$9000,20,FALSE)</f>
        <v>SI</v>
      </c>
      <c r="T1674" s="16">
        <v>45674</v>
      </c>
    </row>
    <row r="1675" spans="1:20" hidden="1" x14ac:dyDescent="0.25">
      <c r="A1675" s="15">
        <v>24567565</v>
      </c>
      <c r="I1675" s="16">
        <v>45815</v>
      </c>
      <c r="J1675" s="15" t="str">
        <f>VLOOKUP(A1675,sinap!$A$2:$R$9000,2,FALSE)</f>
        <v>H</v>
      </c>
      <c r="K1675" s="15" t="str">
        <f>VLOOKUP(A1675,sinap!$A$2:$R$9000,3,FALSE)</f>
        <v>VAQUILLA</v>
      </c>
      <c r="L1675" s="15" t="str">
        <f>VLOOKUP(A1675,sinap!$A$2:$R$9000,4,FALSE)</f>
        <v>ANGUS NEGRO</v>
      </c>
      <c r="M1675" s="15" t="str">
        <f>VLOOKUP(A1675,sinap!$A$2:$R$9000,5,FALSE)</f>
        <v>1 años 4 meses</v>
      </c>
      <c r="N1675" s="15" t="str">
        <f>VLOOKUP(A1675,sinap!$A$2:$R$9000,6,FALSE)</f>
        <v>15-09-2024</v>
      </c>
      <c r="O1675" s="15" t="str">
        <f>VLOOKUP(A1675,sinap!$A$2:$R$9000,7,FALSE)</f>
        <v>Vivo</v>
      </c>
      <c r="P1675" s="15" t="str">
        <f>VLOOKUP(A1675,sinap!$A$2:$R$9000,8,FALSE)</f>
        <v>11.1.01.0941</v>
      </c>
      <c r="Q1675" s="15" t="str">
        <f>VLOOKUP(A1675,sinap!$A$2:$R$9000,12,FALSE)</f>
        <v>11.1.01.0893</v>
      </c>
      <c r="R1675" s="15" t="str">
        <f>VLOOKUP(A1675,sinap!$A$2:$R$9000,16,FALSE)</f>
        <v>11.1.01.0893</v>
      </c>
      <c r="S1675" s="15" t="str">
        <f>VLOOKUP(A1675,sinap!$A$2:$Y$9000,20,FALSE)</f>
        <v>SI</v>
      </c>
      <c r="T1675" s="16">
        <v>45674</v>
      </c>
    </row>
    <row r="1676" spans="1:20" hidden="1" x14ac:dyDescent="0.25">
      <c r="A1676" s="15">
        <v>24567566</v>
      </c>
      <c r="I1676" s="16">
        <v>45815</v>
      </c>
      <c r="J1676" s="15" t="str">
        <f>VLOOKUP(A1676,sinap!$A$2:$R$9000,2,FALSE)</f>
        <v>M</v>
      </c>
      <c r="K1676" s="15" t="str">
        <f>VLOOKUP(A1676,sinap!$A$2:$R$9000,3,FALSE)</f>
        <v>NOVILLO</v>
      </c>
      <c r="L1676" s="15" t="str">
        <f>VLOOKUP(A1676,sinap!$A$2:$R$9000,4,FALSE)</f>
        <v>ANGUS NEGRO</v>
      </c>
      <c r="M1676" s="15" t="str">
        <f>VLOOKUP(A1676,sinap!$A$2:$R$9000,5,FALSE)</f>
        <v>1 años 4 meses</v>
      </c>
      <c r="N1676" s="15" t="str">
        <f>VLOOKUP(A1676,sinap!$A$2:$R$9000,6,FALSE)</f>
        <v>15-09-2024</v>
      </c>
      <c r="O1676" s="15" t="str">
        <f>VLOOKUP(A1676,sinap!$A$2:$R$9000,7,FALSE)</f>
        <v>Vivo</v>
      </c>
      <c r="P1676" s="15" t="str">
        <f>VLOOKUP(A1676,sinap!$A$2:$R$9000,8,FALSE)</f>
        <v>11.1.01.0941</v>
      </c>
      <c r="Q1676" s="15" t="str">
        <f>VLOOKUP(A1676,sinap!$A$2:$R$9000,12,FALSE)</f>
        <v>11.1.01.0893</v>
      </c>
      <c r="R1676" s="15" t="str">
        <f>VLOOKUP(A1676,sinap!$A$2:$R$9000,16,FALSE)</f>
        <v>11.1.01.0893</v>
      </c>
      <c r="S1676" s="15" t="str">
        <f>VLOOKUP(A1676,sinap!$A$2:$Y$9000,20,FALSE)</f>
        <v>SI</v>
      </c>
      <c r="T1676" s="16">
        <v>45674</v>
      </c>
    </row>
    <row r="1677" spans="1:20" hidden="1" x14ac:dyDescent="0.25">
      <c r="A1677" s="15">
        <v>24567569</v>
      </c>
      <c r="I1677" s="16">
        <v>45815</v>
      </c>
      <c r="J1677" s="15" t="str">
        <f>VLOOKUP(A1677,sinap!$A$2:$R$9000,2,FALSE)</f>
        <v>H</v>
      </c>
      <c r="K1677" s="15" t="str">
        <f>VLOOKUP(A1677,sinap!$A$2:$R$9000,3,FALSE)</f>
        <v>VAQUILLA</v>
      </c>
      <c r="L1677" s="15" t="str">
        <f>VLOOKUP(A1677,sinap!$A$2:$R$9000,4,FALSE)</f>
        <v>ANGUS NEGRO</v>
      </c>
      <c r="M1677" s="15" t="str">
        <f>VLOOKUP(A1677,sinap!$A$2:$R$9000,5,FALSE)</f>
        <v>1 años 4 meses</v>
      </c>
      <c r="N1677" s="15" t="str">
        <f>VLOOKUP(A1677,sinap!$A$2:$R$9000,6,FALSE)</f>
        <v>15-09-2024</v>
      </c>
      <c r="O1677" s="15" t="str">
        <f>VLOOKUP(A1677,sinap!$A$2:$R$9000,7,FALSE)</f>
        <v>Vivo</v>
      </c>
      <c r="P1677" s="15" t="str">
        <f>VLOOKUP(A1677,sinap!$A$2:$R$9000,8,FALSE)</f>
        <v>11.1.01.0941</v>
      </c>
      <c r="Q1677" s="15" t="str">
        <f>VLOOKUP(A1677,sinap!$A$2:$R$9000,12,FALSE)</f>
        <v>11.1.01.0893</v>
      </c>
      <c r="R1677" s="15" t="str">
        <f>VLOOKUP(A1677,sinap!$A$2:$R$9000,16,FALSE)</f>
        <v>11.1.01.0893</v>
      </c>
      <c r="S1677" s="15" t="str">
        <f>VLOOKUP(A1677,sinap!$A$2:$Y$9000,20,FALSE)</f>
        <v>SI</v>
      </c>
      <c r="T1677" s="16">
        <v>45674</v>
      </c>
    </row>
    <row r="1678" spans="1:20" hidden="1" x14ac:dyDescent="0.25">
      <c r="A1678" s="15">
        <v>24567571</v>
      </c>
      <c r="I1678" s="16">
        <v>45815</v>
      </c>
      <c r="J1678" s="15" t="str">
        <f>VLOOKUP(A1678,sinap!$A$2:$R$9000,2,FALSE)</f>
        <v>H</v>
      </c>
      <c r="K1678" s="15" t="str">
        <f>VLOOKUP(A1678,sinap!$A$2:$R$9000,3,FALSE)</f>
        <v>VAQUILLA</v>
      </c>
      <c r="L1678" s="15" t="str">
        <f>VLOOKUP(A1678,sinap!$A$2:$R$9000,4,FALSE)</f>
        <v>ANGUS NEGRO</v>
      </c>
      <c r="M1678" s="15" t="str">
        <f>VLOOKUP(A1678,sinap!$A$2:$R$9000,5,FALSE)</f>
        <v>1 años 4 meses</v>
      </c>
      <c r="N1678" s="15" t="str">
        <f>VLOOKUP(A1678,sinap!$A$2:$R$9000,6,FALSE)</f>
        <v>15-09-2024</v>
      </c>
      <c r="O1678" s="15" t="str">
        <f>VLOOKUP(A1678,sinap!$A$2:$R$9000,7,FALSE)</f>
        <v>Vivo</v>
      </c>
      <c r="P1678" s="15" t="str">
        <f>VLOOKUP(A1678,sinap!$A$2:$R$9000,8,FALSE)</f>
        <v>11.1.01.0941</v>
      </c>
      <c r="Q1678" s="15" t="str">
        <f>VLOOKUP(A1678,sinap!$A$2:$R$9000,12,FALSE)</f>
        <v>11.1.01.0893</v>
      </c>
      <c r="R1678" s="15" t="str">
        <f>VLOOKUP(A1678,sinap!$A$2:$R$9000,16,FALSE)</f>
        <v>11.1.01.0893</v>
      </c>
      <c r="S1678" s="15" t="str">
        <f>VLOOKUP(A1678,sinap!$A$2:$Y$9000,20,FALSE)</f>
        <v>SI</v>
      </c>
      <c r="T1678" s="16">
        <v>45674</v>
      </c>
    </row>
    <row r="1679" spans="1:20" hidden="1" x14ac:dyDescent="0.25">
      <c r="A1679" s="15">
        <v>24567573</v>
      </c>
      <c r="I1679" s="16">
        <v>45815</v>
      </c>
      <c r="J1679" s="15" t="str">
        <f>VLOOKUP(A1679,sinap!$A$2:$R$9000,2,FALSE)</f>
        <v>M</v>
      </c>
      <c r="K1679" s="15" t="str">
        <f>VLOOKUP(A1679,sinap!$A$2:$R$9000,3,FALSE)</f>
        <v>NOVILLO</v>
      </c>
      <c r="L1679" s="15" t="str">
        <f>VLOOKUP(A1679,sinap!$A$2:$R$9000,4,FALSE)</f>
        <v>ANGUS NEGRO</v>
      </c>
      <c r="M1679" s="15" t="str">
        <f>VLOOKUP(A1679,sinap!$A$2:$R$9000,5,FALSE)</f>
        <v>1 años 4 meses</v>
      </c>
      <c r="N1679" s="15" t="str">
        <f>VLOOKUP(A1679,sinap!$A$2:$R$9000,6,FALSE)</f>
        <v>15-09-2024</v>
      </c>
      <c r="O1679" s="15" t="str">
        <f>VLOOKUP(A1679,sinap!$A$2:$R$9000,7,FALSE)</f>
        <v>Vivo</v>
      </c>
      <c r="P1679" s="15" t="str">
        <f>VLOOKUP(A1679,sinap!$A$2:$R$9000,8,FALSE)</f>
        <v>11.1.01.0941</v>
      </c>
      <c r="Q1679" s="15" t="str">
        <f>VLOOKUP(A1679,sinap!$A$2:$R$9000,12,FALSE)</f>
        <v>11.1.01.0893</v>
      </c>
      <c r="R1679" s="15" t="str">
        <f>VLOOKUP(A1679,sinap!$A$2:$R$9000,16,FALSE)</f>
        <v>11.1.01.0893</v>
      </c>
      <c r="S1679" s="15" t="str">
        <f>VLOOKUP(A1679,sinap!$A$2:$Y$9000,20,FALSE)</f>
        <v>SI</v>
      </c>
      <c r="T1679" s="16">
        <v>45674</v>
      </c>
    </row>
    <row r="1680" spans="1:20" hidden="1" x14ac:dyDescent="0.25">
      <c r="A1680" s="15">
        <v>24567575</v>
      </c>
      <c r="I1680" s="16">
        <v>45815</v>
      </c>
      <c r="J1680" s="15" t="str">
        <f>VLOOKUP(A1680,sinap!$A$2:$R$9000,2,FALSE)</f>
        <v>H</v>
      </c>
      <c r="K1680" s="15" t="str">
        <f>VLOOKUP(A1680,sinap!$A$2:$R$9000,3,FALSE)</f>
        <v>VAQUILLA</v>
      </c>
      <c r="L1680" s="15" t="str">
        <f>VLOOKUP(A1680,sinap!$A$2:$R$9000,4,FALSE)</f>
        <v>ANGUS NEGRO</v>
      </c>
      <c r="M1680" s="15" t="str">
        <f>VLOOKUP(A1680,sinap!$A$2:$R$9000,5,FALSE)</f>
        <v>1 años 4 meses</v>
      </c>
      <c r="N1680" s="15" t="str">
        <f>VLOOKUP(A1680,sinap!$A$2:$R$9000,6,FALSE)</f>
        <v>15-09-2024</v>
      </c>
      <c r="O1680" s="15" t="str">
        <f>VLOOKUP(A1680,sinap!$A$2:$R$9000,7,FALSE)</f>
        <v>Vivo</v>
      </c>
      <c r="P1680" s="15" t="str">
        <f>VLOOKUP(A1680,sinap!$A$2:$R$9000,8,FALSE)</f>
        <v>11.1.01.0941</v>
      </c>
      <c r="Q1680" s="15" t="str">
        <f>VLOOKUP(A1680,sinap!$A$2:$R$9000,12,FALSE)</f>
        <v>11.1.01.0893</v>
      </c>
      <c r="R1680" s="15" t="str">
        <f>VLOOKUP(A1680,sinap!$A$2:$R$9000,16,FALSE)</f>
        <v>11.1.01.0893</v>
      </c>
      <c r="S1680" s="15" t="str">
        <f>VLOOKUP(A1680,sinap!$A$2:$Y$9000,20,FALSE)</f>
        <v>SI</v>
      </c>
      <c r="T1680" s="16">
        <v>45674</v>
      </c>
    </row>
    <row r="1681" spans="1:20" hidden="1" x14ac:dyDescent="0.25">
      <c r="A1681" s="15">
        <v>24567576</v>
      </c>
      <c r="I1681" s="16">
        <v>45815</v>
      </c>
      <c r="J1681" s="15" t="str">
        <f>VLOOKUP(A1681,sinap!$A$2:$R$9000,2,FALSE)</f>
        <v>H</v>
      </c>
      <c r="K1681" s="15" t="str">
        <f>VLOOKUP(A1681,sinap!$A$2:$R$9000,3,FALSE)</f>
        <v>VAQUILLA</v>
      </c>
      <c r="L1681" s="15" t="str">
        <f>VLOOKUP(A1681,sinap!$A$2:$R$9000,4,FALSE)</f>
        <v>ANGUS NEGRO</v>
      </c>
      <c r="M1681" s="15" t="str">
        <f>VLOOKUP(A1681,sinap!$A$2:$R$9000,5,FALSE)</f>
        <v>1 años 4 meses</v>
      </c>
      <c r="N1681" s="15" t="str">
        <f>VLOOKUP(A1681,sinap!$A$2:$R$9000,6,FALSE)</f>
        <v>15-09-2024</v>
      </c>
      <c r="O1681" s="15" t="str">
        <f>VLOOKUP(A1681,sinap!$A$2:$R$9000,7,FALSE)</f>
        <v>Vivo</v>
      </c>
      <c r="P1681" s="15" t="str">
        <f>VLOOKUP(A1681,sinap!$A$2:$R$9000,8,FALSE)</f>
        <v>11.1.01.0941</v>
      </c>
      <c r="Q1681" s="15" t="str">
        <f>VLOOKUP(A1681,sinap!$A$2:$R$9000,12,FALSE)</f>
        <v>11.1.01.0893</v>
      </c>
      <c r="R1681" s="15" t="str">
        <f>VLOOKUP(A1681,sinap!$A$2:$R$9000,16,FALSE)</f>
        <v>11.1.01.0893</v>
      </c>
      <c r="S1681" s="15" t="str">
        <f>VLOOKUP(A1681,sinap!$A$2:$Y$9000,20,FALSE)</f>
        <v>SI</v>
      </c>
      <c r="T1681" s="16">
        <v>45674</v>
      </c>
    </row>
    <row r="1682" spans="1:20" hidden="1" x14ac:dyDescent="0.25">
      <c r="A1682" s="15">
        <v>24567577</v>
      </c>
      <c r="I1682" s="16">
        <v>45815</v>
      </c>
      <c r="J1682" s="15" t="str">
        <f>VLOOKUP(A1682,sinap!$A$2:$R$9000,2,FALSE)</f>
        <v>H</v>
      </c>
      <c r="K1682" s="15" t="str">
        <f>VLOOKUP(A1682,sinap!$A$2:$R$9000,3,FALSE)</f>
        <v>VAQUILLA</v>
      </c>
      <c r="L1682" s="15" t="str">
        <f>VLOOKUP(A1682,sinap!$A$2:$R$9000,4,FALSE)</f>
        <v>ANGUS NEGRO</v>
      </c>
      <c r="M1682" s="15" t="str">
        <f>VLOOKUP(A1682,sinap!$A$2:$R$9000,5,FALSE)</f>
        <v>1 años 4 meses</v>
      </c>
      <c r="N1682" s="15" t="str">
        <f>VLOOKUP(A1682,sinap!$A$2:$R$9000,6,FALSE)</f>
        <v>15-09-2024</v>
      </c>
      <c r="O1682" s="15" t="str">
        <f>VLOOKUP(A1682,sinap!$A$2:$R$9000,7,FALSE)</f>
        <v>Vivo</v>
      </c>
      <c r="P1682" s="15" t="str">
        <f>VLOOKUP(A1682,sinap!$A$2:$R$9000,8,FALSE)</f>
        <v>11.1.01.0941</v>
      </c>
      <c r="Q1682" s="15" t="str">
        <f>VLOOKUP(A1682,sinap!$A$2:$R$9000,12,FALSE)</f>
        <v>11.1.01.0893</v>
      </c>
      <c r="R1682" s="15" t="str">
        <f>VLOOKUP(A1682,sinap!$A$2:$R$9000,16,FALSE)</f>
        <v>11.1.01.0893</v>
      </c>
      <c r="S1682" s="15" t="str">
        <f>VLOOKUP(A1682,sinap!$A$2:$Y$9000,20,FALSE)</f>
        <v>SI</v>
      </c>
      <c r="T1682" s="16">
        <v>45674</v>
      </c>
    </row>
    <row r="1683" spans="1:20" hidden="1" x14ac:dyDescent="0.25">
      <c r="A1683" s="15">
        <v>24567581</v>
      </c>
      <c r="I1683" s="16">
        <v>45815</v>
      </c>
      <c r="J1683" s="15" t="str">
        <f>VLOOKUP(A1683,sinap!$A$2:$R$9000,2,FALSE)</f>
        <v>H</v>
      </c>
      <c r="K1683" s="15" t="str">
        <f>VLOOKUP(A1683,sinap!$A$2:$R$9000,3,FALSE)</f>
        <v>VAQUILLA</v>
      </c>
      <c r="L1683" s="15" t="str">
        <f>VLOOKUP(A1683,sinap!$A$2:$R$9000,4,FALSE)</f>
        <v>ANGUS NEGRO</v>
      </c>
      <c r="M1683" s="15" t="str">
        <f>VLOOKUP(A1683,sinap!$A$2:$R$9000,5,FALSE)</f>
        <v>1 años 4 meses</v>
      </c>
      <c r="N1683" s="15" t="str">
        <f>VLOOKUP(A1683,sinap!$A$2:$R$9000,6,FALSE)</f>
        <v>15-09-2024</v>
      </c>
      <c r="O1683" s="15" t="str">
        <f>VLOOKUP(A1683,sinap!$A$2:$R$9000,7,FALSE)</f>
        <v>Vivo</v>
      </c>
      <c r="P1683" s="15" t="str">
        <f>VLOOKUP(A1683,sinap!$A$2:$R$9000,8,FALSE)</f>
        <v>11.1.01.0941</v>
      </c>
      <c r="Q1683" s="15" t="str">
        <f>VLOOKUP(A1683,sinap!$A$2:$R$9000,12,FALSE)</f>
        <v>11.1.01.0893</v>
      </c>
      <c r="R1683" s="15" t="str">
        <f>VLOOKUP(A1683,sinap!$A$2:$R$9000,16,FALSE)</f>
        <v>11.1.01.0893</v>
      </c>
      <c r="S1683" s="15" t="str">
        <f>VLOOKUP(A1683,sinap!$A$2:$Y$9000,20,FALSE)</f>
        <v>SI</v>
      </c>
      <c r="T1683" s="16">
        <v>45674</v>
      </c>
    </row>
    <row r="1684" spans="1:20" hidden="1" x14ac:dyDescent="0.25">
      <c r="A1684" s="15">
        <v>24567592</v>
      </c>
      <c r="J1684" s="15" t="str">
        <f>VLOOKUP(A1684,sinap!$A$2:$R$9000,2,FALSE)</f>
        <v>M</v>
      </c>
      <c r="K1684" s="15" t="str">
        <f>VLOOKUP(A1684,sinap!$A$2:$R$9000,3,FALSE)</f>
        <v>TERNERO</v>
      </c>
      <c r="L1684" s="15" t="str">
        <f>VLOOKUP(A1684,sinap!$A$2:$R$9000,4,FALSE)</f>
        <v>ANGUS ROJO</v>
      </c>
      <c r="M1684" s="15" t="str">
        <f>VLOOKUP(A1684,sinap!$A$2:$R$9000,5,FALSE)</f>
        <v>0 años 11 meses</v>
      </c>
      <c r="N1684" s="15" t="str">
        <f>VLOOKUP(A1684,sinap!$A$2:$R$9000,6,FALSE)</f>
        <v>30-01-2025</v>
      </c>
      <c r="O1684" s="15" t="str">
        <f>VLOOKUP(A1684,sinap!$A$2:$R$9000,7,FALSE)</f>
        <v>Vivo</v>
      </c>
      <c r="P1684" s="15" t="str">
        <f>VLOOKUP(A1684,sinap!$A$2:$R$9000,8,FALSE)</f>
        <v>11.1.01.1241</v>
      </c>
      <c r="Q1684" s="15" t="str">
        <f>VLOOKUP(A1684,sinap!$A$2:$R$9000,12,FALSE)</f>
        <v>Sin Movimiento</v>
      </c>
      <c r="R1684" s="15" t="str">
        <f>VLOOKUP(A1684,sinap!$A$2:$R$9000,16,FALSE)</f>
        <v>11.1.01.1241</v>
      </c>
      <c r="S1684" s="15" t="str">
        <f>VLOOKUP(A1684,sinap!$A$2:$Y$9000,20,FALSE)</f>
        <v>SI</v>
      </c>
      <c r="T1684" s="16">
        <v>45774</v>
      </c>
    </row>
    <row r="1685" spans="1:20" hidden="1" x14ac:dyDescent="0.25">
      <c r="A1685" s="15">
        <v>24567593</v>
      </c>
      <c r="J1685" s="15" t="str">
        <f>VLOOKUP(A1685,sinap!$A$2:$R$9000,2,FALSE)</f>
        <v>H</v>
      </c>
      <c r="K1685" s="15" t="str">
        <f>VLOOKUP(A1685,sinap!$A$2:$R$9000,3,FALSE)</f>
        <v>TERNERA</v>
      </c>
      <c r="L1685" s="15" t="str">
        <f>VLOOKUP(A1685,sinap!$A$2:$R$9000,4,FALSE)</f>
        <v>ANGUS ROJO</v>
      </c>
      <c r="M1685" s="15" t="str">
        <f>VLOOKUP(A1685,sinap!$A$2:$R$9000,5,FALSE)</f>
        <v>0 años 9 meses</v>
      </c>
      <c r="N1685" s="15" t="str">
        <f>VLOOKUP(A1685,sinap!$A$2:$R$9000,6,FALSE)</f>
        <v>30-03-2025</v>
      </c>
      <c r="O1685" s="15" t="str">
        <f>VLOOKUP(A1685,sinap!$A$2:$R$9000,7,FALSE)</f>
        <v>Vivo</v>
      </c>
      <c r="P1685" s="15" t="str">
        <f>VLOOKUP(A1685,sinap!$A$2:$R$9000,8,FALSE)</f>
        <v>11.1.01.2442</v>
      </c>
      <c r="Q1685" s="15" t="str">
        <f>VLOOKUP(A1685,sinap!$A$2:$R$9000,12,FALSE)</f>
        <v>11.1.01.0190</v>
      </c>
      <c r="R1685" s="15" t="str">
        <f>VLOOKUP(A1685,sinap!$A$2:$R$9000,16,FALSE)</f>
        <v>11.1.01.1241</v>
      </c>
      <c r="S1685" s="15" t="str">
        <f>VLOOKUP(A1685,sinap!$A$2:$Y$9000,20,FALSE)</f>
        <v>SI</v>
      </c>
      <c r="T1685" s="16">
        <v>45774</v>
      </c>
    </row>
    <row r="1686" spans="1:20" hidden="1" x14ac:dyDescent="0.25">
      <c r="A1686" s="15">
        <v>24567594</v>
      </c>
      <c r="J1686" s="15" t="str">
        <f>VLOOKUP(A1686,sinap!$A$2:$R$9000,2,FALSE)</f>
        <v>H</v>
      </c>
      <c r="K1686" s="15" t="str">
        <f>VLOOKUP(A1686,sinap!$A$2:$R$9000,3,FALSE)</f>
        <v>VAQUILLA</v>
      </c>
      <c r="L1686" s="15" t="str">
        <f>VLOOKUP(A1686,sinap!$A$2:$R$9000,4,FALSE)</f>
        <v>ANGUS NEGRO</v>
      </c>
      <c r="M1686" s="15" t="str">
        <f>VLOOKUP(A1686,sinap!$A$2:$R$9000,5,FALSE)</f>
        <v>1 años 1 meses</v>
      </c>
      <c r="N1686" s="15" t="str">
        <f>VLOOKUP(A1686,sinap!$A$2:$R$9000,6,FALSE)</f>
        <v>30-11-2024</v>
      </c>
      <c r="O1686" s="15" t="str">
        <f>VLOOKUP(A1686,sinap!$A$2:$R$9000,7,FALSE)</f>
        <v>Vivo</v>
      </c>
      <c r="P1686" s="15" t="str">
        <f>VLOOKUP(A1686,sinap!$A$2:$R$9000,8,FALSE)</f>
        <v>11.1.01.1241</v>
      </c>
      <c r="Q1686" s="15" t="str">
        <f>VLOOKUP(A1686,sinap!$A$2:$R$9000,12,FALSE)</f>
        <v>Sin Movimiento</v>
      </c>
      <c r="R1686" s="15" t="str">
        <f>VLOOKUP(A1686,sinap!$A$2:$R$9000,16,FALSE)</f>
        <v>11.1.01.1241</v>
      </c>
      <c r="S1686" s="15" t="str">
        <f>VLOOKUP(A1686,sinap!$A$2:$Y$9000,20,FALSE)</f>
        <v>SI</v>
      </c>
      <c r="T1686" s="16">
        <v>45774</v>
      </c>
    </row>
    <row r="1687" spans="1:20" hidden="1" x14ac:dyDescent="0.25">
      <c r="A1687" s="15">
        <v>24567595</v>
      </c>
      <c r="J1687" s="15" t="str">
        <f>VLOOKUP(A1687,sinap!$A$2:$R$9000,2,FALSE)</f>
        <v>H</v>
      </c>
      <c r="K1687" s="15" t="str">
        <f>VLOOKUP(A1687,sinap!$A$2:$R$9000,3,FALSE)</f>
        <v>TERNERA</v>
      </c>
      <c r="L1687" s="15" t="str">
        <f>VLOOKUP(A1687,sinap!$A$2:$R$9000,4,FALSE)</f>
        <v>ANGUS NEGRO</v>
      </c>
      <c r="M1687" s="15" t="str">
        <f>VLOOKUP(A1687,sinap!$A$2:$R$9000,5,FALSE)</f>
        <v>0 años 9 meses</v>
      </c>
      <c r="N1687" s="15" t="str">
        <f>VLOOKUP(A1687,sinap!$A$2:$R$9000,6,FALSE)</f>
        <v>11-04-2025</v>
      </c>
      <c r="O1687" s="15" t="str">
        <f>VLOOKUP(A1687,sinap!$A$2:$R$9000,7,FALSE)</f>
        <v>Vivo</v>
      </c>
      <c r="P1687" s="15" t="str">
        <f>VLOOKUP(A1687,sinap!$A$2:$R$9000,8,FALSE)</f>
        <v>11.1.01.2442</v>
      </c>
      <c r="Q1687" s="15" t="str">
        <f>VLOOKUP(A1687,sinap!$A$2:$R$9000,12,FALSE)</f>
        <v>11.1.01.0190</v>
      </c>
      <c r="R1687" s="15" t="str">
        <f>VLOOKUP(A1687,sinap!$A$2:$R$9000,16,FALSE)</f>
        <v>11.1.01.1241</v>
      </c>
      <c r="S1687" s="15" t="str">
        <f>VLOOKUP(A1687,sinap!$A$2:$Y$9000,20,FALSE)</f>
        <v>SI</v>
      </c>
      <c r="T1687" s="16">
        <v>45774</v>
      </c>
    </row>
    <row r="1688" spans="1:20" hidden="1" x14ac:dyDescent="0.25">
      <c r="A1688" s="15">
        <v>24567596</v>
      </c>
      <c r="J1688" s="15" t="str">
        <f>VLOOKUP(A1688,sinap!$A$2:$R$9000,2,FALSE)</f>
        <v>H</v>
      </c>
      <c r="K1688" s="15" t="str">
        <f>VLOOKUP(A1688,sinap!$A$2:$R$9000,3,FALSE)</f>
        <v>TERNERA</v>
      </c>
      <c r="L1688" s="15" t="str">
        <f>VLOOKUP(A1688,sinap!$A$2:$R$9000,4,FALSE)</f>
        <v>ANGUS NEGRO</v>
      </c>
      <c r="M1688" s="15" t="str">
        <f>VLOOKUP(A1688,sinap!$A$2:$R$9000,5,FALSE)</f>
        <v>0 años 9 meses</v>
      </c>
      <c r="N1688" s="15" t="str">
        <f>VLOOKUP(A1688,sinap!$A$2:$R$9000,6,FALSE)</f>
        <v>11-04-2025</v>
      </c>
      <c r="O1688" s="15" t="str">
        <f>VLOOKUP(A1688,sinap!$A$2:$R$9000,7,FALSE)</f>
        <v>Vivo</v>
      </c>
      <c r="P1688" s="15" t="str">
        <f>VLOOKUP(A1688,sinap!$A$2:$R$9000,8,FALSE)</f>
        <v>11.1.01.2442</v>
      </c>
      <c r="Q1688" s="15" t="str">
        <f>VLOOKUP(A1688,sinap!$A$2:$R$9000,12,FALSE)</f>
        <v>11.1.01.0190</v>
      </c>
      <c r="R1688" s="15" t="str">
        <f>VLOOKUP(A1688,sinap!$A$2:$R$9000,16,FALSE)</f>
        <v>11.1.01.1241</v>
      </c>
      <c r="S1688" s="15" t="str">
        <f>VLOOKUP(A1688,sinap!$A$2:$Y$9000,20,FALSE)</f>
        <v>SI</v>
      </c>
      <c r="T1688" s="16">
        <v>45774</v>
      </c>
    </row>
    <row r="1689" spans="1:20" hidden="1" x14ac:dyDescent="0.25">
      <c r="A1689" s="15">
        <v>24567597</v>
      </c>
      <c r="J1689" s="15" t="str">
        <f>VLOOKUP(A1689,sinap!$A$2:$R$9000,2,FALSE)</f>
        <v>M</v>
      </c>
      <c r="K1689" s="15" t="str">
        <f>VLOOKUP(A1689,sinap!$A$2:$R$9000,3,FALSE)</f>
        <v>TERNERO</v>
      </c>
      <c r="L1689" s="15" t="str">
        <f>VLOOKUP(A1689,sinap!$A$2:$R$9000,4,FALSE)</f>
        <v>HEREFORD</v>
      </c>
      <c r="M1689" s="15" t="str">
        <f>VLOOKUP(A1689,sinap!$A$2:$R$9000,5,FALSE)</f>
        <v>0 años 9 meses</v>
      </c>
      <c r="N1689" s="15" t="str">
        <f>VLOOKUP(A1689,sinap!$A$2:$R$9000,6,FALSE)</f>
        <v>31-03-2025</v>
      </c>
      <c r="O1689" s="15" t="str">
        <f>VLOOKUP(A1689,sinap!$A$2:$R$9000,7,FALSE)</f>
        <v>Vivo</v>
      </c>
      <c r="P1689" s="15" t="str">
        <f>VLOOKUP(A1689,sinap!$A$2:$R$9000,8,FALSE)</f>
        <v>11.1.01.0941</v>
      </c>
      <c r="Q1689" s="15" t="str">
        <f>VLOOKUP(A1689,sinap!$A$2:$R$9000,12,FALSE)</f>
        <v>11.1.01.1241</v>
      </c>
      <c r="R1689" s="15" t="str">
        <f>VLOOKUP(A1689,sinap!$A$2:$R$9000,16,FALSE)</f>
        <v>11.1.01.1241</v>
      </c>
      <c r="S1689" s="15" t="str">
        <f>VLOOKUP(A1689,sinap!$A$2:$Y$9000,20,FALSE)</f>
        <v>SI</v>
      </c>
      <c r="T1689" s="16">
        <v>45774</v>
      </c>
    </row>
    <row r="1690" spans="1:20" hidden="1" x14ac:dyDescent="0.25">
      <c r="A1690" s="15">
        <v>24567598</v>
      </c>
      <c r="J1690" s="15" t="str">
        <f>VLOOKUP(A1690,sinap!$A$2:$R$9000,2,FALSE)</f>
        <v>H</v>
      </c>
      <c r="K1690" s="15" t="str">
        <f>VLOOKUP(A1690,sinap!$A$2:$R$9000,3,FALSE)</f>
        <v>TERNERA</v>
      </c>
      <c r="L1690" s="15" t="str">
        <f>VLOOKUP(A1690,sinap!$A$2:$R$9000,4,FALSE)</f>
        <v>ANGUS ROJO</v>
      </c>
      <c r="M1690" s="15" t="str">
        <f>VLOOKUP(A1690,sinap!$A$2:$R$9000,5,FALSE)</f>
        <v>0 años 10 meses</v>
      </c>
      <c r="N1690" s="15" t="str">
        <f>VLOOKUP(A1690,sinap!$A$2:$R$9000,6,FALSE)</f>
        <v>11-03-2025</v>
      </c>
      <c r="O1690" s="15" t="str">
        <f>VLOOKUP(A1690,sinap!$A$2:$R$9000,7,FALSE)</f>
        <v>Vivo</v>
      </c>
      <c r="P1690" s="15" t="str">
        <f>VLOOKUP(A1690,sinap!$A$2:$R$9000,8,FALSE)</f>
        <v>11.1.01.1241</v>
      </c>
      <c r="Q1690" s="15" t="str">
        <f>VLOOKUP(A1690,sinap!$A$2:$R$9000,12,FALSE)</f>
        <v>Sin Movimiento</v>
      </c>
      <c r="R1690" s="15" t="str">
        <f>VLOOKUP(A1690,sinap!$A$2:$R$9000,16,FALSE)</f>
        <v>11.1.01.1241</v>
      </c>
      <c r="S1690" s="15" t="str">
        <f>VLOOKUP(A1690,sinap!$A$2:$Y$9000,20,FALSE)</f>
        <v>SI</v>
      </c>
      <c r="T1690" s="16">
        <v>45774</v>
      </c>
    </row>
    <row r="1691" spans="1:20" hidden="1" x14ac:dyDescent="0.25">
      <c r="A1691" s="15">
        <v>24567599</v>
      </c>
      <c r="J1691" s="15" t="str">
        <f>VLOOKUP(A1691,sinap!$A$2:$R$9000,2,FALSE)</f>
        <v>H</v>
      </c>
      <c r="K1691" s="15" t="str">
        <f>VLOOKUP(A1691,sinap!$A$2:$R$9000,3,FALSE)</f>
        <v>TERNERA</v>
      </c>
      <c r="L1691" s="15" t="str">
        <f>VLOOKUP(A1691,sinap!$A$2:$R$9000,4,FALSE)</f>
        <v>ANGUS ROJO</v>
      </c>
      <c r="M1691" s="15" t="str">
        <f>VLOOKUP(A1691,sinap!$A$2:$R$9000,5,FALSE)</f>
        <v>0 años 10 meses</v>
      </c>
      <c r="N1691" s="15" t="str">
        <f>VLOOKUP(A1691,sinap!$A$2:$R$9000,6,FALSE)</f>
        <v>11-03-2025</v>
      </c>
      <c r="O1691" s="15" t="str">
        <f>VLOOKUP(A1691,sinap!$A$2:$R$9000,7,FALSE)</f>
        <v>Vivo</v>
      </c>
      <c r="P1691" s="15" t="str">
        <f>VLOOKUP(A1691,sinap!$A$2:$R$9000,8,FALSE)</f>
        <v>11.1.01.1241</v>
      </c>
      <c r="Q1691" s="15" t="str">
        <f>VLOOKUP(A1691,sinap!$A$2:$R$9000,12,FALSE)</f>
        <v>Sin Movimiento</v>
      </c>
      <c r="R1691" s="15" t="str">
        <f>VLOOKUP(A1691,sinap!$A$2:$R$9000,16,FALSE)</f>
        <v>11.1.01.1241</v>
      </c>
      <c r="S1691" s="15" t="str">
        <f>VLOOKUP(A1691,sinap!$A$2:$Y$9000,20,FALSE)</f>
        <v>SI</v>
      </c>
      <c r="T1691" s="16">
        <v>45774</v>
      </c>
    </row>
    <row r="1692" spans="1:20" hidden="1" x14ac:dyDescent="0.25">
      <c r="A1692" s="15">
        <v>24567600</v>
      </c>
      <c r="J1692" s="15" t="str">
        <f>VLOOKUP(A1692,sinap!$A$2:$R$9000,2,FALSE)</f>
        <v>H</v>
      </c>
      <c r="K1692" s="15" t="str">
        <f>VLOOKUP(A1692,sinap!$A$2:$R$9000,3,FALSE)</f>
        <v>VAQUILLA</v>
      </c>
      <c r="L1692" s="15" t="str">
        <f>VLOOKUP(A1692,sinap!$A$2:$R$9000,4,FALSE)</f>
        <v>ANGUS NEGRO</v>
      </c>
      <c r="M1692" s="15" t="str">
        <f>VLOOKUP(A1692,sinap!$A$2:$R$9000,5,FALSE)</f>
        <v>1 años 1 meses</v>
      </c>
      <c r="N1692" s="15" t="str">
        <f>VLOOKUP(A1692,sinap!$A$2:$R$9000,6,FALSE)</f>
        <v>30-11-2024</v>
      </c>
      <c r="O1692" s="15" t="str">
        <f>VLOOKUP(A1692,sinap!$A$2:$R$9000,7,FALSE)</f>
        <v>Vivo</v>
      </c>
      <c r="P1692" s="15" t="str">
        <f>VLOOKUP(A1692,sinap!$A$2:$R$9000,8,FALSE)</f>
        <v>11.1.01.0941</v>
      </c>
      <c r="Q1692" s="15" t="str">
        <f>VLOOKUP(A1692,sinap!$A$2:$R$9000,12,FALSE)</f>
        <v>11.2.01.0053</v>
      </c>
      <c r="R1692" s="15" t="str">
        <f>VLOOKUP(A1692,sinap!$A$2:$R$9000,16,FALSE)</f>
        <v>11.1.01.1241</v>
      </c>
      <c r="S1692" s="15" t="str">
        <f>VLOOKUP(A1692,sinap!$A$2:$Y$9000,20,FALSE)</f>
        <v>SI</v>
      </c>
      <c r="T1692" s="16">
        <v>45774</v>
      </c>
    </row>
    <row r="1693" spans="1:20" hidden="1" x14ac:dyDescent="0.25">
      <c r="A1693" s="15">
        <v>24567601</v>
      </c>
      <c r="I1693" s="16">
        <v>45887</v>
      </c>
      <c r="J1693" s="15" t="str">
        <f>VLOOKUP(A1693,sinap!$A$2:$R$9000,2,FALSE)</f>
        <v>H</v>
      </c>
      <c r="K1693" s="15" t="str">
        <f>VLOOKUP(A1693,sinap!$A$2:$R$9000,3,FALSE)</f>
        <v>VAQUILLA</v>
      </c>
      <c r="L1693" s="15" t="str">
        <f>VLOOKUP(A1693,sinap!$A$2:$R$9000,4,FALSE)</f>
        <v>ANGUS NEGRO</v>
      </c>
      <c r="M1693" s="15" t="str">
        <f>VLOOKUP(A1693,sinap!$A$2:$R$9000,5,FALSE)</f>
        <v>1 años 2 meses</v>
      </c>
      <c r="N1693" s="15" t="str">
        <f>VLOOKUP(A1693,sinap!$A$2:$R$9000,6,FALSE)</f>
        <v>30-10-2024</v>
      </c>
      <c r="O1693" s="15" t="str">
        <f>VLOOKUP(A1693,sinap!$A$2:$R$9000,7,FALSE)</f>
        <v>Vivo</v>
      </c>
      <c r="P1693" s="15" t="str">
        <f>VLOOKUP(A1693,sinap!$A$2:$R$9000,8,FALSE)</f>
        <v>11.1.01.0941</v>
      </c>
      <c r="Q1693" s="15" t="str">
        <f>VLOOKUP(A1693,sinap!$A$2:$R$9000,12,FALSE)</f>
        <v>11.2.01.0053</v>
      </c>
      <c r="R1693" s="15" t="str">
        <f>VLOOKUP(A1693,sinap!$A$2:$R$9000,16,FALSE)</f>
        <v>11.1.01.1241</v>
      </c>
      <c r="S1693" s="15" t="str">
        <f>VLOOKUP(A1693,sinap!$A$2:$Y$9000,20,FALSE)</f>
        <v>SI</v>
      </c>
      <c r="T1693" s="16">
        <v>45774</v>
      </c>
    </row>
    <row r="1694" spans="1:20" hidden="1" x14ac:dyDescent="0.25">
      <c r="A1694" s="15">
        <v>24567602</v>
      </c>
      <c r="J1694" s="15" t="str">
        <f>VLOOKUP(A1694,sinap!$A$2:$R$9000,2,FALSE)</f>
        <v>H</v>
      </c>
      <c r="K1694" s="15" t="str">
        <f>VLOOKUP(A1694,sinap!$A$2:$R$9000,3,FALSE)</f>
        <v>VAQUILLA</v>
      </c>
      <c r="L1694" s="15" t="str">
        <f>VLOOKUP(A1694,sinap!$A$2:$R$9000,4,FALSE)</f>
        <v>ANGUS NEGRO</v>
      </c>
      <c r="M1694" s="15" t="str">
        <f>VLOOKUP(A1694,sinap!$A$2:$R$9000,5,FALSE)</f>
        <v>1 años 0 meses</v>
      </c>
      <c r="N1694" s="15" t="str">
        <f>VLOOKUP(A1694,sinap!$A$2:$R$9000,6,FALSE)</f>
        <v>31-12-2024</v>
      </c>
      <c r="O1694" s="15" t="str">
        <f>VLOOKUP(A1694,sinap!$A$2:$R$9000,7,FALSE)</f>
        <v>Vivo</v>
      </c>
      <c r="P1694" s="15" t="str">
        <f>VLOOKUP(A1694,sinap!$A$2:$R$9000,8,FALSE)</f>
        <v>11.1.01.1241</v>
      </c>
      <c r="Q1694" s="15" t="str">
        <f>VLOOKUP(A1694,sinap!$A$2:$R$9000,12,FALSE)</f>
        <v>Sin Movimiento</v>
      </c>
      <c r="R1694" s="15" t="str">
        <f>VLOOKUP(A1694,sinap!$A$2:$R$9000,16,FALSE)</f>
        <v>11.1.01.1241</v>
      </c>
      <c r="S1694" s="15" t="str">
        <f>VLOOKUP(A1694,sinap!$A$2:$Y$9000,20,FALSE)</f>
        <v>SI</v>
      </c>
      <c r="T1694" s="16">
        <v>45774</v>
      </c>
    </row>
    <row r="1695" spans="1:20" hidden="1" x14ac:dyDescent="0.25">
      <c r="A1695" s="15">
        <v>24567603</v>
      </c>
      <c r="J1695" s="15" t="str">
        <f>VLOOKUP(A1695,sinap!$A$2:$R$9000,2,FALSE)</f>
        <v>H</v>
      </c>
      <c r="K1695" s="15" t="str">
        <f>VLOOKUP(A1695,sinap!$A$2:$R$9000,3,FALSE)</f>
        <v>VAQUILLA</v>
      </c>
      <c r="L1695" s="15" t="str">
        <f>VLOOKUP(A1695,sinap!$A$2:$R$9000,4,FALSE)</f>
        <v>ANGUS NEGRO</v>
      </c>
      <c r="M1695" s="15" t="str">
        <f>VLOOKUP(A1695,sinap!$A$2:$R$9000,5,FALSE)</f>
        <v>1 años 0 meses</v>
      </c>
      <c r="N1695" s="15" t="str">
        <f>VLOOKUP(A1695,sinap!$A$2:$R$9000,6,FALSE)</f>
        <v>31-12-2024</v>
      </c>
      <c r="O1695" s="15" t="str">
        <f>VLOOKUP(A1695,sinap!$A$2:$R$9000,7,FALSE)</f>
        <v>Vivo</v>
      </c>
      <c r="P1695" s="15" t="str">
        <f>VLOOKUP(A1695,sinap!$A$2:$R$9000,8,FALSE)</f>
        <v>11.1.01.2442</v>
      </c>
      <c r="Q1695" s="15" t="str">
        <f>VLOOKUP(A1695,sinap!$A$2:$R$9000,12,FALSE)</f>
        <v>11.1.01.0190</v>
      </c>
      <c r="R1695" s="15" t="str">
        <f>VLOOKUP(A1695,sinap!$A$2:$R$9000,16,FALSE)</f>
        <v>11.1.01.1241</v>
      </c>
      <c r="S1695" s="15" t="str">
        <f>VLOOKUP(A1695,sinap!$A$2:$Y$9000,20,FALSE)</f>
        <v>SI</v>
      </c>
      <c r="T1695" s="16">
        <v>45774</v>
      </c>
    </row>
    <row r="1696" spans="1:20" hidden="1" x14ac:dyDescent="0.25">
      <c r="A1696" s="15">
        <v>24567604</v>
      </c>
      <c r="J1696" s="15" t="str">
        <f>VLOOKUP(A1696,sinap!$A$2:$R$9000,2,FALSE)</f>
        <v>H</v>
      </c>
      <c r="K1696" s="15" t="str">
        <f>VLOOKUP(A1696,sinap!$A$2:$R$9000,3,FALSE)</f>
        <v>VAQUILLA</v>
      </c>
      <c r="L1696" s="15" t="str">
        <f>VLOOKUP(A1696,sinap!$A$2:$R$9000,4,FALSE)</f>
        <v>ANGUS NEGRO</v>
      </c>
      <c r="M1696" s="15" t="str">
        <f>VLOOKUP(A1696,sinap!$A$2:$R$9000,5,FALSE)</f>
        <v>1 años 0 meses</v>
      </c>
      <c r="N1696" s="15" t="str">
        <f>VLOOKUP(A1696,sinap!$A$2:$R$9000,6,FALSE)</f>
        <v>31-12-2024</v>
      </c>
      <c r="O1696" s="15" t="str">
        <f>VLOOKUP(A1696,sinap!$A$2:$R$9000,7,FALSE)</f>
        <v>Vivo</v>
      </c>
      <c r="P1696" s="15" t="str">
        <f>VLOOKUP(A1696,sinap!$A$2:$R$9000,8,FALSE)</f>
        <v>11.1.01.1241</v>
      </c>
      <c r="Q1696" s="15" t="str">
        <f>VLOOKUP(A1696,sinap!$A$2:$R$9000,12,FALSE)</f>
        <v>Sin Movimiento</v>
      </c>
      <c r="R1696" s="15" t="str">
        <f>VLOOKUP(A1696,sinap!$A$2:$R$9000,16,FALSE)</f>
        <v>11.1.01.1241</v>
      </c>
      <c r="S1696" s="15" t="str">
        <f>VLOOKUP(A1696,sinap!$A$2:$Y$9000,20,FALSE)</f>
        <v>SI</v>
      </c>
      <c r="T1696" s="16">
        <v>45774</v>
      </c>
    </row>
    <row r="1697" spans="1:20" hidden="1" x14ac:dyDescent="0.25">
      <c r="A1697" s="15">
        <v>24567607</v>
      </c>
      <c r="C1697" s="15">
        <v>16705238</v>
      </c>
      <c r="I1697" s="16">
        <v>45965</v>
      </c>
      <c r="J1697" s="15" t="str">
        <f>VLOOKUP(A1697,sinap!$A$2:$R$9000,2,FALSE)</f>
        <v>H</v>
      </c>
      <c r="K1697" s="15" t="str">
        <f>VLOOKUP(A1697,sinap!$A$2:$R$9000,3,FALSE)</f>
        <v>VACA</v>
      </c>
      <c r="L1697" s="15" t="str">
        <f>VLOOKUP(A1697,sinap!$A$2:$R$9000,4,FALSE)</f>
        <v>ANGUS NEGRO</v>
      </c>
      <c r="M1697" s="15" t="str">
        <f>VLOOKUP(A1697,sinap!$A$2:$R$9000,5,FALSE)</f>
        <v>6 años 4 meses</v>
      </c>
      <c r="N1697" s="15" t="str">
        <f>VLOOKUP(A1697,sinap!$A$2:$R$9000,6,FALSE)</f>
        <v>15-09-2019</v>
      </c>
      <c r="O1697" s="15" t="str">
        <f>VLOOKUP(A1697,sinap!$A$2:$R$9000,7,FALSE)</f>
        <v>Vivo</v>
      </c>
      <c r="P1697" s="15" t="str">
        <f>VLOOKUP(A1697,sinap!$A$2:$R$9000,8,FALSE)</f>
        <v>11.1.01.2442</v>
      </c>
      <c r="Q1697" s="15" t="str">
        <f>VLOOKUP(A1697,sinap!$A$2:$R$9000,12,FALSE)</f>
        <v>11.1.01.0190</v>
      </c>
      <c r="R1697" s="15" t="str">
        <f>VLOOKUP(A1697,sinap!$A$2:$R$9000,16,FALSE)</f>
        <v>11.1.01.1241</v>
      </c>
      <c r="S1697" s="15" t="str">
        <f>VLOOKUP(A1697,sinap!$A$2:$Y$9000,20,FALSE)</f>
        <v>SI</v>
      </c>
      <c r="T1697" s="16" t="e">
        <v>#N/A</v>
      </c>
    </row>
    <row r="1698" spans="1:20" hidden="1" x14ac:dyDescent="0.25">
      <c r="A1698" s="15">
        <v>24567609</v>
      </c>
      <c r="C1698" s="15">
        <v>24567049</v>
      </c>
      <c r="I1698" s="16">
        <v>45887</v>
      </c>
      <c r="J1698" s="15" t="str">
        <f>VLOOKUP(A1698,sinap!$A$2:$R$9000,2,FALSE)</f>
        <v>H</v>
      </c>
      <c r="K1698" s="15" t="str">
        <f>VLOOKUP(A1698,sinap!$A$2:$R$9000,3,FALSE)</f>
        <v>VAQUILLA</v>
      </c>
      <c r="L1698" s="15" t="str">
        <f>VLOOKUP(A1698,sinap!$A$2:$R$9000,4,FALSE)</f>
        <v>ANGUS ROJO</v>
      </c>
      <c r="M1698" s="15" t="str">
        <f>VLOOKUP(A1698,sinap!$A$2:$R$9000,5,FALSE)</f>
        <v>1 años 4 meses</v>
      </c>
      <c r="N1698" s="15" t="str">
        <f>VLOOKUP(A1698,sinap!$A$2:$R$9000,6,FALSE)</f>
        <v>15-09-2024</v>
      </c>
      <c r="O1698" s="15" t="str">
        <f>VLOOKUP(A1698,sinap!$A$2:$R$9000,7,FALSE)</f>
        <v>Vivo</v>
      </c>
      <c r="P1698" s="15" t="str">
        <f>VLOOKUP(A1698,sinap!$A$2:$R$9000,8,FALSE)</f>
        <v>11.1.01.0941</v>
      </c>
      <c r="Q1698" s="15" t="str">
        <f>VLOOKUP(A1698,sinap!$A$2:$R$9000,12,FALSE)</f>
        <v>11.2.01.0053</v>
      </c>
      <c r="R1698" s="15" t="str">
        <f>VLOOKUP(A1698,sinap!$A$2:$R$9000,16,FALSE)</f>
        <v>11.1.01.1241</v>
      </c>
      <c r="S1698" s="15" t="str">
        <f>VLOOKUP(A1698,sinap!$A$2:$Y$9000,20,FALSE)</f>
        <v>SI</v>
      </c>
    </row>
    <row r="1699" spans="1:20" hidden="1" x14ac:dyDescent="0.25">
      <c r="A1699" s="15">
        <v>26126980</v>
      </c>
      <c r="C1699" s="15">
        <v>20910690</v>
      </c>
      <c r="G1699" s="16">
        <v>45215</v>
      </c>
      <c r="J1699" s="15" t="str">
        <f>VLOOKUP(A1699,sinap!$A$2:$R$9000,2,FALSE)</f>
        <v>H</v>
      </c>
      <c r="K1699" s="15" t="str">
        <f>VLOOKUP(A1699,sinap!$A$2:$R$9000,3,FALSE)</f>
        <v>VAQUILLA</v>
      </c>
      <c r="L1699" s="15" t="str">
        <f>VLOOKUP(A1699,sinap!$A$2:$R$9000,4,FALSE)</f>
        <v>ANGUS NEGRO</v>
      </c>
      <c r="M1699" s="15" t="str">
        <f>VLOOKUP(A1699,sinap!$A$2:$R$9000,5,FALSE)</f>
        <v>2 años 3 meses</v>
      </c>
      <c r="N1699" s="15" t="str">
        <f>VLOOKUP(A1699,sinap!$A$2:$R$9000,6,FALSE)</f>
        <v>30-09-2023</v>
      </c>
      <c r="O1699" s="15" t="str">
        <f>VLOOKUP(A1699,sinap!$A$2:$R$9000,7,FALSE)</f>
        <v>Vivo</v>
      </c>
      <c r="P1699" s="15" t="str">
        <f>VLOOKUP(A1699,sinap!$A$2:$R$9000,8,FALSE)</f>
        <v>11.1.01.2442</v>
      </c>
      <c r="Q1699" s="15" t="str">
        <f>VLOOKUP(A1699,sinap!$A$2:$R$9000,12,FALSE)</f>
        <v>11.1.01.0190</v>
      </c>
      <c r="R1699" s="15" t="str">
        <f>VLOOKUP(A1699,sinap!$A$2:$R$9000,16,FALSE)</f>
        <v>11.1.01.1241</v>
      </c>
      <c r="S1699" s="15" t="str">
        <f>VLOOKUP(A1699,sinap!$A$2:$Y$9000,20,FALSE)</f>
        <v>SI</v>
      </c>
      <c r="T1699" s="16">
        <v>45199</v>
      </c>
    </row>
    <row r="1700" spans="1:20" hidden="1" x14ac:dyDescent="0.25">
      <c r="A1700" s="15">
        <v>26126981</v>
      </c>
      <c r="B1700" s="15">
        <v>2636162</v>
      </c>
      <c r="C1700" s="15">
        <v>22350410</v>
      </c>
      <c r="G1700" s="16">
        <v>45264</v>
      </c>
      <c r="J1700" s="15" t="str">
        <f>VLOOKUP(A1700,sinap!$A$2:$R$9000,2,FALSE)</f>
        <v>M</v>
      </c>
      <c r="K1700" s="15" t="str">
        <f>VLOOKUP(A1700,sinap!$A$2:$R$9000,3,FALSE)</f>
        <v>TORO</v>
      </c>
      <c r="L1700" s="15" t="str">
        <f>VLOOKUP(A1700,sinap!$A$2:$R$9000,4,FALSE)</f>
        <v>ANGUS NEGRO</v>
      </c>
      <c r="M1700" s="15" t="str">
        <f>VLOOKUP(A1700,sinap!$A$2:$R$9000,5,FALSE)</f>
        <v>3 años 5 meses</v>
      </c>
      <c r="N1700" s="15" t="str">
        <f>VLOOKUP(A1700,sinap!$A$2:$R$9000,6,FALSE)</f>
        <v>22-07-2022</v>
      </c>
      <c r="O1700" s="15" t="str">
        <f>VLOOKUP(A1700,sinap!$A$2:$R$9000,7,FALSE)</f>
        <v>Vivo</v>
      </c>
      <c r="P1700" s="15" t="str">
        <f>VLOOKUP(A1700,sinap!$A$2:$R$9000,8,FALSE)</f>
        <v>11.1.01.2442</v>
      </c>
      <c r="Q1700" s="15" t="str">
        <f>VLOOKUP(A1700,sinap!$A$2:$R$9000,12,FALSE)</f>
        <v>11.1.01.0190</v>
      </c>
      <c r="R1700" s="15" t="str">
        <f>VLOOKUP(A1700,sinap!$A$2:$R$9000,16,FALSE)</f>
        <v>11.1.01.0893</v>
      </c>
      <c r="S1700" s="15" t="str">
        <f>VLOOKUP(A1700,sinap!$A$2:$Y$9000,20,FALSE)</f>
        <v>SI</v>
      </c>
      <c r="T1700" s="16">
        <v>44764</v>
      </c>
    </row>
    <row r="1701" spans="1:20" hidden="1" x14ac:dyDescent="0.25">
      <c r="A1701" s="15">
        <v>26126982</v>
      </c>
      <c r="C1701" s="15">
        <v>8933598</v>
      </c>
      <c r="D1701" s="16">
        <v>44133</v>
      </c>
      <c r="F1701" s="16">
        <v>44912</v>
      </c>
      <c r="G1701" s="16">
        <v>45092</v>
      </c>
      <c r="H1701" s="16">
        <v>45577</v>
      </c>
      <c r="J1701" s="15" t="str">
        <f>VLOOKUP(A1701,sinap!$A$2:$R$9000,2,FALSE)</f>
        <v>H</v>
      </c>
      <c r="K1701" s="15" t="str">
        <f>VLOOKUP(A1701,sinap!$A$2:$R$9000,3,FALSE)</f>
        <v>VACA</v>
      </c>
      <c r="L1701" s="15" t="str">
        <f>VLOOKUP(A1701,sinap!$A$2:$R$9000,4,FALSE)</f>
        <v>ANGUS NEGRO</v>
      </c>
      <c r="M1701" s="15" t="str">
        <f>VLOOKUP(A1701,sinap!$A$2:$R$9000,5,FALSE)</f>
        <v>10 años 1 meses</v>
      </c>
      <c r="N1701" s="15" t="str">
        <f>VLOOKUP(A1701,sinap!$A$2:$R$9000,6,FALSE)</f>
        <v>30-11-2015</v>
      </c>
      <c r="O1701" s="15" t="str">
        <f>VLOOKUP(A1701,sinap!$A$2:$R$9000,7,FALSE)</f>
        <v>Vivo</v>
      </c>
      <c r="P1701" s="15" t="str">
        <f>VLOOKUP(A1701,sinap!$A$2:$R$9000,8,FALSE)</f>
        <v>11.1.01.2442</v>
      </c>
      <c r="Q1701" s="15" t="str">
        <f>VLOOKUP(A1701,sinap!$A$2:$R$9000,12,FALSE)</f>
        <v>11.1.01.0190</v>
      </c>
      <c r="R1701" s="15" t="str">
        <f>VLOOKUP(A1701,sinap!$A$2:$R$9000,16,FALSE)</f>
        <v>11.1.01.1241</v>
      </c>
      <c r="S1701" s="15" t="str">
        <f>VLOOKUP(A1701,sinap!$A$2:$Y$9000,20,FALSE)</f>
        <v>SI</v>
      </c>
      <c r="T1701" s="16">
        <v>42338</v>
      </c>
    </row>
    <row r="1702" spans="1:20" hidden="1" x14ac:dyDescent="0.25">
      <c r="A1702" s="15">
        <v>26126983</v>
      </c>
      <c r="C1702" s="15">
        <v>23323333</v>
      </c>
      <c r="J1702" s="15" t="str">
        <f>VLOOKUP(A1702,sinap!$A$2:$R$9000,2,FALSE)</f>
        <v>H</v>
      </c>
      <c r="K1702" s="15" t="str">
        <f>VLOOKUP(A1702,sinap!$A$2:$R$9000,3,FALSE)</f>
        <v>VAQUILLA</v>
      </c>
      <c r="L1702" s="15" t="str">
        <f>VLOOKUP(A1702,sinap!$A$2:$R$9000,4,FALSE)</f>
        <v>ANGUS NEGRO</v>
      </c>
      <c r="M1702" s="15" t="str">
        <f>VLOOKUP(A1702,sinap!$A$2:$R$9000,5,FALSE)</f>
        <v>2 años 1 meses</v>
      </c>
      <c r="N1702" s="15" t="str">
        <f>VLOOKUP(A1702,sinap!$A$2:$R$9000,6,FALSE)</f>
        <v>30-11-2023</v>
      </c>
      <c r="O1702" s="15" t="str">
        <f>VLOOKUP(A1702,sinap!$A$2:$R$9000,7,FALSE)</f>
        <v>Vivo</v>
      </c>
      <c r="P1702" s="15" t="str">
        <f>VLOOKUP(A1702,sinap!$A$2:$R$9000,8,FALSE)</f>
        <v>11.1.01.2442</v>
      </c>
      <c r="Q1702" s="15" t="str">
        <f>VLOOKUP(A1702,sinap!$A$2:$R$9000,12,FALSE)</f>
        <v>11.1.01.0190</v>
      </c>
      <c r="R1702" s="15" t="str">
        <f>VLOOKUP(A1702,sinap!$A$2:$R$9000,16,FALSE)</f>
        <v>11.1.01.1241</v>
      </c>
      <c r="S1702" s="15" t="str">
        <f>VLOOKUP(A1702,sinap!$A$2:$Y$9000,20,FALSE)</f>
        <v>SI</v>
      </c>
      <c r="T1702" s="16">
        <v>45260</v>
      </c>
    </row>
    <row r="1703" spans="1:20" hidden="1" x14ac:dyDescent="0.25">
      <c r="A1703" s="15">
        <v>26234001</v>
      </c>
      <c r="J1703" s="15" t="str">
        <f>VLOOKUP(A1703,sinap!$A$2:$R$9000,2,FALSE)</f>
        <v>H</v>
      </c>
      <c r="K1703" s="15" t="str">
        <f>VLOOKUP(A1703,sinap!$A$2:$R$9000,3,FALSE)</f>
        <v>TERNERA</v>
      </c>
      <c r="L1703" s="15" t="str">
        <f>VLOOKUP(A1703,sinap!$A$2:$R$9000,4,FALSE)</f>
        <v>ANGUS NEGRO</v>
      </c>
      <c r="M1703" s="15" t="str">
        <f>VLOOKUP(A1703,sinap!$A$2:$R$9000,5,FALSE)</f>
        <v>0 años 3 meses</v>
      </c>
      <c r="N1703" s="15" t="str">
        <f>VLOOKUP(A1703,sinap!$A$2:$R$9000,6,FALSE)</f>
        <v>30-09-2025</v>
      </c>
      <c r="O1703" s="15" t="str">
        <f>VLOOKUP(A1703,sinap!$A$2:$R$9000,7,FALSE)</f>
        <v>Vivo</v>
      </c>
      <c r="P1703" s="15" t="str">
        <f>VLOOKUP(A1703,sinap!$A$2:$R$9000,8,FALSE)</f>
        <v>11.1.01.2442</v>
      </c>
      <c r="Q1703" s="15" t="str">
        <f>VLOOKUP(A1703,sinap!$A$2:$R$9000,12,FALSE)</f>
        <v>11.1.01.0190</v>
      </c>
      <c r="R1703" s="15" t="str">
        <f>VLOOKUP(A1703,sinap!$A$2:$R$9000,16,FALSE)</f>
        <v>11.1.01.1241</v>
      </c>
      <c r="S1703" s="15" t="str">
        <f>VLOOKUP(A1703,sinap!$A$2:$Y$9000,20,FALSE)</f>
        <v>SI</v>
      </c>
      <c r="T1703" s="16">
        <v>45965</v>
      </c>
    </row>
    <row r="1704" spans="1:20" hidden="1" x14ac:dyDescent="0.25">
      <c r="A1704" s="15">
        <v>26234002</v>
      </c>
      <c r="J1704" s="15" t="str">
        <f>VLOOKUP(A1704,sinap!$A$2:$R$9000,2,FALSE)</f>
        <v>H</v>
      </c>
      <c r="K1704" s="15" t="str">
        <f>VLOOKUP(A1704,sinap!$A$2:$R$9000,3,FALSE)</f>
        <v>TERNERA</v>
      </c>
      <c r="L1704" s="15" t="str">
        <f>VLOOKUP(A1704,sinap!$A$2:$R$9000,4,FALSE)</f>
        <v>ANGUS NEGRO</v>
      </c>
      <c r="M1704" s="15" t="str">
        <f>VLOOKUP(A1704,sinap!$A$2:$R$9000,5,FALSE)</f>
        <v>0 años 3 meses</v>
      </c>
      <c r="N1704" s="15" t="str">
        <f>VLOOKUP(A1704,sinap!$A$2:$R$9000,6,FALSE)</f>
        <v>05-10-2025</v>
      </c>
      <c r="O1704" s="15" t="str">
        <f>VLOOKUP(A1704,sinap!$A$2:$R$9000,7,FALSE)</f>
        <v>Vivo</v>
      </c>
      <c r="P1704" s="15" t="str">
        <f>VLOOKUP(A1704,sinap!$A$2:$R$9000,8,FALSE)</f>
        <v>11.1.01.2442</v>
      </c>
      <c r="Q1704" s="15" t="str">
        <f>VLOOKUP(A1704,sinap!$A$2:$R$9000,12,FALSE)</f>
        <v>11.1.01.0190</v>
      </c>
      <c r="R1704" s="15" t="str">
        <f>VLOOKUP(A1704,sinap!$A$2:$R$9000,16,FALSE)</f>
        <v>11.1.01.1241</v>
      </c>
      <c r="S1704" s="15" t="str">
        <f>VLOOKUP(A1704,sinap!$A$2:$Y$9000,20,FALSE)</f>
        <v>SI</v>
      </c>
      <c r="T1704" s="16">
        <v>45965</v>
      </c>
    </row>
    <row r="1705" spans="1:20" hidden="1" x14ac:dyDescent="0.25">
      <c r="A1705" s="15">
        <v>26234012</v>
      </c>
      <c r="J1705" s="15" t="str">
        <f>VLOOKUP(A1705,sinap!$A$2:$R$9000,2,FALSE)</f>
        <v>H</v>
      </c>
      <c r="K1705" s="15" t="str">
        <f>VLOOKUP(A1705,sinap!$A$2:$R$9000,3,FALSE)</f>
        <v>TERNERA</v>
      </c>
      <c r="L1705" s="15" t="str">
        <f>VLOOKUP(A1705,sinap!$A$2:$R$9000,4,FALSE)</f>
        <v>ANGUS NEGRO</v>
      </c>
      <c r="M1705" s="15" t="str">
        <f>VLOOKUP(A1705,sinap!$A$2:$R$9000,5,FALSE)</f>
        <v>0 años 3 meses</v>
      </c>
      <c r="N1705" s="15" t="str">
        <f>VLOOKUP(A1705,sinap!$A$2:$R$9000,6,FALSE)</f>
        <v>05-10-2025</v>
      </c>
      <c r="O1705" s="15" t="str">
        <f>VLOOKUP(A1705,sinap!$A$2:$R$9000,7,FALSE)</f>
        <v>Vivo</v>
      </c>
      <c r="P1705" s="15" t="str">
        <f>VLOOKUP(A1705,sinap!$A$2:$R$9000,8,FALSE)</f>
        <v>11.1.01.2442</v>
      </c>
      <c r="Q1705" s="15" t="str">
        <f>VLOOKUP(A1705,sinap!$A$2:$R$9000,12,FALSE)</f>
        <v>11.1.01.0190</v>
      </c>
      <c r="R1705" s="15" t="str">
        <f>VLOOKUP(A1705,sinap!$A$2:$R$9000,16,FALSE)</f>
        <v>11.1.01.1241</v>
      </c>
      <c r="S1705" s="15" t="str">
        <f>VLOOKUP(A1705,sinap!$A$2:$Y$9000,20,FALSE)</f>
        <v>SI</v>
      </c>
      <c r="T1705" s="16">
        <v>45965</v>
      </c>
    </row>
    <row r="1706" spans="1:20" hidden="1" x14ac:dyDescent="0.25">
      <c r="A1706" s="15">
        <v>26234013</v>
      </c>
      <c r="J1706" s="15" t="str">
        <f>VLOOKUP(A1706,sinap!$A$2:$R$9000,2,FALSE)</f>
        <v>H</v>
      </c>
      <c r="K1706" s="15" t="str">
        <f>VLOOKUP(A1706,sinap!$A$2:$R$9000,3,FALSE)</f>
        <v>TERNERA</v>
      </c>
      <c r="L1706" s="15" t="str">
        <f>VLOOKUP(A1706,sinap!$A$2:$R$9000,4,FALSE)</f>
        <v>ANGUS NEGRO</v>
      </c>
      <c r="M1706" s="15" t="str">
        <f>VLOOKUP(A1706,sinap!$A$2:$R$9000,5,FALSE)</f>
        <v>0 años 4 meses</v>
      </c>
      <c r="N1706" s="15" t="str">
        <f>VLOOKUP(A1706,sinap!$A$2:$R$9000,6,FALSE)</f>
        <v>30-08-2025</v>
      </c>
      <c r="O1706" s="15" t="str">
        <f>VLOOKUP(A1706,sinap!$A$2:$R$9000,7,FALSE)</f>
        <v>Vivo</v>
      </c>
      <c r="P1706" s="15" t="str">
        <f>VLOOKUP(A1706,sinap!$A$2:$R$9000,8,FALSE)</f>
        <v>11.1.01.2442</v>
      </c>
      <c r="Q1706" s="15" t="str">
        <f>VLOOKUP(A1706,sinap!$A$2:$R$9000,12,FALSE)</f>
        <v>11.1.01.0190</v>
      </c>
      <c r="R1706" s="15" t="str">
        <f>VLOOKUP(A1706,sinap!$A$2:$R$9000,16,FALSE)</f>
        <v>11.1.01.1241</v>
      </c>
      <c r="S1706" s="15" t="str">
        <f>VLOOKUP(A1706,sinap!$A$2:$Y$9000,20,FALSE)</f>
        <v>SI</v>
      </c>
      <c r="T1706" s="16">
        <v>45965</v>
      </c>
    </row>
    <row r="1707" spans="1:20" hidden="1" x14ac:dyDescent="0.25">
      <c r="A1707" s="15">
        <v>26234014</v>
      </c>
      <c r="J1707" s="15" t="str">
        <f>VLOOKUP(A1707,sinap!$A$2:$R$9000,2,FALSE)</f>
        <v>H</v>
      </c>
      <c r="K1707" s="15" t="str">
        <f>VLOOKUP(A1707,sinap!$A$2:$R$9000,3,FALSE)</f>
        <v>TERNERA</v>
      </c>
      <c r="L1707" s="15" t="str">
        <f>VLOOKUP(A1707,sinap!$A$2:$R$9000,4,FALSE)</f>
        <v>ANGUS NEGRO</v>
      </c>
      <c r="M1707" s="15" t="str">
        <f>VLOOKUP(A1707,sinap!$A$2:$R$9000,5,FALSE)</f>
        <v>0 años 3 meses</v>
      </c>
      <c r="N1707" s="15" t="str">
        <f>VLOOKUP(A1707,sinap!$A$2:$R$9000,6,FALSE)</f>
        <v>05-10-2025</v>
      </c>
      <c r="O1707" s="15" t="str">
        <f>VLOOKUP(A1707,sinap!$A$2:$R$9000,7,FALSE)</f>
        <v>Vivo</v>
      </c>
      <c r="P1707" s="15" t="str">
        <f>VLOOKUP(A1707,sinap!$A$2:$R$9000,8,FALSE)</f>
        <v>11.1.01.2442</v>
      </c>
      <c r="Q1707" s="15" t="str">
        <f>VLOOKUP(A1707,sinap!$A$2:$R$9000,12,FALSE)</f>
        <v>11.1.01.0190</v>
      </c>
      <c r="R1707" s="15" t="str">
        <f>VLOOKUP(A1707,sinap!$A$2:$R$9000,16,FALSE)</f>
        <v>11.1.01.1241</v>
      </c>
      <c r="S1707" s="15" t="str">
        <f>VLOOKUP(A1707,sinap!$A$2:$Y$9000,20,FALSE)</f>
        <v>SI</v>
      </c>
      <c r="T1707" s="16">
        <v>45965</v>
      </c>
    </row>
    <row r="1708" spans="1:20" hidden="1" x14ac:dyDescent="0.25">
      <c r="A1708" s="15">
        <v>26234015</v>
      </c>
      <c r="J1708" s="15" t="str">
        <f>VLOOKUP(A1708,sinap!$A$2:$R$9000,2,FALSE)</f>
        <v>H</v>
      </c>
      <c r="K1708" s="15" t="str">
        <f>VLOOKUP(A1708,sinap!$A$2:$R$9000,3,FALSE)</f>
        <v>TERNERA</v>
      </c>
      <c r="L1708" s="15" t="str">
        <f>VLOOKUP(A1708,sinap!$A$2:$R$9000,4,FALSE)</f>
        <v>ANGUS NEGRO</v>
      </c>
      <c r="M1708" s="15" t="str">
        <f>VLOOKUP(A1708,sinap!$A$2:$R$9000,5,FALSE)</f>
        <v>0 años 4 meses</v>
      </c>
      <c r="N1708" s="15" t="str">
        <f>VLOOKUP(A1708,sinap!$A$2:$R$9000,6,FALSE)</f>
        <v>30-08-2025</v>
      </c>
      <c r="O1708" s="15" t="str">
        <f>VLOOKUP(A1708,sinap!$A$2:$R$9000,7,FALSE)</f>
        <v>Vivo</v>
      </c>
      <c r="P1708" s="15" t="str">
        <f>VLOOKUP(A1708,sinap!$A$2:$R$9000,8,FALSE)</f>
        <v>11.1.01.2442</v>
      </c>
      <c r="Q1708" s="15" t="str">
        <f>VLOOKUP(A1708,sinap!$A$2:$R$9000,12,FALSE)</f>
        <v>11.1.01.0190</v>
      </c>
      <c r="R1708" s="15" t="str">
        <f>VLOOKUP(A1708,sinap!$A$2:$R$9000,16,FALSE)</f>
        <v>11.1.01.1241</v>
      </c>
      <c r="S1708" s="15" t="str">
        <f>VLOOKUP(A1708,sinap!$A$2:$Y$9000,20,FALSE)</f>
        <v>SI</v>
      </c>
      <c r="T1708" s="16">
        <v>45965</v>
      </c>
    </row>
    <row r="1709" spans="1:20" hidden="1" x14ac:dyDescent="0.25">
      <c r="A1709" s="15">
        <v>26234016</v>
      </c>
      <c r="J1709" s="15" t="str">
        <f>VLOOKUP(A1709,sinap!$A$2:$R$9000,2,FALSE)</f>
        <v>H</v>
      </c>
      <c r="K1709" s="15" t="str">
        <f>VLOOKUP(A1709,sinap!$A$2:$R$9000,3,FALSE)</f>
        <v>TERNERA</v>
      </c>
      <c r="L1709" s="15" t="str">
        <f>VLOOKUP(A1709,sinap!$A$2:$R$9000,4,FALSE)</f>
        <v>HEREFORD</v>
      </c>
      <c r="M1709" s="15" t="str">
        <f>VLOOKUP(A1709,sinap!$A$2:$R$9000,5,FALSE)</f>
        <v>0 años 4 meses</v>
      </c>
      <c r="N1709" s="15" t="str">
        <f>VLOOKUP(A1709,sinap!$A$2:$R$9000,6,FALSE)</f>
        <v>30-08-2025</v>
      </c>
      <c r="O1709" s="15" t="str">
        <f>VLOOKUP(A1709,sinap!$A$2:$R$9000,7,FALSE)</f>
        <v>Vivo</v>
      </c>
      <c r="P1709" s="15" t="str">
        <f>VLOOKUP(A1709,sinap!$A$2:$R$9000,8,FALSE)</f>
        <v>11.1.01.2442</v>
      </c>
      <c r="Q1709" s="15" t="str">
        <f>VLOOKUP(A1709,sinap!$A$2:$R$9000,12,FALSE)</f>
        <v>11.1.01.0190</v>
      </c>
      <c r="R1709" s="15" t="str">
        <f>VLOOKUP(A1709,sinap!$A$2:$R$9000,16,FALSE)</f>
        <v>11.1.01.1241</v>
      </c>
      <c r="S1709" s="15" t="str">
        <f>VLOOKUP(A1709,sinap!$A$2:$Y$9000,20,FALSE)</f>
        <v>SI</v>
      </c>
      <c r="T1709" s="16">
        <v>45965</v>
      </c>
    </row>
    <row r="1710" spans="1:20" hidden="1" x14ac:dyDescent="0.25">
      <c r="A1710" s="15">
        <v>26234019</v>
      </c>
      <c r="J1710" s="15" t="str">
        <f>VLOOKUP(A1710,sinap!$A$2:$R$9000,2,FALSE)</f>
        <v>H</v>
      </c>
      <c r="K1710" s="15" t="str">
        <f>VLOOKUP(A1710,sinap!$A$2:$R$9000,3,FALSE)</f>
        <v>TERNERA</v>
      </c>
      <c r="L1710" s="15" t="str">
        <f>VLOOKUP(A1710,sinap!$A$2:$R$9000,4,FALSE)</f>
        <v>ANGUS NEGRO</v>
      </c>
      <c r="M1710" s="15" t="str">
        <f>VLOOKUP(A1710,sinap!$A$2:$R$9000,5,FALSE)</f>
        <v>0 años 3 meses</v>
      </c>
      <c r="N1710" s="15" t="str">
        <f>VLOOKUP(A1710,sinap!$A$2:$R$9000,6,FALSE)</f>
        <v>05-10-2025</v>
      </c>
      <c r="O1710" s="15" t="str">
        <f>VLOOKUP(A1710,sinap!$A$2:$R$9000,7,FALSE)</f>
        <v>Vivo</v>
      </c>
      <c r="P1710" s="15" t="str">
        <f>VLOOKUP(A1710,sinap!$A$2:$R$9000,8,FALSE)</f>
        <v>11.1.01.2442</v>
      </c>
      <c r="Q1710" s="15" t="str">
        <f>VLOOKUP(A1710,sinap!$A$2:$R$9000,12,FALSE)</f>
        <v>11.1.01.0190</v>
      </c>
      <c r="R1710" s="15" t="str">
        <f>VLOOKUP(A1710,sinap!$A$2:$R$9000,16,FALSE)</f>
        <v>11.1.01.1241</v>
      </c>
      <c r="S1710" s="15" t="str">
        <f>VLOOKUP(A1710,sinap!$A$2:$Y$9000,20,FALSE)</f>
        <v>SI</v>
      </c>
      <c r="T1710" s="16">
        <v>45965</v>
      </c>
    </row>
    <row r="1711" spans="1:20" hidden="1" x14ac:dyDescent="0.25">
      <c r="A1711" s="15">
        <v>26234021</v>
      </c>
      <c r="J1711" s="15" t="str">
        <f>VLOOKUP(A1711,sinap!$A$2:$R$9000,2,FALSE)</f>
        <v>H</v>
      </c>
      <c r="K1711" s="15" t="str">
        <f>VLOOKUP(A1711,sinap!$A$2:$R$9000,3,FALSE)</f>
        <v>TERNERA</v>
      </c>
      <c r="L1711" s="15" t="str">
        <f>VLOOKUP(A1711,sinap!$A$2:$R$9000,4,FALSE)</f>
        <v>ANGUS NEGRO</v>
      </c>
      <c r="M1711" s="15" t="str">
        <f>VLOOKUP(A1711,sinap!$A$2:$R$9000,5,FALSE)</f>
        <v>0 años 4 meses</v>
      </c>
      <c r="N1711" s="15" t="str">
        <f>VLOOKUP(A1711,sinap!$A$2:$R$9000,6,FALSE)</f>
        <v>30-08-2025</v>
      </c>
      <c r="O1711" s="15" t="str">
        <f>VLOOKUP(A1711,sinap!$A$2:$R$9000,7,FALSE)</f>
        <v>Vivo</v>
      </c>
      <c r="P1711" s="15" t="str">
        <f>VLOOKUP(A1711,sinap!$A$2:$R$9000,8,FALSE)</f>
        <v>11.1.01.2442</v>
      </c>
      <c r="Q1711" s="15" t="str">
        <f>VLOOKUP(A1711,sinap!$A$2:$R$9000,12,FALSE)</f>
        <v>11.1.01.0190</v>
      </c>
      <c r="R1711" s="15" t="str">
        <f>VLOOKUP(A1711,sinap!$A$2:$R$9000,16,FALSE)</f>
        <v>11.1.01.1241</v>
      </c>
      <c r="S1711" s="15" t="str">
        <f>VLOOKUP(A1711,sinap!$A$2:$Y$9000,20,FALSE)</f>
        <v>SI</v>
      </c>
      <c r="T1711" s="16">
        <v>45965</v>
      </c>
    </row>
    <row r="1712" spans="1:20" hidden="1" x14ac:dyDescent="0.25">
      <c r="A1712" s="15">
        <v>26234024</v>
      </c>
      <c r="J1712" s="15" t="str">
        <f>VLOOKUP(A1712,sinap!$A$2:$R$9000,2,FALSE)</f>
        <v>H</v>
      </c>
      <c r="K1712" s="15" t="str">
        <f>VLOOKUP(A1712,sinap!$A$2:$R$9000,3,FALSE)</f>
        <v>TERNERA</v>
      </c>
      <c r="L1712" s="15" t="str">
        <f>VLOOKUP(A1712,sinap!$A$2:$R$9000,4,FALSE)</f>
        <v>ANGUS NEGRO</v>
      </c>
      <c r="M1712" s="15" t="str">
        <f>VLOOKUP(A1712,sinap!$A$2:$R$9000,5,FALSE)</f>
        <v>0 años 3 meses</v>
      </c>
      <c r="N1712" s="15" t="str">
        <f>VLOOKUP(A1712,sinap!$A$2:$R$9000,6,FALSE)</f>
        <v>05-10-2025</v>
      </c>
      <c r="O1712" s="15" t="str">
        <f>VLOOKUP(A1712,sinap!$A$2:$R$9000,7,FALSE)</f>
        <v>Vivo</v>
      </c>
      <c r="P1712" s="15" t="str">
        <f>VLOOKUP(A1712,sinap!$A$2:$R$9000,8,FALSE)</f>
        <v>11.1.01.2442</v>
      </c>
      <c r="Q1712" s="15" t="str">
        <f>VLOOKUP(A1712,sinap!$A$2:$R$9000,12,FALSE)</f>
        <v>11.1.01.0190</v>
      </c>
      <c r="R1712" s="15" t="str">
        <f>VLOOKUP(A1712,sinap!$A$2:$R$9000,16,FALSE)</f>
        <v>11.1.01.1241</v>
      </c>
      <c r="S1712" s="15" t="str">
        <f>VLOOKUP(A1712,sinap!$A$2:$Y$9000,20,FALSE)</f>
        <v>SI</v>
      </c>
      <c r="T1712" s="16">
        <v>45965</v>
      </c>
    </row>
    <row r="1713" spans="1:20" hidden="1" x14ac:dyDescent="0.25">
      <c r="A1713" s="15">
        <v>26234026</v>
      </c>
      <c r="J1713" s="15" t="str">
        <f>VLOOKUP(A1713,sinap!$A$2:$R$9000,2,FALSE)</f>
        <v>H</v>
      </c>
      <c r="K1713" s="15" t="str">
        <f>VLOOKUP(A1713,sinap!$A$2:$R$9000,3,FALSE)</f>
        <v>TERNERA</v>
      </c>
      <c r="L1713" s="15" t="str">
        <f>VLOOKUP(A1713,sinap!$A$2:$R$9000,4,FALSE)</f>
        <v>ANGUS NEGRO</v>
      </c>
      <c r="M1713" s="15" t="str">
        <f>VLOOKUP(A1713,sinap!$A$2:$R$9000,5,FALSE)</f>
        <v>0 años 3 meses</v>
      </c>
      <c r="N1713" s="15" t="str">
        <f>VLOOKUP(A1713,sinap!$A$2:$R$9000,6,FALSE)</f>
        <v>05-10-2025</v>
      </c>
      <c r="O1713" s="15" t="str">
        <f>VLOOKUP(A1713,sinap!$A$2:$R$9000,7,FALSE)</f>
        <v>Vivo</v>
      </c>
      <c r="P1713" s="15" t="str">
        <f>VLOOKUP(A1713,sinap!$A$2:$R$9000,8,FALSE)</f>
        <v>11.1.01.2442</v>
      </c>
      <c r="Q1713" s="15" t="str">
        <f>VLOOKUP(A1713,sinap!$A$2:$R$9000,12,FALSE)</f>
        <v>11.1.01.0190</v>
      </c>
      <c r="R1713" s="15" t="str">
        <f>VLOOKUP(A1713,sinap!$A$2:$R$9000,16,FALSE)</f>
        <v>11.1.01.1241</v>
      </c>
      <c r="S1713" s="15" t="str">
        <f>VLOOKUP(A1713,sinap!$A$2:$Y$9000,20,FALSE)</f>
        <v>SI</v>
      </c>
      <c r="T1713" s="16">
        <v>45965</v>
      </c>
    </row>
    <row r="1714" spans="1:20" hidden="1" x14ac:dyDescent="0.25">
      <c r="A1714" s="15">
        <v>26234028</v>
      </c>
      <c r="J1714" s="15" t="str">
        <f>VLOOKUP(A1714,sinap!$A$2:$R$9000,2,FALSE)</f>
        <v>H</v>
      </c>
      <c r="K1714" s="15" t="str">
        <f>VLOOKUP(A1714,sinap!$A$2:$R$9000,3,FALSE)</f>
        <v>TERNERA</v>
      </c>
      <c r="L1714" s="15" t="str">
        <f>VLOOKUP(A1714,sinap!$A$2:$R$9000,4,FALSE)</f>
        <v>ANGUS NEGRO</v>
      </c>
      <c r="M1714" s="15" t="str">
        <f>VLOOKUP(A1714,sinap!$A$2:$R$9000,5,FALSE)</f>
        <v>0 años 3 meses</v>
      </c>
      <c r="N1714" s="15" t="str">
        <f>VLOOKUP(A1714,sinap!$A$2:$R$9000,6,FALSE)</f>
        <v>05-10-2025</v>
      </c>
      <c r="O1714" s="15" t="str">
        <f>VLOOKUP(A1714,sinap!$A$2:$R$9000,7,FALSE)</f>
        <v>Vivo</v>
      </c>
      <c r="P1714" s="15" t="str">
        <f>VLOOKUP(A1714,sinap!$A$2:$R$9000,8,FALSE)</f>
        <v>11.1.01.2442</v>
      </c>
      <c r="Q1714" s="15" t="str">
        <f>VLOOKUP(A1714,sinap!$A$2:$R$9000,12,FALSE)</f>
        <v>11.1.01.0190</v>
      </c>
      <c r="R1714" s="15" t="str">
        <f>VLOOKUP(A1714,sinap!$A$2:$R$9000,16,FALSE)</f>
        <v>11.1.01.1241</v>
      </c>
      <c r="S1714" s="15" t="str">
        <f>VLOOKUP(A1714,sinap!$A$2:$Y$9000,20,FALSE)</f>
        <v>SI</v>
      </c>
      <c r="T1714" s="16">
        <v>45965</v>
      </c>
    </row>
    <row r="1715" spans="1:20" hidden="1" x14ac:dyDescent="0.25">
      <c r="A1715" s="15">
        <v>26234030</v>
      </c>
      <c r="J1715" s="15" t="str">
        <f>VLOOKUP(A1715,sinap!$A$2:$R$9000,2,FALSE)</f>
        <v>H</v>
      </c>
      <c r="K1715" s="15" t="str">
        <f>VLOOKUP(A1715,sinap!$A$2:$R$9000,3,FALSE)</f>
        <v>TERNERA</v>
      </c>
      <c r="L1715" s="15" t="str">
        <f>VLOOKUP(A1715,sinap!$A$2:$R$9000,4,FALSE)</f>
        <v>ANGUS NEGRO</v>
      </c>
      <c r="M1715" s="15" t="str">
        <f>VLOOKUP(A1715,sinap!$A$2:$R$9000,5,FALSE)</f>
        <v>0 años 3 meses</v>
      </c>
      <c r="N1715" s="15" t="str">
        <f>VLOOKUP(A1715,sinap!$A$2:$R$9000,6,FALSE)</f>
        <v>05-10-2025</v>
      </c>
      <c r="O1715" s="15" t="str">
        <f>VLOOKUP(A1715,sinap!$A$2:$R$9000,7,FALSE)</f>
        <v>Vivo</v>
      </c>
      <c r="P1715" s="15" t="str">
        <f>VLOOKUP(A1715,sinap!$A$2:$R$9000,8,FALSE)</f>
        <v>11.1.01.2442</v>
      </c>
      <c r="Q1715" s="15" t="str">
        <f>VLOOKUP(A1715,sinap!$A$2:$R$9000,12,FALSE)</f>
        <v>11.1.01.0190</v>
      </c>
      <c r="R1715" s="15" t="str">
        <f>VLOOKUP(A1715,sinap!$A$2:$R$9000,16,FALSE)</f>
        <v>11.1.01.1241</v>
      </c>
      <c r="S1715" s="15" t="str">
        <f>VLOOKUP(A1715,sinap!$A$2:$Y$9000,20,FALSE)</f>
        <v>SI</v>
      </c>
      <c r="T1715" s="16">
        <v>45965</v>
      </c>
    </row>
    <row r="1716" spans="1:20" hidden="1" x14ac:dyDescent="0.25">
      <c r="A1716" s="15">
        <v>26234031</v>
      </c>
      <c r="J1716" s="15" t="str">
        <f>VLOOKUP(A1716,sinap!$A$2:$R$9000,2,FALSE)</f>
        <v>H</v>
      </c>
      <c r="K1716" s="15" t="str">
        <f>VLOOKUP(A1716,sinap!$A$2:$R$9000,3,FALSE)</f>
        <v>TERNERA</v>
      </c>
      <c r="L1716" s="15" t="str">
        <f>VLOOKUP(A1716,sinap!$A$2:$R$9000,4,FALSE)</f>
        <v>ANGUS NEGRO</v>
      </c>
      <c r="M1716" s="15" t="str">
        <f>VLOOKUP(A1716,sinap!$A$2:$R$9000,5,FALSE)</f>
        <v>0 años 3 meses</v>
      </c>
      <c r="N1716" s="15" t="str">
        <f>VLOOKUP(A1716,sinap!$A$2:$R$9000,6,FALSE)</f>
        <v>05-10-2025</v>
      </c>
      <c r="O1716" s="15" t="str">
        <f>VLOOKUP(A1716,sinap!$A$2:$R$9000,7,FALSE)</f>
        <v>Vivo</v>
      </c>
      <c r="P1716" s="15" t="str">
        <f>VLOOKUP(A1716,sinap!$A$2:$R$9000,8,FALSE)</f>
        <v>11.1.01.2442</v>
      </c>
      <c r="Q1716" s="15" t="str">
        <f>VLOOKUP(A1716,sinap!$A$2:$R$9000,12,FALSE)</f>
        <v>11.1.01.0190</v>
      </c>
      <c r="R1716" s="15" t="str">
        <f>VLOOKUP(A1716,sinap!$A$2:$R$9000,16,FALSE)</f>
        <v>11.1.01.1241</v>
      </c>
      <c r="S1716" s="15" t="str">
        <f>VLOOKUP(A1716,sinap!$A$2:$Y$9000,20,FALSE)</f>
        <v>SI</v>
      </c>
      <c r="T1716" s="16">
        <v>45965</v>
      </c>
    </row>
    <row r="1717" spans="1:20" hidden="1" x14ac:dyDescent="0.25">
      <c r="A1717" s="15">
        <v>26234033</v>
      </c>
      <c r="J1717" s="15" t="str">
        <f>VLOOKUP(A1717,sinap!$A$2:$R$9000,2,FALSE)</f>
        <v>M</v>
      </c>
      <c r="K1717" s="15" t="str">
        <f>VLOOKUP(A1717,sinap!$A$2:$R$9000,3,FALSE)</f>
        <v>TERNERO</v>
      </c>
      <c r="L1717" s="15" t="str">
        <f>VLOOKUP(A1717,sinap!$A$2:$R$9000,4,FALSE)</f>
        <v>HEREFORD</v>
      </c>
      <c r="M1717" s="15" t="str">
        <f>VLOOKUP(A1717,sinap!$A$2:$R$9000,5,FALSE)</f>
        <v>0 años 3 meses</v>
      </c>
      <c r="N1717" s="15" t="str">
        <f>VLOOKUP(A1717,sinap!$A$2:$R$9000,6,FALSE)</f>
        <v>05-10-2025</v>
      </c>
      <c r="O1717" s="15" t="str">
        <f>VLOOKUP(A1717,sinap!$A$2:$R$9000,7,FALSE)</f>
        <v>Vivo</v>
      </c>
      <c r="P1717" s="15" t="str">
        <f>VLOOKUP(A1717,sinap!$A$2:$R$9000,8,FALSE)</f>
        <v>11.1.01.1241</v>
      </c>
      <c r="Q1717" s="15" t="str">
        <f>VLOOKUP(A1717,sinap!$A$2:$R$9000,12,FALSE)</f>
        <v>Sin Movimiento</v>
      </c>
      <c r="R1717" s="15" t="str">
        <f>VLOOKUP(A1717,sinap!$A$2:$R$9000,16,FALSE)</f>
        <v>11.1.01.1241</v>
      </c>
      <c r="S1717" s="15" t="str">
        <f>VLOOKUP(A1717,sinap!$A$2:$Y$9000,20,FALSE)</f>
        <v>SI</v>
      </c>
      <c r="T1717" s="16">
        <v>45966</v>
      </c>
    </row>
    <row r="1718" spans="1:20" hidden="1" x14ac:dyDescent="0.25">
      <c r="A1718" s="15">
        <v>26234034</v>
      </c>
      <c r="J1718" s="15" t="str">
        <f>VLOOKUP(A1718,sinap!$A$2:$R$9000,2,FALSE)</f>
        <v>H</v>
      </c>
      <c r="K1718" s="15" t="str">
        <f>VLOOKUP(A1718,sinap!$A$2:$R$9000,3,FALSE)</f>
        <v>TERNERA</v>
      </c>
      <c r="L1718" s="15" t="str">
        <f>VLOOKUP(A1718,sinap!$A$2:$R$9000,4,FALSE)</f>
        <v>ANGUS NEGRO</v>
      </c>
      <c r="M1718" s="15" t="str">
        <f>VLOOKUP(A1718,sinap!$A$2:$R$9000,5,FALSE)</f>
        <v>0 años 3 meses</v>
      </c>
      <c r="N1718" s="15" t="str">
        <f>VLOOKUP(A1718,sinap!$A$2:$R$9000,6,FALSE)</f>
        <v>05-10-2025</v>
      </c>
      <c r="O1718" s="15" t="str">
        <f>VLOOKUP(A1718,sinap!$A$2:$R$9000,7,FALSE)</f>
        <v>Vivo</v>
      </c>
      <c r="P1718" s="15" t="str">
        <f>VLOOKUP(A1718,sinap!$A$2:$R$9000,8,FALSE)</f>
        <v>11.1.01.2442</v>
      </c>
      <c r="Q1718" s="15" t="str">
        <f>VLOOKUP(A1718,sinap!$A$2:$R$9000,12,FALSE)</f>
        <v>11.1.01.0190</v>
      </c>
      <c r="R1718" s="15" t="str">
        <f>VLOOKUP(A1718,sinap!$A$2:$R$9000,16,FALSE)</f>
        <v>11.1.01.1241</v>
      </c>
      <c r="S1718" s="15" t="str">
        <f>VLOOKUP(A1718,sinap!$A$2:$Y$9000,20,FALSE)</f>
        <v>SI</v>
      </c>
      <c r="T1718" s="16">
        <v>45966</v>
      </c>
    </row>
    <row r="1719" spans="1:20" hidden="1" x14ac:dyDescent="0.25">
      <c r="A1719" s="15">
        <v>26234035</v>
      </c>
      <c r="J1719" s="15" t="str">
        <f>VLOOKUP(A1719,sinap!$A$2:$R$9000,2,FALSE)</f>
        <v>H</v>
      </c>
      <c r="K1719" s="15" t="str">
        <f>VLOOKUP(A1719,sinap!$A$2:$R$9000,3,FALSE)</f>
        <v>TERNERA</v>
      </c>
      <c r="L1719" s="15" t="str">
        <f>VLOOKUP(A1719,sinap!$A$2:$R$9000,4,FALSE)</f>
        <v>ANGUS NEGRO</v>
      </c>
      <c r="M1719" s="15" t="str">
        <f>VLOOKUP(A1719,sinap!$A$2:$R$9000,5,FALSE)</f>
        <v>0 años 3 meses</v>
      </c>
      <c r="N1719" s="15" t="str">
        <f>VLOOKUP(A1719,sinap!$A$2:$R$9000,6,FALSE)</f>
        <v>05-10-2025</v>
      </c>
      <c r="O1719" s="15" t="str">
        <f>VLOOKUP(A1719,sinap!$A$2:$R$9000,7,FALSE)</f>
        <v>Vivo</v>
      </c>
      <c r="P1719" s="15" t="str">
        <f>VLOOKUP(A1719,sinap!$A$2:$R$9000,8,FALSE)</f>
        <v>11.1.01.2442</v>
      </c>
      <c r="Q1719" s="15" t="str">
        <f>VLOOKUP(A1719,sinap!$A$2:$R$9000,12,FALSE)</f>
        <v>11.1.01.0190</v>
      </c>
      <c r="R1719" s="15" t="str">
        <f>VLOOKUP(A1719,sinap!$A$2:$R$9000,16,FALSE)</f>
        <v>11.1.01.1241</v>
      </c>
      <c r="S1719" s="15" t="str">
        <f>VLOOKUP(A1719,sinap!$A$2:$Y$9000,20,FALSE)</f>
        <v>SI</v>
      </c>
      <c r="T1719" s="16">
        <v>45966</v>
      </c>
    </row>
    <row r="1720" spans="1:20" hidden="1" x14ac:dyDescent="0.25">
      <c r="A1720" s="15">
        <v>26234037</v>
      </c>
      <c r="J1720" s="15" t="str">
        <f>VLOOKUP(A1720,sinap!$A$2:$R$9000,2,FALSE)</f>
        <v>H</v>
      </c>
      <c r="K1720" s="15" t="str">
        <f>VLOOKUP(A1720,sinap!$A$2:$R$9000,3,FALSE)</f>
        <v>TERNERA</v>
      </c>
      <c r="L1720" s="15" t="str">
        <f>VLOOKUP(A1720,sinap!$A$2:$R$9000,4,FALSE)</f>
        <v>ANGUS NEGRO</v>
      </c>
      <c r="M1720" s="15" t="str">
        <f>VLOOKUP(A1720,sinap!$A$2:$R$9000,5,FALSE)</f>
        <v>0 años 3 meses</v>
      </c>
      <c r="N1720" s="15" t="str">
        <f>VLOOKUP(A1720,sinap!$A$2:$R$9000,6,FALSE)</f>
        <v>05-10-2025</v>
      </c>
      <c r="O1720" s="15" t="str">
        <f>VLOOKUP(A1720,sinap!$A$2:$R$9000,7,FALSE)</f>
        <v>Vivo</v>
      </c>
      <c r="P1720" s="15" t="str">
        <f>VLOOKUP(A1720,sinap!$A$2:$R$9000,8,FALSE)</f>
        <v>11.1.01.2442</v>
      </c>
      <c r="Q1720" s="15" t="str">
        <f>VLOOKUP(A1720,sinap!$A$2:$R$9000,12,FALSE)</f>
        <v>11.1.01.0190</v>
      </c>
      <c r="R1720" s="15" t="str">
        <f>VLOOKUP(A1720,sinap!$A$2:$R$9000,16,FALSE)</f>
        <v>11.1.01.1241</v>
      </c>
      <c r="S1720" s="15" t="str">
        <f>VLOOKUP(A1720,sinap!$A$2:$Y$9000,20,FALSE)</f>
        <v>SI</v>
      </c>
      <c r="T1720" s="16">
        <v>45966</v>
      </c>
    </row>
    <row r="1721" spans="1:20" hidden="1" x14ac:dyDescent="0.25">
      <c r="A1721" s="15">
        <v>26234039</v>
      </c>
      <c r="J1721" s="15" t="str">
        <f>VLOOKUP(A1721,sinap!$A$2:$R$9000,2,FALSE)</f>
        <v>H</v>
      </c>
      <c r="K1721" s="15" t="str">
        <f>VLOOKUP(A1721,sinap!$A$2:$R$9000,3,FALSE)</f>
        <v>TERNERA</v>
      </c>
      <c r="L1721" s="15" t="str">
        <f>VLOOKUP(A1721,sinap!$A$2:$R$9000,4,FALSE)</f>
        <v>ANGUS NEGRO</v>
      </c>
      <c r="M1721" s="15" t="str">
        <f>VLOOKUP(A1721,sinap!$A$2:$R$9000,5,FALSE)</f>
        <v>0 años 3 meses</v>
      </c>
      <c r="N1721" s="15" t="str">
        <f>VLOOKUP(A1721,sinap!$A$2:$R$9000,6,FALSE)</f>
        <v>05-10-2025</v>
      </c>
      <c r="O1721" s="15" t="str">
        <f>VLOOKUP(A1721,sinap!$A$2:$R$9000,7,FALSE)</f>
        <v>Vivo</v>
      </c>
      <c r="P1721" s="15" t="str">
        <f>VLOOKUP(A1721,sinap!$A$2:$R$9000,8,FALSE)</f>
        <v>11.1.01.2442</v>
      </c>
      <c r="Q1721" s="15" t="str">
        <f>VLOOKUP(A1721,sinap!$A$2:$R$9000,12,FALSE)</f>
        <v>11.1.01.0190</v>
      </c>
      <c r="R1721" s="15" t="str">
        <f>VLOOKUP(A1721,sinap!$A$2:$R$9000,16,FALSE)</f>
        <v>11.1.01.1241</v>
      </c>
      <c r="S1721" s="15" t="str">
        <f>VLOOKUP(A1721,sinap!$A$2:$Y$9000,20,FALSE)</f>
        <v>SI</v>
      </c>
      <c r="T1721" s="16">
        <v>45966</v>
      </c>
    </row>
    <row r="1722" spans="1:20" hidden="1" x14ac:dyDescent="0.25">
      <c r="A1722" s="15">
        <v>26234040</v>
      </c>
      <c r="J1722" s="15" t="str">
        <f>VLOOKUP(A1722,sinap!$A$2:$R$9000,2,FALSE)</f>
        <v>H</v>
      </c>
      <c r="K1722" s="15" t="str">
        <f>VLOOKUP(A1722,sinap!$A$2:$R$9000,3,FALSE)</f>
        <v>TERNERA</v>
      </c>
      <c r="L1722" s="15" t="str">
        <f>VLOOKUP(A1722,sinap!$A$2:$R$9000,4,FALSE)</f>
        <v>ANGUS ROJO</v>
      </c>
      <c r="M1722" s="15" t="str">
        <f>VLOOKUP(A1722,sinap!$A$2:$R$9000,5,FALSE)</f>
        <v>0 años 3 meses</v>
      </c>
      <c r="N1722" s="15" t="str">
        <f>VLOOKUP(A1722,sinap!$A$2:$R$9000,6,FALSE)</f>
        <v>05-10-2025</v>
      </c>
      <c r="O1722" s="15" t="str">
        <f>VLOOKUP(A1722,sinap!$A$2:$R$9000,7,FALSE)</f>
        <v>Vivo</v>
      </c>
      <c r="P1722" s="15" t="str">
        <f>VLOOKUP(A1722,sinap!$A$2:$R$9000,8,FALSE)</f>
        <v>11.1.01.2442</v>
      </c>
      <c r="Q1722" s="15" t="str">
        <f>VLOOKUP(A1722,sinap!$A$2:$R$9000,12,FALSE)</f>
        <v>11.1.01.0190</v>
      </c>
      <c r="R1722" s="15" t="str">
        <f>VLOOKUP(A1722,sinap!$A$2:$R$9000,16,FALSE)</f>
        <v>11.1.01.1241</v>
      </c>
      <c r="S1722" s="15" t="str">
        <f>VLOOKUP(A1722,sinap!$A$2:$Y$9000,20,FALSE)</f>
        <v>SI</v>
      </c>
      <c r="T1722" s="16">
        <v>45966</v>
      </c>
    </row>
    <row r="1723" spans="1:20" hidden="1" x14ac:dyDescent="0.25">
      <c r="A1723" s="15">
        <v>26234041</v>
      </c>
      <c r="J1723" s="15" t="str">
        <f>VLOOKUP(A1723,sinap!$A$2:$R$9000,2,FALSE)</f>
        <v>H</v>
      </c>
      <c r="K1723" s="15" t="str">
        <f>VLOOKUP(A1723,sinap!$A$2:$R$9000,3,FALSE)</f>
        <v>TERNERA</v>
      </c>
      <c r="L1723" s="15" t="str">
        <f>VLOOKUP(A1723,sinap!$A$2:$R$9000,4,FALSE)</f>
        <v>ANGUS NEGRO</v>
      </c>
      <c r="M1723" s="15" t="str">
        <f>VLOOKUP(A1723,sinap!$A$2:$R$9000,5,FALSE)</f>
        <v>0 años 3 meses</v>
      </c>
      <c r="N1723" s="15" t="str">
        <f>VLOOKUP(A1723,sinap!$A$2:$R$9000,6,FALSE)</f>
        <v>05-10-2025</v>
      </c>
      <c r="O1723" s="15" t="str">
        <f>VLOOKUP(A1723,sinap!$A$2:$R$9000,7,FALSE)</f>
        <v>Vivo</v>
      </c>
      <c r="P1723" s="15" t="str">
        <f>VLOOKUP(A1723,sinap!$A$2:$R$9000,8,FALSE)</f>
        <v>11.1.01.2442</v>
      </c>
      <c r="Q1723" s="15" t="str">
        <f>VLOOKUP(A1723,sinap!$A$2:$R$9000,12,FALSE)</f>
        <v>11.1.01.0190</v>
      </c>
      <c r="R1723" s="15" t="str">
        <f>VLOOKUP(A1723,sinap!$A$2:$R$9000,16,FALSE)</f>
        <v>11.1.01.1241</v>
      </c>
      <c r="S1723" s="15" t="str">
        <f>VLOOKUP(A1723,sinap!$A$2:$Y$9000,20,FALSE)</f>
        <v>SI</v>
      </c>
      <c r="T1723" s="16">
        <v>45966</v>
      </c>
    </row>
    <row r="1724" spans="1:20" hidden="1" x14ac:dyDescent="0.25">
      <c r="A1724" s="15">
        <v>26234042</v>
      </c>
      <c r="J1724" s="15" t="str">
        <f>VLOOKUP(A1724,sinap!$A$2:$R$9000,2,FALSE)</f>
        <v>H</v>
      </c>
      <c r="K1724" s="15" t="str">
        <f>VLOOKUP(A1724,sinap!$A$2:$R$9000,3,FALSE)</f>
        <v>TERNERA</v>
      </c>
      <c r="L1724" s="15" t="str">
        <f>VLOOKUP(A1724,sinap!$A$2:$R$9000,4,FALSE)</f>
        <v>ANGUS NEGRO</v>
      </c>
      <c r="M1724" s="15" t="str">
        <f>VLOOKUP(A1724,sinap!$A$2:$R$9000,5,FALSE)</f>
        <v>0 años 3 meses</v>
      </c>
      <c r="N1724" s="15" t="str">
        <f>VLOOKUP(A1724,sinap!$A$2:$R$9000,6,FALSE)</f>
        <v>05-10-2025</v>
      </c>
      <c r="O1724" s="15" t="str">
        <f>VLOOKUP(A1724,sinap!$A$2:$R$9000,7,FALSE)</f>
        <v>Vivo</v>
      </c>
      <c r="P1724" s="15" t="str">
        <f>VLOOKUP(A1724,sinap!$A$2:$R$9000,8,FALSE)</f>
        <v>11.1.01.2442</v>
      </c>
      <c r="Q1724" s="15" t="str">
        <f>VLOOKUP(A1724,sinap!$A$2:$R$9000,12,FALSE)</f>
        <v>11.1.01.0190</v>
      </c>
      <c r="R1724" s="15" t="str">
        <f>VLOOKUP(A1724,sinap!$A$2:$R$9000,16,FALSE)</f>
        <v>11.1.01.1241</v>
      </c>
      <c r="S1724" s="15" t="str">
        <f>VLOOKUP(A1724,sinap!$A$2:$Y$9000,20,FALSE)</f>
        <v>SI</v>
      </c>
      <c r="T1724" s="16">
        <v>45966</v>
      </c>
    </row>
    <row r="1725" spans="1:20" hidden="1" x14ac:dyDescent="0.25">
      <c r="A1725" s="15">
        <v>26234046</v>
      </c>
      <c r="J1725" s="15" t="str">
        <f>VLOOKUP(A1725,sinap!$A$2:$R$9000,2,FALSE)</f>
        <v>H</v>
      </c>
      <c r="K1725" s="15" t="str">
        <f>VLOOKUP(A1725,sinap!$A$2:$R$9000,3,FALSE)</f>
        <v>TERNERA</v>
      </c>
      <c r="L1725" s="15" t="str">
        <f>VLOOKUP(A1725,sinap!$A$2:$R$9000,4,FALSE)</f>
        <v>ANGUS ROJO</v>
      </c>
      <c r="M1725" s="15" t="str">
        <f>VLOOKUP(A1725,sinap!$A$2:$R$9000,5,FALSE)</f>
        <v>0 años 3 meses</v>
      </c>
      <c r="N1725" s="15" t="str">
        <f>VLOOKUP(A1725,sinap!$A$2:$R$9000,6,FALSE)</f>
        <v>05-10-2025</v>
      </c>
      <c r="O1725" s="15" t="str">
        <f>VLOOKUP(A1725,sinap!$A$2:$R$9000,7,FALSE)</f>
        <v>Vivo</v>
      </c>
      <c r="P1725" s="15" t="str">
        <f>VLOOKUP(A1725,sinap!$A$2:$R$9000,8,FALSE)</f>
        <v>11.1.01.2442</v>
      </c>
      <c r="Q1725" s="15" t="str">
        <f>VLOOKUP(A1725,sinap!$A$2:$R$9000,12,FALSE)</f>
        <v>11.1.01.0190</v>
      </c>
      <c r="R1725" s="15" t="str">
        <f>VLOOKUP(A1725,sinap!$A$2:$R$9000,16,FALSE)</f>
        <v>11.1.01.1241</v>
      </c>
      <c r="S1725" s="15" t="str">
        <f>VLOOKUP(A1725,sinap!$A$2:$Y$9000,20,FALSE)</f>
        <v>SI</v>
      </c>
      <c r="T1725" s="16">
        <v>45966</v>
      </c>
    </row>
    <row r="1726" spans="1:20" hidden="1" x14ac:dyDescent="0.25">
      <c r="A1726" s="15">
        <v>26234047</v>
      </c>
      <c r="J1726" s="15" t="str">
        <f>VLOOKUP(A1726,sinap!$A$2:$R$9000,2,FALSE)</f>
        <v>H</v>
      </c>
      <c r="K1726" s="15" t="str">
        <f>VLOOKUP(A1726,sinap!$A$2:$R$9000,3,FALSE)</f>
        <v>TERNERA</v>
      </c>
      <c r="L1726" s="15" t="str">
        <f>VLOOKUP(A1726,sinap!$A$2:$R$9000,4,FALSE)</f>
        <v>ANGUS NEGRO</v>
      </c>
      <c r="M1726" s="15" t="str">
        <f>VLOOKUP(A1726,sinap!$A$2:$R$9000,5,FALSE)</f>
        <v>0 años 3 meses</v>
      </c>
      <c r="N1726" s="15" t="str">
        <f>VLOOKUP(A1726,sinap!$A$2:$R$9000,6,FALSE)</f>
        <v>05-10-2025</v>
      </c>
      <c r="O1726" s="15" t="str">
        <f>VLOOKUP(A1726,sinap!$A$2:$R$9000,7,FALSE)</f>
        <v>Vivo</v>
      </c>
      <c r="P1726" s="15" t="str">
        <f>VLOOKUP(A1726,sinap!$A$2:$R$9000,8,FALSE)</f>
        <v>11.1.01.0941</v>
      </c>
      <c r="Q1726" s="15" t="str">
        <f>VLOOKUP(A1726,sinap!$A$2:$R$9000,12,FALSE)</f>
        <v>11.1.01.1241</v>
      </c>
      <c r="R1726" s="15" t="str">
        <f>VLOOKUP(A1726,sinap!$A$2:$R$9000,16,FALSE)</f>
        <v>11.1.01.1241</v>
      </c>
      <c r="S1726" s="15" t="str">
        <f>VLOOKUP(A1726,sinap!$A$2:$Y$9000,20,FALSE)</f>
        <v>SI</v>
      </c>
      <c r="T1726" s="16">
        <v>45966</v>
      </c>
    </row>
    <row r="1727" spans="1:20" hidden="1" x14ac:dyDescent="0.25">
      <c r="A1727" s="15">
        <v>26234049</v>
      </c>
      <c r="J1727" s="15" t="str">
        <f>VLOOKUP(A1727,sinap!$A$2:$R$9000,2,FALSE)</f>
        <v>H</v>
      </c>
      <c r="K1727" s="15" t="str">
        <f>VLOOKUP(A1727,sinap!$A$2:$R$9000,3,FALSE)</f>
        <v>TERNERA</v>
      </c>
      <c r="L1727" s="15" t="str">
        <f>VLOOKUP(A1727,sinap!$A$2:$R$9000,4,FALSE)</f>
        <v>ANGUS ROJO</v>
      </c>
      <c r="M1727" s="15" t="str">
        <f>VLOOKUP(A1727,sinap!$A$2:$R$9000,5,FALSE)</f>
        <v>0 años 3 meses</v>
      </c>
      <c r="N1727" s="15" t="str">
        <f>VLOOKUP(A1727,sinap!$A$2:$R$9000,6,FALSE)</f>
        <v>05-10-2025</v>
      </c>
      <c r="O1727" s="15" t="str">
        <f>VLOOKUP(A1727,sinap!$A$2:$R$9000,7,FALSE)</f>
        <v>Vivo</v>
      </c>
      <c r="P1727" s="15" t="str">
        <f>VLOOKUP(A1727,sinap!$A$2:$R$9000,8,FALSE)</f>
        <v>11.1.01.2442</v>
      </c>
      <c r="Q1727" s="15" t="str">
        <f>VLOOKUP(A1727,sinap!$A$2:$R$9000,12,FALSE)</f>
        <v>11.1.01.0190</v>
      </c>
      <c r="R1727" s="15" t="str">
        <f>VLOOKUP(A1727,sinap!$A$2:$R$9000,16,FALSE)</f>
        <v>11.1.01.1241</v>
      </c>
      <c r="S1727" s="15" t="str">
        <f>VLOOKUP(A1727,sinap!$A$2:$Y$9000,20,FALSE)</f>
        <v>SI</v>
      </c>
      <c r="T1727" s="16">
        <v>45966</v>
      </c>
    </row>
    <row r="1728" spans="1:20" hidden="1" x14ac:dyDescent="0.25">
      <c r="A1728" s="15">
        <v>26234050</v>
      </c>
      <c r="J1728" s="15" t="str">
        <f>VLOOKUP(A1728,sinap!$A$2:$R$9000,2,FALSE)</f>
        <v>H</v>
      </c>
      <c r="K1728" s="15" t="str">
        <f>VLOOKUP(A1728,sinap!$A$2:$R$9000,3,FALSE)</f>
        <v>TERNERA</v>
      </c>
      <c r="L1728" s="15" t="str">
        <f>VLOOKUP(A1728,sinap!$A$2:$R$9000,4,FALSE)</f>
        <v>ANGUS ROJO</v>
      </c>
      <c r="M1728" s="15" t="str">
        <f>VLOOKUP(A1728,sinap!$A$2:$R$9000,5,FALSE)</f>
        <v>0 años 3 meses</v>
      </c>
      <c r="N1728" s="15" t="str">
        <f>VLOOKUP(A1728,sinap!$A$2:$R$9000,6,FALSE)</f>
        <v>05-10-2025</v>
      </c>
      <c r="O1728" s="15" t="str">
        <f>VLOOKUP(A1728,sinap!$A$2:$R$9000,7,FALSE)</f>
        <v>Vivo</v>
      </c>
      <c r="P1728" s="15" t="str">
        <f>VLOOKUP(A1728,sinap!$A$2:$R$9000,8,FALSE)</f>
        <v>11.1.01.2442</v>
      </c>
      <c r="Q1728" s="15" t="str">
        <f>VLOOKUP(A1728,sinap!$A$2:$R$9000,12,FALSE)</f>
        <v>11.1.01.0190</v>
      </c>
      <c r="R1728" s="15" t="str">
        <f>VLOOKUP(A1728,sinap!$A$2:$R$9000,16,FALSE)</f>
        <v>11.1.01.1241</v>
      </c>
      <c r="S1728" s="15" t="str">
        <f>VLOOKUP(A1728,sinap!$A$2:$Y$9000,20,FALSE)</f>
        <v>SI</v>
      </c>
      <c r="T1728" s="16">
        <v>45966</v>
      </c>
    </row>
    <row r="1729" spans="1:20" hidden="1" x14ac:dyDescent="0.25">
      <c r="A1729" s="15">
        <v>26234052</v>
      </c>
      <c r="J1729" s="15" t="str">
        <f>VLOOKUP(A1729,sinap!$A$2:$R$9000,2,FALSE)</f>
        <v>H</v>
      </c>
      <c r="K1729" s="15" t="str">
        <f>VLOOKUP(A1729,sinap!$A$2:$R$9000,3,FALSE)</f>
        <v>TERNERA</v>
      </c>
      <c r="L1729" s="15" t="str">
        <f>VLOOKUP(A1729,sinap!$A$2:$R$9000,4,FALSE)</f>
        <v>ANGUS NEGRO</v>
      </c>
      <c r="M1729" s="15" t="str">
        <f>VLOOKUP(A1729,sinap!$A$2:$R$9000,5,FALSE)</f>
        <v>0 años 3 meses</v>
      </c>
      <c r="N1729" s="15" t="str">
        <f>VLOOKUP(A1729,sinap!$A$2:$R$9000,6,FALSE)</f>
        <v>05-10-2025</v>
      </c>
      <c r="O1729" s="15" t="str">
        <f>VLOOKUP(A1729,sinap!$A$2:$R$9000,7,FALSE)</f>
        <v>Vivo</v>
      </c>
      <c r="P1729" s="15" t="str">
        <f>VLOOKUP(A1729,sinap!$A$2:$R$9000,8,FALSE)</f>
        <v>11.1.01.2442</v>
      </c>
      <c r="Q1729" s="15" t="str">
        <f>VLOOKUP(A1729,sinap!$A$2:$R$9000,12,FALSE)</f>
        <v>11.1.01.0190</v>
      </c>
      <c r="R1729" s="15" t="str">
        <f>VLOOKUP(A1729,sinap!$A$2:$R$9000,16,FALSE)</f>
        <v>11.1.01.1241</v>
      </c>
      <c r="S1729" s="15" t="str">
        <f>VLOOKUP(A1729,sinap!$A$2:$Y$9000,20,FALSE)</f>
        <v>SI</v>
      </c>
      <c r="T1729" s="16">
        <v>45966</v>
      </c>
    </row>
    <row r="1730" spans="1:20" hidden="1" x14ac:dyDescent="0.25">
      <c r="A1730" s="15">
        <v>26234053</v>
      </c>
      <c r="J1730" s="15" t="str">
        <f>VLOOKUP(A1730,sinap!$A$2:$R$9000,2,FALSE)</f>
        <v>H</v>
      </c>
      <c r="K1730" s="15" t="str">
        <f>VLOOKUP(A1730,sinap!$A$2:$R$9000,3,FALSE)</f>
        <v>TERNERA</v>
      </c>
      <c r="L1730" s="15" t="str">
        <f>VLOOKUP(A1730,sinap!$A$2:$R$9000,4,FALSE)</f>
        <v>ANGUS NEGRO</v>
      </c>
      <c r="M1730" s="15" t="str">
        <f>VLOOKUP(A1730,sinap!$A$2:$R$9000,5,FALSE)</f>
        <v>0 años 3 meses</v>
      </c>
      <c r="N1730" s="15" t="str">
        <f>VLOOKUP(A1730,sinap!$A$2:$R$9000,6,FALSE)</f>
        <v>05-10-2025</v>
      </c>
      <c r="O1730" s="15" t="str">
        <f>VLOOKUP(A1730,sinap!$A$2:$R$9000,7,FALSE)</f>
        <v>Vivo</v>
      </c>
      <c r="P1730" s="15" t="str">
        <f>VLOOKUP(A1730,sinap!$A$2:$R$9000,8,FALSE)</f>
        <v>11.1.01.2442</v>
      </c>
      <c r="Q1730" s="15" t="str">
        <f>VLOOKUP(A1730,sinap!$A$2:$R$9000,12,FALSE)</f>
        <v>11.1.01.0190</v>
      </c>
      <c r="R1730" s="15" t="str">
        <f>VLOOKUP(A1730,sinap!$A$2:$R$9000,16,FALSE)</f>
        <v>11.1.01.1241</v>
      </c>
      <c r="S1730" s="15" t="str">
        <f>VLOOKUP(A1730,sinap!$A$2:$Y$9000,20,FALSE)</f>
        <v>SI</v>
      </c>
      <c r="T1730" s="16">
        <v>45966</v>
      </c>
    </row>
    <row r="1731" spans="1:20" hidden="1" x14ac:dyDescent="0.25">
      <c r="A1731" s="15">
        <v>26234055</v>
      </c>
      <c r="J1731" s="15" t="str">
        <f>VLOOKUP(A1731,sinap!$A$2:$R$9000,2,FALSE)</f>
        <v>M</v>
      </c>
      <c r="K1731" s="15" t="str">
        <f>VLOOKUP(A1731,sinap!$A$2:$R$9000,3,FALSE)</f>
        <v>TERNERO</v>
      </c>
      <c r="L1731" s="15" t="str">
        <f>VLOOKUP(A1731,sinap!$A$2:$R$9000,4,FALSE)</f>
        <v>ANGUS NEGRO</v>
      </c>
      <c r="M1731" s="15" t="str">
        <f>VLOOKUP(A1731,sinap!$A$2:$R$9000,5,FALSE)</f>
        <v>0 años 3 meses</v>
      </c>
      <c r="N1731" s="15" t="str">
        <f>VLOOKUP(A1731,sinap!$A$2:$R$9000,6,FALSE)</f>
        <v>05-10-2025</v>
      </c>
      <c r="O1731" s="15" t="str">
        <f>VLOOKUP(A1731,sinap!$A$2:$R$9000,7,FALSE)</f>
        <v>Vivo</v>
      </c>
      <c r="P1731" s="15" t="str">
        <f>VLOOKUP(A1731,sinap!$A$2:$R$9000,8,FALSE)</f>
        <v>11.1.01.2442</v>
      </c>
      <c r="Q1731" s="15" t="str">
        <f>VLOOKUP(A1731,sinap!$A$2:$R$9000,12,FALSE)</f>
        <v>11.1.01.0190</v>
      </c>
      <c r="R1731" s="15" t="str">
        <f>VLOOKUP(A1731,sinap!$A$2:$R$9000,16,FALSE)</f>
        <v>11.1.01.1241</v>
      </c>
      <c r="S1731" s="15" t="str">
        <f>VLOOKUP(A1731,sinap!$A$2:$Y$9000,20,FALSE)</f>
        <v>SI</v>
      </c>
      <c r="T1731" s="16">
        <v>45966</v>
      </c>
    </row>
    <row r="1732" spans="1:20" hidden="1" x14ac:dyDescent="0.25">
      <c r="A1732" s="15">
        <v>26234056</v>
      </c>
      <c r="J1732" s="15" t="str">
        <f>VLOOKUP(A1732,sinap!$A$2:$R$9000,2,FALSE)</f>
        <v>H</v>
      </c>
      <c r="K1732" s="15" t="str">
        <f>VLOOKUP(A1732,sinap!$A$2:$R$9000,3,FALSE)</f>
        <v>TERNERA</v>
      </c>
      <c r="L1732" s="15" t="str">
        <f>VLOOKUP(A1732,sinap!$A$2:$R$9000,4,FALSE)</f>
        <v>ANGUS ROJO</v>
      </c>
      <c r="M1732" s="15" t="str">
        <f>VLOOKUP(A1732,sinap!$A$2:$R$9000,5,FALSE)</f>
        <v>0 años 3 meses</v>
      </c>
      <c r="N1732" s="15" t="str">
        <f>VLOOKUP(A1732,sinap!$A$2:$R$9000,6,FALSE)</f>
        <v>05-10-2025</v>
      </c>
      <c r="O1732" s="15" t="str">
        <f>VLOOKUP(A1732,sinap!$A$2:$R$9000,7,FALSE)</f>
        <v>Vivo</v>
      </c>
      <c r="P1732" s="15" t="str">
        <f>VLOOKUP(A1732,sinap!$A$2:$R$9000,8,FALSE)</f>
        <v>11.1.01.2442</v>
      </c>
      <c r="Q1732" s="15" t="str">
        <f>VLOOKUP(A1732,sinap!$A$2:$R$9000,12,FALSE)</f>
        <v>11.1.01.0190</v>
      </c>
      <c r="R1732" s="15" t="str">
        <f>VLOOKUP(A1732,sinap!$A$2:$R$9000,16,FALSE)</f>
        <v>11.1.01.1241</v>
      </c>
      <c r="S1732" s="15" t="str">
        <f>VLOOKUP(A1732,sinap!$A$2:$Y$9000,20,FALSE)</f>
        <v>SI</v>
      </c>
      <c r="T1732" s="16">
        <v>45966</v>
      </c>
    </row>
    <row r="1733" spans="1:20" hidden="1" x14ac:dyDescent="0.25">
      <c r="A1733" s="15">
        <v>26234057</v>
      </c>
      <c r="J1733" s="15" t="str">
        <f>VLOOKUP(A1733,sinap!$A$2:$R$9000,2,FALSE)</f>
        <v>H</v>
      </c>
      <c r="K1733" s="15" t="str">
        <f>VLOOKUP(A1733,sinap!$A$2:$R$9000,3,FALSE)</f>
        <v>TERNERA</v>
      </c>
      <c r="L1733" s="15" t="str">
        <f>VLOOKUP(A1733,sinap!$A$2:$R$9000,4,FALSE)</f>
        <v>ANGUS ROJO</v>
      </c>
      <c r="M1733" s="15" t="str">
        <f>VLOOKUP(A1733,sinap!$A$2:$R$9000,5,FALSE)</f>
        <v>0 años 3 meses</v>
      </c>
      <c r="N1733" s="15" t="str">
        <f>VLOOKUP(A1733,sinap!$A$2:$R$9000,6,FALSE)</f>
        <v>05-10-2025</v>
      </c>
      <c r="O1733" s="15" t="str">
        <f>VLOOKUP(A1733,sinap!$A$2:$R$9000,7,FALSE)</f>
        <v>Vivo</v>
      </c>
      <c r="P1733" s="15" t="str">
        <f>VLOOKUP(A1733,sinap!$A$2:$R$9000,8,FALSE)</f>
        <v>11.1.01.2442</v>
      </c>
      <c r="Q1733" s="15" t="str">
        <f>VLOOKUP(A1733,sinap!$A$2:$R$9000,12,FALSE)</f>
        <v>11.1.01.0190</v>
      </c>
      <c r="R1733" s="15" t="str">
        <f>VLOOKUP(A1733,sinap!$A$2:$R$9000,16,FALSE)</f>
        <v>11.1.01.1241</v>
      </c>
      <c r="S1733" s="15" t="str">
        <f>VLOOKUP(A1733,sinap!$A$2:$Y$9000,20,FALSE)</f>
        <v>SI</v>
      </c>
      <c r="T1733" s="16">
        <v>45966</v>
      </c>
    </row>
    <row r="1734" spans="1:20" hidden="1" x14ac:dyDescent="0.25">
      <c r="A1734" s="15">
        <v>26234061</v>
      </c>
      <c r="J1734" s="15" t="str">
        <f>VLOOKUP(A1734,sinap!$A$2:$R$9000,2,FALSE)</f>
        <v>H</v>
      </c>
      <c r="K1734" s="15" t="str">
        <f>VLOOKUP(A1734,sinap!$A$2:$R$9000,3,FALSE)</f>
        <v>TERNERA</v>
      </c>
      <c r="L1734" s="15" t="str">
        <f>VLOOKUP(A1734,sinap!$A$2:$R$9000,4,FALSE)</f>
        <v>ANGUS NEGRO</v>
      </c>
      <c r="M1734" s="15" t="str">
        <f>VLOOKUP(A1734,sinap!$A$2:$R$9000,5,FALSE)</f>
        <v>0 años 3 meses</v>
      </c>
      <c r="N1734" s="15" t="str">
        <f>VLOOKUP(A1734,sinap!$A$2:$R$9000,6,FALSE)</f>
        <v>05-10-2025</v>
      </c>
      <c r="O1734" s="15" t="str">
        <f>VLOOKUP(A1734,sinap!$A$2:$R$9000,7,FALSE)</f>
        <v>Vivo</v>
      </c>
      <c r="P1734" s="15" t="str">
        <f>VLOOKUP(A1734,sinap!$A$2:$R$9000,8,FALSE)</f>
        <v>11.1.01.2442</v>
      </c>
      <c r="Q1734" s="15" t="str">
        <f>VLOOKUP(A1734,sinap!$A$2:$R$9000,12,FALSE)</f>
        <v>11.1.01.0190</v>
      </c>
      <c r="R1734" s="15" t="str">
        <f>VLOOKUP(A1734,sinap!$A$2:$R$9000,16,FALSE)</f>
        <v>11.1.01.1241</v>
      </c>
      <c r="S1734" s="15" t="str">
        <f>VLOOKUP(A1734,sinap!$A$2:$Y$9000,20,FALSE)</f>
        <v>SI</v>
      </c>
      <c r="T1734" s="16">
        <v>45966</v>
      </c>
    </row>
    <row r="1735" spans="1:20" hidden="1" x14ac:dyDescent="0.25">
      <c r="A1735" s="15">
        <v>26234062</v>
      </c>
      <c r="J1735" s="15" t="str">
        <f>VLOOKUP(A1735,sinap!$A$2:$R$9000,2,FALSE)</f>
        <v>H</v>
      </c>
      <c r="K1735" s="15" t="str">
        <f>VLOOKUP(A1735,sinap!$A$2:$R$9000,3,FALSE)</f>
        <v>TERNERA</v>
      </c>
      <c r="L1735" s="15" t="str">
        <f>VLOOKUP(A1735,sinap!$A$2:$R$9000,4,FALSE)</f>
        <v>ANGUS NEGRO</v>
      </c>
      <c r="M1735" s="15" t="str">
        <f>VLOOKUP(A1735,sinap!$A$2:$R$9000,5,FALSE)</f>
        <v>0 años 3 meses</v>
      </c>
      <c r="N1735" s="15" t="str">
        <f>VLOOKUP(A1735,sinap!$A$2:$R$9000,6,FALSE)</f>
        <v>05-10-2025</v>
      </c>
      <c r="O1735" s="15" t="str">
        <f>VLOOKUP(A1735,sinap!$A$2:$R$9000,7,FALSE)</f>
        <v>Vivo</v>
      </c>
      <c r="P1735" s="15" t="str">
        <f>VLOOKUP(A1735,sinap!$A$2:$R$9000,8,FALSE)</f>
        <v>11.1.01.2442</v>
      </c>
      <c r="Q1735" s="15" t="str">
        <f>VLOOKUP(A1735,sinap!$A$2:$R$9000,12,FALSE)</f>
        <v>11.1.01.0190</v>
      </c>
      <c r="R1735" s="15" t="str">
        <f>VLOOKUP(A1735,sinap!$A$2:$R$9000,16,FALSE)</f>
        <v>11.1.01.1241</v>
      </c>
      <c r="S1735" s="15" t="str">
        <f>VLOOKUP(A1735,sinap!$A$2:$Y$9000,20,FALSE)</f>
        <v>SI</v>
      </c>
      <c r="T1735" s="16">
        <v>45966</v>
      </c>
    </row>
    <row r="1736" spans="1:20" hidden="1" x14ac:dyDescent="0.25">
      <c r="A1736" s="15">
        <v>26234064</v>
      </c>
      <c r="J1736" s="15" t="str">
        <f>VLOOKUP(A1736,sinap!$A$2:$R$9000,2,FALSE)</f>
        <v>H</v>
      </c>
      <c r="K1736" s="15" t="str">
        <f>VLOOKUP(A1736,sinap!$A$2:$R$9000,3,FALSE)</f>
        <v>TERNERA</v>
      </c>
      <c r="L1736" s="15" t="str">
        <f>VLOOKUP(A1736,sinap!$A$2:$R$9000,4,FALSE)</f>
        <v>ANGUS ROJO</v>
      </c>
      <c r="M1736" s="15" t="str">
        <f>VLOOKUP(A1736,sinap!$A$2:$R$9000,5,FALSE)</f>
        <v>0 años 5 meses</v>
      </c>
      <c r="N1736" s="15" t="str">
        <f>VLOOKUP(A1736,sinap!$A$2:$R$9000,6,FALSE)</f>
        <v>04-08-2025</v>
      </c>
      <c r="O1736" s="15" t="str">
        <f>VLOOKUP(A1736,sinap!$A$2:$R$9000,7,FALSE)</f>
        <v>Vivo</v>
      </c>
      <c r="P1736" s="15" t="str">
        <f>VLOOKUP(A1736,sinap!$A$2:$R$9000,8,FALSE)</f>
        <v>11.1.01.2442</v>
      </c>
      <c r="Q1736" s="15" t="str">
        <f>VLOOKUP(A1736,sinap!$A$2:$R$9000,12,FALSE)</f>
        <v>11.1.01.0190</v>
      </c>
      <c r="R1736" s="15" t="str">
        <f>VLOOKUP(A1736,sinap!$A$2:$R$9000,16,FALSE)</f>
        <v>11.1.01.1241</v>
      </c>
      <c r="S1736" s="15" t="str">
        <f>VLOOKUP(A1736,sinap!$A$2:$Y$9000,20,FALSE)</f>
        <v>SI</v>
      </c>
      <c r="T1736" s="16">
        <v>45966</v>
      </c>
    </row>
    <row r="1737" spans="1:20" hidden="1" x14ac:dyDescent="0.25">
      <c r="A1737" s="15">
        <v>26234065</v>
      </c>
      <c r="J1737" s="15" t="str">
        <f>VLOOKUP(A1737,sinap!$A$2:$R$9000,2,FALSE)</f>
        <v>H</v>
      </c>
      <c r="K1737" s="15" t="str">
        <f>VLOOKUP(A1737,sinap!$A$2:$R$9000,3,FALSE)</f>
        <v>TERNERA</v>
      </c>
      <c r="L1737" s="15" t="str">
        <f>VLOOKUP(A1737,sinap!$A$2:$R$9000,4,FALSE)</f>
        <v>ANGUS NEGRO</v>
      </c>
      <c r="M1737" s="15" t="str">
        <f>VLOOKUP(A1737,sinap!$A$2:$R$9000,5,FALSE)</f>
        <v>0 años 3 meses</v>
      </c>
      <c r="N1737" s="15" t="str">
        <f>VLOOKUP(A1737,sinap!$A$2:$R$9000,6,FALSE)</f>
        <v>05-10-2025</v>
      </c>
      <c r="O1737" s="15" t="str">
        <f>VLOOKUP(A1737,sinap!$A$2:$R$9000,7,FALSE)</f>
        <v>Vivo</v>
      </c>
      <c r="P1737" s="15" t="str">
        <f>VLOOKUP(A1737,sinap!$A$2:$R$9000,8,FALSE)</f>
        <v>11.1.01.2442</v>
      </c>
      <c r="Q1737" s="15" t="str">
        <f>VLOOKUP(A1737,sinap!$A$2:$R$9000,12,FALSE)</f>
        <v>11.1.01.0190</v>
      </c>
      <c r="R1737" s="15" t="str">
        <f>VLOOKUP(A1737,sinap!$A$2:$R$9000,16,FALSE)</f>
        <v>11.1.01.1241</v>
      </c>
      <c r="S1737" s="15" t="str">
        <f>VLOOKUP(A1737,sinap!$A$2:$Y$9000,20,FALSE)</f>
        <v>SI</v>
      </c>
      <c r="T1737" s="16">
        <v>45966</v>
      </c>
    </row>
    <row r="1738" spans="1:20" hidden="1" x14ac:dyDescent="0.25">
      <c r="A1738" s="15">
        <v>26234067</v>
      </c>
      <c r="J1738" s="15" t="str">
        <f>VLOOKUP(A1738,sinap!$A$2:$R$9000,2,FALSE)</f>
        <v>H</v>
      </c>
      <c r="K1738" s="15" t="str">
        <f>VLOOKUP(A1738,sinap!$A$2:$R$9000,3,FALSE)</f>
        <v>TERNERA</v>
      </c>
      <c r="L1738" s="15" t="str">
        <f>VLOOKUP(A1738,sinap!$A$2:$R$9000,4,FALSE)</f>
        <v>ANGUS NEGRO</v>
      </c>
      <c r="M1738" s="15" t="str">
        <f>VLOOKUP(A1738,sinap!$A$2:$R$9000,5,FALSE)</f>
        <v>0 años 3 meses</v>
      </c>
      <c r="N1738" s="15" t="str">
        <f>VLOOKUP(A1738,sinap!$A$2:$R$9000,6,FALSE)</f>
        <v>05-10-2025</v>
      </c>
      <c r="O1738" s="15" t="str">
        <f>VLOOKUP(A1738,sinap!$A$2:$R$9000,7,FALSE)</f>
        <v>Vivo</v>
      </c>
      <c r="P1738" s="15" t="str">
        <f>VLOOKUP(A1738,sinap!$A$2:$R$9000,8,FALSE)</f>
        <v>11.1.01.2442</v>
      </c>
      <c r="Q1738" s="15" t="str">
        <f>VLOOKUP(A1738,sinap!$A$2:$R$9000,12,FALSE)</f>
        <v>11.1.01.0190</v>
      </c>
      <c r="R1738" s="15" t="str">
        <f>VLOOKUP(A1738,sinap!$A$2:$R$9000,16,FALSE)</f>
        <v>11.1.01.1241</v>
      </c>
      <c r="S1738" s="15" t="str">
        <f>VLOOKUP(A1738,sinap!$A$2:$Y$9000,20,FALSE)</f>
        <v>SI</v>
      </c>
      <c r="T1738" s="16">
        <v>45966</v>
      </c>
    </row>
    <row r="1739" spans="1:20" hidden="1" x14ac:dyDescent="0.25">
      <c r="A1739" s="15">
        <v>26234068</v>
      </c>
      <c r="J1739" s="15" t="str">
        <f>VLOOKUP(A1739,sinap!$A$2:$R$9000,2,FALSE)</f>
        <v>H</v>
      </c>
      <c r="K1739" s="15" t="str">
        <f>VLOOKUP(A1739,sinap!$A$2:$R$9000,3,FALSE)</f>
        <v>TERNERA</v>
      </c>
      <c r="L1739" s="15" t="str">
        <f>VLOOKUP(A1739,sinap!$A$2:$R$9000,4,FALSE)</f>
        <v>ANGUS NEGRO</v>
      </c>
      <c r="M1739" s="15" t="str">
        <f>VLOOKUP(A1739,sinap!$A$2:$R$9000,5,FALSE)</f>
        <v>0 años 3 meses</v>
      </c>
      <c r="N1739" s="15" t="str">
        <f>VLOOKUP(A1739,sinap!$A$2:$R$9000,6,FALSE)</f>
        <v>05-10-2025</v>
      </c>
      <c r="O1739" s="15" t="str">
        <f>VLOOKUP(A1739,sinap!$A$2:$R$9000,7,FALSE)</f>
        <v>Vivo</v>
      </c>
      <c r="P1739" s="15" t="str">
        <f>VLOOKUP(A1739,sinap!$A$2:$R$9000,8,FALSE)</f>
        <v>11.1.01.2442</v>
      </c>
      <c r="Q1739" s="15" t="str">
        <f>VLOOKUP(A1739,sinap!$A$2:$R$9000,12,FALSE)</f>
        <v>11.1.01.0190</v>
      </c>
      <c r="R1739" s="15" t="str">
        <f>VLOOKUP(A1739,sinap!$A$2:$R$9000,16,FALSE)</f>
        <v>11.1.01.1241</v>
      </c>
      <c r="S1739" s="15" t="str">
        <f>VLOOKUP(A1739,sinap!$A$2:$Y$9000,20,FALSE)</f>
        <v>SI</v>
      </c>
      <c r="T1739" s="16">
        <v>45966</v>
      </c>
    </row>
    <row r="1740" spans="1:20" hidden="1" x14ac:dyDescent="0.25">
      <c r="A1740" s="15">
        <v>26234070</v>
      </c>
      <c r="J1740" s="15" t="str">
        <f>VLOOKUP(A1740,sinap!$A$2:$R$9000,2,FALSE)</f>
        <v>H</v>
      </c>
      <c r="K1740" s="15" t="str">
        <f>VLOOKUP(A1740,sinap!$A$2:$R$9000,3,FALSE)</f>
        <v>TERNERA</v>
      </c>
      <c r="L1740" s="15" t="str">
        <f>VLOOKUP(A1740,sinap!$A$2:$R$9000,4,FALSE)</f>
        <v>ANGUS NEGRO</v>
      </c>
      <c r="M1740" s="15" t="str">
        <f>VLOOKUP(A1740,sinap!$A$2:$R$9000,5,FALSE)</f>
        <v>0 años 3 meses</v>
      </c>
      <c r="N1740" s="15" t="str">
        <f>VLOOKUP(A1740,sinap!$A$2:$R$9000,6,FALSE)</f>
        <v>05-10-2025</v>
      </c>
      <c r="O1740" s="15" t="str">
        <f>VLOOKUP(A1740,sinap!$A$2:$R$9000,7,FALSE)</f>
        <v>Vivo</v>
      </c>
      <c r="P1740" s="15" t="str">
        <f>VLOOKUP(A1740,sinap!$A$2:$R$9000,8,FALSE)</f>
        <v>11.1.01.2442</v>
      </c>
      <c r="Q1740" s="15" t="str">
        <f>VLOOKUP(A1740,sinap!$A$2:$R$9000,12,FALSE)</f>
        <v>11.1.01.0190</v>
      </c>
      <c r="R1740" s="15" t="str">
        <f>VLOOKUP(A1740,sinap!$A$2:$R$9000,16,FALSE)</f>
        <v>11.1.01.1241</v>
      </c>
      <c r="S1740" s="15" t="str">
        <f>VLOOKUP(A1740,sinap!$A$2:$Y$9000,20,FALSE)</f>
        <v>SI</v>
      </c>
      <c r="T1740" s="16">
        <v>45966</v>
      </c>
    </row>
    <row r="1741" spans="1:20" hidden="1" x14ac:dyDescent="0.25">
      <c r="A1741" s="15">
        <v>26234071</v>
      </c>
      <c r="J1741" s="15" t="str">
        <f>VLOOKUP(A1741,sinap!$A$2:$R$9000,2,FALSE)</f>
        <v>H</v>
      </c>
      <c r="K1741" s="15" t="str">
        <f>VLOOKUP(A1741,sinap!$A$2:$R$9000,3,FALSE)</f>
        <v>TERNERA</v>
      </c>
      <c r="L1741" s="15" t="str">
        <f>VLOOKUP(A1741,sinap!$A$2:$R$9000,4,FALSE)</f>
        <v>ANGUS NEGRO</v>
      </c>
      <c r="M1741" s="15" t="str">
        <f>VLOOKUP(A1741,sinap!$A$2:$R$9000,5,FALSE)</f>
        <v>0 años 6 meses</v>
      </c>
      <c r="N1741" s="15" t="str">
        <f>VLOOKUP(A1741,sinap!$A$2:$R$9000,6,FALSE)</f>
        <v>04-07-2025</v>
      </c>
      <c r="O1741" s="15" t="str">
        <f>VLOOKUP(A1741,sinap!$A$2:$R$9000,7,FALSE)</f>
        <v>Vivo</v>
      </c>
      <c r="P1741" s="15" t="str">
        <f>VLOOKUP(A1741,sinap!$A$2:$R$9000,8,FALSE)</f>
        <v>11.1.01.2442</v>
      </c>
      <c r="Q1741" s="15" t="str">
        <f>VLOOKUP(A1741,sinap!$A$2:$R$9000,12,FALSE)</f>
        <v>11.1.01.0190</v>
      </c>
      <c r="R1741" s="15" t="str">
        <f>VLOOKUP(A1741,sinap!$A$2:$R$9000,16,FALSE)</f>
        <v>11.1.01.1241</v>
      </c>
      <c r="S1741" s="15" t="str">
        <f>VLOOKUP(A1741,sinap!$A$2:$Y$9000,20,FALSE)</f>
        <v>SI</v>
      </c>
      <c r="T1741" s="16">
        <v>45966</v>
      </c>
    </row>
    <row r="1742" spans="1:20" hidden="1" x14ac:dyDescent="0.25">
      <c r="A1742" s="15">
        <v>26234072</v>
      </c>
      <c r="J1742" s="15" t="str">
        <f>VLOOKUP(A1742,sinap!$A$2:$R$9000,2,FALSE)</f>
        <v>H</v>
      </c>
      <c r="K1742" s="15" t="str">
        <f>VLOOKUP(A1742,sinap!$A$2:$R$9000,3,FALSE)</f>
        <v>TERNERA</v>
      </c>
      <c r="L1742" s="15" t="str">
        <f>VLOOKUP(A1742,sinap!$A$2:$R$9000,4,FALSE)</f>
        <v>ANGUS NEGRO</v>
      </c>
      <c r="M1742" s="15" t="str">
        <f>VLOOKUP(A1742,sinap!$A$2:$R$9000,5,FALSE)</f>
        <v>0 años 3 meses</v>
      </c>
      <c r="N1742" s="15" t="str">
        <f>VLOOKUP(A1742,sinap!$A$2:$R$9000,6,FALSE)</f>
        <v>05-10-2025</v>
      </c>
      <c r="O1742" s="15" t="str">
        <f>VLOOKUP(A1742,sinap!$A$2:$R$9000,7,FALSE)</f>
        <v>Vivo</v>
      </c>
      <c r="P1742" s="15" t="str">
        <f>VLOOKUP(A1742,sinap!$A$2:$R$9000,8,FALSE)</f>
        <v>11.1.01.2442</v>
      </c>
      <c r="Q1742" s="15" t="str">
        <f>VLOOKUP(A1742,sinap!$A$2:$R$9000,12,FALSE)</f>
        <v>11.1.01.0190</v>
      </c>
      <c r="R1742" s="15" t="str">
        <f>VLOOKUP(A1742,sinap!$A$2:$R$9000,16,FALSE)</f>
        <v>11.1.01.1241</v>
      </c>
      <c r="S1742" s="15" t="str">
        <f>VLOOKUP(A1742,sinap!$A$2:$Y$9000,20,FALSE)</f>
        <v>SI</v>
      </c>
      <c r="T1742" s="16">
        <v>45966</v>
      </c>
    </row>
    <row r="1743" spans="1:20" hidden="1" x14ac:dyDescent="0.25">
      <c r="A1743" s="15">
        <v>26234073</v>
      </c>
      <c r="J1743" s="15" t="str">
        <f>VLOOKUP(A1743,sinap!$A$2:$R$9000,2,FALSE)</f>
        <v>H</v>
      </c>
      <c r="K1743" s="15" t="str">
        <f>VLOOKUP(A1743,sinap!$A$2:$R$9000,3,FALSE)</f>
        <v>TERNERA</v>
      </c>
      <c r="L1743" s="15" t="str">
        <f>VLOOKUP(A1743,sinap!$A$2:$R$9000,4,FALSE)</f>
        <v>ANGUS ROJO</v>
      </c>
      <c r="M1743" s="15" t="str">
        <f>VLOOKUP(A1743,sinap!$A$2:$R$9000,5,FALSE)</f>
        <v>0 años 3 meses</v>
      </c>
      <c r="N1743" s="15" t="str">
        <f>VLOOKUP(A1743,sinap!$A$2:$R$9000,6,FALSE)</f>
        <v>05-10-2025</v>
      </c>
      <c r="O1743" s="15" t="str">
        <f>VLOOKUP(A1743,sinap!$A$2:$R$9000,7,FALSE)</f>
        <v>Vivo</v>
      </c>
      <c r="P1743" s="15" t="str">
        <f>VLOOKUP(A1743,sinap!$A$2:$R$9000,8,FALSE)</f>
        <v>11.1.01.2442</v>
      </c>
      <c r="Q1743" s="15" t="str">
        <f>VLOOKUP(A1743,sinap!$A$2:$R$9000,12,FALSE)</f>
        <v>11.1.01.0190</v>
      </c>
      <c r="R1743" s="15" t="str">
        <f>VLOOKUP(A1743,sinap!$A$2:$R$9000,16,FALSE)</f>
        <v>11.1.01.1241</v>
      </c>
      <c r="S1743" s="15" t="str">
        <f>VLOOKUP(A1743,sinap!$A$2:$Y$9000,20,FALSE)</f>
        <v>SI</v>
      </c>
      <c r="T1743" s="16">
        <v>45966</v>
      </c>
    </row>
    <row r="1744" spans="1:20" hidden="1" x14ac:dyDescent="0.25">
      <c r="A1744" s="15">
        <v>26234074</v>
      </c>
      <c r="J1744" s="15" t="str">
        <f>VLOOKUP(A1744,sinap!$A$2:$R$9000,2,FALSE)</f>
        <v>H</v>
      </c>
      <c r="K1744" s="15" t="str">
        <f>VLOOKUP(A1744,sinap!$A$2:$R$9000,3,FALSE)</f>
        <v>TERNERA</v>
      </c>
      <c r="L1744" s="15" t="str">
        <f>VLOOKUP(A1744,sinap!$A$2:$R$9000,4,FALSE)</f>
        <v>ANGUS NEGRO</v>
      </c>
      <c r="M1744" s="15" t="str">
        <f>VLOOKUP(A1744,sinap!$A$2:$R$9000,5,FALSE)</f>
        <v>0 años 3 meses</v>
      </c>
      <c r="N1744" s="15" t="str">
        <f>VLOOKUP(A1744,sinap!$A$2:$R$9000,6,FALSE)</f>
        <v>05-10-2025</v>
      </c>
      <c r="O1744" s="15" t="str">
        <f>VLOOKUP(A1744,sinap!$A$2:$R$9000,7,FALSE)</f>
        <v>Vivo</v>
      </c>
      <c r="P1744" s="15" t="str">
        <f>VLOOKUP(A1744,sinap!$A$2:$R$9000,8,FALSE)</f>
        <v>11.1.01.2442</v>
      </c>
      <c r="Q1744" s="15" t="str">
        <f>VLOOKUP(A1744,sinap!$A$2:$R$9000,12,FALSE)</f>
        <v>11.1.01.0190</v>
      </c>
      <c r="R1744" s="15" t="str">
        <f>VLOOKUP(A1744,sinap!$A$2:$R$9000,16,FALSE)</f>
        <v>11.1.01.1241</v>
      </c>
      <c r="S1744" s="15" t="str">
        <f>VLOOKUP(A1744,sinap!$A$2:$Y$9000,20,FALSE)</f>
        <v>SI</v>
      </c>
      <c r="T1744" s="16">
        <v>45966</v>
      </c>
    </row>
    <row r="1745" spans="1:20" hidden="1" x14ac:dyDescent="0.25">
      <c r="A1745" s="15">
        <v>26234075</v>
      </c>
      <c r="J1745" s="15" t="str">
        <f>VLOOKUP(A1745,sinap!$A$2:$R$9000,2,FALSE)</f>
        <v>H</v>
      </c>
      <c r="K1745" s="15" t="str">
        <f>VLOOKUP(A1745,sinap!$A$2:$R$9000,3,FALSE)</f>
        <v>TERNERA</v>
      </c>
      <c r="L1745" s="15" t="str">
        <f>VLOOKUP(A1745,sinap!$A$2:$R$9000,4,FALSE)</f>
        <v>ANGUS NEGRO</v>
      </c>
      <c r="M1745" s="15" t="str">
        <f>VLOOKUP(A1745,sinap!$A$2:$R$9000,5,FALSE)</f>
        <v>0 años 3 meses</v>
      </c>
      <c r="N1745" s="15" t="str">
        <f>VLOOKUP(A1745,sinap!$A$2:$R$9000,6,FALSE)</f>
        <v>05-10-2025</v>
      </c>
      <c r="O1745" s="15" t="str">
        <f>VLOOKUP(A1745,sinap!$A$2:$R$9000,7,FALSE)</f>
        <v>Vivo</v>
      </c>
      <c r="P1745" s="15" t="str">
        <f>VLOOKUP(A1745,sinap!$A$2:$R$9000,8,FALSE)</f>
        <v>11.1.01.2442</v>
      </c>
      <c r="Q1745" s="15" t="str">
        <f>VLOOKUP(A1745,sinap!$A$2:$R$9000,12,FALSE)</f>
        <v>11.1.01.0190</v>
      </c>
      <c r="R1745" s="15" t="str">
        <f>VLOOKUP(A1745,sinap!$A$2:$R$9000,16,FALSE)</f>
        <v>11.1.01.1241</v>
      </c>
      <c r="S1745" s="15" t="str">
        <f>VLOOKUP(A1745,sinap!$A$2:$Y$9000,20,FALSE)</f>
        <v>SI</v>
      </c>
      <c r="T1745" s="16">
        <v>45966</v>
      </c>
    </row>
    <row r="1746" spans="1:20" hidden="1" x14ac:dyDescent="0.25">
      <c r="A1746" s="15">
        <v>26234076</v>
      </c>
      <c r="J1746" s="15" t="str">
        <f>VLOOKUP(A1746,sinap!$A$2:$R$9000,2,FALSE)</f>
        <v>H</v>
      </c>
      <c r="K1746" s="15" t="str">
        <f>VLOOKUP(A1746,sinap!$A$2:$R$9000,3,FALSE)</f>
        <v>TERNERA</v>
      </c>
      <c r="L1746" s="15" t="str">
        <f>VLOOKUP(A1746,sinap!$A$2:$R$9000,4,FALSE)</f>
        <v>ANGUS NEGRO</v>
      </c>
      <c r="M1746" s="15" t="str">
        <f>VLOOKUP(A1746,sinap!$A$2:$R$9000,5,FALSE)</f>
        <v>0 años 3 meses</v>
      </c>
      <c r="N1746" s="15" t="str">
        <f>VLOOKUP(A1746,sinap!$A$2:$R$9000,6,FALSE)</f>
        <v>04-10-2025</v>
      </c>
      <c r="O1746" s="15" t="str">
        <f>VLOOKUP(A1746,sinap!$A$2:$R$9000,7,FALSE)</f>
        <v>Vivo</v>
      </c>
      <c r="P1746" s="15" t="str">
        <f>VLOOKUP(A1746,sinap!$A$2:$R$9000,8,FALSE)</f>
        <v>11.1.01.2442</v>
      </c>
      <c r="Q1746" s="15" t="str">
        <f>VLOOKUP(A1746,sinap!$A$2:$R$9000,12,FALSE)</f>
        <v>11.1.01.0190</v>
      </c>
      <c r="R1746" s="15" t="str">
        <f>VLOOKUP(A1746,sinap!$A$2:$R$9000,16,FALSE)</f>
        <v>11.1.01.1241</v>
      </c>
      <c r="S1746" s="15" t="str">
        <f>VLOOKUP(A1746,sinap!$A$2:$Y$9000,20,FALSE)</f>
        <v>SI</v>
      </c>
      <c r="T1746" s="16">
        <v>45966</v>
      </c>
    </row>
    <row r="1747" spans="1:20" hidden="1" x14ac:dyDescent="0.25">
      <c r="A1747" s="15">
        <v>26234077</v>
      </c>
      <c r="J1747" s="15" t="str">
        <f>VLOOKUP(A1747,sinap!$A$2:$R$9000,2,FALSE)</f>
        <v>H</v>
      </c>
      <c r="K1747" s="15" t="str">
        <f>VLOOKUP(A1747,sinap!$A$2:$R$9000,3,FALSE)</f>
        <v>TERNERA</v>
      </c>
      <c r="L1747" s="15" t="str">
        <f>VLOOKUP(A1747,sinap!$A$2:$R$9000,4,FALSE)</f>
        <v>ANGUS NEGRO</v>
      </c>
      <c r="M1747" s="15" t="str">
        <f>VLOOKUP(A1747,sinap!$A$2:$R$9000,5,FALSE)</f>
        <v>0 años 6 meses</v>
      </c>
      <c r="N1747" s="15" t="str">
        <f>VLOOKUP(A1747,sinap!$A$2:$R$9000,6,FALSE)</f>
        <v>07-07-2025</v>
      </c>
      <c r="O1747" s="15" t="str">
        <f>VLOOKUP(A1747,sinap!$A$2:$R$9000,7,FALSE)</f>
        <v>Vivo</v>
      </c>
      <c r="P1747" s="15" t="str">
        <f>VLOOKUP(A1747,sinap!$A$2:$R$9000,8,FALSE)</f>
        <v>11.1.01.2442</v>
      </c>
      <c r="Q1747" s="15" t="str">
        <f>VLOOKUP(A1747,sinap!$A$2:$R$9000,12,FALSE)</f>
        <v>11.1.01.0190</v>
      </c>
      <c r="R1747" s="15" t="str">
        <f>VLOOKUP(A1747,sinap!$A$2:$R$9000,16,FALSE)</f>
        <v>11.1.01.1241</v>
      </c>
      <c r="S1747" s="15" t="str">
        <f>VLOOKUP(A1747,sinap!$A$2:$Y$9000,20,FALSE)</f>
        <v>SI</v>
      </c>
      <c r="T1747" s="16">
        <v>45966</v>
      </c>
    </row>
    <row r="1748" spans="1:20" hidden="1" x14ac:dyDescent="0.25">
      <c r="A1748" s="15">
        <v>26234078</v>
      </c>
      <c r="J1748" s="15" t="str">
        <f>VLOOKUP(A1748,sinap!$A$2:$R$9000,2,FALSE)</f>
        <v>H</v>
      </c>
      <c r="K1748" s="15" t="str">
        <f>VLOOKUP(A1748,sinap!$A$2:$R$9000,3,FALSE)</f>
        <v>TERNERA</v>
      </c>
      <c r="L1748" s="15" t="str">
        <f>VLOOKUP(A1748,sinap!$A$2:$R$9000,4,FALSE)</f>
        <v>ANGUS NEGRO</v>
      </c>
      <c r="M1748" s="15" t="str">
        <f>VLOOKUP(A1748,sinap!$A$2:$R$9000,5,FALSE)</f>
        <v>0 años 3 meses</v>
      </c>
      <c r="N1748" s="15" t="str">
        <f>VLOOKUP(A1748,sinap!$A$2:$R$9000,6,FALSE)</f>
        <v>05-10-2025</v>
      </c>
      <c r="O1748" s="15" t="str">
        <f>VLOOKUP(A1748,sinap!$A$2:$R$9000,7,FALSE)</f>
        <v>Vivo</v>
      </c>
      <c r="P1748" s="15" t="str">
        <f>VLOOKUP(A1748,sinap!$A$2:$R$9000,8,FALSE)</f>
        <v>11.1.01.2442</v>
      </c>
      <c r="Q1748" s="15" t="str">
        <f>VLOOKUP(A1748,sinap!$A$2:$R$9000,12,FALSE)</f>
        <v>11.1.01.0190</v>
      </c>
      <c r="R1748" s="15" t="str">
        <f>VLOOKUP(A1748,sinap!$A$2:$R$9000,16,FALSE)</f>
        <v>11.1.01.1241</v>
      </c>
      <c r="S1748" s="15" t="str">
        <f>VLOOKUP(A1748,sinap!$A$2:$Y$9000,20,FALSE)</f>
        <v>SI</v>
      </c>
      <c r="T1748" s="16">
        <v>45966</v>
      </c>
    </row>
    <row r="1749" spans="1:20" hidden="1" x14ac:dyDescent="0.25">
      <c r="A1749" s="15">
        <v>26234079</v>
      </c>
      <c r="J1749" s="15" t="str">
        <f>VLOOKUP(A1749,sinap!$A$2:$R$9000,2,FALSE)</f>
        <v>H</v>
      </c>
      <c r="K1749" s="15" t="str">
        <f>VLOOKUP(A1749,sinap!$A$2:$R$9000,3,FALSE)</f>
        <v>TERNERA</v>
      </c>
      <c r="L1749" s="15" t="str">
        <f>VLOOKUP(A1749,sinap!$A$2:$R$9000,4,FALSE)</f>
        <v>ANGUS NEGRO</v>
      </c>
      <c r="M1749" s="15" t="str">
        <f>VLOOKUP(A1749,sinap!$A$2:$R$9000,5,FALSE)</f>
        <v>0 años 3 meses</v>
      </c>
      <c r="N1749" s="15" t="str">
        <f>VLOOKUP(A1749,sinap!$A$2:$R$9000,6,FALSE)</f>
        <v>05-10-2025</v>
      </c>
      <c r="O1749" s="15" t="str">
        <f>VLOOKUP(A1749,sinap!$A$2:$R$9000,7,FALSE)</f>
        <v>Vivo</v>
      </c>
      <c r="P1749" s="15" t="str">
        <f>VLOOKUP(A1749,sinap!$A$2:$R$9000,8,FALSE)</f>
        <v>11.1.01.2442</v>
      </c>
      <c r="Q1749" s="15" t="str">
        <f>VLOOKUP(A1749,sinap!$A$2:$R$9000,12,FALSE)</f>
        <v>11.1.01.0190</v>
      </c>
      <c r="R1749" s="15" t="str">
        <f>VLOOKUP(A1749,sinap!$A$2:$R$9000,16,FALSE)</f>
        <v>11.1.01.1241</v>
      </c>
      <c r="S1749" s="15" t="str">
        <f>VLOOKUP(A1749,sinap!$A$2:$Y$9000,20,FALSE)</f>
        <v>SI</v>
      </c>
      <c r="T1749" s="16">
        <v>45966</v>
      </c>
    </row>
    <row r="1750" spans="1:20" hidden="1" x14ac:dyDescent="0.25">
      <c r="A1750" s="15">
        <v>26234081</v>
      </c>
      <c r="J1750" s="15" t="str">
        <f>VLOOKUP(A1750,sinap!$A$2:$R$9000,2,FALSE)</f>
        <v>H</v>
      </c>
      <c r="K1750" s="15" t="str">
        <f>VLOOKUP(A1750,sinap!$A$2:$R$9000,3,FALSE)</f>
        <v>TERNERA</v>
      </c>
      <c r="L1750" s="15" t="str">
        <f>VLOOKUP(A1750,sinap!$A$2:$R$9000,4,FALSE)</f>
        <v>ANGUS ROJO</v>
      </c>
      <c r="M1750" s="15" t="str">
        <f>VLOOKUP(A1750,sinap!$A$2:$R$9000,5,FALSE)</f>
        <v>0 años 3 meses</v>
      </c>
      <c r="N1750" s="15" t="str">
        <f>VLOOKUP(A1750,sinap!$A$2:$R$9000,6,FALSE)</f>
        <v>05-10-2025</v>
      </c>
      <c r="O1750" s="15" t="str">
        <f>VLOOKUP(A1750,sinap!$A$2:$R$9000,7,FALSE)</f>
        <v>Vivo</v>
      </c>
      <c r="P1750" s="15" t="str">
        <f>VLOOKUP(A1750,sinap!$A$2:$R$9000,8,FALSE)</f>
        <v>11.1.01.1241</v>
      </c>
      <c r="Q1750" s="15" t="str">
        <f>VLOOKUP(A1750,sinap!$A$2:$R$9000,12,FALSE)</f>
        <v>Sin Movimiento</v>
      </c>
      <c r="R1750" s="15" t="str">
        <f>VLOOKUP(A1750,sinap!$A$2:$R$9000,16,FALSE)</f>
        <v>11.1.01.1241</v>
      </c>
      <c r="S1750" s="15" t="str">
        <f>VLOOKUP(A1750,sinap!$A$2:$Y$9000,20,FALSE)</f>
        <v>SI</v>
      </c>
      <c r="T1750" s="16">
        <v>45966</v>
      </c>
    </row>
    <row r="1751" spans="1:20" hidden="1" x14ac:dyDescent="0.25">
      <c r="A1751" s="15">
        <v>26234081</v>
      </c>
      <c r="J1751" s="15" t="str">
        <f>VLOOKUP(A1751,sinap!$A$2:$R$9000,2,FALSE)</f>
        <v>H</v>
      </c>
      <c r="K1751" s="15" t="str">
        <f>VLOOKUP(A1751,sinap!$A$2:$R$9000,3,FALSE)</f>
        <v>TERNERA</v>
      </c>
      <c r="L1751" s="15" t="str">
        <f>VLOOKUP(A1751,sinap!$A$2:$R$9000,4,FALSE)</f>
        <v>ANGUS ROJO</v>
      </c>
      <c r="M1751" s="15" t="str">
        <f>VLOOKUP(A1751,sinap!$A$2:$R$9000,5,FALSE)</f>
        <v>0 años 3 meses</v>
      </c>
      <c r="N1751" s="15" t="str">
        <f>VLOOKUP(A1751,sinap!$A$2:$R$9000,6,FALSE)</f>
        <v>05-10-2025</v>
      </c>
      <c r="O1751" s="15" t="str">
        <f>VLOOKUP(A1751,sinap!$A$2:$R$9000,7,FALSE)</f>
        <v>Vivo</v>
      </c>
      <c r="P1751" s="15" t="str">
        <f>VLOOKUP(A1751,sinap!$A$2:$R$9000,8,FALSE)</f>
        <v>11.1.01.1241</v>
      </c>
      <c r="Q1751" s="15" t="str">
        <f>VLOOKUP(A1751,sinap!$A$2:$R$9000,12,FALSE)</f>
        <v>Sin Movimiento</v>
      </c>
      <c r="R1751" s="15" t="str">
        <f>VLOOKUP(A1751,sinap!$A$2:$R$9000,16,FALSE)</f>
        <v>11.1.01.1241</v>
      </c>
      <c r="S1751" s="15" t="str">
        <f>VLOOKUP(A1751,sinap!$A$2:$Y$9000,20,FALSE)</f>
        <v>SI</v>
      </c>
      <c r="T1751" s="16">
        <v>46331</v>
      </c>
    </row>
    <row r="1752" spans="1:20" hidden="1" x14ac:dyDescent="0.25">
      <c r="A1752" s="15">
        <v>26234085</v>
      </c>
      <c r="J1752" s="15" t="str">
        <f>VLOOKUP(A1752,sinap!$A$2:$R$9000,2,FALSE)</f>
        <v>H</v>
      </c>
      <c r="K1752" s="15" t="str">
        <f>VLOOKUP(A1752,sinap!$A$2:$R$9000,3,FALSE)</f>
        <v>TERNERA</v>
      </c>
      <c r="L1752" s="15" t="str">
        <f>VLOOKUP(A1752,sinap!$A$2:$R$9000,4,FALSE)</f>
        <v>ANGUS NEGRO</v>
      </c>
      <c r="M1752" s="15" t="str">
        <f>VLOOKUP(A1752,sinap!$A$2:$R$9000,5,FALSE)</f>
        <v>0 años 5 meses</v>
      </c>
      <c r="N1752" s="15" t="str">
        <f>VLOOKUP(A1752,sinap!$A$2:$R$9000,6,FALSE)</f>
        <v>30-07-2025</v>
      </c>
      <c r="O1752" s="15" t="str">
        <f>VLOOKUP(A1752,sinap!$A$2:$R$9000,7,FALSE)</f>
        <v>Vivo</v>
      </c>
      <c r="P1752" s="15" t="str">
        <f>VLOOKUP(A1752,sinap!$A$2:$R$9000,8,FALSE)</f>
        <v>11.1.01.2442</v>
      </c>
      <c r="Q1752" s="15" t="str">
        <f>VLOOKUP(A1752,sinap!$A$2:$R$9000,12,FALSE)</f>
        <v>11.1.01.0190</v>
      </c>
      <c r="R1752" s="15" t="str">
        <f>VLOOKUP(A1752,sinap!$A$2:$R$9000,16,FALSE)</f>
        <v>11.1.01.1241</v>
      </c>
      <c r="S1752" s="15" t="str">
        <f>VLOOKUP(A1752,sinap!$A$2:$Y$9000,20,FALSE)</f>
        <v>SI</v>
      </c>
      <c r="T1752" s="16">
        <v>45966</v>
      </c>
    </row>
    <row r="1753" spans="1:20" hidden="1" x14ac:dyDescent="0.25">
      <c r="A1753" s="15">
        <v>26234087</v>
      </c>
      <c r="J1753" s="15" t="str">
        <f>VLOOKUP(A1753,sinap!$A$2:$R$9000,2,FALSE)</f>
        <v>H</v>
      </c>
      <c r="K1753" s="15" t="str">
        <f>VLOOKUP(A1753,sinap!$A$2:$R$9000,3,FALSE)</f>
        <v>TERNERA</v>
      </c>
      <c r="L1753" s="15" t="str">
        <f>VLOOKUP(A1753,sinap!$A$2:$R$9000,4,FALSE)</f>
        <v>ANGUS NEGRO</v>
      </c>
      <c r="M1753" s="15" t="str">
        <f>VLOOKUP(A1753,sinap!$A$2:$R$9000,5,FALSE)</f>
        <v>0 años 3 meses</v>
      </c>
      <c r="N1753" s="15" t="str">
        <f>VLOOKUP(A1753,sinap!$A$2:$R$9000,6,FALSE)</f>
        <v>05-10-2025</v>
      </c>
      <c r="O1753" s="15" t="str">
        <f>VLOOKUP(A1753,sinap!$A$2:$R$9000,7,FALSE)</f>
        <v>Vivo</v>
      </c>
      <c r="P1753" s="15" t="str">
        <f>VLOOKUP(A1753,sinap!$A$2:$R$9000,8,FALSE)</f>
        <v>11.1.01.2442</v>
      </c>
      <c r="Q1753" s="15" t="str">
        <f>VLOOKUP(A1753,sinap!$A$2:$R$9000,12,FALSE)</f>
        <v>11.1.01.0190</v>
      </c>
      <c r="R1753" s="15" t="str">
        <f>VLOOKUP(A1753,sinap!$A$2:$R$9000,16,FALSE)</f>
        <v>11.1.01.1241</v>
      </c>
      <c r="S1753" s="15" t="str">
        <f>VLOOKUP(A1753,sinap!$A$2:$Y$9000,20,FALSE)</f>
        <v>SI</v>
      </c>
      <c r="T1753" s="16">
        <v>45966</v>
      </c>
    </row>
    <row r="1754" spans="1:20" hidden="1" x14ac:dyDescent="0.25">
      <c r="A1754" s="15">
        <v>26234091</v>
      </c>
      <c r="J1754" s="15" t="str">
        <f>VLOOKUP(A1754,sinap!$A$2:$R$9000,2,FALSE)</f>
        <v>H</v>
      </c>
      <c r="K1754" s="15" t="str">
        <f>VLOOKUP(A1754,sinap!$A$2:$R$9000,3,FALSE)</f>
        <v>TERNERA</v>
      </c>
      <c r="L1754" s="15" t="str">
        <f>VLOOKUP(A1754,sinap!$A$2:$R$9000,4,FALSE)</f>
        <v>ANGUS ROJO</v>
      </c>
      <c r="M1754" s="15" t="str">
        <f>VLOOKUP(A1754,sinap!$A$2:$R$9000,5,FALSE)</f>
        <v>0 años 5 meses</v>
      </c>
      <c r="N1754" s="15" t="str">
        <f>VLOOKUP(A1754,sinap!$A$2:$R$9000,6,FALSE)</f>
        <v>30-07-2025</v>
      </c>
      <c r="O1754" s="15" t="str">
        <f>VLOOKUP(A1754,sinap!$A$2:$R$9000,7,FALSE)</f>
        <v>Vivo</v>
      </c>
      <c r="P1754" s="15" t="str">
        <f>VLOOKUP(A1754,sinap!$A$2:$R$9000,8,FALSE)</f>
        <v>11.1.01.2442</v>
      </c>
      <c r="Q1754" s="15" t="str">
        <f>VLOOKUP(A1754,sinap!$A$2:$R$9000,12,FALSE)</f>
        <v>11.1.01.0190</v>
      </c>
      <c r="R1754" s="15" t="str">
        <f>VLOOKUP(A1754,sinap!$A$2:$R$9000,16,FALSE)</f>
        <v>11.1.01.1241</v>
      </c>
      <c r="S1754" s="15" t="str">
        <f>VLOOKUP(A1754,sinap!$A$2:$Y$9000,20,FALSE)</f>
        <v>SI</v>
      </c>
      <c r="T1754" s="16">
        <v>45966</v>
      </c>
    </row>
    <row r="1755" spans="1:20" hidden="1" x14ac:dyDescent="0.25">
      <c r="A1755" s="15">
        <v>26234092</v>
      </c>
      <c r="J1755" s="15" t="str">
        <f>VLOOKUP(A1755,sinap!$A$2:$R$9000,2,FALSE)</f>
        <v>H</v>
      </c>
      <c r="K1755" s="15" t="str">
        <f>VLOOKUP(A1755,sinap!$A$2:$R$9000,3,FALSE)</f>
        <v>TERNERA</v>
      </c>
      <c r="L1755" s="15" t="str">
        <f>VLOOKUP(A1755,sinap!$A$2:$R$9000,4,FALSE)</f>
        <v>ANGUS NEGRO</v>
      </c>
      <c r="M1755" s="15" t="str">
        <f>VLOOKUP(A1755,sinap!$A$2:$R$9000,5,FALSE)</f>
        <v>0 años 3 meses</v>
      </c>
      <c r="N1755" s="15" t="str">
        <f>VLOOKUP(A1755,sinap!$A$2:$R$9000,6,FALSE)</f>
        <v>05-10-2025</v>
      </c>
      <c r="O1755" s="15" t="str">
        <f>VLOOKUP(A1755,sinap!$A$2:$R$9000,7,FALSE)</f>
        <v>Vivo</v>
      </c>
      <c r="P1755" s="15" t="str">
        <f>VLOOKUP(A1755,sinap!$A$2:$R$9000,8,FALSE)</f>
        <v>11.1.01.2442</v>
      </c>
      <c r="Q1755" s="15" t="str">
        <f>VLOOKUP(A1755,sinap!$A$2:$R$9000,12,FALSE)</f>
        <v>11.1.01.0190</v>
      </c>
      <c r="R1755" s="15" t="str">
        <f>VLOOKUP(A1755,sinap!$A$2:$R$9000,16,FALSE)</f>
        <v>11.1.01.1241</v>
      </c>
      <c r="S1755" s="15" t="str">
        <f>VLOOKUP(A1755,sinap!$A$2:$Y$9000,20,FALSE)</f>
        <v>SI</v>
      </c>
      <c r="T1755" s="16">
        <v>45966</v>
      </c>
    </row>
    <row r="1756" spans="1:20" hidden="1" x14ac:dyDescent="0.25">
      <c r="A1756" s="15">
        <v>26234094</v>
      </c>
      <c r="J1756" s="15" t="str">
        <f>VLOOKUP(A1756,sinap!$A$2:$R$9000,2,FALSE)</f>
        <v>H</v>
      </c>
      <c r="K1756" s="15" t="str">
        <f>VLOOKUP(A1756,sinap!$A$2:$R$9000,3,FALSE)</f>
        <v>TERNERA</v>
      </c>
      <c r="L1756" s="15" t="str">
        <f>VLOOKUP(A1756,sinap!$A$2:$R$9000,4,FALSE)</f>
        <v>ANGUS NEGRO</v>
      </c>
      <c r="M1756" s="15" t="str">
        <f>VLOOKUP(A1756,sinap!$A$2:$R$9000,5,FALSE)</f>
        <v>0 años 2 meses</v>
      </c>
      <c r="N1756" s="15" t="str">
        <f>VLOOKUP(A1756,sinap!$A$2:$R$9000,6,FALSE)</f>
        <v>20-10-2025</v>
      </c>
      <c r="O1756" s="15" t="str">
        <f>VLOOKUP(A1756,sinap!$A$2:$R$9000,7,FALSE)</f>
        <v>Vivo</v>
      </c>
      <c r="P1756" s="15" t="str">
        <f>VLOOKUP(A1756,sinap!$A$2:$R$9000,8,FALSE)</f>
        <v>11.1.01.2442</v>
      </c>
      <c r="Q1756" s="15" t="str">
        <f>VLOOKUP(A1756,sinap!$A$2:$R$9000,12,FALSE)</f>
        <v>11.1.01.0190</v>
      </c>
      <c r="R1756" s="15" t="str">
        <f>VLOOKUP(A1756,sinap!$A$2:$R$9000,16,FALSE)</f>
        <v>11.1.01.1241</v>
      </c>
      <c r="S1756" s="15" t="str">
        <f>VLOOKUP(A1756,sinap!$A$2:$Y$9000,20,FALSE)</f>
        <v>SI</v>
      </c>
      <c r="T1756" s="16">
        <v>45966</v>
      </c>
    </row>
    <row r="1757" spans="1:20" hidden="1" x14ac:dyDescent="0.25">
      <c r="A1757" s="15">
        <v>26234151</v>
      </c>
      <c r="J1757" s="15" t="str">
        <f>VLOOKUP(A1757,sinap!$A$2:$R$9000,2,FALSE)</f>
        <v>M</v>
      </c>
      <c r="K1757" s="15" t="str">
        <f>VLOOKUP(A1757,sinap!$A$2:$R$9000,3,FALSE)</f>
        <v>TERNERO</v>
      </c>
      <c r="L1757" s="15" t="str">
        <f>VLOOKUP(A1757,sinap!$A$2:$R$9000,4,FALSE)</f>
        <v>ANGUS NEGRO</v>
      </c>
      <c r="M1757" s="15" t="str">
        <f>VLOOKUP(A1757,sinap!$A$2:$R$9000,5,FALSE)</f>
        <v>0 años 4 meses</v>
      </c>
      <c r="N1757" s="15" t="str">
        <f>VLOOKUP(A1757,sinap!$A$2:$R$9000,6,FALSE)</f>
        <v>11-09-2025</v>
      </c>
      <c r="O1757" s="15" t="str">
        <f>VLOOKUP(A1757,sinap!$A$2:$R$9000,7,FALSE)</f>
        <v>Vivo</v>
      </c>
      <c r="P1757" s="15" t="str">
        <f>VLOOKUP(A1757,sinap!$A$2:$R$9000,8,FALSE)</f>
        <v>11.1.01.0791</v>
      </c>
      <c r="Q1757" s="15" t="str">
        <f>VLOOKUP(A1757,sinap!$A$2:$R$9000,12,FALSE)</f>
        <v>11.1.01.0893</v>
      </c>
      <c r="R1757" s="15" t="str">
        <f>VLOOKUP(A1757,sinap!$A$2:$R$9000,16,FALSE)</f>
        <v>11.1.01.0893</v>
      </c>
      <c r="S1757" s="15" t="str">
        <f>VLOOKUP(A1757,sinap!$A$2:$Y$9000,20,FALSE)</f>
        <v>SI</v>
      </c>
      <c r="T1757" s="16">
        <v>45984</v>
      </c>
    </row>
    <row r="1758" spans="1:20" hidden="1" x14ac:dyDescent="0.25">
      <c r="A1758" s="15">
        <v>26234152</v>
      </c>
      <c r="J1758" s="15" t="str">
        <f>VLOOKUP(A1758,sinap!$A$2:$R$9000,2,FALSE)</f>
        <v>H</v>
      </c>
      <c r="K1758" s="15" t="str">
        <f>VLOOKUP(A1758,sinap!$A$2:$R$9000,3,FALSE)</f>
        <v>TERNERA</v>
      </c>
      <c r="L1758" s="15" t="str">
        <f>VLOOKUP(A1758,sinap!$A$2:$R$9000,4,FALSE)</f>
        <v>ANGUS NEGRO</v>
      </c>
      <c r="M1758" s="15" t="str">
        <f>VLOOKUP(A1758,sinap!$A$2:$R$9000,5,FALSE)</f>
        <v>0 años 3 meses</v>
      </c>
      <c r="N1758" s="15" t="str">
        <f>VLOOKUP(A1758,sinap!$A$2:$R$9000,6,FALSE)</f>
        <v>30-09-2025</v>
      </c>
      <c r="O1758" s="15" t="str">
        <f>VLOOKUP(A1758,sinap!$A$2:$R$9000,7,FALSE)</f>
        <v>Vivo</v>
      </c>
      <c r="P1758" s="15" t="str">
        <f>VLOOKUP(A1758,sinap!$A$2:$R$9000,8,FALSE)</f>
        <v>11.1.01.0791</v>
      </c>
      <c r="Q1758" s="15" t="str">
        <f>VLOOKUP(A1758,sinap!$A$2:$R$9000,12,FALSE)</f>
        <v>11.1.01.0893</v>
      </c>
      <c r="R1758" s="15" t="str">
        <f>VLOOKUP(A1758,sinap!$A$2:$R$9000,16,FALSE)</f>
        <v>11.1.01.0893</v>
      </c>
      <c r="S1758" s="15" t="str">
        <f>VLOOKUP(A1758,sinap!$A$2:$Y$9000,20,FALSE)</f>
        <v>SI</v>
      </c>
      <c r="T1758" s="16">
        <v>45984</v>
      </c>
    </row>
    <row r="1759" spans="1:20" hidden="1" x14ac:dyDescent="0.25">
      <c r="A1759" s="15">
        <v>26234153</v>
      </c>
      <c r="J1759" s="15" t="str">
        <f>VLOOKUP(A1759,sinap!$A$2:$R$9000,2,FALSE)</f>
        <v>H</v>
      </c>
      <c r="K1759" s="15" t="str">
        <f>VLOOKUP(A1759,sinap!$A$2:$R$9000,3,FALSE)</f>
        <v>TERNERA</v>
      </c>
      <c r="L1759" s="15" t="str">
        <f>VLOOKUP(A1759,sinap!$A$2:$R$9000,4,FALSE)</f>
        <v>ANGUS NEGRO</v>
      </c>
      <c r="M1759" s="15" t="str">
        <f>VLOOKUP(A1759,sinap!$A$2:$R$9000,5,FALSE)</f>
        <v>0 años 3 meses</v>
      </c>
      <c r="N1759" s="15" t="str">
        <f>VLOOKUP(A1759,sinap!$A$2:$R$9000,6,FALSE)</f>
        <v>30-09-2025</v>
      </c>
      <c r="O1759" s="15" t="str">
        <f>VLOOKUP(A1759,sinap!$A$2:$R$9000,7,FALSE)</f>
        <v>Vivo</v>
      </c>
      <c r="P1759" s="15" t="str">
        <f>VLOOKUP(A1759,sinap!$A$2:$R$9000,8,FALSE)</f>
        <v>11.1.01.0791</v>
      </c>
      <c r="Q1759" s="15" t="str">
        <f>VLOOKUP(A1759,sinap!$A$2:$R$9000,12,FALSE)</f>
        <v>11.1.01.0893</v>
      </c>
      <c r="R1759" s="15" t="str">
        <f>VLOOKUP(A1759,sinap!$A$2:$R$9000,16,FALSE)</f>
        <v>11.1.01.0893</v>
      </c>
      <c r="S1759" s="15" t="str">
        <f>VLOOKUP(A1759,sinap!$A$2:$Y$9000,20,FALSE)</f>
        <v>SI</v>
      </c>
      <c r="T1759" s="16">
        <v>45984</v>
      </c>
    </row>
    <row r="1760" spans="1:20" hidden="1" x14ac:dyDescent="0.25">
      <c r="A1760" s="15">
        <v>26234154</v>
      </c>
      <c r="J1760" s="15" t="str">
        <f>VLOOKUP(A1760,sinap!$A$2:$R$9000,2,FALSE)</f>
        <v>H</v>
      </c>
      <c r="K1760" s="15" t="str">
        <f>VLOOKUP(A1760,sinap!$A$2:$R$9000,3,FALSE)</f>
        <v>TERNERA</v>
      </c>
      <c r="L1760" s="15" t="str">
        <f>VLOOKUP(A1760,sinap!$A$2:$R$9000,4,FALSE)</f>
        <v>ANGUS NEGRO</v>
      </c>
      <c r="M1760" s="15" t="str">
        <f>VLOOKUP(A1760,sinap!$A$2:$R$9000,5,FALSE)</f>
        <v>0 años 3 meses</v>
      </c>
      <c r="N1760" s="15" t="str">
        <f>VLOOKUP(A1760,sinap!$A$2:$R$9000,6,FALSE)</f>
        <v>30-09-2025</v>
      </c>
      <c r="O1760" s="15" t="str">
        <f>VLOOKUP(A1760,sinap!$A$2:$R$9000,7,FALSE)</f>
        <v>Vivo</v>
      </c>
      <c r="P1760" s="15" t="str">
        <f>VLOOKUP(A1760,sinap!$A$2:$R$9000,8,FALSE)</f>
        <v>11.1.01.0791</v>
      </c>
      <c r="Q1760" s="15" t="str">
        <f>VLOOKUP(A1760,sinap!$A$2:$R$9000,12,FALSE)</f>
        <v>11.1.01.0893</v>
      </c>
      <c r="R1760" s="15" t="str">
        <f>VLOOKUP(A1760,sinap!$A$2:$R$9000,16,FALSE)</f>
        <v>11.1.01.0893</v>
      </c>
      <c r="S1760" s="15" t="str">
        <f>VLOOKUP(A1760,sinap!$A$2:$Y$9000,20,FALSE)</f>
        <v>SI</v>
      </c>
      <c r="T1760" s="16">
        <v>45984</v>
      </c>
    </row>
    <row r="1761" spans="1:20" hidden="1" x14ac:dyDescent="0.25">
      <c r="A1761" s="15">
        <v>26234155</v>
      </c>
      <c r="J1761" s="15" t="str">
        <f>VLOOKUP(A1761,sinap!$A$2:$R$9000,2,FALSE)</f>
        <v>H</v>
      </c>
      <c r="K1761" s="15" t="str">
        <f>VLOOKUP(A1761,sinap!$A$2:$R$9000,3,FALSE)</f>
        <v>TERNERA</v>
      </c>
      <c r="L1761" s="15" t="str">
        <f>VLOOKUP(A1761,sinap!$A$2:$R$9000,4,FALSE)</f>
        <v>ANGUS NEGRO</v>
      </c>
      <c r="M1761" s="15" t="str">
        <f>VLOOKUP(A1761,sinap!$A$2:$R$9000,5,FALSE)</f>
        <v>0 años 3 meses</v>
      </c>
      <c r="N1761" s="15" t="str">
        <f>VLOOKUP(A1761,sinap!$A$2:$R$9000,6,FALSE)</f>
        <v>30-09-2025</v>
      </c>
      <c r="O1761" s="15" t="str">
        <f>VLOOKUP(A1761,sinap!$A$2:$R$9000,7,FALSE)</f>
        <v>Vivo</v>
      </c>
      <c r="P1761" s="15" t="str">
        <f>VLOOKUP(A1761,sinap!$A$2:$R$9000,8,FALSE)</f>
        <v>11.1.01.0791</v>
      </c>
      <c r="Q1761" s="15" t="str">
        <f>VLOOKUP(A1761,sinap!$A$2:$R$9000,12,FALSE)</f>
        <v>11.1.01.0893</v>
      </c>
      <c r="R1761" s="15" t="str">
        <f>VLOOKUP(A1761,sinap!$A$2:$R$9000,16,FALSE)</f>
        <v>11.1.01.0893</v>
      </c>
      <c r="S1761" s="15" t="str">
        <f>VLOOKUP(A1761,sinap!$A$2:$Y$9000,20,FALSE)</f>
        <v>SI</v>
      </c>
      <c r="T1761" s="16">
        <v>45984</v>
      </c>
    </row>
    <row r="1762" spans="1:20" hidden="1" x14ac:dyDescent="0.25">
      <c r="A1762" s="15">
        <v>26234156</v>
      </c>
      <c r="J1762" s="15" t="str">
        <f>VLOOKUP(A1762,sinap!$A$2:$R$9000,2,FALSE)</f>
        <v>H</v>
      </c>
      <c r="K1762" s="15" t="str">
        <f>VLOOKUP(A1762,sinap!$A$2:$R$9000,3,FALSE)</f>
        <v>TERNERA</v>
      </c>
      <c r="L1762" s="15" t="str">
        <f>VLOOKUP(A1762,sinap!$A$2:$R$9000,4,FALSE)</f>
        <v>ANGUS NEGRO</v>
      </c>
      <c r="M1762" s="15" t="str">
        <f>VLOOKUP(A1762,sinap!$A$2:$R$9000,5,FALSE)</f>
        <v>0 años 3 meses</v>
      </c>
      <c r="N1762" s="15" t="str">
        <f>VLOOKUP(A1762,sinap!$A$2:$R$9000,6,FALSE)</f>
        <v>05-10-2025</v>
      </c>
      <c r="O1762" s="15" t="str">
        <f>VLOOKUP(A1762,sinap!$A$2:$R$9000,7,FALSE)</f>
        <v>Vivo</v>
      </c>
      <c r="P1762" s="15" t="str">
        <f>VLOOKUP(A1762,sinap!$A$2:$R$9000,8,FALSE)</f>
        <v>11.1.01.0791</v>
      </c>
      <c r="Q1762" s="15" t="str">
        <f>VLOOKUP(A1762,sinap!$A$2:$R$9000,12,FALSE)</f>
        <v>11.1.01.0893</v>
      </c>
      <c r="R1762" s="15" t="str">
        <f>VLOOKUP(A1762,sinap!$A$2:$R$9000,16,FALSE)</f>
        <v>11.1.01.0893</v>
      </c>
      <c r="S1762" s="15" t="str">
        <f>VLOOKUP(A1762,sinap!$A$2:$Y$9000,20,FALSE)</f>
        <v>SI</v>
      </c>
      <c r="T1762" s="16">
        <v>45984</v>
      </c>
    </row>
    <row r="1763" spans="1:20" hidden="1" x14ac:dyDescent="0.25">
      <c r="A1763" s="15">
        <v>26234157</v>
      </c>
      <c r="J1763" s="15" t="str">
        <f>VLOOKUP(A1763,sinap!$A$2:$R$9000,2,FALSE)</f>
        <v>H</v>
      </c>
      <c r="K1763" s="15" t="str">
        <f>VLOOKUP(A1763,sinap!$A$2:$R$9000,3,FALSE)</f>
        <v>TERNERA</v>
      </c>
      <c r="L1763" s="15" t="str">
        <f>VLOOKUP(A1763,sinap!$A$2:$R$9000,4,FALSE)</f>
        <v>ANGUS ROJO</v>
      </c>
      <c r="M1763" s="15" t="str">
        <f>VLOOKUP(A1763,sinap!$A$2:$R$9000,5,FALSE)</f>
        <v>0 años 4 meses</v>
      </c>
      <c r="N1763" s="15" t="str">
        <f>VLOOKUP(A1763,sinap!$A$2:$R$9000,6,FALSE)</f>
        <v>09-09-2025</v>
      </c>
      <c r="O1763" s="15" t="str">
        <f>VLOOKUP(A1763,sinap!$A$2:$R$9000,7,FALSE)</f>
        <v>Vivo</v>
      </c>
      <c r="P1763" s="15" t="str">
        <f>VLOOKUP(A1763,sinap!$A$2:$R$9000,8,FALSE)</f>
        <v>11.1.01.0791</v>
      </c>
      <c r="Q1763" s="15" t="str">
        <f>VLOOKUP(A1763,sinap!$A$2:$R$9000,12,FALSE)</f>
        <v>11.1.01.0893</v>
      </c>
      <c r="R1763" s="15" t="str">
        <f>VLOOKUP(A1763,sinap!$A$2:$R$9000,16,FALSE)</f>
        <v>11.1.01.0893</v>
      </c>
      <c r="S1763" s="15" t="str">
        <f>VLOOKUP(A1763,sinap!$A$2:$Y$9000,20,FALSE)</f>
        <v>SI</v>
      </c>
      <c r="T1763" s="16">
        <v>45984</v>
      </c>
    </row>
    <row r="1764" spans="1:20" hidden="1" x14ac:dyDescent="0.25">
      <c r="A1764" s="15">
        <v>26234158</v>
      </c>
      <c r="J1764" s="15" t="str">
        <f>VLOOKUP(A1764,sinap!$A$2:$R$9000,2,FALSE)</f>
        <v>H</v>
      </c>
      <c r="K1764" s="15" t="str">
        <f>VLOOKUP(A1764,sinap!$A$2:$R$9000,3,FALSE)</f>
        <v>TERNERA</v>
      </c>
      <c r="L1764" s="15" t="str">
        <f>VLOOKUP(A1764,sinap!$A$2:$R$9000,4,FALSE)</f>
        <v>ANGUS NEGRO</v>
      </c>
      <c r="M1764" s="15" t="str">
        <f>VLOOKUP(A1764,sinap!$A$2:$R$9000,5,FALSE)</f>
        <v>0 años 3 meses</v>
      </c>
      <c r="N1764" s="15" t="str">
        <f>VLOOKUP(A1764,sinap!$A$2:$R$9000,6,FALSE)</f>
        <v>05-10-2025</v>
      </c>
      <c r="O1764" s="15" t="str">
        <f>VLOOKUP(A1764,sinap!$A$2:$R$9000,7,FALSE)</f>
        <v>Vivo</v>
      </c>
      <c r="P1764" s="15" t="str">
        <f>VLOOKUP(A1764,sinap!$A$2:$R$9000,8,FALSE)</f>
        <v>11.1.01.0791</v>
      </c>
      <c r="Q1764" s="15" t="str">
        <f>VLOOKUP(A1764,sinap!$A$2:$R$9000,12,FALSE)</f>
        <v>11.1.01.0893</v>
      </c>
      <c r="R1764" s="15" t="str">
        <f>VLOOKUP(A1764,sinap!$A$2:$R$9000,16,FALSE)</f>
        <v>11.1.01.0893</v>
      </c>
      <c r="S1764" s="15" t="str">
        <f>VLOOKUP(A1764,sinap!$A$2:$Y$9000,20,FALSE)</f>
        <v>SI</v>
      </c>
      <c r="T1764" s="16">
        <v>45984</v>
      </c>
    </row>
    <row r="1765" spans="1:20" hidden="1" x14ac:dyDescent="0.25">
      <c r="A1765" s="15">
        <v>26234159</v>
      </c>
      <c r="J1765" s="15" t="str">
        <f>VLOOKUP(A1765,sinap!$A$2:$R$9000,2,FALSE)</f>
        <v>M</v>
      </c>
      <c r="K1765" s="15" t="str">
        <f>VLOOKUP(A1765,sinap!$A$2:$R$9000,3,FALSE)</f>
        <v>TERNERO</v>
      </c>
      <c r="L1765" s="15" t="str">
        <f>VLOOKUP(A1765,sinap!$A$2:$R$9000,4,FALSE)</f>
        <v>ANGUS NEGRO</v>
      </c>
      <c r="M1765" s="15" t="str">
        <f>VLOOKUP(A1765,sinap!$A$2:$R$9000,5,FALSE)</f>
        <v>0 años 3 meses</v>
      </c>
      <c r="N1765" s="15" t="str">
        <f>VLOOKUP(A1765,sinap!$A$2:$R$9000,6,FALSE)</f>
        <v>30-09-2025</v>
      </c>
      <c r="O1765" s="15" t="str">
        <f>VLOOKUP(A1765,sinap!$A$2:$R$9000,7,FALSE)</f>
        <v>Vivo</v>
      </c>
      <c r="P1765" s="15" t="str">
        <f>VLOOKUP(A1765,sinap!$A$2:$R$9000,8,FALSE)</f>
        <v>11.1.01.0791</v>
      </c>
      <c r="Q1765" s="15" t="str">
        <f>VLOOKUP(A1765,sinap!$A$2:$R$9000,12,FALSE)</f>
        <v>11.1.01.0893</v>
      </c>
      <c r="R1765" s="15" t="str">
        <f>VLOOKUP(A1765,sinap!$A$2:$R$9000,16,FALSE)</f>
        <v>11.1.01.0893</v>
      </c>
      <c r="S1765" s="15" t="str">
        <f>VLOOKUP(A1765,sinap!$A$2:$Y$9000,20,FALSE)</f>
        <v>SI</v>
      </c>
      <c r="T1765" s="16">
        <v>45984</v>
      </c>
    </row>
    <row r="1766" spans="1:20" hidden="1" x14ac:dyDescent="0.25">
      <c r="A1766" s="15">
        <v>26234160</v>
      </c>
      <c r="J1766" s="15" t="str">
        <f>VLOOKUP(A1766,sinap!$A$2:$R$9000,2,FALSE)</f>
        <v>H</v>
      </c>
      <c r="K1766" s="15" t="str">
        <f>VLOOKUP(A1766,sinap!$A$2:$R$9000,3,FALSE)</f>
        <v>TERNERA</v>
      </c>
      <c r="L1766" s="15" t="str">
        <f>VLOOKUP(A1766,sinap!$A$2:$R$9000,4,FALSE)</f>
        <v>ANGUS ROJO</v>
      </c>
      <c r="M1766" s="15" t="str">
        <f>VLOOKUP(A1766,sinap!$A$2:$R$9000,5,FALSE)</f>
        <v>0 años 3 meses</v>
      </c>
      <c r="N1766" s="15" t="str">
        <f>VLOOKUP(A1766,sinap!$A$2:$R$9000,6,FALSE)</f>
        <v>30-09-2025</v>
      </c>
      <c r="O1766" s="15" t="str">
        <f>VLOOKUP(A1766,sinap!$A$2:$R$9000,7,FALSE)</f>
        <v>Vivo</v>
      </c>
      <c r="P1766" s="15" t="str">
        <f>VLOOKUP(A1766,sinap!$A$2:$R$9000,8,FALSE)</f>
        <v>11.1.01.0791</v>
      </c>
      <c r="Q1766" s="15" t="str">
        <f>VLOOKUP(A1766,sinap!$A$2:$R$9000,12,FALSE)</f>
        <v>11.1.01.0893</v>
      </c>
      <c r="R1766" s="15" t="str">
        <f>VLOOKUP(A1766,sinap!$A$2:$R$9000,16,FALSE)</f>
        <v>11.1.01.0893</v>
      </c>
      <c r="S1766" s="15" t="str">
        <f>VLOOKUP(A1766,sinap!$A$2:$Y$9000,20,FALSE)</f>
        <v>SI</v>
      </c>
      <c r="T1766" s="16">
        <v>45984</v>
      </c>
    </row>
    <row r="1767" spans="1:20" hidden="1" x14ac:dyDescent="0.25">
      <c r="A1767" s="15">
        <v>26234161</v>
      </c>
      <c r="J1767" s="15" t="str">
        <f>VLOOKUP(A1767,sinap!$A$2:$R$9000,2,FALSE)</f>
        <v>H</v>
      </c>
      <c r="K1767" s="15" t="str">
        <f>VLOOKUP(A1767,sinap!$A$2:$R$9000,3,FALSE)</f>
        <v>TERNERA</v>
      </c>
      <c r="L1767" s="15" t="str">
        <f>VLOOKUP(A1767,sinap!$A$2:$R$9000,4,FALSE)</f>
        <v>ANGUS NEGRO</v>
      </c>
      <c r="M1767" s="15" t="str">
        <f>VLOOKUP(A1767,sinap!$A$2:$R$9000,5,FALSE)</f>
        <v>0 años 3 meses</v>
      </c>
      <c r="N1767" s="15" t="str">
        <f>VLOOKUP(A1767,sinap!$A$2:$R$9000,6,FALSE)</f>
        <v>30-09-2025</v>
      </c>
      <c r="O1767" s="15" t="str">
        <f>VLOOKUP(A1767,sinap!$A$2:$R$9000,7,FALSE)</f>
        <v>Vivo</v>
      </c>
      <c r="P1767" s="15" t="str">
        <f>VLOOKUP(A1767,sinap!$A$2:$R$9000,8,FALSE)</f>
        <v>11.1.01.0791</v>
      </c>
      <c r="Q1767" s="15" t="str">
        <f>VLOOKUP(A1767,sinap!$A$2:$R$9000,12,FALSE)</f>
        <v>11.1.01.0893</v>
      </c>
      <c r="R1767" s="15" t="str">
        <f>VLOOKUP(A1767,sinap!$A$2:$R$9000,16,FALSE)</f>
        <v>11.1.01.0893</v>
      </c>
      <c r="S1767" s="15" t="str">
        <f>VLOOKUP(A1767,sinap!$A$2:$Y$9000,20,FALSE)</f>
        <v>SI</v>
      </c>
      <c r="T1767" s="16">
        <v>45984</v>
      </c>
    </row>
    <row r="1768" spans="1:20" hidden="1" x14ac:dyDescent="0.25">
      <c r="A1768" s="15">
        <v>26234162</v>
      </c>
      <c r="J1768" s="15" t="str">
        <f>VLOOKUP(A1768,sinap!$A$2:$R$9000,2,FALSE)</f>
        <v>H</v>
      </c>
      <c r="K1768" s="15" t="str">
        <f>VLOOKUP(A1768,sinap!$A$2:$R$9000,3,FALSE)</f>
        <v>TERNERA</v>
      </c>
      <c r="L1768" s="15" t="str">
        <f>VLOOKUP(A1768,sinap!$A$2:$R$9000,4,FALSE)</f>
        <v>ANGUS NEGRO</v>
      </c>
      <c r="M1768" s="15" t="str">
        <f>VLOOKUP(A1768,sinap!$A$2:$R$9000,5,FALSE)</f>
        <v>0 años 3 meses</v>
      </c>
      <c r="N1768" s="15" t="str">
        <f>VLOOKUP(A1768,sinap!$A$2:$R$9000,6,FALSE)</f>
        <v>30-09-2025</v>
      </c>
      <c r="O1768" s="15" t="str">
        <f>VLOOKUP(A1768,sinap!$A$2:$R$9000,7,FALSE)</f>
        <v>Vivo</v>
      </c>
      <c r="P1768" s="15" t="str">
        <f>VLOOKUP(A1768,sinap!$A$2:$R$9000,8,FALSE)</f>
        <v>11.1.01.0791</v>
      </c>
      <c r="Q1768" s="15" t="str">
        <f>VLOOKUP(A1768,sinap!$A$2:$R$9000,12,FALSE)</f>
        <v>11.1.01.0893</v>
      </c>
      <c r="R1768" s="15" t="str">
        <f>VLOOKUP(A1768,sinap!$A$2:$R$9000,16,FALSE)</f>
        <v>11.1.01.0893</v>
      </c>
      <c r="S1768" s="15" t="str">
        <f>VLOOKUP(A1768,sinap!$A$2:$Y$9000,20,FALSE)</f>
        <v>SI</v>
      </c>
      <c r="T1768" s="16">
        <v>45984</v>
      </c>
    </row>
    <row r="1769" spans="1:20" hidden="1" x14ac:dyDescent="0.25">
      <c r="A1769" s="15">
        <v>26234163</v>
      </c>
      <c r="J1769" s="15" t="str">
        <f>VLOOKUP(A1769,sinap!$A$2:$R$9000,2,FALSE)</f>
        <v>H</v>
      </c>
      <c r="K1769" s="15" t="str">
        <f>VLOOKUP(A1769,sinap!$A$2:$R$9000,3,FALSE)</f>
        <v>TERNERA</v>
      </c>
      <c r="L1769" s="15" t="str">
        <f>VLOOKUP(A1769,sinap!$A$2:$R$9000,4,FALSE)</f>
        <v>ANGUS ROJO</v>
      </c>
      <c r="M1769" s="15" t="str">
        <f>VLOOKUP(A1769,sinap!$A$2:$R$9000,5,FALSE)</f>
        <v>0 años 3 meses</v>
      </c>
      <c r="N1769" s="15" t="str">
        <f>VLOOKUP(A1769,sinap!$A$2:$R$9000,6,FALSE)</f>
        <v>30-09-2025</v>
      </c>
      <c r="O1769" s="15" t="str">
        <f>VLOOKUP(A1769,sinap!$A$2:$R$9000,7,FALSE)</f>
        <v>Vivo</v>
      </c>
      <c r="P1769" s="15" t="str">
        <f>VLOOKUP(A1769,sinap!$A$2:$R$9000,8,FALSE)</f>
        <v>11.1.01.0791</v>
      </c>
      <c r="Q1769" s="15" t="str">
        <f>VLOOKUP(A1769,sinap!$A$2:$R$9000,12,FALSE)</f>
        <v>11.1.01.0893</v>
      </c>
      <c r="R1769" s="15" t="str">
        <f>VLOOKUP(A1769,sinap!$A$2:$R$9000,16,FALSE)</f>
        <v>11.1.01.0893</v>
      </c>
      <c r="S1769" s="15" t="str">
        <f>VLOOKUP(A1769,sinap!$A$2:$Y$9000,20,FALSE)</f>
        <v>SI</v>
      </c>
      <c r="T1769" s="16">
        <v>45984</v>
      </c>
    </row>
    <row r="1770" spans="1:20" hidden="1" x14ac:dyDescent="0.25">
      <c r="A1770" s="15">
        <v>26234164</v>
      </c>
      <c r="J1770" s="15" t="str">
        <f>VLOOKUP(A1770,sinap!$A$2:$R$9000,2,FALSE)</f>
        <v>H</v>
      </c>
      <c r="K1770" s="15" t="str">
        <f>VLOOKUP(A1770,sinap!$A$2:$R$9000,3,FALSE)</f>
        <v>TERNERA</v>
      </c>
      <c r="L1770" s="15" t="str">
        <f>VLOOKUP(A1770,sinap!$A$2:$R$9000,4,FALSE)</f>
        <v>ANGUS NEGRO</v>
      </c>
      <c r="M1770" s="15" t="str">
        <f>VLOOKUP(A1770,sinap!$A$2:$R$9000,5,FALSE)</f>
        <v>0 años 5 meses</v>
      </c>
      <c r="N1770" s="15" t="str">
        <f>VLOOKUP(A1770,sinap!$A$2:$R$9000,6,FALSE)</f>
        <v>30-07-2025</v>
      </c>
      <c r="O1770" s="15" t="str">
        <f>VLOOKUP(A1770,sinap!$A$2:$R$9000,7,FALSE)</f>
        <v>Vivo</v>
      </c>
      <c r="P1770" s="15" t="str">
        <f>VLOOKUP(A1770,sinap!$A$2:$R$9000,8,FALSE)</f>
        <v>11.1.01.0791</v>
      </c>
      <c r="Q1770" s="15" t="str">
        <f>VLOOKUP(A1770,sinap!$A$2:$R$9000,12,FALSE)</f>
        <v>11.1.01.0893</v>
      </c>
      <c r="R1770" s="15" t="str">
        <f>VLOOKUP(A1770,sinap!$A$2:$R$9000,16,FALSE)</f>
        <v>11.1.01.0893</v>
      </c>
      <c r="S1770" s="15" t="str">
        <f>VLOOKUP(A1770,sinap!$A$2:$Y$9000,20,FALSE)</f>
        <v>SI</v>
      </c>
      <c r="T1770" s="16">
        <v>45984</v>
      </c>
    </row>
    <row r="1771" spans="1:20" hidden="1" x14ac:dyDescent="0.25">
      <c r="A1771" s="15">
        <v>26234165</v>
      </c>
      <c r="J1771" s="15" t="str">
        <f>VLOOKUP(A1771,sinap!$A$2:$R$9000,2,FALSE)</f>
        <v>M</v>
      </c>
      <c r="K1771" s="15" t="str">
        <f>VLOOKUP(A1771,sinap!$A$2:$R$9000,3,FALSE)</f>
        <v>TERNERO</v>
      </c>
      <c r="L1771" s="15" t="str">
        <f>VLOOKUP(A1771,sinap!$A$2:$R$9000,4,FALSE)</f>
        <v>ANGUS NEGRO</v>
      </c>
      <c r="M1771" s="15" t="str">
        <f>VLOOKUP(A1771,sinap!$A$2:$R$9000,5,FALSE)</f>
        <v>0 años 2 meses</v>
      </c>
      <c r="N1771" s="15" t="str">
        <f>VLOOKUP(A1771,sinap!$A$2:$R$9000,6,FALSE)</f>
        <v>05-11-2025</v>
      </c>
      <c r="O1771" s="15" t="str">
        <f>VLOOKUP(A1771,sinap!$A$2:$R$9000,7,FALSE)</f>
        <v>Vivo</v>
      </c>
      <c r="P1771" s="15" t="str">
        <f>VLOOKUP(A1771,sinap!$A$2:$R$9000,8,FALSE)</f>
        <v>11.1.01.0791</v>
      </c>
      <c r="Q1771" s="15" t="str">
        <f>VLOOKUP(A1771,sinap!$A$2:$R$9000,12,FALSE)</f>
        <v>11.1.01.0893</v>
      </c>
      <c r="R1771" s="15" t="str">
        <f>VLOOKUP(A1771,sinap!$A$2:$R$9000,16,FALSE)</f>
        <v>11.1.01.0893</v>
      </c>
      <c r="S1771" s="15" t="str">
        <f>VLOOKUP(A1771,sinap!$A$2:$Y$9000,20,FALSE)</f>
        <v>SI</v>
      </c>
      <c r="T1771" s="16">
        <v>45984</v>
      </c>
    </row>
    <row r="1772" spans="1:20" hidden="1" x14ac:dyDescent="0.25">
      <c r="A1772" s="15">
        <v>26234166</v>
      </c>
      <c r="J1772" s="15" t="str">
        <f>VLOOKUP(A1772,sinap!$A$2:$R$9000,2,FALSE)</f>
        <v>M</v>
      </c>
      <c r="K1772" s="15" t="str">
        <f>VLOOKUP(A1772,sinap!$A$2:$R$9000,3,FALSE)</f>
        <v>TERNERO</v>
      </c>
      <c r="L1772" s="15" t="str">
        <f>VLOOKUP(A1772,sinap!$A$2:$R$9000,4,FALSE)</f>
        <v>ANGUS NEGRO</v>
      </c>
      <c r="M1772" s="15" t="str">
        <f>VLOOKUP(A1772,sinap!$A$2:$R$9000,5,FALSE)</f>
        <v>0 años 4 meses</v>
      </c>
      <c r="N1772" s="15" t="str">
        <f>VLOOKUP(A1772,sinap!$A$2:$R$9000,6,FALSE)</f>
        <v>05-09-2025</v>
      </c>
      <c r="O1772" s="15" t="str">
        <f>VLOOKUP(A1772,sinap!$A$2:$R$9000,7,FALSE)</f>
        <v>Vivo</v>
      </c>
      <c r="P1772" s="15" t="str">
        <f>VLOOKUP(A1772,sinap!$A$2:$R$9000,8,FALSE)</f>
        <v>11.1.01.0791</v>
      </c>
      <c r="Q1772" s="15" t="str">
        <f>VLOOKUP(A1772,sinap!$A$2:$R$9000,12,FALSE)</f>
        <v>11.1.01.0893</v>
      </c>
      <c r="R1772" s="15" t="str">
        <f>VLOOKUP(A1772,sinap!$A$2:$R$9000,16,FALSE)</f>
        <v>11.1.01.0893</v>
      </c>
      <c r="S1772" s="15" t="str">
        <f>VLOOKUP(A1772,sinap!$A$2:$Y$9000,20,FALSE)</f>
        <v>SI</v>
      </c>
      <c r="T1772" s="16">
        <v>45984</v>
      </c>
    </row>
    <row r="1773" spans="1:20" hidden="1" x14ac:dyDescent="0.25">
      <c r="A1773" s="15">
        <v>26234167</v>
      </c>
      <c r="J1773" s="15" t="str">
        <f>VLOOKUP(A1773,sinap!$A$2:$R$9000,2,FALSE)</f>
        <v>H</v>
      </c>
      <c r="K1773" s="15" t="str">
        <f>VLOOKUP(A1773,sinap!$A$2:$R$9000,3,FALSE)</f>
        <v>TERNERA</v>
      </c>
      <c r="L1773" s="15" t="str">
        <f>VLOOKUP(A1773,sinap!$A$2:$R$9000,4,FALSE)</f>
        <v>ANGUS NEGRO</v>
      </c>
      <c r="M1773" s="15" t="str">
        <f>VLOOKUP(A1773,sinap!$A$2:$R$9000,5,FALSE)</f>
        <v>0 años 3 meses</v>
      </c>
      <c r="N1773" s="15" t="str">
        <f>VLOOKUP(A1773,sinap!$A$2:$R$9000,6,FALSE)</f>
        <v>25-09-2025</v>
      </c>
      <c r="O1773" s="15" t="str">
        <f>VLOOKUP(A1773,sinap!$A$2:$R$9000,7,FALSE)</f>
        <v>Vivo</v>
      </c>
      <c r="P1773" s="15" t="str">
        <f>VLOOKUP(A1773,sinap!$A$2:$R$9000,8,FALSE)</f>
        <v>11.1.01.0791</v>
      </c>
      <c r="Q1773" s="15" t="str">
        <f>VLOOKUP(A1773,sinap!$A$2:$R$9000,12,FALSE)</f>
        <v>11.1.01.0893</v>
      </c>
      <c r="R1773" s="15" t="str">
        <f>VLOOKUP(A1773,sinap!$A$2:$R$9000,16,FALSE)</f>
        <v>11.1.01.0893</v>
      </c>
      <c r="S1773" s="15" t="str">
        <f>VLOOKUP(A1773,sinap!$A$2:$Y$9000,20,FALSE)</f>
        <v>SI</v>
      </c>
      <c r="T1773" s="16">
        <v>45984</v>
      </c>
    </row>
    <row r="1774" spans="1:20" hidden="1" x14ac:dyDescent="0.25">
      <c r="A1774" s="15">
        <v>26234168</v>
      </c>
      <c r="J1774" s="15" t="str">
        <f>VLOOKUP(A1774,sinap!$A$2:$R$9000,2,FALSE)</f>
        <v>H</v>
      </c>
      <c r="K1774" s="15" t="str">
        <f>VLOOKUP(A1774,sinap!$A$2:$R$9000,3,FALSE)</f>
        <v>TERNERA</v>
      </c>
      <c r="L1774" s="15" t="str">
        <f>VLOOKUP(A1774,sinap!$A$2:$R$9000,4,FALSE)</f>
        <v>ANGUS NEGRO</v>
      </c>
      <c r="M1774" s="15" t="str">
        <f>VLOOKUP(A1774,sinap!$A$2:$R$9000,5,FALSE)</f>
        <v>0 años 3 meses</v>
      </c>
      <c r="N1774" s="15" t="str">
        <f>VLOOKUP(A1774,sinap!$A$2:$R$9000,6,FALSE)</f>
        <v>25-09-2025</v>
      </c>
      <c r="O1774" s="15" t="str">
        <f>VLOOKUP(A1774,sinap!$A$2:$R$9000,7,FALSE)</f>
        <v>Vivo</v>
      </c>
      <c r="P1774" s="15" t="str">
        <f>VLOOKUP(A1774,sinap!$A$2:$R$9000,8,FALSE)</f>
        <v>11.1.01.0791</v>
      </c>
      <c r="Q1774" s="15" t="str">
        <f>VLOOKUP(A1774,sinap!$A$2:$R$9000,12,FALSE)</f>
        <v>11.1.01.0893</v>
      </c>
      <c r="R1774" s="15" t="str">
        <f>VLOOKUP(A1774,sinap!$A$2:$R$9000,16,FALSE)</f>
        <v>11.1.01.0893</v>
      </c>
      <c r="S1774" s="15" t="str">
        <f>VLOOKUP(A1774,sinap!$A$2:$Y$9000,20,FALSE)</f>
        <v>SI</v>
      </c>
      <c r="T1774" s="16">
        <v>45984</v>
      </c>
    </row>
    <row r="1775" spans="1:20" hidden="1" x14ac:dyDescent="0.25">
      <c r="A1775" s="15">
        <v>26234169</v>
      </c>
      <c r="J1775" s="15" t="str">
        <f>VLOOKUP(A1775,sinap!$A$2:$R$9000,2,FALSE)</f>
        <v>M</v>
      </c>
      <c r="K1775" s="15" t="str">
        <f>VLOOKUP(A1775,sinap!$A$2:$R$9000,3,FALSE)</f>
        <v>TERNERO</v>
      </c>
      <c r="L1775" s="15" t="str">
        <f>VLOOKUP(A1775,sinap!$A$2:$R$9000,4,FALSE)</f>
        <v>ANGUS NEGRO</v>
      </c>
      <c r="M1775" s="15" t="str">
        <f>VLOOKUP(A1775,sinap!$A$2:$R$9000,5,FALSE)</f>
        <v>0 años 3 meses</v>
      </c>
      <c r="N1775" s="15" t="str">
        <f>VLOOKUP(A1775,sinap!$A$2:$R$9000,6,FALSE)</f>
        <v>25-09-2025</v>
      </c>
      <c r="O1775" s="15" t="str">
        <f>VLOOKUP(A1775,sinap!$A$2:$R$9000,7,FALSE)</f>
        <v>Vivo</v>
      </c>
      <c r="P1775" s="15" t="str">
        <f>VLOOKUP(A1775,sinap!$A$2:$R$9000,8,FALSE)</f>
        <v>11.1.01.0791</v>
      </c>
      <c r="Q1775" s="15" t="str">
        <f>VLOOKUP(A1775,sinap!$A$2:$R$9000,12,FALSE)</f>
        <v>11.1.01.0893</v>
      </c>
      <c r="R1775" s="15" t="str">
        <f>VLOOKUP(A1775,sinap!$A$2:$R$9000,16,FALSE)</f>
        <v>11.1.01.0893</v>
      </c>
      <c r="S1775" s="15" t="str">
        <f>VLOOKUP(A1775,sinap!$A$2:$Y$9000,20,FALSE)</f>
        <v>SI</v>
      </c>
      <c r="T1775" s="16">
        <v>45984</v>
      </c>
    </row>
    <row r="1776" spans="1:20" hidden="1" x14ac:dyDescent="0.25">
      <c r="A1776" s="15">
        <v>26234170</v>
      </c>
      <c r="J1776" s="15" t="str">
        <f>VLOOKUP(A1776,sinap!$A$2:$R$9000,2,FALSE)</f>
        <v>M</v>
      </c>
      <c r="K1776" s="15" t="str">
        <f>VLOOKUP(A1776,sinap!$A$2:$R$9000,3,FALSE)</f>
        <v>TERNERO</v>
      </c>
      <c r="L1776" s="15" t="str">
        <f>VLOOKUP(A1776,sinap!$A$2:$R$9000,4,FALSE)</f>
        <v>ANGUS ROJO</v>
      </c>
      <c r="M1776" s="15" t="str">
        <f>VLOOKUP(A1776,sinap!$A$2:$R$9000,5,FALSE)</f>
        <v>0 años 4 meses</v>
      </c>
      <c r="N1776" s="15" t="str">
        <f>VLOOKUP(A1776,sinap!$A$2:$R$9000,6,FALSE)</f>
        <v>30-08-2025</v>
      </c>
      <c r="O1776" s="15" t="str">
        <f>VLOOKUP(A1776,sinap!$A$2:$R$9000,7,FALSE)</f>
        <v>Vivo</v>
      </c>
      <c r="P1776" s="15" t="str">
        <f>VLOOKUP(A1776,sinap!$A$2:$R$9000,8,FALSE)</f>
        <v>11.1.01.0791</v>
      </c>
      <c r="Q1776" s="15" t="str">
        <f>VLOOKUP(A1776,sinap!$A$2:$R$9000,12,FALSE)</f>
        <v>11.1.01.0893</v>
      </c>
      <c r="R1776" s="15" t="str">
        <f>VLOOKUP(A1776,sinap!$A$2:$R$9000,16,FALSE)</f>
        <v>11.1.01.0893</v>
      </c>
      <c r="S1776" s="15" t="str">
        <f>VLOOKUP(A1776,sinap!$A$2:$Y$9000,20,FALSE)</f>
        <v>SI</v>
      </c>
      <c r="T1776" s="16">
        <v>45984</v>
      </c>
    </row>
    <row r="1777" spans="1:20" hidden="1" x14ac:dyDescent="0.25">
      <c r="A1777" s="15">
        <v>26234171</v>
      </c>
      <c r="J1777" s="15" t="str">
        <f>VLOOKUP(A1777,sinap!$A$2:$R$9000,2,FALSE)</f>
        <v>M</v>
      </c>
      <c r="K1777" s="15" t="str">
        <f>VLOOKUP(A1777,sinap!$A$2:$R$9000,3,FALSE)</f>
        <v>TERNERO</v>
      </c>
      <c r="L1777" s="15" t="str">
        <f>VLOOKUP(A1777,sinap!$A$2:$R$9000,4,FALSE)</f>
        <v>ANGUS NEGRO</v>
      </c>
      <c r="M1777" s="15" t="str">
        <f>VLOOKUP(A1777,sinap!$A$2:$R$9000,5,FALSE)</f>
        <v>0 años 4 meses</v>
      </c>
      <c r="N1777" s="15" t="str">
        <f>VLOOKUP(A1777,sinap!$A$2:$R$9000,6,FALSE)</f>
        <v>30-08-2025</v>
      </c>
      <c r="O1777" s="15" t="str">
        <f>VLOOKUP(A1777,sinap!$A$2:$R$9000,7,FALSE)</f>
        <v>Vivo</v>
      </c>
      <c r="P1777" s="15" t="str">
        <f>VLOOKUP(A1777,sinap!$A$2:$R$9000,8,FALSE)</f>
        <v>11.1.01.0791</v>
      </c>
      <c r="Q1777" s="15" t="str">
        <f>VLOOKUP(A1777,sinap!$A$2:$R$9000,12,FALSE)</f>
        <v>11.1.01.0893</v>
      </c>
      <c r="R1777" s="15" t="str">
        <f>VLOOKUP(A1777,sinap!$A$2:$R$9000,16,FALSE)</f>
        <v>11.1.01.0893</v>
      </c>
      <c r="S1777" s="15" t="str">
        <f>VLOOKUP(A1777,sinap!$A$2:$Y$9000,20,FALSE)</f>
        <v>SI</v>
      </c>
      <c r="T1777" s="16">
        <v>45984</v>
      </c>
    </row>
    <row r="1778" spans="1:20" hidden="1" x14ac:dyDescent="0.25">
      <c r="A1778" s="15">
        <v>26234172</v>
      </c>
      <c r="J1778" s="15" t="str">
        <f>VLOOKUP(A1778,sinap!$A$2:$R$9000,2,FALSE)</f>
        <v>H</v>
      </c>
      <c r="K1778" s="15" t="str">
        <f>VLOOKUP(A1778,sinap!$A$2:$R$9000,3,FALSE)</f>
        <v>TERNERA</v>
      </c>
      <c r="L1778" s="15" t="str">
        <f>VLOOKUP(A1778,sinap!$A$2:$R$9000,4,FALSE)</f>
        <v>ANGUS ROJO</v>
      </c>
      <c r="M1778" s="15" t="str">
        <f>VLOOKUP(A1778,sinap!$A$2:$R$9000,5,FALSE)</f>
        <v>0 años 4 meses</v>
      </c>
      <c r="N1778" s="15" t="str">
        <f>VLOOKUP(A1778,sinap!$A$2:$R$9000,6,FALSE)</f>
        <v>30-08-2025</v>
      </c>
      <c r="O1778" s="15" t="str">
        <f>VLOOKUP(A1778,sinap!$A$2:$R$9000,7,FALSE)</f>
        <v>Vivo</v>
      </c>
      <c r="P1778" s="15" t="str">
        <f>VLOOKUP(A1778,sinap!$A$2:$R$9000,8,FALSE)</f>
        <v>11.1.01.0791</v>
      </c>
      <c r="Q1778" s="15" t="str">
        <f>VLOOKUP(A1778,sinap!$A$2:$R$9000,12,FALSE)</f>
        <v>11.1.01.0893</v>
      </c>
      <c r="R1778" s="15" t="str">
        <f>VLOOKUP(A1778,sinap!$A$2:$R$9000,16,FALSE)</f>
        <v>11.1.01.0893</v>
      </c>
      <c r="S1778" s="15" t="str">
        <f>VLOOKUP(A1778,sinap!$A$2:$Y$9000,20,FALSE)</f>
        <v>SI</v>
      </c>
      <c r="T1778" s="16">
        <v>45984</v>
      </c>
    </row>
    <row r="1779" spans="1:20" hidden="1" x14ac:dyDescent="0.25">
      <c r="A1779" s="15">
        <v>26234173</v>
      </c>
      <c r="J1779" s="15" t="str">
        <f>VLOOKUP(A1779,sinap!$A$2:$R$9000,2,FALSE)</f>
        <v>H</v>
      </c>
      <c r="K1779" s="15" t="str">
        <f>VLOOKUP(A1779,sinap!$A$2:$R$9000,3,FALSE)</f>
        <v>TERNERA</v>
      </c>
      <c r="L1779" s="15" t="str">
        <f>VLOOKUP(A1779,sinap!$A$2:$R$9000,4,FALSE)</f>
        <v>ANGUS NEGRO</v>
      </c>
      <c r="M1779" s="15" t="str">
        <f>VLOOKUP(A1779,sinap!$A$2:$R$9000,5,FALSE)</f>
        <v>0 años 4 meses</v>
      </c>
      <c r="N1779" s="15" t="str">
        <f>VLOOKUP(A1779,sinap!$A$2:$R$9000,6,FALSE)</f>
        <v>30-08-2025</v>
      </c>
      <c r="O1779" s="15" t="str">
        <f>VLOOKUP(A1779,sinap!$A$2:$R$9000,7,FALSE)</f>
        <v>Vivo</v>
      </c>
      <c r="P1779" s="15" t="str">
        <f>VLOOKUP(A1779,sinap!$A$2:$R$9000,8,FALSE)</f>
        <v>11.1.01.0791</v>
      </c>
      <c r="Q1779" s="15" t="str">
        <f>VLOOKUP(A1779,sinap!$A$2:$R$9000,12,FALSE)</f>
        <v>11.1.01.0893</v>
      </c>
      <c r="R1779" s="15" t="str">
        <f>VLOOKUP(A1779,sinap!$A$2:$R$9000,16,FALSE)</f>
        <v>11.1.01.0893</v>
      </c>
      <c r="S1779" s="15" t="str">
        <f>VLOOKUP(A1779,sinap!$A$2:$Y$9000,20,FALSE)</f>
        <v>SI</v>
      </c>
      <c r="T1779" s="16">
        <v>45984</v>
      </c>
    </row>
    <row r="1780" spans="1:20" hidden="1" x14ac:dyDescent="0.25">
      <c r="A1780" s="15">
        <v>26234174</v>
      </c>
      <c r="J1780" s="15" t="str">
        <f>VLOOKUP(A1780,sinap!$A$2:$R$9000,2,FALSE)</f>
        <v>M</v>
      </c>
      <c r="K1780" s="15" t="str">
        <f>VLOOKUP(A1780,sinap!$A$2:$R$9000,3,FALSE)</f>
        <v>TERNERO</v>
      </c>
      <c r="L1780" s="15" t="str">
        <f>VLOOKUP(A1780,sinap!$A$2:$R$9000,4,FALSE)</f>
        <v>ANGUS NEGRO</v>
      </c>
      <c r="M1780" s="15" t="str">
        <f>VLOOKUP(A1780,sinap!$A$2:$R$9000,5,FALSE)</f>
        <v>0 años 3 meses</v>
      </c>
      <c r="N1780" s="15" t="str">
        <f>VLOOKUP(A1780,sinap!$A$2:$R$9000,6,FALSE)</f>
        <v>30-09-2025</v>
      </c>
      <c r="O1780" s="15" t="str">
        <f>VLOOKUP(A1780,sinap!$A$2:$R$9000,7,FALSE)</f>
        <v>Vivo</v>
      </c>
      <c r="P1780" s="15" t="str">
        <f>VLOOKUP(A1780,sinap!$A$2:$R$9000,8,FALSE)</f>
        <v>11.1.01.0791</v>
      </c>
      <c r="Q1780" s="15" t="str">
        <f>VLOOKUP(A1780,sinap!$A$2:$R$9000,12,FALSE)</f>
        <v>11.1.01.0893</v>
      </c>
      <c r="R1780" s="15" t="str">
        <f>VLOOKUP(A1780,sinap!$A$2:$R$9000,16,FALSE)</f>
        <v>11.1.01.0893</v>
      </c>
      <c r="S1780" s="15" t="str">
        <f>VLOOKUP(A1780,sinap!$A$2:$Y$9000,20,FALSE)</f>
        <v>SI</v>
      </c>
      <c r="T1780" s="16">
        <v>45984</v>
      </c>
    </row>
    <row r="1781" spans="1:20" hidden="1" x14ac:dyDescent="0.25">
      <c r="A1781" s="15">
        <v>26234175</v>
      </c>
      <c r="J1781" s="15" t="str">
        <f>VLOOKUP(A1781,sinap!$A$2:$R$9000,2,FALSE)</f>
        <v>M</v>
      </c>
      <c r="K1781" s="15" t="str">
        <f>VLOOKUP(A1781,sinap!$A$2:$R$9000,3,FALSE)</f>
        <v>TERNERO</v>
      </c>
      <c r="L1781" s="15" t="str">
        <f>VLOOKUP(A1781,sinap!$A$2:$R$9000,4,FALSE)</f>
        <v>ANGUS NEGRO</v>
      </c>
      <c r="M1781" s="15" t="str">
        <f>VLOOKUP(A1781,sinap!$A$2:$R$9000,5,FALSE)</f>
        <v>0 años 6 meses</v>
      </c>
      <c r="N1781" s="15" t="str">
        <f>VLOOKUP(A1781,sinap!$A$2:$R$9000,6,FALSE)</f>
        <v>16-07-2025</v>
      </c>
      <c r="O1781" s="15" t="str">
        <f>VLOOKUP(A1781,sinap!$A$2:$R$9000,7,FALSE)</f>
        <v>Vivo</v>
      </c>
      <c r="P1781" s="15" t="str">
        <f>VLOOKUP(A1781,sinap!$A$2:$R$9000,8,FALSE)</f>
        <v>11.1.01.0791</v>
      </c>
      <c r="Q1781" s="15" t="str">
        <f>VLOOKUP(A1781,sinap!$A$2:$R$9000,12,FALSE)</f>
        <v>11.1.01.0893</v>
      </c>
      <c r="R1781" s="15" t="str">
        <f>VLOOKUP(A1781,sinap!$A$2:$R$9000,16,FALSE)</f>
        <v>11.1.01.0893</v>
      </c>
      <c r="S1781" s="15" t="str">
        <f>VLOOKUP(A1781,sinap!$A$2:$Y$9000,20,FALSE)</f>
        <v>SI</v>
      </c>
      <c r="T1781" s="16">
        <v>45984</v>
      </c>
    </row>
    <row r="1782" spans="1:20" hidden="1" x14ac:dyDescent="0.25">
      <c r="A1782" s="15">
        <v>26234176</v>
      </c>
      <c r="J1782" s="15" t="str">
        <f>VLOOKUP(A1782,sinap!$A$2:$R$9000,2,FALSE)</f>
        <v>H</v>
      </c>
      <c r="K1782" s="15" t="str">
        <f>VLOOKUP(A1782,sinap!$A$2:$R$9000,3,FALSE)</f>
        <v>TERNERA</v>
      </c>
      <c r="L1782" s="15" t="str">
        <f>VLOOKUP(A1782,sinap!$A$2:$R$9000,4,FALSE)</f>
        <v>ANGUS NEGRO</v>
      </c>
      <c r="M1782" s="15" t="str">
        <f>VLOOKUP(A1782,sinap!$A$2:$R$9000,5,FALSE)</f>
        <v>0 años 4 meses</v>
      </c>
      <c r="N1782" s="15" t="str">
        <f>VLOOKUP(A1782,sinap!$A$2:$R$9000,6,FALSE)</f>
        <v>30-08-2025</v>
      </c>
      <c r="O1782" s="15" t="str">
        <f>VLOOKUP(A1782,sinap!$A$2:$R$9000,7,FALSE)</f>
        <v>Vivo</v>
      </c>
      <c r="P1782" s="15" t="str">
        <f>VLOOKUP(A1782,sinap!$A$2:$R$9000,8,FALSE)</f>
        <v>11.1.01.0791</v>
      </c>
      <c r="Q1782" s="15" t="str">
        <f>VLOOKUP(A1782,sinap!$A$2:$R$9000,12,FALSE)</f>
        <v>11.1.01.0893</v>
      </c>
      <c r="R1782" s="15" t="str">
        <f>VLOOKUP(A1782,sinap!$A$2:$R$9000,16,FALSE)</f>
        <v>11.1.01.0893</v>
      </c>
      <c r="S1782" s="15" t="str">
        <f>VLOOKUP(A1782,sinap!$A$2:$Y$9000,20,FALSE)</f>
        <v>SI</v>
      </c>
      <c r="T1782" s="16">
        <v>45984</v>
      </c>
    </row>
    <row r="1783" spans="1:20" hidden="1" x14ac:dyDescent="0.25">
      <c r="A1783" s="15">
        <v>26234177</v>
      </c>
      <c r="J1783" s="15" t="str">
        <f>VLOOKUP(A1783,sinap!$A$2:$R$9000,2,FALSE)</f>
        <v>M</v>
      </c>
      <c r="K1783" s="15" t="str">
        <f>VLOOKUP(A1783,sinap!$A$2:$R$9000,3,FALSE)</f>
        <v>TERNERO</v>
      </c>
      <c r="L1783" s="15" t="str">
        <f>VLOOKUP(A1783,sinap!$A$2:$R$9000,4,FALSE)</f>
        <v>ANGUS NEGRO</v>
      </c>
      <c r="M1783" s="15" t="str">
        <f>VLOOKUP(A1783,sinap!$A$2:$R$9000,5,FALSE)</f>
        <v>0 años 5 meses</v>
      </c>
      <c r="N1783" s="15" t="str">
        <f>VLOOKUP(A1783,sinap!$A$2:$R$9000,6,FALSE)</f>
        <v>30-07-2025</v>
      </c>
      <c r="O1783" s="15" t="str">
        <f>VLOOKUP(A1783,sinap!$A$2:$R$9000,7,FALSE)</f>
        <v>Vivo</v>
      </c>
      <c r="P1783" s="15" t="str">
        <f>VLOOKUP(A1783,sinap!$A$2:$R$9000,8,FALSE)</f>
        <v>11.1.01.0791</v>
      </c>
      <c r="Q1783" s="15" t="str">
        <f>VLOOKUP(A1783,sinap!$A$2:$R$9000,12,FALSE)</f>
        <v>11.1.01.0893</v>
      </c>
      <c r="R1783" s="15" t="str">
        <f>VLOOKUP(A1783,sinap!$A$2:$R$9000,16,FALSE)</f>
        <v>11.1.01.0893</v>
      </c>
      <c r="S1783" s="15" t="str">
        <f>VLOOKUP(A1783,sinap!$A$2:$Y$9000,20,FALSE)</f>
        <v>SI</v>
      </c>
      <c r="T1783" s="16">
        <v>45984</v>
      </c>
    </row>
    <row r="1784" spans="1:20" hidden="1" x14ac:dyDescent="0.25">
      <c r="A1784" s="15">
        <v>26234178</v>
      </c>
      <c r="J1784" s="15" t="str">
        <f>VLOOKUP(A1784,sinap!$A$2:$R$9000,2,FALSE)</f>
        <v>H</v>
      </c>
      <c r="K1784" s="15" t="str">
        <f>VLOOKUP(A1784,sinap!$A$2:$R$9000,3,FALSE)</f>
        <v>TERNERA</v>
      </c>
      <c r="L1784" s="15" t="str">
        <f>VLOOKUP(A1784,sinap!$A$2:$R$9000,4,FALSE)</f>
        <v>ANGUS NEGRO</v>
      </c>
      <c r="M1784" s="15" t="str">
        <f>VLOOKUP(A1784,sinap!$A$2:$R$9000,5,FALSE)</f>
        <v>0 años 4 meses</v>
      </c>
      <c r="N1784" s="15" t="str">
        <f>VLOOKUP(A1784,sinap!$A$2:$R$9000,6,FALSE)</f>
        <v>05-09-2025</v>
      </c>
      <c r="O1784" s="15" t="str">
        <f>VLOOKUP(A1784,sinap!$A$2:$R$9000,7,FALSE)</f>
        <v>Vivo</v>
      </c>
      <c r="P1784" s="15" t="str">
        <f>VLOOKUP(A1784,sinap!$A$2:$R$9000,8,FALSE)</f>
        <v>11.1.01.0791</v>
      </c>
      <c r="Q1784" s="15" t="str">
        <f>VLOOKUP(A1784,sinap!$A$2:$R$9000,12,FALSE)</f>
        <v>11.1.01.0893</v>
      </c>
      <c r="R1784" s="15" t="str">
        <f>VLOOKUP(A1784,sinap!$A$2:$R$9000,16,FALSE)</f>
        <v>11.1.01.0893</v>
      </c>
      <c r="S1784" s="15" t="str">
        <f>VLOOKUP(A1784,sinap!$A$2:$Y$9000,20,FALSE)</f>
        <v>SI</v>
      </c>
      <c r="T1784" s="16">
        <v>45984</v>
      </c>
    </row>
    <row r="1785" spans="1:20" hidden="1" x14ac:dyDescent="0.25">
      <c r="A1785" s="15">
        <v>26234179</v>
      </c>
      <c r="J1785" s="15" t="str">
        <f>VLOOKUP(A1785,sinap!$A$2:$R$9000,2,FALSE)</f>
        <v>H</v>
      </c>
      <c r="K1785" s="15" t="str">
        <f>VLOOKUP(A1785,sinap!$A$2:$R$9000,3,FALSE)</f>
        <v>TERNERA</v>
      </c>
      <c r="L1785" s="15" t="str">
        <f>VLOOKUP(A1785,sinap!$A$2:$R$9000,4,FALSE)</f>
        <v>ANGUS NEGRO</v>
      </c>
      <c r="M1785" s="15" t="str">
        <f>VLOOKUP(A1785,sinap!$A$2:$R$9000,5,FALSE)</f>
        <v>0 años 4 meses</v>
      </c>
      <c r="N1785" s="15" t="str">
        <f>VLOOKUP(A1785,sinap!$A$2:$R$9000,6,FALSE)</f>
        <v>05-09-2025</v>
      </c>
      <c r="O1785" s="15" t="str">
        <f>VLOOKUP(A1785,sinap!$A$2:$R$9000,7,FALSE)</f>
        <v>Vivo</v>
      </c>
      <c r="P1785" s="15" t="str">
        <f>VLOOKUP(A1785,sinap!$A$2:$R$9000,8,FALSE)</f>
        <v>11.1.01.0791</v>
      </c>
      <c r="Q1785" s="15" t="str">
        <f>VLOOKUP(A1785,sinap!$A$2:$R$9000,12,FALSE)</f>
        <v>11.1.01.0893</v>
      </c>
      <c r="R1785" s="15" t="str">
        <f>VLOOKUP(A1785,sinap!$A$2:$R$9000,16,FALSE)</f>
        <v>11.1.01.0893</v>
      </c>
      <c r="S1785" s="15" t="str">
        <f>VLOOKUP(A1785,sinap!$A$2:$Y$9000,20,FALSE)</f>
        <v>SI</v>
      </c>
      <c r="T1785" s="16">
        <v>45984</v>
      </c>
    </row>
    <row r="1786" spans="1:20" hidden="1" x14ac:dyDescent="0.25">
      <c r="A1786" s="15">
        <v>26234180</v>
      </c>
      <c r="J1786" s="15" t="str">
        <f>VLOOKUP(A1786,sinap!$A$2:$R$9000,2,FALSE)</f>
        <v>M</v>
      </c>
      <c r="K1786" s="15" t="str">
        <f>VLOOKUP(A1786,sinap!$A$2:$R$9000,3,FALSE)</f>
        <v>TERNERO</v>
      </c>
      <c r="L1786" s="15" t="str">
        <f>VLOOKUP(A1786,sinap!$A$2:$R$9000,4,FALSE)</f>
        <v>ANGUS ROJO</v>
      </c>
      <c r="M1786" s="15" t="str">
        <f>VLOOKUP(A1786,sinap!$A$2:$R$9000,5,FALSE)</f>
        <v>0 años 4 meses</v>
      </c>
      <c r="N1786" s="15" t="str">
        <f>VLOOKUP(A1786,sinap!$A$2:$R$9000,6,FALSE)</f>
        <v>05-09-2025</v>
      </c>
      <c r="O1786" s="15" t="str">
        <f>VLOOKUP(A1786,sinap!$A$2:$R$9000,7,FALSE)</f>
        <v>Vivo</v>
      </c>
      <c r="P1786" s="15" t="str">
        <f>VLOOKUP(A1786,sinap!$A$2:$R$9000,8,FALSE)</f>
        <v>11.1.01.0791</v>
      </c>
      <c r="Q1786" s="15" t="str">
        <f>VLOOKUP(A1786,sinap!$A$2:$R$9000,12,FALSE)</f>
        <v>11.1.01.0893</v>
      </c>
      <c r="R1786" s="15" t="str">
        <f>VLOOKUP(A1786,sinap!$A$2:$R$9000,16,FALSE)</f>
        <v>11.1.01.0893</v>
      </c>
      <c r="S1786" s="15" t="str">
        <f>VLOOKUP(A1786,sinap!$A$2:$Y$9000,20,FALSE)</f>
        <v>SI</v>
      </c>
      <c r="T1786" s="16">
        <v>45984</v>
      </c>
    </row>
    <row r="1787" spans="1:20" hidden="1" x14ac:dyDescent="0.25">
      <c r="A1787" s="15">
        <v>26234181</v>
      </c>
      <c r="J1787" s="15" t="str">
        <f>VLOOKUP(A1787,sinap!$A$2:$R$9000,2,FALSE)</f>
        <v>M</v>
      </c>
      <c r="K1787" s="15" t="str">
        <f>VLOOKUP(A1787,sinap!$A$2:$R$9000,3,FALSE)</f>
        <v>TERNERO</v>
      </c>
      <c r="L1787" s="15" t="str">
        <f>VLOOKUP(A1787,sinap!$A$2:$R$9000,4,FALSE)</f>
        <v>ANGUS NEGRO</v>
      </c>
      <c r="M1787" s="15" t="str">
        <f>VLOOKUP(A1787,sinap!$A$2:$R$9000,5,FALSE)</f>
        <v>0 años 4 meses</v>
      </c>
      <c r="N1787" s="15" t="str">
        <f>VLOOKUP(A1787,sinap!$A$2:$R$9000,6,FALSE)</f>
        <v>05-09-2025</v>
      </c>
      <c r="O1787" s="15" t="str">
        <f>VLOOKUP(A1787,sinap!$A$2:$R$9000,7,FALSE)</f>
        <v>Vivo</v>
      </c>
      <c r="P1787" s="15" t="str">
        <f>VLOOKUP(A1787,sinap!$A$2:$R$9000,8,FALSE)</f>
        <v>11.1.01.0791</v>
      </c>
      <c r="Q1787" s="15" t="str">
        <f>VLOOKUP(A1787,sinap!$A$2:$R$9000,12,FALSE)</f>
        <v>11.1.01.0893</v>
      </c>
      <c r="R1787" s="15" t="str">
        <f>VLOOKUP(A1787,sinap!$A$2:$R$9000,16,FALSE)</f>
        <v>11.1.01.0893</v>
      </c>
      <c r="S1787" s="15" t="str">
        <f>VLOOKUP(A1787,sinap!$A$2:$Y$9000,20,FALSE)</f>
        <v>SI</v>
      </c>
      <c r="T1787" s="16">
        <v>45984</v>
      </c>
    </row>
    <row r="1788" spans="1:20" hidden="1" x14ac:dyDescent="0.25">
      <c r="A1788" s="15">
        <v>26234182</v>
      </c>
      <c r="J1788" s="15" t="str">
        <f>VLOOKUP(A1788,sinap!$A$2:$R$9000,2,FALSE)</f>
        <v>M</v>
      </c>
      <c r="K1788" s="15" t="str">
        <f>VLOOKUP(A1788,sinap!$A$2:$R$9000,3,FALSE)</f>
        <v>TERNERO</v>
      </c>
      <c r="L1788" s="15" t="str">
        <f>VLOOKUP(A1788,sinap!$A$2:$R$9000,4,FALSE)</f>
        <v>ANGUS NEGRO</v>
      </c>
      <c r="M1788" s="15" t="str">
        <f>VLOOKUP(A1788,sinap!$A$2:$R$9000,5,FALSE)</f>
        <v>0 años 5 meses</v>
      </c>
      <c r="N1788" s="15" t="str">
        <f>VLOOKUP(A1788,sinap!$A$2:$R$9000,6,FALSE)</f>
        <v>30-07-2025</v>
      </c>
      <c r="O1788" s="15" t="str">
        <f>VLOOKUP(A1788,sinap!$A$2:$R$9000,7,FALSE)</f>
        <v>Vivo</v>
      </c>
      <c r="P1788" s="15" t="str">
        <f>VLOOKUP(A1788,sinap!$A$2:$R$9000,8,FALSE)</f>
        <v>11.1.01.0791</v>
      </c>
      <c r="Q1788" s="15" t="str">
        <f>VLOOKUP(A1788,sinap!$A$2:$R$9000,12,FALSE)</f>
        <v>11.1.01.0893</v>
      </c>
      <c r="R1788" s="15" t="str">
        <f>VLOOKUP(A1788,sinap!$A$2:$R$9000,16,FALSE)</f>
        <v>11.1.01.0893</v>
      </c>
      <c r="S1788" s="15" t="str">
        <f>VLOOKUP(A1788,sinap!$A$2:$Y$9000,20,FALSE)</f>
        <v>SI</v>
      </c>
      <c r="T1788" s="16">
        <v>45984</v>
      </c>
    </row>
    <row r="1789" spans="1:20" hidden="1" x14ac:dyDescent="0.25">
      <c r="A1789" s="15">
        <v>26234183</v>
      </c>
      <c r="J1789" s="15" t="str">
        <f>VLOOKUP(A1789,sinap!$A$2:$R$9000,2,FALSE)</f>
        <v>H</v>
      </c>
      <c r="K1789" s="15" t="str">
        <f>VLOOKUP(A1789,sinap!$A$2:$R$9000,3,FALSE)</f>
        <v>TERNERA</v>
      </c>
      <c r="L1789" s="15" t="str">
        <f>VLOOKUP(A1789,sinap!$A$2:$R$9000,4,FALSE)</f>
        <v>ANGUS NEGRO</v>
      </c>
      <c r="M1789" s="15" t="str">
        <f>VLOOKUP(A1789,sinap!$A$2:$R$9000,5,FALSE)</f>
        <v>0 años 3 meses</v>
      </c>
      <c r="N1789" s="15" t="str">
        <f>VLOOKUP(A1789,sinap!$A$2:$R$9000,6,FALSE)</f>
        <v>30-09-2025</v>
      </c>
      <c r="O1789" s="15" t="str">
        <f>VLOOKUP(A1789,sinap!$A$2:$R$9000,7,FALSE)</f>
        <v>Vivo</v>
      </c>
      <c r="P1789" s="15" t="str">
        <f>VLOOKUP(A1789,sinap!$A$2:$R$9000,8,FALSE)</f>
        <v>11.1.01.0791</v>
      </c>
      <c r="Q1789" s="15" t="str">
        <f>VLOOKUP(A1789,sinap!$A$2:$R$9000,12,FALSE)</f>
        <v>11.1.01.0893</v>
      </c>
      <c r="R1789" s="15" t="str">
        <f>VLOOKUP(A1789,sinap!$A$2:$R$9000,16,FALSE)</f>
        <v>11.1.01.0893</v>
      </c>
      <c r="S1789" s="15" t="str">
        <f>VLOOKUP(A1789,sinap!$A$2:$Y$9000,20,FALSE)</f>
        <v>SI</v>
      </c>
      <c r="T1789" s="16">
        <v>45984</v>
      </c>
    </row>
    <row r="1790" spans="1:20" hidden="1" x14ac:dyDescent="0.25">
      <c r="A1790" s="15">
        <v>26234184</v>
      </c>
      <c r="J1790" s="15" t="str">
        <f>VLOOKUP(A1790,sinap!$A$2:$R$9000,2,FALSE)</f>
        <v>M</v>
      </c>
      <c r="K1790" s="15" t="str">
        <f>VLOOKUP(A1790,sinap!$A$2:$R$9000,3,FALSE)</f>
        <v>TERNERO</v>
      </c>
      <c r="L1790" s="15" t="str">
        <f>VLOOKUP(A1790,sinap!$A$2:$R$9000,4,FALSE)</f>
        <v>ANGUS NEGRO</v>
      </c>
      <c r="M1790" s="15" t="str">
        <f>VLOOKUP(A1790,sinap!$A$2:$R$9000,5,FALSE)</f>
        <v>0 años 3 meses</v>
      </c>
      <c r="N1790" s="15" t="str">
        <f>VLOOKUP(A1790,sinap!$A$2:$R$9000,6,FALSE)</f>
        <v>05-10-2025</v>
      </c>
      <c r="O1790" s="15" t="str">
        <f>VLOOKUP(A1790,sinap!$A$2:$R$9000,7,FALSE)</f>
        <v>Vivo</v>
      </c>
      <c r="P1790" s="15" t="str">
        <f>VLOOKUP(A1790,sinap!$A$2:$R$9000,8,FALSE)</f>
        <v>11.1.01.0791</v>
      </c>
      <c r="Q1790" s="15" t="str">
        <f>VLOOKUP(A1790,sinap!$A$2:$R$9000,12,FALSE)</f>
        <v>11.1.01.0893</v>
      </c>
      <c r="R1790" s="15" t="str">
        <f>VLOOKUP(A1790,sinap!$A$2:$R$9000,16,FALSE)</f>
        <v>11.1.01.0893</v>
      </c>
      <c r="S1790" s="15" t="str">
        <f>VLOOKUP(A1790,sinap!$A$2:$Y$9000,20,FALSE)</f>
        <v>SI</v>
      </c>
      <c r="T1790" s="16">
        <v>45984</v>
      </c>
    </row>
    <row r="1791" spans="1:20" hidden="1" x14ac:dyDescent="0.25">
      <c r="A1791" s="15">
        <v>26234185</v>
      </c>
      <c r="J1791" s="15" t="str">
        <f>VLOOKUP(A1791,sinap!$A$2:$R$9000,2,FALSE)</f>
        <v>M</v>
      </c>
      <c r="K1791" s="15" t="str">
        <f>VLOOKUP(A1791,sinap!$A$2:$R$9000,3,FALSE)</f>
        <v>TERNERO</v>
      </c>
      <c r="L1791" s="15" t="str">
        <f>VLOOKUP(A1791,sinap!$A$2:$R$9000,4,FALSE)</f>
        <v>HEREFORD</v>
      </c>
      <c r="M1791" s="15" t="str">
        <f>VLOOKUP(A1791,sinap!$A$2:$R$9000,5,FALSE)</f>
        <v>0 años 3 meses</v>
      </c>
      <c r="N1791" s="15" t="str">
        <f>VLOOKUP(A1791,sinap!$A$2:$R$9000,6,FALSE)</f>
        <v>05-10-2025</v>
      </c>
      <c r="O1791" s="15" t="str">
        <f>VLOOKUP(A1791,sinap!$A$2:$R$9000,7,FALSE)</f>
        <v>Vivo</v>
      </c>
      <c r="P1791" s="15" t="str">
        <f>VLOOKUP(A1791,sinap!$A$2:$R$9000,8,FALSE)</f>
        <v>11.1.01.0791</v>
      </c>
      <c r="Q1791" s="15" t="str">
        <f>VLOOKUP(A1791,sinap!$A$2:$R$9000,12,FALSE)</f>
        <v>11.1.01.0893</v>
      </c>
      <c r="R1791" s="15" t="str">
        <f>VLOOKUP(A1791,sinap!$A$2:$R$9000,16,FALSE)</f>
        <v>11.1.01.0893</v>
      </c>
      <c r="S1791" s="15" t="str">
        <f>VLOOKUP(A1791,sinap!$A$2:$Y$9000,20,FALSE)</f>
        <v>SI</v>
      </c>
      <c r="T1791" s="16">
        <v>45984</v>
      </c>
    </row>
    <row r="1792" spans="1:20" hidden="1" x14ac:dyDescent="0.25">
      <c r="A1792" s="15">
        <v>26234186</v>
      </c>
      <c r="J1792" s="15" t="str">
        <f>VLOOKUP(A1792,sinap!$A$2:$R$9000,2,FALSE)</f>
        <v>M</v>
      </c>
      <c r="K1792" s="15" t="str">
        <f>VLOOKUP(A1792,sinap!$A$2:$R$9000,3,FALSE)</f>
        <v>TERNERO</v>
      </c>
      <c r="L1792" s="15" t="str">
        <f>VLOOKUP(A1792,sinap!$A$2:$R$9000,4,FALSE)</f>
        <v>ANGUS NEGRO</v>
      </c>
      <c r="M1792" s="15" t="str">
        <f>VLOOKUP(A1792,sinap!$A$2:$R$9000,5,FALSE)</f>
        <v>0 años 3 meses</v>
      </c>
      <c r="N1792" s="15" t="str">
        <f>VLOOKUP(A1792,sinap!$A$2:$R$9000,6,FALSE)</f>
        <v>05-10-2025</v>
      </c>
      <c r="O1792" s="15" t="str">
        <f>VLOOKUP(A1792,sinap!$A$2:$R$9000,7,FALSE)</f>
        <v>Vivo</v>
      </c>
      <c r="P1792" s="15" t="str">
        <f>VLOOKUP(A1792,sinap!$A$2:$R$9000,8,FALSE)</f>
        <v>11.1.01.0791</v>
      </c>
      <c r="Q1792" s="15" t="str">
        <f>VLOOKUP(A1792,sinap!$A$2:$R$9000,12,FALSE)</f>
        <v>11.1.01.0893</v>
      </c>
      <c r="R1792" s="15" t="str">
        <f>VLOOKUP(A1792,sinap!$A$2:$R$9000,16,FALSE)</f>
        <v>11.1.01.0893</v>
      </c>
      <c r="S1792" s="15" t="str">
        <f>VLOOKUP(A1792,sinap!$A$2:$Y$9000,20,FALSE)</f>
        <v>SI</v>
      </c>
      <c r="T1792" s="16">
        <v>45984</v>
      </c>
    </row>
    <row r="1793" spans="1:20" hidden="1" x14ac:dyDescent="0.25">
      <c r="A1793" s="15">
        <v>26234187</v>
      </c>
      <c r="J1793" s="15" t="str">
        <f>VLOOKUP(A1793,sinap!$A$2:$R$9000,2,FALSE)</f>
        <v>M</v>
      </c>
      <c r="K1793" s="15" t="str">
        <f>VLOOKUP(A1793,sinap!$A$2:$R$9000,3,FALSE)</f>
        <v>TERNERO</v>
      </c>
      <c r="L1793" s="15" t="str">
        <f>VLOOKUP(A1793,sinap!$A$2:$R$9000,4,FALSE)</f>
        <v>ANGUS NEGRO</v>
      </c>
      <c r="M1793" s="15" t="str">
        <f>VLOOKUP(A1793,sinap!$A$2:$R$9000,5,FALSE)</f>
        <v>0 años 3 meses</v>
      </c>
      <c r="N1793" s="15" t="str">
        <f>VLOOKUP(A1793,sinap!$A$2:$R$9000,6,FALSE)</f>
        <v>30-09-2025</v>
      </c>
      <c r="O1793" s="15" t="str">
        <f>VLOOKUP(A1793,sinap!$A$2:$R$9000,7,FALSE)</f>
        <v>Vivo</v>
      </c>
      <c r="P1793" s="15" t="str">
        <f>VLOOKUP(A1793,sinap!$A$2:$R$9000,8,FALSE)</f>
        <v>11.1.01.0791</v>
      </c>
      <c r="Q1793" s="15" t="str">
        <f>VLOOKUP(A1793,sinap!$A$2:$R$9000,12,FALSE)</f>
        <v>11.1.01.0893</v>
      </c>
      <c r="R1793" s="15" t="str">
        <f>VLOOKUP(A1793,sinap!$A$2:$R$9000,16,FALSE)</f>
        <v>11.1.01.0893</v>
      </c>
      <c r="S1793" s="15" t="str">
        <f>VLOOKUP(A1793,sinap!$A$2:$Y$9000,20,FALSE)</f>
        <v>SI</v>
      </c>
      <c r="T1793" s="16">
        <v>45984</v>
      </c>
    </row>
    <row r="1794" spans="1:20" hidden="1" x14ac:dyDescent="0.25">
      <c r="A1794" s="15">
        <v>26234188</v>
      </c>
      <c r="J1794" s="15" t="str">
        <f>VLOOKUP(A1794,sinap!$A$2:$R$9000,2,FALSE)</f>
        <v>M</v>
      </c>
      <c r="K1794" s="15" t="str">
        <f>VLOOKUP(A1794,sinap!$A$2:$R$9000,3,FALSE)</f>
        <v>TERNERO</v>
      </c>
      <c r="L1794" s="15" t="str">
        <f>VLOOKUP(A1794,sinap!$A$2:$R$9000,4,FALSE)</f>
        <v>ANGUS NEGRO</v>
      </c>
      <c r="M1794" s="15" t="str">
        <f>VLOOKUP(A1794,sinap!$A$2:$R$9000,5,FALSE)</f>
        <v>0 años 5 meses</v>
      </c>
      <c r="N1794" s="15" t="str">
        <f>VLOOKUP(A1794,sinap!$A$2:$R$9000,6,FALSE)</f>
        <v>30-07-2025</v>
      </c>
      <c r="O1794" s="15" t="str">
        <f>VLOOKUP(A1794,sinap!$A$2:$R$9000,7,FALSE)</f>
        <v>Vivo</v>
      </c>
      <c r="P1794" s="15" t="str">
        <f>VLOOKUP(A1794,sinap!$A$2:$R$9000,8,FALSE)</f>
        <v>11.1.01.0791</v>
      </c>
      <c r="Q1794" s="15" t="str">
        <f>VLOOKUP(A1794,sinap!$A$2:$R$9000,12,FALSE)</f>
        <v>11.1.01.0893</v>
      </c>
      <c r="R1794" s="15" t="str">
        <f>VLOOKUP(A1794,sinap!$A$2:$R$9000,16,FALSE)</f>
        <v>11.1.01.0893</v>
      </c>
      <c r="S1794" s="15" t="str">
        <f>VLOOKUP(A1794,sinap!$A$2:$Y$9000,20,FALSE)</f>
        <v>SI</v>
      </c>
      <c r="T1794" s="16">
        <v>45984</v>
      </c>
    </row>
    <row r="1795" spans="1:20" hidden="1" x14ac:dyDescent="0.25">
      <c r="A1795" s="15">
        <v>26234189</v>
      </c>
      <c r="J1795" s="15" t="str">
        <f>VLOOKUP(A1795,sinap!$A$2:$R$9000,2,FALSE)</f>
        <v>H</v>
      </c>
      <c r="K1795" s="15" t="str">
        <f>VLOOKUP(A1795,sinap!$A$2:$R$9000,3,FALSE)</f>
        <v>TERNERA</v>
      </c>
      <c r="L1795" s="15" t="str">
        <f>VLOOKUP(A1795,sinap!$A$2:$R$9000,4,FALSE)</f>
        <v>ANGUS NEGRO</v>
      </c>
      <c r="M1795" s="15" t="str">
        <f>VLOOKUP(A1795,sinap!$A$2:$R$9000,5,FALSE)</f>
        <v>0 años 3 meses</v>
      </c>
      <c r="N1795" s="15" t="str">
        <f>VLOOKUP(A1795,sinap!$A$2:$R$9000,6,FALSE)</f>
        <v>05-10-2025</v>
      </c>
      <c r="O1795" s="15" t="str">
        <f>VLOOKUP(A1795,sinap!$A$2:$R$9000,7,FALSE)</f>
        <v>Vivo</v>
      </c>
      <c r="P1795" s="15" t="str">
        <f>VLOOKUP(A1795,sinap!$A$2:$R$9000,8,FALSE)</f>
        <v>11.1.01.0791</v>
      </c>
      <c r="Q1795" s="15" t="str">
        <f>VLOOKUP(A1795,sinap!$A$2:$R$9000,12,FALSE)</f>
        <v>11.1.01.0893</v>
      </c>
      <c r="R1795" s="15" t="str">
        <f>VLOOKUP(A1795,sinap!$A$2:$R$9000,16,FALSE)</f>
        <v>11.1.01.0893</v>
      </c>
      <c r="S1795" s="15" t="str">
        <f>VLOOKUP(A1795,sinap!$A$2:$Y$9000,20,FALSE)</f>
        <v>SI</v>
      </c>
      <c r="T1795" s="16">
        <v>45984</v>
      </c>
    </row>
    <row r="1796" spans="1:20" hidden="1" x14ac:dyDescent="0.25">
      <c r="A1796" s="15">
        <v>26234190</v>
      </c>
      <c r="J1796" s="15" t="str">
        <f>VLOOKUP(A1796,sinap!$A$2:$R$9000,2,FALSE)</f>
        <v>H</v>
      </c>
      <c r="K1796" s="15" t="str">
        <f>VLOOKUP(A1796,sinap!$A$2:$R$9000,3,FALSE)</f>
        <v>TERNERA</v>
      </c>
      <c r="L1796" s="15" t="str">
        <f>VLOOKUP(A1796,sinap!$A$2:$R$9000,4,FALSE)</f>
        <v>ANGUS NEGRO</v>
      </c>
      <c r="M1796" s="15" t="str">
        <f>VLOOKUP(A1796,sinap!$A$2:$R$9000,5,FALSE)</f>
        <v>0 años 3 meses</v>
      </c>
      <c r="N1796" s="15" t="str">
        <f>VLOOKUP(A1796,sinap!$A$2:$R$9000,6,FALSE)</f>
        <v>30-09-2025</v>
      </c>
      <c r="O1796" s="15" t="str">
        <f>VLOOKUP(A1796,sinap!$A$2:$R$9000,7,FALSE)</f>
        <v>Vivo</v>
      </c>
      <c r="P1796" s="15" t="str">
        <f>VLOOKUP(A1796,sinap!$A$2:$R$9000,8,FALSE)</f>
        <v>11.1.01.0791</v>
      </c>
      <c r="Q1796" s="15" t="str">
        <f>VLOOKUP(A1796,sinap!$A$2:$R$9000,12,FALSE)</f>
        <v>11.1.01.0893</v>
      </c>
      <c r="R1796" s="15" t="str">
        <f>VLOOKUP(A1796,sinap!$A$2:$R$9000,16,FALSE)</f>
        <v>11.1.01.0893</v>
      </c>
      <c r="S1796" s="15" t="str">
        <f>VLOOKUP(A1796,sinap!$A$2:$Y$9000,20,FALSE)</f>
        <v>SI</v>
      </c>
      <c r="T1796" s="16">
        <v>45984</v>
      </c>
    </row>
    <row r="1797" spans="1:20" hidden="1" x14ac:dyDescent="0.25">
      <c r="A1797" s="15">
        <v>26234191</v>
      </c>
      <c r="J1797" s="15" t="str">
        <f>VLOOKUP(A1797,sinap!$A$2:$R$9000,2,FALSE)</f>
        <v>H</v>
      </c>
      <c r="K1797" s="15" t="str">
        <f>VLOOKUP(A1797,sinap!$A$2:$R$9000,3,FALSE)</f>
        <v>TERNERA</v>
      </c>
      <c r="L1797" s="15" t="str">
        <f>VLOOKUP(A1797,sinap!$A$2:$R$9000,4,FALSE)</f>
        <v>ANGUS ROJO</v>
      </c>
      <c r="M1797" s="15" t="str">
        <f>VLOOKUP(A1797,sinap!$A$2:$R$9000,5,FALSE)</f>
        <v>0 años 3 meses</v>
      </c>
      <c r="N1797" s="15" t="str">
        <f>VLOOKUP(A1797,sinap!$A$2:$R$9000,6,FALSE)</f>
        <v>30-09-2025</v>
      </c>
      <c r="O1797" s="15" t="str">
        <f>VLOOKUP(A1797,sinap!$A$2:$R$9000,7,FALSE)</f>
        <v>Vivo</v>
      </c>
      <c r="P1797" s="15" t="str">
        <f>VLOOKUP(A1797,sinap!$A$2:$R$9000,8,FALSE)</f>
        <v>11.1.01.0791</v>
      </c>
      <c r="Q1797" s="15" t="str">
        <f>VLOOKUP(A1797,sinap!$A$2:$R$9000,12,FALSE)</f>
        <v>11.1.01.0893</v>
      </c>
      <c r="R1797" s="15" t="str">
        <f>VLOOKUP(A1797,sinap!$A$2:$R$9000,16,FALSE)</f>
        <v>11.1.01.0893</v>
      </c>
      <c r="S1797" s="15" t="str">
        <f>VLOOKUP(A1797,sinap!$A$2:$Y$9000,20,FALSE)</f>
        <v>SI</v>
      </c>
      <c r="T1797" s="16">
        <v>45984</v>
      </c>
    </row>
    <row r="1798" spans="1:20" hidden="1" x14ac:dyDescent="0.25">
      <c r="A1798" s="15">
        <v>26234192</v>
      </c>
      <c r="J1798" s="15" t="str">
        <f>VLOOKUP(A1798,sinap!$A$2:$R$9000,2,FALSE)</f>
        <v>M</v>
      </c>
      <c r="K1798" s="15" t="str">
        <f>VLOOKUP(A1798,sinap!$A$2:$R$9000,3,FALSE)</f>
        <v>TERNERO</v>
      </c>
      <c r="L1798" s="15" t="str">
        <f>VLOOKUP(A1798,sinap!$A$2:$R$9000,4,FALSE)</f>
        <v>ANGUS NEGRO</v>
      </c>
      <c r="M1798" s="15" t="str">
        <f>VLOOKUP(A1798,sinap!$A$2:$R$9000,5,FALSE)</f>
        <v>0 años 3 meses</v>
      </c>
      <c r="N1798" s="15" t="str">
        <f>VLOOKUP(A1798,sinap!$A$2:$R$9000,6,FALSE)</f>
        <v>30-09-2025</v>
      </c>
      <c r="O1798" s="15" t="str">
        <f>VLOOKUP(A1798,sinap!$A$2:$R$9000,7,FALSE)</f>
        <v>Vivo</v>
      </c>
      <c r="P1798" s="15" t="str">
        <f>VLOOKUP(A1798,sinap!$A$2:$R$9000,8,FALSE)</f>
        <v>11.1.01.0791</v>
      </c>
      <c r="Q1798" s="15" t="str">
        <f>VLOOKUP(A1798,sinap!$A$2:$R$9000,12,FALSE)</f>
        <v>11.1.01.0893</v>
      </c>
      <c r="R1798" s="15" t="str">
        <f>VLOOKUP(A1798,sinap!$A$2:$R$9000,16,FALSE)</f>
        <v>11.1.01.0893</v>
      </c>
      <c r="S1798" s="15" t="str">
        <f>VLOOKUP(A1798,sinap!$A$2:$Y$9000,20,FALSE)</f>
        <v>SI</v>
      </c>
      <c r="T1798" s="16">
        <v>45984</v>
      </c>
    </row>
    <row r="1799" spans="1:20" hidden="1" x14ac:dyDescent="0.25">
      <c r="A1799" s="15">
        <v>26234193</v>
      </c>
      <c r="J1799" s="15" t="str">
        <f>VLOOKUP(A1799,sinap!$A$2:$R$9000,2,FALSE)</f>
        <v>M</v>
      </c>
      <c r="K1799" s="15" t="str">
        <f>VLOOKUP(A1799,sinap!$A$2:$R$9000,3,FALSE)</f>
        <v>TERNERO</v>
      </c>
      <c r="L1799" s="15" t="str">
        <f>VLOOKUP(A1799,sinap!$A$2:$R$9000,4,FALSE)</f>
        <v>ANGUS NEGRO</v>
      </c>
      <c r="M1799" s="15" t="str">
        <f>VLOOKUP(A1799,sinap!$A$2:$R$9000,5,FALSE)</f>
        <v>0 años 3 meses</v>
      </c>
      <c r="N1799" s="15" t="str">
        <f>VLOOKUP(A1799,sinap!$A$2:$R$9000,6,FALSE)</f>
        <v>30-09-2025</v>
      </c>
      <c r="O1799" s="15" t="str">
        <f>VLOOKUP(A1799,sinap!$A$2:$R$9000,7,FALSE)</f>
        <v>Vivo</v>
      </c>
      <c r="P1799" s="15" t="str">
        <f>VLOOKUP(A1799,sinap!$A$2:$R$9000,8,FALSE)</f>
        <v>11.1.01.0791</v>
      </c>
      <c r="Q1799" s="15" t="str">
        <f>VLOOKUP(A1799,sinap!$A$2:$R$9000,12,FALSE)</f>
        <v>11.1.01.0893</v>
      </c>
      <c r="R1799" s="15" t="str">
        <f>VLOOKUP(A1799,sinap!$A$2:$R$9000,16,FALSE)</f>
        <v>11.1.01.0893</v>
      </c>
      <c r="S1799" s="15" t="str">
        <f>VLOOKUP(A1799,sinap!$A$2:$Y$9000,20,FALSE)</f>
        <v>SI</v>
      </c>
      <c r="T1799" s="16">
        <v>45984</v>
      </c>
    </row>
    <row r="1800" spans="1:20" hidden="1" x14ac:dyDescent="0.25">
      <c r="A1800" s="15">
        <v>26234194</v>
      </c>
      <c r="J1800" s="15" t="str">
        <f>VLOOKUP(A1800,sinap!$A$2:$R$9000,2,FALSE)</f>
        <v>M</v>
      </c>
      <c r="K1800" s="15" t="str">
        <f>VLOOKUP(A1800,sinap!$A$2:$R$9000,3,FALSE)</f>
        <v>TERNERO</v>
      </c>
      <c r="L1800" s="15" t="str">
        <f>VLOOKUP(A1800,sinap!$A$2:$R$9000,4,FALSE)</f>
        <v>ANGUS NEGRO</v>
      </c>
      <c r="M1800" s="15" t="str">
        <f>VLOOKUP(A1800,sinap!$A$2:$R$9000,5,FALSE)</f>
        <v>0 años 3 meses</v>
      </c>
      <c r="N1800" s="15" t="str">
        <f>VLOOKUP(A1800,sinap!$A$2:$R$9000,6,FALSE)</f>
        <v>05-10-2025</v>
      </c>
      <c r="O1800" s="15" t="str">
        <f>VLOOKUP(A1800,sinap!$A$2:$R$9000,7,FALSE)</f>
        <v>Vivo</v>
      </c>
      <c r="P1800" s="15" t="str">
        <f>VLOOKUP(A1800,sinap!$A$2:$R$9000,8,FALSE)</f>
        <v>11.1.01.0791</v>
      </c>
      <c r="Q1800" s="15" t="str">
        <f>VLOOKUP(A1800,sinap!$A$2:$R$9000,12,FALSE)</f>
        <v>11.1.01.0893</v>
      </c>
      <c r="R1800" s="15" t="str">
        <f>VLOOKUP(A1800,sinap!$A$2:$R$9000,16,FALSE)</f>
        <v>11.1.01.0893</v>
      </c>
      <c r="S1800" s="15" t="str">
        <f>VLOOKUP(A1800,sinap!$A$2:$Y$9000,20,FALSE)</f>
        <v>SI</v>
      </c>
      <c r="T1800" s="16">
        <v>45984</v>
      </c>
    </row>
    <row r="1801" spans="1:20" hidden="1" x14ac:dyDescent="0.25">
      <c r="A1801" s="15">
        <v>26234195</v>
      </c>
      <c r="J1801" s="15" t="str">
        <f>VLOOKUP(A1801,sinap!$A$2:$R$9000,2,FALSE)</f>
        <v>H</v>
      </c>
      <c r="K1801" s="15" t="str">
        <f>VLOOKUP(A1801,sinap!$A$2:$R$9000,3,FALSE)</f>
        <v>TERNERA</v>
      </c>
      <c r="L1801" s="15" t="str">
        <f>VLOOKUP(A1801,sinap!$A$2:$R$9000,4,FALSE)</f>
        <v>ANGUS NEGRO</v>
      </c>
      <c r="M1801" s="15" t="str">
        <f>VLOOKUP(A1801,sinap!$A$2:$R$9000,5,FALSE)</f>
        <v>0 años 3 meses</v>
      </c>
      <c r="N1801" s="15" t="str">
        <f>VLOOKUP(A1801,sinap!$A$2:$R$9000,6,FALSE)</f>
        <v>30-09-2025</v>
      </c>
      <c r="O1801" s="15" t="str">
        <f>VLOOKUP(A1801,sinap!$A$2:$R$9000,7,FALSE)</f>
        <v>Vivo</v>
      </c>
      <c r="P1801" s="15" t="str">
        <f>VLOOKUP(A1801,sinap!$A$2:$R$9000,8,FALSE)</f>
        <v>11.1.01.0791</v>
      </c>
      <c r="Q1801" s="15" t="str">
        <f>VLOOKUP(A1801,sinap!$A$2:$R$9000,12,FALSE)</f>
        <v>11.1.01.0893</v>
      </c>
      <c r="R1801" s="15" t="str">
        <f>VLOOKUP(A1801,sinap!$A$2:$R$9000,16,FALSE)</f>
        <v>11.1.01.0893</v>
      </c>
      <c r="S1801" s="15" t="str">
        <f>VLOOKUP(A1801,sinap!$A$2:$Y$9000,20,FALSE)</f>
        <v>SI</v>
      </c>
      <c r="T1801" s="16">
        <v>45984</v>
      </c>
    </row>
    <row r="1802" spans="1:20" hidden="1" x14ac:dyDescent="0.25">
      <c r="A1802" s="15">
        <v>26234196</v>
      </c>
      <c r="J1802" s="15" t="str">
        <f>VLOOKUP(A1802,sinap!$A$2:$R$9000,2,FALSE)</f>
        <v>M</v>
      </c>
      <c r="K1802" s="15" t="str">
        <f>VLOOKUP(A1802,sinap!$A$2:$R$9000,3,FALSE)</f>
        <v>TERNERO</v>
      </c>
      <c r="L1802" s="15" t="str">
        <f>VLOOKUP(A1802,sinap!$A$2:$R$9000,4,FALSE)</f>
        <v>ANGUS NEGRO</v>
      </c>
      <c r="M1802" s="15" t="str">
        <f>VLOOKUP(A1802,sinap!$A$2:$R$9000,5,FALSE)</f>
        <v>0 años 3 meses</v>
      </c>
      <c r="N1802" s="15" t="str">
        <f>VLOOKUP(A1802,sinap!$A$2:$R$9000,6,FALSE)</f>
        <v>30-09-2025</v>
      </c>
      <c r="O1802" s="15" t="str">
        <f>VLOOKUP(A1802,sinap!$A$2:$R$9000,7,FALSE)</f>
        <v>Vivo</v>
      </c>
      <c r="P1802" s="15" t="str">
        <f>VLOOKUP(A1802,sinap!$A$2:$R$9000,8,FALSE)</f>
        <v>11.1.01.0791</v>
      </c>
      <c r="Q1802" s="15" t="str">
        <f>VLOOKUP(A1802,sinap!$A$2:$R$9000,12,FALSE)</f>
        <v>11.1.01.0893</v>
      </c>
      <c r="R1802" s="15" t="str">
        <f>VLOOKUP(A1802,sinap!$A$2:$R$9000,16,FALSE)</f>
        <v>11.1.01.0893</v>
      </c>
      <c r="S1802" s="15" t="str">
        <f>VLOOKUP(A1802,sinap!$A$2:$Y$9000,20,FALSE)</f>
        <v>SI</v>
      </c>
      <c r="T1802" s="16">
        <v>45984</v>
      </c>
    </row>
    <row r="1803" spans="1:20" hidden="1" x14ac:dyDescent="0.25">
      <c r="A1803" s="15">
        <v>26234197</v>
      </c>
      <c r="J1803" s="15" t="str">
        <f>VLOOKUP(A1803,sinap!$A$2:$R$9000,2,FALSE)</f>
        <v>H</v>
      </c>
      <c r="K1803" s="15" t="str">
        <f>VLOOKUP(A1803,sinap!$A$2:$R$9000,3,FALSE)</f>
        <v>TERNERA</v>
      </c>
      <c r="L1803" s="15" t="str">
        <f>VLOOKUP(A1803,sinap!$A$2:$R$9000,4,FALSE)</f>
        <v>ANGUS NEGRO</v>
      </c>
      <c r="M1803" s="15" t="str">
        <f>VLOOKUP(A1803,sinap!$A$2:$R$9000,5,FALSE)</f>
        <v>0 años 3 meses</v>
      </c>
      <c r="N1803" s="15" t="str">
        <f>VLOOKUP(A1803,sinap!$A$2:$R$9000,6,FALSE)</f>
        <v>30-09-2025</v>
      </c>
      <c r="O1803" s="15" t="str">
        <f>VLOOKUP(A1803,sinap!$A$2:$R$9000,7,FALSE)</f>
        <v>Vivo</v>
      </c>
      <c r="P1803" s="15" t="str">
        <f>VLOOKUP(A1803,sinap!$A$2:$R$9000,8,FALSE)</f>
        <v>11.1.01.0791</v>
      </c>
      <c r="Q1803" s="15" t="str">
        <f>VLOOKUP(A1803,sinap!$A$2:$R$9000,12,FALSE)</f>
        <v>11.1.01.0893</v>
      </c>
      <c r="R1803" s="15" t="str">
        <f>VLOOKUP(A1803,sinap!$A$2:$R$9000,16,FALSE)</f>
        <v>11.1.01.0893</v>
      </c>
      <c r="S1803" s="15" t="str">
        <f>VLOOKUP(A1803,sinap!$A$2:$Y$9000,20,FALSE)</f>
        <v>SI</v>
      </c>
      <c r="T1803" s="16">
        <v>45984</v>
      </c>
    </row>
    <row r="1804" spans="1:20" hidden="1" x14ac:dyDescent="0.25">
      <c r="A1804" s="15">
        <v>26234198</v>
      </c>
      <c r="J1804" s="15" t="str">
        <f>VLOOKUP(A1804,sinap!$A$2:$R$9000,2,FALSE)</f>
        <v>H</v>
      </c>
      <c r="K1804" s="15" t="str">
        <f>VLOOKUP(A1804,sinap!$A$2:$R$9000,3,FALSE)</f>
        <v>TERNERA</v>
      </c>
      <c r="L1804" s="15" t="str">
        <f>VLOOKUP(A1804,sinap!$A$2:$R$9000,4,FALSE)</f>
        <v>ANGUS NEGRO</v>
      </c>
      <c r="M1804" s="15" t="str">
        <f>VLOOKUP(A1804,sinap!$A$2:$R$9000,5,FALSE)</f>
        <v>0 años 3 meses</v>
      </c>
      <c r="N1804" s="15" t="str">
        <f>VLOOKUP(A1804,sinap!$A$2:$R$9000,6,FALSE)</f>
        <v>30-09-2025</v>
      </c>
      <c r="O1804" s="15" t="str">
        <f>VLOOKUP(A1804,sinap!$A$2:$R$9000,7,FALSE)</f>
        <v>Vivo</v>
      </c>
      <c r="P1804" s="15" t="str">
        <f>VLOOKUP(A1804,sinap!$A$2:$R$9000,8,FALSE)</f>
        <v>11.1.01.0791</v>
      </c>
      <c r="Q1804" s="15" t="str">
        <f>VLOOKUP(A1804,sinap!$A$2:$R$9000,12,FALSE)</f>
        <v>11.1.01.0893</v>
      </c>
      <c r="R1804" s="15" t="str">
        <f>VLOOKUP(A1804,sinap!$A$2:$R$9000,16,FALSE)</f>
        <v>11.1.01.0893</v>
      </c>
      <c r="S1804" s="15" t="str">
        <f>VLOOKUP(A1804,sinap!$A$2:$Y$9000,20,FALSE)</f>
        <v>SI</v>
      </c>
      <c r="T1804" s="16">
        <v>45984</v>
      </c>
    </row>
    <row r="1805" spans="1:20" hidden="1" x14ac:dyDescent="0.25">
      <c r="A1805" s="15">
        <v>26234199</v>
      </c>
      <c r="J1805" s="15" t="str">
        <f>VLOOKUP(A1805,sinap!$A$2:$R$9000,2,FALSE)</f>
        <v>H</v>
      </c>
      <c r="K1805" s="15" t="str">
        <f>VLOOKUP(A1805,sinap!$A$2:$R$9000,3,FALSE)</f>
        <v>TERNERA</v>
      </c>
      <c r="L1805" s="15" t="str">
        <f>VLOOKUP(A1805,sinap!$A$2:$R$9000,4,FALSE)</f>
        <v>ANGUS NEGRO</v>
      </c>
      <c r="M1805" s="15" t="str">
        <f>VLOOKUP(A1805,sinap!$A$2:$R$9000,5,FALSE)</f>
        <v>0 años 3 meses</v>
      </c>
      <c r="N1805" s="15" t="str">
        <f>VLOOKUP(A1805,sinap!$A$2:$R$9000,6,FALSE)</f>
        <v>30-09-2025</v>
      </c>
      <c r="O1805" s="15" t="str">
        <f>VLOOKUP(A1805,sinap!$A$2:$R$9000,7,FALSE)</f>
        <v>Vivo</v>
      </c>
      <c r="P1805" s="15" t="str">
        <f>VLOOKUP(A1805,sinap!$A$2:$R$9000,8,FALSE)</f>
        <v>11.1.01.0791</v>
      </c>
      <c r="Q1805" s="15" t="str">
        <f>VLOOKUP(A1805,sinap!$A$2:$R$9000,12,FALSE)</f>
        <v>11.1.01.0893</v>
      </c>
      <c r="R1805" s="15" t="str">
        <f>VLOOKUP(A1805,sinap!$A$2:$R$9000,16,FALSE)</f>
        <v>11.1.01.0893</v>
      </c>
      <c r="S1805" s="15" t="str">
        <f>VLOOKUP(A1805,sinap!$A$2:$Y$9000,20,FALSE)</f>
        <v>SI</v>
      </c>
      <c r="T1805" s="16">
        <v>45984</v>
      </c>
    </row>
    <row r="1806" spans="1:20" hidden="1" x14ac:dyDescent="0.25">
      <c r="A1806" s="15">
        <v>26234200</v>
      </c>
      <c r="J1806" s="15" t="str">
        <f>VLOOKUP(A1806,sinap!$A$2:$R$9000,2,FALSE)</f>
        <v>M</v>
      </c>
      <c r="K1806" s="15" t="str">
        <f>VLOOKUP(A1806,sinap!$A$2:$R$9000,3,FALSE)</f>
        <v>TERNERO</v>
      </c>
      <c r="L1806" s="15" t="str">
        <f>VLOOKUP(A1806,sinap!$A$2:$R$9000,4,FALSE)</f>
        <v>ANGUS NEGRO</v>
      </c>
      <c r="M1806" s="15" t="str">
        <f>VLOOKUP(A1806,sinap!$A$2:$R$9000,5,FALSE)</f>
        <v>0 años 2 meses</v>
      </c>
      <c r="N1806" s="15" t="str">
        <f>VLOOKUP(A1806,sinap!$A$2:$R$9000,6,FALSE)</f>
        <v>05-11-2025</v>
      </c>
      <c r="O1806" s="15" t="str">
        <f>VLOOKUP(A1806,sinap!$A$2:$R$9000,7,FALSE)</f>
        <v>Vivo</v>
      </c>
      <c r="P1806" s="15" t="str">
        <f>VLOOKUP(A1806,sinap!$A$2:$R$9000,8,FALSE)</f>
        <v>11.1.01.0791</v>
      </c>
      <c r="Q1806" s="15" t="str">
        <f>VLOOKUP(A1806,sinap!$A$2:$R$9000,12,FALSE)</f>
        <v>11.1.01.0893</v>
      </c>
      <c r="R1806" s="15" t="str">
        <f>VLOOKUP(A1806,sinap!$A$2:$R$9000,16,FALSE)</f>
        <v>11.1.01.0893</v>
      </c>
      <c r="S1806" s="15" t="str">
        <f>VLOOKUP(A1806,sinap!$A$2:$Y$9000,20,FALSE)</f>
        <v>SI</v>
      </c>
      <c r="T1806" s="16">
        <v>45984</v>
      </c>
    </row>
    <row r="1807" spans="1:20" hidden="1" x14ac:dyDescent="0.25">
      <c r="A1807" s="15">
        <v>26234201</v>
      </c>
      <c r="J1807" s="15" t="str">
        <f>VLOOKUP(A1807,sinap!$A$2:$R$9000,2,FALSE)</f>
        <v>H</v>
      </c>
      <c r="K1807" s="15" t="str">
        <f>VLOOKUP(A1807,sinap!$A$2:$R$9000,3,FALSE)</f>
        <v>TERNERA</v>
      </c>
      <c r="L1807" s="15" t="str">
        <f>VLOOKUP(A1807,sinap!$A$2:$R$9000,4,FALSE)</f>
        <v>ANGUS NEGRO</v>
      </c>
      <c r="M1807" s="15" t="str">
        <f>VLOOKUP(A1807,sinap!$A$2:$R$9000,5,FALSE)</f>
        <v>0 años 3 meses</v>
      </c>
      <c r="N1807" s="15" t="str">
        <f>VLOOKUP(A1807,sinap!$A$2:$R$9000,6,FALSE)</f>
        <v>30-09-2025</v>
      </c>
      <c r="O1807" s="15" t="str">
        <f>VLOOKUP(A1807,sinap!$A$2:$R$9000,7,FALSE)</f>
        <v>Vivo</v>
      </c>
      <c r="P1807" s="15" t="str">
        <f>VLOOKUP(A1807,sinap!$A$2:$R$9000,8,FALSE)</f>
        <v>11.1.01.0791</v>
      </c>
      <c r="Q1807" s="15" t="str">
        <f>VLOOKUP(A1807,sinap!$A$2:$R$9000,12,FALSE)</f>
        <v>11.1.01.0893</v>
      </c>
      <c r="R1807" s="15" t="str">
        <f>VLOOKUP(A1807,sinap!$A$2:$R$9000,16,FALSE)</f>
        <v>11.1.01.0893</v>
      </c>
      <c r="S1807" s="15" t="str">
        <f>VLOOKUP(A1807,sinap!$A$2:$Y$9000,20,FALSE)</f>
        <v>SI</v>
      </c>
      <c r="T1807" s="16">
        <v>45984</v>
      </c>
    </row>
    <row r="1808" spans="1:20" hidden="1" x14ac:dyDescent="0.25">
      <c r="A1808" s="15">
        <v>26234202</v>
      </c>
      <c r="J1808" s="15" t="str">
        <f>VLOOKUP(A1808,sinap!$A$2:$R$9000,2,FALSE)</f>
        <v>M</v>
      </c>
      <c r="K1808" s="15" t="str">
        <f>VLOOKUP(A1808,sinap!$A$2:$R$9000,3,FALSE)</f>
        <v>TERNERO</v>
      </c>
      <c r="L1808" s="15" t="str">
        <f>VLOOKUP(A1808,sinap!$A$2:$R$9000,4,FALSE)</f>
        <v>ANGUS NEGRO</v>
      </c>
      <c r="M1808" s="15" t="str">
        <f>VLOOKUP(A1808,sinap!$A$2:$R$9000,5,FALSE)</f>
        <v>0 años 3 meses</v>
      </c>
      <c r="N1808" s="15" t="str">
        <f>VLOOKUP(A1808,sinap!$A$2:$R$9000,6,FALSE)</f>
        <v>30-09-2025</v>
      </c>
      <c r="O1808" s="15" t="str">
        <f>VLOOKUP(A1808,sinap!$A$2:$R$9000,7,FALSE)</f>
        <v>Vivo</v>
      </c>
      <c r="P1808" s="15" t="str">
        <f>VLOOKUP(A1808,sinap!$A$2:$R$9000,8,FALSE)</f>
        <v>11.1.01.0791</v>
      </c>
      <c r="Q1808" s="15" t="str">
        <f>VLOOKUP(A1808,sinap!$A$2:$R$9000,12,FALSE)</f>
        <v>11.1.01.0893</v>
      </c>
      <c r="R1808" s="15" t="str">
        <f>VLOOKUP(A1808,sinap!$A$2:$R$9000,16,FALSE)</f>
        <v>11.1.01.0893</v>
      </c>
      <c r="S1808" s="15" t="str">
        <f>VLOOKUP(A1808,sinap!$A$2:$Y$9000,20,FALSE)</f>
        <v>SI</v>
      </c>
      <c r="T1808" s="16">
        <v>45984</v>
      </c>
    </row>
    <row r="1809" spans="1:20" hidden="1" x14ac:dyDescent="0.25">
      <c r="A1809" s="15">
        <v>26234203</v>
      </c>
      <c r="J1809" s="15" t="str">
        <f>VLOOKUP(A1809,sinap!$A$2:$R$9000,2,FALSE)</f>
        <v>H</v>
      </c>
      <c r="K1809" s="15" t="str">
        <f>VLOOKUP(A1809,sinap!$A$2:$R$9000,3,FALSE)</f>
        <v>TERNERA</v>
      </c>
      <c r="L1809" s="15" t="str">
        <f>VLOOKUP(A1809,sinap!$A$2:$R$9000,4,FALSE)</f>
        <v>ANGUS NEGRO</v>
      </c>
      <c r="M1809" s="15" t="str">
        <f>VLOOKUP(A1809,sinap!$A$2:$R$9000,5,FALSE)</f>
        <v>0 años 3 meses</v>
      </c>
      <c r="N1809" s="15" t="str">
        <f>VLOOKUP(A1809,sinap!$A$2:$R$9000,6,FALSE)</f>
        <v>30-09-2025</v>
      </c>
      <c r="O1809" s="15" t="str">
        <f>VLOOKUP(A1809,sinap!$A$2:$R$9000,7,FALSE)</f>
        <v>Vivo</v>
      </c>
      <c r="P1809" s="15" t="str">
        <f>VLOOKUP(A1809,sinap!$A$2:$R$9000,8,FALSE)</f>
        <v>11.1.01.0791</v>
      </c>
      <c r="Q1809" s="15" t="str">
        <f>VLOOKUP(A1809,sinap!$A$2:$R$9000,12,FALSE)</f>
        <v>11.1.01.0893</v>
      </c>
      <c r="R1809" s="15" t="str">
        <f>VLOOKUP(A1809,sinap!$A$2:$R$9000,16,FALSE)</f>
        <v>11.1.01.0893</v>
      </c>
      <c r="S1809" s="15" t="str">
        <f>VLOOKUP(A1809,sinap!$A$2:$Y$9000,20,FALSE)</f>
        <v>SI</v>
      </c>
      <c r="T1809" s="16">
        <v>45984</v>
      </c>
    </row>
    <row r="1810" spans="1:20" hidden="1" x14ac:dyDescent="0.25">
      <c r="A1810" s="15">
        <v>26234204</v>
      </c>
      <c r="J1810" s="15" t="str">
        <f>VLOOKUP(A1810,sinap!$A$2:$R$9000,2,FALSE)</f>
        <v>H</v>
      </c>
      <c r="K1810" s="15" t="str">
        <f>VLOOKUP(A1810,sinap!$A$2:$R$9000,3,FALSE)</f>
        <v>TERNERA</v>
      </c>
      <c r="L1810" s="15" t="str">
        <f>VLOOKUP(A1810,sinap!$A$2:$R$9000,4,FALSE)</f>
        <v>ANGUS NEGRO</v>
      </c>
      <c r="M1810" s="15" t="str">
        <f>VLOOKUP(A1810,sinap!$A$2:$R$9000,5,FALSE)</f>
        <v>0 años 3 meses</v>
      </c>
      <c r="N1810" s="15" t="str">
        <f>VLOOKUP(A1810,sinap!$A$2:$R$9000,6,FALSE)</f>
        <v>05-10-2025</v>
      </c>
      <c r="O1810" s="15" t="str">
        <f>VLOOKUP(A1810,sinap!$A$2:$R$9000,7,FALSE)</f>
        <v>Vivo</v>
      </c>
      <c r="P1810" s="15" t="str">
        <f>VLOOKUP(A1810,sinap!$A$2:$R$9000,8,FALSE)</f>
        <v>11.1.01.0791</v>
      </c>
      <c r="Q1810" s="15" t="str">
        <f>VLOOKUP(A1810,sinap!$A$2:$R$9000,12,FALSE)</f>
        <v>11.1.01.0893</v>
      </c>
      <c r="R1810" s="15" t="str">
        <f>VLOOKUP(A1810,sinap!$A$2:$R$9000,16,FALSE)</f>
        <v>11.1.01.0893</v>
      </c>
      <c r="S1810" s="15" t="str">
        <f>VLOOKUP(A1810,sinap!$A$2:$Y$9000,20,FALSE)</f>
        <v>SI</v>
      </c>
      <c r="T1810" s="16">
        <v>45984</v>
      </c>
    </row>
    <row r="1811" spans="1:20" hidden="1" x14ac:dyDescent="0.25">
      <c r="A1811" s="15">
        <v>26234205</v>
      </c>
      <c r="J1811" s="15" t="str">
        <f>VLOOKUP(A1811,sinap!$A$2:$R$9000,2,FALSE)</f>
        <v>H</v>
      </c>
      <c r="K1811" s="15" t="str">
        <f>VLOOKUP(A1811,sinap!$A$2:$R$9000,3,FALSE)</f>
        <v>TERNERA</v>
      </c>
      <c r="L1811" s="15" t="str">
        <f>VLOOKUP(A1811,sinap!$A$2:$R$9000,4,FALSE)</f>
        <v>ANGUS NEGRO</v>
      </c>
      <c r="M1811" s="15" t="str">
        <f>VLOOKUP(A1811,sinap!$A$2:$R$9000,5,FALSE)</f>
        <v>0 años 3 meses</v>
      </c>
      <c r="N1811" s="15" t="str">
        <f>VLOOKUP(A1811,sinap!$A$2:$R$9000,6,FALSE)</f>
        <v>05-10-2025</v>
      </c>
      <c r="O1811" s="15" t="str">
        <f>VLOOKUP(A1811,sinap!$A$2:$R$9000,7,FALSE)</f>
        <v>Vivo</v>
      </c>
      <c r="P1811" s="15" t="str">
        <f>VLOOKUP(A1811,sinap!$A$2:$R$9000,8,FALSE)</f>
        <v>11.1.01.0791</v>
      </c>
      <c r="Q1811" s="15" t="str">
        <f>VLOOKUP(A1811,sinap!$A$2:$R$9000,12,FALSE)</f>
        <v>11.1.01.0893</v>
      </c>
      <c r="R1811" s="15" t="str">
        <f>VLOOKUP(A1811,sinap!$A$2:$R$9000,16,FALSE)</f>
        <v>11.1.01.0893</v>
      </c>
      <c r="S1811" s="15" t="str">
        <f>VLOOKUP(A1811,sinap!$A$2:$Y$9000,20,FALSE)</f>
        <v>SI</v>
      </c>
      <c r="T1811" s="16">
        <v>45984</v>
      </c>
    </row>
    <row r="1812" spans="1:20" hidden="1" x14ac:dyDescent="0.25">
      <c r="A1812" s="15">
        <v>26234206</v>
      </c>
      <c r="J1812" s="15" t="str">
        <f>VLOOKUP(A1812,sinap!$A$2:$R$9000,2,FALSE)</f>
        <v>H</v>
      </c>
      <c r="K1812" s="15" t="str">
        <f>VLOOKUP(A1812,sinap!$A$2:$R$9000,3,FALSE)</f>
        <v>TERNERA</v>
      </c>
      <c r="L1812" s="15" t="str">
        <f>VLOOKUP(A1812,sinap!$A$2:$R$9000,4,FALSE)</f>
        <v>ANGUS NEGRO</v>
      </c>
      <c r="M1812" s="15" t="str">
        <f>VLOOKUP(A1812,sinap!$A$2:$R$9000,5,FALSE)</f>
        <v>0 años 3 meses</v>
      </c>
      <c r="N1812" s="15" t="str">
        <f>VLOOKUP(A1812,sinap!$A$2:$R$9000,6,FALSE)</f>
        <v>05-10-2025</v>
      </c>
      <c r="O1812" s="15" t="str">
        <f>VLOOKUP(A1812,sinap!$A$2:$R$9000,7,FALSE)</f>
        <v>Vivo</v>
      </c>
      <c r="P1812" s="15" t="str">
        <f>VLOOKUP(A1812,sinap!$A$2:$R$9000,8,FALSE)</f>
        <v>11.1.01.0791</v>
      </c>
      <c r="Q1812" s="15" t="str">
        <f>VLOOKUP(A1812,sinap!$A$2:$R$9000,12,FALSE)</f>
        <v>11.1.01.0893</v>
      </c>
      <c r="R1812" s="15" t="str">
        <f>VLOOKUP(A1812,sinap!$A$2:$R$9000,16,FALSE)</f>
        <v>11.1.01.0893</v>
      </c>
      <c r="S1812" s="15" t="str">
        <f>VLOOKUP(A1812,sinap!$A$2:$Y$9000,20,FALSE)</f>
        <v>SI</v>
      </c>
      <c r="T1812" s="16">
        <v>45984</v>
      </c>
    </row>
    <row r="1813" spans="1:20" hidden="1" x14ac:dyDescent="0.25">
      <c r="A1813" s="15">
        <v>26234207</v>
      </c>
      <c r="J1813" s="15" t="str">
        <f>VLOOKUP(A1813,sinap!$A$2:$R$9000,2,FALSE)</f>
        <v>M</v>
      </c>
      <c r="K1813" s="15" t="str">
        <f>VLOOKUP(A1813,sinap!$A$2:$R$9000,3,FALSE)</f>
        <v>TERNERO</v>
      </c>
      <c r="L1813" s="15" t="str">
        <f>VLOOKUP(A1813,sinap!$A$2:$R$9000,4,FALSE)</f>
        <v>ANGUS NEGRO</v>
      </c>
      <c r="M1813" s="15" t="str">
        <f>VLOOKUP(A1813,sinap!$A$2:$R$9000,5,FALSE)</f>
        <v>0 años 3 meses</v>
      </c>
      <c r="N1813" s="15" t="str">
        <f>VLOOKUP(A1813,sinap!$A$2:$R$9000,6,FALSE)</f>
        <v>05-10-2025</v>
      </c>
      <c r="O1813" s="15" t="str">
        <f>VLOOKUP(A1813,sinap!$A$2:$R$9000,7,FALSE)</f>
        <v>Vivo</v>
      </c>
      <c r="P1813" s="15" t="str">
        <f>VLOOKUP(A1813,sinap!$A$2:$R$9000,8,FALSE)</f>
        <v>11.1.01.0791</v>
      </c>
      <c r="Q1813" s="15" t="str">
        <f>VLOOKUP(A1813,sinap!$A$2:$R$9000,12,FALSE)</f>
        <v>11.1.01.0893</v>
      </c>
      <c r="R1813" s="15" t="str">
        <f>VLOOKUP(A1813,sinap!$A$2:$R$9000,16,FALSE)</f>
        <v>11.1.01.0893</v>
      </c>
      <c r="S1813" s="15" t="str">
        <f>VLOOKUP(A1813,sinap!$A$2:$Y$9000,20,FALSE)</f>
        <v>SI</v>
      </c>
      <c r="T1813" s="16">
        <v>45984</v>
      </c>
    </row>
    <row r="1814" spans="1:20" hidden="1" x14ac:dyDescent="0.25">
      <c r="A1814" s="15">
        <v>26234208</v>
      </c>
      <c r="J1814" s="15" t="str">
        <f>VLOOKUP(A1814,sinap!$A$2:$R$9000,2,FALSE)</f>
        <v>M</v>
      </c>
      <c r="K1814" s="15" t="str">
        <f>VLOOKUP(A1814,sinap!$A$2:$R$9000,3,FALSE)</f>
        <v>TERNERO</v>
      </c>
      <c r="L1814" s="15" t="str">
        <f>VLOOKUP(A1814,sinap!$A$2:$R$9000,4,FALSE)</f>
        <v>ANGUS NEGRO</v>
      </c>
      <c r="M1814" s="15" t="str">
        <f>VLOOKUP(A1814,sinap!$A$2:$R$9000,5,FALSE)</f>
        <v>0 años 3 meses</v>
      </c>
      <c r="N1814" s="15" t="str">
        <f>VLOOKUP(A1814,sinap!$A$2:$R$9000,6,FALSE)</f>
        <v>05-10-2025</v>
      </c>
      <c r="O1814" s="15" t="str">
        <f>VLOOKUP(A1814,sinap!$A$2:$R$9000,7,FALSE)</f>
        <v>Vivo</v>
      </c>
      <c r="P1814" s="15" t="str">
        <f>VLOOKUP(A1814,sinap!$A$2:$R$9000,8,FALSE)</f>
        <v>11.1.01.0791</v>
      </c>
      <c r="Q1814" s="15" t="str">
        <f>VLOOKUP(A1814,sinap!$A$2:$R$9000,12,FALSE)</f>
        <v>11.1.01.0893</v>
      </c>
      <c r="R1814" s="15" t="str">
        <f>VLOOKUP(A1814,sinap!$A$2:$R$9000,16,FALSE)</f>
        <v>11.1.01.0893</v>
      </c>
      <c r="S1814" s="15" t="str">
        <f>VLOOKUP(A1814,sinap!$A$2:$Y$9000,20,FALSE)</f>
        <v>SI</v>
      </c>
      <c r="T1814" s="16">
        <v>45984</v>
      </c>
    </row>
    <row r="1815" spans="1:20" hidden="1" x14ac:dyDescent="0.25">
      <c r="A1815" s="15">
        <v>26234209</v>
      </c>
      <c r="J1815" s="15" t="str">
        <f>VLOOKUP(A1815,sinap!$A$2:$R$9000,2,FALSE)</f>
        <v>H</v>
      </c>
      <c r="K1815" s="15" t="str">
        <f>VLOOKUP(A1815,sinap!$A$2:$R$9000,3,FALSE)</f>
        <v>TERNERA</v>
      </c>
      <c r="L1815" s="15" t="str">
        <f>VLOOKUP(A1815,sinap!$A$2:$R$9000,4,FALSE)</f>
        <v>ANGUS NEGRO</v>
      </c>
      <c r="M1815" s="15" t="str">
        <f>VLOOKUP(A1815,sinap!$A$2:$R$9000,5,FALSE)</f>
        <v>0 años 3 meses</v>
      </c>
      <c r="N1815" s="15" t="str">
        <f>VLOOKUP(A1815,sinap!$A$2:$R$9000,6,FALSE)</f>
        <v>05-10-2025</v>
      </c>
      <c r="O1815" s="15" t="str">
        <f>VLOOKUP(A1815,sinap!$A$2:$R$9000,7,FALSE)</f>
        <v>Vivo</v>
      </c>
      <c r="P1815" s="15" t="str">
        <f>VLOOKUP(A1815,sinap!$A$2:$R$9000,8,FALSE)</f>
        <v>11.1.01.0791</v>
      </c>
      <c r="Q1815" s="15" t="str">
        <f>VLOOKUP(A1815,sinap!$A$2:$R$9000,12,FALSE)</f>
        <v>11.1.01.0893</v>
      </c>
      <c r="R1815" s="15" t="str">
        <f>VLOOKUP(A1815,sinap!$A$2:$R$9000,16,FALSE)</f>
        <v>11.1.01.0893</v>
      </c>
      <c r="S1815" s="15" t="str">
        <f>VLOOKUP(A1815,sinap!$A$2:$Y$9000,20,FALSE)</f>
        <v>SI</v>
      </c>
      <c r="T1815" s="16">
        <v>45984</v>
      </c>
    </row>
    <row r="1816" spans="1:20" hidden="1" x14ac:dyDescent="0.25">
      <c r="A1816" s="15">
        <v>26234210</v>
      </c>
      <c r="J1816" s="15" t="str">
        <f>VLOOKUP(A1816,sinap!$A$2:$R$9000,2,FALSE)</f>
        <v>M</v>
      </c>
      <c r="K1816" s="15" t="str">
        <f>VLOOKUP(A1816,sinap!$A$2:$R$9000,3,FALSE)</f>
        <v>TERNERO</v>
      </c>
      <c r="L1816" s="15" t="str">
        <f>VLOOKUP(A1816,sinap!$A$2:$R$9000,4,FALSE)</f>
        <v>ANGUS ROJO</v>
      </c>
      <c r="M1816" s="15" t="str">
        <f>VLOOKUP(A1816,sinap!$A$2:$R$9000,5,FALSE)</f>
        <v>0 años 3 meses</v>
      </c>
      <c r="N1816" s="15" t="str">
        <f>VLOOKUP(A1816,sinap!$A$2:$R$9000,6,FALSE)</f>
        <v>30-09-2025</v>
      </c>
      <c r="O1816" s="15" t="str">
        <f>VLOOKUP(A1816,sinap!$A$2:$R$9000,7,FALSE)</f>
        <v>Vivo</v>
      </c>
      <c r="P1816" s="15" t="str">
        <f>VLOOKUP(A1816,sinap!$A$2:$R$9000,8,FALSE)</f>
        <v>11.1.01.0791</v>
      </c>
      <c r="Q1816" s="15" t="str">
        <f>VLOOKUP(A1816,sinap!$A$2:$R$9000,12,FALSE)</f>
        <v>11.1.01.0893</v>
      </c>
      <c r="R1816" s="15" t="str">
        <f>VLOOKUP(A1816,sinap!$A$2:$R$9000,16,FALSE)</f>
        <v>11.1.01.0893</v>
      </c>
      <c r="S1816" s="15" t="str">
        <f>VLOOKUP(A1816,sinap!$A$2:$Y$9000,20,FALSE)</f>
        <v>SI</v>
      </c>
      <c r="T1816" s="16">
        <v>45984</v>
      </c>
    </row>
    <row r="1817" spans="1:20" hidden="1" x14ac:dyDescent="0.25">
      <c r="A1817" s="15">
        <v>26234211</v>
      </c>
      <c r="J1817" s="15" t="str">
        <f>VLOOKUP(A1817,sinap!$A$2:$R$9000,2,FALSE)</f>
        <v>M</v>
      </c>
      <c r="K1817" s="15" t="str">
        <f>VLOOKUP(A1817,sinap!$A$2:$R$9000,3,FALSE)</f>
        <v>TERNERO</v>
      </c>
      <c r="L1817" s="15" t="str">
        <f>VLOOKUP(A1817,sinap!$A$2:$R$9000,4,FALSE)</f>
        <v>ANGUS NEGRO</v>
      </c>
      <c r="M1817" s="15" t="str">
        <f>VLOOKUP(A1817,sinap!$A$2:$R$9000,5,FALSE)</f>
        <v>0 años 3 meses</v>
      </c>
      <c r="N1817" s="15" t="str">
        <f>VLOOKUP(A1817,sinap!$A$2:$R$9000,6,FALSE)</f>
        <v>30-09-2025</v>
      </c>
      <c r="O1817" s="15" t="str">
        <f>VLOOKUP(A1817,sinap!$A$2:$R$9000,7,FALSE)</f>
        <v>Vivo</v>
      </c>
      <c r="P1817" s="15" t="str">
        <f>VLOOKUP(A1817,sinap!$A$2:$R$9000,8,FALSE)</f>
        <v>11.1.01.0791</v>
      </c>
      <c r="Q1817" s="15" t="str">
        <f>VLOOKUP(A1817,sinap!$A$2:$R$9000,12,FALSE)</f>
        <v>11.1.01.0893</v>
      </c>
      <c r="R1817" s="15" t="str">
        <f>VLOOKUP(A1817,sinap!$A$2:$R$9000,16,FALSE)</f>
        <v>11.1.01.0893</v>
      </c>
      <c r="S1817" s="15" t="str">
        <f>VLOOKUP(A1817,sinap!$A$2:$Y$9000,20,FALSE)</f>
        <v>SI</v>
      </c>
      <c r="T1817" s="16">
        <v>45984</v>
      </c>
    </row>
    <row r="1818" spans="1:20" hidden="1" x14ac:dyDescent="0.25">
      <c r="A1818" s="15">
        <v>26234212</v>
      </c>
      <c r="J1818" s="15" t="str">
        <f>VLOOKUP(A1818,sinap!$A$2:$R$9000,2,FALSE)</f>
        <v>H</v>
      </c>
      <c r="K1818" s="15" t="str">
        <f>VLOOKUP(A1818,sinap!$A$2:$R$9000,3,FALSE)</f>
        <v>TERNERA</v>
      </c>
      <c r="L1818" s="15" t="str">
        <f>VLOOKUP(A1818,sinap!$A$2:$R$9000,4,FALSE)</f>
        <v>ANGUS NEGRO</v>
      </c>
      <c r="M1818" s="15" t="str">
        <f>VLOOKUP(A1818,sinap!$A$2:$R$9000,5,FALSE)</f>
        <v>0 años 3 meses</v>
      </c>
      <c r="N1818" s="15" t="str">
        <f>VLOOKUP(A1818,sinap!$A$2:$R$9000,6,FALSE)</f>
        <v>30-09-2025</v>
      </c>
      <c r="O1818" s="15" t="str">
        <f>VLOOKUP(A1818,sinap!$A$2:$R$9000,7,FALSE)</f>
        <v>Vivo</v>
      </c>
      <c r="P1818" s="15" t="str">
        <f>VLOOKUP(A1818,sinap!$A$2:$R$9000,8,FALSE)</f>
        <v>11.1.01.0791</v>
      </c>
      <c r="Q1818" s="15" t="str">
        <f>VLOOKUP(A1818,sinap!$A$2:$R$9000,12,FALSE)</f>
        <v>11.1.01.0893</v>
      </c>
      <c r="R1818" s="15" t="str">
        <f>VLOOKUP(A1818,sinap!$A$2:$R$9000,16,FALSE)</f>
        <v>11.1.01.0893</v>
      </c>
      <c r="S1818" s="15" t="str">
        <f>VLOOKUP(A1818,sinap!$A$2:$Y$9000,20,FALSE)</f>
        <v>SI</v>
      </c>
      <c r="T1818" s="16">
        <v>45984</v>
      </c>
    </row>
    <row r="1819" spans="1:20" hidden="1" x14ac:dyDescent="0.25">
      <c r="A1819" s="15">
        <v>26234213</v>
      </c>
      <c r="J1819" s="15" t="str">
        <f>VLOOKUP(A1819,sinap!$A$2:$R$9000,2,FALSE)</f>
        <v>H</v>
      </c>
      <c r="K1819" s="15" t="str">
        <f>VLOOKUP(A1819,sinap!$A$2:$R$9000,3,FALSE)</f>
        <v>TERNERA</v>
      </c>
      <c r="L1819" s="15" t="str">
        <f>VLOOKUP(A1819,sinap!$A$2:$R$9000,4,FALSE)</f>
        <v>ANGUS NEGRO</v>
      </c>
      <c r="M1819" s="15" t="str">
        <f>VLOOKUP(A1819,sinap!$A$2:$R$9000,5,FALSE)</f>
        <v>0 años 3 meses</v>
      </c>
      <c r="N1819" s="15" t="str">
        <f>VLOOKUP(A1819,sinap!$A$2:$R$9000,6,FALSE)</f>
        <v>05-10-2025</v>
      </c>
      <c r="O1819" s="15" t="str">
        <f>VLOOKUP(A1819,sinap!$A$2:$R$9000,7,FALSE)</f>
        <v>Vivo</v>
      </c>
      <c r="P1819" s="15" t="str">
        <f>VLOOKUP(A1819,sinap!$A$2:$R$9000,8,FALSE)</f>
        <v>11.1.01.0791</v>
      </c>
      <c r="Q1819" s="15" t="str">
        <f>VLOOKUP(A1819,sinap!$A$2:$R$9000,12,FALSE)</f>
        <v>11.1.01.0893</v>
      </c>
      <c r="R1819" s="15" t="str">
        <f>VLOOKUP(A1819,sinap!$A$2:$R$9000,16,FALSE)</f>
        <v>11.1.01.0893</v>
      </c>
      <c r="S1819" s="15" t="str">
        <f>VLOOKUP(A1819,sinap!$A$2:$Y$9000,20,FALSE)</f>
        <v>SI</v>
      </c>
      <c r="T1819" s="16">
        <v>45984</v>
      </c>
    </row>
    <row r="1820" spans="1:20" hidden="1" x14ac:dyDescent="0.25">
      <c r="A1820" s="15">
        <v>26234214</v>
      </c>
      <c r="J1820" s="15" t="str">
        <f>VLOOKUP(A1820,sinap!$A$2:$R$9000,2,FALSE)</f>
        <v>M</v>
      </c>
      <c r="K1820" s="15" t="str">
        <f>VLOOKUP(A1820,sinap!$A$2:$R$9000,3,FALSE)</f>
        <v>TERNERO</v>
      </c>
      <c r="L1820" s="15" t="str">
        <f>VLOOKUP(A1820,sinap!$A$2:$R$9000,4,FALSE)</f>
        <v>ANGUS ROJO</v>
      </c>
      <c r="M1820" s="15" t="str">
        <f>VLOOKUP(A1820,sinap!$A$2:$R$9000,5,FALSE)</f>
        <v>0 años 3 meses</v>
      </c>
      <c r="N1820" s="15" t="str">
        <f>VLOOKUP(A1820,sinap!$A$2:$R$9000,6,FALSE)</f>
        <v>05-10-2025</v>
      </c>
      <c r="O1820" s="15" t="str">
        <f>VLOOKUP(A1820,sinap!$A$2:$R$9000,7,FALSE)</f>
        <v>Vivo</v>
      </c>
      <c r="P1820" s="15" t="str">
        <f>VLOOKUP(A1820,sinap!$A$2:$R$9000,8,FALSE)</f>
        <v>11.1.01.0791</v>
      </c>
      <c r="Q1820" s="15" t="str">
        <f>VLOOKUP(A1820,sinap!$A$2:$R$9000,12,FALSE)</f>
        <v>11.1.01.0893</v>
      </c>
      <c r="R1820" s="15" t="str">
        <f>VLOOKUP(A1820,sinap!$A$2:$R$9000,16,FALSE)</f>
        <v>11.1.01.0893</v>
      </c>
      <c r="S1820" s="15" t="str">
        <f>VLOOKUP(A1820,sinap!$A$2:$Y$9000,20,FALSE)</f>
        <v>SI</v>
      </c>
      <c r="T1820" s="16">
        <v>45984</v>
      </c>
    </row>
    <row r="1821" spans="1:20" hidden="1" x14ac:dyDescent="0.25">
      <c r="A1821" s="15">
        <v>26234215</v>
      </c>
      <c r="J1821" s="15" t="str">
        <f>VLOOKUP(A1821,sinap!$A$2:$R$9000,2,FALSE)</f>
        <v>M</v>
      </c>
      <c r="K1821" s="15" t="str">
        <f>VLOOKUP(A1821,sinap!$A$2:$R$9000,3,FALSE)</f>
        <v>TERNERO</v>
      </c>
      <c r="L1821" s="15" t="str">
        <f>VLOOKUP(A1821,sinap!$A$2:$R$9000,4,FALSE)</f>
        <v>ANGUS NEGRO</v>
      </c>
      <c r="M1821" s="15" t="str">
        <f>VLOOKUP(A1821,sinap!$A$2:$R$9000,5,FALSE)</f>
        <v>0 años 3 meses</v>
      </c>
      <c r="N1821" s="15" t="str">
        <f>VLOOKUP(A1821,sinap!$A$2:$R$9000,6,FALSE)</f>
        <v>05-10-2025</v>
      </c>
      <c r="O1821" s="15" t="str">
        <f>VLOOKUP(A1821,sinap!$A$2:$R$9000,7,FALSE)</f>
        <v>Vivo</v>
      </c>
      <c r="P1821" s="15" t="str">
        <f>VLOOKUP(A1821,sinap!$A$2:$R$9000,8,FALSE)</f>
        <v>11.1.01.1241</v>
      </c>
      <c r="Q1821" s="15" t="str">
        <f>VLOOKUP(A1821,sinap!$A$2:$R$9000,12,FALSE)</f>
        <v>Sin Movimiento</v>
      </c>
      <c r="R1821" s="15" t="str">
        <f>VLOOKUP(A1821,sinap!$A$2:$R$9000,16,FALSE)</f>
        <v>11.1.01.1241</v>
      </c>
      <c r="S1821" s="15" t="str">
        <f>VLOOKUP(A1821,sinap!$A$2:$Y$9000,20,FALSE)</f>
        <v>SI</v>
      </c>
      <c r="T1821" s="16">
        <v>45988</v>
      </c>
    </row>
    <row r="1822" spans="1:20" hidden="1" x14ac:dyDescent="0.25">
      <c r="A1822" s="15">
        <v>26234216</v>
      </c>
      <c r="J1822" s="15" t="str">
        <f>VLOOKUP(A1822,sinap!$A$2:$R$9000,2,FALSE)</f>
        <v>M</v>
      </c>
      <c r="K1822" s="15" t="str">
        <f>VLOOKUP(A1822,sinap!$A$2:$R$9000,3,FALSE)</f>
        <v>TERNERO</v>
      </c>
      <c r="L1822" s="15" t="str">
        <f>VLOOKUP(A1822,sinap!$A$2:$R$9000,4,FALSE)</f>
        <v>ANGUS NEGRO</v>
      </c>
      <c r="M1822" s="15" t="str">
        <f>VLOOKUP(A1822,sinap!$A$2:$R$9000,5,FALSE)</f>
        <v>0 años 3 meses</v>
      </c>
      <c r="N1822" s="15" t="str">
        <f>VLOOKUP(A1822,sinap!$A$2:$R$9000,6,FALSE)</f>
        <v>05-10-2025</v>
      </c>
      <c r="O1822" s="15" t="str">
        <f>VLOOKUP(A1822,sinap!$A$2:$R$9000,7,FALSE)</f>
        <v>Vivo</v>
      </c>
      <c r="P1822" s="15" t="str">
        <f>VLOOKUP(A1822,sinap!$A$2:$R$9000,8,FALSE)</f>
        <v>11.1.01.1241</v>
      </c>
      <c r="Q1822" s="15" t="str">
        <f>VLOOKUP(A1822,sinap!$A$2:$R$9000,12,FALSE)</f>
        <v>Sin Movimiento</v>
      </c>
      <c r="R1822" s="15" t="str">
        <f>VLOOKUP(A1822,sinap!$A$2:$R$9000,16,FALSE)</f>
        <v>11.1.01.1241</v>
      </c>
      <c r="S1822" s="15" t="str">
        <f>VLOOKUP(A1822,sinap!$A$2:$Y$9000,20,FALSE)</f>
        <v>SI</v>
      </c>
      <c r="T1822" s="16">
        <v>45988</v>
      </c>
    </row>
    <row r="1823" spans="1:20" hidden="1" x14ac:dyDescent="0.25">
      <c r="A1823" s="15">
        <v>26234217</v>
      </c>
      <c r="J1823" s="15" t="str">
        <f>VLOOKUP(A1823,sinap!$A$2:$R$9000,2,FALSE)</f>
        <v>H</v>
      </c>
      <c r="K1823" s="15" t="str">
        <f>VLOOKUP(A1823,sinap!$A$2:$R$9000,3,FALSE)</f>
        <v>TERNERA</v>
      </c>
      <c r="L1823" s="15" t="str">
        <f>VLOOKUP(A1823,sinap!$A$2:$R$9000,4,FALSE)</f>
        <v>HEREFORD</v>
      </c>
      <c r="M1823" s="15" t="str">
        <f>VLOOKUP(A1823,sinap!$A$2:$R$9000,5,FALSE)</f>
        <v>0 años 3 meses</v>
      </c>
      <c r="N1823" s="15" t="str">
        <f>VLOOKUP(A1823,sinap!$A$2:$R$9000,6,FALSE)</f>
        <v>05-10-2025</v>
      </c>
      <c r="O1823" s="15" t="str">
        <f>VLOOKUP(A1823,sinap!$A$2:$R$9000,7,FALSE)</f>
        <v>Vivo</v>
      </c>
      <c r="P1823" s="15" t="str">
        <f>VLOOKUP(A1823,sinap!$A$2:$R$9000,8,FALSE)</f>
        <v>11.1.01.0941</v>
      </c>
      <c r="Q1823" s="15" t="str">
        <f>VLOOKUP(A1823,sinap!$A$2:$R$9000,12,FALSE)</f>
        <v>11.1.01.1241</v>
      </c>
      <c r="R1823" s="15" t="str">
        <f>VLOOKUP(A1823,sinap!$A$2:$R$9000,16,FALSE)</f>
        <v>11.1.01.1241</v>
      </c>
      <c r="S1823" s="15" t="str">
        <f>VLOOKUP(A1823,sinap!$A$2:$Y$9000,20,FALSE)</f>
        <v>SI</v>
      </c>
      <c r="T1823" s="16">
        <v>45988</v>
      </c>
    </row>
    <row r="1824" spans="1:20" hidden="1" x14ac:dyDescent="0.25">
      <c r="A1824" s="15">
        <v>26234218</v>
      </c>
      <c r="J1824" s="15" t="str">
        <f>VLOOKUP(A1824,sinap!$A$2:$R$9000,2,FALSE)</f>
        <v>H</v>
      </c>
      <c r="K1824" s="15" t="str">
        <f>VLOOKUP(A1824,sinap!$A$2:$R$9000,3,FALSE)</f>
        <v>TERNERA</v>
      </c>
      <c r="L1824" s="15" t="str">
        <f>VLOOKUP(A1824,sinap!$A$2:$R$9000,4,FALSE)</f>
        <v>ANGUS NEGRO</v>
      </c>
      <c r="M1824" s="15" t="str">
        <f>VLOOKUP(A1824,sinap!$A$2:$R$9000,5,FALSE)</f>
        <v>0 años 3 meses</v>
      </c>
      <c r="N1824" s="15" t="str">
        <f>VLOOKUP(A1824,sinap!$A$2:$R$9000,6,FALSE)</f>
        <v>05-10-2025</v>
      </c>
      <c r="O1824" s="15" t="str">
        <f>VLOOKUP(A1824,sinap!$A$2:$R$9000,7,FALSE)</f>
        <v>Vivo</v>
      </c>
      <c r="P1824" s="15" t="str">
        <f>VLOOKUP(A1824,sinap!$A$2:$R$9000,8,FALSE)</f>
        <v>11.1.01.0941</v>
      </c>
      <c r="Q1824" s="15" t="str">
        <f>VLOOKUP(A1824,sinap!$A$2:$R$9000,12,FALSE)</f>
        <v>11.1.01.1241</v>
      </c>
      <c r="R1824" s="15" t="str">
        <f>VLOOKUP(A1824,sinap!$A$2:$R$9000,16,FALSE)</f>
        <v>11.1.01.1241</v>
      </c>
      <c r="S1824" s="15" t="str">
        <f>VLOOKUP(A1824,sinap!$A$2:$Y$9000,20,FALSE)</f>
        <v>SI</v>
      </c>
      <c r="T1824" s="16">
        <v>45988</v>
      </c>
    </row>
    <row r="1825" spans="1:20" hidden="1" x14ac:dyDescent="0.25">
      <c r="A1825" s="15">
        <v>26234219</v>
      </c>
      <c r="J1825" s="15" t="str">
        <f>VLOOKUP(A1825,sinap!$A$2:$R$9000,2,FALSE)</f>
        <v>H</v>
      </c>
      <c r="K1825" s="15" t="str">
        <f>VLOOKUP(A1825,sinap!$A$2:$R$9000,3,FALSE)</f>
        <v>TERNERA</v>
      </c>
      <c r="L1825" s="15" t="str">
        <f>VLOOKUP(A1825,sinap!$A$2:$R$9000,4,FALSE)</f>
        <v>ANGUS NEGRO</v>
      </c>
      <c r="M1825" s="15" t="str">
        <f>VLOOKUP(A1825,sinap!$A$2:$R$9000,5,FALSE)</f>
        <v>0 años 3 meses</v>
      </c>
      <c r="N1825" s="15" t="str">
        <f>VLOOKUP(A1825,sinap!$A$2:$R$9000,6,FALSE)</f>
        <v>05-10-2025</v>
      </c>
      <c r="O1825" s="15" t="str">
        <f>VLOOKUP(A1825,sinap!$A$2:$R$9000,7,FALSE)</f>
        <v>Vivo</v>
      </c>
      <c r="P1825" s="15" t="str">
        <f>VLOOKUP(A1825,sinap!$A$2:$R$9000,8,FALSE)</f>
        <v>11.1.01.0941</v>
      </c>
      <c r="Q1825" s="15" t="str">
        <f>VLOOKUP(A1825,sinap!$A$2:$R$9000,12,FALSE)</f>
        <v>11.1.01.1241</v>
      </c>
      <c r="R1825" s="15" t="str">
        <f>VLOOKUP(A1825,sinap!$A$2:$R$9000,16,FALSE)</f>
        <v>11.1.01.1241</v>
      </c>
      <c r="S1825" s="15" t="str">
        <f>VLOOKUP(A1825,sinap!$A$2:$Y$9000,20,FALSE)</f>
        <v>SI</v>
      </c>
      <c r="T1825" s="16">
        <v>45988</v>
      </c>
    </row>
    <row r="1826" spans="1:20" hidden="1" x14ac:dyDescent="0.25">
      <c r="A1826" s="15">
        <v>26234220</v>
      </c>
      <c r="J1826" s="15" t="str">
        <f>VLOOKUP(A1826,sinap!$A$2:$R$9000,2,FALSE)</f>
        <v>M</v>
      </c>
      <c r="K1826" s="15" t="str">
        <f>VLOOKUP(A1826,sinap!$A$2:$R$9000,3,FALSE)</f>
        <v>TERNERO</v>
      </c>
      <c r="L1826" s="15" t="str">
        <f>VLOOKUP(A1826,sinap!$A$2:$R$9000,4,FALSE)</f>
        <v>ANGUS ROJO</v>
      </c>
      <c r="M1826" s="15" t="str">
        <f>VLOOKUP(A1826,sinap!$A$2:$R$9000,5,FALSE)</f>
        <v>0 años 3 meses</v>
      </c>
      <c r="N1826" s="15" t="str">
        <f>VLOOKUP(A1826,sinap!$A$2:$R$9000,6,FALSE)</f>
        <v>05-10-2025</v>
      </c>
      <c r="O1826" s="15" t="str">
        <f>VLOOKUP(A1826,sinap!$A$2:$R$9000,7,FALSE)</f>
        <v>Vivo</v>
      </c>
      <c r="P1826" s="15" t="str">
        <f>VLOOKUP(A1826,sinap!$A$2:$R$9000,8,FALSE)</f>
        <v>11.1.01.1241</v>
      </c>
      <c r="Q1826" s="15" t="str">
        <f>VLOOKUP(A1826,sinap!$A$2:$R$9000,12,FALSE)</f>
        <v>Sin Movimiento</v>
      </c>
      <c r="R1826" s="15" t="str">
        <f>VLOOKUP(A1826,sinap!$A$2:$R$9000,16,FALSE)</f>
        <v>11.1.01.1241</v>
      </c>
      <c r="S1826" s="15" t="str">
        <f>VLOOKUP(A1826,sinap!$A$2:$Y$9000,20,FALSE)</f>
        <v>SI</v>
      </c>
      <c r="T1826" s="16">
        <v>45988</v>
      </c>
    </row>
    <row r="1827" spans="1:20" hidden="1" x14ac:dyDescent="0.25">
      <c r="A1827" s="15">
        <v>26234221</v>
      </c>
      <c r="J1827" s="15" t="str">
        <f>VLOOKUP(A1827,sinap!$A$2:$R$9000,2,FALSE)</f>
        <v>M</v>
      </c>
      <c r="K1827" s="15" t="str">
        <f>VLOOKUP(A1827,sinap!$A$2:$R$9000,3,FALSE)</f>
        <v>TERNERO</v>
      </c>
      <c r="L1827" s="15" t="str">
        <f>VLOOKUP(A1827,sinap!$A$2:$R$9000,4,FALSE)</f>
        <v>ANGUS NEGRO</v>
      </c>
      <c r="M1827" s="15" t="str">
        <f>VLOOKUP(A1827,sinap!$A$2:$R$9000,5,FALSE)</f>
        <v>0 años 3 meses</v>
      </c>
      <c r="N1827" s="15" t="str">
        <f>VLOOKUP(A1827,sinap!$A$2:$R$9000,6,FALSE)</f>
        <v>05-10-2025</v>
      </c>
      <c r="O1827" s="15" t="str">
        <f>VLOOKUP(A1827,sinap!$A$2:$R$9000,7,FALSE)</f>
        <v>Vivo</v>
      </c>
      <c r="P1827" s="15" t="str">
        <f>VLOOKUP(A1827,sinap!$A$2:$R$9000,8,FALSE)</f>
        <v>11.1.01.0941</v>
      </c>
      <c r="Q1827" s="15" t="str">
        <f>VLOOKUP(A1827,sinap!$A$2:$R$9000,12,FALSE)</f>
        <v>11.1.01.1241</v>
      </c>
      <c r="R1827" s="15" t="str">
        <f>VLOOKUP(A1827,sinap!$A$2:$R$9000,16,FALSE)</f>
        <v>11.1.01.1241</v>
      </c>
      <c r="S1827" s="15" t="str">
        <f>VLOOKUP(A1827,sinap!$A$2:$Y$9000,20,FALSE)</f>
        <v>SI</v>
      </c>
      <c r="T1827" s="16">
        <v>45988</v>
      </c>
    </row>
    <row r="1828" spans="1:20" hidden="1" x14ac:dyDescent="0.25">
      <c r="A1828" s="15">
        <v>26234222</v>
      </c>
      <c r="J1828" s="15" t="str">
        <f>VLOOKUP(A1828,sinap!$A$2:$R$9000,2,FALSE)</f>
        <v>M</v>
      </c>
      <c r="K1828" s="15" t="str">
        <f>VLOOKUP(A1828,sinap!$A$2:$R$9000,3,FALSE)</f>
        <v>TERNERO</v>
      </c>
      <c r="L1828" s="15" t="str">
        <f>VLOOKUP(A1828,sinap!$A$2:$R$9000,4,FALSE)</f>
        <v>ANGUS NEGRO</v>
      </c>
      <c r="M1828" s="15" t="str">
        <f>VLOOKUP(A1828,sinap!$A$2:$R$9000,5,FALSE)</f>
        <v>0 años 3 meses</v>
      </c>
      <c r="N1828" s="15" t="str">
        <f>VLOOKUP(A1828,sinap!$A$2:$R$9000,6,FALSE)</f>
        <v>05-10-2025</v>
      </c>
      <c r="O1828" s="15" t="str">
        <f>VLOOKUP(A1828,sinap!$A$2:$R$9000,7,FALSE)</f>
        <v>Vivo</v>
      </c>
      <c r="P1828" s="15" t="str">
        <f>VLOOKUP(A1828,sinap!$A$2:$R$9000,8,FALSE)</f>
        <v>11.1.01.1241</v>
      </c>
      <c r="Q1828" s="15" t="str">
        <f>VLOOKUP(A1828,sinap!$A$2:$R$9000,12,FALSE)</f>
        <v>Sin Movimiento</v>
      </c>
      <c r="R1828" s="15" t="str">
        <f>VLOOKUP(A1828,sinap!$A$2:$R$9000,16,FALSE)</f>
        <v>11.1.01.1241</v>
      </c>
      <c r="S1828" s="15" t="str">
        <f>VLOOKUP(A1828,sinap!$A$2:$Y$9000,20,FALSE)</f>
        <v>SI</v>
      </c>
      <c r="T1828" s="16">
        <v>45988</v>
      </c>
    </row>
    <row r="1829" spans="1:20" hidden="1" x14ac:dyDescent="0.25">
      <c r="A1829" s="15">
        <v>26234223</v>
      </c>
      <c r="J1829" s="15" t="str">
        <f>VLOOKUP(A1829,sinap!$A$2:$R$9000,2,FALSE)</f>
        <v>M</v>
      </c>
      <c r="K1829" s="15" t="str">
        <f>VLOOKUP(A1829,sinap!$A$2:$R$9000,3,FALSE)</f>
        <v>TERNERO</v>
      </c>
      <c r="L1829" s="15" t="str">
        <f>VLOOKUP(A1829,sinap!$A$2:$R$9000,4,FALSE)</f>
        <v>ANGUS ROJO</v>
      </c>
      <c r="M1829" s="15" t="str">
        <f>VLOOKUP(A1829,sinap!$A$2:$R$9000,5,FALSE)</f>
        <v>0 años 3 meses</v>
      </c>
      <c r="N1829" s="15" t="str">
        <f>VLOOKUP(A1829,sinap!$A$2:$R$9000,6,FALSE)</f>
        <v>05-10-2025</v>
      </c>
      <c r="O1829" s="15" t="str">
        <f>VLOOKUP(A1829,sinap!$A$2:$R$9000,7,FALSE)</f>
        <v>Vivo</v>
      </c>
      <c r="P1829" s="15" t="str">
        <f>VLOOKUP(A1829,sinap!$A$2:$R$9000,8,FALSE)</f>
        <v>11.1.01.1241</v>
      </c>
      <c r="Q1829" s="15" t="str">
        <f>VLOOKUP(A1829,sinap!$A$2:$R$9000,12,FALSE)</f>
        <v>Sin Movimiento</v>
      </c>
      <c r="R1829" s="15" t="str">
        <f>VLOOKUP(A1829,sinap!$A$2:$R$9000,16,FALSE)</f>
        <v>11.1.01.1241</v>
      </c>
      <c r="S1829" s="15" t="str">
        <f>VLOOKUP(A1829,sinap!$A$2:$Y$9000,20,FALSE)</f>
        <v>SI</v>
      </c>
      <c r="T1829" s="16">
        <v>45988</v>
      </c>
    </row>
    <row r="1830" spans="1:20" hidden="1" x14ac:dyDescent="0.25">
      <c r="A1830" s="15">
        <v>26234224</v>
      </c>
      <c r="J1830" s="15" t="str">
        <f>VLOOKUP(A1830,sinap!$A$2:$R$9000,2,FALSE)</f>
        <v>H</v>
      </c>
      <c r="K1830" s="15" t="str">
        <f>VLOOKUP(A1830,sinap!$A$2:$R$9000,3,FALSE)</f>
        <v>TERNERA</v>
      </c>
      <c r="L1830" s="15" t="str">
        <f>VLOOKUP(A1830,sinap!$A$2:$R$9000,4,FALSE)</f>
        <v>ANGUS NEGRO</v>
      </c>
      <c r="M1830" s="15" t="str">
        <f>VLOOKUP(A1830,sinap!$A$2:$R$9000,5,FALSE)</f>
        <v>0 años 3 meses</v>
      </c>
      <c r="N1830" s="15" t="str">
        <f>VLOOKUP(A1830,sinap!$A$2:$R$9000,6,FALSE)</f>
        <v>05-10-2025</v>
      </c>
      <c r="O1830" s="15" t="str">
        <f>VLOOKUP(A1830,sinap!$A$2:$R$9000,7,FALSE)</f>
        <v>Vivo</v>
      </c>
      <c r="P1830" s="15" t="str">
        <f>VLOOKUP(A1830,sinap!$A$2:$R$9000,8,FALSE)</f>
        <v>11.1.01.1241</v>
      </c>
      <c r="Q1830" s="15" t="str">
        <f>VLOOKUP(A1830,sinap!$A$2:$R$9000,12,FALSE)</f>
        <v>Sin Movimiento</v>
      </c>
      <c r="R1830" s="15" t="str">
        <f>VLOOKUP(A1830,sinap!$A$2:$R$9000,16,FALSE)</f>
        <v>11.1.01.1241</v>
      </c>
      <c r="S1830" s="15" t="str">
        <f>VLOOKUP(A1830,sinap!$A$2:$Y$9000,20,FALSE)</f>
        <v>SI</v>
      </c>
      <c r="T1830" s="16">
        <v>45988</v>
      </c>
    </row>
    <row r="1831" spans="1:20" hidden="1" x14ac:dyDescent="0.25">
      <c r="A1831" s="15">
        <v>26234225</v>
      </c>
      <c r="J1831" s="15" t="str">
        <f>VLOOKUP(A1831,sinap!$A$2:$R$9000,2,FALSE)</f>
        <v>H</v>
      </c>
      <c r="K1831" s="15" t="str">
        <f>VLOOKUP(A1831,sinap!$A$2:$R$9000,3,FALSE)</f>
        <v>TERNERA</v>
      </c>
      <c r="L1831" s="15" t="str">
        <f>VLOOKUP(A1831,sinap!$A$2:$R$9000,4,FALSE)</f>
        <v>ANGUS NEGRO</v>
      </c>
      <c r="M1831" s="15" t="str">
        <f>VLOOKUP(A1831,sinap!$A$2:$R$9000,5,FALSE)</f>
        <v>0 años 3 meses</v>
      </c>
      <c r="N1831" s="15" t="str">
        <f>VLOOKUP(A1831,sinap!$A$2:$R$9000,6,FALSE)</f>
        <v>05-10-2025</v>
      </c>
      <c r="O1831" s="15" t="str">
        <f>VLOOKUP(A1831,sinap!$A$2:$R$9000,7,FALSE)</f>
        <v>Vivo</v>
      </c>
      <c r="P1831" s="15" t="str">
        <f>VLOOKUP(A1831,sinap!$A$2:$R$9000,8,FALSE)</f>
        <v>11.1.01.1241</v>
      </c>
      <c r="Q1831" s="15" t="str">
        <f>VLOOKUP(A1831,sinap!$A$2:$R$9000,12,FALSE)</f>
        <v>Sin Movimiento</v>
      </c>
      <c r="R1831" s="15" t="str">
        <f>VLOOKUP(A1831,sinap!$A$2:$R$9000,16,FALSE)</f>
        <v>11.1.01.1241</v>
      </c>
      <c r="S1831" s="15" t="str">
        <f>VLOOKUP(A1831,sinap!$A$2:$Y$9000,20,FALSE)</f>
        <v>SI</v>
      </c>
      <c r="T1831" s="16">
        <v>45988</v>
      </c>
    </row>
    <row r="1832" spans="1:20" hidden="1" x14ac:dyDescent="0.25">
      <c r="A1832" s="15">
        <v>26234226</v>
      </c>
      <c r="J1832" s="15" t="str">
        <f>VLOOKUP(A1832,sinap!$A$2:$R$9000,2,FALSE)</f>
        <v>H</v>
      </c>
      <c r="K1832" s="15" t="str">
        <f>VLOOKUP(A1832,sinap!$A$2:$R$9000,3,FALSE)</f>
        <v>TERNERA</v>
      </c>
      <c r="L1832" s="15" t="str">
        <f>VLOOKUP(A1832,sinap!$A$2:$R$9000,4,FALSE)</f>
        <v>ANGUS NEGRO</v>
      </c>
      <c r="M1832" s="15" t="str">
        <f>VLOOKUP(A1832,sinap!$A$2:$R$9000,5,FALSE)</f>
        <v>0 años 3 meses</v>
      </c>
      <c r="N1832" s="15" t="str">
        <f>VLOOKUP(A1832,sinap!$A$2:$R$9000,6,FALSE)</f>
        <v>05-10-2025</v>
      </c>
      <c r="O1832" s="15" t="str">
        <f>VLOOKUP(A1832,sinap!$A$2:$R$9000,7,FALSE)</f>
        <v>Vivo</v>
      </c>
      <c r="P1832" s="15" t="str">
        <f>VLOOKUP(A1832,sinap!$A$2:$R$9000,8,FALSE)</f>
        <v>11.1.01.1241</v>
      </c>
      <c r="Q1832" s="15" t="str">
        <f>VLOOKUP(A1832,sinap!$A$2:$R$9000,12,FALSE)</f>
        <v>Sin Movimiento</v>
      </c>
      <c r="R1832" s="15" t="str">
        <f>VLOOKUP(A1832,sinap!$A$2:$R$9000,16,FALSE)</f>
        <v>11.1.01.1241</v>
      </c>
      <c r="S1832" s="15" t="str">
        <f>VLOOKUP(A1832,sinap!$A$2:$Y$9000,20,FALSE)</f>
        <v>SI</v>
      </c>
      <c r="T1832" s="16">
        <v>45988</v>
      </c>
    </row>
    <row r="1833" spans="1:20" hidden="1" x14ac:dyDescent="0.25">
      <c r="A1833" s="15">
        <v>26234227</v>
      </c>
      <c r="J1833" s="15" t="str">
        <f>VLOOKUP(A1833,sinap!$A$2:$R$9000,2,FALSE)</f>
        <v>H</v>
      </c>
      <c r="K1833" s="15" t="str">
        <f>VLOOKUP(A1833,sinap!$A$2:$R$9000,3,FALSE)</f>
        <v>TERNERA</v>
      </c>
      <c r="L1833" s="15" t="str">
        <f>VLOOKUP(A1833,sinap!$A$2:$R$9000,4,FALSE)</f>
        <v>ANGUS ROJO</v>
      </c>
      <c r="M1833" s="15" t="str">
        <f>VLOOKUP(A1833,sinap!$A$2:$R$9000,5,FALSE)</f>
        <v>0 años 3 meses</v>
      </c>
      <c r="N1833" s="15" t="str">
        <f>VLOOKUP(A1833,sinap!$A$2:$R$9000,6,FALSE)</f>
        <v>05-10-2025</v>
      </c>
      <c r="O1833" s="15" t="str">
        <f>VLOOKUP(A1833,sinap!$A$2:$R$9000,7,FALSE)</f>
        <v>Vivo</v>
      </c>
      <c r="P1833" s="15" t="str">
        <f>VLOOKUP(A1833,sinap!$A$2:$R$9000,8,FALSE)</f>
        <v>11.1.01.1241</v>
      </c>
      <c r="Q1833" s="15" t="str">
        <f>VLOOKUP(A1833,sinap!$A$2:$R$9000,12,FALSE)</f>
        <v>Sin Movimiento</v>
      </c>
      <c r="R1833" s="15" t="str">
        <f>VLOOKUP(A1833,sinap!$A$2:$R$9000,16,FALSE)</f>
        <v>11.1.01.1241</v>
      </c>
      <c r="S1833" s="15" t="str">
        <f>VLOOKUP(A1833,sinap!$A$2:$Y$9000,20,FALSE)</f>
        <v>SI</v>
      </c>
      <c r="T1833" s="16">
        <v>45988</v>
      </c>
    </row>
    <row r="1834" spans="1:20" hidden="1" x14ac:dyDescent="0.25">
      <c r="A1834" s="15">
        <v>26234228</v>
      </c>
      <c r="J1834" s="15" t="str">
        <f>VLOOKUP(A1834,sinap!$A$2:$R$9000,2,FALSE)</f>
        <v>M</v>
      </c>
      <c r="K1834" s="15" t="str">
        <f>VLOOKUP(A1834,sinap!$A$2:$R$9000,3,FALSE)</f>
        <v>TERNERO</v>
      </c>
      <c r="L1834" s="15" t="str">
        <f>VLOOKUP(A1834,sinap!$A$2:$R$9000,4,FALSE)</f>
        <v>ANGUS NEGRO</v>
      </c>
      <c r="M1834" s="15" t="str">
        <f>VLOOKUP(A1834,sinap!$A$2:$R$9000,5,FALSE)</f>
        <v>0 años 3 meses</v>
      </c>
      <c r="N1834" s="15" t="str">
        <f>VLOOKUP(A1834,sinap!$A$2:$R$9000,6,FALSE)</f>
        <v>05-10-2025</v>
      </c>
      <c r="O1834" s="15" t="str">
        <f>VLOOKUP(A1834,sinap!$A$2:$R$9000,7,FALSE)</f>
        <v>Vivo</v>
      </c>
      <c r="P1834" s="15" t="str">
        <f>VLOOKUP(A1834,sinap!$A$2:$R$9000,8,FALSE)</f>
        <v>11.1.01.1241</v>
      </c>
      <c r="Q1834" s="15" t="str">
        <f>VLOOKUP(A1834,sinap!$A$2:$R$9000,12,FALSE)</f>
        <v>Sin Movimiento</v>
      </c>
      <c r="R1834" s="15" t="str">
        <f>VLOOKUP(A1834,sinap!$A$2:$R$9000,16,FALSE)</f>
        <v>11.1.01.1241</v>
      </c>
      <c r="S1834" s="15" t="str">
        <f>VLOOKUP(A1834,sinap!$A$2:$Y$9000,20,FALSE)</f>
        <v>SI</v>
      </c>
      <c r="T1834" s="16">
        <v>45988</v>
      </c>
    </row>
    <row r="1835" spans="1:20" hidden="1" x14ac:dyDescent="0.25">
      <c r="A1835" s="15">
        <v>26234229</v>
      </c>
      <c r="J1835" s="15" t="str">
        <f>VLOOKUP(A1835,sinap!$A$2:$R$9000,2,FALSE)</f>
        <v>M</v>
      </c>
      <c r="K1835" s="15" t="str">
        <f>VLOOKUP(A1835,sinap!$A$2:$R$9000,3,FALSE)</f>
        <v>TERNERO</v>
      </c>
      <c r="L1835" s="15" t="str">
        <f>VLOOKUP(A1835,sinap!$A$2:$R$9000,4,FALSE)</f>
        <v>ANGUS NEGRO</v>
      </c>
      <c r="M1835" s="15" t="str">
        <f>VLOOKUP(A1835,sinap!$A$2:$R$9000,5,FALSE)</f>
        <v>0 años 3 meses</v>
      </c>
      <c r="N1835" s="15" t="str">
        <f>VLOOKUP(A1835,sinap!$A$2:$R$9000,6,FALSE)</f>
        <v>05-10-2025</v>
      </c>
      <c r="O1835" s="15" t="str">
        <f>VLOOKUP(A1835,sinap!$A$2:$R$9000,7,FALSE)</f>
        <v>Vivo</v>
      </c>
      <c r="P1835" s="15" t="str">
        <f>VLOOKUP(A1835,sinap!$A$2:$R$9000,8,FALSE)</f>
        <v>11.1.01.1241</v>
      </c>
      <c r="Q1835" s="15" t="str">
        <f>VLOOKUP(A1835,sinap!$A$2:$R$9000,12,FALSE)</f>
        <v>Sin Movimiento</v>
      </c>
      <c r="R1835" s="15" t="str">
        <f>VLOOKUP(A1835,sinap!$A$2:$R$9000,16,FALSE)</f>
        <v>11.1.01.1241</v>
      </c>
      <c r="S1835" s="15" t="str">
        <f>VLOOKUP(A1835,sinap!$A$2:$Y$9000,20,FALSE)</f>
        <v>SI</v>
      </c>
      <c r="T1835" s="16">
        <v>45988</v>
      </c>
    </row>
    <row r="1836" spans="1:20" hidden="1" x14ac:dyDescent="0.25">
      <c r="A1836" s="15">
        <v>26234230</v>
      </c>
      <c r="J1836" s="15" t="str">
        <f>VLOOKUP(A1836,sinap!$A$2:$R$9000,2,FALSE)</f>
        <v>M</v>
      </c>
      <c r="K1836" s="15" t="str">
        <f>VLOOKUP(A1836,sinap!$A$2:$R$9000,3,FALSE)</f>
        <v>TERNERO</v>
      </c>
      <c r="L1836" s="15" t="str">
        <f>VLOOKUP(A1836,sinap!$A$2:$R$9000,4,FALSE)</f>
        <v>ANGUS NEGRO</v>
      </c>
      <c r="M1836" s="15" t="str">
        <f>VLOOKUP(A1836,sinap!$A$2:$R$9000,5,FALSE)</f>
        <v>0 años 3 meses</v>
      </c>
      <c r="N1836" s="15" t="str">
        <f>VLOOKUP(A1836,sinap!$A$2:$R$9000,6,FALSE)</f>
        <v>05-10-2025</v>
      </c>
      <c r="O1836" s="15" t="str">
        <f>VLOOKUP(A1836,sinap!$A$2:$R$9000,7,FALSE)</f>
        <v>Vivo</v>
      </c>
      <c r="P1836" s="15" t="str">
        <f>VLOOKUP(A1836,sinap!$A$2:$R$9000,8,FALSE)</f>
        <v>11.1.01.1241</v>
      </c>
      <c r="Q1836" s="15" t="str">
        <f>VLOOKUP(A1836,sinap!$A$2:$R$9000,12,FALSE)</f>
        <v>Sin Movimiento</v>
      </c>
      <c r="R1836" s="15" t="str">
        <f>VLOOKUP(A1836,sinap!$A$2:$R$9000,16,FALSE)</f>
        <v>11.1.01.1241</v>
      </c>
      <c r="S1836" s="15" t="str">
        <f>VLOOKUP(A1836,sinap!$A$2:$Y$9000,20,FALSE)</f>
        <v>SI</v>
      </c>
      <c r="T1836" s="16">
        <v>45988</v>
      </c>
    </row>
    <row r="1837" spans="1:20" hidden="1" x14ac:dyDescent="0.25">
      <c r="A1837" s="15">
        <v>26234231</v>
      </c>
      <c r="J1837" s="15" t="str">
        <f>VLOOKUP(A1837,sinap!$A$2:$R$9000,2,FALSE)</f>
        <v>M</v>
      </c>
      <c r="K1837" s="15" t="str">
        <f>VLOOKUP(A1837,sinap!$A$2:$R$9000,3,FALSE)</f>
        <v>TERNERO</v>
      </c>
      <c r="L1837" s="15" t="str">
        <f>VLOOKUP(A1837,sinap!$A$2:$R$9000,4,FALSE)</f>
        <v>ANGUS NEGRO</v>
      </c>
      <c r="M1837" s="15" t="str">
        <f>VLOOKUP(A1837,sinap!$A$2:$R$9000,5,FALSE)</f>
        <v>0 años 3 meses</v>
      </c>
      <c r="N1837" s="15" t="str">
        <f>VLOOKUP(A1837,sinap!$A$2:$R$9000,6,FALSE)</f>
        <v>05-10-2025</v>
      </c>
      <c r="O1837" s="15" t="str">
        <f>VLOOKUP(A1837,sinap!$A$2:$R$9000,7,FALSE)</f>
        <v>Vivo</v>
      </c>
      <c r="P1837" s="15" t="str">
        <f>VLOOKUP(A1837,sinap!$A$2:$R$9000,8,FALSE)</f>
        <v>11.1.01.1241</v>
      </c>
      <c r="Q1837" s="15" t="str">
        <f>VLOOKUP(A1837,sinap!$A$2:$R$9000,12,FALSE)</f>
        <v>Sin Movimiento</v>
      </c>
      <c r="R1837" s="15" t="str">
        <f>VLOOKUP(A1837,sinap!$A$2:$R$9000,16,FALSE)</f>
        <v>11.1.01.1241</v>
      </c>
      <c r="S1837" s="15" t="str">
        <f>VLOOKUP(A1837,sinap!$A$2:$Y$9000,20,FALSE)</f>
        <v>SI</v>
      </c>
      <c r="T1837" s="16">
        <v>45988</v>
      </c>
    </row>
    <row r="1838" spans="1:20" hidden="1" x14ac:dyDescent="0.25">
      <c r="A1838" s="15">
        <v>26234232</v>
      </c>
      <c r="J1838" s="15" t="str">
        <f>VLOOKUP(A1838,sinap!$A$2:$R$9000,2,FALSE)</f>
        <v>H</v>
      </c>
      <c r="K1838" s="15" t="str">
        <f>VLOOKUP(A1838,sinap!$A$2:$R$9000,3,FALSE)</f>
        <v>TERNERA</v>
      </c>
      <c r="L1838" s="15" t="str">
        <f>VLOOKUP(A1838,sinap!$A$2:$R$9000,4,FALSE)</f>
        <v>ANGUS ROJO</v>
      </c>
      <c r="M1838" s="15" t="str">
        <f>VLOOKUP(A1838,sinap!$A$2:$R$9000,5,FALSE)</f>
        <v>0 años 3 meses</v>
      </c>
      <c r="N1838" s="15" t="str">
        <f>VLOOKUP(A1838,sinap!$A$2:$R$9000,6,FALSE)</f>
        <v>05-10-2025</v>
      </c>
      <c r="O1838" s="15" t="str">
        <f>VLOOKUP(A1838,sinap!$A$2:$R$9000,7,FALSE)</f>
        <v>Vivo</v>
      </c>
      <c r="P1838" s="15" t="str">
        <f>VLOOKUP(A1838,sinap!$A$2:$R$9000,8,FALSE)</f>
        <v>11.1.01.0941</v>
      </c>
      <c r="Q1838" s="15" t="str">
        <f>VLOOKUP(A1838,sinap!$A$2:$R$9000,12,FALSE)</f>
        <v>11.1.01.1241</v>
      </c>
      <c r="R1838" s="15" t="str">
        <f>VLOOKUP(A1838,sinap!$A$2:$R$9000,16,FALSE)</f>
        <v>11.1.01.1241</v>
      </c>
      <c r="S1838" s="15" t="str">
        <f>VLOOKUP(A1838,sinap!$A$2:$Y$9000,20,FALSE)</f>
        <v>SI</v>
      </c>
      <c r="T1838" s="16">
        <v>45988</v>
      </c>
    </row>
    <row r="1839" spans="1:20" hidden="1" x14ac:dyDescent="0.25">
      <c r="A1839" s="15">
        <v>26234233</v>
      </c>
      <c r="J1839" s="15" t="str">
        <f>VLOOKUP(A1839,sinap!$A$2:$R$9000,2,FALSE)</f>
        <v>H</v>
      </c>
      <c r="K1839" s="15" t="str">
        <f>VLOOKUP(A1839,sinap!$A$2:$R$9000,3,FALSE)</f>
        <v>TERNERA</v>
      </c>
      <c r="L1839" s="15" t="str">
        <f>VLOOKUP(A1839,sinap!$A$2:$R$9000,4,FALSE)</f>
        <v>ANGUS NEGRO</v>
      </c>
      <c r="M1839" s="15" t="str">
        <f>VLOOKUP(A1839,sinap!$A$2:$R$9000,5,FALSE)</f>
        <v>0 años 3 meses</v>
      </c>
      <c r="N1839" s="15" t="str">
        <f>VLOOKUP(A1839,sinap!$A$2:$R$9000,6,FALSE)</f>
        <v>05-10-2025</v>
      </c>
      <c r="O1839" s="15" t="str">
        <f>VLOOKUP(A1839,sinap!$A$2:$R$9000,7,FALSE)</f>
        <v>Vivo</v>
      </c>
      <c r="P1839" s="15" t="str">
        <f>VLOOKUP(A1839,sinap!$A$2:$R$9000,8,FALSE)</f>
        <v>11.1.01.1241</v>
      </c>
      <c r="Q1839" s="15" t="str">
        <f>VLOOKUP(A1839,sinap!$A$2:$R$9000,12,FALSE)</f>
        <v>Sin Movimiento</v>
      </c>
      <c r="R1839" s="15" t="str">
        <f>VLOOKUP(A1839,sinap!$A$2:$R$9000,16,FALSE)</f>
        <v>11.1.01.1241</v>
      </c>
      <c r="S1839" s="15" t="str">
        <f>VLOOKUP(A1839,sinap!$A$2:$Y$9000,20,FALSE)</f>
        <v>SI</v>
      </c>
      <c r="T1839" s="16">
        <v>45988</v>
      </c>
    </row>
    <row r="1840" spans="1:20" hidden="1" x14ac:dyDescent="0.25">
      <c r="A1840" s="15">
        <v>26234234</v>
      </c>
      <c r="J1840" s="15" t="str">
        <f>VLOOKUP(A1840,sinap!$A$2:$R$9000,2,FALSE)</f>
        <v>M</v>
      </c>
      <c r="K1840" s="15" t="str">
        <f>VLOOKUP(A1840,sinap!$A$2:$R$9000,3,FALSE)</f>
        <v>TERNERO</v>
      </c>
      <c r="L1840" s="15" t="str">
        <f>VLOOKUP(A1840,sinap!$A$2:$R$9000,4,FALSE)</f>
        <v>ANGUS NEGRO</v>
      </c>
      <c r="M1840" s="15" t="str">
        <f>VLOOKUP(A1840,sinap!$A$2:$R$9000,5,FALSE)</f>
        <v>0 años 3 meses</v>
      </c>
      <c r="N1840" s="15" t="str">
        <f>VLOOKUP(A1840,sinap!$A$2:$R$9000,6,FALSE)</f>
        <v>05-10-2025</v>
      </c>
      <c r="O1840" s="15" t="str">
        <f>VLOOKUP(A1840,sinap!$A$2:$R$9000,7,FALSE)</f>
        <v>Vivo</v>
      </c>
      <c r="P1840" s="15" t="str">
        <f>VLOOKUP(A1840,sinap!$A$2:$R$9000,8,FALSE)</f>
        <v>11.1.01.0941</v>
      </c>
      <c r="Q1840" s="15" t="str">
        <f>VLOOKUP(A1840,sinap!$A$2:$R$9000,12,FALSE)</f>
        <v>11.1.01.1241</v>
      </c>
      <c r="R1840" s="15" t="str">
        <f>VLOOKUP(A1840,sinap!$A$2:$R$9000,16,FALSE)</f>
        <v>11.1.01.1241</v>
      </c>
      <c r="S1840" s="15" t="str">
        <f>VLOOKUP(A1840,sinap!$A$2:$Y$9000,20,FALSE)</f>
        <v>SI</v>
      </c>
      <c r="T1840" s="16">
        <v>45988</v>
      </c>
    </row>
    <row r="1841" spans="1:20" hidden="1" x14ac:dyDescent="0.25">
      <c r="A1841" s="15">
        <v>26234235</v>
      </c>
      <c r="J1841" s="15" t="str">
        <f>VLOOKUP(A1841,sinap!$A$2:$R$9000,2,FALSE)</f>
        <v>M</v>
      </c>
      <c r="K1841" s="15" t="str">
        <f>VLOOKUP(A1841,sinap!$A$2:$R$9000,3,FALSE)</f>
        <v>TERNERO</v>
      </c>
      <c r="L1841" s="15" t="str">
        <f>VLOOKUP(A1841,sinap!$A$2:$R$9000,4,FALSE)</f>
        <v>ANGUS NEGRO</v>
      </c>
      <c r="M1841" s="15" t="str">
        <f>VLOOKUP(A1841,sinap!$A$2:$R$9000,5,FALSE)</f>
        <v>0 años 3 meses</v>
      </c>
      <c r="N1841" s="15" t="str">
        <f>VLOOKUP(A1841,sinap!$A$2:$R$9000,6,FALSE)</f>
        <v>05-10-2025</v>
      </c>
      <c r="O1841" s="15" t="str">
        <f>VLOOKUP(A1841,sinap!$A$2:$R$9000,7,FALSE)</f>
        <v>Vivo</v>
      </c>
      <c r="P1841" s="15" t="str">
        <f>VLOOKUP(A1841,sinap!$A$2:$R$9000,8,FALSE)</f>
        <v>11.1.01.1241</v>
      </c>
      <c r="Q1841" s="15" t="str">
        <f>VLOOKUP(A1841,sinap!$A$2:$R$9000,12,FALSE)</f>
        <v>Sin Movimiento</v>
      </c>
      <c r="R1841" s="15" t="str">
        <f>VLOOKUP(A1841,sinap!$A$2:$R$9000,16,FALSE)</f>
        <v>11.1.01.1241</v>
      </c>
      <c r="S1841" s="15" t="str">
        <f>VLOOKUP(A1841,sinap!$A$2:$Y$9000,20,FALSE)</f>
        <v>SI</v>
      </c>
      <c r="T1841" s="16">
        <v>45988</v>
      </c>
    </row>
    <row r="1842" spans="1:20" hidden="1" x14ac:dyDescent="0.25">
      <c r="A1842" s="15">
        <v>26234236</v>
      </c>
      <c r="J1842" s="15" t="str">
        <f>VLOOKUP(A1842,sinap!$A$2:$R$9000,2,FALSE)</f>
        <v>M</v>
      </c>
      <c r="K1842" s="15" t="str">
        <f>VLOOKUP(A1842,sinap!$A$2:$R$9000,3,FALSE)</f>
        <v>TERNERO</v>
      </c>
      <c r="L1842" s="15" t="str">
        <f>VLOOKUP(A1842,sinap!$A$2:$R$9000,4,FALSE)</f>
        <v>ANGUS NEGRO</v>
      </c>
      <c r="M1842" s="15" t="str">
        <f>VLOOKUP(A1842,sinap!$A$2:$R$9000,5,FALSE)</f>
        <v>0 años 3 meses</v>
      </c>
      <c r="N1842" s="15" t="str">
        <f>VLOOKUP(A1842,sinap!$A$2:$R$9000,6,FALSE)</f>
        <v>05-10-2025</v>
      </c>
      <c r="O1842" s="15" t="str">
        <f>VLOOKUP(A1842,sinap!$A$2:$R$9000,7,FALSE)</f>
        <v>Vivo</v>
      </c>
      <c r="P1842" s="15" t="str">
        <f>VLOOKUP(A1842,sinap!$A$2:$R$9000,8,FALSE)</f>
        <v>11.1.01.1241</v>
      </c>
      <c r="Q1842" s="15" t="str">
        <f>VLOOKUP(A1842,sinap!$A$2:$R$9000,12,FALSE)</f>
        <v>Sin Movimiento</v>
      </c>
      <c r="R1842" s="15" t="str">
        <f>VLOOKUP(A1842,sinap!$A$2:$R$9000,16,FALSE)</f>
        <v>11.1.01.1241</v>
      </c>
      <c r="S1842" s="15" t="str">
        <f>VLOOKUP(A1842,sinap!$A$2:$Y$9000,20,FALSE)</f>
        <v>SI</v>
      </c>
      <c r="T1842" s="16">
        <v>45988</v>
      </c>
    </row>
    <row r="1843" spans="1:20" hidden="1" x14ac:dyDescent="0.25">
      <c r="A1843" s="15">
        <v>26234237</v>
      </c>
      <c r="J1843" s="15" t="str">
        <f>VLOOKUP(A1843,sinap!$A$2:$R$9000,2,FALSE)</f>
        <v>H</v>
      </c>
      <c r="K1843" s="15" t="str">
        <f>VLOOKUP(A1843,sinap!$A$2:$R$9000,3,FALSE)</f>
        <v>TERNERA</v>
      </c>
      <c r="L1843" s="15" t="str">
        <f>VLOOKUP(A1843,sinap!$A$2:$R$9000,4,FALSE)</f>
        <v>ANGUS ROJO</v>
      </c>
      <c r="M1843" s="15" t="str">
        <f>VLOOKUP(A1843,sinap!$A$2:$R$9000,5,FALSE)</f>
        <v>0 años 3 meses</v>
      </c>
      <c r="N1843" s="15" t="str">
        <f>VLOOKUP(A1843,sinap!$A$2:$R$9000,6,FALSE)</f>
        <v>05-10-2025</v>
      </c>
      <c r="O1843" s="15" t="str">
        <f>VLOOKUP(A1843,sinap!$A$2:$R$9000,7,FALSE)</f>
        <v>Vivo</v>
      </c>
      <c r="P1843" s="15" t="str">
        <f>VLOOKUP(A1843,sinap!$A$2:$R$9000,8,FALSE)</f>
        <v>11.1.01.0941</v>
      </c>
      <c r="Q1843" s="15" t="str">
        <f>VLOOKUP(A1843,sinap!$A$2:$R$9000,12,FALSE)</f>
        <v>11.1.01.1241</v>
      </c>
      <c r="R1843" s="15" t="str">
        <f>VLOOKUP(A1843,sinap!$A$2:$R$9000,16,FALSE)</f>
        <v>11.1.01.1241</v>
      </c>
      <c r="S1843" s="15" t="str">
        <f>VLOOKUP(A1843,sinap!$A$2:$Y$9000,20,FALSE)</f>
        <v>SI</v>
      </c>
      <c r="T1843" s="16">
        <v>45988</v>
      </c>
    </row>
    <row r="1844" spans="1:20" hidden="1" x14ac:dyDescent="0.25">
      <c r="A1844" s="15">
        <v>26234238</v>
      </c>
      <c r="J1844" s="15" t="str">
        <f>VLOOKUP(A1844,sinap!$A$2:$R$9000,2,FALSE)</f>
        <v>H</v>
      </c>
      <c r="K1844" s="15" t="str">
        <f>VLOOKUP(A1844,sinap!$A$2:$R$9000,3,FALSE)</f>
        <v>TERNERA</v>
      </c>
      <c r="L1844" s="15" t="str">
        <f>VLOOKUP(A1844,sinap!$A$2:$R$9000,4,FALSE)</f>
        <v>ANGUS NEGRO</v>
      </c>
      <c r="M1844" s="15" t="str">
        <f>VLOOKUP(A1844,sinap!$A$2:$R$9000,5,FALSE)</f>
        <v>0 años 3 meses</v>
      </c>
      <c r="N1844" s="15" t="str">
        <f>VLOOKUP(A1844,sinap!$A$2:$R$9000,6,FALSE)</f>
        <v>05-10-2025</v>
      </c>
      <c r="O1844" s="15" t="str">
        <f>VLOOKUP(A1844,sinap!$A$2:$R$9000,7,FALSE)</f>
        <v>Vivo</v>
      </c>
      <c r="P1844" s="15" t="str">
        <f>VLOOKUP(A1844,sinap!$A$2:$R$9000,8,FALSE)</f>
        <v>11.1.01.1241</v>
      </c>
      <c r="Q1844" s="15" t="str">
        <f>VLOOKUP(A1844,sinap!$A$2:$R$9000,12,FALSE)</f>
        <v>Sin Movimiento</v>
      </c>
      <c r="R1844" s="15" t="str">
        <f>VLOOKUP(A1844,sinap!$A$2:$R$9000,16,FALSE)</f>
        <v>11.1.01.1241</v>
      </c>
      <c r="S1844" s="15" t="str">
        <f>VLOOKUP(A1844,sinap!$A$2:$Y$9000,20,FALSE)</f>
        <v>SI</v>
      </c>
      <c r="T1844" s="16">
        <v>45988</v>
      </c>
    </row>
    <row r="1845" spans="1:20" hidden="1" x14ac:dyDescent="0.25">
      <c r="A1845" s="15">
        <v>26234239</v>
      </c>
      <c r="J1845" s="15" t="str">
        <f>VLOOKUP(A1845,sinap!$A$2:$R$9000,2,FALSE)</f>
        <v>M</v>
      </c>
      <c r="K1845" s="15" t="str">
        <f>VLOOKUP(A1845,sinap!$A$2:$R$9000,3,FALSE)</f>
        <v>TERNERO</v>
      </c>
      <c r="L1845" s="15" t="str">
        <f>VLOOKUP(A1845,sinap!$A$2:$R$9000,4,FALSE)</f>
        <v>ANGUS NEGRO</v>
      </c>
      <c r="M1845" s="15" t="str">
        <f>VLOOKUP(A1845,sinap!$A$2:$R$9000,5,FALSE)</f>
        <v>0 años 3 meses</v>
      </c>
      <c r="N1845" s="15" t="str">
        <f>VLOOKUP(A1845,sinap!$A$2:$R$9000,6,FALSE)</f>
        <v>05-10-2025</v>
      </c>
      <c r="O1845" s="15" t="str">
        <f>VLOOKUP(A1845,sinap!$A$2:$R$9000,7,FALSE)</f>
        <v>Vivo</v>
      </c>
      <c r="P1845" s="15" t="str">
        <f>VLOOKUP(A1845,sinap!$A$2:$R$9000,8,FALSE)</f>
        <v>11.1.01.1241</v>
      </c>
      <c r="Q1845" s="15" t="str">
        <f>VLOOKUP(A1845,sinap!$A$2:$R$9000,12,FALSE)</f>
        <v>Sin Movimiento</v>
      </c>
      <c r="R1845" s="15" t="str">
        <f>VLOOKUP(A1845,sinap!$A$2:$R$9000,16,FALSE)</f>
        <v>11.1.01.1241</v>
      </c>
      <c r="S1845" s="15" t="str">
        <f>VLOOKUP(A1845,sinap!$A$2:$Y$9000,20,FALSE)</f>
        <v>SI</v>
      </c>
      <c r="T1845" s="16">
        <v>45988</v>
      </c>
    </row>
    <row r="1846" spans="1:20" hidden="1" x14ac:dyDescent="0.25">
      <c r="A1846" s="15">
        <v>26234240</v>
      </c>
      <c r="J1846" s="15" t="str">
        <f>VLOOKUP(A1846,sinap!$A$2:$R$9000,2,FALSE)</f>
        <v>M</v>
      </c>
      <c r="K1846" s="15" t="str">
        <f>VLOOKUP(A1846,sinap!$A$2:$R$9000,3,FALSE)</f>
        <v>TERNERO</v>
      </c>
      <c r="L1846" s="15" t="str">
        <f>VLOOKUP(A1846,sinap!$A$2:$R$9000,4,FALSE)</f>
        <v>ANGUS NEGRO</v>
      </c>
      <c r="M1846" s="15" t="str">
        <f>VLOOKUP(A1846,sinap!$A$2:$R$9000,5,FALSE)</f>
        <v>0 años 3 meses</v>
      </c>
      <c r="N1846" s="15" t="str">
        <f>VLOOKUP(A1846,sinap!$A$2:$R$9000,6,FALSE)</f>
        <v>05-10-2025</v>
      </c>
      <c r="O1846" s="15" t="str">
        <f>VLOOKUP(A1846,sinap!$A$2:$R$9000,7,FALSE)</f>
        <v>Vivo</v>
      </c>
      <c r="P1846" s="15" t="str">
        <f>VLOOKUP(A1846,sinap!$A$2:$R$9000,8,FALSE)</f>
        <v>11.1.01.1241</v>
      </c>
      <c r="Q1846" s="15" t="str">
        <f>VLOOKUP(A1846,sinap!$A$2:$R$9000,12,FALSE)</f>
        <v>Sin Movimiento</v>
      </c>
      <c r="R1846" s="15" t="str">
        <f>VLOOKUP(A1846,sinap!$A$2:$R$9000,16,FALSE)</f>
        <v>11.1.01.1241</v>
      </c>
      <c r="S1846" s="15" t="str">
        <f>VLOOKUP(A1846,sinap!$A$2:$Y$9000,20,FALSE)</f>
        <v>SI</v>
      </c>
      <c r="T1846" s="16">
        <v>45988</v>
      </c>
    </row>
    <row r="1847" spans="1:20" hidden="1" x14ac:dyDescent="0.25">
      <c r="A1847" s="15">
        <v>26234241</v>
      </c>
      <c r="J1847" s="15" t="str">
        <f>VLOOKUP(A1847,sinap!$A$2:$R$9000,2,FALSE)</f>
        <v>H</v>
      </c>
      <c r="K1847" s="15" t="str">
        <f>VLOOKUP(A1847,sinap!$A$2:$R$9000,3,FALSE)</f>
        <v>TERNERA</v>
      </c>
      <c r="L1847" s="15" t="str">
        <f>VLOOKUP(A1847,sinap!$A$2:$R$9000,4,FALSE)</f>
        <v>ANGUS NEGRO</v>
      </c>
      <c r="M1847" s="15" t="str">
        <f>VLOOKUP(A1847,sinap!$A$2:$R$9000,5,FALSE)</f>
        <v>0 años 3 meses</v>
      </c>
      <c r="N1847" s="15" t="str">
        <f>VLOOKUP(A1847,sinap!$A$2:$R$9000,6,FALSE)</f>
        <v>05-10-2025</v>
      </c>
      <c r="O1847" s="15" t="str">
        <f>VLOOKUP(A1847,sinap!$A$2:$R$9000,7,FALSE)</f>
        <v>Vivo</v>
      </c>
      <c r="P1847" s="15" t="str">
        <f>VLOOKUP(A1847,sinap!$A$2:$R$9000,8,FALSE)</f>
        <v>11.1.01.1241</v>
      </c>
      <c r="Q1847" s="15" t="str">
        <f>VLOOKUP(A1847,sinap!$A$2:$R$9000,12,FALSE)</f>
        <v>Sin Movimiento</v>
      </c>
      <c r="R1847" s="15" t="str">
        <f>VLOOKUP(A1847,sinap!$A$2:$R$9000,16,FALSE)</f>
        <v>11.1.01.1241</v>
      </c>
      <c r="S1847" s="15" t="str">
        <f>VLOOKUP(A1847,sinap!$A$2:$Y$9000,20,FALSE)</f>
        <v>SI</v>
      </c>
      <c r="T1847" s="16">
        <v>45988</v>
      </c>
    </row>
    <row r="1848" spans="1:20" hidden="1" x14ac:dyDescent="0.25">
      <c r="A1848" s="15">
        <v>26234242</v>
      </c>
      <c r="J1848" s="15" t="str">
        <f>VLOOKUP(A1848,sinap!$A$2:$R$9000,2,FALSE)</f>
        <v>M</v>
      </c>
      <c r="K1848" s="15" t="str">
        <f>VLOOKUP(A1848,sinap!$A$2:$R$9000,3,FALSE)</f>
        <v>TERNERO</v>
      </c>
      <c r="L1848" s="15" t="str">
        <f>VLOOKUP(A1848,sinap!$A$2:$R$9000,4,FALSE)</f>
        <v>ANGUS NEGRO</v>
      </c>
      <c r="M1848" s="15" t="str">
        <f>VLOOKUP(A1848,sinap!$A$2:$R$9000,5,FALSE)</f>
        <v>0 años 3 meses</v>
      </c>
      <c r="N1848" s="15" t="str">
        <f>VLOOKUP(A1848,sinap!$A$2:$R$9000,6,FALSE)</f>
        <v>05-10-2025</v>
      </c>
      <c r="O1848" s="15" t="str">
        <f>VLOOKUP(A1848,sinap!$A$2:$R$9000,7,FALSE)</f>
        <v>Vivo</v>
      </c>
      <c r="P1848" s="15" t="str">
        <f>VLOOKUP(A1848,sinap!$A$2:$R$9000,8,FALSE)</f>
        <v>11.1.01.1241</v>
      </c>
      <c r="Q1848" s="15" t="str">
        <f>VLOOKUP(A1848,sinap!$A$2:$R$9000,12,FALSE)</f>
        <v>Sin Movimiento</v>
      </c>
      <c r="R1848" s="15" t="str">
        <f>VLOOKUP(A1848,sinap!$A$2:$R$9000,16,FALSE)</f>
        <v>11.1.01.1241</v>
      </c>
      <c r="S1848" s="15" t="str">
        <f>VLOOKUP(A1848,sinap!$A$2:$Y$9000,20,FALSE)</f>
        <v>SI</v>
      </c>
      <c r="T1848" s="16">
        <v>45988</v>
      </c>
    </row>
    <row r="1849" spans="1:20" hidden="1" x14ac:dyDescent="0.25">
      <c r="A1849" s="15">
        <v>26234243</v>
      </c>
      <c r="J1849" s="15" t="str">
        <f>VLOOKUP(A1849,sinap!$A$2:$R$9000,2,FALSE)</f>
        <v>H</v>
      </c>
      <c r="K1849" s="15" t="str">
        <f>VLOOKUP(A1849,sinap!$A$2:$R$9000,3,FALSE)</f>
        <v>TERNERA</v>
      </c>
      <c r="L1849" s="15" t="str">
        <f>VLOOKUP(A1849,sinap!$A$2:$R$9000,4,FALSE)</f>
        <v>ANGUS NEGRO</v>
      </c>
      <c r="M1849" s="15" t="str">
        <f>VLOOKUP(A1849,sinap!$A$2:$R$9000,5,FALSE)</f>
        <v>0 años 3 meses</v>
      </c>
      <c r="N1849" s="15" t="str">
        <f>VLOOKUP(A1849,sinap!$A$2:$R$9000,6,FALSE)</f>
        <v>05-10-2025</v>
      </c>
      <c r="O1849" s="15" t="str">
        <f>VLOOKUP(A1849,sinap!$A$2:$R$9000,7,FALSE)</f>
        <v>Vivo</v>
      </c>
      <c r="P1849" s="15" t="str">
        <f>VLOOKUP(A1849,sinap!$A$2:$R$9000,8,FALSE)</f>
        <v>11.1.01.1241</v>
      </c>
      <c r="Q1849" s="15" t="str">
        <f>VLOOKUP(A1849,sinap!$A$2:$R$9000,12,FALSE)</f>
        <v>Sin Movimiento</v>
      </c>
      <c r="R1849" s="15" t="str">
        <f>VLOOKUP(A1849,sinap!$A$2:$R$9000,16,FALSE)</f>
        <v>11.1.01.1241</v>
      </c>
      <c r="S1849" s="15" t="str">
        <f>VLOOKUP(A1849,sinap!$A$2:$Y$9000,20,FALSE)</f>
        <v>SI</v>
      </c>
      <c r="T1849" s="16">
        <v>45988</v>
      </c>
    </row>
    <row r="1850" spans="1:20" hidden="1" x14ac:dyDescent="0.25">
      <c r="A1850" s="15">
        <v>26234244</v>
      </c>
      <c r="J1850" s="15" t="str">
        <f>VLOOKUP(A1850,sinap!$A$2:$R$9000,2,FALSE)</f>
        <v>M</v>
      </c>
      <c r="K1850" s="15" t="str">
        <f>VLOOKUP(A1850,sinap!$A$2:$R$9000,3,FALSE)</f>
        <v>TERNERO</v>
      </c>
      <c r="L1850" s="15" t="str">
        <f>VLOOKUP(A1850,sinap!$A$2:$R$9000,4,FALSE)</f>
        <v>ANGUS NEGRO</v>
      </c>
      <c r="M1850" s="15" t="str">
        <f>VLOOKUP(A1850,sinap!$A$2:$R$9000,5,FALSE)</f>
        <v>0 años 3 meses</v>
      </c>
      <c r="N1850" s="15" t="str">
        <f>VLOOKUP(A1850,sinap!$A$2:$R$9000,6,FALSE)</f>
        <v>05-10-2025</v>
      </c>
      <c r="O1850" s="15" t="str">
        <f>VLOOKUP(A1850,sinap!$A$2:$R$9000,7,FALSE)</f>
        <v>Vivo</v>
      </c>
      <c r="P1850" s="15" t="str">
        <f>VLOOKUP(A1850,sinap!$A$2:$R$9000,8,FALSE)</f>
        <v>11.1.01.1241</v>
      </c>
      <c r="Q1850" s="15" t="str">
        <f>VLOOKUP(A1850,sinap!$A$2:$R$9000,12,FALSE)</f>
        <v>Sin Movimiento</v>
      </c>
      <c r="R1850" s="15" t="str">
        <f>VLOOKUP(A1850,sinap!$A$2:$R$9000,16,FALSE)</f>
        <v>11.1.01.1241</v>
      </c>
      <c r="S1850" s="15" t="str">
        <f>VLOOKUP(A1850,sinap!$A$2:$Y$9000,20,FALSE)</f>
        <v>SI</v>
      </c>
      <c r="T1850" s="16">
        <v>45988</v>
      </c>
    </row>
    <row r="1851" spans="1:20" hidden="1" x14ac:dyDescent="0.25">
      <c r="A1851" s="15">
        <v>26234245</v>
      </c>
      <c r="J1851" s="15" t="str">
        <f>VLOOKUP(A1851,sinap!$A$2:$R$9000,2,FALSE)</f>
        <v>M</v>
      </c>
      <c r="K1851" s="15" t="str">
        <f>VLOOKUP(A1851,sinap!$A$2:$R$9000,3,FALSE)</f>
        <v>TERNERO</v>
      </c>
      <c r="L1851" s="15" t="str">
        <f>VLOOKUP(A1851,sinap!$A$2:$R$9000,4,FALSE)</f>
        <v>ANGUS ROJO</v>
      </c>
      <c r="M1851" s="15" t="str">
        <f>VLOOKUP(A1851,sinap!$A$2:$R$9000,5,FALSE)</f>
        <v>0 años 3 meses</v>
      </c>
      <c r="N1851" s="15" t="str">
        <f>VLOOKUP(A1851,sinap!$A$2:$R$9000,6,FALSE)</f>
        <v>05-10-2025</v>
      </c>
      <c r="O1851" s="15" t="str">
        <f>VLOOKUP(A1851,sinap!$A$2:$R$9000,7,FALSE)</f>
        <v>Vivo</v>
      </c>
      <c r="P1851" s="15" t="str">
        <f>VLOOKUP(A1851,sinap!$A$2:$R$9000,8,FALSE)</f>
        <v>11.1.01.1241</v>
      </c>
      <c r="Q1851" s="15" t="str">
        <f>VLOOKUP(A1851,sinap!$A$2:$R$9000,12,FALSE)</f>
        <v>Sin Movimiento</v>
      </c>
      <c r="R1851" s="15" t="str">
        <f>VLOOKUP(A1851,sinap!$A$2:$R$9000,16,FALSE)</f>
        <v>11.1.01.1241</v>
      </c>
      <c r="S1851" s="15" t="str">
        <f>VLOOKUP(A1851,sinap!$A$2:$Y$9000,20,FALSE)</f>
        <v>SI</v>
      </c>
      <c r="T1851" s="16">
        <v>45988</v>
      </c>
    </row>
    <row r="1852" spans="1:20" hidden="1" x14ac:dyDescent="0.25">
      <c r="A1852" s="15">
        <v>26234246</v>
      </c>
      <c r="J1852" s="15" t="str">
        <f>VLOOKUP(A1852,sinap!$A$2:$R$9000,2,FALSE)</f>
        <v>H</v>
      </c>
      <c r="K1852" s="15" t="str">
        <f>VLOOKUP(A1852,sinap!$A$2:$R$9000,3,FALSE)</f>
        <v>TERNERA</v>
      </c>
      <c r="L1852" s="15" t="str">
        <f>VLOOKUP(A1852,sinap!$A$2:$R$9000,4,FALSE)</f>
        <v>ANGUS NEGRO</v>
      </c>
      <c r="M1852" s="15" t="str">
        <f>VLOOKUP(A1852,sinap!$A$2:$R$9000,5,FALSE)</f>
        <v>0 años 3 meses</v>
      </c>
      <c r="N1852" s="15" t="str">
        <f>VLOOKUP(A1852,sinap!$A$2:$R$9000,6,FALSE)</f>
        <v>05-10-2025</v>
      </c>
      <c r="O1852" s="15" t="str">
        <f>VLOOKUP(A1852,sinap!$A$2:$R$9000,7,FALSE)</f>
        <v>Vivo</v>
      </c>
      <c r="P1852" s="15" t="str">
        <f>VLOOKUP(A1852,sinap!$A$2:$R$9000,8,FALSE)</f>
        <v>11.1.01.1241</v>
      </c>
      <c r="Q1852" s="15" t="str">
        <f>VLOOKUP(A1852,sinap!$A$2:$R$9000,12,FALSE)</f>
        <v>Sin Movimiento</v>
      </c>
      <c r="R1852" s="15" t="str">
        <f>VLOOKUP(A1852,sinap!$A$2:$R$9000,16,FALSE)</f>
        <v>11.1.01.1241</v>
      </c>
      <c r="S1852" s="15" t="str">
        <f>VLOOKUP(A1852,sinap!$A$2:$Y$9000,20,FALSE)</f>
        <v>SI</v>
      </c>
      <c r="T1852" s="16">
        <v>45988</v>
      </c>
    </row>
    <row r="1853" spans="1:20" hidden="1" x14ac:dyDescent="0.25">
      <c r="A1853" s="15">
        <v>26234247</v>
      </c>
      <c r="J1853" s="15" t="str">
        <f>VLOOKUP(A1853,sinap!$A$2:$R$9000,2,FALSE)</f>
        <v>H</v>
      </c>
      <c r="K1853" s="15" t="str">
        <f>VLOOKUP(A1853,sinap!$A$2:$R$9000,3,FALSE)</f>
        <v>TERNERA</v>
      </c>
      <c r="L1853" s="15" t="str">
        <f>VLOOKUP(A1853,sinap!$A$2:$R$9000,4,FALSE)</f>
        <v>ANGUS NEGRO</v>
      </c>
      <c r="M1853" s="15" t="str">
        <f>VLOOKUP(A1853,sinap!$A$2:$R$9000,5,FALSE)</f>
        <v>0 años 3 meses</v>
      </c>
      <c r="N1853" s="15" t="str">
        <f>VLOOKUP(A1853,sinap!$A$2:$R$9000,6,FALSE)</f>
        <v>05-10-2025</v>
      </c>
      <c r="O1853" s="15" t="str">
        <f>VLOOKUP(A1853,sinap!$A$2:$R$9000,7,FALSE)</f>
        <v>Vivo</v>
      </c>
      <c r="P1853" s="15" t="str">
        <f>VLOOKUP(A1853,sinap!$A$2:$R$9000,8,FALSE)</f>
        <v>11.1.01.1241</v>
      </c>
      <c r="Q1853" s="15" t="str">
        <f>VLOOKUP(A1853,sinap!$A$2:$R$9000,12,FALSE)</f>
        <v>Sin Movimiento</v>
      </c>
      <c r="R1853" s="15" t="str">
        <f>VLOOKUP(A1853,sinap!$A$2:$R$9000,16,FALSE)</f>
        <v>11.1.01.1241</v>
      </c>
      <c r="S1853" s="15" t="str">
        <f>VLOOKUP(A1853,sinap!$A$2:$Y$9000,20,FALSE)</f>
        <v>SI</v>
      </c>
      <c r="T1853" s="16">
        <v>45988</v>
      </c>
    </row>
    <row r="1854" spans="1:20" hidden="1" x14ac:dyDescent="0.25">
      <c r="A1854" s="15">
        <v>26234248</v>
      </c>
      <c r="J1854" s="15" t="str">
        <f>VLOOKUP(A1854,sinap!$A$2:$R$9000,2,FALSE)</f>
        <v>H</v>
      </c>
      <c r="K1854" s="15" t="str">
        <f>VLOOKUP(A1854,sinap!$A$2:$R$9000,3,FALSE)</f>
        <v>TERNERA</v>
      </c>
      <c r="L1854" s="15" t="str">
        <f>VLOOKUP(A1854,sinap!$A$2:$R$9000,4,FALSE)</f>
        <v>ANGUS NEGRO</v>
      </c>
      <c r="M1854" s="15" t="str">
        <f>VLOOKUP(A1854,sinap!$A$2:$R$9000,5,FALSE)</f>
        <v>0 años 3 meses</v>
      </c>
      <c r="N1854" s="15" t="str">
        <f>VLOOKUP(A1854,sinap!$A$2:$R$9000,6,FALSE)</f>
        <v>05-10-2025</v>
      </c>
      <c r="O1854" s="15" t="str">
        <f>VLOOKUP(A1854,sinap!$A$2:$R$9000,7,FALSE)</f>
        <v>Vivo</v>
      </c>
      <c r="P1854" s="15" t="str">
        <f>VLOOKUP(A1854,sinap!$A$2:$R$9000,8,FALSE)</f>
        <v>11.1.01.1241</v>
      </c>
      <c r="Q1854" s="15" t="str">
        <f>VLOOKUP(A1854,sinap!$A$2:$R$9000,12,FALSE)</f>
        <v>Sin Movimiento</v>
      </c>
      <c r="R1854" s="15" t="str">
        <f>VLOOKUP(A1854,sinap!$A$2:$R$9000,16,FALSE)</f>
        <v>11.1.01.1241</v>
      </c>
      <c r="S1854" s="15" t="str">
        <f>VLOOKUP(A1854,sinap!$A$2:$Y$9000,20,FALSE)</f>
        <v>SI</v>
      </c>
      <c r="T1854" s="16">
        <v>45988</v>
      </c>
    </row>
    <row r="1855" spans="1:20" hidden="1" x14ac:dyDescent="0.25">
      <c r="A1855" s="15">
        <v>26234249</v>
      </c>
      <c r="J1855" s="15" t="str">
        <f>VLOOKUP(A1855,sinap!$A$2:$R$9000,2,FALSE)</f>
        <v>H</v>
      </c>
      <c r="K1855" s="15" t="str">
        <f>VLOOKUP(A1855,sinap!$A$2:$R$9000,3,FALSE)</f>
        <v>TERNERA</v>
      </c>
      <c r="L1855" s="15" t="str">
        <f>VLOOKUP(A1855,sinap!$A$2:$R$9000,4,FALSE)</f>
        <v>ANGUS ROJO</v>
      </c>
      <c r="M1855" s="15" t="str">
        <f>VLOOKUP(A1855,sinap!$A$2:$R$9000,5,FALSE)</f>
        <v>0 años 3 meses</v>
      </c>
      <c r="N1855" s="15" t="str">
        <f>VLOOKUP(A1855,sinap!$A$2:$R$9000,6,FALSE)</f>
        <v>05-10-2025</v>
      </c>
      <c r="O1855" s="15" t="str">
        <f>VLOOKUP(A1855,sinap!$A$2:$R$9000,7,FALSE)</f>
        <v>Vivo</v>
      </c>
      <c r="P1855" s="15" t="str">
        <f>VLOOKUP(A1855,sinap!$A$2:$R$9000,8,FALSE)</f>
        <v>11.1.01.1241</v>
      </c>
      <c r="Q1855" s="15" t="str">
        <f>VLOOKUP(A1855,sinap!$A$2:$R$9000,12,FALSE)</f>
        <v>Sin Movimiento</v>
      </c>
      <c r="R1855" s="15" t="str">
        <f>VLOOKUP(A1855,sinap!$A$2:$R$9000,16,FALSE)</f>
        <v>11.1.01.1241</v>
      </c>
      <c r="S1855" s="15" t="str">
        <f>VLOOKUP(A1855,sinap!$A$2:$Y$9000,20,FALSE)</f>
        <v>SI</v>
      </c>
      <c r="T1855" s="16">
        <v>45988</v>
      </c>
    </row>
    <row r="1856" spans="1:20" hidden="1" x14ac:dyDescent="0.25">
      <c r="A1856" s="15">
        <v>26234250</v>
      </c>
      <c r="J1856" s="15" t="str">
        <f>VLOOKUP(A1856,sinap!$A$2:$R$9000,2,FALSE)</f>
        <v>H</v>
      </c>
      <c r="K1856" s="15" t="str">
        <f>VLOOKUP(A1856,sinap!$A$2:$R$9000,3,FALSE)</f>
        <v>TERNERA</v>
      </c>
      <c r="L1856" s="15" t="str">
        <f>VLOOKUP(A1856,sinap!$A$2:$R$9000,4,FALSE)</f>
        <v>ANGUS NEGRO</v>
      </c>
      <c r="M1856" s="15" t="str">
        <f>VLOOKUP(A1856,sinap!$A$2:$R$9000,5,FALSE)</f>
        <v>0 años 3 meses</v>
      </c>
      <c r="N1856" s="15" t="str">
        <f>VLOOKUP(A1856,sinap!$A$2:$R$9000,6,FALSE)</f>
        <v>05-10-2025</v>
      </c>
      <c r="O1856" s="15" t="str">
        <f>VLOOKUP(A1856,sinap!$A$2:$R$9000,7,FALSE)</f>
        <v>Vivo</v>
      </c>
      <c r="P1856" s="15" t="str">
        <f>VLOOKUP(A1856,sinap!$A$2:$R$9000,8,FALSE)</f>
        <v>11.1.01.1241</v>
      </c>
      <c r="Q1856" s="15" t="str">
        <f>VLOOKUP(A1856,sinap!$A$2:$R$9000,12,FALSE)</f>
        <v>Sin Movimiento</v>
      </c>
      <c r="R1856" s="15" t="str">
        <f>VLOOKUP(A1856,sinap!$A$2:$R$9000,16,FALSE)</f>
        <v>11.1.01.1241</v>
      </c>
      <c r="S1856" s="15" t="str">
        <f>VLOOKUP(A1856,sinap!$A$2:$Y$9000,20,FALSE)</f>
        <v>SI</v>
      </c>
      <c r="T1856" s="16">
        <v>45988</v>
      </c>
    </row>
    <row r="1857" spans="1:20" hidden="1" x14ac:dyDescent="0.25">
      <c r="A1857" s="15">
        <v>26234251</v>
      </c>
      <c r="J1857" s="15" t="str">
        <f>VLOOKUP(A1857,sinap!$A$2:$R$9000,2,FALSE)</f>
        <v>H</v>
      </c>
      <c r="K1857" s="15" t="str">
        <f>VLOOKUP(A1857,sinap!$A$2:$R$9000,3,FALSE)</f>
        <v>TERNERA</v>
      </c>
      <c r="L1857" s="15" t="str">
        <f>VLOOKUP(A1857,sinap!$A$2:$R$9000,4,FALSE)</f>
        <v>ANGUS NEGRO</v>
      </c>
      <c r="M1857" s="15" t="str">
        <f>VLOOKUP(A1857,sinap!$A$2:$R$9000,5,FALSE)</f>
        <v>0 años 3 meses</v>
      </c>
      <c r="N1857" s="15" t="str">
        <f>VLOOKUP(A1857,sinap!$A$2:$R$9000,6,FALSE)</f>
        <v>05-10-2025</v>
      </c>
      <c r="O1857" s="15" t="str">
        <f>VLOOKUP(A1857,sinap!$A$2:$R$9000,7,FALSE)</f>
        <v>Vivo</v>
      </c>
      <c r="P1857" s="15" t="str">
        <f>VLOOKUP(A1857,sinap!$A$2:$R$9000,8,FALSE)</f>
        <v>11.1.01.1241</v>
      </c>
      <c r="Q1857" s="15" t="str">
        <f>VLOOKUP(A1857,sinap!$A$2:$R$9000,12,FALSE)</f>
        <v>Sin Movimiento</v>
      </c>
      <c r="R1857" s="15" t="str">
        <f>VLOOKUP(A1857,sinap!$A$2:$R$9000,16,FALSE)</f>
        <v>11.1.01.1241</v>
      </c>
      <c r="S1857" s="15" t="str">
        <f>VLOOKUP(A1857,sinap!$A$2:$Y$9000,20,FALSE)</f>
        <v>SI</v>
      </c>
      <c r="T1857" s="16">
        <v>45988</v>
      </c>
    </row>
    <row r="1858" spans="1:20" hidden="1" x14ac:dyDescent="0.25">
      <c r="A1858" s="15">
        <v>26234252</v>
      </c>
      <c r="J1858" s="15" t="str">
        <f>VLOOKUP(A1858,sinap!$A$2:$R$9000,2,FALSE)</f>
        <v>M</v>
      </c>
      <c r="K1858" s="15" t="str">
        <f>VLOOKUP(A1858,sinap!$A$2:$R$9000,3,FALSE)</f>
        <v>TERNERO</v>
      </c>
      <c r="L1858" s="15" t="str">
        <f>VLOOKUP(A1858,sinap!$A$2:$R$9000,4,FALSE)</f>
        <v>ANGUS NEGRO</v>
      </c>
      <c r="M1858" s="15" t="str">
        <f>VLOOKUP(A1858,sinap!$A$2:$R$9000,5,FALSE)</f>
        <v>0 años 3 meses</v>
      </c>
      <c r="N1858" s="15" t="str">
        <f>VLOOKUP(A1858,sinap!$A$2:$R$9000,6,FALSE)</f>
        <v>05-10-2025</v>
      </c>
      <c r="O1858" s="15" t="str">
        <f>VLOOKUP(A1858,sinap!$A$2:$R$9000,7,FALSE)</f>
        <v>Vivo</v>
      </c>
      <c r="P1858" s="15" t="str">
        <f>VLOOKUP(A1858,sinap!$A$2:$R$9000,8,FALSE)</f>
        <v>11.1.01.1241</v>
      </c>
      <c r="Q1858" s="15" t="str">
        <f>VLOOKUP(A1858,sinap!$A$2:$R$9000,12,FALSE)</f>
        <v>Sin Movimiento</v>
      </c>
      <c r="R1858" s="15" t="str">
        <f>VLOOKUP(A1858,sinap!$A$2:$R$9000,16,FALSE)</f>
        <v>11.1.01.1241</v>
      </c>
      <c r="S1858" s="15" t="str">
        <f>VLOOKUP(A1858,sinap!$A$2:$Y$9000,20,FALSE)</f>
        <v>SI</v>
      </c>
      <c r="T1858" s="16">
        <v>45988</v>
      </c>
    </row>
    <row r="1859" spans="1:20" hidden="1" x14ac:dyDescent="0.25">
      <c r="A1859" s="15">
        <v>26234253</v>
      </c>
      <c r="J1859" s="15" t="str">
        <f>VLOOKUP(A1859,sinap!$A$2:$R$9000,2,FALSE)</f>
        <v>H</v>
      </c>
      <c r="K1859" s="15" t="str">
        <f>VLOOKUP(A1859,sinap!$A$2:$R$9000,3,FALSE)</f>
        <v>TERNERA</v>
      </c>
      <c r="L1859" s="15" t="str">
        <f>VLOOKUP(A1859,sinap!$A$2:$R$9000,4,FALSE)</f>
        <v>ANGUS NEGRO</v>
      </c>
      <c r="M1859" s="15" t="str">
        <f>VLOOKUP(A1859,sinap!$A$2:$R$9000,5,FALSE)</f>
        <v>0 años 3 meses</v>
      </c>
      <c r="N1859" s="15" t="str">
        <f>VLOOKUP(A1859,sinap!$A$2:$R$9000,6,FALSE)</f>
        <v>05-10-2025</v>
      </c>
      <c r="O1859" s="15" t="str">
        <f>VLOOKUP(A1859,sinap!$A$2:$R$9000,7,FALSE)</f>
        <v>Vivo</v>
      </c>
      <c r="P1859" s="15" t="str">
        <f>VLOOKUP(A1859,sinap!$A$2:$R$9000,8,FALSE)</f>
        <v>11.1.01.1241</v>
      </c>
      <c r="Q1859" s="15" t="str">
        <f>VLOOKUP(A1859,sinap!$A$2:$R$9000,12,FALSE)</f>
        <v>Sin Movimiento</v>
      </c>
      <c r="R1859" s="15" t="str">
        <f>VLOOKUP(A1859,sinap!$A$2:$R$9000,16,FALSE)</f>
        <v>11.1.01.1241</v>
      </c>
      <c r="S1859" s="15" t="str">
        <f>VLOOKUP(A1859,sinap!$A$2:$Y$9000,20,FALSE)</f>
        <v>SI</v>
      </c>
      <c r="T1859" s="16">
        <v>45988</v>
      </c>
    </row>
    <row r="1860" spans="1:20" hidden="1" x14ac:dyDescent="0.25">
      <c r="A1860" s="15">
        <v>26234254</v>
      </c>
      <c r="J1860" s="15" t="str">
        <f>VLOOKUP(A1860,sinap!$A$2:$R$9000,2,FALSE)</f>
        <v>H</v>
      </c>
      <c r="K1860" s="15" t="str">
        <f>VLOOKUP(A1860,sinap!$A$2:$R$9000,3,FALSE)</f>
        <v>TERNERA</v>
      </c>
      <c r="L1860" s="15" t="str">
        <f>VLOOKUP(A1860,sinap!$A$2:$R$9000,4,FALSE)</f>
        <v>ANGUS NEGRO</v>
      </c>
      <c r="M1860" s="15" t="str">
        <f>VLOOKUP(A1860,sinap!$A$2:$R$9000,5,FALSE)</f>
        <v>0 años 3 meses</v>
      </c>
      <c r="N1860" s="15" t="str">
        <f>VLOOKUP(A1860,sinap!$A$2:$R$9000,6,FALSE)</f>
        <v>05-10-2025</v>
      </c>
      <c r="O1860" s="15" t="str">
        <f>VLOOKUP(A1860,sinap!$A$2:$R$9000,7,FALSE)</f>
        <v>Vivo</v>
      </c>
      <c r="P1860" s="15" t="str">
        <f>VLOOKUP(A1860,sinap!$A$2:$R$9000,8,FALSE)</f>
        <v>11.1.01.1241</v>
      </c>
      <c r="Q1860" s="15" t="str">
        <f>VLOOKUP(A1860,sinap!$A$2:$R$9000,12,FALSE)</f>
        <v>Sin Movimiento</v>
      </c>
      <c r="R1860" s="15" t="str">
        <f>VLOOKUP(A1860,sinap!$A$2:$R$9000,16,FALSE)</f>
        <v>11.1.01.1241</v>
      </c>
      <c r="S1860" s="15" t="str">
        <f>VLOOKUP(A1860,sinap!$A$2:$Y$9000,20,FALSE)</f>
        <v>SI</v>
      </c>
      <c r="T1860" s="16">
        <v>45988</v>
      </c>
    </row>
    <row r="1861" spans="1:20" hidden="1" x14ac:dyDescent="0.25">
      <c r="A1861" s="15">
        <v>26234255</v>
      </c>
      <c r="J1861" s="15" t="str">
        <f>VLOOKUP(A1861,sinap!$A$2:$R$9000,2,FALSE)</f>
        <v>H</v>
      </c>
      <c r="K1861" s="15" t="str">
        <f>VLOOKUP(A1861,sinap!$A$2:$R$9000,3,FALSE)</f>
        <v>TERNERA</v>
      </c>
      <c r="L1861" s="15" t="str">
        <f>VLOOKUP(A1861,sinap!$A$2:$R$9000,4,FALSE)</f>
        <v>ANGUS NEGRO</v>
      </c>
      <c r="M1861" s="15" t="str">
        <f>VLOOKUP(A1861,sinap!$A$2:$R$9000,5,FALSE)</f>
        <v>0 años 3 meses</v>
      </c>
      <c r="N1861" s="15" t="str">
        <f>VLOOKUP(A1861,sinap!$A$2:$R$9000,6,FALSE)</f>
        <v>05-10-2025</v>
      </c>
      <c r="O1861" s="15" t="str">
        <f>VLOOKUP(A1861,sinap!$A$2:$R$9000,7,FALSE)</f>
        <v>Vivo</v>
      </c>
      <c r="P1861" s="15" t="str">
        <f>VLOOKUP(A1861,sinap!$A$2:$R$9000,8,FALSE)</f>
        <v>11.1.01.1241</v>
      </c>
      <c r="Q1861" s="15" t="str">
        <f>VLOOKUP(A1861,sinap!$A$2:$R$9000,12,FALSE)</f>
        <v>Sin Movimiento</v>
      </c>
      <c r="R1861" s="15" t="str">
        <f>VLOOKUP(A1861,sinap!$A$2:$R$9000,16,FALSE)</f>
        <v>11.1.01.1241</v>
      </c>
      <c r="S1861" s="15" t="str">
        <f>VLOOKUP(A1861,sinap!$A$2:$Y$9000,20,FALSE)</f>
        <v>SI</v>
      </c>
      <c r="T1861" s="16">
        <v>45988</v>
      </c>
    </row>
    <row r="1862" spans="1:20" hidden="1" x14ac:dyDescent="0.25">
      <c r="A1862" s="15">
        <v>26234256</v>
      </c>
      <c r="J1862" s="15" t="str">
        <f>VLOOKUP(A1862,sinap!$A$2:$R$9000,2,FALSE)</f>
        <v>H</v>
      </c>
      <c r="K1862" s="15" t="str">
        <f>VLOOKUP(A1862,sinap!$A$2:$R$9000,3,FALSE)</f>
        <v>TERNERA</v>
      </c>
      <c r="L1862" s="15" t="str">
        <f>VLOOKUP(A1862,sinap!$A$2:$R$9000,4,FALSE)</f>
        <v>ANGUS NEGRO</v>
      </c>
      <c r="M1862" s="15" t="str">
        <f>VLOOKUP(A1862,sinap!$A$2:$R$9000,5,FALSE)</f>
        <v>0 años 3 meses</v>
      </c>
      <c r="N1862" s="15" t="str">
        <f>VLOOKUP(A1862,sinap!$A$2:$R$9000,6,FALSE)</f>
        <v>05-10-2025</v>
      </c>
      <c r="O1862" s="15" t="str">
        <f>VLOOKUP(A1862,sinap!$A$2:$R$9000,7,FALSE)</f>
        <v>Vivo</v>
      </c>
      <c r="P1862" s="15" t="str">
        <f>VLOOKUP(A1862,sinap!$A$2:$R$9000,8,FALSE)</f>
        <v>11.1.01.1241</v>
      </c>
      <c r="Q1862" s="15" t="str">
        <f>VLOOKUP(A1862,sinap!$A$2:$R$9000,12,FALSE)</f>
        <v>Sin Movimiento</v>
      </c>
      <c r="R1862" s="15" t="str">
        <f>VLOOKUP(A1862,sinap!$A$2:$R$9000,16,FALSE)</f>
        <v>11.1.01.1241</v>
      </c>
      <c r="S1862" s="15" t="str">
        <f>VLOOKUP(A1862,sinap!$A$2:$Y$9000,20,FALSE)</f>
        <v>SI</v>
      </c>
      <c r="T1862" s="16">
        <v>45988</v>
      </c>
    </row>
    <row r="1863" spans="1:20" hidden="1" x14ac:dyDescent="0.25">
      <c r="A1863" s="15">
        <v>26234257</v>
      </c>
      <c r="J1863" s="15" t="str">
        <f>VLOOKUP(A1863,sinap!$A$2:$R$9000,2,FALSE)</f>
        <v>M</v>
      </c>
      <c r="K1863" s="15" t="str">
        <f>VLOOKUP(A1863,sinap!$A$2:$R$9000,3,FALSE)</f>
        <v>TERNERO</v>
      </c>
      <c r="L1863" s="15" t="str">
        <f>VLOOKUP(A1863,sinap!$A$2:$R$9000,4,FALSE)</f>
        <v>ANGUS NEGRO</v>
      </c>
      <c r="M1863" s="15" t="str">
        <f>VLOOKUP(A1863,sinap!$A$2:$R$9000,5,FALSE)</f>
        <v>0 años 3 meses</v>
      </c>
      <c r="N1863" s="15" t="str">
        <f>VLOOKUP(A1863,sinap!$A$2:$R$9000,6,FALSE)</f>
        <v>05-10-2025</v>
      </c>
      <c r="O1863" s="15" t="str">
        <f>VLOOKUP(A1863,sinap!$A$2:$R$9000,7,FALSE)</f>
        <v>Vivo</v>
      </c>
      <c r="P1863" s="15" t="str">
        <f>VLOOKUP(A1863,sinap!$A$2:$R$9000,8,FALSE)</f>
        <v>11.1.01.1241</v>
      </c>
      <c r="Q1863" s="15" t="str">
        <f>VLOOKUP(A1863,sinap!$A$2:$R$9000,12,FALSE)</f>
        <v>Sin Movimiento</v>
      </c>
      <c r="R1863" s="15" t="str">
        <f>VLOOKUP(A1863,sinap!$A$2:$R$9000,16,FALSE)</f>
        <v>11.1.01.1241</v>
      </c>
      <c r="S1863" s="15" t="str">
        <f>VLOOKUP(A1863,sinap!$A$2:$Y$9000,20,FALSE)</f>
        <v>SI</v>
      </c>
      <c r="T1863" s="16">
        <v>45988</v>
      </c>
    </row>
    <row r="1864" spans="1:20" hidden="1" x14ac:dyDescent="0.25">
      <c r="A1864" s="15">
        <v>26234258</v>
      </c>
      <c r="J1864" s="15" t="str">
        <f>VLOOKUP(A1864,sinap!$A$2:$R$9000,2,FALSE)</f>
        <v>H</v>
      </c>
      <c r="K1864" s="15" t="str">
        <f>VLOOKUP(A1864,sinap!$A$2:$R$9000,3,FALSE)</f>
        <v>TERNERA</v>
      </c>
      <c r="L1864" s="15" t="str">
        <f>VLOOKUP(A1864,sinap!$A$2:$R$9000,4,FALSE)</f>
        <v>ANGUS NEGRO</v>
      </c>
      <c r="M1864" s="15" t="str">
        <f>VLOOKUP(A1864,sinap!$A$2:$R$9000,5,FALSE)</f>
        <v>0 años 3 meses</v>
      </c>
      <c r="N1864" s="15" t="str">
        <f>VLOOKUP(A1864,sinap!$A$2:$R$9000,6,FALSE)</f>
        <v>05-10-2025</v>
      </c>
      <c r="O1864" s="15" t="str">
        <f>VLOOKUP(A1864,sinap!$A$2:$R$9000,7,FALSE)</f>
        <v>Vivo</v>
      </c>
      <c r="P1864" s="15" t="str">
        <f>VLOOKUP(A1864,sinap!$A$2:$R$9000,8,FALSE)</f>
        <v>11.1.01.1241</v>
      </c>
      <c r="Q1864" s="15" t="str">
        <f>VLOOKUP(A1864,sinap!$A$2:$R$9000,12,FALSE)</f>
        <v>Sin Movimiento</v>
      </c>
      <c r="R1864" s="15" t="str">
        <f>VLOOKUP(A1864,sinap!$A$2:$R$9000,16,FALSE)</f>
        <v>11.1.01.1241</v>
      </c>
      <c r="S1864" s="15" t="str">
        <f>VLOOKUP(A1864,sinap!$A$2:$Y$9000,20,FALSE)</f>
        <v>SI</v>
      </c>
      <c r="T1864" s="16">
        <v>45988</v>
      </c>
    </row>
    <row r="1865" spans="1:20" hidden="1" x14ac:dyDescent="0.25">
      <c r="A1865" s="15">
        <v>26234259</v>
      </c>
      <c r="J1865" s="15" t="str">
        <f>VLOOKUP(A1865,sinap!$A$2:$R$9000,2,FALSE)</f>
        <v>H</v>
      </c>
      <c r="K1865" s="15" t="str">
        <f>VLOOKUP(A1865,sinap!$A$2:$R$9000,3,FALSE)</f>
        <v>TERNERA</v>
      </c>
      <c r="L1865" s="15" t="str">
        <f>VLOOKUP(A1865,sinap!$A$2:$R$9000,4,FALSE)</f>
        <v>ANGUS NEGRO</v>
      </c>
      <c r="M1865" s="15" t="str">
        <f>VLOOKUP(A1865,sinap!$A$2:$R$9000,5,FALSE)</f>
        <v>0 años 3 meses</v>
      </c>
      <c r="N1865" s="15" t="str">
        <f>VLOOKUP(A1865,sinap!$A$2:$R$9000,6,FALSE)</f>
        <v>05-10-2025</v>
      </c>
      <c r="O1865" s="15" t="str">
        <f>VLOOKUP(A1865,sinap!$A$2:$R$9000,7,FALSE)</f>
        <v>Vivo</v>
      </c>
      <c r="P1865" s="15" t="str">
        <f>VLOOKUP(A1865,sinap!$A$2:$R$9000,8,FALSE)</f>
        <v>11.1.01.1241</v>
      </c>
      <c r="Q1865" s="15" t="str">
        <f>VLOOKUP(A1865,sinap!$A$2:$R$9000,12,FALSE)</f>
        <v>Sin Movimiento</v>
      </c>
      <c r="R1865" s="15" t="str">
        <f>VLOOKUP(A1865,sinap!$A$2:$R$9000,16,FALSE)</f>
        <v>11.1.01.1241</v>
      </c>
      <c r="S1865" s="15" t="str">
        <f>VLOOKUP(A1865,sinap!$A$2:$Y$9000,20,FALSE)</f>
        <v>SI</v>
      </c>
      <c r="T1865" s="16">
        <v>45988</v>
      </c>
    </row>
    <row r="1866" spans="1:20" hidden="1" x14ac:dyDescent="0.25">
      <c r="A1866" s="15">
        <v>26234260</v>
      </c>
      <c r="J1866" s="15" t="str">
        <f>VLOOKUP(A1866,sinap!$A$2:$R$9000,2,FALSE)</f>
        <v>M</v>
      </c>
      <c r="K1866" s="15" t="str">
        <f>VLOOKUP(A1866,sinap!$A$2:$R$9000,3,FALSE)</f>
        <v>TERNERO</v>
      </c>
      <c r="L1866" s="15" t="str">
        <f>VLOOKUP(A1866,sinap!$A$2:$R$9000,4,FALSE)</f>
        <v>ANGUS NEGRO</v>
      </c>
      <c r="M1866" s="15" t="str">
        <f>VLOOKUP(A1866,sinap!$A$2:$R$9000,5,FALSE)</f>
        <v>0 años 3 meses</v>
      </c>
      <c r="N1866" s="15" t="str">
        <f>VLOOKUP(A1866,sinap!$A$2:$R$9000,6,FALSE)</f>
        <v>05-10-2025</v>
      </c>
      <c r="O1866" s="15" t="str">
        <f>VLOOKUP(A1866,sinap!$A$2:$R$9000,7,FALSE)</f>
        <v>Vivo</v>
      </c>
      <c r="P1866" s="15" t="str">
        <f>VLOOKUP(A1866,sinap!$A$2:$R$9000,8,FALSE)</f>
        <v>11.1.01.1241</v>
      </c>
      <c r="Q1866" s="15" t="str">
        <f>VLOOKUP(A1866,sinap!$A$2:$R$9000,12,FALSE)</f>
        <v>Sin Movimiento</v>
      </c>
      <c r="R1866" s="15" t="str">
        <f>VLOOKUP(A1866,sinap!$A$2:$R$9000,16,FALSE)</f>
        <v>11.1.01.1241</v>
      </c>
      <c r="S1866" s="15" t="str">
        <f>VLOOKUP(A1866,sinap!$A$2:$Y$9000,20,FALSE)</f>
        <v>SI</v>
      </c>
      <c r="T1866" s="16">
        <v>45988</v>
      </c>
    </row>
    <row r="1867" spans="1:20" hidden="1" x14ac:dyDescent="0.25">
      <c r="A1867" s="15">
        <v>26234261</v>
      </c>
      <c r="J1867" s="15" t="str">
        <f>VLOOKUP(A1867,sinap!$A$2:$R$9000,2,FALSE)</f>
        <v>H</v>
      </c>
      <c r="K1867" s="15" t="str">
        <f>VLOOKUP(A1867,sinap!$A$2:$R$9000,3,FALSE)</f>
        <v>TERNERA</v>
      </c>
      <c r="L1867" s="15" t="str">
        <f>VLOOKUP(A1867,sinap!$A$2:$R$9000,4,FALSE)</f>
        <v>ANGUS NEGRO</v>
      </c>
      <c r="M1867" s="15" t="str">
        <f>VLOOKUP(A1867,sinap!$A$2:$R$9000,5,FALSE)</f>
        <v>0 años 3 meses</v>
      </c>
      <c r="N1867" s="15" t="str">
        <f>VLOOKUP(A1867,sinap!$A$2:$R$9000,6,FALSE)</f>
        <v>05-10-2025</v>
      </c>
      <c r="O1867" s="15" t="str">
        <f>VLOOKUP(A1867,sinap!$A$2:$R$9000,7,FALSE)</f>
        <v>Vivo</v>
      </c>
      <c r="P1867" s="15" t="str">
        <f>VLOOKUP(A1867,sinap!$A$2:$R$9000,8,FALSE)</f>
        <v>11.1.01.1241</v>
      </c>
      <c r="Q1867" s="15" t="str">
        <f>VLOOKUP(A1867,sinap!$A$2:$R$9000,12,FALSE)</f>
        <v>Sin Movimiento</v>
      </c>
      <c r="R1867" s="15" t="str">
        <f>VLOOKUP(A1867,sinap!$A$2:$R$9000,16,FALSE)</f>
        <v>11.1.01.1241</v>
      </c>
      <c r="S1867" s="15" t="str">
        <f>VLOOKUP(A1867,sinap!$A$2:$Y$9000,20,FALSE)</f>
        <v>SI</v>
      </c>
      <c r="T1867" s="16">
        <v>45988</v>
      </c>
    </row>
    <row r="1868" spans="1:20" hidden="1" x14ac:dyDescent="0.25">
      <c r="A1868" s="15">
        <v>26234262</v>
      </c>
      <c r="J1868" s="15" t="str">
        <f>VLOOKUP(A1868,sinap!$A$2:$R$9000,2,FALSE)</f>
        <v>H</v>
      </c>
      <c r="K1868" s="15" t="str">
        <f>VLOOKUP(A1868,sinap!$A$2:$R$9000,3,FALSE)</f>
        <v>TERNERA</v>
      </c>
      <c r="L1868" s="15" t="str">
        <f>VLOOKUP(A1868,sinap!$A$2:$R$9000,4,FALSE)</f>
        <v>ANGUS NEGRO</v>
      </c>
      <c r="M1868" s="15" t="str">
        <f>VLOOKUP(A1868,sinap!$A$2:$R$9000,5,FALSE)</f>
        <v>0 años 3 meses</v>
      </c>
      <c r="N1868" s="15" t="str">
        <f>VLOOKUP(A1868,sinap!$A$2:$R$9000,6,FALSE)</f>
        <v>05-10-2025</v>
      </c>
      <c r="O1868" s="15" t="str">
        <f>VLOOKUP(A1868,sinap!$A$2:$R$9000,7,FALSE)</f>
        <v>Vivo</v>
      </c>
      <c r="P1868" s="15" t="str">
        <f>VLOOKUP(A1868,sinap!$A$2:$R$9000,8,FALSE)</f>
        <v>11.1.01.1241</v>
      </c>
      <c r="Q1868" s="15" t="str">
        <f>VLOOKUP(A1868,sinap!$A$2:$R$9000,12,FALSE)</f>
        <v>Sin Movimiento</v>
      </c>
      <c r="R1868" s="15" t="str">
        <f>VLOOKUP(A1868,sinap!$A$2:$R$9000,16,FALSE)</f>
        <v>11.1.01.1241</v>
      </c>
      <c r="S1868" s="15" t="str">
        <f>VLOOKUP(A1868,sinap!$A$2:$Y$9000,20,FALSE)</f>
        <v>SI</v>
      </c>
      <c r="T1868" s="16">
        <v>45988</v>
      </c>
    </row>
    <row r="1869" spans="1:20" hidden="1" x14ac:dyDescent="0.25">
      <c r="A1869" s="15">
        <v>26234263</v>
      </c>
      <c r="J1869" s="15" t="str">
        <f>VLOOKUP(A1869,sinap!$A$2:$R$9000,2,FALSE)</f>
        <v>H</v>
      </c>
      <c r="K1869" s="15" t="str">
        <f>VLOOKUP(A1869,sinap!$A$2:$R$9000,3,FALSE)</f>
        <v>TERNERA</v>
      </c>
      <c r="L1869" s="15" t="str">
        <f>VLOOKUP(A1869,sinap!$A$2:$R$9000,4,FALSE)</f>
        <v>ANGUS ROJO</v>
      </c>
      <c r="M1869" s="15" t="str">
        <f>VLOOKUP(A1869,sinap!$A$2:$R$9000,5,FALSE)</f>
        <v>0 años 3 meses</v>
      </c>
      <c r="N1869" s="15" t="str">
        <f>VLOOKUP(A1869,sinap!$A$2:$R$9000,6,FALSE)</f>
        <v>05-10-2025</v>
      </c>
      <c r="O1869" s="15" t="str">
        <f>VLOOKUP(A1869,sinap!$A$2:$R$9000,7,FALSE)</f>
        <v>Vivo</v>
      </c>
      <c r="P1869" s="15" t="str">
        <f>VLOOKUP(A1869,sinap!$A$2:$R$9000,8,FALSE)</f>
        <v>11.1.01.0941</v>
      </c>
      <c r="Q1869" s="15" t="str">
        <f>VLOOKUP(A1869,sinap!$A$2:$R$9000,12,FALSE)</f>
        <v>11.1.01.1241</v>
      </c>
      <c r="R1869" s="15" t="str">
        <f>VLOOKUP(A1869,sinap!$A$2:$R$9000,16,FALSE)</f>
        <v>11.1.01.1241</v>
      </c>
      <c r="S1869" s="15" t="str">
        <f>VLOOKUP(A1869,sinap!$A$2:$Y$9000,20,FALSE)</f>
        <v>SI</v>
      </c>
      <c r="T1869" s="16">
        <v>45988</v>
      </c>
    </row>
    <row r="1870" spans="1:20" hidden="1" x14ac:dyDescent="0.25">
      <c r="A1870" s="15">
        <v>26234264</v>
      </c>
      <c r="J1870" s="15" t="str">
        <f>VLOOKUP(A1870,sinap!$A$2:$R$9000,2,FALSE)</f>
        <v>M</v>
      </c>
      <c r="K1870" s="15" t="str">
        <f>VLOOKUP(A1870,sinap!$A$2:$R$9000,3,FALSE)</f>
        <v>TERNERO</v>
      </c>
      <c r="L1870" s="15" t="str">
        <f>VLOOKUP(A1870,sinap!$A$2:$R$9000,4,FALSE)</f>
        <v>ANGUS NEGRO</v>
      </c>
      <c r="M1870" s="15" t="str">
        <f>VLOOKUP(A1870,sinap!$A$2:$R$9000,5,FALSE)</f>
        <v>0 años 3 meses</v>
      </c>
      <c r="N1870" s="15" t="str">
        <f>VLOOKUP(A1870,sinap!$A$2:$R$9000,6,FALSE)</f>
        <v>05-10-2025</v>
      </c>
      <c r="O1870" s="15" t="str">
        <f>VLOOKUP(A1870,sinap!$A$2:$R$9000,7,FALSE)</f>
        <v>Vivo</v>
      </c>
      <c r="P1870" s="15" t="str">
        <f>VLOOKUP(A1870,sinap!$A$2:$R$9000,8,FALSE)</f>
        <v>11.1.01.1241</v>
      </c>
      <c r="Q1870" s="15" t="str">
        <f>VLOOKUP(A1870,sinap!$A$2:$R$9000,12,FALSE)</f>
        <v>Sin Movimiento</v>
      </c>
      <c r="R1870" s="15" t="str">
        <f>VLOOKUP(A1870,sinap!$A$2:$R$9000,16,FALSE)</f>
        <v>11.1.01.1241</v>
      </c>
      <c r="S1870" s="15" t="str">
        <f>VLOOKUP(A1870,sinap!$A$2:$Y$9000,20,FALSE)</f>
        <v>SI</v>
      </c>
      <c r="T1870" s="16">
        <v>45988</v>
      </c>
    </row>
    <row r="1871" spans="1:20" hidden="1" x14ac:dyDescent="0.25">
      <c r="A1871" s="15">
        <v>26234265</v>
      </c>
      <c r="J1871" s="15" t="str">
        <f>VLOOKUP(A1871,sinap!$A$2:$R$9000,2,FALSE)</f>
        <v>M</v>
      </c>
      <c r="K1871" s="15" t="str">
        <f>VLOOKUP(A1871,sinap!$A$2:$R$9000,3,FALSE)</f>
        <v>TERNERO</v>
      </c>
      <c r="L1871" s="15" t="str">
        <f>VLOOKUP(A1871,sinap!$A$2:$R$9000,4,FALSE)</f>
        <v>ANGUS NEGRO</v>
      </c>
      <c r="M1871" s="15" t="str">
        <f>VLOOKUP(A1871,sinap!$A$2:$R$9000,5,FALSE)</f>
        <v>0 años 3 meses</v>
      </c>
      <c r="N1871" s="15" t="str">
        <f>VLOOKUP(A1871,sinap!$A$2:$R$9000,6,FALSE)</f>
        <v>05-10-2025</v>
      </c>
      <c r="O1871" s="15" t="str">
        <f>VLOOKUP(A1871,sinap!$A$2:$R$9000,7,FALSE)</f>
        <v>Vivo</v>
      </c>
      <c r="P1871" s="15" t="str">
        <f>VLOOKUP(A1871,sinap!$A$2:$R$9000,8,FALSE)</f>
        <v>11.1.01.1241</v>
      </c>
      <c r="Q1871" s="15" t="str">
        <f>VLOOKUP(A1871,sinap!$A$2:$R$9000,12,FALSE)</f>
        <v>Sin Movimiento</v>
      </c>
      <c r="R1871" s="15" t="str">
        <f>VLOOKUP(A1871,sinap!$A$2:$R$9000,16,FALSE)</f>
        <v>11.1.01.1241</v>
      </c>
      <c r="S1871" s="15" t="str">
        <f>VLOOKUP(A1871,sinap!$A$2:$Y$9000,20,FALSE)</f>
        <v>SI</v>
      </c>
      <c r="T1871" s="16">
        <v>45988</v>
      </c>
    </row>
    <row r="1872" spans="1:20" hidden="1" x14ac:dyDescent="0.25">
      <c r="A1872" s="15">
        <v>26234266</v>
      </c>
      <c r="J1872" s="15" t="str">
        <f>VLOOKUP(A1872,sinap!$A$2:$R$9000,2,FALSE)</f>
        <v>H</v>
      </c>
      <c r="K1872" s="15" t="str">
        <f>VLOOKUP(A1872,sinap!$A$2:$R$9000,3,FALSE)</f>
        <v>TERNERA</v>
      </c>
      <c r="L1872" s="15" t="str">
        <f>VLOOKUP(A1872,sinap!$A$2:$R$9000,4,FALSE)</f>
        <v>ANGUS NEGRO</v>
      </c>
      <c r="M1872" s="15" t="str">
        <f>VLOOKUP(A1872,sinap!$A$2:$R$9000,5,FALSE)</f>
        <v>0 años 3 meses</v>
      </c>
      <c r="N1872" s="15" t="str">
        <f>VLOOKUP(A1872,sinap!$A$2:$R$9000,6,FALSE)</f>
        <v>05-10-2025</v>
      </c>
      <c r="O1872" s="15" t="str">
        <f>VLOOKUP(A1872,sinap!$A$2:$R$9000,7,FALSE)</f>
        <v>Vivo</v>
      </c>
      <c r="P1872" s="15" t="str">
        <f>VLOOKUP(A1872,sinap!$A$2:$R$9000,8,FALSE)</f>
        <v>11.1.01.1241</v>
      </c>
      <c r="Q1872" s="15" t="str">
        <f>VLOOKUP(A1872,sinap!$A$2:$R$9000,12,FALSE)</f>
        <v>Sin Movimiento</v>
      </c>
      <c r="R1872" s="15" t="str">
        <f>VLOOKUP(A1872,sinap!$A$2:$R$9000,16,FALSE)</f>
        <v>11.1.01.1241</v>
      </c>
      <c r="S1872" s="15" t="str">
        <f>VLOOKUP(A1872,sinap!$A$2:$Y$9000,20,FALSE)</f>
        <v>SI</v>
      </c>
      <c r="T1872" s="16">
        <v>45988</v>
      </c>
    </row>
    <row r="1873" spans="1:20" hidden="1" x14ac:dyDescent="0.25">
      <c r="A1873" s="15">
        <v>26234267</v>
      </c>
      <c r="J1873" s="15" t="str">
        <f>VLOOKUP(A1873,sinap!$A$2:$R$9000,2,FALSE)</f>
        <v>M</v>
      </c>
      <c r="K1873" s="15" t="str">
        <f>VLOOKUP(A1873,sinap!$A$2:$R$9000,3,FALSE)</f>
        <v>TERNERO</v>
      </c>
      <c r="L1873" s="15" t="str">
        <f>VLOOKUP(A1873,sinap!$A$2:$R$9000,4,FALSE)</f>
        <v>ANGUS NEGRO</v>
      </c>
      <c r="M1873" s="15" t="str">
        <f>VLOOKUP(A1873,sinap!$A$2:$R$9000,5,FALSE)</f>
        <v>0 años 3 meses</v>
      </c>
      <c r="N1873" s="15" t="str">
        <f>VLOOKUP(A1873,sinap!$A$2:$R$9000,6,FALSE)</f>
        <v>05-10-2025</v>
      </c>
      <c r="O1873" s="15" t="str">
        <f>VLOOKUP(A1873,sinap!$A$2:$R$9000,7,FALSE)</f>
        <v>Vivo</v>
      </c>
      <c r="P1873" s="15" t="str">
        <f>VLOOKUP(A1873,sinap!$A$2:$R$9000,8,FALSE)</f>
        <v>11.1.01.1241</v>
      </c>
      <c r="Q1873" s="15" t="str">
        <f>VLOOKUP(A1873,sinap!$A$2:$R$9000,12,FALSE)</f>
        <v>Sin Movimiento</v>
      </c>
      <c r="R1873" s="15" t="str">
        <f>VLOOKUP(A1873,sinap!$A$2:$R$9000,16,FALSE)</f>
        <v>11.1.01.1241</v>
      </c>
      <c r="S1873" s="15" t="str">
        <f>VLOOKUP(A1873,sinap!$A$2:$Y$9000,20,FALSE)</f>
        <v>SI</v>
      </c>
      <c r="T1873" s="16">
        <v>45988</v>
      </c>
    </row>
    <row r="1874" spans="1:20" hidden="1" x14ac:dyDescent="0.25">
      <c r="A1874" s="15">
        <v>26234268</v>
      </c>
      <c r="J1874" s="15" t="str">
        <f>VLOOKUP(A1874,sinap!$A$2:$R$9000,2,FALSE)</f>
        <v>H</v>
      </c>
      <c r="K1874" s="15" t="str">
        <f>VLOOKUP(A1874,sinap!$A$2:$R$9000,3,FALSE)</f>
        <v>TERNERA</v>
      </c>
      <c r="L1874" s="15" t="str">
        <f>VLOOKUP(A1874,sinap!$A$2:$R$9000,4,FALSE)</f>
        <v>ANGUS NEGRO</v>
      </c>
      <c r="M1874" s="15" t="str">
        <f>VLOOKUP(A1874,sinap!$A$2:$R$9000,5,FALSE)</f>
        <v>0 años 3 meses</v>
      </c>
      <c r="N1874" s="15" t="str">
        <f>VLOOKUP(A1874,sinap!$A$2:$R$9000,6,FALSE)</f>
        <v>05-10-2025</v>
      </c>
      <c r="O1874" s="15" t="str">
        <f>VLOOKUP(A1874,sinap!$A$2:$R$9000,7,FALSE)</f>
        <v>Vivo</v>
      </c>
      <c r="P1874" s="15" t="str">
        <f>VLOOKUP(A1874,sinap!$A$2:$R$9000,8,FALSE)</f>
        <v>11.1.01.1241</v>
      </c>
      <c r="Q1874" s="15" t="str">
        <f>VLOOKUP(A1874,sinap!$A$2:$R$9000,12,FALSE)</f>
        <v>Sin Movimiento</v>
      </c>
      <c r="R1874" s="15" t="str">
        <f>VLOOKUP(A1874,sinap!$A$2:$R$9000,16,FALSE)</f>
        <v>11.1.01.1241</v>
      </c>
      <c r="S1874" s="15" t="str">
        <f>VLOOKUP(A1874,sinap!$A$2:$Y$9000,20,FALSE)</f>
        <v>SI</v>
      </c>
      <c r="T1874" s="16">
        <v>45988</v>
      </c>
    </row>
    <row r="1875" spans="1:20" hidden="1" x14ac:dyDescent="0.25">
      <c r="A1875" s="15">
        <v>26234269</v>
      </c>
      <c r="J1875" s="15" t="str">
        <f>VLOOKUP(A1875,sinap!$A$2:$R$9000,2,FALSE)</f>
        <v>M</v>
      </c>
      <c r="K1875" s="15" t="str">
        <f>VLOOKUP(A1875,sinap!$A$2:$R$9000,3,FALSE)</f>
        <v>TERNERO</v>
      </c>
      <c r="L1875" s="15" t="str">
        <f>VLOOKUP(A1875,sinap!$A$2:$R$9000,4,FALSE)</f>
        <v>ANGUS NEGRO</v>
      </c>
      <c r="M1875" s="15" t="str">
        <f>VLOOKUP(A1875,sinap!$A$2:$R$9000,5,FALSE)</f>
        <v>0 años 3 meses</v>
      </c>
      <c r="N1875" s="15" t="str">
        <f>VLOOKUP(A1875,sinap!$A$2:$R$9000,6,FALSE)</f>
        <v>05-10-2025</v>
      </c>
      <c r="O1875" s="15" t="str">
        <f>VLOOKUP(A1875,sinap!$A$2:$R$9000,7,FALSE)</f>
        <v>Vivo</v>
      </c>
      <c r="P1875" s="15" t="str">
        <f>VLOOKUP(A1875,sinap!$A$2:$R$9000,8,FALSE)</f>
        <v>11.1.01.1241</v>
      </c>
      <c r="Q1875" s="15" t="str">
        <f>VLOOKUP(A1875,sinap!$A$2:$R$9000,12,FALSE)</f>
        <v>Sin Movimiento</v>
      </c>
      <c r="R1875" s="15" t="str">
        <f>VLOOKUP(A1875,sinap!$A$2:$R$9000,16,FALSE)</f>
        <v>11.1.01.1241</v>
      </c>
      <c r="S1875" s="15" t="str">
        <f>VLOOKUP(A1875,sinap!$A$2:$Y$9000,20,FALSE)</f>
        <v>SI</v>
      </c>
      <c r="T1875" s="16">
        <v>45988</v>
      </c>
    </row>
    <row r="1876" spans="1:20" hidden="1" x14ac:dyDescent="0.25">
      <c r="A1876" s="15">
        <v>26234270</v>
      </c>
      <c r="J1876" s="15" t="str">
        <f>VLOOKUP(A1876,sinap!$A$2:$R$9000,2,FALSE)</f>
        <v>H</v>
      </c>
      <c r="K1876" s="15" t="str">
        <f>VLOOKUP(A1876,sinap!$A$2:$R$9000,3,FALSE)</f>
        <v>TERNERA</v>
      </c>
      <c r="L1876" s="15" t="str">
        <f>VLOOKUP(A1876,sinap!$A$2:$R$9000,4,FALSE)</f>
        <v>ANGUS NEGRO</v>
      </c>
      <c r="M1876" s="15" t="str">
        <f>VLOOKUP(A1876,sinap!$A$2:$R$9000,5,FALSE)</f>
        <v>0 años 3 meses</v>
      </c>
      <c r="N1876" s="15" t="str">
        <f>VLOOKUP(A1876,sinap!$A$2:$R$9000,6,FALSE)</f>
        <v>05-10-2025</v>
      </c>
      <c r="O1876" s="15" t="str">
        <f>VLOOKUP(A1876,sinap!$A$2:$R$9000,7,FALSE)</f>
        <v>Vivo</v>
      </c>
      <c r="P1876" s="15" t="str">
        <f>VLOOKUP(A1876,sinap!$A$2:$R$9000,8,FALSE)</f>
        <v>11.1.01.1241</v>
      </c>
      <c r="Q1876" s="15" t="str">
        <f>VLOOKUP(A1876,sinap!$A$2:$R$9000,12,FALSE)</f>
        <v>Sin Movimiento</v>
      </c>
      <c r="R1876" s="15" t="str">
        <f>VLOOKUP(A1876,sinap!$A$2:$R$9000,16,FALSE)</f>
        <v>11.1.01.1241</v>
      </c>
      <c r="S1876" s="15" t="str">
        <f>VLOOKUP(A1876,sinap!$A$2:$Y$9000,20,FALSE)</f>
        <v>SI</v>
      </c>
      <c r="T1876" s="16">
        <v>45988</v>
      </c>
    </row>
    <row r="1877" spans="1:20" hidden="1" x14ac:dyDescent="0.25">
      <c r="A1877" s="15">
        <v>26234271</v>
      </c>
      <c r="J1877" s="15" t="str">
        <f>VLOOKUP(A1877,sinap!$A$2:$R$9000,2,FALSE)</f>
        <v>M</v>
      </c>
      <c r="K1877" s="15" t="str">
        <f>VLOOKUP(A1877,sinap!$A$2:$R$9000,3,FALSE)</f>
        <v>TERNERO</v>
      </c>
      <c r="L1877" s="15" t="str">
        <f>VLOOKUP(A1877,sinap!$A$2:$R$9000,4,FALSE)</f>
        <v>ANGUS NEGRO</v>
      </c>
      <c r="M1877" s="15" t="str">
        <f>VLOOKUP(A1877,sinap!$A$2:$R$9000,5,FALSE)</f>
        <v>0 años 3 meses</v>
      </c>
      <c r="N1877" s="15" t="str">
        <f>VLOOKUP(A1877,sinap!$A$2:$R$9000,6,FALSE)</f>
        <v>05-10-2025</v>
      </c>
      <c r="O1877" s="15" t="str">
        <f>VLOOKUP(A1877,sinap!$A$2:$R$9000,7,FALSE)</f>
        <v>Vivo</v>
      </c>
      <c r="P1877" s="15" t="str">
        <f>VLOOKUP(A1877,sinap!$A$2:$R$9000,8,FALSE)</f>
        <v>11.1.01.1241</v>
      </c>
      <c r="Q1877" s="15" t="str">
        <f>VLOOKUP(A1877,sinap!$A$2:$R$9000,12,FALSE)</f>
        <v>Sin Movimiento</v>
      </c>
      <c r="R1877" s="15" t="str">
        <f>VLOOKUP(A1877,sinap!$A$2:$R$9000,16,FALSE)</f>
        <v>11.1.01.1241</v>
      </c>
      <c r="S1877" s="15" t="str">
        <f>VLOOKUP(A1877,sinap!$A$2:$Y$9000,20,FALSE)</f>
        <v>SI</v>
      </c>
      <c r="T1877" s="16">
        <v>45988</v>
      </c>
    </row>
    <row r="1878" spans="1:20" hidden="1" x14ac:dyDescent="0.25">
      <c r="A1878" s="15">
        <v>26234272</v>
      </c>
      <c r="J1878" s="15" t="str">
        <f>VLOOKUP(A1878,sinap!$A$2:$R$9000,2,FALSE)</f>
        <v>H</v>
      </c>
      <c r="K1878" s="15" t="str">
        <f>VLOOKUP(A1878,sinap!$A$2:$R$9000,3,FALSE)</f>
        <v>TERNERA</v>
      </c>
      <c r="L1878" s="15" t="str">
        <f>VLOOKUP(A1878,sinap!$A$2:$R$9000,4,FALSE)</f>
        <v>ANGUS ROJO</v>
      </c>
      <c r="M1878" s="15" t="str">
        <f>VLOOKUP(A1878,sinap!$A$2:$R$9000,5,FALSE)</f>
        <v>0 años 3 meses</v>
      </c>
      <c r="N1878" s="15" t="str">
        <f>VLOOKUP(A1878,sinap!$A$2:$R$9000,6,FALSE)</f>
        <v>05-10-2025</v>
      </c>
      <c r="O1878" s="15" t="str">
        <f>VLOOKUP(A1878,sinap!$A$2:$R$9000,7,FALSE)</f>
        <v>Vivo</v>
      </c>
      <c r="P1878" s="15" t="str">
        <f>VLOOKUP(A1878,sinap!$A$2:$R$9000,8,FALSE)</f>
        <v>11.1.01.1241</v>
      </c>
      <c r="Q1878" s="15" t="str">
        <f>VLOOKUP(A1878,sinap!$A$2:$R$9000,12,FALSE)</f>
        <v>Sin Movimiento</v>
      </c>
      <c r="R1878" s="15" t="str">
        <f>VLOOKUP(A1878,sinap!$A$2:$R$9000,16,FALSE)</f>
        <v>11.1.01.1241</v>
      </c>
      <c r="S1878" s="15" t="str">
        <f>VLOOKUP(A1878,sinap!$A$2:$Y$9000,20,FALSE)</f>
        <v>SI</v>
      </c>
      <c r="T1878" s="16">
        <v>45988</v>
      </c>
    </row>
    <row r="1879" spans="1:20" hidden="1" x14ac:dyDescent="0.25">
      <c r="A1879" s="15">
        <v>26234273</v>
      </c>
      <c r="J1879" s="15" t="str">
        <f>VLOOKUP(A1879,sinap!$A$2:$R$9000,2,FALSE)</f>
        <v>M</v>
      </c>
      <c r="K1879" s="15" t="str">
        <f>VLOOKUP(A1879,sinap!$A$2:$R$9000,3,FALSE)</f>
        <v>TERNERO</v>
      </c>
      <c r="L1879" s="15" t="str">
        <f>VLOOKUP(A1879,sinap!$A$2:$R$9000,4,FALSE)</f>
        <v>ANGUS ROJO</v>
      </c>
      <c r="M1879" s="15" t="str">
        <f>VLOOKUP(A1879,sinap!$A$2:$R$9000,5,FALSE)</f>
        <v>0 años 3 meses</v>
      </c>
      <c r="N1879" s="15" t="str">
        <f>VLOOKUP(A1879,sinap!$A$2:$R$9000,6,FALSE)</f>
        <v>05-10-2025</v>
      </c>
      <c r="O1879" s="15" t="str">
        <f>VLOOKUP(A1879,sinap!$A$2:$R$9000,7,FALSE)</f>
        <v>Vivo</v>
      </c>
      <c r="P1879" s="15" t="str">
        <f>VLOOKUP(A1879,sinap!$A$2:$R$9000,8,FALSE)</f>
        <v>11.1.01.1241</v>
      </c>
      <c r="Q1879" s="15" t="str">
        <f>VLOOKUP(A1879,sinap!$A$2:$R$9000,12,FALSE)</f>
        <v>Sin Movimiento</v>
      </c>
      <c r="R1879" s="15" t="str">
        <f>VLOOKUP(A1879,sinap!$A$2:$R$9000,16,FALSE)</f>
        <v>11.1.01.1241</v>
      </c>
      <c r="S1879" s="15" t="str">
        <f>VLOOKUP(A1879,sinap!$A$2:$Y$9000,20,FALSE)</f>
        <v>SI</v>
      </c>
      <c r="T1879" s="16">
        <v>45988</v>
      </c>
    </row>
    <row r="1880" spans="1:20" hidden="1" x14ac:dyDescent="0.25">
      <c r="A1880" s="15">
        <v>26234274</v>
      </c>
      <c r="J1880" s="15" t="str">
        <f>VLOOKUP(A1880,sinap!$A$2:$R$9000,2,FALSE)</f>
        <v>M</v>
      </c>
      <c r="K1880" s="15" t="str">
        <f>VLOOKUP(A1880,sinap!$A$2:$R$9000,3,FALSE)</f>
        <v>TERNERO</v>
      </c>
      <c r="L1880" s="15" t="str">
        <f>VLOOKUP(A1880,sinap!$A$2:$R$9000,4,FALSE)</f>
        <v>ANGUS NEGRO</v>
      </c>
      <c r="M1880" s="15" t="str">
        <f>VLOOKUP(A1880,sinap!$A$2:$R$9000,5,FALSE)</f>
        <v>0 años 3 meses</v>
      </c>
      <c r="N1880" s="15" t="str">
        <f>VLOOKUP(A1880,sinap!$A$2:$R$9000,6,FALSE)</f>
        <v>05-10-2025</v>
      </c>
      <c r="O1880" s="15" t="str">
        <f>VLOOKUP(A1880,sinap!$A$2:$R$9000,7,FALSE)</f>
        <v>Vivo</v>
      </c>
      <c r="P1880" s="15" t="str">
        <f>VLOOKUP(A1880,sinap!$A$2:$R$9000,8,FALSE)</f>
        <v>11.1.01.1241</v>
      </c>
      <c r="Q1880" s="15" t="str">
        <f>VLOOKUP(A1880,sinap!$A$2:$R$9000,12,FALSE)</f>
        <v>Sin Movimiento</v>
      </c>
      <c r="R1880" s="15" t="str">
        <f>VLOOKUP(A1880,sinap!$A$2:$R$9000,16,FALSE)</f>
        <v>11.1.01.1241</v>
      </c>
      <c r="S1880" s="15" t="str">
        <f>VLOOKUP(A1880,sinap!$A$2:$Y$9000,20,FALSE)</f>
        <v>SI</v>
      </c>
      <c r="T1880" s="16">
        <v>45988</v>
      </c>
    </row>
    <row r="1881" spans="1:20" hidden="1" x14ac:dyDescent="0.25">
      <c r="A1881" s="15">
        <v>26234275</v>
      </c>
      <c r="J1881" s="15" t="str">
        <f>VLOOKUP(A1881,sinap!$A$2:$R$9000,2,FALSE)</f>
        <v>M</v>
      </c>
      <c r="K1881" s="15" t="str">
        <f>VLOOKUP(A1881,sinap!$A$2:$R$9000,3,FALSE)</f>
        <v>TERNERO</v>
      </c>
      <c r="L1881" s="15" t="str">
        <f>VLOOKUP(A1881,sinap!$A$2:$R$9000,4,FALSE)</f>
        <v>ANGUS NEGRO</v>
      </c>
      <c r="M1881" s="15" t="str">
        <f>VLOOKUP(A1881,sinap!$A$2:$R$9000,5,FALSE)</f>
        <v>0 años 3 meses</v>
      </c>
      <c r="N1881" s="15" t="str">
        <f>VLOOKUP(A1881,sinap!$A$2:$R$9000,6,FALSE)</f>
        <v>05-10-2025</v>
      </c>
      <c r="O1881" s="15" t="str">
        <f>VLOOKUP(A1881,sinap!$A$2:$R$9000,7,FALSE)</f>
        <v>Vivo</v>
      </c>
      <c r="P1881" s="15" t="str">
        <f>VLOOKUP(A1881,sinap!$A$2:$R$9000,8,FALSE)</f>
        <v>11.1.01.1241</v>
      </c>
      <c r="Q1881" s="15" t="str">
        <f>VLOOKUP(A1881,sinap!$A$2:$R$9000,12,FALSE)</f>
        <v>Sin Movimiento</v>
      </c>
      <c r="R1881" s="15" t="str">
        <f>VLOOKUP(A1881,sinap!$A$2:$R$9000,16,FALSE)</f>
        <v>11.1.01.1241</v>
      </c>
      <c r="S1881" s="15" t="str">
        <f>VLOOKUP(A1881,sinap!$A$2:$Y$9000,20,FALSE)</f>
        <v>SI</v>
      </c>
      <c r="T1881" s="16">
        <v>45988</v>
      </c>
    </row>
    <row r="1882" spans="1:20" hidden="1" x14ac:dyDescent="0.25">
      <c r="A1882" s="15">
        <v>26234276</v>
      </c>
      <c r="J1882" s="15" t="str">
        <f>VLOOKUP(A1882,sinap!$A$2:$R$9000,2,FALSE)</f>
        <v>H</v>
      </c>
      <c r="K1882" s="15" t="str">
        <f>VLOOKUP(A1882,sinap!$A$2:$R$9000,3,FALSE)</f>
        <v>TERNERA</v>
      </c>
      <c r="L1882" s="15" t="str">
        <f>VLOOKUP(A1882,sinap!$A$2:$R$9000,4,FALSE)</f>
        <v>ANGUS NEGRO</v>
      </c>
      <c r="M1882" s="15" t="str">
        <f>VLOOKUP(A1882,sinap!$A$2:$R$9000,5,FALSE)</f>
        <v>0 años 3 meses</v>
      </c>
      <c r="N1882" s="15" t="str">
        <f>VLOOKUP(A1882,sinap!$A$2:$R$9000,6,FALSE)</f>
        <v>05-10-2025</v>
      </c>
      <c r="O1882" s="15" t="str">
        <f>VLOOKUP(A1882,sinap!$A$2:$R$9000,7,FALSE)</f>
        <v>Vivo</v>
      </c>
      <c r="P1882" s="15" t="str">
        <f>VLOOKUP(A1882,sinap!$A$2:$R$9000,8,FALSE)</f>
        <v>11.1.01.1241</v>
      </c>
      <c r="Q1882" s="15" t="str">
        <f>VLOOKUP(A1882,sinap!$A$2:$R$9000,12,FALSE)</f>
        <v>Sin Movimiento</v>
      </c>
      <c r="R1882" s="15" t="str">
        <f>VLOOKUP(A1882,sinap!$A$2:$R$9000,16,FALSE)</f>
        <v>11.1.01.1241</v>
      </c>
      <c r="S1882" s="15" t="str">
        <f>VLOOKUP(A1882,sinap!$A$2:$Y$9000,20,FALSE)</f>
        <v>SI</v>
      </c>
      <c r="T1882" s="16">
        <v>45988</v>
      </c>
    </row>
    <row r="1883" spans="1:20" hidden="1" x14ac:dyDescent="0.25">
      <c r="A1883" s="15">
        <v>26234277</v>
      </c>
      <c r="J1883" s="15" t="str">
        <f>VLOOKUP(A1883,sinap!$A$2:$R$9000,2,FALSE)</f>
        <v>H</v>
      </c>
      <c r="K1883" s="15" t="str">
        <f>VLOOKUP(A1883,sinap!$A$2:$R$9000,3,FALSE)</f>
        <v>TERNERA</v>
      </c>
      <c r="L1883" s="15" t="str">
        <f>VLOOKUP(A1883,sinap!$A$2:$R$9000,4,FALSE)</f>
        <v>ANGUS NEGRO</v>
      </c>
      <c r="M1883" s="15" t="str">
        <f>VLOOKUP(A1883,sinap!$A$2:$R$9000,5,FALSE)</f>
        <v>0 años 3 meses</v>
      </c>
      <c r="N1883" s="15" t="str">
        <f>VLOOKUP(A1883,sinap!$A$2:$R$9000,6,FALSE)</f>
        <v>05-10-2025</v>
      </c>
      <c r="O1883" s="15" t="str">
        <f>VLOOKUP(A1883,sinap!$A$2:$R$9000,7,FALSE)</f>
        <v>Vivo</v>
      </c>
      <c r="P1883" s="15" t="str">
        <f>VLOOKUP(A1883,sinap!$A$2:$R$9000,8,FALSE)</f>
        <v>11.1.01.1241</v>
      </c>
      <c r="Q1883" s="15" t="str">
        <f>VLOOKUP(A1883,sinap!$A$2:$R$9000,12,FALSE)</f>
        <v>Sin Movimiento</v>
      </c>
      <c r="R1883" s="15" t="str">
        <f>VLOOKUP(A1883,sinap!$A$2:$R$9000,16,FALSE)</f>
        <v>11.1.01.1241</v>
      </c>
      <c r="S1883" s="15" t="str">
        <f>VLOOKUP(A1883,sinap!$A$2:$Y$9000,20,FALSE)</f>
        <v>SI</v>
      </c>
      <c r="T1883" s="16">
        <v>45988</v>
      </c>
    </row>
    <row r="1884" spans="1:20" hidden="1" x14ac:dyDescent="0.25">
      <c r="A1884" s="15">
        <v>26234278</v>
      </c>
      <c r="J1884" s="15" t="str">
        <f>VLOOKUP(A1884,sinap!$A$2:$R$9000,2,FALSE)</f>
        <v>H</v>
      </c>
      <c r="K1884" s="15" t="str">
        <f>VLOOKUP(A1884,sinap!$A$2:$R$9000,3,FALSE)</f>
        <v>TERNERA</v>
      </c>
      <c r="L1884" s="15" t="str">
        <f>VLOOKUP(A1884,sinap!$A$2:$R$9000,4,FALSE)</f>
        <v>ANGUS ROJO</v>
      </c>
      <c r="M1884" s="15" t="str">
        <f>VLOOKUP(A1884,sinap!$A$2:$R$9000,5,FALSE)</f>
        <v>0 años 3 meses</v>
      </c>
      <c r="N1884" s="15" t="str">
        <f>VLOOKUP(A1884,sinap!$A$2:$R$9000,6,FALSE)</f>
        <v>05-10-2025</v>
      </c>
      <c r="O1884" s="15" t="str">
        <f>VLOOKUP(A1884,sinap!$A$2:$R$9000,7,FALSE)</f>
        <v>Vivo</v>
      </c>
      <c r="P1884" s="15" t="str">
        <f>VLOOKUP(A1884,sinap!$A$2:$R$9000,8,FALSE)</f>
        <v>11.1.01.1241</v>
      </c>
      <c r="Q1884" s="15" t="str">
        <f>VLOOKUP(A1884,sinap!$A$2:$R$9000,12,FALSE)</f>
        <v>Sin Movimiento</v>
      </c>
      <c r="R1884" s="15" t="str">
        <f>VLOOKUP(A1884,sinap!$A$2:$R$9000,16,FALSE)</f>
        <v>11.1.01.1241</v>
      </c>
      <c r="S1884" s="15" t="str">
        <f>VLOOKUP(A1884,sinap!$A$2:$Y$9000,20,FALSE)</f>
        <v>SI</v>
      </c>
      <c r="T1884" s="16">
        <v>45988</v>
      </c>
    </row>
    <row r="1885" spans="1:20" hidden="1" x14ac:dyDescent="0.25">
      <c r="A1885" s="15">
        <v>26234279</v>
      </c>
      <c r="J1885" s="15" t="str">
        <f>VLOOKUP(A1885,sinap!$A$2:$R$9000,2,FALSE)</f>
        <v>M</v>
      </c>
      <c r="K1885" s="15" t="str">
        <f>VLOOKUP(A1885,sinap!$A$2:$R$9000,3,FALSE)</f>
        <v>TERNERO</v>
      </c>
      <c r="L1885" s="15" t="str">
        <f>VLOOKUP(A1885,sinap!$A$2:$R$9000,4,FALSE)</f>
        <v>ANGUS NEGRO</v>
      </c>
      <c r="M1885" s="15" t="str">
        <f>VLOOKUP(A1885,sinap!$A$2:$R$9000,5,FALSE)</f>
        <v>0 años 3 meses</v>
      </c>
      <c r="N1885" s="15" t="str">
        <f>VLOOKUP(A1885,sinap!$A$2:$R$9000,6,FALSE)</f>
        <v>15-10-2025</v>
      </c>
      <c r="O1885" s="15" t="str">
        <f>VLOOKUP(A1885,sinap!$A$2:$R$9000,7,FALSE)</f>
        <v>Vivo</v>
      </c>
      <c r="P1885" s="15" t="str">
        <f>VLOOKUP(A1885,sinap!$A$2:$R$9000,8,FALSE)</f>
        <v>11.2.01.0038</v>
      </c>
      <c r="Q1885" s="15" t="str">
        <f>VLOOKUP(A1885,sinap!$A$2:$R$9000,12,FALSE)</f>
        <v>11.1.01.0893</v>
      </c>
      <c r="R1885" s="15" t="str">
        <f>VLOOKUP(A1885,sinap!$A$2:$R$9000,16,FALSE)</f>
        <v>11.1.01.0893</v>
      </c>
      <c r="S1885" s="15" t="str">
        <f>VLOOKUP(A1885,sinap!$A$2:$Y$9000,20,FALSE)</f>
        <v>SI</v>
      </c>
      <c r="T1885" s="16">
        <v>45989</v>
      </c>
    </row>
    <row r="1886" spans="1:20" hidden="1" x14ac:dyDescent="0.25">
      <c r="A1886" s="15">
        <v>26234280</v>
      </c>
      <c r="J1886" s="15" t="str">
        <f>VLOOKUP(A1886,sinap!$A$2:$R$9000,2,FALSE)</f>
        <v>M</v>
      </c>
      <c r="K1886" s="15" t="str">
        <f>VLOOKUP(A1886,sinap!$A$2:$R$9000,3,FALSE)</f>
        <v>TERNERO</v>
      </c>
      <c r="L1886" s="15" t="str">
        <f>VLOOKUP(A1886,sinap!$A$2:$R$9000,4,FALSE)</f>
        <v>ANGUS NEGRO</v>
      </c>
      <c r="M1886" s="15" t="str">
        <f>VLOOKUP(A1886,sinap!$A$2:$R$9000,5,FALSE)</f>
        <v>0 años 3 meses</v>
      </c>
      <c r="N1886" s="15" t="str">
        <f>VLOOKUP(A1886,sinap!$A$2:$R$9000,6,FALSE)</f>
        <v>15-10-2025</v>
      </c>
      <c r="O1886" s="15" t="str">
        <f>VLOOKUP(A1886,sinap!$A$2:$R$9000,7,FALSE)</f>
        <v>Vivo</v>
      </c>
      <c r="P1886" s="15" t="str">
        <f>VLOOKUP(A1886,sinap!$A$2:$R$9000,8,FALSE)</f>
        <v>11.2.01.0038</v>
      </c>
      <c r="Q1886" s="15" t="str">
        <f>VLOOKUP(A1886,sinap!$A$2:$R$9000,12,FALSE)</f>
        <v>11.1.01.0893</v>
      </c>
      <c r="R1886" s="15" t="str">
        <f>VLOOKUP(A1886,sinap!$A$2:$R$9000,16,FALSE)</f>
        <v>11.1.01.0893</v>
      </c>
      <c r="S1886" s="15" t="str">
        <f>VLOOKUP(A1886,sinap!$A$2:$Y$9000,20,FALSE)</f>
        <v>SI</v>
      </c>
      <c r="T1886" s="16">
        <v>45989</v>
      </c>
    </row>
    <row r="1887" spans="1:20" hidden="1" x14ac:dyDescent="0.25">
      <c r="A1887" s="15">
        <v>26234281</v>
      </c>
      <c r="J1887" s="15" t="str">
        <f>VLOOKUP(A1887,sinap!$A$2:$R$9000,2,FALSE)</f>
        <v>M</v>
      </c>
      <c r="K1887" s="15" t="str">
        <f>VLOOKUP(A1887,sinap!$A$2:$R$9000,3,FALSE)</f>
        <v>TERNERO</v>
      </c>
      <c r="L1887" s="15" t="str">
        <f>VLOOKUP(A1887,sinap!$A$2:$R$9000,4,FALSE)</f>
        <v>ANGUS NEGRO</v>
      </c>
      <c r="M1887" s="15" t="str">
        <f>VLOOKUP(A1887,sinap!$A$2:$R$9000,5,FALSE)</f>
        <v>0 años 3 meses</v>
      </c>
      <c r="N1887" s="15" t="str">
        <f>VLOOKUP(A1887,sinap!$A$2:$R$9000,6,FALSE)</f>
        <v>15-10-2025</v>
      </c>
      <c r="O1887" s="15" t="str">
        <f>VLOOKUP(A1887,sinap!$A$2:$R$9000,7,FALSE)</f>
        <v>Vivo</v>
      </c>
      <c r="P1887" s="15" t="str">
        <f>VLOOKUP(A1887,sinap!$A$2:$R$9000,8,FALSE)</f>
        <v>11.2.01.0038</v>
      </c>
      <c r="Q1887" s="15" t="str">
        <f>VLOOKUP(A1887,sinap!$A$2:$R$9000,12,FALSE)</f>
        <v>11.1.01.0893</v>
      </c>
      <c r="R1887" s="15" t="str">
        <f>VLOOKUP(A1887,sinap!$A$2:$R$9000,16,FALSE)</f>
        <v>11.1.01.0893</v>
      </c>
      <c r="S1887" s="15" t="str">
        <f>VLOOKUP(A1887,sinap!$A$2:$Y$9000,20,FALSE)</f>
        <v>SI</v>
      </c>
      <c r="T1887" s="16">
        <v>45989</v>
      </c>
    </row>
    <row r="1888" spans="1:20" hidden="1" x14ac:dyDescent="0.25">
      <c r="A1888" s="15">
        <v>26234282</v>
      </c>
      <c r="J1888" s="15" t="str">
        <f>VLOOKUP(A1888,sinap!$A$2:$R$9000,2,FALSE)</f>
        <v>M</v>
      </c>
      <c r="K1888" s="15" t="str">
        <f>VLOOKUP(A1888,sinap!$A$2:$R$9000,3,FALSE)</f>
        <v>TERNERO</v>
      </c>
      <c r="L1888" s="15" t="str">
        <f>VLOOKUP(A1888,sinap!$A$2:$R$9000,4,FALSE)</f>
        <v>ANGUS NEGRO</v>
      </c>
      <c r="M1888" s="15" t="str">
        <f>VLOOKUP(A1888,sinap!$A$2:$R$9000,5,FALSE)</f>
        <v>0 años 3 meses</v>
      </c>
      <c r="N1888" s="15" t="str">
        <f>VLOOKUP(A1888,sinap!$A$2:$R$9000,6,FALSE)</f>
        <v>15-10-2025</v>
      </c>
      <c r="O1888" s="15" t="str">
        <f>VLOOKUP(A1888,sinap!$A$2:$R$9000,7,FALSE)</f>
        <v>Vivo</v>
      </c>
      <c r="P1888" s="15" t="str">
        <f>VLOOKUP(A1888,sinap!$A$2:$R$9000,8,FALSE)</f>
        <v>11.1.01.0791</v>
      </c>
      <c r="Q1888" s="15" t="str">
        <f>VLOOKUP(A1888,sinap!$A$2:$R$9000,12,FALSE)</f>
        <v>11.1.01.0893</v>
      </c>
      <c r="R1888" s="15" t="str">
        <f>VLOOKUP(A1888,sinap!$A$2:$R$9000,16,FALSE)</f>
        <v>11.1.01.0893</v>
      </c>
      <c r="S1888" s="15" t="str">
        <f>VLOOKUP(A1888,sinap!$A$2:$Y$9000,20,FALSE)</f>
        <v>SI</v>
      </c>
      <c r="T1888" s="16">
        <v>45989</v>
      </c>
    </row>
    <row r="1889" spans="1:20" hidden="1" x14ac:dyDescent="0.25">
      <c r="A1889" s="15">
        <v>26234283</v>
      </c>
      <c r="J1889" s="15" t="str">
        <f>VLOOKUP(A1889,sinap!$A$2:$R$9000,2,FALSE)</f>
        <v>H</v>
      </c>
      <c r="K1889" s="15" t="str">
        <f>VLOOKUP(A1889,sinap!$A$2:$R$9000,3,FALSE)</f>
        <v>TERNERA</v>
      </c>
      <c r="L1889" s="15" t="str">
        <f>VLOOKUP(A1889,sinap!$A$2:$R$9000,4,FALSE)</f>
        <v>ANGUS NEGRO</v>
      </c>
      <c r="M1889" s="15" t="str">
        <f>VLOOKUP(A1889,sinap!$A$2:$R$9000,5,FALSE)</f>
        <v>0 años 3 meses</v>
      </c>
      <c r="N1889" s="15" t="str">
        <f>VLOOKUP(A1889,sinap!$A$2:$R$9000,6,FALSE)</f>
        <v>15-10-2025</v>
      </c>
      <c r="O1889" s="15" t="str">
        <f>VLOOKUP(A1889,sinap!$A$2:$R$9000,7,FALSE)</f>
        <v>Vivo</v>
      </c>
      <c r="P1889" s="15" t="str">
        <f>VLOOKUP(A1889,sinap!$A$2:$R$9000,8,FALSE)</f>
        <v>11.1.01.0791</v>
      </c>
      <c r="Q1889" s="15" t="str">
        <f>VLOOKUP(A1889,sinap!$A$2:$R$9000,12,FALSE)</f>
        <v>11.1.01.0893</v>
      </c>
      <c r="R1889" s="15" t="str">
        <f>VLOOKUP(A1889,sinap!$A$2:$R$9000,16,FALSE)</f>
        <v>11.1.01.0893</v>
      </c>
      <c r="S1889" s="15" t="str">
        <f>VLOOKUP(A1889,sinap!$A$2:$Y$9000,20,FALSE)</f>
        <v>SI</v>
      </c>
      <c r="T1889" s="16">
        <v>45989</v>
      </c>
    </row>
    <row r="1890" spans="1:20" hidden="1" x14ac:dyDescent="0.25">
      <c r="A1890" s="15">
        <v>26234284</v>
      </c>
      <c r="J1890" s="15" t="str">
        <f>VLOOKUP(A1890,sinap!$A$2:$R$9000,2,FALSE)</f>
        <v>H</v>
      </c>
      <c r="K1890" s="15" t="str">
        <f>VLOOKUP(A1890,sinap!$A$2:$R$9000,3,FALSE)</f>
        <v>TERNERA</v>
      </c>
      <c r="L1890" s="15" t="str">
        <f>VLOOKUP(A1890,sinap!$A$2:$R$9000,4,FALSE)</f>
        <v>ANGUS NEGRO</v>
      </c>
      <c r="M1890" s="15" t="str">
        <f>VLOOKUP(A1890,sinap!$A$2:$R$9000,5,FALSE)</f>
        <v>0 años 3 meses</v>
      </c>
      <c r="N1890" s="15" t="str">
        <f>VLOOKUP(A1890,sinap!$A$2:$R$9000,6,FALSE)</f>
        <v>15-10-2025</v>
      </c>
      <c r="O1890" s="15" t="str">
        <f>VLOOKUP(A1890,sinap!$A$2:$R$9000,7,FALSE)</f>
        <v>Vivo</v>
      </c>
      <c r="P1890" s="15" t="str">
        <f>VLOOKUP(A1890,sinap!$A$2:$R$9000,8,FALSE)</f>
        <v>11.1.01.0791</v>
      </c>
      <c r="Q1890" s="15" t="str">
        <f>VLOOKUP(A1890,sinap!$A$2:$R$9000,12,FALSE)</f>
        <v>11.1.01.0893</v>
      </c>
      <c r="R1890" s="15" t="str">
        <f>VLOOKUP(A1890,sinap!$A$2:$R$9000,16,FALSE)</f>
        <v>11.1.01.0893</v>
      </c>
      <c r="S1890" s="15" t="str">
        <f>VLOOKUP(A1890,sinap!$A$2:$Y$9000,20,FALSE)</f>
        <v>SI</v>
      </c>
      <c r="T1890" s="16">
        <v>45989</v>
      </c>
    </row>
    <row r="1891" spans="1:20" hidden="1" x14ac:dyDescent="0.25">
      <c r="A1891" s="15">
        <v>26234285</v>
      </c>
      <c r="J1891" s="15" t="str">
        <f>VLOOKUP(A1891,sinap!$A$2:$R$9000,2,FALSE)</f>
        <v>M</v>
      </c>
      <c r="K1891" s="15" t="str">
        <f>VLOOKUP(A1891,sinap!$A$2:$R$9000,3,FALSE)</f>
        <v>TERNERO</v>
      </c>
      <c r="L1891" s="15" t="str">
        <f>VLOOKUP(A1891,sinap!$A$2:$R$9000,4,FALSE)</f>
        <v>ANGUS NEGRO</v>
      </c>
      <c r="M1891" s="15" t="str">
        <f>VLOOKUP(A1891,sinap!$A$2:$R$9000,5,FALSE)</f>
        <v>0 años 3 meses</v>
      </c>
      <c r="N1891" s="15" t="str">
        <f>VLOOKUP(A1891,sinap!$A$2:$R$9000,6,FALSE)</f>
        <v>15-10-2025</v>
      </c>
      <c r="O1891" s="15" t="str">
        <f>VLOOKUP(A1891,sinap!$A$2:$R$9000,7,FALSE)</f>
        <v>Vivo</v>
      </c>
      <c r="P1891" s="15" t="str">
        <f>VLOOKUP(A1891,sinap!$A$2:$R$9000,8,FALSE)</f>
        <v>11.2.01.0038</v>
      </c>
      <c r="Q1891" s="15" t="str">
        <f>VLOOKUP(A1891,sinap!$A$2:$R$9000,12,FALSE)</f>
        <v>11.1.01.0893</v>
      </c>
      <c r="R1891" s="15" t="str">
        <f>VLOOKUP(A1891,sinap!$A$2:$R$9000,16,FALSE)</f>
        <v>11.1.01.0893</v>
      </c>
      <c r="S1891" s="15" t="str">
        <f>VLOOKUP(A1891,sinap!$A$2:$Y$9000,20,FALSE)</f>
        <v>SI</v>
      </c>
      <c r="T1891" s="16">
        <v>45989</v>
      </c>
    </row>
    <row r="1892" spans="1:20" hidden="1" x14ac:dyDescent="0.25">
      <c r="A1892" s="15">
        <v>26234286</v>
      </c>
      <c r="J1892" s="15" t="str">
        <f>VLOOKUP(A1892,sinap!$A$2:$R$9000,2,FALSE)</f>
        <v>M</v>
      </c>
      <c r="K1892" s="15" t="str">
        <f>VLOOKUP(A1892,sinap!$A$2:$R$9000,3,FALSE)</f>
        <v>TERNERO</v>
      </c>
      <c r="L1892" s="15" t="str">
        <f>VLOOKUP(A1892,sinap!$A$2:$R$9000,4,FALSE)</f>
        <v>ANGUS NEGRO</v>
      </c>
      <c r="M1892" s="15" t="str">
        <f>VLOOKUP(A1892,sinap!$A$2:$R$9000,5,FALSE)</f>
        <v>0 años 3 meses</v>
      </c>
      <c r="N1892" s="15" t="str">
        <f>VLOOKUP(A1892,sinap!$A$2:$R$9000,6,FALSE)</f>
        <v>15-10-2025</v>
      </c>
      <c r="O1892" s="15" t="str">
        <f>VLOOKUP(A1892,sinap!$A$2:$R$9000,7,FALSE)</f>
        <v>Vivo</v>
      </c>
      <c r="P1892" s="15" t="str">
        <f>VLOOKUP(A1892,sinap!$A$2:$R$9000,8,FALSE)</f>
        <v>11.2.01.0038</v>
      </c>
      <c r="Q1892" s="15" t="str">
        <f>VLOOKUP(A1892,sinap!$A$2:$R$9000,12,FALSE)</f>
        <v>11.1.01.0893</v>
      </c>
      <c r="R1892" s="15" t="str">
        <f>VLOOKUP(A1892,sinap!$A$2:$R$9000,16,FALSE)</f>
        <v>11.1.01.0893</v>
      </c>
      <c r="S1892" s="15" t="str">
        <f>VLOOKUP(A1892,sinap!$A$2:$Y$9000,20,FALSE)</f>
        <v>SI</v>
      </c>
      <c r="T1892" s="16">
        <v>45989</v>
      </c>
    </row>
    <row r="1893" spans="1:20" hidden="1" x14ac:dyDescent="0.25">
      <c r="A1893" s="15">
        <v>26234287</v>
      </c>
      <c r="J1893" s="15" t="str">
        <f>VLOOKUP(A1893,sinap!$A$2:$R$9000,2,FALSE)</f>
        <v>H</v>
      </c>
      <c r="K1893" s="15" t="str">
        <f>VLOOKUP(A1893,sinap!$A$2:$R$9000,3,FALSE)</f>
        <v>TERNERA</v>
      </c>
      <c r="L1893" s="15" t="str">
        <f>VLOOKUP(A1893,sinap!$A$2:$R$9000,4,FALSE)</f>
        <v>ANGUS NEGRO</v>
      </c>
      <c r="M1893" s="15" t="str">
        <f>VLOOKUP(A1893,sinap!$A$2:$R$9000,5,FALSE)</f>
        <v>0 años 3 meses</v>
      </c>
      <c r="N1893" s="15" t="str">
        <f>VLOOKUP(A1893,sinap!$A$2:$R$9000,6,FALSE)</f>
        <v>15-10-2025</v>
      </c>
      <c r="O1893" s="15" t="str">
        <f>VLOOKUP(A1893,sinap!$A$2:$R$9000,7,FALSE)</f>
        <v>Vivo</v>
      </c>
      <c r="P1893" s="15" t="str">
        <f>VLOOKUP(A1893,sinap!$A$2:$R$9000,8,FALSE)</f>
        <v>11.2.01.0038</v>
      </c>
      <c r="Q1893" s="15" t="str">
        <f>VLOOKUP(A1893,sinap!$A$2:$R$9000,12,FALSE)</f>
        <v>11.1.01.0893</v>
      </c>
      <c r="R1893" s="15" t="str">
        <f>VLOOKUP(A1893,sinap!$A$2:$R$9000,16,FALSE)</f>
        <v>11.1.01.0893</v>
      </c>
      <c r="S1893" s="15" t="str">
        <f>VLOOKUP(A1893,sinap!$A$2:$Y$9000,20,FALSE)</f>
        <v>SI</v>
      </c>
      <c r="T1893" s="16">
        <v>45989</v>
      </c>
    </row>
    <row r="1894" spans="1:20" hidden="1" x14ac:dyDescent="0.25">
      <c r="A1894" s="15">
        <v>26234288</v>
      </c>
      <c r="J1894" s="15" t="str">
        <f>VLOOKUP(A1894,sinap!$A$2:$R$9000,2,FALSE)</f>
        <v>H</v>
      </c>
      <c r="K1894" s="15" t="str">
        <f>VLOOKUP(A1894,sinap!$A$2:$R$9000,3,FALSE)</f>
        <v>TERNERA</v>
      </c>
      <c r="L1894" s="15" t="str">
        <f>VLOOKUP(A1894,sinap!$A$2:$R$9000,4,FALSE)</f>
        <v>ANGUS NEGRO</v>
      </c>
      <c r="M1894" s="15" t="str">
        <f>VLOOKUP(A1894,sinap!$A$2:$R$9000,5,FALSE)</f>
        <v>0 años 3 meses</v>
      </c>
      <c r="N1894" s="15" t="str">
        <f>VLOOKUP(A1894,sinap!$A$2:$R$9000,6,FALSE)</f>
        <v>15-10-2025</v>
      </c>
      <c r="O1894" s="15" t="str">
        <f>VLOOKUP(A1894,sinap!$A$2:$R$9000,7,FALSE)</f>
        <v>Vivo</v>
      </c>
      <c r="P1894" s="15" t="str">
        <f>VLOOKUP(A1894,sinap!$A$2:$R$9000,8,FALSE)</f>
        <v>11.2.01.0038</v>
      </c>
      <c r="Q1894" s="15" t="str">
        <f>VLOOKUP(A1894,sinap!$A$2:$R$9000,12,FALSE)</f>
        <v>11.1.01.0893</v>
      </c>
      <c r="R1894" s="15" t="str">
        <f>VLOOKUP(A1894,sinap!$A$2:$R$9000,16,FALSE)</f>
        <v>11.1.01.0893</v>
      </c>
      <c r="S1894" s="15" t="str">
        <f>VLOOKUP(A1894,sinap!$A$2:$Y$9000,20,FALSE)</f>
        <v>SI</v>
      </c>
      <c r="T1894" s="16">
        <v>45989</v>
      </c>
    </row>
    <row r="1895" spans="1:20" hidden="1" x14ac:dyDescent="0.25">
      <c r="A1895" s="15">
        <v>26234289</v>
      </c>
      <c r="J1895" s="15" t="str">
        <f>VLOOKUP(A1895,sinap!$A$2:$R$9000,2,FALSE)</f>
        <v>M</v>
      </c>
      <c r="K1895" s="15" t="str">
        <f>VLOOKUP(A1895,sinap!$A$2:$R$9000,3,FALSE)</f>
        <v>TERNERO</v>
      </c>
      <c r="L1895" s="15" t="str">
        <f>VLOOKUP(A1895,sinap!$A$2:$R$9000,4,FALSE)</f>
        <v>ANGUS NEGRO</v>
      </c>
      <c r="M1895" s="15" t="str">
        <f>VLOOKUP(A1895,sinap!$A$2:$R$9000,5,FALSE)</f>
        <v>0 años 3 meses</v>
      </c>
      <c r="N1895" s="15" t="str">
        <f>VLOOKUP(A1895,sinap!$A$2:$R$9000,6,FALSE)</f>
        <v>15-10-2025</v>
      </c>
      <c r="O1895" s="15" t="str">
        <f>VLOOKUP(A1895,sinap!$A$2:$R$9000,7,FALSE)</f>
        <v>Vivo</v>
      </c>
      <c r="P1895" s="15" t="str">
        <f>VLOOKUP(A1895,sinap!$A$2:$R$9000,8,FALSE)</f>
        <v>11.1.01.0791</v>
      </c>
      <c r="Q1895" s="15" t="str">
        <f>VLOOKUP(A1895,sinap!$A$2:$R$9000,12,FALSE)</f>
        <v>11.1.01.0893</v>
      </c>
      <c r="R1895" s="15" t="str">
        <f>VLOOKUP(A1895,sinap!$A$2:$R$9000,16,FALSE)</f>
        <v>11.1.01.0893</v>
      </c>
      <c r="S1895" s="15" t="str">
        <f>VLOOKUP(A1895,sinap!$A$2:$Y$9000,20,FALSE)</f>
        <v>SI</v>
      </c>
      <c r="T1895" s="16">
        <v>45989</v>
      </c>
    </row>
    <row r="1896" spans="1:20" hidden="1" x14ac:dyDescent="0.25">
      <c r="A1896" s="15">
        <v>26234290</v>
      </c>
      <c r="J1896" s="15" t="str">
        <f>VLOOKUP(A1896,sinap!$A$2:$R$9000,2,FALSE)</f>
        <v>M</v>
      </c>
      <c r="K1896" s="15" t="str">
        <f>VLOOKUP(A1896,sinap!$A$2:$R$9000,3,FALSE)</f>
        <v>TERNERO</v>
      </c>
      <c r="L1896" s="15" t="str">
        <f>VLOOKUP(A1896,sinap!$A$2:$R$9000,4,FALSE)</f>
        <v>ANGUS ROJO</v>
      </c>
      <c r="M1896" s="15" t="str">
        <f>VLOOKUP(A1896,sinap!$A$2:$R$9000,5,FALSE)</f>
        <v>0 años 3 meses</v>
      </c>
      <c r="N1896" s="15" t="str">
        <f>VLOOKUP(A1896,sinap!$A$2:$R$9000,6,FALSE)</f>
        <v>15-10-2025</v>
      </c>
      <c r="O1896" s="15" t="str">
        <f>VLOOKUP(A1896,sinap!$A$2:$R$9000,7,FALSE)</f>
        <v>Vivo</v>
      </c>
      <c r="P1896" s="15" t="str">
        <f>VLOOKUP(A1896,sinap!$A$2:$R$9000,8,FALSE)</f>
        <v>11.2.01.0038</v>
      </c>
      <c r="Q1896" s="15" t="str">
        <f>VLOOKUP(A1896,sinap!$A$2:$R$9000,12,FALSE)</f>
        <v>11.1.01.0893</v>
      </c>
      <c r="R1896" s="15" t="str">
        <f>VLOOKUP(A1896,sinap!$A$2:$R$9000,16,FALSE)</f>
        <v>11.1.01.0893</v>
      </c>
      <c r="S1896" s="15" t="str">
        <f>VLOOKUP(A1896,sinap!$A$2:$Y$9000,20,FALSE)</f>
        <v>SI</v>
      </c>
      <c r="T1896" s="16">
        <v>45989</v>
      </c>
    </row>
    <row r="1897" spans="1:20" hidden="1" x14ac:dyDescent="0.25">
      <c r="A1897" s="15">
        <v>26234291</v>
      </c>
      <c r="J1897" s="15" t="str">
        <f>VLOOKUP(A1897,sinap!$A$2:$R$9000,2,FALSE)</f>
        <v>M</v>
      </c>
      <c r="K1897" s="15" t="str">
        <f>VLOOKUP(A1897,sinap!$A$2:$R$9000,3,FALSE)</f>
        <v>TERNERO</v>
      </c>
      <c r="L1897" s="15" t="str">
        <f>VLOOKUP(A1897,sinap!$A$2:$R$9000,4,FALSE)</f>
        <v>ANGUS NEGRO</v>
      </c>
      <c r="M1897" s="15" t="str">
        <f>VLOOKUP(A1897,sinap!$A$2:$R$9000,5,FALSE)</f>
        <v>0 años 3 meses</v>
      </c>
      <c r="N1897" s="15" t="str">
        <f>VLOOKUP(A1897,sinap!$A$2:$R$9000,6,FALSE)</f>
        <v>15-10-2025</v>
      </c>
      <c r="O1897" s="15" t="str">
        <f>VLOOKUP(A1897,sinap!$A$2:$R$9000,7,FALSE)</f>
        <v>Vivo</v>
      </c>
      <c r="P1897" s="15" t="str">
        <f>VLOOKUP(A1897,sinap!$A$2:$R$9000,8,FALSE)</f>
        <v>11.1.01.0791</v>
      </c>
      <c r="Q1897" s="15" t="str">
        <f>VLOOKUP(A1897,sinap!$A$2:$R$9000,12,FALSE)</f>
        <v>11.1.01.0893</v>
      </c>
      <c r="R1897" s="15" t="str">
        <f>VLOOKUP(A1897,sinap!$A$2:$R$9000,16,FALSE)</f>
        <v>11.1.01.0893</v>
      </c>
      <c r="S1897" s="15" t="str">
        <f>VLOOKUP(A1897,sinap!$A$2:$Y$9000,20,FALSE)</f>
        <v>SI</v>
      </c>
      <c r="T1897" s="16">
        <v>45989</v>
      </c>
    </row>
    <row r="1898" spans="1:20" hidden="1" x14ac:dyDescent="0.25">
      <c r="A1898" s="15">
        <v>26234292</v>
      </c>
      <c r="J1898" s="15" t="str">
        <f>VLOOKUP(A1898,sinap!$A$2:$R$9000,2,FALSE)</f>
        <v>H</v>
      </c>
      <c r="K1898" s="15" t="str">
        <f>VLOOKUP(A1898,sinap!$A$2:$R$9000,3,FALSE)</f>
        <v>TERNERA</v>
      </c>
      <c r="L1898" s="15" t="str">
        <f>VLOOKUP(A1898,sinap!$A$2:$R$9000,4,FALSE)</f>
        <v>ANGUS NEGRO</v>
      </c>
      <c r="M1898" s="15" t="str">
        <f>VLOOKUP(A1898,sinap!$A$2:$R$9000,5,FALSE)</f>
        <v>0 años 3 meses</v>
      </c>
      <c r="N1898" s="15" t="str">
        <f>VLOOKUP(A1898,sinap!$A$2:$R$9000,6,FALSE)</f>
        <v>15-10-2025</v>
      </c>
      <c r="O1898" s="15" t="str">
        <f>VLOOKUP(A1898,sinap!$A$2:$R$9000,7,FALSE)</f>
        <v>Vivo</v>
      </c>
      <c r="P1898" s="15" t="str">
        <f>VLOOKUP(A1898,sinap!$A$2:$R$9000,8,FALSE)</f>
        <v>11.2.01.0038</v>
      </c>
      <c r="Q1898" s="15" t="str">
        <f>VLOOKUP(A1898,sinap!$A$2:$R$9000,12,FALSE)</f>
        <v>11.1.01.0893</v>
      </c>
      <c r="R1898" s="15" t="str">
        <f>VLOOKUP(A1898,sinap!$A$2:$R$9000,16,FALSE)</f>
        <v>11.1.01.0893</v>
      </c>
      <c r="S1898" s="15" t="str">
        <f>VLOOKUP(A1898,sinap!$A$2:$Y$9000,20,FALSE)</f>
        <v>SI</v>
      </c>
      <c r="T1898" s="16">
        <v>45989</v>
      </c>
    </row>
    <row r="1899" spans="1:20" hidden="1" x14ac:dyDescent="0.25">
      <c r="A1899" s="15">
        <v>26234293</v>
      </c>
      <c r="J1899" s="15" t="str">
        <f>VLOOKUP(A1899,sinap!$A$2:$R$9000,2,FALSE)</f>
        <v>M</v>
      </c>
      <c r="K1899" s="15" t="str">
        <f>VLOOKUP(A1899,sinap!$A$2:$R$9000,3,FALSE)</f>
        <v>TERNERO</v>
      </c>
      <c r="L1899" s="15" t="str">
        <f>VLOOKUP(A1899,sinap!$A$2:$R$9000,4,FALSE)</f>
        <v>ANGUS NEGRO</v>
      </c>
      <c r="M1899" s="15" t="str">
        <f>VLOOKUP(A1899,sinap!$A$2:$R$9000,5,FALSE)</f>
        <v>0 años 3 meses</v>
      </c>
      <c r="N1899" s="15" t="str">
        <f>VLOOKUP(A1899,sinap!$A$2:$R$9000,6,FALSE)</f>
        <v>15-10-2025</v>
      </c>
      <c r="O1899" s="15" t="str">
        <f>VLOOKUP(A1899,sinap!$A$2:$R$9000,7,FALSE)</f>
        <v>Vivo</v>
      </c>
      <c r="P1899" s="15" t="str">
        <f>VLOOKUP(A1899,sinap!$A$2:$R$9000,8,FALSE)</f>
        <v>11.1.01.0791</v>
      </c>
      <c r="Q1899" s="15" t="str">
        <f>VLOOKUP(A1899,sinap!$A$2:$R$9000,12,FALSE)</f>
        <v>11.1.01.0893</v>
      </c>
      <c r="R1899" s="15" t="str">
        <f>VLOOKUP(A1899,sinap!$A$2:$R$9000,16,FALSE)</f>
        <v>11.1.01.0893</v>
      </c>
      <c r="S1899" s="15" t="str">
        <f>VLOOKUP(A1899,sinap!$A$2:$Y$9000,20,FALSE)</f>
        <v>SI</v>
      </c>
      <c r="T1899" s="16">
        <v>45989</v>
      </c>
    </row>
    <row r="1900" spans="1:20" hidden="1" x14ac:dyDescent="0.25">
      <c r="A1900" s="15">
        <v>26234294</v>
      </c>
      <c r="J1900" s="15" t="str">
        <f>VLOOKUP(A1900,sinap!$A$2:$R$9000,2,FALSE)</f>
        <v>H</v>
      </c>
      <c r="K1900" s="15" t="str">
        <f>VLOOKUP(A1900,sinap!$A$2:$R$9000,3,FALSE)</f>
        <v>TERNERA</v>
      </c>
      <c r="L1900" s="15" t="str">
        <f>VLOOKUP(A1900,sinap!$A$2:$R$9000,4,FALSE)</f>
        <v>ANGUS NEGRO</v>
      </c>
      <c r="M1900" s="15" t="str">
        <f>VLOOKUP(A1900,sinap!$A$2:$R$9000,5,FALSE)</f>
        <v>0 años 3 meses</v>
      </c>
      <c r="N1900" s="15" t="str">
        <f>VLOOKUP(A1900,sinap!$A$2:$R$9000,6,FALSE)</f>
        <v>15-10-2025</v>
      </c>
      <c r="O1900" s="15" t="str">
        <f>VLOOKUP(A1900,sinap!$A$2:$R$9000,7,FALSE)</f>
        <v>Vivo</v>
      </c>
      <c r="P1900" s="15" t="str">
        <f>VLOOKUP(A1900,sinap!$A$2:$R$9000,8,FALSE)</f>
        <v>11.1.01.0791</v>
      </c>
      <c r="Q1900" s="15" t="str">
        <f>VLOOKUP(A1900,sinap!$A$2:$R$9000,12,FALSE)</f>
        <v>11.1.01.0893</v>
      </c>
      <c r="R1900" s="15" t="str">
        <f>VLOOKUP(A1900,sinap!$A$2:$R$9000,16,FALSE)</f>
        <v>11.1.01.0893</v>
      </c>
      <c r="S1900" s="15" t="str">
        <f>VLOOKUP(A1900,sinap!$A$2:$Y$9000,20,FALSE)</f>
        <v>SI</v>
      </c>
      <c r="T1900" s="16">
        <v>45989</v>
      </c>
    </row>
    <row r="1901" spans="1:20" hidden="1" x14ac:dyDescent="0.25">
      <c r="A1901" s="15">
        <v>26234295</v>
      </c>
      <c r="J1901" s="15" t="str">
        <f>VLOOKUP(A1901,sinap!$A$2:$R$9000,2,FALSE)</f>
        <v>M</v>
      </c>
      <c r="K1901" s="15" t="str">
        <f>VLOOKUP(A1901,sinap!$A$2:$R$9000,3,FALSE)</f>
        <v>TERNERO</v>
      </c>
      <c r="L1901" s="15" t="str">
        <f>VLOOKUP(A1901,sinap!$A$2:$R$9000,4,FALSE)</f>
        <v>ANGUS NEGRO</v>
      </c>
      <c r="M1901" s="15" t="str">
        <f>VLOOKUP(A1901,sinap!$A$2:$R$9000,5,FALSE)</f>
        <v>0 años 4 meses</v>
      </c>
      <c r="N1901" s="15" t="str">
        <f>VLOOKUP(A1901,sinap!$A$2:$R$9000,6,FALSE)</f>
        <v>15-09-2025</v>
      </c>
      <c r="O1901" s="15" t="str">
        <f>VLOOKUP(A1901,sinap!$A$2:$R$9000,7,FALSE)</f>
        <v>Vivo</v>
      </c>
      <c r="P1901" s="15" t="str">
        <f>VLOOKUP(A1901,sinap!$A$2:$R$9000,8,FALSE)</f>
        <v>11.2.01.0038</v>
      </c>
      <c r="Q1901" s="15" t="str">
        <f>VLOOKUP(A1901,sinap!$A$2:$R$9000,12,FALSE)</f>
        <v>11.1.01.0893</v>
      </c>
      <c r="R1901" s="15" t="str">
        <f>VLOOKUP(A1901,sinap!$A$2:$R$9000,16,FALSE)</f>
        <v>11.1.01.0893</v>
      </c>
      <c r="S1901" s="15" t="str">
        <f>VLOOKUP(A1901,sinap!$A$2:$Y$9000,20,FALSE)</f>
        <v>SI</v>
      </c>
      <c r="T1901" s="16">
        <v>45989</v>
      </c>
    </row>
    <row r="1902" spans="1:20" hidden="1" x14ac:dyDescent="0.25">
      <c r="A1902" s="15">
        <v>26234296</v>
      </c>
      <c r="J1902" s="15" t="str">
        <f>VLOOKUP(A1902,sinap!$A$2:$R$9000,2,FALSE)</f>
        <v>H</v>
      </c>
      <c r="K1902" s="15" t="str">
        <f>VLOOKUP(A1902,sinap!$A$2:$R$9000,3,FALSE)</f>
        <v>TERNERA</v>
      </c>
      <c r="L1902" s="15" t="str">
        <f>VLOOKUP(A1902,sinap!$A$2:$R$9000,4,FALSE)</f>
        <v>ANGUS ROJO</v>
      </c>
      <c r="M1902" s="15" t="str">
        <f>VLOOKUP(A1902,sinap!$A$2:$R$9000,5,FALSE)</f>
        <v>0 años 3 meses</v>
      </c>
      <c r="N1902" s="15" t="str">
        <f>VLOOKUP(A1902,sinap!$A$2:$R$9000,6,FALSE)</f>
        <v>15-10-2025</v>
      </c>
      <c r="O1902" s="15" t="str">
        <f>VLOOKUP(A1902,sinap!$A$2:$R$9000,7,FALSE)</f>
        <v>Vivo</v>
      </c>
      <c r="P1902" s="15" t="str">
        <f>VLOOKUP(A1902,sinap!$A$2:$R$9000,8,FALSE)</f>
        <v>11.2.01.0038</v>
      </c>
      <c r="Q1902" s="15" t="str">
        <f>VLOOKUP(A1902,sinap!$A$2:$R$9000,12,FALSE)</f>
        <v>11.1.01.0893</v>
      </c>
      <c r="R1902" s="15" t="str">
        <f>VLOOKUP(A1902,sinap!$A$2:$R$9000,16,FALSE)</f>
        <v>11.1.01.0893</v>
      </c>
      <c r="S1902" s="15" t="str">
        <f>VLOOKUP(A1902,sinap!$A$2:$Y$9000,20,FALSE)</f>
        <v>SI</v>
      </c>
      <c r="T1902" s="16">
        <v>45989</v>
      </c>
    </row>
    <row r="1903" spans="1:20" hidden="1" x14ac:dyDescent="0.25">
      <c r="A1903" s="15">
        <v>26234297</v>
      </c>
      <c r="J1903" s="15" t="str">
        <f>VLOOKUP(A1903,sinap!$A$2:$R$9000,2,FALSE)</f>
        <v>M</v>
      </c>
      <c r="K1903" s="15" t="str">
        <f>VLOOKUP(A1903,sinap!$A$2:$R$9000,3,FALSE)</f>
        <v>TERNERO</v>
      </c>
      <c r="L1903" s="15" t="str">
        <f>VLOOKUP(A1903,sinap!$A$2:$R$9000,4,FALSE)</f>
        <v>ANGUS NEGRO</v>
      </c>
      <c r="M1903" s="15" t="str">
        <f>VLOOKUP(A1903,sinap!$A$2:$R$9000,5,FALSE)</f>
        <v>0 años 3 meses</v>
      </c>
      <c r="N1903" s="15" t="str">
        <f>VLOOKUP(A1903,sinap!$A$2:$R$9000,6,FALSE)</f>
        <v>15-10-2025</v>
      </c>
      <c r="O1903" s="15" t="str">
        <f>VLOOKUP(A1903,sinap!$A$2:$R$9000,7,FALSE)</f>
        <v>Vivo</v>
      </c>
      <c r="P1903" s="15" t="str">
        <f>VLOOKUP(A1903,sinap!$A$2:$R$9000,8,FALSE)</f>
        <v>11.2.01.0038</v>
      </c>
      <c r="Q1903" s="15" t="str">
        <f>VLOOKUP(A1903,sinap!$A$2:$R$9000,12,FALSE)</f>
        <v>11.1.01.0893</v>
      </c>
      <c r="R1903" s="15" t="str">
        <f>VLOOKUP(A1903,sinap!$A$2:$R$9000,16,FALSE)</f>
        <v>11.1.01.0893</v>
      </c>
      <c r="S1903" s="15" t="str">
        <f>VLOOKUP(A1903,sinap!$A$2:$Y$9000,20,FALSE)</f>
        <v>SI</v>
      </c>
      <c r="T1903" s="16">
        <v>45989</v>
      </c>
    </row>
    <row r="1904" spans="1:20" hidden="1" x14ac:dyDescent="0.25">
      <c r="A1904" s="15">
        <v>26234298</v>
      </c>
      <c r="J1904" s="15" t="str">
        <f>VLOOKUP(A1904,sinap!$A$2:$R$9000,2,FALSE)</f>
        <v>M</v>
      </c>
      <c r="K1904" s="15" t="str">
        <f>VLOOKUP(A1904,sinap!$A$2:$R$9000,3,FALSE)</f>
        <v>TERNERO</v>
      </c>
      <c r="L1904" s="15" t="str">
        <f>VLOOKUP(A1904,sinap!$A$2:$R$9000,4,FALSE)</f>
        <v>ANGUS NEGRO</v>
      </c>
      <c r="M1904" s="15" t="str">
        <f>VLOOKUP(A1904,sinap!$A$2:$R$9000,5,FALSE)</f>
        <v>0 años 4 meses</v>
      </c>
      <c r="N1904" s="15" t="str">
        <f>VLOOKUP(A1904,sinap!$A$2:$R$9000,6,FALSE)</f>
        <v>15-09-2025</v>
      </c>
      <c r="O1904" s="15" t="str">
        <f>VLOOKUP(A1904,sinap!$A$2:$R$9000,7,FALSE)</f>
        <v>Vivo</v>
      </c>
      <c r="P1904" s="15" t="str">
        <f>VLOOKUP(A1904,sinap!$A$2:$R$9000,8,FALSE)</f>
        <v>11.1.01.0791</v>
      </c>
      <c r="Q1904" s="15" t="str">
        <f>VLOOKUP(A1904,sinap!$A$2:$R$9000,12,FALSE)</f>
        <v>11.1.01.0893</v>
      </c>
      <c r="R1904" s="15" t="str">
        <f>VLOOKUP(A1904,sinap!$A$2:$R$9000,16,FALSE)</f>
        <v>11.1.01.0893</v>
      </c>
      <c r="S1904" s="15" t="str">
        <f>VLOOKUP(A1904,sinap!$A$2:$Y$9000,20,FALSE)</f>
        <v>SI</v>
      </c>
      <c r="T1904" s="16">
        <v>45989</v>
      </c>
    </row>
    <row r="1905" spans="1:20" hidden="1" x14ac:dyDescent="0.25">
      <c r="A1905" s="15">
        <v>26234299</v>
      </c>
      <c r="J1905" s="15" t="str">
        <f>VLOOKUP(A1905,sinap!$A$2:$R$9000,2,FALSE)</f>
        <v>H</v>
      </c>
      <c r="K1905" s="15" t="str">
        <f>VLOOKUP(A1905,sinap!$A$2:$R$9000,3,FALSE)</f>
        <v>TERNERA</v>
      </c>
      <c r="L1905" s="15" t="str">
        <f>VLOOKUP(A1905,sinap!$A$2:$R$9000,4,FALSE)</f>
        <v>ANGUS NEGRO</v>
      </c>
      <c r="M1905" s="15" t="str">
        <f>VLOOKUP(A1905,sinap!$A$2:$R$9000,5,FALSE)</f>
        <v>0 años 4 meses</v>
      </c>
      <c r="N1905" s="15" t="str">
        <f>VLOOKUP(A1905,sinap!$A$2:$R$9000,6,FALSE)</f>
        <v>15-09-2025</v>
      </c>
      <c r="O1905" s="15" t="str">
        <f>VLOOKUP(A1905,sinap!$A$2:$R$9000,7,FALSE)</f>
        <v>Vivo</v>
      </c>
      <c r="P1905" s="15" t="str">
        <f>VLOOKUP(A1905,sinap!$A$2:$R$9000,8,FALSE)</f>
        <v>11.2.01.0038</v>
      </c>
      <c r="Q1905" s="15" t="str">
        <f>VLOOKUP(A1905,sinap!$A$2:$R$9000,12,FALSE)</f>
        <v>11.1.01.0893</v>
      </c>
      <c r="R1905" s="15" t="str">
        <f>VLOOKUP(A1905,sinap!$A$2:$R$9000,16,FALSE)</f>
        <v>11.1.01.0893</v>
      </c>
      <c r="S1905" s="15" t="str">
        <f>VLOOKUP(A1905,sinap!$A$2:$Y$9000,20,FALSE)</f>
        <v>SI</v>
      </c>
      <c r="T1905" s="16">
        <v>45989</v>
      </c>
    </row>
    <row r="1906" spans="1:20" hidden="1" x14ac:dyDescent="0.25">
      <c r="A1906" s="15">
        <v>26234300</v>
      </c>
      <c r="J1906" s="15" t="str">
        <f>VLOOKUP(A1906,sinap!$A$2:$R$9000,2,FALSE)</f>
        <v>M</v>
      </c>
      <c r="K1906" s="15" t="str">
        <f>VLOOKUP(A1906,sinap!$A$2:$R$9000,3,FALSE)</f>
        <v>TERNERO</v>
      </c>
      <c r="L1906" s="15" t="str">
        <f>VLOOKUP(A1906,sinap!$A$2:$R$9000,4,FALSE)</f>
        <v>ANGUS NEGRO</v>
      </c>
      <c r="M1906" s="15" t="str">
        <f>VLOOKUP(A1906,sinap!$A$2:$R$9000,5,FALSE)</f>
        <v>0 años 4 meses</v>
      </c>
      <c r="N1906" s="15" t="str">
        <f>VLOOKUP(A1906,sinap!$A$2:$R$9000,6,FALSE)</f>
        <v>15-09-2025</v>
      </c>
      <c r="O1906" s="15" t="str">
        <f>VLOOKUP(A1906,sinap!$A$2:$R$9000,7,FALSE)</f>
        <v>Vivo</v>
      </c>
      <c r="P1906" s="15" t="str">
        <f>VLOOKUP(A1906,sinap!$A$2:$R$9000,8,FALSE)</f>
        <v>11.1.01.0791</v>
      </c>
      <c r="Q1906" s="15" t="str">
        <f>VLOOKUP(A1906,sinap!$A$2:$R$9000,12,FALSE)</f>
        <v>11.1.01.0893</v>
      </c>
      <c r="R1906" s="15" t="str">
        <f>VLOOKUP(A1906,sinap!$A$2:$R$9000,16,FALSE)</f>
        <v>11.1.01.0893</v>
      </c>
      <c r="S1906" s="15" t="str">
        <f>VLOOKUP(A1906,sinap!$A$2:$Y$9000,20,FALSE)</f>
        <v>SI</v>
      </c>
      <c r="T1906" s="16">
        <v>45989</v>
      </c>
    </row>
    <row r="1907" spans="1:20" hidden="1" x14ac:dyDescent="0.25">
      <c r="A1907" s="15">
        <v>26234301</v>
      </c>
      <c r="J1907" s="15" t="str">
        <f>VLOOKUP(A1907,sinap!$A$2:$R$9000,2,FALSE)</f>
        <v>M</v>
      </c>
      <c r="K1907" s="15" t="str">
        <f>VLOOKUP(A1907,sinap!$A$2:$R$9000,3,FALSE)</f>
        <v>TERNERO</v>
      </c>
      <c r="L1907" s="15" t="str">
        <f>VLOOKUP(A1907,sinap!$A$2:$R$9000,4,FALSE)</f>
        <v>ANGUS NEGRO</v>
      </c>
      <c r="M1907" s="15" t="str">
        <f>VLOOKUP(A1907,sinap!$A$2:$R$9000,5,FALSE)</f>
        <v>0 años 3 meses</v>
      </c>
      <c r="N1907" s="15" t="str">
        <f>VLOOKUP(A1907,sinap!$A$2:$R$9000,6,FALSE)</f>
        <v>15-10-2025</v>
      </c>
      <c r="O1907" s="15" t="str">
        <f>VLOOKUP(A1907,sinap!$A$2:$R$9000,7,FALSE)</f>
        <v>Vivo</v>
      </c>
      <c r="P1907" s="15" t="str">
        <f>VLOOKUP(A1907,sinap!$A$2:$R$9000,8,FALSE)</f>
        <v>11.1.01.0791</v>
      </c>
      <c r="Q1907" s="15" t="str">
        <f>VLOOKUP(A1907,sinap!$A$2:$R$9000,12,FALSE)</f>
        <v>11.1.01.0893</v>
      </c>
      <c r="R1907" s="15" t="str">
        <f>VLOOKUP(A1907,sinap!$A$2:$R$9000,16,FALSE)</f>
        <v>11.1.01.0893</v>
      </c>
      <c r="S1907" s="15" t="str">
        <f>VLOOKUP(A1907,sinap!$A$2:$Y$9000,20,FALSE)</f>
        <v>SI</v>
      </c>
      <c r="T1907" s="16">
        <v>45989</v>
      </c>
    </row>
    <row r="1908" spans="1:20" hidden="1" x14ac:dyDescent="0.25">
      <c r="A1908" s="15">
        <v>26234302</v>
      </c>
      <c r="J1908" s="15" t="str">
        <f>VLOOKUP(A1908,sinap!$A$2:$R$9000,2,FALSE)</f>
        <v>H</v>
      </c>
      <c r="K1908" s="15" t="str">
        <f>VLOOKUP(A1908,sinap!$A$2:$R$9000,3,FALSE)</f>
        <v>TERNERA</v>
      </c>
      <c r="L1908" s="15" t="str">
        <f>VLOOKUP(A1908,sinap!$A$2:$R$9000,4,FALSE)</f>
        <v>ANGUS NEGRO</v>
      </c>
      <c r="M1908" s="15" t="str">
        <f>VLOOKUP(A1908,sinap!$A$2:$R$9000,5,FALSE)</f>
        <v>0 años 3 meses</v>
      </c>
      <c r="N1908" s="15" t="str">
        <f>VLOOKUP(A1908,sinap!$A$2:$R$9000,6,FALSE)</f>
        <v>15-10-2025</v>
      </c>
      <c r="O1908" s="15" t="str">
        <f>VLOOKUP(A1908,sinap!$A$2:$R$9000,7,FALSE)</f>
        <v>Vivo</v>
      </c>
      <c r="P1908" s="15" t="str">
        <f>VLOOKUP(A1908,sinap!$A$2:$R$9000,8,FALSE)</f>
        <v>11.2.01.0038</v>
      </c>
      <c r="Q1908" s="15" t="str">
        <f>VLOOKUP(A1908,sinap!$A$2:$R$9000,12,FALSE)</f>
        <v>11.1.01.0893</v>
      </c>
      <c r="R1908" s="15" t="str">
        <f>VLOOKUP(A1908,sinap!$A$2:$R$9000,16,FALSE)</f>
        <v>11.1.01.0893</v>
      </c>
      <c r="S1908" s="15" t="str">
        <f>VLOOKUP(A1908,sinap!$A$2:$Y$9000,20,FALSE)</f>
        <v>SI</v>
      </c>
      <c r="T1908" s="16">
        <v>45989</v>
      </c>
    </row>
    <row r="1909" spans="1:20" hidden="1" x14ac:dyDescent="0.25">
      <c r="A1909" s="15">
        <v>26234303</v>
      </c>
      <c r="J1909" s="15" t="str">
        <f>VLOOKUP(A1909,sinap!$A$2:$R$9000,2,FALSE)</f>
        <v>M</v>
      </c>
      <c r="K1909" s="15" t="str">
        <f>VLOOKUP(A1909,sinap!$A$2:$R$9000,3,FALSE)</f>
        <v>TERNERO</v>
      </c>
      <c r="L1909" s="15" t="str">
        <f>VLOOKUP(A1909,sinap!$A$2:$R$9000,4,FALSE)</f>
        <v>ANGUS NEGRO</v>
      </c>
      <c r="M1909" s="15" t="str">
        <f>VLOOKUP(A1909,sinap!$A$2:$R$9000,5,FALSE)</f>
        <v>0 años 4 meses</v>
      </c>
      <c r="N1909" s="15" t="str">
        <f>VLOOKUP(A1909,sinap!$A$2:$R$9000,6,FALSE)</f>
        <v>15-09-2025</v>
      </c>
      <c r="O1909" s="15" t="str">
        <f>VLOOKUP(A1909,sinap!$A$2:$R$9000,7,FALSE)</f>
        <v>Vivo</v>
      </c>
      <c r="P1909" s="15" t="str">
        <f>VLOOKUP(A1909,sinap!$A$2:$R$9000,8,FALSE)</f>
        <v>11.2.01.0038</v>
      </c>
      <c r="Q1909" s="15" t="str">
        <f>VLOOKUP(A1909,sinap!$A$2:$R$9000,12,FALSE)</f>
        <v>11.1.01.0893</v>
      </c>
      <c r="R1909" s="15" t="str">
        <f>VLOOKUP(A1909,sinap!$A$2:$R$9000,16,FALSE)</f>
        <v>11.1.01.0893</v>
      </c>
      <c r="S1909" s="15" t="str">
        <f>VLOOKUP(A1909,sinap!$A$2:$Y$9000,20,FALSE)</f>
        <v>SI</v>
      </c>
      <c r="T1909" s="16">
        <v>45989</v>
      </c>
    </row>
    <row r="1910" spans="1:20" hidden="1" x14ac:dyDescent="0.25">
      <c r="A1910" s="15">
        <v>26234304</v>
      </c>
      <c r="J1910" s="15" t="str">
        <f>VLOOKUP(A1910,sinap!$A$2:$R$9000,2,FALSE)</f>
        <v>H</v>
      </c>
      <c r="K1910" s="15" t="str">
        <f>VLOOKUP(A1910,sinap!$A$2:$R$9000,3,FALSE)</f>
        <v>TERNERA</v>
      </c>
      <c r="L1910" s="15" t="str">
        <f>VLOOKUP(A1910,sinap!$A$2:$R$9000,4,FALSE)</f>
        <v>ANGUS NEGRO</v>
      </c>
      <c r="M1910" s="15" t="str">
        <f>VLOOKUP(A1910,sinap!$A$2:$R$9000,5,FALSE)</f>
        <v>0 años 3 meses</v>
      </c>
      <c r="N1910" s="15" t="str">
        <f>VLOOKUP(A1910,sinap!$A$2:$R$9000,6,FALSE)</f>
        <v>15-10-2025</v>
      </c>
      <c r="O1910" s="15" t="str">
        <f>VLOOKUP(A1910,sinap!$A$2:$R$9000,7,FALSE)</f>
        <v>Vivo</v>
      </c>
      <c r="P1910" s="15" t="str">
        <f>VLOOKUP(A1910,sinap!$A$2:$R$9000,8,FALSE)</f>
        <v>11.1.01.0791</v>
      </c>
      <c r="Q1910" s="15" t="str">
        <f>VLOOKUP(A1910,sinap!$A$2:$R$9000,12,FALSE)</f>
        <v>11.1.01.0893</v>
      </c>
      <c r="R1910" s="15" t="str">
        <f>VLOOKUP(A1910,sinap!$A$2:$R$9000,16,FALSE)</f>
        <v>11.1.01.0893</v>
      </c>
      <c r="S1910" s="15" t="str">
        <f>VLOOKUP(A1910,sinap!$A$2:$Y$9000,20,FALSE)</f>
        <v>SI</v>
      </c>
      <c r="T1910" s="16">
        <v>45989</v>
      </c>
    </row>
    <row r="1911" spans="1:20" hidden="1" x14ac:dyDescent="0.25">
      <c r="A1911" s="15">
        <v>26234305</v>
      </c>
      <c r="J1911" s="15" t="str">
        <f>VLOOKUP(A1911,sinap!$A$2:$R$9000,2,FALSE)</f>
        <v>M</v>
      </c>
      <c r="K1911" s="15" t="str">
        <f>VLOOKUP(A1911,sinap!$A$2:$R$9000,3,FALSE)</f>
        <v>TERNERO</v>
      </c>
      <c r="L1911" s="15" t="str">
        <f>VLOOKUP(A1911,sinap!$A$2:$R$9000,4,FALSE)</f>
        <v>ANGUS NEGRO</v>
      </c>
      <c r="M1911" s="15" t="str">
        <f>VLOOKUP(A1911,sinap!$A$2:$R$9000,5,FALSE)</f>
        <v>0 años 4 meses</v>
      </c>
      <c r="N1911" s="15" t="str">
        <f>VLOOKUP(A1911,sinap!$A$2:$R$9000,6,FALSE)</f>
        <v>15-09-2025</v>
      </c>
      <c r="O1911" s="15" t="str">
        <f>VLOOKUP(A1911,sinap!$A$2:$R$9000,7,FALSE)</f>
        <v>Vivo</v>
      </c>
      <c r="P1911" s="15" t="str">
        <f>VLOOKUP(A1911,sinap!$A$2:$R$9000,8,FALSE)</f>
        <v>11.2.01.0038</v>
      </c>
      <c r="Q1911" s="15" t="str">
        <f>VLOOKUP(A1911,sinap!$A$2:$R$9000,12,FALSE)</f>
        <v>11.1.01.0893</v>
      </c>
      <c r="R1911" s="15" t="str">
        <f>VLOOKUP(A1911,sinap!$A$2:$R$9000,16,FALSE)</f>
        <v>11.1.01.0893</v>
      </c>
      <c r="S1911" s="15" t="str">
        <f>VLOOKUP(A1911,sinap!$A$2:$Y$9000,20,FALSE)</f>
        <v>SI</v>
      </c>
      <c r="T1911" s="16">
        <v>45989</v>
      </c>
    </row>
    <row r="1912" spans="1:20" hidden="1" x14ac:dyDescent="0.25">
      <c r="A1912" s="15">
        <v>26234306</v>
      </c>
      <c r="J1912" s="15" t="str">
        <f>VLOOKUP(A1912,sinap!$A$2:$R$9000,2,FALSE)</f>
        <v>M</v>
      </c>
      <c r="K1912" s="15" t="str">
        <f>VLOOKUP(A1912,sinap!$A$2:$R$9000,3,FALSE)</f>
        <v>TERNERO</v>
      </c>
      <c r="L1912" s="15" t="str">
        <f>VLOOKUP(A1912,sinap!$A$2:$R$9000,4,FALSE)</f>
        <v>ANGUS NEGRO</v>
      </c>
      <c r="M1912" s="15" t="str">
        <f>VLOOKUP(A1912,sinap!$A$2:$R$9000,5,FALSE)</f>
        <v>0 años 3 meses</v>
      </c>
      <c r="N1912" s="15" t="str">
        <f>VLOOKUP(A1912,sinap!$A$2:$R$9000,6,FALSE)</f>
        <v>15-10-2025</v>
      </c>
      <c r="O1912" s="15" t="str">
        <f>VLOOKUP(A1912,sinap!$A$2:$R$9000,7,FALSE)</f>
        <v>Vivo</v>
      </c>
      <c r="P1912" s="15" t="str">
        <f>VLOOKUP(A1912,sinap!$A$2:$R$9000,8,FALSE)</f>
        <v>11.2.01.0038</v>
      </c>
      <c r="Q1912" s="15" t="str">
        <f>VLOOKUP(A1912,sinap!$A$2:$R$9000,12,FALSE)</f>
        <v>11.1.01.0893</v>
      </c>
      <c r="R1912" s="15" t="str">
        <f>VLOOKUP(A1912,sinap!$A$2:$R$9000,16,FALSE)</f>
        <v>11.1.01.0893</v>
      </c>
      <c r="S1912" s="15" t="str">
        <f>VLOOKUP(A1912,sinap!$A$2:$Y$9000,20,FALSE)</f>
        <v>SI</v>
      </c>
      <c r="T1912" s="16">
        <v>45989</v>
      </c>
    </row>
    <row r="1913" spans="1:20" hidden="1" x14ac:dyDescent="0.25">
      <c r="A1913" s="15">
        <v>26234307</v>
      </c>
      <c r="J1913" s="15" t="str">
        <f>VLOOKUP(A1913,sinap!$A$2:$R$9000,2,FALSE)</f>
        <v>M</v>
      </c>
      <c r="K1913" s="15" t="str">
        <f>VLOOKUP(A1913,sinap!$A$2:$R$9000,3,FALSE)</f>
        <v>TERNERO</v>
      </c>
      <c r="L1913" s="15" t="str">
        <f>VLOOKUP(A1913,sinap!$A$2:$R$9000,4,FALSE)</f>
        <v>ANGUS NEGRO</v>
      </c>
      <c r="M1913" s="15" t="str">
        <f>VLOOKUP(A1913,sinap!$A$2:$R$9000,5,FALSE)</f>
        <v>0 años 4 meses</v>
      </c>
      <c r="N1913" s="15" t="str">
        <f>VLOOKUP(A1913,sinap!$A$2:$R$9000,6,FALSE)</f>
        <v>15-09-2025</v>
      </c>
      <c r="O1913" s="15" t="str">
        <f>VLOOKUP(A1913,sinap!$A$2:$R$9000,7,FALSE)</f>
        <v>Vivo</v>
      </c>
      <c r="P1913" s="15" t="str">
        <f>VLOOKUP(A1913,sinap!$A$2:$R$9000,8,FALSE)</f>
        <v>11.2.01.0038</v>
      </c>
      <c r="Q1913" s="15" t="str">
        <f>VLOOKUP(A1913,sinap!$A$2:$R$9000,12,FALSE)</f>
        <v>11.1.01.0893</v>
      </c>
      <c r="R1913" s="15" t="str">
        <f>VLOOKUP(A1913,sinap!$A$2:$R$9000,16,FALSE)</f>
        <v>11.1.01.0893</v>
      </c>
      <c r="S1913" s="15" t="str">
        <f>VLOOKUP(A1913,sinap!$A$2:$Y$9000,20,FALSE)</f>
        <v>SI</v>
      </c>
      <c r="T1913" s="16">
        <v>45989</v>
      </c>
    </row>
    <row r="1914" spans="1:20" hidden="1" x14ac:dyDescent="0.25">
      <c r="A1914" s="15">
        <v>26234308</v>
      </c>
      <c r="J1914" s="15" t="str">
        <f>VLOOKUP(A1914,sinap!$A$2:$R$9000,2,FALSE)</f>
        <v>H</v>
      </c>
      <c r="K1914" s="15" t="str">
        <f>VLOOKUP(A1914,sinap!$A$2:$R$9000,3,FALSE)</f>
        <v>TERNERA</v>
      </c>
      <c r="L1914" s="15" t="str">
        <f>VLOOKUP(A1914,sinap!$A$2:$R$9000,4,FALSE)</f>
        <v>ANGUS NEGRO</v>
      </c>
      <c r="M1914" s="15" t="str">
        <f>VLOOKUP(A1914,sinap!$A$2:$R$9000,5,FALSE)</f>
        <v>0 años 4 meses</v>
      </c>
      <c r="N1914" s="15" t="str">
        <f>VLOOKUP(A1914,sinap!$A$2:$R$9000,6,FALSE)</f>
        <v>15-09-2025</v>
      </c>
      <c r="O1914" s="15" t="str">
        <f>VLOOKUP(A1914,sinap!$A$2:$R$9000,7,FALSE)</f>
        <v>Vivo</v>
      </c>
      <c r="P1914" s="15" t="str">
        <f>VLOOKUP(A1914,sinap!$A$2:$R$9000,8,FALSE)</f>
        <v>11.2.01.0038</v>
      </c>
      <c r="Q1914" s="15" t="str">
        <f>VLOOKUP(A1914,sinap!$A$2:$R$9000,12,FALSE)</f>
        <v>11.1.01.0893</v>
      </c>
      <c r="R1914" s="15" t="str">
        <f>VLOOKUP(A1914,sinap!$A$2:$R$9000,16,FALSE)</f>
        <v>11.1.01.0893</v>
      </c>
      <c r="S1914" s="15" t="str">
        <f>VLOOKUP(A1914,sinap!$A$2:$Y$9000,20,FALSE)</f>
        <v>SI</v>
      </c>
      <c r="T1914" s="16">
        <v>45989</v>
      </c>
    </row>
    <row r="1915" spans="1:20" hidden="1" x14ac:dyDescent="0.25">
      <c r="A1915" s="15">
        <v>26234309</v>
      </c>
      <c r="J1915" s="15" t="str">
        <f>VLOOKUP(A1915,sinap!$A$2:$R$9000,2,FALSE)</f>
        <v>H</v>
      </c>
      <c r="K1915" s="15" t="str">
        <f>VLOOKUP(A1915,sinap!$A$2:$R$9000,3,FALSE)</f>
        <v>TERNERA</v>
      </c>
      <c r="L1915" s="15" t="str">
        <f>VLOOKUP(A1915,sinap!$A$2:$R$9000,4,FALSE)</f>
        <v>ANGUS NEGRO</v>
      </c>
      <c r="M1915" s="15" t="str">
        <f>VLOOKUP(A1915,sinap!$A$2:$R$9000,5,FALSE)</f>
        <v>0 años 3 meses</v>
      </c>
      <c r="N1915" s="15" t="str">
        <f>VLOOKUP(A1915,sinap!$A$2:$R$9000,6,FALSE)</f>
        <v>15-10-2025</v>
      </c>
      <c r="O1915" s="15" t="str">
        <f>VLOOKUP(A1915,sinap!$A$2:$R$9000,7,FALSE)</f>
        <v>Vivo</v>
      </c>
      <c r="P1915" s="15" t="str">
        <f>VLOOKUP(A1915,sinap!$A$2:$R$9000,8,FALSE)</f>
        <v>11.1.01.0791</v>
      </c>
      <c r="Q1915" s="15" t="str">
        <f>VLOOKUP(A1915,sinap!$A$2:$R$9000,12,FALSE)</f>
        <v>11.1.01.0893</v>
      </c>
      <c r="R1915" s="15" t="str">
        <f>VLOOKUP(A1915,sinap!$A$2:$R$9000,16,FALSE)</f>
        <v>11.1.01.0893</v>
      </c>
      <c r="S1915" s="15" t="str">
        <f>VLOOKUP(A1915,sinap!$A$2:$Y$9000,20,FALSE)</f>
        <v>SI</v>
      </c>
      <c r="T1915" s="16">
        <v>45989</v>
      </c>
    </row>
    <row r="1916" spans="1:20" hidden="1" x14ac:dyDescent="0.25">
      <c r="A1916" s="15">
        <v>26234310</v>
      </c>
      <c r="J1916" s="15" t="str">
        <f>VLOOKUP(A1916,sinap!$A$2:$R$9000,2,FALSE)</f>
        <v>M</v>
      </c>
      <c r="K1916" s="15" t="str">
        <f>VLOOKUP(A1916,sinap!$A$2:$R$9000,3,FALSE)</f>
        <v>TERNERO</v>
      </c>
      <c r="L1916" s="15" t="str">
        <f>VLOOKUP(A1916,sinap!$A$2:$R$9000,4,FALSE)</f>
        <v>ANGUS NEGRO</v>
      </c>
      <c r="M1916" s="15" t="str">
        <f>VLOOKUP(A1916,sinap!$A$2:$R$9000,5,FALSE)</f>
        <v>0 años 3 meses</v>
      </c>
      <c r="N1916" s="15" t="str">
        <f>VLOOKUP(A1916,sinap!$A$2:$R$9000,6,FALSE)</f>
        <v>15-10-2025</v>
      </c>
      <c r="O1916" s="15" t="str">
        <f>VLOOKUP(A1916,sinap!$A$2:$R$9000,7,FALSE)</f>
        <v>Vivo</v>
      </c>
      <c r="P1916" s="15" t="str">
        <f>VLOOKUP(A1916,sinap!$A$2:$R$9000,8,FALSE)</f>
        <v>11.1.01.0791</v>
      </c>
      <c r="Q1916" s="15" t="str">
        <f>VLOOKUP(A1916,sinap!$A$2:$R$9000,12,FALSE)</f>
        <v>11.1.01.0893</v>
      </c>
      <c r="R1916" s="15" t="str">
        <f>VLOOKUP(A1916,sinap!$A$2:$R$9000,16,FALSE)</f>
        <v>11.1.01.0893</v>
      </c>
      <c r="S1916" s="15" t="str">
        <f>VLOOKUP(A1916,sinap!$A$2:$Y$9000,20,FALSE)</f>
        <v>SI</v>
      </c>
      <c r="T1916" s="16">
        <v>45989</v>
      </c>
    </row>
    <row r="1917" spans="1:20" hidden="1" x14ac:dyDescent="0.25">
      <c r="A1917" s="15">
        <v>26234311</v>
      </c>
      <c r="J1917" s="15" t="str">
        <f>VLOOKUP(A1917,sinap!$A$2:$R$9000,2,FALSE)</f>
        <v>M</v>
      </c>
      <c r="K1917" s="15" t="str">
        <f>VLOOKUP(A1917,sinap!$A$2:$R$9000,3,FALSE)</f>
        <v>TERNERO</v>
      </c>
      <c r="L1917" s="15" t="str">
        <f>VLOOKUP(A1917,sinap!$A$2:$R$9000,4,FALSE)</f>
        <v>ANGUS NEGRO</v>
      </c>
      <c r="M1917" s="15" t="str">
        <f>VLOOKUP(A1917,sinap!$A$2:$R$9000,5,FALSE)</f>
        <v>0 años 3 meses</v>
      </c>
      <c r="N1917" s="15" t="str">
        <f>VLOOKUP(A1917,sinap!$A$2:$R$9000,6,FALSE)</f>
        <v>15-10-2025</v>
      </c>
      <c r="O1917" s="15" t="str">
        <f>VLOOKUP(A1917,sinap!$A$2:$R$9000,7,FALSE)</f>
        <v>Vivo</v>
      </c>
      <c r="P1917" s="15" t="str">
        <f>VLOOKUP(A1917,sinap!$A$2:$R$9000,8,FALSE)</f>
        <v>11.1.01.0893</v>
      </c>
      <c r="Q1917" s="15" t="str">
        <f>VLOOKUP(A1917,sinap!$A$2:$R$9000,12,FALSE)</f>
        <v>Sin Movimiento</v>
      </c>
      <c r="R1917" s="15" t="str">
        <f>VLOOKUP(A1917,sinap!$A$2:$R$9000,16,FALSE)</f>
        <v>11.1.01.0893</v>
      </c>
      <c r="S1917" s="15" t="str">
        <f>VLOOKUP(A1917,sinap!$A$2:$Y$9000,20,FALSE)</f>
        <v>SI</v>
      </c>
      <c r="T1917" s="16">
        <v>45989</v>
      </c>
    </row>
    <row r="1918" spans="1:20" hidden="1" x14ac:dyDescent="0.25">
      <c r="A1918" s="15">
        <v>26234312</v>
      </c>
      <c r="J1918" s="15" t="str">
        <f>VLOOKUP(A1918,sinap!$A$2:$R$9000,2,FALSE)</f>
        <v>M</v>
      </c>
      <c r="K1918" s="15" t="str">
        <f>VLOOKUP(A1918,sinap!$A$2:$R$9000,3,FALSE)</f>
        <v>TERNERO</v>
      </c>
      <c r="L1918" s="15" t="str">
        <f>VLOOKUP(A1918,sinap!$A$2:$R$9000,4,FALSE)</f>
        <v>ANGUS NEGRO</v>
      </c>
      <c r="M1918" s="15" t="str">
        <f>VLOOKUP(A1918,sinap!$A$2:$R$9000,5,FALSE)</f>
        <v>0 años 4 meses</v>
      </c>
      <c r="N1918" s="15" t="str">
        <f>VLOOKUP(A1918,sinap!$A$2:$R$9000,6,FALSE)</f>
        <v>15-09-2025</v>
      </c>
      <c r="O1918" s="15" t="str">
        <f>VLOOKUP(A1918,sinap!$A$2:$R$9000,7,FALSE)</f>
        <v>Vivo</v>
      </c>
      <c r="P1918" s="15" t="str">
        <f>VLOOKUP(A1918,sinap!$A$2:$R$9000,8,FALSE)</f>
        <v>11.2.01.0038</v>
      </c>
      <c r="Q1918" s="15" t="str">
        <f>VLOOKUP(A1918,sinap!$A$2:$R$9000,12,FALSE)</f>
        <v>11.1.01.0893</v>
      </c>
      <c r="R1918" s="15" t="str">
        <f>VLOOKUP(A1918,sinap!$A$2:$R$9000,16,FALSE)</f>
        <v>11.1.01.0893</v>
      </c>
      <c r="S1918" s="15" t="str">
        <f>VLOOKUP(A1918,sinap!$A$2:$Y$9000,20,FALSE)</f>
        <v>SI</v>
      </c>
      <c r="T1918" s="16">
        <v>45989</v>
      </c>
    </row>
    <row r="1919" spans="1:20" hidden="1" x14ac:dyDescent="0.25">
      <c r="A1919" s="15">
        <v>26234313</v>
      </c>
      <c r="J1919" s="15" t="str">
        <f>VLOOKUP(A1919,sinap!$A$2:$R$9000,2,FALSE)</f>
        <v>M</v>
      </c>
      <c r="K1919" s="15" t="str">
        <f>VLOOKUP(A1919,sinap!$A$2:$R$9000,3,FALSE)</f>
        <v>TERNERO</v>
      </c>
      <c r="L1919" s="15" t="str">
        <f>VLOOKUP(A1919,sinap!$A$2:$R$9000,4,FALSE)</f>
        <v>ANGUS NEGRO</v>
      </c>
      <c r="M1919" s="15" t="str">
        <f>VLOOKUP(A1919,sinap!$A$2:$R$9000,5,FALSE)</f>
        <v>0 años 3 meses</v>
      </c>
      <c r="N1919" s="15" t="str">
        <f>VLOOKUP(A1919,sinap!$A$2:$R$9000,6,FALSE)</f>
        <v>15-10-2025</v>
      </c>
      <c r="O1919" s="15" t="str">
        <f>VLOOKUP(A1919,sinap!$A$2:$R$9000,7,FALSE)</f>
        <v>Vivo</v>
      </c>
      <c r="P1919" s="15" t="str">
        <f>VLOOKUP(A1919,sinap!$A$2:$R$9000,8,FALSE)</f>
        <v>11.2.01.0038</v>
      </c>
      <c r="Q1919" s="15" t="str">
        <f>VLOOKUP(A1919,sinap!$A$2:$R$9000,12,FALSE)</f>
        <v>11.1.01.0893</v>
      </c>
      <c r="R1919" s="15" t="str">
        <f>VLOOKUP(A1919,sinap!$A$2:$R$9000,16,FALSE)</f>
        <v>11.1.01.0893</v>
      </c>
      <c r="S1919" s="15" t="str">
        <f>VLOOKUP(A1919,sinap!$A$2:$Y$9000,20,FALSE)</f>
        <v>SI</v>
      </c>
      <c r="T1919" s="16">
        <v>45989</v>
      </c>
    </row>
    <row r="1920" spans="1:20" hidden="1" x14ac:dyDescent="0.25">
      <c r="A1920" s="15">
        <v>26234314</v>
      </c>
      <c r="J1920" s="15" t="str">
        <f>VLOOKUP(A1920,sinap!$A$2:$R$9000,2,FALSE)</f>
        <v>M</v>
      </c>
      <c r="K1920" s="15" t="str">
        <f>VLOOKUP(A1920,sinap!$A$2:$R$9000,3,FALSE)</f>
        <v>TERNERO</v>
      </c>
      <c r="L1920" s="15" t="str">
        <f>VLOOKUP(A1920,sinap!$A$2:$R$9000,4,FALSE)</f>
        <v>ANGUS NEGRO</v>
      </c>
      <c r="M1920" s="15" t="str">
        <f>VLOOKUP(A1920,sinap!$A$2:$R$9000,5,FALSE)</f>
        <v>0 años 4 meses</v>
      </c>
      <c r="N1920" s="15" t="str">
        <f>VLOOKUP(A1920,sinap!$A$2:$R$9000,6,FALSE)</f>
        <v>15-09-2025</v>
      </c>
      <c r="O1920" s="15" t="str">
        <f>VLOOKUP(A1920,sinap!$A$2:$R$9000,7,FALSE)</f>
        <v>Vivo</v>
      </c>
      <c r="P1920" s="15" t="str">
        <f>VLOOKUP(A1920,sinap!$A$2:$R$9000,8,FALSE)</f>
        <v>11.2.01.0038</v>
      </c>
      <c r="Q1920" s="15" t="str">
        <f>VLOOKUP(A1920,sinap!$A$2:$R$9000,12,FALSE)</f>
        <v>11.1.01.0893</v>
      </c>
      <c r="R1920" s="15" t="str">
        <f>VLOOKUP(A1920,sinap!$A$2:$R$9000,16,FALSE)</f>
        <v>11.1.01.0893</v>
      </c>
      <c r="S1920" s="15" t="str">
        <f>VLOOKUP(A1920,sinap!$A$2:$Y$9000,20,FALSE)</f>
        <v>SI</v>
      </c>
      <c r="T1920" s="16">
        <v>45989</v>
      </c>
    </row>
    <row r="1921" spans="1:20" hidden="1" x14ac:dyDescent="0.25">
      <c r="A1921" s="15">
        <v>26234315</v>
      </c>
      <c r="J1921" s="15" t="str">
        <f>VLOOKUP(A1921,sinap!$A$2:$R$9000,2,FALSE)</f>
        <v>M</v>
      </c>
      <c r="K1921" s="15" t="str">
        <f>VLOOKUP(A1921,sinap!$A$2:$R$9000,3,FALSE)</f>
        <v>TERNERO</v>
      </c>
      <c r="L1921" s="15" t="str">
        <f>VLOOKUP(A1921,sinap!$A$2:$R$9000,4,FALSE)</f>
        <v>ANGUS ROJO</v>
      </c>
      <c r="M1921" s="15" t="str">
        <f>VLOOKUP(A1921,sinap!$A$2:$R$9000,5,FALSE)</f>
        <v>0 años 4 meses</v>
      </c>
      <c r="N1921" s="15" t="str">
        <f>VLOOKUP(A1921,sinap!$A$2:$R$9000,6,FALSE)</f>
        <v>15-09-2025</v>
      </c>
      <c r="O1921" s="15" t="str">
        <f>VLOOKUP(A1921,sinap!$A$2:$R$9000,7,FALSE)</f>
        <v>Vivo</v>
      </c>
      <c r="P1921" s="15" t="str">
        <f>VLOOKUP(A1921,sinap!$A$2:$R$9000,8,FALSE)</f>
        <v>11.2.01.0038</v>
      </c>
      <c r="Q1921" s="15" t="str">
        <f>VLOOKUP(A1921,sinap!$A$2:$R$9000,12,FALSE)</f>
        <v>11.1.01.0893</v>
      </c>
      <c r="R1921" s="15" t="str">
        <f>VLOOKUP(A1921,sinap!$A$2:$R$9000,16,FALSE)</f>
        <v>11.1.01.0893</v>
      </c>
      <c r="S1921" s="15" t="str">
        <f>VLOOKUP(A1921,sinap!$A$2:$Y$9000,20,FALSE)</f>
        <v>SI</v>
      </c>
      <c r="T1921" s="16">
        <v>45989</v>
      </c>
    </row>
    <row r="1922" spans="1:20" hidden="1" x14ac:dyDescent="0.25">
      <c r="A1922" s="15">
        <v>26234316</v>
      </c>
      <c r="J1922" s="15" t="str">
        <f>VLOOKUP(A1922,sinap!$A$2:$R$9000,2,FALSE)</f>
        <v>H</v>
      </c>
      <c r="K1922" s="15" t="str">
        <f>VLOOKUP(A1922,sinap!$A$2:$R$9000,3,FALSE)</f>
        <v>TERNERA</v>
      </c>
      <c r="L1922" s="15" t="str">
        <f>VLOOKUP(A1922,sinap!$A$2:$R$9000,4,FALSE)</f>
        <v>ANGUS ROJO</v>
      </c>
      <c r="M1922" s="15" t="str">
        <f>VLOOKUP(A1922,sinap!$A$2:$R$9000,5,FALSE)</f>
        <v>0 años 4 meses</v>
      </c>
      <c r="N1922" s="15" t="str">
        <f>VLOOKUP(A1922,sinap!$A$2:$R$9000,6,FALSE)</f>
        <v>15-09-2025</v>
      </c>
      <c r="O1922" s="15" t="str">
        <f>VLOOKUP(A1922,sinap!$A$2:$R$9000,7,FALSE)</f>
        <v>Vivo</v>
      </c>
      <c r="P1922" s="15" t="str">
        <f>VLOOKUP(A1922,sinap!$A$2:$R$9000,8,FALSE)</f>
        <v>11.2.01.0038</v>
      </c>
      <c r="Q1922" s="15" t="str">
        <f>VLOOKUP(A1922,sinap!$A$2:$R$9000,12,FALSE)</f>
        <v>11.1.01.0893</v>
      </c>
      <c r="R1922" s="15" t="str">
        <f>VLOOKUP(A1922,sinap!$A$2:$R$9000,16,FALSE)</f>
        <v>11.1.01.0893</v>
      </c>
      <c r="S1922" s="15" t="str">
        <f>VLOOKUP(A1922,sinap!$A$2:$Y$9000,20,FALSE)</f>
        <v>SI</v>
      </c>
      <c r="T1922" s="16">
        <v>45989</v>
      </c>
    </row>
    <row r="1923" spans="1:20" hidden="1" x14ac:dyDescent="0.25">
      <c r="A1923" s="15">
        <v>26234317</v>
      </c>
      <c r="J1923" s="15" t="str">
        <f>VLOOKUP(A1923,sinap!$A$2:$R$9000,2,FALSE)</f>
        <v>H</v>
      </c>
      <c r="K1923" s="15" t="str">
        <f>VLOOKUP(A1923,sinap!$A$2:$R$9000,3,FALSE)</f>
        <v>TERNERA</v>
      </c>
      <c r="L1923" s="15" t="str">
        <f>VLOOKUP(A1923,sinap!$A$2:$R$9000,4,FALSE)</f>
        <v>ANGUS ROJO</v>
      </c>
      <c r="M1923" s="15" t="str">
        <f>VLOOKUP(A1923,sinap!$A$2:$R$9000,5,FALSE)</f>
        <v>0 años 2 meses</v>
      </c>
      <c r="N1923" s="15" t="str">
        <f>VLOOKUP(A1923,sinap!$A$2:$R$9000,6,FALSE)</f>
        <v>15-11-2025</v>
      </c>
      <c r="O1923" s="15" t="str">
        <f>VLOOKUP(A1923,sinap!$A$2:$R$9000,7,FALSE)</f>
        <v>Vivo</v>
      </c>
      <c r="P1923" s="15" t="str">
        <f>VLOOKUP(A1923,sinap!$A$2:$R$9000,8,FALSE)</f>
        <v>11.1.01.0791</v>
      </c>
      <c r="Q1923" s="15" t="str">
        <f>VLOOKUP(A1923,sinap!$A$2:$R$9000,12,FALSE)</f>
        <v>11.1.01.0893</v>
      </c>
      <c r="R1923" s="15" t="str">
        <f>VLOOKUP(A1923,sinap!$A$2:$R$9000,16,FALSE)</f>
        <v>11.1.01.0893</v>
      </c>
      <c r="S1923" s="15" t="str">
        <f>VLOOKUP(A1923,sinap!$A$2:$Y$9000,20,FALSE)</f>
        <v>SI</v>
      </c>
      <c r="T1923" s="16">
        <v>45989</v>
      </c>
    </row>
    <row r="1924" spans="1:20" hidden="1" x14ac:dyDescent="0.25">
      <c r="A1924" s="15">
        <v>26234318</v>
      </c>
      <c r="J1924" s="15" t="str">
        <f>VLOOKUP(A1924,sinap!$A$2:$R$9000,2,FALSE)</f>
        <v>M</v>
      </c>
      <c r="K1924" s="15" t="str">
        <f>VLOOKUP(A1924,sinap!$A$2:$R$9000,3,FALSE)</f>
        <v>TERNERO</v>
      </c>
      <c r="L1924" s="15" t="str">
        <f>VLOOKUP(A1924,sinap!$A$2:$R$9000,4,FALSE)</f>
        <v>ANGUS NEGRO</v>
      </c>
      <c r="M1924" s="15" t="str">
        <f>VLOOKUP(A1924,sinap!$A$2:$R$9000,5,FALSE)</f>
        <v>0 años 4 meses</v>
      </c>
      <c r="N1924" s="15" t="str">
        <f>VLOOKUP(A1924,sinap!$A$2:$R$9000,6,FALSE)</f>
        <v>15-09-2025</v>
      </c>
      <c r="O1924" s="15" t="str">
        <f>VLOOKUP(A1924,sinap!$A$2:$R$9000,7,FALSE)</f>
        <v>Vivo</v>
      </c>
      <c r="P1924" s="15" t="str">
        <f>VLOOKUP(A1924,sinap!$A$2:$R$9000,8,FALSE)</f>
        <v>11.2.01.0038</v>
      </c>
      <c r="Q1924" s="15" t="str">
        <f>VLOOKUP(A1924,sinap!$A$2:$R$9000,12,FALSE)</f>
        <v>11.1.01.0893</v>
      </c>
      <c r="R1924" s="15" t="str">
        <f>VLOOKUP(A1924,sinap!$A$2:$R$9000,16,FALSE)</f>
        <v>11.1.01.0893</v>
      </c>
      <c r="S1924" s="15" t="str">
        <f>VLOOKUP(A1924,sinap!$A$2:$Y$9000,20,FALSE)</f>
        <v>SI</v>
      </c>
      <c r="T1924" s="16">
        <v>45989</v>
      </c>
    </row>
    <row r="1925" spans="1:20" hidden="1" x14ac:dyDescent="0.25">
      <c r="A1925" s="15">
        <v>26234319</v>
      </c>
      <c r="J1925" s="15" t="str">
        <f>VLOOKUP(A1925,sinap!$A$2:$R$9000,2,FALSE)</f>
        <v>M</v>
      </c>
      <c r="K1925" s="15" t="str">
        <f>VLOOKUP(A1925,sinap!$A$2:$R$9000,3,FALSE)</f>
        <v>TERNERO</v>
      </c>
      <c r="L1925" s="15" t="str">
        <f>VLOOKUP(A1925,sinap!$A$2:$R$9000,4,FALSE)</f>
        <v>ANGUS NEGRO</v>
      </c>
      <c r="M1925" s="15" t="str">
        <f>VLOOKUP(A1925,sinap!$A$2:$R$9000,5,FALSE)</f>
        <v>0 años 4 meses</v>
      </c>
      <c r="N1925" s="15" t="str">
        <f>VLOOKUP(A1925,sinap!$A$2:$R$9000,6,FALSE)</f>
        <v>15-09-2025</v>
      </c>
      <c r="O1925" s="15" t="str">
        <f>VLOOKUP(A1925,sinap!$A$2:$R$9000,7,FALSE)</f>
        <v>Vivo</v>
      </c>
      <c r="P1925" s="15" t="str">
        <f>VLOOKUP(A1925,sinap!$A$2:$R$9000,8,FALSE)</f>
        <v>11.2.01.0038</v>
      </c>
      <c r="Q1925" s="15" t="str">
        <f>VLOOKUP(A1925,sinap!$A$2:$R$9000,12,FALSE)</f>
        <v>11.1.01.0893</v>
      </c>
      <c r="R1925" s="15" t="str">
        <f>VLOOKUP(A1925,sinap!$A$2:$R$9000,16,FALSE)</f>
        <v>11.1.01.0893</v>
      </c>
      <c r="S1925" s="15" t="str">
        <f>VLOOKUP(A1925,sinap!$A$2:$Y$9000,20,FALSE)</f>
        <v>SI</v>
      </c>
      <c r="T1925" s="16">
        <v>45989</v>
      </c>
    </row>
    <row r="1926" spans="1:20" hidden="1" x14ac:dyDescent="0.25">
      <c r="A1926" s="15">
        <v>26234320</v>
      </c>
      <c r="J1926" s="15" t="str">
        <f>VLOOKUP(A1926,sinap!$A$2:$R$9000,2,FALSE)</f>
        <v>M</v>
      </c>
      <c r="K1926" s="15" t="str">
        <f>VLOOKUP(A1926,sinap!$A$2:$R$9000,3,FALSE)</f>
        <v>TERNERO</v>
      </c>
      <c r="L1926" s="15" t="str">
        <f>VLOOKUP(A1926,sinap!$A$2:$R$9000,4,FALSE)</f>
        <v>ANGUS NEGRO</v>
      </c>
      <c r="M1926" s="15" t="str">
        <f>VLOOKUP(A1926,sinap!$A$2:$R$9000,5,FALSE)</f>
        <v>0 años 4 meses</v>
      </c>
      <c r="N1926" s="15" t="str">
        <f>VLOOKUP(A1926,sinap!$A$2:$R$9000,6,FALSE)</f>
        <v>15-09-2025</v>
      </c>
      <c r="O1926" s="15" t="str">
        <f>VLOOKUP(A1926,sinap!$A$2:$R$9000,7,FALSE)</f>
        <v>Vivo</v>
      </c>
      <c r="P1926" s="15" t="str">
        <f>VLOOKUP(A1926,sinap!$A$2:$R$9000,8,FALSE)</f>
        <v>11.2.01.0038</v>
      </c>
      <c r="Q1926" s="15" t="str">
        <f>VLOOKUP(A1926,sinap!$A$2:$R$9000,12,FALSE)</f>
        <v>11.1.01.0893</v>
      </c>
      <c r="R1926" s="15" t="str">
        <f>VLOOKUP(A1926,sinap!$A$2:$R$9000,16,FALSE)</f>
        <v>11.1.01.0893</v>
      </c>
      <c r="S1926" s="15" t="str">
        <f>VLOOKUP(A1926,sinap!$A$2:$Y$9000,20,FALSE)</f>
        <v>SI</v>
      </c>
      <c r="T1926" s="16">
        <v>45989</v>
      </c>
    </row>
    <row r="1927" spans="1:20" hidden="1" x14ac:dyDescent="0.25">
      <c r="A1927" s="15">
        <v>26234321</v>
      </c>
      <c r="J1927" s="15" t="str">
        <f>VLOOKUP(A1927,sinap!$A$2:$R$9000,2,FALSE)</f>
        <v>H</v>
      </c>
      <c r="K1927" s="15" t="str">
        <f>VLOOKUP(A1927,sinap!$A$2:$R$9000,3,FALSE)</f>
        <v>TERNERA</v>
      </c>
      <c r="L1927" s="15" t="str">
        <f>VLOOKUP(A1927,sinap!$A$2:$R$9000,4,FALSE)</f>
        <v>ANGUS ROJO</v>
      </c>
      <c r="M1927" s="15" t="str">
        <f>VLOOKUP(A1927,sinap!$A$2:$R$9000,5,FALSE)</f>
        <v>0 años 3 meses</v>
      </c>
      <c r="N1927" s="15" t="str">
        <f>VLOOKUP(A1927,sinap!$A$2:$R$9000,6,FALSE)</f>
        <v>15-10-2025</v>
      </c>
      <c r="O1927" s="15" t="str">
        <f>VLOOKUP(A1927,sinap!$A$2:$R$9000,7,FALSE)</f>
        <v>Vivo</v>
      </c>
      <c r="P1927" s="15" t="str">
        <f>VLOOKUP(A1927,sinap!$A$2:$R$9000,8,FALSE)</f>
        <v>11.2.01.0038</v>
      </c>
      <c r="Q1927" s="15" t="str">
        <f>VLOOKUP(A1927,sinap!$A$2:$R$9000,12,FALSE)</f>
        <v>11.1.01.0893</v>
      </c>
      <c r="R1927" s="15" t="str">
        <f>VLOOKUP(A1927,sinap!$A$2:$R$9000,16,FALSE)</f>
        <v>11.1.01.0893</v>
      </c>
      <c r="S1927" s="15" t="str">
        <f>VLOOKUP(A1927,sinap!$A$2:$Y$9000,20,FALSE)</f>
        <v>SI</v>
      </c>
      <c r="T1927" s="16">
        <v>45989</v>
      </c>
    </row>
    <row r="1928" spans="1:20" hidden="1" x14ac:dyDescent="0.25">
      <c r="A1928" s="15">
        <v>26234322</v>
      </c>
      <c r="J1928" s="15" t="str">
        <f>VLOOKUP(A1928,sinap!$A$2:$R$9000,2,FALSE)</f>
        <v>H</v>
      </c>
      <c r="K1928" s="15" t="str">
        <f>VLOOKUP(A1928,sinap!$A$2:$R$9000,3,FALSE)</f>
        <v>TERNERA</v>
      </c>
      <c r="L1928" s="15" t="str">
        <f>VLOOKUP(A1928,sinap!$A$2:$R$9000,4,FALSE)</f>
        <v>ANGUS NEGRO</v>
      </c>
      <c r="M1928" s="15" t="str">
        <f>VLOOKUP(A1928,sinap!$A$2:$R$9000,5,FALSE)</f>
        <v>0 años 3 meses</v>
      </c>
      <c r="N1928" s="15" t="str">
        <f>VLOOKUP(A1928,sinap!$A$2:$R$9000,6,FALSE)</f>
        <v>15-10-2025</v>
      </c>
      <c r="O1928" s="15" t="str">
        <f>VLOOKUP(A1928,sinap!$A$2:$R$9000,7,FALSE)</f>
        <v>Vivo</v>
      </c>
      <c r="P1928" s="15" t="str">
        <f>VLOOKUP(A1928,sinap!$A$2:$R$9000,8,FALSE)</f>
        <v>11.2.01.0038</v>
      </c>
      <c r="Q1928" s="15" t="str">
        <f>VLOOKUP(A1928,sinap!$A$2:$R$9000,12,FALSE)</f>
        <v>11.1.01.0893</v>
      </c>
      <c r="R1928" s="15" t="str">
        <f>VLOOKUP(A1928,sinap!$A$2:$R$9000,16,FALSE)</f>
        <v>11.1.01.0893</v>
      </c>
      <c r="S1928" s="15" t="str">
        <f>VLOOKUP(A1928,sinap!$A$2:$Y$9000,20,FALSE)</f>
        <v>SI</v>
      </c>
      <c r="T1928" s="16">
        <v>45989</v>
      </c>
    </row>
    <row r="1929" spans="1:20" hidden="1" x14ac:dyDescent="0.25">
      <c r="A1929" s="15">
        <v>26234323</v>
      </c>
      <c r="J1929" s="15" t="str">
        <f>VLOOKUP(A1929,sinap!$A$2:$R$9000,2,FALSE)</f>
        <v>H</v>
      </c>
      <c r="K1929" s="15" t="str">
        <f>VLOOKUP(A1929,sinap!$A$2:$R$9000,3,FALSE)</f>
        <v>TERNERA</v>
      </c>
      <c r="L1929" s="15" t="str">
        <f>VLOOKUP(A1929,sinap!$A$2:$R$9000,4,FALSE)</f>
        <v>ANGUS NEGRO</v>
      </c>
      <c r="M1929" s="15" t="str">
        <f>VLOOKUP(A1929,sinap!$A$2:$R$9000,5,FALSE)</f>
        <v>0 años 2 meses</v>
      </c>
      <c r="N1929" s="15" t="str">
        <f>VLOOKUP(A1929,sinap!$A$2:$R$9000,6,FALSE)</f>
        <v>15-11-2025</v>
      </c>
      <c r="O1929" s="15" t="str">
        <f>VLOOKUP(A1929,sinap!$A$2:$R$9000,7,FALSE)</f>
        <v>Vivo</v>
      </c>
      <c r="P1929" s="15" t="str">
        <f>VLOOKUP(A1929,sinap!$A$2:$R$9000,8,FALSE)</f>
        <v>11.2.01.0038</v>
      </c>
      <c r="Q1929" s="15" t="str">
        <f>VLOOKUP(A1929,sinap!$A$2:$R$9000,12,FALSE)</f>
        <v>11.1.01.0893</v>
      </c>
      <c r="R1929" s="15" t="str">
        <f>VLOOKUP(A1929,sinap!$A$2:$R$9000,16,FALSE)</f>
        <v>11.1.01.0893</v>
      </c>
      <c r="S1929" s="15" t="str">
        <f>VLOOKUP(A1929,sinap!$A$2:$Y$9000,20,FALSE)</f>
        <v>SI</v>
      </c>
      <c r="T1929" s="16">
        <v>45989</v>
      </c>
    </row>
    <row r="1930" spans="1:20" hidden="1" x14ac:dyDescent="0.25">
      <c r="A1930" s="15">
        <v>26234324</v>
      </c>
      <c r="J1930" s="15" t="str">
        <f>VLOOKUP(A1930,sinap!$A$2:$R$9000,2,FALSE)</f>
        <v>M</v>
      </c>
      <c r="K1930" s="15" t="str">
        <f>VLOOKUP(A1930,sinap!$A$2:$R$9000,3,FALSE)</f>
        <v>TERNERO</v>
      </c>
      <c r="L1930" s="15" t="str">
        <f>VLOOKUP(A1930,sinap!$A$2:$R$9000,4,FALSE)</f>
        <v>ANGUS NEGRO</v>
      </c>
      <c r="M1930" s="15" t="str">
        <f>VLOOKUP(A1930,sinap!$A$2:$R$9000,5,FALSE)</f>
        <v>0 años 4 meses</v>
      </c>
      <c r="N1930" s="15" t="str">
        <f>VLOOKUP(A1930,sinap!$A$2:$R$9000,6,FALSE)</f>
        <v>15-09-2025</v>
      </c>
      <c r="O1930" s="15" t="str">
        <f>VLOOKUP(A1930,sinap!$A$2:$R$9000,7,FALSE)</f>
        <v>Vivo</v>
      </c>
      <c r="P1930" s="15" t="str">
        <f>VLOOKUP(A1930,sinap!$A$2:$R$9000,8,FALSE)</f>
        <v>11.2.01.0038</v>
      </c>
      <c r="Q1930" s="15" t="str">
        <f>VLOOKUP(A1930,sinap!$A$2:$R$9000,12,FALSE)</f>
        <v>11.1.01.0893</v>
      </c>
      <c r="R1930" s="15" t="str">
        <f>VLOOKUP(A1930,sinap!$A$2:$R$9000,16,FALSE)</f>
        <v>11.1.01.0893</v>
      </c>
      <c r="S1930" s="15" t="str">
        <f>VLOOKUP(A1930,sinap!$A$2:$Y$9000,20,FALSE)</f>
        <v>SI</v>
      </c>
      <c r="T1930" s="16">
        <v>45989</v>
      </c>
    </row>
    <row r="1931" spans="1:20" hidden="1" x14ac:dyDescent="0.25">
      <c r="A1931" s="15">
        <v>26234325</v>
      </c>
      <c r="J1931" s="15" t="str">
        <f>VLOOKUP(A1931,sinap!$A$2:$R$9000,2,FALSE)</f>
        <v>M</v>
      </c>
      <c r="K1931" s="15" t="str">
        <f>VLOOKUP(A1931,sinap!$A$2:$R$9000,3,FALSE)</f>
        <v>TERNERO</v>
      </c>
      <c r="L1931" s="15" t="str">
        <f>VLOOKUP(A1931,sinap!$A$2:$R$9000,4,FALSE)</f>
        <v>ANGUS NEGRO</v>
      </c>
      <c r="M1931" s="15" t="str">
        <f>VLOOKUP(A1931,sinap!$A$2:$R$9000,5,FALSE)</f>
        <v>0 años 3 meses</v>
      </c>
      <c r="N1931" s="15" t="str">
        <f>VLOOKUP(A1931,sinap!$A$2:$R$9000,6,FALSE)</f>
        <v>15-10-2025</v>
      </c>
      <c r="O1931" s="15" t="str">
        <f>VLOOKUP(A1931,sinap!$A$2:$R$9000,7,FALSE)</f>
        <v>Vivo</v>
      </c>
      <c r="P1931" s="15" t="str">
        <f>VLOOKUP(A1931,sinap!$A$2:$R$9000,8,FALSE)</f>
        <v>11.2.01.0038</v>
      </c>
      <c r="Q1931" s="15" t="str">
        <f>VLOOKUP(A1931,sinap!$A$2:$R$9000,12,FALSE)</f>
        <v>11.1.01.0893</v>
      </c>
      <c r="R1931" s="15" t="str">
        <f>VLOOKUP(A1931,sinap!$A$2:$R$9000,16,FALSE)</f>
        <v>11.1.01.0893</v>
      </c>
      <c r="S1931" s="15" t="str">
        <f>VLOOKUP(A1931,sinap!$A$2:$Y$9000,20,FALSE)</f>
        <v>SI</v>
      </c>
      <c r="T1931" s="16">
        <v>45989</v>
      </c>
    </row>
    <row r="1932" spans="1:20" hidden="1" x14ac:dyDescent="0.25">
      <c r="A1932" s="15">
        <v>26234326</v>
      </c>
      <c r="J1932" s="15" t="str">
        <f>VLOOKUP(A1932,sinap!$A$2:$R$9000,2,FALSE)</f>
        <v>M</v>
      </c>
      <c r="K1932" s="15" t="str">
        <f>VLOOKUP(A1932,sinap!$A$2:$R$9000,3,FALSE)</f>
        <v>TERNERO</v>
      </c>
      <c r="L1932" s="15" t="str">
        <f>VLOOKUP(A1932,sinap!$A$2:$R$9000,4,FALSE)</f>
        <v>ANGUS NEGRO</v>
      </c>
      <c r="M1932" s="15" t="str">
        <f>VLOOKUP(A1932,sinap!$A$2:$R$9000,5,FALSE)</f>
        <v>0 años 3 meses</v>
      </c>
      <c r="N1932" s="15" t="str">
        <f>VLOOKUP(A1932,sinap!$A$2:$R$9000,6,FALSE)</f>
        <v>15-10-2025</v>
      </c>
      <c r="O1932" s="15" t="str">
        <f>VLOOKUP(A1932,sinap!$A$2:$R$9000,7,FALSE)</f>
        <v>Vivo</v>
      </c>
      <c r="P1932" s="15" t="str">
        <f>VLOOKUP(A1932,sinap!$A$2:$R$9000,8,FALSE)</f>
        <v>11.2.01.0038</v>
      </c>
      <c r="Q1932" s="15" t="str">
        <f>VLOOKUP(A1932,sinap!$A$2:$R$9000,12,FALSE)</f>
        <v>11.1.01.0893</v>
      </c>
      <c r="R1932" s="15" t="str">
        <f>VLOOKUP(A1932,sinap!$A$2:$R$9000,16,FALSE)</f>
        <v>11.1.01.0893</v>
      </c>
      <c r="S1932" s="15" t="str">
        <f>VLOOKUP(A1932,sinap!$A$2:$Y$9000,20,FALSE)</f>
        <v>SI</v>
      </c>
      <c r="T1932" s="16">
        <v>45989</v>
      </c>
    </row>
    <row r="1933" spans="1:20" hidden="1" x14ac:dyDescent="0.25">
      <c r="A1933" s="15">
        <v>26234327</v>
      </c>
      <c r="J1933" s="15" t="str">
        <f>VLOOKUP(A1933,sinap!$A$2:$R$9000,2,FALSE)</f>
        <v>H</v>
      </c>
      <c r="K1933" s="15" t="str">
        <f>VLOOKUP(A1933,sinap!$A$2:$R$9000,3,FALSE)</f>
        <v>TERNERA</v>
      </c>
      <c r="L1933" s="15" t="str">
        <f>VLOOKUP(A1933,sinap!$A$2:$R$9000,4,FALSE)</f>
        <v>ANGUS NEGRO</v>
      </c>
      <c r="M1933" s="15" t="str">
        <f>VLOOKUP(A1933,sinap!$A$2:$R$9000,5,FALSE)</f>
        <v>0 años 3 meses</v>
      </c>
      <c r="N1933" s="15" t="str">
        <f>VLOOKUP(A1933,sinap!$A$2:$R$9000,6,FALSE)</f>
        <v>15-10-2025</v>
      </c>
      <c r="O1933" s="15" t="str">
        <f>VLOOKUP(A1933,sinap!$A$2:$R$9000,7,FALSE)</f>
        <v>Vivo</v>
      </c>
      <c r="P1933" s="15" t="str">
        <f>VLOOKUP(A1933,sinap!$A$2:$R$9000,8,FALSE)</f>
        <v>11.1.01.0791</v>
      </c>
      <c r="Q1933" s="15" t="str">
        <f>VLOOKUP(A1933,sinap!$A$2:$R$9000,12,FALSE)</f>
        <v>11.1.01.0893</v>
      </c>
      <c r="R1933" s="15" t="str">
        <f>VLOOKUP(A1933,sinap!$A$2:$R$9000,16,FALSE)</f>
        <v>11.1.01.0893</v>
      </c>
      <c r="S1933" s="15" t="str">
        <f>VLOOKUP(A1933,sinap!$A$2:$Y$9000,20,FALSE)</f>
        <v>SI</v>
      </c>
      <c r="T1933" s="16">
        <v>45989</v>
      </c>
    </row>
    <row r="1934" spans="1:20" hidden="1" x14ac:dyDescent="0.25">
      <c r="A1934" s="15">
        <v>26234328</v>
      </c>
      <c r="J1934" s="15" t="str">
        <f>VLOOKUP(A1934,sinap!$A$2:$R$9000,2,FALSE)</f>
        <v>H</v>
      </c>
      <c r="K1934" s="15" t="str">
        <f>VLOOKUP(A1934,sinap!$A$2:$R$9000,3,FALSE)</f>
        <v>TERNERA</v>
      </c>
      <c r="L1934" s="15" t="str">
        <f>VLOOKUP(A1934,sinap!$A$2:$R$9000,4,FALSE)</f>
        <v>ANGUS NEGRO</v>
      </c>
      <c r="M1934" s="15" t="str">
        <f>VLOOKUP(A1934,sinap!$A$2:$R$9000,5,FALSE)</f>
        <v>0 años 4 meses</v>
      </c>
      <c r="N1934" s="15" t="str">
        <f>VLOOKUP(A1934,sinap!$A$2:$R$9000,6,FALSE)</f>
        <v>15-09-2025</v>
      </c>
      <c r="O1934" s="15" t="str">
        <f>VLOOKUP(A1934,sinap!$A$2:$R$9000,7,FALSE)</f>
        <v>Vivo</v>
      </c>
      <c r="P1934" s="15" t="str">
        <f>VLOOKUP(A1934,sinap!$A$2:$R$9000,8,FALSE)</f>
        <v>11.1.01.0791</v>
      </c>
      <c r="Q1934" s="15" t="str">
        <f>VLOOKUP(A1934,sinap!$A$2:$R$9000,12,FALSE)</f>
        <v>11.1.01.0893</v>
      </c>
      <c r="R1934" s="15" t="str">
        <f>VLOOKUP(A1934,sinap!$A$2:$R$9000,16,FALSE)</f>
        <v>11.1.01.0893</v>
      </c>
      <c r="S1934" s="15" t="str">
        <f>VLOOKUP(A1934,sinap!$A$2:$Y$9000,20,FALSE)</f>
        <v>SI</v>
      </c>
      <c r="T1934" s="16">
        <v>45989</v>
      </c>
    </row>
    <row r="1935" spans="1:20" hidden="1" x14ac:dyDescent="0.25">
      <c r="A1935" s="15">
        <v>26234329</v>
      </c>
      <c r="J1935" s="15" t="str">
        <f>VLOOKUP(A1935,sinap!$A$2:$R$9000,2,FALSE)</f>
        <v>M</v>
      </c>
      <c r="K1935" s="15" t="str">
        <f>VLOOKUP(A1935,sinap!$A$2:$R$9000,3,FALSE)</f>
        <v>TERNERO</v>
      </c>
      <c r="L1935" s="15" t="str">
        <f>VLOOKUP(A1935,sinap!$A$2:$R$9000,4,FALSE)</f>
        <v>ANGUS NEGRO</v>
      </c>
      <c r="M1935" s="15" t="str">
        <f>VLOOKUP(A1935,sinap!$A$2:$R$9000,5,FALSE)</f>
        <v>0 años 4 meses</v>
      </c>
      <c r="N1935" s="15" t="str">
        <f>VLOOKUP(A1935,sinap!$A$2:$R$9000,6,FALSE)</f>
        <v>15-09-2025</v>
      </c>
      <c r="O1935" s="15" t="str">
        <f>VLOOKUP(A1935,sinap!$A$2:$R$9000,7,FALSE)</f>
        <v>Vivo</v>
      </c>
      <c r="P1935" s="15" t="str">
        <f>VLOOKUP(A1935,sinap!$A$2:$R$9000,8,FALSE)</f>
        <v>11.2.01.0038</v>
      </c>
      <c r="Q1935" s="15" t="str">
        <f>VLOOKUP(A1935,sinap!$A$2:$R$9000,12,FALSE)</f>
        <v>11.1.01.0893</v>
      </c>
      <c r="R1935" s="15" t="str">
        <f>VLOOKUP(A1935,sinap!$A$2:$R$9000,16,FALSE)</f>
        <v>11.1.01.0893</v>
      </c>
      <c r="S1935" s="15" t="str">
        <f>VLOOKUP(A1935,sinap!$A$2:$Y$9000,20,FALSE)</f>
        <v>SI</v>
      </c>
      <c r="T1935" s="16">
        <v>45989</v>
      </c>
    </row>
    <row r="1936" spans="1:20" hidden="1" x14ac:dyDescent="0.25">
      <c r="A1936" s="15">
        <v>26234330</v>
      </c>
      <c r="J1936" s="15" t="str">
        <f>VLOOKUP(A1936,sinap!$A$2:$R$9000,2,FALSE)</f>
        <v>M</v>
      </c>
      <c r="K1936" s="15" t="str">
        <f>VLOOKUP(A1936,sinap!$A$2:$R$9000,3,FALSE)</f>
        <v>TERNERO</v>
      </c>
      <c r="L1936" s="15" t="str">
        <f>VLOOKUP(A1936,sinap!$A$2:$R$9000,4,FALSE)</f>
        <v>ANGUS NEGRO</v>
      </c>
      <c r="M1936" s="15" t="str">
        <f>VLOOKUP(A1936,sinap!$A$2:$R$9000,5,FALSE)</f>
        <v>0 años 4 meses</v>
      </c>
      <c r="N1936" s="15" t="str">
        <f>VLOOKUP(A1936,sinap!$A$2:$R$9000,6,FALSE)</f>
        <v>15-09-2025</v>
      </c>
      <c r="O1936" s="15" t="str">
        <f>VLOOKUP(A1936,sinap!$A$2:$R$9000,7,FALSE)</f>
        <v>Vivo</v>
      </c>
      <c r="P1936" s="15" t="str">
        <f>VLOOKUP(A1936,sinap!$A$2:$R$9000,8,FALSE)</f>
        <v>11.1.01.0791</v>
      </c>
      <c r="Q1936" s="15" t="str">
        <f>VLOOKUP(A1936,sinap!$A$2:$R$9000,12,FALSE)</f>
        <v>11.1.01.0893</v>
      </c>
      <c r="R1936" s="15" t="str">
        <f>VLOOKUP(A1936,sinap!$A$2:$R$9000,16,FALSE)</f>
        <v>11.1.01.0893</v>
      </c>
      <c r="S1936" s="15" t="str">
        <f>VLOOKUP(A1936,sinap!$A$2:$Y$9000,20,FALSE)</f>
        <v>SI</v>
      </c>
      <c r="T1936" s="16">
        <v>45989</v>
      </c>
    </row>
    <row r="1937" spans="1:20" hidden="1" x14ac:dyDescent="0.25">
      <c r="A1937" s="15">
        <v>26234331</v>
      </c>
      <c r="J1937" s="15" t="str">
        <f>VLOOKUP(A1937,sinap!$A$2:$R$9000,2,FALSE)</f>
        <v>H</v>
      </c>
      <c r="K1937" s="15" t="str">
        <f>VLOOKUP(A1937,sinap!$A$2:$R$9000,3,FALSE)</f>
        <v>TERNERA</v>
      </c>
      <c r="L1937" s="15" t="str">
        <f>VLOOKUP(A1937,sinap!$A$2:$R$9000,4,FALSE)</f>
        <v>ANGUS NEGRO</v>
      </c>
      <c r="M1937" s="15" t="str">
        <f>VLOOKUP(A1937,sinap!$A$2:$R$9000,5,FALSE)</f>
        <v>0 años 5 meses</v>
      </c>
      <c r="N1937" s="15" t="str">
        <f>VLOOKUP(A1937,sinap!$A$2:$R$9000,6,FALSE)</f>
        <v>15-08-2025</v>
      </c>
      <c r="O1937" s="15" t="str">
        <f>VLOOKUP(A1937,sinap!$A$2:$R$9000,7,FALSE)</f>
        <v>Vivo</v>
      </c>
      <c r="P1937" s="15" t="str">
        <f>VLOOKUP(A1937,sinap!$A$2:$R$9000,8,FALSE)</f>
        <v>11.2.01.0038</v>
      </c>
      <c r="Q1937" s="15" t="str">
        <f>VLOOKUP(A1937,sinap!$A$2:$R$9000,12,FALSE)</f>
        <v>11.1.01.0893</v>
      </c>
      <c r="R1937" s="15" t="str">
        <f>VLOOKUP(A1937,sinap!$A$2:$R$9000,16,FALSE)</f>
        <v>11.1.01.0893</v>
      </c>
      <c r="S1937" s="15" t="str">
        <f>VLOOKUP(A1937,sinap!$A$2:$Y$9000,20,FALSE)</f>
        <v>SI</v>
      </c>
      <c r="T1937" s="16">
        <v>45989</v>
      </c>
    </row>
    <row r="1938" spans="1:20" hidden="1" x14ac:dyDescent="0.25">
      <c r="A1938" s="15">
        <v>26234332</v>
      </c>
      <c r="J1938" s="15" t="str">
        <f>VLOOKUP(A1938,sinap!$A$2:$R$9000,2,FALSE)</f>
        <v>M</v>
      </c>
      <c r="K1938" s="15" t="str">
        <f>VLOOKUP(A1938,sinap!$A$2:$R$9000,3,FALSE)</f>
        <v>TERNERO</v>
      </c>
      <c r="L1938" s="15" t="str">
        <f>VLOOKUP(A1938,sinap!$A$2:$R$9000,4,FALSE)</f>
        <v>ANGUS NEGRO</v>
      </c>
      <c r="M1938" s="15" t="str">
        <f>VLOOKUP(A1938,sinap!$A$2:$R$9000,5,FALSE)</f>
        <v>0 años 3 meses</v>
      </c>
      <c r="N1938" s="15" t="str">
        <f>VLOOKUP(A1938,sinap!$A$2:$R$9000,6,FALSE)</f>
        <v>15-10-2025</v>
      </c>
      <c r="O1938" s="15" t="str">
        <f>VLOOKUP(A1938,sinap!$A$2:$R$9000,7,FALSE)</f>
        <v>Vivo</v>
      </c>
      <c r="P1938" s="15" t="str">
        <f>VLOOKUP(A1938,sinap!$A$2:$R$9000,8,FALSE)</f>
        <v>11.1.01.0791</v>
      </c>
      <c r="Q1938" s="15" t="str">
        <f>VLOOKUP(A1938,sinap!$A$2:$R$9000,12,FALSE)</f>
        <v>11.1.01.0893</v>
      </c>
      <c r="R1938" s="15" t="str">
        <f>VLOOKUP(A1938,sinap!$A$2:$R$9000,16,FALSE)</f>
        <v>11.1.01.0893</v>
      </c>
      <c r="S1938" s="15" t="str">
        <f>VLOOKUP(A1938,sinap!$A$2:$Y$9000,20,FALSE)</f>
        <v>SI</v>
      </c>
      <c r="T1938" s="16">
        <v>45989</v>
      </c>
    </row>
    <row r="1939" spans="1:20" hidden="1" x14ac:dyDescent="0.25">
      <c r="A1939" s="15">
        <v>26234333</v>
      </c>
      <c r="J1939" s="15" t="str">
        <f>VLOOKUP(A1939,sinap!$A$2:$R$9000,2,FALSE)</f>
        <v>M</v>
      </c>
      <c r="K1939" s="15" t="str">
        <f>VLOOKUP(A1939,sinap!$A$2:$R$9000,3,FALSE)</f>
        <v>TERNERO</v>
      </c>
      <c r="L1939" s="15" t="str">
        <f>VLOOKUP(A1939,sinap!$A$2:$R$9000,4,FALSE)</f>
        <v>ANGUS NEGRO</v>
      </c>
      <c r="M1939" s="15" t="str">
        <f>VLOOKUP(A1939,sinap!$A$2:$R$9000,5,FALSE)</f>
        <v>0 años 4 meses</v>
      </c>
      <c r="N1939" s="15" t="str">
        <f>VLOOKUP(A1939,sinap!$A$2:$R$9000,6,FALSE)</f>
        <v>15-09-2025</v>
      </c>
      <c r="O1939" s="15" t="str">
        <f>VLOOKUP(A1939,sinap!$A$2:$R$9000,7,FALSE)</f>
        <v>Vivo</v>
      </c>
      <c r="P1939" s="15" t="str">
        <f>VLOOKUP(A1939,sinap!$A$2:$R$9000,8,FALSE)</f>
        <v>11.2.01.0038</v>
      </c>
      <c r="Q1939" s="15" t="str">
        <f>VLOOKUP(A1939,sinap!$A$2:$R$9000,12,FALSE)</f>
        <v>11.1.01.0893</v>
      </c>
      <c r="R1939" s="15" t="str">
        <f>VLOOKUP(A1939,sinap!$A$2:$R$9000,16,FALSE)</f>
        <v>11.1.01.0893</v>
      </c>
      <c r="S1939" s="15" t="str">
        <f>VLOOKUP(A1939,sinap!$A$2:$Y$9000,20,FALSE)</f>
        <v>SI</v>
      </c>
      <c r="T1939" s="16">
        <v>45989</v>
      </c>
    </row>
    <row r="1940" spans="1:20" hidden="1" x14ac:dyDescent="0.25">
      <c r="A1940" s="15">
        <v>26234334</v>
      </c>
      <c r="J1940" s="15" t="str">
        <f>VLOOKUP(A1940,sinap!$A$2:$R$9000,2,FALSE)</f>
        <v>H</v>
      </c>
      <c r="K1940" s="15" t="str">
        <f>VLOOKUP(A1940,sinap!$A$2:$R$9000,3,FALSE)</f>
        <v>TERNERA</v>
      </c>
      <c r="L1940" s="15" t="str">
        <f>VLOOKUP(A1940,sinap!$A$2:$R$9000,4,FALSE)</f>
        <v>ANGUS ROJO</v>
      </c>
      <c r="M1940" s="15" t="str">
        <f>VLOOKUP(A1940,sinap!$A$2:$R$9000,5,FALSE)</f>
        <v>0 años 4 meses</v>
      </c>
      <c r="N1940" s="15" t="str">
        <f>VLOOKUP(A1940,sinap!$A$2:$R$9000,6,FALSE)</f>
        <v>15-09-2025</v>
      </c>
      <c r="O1940" s="15" t="str">
        <f>VLOOKUP(A1940,sinap!$A$2:$R$9000,7,FALSE)</f>
        <v>Vivo</v>
      </c>
      <c r="P1940" s="15" t="str">
        <f>VLOOKUP(A1940,sinap!$A$2:$R$9000,8,FALSE)</f>
        <v>11.2.01.0038</v>
      </c>
      <c r="Q1940" s="15" t="str">
        <f>VLOOKUP(A1940,sinap!$A$2:$R$9000,12,FALSE)</f>
        <v>11.1.01.0893</v>
      </c>
      <c r="R1940" s="15" t="str">
        <f>VLOOKUP(A1940,sinap!$A$2:$R$9000,16,FALSE)</f>
        <v>11.1.01.0893</v>
      </c>
      <c r="S1940" s="15" t="str">
        <f>VLOOKUP(A1940,sinap!$A$2:$Y$9000,20,FALSE)</f>
        <v>SI</v>
      </c>
      <c r="T1940" s="16">
        <v>45989</v>
      </c>
    </row>
    <row r="1941" spans="1:20" hidden="1" x14ac:dyDescent="0.25">
      <c r="A1941" s="15">
        <v>26234335</v>
      </c>
      <c r="J1941" s="15" t="str">
        <f>VLOOKUP(A1941,sinap!$A$2:$R$9000,2,FALSE)</f>
        <v>H</v>
      </c>
      <c r="K1941" s="15" t="str">
        <f>VLOOKUP(A1941,sinap!$A$2:$R$9000,3,FALSE)</f>
        <v>TERNERA</v>
      </c>
      <c r="L1941" s="15" t="str">
        <f>VLOOKUP(A1941,sinap!$A$2:$R$9000,4,FALSE)</f>
        <v>ANGUS NEGRO</v>
      </c>
      <c r="M1941" s="15" t="str">
        <f>VLOOKUP(A1941,sinap!$A$2:$R$9000,5,FALSE)</f>
        <v>0 años 4 meses</v>
      </c>
      <c r="N1941" s="15" t="str">
        <f>VLOOKUP(A1941,sinap!$A$2:$R$9000,6,FALSE)</f>
        <v>15-09-2025</v>
      </c>
      <c r="O1941" s="15" t="str">
        <f>VLOOKUP(A1941,sinap!$A$2:$R$9000,7,FALSE)</f>
        <v>Vivo</v>
      </c>
      <c r="P1941" s="15" t="str">
        <f>VLOOKUP(A1941,sinap!$A$2:$R$9000,8,FALSE)</f>
        <v>11.2.01.0038</v>
      </c>
      <c r="Q1941" s="15" t="str">
        <f>VLOOKUP(A1941,sinap!$A$2:$R$9000,12,FALSE)</f>
        <v>11.1.01.0893</v>
      </c>
      <c r="R1941" s="15" t="str">
        <f>VLOOKUP(A1941,sinap!$A$2:$R$9000,16,FALSE)</f>
        <v>11.1.01.0893</v>
      </c>
      <c r="S1941" s="15" t="str">
        <f>VLOOKUP(A1941,sinap!$A$2:$Y$9000,20,FALSE)</f>
        <v>SI</v>
      </c>
      <c r="T1941" s="16">
        <v>45989</v>
      </c>
    </row>
    <row r="1942" spans="1:20" hidden="1" x14ac:dyDescent="0.25">
      <c r="A1942" s="15">
        <v>26234336</v>
      </c>
      <c r="J1942" s="15" t="str">
        <f>VLOOKUP(A1942,sinap!$A$2:$R$9000,2,FALSE)</f>
        <v>H</v>
      </c>
      <c r="K1942" s="15" t="str">
        <f>VLOOKUP(A1942,sinap!$A$2:$R$9000,3,FALSE)</f>
        <v>TERNERA</v>
      </c>
      <c r="L1942" s="15" t="str">
        <f>VLOOKUP(A1942,sinap!$A$2:$R$9000,4,FALSE)</f>
        <v>ANGUS NEGRO</v>
      </c>
      <c r="M1942" s="15" t="str">
        <f>VLOOKUP(A1942,sinap!$A$2:$R$9000,5,FALSE)</f>
        <v>0 años 4 meses</v>
      </c>
      <c r="N1942" s="15" t="str">
        <f>VLOOKUP(A1942,sinap!$A$2:$R$9000,6,FALSE)</f>
        <v>15-09-2025</v>
      </c>
      <c r="O1942" s="15" t="str">
        <f>VLOOKUP(A1942,sinap!$A$2:$R$9000,7,FALSE)</f>
        <v>Vivo</v>
      </c>
      <c r="P1942" s="15" t="str">
        <f>VLOOKUP(A1942,sinap!$A$2:$R$9000,8,FALSE)</f>
        <v>11.1.01.0791</v>
      </c>
      <c r="Q1942" s="15" t="str">
        <f>VLOOKUP(A1942,sinap!$A$2:$R$9000,12,FALSE)</f>
        <v>11.1.01.0893</v>
      </c>
      <c r="R1942" s="15" t="str">
        <f>VLOOKUP(A1942,sinap!$A$2:$R$9000,16,FALSE)</f>
        <v>11.1.01.0893</v>
      </c>
      <c r="S1942" s="15" t="str">
        <f>VLOOKUP(A1942,sinap!$A$2:$Y$9000,20,FALSE)</f>
        <v>SI</v>
      </c>
      <c r="T1942" s="16">
        <v>45989</v>
      </c>
    </row>
    <row r="1943" spans="1:20" hidden="1" x14ac:dyDescent="0.25">
      <c r="A1943" s="15">
        <v>26234337</v>
      </c>
      <c r="J1943" s="15" t="str">
        <f>VLOOKUP(A1943,sinap!$A$2:$R$9000,2,FALSE)</f>
        <v>H</v>
      </c>
      <c r="K1943" s="15" t="str">
        <f>VLOOKUP(A1943,sinap!$A$2:$R$9000,3,FALSE)</f>
        <v>TERNERA</v>
      </c>
      <c r="L1943" s="15" t="str">
        <f>VLOOKUP(A1943,sinap!$A$2:$R$9000,4,FALSE)</f>
        <v>ANGUS NEGRO</v>
      </c>
      <c r="M1943" s="15" t="str">
        <f>VLOOKUP(A1943,sinap!$A$2:$R$9000,5,FALSE)</f>
        <v>0 años 3 meses</v>
      </c>
      <c r="N1943" s="15" t="str">
        <f>VLOOKUP(A1943,sinap!$A$2:$R$9000,6,FALSE)</f>
        <v>15-10-2025</v>
      </c>
      <c r="O1943" s="15" t="str">
        <f>VLOOKUP(A1943,sinap!$A$2:$R$9000,7,FALSE)</f>
        <v>Vivo</v>
      </c>
      <c r="P1943" s="15" t="str">
        <f>VLOOKUP(A1943,sinap!$A$2:$R$9000,8,FALSE)</f>
        <v>11.1.01.0791</v>
      </c>
      <c r="Q1943" s="15" t="str">
        <f>VLOOKUP(A1943,sinap!$A$2:$R$9000,12,FALSE)</f>
        <v>11.1.01.0893</v>
      </c>
      <c r="R1943" s="15" t="str">
        <f>VLOOKUP(A1943,sinap!$A$2:$R$9000,16,FALSE)</f>
        <v>11.1.01.0893</v>
      </c>
      <c r="S1943" s="15" t="str">
        <f>VLOOKUP(A1943,sinap!$A$2:$Y$9000,20,FALSE)</f>
        <v>SI</v>
      </c>
      <c r="T1943" s="16">
        <v>45989</v>
      </c>
    </row>
    <row r="1944" spans="1:20" hidden="1" x14ac:dyDescent="0.25">
      <c r="A1944" s="15">
        <v>26234338</v>
      </c>
      <c r="J1944" s="15" t="str">
        <f>VLOOKUP(A1944,sinap!$A$2:$R$9000,2,FALSE)</f>
        <v>H</v>
      </c>
      <c r="K1944" s="15" t="str">
        <f>VLOOKUP(A1944,sinap!$A$2:$R$9000,3,FALSE)</f>
        <v>TERNERA</v>
      </c>
      <c r="L1944" s="15" t="str">
        <f>VLOOKUP(A1944,sinap!$A$2:$R$9000,4,FALSE)</f>
        <v>ANGUS NEGRO</v>
      </c>
      <c r="M1944" s="15" t="str">
        <f>VLOOKUP(A1944,sinap!$A$2:$R$9000,5,FALSE)</f>
        <v>0 años 3 meses</v>
      </c>
      <c r="N1944" s="15" t="str">
        <f>VLOOKUP(A1944,sinap!$A$2:$R$9000,6,FALSE)</f>
        <v>15-10-2025</v>
      </c>
      <c r="O1944" s="15" t="str">
        <f>VLOOKUP(A1944,sinap!$A$2:$R$9000,7,FALSE)</f>
        <v>Vivo</v>
      </c>
      <c r="P1944" s="15" t="str">
        <f>VLOOKUP(A1944,sinap!$A$2:$R$9000,8,FALSE)</f>
        <v>11.1.01.0791</v>
      </c>
      <c r="Q1944" s="15" t="str">
        <f>VLOOKUP(A1944,sinap!$A$2:$R$9000,12,FALSE)</f>
        <v>11.1.01.0893</v>
      </c>
      <c r="R1944" s="15" t="str">
        <f>VLOOKUP(A1944,sinap!$A$2:$R$9000,16,FALSE)</f>
        <v>11.1.01.0893</v>
      </c>
      <c r="S1944" s="15" t="str">
        <f>VLOOKUP(A1944,sinap!$A$2:$Y$9000,20,FALSE)</f>
        <v>SI</v>
      </c>
      <c r="T1944" s="16">
        <v>45989</v>
      </c>
    </row>
    <row r="1945" spans="1:20" hidden="1" x14ac:dyDescent="0.25">
      <c r="A1945" s="15">
        <v>26234339</v>
      </c>
      <c r="J1945" s="15" t="str">
        <f>VLOOKUP(A1945,sinap!$A$2:$R$9000,2,FALSE)</f>
        <v>H</v>
      </c>
      <c r="K1945" s="15" t="str">
        <f>VLOOKUP(A1945,sinap!$A$2:$R$9000,3,FALSE)</f>
        <v>TERNERA</v>
      </c>
      <c r="L1945" s="15" t="str">
        <f>VLOOKUP(A1945,sinap!$A$2:$R$9000,4,FALSE)</f>
        <v>ANGUS NEGRO</v>
      </c>
      <c r="M1945" s="15" t="str">
        <f>VLOOKUP(A1945,sinap!$A$2:$R$9000,5,FALSE)</f>
        <v>0 años 3 meses</v>
      </c>
      <c r="N1945" s="15" t="str">
        <f>VLOOKUP(A1945,sinap!$A$2:$R$9000,6,FALSE)</f>
        <v>15-10-2025</v>
      </c>
      <c r="O1945" s="15" t="str">
        <f>VLOOKUP(A1945,sinap!$A$2:$R$9000,7,FALSE)</f>
        <v>Vivo</v>
      </c>
      <c r="P1945" s="15" t="str">
        <f>VLOOKUP(A1945,sinap!$A$2:$R$9000,8,FALSE)</f>
        <v>11.2.01.0038</v>
      </c>
      <c r="Q1945" s="15" t="str">
        <f>VLOOKUP(A1945,sinap!$A$2:$R$9000,12,FALSE)</f>
        <v>11.1.01.0893</v>
      </c>
      <c r="R1945" s="15" t="str">
        <f>VLOOKUP(A1945,sinap!$A$2:$R$9000,16,FALSE)</f>
        <v>11.1.01.0893</v>
      </c>
      <c r="S1945" s="15" t="str">
        <f>VLOOKUP(A1945,sinap!$A$2:$Y$9000,20,FALSE)</f>
        <v>SI</v>
      </c>
      <c r="T1945" s="16">
        <v>45989</v>
      </c>
    </row>
    <row r="1946" spans="1:20" hidden="1" x14ac:dyDescent="0.25">
      <c r="A1946" s="15">
        <v>26234340</v>
      </c>
      <c r="J1946" s="15" t="str">
        <f>VLOOKUP(A1946,sinap!$A$2:$R$9000,2,FALSE)</f>
        <v>M</v>
      </c>
      <c r="K1946" s="15" t="str">
        <f>VLOOKUP(A1946,sinap!$A$2:$R$9000,3,FALSE)</f>
        <v>TERNERO</v>
      </c>
      <c r="L1946" s="15" t="str">
        <f>VLOOKUP(A1946,sinap!$A$2:$R$9000,4,FALSE)</f>
        <v>ANGUS NEGRO</v>
      </c>
      <c r="M1946" s="15" t="str">
        <f>VLOOKUP(A1946,sinap!$A$2:$R$9000,5,FALSE)</f>
        <v>0 años 4 meses</v>
      </c>
      <c r="N1946" s="15" t="str">
        <f>VLOOKUP(A1946,sinap!$A$2:$R$9000,6,FALSE)</f>
        <v>15-09-2025</v>
      </c>
      <c r="O1946" s="15" t="str">
        <f>VLOOKUP(A1946,sinap!$A$2:$R$9000,7,FALSE)</f>
        <v>Vivo</v>
      </c>
      <c r="P1946" s="15" t="str">
        <f>VLOOKUP(A1946,sinap!$A$2:$R$9000,8,FALSE)</f>
        <v>11.1.01.0893</v>
      </c>
      <c r="Q1946" s="15" t="str">
        <f>VLOOKUP(A1946,sinap!$A$2:$R$9000,12,FALSE)</f>
        <v>Sin Movimiento</v>
      </c>
      <c r="R1946" s="15" t="str">
        <f>VLOOKUP(A1946,sinap!$A$2:$R$9000,16,FALSE)</f>
        <v>11.1.01.0893</v>
      </c>
      <c r="S1946" s="15" t="str">
        <f>VLOOKUP(A1946,sinap!$A$2:$Y$9000,20,FALSE)</f>
        <v>SI</v>
      </c>
      <c r="T1946" s="16">
        <v>45989</v>
      </c>
    </row>
    <row r="1947" spans="1:20" hidden="1" x14ac:dyDescent="0.25">
      <c r="A1947" s="15">
        <v>26234341</v>
      </c>
      <c r="J1947" s="15" t="str">
        <f>VLOOKUP(A1947,sinap!$A$2:$R$9000,2,FALSE)</f>
        <v>H</v>
      </c>
      <c r="K1947" s="15" t="str">
        <f>VLOOKUP(A1947,sinap!$A$2:$R$9000,3,FALSE)</f>
        <v>TERNERA</v>
      </c>
      <c r="L1947" s="15" t="str">
        <f>VLOOKUP(A1947,sinap!$A$2:$R$9000,4,FALSE)</f>
        <v>HEREFORD</v>
      </c>
      <c r="M1947" s="15" t="str">
        <f>VLOOKUP(A1947,sinap!$A$2:$R$9000,5,FALSE)</f>
        <v>0 años 3 meses</v>
      </c>
      <c r="N1947" s="15" t="str">
        <f>VLOOKUP(A1947,sinap!$A$2:$R$9000,6,FALSE)</f>
        <v>15-10-2025</v>
      </c>
      <c r="O1947" s="15" t="str">
        <f>VLOOKUP(A1947,sinap!$A$2:$R$9000,7,FALSE)</f>
        <v>Vivo</v>
      </c>
      <c r="P1947" s="15" t="str">
        <f>VLOOKUP(A1947,sinap!$A$2:$R$9000,8,FALSE)</f>
        <v>11.2.01.0038</v>
      </c>
      <c r="Q1947" s="15" t="str">
        <f>VLOOKUP(A1947,sinap!$A$2:$R$9000,12,FALSE)</f>
        <v>11.1.01.0893</v>
      </c>
      <c r="R1947" s="15" t="str">
        <f>VLOOKUP(A1947,sinap!$A$2:$R$9000,16,FALSE)</f>
        <v>11.1.01.0893</v>
      </c>
      <c r="S1947" s="15" t="str">
        <f>VLOOKUP(A1947,sinap!$A$2:$Y$9000,20,FALSE)</f>
        <v>SI</v>
      </c>
      <c r="T1947" s="16">
        <v>45989</v>
      </c>
    </row>
    <row r="1948" spans="1:20" hidden="1" x14ac:dyDescent="0.25">
      <c r="A1948" s="15">
        <v>26234342</v>
      </c>
      <c r="J1948" s="15" t="str">
        <f>VLOOKUP(A1948,sinap!$A$2:$R$9000,2,FALSE)</f>
        <v>H</v>
      </c>
      <c r="K1948" s="15" t="str">
        <f>VLOOKUP(A1948,sinap!$A$2:$R$9000,3,FALSE)</f>
        <v>TERNERA</v>
      </c>
      <c r="L1948" s="15" t="str">
        <f>VLOOKUP(A1948,sinap!$A$2:$R$9000,4,FALSE)</f>
        <v>ANGUS NEGRO</v>
      </c>
      <c r="M1948" s="15" t="str">
        <f>VLOOKUP(A1948,sinap!$A$2:$R$9000,5,FALSE)</f>
        <v>0 años 3 meses</v>
      </c>
      <c r="N1948" s="15" t="str">
        <f>VLOOKUP(A1948,sinap!$A$2:$R$9000,6,FALSE)</f>
        <v>05-10-2025</v>
      </c>
      <c r="O1948" s="15" t="str">
        <f>VLOOKUP(A1948,sinap!$A$2:$R$9000,7,FALSE)</f>
        <v>Vivo</v>
      </c>
      <c r="P1948" s="15" t="str">
        <f>VLOOKUP(A1948,sinap!$A$2:$R$9000,8,FALSE)</f>
        <v>11.1.01.0791</v>
      </c>
      <c r="Q1948" s="15" t="str">
        <f>VLOOKUP(A1948,sinap!$A$2:$R$9000,12,FALSE)</f>
        <v>11.1.01.0893</v>
      </c>
      <c r="R1948" s="15" t="str">
        <f>VLOOKUP(A1948,sinap!$A$2:$R$9000,16,FALSE)</f>
        <v>11.1.01.0893</v>
      </c>
      <c r="S1948" s="15" t="str">
        <f>VLOOKUP(A1948,sinap!$A$2:$Y$9000,20,FALSE)</f>
        <v>SI</v>
      </c>
      <c r="T1948" s="16">
        <v>45989</v>
      </c>
    </row>
    <row r="1949" spans="1:20" hidden="1" x14ac:dyDescent="0.25">
      <c r="A1949" s="15">
        <v>26234343</v>
      </c>
      <c r="J1949" s="15" t="str">
        <f>VLOOKUP(A1949,sinap!$A$2:$R$9000,2,FALSE)</f>
        <v>H</v>
      </c>
      <c r="K1949" s="15" t="str">
        <f>VLOOKUP(A1949,sinap!$A$2:$R$9000,3,FALSE)</f>
        <v>TERNERA</v>
      </c>
      <c r="L1949" s="15" t="str">
        <f>VLOOKUP(A1949,sinap!$A$2:$R$9000,4,FALSE)</f>
        <v>ANGUS NEGRO</v>
      </c>
      <c r="M1949" s="15" t="str">
        <f>VLOOKUP(A1949,sinap!$A$2:$R$9000,5,FALSE)</f>
        <v>0 años 4 meses</v>
      </c>
      <c r="N1949" s="15" t="str">
        <f>VLOOKUP(A1949,sinap!$A$2:$R$9000,6,FALSE)</f>
        <v>11-09-2025</v>
      </c>
      <c r="O1949" s="15" t="str">
        <f>VLOOKUP(A1949,sinap!$A$2:$R$9000,7,FALSE)</f>
        <v>Vivo</v>
      </c>
      <c r="P1949" s="15" t="str">
        <f>VLOOKUP(A1949,sinap!$A$2:$R$9000,8,FALSE)</f>
        <v>11.2.01.0038</v>
      </c>
      <c r="Q1949" s="15" t="str">
        <f>VLOOKUP(A1949,sinap!$A$2:$R$9000,12,FALSE)</f>
        <v>11.1.01.0893</v>
      </c>
      <c r="R1949" s="15" t="str">
        <f>VLOOKUP(A1949,sinap!$A$2:$R$9000,16,FALSE)</f>
        <v>11.1.01.0893</v>
      </c>
      <c r="S1949" s="15" t="str">
        <f>VLOOKUP(A1949,sinap!$A$2:$Y$9000,20,FALSE)</f>
        <v>SI</v>
      </c>
      <c r="T1949" s="16">
        <v>45989</v>
      </c>
    </row>
    <row r="1950" spans="1:20" hidden="1" x14ac:dyDescent="0.25">
      <c r="A1950" s="15">
        <v>26234344</v>
      </c>
      <c r="J1950" s="15" t="str">
        <f>VLOOKUP(A1950,sinap!$A$2:$R$9000,2,FALSE)</f>
        <v>H</v>
      </c>
      <c r="K1950" s="15" t="str">
        <f>VLOOKUP(A1950,sinap!$A$2:$R$9000,3,FALSE)</f>
        <v>TERNERA</v>
      </c>
      <c r="L1950" s="15" t="str">
        <f>VLOOKUP(A1950,sinap!$A$2:$R$9000,4,FALSE)</f>
        <v>ANGUS NEGRO</v>
      </c>
      <c r="M1950" s="15" t="str">
        <f>VLOOKUP(A1950,sinap!$A$2:$R$9000,5,FALSE)</f>
        <v>0 años 4 meses</v>
      </c>
      <c r="N1950" s="15" t="str">
        <f>VLOOKUP(A1950,sinap!$A$2:$R$9000,6,FALSE)</f>
        <v>11-09-2025</v>
      </c>
      <c r="O1950" s="15" t="str">
        <f>VLOOKUP(A1950,sinap!$A$2:$R$9000,7,FALSE)</f>
        <v>Vivo</v>
      </c>
      <c r="P1950" s="15" t="str">
        <f>VLOOKUP(A1950,sinap!$A$2:$R$9000,8,FALSE)</f>
        <v>11.2.01.0038</v>
      </c>
      <c r="Q1950" s="15" t="str">
        <f>VLOOKUP(A1950,sinap!$A$2:$R$9000,12,FALSE)</f>
        <v>11.1.01.0893</v>
      </c>
      <c r="R1950" s="15" t="str">
        <f>VLOOKUP(A1950,sinap!$A$2:$R$9000,16,FALSE)</f>
        <v>11.1.01.0893</v>
      </c>
      <c r="S1950" s="15" t="str">
        <f>VLOOKUP(A1950,sinap!$A$2:$Y$9000,20,FALSE)</f>
        <v>SI</v>
      </c>
      <c r="T1950" s="16">
        <v>45989</v>
      </c>
    </row>
    <row r="1951" spans="1:20" hidden="1" x14ac:dyDescent="0.25">
      <c r="A1951" s="15">
        <v>26234345</v>
      </c>
      <c r="J1951" s="15" t="str">
        <f>VLOOKUP(A1951,sinap!$A$2:$R$9000,2,FALSE)</f>
        <v>H</v>
      </c>
      <c r="K1951" s="15" t="str">
        <f>VLOOKUP(A1951,sinap!$A$2:$R$9000,3,FALSE)</f>
        <v>TERNERA</v>
      </c>
      <c r="L1951" s="15" t="str">
        <f>VLOOKUP(A1951,sinap!$A$2:$R$9000,4,FALSE)</f>
        <v>ANGUS ROJO</v>
      </c>
      <c r="M1951" s="15" t="str">
        <f>VLOOKUP(A1951,sinap!$A$2:$R$9000,5,FALSE)</f>
        <v>0 años 4 meses</v>
      </c>
      <c r="N1951" s="15" t="str">
        <f>VLOOKUP(A1951,sinap!$A$2:$R$9000,6,FALSE)</f>
        <v>11-09-2025</v>
      </c>
      <c r="O1951" s="15" t="str">
        <f>VLOOKUP(A1951,sinap!$A$2:$R$9000,7,FALSE)</f>
        <v>Vivo</v>
      </c>
      <c r="P1951" s="15" t="str">
        <f>VLOOKUP(A1951,sinap!$A$2:$R$9000,8,FALSE)</f>
        <v>11.2.01.0038</v>
      </c>
      <c r="Q1951" s="15" t="str">
        <f>VLOOKUP(A1951,sinap!$A$2:$R$9000,12,FALSE)</f>
        <v>11.1.01.0893</v>
      </c>
      <c r="R1951" s="15" t="str">
        <f>VLOOKUP(A1951,sinap!$A$2:$R$9000,16,FALSE)</f>
        <v>11.1.01.0893</v>
      </c>
      <c r="S1951" s="15" t="str">
        <f>VLOOKUP(A1951,sinap!$A$2:$Y$9000,20,FALSE)</f>
        <v>SI</v>
      </c>
      <c r="T1951" s="16">
        <v>45989</v>
      </c>
    </row>
    <row r="1952" spans="1:20" hidden="1" x14ac:dyDescent="0.25">
      <c r="A1952" s="15">
        <v>26234346</v>
      </c>
      <c r="J1952" s="15" t="str">
        <f>VLOOKUP(A1952,sinap!$A$2:$R$9000,2,FALSE)</f>
        <v>M</v>
      </c>
      <c r="K1952" s="15" t="str">
        <f>VLOOKUP(A1952,sinap!$A$2:$R$9000,3,FALSE)</f>
        <v>TERNERO</v>
      </c>
      <c r="L1952" s="15" t="str">
        <f>VLOOKUP(A1952,sinap!$A$2:$R$9000,4,FALSE)</f>
        <v>ANGUS NEGRO</v>
      </c>
      <c r="M1952" s="15" t="str">
        <f>VLOOKUP(A1952,sinap!$A$2:$R$9000,5,FALSE)</f>
        <v>0 años 4 meses</v>
      </c>
      <c r="N1952" s="15" t="str">
        <f>VLOOKUP(A1952,sinap!$A$2:$R$9000,6,FALSE)</f>
        <v>11-09-2025</v>
      </c>
      <c r="O1952" s="15" t="str">
        <f>VLOOKUP(A1952,sinap!$A$2:$R$9000,7,FALSE)</f>
        <v>Vivo</v>
      </c>
      <c r="P1952" s="15" t="str">
        <f>VLOOKUP(A1952,sinap!$A$2:$R$9000,8,FALSE)</f>
        <v>11.1.01.0791</v>
      </c>
      <c r="Q1952" s="15" t="str">
        <f>VLOOKUP(A1952,sinap!$A$2:$R$9000,12,FALSE)</f>
        <v>11.1.01.0893</v>
      </c>
      <c r="R1952" s="15" t="str">
        <f>VLOOKUP(A1952,sinap!$A$2:$R$9000,16,FALSE)</f>
        <v>11.1.01.0893</v>
      </c>
      <c r="S1952" s="15" t="str">
        <f>VLOOKUP(A1952,sinap!$A$2:$Y$9000,20,FALSE)</f>
        <v>SI</v>
      </c>
      <c r="T1952" s="16">
        <v>45989</v>
      </c>
    </row>
    <row r="1953" spans="1:20" hidden="1" x14ac:dyDescent="0.25">
      <c r="A1953" s="15">
        <v>26234347</v>
      </c>
      <c r="J1953" s="15" t="str">
        <f>VLOOKUP(A1953,sinap!$A$2:$R$9000,2,FALSE)</f>
        <v>M</v>
      </c>
      <c r="K1953" s="15" t="str">
        <f>VLOOKUP(A1953,sinap!$A$2:$R$9000,3,FALSE)</f>
        <v>TERNERO</v>
      </c>
      <c r="L1953" s="15" t="str">
        <f>VLOOKUP(A1953,sinap!$A$2:$R$9000,4,FALSE)</f>
        <v>ANGUS NEGRO</v>
      </c>
      <c r="M1953" s="15" t="str">
        <f>VLOOKUP(A1953,sinap!$A$2:$R$9000,5,FALSE)</f>
        <v>0 años 4 meses</v>
      </c>
      <c r="N1953" s="15" t="str">
        <f>VLOOKUP(A1953,sinap!$A$2:$R$9000,6,FALSE)</f>
        <v>11-09-2025</v>
      </c>
      <c r="O1953" s="15" t="str">
        <f>VLOOKUP(A1953,sinap!$A$2:$R$9000,7,FALSE)</f>
        <v>Vivo</v>
      </c>
      <c r="P1953" s="15" t="str">
        <f>VLOOKUP(A1953,sinap!$A$2:$R$9000,8,FALSE)</f>
        <v>11.2.01.0038</v>
      </c>
      <c r="Q1953" s="15" t="str">
        <f>VLOOKUP(A1953,sinap!$A$2:$R$9000,12,FALSE)</f>
        <v>11.1.01.0893</v>
      </c>
      <c r="R1953" s="15" t="str">
        <f>VLOOKUP(A1953,sinap!$A$2:$R$9000,16,FALSE)</f>
        <v>11.1.01.0893</v>
      </c>
      <c r="S1953" s="15" t="str">
        <f>VLOOKUP(A1953,sinap!$A$2:$Y$9000,20,FALSE)</f>
        <v>SI</v>
      </c>
      <c r="T1953" s="16">
        <v>45989</v>
      </c>
    </row>
    <row r="1954" spans="1:20" hidden="1" x14ac:dyDescent="0.25">
      <c r="A1954" s="15">
        <v>26234348</v>
      </c>
      <c r="J1954" s="15" t="str">
        <f>VLOOKUP(A1954,sinap!$A$2:$R$9000,2,FALSE)</f>
        <v>H</v>
      </c>
      <c r="K1954" s="15" t="str">
        <f>VLOOKUP(A1954,sinap!$A$2:$R$9000,3,FALSE)</f>
        <v>TERNERA</v>
      </c>
      <c r="L1954" s="15" t="str">
        <f>VLOOKUP(A1954,sinap!$A$2:$R$9000,4,FALSE)</f>
        <v>ANGUS NEGRO</v>
      </c>
      <c r="M1954" s="15" t="str">
        <f>VLOOKUP(A1954,sinap!$A$2:$R$9000,5,FALSE)</f>
        <v>0 años 4 meses</v>
      </c>
      <c r="N1954" s="15" t="str">
        <f>VLOOKUP(A1954,sinap!$A$2:$R$9000,6,FALSE)</f>
        <v>11-09-2025</v>
      </c>
      <c r="O1954" s="15" t="str">
        <f>VLOOKUP(A1954,sinap!$A$2:$R$9000,7,FALSE)</f>
        <v>Vivo</v>
      </c>
      <c r="P1954" s="15" t="str">
        <f>VLOOKUP(A1954,sinap!$A$2:$R$9000,8,FALSE)</f>
        <v>11.2.01.0038</v>
      </c>
      <c r="Q1954" s="15" t="str">
        <f>VLOOKUP(A1954,sinap!$A$2:$R$9000,12,FALSE)</f>
        <v>11.1.01.0893</v>
      </c>
      <c r="R1954" s="15" t="str">
        <f>VLOOKUP(A1954,sinap!$A$2:$R$9000,16,FALSE)</f>
        <v>11.1.01.0893</v>
      </c>
      <c r="S1954" s="15" t="str">
        <f>VLOOKUP(A1954,sinap!$A$2:$Y$9000,20,FALSE)</f>
        <v>SI</v>
      </c>
      <c r="T1954" s="16">
        <v>45989</v>
      </c>
    </row>
    <row r="1955" spans="1:20" hidden="1" x14ac:dyDescent="0.25">
      <c r="A1955" s="15">
        <v>26234349</v>
      </c>
      <c r="J1955" s="15" t="str">
        <f>VLOOKUP(A1955,sinap!$A$2:$R$9000,2,FALSE)</f>
        <v>M</v>
      </c>
      <c r="K1955" s="15" t="str">
        <f>VLOOKUP(A1955,sinap!$A$2:$R$9000,3,FALSE)</f>
        <v>TERNERO</v>
      </c>
      <c r="L1955" s="15" t="str">
        <f>VLOOKUP(A1955,sinap!$A$2:$R$9000,4,FALSE)</f>
        <v>ANGUS NEGRO</v>
      </c>
      <c r="M1955" s="15" t="str">
        <f>VLOOKUP(A1955,sinap!$A$2:$R$9000,5,FALSE)</f>
        <v>0 años 4 meses</v>
      </c>
      <c r="N1955" s="15" t="str">
        <f>VLOOKUP(A1955,sinap!$A$2:$R$9000,6,FALSE)</f>
        <v>11-09-2025</v>
      </c>
      <c r="O1955" s="15" t="str">
        <f>VLOOKUP(A1955,sinap!$A$2:$R$9000,7,FALSE)</f>
        <v>Vivo</v>
      </c>
      <c r="P1955" s="15" t="str">
        <f>VLOOKUP(A1955,sinap!$A$2:$R$9000,8,FALSE)</f>
        <v>11.2.01.0038</v>
      </c>
      <c r="Q1955" s="15" t="str">
        <f>VLOOKUP(A1955,sinap!$A$2:$R$9000,12,FALSE)</f>
        <v>11.1.01.0893</v>
      </c>
      <c r="R1955" s="15" t="str">
        <f>VLOOKUP(A1955,sinap!$A$2:$R$9000,16,FALSE)</f>
        <v>11.1.01.0893</v>
      </c>
      <c r="S1955" s="15" t="str">
        <f>VLOOKUP(A1955,sinap!$A$2:$Y$9000,20,FALSE)</f>
        <v>SI</v>
      </c>
      <c r="T1955" s="16">
        <v>45989</v>
      </c>
    </row>
    <row r="1956" spans="1:20" hidden="1" x14ac:dyDescent="0.25">
      <c r="A1956" s="15">
        <v>26234350</v>
      </c>
      <c r="J1956" s="15" t="str">
        <f>VLOOKUP(A1956,sinap!$A$2:$R$9000,2,FALSE)</f>
        <v>H</v>
      </c>
      <c r="K1956" s="15" t="str">
        <f>VLOOKUP(A1956,sinap!$A$2:$R$9000,3,FALSE)</f>
        <v>TERNERA</v>
      </c>
      <c r="L1956" s="15" t="str">
        <f>VLOOKUP(A1956,sinap!$A$2:$R$9000,4,FALSE)</f>
        <v>ANGUS ROJO</v>
      </c>
      <c r="M1956" s="15" t="str">
        <f>VLOOKUP(A1956,sinap!$A$2:$R$9000,5,FALSE)</f>
        <v>0 años 4 meses</v>
      </c>
      <c r="N1956" s="15" t="str">
        <f>VLOOKUP(A1956,sinap!$A$2:$R$9000,6,FALSE)</f>
        <v>11-09-2025</v>
      </c>
      <c r="O1956" s="15" t="str">
        <f>VLOOKUP(A1956,sinap!$A$2:$R$9000,7,FALSE)</f>
        <v>Vivo</v>
      </c>
      <c r="P1956" s="15" t="str">
        <f>VLOOKUP(A1956,sinap!$A$2:$R$9000,8,FALSE)</f>
        <v>11.1.01.0791</v>
      </c>
      <c r="Q1956" s="15" t="str">
        <f>VLOOKUP(A1956,sinap!$A$2:$R$9000,12,FALSE)</f>
        <v>11.1.01.0893</v>
      </c>
      <c r="R1956" s="15" t="str">
        <f>VLOOKUP(A1956,sinap!$A$2:$R$9000,16,FALSE)</f>
        <v>11.1.01.0893</v>
      </c>
      <c r="S1956" s="15" t="str">
        <f>VLOOKUP(A1956,sinap!$A$2:$Y$9000,20,FALSE)</f>
        <v>SI</v>
      </c>
      <c r="T1956" s="16">
        <v>45989</v>
      </c>
    </row>
    <row r="1957" spans="1:20" hidden="1" x14ac:dyDescent="0.25">
      <c r="A1957" s="15">
        <v>26234351</v>
      </c>
      <c r="J1957" s="15" t="str">
        <f>VLOOKUP(A1957,sinap!$A$2:$R$9000,2,FALSE)</f>
        <v>H</v>
      </c>
      <c r="K1957" s="15" t="str">
        <f>VLOOKUP(A1957,sinap!$A$2:$R$9000,3,FALSE)</f>
        <v>TERNERA</v>
      </c>
      <c r="L1957" s="15" t="str">
        <f>VLOOKUP(A1957,sinap!$A$2:$R$9000,4,FALSE)</f>
        <v>ANGUS NEGRO</v>
      </c>
      <c r="M1957" s="15" t="str">
        <f>VLOOKUP(A1957,sinap!$A$2:$R$9000,5,FALSE)</f>
        <v>0 años 4 meses</v>
      </c>
      <c r="N1957" s="15" t="str">
        <f>VLOOKUP(A1957,sinap!$A$2:$R$9000,6,FALSE)</f>
        <v>11-09-2025</v>
      </c>
      <c r="O1957" s="15" t="str">
        <f>VLOOKUP(A1957,sinap!$A$2:$R$9000,7,FALSE)</f>
        <v>Vivo</v>
      </c>
      <c r="P1957" s="15" t="str">
        <f>VLOOKUP(A1957,sinap!$A$2:$R$9000,8,FALSE)</f>
        <v>11.2.01.0038</v>
      </c>
      <c r="Q1957" s="15" t="str">
        <f>VLOOKUP(A1957,sinap!$A$2:$R$9000,12,FALSE)</f>
        <v>11.1.01.0893</v>
      </c>
      <c r="R1957" s="15" t="str">
        <f>VLOOKUP(A1957,sinap!$A$2:$R$9000,16,FALSE)</f>
        <v>11.1.01.0893</v>
      </c>
      <c r="S1957" s="15" t="str">
        <f>VLOOKUP(A1957,sinap!$A$2:$Y$9000,20,FALSE)</f>
        <v>SI</v>
      </c>
      <c r="T1957" s="16">
        <v>45989</v>
      </c>
    </row>
    <row r="1958" spans="1:20" hidden="1" x14ac:dyDescent="0.25">
      <c r="A1958" s="15">
        <v>26234352</v>
      </c>
      <c r="J1958" s="15" t="str">
        <f>VLOOKUP(A1958,sinap!$A$2:$R$9000,2,FALSE)</f>
        <v>M</v>
      </c>
      <c r="K1958" s="15" t="str">
        <f>VLOOKUP(A1958,sinap!$A$2:$R$9000,3,FALSE)</f>
        <v>TERNERO</v>
      </c>
      <c r="L1958" s="15" t="str">
        <f>VLOOKUP(A1958,sinap!$A$2:$R$9000,4,FALSE)</f>
        <v>ANGUS NEGRO</v>
      </c>
      <c r="M1958" s="15" t="str">
        <f>VLOOKUP(A1958,sinap!$A$2:$R$9000,5,FALSE)</f>
        <v>0 años 4 meses</v>
      </c>
      <c r="N1958" s="15" t="str">
        <f>VLOOKUP(A1958,sinap!$A$2:$R$9000,6,FALSE)</f>
        <v>11-09-2025</v>
      </c>
      <c r="O1958" s="15" t="str">
        <f>VLOOKUP(A1958,sinap!$A$2:$R$9000,7,FALSE)</f>
        <v>Vivo</v>
      </c>
      <c r="P1958" s="15" t="str">
        <f>VLOOKUP(A1958,sinap!$A$2:$R$9000,8,FALSE)</f>
        <v>11.2.01.0038</v>
      </c>
      <c r="Q1958" s="15" t="str">
        <f>VLOOKUP(A1958,sinap!$A$2:$R$9000,12,FALSE)</f>
        <v>11.1.01.0893</v>
      </c>
      <c r="R1958" s="15" t="str">
        <f>VLOOKUP(A1958,sinap!$A$2:$R$9000,16,FALSE)</f>
        <v>11.1.01.0893</v>
      </c>
      <c r="S1958" s="15" t="str">
        <f>VLOOKUP(A1958,sinap!$A$2:$Y$9000,20,FALSE)</f>
        <v>SI</v>
      </c>
      <c r="T1958" s="16">
        <v>45989</v>
      </c>
    </row>
    <row r="1959" spans="1:20" hidden="1" x14ac:dyDescent="0.25">
      <c r="A1959" s="15">
        <v>26234353</v>
      </c>
      <c r="J1959" s="15" t="str">
        <f>VLOOKUP(A1959,sinap!$A$2:$R$9000,2,FALSE)</f>
        <v>M</v>
      </c>
      <c r="K1959" s="15" t="str">
        <f>VLOOKUP(A1959,sinap!$A$2:$R$9000,3,FALSE)</f>
        <v>TERNERO</v>
      </c>
      <c r="L1959" s="15" t="str">
        <f>VLOOKUP(A1959,sinap!$A$2:$R$9000,4,FALSE)</f>
        <v>ANGUS NEGRO</v>
      </c>
      <c r="M1959" s="15" t="str">
        <f>VLOOKUP(A1959,sinap!$A$2:$R$9000,5,FALSE)</f>
        <v>0 años 4 meses</v>
      </c>
      <c r="N1959" s="15" t="str">
        <f>VLOOKUP(A1959,sinap!$A$2:$R$9000,6,FALSE)</f>
        <v>11-09-2025</v>
      </c>
      <c r="O1959" s="15" t="str">
        <f>VLOOKUP(A1959,sinap!$A$2:$R$9000,7,FALSE)</f>
        <v>Vivo</v>
      </c>
      <c r="P1959" s="15" t="str">
        <f>VLOOKUP(A1959,sinap!$A$2:$R$9000,8,FALSE)</f>
        <v>11.2.01.0038</v>
      </c>
      <c r="Q1959" s="15" t="str">
        <f>VLOOKUP(A1959,sinap!$A$2:$R$9000,12,FALSE)</f>
        <v>11.1.01.0893</v>
      </c>
      <c r="R1959" s="15" t="str">
        <f>VLOOKUP(A1959,sinap!$A$2:$R$9000,16,FALSE)</f>
        <v>11.1.01.0893</v>
      </c>
      <c r="S1959" s="15" t="str">
        <f>VLOOKUP(A1959,sinap!$A$2:$Y$9000,20,FALSE)</f>
        <v>SI</v>
      </c>
      <c r="T1959" s="16">
        <v>45989</v>
      </c>
    </row>
    <row r="1960" spans="1:20" hidden="1" x14ac:dyDescent="0.25">
      <c r="A1960" s="15">
        <v>26234354</v>
      </c>
      <c r="J1960" s="15" t="str">
        <f>VLOOKUP(A1960,sinap!$A$2:$R$9000,2,FALSE)</f>
        <v>M</v>
      </c>
      <c r="K1960" s="15" t="str">
        <f>VLOOKUP(A1960,sinap!$A$2:$R$9000,3,FALSE)</f>
        <v>TERNERO</v>
      </c>
      <c r="L1960" s="15" t="str">
        <f>VLOOKUP(A1960,sinap!$A$2:$R$9000,4,FALSE)</f>
        <v>ANGUS NEGRO</v>
      </c>
      <c r="M1960" s="15" t="str">
        <f>VLOOKUP(A1960,sinap!$A$2:$R$9000,5,FALSE)</f>
        <v>0 años 4 meses</v>
      </c>
      <c r="N1960" s="15" t="str">
        <f>VLOOKUP(A1960,sinap!$A$2:$R$9000,6,FALSE)</f>
        <v>11-09-2025</v>
      </c>
      <c r="O1960" s="15" t="str">
        <f>VLOOKUP(A1960,sinap!$A$2:$R$9000,7,FALSE)</f>
        <v>Vivo</v>
      </c>
      <c r="P1960" s="15" t="str">
        <f>VLOOKUP(A1960,sinap!$A$2:$R$9000,8,FALSE)</f>
        <v>11.2.01.0038</v>
      </c>
      <c r="Q1960" s="15" t="str">
        <f>VLOOKUP(A1960,sinap!$A$2:$R$9000,12,FALSE)</f>
        <v>11.1.01.0893</v>
      </c>
      <c r="R1960" s="15" t="str">
        <f>VLOOKUP(A1960,sinap!$A$2:$R$9000,16,FALSE)</f>
        <v>11.1.01.0893</v>
      </c>
      <c r="S1960" s="15" t="str">
        <f>VLOOKUP(A1960,sinap!$A$2:$Y$9000,20,FALSE)</f>
        <v>SI</v>
      </c>
      <c r="T1960" s="16">
        <v>45989</v>
      </c>
    </row>
    <row r="1961" spans="1:20" hidden="1" x14ac:dyDescent="0.25">
      <c r="A1961" s="15">
        <v>26234355</v>
      </c>
      <c r="J1961" s="15" t="str">
        <f>VLOOKUP(A1961,sinap!$A$2:$R$9000,2,FALSE)</f>
        <v>H</v>
      </c>
      <c r="K1961" s="15" t="str">
        <f>VLOOKUP(A1961,sinap!$A$2:$R$9000,3,FALSE)</f>
        <v>TERNERA</v>
      </c>
      <c r="L1961" s="15" t="str">
        <f>VLOOKUP(A1961,sinap!$A$2:$R$9000,4,FALSE)</f>
        <v>ANGUS NEGRO</v>
      </c>
      <c r="M1961" s="15" t="str">
        <f>VLOOKUP(A1961,sinap!$A$2:$R$9000,5,FALSE)</f>
        <v>0 años 4 meses</v>
      </c>
      <c r="N1961" s="15" t="str">
        <f>VLOOKUP(A1961,sinap!$A$2:$R$9000,6,FALSE)</f>
        <v>11-09-2025</v>
      </c>
      <c r="O1961" s="15" t="str">
        <f>VLOOKUP(A1961,sinap!$A$2:$R$9000,7,FALSE)</f>
        <v>Vivo</v>
      </c>
      <c r="P1961" s="15" t="str">
        <f>VLOOKUP(A1961,sinap!$A$2:$R$9000,8,FALSE)</f>
        <v>11.2.01.0038</v>
      </c>
      <c r="Q1961" s="15" t="str">
        <f>VLOOKUP(A1961,sinap!$A$2:$R$9000,12,FALSE)</f>
        <v>11.1.01.0893</v>
      </c>
      <c r="R1961" s="15" t="str">
        <f>VLOOKUP(A1961,sinap!$A$2:$R$9000,16,FALSE)</f>
        <v>11.1.01.0893</v>
      </c>
      <c r="S1961" s="15" t="str">
        <f>VLOOKUP(A1961,sinap!$A$2:$Y$9000,20,FALSE)</f>
        <v>SI</v>
      </c>
      <c r="T1961" s="16">
        <v>45989</v>
      </c>
    </row>
    <row r="1962" spans="1:20" hidden="1" x14ac:dyDescent="0.25">
      <c r="A1962" s="15">
        <v>26234356</v>
      </c>
      <c r="J1962" s="15" t="str">
        <f>VLOOKUP(A1962,sinap!$A$2:$R$9000,2,FALSE)</f>
        <v>M</v>
      </c>
      <c r="K1962" s="15" t="str">
        <f>VLOOKUP(A1962,sinap!$A$2:$R$9000,3,FALSE)</f>
        <v>TERNERO</v>
      </c>
      <c r="L1962" s="15" t="str">
        <f>VLOOKUP(A1962,sinap!$A$2:$R$9000,4,FALSE)</f>
        <v>ANGUS NEGRO</v>
      </c>
      <c r="M1962" s="15" t="str">
        <f>VLOOKUP(A1962,sinap!$A$2:$R$9000,5,FALSE)</f>
        <v>0 años 4 meses</v>
      </c>
      <c r="N1962" s="15" t="str">
        <f>VLOOKUP(A1962,sinap!$A$2:$R$9000,6,FALSE)</f>
        <v>11-09-2025</v>
      </c>
      <c r="O1962" s="15" t="str">
        <f>VLOOKUP(A1962,sinap!$A$2:$R$9000,7,FALSE)</f>
        <v>Vivo</v>
      </c>
      <c r="P1962" s="15" t="str">
        <f>VLOOKUP(A1962,sinap!$A$2:$R$9000,8,FALSE)</f>
        <v>11.1.01.0791</v>
      </c>
      <c r="Q1962" s="15" t="str">
        <f>VLOOKUP(A1962,sinap!$A$2:$R$9000,12,FALSE)</f>
        <v>11.1.01.0893</v>
      </c>
      <c r="R1962" s="15" t="str">
        <f>VLOOKUP(A1962,sinap!$A$2:$R$9000,16,FALSE)</f>
        <v>11.1.01.0893</v>
      </c>
      <c r="S1962" s="15" t="str">
        <f>VLOOKUP(A1962,sinap!$A$2:$Y$9000,20,FALSE)</f>
        <v>SI</v>
      </c>
      <c r="T1962" s="16">
        <v>45989</v>
      </c>
    </row>
    <row r="1963" spans="1:20" hidden="1" x14ac:dyDescent="0.25">
      <c r="A1963" s="15">
        <v>26234357</v>
      </c>
      <c r="J1963" s="15" t="str">
        <f>VLOOKUP(A1963,sinap!$A$2:$R$9000,2,FALSE)</f>
        <v>H</v>
      </c>
      <c r="K1963" s="15" t="str">
        <f>VLOOKUP(A1963,sinap!$A$2:$R$9000,3,FALSE)</f>
        <v>TERNERA</v>
      </c>
      <c r="L1963" s="15" t="str">
        <f>VLOOKUP(A1963,sinap!$A$2:$R$9000,4,FALSE)</f>
        <v>ANGUS ROJO</v>
      </c>
      <c r="M1963" s="15" t="str">
        <f>VLOOKUP(A1963,sinap!$A$2:$R$9000,5,FALSE)</f>
        <v>0 años 4 meses</v>
      </c>
      <c r="N1963" s="15" t="str">
        <f>VLOOKUP(A1963,sinap!$A$2:$R$9000,6,FALSE)</f>
        <v>11-09-2025</v>
      </c>
      <c r="O1963" s="15" t="str">
        <f>VLOOKUP(A1963,sinap!$A$2:$R$9000,7,FALSE)</f>
        <v>Vivo</v>
      </c>
      <c r="P1963" s="15" t="str">
        <f>VLOOKUP(A1963,sinap!$A$2:$R$9000,8,FALSE)</f>
        <v>11.2.01.0038</v>
      </c>
      <c r="Q1963" s="15" t="str">
        <f>VLOOKUP(A1963,sinap!$A$2:$R$9000,12,FALSE)</f>
        <v>11.1.01.0893</v>
      </c>
      <c r="R1963" s="15" t="str">
        <f>VLOOKUP(A1963,sinap!$A$2:$R$9000,16,FALSE)</f>
        <v>11.1.01.0893</v>
      </c>
      <c r="S1963" s="15" t="str">
        <f>VLOOKUP(A1963,sinap!$A$2:$Y$9000,20,FALSE)</f>
        <v>SI</v>
      </c>
      <c r="T1963" s="16">
        <v>45989</v>
      </c>
    </row>
    <row r="1964" spans="1:20" hidden="1" x14ac:dyDescent="0.25">
      <c r="A1964" s="15">
        <v>26234358</v>
      </c>
      <c r="J1964" s="15" t="str">
        <f>VLOOKUP(A1964,sinap!$A$2:$R$9000,2,FALSE)</f>
        <v>M</v>
      </c>
      <c r="K1964" s="15" t="str">
        <f>VLOOKUP(A1964,sinap!$A$2:$R$9000,3,FALSE)</f>
        <v>TERNERO</v>
      </c>
      <c r="L1964" s="15" t="str">
        <f>VLOOKUP(A1964,sinap!$A$2:$R$9000,4,FALSE)</f>
        <v>ANGUS NEGRO</v>
      </c>
      <c r="M1964" s="15" t="str">
        <f>VLOOKUP(A1964,sinap!$A$2:$R$9000,5,FALSE)</f>
        <v>0 años 4 meses</v>
      </c>
      <c r="N1964" s="15" t="str">
        <f>VLOOKUP(A1964,sinap!$A$2:$R$9000,6,FALSE)</f>
        <v>11-09-2025</v>
      </c>
      <c r="O1964" s="15" t="str">
        <f>VLOOKUP(A1964,sinap!$A$2:$R$9000,7,FALSE)</f>
        <v>Vivo</v>
      </c>
      <c r="P1964" s="15" t="str">
        <f>VLOOKUP(A1964,sinap!$A$2:$R$9000,8,FALSE)</f>
        <v>11.2.01.0038</v>
      </c>
      <c r="Q1964" s="15" t="str">
        <f>VLOOKUP(A1964,sinap!$A$2:$R$9000,12,FALSE)</f>
        <v>11.1.01.0893</v>
      </c>
      <c r="R1964" s="15" t="str">
        <f>VLOOKUP(A1964,sinap!$A$2:$R$9000,16,FALSE)</f>
        <v>11.1.01.0893</v>
      </c>
      <c r="S1964" s="15" t="str">
        <f>VLOOKUP(A1964,sinap!$A$2:$Y$9000,20,FALSE)</f>
        <v>SI</v>
      </c>
      <c r="T1964" s="16">
        <v>45989</v>
      </c>
    </row>
    <row r="1965" spans="1:20" hidden="1" x14ac:dyDescent="0.25">
      <c r="A1965" s="15">
        <v>26234359</v>
      </c>
      <c r="J1965" s="15" t="str">
        <f>VLOOKUP(A1965,sinap!$A$2:$R$9000,2,FALSE)</f>
        <v>H</v>
      </c>
      <c r="K1965" s="15" t="str">
        <f>VLOOKUP(A1965,sinap!$A$2:$R$9000,3,FALSE)</f>
        <v>TERNERA</v>
      </c>
      <c r="L1965" s="15" t="str">
        <f>VLOOKUP(A1965,sinap!$A$2:$R$9000,4,FALSE)</f>
        <v>ANGUS NEGRO</v>
      </c>
      <c r="M1965" s="15" t="str">
        <f>VLOOKUP(A1965,sinap!$A$2:$R$9000,5,FALSE)</f>
        <v>0 años 4 meses</v>
      </c>
      <c r="N1965" s="15" t="str">
        <f>VLOOKUP(A1965,sinap!$A$2:$R$9000,6,FALSE)</f>
        <v>11-09-2025</v>
      </c>
      <c r="O1965" s="15" t="str">
        <f>VLOOKUP(A1965,sinap!$A$2:$R$9000,7,FALSE)</f>
        <v>Vivo</v>
      </c>
      <c r="P1965" s="15" t="str">
        <f>VLOOKUP(A1965,sinap!$A$2:$R$9000,8,FALSE)</f>
        <v>11.2.01.0038</v>
      </c>
      <c r="Q1965" s="15" t="str">
        <f>VLOOKUP(A1965,sinap!$A$2:$R$9000,12,FALSE)</f>
        <v>11.1.01.0893</v>
      </c>
      <c r="R1965" s="15" t="str">
        <f>VLOOKUP(A1965,sinap!$A$2:$R$9000,16,FALSE)</f>
        <v>11.1.01.0893</v>
      </c>
      <c r="S1965" s="15" t="str">
        <f>VLOOKUP(A1965,sinap!$A$2:$Y$9000,20,FALSE)</f>
        <v>SI</v>
      </c>
      <c r="T1965" s="16">
        <v>45989</v>
      </c>
    </row>
    <row r="1966" spans="1:20" hidden="1" x14ac:dyDescent="0.25">
      <c r="A1966" s="15">
        <v>26234360</v>
      </c>
      <c r="J1966" s="15" t="str">
        <f>VLOOKUP(A1966,sinap!$A$2:$R$9000,2,FALSE)</f>
        <v>H</v>
      </c>
      <c r="K1966" s="15" t="str">
        <f>VLOOKUP(A1966,sinap!$A$2:$R$9000,3,FALSE)</f>
        <v>TERNERA</v>
      </c>
      <c r="L1966" s="15" t="str">
        <f>VLOOKUP(A1966,sinap!$A$2:$R$9000,4,FALSE)</f>
        <v>ANGUS NEGRO</v>
      </c>
      <c r="M1966" s="15" t="str">
        <f>VLOOKUP(A1966,sinap!$A$2:$R$9000,5,FALSE)</f>
        <v>0 años 4 meses</v>
      </c>
      <c r="N1966" s="15" t="str">
        <f>VLOOKUP(A1966,sinap!$A$2:$R$9000,6,FALSE)</f>
        <v>11-09-2025</v>
      </c>
      <c r="O1966" s="15" t="str">
        <f>VLOOKUP(A1966,sinap!$A$2:$R$9000,7,FALSE)</f>
        <v>Vivo</v>
      </c>
      <c r="P1966" s="15" t="str">
        <f>VLOOKUP(A1966,sinap!$A$2:$R$9000,8,FALSE)</f>
        <v>11.2.01.0038</v>
      </c>
      <c r="Q1966" s="15" t="str">
        <f>VLOOKUP(A1966,sinap!$A$2:$R$9000,12,FALSE)</f>
        <v>11.1.01.0893</v>
      </c>
      <c r="R1966" s="15" t="str">
        <f>VLOOKUP(A1966,sinap!$A$2:$R$9000,16,FALSE)</f>
        <v>11.1.01.0893</v>
      </c>
      <c r="S1966" s="15" t="str">
        <f>VLOOKUP(A1966,sinap!$A$2:$Y$9000,20,FALSE)</f>
        <v>SI</v>
      </c>
      <c r="T1966" s="16">
        <v>45989</v>
      </c>
    </row>
    <row r="1967" spans="1:20" hidden="1" x14ac:dyDescent="0.25">
      <c r="A1967" s="15">
        <v>26234361</v>
      </c>
      <c r="J1967" s="15" t="str">
        <f>VLOOKUP(A1967,sinap!$A$2:$R$9000,2,FALSE)</f>
        <v>M</v>
      </c>
      <c r="K1967" s="15" t="str">
        <f>VLOOKUP(A1967,sinap!$A$2:$R$9000,3,FALSE)</f>
        <v>TERNERO</v>
      </c>
      <c r="L1967" s="15" t="str">
        <f>VLOOKUP(A1967,sinap!$A$2:$R$9000,4,FALSE)</f>
        <v>ANGUS NEGRO</v>
      </c>
      <c r="M1967" s="15" t="str">
        <f>VLOOKUP(A1967,sinap!$A$2:$R$9000,5,FALSE)</f>
        <v>0 años 4 meses</v>
      </c>
      <c r="N1967" s="15" t="str">
        <f>VLOOKUP(A1967,sinap!$A$2:$R$9000,6,FALSE)</f>
        <v>11-09-2025</v>
      </c>
      <c r="O1967" s="15" t="str">
        <f>VLOOKUP(A1967,sinap!$A$2:$R$9000,7,FALSE)</f>
        <v>Vivo</v>
      </c>
      <c r="P1967" s="15" t="str">
        <f>VLOOKUP(A1967,sinap!$A$2:$R$9000,8,FALSE)</f>
        <v>11.2.01.0038</v>
      </c>
      <c r="Q1967" s="15" t="str">
        <f>VLOOKUP(A1967,sinap!$A$2:$R$9000,12,FALSE)</f>
        <v>11.1.01.0893</v>
      </c>
      <c r="R1967" s="15" t="str">
        <f>VLOOKUP(A1967,sinap!$A$2:$R$9000,16,FALSE)</f>
        <v>11.1.01.0893</v>
      </c>
      <c r="S1967" s="15" t="str">
        <f>VLOOKUP(A1967,sinap!$A$2:$Y$9000,20,FALSE)</f>
        <v>SI</v>
      </c>
      <c r="T1967" s="16">
        <v>45989</v>
      </c>
    </row>
    <row r="1968" spans="1:20" hidden="1" x14ac:dyDescent="0.25">
      <c r="A1968" s="15">
        <v>26234362</v>
      </c>
      <c r="J1968" s="15" t="str">
        <f>VLOOKUP(A1968,sinap!$A$2:$R$9000,2,FALSE)</f>
        <v>M</v>
      </c>
      <c r="K1968" s="15" t="str">
        <f>VLOOKUP(A1968,sinap!$A$2:$R$9000,3,FALSE)</f>
        <v>TERNERO</v>
      </c>
      <c r="L1968" s="15" t="str">
        <f>VLOOKUP(A1968,sinap!$A$2:$R$9000,4,FALSE)</f>
        <v>ANGUS NEGRO</v>
      </c>
      <c r="M1968" s="15" t="str">
        <f>VLOOKUP(A1968,sinap!$A$2:$R$9000,5,FALSE)</f>
        <v>0 años 4 meses</v>
      </c>
      <c r="N1968" s="15" t="str">
        <f>VLOOKUP(A1968,sinap!$A$2:$R$9000,6,FALSE)</f>
        <v>11-09-2025</v>
      </c>
      <c r="O1968" s="15" t="str">
        <f>VLOOKUP(A1968,sinap!$A$2:$R$9000,7,FALSE)</f>
        <v>Vivo</v>
      </c>
      <c r="P1968" s="15" t="str">
        <f>VLOOKUP(A1968,sinap!$A$2:$R$9000,8,FALSE)</f>
        <v>11.2.01.0038</v>
      </c>
      <c r="Q1968" s="15" t="str">
        <f>VLOOKUP(A1968,sinap!$A$2:$R$9000,12,FALSE)</f>
        <v>11.1.01.0893</v>
      </c>
      <c r="R1968" s="15" t="str">
        <f>VLOOKUP(A1968,sinap!$A$2:$R$9000,16,FALSE)</f>
        <v>11.1.01.0893</v>
      </c>
      <c r="S1968" s="15" t="str">
        <f>VLOOKUP(A1968,sinap!$A$2:$Y$9000,20,FALSE)</f>
        <v>SI</v>
      </c>
      <c r="T1968" s="16">
        <v>45989</v>
      </c>
    </row>
    <row r="1969" spans="1:20" hidden="1" x14ac:dyDescent="0.25">
      <c r="A1969" s="15">
        <v>26234363</v>
      </c>
      <c r="J1969" s="15" t="str">
        <f>VLOOKUP(A1969,sinap!$A$2:$R$9000,2,FALSE)</f>
        <v>M</v>
      </c>
      <c r="K1969" s="15" t="str">
        <f>VLOOKUP(A1969,sinap!$A$2:$R$9000,3,FALSE)</f>
        <v>TERNERO</v>
      </c>
      <c r="L1969" s="15" t="str">
        <f>VLOOKUP(A1969,sinap!$A$2:$R$9000,4,FALSE)</f>
        <v>ANGUS NEGRO</v>
      </c>
      <c r="M1969" s="15" t="str">
        <f>VLOOKUP(A1969,sinap!$A$2:$R$9000,5,FALSE)</f>
        <v>0 años 4 meses</v>
      </c>
      <c r="N1969" s="15" t="str">
        <f>VLOOKUP(A1969,sinap!$A$2:$R$9000,6,FALSE)</f>
        <v>11-09-2025</v>
      </c>
      <c r="O1969" s="15" t="str">
        <f>VLOOKUP(A1969,sinap!$A$2:$R$9000,7,FALSE)</f>
        <v>Vivo</v>
      </c>
      <c r="P1969" s="15" t="str">
        <f>VLOOKUP(A1969,sinap!$A$2:$R$9000,8,FALSE)</f>
        <v>11.2.01.0038</v>
      </c>
      <c r="Q1969" s="15" t="str">
        <f>VLOOKUP(A1969,sinap!$A$2:$R$9000,12,FALSE)</f>
        <v>11.1.01.0893</v>
      </c>
      <c r="R1969" s="15" t="str">
        <f>VLOOKUP(A1969,sinap!$A$2:$R$9000,16,FALSE)</f>
        <v>11.1.01.0893</v>
      </c>
      <c r="S1969" s="15" t="str">
        <f>VLOOKUP(A1969,sinap!$A$2:$Y$9000,20,FALSE)</f>
        <v>SI</v>
      </c>
      <c r="T1969" s="16">
        <v>45989</v>
      </c>
    </row>
    <row r="1970" spans="1:20" hidden="1" x14ac:dyDescent="0.25">
      <c r="A1970" s="15">
        <v>26234364</v>
      </c>
      <c r="J1970" s="15" t="str">
        <f>VLOOKUP(A1970,sinap!$A$2:$R$9000,2,FALSE)</f>
        <v>H</v>
      </c>
      <c r="K1970" s="15" t="str">
        <f>VLOOKUP(A1970,sinap!$A$2:$R$9000,3,FALSE)</f>
        <v>TERNERA</v>
      </c>
      <c r="L1970" s="15" t="str">
        <f>VLOOKUP(A1970,sinap!$A$2:$R$9000,4,FALSE)</f>
        <v>ANGUS NEGRO</v>
      </c>
      <c r="M1970" s="15" t="str">
        <f>VLOOKUP(A1970,sinap!$A$2:$R$9000,5,FALSE)</f>
        <v>0 años 4 meses</v>
      </c>
      <c r="N1970" s="15" t="str">
        <f>VLOOKUP(A1970,sinap!$A$2:$R$9000,6,FALSE)</f>
        <v>11-09-2025</v>
      </c>
      <c r="O1970" s="15" t="str">
        <f>VLOOKUP(A1970,sinap!$A$2:$R$9000,7,FALSE)</f>
        <v>Vivo</v>
      </c>
      <c r="P1970" s="15" t="str">
        <f>VLOOKUP(A1970,sinap!$A$2:$R$9000,8,FALSE)</f>
        <v>11.2.01.0038</v>
      </c>
      <c r="Q1970" s="15" t="str">
        <f>VLOOKUP(A1970,sinap!$A$2:$R$9000,12,FALSE)</f>
        <v>11.1.01.0893</v>
      </c>
      <c r="R1970" s="15" t="str">
        <f>VLOOKUP(A1970,sinap!$A$2:$R$9000,16,FALSE)</f>
        <v>11.1.01.0893</v>
      </c>
      <c r="S1970" s="15" t="str">
        <f>VLOOKUP(A1970,sinap!$A$2:$Y$9000,20,FALSE)</f>
        <v>SI</v>
      </c>
      <c r="T1970" s="16">
        <v>45989</v>
      </c>
    </row>
    <row r="1971" spans="1:20" hidden="1" x14ac:dyDescent="0.25">
      <c r="A1971" s="15">
        <v>26234365</v>
      </c>
      <c r="J1971" s="15" t="str">
        <f>VLOOKUP(A1971,sinap!$A$2:$R$9000,2,FALSE)</f>
        <v>M</v>
      </c>
      <c r="K1971" s="15" t="str">
        <f>VLOOKUP(A1971,sinap!$A$2:$R$9000,3,FALSE)</f>
        <v>TERNERO</v>
      </c>
      <c r="L1971" s="15" t="str">
        <f>VLOOKUP(A1971,sinap!$A$2:$R$9000,4,FALSE)</f>
        <v>ANGUS NEGRO</v>
      </c>
      <c r="M1971" s="15" t="str">
        <f>VLOOKUP(A1971,sinap!$A$2:$R$9000,5,FALSE)</f>
        <v>0 años 4 meses</v>
      </c>
      <c r="N1971" s="15" t="str">
        <f>VLOOKUP(A1971,sinap!$A$2:$R$9000,6,FALSE)</f>
        <v>11-09-2025</v>
      </c>
      <c r="O1971" s="15" t="str">
        <f>VLOOKUP(A1971,sinap!$A$2:$R$9000,7,FALSE)</f>
        <v>Vivo</v>
      </c>
      <c r="P1971" s="15" t="str">
        <f>VLOOKUP(A1971,sinap!$A$2:$R$9000,8,FALSE)</f>
        <v>11.2.01.0038</v>
      </c>
      <c r="Q1971" s="15" t="str">
        <f>VLOOKUP(A1971,sinap!$A$2:$R$9000,12,FALSE)</f>
        <v>11.1.01.0893</v>
      </c>
      <c r="R1971" s="15" t="str">
        <f>VLOOKUP(A1971,sinap!$A$2:$R$9000,16,FALSE)</f>
        <v>11.1.01.0893</v>
      </c>
      <c r="S1971" s="15" t="str">
        <f>VLOOKUP(A1971,sinap!$A$2:$Y$9000,20,FALSE)</f>
        <v>SI</v>
      </c>
      <c r="T1971" s="16">
        <v>45989</v>
      </c>
    </row>
    <row r="1972" spans="1:20" hidden="1" x14ac:dyDescent="0.25">
      <c r="A1972" s="15">
        <v>26234366</v>
      </c>
      <c r="J1972" s="15" t="str">
        <f>VLOOKUP(A1972,sinap!$A$2:$R$9000,2,FALSE)</f>
        <v>M</v>
      </c>
      <c r="K1972" s="15" t="str">
        <f>VLOOKUP(A1972,sinap!$A$2:$R$9000,3,FALSE)</f>
        <v>TERNERO</v>
      </c>
      <c r="L1972" s="15" t="str">
        <f>VLOOKUP(A1972,sinap!$A$2:$R$9000,4,FALSE)</f>
        <v>ANGUS NEGRO</v>
      </c>
      <c r="M1972" s="15" t="str">
        <f>VLOOKUP(A1972,sinap!$A$2:$R$9000,5,FALSE)</f>
        <v>0 años 4 meses</v>
      </c>
      <c r="N1972" s="15" t="str">
        <f>VLOOKUP(A1972,sinap!$A$2:$R$9000,6,FALSE)</f>
        <v>11-09-2025</v>
      </c>
      <c r="O1972" s="15" t="str">
        <f>VLOOKUP(A1972,sinap!$A$2:$R$9000,7,FALSE)</f>
        <v>Vivo</v>
      </c>
      <c r="P1972" s="15" t="str">
        <f>VLOOKUP(A1972,sinap!$A$2:$R$9000,8,FALSE)</f>
        <v>11.2.01.0038</v>
      </c>
      <c r="Q1972" s="15" t="str">
        <f>VLOOKUP(A1972,sinap!$A$2:$R$9000,12,FALSE)</f>
        <v>11.1.01.0893</v>
      </c>
      <c r="R1972" s="15" t="str">
        <f>VLOOKUP(A1972,sinap!$A$2:$R$9000,16,FALSE)</f>
        <v>11.1.01.0893</v>
      </c>
      <c r="S1972" s="15" t="str">
        <f>VLOOKUP(A1972,sinap!$A$2:$Y$9000,20,FALSE)</f>
        <v>SI</v>
      </c>
      <c r="T1972" s="16">
        <v>45989</v>
      </c>
    </row>
    <row r="1973" spans="1:20" hidden="1" x14ac:dyDescent="0.25">
      <c r="A1973" s="15">
        <v>26234367</v>
      </c>
      <c r="J1973" s="15" t="str">
        <f>VLOOKUP(A1973,sinap!$A$2:$R$9000,2,FALSE)</f>
        <v>M</v>
      </c>
      <c r="K1973" s="15" t="str">
        <f>VLOOKUP(A1973,sinap!$A$2:$R$9000,3,FALSE)</f>
        <v>TERNERO</v>
      </c>
      <c r="L1973" s="15" t="str">
        <f>VLOOKUP(A1973,sinap!$A$2:$R$9000,4,FALSE)</f>
        <v>ANGUS NEGRO</v>
      </c>
      <c r="M1973" s="15" t="str">
        <f>VLOOKUP(A1973,sinap!$A$2:$R$9000,5,FALSE)</f>
        <v>0 años 4 meses</v>
      </c>
      <c r="N1973" s="15" t="str">
        <f>VLOOKUP(A1973,sinap!$A$2:$R$9000,6,FALSE)</f>
        <v>11-09-2025</v>
      </c>
      <c r="O1973" s="15" t="str">
        <f>VLOOKUP(A1973,sinap!$A$2:$R$9000,7,FALSE)</f>
        <v>Vivo</v>
      </c>
      <c r="P1973" s="15" t="str">
        <f>VLOOKUP(A1973,sinap!$A$2:$R$9000,8,FALSE)</f>
        <v>11.1.01.0791</v>
      </c>
      <c r="Q1973" s="15" t="str">
        <f>VLOOKUP(A1973,sinap!$A$2:$R$9000,12,FALSE)</f>
        <v>11.1.01.0893</v>
      </c>
      <c r="R1973" s="15" t="str">
        <f>VLOOKUP(A1973,sinap!$A$2:$R$9000,16,FALSE)</f>
        <v>11.1.01.0893</v>
      </c>
      <c r="S1973" s="15" t="str">
        <f>VLOOKUP(A1973,sinap!$A$2:$Y$9000,20,FALSE)</f>
        <v>SI</v>
      </c>
      <c r="T1973" s="16">
        <v>45989</v>
      </c>
    </row>
    <row r="1974" spans="1:20" hidden="1" x14ac:dyDescent="0.25">
      <c r="A1974" s="15">
        <v>26234368</v>
      </c>
      <c r="J1974" s="15" t="str">
        <f>VLOOKUP(A1974,sinap!$A$2:$R$9000,2,FALSE)</f>
        <v>M</v>
      </c>
      <c r="K1974" s="15" t="str">
        <f>VLOOKUP(A1974,sinap!$A$2:$R$9000,3,FALSE)</f>
        <v>TERNERO</v>
      </c>
      <c r="L1974" s="15" t="str">
        <f>VLOOKUP(A1974,sinap!$A$2:$R$9000,4,FALSE)</f>
        <v>ANGUS NEGRO</v>
      </c>
      <c r="M1974" s="15" t="str">
        <f>VLOOKUP(A1974,sinap!$A$2:$R$9000,5,FALSE)</f>
        <v>0 años 4 meses</v>
      </c>
      <c r="N1974" s="15" t="str">
        <f>VLOOKUP(A1974,sinap!$A$2:$R$9000,6,FALSE)</f>
        <v>11-09-2025</v>
      </c>
      <c r="O1974" s="15" t="str">
        <f>VLOOKUP(A1974,sinap!$A$2:$R$9000,7,FALSE)</f>
        <v>Vivo</v>
      </c>
      <c r="P1974" s="15" t="str">
        <f>VLOOKUP(A1974,sinap!$A$2:$R$9000,8,FALSE)</f>
        <v>11.2.01.0038</v>
      </c>
      <c r="Q1974" s="15" t="str">
        <f>VLOOKUP(A1974,sinap!$A$2:$R$9000,12,FALSE)</f>
        <v>11.1.01.0893</v>
      </c>
      <c r="R1974" s="15" t="str">
        <f>VLOOKUP(A1974,sinap!$A$2:$R$9000,16,FALSE)</f>
        <v>11.1.01.0893</v>
      </c>
      <c r="S1974" s="15" t="str">
        <f>VLOOKUP(A1974,sinap!$A$2:$Y$9000,20,FALSE)</f>
        <v>SI</v>
      </c>
      <c r="T1974" s="16">
        <v>45989</v>
      </c>
    </row>
    <row r="1975" spans="1:20" hidden="1" x14ac:dyDescent="0.25">
      <c r="A1975" s="15">
        <v>26234369</v>
      </c>
      <c r="J1975" s="15" t="str">
        <f>VLOOKUP(A1975,sinap!$A$2:$R$9000,2,FALSE)</f>
        <v>H</v>
      </c>
      <c r="K1975" s="15" t="str">
        <f>VLOOKUP(A1975,sinap!$A$2:$R$9000,3,FALSE)</f>
        <v>TERNERA</v>
      </c>
      <c r="L1975" s="15" t="str">
        <f>VLOOKUP(A1975,sinap!$A$2:$R$9000,4,FALSE)</f>
        <v>ANGUS NEGRO</v>
      </c>
      <c r="M1975" s="15" t="str">
        <f>VLOOKUP(A1975,sinap!$A$2:$R$9000,5,FALSE)</f>
        <v>0 años 4 meses</v>
      </c>
      <c r="N1975" s="15" t="str">
        <f>VLOOKUP(A1975,sinap!$A$2:$R$9000,6,FALSE)</f>
        <v>11-09-2025</v>
      </c>
      <c r="O1975" s="15" t="str">
        <f>VLOOKUP(A1975,sinap!$A$2:$R$9000,7,FALSE)</f>
        <v>Vivo</v>
      </c>
      <c r="P1975" s="15" t="str">
        <f>VLOOKUP(A1975,sinap!$A$2:$R$9000,8,FALSE)</f>
        <v>11.2.01.0038</v>
      </c>
      <c r="Q1975" s="15" t="str">
        <f>VLOOKUP(A1975,sinap!$A$2:$R$9000,12,FALSE)</f>
        <v>11.1.01.0893</v>
      </c>
      <c r="R1975" s="15" t="str">
        <f>VLOOKUP(A1975,sinap!$A$2:$R$9000,16,FALSE)</f>
        <v>11.1.01.0893</v>
      </c>
      <c r="S1975" s="15" t="str">
        <f>VLOOKUP(A1975,sinap!$A$2:$Y$9000,20,FALSE)</f>
        <v>SI</v>
      </c>
      <c r="T1975" s="16">
        <v>45989</v>
      </c>
    </row>
    <row r="1976" spans="1:20" hidden="1" x14ac:dyDescent="0.25">
      <c r="A1976" s="15">
        <v>26234370</v>
      </c>
      <c r="J1976" s="15" t="str">
        <f>VLOOKUP(A1976,sinap!$A$2:$R$9000,2,FALSE)</f>
        <v>M</v>
      </c>
      <c r="K1976" s="15" t="str">
        <f>VLOOKUP(A1976,sinap!$A$2:$R$9000,3,FALSE)</f>
        <v>TERNERO</v>
      </c>
      <c r="L1976" s="15" t="str">
        <f>VLOOKUP(A1976,sinap!$A$2:$R$9000,4,FALSE)</f>
        <v>ANGUS NEGRO</v>
      </c>
      <c r="M1976" s="15" t="str">
        <f>VLOOKUP(A1976,sinap!$A$2:$R$9000,5,FALSE)</f>
        <v>0 años 3 meses</v>
      </c>
      <c r="N1976" s="15" t="str">
        <f>VLOOKUP(A1976,sinap!$A$2:$R$9000,6,FALSE)</f>
        <v>05-10-2025</v>
      </c>
      <c r="O1976" s="15" t="str">
        <f>VLOOKUP(A1976,sinap!$A$2:$R$9000,7,FALSE)</f>
        <v>Vivo</v>
      </c>
      <c r="P1976" s="15" t="str">
        <f>VLOOKUP(A1976,sinap!$A$2:$R$9000,8,FALSE)</f>
        <v>11.1.01.0791</v>
      </c>
      <c r="Q1976" s="15" t="str">
        <f>VLOOKUP(A1976,sinap!$A$2:$R$9000,12,FALSE)</f>
        <v>11.1.01.0893</v>
      </c>
      <c r="R1976" s="15" t="str">
        <f>VLOOKUP(A1976,sinap!$A$2:$R$9000,16,FALSE)</f>
        <v>11.1.01.0893</v>
      </c>
      <c r="S1976" s="15" t="str">
        <f>VLOOKUP(A1976,sinap!$A$2:$Y$9000,20,FALSE)</f>
        <v>SI</v>
      </c>
      <c r="T1976" s="16">
        <v>45989</v>
      </c>
    </row>
    <row r="1977" spans="1:20" hidden="1" x14ac:dyDescent="0.25">
      <c r="A1977" s="15">
        <v>26234371</v>
      </c>
      <c r="J1977" s="15" t="str">
        <f>VLOOKUP(A1977,sinap!$A$2:$R$9000,2,FALSE)</f>
        <v>H</v>
      </c>
      <c r="K1977" s="15" t="str">
        <f>VLOOKUP(A1977,sinap!$A$2:$R$9000,3,FALSE)</f>
        <v>TERNERA</v>
      </c>
      <c r="L1977" s="15" t="str">
        <f>VLOOKUP(A1977,sinap!$A$2:$R$9000,4,FALSE)</f>
        <v>ANGUS NEGRO</v>
      </c>
      <c r="M1977" s="15" t="str">
        <f>VLOOKUP(A1977,sinap!$A$2:$R$9000,5,FALSE)</f>
        <v>0 años 4 meses</v>
      </c>
      <c r="N1977" s="15" t="str">
        <f>VLOOKUP(A1977,sinap!$A$2:$R$9000,6,FALSE)</f>
        <v>11-09-2025</v>
      </c>
      <c r="O1977" s="15" t="str">
        <f>VLOOKUP(A1977,sinap!$A$2:$R$9000,7,FALSE)</f>
        <v>Vivo</v>
      </c>
      <c r="P1977" s="15" t="str">
        <f>VLOOKUP(A1977,sinap!$A$2:$R$9000,8,FALSE)</f>
        <v>11.2.01.0038</v>
      </c>
      <c r="Q1977" s="15" t="str">
        <f>VLOOKUP(A1977,sinap!$A$2:$R$9000,12,FALSE)</f>
        <v>11.1.01.0893</v>
      </c>
      <c r="R1977" s="15" t="str">
        <f>VLOOKUP(A1977,sinap!$A$2:$R$9000,16,FALSE)</f>
        <v>11.1.01.0893</v>
      </c>
      <c r="S1977" s="15" t="str">
        <f>VLOOKUP(A1977,sinap!$A$2:$Y$9000,20,FALSE)</f>
        <v>SI</v>
      </c>
      <c r="T1977" s="16">
        <v>45989</v>
      </c>
    </row>
    <row r="1978" spans="1:20" hidden="1" x14ac:dyDescent="0.25">
      <c r="A1978" s="15">
        <v>26234372</v>
      </c>
      <c r="J1978" s="15" t="str">
        <f>VLOOKUP(A1978,sinap!$A$2:$R$9000,2,FALSE)</f>
        <v>H</v>
      </c>
      <c r="K1978" s="15" t="str">
        <f>VLOOKUP(A1978,sinap!$A$2:$R$9000,3,FALSE)</f>
        <v>TERNERA</v>
      </c>
      <c r="L1978" s="15" t="str">
        <f>VLOOKUP(A1978,sinap!$A$2:$R$9000,4,FALSE)</f>
        <v>ANGUS NEGRO</v>
      </c>
      <c r="M1978" s="15" t="str">
        <f>VLOOKUP(A1978,sinap!$A$2:$R$9000,5,FALSE)</f>
        <v>0 años 3 meses</v>
      </c>
      <c r="N1978" s="15" t="str">
        <f>VLOOKUP(A1978,sinap!$A$2:$R$9000,6,FALSE)</f>
        <v>15-10-2025</v>
      </c>
      <c r="O1978" s="15" t="str">
        <f>VLOOKUP(A1978,sinap!$A$2:$R$9000,7,FALSE)</f>
        <v>Vivo</v>
      </c>
      <c r="P1978" s="15" t="str">
        <f>VLOOKUP(A1978,sinap!$A$2:$R$9000,8,FALSE)</f>
        <v>11.2.01.0038</v>
      </c>
      <c r="Q1978" s="15" t="str">
        <f>VLOOKUP(A1978,sinap!$A$2:$R$9000,12,FALSE)</f>
        <v>11.1.01.0893</v>
      </c>
      <c r="R1978" s="15" t="str">
        <f>VLOOKUP(A1978,sinap!$A$2:$R$9000,16,FALSE)</f>
        <v>11.1.01.0893</v>
      </c>
      <c r="S1978" s="15" t="str">
        <f>VLOOKUP(A1978,sinap!$A$2:$Y$9000,20,FALSE)</f>
        <v>SI</v>
      </c>
      <c r="T1978" s="16">
        <v>45989</v>
      </c>
    </row>
    <row r="1979" spans="1:20" hidden="1" x14ac:dyDescent="0.25">
      <c r="A1979" s="15">
        <v>26234373</v>
      </c>
      <c r="J1979" s="15" t="str">
        <f>VLOOKUP(A1979,sinap!$A$2:$R$9000,2,FALSE)</f>
        <v>H</v>
      </c>
      <c r="K1979" s="15" t="str">
        <f>VLOOKUP(A1979,sinap!$A$2:$R$9000,3,FALSE)</f>
        <v>TERNERA</v>
      </c>
      <c r="L1979" s="15" t="str">
        <f>VLOOKUP(A1979,sinap!$A$2:$R$9000,4,FALSE)</f>
        <v>ANGUS NEGRO</v>
      </c>
      <c r="M1979" s="15" t="str">
        <f>VLOOKUP(A1979,sinap!$A$2:$R$9000,5,FALSE)</f>
        <v>0 años 3 meses</v>
      </c>
      <c r="N1979" s="15" t="str">
        <f>VLOOKUP(A1979,sinap!$A$2:$R$9000,6,FALSE)</f>
        <v>15-10-2025</v>
      </c>
      <c r="O1979" s="15" t="str">
        <f>VLOOKUP(A1979,sinap!$A$2:$R$9000,7,FALSE)</f>
        <v>Vivo</v>
      </c>
      <c r="P1979" s="15" t="str">
        <f>VLOOKUP(A1979,sinap!$A$2:$R$9000,8,FALSE)</f>
        <v>11.2.01.0038</v>
      </c>
      <c r="Q1979" s="15" t="str">
        <f>VLOOKUP(A1979,sinap!$A$2:$R$9000,12,FALSE)</f>
        <v>11.1.01.0893</v>
      </c>
      <c r="R1979" s="15" t="str">
        <f>VLOOKUP(A1979,sinap!$A$2:$R$9000,16,FALSE)</f>
        <v>11.1.01.0893</v>
      </c>
      <c r="S1979" s="15" t="str">
        <f>VLOOKUP(A1979,sinap!$A$2:$Y$9000,20,FALSE)</f>
        <v>SI</v>
      </c>
      <c r="T1979" s="16">
        <v>45989</v>
      </c>
    </row>
    <row r="1980" spans="1:20" hidden="1" x14ac:dyDescent="0.25">
      <c r="A1980" s="15">
        <v>26234374</v>
      </c>
      <c r="J1980" s="15" t="str">
        <f>VLOOKUP(A1980,sinap!$A$2:$R$9000,2,FALSE)</f>
        <v>H</v>
      </c>
      <c r="K1980" s="15" t="str">
        <f>VLOOKUP(A1980,sinap!$A$2:$R$9000,3,FALSE)</f>
        <v>TERNERA</v>
      </c>
      <c r="L1980" s="15" t="str">
        <f>VLOOKUP(A1980,sinap!$A$2:$R$9000,4,FALSE)</f>
        <v>ANGUS ROJO</v>
      </c>
      <c r="M1980" s="15" t="str">
        <f>VLOOKUP(A1980,sinap!$A$2:$R$9000,5,FALSE)</f>
        <v>0 años 3 meses</v>
      </c>
      <c r="N1980" s="15" t="str">
        <f>VLOOKUP(A1980,sinap!$A$2:$R$9000,6,FALSE)</f>
        <v>15-10-2025</v>
      </c>
      <c r="O1980" s="15" t="str">
        <f>VLOOKUP(A1980,sinap!$A$2:$R$9000,7,FALSE)</f>
        <v>Vivo</v>
      </c>
      <c r="P1980" s="15" t="str">
        <f>VLOOKUP(A1980,sinap!$A$2:$R$9000,8,FALSE)</f>
        <v>11.2.01.0038</v>
      </c>
      <c r="Q1980" s="15" t="str">
        <f>VLOOKUP(A1980,sinap!$A$2:$R$9000,12,FALSE)</f>
        <v>11.1.01.0893</v>
      </c>
      <c r="R1980" s="15" t="str">
        <f>VLOOKUP(A1980,sinap!$A$2:$R$9000,16,FALSE)</f>
        <v>11.1.01.0893</v>
      </c>
      <c r="S1980" s="15" t="str">
        <f>VLOOKUP(A1980,sinap!$A$2:$Y$9000,20,FALSE)</f>
        <v>SI</v>
      </c>
      <c r="T1980" s="16">
        <v>45989</v>
      </c>
    </row>
    <row r="1981" spans="1:20" hidden="1" x14ac:dyDescent="0.25">
      <c r="A1981" s="15">
        <v>26234375</v>
      </c>
      <c r="J1981" s="15" t="str">
        <f>VLOOKUP(A1981,sinap!$A$2:$R$9000,2,FALSE)</f>
        <v>H</v>
      </c>
      <c r="K1981" s="15" t="str">
        <f>VLOOKUP(A1981,sinap!$A$2:$R$9000,3,FALSE)</f>
        <v>TERNERA</v>
      </c>
      <c r="L1981" s="15" t="str">
        <f>VLOOKUP(A1981,sinap!$A$2:$R$9000,4,FALSE)</f>
        <v>ANGUS NEGRO</v>
      </c>
      <c r="M1981" s="15" t="str">
        <f>VLOOKUP(A1981,sinap!$A$2:$R$9000,5,FALSE)</f>
        <v>0 años 3 meses</v>
      </c>
      <c r="N1981" s="15" t="str">
        <f>VLOOKUP(A1981,sinap!$A$2:$R$9000,6,FALSE)</f>
        <v>15-10-2025</v>
      </c>
      <c r="O1981" s="15" t="str">
        <f>VLOOKUP(A1981,sinap!$A$2:$R$9000,7,FALSE)</f>
        <v>Vivo</v>
      </c>
      <c r="P1981" s="15" t="str">
        <f>VLOOKUP(A1981,sinap!$A$2:$R$9000,8,FALSE)</f>
        <v>11.1.01.0791</v>
      </c>
      <c r="Q1981" s="15" t="str">
        <f>VLOOKUP(A1981,sinap!$A$2:$R$9000,12,FALSE)</f>
        <v>11.1.01.0893</v>
      </c>
      <c r="R1981" s="15" t="str">
        <f>VLOOKUP(A1981,sinap!$A$2:$R$9000,16,FALSE)</f>
        <v>11.1.01.0893</v>
      </c>
      <c r="S1981" s="15" t="str">
        <f>VLOOKUP(A1981,sinap!$A$2:$Y$9000,20,FALSE)</f>
        <v>SI</v>
      </c>
      <c r="T1981" s="16">
        <v>45989</v>
      </c>
    </row>
    <row r="1982" spans="1:20" hidden="1" x14ac:dyDescent="0.25">
      <c r="A1982" s="15">
        <v>26234376</v>
      </c>
      <c r="J1982" s="15" t="str">
        <f>VLOOKUP(A1982,sinap!$A$2:$R$9000,2,FALSE)</f>
        <v>H</v>
      </c>
      <c r="K1982" s="15" t="str">
        <f>VLOOKUP(A1982,sinap!$A$2:$R$9000,3,FALSE)</f>
        <v>TERNERA</v>
      </c>
      <c r="L1982" s="15" t="str">
        <f>VLOOKUP(A1982,sinap!$A$2:$R$9000,4,FALSE)</f>
        <v>ANGUS NEGRO</v>
      </c>
      <c r="M1982" s="15" t="str">
        <f>VLOOKUP(A1982,sinap!$A$2:$R$9000,5,FALSE)</f>
        <v>0 años 3 meses</v>
      </c>
      <c r="N1982" s="15" t="str">
        <f>VLOOKUP(A1982,sinap!$A$2:$R$9000,6,FALSE)</f>
        <v>15-10-2025</v>
      </c>
      <c r="O1982" s="15" t="str">
        <f>VLOOKUP(A1982,sinap!$A$2:$R$9000,7,FALSE)</f>
        <v>Vivo</v>
      </c>
      <c r="P1982" s="15" t="str">
        <f>VLOOKUP(A1982,sinap!$A$2:$R$9000,8,FALSE)</f>
        <v>11.2.01.0038</v>
      </c>
      <c r="Q1982" s="15" t="str">
        <f>VLOOKUP(A1982,sinap!$A$2:$R$9000,12,FALSE)</f>
        <v>11.1.01.0893</v>
      </c>
      <c r="R1982" s="15" t="str">
        <f>VLOOKUP(A1982,sinap!$A$2:$R$9000,16,FALSE)</f>
        <v>11.1.01.0893</v>
      </c>
      <c r="S1982" s="15" t="str">
        <f>VLOOKUP(A1982,sinap!$A$2:$Y$9000,20,FALSE)</f>
        <v>SI</v>
      </c>
      <c r="T1982" s="16">
        <v>45989</v>
      </c>
    </row>
    <row r="1983" spans="1:20" hidden="1" x14ac:dyDescent="0.25">
      <c r="A1983" s="15">
        <v>26234377</v>
      </c>
      <c r="J1983" s="15" t="str">
        <f>VLOOKUP(A1983,sinap!$A$2:$R$9000,2,FALSE)</f>
        <v>H</v>
      </c>
      <c r="K1983" s="15" t="str">
        <f>VLOOKUP(A1983,sinap!$A$2:$R$9000,3,FALSE)</f>
        <v>TERNERA</v>
      </c>
      <c r="L1983" s="15" t="str">
        <f>VLOOKUP(A1983,sinap!$A$2:$R$9000,4,FALSE)</f>
        <v>ANGUS NEGRO</v>
      </c>
      <c r="M1983" s="15" t="str">
        <f>VLOOKUP(A1983,sinap!$A$2:$R$9000,5,FALSE)</f>
        <v>0 años 3 meses</v>
      </c>
      <c r="N1983" s="15" t="str">
        <f>VLOOKUP(A1983,sinap!$A$2:$R$9000,6,FALSE)</f>
        <v>15-10-2025</v>
      </c>
      <c r="O1983" s="15" t="str">
        <f>VLOOKUP(A1983,sinap!$A$2:$R$9000,7,FALSE)</f>
        <v>Vivo</v>
      </c>
      <c r="P1983" s="15" t="str">
        <f>VLOOKUP(A1983,sinap!$A$2:$R$9000,8,FALSE)</f>
        <v>11.2.01.0038</v>
      </c>
      <c r="Q1983" s="15" t="str">
        <f>VLOOKUP(A1983,sinap!$A$2:$R$9000,12,FALSE)</f>
        <v>11.1.01.0893</v>
      </c>
      <c r="R1983" s="15" t="str">
        <f>VLOOKUP(A1983,sinap!$A$2:$R$9000,16,FALSE)</f>
        <v>11.1.01.0893</v>
      </c>
      <c r="S1983" s="15" t="str">
        <f>VLOOKUP(A1983,sinap!$A$2:$Y$9000,20,FALSE)</f>
        <v>SI</v>
      </c>
      <c r="T1983" s="16">
        <v>45989</v>
      </c>
    </row>
    <row r="1984" spans="1:20" hidden="1" x14ac:dyDescent="0.25">
      <c r="A1984" s="15">
        <v>26234378</v>
      </c>
      <c r="J1984" s="15" t="str">
        <f>VLOOKUP(A1984,sinap!$A$2:$R$9000,2,FALSE)</f>
        <v>M</v>
      </c>
      <c r="K1984" s="15" t="str">
        <f>VLOOKUP(A1984,sinap!$A$2:$R$9000,3,FALSE)</f>
        <v>TERNERO</v>
      </c>
      <c r="L1984" s="15" t="str">
        <f>VLOOKUP(A1984,sinap!$A$2:$R$9000,4,FALSE)</f>
        <v>ANGUS NEGRO</v>
      </c>
      <c r="M1984" s="15" t="str">
        <f>VLOOKUP(A1984,sinap!$A$2:$R$9000,5,FALSE)</f>
        <v>0 años 3 meses</v>
      </c>
      <c r="N1984" s="15" t="str">
        <f>VLOOKUP(A1984,sinap!$A$2:$R$9000,6,FALSE)</f>
        <v>15-10-2025</v>
      </c>
      <c r="O1984" s="15" t="str">
        <f>VLOOKUP(A1984,sinap!$A$2:$R$9000,7,FALSE)</f>
        <v>Vivo</v>
      </c>
      <c r="P1984" s="15" t="str">
        <f>VLOOKUP(A1984,sinap!$A$2:$R$9000,8,FALSE)</f>
        <v>11.2.01.0038</v>
      </c>
      <c r="Q1984" s="15" t="str">
        <f>VLOOKUP(A1984,sinap!$A$2:$R$9000,12,FALSE)</f>
        <v>11.1.01.0893</v>
      </c>
      <c r="R1984" s="15" t="str">
        <f>VLOOKUP(A1984,sinap!$A$2:$R$9000,16,FALSE)</f>
        <v>11.1.01.0893</v>
      </c>
      <c r="S1984" s="15" t="str">
        <f>VLOOKUP(A1984,sinap!$A$2:$Y$9000,20,FALSE)</f>
        <v>SI</v>
      </c>
      <c r="T1984" s="16">
        <v>45989</v>
      </c>
    </row>
    <row r="1985" spans="1:20" hidden="1" x14ac:dyDescent="0.25">
      <c r="A1985" s="15">
        <v>26234379</v>
      </c>
      <c r="J1985" s="15" t="str">
        <f>VLOOKUP(A1985,sinap!$A$2:$R$9000,2,FALSE)</f>
        <v>M</v>
      </c>
      <c r="K1985" s="15" t="str">
        <f>VLOOKUP(A1985,sinap!$A$2:$R$9000,3,FALSE)</f>
        <v>TERNERO</v>
      </c>
      <c r="L1985" s="15" t="str">
        <f>VLOOKUP(A1985,sinap!$A$2:$R$9000,4,FALSE)</f>
        <v>ANGUS NEGRO</v>
      </c>
      <c r="M1985" s="15" t="str">
        <f>VLOOKUP(A1985,sinap!$A$2:$R$9000,5,FALSE)</f>
        <v>0 años 3 meses</v>
      </c>
      <c r="N1985" s="15" t="str">
        <f>VLOOKUP(A1985,sinap!$A$2:$R$9000,6,FALSE)</f>
        <v>15-10-2025</v>
      </c>
      <c r="O1985" s="15" t="str">
        <f>VLOOKUP(A1985,sinap!$A$2:$R$9000,7,FALSE)</f>
        <v>Vivo</v>
      </c>
      <c r="P1985" s="15" t="str">
        <f>VLOOKUP(A1985,sinap!$A$2:$R$9000,8,FALSE)</f>
        <v>11.1.01.0893</v>
      </c>
      <c r="Q1985" s="15" t="str">
        <f>VLOOKUP(A1985,sinap!$A$2:$R$9000,12,FALSE)</f>
        <v>Sin Movimiento</v>
      </c>
      <c r="R1985" s="15" t="str">
        <f>VLOOKUP(A1985,sinap!$A$2:$R$9000,16,FALSE)</f>
        <v>11.1.01.0893</v>
      </c>
      <c r="S1985" s="15" t="str">
        <f>VLOOKUP(A1985,sinap!$A$2:$Y$9000,20,FALSE)</f>
        <v>SI</v>
      </c>
      <c r="T1985" s="16">
        <v>45989</v>
      </c>
    </row>
    <row r="1986" spans="1:20" hidden="1" x14ac:dyDescent="0.25">
      <c r="A1986" s="15">
        <v>26234380</v>
      </c>
      <c r="J1986" s="15" t="str">
        <f>VLOOKUP(A1986,sinap!$A$2:$R$9000,2,FALSE)</f>
        <v>M</v>
      </c>
      <c r="K1986" s="15" t="str">
        <f>VLOOKUP(A1986,sinap!$A$2:$R$9000,3,FALSE)</f>
        <v>TERNERO</v>
      </c>
      <c r="L1986" s="15" t="str">
        <f>VLOOKUP(A1986,sinap!$A$2:$R$9000,4,FALSE)</f>
        <v>ANGUS NEGRO</v>
      </c>
      <c r="M1986" s="15" t="str">
        <f>VLOOKUP(A1986,sinap!$A$2:$R$9000,5,FALSE)</f>
        <v>0 años 3 meses</v>
      </c>
      <c r="N1986" s="15" t="str">
        <f>VLOOKUP(A1986,sinap!$A$2:$R$9000,6,FALSE)</f>
        <v>15-10-2025</v>
      </c>
      <c r="O1986" s="15" t="str">
        <f>VLOOKUP(A1986,sinap!$A$2:$R$9000,7,FALSE)</f>
        <v>Vivo</v>
      </c>
      <c r="P1986" s="15" t="str">
        <f>VLOOKUP(A1986,sinap!$A$2:$R$9000,8,FALSE)</f>
        <v>11.2.01.0038</v>
      </c>
      <c r="Q1986" s="15" t="str">
        <f>VLOOKUP(A1986,sinap!$A$2:$R$9000,12,FALSE)</f>
        <v>11.1.01.0893</v>
      </c>
      <c r="R1986" s="15" t="str">
        <f>VLOOKUP(A1986,sinap!$A$2:$R$9000,16,FALSE)</f>
        <v>11.1.01.0893</v>
      </c>
      <c r="S1986" s="15" t="str">
        <f>VLOOKUP(A1986,sinap!$A$2:$Y$9000,20,FALSE)</f>
        <v>SI</v>
      </c>
      <c r="T1986" s="16">
        <v>45989</v>
      </c>
    </row>
    <row r="1987" spans="1:20" hidden="1" x14ac:dyDescent="0.25">
      <c r="A1987" s="15">
        <v>26234381</v>
      </c>
      <c r="J1987" s="15" t="str">
        <f>VLOOKUP(A1987,sinap!$A$2:$R$9000,2,FALSE)</f>
        <v>M</v>
      </c>
      <c r="K1987" s="15" t="str">
        <f>VLOOKUP(A1987,sinap!$A$2:$R$9000,3,FALSE)</f>
        <v>TERNERO</v>
      </c>
      <c r="L1987" s="15" t="str">
        <f>VLOOKUP(A1987,sinap!$A$2:$R$9000,4,FALSE)</f>
        <v>ANGUS ROJO</v>
      </c>
      <c r="M1987" s="15" t="str">
        <f>VLOOKUP(A1987,sinap!$A$2:$R$9000,5,FALSE)</f>
        <v>0 años 3 meses</v>
      </c>
      <c r="N1987" s="15" t="str">
        <f>VLOOKUP(A1987,sinap!$A$2:$R$9000,6,FALSE)</f>
        <v>05-10-2025</v>
      </c>
      <c r="O1987" s="15" t="str">
        <f>VLOOKUP(A1987,sinap!$A$2:$R$9000,7,FALSE)</f>
        <v>Vivo</v>
      </c>
      <c r="P1987" s="15" t="str">
        <f>VLOOKUP(A1987,sinap!$A$2:$R$9000,8,FALSE)</f>
        <v>11.1.01.0893</v>
      </c>
      <c r="Q1987" s="15" t="str">
        <f>VLOOKUP(A1987,sinap!$A$2:$R$9000,12,FALSE)</f>
        <v>Sin Movimiento</v>
      </c>
      <c r="R1987" s="15" t="str">
        <f>VLOOKUP(A1987,sinap!$A$2:$R$9000,16,FALSE)</f>
        <v>11.1.01.0893</v>
      </c>
      <c r="S1987" s="15" t="str">
        <f>VLOOKUP(A1987,sinap!$A$2:$Y$9000,20,FALSE)</f>
        <v>SI</v>
      </c>
      <c r="T1987" s="16">
        <v>45989</v>
      </c>
    </row>
    <row r="1988" spans="1:20" hidden="1" x14ac:dyDescent="0.25">
      <c r="A1988" s="15">
        <v>26234382</v>
      </c>
      <c r="J1988" s="15" t="str">
        <f>VLOOKUP(A1988,sinap!$A$2:$R$9000,2,FALSE)</f>
        <v>H</v>
      </c>
      <c r="K1988" s="15" t="str">
        <f>VLOOKUP(A1988,sinap!$A$2:$R$9000,3,FALSE)</f>
        <v>TERNERA</v>
      </c>
      <c r="L1988" s="15" t="str">
        <f>VLOOKUP(A1988,sinap!$A$2:$R$9000,4,FALSE)</f>
        <v>ANGUS NEGRO</v>
      </c>
      <c r="M1988" s="15" t="str">
        <f>VLOOKUP(A1988,sinap!$A$2:$R$9000,5,FALSE)</f>
        <v>0 años 3 meses</v>
      </c>
      <c r="N1988" s="15" t="str">
        <f>VLOOKUP(A1988,sinap!$A$2:$R$9000,6,FALSE)</f>
        <v>05-10-2025</v>
      </c>
      <c r="O1988" s="15" t="str">
        <f>VLOOKUP(A1988,sinap!$A$2:$R$9000,7,FALSE)</f>
        <v>Vivo</v>
      </c>
      <c r="P1988" s="15" t="str">
        <f>VLOOKUP(A1988,sinap!$A$2:$R$9000,8,FALSE)</f>
        <v>11.1.01.0791</v>
      </c>
      <c r="Q1988" s="15" t="str">
        <f>VLOOKUP(A1988,sinap!$A$2:$R$9000,12,FALSE)</f>
        <v>11.1.01.0893</v>
      </c>
      <c r="R1988" s="15" t="str">
        <f>VLOOKUP(A1988,sinap!$A$2:$R$9000,16,FALSE)</f>
        <v>11.1.01.0893</v>
      </c>
      <c r="S1988" s="15" t="str">
        <f>VLOOKUP(A1988,sinap!$A$2:$Y$9000,20,FALSE)</f>
        <v>SI</v>
      </c>
      <c r="T1988" s="16">
        <v>45989</v>
      </c>
    </row>
    <row r="1989" spans="1:20" hidden="1" x14ac:dyDescent="0.25">
      <c r="A1989" s="15">
        <v>26234383</v>
      </c>
      <c r="J1989" s="15" t="str">
        <f>VLOOKUP(A1989,sinap!$A$2:$R$9000,2,FALSE)</f>
        <v>H</v>
      </c>
      <c r="K1989" s="15" t="str">
        <f>VLOOKUP(A1989,sinap!$A$2:$R$9000,3,FALSE)</f>
        <v>TERNERA</v>
      </c>
      <c r="L1989" s="15" t="str">
        <f>VLOOKUP(A1989,sinap!$A$2:$R$9000,4,FALSE)</f>
        <v>ANGUS NEGRO</v>
      </c>
      <c r="M1989" s="15" t="str">
        <f>VLOOKUP(A1989,sinap!$A$2:$R$9000,5,FALSE)</f>
        <v>0 años 4 meses</v>
      </c>
      <c r="N1989" s="15" t="str">
        <f>VLOOKUP(A1989,sinap!$A$2:$R$9000,6,FALSE)</f>
        <v>30-08-2025</v>
      </c>
      <c r="O1989" s="15" t="str">
        <f>VLOOKUP(A1989,sinap!$A$2:$R$9000,7,FALSE)</f>
        <v>Vivo</v>
      </c>
      <c r="P1989" s="15" t="str">
        <f>VLOOKUP(A1989,sinap!$A$2:$R$9000,8,FALSE)</f>
        <v>11.2.01.0038</v>
      </c>
      <c r="Q1989" s="15" t="str">
        <f>VLOOKUP(A1989,sinap!$A$2:$R$9000,12,FALSE)</f>
        <v>11.1.01.0893</v>
      </c>
      <c r="R1989" s="15" t="str">
        <f>VLOOKUP(A1989,sinap!$A$2:$R$9000,16,FALSE)</f>
        <v>11.1.01.0893</v>
      </c>
      <c r="S1989" s="15" t="str">
        <f>VLOOKUP(A1989,sinap!$A$2:$Y$9000,20,FALSE)</f>
        <v>SI</v>
      </c>
      <c r="T1989" s="16">
        <v>45989</v>
      </c>
    </row>
    <row r="1990" spans="1:20" hidden="1" x14ac:dyDescent="0.25">
      <c r="A1990" s="15">
        <v>26234384</v>
      </c>
      <c r="J1990" s="15" t="str">
        <f>VLOOKUP(A1990,sinap!$A$2:$R$9000,2,FALSE)</f>
        <v>M</v>
      </c>
      <c r="K1990" s="15" t="str">
        <f>VLOOKUP(A1990,sinap!$A$2:$R$9000,3,FALSE)</f>
        <v>TERNERO</v>
      </c>
      <c r="L1990" s="15" t="str">
        <f>VLOOKUP(A1990,sinap!$A$2:$R$9000,4,FALSE)</f>
        <v>ANGUS NEGRO</v>
      </c>
      <c r="M1990" s="15" t="str">
        <f>VLOOKUP(A1990,sinap!$A$2:$R$9000,5,FALSE)</f>
        <v>0 años 3 meses</v>
      </c>
      <c r="N1990" s="15" t="str">
        <f>VLOOKUP(A1990,sinap!$A$2:$R$9000,6,FALSE)</f>
        <v>05-10-2025</v>
      </c>
      <c r="O1990" s="15" t="str">
        <f>VLOOKUP(A1990,sinap!$A$2:$R$9000,7,FALSE)</f>
        <v>Vivo</v>
      </c>
      <c r="P1990" s="15" t="str">
        <f>VLOOKUP(A1990,sinap!$A$2:$R$9000,8,FALSE)</f>
        <v>11.2.01.0038</v>
      </c>
      <c r="Q1990" s="15" t="str">
        <f>VLOOKUP(A1990,sinap!$A$2:$R$9000,12,FALSE)</f>
        <v>11.1.01.0893</v>
      </c>
      <c r="R1990" s="15" t="str">
        <f>VLOOKUP(A1990,sinap!$A$2:$R$9000,16,FALSE)</f>
        <v>11.1.01.0893</v>
      </c>
      <c r="S1990" s="15" t="str">
        <f>VLOOKUP(A1990,sinap!$A$2:$Y$9000,20,FALSE)</f>
        <v>SI</v>
      </c>
      <c r="T1990" s="16">
        <v>45989</v>
      </c>
    </row>
    <row r="1991" spans="1:20" hidden="1" x14ac:dyDescent="0.25">
      <c r="A1991" s="15">
        <v>26234385</v>
      </c>
      <c r="J1991" s="15" t="str">
        <f>VLOOKUP(A1991,sinap!$A$2:$R$9000,2,FALSE)</f>
        <v>H</v>
      </c>
      <c r="K1991" s="15" t="str">
        <f>VLOOKUP(A1991,sinap!$A$2:$R$9000,3,FALSE)</f>
        <v>TERNERA</v>
      </c>
      <c r="L1991" s="15" t="str">
        <f>VLOOKUP(A1991,sinap!$A$2:$R$9000,4,FALSE)</f>
        <v>ANGUS NEGRO</v>
      </c>
      <c r="M1991" s="15" t="str">
        <f>VLOOKUP(A1991,sinap!$A$2:$R$9000,5,FALSE)</f>
        <v>0 años 4 meses</v>
      </c>
      <c r="N1991" s="15" t="str">
        <f>VLOOKUP(A1991,sinap!$A$2:$R$9000,6,FALSE)</f>
        <v>11-09-2025</v>
      </c>
      <c r="O1991" s="15" t="str">
        <f>VLOOKUP(A1991,sinap!$A$2:$R$9000,7,FALSE)</f>
        <v>Vivo</v>
      </c>
      <c r="P1991" s="15" t="str">
        <f>VLOOKUP(A1991,sinap!$A$2:$R$9000,8,FALSE)</f>
        <v>11.1.01.0893</v>
      </c>
      <c r="Q1991" s="15" t="str">
        <f>VLOOKUP(A1991,sinap!$A$2:$R$9000,12,FALSE)</f>
        <v>Sin Movimiento</v>
      </c>
      <c r="R1991" s="15" t="str">
        <f>VLOOKUP(A1991,sinap!$A$2:$R$9000,16,FALSE)</f>
        <v>11.1.01.0893</v>
      </c>
      <c r="S1991" s="15" t="str">
        <f>VLOOKUP(A1991,sinap!$A$2:$Y$9000,20,FALSE)</f>
        <v>SI</v>
      </c>
      <c r="T1991" s="16">
        <v>45989</v>
      </c>
    </row>
    <row r="1992" spans="1:20" hidden="1" x14ac:dyDescent="0.25">
      <c r="A1992" s="15">
        <v>26234386</v>
      </c>
      <c r="J1992" s="15" t="str">
        <f>VLOOKUP(A1992,sinap!$A$2:$R$9000,2,FALSE)</f>
        <v>H</v>
      </c>
      <c r="K1992" s="15" t="str">
        <f>VLOOKUP(A1992,sinap!$A$2:$R$9000,3,FALSE)</f>
        <v>TERNERA</v>
      </c>
      <c r="L1992" s="15" t="str">
        <f>VLOOKUP(A1992,sinap!$A$2:$R$9000,4,FALSE)</f>
        <v>ANGUS NEGRO</v>
      </c>
      <c r="M1992" s="15" t="str">
        <f>VLOOKUP(A1992,sinap!$A$2:$R$9000,5,FALSE)</f>
        <v>0 años 4 meses</v>
      </c>
      <c r="N1992" s="15" t="str">
        <f>VLOOKUP(A1992,sinap!$A$2:$R$9000,6,FALSE)</f>
        <v>11-09-2025</v>
      </c>
      <c r="O1992" s="15" t="str">
        <f>VLOOKUP(A1992,sinap!$A$2:$R$9000,7,FALSE)</f>
        <v>Vivo</v>
      </c>
      <c r="P1992" s="15" t="str">
        <f>VLOOKUP(A1992,sinap!$A$2:$R$9000,8,FALSE)</f>
        <v>11.2.01.0038</v>
      </c>
      <c r="Q1992" s="15" t="str">
        <f>VLOOKUP(A1992,sinap!$A$2:$R$9000,12,FALSE)</f>
        <v>11.1.01.0893</v>
      </c>
      <c r="R1992" s="15" t="str">
        <f>VLOOKUP(A1992,sinap!$A$2:$R$9000,16,FALSE)</f>
        <v>11.1.01.0893</v>
      </c>
      <c r="S1992" s="15" t="str">
        <f>VLOOKUP(A1992,sinap!$A$2:$Y$9000,20,FALSE)</f>
        <v>SI</v>
      </c>
      <c r="T1992" s="16">
        <v>45989</v>
      </c>
    </row>
    <row r="1993" spans="1:20" hidden="1" x14ac:dyDescent="0.25">
      <c r="A1993" s="15">
        <v>26234387</v>
      </c>
      <c r="J1993" s="15" t="str">
        <f>VLOOKUP(A1993,sinap!$A$2:$R$9000,2,FALSE)</f>
        <v>M</v>
      </c>
      <c r="K1993" s="15" t="str">
        <f>VLOOKUP(A1993,sinap!$A$2:$R$9000,3,FALSE)</f>
        <v>TERNERO</v>
      </c>
      <c r="L1993" s="15" t="str">
        <f>VLOOKUP(A1993,sinap!$A$2:$R$9000,4,FALSE)</f>
        <v>ANGUS NEGRO</v>
      </c>
      <c r="M1993" s="15" t="str">
        <f>VLOOKUP(A1993,sinap!$A$2:$R$9000,5,FALSE)</f>
        <v>0 años 4 meses</v>
      </c>
      <c r="N1993" s="15" t="str">
        <f>VLOOKUP(A1993,sinap!$A$2:$R$9000,6,FALSE)</f>
        <v>11-09-2025</v>
      </c>
      <c r="O1993" s="15" t="str">
        <f>VLOOKUP(A1993,sinap!$A$2:$R$9000,7,FALSE)</f>
        <v>Vivo</v>
      </c>
      <c r="P1993" s="15" t="str">
        <f>VLOOKUP(A1993,sinap!$A$2:$R$9000,8,FALSE)</f>
        <v>11.1.01.0791</v>
      </c>
      <c r="Q1993" s="15" t="str">
        <f>VLOOKUP(A1993,sinap!$A$2:$R$9000,12,FALSE)</f>
        <v>11.1.01.0893</v>
      </c>
      <c r="R1993" s="15" t="str">
        <f>VLOOKUP(A1993,sinap!$A$2:$R$9000,16,FALSE)</f>
        <v>11.1.01.0893</v>
      </c>
      <c r="S1993" s="15" t="str">
        <f>VLOOKUP(A1993,sinap!$A$2:$Y$9000,20,FALSE)</f>
        <v>SI</v>
      </c>
      <c r="T1993" s="16">
        <v>45989</v>
      </c>
    </row>
    <row r="1994" spans="1:20" hidden="1" x14ac:dyDescent="0.25">
      <c r="A1994" s="15">
        <v>26234388</v>
      </c>
      <c r="J1994" s="15" t="str">
        <f>VLOOKUP(A1994,sinap!$A$2:$R$9000,2,FALSE)</f>
        <v>H</v>
      </c>
      <c r="K1994" s="15" t="str">
        <f>VLOOKUP(A1994,sinap!$A$2:$R$9000,3,FALSE)</f>
        <v>TERNERA</v>
      </c>
      <c r="L1994" s="15" t="str">
        <f>VLOOKUP(A1994,sinap!$A$2:$R$9000,4,FALSE)</f>
        <v>ANGUS NEGRO</v>
      </c>
      <c r="M1994" s="15" t="str">
        <f>VLOOKUP(A1994,sinap!$A$2:$R$9000,5,FALSE)</f>
        <v>0 años 4 meses</v>
      </c>
      <c r="N1994" s="15" t="str">
        <f>VLOOKUP(A1994,sinap!$A$2:$R$9000,6,FALSE)</f>
        <v>11-09-2025</v>
      </c>
      <c r="O1994" s="15" t="str">
        <f>VLOOKUP(A1994,sinap!$A$2:$R$9000,7,FALSE)</f>
        <v>Vivo</v>
      </c>
      <c r="P1994" s="15" t="str">
        <f>VLOOKUP(A1994,sinap!$A$2:$R$9000,8,FALSE)</f>
        <v>11.2.01.0038</v>
      </c>
      <c r="Q1994" s="15" t="str">
        <f>VLOOKUP(A1994,sinap!$A$2:$R$9000,12,FALSE)</f>
        <v>11.1.01.0893</v>
      </c>
      <c r="R1994" s="15" t="str">
        <f>VLOOKUP(A1994,sinap!$A$2:$R$9000,16,FALSE)</f>
        <v>11.1.01.0893</v>
      </c>
      <c r="S1994" s="15" t="str">
        <f>VLOOKUP(A1994,sinap!$A$2:$Y$9000,20,FALSE)</f>
        <v>SI</v>
      </c>
      <c r="T1994" s="16">
        <v>45989</v>
      </c>
    </row>
    <row r="1995" spans="1:20" hidden="1" x14ac:dyDescent="0.25">
      <c r="A1995" s="15">
        <v>26234389</v>
      </c>
      <c r="J1995" s="15" t="str">
        <f>VLOOKUP(A1995,sinap!$A$2:$R$9000,2,FALSE)</f>
        <v>M</v>
      </c>
      <c r="K1995" s="15" t="str">
        <f>VLOOKUP(A1995,sinap!$A$2:$R$9000,3,FALSE)</f>
        <v>TERNERO</v>
      </c>
      <c r="L1995" s="15" t="str">
        <f>VLOOKUP(A1995,sinap!$A$2:$R$9000,4,FALSE)</f>
        <v>ANGUS NEGRO</v>
      </c>
      <c r="M1995" s="15" t="str">
        <f>VLOOKUP(A1995,sinap!$A$2:$R$9000,5,FALSE)</f>
        <v>0 años 4 meses</v>
      </c>
      <c r="N1995" s="15" t="str">
        <f>VLOOKUP(A1995,sinap!$A$2:$R$9000,6,FALSE)</f>
        <v>11-09-2025</v>
      </c>
      <c r="O1995" s="15" t="str">
        <f>VLOOKUP(A1995,sinap!$A$2:$R$9000,7,FALSE)</f>
        <v>Vivo</v>
      </c>
      <c r="P1995" s="15" t="str">
        <f>VLOOKUP(A1995,sinap!$A$2:$R$9000,8,FALSE)</f>
        <v>11.2.01.0038</v>
      </c>
      <c r="Q1995" s="15" t="str">
        <f>VLOOKUP(A1995,sinap!$A$2:$R$9000,12,FALSE)</f>
        <v>11.1.01.0893</v>
      </c>
      <c r="R1995" s="15" t="str">
        <f>VLOOKUP(A1995,sinap!$A$2:$R$9000,16,FALSE)</f>
        <v>11.1.01.0893</v>
      </c>
      <c r="S1995" s="15" t="str">
        <f>VLOOKUP(A1995,sinap!$A$2:$Y$9000,20,FALSE)</f>
        <v>SI</v>
      </c>
      <c r="T1995" s="16">
        <v>45989</v>
      </c>
    </row>
    <row r="1996" spans="1:20" hidden="1" x14ac:dyDescent="0.25">
      <c r="A1996" s="15">
        <v>26234390</v>
      </c>
      <c r="J1996" s="15" t="str">
        <f>VLOOKUP(A1996,sinap!$A$2:$R$9000,2,FALSE)</f>
        <v>H</v>
      </c>
      <c r="K1996" s="15" t="str">
        <f>VLOOKUP(A1996,sinap!$A$2:$R$9000,3,FALSE)</f>
        <v>TERNERA</v>
      </c>
      <c r="L1996" s="15" t="str">
        <f>VLOOKUP(A1996,sinap!$A$2:$R$9000,4,FALSE)</f>
        <v>ANGUS NEGRO</v>
      </c>
      <c r="M1996" s="15" t="str">
        <f>VLOOKUP(A1996,sinap!$A$2:$R$9000,5,FALSE)</f>
        <v>0 años 4 meses</v>
      </c>
      <c r="N1996" s="15" t="str">
        <f>VLOOKUP(A1996,sinap!$A$2:$R$9000,6,FALSE)</f>
        <v>11-09-2025</v>
      </c>
      <c r="O1996" s="15" t="str">
        <f>VLOOKUP(A1996,sinap!$A$2:$R$9000,7,FALSE)</f>
        <v>Vivo</v>
      </c>
      <c r="P1996" s="15" t="str">
        <f>VLOOKUP(A1996,sinap!$A$2:$R$9000,8,FALSE)</f>
        <v>11.1.01.0791</v>
      </c>
      <c r="Q1996" s="15" t="str">
        <f>VLOOKUP(A1996,sinap!$A$2:$R$9000,12,FALSE)</f>
        <v>11.1.01.0893</v>
      </c>
      <c r="R1996" s="15" t="str">
        <f>VLOOKUP(A1996,sinap!$A$2:$R$9000,16,FALSE)</f>
        <v>11.1.01.0893</v>
      </c>
      <c r="S1996" s="15" t="str">
        <f>VLOOKUP(A1996,sinap!$A$2:$Y$9000,20,FALSE)</f>
        <v>SI</v>
      </c>
      <c r="T1996" s="16">
        <v>45989</v>
      </c>
    </row>
    <row r="1997" spans="1:20" hidden="1" x14ac:dyDescent="0.25">
      <c r="A1997" s="15">
        <v>26234391</v>
      </c>
      <c r="J1997" s="15" t="str">
        <f>VLOOKUP(A1997,sinap!$A$2:$R$9000,2,FALSE)</f>
        <v>H</v>
      </c>
      <c r="K1997" s="15" t="str">
        <f>VLOOKUP(A1997,sinap!$A$2:$R$9000,3,FALSE)</f>
        <v>TERNERA</v>
      </c>
      <c r="L1997" s="15" t="str">
        <f>VLOOKUP(A1997,sinap!$A$2:$R$9000,4,FALSE)</f>
        <v>ANGUS NEGRO</v>
      </c>
      <c r="M1997" s="15" t="str">
        <f>VLOOKUP(A1997,sinap!$A$2:$R$9000,5,FALSE)</f>
        <v>0 años 4 meses</v>
      </c>
      <c r="N1997" s="15" t="str">
        <f>VLOOKUP(A1997,sinap!$A$2:$R$9000,6,FALSE)</f>
        <v>11-09-2025</v>
      </c>
      <c r="O1997" s="15" t="str">
        <f>VLOOKUP(A1997,sinap!$A$2:$R$9000,7,FALSE)</f>
        <v>Vivo</v>
      </c>
      <c r="P1997" s="15" t="str">
        <f>VLOOKUP(A1997,sinap!$A$2:$R$9000,8,FALSE)</f>
        <v>11.2.01.0038</v>
      </c>
      <c r="Q1997" s="15" t="str">
        <f>VLOOKUP(A1997,sinap!$A$2:$R$9000,12,FALSE)</f>
        <v>11.1.01.0893</v>
      </c>
      <c r="R1997" s="15" t="str">
        <f>VLOOKUP(A1997,sinap!$A$2:$R$9000,16,FALSE)</f>
        <v>11.1.01.0893</v>
      </c>
      <c r="S1997" s="15" t="str">
        <f>VLOOKUP(A1997,sinap!$A$2:$Y$9000,20,FALSE)</f>
        <v>SI</v>
      </c>
      <c r="T1997" s="16">
        <v>45989</v>
      </c>
    </row>
    <row r="1998" spans="1:20" hidden="1" x14ac:dyDescent="0.25">
      <c r="A1998" s="15">
        <v>26234392</v>
      </c>
      <c r="J1998" s="15" t="str">
        <f>VLOOKUP(A1998,sinap!$A$2:$R$9000,2,FALSE)</f>
        <v>H</v>
      </c>
      <c r="K1998" s="15" t="str">
        <f>VLOOKUP(A1998,sinap!$A$2:$R$9000,3,FALSE)</f>
        <v>TERNERA</v>
      </c>
      <c r="L1998" s="15" t="str">
        <f>VLOOKUP(A1998,sinap!$A$2:$R$9000,4,FALSE)</f>
        <v>ANGUS NEGRO</v>
      </c>
      <c r="M1998" s="15" t="str">
        <f>VLOOKUP(A1998,sinap!$A$2:$R$9000,5,FALSE)</f>
        <v>0 años 4 meses</v>
      </c>
      <c r="N1998" s="15" t="str">
        <f>VLOOKUP(A1998,sinap!$A$2:$R$9000,6,FALSE)</f>
        <v>11-09-2025</v>
      </c>
      <c r="O1998" s="15" t="str">
        <f>VLOOKUP(A1998,sinap!$A$2:$R$9000,7,FALSE)</f>
        <v>Vivo</v>
      </c>
      <c r="P1998" s="15" t="str">
        <f>VLOOKUP(A1998,sinap!$A$2:$R$9000,8,FALSE)</f>
        <v>11.1.01.0791</v>
      </c>
      <c r="Q1998" s="15" t="str">
        <f>VLOOKUP(A1998,sinap!$A$2:$R$9000,12,FALSE)</f>
        <v>11.1.01.0893</v>
      </c>
      <c r="R1998" s="15" t="str">
        <f>VLOOKUP(A1998,sinap!$A$2:$R$9000,16,FALSE)</f>
        <v>11.1.01.0893</v>
      </c>
      <c r="S1998" s="15" t="str">
        <f>VLOOKUP(A1998,sinap!$A$2:$Y$9000,20,FALSE)</f>
        <v>SI</v>
      </c>
      <c r="T1998" s="16">
        <v>45989</v>
      </c>
    </row>
    <row r="1999" spans="1:20" hidden="1" x14ac:dyDescent="0.25">
      <c r="A1999" s="15">
        <v>26234393</v>
      </c>
      <c r="J1999" s="15" t="str">
        <f>VLOOKUP(A1999,sinap!$A$2:$R$9000,2,FALSE)</f>
        <v>H</v>
      </c>
      <c r="K1999" s="15" t="str">
        <f>VLOOKUP(A1999,sinap!$A$2:$R$9000,3,FALSE)</f>
        <v>TERNERA</v>
      </c>
      <c r="L1999" s="15" t="str">
        <f>VLOOKUP(A1999,sinap!$A$2:$R$9000,4,FALSE)</f>
        <v>ANGUS NEGRO</v>
      </c>
      <c r="M1999" s="15" t="str">
        <f>VLOOKUP(A1999,sinap!$A$2:$R$9000,5,FALSE)</f>
        <v>0 años 4 meses</v>
      </c>
      <c r="N1999" s="15" t="str">
        <f>VLOOKUP(A1999,sinap!$A$2:$R$9000,6,FALSE)</f>
        <v>11-09-2025</v>
      </c>
      <c r="O1999" s="15" t="str">
        <f>VLOOKUP(A1999,sinap!$A$2:$R$9000,7,FALSE)</f>
        <v>Vivo</v>
      </c>
      <c r="P1999" s="15" t="str">
        <f>VLOOKUP(A1999,sinap!$A$2:$R$9000,8,FALSE)</f>
        <v>11.2.01.0038</v>
      </c>
      <c r="Q1999" s="15" t="str">
        <f>VLOOKUP(A1999,sinap!$A$2:$R$9000,12,FALSE)</f>
        <v>11.1.01.0893</v>
      </c>
      <c r="R1999" s="15" t="str">
        <f>VLOOKUP(A1999,sinap!$A$2:$R$9000,16,FALSE)</f>
        <v>11.1.01.0893</v>
      </c>
      <c r="S1999" s="15" t="str">
        <f>VLOOKUP(A1999,sinap!$A$2:$Y$9000,20,FALSE)</f>
        <v>SI</v>
      </c>
      <c r="T1999" s="16">
        <v>45989</v>
      </c>
    </row>
    <row r="2000" spans="1:20" hidden="1" x14ac:dyDescent="0.25">
      <c r="A2000" s="15">
        <v>26234394</v>
      </c>
      <c r="J2000" s="15" t="str">
        <f>VLOOKUP(A2000,sinap!$A$2:$R$9000,2,FALSE)</f>
        <v>M</v>
      </c>
      <c r="K2000" s="15" t="str">
        <f>VLOOKUP(A2000,sinap!$A$2:$R$9000,3,FALSE)</f>
        <v>TERNERO</v>
      </c>
      <c r="L2000" s="15" t="str">
        <f>VLOOKUP(A2000,sinap!$A$2:$R$9000,4,FALSE)</f>
        <v>ANGUS ROJO</v>
      </c>
      <c r="M2000" s="15" t="str">
        <f>VLOOKUP(A2000,sinap!$A$2:$R$9000,5,FALSE)</f>
        <v>0 años 4 meses</v>
      </c>
      <c r="N2000" s="15" t="str">
        <f>VLOOKUP(A2000,sinap!$A$2:$R$9000,6,FALSE)</f>
        <v>11-09-2025</v>
      </c>
      <c r="O2000" s="15" t="str">
        <f>VLOOKUP(A2000,sinap!$A$2:$R$9000,7,FALSE)</f>
        <v>Vivo</v>
      </c>
      <c r="P2000" s="15" t="str">
        <f>VLOOKUP(A2000,sinap!$A$2:$R$9000,8,FALSE)</f>
        <v>11.2.01.0038</v>
      </c>
      <c r="Q2000" s="15" t="str">
        <f>VLOOKUP(A2000,sinap!$A$2:$R$9000,12,FALSE)</f>
        <v>11.1.01.0893</v>
      </c>
      <c r="R2000" s="15" t="str">
        <f>VLOOKUP(A2000,sinap!$A$2:$R$9000,16,FALSE)</f>
        <v>11.1.01.0893</v>
      </c>
      <c r="S2000" s="15" t="str">
        <f>VLOOKUP(A2000,sinap!$A$2:$Y$9000,20,FALSE)</f>
        <v>SI</v>
      </c>
      <c r="T2000" s="16">
        <v>45989</v>
      </c>
    </row>
    <row r="2001" spans="1:20" hidden="1" x14ac:dyDescent="0.25">
      <c r="A2001" s="15">
        <v>26234395</v>
      </c>
      <c r="J2001" s="15" t="str">
        <f>VLOOKUP(A2001,sinap!$A$2:$R$9000,2,FALSE)</f>
        <v>H</v>
      </c>
      <c r="K2001" s="15" t="str">
        <f>VLOOKUP(A2001,sinap!$A$2:$R$9000,3,FALSE)</f>
        <v>TERNERA</v>
      </c>
      <c r="L2001" s="15" t="str">
        <f>VLOOKUP(A2001,sinap!$A$2:$R$9000,4,FALSE)</f>
        <v>ANGUS NEGRO</v>
      </c>
      <c r="M2001" s="15" t="str">
        <f>VLOOKUP(A2001,sinap!$A$2:$R$9000,5,FALSE)</f>
        <v>0 años 4 meses</v>
      </c>
      <c r="N2001" s="15" t="str">
        <f>VLOOKUP(A2001,sinap!$A$2:$R$9000,6,FALSE)</f>
        <v>11-09-2025</v>
      </c>
      <c r="O2001" s="15" t="str">
        <f>VLOOKUP(A2001,sinap!$A$2:$R$9000,7,FALSE)</f>
        <v>Vivo</v>
      </c>
      <c r="P2001" s="15" t="str">
        <f>VLOOKUP(A2001,sinap!$A$2:$R$9000,8,FALSE)</f>
        <v>11.2.01.0038</v>
      </c>
      <c r="Q2001" s="15" t="str">
        <f>VLOOKUP(A2001,sinap!$A$2:$R$9000,12,FALSE)</f>
        <v>11.1.01.0893</v>
      </c>
      <c r="R2001" s="15" t="str">
        <f>VLOOKUP(A2001,sinap!$A$2:$R$9000,16,FALSE)</f>
        <v>11.1.01.0893</v>
      </c>
      <c r="S2001" s="15" t="str">
        <f>VLOOKUP(A2001,sinap!$A$2:$Y$9000,20,FALSE)</f>
        <v>SI</v>
      </c>
      <c r="T2001" s="16">
        <v>45989</v>
      </c>
    </row>
    <row r="2002" spans="1:20" hidden="1" x14ac:dyDescent="0.25">
      <c r="A2002" s="15">
        <v>26234396</v>
      </c>
      <c r="J2002" s="15" t="str">
        <f>VLOOKUP(A2002,sinap!$A$2:$R$9000,2,FALSE)</f>
        <v>H</v>
      </c>
      <c r="K2002" s="15" t="str">
        <f>VLOOKUP(A2002,sinap!$A$2:$R$9000,3,FALSE)</f>
        <v>TERNERA</v>
      </c>
      <c r="L2002" s="15" t="str">
        <f>VLOOKUP(A2002,sinap!$A$2:$R$9000,4,FALSE)</f>
        <v>ANGUS NEGRO</v>
      </c>
      <c r="M2002" s="15" t="str">
        <f>VLOOKUP(A2002,sinap!$A$2:$R$9000,5,FALSE)</f>
        <v>0 años 4 meses</v>
      </c>
      <c r="N2002" s="15" t="str">
        <f>VLOOKUP(A2002,sinap!$A$2:$R$9000,6,FALSE)</f>
        <v>11-09-2025</v>
      </c>
      <c r="O2002" s="15" t="str">
        <f>VLOOKUP(A2002,sinap!$A$2:$R$9000,7,FALSE)</f>
        <v>Vivo</v>
      </c>
      <c r="P2002" s="15" t="str">
        <f>VLOOKUP(A2002,sinap!$A$2:$R$9000,8,FALSE)</f>
        <v>11.2.01.0038</v>
      </c>
      <c r="Q2002" s="15" t="str">
        <f>VLOOKUP(A2002,sinap!$A$2:$R$9000,12,FALSE)</f>
        <v>11.1.01.0893</v>
      </c>
      <c r="R2002" s="15" t="str">
        <f>VLOOKUP(A2002,sinap!$A$2:$R$9000,16,FALSE)</f>
        <v>11.1.01.0893</v>
      </c>
      <c r="S2002" s="15" t="str">
        <f>VLOOKUP(A2002,sinap!$A$2:$Y$9000,20,FALSE)</f>
        <v>SI</v>
      </c>
      <c r="T2002" s="16">
        <v>45989</v>
      </c>
    </row>
    <row r="2003" spans="1:20" hidden="1" x14ac:dyDescent="0.25">
      <c r="A2003" s="15">
        <v>26234397</v>
      </c>
      <c r="J2003" s="15" t="str">
        <f>VLOOKUP(A2003,sinap!$A$2:$R$9000,2,FALSE)</f>
        <v>M</v>
      </c>
      <c r="K2003" s="15" t="str">
        <f>VLOOKUP(A2003,sinap!$A$2:$R$9000,3,FALSE)</f>
        <v>TERNERO</v>
      </c>
      <c r="L2003" s="15" t="str">
        <f>VLOOKUP(A2003,sinap!$A$2:$R$9000,4,FALSE)</f>
        <v>ANGUS NEGRO</v>
      </c>
      <c r="M2003" s="15" t="str">
        <f>VLOOKUP(A2003,sinap!$A$2:$R$9000,5,FALSE)</f>
        <v>0 años 4 meses</v>
      </c>
      <c r="N2003" s="15" t="str">
        <f>VLOOKUP(A2003,sinap!$A$2:$R$9000,6,FALSE)</f>
        <v>11-09-2025</v>
      </c>
      <c r="O2003" s="15" t="str">
        <f>VLOOKUP(A2003,sinap!$A$2:$R$9000,7,FALSE)</f>
        <v>Vivo</v>
      </c>
      <c r="P2003" s="15" t="str">
        <f>VLOOKUP(A2003,sinap!$A$2:$R$9000,8,FALSE)</f>
        <v>11.2.01.0038</v>
      </c>
      <c r="Q2003" s="15" t="str">
        <f>VLOOKUP(A2003,sinap!$A$2:$R$9000,12,FALSE)</f>
        <v>11.1.01.0893</v>
      </c>
      <c r="R2003" s="15" t="str">
        <f>VLOOKUP(A2003,sinap!$A$2:$R$9000,16,FALSE)</f>
        <v>11.1.01.0893</v>
      </c>
      <c r="S2003" s="15" t="str">
        <f>VLOOKUP(A2003,sinap!$A$2:$Y$9000,20,FALSE)</f>
        <v>SI</v>
      </c>
      <c r="T2003" s="16">
        <v>45989</v>
      </c>
    </row>
    <row r="2004" spans="1:20" hidden="1" x14ac:dyDescent="0.25">
      <c r="A2004" s="15">
        <v>26234398</v>
      </c>
      <c r="J2004" s="15" t="str">
        <f>VLOOKUP(A2004,sinap!$A$2:$R$9000,2,FALSE)</f>
        <v>H</v>
      </c>
      <c r="K2004" s="15" t="str">
        <f>VLOOKUP(A2004,sinap!$A$2:$R$9000,3,FALSE)</f>
        <v>TERNERA</v>
      </c>
      <c r="L2004" s="15" t="str">
        <f>VLOOKUP(A2004,sinap!$A$2:$R$9000,4,FALSE)</f>
        <v>ANGUS NEGRO</v>
      </c>
      <c r="M2004" s="15" t="str">
        <f>VLOOKUP(A2004,sinap!$A$2:$R$9000,5,FALSE)</f>
        <v>0 años 3 meses</v>
      </c>
      <c r="N2004" s="15" t="str">
        <f>VLOOKUP(A2004,sinap!$A$2:$R$9000,6,FALSE)</f>
        <v>05-10-2025</v>
      </c>
      <c r="O2004" s="15" t="str">
        <f>VLOOKUP(A2004,sinap!$A$2:$R$9000,7,FALSE)</f>
        <v>Vivo</v>
      </c>
      <c r="P2004" s="15" t="str">
        <f>VLOOKUP(A2004,sinap!$A$2:$R$9000,8,FALSE)</f>
        <v>11.1.01.0791</v>
      </c>
      <c r="Q2004" s="15" t="str">
        <f>VLOOKUP(A2004,sinap!$A$2:$R$9000,12,FALSE)</f>
        <v>11.1.01.0893</v>
      </c>
      <c r="R2004" s="15" t="str">
        <f>VLOOKUP(A2004,sinap!$A$2:$R$9000,16,FALSE)</f>
        <v>11.1.01.0893</v>
      </c>
      <c r="S2004" s="15" t="str">
        <f>VLOOKUP(A2004,sinap!$A$2:$Y$9000,20,FALSE)</f>
        <v>SI</v>
      </c>
      <c r="T2004" s="16">
        <v>45989</v>
      </c>
    </row>
    <row r="2005" spans="1:20" hidden="1" x14ac:dyDescent="0.25">
      <c r="A2005" s="15">
        <v>26234399</v>
      </c>
      <c r="J2005" s="15" t="str">
        <f>VLOOKUP(A2005,sinap!$A$2:$R$9000,2,FALSE)</f>
        <v>H</v>
      </c>
      <c r="K2005" s="15" t="str">
        <f>VLOOKUP(A2005,sinap!$A$2:$R$9000,3,FALSE)</f>
        <v>TERNERA</v>
      </c>
      <c r="L2005" s="15" t="str">
        <f>VLOOKUP(A2005,sinap!$A$2:$R$9000,4,FALSE)</f>
        <v>ANGUS NEGRO</v>
      </c>
      <c r="M2005" s="15" t="str">
        <f>VLOOKUP(A2005,sinap!$A$2:$R$9000,5,FALSE)</f>
        <v>0 años 4 meses</v>
      </c>
      <c r="N2005" s="15" t="str">
        <f>VLOOKUP(A2005,sinap!$A$2:$R$9000,6,FALSE)</f>
        <v>11-09-2025</v>
      </c>
      <c r="O2005" s="15" t="str">
        <f>VLOOKUP(A2005,sinap!$A$2:$R$9000,7,FALSE)</f>
        <v>Vivo</v>
      </c>
      <c r="P2005" s="15" t="str">
        <f>VLOOKUP(A2005,sinap!$A$2:$R$9000,8,FALSE)</f>
        <v>11.2.01.0038</v>
      </c>
      <c r="Q2005" s="15" t="str">
        <f>VLOOKUP(A2005,sinap!$A$2:$R$9000,12,FALSE)</f>
        <v>11.1.01.0893</v>
      </c>
      <c r="R2005" s="15" t="str">
        <f>VLOOKUP(A2005,sinap!$A$2:$R$9000,16,FALSE)</f>
        <v>11.1.01.0893</v>
      </c>
      <c r="S2005" s="15" t="str">
        <f>VLOOKUP(A2005,sinap!$A$2:$Y$9000,20,FALSE)</f>
        <v>SI</v>
      </c>
      <c r="T2005" s="16">
        <v>45989</v>
      </c>
    </row>
    <row r="2006" spans="1:20" hidden="1" x14ac:dyDescent="0.25">
      <c r="A2006" s="15">
        <v>26234400</v>
      </c>
      <c r="J2006" s="15" t="str">
        <f>VLOOKUP(A2006,sinap!$A$2:$R$9000,2,FALSE)</f>
        <v>H</v>
      </c>
      <c r="K2006" s="15" t="str">
        <f>VLOOKUP(A2006,sinap!$A$2:$R$9000,3,FALSE)</f>
        <v>TERNERA</v>
      </c>
      <c r="L2006" s="15" t="str">
        <f>VLOOKUP(A2006,sinap!$A$2:$R$9000,4,FALSE)</f>
        <v>ANGUS ROJO</v>
      </c>
      <c r="M2006" s="15" t="str">
        <f>VLOOKUP(A2006,sinap!$A$2:$R$9000,5,FALSE)</f>
        <v>0 años 4 meses</v>
      </c>
      <c r="N2006" s="15" t="str">
        <f>VLOOKUP(A2006,sinap!$A$2:$R$9000,6,FALSE)</f>
        <v>11-09-2025</v>
      </c>
      <c r="O2006" s="15" t="str">
        <f>VLOOKUP(A2006,sinap!$A$2:$R$9000,7,FALSE)</f>
        <v>Vivo</v>
      </c>
      <c r="P2006" s="15" t="str">
        <f>VLOOKUP(A2006,sinap!$A$2:$R$9000,8,FALSE)</f>
        <v>11.2.01.0038</v>
      </c>
      <c r="Q2006" s="15" t="str">
        <f>VLOOKUP(A2006,sinap!$A$2:$R$9000,12,FALSE)</f>
        <v>11.1.01.0893</v>
      </c>
      <c r="R2006" s="15" t="str">
        <f>VLOOKUP(A2006,sinap!$A$2:$R$9000,16,FALSE)</f>
        <v>11.1.01.0893</v>
      </c>
      <c r="S2006" s="15" t="str">
        <f>VLOOKUP(A2006,sinap!$A$2:$Y$9000,20,FALSE)</f>
        <v>SI</v>
      </c>
      <c r="T2006" s="16">
        <v>45989</v>
      </c>
    </row>
    <row r="2007" spans="1:20" hidden="1" x14ac:dyDescent="0.25">
      <c r="A2007" s="15">
        <v>26234401</v>
      </c>
      <c r="J2007" s="15" t="str">
        <f>VLOOKUP(A2007,sinap!$A$2:$R$9000,2,FALSE)</f>
        <v>M</v>
      </c>
      <c r="K2007" s="15" t="str">
        <f>VLOOKUP(A2007,sinap!$A$2:$R$9000,3,FALSE)</f>
        <v>TERNERO</v>
      </c>
      <c r="L2007" s="15" t="str">
        <f>VLOOKUP(A2007,sinap!$A$2:$R$9000,4,FALSE)</f>
        <v>ANGUS NEGRO</v>
      </c>
      <c r="M2007" s="15" t="str">
        <f>VLOOKUP(A2007,sinap!$A$2:$R$9000,5,FALSE)</f>
        <v>0 años 4 meses</v>
      </c>
      <c r="N2007" s="15" t="str">
        <f>VLOOKUP(A2007,sinap!$A$2:$R$9000,6,FALSE)</f>
        <v>11-09-2025</v>
      </c>
      <c r="O2007" s="15" t="str">
        <f>VLOOKUP(A2007,sinap!$A$2:$R$9000,7,FALSE)</f>
        <v>Vivo</v>
      </c>
      <c r="P2007" s="15" t="str">
        <f>VLOOKUP(A2007,sinap!$A$2:$R$9000,8,FALSE)</f>
        <v>11.1.01.0791</v>
      </c>
      <c r="Q2007" s="15" t="str">
        <f>VLOOKUP(A2007,sinap!$A$2:$R$9000,12,FALSE)</f>
        <v>11.1.01.0893</v>
      </c>
      <c r="R2007" s="15" t="str">
        <f>VLOOKUP(A2007,sinap!$A$2:$R$9000,16,FALSE)</f>
        <v>11.1.01.0893</v>
      </c>
      <c r="S2007" s="15" t="str">
        <f>VLOOKUP(A2007,sinap!$A$2:$Y$9000,20,FALSE)</f>
        <v>SI</v>
      </c>
      <c r="T2007" s="16">
        <v>45989</v>
      </c>
    </row>
    <row r="2008" spans="1:20" hidden="1" x14ac:dyDescent="0.25">
      <c r="A2008" s="15">
        <v>26234402</v>
      </c>
      <c r="J2008" s="15" t="str">
        <f>VLOOKUP(A2008,sinap!$A$2:$R$9000,2,FALSE)</f>
        <v>M</v>
      </c>
      <c r="K2008" s="15" t="str">
        <f>VLOOKUP(A2008,sinap!$A$2:$R$9000,3,FALSE)</f>
        <v>TERNERO</v>
      </c>
      <c r="L2008" s="15" t="str">
        <f>VLOOKUP(A2008,sinap!$A$2:$R$9000,4,FALSE)</f>
        <v>ANGUS NEGRO</v>
      </c>
      <c r="M2008" s="15" t="str">
        <f>VLOOKUP(A2008,sinap!$A$2:$R$9000,5,FALSE)</f>
        <v>0 años 4 meses</v>
      </c>
      <c r="N2008" s="15" t="str">
        <f>VLOOKUP(A2008,sinap!$A$2:$R$9000,6,FALSE)</f>
        <v>11-09-2025</v>
      </c>
      <c r="O2008" s="15" t="str">
        <f>VLOOKUP(A2008,sinap!$A$2:$R$9000,7,FALSE)</f>
        <v>Vivo</v>
      </c>
      <c r="P2008" s="15" t="str">
        <f>VLOOKUP(A2008,sinap!$A$2:$R$9000,8,FALSE)</f>
        <v>11.2.01.0038</v>
      </c>
      <c r="Q2008" s="15" t="str">
        <f>VLOOKUP(A2008,sinap!$A$2:$R$9000,12,FALSE)</f>
        <v>11.1.01.0893</v>
      </c>
      <c r="R2008" s="15" t="str">
        <f>VLOOKUP(A2008,sinap!$A$2:$R$9000,16,FALSE)</f>
        <v>11.1.01.0893</v>
      </c>
      <c r="S2008" s="15" t="str">
        <f>VLOOKUP(A2008,sinap!$A$2:$Y$9000,20,FALSE)</f>
        <v>SI</v>
      </c>
      <c r="T2008" s="16">
        <v>45989</v>
      </c>
    </row>
    <row r="2009" spans="1:20" hidden="1" x14ac:dyDescent="0.25">
      <c r="A2009" s="15">
        <v>26234403</v>
      </c>
      <c r="J2009" s="15" t="str">
        <f>VLOOKUP(A2009,sinap!$A$2:$R$9000,2,FALSE)</f>
        <v>M</v>
      </c>
      <c r="K2009" s="15" t="str">
        <f>VLOOKUP(A2009,sinap!$A$2:$R$9000,3,FALSE)</f>
        <v>TERNERO</v>
      </c>
      <c r="L2009" s="15" t="str">
        <f>VLOOKUP(A2009,sinap!$A$2:$R$9000,4,FALSE)</f>
        <v>ANGUS NEGRO</v>
      </c>
      <c r="M2009" s="15" t="str">
        <f>VLOOKUP(A2009,sinap!$A$2:$R$9000,5,FALSE)</f>
        <v>0 años 4 meses</v>
      </c>
      <c r="N2009" s="15" t="str">
        <f>VLOOKUP(A2009,sinap!$A$2:$R$9000,6,FALSE)</f>
        <v>11-09-2025</v>
      </c>
      <c r="O2009" s="15" t="str">
        <f>VLOOKUP(A2009,sinap!$A$2:$R$9000,7,FALSE)</f>
        <v>Vivo</v>
      </c>
      <c r="P2009" s="15" t="str">
        <f>VLOOKUP(A2009,sinap!$A$2:$R$9000,8,FALSE)</f>
        <v>11.2.01.0038</v>
      </c>
      <c r="Q2009" s="15" t="str">
        <f>VLOOKUP(A2009,sinap!$A$2:$R$9000,12,FALSE)</f>
        <v>11.1.01.0893</v>
      </c>
      <c r="R2009" s="15" t="str">
        <f>VLOOKUP(A2009,sinap!$A$2:$R$9000,16,FALSE)</f>
        <v>11.1.01.0893</v>
      </c>
      <c r="S2009" s="15" t="str">
        <f>VLOOKUP(A2009,sinap!$A$2:$Y$9000,20,FALSE)</f>
        <v>SI</v>
      </c>
      <c r="T2009" s="16">
        <v>45989</v>
      </c>
    </row>
    <row r="2010" spans="1:20" hidden="1" x14ac:dyDescent="0.25">
      <c r="A2010" s="15">
        <v>26234404</v>
      </c>
      <c r="J2010" s="15" t="str">
        <f>VLOOKUP(A2010,sinap!$A$2:$R$9000,2,FALSE)</f>
        <v>M</v>
      </c>
      <c r="K2010" s="15" t="str">
        <f>VLOOKUP(A2010,sinap!$A$2:$R$9000,3,FALSE)</f>
        <v>TERNERO</v>
      </c>
      <c r="L2010" s="15" t="str">
        <f>VLOOKUP(A2010,sinap!$A$2:$R$9000,4,FALSE)</f>
        <v>ANGUS NEGRO</v>
      </c>
      <c r="M2010" s="15" t="str">
        <f>VLOOKUP(A2010,sinap!$A$2:$R$9000,5,FALSE)</f>
        <v>0 años 4 meses</v>
      </c>
      <c r="N2010" s="15" t="str">
        <f>VLOOKUP(A2010,sinap!$A$2:$R$9000,6,FALSE)</f>
        <v>11-09-2025</v>
      </c>
      <c r="O2010" s="15" t="str">
        <f>VLOOKUP(A2010,sinap!$A$2:$R$9000,7,FALSE)</f>
        <v>Vivo</v>
      </c>
      <c r="P2010" s="15" t="str">
        <f>VLOOKUP(A2010,sinap!$A$2:$R$9000,8,FALSE)</f>
        <v>11.2.01.0038</v>
      </c>
      <c r="Q2010" s="15" t="str">
        <f>VLOOKUP(A2010,sinap!$A$2:$R$9000,12,FALSE)</f>
        <v>11.1.01.0893</v>
      </c>
      <c r="R2010" s="15" t="str">
        <f>VLOOKUP(A2010,sinap!$A$2:$R$9000,16,FALSE)</f>
        <v>11.1.01.0893</v>
      </c>
      <c r="S2010" s="15" t="str">
        <f>VLOOKUP(A2010,sinap!$A$2:$Y$9000,20,FALSE)</f>
        <v>SI</v>
      </c>
      <c r="T2010" s="16">
        <v>45989</v>
      </c>
    </row>
    <row r="2011" spans="1:20" hidden="1" x14ac:dyDescent="0.25">
      <c r="A2011" s="15">
        <v>26234405</v>
      </c>
      <c r="J2011" s="15" t="str">
        <f>VLOOKUP(A2011,sinap!$A$2:$R$9000,2,FALSE)</f>
        <v>M</v>
      </c>
      <c r="K2011" s="15" t="str">
        <f>VLOOKUP(A2011,sinap!$A$2:$R$9000,3,FALSE)</f>
        <v>TERNERO</v>
      </c>
      <c r="L2011" s="15" t="str">
        <f>VLOOKUP(A2011,sinap!$A$2:$R$9000,4,FALSE)</f>
        <v>ANGUS NEGRO</v>
      </c>
      <c r="M2011" s="15" t="str">
        <f>VLOOKUP(A2011,sinap!$A$2:$R$9000,5,FALSE)</f>
        <v>0 años 4 meses</v>
      </c>
      <c r="N2011" s="15" t="str">
        <f>VLOOKUP(A2011,sinap!$A$2:$R$9000,6,FALSE)</f>
        <v>11-09-2025</v>
      </c>
      <c r="O2011" s="15" t="str">
        <f>VLOOKUP(A2011,sinap!$A$2:$R$9000,7,FALSE)</f>
        <v>Vivo</v>
      </c>
      <c r="P2011" s="15" t="str">
        <f>VLOOKUP(A2011,sinap!$A$2:$R$9000,8,FALSE)</f>
        <v>11.2.01.0038</v>
      </c>
      <c r="Q2011" s="15" t="str">
        <f>VLOOKUP(A2011,sinap!$A$2:$R$9000,12,FALSE)</f>
        <v>11.1.01.0893</v>
      </c>
      <c r="R2011" s="15" t="str">
        <f>VLOOKUP(A2011,sinap!$A$2:$R$9000,16,FALSE)</f>
        <v>11.1.01.0893</v>
      </c>
      <c r="S2011" s="15" t="str">
        <f>VLOOKUP(A2011,sinap!$A$2:$Y$9000,20,FALSE)</f>
        <v>SI</v>
      </c>
      <c r="T2011" s="16">
        <v>45989</v>
      </c>
    </row>
    <row r="2012" spans="1:20" hidden="1" x14ac:dyDescent="0.25">
      <c r="A2012" s="15">
        <v>26234406</v>
      </c>
      <c r="J2012" s="15" t="str">
        <f>VLOOKUP(A2012,sinap!$A$2:$R$9000,2,FALSE)</f>
        <v>M</v>
      </c>
      <c r="K2012" s="15" t="str">
        <f>VLOOKUP(A2012,sinap!$A$2:$R$9000,3,FALSE)</f>
        <v>TERNERO</v>
      </c>
      <c r="L2012" s="15" t="str">
        <f>VLOOKUP(A2012,sinap!$A$2:$R$9000,4,FALSE)</f>
        <v>ANGUS NEGRO</v>
      </c>
      <c r="M2012" s="15" t="str">
        <f>VLOOKUP(A2012,sinap!$A$2:$R$9000,5,FALSE)</f>
        <v>0 años 4 meses</v>
      </c>
      <c r="N2012" s="15" t="str">
        <f>VLOOKUP(A2012,sinap!$A$2:$R$9000,6,FALSE)</f>
        <v>11-09-2025</v>
      </c>
      <c r="O2012" s="15" t="str">
        <f>VLOOKUP(A2012,sinap!$A$2:$R$9000,7,FALSE)</f>
        <v>Vivo</v>
      </c>
      <c r="P2012" s="15" t="str">
        <f>VLOOKUP(A2012,sinap!$A$2:$R$9000,8,FALSE)</f>
        <v>11.1.01.0791</v>
      </c>
      <c r="Q2012" s="15" t="str">
        <f>VLOOKUP(A2012,sinap!$A$2:$R$9000,12,FALSE)</f>
        <v>11.1.01.0893</v>
      </c>
      <c r="R2012" s="15" t="str">
        <f>VLOOKUP(A2012,sinap!$A$2:$R$9000,16,FALSE)</f>
        <v>11.1.01.0893</v>
      </c>
      <c r="S2012" s="15" t="str">
        <f>VLOOKUP(A2012,sinap!$A$2:$Y$9000,20,FALSE)</f>
        <v>SI</v>
      </c>
      <c r="T2012" s="16">
        <v>45989</v>
      </c>
    </row>
    <row r="2013" spans="1:20" hidden="1" x14ac:dyDescent="0.25">
      <c r="A2013" s="15">
        <v>26234407</v>
      </c>
      <c r="J2013" s="15" t="str">
        <f>VLOOKUP(A2013,sinap!$A$2:$R$9000,2,FALSE)</f>
        <v>M</v>
      </c>
      <c r="K2013" s="15" t="str">
        <f>VLOOKUP(A2013,sinap!$A$2:$R$9000,3,FALSE)</f>
        <v>TERNERO</v>
      </c>
      <c r="L2013" s="15" t="str">
        <f>VLOOKUP(A2013,sinap!$A$2:$R$9000,4,FALSE)</f>
        <v>ANGUS NEGRO</v>
      </c>
      <c r="M2013" s="15" t="str">
        <f>VLOOKUP(A2013,sinap!$A$2:$R$9000,5,FALSE)</f>
        <v>0 años 3 meses</v>
      </c>
      <c r="N2013" s="15" t="str">
        <f>VLOOKUP(A2013,sinap!$A$2:$R$9000,6,FALSE)</f>
        <v>05-10-2025</v>
      </c>
      <c r="O2013" s="15" t="str">
        <f>VLOOKUP(A2013,sinap!$A$2:$R$9000,7,FALSE)</f>
        <v>Vivo</v>
      </c>
      <c r="P2013" s="15" t="str">
        <f>VLOOKUP(A2013,sinap!$A$2:$R$9000,8,FALSE)</f>
        <v>11.2.01.0038</v>
      </c>
      <c r="Q2013" s="15" t="str">
        <f>VLOOKUP(A2013,sinap!$A$2:$R$9000,12,FALSE)</f>
        <v>11.1.01.0893</v>
      </c>
      <c r="R2013" s="15" t="str">
        <f>VLOOKUP(A2013,sinap!$A$2:$R$9000,16,FALSE)</f>
        <v>11.1.01.0893</v>
      </c>
      <c r="S2013" s="15" t="str">
        <f>VLOOKUP(A2013,sinap!$A$2:$Y$9000,20,FALSE)</f>
        <v>SI</v>
      </c>
      <c r="T2013" s="16">
        <v>45989</v>
      </c>
    </row>
    <row r="2014" spans="1:20" hidden="1" x14ac:dyDescent="0.25">
      <c r="A2014" s="15">
        <v>26234408</v>
      </c>
      <c r="J2014" s="15" t="str">
        <f>VLOOKUP(A2014,sinap!$A$2:$R$9000,2,FALSE)</f>
        <v>M</v>
      </c>
      <c r="K2014" s="15" t="str">
        <f>VLOOKUP(A2014,sinap!$A$2:$R$9000,3,FALSE)</f>
        <v>TERNERO</v>
      </c>
      <c r="L2014" s="15" t="str">
        <f>VLOOKUP(A2014,sinap!$A$2:$R$9000,4,FALSE)</f>
        <v>ANGUS NEGRO</v>
      </c>
      <c r="M2014" s="15" t="str">
        <f>VLOOKUP(A2014,sinap!$A$2:$R$9000,5,FALSE)</f>
        <v>0 años 4 meses</v>
      </c>
      <c r="N2014" s="15" t="str">
        <f>VLOOKUP(A2014,sinap!$A$2:$R$9000,6,FALSE)</f>
        <v>11-09-2025</v>
      </c>
      <c r="O2014" s="15" t="str">
        <f>VLOOKUP(A2014,sinap!$A$2:$R$9000,7,FALSE)</f>
        <v>Vivo</v>
      </c>
      <c r="P2014" s="15" t="str">
        <f>VLOOKUP(A2014,sinap!$A$2:$R$9000,8,FALSE)</f>
        <v>11.2.01.0038</v>
      </c>
      <c r="Q2014" s="15" t="str">
        <f>VLOOKUP(A2014,sinap!$A$2:$R$9000,12,FALSE)</f>
        <v>11.1.01.0893</v>
      </c>
      <c r="R2014" s="15" t="str">
        <f>VLOOKUP(A2014,sinap!$A$2:$R$9000,16,FALSE)</f>
        <v>11.1.01.0893</v>
      </c>
      <c r="S2014" s="15" t="str">
        <f>VLOOKUP(A2014,sinap!$A$2:$Y$9000,20,FALSE)</f>
        <v>SI</v>
      </c>
      <c r="T2014" s="16">
        <v>45989</v>
      </c>
    </row>
    <row r="2015" spans="1:20" hidden="1" x14ac:dyDescent="0.25">
      <c r="A2015" s="15">
        <v>26234409</v>
      </c>
      <c r="J2015" s="15" t="str">
        <f>VLOOKUP(A2015,sinap!$A$2:$R$9000,2,FALSE)</f>
        <v>M</v>
      </c>
      <c r="K2015" s="15" t="str">
        <f>VLOOKUP(A2015,sinap!$A$2:$R$9000,3,FALSE)</f>
        <v>TERNERO</v>
      </c>
      <c r="L2015" s="15" t="str">
        <f>VLOOKUP(A2015,sinap!$A$2:$R$9000,4,FALSE)</f>
        <v>ANGUS NEGRO</v>
      </c>
      <c r="M2015" s="15" t="str">
        <f>VLOOKUP(A2015,sinap!$A$2:$R$9000,5,FALSE)</f>
        <v>0 años 4 meses</v>
      </c>
      <c r="N2015" s="15" t="str">
        <f>VLOOKUP(A2015,sinap!$A$2:$R$9000,6,FALSE)</f>
        <v>11-09-2025</v>
      </c>
      <c r="O2015" s="15" t="str">
        <f>VLOOKUP(A2015,sinap!$A$2:$R$9000,7,FALSE)</f>
        <v>Vivo</v>
      </c>
      <c r="P2015" s="15" t="str">
        <f>VLOOKUP(A2015,sinap!$A$2:$R$9000,8,FALSE)</f>
        <v>11.2.01.0038</v>
      </c>
      <c r="Q2015" s="15" t="str">
        <f>VLOOKUP(A2015,sinap!$A$2:$R$9000,12,FALSE)</f>
        <v>11.1.01.0893</v>
      </c>
      <c r="R2015" s="15" t="str">
        <f>VLOOKUP(A2015,sinap!$A$2:$R$9000,16,FALSE)</f>
        <v>11.1.01.0893</v>
      </c>
      <c r="S2015" s="15" t="str">
        <f>VLOOKUP(A2015,sinap!$A$2:$Y$9000,20,FALSE)</f>
        <v>SI</v>
      </c>
      <c r="T2015" s="16">
        <v>45989</v>
      </c>
    </row>
    <row r="2016" spans="1:20" hidden="1" x14ac:dyDescent="0.25">
      <c r="A2016" s="15">
        <v>26234410</v>
      </c>
      <c r="J2016" s="15" t="str">
        <f>VLOOKUP(A2016,sinap!$A$2:$R$9000,2,FALSE)</f>
        <v>M</v>
      </c>
      <c r="K2016" s="15" t="str">
        <f>VLOOKUP(A2016,sinap!$A$2:$R$9000,3,FALSE)</f>
        <v>TERNERO</v>
      </c>
      <c r="L2016" s="15" t="str">
        <f>VLOOKUP(A2016,sinap!$A$2:$R$9000,4,FALSE)</f>
        <v>ANGUS NEGRO</v>
      </c>
      <c r="M2016" s="15" t="str">
        <f>VLOOKUP(A2016,sinap!$A$2:$R$9000,5,FALSE)</f>
        <v>0 años 4 meses</v>
      </c>
      <c r="N2016" s="15" t="str">
        <f>VLOOKUP(A2016,sinap!$A$2:$R$9000,6,FALSE)</f>
        <v>11-09-2025</v>
      </c>
      <c r="O2016" s="15" t="str">
        <f>VLOOKUP(A2016,sinap!$A$2:$R$9000,7,FALSE)</f>
        <v>Vivo</v>
      </c>
      <c r="P2016" s="15" t="str">
        <f>VLOOKUP(A2016,sinap!$A$2:$R$9000,8,FALSE)</f>
        <v>11.1.01.0791</v>
      </c>
      <c r="Q2016" s="15" t="str">
        <f>VLOOKUP(A2016,sinap!$A$2:$R$9000,12,FALSE)</f>
        <v>11.1.01.0893</v>
      </c>
      <c r="R2016" s="15" t="str">
        <f>VLOOKUP(A2016,sinap!$A$2:$R$9000,16,FALSE)</f>
        <v>11.1.01.0893</v>
      </c>
      <c r="S2016" s="15" t="str">
        <f>VLOOKUP(A2016,sinap!$A$2:$Y$9000,20,FALSE)</f>
        <v>SI</v>
      </c>
      <c r="T2016" s="16">
        <v>45989</v>
      </c>
    </row>
    <row r="2017" spans="1:20" hidden="1" x14ac:dyDescent="0.25">
      <c r="A2017" s="15">
        <v>26234411</v>
      </c>
      <c r="J2017" s="15" t="str">
        <f>VLOOKUP(A2017,sinap!$A$2:$R$9000,2,FALSE)</f>
        <v>M</v>
      </c>
      <c r="K2017" s="15" t="str">
        <f>VLOOKUP(A2017,sinap!$A$2:$R$9000,3,FALSE)</f>
        <v>TERNERO</v>
      </c>
      <c r="L2017" s="15" t="str">
        <f>VLOOKUP(A2017,sinap!$A$2:$R$9000,4,FALSE)</f>
        <v>ANGUS NEGRO</v>
      </c>
      <c r="M2017" s="15" t="str">
        <f>VLOOKUP(A2017,sinap!$A$2:$R$9000,5,FALSE)</f>
        <v>0 años 4 meses</v>
      </c>
      <c r="N2017" s="15" t="str">
        <f>VLOOKUP(A2017,sinap!$A$2:$R$9000,6,FALSE)</f>
        <v>11-09-2025</v>
      </c>
      <c r="O2017" s="15" t="str">
        <f>VLOOKUP(A2017,sinap!$A$2:$R$9000,7,FALSE)</f>
        <v>Vivo</v>
      </c>
      <c r="P2017" s="15" t="str">
        <f>VLOOKUP(A2017,sinap!$A$2:$R$9000,8,FALSE)</f>
        <v>11.1.01.0791</v>
      </c>
      <c r="Q2017" s="15" t="str">
        <f>VLOOKUP(A2017,sinap!$A$2:$R$9000,12,FALSE)</f>
        <v>11.1.01.0893</v>
      </c>
      <c r="R2017" s="15" t="str">
        <f>VLOOKUP(A2017,sinap!$A$2:$R$9000,16,FALSE)</f>
        <v>11.1.01.0893</v>
      </c>
      <c r="S2017" s="15" t="str">
        <f>VLOOKUP(A2017,sinap!$A$2:$Y$9000,20,FALSE)</f>
        <v>SI</v>
      </c>
      <c r="T2017" s="16">
        <v>45989</v>
      </c>
    </row>
    <row r="2018" spans="1:20" hidden="1" x14ac:dyDescent="0.25">
      <c r="A2018" s="15">
        <v>26234412</v>
      </c>
      <c r="J2018" s="15" t="str">
        <f>VLOOKUP(A2018,sinap!$A$2:$R$9000,2,FALSE)</f>
        <v>H</v>
      </c>
      <c r="K2018" s="15" t="str">
        <f>VLOOKUP(A2018,sinap!$A$2:$R$9000,3,FALSE)</f>
        <v>TERNERA</v>
      </c>
      <c r="L2018" s="15" t="str">
        <f>VLOOKUP(A2018,sinap!$A$2:$R$9000,4,FALSE)</f>
        <v>ANGUS NEGRO</v>
      </c>
      <c r="M2018" s="15" t="str">
        <f>VLOOKUP(A2018,sinap!$A$2:$R$9000,5,FALSE)</f>
        <v>0 años 4 meses</v>
      </c>
      <c r="N2018" s="15" t="str">
        <f>VLOOKUP(A2018,sinap!$A$2:$R$9000,6,FALSE)</f>
        <v>11-09-2025</v>
      </c>
      <c r="O2018" s="15" t="str">
        <f>VLOOKUP(A2018,sinap!$A$2:$R$9000,7,FALSE)</f>
        <v>Vivo</v>
      </c>
      <c r="P2018" s="15" t="str">
        <f>VLOOKUP(A2018,sinap!$A$2:$R$9000,8,FALSE)</f>
        <v>11.1.01.0791</v>
      </c>
      <c r="Q2018" s="15" t="str">
        <f>VLOOKUP(A2018,sinap!$A$2:$R$9000,12,FALSE)</f>
        <v>11.1.01.0893</v>
      </c>
      <c r="R2018" s="15" t="str">
        <f>VLOOKUP(A2018,sinap!$A$2:$R$9000,16,FALSE)</f>
        <v>11.1.01.0893</v>
      </c>
      <c r="S2018" s="15" t="str">
        <f>VLOOKUP(A2018,sinap!$A$2:$Y$9000,20,FALSE)</f>
        <v>SI</v>
      </c>
      <c r="T2018" s="16">
        <v>45989</v>
      </c>
    </row>
    <row r="2019" spans="1:20" hidden="1" x14ac:dyDescent="0.25">
      <c r="A2019" s="15">
        <v>26234413</v>
      </c>
      <c r="J2019" s="15" t="str">
        <f>VLOOKUP(A2019,sinap!$A$2:$R$9000,2,FALSE)</f>
        <v>H</v>
      </c>
      <c r="K2019" s="15" t="str">
        <f>VLOOKUP(A2019,sinap!$A$2:$R$9000,3,FALSE)</f>
        <v>TERNERA</v>
      </c>
      <c r="L2019" s="15" t="str">
        <f>VLOOKUP(A2019,sinap!$A$2:$R$9000,4,FALSE)</f>
        <v>ANGUS NEGRO</v>
      </c>
      <c r="M2019" s="15" t="str">
        <f>VLOOKUP(A2019,sinap!$A$2:$R$9000,5,FALSE)</f>
        <v>0 años 4 meses</v>
      </c>
      <c r="N2019" s="15" t="str">
        <f>VLOOKUP(A2019,sinap!$A$2:$R$9000,6,FALSE)</f>
        <v>11-09-2025</v>
      </c>
      <c r="O2019" s="15" t="str">
        <f>VLOOKUP(A2019,sinap!$A$2:$R$9000,7,FALSE)</f>
        <v>Vivo</v>
      </c>
      <c r="P2019" s="15" t="str">
        <f>VLOOKUP(A2019,sinap!$A$2:$R$9000,8,FALSE)</f>
        <v>11.2.01.0038</v>
      </c>
      <c r="Q2019" s="15" t="str">
        <f>VLOOKUP(A2019,sinap!$A$2:$R$9000,12,FALSE)</f>
        <v>11.1.01.0893</v>
      </c>
      <c r="R2019" s="15" t="str">
        <f>VLOOKUP(A2019,sinap!$A$2:$R$9000,16,FALSE)</f>
        <v>11.1.01.0893</v>
      </c>
      <c r="S2019" s="15" t="str">
        <f>VLOOKUP(A2019,sinap!$A$2:$Y$9000,20,FALSE)</f>
        <v>SI</v>
      </c>
      <c r="T2019" s="16">
        <v>45989</v>
      </c>
    </row>
    <row r="2020" spans="1:20" hidden="1" x14ac:dyDescent="0.25">
      <c r="A2020" s="15">
        <v>26234414</v>
      </c>
      <c r="J2020" s="15" t="str">
        <f>VLOOKUP(A2020,sinap!$A$2:$R$9000,2,FALSE)</f>
        <v>H</v>
      </c>
      <c r="K2020" s="15" t="str">
        <f>VLOOKUP(A2020,sinap!$A$2:$R$9000,3,FALSE)</f>
        <v>TERNERA</v>
      </c>
      <c r="L2020" s="15" t="str">
        <f>VLOOKUP(A2020,sinap!$A$2:$R$9000,4,FALSE)</f>
        <v>ANGUS NEGRO</v>
      </c>
      <c r="M2020" s="15" t="str">
        <f>VLOOKUP(A2020,sinap!$A$2:$R$9000,5,FALSE)</f>
        <v>0 años 4 meses</v>
      </c>
      <c r="N2020" s="15" t="str">
        <f>VLOOKUP(A2020,sinap!$A$2:$R$9000,6,FALSE)</f>
        <v>11-09-2025</v>
      </c>
      <c r="O2020" s="15" t="str">
        <f>VLOOKUP(A2020,sinap!$A$2:$R$9000,7,FALSE)</f>
        <v>Vivo</v>
      </c>
      <c r="P2020" s="15" t="str">
        <f>VLOOKUP(A2020,sinap!$A$2:$R$9000,8,FALSE)</f>
        <v>11.2.01.0038</v>
      </c>
      <c r="Q2020" s="15" t="str">
        <f>VLOOKUP(A2020,sinap!$A$2:$R$9000,12,FALSE)</f>
        <v>11.1.01.0893</v>
      </c>
      <c r="R2020" s="15" t="str">
        <f>VLOOKUP(A2020,sinap!$A$2:$R$9000,16,FALSE)</f>
        <v>11.1.01.0893</v>
      </c>
      <c r="S2020" s="15" t="str">
        <f>VLOOKUP(A2020,sinap!$A$2:$Y$9000,20,FALSE)</f>
        <v>SI</v>
      </c>
      <c r="T2020" s="16">
        <v>45989</v>
      </c>
    </row>
    <row r="2021" spans="1:20" hidden="1" x14ac:dyDescent="0.25">
      <c r="A2021" s="15">
        <v>26234415</v>
      </c>
      <c r="J2021" s="15" t="str">
        <f>VLOOKUP(A2021,sinap!$A$2:$R$9000,2,FALSE)</f>
        <v>M</v>
      </c>
      <c r="K2021" s="15" t="str">
        <f>VLOOKUP(A2021,sinap!$A$2:$R$9000,3,FALSE)</f>
        <v>TERNERO</v>
      </c>
      <c r="L2021" s="15" t="str">
        <f>VLOOKUP(A2021,sinap!$A$2:$R$9000,4,FALSE)</f>
        <v>ANGUS NEGRO</v>
      </c>
      <c r="M2021" s="15" t="str">
        <f>VLOOKUP(A2021,sinap!$A$2:$R$9000,5,FALSE)</f>
        <v>0 años 4 meses</v>
      </c>
      <c r="N2021" s="15" t="str">
        <f>VLOOKUP(A2021,sinap!$A$2:$R$9000,6,FALSE)</f>
        <v>11-09-2025</v>
      </c>
      <c r="O2021" s="15" t="str">
        <f>VLOOKUP(A2021,sinap!$A$2:$R$9000,7,FALSE)</f>
        <v>Vivo</v>
      </c>
      <c r="P2021" s="15" t="str">
        <f>VLOOKUP(A2021,sinap!$A$2:$R$9000,8,FALSE)</f>
        <v>11.1.01.0791</v>
      </c>
      <c r="Q2021" s="15" t="str">
        <f>VLOOKUP(A2021,sinap!$A$2:$R$9000,12,FALSE)</f>
        <v>11.1.01.0893</v>
      </c>
      <c r="R2021" s="15" t="str">
        <f>VLOOKUP(A2021,sinap!$A$2:$R$9000,16,FALSE)</f>
        <v>11.1.01.0893</v>
      </c>
      <c r="S2021" s="15" t="str">
        <f>VLOOKUP(A2021,sinap!$A$2:$Y$9000,20,FALSE)</f>
        <v>SI</v>
      </c>
      <c r="T2021" s="16">
        <v>45989</v>
      </c>
    </row>
    <row r="2022" spans="1:20" hidden="1" x14ac:dyDescent="0.25">
      <c r="A2022" s="15">
        <v>26234416</v>
      </c>
      <c r="J2022" s="15" t="str">
        <f>VLOOKUP(A2022,sinap!$A$2:$R$9000,2,FALSE)</f>
        <v>M</v>
      </c>
      <c r="K2022" s="15" t="str">
        <f>VLOOKUP(A2022,sinap!$A$2:$R$9000,3,FALSE)</f>
        <v>TERNERO</v>
      </c>
      <c r="L2022" s="15" t="str">
        <f>VLOOKUP(A2022,sinap!$A$2:$R$9000,4,FALSE)</f>
        <v>ANGUS NEGRO</v>
      </c>
      <c r="M2022" s="15" t="str">
        <f>VLOOKUP(A2022,sinap!$A$2:$R$9000,5,FALSE)</f>
        <v>0 años 4 meses</v>
      </c>
      <c r="N2022" s="15" t="str">
        <f>VLOOKUP(A2022,sinap!$A$2:$R$9000,6,FALSE)</f>
        <v>11-09-2025</v>
      </c>
      <c r="O2022" s="15" t="str">
        <f>VLOOKUP(A2022,sinap!$A$2:$R$9000,7,FALSE)</f>
        <v>Vivo</v>
      </c>
      <c r="P2022" s="15" t="str">
        <f>VLOOKUP(A2022,sinap!$A$2:$R$9000,8,FALSE)</f>
        <v>11.1.01.0791</v>
      </c>
      <c r="Q2022" s="15" t="str">
        <f>VLOOKUP(A2022,sinap!$A$2:$R$9000,12,FALSE)</f>
        <v>11.1.01.0893</v>
      </c>
      <c r="R2022" s="15" t="str">
        <f>VLOOKUP(A2022,sinap!$A$2:$R$9000,16,FALSE)</f>
        <v>11.1.01.0893</v>
      </c>
      <c r="S2022" s="15" t="str">
        <f>VLOOKUP(A2022,sinap!$A$2:$Y$9000,20,FALSE)</f>
        <v>SI</v>
      </c>
      <c r="T2022" s="16">
        <v>45989</v>
      </c>
    </row>
    <row r="2023" spans="1:20" hidden="1" x14ac:dyDescent="0.25">
      <c r="A2023" s="15">
        <v>26234417</v>
      </c>
      <c r="J2023" s="15" t="str">
        <f>VLOOKUP(A2023,sinap!$A$2:$R$9000,2,FALSE)</f>
        <v>H</v>
      </c>
      <c r="K2023" s="15" t="str">
        <f>VLOOKUP(A2023,sinap!$A$2:$R$9000,3,FALSE)</f>
        <v>TERNERA</v>
      </c>
      <c r="L2023" s="15" t="str">
        <f>VLOOKUP(A2023,sinap!$A$2:$R$9000,4,FALSE)</f>
        <v>ANGUS NEGRO</v>
      </c>
      <c r="M2023" s="15" t="str">
        <f>VLOOKUP(A2023,sinap!$A$2:$R$9000,5,FALSE)</f>
        <v>0 años 4 meses</v>
      </c>
      <c r="N2023" s="15" t="str">
        <f>VLOOKUP(A2023,sinap!$A$2:$R$9000,6,FALSE)</f>
        <v>11-09-2025</v>
      </c>
      <c r="O2023" s="15" t="str">
        <f>VLOOKUP(A2023,sinap!$A$2:$R$9000,7,FALSE)</f>
        <v>Vivo</v>
      </c>
      <c r="P2023" s="15" t="str">
        <f>VLOOKUP(A2023,sinap!$A$2:$R$9000,8,FALSE)</f>
        <v>11.2.01.0038</v>
      </c>
      <c r="Q2023" s="15" t="str">
        <f>VLOOKUP(A2023,sinap!$A$2:$R$9000,12,FALSE)</f>
        <v>11.1.01.0893</v>
      </c>
      <c r="R2023" s="15" t="str">
        <f>VLOOKUP(A2023,sinap!$A$2:$R$9000,16,FALSE)</f>
        <v>11.1.01.0893</v>
      </c>
      <c r="S2023" s="15" t="str">
        <f>VLOOKUP(A2023,sinap!$A$2:$Y$9000,20,FALSE)</f>
        <v>SI</v>
      </c>
      <c r="T2023" s="16">
        <v>45989</v>
      </c>
    </row>
    <row r="2024" spans="1:20" hidden="1" x14ac:dyDescent="0.25">
      <c r="A2024" s="15">
        <v>26234418</v>
      </c>
      <c r="J2024" s="15" t="str">
        <f>VLOOKUP(A2024,sinap!$A$2:$R$9000,2,FALSE)</f>
        <v>H</v>
      </c>
      <c r="K2024" s="15" t="str">
        <f>VLOOKUP(A2024,sinap!$A$2:$R$9000,3,FALSE)</f>
        <v>TERNERA</v>
      </c>
      <c r="L2024" s="15" t="str">
        <f>VLOOKUP(A2024,sinap!$A$2:$R$9000,4,FALSE)</f>
        <v>ANGUS NEGRO</v>
      </c>
      <c r="M2024" s="15" t="str">
        <f>VLOOKUP(A2024,sinap!$A$2:$R$9000,5,FALSE)</f>
        <v>0 años 4 meses</v>
      </c>
      <c r="N2024" s="15" t="str">
        <f>VLOOKUP(A2024,sinap!$A$2:$R$9000,6,FALSE)</f>
        <v>11-09-2025</v>
      </c>
      <c r="O2024" s="15" t="str">
        <f>VLOOKUP(A2024,sinap!$A$2:$R$9000,7,FALSE)</f>
        <v>Vivo</v>
      </c>
      <c r="P2024" s="15" t="str">
        <f>VLOOKUP(A2024,sinap!$A$2:$R$9000,8,FALSE)</f>
        <v>11.1.01.0791</v>
      </c>
      <c r="Q2024" s="15" t="str">
        <f>VLOOKUP(A2024,sinap!$A$2:$R$9000,12,FALSE)</f>
        <v>11.1.01.0893</v>
      </c>
      <c r="R2024" s="15" t="str">
        <f>VLOOKUP(A2024,sinap!$A$2:$R$9000,16,FALSE)</f>
        <v>11.1.01.0893</v>
      </c>
      <c r="S2024" s="15" t="str">
        <f>VLOOKUP(A2024,sinap!$A$2:$Y$9000,20,FALSE)</f>
        <v>SI</v>
      </c>
      <c r="T2024" s="16">
        <v>45989</v>
      </c>
    </row>
    <row r="2025" spans="1:20" hidden="1" x14ac:dyDescent="0.25">
      <c r="A2025" s="15">
        <v>26234419</v>
      </c>
      <c r="J2025" s="15" t="str">
        <f>VLOOKUP(A2025,sinap!$A$2:$R$9000,2,FALSE)</f>
        <v>H</v>
      </c>
      <c r="K2025" s="15" t="str">
        <f>VLOOKUP(A2025,sinap!$A$2:$R$9000,3,FALSE)</f>
        <v>TERNERA</v>
      </c>
      <c r="L2025" s="15" t="str">
        <f>VLOOKUP(A2025,sinap!$A$2:$R$9000,4,FALSE)</f>
        <v>ANGUS ROJO</v>
      </c>
      <c r="M2025" s="15" t="str">
        <f>VLOOKUP(A2025,sinap!$A$2:$R$9000,5,FALSE)</f>
        <v>0 años 4 meses</v>
      </c>
      <c r="N2025" s="15" t="str">
        <f>VLOOKUP(A2025,sinap!$A$2:$R$9000,6,FALSE)</f>
        <v>11-09-2025</v>
      </c>
      <c r="O2025" s="15" t="str">
        <f>VLOOKUP(A2025,sinap!$A$2:$R$9000,7,FALSE)</f>
        <v>Vivo</v>
      </c>
      <c r="P2025" s="15" t="str">
        <f>VLOOKUP(A2025,sinap!$A$2:$R$9000,8,FALSE)</f>
        <v>11.1.01.0791</v>
      </c>
      <c r="Q2025" s="15" t="str">
        <f>VLOOKUP(A2025,sinap!$A$2:$R$9000,12,FALSE)</f>
        <v>11.1.01.0893</v>
      </c>
      <c r="R2025" s="15" t="str">
        <f>VLOOKUP(A2025,sinap!$A$2:$R$9000,16,FALSE)</f>
        <v>11.1.01.0893</v>
      </c>
      <c r="S2025" s="15" t="str">
        <f>VLOOKUP(A2025,sinap!$A$2:$Y$9000,20,FALSE)</f>
        <v>SI</v>
      </c>
      <c r="T2025" s="16">
        <v>45989</v>
      </c>
    </row>
    <row r="2026" spans="1:20" hidden="1" x14ac:dyDescent="0.25">
      <c r="A2026" s="15">
        <v>26234420</v>
      </c>
      <c r="J2026" s="15" t="str">
        <f>VLOOKUP(A2026,sinap!$A$2:$R$9000,2,FALSE)</f>
        <v>M</v>
      </c>
      <c r="K2026" s="15" t="str">
        <f>VLOOKUP(A2026,sinap!$A$2:$R$9000,3,FALSE)</f>
        <v>TERNERO</v>
      </c>
      <c r="L2026" s="15" t="str">
        <f>VLOOKUP(A2026,sinap!$A$2:$R$9000,4,FALSE)</f>
        <v>ANGUS NEGRO</v>
      </c>
      <c r="M2026" s="15" t="str">
        <f>VLOOKUP(A2026,sinap!$A$2:$R$9000,5,FALSE)</f>
        <v>0 años 4 meses</v>
      </c>
      <c r="N2026" s="15" t="str">
        <f>VLOOKUP(A2026,sinap!$A$2:$R$9000,6,FALSE)</f>
        <v>11-09-2025</v>
      </c>
      <c r="O2026" s="15" t="str">
        <f>VLOOKUP(A2026,sinap!$A$2:$R$9000,7,FALSE)</f>
        <v>Vivo</v>
      </c>
      <c r="P2026" s="15" t="str">
        <f>VLOOKUP(A2026,sinap!$A$2:$R$9000,8,FALSE)</f>
        <v>11.1.01.0791</v>
      </c>
      <c r="Q2026" s="15" t="str">
        <f>VLOOKUP(A2026,sinap!$A$2:$R$9000,12,FALSE)</f>
        <v>11.1.01.0893</v>
      </c>
      <c r="R2026" s="15" t="str">
        <f>VLOOKUP(A2026,sinap!$A$2:$R$9000,16,FALSE)</f>
        <v>11.1.01.0893</v>
      </c>
      <c r="S2026" s="15" t="str">
        <f>VLOOKUP(A2026,sinap!$A$2:$Y$9000,20,FALSE)</f>
        <v>SI</v>
      </c>
      <c r="T2026" s="16">
        <v>45989</v>
      </c>
    </row>
    <row r="2027" spans="1:20" hidden="1" x14ac:dyDescent="0.25">
      <c r="A2027" s="15">
        <v>26234421</v>
      </c>
      <c r="J2027" s="15" t="str">
        <f>VLOOKUP(A2027,sinap!$A$2:$R$9000,2,FALSE)</f>
        <v>M</v>
      </c>
      <c r="K2027" s="15" t="str">
        <f>VLOOKUP(A2027,sinap!$A$2:$R$9000,3,FALSE)</f>
        <v>TERNERO</v>
      </c>
      <c r="L2027" s="15" t="str">
        <f>VLOOKUP(A2027,sinap!$A$2:$R$9000,4,FALSE)</f>
        <v>ANGUS NEGRO</v>
      </c>
      <c r="M2027" s="15" t="str">
        <f>VLOOKUP(A2027,sinap!$A$2:$R$9000,5,FALSE)</f>
        <v>0 años 4 meses</v>
      </c>
      <c r="N2027" s="15" t="str">
        <f>VLOOKUP(A2027,sinap!$A$2:$R$9000,6,FALSE)</f>
        <v>11-09-2025</v>
      </c>
      <c r="O2027" s="15" t="str">
        <f>VLOOKUP(A2027,sinap!$A$2:$R$9000,7,FALSE)</f>
        <v>Vivo</v>
      </c>
      <c r="P2027" s="15" t="str">
        <f>VLOOKUP(A2027,sinap!$A$2:$R$9000,8,FALSE)</f>
        <v>11.1.01.0791</v>
      </c>
      <c r="Q2027" s="15" t="str">
        <f>VLOOKUP(A2027,sinap!$A$2:$R$9000,12,FALSE)</f>
        <v>11.1.01.0893</v>
      </c>
      <c r="R2027" s="15" t="str">
        <f>VLOOKUP(A2027,sinap!$A$2:$R$9000,16,FALSE)</f>
        <v>11.1.01.0893</v>
      </c>
      <c r="S2027" s="15" t="str">
        <f>VLOOKUP(A2027,sinap!$A$2:$Y$9000,20,FALSE)</f>
        <v>SI</v>
      </c>
      <c r="T2027" s="16">
        <v>45989</v>
      </c>
    </row>
    <row r="2028" spans="1:20" hidden="1" x14ac:dyDescent="0.25">
      <c r="A2028" s="15">
        <v>26234422</v>
      </c>
      <c r="J2028" s="15" t="str">
        <f>VLOOKUP(A2028,sinap!$A$2:$R$9000,2,FALSE)</f>
        <v>H</v>
      </c>
      <c r="K2028" s="15" t="str">
        <f>VLOOKUP(A2028,sinap!$A$2:$R$9000,3,FALSE)</f>
        <v>TERNERA</v>
      </c>
      <c r="L2028" s="15" t="str">
        <f>VLOOKUP(A2028,sinap!$A$2:$R$9000,4,FALSE)</f>
        <v>ANGUS ROJO</v>
      </c>
      <c r="M2028" s="15" t="str">
        <f>VLOOKUP(A2028,sinap!$A$2:$R$9000,5,FALSE)</f>
        <v>0 años 4 meses</v>
      </c>
      <c r="N2028" s="15" t="str">
        <f>VLOOKUP(A2028,sinap!$A$2:$R$9000,6,FALSE)</f>
        <v>11-09-2025</v>
      </c>
      <c r="O2028" s="15" t="str">
        <f>VLOOKUP(A2028,sinap!$A$2:$R$9000,7,FALSE)</f>
        <v>Vivo</v>
      </c>
      <c r="P2028" s="15" t="str">
        <f>VLOOKUP(A2028,sinap!$A$2:$R$9000,8,FALSE)</f>
        <v>11.2.01.0038</v>
      </c>
      <c r="Q2028" s="15" t="str">
        <f>VLOOKUP(A2028,sinap!$A$2:$R$9000,12,FALSE)</f>
        <v>11.1.01.0893</v>
      </c>
      <c r="R2028" s="15" t="str">
        <f>VLOOKUP(A2028,sinap!$A$2:$R$9000,16,FALSE)</f>
        <v>11.1.01.0893</v>
      </c>
      <c r="S2028" s="15" t="str">
        <f>VLOOKUP(A2028,sinap!$A$2:$Y$9000,20,FALSE)</f>
        <v>SI</v>
      </c>
      <c r="T2028" s="16">
        <v>45989</v>
      </c>
    </row>
    <row r="2029" spans="1:20" hidden="1" x14ac:dyDescent="0.25">
      <c r="A2029" s="15">
        <v>26234423</v>
      </c>
      <c r="J2029" s="15" t="str">
        <f>VLOOKUP(A2029,sinap!$A$2:$R$9000,2,FALSE)</f>
        <v>M</v>
      </c>
      <c r="K2029" s="15" t="str">
        <f>VLOOKUP(A2029,sinap!$A$2:$R$9000,3,FALSE)</f>
        <v>TERNERO</v>
      </c>
      <c r="L2029" s="15" t="str">
        <f>VLOOKUP(A2029,sinap!$A$2:$R$9000,4,FALSE)</f>
        <v>ANGUS NEGRO</v>
      </c>
      <c r="M2029" s="15" t="str">
        <f>VLOOKUP(A2029,sinap!$A$2:$R$9000,5,FALSE)</f>
        <v>0 años 4 meses</v>
      </c>
      <c r="N2029" s="15" t="str">
        <f>VLOOKUP(A2029,sinap!$A$2:$R$9000,6,FALSE)</f>
        <v>11-09-2025</v>
      </c>
      <c r="O2029" s="15" t="str">
        <f>VLOOKUP(A2029,sinap!$A$2:$R$9000,7,FALSE)</f>
        <v>Vivo</v>
      </c>
      <c r="P2029" s="15" t="str">
        <f>VLOOKUP(A2029,sinap!$A$2:$R$9000,8,FALSE)</f>
        <v>11.1.01.0791</v>
      </c>
      <c r="Q2029" s="15" t="str">
        <f>VLOOKUP(A2029,sinap!$A$2:$R$9000,12,FALSE)</f>
        <v>11.1.01.0893</v>
      </c>
      <c r="R2029" s="15" t="str">
        <f>VLOOKUP(A2029,sinap!$A$2:$R$9000,16,FALSE)</f>
        <v>11.1.01.0893</v>
      </c>
      <c r="S2029" s="15" t="str">
        <f>VLOOKUP(A2029,sinap!$A$2:$Y$9000,20,FALSE)</f>
        <v>SI</v>
      </c>
      <c r="T2029" s="16">
        <v>45989</v>
      </c>
    </row>
    <row r="2030" spans="1:20" hidden="1" x14ac:dyDescent="0.25">
      <c r="A2030" s="15">
        <v>26234424</v>
      </c>
      <c r="J2030" s="15" t="str">
        <f>VLOOKUP(A2030,sinap!$A$2:$R$9000,2,FALSE)</f>
        <v>H</v>
      </c>
      <c r="K2030" s="15" t="str">
        <f>VLOOKUP(A2030,sinap!$A$2:$R$9000,3,FALSE)</f>
        <v>TERNERA</v>
      </c>
      <c r="L2030" s="15" t="str">
        <f>VLOOKUP(A2030,sinap!$A$2:$R$9000,4,FALSE)</f>
        <v>ANGUS NEGRO</v>
      </c>
      <c r="M2030" s="15" t="str">
        <f>VLOOKUP(A2030,sinap!$A$2:$R$9000,5,FALSE)</f>
        <v>0 años 4 meses</v>
      </c>
      <c r="N2030" s="15" t="str">
        <f>VLOOKUP(A2030,sinap!$A$2:$R$9000,6,FALSE)</f>
        <v>11-09-2025</v>
      </c>
      <c r="O2030" s="15" t="str">
        <f>VLOOKUP(A2030,sinap!$A$2:$R$9000,7,FALSE)</f>
        <v>Vivo</v>
      </c>
      <c r="P2030" s="15" t="str">
        <f>VLOOKUP(A2030,sinap!$A$2:$R$9000,8,FALSE)</f>
        <v>11.2.01.0038</v>
      </c>
      <c r="Q2030" s="15" t="str">
        <f>VLOOKUP(A2030,sinap!$A$2:$R$9000,12,FALSE)</f>
        <v>11.1.01.0893</v>
      </c>
      <c r="R2030" s="15" t="str">
        <f>VLOOKUP(A2030,sinap!$A$2:$R$9000,16,FALSE)</f>
        <v>11.1.01.0893</v>
      </c>
      <c r="S2030" s="15" t="str">
        <f>VLOOKUP(A2030,sinap!$A$2:$Y$9000,20,FALSE)</f>
        <v>SI</v>
      </c>
      <c r="T2030" s="16">
        <v>45989</v>
      </c>
    </row>
    <row r="2031" spans="1:20" hidden="1" x14ac:dyDescent="0.25">
      <c r="A2031" s="15">
        <v>26234425</v>
      </c>
      <c r="J2031" s="15" t="str">
        <f>VLOOKUP(A2031,sinap!$A$2:$R$9000,2,FALSE)</f>
        <v>H</v>
      </c>
      <c r="K2031" s="15" t="str">
        <f>VLOOKUP(A2031,sinap!$A$2:$R$9000,3,FALSE)</f>
        <v>TERNERA</v>
      </c>
      <c r="L2031" s="15" t="str">
        <f>VLOOKUP(A2031,sinap!$A$2:$R$9000,4,FALSE)</f>
        <v>ANGUS NEGRO</v>
      </c>
      <c r="M2031" s="15" t="str">
        <f>VLOOKUP(A2031,sinap!$A$2:$R$9000,5,FALSE)</f>
        <v>0 años 4 meses</v>
      </c>
      <c r="N2031" s="15" t="str">
        <f>VLOOKUP(A2031,sinap!$A$2:$R$9000,6,FALSE)</f>
        <v>11-09-2025</v>
      </c>
      <c r="O2031" s="15" t="str">
        <f>VLOOKUP(A2031,sinap!$A$2:$R$9000,7,FALSE)</f>
        <v>Vivo</v>
      </c>
      <c r="P2031" s="15" t="str">
        <f>VLOOKUP(A2031,sinap!$A$2:$R$9000,8,FALSE)</f>
        <v>11.1.01.0791</v>
      </c>
      <c r="Q2031" s="15" t="str">
        <f>VLOOKUP(A2031,sinap!$A$2:$R$9000,12,FALSE)</f>
        <v>11.1.01.0893</v>
      </c>
      <c r="R2031" s="15" t="str">
        <f>VLOOKUP(A2031,sinap!$A$2:$R$9000,16,FALSE)</f>
        <v>11.1.01.0893</v>
      </c>
      <c r="S2031" s="15" t="str">
        <f>VLOOKUP(A2031,sinap!$A$2:$Y$9000,20,FALSE)</f>
        <v>SI</v>
      </c>
      <c r="T2031" s="16">
        <v>45989</v>
      </c>
    </row>
    <row r="2032" spans="1:20" hidden="1" x14ac:dyDescent="0.25">
      <c r="A2032" s="15">
        <v>26234426</v>
      </c>
      <c r="J2032" s="15" t="str">
        <f>VLOOKUP(A2032,sinap!$A$2:$R$9000,2,FALSE)</f>
        <v>H</v>
      </c>
      <c r="K2032" s="15" t="str">
        <f>VLOOKUP(A2032,sinap!$A$2:$R$9000,3,FALSE)</f>
        <v>TERNERA</v>
      </c>
      <c r="L2032" s="15" t="str">
        <f>VLOOKUP(A2032,sinap!$A$2:$R$9000,4,FALSE)</f>
        <v>ANGUS NEGRO</v>
      </c>
      <c r="M2032" s="15" t="str">
        <f>VLOOKUP(A2032,sinap!$A$2:$R$9000,5,FALSE)</f>
        <v>0 años 4 meses</v>
      </c>
      <c r="N2032" s="15" t="str">
        <f>VLOOKUP(A2032,sinap!$A$2:$R$9000,6,FALSE)</f>
        <v>11-09-2025</v>
      </c>
      <c r="O2032" s="15" t="str">
        <f>VLOOKUP(A2032,sinap!$A$2:$R$9000,7,FALSE)</f>
        <v>Vivo</v>
      </c>
      <c r="P2032" s="15" t="str">
        <f>VLOOKUP(A2032,sinap!$A$2:$R$9000,8,FALSE)</f>
        <v>11.2.01.0038</v>
      </c>
      <c r="Q2032" s="15" t="str">
        <f>VLOOKUP(A2032,sinap!$A$2:$R$9000,12,FALSE)</f>
        <v>11.1.01.0893</v>
      </c>
      <c r="R2032" s="15" t="str">
        <f>VLOOKUP(A2032,sinap!$A$2:$R$9000,16,FALSE)</f>
        <v>11.1.01.0893</v>
      </c>
      <c r="S2032" s="15" t="str">
        <f>VLOOKUP(A2032,sinap!$A$2:$Y$9000,20,FALSE)</f>
        <v>SI</v>
      </c>
      <c r="T2032" s="16">
        <v>45989</v>
      </c>
    </row>
    <row r="2033" spans="1:20" hidden="1" x14ac:dyDescent="0.25">
      <c r="A2033" s="15">
        <v>26234427</v>
      </c>
      <c r="J2033" s="15" t="str">
        <f>VLOOKUP(A2033,sinap!$A$2:$R$9000,2,FALSE)</f>
        <v>M</v>
      </c>
      <c r="K2033" s="15" t="str">
        <f>VLOOKUP(A2033,sinap!$A$2:$R$9000,3,FALSE)</f>
        <v>TERNERO</v>
      </c>
      <c r="L2033" s="15" t="str">
        <f>VLOOKUP(A2033,sinap!$A$2:$R$9000,4,FALSE)</f>
        <v>ANGUS NEGRO</v>
      </c>
      <c r="M2033" s="15" t="str">
        <f>VLOOKUP(A2033,sinap!$A$2:$R$9000,5,FALSE)</f>
        <v>0 años 4 meses</v>
      </c>
      <c r="N2033" s="15" t="str">
        <f>VLOOKUP(A2033,sinap!$A$2:$R$9000,6,FALSE)</f>
        <v>11-09-2025</v>
      </c>
      <c r="O2033" s="15" t="str">
        <f>VLOOKUP(A2033,sinap!$A$2:$R$9000,7,FALSE)</f>
        <v>Vivo</v>
      </c>
      <c r="P2033" s="15" t="str">
        <f>VLOOKUP(A2033,sinap!$A$2:$R$9000,8,FALSE)</f>
        <v>11.1.01.0791</v>
      </c>
      <c r="Q2033" s="15" t="str">
        <f>VLOOKUP(A2033,sinap!$A$2:$R$9000,12,FALSE)</f>
        <v>11.1.01.0893</v>
      </c>
      <c r="R2033" s="15" t="str">
        <f>VLOOKUP(A2033,sinap!$A$2:$R$9000,16,FALSE)</f>
        <v>11.1.01.0893</v>
      </c>
      <c r="S2033" s="15" t="str">
        <f>VLOOKUP(A2033,sinap!$A$2:$Y$9000,20,FALSE)</f>
        <v>SI</v>
      </c>
      <c r="T2033" s="16">
        <v>45989</v>
      </c>
    </row>
    <row r="2034" spans="1:20" hidden="1" x14ac:dyDescent="0.25">
      <c r="A2034" s="15">
        <v>26234428</v>
      </c>
      <c r="J2034" s="15" t="str">
        <f>VLOOKUP(A2034,sinap!$A$2:$R$9000,2,FALSE)</f>
        <v>H</v>
      </c>
      <c r="K2034" s="15" t="str">
        <f>VLOOKUP(A2034,sinap!$A$2:$R$9000,3,FALSE)</f>
        <v>TERNERA</v>
      </c>
      <c r="L2034" s="15" t="str">
        <f>VLOOKUP(A2034,sinap!$A$2:$R$9000,4,FALSE)</f>
        <v>ANGUS NEGRO</v>
      </c>
      <c r="M2034" s="15" t="str">
        <f>VLOOKUP(A2034,sinap!$A$2:$R$9000,5,FALSE)</f>
        <v>0 años 4 meses</v>
      </c>
      <c r="N2034" s="15" t="str">
        <f>VLOOKUP(A2034,sinap!$A$2:$R$9000,6,FALSE)</f>
        <v>11-09-2025</v>
      </c>
      <c r="O2034" s="15" t="str">
        <f>VLOOKUP(A2034,sinap!$A$2:$R$9000,7,FALSE)</f>
        <v>Vivo</v>
      </c>
      <c r="P2034" s="15" t="str">
        <f>VLOOKUP(A2034,sinap!$A$2:$R$9000,8,FALSE)</f>
        <v>11.2.01.0038</v>
      </c>
      <c r="Q2034" s="15" t="str">
        <f>VLOOKUP(A2034,sinap!$A$2:$R$9000,12,FALSE)</f>
        <v>11.1.01.0893</v>
      </c>
      <c r="R2034" s="15" t="str">
        <f>VLOOKUP(A2034,sinap!$A$2:$R$9000,16,FALSE)</f>
        <v>11.1.01.0893</v>
      </c>
      <c r="S2034" s="15" t="str">
        <f>VLOOKUP(A2034,sinap!$A$2:$Y$9000,20,FALSE)</f>
        <v>SI</v>
      </c>
      <c r="T2034" s="16">
        <v>45989</v>
      </c>
    </row>
    <row r="2035" spans="1:20" hidden="1" x14ac:dyDescent="0.25">
      <c r="A2035" s="15">
        <v>26234429</v>
      </c>
      <c r="J2035" s="15" t="str">
        <f>VLOOKUP(A2035,sinap!$A$2:$R$9000,2,FALSE)</f>
        <v>M</v>
      </c>
      <c r="K2035" s="15" t="str">
        <f>VLOOKUP(A2035,sinap!$A$2:$R$9000,3,FALSE)</f>
        <v>TERNERO</v>
      </c>
      <c r="L2035" s="15" t="str">
        <f>VLOOKUP(A2035,sinap!$A$2:$R$9000,4,FALSE)</f>
        <v>ANGUS NEGRO</v>
      </c>
      <c r="M2035" s="15" t="str">
        <f>VLOOKUP(A2035,sinap!$A$2:$R$9000,5,FALSE)</f>
        <v>0 años 4 meses</v>
      </c>
      <c r="N2035" s="15" t="str">
        <f>VLOOKUP(A2035,sinap!$A$2:$R$9000,6,FALSE)</f>
        <v>11-09-2025</v>
      </c>
      <c r="O2035" s="15" t="str">
        <f>VLOOKUP(A2035,sinap!$A$2:$R$9000,7,FALSE)</f>
        <v>Vivo</v>
      </c>
      <c r="P2035" s="15" t="str">
        <f>VLOOKUP(A2035,sinap!$A$2:$R$9000,8,FALSE)</f>
        <v>11.1.01.0791</v>
      </c>
      <c r="Q2035" s="15" t="str">
        <f>VLOOKUP(A2035,sinap!$A$2:$R$9000,12,FALSE)</f>
        <v>11.1.01.0893</v>
      </c>
      <c r="R2035" s="15" t="str">
        <f>VLOOKUP(A2035,sinap!$A$2:$R$9000,16,FALSE)</f>
        <v>11.1.01.0893</v>
      </c>
      <c r="S2035" s="15" t="str">
        <f>VLOOKUP(A2035,sinap!$A$2:$Y$9000,20,FALSE)</f>
        <v>SI</v>
      </c>
      <c r="T2035" s="16">
        <v>45989</v>
      </c>
    </row>
    <row r="2036" spans="1:20" hidden="1" x14ac:dyDescent="0.25">
      <c r="A2036" s="15">
        <v>26234430</v>
      </c>
      <c r="J2036" s="15" t="str">
        <f>VLOOKUP(A2036,sinap!$A$2:$R$9000,2,FALSE)</f>
        <v>M</v>
      </c>
      <c r="K2036" s="15" t="str">
        <f>VLOOKUP(A2036,sinap!$A$2:$R$9000,3,FALSE)</f>
        <v>TERNERO</v>
      </c>
      <c r="L2036" s="15" t="str">
        <f>VLOOKUP(A2036,sinap!$A$2:$R$9000,4,FALSE)</f>
        <v>ANGUS NEGRO</v>
      </c>
      <c r="M2036" s="15" t="str">
        <f>VLOOKUP(A2036,sinap!$A$2:$R$9000,5,FALSE)</f>
        <v>0 años 4 meses</v>
      </c>
      <c r="N2036" s="15" t="str">
        <f>VLOOKUP(A2036,sinap!$A$2:$R$9000,6,FALSE)</f>
        <v>11-09-2025</v>
      </c>
      <c r="O2036" s="15" t="str">
        <f>VLOOKUP(A2036,sinap!$A$2:$R$9000,7,FALSE)</f>
        <v>Vivo</v>
      </c>
      <c r="P2036" s="15" t="str">
        <f>VLOOKUP(A2036,sinap!$A$2:$R$9000,8,FALSE)</f>
        <v>11.1.01.0791</v>
      </c>
      <c r="Q2036" s="15" t="str">
        <f>VLOOKUP(A2036,sinap!$A$2:$R$9000,12,FALSE)</f>
        <v>11.1.01.0893</v>
      </c>
      <c r="R2036" s="15" t="str">
        <f>VLOOKUP(A2036,sinap!$A$2:$R$9000,16,FALSE)</f>
        <v>11.1.01.0893</v>
      </c>
      <c r="S2036" s="15" t="str">
        <f>VLOOKUP(A2036,sinap!$A$2:$Y$9000,20,FALSE)</f>
        <v>SI</v>
      </c>
      <c r="T2036" s="16">
        <v>45989</v>
      </c>
    </row>
    <row r="2037" spans="1:20" hidden="1" x14ac:dyDescent="0.25">
      <c r="A2037" s="15">
        <v>26234431</v>
      </c>
      <c r="J2037" s="15" t="str">
        <f>VLOOKUP(A2037,sinap!$A$2:$R$9000,2,FALSE)</f>
        <v>M</v>
      </c>
      <c r="K2037" s="15" t="str">
        <f>VLOOKUP(A2037,sinap!$A$2:$R$9000,3,FALSE)</f>
        <v>TERNERO</v>
      </c>
      <c r="L2037" s="15" t="str">
        <f>VLOOKUP(A2037,sinap!$A$2:$R$9000,4,FALSE)</f>
        <v>ANGUS NEGRO</v>
      </c>
      <c r="M2037" s="15" t="str">
        <f>VLOOKUP(A2037,sinap!$A$2:$R$9000,5,FALSE)</f>
        <v>0 años 4 meses</v>
      </c>
      <c r="N2037" s="15" t="str">
        <f>VLOOKUP(A2037,sinap!$A$2:$R$9000,6,FALSE)</f>
        <v>11-09-2025</v>
      </c>
      <c r="O2037" s="15" t="str">
        <f>VLOOKUP(A2037,sinap!$A$2:$R$9000,7,FALSE)</f>
        <v>Vivo</v>
      </c>
      <c r="P2037" s="15" t="str">
        <f>VLOOKUP(A2037,sinap!$A$2:$R$9000,8,FALSE)</f>
        <v>11.2.01.0038</v>
      </c>
      <c r="Q2037" s="15" t="str">
        <f>VLOOKUP(A2037,sinap!$A$2:$R$9000,12,FALSE)</f>
        <v>11.1.01.0893</v>
      </c>
      <c r="R2037" s="15" t="str">
        <f>VLOOKUP(A2037,sinap!$A$2:$R$9000,16,FALSE)</f>
        <v>11.1.01.0893</v>
      </c>
      <c r="S2037" s="15" t="str">
        <f>VLOOKUP(A2037,sinap!$A$2:$Y$9000,20,FALSE)</f>
        <v>SI</v>
      </c>
      <c r="T2037" s="16">
        <v>45989</v>
      </c>
    </row>
    <row r="2038" spans="1:20" hidden="1" x14ac:dyDescent="0.25">
      <c r="A2038" s="15">
        <v>26234432</v>
      </c>
      <c r="J2038" s="15" t="str">
        <f>VLOOKUP(A2038,sinap!$A$2:$R$9000,2,FALSE)</f>
        <v>H</v>
      </c>
      <c r="K2038" s="15" t="str">
        <f>VLOOKUP(A2038,sinap!$A$2:$R$9000,3,FALSE)</f>
        <v>TERNERA</v>
      </c>
      <c r="L2038" s="15" t="str">
        <f>VLOOKUP(A2038,sinap!$A$2:$R$9000,4,FALSE)</f>
        <v>ANGUS NEGRO</v>
      </c>
      <c r="M2038" s="15" t="str">
        <f>VLOOKUP(A2038,sinap!$A$2:$R$9000,5,FALSE)</f>
        <v>0 años 4 meses</v>
      </c>
      <c r="N2038" s="15" t="str">
        <f>VLOOKUP(A2038,sinap!$A$2:$R$9000,6,FALSE)</f>
        <v>11-09-2025</v>
      </c>
      <c r="O2038" s="15" t="str">
        <f>VLOOKUP(A2038,sinap!$A$2:$R$9000,7,FALSE)</f>
        <v>Vivo</v>
      </c>
      <c r="P2038" s="15" t="str">
        <f>VLOOKUP(A2038,sinap!$A$2:$R$9000,8,FALSE)</f>
        <v>11.2.01.0038</v>
      </c>
      <c r="Q2038" s="15" t="str">
        <f>VLOOKUP(A2038,sinap!$A$2:$R$9000,12,FALSE)</f>
        <v>11.1.01.0893</v>
      </c>
      <c r="R2038" s="15" t="str">
        <f>VLOOKUP(A2038,sinap!$A$2:$R$9000,16,FALSE)</f>
        <v>11.1.01.0893</v>
      </c>
      <c r="S2038" s="15" t="str">
        <f>VLOOKUP(A2038,sinap!$A$2:$Y$9000,20,FALSE)</f>
        <v>SI</v>
      </c>
      <c r="T2038" s="16">
        <v>45989</v>
      </c>
    </row>
    <row r="2039" spans="1:20" hidden="1" x14ac:dyDescent="0.25">
      <c r="A2039" s="15">
        <v>26234433</v>
      </c>
      <c r="J2039" s="15" t="str">
        <f>VLOOKUP(A2039,sinap!$A$2:$R$9000,2,FALSE)</f>
        <v>M</v>
      </c>
      <c r="K2039" s="15" t="str">
        <f>VLOOKUP(A2039,sinap!$A$2:$R$9000,3,FALSE)</f>
        <v>TERNERO</v>
      </c>
      <c r="L2039" s="15" t="str">
        <f>VLOOKUP(A2039,sinap!$A$2:$R$9000,4,FALSE)</f>
        <v>ANGUS NEGRO</v>
      </c>
      <c r="M2039" s="15" t="str">
        <f>VLOOKUP(A2039,sinap!$A$2:$R$9000,5,FALSE)</f>
        <v>0 años 4 meses</v>
      </c>
      <c r="N2039" s="15" t="str">
        <f>VLOOKUP(A2039,sinap!$A$2:$R$9000,6,FALSE)</f>
        <v>11-09-2025</v>
      </c>
      <c r="O2039" s="15" t="str">
        <f>VLOOKUP(A2039,sinap!$A$2:$R$9000,7,FALSE)</f>
        <v>Vivo</v>
      </c>
      <c r="P2039" s="15" t="str">
        <f>VLOOKUP(A2039,sinap!$A$2:$R$9000,8,FALSE)</f>
        <v>11.2.01.0038</v>
      </c>
      <c r="Q2039" s="15" t="str">
        <f>VLOOKUP(A2039,sinap!$A$2:$R$9000,12,FALSE)</f>
        <v>11.1.01.0893</v>
      </c>
      <c r="R2039" s="15" t="str">
        <f>VLOOKUP(A2039,sinap!$A$2:$R$9000,16,FALSE)</f>
        <v>11.1.01.0893</v>
      </c>
      <c r="S2039" s="15" t="str">
        <f>VLOOKUP(A2039,sinap!$A$2:$Y$9000,20,FALSE)</f>
        <v>SI</v>
      </c>
      <c r="T2039" s="16">
        <v>45989</v>
      </c>
    </row>
    <row r="2040" spans="1:20" hidden="1" x14ac:dyDescent="0.25">
      <c r="A2040" s="15">
        <v>26234434</v>
      </c>
      <c r="J2040" s="15" t="str">
        <f>VLOOKUP(A2040,sinap!$A$2:$R$9000,2,FALSE)</f>
        <v>M</v>
      </c>
      <c r="K2040" s="15" t="str">
        <f>VLOOKUP(A2040,sinap!$A$2:$R$9000,3,FALSE)</f>
        <v>TERNERO</v>
      </c>
      <c r="L2040" s="15" t="str">
        <f>VLOOKUP(A2040,sinap!$A$2:$R$9000,4,FALSE)</f>
        <v>ANGUS NEGRO</v>
      </c>
      <c r="M2040" s="15" t="str">
        <f>VLOOKUP(A2040,sinap!$A$2:$R$9000,5,FALSE)</f>
        <v>0 años 4 meses</v>
      </c>
      <c r="N2040" s="15" t="str">
        <f>VLOOKUP(A2040,sinap!$A$2:$R$9000,6,FALSE)</f>
        <v>11-09-2025</v>
      </c>
      <c r="O2040" s="15" t="str">
        <f>VLOOKUP(A2040,sinap!$A$2:$R$9000,7,FALSE)</f>
        <v>Vivo</v>
      </c>
      <c r="P2040" s="15" t="str">
        <f>VLOOKUP(A2040,sinap!$A$2:$R$9000,8,FALSE)</f>
        <v>11.1.01.0791</v>
      </c>
      <c r="Q2040" s="15" t="str">
        <f>VLOOKUP(A2040,sinap!$A$2:$R$9000,12,FALSE)</f>
        <v>11.1.01.0893</v>
      </c>
      <c r="R2040" s="15" t="str">
        <f>VLOOKUP(A2040,sinap!$A$2:$R$9000,16,FALSE)</f>
        <v>11.1.01.0893</v>
      </c>
      <c r="S2040" s="15" t="str">
        <f>VLOOKUP(A2040,sinap!$A$2:$Y$9000,20,FALSE)</f>
        <v>SI</v>
      </c>
      <c r="T2040" s="16">
        <v>45989</v>
      </c>
    </row>
    <row r="2041" spans="1:20" hidden="1" x14ac:dyDescent="0.25">
      <c r="A2041" s="15">
        <v>26234435</v>
      </c>
      <c r="J2041" s="15" t="str">
        <f>VLOOKUP(A2041,sinap!$A$2:$R$9000,2,FALSE)</f>
        <v>M</v>
      </c>
      <c r="K2041" s="15" t="str">
        <f>VLOOKUP(A2041,sinap!$A$2:$R$9000,3,FALSE)</f>
        <v>TERNERO</v>
      </c>
      <c r="L2041" s="15" t="str">
        <f>VLOOKUP(A2041,sinap!$A$2:$R$9000,4,FALSE)</f>
        <v>ANGUS NEGRO</v>
      </c>
      <c r="M2041" s="15" t="str">
        <f>VLOOKUP(A2041,sinap!$A$2:$R$9000,5,FALSE)</f>
        <v>0 años 4 meses</v>
      </c>
      <c r="N2041" s="15" t="str">
        <f>VLOOKUP(A2041,sinap!$A$2:$R$9000,6,FALSE)</f>
        <v>11-09-2025</v>
      </c>
      <c r="O2041" s="15" t="str">
        <f>VLOOKUP(A2041,sinap!$A$2:$R$9000,7,FALSE)</f>
        <v>Vivo</v>
      </c>
      <c r="P2041" s="15" t="str">
        <f>VLOOKUP(A2041,sinap!$A$2:$R$9000,8,FALSE)</f>
        <v>11.2.01.0038</v>
      </c>
      <c r="Q2041" s="15" t="str">
        <f>VLOOKUP(A2041,sinap!$A$2:$R$9000,12,FALSE)</f>
        <v>11.1.01.0893</v>
      </c>
      <c r="R2041" s="15" t="str">
        <f>VLOOKUP(A2041,sinap!$A$2:$R$9000,16,FALSE)</f>
        <v>11.1.01.0893</v>
      </c>
      <c r="S2041" s="15" t="str">
        <f>VLOOKUP(A2041,sinap!$A$2:$Y$9000,20,FALSE)</f>
        <v>SI</v>
      </c>
      <c r="T2041" s="16">
        <v>45989</v>
      </c>
    </row>
    <row r="2042" spans="1:20" hidden="1" x14ac:dyDescent="0.25">
      <c r="A2042" s="15">
        <v>26234436</v>
      </c>
      <c r="J2042" s="15" t="str">
        <f>VLOOKUP(A2042,sinap!$A$2:$R$9000,2,FALSE)</f>
        <v>M</v>
      </c>
      <c r="K2042" s="15" t="str">
        <f>VLOOKUP(A2042,sinap!$A$2:$R$9000,3,FALSE)</f>
        <v>TERNERO</v>
      </c>
      <c r="L2042" s="15" t="str">
        <f>VLOOKUP(A2042,sinap!$A$2:$R$9000,4,FALSE)</f>
        <v>ANGUS ROJO</v>
      </c>
      <c r="M2042" s="15" t="str">
        <f>VLOOKUP(A2042,sinap!$A$2:$R$9000,5,FALSE)</f>
        <v>0 años 4 meses</v>
      </c>
      <c r="N2042" s="15" t="str">
        <f>VLOOKUP(A2042,sinap!$A$2:$R$9000,6,FALSE)</f>
        <v>11-09-2025</v>
      </c>
      <c r="O2042" s="15" t="str">
        <f>VLOOKUP(A2042,sinap!$A$2:$R$9000,7,FALSE)</f>
        <v>Vivo</v>
      </c>
      <c r="P2042" s="15" t="str">
        <f>VLOOKUP(A2042,sinap!$A$2:$R$9000,8,FALSE)</f>
        <v>11.1.01.0791</v>
      </c>
      <c r="Q2042" s="15" t="str">
        <f>VLOOKUP(A2042,sinap!$A$2:$R$9000,12,FALSE)</f>
        <v>11.1.01.0893</v>
      </c>
      <c r="R2042" s="15" t="str">
        <f>VLOOKUP(A2042,sinap!$A$2:$R$9000,16,FALSE)</f>
        <v>11.1.01.0893</v>
      </c>
      <c r="S2042" s="15" t="str">
        <f>VLOOKUP(A2042,sinap!$A$2:$Y$9000,20,FALSE)</f>
        <v>SI</v>
      </c>
      <c r="T2042" s="16">
        <v>45989</v>
      </c>
    </row>
    <row r="2043" spans="1:20" hidden="1" x14ac:dyDescent="0.25">
      <c r="A2043" s="15">
        <v>26234437</v>
      </c>
      <c r="J2043" s="15" t="str">
        <f>VLOOKUP(A2043,sinap!$A$2:$R$9000,2,FALSE)</f>
        <v>H</v>
      </c>
      <c r="K2043" s="15" t="str">
        <f>VLOOKUP(A2043,sinap!$A$2:$R$9000,3,FALSE)</f>
        <v>TERNERA</v>
      </c>
      <c r="L2043" s="15" t="str">
        <f>VLOOKUP(A2043,sinap!$A$2:$R$9000,4,FALSE)</f>
        <v>ANGUS NEGRO</v>
      </c>
      <c r="M2043" s="15" t="str">
        <f>VLOOKUP(A2043,sinap!$A$2:$R$9000,5,FALSE)</f>
        <v>0 años 4 meses</v>
      </c>
      <c r="N2043" s="15" t="str">
        <f>VLOOKUP(A2043,sinap!$A$2:$R$9000,6,FALSE)</f>
        <v>11-09-2025</v>
      </c>
      <c r="O2043" s="15" t="str">
        <f>VLOOKUP(A2043,sinap!$A$2:$R$9000,7,FALSE)</f>
        <v>Vivo</v>
      </c>
      <c r="P2043" s="15" t="str">
        <f>VLOOKUP(A2043,sinap!$A$2:$R$9000,8,FALSE)</f>
        <v>11.2.01.0038</v>
      </c>
      <c r="Q2043" s="15" t="str">
        <f>VLOOKUP(A2043,sinap!$A$2:$R$9000,12,FALSE)</f>
        <v>11.1.01.0893</v>
      </c>
      <c r="R2043" s="15" t="str">
        <f>VLOOKUP(A2043,sinap!$A$2:$R$9000,16,FALSE)</f>
        <v>11.1.01.0893</v>
      </c>
      <c r="S2043" s="15" t="str">
        <f>VLOOKUP(A2043,sinap!$A$2:$Y$9000,20,FALSE)</f>
        <v>SI</v>
      </c>
      <c r="T2043" s="16">
        <v>45989</v>
      </c>
    </row>
    <row r="2044" spans="1:20" hidden="1" x14ac:dyDescent="0.25">
      <c r="A2044" s="15">
        <v>26234438</v>
      </c>
      <c r="J2044" s="15" t="str">
        <f>VLOOKUP(A2044,sinap!$A$2:$R$9000,2,FALSE)</f>
        <v>H</v>
      </c>
      <c r="K2044" s="15" t="str">
        <f>VLOOKUP(A2044,sinap!$A$2:$R$9000,3,FALSE)</f>
        <v>TERNERA</v>
      </c>
      <c r="L2044" s="15" t="str">
        <f>VLOOKUP(A2044,sinap!$A$2:$R$9000,4,FALSE)</f>
        <v>ANGUS ROJO</v>
      </c>
      <c r="M2044" s="15" t="str">
        <f>VLOOKUP(A2044,sinap!$A$2:$R$9000,5,FALSE)</f>
        <v>0 años 4 meses</v>
      </c>
      <c r="N2044" s="15" t="str">
        <f>VLOOKUP(A2044,sinap!$A$2:$R$9000,6,FALSE)</f>
        <v>11-09-2025</v>
      </c>
      <c r="O2044" s="15" t="str">
        <f>VLOOKUP(A2044,sinap!$A$2:$R$9000,7,FALSE)</f>
        <v>Vivo</v>
      </c>
      <c r="P2044" s="15" t="str">
        <f>VLOOKUP(A2044,sinap!$A$2:$R$9000,8,FALSE)</f>
        <v>11.2.01.0038</v>
      </c>
      <c r="Q2044" s="15" t="str">
        <f>VLOOKUP(A2044,sinap!$A$2:$R$9000,12,FALSE)</f>
        <v>11.1.01.0893</v>
      </c>
      <c r="R2044" s="15" t="str">
        <f>VLOOKUP(A2044,sinap!$A$2:$R$9000,16,FALSE)</f>
        <v>11.1.01.0893</v>
      </c>
      <c r="S2044" s="15" t="str">
        <f>VLOOKUP(A2044,sinap!$A$2:$Y$9000,20,FALSE)</f>
        <v>SI</v>
      </c>
      <c r="T2044" s="16">
        <v>45989</v>
      </c>
    </row>
    <row r="2045" spans="1:20" hidden="1" x14ac:dyDescent="0.25">
      <c r="A2045" s="15">
        <v>26234439</v>
      </c>
      <c r="J2045" s="15" t="str">
        <f>VLOOKUP(A2045,sinap!$A$2:$R$9000,2,FALSE)</f>
        <v>H</v>
      </c>
      <c r="K2045" s="15" t="str">
        <f>VLOOKUP(A2045,sinap!$A$2:$R$9000,3,FALSE)</f>
        <v>TERNERA</v>
      </c>
      <c r="L2045" s="15" t="str">
        <f>VLOOKUP(A2045,sinap!$A$2:$R$9000,4,FALSE)</f>
        <v>ANGUS NEGRO</v>
      </c>
      <c r="M2045" s="15" t="str">
        <f>VLOOKUP(A2045,sinap!$A$2:$R$9000,5,FALSE)</f>
        <v>0 años 4 meses</v>
      </c>
      <c r="N2045" s="15" t="str">
        <f>VLOOKUP(A2045,sinap!$A$2:$R$9000,6,FALSE)</f>
        <v>11-09-2025</v>
      </c>
      <c r="O2045" s="15" t="str">
        <f>VLOOKUP(A2045,sinap!$A$2:$R$9000,7,FALSE)</f>
        <v>Vivo</v>
      </c>
      <c r="P2045" s="15" t="str">
        <f>VLOOKUP(A2045,sinap!$A$2:$R$9000,8,FALSE)</f>
        <v>11.2.01.0038</v>
      </c>
      <c r="Q2045" s="15" t="str">
        <f>VLOOKUP(A2045,sinap!$A$2:$R$9000,12,FALSE)</f>
        <v>11.1.01.0893</v>
      </c>
      <c r="R2045" s="15" t="str">
        <f>VLOOKUP(A2045,sinap!$A$2:$R$9000,16,FALSE)</f>
        <v>11.1.01.0893</v>
      </c>
      <c r="S2045" s="15" t="str">
        <f>VLOOKUP(A2045,sinap!$A$2:$Y$9000,20,FALSE)</f>
        <v>SI</v>
      </c>
      <c r="T2045" s="16">
        <v>45989</v>
      </c>
    </row>
    <row r="2046" spans="1:20" hidden="1" x14ac:dyDescent="0.25">
      <c r="A2046" s="15">
        <v>26234440</v>
      </c>
      <c r="J2046" s="15" t="str">
        <f>VLOOKUP(A2046,sinap!$A$2:$R$9000,2,FALSE)</f>
        <v>M</v>
      </c>
      <c r="K2046" s="15" t="str">
        <f>VLOOKUP(A2046,sinap!$A$2:$R$9000,3,FALSE)</f>
        <v>TERNERO</v>
      </c>
      <c r="L2046" s="15" t="str">
        <f>VLOOKUP(A2046,sinap!$A$2:$R$9000,4,FALSE)</f>
        <v>ANGUS ROJO</v>
      </c>
      <c r="M2046" s="15" t="str">
        <f>VLOOKUP(A2046,sinap!$A$2:$R$9000,5,FALSE)</f>
        <v>0 años 4 meses</v>
      </c>
      <c r="N2046" s="15" t="str">
        <f>VLOOKUP(A2046,sinap!$A$2:$R$9000,6,FALSE)</f>
        <v>11-09-2025</v>
      </c>
      <c r="O2046" s="15" t="str">
        <f>VLOOKUP(A2046,sinap!$A$2:$R$9000,7,FALSE)</f>
        <v>Vivo</v>
      </c>
      <c r="P2046" s="15" t="str">
        <f>VLOOKUP(A2046,sinap!$A$2:$R$9000,8,FALSE)</f>
        <v>11.2.01.0038</v>
      </c>
      <c r="Q2046" s="15" t="str">
        <f>VLOOKUP(A2046,sinap!$A$2:$R$9000,12,FALSE)</f>
        <v>11.1.01.0893</v>
      </c>
      <c r="R2046" s="15" t="str">
        <f>VLOOKUP(A2046,sinap!$A$2:$R$9000,16,FALSE)</f>
        <v>11.1.01.0893</v>
      </c>
      <c r="S2046" s="15" t="str">
        <f>VLOOKUP(A2046,sinap!$A$2:$Y$9000,20,FALSE)</f>
        <v>SI</v>
      </c>
      <c r="T2046" s="16">
        <v>45989</v>
      </c>
    </row>
    <row r="2047" spans="1:20" hidden="1" x14ac:dyDescent="0.25">
      <c r="A2047" s="15">
        <v>26234441</v>
      </c>
      <c r="J2047" s="15" t="str">
        <f>VLOOKUP(A2047,sinap!$A$2:$R$9000,2,FALSE)</f>
        <v>M</v>
      </c>
      <c r="K2047" s="15" t="str">
        <f>VLOOKUP(A2047,sinap!$A$2:$R$9000,3,FALSE)</f>
        <v>TERNERO</v>
      </c>
      <c r="L2047" s="15" t="str">
        <f>VLOOKUP(A2047,sinap!$A$2:$R$9000,4,FALSE)</f>
        <v>ANGUS NEGRO</v>
      </c>
      <c r="M2047" s="15" t="str">
        <f>VLOOKUP(A2047,sinap!$A$2:$R$9000,5,FALSE)</f>
        <v>0 años 4 meses</v>
      </c>
      <c r="N2047" s="15" t="str">
        <f>VLOOKUP(A2047,sinap!$A$2:$R$9000,6,FALSE)</f>
        <v>11-09-2025</v>
      </c>
      <c r="O2047" s="15" t="str">
        <f>VLOOKUP(A2047,sinap!$A$2:$R$9000,7,FALSE)</f>
        <v>Vivo</v>
      </c>
      <c r="P2047" s="15" t="str">
        <f>VLOOKUP(A2047,sinap!$A$2:$R$9000,8,FALSE)</f>
        <v>11.2.01.0038</v>
      </c>
      <c r="Q2047" s="15" t="str">
        <f>VLOOKUP(A2047,sinap!$A$2:$R$9000,12,FALSE)</f>
        <v>11.1.01.0893</v>
      </c>
      <c r="R2047" s="15" t="str">
        <f>VLOOKUP(A2047,sinap!$A$2:$R$9000,16,FALSE)</f>
        <v>11.1.01.0893</v>
      </c>
      <c r="S2047" s="15" t="str">
        <f>VLOOKUP(A2047,sinap!$A$2:$Y$9000,20,FALSE)</f>
        <v>SI</v>
      </c>
      <c r="T2047" s="16">
        <v>45989</v>
      </c>
    </row>
    <row r="2048" spans="1:20" hidden="1" x14ac:dyDescent="0.25">
      <c r="A2048" s="15">
        <v>26234442</v>
      </c>
      <c r="J2048" s="15" t="str">
        <f>VLOOKUP(A2048,sinap!$A$2:$R$9000,2,FALSE)</f>
        <v>M</v>
      </c>
      <c r="K2048" s="15" t="str">
        <f>VLOOKUP(A2048,sinap!$A$2:$R$9000,3,FALSE)</f>
        <v>TERNERO</v>
      </c>
      <c r="L2048" s="15" t="str">
        <f>VLOOKUP(A2048,sinap!$A$2:$R$9000,4,FALSE)</f>
        <v>ANGUS NEGRO</v>
      </c>
      <c r="M2048" s="15" t="str">
        <f>VLOOKUP(A2048,sinap!$A$2:$R$9000,5,FALSE)</f>
        <v>0 años 4 meses</v>
      </c>
      <c r="N2048" s="15" t="str">
        <f>VLOOKUP(A2048,sinap!$A$2:$R$9000,6,FALSE)</f>
        <v>11-09-2025</v>
      </c>
      <c r="O2048" s="15" t="str">
        <f>VLOOKUP(A2048,sinap!$A$2:$R$9000,7,FALSE)</f>
        <v>Vivo</v>
      </c>
      <c r="P2048" s="15" t="str">
        <f>VLOOKUP(A2048,sinap!$A$2:$R$9000,8,FALSE)</f>
        <v>11.1.01.0893</v>
      </c>
      <c r="Q2048" s="15" t="str">
        <f>VLOOKUP(A2048,sinap!$A$2:$R$9000,12,FALSE)</f>
        <v>Sin Movimiento</v>
      </c>
      <c r="R2048" s="15" t="str">
        <f>VLOOKUP(A2048,sinap!$A$2:$R$9000,16,FALSE)</f>
        <v>11.1.01.0893</v>
      </c>
      <c r="S2048" s="15" t="str">
        <f>VLOOKUP(A2048,sinap!$A$2:$Y$9000,20,FALSE)</f>
        <v>SI</v>
      </c>
      <c r="T2048" s="16">
        <v>45989</v>
      </c>
    </row>
    <row r="2049" spans="1:20" hidden="1" x14ac:dyDescent="0.25">
      <c r="A2049" s="15">
        <v>26234443</v>
      </c>
      <c r="J2049" s="15" t="str">
        <f>VLOOKUP(A2049,sinap!$A$2:$R$9000,2,FALSE)</f>
        <v>M</v>
      </c>
      <c r="K2049" s="15" t="str">
        <f>VLOOKUP(A2049,sinap!$A$2:$R$9000,3,FALSE)</f>
        <v>TERNERO</v>
      </c>
      <c r="L2049" s="15" t="str">
        <f>VLOOKUP(A2049,sinap!$A$2:$R$9000,4,FALSE)</f>
        <v>ANGUS NEGRO</v>
      </c>
      <c r="M2049" s="15" t="str">
        <f>VLOOKUP(A2049,sinap!$A$2:$R$9000,5,FALSE)</f>
        <v>0 años 4 meses</v>
      </c>
      <c r="N2049" s="15" t="str">
        <f>VLOOKUP(A2049,sinap!$A$2:$R$9000,6,FALSE)</f>
        <v>11-09-2025</v>
      </c>
      <c r="O2049" s="15" t="str">
        <f>VLOOKUP(A2049,sinap!$A$2:$R$9000,7,FALSE)</f>
        <v>Vivo</v>
      </c>
      <c r="P2049" s="15" t="str">
        <f>VLOOKUP(A2049,sinap!$A$2:$R$9000,8,FALSE)</f>
        <v>11.2.01.0038</v>
      </c>
      <c r="Q2049" s="15" t="str">
        <f>VLOOKUP(A2049,sinap!$A$2:$R$9000,12,FALSE)</f>
        <v>11.1.01.0893</v>
      </c>
      <c r="R2049" s="15" t="str">
        <f>VLOOKUP(A2049,sinap!$A$2:$R$9000,16,FALSE)</f>
        <v>11.1.01.0893</v>
      </c>
      <c r="S2049" s="15" t="str">
        <f>VLOOKUP(A2049,sinap!$A$2:$Y$9000,20,FALSE)</f>
        <v>SI</v>
      </c>
      <c r="T2049" s="16">
        <v>45989</v>
      </c>
    </row>
    <row r="2050" spans="1:20" hidden="1" x14ac:dyDescent="0.25">
      <c r="A2050" s="15">
        <v>26234444</v>
      </c>
      <c r="J2050" s="15" t="str">
        <f>VLOOKUP(A2050,sinap!$A$2:$R$9000,2,FALSE)</f>
        <v>H</v>
      </c>
      <c r="K2050" s="15" t="str">
        <f>VLOOKUP(A2050,sinap!$A$2:$R$9000,3,FALSE)</f>
        <v>TERNERA</v>
      </c>
      <c r="L2050" s="15" t="str">
        <f>VLOOKUP(A2050,sinap!$A$2:$R$9000,4,FALSE)</f>
        <v>ANGUS NEGRO</v>
      </c>
      <c r="M2050" s="15" t="str">
        <f>VLOOKUP(A2050,sinap!$A$2:$R$9000,5,FALSE)</f>
        <v>0 años 4 meses</v>
      </c>
      <c r="N2050" s="15" t="str">
        <f>VLOOKUP(A2050,sinap!$A$2:$R$9000,6,FALSE)</f>
        <v>11-09-2025</v>
      </c>
      <c r="O2050" s="15" t="str">
        <f>VLOOKUP(A2050,sinap!$A$2:$R$9000,7,FALSE)</f>
        <v>Vivo</v>
      </c>
      <c r="P2050" s="15" t="str">
        <f>VLOOKUP(A2050,sinap!$A$2:$R$9000,8,FALSE)</f>
        <v>11.2.01.0038</v>
      </c>
      <c r="Q2050" s="15" t="str">
        <f>VLOOKUP(A2050,sinap!$A$2:$R$9000,12,FALSE)</f>
        <v>11.1.01.0893</v>
      </c>
      <c r="R2050" s="15" t="str">
        <f>VLOOKUP(A2050,sinap!$A$2:$R$9000,16,FALSE)</f>
        <v>11.1.01.0893</v>
      </c>
      <c r="S2050" s="15" t="str">
        <f>VLOOKUP(A2050,sinap!$A$2:$Y$9000,20,FALSE)</f>
        <v>SI</v>
      </c>
      <c r="T2050" s="16">
        <v>45989</v>
      </c>
    </row>
    <row r="2051" spans="1:20" hidden="1" x14ac:dyDescent="0.25">
      <c r="A2051" s="15">
        <v>26234445</v>
      </c>
      <c r="J2051" s="15" t="str">
        <f>VLOOKUP(A2051,sinap!$A$2:$R$9000,2,FALSE)</f>
        <v>M</v>
      </c>
      <c r="K2051" s="15" t="str">
        <f>VLOOKUP(A2051,sinap!$A$2:$R$9000,3,FALSE)</f>
        <v>TERNERO</v>
      </c>
      <c r="L2051" s="15" t="str">
        <f>VLOOKUP(A2051,sinap!$A$2:$R$9000,4,FALSE)</f>
        <v>ANGUS NEGRO</v>
      </c>
      <c r="M2051" s="15" t="str">
        <f>VLOOKUP(A2051,sinap!$A$2:$R$9000,5,FALSE)</f>
        <v>0 años 4 meses</v>
      </c>
      <c r="N2051" s="15" t="str">
        <f>VLOOKUP(A2051,sinap!$A$2:$R$9000,6,FALSE)</f>
        <v>11-09-2025</v>
      </c>
      <c r="O2051" s="15" t="str">
        <f>VLOOKUP(A2051,sinap!$A$2:$R$9000,7,FALSE)</f>
        <v>Vivo</v>
      </c>
      <c r="P2051" s="15" t="str">
        <f>VLOOKUP(A2051,sinap!$A$2:$R$9000,8,FALSE)</f>
        <v>11.1.01.0791</v>
      </c>
      <c r="Q2051" s="15" t="str">
        <f>VLOOKUP(A2051,sinap!$A$2:$R$9000,12,FALSE)</f>
        <v>11.1.01.0893</v>
      </c>
      <c r="R2051" s="15" t="str">
        <f>VLOOKUP(A2051,sinap!$A$2:$R$9000,16,FALSE)</f>
        <v>11.1.01.0893</v>
      </c>
      <c r="S2051" s="15" t="str">
        <f>VLOOKUP(A2051,sinap!$A$2:$Y$9000,20,FALSE)</f>
        <v>SI</v>
      </c>
      <c r="T2051" s="16">
        <v>45989</v>
      </c>
    </row>
    <row r="2052" spans="1:20" hidden="1" x14ac:dyDescent="0.25">
      <c r="A2052" s="15">
        <v>26234446</v>
      </c>
      <c r="J2052" s="15" t="str">
        <f>VLOOKUP(A2052,sinap!$A$2:$R$9000,2,FALSE)</f>
        <v>M</v>
      </c>
      <c r="K2052" s="15" t="str">
        <f>VLOOKUP(A2052,sinap!$A$2:$R$9000,3,FALSE)</f>
        <v>TERNERO</v>
      </c>
      <c r="L2052" s="15" t="str">
        <f>VLOOKUP(A2052,sinap!$A$2:$R$9000,4,FALSE)</f>
        <v>ANGUS NEGRO</v>
      </c>
      <c r="M2052" s="15" t="str">
        <f>VLOOKUP(A2052,sinap!$A$2:$R$9000,5,FALSE)</f>
        <v>0 años 3 meses</v>
      </c>
      <c r="N2052" s="15" t="str">
        <f>VLOOKUP(A2052,sinap!$A$2:$R$9000,6,FALSE)</f>
        <v>05-10-2025</v>
      </c>
      <c r="O2052" s="15" t="str">
        <f>VLOOKUP(A2052,sinap!$A$2:$R$9000,7,FALSE)</f>
        <v>Vivo</v>
      </c>
      <c r="P2052" s="15" t="str">
        <f>VLOOKUP(A2052,sinap!$A$2:$R$9000,8,FALSE)</f>
        <v>11.1.01.0893</v>
      </c>
      <c r="Q2052" s="15" t="str">
        <f>VLOOKUP(A2052,sinap!$A$2:$R$9000,12,FALSE)</f>
        <v>Sin Movimiento</v>
      </c>
      <c r="R2052" s="15" t="str">
        <f>VLOOKUP(A2052,sinap!$A$2:$R$9000,16,FALSE)</f>
        <v>11.1.01.0893</v>
      </c>
      <c r="S2052" s="15" t="str">
        <f>VLOOKUP(A2052,sinap!$A$2:$Y$9000,20,FALSE)</f>
        <v>SI</v>
      </c>
      <c r="T2052" s="16">
        <v>45989</v>
      </c>
    </row>
    <row r="2053" spans="1:20" hidden="1" x14ac:dyDescent="0.25">
      <c r="A2053" s="15">
        <v>26234447</v>
      </c>
      <c r="J2053" s="15" t="str">
        <f>VLOOKUP(A2053,sinap!$A$2:$R$9000,2,FALSE)</f>
        <v>H</v>
      </c>
      <c r="K2053" s="15" t="str">
        <f>VLOOKUP(A2053,sinap!$A$2:$R$9000,3,FALSE)</f>
        <v>TERNERA</v>
      </c>
      <c r="L2053" s="15" t="str">
        <f>VLOOKUP(A2053,sinap!$A$2:$R$9000,4,FALSE)</f>
        <v>ANGUS NEGRO</v>
      </c>
      <c r="M2053" s="15" t="str">
        <f>VLOOKUP(A2053,sinap!$A$2:$R$9000,5,FALSE)</f>
        <v>0 años 3 meses</v>
      </c>
      <c r="N2053" s="15" t="str">
        <f>VLOOKUP(A2053,sinap!$A$2:$R$9000,6,FALSE)</f>
        <v>05-10-2025</v>
      </c>
      <c r="O2053" s="15" t="str">
        <f>VLOOKUP(A2053,sinap!$A$2:$R$9000,7,FALSE)</f>
        <v>Vivo</v>
      </c>
      <c r="P2053" s="15" t="str">
        <f>VLOOKUP(A2053,sinap!$A$2:$R$9000,8,FALSE)</f>
        <v>11.2.01.0038</v>
      </c>
      <c r="Q2053" s="15" t="str">
        <f>VLOOKUP(A2053,sinap!$A$2:$R$9000,12,FALSE)</f>
        <v>11.1.01.0893</v>
      </c>
      <c r="R2053" s="15" t="str">
        <f>VLOOKUP(A2053,sinap!$A$2:$R$9000,16,FALSE)</f>
        <v>11.1.01.0893</v>
      </c>
      <c r="S2053" s="15" t="str">
        <f>VLOOKUP(A2053,sinap!$A$2:$Y$9000,20,FALSE)</f>
        <v>SI</v>
      </c>
      <c r="T2053" s="16">
        <v>45989</v>
      </c>
    </row>
    <row r="2054" spans="1:20" hidden="1" x14ac:dyDescent="0.25">
      <c r="A2054" s="15">
        <v>26234448</v>
      </c>
      <c r="J2054" s="15" t="str">
        <f>VLOOKUP(A2054,sinap!$A$2:$R$9000,2,FALSE)</f>
        <v>H</v>
      </c>
      <c r="K2054" s="15" t="str">
        <f>VLOOKUP(A2054,sinap!$A$2:$R$9000,3,FALSE)</f>
        <v>TERNERA</v>
      </c>
      <c r="L2054" s="15" t="str">
        <f>VLOOKUP(A2054,sinap!$A$2:$R$9000,4,FALSE)</f>
        <v>ANGUS NEGRO</v>
      </c>
      <c r="M2054" s="15" t="str">
        <f>VLOOKUP(A2054,sinap!$A$2:$R$9000,5,FALSE)</f>
        <v>0 años 3 meses</v>
      </c>
      <c r="N2054" s="15" t="str">
        <f>VLOOKUP(A2054,sinap!$A$2:$R$9000,6,FALSE)</f>
        <v>05-10-2025</v>
      </c>
      <c r="O2054" s="15" t="str">
        <f>VLOOKUP(A2054,sinap!$A$2:$R$9000,7,FALSE)</f>
        <v>Vivo</v>
      </c>
      <c r="P2054" s="15" t="str">
        <f>VLOOKUP(A2054,sinap!$A$2:$R$9000,8,FALSE)</f>
        <v>11.2.01.0038</v>
      </c>
      <c r="Q2054" s="15" t="str">
        <f>VLOOKUP(A2054,sinap!$A$2:$R$9000,12,FALSE)</f>
        <v>11.1.01.0893</v>
      </c>
      <c r="R2054" s="15" t="str">
        <f>VLOOKUP(A2054,sinap!$A$2:$R$9000,16,FALSE)</f>
        <v>11.1.01.0893</v>
      </c>
      <c r="S2054" s="15" t="str">
        <f>VLOOKUP(A2054,sinap!$A$2:$Y$9000,20,FALSE)</f>
        <v>SI</v>
      </c>
      <c r="T2054" s="16">
        <v>45989</v>
      </c>
    </row>
    <row r="2055" spans="1:20" hidden="1" x14ac:dyDescent="0.25">
      <c r="A2055" s="15">
        <v>26234449</v>
      </c>
      <c r="J2055" s="15" t="str">
        <f>VLOOKUP(A2055,sinap!$A$2:$R$9000,2,FALSE)</f>
        <v>M</v>
      </c>
      <c r="K2055" s="15" t="str">
        <f>VLOOKUP(A2055,sinap!$A$2:$R$9000,3,FALSE)</f>
        <v>TERNERO</v>
      </c>
      <c r="L2055" s="15" t="str">
        <f>VLOOKUP(A2055,sinap!$A$2:$R$9000,4,FALSE)</f>
        <v>ANGUS NEGRO</v>
      </c>
      <c r="M2055" s="15" t="str">
        <f>VLOOKUP(A2055,sinap!$A$2:$R$9000,5,FALSE)</f>
        <v>0 años 3 meses</v>
      </c>
      <c r="N2055" s="15" t="str">
        <f>VLOOKUP(A2055,sinap!$A$2:$R$9000,6,FALSE)</f>
        <v>05-10-2025</v>
      </c>
      <c r="O2055" s="15" t="str">
        <f>VLOOKUP(A2055,sinap!$A$2:$R$9000,7,FALSE)</f>
        <v>Vivo</v>
      </c>
      <c r="P2055" s="15" t="str">
        <f>VLOOKUP(A2055,sinap!$A$2:$R$9000,8,FALSE)</f>
        <v>11.2.01.0038</v>
      </c>
      <c r="Q2055" s="15" t="str">
        <f>VLOOKUP(A2055,sinap!$A$2:$R$9000,12,FALSE)</f>
        <v>11.1.01.0893</v>
      </c>
      <c r="R2055" s="15" t="str">
        <f>VLOOKUP(A2055,sinap!$A$2:$R$9000,16,FALSE)</f>
        <v>11.1.01.0893</v>
      </c>
      <c r="S2055" s="15" t="str">
        <f>VLOOKUP(A2055,sinap!$A$2:$Y$9000,20,FALSE)</f>
        <v>SI</v>
      </c>
      <c r="T2055" s="16">
        <v>45989</v>
      </c>
    </row>
    <row r="2056" spans="1:20" hidden="1" x14ac:dyDescent="0.25">
      <c r="A2056" s="15">
        <v>26234450</v>
      </c>
      <c r="J2056" s="15" t="str">
        <f>VLOOKUP(A2056,sinap!$A$2:$R$9000,2,FALSE)</f>
        <v>M</v>
      </c>
      <c r="K2056" s="15" t="str">
        <f>VLOOKUP(A2056,sinap!$A$2:$R$9000,3,FALSE)</f>
        <v>TERNERO</v>
      </c>
      <c r="L2056" s="15" t="str">
        <f>VLOOKUP(A2056,sinap!$A$2:$R$9000,4,FALSE)</f>
        <v>ANGUS NEGRO</v>
      </c>
      <c r="M2056" s="15" t="str">
        <f>VLOOKUP(A2056,sinap!$A$2:$R$9000,5,FALSE)</f>
        <v>0 años 3 meses</v>
      </c>
      <c r="N2056" s="15" t="str">
        <f>VLOOKUP(A2056,sinap!$A$2:$R$9000,6,FALSE)</f>
        <v>05-10-2025</v>
      </c>
      <c r="O2056" s="15" t="str">
        <f>VLOOKUP(A2056,sinap!$A$2:$R$9000,7,FALSE)</f>
        <v>Vivo</v>
      </c>
      <c r="P2056" s="15" t="str">
        <f>VLOOKUP(A2056,sinap!$A$2:$R$9000,8,FALSE)</f>
        <v>11.2.01.0038</v>
      </c>
      <c r="Q2056" s="15" t="str">
        <f>VLOOKUP(A2056,sinap!$A$2:$R$9000,12,FALSE)</f>
        <v>11.1.01.0893</v>
      </c>
      <c r="R2056" s="15" t="str">
        <f>VLOOKUP(A2056,sinap!$A$2:$R$9000,16,FALSE)</f>
        <v>11.1.01.0893</v>
      </c>
      <c r="S2056" s="15" t="str">
        <f>VLOOKUP(A2056,sinap!$A$2:$Y$9000,20,FALSE)</f>
        <v>SI</v>
      </c>
      <c r="T2056" s="16">
        <v>45989</v>
      </c>
    </row>
    <row r="2057" spans="1:20" hidden="1" x14ac:dyDescent="0.25">
      <c r="A2057" s="15">
        <v>26234451</v>
      </c>
      <c r="J2057" s="15" t="str">
        <f>VLOOKUP(A2057,sinap!$A$2:$R$9000,2,FALSE)</f>
        <v>H</v>
      </c>
      <c r="K2057" s="15" t="str">
        <f>VLOOKUP(A2057,sinap!$A$2:$R$9000,3,FALSE)</f>
        <v>TERNERA</v>
      </c>
      <c r="L2057" s="15" t="str">
        <f>VLOOKUP(A2057,sinap!$A$2:$R$9000,4,FALSE)</f>
        <v>ANGUS ROJO</v>
      </c>
      <c r="M2057" s="15" t="str">
        <f>VLOOKUP(A2057,sinap!$A$2:$R$9000,5,FALSE)</f>
        <v>0 años 3 meses</v>
      </c>
      <c r="N2057" s="15" t="str">
        <f>VLOOKUP(A2057,sinap!$A$2:$R$9000,6,FALSE)</f>
        <v>05-10-2025</v>
      </c>
      <c r="O2057" s="15" t="str">
        <f>VLOOKUP(A2057,sinap!$A$2:$R$9000,7,FALSE)</f>
        <v>Vivo</v>
      </c>
      <c r="P2057" s="15" t="str">
        <f>VLOOKUP(A2057,sinap!$A$2:$R$9000,8,FALSE)</f>
        <v>11.2.01.0038</v>
      </c>
      <c r="Q2057" s="15" t="str">
        <f>VLOOKUP(A2057,sinap!$A$2:$R$9000,12,FALSE)</f>
        <v>11.1.01.0893</v>
      </c>
      <c r="R2057" s="15" t="str">
        <f>VLOOKUP(A2057,sinap!$A$2:$R$9000,16,FALSE)</f>
        <v>11.1.01.0893</v>
      </c>
      <c r="S2057" s="15" t="str">
        <f>VLOOKUP(A2057,sinap!$A$2:$Y$9000,20,FALSE)</f>
        <v>SI</v>
      </c>
      <c r="T2057" s="16">
        <v>45989</v>
      </c>
    </row>
    <row r="2058" spans="1:20" hidden="1" x14ac:dyDescent="0.25">
      <c r="A2058" s="15">
        <v>26234452</v>
      </c>
      <c r="J2058" s="15" t="str">
        <f>VLOOKUP(A2058,sinap!$A$2:$R$9000,2,FALSE)</f>
        <v>M</v>
      </c>
      <c r="K2058" s="15" t="str">
        <f>VLOOKUP(A2058,sinap!$A$2:$R$9000,3,FALSE)</f>
        <v>TERNERO</v>
      </c>
      <c r="L2058" s="15" t="str">
        <f>VLOOKUP(A2058,sinap!$A$2:$R$9000,4,FALSE)</f>
        <v>ANGUS NEGRO</v>
      </c>
      <c r="M2058" s="15" t="str">
        <f>VLOOKUP(A2058,sinap!$A$2:$R$9000,5,FALSE)</f>
        <v>0 años 3 meses</v>
      </c>
      <c r="N2058" s="15" t="str">
        <f>VLOOKUP(A2058,sinap!$A$2:$R$9000,6,FALSE)</f>
        <v>05-10-2025</v>
      </c>
      <c r="O2058" s="15" t="str">
        <f>VLOOKUP(A2058,sinap!$A$2:$R$9000,7,FALSE)</f>
        <v>Vivo</v>
      </c>
      <c r="P2058" s="15" t="str">
        <f>VLOOKUP(A2058,sinap!$A$2:$R$9000,8,FALSE)</f>
        <v>11.2.01.0038</v>
      </c>
      <c r="Q2058" s="15" t="str">
        <f>VLOOKUP(A2058,sinap!$A$2:$R$9000,12,FALSE)</f>
        <v>11.1.01.0893</v>
      </c>
      <c r="R2058" s="15" t="str">
        <f>VLOOKUP(A2058,sinap!$A$2:$R$9000,16,FALSE)</f>
        <v>11.1.01.0893</v>
      </c>
      <c r="S2058" s="15" t="str">
        <f>VLOOKUP(A2058,sinap!$A$2:$Y$9000,20,FALSE)</f>
        <v>SI</v>
      </c>
      <c r="T2058" s="16">
        <v>45989</v>
      </c>
    </row>
    <row r="2059" spans="1:20" hidden="1" x14ac:dyDescent="0.25">
      <c r="A2059" s="15">
        <v>26234453</v>
      </c>
      <c r="J2059" s="15" t="str">
        <f>VLOOKUP(A2059,sinap!$A$2:$R$9000,2,FALSE)</f>
        <v>H</v>
      </c>
      <c r="K2059" s="15" t="str">
        <f>VLOOKUP(A2059,sinap!$A$2:$R$9000,3,FALSE)</f>
        <v>TERNERA</v>
      </c>
      <c r="L2059" s="15" t="str">
        <f>VLOOKUP(A2059,sinap!$A$2:$R$9000,4,FALSE)</f>
        <v>ANGUS NEGRO</v>
      </c>
      <c r="M2059" s="15" t="str">
        <f>VLOOKUP(A2059,sinap!$A$2:$R$9000,5,FALSE)</f>
        <v>0 años 3 meses</v>
      </c>
      <c r="N2059" s="15" t="str">
        <f>VLOOKUP(A2059,sinap!$A$2:$R$9000,6,FALSE)</f>
        <v>05-10-2025</v>
      </c>
      <c r="O2059" s="15" t="str">
        <f>VLOOKUP(A2059,sinap!$A$2:$R$9000,7,FALSE)</f>
        <v>Vivo</v>
      </c>
      <c r="P2059" s="15" t="str">
        <f>VLOOKUP(A2059,sinap!$A$2:$R$9000,8,FALSE)</f>
        <v>11.2.01.0038</v>
      </c>
      <c r="Q2059" s="15" t="str">
        <f>VLOOKUP(A2059,sinap!$A$2:$R$9000,12,FALSE)</f>
        <v>11.1.01.0893</v>
      </c>
      <c r="R2059" s="15" t="str">
        <f>VLOOKUP(A2059,sinap!$A$2:$R$9000,16,FALSE)</f>
        <v>11.1.01.0893</v>
      </c>
      <c r="S2059" s="15" t="str">
        <f>VLOOKUP(A2059,sinap!$A$2:$Y$9000,20,FALSE)</f>
        <v>SI</v>
      </c>
      <c r="T2059" s="16">
        <v>45989</v>
      </c>
    </row>
    <row r="2060" spans="1:20" hidden="1" x14ac:dyDescent="0.25">
      <c r="A2060" s="15">
        <v>26234454</v>
      </c>
      <c r="J2060" s="15" t="str">
        <f>VLOOKUP(A2060,sinap!$A$2:$R$9000,2,FALSE)</f>
        <v>M</v>
      </c>
      <c r="K2060" s="15" t="str">
        <f>VLOOKUP(A2060,sinap!$A$2:$R$9000,3,FALSE)</f>
        <v>TERNERO</v>
      </c>
      <c r="L2060" s="15" t="str">
        <f>VLOOKUP(A2060,sinap!$A$2:$R$9000,4,FALSE)</f>
        <v>ANGUS NEGRO</v>
      </c>
      <c r="M2060" s="15" t="str">
        <f>VLOOKUP(A2060,sinap!$A$2:$R$9000,5,FALSE)</f>
        <v>0 años 3 meses</v>
      </c>
      <c r="N2060" s="15" t="str">
        <f>VLOOKUP(A2060,sinap!$A$2:$R$9000,6,FALSE)</f>
        <v>05-10-2025</v>
      </c>
      <c r="O2060" s="15" t="str">
        <f>VLOOKUP(A2060,sinap!$A$2:$R$9000,7,FALSE)</f>
        <v>Vivo</v>
      </c>
      <c r="P2060" s="15" t="str">
        <f>VLOOKUP(A2060,sinap!$A$2:$R$9000,8,FALSE)</f>
        <v>11.1.01.0791</v>
      </c>
      <c r="Q2060" s="15" t="str">
        <f>VLOOKUP(A2060,sinap!$A$2:$R$9000,12,FALSE)</f>
        <v>11.1.01.0893</v>
      </c>
      <c r="R2060" s="15" t="str">
        <f>VLOOKUP(A2060,sinap!$A$2:$R$9000,16,FALSE)</f>
        <v>11.1.01.0893</v>
      </c>
      <c r="S2060" s="15" t="str">
        <f>VLOOKUP(A2060,sinap!$A$2:$Y$9000,20,FALSE)</f>
        <v>SI</v>
      </c>
      <c r="T2060" s="16">
        <v>45989</v>
      </c>
    </row>
    <row r="2061" spans="1:20" hidden="1" x14ac:dyDescent="0.25">
      <c r="A2061" s="15">
        <v>26234455</v>
      </c>
      <c r="J2061" s="15" t="str">
        <f>VLOOKUP(A2061,sinap!$A$2:$R$9000,2,FALSE)</f>
        <v>M</v>
      </c>
      <c r="K2061" s="15" t="str">
        <f>VLOOKUP(A2061,sinap!$A$2:$R$9000,3,FALSE)</f>
        <v>TERNERO</v>
      </c>
      <c r="L2061" s="15" t="str">
        <f>VLOOKUP(A2061,sinap!$A$2:$R$9000,4,FALSE)</f>
        <v>ANGUS NEGRO</v>
      </c>
      <c r="M2061" s="15" t="str">
        <f>VLOOKUP(A2061,sinap!$A$2:$R$9000,5,FALSE)</f>
        <v>0 años 1 meses</v>
      </c>
      <c r="N2061" s="15" t="str">
        <f>VLOOKUP(A2061,sinap!$A$2:$R$9000,6,FALSE)</f>
        <v>28-11-2025</v>
      </c>
      <c r="O2061" s="15" t="str">
        <f>VLOOKUP(A2061,sinap!$A$2:$R$9000,7,FALSE)</f>
        <v>Vivo</v>
      </c>
      <c r="P2061" s="15" t="str">
        <f>VLOOKUP(A2061,sinap!$A$2:$R$9000,8,FALSE)</f>
        <v>11.2.01.0038</v>
      </c>
      <c r="Q2061" s="15" t="str">
        <f>VLOOKUP(A2061,sinap!$A$2:$R$9000,12,FALSE)</f>
        <v>11.1.01.0893</v>
      </c>
      <c r="R2061" s="15" t="str">
        <f>VLOOKUP(A2061,sinap!$A$2:$R$9000,16,FALSE)</f>
        <v>11.1.01.0893</v>
      </c>
      <c r="S2061" s="15" t="str">
        <f>VLOOKUP(A2061,sinap!$A$2:$Y$9000,20,FALSE)</f>
        <v>SI</v>
      </c>
      <c r="T2061" s="16">
        <v>45989</v>
      </c>
    </row>
    <row r="2062" spans="1:20" hidden="1" x14ac:dyDescent="0.25">
      <c r="A2062" s="15">
        <v>26234456</v>
      </c>
      <c r="J2062" s="15" t="str">
        <f>VLOOKUP(A2062,sinap!$A$2:$R$9000,2,FALSE)</f>
        <v>M</v>
      </c>
      <c r="K2062" s="15" t="str">
        <f>VLOOKUP(A2062,sinap!$A$2:$R$9000,3,FALSE)</f>
        <v>TERNERO</v>
      </c>
      <c r="L2062" s="15" t="str">
        <f>VLOOKUP(A2062,sinap!$A$2:$R$9000,4,FALSE)</f>
        <v>ANGUS NEGRO</v>
      </c>
      <c r="M2062" s="15" t="str">
        <f>VLOOKUP(A2062,sinap!$A$2:$R$9000,5,FALSE)</f>
        <v>0 años 1 meses</v>
      </c>
      <c r="N2062" s="15" t="str">
        <f>VLOOKUP(A2062,sinap!$A$2:$R$9000,6,FALSE)</f>
        <v>25-11-2025</v>
      </c>
      <c r="O2062" s="15" t="str">
        <f>VLOOKUP(A2062,sinap!$A$2:$R$9000,7,FALSE)</f>
        <v>Vivo</v>
      </c>
      <c r="P2062" s="15" t="str">
        <f>VLOOKUP(A2062,sinap!$A$2:$R$9000,8,FALSE)</f>
        <v>11.2.01.0038</v>
      </c>
      <c r="Q2062" s="15" t="str">
        <f>VLOOKUP(A2062,sinap!$A$2:$R$9000,12,FALSE)</f>
        <v>11.1.01.0893</v>
      </c>
      <c r="R2062" s="15" t="str">
        <f>VLOOKUP(A2062,sinap!$A$2:$R$9000,16,FALSE)</f>
        <v>11.1.01.0893</v>
      </c>
      <c r="S2062" s="15" t="str">
        <f>VLOOKUP(A2062,sinap!$A$2:$Y$9000,20,FALSE)</f>
        <v>SI</v>
      </c>
      <c r="T2062" s="16">
        <v>45989</v>
      </c>
    </row>
    <row r="2063" spans="1:20" hidden="1" x14ac:dyDescent="0.25">
      <c r="A2063" s="15">
        <v>26234457</v>
      </c>
      <c r="J2063" s="15" t="str">
        <f>VLOOKUP(A2063,sinap!$A$2:$R$9000,2,FALSE)</f>
        <v>M</v>
      </c>
      <c r="K2063" s="15" t="str">
        <f>VLOOKUP(A2063,sinap!$A$2:$R$9000,3,FALSE)</f>
        <v>TERNERO</v>
      </c>
      <c r="L2063" s="15" t="str">
        <f>VLOOKUP(A2063,sinap!$A$2:$R$9000,4,FALSE)</f>
        <v>ANGUS NEGRO</v>
      </c>
      <c r="M2063" s="15" t="str">
        <f>VLOOKUP(A2063,sinap!$A$2:$R$9000,5,FALSE)</f>
        <v>0 años 1 meses</v>
      </c>
      <c r="N2063" s="15" t="str">
        <f>VLOOKUP(A2063,sinap!$A$2:$R$9000,6,FALSE)</f>
        <v>28-11-2025</v>
      </c>
      <c r="O2063" s="15" t="str">
        <f>VLOOKUP(A2063,sinap!$A$2:$R$9000,7,FALSE)</f>
        <v>Vivo</v>
      </c>
      <c r="P2063" s="15" t="str">
        <f>VLOOKUP(A2063,sinap!$A$2:$R$9000,8,FALSE)</f>
        <v>11.1.01.0893</v>
      </c>
      <c r="Q2063" s="15" t="str">
        <f>VLOOKUP(A2063,sinap!$A$2:$R$9000,12,FALSE)</f>
        <v>Sin Movimiento</v>
      </c>
      <c r="R2063" s="15" t="str">
        <f>VLOOKUP(A2063,sinap!$A$2:$R$9000,16,FALSE)</f>
        <v>11.1.01.0893</v>
      </c>
      <c r="S2063" s="15" t="str">
        <f>VLOOKUP(A2063,sinap!$A$2:$Y$9000,20,FALSE)</f>
        <v>SI</v>
      </c>
      <c r="T2063" s="16">
        <v>45989</v>
      </c>
    </row>
    <row r="2064" spans="1:20" hidden="1" x14ac:dyDescent="0.25">
      <c r="A2064" s="15">
        <v>26234458</v>
      </c>
      <c r="J2064" s="15" t="str">
        <f>VLOOKUP(A2064,sinap!$A$2:$R$9000,2,FALSE)</f>
        <v>M</v>
      </c>
      <c r="K2064" s="15" t="str">
        <f>VLOOKUP(A2064,sinap!$A$2:$R$9000,3,FALSE)</f>
        <v>TERNERO</v>
      </c>
      <c r="L2064" s="15" t="str">
        <f>VLOOKUP(A2064,sinap!$A$2:$R$9000,4,FALSE)</f>
        <v>ANGUS NEGRO</v>
      </c>
      <c r="M2064" s="15" t="str">
        <f>VLOOKUP(A2064,sinap!$A$2:$R$9000,5,FALSE)</f>
        <v>0 años 1 meses</v>
      </c>
      <c r="N2064" s="15" t="str">
        <f>VLOOKUP(A2064,sinap!$A$2:$R$9000,6,FALSE)</f>
        <v>28-11-2025</v>
      </c>
      <c r="O2064" s="15" t="str">
        <f>VLOOKUP(A2064,sinap!$A$2:$R$9000,7,FALSE)</f>
        <v>Vivo</v>
      </c>
      <c r="P2064" s="15" t="str">
        <f>VLOOKUP(A2064,sinap!$A$2:$R$9000,8,FALSE)</f>
        <v>11.2.01.0038</v>
      </c>
      <c r="Q2064" s="15" t="str">
        <f>VLOOKUP(A2064,sinap!$A$2:$R$9000,12,FALSE)</f>
        <v>11.1.01.0893</v>
      </c>
      <c r="R2064" s="15" t="str">
        <f>VLOOKUP(A2064,sinap!$A$2:$R$9000,16,FALSE)</f>
        <v>11.1.01.0893</v>
      </c>
      <c r="S2064" s="15" t="str">
        <f>VLOOKUP(A2064,sinap!$A$2:$Y$9000,20,FALSE)</f>
        <v>SI</v>
      </c>
      <c r="T2064" s="16">
        <v>45989</v>
      </c>
    </row>
    <row r="2065" spans="1:20" hidden="1" x14ac:dyDescent="0.25">
      <c r="A2065" s="15">
        <v>26234459</v>
      </c>
      <c r="J2065" s="15" t="str">
        <f>VLOOKUP(A2065,sinap!$A$2:$R$9000,2,FALSE)</f>
        <v>H</v>
      </c>
      <c r="K2065" s="15" t="str">
        <f>VLOOKUP(A2065,sinap!$A$2:$R$9000,3,FALSE)</f>
        <v>TERNERA</v>
      </c>
      <c r="L2065" s="15" t="str">
        <f>VLOOKUP(A2065,sinap!$A$2:$R$9000,4,FALSE)</f>
        <v>ANGUS NEGRO</v>
      </c>
      <c r="M2065" s="15" t="str">
        <f>VLOOKUP(A2065,sinap!$A$2:$R$9000,5,FALSE)</f>
        <v>0 años 3 meses</v>
      </c>
      <c r="N2065" s="15" t="str">
        <f>VLOOKUP(A2065,sinap!$A$2:$R$9000,6,FALSE)</f>
        <v>15-10-2025</v>
      </c>
      <c r="O2065" s="15" t="str">
        <f>VLOOKUP(A2065,sinap!$A$2:$R$9000,7,FALSE)</f>
        <v>Vivo</v>
      </c>
      <c r="P2065" s="15" t="str">
        <f>VLOOKUP(A2065,sinap!$A$2:$R$9000,8,FALSE)</f>
        <v>11.2.01.0038</v>
      </c>
      <c r="Q2065" s="15" t="str">
        <f>VLOOKUP(A2065,sinap!$A$2:$R$9000,12,FALSE)</f>
        <v>11.1.01.0893</v>
      </c>
      <c r="R2065" s="15" t="str">
        <f>VLOOKUP(A2065,sinap!$A$2:$R$9000,16,FALSE)</f>
        <v>11.1.01.0893</v>
      </c>
      <c r="S2065" s="15" t="str">
        <f>VLOOKUP(A2065,sinap!$A$2:$Y$9000,20,FALSE)</f>
        <v>SI</v>
      </c>
      <c r="T2065" s="16">
        <v>45989</v>
      </c>
    </row>
    <row r="2066" spans="1:20" hidden="1" x14ac:dyDescent="0.25">
      <c r="A2066" s="15">
        <v>26234460</v>
      </c>
      <c r="J2066" s="15" t="str">
        <f>VLOOKUP(A2066,sinap!$A$2:$R$9000,2,FALSE)</f>
        <v>H</v>
      </c>
      <c r="K2066" s="15" t="str">
        <f>VLOOKUP(A2066,sinap!$A$2:$R$9000,3,FALSE)</f>
        <v>TERNERA</v>
      </c>
      <c r="L2066" s="15" t="str">
        <f>VLOOKUP(A2066,sinap!$A$2:$R$9000,4,FALSE)</f>
        <v>HEREFORD</v>
      </c>
      <c r="M2066" s="15" t="str">
        <f>VLOOKUP(A2066,sinap!$A$2:$R$9000,5,FALSE)</f>
        <v>0 años 3 meses</v>
      </c>
      <c r="N2066" s="15" t="str">
        <f>VLOOKUP(A2066,sinap!$A$2:$R$9000,6,FALSE)</f>
        <v>05-10-2025</v>
      </c>
      <c r="O2066" s="15" t="str">
        <f>VLOOKUP(A2066,sinap!$A$2:$R$9000,7,FALSE)</f>
        <v>Vivo</v>
      </c>
      <c r="P2066" s="15" t="str">
        <f>VLOOKUP(A2066,sinap!$A$2:$R$9000,8,FALSE)</f>
        <v>11.1.01.0941</v>
      </c>
      <c r="Q2066" s="15" t="str">
        <f>VLOOKUP(A2066,sinap!$A$2:$R$9000,12,FALSE)</f>
        <v>11.1.01.1241</v>
      </c>
      <c r="R2066" s="15" t="str">
        <f>VLOOKUP(A2066,sinap!$A$2:$R$9000,16,FALSE)</f>
        <v>11.1.01.1241</v>
      </c>
      <c r="S2066" s="15" t="str">
        <f>VLOOKUP(A2066,sinap!$A$2:$Y$9000,20,FALSE)</f>
        <v>SI</v>
      </c>
      <c r="T2066" s="16">
        <v>46006</v>
      </c>
    </row>
    <row r="2067" spans="1:20" hidden="1" x14ac:dyDescent="0.25">
      <c r="A2067" s="15">
        <v>26234461</v>
      </c>
      <c r="J2067" s="15" t="str">
        <f>VLOOKUP(A2067,sinap!$A$2:$R$9000,2,FALSE)</f>
        <v>M</v>
      </c>
      <c r="K2067" s="15" t="str">
        <f>VLOOKUP(A2067,sinap!$A$2:$R$9000,3,FALSE)</f>
        <v>TERNERO</v>
      </c>
      <c r="L2067" s="15" t="str">
        <f>VLOOKUP(A2067,sinap!$A$2:$R$9000,4,FALSE)</f>
        <v>ANGUS NEGRO</v>
      </c>
      <c r="M2067" s="15" t="str">
        <f>VLOOKUP(A2067,sinap!$A$2:$R$9000,5,FALSE)</f>
        <v>0 años 1 meses</v>
      </c>
      <c r="N2067" s="15" t="str">
        <f>VLOOKUP(A2067,sinap!$A$2:$R$9000,6,FALSE)</f>
        <v>16-12-2025</v>
      </c>
      <c r="O2067" s="15" t="str">
        <f>VLOOKUP(A2067,sinap!$A$2:$R$9000,7,FALSE)</f>
        <v>Vivo</v>
      </c>
      <c r="P2067" s="15" t="str">
        <f>VLOOKUP(A2067,sinap!$A$2:$R$9000,8,FALSE)</f>
        <v>11.1.01.1241</v>
      </c>
      <c r="Q2067" s="15" t="str">
        <f>VLOOKUP(A2067,sinap!$A$2:$R$9000,12,FALSE)</f>
        <v>Sin Movimiento</v>
      </c>
      <c r="R2067" s="15" t="str">
        <f>VLOOKUP(A2067,sinap!$A$2:$R$9000,16,FALSE)</f>
        <v>11.1.01.1241</v>
      </c>
      <c r="S2067" s="15" t="str">
        <f>VLOOKUP(A2067,sinap!$A$2:$Y$9000,20,FALSE)</f>
        <v>SI</v>
      </c>
      <c r="T2067" s="16">
        <v>46008</v>
      </c>
    </row>
    <row r="2068" spans="1:20" hidden="1" x14ac:dyDescent="0.25">
      <c r="A2068" s="15">
        <v>26234462</v>
      </c>
      <c r="J2068" s="15" t="str">
        <f>VLOOKUP(A2068,sinap!$A$2:$R$9000,2,FALSE)</f>
        <v>H</v>
      </c>
      <c r="K2068" s="15" t="str">
        <f>VLOOKUP(A2068,sinap!$A$2:$R$9000,3,FALSE)</f>
        <v>TERNERA</v>
      </c>
      <c r="L2068" s="15" t="str">
        <f>VLOOKUP(A2068,sinap!$A$2:$R$9000,4,FALSE)</f>
        <v>ANGUS NEGRO</v>
      </c>
      <c r="M2068" s="15" t="str">
        <f>VLOOKUP(A2068,sinap!$A$2:$R$9000,5,FALSE)</f>
        <v>0 años 1 meses</v>
      </c>
      <c r="N2068" s="15" t="str">
        <f>VLOOKUP(A2068,sinap!$A$2:$R$9000,6,FALSE)</f>
        <v>16-12-2025</v>
      </c>
      <c r="O2068" s="15" t="str">
        <f>VLOOKUP(A2068,sinap!$A$2:$R$9000,7,FALSE)</f>
        <v>Vivo</v>
      </c>
      <c r="P2068" s="15" t="str">
        <f>VLOOKUP(A2068,sinap!$A$2:$R$9000,8,FALSE)</f>
        <v>11.1.01.1241</v>
      </c>
      <c r="Q2068" s="15" t="str">
        <f>VLOOKUP(A2068,sinap!$A$2:$R$9000,12,FALSE)</f>
        <v>Sin Movimiento</v>
      </c>
      <c r="R2068" s="15" t="str">
        <f>VLOOKUP(A2068,sinap!$A$2:$R$9000,16,FALSE)</f>
        <v>11.1.01.1241</v>
      </c>
      <c r="S2068" s="15" t="str">
        <f>VLOOKUP(A2068,sinap!$A$2:$Y$9000,20,FALSE)</f>
        <v>SI</v>
      </c>
      <c r="T2068" s="16">
        <v>46008</v>
      </c>
    </row>
    <row r="2069" spans="1:20" hidden="1" x14ac:dyDescent="0.25">
      <c r="A2069" s="15">
        <v>26234463</v>
      </c>
      <c r="J2069" s="15" t="str">
        <f>VLOOKUP(A2069,sinap!$A$2:$R$9000,2,FALSE)</f>
        <v>H</v>
      </c>
      <c r="K2069" s="15" t="str">
        <f>VLOOKUP(A2069,sinap!$A$2:$R$9000,3,FALSE)</f>
        <v>TERNERA</v>
      </c>
      <c r="L2069" s="15" t="str">
        <f>VLOOKUP(A2069,sinap!$A$2:$R$9000,4,FALSE)</f>
        <v>ANGUS ROJO</v>
      </c>
      <c r="M2069" s="15" t="str">
        <f>VLOOKUP(A2069,sinap!$A$2:$R$9000,5,FALSE)</f>
        <v>0 años 1 meses</v>
      </c>
      <c r="N2069" s="15" t="str">
        <f>VLOOKUP(A2069,sinap!$A$2:$R$9000,6,FALSE)</f>
        <v>16-12-2025</v>
      </c>
      <c r="O2069" s="15" t="str">
        <f>VLOOKUP(A2069,sinap!$A$2:$R$9000,7,FALSE)</f>
        <v>Vivo</v>
      </c>
      <c r="P2069" s="15" t="str">
        <f>VLOOKUP(A2069,sinap!$A$2:$R$9000,8,FALSE)</f>
        <v>11.1.01.1241</v>
      </c>
      <c r="Q2069" s="15" t="str">
        <f>VLOOKUP(A2069,sinap!$A$2:$R$9000,12,FALSE)</f>
        <v>Sin Movimiento</v>
      </c>
      <c r="R2069" s="15" t="str">
        <f>VLOOKUP(A2069,sinap!$A$2:$R$9000,16,FALSE)</f>
        <v>11.1.01.1241</v>
      </c>
      <c r="S2069" s="15" t="str">
        <f>VLOOKUP(A2069,sinap!$A$2:$Y$9000,20,FALSE)</f>
        <v>SI</v>
      </c>
      <c r="T2069" s="16">
        <v>46008</v>
      </c>
    </row>
    <row r="2070" spans="1:20" hidden="1" x14ac:dyDescent="0.25">
      <c r="A2070" s="15">
        <v>26234464</v>
      </c>
      <c r="J2070" s="15" t="str">
        <f>VLOOKUP(A2070,sinap!$A$2:$R$9000,2,FALSE)</f>
        <v>H</v>
      </c>
      <c r="K2070" s="15" t="str">
        <f>VLOOKUP(A2070,sinap!$A$2:$R$9000,3,FALSE)</f>
        <v>TERNERA</v>
      </c>
      <c r="L2070" s="15" t="str">
        <f>VLOOKUP(A2070,sinap!$A$2:$R$9000,4,FALSE)</f>
        <v>HEREFORD</v>
      </c>
      <c r="M2070" s="15" t="str">
        <f>VLOOKUP(A2070,sinap!$A$2:$R$9000,5,FALSE)</f>
        <v>0 años 1 meses</v>
      </c>
      <c r="N2070" s="15" t="str">
        <f>VLOOKUP(A2070,sinap!$A$2:$R$9000,6,FALSE)</f>
        <v>16-12-2025</v>
      </c>
      <c r="O2070" s="15" t="str">
        <f>VLOOKUP(A2070,sinap!$A$2:$R$9000,7,FALSE)</f>
        <v>Vivo</v>
      </c>
      <c r="P2070" s="15" t="str">
        <f>VLOOKUP(A2070,sinap!$A$2:$R$9000,8,FALSE)</f>
        <v>11.1.01.1241</v>
      </c>
      <c r="Q2070" s="15" t="str">
        <f>VLOOKUP(A2070,sinap!$A$2:$R$9000,12,FALSE)</f>
        <v>Sin Movimiento</v>
      </c>
      <c r="R2070" s="15" t="str">
        <f>VLOOKUP(A2070,sinap!$A$2:$R$9000,16,FALSE)</f>
        <v>11.1.01.1241</v>
      </c>
      <c r="S2070" s="15" t="str">
        <f>VLOOKUP(A2070,sinap!$A$2:$Y$9000,20,FALSE)</f>
        <v>SI</v>
      </c>
      <c r="T2070" s="16">
        <v>46008</v>
      </c>
    </row>
    <row r="2071" spans="1:20" hidden="1" x14ac:dyDescent="0.25">
      <c r="A2071" s="15">
        <v>26234465</v>
      </c>
      <c r="J2071" s="15" t="str">
        <f>VLOOKUP(A2071,sinap!$A$2:$R$9000,2,FALSE)</f>
        <v>H</v>
      </c>
      <c r="K2071" s="15" t="str">
        <f>VLOOKUP(A2071,sinap!$A$2:$R$9000,3,FALSE)</f>
        <v>TERNERA</v>
      </c>
      <c r="L2071" s="15" t="str">
        <f>VLOOKUP(A2071,sinap!$A$2:$R$9000,4,FALSE)</f>
        <v>HEREFORD</v>
      </c>
      <c r="M2071" s="15" t="str">
        <f>VLOOKUP(A2071,sinap!$A$2:$R$9000,5,FALSE)</f>
        <v>0 años 1 meses</v>
      </c>
      <c r="N2071" s="15" t="str">
        <f>VLOOKUP(A2071,sinap!$A$2:$R$9000,6,FALSE)</f>
        <v>16-12-2025</v>
      </c>
      <c r="O2071" s="15" t="str">
        <f>VLOOKUP(A2071,sinap!$A$2:$R$9000,7,FALSE)</f>
        <v>Vivo</v>
      </c>
      <c r="P2071" s="15" t="str">
        <f>VLOOKUP(A2071,sinap!$A$2:$R$9000,8,FALSE)</f>
        <v>11.1.01.1241</v>
      </c>
      <c r="Q2071" s="15" t="str">
        <f>VLOOKUP(A2071,sinap!$A$2:$R$9000,12,FALSE)</f>
        <v>Sin Movimiento</v>
      </c>
      <c r="R2071" s="15" t="str">
        <f>VLOOKUP(A2071,sinap!$A$2:$R$9000,16,FALSE)</f>
        <v>11.1.01.1241</v>
      </c>
      <c r="S2071" s="15" t="str">
        <f>VLOOKUP(A2071,sinap!$A$2:$Y$9000,20,FALSE)</f>
        <v>SI</v>
      </c>
      <c r="T2071" s="16">
        <v>46008</v>
      </c>
    </row>
    <row r="2072" spans="1:20" hidden="1" x14ac:dyDescent="0.25">
      <c r="A2072" s="15">
        <v>26234466</v>
      </c>
      <c r="J2072" s="15" t="str">
        <f>VLOOKUP(A2072,sinap!$A$2:$R$9000,2,FALSE)</f>
        <v>M</v>
      </c>
      <c r="K2072" s="15" t="str">
        <f>VLOOKUP(A2072,sinap!$A$2:$R$9000,3,FALSE)</f>
        <v>TERNERO</v>
      </c>
      <c r="L2072" s="15" t="str">
        <f>VLOOKUP(A2072,sinap!$A$2:$R$9000,4,FALSE)</f>
        <v>HEREFORD</v>
      </c>
      <c r="M2072" s="15" t="str">
        <f>VLOOKUP(A2072,sinap!$A$2:$R$9000,5,FALSE)</f>
        <v>0 años 1 meses</v>
      </c>
      <c r="N2072" s="15" t="str">
        <f>VLOOKUP(A2072,sinap!$A$2:$R$9000,6,FALSE)</f>
        <v>16-12-2025</v>
      </c>
      <c r="O2072" s="15" t="str">
        <f>VLOOKUP(A2072,sinap!$A$2:$R$9000,7,FALSE)</f>
        <v>Vivo</v>
      </c>
      <c r="P2072" s="15" t="str">
        <f>VLOOKUP(A2072,sinap!$A$2:$R$9000,8,FALSE)</f>
        <v>11.1.01.1241</v>
      </c>
      <c r="Q2072" s="15" t="str">
        <f>VLOOKUP(A2072,sinap!$A$2:$R$9000,12,FALSE)</f>
        <v>Sin Movimiento</v>
      </c>
      <c r="R2072" s="15" t="str">
        <f>VLOOKUP(A2072,sinap!$A$2:$R$9000,16,FALSE)</f>
        <v>11.1.01.1241</v>
      </c>
      <c r="S2072" s="15" t="str">
        <f>VLOOKUP(A2072,sinap!$A$2:$Y$9000,20,FALSE)</f>
        <v>SI</v>
      </c>
      <c r="T2072" s="16">
        <v>46008</v>
      </c>
    </row>
    <row r="2073" spans="1:20" hidden="1" x14ac:dyDescent="0.25">
      <c r="A2073" s="15">
        <v>26234467</v>
      </c>
      <c r="J2073" s="15" t="str">
        <f>VLOOKUP(A2073,sinap!$A$2:$R$9000,2,FALSE)</f>
        <v>M</v>
      </c>
      <c r="K2073" s="15" t="str">
        <f>VLOOKUP(A2073,sinap!$A$2:$R$9000,3,FALSE)</f>
        <v>TERNERO</v>
      </c>
      <c r="L2073" s="15" t="str">
        <f>VLOOKUP(A2073,sinap!$A$2:$R$9000,4,FALSE)</f>
        <v>HEREFORD</v>
      </c>
      <c r="M2073" s="15" t="str">
        <f>VLOOKUP(A2073,sinap!$A$2:$R$9000,5,FALSE)</f>
        <v>0 años 1 meses</v>
      </c>
      <c r="N2073" s="15" t="str">
        <f>VLOOKUP(A2073,sinap!$A$2:$R$9000,6,FALSE)</f>
        <v>16-12-2025</v>
      </c>
      <c r="O2073" s="15" t="str">
        <f>VLOOKUP(A2073,sinap!$A$2:$R$9000,7,FALSE)</f>
        <v>Vivo</v>
      </c>
      <c r="P2073" s="15" t="str">
        <f>VLOOKUP(A2073,sinap!$A$2:$R$9000,8,FALSE)</f>
        <v>11.1.01.1241</v>
      </c>
      <c r="Q2073" s="15" t="str">
        <f>VLOOKUP(A2073,sinap!$A$2:$R$9000,12,FALSE)</f>
        <v>Sin Movimiento</v>
      </c>
      <c r="R2073" s="15" t="str">
        <f>VLOOKUP(A2073,sinap!$A$2:$R$9000,16,FALSE)</f>
        <v>11.1.01.1241</v>
      </c>
      <c r="S2073" s="15" t="str">
        <f>VLOOKUP(A2073,sinap!$A$2:$Y$9000,20,FALSE)</f>
        <v>SI</v>
      </c>
      <c r="T2073" s="16">
        <v>46008</v>
      </c>
    </row>
    <row r="2074" spans="1:20" hidden="1" x14ac:dyDescent="0.25">
      <c r="A2074" s="15">
        <v>26234468</v>
      </c>
      <c r="J2074" s="15" t="str">
        <f>VLOOKUP(A2074,sinap!$A$2:$R$9000,2,FALSE)</f>
        <v>H</v>
      </c>
      <c r="K2074" s="15" t="str">
        <f>VLOOKUP(A2074,sinap!$A$2:$R$9000,3,FALSE)</f>
        <v>TERNERA</v>
      </c>
      <c r="L2074" s="15" t="str">
        <f>VLOOKUP(A2074,sinap!$A$2:$R$9000,4,FALSE)</f>
        <v>HEREFORD</v>
      </c>
      <c r="M2074" s="15" t="str">
        <f>VLOOKUP(A2074,sinap!$A$2:$R$9000,5,FALSE)</f>
        <v>0 años 1 meses</v>
      </c>
      <c r="N2074" s="15" t="str">
        <f>VLOOKUP(A2074,sinap!$A$2:$R$9000,6,FALSE)</f>
        <v>16-12-2025</v>
      </c>
      <c r="O2074" s="15" t="str">
        <f>VLOOKUP(A2074,sinap!$A$2:$R$9000,7,FALSE)</f>
        <v>Vivo</v>
      </c>
      <c r="P2074" s="15" t="str">
        <f>VLOOKUP(A2074,sinap!$A$2:$R$9000,8,FALSE)</f>
        <v>11.1.01.1241</v>
      </c>
      <c r="Q2074" s="15" t="str">
        <f>VLOOKUP(A2074,sinap!$A$2:$R$9000,12,FALSE)</f>
        <v>Sin Movimiento</v>
      </c>
      <c r="R2074" s="15" t="str">
        <f>VLOOKUP(A2074,sinap!$A$2:$R$9000,16,FALSE)</f>
        <v>11.1.01.1241</v>
      </c>
      <c r="S2074" s="15" t="str">
        <f>VLOOKUP(A2074,sinap!$A$2:$Y$9000,20,FALSE)</f>
        <v>SI</v>
      </c>
      <c r="T2074" s="16">
        <v>46008</v>
      </c>
    </row>
    <row r="2075" spans="1:20" hidden="1" x14ac:dyDescent="0.25">
      <c r="A2075" s="15">
        <v>26234469</v>
      </c>
      <c r="J2075" s="15" t="str">
        <f>VLOOKUP(A2075,sinap!$A$2:$R$9000,2,FALSE)</f>
        <v>M</v>
      </c>
      <c r="K2075" s="15" t="str">
        <f>VLOOKUP(A2075,sinap!$A$2:$R$9000,3,FALSE)</f>
        <v>TERNERO</v>
      </c>
      <c r="L2075" s="15" t="str">
        <f>VLOOKUP(A2075,sinap!$A$2:$R$9000,4,FALSE)</f>
        <v>HEREFORD</v>
      </c>
      <c r="M2075" s="15" t="str">
        <f>VLOOKUP(A2075,sinap!$A$2:$R$9000,5,FALSE)</f>
        <v>0 años 1 meses</v>
      </c>
      <c r="N2075" s="15" t="str">
        <f>VLOOKUP(A2075,sinap!$A$2:$R$9000,6,FALSE)</f>
        <v>16-12-2025</v>
      </c>
      <c r="O2075" s="15" t="str">
        <f>VLOOKUP(A2075,sinap!$A$2:$R$9000,7,FALSE)</f>
        <v>Vivo</v>
      </c>
      <c r="P2075" s="15" t="str">
        <f>VLOOKUP(A2075,sinap!$A$2:$R$9000,8,FALSE)</f>
        <v>11.1.01.1241</v>
      </c>
      <c r="Q2075" s="15" t="str">
        <f>VLOOKUP(A2075,sinap!$A$2:$R$9000,12,FALSE)</f>
        <v>Sin Movimiento</v>
      </c>
      <c r="R2075" s="15" t="str">
        <f>VLOOKUP(A2075,sinap!$A$2:$R$9000,16,FALSE)</f>
        <v>11.1.01.1241</v>
      </c>
      <c r="S2075" s="15" t="str">
        <f>VLOOKUP(A2075,sinap!$A$2:$Y$9000,20,FALSE)</f>
        <v>SI</v>
      </c>
      <c r="T2075" s="16">
        <v>46008</v>
      </c>
    </row>
    <row r="2076" spans="1:20" hidden="1" x14ac:dyDescent="0.25">
      <c r="A2076" s="15">
        <v>26234470</v>
      </c>
      <c r="J2076" s="15" t="str">
        <f>VLOOKUP(A2076,sinap!$A$2:$R$9000,2,FALSE)</f>
        <v>M</v>
      </c>
      <c r="K2076" s="15" t="str">
        <f>VLOOKUP(A2076,sinap!$A$2:$R$9000,3,FALSE)</f>
        <v>TERNERO</v>
      </c>
      <c r="L2076" s="15" t="str">
        <f>VLOOKUP(A2076,sinap!$A$2:$R$9000,4,FALSE)</f>
        <v>HEREFORD</v>
      </c>
      <c r="M2076" s="15" t="str">
        <f>VLOOKUP(A2076,sinap!$A$2:$R$9000,5,FALSE)</f>
        <v>0 años 1 meses</v>
      </c>
      <c r="N2076" s="15" t="str">
        <f>VLOOKUP(A2076,sinap!$A$2:$R$9000,6,FALSE)</f>
        <v>16-12-2025</v>
      </c>
      <c r="O2076" s="15" t="str">
        <f>VLOOKUP(A2076,sinap!$A$2:$R$9000,7,FALSE)</f>
        <v>Vivo</v>
      </c>
      <c r="P2076" s="15" t="str">
        <f>VLOOKUP(A2076,sinap!$A$2:$R$9000,8,FALSE)</f>
        <v>11.1.01.1241</v>
      </c>
      <c r="Q2076" s="15" t="str">
        <f>VLOOKUP(A2076,sinap!$A$2:$R$9000,12,FALSE)</f>
        <v>Sin Movimiento</v>
      </c>
      <c r="R2076" s="15" t="str">
        <f>VLOOKUP(A2076,sinap!$A$2:$R$9000,16,FALSE)</f>
        <v>11.1.01.1241</v>
      </c>
      <c r="S2076" s="15" t="str">
        <f>VLOOKUP(A2076,sinap!$A$2:$Y$9000,20,FALSE)</f>
        <v>SI</v>
      </c>
      <c r="T2076" s="16">
        <v>46008</v>
      </c>
    </row>
    <row r="2077" spans="1:20" hidden="1" x14ac:dyDescent="0.25">
      <c r="A2077" s="15">
        <v>26234471</v>
      </c>
      <c r="J2077" s="15" t="str">
        <f>VLOOKUP(A2077,sinap!$A$2:$R$9000,2,FALSE)</f>
        <v>M</v>
      </c>
      <c r="K2077" s="15" t="str">
        <f>VLOOKUP(A2077,sinap!$A$2:$R$9000,3,FALSE)</f>
        <v>TERNERO</v>
      </c>
      <c r="L2077" s="15" t="str">
        <f>VLOOKUP(A2077,sinap!$A$2:$R$9000,4,FALSE)</f>
        <v>HEREFORD</v>
      </c>
      <c r="M2077" s="15" t="str">
        <f>VLOOKUP(A2077,sinap!$A$2:$R$9000,5,FALSE)</f>
        <v>0 años 1 meses</v>
      </c>
      <c r="N2077" s="15" t="str">
        <f>VLOOKUP(A2077,sinap!$A$2:$R$9000,6,FALSE)</f>
        <v>16-12-2025</v>
      </c>
      <c r="O2077" s="15" t="str">
        <f>VLOOKUP(A2077,sinap!$A$2:$R$9000,7,FALSE)</f>
        <v>Vivo</v>
      </c>
      <c r="P2077" s="15" t="str">
        <f>VLOOKUP(A2077,sinap!$A$2:$R$9000,8,FALSE)</f>
        <v>11.1.01.1241</v>
      </c>
      <c r="Q2077" s="15" t="str">
        <f>VLOOKUP(A2077,sinap!$A$2:$R$9000,12,FALSE)</f>
        <v>Sin Movimiento</v>
      </c>
      <c r="R2077" s="15" t="str">
        <f>VLOOKUP(A2077,sinap!$A$2:$R$9000,16,FALSE)</f>
        <v>11.1.01.1241</v>
      </c>
      <c r="S2077" s="15" t="str">
        <f>VLOOKUP(A2077,sinap!$A$2:$Y$9000,20,FALSE)</f>
        <v>SI</v>
      </c>
      <c r="T2077" s="16">
        <v>46008</v>
      </c>
    </row>
    <row r="2078" spans="1:20" hidden="1" x14ac:dyDescent="0.25">
      <c r="A2078" s="15">
        <v>26234472</v>
      </c>
      <c r="J2078" s="15" t="str">
        <f>VLOOKUP(A2078,sinap!$A$2:$R$9000,2,FALSE)</f>
        <v>M</v>
      </c>
      <c r="K2078" s="15" t="str">
        <f>VLOOKUP(A2078,sinap!$A$2:$R$9000,3,FALSE)</f>
        <v>TERNERO</v>
      </c>
      <c r="L2078" s="15" t="str">
        <f>VLOOKUP(A2078,sinap!$A$2:$R$9000,4,FALSE)</f>
        <v>ANGUS ROJO</v>
      </c>
      <c r="M2078" s="15" t="str">
        <f>VLOOKUP(A2078,sinap!$A$2:$R$9000,5,FALSE)</f>
        <v>0 años 1 meses</v>
      </c>
      <c r="N2078" s="15" t="str">
        <f>VLOOKUP(A2078,sinap!$A$2:$R$9000,6,FALSE)</f>
        <v>16-12-2025</v>
      </c>
      <c r="O2078" s="15" t="str">
        <f>VLOOKUP(A2078,sinap!$A$2:$R$9000,7,FALSE)</f>
        <v>Vivo</v>
      </c>
      <c r="P2078" s="15" t="str">
        <f>VLOOKUP(A2078,sinap!$A$2:$R$9000,8,FALSE)</f>
        <v>11.1.01.1241</v>
      </c>
      <c r="Q2078" s="15" t="str">
        <f>VLOOKUP(A2078,sinap!$A$2:$R$9000,12,FALSE)</f>
        <v>Sin Movimiento</v>
      </c>
      <c r="R2078" s="15" t="str">
        <f>VLOOKUP(A2078,sinap!$A$2:$R$9000,16,FALSE)</f>
        <v>11.1.01.1241</v>
      </c>
      <c r="S2078" s="15" t="str">
        <f>VLOOKUP(A2078,sinap!$A$2:$Y$9000,20,FALSE)</f>
        <v>SI</v>
      </c>
      <c r="T2078" s="16">
        <v>46008</v>
      </c>
    </row>
    <row r="2079" spans="1:20" hidden="1" x14ac:dyDescent="0.25">
      <c r="A2079" s="15">
        <v>26234473</v>
      </c>
      <c r="J2079" s="15" t="str">
        <f>VLOOKUP(A2079,sinap!$A$2:$R$9000,2,FALSE)</f>
        <v>H</v>
      </c>
      <c r="K2079" s="15" t="str">
        <f>VLOOKUP(A2079,sinap!$A$2:$R$9000,3,FALSE)</f>
        <v>TERNERA</v>
      </c>
      <c r="L2079" s="15" t="str">
        <f>VLOOKUP(A2079,sinap!$A$2:$R$9000,4,FALSE)</f>
        <v>ANGUS NEGRO</v>
      </c>
      <c r="M2079" s="15" t="str">
        <f>VLOOKUP(A2079,sinap!$A$2:$R$9000,5,FALSE)</f>
        <v>0 años 1 meses</v>
      </c>
      <c r="N2079" s="15" t="str">
        <f>VLOOKUP(A2079,sinap!$A$2:$R$9000,6,FALSE)</f>
        <v>16-12-2025</v>
      </c>
      <c r="O2079" s="15" t="str">
        <f>VLOOKUP(A2079,sinap!$A$2:$R$9000,7,FALSE)</f>
        <v>Vivo</v>
      </c>
      <c r="P2079" s="15" t="str">
        <f>VLOOKUP(A2079,sinap!$A$2:$R$9000,8,FALSE)</f>
        <v>11.1.01.1241</v>
      </c>
      <c r="Q2079" s="15" t="str">
        <f>VLOOKUP(A2079,sinap!$A$2:$R$9000,12,FALSE)</f>
        <v>Sin Movimiento</v>
      </c>
      <c r="R2079" s="15" t="str">
        <f>VLOOKUP(A2079,sinap!$A$2:$R$9000,16,FALSE)</f>
        <v>11.1.01.1241</v>
      </c>
      <c r="S2079" s="15" t="str">
        <f>VLOOKUP(A2079,sinap!$A$2:$Y$9000,20,FALSE)</f>
        <v>SI</v>
      </c>
      <c r="T2079" s="16">
        <v>46008</v>
      </c>
    </row>
    <row r="2080" spans="1:20" hidden="1" x14ac:dyDescent="0.25">
      <c r="A2080" s="15">
        <v>26234474</v>
      </c>
      <c r="J2080" s="15" t="str">
        <f>VLOOKUP(A2080,sinap!$A$2:$R$9000,2,FALSE)</f>
        <v>H</v>
      </c>
      <c r="K2080" s="15" t="str">
        <f>VLOOKUP(A2080,sinap!$A$2:$R$9000,3,FALSE)</f>
        <v>TERNERA</v>
      </c>
      <c r="L2080" s="15" t="str">
        <f>VLOOKUP(A2080,sinap!$A$2:$R$9000,4,FALSE)</f>
        <v>ANGUS NEGRO</v>
      </c>
      <c r="M2080" s="15" t="str">
        <f>VLOOKUP(A2080,sinap!$A$2:$R$9000,5,FALSE)</f>
        <v>0 años 1 meses</v>
      </c>
      <c r="N2080" s="15" t="str">
        <f>VLOOKUP(A2080,sinap!$A$2:$R$9000,6,FALSE)</f>
        <v>16-12-2025</v>
      </c>
      <c r="O2080" s="15" t="str">
        <f>VLOOKUP(A2080,sinap!$A$2:$R$9000,7,FALSE)</f>
        <v>Vivo</v>
      </c>
      <c r="P2080" s="15" t="str">
        <f>VLOOKUP(A2080,sinap!$A$2:$R$9000,8,FALSE)</f>
        <v>11.1.01.1241</v>
      </c>
      <c r="Q2080" s="15" t="str">
        <f>VLOOKUP(A2080,sinap!$A$2:$R$9000,12,FALSE)</f>
        <v>Sin Movimiento</v>
      </c>
      <c r="R2080" s="15" t="str">
        <f>VLOOKUP(A2080,sinap!$A$2:$R$9000,16,FALSE)</f>
        <v>11.1.01.1241</v>
      </c>
      <c r="S2080" s="15" t="str">
        <f>VLOOKUP(A2080,sinap!$A$2:$Y$9000,20,FALSE)</f>
        <v>SI</v>
      </c>
      <c r="T2080" s="16">
        <v>46008</v>
      </c>
    </row>
    <row r="2081" spans="1:20" hidden="1" x14ac:dyDescent="0.25">
      <c r="A2081" s="15">
        <v>26234475</v>
      </c>
      <c r="J2081" s="15" t="str">
        <f>VLOOKUP(A2081,sinap!$A$2:$R$9000,2,FALSE)</f>
        <v>M</v>
      </c>
      <c r="K2081" s="15" t="str">
        <f>VLOOKUP(A2081,sinap!$A$2:$R$9000,3,FALSE)</f>
        <v>TERNERO</v>
      </c>
      <c r="L2081" s="15" t="str">
        <f>VLOOKUP(A2081,sinap!$A$2:$R$9000,4,FALSE)</f>
        <v>ANGUS NEGRO</v>
      </c>
      <c r="M2081" s="15" t="str">
        <f>VLOOKUP(A2081,sinap!$A$2:$R$9000,5,FALSE)</f>
        <v>0 años 1 meses</v>
      </c>
      <c r="N2081" s="15" t="str">
        <f>VLOOKUP(A2081,sinap!$A$2:$R$9000,6,FALSE)</f>
        <v>16-12-2025</v>
      </c>
      <c r="O2081" s="15" t="str">
        <f>VLOOKUP(A2081,sinap!$A$2:$R$9000,7,FALSE)</f>
        <v>Vivo</v>
      </c>
      <c r="P2081" s="15" t="str">
        <f>VLOOKUP(A2081,sinap!$A$2:$R$9000,8,FALSE)</f>
        <v>11.1.01.1241</v>
      </c>
      <c r="Q2081" s="15" t="str">
        <f>VLOOKUP(A2081,sinap!$A$2:$R$9000,12,FALSE)</f>
        <v>Sin Movimiento</v>
      </c>
      <c r="R2081" s="15" t="str">
        <f>VLOOKUP(A2081,sinap!$A$2:$R$9000,16,FALSE)</f>
        <v>11.1.01.1241</v>
      </c>
      <c r="S2081" s="15" t="str">
        <f>VLOOKUP(A2081,sinap!$A$2:$Y$9000,20,FALSE)</f>
        <v>SI</v>
      </c>
      <c r="T2081" s="16">
        <v>46008</v>
      </c>
    </row>
    <row r="2082" spans="1:20" hidden="1" x14ac:dyDescent="0.25">
      <c r="A2082" s="15">
        <v>26234476</v>
      </c>
      <c r="J2082" s="15" t="str">
        <f>VLOOKUP(A2082,sinap!$A$2:$R$9000,2,FALSE)</f>
        <v>M</v>
      </c>
      <c r="K2082" s="15" t="str">
        <f>VLOOKUP(A2082,sinap!$A$2:$R$9000,3,FALSE)</f>
        <v>TERNERO</v>
      </c>
      <c r="L2082" s="15" t="str">
        <f>VLOOKUP(A2082,sinap!$A$2:$R$9000,4,FALSE)</f>
        <v>ANGUS NEGRO</v>
      </c>
      <c r="M2082" s="15" t="str">
        <f>VLOOKUP(A2082,sinap!$A$2:$R$9000,5,FALSE)</f>
        <v>0 años 1 meses</v>
      </c>
      <c r="N2082" s="15" t="str">
        <f>VLOOKUP(A2082,sinap!$A$2:$R$9000,6,FALSE)</f>
        <v>16-12-2025</v>
      </c>
      <c r="O2082" s="15" t="str">
        <f>VLOOKUP(A2082,sinap!$A$2:$R$9000,7,FALSE)</f>
        <v>Vivo</v>
      </c>
      <c r="P2082" s="15" t="str">
        <f>VLOOKUP(A2082,sinap!$A$2:$R$9000,8,FALSE)</f>
        <v>11.1.01.1241</v>
      </c>
      <c r="Q2082" s="15" t="str">
        <f>VLOOKUP(A2082,sinap!$A$2:$R$9000,12,FALSE)</f>
        <v>Sin Movimiento</v>
      </c>
      <c r="R2082" s="15" t="str">
        <f>VLOOKUP(A2082,sinap!$A$2:$R$9000,16,FALSE)</f>
        <v>11.1.01.1241</v>
      </c>
      <c r="S2082" s="15" t="str">
        <f>VLOOKUP(A2082,sinap!$A$2:$Y$9000,20,FALSE)</f>
        <v>SI</v>
      </c>
      <c r="T2082" s="16">
        <v>46008</v>
      </c>
    </row>
    <row r="2083" spans="1:20" hidden="1" x14ac:dyDescent="0.25">
      <c r="A2083" s="15">
        <v>26234477</v>
      </c>
      <c r="J2083" s="15" t="str">
        <f>VLOOKUP(A2083,sinap!$A$2:$R$9000,2,FALSE)</f>
        <v>M</v>
      </c>
      <c r="K2083" s="15" t="str">
        <f>VLOOKUP(A2083,sinap!$A$2:$R$9000,3,FALSE)</f>
        <v>TERNERO</v>
      </c>
      <c r="L2083" s="15" t="str">
        <f>VLOOKUP(A2083,sinap!$A$2:$R$9000,4,FALSE)</f>
        <v>ANGUS NEGRO</v>
      </c>
      <c r="M2083" s="15" t="str">
        <f>VLOOKUP(A2083,sinap!$A$2:$R$9000,5,FALSE)</f>
        <v>0 años 1 meses</v>
      </c>
      <c r="N2083" s="15" t="str">
        <f>VLOOKUP(A2083,sinap!$A$2:$R$9000,6,FALSE)</f>
        <v>16-12-2025</v>
      </c>
      <c r="O2083" s="15" t="str">
        <f>VLOOKUP(A2083,sinap!$A$2:$R$9000,7,FALSE)</f>
        <v>Vivo</v>
      </c>
      <c r="P2083" s="15" t="str">
        <f>VLOOKUP(A2083,sinap!$A$2:$R$9000,8,FALSE)</f>
        <v>11.1.01.1241</v>
      </c>
      <c r="Q2083" s="15" t="str">
        <f>VLOOKUP(A2083,sinap!$A$2:$R$9000,12,FALSE)</f>
        <v>Sin Movimiento</v>
      </c>
      <c r="R2083" s="15" t="str">
        <f>VLOOKUP(A2083,sinap!$A$2:$R$9000,16,FALSE)</f>
        <v>11.1.01.1241</v>
      </c>
      <c r="S2083" s="15" t="str">
        <f>VLOOKUP(A2083,sinap!$A$2:$Y$9000,20,FALSE)</f>
        <v>SI</v>
      </c>
      <c r="T2083" s="16">
        <v>46008</v>
      </c>
    </row>
    <row r="2084" spans="1:20" hidden="1" x14ac:dyDescent="0.25">
      <c r="A2084" s="15">
        <v>26234485</v>
      </c>
      <c r="J2084" s="15" t="str">
        <f>VLOOKUP(A2084,sinap!$A$2:$R$9000,2,FALSE)</f>
        <v>H</v>
      </c>
      <c r="K2084" s="15" t="str">
        <f>VLOOKUP(A2084,sinap!$A$2:$R$9000,3,FALSE)</f>
        <v>TERNERA</v>
      </c>
      <c r="L2084" s="15" t="str">
        <f>VLOOKUP(A2084,sinap!$A$2:$R$9000,4,FALSE)</f>
        <v>ANGUS NEGRO</v>
      </c>
      <c r="M2084" s="15" t="str">
        <f>VLOOKUP(A2084,sinap!$A$2:$R$9000,5,FALSE)</f>
        <v>0 años 0 meses</v>
      </c>
      <c r="N2084" s="15" t="str">
        <f>VLOOKUP(A2084,sinap!$A$2:$R$9000,6,FALSE)</f>
        <v>21-12-2025</v>
      </c>
      <c r="O2084" s="15" t="str">
        <f>VLOOKUP(A2084,sinap!$A$2:$R$9000,7,FALSE)</f>
        <v>Vivo</v>
      </c>
      <c r="P2084" s="15" t="str">
        <f>VLOOKUP(A2084,sinap!$A$2:$R$9000,8,FALSE)</f>
        <v>11.1.01.0791</v>
      </c>
      <c r="Q2084" s="15" t="str">
        <f>VLOOKUP(A2084,sinap!$A$2:$R$9000,12,FALSE)</f>
        <v>11.1.01.0893</v>
      </c>
      <c r="R2084" s="15" t="str">
        <f>VLOOKUP(A2084,sinap!$A$2:$R$9000,16,FALSE)</f>
        <v>11.1.01.0893</v>
      </c>
      <c r="S2084" s="15" t="str">
        <f>VLOOKUP(A2084,sinap!$A$2:$Y$9000,20,FALSE)</f>
        <v>SI</v>
      </c>
      <c r="T2084" s="16">
        <v>46012</v>
      </c>
    </row>
  </sheetData>
  <autoFilter ref="A1:T2084" xr:uid="{00000000-0009-0000-0000-000002000000}">
    <filterColumn colId="3">
      <filters>
        <dateGroupItem year="2020" month="11" dateTimeGrouping="month"/>
      </filters>
    </filterColumn>
  </autoFilter>
  <sortState xmlns:xlrd2="http://schemas.microsoft.com/office/spreadsheetml/2017/richdata2" ref="A2:T3567">
    <sortCondition ref="A2:A3567"/>
  </sortState>
  <pageMargins left="0.7" right="0.7" top="0.75" bottom="0.75" header="0.3" footer="0.3"/>
  <pageSetup paperSize="30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1728"/>
  <sheetViews>
    <sheetView workbookViewId="0">
      <pane ySplit="1" topLeftCell="A20" activePane="bottomLeft" state="frozen"/>
      <selection pane="bottomLeft" activeCell="I10" sqref="I10"/>
    </sheetView>
  </sheetViews>
  <sheetFormatPr baseColWidth="10" defaultRowHeight="15" x14ac:dyDescent="0.25"/>
  <sheetData>
    <row r="1" spans="1:8" x14ac:dyDescent="0.25">
      <c r="A1" s="18" t="s">
        <v>550</v>
      </c>
      <c r="B1" s="18" t="s">
        <v>551</v>
      </c>
      <c r="C1" s="18" t="s">
        <v>552</v>
      </c>
      <c r="D1" s="18" t="s">
        <v>553</v>
      </c>
      <c r="E1" s="18" t="s">
        <v>554</v>
      </c>
      <c r="F1" s="18" t="s">
        <v>555</v>
      </c>
      <c r="G1" s="18" t="s">
        <v>556</v>
      </c>
      <c r="H1" s="18" t="s">
        <v>389</v>
      </c>
    </row>
    <row r="2" spans="1:8" x14ac:dyDescent="0.25">
      <c r="A2">
        <v>26234485</v>
      </c>
      <c r="B2" s="19" t="s">
        <v>12</v>
      </c>
      <c r="C2" s="19" t="s">
        <v>15</v>
      </c>
      <c r="D2" s="19" t="s">
        <v>661</v>
      </c>
      <c r="E2" s="19" t="s">
        <v>443</v>
      </c>
      <c r="F2" s="19" t="s">
        <v>400</v>
      </c>
      <c r="G2" s="19" t="s">
        <v>557</v>
      </c>
      <c r="H2" s="19" t="s">
        <v>5</v>
      </c>
    </row>
    <row r="3" spans="1:8" x14ac:dyDescent="0.25">
      <c r="A3">
        <v>26234454</v>
      </c>
      <c r="B3" s="19" t="s">
        <v>12</v>
      </c>
      <c r="C3" s="19" t="s">
        <v>13</v>
      </c>
      <c r="D3" s="19" t="s">
        <v>577</v>
      </c>
      <c r="E3" s="19" t="s">
        <v>443</v>
      </c>
      <c r="F3" s="19" t="s">
        <v>401</v>
      </c>
      <c r="G3" s="19" t="s">
        <v>557</v>
      </c>
      <c r="H3" s="19" t="s">
        <v>5</v>
      </c>
    </row>
    <row r="4" spans="1:8" x14ac:dyDescent="0.25">
      <c r="A4">
        <v>26234445</v>
      </c>
      <c r="B4" s="19" t="s">
        <v>12</v>
      </c>
      <c r="C4" s="19" t="s">
        <v>13</v>
      </c>
      <c r="D4" s="19" t="s">
        <v>662</v>
      </c>
      <c r="E4" s="19" t="s">
        <v>443</v>
      </c>
      <c r="F4" s="19" t="s">
        <v>401</v>
      </c>
      <c r="G4" s="19" t="s">
        <v>557</v>
      </c>
      <c r="H4" s="19" t="s">
        <v>5</v>
      </c>
    </row>
    <row r="5" spans="1:8" x14ac:dyDescent="0.25">
      <c r="A5">
        <v>26234436</v>
      </c>
      <c r="B5" s="19" t="s">
        <v>18</v>
      </c>
      <c r="C5" s="19" t="s">
        <v>13</v>
      </c>
      <c r="D5" s="19" t="s">
        <v>662</v>
      </c>
      <c r="E5" s="19" t="s">
        <v>443</v>
      </c>
      <c r="F5" s="19" t="s">
        <v>401</v>
      </c>
      <c r="G5" s="19" t="s">
        <v>557</v>
      </c>
      <c r="H5" s="19" t="s">
        <v>5</v>
      </c>
    </row>
    <row r="6" spans="1:8" x14ac:dyDescent="0.25">
      <c r="A6">
        <v>26234434</v>
      </c>
      <c r="B6" s="19" t="s">
        <v>12</v>
      </c>
      <c r="C6" s="19" t="s">
        <v>13</v>
      </c>
      <c r="D6" s="19" t="s">
        <v>662</v>
      </c>
      <c r="E6" s="19" t="s">
        <v>443</v>
      </c>
      <c r="F6" s="19" t="s">
        <v>401</v>
      </c>
      <c r="G6" s="19" t="s">
        <v>557</v>
      </c>
      <c r="H6" s="19" t="s">
        <v>5</v>
      </c>
    </row>
    <row r="7" spans="1:8" x14ac:dyDescent="0.25">
      <c r="A7">
        <v>26234430</v>
      </c>
      <c r="B7" s="19" t="s">
        <v>12</v>
      </c>
      <c r="C7" s="19" t="s">
        <v>13</v>
      </c>
      <c r="D7" s="19" t="s">
        <v>662</v>
      </c>
      <c r="E7" s="19" t="s">
        <v>443</v>
      </c>
      <c r="F7" s="19" t="s">
        <v>401</v>
      </c>
      <c r="G7" s="19" t="s">
        <v>557</v>
      </c>
      <c r="H7" s="19" t="s">
        <v>5</v>
      </c>
    </row>
    <row r="8" spans="1:8" x14ac:dyDescent="0.25">
      <c r="A8">
        <v>26234429</v>
      </c>
      <c r="B8" s="19" t="s">
        <v>12</v>
      </c>
      <c r="C8" s="19" t="s">
        <v>13</v>
      </c>
      <c r="D8" s="19" t="s">
        <v>662</v>
      </c>
      <c r="E8" s="19" t="s">
        <v>443</v>
      </c>
      <c r="F8" s="19" t="s">
        <v>401</v>
      </c>
      <c r="G8" s="19" t="s">
        <v>557</v>
      </c>
      <c r="H8" s="19" t="s">
        <v>5</v>
      </c>
    </row>
    <row r="9" spans="1:8" x14ac:dyDescent="0.25">
      <c r="A9">
        <v>26234427</v>
      </c>
      <c r="B9" s="19" t="s">
        <v>12</v>
      </c>
      <c r="C9" s="19" t="s">
        <v>13</v>
      </c>
      <c r="D9" s="19" t="s">
        <v>662</v>
      </c>
      <c r="E9" s="19" t="s">
        <v>443</v>
      </c>
      <c r="F9" s="19" t="s">
        <v>401</v>
      </c>
      <c r="G9" s="19" t="s">
        <v>557</v>
      </c>
      <c r="H9" s="19" t="s">
        <v>5</v>
      </c>
    </row>
    <row r="10" spans="1:8" x14ac:dyDescent="0.25">
      <c r="A10">
        <v>26234425</v>
      </c>
      <c r="B10" s="19" t="s">
        <v>12</v>
      </c>
      <c r="C10" s="19" t="s">
        <v>15</v>
      </c>
      <c r="D10" s="19" t="s">
        <v>662</v>
      </c>
      <c r="E10" s="19" t="s">
        <v>443</v>
      </c>
      <c r="F10" s="19" t="s">
        <v>400</v>
      </c>
      <c r="G10" s="19" t="s">
        <v>557</v>
      </c>
      <c r="H10" s="19" t="s">
        <v>5</v>
      </c>
    </row>
    <row r="11" spans="1:8" x14ac:dyDescent="0.25">
      <c r="A11">
        <v>26234423</v>
      </c>
      <c r="B11" s="19" t="s">
        <v>12</v>
      </c>
      <c r="C11" s="19" t="s">
        <v>13</v>
      </c>
      <c r="D11" s="19" t="s">
        <v>662</v>
      </c>
      <c r="E11" s="19" t="s">
        <v>443</v>
      </c>
      <c r="F11" s="19" t="s">
        <v>401</v>
      </c>
      <c r="G11" s="19" t="s">
        <v>557</v>
      </c>
      <c r="H11" s="19" t="s">
        <v>5</v>
      </c>
    </row>
    <row r="12" spans="1:8" x14ac:dyDescent="0.25">
      <c r="A12">
        <v>26234421</v>
      </c>
      <c r="B12" s="19" t="s">
        <v>12</v>
      </c>
      <c r="C12" s="19" t="s">
        <v>13</v>
      </c>
      <c r="D12" s="19" t="s">
        <v>662</v>
      </c>
      <c r="E12" s="19" t="s">
        <v>443</v>
      </c>
      <c r="F12" s="19" t="s">
        <v>401</v>
      </c>
      <c r="G12" s="19" t="s">
        <v>557</v>
      </c>
      <c r="H12" s="19" t="s">
        <v>5</v>
      </c>
    </row>
    <row r="13" spans="1:8" x14ac:dyDescent="0.25">
      <c r="A13">
        <v>26234420</v>
      </c>
      <c r="B13" s="19" t="s">
        <v>12</v>
      </c>
      <c r="C13" s="19" t="s">
        <v>13</v>
      </c>
      <c r="D13" s="19" t="s">
        <v>662</v>
      </c>
      <c r="E13" s="19" t="s">
        <v>443</v>
      </c>
      <c r="F13" s="19" t="s">
        <v>401</v>
      </c>
      <c r="G13" s="19" t="s">
        <v>557</v>
      </c>
      <c r="H13" s="19" t="s">
        <v>5</v>
      </c>
    </row>
    <row r="14" spans="1:8" x14ac:dyDescent="0.25">
      <c r="A14">
        <v>26234419</v>
      </c>
      <c r="B14" s="19" t="s">
        <v>18</v>
      </c>
      <c r="C14" s="19" t="s">
        <v>15</v>
      </c>
      <c r="D14" s="19" t="s">
        <v>662</v>
      </c>
      <c r="E14" s="19" t="s">
        <v>443</v>
      </c>
      <c r="F14" s="19" t="s">
        <v>400</v>
      </c>
      <c r="G14" s="19" t="s">
        <v>557</v>
      </c>
      <c r="H14" s="19" t="s">
        <v>5</v>
      </c>
    </row>
    <row r="15" spans="1:8" x14ac:dyDescent="0.25">
      <c r="A15">
        <v>26234418</v>
      </c>
      <c r="B15" s="19" t="s">
        <v>12</v>
      </c>
      <c r="C15" s="19" t="s">
        <v>15</v>
      </c>
      <c r="D15" s="19" t="s">
        <v>662</v>
      </c>
      <c r="E15" s="19" t="s">
        <v>443</v>
      </c>
      <c r="F15" s="19" t="s">
        <v>400</v>
      </c>
      <c r="G15" s="19" t="s">
        <v>557</v>
      </c>
      <c r="H15" s="19" t="s">
        <v>5</v>
      </c>
    </row>
    <row r="16" spans="1:8" x14ac:dyDescent="0.25">
      <c r="A16">
        <v>26234416</v>
      </c>
      <c r="B16" s="19" t="s">
        <v>12</v>
      </c>
      <c r="C16" s="19" t="s">
        <v>13</v>
      </c>
      <c r="D16" s="19" t="s">
        <v>662</v>
      </c>
      <c r="E16" s="19" t="s">
        <v>443</v>
      </c>
      <c r="F16" s="19" t="s">
        <v>401</v>
      </c>
      <c r="G16" s="19" t="s">
        <v>557</v>
      </c>
      <c r="H16" s="19" t="s">
        <v>5</v>
      </c>
    </row>
    <row r="17" spans="1:8" x14ac:dyDescent="0.25">
      <c r="A17">
        <v>26234415</v>
      </c>
      <c r="B17" s="19" t="s">
        <v>12</v>
      </c>
      <c r="C17" s="19" t="s">
        <v>13</v>
      </c>
      <c r="D17" s="19" t="s">
        <v>662</v>
      </c>
      <c r="E17" s="19" t="s">
        <v>443</v>
      </c>
      <c r="F17" s="19" t="s">
        <v>401</v>
      </c>
      <c r="G17" s="19" t="s">
        <v>557</v>
      </c>
      <c r="H17" s="19" t="s">
        <v>5</v>
      </c>
    </row>
    <row r="18" spans="1:8" x14ac:dyDescent="0.25">
      <c r="A18">
        <v>26234412</v>
      </c>
      <c r="B18" s="19" t="s">
        <v>12</v>
      </c>
      <c r="C18" s="19" t="s">
        <v>15</v>
      </c>
      <c r="D18" s="19" t="s">
        <v>662</v>
      </c>
      <c r="E18" s="19" t="s">
        <v>443</v>
      </c>
      <c r="F18" s="19" t="s">
        <v>400</v>
      </c>
      <c r="G18" s="19" t="s">
        <v>557</v>
      </c>
      <c r="H18" s="19" t="s">
        <v>5</v>
      </c>
    </row>
    <row r="19" spans="1:8" x14ac:dyDescent="0.25">
      <c r="A19">
        <v>26234411</v>
      </c>
      <c r="B19" s="19" t="s">
        <v>12</v>
      </c>
      <c r="C19" s="19" t="s">
        <v>13</v>
      </c>
      <c r="D19" s="19" t="s">
        <v>662</v>
      </c>
      <c r="E19" s="19" t="s">
        <v>443</v>
      </c>
      <c r="F19" s="19" t="s">
        <v>401</v>
      </c>
      <c r="G19" s="19" t="s">
        <v>557</v>
      </c>
      <c r="H19" s="19" t="s">
        <v>5</v>
      </c>
    </row>
    <row r="20" spans="1:8" x14ac:dyDescent="0.25">
      <c r="A20">
        <v>26234410</v>
      </c>
      <c r="B20" s="19" t="s">
        <v>12</v>
      </c>
      <c r="C20" s="19" t="s">
        <v>13</v>
      </c>
      <c r="D20" s="19" t="s">
        <v>662</v>
      </c>
      <c r="E20" s="19" t="s">
        <v>443</v>
      </c>
      <c r="F20" s="19" t="s">
        <v>401</v>
      </c>
      <c r="G20" s="19" t="s">
        <v>557</v>
      </c>
      <c r="H20" s="19" t="s">
        <v>5</v>
      </c>
    </row>
    <row r="21" spans="1:8" x14ac:dyDescent="0.25">
      <c r="A21">
        <v>26234406</v>
      </c>
      <c r="B21" s="19" t="s">
        <v>12</v>
      </c>
      <c r="C21" s="19" t="s">
        <v>13</v>
      </c>
      <c r="D21" s="19" t="s">
        <v>662</v>
      </c>
      <c r="E21" s="19" t="s">
        <v>443</v>
      </c>
      <c r="F21" s="19" t="s">
        <v>401</v>
      </c>
      <c r="G21" s="19" t="s">
        <v>557</v>
      </c>
      <c r="H21" s="19" t="s">
        <v>5</v>
      </c>
    </row>
    <row r="22" spans="1:8" x14ac:dyDescent="0.25">
      <c r="A22">
        <v>26234401</v>
      </c>
      <c r="B22" s="19" t="s">
        <v>12</v>
      </c>
      <c r="C22" s="19" t="s">
        <v>13</v>
      </c>
      <c r="D22" s="19" t="s">
        <v>662</v>
      </c>
      <c r="E22" s="19" t="s">
        <v>443</v>
      </c>
      <c r="F22" s="19" t="s">
        <v>401</v>
      </c>
      <c r="G22" s="19" t="s">
        <v>557</v>
      </c>
      <c r="H22" s="19" t="s">
        <v>5</v>
      </c>
    </row>
    <row r="23" spans="1:8" x14ac:dyDescent="0.25">
      <c r="A23">
        <v>26234398</v>
      </c>
      <c r="B23" s="19" t="s">
        <v>12</v>
      </c>
      <c r="C23" s="19" t="s">
        <v>15</v>
      </c>
      <c r="D23" s="19" t="s">
        <v>577</v>
      </c>
      <c r="E23" s="19" t="s">
        <v>443</v>
      </c>
      <c r="F23" s="19" t="s">
        <v>400</v>
      </c>
      <c r="G23" s="19" t="s">
        <v>557</v>
      </c>
      <c r="H23" s="19" t="s">
        <v>5</v>
      </c>
    </row>
    <row r="24" spans="1:8" x14ac:dyDescent="0.25">
      <c r="A24">
        <v>26234392</v>
      </c>
      <c r="B24" s="19" t="s">
        <v>12</v>
      </c>
      <c r="C24" s="19" t="s">
        <v>15</v>
      </c>
      <c r="D24" s="19" t="s">
        <v>662</v>
      </c>
      <c r="E24" s="19" t="s">
        <v>443</v>
      </c>
      <c r="F24" s="19" t="s">
        <v>400</v>
      </c>
      <c r="G24" s="19" t="s">
        <v>557</v>
      </c>
      <c r="H24" s="19" t="s">
        <v>5</v>
      </c>
    </row>
    <row r="25" spans="1:8" x14ac:dyDescent="0.25">
      <c r="A25">
        <v>26234390</v>
      </c>
      <c r="B25" s="19" t="s">
        <v>12</v>
      </c>
      <c r="C25" s="19" t="s">
        <v>15</v>
      </c>
      <c r="D25" s="19" t="s">
        <v>662</v>
      </c>
      <c r="E25" s="19" t="s">
        <v>443</v>
      </c>
      <c r="F25" s="19" t="s">
        <v>400</v>
      </c>
      <c r="G25" s="19" t="s">
        <v>557</v>
      </c>
      <c r="H25" s="19" t="s">
        <v>5</v>
      </c>
    </row>
    <row r="26" spans="1:8" x14ac:dyDescent="0.25">
      <c r="A26">
        <v>26234387</v>
      </c>
      <c r="B26" s="19" t="s">
        <v>12</v>
      </c>
      <c r="C26" s="19" t="s">
        <v>13</v>
      </c>
      <c r="D26" s="19" t="s">
        <v>662</v>
      </c>
      <c r="E26" s="19" t="s">
        <v>443</v>
      </c>
      <c r="F26" s="19" t="s">
        <v>401</v>
      </c>
      <c r="G26" s="19" t="s">
        <v>557</v>
      </c>
      <c r="H26" s="19" t="s">
        <v>5</v>
      </c>
    </row>
    <row r="27" spans="1:8" x14ac:dyDescent="0.25">
      <c r="A27">
        <v>26234382</v>
      </c>
      <c r="B27" s="19" t="s">
        <v>12</v>
      </c>
      <c r="C27" s="19" t="s">
        <v>15</v>
      </c>
      <c r="D27" s="19" t="s">
        <v>577</v>
      </c>
      <c r="E27" s="19" t="s">
        <v>443</v>
      </c>
      <c r="F27" s="19" t="s">
        <v>400</v>
      </c>
      <c r="G27" s="19" t="s">
        <v>557</v>
      </c>
      <c r="H27" s="19" t="s">
        <v>5</v>
      </c>
    </row>
    <row r="28" spans="1:8" x14ac:dyDescent="0.25">
      <c r="A28">
        <v>26234375</v>
      </c>
      <c r="B28" s="19" t="s">
        <v>12</v>
      </c>
      <c r="C28" s="19" t="s">
        <v>15</v>
      </c>
      <c r="D28" s="19" t="s">
        <v>663</v>
      </c>
      <c r="E28" s="19" t="s">
        <v>443</v>
      </c>
      <c r="F28" s="19" t="s">
        <v>400</v>
      </c>
      <c r="G28" s="19" t="s">
        <v>557</v>
      </c>
      <c r="H28" s="19" t="s">
        <v>5</v>
      </c>
    </row>
    <row r="29" spans="1:8" x14ac:dyDescent="0.25">
      <c r="A29">
        <v>26234370</v>
      </c>
      <c r="B29" s="19" t="s">
        <v>12</v>
      </c>
      <c r="C29" s="19" t="s">
        <v>13</v>
      </c>
      <c r="D29" s="19" t="s">
        <v>577</v>
      </c>
      <c r="E29" s="19" t="s">
        <v>443</v>
      </c>
      <c r="F29" s="19" t="s">
        <v>401</v>
      </c>
      <c r="G29" s="19" t="s">
        <v>557</v>
      </c>
      <c r="H29" s="19" t="s">
        <v>5</v>
      </c>
    </row>
    <row r="30" spans="1:8" x14ac:dyDescent="0.25">
      <c r="A30">
        <v>26234367</v>
      </c>
      <c r="B30" s="19" t="s">
        <v>12</v>
      </c>
      <c r="C30" s="19" t="s">
        <v>13</v>
      </c>
      <c r="D30" s="19" t="s">
        <v>662</v>
      </c>
      <c r="E30" s="19" t="s">
        <v>443</v>
      </c>
      <c r="F30" s="19" t="s">
        <v>401</v>
      </c>
      <c r="G30" s="19" t="s">
        <v>557</v>
      </c>
      <c r="H30" s="19" t="s">
        <v>5</v>
      </c>
    </row>
    <row r="31" spans="1:8" x14ac:dyDescent="0.25">
      <c r="A31">
        <v>26234356</v>
      </c>
      <c r="B31" s="19" t="s">
        <v>12</v>
      </c>
      <c r="C31" s="19" t="s">
        <v>13</v>
      </c>
      <c r="D31" s="19" t="s">
        <v>662</v>
      </c>
      <c r="E31" s="19" t="s">
        <v>443</v>
      </c>
      <c r="F31" s="19" t="s">
        <v>401</v>
      </c>
      <c r="G31" s="19" t="s">
        <v>557</v>
      </c>
      <c r="H31" s="19" t="s">
        <v>5</v>
      </c>
    </row>
    <row r="32" spans="1:8" x14ac:dyDescent="0.25">
      <c r="A32">
        <v>26234350</v>
      </c>
      <c r="B32" s="19" t="s">
        <v>18</v>
      </c>
      <c r="C32" s="19" t="s">
        <v>15</v>
      </c>
      <c r="D32" s="19" t="s">
        <v>662</v>
      </c>
      <c r="E32" s="19" t="s">
        <v>443</v>
      </c>
      <c r="F32" s="19" t="s">
        <v>400</v>
      </c>
      <c r="G32" s="19" t="s">
        <v>557</v>
      </c>
      <c r="H32" s="19" t="s">
        <v>5</v>
      </c>
    </row>
    <row r="33" spans="1:8" x14ac:dyDescent="0.25">
      <c r="A33">
        <v>26234346</v>
      </c>
      <c r="B33" s="19" t="s">
        <v>12</v>
      </c>
      <c r="C33" s="19" t="s">
        <v>13</v>
      </c>
      <c r="D33" s="19" t="s">
        <v>662</v>
      </c>
      <c r="E33" s="19" t="s">
        <v>443</v>
      </c>
      <c r="F33" s="19" t="s">
        <v>401</v>
      </c>
      <c r="G33" s="19" t="s">
        <v>557</v>
      </c>
      <c r="H33" s="19" t="s">
        <v>5</v>
      </c>
    </row>
    <row r="34" spans="1:8" x14ac:dyDescent="0.25">
      <c r="A34">
        <v>26234342</v>
      </c>
      <c r="B34" s="19" t="s">
        <v>12</v>
      </c>
      <c r="C34" s="19" t="s">
        <v>15</v>
      </c>
      <c r="D34" s="19" t="s">
        <v>577</v>
      </c>
      <c r="E34" s="19" t="s">
        <v>443</v>
      </c>
      <c r="F34" s="19" t="s">
        <v>400</v>
      </c>
      <c r="G34" s="19" t="s">
        <v>557</v>
      </c>
      <c r="H34" s="19" t="s">
        <v>5</v>
      </c>
    </row>
    <row r="35" spans="1:8" x14ac:dyDescent="0.25">
      <c r="A35">
        <v>26234338</v>
      </c>
      <c r="B35" s="19" t="s">
        <v>12</v>
      </c>
      <c r="C35" s="19" t="s">
        <v>15</v>
      </c>
      <c r="D35" s="19" t="s">
        <v>663</v>
      </c>
      <c r="E35" s="19" t="s">
        <v>443</v>
      </c>
      <c r="F35" s="19" t="s">
        <v>400</v>
      </c>
      <c r="G35" s="19" t="s">
        <v>557</v>
      </c>
      <c r="H35" s="19" t="s">
        <v>5</v>
      </c>
    </row>
    <row r="36" spans="1:8" x14ac:dyDescent="0.25">
      <c r="A36">
        <v>26234337</v>
      </c>
      <c r="B36" s="19" t="s">
        <v>12</v>
      </c>
      <c r="C36" s="19" t="s">
        <v>15</v>
      </c>
      <c r="D36" s="19" t="s">
        <v>663</v>
      </c>
      <c r="E36" s="19" t="s">
        <v>443</v>
      </c>
      <c r="F36" s="19" t="s">
        <v>400</v>
      </c>
      <c r="G36" s="19" t="s">
        <v>557</v>
      </c>
      <c r="H36" s="19" t="s">
        <v>5</v>
      </c>
    </row>
    <row r="37" spans="1:8" x14ac:dyDescent="0.25">
      <c r="A37">
        <v>26234336</v>
      </c>
      <c r="B37" s="19" t="s">
        <v>12</v>
      </c>
      <c r="C37" s="19" t="s">
        <v>15</v>
      </c>
      <c r="D37" s="19" t="s">
        <v>664</v>
      </c>
      <c r="E37" s="19" t="s">
        <v>443</v>
      </c>
      <c r="F37" s="19" t="s">
        <v>400</v>
      </c>
      <c r="G37" s="19" t="s">
        <v>557</v>
      </c>
      <c r="H37" s="19" t="s">
        <v>5</v>
      </c>
    </row>
    <row r="38" spans="1:8" x14ac:dyDescent="0.25">
      <c r="A38">
        <v>26234332</v>
      </c>
      <c r="B38" s="19" t="s">
        <v>12</v>
      </c>
      <c r="C38" s="19" t="s">
        <v>13</v>
      </c>
      <c r="D38" s="19" t="s">
        <v>663</v>
      </c>
      <c r="E38" s="19" t="s">
        <v>443</v>
      </c>
      <c r="F38" s="19" t="s">
        <v>401</v>
      </c>
      <c r="G38" s="19" t="s">
        <v>557</v>
      </c>
      <c r="H38" s="19" t="s">
        <v>5</v>
      </c>
    </row>
    <row r="39" spans="1:8" x14ac:dyDescent="0.25">
      <c r="A39">
        <v>26234330</v>
      </c>
      <c r="B39" s="19" t="s">
        <v>12</v>
      </c>
      <c r="C39" s="19" t="s">
        <v>13</v>
      </c>
      <c r="D39" s="19" t="s">
        <v>664</v>
      </c>
      <c r="E39" s="19" t="s">
        <v>443</v>
      </c>
      <c r="F39" s="19" t="s">
        <v>401</v>
      </c>
      <c r="G39" s="19" t="s">
        <v>557</v>
      </c>
      <c r="H39" s="19" t="s">
        <v>5</v>
      </c>
    </row>
    <row r="40" spans="1:8" x14ac:dyDescent="0.25">
      <c r="A40">
        <v>26234328</v>
      </c>
      <c r="B40" s="19" t="s">
        <v>12</v>
      </c>
      <c r="C40" s="19" t="s">
        <v>15</v>
      </c>
      <c r="D40" s="19" t="s">
        <v>664</v>
      </c>
      <c r="E40" s="19" t="s">
        <v>443</v>
      </c>
      <c r="F40" s="19" t="s">
        <v>400</v>
      </c>
      <c r="G40" s="19" t="s">
        <v>557</v>
      </c>
      <c r="H40" s="19" t="s">
        <v>5</v>
      </c>
    </row>
    <row r="41" spans="1:8" x14ac:dyDescent="0.25">
      <c r="A41">
        <v>26234327</v>
      </c>
      <c r="B41" s="19" t="s">
        <v>12</v>
      </c>
      <c r="C41" s="19" t="s">
        <v>15</v>
      </c>
      <c r="D41" s="19" t="s">
        <v>663</v>
      </c>
      <c r="E41" s="19" t="s">
        <v>443</v>
      </c>
      <c r="F41" s="19" t="s">
        <v>400</v>
      </c>
      <c r="G41" s="19" t="s">
        <v>557</v>
      </c>
      <c r="H41" s="19" t="s">
        <v>5</v>
      </c>
    </row>
    <row r="42" spans="1:8" x14ac:dyDescent="0.25">
      <c r="A42">
        <v>26234317</v>
      </c>
      <c r="B42" s="19" t="s">
        <v>18</v>
      </c>
      <c r="C42" s="19" t="s">
        <v>15</v>
      </c>
      <c r="D42" s="19" t="s">
        <v>665</v>
      </c>
      <c r="E42" s="19" t="s">
        <v>443</v>
      </c>
      <c r="F42" s="19" t="s">
        <v>400</v>
      </c>
      <c r="G42" s="19" t="s">
        <v>557</v>
      </c>
      <c r="H42" s="19" t="s">
        <v>5</v>
      </c>
    </row>
    <row r="43" spans="1:8" x14ac:dyDescent="0.25">
      <c r="A43">
        <v>26234310</v>
      </c>
      <c r="B43" s="19" t="s">
        <v>12</v>
      </c>
      <c r="C43" s="19" t="s">
        <v>13</v>
      </c>
      <c r="D43" s="19" t="s">
        <v>663</v>
      </c>
      <c r="E43" s="19" t="s">
        <v>443</v>
      </c>
      <c r="F43" s="19" t="s">
        <v>401</v>
      </c>
      <c r="G43" s="19" t="s">
        <v>557</v>
      </c>
      <c r="H43" s="19" t="s">
        <v>5</v>
      </c>
    </row>
    <row r="44" spans="1:8" x14ac:dyDescent="0.25">
      <c r="A44">
        <v>26234309</v>
      </c>
      <c r="B44" s="19" t="s">
        <v>12</v>
      </c>
      <c r="C44" s="19" t="s">
        <v>15</v>
      </c>
      <c r="D44" s="19" t="s">
        <v>663</v>
      </c>
      <c r="E44" s="19" t="s">
        <v>443</v>
      </c>
      <c r="F44" s="19" t="s">
        <v>400</v>
      </c>
      <c r="G44" s="19" t="s">
        <v>557</v>
      </c>
      <c r="H44" s="19" t="s">
        <v>5</v>
      </c>
    </row>
    <row r="45" spans="1:8" x14ac:dyDescent="0.25">
      <c r="A45">
        <v>26234304</v>
      </c>
      <c r="B45" s="19" t="s">
        <v>12</v>
      </c>
      <c r="C45" s="19" t="s">
        <v>15</v>
      </c>
      <c r="D45" s="19" t="s">
        <v>663</v>
      </c>
      <c r="E45" s="19" t="s">
        <v>443</v>
      </c>
      <c r="F45" s="19" t="s">
        <v>400</v>
      </c>
      <c r="G45" s="19" t="s">
        <v>557</v>
      </c>
      <c r="H45" s="19" t="s">
        <v>5</v>
      </c>
    </row>
    <row r="46" spans="1:8" x14ac:dyDescent="0.25">
      <c r="A46">
        <v>26234301</v>
      </c>
      <c r="B46" s="19" t="s">
        <v>12</v>
      </c>
      <c r="C46" s="19" t="s">
        <v>13</v>
      </c>
      <c r="D46" s="19" t="s">
        <v>663</v>
      </c>
      <c r="E46" s="19" t="s">
        <v>443</v>
      </c>
      <c r="F46" s="19" t="s">
        <v>401</v>
      </c>
      <c r="G46" s="19" t="s">
        <v>557</v>
      </c>
      <c r="H46" s="19" t="s">
        <v>5</v>
      </c>
    </row>
    <row r="47" spans="1:8" x14ac:dyDescent="0.25">
      <c r="A47">
        <v>26234300</v>
      </c>
      <c r="B47" s="19" t="s">
        <v>12</v>
      </c>
      <c r="C47" s="19" t="s">
        <v>13</v>
      </c>
      <c r="D47" s="19" t="s">
        <v>664</v>
      </c>
      <c r="E47" s="19" t="s">
        <v>443</v>
      </c>
      <c r="F47" s="19" t="s">
        <v>401</v>
      </c>
      <c r="G47" s="19" t="s">
        <v>557</v>
      </c>
      <c r="H47" s="19" t="s">
        <v>5</v>
      </c>
    </row>
    <row r="48" spans="1:8" x14ac:dyDescent="0.25">
      <c r="A48">
        <v>26234298</v>
      </c>
      <c r="B48" s="19" t="s">
        <v>12</v>
      </c>
      <c r="C48" s="19" t="s">
        <v>13</v>
      </c>
      <c r="D48" s="19" t="s">
        <v>664</v>
      </c>
      <c r="E48" s="19" t="s">
        <v>443</v>
      </c>
      <c r="F48" s="19" t="s">
        <v>401</v>
      </c>
      <c r="G48" s="19" t="s">
        <v>557</v>
      </c>
      <c r="H48" s="19" t="s">
        <v>5</v>
      </c>
    </row>
    <row r="49" spans="1:8" x14ac:dyDescent="0.25">
      <c r="A49">
        <v>26234294</v>
      </c>
      <c r="B49" s="19" t="s">
        <v>12</v>
      </c>
      <c r="C49" s="19" t="s">
        <v>15</v>
      </c>
      <c r="D49" s="19" t="s">
        <v>663</v>
      </c>
      <c r="E49" s="19" t="s">
        <v>443</v>
      </c>
      <c r="F49" s="19" t="s">
        <v>400</v>
      </c>
      <c r="G49" s="19" t="s">
        <v>557</v>
      </c>
      <c r="H49" s="19" t="s">
        <v>5</v>
      </c>
    </row>
    <row r="50" spans="1:8" x14ac:dyDescent="0.25">
      <c r="A50">
        <v>26234293</v>
      </c>
      <c r="B50" s="19" t="s">
        <v>12</v>
      </c>
      <c r="C50" s="19" t="s">
        <v>13</v>
      </c>
      <c r="D50" s="19" t="s">
        <v>663</v>
      </c>
      <c r="E50" s="19" t="s">
        <v>443</v>
      </c>
      <c r="F50" s="19" t="s">
        <v>401</v>
      </c>
      <c r="G50" s="19" t="s">
        <v>557</v>
      </c>
      <c r="H50" s="19" t="s">
        <v>5</v>
      </c>
    </row>
    <row r="51" spans="1:8" x14ac:dyDescent="0.25">
      <c r="A51">
        <v>26234291</v>
      </c>
      <c r="B51" s="19" t="s">
        <v>12</v>
      </c>
      <c r="C51" s="19" t="s">
        <v>13</v>
      </c>
      <c r="D51" s="19" t="s">
        <v>663</v>
      </c>
      <c r="E51" s="19" t="s">
        <v>443</v>
      </c>
      <c r="F51" s="19" t="s">
        <v>401</v>
      </c>
      <c r="G51" s="19" t="s">
        <v>557</v>
      </c>
      <c r="H51" s="19" t="s">
        <v>5</v>
      </c>
    </row>
    <row r="52" spans="1:8" x14ac:dyDescent="0.25">
      <c r="A52">
        <v>26234289</v>
      </c>
      <c r="B52" s="19" t="s">
        <v>12</v>
      </c>
      <c r="C52" s="19" t="s">
        <v>13</v>
      </c>
      <c r="D52" s="19" t="s">
        <v>663</v>
      </c>
      <c r="E52" s="19" t="s">
        <v>443</v>
      </c>
      <c r="F52" s="19" t="s">
        <v>401</v>
      </c>
      <c r="G52" s="19" t="s">
        <v>557</v>
      </c>
      <c r="H52" s="19" t="s">
        <v>5</v>
      </c>
    </row>
    <row r="53" spans="1:8" x14ac:dyDescent="0.25">
      <c r="A53">
        <v>26234284</v>
      </c>
      <c r="B53" s="19" t="s">
        <v>12</v>
      </c>
      <c r="C53" s="19" t="s">
        <v>15</v>
      </c>
      <c r="D53" s="19" t="s">
        <v>663</v>
      </c>
      <c r="E53" s="19" t="s">
        <v>443</v>
      </c>
      <c r="F53" s="19" t="s">
        <v>400</v>
      </c>
      <c r="G53" s="19" t="s">
        <v>557</v>
      </c>
      <c r="H53" s="19" t="s">
        <v>5</v>
      </c>
    </row>
    <row r="54" spans="1:8" x14ac:dyDescent="0.25">
      <c r="A54">
        <v>26234283</v>
      </c>
      <c r="B54" s="19" t="s">
        <v>12</v>
      </c>
      <c r="C54" s="19" t="s">
        <v>15</v>
      </c>
      <c r="D54" s="19" t="s">
        <v>663</v>
      </c>
      <c r="E54" s="19" t="s">
        <v>443</v>
      </c>
      <c r="F54" s="19" t="s">
        <v>400</v>
      </c>
      <c r="G54" s="19" t="s">
        <v>557</v>
      </c>
      <c r="H54" s="19" t="s">
        <v>5</v>
      </c>
    </row>
    <row r="55" spans="1:8" x14ac:dyDescent="0.25">
      <c r="A55">
        <v>26234282</v>
      </c>
      <c r="B55" s="19" t="s">
        <v>12</v>
      </c>
      <c r="C55" s="19" t="s">
        <v>13</v>
      </c>
      <c r="D55" s="19" t="s">
        <v>663</v>
      </c>
      <c r="E55" s="19" t="s">
        <v>443</v>
      </c>
      <c r="F55" s="19" t="s">
        <v>401</v>
      </c>
      <c r="G55" s="19" t="s">
        <v>557</v>
      </c>
      <c r="H55" s="19" t="s">
        <v>5</v>
      </c>
    </row>
    <row r="56" spans="1:8" x14ac:dyDescent="0.25">
      <c r="A56">
        <v>26234214</v>
      </c>
      <c r="B56" s="19" t="s">
        <v>18</v>
      </c>
      <c r="C56" s="19" t="s">
        <v>13</v>
      </c>
      <c r="D56" s="19" t="s">
        <v>577</v>
      </c>
      <c r="E56" s="19" t="s">
        <v>443</v>
      </c>
      <c r="F56" s="19" t="s">
        <v>401</v>
      </c>
      <c r="G56" s="19" t="s">
        <v>557</v>
      </c>
      <c r="H56" s="19" t="s">
        <v>5</v>
      </c>
    </row>
    <row r="57" spans="1:8" x14ac:dyDescent="0.25">
      <c r="A57">
        <v>26234213</v>
      </c>
      <c r="B57" s="19" t="s">
        <v>12</v>
      </c>
      <c r="C57" s="19" t="s">
        <v>15</v>
      </c>
      <c r="D57" s="19" t="s">
        <v>577</v>
      </c>
      <c r="E57" s="19" t="s">
        <v>443</v>
      </c>
      <c r="F57" s="19" t="s">
        <v>400</v>
      </c>
      <c r="G57" s="19" t="s">
        <v>557</v>
      </c>
      <c r="H57" s="19" t="s">
        <v>5</v>
      </c>
    </row>
    <row r="58" spans="1:8" x14ac:dyDescent="0.25">
      <c r="A58">
        <v>26234212</v>
      </c>
      <c r="B58" s="19" t="s">
        <v>12</v>
      </c>
      <c r="C58" s="19" t="s">
        <v>15</v>
      </c>
      <c r="D58" s="19" t="s">
        <v>584</v>
      </c>
      <c r="E58" s="19" t="s">
        <v>443</v>
      </c>
      <c r="F58" s="19" t="s">
        <v>400</v>
      </c>
      <c r="G58" s="19" t="s">
        <v>557</v>
      </c>
      <c r="H58" s="19" t="s">
        <v>5</v>
      </c>
    </row>
    <row r="59" spans="1:8" x14ac:dyDescent="0.25">
      <c r="A59">
        <v>26234211</v>
      </c>
      <c r="B59" s="19" t="s">
        <v>12</v>
      </c>
      <c r="C59" s="19" t="s">
        <v>13</v>
      </c>
      <c r="D59" s="19" t="s">
        <v>584</v>
      </c>
      <c r="E59" s="19" t="s">
        <v>443</v>
      </c>
      <c r="F59" s="19" t="s">
        <v>401</v>
      </c>
      <c r="G59" s="19" t="s">
        <v>557</v>
      </c>
      <c r="H59" s="19" t="s">
        <v>5</v>
      </c>
    </row>
    <row r="60" spans="1:8" x14ac:dyDescent="0.25">
      <c r="A60">
        <v>26234210</v>
      </c>
      <c r="B60" s="19" t="s">
        <v>18</v>
      </c>
      <c r="C60" s="19" t="s">
        <v>13</v>
      </c>
      <c r="D60" s="19" t="s">
        <v>584</v>
      </c>
      <c r="E60" s="19" t="s">
        <v>443</v>
      </c>
      <c r="F60" s="19" t="s">
        <v>401</v>
      </c>
      <c r="G60" s="19" t="s">
        <v>557</v>
      </c>
      <c r="H60" s="19" t="s">
        <v>5</v>
      </c>
    </row>
    <row r="61" spans="1:8" x14ac:dyDescent="0.25">
      <c r="A61">
        <v>26234209</v>
      </c>
      <c r="B61" s="19" t="s">
        <v>12</v>
      </c>
      <c r="C61" s="19" t="s">
        <v>15</v>
      </c>
      <c r="D61" s="19" t="s">
        <v>577</v>
      </c>
      <c r="E61" s="19" t="s">
        <v>443</v>
      </c>
      <c r="F61" s="19" t="s">
        <v>400</v>
      </c>
      <c r="G61" s="19" t="s">
        <v>557</v>
      </c>
      <c r="H61" s="19" t="s">
        <v>5</v>
      </c>
    </row>
    <row r="62" spans="1:8" x14ac:dyDescent="0.25">
      <c r="A62">
        <v>26234208</v>
      </c>
      <c r="B62" s="19" t="s">
        <v>12</v>
      </c>
      <c r="C62" s="19" t="s">
        <v>13</v>
      </c>
      <c r="D62" s="19" t="s">
        <v>577</v>
      </c>
      <c r="E62" s="19" t="s">
        <v>443</v>
      </c>
      <c r="F62" s="19" t="s">
        <v>401</v>
      </c>
      <c r="G62" s="19" t="s">
        <v>557</v>
      </c>
      <c r="H62" s="19" t="s">
        <v>5</v>
      </c>
    </row>
    <row r="63" spans="1:8" x14ac:dyDescent="0.25">
      <c r="A63">
        <v>26234207</v>
      </c>
      <c r="B63" s="19" t="s">
        <v>12</v>
      </c>
      <c r="C63" s="19" t="s">
        <v>13</v>
      </c>
      <c r="D63" s="19" t="s">
        <v>577</v>
      </c>
      <c r="E63" s="19" t="s">
        <v>443</v>
      </c>
      <c r="F63" s="19" t="s">
        <v>401</v>
      </c>
      <c r="G63" s="19" t="s">
        <v>557</v>
      </c>
      <c r="H63" s="19" t="s">
        <v>5</v>
      </c>
    </row>
    <row r="64" spans="1:8" x14ac:dyDescent="0.25">
      <c r="A64">
        <v>26234206</v>
      </c>
      <c r="B64" s="19" t="s">
        <v>12</v>
      </c>
      <c r="C64" s="19" t="s">
        <v>15</v>
      </c>
      <c r="D64" s="19" t="s">
        <v>577</v>
      </c>
      <c r="E64" s="19" t="s">
        <v>443</v>
      </c>
      <c r="F64" s="19" t="s">
        <v>400</v>
      </c>
      <c r="G64" s="19" t="s">
        <v>557</v>
      </c>
      <c r="H64" s="19" t="s">
        <v>5</v>
      </c>
    </row>
    <row r="65" spans="1:8" x14ac:dyDescent="0.25">
      <c r="A65">
        <v>26234205</v>
      </c>
      <c r="B65" s="19" t="s">
        <v>12</v>
      </c>
      <c r="C65" s="19" t="s">
        <v>15</v>
      </c>
      <c r="D65" s="19" t="s">
        <v>577</v>
      </c>
      <c r="E65" s="19" t="s">
        <v>443</v>
      </c>
      <c r="F65" s="19" t="s">
        <v>400</v>
      </c>
      <c r="G65" s="19" t="s">
        <v>557</v>
      </c>
      <c r="H65" s="19" t="s">
        <v>5</v>
      </c>
    </row>
    <row r="66" spans="1:8" x14ac:dyDescent="0.25">
      <c r="A66">
        <v>26234204</v>
      </c>
      <c r="B66" s="19" t="s">
        <v>12</v>
      </c>
      <c r="C66" s="19" t="s">
        <v>15</v>
      </c>
      <c r="D66" s="19" t="s">
        <v>577</v>
      </c>
      <c r="E66" s="19" t="s">
        <v>443</v>
      </c>
      <c r="F66" s="19" t="s">
        <v>400</v>
      </c>
      <c r="G66" s="19" t="s">
        <v>557</v>
      </c>
      <c r="H66" s="19" t="s">
        <v>5</v>
      </c>
    </row>
    <row r="67" spans="1:8" x14ac:dyDescent="0.25">
      <c r="A67">
        <v>26234203</v>
      </c>
      <c r="B67" s="19" t="s">
        <v>12</v>
      </c>
      <c r="C67" s="19" t="s">
        <v>15</v>
      </c>
      <c r="D67" s="19" t="s">
        <v>584</v>
      </c>
      <c r="E67" s="19" t="s">
        <v>443</v>
      </c>
      <c r="F67" s="19" t="s">
        <v>400</v>
      </c>
      <c r="G67" s="19" t="s">
        <v>557</v>
      </c>
      <c r="H67" s="19" t="s">
        <v>5</v>
      </c>
    </row>
    <row r="68" spans="1:8" x14ac:dyDescent="0.25">
      <c r="A68">
        <v>26234202</v>
      </c>
      <c r="B68" s="19" t="s">
        <v>12</v>
      </c>
      <c r="C68" s="19" t="s">
        <v>13</v>
      </c>
      <c r="D68" s="19" t="s">
        <v>584</v>
      </c>
      <c r="E68" s="19" t="s">
        <v>443</v>
      </c>
      <c r="F68" s="19" t="s">
        <v>401</v>
      </c>
      <c r="G68" s="19" t="s">
        <v>557</v>
      </c>
      <c r="H68" s="19" t="s">
        <v>5</v>
      </c>
    </row>
    <row r="69" spans="1:8" x14ac:dyDescent="0.25">
      <c r="A69">
        <v>26234201</v>
      </c>
      <c r="B69" s="19" t="s">
        <v>12</v>
      </c>
      <c r="C69" s="19" t="s">
        <v>15</v>
      </c>
      <c r="D69" s="19" t="s">
        <v>584</v>
      </c>
      <c r="E69" s="19" t="s">
        <v>443</v>
      </c>
      <c r="F69" s="19" t="s">
        <v>400</v>
      </c>
      <c r="G69" s="19" t="s">
        <v>557</v>
      </c>
      <c r="H69" s="19" t="s">
        <v>5</v>
      </c>
    </row>
    <row r="70" spans="1:8" x14ac:dyDescent="0.25">
      <c r="A70">
        <v>26234200</v>
      </c>
      <c r="B70" s="19" t="s">
        <v>12</v>
      </c>
      <c r="C70" s="19" t="s">
        <v>13</v>
      </c>
      <c r="D70" s="19" t="s">
        <v>666</v>
      </c>
      <c r="E70" s="19" t="s">
        <v>443</v>
      </c>
      <c r="F70" s="19" t="s">
        <v>401</v>
      </c>
      <c r="G70" s="19" t="s">
        <v>557</v>
      </c>
      <c r="H70" s="19" t="s">
        <v>5</v>
      </c>
    </row>
    <row r="71" spans="1:8" x14ac:dyDescent="0.25">
      <c r="A71">
        <v>26234199</v>
      </c>
      <c r="B71" s="19" t="s">
        <v>12</v>
      </c>
      <c r="C71" s="19" t="s">
        <v>15</v>
      </c>
      <c r="D71" s="19" t="s">
        <v>584</v>
      </c>
      <c r="E71" s="19" t="s">
        <v>443</v>
      </c>
      <c r="F71" s="19" t="s">
        <v>400</v>
      </c>
      <c r="G71" s="19" t="s">
        <v>557</v>
      </c>
      <c r="H71" s="19" t="s">
        <v>5</v>
      </c>
    </row>
    <row r="72" spans="1:8" x14ac:dyDescent="0.25">
      <c r="A72">
        <v>26234198</v>
      </c>
      <c r="B72" s="19" t="s">
        <v>12</v>
      </c>
      <c r="C72" s="19" t="s">
        <v>15</v>
      </c>
      <c r="D72" s="19" t="s">
        <v>584</v>
      </c>
      <c r="E72" s="19" t="s">
        <v>443</v>
      </c>
      <c r="F72" s="19" t="s">
        <v>400</v>
      </c>
      <c r="G72" s="19" t="s">
        <v>557</v>
      </c>
      <c r="H72" s="19" t="s">
        <v>5</v>
      </c>
    </row>
    <row r="73" spans="1:8" x14ac:dyDescent="0.25">
      <c r="A73">
        <v>26234197</v>
      </c>
      <c r="B73" s="19" t="s">
        <v>12</v>
      </c>
      <c r="C73" s="19" t="s">
        <v>15</v>
      </c>
      <c r="D73" s="19" t="s">
        <v>584</v>
      </c>
      <c r="E73" s="19" t="s">
        <v>443</v>
      </c>
      <c r="F73" s="19" t="s">
        <v>400</v>
      </c>
      <c r="G73" s="19" t="s">
        <v>557</v>
      </c>
      <c r="H73" s="19" t="s">
        <v>5</v>
      </c>
    </row>
    <row r="74" spans="1:8" x14ac:dyDescent="0.25">
      <c r="A74">
        <v>26234196</v>
      </c>
      <c r="B74" s="19" t="s">
        <v>12</v>
      </c>
      <c r="C74" s="19" t="s">
        <v>13</v>
      </c>
      <c r="D74" s="19" t="s">
        <v>584</v>
      </c>
      <c r="E74" s="19" t="s">
        <v>443</v>
      </c>
      <c r="F74" s="19" t="s">
        <v>401</v>
      </c>
      <c r="G74" s="19" t="s">
        <v>557</v>
      </c>
      <c r="H74" s="19" t="s">
        <v>5</v>
      </c>
    </row>
    <row r="75" spans="1:8" x14ac:dyDescent="0.25">
      <c r="A75">
        <v>26234195</v>
      </c>
      <c r="B75" s="19" t="s">
        <v>12</v>
      </c>
      <c r="C75" s="19" t="s">
        <v>15</v>
      </c>
      <c r="D75" s="19" t="s">
        <v>584</v>
      </c>
      <c r="E75" s="19" t="s">
        <v>443</v>
      </c>
      <c r="F75" s="19" t="s">
        <v>400</v>
      </c>
      <c r="G75" s="19" t="s">
        <v>557</v>
      </c>
      <c r="H75" s="19" t="s">
        <v>5</v>
      </c>
    </row>
    <row r="76" spans="1:8" x14ac:dyDescent="0.25">
      <c r="A76">
        <v>26234194</v>
      </c>
      <c r="B76" s="19" t="s">
        <v>12</v>
      </c>
      <c r="C76" s="19" t="s">
        <v>13</v>
      </c>
      <c r="D76" s="19" t="s">
        <v>577</v>
      </c>
      <c r="E76" s="19" t="s">
        <v>443</v>
      </c>
      <c r="F76" s="19" t="s">
        <v>401</v>
      </c>
      <c r="G76" s="19" t="s">
        <v>557</v>
      </c>
      <c r="H76" s="19" t="s">
        <v>5</v>
      </c>
    </row>
    <row r="77" spans="1:8" x14ac:dyDescent="0.25">
      <c r="A77">
        <v>26234193</v>
      </c>
      <c r="B77" s="19" t="s">
        <v>12</v>
      </c>
      <c r="C77" s="19" t="s">
        <v>13</v>
      </c>
      <c r="D77" s="19" t="s">
        <v>584</v>
      </c>
      <c r="E77" s="19" t="s">
        <v>443</v>
      </c>
      <c r="F77" s="19" t="s">
        <v>401</v>
      </c>
      <c r="G77" s="19" t="s">
        <v>557</v>
      </c>
      <c r="H77" s="19" t="s">
        <v>5</v>
      </c>
    </row>
    <row r="78" spans="1:8" x14ac:dyDescent="0.25">
      <c r="A78">
        <v>26234192</v>
      </c>
      <c r="B78" s="19" t="s">
        <v>12</v>
      </c>
      <c r="C78" s="19" t="s">
        <v>13</v>
      </c>
      <c r="D78" s="19" t="s">
        <v>584</v>
      </c>
      <c r="E78" s="19" t="s">
        <v>443</v>
      </c>
      <c r="F78" s="19" t="s">
        <v>401</v>
      </c>
      <c r="G78" s="19" t="s">
        <v>557</v>
      </c>
      <c r="H78" s="19" t="s">
        <v>5</v>
      </c>
    </row>
    <row r="79" spans="1:8" x14ac:dyDescent="0.25">
      <c r="A79">
        <v>26234191</v>
      </c>
      <c r="B79" s="19" t="s">
        <v>18</v>
      </c>
      <c r="C79" s="19" t="s">
        <v>15</v>
      </c>
      <c r="D79" s="19" t="s">
        <v>584</v>
      </c>
      <c r="E79" s="19" t="s">
        <v>443</v>
      </c>
      <c r="F79" s="19" t="s">
        <v>400</v>
      </c>
      <c r="G79" s="19" t="s">
        <v>557</v>
      </c>
      <c r="H79" s="19" t="s">
        <v>5</v>
      </c>
    </row>
    <row r="80" spans="1:8" x14ac:dyDescent="0.25">
      <c r="A80">
        <v>26234190</v>
      </c>
      <c r="B80" s="19" t="s">
        <v>12</v>
      </c>
      <c r="C80" s="19" t="s">
        <v>15</v>
      </c>
      <c r="D80" s="19" t="s">
        <v>584</v>
      </c>
      <c r="E80" s="19" t="s">
        <v>443</v>
      </c>
      <c r="F80" s="19" t="s">
        <v>400</v>
      </c>
      <c r="G80" s="19" t="s">
        <v>557</v>
      </c>
      <c r="H80" s="19" t="s">
        <v>5</v>
      </c>
    </row>
    <row r="81" spans="1:8" x14ac:dyDescent="0.25">
      <c r="A81">
        <v>26234189</v>
      </c>
      <c r="B81" s="19" t="s">
        <v>12</v>
      </c>
      <c r="C81" s="19" t="s">
        <v>15</v>
      </c>
      <c r="D81" s="19" t="s">
        <v>577</v>
      </c>
      <c r="E81" s="19" t="s">
        <v>443</v>
      </c>
      <c r="F81" s="19" t="s">
        <v>400</v>
      </c>
      <c r="G81" s="19" t="s">
        <v>557</v>
      </c>
      <c r="H81" s="19" t="s">
        <v>5</v>
      </c>
    </row>
    <row r="82" spans="1:8" x14ac:dyDescent="0.25">
      <c r="A82">
        <v>26234188</v>
      </c>
      <c r="B82" s="19" t="s">
        <v>12</v>
      </c>
      <c r="C82" s="19" t="s">
        <v>13</v>
      </c>
      <c r="D82" s="19" t="s">
        <v>578</v>
      </c>
      <c r="E82" s="19" t="s">
        <v>443</v>
      </c>
      <c r="F82" s="19" t="s">
        <v>401</v>
      </c>
      <c r="G82" s="19" t="s">
        <v>557</v>
      </c>
      <c r="H82" s="19" t="s">
        <v>5</v>
      </c>
    </row>
    <row r="83" spans="1:8" x14ac:dyDescent="0.25">
      <c r="A83">
        <v>26234187</v>
      </c>
      <c r="B83" s="19" t="s">
        <v>12</v>
      </c>
      <c r="C83" s="19" t="s">
        <v>13</v>
      </c>
      <c r="D83" s="19" t="s">
        <v>584</v>
      </c>
      <c r="E83" s="19" t="s">
        <v>443</v>
      </c>
      <c r="F83" s="19" t="s">
        <v>401</v>
      </c>
      <c r="G83" s="19" t="s">
        <v>557</v>
      </c>
      <c r="H83" s="19" t="s">
        <v>5</v>
      </c>
    </row>
    <row r="84" spans="1:8" x14ac:dyDescent="0.25">
      <c r="A84">
        <v>26234186</v>
      </c>
      <c r="B84" s="19" t="s">
        <v>12</v>
      </c>
      <c r="C84" s="19" t="s">
        <v>13</v>
      </c>
      <c r="D84" s="19" t="s">
        <v>577</v>
      </c>
      <c r="E84" s="19" t="s">
        <v>443</v>
      </c>
      <c r="F84" s="19" t="s">
        <v>401</v>
      </c>
      <c r="G84" s="19" t="s">
        <v>557</v>
      </c>
      <c r="H84" s="19" t="s">
        <v>5</v>
      </c>
    </row>
    <row r="85" spans="1:8" x14ac:dyDescent="0.25">
      <c r="A85">
        <v>26234185</v>
      </c>
      <c r="B85" s="19" t="s">
        <v>79</v>
      </c>
      <c r="C85" s="19" t="s">
        <v>13</v>
      </c>
      <c r="D85" s="19" t="s">
        <v>577</v>
      </c>
      <c r="E85" s="19" t="s">
        <v>443</v>
      </c>
      <c r="F85" s="19" t="s">
        <v>401</v>
      </c>
      <c r="G85" s="19" t="s">
        <v>557</v>
      </c>
      <c r="H85" s="19" t="s">
        <v>5</v>
      </c>
    </row>
    <row r="86" spans="1:8" x14ac:dyDescent="0.25">
      <c r="A86">
        <v>26234184</v>
      </c>
      <c r="B86" s="19" t="s">
        <v>12</v>
      </c>
      <c r="C86" s="19" t="s">
        <v>13</v>
      </c>
      <c r="D86" s="19" t="s">
        <v>577</v>
      </c>
      <c r="E86" s="19" t="s">
        <v>443</v>
      </c>
      <c r="F86" s="19" t="s">
        <v>401</v>
      </c>
      <c r="G86" s="19" t="s">
        <v>557</v>
      </c>
      <c r="H86" s="19" t="s">
        <v>5</v>
      </c>
    </row>
    <row r="87" spans="1:8" x14ac:dyDescent="0.25">
      <c r="A87">
        <v>26234183</v>
      </c>
      <c r="B87" s="19" t="s">
        <v>12</v>
      </c>
      <c r="C87" s="19" t="s">
        <v>15</v>
      </c>
      <c r="D87" s="19" t="s">
        <v>584</v>
      </c>
      <c r="E87" s="19" t="s">
        <v>443</v>
      </c>
      <c r="F87" s="19" t="s">
        <v>400</v>
      </c>
      <c r="G87" s="19" t="s">
        <v>557</v>
      </c>
      <c r="H87" s="19" t="s">
        <v>5</v>
      </c>
    </row>
    <row r="88" spans="1:8" x14ac:dyDescent="0.25">
      <c r="A88">
        <v>26234182</v>
      </c>
      <c r="B88" s="19" t="s">
        <v>12</v>
      </c>
      <c r="C88" s="19" t="s">
        <v>13</v>
      </c>
      <c r="D88" s="19" t="s">
        <v>578</v>
      </c>
      <c r="E88" s="19" t="s">
        <v>443</v>
      </c>
      <c r="F88" s="19" t="s">
        <v>401</v>
      </c>
      <c r="G88" s="19" t="s">
        <v>557</v>
      </c>
      <c r="H88" s="19" t="s">
        <v>5</v>
      </c>
    </row>
    <row r="89" spans="1:8" x14ac:dyDescent="0.25">
      <c r="A89">
        <v>26234181</v>
      </c>
      <c r="B89" s="19" t="s">
        <v>12</v>
      </c>
      <c r="C89" s="19" t="s">
        <v>13</v>
      </c>
      <c r="D89" s="19" t="s">
        <v>667</v>
      </c>
      <c r="E89" s="19" t="s">
        <v>443</v>
      </c>
      <c r="F89" s="19" t="s">
        <v>401</v>
      </c>
      <c r="G89" s="19" t="s">
        <v>557</v>
      </c>
      <c r="H89" s="19" t="s">
        <v>5</v>
      </c>
    </row>
    <row r="90" spans="1:8" x14ac:dyDescent="0.25">
      <c r="A90">
        <v>26234180</v>
      </c>
      <c r="B90" s="19" t="s">
        <v>18</v>
      </c>
      <c r="C90" s="19" t="s">
        <v>13</v>
      </c>
      <c r="D90" s="19" t="s">
        <v>667</v>
      </c>
      <c r="E90" s="19" t="s">
        <v>443</v>
      </c>
      <c r="F90" s="19" t="s">
        <v>401</v>
      </c>
      <c r="G90" s="19" t="s">
        <v>557</v>
      </c>
      <c r="H90" s="19" t="s">
        <v>5</v>
      </c>
    </row>
    <row r="91" spans="1:8" x14ac:dyDescent="0.25">
      <c r="A91">
        <v>26234179</v>
      </c>
      <c r="B91" s="19" t="s">
        <v>12</v>
      </c>
      <c r="C91" s="19" t="s">
        <v>15</v>
      </c>
      <c r="D91" s="19" t="s">
        <v>667</v>
      </c>
      <c r="E91" s="19" t="s">
        <v>443</v>
      </c>
      <c r="F91" s="19" t="s">
        <v>400</v>
      </c>
      <c r="G91" s="19" t="s">
        <v>557</v>
      </c>
      <c r="H91" s="19" t="s">
        <v>5</v>
      </c>
    </row>
    <row r="92" spans="1:8" x14ac:dyDescent="0.25">
      <c r="A92">
        <v>26234178</v>
      </c>
      <c r="B92" s="19" t="s">
        <v>12</v>
      </c>
      <c r="C92" s="19" t="s">
        <v>15</v>
      </c>
      <c r="D92" s="19" t="s">
        <v>667</v>
      </c>
      <c r="E92" s="19" t="s">
        <v>443</v>
      </c>
      <c r="F92" s="19" t="s">
        <v>400</v>
      </c>
      <c r="G92" s="19" t="s">
        <v>557</v>
      </c>
      <c r="H92" s="19" t="s">
        <v>5</v>
      </c>
    </row>
    <row r="93" spans="1:8" x14ac:dyDescent="0.25">
      <c r="A93">
        <v>26234177</v>
      </c>
      <c r="B93" s="19" t="s">
        <v>12</v>
      </c>
      <c r="C93" s="19" t="s">
        <v>13</v>
      </c>
      <c r="D93" s="19" t="s">
        <v>578</v>
      </c>
      <c r="E93" s="19" t="s">
        <v>443</v>
      </c>
      <c r="F93" s="19" t="s">
        <v>401</v>
      </c>
      <c r="G93" s="19" t="s">
        <v>557</v>
      </c>
      <c r="H93" s="19" t="s">
        <v>5</v>
      </c>
    </row>
    <row r="94" spans="1:8" x14ac:dyDescent="0.25">
      <c r="A94">
        <v>26234176</v>
      </c>
      <c r="B94" s="19" t="s">
        <v>12</v>
      </c>
      <c r="C94" s="19" t="s">
        <v>15</v>
      </c>
      <c r="D94" s="19" t="s">
        <v>583</v>
      </c>
      <c r="E94" s="19" t="s">
        <v>443</v>
      </c>
      <c r="F94" s="19" t="s">
        <v>400</v>
      </c>
      <c r="G94" s="19" t="s">
        <v>557</v>
      </c>
      <c r="H94" s="19" t="s">
        <v>5</v>
      </c>
    </row>
    <row r="95" spans="1:8" x14ac:dyDescent="0.25">
      <c r="A95">
        <v>26234175</v>
      </c>
      <c r="B95" s="19" t="s">
        <v>12</v>
      </c>
      <c r="C95" s="19" t="s">
        <v>13</v>
      </c>
      <c r="D95" s="19" t="s">
        <v>668</v>
      </c>
      <c r="E95" s="19" t="s">
        <v>443</v>
      </c>
      <c r="F95" s="19" t="s">
        <v>401</v>
      </c>
      <c r="G95" s="19" t="s">
        <v>557</v>
      </c>
      <c r="H95" s="19" t="s">
        <v>5</v>
      </c>
    </row>
    <row r="96" spans="1:8" x14ac:dyDescent="0.25">
      <c r="A96">
        <v>26234174</v>
      </c>
      <c r="B96" s="19" t="s">
        <v>12</v>
      </c>
      <c r="C96" s="19" t="s">
        <v>13</v>
      </c>
      <c r="D96" s="19" t="s">
        <v>584</v>
      </c>
      <c r="E96" s="19" t="s">
        <v>443</v>
      </c>
      <c r="F96" s="19" t="s">
        <v>401</v>
      </c>
      <c r="G96" s="19" t="s">
        <v>557</v>
      </c>
      <c r="H96" s="19" t="s">
        <v>5</v>
      </c>
    </row>
    <row r="97" spans="1:8" x14ac:dyDescent="0.25">
      <c r="A97">
        <v>26234173</v>
      </c>
      <c r="B97" s="19" t="s">
        <v>12</v>
      </c>
      <c r="C97" s="19" t="s">
        <v>15</v>
      </c>
      <c r="D97" s="19" t="s">
        <v>583</v>
      </c>
      <c r="E97" s="19" t="s">
        <v>443</v>
      </c>
      <c r="F97" s="19" t="s">
        <v>400</v>
      </c>
      <c r="G97" s="19" t="s">
        <v>557</v>
      </c>
      <c r="H97" s="19" t="s">
        <v>5</v>
      </c>
    </row>
    <row r="98" spans="1:8" x14ac:dyDescent="0.25">
      <c r="A98">
        <v>26234172</v>
      </c>
      <c r="B98" s="19" t="s">
        <v>18</v>
      </c>
      <c r="C98" s="19" t="s">
        <v>15</v>
      </c>
      <c r="D98" s="19" t="s">
        <v>583</v>
      </c>
      <c r="E98" s="19" t="s">
        <v>443</v>
      </c>
      <c r="F98" s="19" t="s">
        <v>400</v>
      </c>
      <c r="G98" s="19" t="s">
        <v>557</v>
      </c>
      <c r="H98" s="19" t="s">
        <v>5</v>
      </c>
    </row>
    <row r="99" spans="1:8" x14ac:dyDescent="0.25">
      <c r="A99">
        <v>26234171</v>
      </c>
      <c r="B99" s="19" t="s">
        <v>12</v>
      </c>
      <c r="C99" s="19" t="s">
        <v>13</v>
      </c>
      <c r="D99" s="19" t="s">
        <v>583</v>
      </c>
      <c r="E99" s="19" t="s">
        <v>443</v>
      </c>
      <c r="F99" s="19" t="s">
        <v>401</v>
      </c>
      <c r="G99" s="19" t="s">
        <v>557</v>
      </c>
      <c r="H99" s="19" t="s">
        <v>5</v>
      </c>
    </row>
    <row r="100" spans="1:8" x14ac:dyDescent="0.25">
      <c r="A100">
        <v>26234170</v>
      </c>
      <c r="B100" s="19" t="s">
        <v>18</v>
      </c>
      <c r="C100" s="19" t="s">
        <v>13</v>
      </c>
      <c r="D100" s="19" t="s">
        <v>583</v>
      </c>
      <c r="E100" s="19" t="s">
        <v>443</v>
      </c>
      <c r="F100" s="19" t="s">
        <v>401</v>
      </c>
      <c r="G100" s="19" t="s">
        <v>557</v>
      </c>
      <c r="H100" s="19" t="s">
        <v>5</v>
      </c>
    </row>
    <row r="101" spans="1:8" x14ac:dyDescent="0.25">
      <c r="A101">
        <v>26234169</v>
      </c>
      <c r="B101" s="19" t="s">
        <v>12</v>
      </c>
      <c r="C101" s="19" t="s">
        <v>13</v>
      </c>
      <c r="D101" s="19" t="s">
        <v>669</v>
      </c>
      <c r="E101" s="19" t="s">
        <v>443</v>
      </c>
      <c r="F101" s="19" t="s">
        <v>401</v>
      </c>
      <c r="G101" s="19" t="s">
        <v>557</v>
      </c>
      <c r="H101" s="19" t="s">
        <v>5</v>
      </c>
    </row>
    <row r="102" spans="1:8" x14ac:dyDescent="0.25">
      <c r="A102">
        <v>26234168</v>
      </c>
      <c r="B102" s="19" t="s">
        <v>12</v>
      </c>
      <c r="C102" s="19" t="s">
        <v>15</v>
      </c>
      <c r="D102" s="19" t="s">
        <v>669</v>
      </c>
      <c r="E102" s="19" t="s">
        <v>443</v>
      </c>
      <c r="F102" s="19" t="s">
        <v>400</v>
      </c>
      <c r="G102" s="19" t="s">
        <v>557</v>
      </c>
      <c r="H102" s="19" t="s">
        <v>5</v>
      </c>
    </row>
    <row r="103" spans="1:8" x14ac:dyDescent="0.25">
      <c r="A103">
        <v>26234167</v>
      </c>
      <c r="B103" s="19" t="s">
        <v>12</v>
      </c>
      <c r="C103" s="19" t="s">
        <v>15</v>
      </c>
      <c r="D103" s="19" t="s">
        <v>669</v>
      </c>
      <c r="E103" s="19" t="s">
        <v>443</v>
      </c>
      <c r="F103" s="19" t="s">
        <v>400</v>
      </c>
      <c r="G103" s="19" t="s">
        <v>557</v>
      </c>
      <c r="H103" s="19" t="s">
        <v>5</v>
      </c>
    </row>
    <row r="104" spans="1:8" x14ac:dyDescent="0.25">
      <c r="A104">
        <v>26234166</v>
      </c>
      <c r="B104" s="19" t="s">
        <v>12</v>
      </c>
      <c r="C104" s="19" t="s">
        <v>13</v>
      </c>
      <c r="D104" s="19" t="s">
        <v>667</v>
      </c>
      <c r="E104" s="19" t="s">
        <v>443</v>
      </c>
      <c r="F104" s="19" t="s">
        <v>401</v>
      </c>
      <c r="G104" s="19" t="s">
        <v>557</v>
      </c>
      <c r="H104" s="19" t="s">
        <v>5</v>
      </c>
    </row>
    <row r="105" spans="1:8" x14ac:dyDescent="0.25">
      <c r="A105">
        <v>26234165</v>
      </c>
      <c r="B105" s="19" t="s">
        <v>12</v>
      </c>
      <c r="C105" s="19" t="s">
        <v>13</v>
      </c>
      <c r="D105" s="19" t="s">
        <v>666</v>
      </c>
      <c r="E105" s="19" t="s">
        <v>443</v>
      </c>
      <c r="F105" s="19" t="s">
        <v>401</v>
      </c>
      <c r="G105" s="19" t="s">
        <v>557</v>
      </c>
      <c r="H105" s="19" t="s">
        <v>5</v>
      </c>
    </row>
    <row r="106" spans="1:8" x14ac:dyDescent="0.25">
      <c r="A106">
        <v>26234164</v>
      </c>
      <c r="B106" s="19" t="s">
        <v>12</v>
      </c>
      <c r="C106" s="19" t="s">
        <v>15</v>
      </c>
      <c r="D106" s="19" t="s">
        <v>578</v>
      </c>
      <c r="E106" s="19" t="s">
        <v>443</v>
      </c>
      <c r="F106" s="19" t="s">
        <v>400</v>
      </c>
      <c r="G106" s="19" t="s">
        <v>557</v>
      </c>
      <c r="H106" s="19" t="s">
        <v>5</v>
      </c>
    </row>
    <row r="107" spans="1:8" x14ac:dyDescent="0.25">
      <c r="A107">
        <v>26234163</v>
      </c>
      <c r="B107" s="19" t="s">
        <v>18</v>
      </c>
      <c r="C107" s="19" t="s">
        <v>15</v>
      </c>
      <c r="D107" s="19" t="s">
        <v>584</v>
      </c>
      <c r="E107" s="19" t="s">
        <v>443</v>
      </c>
      <c r="F107" s="19" t="s">
        <v>400</v>
      </c>
      <c r="G107" s="19" t="s">
        <v>557</v>
      </c>
      <c r="H107" s="19" t="s">
        <v>5</v>
      </c>
    </row>
    <row r="108" spans="1:8" x14ac:dyDescent="0.25">
      <c r="A108">
        <v>26234162</v>
      </c>
      <c r="B108" s="19" t="s">
        <v>12</v>
      </c>
      <c r="C108" s="19" t="s">
        <v>15</v>
      </c>
      <c r="D108" s="19" t="s">
        <v>584</v>
      </c>
      <c r="E108" s="19" t="s">
        <v>443</v>
      </c>
      <c r="F108" s="19" t="s">
        <v>400</v>
      </c>
      <c r="G108" s="19" t="s">
        <v>557</v>
      </c>
      <c r="H108" s="19" t="s">
        <v>5</v>
      </c>
    </row>
    <row r="109" spans="1:8" x14ac:dyDescent="0.25">
      <c r="A109">
        <v>26234161</v>
      </c>
      <c r="B109" s="19" t="s">
        <v>12</v>
      </c>
      <c r="C109" s="19" t="s">
        <v>15</v>
      </c>
      <c r="D109" s="19" t="s">
        <v>584</v>
      </c>
      <c r="E109" s="19" t="s">
        <v>443</v>
      </c>
      <c r="F109" s="19" t="s">
        <v>400</v>
      </c>
      <c r="G109" s="19" t="s">
        <v>557</v>
      </c>
      <c r="H109" s="19" t="s">
        <v>5</v>
      </c>
    </row>
    <row r="110" spans="1:8" x14ac:dyDescent="0.25">
      <c r="A110">
        <v>26234160</v>
      </c>
      <c r="B110" s="19" t="s">
        <v>18</v>
      </c>
      <c r="C110" s="19" t="s">
        <v>15</v>
      </c>
      <c r="D110" s="19" t="s">
        <v>584</v>
      </c>
      <c r="E110" s="19" t="s">
        <v>443</v>
      </c>
      <c r="F110" s="19" t="s">
        <v>400</v>
      </c>
      <c r="G110" s="19" t="s">
        <v>557</v>
      </c>
      <c r="H110" s="19" t="s">
        <v>5</v>
      </c>
    </row>
    <row r="111" spans="1:8" x14ac:dyDescent="0.25">
      <c r="A111">
        <v>26234159</v>
      </c>
      <c r="B111" s="19" t="s">
        <v>12</v>
      </c>
      <c r="C111" s="19" t="s">
        <v>13</v>
      </c>
      <c r="D111" s="19" t="s">
        <v>584</v>
      </c>
      <c r="E111" s="19" t="s">
        <v>443</v>
      </c>
      <c r="F111" s="19" t="s">
        <v>401</v>
      </c>
      <c r="G111" s="19" t="s">
        <v>557</v>
      </c>
      <c r="H111" s="19" t="s">
        <v>5</v>
      </c>
    </row>
    <row r="112" spans="1:8" x14ac:dyDescent="0.25">
      <c r="A112">
        <v>26234158</v>
      </c>
      <c r="B112" s="19" t="s">
        <v>12</v>
      </c>
      <c r="C112" s="19" t="s">
        <v>15</v>
      </c>
      <c r="D112" s="19" t="s">
        <v>577</v>
      </c>
      <c r="E112" s="19" t="s">
        <v>443</v>
      </c>
      <c r="F112" s="19" t="s">
        <v>400</v>
      </c>
      <c r="G112" s="19" t="s">
        <v>557</v>
      </c>
      <c r="H112" s="19" t="s">
        <v>5</v>
      </c>
    </row>
    <row r="113" spans="1:8" x14ac:dyDescent="0.25">
      <c r="A113">
        <v>26234157</v>
      </c>
      <c r="B113" s="19" t="s">
        <v>18</v>
      </c>
      <c r="C113" s="19" t="s">
        <v>15</v>
      </c>
      <c r="D113" s="19" t="s">
        <v>670</v>
      </c>
      <c r="E113" s="19" t="s">
        <v>443</v>
      </c>
      <c r="F113" s="19" t="s">
        <v>400</v>
      </c>
      <c r="G113" s="19" t="s">
        <v>557</v>
      </c>
      <c r="H113" s="19" t="s">
        <v>5</v>
      </c>
    </row>
    <row r="114" spans="1:8" x14ac:dyDescent="0.25">
      <c r="A114">
        <v>26234156</v>
      </c>
      <c r="B114" s="19" t="s">
        <v>12</v>
      </c>
      <c r="C114" s="19" t="s">
        <v>15</v>
      </c>
      <c r="D114" s="19" t="s">
        <v>577</v>
      </c>
      <c r="E114" s="19" t="s">
        <v>443</v>
      </c>
      <c r="F114" s="19" t="s">
        <v>400</v>
      </c>
      <c r="G114" s="19" t="s">
        <v>557</v>
      </c>
      <c r="H114" s="19" t="s">
        <v>5</v>
      </c>
    </row>
    <row r="115" spans="1:8" x14ac:dyDescent="0.25">
      <c r="A115">
        <v>26234155</v>
      </c>
      <c r="B115" s="19" t="s">
        <v>12</v>
      </c>
      <c r="C115" s="19" t="s">
        <v>15</v>
      </c>
      <c r="D115" s="19" t="s">
        <v>584</v>
      </c>
      <c r="E115" s="19" t="s">
        <v>443</v>
      </c>
      <c r="F115" s="19" t="s">
        <v>400</v>
      </c>
      <c r="G115" s="19" t="s">
        <v>557</v>
      </c>
      <c r="H115" s="19" t="s">
        <v>5</v>
      </c>
    </row>
    <row r="116" spans="1:8" x14ac:dyDescent="0.25">
      <c r="A116">
        <v>26234154</v>
      </c>
      <c r="B116" s="19" t="s">
        <v>12</v>
      </c>
      <c r="C116" s="19" t="s">
        <v>15</v>
      </c>
      <c r="D116" s="19" t="s">
        <v>584</v>
      </c>
      <c r="E116" s="19" t="s">
        <v>443</v>
      </c>
      <c r="F116" s="19" t="s">
        <v>400</v>
      </c>
      <c r="G116" s="19" t="s">
        <v>557</v>
      </c>
      <c r="H116" s="19" t="s">
        <v>5</v>
      </c>
    </row>
    <row r="117" spans="1:8" x14ac:dyDescent="0.25">
      <c r="A117">
        <v>26234153</v>
      </c>
      <c r="B117" s="19" t="s">
        <v>12</v>
      </c>
      <c r="C117" s="19" t="s">
        <v>15</v>
      </c>
      <c r="D117" s="19" t="s">
        <v>584</v>
      </c>
      <c r="E117" s="19" t="s">
        <v>443</v>
      </c>
      <c r="F117" s="19" t="s">
        <v>400</v>
      </c>
      <c r="G117" s="19" t="s">
        <v>557</v>
      </c>
      <c r="H117" s="19" t="s">
        <v>5</v>
      </c>
    </row>
    <row r="118" spans="1:8" x14ac:dyDescent="0.25">
      <c r="A118">
        <v>26234152</v>
      </c>
      <c r="B118" s="19" t="s">
        <v>12</v>
      </c>
      <c r="C118" s="19" t="s">
        <v>15</v>
      </c>
      <c r="D118" s="19" t="s">
        <v>584</v>
      </c>
      <c r="E118" s="19" t="s">
        <v>443</v>
      </c>
      <c r="F118" s="19" t="s">
        <v>400</v>
      </c>
      <c r="G118" s="19" t="s">
        <v>557</v>
      </c>
      <c r="H118" s="19" t="s">
        <v>5</v>
      </c>
    </row>
    <row r="119" spans="1:8" x14ac:dyDescent="0.25">
      <c r="A119">
        <v>26234151</v>
      </c>
      <c r="B119" s="19" t="s">
        <v>12</v>
      </c>
      <c r="C119" s="19" t="s">
        <v>13</v>
      </c>
      <c r="D119" s="19" t="s">
        <v>662</v>
      </c>
      <c r="E119" s="19" t="s">
        <v>443</v>
      </c>
      <c r="F119" s="19" t="s">
        <v>401</v>
      </c>
      <c r="G119" s="19" t="s">
        <v>557</v>
      </c>
      <c r="H119" s="19" t="s">
        <v>5</v>
      </c>
    </row>
    <row r="120" spans="1:8" x14ac:dyDescent="0.25">
      <c r="A120">
        <v>23323698</v>
      </c>
      <c r="B120" s="19" t="s">
        <v>12</v>
      </c>
      <c r="C120" s="19" t="s">
        <v>26</v>
      </c>
      <c r="D120" s="19" t="s">
        <v>45</v>
      </c>
      <c r="E120" s="19" t="s">
        <v>443</v>
      </c>
      <c r="F120" s="19" t="s">
        <v>400</v>
      </c>
      <c r="G120" s="19" t="s">
        <v>557</v>
      </c>
      <c r="H120" s="19" t="s">
        <v>5</v>
      </c>
    </row>
    <row r="121" spans="1:8" x14ac:dyDescent="0.25">
      <c r="A121">
        <v>23323696</v>
      </c>
      <c r="B121" s="19" t="s">
        <v>12</v>
      </c>
      <c r="C121" s="19" t="s">
        <v>26</v>
      </c>
      <c r="D121" s="19" t="s">
        <v>45</v>
      </c>
      <c r="E121" s="19" t="s">
        <v>443</v>
      </c>
      <c r="F121" s="19" t="s">
        <v>400</v>
      </c>
      <c r="G121" s="19" t="s">
        <v>557</v>
      </c>
      <c r="H121" s="19" t="s">
        <v>5</v>
      </c>
    </row>
    <row r="122" spans="1:8" x14ac:dyDescent="0.25">
      <c r="A122">
        <v>23323694</v>
      </c>
      <c r="B122" s="19" t="s">
        <v>12</v>
      </c>
      <c r="C122" s="19" t="s">
        <v>26</v>
      </c>
      <c r="D122" s="19" t="s">
        <v>49</v>
      </c>
      <c r="E122" s="19" t="s">
        <v>443</v>
      </c>
      <c r="F122" s="19" t="s">
        <v>400</v>
      </c>
      <c r="G122" s="19" t="s">
        <v>557</v>
      </c>
      <c r="H122" s="19" t="s">
        <v>5</v>
      </c>
    </row>
    <row r="123" spans="1:8" x14ac:dyDescent="0.25">
      <c r="A123">
        <v>23323689</v>
      </c>
      <c r="B123" s="19" t="s">
        <v>12</v>
      </c>
      <c r="C123" s="19" t="s">
        <v>26</v>
      </c>
      <c r="D123" s="19" t="s">
        <v>27</v>
      </c>
      <c r="E123" s="19" t="s">
        <v>443</v>
      </c>
      <c r="F123" s="19" t="s">
        <v>400</v>
      </c>
      <c r="G123" s="19" t="s">
        <v>557</v>
      </c>
      <c r="H123" s="19" t="s">
        <v>5</v>
      </c>
    </row>
    <row r="124" spans="1:8" x14ac:dyDescent="0.25">
      <c r="A124">
        <v>23323686</v>
      </c>
      <c r="B124" s="19" t="s">
        <v>12</v>
      </c>
      <c r="C124" s="19" t="s">
        <v>26</v>
      </c>
      <c r="D124" s="19" t="s">
        <v>195</v>
      </c>
      <c r="E124" s="19" t="s">
        <v>437</v>
      </c>
      <c r="F124" s="19" t="s">
        <v>400</v>
      </c>
      <c r="G124" s="19" t="s">
        <v>557</v>
      </c>
      <c r="H124" s="19" t="s">
        <v>5</v>
      </c>
    </row>
    <row r="125" spans="1:8" x14ac:dyDescent="0.25">
      <c r="A125">
        <v>23323663</v>
      </c>
      <c r="B125" s="19" t="s">
        <v>12</v>
      </c>
      <c r="C125" s="19" t="s">
        <v>26</v>
      </c>
      <c r="D125" s="19" t="s">
        <v>49</v>
      </c>
      <c r="E125" s="19" t="s">
        <v>443</v>
      </c>
      <c r="F125" s="19" t="s">
        <v>400</v>
      </c>
      <c r="G125" s="19" t="s">
        <v>557</v>
      </c>
      <c r="H125" s="19" t="s">
        <v>5</v>
      </c>
    </row>
    <row r="126" spans="1:8" x14ac:dyDescent="0.25">
      <c r="A126">
        <v>23323662</v>
      </c>
      <c r="B126" s="19" t="s">
        <v>12</v>
      </c>
      <c r="C126" s="19" t="s">
        <v>26</v>
      </c>
      <c r="D126" s="19" t="s">
        <v>45</v>
      </c>
      <c r="E126" s="19" t="s">
        <v>443</v>
      </c>
      <c r="F126" s="19" t="s">
        <v>400</v>
      </c>
      <c r="G126" s="19" t="s">
        <v>557</v>
      </c>
      <c r="H126" s="19" t="s">
        <v>5</v>
      </c>
    </row>
    <row r="127" spans="1:8" x14ac:dyDescent="0.25">
      <c r="A127">
        <v>23323659</v>
      </c>
      <c r="B127" s="19" t="s">
        <v>18</v>
      </c>
      <c r="C127" s="19" t="s">
        <v>26</v>
      </c>
      <c r="D127" s="19" t="s">
        <v>58</v>
      </c>
      <c r="E127" s="19" t="s">
        <v>443</v>
      </c>
      <c r="F127" s="19" t="s">
        <v>400</v>
      </c>
      <c r="G127" s="19" t="s">
        <v>557</v>
      </c>
      <c r="H127" s="19" t="s">
        <v>5</v>
      </c>
    </row>
    <row r="128" spans="1:8" x14ac:dyDescent="0.25">
      <c r="A128">
        <v>23323658</v>
      </c>
      <c r="B128" s="19" t="s">
        <v>12</v>
      </c>
      <c r="C128" s="19" t="s">
        <v>26</v>
      </c>
      <c r="D128" s="19" t="s">
        <v>221</v>
      </c>
      <c r="E128" s="19" t="s">
        <v>443</v>
      </c>
      <c r="F128" s="19" t="s">
        <v>400</v>
      </c>
      <c r="G128" s="19" t="s">
        <v>557</v>
      </c>
      <c r="H128" s="19" t="s">
        <v>5</v>
      </c>
    </row>
    <row r="129" spans="1:8" x14ac:dyDescent="0.25">
      <c r="A129">
        <v>23323657</v>
      </c>
      <c r="B129" s="19" t="s">
        <v>12</v>
      </c>
      <c r="C129" s="19" t="s">
        <v>26</v>
      </c>
      <c r="D129" s="19" t="s">
        <v>221</v>
      </c>
      <c r="E129" s="19" t="s">
        <v>443</v>
      </c>
      <c r="F129" s="19" t="s">
        <v>400</v>
      </c>
      <c r="G129" s="19" t="s">
        <v>557</v>
      </c>
      <c r="H129" s="19" t="s">
        <v>5</v>
      </c>
    </row>
    <row r="130" spans="1:8" x14ac:dyDescent="0.25">
      <c r="A130">
        <v>23323651</v>
      </c>
      <c r="B130" s="19" t="s">
        <v>12</v>
      </c>
      <c r="C130" s="19" t="s">
        <v>38</v>
      </c>
      <c r="D130" s="19" t="s">
        <v>105</v>
      </c>
      <c r="E130" s="19" t="s">
        <v>443</v>
      </c>
      <c r="F130" s="19" t="s">
        <v>401</v>
      </c>
      <c r="G130" s="19" t="s">
        <v>557</v>
      </c>
      <c r="H130" s="19" t="s">
        <v>5</v>
      </c>
    </row>
    <row r="131" spans="1:8" x14ac:dyDescent="0.25">
      <c r="A131">
        <v>23323646</v>
      </c>
      <c r="B131" s="19" t="s">
        <v>12</v>
      </c>
      <c r="C131" s="19" t="s">
        <v>26</v>
      </c>
      <c r="D131" s="19" t="s">
        <v>27</v>
      </c>
      <c r="E131" s="19" t="s">
        <v>437</v>
      </c>
      <c r="F131" s="19" t="s">
        <v>400</v>
      </c>
      <c r="G131" s="19" t="s">
        <v>557</v>
      </c>
      <c r="H131" s="19" t="s">
        <v>5</v>
      </c>
    </row>
    <row r="132" spans="1:8" x14ac:dyDescent="0.25">
      <c r="A132">
        <v>23323645</v>
      </c>
      <c r="B132" s="19" t="s">
        <v>12</v>
      </c>
      <c r="C132" s="19" t="s">
        <v>33</v>
      </c>
      <c r="D132" s="19" t="s">
        <v>31</v>
      </c>
      <c r="E132" s="19" t="s">
        <v>443</v>
      </c>
      <c r="F132" s="19" t="s">
        <v>401</v>
      </c>
      <c r="G132" s="19" t="s">
        <v>557</v>
      </c>
      <c r="H132" s="19" t="s">
        <v>5</v>
      </c>
    </row>
    <row r="133" spans="1:8" x14ac:dyDescent="0.25">
      <c r="A133">
        <v>23323643</v>
      </c>
      <c r="B133" s="19" t="s">
        <v>12</v>
      </c>
      <c r="C133" s="19" t="s">
        <v>26</v>
      </c>
      <c r="D133" s="19" t="s">
        <v>45</v>
      </c>
      <c r="E133" s="19" t="s">
        <v>443</v>
      </c>
      <c r="F133" s="19" t="s">
        <v>400</v>
      </c>
      <c r="G133" s="19" t="s">
        <v>557</v>
      </c>
      <c r="H133" s="19" t="s">
        <v>5</v>
      </c>
    </row>
    <row r="134" spans="1:8" x14ac:dyDescent="0.25">
      <c r="A134">
        <v>22350440</v>
      </c>
      <c r="B134" s="19" t="s">
        <v>12</v>
      </c>
      <c r="C134" s="19" t="s">
        <v>26</v>
      </c>
      <c r="D134" s="19" t="s">
        <v>155</v>
      </c>
      <c r="E134" s="19" t="s">
        <v>437</v>
      </c>
      <c r="F134" s="19" t="s">
        <v>400</v>
      </c>
      <c r="G134" s="19" t="s">
        <v>557</v>
      </c>
      <c r="H134" s="19" t="s">
        <v>5</v>
      </c>
    </row>
    <row r="135" spans="1:8" x14ac:dyDescent="0.25">
      <c r="A135">
        <v>22350439</v>
      </c>
      <c r="B135" s="19" t="s">
        <v>12</v>
      </c>
      <c r="C135" s="19" t="s">
        <v>26</v>
      </c>
      <c r="D135" s="19" t="s">
        <v>159</v>
      </c>
      <c r="E135" s="19" t="s">
        <v>437</v>
      </c>
      <c r="F135" s="19" t="s">
        <v>400</v>
      </c>
      <c r="G135" s="19" t="s">
        <v>557</v>
      </c>
      <c r="H135" s="19" t="s">
        <v>5</v>
      </c>
    </row>
    <row r="136" spans="1:8" x14ac:dyDescent="0.25">
      <c r="A136">
        <v>22350428</v>
      </c>
      <c r="B136" s="19" t="s">
        <v>12</v>
      </c>
      <c r="C136" s="19" t="s">
        <v>26</v>
      </c>
      <c r="D136" s="19" t="s">
        <v>155</v>
      </c>
      <c r="E136" s="19" t="s">
        <v>437</v>
      </c>
      <c r="F136" s="19" t="s">
        <v>400</v>
      </c>
      <c r="G136" s="19" t="s">
        <v>557</v>
      </c>
      <c r="H136" s="19" t="s">
        <v>5</v>
      </c>
    </row>
    <row r="137" spans="1:8" x14ac:dyDescent="0.25">
      <c r="A137">
        <v>22350412</v>
      </c>
      <c r="B137" s="19" t="s">
        <v>12</v>
      </c>
      <c r="C137" s="19" t="s">
        <v>26</v>
      </c>
      <c r="D137" s="19" t="s">
        <v>87</v>
      </c>
      <c r="E137" s="19" t="s">
        <v>443</v>
      </c>
      <c r="F137" s="19" t="s">
        <v>400</v>
      </c>
      <c r="G137" s="19" t="s">
        <v>557</v>
      </c>
      <c r="H137" s="19" t="s">
        <v>5</v>
      </c>
    </row>
    <row r="138" spans="1:8" x14ac:dyDescent="0.25">
      <c r="A138">
        <v>22350411</v>
      </c>
      <c r="B138" s="19" t="s">
        <v>12</v>
      </c>
      <c r="C138" s="19" t="s">
        <v>26</v>
      </c>
      <c r="D138" s="19" t="s">
        <v>87</v>
      </c>
      <c r="E138" s="19" t="s">
        <v>443</v>
      </c>
      <c r="F138" s="19" t="s">
        <v>400</v>
      </c>
      <c r="G138" s="19" t="s">
        <v>557</v>
      </c>
      <c r="H138" s="19" t="s">
        <v>5</v>
      </c>
    </row>
    <row r="139" spans="1:8" x14ac:dyDescent="0.25">
      <c r="A139">
        <v>22350403</v>
      </c>
      <c r="B139" s="19" t="s">
        <v>12</v>
      </c>
      <c r="C139" s="19" t="s">
        <v>26</v>
      </c>
      <c r="D139" s="19" t="s">
        <v>158</v>
      </c>
      <c r="E139" s="19" t="s">
        <v>437</v>
      </c>
      <c r="F139" s="19" t="s">
        <v>400</v>
      </c>
      <c r="G139" s="19" t="s">
        <v>557</v>
      </c>
      <c r="H139" s="19" t="s">
        <v>5</v>
      </c>
    </row>
    <row r="140" spans="1:8" x14ac:dyDescent="0.25">
      <c r="A140">
        <v>22350399</v>
      </c>
      <c r="B140" s="19" t="s">
        <v>12</v>
      </c>
      <c r="C140" s="19" t="s">
        <v>26</v>
      </c>
      <c r="D140" s="19" t="s">
        <v>88</v>
      </c>
      <c r="E140" s="19" t="s">
        <v>443</v>
      </c>
      <c r="F140" s="19" t="s">
        <v>400</v>
      </c>
      <c r="G140" s="19" t="s">
        <v>557</v>
      </c>
      <c r="H140" s="19" t="s">
        <v>5</v>
      </c>
    </row>
    <row r="141" spans="1:8" x14ac:dyDescent="0.25">
      <c r="A141">
        <v>22350397</v>
      </c>
      <c r="B141" s="19" t="s">
        <v>12</v>
      </c>
      <c r="C141" s="19" t="s">
        <v>26</v>
      </c>
      <c r="D141" s="19" t="s">
        <v>88</v>
      </c>
      <c r="E141" s="19" t="s">
        <v>443</v>
      </c>
      <c r="F141" s="19" t="s">
        <v>400</v>
      </c>
      <c r="G141" s="19" t="s">
        <v>557</v>
      </c>
      <c r="H141" s="19" t="s">
        <v>5</v>
      </c>
    </row>
    <row r="142" spans="1:8" x14ac:dyDescent="0.25">
      <c r="A142">
        <v>22350396</v>
      </c>
      <c r="B142" s="19" t="s">
        <v>12</v>
      </c>
      <c r="C142" s="19" t="s">
        <v>26</v>
      </c>
      <c r="D142" s="19" t="s">
        <v>88</v>
      </c>
      <c r="E142" s="19" t="s">
        <v>443</v>
      </c>
      <c r="F142" s="19" t="s">
        <v>400</v>
      </c>
      <c r="G142" s="19" t="s">
        <v>557</v>
      </c>
      <c r="H142" s="19" t="s">
        <v>5</v>
      </c>
    </row>
    <row r="143" spans="1:8" x14ac:dyDescent="0.25">
      <c r="A143">
        <v>22350394</v>
      </c>
      <c r="B143" s="19" t="s">
        <v>12</v>
      </c>
      <c r="C143" s="19" t="s">
        <v>26</v>
      </c>
      <c r="D143" s="19" t="s">
        <v>88</v>
      </c>
      <c r="E143" s="19" t="s">
        <v>443</v>
      </c>
      <c r="F143" s="19" t="s">
        <v>400</v>
      </c>
      <c r="G143" s="19" t="s">
        <v>557</v>
      </c>
      <c r="H143" s="19" t="s">
        <v>5</v>
      </c>
    </row>
    <row r="144" spans="1:8" x14ac:dyDescent="0.25">
      <c r="A144">
        <v>22350390</v>
      </c>
      <c r="B144" s="19" t="s">
        <v>18</v>
      </c>
      <c r="C144" s="19" t="s">
        <v>26</v>
      </c>
      <c r="D144" s="19" t="s">
        <v>88</v>
      </c>
      <c r="E144" s="19" t="s">
        <v>443</v>
      </c>
      <c r="F144" s="19" t="s">
        <v>400</v>
      </c>
      <c r="G144" s="19" t="s">
        <v>557</v>
      </c>
      <c r="H144" s="19" t="s">
        <v>5</v>
      </c>
    </row>
    <row r="145" spans="1:8" x14ac:dyDescent="0.25">
      <c r="A145">
        <v>22350380</v>
      </c>
      <c r="B145" s="19" t="s">
        <v>12</v>
      </c>
      <c r="C145" s="19" t="s">
        <v>26</v>
      </c>
      <c r="D145" s="19" t="s">
        <v>88</v>
      </c>
      <c r="E145" s="19" t="s">
        <v>443</v>
      </c>
      <c r="F145" s="19" t="s">
        <v>400</v>
      </c>
      <c r="G145" s="19" t="s">
        <v>557</v>
      </c>
      <c r="H145" s="19" t="s">
        <v>5</v>
      </c>
    </row>
    <row r="146" spans="1:8" x14ac:dyDescent="0.25">
      <c r="A146">
        <v>22350378</v>
      </c>
      <c r="B146" s="19" t="s">
        <v>12</v>
      </c>
      <c r="C146" s="19" t="s">
        <v>26</v>
      </c>
      <c r="D146" s="19" t="s">
        <v>88</v>
      </c>
      <c r="E146" s="19" t="s">
        <v>443</v>
      </c>
      <c r="F146" s="19" t="s">
        <v>400</v>
      </c>
      <c r="G146" s="19" t="s">
        <v>557</v>
      </c>
      <c r="H146" s="19" t="s">
        <v>5</v>
      </c>
    </row>
    <row r="147" spans="1:8" x14ac:dyDescent="0.25">
      <c r="A147">
        <v>22350377</v>
      </c>
      <c r="B147" s="19" t="s">
        <v>12</v>
      </c>
      <c r="C147" s="19" t="s">
        <v>26</v>
      </c>
      <c r="D147" s="19" t="s">
        <v>88</v>
      </c>
      <c r="E147" s="19" t="s">
        <v>443</v>
      </c>
      <c r="F147" s="19" t="s">
        <v>400</v>
      </c>
      <c r="G147" s="19" t="s">
        <v>557</v>
      </c>
      <c r="H147" s="19" t="s">
        <v>5</v>
      </c>
    </row>
    <row r="148" spans="1:8" x14ac:dyDescent="0.25">
      <c r="A148">
        <v>22350368</v>
      </c>
      <c r="B148" s="19" t="s">
        <v>12</v>
      </c>
      <c r="C148" s="19" t="s">
        <v>26</v>
      </c>
      <c r="D148" s="19" t="s">
        <v>88</v>
      </c>
      <c r="E148" s="19" t="s">
        <v>443</v>
      </c>
      <c r="F148" s="19" t="s">
        <v>400</v>
      </c>
      <c r="G148" s="19" t="s">
        <v>557</v>
      </c>
      <c r="H148" s="19" t="s">
        <v>5</v>
      </c>
    </row>
    <row r="149" spans="1:8" x14ac:dyDescent="0.25">
      <c r="A149">
        <v>22350365</v>
      </c>
      <c r="B149" s="19" t="s">
        <v>12</v>
      </c>
      <c r="C149" s="19" t="s">
        <v>26</v>
      </c>
      <c r="D149" s="19" t="s">
        <v>88</v>
      </c>
      <c r="E149" s="19" t="s">
        <v>443</v>
      </c>
      <c r="F149" s="19" t="s">
        <v>400</v>
      </c>
      <c r="G149" s="19" t="s">
        <v>557</v>
      </c>
      <c r="H149" s="19" t="s">
        <v>5</v>
      </c>
    </row>
    <row r="150" spans="1:8" x14ac:dyDescent="0.25">
      <c r="A150">
        <v>22350363</v>
      </c>
      <c r="B150" s="19" t="s">
        <v>12</v>
      </c>
      <c r="C150" s="19" t="s">
        <v>26</v>
      </c>
      <c r="D150" s="19" t="s">
        <v>88</v>
      </c>
      <c r="E150" s="19" t="s">
        <v>443</v>
      </c>
      <c r="F150" s="19" t="s">
        <v>400</v>
      </c>
      <c r="G150" s="19" t="s">
        <v>557</v>
      </c>
      <c r="H150" s="19" t="s">
        <v>5</v>
      </c>
    </row>
    <row r="151" spans="1:8" x14ac:dyDescent="0.25">
      <c r="A151">
        <v>22350362</v>
      </c>
      <c r="B151" s="19" t="s">
        <v>12</v>
      </c>
      <c r="C151" s="19" t="s">
        <v>26</v>
      </c>
      <c r="D151" s="19" t="s">
        <v>88</v>
      </c>
      <c r="E151" s="19" t="s">
        <v>443</v>
      </c>
      <c r="F151" s="19" t="s">
        <v>400</v>
      </c>
      <c r="G151" s="19" t="s">
        <v>557</v>
      </c>
      <c r="H151" s="19" t="s">
        <v>5</v>
      </c>
    </row>
    <row r="152" spans="1:8" x14ac:dyDescent="0.25">
      <c r="A152">
        <v>22350358</v>
      </c>
      <c r="B152" s="19" t="s">
        <v>12</v>
      </c>
      <c r="C152" s="19" t="s">
        <v>26</v>
      </c>
      <c r="D152" s="19" t="s">
        <v>88</v>
      </c>
      <c r="E152" s="19" t="s">
        <v>443</v>
      </c>
      <c r="F152" s="19" t="s">
        <v>400</v>
      </c>
      <c r="G152" s="19" t="s">
        <v>557</v>
      </c>
      <c r="H152" s="19" t="s">
        <v>5</v>
      </c>
    </row>
    <row r="153" spans="1:8" x14ac:dyDescent="0.25">
      <c r="A153">
        <v>22350354</v>
      </c>
      <c r="B153" s="19" t="s">
        <v>12</v>
      </c>
      <c r="C153" s="19" t="s">
        <v>26</v>
      </c>
      <c r="D153" s="19" t="s">
        <v>88</v>
      </c>
      <c r="E153" s="19" t="s">
        <v>443</v>
      </c>
      <c r="F153" s="19" t="s">
        <v>400</v>
      </c>
      <c r="G153" s="19" t="s">
        <v>557</v>
      </c>
      <c r="H153" s="19" t="s">
        <v>5</v>
      </c>
    </row>
    <row r="154" spans="1:8" x14ac:dyDescent="0.25">
      <c r="A154">
        <v>22350352</v>
      </c>
      <c r="B154" s="19" t="s">
        <v>12</v>
      </c>
      <c r="C154" s="19" t="s">
        <v>26</v>
      </c>
      <c r="D154" s="19" t="s">
        <v>88</v>
      </c>
      <c r="E154" s="19" t="s">
        <v>443</v>
      </c>
      <c r="F154" s="19" t="s">
        <v>400</v>
      </c>
      <c r="G154" s="19" t="s">
        <v>557</v>
      </c>
      <c r="H154" s="19" t="s">
        <v>5</v>
      </c>
    </row>
    <row r="155" spans="1:8" x14ac:dyDescent="0.25">
      <c r="A155">
        <v>22350349</v>
      </c>
      <c r="B155" s="19" t="s">
        <v>12</v>
      </c>
      <c r="C155" s="19" t="s">
        <v>26</v>
      </c>
      <c r="D155" s="19" t="s">
        <v>88</v>
      </c>
      <c r="E155" s="19" t="s">
        <v>443</v>
      </c>
      <c r="F155" s="19" t="s">
        <v>400</v>
      </c>
      <c r="G155" s="19" t="s">
        <v>557</v>
      </c>
      <c r="H155" s="19" t="s">
        <v>5</v>
      </c>
    </row>
    <row r="156" spans="1:8" x14ac:dyDescent="0.25">
      <c r="A156">
        <v>22350346</v>
      </c>
      <c r="B156" s="19" t="s">
        <v>12</v>
      </c>
      <c r="C156" s="19" t="s">
        <v>26</v>
      </c>
      <c r="D156" s="19" t="s">
        <v>88</v>
      </c>
      <c r="E156" s="19" t="s">
        <v>443</v>
      </c>
      <c r="F156" s="19" t="s">
        <v>400</v>
      </c>
      <c r="G156" s="19" t="s">
        <v>557</v>
      </c>
      <c r="H156" s="19" t="s">
        <v>5</v>
      </c>
    </row>
    <row r="157" spans="1:8" x14ac:dyDescent="0.25">
      <c r="A157">
        <v>22350341</v>
      </c>
      <c r="B157" s="19" t="s">
        <v>12</v>
      </c>
      <c r="C157" s="19" t="s">
        <v>26</v>
      </c>
      <c r="D157" s="19" t="s">
        <v>88</v>
      </c>
      <c r="E157" s="19" t="s">
        <v>443</v>
      </c>
      <c r="F157" s="19" t="s">
        <v>400</v>
      </c>
      <c r="G157" s="19" t="s">
        <v>557</v>
      </c>
      <c r="H157" s="19" t="s">
        <v>5</v>
      </c>
    </row>
    <row r="158" spans="1:8" x14ac:dyDescent="0.25">
      <c r="A158">
        <v>22350331</v>
      </c>
      <c r="B158" s="19" t="s">
        <v>12</v>
      </c>
      <c r="C158" s="19" t="s">
        <v>26</v>
      </c>
      <c r="D158" s="19" t="s">
        <v>88</v>
      </c>
      <c r="E158" s="19" t="s">
        <v>443</v>
      </c>
      <c r="F158" s="19" t="s">
        <v>400</v>
      </c>
      <c r="G158" s="19" t="s">
        <v>557</v>
      </c>
      <c r="H158" s="19" t="s">
        <v>5</v>
      </c>
    </row>
    <row r="159" spans="1:8" x14ac:dyDescent="0.25">
      <c r="A159">
        <v>22350330</v>
      </c>
      <c r="B159" s="19" t="s">
        <v>12</v>
      </c>
      <c r="C159" s="19" t="s">
        <v>26</v>
      </c>
      <c r="D159" s="19" t="s">
        <v>88</v>
      </c>
      <c r="E159" s="19" t="s">
        <v>443</v>
      </c>
      <c r="F159" s="19" t="s">
        <v>400</v>
      </c>
      <c r="G159" s="19" t="s">
        <v>557</v>
      </c>
      <c r="H159" s="19" t="s">
        <v>5</v>
      </c>
    </row>
    <row r="160" spans="1:8" x14ac:dyDescent="0.25">
      <c r="A160">
        <v>22350327</v>
      </c>
      <c r="B160" s="19" t="s">
        <v>12</v>
      </c>
      <c r="C160" s="19" t="s">
        <v>26</v>
      </c>
      <c r="D160" s="19" t="s">
        <v>88</v>
      </c>
      <c r="E160" s="19" t="s">
        <v>443</v>
      </c>
      <c r="F160" s="19" t="s">
        <v>400</v>
      </c>
      <c r="G160" s="19" t="s">
        <v>557</v>
      </c>
      <c r="H160" s="19" t="s">
        <v>5</v>
      </c>
    </row>
    <row r="161" spans="1:8" x14ac:dyDescent="0.25">
      <c r="A161">
        <v>22350321</v>
      </c>
      <c r="B161" s="19" t="s">
        <v>12</v>
      </c>
      <c r="C161" s="19" t="s">
        <v>26</v>
      </c>
      <c r="D161" s="19" t="s">
        <v>88</v>
      </c>
      <c r="E161" s="19" t="s">
        <v>443</v>
      </c>
      <c r="F161" s="19" t="s">
        <v>400</v>
      </c>
      <c r="G161" s="19" t="s">
        <v>557</v>
      </c>
      <c r="H161" s="19" t="s">
        <v>5</v>
      </c>
    </row>
    <row r="162" spans="1:8" x14ac:dyDescent="0.25">
      <c r="A162">
        <v>22350320</v>
      </c>
      <c r="B162" s="19" t="s">
        <v>12</v>
      </c>
      <c r="C162" s="19" t="s">
        <v>26</v>
      </c>
      <c r="D162" s="19" t="s">
        <v>88</v>
      </c>
      <c r="E162" s="19" t="s">
        <v>443</v>
      </c>
      <c r="F162" s="19" t="s">
        <v>400</v>
      </c>
      <c r="G162" s="19" t="s">
        <v>557</v>
      </c>
      <c r="H162" s="19" t="s">
        <v>5</v>
      </c>
    </row>
    <row r="163" spans="1:8" x14ac:dyDescent="0.25">
      <c r="A163">
        <v>22350314</v>
      </c>
      <c r="B163" s="19" t="s">
        <v>12</v>
      </c>
      <c r="C163" s="19" t="s">
        <v>26</v>
      </c>
      <c r="D163" s="19" t="s">
        <v>88</v>
      </c>
      <c r="E163" s="19" t="s">
        <v>443</v>
      </c>
      <c r="F163" s="19" t="s">
        <v>400</v>
      </c>
      <c r="G163" s="19" t="s">
        <v>557</v>
      </c>
      <c r="H163" s="19" t="s">
        <v>5</v>
      </c>
    </row>
    <row r="164" spans="1:8" x14ac:dyDescent="0.25">
      <c r="A164">
        <v>22350312</v>
      </c>
      <c r="B164" s="19" t="s">
        <v>12</v>
      </c>
      <c r="C164" s="19" t="s">
        <v>26</v>
      </c>
      <c r="D164" s="19" t="s">
        <v>88</v>
      </c>
      <c r="E164" s="19" t="s">
        <v>443</v>
      </c>
      <c r="F164" s="19" t="s">
        <v>400</v>
      </c>
      <c r="G164" s="19" t="s">
        <v>557</v>
      </c>
      <c r="H164" s="19" t="s">
        <v>5</v>
      </c>
    </row>
    <row r="165" spans="1:8" x14ac:dyDescent="0.25">
      <c r="A165">
        <v>22350310</v>
      </c>
      <c r="B165" s="19" t="s">
        <v>12</v>
      </c>
      <c r="C165" s="19" t="s">
        <v>26</v>
      </c>
      <c r="D165" s="19" t="s">
        <v>88</v>
      </c>
      <c r="E165" s="19" t="s">
        <v>443</v>
      </c>
      <c r="F165" s="19" t="s">
        <v>400</v>
      </c>
      <c r="G165" s="19" t="s">
        <v>557</v>
      </c>
      <c r="H165" s="19" t="s">
        <v>5</v>
      </c>
    </row>
    <row r="166" spans="1:8" x14ac:dyDescent="0.25">
      <c r="A166">
        <v>22350306</v>
      </c>
      <c r="B166" s="19" t="s">
        <v>12</v>
      </c>
      <c r="C166" s="19" t="s">
        <v>26</v>
      </c>
      <c r="D166" s="19" t="s">
        <v>88</v>
      </c>
      <c r="E166" s="19" t="s">
        <v>443</v>
      </c>
      <c r="F166" s="19" t="s">
        <v>400</v>
      </c>
      <c r="G166" s="19" t="s">
        <v>557</v>
      </c>
      <c r="H166" s="19" t="s">
        <v>5</v>
      </c>
    </row>
    <row r="167" spans="1:8" x14ac:dyDescent="0.25">
      <c r="A167">
        <v>22350305</v>
      </c>
      <c r="B167" s="19" t="s">
        <v>12</v>
      </c>
      <c r="C167" s="19" t="s">
        <v>26</v>
      </c>
      <c r="D167" s="19" t="s">
        <v>88</v>
      </c>
      <c r="E167" s="19" t="s">
        <v>443</v>
      </c>
      <c r="F167" s="19" t="s">
        <v>400</v>
      </c>
      <c r="G167" s="19" t="s">
        <v>557</v>
      </c>
      <c r="H167" s="19" t="s">
        <v>5</v>
      </c>
    </row>
    <row r="168" spans="1:8" x14ac:dyDescent="0.25">
      <c r="A168">
        <v>22350304</v>
      </c>
      <c r="B168" s="19" t="s">
        <v>12</v>
      </c>
      <c r="C168" s="19" t="s">
        <v>26</v>
      </c>
      <c r="D168" s="19" t="s">
        <v>88</v>
      </c>
      <c r="E168" s="19" t="s">
        <v>443</v>
      </c>
      <c r="F168" s="19" t="s">
        <v>400</v>
      </c>
      <c r="G168" s="19" t="s">
        <v>557</v>
      </c>
      <c r="H168" s="19" t="s">
        <v>5</v>
      </c>
    </row>
    <row r="169" spans="1:8" x14ac:dyDescent="0.25">
      <c r="A169">
        <v>22350300</v>
      </c>
      <c r="B169" s="19" t="s">
        <v>12</v>
      </c>
      <c r="C169" s="19" t="s">
        <v>26</v>
      </c>
      <c r="D169" s="19" t="s">
        <v>88</v>
      </c>
      <c r="E169" s="19" t="s">
        <v>443</v>
      </c>
      <c r="F169" s="19" t="s">
        <v>400</v>
      </c>
      <c r="G169" s="19" t="s">
        <v>557</v>
      </c>
      <c r="H169" s="19" t="s">
        <v>5</v>
      </c>
    </row>
    <row r="170" spans="1:8" x14ac:dyDescent="0.25">
      <c r="A170">
        <v>22350297</v>
      </c>
      <c r="B170" s="19" t="s">
        <v>12</v>
      </c>
      <c r="C170" s="19" t="s">
        <v>26</v>
      </c>
      <c r="D170" s="19" t="s">
        <v>88</v>
      </c>
      <c r="E170" s="19" t="s">
        <v>443</v>
      </c>
      <c r="F170" s="19" t="s">
        <v>400</v>
      </c>
      <c r="G170" s="19" t="s">
        <v>557</v>
      </c>
      <c r="H170" s="19" t="s">
        <v>5</v>
      </c>
    </row>
    <row r="171" spans="1:8" x14ac:dyDescent="0.25">
      <c r="A171">
        <v>22350294</v>
      </c>
      <c r="B171" s="19" t="s">
        <v>12</v>
      </c>
      <c r="C171" s="19" t="s">
        <v>26</v>
      </c>
      <c r="D171" s="19" t="s">
        <v>88</v>
      </c>
      <c r="E171" s="19" t="s">
        <v>443</v>
      </c>
      <c r="F171" s="19" t="s">
        <v>400</v>
      </c>
      <c r="G171" s="19" t="s">
        <v>557</v>
      </c>
      <c r="H171" s="19" t="s">
        <v>5</v>
      </c>
    </row>
    <row r="172" spans="1:8" x14ac:dyDescent="0.25">
      <c r="A172">
        <v>22350290</v>
      </c>
      <c r="B172" s="19" t="s">
        <v>18</v>
      </c>
      <c r="C172" s="19" t="s">
        <v>26</v>
      </c>
      <c r="D172" s="19" t="s">
        <v>88</v>
      </c>
      <c r="E172" s="19" t="s">
        <v>443</v>
      </c>
      <c r="F172" s="19" t="s">
        <v>400</v>
      </c>
      <c r="G172" s="19" t="s">
        <v>557</v>
      </c>
      <c r="H172" s="19" t="s">
        <v>5</v>
      </c>
    </row>
    <row r="173" spans="1:8" x14ac:dyDescent="0.25">
      <c r="A173">
        <v>22350289</v>
      </c>
      <c r="B173" s="19" t="s">
        <v>12</v>
      </c>
      <c r="C173" s="19" t="s">
        <v>26</v>
      </c>
      <c r="D173" s="19" t="s">
        <v>157</v>
      </c>
      <c r="E173" s="19" t="s">
        <v>437</v>
      </c>
      <c r="F173" s="19" t="s">
        <v>400</v>
      </c>
      <c r="G173" s="19" t="s">
        <v>557</v>
      </c>
      <c r="H173" s="19" t="s">
        <v>5</v>
      </c>
    </row>
    <row r="174" spans="1:8" x14ac:dyDescent="0.25">
      <c r="A174">
        <v>22350253</v>
      </c>
      <c r="B174" s="19" t="s">
        <v>12</v>
      </c>
      <c r="C174" s="19" t="s">
        <v>26</v>
      </c>
      <c r="D174" s="19" t="s">
        <v>160</v>
      </c>
      <c r="E174" s="19" t="s">
        <v>437</v>
      </c>
      <c r="F174" s="19" t="s">
        <v>400</v>
      </c>
      <c r="G174" s="19" t="s">
        <v>557</v>
      </c>
      <c r="H174" s="19" t="s">
        <v>5</v>
      </c>
    </row>
    <row r="175" spans="1:8" x14ac:dyDescent="0.25">
      <c r="A175">
        <v>22350233</v>
      </c>
      <c r="B175" s="19" t="s">
        <v>12</v>
      </c>
      <c r="C175" s="19" t="s">
        <v>26</v>
      </c>
      <c r="D175" s="19" t="s">
        <v>161</v>
      </c>
      <c r="E175" s="19" t="s">
        <v>437</v>
      </c>
      <c r="F175" s="19" t="s">
        <v>400</v>
      </c>
      <c r="G175" s="19" t="s">
        <v>557</v>
      </c>
      <c r="H175" s="19" t="s">
        <v>5</v>
      </c>
    </row>
    <row r="176" spans="1:8" x14ac:dyDescent="0.25">
      <c r="A176">
        <v>22350230</v>
      </c>
      <c r="B176" s="19" t="s">
        <v>12</v>
      </c>
      <c r="C176" s="19" t="s">
        <v>26</v>
      </c>
      <c r="D176" s="19" t="s">
        <v>160</v>
      </c>
      <c r="E176" s="19" t="s">
        <v>437</v>
      </c>
      <c r="F176" s="19" t="s">
        <v>400</v>
      </c>
      <c r="G176" s="19" t="s">
        <v>557</v>
      </c>
      <c r="H176" s="19" t="s">
        <v>5</v>
      </c>
    </row>
    <row r="177" spans="1:8" x14ac:dyDescent="0.25">
      <c r="A177">
        <v>22350228</v>
      </c>
      <c r="B177" s="19" t="s">
        <v>12</v>
      </c>
      <c r="C177" s="19" t="s">
        <v>26</v>
      </c>
      <c r="D177" s="19" t="s">
        <v>154</v>
      </c>
      <c r="E177" s="19" t="s">
        <v>437</v>
      </c>
      <c r="F177" s="19" t="s">
        <v>400</v>
      </c>
      <c r="G177" s="19" t="s">
        <v>557</v>
      </c>
      <c r="H177" s="19" t="s">
        <v>5</v>
      </c>
    </row>
    <row r="178" spans="1:8" x14ac:dyDescent="0.25">
      <c r="A178">
        <v>22350225</v>
      </c>
      <c r="B178" s="19" t="s">
        <v>12</v>
      </c>
      <c r="C178" s="19" t="s">
        <v>26</v>
      </c>
      <c r="D178" s="19" t="s">
        <v>160</v>
      </c>
      <c r="E178" s="19" t="s">
        <v>437</v>
      </c>
      <c r="F178" s="19" t="s">
        <v>400</v>
      </c>
      <c r="G178" s="19" t="s">
        <v>557</v>
      </c>
      <c r="H178" s="19" t="s">
        <v>5</v>
      </c>
    </row>
    <row r="179" spans="1:8" x14ac:dyDescent="0.25">
      <c r="A179">
        <v>22350215</v>
      </c>
      <c r="B179" s="19" t="s">
        <v>12</v>
      </c>
      <c r="C179" s="19" t="s">
        <v>26</v>
      </c>
      <c r="D179" s="19" t="s">
        <v>155</v>
      </c>
      <c r="E179" s="19" t="s">
        <v>437</v>
      </c>
      <c r="F179" s="19" t="s">
        <v>400</v>
      </c>
      <c r="G179" s="19" t="s">
        <v>557</v>
      </c>
      <c r="H179" s="19" t="s">
        <v>5</v>
      </c>
    </row>
    <row r="180" spans="1:8" x14ac:dyDescent="0.25">
      <c r="A180">
        <v>22350204</v>
      </c>
      <c r="B180" s="19" t="s">
        <v>12</v>
      </c>
      <c r="C180" s="19" t="s">
        <v>26</v>
      </c>
      <c r="D180" s="19" t="s">
        <v>154</v>
      </c>
      <c r="E180" s="19" t="s">
        <v>437</v>
      </c>
      <c r="F180" s="19" t="s">
        <v>400</v>
      </c>
      <c r="G180" s="19" t="s">
        <v>557</v>
      </c>
      <c r="H180" s="19" t="s">
        <v>5</v>
      </c>
    </row>
    <row r="181" spans="1:8" x14ac:dyDescent="0.25">
      <c r="A181">
        <v>22350186</v>
      </c>
      <c r="B181" s="19" t="s">
        <v>12</v>
      </c>
      <c r="C181" s="19" t="s">
        <v>26</v>
      </c>
      <c r="D181" s="19" t="s">
        <v>160</v>
      </c>
      <c r="E181" s="19" t="s">
        <v>437</v>
      </c>
      <c r="F181" s="19" t="s">
        <v>400</v>
      </c>
      <c r="G181" s="19" t="s">
        <v>557</v>
      </c>
      <c r="H181" s="19" t="s">
        <v>5</v>
      </c>
    </row>
    <row r="182" spans="1:8" x14ac:dyDescent="0.25">
      <c r="A182">
        <v>22350184</v>
      </c>
      <c r="B182" s="19" t="s">
        <v>12</v>
      </c>
      <c r="C182" s="19" t="s">
        <v>26</v>
      </c>
      <c r="D182" s="19" t="s">
        <v>155</v>
      </c>
      <c r="E182" s="19" t="s">
        <v>437</v>
      </c>
      <c r="F182" s="19" t="s">
        <v>400</v>
      </c>
      <c r="G182" s="19" t="s">
        <v>557</v>
      </c>
      <c r="H182" s="19" t="s">
        <v>5</v>
      </c>
    </row>
    <row r="183" spans="1:8" x14ac:dyDescent="0.25">
      <c r="A183">
        <v>22350181</v>
      </c>
      <c r="B183" s="19" t="s">
        <v>12</v>
      </c>
      <c r="C183" s="19" t="s">
        <v>26</v>
      </c>
      <c r="D183" s="19" t="s">
        <v>154</v>
      </c>
      <c r="E183" s="19" t="s">
        <v>437</v>
      </c>
      <c r="F183" s="19" t="s">
        <v>400</v>
      </c>
      <c r="G183" s="19" t="s">
        <v>557</v>
      </c>
      <c r="H183" s="19" t="s">
        <v>5</v>
      </c>
    </row>
    <row r="184" spans="1:8" x14ac:dyDescent="0.25">
      <c r="A184">
        <v>22350170</v>
      </c>
      <c r="B184" s="19" t="s">
        <v>12</v>
      </c>
      <c r="C184" s="19" t="s">
        <v>26</v>
      </c>
      <c r="D184" s="19" t="s">
        <v>160</v>
      </c>
      <c r="E184" s="19" t="s">
        <v>437</v>
      </c>
      <c r="F184" s="19" t="s">
        <v>400</v>
      </c>
      <c r="G184" s="19" t="s">
        <v>557</v>
      </c>
      <c r="H184" s="19" t="s">
        <v>5</v>
      </c>
    </row>
    <row r="185" spans="1:8" x14ac:dyDescent="0.25">
      <c r="A185">
        <v>22350164</v>
      </c>
      <c r="B185" s="19" t="s">
        <v>12</v>
      </c>
      <c r="C185" s="19" t="s">
        <v>26</v>
      </c>
      <c r="D185" s="19" t="s">
        <v>154</v>
      </c>
      <c r="E185" s="19" t="s">
        <v>437</v>
      </c>
      <c r="F185" s="19" t="s">
        <v>400</v>
      </c>
      <c r="G185" s="19" t="s">
        <v>557</v>
      </c>
      <c r="H185" s="19" t="s">
        <v>5</v>
      </c>
    </row>
    <row r="186" spans="1:8" x14ac:dyDescent="0.25">
      <c r="A186">
        <v>22350153</v>
      </c>
      <c r="B186" s="19" t="s">
        <v>12</v>
      </c>
      <c r="C186" s="19" t="s">
        <v>26</v>
      </c>
      <c r="D186" s="19" t="s">
        <v>155</v>
      </c>
      <c r="E186" s="19" t="s">
        <v>437</v>
      </c>
      <c r="F186" s="19" t="s">
        <v>400</v>
      </c>
      <c r="G186" s="19" t="s">
        <v>557</v>
      </c>
      <c r="H186" s="19" t="s">
        <v>5</v>
      </c>
    </row>
    <row r="187" spans="1:8" x14ac:dyDescent="0.25">
      <c r="A187">
        <v>22350144</v>
      </c>
      <c r="B187" s="19" t="s">
        <v>18</v>
      </c>
      <c r="C187" s="19" t="s">
        <v>26</v>
      </c>
      <c r="D187" s="19" t="s">
        <v>155</v>
      </c>
      <c r="E187" s="19" t="s">
        <v>437</v>
      </c>
      <c r="F187" s="19" t="s">
        <v>400</v>
      </c>
      <c r="G187" s="19" t="s">
        <v>557</v>
      </c>
      <c r="H187" s="19" t="s">
        <v>5</v>
      </c>
    </row>
    <row r="188" spans="1:8" x14ac:dyDescent="0.25">
      <c r="A188">
        <v>22350119</v>
      </c>
      <c r="B188" s="19" t="s">
        <v>18</v>
      </c>
      <c r="C188" s="19" t="s">
        <v>26</v>
      </c>
      <c r="D188" s="19" t="s">
        <v>155</v>
      </c>
      <c r="E188" s="19" t="s">
        <v>437</v>
      </c>
      <c r="F188" s="19" t="s">
        <v>400</v>
      </c>
      <c r="G188" s="19" t="s">
        <v>557</v>
      </c>
      <c r="H188" s="19" t="s">
        <v>5</v>
      </c>
    </row>
    <row r="189" spans="1:8" x14ac:dyDescent="0.25">
      <c r="A189">
        <v>22350096</v>
      </c>
      <c r="B189" s="19" t="s">
        <v>12</v>
      </c>
      <c r="C189" s="19" t="s">
        <v>26</v>
      </c>
      <c r="D189" s="19" t="s">
        <v>154</v>
      </c>
      <c r="E189" s="19" t="s">
        <v>437</v>
      </c>
      <c r="F189" s="19" t="s">
        <v>400</v>
      </c>
      <c r="G189" s="19" t="s">
        <v>557</v>
      </c>
      <c r="H189" s="19" t="s">
        <v>5</v>
      </c>
    </row>
    <row r="190" spans="1:8" x14ac:dyDescent="0.25">
      <c r="A190">
        <v>22350095</v>
      </c>
      <c r="B190" s="19" t="s">
        <v>12</v>
      </c>
      <c r="C190" s="19" t="s">
        <v>26</v>
      </c>
      <c r="D190" s="19" t="s">
        <v>155</v>
      </c>
      <c r="E190" s="19" t="s">
        <v>437</v>
      </c>
      <c r="F190" s="19" t="s">
        <v>400</v>
      </c>
      <c r="G190" s="19" t="s">
        <v>557</v>
      </c>
      <c r="H190" s="19" t="s">
        <v>5</v>
      </c>
    </row>
    <row r="191" spans="1:8" x14ac:dyDescent="0.25">
      <c r="A191">
        <v>22350089</v>
      </c>
      <c r="B191" s="19" t="s">
        <v>12</v>
      </c>
      <c r="C191" s="19" t="s">
        <v>26</v>
      </c>
      <c r="D191" s="19" t="s">
        <v>155</v>
      </c>
      <c r="E191" s="19" t="s">
        <v>437</v>
      </c>
      <c r="F191" s="19" t="s">
        <v>400</v>
      </c>
      <c r="G191" s="19" t="s">
        <v>557</v>
      </c>
      <c r="H191" s="19" t="s">
        <v>5</v>
      </c>
    </row>
    <row r="192" spans="1:8" x14ac:dyDescent="0.25">
      <c r="A192">
        <v>22350072</v>
      </c>
      <c r="B192" s="19" t="s">
        <v>12</v>
      </c>
      <c r="C192" s="19" t="s">
        <v>26</v>
      </c>
      <c r="D192" s="19" t="s">
        <v>163</v>
      </c>
      <c r="E192" s="19" t="s">
        <v>437</v>
      </c>
      <c r="F192" s="19" t="s">
        <v>400</v>
      </c>
      <c r="G192" s="19" t="s">
        <v>557</v>
      </c>
      <c r="H192" s="19" t="s">
        <v>5</v>
      </c>
    </row>
    <row r="193" spans="1:8" x14ac:dyDescent="0.25">
      <c r="A193">
        <v>22350056</v>
      </c>
      <c r="B193" s="19" t="s">
        <v>12</v>
      </c>
      <c r="C193" s="19" t="s">
        <v>26</v>
      </c>
      <c r="D193" s="19" t="s">
        <v>155</v>
      </c>
      <c r="E193" s="19" t="s">
        <v>437</v>
      </c>
      <c r="F193" s="19" t="s">
        <v>400</v>
      </c>
      <c r="G193" s="19" t="s">
        <v>557</v>
      </c>
      <c r="H193" s="19" t="s">
        <v>5</v>
      </c>
    </row>
    <row r="194" spans="1:8" x14ac:dyDescent="0.25">
      <c r="A194">
        <v>22350033</v>
      </c>
      <c r="B194" s="19" t="s">
        <v>12</v>
      </c>
      <c r="C194" s="19" t="s">
        <v>26</v>
      </c>
      <c r="D194" s="19" t="s">
        <v>154</v>
      </c>
      <c r="E194" s="19" t="s">
        <v>437</v>
      </c>
      <c r="F194" s="19" t="s">
        <v>400</v>
      </c>
      <c r="G194" s="19" t="s">
        <v>557</v>
      </c>
      <c r="H194" s="19" t="s">
        <v>5</v>
      </c>
    </row>
    <row r="195" spans="1:8" x14ac:dyDescent="0.25">
      <c r="A195">
        <v>22350029</v>
      </c>
      <c r="B195" s="19" t="s">
        <v>12</v>
      </c>
      <c r="C195" s="19" t="s">
        <v>26</v>
      </c>
      <c r="D195" s="19" t="s">
        <v>155</v>
      </c>
      <c r="E195" s="19" t="s">
        <v>437</v>
      </c>
      <c r="F195" s="19" t="s">
        <v>400</v>
      </c>
      <c r="G195" s="19" t="s">
        <v>557</v>
      </c>
      <c r="H195" s="19" t="s">
        <v>5</v>
      </c>
    </row>
    <row r="196" spans="1:8" x14ac:dyDescent="0.25">
      <c r="A196">
        <v>22350017</v>
      </c>
      <c r="B196" s="19" t="s">
        <v>12</v>
      </c>
      <c r="C196" s="19" t="s">
        <v>26</v>
      </c>
      <c r="D196" s="19" t="s">
        <v>164</v>
      </c>
      <c r="E196" s="19" t="s">
        <v>437</v>
      </c>
      <c r="F196" s="19" t="s">
        <v>400</v>
      </c>
      <c r="G196" s="19" t="s">
        <v>557</v>
      </c>
      <c r="H196" s="19" t="s">
        <v>5</v>
      </c>
    </row>
    <row r="197" spans="1:8" x14ac:dyDescent="0.25">
      <c r="A197">
        <v>22350010</v>
      </c>
      <c r="B197" s="19" t="s">
        <v>12</v>
      </c>
      <c r="C197" s="19" t="s">
        <v>26</v>
      </c>
      <c r="D197" s="19" t="s">
        <v>155</v>
      </c>
      <c r="E197" s="19" t="s">
        <v>437</v>
      </c>
      <c r="F197" s="19" t="s">
        <v>400</v>
      </c>
      <c r="G197" s="19" t="s">
        <v>557</v>
      </c>
      <c r="H197" s="19" t="s">
        <v>5</v>
      </c>
    </row>
    <row r="198" spans="1:8" x14ac:dyDescent="0.25">
      <c r="A198">
        <v>22350007</v>
      </c>
      <c r="B198" s="19" t="s">
        <v>12</v>
      </c>
      <c r="C198" s="19" t="s">
        <v>26</v>
      </c>
      <c r="D198" s="19" t="s">
        <v>155</v>
      </c>
      <c r="E198" s="19" t="s">
        <v>437</v>
      </c>
      <c r="F198" s="19" t="s">
        <v>400</v>
      </c>
      <c r="G198" s="19" t="s">
        <v>557</v>
      </c>
      <c r="H198" s="19" t="s">
        <v>5</v>
      </c>
    </row>
    <row r="199" spans="1:8" x14ac:dyDescent="0.25">
      <c r="A199">
        <v>22350005</v>
      </c>
      <c r="B199" s="19" t="s">
        <v>12</v>
      </c>
      <c r="C199" s="19" t="s">
        <v>26</v>
      </c>
      <c r="D199" s="19" t="s">
        <v>154</v>
      </c>
      <c r="E199" s="19" t="s">
        <v>437</v>
      </c>
      <c r="F199" s="19" t="s">
        <v>400</v>
      </c>
      <c r="G199" s="19" t="s">
        <v>557</v>
      </c>
      <c r="H199" s="19" t="s">
        <v>5</v>
      </c>
    </row>
    <row r="200" spans="1:8" x14ac:dyDescent="0.25">
      <c r="A200">
        <v>22350004</v>
      </c>
      <c r="B200" s="19" t="s">
        <v>12</v>
      </c>
      <c r="C200" s="19" t="s">
        <v>26</v>
      </c>
      <c r="D200" s="19" t="s">
        <v>155</v>
      </c>
      <c r="E200" s="19" t="s">
        <v>437</v>
      </c>
      <c r="F200" s="19" t="s">
        <v>400</v>
      </c>
      <c r="G200" s="19" t="s">
        <v>557</v>
      </c>
      <c r="H200" s="19" t="s">
        <v>5</v>
      </c>
    </row>
    <row r="201" spans="1:8" x14ac:dyDescent="0.25">
      <c r="A201">
        <v>20910793</v>
      </c>
      <c r="B201" s="19" t="s">
        <v>12</v>
      </c>
      <c r="C201" s="19" t="s">
        <v>26</v>
      </c>
      <c r="D201" s="19" t="s">
        <v>28</v>
      </c>
      <c r="E201" s="19" t="s">
        <v>443</v>
      </c>
      <c r="F201" s="19" t="s">
        <v>400</v>
      </c>
      <c r="G201" s="19" t="s">
        <v>557</v>
      </c>
      <c r="H201" s="19" t="s">
        <v>5</v>
      </c>
    </row>
    <row r="202" spans="1:8" x14ac:dyDescent="0.25">
      <c r="A202">
        <v>20910790</v>
      </c>
      <c r="B202" s="19" t="s">
        <v>12</v>
      </c>
      <c r="C202" s="19" t="s">
        <v>26</v>
      </c>
      <c r="D202" s="19" t="s">
        <v>28</v>
      </c>
      <c r="E202" s="19" t="s">
        <v>443</v>
      </c>
      <c r="F202" s="19" t="s">
        <v>400</v>
      </c>
      <c r="G202" s="19" t="s">
        <v>557</v>
      </c>
      <c r="H202" s="19" t="s">
        <v>5</v>
      </c>
    </row>
    <row r="203" spans="1:8" x14ac:dyDescent="0.25">
      <c r="A203">
        <v>20910777</v>
      </c>
      <c r="B203" s="19" t="s">
        <v>12</v>
      </c>
      <c r="C203" s="19" t="s">
        <v>26</v>
      </c>
      <c r="D203" s="19" t="s">
        <v>31</v>
      </c>
      <c r="E203" s="19" t="s">
        <v>443</v>
      </c>
      <c r="F203" s="19" t="s">
        <v>400</v>
      </c>
      <c r="G203" s="19" t="s">
        <v>557</v>
      </c>
      <c r="H203" s="19" t="s">
        <v>5</v>
      </c>
    </row>
    <row r="204" spans="1:8" x14ac:dyDescent="0.25">
      <c r="A204">
        <v>20910758</v>
      </c>
      <c r="B204" s="19" t="s">
        <v>18</v>
      </c>
      <c r="C204" s="19" t="s">
        <v>26</v>
      </c>
      <c r="D204" s="19" t="s">
        <v>30</v>
      </c>
      <c r="E204" s="19" t="s">
        <v>443</v>
      </c>
      <c r="F204" s="19" t="s">
        <v>400</v>
      </c>
      <c r="G204" s="19" t="s">
        <v>557</v>
      </c>
      <c r="H204" s="19" t="s">
        <v>5</v>
      </c>
    </row>
    <row r="205" spans="1:8" x14ac:dyDescent="0.25">
      <c r="A205">
        <v>20910607</v>
      </c>
      <c r="B205" s="19" t="s">
        <v>12</v>
      </c>
      <c r="C205" s="19" t="s">
        <v>26</v>
      </c>
      <c r="D205" s="19" t="s">
        <v>92</v>
      </c>
      <c r="E205" s="19" t="s">
        <v>437</v>
      </c>
      <c r="F205" s="19" t="s">
        <v>400</v>
      </c>
      <c r="G205" s="19" t="s">
        <v>557</v>
      </c>
      <c r="H205" s="19" t="s">
        <v>5</v>
      </c>
    </row>
    <row r="206" spans="1:8" x14ac:dyDescent="0.25">
      <c r="A206">
        <v>20910348</v>
      </c>
      <c r="B206" s="19" t="s">
        <v>12</v>
      </c>
      <c r="C206" s="19" t="s">
        <v>26</v>
      </c>
      <c r="D206" s="19" t="s">
        <v>97</v>
      </c>
      <c r="E206" s="19" t="s">
        <v>437</v>
      </c>
      <c r="F206" s="19" t="s">
        <v>400</v>
      </c>
      <c r="G206" s="19" t="s">
        <v>557</v>
      </c>
      <c r="H206" s="19" t="s">
        <v>5</v>
      </c>
    </row>
    <row r="207" spans="1:8" x14ac:dyDescent="0.25">
      <c r="A207">
        <v>20910227</v>
      </c>
      <c r="B207" s="19" t="s">
        <v>12</v>
      </c>
      <c r="C207" s="19" t="s">
        <v>26</v>
      </c>
      <c r="D207" s="19" t="s">
        <v>98</v>
      </c>
      <c r="E207" s="19" t="s">
        <v>443</v>
      </c>
      <c r="F207" s="19" t="s">
        <v>400</v>
      </c>
      <c r="G207" s="19" t="s">
        <v>557</v>
      </c>
      <c r="H207" s="19" t="s">
        <v>5</v>
      </c>
    </row>
    <row r="208" spans="1:8" x14ac:dyDescent="0.25">
      <c r="A208">
        <v>20910075</v>
      </c>
      <c r="B208" s="19" t="s">
        <v>18</v>
      </c>
      <c r="C208" s="19" t="s">
        <v>26</v>
      </c>
      <c r="D208" s="19" t="s">
        <v>97</v>
      </c>
      <c r="E208" s="19" t="s">
        <v>437</v>
      </c>
      <c r="F208" s="19" t="s">
        <v>400</v>
      </c>
      <c r="G208" s="19" t="s">
        <v>557</v>
      </c>
      <c r="H208" s="19" t="s">
        <v>5</v>
      </c>
    </row>
    <row r="209" spans="1:8" x14ac:dyDescent="0.25">
      <c r="A209">
        <v>20910031</v>
      </c>
      <c r="B209" s="19" t="s">
        <v>18</v>
      </c>
      <c r="C209" s="19" t="s">
        <v>26</v>
      </c>
      <c r="D209" s="19" t="s">
        <v>97</v>
      </c>
      <c r="E209" s="19" t="s">
        <v>437</v>
      </c>
      <c r="F209" s="19" t="s">
        <v>400</v>
      </c>
      <c r="G209" s="19" t="s">
        <v>557</v>
      </c>
      <c r="H209" s="19" t="s">
        <v>5</v>
      </c>
    </row>
    <row r="210" spans="1:8" x14ac:dyDescent="0.25">
      <c r="A210">
        <v>20910018</v>
      </c>
      <c r="B210" s="19" t="s">
        <v>18</v>
      </c>
      <c r="C210" s="19" t="s">
        <v>26</v>
      </c>
      <c r="D210" s="19" t="s">
        <v>97</v>
      </c>
      <c r="E210" s="19" t="s">
        <v>437</v>
      </c>
      <c r="F210" s="19" t="s">
        <v>400</v>
      </c>
      <c r="G210" s="19" t="s">
        <v>557</v>
      </c>
      <c r="H210" s="19" t="s">
        <v>5</v>
      </c>
    </row>
    <row r="211" spans="1:8" x14ac:dyDescent="0.25">
      <c r="A211">
        <v>19050240</v>
      </c>
      <c r="B211" s="19" t="s">
        <v>12</v>
      </c>
      <c r="C211" s="19" t="s">
        <v>33</v>
      </c>
      <c r="D211" s="19" t="s">
        <v>37</v>
      </c>
      <c r="E211" s="19" t="s">
        <v>568</v>
      </c>
      <c r="F211" s="19" t="s">
        <v>401</v>
      </c>
      <c r="G211" s="19" t="s">
        <v>557</v>
      </c>
      <c r="H211" s="19" t="s">
        <v>5</v>
      </c>
    </row>
    <row r="212" spans="1:8" x14ac:dyDescent="0.25">
      <c r="A212">
        <v>19050087</v>
      </c>
      <c r="B212" s="19" t="s">
        <v>12</v>
      </c>
      <c r="C212" s="19" t="s">
        <v>26</v>
      </c>
      <c r="D212" s="19" t="s">
        <v>103</v>
      </c>
      <c r="E212" s="19" t="s">
        <v>437</v>
      </c>
      <c r="F212" s="19" t="s">
        <v>400</v>
      </c>
      <c r="G212" s="19" t="s">
        <v>557</v>
      </c>
      <c r="H212" s="19" t="s">
        <v>5</v>
      </c>
    </row>
    <row r="213" spans="1:8" x14ac:dyDescent="0.25">
      <c r="A213">
        <v>16843556</v>
      </c>
      <c r="B213" s="19" t="s">
        <v>12</v>
      </c>
      <c r="C213" s="19" t="s">
        <v>26</v>
      </c>
      <c r="D213" s="19" t="s">
        <v>43</v>
      </c>
      <c r="E213" s="19" t="s">
        <v>443</v>
      </c>
      <c r="F213" s="19" t="s">
        <v>400</v>
      </c>
      <c r="G213" s="19" t="s">
        <v>557</v>
      </c>
      <c r="H213" s="19" t="s">
        <v>5</v>
      </c>
    </row>
    <row r="214" spans="1:8" x14ac:dyDescent="0.25">
      <c r="A214">
        <v>16843552</v>
      </c>
      <c r="B214" s="19" t="s">
        <v>12</v>
      </c>
      <c r="C214" s="19" t="s">
        <v>26</v>
      </c>
      <c r="D214" s="19" t="s">
        <v>44</v>
      </c>
      <c r="E214" s="19" t="s">
        <v>443</v>
      </c>
      <c r="F214" s="19" t="s">
        <v>400</v>
      </c>
      <c r="G214" s="19" t="s">
        <v>557</v>
      </c>
      <c r="H214" s="19" t="s">
        <v>5</v>
      </c>
    </row>
    <row r="215" spans="1:8" x14ac:dyDescent="0.25">
      <c r="A215">
        <v>16843508</v>
      </c>
      <c r="B215" s="19" t="s">
        <v>12</v>
      </c>
      <c r="C215" s="19" t="s">
        <v>26</v>
      </c>
      <c r="D215" s="19" t="s">
        <v>47</v>
      </c>
      <c r="E215" s="19" t="s">
        <v>437</v>
      </c>
      <c r="F215" s="19" t="s">
        <v>400</v>
      </c>
      <c r="G215" s="19" t="s">
        <v>557</v>
      </c>
      <c r="H215" s="19" t="s">
        <v>5</v>
      </c>
    </row>
    <row r="216" spans="1:8" x14ac:dyDescent="0.25">
      <c r="A216">
        <v>16843507</v>
      </c>
      <c r="B216" s="19" t="s">
        <v>12</v>
      </c>
      <c r="C216" s="19" t="s">
        <v>26</v>
      </c>
      <c r="D216" s="19" t="s">
        <v>48</v>
      </c>
      <c r="E216" s="19" t="s">
        <v>437</v>
      </c>
      <c r="F216" s="19" t="s">
        <v>400</v>
      </c>
      <c r="G216" s="19" t="s">
        <v>557</v>
      </c>
      <c r="H216" s="19" t="s">
        <v>5</v>
      </c>
    </row>
    <row r="217" spans="1:8" x14ac:dyDescent="0.25">
      <c r="A217">
        <v>16843504</v>
      </c>
      <c r="B217" s="19" t="s">
        <v>12</v>
      </c>
      <c r="C217" s="19" t="s">
        <v>26</v>
      </c>
      <c r="D217" s="19" t="s">
        <v>47</v>
      </c>
      <c r="E217" s="19" t="s">
        <v>437</v>
      </c>
      <c r="F217" s="19" t="s">
        <v>400</v>
      </c>
      <c r="G217" s="19" t="s">
        <v>557</v>
      </c>
      <c r="H217" s="19" t="s">
        <v>5</v>
      </c>
    </row>
    <row r="218" spans="1:8" x14ac:dyDescent="0.25">
      <c r="A218">
        <v>16843464</v>
      </c>
      <c r="B218" s="19" t="s">
        <v>18</v>
      </c>
      <c r="C218" s="19" t="s">
        <v>26</v>
      </c>
      <c r="D218" s="19" t="s">
        <v>27</v>
      </c>
      <c r="E218" s="19" t="s">
        <v>443</v>
      </c>
      <c r="F218" s="19" t="s">
        <v>400</v>
      </c>
      <c r="G218" s="19" t="s">
        <v>557</v>
      </c>
      <c r="H218" s="19" t="s">
        <v>5</v>
      </c>
    </row>
    <row r="219" spans="1:8" x14ac:dyDescent="0.25">
      <c r="A219">
        <v>16843416</v>
      </c>
      <c r="B219" s="19" t="s">
        <v>18</v>
      </c>
      <c r="C219" s="19" t="s">
        <v>26</v>
      </c>
      <c r="D219" s="19" t="s">
        <v>50</v>
      </c>
      <c r="E219" s="19" t="s">
        <v>443</v>
      </c>
      <c r="F219" s="19" t="s">
        <v>400</v>
      </c>
      <c r="G219" s="19" t="s">
        <v>557</v>
      </c>
      <c r="H219" s="19" t="s">
        <v>5</v>
      </c>
    </row>
    <row r="220" spans="1:8" x14ac:dyDescent="0.25">
      <c r="A220">
        <v>16843387</v>
      </c>
      <c r="B220" s="19" t="s">
        <v>12</v>
      </c>
      <c r="C220" s="19" t="s">
        <v>26</v>
      </c>
      <c r="D220" s="19" t="s">
        <v>45</v>
      </c>
      <c r="E220" s="19" t="s">
        <v>443</v>
      </c>
      <c r="F220" s="19" t="s">
        <v>400</v>
      </c>
      <c r="G220" s="19" t="s">
        <v>557</v>
      </c>
      <c r="H220" s="19" t="s">
        <v>5</v>
      </c>
    </row>
    <row r="221" spans="1:8" x14ac:dyDescent="0.25">
      <c r="A221">
        <v>16843373</v>
      </c>
      <c r="B221" s="19" t="s">
        <v>12</v>
      </c>
      <c r="C221" s="19" t="s">
        <v>26</v>
      </c>
      <c r="D221" s="19" t="s">
        <v>27</v>
      </c>
      <c r="E221" s="19" t="s">
        <v>443</v>
      </c>
      <c r="F221" s="19" t="s">
        <v>400</v>
      </c>
      <c r="G221" s="19" t="s">
        <v>557</v>
      </c>
      <c r="H221" s="19" t="s">
        <v>5</v>
      </c>
    </row>
    <row r="222" spans="1:8" x14ac:dyDescent="0.25">
      <c r="A222">
        <v>16843372</v>
      </c>
      <c r="B222" s="19" t="s">
        <v>12</v>
      </c>
      <c r="C222" s="19" t="s">
        <v>26</v>
      </c>
      <c r="D222" s="19" t="s">
        <v>51</v>
      </c>
      <c r="E222" s="19" t="s">
        <v>443</v>
      </c>
      <c r="F222" s="19" t="s">
        <v>400</v>
      </c>
      <c r="G222" s="19" t="s">
        <v>557</v>
      </c>
      <c r="H222" s="19" t="s">
        <v>5</v>
      </c>
    </row>
    <row r="223" spans="1:8" x14ac:dyDescent="0.25">
      <c r="A223">
        <v>16843347</v>
      </c>
      <c r="B223" s="19" t="s">
        <v>12</v>
      </c>
      <c r="C223" s="19" t="s">
        <v>26</v>
      </c>
      <c r="D223" s="19" t="s">
        <v>51</v>
      </c>
      <c r="E223" s="19" t="s">
        <v>443</v>
      </c>
      <c r="F223" s="19" t="s">
        <v>400</v>
      </c>
      <c r="G223" s="19" t="s">
        <v>557</v>
      </c>
      <c r="H223" s="19" t="s">
        <v>5</v>
      </c>
    </row>
    <row r="224" spans="1:8" x14ac:dyDescent="0.25">
      <c r="A224">
        <v>16843303</v>
      </c>
      <c r="B224" s="19" t="s">
        <v>12</v>
      </c>
      <c r="C224" s="19" t="s">
        <v>26</v>
      </c>
      <c r="D224" s="19" t="s">
        <v>29</v>
      </c>
      <c r="E224" s="19" t="s">
        <v>443</v>
      </c>
      <c r="F224" s="19" t="s">
        <v>400</v>
      </c>
      <c r="G224" s="19" t="s">
        <v>557</v>
      </c>
      <c r="H224" s="19" t="s">
        <v>5</v>
      </c>
    </row>
    <row r="225" spans="1:8" x14ac:dyDescent="0.25">
      <c r="A225">
        <v>16843206</v>
      </c>
      <c r="B225" s="19" t="s">
        <v>12</v>
      </c>
      <c r="C225" s="19" t="s">
        <v>26</v>
      </c>
      <c r="D225" s="19" t="s">
        <v>45</v>
      </c>
      <c r="E225" s="19" t="s">
        <v>437</v>
      </c>
      <c r="F225" s="19" t="s">
        <v>400</v>
      </c>
      <c r="G225" s="19" t="s">
        <v>557</v>
      </c>
      <c r="H225" s="19" t="s">
        <v>5</v>
      </c>
    </row>
    <row r="226" spans="1:8" x14ac:dyDescent="0.25">
      <c r="A226">
        <v>16843032</v>
      </c>
      <c r="B226" s="19" t="s">
        <v>12</v>
      </c>
      <c r="C226" s="19" t="s">
        <v>26</v>
      </c>
      <c r="D226" s="19" t="s">
        <v>45</v>
      </c>
      <c r="E226" s="19" t="s">
        <v>437</v>
      </c>
      <c r="F226" s="19" t="s">
        <v>400</v>
      </c>
      <c r="G226" s="19" t="s">
        <v>557</v>
      </c>
      <c r="H226" s="19" t="s">
        <v>5</v>
      </c>
    </row>
    <row r="227" spans="1:8" x14ac:dyDescent="0.25">
      <c r="A227">
        <v>16843027</v>
      </c>
      <c r="B227" s="19" t="s">
        <v>12</v>
      </c>
      <c r="C227" s="19" t="s">
        <v>26</v>
      </c>
      <c r="D227" s="19" t="s">
        <v>27</v>
      </c>
      <c r="E227" s="19" t="s">
        <v>437</v>
      </c>
      <c r="F227" s="19" t="s">
        <v>400</v>
      </c>
      <c r="G227" s="19" t="s">
        <v>557</v>
      </c>
      <c r="H227" s="19" t="s">
        <v>5</v>
      </c>
    </row>
    <row r="228" spans="1:8" x14ac:dyDescent="0.25">
      <c r="A228">
        <v>16843017</v>
      </c>
      <c r="B228" s="19" t="s">
        <v>12</v>
      </c>
      <c r="C228" s="19" t="s">
        <v>26</v>
      </c>
      <c r="D228" s="19" t="s">
        <v>27</v>
      </c>
      <c r="E228" s="19" t="s">
        <v>437</v>
      </c>
      <c r="F228" s="19" t="s">
        <v>400</v>
      </c>
      <c r="G228" s="19" t="s">
        <v>557</v>
      </c>
      <c r="H228" s="19" t="s">
        <v>5</v>
      </c>
    </row>
    <row r="229" spans="1:8" x14ac:dyDescent="0.25">
      <c r="A229">
        <v>16843009</v>
      </c>
      <c r="B229" s="19" t="s">
        <v>12</v>
      </c>
      <c r="C229" s="19" t="s">
        <v>26</v>
      </c>
      <c r="D229" s="19" t="s">
        <v>27</v>
      </c>
      <c r="E229" s="19" t="s">
        <v>437</v>
      </c>
      <c r="F229" s="19" t="s">
        <v>400</v>
      </c>
      <c r="G229" s="19" t="s">
        <v>557</v>
      </c>
      <c r="H229" s="19" t="s">
        <v>5</v>
      </c>
    </row>
    <row r="230" spans="1:8" x14ac:dyDescent="0.25">
      <c r="A230">
        <v>16705798</v>
      </c>
      <c r="B230" s="19" t="s">
        <v>12</v>
      </c>
      <c r="C230" s="19" t="s">
        <v>26</v>
      </c>
      <c r="D230" s="19" t="s">
        <v>53</v>
      </c>
      <c r="E230" s="19" t="s">
        <v>443</v>
      </c>
      <c r="F230" s="19" t="s">
        <v>400</v>
      </c>
      <c r="G230" s="19" t="s">
        <v>557</v>
      </c>
      <c r="H230" s="19" t="s">
        <v>5</v>
      </c>
    </row>
    <row r="231" spans="1:8" x14ac:dyDescent="0.25">
      <c r="A231">
        <v>16705747</v>
      </c>
      <c r="B231" s="19" t="s">
        <v>12</v>
      </c>
      <c r="C231" s="19" t="s">
        <v>26</v>
      </c>
      <c r="D231" s="19" t="s">
        <v>54</v>
      </c>
      <c r="E231" s="19" t="s">
        <v>566</v>
      </c>
      <c r="F231" s="19" t="s">
        <v>400</v>
      </c>
      <c r="G231" s="19" t="s">
        <v>557</v>
      </c>
      <c r="H231" s="19" t="s">
        <v>5</v>
      </c>
    </row>
    <row r="232" spans="1:8" x14ac:dyDescent="0.25">
      <c r="A232">
        <v>16705715</v>
      </c>
      <c r="B232" s="19" t="s">
        <v>12</v>
      </c>
      <c r="C232" s="19" t="s">
        <v>26</v>
      </c>
      <c r="D232" s="19" t="s">
        <v>111</v>
      </c>
      <c r="E232" s="19" t="s">
        <v>437</v>
      </c>
      <c r="F232" s="19" t="s">
        <v>400</v>
      </c>
      <c r="G232" s="19" t="s">
        <v>557</v>
      </c>
      <c r="H232" s="19" t="s">
        <v>5</v>
      </c>
    </row>
    <row r="233" spans="1:8" x14ac:dyDescent="0.25">
      <c r="A233">
        <v>16705617</v>
      </c>
      <c r="B233" s="19" t="s">
        <v>12</v>
      </c>
      <c r="C233" s="19" t="s">
        <v>26</v>
      </c>
      <c r="D233" s="19" t="s">
        <v>222</v>
      </c>
      <c r="E233" s="19" t="s">
        <v>437</v>
      </c>
      <c r="F233" s="19" t="s">
        <v>400</v>
      </c>
      <c r="G233" s="19" t="s">
        <v>557</v>
      </c>
      <c r="H233" s="19" t="s">
        <v>5</v>
      </c>
    </row>
    <row r="234" spans="1:8" x14ac:dyDescent="0.25">
      <c r="A234">
        <v>16705568</v>
      </c>
      <c r="B234" s="19" t="s">
        <v>12</v>
      </c>
      <c r="C234" s="19" t="s">
        <v>26</v>
      </c>
      <c r="D234" s="19" t="s">
        <v>56</v>
      </c>
      <c r="E234" s="19" t="s">
        <v>443</v>
      </c>
      <c r="F234" s="19" t="s">
        <v>400</v>
      </c>
      <c r="G234" s="19" t="s">
        <v>557</v>
      </c>
      <c r="H234" s="19" t="s">
        <v>5</v>
      </c>
    </row>
    <row r="235" spans="1:8" x14ac:dyDescent="0.25">
      <c r="A235">
        <v>16705551</v>
      </c>
      <c r="B235" s="19" t="s">
        <v>12</v>
      </c>
      <c r="C235" s="19" t="s">
        <v>26</v>
      </c>
      <c r="D235" s="19" t="s">
        <v>55</v>
      </c>
      <c r="E235" s="19" t="s">
        <v>443</v>
      </c>
      <c r="F235" s="19" t="s">
        <v>400</v>
      </c>
      <c r="G235" s="19" t="s">
        <v>557</v>
      </c>
      <c r="H235" s="19" t="s">
        <v>5</v>
      </c>
    </row>
    <row r="236" spans="1:8" x14ac:dyDescent="0.25">
      <c r="A236">
        <v>16705511</v>
      </c>
      <c r="B236" s="19" t="s">
        <v>12</v>
      </c>
      <c r="C236" s="19" t="s">
        <v>26</v>
      </c>
      <c r="D236" s="19" t="s">
        <v>56</v>
      </c>
      <c r="E236" s="19" t="s">
        <v>443</v>
      </c>
      <c r="F236" s="19" t="s">
        <v>400</v>
      </c>
      <c r="G236" s="19" t="s">
        <v>557</v>
      </c>
      <c r="H236" s="19" t="s">
        <v>5</v>
      </c>
    </row>
    <row r="237" spans="1:8" x14ac:dyDescent="0.25">
      <c r="A237">
        <v>16705510</v>
      </c>
      <c r="B237" s="19" t="s">
        <v>12</v>
      </c>
      <c r="C237" s="19" t="s">
        <v>26</v>
      </c>
      <c r="D237" s="19" t="s">
        <v>58</v>
      </c>
      <c r="E237" s="19" t="s">
        <v>443</v>
      </c>
      <c r="F237" s="19" t="s">
        <v>400</v>
      </c>
      <c r="G237" s="19" t="s">
        <v>557</v>
      </c>
      <c r="H237" s="19" t="s">
        <v>5</v>
      </c>
    </row>
    <row r="238" spans="1:8" x14ac:dyDescent="0.25">
      <c r="A238">
        <v>16705486</v>
      </c>
      <c r="B238" s="19" t="s">
        <v>12</v>
      </c>
      <c r="C238" s="19" t="s">
        <v>26</v>
      </c>
      <c r="D238" s="19" t="s">
        <v>59</v>
      </c>
      <c r="E238" s="19" t="s">
        <v>443</v>
      </c>
      <c r="F238" s="19" t="s">
        <v>400</v>
      </c>
      <c r="G238" s="19" t="s">
        <v>557</v>
      </c>
      <c r="H238" s="19" t="s">
        <v>5</v>
      </c>
    </row>
    <row r="239" spans="1:8" x14ac:dyDescent="0.25">
      <c r="A239">
        <v>16705470</v>
      </c>
      <c r="B239" s="19" t="s">
        <v>12</v>
      </c>
      <c r="C239" s="19" t="s">
        <v>26</v>
      </c>
      <c r="D239" s="19" t="s">
        <v>59</v>
      </c>
      <c r="E239" s="19" t="s">
        <v>443</v>
      </c>
      <c r="F239" s="19" t="s">
        <v>400</v>
      </c>
      <c r="G239" s="19" t="s">
        <v>557</v>
      </c>
      <c r="H239" s="19" t="s">
        <v>5</v>
      </c>
    </row>
    <row r="240" spans="1:8" x14ac:dyDescent="0.25">
      <c r="A240">
        <v>16705452</v>
      </c>
      <c r="B240" s="19" t="s">
        <v>12</v>
      </c>
      <c r="C240" s="19" t="s">
        <v>26</v>
      </c>
      <c r="D240" s="19" t="s">
        <v>55</v>
      </c>
      <c r="E240" s="19" t="s">
        <v>443</v>
      </c>
      <c r="F240" s="19" t="s">
        <v>400</v>
      </c>
      <c r="G240" s="19" t="s">
        <v>557</v>
      </c>
      <c r="H240" s="19" t="s">
        <v>5</v>
      </c>
    </row>
    <row r="241" spans="1:8" x14ac:dyDescent="0.25">
      <c r="A241">
        <v>16705435</v>
      </c>
      <c r="B241" s="19" t="s">
        <v>12</v>
      </c>
      <c r="C241" s="19" t="s">
        <v>26</v>
      </c>
      <c r="D241" s="19" t="s">
        <v>116</v>
      </c>
      <c r="E241" s="19" t="s">
        <v>443</v>
      </c>
      <c r="F241" s="19" t="s">
        <v>400</v>
      </c>
      <c r="G241" s="19" t="s">
        <v>557</v>
      </c>
      <c r="H241" s="19" t="s">
        <v>5</v>
      </c>
    </row>
    <row r="242" spans="1:8" x14ac:dyDescent="0.25">
      <c r="A242">
        <v>16705403</v>
      </c>
      <c r="B242" s="19" t="s">
        <v>12</v>
      </c>
      <c r="C242" s="19" t="s">
        <v>26</v>
      </c>
      <c r="D242" s="19" t="s">
        <v>58</v>
      </c>
      <c r="E242" s="19" t="s">
        <v>443</v>
      </c>
      <c r="F242" s="19" t="s">
        <v>400</v>
      </c>
      <c r="G242" s="19" t="s">
        <v>557</v>
      </c>
      <c r="H242" s="19" t="s">
        <v>5</v>
      </c>
    </row>
    <row r="243" spans="1:8" x14ac:dyDescent="0.25">
      <c r="A243">
        <v>16705401</v>
      </c>
      <c r="B243" s="19" t="s">
        <v>12</v>
      </c>
      <c r="C243" s="19" t="s">
        <v>26</v>
      </c>
      <c r="D243" s="19" t="s">
        <v>58</v>
      </c>
      <c r="E243" s="19" t="s">
        <v>443</v>
      </c>
      <c r="F243" s="19" t="s">
        <v>400</v>
      </c>
      <c r="G243" s="19" t="s">
        <v>557</v>
      </c>
      <c r="H243" s="19" t="s">
        <v>5</v>
      </c>
    </row>
    <row r="244" spans="1:8" x14ac:dyDescent="0.25">
      <c r="A244">
        <v>16705400</v>
      </c>
      <c r="B244" s="19" t="s">
        <v>12</v>
      </c>
      <c r="C244" s="19" t="s">
        <v>26</v>
      </c>
      <c r="D244" s="19" t="s">
        <v>58</v>
      </c>
      <c r="E244" s="19" t="s">
        <v>443</v>
      </c>
      <c r="F244" s="19" t="s">
        <v>400</v>
      </c>
      <c r="G244" s="19" t="s">
        <v>557</v>
      </c>
      <c r="H244" s="19" t="s">
        <v>5</v>
      </c>
    </row>
    <row r="245" spans="1:8" x14ac:dyDescent="0.25">
      <c r="A245">
        <v>16705386</v>
      </c>
      <c r="B245" s="19" t="s">
        <v>79</v>
      </c>
      <c r="C245" s="19" t="s">
        <v>33</v>
      </c>
      <c r="D245" s="19" t="s">
        <v>59</v>
      </c>
      <c r="E245" s="19" t="s">
        <v>443</v>
      </c>
      <c r="F245" s="19" t="s">
        <v>401</v>
      </c>
      <c r="G245" s="19" t="s">
        <v>557</v>
      </c>
      <c r="H245" s="19" t="s">
        <v>5</v>
      </c>
    </row>
    <row r="246" spans="1:8" x14ac:dyDescent="0.25">
      <c r="A246">
        <v>16705328</v>
      </c>
      <c r="B246" s="19" t="s">
        <v>12</v>
      </c>
      <c r="C246" s="19" t="s">
        <v>26</v>
      </c>
      <c r="D246" s="19" t="s">
        <v>114</v>
      </c>
      <c r="E246" s="19" t="s">
        <v>437</v>
      </c>
      <c r="F246" s="19" t="s">
        <v>400</v>
      </c>
      <c r="G246" s="19" t="s">
        <v>557</v>
      </c>
      <c r="H246" s="19" t="s">
        <v>5</v>
      </c>
    </row>
    <row r="247" spans="1:8" x14ac:dyDescent="0.25">
      <c r="A247">
        <v>16705303</v>
      </c>
      <c r="B247" s="19" t="s">
        <v>12</v>
      </c>
      <c r="C247" s="19" t="s">
        <v>26</v>
      </c>
      <c r="D247" s="19" t="s">
        <v>59</v>
      </c>
      <c r="E247" s="19" t="s">
        <v>437</v>
      </c>
      <c r="F247" s="19" t="s">
        <v>400</v>
      </c>
      <c r="G247" s="19" t="s">
        <v>557</v>
      </c>
      <c r="H247" s="19" t="s">
        <v>5</v>
      </c>
    </row>
    <row r="248" spans="1:8" x14ac:dyDescent="0.25">
      <c r="A248">
        <v>16705276</v>
      </c>
      <c r="B248" s="19" t="s">
        <v>12</v>
      </c>
      <c r="C248" s="19" t="s">
        <v>26</v>
      </c>
      <c r="D248" s="19" t="s">
        <v>59</v>
      </c>
      <c r="E248" s="19" t="s">
        <v>437</v>
      </c>
      <c r="F248" s="19" t="s">
        <v>400</v>
      </c>
      <c r="G248" s="19" t="s">
        <v>557</v>
      </c>
      <c r="H248" s="19" t="s">
        <v>5</v>
      </c>
    </row>
    <row r="249" spans="1:8" x14ac:dyDescent="0.25">
      <c r="A249">
        <v>16390597</v>
      </c>
      <c r="B249" s="19" t="s">
        <v>12</v>
      </c>
      <c r="C249" s="19" t="s">
        <v>26</v>
      </c>
      <c r="D249" s="19" t="s">
        <v>64</v>
      </c>
      <c r="E249" s="19" t="s">
        <v>437</v>
      </c>
      <c r="F249" s="19" t="s">
        <v>400</v>
      </c>
      <c r="G249" s="19" t="s">
        <v>557</v>
      </c>
      <c r="H249" s="19" t="s">
        <v>5</v>
      </c>
    </row>
    <row r="250" spans="1:8" x14ac:dyDescent="0.25">
      <c r="A250">
        <v>16390593</v>
      </c>
      <c r="B250" s="19" t="s">
        <v>12</v>
      </c>
      <c r="C250" s="19" t="s">
        <v>26</v>
      </c>
      <c r="D250" s="19" t="s">
        <v>41</v>
      </c>
      <c r="E250" s="19" t="s">
        <v>437</v>
      </c>
      <c r="F250" s="19" t="s">
        <v>400</v>
      </c>
      <c r="G250" s="19" t="s">
        <v>557</v>
      </c>
      <c r="H250" s="19" t="s">
        <v>5</v>
      </c>
    </row>
    <row r="251" spans="1:8" x14ac:dyDescent="0.25">
      <c r="A251">
        <v>16390592</v>
      </c>
      <c r="B251" s="19" t="s">
        <v>12</v>
      </c>
      <c r="C251" s="19" t="s">
        <v>33</v>
      </c>
      <c r="D251" s="19" t="s">
        <v>61</v>
      </c>
      <c r="E251" s="19" t="s">
        <v>572</v>
      </c>
      <c r="F251" s="19" t="s">
        <v>401</v>
      </c>
      <c r="G251" s="19" t="s">
        <v>557</v>
      </c>
      <c r="H251" s="19" t="s">
        <v>5</v>
      </c>
    </row>
    <row r="252" spans="1:8" x14ac:dyDescent="0.25">
      <c r="A252">
        <v>16390559</v>
      </c>
      <c r="B252" s="19" t="s">
        <v>12</v>
      </c>
      <c r="C252" s="19" t="s">
        <v>38</v>
      </c>
      <c r="D252" s="19" t="s">
        <v>58</v>
      </c>
      <c r="E252" s="19" t="s">
        <v>437</v>
      </c>
      <c r="F252" s="19" t="s">
        <v>401</v>
      </c>
      <c r="G252" s="19" t="s">
        <v>557</v>
      </c>
      <c r="H252" s="19" t="s">
        <v>5</v>
      </c>
    </row>
    <row r="253" spans="1:8" x14ac:dyDescent="0.25">
      <c r="A253">
        <v>16390554</v>
      </c>
      <c r="B253" s="19" t="s">
        <v>12</v>
      </c>
      <c r="C253" s="19" t="s">
        <v>26</v>
      </c>
      <c r="D253" s="19" t="s">
        <v>58</v>
      </c>
      <c r="E253" s="19" t="s">
        <v>437</v>
      </c>
      <c r="F253" s="19" t="s">
        <v>400</v>
      </c>
      <c r="G253" s="19" t="s">
        <v>557</v>
      </c>
      <c r="H253" s="19" t="s">
        <v>5</v>
      </c>
    </row>
    <row r="254" spans="1:8" x14ac:dyDescent="0.25">
      <c r="A254">
        <v>16390524</v>
      </c>
      <c r="B254" s="19" t="s">
        <v>12</v>
      </c>
      <c r="C254" s="19" t="s">
        <v>26</v>
      </c>
      <c r="D254" s="19" t="s">
        <v>49</v>
      </c>
      <c r="E254" s="19" t="s">
        <v>443</v>
      </c>
      <c r="F254" s="19" t="s">
        <v>400</v>
      </c>
      <c r="G254" s="19" t="s">
        <v>557</v>
      </c>
      <c r="H254" s="19" t="s">
        <v>5</v>
      </c>
    </row>
    <row r="255" spans="1:8" x14ac:dyDescent="0.25">
      <c r="A255">
        <v>15661316</v>
      </c>
      <c r="B255" s="19" t="s">
        <v>12</v>
      </c>
      <c r="C255" s="19" t="s">
        <v>26</v>
      </c>
      <c r="D255" s="19" t="s">
        <v>64</v>
      </c>
      <c r="E255" s="19" t="s">
        <v>443</v>
      </c>
      <c r="F255" s="19" t="s">
        <v>400</v>
      </c>
      <c r="G255" s="19" t="s">
        <v>557</v>
      </c>
      <c r="H255" s="19" t="s">
        <v>5</v>
      </c>
    </row>
    <row r="256" spans="1:8" x14ac:dyDescent="0.25">
      <c r="A256">
        <v>15661313</v>
      </c>
      <c r="B256" s="19" t="s">
        <v>12</v>
      </c>
      <c r="C256" s="19" t="s">
        <v>26</v>
      </c>
      <c r="D256" s="19" t="s">
        <v>122</v>
      </c>
      <c r="E256" s="19" t="s">
        <v>443</v>
      </c>
      <c r="F256" s="19" t="s">
        <v>400</v>
      </c>
      <c r="G256" s="19" t="s">
        <v>557</v>
      </c>
      <c r="H256" s="19" t="s">
        <v>5</v>
      </c>
    </row>
    <row r="257" spans="1:8" x14ac:dyDescent="0.25">
      <c r="A257">
        <v>15661061</v>
      </c>
      <c r="B257" s="19" t="s">
        <v>12</v>
      </c>
      <c r="C257" s="19" t="s">
        <v>26</v>
      </c>
      <c r="D257" s="19" t="s">
        <v>120</v>
      </c>
      <c r="E257" s="19" t="s">
        <v>437</v>
      </c>
      <c r="F257" s="19" t="s">
        <v>400</v>
      </c>
      <c r="G257" s="19" t="s">
        <v>557</v>
      </c>
      <c r="H257" s="19" t="s">
        <v>5</v>
      </c>
    </row>
    <row r="258" spans="1:8" x14ac:dyDescent="0.25">
      <c r="A258">
        <v>15660967</v>
      </c>
      <c r="B258" s="19" t="s">
        <v>12</v>
      </c>
      <c r="C258" s="19" t="s">
        <v>26</v>
      </c>
      <c r="D258" s="19" t="s">
        <v>64</v>
      </c>
      <c r="E258" s="19" t="s">
        <v>437</v>
      </c>
      <c r="F258" s="19" t="s">
        <v>400</v>
      </c>
      <c r="G258" s="19" t="s">
        <v>557</v>
      </c>
      <c r="H258" s="19" t="s">
        <v>5</v>
      </c>
    </row>
    <row r="259" spans="1:8" x14ac:dyDescent="0.25">
      <c r="A259">
        <v>14718193</v>
      </c>
      <c r="B259" s="19" t="s">
        <v>12</v>
      </c>
      <c r="C259" s="19" t="s">
        <v>26</v>
      </c>
      <c r="D259" s="19" t="s">
        <v>67</v>
      </c>
      <c r="E259" s="19" t="s">
        <v>443</v>
      </c>
      <c r="F259" s="19" t="s">
        <v>400</v>
      </c>
      <c r="G259" s="19" t="s">
        <v>557</v>
      </c>
      <c r="H259" s="19" t="s">
        <v>5</v>
      </c>
    </row>
    <row r="260" spans="1:8" x14ac:dyDescent="0.25">
      <c r="A260">
        <v>12602322</v>
      </c>
      <c r="B260" s="19" t="s">
        <v>12</v>
      </c>
      <c r="C260" s="19" t="s">
        <v>26</v>
      </c>
      <c r="D260" s="19" t="s">
        <v>41</v>
      </c>
      <c r="E260" s="19" t="s">
        <v>437</v>
      </c>
      <c r="F260" s="19" t="s">
        <v>400</v>
      </c>
      <c r="G260" s="19" t="s">
        <v>557</v>
      </c>
      <c r="H260" s="19" t="s">
        <v>5</v>
      </c>
    </row>
    <row r="261" spans="1:8" x14ac:dyDescent="0.25">
      <c r="A261">
        <v>12602273</v>
      </c>
      <c r="B261" s="19" t="s">
        <v>12</v>
      </c>
      <c r="C261" s="19" t="s">
        <v>26</v>
      </c>
      <c r="D261" s="19" t="s">
        <v>42</v>
      </c>
      <c r="E261" s="19" t="s">
        <v>443</v>
      </c>
      <c r="F261" s="19" t="s">
        <v>400</v>
      </c>
      <c r="G261" s="19" t="s">
        <v>557</v>
      </c>
      <c r="H261" s="19" t="s">
        <v>5</v>
      </c>
    </row>
    <row r="262" spans="1:8" x14ac:dyDescent="0.25">
      <c r="A262">
        <v>12602113</v>
      </c>
      <c r="B262" s="19" t="s">
        <v>12</v>
      </c>
      <c r="C262" s="19" t="s">
        <v>26</v>
      </c>
      <c r="D262" s="19" t="s">
        <v>36</v>
      </c>
      <c r="E262" s="19" t="s">
        <v>567</v>
      </c>
      <c r="F262" s="19" t="s">
        <v>400</v>
      </c>
      <c r="G262" s="19" t="s">
        <v>557</v>
      </c>
      <c r="H262" s="19" t="s">
        <v>5</v>
      </c>
    </row>
    <row r="263" spans="1:8" x14ac:dyDescent="0.25">
      <c r="A263">
        <v>12602095</v>
      </c>
      <c r="B263" s="19" t="s">
        <v>18</v>
      </c>
      <c r="C263" s="19" t="s">
        <v>26</v>
      </c>
      <c r="D263" s="19" t="s">
        <v>70</v>
      </c>
      <c r="E263" s="19" t="s">
        <v>558</v>
      </c>
      <c r="F263" s="19" t="s">
        <v>400</v>
      </c>
      <c r="G263" s="19" t="s">
        <v>557</v>
      </c>
      <c r="H263" s="19" t="s">
        <v>5</v>
      </c>
    </row>
    <row r="264" spans="1:8" x14ac:dyDescent="0.25">
      <c r="A264">
        <v>10943299</v>
      </c>
      <c r="B264" s="19" t="s">
        <v>12</v>
      </c>
      <c r="C264" s="19" t="s">
        <v>26</v>
      </c>
      <c r="D264" s="19" t="s">
        <v>71</v>
      </c>
      <c r="E264" s="19" t="s">
        <v>445</v>
      </c>
      <c r="F264" s="19" t="s">
        <v>400</v>
      </c>
      <c r="G264" s="19" t="s">
        <v>557</v>
      </c>
      <c r="H264" s="19" t="s">
        <v>5</v>
      </c>
    </row>
    <row r="265" spans="1:8" x14ac:dyDescent="0.25">
      <c r="A265">
        <v>8937507</v>
      </c>
      <c r="B265" s="19" t="s">
        <v>12</v>
      </c>
      <c r="C265" s="19" t="s">
        <v>26</v>
      </c>
      <c r="D265" s="19" t="s">
        <v>72</v>
      </c>
      <c r="E265" s="19" t="s">
        <v>566</v>
      </c>
      <c r="F265" s="19" t="s">
        <v>400</v>
      </c>
      <c r="G265" s="19" t="s">
        <v>557</v>
      </c>
      <c r="H265" s="19" t="s">
        <v>5</v>
      </c>
    </row>
    <row r="266" spans="1:8" x14ac:dyDescent="0.25">
      <c r="A266">
        <v>3583874</v>
      </c>
      <c r="B266" s="19" t="s">
        <v>12</v>
      </c>
      <c r="C266" s="19" t="s">
        <v>33</v>
      </c>
      <c r="D266" s="19" t="s">
        <v>147</v>
      </c>
      <c r="E266" s="19" t="s">
        <v>572</v>
      </c>
      <c r="F266" s="19" t="s">
        <v>401</v>
      </c>
      <c r="G266" s="19" t="s">
        <v>557</v>
      </c>
      <c r="H266" s="19" t="s">
        <v>5</v>
      </c>
    </row>
    <row r="267" spans="1:8" hidden="1" x14ac:dyDescent="0.25">
      <c r="A267">
        <v>26234457</v>
      </c>
      <c r="B267" s="19" t="s">
        <v>12</v>
      </c>
      <c r="C267" s="19" t="s">
        <v>13</v>
      </c>
      <c r="D267" s="19" t="s">
        <v>682</v>
      </c>
      <c r="E267" s="19" t="s">
        <v>443</v>
      </c>
      <c r="F267" s="19" t="s">
        <v>401</v>
      </c>
      <c r="G267" s="19" t="s">
        <v>557</v>
      </c>
      <c r="H267" s="19" t="s">
        <v>2</v>
      </c>
    </row>
    <row r="268" spans="1:8" hidden="1" x14ac:dyDescent="0.25">
      <c r="A268">
        <v>26234446</v>
      </c>
      <c r="B268" s="19" t="s">
        <v>12</v>
      </c>
      <c r="C268" s="19" t="s">
        <v>13</v>
      </c>
      <c r="D268" s="19" t="s">
        <v>577</v>
      </c>
      <c r="E268" s="19" t="s">
        <v>443</v>
      </c>
      <c r="F268" s="19" t="s">
        <v>401</v>
      </c>
      <c r="G268" s="19" t="s">
        <v>557</v>
      </c>
      <c r="H268" s="19" t="s">
        <v>2</v>
      </c>
    </row>
    <row r="269" spans="1:8" hidden="1" x14ac:dyDescent="0.25">
      <c r="A269">
        <v>26234442</v>
      </c>
      <c r="B269" s="19" t="s">
        <v>12</v>
      </c>
      <c r="C269" s="19" t="s">
        <v>13</v>
      </c>
      <c r="D269" s="19" t="s">
        <v>662</v>
      </c>
      <c r="E269" s="19" t="s">
        <v>443</v>
      </c>
      <c r="F269" s="19" t="s">
        <v>401</v>
      </c>
      <c r="G269" s="19" t="s">
        <v>557</v>
      </c>
      <c r="H269" s="19" t="s">
        <v>2</v>
      </c>
    </row>
    <row r="270" spans="1:8" hidden="1" x14ac:dyDescent="0.25">
      <c r="A270">
        <v>26234385</v>
      </c>
      <c r="B270" s="19" t="s">
        <v>12</v>
      </c>
      <c r="C270" s="19" t="s">
        <v>15</v>
      </c>
      <c r="D270" s="19" t="s">
        <v>662</v>
      </c>
      <c r="E270" s="19" t="s">
        <v>443</v>
      </c>
      <c r="F270" s="19" t="s">
        <v>400</v>
      </c>
      <c r="G270" s="19" t="s">
        <v>557</v>
      </c>
      <c r="H270" s="19" t="s">
        <v>2</v>
      </c>
    </row>
    <row r="271" spans="1:8" hidden="1" x14ac:dyDescent="0.25">
      <c r="A271">
        <v>26234381</v>
      </c>
      <c r="B271" s="19" t="s">
        <v>18</v>
      </c>
      <c r="C271" s="19" t="s">
        <v>13</v>
      </c>
      <c r="D271" s="19" t="s">
        <v>577</v>
      </c>
      <c r="E271" s="19" t="s">
        <v>443</v>
      </c>
      <c r="F271" s="19" t="s">
        <v>401</v>
      </c>
      <c r="G271" s="19" t="s">
        <v>557</v>
      </c>
      <c r="H271" s="19" t="s">
        <v>2</v>
      </c>
    </row>
    <row r="272" spans="1:8" hidden="1" x14ac:dyDescent="0.25">
      <c r="A272">
        <v>26234379</v>
      </c>
      <c r="B272" s="19" t="s">
        <v>12</v>
      </c>
      <c r="C272" s="19" t="s">
        <v>13</v>
      </c>
      <c r="D272" s="19" t="s">
        <v>663</v>
      </c>
      <c r="E272" s="19" t="s">
        <v>443</v>
      </c>
      <c r="F272" s="19" t="s">
        <v>401</v>
      </c>
      <c r="G272" s="19" t="s">
        <v>557</v>
      </c>
      <c r="H272" s="19" t="s">
        <v>2</v>
      </c>
    </row>
    <row r="273" spans="1:8" hidden="1" x14ac:dyDescent="0.25">
      <c r="A273">
        <v>26234340</v>
      </c>
      <c r="B273" s="19" t="s">
        <v>12</v>
      </c>
      <c r="C273" s="19" t="s">
        <v>13</v>
      </c>
      <c r="D273" s="19" t="s">
        <v>664</v>
      </c>
      <c r="E273" s="19" t="s">
        <v>443</v>
      </c>
      <c r="F273" s="19" t="s">
        <v>401</v>
      </c>
      <c r="G273" s="19" t="s">
        <v>557</v>
      </c>
      <c r="H273" s="19" t="s">
        <v>2</v>
      </c>
    </row>
    <row r="274" spans="1:8" hidden="1" x14ac:dyDescent="0.25">
      <c r="A274">
        <v>26234311</v>
      </c>
      <c r="B274" s="19" t="s">
        <v>12</v>
      </c>
      <c r="C274" s="19" t="s">
        <v>13</v>
      </c>
      <c r="D274" s="19" t="s">
        <v>663</v>
      </c>
      <c r="E274" s="19" t="s">
        <v>443</v>
      </c>
      <c r="F274" s="19" t="s">
        <v>401</v>
      </c>
      <c r="G274" s="19" t="s">
        <v>557</v>
      </c>
      <c r="H274" s="19" t="s">
        <v>2</v>
      </c>
    </row>
    <row r="275" spans="1:8" hidden="1" x14ac:dyDescent="0.25">
      <c r="A275">
        <v>24567539</v>
      </c>
      <c r="B275" s="19" t="s">
        <v>109</v>
      </c>
      <c r="C275" s="19" t="s">
        <v>86</v>
      </c>
      <c r="D275" s="19" t="s">
        <v>380</v>
      </c>
      <c r="E275" s="19" t="s">
        <v>443</v>
      </c>
      <c r="F275" s="19" t="s">
        <v>400</v>
      </c>
      <c r="G275" s="19" t="s">
        <v>557</v>
      </c>
      <c r="H275" s="19" t="s">
        <v>2</v>
      </c>
    </row>
    <row r="276" spans="1:8" hidden="1" x14ac:dyDescent="0.25">
      <c r="A276">
        <v>24567347</v>
      </c>
      <c r="B276" s="19" t="s">
        <v>12</v>
      </c>
      <c r="C276" s="19" t="s">
        <v>86</v>
      </c>
      <c r="D276" s="19" t="s">
        <v>380</v>
      </c>
      <c r="E276" s="19" t="s">
        <v>443</v>
      </c>
      <c r="F276" s="19" t="s">
        <v>400</v>
      </c>
      <c r="G276" s="19" t="s">
        <v>557</v>
      </c>
      <c r="H276" s="19" t="s">
        <v>2</v>
      </c>
    </row>
    <row r="277" spans="1:8" hidden="1" x14ac:dyDescent="0.25">
      <c r="A277">
        <v>23323576</v>
      </c>
      <c r="B277" s="19" t="s">
        <v>18</v>
      </c>
      <c r="C277" s="19" t="s">
        <v>86</v>
      </c>
      <c r="D277" s="19" t="s">
        <v>17</v>
      </c>
      <c r="E277" s="19" t="s">
        <v>443</v>
      </c>
      <c r="F277" s="19" t="s">
        <v>400</v>
      </c>
      <c r="G277" s="19" t="s">
        <v>557</v>
      </c>
      <c r="H277" s="19" t="s">
        <v>2</v>
      </c>
    </row>
    <row r="278" spans="1:8" hidden="1" x14ac:dyDescent="0.25">
      <c r="A278">
        <v>23323247</v>
      </c>
      <c r="B278" s="19" t="s">
        <v>12</v>
      </c>
      <c r="C278" s="19" t="s">
        <v>89</v>
      </c>
      <c r="D278" s="19" t="s">
        <v>85</v>
      </c>
      <c r="E278" s="19" t="s">
        <v>443</v>
      </c>
      <c r="F278" s="19" t="s">
        <v>401</v>
      </c>
      <c r="G278" s="19" t="s">
        <v>557</v>
      </c>
      <c r="H278" s="19" t="s">
        <v>2</v>
      </c>
    </row>
    <row r="279" spans="1:8" hidden="1" x14ac:dyDescent="0.25">
      <c r="A279">
        <v>22350232</v>
      </c>
      <c r="B279" s="19" t="s">
        <v>12</v>
      </c>
      <c r="C279" s="19" t="s">
        <v>26</v>
      </c>
      <c r="D279" s="19" t="s">
        <v>160</v>
      </c>
      <c r="E279" s="19" t="s">
        <v>437</v>
      </c>
      <c r="F279" s="19" t="s">
        <v>400</v>
      </c>
      <c r="G279" s="19" t="s">
        <v>557</v>
      </c>
      <c r="H279" s="19" t="s">
        <v>2</v>
      </c>
    </row>
    <row r="280" spans="1:8" hidden="1" x14ac:dyDescent="0.25">
      <c r="A280">
        <v>22350178</v>
      </c>
      <c r="B280" s="19" t="s">
        <v>125</v>
      </c>
      <c r="C280" s="19" t="s">
        <v>26</v>
      </c>
      <c r="D280" s="19" t="s">
        <v>154</v>
      </c>
      <c r="E280" s="19" t="s">
        <v>437</v>
      </c>
      <c r="F280" s="19" t="s">
        <v>400</v>
      </c>
      <c r="G280" s="19" t="s">
        <v>557</v>
      </c>
      <c r="H280" s="19" t="s">
        <v>2</v>
      </c>
    </row>
    <row r="281" spans="1:8" hidden="1" x14ac:dyDescent="0.25">
      <c r="A281">
        <v>22350090</v>
      </c>
      <c r="B281" s="19" t="s">
        <v>12</v>
      </c>
      <c r="C281" s="19" t="s">
        <v>26</v>
      </c>
      <c r="D281" s="19" t="s">
        <v>155</v>
      </c>
      <c r="E281" s="19" t="s">
        <v>437</v>
      </c>
      <c r="F281" s="19" t="s">
        <v>400</v>
      </c>
      <c r="G281" s="19" t="s">
        <v>557</v>
      </c>
      <c r="H281" s="19" t="s">
        <v>2</v>
      </c>
    </row>
    <row r="282" spans="1:8" hidden="1" x14ac:dyDescent="0.25">
      <c r="A282">
        <v>20910775</v>
      </c>
      <c r="B282" s="19" t="s">
        <v>109</v>
      </c>
      <c r="C282" s="19" t="s">
        <v>26</v>
      </c>
      <c r="D282" s="19" t="s">
        <v>41</v>
      </c>
      <c r="E282" s="19" t="s">
        <v>558</v>
      </c>
      <c r="F282" s="19" t="s">
        <v>400</v>
      </c>
      <c r="G282" s="19" t="s">
        <v>557</v>
      </c>
      <c r="H282" s="19" t="s">
        <v>2</v>
      </c>
    </row>
    <row r="283" spans="1:8" hidden="1" x14ac:dyDescent="0.25">
      <c r="A283">
        <v>20910653</v>
      </c>
      <c r="B283" s="19" t="s">
        <v>12</v>
      </c>
      <c r="C283" s="19" t="s">
        <v>33</v>
      </c>
      <c r="D283" s="19" t="s">
        <v>34</v>
      </c>
      <c r="E283" s="19" t="s">
        <v>568</v>
      </c>
      <c r="F283" s="19" t="s">
        <v>401</v>
      </c>
      <c r="G283" s="19" t="s">
        <v>557</v>
      </c>
      <c r="H283" s="19" t="s">
        <v>2</v>
      </c>
    </row>
    <row r="284" spans="1:8" hidden="1" x14ac:dyDescent="0.25">
      <c r="A284">
        <v>20910563</v>
      </c>
      <c r="B284" s="19" t="s">
        <v>79</v>
      </c>
      <c r="C284" s="19" t="s">
        <v>26</v>
      </c>
      <c r="D284" s="19" t="s">
        <v>94</v>
      </c>
      <c r="E284" s="19" t="s">
        <v>441</v>
      </c>
      <c r="F284" s="19" t="s">
        <v>400</v>
      </c>
      <c r="G284" s="19" t="s">
        <v>557</v>
      </c>
      <c r="H284" s="19" t="s">
        <v>2</v>
      </c>
    </row>
    <row r="285" spans="1:8" hidden="1" x14ac:dyDescent="0.25">
      <c r="A285">
        <v>20910471</v>
      </c>
      <c r="B285" s="19" t="s">
        <v>79</v>
      </c>
      <c r="C285" s="19" t="s">
        <v>26</v>
      </c>
      <c r="D285" s="19" t="s">
        <v>95</v>
      </c>
      <c r="E285" s="19" t="s">
        <v>437</v>
      </c>
      <c r="F285" s="19" t="s">
        <v>400</v>
      </c>
      <c r="G285" s="19" t="s">
        <v>557</v>
      </c>
      <c r="H285" s="19" t="s">
        <v>2</v>
      </c>
    </row>
    <row r="286" spans="1:8" hidden="1" x14ac:dyDescent="0.25">
      <c r="A286">
        <v>20910223</v>
      </c>
      <c r="B286" s="19" t="s">
        <v>24</v>
      </c>
      <c r="C286" s="19" t="s">
        <v>26</v>
      </c>
      <c r="D286" s="19" t="s">
        <v>95</v>
      </c>
      <c r="E286" s="19" t="s">
        <v>443</v>
      </c>
      <c r="F286" s="19" t="s">
        <v>400</v>
      </c>
      <c r="G286" s="19" t="s">
        <v>557</v>
      </c>
      <c r="H286" s="19" t="s">
        <v>2</v>
      </c>
    </row>
    <row r="287" spans="1:8" hidden="1" x14ac:dyDescent="0.25">
      <c r="A287">
        <v>20910172</v>
      </c>
      <c r="B287" s="19" t="s">
        <v>12</v>
      </c>
      <c r="C287" s="19" t="s">
        <v>26</v>
      </c>
      <c r="D287" s="19" t="s">
        <v>95</v>
      </c>
      <c r="E287" s="19" t="s">
        <v>443</v>
      </c>
      <c r="F287" s="19" t="s">
        <v>400</v>
      </c>
      <c r="G287" s="19" t="s">
        <v>557</v>
      </c>
      <c r="H287" s="19" t="s">
        <v>2</v>
      </c>
    </row>
    <row r="288" spans="1:8" hidden="1" x14ac:dyDescent="0.25">
      <c r="A288">
        <v>20910163</v>
      </c>
      <c r="B288" s="19" t="s">
        <v>12</v>
      </c>
      <c r="C288" s="19" t="s">
        <v>33</v>
      </c>
      <c r="D288" s="19" t="s">
        <v>97</v>
      </c>
      <c r="E288" s="19" t="s">
        <v>443</v>
      </c>
      <c r="F288" s="19" t="s">
        <v>401</v>
      </c>
      <c r="G288" s="19" t="s">
        <v>557</v>
      </c>
      <c r="H288" s="19" t="s">
        <v>2</v>
      </c>
    </row>
    <row r="289" spans="1:8" hidden="1" x14ac:dyDescent="0.25">
      <c r="A289">
        <v>20910155</v>
      </c>
      <c r="B289" s="19" t="s">
        <v>12</v>
      </c>
      <c r="C289" s="19" t="s">
        <v>33</v>
      </c>
      <c r="D289" s="19" t="s">
        <v>98</v>
      </c>
      <c r="E289" s="19" t="s">
        <v>443</v>
      </c>
      <c r="F289" s="19" t="s">
        <v>401</v>
      </c>
      <c r="G289" s="19" t="s">
        <v>557</v>
      </c>
      <c r="H289" s="19" t="s">
        <v>2</v>
      </c>
    </row>
    <row r="290" spans="1:8" hidden="1" x14ac:dyDescent="0.25">
      <c r="A290">
        <v>20910062</v>
      </c>
      <c r="B290" s="19" t="s">
        <v>12</v>
      </c>
      <c r="C290" s="19" t="s">
        <v>26</v>
      </c>
      <c r="D290" s="19" t="s">
        <v>100</v>
      </c>
      <c r="E290" s="19" t="s">
        <v>437</v>
      </c>
      <c r="F290" s="19" t="s">
        <v>400</v>
      </c>
      <c r="G290" s="19" t="s">
        <v>557</v>
      </c>
      <c r="H290" s="19" t="s">
        <v>2</v>
      </c>
    </row>
    <row r="291" spans="1:8" hidden="1" x14ac:dyDescent="0.25">
      <c r="A291">
        <v>20910026</v>
      </c>
      <c r="B291" s="19" t="s">
        <v>18</v>
      </c>
      <c r="C291" s="19" t="s">
        <v>26</v>
      </c>
      <c r="D291" s="19" t="s">
        <v>101</v>
      </c>
      <c r="E291" s="19" t="s">
        <v>437</v>
      </c>
      <c r="F291" s="19" t="s">
        <v>400</v>
      </c>
      <c r="G291" s="19" t="s">
        <v>557</v>
      </c>
      <c r="H291" s="19" t="s">
        <v>2</v>
      </c>
    </row>
    <row r="292" spans="1:8" hidden="1" x14ac:dyDescent="0.25">
      <c r="A292">
        <v>19327079</v>
      </c>
      <c r="B292" s="19" t="s">
        <v>18</v>
      </c>
      <c r="C292" s="19" t="s">
        <v>26</v>
      </c>
      <c r="D292" s="19" t="s">
        <v>58</v>
      </c>
      <c r="E292" s="19" t="s">
        <v>570</v>
      </c>
      <c r="F292" s="19" t="s">
        <v>400</v>
      </c>
      <c r="G292" s="19" t="s">
        <v>557</v>
      </c>
      <c r="H292" s="19" t="s">
        <v>2</v>
      </c>
    </row>
    <row r="293" spans="1:8" hidden="1" x14ac:dyDescent="0.25">
      <c r="A293">
        <v>19325277</v>
      </c>
      <c r="B293" s="19" t="s">
        <v>102</v>
      </c>
      <c r="C293" s="19" t="s">
        <v>26</v>
      </c>
      <c r="D293" s="19" t="s">
        <v>60</v>
      </c>
      <c r="E293" s="19" t="s">
        <v>571</v>
      </c>
      <c r="F293" s="19" t="s">
        <v>400</v>
      </c>
      <c r="G293" s="19" t="s">
        <v>557</v>
      </c>
      <c r="H293" s="19" t="s">
        <v>2</v>
      </c>
    </row>
    <row r="294" spans="1:8" hidden="1" x14ac:dyDescent="0.25">
      <c r="A294">
        <v>19050333</v>
      </c>
      <c r="B294" s="19" t="s">
        <v>12</v>
      </c>
      <c r="C294" s="19" t="s">
        <v>26</v>
      </c>
      <c r="D294" s="19" t="s">
        <v>35</v>
      </c>
      <c r="E294" s="19" t="s">
        <v>437</v>
      </c>
      <c r="F294" s="19" t="s">
        <v>400</v>
      </c>
      <c r="G294" s="19" t="s">
        <v>557</v>
      </c>
      <c r="H294" s="19" t="s">
        <v>2</v>
      </c>
    </row>
    <row r="295" spans="1:8" hidden="1" x14ac:dyDescent="0.25">
      <c r="A295">
        <v>19050315</v>
      </c>
      <c r="B295" s="19" t="s">
        <v>18</v>
      </c>
      <c r="C295" s="19" t="s">
        <v>26</v>
      </c>
      <c r="D295" s="19" t="s">
        <v>103</v>
      </c>
      <c r="E295" s="19" t="s">
        <v>443</v>
      </c>
      <c r="F295" s="19" t="s">
        <v>400</v>
      </c>
      <c r="G295" s="19" t="s">
        <v>557</v>
      </c>
      <c r="H295" s="19" t="s">
        <v>2</v>
      </c>
    </row>
    <row r="296" spans="1:8" hidden="1" x14ac:dyDescent="0.25">
      <c r="A296">
        <v>19050183</v>
      </c>
      <c r="B296" s="19" t="s">
        <v>12</v>
      </c>
      <c r="C296" s="19" t="s">
        <v>26</v>
      </c>
      <c r="D296" s="19" t="s">
        <v>193</v>
      </c>
      <c r="E296" s="19" t="s">
        <v>437</v>
      </c>
      <c r="F296" s="19" t="s">
        <v>400</v>
      </c>
      <c r="G296" s="19" t="s">
        <v>557</v>
      </c>
      <c r="H296" s="19" t="s">
        <v>2</v>
      </c>
    </row>
    <row r="297" spans="1:8" hidden="1" x14ac:dyDescent="0.25">
      <c r="A297">
        <v>19050154</v>
      </c>
      <c r="B297" s="19" t="s">
        <v>12</v>
      </c>
      <c r="C297" s="19" t="s">
        <v>26</v>
      </c>
      <c r="D297" s="19" t="s">
        <v>192</v>
      </c>
      <c r="E297" s="19" t="s">
        <v>437</v>
      </c>
      <c r="F297" s="19" t="s">
        <v>400</v>
      </c>
      <c r="G297" s="19" t="s">
        <v>557</v>
      </c>
      <c r="H297" s="19" t="s">
        <v>2</v>
      </c>
    </row>
    <row r="298" spans="1:8" hidden="1" x14ac:dyDescent="0.25">
      <c r="A298">
        <v>19050130</v>
      </c>
      <c r="B298" s="19" t="s">
        <v>12</v>
      </c>
      <c r="C298" s="19" t="s">
        <v>26</v>
      </c>
      <c r="D298" s="19" t="s">
        <v>28</v>
      </c>
      <c r="E298" s="19" t="s">
        <v>437</v>
      </c>
      <c r="F298" s="19" t="s">
        <v>400</v>
      </c>
      <c r="G298" s="19" t="s">
        <v>557</v>
      </c>
      <c r="H298" s="19" t="s">
        <v>2</v>
      </c>
    </row>
    <row r="299" spans="1:8" hidden="1" x14ac:dyDescent="0.25">
      <c r="A299">
        <v>19050092</v>
      </c>
      <c r="B299" s="19" t="s">
        <v>12</v>
      </c>
      <c r="C299" s="19" t="s">
        <v>26</v>
      </c>
      <c r="D299" s="19" t="s">
        <v>197</v>
      </c>
      <c r="E299" s="19" t="s">
        <v>437</v>
      </c>
      <c r="F299" s="19" t="s">
        <v>400</v>
      </c>
      <c r="G299" s="19" t="s">
        <v>557</v>
      </c>
      <c r="H299" s="19" t="s">
        <v>2</v>
      </c>
    </row>
    <row r="300" spans="1:8" hidden="1" x14ac:dyDescent="0.25">
      <c r="A300">
        <v>19050068</v>
      </c>
      <c r="B300" s="19" t="s">
        <v>12</v>
      </c>
      <c r="C300" s="19" t="s">
        <v>26</v>
      </c>
      <c r="D300" s="19" t="s">
        <v>103</v>
      </c>
      <c r="E300" s="19" t="s">
        <v>437</v>
      </c>
      <c r="F300" s="19" t="s">
        <v>400</v>
      </c>
      <c r="G300" s="19" t="s">
        <v>557</v>
      </c>
      <c r="H300" s="19" t="s">
        <v>2</v>
      </c>
    </row>
    <row r="301" spans="1:8" hidden="1" x14ac:dyDescent="0.25">
      <c r="A301">
        <v>19050020</v>
      </c>
      <c r="B301" s="19" t="s">
        <v>12</v>
      </c>
      <c r="C301" s="19" t="s">
        <v>26</v>
      </c>
      <c r="D301" s="19" t="s">
        <v>193</v>
      </c>
      <c r="E301" s="19" t="s">
        <v>437</v>
      </c>
      <c r="F301" s="19" t="s">
        <v>400</v>
      </c>
      <c r="G301" s="19" t="s">
        <v>557</v>
      </c>
      <c r="H301" s="19" t="s">
        <v>2</v>
      </c>
    </row>
    <row r="302" spans="1:8" hidden="1" x14ac:dyDescent="0.25">
      <c r="A302">
        <v>19050014</v>
      </c>
      <c r="B302" s="19" t="s">
        <v>12</v>
      </c>
      <c r="C302" s="19" t="s">
        <v>26</v>
      </c>
      <c r="D302" s="19" t="s">
        <v>202</v>
      </c>
      <c r="E302" s="19" t="s">
        <v>437</v>
      </c>
      <c r="F302" s="19" t="s">
        <v>400</v>
      </c>
      <c r="G302" s="19" t="s">
        <v>557</v>
      </c>
      <c r="H302" s="19" t="s">
        <v>2</v>
      </c>
    </row>
    <row r="303" spans="1:8" hidden="1" x14ac:dyDescent="0.25">
      <c r="A303">
        <v>18943183</v>
      </c>
      <c r="B303" s="19" t="s">
        <v>18</v>
      </c>
      <c r="C303" s="19" t="s">
        <v>26</v>
      </c>
      <c r="D303" s="19" t="s">
        <v>103</v>
      </c>
      <c r="E303" s="19" t="s">
        <v>437</v>
      </c>
      <c r="F303" s="19" t="s">
        <v>400</v>
      </c>
      <c r="G303" s="19" t="s">
        <v>557</v>
      </c>
      <c r="H303" s="19" t="s">
        <v>2</v>
      </c>
    </row>
    <row r="304" spans="1:8" hidden="1" x14ac:dyDescent="0.25">
      <c r="A304">
        <v>18943088</v>
      </c>
      <c r="B304" s="19" t="s">
        <v>79</v>
      </c>
      <c r="C304" s="19" t="s">
        <v>26</v>
      </c>
      <c r="D304" s="19" t="s">
        <v>103</v>
      </c>
      <c r="E304" s="19" t="s">
        <v>443</v>
      </c>
      <c r="F304" s="19" t="s">
        <v>400</v>
      </c>
      <c r="G304" s="19" t="s">
        <v>557</v>
      </c>
      <c r="H304" s="19" t="s">
        <v>2</v>
      </c>
    </row>
    <row r="305" spans="1:8" hidden="1" x14ac:dyDescent="0.25">
      <c r="A305">
        <v>16843512</v>
      </c>
      <c r="B305" s="19" t="s">
        <v>12</v>
      </c>
      <c r="C305" s="19" t="s">
        <v>26</v>
      </c>
      <c r="D305" s="19" t="s">
        <v>108</v>
      </c>
      <c r="E305" s="19" t="s">
        <v>443</v>
      </c>
      <c r="F305" s="19" t="s">
        <v>400</v>
      </c>
      <c r="G305" s="19" t="s">
        <v>557</v>
      </c>
      <c r="H305" s="19" t="s">
        <v>2</v>
      </c>
    </row>
    <row r="306" spans="1:8" hidden="1" x14ac:dyDescent="0.25">
      <c r="A306">
        <v>16843481</v>
      </c>
      <c r="B306" s="19" t="s">
        <v>12</v>
      </c>
      <c r="C306" s="19" t="s">
        <v>26</v>
      </c>
      <c r="D306" s="19" t="s">
        <v>27</v>
      </c>
      <c r="E306" s="19" t="s">
        <v>443</v>
      </c>
      <c r="F306" s="19" t="s">
        <v>400</v>
      </c>
      <c r="G306" s="19" t="s">
        <v>557</v>
      </c>
      <c r="H306" s="19" t="s">
        <v>2</v>
      </c>
    </row>
    <row r="307" spans="1:8" hidden="1" x14ac:dyDescent="0.25">
      <c r="A307">
        <v>16843462</v>
      </c>
      <c r="B307" s="19" t="s">
        <v>12</v>
      </c>
      <c r="C307" s="19" t="s">
        <v>26</v>
      </c>
      <c r="D307" s="19" t="s">
        <v>27</v>
      </c>
      <c r="E307" s="19" t="s">
        <v>443</v>
      </c>
      <c r="F307" s="19" t="s">
        <v>400</v>
      </c>
      <c r="G307" s="19" t="s">
        <v>557</v>
      </c>
      <c r="H307" s="19" t="s">
        <v>2</v>
      </c>
    </row>
    <row r="308" spans="1:8" hidden="1" x14ac:dyDescent="0.25">
      <c r="A308">
        <v>16843443</v>
      </c>
      <c r="B308" s="19" t="s">
        <v>12</v>
      </c>
      <c r="C308" s="19" t="s">
        <v>26</v>
      </c>
      <c r="D308" s="19" t="s">
        <v>27</v>
      </c>
      <c r="E308" s="19" t="s">
        <v>443</v>
      </c>
      <c r="F308" s="19" t="s">
        <v>400</v>
      </c>
      <c r="G308" s="19" t="s">
        <v>557</v>
      </c>
      <c r="H308" s="19" t="s">
        <v>2</v>
      </c>
    </row>
    <row r="309" spans="1:8" hidden="1" x14ac:dyDescent="0.25">
      <c r="A309">
        <v>16843392</v>
      </c>
      <c r="B309" s="19" t="s">
        <v>12</v>
      </c>
      <c r="C309" s="19" t="s">
        <v>26</v>
      </c>
      <c r="D309" s="19" t="s">
        <v>47</v>
      </c>
      <c r="E309" s="19" t="s">
        <v>443</v>
      </c>
      <c r="F309" s="19" t="s">
        <v>400</v>
      </c>
      <c r="G309" s="19" t="s">
        <v>557</v>
      </c>
      <c r="H309" s="19" t="s">
        <v>2</v>
      </c>
    </row>
    <row r="310" spans="1:8" hidden="1" x14ac:dyDescent="0.25">
      <c r="A310">
        <v>16843391</v>
      </c>
      <c r="B310" s="19" t="s">
        <v>18</v>
      </c>
      <c r="C310" s="19" t="s">
        <v>26</v>
      </c>
      <c r="D310" s="19" t="s">
        <v>45</v>
      </c>
      <c r="E310" s="19" t="s">
        <v>443</v>
      </c>
      <c r="F310" s="19" t="s">
        <v>400</v>
      </c>
      <c r="G310" s="19" t="s">
        <v>557</v>
      </c>
      <c r="H310" s="19" t="s">
        <v>2</v>
      </c>
    </row>
    <row r="311" spans="1:8" hidden="1" x14ac:dyDescent="0.25">
      <c r="A311">
        <v>16843358</v>
      </c>
      <c r="B311" s="19" t="s">
        <v>12</v>
      </c>
      <c r="C311" s="19" t="s">
        <v>26</v>
      </c>
      <c r="D311" s="19" t="s">
        <v>29</v>
      </c>
      <c r="E311" s="19" t="s">
        <v>443</v>
      </c>
      <c r="F311" s="19" t="s">
        <v>400</v>
      </c>
      <c r="G311" s="19" t="s">
        <v>557</v>
      </c>
      <c r="H311" s="19" t="s">
        <v>2</v>
      </c>
    </row>
    <row r="312" spans="1:8" hidden="1" x14ac:dyDescent="0.25">
      <c r="A312">
        <v>16843337</v>
      </c>
      <c r="B312" s="19" t="s">
        <v>12</v>
      </c>
      <c r="C312" s="19" t="s">
        <v>33</v>
      </c>
      <c r="D312" s="19" t="s">
        <v>52</v>
      </c>
      <c r="E312" s="19" t="s">
        <v>443</v>
      </c>
      <c r="F312" s="19" t="s">
        <v>401</v>
      </c>
      <c r="G312" s="19" t="s">
        <v>557</v>
      </c>
      <c r="H312" s="19" t="s">
        <v>2</v>
      </c>
    </row>
    <row r="313" spans="1:8" hidden="1" x14ac:dyDescent="0.25">
      <c r="A313">
        <v>16843269</v>
      </c>
      <c r="B313" s="19" t="s">
        <v>12</v>
      </c>
      <c r="C313" s="19" t="s">
        <v>26</v>
      </c>
      <c r="D313" s="19" t="s">
        <v>51</v>
      </c>
      <c r="E313" s="19" t="s">
        <v>443</v>
      </c>
      <c r="F313" s="19" t="s">
        <v>400</v>
      </c>
      <c r="G313" s="19" t="s">
        <v>557</v>
      </c>
      <c r="H313" s="19" t="s">
        <v>2</v>
      </c>
    </row>
    <row r="314" spans="1:8" hidden="1" x14ac:dyDescent="0.25">
      <c r="A314">
        <v>16843263</v>
      </c>
      <c r="B314" s="19" t="s">
        <v>12</v>
      </c>
      <c r="C314" s="19" t="s">
        <v>33</v>
      </c>
      <c r="D314" s="19" t="s">
        <v>52</v>
      </c>
      <c r="E314" s="19" t="s">
        <v>443</v>
      </c>
      <c r="F314" s="19" t="s">
        <v>401</v>
      </c>
      <c r="G314" s="19" t="s">
        <v>557</v>
      </c>
      <c r="H314" s="19" t="s">
        <v>2</v>
      </c>
    </row>
    <row r="315" spans="1:8" hidden="1" x14ac:dyDescent="0.25">
      <c r="A315">
        <v>16843255</v>
      </c>
      <c r="B315" s="19" t="s">
        <v>12</v>
      </c>
      <c r="C315" s="19" t="s">
        <v>33</v>
      </c>
      <c r="D315" s="19" t="s">
        <v>108</v>
      </c>
      <c r="E315" s="19" t="s">
        <v>443</v>
      </c>
      <c r="F315" s="19" t="s">
        <v>401</v>
      </c>
      <c r="G315" s="19" t="s">
        <v>557</v>
      </c>
      <c r="H315" s="19" t="s">
        <v>2</v>
      </c>
    </row>
    <row r="316" spans="1:8" hidden="1" x14ac:dyDescent="0.25">
      <c r="A316">
        <v>16843223</v>
      </c>
      <c r="B316" s="19" t="s">
        <v>18</v>
      </c>
      <c r="C316" s="19" t="s">
        <v>26</v>
      </c>
      <c r="D316" s="19" t="s">
        <v>31</v>
      </c>
      <c r="E316" s="19" t="s">
        <v>443</v>
      </c>
      <c r="F316" s="19" t="s">
        <v>400</v>
      </c>
      <c r="G316" s="19" t="s">
        <v>557</v>
      </c>
      <c r="H316" s="19" t="s">
        <v>2</v>
      </c>
    </row>
    <row r="317" spans="1:8" hidden="1" x14ac:dyDescent="0.25">
      <c r="A317">
        <v>16843180</v>
      </c>
      <c r="B317" s="19" t="s">
        <v>12</v>
      </c>
      <c r="C317" s="19" t="s">
        <v>26</v>
      </c>
      <c r="D317" s="19" t="s">
        <v>49</v>
      </c>
      <c r="E317" s="19" t="s">
        <v>437</v>
      </c>
      <c r="F317" s="19" t="s">
        <v>400</v>
      </c>
      <c r="G317" s="19" t="s">
        <v>557</v>
      </c>
      <c r="H317" s="19" t="s">
        <v>2</v>
      </c>
    </row>
    <row r="318" spans="1:8" hidden="1" x14ac:dyDescent="0.25">
      <c r="A318">
        <v>16843164</v>
      </c>
      <c r="B318" s="19" t="s">
        <v>12</v>
      </c>
      <c r="C318" s="19" t="s">
        <v>26</v>
      </c>
      <c r="D318" s="19" t="s">
        <v>27</v>
      </c>
      <c r="E318" s="19" t="s">
        <v>437</v>
      </c>
      <c r="F318" s="19" t="s">
        <v>400</v>
      </c>
      <c r="G318" s="19" t="s">
        <v>557</v>
      </c>
      <c r="H318" s="19" t="s">
        <v>2</v>
      </c>
    </row>
    <row r="319" spans="1:8" hidden="1" x14ac:dyDescent="0.25">
      <c r="A319">
        <v>16843126</v>
      </c>
      <c r="B319" s="19" t="s">
        <v>12</v>
      </c>
      <c r="C319" s="19" t="s">
        <v>33</v>
      </c>
      <c r="D319" s="19" t="s">
        <v>70</v>
      </c>
      <c r="E319" s="19" t="s">
        <v>565</v>
      </c>
      <c r="F319" s="19" t="s">
        <v>401</v>
      </c>
      <c r="G319" s="19" t="s">
        <v>557</v>
      </c>
      <c r="H319" s="19" t="s">
        <v>2</v>
      </c>
    </row>
    <row r="320" spans="1:8" hidden="1" x14ac:dyDescent="0.25">
      <c r="A320">
        <v>16843060</v>
      </c>
      <c r="B320" s="19" t="s">
        <v>12</v>
      </c>
      <c r="C320" s="19" t="s">
        <v>26</v>
      </c>
      <c r="D320" s="19" t="s">
        <v>52</v>
      </c>
      <c r="E320" s="19" t="s">
        <v>437</v>
      </c>
      <c r="F320" s="19" t="s">
        <v>400</v>
      </c>
      <c r="G320" s="19" t="s">
        <v>557</v>
      </c>
      <c r="H320" s="19" t="s">
        <v>2</v>
      </c>
    </row>
    <row r="321" spans="1:8" hidden="1" x14ac:dyDescent="0.25">
      <c r="A321">
        <v>16843034</v>
      </c>
      <c r="B321" s="19" t="s">
        <v>18</v>
      </c>
      <c r="C321" s="19" t="s">
        <v>26</v>
      </c>
      <c r="D321" s="19" t="s">
        <v>27</v>
      </c>
      <c r="E321" s="19" t="s">
        <v>437</v>
      </c>
      <c r="F321" s="19" t="s">
        <v>400</v>
      </c>
      <c r="G321" s="19" t="s">
        <v>557</v>
      </c>
      <c r="H321" s="19" t="s">
        <v>2</v>
      </c>
    </row>
    <row r="322" spans="1:8" hidden="1" x14ac:dyDescent="0.25">
      <c r="A322">
        <v>16843020</v>
      </c>
      <c r="B322" s="19" t="s">
        <v>18</v>
      </c>
      <c r="C322" s="19" t="s">
        <v>26</v>
      </c>
      <c r="D322" s="19" t="s">
        <v>45</v>
      </c>
      <c r="E322" s="19" t="s">
        <v>437</v>
      </c>
      <c r="F322" s="19" t="s">
        <v>400</v>
      </c>
      <c r="G322" s="19" t="s">
        <v>557</v>
      </c>
      <c r="H322" s="19" t="s">
        <v>2</v>
      </c>
    </row>
    <row r="323" spans="1:8" hidden="1" x14ac:dyDescent="0.25">
      <c r="A323">
        <v>16843019</v>
      </c>
      <c r="B323" s="19" t="s">
        <v>109</v>
      </c>
      <c r="C323" s="19" t="s">
        <v>26</v>
      </c>
      <c r="D323" s="19" t="s">
        <v>31</v>
      </c>
      <c r="E323" s="19" t="s">
        <v>437</v>
      </c>
      <c r="F323" s="19" t="s">
        <v>400</v>
      </c>
      <c r="G323" s="19" t="s">
        <v>557</v>
      </c>
      <c r="H323" s="19" t="s">
        <v>2</v>
      </c>
    </row>
    <row r="324" spans="1:8" hidden="1" x14ac:dyDescent="0.25">
      <c r="A324">
        <v>16705623</v>
      </c>
      <c r="B324" s="19" t="s">
        <v>12</v>
      </c>
      <c r="C324" s="19" t="s">
        <v>26</v>
      </c>
      <c r="D324" s="19" t="s">
        <v>112</v>
      </c>
      <c r="E324" s="19" t="s">
        <v>437</v>
      </c>
      <c r="F324" s="19" t="s">
        <v>400</v>
      </c>
      <c r="G324" s="19" t="s">
        <v>557</v>
      </c>
      <c r="H324" s="19" t="s">
        <v>2</v>
      </c>
    </row>
    <row r="325" spans="1:8" hidden="1" x14ac:dyDescent="0.25">
      <c r="A325">
        <v>16390565</v>
      </c>
      <c r="B325" s="19" t="s">
        <v>12</v>
      </c>
      <c r="C325" s="19" t="s">
        <v>33</v>
      </c>
      <c r="D325" s="19" t="s">
        <v>115</v>
      </c>
      <c r="E325" s="19" t="s">
        <v>443</v>
      </c>
      <c r="F325" s="19" t="s">
        <v>401</v>
      </c>
      <c r="G325" s="19" t="s">
        <v>557</v>
      </c>
      <c r="H325" s="19" t="s">
        <v>2</v>
      </c>
    </row>
    <row r="326" spans="1:8" hidden="1" x14ac:dyDescent="0.25">
      <c r="A326">
        <v>15661393</v>
      </c>
      <c r="B326" s="19" t="s">
        <v>12</v>
      </c>
      <c r="C326" s="19" t="s">
        <v>33</v>
      </c>
      <c r="D326" s="19" t="s">
        <v>39</v>
      </c>
      <c r="E326" s="19" t="s">
        <v>443</v>
      </c>
      <c r="F326" s="19" t="s">
        <v>401</v>
      </c>
      <c r="G326" s="19" t="s">
        <v>557</v>
      </c>
      <c r="H326" s="19" t="s">
        <v>2</v>
      </c>
    </row>
    <row r="327" spans="1:8" hidden="1" x14ac:dyDescent="0.25">
      <c r="A327">
        <v>15661123</v>
      </c>
      <c r="B327" s="19" t="s">
        <v>12</v>
      </c>
      <c r="C327" s="19" t="s">
        <v>26</v>
      </c>
      <c r="D327" s="19" t="s">
        <v>39</v>
      </c>
      <c r="E327" s="19" t="s">
        <v>437</v>
      </c>
      <c r="F327" s="19" t="s">
        <v>400</v>
      </c>
      <c r="G327" s="19" t="s">
        <v>557</v>
      </c>
      <c r="H327" s="19" t="s">
        <v>2</v>
      </c>
    </row>
    <row r="328" spans="1:8" hidden="1" x14ac:dyDescent="0.25">
      <c r="A328">
        <v>15660994</v>
      </c>
      <c r="B328" s="19" t="s">
        <v>18</v>
      </c>
      <c r="C328" s="19" t="s">
        <v>26</v>
      </c>
      <c r="D328" s="19" t="s">
        <v>119</v>
      </c>
      <c r="E328" s="19" t="s">
        <v>567</v>
      </c>
      <c r="F328" s="19" t="s">
        <v>400</v>
      </c>
      <c r="G328" s="19" t="s">
        <v>557</v>
      </c>
      <c r="H328" s="19" t="s">
        <v>2</v>
      </c>
    </row>
    <row r="329" spans="1:8" hidden="1" x14ac:dyDescent="0.25">
      <c r="A329">
        <v>15660990</v>
      </c>
      <c r="B329" s="19" t="s">
        <v>18</v>
      </c>
      <c r="C329" s="19" t="s">
        <v>26</v>
      </c>
      <c r="D329" s="19" t="s">
        <v>119</v>
      </c>
      <c r="E329" s="19" t="s">
        <v>567</v>
      </c>
      <c r="F329" s="19" t="s">
        <v>400</v>
      </c>
      <c r="G329" s="19" t="s">
        <v>557</v>
      </c>
      <c r="H329" s="19" t="s">
        <v>2</v>
      </c>
    </row>
    <row r="330" spans="1:8" hidden="1" x14ac:dyDescent="0.25">
      <c r="A330">
        <v>15660971</v>
      </c>
      <c r="B330" s="19" t="s">
        <v>12</v>
      </c>
      <c r="C330" s="19" t="s">
        <v>26</v>
      </c>
      <c r="D330" s="19" t="s">
        <v>64</v>
      </c>
      <c r="E330" s="19" t="s">
        <v>437</v>
      </c>
      <c r="F330" s="19" t="s">
        <v>400</v>
      </c>
      <c r="G330" s="19" t="s">
        <v>557</v>
      </c>
      <c r="H330" s="19" t="s">
        <v>2</v>
      </c>
    </row>
    <row r="331" spans="1:8" hidden="1" x14ac:dyDescent="0.25">
      <c r="A331">
        <v>14718177</v>
      </c>
      <c r="B331" s="19" t="s">
        <v>18</v>
      </c>
      <c r="C331" s="19" t="s">
        <v>33</v>
      </c>
      <c r="D331" s="19" t="s">
        <v>123</v>
      </c>
      <c r="E331" s="19" t="s">
        <v>443</v>
      </c>
      <c r="F331" s="19" t="s">
        <v>401</v>
      </c>
      <c r="G331" s="19" t="s">
        <v>557</v>
      </c>
      <c r="H331" s="19" t="s">
        <v>2</v>
      </c>
    </row>
    <row r="332" spans="1:8" hidden="1" x14ac:dyDescent="0.25">
      <c r="A332">
        <v>14718175</v>
      </c>
      <c r="B332" s="19" t="s">
        <v>12</v>
      </c>
      <c r="C332" s="19" t="s">
        <v>33</v>
      </c>
      <c r="D332" s="19" t="s">
        <v>124</v>
      </c>
      <c r="E332" s="19" t="s">
        <v>567</v>
      </c>
      <c r="F332" s="19" t="s">
        <v>401</v>
      </c>
      <c r="G332" s="19" t="s">
        <v>557</v>
      </c>
      <c r="H332" s="19" t="s">
        <v>2</v>
      </c>
    </row>
    <row r="333" spans="1:8" hidden="1" x14ac:dyDescent="0.25">
      <c r="A333">
        <v>14718174</v>
      </c>
      <c r="B333" s="19" t="s">
        <v>12</v>
      </c>
      <c r="C333" s="19" t="s">
        <v>33</v>
      </c>
      <c r="D333" s="19" t="s">
        <v>124</v>
      </c>
      <c r="E333" s="19" t="s">
        <v>567</v>
      </c>
      <c r="F333" s="19" t="s">
        <v>401</v>
      </c>
      <c r="G333" s="19" t="s">
        <v>557</v>
      </c>
      <c r="H333" s="19" t="s">
        <v>2</v>
      </c>
    </row>
    <row r="334" spans="1:8" hidden="1" x14ac:dyDescent="0.25">
      <c r="A334">
        <v>14718173</v>
      </c>
      <c r="B334" s="19" t="s">
        <v>18</v>
      </c>
      <c r="C334" s="19" t="s">
        <v>33</v>
      </c>
      <c r="D334" s="19" t="s">
        <v>124</v>
      </c>
      <c r="E334" s="19" t="s">
        <v>567</v>
      </c>
      <c r="F334" s="19" t="s">
        <v>401</v>
      </c>
      <c r="G334" s="19" t="s">
        <v>557</v>
      </c>
      <c r="H334" s="19" t="s">
        <v>2</v>
      </c>
    </row>
    <row r="335" spans="1:8" hidden="1" x14ac:dyDescent="0.25">
      <c r="A335">
        <v>14718172</v>
      </c>
      <c r="B335" s="19" t="s">
        <v>125</v>
      </c>
      <c r="C335" s="19" t="s">
        <v>33</v>
      </c>
      <c r="D335" s="19" t="s">
        <v>126</v>
      </c>
      <c r="E335" s="19" t="s">
        <v>567</v>
      </c>
      <c r="F335" s="19" t="s">
        <v>401</v>
      </c>
      <c r="G335" s="19" t="s">
        <v>557</v>
      </c>
      <c r="H335" s="19" t="s">
        <v>2</v>
      </c>
    </row>
    <row r="336" spans="1:8" hidden="1" x14ac:dyDescent="0.25">
      <c r="A336">
        <v>14718169</v>
      </c>
      <c r="B336" s="19" t="s">
        <v>12</v>
      </c>
      <c r="C336" s="19" t="s">
        <v>26</v>
      </c>
      <c r="D336" s="19" t="s">
        <v>124</v>
      </c>
      <c r="E336" s="19" t="s">
        <v>443</v>
      </c>
      <c r="F336" s="19" t="s">
        <v>400</v>
      </c>
      <c r="G336" s="19" t="s">
        <v>557</v>
      </c>
      <c r="H336" s="19" t="s">
        <v>2</v>
      </c>
    </row>
    <row r="337" spans="1:8" hidden="1" x14ac:dyDescent="0.25">
      <c r="A337">
        <v>14718163</v>
      </c>
      <c r="B337" s="19" t="s">
        <v>12</v>
      </c>
      <c r="C337" s="19" t="s">
        <v>33</v>
      </c>
      <c r="D337" s="19" t="s">
        <v>68</v>
      </c>
      <c r="E337" s="19" t="s">
        <v>437</v>
      </c>
      <c r="F337" s="19" t="s">
        <v>401</v>
      </c>
      <c r="G337" s="19" t="s">
        <v>557</v>
      </c>
      <c r="H337" s="19" t="s">
        <v>2</v>
      </c>
    </row>
    <row r="338" spans="1:8" hidden="1" x14ac:dyDescent="0.25">
      <c r="A338">
        <v>14718159</v>
      </c>
      <c r="B338" s="19" t="s">
        <v>12</v>
      </c>
      <c r="C338" s="19" t="s">
        <v>33</v>
      </c>
      <c r="D338" s="19" t="s">
        <v>127</v>
      </c>
      <c r="E338" s="19" t="s">
        <v>437</v>
      </c>
      <c r="F338" s="19" t="s">
        <v>401</v>
      </c>
      <c r="G338" s="19" t="s">
        <v>557</v>
      </c>
      <c r="H338" s="19" t="s">
        <v>2</v>
      </c>
    </row>
    <row r="339" spans="1:8" hidden="1" x14ac:dyDescent="0.25">
      <c r="A339">
        <v>14718156</v>
      </c>
      <c r="B339" s="19" t="s">
        <v>12</v>
      </c>
      <c r="C339" s="19" t="s">
        <v>33</v>
      </c>
      <c r="D339" s="19" t="s">
        <v>127</v>
      </c>
      <c r="E339" s="19" t="s">
        <v>437</v>
      </c>
      <c r="F339" s="19" t="s">
        <v>401</v>
      </c>
      <c r="G339" s="19" t="s">
        <v>557</v>
      </c>
      <c r="H339" s="19" t="s">
        <v>2</v>
      </c>
    </row>
    <row r="340" spans="1:8" hidden="1" x14ac:dyDescent="0.25">
      <c r="A340">
        <v>14718153</v>
      </c>
      <c r="B340" s="19" t="s">
        <v>12</v>
      </c>
      <c r="C340" s="19" t="s">
        <v>33</v>
      </c>
      <c r="D340" s="19" t="s">
        <v>128</v>
      </c>
      <c r="E340" s="19" t="s">
        <v>437</v>
      </c>
      <c r="F340" s="19" t="s">
        <v>401</v>
      </c>
      <c r="G340" s="19" t="s">
        <v>557</v>
      </c>
      <c r="H340" s="19" t="s">
        <v>2</v>
      </c>
    </row>
    <row r="341" spans="1:8" hidden="1" x14ac:dyDescent="0.25">
      <c r="A341">
        <v>14718149</v>
      </c>
      <c r="B341" s="19" t="s">
        <v>12</v>
      </c>
      <c r="C341" s="19" t="s">
        <v>33</v>
      </c>
      <c r="D341" s="19" t="s">
        <v>129</v>
      </c>
      <c r="E341" s="19" t="s">
        <v>437</v>
      </c>
      <c r="F341" s="19" t="s">
        <v>401</v>
      </c>
      <c r="G341" s="19" t="s">
        <v>557</v>
      </c>
      <c r="H341" s="19" t="s">
        <v>2</v>
      </c>
    </row>
    <row r="342" spans="1:8" hidden="1" x14ac:dyDescent="0.25">
      <c r="A342">
        <v>14718148</v>
      </c>
      <c r="B342" s="19" t="s">
        <v>12</v>
      </c>
      <c r="C342" s="19" t="s">
        <v>33</v>
      </c>
      <c r="D342" s="19" t="s">
        <v>127</v>
      </c>
      <c r="E342" s="19" t="s">
        <v>437</v>
      </c>
      <c r="F342" s="19" t="s">
        <v>401</v>
      </c>
      <c r="G342" s="19" t="s">
        <v>557</v>
      </c>
      <c r="H342" s="19" t="s">
        <v>2</v>
      </c>
    </row>
    <row r="343" spans="1:8" hidden="1" x14ac:dyDescent="0.25">
      <c r="A343">
        <v>14718122</v>
      </c>
      <c r="B343" s="19" t="s">
        <v>12</v>
      </c>
      <c r="C343" s="19" t="s">
        <v>33</v>
      </c>
      <c r="D343" s="19" t="s">
        <v>130</v>
      </c>
      <c r="E343" s="19" t="s">
        <v>445</v>
      </c>
      <c r="F343" s="19" t="s">
        <v>401</v>
      </c>
      <c r="G343" s="19" t="s">
        <v>557</v>
      </c>
      <c r="H343" s="19" t="s">
        <v>2</v>
      </c>
    </row>
    <row r="344" spans="1:8" hidden="1" x14ac:dyDescent="0.25">
      <c r="A344">
        <v>14718121</v>
      </c>
      <c r="B344" s="19" t="s">
        <v>12</v>
      </c>
      <c r="C344" s="19" t="s">
        <v>33</v>
      </c>
      <c r="D344" s="19" t="s">
        <v>131</v>
      </c>
      <c r="E344" s="19" t="s">
        <v>445</v>
      </c>
      <c r="F344" s="19" t="s">
        <v>401</v>
      </c>
      <c r="G344" s="19" t="s">
        <v>557</v>
      </c>
      <c r="H344" s="19" t="s">
        <v>2</v>
      </c>
    </row>
    <row r="345" spans="1:8" hidden="1" x14ac:dyDescent="0.25">
      <c r="A345">
        <v>14718119</v>
      </c>
      <c r="B345" s="19" t="s">
        <v>12</v>
      </c>
      <c r="C345" s="19" t="s">
        <v>33</v>
      </c>
      <c r="D345" s="19" t="s">
        <v>132</v>
      </c>
      <c r="E345" s="19" t="s">
        <v>445</v>
      </c>
      <c r="F345" s="19" t="s">
        <v>401</v>
      </c>
      <c r="G345" s="19" t="s">
        <v>557</v>
      </c>
      <c r="H345" s="19" t="s">
        <v>2</v>
      </c>
    </row>
    <row r="346" spans="1:8" hidden="1" x14ac:dyDescent="0.25">
      <c r="A346">
        <v>14718118</v>
      </c>
      <c r="B346" s="19" t="s">
        <v>12</v>
      </c>
      <c r="C346" s="19" t="s">
        <v>33</v>
      </c>
      <c r="D346" s="19" t="s">
        <v>133</v>
      </c>
      <c r="E346" s="19" t="s">
        <v>445</v>
      </c>
      <c r="F346" s="19" t="s">
        <v>401</v>
      </c>
      <c r="G346" s="19" t="s">
        <v>557</v>
      </c>
      <c r="H346" s="19" t="s">
        <v>2</v>
      </c>
    </row>
    <row r="347" spans="1:8" hidden="1" x14ac:dyDescent="0.25">
      <c r="A347">
        <v>14718111</v>
      </c>
      <c r="B347" s="19" t="s">
        <v>12</v>
      </c>
      <c r="C347" s="19" t="s">
        <v>33</v>
      </c>
      <c r="D347" s="19" t="s">
        <v>123</v>
      </c>
      <c r="E347" s="19" t="s">
        <v>558</v>
      </c>
      <c r="F347" s="19" t="s">
        <v>401</v>
      </c>
      <c r="G347" s="19" t="s">
        <v>557</v>
      </c>
      <c r="H347" s="19" t="s">
        <v>2</v>
      </c>
    </row>
    <row r="348" spans="1:8" hidden="1" x14ac:dyDescent="0.25">
      <c r="A348">
        <v>14718109</v>
      </c>
      <c r="B348" s="19" t="s">
        <v>12</v>
      </c>
      <c r="C348" s="19" t="s">
        <v>33</v>
      </c>
      <c r="D348" s="19" t="s">
        <v>41</v>
      </c>
      <c r="E348" s="19" t="s">
        <v>445</v>
      </c>
      <c r="F348" s="19" t="s">
        <v>401</v>
      </c>
      <c r="G348" s="19" t="s">
        <v>557</v>
      </c>
      <c r="H348" s="19" t="s">
        <v>2</v>
      </c>
    </row>
    <row r="349" spans="1:8" hidden="1" x14ac:dyDescent="0.25">
      <c r="A349">
        <v>14718104</v>
      </c>
      <c r="B349" s="19" t="s">
        <v>12</v>
      </c>
      <c r="C349" s="19" t="s">
        <v>33</v>
      </c>
      <c r="D349" s="19" t="s">
        <v>41</v>
      </c>
      <c r="E349" s="19" t="s">
        <v>445</v>
      </c>
      <c r="F349" s="19" t="s">
        <v>401</v>
      </c>
      <c r="G349" s="19" t="s">
        <v>557</v>
      </c>
      <c r="H349" s="19" t="s">
        <v>2</v>
      </c>
    </row>
    <row r="350" spans="1:8" hidden="1" x14ac:dyDescent="0.25">
      <c r="A350">
        <v>14718103</v>
      </c>
      <c r="B350" s="19" t="s">
        <v>12</v>
      </c>
      <c r="C350" s="19" t="s">
        <v>33</v>
      </c>
      <c r="D350" s="19" t="s">
        <v>41</v>
      </c>
      <c r="E350" s="19" t="s">
        <v>445</v>
      </c>
      <c r="F350" s="19" t="s">
        <v>401</v>
      </c>
      <c r="G350" s="19" t="s">
        <v>557</v>
      </c>
      <c r="H350" s="19" t="s">
        <v>2</v>
      </c>
    </row>
    <row r="351" spans="1:8" hidden="1" x14ac:dyDescent="0.25">
      <c r="A351">
        <v>14718093</v>
      </c>
      <c r="B351" s="19" t="s">
        <v>12</v>
      </c>
      <c r="C351" s="19" t="s">
        <v>33</v>
      </c>
      <c r="D351" s="19" t="s">
        <v>41</v>
      </c>
      <c r="E351" s="19" t="s">
        <v>445</v>
      </c>
      <c r="F351" s="19" t="s">
        <v>401</v>
      </c>
      <c r="G351" s="19" t="s">
        <v>557</v>
      </c>
      <c r="H351" s="19" t="s">
        <v>2</v>
      </c>
    </row>
    <row r="352" spans="1:8" hidden="1" x14ac:dyDescent="0.25">
      <c r="A352">
        <v>14718087</v>
      </c>
      <c r="B352" s="19" t="s">
        <v>12</v>
      </c>
      <c r="C352" s="19" t="s">
        <v>33</v>
      </c>
      <c r="D352" s="19" t="s">
        <v>41</v>
      </c>
      <c r="E352" s="19" t="s">
        <v>445</v>
      </c>
      <c r="F352" s="19" t="s">
        <v>401</v>
      </c>
      <c r="G352" s="19" t="s">
        <v>557</v>
      </c>
      <c r="H352" s="19" t="s">
        <v>2</v>
      </c>
    </row>
    <row r="353" spans="1:8" hidden="1" x14ac:dyDescent="0.25">
      <c r="A353">
        <v>14718081</v>
      </c>
      <c r="B353" s="19" t="s">
        <v>12</v>
      </c>
      <c r="C353" s="19" t="s">
        <v>33</v>
      </c>
      <c r="D353" s="19" t="s">
        <v>41</v>
      </c>
      <c r="E353" s="19" t="s">
        <v>445</v>
      </c>
      <c r="F353" s="19" t="s">
        <v>401</v>
      </c>
      <c r="G353" s="19" t="s">
        <v>557</v>
      </c>
      <c r="H353" s="19" t="s">
        <v>2</v>
      </c>
    </row>
    <row r="354" spans="1:8" hidden="1" x14ac:dyDescent="0.25">
      <c r="A354">
        <v>14718078</v>
      </c>
      <c r="B354" s="19" t="s">
        <v>12</v>
      </c>
      <c r="C354" s="19" t="s">
        <v>33</v>
      </c>
      <c r="D354" s="19" t="s">
        <v>41</v>
      </c>
      <c r="E354" s="19" t="s">
        <v>445</v>
      </c>
      <c r="F354" s="19" t="s">
        <v>401</v>
      </c>
      <c r="G354" s="19" t="s">
        <v>557</v>
      </c>
      <c r="H354" s="19" t="s">
        <v>2</v>
      </c>
    </row>
    <row r="355" spans="1:8" hidden="1" x14ac:dyDescent="0.25">
      <c r="A355">
        <v>14718072</v>
      </c>
      <c r="B355" s="19" t="s">
        <v>12</v>
      </c>
      <c r="C355" s="19" t="s">
        <v>33</v>
      </c>
      <c r="D355" s="19" t="s">
        <v>41</v>
      </c>
      <c r="E355" s="19" t="s">
        <v>445</v>
      </c>
      <c r="F355" s="19" t="s">
        <v>401</v>
      </c>
      <c r="G355" s="19" t="s">
        <v>557</v>
      </c>
      <c r="H355" s="19" t="s">
        <v>2</v>
      </c>
    </row>
    <row r="356" spans="1:8" hidden="1" x14ac:dyDescent="0.25">
      <c r="A356">
        <v>14718064</v>
      </c>
      <c r="B356" s="19" t="s">
        <v>12</v>
      </c>
      <c r="C356" s="19" t="s">
        <v>33</v>
      </c>
      <c r="D356" s="19" t="s">
        <v>41</v>
      </c>
      <c r="E356" s="19" t="s">
        <v>445</v>
      </c>
      <c r="F356" s="19" t="s">
        <v>401</v>
      </c>
      <c r="G356" s="19" t="s">
        <v>557</v>
      </c>
      <c r="H356" s="19" t="s">
        <v>2</v>
      </c>
    </row>
    <row r="357" spans="1:8" hidden="1" x14ac:dyDescent="0.25">
      <c r="A357">
        <v>14718061</v>
      </c>
      <c r="B357" s="19" t="s">
        <v>12</v>
      </c>
      <c r="C357" s="19" t="s">
        <v>26</v>
      </c>
      <c r="D357" s="19" t="s">
        <v>41</v>
      </c>
      <c r="E357" s="19" t="s">
        <v>445</v>
      </c>
      <c r="F357" s="19" t="s">
        <v>400</v>
      </c>
      <c r="G357" s="19" t="s">
        <v>557</v>
      </c>
      <c r="H357" s="19" t="s">
        <v>2</v>
      </c>
    </row>
    <row r="358" spans="1:8" hidden="1" x14ac:dyDescent="0.25">
      <c r="A358">
        <v>14718055</v>
      </c>
      <c r="B358" s="19" t="s">
        <v>12</v>
      </c>
      <c r="C358" s="19" t="s">
        <v>33</v>
      </c>
      <c r="D358" s="19" t="s">
        <v>41</v>
      </c>
      <c r="E358" s="19" t="s">
        <v>445</v>
      </c>
      <c r="F358" s="19" t="s">
        <v>401</v>
      </c>
      <c r="G358" s="19" t="s">
        <v>557</v>
      </c>
      <c r="H358" s="19" t="s">
        <v>2</v>
      </c>
    </row>
    <row r="359" spans="1:8" hidden="1" x14ac:dyDescent="0.25">
      <c r="A359">
        <v>14718054</v>
      </c>
      <c r="B359" s="19" t="s">
        <v>12</v>
      </c>
      <c r="C359" s="19" t="s">
        <v>33</v>
      </c>
      <c r="D359" s="19" t="s">
        <v>41</v>
      </c>
      <c r="E359" s="19" t="s">
        <v>445</v>
      </c>
      <c r="F359" s="19" t="s">
        <v>401</v>
      </c>
      <c r="G359" s="19" t="s">
        <v>557</v>
      </c>
      <c r="H359" s="19" t="s">
        <v>2</v>
      </c>
    </row>
    <row r="360" spans="1:8" hidden="1" x14ac:dyDescent="0.25">
      <c r="A360">
        <v>14718038</v>
      </c>
      <c r="B360" s="19" t="s">
        <v>12</v>
      </c>
      <c r="C360" s="19" t="s">
        <v>33</v>
      </c>
      <c r="D360" s="19" t="s">
        <v>41</v>
      </c>
      <c r="E360" s="19" t="s">
        <v>558</v>
      </c>
      <c r="F360" s="19" t="s">
        <v>401</v>
      </c>
      <c r="G360" s="19" t="s">
        <v>557</v>
      </c>
      <c r="H360" s="19" t="s">
        <v>2</v>
      </c>
    </row>
    <row r="361" spans="1:8" hidden="1" x14ac:dyDescent="0.25">
      <c r="A361">
        <v>14718016</v>
      </c>
      <c r="B361" s="19" t="s">
        <v>12</v>
      </c>
      <c r="C361" s="19" t="s">
        <v>33</v>
      </c>
      <c r="D361" s="19" t="s">
        <v>41</v>
      </c>
      <c r="E361" s="19" t="s">
        <v>558</v>
      </c>
      <c r="F361" s="19" t="s">
        <v>401</v>
      </c>
      <c r="G361" s="19" t="s">
        <v>557</v>
      </c>
      <c r="H361" s="19" t="s">
        <v>2</v>
      </c>
    </row>
    <row r="362" spans="1:8" hidden="1" x14ac:dyDescent="0.25">
      <c r="A362">
        <v>14718009</v>
      </c>
      <c r="B362" s="19" t="s">
        <v>18</v>
      </c>
      <c r="C362" s="19" t="s">
        <v>26</v>
      </c>
      <c r="D362" s="19" t="s">
        <v>41</v>
      </c>
      <c r="E362" s="19" t="s">
        <v>558</v>
      </c>
      <c r="F362" s="19" t="s">
        <v>400</v>
      </c>
      <c r="G362" s="19" t="s">
        <v>557</v>
      </c>
      <c r="H362" s="19" t="s">
        <v>2</v>
      </c>
    </row>
    <row r="363" spans="1:8" hidden="1" x14ac:dyDescent="0.25">
      <c r="A363">
        <v>14717997</v>
      </c>
      <c r="B363" s="19" t="s">
        <v>12</v>
      </c>
      <c r="C363" s="19" t="s">
        <v>33</v>
      </c>
      <c r="D363" s="19" t="s">
        <v>41</v>
      </c>
      <c r="E363" s="19" t="s">
        <v>558</v>
      </c>
      <c r="F363" s="19" t="s">
        <v>401</v>
      </c>
      <c r="G363" s="19" t="s">
        <v>557</v>
      </c>
      <c r="H363" s="19" t="s">
        <v>2</v>
      </c>
    </row>
    <row r="364" spans="1:8" hidden="1" x14ac:dyDescent="0.25">
      <c r="A364">
        <v>14717973</v>
      </c>
      <c r="B364" s="19" t="s">
        <v>12</v>
      </c>
      <c r="C364" s="19" t="s">
        <v>33</v>
      </c>
      <c r="D364" s="19" t="s">
        <v>41</v>
      </c>
      <c r="E364" s="19" t="s">
        <v>558</v>
      </c>
      <c r="F364" s="19" t="s">
        <v>401</v>
      </c>
      <c r="G364" s="19" t="s">
        <v>557</v>
      </c>
      <c r="H364" s="19" t="s">
        <v>2</v>
      </c>
    </row>
    <row r="365" spans="1:8" hidden="1" x14ac:dyDescent="0.25">
      <c r="A365">
        <v>14717941</v>
      </c>
      <c r="B365" s="19" t="s">
        <v>18</v>
      </c>
      <c r="C365" s="19" t="s">
        <v>33</v>
      </c>
      <c r="D365" s="19" t="s">
        <v>41</v>
      </c>
      <c r="E365" s="19" t="s">
        <v>558</v>
      </c>
      <c r="F365" s="19" t="s">
        <v>401</v>
      </c>
      <c r="G365" s="19" t="s">
        <v>557</v>
      </c>
      <c r="H365" s="19" t="s">
        <v>2</v>
      </c>
    </row>
    <row r="366" spans="1:8" hidden="1" x14ac:dyDescent="0.25">
      <c r="A366">
        <v>14717914</v>
      </c>
      <c r="B366" s="19" t="s">
        <v>12</v>
      </c>
      <c r="C366" s="19" t="s">
        <v>33</v>
      </c>
      <c r="D366" s="19" t="s">
        <v>41</v>
      </c>
      <c r="E366" s="19" t="s">
        <v>558</v>
      </c>
      <c r="F366" s="19" t="s">
        <v>401</v>
      </c>
      <c r="G366" s="19" t="s">
        <v>557</v>
      </c>
      <c r="H366" s="19" t="s">
        <v>2</v>
      </c>
    </row>
    <row r="367" spans="1:8" hidden="1" x14ac:dyDescent="0.25">
      <c r="A367">
        <v>14717901</v>
      </c>
      <c r="B367" s="19" t="s">
        <v>12</v>
      </c>
      <c r="C367" s="19" t="s">
        <v>33</v>
      </c>
      <c r="D367" s="19" t="s">
        <v>41</v>
      </c>
      <c r="E367" s="19" t="s">
        <v>558</v>
      </c>
      <c r="F367" s="19" t="s">
        <v>401</v>
      </c>
      <c r="G367" s="19" t="s">
        <v>557</v>
      </c>
      <c r="H367" s="19" t="s">
        <v>2</v>
      </c>
    </row>
    <row r="368" spans="1:8" hidden="1" x14ac:dyDescent="0.25">
      <c r="A368">
        <v>14717866</v>
      </c>
      <c r="B368" s="19" t="s">
        <v>12</v>
      </c>
      <c r="C368" s="19" t="s">
        <v>26</v>
      </c>
      <c r="D368" s="19" t="s">
        <v>41</v>
      </c>
      <c r="E368" s="19" t="s">
        <v>567</v>
      </c>
      <c r="F368" s="19" t="s">
        <v>400</v>
      </c>
      <c r="G368" s="19" t="s">
        <v>557</v>
      </c>
      <c r="H368" s="19" t="s">
        <v>2</v>
      </c>
    </row>
    <row r="369" spans="1:8" hidden="1" x14ac:dyDescent="0.25">
      <c r="A369">
        <v>14717865</v>
      </c>
      <c r="B369" s="19" t="s">
        <v>79</v>
      </c>
      <c r="C369" s="19" t="s">
        <v>26</v>
      </c>
      <c r="D369" s="19" t="s">
        <v>41</v>
      </c>
      <c r="E369" s="19" t="s">
        <v>567</v>
      </c>
      <c r="F369" s="19" t="s">
        <v>400</v>
      </c>
      <c r="G369" s="19" t="s">
        <v>557</v>
      </c>
      <c r="H369" s="19" t="s">
        <v>2</v>
      </c>
    </row>
    <row r="370" spans="1:8" hidden="1" x14ac:dyDescent="0.25">
      <c r="A370">
        <v>14717858</v>
      </c>
      <c r="B370" s="19" t="s">
        <v>12</v>
      </c>
      <c r="C370" s="19" t="s">
        <v>33</v>
      </c>
      <c r="D370" s="19" t="s">
        <v>41</v>
      </c>
      <c r="E370" s="19" t="s">
        <v>567</v>
      </c>
      <c r="F370" s="19" t="s">
        <v>401</v>
      </c>
      <c r="G370" s="19" t="s">
        <v>557</v>
      </c>
      <c r="H370" s="19" t="s">
        <v>2</v>
      </c>
    </row>
    <row r="371" spans="1:8" hidden="1" x14ac:dyDescent="0.25">
      <c r="A371">
        <v>14717856</v>
      </c>
      <c r="B371" s="19" t="s">
        <v>125</v>
      </c>
      <c r="C371" s="19" t="s">
        <v>33</v>
      </c>
      <c r="D371" s="19" t="s">
        <v>41</v>
      </c>
      <c r="E371" s="19" t="s">
        <v>567</v>
      </c>
      <c r="F371" s="19" t="s">
        <v>401</v>
      </c>
      <c r="G371" s="19" t="s">
        <v>557</v>
      </c>
      <c r="H371" s="19" t="s">
        <v>2</v>
      </c>
    </row>
    <row r="372" spans="1:8" hidden="1" x14ac:dyDescent="0.25">
      <c r="A372">
        <v>14717855</v>
      </c>
      <c r="B372" s="19" t="s">
        <v>12</v>
      </c>
      <c r="C372" s="19" t="s">
        <v>33</v>
      </c>
      <c r="D372" s="19" t="s">
        <v>41</v>
      </c>
      <c r="E372" s="19" t="s">
        <v>567</v>
      </c>
      <c r="F372" s="19" t="s">
        <v>401</v>
      </c>
      <c r="G372" s="19" t="s">
        <v>557</v>
      </c>
      <c r="H372" s="19" t="s">
        <v>2</v>
      </c>
    </row>
    <row r="373" spans="1:8" hidden="1" x14ac:dyDescent="0.25">
      <c r="A373">
        <v>14717852</v>
      </c>
      <c r="B373" s="19" t="s">
        <v>12</v>
      </c>
      <c r="C373" s="19" t="s">
        <v>26</v>
      </c>
      <c r="D373" s="19" t="s">
        <v>41</v>
      </c>
      <c r="E373" s="19" t="s">
        <v>567</v>
      </c>
      <c r="F373" s="19" t="s">
        <v>400</v>
      </c>
      <c r="G373" s="19" t="s">
        <v>557</v>
      </c>
      <c r="H373" s="19" t="s">
        <v>2</v>
      </c>
    </row>
    <row r="374" spans="1:8" hidden="1" x14ac:dyDescent="0.25">
      <c r="A374">
        <v>14717837</v>
      </c>
      <c r="B374" s="19" t="s">
        <v>12</v>
      </c>
      <c r="C374" s="19" t="s">
        <v>26</v>
      </c>
      <c r="D374" s="19" t="s">
        <v>41</v>
      </c>
      <c r="E374" s="19" t="s">
        <v>443</v>
      </c>
      <c r="F374" s="19" t="s">
        <v>400</v>
      </c>
      <c r="G374" s="19" t="s">
        <v>557</v>
      </c>
      <c r="H374" s="19" t="s">
        <v>2</v>
      </c>
    </row>
    <row r="375" spans="1:8" hidden="1" x14ac:dyDescent="0.25">
      <c r="A375">
        <v>14717834</v>
      </c>
      <c r="B375" s="19" t="s">
        <v>109</v>
      </c>
      <c r="C375" s="19" t="s">
        <v>33</v>
      </c>
      <c r="D375" s="19" t="s">
        <v>41</v>
      </c>
      <c r="E375" s="19" t="s">
        <v>443</v>
      </c>
      <c r="F375" s="19" t="s">
        <v>401</v>
      </c>
      <c r="G375" s="19" t="s">
        <v>557</v>
      </c>
      <c r="H375" s="19" t="s">
        <v>2</v>
      </c>
    </row>
    <row r="376" spans="1:8" hidden="1" x14ac:dyDescent="0.25">
      <c r="A376">
        <v>14717796</v>
      </c>
      <c r="B376" s="19" t="s">
        <v>12</v>
      </c>
      <c r="C376" s="19" t="s">
        <v>26</v>
      </c>
      <c r="D376" s="19" t="s">
        <v>41</v>
      </c>
      <c r="E376" s="19" t="s">
        <v>443</v>
      </c>
      <c r="F376" s="19" t="s">
        <v>400</v>
      </c>
      <c r="G376" s="19" t="s">
        <v>557</v>
      </c>
      <c r="H376" s="19" t="s">
        <v>2</v>
      </c>
    </row>
    <row r="377" spans="1:8" hidden="1" x14ac:dyDescent="0.25">
      <c r="A377">
        <v>14717778</v>
      </c>
      <c r="B377" s="19" t="s">
        <v>12</v>
      </c>
      <c r="C377" s="19" t="s">
        <v>26</v>
      </c>
      <c r="D377" s="19" t="s">
        <v>41</v>
      </c>
      <c r="E377" s="19" t="s">
        <v>443</v>
      </c>
      <c r="F377" s="19" t="s">
        <v>400</v>
      </c>
      <c r="G377" s="19" t="s">
        <v>557</v>
      </c>
      <c r="H377" s="19" t="s">
        <v>2</v>
      </c>
    </row>
    <row r="378" spans="1:8" hidden="1" x14ac:dyDescent="0.25">
      <c r="A378">
        <v>14717723</v>
      </c>
      <c r="B378" s="19" t="s">
        <v>18</v>
      </c>
      <c r="C378" s="19" t="s">
        <v>33</v>
      </c>
      <c r="D378" s="19" t="s">
        <v>41</v>
      </c>
      <c r="E378" s="19" t="s">
        <v>437</v>
      </c>
      <c r="F378" s="19" t="s">
        <v>401</v>
      </c>
      <c r="G378" s="19" t="s">
        <v>557</v>
      </c>
      <c r="H378" s="19" t="s">
        <v>2</v>
      </c>
    </row>
    <row r="379" spans="1:8" hidden="1" x14ac:dyDescent="0.25">
      <c r="A379">
        <v>12602362</v>
      </c>
      <c r="B379" s="19" t="s">
        <v>18</v>
      </c>
      <c r="C379" s="19" t="s">
        <v>33</v>
      </c>
      <c r="D379" s="19" t="s">
        <v>41</v>
      </c>
      <c r="E379" s="19" t="s">
        <v>437</v>
      </c>
      <c r="F379" s="19" t="s">
        <v>401</v>
      </c>
      <c r="G379" s="19" t="s">
        <v>557</v>
      </c>
      <c r="H379" s="19" t="s">
        <v>2</v>
      </c>
    </row>
    <row r="380" spans="1:8" hidden="1" x14ac:dyDescent="0.25">
      <c r="A380">
        <v>12602339</v>
      </c>
      <c r="B380" s="19" t="s">
        <v>24</v>
      </c>
      <c r="C380" s="19" t="s">
        <v>33</v>
      </c>
      <c r="D380" s="19" t="s">
        <v>41</v>
      </c>
      <c r="E380" s="19" t="s">
        <v>437</v>
      </c>
      <c r="F380" s="19" t="s">
        <v>401</v>
      </c>
      <c r="G380" s="19" t="s">
        <v>557</v>
      </c>
      <c r="H380" s="19" t="s">
        <v>2</v>
      </c>
    </row>
    <row r="381" spans="1:8" hidden="1" x14ac:dyDescent="0.25">
      <c r="A381">
        <v>11793335</v>
      </c>
      <c r="B381" s="19" t="s">
        <v>12</v>
      </c>
      <c r="C381" s="19" t="s">
        <v>33</v>
      </c>
      <c r="D381" s="19" t="s">
        <v>74</v>
      </c>
      <c r="E381" s="19" t="s">
        <v>443</v>
      </c>
      <c r="F381" s="19" t="s">
        <v>401</v>
      </c>
      <c r="G381" s="19" t="s">
        <v>557</v>
      </c>
      <c r="H381" s="19" t="s">
        <v>2</v>
      </c>
    </row>
    <row r="382" spans="1:8" hidden="1" x14ac:dyDescent="0.25">
      <c r="A382">
        <v>11793318</v>
      </c>
      <c r="B382" s="19" t="s">
        <v>12</v>
      </c>
      <c r="C382" s="19" t="s">
        <v>26</v>
      </c>
      <c r="D382" s="19" t="s">
        <v>36</v>
      </c>
      <c r="E382" s="19" t="s">
        <v>443</v>
      </c>
      <c r="F382" s="19" t="s">
        <v>400</v>
      </c>
      <c r="G382" s="19" t="s">
        <v>557</v>
      </c>
      <c r="H382" s="19" t="s">
        <v>2</v>
      </c>
    </row>
    <row r="383" spans="1:8" hidden="1" x14ac:dyDescent="0.25">
      <c r="A383">
        <v>11189200</v>
      </c>
      <c r="B383" s="19" t="s">
        <v>12</v>
      </c>
      <c r="C383" s="19" t="s">
        <v>33</v>
      </c>
      <c r="D383" s="19" t="s">
        <v>91</v>
      </c>
      <c r="E383" s="19" t="s">
        <v>565</v>
      </c>
      <c r="F383" s="19" t="s">
        <v>401</v>
      </c>
      <c r="G383" s="19" t="s">
        <v>557</v>
      </c>
      <c r="H383" s="19" t="s">
        <v>2</v>
      </c>
    </row>
    <row r="384" spans="1:8" hidden="1" x14ac:dyDescent="0.25">
      <c r="A384">
        <v>11184758</v>
      </c>
      <c r="B384" s="19" t="s">
        <v>12</v>
      </c>
      <c r="C384" s="19" t="s">
        <v>33</v>
      </c>
      <c r="D384" s="19" t="s">
        <v>70</v>
      </c>
      <c r="E384" s="19" t="s">
        <v>565</v>
      </c>
      <c r="F384" s="19" t="s">
        <v>401</v>
      </c>
      <c r="G384" s="19" t="s">
        <v>557</v>
      </c>
      <c r="H384" s="19" t="s">
        <v>2</v>
      </c>
    </row>
    <row r="385" spans="1:8" hidden="1" x14ac:dyDescent="0.25">
      <c r="A385">
        <v>10932161</v>
      </c>
      <c r="B385" s="19" t="s">
        <v>12</v>
      </c>
      <c r="C385" s="19" t="s">
        <v>26</v>
      </c>
      <c r="D385" s="19" t="s">
        <v>54</v>
      </c>
      <c r="E385" s="19" t="s">
        <v>561</v>
      </c>
      <c r="F385" s="19" t="s">
        <v>400</v>
      </c>
      <c r="G385" s="19" t="s">
        <v>557</v>
      </c>
      <c r="H385" s="19" t="s">
        <v>2</v>
      </c>
    </row>
    <row r="386" spans="1:8" hidden="1" x14ac:dyDescent="0.25">
      <c r="A386">
        <v>10932058</v>
      </c>
      <c r="B386" s="19" t="s">
        <v>12</v>
      </c>
      <c r="C386" s="19" t="s">
        <v>33</v>
      </c>
      <c r="D386" s="19" t="s">
        <v>54</v>
      </c>
      <c r="E386" s="19" t="s">
        <v>561</v>
      </c>
      <c r="F386" s="19" t="s">
        <v>401</v>
      </c>
      <c r="G386" s="19" t="s">
        <v>557</v>
      </c>
      <c r="H386" s="19" t="s">
        <v>2</v>
      </c>
    </row>
    <row r="387" spans="1:8" hidden="1" x14ac:dyDescent="0.25">
      <c r="A387">
        <v>8937759</v>
      </c>
      <c r="B387" s="19" t="s">
        <v>18</v>
      </c>
      <c r="C387" s="19" t="s">
        <v>26</v>
      </c>
      <c r="D387" s="19" t="s">
        <v>74</v>
      </c>
      <c r="E387" s="19" t="s">
        <v>437</v>
      </c>
      <c r="F387" s="19" t="s">
        <v>400</v>
      </c>
      <c r="G387" s="19" t="s">
        <v>557</v>
      </c>
      <c r="H387" s="19" t="s">
        <v>2</v>
      </c>
    </row>
    <row r="388" spans="1:8" hidden="1" x14ac:dyDescent="0.25">
      <c r="A388">
        <v>8937600</v>
      </c>
      <c r="B388" s="19" t="s">
        <v>12</v>
      </c>
      <c r="C388" s="19" t="s">
        <v>26</v>
      </c>
      <c r="D388" s="19" t="s">
        <v>135</v>
      </c>
      <c r="E388" s="19" t="s">
        <v>566</v>
      </c>
      <c r="F388" s="19" t="s">
        <v>400</v>
      </c>
      <c r="G388" s="19" t="s">
        <v>557</v>
      </c>
      <c r="H388" s="19" t="s">
        <v>2</v>
      </c>
    </row>
    <row r="389" spans="1:8" hidden="1" x14ac:dyDescent="0.25">
      <c r="A389">
        <v>8937588</v>
      </c>
      <c r="B389" s="19" t="s">
        <v>12</v>
      </c>
      <c r="C389" s="19" t="s">
        <v>26</v>
      </c>
      <c r="D389" s="19" t="s">
        <v>91</v>
      </c>
      <c r="E389" s="19" t="s">
        <v>566</v>
      </c>
      <c r="F389" s="19" t="s">
        <v>400</v>
      </c>
      <c r="G389" s="19" t="s">
        <v>557</v>
      </c>
      <c r="H389" s="19" t="s">
        <v>2</v>
      </c>
    </row>
    <row r="390" spans="1:8" hidden="1" x14ac:dyDescent="0.25">
      <c r="A390">
        <v>8937566</v>
      </c>
      <c r="B390" s="19" t="s">
        <v>12</v>
      </c>
      <c r="C390" s="19" t="s">
        <v>26</v>
      </c>
      <c r="D390" s="19" t="s">
        <v>54</v>
      </c>
      <c r="E390" s="19" t="s">
        <v>566</v>
      </c>
      <c r="F390" s="19" t="s">
        <v>400</v>
      </c>
      <c r="G390" s="19" t="s">
        <v>557</v>
      </c>
      <c r="H390" s="19" t="s">
        <v>2</v>
      </c>
    </row>
    <row r="391" spans="1:8" hidden="1" x14ac:dyDescent="0.25">
      <c r="A391">
        <v>8937521</v>
      </c>
      <c r="B391" s="19" t="s">
        <v>12</v>
      </c>
      <c r="C391" s="19" t="s">
        <v>26</v>
      </c>
      <c r="D391" s="19" t="s">
        <v>54</v>
      </c>
      <c r="E391" s="19" t="s">
        <v>566</v>
      </c>
      <c r="F391" s="19" t="s">
        <v>400</v>
      </c>
      <c r="G391" s="19" t="s">
        <v>557</v>
      </c>
      <c r="H391" s="19" t="s">
        <v>2</v>
      </c>
    </row>
    <row r="392" spans="1:8" hidden="1" x14ac:dyDescent="0.25">
      <c r="A392">
        <v>8935863</v>
      </c>
      <c r="B392" s="19" t="s">
        <v>18</v>
      </c>
      <c r="C392" s="19" t="s">
        <v>26</v>
      </c>
      <c r="D392" s="19" t="s">
        <v>54</v>
      </c>
      <c r="E392" s="19" t="s">
        <v>567</v>
      </c>
      <c r="F392" s="19" t="s">
        <v>400</v>
      </c>
      <c r="G392" s="19" t="s">
        <v>557</v>
      </c>
      <c r="H392" s="19" t="s">
        <v>2</v>
      </c>
    </row>
    <row r="393" spans="1:8" hidden="1" x14ac:dyDescent="0.25">
      <c r="A393">
        <v>8935825</v>
      </c>
      <c r="B393" s="19" t="s">
        <v>12</v>
      </c>
      <c r="C393" s="19" t="s">
        <v>26</v>
      </c>
      <c r="D393" s="19" t="s">
        <v>110</v>
      </c>
      <c r="E393" s="19" t="s">
        <v>567</v>
      </c>
      <c r="F393" s="19" t="s">
        <v>400</v>
      </c>
      <c r="G393" s="19" t="s">
        <v>557</v>
      </c>
      <c r="H393" s="19" t="s">
        <v>2</v>
      </c>
    </row>
    <row r="394" spans="1:8" hidden="1" x14ac:dyDescent="0.25">
      <c r="A394">
        <v>8935817</v>
      </c>
      <c r="B394" s="19" t="s">
        <v>79</v>
      </c>
      <c r="C394" s="19" t="s">
        <v>26</v>
      </c>
      <c r="D394" s="19" t="s">
        <v>110</v>
      </c>
      <c r="E394" s="19" t="s">
        <v>567</v>
      </c>
      <c r="F394" s="19" t="s">
        <v>400</v>
      </c>
      <c r="G394" s="19" t="s">
        <v>557</v>
      </c>
      <c r="H394" s="19" t="s">
        <v>2</v>
      </c>
    </row>
    <row r="395" spans="1:8" hidden="1" x14ac:dyDescent="0.25">
      <c r="A395">
        <v>8935776</v>
      </c>
      <c r="B395" s="19" t="s">
        <v>79</v>
      </c>
      <c r="C395" s="19" t="s">
        <v>26</v>
      </c>
      <c r="D395" s="19" t="s">
        <v>136</v>
      </c>
      <c r="E395" s="19" t="s">
        <v>561</v>
      </c>
      <c r="F395" s="19" t="s">
        <v>400</v>
      </c>
      <c r="G395" s="19" t="s">
        <v>557</v>
      </c>
      <c r="H395" s="19" t="s">
        <v>2</v>
      </c>
    </row>
    <row r="396" spans="1:8" hidden="1" x14ac:dyDescent="0.25">
      <c r="A396">
        <v>8935766</v>
      </c>
      <c r="B396" s="19" t="s">
        <v>79</v>
      </c>
      <c r="C396" s="19" t="s">
        <v>26</v>
      </c>
      <c r="D396" s="19" t="s">
        <v>137</v>
      </c>
      <c r="E396" s="19" t="s">
        <v>561</v>
      </c>
      <c r="F396" s="19" t="s">
        <v>400</v>
      </c>
      <c r="G396" s="19" t="s">
        <v>557</v>
      </c>
      <c r="H396" s="19" t="s">
        <v>2</v>
      </c>
    </row>
    <row r="397" spans="1:8" hidden="1" x14ac:dyDescent="0.25">
      <c r="A397">
        <v>8933533</v>
      </c>
      <c r="B397" s="19" t="s">
        <v>18</v>
      </c>
      <c r="C397" s="19" t="s">
        <v>26</v>
      </c>
      <c r="D397" s="19" t="s">
        <v>70</v>
      </c>
      <c r="E397" s="19" t="s">
        <v>558</v>
      </c>
      <c r="F397" s="19" t="s">
        <v>400</v>
      </c>
      <c r="G397" s="19" t="s">
        <v>557</v>
      </c>
      <c r="H397" s="19" t="s">
        <v>2</v>
      </c>
    </row>
    <row r="398" spans="1:8" hidden="1" x14ac:dyDescent="0.25">
      <c r="A398">
        <v>8933511</v>
      </c>
      <c r="B398" s="19" t="s">
        <v>12</v>
      </c>
      <c r="C398" s="19" t="s">
        <v>26</v>
      </c>
      <c r="D398" s="19" t="s">
        <v>73</v>
      </c>
      <c r="E398" s="19" t="s">
        <v>558</v>
      </c>
      <c r="F398" s="19" t="s">
        <v>400</v>
      </c>
      <c r="G398" s="19" t="s">
        <v>557</v>
      </c>
      <c r="H398" s="19" t="s">
        <v>2</v>
      </c>
    </row>
    <row r="399" spans="1:8" hidden="1" x14ac:dyDescent="0.25">
      <c r="A399">
        <v>8933503</v>
      </c>
      <c r="B399" s="19" t="s">
        <v>12</v>
      </c>
      <c r="C399" s="19" t="s">
        <v>26</v>
      </c>
      <c r="D399" s="19" t="s">
        <v>71</v>
      </c>
      <c r="E399" s="19" t="s">
        <v>558</v>
      </c>
      <c r="F399" s="19" t="s">
        <v>400</v>
      </c>
      <c r="G399" s="19" t="s">
        <v>557</v>
      </c>
      <c r="H399" s="19" t="s">
        <v>2</v>
      </c>
    </row>
    <row r="400" spans="1:8" hidden="1" x14ac:dyDescent="0.25">
      <c r="A400">
        <v>8933460</v>
      </c>
      <c r="B400" s="19" t="s">
        <v>12</v>
      </c>
      <c r="C400" s="19" t="s">
        <v>26</v>
      </c>
      <c r="D400" s="19" t="s">
        <v>71</v>
      </c>
      <c r="E400" s="19" t="s">
        <v>558</v>
      </c>
      <c r="F400" s="19" t="s">
        <v>400</v>
      </c>
      <c r="G400" s="19" t="s">
        <v>557</v>
      </c>
      <c r="H400" s="19" t="s">
        <v>2</v>
      </c>
    </row>
    <row r="401" spans="1:8" hidden="1" x14ac:dyDescent="0.25">
      <c r="A401">
        <v>8933448</v>
      </c>
      <c r="B401" s="19" t="s">
        <v>12</v>
      </c>
      <c r="C401" s="19" t="s">
        <v>26</v>
      </c>
      <c r="D401" s="19" t="s">
        <v>71</v>
      </c>
      <c r="E401" s="19" t="s">
        <v>558</v>
      </c>
      <c r="F401" s="19" t="s">
        <v>400</v>
      </c>
      <c r="G401" s="19" t="s">
        <v>557</v>
      </c>
      <c r="H401" s="19" t="s">
        <v>2</v>
      </c>
    </row>
    <row r="402" spans="1:8" hidden="1" x14ac:dyDescent="0.25">
      <c r="A402">
        <v>8933429</v>
      </c>
      <c r="B402" s="19" t="s">
        <v>12</v>
      </c>
      <c r="C402" s="19" t="s">
        <v>26</v>
      </c>
      <c r="D402" s="19" t="s">
        <v>72</v>
      </c>
      <c r="E402" s="19" t="s">
        <v>558</v>
      </c>
      <c r="F402" s="19" t="s">
        <v>400</v>
      </c>
      <c r="G402" s="19" t="s">
        <v>557</v>
      </c>
      <c r="H402" s="19" t="s">
        <v>2</v>
      </c>
    </row>
    <row r="403" spans="1:8" hidden="1" x14ac:dyDescent="0.25">
      <c r="A403">
        <v>8933313</v>
      </c>
      <c r="B403" s="19" t="s">
        <v>12</v>
      </c>
      <c r="C403" s="19" t="s">
        <v>26</v>
      </c>
      <c r="D403" s="19" t="s">
        <v>138</v>
      </c>
      <c r="E403" s="19" t="s">
        <v>456</v>
      </c>
      <c r="F403" s="19" t="s">
        <v>400</v>
      </c>
      <c r="G403" s="19" t="s">
        <v>557</v>
      </c>
      <c r="H403" s="19" t="s">
        <v>2</v>
      </c>
    </row>
    <row r="404" spans="1:8" hidden="1" x14ac:dyDescent="0.25">
      <c r="A404">
        <v>8392963</v>
      </c>
      <c r="B404" s="19" t="s">
        <v>12</v>
      </c>
      <c r="C404" s="19" t="s">
        <v>26</v>
      </c>
      <c r="D404" s="19" t="s">
        <v>139</v>
      </c>
      <c r="E404" s="19" t="s">
        <v>558</v>
      </c>
      <c r="F404" s="19" t="s">
        <v>400</v>
      </c>
      <c r="G404" s="19" t="s">
        <v>557</v>
      </c>
      <c r="H404" s="19" t="s">
        <v>2</v>
      </c>
    </row>
    <row r="405" spans="1:8" hidden="1" x14ac:dyDescent="0.25">
      <c r="A405">
        <v>8392939</v>
      </c>
      <c r="B405" s="19" t="s">
        <v>12</v>
      </c>
      <c r="C405" s="19" t="s">
        <v>26</v>
      </c>
      <c r="D405" s="19" t="s">
        <v>139</v>
      </c>
      <c r="E405" s="19" t="s">
        <v>558</v>
      </c>
      <c r="F405" s="19" t="s">
        <v>400</v>
      </c>
      <c r="G405" s="19" t="s">
        <v>557</v>
      </c>
      <c r="H405" s="19" t="s">
        <v>2</v>
      </c>
    </row>
    <row r="406" spans="1:8" hidden="1" x14ac:dyDescent="0.25">
      <c r="A406">
        <v>8392762</v>
      </c>
      <c r="B406" s="19" t="s">
        <v>12</v>
      </c>
      <c r="C406" s="19" t="s">
        <v>26</v>
      </c>
      <c r="D406" s="19" t="s">
        <v>140</v>
      </c>
      <c r="E406" s="19" t="s">
        <v>456</v>
      </c>
      <c r="F406" s="19" t="s">
        <v>400</v>
      </c>
      <c r="G406" s="19" t="s">
        <v>557</v>
      </c>
      <c r="H406" s="19" t="s">
        <v>2</v>
      </c>
    </row>
    <row r="407" spans="1:8" hidden="1" x14ac:dyDescent="0.25">
      <c r="A407">
        <v>8392483</v>
      </c>
      <c r="B407" s="19" t="s">
        <v>24</v>
      </c>
      <c r="C407" s="19" t="s">
        <v>26</v>
      </c>
      <c r="D407" s="19" t="s">
        <v>142</v>
      </c>
      <c r="E407" s="19" t="s">
        <v>437</v>
      </c>
      <c r="F407" s="19" t="s">
        <v>400</v>
      </c>
      <c r="G407" s="19" t="s">
        <v>557</v>
      </c>
      <c r="H407" s="19" t="s">
        <v>2</v>
      </c>
    </row>
    <row r="408" spans="1:8" hidden="1" x14ac:dyDescent="0.25">
      <c r="A408">
        <v>8199979</v>
      </c>
      <c r="B408" s="19" t="s">
        <v>143</v>
      </c>
      <c r="C408" s="19" t="s">
        <v>33</v>
      </c>
      <c r="D408" s="19" t="s">
        <v>144</v>
      </c>
      <c r="E408" s="19" t="s">
        <v>575</v>
      </c>
      <c r="F408" s="19" t="s">
        <v>401</v>
      </c>
      <c r="G408" s="19" t="s">
        <v>557</v>
      </c>
      <c r="H408" s="19" t="s">
        <v>2</v>
      </c>
    </row>
    <row r="409" spans="1:8" hidden="1" x14ac:dyDescent="0.25">
      <c r="A409">
        <v>8092285</v>
      </c>
      <c r="B409" s="19" t="s">
        <v>12</v>
      </c>
      <c r="C409" s="19" t="s">
        <v>26</v>
      </c>
      <c r="D409" s="19" t="s">
        <v>145</v>
      </c>
      <c r="E409" s="19" t="s">
        <v>437</v>
      </c>
      <c r="F409" s="19" t="s">
        <v>400</v>
      </c>
      <c r="G409" s="19" t="s">
        <v>557</v>
      </c>
      <c r="H409" s="19" t="s">
        <v>2</v>
      </c>
    </row>
    <row r="410" spans="1:8" hidden="1" x14ac:dyDescent="0.25">
      <c r="A410">
        <v>6155016</v>
      </c>
      <c r="B410" s="19" t="s">
        <v>79</v>
      </c>
      <c r="C410" s="19" t="s">
        <v>26</v>
      </c>
      <c r="D410" s="19" t="s">
        <v>75</v>
      </c>
      <c r="E410" s="19" t="s">
        <v>561</v>
      </c>
      <c r="F410" s="19" t="s">
        <v>400</v>
      </c>
      <c r="G410" s="19" t="s">
        <v>557</v>
      </c>
      <c r="H410" s="19" t="s">
        <v>2</v>
      </c>
    </row>
    <row r="411" spans="1:8" hidden="1" x14ac:dyDescent="0.25">
      <c r="A411">
        <v>6154783</v>
      </c>
      <c r="B411" s="19" t="s">
        <v>79</v>
      </c>
      <c r="C411" s="19" t="s">
        <v>26</v>
      </c>
      <c r="D411" s="19" t="s">
        <v>146</v>
      </c>
      <c r="E411" s="19" t="s">
        <v>437</v>
      </c>
      <c r="F411" s="19" t="s">
        <v>400</v>
      </c>
      <c r="G411" s="19" t="s">
        <v>557</v>
      </c>
      <c r="H411" s="19" t="s">
        <v>2</v>
      </c>
    </row>
    <row r="412" spans="1:8" hidden="1" x14ac:dyDescent="0.25">
      <c r="A412">
        <v>1381782</v>
      </c>
      <c r="B412" s="19" t="s">
        <v>79</v>
      </c>
      <c r="C412" s="19" t="s">
        <v>26</v>
      </c>
      <c r="D412" s="19" t="s">
        <v>148</v>
      </c>
      <c r="E412" s="19" t="s">
        <v>561</v>
      </c>
      <c r="F412" s="19" t="s">
        <v>400</v>
      </c>
      <c r="G412" s="19" t="s">
        <v>557</v>
      </c>
      <c r="H412" s="19" t="s">
        <v>2</v>
      </c>
    </row>
    <row r="413" spans="1:8" hidden="1" x14ac:dyDescent="0.25">
      <c r="A413">
        <v>1381763</v>
      </c>
      <c r="B413" s="19" t="s">
        <v>24</v>
      </c>
      <c r="C413" s="19" t="s">
        <v>26</v>
      </c>
      <c r="D413" s="19" t="s">
        <v>149</v>
      </c>
      <c r="E413" s="19" t="s">
        <v>561</v>
      </c>
      <c r="F413" s="19" t="s">
        <v>400</v>
      </c>
      <c r="G413" s="19" t="s">
        <v>557</v>
      </c>
      <c r="H413" s="19" t="s">
        <v>2</v>
      </c>
    </row>
    <row r="414" spans="1:8" hidden="1" x14ac:dyDescent="0.25">
      <c r="A414">
        <v>1381760</v>
      </c>
      <c r="B414" s="19" t="s">
        <v>24</v>
      </c>
      <c r="C414" s="19" t="s">
        <v>26</v>
      </c>
      <c r="D414" s="19" t="s">
        <v>149</v>
      </c>
      <c r="E414" s="19" t="s">
        <v>561</v>
      </c>
      <c r="F414" s="19" t="s">
        <v>400</v>
      </c>
      <c r="G414" s="19" t="s">
        <v>557</v>
      </c>
      <c r="H414" s="19" t="s">
        <v>2</v>
      </c>
    </row>
    <row r="415" spans="1:8" hidden="1" x14ac:dyDescent="0.25">
      <c r="A415">
        <v>26234460</v>
      </c>
      <c r="B415" s="19" t="s">
        <v>79</v>
      </c>
      <c r="C415" s="19" t="s">
        <v>15</v>
      </c>
      <c r="D415" s="19" t="s">
        <v>577</v>
      </c>
      <c r="E415" s="19" t="s">
        <v>437</v>
      </c>
      <c r="F415" s="19" t="s">
        <v>400</v>
      </c>
      <c r="G415" s="19" t="s">
        <v>557</v>
      </c>
      <c r="H415" s="19" t="s">
        <v>3</v>
      </c>
    </row>
    <row r="416" spans="1:8" hidden="1" x14ac:dyDescent="0.25">
      <c r="A416">
        <v>26234263</v>
      </c>
      <c r="B416" s="19" t="s">
        <v>18</v>
      </c>
      <c r="C416" s="19" t="s">
        <v>15</v>
      </c>
      <c r="D416" s="19" t="s">
        <v>577</v>
      </c>
      <c r="E416" s="19" t="s">
        <v>437</v>
      </c>
      <c r="F416" s="19" t="s">
        <v>400</v>
      </c>
      <c r="G416" s="19" t="s">
        <v>557</v>
      </c>
      <c r="H416" s="19" t="s">
        <v>3</v>
      </c>
    </row>
    <row r="417" spans="1:8" hidden="1" x14ac:dyDescent="0.25">
      <c r="A417">
        <v>26234237</v>
      </c>
      <c r="B417" s="19" t="s">
        <v>18</v>
      </c>
      <c r="C417" s="19" t="s">
        <v>15</v>
      </c>
      <c r="D417" s="19" t="s">
        <v>577</v>
      </c>
      <c r="E417" s="19" t="s">
        <v>437</v>
      </c>
      <c r="F417" s="19" t="s">
        <v>400</v>
      </c>
      <c r="G417" s="19" t="s">
        <v>557</v>
      </c>
      <c r="H417" s="19" t="s">
        <v>3</v>
      </c>
    </row>
    <row r="418" spans="1:8" hidden="1" x14ac:dyDescent="0.25">
      <c r="A418">
        <v>26234234</v>
      </c>
      <c r="B418" s="19" t="s">
        <v>12</v>
      </c>
      <c r="C418" s="19" t="s">
        <v>13</v>
      </c>
      <c r="D418" s="19" t="s">
        <v>577</v>
      </c>
      <c r="E418" s="19" t="s">
        <v>437</v>
      </c>
      <c r="F418" s="19" t="s">
        <v>401</v>
      </c>
      <c r="G418" s="19" t="s">
        <v>557</v>
      </c>
      <c r="H418" s="19" t="s">
        <v>3</v>
      </c>
    </row>
    <row r="419" spans="1:8" hidden="1" x14ac:dyDescent="0.25">
      <c r="A419">
        <v>26234232</v>
      </c>
      <c r="B419" s="19" t="s">
        <v>18</v>
      </c>
      <c r="C419" s="19" t="s">
        <v>15</v>
      </c>
      <c r="D419" s="19" t="s">
        <v>577</v>
      </c>
      <c r="E419" s="19" t="s">
        <v>437</v>
      </c>
      <c r="F419" s="19" t="s">
        <v>400</v>
      </c>
      <c r="G419" s="19" t="s">
        <v>557</v>
      </c>
      <c r="H419" s="19" t="s">
        <v>3</v>
      </c>
    </row>
    <row r="420" spans="1:8" hidden="1" x14ac:dyDescent="0.25">
      <c r="A420">
        <v>26234221</v>
      </c>
      <c r="B420" s="19" t="s">
        <v>12</v>
      </c>
      <c r="C420" s="19" t="s">
        <v>13</v>
      </c>
      <c r="D420" s="19" t="s">
        <v>577</v>
      </c>
      <c r="E420" s="19" t="s">
        <v>437</v>
      </c>
      <c r="F420" s="19" t="s">
        <v>401</v>
      </c>
      <c r="G420" s="19" t="s">
        <v>557</v>
      </c>
      <c r="H420" s="19" t="s">
        <v>3</v>
      </c>
    </row>
    <row r="421" spans="1:8" hidden="1" x14ac:dyDescent="0.25">
      <c r="A421">
        <v>26234219</v>
      </c>
      <c r="B421" s="19" t="s">
        <v>12</v>
      </c>
      <c r="C421" s="19" t="s">
        <v>15</v>
      </c>
      <c r="D421" s="19" t="s">
        <v>577</v>
      </c>
      <c r="E421" s="19" t="s">
        <v>437</v>
      </c>
      <c r="F421" s="19" t="s">
        <v>400</v>
      </c>
      <c r="G421" s="19" t="s">
        <v>557</v>
      </c>
      <c r="H421" s="19" t="s">
        <v>3</v>
      </c>
    </row>
    <row r="422" spans="1:8" hidden="1" x14ac:dyDescent="0.25">
      <c r="A422">
        <v>26234218</v>
      </c>
      <c r="B422" s="19" t="s">
        <v>12</v>
      </c>
      <c r="C422" s="19" t="s">
        <v>15</v>
      </c>
      <c r="D422" s="19" t="s">
        <v>577</v>
      </c>
      <c r="E422" s="19" t="s">
        <v>437</v>
      </c>
      <c r="F422" s="19" t="s">
        <v>400</v>
      </c>
      <c r="G422" s="19" t="s">
        <v>557</v>
      </c>
      <c r="H422" s="19" t="s">
        <v>3</v>
      </c>
    </row>
    <row r="423" spans="1:8" hidden="1" x14ac:dyDescent="0.25">
      <c r="A423">
        <v>26234217</v>
      </c>
      <c r="B423" s="19" t="s">
        <v>79</v>
      </c>
      <c r="C423" s="19" t="s">
        <v>15</v>
      </c>
      <c r="D423" s="19" t="s">
        <v>577</v>
      </c>
      <c r="E423" s="19" t="s">
        <v>437</v>
      </c>
      <c r="F423" s="19" t="s">
        <v>400</v>
      </c>
      <c r="G423" s="19" t="s">
        <v>557</v>
      </c>
      <c r="H423" s="19" t="s">
        <v>3</v>
      </c>
    </row>
    <row r="424" spans="1:8" hidden="1" x14ac:dyDescent="0.25">
      <c r="A424">
        <v>26234047</v>
      </c>
      <c r="B424" s="19" t="s">
        <v>12</v>
      </c>
      <c r="C424" s="19" t="s">
        <v>15</v>
      </c>
      <c r="D424" s="19" t="s">
        <v>577</v>
      </c>
      <c r="E424" s="19" t="s">
        <v>437</v>
      </c>
      <c r="F424" s="19" t="s">
        <v>400</v>
      </c>
      <c r="G424" s="19" t="s">
        <v>557</v>
      </c>
      <c r="H424" s="19" t="s">
        <v>3</v>
      </c>
    </row>
    <row r="425" spans="1:8" hidden="1" x14ac:dyDescent="0.25">
      <c r="A425">
        <v>24567609</v>
      </c>
      <c r="B425" s="19" t="s">
        <v>18</v>
      </c>
      <c r="C425" s="19" t="s">
        <v>86</v>
      </c>
      <c r="D425" s="19" t="s">
        <v>380</v>
      </c>
      <c r="E425" s="19" t="s">
        <v>437</v>
      </c>
      <c r="F425" s="19" t="s">
        <v>400</v>
      </c>
      <c r="G425" s="19" t="s">
        <v>557</v>
      </c>
      <c r="H425" s="19" t="s">
        <v>3</v>
      </c>
    </row>
    <row r="426" spans="1:8" hidden="1" x14ac:dyDescent="0.25">
      <c r="A426">
        <v>24567601</v>
      </c>
      <c r="B426" s="19" t="s">
        <v>12</v>
      </c>
      <c r="C426" s="19" t="s">
        <v>86</v>
      </c>
      <c r="D426" s="19" t="s">
        <v>392</v>
      </c>
      <c r="E426" s="19" t="s">
        <v>437</v>
      </c>
      <c r="F426" s="19" t="s">
        <v>400</v>
      </c>
      <c r="G426" s="19" t="s">
        <v>557</v>
      </c>
      <c r="H426" s="19" t="s">
        <v>3</v>
      </c>
    </row>
    <row r="427" spans="1:8" hidden="1" x14ac:dyDescent="0.25">
      <c r="A427">
        <v>24567600</v>
      </c>
      <c r="B427" s="19" t="s">
        <v>12</v>
      </c>
      <c r="C427" s="19" t="s">
        <v>86</v>
      </c>
      <c r="D427" s="19" t="s">
        <v>388</v>
      </c>
      <c r="E427" s="19" t="s">
        <v>437</v>
      </c>
      <c r="F427" s="19" t="s">
        <v>400</v>
      </c>
      <c r="G427" s="19" t="s">
        <v>557</v>
      </c>
      <c r="H427" s="19" t="s">
        <v>3</v>
      </c>
    </row>
    <row r="428" spans="1:8" hidden="1" x14ac:dyDescent="0.25">
      <c r="A428">
        <v>24567597</v>
      </c>
      <c r="B428" s="19" t="s">
        <v>79</v>
      </c>
      <c r="C428" s="19" t="s">
        <v>13</v>
      </c>
      <c r="D428" s="19" t="s">
        <v>496</v>
      </c>
      <c r="E428" s="19" t="s">
        <v>437</v>
      </c>
      <c r="F428" s="19" t="s">
        <v>401</v>
      </c>
      <c r="G428" s="19" t="s">
        <v>557</v>
      </c>
      <c r="H428" s="19" t="s">
        <v>3</v>
      </c>
    </row>
    <row r="429" spans="1:8" hidden="1" x14ac:dyDescent="0.25">
      <c r="A429">
        <v>24567581</v>
      </c>
      <c r="B429" s="19" t="s">
        <v>12</v>
      </c>
      <c r="C429" s="19" t="s">
        <v>86</v>
      </c>
      <c r="D429" s="19" t="s">
        <v>380</v>
      </c>
      <c r="E429" s="19" t="s">
        <v>443</v>
      </c>
      <c r="F429" s="19" t="s">
        <v>400</v>
      </c>
      <c r="G429" s="19" t="s">
        <v>557</v>
      </c>
      <c r="H429" s="19" t="s">
        <v>3</v>
      </c>
    </row>
    <row r="430" spans="1:8" hidden="1" x14ac:dyDescent="0.25">
      <c r="A430">
        <v>24567577</v>
      </c>
      <c r="B430" s="19" t="s">
        <v>12</v>
      </c>
      <c r="C430" s="19" t="s">
        <v>86</v>
      </c>
      <c r="D430" s="19" t="s">
        <v>380</v>
      </c>
      <c r="E430" s="19" t="s">
        <v>443</v>
      </c>
      <c r="F430" s="19" t="s">
        <v>400</v>
      </c>
      <c r="G430" s="19" t="s">
        <v>557</v>
      </c>
      <c r="H430" s="19" t="s">
        <v>3</v>
      </c>
    </row>
    <row r="431" spans="1:8" hidden="1" x14ac:dyDescent="0.25">
      <c r="A431">
        <v>24567576</v>
      </c>
      <c r="B431" s="19" t="s">
        <v>12</v>
      </c>
      <c r="C431" s="19" t="s">
        <v>86</v>
      </c>
      <c r="D431" s="19" t="s">
        <v>380</v>
      </c>
      <c r="E431" s="19" t="s">
        <v>443</v>
      </c>
      <c r="F431" s="19" t="s">
        <v>400</v>
      </c>
      <c r="G431" s="19" t="s">
        <v>557</v>
      </c>
      <c r="H431" s="19" t="s">
        <v>3</v>
      </c>
    </row>
    <row r="432" spans="1:8" hidden="1" x14ac:dyDescent="0.25">
      <c r="A432">
        <v>24567575</v>
      </c>
      <c r="B432" s="19" t="s">
        <v>12</v>
      </c>
      <c r="C432" s="19" t="s">
        <v>86</v>
      </c>
      <c r="D432" s="19" t="s">
        <v>380</v>
      </c>
      <c r="E432" s="19" t="s">
        <v>443</v>
      </c>
      <c r="F432" s="19" t="s">
        <v>400</v>
      </c>
      <c r="G432" s="19" t="s">
        <v>557</v>
      </c>
      <c r="H432" s="19" t="s">
        <v>3</v>
      </c>
    </row>
    <row r="433" spans="1:8" hidden="1" x14ac:dyDescent="0.25">
      <c r="A433">
        <v>24567573</v>
      </c>
      <c r="B433" s="19" t="s">
        <v>12</v>
      </c>
      <c r="C433" s="19" t="s">
        <v>89</v>
      </c>
      <c r="D433" s="19" t="s">
        <v>380</v>
      </c>
      <c r="E433" s="19" t="s">
        <v>443</v>
      </c>
      <c r="F433" s="19" t="s">
        <v>401</v>
      </c>
      <c r="G433" s="19" t="s">
        <v>557</v>
      </c>
      <c r="H433" s="19" t="s">
        <v>3</v>
      </c>
    </row>
    <row r="434" spans="1:8" hidden="1" x14ac:dyDescent="0.25">
      <c r="A434">
        <v>24567571</v>
      </c>
      <c r="B434" s="19" t="s">
        <v>12</v>
      </c>
      <c r="C434" s="19" t="s">
        <v>86</v>
      </c>
      <c r="D434" s="19" t="s">
        <v>380</v>
      </c>
      <c r="E434" s="19" t="s">
        <v>443</v>
      </c>
      <c r="F434" s="19" t="s">
        <v>400</v>
      </c>
      <c r="G434" s="19" t="s">
        <v>557</v>
      </c>
      <c r="H434" s="19" t="s">
        <v>3</v>
      </c>
    </row>
    <row r="435" spans="1:8" hidden="1" x14ac:dyDescent="0.25">
      <c r="A435">
        <v>24567569</v>
      </c>
      <c r="B435" s="19" t="s">
        <v>12</v>
      </c>
      <c r="C435" s="19" t="s">
        <v>86</v>
      </c>
      <c r="D435" s="19" t="s">
        <v>380</v>
      </c>
      <c r="E435" s="19" t="s">
        <v>443</v>
      </c>
      <c r="F435" s="19" t="s">
        <v>400</v>
      </c>
      <c r="G435" s="19" t="s">
        <v>557</v>
      </c>
      <c r="H435" s="19" t="s">
        <v>3</v>
      </c>
    </row>
    <row r="436" spans="1:8" hidden="1" x14ac:dyDescent="0.25">
      <c r="A436">
        <v>24567566</v>
      </c>
      <c r="B436" s="19" t="s">
        <v>12</v>
      </c>
      <c r="C436" s="19" t="s">
        <v>89</v>
      </c>
      <c r="D436" s="19" t="s">
        <v>380</v>
      </c>
      <c r="E436" s="19" t="s">
        <v>443</v>
      </c>
      <c r="F436" s="19" t="s">
        <v>401</v>
      </c>
      <c r="G436" s="19" t="s">
        <v>557</v>
      </c>
      <c r="H436" s="19" t="s">
        <v>3</v>
      </c>
    </row>
    <row r="437" spans="1:8" hidden="1" x14ac:dyDescent="0.25">
      <c r="A437">
        <v>24567565</v>
      </c>
      <c r="B437" s="19" t="s">
        <v>12</v>
      </c>
      <c r="C437" s="19" t="s">
        <v>86</v>
      </c>
      <c r="D437" s="19" t="s">
        <v>380</v>
      </c>
      <c r="E437" s="19" t="s">
        <v>443</v>
      </c>
      <c r="F437" s="19" t="s">
        <v>400</v>
      </c>
      <c r="G437" s="19" t="s">
        <v>557</v>
      </c>
      <c r="H437" s="19" t="s">
        <v>3</v>
      </c>
    </row>
    <row r="438" spans="1:8" hidden="1" x14ac:dyDescent="0.25">
      <c r="A438">
        <v>24567563</v>
      </c>
      <c r="B438" s="19" t="s">
        <v>12</v>
      </c>
      <c r="C438" s="19" t="s">
        <v>86</v>
      </c>
      <c r="D438" s="19" t="s">
        <v>380</v>
      </c>
      <c r="E438" s="19" t="s">
        <v>443</v>
      </c>
      <c r="F438" s="19" t="s">
        <v>400</v>
      </c>
      <c r="G438" s="19" t="s">
        <v>557</v>
      </c>
      <c r="H438" s="19" t="s">
        <v>3</v>
      </c>
    </row>
    <row r="439" spans="1:8" hidden="1" x14ac:dyDescent="0.25">
      <c r="A439">
        <v>24567562</v>
      </c>
      <c r="B439" s="19" t="s">
        <v>12</v>
      </c>
      <c r="C439" s="19" t="s">
        <v>86</v>
      </c>
      <c r="D439" s="19" t="s">
        <v>380</v>
      </c>
      <c r="E439" s="19" t="s">
        <v>443</v>
      </c>
      <c r="F439" s="19" t="s">
        <v>400</v>
      </c>
      <c r="G439" s="19" t="s">
        <v>557</v>
      </c>
      <c r="H439" s="19" t="s">
        <v>3</v>
      </c>
    </row>
    <row r="440" spans="1:8" hidden="1" x14ac:dyDescent="0.25">
      <c r="A440">
        <v>24567557</v>
      </c>
      <c r="B440" s="19" t="s">
        <v>12</v>
      </c>
      <c r="C440" s="19" t="s">
        <v>86</v>
      </c>
      <c r="D440" s="19" t="s">
        <v>380</v>
      </c>
      <c r="E440" s="19" t="s">
        <v>443</v>
      </c>
      <c r="F440" s="19" t="s">
        <v>400</v>
      </c>
      <c r="G440" s="19" t="s">
        <v>557</v>
      </c>
      <c r="H440" s="19" t="s">
        <v>3</v>
      </c>
    </row>
    <row r="441" spans="1:8" hidden="1" x14ac:dyDescent="0.25">
      <c r="A441">
        <v>24567556</v>
      </c>
      <c r="B441" s="19" t="s">
        <v>12</v>
      </c>
      <c r="C441" s="19" t="s">
        <v>86</v>
      </c>
      <c r="D441" s="19" t="s">
        <v>380</v>
      </c>
      <c r="E441" s="19" t="s">
        <v>443</v>
      </c>
      <c r="F441" s="19" t="s">
        <v>400</v>
      </c>
      <c r="G441" s="19" t="s">
        <v>557</v>
      </c>
      <c r="H441" s="19" t="s">
        <v>3</v>
      </c>
    </row>
    <row r="442" spans="1:8" hidden="1" x14ac:dyDescent="0.25">
      <c r="A442">
        <v>24567555</v>
      </c>
      <c r="B442" s="19" t="s">
        <v>12</v>
      </c>
      <c r="C442" s="19" t="s">
        <v>86</v>
      </c>
      <c r="D442" s="19" t="s">
        <v>380</v>
      </c>
      <c r="E442" s="19" t="s">
        <v>443</v>
      </c>
      <c r="F442" s="19" t="s">
        <v>400</v>
      </c>
      <c r="G442" s="19" t="s">
        <v>557</v>
      </c>
      <c r="H442" s="19" t="s">
        <v>3</v>
      </c>
    </row>
    <row r="443" spans="1:8" hidden="1" x14ac:dyDescent="0.25">
      <c r="A443">
        <v>24567551</v>
      </c>
      <c r="B443" s="19" t="s">
        <v>12</v>
      </c>
      <c r="C443" s="19" t="s">
        <v>86</v>
      </c>
      <c r="D443" s="19" t="s">
        <v>380</v>
      </c>
      <c r="E443" s="19" t="s">
        <v>443</v>
      </c>
      <c r="F443" s="19" t="s">
        <v>400</v>
      </c>
      <c r="G443" s="19" t="s">
        <v>557</v>
      </c>
      <c r="H443" s="19" t="s">
        <v>3</v>
      </c>
    </row>
    <row r="444" spans="1:8" hidden="1" x14ac:dyDescent="0.25">
      <c r="A444">
        <v>24567545</v>
      </c>
      <c r="B444" s="19" t="s">
        <v>12</v>
      </c>
      <c r="C444" s="19" t="s">
        <v>86</v>
      </c>
      <c r="D444" s="19" t="s">
        <v>380</v>
      </c>
      <c r="E444" s="19" t="s">
        <v>443</v>
      </c>
      <c r="F444" s="19" t="s">
        <v>400</v>
      </c>
      <c r="G444" s="19" t="s">
        <v>557</v>
      </c>
      <c r="H444" s="19" t="s">
        <v>3</v>
      </c>
    </row>
    <row r="445" spans="1:8" hidden="1" x14ac:dyDescent="0.25">
      <c r="A445">
        <v>24567543</v>
      </c>
      <c r="B445" s="19" t="s">
        <v>12</v>
      </c>
      <c r="C445" s="19" t="s">
        <v>86</v>
      </c>
      <c r="D445" s="19" t="s">
        <v>380</v>
      </c>
      <c r="E445" s="19" t="s">
        <v>443</v>
      </c>
      <c r="F445" s="19" t="s">
        <v>400</v>
      </c>
      <c r="G445" s="19" t="s">
        <v>557</v>
      </c>
      <c r="H445" s="19" t="s">
        <v>3</v>
      </c>
    </row>
    <row r="446" spans="1:8" hidden="1" x14ac:dyDescent="0.25">
      <c r="A446">
        <v>24567541</v>
      </c>
      <c r="B446" s="19" t="s">
        <v>12</v>
      </c>
      <c r="C446" s="19" t="s">
        <v>86</v>
      </c>
      <c r="D446" s="19" t="s">
        <v>380</v>
      </c>
      <c r="E446" s="19" t="s">
        <v>443</v>
      </c>
      <c r="F446" s="19" t="s">
        <v>400</v>
      </c>
      <c r="G446" s="19" t="s">
        <v>557</v>
      </c>
      <c r="H446" s="19" t="s">
        <v>3</v>
      </c>
    </row>
    <row r="447" spans="1:8" hidden="1" x14ac:dyDescent="0.25">
      <c r="A447">
        <v>24567536</v>
      </c>
      <c r="B447" s="19" t="s">
        <v>12</v>
      </c>
      <c r="C447" s="19" t="s">
        <v>86</v>
      </c>
      <c r="D447" s="19" t="s">
        <v>380</v>
      </c>
      <c r="E447" s="19" t="s">
        <v>443</v>
      </c>
      <c r="F447" s="19" t="s">
        <v>400</v>
      </c>
      <c r="G447" s="19" t="s">
        <v>557</v>
      </c>
      <c r="H447" s="19" t="s">
        <v>3</v>
      </c>
    </row>
    <row r="448" spans="1:8" hidden="1" x14ac:dyDescent="0.25">
      <c r="A448">
        <v>24567533</v>
      </c>
      <c r="B448" s="19" t="s">
        <v>12</v>
      </c>
      <c r="C448" s="19" t="s">
        <v>86</v>
      </c>
      <c r="D448" s="19" t="s">
        <v>380</v>
      </c>
      <c r="E448" s="19" t="s">
        <v>443</v>
      </c>
      <c r="F448" s="19" t="s">
        <v>400</v>
      </c>
      <c r="G448" s="19" t="s">
        <v>557</v>
      </c>
      <c r="H448" s="19" t="s">
        <v>3</v>
      </c>
    </row>
    <row r="449" spans="1:8" hidden="1" x14ac:dyDescent="0.25">
      <c r="A449">
        <v>24567532</v>
      </c>
      <c r="B449" s="19" t="s">
        <v>12</v>
      </c>
      <c r="C449" s="19" t="s">
        <v>86</v>
      </c>
      <c r="D449" s="19" t="s">
        <v>380</v>
      </c>
      <c r="E449" s="19" t="s">
        <v>443</v>
      </c>
      <c r="F449" s="19" t="s">
        <v>400</v>
      </c>
      <c r="G449" s="19" t="s">
        <v>557</v>
      </c>
      <c r="H449" s="19" t="s">
        <v>3</v>
      </c>
    </row>
    <row r="450" spans="1:8" hidden="1" x14ac:dyDescent="0.25">
      <c r="A450">
        <v>24567531</v>
      </c>
      <c r="B450" s="19" t="s">
        <v>18</v>
      </c>
      <c r="C450" s="19" t="s">
        <v>86</v>
      </c>
      <c r="D450" s="19" t="s">
        <v>380</v>
      </c>
      <c r="E450" s="19" t="s">
        <v>443</v>
      </c>
      <c r="F450" s="19" t="s">
        <v>400</v>
      </c>
      <c r="G450" s="19" t="s">
        <v>557</v>
      </c>
      <c r="H450" s="19" t="s">
        <v>3</v>
      </c>
    </row>
    <row r="451" spans="1:8" hidden="1" x14ac:dyDescent="0.25">
      <c r="A451">
        <v>24567529</v>
      </c>
      <c r="B451" s="19" t="s">
        <v>18</v>
      </c>
      <c r="C451" s="19" t="s">
        <v>86</v>
      </c>
      <c r="D451" s="19" t="s">
        <v>380</v>
      </c>
      <c r="E451" s="19" t="s">
        <v>443</v>
      </c>
      <c r="F451" s="19" t="s">
        <v>400</v>
      </c>
      <c r="G451" s="19" t="s">
        <v>557</v>
      </c>
      <c r="H451" s="19" t="s">
        <v>3</v>
      </c>
    </row>
    <row r="452" spans="1:8" hidden="1" x14ac:dyDescent="0.25">
      <c r="A452">
        <v>24567528</v>
      </c>
      <c r="B452" s="19" t="s">
        <v>12</v>
      </c>
      <c r="C452" s="19" t="s">
        <v>86</v>
      </c>
      <c r="D452" s="19" t="s">
        <v>380</v>
      </c>
      <c r="E452" s="19" t="s">
        <v>443</v>
      </c>
      <c r="F452" s="19" t="s">
        <v>400</v>
      </c>
      <c r="G452" s="19" t="s">
        <v>557</v>
      </c>
      <c r="H452" s="19" t="s">
        <v>3</v>
      </c>
    </row>
    <row r="453" spans="1:8" hidden="1" x14ac:dyDescent="0.25">
      <c r="A453">
        <v>24567526</v>
      </c>
      <c r="B453" s="19" t="s">
        <v>12</v>
      </c>
      <c r="C453" s="19" t="s">
        <v>86</v>
      </c>
      <c r="D453" s="19" t="s">
        <v>380</v>
      </c>
      <c r="E453" s="19" t="s">
        <v>443</v>
      </c>
      <c r="F453" s="19" t="s">
        <v>400</v>
      </c>
      <c r="G453" s="19" t="s">
        <v>557</v>
      </c>
      <c r="H453" s="19" t="s">
        <v>3</v>
      </c>
    </row>
    <row r="454" spans="1:8" hidden="1" x14ac:dyDescent="0.25">
      <c r="A454">
        <v>24567525</v>
      </c>
      <c r="B454" s="19" t="s">
        <v>12</v>
      </c>
      <c r="C454" s="19" t="s">
        <v>86</v>
      </c>
      <c r="D454" s="19" t="s">
        <v>380</v>
      </c>
      <c r="E454" s="19" t="s">
        <v>443</v>
      </c>
      <c r="F454" s="19" t="s">
        <v>400</v>
      </c>
      <c r="G454" s="19" t="s">
        <v>557</v>
      </c>
      <c r="H454" s="19" t="s">
        <v>3</v>
      </c>
    </row>
    <row r="455" spans="1:8" hidden="1" x14ac:dyDescent="0.25">
      <c r="A455">
        <v>24567524</v>
      </c>
      <c r="B455" s="19" t="s">
        <v>12</v>
      </c>
      <c r="C455" s="19" t="s">
        <v>86</v>
      </c>
      <c r="D455" s="19" t="s">
        <v>380</v>
      </c>
      <c r="E455" s="19" t="s">
        <v>443</v>
      </c>
      <c r="F455" s="19" t="s">
        <v>400</v>
      </c>
      <c r="G455" s="19" t="s">
        <v>557</v>
      </c>
      <c r="H455" s="19" t="s">
        <v>3</v>
      </c>
    </row>
    <row r="456" spans="1:8" hidden="1" x14ac:dyDescent="0.25">
      <c r="A456">
        <v>24567523</v>
      </c>
      <c r="B456" s="19" t="s">
        <v>18</v>
      </c>
      <c r="C456" s="19" t="s">
        <v>86</v>
      </c>
      <c r="D456" s="19" t="s">
        <v>380</v>
      </c>
      <c r="E456" s="19" t="s">
        <v>443</v>
      </c>
      <c r="F456" s="19" t="s">
        <v>400</v>
      </c>
      <c r="G456" s="19" t="s">
        <v>557</v>
      </c>
      <c r="H456" s="19" t="s">
        <v>3</v>
      </c>
    </row>
    <row r="457" spans="1:8" hidden="1" x14ac:dyDescent="0.25">
      <c r="A457">
        <v>24567521</v>
      </c>
      <c r="B457" s="19" t="s">
        <v>12</v>
      </c>
      <c r="C457" s="19" t="s">
        <v>86</v>
      </c>
      <c r="D457" s="19" t="s">
        <v>380</v>
      </c>
      <c r="E457" s="19" t="s">
        <v>443</v>
      </c>
      <c r="F457" s="19" t="s">
        <v>400</v>
      </c>
      <c r="G457" s="19" t="s">
        <v>557</v>
      </c>
      <c r="H457" s="19" t="s">
        <v>3</v>
      </c>
    </row>
    <row r="458" spans="1:8" hidden="1" x14ac:dyDescent="0.25">
      <c r="A458">
        <v>24567518</v>
      </c>
      <c r="B458" s="19" t="s">
        <v>12</v>
      </c>
      <c r="C458" s="19" t="s">
        <v>86</v>
      </c>
      <c r="D458" s="19" t="s">
        <v>380</v>
      </c>
      <c r="E458" s="19" t="s">
        <v>443</v>
      </c>
      <c r="F458" s="19" t="s">
        <v>400</v>
      </c>
      <c r="G458" s="19" t="s">
        <v>557</v>
      </c>
      <c r="H458" s="19" t="s">
        <v>3</v>
      </c>
    </row>
    <row r="459" spans="1:8" hidden="1" x14ac:dyDescent="0.25">
      <c r="A459">
        <v>24567516</v>
      </c>
      <c r="B459" s="19" t="s">
        <v>12</v>
      </c>
      <c r="C459" s="19" t="s">
        <v>86</v>
      </c>
      <c r="D459" s="19" t="s">
        <v>380</v>
      </c>
      <c r="E459" s="19" t="s">
        <v>443</v>
      </c>
      <c r="F459" s="19" t="s">
        <v>400</v>
      </c>
      <c r="G459" s="19" t="s">
        <v>557</v>
      </c>
      <c r="H459" s="19" t="s">
        <v>3</v>
      </c>
    </row>
    <row r="460" spans="1:8" hidden="1" x14ac:dyDescent="0.25">
      <c r="A460">
        <v>24567514</v>
      </c>
      <c r="B460" s="19" t="s">
        <v>12</v>
      </c>
      <c r="C460" s="19" t="s">
        <v>86</v>
      </c>
      <c r="D460" s="19" t="s">
        <v>380</v>
      </c>
      <c r="E460" s="19" t="s">
        <v>443</v>
      </c>
      <c r="F460" s="19" t="s">
        <v>400</v>
      </c>
      <c r="G460" s="19" t="s">
        <v>557</v>
      </c>
      <c r="H460" s="19" t="s">
        <v>3</v>
      </c>
    </row>
    <row r="461" spans="1:8" hidden="1" x14ac:dyDescent="0.25">
      <c r="A461">
        <v>24567511</v>
      </c>
      <c r="B461" s="19" t="s">
        <v>12</v>
      </c>
      <c r="C461" s="19" t="s">
        <v>86</v>
      </c>
      <c r="D461" s="19" t="s">
        <v>380</v>
      </c>
      <c r="E461" s="19" t="s">
        <v>443</v>
      </c>
      <c r="F461" s="19" t="s">
        <v>400</v>
      </c>
      <c r="G461" s="19" t="s">
        <v>557</v>
      </c>
      <c r="H461" s="19" t="s">
        <v>3</v>
      </c>
    </row>
    <row r="462" spans="1:8" hidden="1" x14ac:dyDescent="0.25">
      <c r="A462">
        <v>24567510</v>
      </c>
      <c r="B462" s="19" t="s">
        <v>12</v>
      </c>
      <c r="C462" s="19" t="s">
        <v>86</v>
      </c>
      <c r="D462" s="19" t="s">
        <v>380</v>
      </c>
      <c r="E462" s="19" t="s">
        <v>443</v>
      </c>
      <c r="F462" s="19" t="s">
        <v>400</v>
      </c>
      <c r="G462" s="19" t="s">
        <v>557</v>
      </c>
      <c r="H462" s="19" t="s">
        <v>3</v>
      </c>
    </row>
    <row r="463" spans="1:8" hidden="1" x14ac:dyDescent="0.25">
      <c r="A463">
        <v>24567509</v>
      </c>
      <c r="B463" s="19" t="s">
        <v>12</v>
      </c>
      <c r="C463" s="19" t="s">
        <v>86</v>
      </c>
      <c r="D463" s="19" t="s">
        <v>380</v>
      </c>
      <c r="E463" s="19" t="s">
        <v>443</v>
      </c>
      <c r="F463" s="19" t="s">
        <v>400</v>
      </c>
      <c r="G463" s="19" t="s">
        <v>557</v>
      </c>
      <c r="H463" s="19" t="s">
        <v>3</v>
      </c>
    </row>
    <row r="464" spans="1:8" hidden="1" x14ac:dyDescent="0.25">
      <c r="A464">
        <v>24567507</v>
      </c>
      <c r="B464" s="19" t="s">
        <v>12</v>
      </c>
      <c r="C464" s="19" t="s">
        <v>86</v>
      </c>
      <c r="D464" s="19" t="s">
        <v>380</v>
      </c>
      <c r="E464" s="19" t="s">
        <v>443</v>
      </c>
      <c r="F464" s="19" t="s">
        <v>400</v>
      </c>
      <c r="G464" s="19" t="s">
        <v>557</v>
      </c>
      <c r="H464" s="19" t="s">
        <v>3</v>
      </c>
    </row>
    <row r="465" spans="1:8" hidden="1" x14ac:dyDescent="0.25">
      <c r="A465">
        <v>24567504</v>
      </c>
      <c r="B465" s="19" t="s">
        <v>12</v>
      </c>
      <c r="C465" s="19" t="s">
        <v>86</v>
      </c>
      <c r="D465" s="19" t="s">
        <v>380</v>
      </c>
      <c r="E465" s="19" t="s">
        <v>443</v>
      </c>
      <c r="F465" s="19" t="s">
        <v>400</v>
      </c>
      <c r="G465" s="19" t="s">
        <v>557</v>
      </c>
      <c r="H465" s="19" t="s">
        <v>3</v>
      </c>
    </row>
    <row r="466" spans="1:8" hidden="1" x14ac:dyDescent="0.25">
      <c r="A466">
        <v>24567502</v>
      </c>
      <c r="B466" s="19" t="s">
        <v>12</v>
      </c>
      <c r="C466" s="19" t="s">
        <v>86</v>
      </c>
      <c r="D466" s="19" t="s">
        <v>380</v>
      </c>
      <c r="E466" s="19" t="s">
        <v>443</v>
      </c>
      <c r="F466" s="19" t="s">
        <v>400</v>
      </c>
      <c r="G466" s="19" t="s">
        <v>557</v>
      </c>
      <c r="H466" s="19" t="s">
        <v>3</v>
      </c>
    </row>
    <row r="467" spans="1:8" hidden="1" x14ac:dyDescent="0.25">
      <c r="A467">
        <v>24567500</v>
      </c>
      <c r="B467" s="19" t="s">
        <v>12</v>
      </c>
      <c r="C467" s="19" t="s">
        <v>86</v>
      </c>
      <c r="D467" s="19" t="s">
        <v>380</v>
      </c>
      <c r="E467" s="19" t="s">
        <v>443</v>
      </c>
      <c r="F467" s="19" t="s">
        <v>400</v>
      </c>
      <c r="G467" s="19" t="s">
        <v>557</v>
      </c>
      <c r="H467" s="19" t="s">
        <v>3</v>
      </c>
    </row>
    <row r="468" spans="1:8" hidden="1" x14ac:dyDescent="0.25">
      <c r="A468">
        <v>24567496</v>
      </c>
      <c r="B468" s="19" t="s">
        <v>12</v>
      </c>
      <c r="C468" s="19" t="s">
        <v>86</v>
      </c>
      <c r="D468" s="19" t="s">
        <v>380</v>
      </c>
      <c r="E468" s="19" t="s">
        <v>443</v>
      </c>
      <c r="F468" s="19" t="s">
        <v>400</v>
      </c>
      <c r="G468" s="19" t="s">
        <v>557</v>
      </c>
      <c r="H468" s="19" t="s">
        <v>3</v>
      </c>
    </row>
    <row r="469" spans="1:8" hidden="1" x14ac:dyDescent="0.25">
      <c r="A469">
        <v>24567495</v>
      </c>
      <c r="B469" s="19" t="s">
        <v>12</v>
      </c>
      <c r="C469" s="19" t="s">
        <v>86</v>
      </c>
      <c r="D469" s="19" t="s">
        <v>380</v>
      </c>
      <c r="E469" s="19" t="s">
        <v>443</v>
      </c>
      <c r="F469" s="19" t="s">
        <v>400</v>
      </c>
      <c r="G469" s="19" t="s">
        <v>557</v>
      </c>
      <c r="H469" s="19" t="s">
        <v>3</v>
      </c>
    </row>
    <row r="470" spans="1:8" hidden="1" x14ac:dyDescent="0.25">
      <c r="A470">
        <v>24567490</v>
      </c>
      <c r="B470" s="19" t="s">
        <v>12</v>
      </c>
      <c r="C470" s="19" t="s">
        <v>86</v>
      </c>
      <c r="D470" s="19" t="s">
        <v>415</v>
      </c>
      <c r="E470" s="19" t="s">
        <v>437</v>
      </c>
      <c r="F470" s="19" t="s">
        <v>400</v>
      </c>
      <c r="G470" s="19" t="s">
        <v>557</v>
      </c>
      <c r="H470" s="19" t="s">
        <v>3</v>
      </c>
    </row>
    <row r="471" spans="1:8" hidden="1" x14ac:dyDescent="0.25">
      <c r="A471">
        <v>24567486</v>
      </c>
      <c r="B471" s="19" t="s">
        <v>12</v>
      </c>
      <c r="C471" s="19" t="s">
        <v>86</v>
      </c>
      <c r="D471" s="19" t="s">
        <v>415</v>
      </c>
      <c r="E471" s="19" t="s">
        <v>437</v>
      </c>
      <c r="F471" s="19" t="s">
        <v>400</v>
      </c>
      <c r="G471" s="19" t="s">
        <v>557</v>
      </c>
      <c r="H471" s="19" t="s">
        <v>3</v>
      </c>
    </row>
    <row r="472" spans="1:8" hidden="1" x14ac:dyDescent="0.25">
      <c r="A472">
        <v>24567481</v>
      </c>
      <c r="B472" s="19" t="s">
        <v>12</v>
      </c>
      <c r="C472" s="19" t="s">
        <v>86</v>
      </c>
      <c r="D472" s="19" t="s">
        <v>388</v>
      </c>
      <c r="E472" s="19" t="s">
        <v>437</v>
      </c>
      <c r="F472" s="19" t="s">
        <v>400</v>
      </c>
      <c r="G472" s="19" t="s">
        <v>557</v>
      </c>
      <c r="H472" s="19" t="s">
        <v>3</v>
      </c>
    </row>
    <row r="473" spans="1:8" hidden="1" x14ac:dyDescent="0.25">
      <c r="A473">
        <v>24567475</v>
      </c>
      <c r="B473" s="19" t="s">
        <v>12</v>
      </c>
      <c r="C473" s="19" t="s">
        <v>86</v>
      </c>
      <c r="D473" s="19" t="s">
        <v>388</v>
      </c>
      <c r="E473" s="19" t="s">
        <v>437</v>
      </c>
      <c r="F473" s="19" t="s">
        <v>400</v>
      </c>
      <c r="G473" s="19" t="s">
        <v>557</v>
      </c>
      <c r="H473" s="19" t="s">
        <v>3</v>
      </c>
    </row>
    <row r="474" spans="1:8" hidden="1" x14ac:dyDescent="0.25">
      <c r="A474">
        <v>24567472</v>
      </c>
      <c r="B474" s="19" t="s">
        <v>18</v>
      </c>
      <c r="C474" s="19" t="s">
        <v>86</v>
      </c>
      <c r="D474" s="19" t="s">
        <v>415</v>
      </c>
      <c r="E474" s="19" t="s">
        <v>437</v>
      </c>
      <c r="F474" s="19" t="s">
        <v>400</v>
      </c>
      <c r="G474" s="19" t="s">
        <v>557</v>
      </c>
      <c r="H474" s="19" t="s">
        <v>3</v>
      </c>
    </row>
    <row r="475" spans="1:8" hidden="1" x14ac:dyDescent="0.25">
      <c r="A475">
        <v>24567471</v>
      </c>
      <c r="B475" s="19" t="s">
        <v>18</v>
      </c>
      <c r="C475" s="19" t="s">
        <v>86</v>
      </c>
      <c r="D475" s="19" t="s">
        <v>415</v>
      </c>
      <c r="E475" s="19" t="s">
        <v>437</v>
      </c>
      <c r="F475" s="19" t="s">
        <v>400</v>
      </c>
      <c r="G475" s="19" t="s">
        <v>557</v>
      </c>
      <c r="H475" s="19" t="s">
        <v>3</v>
      </c>
    </row>
    <row r="476" spans="1:8" hidden="1" x14ac:dyDescent="0.25">
      <c r="A476">
        <v>24567469</v>
      </c>
      <c r="B476" s="19" t="s">
        <v>18</v>
      </c>
      <c r="C476" s="19" t="s">
        <v>86</v>
      </c>
      <c r="D476" s="19" t="s">
        <v>415</v>
      </c>
      <c r="E476" s="19" t="s">
        <v>437</v>
      </c>
      <c r="F476" s="19" t="s">
        <v>400</v>
      </c>
      <c r="G476" s="19" t="s">
        <v>557</v>
      </c>
      <c r="H476" s="19" t="s">
        <v>3</v>
      </c>
    </row>
    <row r="477" spans="1:8" hidden="1" x14ac:dyDescent="0.25">
      <c r="A477">
        <v>24567467</v>
      </c>
      <c r="B477" s="19" t="s">
        <v>12</v>
      </c>
      <c r="C477" s="19" t="s">
        <v>86</v>
      </c>
      <c r="D477" s="19" t="s">
        <v>415</v>
      </c>
      <c r="E477" s="19" t="s">
        <v>437</v>
      </c>
      <c r="F477" s="19" t="s">
        <v>400</v>
      </c>
      <c r="G477" s="19" t="s">
        <v>557</v>
      </c>
      <c r="H477" s="19" t="s">
        <v>3</v>
      </c>
    </row>
    <row r="478" spans="1:8" hidden="1" x14ac:dyDescent="0.25">
      <c r="A478">
        <v>24567465</v>
      </c>
      <c r="B478" s="19" t="s">
        <v>12</v>
      </c>
      <c r="C478" s="19" t="s">
        <v>86</v>
      </c>
      <c r="D478" s="19" t="s">
        <v>415</v>
      </c>
      <c r="E478" s="19" t="s">
        <v>437</v>
      </c>
      <c r="F478" s="19" t="s">
        <v>400</v>
      </c>
      <c r="G478" s="19" t="s">
        <v>557</v>
      </c>
      <c r="H478" s="19" t="s">
        <v>3</v>
      </c>
    </row>
    <row r="479" spans="1:8" hidden="1" x14ac:dyDescent="0.25">
      <c r="A479">
        <v>24567464</v>
      </c>
      <c r="B479" s="19" t="s">
        <v>12</v>
      </c>
      <c r="C479" s="19" t="s">
        <v>86</v>
      </c>
      <c r="D479" s="19" t="s">
        <v>415</v>
      </c>
      <c r="E479" s="19" t="s">
        <v>437</v>
      </c>
      <c r="F479" s="19" t="s">
        <v>400</v>
      </c>
      <c r="G479" s="19" t="s">
        <v>557</v>
      </c>
      <c r="H479" s="19" t="s">
        <v>3</v>
      </c>
    </row>
    <row r="480" spans="1:8" hidden="1" x14ac:dyDescent="0.25">
      <c r="A480">
        <v>24567461</v>
      </c>
      <c r="B480" s="19" t="s">
        <v>12</v>
      </c>
      <c r="C480" s="19" t="s">
        <v>86</v>
      </c>
      <c r="D480" s="19" t="s">
        <v>415</v>
      </c>
      <c r="E480" s="19" t="s">
        <v>437</v>
      </c>
      <c r="F480" s="19" t="s">
        <v>400</v>
      </c>
      <c r="G480" s="19" t="s">
        <v>557</v>
      </c>
      <c r="H480" s="19" t="s">
        <v>3</v>
      </c>
    </row>
    <row r="481" spans="1:8" hidden="1" x14ac:dyDescent="0.25">
      <c r="A481">
        <v>24567458</v>
      </c>
      <c r="B481" s="19" t="s">
        <v>12</v>
      </c>
      <c r="C481" s="19" t="s">
        <v>86</v>
      </c>
      <c r="D481" s="19" t="s">
        <v>388</v>
      </c>
      <c r="E481" s="19" t="s">
        <v>443</v>
      </c>
      <c r="F481" s="19" t="s">
        <v>400</v>
      </c>
      <c r="G481" s="19" t="s">
        <v>557</v>
      </c>
      <c r="H481" s="19" t="s">
        <v>3</v>
      </c>
    </row>
    <row r="482" spans="1:8" hidden="1" x14ac:dyDescent="0.25">
      <c r="A482">
        <v>24567455</v>
      </c>
      <c r="B482" s="19" t="s">
        <v>12</v>
      </c>
      <c r="C482" s="19" t="s">
        <v>86</v>
      </c>
      <c r="D482" s="19" t="s">
        <v>388</v>
      </c>
      <c r="E482" s="19" t="s">
        <v>443</v>
      </c>
      <c r="F482" s="19" t="s">
        <v>400</v>
      </c>
      <c r="G482" s="19" t="s">
        <v>557</v>
      </c>
      <c r="H482" s="19" t="s">
        <v>3</v>
      </c>
    </row>
    <row r="483" spans="1:8" hidden="1" x14ac:dyDescent="0.25">
      <c r="A483">
        <v>24567443</v>
      </c>
      <c r="B483" s="19" t="s">
        <v>12</v>
      </c>
      <c r="C483" s="19" t="s">
        <v>86</v>
      </c>
      <c r="D483" s="19" t="s">
        <v>388</v>
      </c>
      <c r="E483" s="19" t="s">
        <v>443</v>
      </c>
      <c r="F483" s="19" t="s">
        <v>400</v>
      </c>
      <c r="G483" s="19" t="s">
        <v>557</v>
      </c>
      <c r="H483" s="19" t="s">
        <v>3</v>
      </c>
    </row>
    <row r="484" spans="1:8" hidden="1" x14ac:dyDescent="0.25">
      <c r="A484">
        <v>24567432</v>
      </c>
      <c r="B484" s="19" t="s">
        <v>18</v>
      </c>
      <c r="C484" s="19" t="s">
        <v>86</v>
      </c>
      <c r="D484" s="19" t="s">
        <v>388</v>
      </c>
      <c r="E484" s="19" t="s">
        <v>443</v>
      </c>
      <c r="F484" s="19" t="s">
        <v>400</v>
      </c>
      <c r="G484" s="19" t="s">
        <v>557</v>
      </c>
      <c r="H484" s="19" t="s">
        <v>3</v>
      </c>
    </row>
    <row r="485" spans="1:8" hidden="1" x14ac:dyDescent="0.25">
      <c r="A485">
        <v>24567420</v>
      </c>
      <c r="B485" s="19" t="s">
        <v>18</v>
      </c>
      <c r="C485" s="19" t="s">
        <v>86</v>
      </c>
      <c r="D485" s="19" t="s">
        <v>393</v>
      </c>
      <c r="E485" s="19" t="s">
        <v>437</v>
      </c>
      <c r="F485" s="19" t="s">
        <v>400</v>
      </c>
      <c r="G485" s="19" t="s">
        <v>557</v>
      </c>
      <c r="H485" s="19" t="s">
        <v>3</v>
      </c>
    </row>
    <row r="486" spans="1:8" hidden="1" x14ac:dyDescent="0.25">
      <c r="A486">
        <v>24567419</v>
      </c>
      <c r="B486" s="19" t="s">
        <v>12</v>
      </c>
      <c r="C486" s="19" t="s">
        <v>86</v>
      </c>
      <c r="D486" s="19" t="s">
        <v>381</v>
      </c>
      <c r="E486" s="19" t="s">
        <v>437</v>
      </c>
      <c r="F486" s="19" t="s">
        <v>400</v>
      </c>
      <c r="G486" s="19" t="s">
        <v>557</v>
      </c>
      <c r="H486" s="19" t="s">
        <v>3</v>
      </c>
    </row>
    <row r="487" spans="1:8" hidden="1" x14ac:dyDescent="0.25">
      <c r="A487">
        <v>24567417</v>
      </c>
      <c r="B487" s="19" t="s">
        <v>12</v>
      </c>
      <c r="C487" s="19" t="s">
        <v>86</v>
      </c>
      <c r="D487" s="19" t="s">
        <v>393</v>
      </c>
      <c r="E487" s="19" t="s">
        <v>437</v>
      </c>
      <c r="F487" s="19" t="s">
        <v>400</v>
      </c>
      <c r="G487" s="19" t="s">
        <v>557</v>
      </c>
      <c r="H487" s="19" t="s">
        <v>3</v>
      </c>
    </row>
    <row r="488" spans="1:8" hidden="1" x14ac:dyDescent="0.25">
      <c r="A488">
        <v>24567416</v>
      </c>
      <c r="B488" s="19" t="s">
        <v>12</v>
      </c>
      <c r="C488" s="19" t="s">
        <v>86</v>
      </c>
      <c r="D488" s="19" t="s">
        <v>393</v>
      </c>
      <c r="E488" s="19" t="s">
        <v>437</v>
      </c>
      <c r="F488" s="19" t="s">
        <v>400</v>
      </c>
      <c r="G488" s="19" t="s">
        <v>557</v>
      </c>
      <c r="H488" s="19" t="s">
        <v>3</v>
      </c>
    </row>
    <row r="489" spans="1:8" hidden="1" x14ac:dyDescent="0.25">
      <c r="A489">
        <v>24567415</v>
      </c>
      <c r="B489" s="19" t="s">
        <v>12</v>
      </c>
      <c r="C489" s="19" t="s">
        <v>86</v>
      </c>
      <c r="D489" s="19" t="s">
        <v>393</v>
      </c>
      <c r="E489" s="19" t="s">
        <v>437</v>
      </c>
      <c r="F489" s="19" t="s">
        <v>400</v>
      </c>
      <c r="G489" s="19" t="s">
        <v>557</v>
      </c>
      <c r="H489" s="19" t="s">
        <v>3</v>
      </c>
    </row>
    <row r="490" spans="1:8" hidden="1" x14ac:dyDescent="0.25">
      <c r="A490">
        <v>24567414</v>
      </c>
      <c r="B490" s="19" t="s">
        <v>12</v>
      </c>
      <c r="C490" s="19" t="s">
        <v>86</v>
      </c>
      <c r="D490" s="19" t="s">
        <v>395</v>
      </c>
      <c r="E490" s="19" t="s">
        <v>437</v>
      </c>
      <c r="F490" s="19" t="s">
        <v>400</v>
      </c>
      <c r="G490" s="19" t="s">
        <v>557</v>
      </c>
      <c r="H490" s="19" t="s">
        <v>3</v>
      </c>
    </row>
    <row r="491" spans="1:8" hidden="1" x14ac:dyDescent="0.25">
      <c r="A491">
        <v>24567413</v>
      </c>
      <c r="B491" s="19" t="s">
        <v>12</v>
      </c>
      <c r="C491" s="19" t="s">
        <v>86</v>
      </c>
      <c r="D491" s="19" t="s">
        <v>393</v>
      </c>
      <c r="E491" s="19" t="s">
        <v>437</v>
      </c>
      <c r="F491" s="19" t="s">
        <v>400</v>
      </c>
      <c r="G491" s="19" t="s">
        <v>557</v>
      </c>
      <c r="H491" s="19" t="s">
        <v>3</v>
      </c>
    </row>
    <row r="492" spans="1:8" hidden="1" x14ac:dyDescent="0.25">
      <c r="A492">
        <v>24567412</v>
      </c>
      <c r="B492" s="19" t="s">
        <v>12</v>
      </c>
      <c r="C492" s="19" t="s">
        <v>86</v>
      </c>
      <c r="D492" s="19" t="s">
        <v>382</v>
      </c>
      <c r="E492" s="19" t="s">
        <v>437</v>
      </c>
      <c r="F492" s="19" t="s">
        <v>400</v>
      </c>
      <c r="G492" s="19" t="s">
        <v>557</v>
      </c>
      <c r="H492" s="19" t="s">
        <v>3</v>
      </c>
    </row>
    <row r="493" spans="1:8" hidden="1" x14ac:dyDescent="0.25">
      <c r="A493">
        <v>24567411</v>
      </c>
      <c r="B493" s="19" t="s">
        <v>12</v>
      </c>
      <c r="C493" s="19" t="s">
        <v>86</v>
      </c>
      <c r="D493" s="19" t="s">
        <v>393</v>
      </c>
      <c r="E493" s="19" t="s">
        <v>437</v>
      </c>
      <c r="F493" s="19" t="s">
        <v>400</v>
      </c>
      <c r="G493" s="19" t="s">
        <v>557</v>
      </c>
      <c r="H493" s="19" t="s">
        <v>3</v>
      </c>
    </row>
    <row r="494" spans="1:8" hidden="1" x14ac:dyDescent="0.25">
      <c r="A494">
        <v>24567410</v>
      </c>
      <c r="B494" s="19" t="s">
        <v>12</v>
      </c>
      <c r="C494" s="19" t="s">
        <v>86</v>
      </c>
      <c r="D494" s="19" t="s">
        <v>393</v>
      </c>
      <c r="E494" s="19" t="s">
        <v>437</v>
      </c>
      <c r="F494" s="19" t="s">
        <v>400</v>
      </c>
      <c r="G494" s="19" t="s">
        <v>557</v>
      </c>
      <c r="H494" s="19" t="s">
        <v>3</v>
      </c>
    </row>
    <row r="495" spans="1:8" hidden="1" x14ac:dyDescent="0.25">
      <c r="A495">
        <v>24567409</v>
      </c>
      <c r="B495" s="19" t="s">
        <v>12</v>
      </c>
      <c r="C495" s="19" t="s">
        <v>86</v>
      </c>
      <c r="D495" s="19" t="s">
        <v>382</v>
      </c>
      <c r="E495" s="19" t="s">
        <v>437</v>
      </c>
      <c r="F495" s="19" t="s">
        <v>400</v>
      </c>
      <c r="G495" s="19" t="s">
        <v>557</v>
      </c>
      <c r="H495" s="19" t="s">
        <v>3</v>
      </c>
    </row>
    <row r="496" spans="1:8" hidden="1" x14ac:dyDescent="0.25">
      <c r="A496">
        <v>24567342</v>
      </c>
      <c r="B496" s="19" t="s">
        <v>18</v>
      </c>
      <c r="C496" s="19" t="s">
        <v>86</v>
      </c>
      <c r="D496" s="19" t="s">
        <v>380</v>
      </c>
      <c r="E496" s="19" t="s">
        <v>443</v>
      </c>
      <c r="F496" s="19" t="s">
        <v>400</v>
      </c>
      <c r="G496" s="19" t="s">
        <v>557</v>
      </c>
      <c r="H496" s="19" t="s">
        <v>3</v>
      </c>
    </row>
    <row r="497" spans="1:8" hidden="1" x14ac:dyDescent="0.25">
      <c r="A497">
        <v>24567305</v>
      </c>
      <c r="B497" s="19" t="s">
        <v>12</v>
      </c>
      <c r="C497" s="19" t="s">
        <v>86</v>
      </c>
      <c r="D497" s="19" t="s">
        <v>382</v>
      </c>
      <c r="E497" s="19" t="s">
        <v>437</v>
      </c>
      <c r="F497" s="19" t="s">
        <v>400</v>
      </c>
      <c r="G497" s="19" t="s">
        <v>557</v>
      </c>
      <c r="H497" s="19" t="s">
        <v>3</v>
      </c>
    </row>
    <row r="498" spans="1:8" hidden="1" x14ac:dyDescent="0.25">
      <c r="A498">
        <v>24567304</v>
      </c>
      <c r="B498" s="19" t="s">
        <v>12</v>
      </c>
      <c r="C498" s="19" t="s">
        <v>86</v>
      </c>
      <c r="D498" s="19" t="s">
        <v>382</v>
      </c>
      <c r="E498" s="19" t="s">
        <v>437</v>
      </c>
      <c r="F498" s="19" t="s">
        <v>400</v>
      </c>
      <c r="G498" s="19" t="s">
        <v>557</v>
      </c>
      <c r="H498" s="19" t="s">
        <v>3</v>
      </c>
    </row>
    <row r="499" spans="1:8" hidden="1" x14ac:dyDescent="0.25">
      <c r="A499">
        <v>24567302</v>
      </c>
      <c r="B499" s="19" t="s">
        <v>12</v>
      </c>
      <c r="C499" s="19" t="s">
        <v>86</v>
      </c>
      <c r="D499" s="19" t="s">
        <v>382</v>
      </c>
      <c r="E499" s="19" t="s">
        <v>437</v>
      </c>
      <c r="F499" s="19" t="s">
        <v>400</v>
      </c>
      <c r="G499" s="19" t="s">
        <v>557</v>
      </c>
      <c r="H499" s="19" t="s">
        <v>3</v>
      </c>
    </row>
    <row r="500" spans="1:8" hidden="1" x14ac:dyDescent="0.25">
      <c r="A500">
        <v>24567300</v>
      </c>
      <c r="B500" s="19" t="s">
        <v>12</v>
      </c>
      <c r="C500" s="19" t="s">
        <v>86</v>
      </c>
      <c r="D500" s="19" t="s">
        <v>381</v>
      </c>
      <c r="E500" s="19" t="s">
        <v>437</v>
      </c>
      <c r="F500" s="19" t="s">
        <v>400</v>
      </c>
      <c r="G500" s="19" t="s">
        <v>557</v>
      </c>
      <c r="H500" s="19" t="s">
        <v>3</v>
      </c>
    </row>
    <row r="501" spans="1:8" hidden="1" x14ac:dyDescent="0.25">
      <c r="A501">
        <v>24567294</v>
      </c>
      <c r="B501" s="19" t="s">
        <v>12</v>
      </c>
      <c r="C501" s="19" t="s">
        <v>86</v>
      </c>
      <c r="D501" s="19" t="s">
        <v>393</v>
      </c>
      <c r="E501" s="19" t="s">
        <v>437</v>
      </c>
      <c r="F501" s="19" t="s">
        <v>400</v>
      </c>
      <c r="G501" s="19" t="s">
        <v>557</v>
      </c>
      <c r="H501" s="19" t="s">
        <v>3</v>
      </c>
    </row>
    <row r="502" spans="1:8" hidden="1" x14ac:dyDescent="0.25">
      <c r="A502">
        <v>24567293</v>
      </c>
      <c r="B502" s="19" t="s">
        <v>12</v>
      </c>
      <c r="C502" s="19" t="s">
        <v>86</v>
      </c>
      <c r="D502" s="19" t="s">
        <v>393</v>
      </c>
      <c r="E502" s="19" t="s">
        <v>437</v>
      </c>
      <c r="F502" s="19" t="s">
        <v>400</v>
      </c>
      <c r="G502" s="19" t="s">
        <v>557</v>
      </c>
      <c r="H502" s="19" t="s">
        <v>3</v>
      </c>
    </row>
    <row r="503" spans="1:8" hidden="1" x14ac:dyDescent="0.25">
      <c r="A503">
        <v>24567289</v>
      </c>
      <c r="B503" s="19" t="s">
        <v>12</v>
      </c>
      <c r="C503" s="19" t="s">
        <v>86</v>
      </c>
      <c r="D503" s="19" t="s">
        <v>393</v>
      </c>
      <c r="E503" s="19" t="s">
        <v>437</v>
      </c>
      <c r="F503" s="19" t="s">
        <v>400</v>
      </c>
      <c r="G503" s="19" t="s">
        <v>557</v>
      </c>
      <c r="H503" s="19" t="s">
        <v>3</v>
      </c>
    </row>
    <row r="504" spans="1:8" hidden="1" x14ac:dyDescent="0.25">
      <c r="A504">
        <v>24567288</v>
      </c>
      <c r="B504" s="19" t="s">
        <v>12</v>
      </c>
      <c r="C504" s="19" t="s">
        <v>86</v>
      </c>
      <c r="D504" s="19" t="s">
        <v>393</v>
      </c>
      <c r="E504" s="19" t="s">
        <v>437</v>
      </c>
      <c r="F504" s="19" t="s">
        <v>400</v>
      </c>
      <c r="G504" s="19" t="s">
        <v>557</v>
      </c>
      <c r="H504" s="19" t="s">
        <v>3</v>
      </c>
    </row>
    <row r="505" spans="1:8" hidden="1" x14ac:dyDescent="0.25">
      <c r="A505">
        <v>24567276</v>
      </c>
      <c r="B505" s="19" t="s">
        <v>12</v>
      </c>
      <c r="C505" s="19" t="s">
        <v>86</v>
      </c>
      <c r="D505" s="19" t="s">
        <v>395</v>
      </c>
      <c r="E505" s="19" t="s">
        <v>437</v>
      </c>
      <c r="F505" s="19" t="s">
        <v>400</v>
      </c>
      <c r="G505" s="19" t="s">
        <v>557</v>
      </c>
      <c r="H505" s="19" t="s">
        <v>3</v>
      </c>
    </row>
    <row r="506" spans="1:8" hidden="1" x14ac:dyDescent="0.25">
      <c r="A506">
        <v>24567267</v>
      </c>
      <c r="B506" s="19" t="s">
        <v>12</v>
      </c>
      <c r="C506" s="19" t="s">
        <v>86</v>
      </c>
      <c r="D506" s="19" t="s">
        <v>392</v>
      </c>
      <c r="E506" s="19" t="s">
        <v>437</v>
      </c>
      <c r="F506" s="19" t="s">
        <v>400</v>
      </c>
      <c r="G506" s="19" t="s">
        <v>557</v>
      </c>
      <c r="H506" s="19" t="s">
        <v>3</v>
      </c>
    </row>
    <row r="507" spans="1:8" hidden="1" x14ac:dyDescent="0.25">
      <c r="A507">
        <v>24567264</v>
      </c>
      <c r="B507" s="19" t="s">
        <v>12</v>
      </c>
      <c r="C507" s="19" t="s">
        <v>86</v>
      </c>
      <c r="D507" s="19" t="s">
        <v>392</v>
      </c>
      <c r="E507" s="19" t="s">
        <v>437</v>
      </c>
      <c r="F507" s="19" t="s">
        <v>400</v>
      </c>
      <c r="G507" s="19" t="s">
        <v>557</v>
      </c>
      <c r="H507" s="19" t="s">
        <v>3</v>
      </c>
    </row>
    <row r="508" spans="1:8" hidden="1" x14ac:dyDescent="0.25">
      <c r="A508">
        <v>24567262</v>
      </c>
      <c r="B508" s="19" t="s">
        <v>12</v>
      </c>
      <c r="C508" s="19" t="s">
        <v>86</v>
      </c>
      <c r="D508" s="19" t="s">
        <v>393</v>
      </c>
      <c r="E508" s="19" t="s">
        <v>437</v>
      </c>
      <c r="F508" s="19" t="s">
        <v>400</v>
      </c>
      <c r="G508" s="19" t="s">
        <v>557</v>
      </c>
      <c r="H508" s="19" t="s">
        <v>3</v>
      </c>
    </row>
    <row r="509" spans="1:8" hidden="1" x14ac:dyDescent="0.25">
      <c r="A509">
        <v>24567261</v>
      </c>
      <c r="B509" s="19" t="s">
        <v>12</v>
      </c>
      <c r="C509" s="19" t="s">
        <v>86</v>
      </c>
      <c r="D509" s="19" t="s">
        <v>393</v>
      </c>
      <c r="E509" s="19" t="s">
        <v>437</v>
      </c>
      <c r="F509" s="19" t="s">
        <v>400</v>
      </c>
      <c r="G509" s="19" t="s">
        <v>557</v>
      </c>
      <c r="H509" s="19" t="s">
        <v>3</v>
      </c>
    </row>
    <row r="510" spans="1:8" hidden="1" x14ac:dyDescent="0.25">
      <c r="A510">
        <v>24567260</v>
      </c>
      <c r="B510" s="19" t="s">
        <v>12</v>
      </c>
      <c r="C510" s="19" t="s">
        <v>86</v>
      </c>
      <c r="D510" s="19" t="s">
        <v>383</v>
      </c>
      <c r="E510" s="19" t="s">
        <v>437</v>
      </c>
      <c r="F510" s="19" t="s">
        <v>400</v>
      </c>
      <c r="G510" s="19" t="s">
        <v>557</v>
      </c>
      <c r="H510" s="19" t="s">
        <v>3</v>
      </c>
    </row>
    <row r="511" spans="1:8" hidden="1" x14ac:dyDescent="0.25">
      <c r="A511">
        <v>24567259</v>
      </c>
      <c r="B511" s="19" t="s">
        <v>12</v>
      </c>
      <c r="C511" s="19" t="s">
        <v>86</v>
      </c>
      <c r="D511" s="19" t="s">
        <v>383</v>
      </c>
      <c r="E511" s="19" t="s">
        <v>437</v>
      </c>
      <c r="F511" s="19" t="s">
        <v>400</v>
      </c>
      <c r="G511" s="19" t="s">
        <v>557</v>
      </c>
      <c r="H511" s="19" t="s">
        <v>3</v>
      </c>
    </row>
    <row r="512" spans="1:8" hidden="1" x14ac:dyDescent="0.25">
      <c r="A512">
        <v>24567256</v>
      </c>
      <c r="B512" s="19" t="s">
        <v>12</v>
      </c>
      <c r="C512" s="19" t="s">
        <v>86</v>
      </c>
      <c r="D512" s="19" t="s">
        <v>383</v>
      </c>
      <c r="E512" s="19" t="s">
        <v>437</v>
      </c>
      <c r="F512" s="19" t="s">
        <v>400</v>
      </c>
      <c r="G512" s="19" t="s">
        <v>557</v>
      </c>
      <c r="H512" s="19" t="s">
        <v>3</v>
      </c>
    </row>
    <row r="513" spans="1:8" hidden="1" x14ac:dyDescent="0.25">
      <c r="A513">
        <v>24567254</v>
      </c>
      <c r="B513" s="19" t="s">
        <v>12</v>
      </c>
      <c r="C513" s="19" t="s">
        <v>86</v>
      </c>
      <c r="D513" s="19" t="s">
        <v>383</v>
      </c>
      <c r="E513" s="19" t="s">
        <v>437</v>
      </c>
      <c r="F513" s="19" t="s">
        <v>400</v>
      </c>
      <c r="G513" s="19" t="s">
        <v>557</v>
      </c>
      <c r="H513" s="19" t="s">
        <v>3</v>
      </c>
    </row>
    <row r="514" spans="1:8" hidden="1" x14ac:dyDescent="0.25">
      <c r="A514">
        <v>24567251</v>
      </c>
      <c r="B514" s="19" t="s">
        <v>12</v>
      </c>
      <c r="C514" s="19" t="s">
        <v>86</v>
      </c>
      <c r="D514" s="19" t="s">
        <v>382</v>
      </c>
      <c r="E514" s="19" t="s">
        <v>437</v>
      </c>
      <c r="F514" s="19" t="s">
        <v>400</v>
      </c>
      <c r="G514" s="19" t="s">
        <v>557</v>
      </c>
      <c r="H514" s="19" t="s">
        <v>3</v>
      </c>
    </row>
    <row r="515" spans="1:8" hidden="1" x14ac:dyDescent="0.25">
      <c r="A515">
        <v>24567242</v>
      </c>
      <c r="B515" s="19" t="s">
        <v>12</v>
      </c>
      <c r="C515" s="19" t="s">
        <v>86</v>
      </c>
      <c r="D515" s="19" t="s">
        <v>391</v>
      </c>
      <c r="E515" s="19" t="s">
        <v>437</v>
      </c>
      <c r="F515" s="19" t="s">
        <v>400</v>
      </c>
      <c r="G515" s="19" t="s">
        <v>557</v>
      </c>
      <c r="H515" s="19" t="s">
        <v>3</v>
      </c>
    </row>
    <row r="516" spans="1:8" hidden="1" x14ac:dyDescent="0.25">
      <c r="A516">
        <v>24567232</v>
      </c>
      <c r="B516" s="19" t="s">
        <v>12</v>
      </c>
      <c r="C516" s="19" t="s">
        <v>86</v>
      </c>
      <c r="D516" s="19" t="s">
        <v>382</v>
      </c>
      <c r="E516" s="19" t="s">
        <v>437</v>
      </c>
      <c r="F516" s="19" t="s">
        <v>400</v>
      </c>
      <c r="G516" s="19" t="s">
        <v>557</v>
      </c>
      <c r="H516" s="19" t="s">
        <v>3</v>
      </c>
    </row>
    <row r="517" spans="1:8" hidden="1" x14ac:dyDescent="0.25">
      <c r="A517">
        <v>24567229</v>
      </c>
      <c r="B517" s="19" t="s">
        <v>12</v>
      </c>
      <c r="C517" s="19" t="s">
        <v>86</v>
      </c>
      <c r="D517" s="19" t="s">
        <v>382</v>
      </c>
      <c r="E517" s="19" t="s">
        <v>437</v>
      </c>
      <c r="F517" s="19" t="s">
        <v>400</v>
      </c>
      <c r="G517" s="19" t="s">
        <v>557</v>
      </c>
      <c r="H517" s="19" t="s">
        <v>3</v>
      </c>
    </row>
    <row r="518" spans="1:8" hidden="1" x14ac:dyDescent="0.25">
      <c r="A518">
        <v>24567226</v>
      </c>
      <c r="B518" s="19" t="s">
        <v>12</v>
      </c>
      <c r="C518" s="19" t="s">
        <v>86</v>
      </c>
      <c r="D518" s="19" t="s">
        <v>382</v>
      </c>
      <c r="E518" s="19" t="s">
        <v>437</v>
      </c>
      <c r="F518" s="19" t="s">
        <v>400</v>
      </c>
      <c r="G518" s="19" t="s">
        <v>557</v>
      </c>
      <c r="H518" s="19" t="s">
        <v>3</v>
      </c>
    </row>
    <row r="519" spans="1:8" hidden="1" x14ac:dyDescent="0.25">
      <c r="A519">
        <v>24567224</v>
      </c>
      <c r="B519" s="19" t="s">
        <v>12</v>
      </c>
      <c r="C519" s="19" t="s">
        <v>86</v>
      </c>
      <c r="D519" s="19" t="s">
        <v>382</v>
      </c>
      <c r="E519" s="19" t="s">
        <v>437</v>
      </c>
      <c r="F519" s="19" t="s">
        <v>400</v>
      </c>
      <c r="G519" s="19" t="s">
        <v>557</v>
      </c>
      <c r="H519" s="19" t="s">
        <v>3</v>
      </c>
    </row>
    <row r="520" spans="1:8" hidden="1" x14ac:dyDescent="0.25">
      <c r="A520">
        <v>24567221</v>
      </c>
      <c r="B520" s="19" t="s">
        <v>12</v>
      </c>
      <c r="C520" s="19" t="s">
        <v>86</v>
      </c>
      <c r="D520" s="19" t="s">
        <v>385</v>
      </c>
      <c r="E520" s="19" t="s">
        <v>437</v>
      </c>
      <c r="F520" s="19" t="s">
        <v>400</v>
      </c>
      <c r="G520" s="19" t="s">
        <v>557</v>
      </c>
      <c r="H520" s="19" t="s">
        <v>3</v>
      </c>
    </row>
    <row r="521" spans="1:8" hidden="1" x14ac:dyDescent="0.25">
      <c r="A521">
        <v>24567220</v>
      </c>
      <c r="B521" s="19" t="s">
        <v>12</v>
      </c>
      <c r="C521" s="19" t="s">
        <v>86</v>
      </c>
      <c r="D521" s="19" t="s">
        <v>382</v>
      </c>
      <c r="E521" s="19" t="s">
        <v>437</v>
      </c>
      <c r="F521" s="19" t="s">
        <v>400</v>
      </c>
      <c r="G521" s="19" t="s">
        <v>557</v>
      </c>
      <c r="H521" s="19" t="s">
        <v>3</v>
      </c>
    </row>
    <row r="522" spans="1:8" hidden="1" x14ac:dyDescent="0.25">
      <c r="A522">
        <v>24567219</v>
      </c>
      <c r="B522" s="19" t="s">
        <v>12</v>
      </c>
      <c r="C522" s="19" t="s">
        <v>86</v>
      </c>
      <c r="D522" s="19" t="s">
        <v>382</v>
      </c>
      <c r="E522" s="19" t="s">
        <v>437</v>
      </c>
      <c r="F522" s="19" t="s">
        <v>400</v>
      </c>
      <c r="G522" s="19" t="s">
        <v>557</v>
      </c>
      <c r="H522" s="19" t="s">
        <v>3</v>
      </c>
    </row>
    <row r="523" spans="1:8" hidden="1" x14ac:dyDescent="0.25">
      <c r="A523">
        <v>24567215</v>
      </c>
      <c r="B523" s="19" t="s">
        <v>12</v>
      </c>
      <c r="C523" s="19" t="s">
        <v>86</v>
      </c>
      <c r="D523" s="19" t="s">
        <v>382</v>
      </c>
      <c r="E523" s="19" t="s">
        <v>437</v>
      </c>
      <c r="F523" s="19" t="s">
        <v>400</v>
      </c>
      <c r="G523" s="19" t="s">
        <v>557</v>
      </c>
      <c r="H523" s="19" t="s">
        <v>3</v>
      </c>
    </row>
    <row r="524" spans="1:8" hidden="1" x14ac:dyDescent="0.25">
      <c r="A524">
        <v>24567210</v>
      </c>
      <c r="B524" s="19" t="s">
        <v>12</v>
      </c>
      <c r="C524" s="19" t="s">
        <v>89</v>
      </c>
      <c r="D524" s="19" t="s">
        <v>382</v>
      </c>
      <c r="E524" s="19" t="s">
        <v>437</v>
      </c>
      <c r="F524" s="19" t="s">
        <v>401</v>
      </c>
      <c r="G524" s="19" t="s">
        <v>557</v>
      </c>
      <c r="H524" s="19" t="s">
        <v>3</v>
      </c>
    </row>
    <row r="525" spans="1:8" hidden="1" x14ac:dyDescent="0.25">
      <c r="A525">
        <v>24567204</v>
      </c>
      <c r="B525" s="19" t="s">
        <v>12</v>
      </c>
      <c r="C525" s="19" t="s">
        <v>86</v>
      </c>
      <c r="D525" s="19" t="s">
        <v>382</v>
      </c>
      <c r="E525" s="19" t="s">
        <v>437</v>
      </c>
      <c r="F525" s="19" t="s">
        <v>400</v>
      </c>
      <c r="G525" s="19" t="s">
        <v>557</v>
      </c>
      <c r="H525" s="19" t="s">
        <v>3</v>
      </c>
    </row>
    <row r="526" spans="1:8" hidden="1" x14ac:dyDescent="0.25">
      <c r="A526">
        <v>24567202</v>
      </c>
      <c r="B526" s="19" t="s">
        <v>12</v>
      </c>
      <c r="C526" s="19" t="s">
        <v>86</v>
      </c>
      <c r="D526" s="19" t="s">
        <v>382</v>
      </c>
      <c r="E526" s="19" t="s">
        <v>437</v>
      </c>
      <c r="F526" s="19" t="s">
        <v>400</v>
      </c>
      <c r="G526" s="19" t="s">
        <v>557</v>
      </c>
      <c r="H526" s="19" t="s">
        <v>3</v>
      </c>
    </row>
    <row r="527" spans="1:8" hidden="1" x14ac:dyDescent="0.25">
      <c r="A527">
        <v>24567198</v>
      </c>
      <c r="B527" s="19" t="s">
        <v>12</v>
      </c>
      <c r="C527" s="19" t="s">
        <v>86</v>
      </c>
      <c r="D527" s="19" t="s">
        <v>382</v>
      </c>
      <c r="E527" s="19" t="s">
        <v>437</v>
      </c>
      <c r="F527" s="19" t="s">
        <v>400</v>
      </c>
      <c r="G527" s="19" t="s">
        <v>557</v>
      </c>
      <c r="H527" s="19" t="s">
        <v>3</v>
      </c>
    </row>
    <row r="528" spans="1:8" hidden="1" x14ac:dyDescent="0.25">
      <c r="A528">
        <v>24567194</v>
      </c>
      <c r="B528" s="19" t="s">
        <v>12</v>
      </c>
      <c r="C528" s="19" t="s">
        <v>86</v>
      </c>
      <c r="D528" s="19" t="s">
        <v>382</v>
      </c>
      <c r="E528" s="19" t="s">
        <v>437</v>
      </c>
      <c r="F528" s="19" t="s">
        <v>400</v>
      </c>
      <c r="G528" s="19" t="s">
        <v>557</v>
      </c>
      <c r="H528" s="19" t="s">
        <v>3</v>
      </c>
    </row>
    <row r="529" spans="1:8" hidden="1" x14ac:dyDescent="0.25">
      <c r="A529">
        <v>24567192</v>
      </c>
      <c r="B529" s="19" t="s">
        <v>12</v>
      </c>
      <c r="C529" s="19" t="s">
        <v>86</v>
      </c>
      <c r="D529" s="19" t="s">
        <v>382</v>
      </c>
      <c r="E529" s="19" t="s">
        <v>437</v>
      </c>
      <c r="F529" s="19" t="s">
        <v>400</v>
      </c>
      <c r="G529" s="19" t="s">
        <v>557</v>
      </c>
      <c r="H529" s="19" t="s">
        <v>3</v>
      </c>
    </row>
    <row r="530" spans="1:8" hidden="1" x14ac:dyDescent="0.25">
      <c r="A530">
        <v>24567190</v>
      </c>
      <c r="B530" s="19" t="s">
        <v>12</v>
      </c>
      <c r="C530" s="19" t="s">
        <v>86</v>
      </c>
      <c r="D530" s="19" t="s">
        <v>382</v>
      </c>
      <c r="E530" s="19" t="s">
        <v>437</v>
      </c>
      <c r="F530" s="19" t="s">
        <v>400</v>
      </c>
      <c r="G530" s="19" t="s">
        <v>557</v>
      </c>
      <c r="H530" s="19" t="s">
        <v>3</v>
      </c>
    </row>
    <row r="531" spans="1:8" hidden="1" x14ac:dyDescent="0.25">
      <c r="A531">
        <v>24567184</v>
      </c>
      <c r="B531" s="19" t="s">
        <v>12</v>
      </c>
      <c r="C531" s="19" t="s">
        <v>86</v>
      </c>
      <c r="D531" s="19" t="s">
        <v>384</v>
      </c>
      <c r="E531" s="19" t="s">
        <v>437</v>
      </c>
      <c r="F531" s="19" t="s">
        <v>400</v>
      </c>
      <c r="G531" s="19" t="s">
        <v>557</v>
      </c>
      <c r="H531" s="19" t="s">
        <v>3</v>
      </c>
    </row>
    <row r="532" spans="1:8" hidden="1" x14ac:dyDescent="0.25">
      <c r="A532">
        <v>24567175</v>
      </c>
      <c r="B532" s="19" t="s">
        <v>12</v>
      </c>
      <c r="C532" s="19" t="s">
        <v>86</v>
      </c>
      <c r="D532" s="19" t="s">
        <v>382</v>
      </c>
      <c r="E532" s="19" t="s">
        <v>437</v>
      </c>
      <c r="F532" s="19" t="s">
        <v>400</v>
      </c>
      <c r="G532" s="19" t="s">
        <v>557</v>
      </c>
      <c r="H532" s="19" t="s">
        <v>3</v>
      </c>
    </row>
    <row r="533" spans="1:8" hidden="1" x14ac:dyDescent="0.25">
      <c r="A533">
        <v>24567173</v>
      </c>
      <c r="B533" s="19" t="s">
        <v>18</v>
      </c>
      <c r="C533" s="19" t="s">
        <v>86</v>
      </c>
      <c r="D533" s="19" t="s">
        <v>381</v>
      </c>
      <c r="E533" s="19" t="s">
        <v>437</v>
      </c>
      <c r="F533" s="19" t="s">
        <v>400</v>
      </c>
      <c r="G533" s="19" t="s">
        <v>557</v>
      </c>
      <c r="H533" s="19" t="s">
        <v>3</v>
      </c>
    </row>
    <row r="534" spans="1:8" hidden="1" x14ac:dyDescent="0.25">
      <c r="A534">
        <v>24567167</v>
      </c>
      <c r="B534" s="19" t="s">
        <v>12</v>
      </c>
      <c r="C534" s="19" t="s">
        <v>86</v>
      </c>
      <c r="D534" s="19" t="s">
        <v>382</v>
      </c>
      <c r="E534" s="19" t="s">
        <v>437</v>
      </c>
      <c r="F534" s="19" t="s">
        <v>400</v>
      </c>
      <c r="G534" s="19" t="s">
        <v>557</v>
      </c>
      <c r="H534" s="19" t="s">
        <v>3</v>
      </c>
    </row>
    <row r="535" spans="1:8" hidden="1" x14ac:dyDescent="0.25">
      <c r="A535">
        <v>24567166</v>
      </c>
      <c r="B535" s="19" t="s">
        <v>18</v>
      </c>
      <c r="C535" s="19" t="s">
        <v>86</v>
      </c>
      <c r="D535" s="19" t="s">
        <v>382</v>
      </c>
      <c r="E535" s="19" t="s">
        <v>437</v>
      </c>
      <c r="F535" s="19" t="s">
        <v>400</v>
      </c>
      <c r="G535" s="19" t="s">
        <v>557</v>
      </c>
      <c r="H535" s="19" t="s">
        <v>3</v>
      </c>
    </row>
    <row r="536" spans="1:8" hidden="1" x14ac:dyDescent="0.25">
      <c r="A536">
        <v>24567161</v>
      </c>
      <c r="B536" s="19" t="s">
        <v>12</v>
      </c>
      <c r="C536" s="19" t="s">
        <v>86</v>
      </c>
      <c r="D536" s="19" t="s">
        <v>381</v>
      </c>
      <c r="E536" s="19" t="s">
        <v>437</v>
      </c>
      <c r="F536" s="19" t="s">
        <v>400</v>
      </c>
      <c r="G536" s="19" t="s">
        <v>557</v>
      </c>
      <c r="H536" s="19" t="s">
        <v>3</v>
      </c>
    </row>
    <row r="537" spans="1:8" hidden="1" x14ac:dyDescent="0.25">
      <c r="A537">
        <v>24567160</v>
      </c>
      <c r="B537" s="19" t="s">
        <v>12</v>
      </c>
      <c r="C537" s="19" t="s">
        <v>86</v>
      </c>
      <c r="D537" s="19" t="s">
        <v>382</v>
      </c>
      <c r="E537" s="19" t="s">
        <v>437</v>
      </c>
      <c r="F537" s="19" t="s">
        <v>400</v>
      </c>
      <c r="G537" s="19" t="s">
        <v>557</v>
      </c>
      <c r="H537" s="19" t="s">
        <v>3</v>
      </c>
    </row>
    <row r="538" spans="1:8" hidden="1" x14ac:dyDescent="0.25">
      <c r="A538">
        <v>24567156</v>
      </c>
      <c r="B538" s="19" t="s">
        <v>12</v>
      </c>
      <c r="C538" s="19" t="s">
        <v>86</v>
      </c>
      <c r="D538" s="19" t="s">
        <v>381</v>
      </c>
      <c r="E538" s="19" t="s">
        <v>437</v>
      </c>
      <c r="F538" s="19" t="s">
        <v>400</v>
      </c>
      <c r="G538" s="19" t="s">
        <v>557</v>
      </c>
      <c r="H538" s="19" t="s">
        <v>3</v>
      </c>
    </row>
    <row r="539" spans="1:8" hidden="1" x14ac:dyDescent="0.25">
      <c r="A539">
        <v>24567155</v>
      </c>
      <c r="B539" s="19" t="s">
        <v>12</v>
      </c>
      <c r="C539" s="19" t="s">
        <v>86</v>
      </c>
      <c r="D539" s="19" t="s">
        <v>380</v>
      </c>
      <c r="E539" s="19" t="s">
        <v>437</v>
      </c>
      <c r="F539" s="19" t="s">
        <v>400</v>
      </c>
      <c r="G539" s="19" t="s">
        <v>557</v>
      </c>
      <c r="H539" s="19" t="s">
        <v>3</v>
      </c>
    </row>
    <row r="540" spans="1:8" hidden="1" x14ac:dyDescent="0.25">
      <c r="A540">
        <v>24567151</v>
      </c>
      <c r="B540" s="19" t="s">
        <v>12</v>
      </c>
      <c r="C540" s="19" t="s">
        <v>86</v>
      </c>
      <c r="D540" s="19" t="s">
        <v>380</v>
      </c>
      <c r="E540" s="19" t="s">
        <v>437</v>
      </c>
      <c r="F540" s="19" t="s">
        <v>400</v>
      </c>
      <c r="G540" s="19" t="s">
        <v>557</v>
      </c>
      <c r="H540" s="19" t="s">
        <v>3</v>
      </c>
    </row>
    <row r="541" spans="1:8" hidden="1" x14ac:dyDescent="0.25">
      <c r="A541">
        <v>24567150</v>
      </c>
      <c r="B541" s="19" t="s">
        <v>12</v>
      </c>
      <c r="C541" s="19" t="s">
        <v>86</v>
      </c>
      <c r="D541" s="19" t="s">
        <v>380</v>
      </c>
      <c r="E541" s="19" t="s">
        <v>437</v>
      </c>
      <c r="F541" s="19" t="s">
        <v>400</v>
      </c>
      <c r="G541" s="19" t="s">
        <v>557</v>
      </c>
      <c r="H541" s="19" t="s">
        <v>3</v>
      </c>
    </row>
    <row r="542" spans="1:8" hidden="1" x14ac:dyDescent="0.25">
      <c r="A542">
        <v>24567148</v>
      </c>
      <c r="B542" s="19" t="s">
        <v>12</v>
      </c>
      <c r="C542" s="19" t="s">
        <v>86</v>
      </c>
      <c r="D542" s="19" t="s">
        <v>380</v>
      </c>
      <c r="E542" s="19" t="s">
        <v>437</v>
      </c>
      <c r="F542" s="19" t="s">
        <v>400</v>
      </c>
      <c r="G542" s="19" t="s">
        <v>557</v>
      </c>
      <c r="H542" s="19" t="s">
        <v>3</v>
      </c>
    </row>
    <row r="543" spans="1:8" hidden="1" x14ac:dyDescent="0.25">
      <c r="A543">
        <v>24567131</v>
      </c>
      <c r="B543" s="19" t="s">
        <v>12</v>
      </c>
      <c r="C543" s="19" t="s">
        <v>86</v>
      </c>
      <c r="D543" s="19" t="s">
        <v>380</v>
      </c>
      <c r="E543" s="19" t="s">
        <v>437</v>
      </c>
      <c r="F543" s="19" t="s">
        <v>400</v>
      </c>
      <c r="G543" s="19" t="s">
        <v>557</v>
      </c>
      <c r="H543" s="19" t="s">
        <v>3</v>
      </c>
    </row>
    <row r="544" spans="1:8" hidden="1" x14ac:dyDescent="0.25">
      <c r="A544">
        <v>24567117</v>
      </c>
      <c r="B544" s="19" t="s">
        <v>12</v>
      </c>
      <c r="C544" s="19" t="s">
        <v>86</v>
      </c>
      <c r="D544" s="19" t="s">
        <v>380</v>
      </c>
      <c r="E544" s="19" t="s">
        <v>437</v>
      </c>
      <c r="F544" s="19" t="s">
        <v>400</v>
      </c>
      <c r="G544" s="19" t="s">
        <v>557</v>
      </c>
      <c r="H544" s="19" t="s">
        <v>3</v>
      </c>
    </row>
    <row r="545" spans="1:8" hidden="1" x14ac:dyDescent="0.25">
      <c r="A545">
        <v>24567110</v>
      </c>
      <c r="B545" s="19" t="s">
        <v>12</v>
      </c>
      <c r="C545" s="19" t="s">
        <v>86</v>
      </c>
      <c r="D545" s="19" t="s">
        <v>380</v>
      </c>
      <c r="E545" s="19" t="s">
        <v>437</v>
      </c>
      <c r="F545" s="19" t="s">
        <v>400</v>
      </c>
      <c r="G545" s="19" t="s">
        <v>557</v>
      </c>
      <c r="H545" s="19" t="s">
        <v>3</v>
      </c>
    </row>
    <row r="546" spans="1:8" hidden="1" x14ac:dyDescent="0.25">
      <c r="A546">
        <v>24567105</v>
      </c>
      <c r="B546" s="19" t="s">
        <v>12</v>
      </c>
      <c r="C546" s="19" t="s">
        <v>86</v>
      </c>
      <c r="D546" s="19" t="s">
        <v>380</v>
      </c>
      <c r="E546" s="19" t="s">
        <v>437</v>
      </c>
      <c r="F546" s="19" t="s">
        <v>400</v>
      </c>
      <c r="G546" s="19" t="s">
        <v>557</v>
      </c>
      <c r="H546" s="19" t="s">
        <v>3</v>
      </c>
    </row>
    <row r="547" spans="1:8" hidden="1" x14ac:dyDescent="0.25">
      <c r="A547">
        <v>24567085</v>
      </c>
      <c r="B547" s="19" t="s">
        <v>12</v>
      </c>
      <c r="C547" s="19" t="s">
        <v>86</v>
      </c>
      <c r="D547" s="19" t="s">
        <v>380</v>
      </c>
      <c r="E547" s="19" t="s">
        <v>437</v>
      </c>
      <c r="F547" s="19" t="s">
        <v>400</v>
      </c>
      <c r="G547" s="19" t="s">
        <v>557</v>
      </c>
      <c r="H547" s="19" t="s">
        <v>3</v>
      </c>
    </row>
    <row r="548" spans="1:8" hidden="1" x14ac:dyDescent="0.25">
      <c r="A548">
        <v>24567078</v>
      </c>
      <c r="B548" s="19" t="s">
        <v>12</v>
      </c>
      <c r="C548" s="19" t="s">
        <v>86</v>
      </c>
      <c r="D548" s="19" t="s">
        <v>380</v>
      </c>
      <c r="E548" s="19" t="s">
        <v>437</v>
      </c>
      <c r="F548" s="19" t="s">
        <v>400</v>
      </c>
      <c r="G548" s="19" t="s">
        <v>557</v>
      </c>
      <c r="H548" s="19" t="s">
        <v>3</v>
      </c>
    </row>
    <row r="549" spans="1:8" hidden="1" x14ac:dyDescent="0.25">
      <c r="A549">
        <v>24567070</v>
      </c>
      <c r="B549" s="19" t="s">
        <v>18</v>
      </c>
      <c r="C549" s="19" t="s">
        <v>86</v>
      </c>
      <c r="D549" s="19" t="s">
        <v>380</v>
      </c>
      <c r="E549" s="19" t="s">
        <v>437</v>
      </c>
      <c r="F549" s="19" t="s">
        <v>400</v>
      </c>
      <c r="G549" s="19" t="s">
        <v>557</v>
      </c>
      <c r="H549" s="19" t="s">
        <v>3</v>
      </c>
    </row>
    <row r="550" spans="1:8" hidden="1" x14ac:dyDescent="0.25">
      <c r="A550">
        <v>24567064</v>
      </c>
      <c r="B550" s="19" t="s">
        <v>12</v>
      </c>
      <c r="C550" s="19" t="s">
        <v>86</v>
      </c>
      <c r="D550" s="19" t="s">
        <v>488</v>
      </c>
      <c r="E550" s="19" t="s">
        <v>437</v>
      </c>
      <c r="F550" s="19" t="s">
        <v>400</v>
      </c>
      <c r="G550" s="19" t="s">
        <v>557</v>
      </c>
      <c r="H550" s="19" t="s">
        <v>3</v>
      </c>
    </row>
    <row r="551" spans="1:8" hidden="1" x14ac:dyDescent="0.25">
      <c r="A551">
        <v>24567047</v>
      </c>
      <c r="B551" s="19" t="s">
        <v>12</v>
      </c>
      <c r="C551" s="19" t="s">
        <v>86</v>
      </c>
      <c r="D551" s="19" t="s">
        <v>380</v>
      </c>
      <c r="E551" s="19" t="s">
        <v>437</v>
      </c>
      <c r="F551" s="19" t="s">
        <v>400</v>
      </c>
      <c r="G551" s="19" t="s">
        <v>557</v>
      </c>
      <c r="H551" s="19" t="s">
        <v>3</v>
      </c>
    </row>
    <row r="552" spans="1:8" hidden="1" x14ac:dyDescent="0.25">
      <c r="A552">
        <v>24567046</v>
      </c>
      <c r="B552" s="19" t="s">
        <v>12</v>
      </c>
      <c r="C552" s="19" t="s">
        <v>86</v>
      </c>
      <c r="D552" s="19" t="s">
        <v>380</v>
      </c>
      <c r="E552" s="19" t="s">
        <v>437</v>
      </c>
      <c r="F552" s="19" t="s">
        <v>400</v>
      </c>
      <c r="G552" s="19" t="s">
        <v>557</v>
      </c>
      <c r="H552" s="19" t="s">
        <v>3</v>
      </c>
    </row>
    <row r="553" spans="1:8" hidden="1" x14ac:dyDescent="0.25">
      <c r="A553">
        <v>24567039</v>
      </c>
      <c r="B553" s="19" t="s">
        <v>12</v>
      </c>
      <c r="C553" s="19" t="s">
        <v>86</v>
      </c>
      <c r="D553" s="19" t="s">
        <v>380</v>
      </c>
      <c r="E553" s="19" t="s">
        <v>437</v>
      </c>
      <c r="F553" s="19" t="s">
        <v>400</v>
      </c>
      <c r="G553" s="19" t="s">
        <v>557</v>
      </c>
      <c r="H553" s="19" t="s">
        <v>3</v>
      </c>
    </row>
    <row r="554" spans="1:8" hidden="1" x14ac:dyDescent="0.25">
      <c r="A554">
        <v>24567032</v>
      </c>
      <c r="B554" s="19" t="s">
        <v>12</v>
      </c>
      <c r="C554" s="19" t="s">
        <v>86</v>
      </c>
      <c r="D554" s="19" t="s">
        <v>380</v>
      </c>
      <c r="E554" s="19" t="s">
        <v>437</v>
      </c>
      <c r="F554" s="19" t="s">
        <v>400</v>
      </c>
      <c r="G554" s="19" t="s">
        <v>557</v>
      </c>
      <c r="H554" s="19" t="s">
        <v>3</v>
      </c>
    </row>
    <row r="555" spans="1:8" hidden="1" x14ac:dyDescent="0.25">
      <c r="A555">
        <v>24567029</v>
      </c>
      <c r="B555" s="19" t="s">
        <v>12</v>
      </c>
      <c r="C555" s="19" t="s">
        <v>86</v>
      </c>
      <c r="D555" s="19" t="s">
        <v>380</v>
      </c>
      <c r="E555" s="19" t="s">
        <v>437</v>
      </c>
      <c r="F555" s="19" t="s">
        <v>400</v>
      </c>
      <c r="G555" s="19" t="s">
        <v>557</v>
      </c>
      <c r="H555" s="19" t="s">
        <v>3</v>
      </c>
    </row>
    <row r="556" spans="1:8" hidden="1" x14ac:dyDescent="0.25">
      <c r="A556">
        <v>24567021</v>
      </c>
      <c r="B556" s="19" t="s">
        <v>12</v>
      </c>
      <c r="C556" s="19" t="s">
        <v>86</v>
      </c>
      <c r="D556" s="19" t="s">
        <v>380</v>
      </c>
      <c r="E556" s="19" t="s">
        <v>437</v>
      </c>
      <c r="F556" s="19" t="s">
        <v>400</v>
      </c>
      <c r="G556" s="19" t="s">
        <v>557</v>
      </c>
      <c r="H556" s="19" t="s">
        <v>3</v>
      </c>
    </row>
    <row r="557" spans="1:8" hidden="1" x14ac:dyDescent="0.25">
      <c r="A557">
        <v>23323676</v>
      </c>
      <c r="B557" s="19" t="s">
        <v>12</v>
      </c>
      <c r="C557" s="19" t="s">
        <v>26</v>
      </c>
      <c r="D557" s="19" t="s">
        <v>236</v>
      </c>
      <c r="E557" s="19" t="s">
        <v>437</v>
      </c>
      <c r="F557" s="19" t="s">
        <v>400</v>
      </c>
      <c r="G557" s="19" t="s">
        <v>557</v>
      </c>
      <c r="H557" s="19" t="s">
        <v>3</v>
      </c>
    </row>
    <row r="558" spans="1:8" hidden="1" x14ac:dyDescent="0.25">
      <c r="A558">
        <v>20910763</v>
      </c>
      <c r="B558" s="19" t="s">
        <v>12</v>
      </c>
      <c r="C558" s="19" t="s">
        <v>26</v>
      </c>
      <c r="D558" s="19" t="s">
        <v>225</v>
      </c>
      <c r="E558" s="19" t="s">
        <v>437</v>
      </c>
      <c r="F558" s="19" t="s">
        <v>400</v>
      </c>
      <c r="G558" s="19" t="s">
        <v>557</v>
      </c>
      <c r="H558" s="19" t="s">
        <v>3</v>
      </c>
    </row>
    <row r="559" spans="1:8" hidden="1" x14ac:dyDescent="0.25">
      <c r="A559">
        <v>20910612</v>
      </c>
      <c r="B559" s="19" t="s">
        <v>12</v>
      </c>
      <c r="C559" s="19" t="s">
        <v>26</v>
      </c>
      <c r="D559" s="19" t="s">
        <v>75</v>
      </c>
      <c r="E559" s="19" t="s">
        <v>437</v>
      </c>
      <c r="F559" s="19" t="s">
        <v>400</v>
      </c>
      <c r="G559" s="19" t="s">
        <v>557</v>
      </c>
      <c r="H559" s="19" t="s">
        <v>3</v>
      </c>
    </row>
    <row r="560" spans="1:8" hidden="1" x14ac:dyDescent="0.25">
      <c r="A560">
        <v>18943093</v>
      </c>
      <c r="B560" s="19" t="s">
        <v>12</v>
      </c>
      <c r="C560" s="19" t="s">
        <v>26</v>
      </c>
      <c r="D560" s="19" t="s">
        <v>208</v>
      </c>
      <c r="E560" s="19" t="s">
        <v>437</v>
      </c>
      <c r="F560" s="19" t="s">
        <v>400</v>
      </c>
      <c r="G560" s="19" t="s">
        <v>557</v>
      </c>
      <c r="H560" s="19" t="s">
        <v>3</v>
      </c>
    </row>
    <row r="561" spans="1:8" hidden="1" x14ac:dyDescent="0.25">
      <c r="A561">
        <v>18943086</v>
      </c>
      <c r="B561" s="19" t="s">
        <v>12</v>
      </c>
      <c r="C561" s="19" t="s">
        <v>26</v>
      </c>
      <c r="D561" s="19" t="s">
        <v>103</v>
      </c>
      <c r="E561" s="19" t="s">
        <v>443</v>
      </c>
      <c r="F561" s="19" t="s">
        <v>400</v>
      </c>
      <c r="G561" s="19" t="s">
        <v>557</v>
      </c>
      <c r="H561" s="19" t="s">
        <v>3</v>
      </c>
    </row>
    <row r="562" spans="1:8" hidden="1" x14ac:dyDescent="0.25">
      <c r="A562">
        <v>18943058</v>
      </c>
      <c r="B562" s="19" t="s">
        <v>12</v>
      </c>
      <c r="C562" s="19" t="s">
        <v>26</v>
      </c>
      <c r="D562" s="19" t="s">
        <v>106</v>
      </c>
      <c r="E562" s="19" t="s">
        <v>443</v>
      </c>
      <c r="F562" s="19" t="s">
        <v>400</v>
      </c>
      <c r="G562" s="19" t="s">
        <v>557</v>
      </c>
      <c r="H562" s="19" t="s">
        <v>3</v>
      </c>
    </row>
    <row r="563" spans="1:8" hidden="1" x14ac:dyDescent="0.25">
      <c r="A563">
        <v>16705760</v>
      </c>
      <c r="B563" s="19" t="s">
        <v>79</v>
      </c>
      <c r="C563" s="19" t="s">
        <v>26</v>
      </c>
      <c r="D563" s="19" t="s">
        <v>218</v>
      </c>
      <c r="E563" s="19" t="s">
        <v>574</v>
      </c>
      <c r="F563" s="19" t="s">
        <v>400</v>
      </c>
      <c r="G563" s="19" t="s">
        <v>557</v>
      </c>
      <c r="H563" s="19" t="s">
        <v>3</v>
      </c>
    </row>
    <row r="564" spans="1:8" hidden="1" x14ac:dyDescent="0.25">
      <c r="A564">
        <v>16705749</v>
      </c>
      <c r="B564" s="19" t="s">
        <v>12</v>
      </c>
      <c r="C564" s="19" t="s">
        <v>26</v>
      </c>
      <c r="D564" s="19" t="s">
        <v>137</v>
      </c>
      <c r="E564" s="19" t="s">
        <v>561</v>
      </c>
      <c r="F564" s="19" t="s">
        <v>400</v>
      </c>
      <c r="G564" s="19" t="s">
        <v>557</v>
      </c>
      <c r="H564" s="19" t="s">
        <v>3</v>
      </c>
    </row>
    <row r="565" spans="1:8" hidden="1" x14ac:dyDescent="0.25">
      <c r="A565">
        <v>16705714</v>
      </c>
      <c r="B565" s="19" t="s">
        <v>12</v>
      </c>
      <c r="C565" s="19" t="s">
        <v>26</v>
      </c>
      <c r="D565" s="19" t="s">
        <v>180</v>
      </c>
      <c r="E565" s="19" t="s">
        <v>561</v>
      </c>
      <c r="F565" s="19" t="s">
        <v>400</v>
      </c>
      <c r="G565" s="19" t="s">
        <v>557</v>
      </c>
      <c r="H565" s="19" t="s">
        <v>3</v>
      </c>
    </row>
    <row r="566" spans="1:8" hidden="1" x14ac:dyDescent="0.25">
      <c r="A566">
        <v>16390589</v>
      </c>
      <c r="B566" s="19" t="s">
        <v>12</v>
      </c>
      <c r="C566" s="19" t="s">
        <v>26</v>
      </c>
      <c r="D566" s="19" t="s">
        <v>139</v>
      </c>
      <c r="E566" s="19" t="s">
        <v>558</v>
      </c>
      <c r="F566" s="19" t="s">
        <v>400</v>
      </c>
      <c r="G566" s="19" t="s">
        <v>557</v>
      </c>
      <c r="H566" s="19" t="s">
        <v>3</v>
      </c>
    </row>
    <row r="567" spans="1:8" hidden="1" x14ac:dyDescent="0.25">
      <c r="A567">
        <v>16390436</v>
      </c>
      <c r="B567" s="19" t="s">
        <v>18</v>
      </c>
      <c r="C567" s="19" t="s">
        <v>26</v>
      </c>
      <c r="D567" s="19" t="s">
        <v>74</v>
      </c>
      <c r="E567" s="19" t="s">
        <v>437</v>
      </c>
      <c r="F567" s="19" t="s">
        <v>400</v>
      </c>
      <c r="G567" s="19" t="s">
        <v>557</v>
      </c>
      <c r="H567" s="19" t="s">
        <v>3</v>
      </c>
    </row>
    <row r="568" spans="1:8" hidden="1" x14ac:dyDescent="0.25">
      <c r="A568">
        <v>14718247</v>
      </c>
      <c r="B568" s="19" t="s">
        <v>18</v>
      </c>
      <c r="C568" s="19" t="s">
        <v>26</v>
      </c>
      <c r="D568" s="19" t="s">
        <v>242</v>
      </c>
      <c r="E568" s="19" t="s">
        <v>443</v>
      </c>
      <c r="F568" s="19" t="s">
        <v>400</v>
      </c>
      <c r="G568" s="19" t="s">
        <v>557</v>
      </c>
      <c r="H568" s="19" t="s">
        <v>3</v>
      </c>
    </row>
    <row r="569" spans="1:8" hidden="1" x14ac:dyDescent="0.25">
      <c r="A569">
        <v>10932065</v>
      </c>
      <c r="B569" s="19" t="s">
        <v>12</v>
      </c>
      <c r="C569" s="19" t="s">
        <v>26</v>
      </c>
      <c r="D569" s="19" t="s">
        <v>72</v>
      </c>
      <c r="E569" s="19" t="s">
        <v>561</v>
      </c>
      <c r="F569" s="19" t="s">
        <v>400</v>
      </c>
      <c r="G569" s="19" t="s">
        <v>557</v>
      </c>
      <c r="H569" s="19" t="s">
        <v>3</v>
      </c>
    </row>
    <row r="570" spans="1:8" hidden="1" x14ac:dyDescent="0.25">
      <c r="A570">
        <v>8392502</v>
      </c>
      <c r="B570" s="19" t="s">
        <v>12</v>
      </c>
      <c r="C570" s="19" t="s">
        <v>26</v>
      </c>
      <c r="D570" s="19" t="s">
        <v>275</v>
      </c>
      <c r="E570" s="19" t="s">
        <v>437</v>
      </c>
      <c r="F570" s="19" t="s">
        <v>400</v>
      </c>
      <c r="G570" s="19" t="s">
        <v>557</v>
      </c>
      <c r="H570" s="19" t="s">
        <v>3</v>
      </c>
    </row>
    <row r="571" spans="1:8" hidden="1" x14ac:dyDescent="0.25">
      <c r="A571">
        <v>8092117</v>
      </c>
      <c r="B571" s="19" t="s">
        <v>12</v>
      </c>
      <c r="C571" s="19" t="s">
        <v>26</v>
      </c>
      <c r="D571" s="19" t="s">
        <v>180</v>
      </c>
      <c r="E571" s="19" t="s">
        <v>437</v>
      </c>
      <c r="F571" s="19" t="s">
        <v>400</v>
      </c>
      <c r="G571" s="19" t="s">
        <v>557</v>
      </c>
      <c r="H571" s="19" t="s">
        <v>3</v>
      </c>
    </row>
    <row r="572" spans="1:8" hidden="1" x14ac:dyDescent="0.25">
      <c r="A572">
        <v>16705742</v>
      </c>
      <c r="B572" s="19" t="s">
        <v>12</v>
      </c>
      <c r="C572" s="19" t="s">
        <v>26</v>
      </c>
      <c r="D572" s="19" t="s">
        <v>75</v>
      </c>
      <c r="E572" s="19" t="s">
        <v>437</v>
      </c>
      <c r="F572" s="19" t="s">
        <v>400</v>
      </c>
      <c r="G572" s="19" t="s">
        <v>557</v>
      </c>
      <c r="H572" s="19" t="s">
        <v>6</v>
      </c>
    </row>
    <row r="573" spans="1:8" hidden="1" x14ac:dyDescent="0.25">
      <c r="A573">
        <v>16390503</v>
      </c>
      <c r="B573" s="19" t="s">
        <v>12</v>
      </c>
      <c r="C573" s="19" t="s">
        <v>26</v>
      </c>
      <c r="D573" s="19" t="s">
        <v>167</v>
      </c>
      <c r="E573" s="19" t="s">
        <v>441</v>
      </c>
      <c r="F573" s="19" t="s">
        <v>400</v>
      </c>
      <c r="G573" s="19" t="s">
        <v>557</v>
      </c>
      <c r="H573" s="19" t="s">
        <v>6</v>
      </c>
    </row>
    <row r="574" spans="1:8" hidden="1" x14ac:dyDescent="0.25">
      <c r="A574">
        <v>15661366</v>
      </c>
      <c r="B574" s="19" t="s">
        <v>12</v>
      </c>
      <c r="C574" s="19" t="s">
        <v>26</v>
      </c>
      <c r="D574" s="19" t="s">
        <v>168</v>
      </c>
      <c r="E574" s="19" t="s">
        <v>445</v>
      </c>
      <c r="F574" s="19" t="s">
        <v>400</v>
      </c>
      <c r="G574" s="19" t="s">
        <v>557</v>
      </c>
      <c r="H574" s="19" t="s">
        <v>6</v>
      </c>
    </row>
    <row r="575" spans="1:8" hidden="1" x14ac:dyDescent="0.25">
      <c r="A575">
        <v>15661297</v>
      </c>
      <c r="B575" s="19" t="s">
        <v>12</v>
      </c>
      <c r="C575" s="19" t="s">
        <v>26</v>
      </c>
      <c r="D575" s="19" t="s">
        <v>64</v>
      </c>
      <c r="E575" s="19" t="s">
        <v>443</v>
      </c>
      <c r="F575" s="19" t="s">
        <v>400</v>
      </c>
      <c r="G575" s="19" t="s">
        <v>557</v>
      </c>
      <c r="H575" s="19" t="s">
        <v>6</v>
      </c>
    </row>
    <row r="576" spans="1:8" hidden="1" x14ac:dyDescent="0.25">
      <c r="A576">
        <v>14718218</v>
      </c>
      <c r="B576" s="19" t="s">
        <v>12</v>
      </c>
      <c r="C576" s="19" t="s">
        <v>26</v>
      </c>
      <c r="D576" s="19" t="s">
        <v>53</v>
      </c>
      <c r="E576" s="19" t="s">
        <v>443</v>
      </c>
      <c r="F576" s="19" t="s">
        <v>400</v>
      </c>
      <c r="G576" s="19" t="s">
        <v>557</v>
      </c>
      <c r="H576" s="19" t="s">
        <v>6</v>
      </c>
    </row>
    <row r="577" spans="1:8" hidden="1" x14ac:dyDescent="0.25">
      <c r="A577">
        <v>26234477</v>
      </c>
      <c r="B577" s="19" t="s">
        <v>12</v>
      </c>
      <c r="C577" s="19" t="s">
        <v>13</v>
      </c>
      <c r="D577" s="19" t="s">
        <v>684</v>
      </c>
      <c r="E577" s="19" t="s">
        <v>437</v>
      </c>
      <c r="F577" s="19" t="s">
        <v>401</v>
      </c>
      <c r="G577" s="19" t="s">
        <v>557</v>
      </c>
      <c r="H577" s="19" t="s">
        <v>0</v>
      </c>
    </row>
    <row r="578" spans="1:8" hidden="1" x14ac:dyDescent="0.25">
      <c r="A578">
        <v>26234476</v>
      </c>
      <c r="B578" s="19" t="s">
        <v>12</v>
      </c>
      <c r="C578" s="19" t="s">
        <v>13</v>
      </c>
      <c r="D578" s="19" t="s">
        <v>684</v>
      </c>
      <c r="E578" s="19" t="s">
        <v>437</v>
      </c>
      <c r="F578" s="19" t="s">
        <v>401</v>
      </c>
      <c r="G578" s="19" t="s">
        <v>557</v>
      </c>
      <c r="H578" s="19" t="s">
        <v>0</v>
      </c>
    </row>
    <row r="579" spans="1:8" hidden="1" x14ac:dyDescent="0.25">
      <c r="A579">
        <v>26234475</v>
      </c>
      <c r="B579" s="19" t="s">
        <v>12</v>
      </c>
      <c r="C579" s="19" t="s">
        <v>13</v>
      </c>
      <c r="D579" s="19" t="s">
        <v>684</v>
      </c>
      <c r="E579" s="19" t="s">
        <v>437</v>
      </c>
      <c r="F579" s="19" t="s">
        <v>401</v>
      </c>
      <c r="G579" s="19" t="s">
        <v>557</v>
      </c>
      <c r="H579" s="19" t="s">
        <v>0</v>
      </c>
    </row>
    <row r="580" spans="1:8" hidden="1" x14ac:dyDescent="0.25">
      <c r="A580">
        <v>26234474</v>
      </c>
      <c r="B580" s="19" t="s">
        <v>12</v>
      </c>
      <c r="C580" s="19" t="s">
        <v>15</v>
      </c>
      <c r="D580" s="19" t="s">
        <v>684</v>
      </c>
      <c r="E580" s="19" t="s">
        <v>437</v>
      </c>
      <c r="F580" s="19" t="s">
        <v>400</v>
      </c>
      <c r="G580" s="19" t="s">
        <v>557</v>
      </c>
      <c r="H580" s="19" t="s">
        <v>0</v>
      </c>
    </row>
    <row r="581" spans="1:8" hidden="1" x14ac:dyDescent="0.25">
      <c r="A581">
        <v>26234473</v>
      </c>
      <c r="B581" s="19" t="s">
        <v>12</v>
      </c>
      <c r="C581" s="19" t="s">
        <v>15</v>
      </c>
      <c r="D581" s="19" t="s">
        <v>684</v>
      </c>
      <c r="E581" s="19" t="s">
        <v>437</v>
      </c>
      <c r="F581" s="19" t="s">
        <v>400</v>
      </c>
      <c r="G581" s="19" t="s">
        <v>557</v>
      </c>
      <c r="H581" s="19" t="s">
        <v>0</v>
      </c>
    </row>
    <row r="582" spans="1:8" hidden="1" x14ac:dyDescent="0.25">
      <c r="A582">
        <v>26234472</v>
      </c>
      <c r="B582" s="19" t="s">
        <v>18</v>
      </c>
      <c r="C582" s="19" t="s">
        <v>13</v>
      </c>
      <c r="D582" s="19" t="s">
        <v>684</v>
      </c>
      <c r="E582" s="19" t="s">
        <v>437</v>
      </c>
      <c r="F582" s="19" t="s">
        <v>401</v>
      </c>
      <c r="G582" s="19" t="s">
        <v>557</v>
      </c>
      <c r="H582" s="19" t="s">
        <v>0</v>
      </c>
    </row>
    <row r="583" spans="1:8" hidden="1" x14ac:dyDescent="0.25">
      <c r="A583">
        <v>26234471</v>
      </c>
      <c r="B583" s="19" t="s">
        <v>79</v>
      </c>
      <c r="C583" s="19" t="s">
        <v>13</v>
      </c>
      <c r="D583" s="19" t="s">
        <v>684</v>
      </c>
      <c r="E583" s="19" t="s">
        <v>437</v>
      </c>
      <c r="F583" s="19" t="s">
        <v>401</v>
      </c>
      <c r="G583" s="19" t="s">
        <v>557</v>
      </c>
      <c r="H583" s="19" t="s">
        <v>0</v>
      </c>
    </row>
    <row r="584" spans="1:8" hidden="1" x14ac:dyDescent="0.25">
      <c r="A584">
        <v>26234470</v>
      </c>
      <c r="B584" s="19" t="s">
        <v>79</v>
      </c>
      <c r="C584" s="19" t="s">
        <v>13</v>
      </c>
      <c r="D584" s="19" t="s">
        <v>684</v>
      </c>
      <c r="E584" s="19" t="s">
        <v>437</v>
      </c>
      <c r="F584" s="19" t="s">
        <v>401</v>
      </c>
      <c r="G584" s="19" t="s">
        <v>557</v>
      </c>
      <c r="H584" s="19" t="s">
        <v>0</v>
      </c>
    </row>
    <row r="585" spans="1:8" hidden="1" x14ac:dyDescent="0.25">
      <c r="A585">
        <v>26234469</v>
      </c>
      <c r="B585" s="19" t="s">
        <v>79</v>
      </c>
      <c r="C585" s="19" t="s">
        <v>13</v>
      </c>
      <c r="D585" s="19" t="s">
        <v>684</v>
      </c>
      <c r="E585" s="19" t="s">
        <v>437</v>
      </c>
      <c r="F585" s="19" t="s">
        <v>401</v>
      </c>
      <c r="G585" s="19" t="s">
        <v>557</v>
      </c>
      <c r="H585" s="19" t="s">
        <v>0</v>
      </c>
    </row>
    <row r="586" spans="1:8" hidden="1" x14ac:dyDescent="0.25">
      <c r="A586">
        <v>26234468</v>
      </c>
      <c r="B586" s="19" t="s">
        <v>79</v>
      </c>
      <c r="C586" s="19" t="s">
        <v>15</v>
      </c>
      <c r="D586" s="19" t="s">
        <v>684</v>
      </c>
      <c r="E586" s="19" t="s">
        <v>437</v>
      </c>
      <c r="F586" s="19" t="s">
        <v>400</v>
      </c>
      <c r="G586" s="19" t="s">
        <v>557</v>
      </c>
      <c r="H586" s="19" t="s">
        <v>0</v>
      </c>
    </row>
    <row r="587" spans="1:8" hidden="1" x14ac:dyDescent="0.25">
      <c r="A587">
        <v>26234467</v>
      </c>
      <c r="B587" s="19" t="s">
        <v>79</v>
      </c>
      <c r="C587" s="19" t="s">
        <v>13</v>
      </c>
      <c r="D587" s="19" t="s">
        <v>684</v>
      </c>
      <c r="E587" s="19" t="s">
        <v>437</v>
      </c>
      <c r="F587" s="19" t="s">
        <v>401</v>
      </c>
      <c r="G587" s="19" t="s">
        <v>557</v>
      </c>
      <c r="H587" s="19" t="s">
        <v>0</v>
      </c>
    </row>
    <row r="588" spans="1:8" hidden="1" x14ac:dyDescent="0.25">
      <c r="A588">
        <v>26234466</v>
      </c>
      <c r="B588" s="19" t="s">
        <v>79</v>
      </c>
      <c r="C588" s="19" t="s">
        <v>13</v>
      </c>
      <c r="D588" s="19" t="s">
        <v>684</v>
      </c>
      <c r="E588" s="19" t="s">
        <v>437</v>
      </c>
      <c r="F588" s="19" t="s">
        <v>401</v>
      </c>
      <c r="G588" s="19" t="s">
        <v>557</v>
      </c>
      <c r="H588" s="19" t="s">
        <v>0</v>
      </c>
    </row>
    <row r="589" spans="1:8" hidden="1" x14ac:dyDescent="0.25">
      <c r="A589">
        <v>26234465</v>
      </c>
      <c r="B589" s="19" t="s">
        <v>79</v>
      </c>
      <c r="C589" s="19" t="s">
        <v>15</v>
      </c>
      <c r="D589" s="19" t="s">
        <v>684</v>
      </c>
      <c r="E589" s="19" t="s">
        <v>437</v>
      </c>
      <c r="F589" s="19" t="s">
        <v>400</v>
      </c>
      <c r="G589" s="19" t="s">
        <v>557</v>
      </c>
      <c r="H589" s="19" t="s">
        <v>0</v>
      </c>
    </row>
    <row r="590" spans="1:8" hidden="1" x14ac:dyDescent="0.25">
      <c r="A590">
        <v>26234464</v>
      </c>
      <c r="B590" s="19" t="s">
        <v>79</v>
      </c>
      <c r="C590" s="19" t="s">
        <v>15</v>
      </c>
      <c r="D590" s="19" t="s">
        <v>684</v>
      </c>
      <c r="E590" s="19" t="s">
        <v>437</v>
      </c>
      <c r="F590" s="19" t="s">
        <v>400</v>
      </c>
      <c r="G590" s="19" t="s">
        <v>557</v>
      </c>
      <c r="H590" s="19" t="s">
        <v>0</v>
      </c>
    </row>
    <row r="591" spans="1:8" hidden="1" x14ac:dyDescent="0.25">
      <c r="A591">
        <v>26234463</v>
      </c>
      <c r="B591" s="19" t="s">
        <v>18</v>
      </c>
      <c r="C591" s="19" t="s">
        <v>15</v>
      </c>
      <c r="D591" s="19" t="s">
        <v>684</v>
      </c>
      <c r="E591" s="19" t="s">
        <v>437</v>
      </c>
      <c r="F591" s="19" t="s">
        <v>400</v>
      </c>
      <c r="G591" s="19" t="s">
        <v>557</v>
      </c>
      <c r="H591" s="19" t="s">
        <v>0</v>
      </c>
    </row>
    <row r="592" spans="1:8" hidden="1" x14ac:dyDescent="0.25">
      <c r="A592">
        <v>26234462</v>
      </c>
      <c r="B592" s="19" t="s">
        <v>12</v>
      </c>
      <c r="C592" s="19" t="s">
        <v>15</v>
      </c>
      <c r="D592" s="19" t="s">
        <v>684</v>
      </c>
      <c r="E592" s="19" t="s">
        <v>437</v>
      </c>
      <c r="F592" s="19" t="s">
        <v>400</v>
      </c>
      <c r="G592" s="19" t="s">
        <v>557</v>
      </c>
      <c r="H592" s="19" t="s">
        <v>0</v>
      </c>
    </row>
    <row r="593" spans="1:8" hidden="1" x14ac:dyDescent="0.25">
      <c r="A593">
        <v>26234461</v>
      </c>
      <c r="B593" s="19" t="s">
        <v>12</v>
      </c>
      <c r="C593" s="19" t="s">
        <v>13</v>
      </c>
      <c r="D593" s="19" t="s">
        <v>684</v>
      </c>
      <c r="E593" s="19" t="s">
        <v>437</v>
      </c>
      <c r="F593" s="19" t="s">
        <v>401</v>
      </c>
      <c r="G593" s="19" t="s">
        <v>557</v>
      </c>
      <c r="H593" s="19" t="s">
        <v>0</v>
      </c>
    </row>
    <row r="594" spans="1:8" hidden="1" x14ac:dyDescent="0.25">
      <c r="A594">
        <v>26234278</v>
      </c>
      <c r="B594" s="19" t="s">
        <v>18</v>
      </c>
      <c r="C594" s="19" t="s">
        <v>15</v>
      </c>
      <c r="D594" s="19" t="s">
        <v>577</v>
      </c>
      <c r="E594" s="19" t="s">
        <v>437</v>
      </c>
      <c r="F594" s="19" t="s">
        <v>400</v>
      </c>
      <c r="G594" s="19" t="s">
        <v>557</v>
      </c>
      <c r="H594" s="19" t="s">
        <v>0</v>
      </c>
    </row>
    <row r="595" spans="1:8" hidden="1" x14ac:dyDescent="0.25">
      <c r="A595">
        <v>26234277</v>
      </c>
      <c r="B595" s="19" t="s">
        <v>12</v>
      </c>
      <c r="C595" s="19" t="s">
        <v>15</v>
      </c>
      <c r="D595" s="19" t="s">
        <v>577</v>
      </c>
      <c r="E595" s="19" t="s">
        <v>437</v>
      </c>
      <c r="F595" s="19" t="s">
        <v>400</v>
      </c>
      <c r="G595" s="19" t="s">
        <v>557</v>
      </c>
      <c r="H595" s="19" t="s">
        <v>0</v>
      </c>
    </row>
    <row r="596" spans="1:8" hidden="1" x14ac:dyDescent="0.25">
      <c r="A596">
        <v>26234276</v>
      </c>
      <c r="B596" s="19" t="s">
        <v>12</v>
      </c>
      <c r="C596" s="19" t="s">
        <v>15</v>
      </c>
      <c r="D596" s="19" t="s">
        <v>577</v>
      </c>
      <c r="E596" s="19" t="s">
        <v>437</v>
      </c>
      <c r="F596" s="19" t="s">
        <v>400</v>
      </c>
      <c r="G596" s="19" t="s">
        <v>557</v>
      </c>
      <c r="H596" s="19" t="s">
        <v>0</v>
      </c>
    </row>
    <row r="597" spans="1:8" hidden="1" x14ac:dyDescent="0.25">
      <c r="A597">
        <v>26234275</v>
      </c>
      <c r="B597" s="19" t="s">
        <v>12</v>
      </c>
      <c r="C597" s="19" t="s">
        <v>13</v>
      </c>
      <c r="D597" s="19" t="s">
        <v>577</v>
      </c>
      <c r="E597" s="19" t="s">
        <v>437</v>
      </c>
      <c r="F597" s="19" t="s">
        <v>401</v>
      </c>
      <c r="G597" s="19" t="s">
        <v>557</v>
      </c>
      <c r="H597" s="19" t="s">
        <v>0</v>
      </c>
    </row>
    <row r="598" spans="1:8" hidden="1" x14ac:dyDescent="0.25">
      <c r="A598">
        <v>26234274</v>
      </c>
      <c r="B598" s="19" t="s">
        <v>12</v>
      </c>
      <c r="C598" s="19" t="s">
        <v>13</v>
      </c>
      <c r="D598" s="19" t="s">
        <v>577</v>
      </c>
      <c r="E598" s="19" t="s">
        <v>437</v>
      </c>
      <c r="F598" s="19" t="s">
        <v>401</v>
      </c>
      <c r="G598" s="19" t="s">
        <v>557</v>
      </c>
      <c r="H598" s="19" t="s">
        <v>0</v>
      </c>
    </row>
    <row r="599" spans="1:8" hidden="1" x14ac:dyDescent="0.25">
      <c r="A599">
        <v>26234273</v>
      </c>
      <c r="B599" s="19" t="s">
        <v>18</v>
      </c>
      <c r="C599" s="19" t="s">
        <v>13</v>
      </c>
      <c r="D599" s="19" t="s">
        <v>577</v>
      </c>
      <c r="E599" s="19" t="s">
        <v>437</v>
      </c>
      <c r="F599" s="19" t="s">
        <v>401</v>
      </c>
      <c r="G599" s="19" t="s">
        <v>557</v>
      </c>
      <c r="H599" s="19" t="s">
        <v>0</v>
      </c>
    </row>
    <row r="600" spans="1:8" hidden="1" x14ac:dyDescent="0.25">
      <c r="A600">
        <v>26234272</v>
      </c>
      <c r="B600" s="19" t="s">
        <v>18</v>
      </c>
      <c r="C600" s="19" t="s">
        <v>15</v>
      </c>
      <c r="D600" s="19" t="s">
        <v>577</v>
      </c>
      <c r="E600" s="19" t="s">
        <v>437</v>
      </c>
      <c r="F600" s="19" t="s">
        <v>400</v>
      </c>
      <c r="G600" s="19" t="s">
        <v>557</v>
      </c>
      <c r="H600" s="19" t="s">
        <v>0</v>
      </c>
    </row>
    <row r="601" spans="1:8" hidden="1" x14ac:dyDescent="0.25">
      <c r="A601">
        <v>26234271</v>
      </c>
      <c r="B601" s="19" t="s">
        <v>12</v>
      </c>
      <c r="C601" s="19" t="s">
        <v>13</v>
      </c>
      <c r="D601" s="19" t="s">
        <v>577</v>
      </c>
      <c r="E601" s="19" t="s">
        <v>437</v>
      </c>
      <c r="F601" s="19" t="s">
        <v>401</v>
      </c>
      <c r="G601" s="19" t="s">
        <v>557</v>
      </c>
      <c r="H601" s="19" t="s">
        <v>0</v>
      </c>
    </row>
    <row r="602" spans="1:8" hidden="1" x14ac:dyDescent="0.25">
      <c r="A602">
        <v>26234270</v>
      </c>
      <c r="B602" s="19" t="s">
        <v>12</v>
      </c>
      <c r="C602" s="19" t="s">
        <v>15</v>
      </c>
      <c r="D602" s="19" t="s">
        <v>577</v>
      </c>
      <c r="E602" s="19" t="s">
        <v>437</v>
      </c>
      <c r="F602" s="19" t="s">
        <v>400</v>
      </c>
      <c r="G602" s="19" t="s">
        <v>557</v>
      </c>
      <c r="H602" s="19" t="s">
        <v>0</v>
      </c>
    </row>
    <row r="603" spans="1:8" hidden="1" x14ac:dyDescent="0.25">
      <c r="A603">
        <v>26234269</v>
      </c>
      <c r="B603" s="19" t="s">
        <v>12</v>
      </c>
      <c r="C603" s="19" t="s">
        <v>13</v>
      </c>
      <c r="D603" s="19" t="s">
        <v>577</v>
      </c>
      <c r="E603" s="19" t="s">
        <v>437</v>
      </c>
      <c r="F603" s="19" t="s">
        <v>401</v>
      </c>
      <c r="G603" s="19" t="s">
        <v>557</v>
      </c>
      <c r="H603" s="19" t="s">
        <v>0</v>
      </c>
    </row>
    <row r="604" spans="1:8" hidden="1" x14ac:dyDescent="0.25">
      <c r="A604">
        <v>26234268</v>
      </c>
      <c r="B604" s="19" t="s">
        <v>12</v>
      </c>
      <c r="C604" s="19" t="s">
        <v>15</v>
      </c>
      <c r="D604" s="19" t="s">
        <v>577</v>
      </c>
      <c r="E604" s="19" t="s">
        <v>437</v>
      </c>
      <c r="F604" s="19" t="s">
        <v>400</v>
      </c>
      <c r="G604" s="19" t="s">
        <v>557</v>
      </c>
      <c r="H604" s="19" t="s">
        <v>0</v>
      </c>
    </row>
    <row r="605" spans="1:8" hidden="1" x14ac:dyDescent="0.25">
      <c r="A605">
        <v>26234267</v>
      </c>
      <c r="B605" s="19" t="s">
        <v>12</v>
      </c>
      <c r="C605" s="19" t="s">
        <v>13</v>
      </c>
      <c r="D605" s="19" t="s">
        <v>577</v>
      </c>
      <c r="E605" s="19" t="s">
        <v>437</v>
      </c>
      <c r="F605" s="19" t="s">
        <v>401</v>
      </c>
      <c r="G605" s="19" t="s">
        <v>557</v>
      </c>
      <c r="H605" s="19" t="s">
        <v>0</v>
      </c>
    </row>
    <row r="606" spans="1:8" hidden="1" x14ac:dyDescent="0.25">
      <c r="A606">
        <v>26234266</v>
      </c>
      <c r="B606" s="19" t="s">
        <v>12</v>
      </c>
      <c r="C606" s="19" t="s">
        <v>15</v>
      </c>
      <c r="D606" s="19" t="s">
        <v>577</v>
      </c>
      <c r="E606" s="19" t="s">
        <v>437</v>
      </c>
      <c r="F606" s="19" t="s">
        <v>400</v>
      </c>
      <c r="G606" s="19" t="s">
        <v>557</v>
      </c>
      <c r="H606" s="19" t="s">
        <v>0</v>
      </c>
    </row>
    <row r="607" spans="1:8" hidden="1" x14ac:dyDescent="0.25">
      <c r="A607">
        <v>26234265</v>
      </c>
      <c r="B607" s="19" t="s">
        <v>12</v>
      </c>
      <c r="C607" s="19" t="s">
        <v>13</v>
      </c>
      <c r="D607" s="19" t="s">
        <v>577</v>
      </c>
      <c r="E607" s="19" t="s">
        <v>437</v>
      </c>
      <c r="F607" s="19" t="s">
        <v>401</v>
      </c>
      <c r="G607" s="19" t="s">
        <v>557</v>
      </c>
      <c r="H607" s="19" t="s">
        <v>0</v>
      </c>
    </row>
    <row r="608" spans="1:8" hidden="1" x14ac:dyDescent="0.25">
      <c r="A608">
        <v>26234264</v>
      </c>
      <c r="B608" s="19" t="s">
        <v>12</v>
      </c>
      <c r="C608" s="19" t="s">
        <v>13</v>
      </c>
      <c r="D608" s="19" t="s">
        <v>577</v>
      </c>
      <c r="E608" s="19" t="s">
        <v>437</v>
      </c>
      <c r="F608" s="19" t="s">
        <v>401</v>
      </c>
      <c r="G608" s="19" t="s">
        <v>557</v>
      </c>
      <c r="H608" s="19" t="s">
        <v>0</v>
      </c>
    </row>
    <row r="609" spans="1:8" hidden="1" x14ac:dyDescent="0.25">
      <c r="A609">
        <v>26234262</v>
      </c>
      <c r="B609" s="19" t="s">
        <v>12</v>
      </c>
      <c r="C609" s="19" t="s">
        <v>15</v>
      </c>
      <c r="D609" s="19" t="s">
        <v>577</v>
      </c>
      <c r="E609" s="19" t="s">
        <v>437</v>
      </c>
      <c r="F609" s="19" t="s">
        <v>400</v>
      </c>
      <c r="G609" s="19" t="s">
        <v>557</v>
      </c>
      <c r="H609" s="19" t="s">
        <v>0</v>
      </c>
    </row>
    <row r="610" spans="1:8" hidden="1" x14ac:dyDescent="0.25">
      <c r="A610">
        <v>26234261</v>
      </c>
      <c r="B610" s="19" t="s">
        <v>12</v>
      </c>
      <c r="C610" s="19" t="s">
        <v>15</v>
      </c>
      <c r="D610" s="19" t="s">
        <v>577</v>
      </c>
      <c r="E610" s="19" t="s">
        <v>437</v>
      </c>
      <c r="F610" s="19" t="s">
        <v>400</v>
      </c>
      <c r="G610" s="19" t="s">
        <v>557</v>
      </c>
      <c r="H610" s="19" t="s">
        <v>0</v>
      </c>
    </row>
    <row r="611" spans="1:8" hidden="1" x14ac:dyDescent="0.25">
      <c r="A611">
        <v>26234260</v>
      </c>
      <c r="B611" s="19" t="s">
        <v>12</v>
      </c>
      <c r="C611" s="19" t="s">
        <v>13</v>
      </c>
      <c r="D611" s="19" t="s">
        <v>577</v>
      </c>
      <c r="E611" s="19" t="s">
        <v>437</v>
      </c>
      <c r="F611" s="19" t="s">
        <v>401</v>
      </c>
      <c r="G611" s="19" t="s">
        <v>557</v>
      </c>
      <c r="H611" s="19" t="s">
        <v>0</v>
      </c>
    </row>
    <row r="612" spans="1:8" hidden="1" x14ac:dyDescent="0.25">
      <c r="A612">
        <v>26234259</v>
      </c>
      <c r="B612" s="19" t="s">
        <v>12</v>
      </c>
      <c r="C612" s="19" t="s">
        <v>15</v>
      </c>
      <c r="D612" s="19" t="s">
        <v>577</v>
      </c>
      <c r="E612" s="19" t="s">
        <v>437</v>
      </c>
      <c r="F612" s="19" t="s">
        <v>400</v>
      </c>
      <c r="G612" s="19" t="s">
        <v>557</v>
      </c>
      <c r="H612" s="19" t="s">
        <v>0</v>
      </c>
    </row>
    <row r="613" spans="1:8" hidden="1" x14ac:dyDescent="0.25">
      <c r="A613">
        <v>26234258</v>
      </c>
      <c r="B613" s="19" t="s">
        <v>12</v>
      </c>
      <c r="C613" s="19" t="s">
        <v>15</v>
      </c>
      <c r="D613" s="19" t="s">
        <v>577</v>
      </c>
      <c r="E613" s="19" t="s">
        <v>437</v>
      </c>
      <c r="F613" s="19" t="s">
        <v>400</v>
      </c>
      <c r="G613" s="19" t="s">
        <v>557</v>
      </c>
      <c r="H613" s="19" t="s">
        <v>0</v>
      </c>
    </row>
    <row r="614" spans="1:8" hidden="1" x14ac:dyDescent="0.25">
      <c r="A614">
        <v>26234257</v>
      </c>
      <c r="B614" s="19" t="s">
        <v>12</v>
      </c>
      <c r="C614" s="19" t="s">
        <v>13</v>
      </c>
      <c r="D614" s="19" t="s">
        <v>577</v>
      </c>
      <c r="E614" s="19" t="s">
        <v>437</v>
      </c>
      <c r="F614" s="19" t="s">
        <v>401</v>
      </c>
      <c r="G614" s="19" t="s">
        <v>557</v>
      </c>
      <c r="H614" s="19" t="s">
        <v>0</v>
      </c>
    </row>
    <row r="615" spans="1:8" hidden="1" x14ac:dyDescent="0.25">
      <c r="A615">
        <v>26234256</v>
      </c>
      <c r="B615" s="19" t="s">
        <v>12</v>
      </c>
      <c r="C615" s="19" t="s">
        <v>15</v>
      </c>
      <c r="D615" s="19" t="s">
        <v>577</v>
      </c>
      <c r="E615" s="19" t="s">
        <v>437</v>
      </c>
      <c r="F615" s="19" t="s">
        <v>400</v>
      </c>
      <c r="G615" s="19" t="s">
        <v>557</v>
      </c>
      <c r="H615" s="19" t="s">
        <v>0</v>
      </c>
    </row>
    <row r="616" spans="1:8" hidden="1" x14ac:dyDescent="0.25">
      <c r="A616">
        <v>26234255</v>
      </c>
      <c r="B616" s="19" t="s">
        <v>12</v>
      </c>
      <c r="C616" s="19" t="s">
        <v>15</v>
      </c>
      <c r="D616" s="19" t="s">
        <v>577</v>
      </c>
      <c r="E616" s="19" t="s">
        <v>437</v>
      </c>
      <c r="F616" s="19" t="s">
        <v>400</v>
      </c>
      <c r="G616" s="19" t="s">
        <v>557</v>
      </c>
      <c r="H616" s="19" t="s">
        <v>0</v>
      </c>
    </row>
    <row r="617" spans="1:8" hidden="1" x14ac:dyDescent="0.25">
      <c r="A617">
        <v>26234254</v>
      </c>
      <c r="B617" s="19" t="s">
        <v>12</v>
      </c>
      <c r="C617" s="19" t="s">
        <v>15</v>
      </c>
      <c r="D617" s="19" t="s">
        <v>577</v>
      </c>
      <c r="E617" s="19" t="s">
        <v>437</v>
      </c>
      <c r="F617" s="19" t="s">
        <v>400</v>
      </c>
      <c r="G617" s="19" t="s">
        <v>557</v>
      </c>
      <c r="H617" s="19" t="s">
        <v>0</v>
      </c>
    </row>
    <row r="618" spans="1:8" hidden="1" x14ac:dyDescent="0.25">
      <c r="A618">
        <v>26234253</v>
      </c>
      <c r="B618" s="19" t="s">
        <v>12</v>
      </c>
      <c r="C618" s="19" t="s">
        <v>15</v>
      </c>
      <c r="D618" s="19" t="s">
        <v>577</v>
      </c>
      <c r="E618" s="19" t="s">
        <v>437</v>
      </c>
      <c r="F618" s="19" t="s">
        <v>400</v>
      </c>
      <c r="G618" s="19" t="s">
        <v>557</v>
      </c>
      <c r="H618" s="19" t="s">
        <v>0</v>
      </c>
    </row>
    <row r="619" spans="1:8" hidden="1" x14ac:dyDescent="0.25">
      <c r="A619">
        <v>26234252</v>
      </c>
      <c r="B619" s="19" t="s">
        <v>12</v>
      </c>
      <c r="C619" s="19" t="s">
        <v>13</v>
      </c>
      <c r="D619" s="19" t="s">
        <v>577</v>
      </c>
      <c r="E619" s="19" t="s">
        <v>437</v>
      </c>
      <c r="F619" s="19" t="s">
        <v>401</v>
      </c>
      <c r="G619" s="19" t="s">
        <v>557</v>
      </c>
      <c r="H619" s="19" t="s">
        <v>0</v>
      </c>
    </row>
    <row r="620" spans="1:8" hidden="1" x14ac:dyDescent="0.25">
      <c r="A620">
        <v>26234251</v>
      </c>
      <c r="B620" s="19" t="s">
        <v>12</v>
      </c>
      <c r="C620" s="19" t="s">
        <v>15</v>
      </c>
      <c r="D620" s="19" t="s">
        <v>577</v>
      </c>
      <c r="E620" s="19" t="s">
        <v>437</v>
      </c>
      <c r="F620" s="19" t="s">
        <v>400</v>
      </c>
      <c r="G620" s="19" t="s">
        <v>557</v>
      </c>
      <c r="H620" s="19" t="s">
        <v>0</v>
      </c>
    </row>
    <row r="621" spans="1:8" hidden="1" x14ac:dyDescent="0.25">
      <c r="A621">
        <v>26234250</v>
      </c>
      <c r="B621" s="19" t="s">
        <v>12</v>
      </c>
      <c r="C621" s="19" t="s">
        <v>15</v>
      </c>
      <c r="D621" s="19" t="s">
        <v>577</v>
      </c>
      <c r="E621" s="19" t="s">
        <v>437</v>
      </c>
      <c r="F621" s="19" t="s">
        <v>400</v>
      </c>
      <c r="G621" s="19" t="s">
        <v>557</v>
      </c>
      <c r="H621" s="19" t="s">
        <v>0</v>
      </c>
    </row>
    <row r="622" spans="1:8" hidden="1" x14ac:dyDescent="0.25">
      <c r="A622">
        <v>26234249</v>
      </c>
      <c r="B622" s="19" t="s">
        <v>18</v>
      </c>
      <c r="C622" s="19" t="s">
        <v>15</v>
      </c>
      <c r="D622" s="19" t="s">
        <v>577</v>
      </c>
      <c r="E622" s="19" t="s">
        <v>437</v>
      </c>
      <c r="F622" s="19" t="s">
        <v>400</v>
      </c>
      <c r="G622" s="19" t="s">
        <v>557</v>
      </c>
      <c r="H622" s="19" t="s">
        <v>0</v>
      </c>
    </row>
    <row r="623" spans="1:8" hidden="1" x14ac:dyDescent="0.25">
      <c r="A623">
        <v>26234248</v>
      </c>
      <c r="B623" s="19" t="s">
        <v>12</v>
      </c>
      <c r="C623" s="19" t="s">
        <v>15</v>
      </c>
      <c r="D623" s="19" t="s">
        <v>577</v>
      </c>
      <c r="E623" s="19" t="s">
        <v>437</v>
      </c>
      <c r="F623" s="19" t="s">
        <v>400</v>
      </c>
      <c r="G623" s="19" t="s">
        <v>557</v>
      </c>
      <c r="H623" s="19" t="s">
        <v>0</v>
      </c>
    </row>
    <row r="624" spans="1:8" hidden="1" x14ac:dyDescent="0.25">
      <c r="A624">
        <v>26234247</v>
      </c>
      <c r="B624" s="19" t="s">
        <v>12</v>
      </c>
      <c r="C624" s="19" t="s">
        <v>15</v>
      </c>
      <c r="D624" s="19" t="s">
        <v>577</v>
      </c>
      <c r="E624" s="19" t="s">
        <v>437</v>
      </c>
      <c r="F624" s="19" t="s">
        <v>400</v>
      </c>
      <c r="G624" s="19" t="s">
        <v>557</v>
      </c>
      <c r="H624" s="19" t="s">
        <v>0</v>
      </c>
    </row>
    <row r="625" spans="1:8" hidden="1" x14ac:dyDescent="0.25">
      <c r="A625">
        <v>26234246</v>
      </c>
      <c r="B625" s="19" t="s">
        <v>12</v>
      </c>
      <c r="C625" s="19" t="s">
        <v>15</v>
      </c>
      <c r="D625" s="19" t="s">
        <v>577</v>
      </c>
      <c r="E625" s="19" t="s">
        <v>437</v>
      </c>
      <c r="F625" s="19" t="s">
        <v>400</v>
      </c>
      <c r="G625" s="19" t="s">
        <v>557</v>
      </c>
      <c r="H625" s="19" t="s">
        <v>0</v>
      </c>
    </row>
    <row r="626" spans="1:8" hidden="1" x14ac:dyDescent="0.25">
      <c r="A626">
        <v>26234245</v>
      </c>
      <c r="B626" s="19" t="s">
        <v>18</v>
      </c>
      <c r="C626" s="19" t="s">
        <v>13</v>
      </c>
      <c r="D626" s="19" t="s">
        <v>577</v>
      </c>
      <c r="E626" s="19" t="s">
        <v>437</v>
      </c>
      <c r="F626" s="19" t="s">
        <v>401</v>
      </c>
      <c r="G626" s="19" t="s">
        <v>557</v>
      </c>
      <c r="H626" s="19" t="s">
        <v>0</v>
      </c>
    </row>
    <row r="627" spans="1:8" hidden="1" x14ac:dyDescent="0.25">
      <c r="A627">
        <v>26234244</v>
      </c>
      <c r="B627" s="19" t="s">
        <v>12</v>
      </c>
      <c r="C627" s="19" t="s">
        <v>13</v>
      </c>
      <c r="D627" s="19" t="s">
        <v>577</v>
      </c>
      <c r="E627" s="19" t="s">
        <v>437</v>
      </c>
      <c r="F627" s="19" t="s">
        <v>401</v>
      </c>
      <c r="G627" s="19" t="s">
        <v>557</v>
      </c>
      <c r="H627" s="19" t="s">
        <v>0</v>
      </c>
    </row>
    <row r="628" spans="1:8" hidden="1" x14ac:dyDescent="0.25">
      <c r="A628">
        <v>26234243</v>
      </c>
      <c r="B628" s="19" t="s">
        <v>12</v>
      </c>
      <c r="C628" s="19" t="s">
        <v>15</v>
      </c>
      <c r="D628" s="19" t="s">
        <v>577</v>
      </c>
      <c r="E628" s="19" t="s">
        <v>437</v>
      </c>
      <c r="F628" s="19" t="s">
        <v>400</v>
      </c>
      <c r="G628" s="19" t="s">
        <v>557</v>
      </c>
      <c r="H628" s="19" t="s">
        <v>0</v>
      </c>
    </row>
    <row r="629" spans="1:8" hidden="1" x14ac:dyDescent="0.25">
      <c r="A629">
        <v>26234242</v>
      </c>
      <c r="B629" s="19" t="s">
        <v>12</v>
      </c>
      <c r="C629" s="19" t="s">
        <v>13</v>
      </c>
      <c r="D629" s="19" t="s">
        <v>577</v>
      </c>
      <c r="E629" s="19" t="s">
        <v>437</v>
      </c>
      <c r="F629" s="19" t="s">
        <v>401</v>
      </c>
      <c r="G629" s="19" t="s">
        <v>557</v>
      </c>
      <c r="H629" s="19" t="s">
        <v>0</v>
      </c>
    </row>
    <row r="630" spans="1:8" hidden="1" x14ac:dyDescent="0.25">
      <c r="A630">
        <v>26234241</v>
      </c>
      <c r="B630" s="19" t="s">
        <v>12</v>
      </c>
      <c r="C630" s="19" t="s">
        <v>15</v>
      </c>
      <c r="D630" s="19" t="s">
        <v>577</v>
      </c>
      <c r="E630" s="19" t="s">
        <v>437</v>
      </c>
      <c r="F630" s="19" t="s">
        <v>400</v>
      </c>
      <c r="G630" s="19" t="s">
        <v>557</v>
      </c>
      <c r="H630" s="19" t="s">
        <v>0</v>
      </c>
    </row>
    <row r="631" spans="1:8" hidden="1" x14ac:dyDescent="0.25">
      <c r="A631">
        <v>26234240</v>
      </c>
      <c r="B631" s="19" t="s">
        <v>12</v>
      </c>
      <c r="C631" s="19" t="s">
        <v>13</v>
      </c>
      <c r="D631" s="19" t="s">
        <v>577</v>
      </c>
      <c r="E631" s="19" t="s">
        <v>437</v>
      </c>
      <c r="F631" s="19" t="s">
        <v>401</v>
      </c>
      <c r="G631" s="19" t="s">
        <v>557</v>
      </c>
      <c r="H631" s="19" t="s">
        <v>0</v>
      </c>
    </row>
    <row r="632" spans="1:8" hidden="1" x14ac:dyDescent="0.25">
      <c r="A632">
        <v>26234239</v>
      </c>
      <c r="B632" s="19" t="s">
        <v>12</v>
      </c>
      <c r="C632" s="19" t="s">
        <v>13</v>
      </c>
      <c r="D632" s="19" t="s">
        <v>577</v>
      </c>
      <c r="E632" s="19" t="s">
        <v>437</v>
      </c>
      <c r="F632" s="19" t="s">
        <v>401</v>
      </c>
      <c r="G632" s="19" t="s">
        <v>557</v>
      </c>
      <c r="H632" s="19" t="s">
        <v>0</v>
      </c>
    </row>
    <row r="633" spans="1:8" hidden="1" x14ac:dyDescent="0.25">
      <c r="A633">
        <v>26234238</v>
      </c>
      <c r="B633" s="19" t="s">
        <v>12</v>
      </c>
      <c r="C633" s="19" t="s">
        <v>15</v>
      </c>
      <c r="D633" s="19" t="s">
        <v>577</v>
      </c>
      <c r="E633" s="19" t="s">
        <v>437</v>
      </c>
      <c r="F633" s="19" t="s">
        <v>400</v>
      </c>
      <c r="G633" s="19" t="s">
        <v>557</v>
      </c>
      <c r="H633" s="19" t="s">
        <v>0</v>
      </c>
    </row>
    <row r="634" spans="1:8" hidden="1" x14ac:dyDescent="0.25">
      <c r="A634">
        <v>26234236</v>
      </c>
      <c r="B634" s="19" t="s">
        <v>12</v>
      </c>
      <c r="C634" s="19" t="s">
        <v>13</v>
      </c>
      <c r="D634" s="19" t="s">
        <v>577</v>
      </c>
      <c r="E634" s="19" t="s">
        <v>437</v>
      </c>
      <c r="F634" s="19" t="s">
        <v>401</v>
      </c>
      <c r="G634" s="19" t="s">
        <v>557</v>
      </c>
      <c r="H634" s="19" t="s">
        <v>0</v>
      </c>
    </row>
    <row r="635" spans="1:8" hidden="1" x14ac:dyDescent="0.25">
      <c r="A635">
        <v>26234235</v>
      </c>
      <c r="B635" s="19" t="s">
        <v>12</v>
      </c>
      <c r="C635" s="19" t="s">
        <v>13</v>
      </c>
      <c r="D635" s="19" t="s">
        <v>577</v>
      </c>
      <c r="E635" s="19" t="s">
        <v>437</v>
      </c>
      <c r="F635" s="19" t="s">
        <v>401</v>
      </c>
      <c r="G635" s="19" t="s">
        <v>557</v>
      </c>
      <c r="H635" s="19" t="s">
        <v>0</v>
      </c>
    </row>
    <row r="636" spans="1:8" hidden="1" x14ac:dyDescent="0.25">
      <c r="A636">
        <v>26234233</v>
      </c>
      <c r="B636" s="19" t="s">
        <v>12</v>
      </c>
      <c r="C636" s="19" t="s">
        <v>15</v>
      </c>
      <c r="D636" s="19" t="s">
        <v>577</v>
      </c>
      <c r="E636" s="19" t="s">
        <v>437</v>
      </c>
      <c r="F636" s="19" t="s">
        <v>400</v>
      </c>
      <c r="G636" s="19" t="s">
        <v>557</v>
      </c>
      <c r="H636" s="19" t="s">
        <v>0</v>
      </c>
    </row>
    <row r="637" spans="1:8" hidden="1" x14ac:dyDescent="0.25">
      <c r="A637">
        <v>26234231</v>
      </c>
      <c r="B637" s="19" t="s">
        <v>12</v>
      </c>
      <c r="C637" s="19" t="s">
        <v>13</v>
      </c>
      <c r="D637" s="19" t="s">
        <v>577</v>
      </c>
      <c r="E637" s="19" t="s">
        <v>437</v>
      </c>
      <c r="F637" s="19" t="s">
        <v>401</v>
      </c>
      <c r="G637" s="19" t="s">
        <v>557</v>
      </c>
      <c r="H637" s="19" t="s">
        <v>0</v>
      </c>
    </row>
    <row r="638" spans="1:8" hidden="1" x14ac:dyDescent="0.25">
      <c r="A638">
        <v>26234230</v>
      </c>
      <c r="B638" s="19" t="s">
        <v>12</v>
      </c>
      <c r="C638" s="19" t="s">
        <v>13</v>
      </c>
      <c r="D638" s="19" t="s">
        <v>577</v>
      </c>
      <c r="E638" s="19" t="s">
        <v>437</v>
      </c>
      <c r="F638" s="19" t="s">
        <v>401</v>
      </c>
      <c r="G638" s="19" t="s">
        <v>557</v>
      </c>
      <c r="H638" s="19" t="s">
        <v>0</v>
      </c>
    </row>
    <row r="639" spans="1:8" hidden="1" x14ac:dyDescent="0.25">
      <c r="A639">
        <v>26234229</v>
      </c>
      <c r="B639" s="19" t="s">
        <v>12</v>
      </c>
      <c r="C639" s="19" t="s">
        <v>13</v>
      </c>
      <c r="D639" s="19" t="s">
        <v>577</v>
      </c>
      <c r="E639" s="19" t="s">
        <v>437</v>
      </c>
      <c r="F639" s="19" t="s">
        <v>401</v>
      </c>
      <c r="G639" s="19" t="s">
        <v>557</v>
      </c>
      <c r="H639" s="19" t="s">
        <v>0</v>
      </c>
    </row>
    <row r="640" spans="1:8" hidden="1" x14ac:dyDescent="0.25">
      <c r="A640">
        <v>26234228</v>
      </c>
      <c r="B640" s="19" t="s">
        <v>12</v>
      </c>
      <c r="C640" s="19" t="s">
        <v>13</v>
      </c>
      <c r="D640" s="19" t="s">
        <v>577</v>
      </c>
      <c r="E640" s="19" t="s">
        <v>437</v>
      </c>
      <c r="F640" s="19" t="s">
        <v>401</v>
      </c>
      <c r="G640" s="19" t="s">
        <v>557</v>
      </c>
      <c r="H640" s="19" t="s">
        <v>0</v>
      </c>
    </row>
    <row r="641" spans="1:8" hidden="1" x14ac:dyDescent="0.25">
      <c r="A641">
        <v>26234227</v>
      </c>
      <c r="B641" s="19" t="s">
        <v>18</v>
      </c>
      <c r="C641" s="19" t="s">
        <v>15</v>
      </c>
      <c r="D641" s="19" t="s">
        <v>577</v>
      </c>
      <c r="E641" s="19" t="s">
        <v>437</v>
      </c>
      <c r="F641" s="19" t="s">
        <v>400</v>
      </c>
      <c r="G641" s="19" t="s">
        <v>557</v>
      </c>
      <c r="H641" s="19" t="s">
        <v>0</v>
      </c>
    </row>
    <row r="642" spans="1:8" hidden="1" x14ac:dyDescent="0.25">
      <c r="A642">
        <v>26234226</v>
      </c>
      <c r="B642" s="19" t="s">
        <v>12</v>
      </c>
      <c r="C642" s="19" t="s">
        <v>15</v>
      </c>
      <c r="D642" s="19" t="s">
        <v>577</v>
      </c>
      <c r="E642" s="19" t="s">
        <v>437</v>
      </c>
      <c r="F642" s="19" t="s">
        <v>400</v>
      </c>
      <c r="G642" s="19" t="s">
        <v>557</v>
      </c>
      <c r="H642" s="19" t="s">
        <v>0</v>
      </c>
    </row>
    <row r="643" spans="1:8" hidden="1" x14ac:dyDescent="0.25">
      <c r="A643">
        <v>26234225</v>
      </c>
      <c r="B643" s="19" t="s">
        <v>12</v>
      </c>
      <c r="C643" s="19" t="s">
        <v>15</v>
      </c>
      <c r="D643" s="19" t="s">
        <v>577</v>
      </c>
      <c r="E643" s="19" t="s">
        <v>437</v>
      </c>
      <c r="F643" s="19" t="s">
        <v>400</v>
      </c>
      <c r="G643" s="19" t="s">
        <v>557</v>
      </c>
      <c r="H643" s="19" t="s">
        <v>0</v>
      </c>
    </row>
    <row r="644" spans="1:8" hidden="1" x14ac:dyDescent="0.25">
      <c r="A644">
        <v>26234224</v>
      </c>
      <c r="B644" s="19" t="s">
        <v>12</v>
      </c>
      <c r="C644" s="19" t="s">
        <v>15</v>
      </c>
      <c r="D644" s="19" t="s">
        <v>577</v>
      </c>
      <c r="E644" s="19" t="s">
        <v>437</v>
      </c>
      <c r="F644" s="19" t="s">
        <v>400</v>
      </c>
      <c r="G644" s="19" t="s">
        <v>557</v>
      </c>
      <c r="H644" s="19" t="s">
        <v>0</v>
      </c>
    </row>
    <row r="645" spans="1:8" hidden="1" x14ac:dyDescent="0.25">
      <c r="A645">
        <v>26234223</v>
      </c>
      <c r="B645" s="19" t="s">
        <v>18</v>
      </c>
      <c r="C645" s="19" t="s">
        <v>13</v>
      </c>
      <c r="D645" s="19" t="s">
        <v>577</v>
      </c>
      <c r="E645" s="19" t="s">
        <v>437</v>
      </c>
      <c r="F645" s="19" t="s">
        <v>401</v>
      </c>
      <c r="G645" s="19" t="s">
        <v>557</v>
      </c>
      <c r="H645" s="19" t="s">
        <v>0</v>
      </c>
    </row>
    <row r="646" spans="1:8" hidden="1" x14ac:dyDescent="0.25">
      <c r="A646">
        <v>26234222</v>
      </c>
      <c r="B646" s="19" t="s">
        <v>12</v>
      </c>
      <c r="C646" s="19" t="s">
        <v>13</v>
      </c>
      <c r="D646" s="19" t="s">
        <v>577</v>
      </c>
      <c r="E646" s="19" t="s">
        <v>437</v>
      </c>
      <c r="F646" s="19" t="s">
        <v>401</v>
      </c>
      <c r="G646" s="19" t="s">
        <v>557</v>
      </c>
      <c r="H646" s="19" t="s">
        <v>0</v>
      </c>
    </row>
    <row r="647" spans="1:8" hidden="1" x14ac:dyDescent="0.25">
      <c r="A647">
        <v>26234220</v>
      </c>
      <c r="B647" s="19" t="s">
        <v>18</v>
      </c>
      <c r="C647" s="19" t="s">
        <v>13</v>
      </c>
      <c r="D647" s="19" t="s">
        <v>577</v>
      </c>
      <c r="E647" s="19" t="s">
        <v>437</v>
      </c>
      <c r="F647" s="19" t="s">
        <v>401</v>
      </c>
      <c r="G647" s="19" t="s">
        <v>557</v>
      </c>
      <c r="H647" s="19" t="s">
        <v>0</v>
      </c>
    </row>
    <row r="648" spans="1:8" hidden="1" x14ac:dyDescent="0.25">
      <c r="A648">
        <v>26234216</v>
      </c>
      <c r="B648" s="19" t="s">
        <v>12</v>
      </c>
      <c r="C648" s="19" t="s">
        <v>13</v>
      </c>
      <c r="D648" s="19" t="s">
        <v>577</v>
      </c>
      <c r="E648" s="19" t="s">
        <v>437</v>
      </c>
      <c r="F648" s="19" t="s">
        <v>401</v>
      </c>
      <c r="G648" s="19" t="s">
        <v>557</v>
      </c>
      <c r="H648" s="19" t="s">
        <v>0</v>
      </c>
    </row>
    <row r="649" spans="1:8" hidden="1" x14ac:dyDescent="0.25">
      <c r="A649">
        <v>26234215</v>
      </c>
      <c r="B649" s="19" t="s">
        <v>12</v>
      </c>
      <c r="C649" s="19" t="s">
        <v>13</v>
      </c>
      <c r="D649" s="19" t="s">
        <v>577</v>
      </c>
      <c r="E649" s="19" t="s">
        <v>437</v>
      </c>
      <c r="F649" s="19" t="s">
        <v>401</v>
      </c>
      <c r="G649" s="19" t="s">
        <v>557</v>
      </c>
      <c r="H649" s="19" t="s">
        <v>0</v>
      </c>
    </row>
    <row r="650" spans="1:8" hidden="1" x14ac:dyDescent="0.25">
      <c r="A650">
        <v>26234081</v>
      </c>
      <c r="B650" s="19" t="s">
        <v>18</v>
      </c>
      <c r="C650" s="19" t="s">
        <v>15</v>
      </c>
      <c r="D650" s="19" t="s">
        <v>577</v>
      </c>
      <c r="E650" s="19" t="s">
        <v>437</v>
      </c>
      <c r="F650" s="19" t="s">
        <v>400</v>
      </c>
      <c r="G650" s="19" t="s">
        <v>557</v>
      </c>
      <c r="H650" s="19" t="s">
        <v>0</v>
      </c>
    </row>
    <row r="651" spans="1:8" hidden="1" x14ac:dyDescent="0.25">
      <c r="A651">
        <v>26234033</v>
      </c>
      <c r="B651" s="19" t="s">
        <v>79</v>
      </c>
      <c r="C651" s="19" t="s">
        <v>13</v>
      </c>
      <c r="D651" s="19" t="s">
        <v>577</v>
      </c>
      <c r="E651" s="19" t="s">
        <v>437</v>
      </c>
      <c r="F651" s="19" t="s">
        <v>401</v>
      </c>
      <c r="G651" s="19" t="s">
        <v>557</v>
      </c>
      <c r="H651" s="19" t="s">
        <v>0</v>
      </c>
    </row>
    <row r="652" spans="1:8" hidden="1" x14ac:dyDescent="0.25">
      <c r="A652">
        <v>24567604</v>
      </c>
      <c r="B652" s="19" t="s">
        <v>12</v>
      </c>
      <c r="C652" s="19" t="s">
        <v>86</v>
      </c>
      <c r="D652" s="19" t="s">
        <v>490</v>
      </c>
      <c r="E652" s="19" t="s">
        <v>437</v>
      </c>
      <c r="F652" s="19" t="s">
        <v>400</v>
      </c>
      <c r="G652" s="19" t="s">
        <v>557</v>
      </c>
      <c r="H652" s="19" t="s">
        <v>0</v>
      </c>
    </row>
    <row r="653" spans="1:8" hidden="1" x14ac:dyDescent="0.25">
      <c r="A653">
        <v>24567602</v>
      </c>
      <c r="B653" s="19" t="s">
        <v>12</v>
      </c>
      <c r="C653" s="19" t="s">
        <v>86</v>
      </c>
      <c r="D653" s="19" t="s">
        <v>490</v>
      </c>
      <c r="E653" s="19" t="s">
        <v>437</v>
      </c>
      <c r="F653" s="19" t="s">
        <v>400</v>
      </c>
      <c r="G653" s="19" t="s">
        <v>557</v>
      </c>
      <c r="H653" s="19" t="s">
        <v>0</v>
      </c>
    </row>
    <row r="654" spans="1:8" hidden="1" x14ac:dyDescent="0.25">
      <c r="A654">
        <v>24567599</v>
      </c>
      <c r="B654" s="19" t="s">
        <v>18</v>
      </c>
      <c r="C654" s="19" t="s">
        <v>15</v>
      </c>
      <c r="D654" s="19" t="s">
        <v>497</v>
      </c>
      <c r="E654" s="19" t="s">
        <v>437</v>
      </c>
      <c r="F654" s="19" t="s">
        <v>400</v>
      </c>
      <c r="G654" s="19" t="s">
        <v>557</v>
      </c>
      <c r="H654" s="19" t="s">
        <v>0</v>
      </c>
    </row>
    <row r="655" spans="1:8" hidden="1" x14ac:dyDescent="0.25">
      <c r="A655">
        <v>24567598</v>
      </c>
      <c r="B655" s="19" t="s">
        <v>18</v>
      </c>
      <c r="C655" s="19" t="s">
        <v>15</v>
      </c>
      <c r="D655" s="19" t="s">
        <v>497</v>
      </c>
      <c r="E655" s="19" t="s">
        <v>437</v>
      </c>
      <c r="F655" s="19" t="s">
        <v>400</v>
      </c>
      <c r="G655" s="19" t="s">
        <v>557</v>
      </c>
      <c r="H655" s="19" t="s">
        <v>0</v>
      </c>
    </row>
    <row r="656" spans="1:8" hidden="1" x14ac:dyDescent="0.25">
      <c r="A656">
        <v>24567594</v>
      </c>
      <c r="B656" s="19" t="s">
        <v>12</v>
      </c>
      <c r="C656" s="19" t="s">
        <v>86</v>
      </c>
      <c r="D656" s="19" t="s">
        <v>388</v>
      </c>
      <c r="E656" s="19" t="s">
        <v>437</v>
      </c>
      <c r="F656" s="19" t="s">
        <v>400</v>
      </c>
      <c r="G656" s="19" t="s">
        <v>557</v>
      </c>
      <c r="H656" s="19" t="s">
        <v>0</v>
      </c>
    </row>
    <row r="657" spans="1:8" hidden="1" x14ac:dyDescent="0.25">
      <c r="A657">
        <v>24567592</v>
      </c>
      <c r="B657" s="19" t="s">
        <v>18</v>
      </c>
      <c r="C657" s="19" t="s">
        <v>13</v>
      </c>
      <c r="D657" s="19" t="s">
        <v>493</v>
      </c>
      <c r="E657" s="19" t="s">
        <v>437</v>
      </c>
      <c r="F657" s="19" t="s">
        <v>401</v>
      </c>
      <c r="G657" s="19" t="s">
        <v>557</v>
      </c>
      <c r="H657" s="19" t="s">
        <v>0</v>
      </c>
    </row>
    <row r="658" spans="1:8" hidden="1" x14ac:dyDescent="0.25">
      <c r="A658">
        <v>24567553</v>
      </c>
      <c r="B658" s="19" t="s">
        <v>12</v>
      </c>
      <c r="C658" s="19" t="s">
        <v>86</v>
      </c>
      <c r="D658" s="19" t="s">
        <v>380</v>
      </c>
      <c r="E658" s="19" t="s">
        <v>443</v>
      </c>
      <c r="F658" s="19" t="s">
        <v>400</v>
      </c>
      <c r="G658" s="19" t="s">
        <v>557</v>
      </c>
      <c r="H658" s="19" t="s">
        <v>0</v>
      </c>
    </row>
    <row r="659" spans="1:8" hidden="1" x14ac:dyDescent="0.25">
      <c r="A659">
        <v>24567542</v>
      </c>
      <c r="B659" s="19" t="s">
        <v>12</v>
      </c>
      <c r="C659" s="19" t="s">
        <v>86</v>
      </c>
      <c r="D659" s="19" t="s">
        <v>380</v>
      </c>
      <c r="E659" s="19" t="s">
        <v>443</v>
      </c>
      <c r="F659" s="19" t="s">
        <v>400</v>
      </c>
      <c r="G659" s="19" t="s">
        <v>557</v>
      </c>
      <c r="H659" s="19" t="s">
        <v>0</v>
      </c>
    </row>
    <row r="660" spans="1:8" hidden="1" x14ac:dyDescent="0.25">
      <c r="A660">
        <v>24567477</v>
      </c>
      <c r="B660" s="19" t="s">
        <v>12</v>
      </c>
      <c r="C660" s="19" t="s">
        <v>86</v>
      </c>
      <c r="D660" s="19" t="s">
        <v>416</v>
      </c>
      <c r="E660" s="19" t="s">
        <v>437</v>
      </c>
      <c r="F660" s="19" t="s">
        <v>400</v>
      </c>
      <c r="G660" s="19" t="s">
        <v>557</v>
      </c>
      <c r="H660" s="19" t="s">
        <v>0</v>
      </c>
    </row>
    <row r="661" spans="1:8" hidden="1" x14ac:dyDescent="0.25">
      <c r="A661">
        <v>24567421</v>
      </c>
      <c r="B661" s="19" t="s">
        <v>12</v>
      </c>
      <c r="C661" s="19" t="s">
        <v>86</v>
      </c>
      <c r="D661" s="19" t="s">
        <v>380</v>
      </c>
      <c r="E661" s="19" t="s">
        <v>437</v>
      </c>
      <c r="F661" s="19" t="s">
        <v>400</v>
      </c>
      <c r="G661" s="19" t="s">
        <v>557</v>
      </c>
      <c r="H661" s="19" t="s">
        <v>0</v>
      </c>
    </row>
    <row r="662" spans="1:8" hidden="1" x14ac:dyDescent="0.25">
      <c r="A662">
        <v>24567418</v>
      </c>
      <c r="B662" s="19" t="s">
        <v>12</v>
      </c>
      <c r="C662" s="19" t="s">
        <v>86</v>
      </c>
      <c r="D662" s="19" t="s">
        <v>393</v>
      </c>
      <c r="E662" s="19" t="s">
        <v>437</v>
      </c>
      <c r="F662" s="19" t="s">
        <v>400</v>
      </c>
      <c r="G662" s="19" t="s">
        <v>557</v>
      </c>
      <c r="H662" s="19" t="s">
        <v>0</v>
      </c>
    </row>
    <row r="663" spans="1:8" hidden="1" x14ac:dyDescent="0.25">
      <c r="A663">
        <v>24567291</v>
      </c>
      <c r="B663" s="19" t="s">
        <v>12</v>
      </c>
      <c r="C663" s="19" t="s">
        <v>89</v>
      </c>
      <c r="D663" s="19" t="s">
        <v>393</v>
      </c>
      <c r="E663" s="19" t="s">
        <v>437</v>
      </c>
      <c r="F663" s="19" t="s">
        <v>401</v>
      </c>
      <c r="G663" s="19" t="s">
        <v>557</v>
      </c>
      <c r="H663" s="19" t="s">
        <v>0</v>
      </c>
    </row>
    <row r="664" spans="1:8" hidden="1" x14ac:dyDescent="0.25">
      <c r="A664">
        <v>24567265</v>
      </c>
      <c r="B664" s="19" t="s">
        <v>12</v>
      </c>
      <c r="C664" s="19" t="s">
        <v>86</v>
      </c>
      <c r="D664" s="19" t="s">
        <v>392</v>
      </c>
      <c r="E664" s="19" t="s">
        <v>437</v>
      </c>
      <c r="F664" s="19" t="s">
        <v>400</v>
      </c>
      <c r="G664" s="19" t="s">
        <v>557</v>
      </c>
      <c r="H664" s="19" t="s">
        <v>0</v>
      </c>
    </row>
    <row r="665" spans="1:8" hidden="1" x14ac:dyDescent="0.25">
      <c r="A665">
        <v>24567258</v>
      </c>
      <c r="B665" s="19" t="s">
        <v>12</v>
      </c>
      <c r="C665" s="19" t="s">
        <v>86</v>
      </c>
      <c r="D665" s="19" t="s">
        <v>383</v>
      </c>
      <c r="E665" s="19" t="s">
        <v>437</v>
      </c>
      <c r="F665" s="19" t="s">
        <v>400</v>
      </c>
      <c r="G665" s="19" t="s">
        <v>557</v>
      </c>
      <c r="H665" s="19" t="s">
        <v>0</v>
      </c>
    </row>
    <row r="666" spans="1:8" hidden="1" x14ac:dyDescent="0.25">
      <c r="A666">
        <v>24567255</v>
      </c>
      <c r="B666" s="19" t="s">
        <v>12</v>
      </c>
      <c r="C666" s="19" t="s">
        <v>86</v>
      </c>
      <c r="D666" s="19" t="s">
        <v>392</v>
      </c>
      <c r="E666" s="19" t="s">
        <v>437</v>
      </c>
      <c r="F666" s="19" t="s">
        <v>400</v>
      </c>
      <c r="G666" s="19" t="s">
        <v>557</v>
      </c>
      <c r="H666" s="19" t="s">
        <v>0</v>
      </c>
    </row>
    <row r="667" spans="1:8" hidden="1" x14ac:dyDescent="0.25">
      <c r="A667">
        <v>24567244</v>
      </c>
      <c r="B667" s="19" t="s">
        <v>12</v>
      </c>
      <c r="C667" s="19" t="s">
        <v>86</v>
      </c>
      <c r="D667" s="19" t="s">
        <v>391</v>
      </c>
      <c r="E667" s="19" t="s">
        <v>437</v>
      </c>
      <c r="F667" s="19" t="s">
        <v>400</v>
      </c>
      <c r="G667" s="19" t="s">
        <v>557</v>
      </c>
      <c r="H667" s="19" t="s">
        <v>0</v>
      </c>
    </row>
    <row r="668" spans="1:8" hidden="1" x14ac:dyDescent="0.25">
      <c r="A668">
        <v>24567231</v>
      </c>
      <c r="B668" s="19" t="s">
        <v>12</v>
      </c>
      <c r="C668" s="19" t="s">
        <v>86</v>
      </c>
      <c r="D668" s="19" t="s">
        <v>382</v>
      </c>
      <c r="E668" s="19" t="s">
        <v>437</v>
      </c>
      <c r="F668" s="19" t="s">
        <v>400</v>
      </c>
      <c r="G668" s="19" t="s">
        <v>557</v>
      </c>
      <c r="H668" s="19" t="s">
        <v>0</v>
      </c>
    </row>
    <row r="669" spans="1:8" hidden="1" x14ac:dyDescent="0.25">
      <c r="A669">
        <v>24567214</v>
      </c>
      <c r="B669" s="19" t="s">
        <v>12</v>
      </c>
      <c r="C669" s="19" t="s">
        <v>89</v>
      </c>
      <c r="D669" s="19" t="s">
        <v>382</v>
      </c>
      <c r="E669" s="19" t="s">
        <v>437</v>
      </c>
      <c r="F669" s="19" t="s">
        <v>401</v>
      </c>
      <c r="G669" s="19" t="s">
        <v>557</v>
      </c>
      <c r="H669" s="19" t="s">
        <v>0</v>
      </c>
    </row>
    <row r="670" spans="1:8" hidden="1" x14ac:dyDescent="0.25">
      <c r="A670">
        <v>24567188</v>
      </c>
      <c r="B670" s="19" t="s">
        <v>12</v>
      </c>
      <c r="C670" s="19" t="s">
        <v>89</v>
      </c>
      <c r="D670" s="19" t="s">
        <v>382</v>
      </c>
      <c r="E670" s="19" t="s">
        <v>437</v>
      </c>
      <c r="F670" s="19" t="s">
        <v>401</v>
      </c>
      <c r="G670" s="19" t="s">
        <v>557</v>
      </c>
      <c r="H670" s="19" t="s">
        <v>0</v>
      </c>
    </row>
    <row r="671" spans="1:8" hidden="1" x14ac:dyDescent="0.25">
      <c r="A671">
        <v>24567186</v>
      </c>
      <c r="B671" s="19" t="s">
        <v>12</v>
      </c>
      <c r="C671" s="19" t="s">
        <v>86</v>
      </c>
      <c r="D671" s="19" t="s">
        <v>382</v>
      </c>
      <c r="E671" s="19" t="s">
        <v>437</v>
      </c>
      <c r="F671" s="19" t="s">
        <v>400</v>
      </c>
      <c r="G671" s="19" t="s">
        <v>557</v>
      </c>
      <c r="H671" s="19" t="s">
        <v>0</v>
      </c>
    </row>
    <row r="672" spans="1:8" hidden="1" x14ac:dyDescent="0.25">
      <c r="A672">
        <v>24567116</v>
      </c>
      <c r="B672" s="19" t="s">
        <v>12</v>
      </c>
      <c r="C672" s="19" t="s">
        <v>86</v>
      </c>
      <c r="D672" s="19" t="s">
        <v>380</v>
      </c>
      <c r="E672" s="19" t="s">
        <v>437</v>
      </c>
      <c r="F672" s="19" t="s">
        <v>400</v>
      </c>
      <c r="G672" s="19" t="s">
        <v>557</v>
      </c>
      <c r="H672" s="19" t="s">
        <v>0</v>
      </c>
    </row>
    <row r="673" spans="1:8" hidden="1" x14ac:dyDescent="0.25">
      <c r="A673">
        <v>24567112</v>
      </c>
      <c r="B673" s="19" t="s">
        <v>12</v>
      </c>
      <c r="C673" s="19" t="s">
        <v>86</v>
      </c>
      <c r="D673" s="19" t="s">
        <v>380</v>
      </c>
      <c r="E673" s="19" t="s">
        <v>437</v>
      </c>
      <c r="F673" s="19" t="s">
        <v>400</v>
      </c>
      <c r="G673" s="19" t="s">
        <v>557</v>
      </c>
      <c r="H673" s="19" t="s">
        <v>0</v>
      </c>
    </row>
    <row r="674" spans="1:8" hidden="1" x14ac:dyDescent="0.25">
      <c r="A674">
        <v>24567102</v>
      </c>
      <c r="B674" s="19" t="s">
        <v>18</v>
      </c>
      <c r="C674" s="19" t="s">
        <v>89</v>
      </c>
      <c r="D674" s="19" t="s">
        <v>380</v>
      </c>
      <c r="E674" s="19" t="s">
        <v>437</v>
      </c>
      <c r="F674" s="19" t="s">
        <v>401</v>
      </c>
      <c r="G674" s="19" t="s">
        <v>557</v>
      </c>
      <c r="H674" s="19" t="s">
        <v>0</v>
      </c>
    </row>
    <row r="675" spans="1:8" hidden="1" x14ac:dyDescent="0.25">
      <c r="A675">
        <v>24567095</v>
      </c>
      <c r="B675" s="19" t="s">
        <v>12</v>
      </c>
      <c r="C675" s="19" t="s">
        <v>86</v>
      </c>
      <c r="D675" s="19" t="s">
        <v>380</v>
      </c>
      <c r="E675" s="19" t="s">
        <v>437</v>
      </c>
      <c r="F675" s="19" t="s">
        <v>400</v>
      </c>
      <c r="G675" s="19" t="s">
        <v>557</v>
      </c>
      <c r="H675" s="19" t="s">
        <v>0</v>
      </c>
    </row>
    <row r="676" spans="1:8" hidden="1" x14ac:dyDescent="0.25">
      <c r="A676">
        <v>24567089</v>
      </c>
      <c r="B676" s="19" t="s">
        <v>12</v>
      </c>
      <c r="C676" s="19" t="s">
        <v>86</v>
      </c>
      <c r="D676" s="19" t="s">
        <v>380</v>
      </c>
      <c r="E676" s="19" t="s">
        <v>437</v>
      </c>
      <c r="F676" s="19" t="s">
        <v>400</v>
      </c>
      <c r="G676" s="19" t="s">
        <v>557</v>
      </c>
      <c r="H676" s="19" t="s">
        <v>0</v>
      </c>
    </row>
    <row r="677" spans="1:8" hidden="1" x14ac:dyDescent="0.25">
      <c r="A677">
        <v>24567083</v>
      </c>
      <c r="B677" s="19" t="s">
        <v>18</v>
      </c>
      <c r="C677" s="19" t="s">
        <v>86</v>
      </c>
      <c r="D677" s="19" t="s">
        <v>380</v>
      </c>
      <c r="E677" s="19" t="s">
        <v>437</v>
      </c>
      <c r="F677" s="19" t="s">
        <v>400</v>
      </c>
      <c r="G677" s="19" t="s">
        <v>557</v>
      </c>
      <c r="H677" s="19" t="s">
        <v>0</v>
      </c>
    </row>
    <row r="678" spans="1:8" hidden="1" x14ac:dyDescent="0.25">
      <c r="A678">
        <v>24567077</v>
      </c>
      <c r="B678" s="19" t="s">
        <v>12</v>
      </c>
      <c r="C678" s="19" t="s">
        <v>86</v>
      </c>
      <c r="D678" s="19" t="s">
        <v>380</v>
      </c>
      <c r="E678" s="19" t="s">
        <v>437</v>
      </c>
      <c r="F678" s="19" t="s">
        <v>400</v>
      </c>
      <c r="G678" s="19" t="s">
        <v>557</v>
      </c>
      <c r="H678" s="19" t="s">
        <v>0</v>
      </c>
    </row>
    <row r="679" spans="1:8" hidden="1" x14ac:dyDescent="0.25">
      <c r="A679">
        <v>24567074</v>
      </c>
      <c r="B679" s="19" t="s">
        <v>12</v>
      </c>
      <c r="C679" s="19" t="s">
        <v>86</v>
      </c>
      <c r="D679" s="19" t="s">
        <v>489</v>
      </c>
      <c r="E679" s="19" t="s">
        <v>437</v>
      </c>
      <c r="F679" s="19" t="s">
        <v>400</v>
      </c>
      <c r="G679" s="19" t="s">
        <v>557</v>
      </c>
      <c r="H679" s="19" t="s">
        <v>0</v>
      </c>
    </row>
    <row r="680" spans="1:8" hidden="1" x14ac:dyDescent="0.25">
      <c r="A680">
        <v>24567068</v>
      </c>
      <c r="B680" s="19" t="s">
        <v>12</v>
      </c>
      <c r="C680" s="19" t="s">
        <v>86</v>
      </c>
      <c r="D680" s="19" t="s">
        <v>380</v>
      </c>
      <c r="E680" s="19" t="s">
        <v>437</v>
      </c>
      <c r="F680" s="19" t="s">
        <v>400</v>
      </c>
      <c r="G680" s="19" t="s">
        <v>557</v>
      </c>
      <c r="H680" s="19" t="s">
        <v>0</v>
      </c>
    </row>
    <row r="681" spans="1:8" hidden="1" x14ac:dyDescent="0.25">
      <c r="A681">
        <v>24567065</v>
      </c>
      <c r="B681" s="19" t="s">
        <v>18</v>
      </c>
      <c r="C681" s="19" t="s">
        <v>86</v>
      </c>
      <c r="D681" s="19" t="s">
        <v>380</v>
      </c>
      <c r="E681" s="19" t="s">
        <v>437</v>
      </c>
      <c r="F681" s="19" t="s">
        <v>400</v>
      </c>
      <c r="G681" s="19" t="s">
        <v>557</v>
      </c>
      <c r="H681" s="19" t="s">
        <v>0</v>
      </c>
    </row>
    <row r="682" spans="1:8" hidden="1" x14ac:dyDescent="0.25">
      <c r="A682">
        <v>24567054</v>
      </c>
      <c r="B682" s="19" t="s">
        <v>12</v>
      </c>
      <c r="C682" s="19" t="s">
        <v>86</v>
      </c>
      <c r="D682" s="19" t="s">
        <v>380</v>
      </c>
      <c r="E682" s="19" t="s">
        <v>437</v>
      </c>
      <c r="F682" s="19" t="s">
        <v>400</v>
      </c>
      <c r="G682" s="19" t="s">
        <v>557</v>
      </c>
      <c r="H682" s="19" t="s">
        <v>0</v>
      </c>
    </row>
    <row r="683" spans="1:8" hidden="1" x14ac:dyDescent="0.25">
      <c r="A683">
        <v>24567052</v>
      </c>
      <c r="B683" s="19" t="s">
        <v>12</v>
      </c>
      <c r="C683" s="19" t="s">
        <v>89</v>
      </c>
      <c r="D683" s="19" t="s">
        <v>380</v>
      </c>
      <c r="E683" s="19" t="s">
        <v>437</v>
      </c>
      <c r="F683" s="19" t="s">
        <v>401</v>
      </c>
      <c r="G683" s="19" t="s">
        <v>557</v>
      </c>
      <c r="H683" s="19" t="s">
        <v>0</v>
      </c>
    </row>
    <row r="684" spans="1:8" hidden="1" x14ac:dyDescent="0.25">
      <c r="A684">
        <v>24567044</v>
      </c>
      <c r="B684" s="19" t="s">
        <v>12</v>
      </c>
      <c r="C684" s="19" t="s">
        <v>89</v>
      </c>
      <c r="D684" s="19" t="s">
        <v>380</v>
      </c>
      <c r="E684" s="19" t="s">
        <v>437</v>
      </c>
      <c r="F684" s="19" t="s">
        <v>401</v>
      </c>
      <c r="G684" s="19" t="s">
        <v>557</v>
      </c>
      <c r="H684" s="19" t="s">
        <v>0</v>
      </c>
    </row>
    <row r="685" spans="1:8" hidden="1" x14ac:dyDescent="0.25">
      <c r="A685">
        <v>24567038</v>
      </c>
      <c r="B685" s="19" t="s">
        <v>12</v>
      </c>
      <c r="C685" s="19" t="s">
        <v>86</v>
      </c>
      <c r="D685" s="19" t="s">
        <v>380</v>
      </c>
      <c r="E685" s="19" t="s">
        <v>437</v>
      </c>
      <c r="F685" s="19" t="s">
        <v>400</v>
      </c>
      <c r="G685" s="19" t="s">
        <v>557</v>
      </c>
      <c r="H685" s="19" t="s">
        <v>0</v>
      </c>
    </row>
    <row r="686" spans="1:8" hidden="1" x14ac:dyDescent="0.25">
      <c r="A686">
        <v>24567015</v>
      </c>
      <c r="B686" s="19" t="s">
        <v>18</v>
      </c>
      <c r="C686" s="19" t="s">
        <v>86</v>
      </c>
      <c r="D686" s="19" t="s">
        <v>380</v>
      </c>
      <c r="E686" s="19" t="s">
        <v>437</v>
      </c>
      <c r="F686" s="19" t="s">
        <v>400</v>
      </c>
      <c r="G686" s="19" t="s">
        <v>557</v>
      </c>
      <c r="H686" s="19" t="s">
        <v>0</v>
      </c>
    </row>
    <row r="687" spans="1:8" hidden="1" x14ac:dyDescent="0.25">
      <c r="A687">
        <v>23584127</v>
      </c>
      <c r="B687" s="19" t="s">
        <v>12</v>
      </c>
      <c r="C687" s="19" t="s">
        <v>89</v>
      </c>
      <c r="D687" s="19" t="s">
        <v>25</v>
      </c>
      <c r="E687" s="19" t="s">
        <v>565</v>
      </c>
      <c r="F687" s="19" t="s">
        <v>401</v>
      </c>
      <c r="G687" s="19" t="s">
        <v>557</v>
      </c>
      <c r="H687" s="19" t="s">
        <v>0</v>
      </c>
    </row>
    <row r="688" spans="1:8" hidden="1" x14ac:dyDescent="0.25">
      <c r="A688">
        <v>23323688</v>
      </c>
      <c r="B688" s="19" t="s">
        <v>12</v>
      </c>
      <c r="C688" s="19" t="s">
        <v>26</v>
      </c>
      <c r="D688" s="19" t="s">
        <v>189</v>
      </c>
      <c r="E688" s="19" t="s">
        <v>443</v>
      </c>
      <c r="F688" s="19" t="s">
        <v>400</v>
      </c>
      <c r="G688" s="19" t="s">
        <v>557</v>
      </c>
      <c r="H688" s="19" t="s">
        <v>0</v>
      </c>
    </row>
    <row r="689" spans="1:8" hidden="1" x14ac:dyDescent="0.25">
      <c r="A689">
        <v>23323687</v>
      </c>
      <c r="B689" s="19" t="s">
        <v>12</v>
      </c>
      <c r="C689" s="19" t="s">
        <v>26</v>
      </c>
      <c r="D689" s="19" t="s">
        <v>41</v>
      </c>
      <c r="E689" s="19" t="s">
        <v>443</v>
      </c>
      <c r="F689" s="19" t="s">
        <v>400</v>
      </c>
      <c r="G689" s="19" t="s">
        <v>557</v>
      </c>
      <c r="H689" s="19" t="s">
        <v>0</v>
      </c>
    </row>
    <row r="690" spans="1:8" hidden="1" x14ac:dyDescent="0.25">
      <c r="A690">
        <v>23323673</v>
      </c>
      <c r="B690" s="19" t="s">
        <v>79</v>
      </c>
      <c r="C690" s="19" t="s">
        <v>26</v>
      </c>
      <c r="D690" s="19" t="s">
        <v>304</v>
      </c>
      <c r="E690" s="19" t="s">
        <v>446</v>
      </c>
      <c r="F690" s="19" t="s">
        <v>400</v>
      </c>
      <c r="G690" s="19" t="s">
        <v>557</v>
      </c>
      <c r="H690" s="19" t="s">
        <v>0</v>
      </c>
    </row>
    <row r="691" spans="1:8" hidden="1" x14ac:dyDescent="0.25">
      <c r="A691">
        <v>23323671</v>
      </c>
      <c r="B691" s="19" t="s">
        <v>102</v>
      </c>
      <c r="C691" s="19" t="s">
        <v>26</v>
      </c>
      <c r="D691" s="19" t="s">
        <v>309</v>
      </c>
      <c r="E691" s="19" t="s">
        <v>437</v>
      </c>
      <c r="F691" s="19" t="s">
        <v>400</v>
      </c>
      <c r="G691" s="19" t="s">
        <v>557</v>
      </c>
      <c r="H691" s="19" t="s">
        <v>0</v>
      </c>
    </row>
    <row r="692" spans="1:8" hidden="1" x14ac:dyDescent="0.25">
      <c r="A692">
        <v>23323667</v>
      </c>
      <c r="B692" s="19" t="s">
        <v>18</v>
      </c>
      <c r="C692" s="19" t="s">
        <v>26</v>
      </c>
      <c r="D692" s="19" t="s">
        <v>189</v>
      </c>
      <c r="E692" s="19" t="s">
        <v>437</v>
      </c>
      <c r="F692" s="19" t="s">
        <v>400</v>
      </c>
      <c r="G692" s="19" t="s">
        <v>557</v>
      </c>
      <c r="H692" s="19" t="s">
        <v>0</v>
      </c>
    </row>
    <row r="693" spans="1:8" hidden="1" x14ac:dyDescent="0.25">
      <c r="A693">
        <v>23323664</v>
      </c>
      <c r="B693" s="19" t="s">
        <v>12</v>
      </c>
      <c r="C693" s="19" t="s">
        <v>26</v>
      </c>
      <c r="D693" s="19" t="s">
        <v>92</v>
      </c>
      <c r="E693" s="19" t="s">
        <v>437</v>
      </c>
      <c r="F693" s="19" t="s">
        <v>400</v>
      </c>
      <c r="G693" s="19" t="s">
        <v>557</v>
      </c>
      <c r="H693" s="19" t="s">
        <v>0</v>
      </c>
    </row>
    <row r="694" spans="1:8" hidden="1" x14ac:dyDescent="0.25">
      <c r="A694">
        <v>23323640</v>
      </c>
      <c r="B694" s="19" t="s">
        <v>12</v>
      </c>
      <c r="C694" s="19" t="s">
        <v>26</v>
      </c>
      <c r="D694" s="19" t="s">
        <v>103</v>
      </c>
      <c r="E694" s="19" t="s">
        <v>437</v>
      </c>
      <c r="F694" s="19" t="s">
        <v>400</v>
      </c>
      <c r="G694" s="19" t="s">
        <v>557</v>
      </c>
      <c r="H694" s="19" t="s">
        <v>0</v>
      </c>
    </row>
    <row r="695" spans="1:8" hidden="1" x14ac:dyDescent="0.25">
      <c r="A695">
        <v>23323619</v>
      </c>
      <c r="B695" s="19" t="s">
        <v>12</v>
      </c>
      <c r="C695" s="19" t="s">
        <v>86</v>
      </c>
      <c r="D695" s="19" t="s">
        <v>378</v>
      </c>
      <c r="E695" s="19" t="s">
        <v>437</v>
      </c>
      <c r="F695" s="19" t="s">
        <v>400</v>
      </c>
      <c r="G695" s="19" t="s">
        <v>557</v>
      </c>
      <c r="H695" s="19" t="s">
        <v>0</v>
      </c>
    </row>
    <row r="696" spans="1:8" hidden="1" x14ac:dyDescent="0.25">
      <c r="A696">
        <v>23323496</v>
      </c>
      <c r="B696" s="19" t="s">
        <v>12</v>
      </c>
      <c r="C696" s="19" t="s">
        <v>26</v>
      </c>
      <c r="D696" s="19" t="s">
        <v>221</v>
      </c>
      <c r="E696" s="19" t="s">
        <v>437</v>
      </c>
      <c r="F696" s="19" t="s">
        <v>400</v>
      </c>
      <c r="G696" s="19" t="s">
        <v>557</v>
      </c>
      <c r="H696" s="19" t="s">
        <v>0</v>
      </c>
    </row>
    <row r="697" spans="1:8" hidden="1" x14ac:dyDescent="0.25">
      <c r="A697">
        <v>23323495</v>
      </c>
      <c r="B697" s="19" t="s">
        <v>12</v>
      </c>
      <c r="C697" s="19" t="s">
        <v>26</v>
      </c>
      <c r="D697" s="19" t="s">
        <v>379</v>
      </c>
      <c r="E697" s="19" t="s">
        <v>437</v>
      </c>
      <c r="F697" s="19" t="s">
        <v>400</v>
      </c>
      <c r="G697" s="19" t="s">
        <v>557</v>
      </c>
      <c r="H697" s="19" t="s">
        <v>0</v>
      </c>
    </row>
    <row r="698" spans="1:8" hidden="1" x14ac:dyDescent="0.25">
      <c r="A698">
        <v>23323494</v>
      </c>
      <c r="B698" s="19" t="s">
        <v>18</v>
      </c>
      <c r="C698" s="19" t="s">
        <v>26</v>
      </c>
      <c r="D698" s="19" t="s">
        <v>39</v>
      </c>
      <c r="E698" s="19" t="s">
        <v>437</v>
      </c>
      <c r="F698" s="19" t="s">
        <v>400</v>
      </c>
      <c r="G698" s="19" t="s">
        <v>557</v>
      </c>
      <c r="H698" s="19" t="s">
        <v>0</v>
      </c>
    </row>
    <row r="699" spans="1:8" hidden="1" x14ac:dyDescent="0.25">
      <c r="A699">
        <v>23323212</v>
      </c>
      <c r="B699" s="19" t="s">
        <v>12</v>
      </c>
      <c r="C699" s="19" t="s">
        <v>86</v>
      </c>
      <c r="D699" s="19" t="s">
        <v>25</v>
      </c>
      <c r="E699" s="19" t="s">
        <v>437</v>
      </c>
      <c r="F699" s="19" t="s">
        <v>400</v>
      </c>
      <c r="G699" s="19" t="s">
        <v>557</v>
      </c>
      <c r="H699" s="19" t="s">
        <v>0</v>
      </c>
    </row>
    <row r="700" spans="1:8" hidden="1" x14ac:dyDescent="0.25">
      <c r="A700">
        <v>22794790</v>
      </c>
      <c r="B700" s="19" t="s">
        <v>12</v>
      </c>
      <c r="C700" s="19" t="s">
        <v>33</v>
      </c>
      <c r="D700" s="19" t="s">
        <v>685</v>
      </c>
      <c r="E700" s="19" t="s">
        <v>561</v>
      </c>
      <c r="F700" s="19" t="s">
        <v>401</v>
      </c>
      <c r="G700" s="19" t="s">
        <v>557</v>
      </c>
      <c r="H700" s="19" t="s">
        <v>0</v>
      </c>
    </row>
    <row r="701" spans="1:8" hidden="1" x14ac:dyDescent="0.25">
      <c r="A701">
        <v>22350437</v>
      </c>
      <c r="B701" s="19" t="s">
        <v>12</v>
      </c>
      <c r="C701" s="19" t="s">
        <v>26</v>
      </c>
      <c r="D701" s="19" t="s">
        <v>103</v>
      </c>
      <c r="E701" s="19" t="s">
        <v>443</v>
      </c>
      <c r="F701" s="19" t="s">
        <v>400</v>
      </c>
      <c r="G701" s="19" t="s">
        <v>557</v>
      </c>
      <c r="H701" s="19" t="s">
        <v>0</v>
      </c>
    </row>
    <row r="702" spans="1:8" hidden="1" x14ac:dyDescent="0.25">
      <c r="A702">
        <v>22350436</v>
      </c>
      <c r="B702" s="19" t="s">
        <v>12</v>
      </c>
      <c r="C702" s="19" t="s">
        <v>26</v>
      </c>
      <c r="D702" s="19" t="s">
        <v>103</v>
      </c>
      <c r="E702" s="19" t="s">
        <v>443</v>
      </c>
      <c r="F702" s="19" t="s">
        <v>400</v>
      </c>
      <c r="G702" s="19" t="s">
        <v>557</v>
      </c>
      <c r="H702" s="19" t="s">
        <v>0</v>
      </c>
    </row>
    <row r="703" spans="1:8" hidden="1" x14ac:dyDescent="0.25">
      <c r="A703">
        <v>22350409</v>
      </c>
      <c r="B703" s="19" t="s">
        <v>12</v>
      </c>
      <c r="C703" s="19" t="s">
        <v>26</v>
      </c>
      <c r="D703" s="19" t="s">
        <v>159</v>
      </c>
      <c r="E703" s="19" t="s">
        <v>437</v>
      </c>
      <c r="F703" s="19" t="s">
        <v>400</v>
      </c>
      <c r="G703" s="19" t="s">
        <v>557</v>
      </c>
      <c r="H703" s="19" t="s">
        <v>0</v>
      </c>
    </row>
    <row r="704" spans="1:8" hidden="1" x14ac:dyDescent="0.25">
      <c r="A704">
        <v>22350406</v>
      </c>
      <c r="B704" s="19" t="s">
        <v>12</v>
      </c>
      <c r="C704" s="19" t="s">
        <v>26</v>
      </c>
      <c r="D704" s="19" t="s">
        <v>159</v>
      </c>
      <c r="E704" s="19" t="s">
        <v>437</v>
      </c>
      <c r="F704" s="19" t="s">
        <v>400</v>
      </c>
      <c r="G704" s="19" t="s">
        <v>557</v>
      </c>
      <c r="H704" s="19" t="s">
        <v>0</v>
      </c>
    </row>
    <row r="705" spans="1:8" hidden="1" x14ac:dyDescent="0.25">
      <c r="A705">
        <v>22350266</v>
      </c>
      <c r="B705" s="19" t="s">
        <v>18</v>
      </c>
      <c r="C705" s="19" t="s">
        <v>26</v>
      </c>
      <c r="D705" s="19" t="s">
        <v>158</v>
      </c>
      <c r="E705" s="19" t="s">
        <v>437</v>
      </c>
      <c r="F705" s="19" t="s">
        <v>400</v>
      </c>
      <c r="G705" s="19" t="s">
        <v>557</v>
      </c>
      <c r="H705" s="19" t="s">
        <v>0</v>
      </c>
    </row>
    <row r="706" spans="1:8" hidden="1" x14ac:dyDescent="0.25">
      <c r="A706">
        <v>22350242</v>
      </c>
      <c r="B706" s="19" t="s">
        <v>18</v>
      </c>
      <c r="C706" s="19" t="s">
        <v>33</v>
      </c>
      <c r="D706" s="19" t="s">
        <v>154</v>
      </c>
      <c r="E706" s="19" t="s">
        <v>437</v>
      </c>
      <c r="F706" s="19" t="s">
        <v>401</v>
      </c>
      <c r="G706" s="19" t="s">
        <v>557</v>
      </c>
      <c r="H706" s="19" t="s">
        <v>0</v>
      </c>
    </row>
    <row r="707" spans="1:8" hidden="1" x14ac:dyDescent="0.25">
      <c r="A707">
        <v>22350200</v>
      </c>
      <c r="B707" s="19" t="s">
        <v>12</v>
      </c>
      <c r="C707" s="19" t="s">
        <v>33</v>
      </c>
      <c r="D707" s="19" t="s">
        <v>177</v>
      </c>
      <c r="E707" s="19" t="s">
        <v>437</v>
      </c>
      <c r="F707" s="19" t="s">
        <v>401</v>
      </c>
      <c r="G707" s="19" t="s">
        <v>557</v>
      </c>
      <c r="H707" s="19" t="s">
        <v>0</v>
      </c>
    </row>
    <row r="708" spans="1:8" hidden="1" x14ac:dyDescent="0.25">
      <c r="A708">
        <v>22350179</v>
      </c>
      <c r="B708" s="19" t="s">
        <v>12</v>
      </c>
      <c r="C708" s="19" t="s">
        <v>26</v>
      </c>
      <c r="D708" s="19" t="s">
        <v>160</v>
      </c>
      <c r="E708" s="19" t="s">
        <v>437</v>
      </c>
      <c r="F708" s="19" t="s">
        <v>400</v>
      </c>
      <c r="G708" s="19" t="s">
        <v>557</v>
      </c>
      <c r="H708" s="19" t="s">
        <v>0</v>
      </c>
    </row>
    <row r="709" spans="1:8" hidden="1" x14ac:dyDescent="0.25">
      <c r="A709">
        <v>22350161</v>
      </c>
      <c r="B709" s="19" t="s">
        <v>18</v>
      </c>
      <c r="C709" s="19" t="s">
        <v>33</v>
      </c>
      <c r="D709" s="19" t="s">
        <v>155</v>
      </c>
      <c r="E709" s="19" t="s">
        <v>437</v>
      </c>
      <c r="F709" s="19" t="s">
        <v>401</v>
      </c>
      <c r="G709" s="19" t="s">
        <v>557</v>
      </c>
      <c r="H709" s="19" t="s">
        <v>0</v>
      </c>
    </row>
    <row r="710" spans="1:8" hidden="1" x14ac:dyDescent="0.25">
      <c r="A710">
        <v>22350159</v>
      </c>
      <c r="B710" s="19" t="s">
        <v>12</v>
      </c>
      <c r="C710" s="19" t="s">
        <v>26</v>
      </c>
      <c r="D710" s="19" t="s">
        <v>155</v>
      </c>
      <c r="E710" s="19" t="s">
        <v>437</v>
      </c>
      <c r="F710" s="19" t="s">
        <v>400</v>
      </c>
      <c r="G710" s="19" t="s">
        <v>557</v>
      </c>
      <c r="H710" s="19" t="s">
        <v>0</v>
      </c>
    </row>
    <row r="711" spans="1:8" hidden="1" x14ac:dyDescent="0.25">
      <c r="A711">
        <v>22350154</v>
      </c>
      <c r="B711" s="19" t="s">
        <v>12</v>
      </c>
      <c r="C711" s="19" t="s">
        <v>33</v>
      </c>
      <c r="D711" s="19" t="s">
        <v>154</v>
      </c>
      <c r="E711" s="19" t="s">
        <v>437</v>
      </c>
      <c r="F711" s="19" t="s">
        <v>401</v>
      </c>
      <c r="G711" s="19" t="s">
        <v>557</v>
      </c>
      <c r="H711" s="19" t="s">
        <v>0</v>
      </c>
    </row>
    <row r="712" spans="1:8" hidden="1" x14ac:dyDescent="0.25">
      <c r="A712">
        <v>22350152</v>
      </c>
      <c r="B712" s="19" t="s">
        <v>12</v>
      </c>
      <c r="C712" s="19" t="s">
        <v>33</v>
      </c>
      <c r="D712" s="19" t="s">
        <v>160</v>
      </c>
      <c r="E712" s="19" t="s">
        <v>437</v>
      </c>
      <c r="F712" s="19" t="s">
        <v>401</v>
      </c>
      <c r="G712" s="19" t="s">
        <v>557</v>
      </c>
      <c r="H712" s="19" t="s">
        <v>0</v>
      </c>
    </row>
    <row r="713" spans="1:8" hidden="1" x14ac:dyDescent="0.25">
      <c r="A713">
        <v>22350151</v>
      </c>
      <c r="B713" s="19" t="s">
        <v>18</v>
      </c>
      <c r="C713" s="19" t="s">
        <v>26</v>
      </c>
      <c r="D713" s="19" t="s">
        <v>155</v>
      </c>
      <c r="E713" s="19" t="s">
        <v>437</v>
      </c>
      <c r="F713" s="19" t="s">
        <v>400</v>
      </c>
      <c r="G713" s="19" t="s">
        <v>557</v>
      </c>
      <c r="H713" s="19" t="s">
        <v>0</v>
      </c>
    </row>
    <row r="714" spans="1:8" hidden="1" x14ac:dyDescent="0.25">
      <c r="A714">
        <v>22350149</v>
      </c>
      <c r="B714" s="19" t="s">
        <v>18</v>
      </c>
      <c r="C714" s="19" t="s">
        <v>26</v>
      </c>
      <c r="D714" s="19" t="s">
        <v>154</v>
      </c>
      <c r="E714" s="19" t="s">
        <v>437</v>
      </c>
      <c r="F714" s="19" t="s">
        <v>400</v>
      </c>
      <c r="G714" s="19" t="s">
        <v>557</v>
      </c>
      <c r="H714" s="19" t="s">
        <v>0</v>
      </c>
    </row>
    <row r="715" spans="1:8" hidden="1" x14ac:dyDescent="0.25">
      <c r="A715">
        <v>22350132</v>
      </c>
      <c r="B715" s="19" t="s">
        <v>12</v>
      </c>
      <c r="C715" s="19" t="s">
        <v>26</v>
      </c>
      <c r="D715" s="19" t="s">
        <v>161</v>
      </c>
      <c r="E715" s="19" t="s">
        <v>437</v>
      </c>
      <c r="F715" s="19" t="s">
        <v>400</v>
      </c>
      <c r="G715" s="19" t="s">
        <v>557</v>
      </c>
      <c r="H715" s="19" t="s">
        <v>0</v>
      </c>
    </row>
    <row r="716" spans="1:8" hidden="1" x14ac:dyDescent="0.25">
      <c r="A716">
        <v>22350125</v>
      </c>
      <c r="B716" s="19" t="s">
        <v>12</v>
      </c>
      <c r="C716" s="19" t="s">
        <v>33</v>
      </c>
      <c r="D716" s="19" t="s">
        <v>154</v>
      </c>
      <c r="E716" s="19" t="s">
        <v>437</v>
      </c>
      <c r="F716" s="19" t="s">
        <v>401</v>
      </c>
      <c r="G716" s="19" t="s">
        <v>557</v>
      </c>
      <c r="H716" s="19" t="s">
        <v>0</v>
      </c>
    </row>
    <row r="717" spans="1:8" hidden="1" x14ac:dyDescent="0.25">
      <c r="A717">
        <v>22350106</v>
      </c>
      <c r="B717" s="19" t="s">
        <v>12</v>
      </c>
      <c r="C717" s="19" t="s">
        <v>26</v>
      </c>
      <c r="D717" s="19" t="s">
        <v>154</v>
      </c>
      <c r="E717" s="19" t="s">
        <v>437</v>
      </c>
      <c r="F717" s="19" t="s">
        <v>400</v>
      </c>
      <c r="G717" s="19" t="s">
        <v>557</v>
      </c>
      <c r="H717" s="19" t="s">
        <v>0</v>
      </c>
    </row>
    <row r="718" spans="1:8" hidden="1" x14ac:dyDescent="0.25">
      <c r="A718">
        <v>22350085</v>
      </c>
      <c r="B718" s="19" t="s">
        <v>18</v>
      </c>
      <c r="C718" s="19" t="s">
        <v>26</v>
      </c>
      <c r="D718" s="19" t="s">
        <v>154</v>
      </c>
      <c r="E718" s="19" t="s">
        <v>437</v>
      </c>
      <c r="F718" s="19" t="s">
        <v>400</v>
      </c>
      <c r="G718" s="19" t="s">
        <v>557</v>
      </c>
      <c r="H718" s="19" t="s">
        <v>0</v>
      </c>
    </row>
    <row r="719" spans="1:8" hidden="1" x14ac:dyDescent="0.25">
      <c r="A719">
        <v>22350059</v>
      </c>
      <c r="B719" s="19" t="s">
        <v>18</v>
      </c>
      <c r="C719" s="19" t="s">
        <v>26</v>
      </c>
      <c r="D719" s="19" t="s">
        <v>161</v>
      </c>
      <c r="E719" s="19" t="s">
        <v>437</v>
      </c>
      <c r="F719" s="19" t="s">
        <v>400</v>
      </c>
      <c r="G719" s="19" t="s">
        <v>557</v>
      </c>
      <c r="H719" s="19" t="s">
        <v>0</v>
      </c>
    </row>
    <row r="720" spans="1:8" hidden="1" x14ac:dyDescent="0.25">
      <c r="A720">
        <v>22350057</v>
      </c>
      <c r="B720" s="19" t="s">
        <v>12</v>
      </c>
      <c r="C720" s="19" t="s">
        <v>33</v>
      </c>
      <c r="D720" s="19" t="s">
        <v>154</v>
      </c>
      <c r="E720" s="19" t="s">
        <v>437</v>
      </c>
      <c r="F720" s="19" t="s">
        <v>401</v>
      </c>
      <c r="G720" s="19" t="s">
        <v>557</v>
      </c>
      <c r="H720" s="19" t="s">
        <v>0</v>
      </c>
    </row>
    <row r="721" spans="1:8" hidden="1" x14ac:dyDescent="0.25">
      <c r="A721">
        <v>20910796</v>
      </c>
      <c r="B721" s="19" t="s">
        <v>18</v>
      </c>
      <c r="C721" s="19" t="s">
        <v>26</v>
      </c>
      <c r="D721" s="19" t="s">
        <v>54</v>
      </c>
      <c r="E721" s="19" t="s">
        <v>566</v>
      </c>
      <c r="F721" s="19" t="s">
        <v>400</v>
      </c>
      <c r="G721" s="19" t="s">
        <v>557</v>
      </c>
      <c r="H721" s="19" t="s">
        <v>0</v>
      </c>
    </row>
    <row r="722" spans="1:8" hidden="1" x14ac:dyDescent="0.25">
      <c r="A722">
        <v>20910762</v>
      </c>
      <c r="B722" s="19" t="s">
        <v>12</v>
      </c>
      <c r="C722" s="19" t="s">
        <v>26</v>
      </c>
      <c r="D722" s="19" t="s">
        <v>92</v>
      </c>
      <c r="E722" s="19" t="s">
        <v>437</v>
      </c>
      <c r="F722" s="19" t="s">
        <v>400</v>
      </c>
      <c r="G722" s="19" t="s">
        <v>557</v>
      </c>
      <c r="H722" s="19" t="s">
        <v>0</v>
      </c>
    </row>
    <row r="723" spans="1:8" hidden="1" x14ac:dyDescent="0.25">
      <c r="A723">
        <v>20910751</v>
      </c>
      <c r="B723" s="19" t="s">
        <v>12</v>
      </c>
      <c r="C723" s="19" t="s">
        <v>26</v>
      </c>
      <c r="D723" s="19" t="s">
        <v>221</v>
      </c>
      <c r="E723" s="19" t="s">
        <v>437</v>
      </c>
      <c r="F723" s="19" t="s">
        <v>400</v>
      </c>
      <c r="G723" s="19" t="s">
        <v>557</v>
      </c>
      <c r="H723" s="19" t="s">
        <v>0</v>
      </c>
    </row>
    <row r="724" spans="1:8" hidden="1" x14ac:dyDescent="0.25">
      <c r="A724">
        <v>20910740</v>
      </c>
      <c r="B724" s="19" t="s">
        <v>12</v>
      </c>
      <c r="C724" s="19" t="s">
        <v>26</v>
      </c>
      <c r="D724" s="19" t="s">
        <v>54</v>
      </c>
      <c r="E724" s="19" t="s">
        <v>566</v>
      </c>
      <c r="F724" s="19" t="s">
        <v>400</v>
      </c>
      <c r="G724" s="19" t="s">
        <v>557</v>
      </c>
      <c r="H724" s="19" t="s">
        <v>0</v>
      </c>
    </row>
    <row r="725" spans="1:8" hidden="1" x14ac:dyDescent="0.25">
      <c r="A725">
        <v>20910699</v>
      </c>
      <c r="B725" s="19" t="s">
        <v>18</v>
      </c>
      <c r="C725" s="19" t="s">
        <v>89</v>
      </c>
      <c r="D725" s="19" t="s">
        <v>85</v>
      </c>
      <c r="E725" s="19" t="s">
        <v>437</v>
      </c>
      <c r="F725" s="19" t="s">
        <v>401</v>
      </c>
      <c r="G725" s="19" t="s">
        <v>557</v>
      </c>
      <c r="H725" s="19" t="s">
        <v>0</v>
      </c>
    </row>
    <row r="726" spans="1:8" hidden="1" x14ac:dyDescent="0.25">
      <c r="A726">
        <v>20910654</v>
      </c>
      <c r="B726" s="19" t="s">
        <v>12</v>
      </c>
      <c r="C726" s="19" t="s">
        <v>33</v>
      </c>
      <c r="D726" s="19" t="s">
        <v>179</v>
      </c>
      <c r="E726" s="19" t="s">
        <v>568</v>
      </c>
      <c r="F726" s="19" t="s">
        <v>401</v>
      </c>
      <c r="G726" s="19" t="s">
        <v>557</v>
      </c>
      <c r="H726" s="19" t="s">
        <v>0</v>
      </c>
    </row>
    <row r="727" spans="1:8" hidden="1" x14ac:dyDescent="0.25">
      <c r="A727">
        <v>20910641</v>
      </c>
      <c r="B727" s="19" t="s">
        <v>12</v>
      </c>
      <c r="C727" s="19" t="s">
        <v>26</v>
      </c>
      <c r="D727" s="19" t="s">
        <v>141</v>
      </c>
      <c r="E727" s="19" t="s">
        <v>437</v>
      </c>
      <c r="F727" s="19" t="s">
        <v>400</v>
      </c>
      <c r="G727" s="19" t="s">
        <v>557</v>
      </c>
      <c r="H727" s="19" t="s">
        <v>0</v>
      </c>
    </row>
    <row r="728" spans="1:8" hidden="1" x14ac:dyDescent="0.25">
      <c r="A728">
        <v>20910640</v>
      </c>
      <c r="B728" s="19" t="s">
        <v>12</v>
      </c>
      <c r="C728" s="19" t="s">
        <v>26</v>
      </c>
      <c r="D728" s="19" t="s">
        <v>91</v>
      </c>
      <c r="E728" s="19" t="s">
        <v>437</v>
      </c>
      <c r="F728" s="19" t="s">
        <v>400</v>
      </c>
      <c r="G728" s="19" t="s">
        <v>557</v>
      </c>
      <c r="H728" s="19" t="s">
        <v>0</v>
      </c>
    </row>
    <row r="729" spans="1:8" hidden="1" x14ac:dyDescent="0.25">
      <c r="A729">
        <v>20910636</v>
      </c>
      <c r="B729" s="19" t="s">
        <v>12</v>
      </c>
      <c r="C729" s="19" t="s">
        <v>26</v>
      </c>
      <c r="D729" s="19" t="s">
        <v>41</v>
      </c>
      <c r="E729" s="19" t="s">
        <v>443</v>
      </c>
      <c r="F729" s="19" t="s">
        <v>400</v>
      </c>
      <c r="G729" s="19" t="s">
        <v>557</v>
      </c>
      <c r="H729" s="19" t="s">
        <v>0</v>
      </c>
    </row>
    <row r="730" spans="1:8" hidden="1" x14ac:dyDescent="0.25">
      <c r="A730">
        <v>20910620</v>
      </c>
      <c r="B730" s="19" t="s">
        <v>109</v>
      </c>
      <c r="C730" s="19" t="s">
        <v>26</v>
      </c>
      <c r="D730" s="19" t="s">
        <v>359</v>
      </c>
      <c r="E730" s="19" t="s">
        <v>437</v>
      </c>
      <c r="F730" s="19" t="s">
        <v>400</v>
      </c>
      <c r="G730" s="19" t="s">
        <v>557</v>
      </c>
      <c r="H730" s="19" t="s">
        <v>0</v>
      </c>
    </row>
    <row r="731" spans="1:8" hidden="1" x14ac:dyDescent="0.25">
      <c r="A731">
        <v>20910614</v>
      </c>
      <c r="B731" s="19" t="s">
        <v>12</v>
      </c>
      <c r="C731" s="19" t="s">
        <v>26</v>
      </c>
      <c r="D731" s="19" t="s">
        <v>140</v>
      </c>
      <c r="E731" s="19" t="s">
        <v>456</v>
      </c>
      <c r="F731" s="19" t="s">
        <v>400</v>
      </c>
      <c r="G731" s="19" t="s">
        <v>557</v>
      </c>
      <c r="H731" s="19" t="s">
        <v>0</v>
      </c>
    </row>
    <row r="732" spans="1:8" hidden="1" x14ac:dyDescent="0.25">
      <c r="A732">
        <v>20910613</v>
      </c>
      <c r="B732" s="19" t="s">
        <v>12</v>
      </c>
      <c r="C732" s="19" t="s">
        <v>26</v>
      </c>
      <c r="D732" s="19" t="s">
        <v>181</v>
      </c>
      <c r="E732" s="19" t="s">
        <v>437</v>
      </c>
      <c r="F732" s="19" t="s">
        <v>400</v>
      </c>
      <c r="G732" s="19" t="s">
        <v>557</v>
      </c>
      <c r="H732" s="19" t="s">
        <v>0</v>
      </c>
    </row>
    <row r="733" spans="1:8" hidden="1" x14ac:dyDescent="0.25">
      <c r="A733">
        <v>20910604</v>
      </c>
      <c r="B733" s="19" t="s">
        <v>12</v>
      </c>
      <c r="C733" s="19" t="s">
        <v>26</v>
      </c>
      <c r="D733" s="19" t="s">
        <v>92</v>
      </c>
      <c r="E733" s="19" t="s">
        <v>437</v>
      </c>
      <c r="F733" s="19" t="s">
        <v>400</v>
      </c>
      <c r="G733" s="19" t="s">
        <v>557</v>
      </c>
      <c r="H733" s="19" t="s">
        <v>0</v>
      </c>
    </row>
    <row r="734" spans="1:8" hidden="1" x14ac:dyDescent="0.25">
      <c r="A734">
        <v>20910590</v>
      </c>
      <c r="B734" s="19" t="s">
        <v>12</v>
      </c>
      <c r="C734" s="19" t="s">
        <v>26</v>
      </c>
      <c r="D734" s="19" t="s">
        <v>93</v>
      </c>
      <c r="E734" s="19" t="s">
        <v>443</v>
      </c>
      <c r="F734" s="19" t="s">
        <v>400</v>
      </c>
      <c r="G734" s="19" t="s">
        <v>557</v>
      </c>
      <c r="H734" s="19" t="s">
        <v>0</v>
      </c>
    </row>
    <row r="735" spans="1:8" hidden="1" x14ac:dyDescent="0.25">
      <c r="A735">
        <v>20910584</v>
      </c>
      <c r="B735" s="19" t="s">
        <v>12</v>
      </c>
      <c r="C735" s="19" t="s">
        <v>26</v>
      </c>
      <c r="D735" s="19" t="s">
        <v>93</v>
      </c>
      <c r="E735" s="19" t="s">
        <v>443</v>
      </c>
      <c r="F735" s="19" t="s">
        <v>400</v>
      </c>
      <c r="G735" s="19" t="s">
        <v>557</v>
      </c>
      <c r="H735" s="19" t="s">
        <v>0</v>
      </c>
    </row>
    <row r="736" spans="1:8" hidden="1" x14ac:dyDescent="0.25">
      <c r="A736">
        <v>20910579</v>
      </c>
      <c r="B736" s="19" t="s">
        <v>12</v>
      </c>
      <c r="C736" s="19" t="s">
        <v>26</v>
      </c>
      <c r="D736" s="19" t="s">
        <v>93</v>
      </c>
      <c r="E736" s="19" t="s">
        <v>443</v>
      </c>
      <c r="F736" s="19" t="s">
        <v>400</v>
      </c>
      <c r="G736" s="19" t="s">
        <v>557</v>
      </c>
      <c r="H736" s="19" t="s">
        <v>0</v>
      </c>
    </row>
    <row r="737" spans="1:8" hidden="1" x14ac:dyDescent="0.25">
      <c r="A737">
        <v>20910572</v>
      </c>
      <c r="B737" s="19" t="s">
        <v>12</v>
      </c>
      <c r="C737" s="19" t="s">
        <v>26</v>
      </c>
      <c r="D737" s="19" t="s">
        <v>93</v>
      </c>
      <c r="E737" s="19" t="s">
        <v>443</v>
      </c>
      <c r="F737" s="19" t="s">
        <v>400</v>
      </c>
      <c r="G737" s="19" t="s">
        <v>557</v>
      </c>
      <c r="H737" s="19" t="s">
        <v>0</v>
      </c>
    </row>
    <row r="738" spans="1:8" hidden="1" x14ac:dyDescent="0.25">
      <c r="A738">
        <v>20910571</v>
      </c>
      <c r="B738" s="19" t="s">
        <v>12</v>
      </c>
      <c r="C738" s="19" t="s">
        <v>26</v>
      </c>
      <c r="D738" s="19" t="s">
        <v>93</v>
      </c>
      <c r="E738" s="19" t="s">
        <v>443</v>
      </c>
      <c r="F738" s="19" t="s">
        <v>400</v>
      </c>
      <c r="G738" s="19" t="s">
        <v>557</v>
      </c>
      <c r="H738" s="19" t="s">
        <v>0</v>
      </c>
    </row>
    <row r="739" spans="1:8" hidden="1" x14ac:dyDescent="0.25">
      <c r="A739">
        <v>20910568</v>
      </c>
      <c r="B739" s="19" t="s">
        <v>79</v>
      </c>
      <c r="C739" s="19" t="s">
        <v>33</v>
      </c>
      <c r="D739" s="19" t="s">
        <v>182</v>
      </c>
      <c r="E739" s="19" t="s">
        <v>437</v>
      </c>
      <c r="F739" s="19" t="s">
        <v>401</v>
      </c>
      <c r="G739" s="19" t="s">
        <v>557</v>
      </c>
      <c r="H739" s="19" t="s">
        <v>0</v>
      </c>
    </row>
    <row r="740" spans="1:8" hidden="1" x14ac:dyDescent="0.25">
      <c r="A740">
        <v>20910565</v>
      </c>
      <c r="B740" s="19" t="s">
        <v>12</v>
      </c>
      <c r="C740" s="19" t="s">
        <v>26</v>
      </c>
      <c r="D740" s="19" t="s">
        <v>95</v>
      </c>
      <c r="E740" s="19" t="s">
        <v>437</v>
      </c>
      <c r="F740" s="19" t="s">
        <v>400</v>
      </c>
      <c r="G740" s="19" t="s">
        <v>557</v>
      </c>
      <c r="H740" s="19" t="s">
        <v>0</v>
      </c>
    </row>
    <row r="741" spans="1:8" hidden="1" x14ac:dyDescent="0.25">
      <c r="A741">
        <v>20910537</v>
      </c>
      <c r="B741" s="19" t="s">
        <v>12</v>
      </c>
      <c r="C741" s="19" t="s">
        <v>26</v>
      </c>
      <c r="D741" s="19" t="s">
        <v>94</v>
      </c>
      <c r="E741" s="19" t="s">
        <v>443</v>
      </c>
      <c r="F741" s="19" t="s">
        <v>400</v>
      </c>
      <c r="G741" s="19" t="s">
        <v>557</v>
      </c>
      <c r="H741" s="19" t="s">
        <v>0</v>
      </c>
    </row>
    <row r="742" spans="1:8" hidden="1" x14ac:dyDescent="0.25">
      <c r="A742">
        <v>20910527</v>
      </c>
      <c r="B742" s="19" t="s">
        <v>12</v>
      </c>
      <c r="C742" s="19" t="s">
        <v>26</v>
      </c>
      <c r="D742" s="19" t="s">
        <v>183</v>
      </c>
      <c r="E742" s="19" t="s">
        <v>443</v>
      </c>
      <c r="F742" s="19" t="s">
        <v>400</v>
      </c>
      <c r="G742" s="19" t="s">
        <v>557</v>
      </c>
      <c r="H742" s="19" t="s">
        <v>0</v>
      </c>
    </row>
    <row r="743" spans="1:8" hidden="1" x14ac:dyDescent="0.25">
      <c r="A743">
        <v>20910519</v>
      </c>
      <c r="B743" s="19" t="s">
        <v>12</v>
      </c>
      <c r="C743" s="19" t="s">
        <v>26</v>
      </c>
      <c r="D743" s="19" t="s">
        <v>95</v>
      </c>
      <c r="E743" s="19" t="s">
        <v>437</v>
      </c>
      <c r="F743" s="19" t="s">
        <v>400</v>
      </c>
      <c r="G743" s="19" t="s">
        <v>557</v>
      </c>
      <c r="H743" s="19" t="s">
        <v>0</v>
      </c>
    </row>
    <row r="744" spans="1:8" hidden="1" x14ac:dyDescent="0.25">
      <c r="A744">
        <v>20910506</v>
      </c>
      <c r="B744" s="19" t="s">
        <v>12</v>
      </c>
      <c r="C744" s="19" t="s">
        <v>26</v>
      </c>
      <c r="D744" s="19" t="s">
        <v>184</v>
      </c>
      <c r="E744" s="19" t="s">
        <v>437</v>
      </c>
      <c r="F744" s="19" t="s">
        <v>400</v>
      </c>
      <c r="G744" s="19" t="s">
        <v>557</v>
      </c>
      <c r="H744" s="19" t="s">
        <v>0</v>
      </c>
    </row>
    <row r="745" spans="1:8" hidden="1" x14ac:dyDescent="0.25">
      <c r="A745">
        <v>20910500</v>
      </c>
      <c r="B745" s="19" t="s">
        <v>12</v>
      </c>
      <c r="C745" s="19" t="s">
        <v>26</v>
      </c>
      <c r="D745" s="19" t="s">
        <v>95</v>
      </c>
      <c r="E745" s="19" t="s">
        <v>437</v>
      </c>
      <c r="F745" s="19" t="s">
        <v>400</v>
      </c>
      <c r="G745" s="19" t="s">
        <v>557</v>
      </c>
      <c r="H745" s="19" t="s">
        <v>0</v>
      </c>
    </row>
    <row r="746" spans="1:8" hidden="1" x14ac:dyDescent="0.25">
      <c r="A746">
        <v>20910498</v>
      </c>
      <c r="B746" s="19" t="s">
        <v>12</v>
      </c>
      <c r="C746" s="19" t="s">
        <v>26</v>
      </c>
      <c r="D746" s="19" t="s">
        <v>184</v>
      </c>
      <c r="E746" s="19" t="s">
        <v>437</v>
      </c>
      <c r="F746" s="19" t="s">
        <v>400</v>
      </c>
      <c r="G746" s="19" t="s">
        <v>557</v>
      </c>
      <c r="H746" s="19" t="s">
        <v>0</v>
      </c>
    </row>
    <row r="747" spans="1:8" hidden="1" x14ac:dyDescent="0.25">
      <c r="A747">
        <v>20910493</v>
      </c>
      <c r="B747" s="19" t="s">
        <v>12</v>
      </c>
      <c r="C747" s="19" t="s">
        <v>26</v>
      </c>
      <c r="D747" s="19" t="s">
        <v>95</v>
      </c>
      <c r="E747" s="19" t="s">
        <v>437</v>
      </c>
      <c r="F747" s="19" t="s">
        <v>400</v>
      </c>
      <c r="G747" s="19" t="s">
        <v>557</v>
      </c>
      <c r="H747" s="19" t="s">
        <v>0</v>
      </c>
    </row>
    <row r="748" spans="1:8" hidden="1" x14ac:dyDescent="0.25">
      <c r="A748">
        <v>20910490</v>
      </c>
      <c r="B748" s="19" t="s">
        <v>12</v>
      </c>
      <c r="C748" s="19" t="s">
        <v>26</v>
      </c>
      <c r="D748" s="19" t="s">
        <v>95</v>
      </c>
      <c r="E748" s="19" t="s">
        <v>437</v>
      </c>
      <c r="F748" s="19" t="s">
        <v>400</v>
      </c>
      <c r="G748" s="19" t="s">
        <v>557</v>
      </c>
      <c r="H748" s="19" t="s">
        <v>0</v>
      </c>
    </row>
    <row r="749" spans="1:8" hidden="1" x14ac:dyDescent="0.25">
      <c r="A749">
        <v>20910486</v>
      </c>
      <c r="B749" s="19" t="s">
        <v>12</v>
      </c>
      <c r="C749" s="19" t="s">
        <v>26</v>
      </c>
      <c r="D749" s="19" t="s">
        <v>185</v>
      </c>
      <c r="E749" s="19" t="s">
        <v>437</v>
      </c>
      <c r="F749" s="19" t="s">
        <v>400</v>
      </c>
      <c r="G749" s="19" t="s">
        <v>557</v>
      </c>
      <c r="H749" s="19" t="s">
        <v>0</v>
      </c>
    </row>
    <row r="750" spans="1:8" hidden="1" x14ac:dyDescent="0.25">
      <c r="A750">
        <v>20910484</v>
      </c>
      <c r="B750" s="19" t="s">
        <v>12</v>
      </c>
      <c r="C750" s="19" t="s">
        <v>26</v>
      </c>
      <c r="D750" s="19" t="s">
        <v>95</v>
      </c>
      <c r="E750" s="19" t="s">
        <v>437</v>
      </c>
      <c r="F750" s="19" t="s">
        <v>400</v>
      </c>
      <c r="G750" s="19" t="s">
        <v>557</v>
      </c>
      <c r="H750" s="19" t="s">
        <v>0</v>
      </c>
    </row>
    <row r="751" spans="1:8" hidden="1" x14ac:dyDescent="0.25">
      <c r="A751">
        <v>20910482</v>
      </c>
      <c r="B751" s="19" t="s">
        <v>12</v>
      </c>
      <c r="C751" s="19" t="s">
        <v>26</v>
      </c>
      <c r="D751" s="19" t="s">
        <v>95</v>
      </c>
      <c r="E751" s="19" t="s">
        <v>437</v>
      </c>
      <c r="F751" s="19" t="s">
        <v>400</v>
      </c>
      <c r="G751" s="19" t="s">
        <v>557</v>
      </c>
      <c r="H751" s="19" t="s">
        <v>0</v>
      </c>
    </row>
    <row r="752" spans="1:8" hidden="1" x14ac:dyDescent="0.25">
      <c r="A752">
        <v>20910478</v>
      </c>
      <c r="B752" s="19" t="s">
        <v>12</v>
      </c>
      <c r="C752" s="19" t="s">
        <v>26</v>
      </c>
      <c r="D752" s="19" t="s">
        <v>97</v>
      </c>
      <c r="E752" s="19" t="s">
        <v>437</v>
      </c>
      <c r="F752" s="19" t="s">
        <v>400</v>
      </c>
      <c r="G752" s="19" t="s">
        <v>557</v>
      </c>
      <c r="H752" s="19" t="s">
        <v>0</v>
      </c>
    </row>
    <row r="753" spans="1:8" hidden="1" x14ac:dyDescent="0.25">
      <c r="A753">
        <v>20910474</v>
      </c>
      <c r="B753" s="19" t="s">
        <v>12</v>
      </c>
      <c r="C753" s="19" t="s">
        <v>26</v>
      </c>
      <c r="D753" s="19" t="s">
        <v>185</v>
      </c>
      <c r="E753" s="19" t="s">
        <v>437</v>
      </c>
      <c r="F753" s="19" t="s">
        <v>400</v>
      </c>
      <c r="G753" s="19" t="s">
        <v>557</v>
      </c>
      <c r="H753" s="19" t="s">
        <v>0</v>
      </c>
    </row>
    <row r="754" spans="1:8" hidden="1" x14ac:dyDescent="0.25">
      <c r="A754">
        <v>20910446</v>
      </c>
      <c r="B754" s="19" t="s">
        <v>12</v>
      </c>
      <c r="C754" s="19" t="s">
        <v>26</v>
      </c>
      <c r="D754" s="19" t="s">
        <v>97</v>
      </c>
      <c r="E754" s="19" t="s">
        <v>437</v>
      </c>
      <c r="F754" s="19" t="s">
        <v>400</v>
      </c>
      <c r="G754" s="19" t="s">
        <v>557</v>
      </c>
      <c r="H754" s="19" t="s">
        <v>0</v>
      </c>
    </row>
    <row r="755" spans="1:8" hidden="1" x14ac:dyDescent="0.25">
      <c r="A755">
        <v>20910439</v>
      </c>
      <c r="B755" s="19" t="s">
        <v>79</v>
      </c>
      <c r="C755" s="19" t="s">
        <v>26</v>
      </c>
      <c r="D755" s="19" t="s">
        <v>184</v>
      </c>
      <c r="E755" s="19" t="s">
        <v>437</v>
      </c>
      <c r="F755" s="19" t="s">
        <v>400</v>
      </c>
      <c r="G755" s="19" t="s">
        <v>557</v>
      </c>
      <c r="H755" s="19" t="s">
        <v>0</v>
      </c>
    </row>
    <row r="756" spans="1:8" hidden="1" x14ac:dyDescent="0.25">
      <c r="A756">
        <v>20910436</v>
      </c>
      <c r="B756" s="19" t="s">
        <v>12</v>
      </c>
      <c r="C756" s="19" t="s">
        <v>26</v>
      </c>
      <c r="D756" s="19" t="s">
        <v>184</v>
      </c>
      <c r="E756" s="19" t="s">
        <v>437</v>
      </c>
      <c r="F756" s="19" t="s">
        <v>400</v>
      </c>
      <c r="G756" s="19" t="s">
        <v>557</v>
      </c>
      <c r="H756" s="19" t="s">
        <v>0</v>
      </c>
    </row>
    <row r="757" spans="1:8" hidden="1" x14ac:dyDescent="0.25">
      <c r="A757">
        <v>20910428</v>
      </c>
      <c r="B757" s="19" t="s">
        <v>12</v>
      </c>
      <c r="C757" s="19" t="s">
        <v>26</v>
      </c>
      <c r="D757" s="19" t="s">
        <v>97</v>
      </c>
      <c r="E757" s="19" t="s">
        <v>437</v>
      </c>
      <c r="F757" s="19" t="s">
        <v>400</v>
      </c>
      <c r="G757" s="19" t="s">
        <v>557</v>
      </c>
      <c r="H757" s="19" t="s">
        <v>0</v>
      </c>
    </row>
    <row r="758" spans="1:8" hidden="1" x14ac:dyDescent="0.25">
      <c r="A758">
        <v>20910412</v>
      </c>
      <c r="B758" s="19" t="s">
        <v>18</v>
      </c>
      <c r="C758" s="19" t="s">
        <v>26</v>
      </c>
      <c r="D758" s="19" t="s">
        <v>185</v>
      </c>
      <c r="E758" s="19" t="s">
        <v>437</v>
      </c>
      <c r="F758" s="19" t="s">
        <v>400</v>
      </c>
      <c r="G758" s="19" t="s">
        <v>557</v>
      </c>
      <c r="H758" s="19" t="s">
        <v>0</v>
      </c>
    </row>
    <row r="759" spans="1:8" hidden="1" x14ac:dyDescent="0.25">
      <c r="A759">
        <v>20910410</v>
      </c>
      <c r="B759" s="19" t="s">
        <v>18</v>
      </c>
      <c r="C759" s="19" t="s">
        <v>26</v>
      </c>
      <c r="D759" s="19" t="s">
        <v>185</v>
      </c>
      <c r="E759" s="19" t="s">
        <v>437</v>
      </c>
      <c r="F759" s="19" t="s">
        <v>400</v>
      </c>
      <c r="G759" s="19" t="s">
        <v>557</v>
      </c>
      <c r="H759" s="19" t="s">
        <v>0</v>
      </c>
    </row>
    <row r="760" spans="1:8" hidden="1" x14ac:dyDescent="0.25">
      <c r="A760">
        <v>20910405</v>
      </c>
      <c r="B760" s="19" t="s">
        <v>12</v>
      </c>
      <c r="C760" s="19" t="s">
        <v>33</v>
      </c>
      <c r="D760" s="19" t="s">
        <v>95</v>
      </c>
      <c r="E760" s="19" t="s">
        <v>437</v>
      </c>
      <c r="F760" s="19" t="s">
        <v>401</v>
      </c>
      <c r="G760" s="19" t="s">
        <v>557</v>
      </c>
      <c r="H760" s="19" t="s">
        <v>0</v>
      </c>
    </row>
    <row r="761" spans="1:8" hidden="1" x14ac:dyDescent="0.25">
      <c r="A761">
        <v>20910404</v>
      </c>
      <c r="B761" s="19" t="s">
        <v>12</v>
      </c>
      <c r="C761" s="19" t="s">
        <v>26</v>
      </c>
      <c r="D761" s="19" t="s">
        <v>184</v>
      </c>
      <c r="E761" s="19" t="s">
        <v>437</v>
      </c>
      <c r="F761" s="19" t="s">
        <v>400</v>
      </c>
      <c r="G761" s="19" t="s">
        <v>557</v>
      </c>
      <c r="H761" s="19" t="s">
        <v>0</v>
      </c>
    </row>
    <row r="762" spans="1:8" hidden="1" x14ac:dyDescent="0.25">
      <c r="A762">
        <v>20910398</v>
      </c>
      <c r="B762" s="19" t="s">
        <v>12</v>
      </c>
      <c r="C762" s="19" t="s">
        <v>33</v>
      </c>
      <c r="D762" s="19" t="s">
        <v>96</v>
      </c>
      <c r="E762" s="19" t="s">
        <v>437</v>
      </c>
      <c r="F762" s="19" t="s">
        <v>401</v>
      </c>
      <c r="G762" s="19" t="s">
        <v>557</v>
      </c>
      <c r="H762" s="19" t="s">
        <v>0</v>
      </c>
    </row>
    <row r="763" spans="1:8" hidden="1" x14ac:dyDescent="0.25">
      <c r="A763">
        <v>20910393</v>
      </c>
      <c r="B763" s="19" t="s">
        <v>12</v>
      </c>
      <c r="C763" s="19" t="s">
        <v>26</v>
      </c>
      <c r="D763" s="19" t="s">
        <v>185</v>
      </c>
      <c r="E763" s="19" t="s">
        <v>437</v>
      </c>
      <c r="F763" s="19" t="s">
        <v>400</v>
      </c>
      <c r="G763" s="19" t="s">
        <v>557</v>
      </c>
      <c r="H763" s="19" t="s">
        <v>0</v>
      </c>
    </row>
    <row r="764" spans="1:8" hidden="1" x14ac:dyDescent="0.25">
      <c r="A764">
        <v>20910392</v>
      </c>
      <c r="B764" s="19" t="s">
        <v>12</v>
      </c>
      <c r="C764" s="19" t="s">
        <v>26</v>
      </c>
      <c r="D764" s="19" t="s">
        <v>95</v>
      </c>
      <c r="E764" s="19" t="s">
        <v>437</v>
      </c>
      <c r="F764" s="19" t="s">
        <v>400</v>
      </c>
      <c r="G764" s="19" t="s">
        <v>557</v>
      </c>
      <c r="H764" s="19" t="s">
        <v>0</v>
      </c>
    </row>
    <row r="765" spans="1:8" hidden="1" x14ac:dyDescent="0.25">
      <c r="A765">
        <v>20910390</v>
      </c>
      <c r="B765" s="19" t="s">
        <v>12</v>
      </c>
      <c r="C765" s="19" t="s">
        <v>26</v>
      </c>
      <c r="D765" s="19" t="s">
        <v>95</v>
      </c>
      <c r="E765" s="19" t="s">
        <v>437</v>
      </c>
      <c r="F765" s="19" t="s">
        <v>400</v>
      </c>
      <c r="G765" s="19" t="s">
        <v>557</v>
      </c>
      <c r="H765" s="19" t="s">
        <v>0</v>
      </c>
    </row>
    <row r="766" spans="1:8" hidden="1" x14ac:dyDescent="0.25">
      <c r="A766">
        <v>20910389</v>
      </c>
      <c r="B766" s="19" t="s">
        <v>12</v>
      </c>
      <c r="C766" s="19" t="s">
        <v>26</v>
      </c>
      <c r="D766" s="19" t="s">
        <v>184</v>
      </c>
      <c r="E766" s="19" t="s">
        <v>437</v>
      </c>
      <c r="F766" s="19" t="s">
        <v>400</v>
      </c>
      <c r="G766" s="19" t="s">
        <v>557</v>
      </c>
      <c r="H766" s="19" t="s">
        <v>0</v>
      </c>
    </row>
    <row r="767" spans="1:8" hidden="1" x14ac:dyDescent="0.25">
      <c r="A767">
        <v>20910387</v>
      </c>
      <c r="B767" s="19" t="s">
        <v>12</v>
      </c>
      <c r="C767" s="19" t="s">
        <v>26</v>
      </c>
      <c r="D767" s="19" t="s">
        <v>184</v>
      </c>
      <c r="E767" s="19" t="s">
        <v>437</v>
      </c>
      <c r="F767" s="19" t="s">
        <v>400</v>
      </c>
      <c r="G767" s="19" t="s">
        <v>557</v>
      </c>
      <c r="H767" s="19" t="s">
        <v>0</v>
      </c>
    </row>
    <row r="768" spans="1:8" hidden="1" x14ac:dyDescent="0.25">
      <c r="A768">
        <v>20910386</v>
      </c>
      <c r="B768" s="19" t="s">
        <v>12</v>
      </c>
      <c r="C768" s="19" t="s">
        <v>26</v>
      </c>
      <c r="D768" s="19" t="s">
        <v>97</v>
      </c>
      <c r="E768" s="19" t="s">
        <v>437</v>
      </c>
      <c r="F768" s="19" t="s">
        <v>400</v>
      </c>
      <c r="G768" s="19" t="s">
        <v>557</v>
      </c>
      <c r="H768" s="19" t="s">
        <v>0</v>
      </c>
    </row>
    <row r="769" spans="1:8" hidden="1" x14ac:dyDescent="0.25">
      <c r="A769">
        <v>20910381</v>
      </c>
      <c r="B769" s="19" t="s">
        <v>12</v>
      </c>
      <c r="C769" s="19" t="s">
        <v>26</v>
      </c>
      <c r="D769" s="19" t="s">
        <v>97</v>
      </c>
      <c r="E769" s="19" t="s">
        <v>437</v>
      </c>
      <c r="F769" s="19" t="s">
        <v>400</v>
      </c>
      <c r="G769" s="19" t="s">
        <v>557</v>
      </c>
      <c r="H769" s="19" t="s">
        <v>0</v>
      </c>
    </row>
    <row r="770" spans="1:8" hidden="1" x14ac:dyDescent="0.25">
      <c r="A770">
        <v>20910380</v>
      </c>
      <c r="B770" s="19" t="s">
        <v>12</v>
      </c>
      <c r="C770" s="19" t="s">
        <v>33</v>
      </c>
      <c r="D770" s="19" t="s">
        <v>97</v>
      </c>
      <c r="E770" s="19" t="s">
        <v>437</v>
      </c>
      <c r="F770" s="19" t="s">
        <v>401</v>
      </c>
      <c r="G770" s="19" t="s">
        <v>557</v>
      </c>
      <c r="H770" s="19" t="s">
        <v>0</v>
      </c>
    </row>
    <row r="771" spans="1:8" hidden="1" x14ac:dyDescent="0.25">
      <c r="A771">
        <v>20910376</v>
      </c>
      <c r="B771" s="19" t="s">
        <v>12</v>
      </c>
      <c r="C771" s="19" t="s">
        <v>26</v>
      </c>
      <c r="D771" s="19" t="s">
        <v>184</v>
      </c>
      <c r="E771" s="19" t="s">
        <v>437</v>
      </c>
      <c r="F771" s="19" t="s">
        <v>400</v>
      </c>
      <c r="G771" s="19" t="s">
        <v>557</v>
      </c>
      <c r="H771" s="19" t="s">
        <v>0</v>
      </c>
    </row>
    <row r="772" spans="1:8" hidden="1" x14ac:dyDescent="0.25">
      <c r="A772">
        <v>20910375</v>
      </c>
      <c r="B772" s="19" t="s">
        <v>12</v>
      </c>
      <c r="C772" s="19" t="s">
        <v>26</v>
      </c>
      <c r="D772" s="19" t="s">
        <v>95</v>
      </c>
      <c r="E772" s="19" t="s">
        <v>437</v>
      </c>
      <c r="F772" s="19" t="s">
        <v>400</v>
      </c>
      <c r="G772" s="19" t="s">
        <v>557</v>
      </c>
      <c r="H772" s="19" t="s">
        <v>0</v>
      </c>
    </row>
    <row r="773" spans="1:8" hidden="1" x14ac:dyDescent="0.25">
      <c r="A773">
        <v>20910367</v>
      </c>
      <c r="B773" s="19" t="s">
        <v>18</v>
      </c>
      <c r="C773" s="19" t="s">
        <v>26</v>
      </c>
      <c r="D773" s="19" t="s">
        <v>97</v>
      </c>
      <c r="E773" s="19" t="s">
        <v>437</v>
      </c>
      <c r="F773" s="19" t="s">
        <v>400</v>
      </c>
      <c r="G773" s="19" t="s">
        <v>557</v>
      </c>
      <c r="H773" s="19" t="s">
        <v>0</v>
      </c>
    </row>
    <row r="774" spans="1:8" hidden="1" x14ac:dyDescent="0.25">
      <c r="A774">
        <v>20910365</v>
      </c>
      <c r="B774" s="19" t="s">
        <v>18</v>
      </c>
      <c r="C774" s="19" t="s">
        <v>26</v>
      </c>
      <c r="D774" s="19" t="s">
        <v>314</v>
      </c>
      <c r="E774" s="19" t="s">
        <v>437</v>
      </c>
      <c r="F774" s="19" t="s">
        <v>400</v>
      </c>
      <c r="G774" s="19" t="s">
        <v>557</v>
      </c>
      <c r="H774" s="19" t="s">
        <v>0</v>
      </c>
    </row>
    <row r="775" spans="1:8" hidden="1" x14ac:dyDescent="0.25">
      <c r="A775">
        <v>20910356</v>
      </c>
      <c r="B775" s="19" t="s">
        <v>12</v>
      </c>
      <c r="C775" s="19" t="s">
        <v>26</v>
      </c>
      <c r="D775" s="19" t="s">
        <v>97</v>
      </c>
      <c r="E775" s="19" t="s">
        <v>437</v>
      </c>
      <c r="F775" s="19" t="s">
        <v>400</v>
      </c>
      <c r="G775" s="19" t="s">
        <v>557</v>
      </c>
      <c r="H775" s="19" t="s">
        <v>0</v>
      </c>
    </row>
    <row r="776" spans="1:8" hidden="1" x14ac:dyDescent="0.25">
      <c r="A776">
        <v>20910354</v>
      </c>
      <c r="B776" s="19" t="s">
        <v>12</v>
      </c>
      <c r="C776" s="19" t="s">
        <v>26</v>
      </c>
      <c r="D776" s="19" t="s">
        <v>95</v>
      </c>
      <c r="E776" s="19" t="s">
        <v>437</v>
      </c>
      <c r="F776" s="19" t="s">
        <v>400</v>
      </c>
      <c r="G776" s="19" t="s">
        <v>557</v>
      </c>
      <c r="H776" s="19" t="s">
        <v>0</v>
      </c>
    </row>
    <row r="777" spans="1:8" hidden="1" x14ac:dyDescent="0.25">
      <c r="A777">
        <v>20910343</v>
      </c>
      <c r="B777" s="19" t="s">
        <v>12</v>
      </c>
      <c r="C777" s="19" t="s">
        <v>26</v>
      </c>
      <c r="D777" s="19" t="s">
        <v>188</v>
      </c>
      <c r="E777" s="19" t="s">
        <v>437</v>
      </c>
      <c r="F777" s="19" t="s">
        <v>400</v>
      </c>
      <c r="G777" s="19" t="s">
        <v>557</v>
      </c>
      <c r="H777" s="19" t="s">
        <v>0</v>
      </c>
    </row>
    <row r="778" spans="1:8" hidden="1" x14ac:dyDescent="0.25">
      <c r="A778">
        <v>20910339</v>
      </c>
      <c r="B778" s="19" t="s">
        <v>12</v>
      </c>
      <c r="C778" s="19" t="s">
        <v>26</v>
      </c>
      <c r="D778" s="19" t="s">
        <v>97</v>
      </c>
      <c r="E778" s="19" t="s">
        <v>437</v>
      </c>
      <c r="F778" s="19" t="s">
        <v>400</v>
      </c>
      <c r="G778" s="19" t="s">
        <v>557</v>
      </c>
      <c r="H778" s="19" t="s">
        <v>0</v>
      </c>
    </row>
    <row r="779" spans="1:8" hidden="1" x14ac:dyDescent="0.25">
      <c r="A779">
        <v>20910337</v>
      </c>
      <c r="B779" s="19" t="s">
        <v>18</v>
      </c>
      <c r="C779" s="19" t="s">
        <v>26</v>
      </c>
      <c r="D779" s="19" t="s">
        <v>186</v>
      </c>
      <c r="E779" s="19" t="s">
        <v>437</v>
      </c>
      <c r="F779" s="19" t="s">
        <v>400</v>
      </c>
      <c r="G779" s="19" t="s">
        <v>557</v>
      </c>
      <c r="H779" s="19" t="s">
        <v>0</v>
      </c>
    </row>
    <row r="780" spans="1:8" hidden="1" x14ac:dyDescent="0.25">
      <c r="A780">
        <v>20910335</v>
      </c>
      <c r="B780" s="19" t="s">
        <v>12</v>
      </c>
      <c r="C780" s="19" t="s">
        <v>33</v>
      </c>
      <c r="D780" s="19" t="s">
        <v>187</v>
      </c>
      <c r="E780" s="19" t="s">
        <v>437</v>
      </c>
      <c r="F780" s="19" t="s">
        <v>401</v>
      </c>
      <c r="G780" s="19" t="s">
        <v>557</v>
      </c>
      <c r="H780" s="19" t="s">
        <v>0</v>
      </c>
    </row>
    <row r="781" spans="1:8" hidden="1" x14ac:dyDescent="0.25">
      <c r="A781">
        <v>20910331</v>
      </c>
      <c r="B781" s="19" t="s">
        <v>12</v>
      </c>
      <c r="C781" s="19" t="s">
        <v>26</v>
      </c>
      <c r="D781" s="19" t="s">
        <v>97</v>
      </c>
      <c r="E781" s="19" t="s">
        <v>443</v>
      </c>
      <c r="F781" s="19" t="s">
        <v>400</v>
      </c>
      <c r="G781" s="19" t="s">
        <v>557</v>
      </c>
      <c r="H781" s="19" t="s">
        <v>0</v>
      </c>
    </row>
    <row r="782" spans="1:8" hidden="1" x14ac:dyDescent="0.25">
      <c r="A782">
        <v>20910315</v>
      </c>
      <c r="B782" s="19" t="s">
        <v>12</v>
      </c>
      <c r="C782" s="19" t="s">
        <v>26</v>
      </c>
      <c r="D782" s="19" t="s">
        <v>97</v>
      </c>
      <c r="E782" s="19" t="s">
        <v>443</v>
      </c>
      <c r="F782" s="19" t="s">
        <v>400</v>
      </c>
      <c r="G782" s="19" t="s">
        <v>557</v>
      </c>
      <c r="H782" s="19" t="s">
        <v>0</v>
      </c>
    </row>
    <row r="783" spans="1:8" hidden="1" x14ac:dyDescent="0.25">
      <c r="A783">
        <v>20910304</v>
      </c>
      <c r="B783" s="19" t="s">
        <v>12</v>
      </c>
      <c r="C783" s="19" t="s">
        <v>26</v>
      </c>
      <c r="D783" s="19" t="s">
        <v>188</v>
      </c>
      <c r="E783" s="19" t="s">
        <v>443</v>
      </c>
      <c r="F783" s="19" t="s">
        <v>400</v>
      </c>
      <c r="G783" s="19" t="s">
        <v>557</v>
      </c>
      <c r="H783" s="19" t="s">
        <v>0</v>
      </c>
    </row>
    <row r="784" spans="1:8" hidden="1" x14ac:dyDescent="0.25">
      <c r="A784">
        <v>20910302</v>
      </c>
      <c r="B784" s="19" t="s">
        <v>18</v>
      </c>
      <c r="C784" s="19" t="s">
        <v>26</v>
      </c>
      <c r="D784" s="19" t="s">
        <v>97</v>
      </c>
      <c r="E784" s="19" t="s">
        <v>443</v>
      </c>
      <c r="F784" s="19" t="s">
        <v>400</v>
      </c>
      <c r="G784" s="19" t="s">
        <v>557</v>
      </c>
      <c r="H784" s="19" t="s">
        <v>0</v>
      </c>
    </row>
    <row r="785" spans="1:8" hidden="1" x14ac:dyDescent="0.25">
      <c r="A785">
        <v>20910288</v>
      </c>
      <c r="B785" s="19" t="s">
        <v>12</v>
      </c>
      <c r="C785" s="19" t="s">
        <v>26</v>
      </c>
      <c r="D785" s="19" t="s">
        <v>188</v>
      </c>
      <c r="E785" s="19" t="s">
        <v>443</v>
      </c>
      <c r="F785" s="19" t="s">
        <v>400</v>
      </c>
      <c r="G785" s="19" t="s">
        <v>557</v>
      </c>
      <c r="H785" s="19" t="s">
        <v>0</v>
      </c>
    </row>
    <row r="786" spans="1:8" hidden="1" x14ac:dyDescent="0.25">
      <c r="A786">
        <v>20910276</v>
      </c>
      <c r="B786" s="19" t="s">
        <v>12</v>
      </c>
      <c r="C786" s="19" t="s">
        <v>26</v>
      </c>
      <c r="D786" s="19" t="s">
        <v>97</v>
      </c>
      <c r="E786" s="19" t="s">
        <v>443</v>
      </c>
      <c r="F786" s="19" t="s">
        <v>400</v>
      </c>
      <c r="G786" s="19" t="s">
        <v>557</v>
      </c>
      <c r="H786" s="19" t="s">
        <v>0</v>
      </c>
    </row>
    <row r="787" spans="1:8" hidden="1" x14ac:dyDescent="0.25">
      <c r="A787">
        <v>20910260</v>
      </c>
      <c r="B787" s="19" t="s">
        <v>79</v>
      </c>
      <c r="C787" s="19" t="s">
        <v>26</v>
      </c>
      <c r="D787" s="19" t="s">
        <v>188</v>
      </c>
      <c r="E787" s="19" t="s">
        <v>443</v>
      </c>
      <c r="F787" s="19" t="s">
        <v>400</v>
      </c>
      <c r="G787" s="19" t="s">
        <v>557</v>
      </c>
      <c r="H787" s="19" t="s">
        <v>0</v>
      </c>
    </row>
    <row r="788" spans="1:8" hidden="1" x14ac:dyDescent="0.25">
      <c r="A788">
        <v>20910258</v>
      </c>
      <c r="B788" s="19" t="s">
        <v>12</v>
      </c>
      <c r="C788" s="19" t="s">
        <v>26</v>
      </c>
      <c r="D788" s="19" t="s">
        <v>188</v>
      </c>
      <c r="E788" s="19" t="s">
        <v>443</v>
      </c>
      <c r="F788" s="19" t="s">
        <v>400</v>
      </c>
      <c r="G788" s="19" t="s">
        <v>557</v>
      </c>
      <c r="H788" s="19" t="s">
        <v>0</v>
      </c>
    </row>
    <row r="789" spans="1:8" hidden="1" x14ac:dyDescent="0.25">
      <c r="A789">
        <v>20910254</v>
      </c>
      <c r="B789" s="19" t="s">
        <v>12</v>
      </c>
      <c r="C789" s="19" t="s">
        <v>26</v>
      </c>
      <c r="D789" s="19" t="s">
        <v>97</v>
      </c>
      <c r="E789" s="19" t="s">
        <v>443</v>
      </c>
      <c r="F789" s="19" t="s">
        <v>400</v>
      </c>
      <c r="G789" s="19" t="s">
        <v>557</v>
      </c>
      <c r="H789" s="19" t="s">
        <v>0</v>
      </c>
    </row>
    <row r="790" spans="1:8" hidden="1" x14ac:dyDescent="0.25">
      <c r="A790">
        <v>20910236</v>
      </c>
      <c r="B790" s="19" t="s">
        <v>12</v>
      </c>
      <c r="C790" s="19" t="s">
        <v>26</v>
      </c>
      <c r="D790" s="19" t="s">
        <v>191</v>
      </c>
      <c r="E790" s="19" t="s">
        <v>443</v>
      </c>
      <c r="F790" s="19" t="s">
        <v>400</v>
      </c>
      <c r="G790" s="19" t="s">
        <v>557</v>
      </c>
      <c r="H790" s="19" t="s">
        <v>0</v>
      </c>
    </row>
    <row r="791" spans="1:8" hidden="1" x14ac:dyDescent="0.25">
      <c r="A791">
        <v>20910228</v>
      </c>
      <c r="B791" s="19" t="s">
        <v>12</v>
      </c>
      <c r="C791" s="19" t="s">
        <v>26</v>
      </c>
      <c r="D791" s="19" t="s">
        <v>98</v>
      </c>
      <c r="E791" s="19" t="s">
        <v>443</v>
      </c>
      <c r="F791" s="19" t="s">
        <v>400</v>
      </c>
      <c r="G791" s="19" t="s">
        <v>557</v>
      </c>
      <c r="H791" s="19" t="s">
        <v>0</v>
      </c>
    </row>
    <row r="792" spans="1:8" hidden="1" x14ac:dyDescent="0.25">
      <c r="A792">
        <v>20910226</v>
      </c>
      <c r="B792" s="19" t="s">
        <v>18</v>
      </c>
      <c r="C792" s="19" t="s">
        <v>26</v>
      </c>
      <c r="D792" s="19" t="s">
        <v>95</v>
      </c>
      <c r="E792" s="19" t="s">
        <v>443</v>
      </c>
      <c r="F792" s="19" t="s">
        <v>400</v>
      </c>
      <c r="G792" s="19" t="s">
        <v>557</v>
      </c>
      <c r="H792" s="19" t="s">
        <v>0</v>
      </c>
    </row>
    <row r="793" spans="1:8" hidden="1" x14ac:dyDescent="0.25">
      <c r="A793">
        <v>20910224</v>
      </c>
      <c r="B793" s="19" t="s">
        <v>12</v>
      </c>
      <c r="C793" s="19" t="s">
        <v>26</v>
      </c>
      <c r="D793" s="19" t="s">
        <v>191</v>
      </c>
      <c r="E793" s="19" t="s">
        <v>443</v>
      </c>
      <c r="F793" s="19" t="s">
        <v>400</v>
      </c>
      <c r="G793" s="19" t="s">
        <v>557</v>
      </c>
      <c r="H793" s="19" t="s">
        <v>0</v>
      </c>
    </row>
    <row r="794" spans="1:8" hidden="1" x14ac:dyDescent="0.25">
      <c r="A794">
        <v>20910217</v>
      </c>
      <c r="B794" s="19" t="s">
        <v>12</v>
      </c>
      <c r="C794" s="19" t="s">
        <v>26</v>
      </c>
      <c r="D794" s="19" t="s">
        <v>191</v>
      </c>
      <c r="E794" s="19" t="s">
        <v>443</v>
      </c>
      <c r="F794" s="19" t="s">
        <v>400</v>
      </c>
      <c r="G794" s="19" t="s">
        <v>557</v>
      </c>
      <c r="H794" s="19" t="s">
        <v>0</v>
      </c>
    </row>
    <row r="795" spans="1:8" hidden="1" x14ac:dyDescent="0.25">
      <c r="A795">
        <v>20910210</v>
      </c>
      <c r="B795" s="19" t="s">
        <v>12</v>
      </c>
      <c r="C795" s="19" t="s">
        <v>26</v>
      </c>
      <c r="D795" s="19" t="s">
        <v>97</v>
      </c>
      <c r="E795" s="19" t="s">
        <v>443</v>
      </c>
      <c r="F795" s="19" t="s">
        <v>400</v>
      </c>
      <c r="G795" s="19" t="s">
        <v>557</v>
      </c>
      <c r="H795" s="19" t="s">
        <v>0</v>
      </c>
    </row>
    <row r="796" spans="1:8" hidden="1" x14ac:dyDescent="0.25">
      <c r="A796">
        <v>20910206</v>
      </c>
      <c r="B796" s="19" t="s">
        <v>12</v>
      </c>
      <c r="C796" s="19" t="s">
        <v>26</v>
      </c>
      <c r="D796" s="19" t="s">
        <v>357</v>
      </c>
      <c r="E796" s="19" t="s">
        <v>443</v>
      </c>
      <c r="F796" s="19" t="s">
        <v>400</v>
      </c>
      <c r="G796" s="19" t="s">
        <v>557</v>
      </c>
      <c r="H796" s="19" t="s">
        <v>0</v>
      </c>
    </row>
    <row r="797" spans="1:8" hidden="1" x14ac:dyDescent="0.25">
      <c r="A797">
        <v>20910205</v>
      </c>
      <c r="B797" s="19" t="s">
        <v>18</v>
      </c>
      <c r="C797" s="19" t="s">
        <v>33</v>
      </c>
      <c r="D797" s="19" t="s">
        <v>189</v>
      </c>
      <c r="E797" s="19" t="s">
        <v>443</v>
      </c>
      <c r="F797" s="19" t="s">
        <v>401</v>
      </c>
      <c r="G797" s="19" t="s">
        <v>557</v>
      </c>
      <c r="H797" s="19" t="s">
        <v>0</v>
      </c>
    </row>
    <row r="798" spans="1:8" hidden="1" x14ac:dyDescent="0.25">
      <c r="A798">
        <v>20910201</v>
      </c>
      <c r="B798" s="19" t="s">
        <v>12</v>
      </c>
      <c r="C798" s="19" t="s">
        <v>26</v>
      </c>
      <c r="D798" s="19" t="s">
        <v>98</v>
      </c>
      <c r="E798" s="19" t="s">
        <v>443</v>
      </c>
      <c r="F798" s="19" t="s">
        <v>400</v>
      </c>
      <c r="G798" s="19" t="s">
        <v>557</v>
      </c>
      <c r="H798" s="19" t="s">
        <v>0</v>
      </c>
    </row>
    <row r="799" spans="1:8" hidden="1" x14ac:dyDescent="0.25">
      <c r="A799">
        <v>20910198</v>
      </c>
      <c r="B799" s="19" t="s">
        <v>18</v>
      </c>
      <c r="C799" s="19" t="s">
        <v>26</v>
      </c>
      <c r="D799" s="19" t="s">
        <v>316</v>
      </c>
      <c r="E799" s="19" t="s">
        <v>443</v>
      </c>
      <c r="F799" s="19" t="s">
        <v>400</v>
      </c>
      <c r="G799" s="19" t="s">
        <v>557</v>
      </c>
      <c r="H799" s="19" t="s">
        <v>0</v>
      </c>
    </row>
    <row r="800" spans="1:8" hidden="1" x14ac:dyDescent="0.25">
      <c r="A800">
        <v>20910193</v>
      </c>
      <c r="B800" s="19" t="s">
        <v>12</v>
      </c>
      <c r="C800" s="19" t="s">
        <v>26</v>
      </c>
      <c r="D800" s="19" t="s">
        <v>189</v>
      </c>
      <c r="E800" s="19" t="s">
        <v>443</v>
      </c>
      <c r="F800" s="19" t="s">
        <v>400</v>
      </c>
      <c r="G800" s="19" t="s">
        <v>557</v>
      </c>
      <c r="H800" s="19" t="s">
        <v>0</v>
      </c>
    </row>
    <row r="801" spans="1:8" hidden="1" x14ac:dyDescent="0.25">
      <c r="A801">
        <v>20910191</v>
      </c>
      <c r="B801" s="19" t="s">
        <v>12</v>
      </c>
      <c r="C801" s="19" t="s">
        <v>26</v>
      </c>
      <c r="D801" s="19" t="s">
        <v>189</v>
      </c>
      <c r="E801" s="19" t="s">
        <v>443</v>
      </c>
      <c r="F801" s="19" t="s">
        <v>400</v>
      </c>
      <c r="G801" s="19" t="s">
        <v>557</v>
      </c>
      <c r="H801" s="19" t="s">
        <v>0</v>
      </c>
    </row>
    <row r="802" spans="1:8" hidden="1" x14ac:dyDescent="0.25">
      <c r="A802">
        <v>20910148</v>
      </c>
      <c r="B802" s="19" t="s">
        <v>12</v>
      </c>
      <c r="C802" s="19" t="s">
        <v>26</v>
      </c>
      <c r="D802" s="19" t="s">
        <v>97</v>
      </c>
      <c r="E802" s="19" t="s">
        <v>443</v>
      </c>
      <c r="F802" s="19" t="s">
        <v>400</v>
      </c>
      <c r="G802" s="19" t="s">
        <v>557</v>
      </c>
      <c r="H802" s="19" t="s">
        <v>0</v>
      </c>
    </row>
    <row r="803" spans="1:8" hidden="1" x14ac:dyDescent="0.25">
      <c r="A803">
        <v>20910142</v>
      </c>
      <c r="B803" s="19" t="s">
        <v>12</v>
      </c>
      <c r="C803" s="19" t="s">
        <v>26</v>
      </c>
      <c r="D803" s="19" t="s">
        <v>97</v>
      </c>
      <c r="E803" s="19" t="s">
        <v>443</v>
      </c>
      <c r="F803" s="19" t="s">
        <v>400</v>
      </c>
      <c r="G803" s="19" t="s">
        <v>557</v>
      </c>
      <c r="H803" s="19" t="s">
        <v>0</v>
      </c>
    </row>
    <row r="804" spans="1:8" hidden="1" x14ac:dyDescent="0.25">
      <c r="A804">
        <v>20910125</v>
      </c>
      <c r="B804" s="19" t="s">
        <v>12</v>
      </c>
      <c r="C804" s="19" t="s">
        <v>26</v>
      </c>
      <c r="D804" s="19" t="s">
        <v>95</v>
      </c>
      <c r="E804" s="19" t="s">
        <v>443</v>
      </c>
      <c r="F804" s="19" t="s">
        <v>400</v>
      </c>
      <c r="G804" s="19" t="s">
        <v>557</v>
      </c>
      <c r="H804" s="19" t="s">
        <v>0</v>
      </c>
    </row>
    <row r="805" spans="1:8" hidden="1" x14ac:dyDescent="0.25">
      <c r="A805">
        <v>20910076</v>
      </c>
      <c r="B805" s="19" t="s">
        <v>18</v>
      </c>
      <c r="C805" s="19" t="s">
        <v>26</v>
      </c>
      <c r="D805" s="19" t="s">
        <v>190</v>
      </c>
      <c r="E805" s="19" t="s">
        <v>437</v>
      </c>
      <c r="F805" s="19" t="s">
        <v>400</v>
      </c>
      <c r="G805" s="19" t="s">
        <v>557</v>
      </c>
      <c r="H805" s="19" t="s">
        <v>0</v>
      </c>
    </row>
    <row r="806" spans="1:8" hidden="1" x14ac:dyDescent="0.25">
      <c r="A806">
        <v>20910074</v>
      </c>
      <c r="B806" s="19" t="s">
        <v>12</v>
      </c>
      <c r="C806" s="19" t="s">
        <v>26</v>
      </c>
      <c r="D806" s="19" t="s">
        <v>97</v>
      </c>
      <c r="E806" s="19" t="s">
        <v>437</v>
      </c>
      <c r="F806" s="19" t="s">
        <v>400</v>
      </c>
      <c r="G806" s="19" t="s">
        <v>557</v>
      </c>
      <c r="H806" s="19" t="s">
        <v>0</v>
      </c>
    </row>
    <row r="807" spans="1:8" hidden="1" x14ac:dyDescent="0.25">
      <c r="A807">
        <v>20910073</v>
      </c>
      <c r="B807" s="19" t="s">
        <v>12</v>
      </c>
      <c r="C807" s="19" t="s">
        <v>26</v>
      </c>
      <c r="D807" s="19" t="s">
        <v>97</v>
      </c>
      <c r="E807" s="19" t="s">
        <v>437</v>
      </c>
      <c r="F807" s="19" t="s">
        <v>400</v>
      </c>
      <c r="G807" s="19" t="s">
        <v>557</v>
      </c>
      <c r="H807" s="19" t="s">
        <v>0</v>
      </c>
    </row>
    <row r="808" spans="1:8" hidden="1" x14ac:dyDescent="0.25">
      <c r="A808">
        <v>20910072</v>
      </c>
      <c r="B808" s="19" t="s">
        <v>12</v>
      </c>
      <c r="C808" s="19" t="s">
        <v>26</v>
      </c>
      <c r="D808" s="19" t="s">
        <v>95</v>
      </c>
      <c r="E808" s="19" t="s">
        <v>437</v>
      </c>
      <c r="F808" s="19" t="s">
        <v>400</v>
      </c>
      <c r="G808" s="19" t="s">
        <v>557</v>
      </c>
      <c r="H808" s="19" t="s">
        <v>0</v>
      </c>
    </row>
    <row r="809" spans="1:8" hidden="1" x14ac:dyDescent="0.25">
      <c r="A809">
        <v>20910066</v>
      </c>
      <c r="B809" s="19" t="s">
        <v>12</v>
      </c>
      <c r="C809" s="19" t="s">
        <v>26</v>
      </c>
      <c r="D809" s="19" t="s">
        <v>190</v>
      </c>
      <c r="E809" s="19" t="s">
        <v>437</v>
      </c>
      <c r="F809" s="19" t="s">
        <v>400</v>
      </c>
      <c r="G809" s="19" t="s">
        <v>557</v>
      </c>
      <c r="H809" s="19" t="s">
        <v>0</v>
      </c>
    </row>
    <row r="810" spans="1:8" hidden="1" x14ac:dyDescent="0.25">
      <c r="A810">
        <v>20910059</v>
      </c>
      <c r="B810" s="19" t="s">
        <v>18</v>
      </c>
      <c r="C810" s="19" t="s">
        <v>33</v>
      </c>
      <c r="D810" s="19" t="s">
        <v>97</v>
      </c>
      <c r="E810" s="19" t="s">
        <v>437</v>
      </c>
      <c r="F810" s="19" t="s">
        <v>401</v>
      </c>
      <c r="G810" s="19" t="s">
        <v>557</v>
      </c>
      <c r="H810" s="19" t="s">
        <v>0</v>
      </c>
    </row>
    <row r="811" spans="1:8" hidden="1" x14ac:dyDescent="0.25">
      <c r="A811">
        <v>20910049</v>
      </c>
      <c r="B811" s="19" t="s">
        <v>12</v>
      </c>
      <c r="C811" s="19" t="s">
        <v>26</v>
      </c>
      <c r="D811" s="19" t="s">
        <v>95</v>
      </c>
      <c r="E811" s="19" t="s">
        <v>437</v>
      </c>
      <c r="F811" s="19" t="s">
        <v>400</v>
      </c>
      <c r="G811" s="19" t="s">
        <v>557</v>
      </c>
      <c r="H811" s="19" t="s">
        <v>0</v>
      </c>
    </row>
    <row r="812" spans="1:8" hidden="1" x14ac:dyDescent="0.25">
      <c r="A812">
        <v>20910044</v>
      </c>
      <c r="B812" s="19" t="s">
        <v>12</v>
      </c>
      <c r="C812" s="19" t="s">
        <v>33</v>
      </c>
      <c r="D812" s="19" t="s">
        <v>101</v>
      </c>
      <c r="E812" s="19" t="s">
        <v>437</v>
      </c>
      <c r="F812" s="19" t="s">
        <v>401</v>
      </c>
      <c r="G812" s="19" t="s">
        <v>557</v>
      </c>
      <c r="H812" s="19" t="s">
        <v>0</v>
      </c>
    </row>
    <row r="813" spans="1:8" hidden="1" x14ac:dyDescent="0.25">
      <c r="A813">
        <v>20910039</v>
      </c>
      <c r="B813" s="19" t="s">
        <v>12</v>
      </c>
      <c r="C813" s="19" t="s">
        <v>26</v>
      </c>
      <c r="D813" s="19" t="s">
        <v>97</v>
      </c>
      <c r="E813" s="19" t="s">
        <v>437</v>
      </c>
      <c r="F813" s="19" t="s">
        <v>400</v>
      </c>
      <c r="G813" s="19" t="s">
        <v>557</v>
      </c>
      <c r="H813" s="19" t="s">
        <v>0</v>
      </c>
    </row>
    <row r="814" spans="1:8" hidden="1" x14ac:dyDescent="0.25">
      <c r="A814">
        <v>20910017</v>
      </c>
      <c r="B814" s="19" t="s">
        <v>18</v>
      </c>
      <c r="C814" s="19" t="s">
        <v>26</v>
      </c>
      <c r="D814" s="19" t="s">
        <v>317</v>
      </c>
      <c r="E814" s="19" t="s">
        <v>437</v>
      </c>
      <c r="F814" s="19" t="s">
        <v>400</v>
      </c>
      <c r="G814" s="19" t="s">
        <v>557</v>
      </c>
      <c r="H814" s="19" t="s">
        <v>0</v>
      </c>
    </row>
    <row r="815" spans="1:8" hidden="1" x14ac:dyDescent="0.25">
      <c r="A815">
        <v>20910008</v>
      </c>
      <c r="B815" s="19" t="s">
        <v>18</v>
      </c>
      <c r="C815" s="19" t="s">
        <v>26</v>
      </c>
      <c r="D815" s="19" t="s">
        <v>95</v>
      </c>
      <c r="E815" s="19" t="s">
        <v>437</v>
      </c>
      <c r="F815" s="19" t="s">
        <v>400</v>
      </c>
      <c r="G815" s="19" t="s">
        <v>557</v>
      </c>
      <c r="H815" s="19" t="s">
        <v>0</v>
      </c>
    </row>
    <row r="816" spans="1:8" hidden="1" x14ac:dyDescent="0.25">
      <c r="A816">
        <v>20910003</v>
      </c>
      <c r="B816" s="19" t="s">
        <v>79</v>
      </c>
      <c r="C816" s="19" t="s">
        <v>33</v>
      </c>
      <c r="D816" s="19" t="s">
        <v>97</v>
      </c>
      <c r="E816" s="19" t="s">
        <v>437</v>
      </c>
      <c r="F816" s="19" t="s">
        <v>401</v>
      </c>
      <c r="G816" s="19" t="s">
        <v>557</v>
      </c>
      <c r="H816" s="19" t="s">
        <v>0</v>
      </c>
    </row>
    <row r="817" spans="1:8" hidden="1" x14ac:dyDescent="0.25">
      <c r="A817">
        <v>20005435</v>
      </c>
      <c r="B817" s="19" t="s">
        <v>18</v>
      </c>
      <c r="C817" s="19" t="s">
        <v>33</v>
      </c>
      <c r="D817" s="19" t="s">
        <v>190</v>
      </c>
      <c r="E817" s="19" t="s">
        <v>586</v>
      </c>
      <c r="F817" s="19" t="s">
        <v>401</v>
      </c>
      <c r="G817" s="19" t="s">
        <v>557</v>
      </c>
      <c r="H817" s="19" t="s">
        <v>0</v>
      </c>
    </row>
    <row r="818" spans="1:8" hidden="1" x14ac:dyDescent="0.25">
      <c r="A818">
        <v>20005035</v>
      </c>
      <c r="B818" s="19" t="s">
        <v>12</v>
      </c>
      <c r="C818" s="19" t="s">
        <v>33</v>
      </c>
      <c r="D818" s="19" t="s">
        <v>34</v>
      </c>
      <c r="E818" s="19" t="s">
        <v>568</v>
      </c>
      <c r="F818" s="19" t="s">
        <v>401</v>
      </c>
      <c r="G818" s="19" t="s">
        <v>557</v>
      </c>
      <c r="H818" s="19" t="s">
        <v>0</v>
      </c>
    </row>
    <row r="819" spans="1:8" hidden="1" x14ac:dyDescent="0.25">
      <c r="A819">
        <v>19785784</v>
      </c>
      <c r="B819" s="19" t="s">
        <v>12</v>
      </c>
      <c r="C819" s="19" t="s">
        <v>33</v>
      </c>
      <c r="D819" s="19" t="s">
        <v>191</v>
      </c>
      <c r="E819" s="19" t="s">
        <v>561</v>
      </c>
      <c r="F819" s="19" t="s">
        <v>401</v>
      </c>
      <c r="G819" s="19" t="s">
        <v>557</v>
      </c>
      <c r="H819" s="19" t="s">
        <v>0</v>
      </c>
    </row>
    <row r="820" spans="1:8" hidden="1" x14ac:dyDescent="0.25">
      <c r="A820">
        <v>19785423</v>
      </c>
      <c r="B820" s="19" t="s">
        <v>18</v>
      </c>
      <c r="C820" s="19" t="s">
        <v>26</v>
      </c>
      <c r="D820" s="19" t="s">
        <v>103</v>
      </c>
      <c r="E820" s="19" t="s">
        <v>587</v>
      </c>
      <c r="F820" s="19" t="s">
        <v>400</v>
      </c>
      <c r="G820" s="19" t="s">
        <v>557</v>
      </c>
      <c r="H820" s="19" t="s">
        <v>0</v>
      </c>
    </row>
    <row r="821" spans="1:8" hidden="1" x14ac:dyDescent="0.25">
      <c r="A821">
        <v>19776768</v>
      </c>
      <c r="B821" s="19" t="s">
        <v>12</v>
      </c>
      <c r="C821" s="19" t="s">
        <v>33</v>
      </c>
      <c r="D821" s="19" t="s">
        <v>193</v>
      </c>
      <c r="E821" s="19" t="s">
        <v>568</v>
      </c>
      <c r="F821" s="19" t="s">
        <v>401</v>
      </c>
      <c r="G821" s="19" t="s">
        <v>557</v>
      </c>
      <c r="H821" s="19" t="s">
        <v>0</v>
      </c>
    </row>
    <row r="822" spans="1:8" hidden="1" x14ac:dyDescent="0.25">
      <c r="A822">
        <v>19657235</v>
      </c>
      <c r="B822" s="19" t="s">
        <v>12</v>
      </c>
      <c r="C822" s="19" t="s">
        <v>26</v>
      </c>
      <c r="D822" s="19" t="s">
        <v>28</v>
      </c>
      <c r="E822" s="19" t="s">
        <v>588</v>
      </c>
      <c r="F822" s="19" t="s">
        <v>400</v>
      </c>
      <c r="G822" s="19" t="s">
        <v>557</v>
      </c>
      <c r="H822" s="19" t="s">
        <v>0</v>
      </c>
    </row>
    <row r="823" spans="1:8" hidden="1" x14ac:dyDescent="0.25">
      <c r="A823">
        <v>19050383</v>
      </c>
      <c r="B823" s="19" t="s">
        <v>12</v>
      </c>
      <c r="C823" s="19" t="s">
        <v>26</v>
      </c>
      <c r="D823" s="19" t="s">
        <v>318</v>
      </c>
      <c r="E823" s="19" t="s">
        <v>443</v>
      </c>
      <c r="F823" s="19" t="s">
        <v>400</v>
      </c>
      <c r="G823" s="19" t="s">
        <v>557</v>
      </c>
      <c r="H823" s="19" t="s">
        <v>0</v>
      </c>
    </row>
    <row r="824" spans="1:8" hidden="1" x14ac:dyDescent="0.25">
      <c r="A824">
        <v>19050364</v>
      </c>
      <c r="B824" s="19" t="s">
        <v>12</v>
      </c>
      <c r="C824" s="19" t="s">
        <v>26</v>
      </c>
      <c r="D824" s="19" t="s">
        <v>103</v>
      </c>
      <c r="E824" s="19" t="s">
        <v>437</v>
      </c>
      <c r="F824" s="19" t="s">
        <v>400</v>
      </c>
      <c r="G824" s="19" t="s">
        <v>557</v>
      </c>
      <c r="H824" s="19" t="s">
        <v>0</v>
      </c>
    </row>
    <row r="825" spans="1:8" hidden="1" x14ac:dyDescent="0.25">
      <c r="A825">
        <v>19050349</v>
      </c>
      <c r="B825" s="19" t="s">
        <v>12</v>
      </c>
      <c r="C825" s="19" t="s">
        <v>26</v>
      </c>
      <c r="D825" s="19" t="s">
        <v>196</v>
      </c>
      <c r="E825" s="19" t="s">
        <v>437</v>
      </c>
      <c r="F825" s="19" t="s">
        <v>400</v>
      </c>
      <c r="G825" s="19" t="s">
        <v>557</v>
      </c>
      <c r="H825" s="19" t="s">
        <v>0</v>
      </c>
    </row>
    <row r="826" spans="1:8" hidden="1" x14ac:dyDescent="0.25">
      <c r="A826">
        <v>19050296</v>
      </c>
      <c r="B826" s="19" t="s">
        <v>12</v>
      </c>
      <c r="C826" s="19" t="s">
        <v>26</v>
      </c>
      <c r="D826" s="19" t="s">
        <v>103</v>
      </c>
      <c r="E826" s="19" t="s">
        <v>443</v>
      </c>
      <c r="F826" s="19" t="s">
        <v>400</v>
      </c>
      <c r="G826" s="19" t="s">
        <v>557</v>
      </c>
      <c r="H826" s="19" t="s">
        <v>0</v>
      </c>
    </row>
    <row r="827" spans="1:8" hidden="1" x14ac:dyDescent="0.25">
      <c r="A827">
        <v>19050292</v>
      </c>
      <c r="B827" s="19" t="s">
        <v>12</v>
      </c>
      <c r="C827" s="19" t="s">
        <v>26</v>
      </c>
      <c r="D827" s="19" t="s">
        <v>107</v>
      </c>
      <c r="E827" s="19" t="s">
        <v>443</v>
      </c>
      <c r="F827" s="19" t="s">
        <v>400</v>
      </c>
      <c r="G827" s="19" t="s">
        <v>557</v>
      </c>
      <c r="H827" s="19" t="s">
        <v>0</v>
      </c>
    </row>
    <row r="828" spans="1:8" hidden="1" x14ac:dyDescent="0.25">
      <c r="A828">
        <v>19050283</v>
      </c>
      <c r="B828" s="19" t="s">
        <v>12</v>
      </c>
      <c r="C828" s="19" t="s">
        <v>26</v>
      </c>
      <c r="D828" s="19" t="s">
        <v>107</v>
      </c>
      <c r="E828" s="19" t="s">
        <v>443</v>
      </c>
      <c r="F828" s="19" t="s">
        <v>400</v>
      </c>
      <c r="G828" s="19" t="s">
        <v>557</v>
      </c>
      <c r="H828" s="19" t="s">
        <v>0</v>
      </c>
    </row>
    <row r="829" spans="1:8" hidden="1" x14ac:dyDescent="0.25">
      <c r="A829">
        <v>19050272</v>
      </c>
      <c r="B829" s="19" t="s">
        <v>12</v>
      </c>
      <c r="C829" s="19" t="s">
        <v>26</v>
      </c>
      <c r="D829" s="19" t="s">
        <v>103</v>
      </c>
      <c r="E829" s="19" t="s">
        <v>443</v>
      </c>
      <c r="F829" s="19" t="s">
        <v>400</v>
      </c>
      <c r="G829" s="19" t="s">
        <v>557</v>
      </c>
      <c r="H829" s="19" t="s">
        <v>0</v>
      </c>
    </row>
    <row r="830" spans="1:8" hidden="1" x14ac:dyDescent="0.25">
      <c r="A830">
        <v>19050254</v>
      </c>
      <c r="B830" s="19" t="s">
        <v>12</v>
      </c>
      <c r="C830" s="19" t="s">
        <v>26</v>
      </c>
      <c r="D830" s="19" t="s">
        <v>103</v>
      </c>
      <c r="E830" s="19" t="s">
        <v>443</v>
      </c>
      <c r="F830" s="19" t="s">
        <v>400</v>
      </c>
      <c r="G830" s="19" t="s">
        <v>557</v>
      </c>
      <c r="H830" s="19" t="s">
        <v>0</v>
      </c>
    </row>
    <row r="831" spans="1:8" hidden="1" x14ac:dyDescent="0.25">
      <c r="A831">
        <v>19050228</v>
      </c>
      <c r="B831" s="19" t="s">
        <v>12</v>
      </c>
      <c r="C831" s="19" t="s">
        <v>38</v>
      </c>
      <c r="D831" s="19" t="s">
        <v>39</v>
      </c>
      <c r="E831" s="19" t="s">
        <v>437</v>
      </c>
      <c r="F831" s="19" t="s">
        <v>401</v>
      </c>
      <c r="G831" s="19" t="s">
        <v>557</v>
      </c>
      <c r="H831" s="19" t="s">
        <v>0</v>
      </c>
    </row>
    <row r="832" spans="1:8" hidden="1" x14ac:dyDescent="0.25">
      <c r="A832">
        <v>19050217</v>
      </c>
      <c r="B832" s="19" t="s">
        <v>12</v>
      </c>
      <c r="C832" s="19" t="s">
        <v>33</v>
      </c>
      <c r="D832" s="19" t="s">
        <v>35</v>
      </c>
      <c r="E832" s="19" t="s">
        <v>437</v>
      </c>
      <c r="F832" s="19" t="s">
        <v>401</v>
      </c>
      <c r="G832" s="19" t="s">
        <v>557</v>
      </c>
      <c r="H832" s="19" t="s">
        <v>0</v>
      </c>
    </row>
    <row r="833" spans="1:8" hidden="1" x14ac:dyDescent="0.25">
      <c r="A833">
        <v>19050213</v>
      </c>
      <c r="B833" s="19" t="s">
        <v>12</v>
      </c>
      <c r="C833" s="19" t="s">
        <v>26</v>
      </c>
      <c r="D833" s="19" t="s">
        <v>35</v>
      </c>
      <c r="E833" s="19" t="s">
        <v>437</v>
      </c>
      <c r="F833" s="19" t="s">
        <v>400</v>
      </c>
      <c r="G833" s="19" t="s">
        <v>557</v>
      </c>
      <c r="H833" s="19" t="s">
        <v>0</v>
      </c>
    </row>
    <row r="834" spans="1:8" hidden="1" x14ac:dyDescent="0.25">
      <c r="A834">
        <v>19050207</v>
      </c>
      <c r="B834" s="19" t="s">
        <v>12</v>
      </c>
      <c r="C834" s="19" t="s">
        <v>26</v>
      </c>
      <c r="D834" s="19" t="s">
        <v>193</v>
      </c>
      <c r="E834" s="19" t="s">
        <v>437</v>
      </c>
      <c r="F834" s="19" t="s">
        <v>400</v>
      </c>
      <c r="G834" s="19" t="s">
        <v>557</v>
      </c>
      <c r="H834" s="19" t="s">
        <v>0</v>
      </c>
    </row>
    <row r="835" spans="1:8" hidden="1" x14ac:dyDescent="0.25">
      <c r="A835">
        <v>19050206</v>
      </c>
      <c r="B835" s="19" t="s">
        <v>12</v>
      </c>
      <c r="C835" s="19" t="s">
        <v>26</v>
      </c>
      <c r="D835" s="19" t="s">
        <v>28</v>
      </c>
      <c r="E835" s="19" t="s">
        <v>437</v>
      </c>
      <c r="F835" s="19" t="s">
        <v>400</v>
      </c>
      <c r="G835" s="19" t="s">
        <v>557</v>
      </c>
      <c r="H835" s="19" t="s">
        <v>0</v>
      </c>
    </row>
    <row r="836" spans="1:8" hidden="1" x14ac:dyDescent="0.25">
      <c r="A836">
        <v>19050196</v>
      </c>
      <c r="B836" s="19" t="s">
        <v>18</v>
      </c>
      <c r="C836" s="19" t="s">
        <v>26</v>
      </c>
      <c r="D836" s="19" t="s">
        <v>106</v>
      </c>
      <c r="E836" s="19" t="s">
        <v>437</v>
      </c>
      <c r="F836" s="19" t="s">
        <v>400</v>
      </c>
      <c r="G836" s="19" t="s">
        <v>557</v>
      </c>
      <c r="H836" s="19" t="s">
        <v>0</v>
      </c>
    </row>
    <row r="837" spans="1:8" hidden="1" x14ac:dyDescent="0.25">
      <c r="A837">
        <v>19050172</v>
      </c>
      <c r="B837" s="19" t="s">
        <v>12</v>
      </c>
      <c r="C837" s="19" t="s">
        <v>26</v>
      </c>
      <c r="D837" s="19" t="s">
        <v>35</v>
      </c>
      <c r="E837" s="19" t="s">
        <v>437</v>
      </c>
      <c r="F837" s="19" t="s">
        <v>400</v>
      </c>
      <c r="G837" s="19" t="s">
        <v>557</v>
      </c>
      <c r="H837" s="19" t="s">
        <v>0</v>
      </c>
    </row>
    <row r="838" spans="1:8" hidden="1" x14ac:dyDescent="0.25">
      <c r="A838">
        <v>19050162</v>
      </c>
      <c r="B838" s="19" t="s">
        <v>18</v>
      </c>
      <c r="C838" s="19" t="s">
        <v>26</v>
      </c>
      <c r="D838" s="19" t="s">
        <v>107</v>
      </c>
      <c r="E838" s="19" t="s">
        <v>437</v>
      </c>
      <c r="F838" s="19" t="s">
        <v>400</v>
      </c>
      <c r="G838" s="19" t="s">
        <v>557</v>
      </c>
      <c r="H838" s="19" t="s">
        <v>0</v>
      </c>
    </row>
    <row r="839" spans="1:8" hidden="1" x14ac:dyDescent="0.25">
      <c r="A839">
        <v>19050152</v>
      </c>
      <c r="B839" s="19" t="s">
        <v>12</v>
      </c>
      <c r="C839" s="19" t="s">
        <v>26</v>
      </c>
      <c r="D839" s="19" t="s">
        <v>197</v>
      </c>
      <c r="E839" s="19" t="s">
        <v>437</v>
      </c>
      <c r="F839" s="19" t="s">
        <v>400</v>
      </c>
      <c r="G839" s="19" t="s">
        <v>557</v>
      </c>
      <c r="H839" s="19" t="s">
        <v>0</v>
      </c>
    </row>
    <row r="840" spans="1:8" hidden="1" x14ac:dyDescent="0.25">
      <c r="A840">
        <v>19050147</v>
      </c>
      <c r="B840" s="19" t="s">
        <v>12</v>
      </c>
      <c r="C840" s="19" t="s">
        <v>26</v>
      </c>
      <c r="D840" s="19" t="s">
        <v>103</v>
      </c>
      <c r="E840" s="19" t="s">
        <v>437</v>
      </c>
      <c r="F840" s="19" t="s">
        <v>400</v>
      </c>
      <c r="G840" s="19" t="s">
        <v>557</v>
      </c>
      <c r="H840" s="19" t="s">
        <v>0</v>
      </c>
    </row>
    <row r="841" spans="1:8" hidden="1" x14ac:dyDescent="0.25">
      <c r="A841">
        <v>19050146</v>
      </c>
      <c r="B841" s="19" t="s">
        <v>12</v>
      </c>
      <c r="C841" s="19" t="s">
        <v>26</v>
      </c>
      <c r="D841" s="19" t="s">
        <v>197</v>
      </c>
      <c r="E841" s="19" t="s">
        <v>437</v>
      </c>
      <c r="F841" s="19" t="s">
        <v>400</v>
      </c>
      <c r="G841" s="19" t="s">
        <v>557</v>
      </c>
      <c r="H841" s="19" t="s">
        <v>0</v>
      </c>
    </row>
    <row r="842" spans="1:8" hidden="1" x14ac:dyDescent="0.25">
      <c r="A842">
        <v>19050135</v>
      </c>
      <c r="B842" s="19" t="s">
        <v>12</v>
      </c>
      <c r="C842" s="19" t="s">
        <v>26</v>
      </c>
      <c r="D842" s="19" t="s">
        <v>35</v>
      </c>
      <c r="E842" s="19" t="s">
        <v>437</v>
      </c>
      <c r="F842" s="19" t="s">
        <v>400</v>
      </c>
      <c r="G842" s="19" t="s">
        <v>557</v>
      </c>
      <c r="H842" s="19" t="s">
        <v>0</v>
      </c>
    </row>
    <row r="843" spans="1:8" hidden="1" x14ac:dyDescent="0.25">
      <c r="A843">
        <v>19050128</v>
      </c>
      <c r="B843" s="19" t="s">
        <v>12</v>
      </c>
      <c r="C843" s="19" t="s">
        <v>26</v>
      </c>
      <c r="D843" s="19" t="s">
        <v>64</v>
      </c>
      <c r="E843" s="19" t="s">
        <v>443</v>
      </c>
      <c r="F843" s="19" t="s">
        <v>400</v>
      </c>
      <c r="G843" s="19" t="s">
        <v>557</v>
      </c>
      <c r="H843" s="19" t="s">
        <v>0</v>
      </c>
    </row>
    <row r="844" spans="1:8" hidden="1" x14ac:dyDescent="0.25">
      <c r="A844">
        <v>19050089</v>
      </c>
      <c r="B844" s="19" t="s">
        <v>12</v>
      </c>
      <c r="C844" s="19" t="s">
        <v>26</v>
      </c>
      <c r="D844" s="19" t="s">
        <v>103</v>
      </c>
      <c r="E844" s="19" t="s">
        <v>437</v>
      </c>
      <c r="F844" s="19" t="s">
        <v>400</v>
      </c>
      <c r="G844" s="19" t="s">
        <v>557</v>
      </c>
      <c r="H844" s="19" t="s">
        <v>0</v>
      </c>
    </row>
    <row r="845" spans="1:8" hidden="1" x14ac:dyDescent="0.25">
      <c r="A845">
        <v>19050088</v>
      </c>
      <c r="B845" s="19" t="s">
        <v>12</v>
      </c>
      <c r="C845" s="19" t="s">
        <v>26</v>
      </c>
      <c r="D845" s="19" t="s">
        <v>103</v>
      </c>
      <c r="E845" s="19" t="s">
        <v>437</v>
      </c>
      <c r="F845" s="19" t="s">
        <v>400</v>
      </c>
      <c r="G845" s="19" t="s">
        <v>557</v>
      </c>
      <c r="H845" s="19" t="s">
        <v>0</v>
      </c>
    </row>
    <row r="846" spans="1:8" hidden="1" x14ac:dyDescent="0.25">
      <c r="A846">
        <v>19050076</v>
      </c>
      <c r="B846" s="19" t="s">
        <v>12</v>
      </c>
      <c r="C846" s="19" t="s">
        <v>26</v>
      </c>
      <c r="D846" s="19" t="s">
        <v>28</v>
      </c>
      <c r="E846" s="19" t="s">
        <v>437</v>
      </c>
      <c r="F846" s="19" t="s">
        <v>400</v>
      </c>
      <c r="G846" s="19" t="s">
        <v>557</v>
      </c>
      <c r="H846" s="19" t="s">
        <v>0</v>
      </c>
    </row>
    <row r="847" spans="1:8" hidden="1" x14ac:dyDescent="0.25">
      <c r="A847">
        <v>19050051</v>
      </c>
      <c r="B847" s="19" t="s">
        <v>12</v>
      </c>
      <c r="C847" s="19" t="s">
        <v>26</v>
      </c>
      <c r="D847" s="19" t="s">
        <v>141</v>
      </c>
      <c r="E847" s="19" t="s">
        <v>437</v>
      </c>
      <c r="F847" s="19" t="s">
        <v>400</v>
      </c>
      <c r="G847" s="19" t="s">
        <v>557</v>
      </c>
      <c r="H847" s="19" t="s">
        <v>0</v>
      </c>
    </row>
    <row r="848" spans="1:8" hidden="1" x14ac:dyDescent="0.25">
      <c r="A848">
        <v>19050045</v>
      </c>
      <c r="B848" s="19" t="s">
        <v>12</v>
      </c>
      <c r="C848" s="19" t="s">
        <v>26</v>
      </c>
      <c r="D848" s="19" t="s">
        <v>320</v>
      </c>
      <c r="E848" s="19" t="s">
        <v>456</v>
      </c>
      <c r="F848" s="19" t="s">
        <v>400</v>
      </c>
      <c r="G848" s="19" t="s">
        <v>557</v>
      </c>
      <c r="H848" s="19" t="s">
        <v>0</v>
      </c>
    </row>
    <row r="849" spans="1:8" hidden="1" x14ac:dyDescent="0.25">
      <c r="A849">
        <v>19050040</v>
      </c>
      <c r="B849" s="19" t="s">
        <v>18</v>
      </c>
      <c r="C849" s="19" t="s">
        <v>26</v>
      </c>
      <c r="D849" s="19" t="s">
        <v>203</v>
      </c>
      <c r="E849" s="19" t="s">
        <v>561</v>
      </c>
      <c r="F849" s="19" t="s">
        <v>400</v>
      </c>
      <c r="G849" s="19" t="s">
        <v>557</v>
      </c>
      <c r="H849" s="19" t="s">
        <v>0</v>
      </c>
    </row>
    <row r="850" spans="1:8" hidden="1" x14ac:dyDescent="0.25">
      <c r="A850">
        <v>19050039</v>
      </c>
      <c r="B850" s="19" t="s">
        <v>12</v>
      </c>
      <c r="C850" s="19" t="s">
        <v>26</v>
      </c>
      <c r="D850" s="19" t="s">
        <v>204</v>
      </c>
      <c r="E850" s="19" t="s">
        <v>558</v>
      </c>
      <c r="F850" s="19" t="s">
        <v>400</v>
      </c>
      <c r="G850" s="19" t="s">
        <v>557</v>
      </c>
      <c r="H850" s="19" t="s">
        <v>0</v>
      </c>
    </row>
    <row r="851" spans="1:8" hidden="1" x14ac:dyDescent="0.25">
      <c r="A851">
        <v>19050034</v>
      </c>
      <c r="B851" s="19" t="s">
        <v>12</v>
      </c>
      <c r="C851" s="19" t="s">
        <v>26</v>
      </c>
      <c r="D851" s="19" t="s">
        <v>103</v>
      </c>
      <c r="E851" s="19" t="s">
        <v>437</v>
      </c>
      <c r="F851" s="19" t="s">
        <v>400</v>
      </c>
      <c r="G851" s="19" t="s">
        <v>557</v>
      </c>
      <c r="H851" s="19" t="s">
        <v>0</v>
      </c>
    </row>
    <row r="852" spans="1:8" hidden="1" x14ac:dyDescent="0.25">
      <c r="A852">
        <v>19050016</v>
      </c>
      <c r="B852" s="19" t="s">
        <v>12</v>
      </c>
      <c r="C852" s="19" t="s">
        <v>26</v>
      </c>
      <c r="D852" s="19" t="s">
        <v>106</v>
      </c>
      <c r="E852" s="19" t="s">
        <v>437</v>
      </c>
      <c r="F852" s="19" t="s">
        <v>400</v>
      </c>
      <c r="G852" s="19" t="s">
        <v>557</v>
      </c>
      <c r="H852" s="19" t="s">
        <v>0</v>
      </c>
    </row>
    <row r="853" spans="1:8" hidden="1" x14ac:dyDescent="0.25">
      <c r="A853">
        <v>19050007</v>
      </c>
      <c r="B853" s="19" t="s">
        <v>12</v>
      </c>
      <c r="C853" s="19" t="s">
        <v>26</v>
      </c>
      <c r="D853" s="19" t="s">
        <v>193</v>
      </c>
      <c r="E853" s="19" t="s">
        <v>437</v>
      </c>
      <c r="F853" s="19" t="s">
        <v>400</v>
      </c>
      <c r="G853" s="19" t="s">
        <v>557</v>
      </c>
      <c r="H853" s="19" t="s">
        <v>0</v>
      </c>
    </row>
    <row r="854" spans="1:8" hidden="1" x14ac:dyDescent="0.25">
      <c r="A854">
        <v>18943197</v>
      </c>
      <c r="B854" s="19" t="s">
        <v>12</v>
      </c>
      <c r="C854" s="19" t="s">
        <v>26</v>
      </c>
      <c r="D854" s="19" t="s">
        <v>205</v>
      </c>
      <c r="E854" s="19" t="s">
        <v>437</v>
      </c>
      <c r="F854" s="19" t="s">
        <v>400</v>
      </c>
      <c r="G854" s="19" t="s">
        <v>557</v>
      </c>
      <c r="H854" s="19" t="s">
        <v>0</v>
      </c>
    </row>
    <row r="855" spans="1:8" hidden="1" x14ac:dyDescent="0.25">
      <c r="A855">
        <v>18943175</v>
      </c>
      <c r="B855" s="19" t="s">
        <v>18</v>
      </c>
      <c r="C855" s="19" t="s">
        <v>26</v>
      </c>
      <c r="D855" s="19" t="s">
        <v>207</v>
      </c>
      <c r="E855" s="19" t="s">
        <v>437</v>
      </c>
      <c r="F855" s="19" t="s">
        <v>400</v>
      </c>
      <c r="G855" s="19" t="s">
        <v>557</v>
      </c>
      <c r="H855" s="19" t="s">
        <v>0</v>
      </c>
    </row>
    <row r="856" spans="1:8" hidden="1" x14ac:dyDescent="0.25">
      <c r="A856">
        <v>18943174</v>
      </c>
      <c r="B856" s="19" t="s">
        <v>18</v>
      </c>
      <c r="C856" s="19" t="s">
        <v>26</v>
      </c>
      <c r="D856" s="19" t="s">
        <v>110</v>
      </c>
      <c r="E856" s="19" t="s">
        <v>558</v>
      </c>
      <c r="F856" s="19" t="s">
        <v>400</v>
      </c>
      <c r="G856" s="19" t="s">
        <v>557</v>
      </c>
      <c r="H856" s="19" t="s">
        <v>0</v>
      </c>
    </row>
    <row r="857" spans="1:8" hidden="1" x14ac:dyDescent="0.25">
      <c r="A857">
        <v>18943140</v>
      </c>
      <c r="B857" s="19" t="s">
        <v>18</v>
      </c>
      <c r="C857" s="19" t="s">
        <v>33</v>
      </c>
      <c r="D857" s="19" t="s">
        <v>106</v>
      </c>
      <c r="E857" s="19" t="s">
        <v>437</v>
      </c>
      <c r="F857" s="19" t="s">
        <v>401</v>
      </c>
      <c r="G857" s="19" t="s">
        <v>557</v>
      </c>
      <c r="H857" s="19" t="s">
        <v>0</v>
      </c>
    </row>
    <row r="858" spans="1:8" hidden="1" x14ac:dyDescent="0.25">
      <c r="A858">
        <v>18943094</v>
      </c>
      <c r="B858" s="19" t="s">
        <v>12</v>
      </c>
      <c r="C858" s="19" t="s">
        <v>26</v>
      </c>
      <c r="D858" s="19" t="s">
        <v>137</v>
      </c>
      <c r="E858" s="19" t="s">
        <v>437</v>
      </c>
      <c r="F858" s="19" t="s">
        <v>400</v>
      </c>
      <c r="G858" s="19" t="s">
        <v>557</v>
      </c>
      <c r="H858" s="19" t="s">
        <v>0</v>
      </c>
    </row>
    <row r="859" spans="1:8" hidden="1" x14ac:dyDescent="0.25">
      <c r="A859">
        <v>18943078</v>
      </c>
      <c r="B859" s="19" t="s">
        <v>12</v>
      </c>
      <c r="C859" s="19" t="s">
        <v>26</v>
      </c>
      <c r="D859" s="19" t="s">
        <v>103</v>
      </c>
      <c r="E859" s="19" t="s">
        <v>443</v>
      </c>
      <c r="F859" s="19" t="s">
        <v>400</v>
      </c>
      <c r="G859" s="19" t="s">
        <v>557</v>
      </c>
      <c r="H859" s="19" t="s">
        <v>0</v>
      </c>
    </row>
    <row r="860" spans="1:8" hidden="1" x14ac:dyDescent="0.25">
      <c r="A860">
        <v>18943069</v>
      </c>
      <c r="B860" s="19" t="s">
        <v>12</v>
      </c>
      <c r="C860" s="19" t="s">
        <v>26</v>
      </c>
      <c r="D860" s="19" t="s">
        <v>197</v>
      </c>
      <c r="E860" s="19" t="s">
        <v>443</v>
      </c>
      <c r="F860" s="19" t="s">
        <v>400</v>
      </c>
      <c r="G860" s="19" t="s">
        <v>557</v>
      </c>
      <c r="H860" s="19" t="s">
        <v>0</v>
      </c>
    </row>
    <row r="861" spans="1:8" hidden="1" x14ac:dyDescent="0.25">
      <c r="A861">
        <v>18943063</v>
      </c>
      <c r="B861" s="19" t="s">
        <v>12</v>
      </c>
      <c r="C861" s="19" t="s">
        <v>26</v>
      </c>
      <c r="D861" s="19" t="s">
        <v>103</v>
      </c>
      <c r="E861" s="19" t="s">
        <v>443</v>
      </c>
      <c r="F861" s="19" t="s">
        <v>400</v>
      </c>
      <c r="G861" s="19" t="s">
        <v>557</v>
      </c>
      <c r="H861" s="19" t="s">
        <v>0</v>
      </c>
    </row>
    <row r="862" spans="1:8" hidden="1" x14ac:dyDescent="0.25">
      <c r="A862">
        <v>18943047</v>
      </c>
      <c r="B862" s="19" t="s">
        <v>12</v>
      </c>
      <c r="C862" s="19" t="s">
        <v>26</v>
      </c>
      <c r="D862" s="19" t="s">
        <v>103</v>
      </c>
      <c r="E862" s="19" t="s">
        <v>443</v>
      </c>
      <c r="F862" s="19" t="s">
        <v>400</v>
      </c>
      <c r="G862" s="19" t="s">
        <v>557</v>
      </c>
      <c r="H862" s="19" t="s">
        <v>0</v>
      </c>
    </row>
    <row r="863" spans="1:8" hidden="1" x14ac:dyDescent="0.25">
      <c r="A863">
        <v>18943046</v>
      </c>
      <c r="B863" s="19" t="s">
        <v>12</v>
      </c>
      <c r="C863" s="19" t="s">
        <v>26</v>
      </c>
      <c r="D863" s="19" t="s">
        <v>103</v>
      </c>
      <c r="E863" s="19" t="s">
        <v>443</v>
      </c>
      <c r="F863" s="19" t="s">
        <v>400</v>
      </c>
      <c r="G863" s="19" t="s">
        <v>557</v>
      </c>
      <c r="H863" s="19" t="s">
        <v>0</v>
      </c>
    </row>
    <row r="864" spans="1:8" hidden="1" x14ac:dyDescent="0.25">
      <c r="A864">
        <v>18072823</v>
      </c>
      <c r="B864" s="19" t="s">
        <v>12</v>
      </c>
      <c r="C864" s="19" t="s">
        <v>33</v>
      </c>
      <c r="D864" s="19" t="s">
        <v>34</v>
      </c>
      <c r="E864" s="19" t="s">
        <v>568</v>
      </c>
      <c r="F864" s="19" t="s">
        <v>401</v>
      </c>
      <c r="G864" s="19" t="s">
        <v>557</v>
      </c>
      <c r="H864" s="19" t="s">
        <v>0</v>
      </c>
    </row>
    <row r="865" spans="1:8" hidden="1" x14ac:dyDescent="0.25">
      <c r="A865">
        <v>18072820</v>
      </c>
      <c r="B865" s="19" t="s">
        <v>12</v>
      </c>
      <c r="C865" s="19" t="s">
        <v>33</v>
      </c>
      <c r="D865" s="19" t="s">
        <v>34</v>
      </c>
      <c r="E865" s="19" t="s">
        <v>568</v>
      </c>
      <c r="F865" s="19" t="s">
        <v>401</v>
      </c>
      <c r="G865" s="19" t="s">
        <v>557</v>
      </c>
      <c r="H865" s="19" t="s">
        <v>0</v>
      </c>
    </row>
    <row r="866" spans="1:8" hidden="1" x14ac:dyDescent="0.25">
      <c r="A866">
        <v>18072814</v>
      </c>
      <c r="B866" s="19" t="s">
        <v>12</v>
      </c>
      <c r="C866" s="19" t="s">
        <v>26</v>
      </c>
      <c r="D866" s="19" t="s">
        <v>34</v>
      </c>
      <c r="E866" s="19" t="s">
        <v>568</v>
      </c>
      <c r="F866" s="19" t="s">
        <v>400</v>
      </c>
      <c r="G866" s="19" t="s">
        <v>557</v>
      </c>
      <c r="H866" s="19" t="s">
        <v>0</v>
      </c>
    </row>
    <row r="867" spans="1:8" hidden="1" x14ac:dyDescent="0.25">
      <c r="A867">
        <v>18072813</v>
      </c>
      <c r="B867" s="19" t="s">
        <v>12</v>
      </c>
      <c r="C867" s="19" t="s">
        <v>33</v>
      </c>
      <c r="D867" s="19" t="s">
        <v>34</v>
      </c>
      <c r="E867" s="19" t="s">
        <v>568</v>
      </c>
      <c r="F867" s="19" t="s">
        <v>401</v>
      </c>
      <c r="G867" s="19" t="s">
        <v>557</v>
      </c>
      <c r="H867" s="19" t="s">
        <v>0</v>
      </c>
    </row>
    <row r="868" spans="1:8" hidden="1" x14ac:dyDescent="0.25">
      <c r="A868">
        <v>18072806</v>
      </c>
      <c r="B868" s="19" t="s">
        <v>12</v>
      </c>
      <c r="C868" s="19" t="s">
        <v>33</v>
      </c>
      <c r="D868" s="19" t="s">
        <v>34</v>
      </c>
      <c r="E868" s="19" t="s">
        <v>568</v>
      </c>
      <c r="F868" s="19" t="s">
        <v>401</v>
      </c>
      <c r="G868" s="19" t="s">
        <v>557</v>
      </c>
      <c r="H868" s="19" t="s">
        <v>0</v>
      </c>
    </row>
    <row r="869" spans="1:8" hidden="1" x14ac:dyDescent="0.25">
      <c r="A869">
        <v>18072802</v>
      </c>
      <c r="B869" s="19" t="s">
        <v>12</v>
      </c>
      <c r="C869" s="19" t="s">
        <v>33</v>
      </c>
      <c r="D869" s="19" t="s">
        <v>34</v>
      </c>
      <c r="E869" s="19" t="s">
        <v>568</v>
      </c>
      <c r="F869" s="19" t="s">
        <v>401</v>
      </c>
      <c r="G869" s="19" t="s">
        <v>557</v>
      </c>
      <c r="H869" s="19" t="s">
        <v>0</v>
      </c>
    </row>
    <row r="870" spans="1:8" hidden="1" x14ac:dyDescent="0.25">
      <c r="A870">
        <v>16843635</v>
      </c>
      <c r="B870" s="19" t="s">
        <v>12</v>
      </c>
      <c r="C870" s="19" t="s">
        <v>33</v>
      </c>
      <c r="D870" s="19" t="s">
        <v>210</v>
      </c>
      <c r="E870" s="19" t="s">
        <v>437</v>
      </c>
      <c r="F870" s="19" t="s">
        <v>401</v>
      </c>
      <c r="G870" s="19" t="s">
        <v>557</v>
      </c>
      <c r="H870" s="19" t="s">
        <v>0</v>
      </c>
    </row>
    <row r="871" spans="1:8" hidden="1" x14ac:dyDescent="0.25">
      <c r="A871">
        <v>16843622</v>
      </c>
      <c r="B871" s="19" t="s">
        <v>12</v>
      </c>
      <c r="C871" s="19" t="s">
        <v>33</v>
      </c>
      <c r="D871" s="19" t="s">
        <v>59</v>
      </c>
      <c r="E871" s="19" t="s">
        <v>437</v>
      </c>
      <c r="F871" s="19" t="s">
        <v>401</v>
      </c>
      <c r="G871" s="19" t="s">
        <v>557</v>
      </c>
      <c r="H871" s="19" t="s">
        <v>0</v>
      </c>
    </row>
    <row r="872" spans="1:8" hidden="1" x14ac:dyDescent="0.25">
      <c r="A872">
        <v>16843618</v>
      </c>
      <c r="B872" s="19" t="s">
        <v>12</v>
      </c>
      <c r="C872" s="19" t="s">
        <v>33</v>
      </c>
      <c r="D872" s="19" t="s">
        <v>58</v>
      </c>
      <c r="E872" s="19" t="s">
        <v>437</v>
      </c>
      <c r="F872" s="19" t="s">
        <v>401</v>
      </c>
      <c r="G872" s="19" t="s">
        <v>557</v>
      </c>
      <c r="H872" s="19" t="s">
        <v>0</v>
      </c>
    </row>
    <row r="873" spans="1:8" hidden="1" x14ac:dyDescent="0.25">
      <c r="A873">
        <v>16843287</v>
      </c>
      <c r="B873" s="19" t="s">
        <v>12</v>
      </c>
      <c r="C873" s="19" t="s">
        <v>26</v>
      </c>
      <c r="D873" s="19" t="s">
        <v>27</v>
      </c>
      <c r="E873" s="19" t="s">
        <v>443</v>
      </c>
      <c r="F873" s="19" t="s">
        <v>400</v>
      </c>
      <c r="G873" s="19" t="s">
        <v>557</v>
      </c>
      <c r="H873" s="19" t="s">
        <v>0</v>
      </c>
    </row>
    <row r="874" spans="1:8" hidden="1" x14ac:dyDescent="0.25">
      <c r="A874">
        <v>16843272</v>
      </c>
      <c r="B874" s="19" t="s">
        <v>12</v>
      </c>
      <c r="C874" s="19" t="s">
        <v>33</v>
      </c>
      <c r="D874" s="19" t="s">
        <v>31</v>
      </c>
      <c r="E874" s="19" t="s">
        <v>443</v>
      </c>
      <c r="F874" s="19" t="s">
        <v>401</v>
      </c>
      <c r="G874" s="19" t="s">
        <v>557</v>
      </c>
      <c r="H874" s="19" t="s">
        <v>0</v>
      </c>
    </row>
    <row r="875" spans="1:8" hidden="1" x14ac:dyDescent="0.25">
      <c r="A875">
        <v>16843179</v>
      </c>
      <c r="B875" s="19" t="s">
        <v>12</v>
      </c>
      <c r="C875" s="19" t="s">
        <v>26</v>
      </c>
      <c r="D875" s="19" t="s">
        <v>27</v>
      </c>
      <c r="E875" s="19" t="s">
        <v>437</v>
      </c>
      <c r="F875" s="19" t="s">
        <v>400</v>
      </c>
      <c r="G875" s="19" t="s">
        <v>557</v>
      </c>
      <c r="H875" s="19" t="s">
        <v>0</v>
      </c>
    </row>
    <row r="876" spans="1:8" hidden="1" x14ac:dyDescent="0.25">
      <c r="A876">
        <v>16843146</v>
      </c>
      <c r="B876" s="19" t="s">
        <v>12</v>
      </c>
      <c r="C876" s="19" t="s">
        <v>33</v>
      </c>
      <c r="D876" s="19" t="s">
        <v>31</v>
      </c>
      <c r="E876" s="19" t="s">
        <v>437</v>
      </c>
      <c r="F876" s="19" t="s">
        <v>401</v>
      </c>
      <c r="G876" s="19" t="s">
        <v>557</v>
      </c>
      <c r="H876" s="19" t="s">
        <v>0</v>
      </c>
    </row>
    <row r="877" spans="1:8" hidden="1" x14ac:dyDescent="0.25">
      <c r="A877">
        <v>16843142</v>
      </c>
      <c r="B877" s="19" t="s">
        <v>12</v>
      </c>
      <c r="C877" s="19" t="s">
        <v>26</v>
      </c>
      <c r="D877" s="19" t="s">
        <v>211</v>
      </c>
      <c r="E877" s="19" t="s">
        <v>437</v>
      </c>
      <c r="F877" s="19" t="s">
        <v>400</v>
      </c>
      <c r="G877" s="19" t="s">
        <v>557</v>
      </c>
      <c r="H877" s="19" t="s">
        <v>0</v>
      </c>
    </row>
    <row r="878" spans="1:8" hidden="1" x14ac:dyDescent="0.25">
      <c r="A878">
        <v>16843140</v>
      </c>
      <c r="B878" s="19" t="s">
        <v>12</v>
      </c>
      <c r="C878" s="19" t="s">
        <v>38</v>
      </c>
      <c r="D878" s="19" t="s">
        <v>105</v>
      </c>
      <c r="E878" s="19" t="s">
        <v>437</v>
      </c>
      <c r="F878" s="19" t="s">
        <v>401</v>
      </c>
      <c r="G878" s="19" t="s">
        <v>557</v>
      </c>
      <c r="H878" s="19" t="s">
        <v>0</v>
      </c>
    </row>
    <row r="879" spans="1:8" hidden="1" x14ac:dyDescent="0.25">
      <c r="A879">
        <v>16843129</v>
      </c>
      <c r="B879" s="19" t="s">
        <v>12</v>
      </c>
      <c r="C879" s="19" t="s">
        <v>33</v>
      </c>
      <c r="D879" s="19" t="s">
        <v>212</v>
      </c>
      <c r="E879" s="19" t="s">
        <v>565</v>
      </c>
      <c r="F879" s="19" t="s">
        <v>401</v>
      </c>
      <c r="G879" s="19" t="s">
        <v>557</v>
      </c>
      <c r="H879" s="19" t="s">
        <v>0</v>
      </c>
    </row>
    <row r="880" spans="1:8" hidden="1" x14ac:dyDescent="0.25">
      <c r="A880">
        <v>16843128</v>
      </c>
      <c r="B880" s="19" t="s">
        <v>12</v>
      </c>
      <c r="C880" s="19" t="s">
        <v>33</v>
      </c>
      <c r="D880" s="19" t="s">
        <v>213</v>
      </c>
      <c r="E880" s="19" t="s">
        <v>565</v>
      </c>
      <c r="F880" s="19" t="s">
        <v>401</v>
      </c>
      <c r="G880" s="19" t="s">
        <v>557</v>
      </c>
      <c r="H880" s="19" t="s">
        <v>0</v>
      </c>
    </row>
    <row r="881" spans="1:8" hidden="1" x14ac:dyDescent="0.25">
      <c r="A881">
        <v>16843125</v>
      </c>
      <c r="B881" s="19" t="s">
        <v>12</v>
      </c>
      <c r="C881" s="19" t="s">
        <v>33</v>
      </c>
      <c r="D881" s="19" t="s">
        <v>213</v>
      </c>
      <c r="E881" s="19" t="s">
        <v>565</v>
      </c>
      <c r="F881" s="19" t="s">
        <v>401</v>
      </c>
      <c r="G881" s="19" t="s">
        <v>557</v>
      </c>
      <c r="H881" s="19" t="s">
        <v>0</v>
      </c>
    </row>
    <row r="882" spans="1:8" hidden="1" x14ac:dyDescent="0.25">
      <c r="A882">
        <v>16843048</v>
      </c>
      <c r="B882" s="19" t="s">
        <v>18</v>
      </c>
      <c r="C882" s="19" t="s">
        <v>33</v>
      </c>
      <c r="D882" s="19" t="s">
        <v>27</v>
      </c>
      <c r="E882" s="19" t="s">
        <v>437</v>
      </c>
      <c r="F882" s="19" t="s">
        <v>401</v>
      </c>
      <c r="G882" s="19" t="s">
        <v>557</v>
      </c>
      <c r="H882" s="19" t="s">
        <v>0</v>
      </c>
    </row>
    <row r="883" spans="1:8" hidden="1" x14ac:dyDescent="0.25">
      <c r="A883">
        <v>16843002</v>
      </c>
      <c r="B883" s="19" t="s">
        <v>79</v>
      </c>
      <c r="C883" s="19" t="s">
        <v>26</v>
      </c>
      <c r="D883" s="19" t="s">
        <v>27</v>
      </c>
      <c r="E883" s="19" t="s">
        <v>437</v>
      </c>
      <c r="F883" s="19" t="s">
        <v>400</v>
      </c>
      <c r="G883" s="19" t="s">
        <v>557</v>
      </c>
      <c r="H883" s="19" t="s">
        <v>0</v>
      </c>
    </row>
    <row r="884" spans="1:8" hidden="1" x14ac:dyDescent="0.25">
      <c r="A884">
        <v>16705781</v>
      </c>
      <c r="B884" s="19" t="s">
        <v>12</v>
      </c>
      <c r="C884" s="19" t="s">
        <v>26</v>
      </c>
      <c r="D884" s="19" t="s">
        <v>215</v>
      </c>
      <c r="E884" s="19" t="s">
        <v>437</v>
      </c>
      <c r="F884" s="19" t="s">
        <v>400</v>
      </c>
      <c r="G884" s="19" t="s">
        <v>557</v>
      </c>
      <c r="H884" s="19" t="s">
        <v>0</v>
      </c>
    </row>
    <row r="885" spans="1:8" hidden="1" x14ac:dyDescent="0.25">
      <c r="A885">
        <v>16705780</v>
      </c>
      <c r="B885" s="19" t="s">
        <v>12</v>
      </c>
      <c r="C885" s="19" t="s">
        <v>26</v>
      </c>
      <c r="D885" s="19" t="s">
        <v>70</v>
      </c>
      <c r="E885" s="19" t="s">
        <v>566</v>
      </c>
      <c r="F885" s="19" t="s">
        <v>400</v>
      </c>
      <c r="G885" s="19" t="s">
        <v>557</v>
      </c>
      <c r="H885" s="19" t="s">
        <v>0</v>
      </c>
    </row>
    <row r="886" spans="1:8" hidden="1" x14ac:dyDescent="0.25">
      <c r="A886">
        <v>16705776</v>
      </c>
      <c r="B886" s="19" t="s">
        <v>12</v>
      </c>
      <c r="C886" s="19" t="s">
        <v>26</v>
      </c>
      <c r="D886" s="19" t="s">
        <v>140</v>
      </c>
      <c r="E886" s="19" t="s">
        <v>456</v>
      </c>
      <c r="F886" s="19" t="s">
        <v>400</v>
      </c>
      <c r="G886" s="19" t="s">
        <v>557</v>
      </c>
      <c r="H886" s="19" t="s">
        <v>0</v>
      </c>
    </row>
    <row r="887" spans="1:8" hidden="1" x14ac:dyDescent="0.25">
      <c r="A887">
        <v>16705775</v>
      </c>
      <c r="B887" s="19" t="s">
        <v>18</v>
      </c>
      <c r="C887" s="19" t="s">
        <v>26</v>
      </c>
      <c r="D887" s="19" t="s">
        <v>137</v>
      </c>
      <c r="E887" s="19" t="s">
        <v>567</v>
      </c>
      <c r="F887" s="19" t="s">
        <v>400</v>
      </c>
      <c r="G887" s="19" t="s">
        <v>557</v>
      </c>
      <c r="H887" s="19" t="s">
        <v>0</v>
      </c>
    </row>
    <row r="888" spans="1:8" hidden="1" x14ac:dyDescent="0.25">
      <c r="A888">
        <v>16705764</v>
      </c>
      <c r="B888" s="19" t="s">
        <v>12</v>
      </c>
      <c r="C888" s="19" t="s">
        <v>26</v>
      </c>
      <c r="D888" s="19" t="s">
        <v>216</v>
      </c>
      <c r="E888" s="19" t="s">
        <v>561</v>
      </c>
      <c r="F888" s="19" t="s">
        <v>400</v>
      </c>
      <c r="G888" s="19" t="s">
        <v>557</v>
      </c>
      <c r="H888" s="19" t="s">
        <v>0</v>
      </c>
    </row>
    <row r="889" spans="1:8" hidden="1" x14ac:dyDescent="0.25">
      <c r="A889">
        <v>16705763</v>
      </c>
      <c r="B889" s="19" t="s">
        <v>12</v>
      </c>
      <c r="C889" s="19" t="s">
        <v>26</v>
      </c>
      <c r="D889" s="19" t="s">
        <v>217</v>
      </c>
      <c r="E889" s="19" t="s">
        <v>437</v>
      </c>
      <c r="F889" s="19" t="s">
        <v>400</v>
      </c>
      <c r="G889" s="19" t="s">
        <v>557</v>
      </c>
      <c r="H889" s="19" t="s">
        <v>0</v>
      </c>
    </row>
    <row r="890" spans="1:8" hidden="1" x14ac:dyDescent="0.25">
      <c r="A890">
        <v>16705750</v>
      </c>
      <c r="B890" s="19" t="s">
        <v>12</v>
      </c>
      <c r="C890" s="19" t="s">
        <v>26</v>
      </c>
      <c r="D890" s="19" t="s">
        <v>217</v>
      </c>
      <c r="E890" s="19" t="s">
        <v>437</v>
      </c>
      <c r="F890" s="19" t="s">
        <v>400</v>
      </c>
      <c r="G890" s="19" t="s">
        <v>557</v>
      </c>
      <c r="H890" s="19" t="s">
        <v>0</v>
      </c>
    </row>
    <row r="891" spans="1:8" hidden="1" x14ac:dyDescent="0.25">
      <c r="A891">
        <v>16705746</v>
      </c>
      <c r="B891" s="19" t="s">
        <v>12</v>
      </c>
      <c r="C891" s="19" t="s">
        <v>26</v>
      </c>
      <c r="D891" s="19" t="s">
        <v>140</v>
      </c>
      <c r="E891" s="19" t="s">
        <v>456</v>
      </c>
      <c r="F891" s="19" t="s">
        <v>400</v>
      </c>
      <c r="G891" s="19" t="s">
        <v>557</v>
      </c>
      <c r="H891" s="19" t="s">
        <v>0</v>
      </c>
    </row>
    <row r="892" spans="1:8" hidden="1" x14ac:dyDescent="0.25">
      <c r="A892">
        <v>16705744</v>
      </c>
      <c r="B892" s="19" t="s">
        <v>12</v>
      </c>
      <c r="C892" s="19" t="s">
        <v>26</v>
      </c>
      <c r="D892" s="19" t="s">
        <v>211</v>
      </c>
      <c r="E892" s="19" t="s">
        <v>437</v>
      </c>
      <c r="F892" s="19" t="s">
        <v>400</v>
      </c>
      <c r="G892" s="19" t="s">
        <v>557</v>
      </c>
      <c r="H892" s="19" t="s">
        <v>0</v>
      </c>
    </row>
    <row r="893" spans="1:8" hidden="1" x14ac:dyDescent="0.25">
      <c r="A893">
        <v>16705739</v>
      </c>
      <c r="B893" s="19" t="s">
        <v>12</v>
      </c>
      <c r="C893" s="19" t="s">
        <v>26</v>
      </c>
      <c r="D893" s="19" t="s">
        <v>140</v>
      </c>
      <c r="E893" s="19" t="s">
        <v>456</v>
      </c>
      <c r="F893" s="19" t="s">
        <v>400</v>
      </c>
      <c r="G893" s="19" t="s">
        <v>557</v>
      </c>
      <c r="H893" s="19" t="s">
        <v>0</v>
      </c>
    </row>
    <row r="894" spans="1:8" hidden="1" x14ac:dyDescent="0.25">
      <c r="A894">
        <v>16705737</v>
      </c>
      <c r="B894" s="19" t="s">
        <v>12</v>
      </c>
      <c r="C894" s="19" t="s">
        <v>26</v>
      </c>
      <c r="D894" s="19" t="s">
        <v>216</v>
      </c>
      <c r="E894" s="19" t="s">
        <v>561</v>
      </c>
      <c r="F894" s="19" t="s">
        <v>400</v>
      </c>
      <c r="G894" s="19" t="s">
        <v>557</v>
      </c>
      <c r="H894" s="19" t="s">
        <v>0</v>
      </c>
    </row>
    <row r="895" spans="1:8" hidden="1" x14ac:dyDescent="0.25">
      <c r="A895">
        <v>16705731</v>
      </c>
      <c r="B895" s="19" t="s">
        <v>79</v>
      </c>
      <c r="C895" s="19" t="s">
        <v>26</v>
      </c>
      <c r="D895" s="19" t="s">
        <v>139</v>
      </c>
      <c r="E895" s="19" t="s">
        <v>558</v>
      </c>
      <c r="F895" s="19" t="s">
        <v>400</v>
      </c>
      <c r="G895" s="19" t="s">
        <v>557</v>
      </c>
      <c r="H895" s="19" t="s">
        <v>0</v>
      </c>
    </row>
    <row r="896" spans="1:8" hidden="1" x14ac:dyDescent="0.25">
      <c r="A896">
        <v>16705727</v>
      </c>
      <c r="B896" s="19" t="s">
        <v>12</v>
      </c>
      <c r="C896" s="19" t="s">
        <v>26</v>
      </c>
      <c r="D896" s="19" t="s">
        <v>142</v>
      </c>
      <c r="E896" s="19" t="s">
        <v>437</v>
      </c>
      <c r="F896" s="19" t="s">
        <v>400</v>
      </c>
      <c r="G896" s="19" t="s">
        <v>557</v>
      </c>
      <c r="H896" s="19" t="s">
        <v>0</v>
      </c>
    </row>
    <row r="897" spans="1:8" hidden="1" x14ac:dyDescent="0.25">
      <c r="A897">
        <v>16705722</v>
      </c>
      <c r="B897" s="19" t="s">
        <v>12</v>
      </c>
      <c r="C897" s="19" t="s">
        <v>26</v>
      </c>
      <c r="D897" s="19" t="s">
        <v>220</v>
      </c>
      <c r="E897" s="19" t="s">
        <v>443</v>
      </c>
      <c r="F897" s="19" t="s">
        <v>400</v>
      </c>
      <c r="G897" s="19" t="s">
        <v>557</v>
      </c>
      <c r="H897" s="19" t="s">
        <v>0</v>
      </c>
    </row>
    <row r="898" spans="1:8" hidden="1" x14ac:dyDescent="0.25">
      <c r="A898">
        <v>16705719</v>
      </c>
      <c r="B898" s="19" t="s">
        <v>12</v>
      </c>
      <c r="C898" s="19" t="s">
        <v>26</v>
      </c>
      <c r="D898" s="19" t="s">
        <v>145</v>
      </c>
      <c r="E898" s="19" t="s">
        <v>437</v>
      </c>
      <c r="F898" s="19" t="s">
        <v>400</v>
      </c>
      <c r="G898" s="19" t="s">
        <v>557</v>
      </c>
      <c r="H898" s="19" t="s">
        <v>0</v>
      </c>
    </row>
    <row r="899" spans="1:8" hidden="1" x14ac:dyDescent="0.25">
      <c r="A899">
        <v>16705711</v>
      </c>
      <c r="B899" s="19" t="s">
        <v>12</v>
      </c>
      <c r="C899" s="19" t="s">
        <v>26</v>
      </c>
      <c r="D899" s="19" t="s">
        <v>64</v>
      </c>
      <c r="E899" s="19" t="s">
        <v>567</v>
      </c>
      <c r="F899" s="19" t="s">
        <v>400</v>
      </c>
      <c r="G899" s="19" t="s">
        <v>557</v>
      </c>
      <c r="H899" s="19" t="s">
        <v>0</v>
      </c>
    </row>
    <row r="900" spans="1:8" hidden="1" x14ac:dyDescent="0.25">
      <c r="A900">
        <v>16705710</v>
      </c>
      <c r="B900" s="19" t="s">
        <v>12</v>
      </c>
      <c r="C900" s="19" t="s">
        <v>26</v>
      </c>
      <c r="D900" s="19" t="s">
        <v>168</v>
      </c>
      <c r="E900" s="19" t="s">
        <v>437</v>
      </c>
      <c r="F900" s="19" t="s">
        <v>400</v>
      </c>
      <c r="G900" s="19" t="s">
        <v>557</v>
      </c>
      <c r="H900" s="19" t="s">
        <v>0</v>
      </c>
    </row>
    <row r="901" spans="1:8" hidden="1" x14ac:dyDescent="0.25">
      <c r="A901">
        <v>16705705</v>
      </c>
      <c r="B901" s="19" t="s">
        <v>12</v>
      </c>
      <c r="C901" s="19" t="s">
        <v>26</v>
      </c>
      <c r="D901" s="19" t="s">
        <v>111</v>
      </c>
      <c r="E901" s="19" t="s">
        <v>437</v>
      </c>
      <c r="F901" s="19" t="s">
        <v>400</v>
      </c>
      <c r="G901" s="19" t="s">
        <v>557</v>
      </c>
      <c r="H901" s="19" t="s">
        <v>0</v>
      </c>
    </row>
    <row r="902" spans="1:8" hidden="1" x14ac:dyDescent="0.25">
      <c r="A902">
        <v>16705697</v>
      </c>
      <c r="B902" s="19" t="s">
        <v>12</v>
      </c>
      <c r="C902" s="19" t="s">
        <v>26</v>
      </c>
      <c r="D902" s="19" t="s">
        <v>211</v>
      </c>
      <c r="E902" s="19" t="s">
        <v>446</v>
      </c>
      <c r="F902" s="19" t="s">
        <v>400</v>
      </c>
      <c r="G902" s="19" t="s">
        <v>557</v>
      </c>
      <c r="H902" s="19" t="s">
        <v>0</v>
      </c>
    </row>
    <row r="903" spans="1:8" hidden="1" x14ac:dyDescent="0.25">
      <c r="A903">
        <v>16705675</v>
      </c>
      <c r="B903" s="19" t="s">
        <v>12</v>
      </c>
      <c r="C903" s="19" t="s">
        <v>26</v>
      </c>
      <c r="D903" s="19" t="s">
        <v>210</v>
      </c>
      <c r="E903" s="19" t="s">
        <v>445</v>
      </c>
      <c r="F903" s="19" t="s">
        <v>400</v>
      </c>
      <c r="G903" s="19" t="s">
        <v>557</v>
      </c>
      <c r="H903" s="19" t="s">
        <v>0</v>
      </c>
    </row>
    <row r="904" spans="1:8" hidden="1" x14ac:dyDescent="0.25">
      <c r="A904">
        <v>16705654</v>
      </c>
      <c r="B904" s="19" t="s">
        <v>12</v>
      </c>
      <c r="C904" s="19" t="s">
        <v>26</v>
      </c>
      <c r="D904" s="19" t="s">
        <v>55</v>
      </c>
      <c r="E904" s="19" t="s">
        <v>437</v>
      </c>
      <c r="F904" s="19" t="s">
        <v>400</v>
      </c>
      <c r="G904" s="19" t="s">
        <v>557</v>
      </c>
      <c r="H904" s="19" t="s">
        <v>0</v>
      </c>
    </row>
    <row r="905" spans="1:8" hidden="1" x14ac:dyDescent="0.25">
      <c r="A905">
        <v>16705653</v>
      </c>
      <c r="B905" s="19" t="s">
        <v>12</v>
      </c>
      <c r="C905" s="19" t="s">
        <v>26</v>
      </c>
      <c r="D905" s="19" t="s">
        <v>55</v>
      </c>
      <c r="E905" s="19" t="s">
        <v>437</v>
      </c>
      <c r="F905" s="19" t="s">
        <v>400</v>
      </c>
      <c r="G905" s="19" t="s">
        <v>557</v>
      </c>
      <c r="H905" s="19" t="s">
        <v>0</v>
      </c>
    </row>
    <row r="906" spans="1:8" hidden="1" x14ac:dyDescent="0.25">
      <c r="A906">
        <v>16705620</v>
      </c>
      <c r="B906" s="19" t="s">
        <v>12</v>
      </c>
      <c r="C906" s="19" t="s">
        <v>26</v>
      </c>
      <c r="D906" s="19" t="s">
        <v>58</v>
      </c>
      <c r="E906" s="19" t="s">
        <v>437</v>
      </c>
      <c r="F906" s="19" t="s">
        <v>400</v>
      </c>
      <c r="G906" s="19" t="s">
        <v>557</v>
      </c>
      <c r="H906" s="19" t="s">
        <v>0</v>
      </c>
    </row>
    <row r="907" spans="1:8" hidden="1" x14ac:dyDescent="0.25">
      <c r="A907">
        <v>16705610</v>
      </c>
      <c r="B907" s="19" t="s">
        <v>12</v>
      </c>
      <c r="C907" s="19" t="s">
        <v>33</v>
      </c>
      <c r="D907" s="19" t="s">
        <v>59</v>
      </c>
      <c r="E907" s="19" t="s">
        <v>437</v>
      </c>
      <c r="F907" s="19" t="s">
        <v>401</v>
      </c>
      <c r="G907" s="19" t="s">
        <v>557</v>
      </c>
      <c r="H907" s="19" t="s">
        <v>0</v>
      </c>
    </row>
    <row r="908" spans="1:8" hidden="1" x14ac:dyDescent="0.25">
      <c r="A908">
        <v>16705585</v>
      </c>
      <c r="B908" s="19" t="s">
        <v>12</v>
      </c>
      <c r="C908" s="19" t="s">
        <v>26</v>
      </c>
      <c r="D908" s="19" t="s">
        <v>58</v>
      </c>
      <c r="E908" s="19" t="s">
        <v>443</v>
      </c>
      <c r="F908" s="19" t="s">
        <v>400</v>
      </c>
      <c r="G908" s="19" t="s">
        <v>557</v>
      </c>
      <c r="H908" s="19" t="s">
        <v>0</v>
      </c>
    </row>
    <row r="909" spans="1:8" hidden="1" x14ac:dyDescent="0.25">
      <c r="A909">
        <v>16705576</v>
      </c>
      <c r="B909" s="19" t="s">
        <v>12</v>
      </c>
      <c r="C909" s="19" t="s">
        <v>26</v>
      </c>
      <c r="D909" s="19" t="s">
        <v>210</v>
      </c>
      <c r="E909" s="19" t="s">
        <v>443</v>
      </c>
      <c r="F909" s="19" t="s">
        <v>400</v>
      </c>
      <c r="G909" s="19" t="s">
        <v>557</v>
      </c>
      <c r="H909" s="19" t="s">
        <v>0</v>
      </c>
    </row>
    <row r="910" spans="1:8" hidden="1" x14ac:dyDescent="0.25">
      <c r="A910">
        <v>16705564</v>
      </c>
      <c r="B910" s="19" t="s">
        <v>12</v>
      </c>
      <c r="C910" s="19" t="s">
        <v>26</v>
      </c>
      <c r="D910" s="19" t="s">
        <v>56</v>
      </c>
      <c r="E910" s="19" t="s">
        <v>443</v>
      </c>
      <c r="F910" s="19" t="s">
        <v>400</v>
      </c>
      <c r="G910" s="19" t="s">
        <v>557</v>
      </c>
      <c r="H910" s="19" t="s">
        <v>0</v>
      </c>
    </row>
    <row r="911" spans="1:8" hidden="1" x14ac:dyDescent="0.25">
      <c r="A911">
        <v>16705555</v>
      </c>
      <c r="B911" s="19" t="s">
        <v>18</v>
      </c>
      <c r="C911" s="19" t="s">
        <v>26</v>
      </c>
      <c r="D911" s="19" t="s">
        <v>58</v>
      </c>
      <c r="E911" s="19" t="s">
        <v>443</v>
      </c>
      <c r="F911" s="19" t="s">
        <v>400</v>
      </c>
      <c r="G911" s="19" t="s">
        <v>557</v>
      </c>
      <c r="H911" s="19" t="s">
        <v>0</v>
      </c>
    </row>
    <row r="912" spans="1:8" hidden="1" x14ac:dyDescent="0.25">
      <c r="A912">
        <v>16705545</v>
      </c>
      <c r="B912" s="19" t="s">
        <v>18</v>
      </c>
      <c r="C912" s="19" t="s">
        <v>26</v>
      </c>
      <c r="D912" s="19" t="s">
        <v>58</v>
      </c>
      <c r="E912" s="19" t="s">
        <v>443</v>
      </c>
      <c r="F912" s="19" t="s">
        <v>400</v>
      </c>
      <c r="G912" s="19" t="s">
        <v>557</v>
      </c>
      <c r="H912" s="19" t="s">
        <v>0</v>
      </c>
    </row>
    <row r="913" spans="1:8" hidden="1" x14ac:dyDescent="0.25">
      <c r="A913">
        <v>16705537</v>
      </c>
      <c r="B913" s="19" t="s">
        <v>12</v>
      </c>
      <c r="C913" s="19" t="s">
        <v>26</v>
      </c>
      <c r="D913" s="19" t="s">
        <v>114</v>
      </c>
      <c r="E913" s="19" t="s">
        <v>443</v>
      </c>
      <c r="F913" s="19" t="s">
        <v>400</v>
      </c>
      <c r="G913" s="19" t="s">
        <v>557</v>
      </c>
      <c r="H913" s="19" t="s">
        <v>0</v>
      </c>
    </row>
    <row r="914" spans="1:8" hidden="1" x14ac:dyDescent="0.25">
      <c r="A914">
        <v>16705535</v>
      </c>
      <c r="B914" s="19" t="s">
        <v>12</v>
      </c>
      <c r="C914" s="19" t="s">
        <v>26</v>
      </c>
      <c r="D914" s="19" t="s">
        <v>222</v>
      </c>
      <c r="E914" s="19" t="s">
        <v>443</v>
      </c>
      <c r="F914" s="19" t="s">
        <v>400</v>
      </c>
      <c r="G914" s="19" t="s">
        <v>557</v>
      </c>
      <c r="H914" s="19" t="s">
        <v>0</v>
      </c>
    </row>
    <row r="915" spans="1:8" hidden="1" x14ac:dyDescent="0.25">
      <c r="A915">
        <v>16705534</v>
      </c>
      <c r="B915" s="19" t="s">
        <v>12</v>
      </c>
      <c r="C915" s="19" t="s">
        <v>26</v>
      </c>
      <c r="D915" s="19" t="s">
        <v>55</v>
      </c>
      <c r="E915" s="19" t="s">
        <v>443</v>
      </c>
      <c r="F915" s="19" t="s">
        <v>400</v>
      </c>
      <c r="G915" s="19" t="s">
        <v>557</v>
      </c>
      <c r="H915" s="19" t="s">
        <v>0</v>
      </c>
    </row>
    <row r="916" spans="1:8" hidden="1" x14ac:dyDescent="0.25">
      <c r="A916">
        <v>16705508</v>
      </c>
      <c r="B916" s="19" t="s">
        <v>12</v>
      </c>
      <c r="C916" s="19" t="s">
        <v>26</v>
      </c>
      <c r="D916" s="19" t="s">
        <v>58</v>
      </c>
      <c r="E916" s="19" t="s">
        <v>443</v>
      </c>
      <c r="F916" s="19" t="s">
        <v>400</v>
      </c>
      <c r="G916" s="19" t="s">
        <v>557</v>
      </c>
      <c r="H916" s="19" t="s">
        <v>0</v>
      </c>
    </row>
    <row r="917" spans="1:8" hidden="1" x14ac:dyDescent="0.25">
      <c r="A917">
        <v>16705497</v>
      </c>
      <c r="B917" s="19" t="s">
        <v>12</v>
      </c>
      <c r="C917" s="19" t="s">
        <v>26</v>
      </c>
      <c r="D917" s="19" t="s">
        <v>56</v>
      </c>
      <c r="E917" s="19" t="s">
        <v>443</v>
      </c>
      <c r="F917" s="19" t="s">
        <v>400</v>
      </c>
      <c r="G917" s="19" t="s">
        <v>557</v>
      </c>
      <c r="H917" s="19" t="s">
        <v>0</v>
      </c>
    </row>
    <row r="918" spans="1:8" hidden="1" x14ac:dyDescent="0.25">
      <c r="A918">
        <v>16705495</v>
      </c>
      <c r="B918" s="19" t="s">
        <v>12</v>
      </c>
      <c r="C918" s="19" t="s">
        <v>26</v>
      </c>
      <c r="D918" s="19" t="s">
        <v>58</v>
      </c>
      <c r="E918" s="19" t="s">
        <v>443</v>
      </c>
      <c r="F918" s="19" t="s">
        <v>400</v>
      </c>
      <c r="G918" s="19" t="s">
        <v>557</v>
      </c>
      <c r="H918" s="19" t="s">
        <v>0</v>
      </c>
    </row>
    <row r="919" spans="1:8" hidden="1" x14ac:dyDescent="0.25">
      <c r="A919">
        <v>16705478</v>
      </c>
      <c r="B919" s="19" t="s">
        <v>12</v>
      </c>
      <c r="C919" s="19" t="s">
        <v>26</v>
      </c>
      <c r="D919" s="19" t="s">
        <v>55</v>
      </c>
      <c r="E919" s="19" t="s">
        <v>443</v>
      </c>
      <c r="F919" s="19" t="s">
        <v>400</v>
      </c>
      <c r="G919" s="19" t="s">
        <v>557</v>
      </c>
      <c r="H919" s="19" t="s">
        <v>0</v>
      </c>
    </row>
    <row r="920" spans="1:8" hidden="1" x14ac:dyDescent="0.25">
      <c r="A920">
        <v>16705460</v>
      </c>
      <c r="B920" s="19" t="s">
        <v>12</v>
      </c>
      <c r="C920" s="19" t="s">
        <v>26</v>
      </c>
      <c r="D920" s="19" t="s">
        <v>58</v>
      </c>
      <c r="E920" s="19" t="s">
        <v>443</v>
      </c>
      <c r="F920" s="19" t="s">
        <v>400</v>
      </c>
      <c r="G920" s="19" t="s">
        <v>557</v>
      </c>
      <c r="H920" s="19" t="s">
        <v>0</v>
      </c>
    </row>
    <row r="921" spans="1:8" hidden="1" x14ac:dyDescent="0.25">
      <c r="A921">
        <v>16705421</v>
      </c>
      <c r="B921" s="19" t="s">
        <v>12</v>
      </c>
      <c r="C921" s="19" t="s">
        <v>26</v>
      </c>
      <c r="D921" s="19" t="s">
        <v>58</v>
      </c>
      <c r="E921" s="19" t="s">
        <v>443</v>
      </c>
      <c r="F921" s="19" t="s">
        <v>400</v>
      </c>
      <c r="G921" s="19" t="s">
        <v>557</v>
      </c>
      <c r="H921" s="19" t="s">
        <v>0</v>
      </c>
    </row>
    <row r="922" spans="1:8" hidden="1" x14ac:dyDescent="0.25">
      <c r="A922">
        <v>16705414</v>
      </c>
      <c r="B922" s="19" t="s">
        <v>12</v>
      </c>
      <c r="C922" s="19" t="s">
        <v>26</v>
      </c>
      <c r="D922" s="19" t="s">
        <v>55</v>
      </c>
      <c r="E922" s="19" t="s">
        <v>443</v>
      </c>
      <c r="F922" s="19" t="s">
        <v>400</v>
      </c>
      <c r="G922" s="19" t="s">
        <v>557</v>
      </c>
      <c r="H922" s="19" t="s">
        <v>0</v>
      </c>
    </row>
    <row r="923" spans="1:8" hidden="1" x14ac:dyDescent="0.25">
      <c r="A923">
        <v>16705368</v>
      </c>
      <c r="B923" s="19" t="s">
        <v>12</v>
      </c>
      <c r="C923" s="19" t="s">
        <v>26</v>
      </c>
      <c r="D923" s="19" t="s">
        <v>210</v>
      </c>
      <c r="E923" s="19" t="s">
        <v>443</v>
      </c>
      <c r="F923" s="19" t="s">
        <v>400</v>
      </c>
      <c r="G923" s="19" t="s">
        <v>557</v>
      </c>
      <c r="H923" s="19" t="s">
        <v>0</v>
      </c>
    </row>
    <row r="924" spans="1:8" hidden="1" x14ac:dyDescent="0.25">
      <c r="A924">
        <v>16705354</v>
      </c>
      <c r="B924" s="19" t="s">
        <v>12</v>
      </c>
      <c r="C924" s="19" t="s">
        <v>26</v>
      </c>
      <c r="D924" s="19" t="s">
        <v>57</v>
      </c>
      <c r="E924" s="19" t="s">
        <v>437</v>
      </c>
      <c r="F924" s="19" t="s">
        <v>400</v>
      </c>
      <c r="G924" s="19" t="s">
        <v>557</v>
      </c>
      <c r="H924" s="19" t="s">
        <v>0</v>
      </c>
    </row>
    <row r="925" spans="1:8" hidden="1" x14ac:dyDescent="0.25">
      <c r="A925">
        <v>16705331</v>
      </c>
      <c r="B925" s="19" t="s">
        <v>12</v>
      </c>
      <c r="C925" s="19" t="s">
        <v>26</v>
      </c>
      <c r="D925" s="19" t="s">
        <v>55</v>
      </c>
      <c r="E925" s="19" t="s">
        <v>437</v>
      </c>
      <c r="F925" s="19" t="s">
        <v>400</v>
      </c>
      <c r="G925" s="19" t="s">
        <v>557</v>
      </c>
      <c r="H925" s="19" t="s">
        <v>0</v>
      </c>
    </row>
    <row r="926" spans="1:8" hidden="1" x14ac:dyDescent="0.25">
      <c r="A926">
        <v>16705324</v>
      </c>
      <c r="B926" s="19" t="s">
        <v>12</v>
      </c>
      <c r="C926" s="19" t="s">
        <v>26</v>
      </c>
      <c r="D926" s="19" t="s">
        <v>222</v>
      </c>
      <c r="E926" s="19" t="s">
        <v>437</v>
      </c>
      <c r="F926" s="19" t="s">
        <v>400</v>
      </c>
      <c r="G926" s="19" t="s">
        <v>557</v>
      </c>
      <c r="H926" s="19" t="s">
        <v>0</v>
      </c>
    </row>
    <row r="927" spans="1:8" hidden="1" x14ac:dyDescent="0.25">
      <c r="A927">
        <v>16705322</v>
      </c>
      <c r="B927" s="19" t="s">
        <v>12</v>
      </c>
      <c r="C927" s="19" t="s">
        <v>26</v>
      </c>
      <c r="D927" s="19" t="s">
        <v>57</v>
      </c>
      <c r="E927" s="19" t="s">
        <v>437</v>
      </c>
      <c r="F927" s="19" t="s">
        <v>400</v>
      </c>
      <c r="G927" s="19" t="s">
        <v>557</v>
      </c>
      <c r="H927" s="19" t="s">
        <v>0</v>
      </c>
    </row>
    <row r="928" spans="1:8" hidden="1" x14ac:dyDescent="0.25">
      <c r="A928">
        <v>16705299</v>
      </c>
      <c r="B928" s="19" t="s">
        <v>18</v>
      </c>
      <c r="C928" s="19" t="s">
        <v>26</v>
      </c>
      <c r="D928" s="19" t="s">
        <v>116</v>
      </c>
      <c r="E928" s="19" t="s">
        <v>437</v>
      </c>
      <c r="F928" s="19" t="s">
        <v>400</v>
      </c>
      <c r="G928" s="19" t="s">
        <v>557</v>
      </c>
      <c r="H928" s="19" t="s">
        <v>0</v>
      </c>
    </row>
    <row r="929" spans="1:8" hidden="1" x14ac:dyDescent="0.25">
      <c r="A929">
        <v>16705284</v>
      </c>
      <c r="B929" s="19" t="s">
        <v>12</v>
      </c>
      <c r="C929" s="19" t="s">
        <v>26</v>
      </c>
      <c r="D929" s="19" t="s">
        <v>57</v>
      </c>
      <c r="E929" s="19" t="s">
        <v>437</v>
      </c>
      <c r="F929" s="19" t="s">
        <v>400</v>
      </c>
      <c r="G929" s="19" t="s">
        <v>557</v>
      </c>
      <c r="H929" s="19" t="s">
        <v>0</v>
      </c>
    </row>
    <row r="930" spans="1:8" hidden="1" x14ac:dyDescent="0.25">
      <c r="A930">
        <v>16705281</v>
      </c>
      <c r="B930" s="19" t="s">
        <v>12</v>
      </c>
      <c r="C930" s="19" t="s">
        <v>26</v>
      </c>
      <c r="D930" s="19" t="s">
        <v>60</v>
      </c>
      <c r="E930" s="19" t="s">
        <v>437</v>
      </c>
      <c r="F930" s="19" t="s">
        <v>400</v>
      </c>
      <c r="G930" s="19" t="s">
        <v>557</v>
      </c>
      <c r="H930" s="19" t="s">
        <v>0</v>
      </c>
    </row>
    <row r="931" spans="1:8" hidden="1" x14ac:dyDescent="0.25">
      <c r="A931">
        <v>16705265</v>
      </c>
      <c r="B931" s="19" t="s">
        <v>12</v>
      </c>
      <c r="C931" s="19" t="s">
        <v>26</v>
      </c>
      <c r="D931" s="19" t="s">
        <v>58</v>
      </c>
      <c r="E931" s="19" t="s">
        <v>437</v>
      </c>
      <c r="F931" s="19" t="s">
        <v>400</v>
      </c>
      <c r="G931" s="19" t="s">
        <v>557</v>
      </c>
      <c r="H931" s="19" t="s">
        <v>0</v>
      </c>
    </row>
    <row r="932" spans="1:8" hidden="1" x14ac:dyDescent="0.25">
      <c r="A932">
        <v>16705263</v>
      </c>
      <c r="B932" s="19" t="s">
        <v>12</v>
      </c>
      <c r="C932" s="19" t="s">
        <v>26</v>
      </c>
      <c r="D932" s="19" t="s">
        <v>224</v>
      </c>
      <c r="E932" s="19" t="s">
        <v>437</v>
      </c>
      <c r="F932" s="19" t="s">
        <v>400</v>
      </c>
      <c r="G932" s="19" t="s">
        <v>557</v>
      </c>
      <c r="H932" s="19" t="s">
        <v>0</v>
      </c>
    </row>
    <row r="933" spans="1:8" hidden="1" x14ac:dyDescent="0.25">
      <c r="A933">
        <v>16705261</v>
      </c>
      <c r="B933" s="19" t="s">
        <v>12</v>
      </c>
      <c r="C933" s="19" t="s">
        <v>26</v>
      </c>
      <c r="D933" s="19" t="s">
        <v>116</v>
      </c>
      <c r="E933" s="19" t="s">
        <v>437</v>
      </c>
      <c r="F933" s="19" t="s">
        <v>400</v>
      </c>
      <c r="G933" s="19" t="s">
        <v>557</v>
      </c>
      <c r="H933" s="19" t="s">
        <v>0</v>
      </c>
    </row>
    <row r="934" spans="1:8" hidden="1" x14ac:dyDescent="0.25">
      <c r="A934">
        <v>16705260</v>
      </c>
      <c r="B934" s="19" t="s">
        <v>12</v>
      </c>
      <c r="C934" s="19" t="s">
        <v>26</v>
      </c>
      <c r="D934" s="19" t="s">
        <v>59</v>
      </c>
      <c r="E934" s="19" t="s">
        <v>437</v>
      </c>
      <c r="F934" s="19" t="s">
        <v>400</v>
      </c>
      <c r="G934" s="19" t="s">
        <v>557</v>
      </c>
      <c r="H934" s="19" t="s">
        <v>0</v>
      </c>
    </row>
    <row r="935" spans="1:8" hidden="1" x14ac:dyDescent="0.25">
      <c r="A935">
        <v>16705256</v>
      </c>
      <c r="B935" s="19" t="s">
        <v>24</v>
      </c>
      <c r="C935" s="19" t="s">
        <v>33</v>
      </c>
      <c r="D935" s="19" t="s">
        <v>210</v>
      </c>
      <c r="E935" s="19" t="s">
        <v>437</v>
      </c>
      <c r="F935" s="19" t="s">
        <v>401</v>
      </c>
      <c r="G935" s="19" t="s">
        <v>557</v>
      </c>
      <c r="H935" s="19" t="s">
        <v>0</v>
      </c>
    </row>
    <row r="936" spans="1:8" hidden="1" x14ac:dyDescent="0.25">
      <c r="A936">
        <v>16705231</v>
      </c>
      <c r="B936" s="19" t="s">
        <v>12</v>
      </c>
      <c r="C936" s="19" t="s">
        <v>26</v>
      </c>
      <c r="D936" s="19" t="s">
        <v>58</v>
      </c>
      <c r="E936" s="19" t="s">
        <v>437</v>
      </c>
      <c r="F936" s="19" t="s">
        <v>400</v>
      </c>
      <c r="G936" s="19" t="s">
        <v>557</v>
      </c>
      <c r="H936" s="19" t="s">
        <v>0</v>
      </c>
    </row>
    <row r="937" spans="1:8" hidden="1" x14ac:dyDescent="0.25">
      <c r="A937">
        <v>16705224</v>
      </c>
      <c r="B937" s="19" t="s">
        <v>12</v>
      </c>
      <c r="C937" s="19" t="s">
        <v>26</v>
      </c>
      <c r="D937" s="19" t="s">
        <v>59</v>
      </c>
      <c r="E937" s="19" t="s">
        <v>437</v>
      </c>
      <c r="F937" s="19" t="s">
        <v>400</v>
      </c>
      <c r="G937" s="19" t="s">
        <v>557</v>
      </c>
      <c r="H937" s="19" t="s">
        <v>0</v>
      </c>
    </row>
    <row r="938" spans="1:8" hidden="1" x14ac:dyDescent="0.25">
      <c r="A938">
        <v>16705223</v>
      </c>
      <c r="B938" s="19" t="s">
        <v>12</v>
      </c>
      <c r="C938" s="19" t="s">
        <v>26</v>
      </c>
      <c r="D938" s="19" t="s">
        <v>59</v>
      </c>
      <c r="E938" s="19" t="s">
        <v>437</v>
      </c>
      <c r="F938" s="19" t="s">
        <v>400</v>
      </c>
      <c r="G938" s="19" t="s">
        <v>557</v>
      </c>
      <c r="H938" s="19" t="s">
        <v>0</v>
      </c>
    </row>
    <row r="939" spans="1:8" hidden="1" x14ac:dyDescent="0.25">
      <c r="A939">
        <v>16705216</v>
      </c>
      <c r="B939" s="19" t="s">
        <v>18</v>
      </c>
      <c r="C939" s="19" t="s">
        <v>26</v>
      </c>
      <c r="D939" s="19" t="s">
        <v>59</v>
      </c>
      <c r="E939" s="19" t="s">
        <v>437</v>
      </c>
      <c r="F939" s="19" t="s">
        <v>400</v>
      </c>
      <c r="G939" s="19" t="s">
        <v>557</v>
      </c>
      <c r="H939" s="19" t="s">
        <v>0</v>
      </c>
    </row>
    <row r="940" spans="1:8" hidden="1" x14ac:dyDescent="0.25">
      <c r="A940">
        <v>16390584</v>
      </c>
      <c r="B940" s="19" t="s">
        <v>12</v>
      </c>
      <c r="C940" s="19" t="s">
        <v>26</v>
      </c>
      <c r="D940" s="19" t="s">
        <v>41</v>
      </c>
      <c r="E940" s="19" t="s">
        <v>567</v>
      </c>
      <c r="F940" s="19" t="s">
        <v>400</v>
      </c>
      <c r="G940" s="19" t="s">
        <v>557</v>
      </c>
      <c r="H940" s="19" t="s">
        <v>0</v>
      </c>
    </row>
    <row r="941" spans="1:8" hidden="1" x14ac:dyDescent="0.25">
      <c r="A941">
        <v>16390580</v>
      </c>
      <c r="B941" s="19" t="s">
        <v>12</v>
      </c>
      <c r="C941" s="19" t="s">
        <v>26</v>
      </c>
      <c r="D941" s="19" t="s">
        <v>41</v>
      </c>
      <c r="E941" s="19" t="s">
        <v>567</v>
      </c>
      <c r="F941" s="19" t="s">
        <v>400</v>
      </c>
      <c r="G941" s="19" t="s">
        <v>557</v>
      </c>
      <c r="H941" s="19" t="s">
        <v>0</v>
      </c>
    </row>
    <row r="942" spans="1:8" hidden="1" x14ac:dyDescent="0.25">
      <c r="A942">
        <v>16390567</v>
      </c>
      <c r="B942" s="19" t="s">
        <v>12</v>
      </c>
      <c r="C942" s="19" t="s">
        <v>26</v>
      </c>
      <c r="D942" s="19" t="s">
        <v>35</v>
      </c>
      <c r="E942" s="19" t="s">
        <v>443</v>
      </c>
      <c r="F942" s="19" t="s">
        <v>400</v>
      </c>
      <c r="G942" s="19" t="s">
        <v>557</v>
      </c>
      <c r="H942" s="19" t="s">
        <v>0</v>
      </c>
    </row>
    <row r="943" spans="1:8" hidden="1" x14ac:dyDescent="0.25">
      <c r="A943">
        <v>16390560</v>
      </c>
      <c r="B943" s="19" t="s">
        <v>12</v>
      </c>
      <c r="C943" s="19" t="s">
        <v>38</v>
      </c>
      <c r="D943" s="19" t="s">
        <v>221</v>
      </c>
      <c r="E943" s="19" t="s">
        <v>437</v>
      </c>
      <c r="F943" s="19" t="s">
        <v>401</v>
      </c>
      <c r="G943" s="19" t="s">
        <v>557</v>
      </c>
      <c r="H943" s="19" t="s">
        <v>0</v>
      </c>
    </row>
    <row r="944" spans="1:8" hidden="1" x14ac:dyDescent="0.25">
      <c r="A944">
        <v>16390551</v>
      </c>
      <c r="B944" s="19" t="s">
        <v>12</v>
      </c>
      <c r="C944" s="19" t="s">
        <v>26</v>
      </c>
      <c r="D944" s="19" t="s">
        <v>139</v>
      </c>
      <c r="E944" s="19" t="s">
        <v>558</v>
      </c>
      <c r="F944" s="19" t="s">
        <v>400</v>
      </c>
      <c r="G944" s="19" t="s">
        <v>557</v>
      </c>
      <c r="H944" s="19" t="s">
        <v>0</v>
      </c>
    </row>
    <row r="945" spans="1:8" hidden="1" x14ac:dyDescent="0.25">
      <c r="A945">
        <v>16390547</v>
      </c>
      <c r="B945" s="19" t="s">
        <v>12</v>
      </c>
      <c r="C945" s="19" t="s">
        <v>26</v>
      </c>
      <c r="D945" s="19" t="s">
        <v>137</v>
      </c>
      <c r="E945" s="19" t="s">
        <v>437</v>
      </c>
      <c r="F945" s="19" t="s">
        <v>400</v>
      </c>
      <c r="G945" s="19" t="s">
        <v>557</v>
      </c>
      <c r="H945" s="19" t="s">
        <v>0</v>
      </c>
    </row>
    <row r="946" spans="1:8" hidden="1" x14ac:dyDescent="0.25">
      <c r="A946">
        <v>16390542</v>
      </c>
      <c r="B946" s="19" t="s">
        <v>12</v>
      </c>
      <c r="C946" s="19" t="s">
        <v>26</v>
      </c>
      <c r="D946" s="19" t="s">
        <v>74</v>
      </c>
      <c r="E946" s="19" t="s">
        <v>437</v>
      </c>
      <c r="F946" s="19" t="s">
        <v>400</v>
      </c>
      <c r="G946" s="19" t="s">
        <v>557</v>
      </c>
      <c r="H946" s="19" t="s">
        <v>0</v>
      </c>
    </row>
    <row r="947" spans="1:8" hidden="1" x14ac:dyDescent="0.25">
      <c r="A947">
        <v>16390536</v>
      </c>
      <c r="B947" s="19" t="s">
        <v>12</v>
      </c>
      <c r="C947" s="19" t="s">
        <v>26</v>
      </c>
      <c r="D947" s="19" t="s">
        <v>36</v>
      </c>
      <c r="E947" s="19" t="s">
        <v>443</v>
      </c>
      <c r="F947" s="19" t="s">
        <v>400</v>
      </c>
      <c r="G947" s="19" t="s">
        <v>557</v>
      </c>
      <c r="H947" s="19" t="s">
        <v>0</v>
      </c>
    </row>
    <row r="948" spans="1:8" hidden="1" x14ac:dyDescent="0.25">
      <c r="A948">
        <v>16390534</v>
      </c>
      <c r="B948" s="19" t="s">
        <v>12</v>
      </c>
      <c r="C948" s="19" t="s">
        <v>26</v>
      </c>
      <c r="D948" s="19" t="s">
        <v>63</v>
      </c>
      <c r="E948" s="19" t="s">
        <v>566</v>
      </c>
      <c r="F948" s="19" t="s">
        <v>400</v>
      </c>
      <c r="G948" s="19" t="s">
        <v>557</v>
      </c>
      <c r="H948" s="19" t="s">
        <v>0</v>
      </c>
    </row>
    <row r="949" spans="1:8" hidden="1" x14ac:dyDescent="0.25">
      <c r="A949">
        <v>16390525</v>
      </c>
      <c r="B949" s="19" t="s">
        <v>12</v>
      </c>
      <c r="C949" s="19" t="s">
        <v>26</v>
      </c>
      <c r="D949" s="19" t="s">
        <v>41</v>
      </c>
      <c r="E949" s="19" t="s">
        <v>558</v>
      </c>
      <c r="F949" s="19" t="s">
        <v>400</v>
      </c>
      <c r="G949" s="19" t="s">
        <v>557</v>
      </c>
      <c r="H949" s="19" t="s">
        <v>0</v>
      </c>
    </row>
    <row r="950" spans="1:8" hidden="1" x14ac:dyDescent="0.25">
      <c r="A950">
        <v>16390520</v>
      </c>
      <c r="B950" s="19" t="s">
        <v>12</v>
      </c>
      <c r="C950" s="19" t="s">
        <v>38</v>
      </c>
      <c r="D950" s="19" t="s">
        <v>39</v>
      </c>
      <c r="E950" s="19" t="s">
        <v>437</v>
      </c>
      <c r="F950" s="19" t="s">
        <v>401</v>
      </c>
      <c r="G950" s="19" t="s">
        <v>557</v>
      </c>
      <c r="H950" s="19" t="s">
        <v>0</v>
      </c>
    </row>
    <row r="951" spans="1:8" hidden="1" x14ac:dyDescent="0.25">
      <c r="A951">
        <v>16390519</v>
      </c>
      <c r="B951" s="19" t="s">
        <v>12</v>
      </c>
      <c r="C951" s="19" t="s">
        <v>38</v>
      </c>
      <c r="D951" s="19" t="s">
        <v>39</v>
      </c>
      <c r="E951" s="19" t="s">
        <v>437</v>
      </c>
      <c r="F951" s="19" t="s">
        <v>401</v>
      </c>
      <c r="G951" s="19" t="s">
        <v>557</v>
      </c>
      <c r="H951" s="19" t="s">
        <v>0</v>
      </c>
    </row>
    <row r="952" spans="1:8" hidden="1" x14ac:dyDescent="0.25">
      <c r="A952">
        <v>16390516</v>
      </c>
      <c r="B952" s="19" t="s">
        <v>12</v>
      </c>
      <c r="C952" s="19" t="s">
        <v>33</v>
      </c>
      <c r="D952" s="19" t="s">
        <v>213</v>
      </c>
      <c r="E952" s="19" t="s">
        <v>565</v>
      </c>
      <c r="F952" s="19" t="s">
        <v>401</v>
      </c>
      <c r="G952" s="19" t="s">
        <v>557</v>
      </c>
      <c r="H952" s="19" t="s">
        <v>0</v>
      </c>
    </row>
    <row r="953" spans="1:8" hidden="1" x14ac:dyDescent="0.25">
      <c r="A953">
        <v>16390473</v>
      </c>
      <c r="B953" s="19" t="s">
        <v>12</v>
      </c>
      <c r="C953" s="19" t="s">
        <v>26</v>
      </c>
      <c r="D953" s="19" t="s">
        <v>36</v>
      </c>
      <c r="E953" s="19" t="s">
        <v>437</v>
      </c>
      <c r="F953" s="19" t="s">
        <v>400</v>
      </c>
      <c r="G953" s="19" t="s">
        <v>557</v>
      </c>
      <c r="H953" s="19" t="s">
        <v>0</v>
      </c>
    </row>
    <row r="954" spans="1:8" hidden="1" x14ac:dyDescent="0.25">
      <c r="A954">
        <v>16390472</v>
      </c>
      <c r="B954" s="19" t="s">
        <v>12</v>
      </c>
      <c r="C954" s="19" t="s">
        <v>26</v>
      </c>
      <c r="D954" s="19" t="s">
        <v>74</v>
      </c>
      <c r="E954" s="19" t="s">
        <v>437</v>
      </c>
      <c r="F954" s="19" t="s">
        <v>400</v>
      </c>
      <c r="G954" s="19" t="s">
        <v>557</v>
      </c>
      <c r="H954" s="19" t="s">
        <v>0</v>
      </c>
    </row>
    <row r="955" spans="1:8" hidden="1" x14ac:dyDescent="0.25">
      <c r="A955">
        <v>16390471</v>
      </c>
      <c r="B955" s="19" t="s">
        <v>12</v>
      </c>
      <c r="C955" s="19" t="s">
        <v>26</v>
      </c>
      <c r="D955" s="19" t="s">
        <v>36</v>
      </c>
      <c r="E955" s="19" t="s">
        <v>437</v>
      </c>
      <c r="F955" s="19" t="s">
        <v>400</v>
      </c>
      <c r="G955" s="19" t="s">
        <v>557</v>
      </c>
      <c r="H955" s="19" t="s">
        <v>0</v>
      </c>
    </row>
    <row r="956" spans="1:8" hidden="1" x14ac:dyDescent="0.25">
      <c r="A956">
        <v>16390467</v>
      </c>
      <c r="B956" s="19" t="s">
        <v>12</v>
      </c>
      <c r="C956" s="19" t="s">
        <v>26</v>
      </c>
      <c r="D956" s="19" t="s">
        <v>54</v>
      </c>
      <c r="E956" s="19" t="s">
        <v>558</v>
      </c>
      <c r="F956" s="19" t="s">
        <v>400</v>
      </c>
      <c r="G956" s="19" t="s">
        <v>557</v>
      </c>
      <c r="H956" s="19" t="s">
        <v>0</v>
      </c>
    </row>
    <row r="957" spans="1:8" hidden="1" x14ac:dyDescent="0.25">
      <c r="A957">
        <v>16390459</v>
      </c>
      <c r="B957" s="19" t="s">
        <v>12</v>
      </c>
      <c r="C957" s="19" t="s">
        <v>26</v>
      </c>
      <c r="D957" s="19" t="s">
        <v>41</v>
      </c>
      <c r="E957" s="19" t="s">
        <v>443</v>
      </c>
      <c r="F957" s="19" t="s">
        <v>400</v>
      </c>
      <c r="G957" s="19" t="s">
        <v>557</v>
      </c>
      <c r="H957" s="19" t="s">
        <v>0</v>
      </c>
    </row>
    <row r="958" spans="1:8" hidden="1" x14ac:dyDescent="0.25">
      <c r="A958">
        <v>16390452</v>
      </c>
      <c r="B958" s="19" t="s">
        <v>18</v>
      </c>
      <c r="C958" s="19" t="s">
        <v>26</v>
      </c>
      <c r="D958" s="19" t="s">
        <v>180</v>
      </c>
      <c r="E958" s="19" t="s">
        <v>437</v>
      </c>
      <c r="F958" s="19" t="s">
        <v>400</v>
      </c>
      <c r="G958" s="19" t="s">
        <v>557</v>
      </c>
      <c r="H958" s="19" t="s">
        <v>0</v>
      </c>
    </row>
    <row r="959" spans="1:8" hidden="1" x14ac:dyDescent="0.25">
      <c r="A959">
        <v>16390444</v>
      </c>
      <c r="B959" s="19" t="s">
        <v>12</v>
      </c>
      <c r="C959" s="19" t="s">
        <v>26</v>
      </c>
      <c r="D959" s="19" t="s">
        <v>103</v>
      </c>
      <c r="E959" s="19" t="s">
        <v>443</v>
      </c>
      <c r="F959" s="19" t="s">
        <v>400</v>
      </c>
      <c r="G959" s="19" t="s">
        <v>557</v>
      </c>
      <c r="H959" s="19" t="s">
        <v>0</v>
      </c>
    </row>
    <row r="960" spans="1:8" hidden="1" x14ac:dyDescent="0.25">
      <c r="A960">
        <v>16390406</v>
      </c>
      <c r="B960" s="19" t="s">
        <v>12</v>
      </c>
      <c r="C960" s="19" t="s">
        <v>26</v>
      </c>
      <c r="D960" s="19" t="s">
        <v>35</v>
      </c>
      <c r="E960" s="19" t="s">
        <v>443</v>
      </c>
      <c r="F960" s="19" t="s">
        <v>400</v>
      </c>
      <c r="G960" s="19" t="s">
        <v>557</v>
      </c>
      <c r="H960" s="19" t="s">
        <v>0</v>
      </c>
    </row>
    <row r="961" spans="1:8" hidden="1" x14ac:dyDescent="0.25">
      <c r="A961">
        <v>16190664</v>
      </c>
      <c r="B961" s="19" t="s">
        <v>12</v>
      </c>
      <c r="C961" s="19" t="s">
        <v>38</v>
      </c>
      <c r="D961" s="19" t="s">
        <v>230</v>
      </c>
      <c r="E961" s="19" t="s">
        <v>568</v>
      </c>
      <c r="F961" s="19" t="s">
        <v>401</v>
      </c>
      <c r="G961" s="19" t="s">
        <v>557</v>
      </c>
      <c r="H961" s="19" t="s">
        <v>0</v>
      </c>
    </row>
    <row r="962" spans="1:8" hidden="1" x14ac:dyDescent="0.25">
      <c r="A962">
        <v>15661432</v>
      </c>
      <c r="B962" s="19" t="s">
        <v>109</v>
      </c>
      <c r="C962" s="19" t="s">
        <v>26</v>
      </c>
      <c r="D962" s="19" t="s">
        <v>27</v>
      </c>
      <c r="E962" s="19" t="s">
        <v>437</v>
      </c>
      <c r="F962" s="19" t="s">
        <v>400</v>
      </c>
      <c r="G962" s="19" t="s">
        <v>557</v>
      </c>
      <c r="H962" s="19" t="s">
        <v>0</v>
      </c>
    </row>
    <row r="963" spans="1:8" hidden="1" x14ac:dyDescent="0.25">
      <c r="A963">
        <v>15661396</v>
      </c>
      <c r="B963" s="19" t="s">
        <v>12</v>
      </c>
      <c r="C963" s="19" t="s">
        <v>26</v>
      </c>
      <c r="D963" s="19" t="s">
        <v>231</v>
      </c>
      <c r="E963" s="19" t="s">
        <v>445</v>
      </c>
      <c r="F963" s="19" t="s">
        <v>400</v>
      </c>
      <c r="G963" s="19" t="s">
        <v>557</v>
      </c>
      <c r="H963" s="19" t="s">
        <v>0</v>
      </c>
    </row>
    <row r="964" spans="1:8" hidden="1" x14ac:dyDescent="0.25">
      <c r="A964">
        <v>15661391</v>
      </c>
      <c r="B964" s="19" t="s">
        <v>12</v>
      </c>
      <c r="C964" s="19" t="s">
        <v>26</v>
      </c>
      <c r="D964" s="19" t="s">
        <v>198</v>
      </c>
      <c r="E964" s="19" t="s">
        <v>443</v>
      </c>
      <c r="F964" s="19" t="s">
        <v>400</v>
      </c>
      <c r="G964" s="19" t="s">
        <v>557</v>
      </c>
      <c r="H964" s="19" t="s">
        <v>0</v>
      </c>
    </row>
    <row r="965" spans="1:8" hidden="1" x14ac:dyDescent="0.25">
      <c r="A965">
        <v>15661377</v>
      </c>
      <c r="B965" s="19" t="s">
        <v>18</v>
      </c>
      <c r="C965" s="19" t="s">
        <v>26</v>
      </c>
      <c r="D965" s="19" t="s">
        <v>233</v>
      </c>
      <c r="E965" s="19" t="s">
        <v>445</v>
      </c>
      <c r="F965" s="19" t="s">
        <v>400</v>
      </c>
      <c r="G965" s="19" t="s">
        <v>557</v>
      </c>
      <c r="H965" s="19" t="s">
        <v>0</v>
      </c>
    </row>
    <row r="966" spans="1:8" hidden="1" x14ac:dyDescent="0.25">
      <c r="A966">
        <v>15661375</v>
      </c>
      <c r="B966" s="19" t="s">
        <v>12</v>
      </c>
      <c r="C966" s="19" t="s">
        <v>26</v>
      </c>
      <c r="D966" s="19" t="s">
        <v>234</v>
      </c>
      <c r="E966" s="19" t="s">
        <v>445</v>
      </c>
      <c r="F966" s="19" t="s">
        <v>400</v>
      </c>
      <c r="G966" s="19" t="s">
        <v>557</v>
      </c>
      <c r="H966" s="19" t="s">
        <v>0</v>
      </c>
    </row>
    <row r="967" spans="1:8" hidden="1" x14ac:dyDescent="0.25">
      <c r="A967">
        <v>15661350</v>
      </c>
      <c r="B967" s="19" t="s">
        <v>12</v>
      </c>
      <c r="C967" s="19" t="s">
        <v>26</v>
      </c>
      <c r="D967" s="19" t="s">
        <v>235</v>
      </c>
      <c r="E967" s="19" t="s">
        <v>437</v>
      </c>
      <c r="F967" s="19" t="s">
        <v>400</v>
      </c>
      <c r="G967" s="19" t="s">
        <v>557</v>
      </c>
      <c r="H967" s="19" t="s">
        <v>0</v>
      </c>
    </row>
    <row r="968" spans="1:8" hidden="1" x14ac:dyDescent="0.25">
      <c r="A968">
        <v>15661320</v>
      </c>
      <c r="B968" s="19" t="s">
        <v>12</v>
      </c>
      <c r="C968" s="19" t="s">
        <v>26</v>
      </c>
      <c r="D968" s="19" t="s">
        <v>65</v>
      </c>
      <c r="E968" s="19" t="s">
        <v>443</v>
      </c>
      <c r="F968" s="19" t="s">
        <v>400</v>
      </c>
      <c r="G968" s="19" t="s">
        <v>557</v>
      </c>
      <c r="H968" s="19" t="s">
        <v>0</v>
      </c>
    </row>
    <row r="969" spans="1:8" hidden="1" x14ac:dyDescent="0.25">
      <c r="A969">
        <v>15661310</v>
      </c>
      <c r="B969" s="19" t="s">
        <v>12</v>
      </c>
      <c r="C969" s="19" t="s">
        <v>26</v>
      </c>
      <c r="D969" s="19" t="s">
        <v>122</v>
      </c>
      <c r="E969" s="19" t="s">
        <v>443</v>
      </c>
      <c r="F969" s="19" t="s">
        <v>400</v>
      </c>
      <c r="G969" s="19" t="s">
        <v>557</v>
      </c>
      <c r="H969" s="19" t="s">
        <v>0</v>
      </c>
    </row>
    <row r="970" spans="1:8" hidden="1" x14ac:dyDescent="0.25">
      <c r="A970">
        <v>15661164</v>
      </c>
      <c r="B970" s="19" t="s">
        <v>12</v>
      </c>
      <c r="C970" s="19" t="s">
        <v>26</v>
      </c>
      <c r="D970" s="19" t="s">
        <v>237</v>
      </c>
      <c r="E970" s="19" t="s">
        <v>437</v>
      </c>
      <c r="F970" s="19" t="s">
        <v>400</v>
      </c>
      <c r="G970" s="19" t="s">
        <v>557</v>
      </c>
      <c r="H970" s="19" t="s">
        <v>0</v>
      </c>
    </row>
    <row r="971" spans="1:8" hidden="1" x14ac:dyDescent="0.25">
      <c r="A971">
        <v>15661158</v>
      </c>
      <c r="B971" s="19" t="s">
        <v>12</v>
      </c>
      <c r="C971" s="19" t="s">
        <v>26</v>
      </c>
      <c r="D971" s="19" t="s">
        <v>120</v>
      </c>
      <c r="E971" s="19" t="s">
        <v>437</v>
      </c>
      <c r="F971" s="19" t="s">
        <v>400</v>
      </c>
      <c r="G971" s="19" t="s">
        <v>557</v>
      </c>
      <c r="H971" s="19" t="s">
        <v>0</v>
      </c>
    </row>
    <row r="972" spans="1:8" hidden="1" x14ac:dyDescent="0.25">
      <c r="A972">
        <v>15661133</v>
      </c>
      <c r="B972" s="19" t="s">
        <v>12</v>
      </c>
      <c r="C972" s="19" t="s">
        <v>26</v>
      </c>
      <c r="D972" s="19" t="s">
        <v>238</v>
      </c>
      <c r="E972" s="19" t="s">
        <v>437</v>
      </c>
      <c r="F972" s="19" t="s">
        <v>400</v>
      </c>
      <c r="G972" s="19" t="s">
        <v>557</v>
      </c>
      <c r="H972" s="19" t="s">
        <v>0</v>
      </c>
    </row>
    <row r="973" spans="1:8" hidden="1" x14ac:dyDescent="0.25">
      <c r="A973">
        <v>15661116</v>
      </c>
      <c r="B973" s="19" t="s">
        <v>12</v>
      </c>
      <c r="C973" s="19" t="s">
        <v>26</v>
      </c>
      <c r="D973" s="19" t="s">
        <v>121</v>
      </c>
      <c r="E973" s="19" t="s">
        <v>437</v>
      </c>
      <c r="F973" s="19" t="s">
        <v>400</v>
      </c>
      <c r="G973" s="19" t="s">
        <v>557</v>
      </c>
      <c r="H973" s="19" t="s">
        <v>0</v>
      </c>
    </row>
    <row r="974" spans="1:8" hidden="1" x14ac:dyDescent="0.25">
      <c r="A974">
        <v>15661098</v>
      </c>
      <c r="B974" s="19" t="s">
        <v>12</v>
      </c>
      <c r="C974" s="19" t="s">
        <v>26</v>
      </c>
      <c r="D974" s="19" t="s">
        <v>122</v>
      </c>
      <c r="E974" s="19" t="s">
        <v>437</v>
      </c>
      <c r="F974" s="19" t="s">
        <v>400</v>
      </c>
      <c r="G974" s="19" t="s">
        <v>557</v>
      </c>
      <c r="H974" s="19" t="s">
        <v>0</v>
      </c>
    </row>
    <row r="975" spans="1:8" hidden="1" x14ac:dyDescent="0.25">
      <c r="A975">
        <v>15661093</v>
      </c>
      <c r="B975" s="19" t="s">
        <v>12</v>
      </c>
      <c r="C975" s="19" t="s">
        <v>26</v>
      </c>
      <c r="D975" s="19" t="s">
        <v>64</v>
      </c>
      <c r="E975" s="19" t="s">
        <v>437</v>
      </c>
      <c r="F975" s="19" t="s">
        <v>400</v>
      </c>
      <c r="G975" s="19" t="s">
        <v>557</v>
      </c>
      <c r="H975" s="19" t="s">
        <v>0</v>
      </c>
    </row>
    <row r="976" spans="1:8" hidden="1" x14ac:dyDescent="0.25">
      <c r="A976">
        <v>15661083</v>
      </c>
      <c r="B976" s="19" t="s">
        <v>12</v>
      </c>
      <c r="C976" s="19" t="s">
        <v>26</v>
      </c>
      <c r="D976" s="19" t="s">
        <v>119</v>
      </c>
      <c r="E976" s="19" t="s">
        <v>437</v>
      </c>
      <c r="F976" s="19" t="s">
        <v>400</v>
      </c>
      <c r="G976" s="19" t="s">
        <v>557</v>
      </c>
      <c r="H976" s="19" t="s">
        <v>0</v>
      </c>
    </row>
    <row r="977" spans="1:8" hidden="1" x14ac:dyDescent="0.25">
      <c r="A977">
        <v>15661069</v>
      </c>
      <c r="B977" s="19" t="s">
        <v>12</v>
      </c>
      <c r="C977" s="19" t="s">
        <v>26</v>
      </c>
      <c r="D977" s="19" t="s">
        <v>121</v>
      </c>
      <c r="E977" s="19" t="s">
        <v>437</v>
      </c>
      <c r="F977" s="19" t="s">
        <v>400</v>
      </c>
      <c r="G977" s="19" t="s">
        <v>557</v>
      </c>
      <c r="H977" s="19" t="s">
        <v>0</v>
      </c>
    </row>
    <row r="978" spans="1:8" hidden="1" x14ac:dyDescent="0.25">
      <c r="A978">
        <v>15661063</v>
      </c>
      <c r="B978" s="19" t="s">
        <v>12</v>
      </c>
      <c r="C978" s="19" t="s">
        <v>26</v>
      </c>
      <c r="D978" s="19" t="s">
        <v>64</v>
      </c>
      <c r="E978" s="19" t="s">
        <v>437</v>
      </c>
      <c r="F978" s="19" t="s">
        <v>400</v>
      </c>
      <c r="G978" s="19" t="s">
        <v>557</v>
      </c>
      <c r="H978" s="19" t="s">
        <v>0</v>
      </c>
    </row>
    <row r="979" spans="1:8" hidden="1" x14ac:dyDescent="0.25">
      <c r="A979">
        <v>15661060</v>
      </c>
      <c r="B979" s="19" t="s">
        <v>12</v>
      </c>
      <c r="C979" s="19" t="s">
        <v>26</v>
      </c>
      <c r="D979" s="19" t="s">
        <v>119</v>
      </c>
      <c r="E979" s="19" t="s">
        <v>437</v>
      </c>
      <c r="F979" s="19" t="s">
        <v>400</v>
      </c>
      <c r="G979" s="19" t="s">
        <v>557</v>
      </c>
      <c r="H979" s="19" t="s">
        <v>0</v>
      </c>
    </row>
    <row r="980" spans="1:8" hidden="1" x14ac:dyDescent="0.25">
      <c r="A980">
        <v>15661059</v>
      </c>
      <c r="B980" s="19" t="s">
        <v>12</v>
      </c>
      <c r="C980" s="19" t="s">
        <v>26</v>
      </c>
      <c r="D980" s="19" t="s">
        <v>237</v>
      </c>
      <c r="E980" s="19" t="s">
        <v>437</v>
      </c>
      <c r="F980" s="19" t="s">
        <v>400</v>
      </c>
      <c r="G980" s="19" t="s">
        <v>557</v>
      </c>
      <c r="H980" s="19" t="s">
        <v>0</v>
      </c>
    </row>
    <row r="981" spans="1:8" hidden="1" x14ac:dyDescent="0.25">
      <c r="A981">
        <v>15661014</v>
      </c>
      <c r="B981" s="19" t="s">
        <v>18</v>
      </c>
      <c r="C981" s="19" t="s">
        <v>26</v>
      </c>
      <c r="D981" s="19" t="s">
        <v>168</v>
      </c>
      <c r="E981" s="19" t="s">
        <v>567</v>
      </c>
      <c r="F981" s="19" t="s">
        <v>400</v>
      </c>
      <c r="G981" s="19" t="s">
        <v>557</v>
      </c>
      <c r="H981" s="19" t="s">
        <v>0</v>
      </c>
    </row>
    <row r="982" spans="1:8" hidden="1" x14ac:dyDescent="0.25">
      <c r="A982">
        <v>15660998</v>
      </c>
      <c r="B982" s="19" t="s">
        <v>12</v>
      </c>
      <c r="C982" s="19" t="s">
        <v>26</v>
      </c>
      <c r="D982" s="19" t="s">
        <v>237</v>
      </c>
      <c r="E982" s="19" t="s">
        <v>567</v>
      </c>
      <c r="F982" s="19" t="s">
        <v>400</v>
      </c>
      <c r="G982" s="19" t="s">
        <v>557</v>
      </c>
      <c r="H982" s="19" t="s">
        <v>0</v>
      </c>
    </row>
    <row r="983" spans="1:8" hidden="1" x14ac:dyDescent="0.25">
      <c r="A983">
        <v>15660995</v>
      </c>
      <c r="B983" s="19" t="s">
        <v>12</v>
      </c>
      <c r="C983" s="19" t="s">
        <v>26</v>
      </c>
      <c r="D983" s="19" t="s">
        <v>237</v>
      </c>
      <c r="E983" s="19" t="s">
        <v>567</v>
      </c>
      <c r="F983" s="19" t="s">
        <v>400</v>
      </c>
      <c r="G983" s="19" t="s">
        <v>557</v>
      </c>
      <c r="H983" s="19" t="s">
        <v>0</v>
      </c>
    </row>
    <row r="984" spans="1:8" hidden="1" x14ac:dyDescent="0.25">
      <c r="A984">
        <v>15660983</v>
      </c>
      <c r="B984" s="19" t="s">
        <v>12</v>
      </c>
      <c r="C984" s="19" t="s">
        <v>26</v>
      </c>
      <c r="D984" s="19" t="s">
        <v>239</v>
      </c>
      <c r="E984" s="19" t="s">
        <v>437</v>
      </c>
      <c r="F984" s="19" t="s">
        <v>400</v>
      </c>
      <c r="G984" s="19" t="s">
        <v>557</v>
      </c>
      <c r="H984" s="19" t="s">
        <v>0</v>
      </c>
    </row>
    <row r="985" spans="1:8" hidden="1" x14ac:dyDescent="0.25">
      <c r="A985">
        <v>15660977</v>
      </c>
      <c r="B985" s="19" t="s">
        <v>12</v>
      </c>
      <c r="C985" s="19" t="s">
        <v>26</v>
      </c>
      <c r="D985" s="19" t="s">
        <v>64</v>
      </c>
      <c r="E985" s="19" t="s">
        <v>437</v>
      </c>
      <c r="F985" s="19" t="s">
        <v>400</v>
      </c>
      <c r="G985" s="19" t="s">
        <v>557</v>
      </c>
      <c r="H985" s="19" t="s">
        <v>0</v>
      </c>
    </row>
    <row r="986" spans="1:8" hidden="1" x14ac:dyDescent="0.25">
      <c r="A986">
        <v>15660962</v>
      </c>
      <c r="B986" s="19" t="s">
        <v>12</v>
      </c>
      <c r="C986" s="19" t="s">
        <v>26</v>
      </c>
      <c r="D986" s="19" t="s">
        <v>237</v>
      </c>
      <c r="E986" s="19" t="s">
        <v>437</v>
      </c>
      <c r="F986" s="19" t="s">
        <v>400</v>
      </c>
      <c r="G986" s="19" t="s">
        <v>557</v>
      </c>
      <c r="H986" s="19" t="s">
        <v>0</v>
      </c>
    </row>
    <row r="987" spans="1:8" hidden="1" x14ac:dyDescent="0.25">
      <c r="A987">
        <v>15660960</v>
      </c>
      <c r="B987" s="19" t="s">
        <v>12</v>
      </c>
      <c r="C987" s="19" t="s">
        <v>26</v>
      </c>
      <c r="D987" s="19" t="s">
        <v>237</v>
      </c>
      <c r="E987" s="19" t="s">
        <v>437</v>
      </c>
      <c r="F987" s="19" t="s">
        <v>400</v>
      </c>
      <c r="G987" s="19" t="s">
        <v>557</v>
      </c>
      <c r="H987" s="19" t="s">
        <v>0</v>
      </c>
    </row>
    <row r="988" spans="1:8" hidden="1" x14ac:dyDescent="0.25">
      <c r="A988">
        <v>15660954</v>
      </c>
      <c r="B988" s="19" t="s">
        <v>12</v>
      </c>
      <c r="C988" s="19" t="s">
        <v>26</v>
      </c>
      <c r="D988" s="19" t="s">
        <v>168</v>
      </c>
      <c r="E988" s="19" t="s">
        <v>437</v>
      </c>
      <c r="F988" s="19" t="s">
        <v>400</v>
      </c>
      <c r="G988" s="19" t="s">
        <v>557</v>
      </c>
      <c r="H988" s="19" t="s">
        <v>0</v>
      </c>
    </row>
    <row r="989" spans="1:8" hidden="1" x14ac:dyDescent="0.25">
      <c r="A989">
        <v>15660953</v>
      </c>
      <c r="B989" s="19" t="s">
        <v>12</v>
      </c>
      <c r="C989" s="19" t="s">
        <v>26</v>
      </c>
      <c r="D989" s="19" t="s">
        <v>168</v>
      </c>
      <c r="E989" s="19" t="s">
        <v>437</v>
      </c>
      <c r="F989" s="19" t="s">
        <v>400</v>
      </c>
      <c r="G989" s="19" t="s">
        <v>557</v>
      </c>
      <c r="H989" s="19" t="s">
        <v>0</v>
      </c>
    </row>
    <row r="990" spans="1:8" hidden="1" x14ac:dyDescent="0.25">
      <c r="A990">
        <v>15660948</v>
      </c>
      <c r="B990" s="19" t="s">
        <v>12</v>
      </c>
      <c r="C990" s="19" t="s">
        <v>26</v>
      </c>
      <c r="D990" s="19" t="s">
        <v>64</v>
      </c>
      <c r="E990" s="19" t="s">
        <v>437</v>
      </c>
      <c r="F990" s="19" t="s">
        <v>400</v>
      </c>
      <c r="G990" s="19" t="s">
        <v>557</v>
      </c>
      <c r="H990" s="19" t="s">
        <v>0</v>
      </c>
    </row>
    <row r="991" spans="1:8" hidden="1" x14ac:dyDescent="0.25">
      <c r="A991">
        <v>15660945</v>
      </c>
      <c r="B991" s="19" t="s">
        <v>12</v>
      </c>
      <c r="C991" s="19" t="s">
        <v>26</v>
      </c>
      <c r="D991" s="19" t="s">
        <v>237</v>
      </c>
      <c r="E991" s="19" t="s">
        <v>437</v>
      </c>
      <c r="F991" s="19" t="s">
        <v>400</v>
      </c>
      <c r="G991" s="19" t="s">
        <v>557</v>
      </c>
      <c r="H991" s="19" t="s">
        <v>0</v>
      </c>
    </row>
    <row r="992" spans="1:8" hidden="1" x14ac:dyDescent="0.25">
      <c r="A992">
        <v>14718288</v>
      </c>
      <c r="B992" s="19" t="s">
        <v>12</v>
      </c>
      <c r="C992" s="19" t="s">
        <v>33</v>
      </c>
      <c r="D992" s="19" t="s">
        <v>240</v>
      </c>
      <c r="E992" s="19" t="s">
        <v>437</v>
      </c>
      <c r="F992" s="19" t="s">
        <v>401</v>
      </c>
      <c r="G992" s="19" t="s">
        <v>557</v>
      </c>
      <c r="H992" s="19" t="s">
        <v>0</v>
      </c>
    </row>
    <row r="993" spans="1:8" hidden="1" x14ac:dyDescent="0.25">
      <c r="A993">
        <v>14718287</v>
      </c>
      <c r="B993" s="19" t="s">
        <v>12</v>
      </c>
      <c r="C993" s="19" t="s">
        <v>38</v>
      </c>
      <c r="D993" s="19" t="s">
        <v>241</v>
      </c>
      <c r="E993" s="19" t="s">
        <v>443</v>
      </c>
      <c r="F993" s="19" t="s">
        <v>401</v>
      </c>
      <c r="G993" s="19" t="s">
        <v>557</v>
      </c>
      <c r="H993" s="19" t="s">
        <v>0</v>
      </c>
    </row>
    <row r="994" spans="1:8" hidden="1" x14ac:dyDescent="0.25">
      <c r="A994">
        <v>14718282</v>
      </c>
      <c r="B994" s="19" t="s">
        <v>12</v>
      </c>
      <c r="C994" s="19" t="s">
        <v>38</v>
      </c>
      <c r="D994" s="19" t="s">
        <v>105</v>
      </c>
      <c r="E994" s="19" t="s">
        <v>437</v>
      </c>
      <c r="F994" s="19" t="s">
        <v>401</v>
      </c>
      <c r="G994" s="19" t="s">
        <v>557</v>
      </c>
      <c r="H994" s="19" t="s">
        <v>0</v>
      </c>
    </row>
    <row r="995" spans="1:8" hidden="1" x14ac:dyDescent="0.25">
      <c r="A995">
        <v>14718267</v>
      </c>
      <c r="B995" s="19" t="s">
        <v>12</v>
      </c>
      <c r="C995" s="19" t="s">
        <v>26</v>
      </c>
      <c r="D995" s="19" t="s">
        <v>211</v>
      </c>
      <c r="E995" s="19" t="s">
        <v>437</v>
      </c>
      <c r="F995" s="19" t="s">
        <v>400</v>
      </c>
      <c r="G995" s="19" t="s">
        <v>557</v>
      </c>
      <c r="H995" s="19" t="s">
        <v>0</v>
      </c>
    </row>
    <row r="996" spans="1:8" hidden="1" x14ac:dyDescent="0.25">
      <c r="A996">
        <v>14718249</v>
      </c>
      <c r="B996" s="19" t="s">
        <v>12</v>
      </c>
      <c r="C996" s="19" t="s">
        <v>26</v>
      </c>
      <c r="D996" s="19" t="s">
        <v>228</v>
      </c>
      <c r="E996" s="19" t="s">
        <v>443</v>
      </c>
      <c r="F996" s="19" t="s">
        <v>400</v>
      </c>
      <c r="G996" s="19" t="s">
        <v>557</v>
      </c>
      <c r="H996" s="19" t="s">
        <v>0</v>
      </c>
    </row>
    <row r="997" spans="1:8" hidden="1" x14ac:dyDescent="0.25">
      <c r="A997">
        <v>14718242</v>
      </c>
      <c r="B997" s="19" t="s">
        <v>12</v>
      </c>
      <c r="C997" s="19" t="s">
        <v>26</v>
      </c>
      <c r="D997" s="19" t="s">
        <v>243</v>
      </c>
      <c r="E997" s="19" t="s">
        <v>443</v>
      </c>
      <c r="F997" s="19" t="s">
        <v>400</v>
      </c>
      <c r="G997" s="19" t="s">
        <v>557</v>
      </c>
      <c r="H997" s="19" t="s">
        <v>0</v>
      </c>
    </row>
    <row r="998" spans="1:8" hidden="1" x14ac:dyDescent="0.25">
      <c r="A998">
        <v>14718231</v>
      </c>
      <c r="B998" s="19" t="s">
        <v>18</v>
      </c>
      <c r="C998" s="19" t="s">
        <v>26</v>
      </c>
      <c r="D998" s="19" t="s">
        <v>324</v>
      </c>
      <c r="E998" s="19" t="s">
        <v>443</v>
      </c>
      <c r="F998" s="19" t="s">
        <v>400</v>
      </c>
      <c r="G998" s="19" t="s">
        <v>557</v>
      </c>
      <c r="H998" s="19" t="s">
        <v>0</v>
      </c>
    </row>
    <row r="999" spans="1:8" hidden="1" x14ac:dyDescent="0.25">
      <c r="A999">
        <v>14718228</v>
      </c>
      <c r="B999" s="19" t="s">
        <v>12</v>
      </c>
      <c r="C999" s="19" t="s">
        <v>26</v>
      </c>
      <c r="D999" s="19" t="s">
        <v>244</v>
      </c>
      <c r="E999" s="19" t="s">
        <v>443</v>
      </c>
      <c r="F999" s="19" t="s">
        <v>400</v>
      </c>
      <c r="G999" s="19" t="s">
        <v>557</v>
      </c>
      <c r="H999" s="19" t="s">
        <v>0</v>
      </c>
    </row>
    <row r="1000" spans="1:8" hidden="1" x14ac:dyDescent="0.25">
      <c r="A1000">
        <v>14718204</v>
      </c>
      <c r="B1000" s="19" t="s">
        <v>12</v>
      </c>
      <c r="C1000" s="19" t="s">
        <v>26</v>
      </c>
      <c r="D1000" s="19" t="s">
        <v>247</v>
      </c>
      <c r="E1000" s="19" t="s">
        <v>443</v>
      </c>
      <c r="F1000" s="19" t="s">
        <v>400</v>
      </c>
      <c r="G1000" s="19" t="s">
        <v>557</v>
      </c>
      <c r="H1000" s="19" t="s">
        <v>0</v>
      </c>
    </row>
    <row r="1001" spans="1:8" hidden="1" x14ac:dyDescent="0.25">
      <c r="A1001">
        <v>14718201</v>
      </c>
      <c r="B1001" s="19" t="s">
        <v>18</v>
      </c>
      <c r="C1001" s="19" t="s">
        <v>26</v>
      </c>
      <c r="D1001" s="19" t="s">
        <v>64</v>
      </c>
      <c r="E1001" s="19" t="s">
        <v>443</v>
      </c>
      <c r="F1001" s="19" t="s">
        <v>400</v>
      </c>
      <c r="G1001" s="19" t="s">
        <v>557</v>
      </c>
      <c r="H1001" s="19" t="s">
        <v>0</v>
      </c>
    </row>
    <row r="1002" spans="1:8" hidden="1" x14ac:dyDescent="0.25">
      <c r="A1002">
        <v>14718190</v>
      </c>
      <c r="B1002" s="19" t="s">
        <v>12</v>
      </c>
      <c r="C1002" s="19" t="s">
        <v>26</v>
      </c>
      <c r="D1002" s="19" t="s">
        <v>249</v>
      </c>
      <c r="E1002" s="19" t="s">
        <v>443</v>
      </c>
      <c r="F1002" s="19" t="s">
        <v>400</v>
      </c>
      <c r="G1002" s="19" t="s">
        <v>557</v>
      </c>
      <c r="H1002" s="19" t="s">
        <v>0</v>
      </c>
    </row>
    <row r="1003" spans="1:8" hidden="1" x14ac:dyDescent="0.25">
      <c r="A1003">
        <v>14718186</v>
      </c>
      <c r="B1003" s="19" t="s">
        <v>12</v>
      </c>
      <c r="C1003" s="19" t="s">
        <v>26</v>
      </c>
      <c r="D1003" s="19" t="s">
        <v>250</v>
      </c>
      <c r="E1003" s="19" t="s">
        <v>443</v>
      </c>
      <c r="F1003" s="19" t="s">
        <v>400</v>
      </c>
      <c r="G1003" s="19" t="s">
        <v>557</v>
      </c>
      <c r="H1003" s="19" t="s">
        <v>0</v>
      </c>
    </row>
    <row r="1004" spans="1:8" hidden="1" x14ac:dyDescent="0.25">
      <c r="A1004">
        <v>14718142</v>
      </c>
      <c r="B1004" s="19" t="s">
        <v>12</v>
      </c>
      <c r="C1004" s="19" t="s">
        <v>33</v>
      </c>
      <c r="D1004" s="19" t="s">
        <v>118</v>
      </c>
      <c r="E1004" s="19" t="s">
        <v>437</v>
      </c>
      <c r="F1004" s="19" t="s">
        <v>401</v>
      </c>
      <c r="G1004" s="19" t="s">
        <v>557</v>
      </c>
      <c r="H1004" s="19" t="s">
        <v>0</v>
      </c>
    </row>
    <row r="1005" spans="1:8" hidden="1" x14ac:dyDescent="0.25">
      <c r="A1005">
        <v>14718092</v>
      </c>
      <c r="B1005" s="19" t="s">
        <v>12</v>
      </c>
      <c r="C1005" s="19" t="s">
        <v>26</v>
      </c>
      <c r="D1005" s="19" t="s">
        <v>41</v>
      </c>
      <c r="E1005" s="19" t="s">
        <v>445</v>
      </c>
      <c r="F1005" s="19" t="s">
        <v>400</v>
      </c>
      <c r="G1005" s="19" t="s">
        <v>557</v>
      </c>
      <c r="H1005" s="19" t="s">
        <v>0</v>
      </c>
    </row>
    <row r="1006" spans="1:8" hidden="1" x14ac:dyDescent="0.25">
      <c r="A1006">
        <v>14718083</v>
      </c>
      <c r="B1006" s="19" t="s">
        <v>12</v>
      </c>
      <c r="C1006" s="19" t="s">
        <v>26</v>
      </c>
      <c r="D1006" s="19" t="s">
        <v>41</v>
      </c>
      <c r="E1006" s="19" t="s">
        <v>445</v>
      </c>
      <c r="F1006" s="19" t="s">
        <v>400</v>
      </c>
      <c r="G1006" s="19" t="s">
        <v>557</v>
      </c>
      <c r="H1006" s="19" t="s">
        <v>0</v>
      </c>
    </row>
    <row r="1007" spans="1:8" hidden="1" x14ac:dyDescent="0.25">
      <c r="A1007">
        <v>14718076</v>
      </c>
      <c r="B1007" s="19" t="s">
        <v>12</v>
      </c>
      <c r="C1007" s="19" t="s">
        <v>26</v>
      </c>
      <c r="D1007" s="19" t="s">
        <v>41</v>
      </c>
      <c r="E1007" s="19" t="s">
        <v>445</v>
      </c>
      <c r="F1007" s="19" t="s">
        <v>400</v>
      </c>
      <c r="G1007" s="19" t="s">
        <v>557</v>
      </c>
      <c r="H1007" s="19" t="s">
        <v>0</v>
      </c>
    </row>
    <row r="1008" spans="1:8" hidden="1" x14ac:dyDescent="0.25">
      <c r="A1008">
        <v>14718071</v>
      </c>
      <c r="B1008" s="19" t="s">
        <v>12</v>
      </c>
      <c r="C1008" s="19" t="s">
        <v>26</v>
      </c>
      <c r="D1008" s="19" t="s">
        <v>41</v>
      </c>
      <c r="E1008" s="19" t="s">
        <v>445</v>
      </c>
      <c r="F1008" s="19" t="s">
        <v>400</v>
      </c>
      <c r="G1008" s="19" t="s">
        <v>557</v>
      </c>
      <c r="H1008" s="19" t="s">
        <v>0</v>
      </c>
    </row>
    <row r="1009" spans="1:8" hidden="1" x14ac:dyDescent="0.25">
      <c r="A1009">
        <v>14718030</v>
      </c>
      <c r="B1009" s="19" t="s">
        <v>12</v>
      </c>
      <c r="C1009" s="19" t="s">
        <v>26</v>
      </c>
      <c r="D1009" s="19" t="s">
        <v>41</v>
      </c>
      <c r="E1009" s="19" t="s">
        <v>558</v>
      </c>
      <c r="F1009" s="19" t="s">
        <v>400</v>
      </c>
      <c r="G1009" s="19" t="s">
        <v>557</v>
      </c>
      <c r="H1009" s="19" t="s">
        <v>0</v>
      </c>
    </row>
    <row r="1010" spans="1:8" hidden="1" x14ac:dyDescent="0.25">
      <c r="A1010">
        <v>14718000</v>
      </c>
      <c r="B1010" s="19" t="s">
        <v>12</v>
      </c>
      <c r="C1010" s="19" t="s">
        <v>26</v>
      </c>
      <c r="D1010" s="19" t="s">
        <v>41</v>
      </c>
      <c r="E1010" s="19" t="s">
        <v>558</v>
      </c>
      <c r="F1010" s="19" t="s">
        <v>400</v>
      </c>
      <c r="G1010" s="19" t="s">
        <v>557</v>
      </c>
      <c r="H1010" s="19" t="s">
        <v>0</v>
      </c>
    </row>
    <row r="1011" spans="1:8" hidden="1" x14ac:dyDescent="0.25">
      <c r="A1011">
        <v>14717951</v>
      </c>
      <c r="B1011" s="19" t="s">
        <v>18</v>
      </c>
      <c r="C1011" s="19" t="s">
        <v>26</v>
      </c>
      <c r="D1011" s="19" t="s">
        <v>41</v>
      </c>
      <c r="E1011" s="19" t="s">
        <v>558</v>
      </c>
      <c r="F1011" s="19" t="s">
        <v>400</v>
      </c>
      <c r="G1011" s="19" t="s">
        <v>557</v>
      </c>
      <c r="H1011" s="19" t="s">
        <v>0</v>
      </c>
    </row>
    <row r="1012" spans="1:8" hidden="1" x14ac:dyDescent="0.25">
      <c r="A1012">
        <v>14717949</v>
      </c>
      <c r="B1012" s="19" t="s">
        <v>18</v>
      </c>
      <c r="C1012" s="19" t="s">
        <v>26</v>
      </c>
      <c r="D1012" s="19" t="s">
        <v>41</v>
      </c>
      <c r="E1012" s="19" t="s">
        <v>558</v>
      </c>
      <c r="F1012" s="19" t="s">
        <v>400</v>
      </c>
      <c r="G1012" s="19" t="s">
        <v>557</v>
      </c>
      <c r="H1012" s="19" t="s">
        <v>0</v>
      </c>
    </row>
    <row r="1013" spans="1:8" hidden="1" x14ac:dyDescent="0.25">
      <c r="A1013">
        <v>14717863</v>
      </c>
      <c r="B1013" s="19" t="s">
        <v>18</v>
      </c>
      <c r="C1013" s="19" t="s">
        <v>33</v>
      </c>
      <c r="D1013" s="19" t="s">
        <v>41</v>
      </c>
      <c r="E1013" s="19" t="s">
        <v>567</v>
      </c>
      <c r="F1013" s="19" t="s">
        <v>401</v>
      </c>
      <c r="G1013" s="19" t="s">
        <v>557</v>
      </c>
      <c r="H1013" s="19" t="s">
        <v>0</v>
      </c>
    </row>
    <row r="1014" spans="1:8" hidden="1" x14ac:dyDescent="0.25">
      <c r="A1014">
        <v>14717816</v>
      </c>
      <c r="B1014" s="19" t="s">
        <v>12</v>
      </c>
      <c r="C1014" s="19" t="s">
        <v>26</v>
      </c>
      <c r="D1014" s="19" t="s">
        <v>41</v>
      </c>
      <c r="E1014" s="19" t="s">
        <v>443</v>
      </c>
      <c r="F1014" s="19" t="s">
        <v>400</v>
      </c>
      <c r="G1014" s="19" t="s">
        <v>557</v>
      </c>
      <c r="H1014" s="19" t="s">
        <v>0</v>
      </c>
    </row>
    <row r="1015" spans="1:8" hidden="1" x14ac:dyDescent="0.25">
      <c r="A1015">
        <v>14717745</v>
      </c>
      <c r="B1015" s="19" t="s">
        <v>12</v>
      </c>
      <c r="C1015" s="19" t="s">
        <v>26</v>
      </c>
      <c r="D1015" s="19" t="s">
        <v>41</v>
      </c>
      <c r="E1015" s="19" t="s">
        <v>443</v>
      </c>
      <c r="F1015" s="19" t="s">
        <v>400</v>
      </c>
      <c r="G1015" s="19" t="s">
        <v>557</v>
      </c>
      <c r="H1015" s="19" t="s">
        <v>0</v>
      </c>
    </row>
    <row r="1016" spans="1:8" hidden="1" x14ac:dyDescent="0.25">
      <c r="A1016">
        <v>14717738</v>
      </c>
      <c r="B1016" s="19" t="s">
        <v>18</v>
      </c>
      <c r="C1016" s="19" t="s">
        <v>26</v>
      </c>
      <c r="D1016" s="19" t="s">
        <v>41</v>
      </c>
      <c r="E1016" s="19" t="s">
        <v>443</v>
      </c>
      <c r="F1016" s="19" t="s">
        <v>400</v>
      </c>
      <c r="G1016" s="19" t="s">
        <v>557</v>
      </c>
      <c r="H1016" s="19" t="s">
        <v>0</v>
      </c>
    </row>
    <row r="1017" spans="1:8" hidden="1" x14ac:dyDescent="0.25">
      <c r="A1017">
        <v>14717734</v>
      </c>
      <c r="B1017" s="19" t="s">
        <v>12</v>
      </c>
      <c r="C1017" s="19" t="s">
        <v>26</v>
      </c>
      <c r="D1017" s="19" t="s">
        <v>41</v>
      </c>
      <c r="E1017" s="19" t="s">
        <v>437</v>
      </c>
      <c r="F1017" s="19" t="s">
        <v>400</v>
      </c>
      <c r="G1017" s="19" t="s">
        <v>557</v>
      </c>
      <c r="H1017" s="19" t="s">
        <v>0</v>
      </c>
    </row>
    <row r="1018" spans="1:8" hidden="1" x14ac:dyDescent="0.25">
      <c r="A1018">
        <v>14717733</v>
      </c>
      <c r="B1018" s="19" t="s">
        <v>18</v>
      </c>
      <c r="C1018" s="19" t="s">
        <v>26</v>
      </c>
      <c r="D1018" s="19" t="s">
        <v>41</v>
      </c>
      <c r="E1018" s="19" t="s">
        <v>437</v>
      </c>
      <c r="F1018" s="19" t="s">
        <v>400</v>
      </c>
      <c r="G1018" s="19" t="s">
        <v>557</v>
      </c>
      <c r="H1018" s="19" t="s">
        <v>0</v>
      </c>
    </row>
    <row r="1019" spans="1:8" hidden="1" x14ac:dyDescent="0.25">
      <c r="A1019">
        <v>14717718</v>
      </c>
      <c r="B1019" s="19" t="s">
        <v>18</v>
      </c>
      <c r="C1019" s="19" t="s">
        <v>26</v>
      </c>
      <c r="D1019" s="19" t="s">
        <v>41</v>
      </c>
      <c r="E1019" s="19" t="s">
        <v>437</v>
      </c>
      <c r="F1019" s="19" t="s">
        <v>400</v>
      </c>
      <c r="G1019" s="19" t="s">
        <v>557</v>
      </c>
      <c r="H1019" s="19" t="s">
        <v>0</v>
      </c>
    </row>
    <row r="1020" spans="1:8" hidden="1" x14ac:dyDescent="0.25">
      <c r="A1020">
        <v>12602396</v>
      </c>
      <c r="B1020" s="19" t="s">
        <v>12</v>
      </c>
      <c r="C1020" s="19" t="s">
        <v>33</v>
      </c>
      <c r="D1020" s="19" t="s">
        <v>41</v>
      </c>
      <c r="E1020" s="19" t="s">
        <v>437</v>
      </c>
      <c r="F1020" s="19" t="s">
        <v>401</v>
      </c>
      <c r="G1020" s="19" t="s">
        <v>557</v>
      </c>
      <c r="H1020" s="19" t="s">
        <v>0</v>
      </c>
    </row>
    <row r="1021" spans="1:8" hidden="1" x14ac:dyDescent="0.25">
      <c r="A1021">
        <v>12602387</v>
      </c>
      <c r="B1021" s="19" t="s">
        <v>12</v>
      </c>
      <c r="C1021" s="19" t="s">
        <v>26</v>
      </c>
      <c r="D1021" s="19" t="s">
        <v>41</v>
      </c>
      <c r="E1021" s="19" t="s">
        <v>437</v>
      </c>
      <c r="F1021" s="19" t="s">
        <v>400</v>
      </c>
      <c r="G1021" s="19" t="s">
        <v>557</v>
      </c>
      <c r="H1021" s="19" t="s">
        <v>0</v>
      </c>
    </row>
    <row r="1022" spans="1:8" hidden="1" x14ac:dyDescent="0.25">
      <c r="A1022">
        <v>12602368</v>
      </c>
      <c r="B1022" s="19" t="s">
        <v>12</v>
      </c>
      <c r="C1022" s="19" t="s">
        <v>26</v>
      </c>
      <c r="D1022" s="19" t="s">
        <v>41</v>
      </c>
      <c r="E1022" s="19" t="s">
        <v>437</v>
      </c>
      <c r="F1022" s="19" t="s">
        <v>400</v>
      </c>
      <c r="G1022" s="19" t="s">
        <v>557</v>
      </c>
      <c r="H1022" s="19" t="s">
        <v>0</v>
      </c>
    </row>
    <row r="1023" spans="1:8" hidden="1" x14ac:dyDescent="0.25">
      <c r="A1023">
        <v>12602357</v>
      </c>
      <c r="B1023" s="19" t="s">
        <v>12</v>
      </c>
      <c r="C1023" s="19" t="s">
        <v>33</v>
      </c>
      <c r="D1023" s="19" t="s">
        <v>41</v>
      </c>
      <c r="E1023" s="19" t="s">
        <v>437</v>
      </c>
      <c r="F1023" s="19" t="s">
        <v>401</v>
      </c>
      <c r="G1023" s="19" t="s">
        <v>557</v>
      </c>
      <c r="H1023" s="19" t="s">
        <v>0</v>
      </c>
    </row>
    <row r="1024" spans="1:8" hidden="1" x14ac:dyDescent="0.25">
      <c r="A1024">
        <v>12602352</v>
      </c>
      <c r="B1024" s="19" t="s">
        <v>12</v>
      </c>
      <c r="C1024" s="19" t="s">
        <v>33</v>
      </c>
      <c r="D1024" s="19" t="s">
        <v>41</v>
      </c>
      <c r="E1024" s="19" t="s">
        <v>437</v>
      </c>
      <c r="F1024" s="19" t="s">
        <v>401</v>
      </c>
      <c r="G1024" s="19" t="s">
        <v>557</v>
      </c>
      <c r="H1024" s="19" t="s">
        <v>0</v>
      </c>
    </row>
    <row r="1025" spans="1:8" hidden="1" x14ac:dyDescent="0.25">
      <c r="A1025">
        <v>12602351</v>
      </c>
      <c r="B1025" s="19" t="s">
        <v>12</v>
      </c>
      <c r="C1025" s="19" t="s">
        <v>26</v>
      </c>
      <c r="D1025" s="19" t="s">
        <v>41</v>
      </c>
      <c r="E1025" s="19" t="s">
        <v>437</v>
      </c>
      <c r="F1025" s="19" t="s">
        <v>400</v>
      </c>
      <c r="G1025" s="19" t="s">
        <v>557</v>
      </c>
      <c r="H1025" s="19" t="s">
        <v>0</v>
      </c>
    </row>
    <row r="1026" spans="1:8" hidden="1" x14ac:dyDescent="0.25">
      <c r="A1026">
        <v>12602350</v>
      </c>
      <c r="B1026" s="19" t="s">
        <v>12</v>
      </c>
      <c r="C1026" s="19" t="s">
        <v>26</v>
      </c>
      <c r="D1026" s="19" t="s">
        <v>41</v>
      </c>
      <c r="E1026" s="19" t="s">
        <v>437</v>
      </c>
      <c r="F1026" s="19" t="s">
        <v>400</v>
      </c>
      <c r="G1026" s="19" t="s">
        <v>557</v>
      </c>
      <c r="H1026" s="19" t="s">
        <v>0</v>
      </c>
    </row>
    <row r="1027" spans="1:8" hidden="1" x14ac:dyDescent="0.25">
      <c r="A1027">
        <v>12602266</v>
      </c>
      <c r="B1027" s="19" t="s">
        <v>109</v>
      </c>
      <c r="C1027" s="19" t="s">
        <v>33</v>
      </c>
      <c r="D1027" s="19" t="s">
        <v>252</v>
      </c>
      <c r="E1027" s="19" t="s">
        <v>437</v>
      </c>
      <c r="F1027" s="19" t="s">
        <v>401</v>
      </c>
      <c r="G1027" s="19" t="s">
        <v>557</v>
      </c>
      <c r="H1027" s="19" t="s">
        <v>0</v>
      </c>
    </row>
    <row r="1028" spans="1:8" hidden="1" x14ac:dyDescent="0.25">
      <c r="A1028">
        <v>12602264</v>
      </c>
      <c r="B1028" s="19" t="s">
        <v>12</v>
      </c>
      <c r="C1028" s="19" t="s">
        <v>33</v>
      </c>
      <c r="D1028" s="19" t="s">
        <v>253</v>
      </c>
      <c r="E1028" s="19" t="s">
        <v>437</v>
      </c>
      <c r="F1028" s="19" t="s">
        <v>401</v>
      </c>
      <c r="G1028" s="19" t="s">
        <v>557</v>
      </c>
      <c r="H1028" s="19" t="s">
        <v>0</v>
      </c>
    </row>
    <row r="1029" spans="1:8" hidden="1" x14ac:dyDescent="0.25">
      <c r="A1029">
        <v>12602256</v>
      </c>
      <c r="B1029" s="19" t="s">
        <v>12</v>
      </c>
      <c r="C1029" s="19" t="s">
        <v>33</v>
      </c>
      <c r="D1029" s="19" t="s">
        <v>70</v>
      </c>
      <c r="E1029" s="19" t="s">
        <v>437</v>
      </c>
      <c r="F1029" s="19" t="s">
        <v>401</v>
      </c>
      <c r="G1029" s="19" t="s">
        <v>557</v>
      </c>
      <c r="H1029" s="19" t="s">
        <v>0</v>
      </c>
    </row>
    <row r="1030" spans="1:8" hidden="1" x14ac:dyDescent="0.25">
      <c r="A1030">
        <v>12602237</v>
      </c>
      <c r="B1030" s="19" t="s">
        <v>12</v>
      </c>
      <c r="C1030" s="19" t="s">
        <v>26</v>
      </c>
      <c r="D1030" s="19" t="s">
        <v>54</v>
      </c>
      <c r="E1030" s="19" t="s">
        <v>446</v>
      </c>
      <c r="F1030" s="19" t="s">
        <v>400</v>
      </c>
      <c r="G1030" s="19" t="s">
        <v>557</v>
      </c>
      <c r="H1030" s="19" t="s">
        <v>0</v>
      </c>
    </row>
    <row r="1031" spans="1:8" hidden="1" x14ac:dyDescent="0.25">
      <c r="A1031">
        <v>12602233</v>
      </c>
      <c r="B1031" s="19" t="s">
        <v>12</v>
      </c>
      <c r="C1031" s="19" t="s">
        <v>33</v>
      </c>
      <c r="D1031" s="19" t="s">
        <v>70</v>
      </c>
      <c r="E1031" s="19" t="s">
        <v>445</v>
      </c>
      <c r="F1031" s="19" t="s">
        <v>401</v>
      </c>
      <c r="G1031" s="19" t="s">
        <v>557</v>
      </c>
      <c r="H1031" s="19" t="s">
        <v>0</v>
      </c>
    </row>
    <row r="1032" spans="1:8" hidden="1" x14ac:dyDescent="0.25">
      <c r="A1032">
        <v>12602210</v>
      </c>
      <c r="B1032" s="19" t="s">
        <v>12</v>
      </c>
      <c r="C1032" s="19" t="s">
        <v>33</v>
      </c>
      <c r="D1032" s="19" t="s">
        <v>70</v>
      </c>
      <c r="E1032" s="19" t="s">
        <v>445</v>
      </c>
      <c r="F1032" s="19" t="s">
        <v>401</v>
      </c>
      <c r="G1032" s="19" t="s">
        <v>557</v>
      </c>
      <c r="H1032" s="19" t="s">
        <v>0</v>
      </c>
    </row>
    <row r="1033" spans="1:8" hidden="1" x14ac:dyDescent="0.25">
      <c r="A1033">
        <v>12602203</v>
      </c>
      <c r="B1033" s="19" t="s">
        <v>12</v>
      </c>
      <c r="C1033" s="19" t="s">
        <v>26</v>
      </c>
      <c r="D1033" s="19" t="s">
        <v>134</v>
      </c>
      <c r="E1033" s="19" t="s">
        <v>445</v>
      </c>
      <c r="F1033" s="19" t="s">
        <v>400</v>
      </c>
      <c r="G1033" s="19" t="s">
        <v>557</v>
      </c>
      <c r="H1033" s="19" t="s">
        <v>0</v>
      </c>
    </row>
    <row r="1034" spans="1:8" hidden="1" x14ac:dyDescent="0.25">
      <c r="A1034">
        <v>12602190</v>
      </c>
      <c r="B1034" s="19" t="s">
        <v>12</v>
      </c>
      <c r="C1034" s="19" t="s">
        <v>26</v>
      </c>
      <c r="D1034" s="19" t="s">
        <v>69</v>
      </c>
      <c r="E1034" s="19" t="s">
        <v>445</v>
      </c>
      <c r="F1034" s="19" t="s">
        <v>400</v>
      </c>
      <c r="G1034" s="19" t="s">
        <v>557</v>
      </c>
      <c r="H1034" s="19" t="s">
        <v>0</v>
      </c>
    </row>
    <row r="1035" spans="1:8" hidden="1" x14ac:dyDescent="0.25">
      <c r="A1035">
        <v>12602181</v>
      </c>
      <c r="B1035" s="19" t="s">
        <v>12</v>
      </c>
      <c r="C1035" s="19" t="s">
        <v>26</v>
      </c>
      <c r="D1035" s="19" t="s">
        <v>69</v>
      </c>
      <c r="E1035" s="19" t="s">
        <v>445</v>
      </c>
      <c r="F1035" s="19" t="s">
        <v>400</v>
      </c>
      <c r="G1035" s="19" t="s">
        <v>557</v>
      </c>
      <c r="H1035" s="19" t="s">
        <v>0</v>
      </c>
    </row>
    <row r="1036" spans="1:8" hidden="1" x14ac:dyDescent="0.25">
      <c r="A1036">
        <v>12602174</v>
      </c>
      <c r="B1036" s="19" t="s">
        <v>79</v>
      </c>
      <c r="C1036" s="19" t="s">
        <v>26</v>
      </c>
      <c r="D1036" s="19" t="s">
        <v>254</v>
      </c>
      <c r="E1036" s="19" t="s">
        <v>445</v>
      </c>
      <c r="F1036" s="19" t="s">
        <v>400</v>
      </c>
      <c r="G1036" s="19" t="s">
        <v>557</v>
      </c>
      <c r="H1036" s="19" t="s">
        <v>0</v>
      </c>
    </row>
    <row r="1037" spans="1:8" hidden="1" x14ac:dyDescent="0.25">
      <c r="A1037">
        <v>12602172</v>
      </c>
      <c r="B1037" s="19" t="s">
        <v>12</v>
      </c>
      <c r="C1037" s="19" t="s">
        <v>26</v>
      </c>
      <c r="D1037" s="19" t="s">
        <v>134</v>
      </c>
      <c r="E1037" s="19" t="s">
        <v>445</v>
      </c>
      <c r="F1037" s="19" t="s">
        <v>400</v>
      </c>
      <c r="G1037" s="19" t="s">
        <v>557</v>
      </c>
      <c r="H1037" s="19" t="s">
        <v>0</v>
      </c>
    </row>
    <row r="1038" spans="1:8" hidden="1" x14ac:dyDescent="0.25">
      <c r="A1038">
        <v>12602144</v>
      </c>
      <c r="B1038" s="19" t="s">
        <v>109</v>
      </c>
      <c r="C1038" s="19" t="s">
        <v>26</v>
      </c>
      <c r="D1038" s="19" t="s">
        <v>42</v>
      </c>
      <c r="E1038" s="19" t="s">
        <v>567</v>
      </c>
      <c r="F1038" s="19" t="s">
        <v>400</v>
      </c>
      <c r="G1038" s="19" t="s">
        <v>557</v>
      </c>
      <c r="H1038" s="19" t="s">
        <v>0</v>
      </c>
    </row>
    <row r="1039" spans="1:8" hidden="1" x14ac:dyDescent="0.25">
      <c r="A1039">
        <v>12602061</v>
      </c>
      <c r="B1039" s="19" t="s">
        <v>12</v>
      </c>
      <c r="C1039" s="19" t="s">
        <v>26</v>
      </c>
      <c r="D1039" s="19" t="s">
        <v>70</v>
      </c>
      <c r="E1039" s="19" t="s">
        <v>558</v>
      </c>
      <c r="F1039" s="19" t="s">
        <v>400</v>
      </c>
      <c r="G1039" s="19" t="s">
        <v>557</v>
      </c>
      <c r="H1039" s="19" t="s">
        <v>0</v>
      </c>
    </row>
    <row r="1040" spans="1:8" hidden="1" x14ac:dyDescent="0.25">
      <c r="A1040">
        <v>12602046</v>
      </c>
      <c r="B1040" s="19" t="s">
        <v>12</v>
      </c>
      <c r="C1040" s="19" t="s">
        <v>26</v>
      </c>
      <c r="D1040" s="19" t="s">
        <v>70</v>
      </c>
      <c r="E1040" s="19" t="s">
        <v>558</v>
      </c>
      <c r="F1040" s="19" t="s">
        <v>400</v>
      </c>
      <c r="G1040" s="19" t="s">
        <v>557</v>
      </c>
      <c r="H1040" s="19" t="s">
        <v>0</v>
      </c>
    </row>
    <row r="1041" spans="1:8" hidden="1" x14ac:dyDescent="0.25">
      <c r="A1041">
        <v>12602038</v>
      </c>
      <c r="B1041" s="19" t="s">
        <v>109</v>
      </c>
      <c r="C1041" s="19" t="s">
        <v>26</v>
      </c>
      <c r="D1041" s="19" t="s">
        <v>70</v>
      </c>
      <c r="E1041" s="19" t="s">
        <v>558</v>
      </c>
      <c r="F1041" s="19" t="s">
        <v>400</v>
      </c>
      <c r="G1041" s="19" t="s">
        <v>557</v>
      </c>
      <c r="H1041" s="19" t="s">
        <v>0</v>
      </c>
    </row>
    <row r="1042" spans="1:8" hidden="1" x14ac:dyDescent="0.25">
      <c r="A1042">
        <v>12602020</v>
      </c>
      <c r="B1042" s="19" t="s">
        <v>18</v>
      </c>
      <c r="C1042" s="19" t="s">
        <v>26</v>
      </c>
      <c r="D1042" s="19" t="s">
        <v>70</v>
      </c>
      <c r="E1042" s="19" t="s">
        <v>558</v>
      </c>
      <c r="F1042" s="19" t="s">
        <v>400</v>
      </c>
      <c r="G1042" s="19" t="s">
        <v>557</v>
      </c>
      <c r="H1042" s="19" t="s">
        <v>0</v>
      </c>
    </row>
    <row r="1043" spans="1:8" hidden="1" x14ac:dyDescent="0.25">
      <c r="A1043">
        <v>12602008</v>
      </c>
      <c r="B1043" s="19" t="s">
        <v>12</v>
      </c>
      <c r="C1043" s="19" t="s">
        <v>26</v>
      </c>
      <c r="D1043" s="19" t="s">
        <v>70</v>
      </c>
      <c r="E1043" s="19" t="s">
        <v>558</v>
      </c>
      <c r="F1043" s="19" t="s">
        <v>400</v>
      </c>
      <c r="G1043" s="19" t="s">
        <v>557</v>
      </c>
      <c r="H1043" s="19" t="s">
        <v>0</v>
      </c>
    </row>
    <row r="1044" spans="1:8" hidden="1" x14ac:dyDescent="0.25">
      <c r="A1044">
        <v>11793315</v>
      </c>
      <c r="B1044" s="19" t="s">
        <v>12</v>
      </c>
      <c r="C1044" s="19" t="s">
        <v>26</v>
      </c>
      <c r="D1044" s="19" t="s">
        <v>134</v>
      </c>
      <c r="E1044" s="19" t="s">
        <v>443</v>
      </c>
      <c r="F1044" s="19" t="s">
        <v>400</v>
      </c>
      <c r="G1044" s="19" t="s">
        <v>557</v>
      </c>
      <c r="H1044" s="19" t="s">
        <v>0</v>
      </c>
    </row>
    <row r="1045" spans="1:8" hidden="1" x14ac:dyDescent="0.25">
      <c r="A1045">
        <v>11793314</v>
      </c>
      <c r="B1045" s="19" t="s">
        <v>12</v>
      </c>
      <c r="C1045" s="19" t="s">
        <v>33</v>
      </c>
      <c r="D1045" s="19" t="s">
        <v>134</v>
      </c>
      <c r="E1045" s="19" t="s">
        <v>443</v>
      </c>
      <c r="F1045" s="19" t="s">
        <v>401</v>
      </c>
      <c r="G1045" s="19" t="s">
        <v>557</v>
      </c>
      <c r="H1045" s="19" t="s">
        <v>0</v>
      </c>
    </row>
    <row r="1046" spans="1:8" hidden="1" x14ac:dyDescent="0.25">
      <c r="A1046">
        <v>11793309</v>
      </c>
      <c r="B1046" s="19" t="s">
        <v>18</v>
      </c>
      <c r="C1046" s="19" t="s">
        <v>26</v>
      </c>
      <c r="D1046" s="19" t="s">
        <v>36</v>
      </c>
      <c r="E1046" s="19" t="s">
        <v>443</v>
      </c>
      <c r="F1046" s="19" t="s">
        <v>400</v>
      </c>
      <c r="G1046" s="19" t="s">
        <v>557</v>
      </c>
      <c r="H1046" s="19" t="s">
        <v>0</v>
      </c>
    </row>
    <row r="1047" spans="1:8" hidden="1" x14ac:dyDescent="0.25">
      <c r="A1047">
        <v>11793298</v>
      </c>
      <c r="B1047" s="19" t="s">
        <v>12</v>
      </c>
      <c r="C1047" s="19" t="s">
        <v>26</v>
      </c>
      <c r="D1047" s="19" t="s">
        <v>134</v>
      </c>
      <c r="E1047" s="19" t="s">
        <v>443</v>
      </c>
      <c r="F1047" s="19" t="s">
        <v>400</v>
      </c>
      <c r="G1047" s="19" t="s">
        <v>557</v>
      </c>
      <c r="H1047" s="19" t="s">
        <v>0</v>
      </c>
    </row>
    <row r="1048" spans="1:8" hidden="1" x14ac:dyDescent="0.25">
      <c r="A1048">
        <v>11793279</v>
      </c>
      <c r="B1048" s="19" t="s">
        <v>18</v>
      </c>
      <c r="C1048" s="19" t="s">
        <v>26</v>
      </c>
      <c r="D1048" s="19" t="s">
        <v>36</v>
      </c>
      <c r="E1048" s="19" t="s">
        <v>443</v>
      </c>
      <c r="F1048" s="19" t="s">
        <v>400</v>
      </c>
      <c r="G1048" s="19" t="s">
        <v>557</v>
      </c>
      <c r="H1048" s="19" t="s">
        <v>0</v>
      </c>
    </row>
    <row r="1049" spans="1:8" hidden="1" x14ac:dyDescent="0.25">
      <c r="A1049">
        <v>11184715</v>
      </c>
      <c r="B1049" s="19" t="s">
        <v>12</v>
      </c>
      <c r="C1049" s="19" t="s">
        <v>33</v>
      </c>
      <c r="D1049" s="19" t="s">
        <v>70</v>
      </c>
      <c r="E1049" s="19" t="s">
        <v>565</v>
      </c>
      <c r="F1049" s="19" t="s">
        <v>401</v>
      </c>
      <c r="G1049" s="19" t="s">
        <v>557</v>
      </c>
      <c r="H1049" s="19" t="s">
        <v>0</v>
      </c>
    </row>
    <row r="1050" spans="1:8" hidden="1" x14ac:dyDescent="0.25">
      <c r="A1050">
        <v>10943339</v>
      </c>
      <c r="B1050" s="19" t="s">
        <v>12</v>
      </c>
      <c r="C1050" s="19" t="s">
        <v>33</v>
      </c>
      <c r="D1050" s="19" t="s">
        <v>71</v>
      </c>
      <c r="E1050" s="19" t="s">
        <v>445</v>
      </c>
      <c r="F1050" s="19" t="s">
        <v>401</v>
      </c>
      <c r="G1050" s="19" t="s">
        <v>557</v>
      </c>
      <c r="H1050" s="19" t="s">
        <v>0</v>
      </c>
    </row>
    <row r="1051" spans="1:8" hidden="1" x14ac:dyDescent="0.25">
      <c r="A1051">
        <v>10943330</v>
      </c>
      <c r="B1051" s="19" t="s">
        <v>12</v>
      </c>
      <c r="C1051" s="19" t="s">
        <v>33</v>
      </c>
      <c r="D1051" s="19" t="s">
        <v>71</v>
      </c>
      <c r="E1051" s="19" t="s">
        <v>445</v>
      </c>
      <c r="F1051" s="19" t="s">
        <v>401</v>
      </c>
      <c r="G1051" s="19" t="s">
        <v>557</v>
      </c>
      <c r="H1051" s="19" t="s">
        <v>0</v>
      </c>
    </row>
    <row r="1052" spans="1:8" hidden="1" x14ac:dyDescent="0.25">
      <c r="A1052">
        <v>10932145</v>
      </c>
      <c r="B1052" s="19" t="s">
        <v>79</v>
      </c>
      <c r="C1052" s="19" t="s">
        <v>26</v>
      </c>
      <c r="D1052" s="19" t="s">
        <v>134</v>
      </c>
      <c r="E1052" s="19" t="s">
        <v>443</v>
      </c>
      <c r="F1052" s="19" t="s">
        <v>400</v>
      </c>
      <c r="G1052" s="19" t="s">
        <v>557</v>
      </c>
      <c r="H1052" s="19" t="s">
        <v>0</v>
      </c>
    </row>
    <row r="1053" spans="1:8" hidden="1" x14ac:dyDescent="0.25">
      <c r="A1053">
        <v>10932092</v>
      </c>
      <c r="B1053" s="19" t="s">
        <v>18</v>
      </c>
      <c r="C1053" s="19" t="s">
        <v>26</v>
      </c>
      <c r="D1053" s="19" t="s">
        <v>135</v>
      </c>
      <c r="E1053" s="19" t="s">
        <v>561</v>
      </c>
      <c r="F1053" s="19" t="s">
        <v>400</v>
      </c>
      <c r="G1053" s="19" t="s">
        <v>557</v>
      </c>
      <c r="H1053" s="19" t="s">
        <v>0</v>
      </c>
    </row>
    <row r="1054" spans="1:8" hidden="1" x14ac:dyDescent="0.25">
      <c r="A1054">
        <v>10932091</v>
      </c>
      <c r="B1054" s="19" t="s">
        <v>12</v>
      </c>
      <c r="C1054" s="19" t="s">
        <v>26</v>
      </c>
      <c r="D1054" s="19" t="s">
        <v>135</v>
      </c>
      <c r="E1054" s="19" t="s">
        <v>561</v>
      </c>
      <c r="F1054" s="19" t="s">
        <v>400</v>
      </c>
      <c r="G1054" s="19" t="s">
        <v>557</v>
      </c>
      <c r="H1054" s="19" t="s">
        <v>0</v>
      </c>
    </row>
    <row r="1055" spans="1:8" hidden="1" x14ac:dyDescent="0.25">
      <c r="A1055">
        <v>10932083</v>
      </c>
      <c r="B1055" s="19" t="s">
        <v>12</v>
      </c>
      <c r="C1055" s="19" t="s">
        <v>26</v>
      </c>
      <c r="D1055" s="19" t="s">
        <v>135</v>
      </c>
      <c r="E1055" s="19" t="s">
        <v>561</v>
      </c>
      <c r="F1055" s="19" t="s">
        <v>400</v>
      </c>
      <c r="G1055" s="19" t="s">
        <v>557</v>
      </c>
      <c r="H1055" s="19" t="s">
        <v>0</v>
      </c>
    </row>
    <row r="1056" spans="1:8" hidden="1" x14ac:dyDescent="0.25">
      <c r="A1056">
        <v>10932075</v>
      </c>
      <c r="B1056" s="19" t="s">
        <v>18</v>
      </c>
      <c r="C1056" s="19" t="s">
        <v>26</v>
      </c>
      <c r="D1056" s="19" t="s">
        <v>135</v>
      </c>
      <c r="E1056" s="19" t="s">
        <v>561</v>
      </c>
      <c r="F1056" s="19" t="s">
        <v>400</v>
      </c>
      <c r="G1056" s="19" t="s">
        <v>557</v>
      </c>
      <c r="H1056" s="19" t="s">
        <v>0</v>
      </c>
    </row>
    <row r="1057" spans="1:8" hidden="1" x14ac:dyDescent="0.25">
      <c r="A1057">
        <v>10932074</v>
      </c>
      <c r="B1057" s="19" t="s">
        <v>109</v>
      </c>
      <c r="C1057" s="19" t="s">
        <v>26</v>
      </c>
      <c r="D1057" s="19" t="s">
        <v>135</v>
      </c>
      <c r="E1057" s="19" t="s">
        <v>561</v>
      </c>
      <c r="F1057" s="19" t="s">
        <v>400</v>
      </c>
      <c r="G1057" s="19" t="s">
        <v>557</v>
      </c>
      <c r="H1057" s="19" t="s">
        <v>0</v>
      </c>
    </row>
    <row r="1058" spans="1:8" hidden="1" x14ac:dyDescent="0.25">
      <c r="A1058">
        <v>10932073</v>
      </c>
      <c r="B1058" s="19" t="s">
        <v>12</v>
      </c>
      <c r="C1058" s="19" t="s">
        <v>26</v>
      </c>
      <c r="D1058" s="19" t="s">
        <v>54</v>
      </c>
      <c r="E1058" s="19" t="s">
        <v>561</v>
      </c>
      <c r="F1058" s="19" t="s">
        <v>400</v>
      </c>
      <c r="G1058" s="19" t="s">
        <v>557</v>
      </c>
      <c r="H1058" s="19" t="s">
        <v>0</v>
      </c>
    </row>
    <row r="1059" spans="1:8" hidden="1" x14ac:dyDescent="0.25">
      <c r="A1059">
        <v>10932070</v>
      </c>
      <c r="B1059" s="19" t="s">
        <v>12</v>
      </c>
      <c r="C1059" s="19" t="s">
        <v>26</v>
      </c>
      <c r="D1059" s="19" t="s">
        <v>54</v>
      </c>
      <c r="E1059" s="19" t="s">
        <v>561</v>
      </c>
      <c r="F1059" s="19" t="s">
        <v>400</v>
      </c>
      <c r="G1059" s="19" t="s">
        <v>557</v>
      </c>
      <c r="H1059" s="19" t="s">
        <v>0</v>
      </c>
    </row>
    <row r="1060" spans="1:8" hidden="1" x14ac:dyDescent="0.25">
      <c r="A1060">
        <v>10932069</v>
      </c>
      <c r="B1060" s="19" t="s">
        <v>18</v>
      </c>
      <c r="C1060" s="19" t="s">
        <v>26</v>
      </c>
      <c r="D1060" s="19" t="s">
        <v>72</v>
      </c>
      <c r="E1060" s="19" t="s">
        <v>561</v>
      </c>
      <c r="F1060" s="19" t="s">
        <v>400</v>
      </c>
      <c r="G1060" s="19" t="s">
        <v>557</v>
      </c>
      <c r="H1060" s="19" t="s">
        <v>0</v>
      </c>
    </row>
    <row r="1061" spans="1:8" hidden="1" x14ac:dyDescent="0.25">
      <c r="A1061">
        <v>10932067</v>
      </c>
      <c r="B1061" s="19" t="s">
        <v>12</v>
      </c>
      <c r="C1061" s="19" t="s">
        <v>26</v>
      </c>
      <c r="D1061" s="19" t="s">
        <v>54</v>
      </c>
      <c r="E1061" s="19" t="s">
        <v>561</v>
      </c>
      <c r="F1061" s="19" t="s">
        <v>400</v>
      </c>
      <c r="G1061" s="19" t="s">
        <v>557</v>
      </c>
      <c r="H1061" s="19" t="s">
        <v>0</v>
      </c>
    </row>
    <row r="1062" spans="1:8" hidden="1" x14ac:dyDescent="0.25">
      <c r="A1062">
        <v>10932060</v>
      </c>
      <c r="B1062" s="19" t="s">
        <v>125</v>
      </c>
      <c r="C1062" s="19" t="s">
        <v>26</v>
      </c>
      <c r="D1062" s="19" t="s">
        <v>54</v>
      </c>
      <c r="E1062" s="19" t="s">
        <v>561</v>
      </c>
      <c r="F1062" s="19" t="s">
        <v>400</v>
      </c>
      <c r="G1062" s="19" t="s">
        <v>557</v>
      </c>
      <c r="H1062" s="19" t="s">
        <v>0</v>
      </c>
    </row>
    <row r="1063" spans="1:8" hidden="1" x14ac:dyDescent="0.25">
      <c r="A1063">
        <v>10932055</v>
      </c>
      <c r="B1063" s="19" t="s">
        <v>79</v>
      </c>
      <c r="C1063" s="19" t="s">
        <v>26</v>
      </c>
      <c r="D1063" s="19" t="s">
        <v>72</v>
      </c>
      <c r="E1063" s="19" t="s">
        <v>561</v>
      </c>
      <c r="F1063" s="19" t="s">
        <v>400</v>
      </c>
      <c r="G1063" s="19" t="s">
        <v>557</v>
      </c>
      <c r="H1063" s="19" t="s">
        <v>0</v>
      </c>
    </row>
    <row r="1064" spans="1:8" hidden="1" x14ac:dyDescent="0.25">
      <c r="A1064">
        <v>10932054</v>
      </c>
      <c r="B1064" s="19" t="s">
        <v>12</v>
      </c>
      <c r="C1064" s="19" t="s">
        <v>26</v>
      </c>
      <c r="D1064" s="19" t="s">
        <v>72</v>
      </c>
      <c r="E1064" s="19" t="s">
        <v>561</v>
      </c>
      <c r="F1064" s="19" t="s">
        <v>400</v>
      </c>
      <c r="G1064" s="19" t="s">
        <v>557</v>
      </c>
      <c r="H1064" s="19" t="s">
        <v>0</v>
      </c>
    </row>
    <row r="1065" spans="1:8" hidden="1" x14ac:dyDescent="0.25">
      <c r="A1065">
        <v>10932041</v>
      </c>
      <c r="B1065" s="19" t="s">
        <v>12</v>
      </c>
      <c r="C1065" s="19" t="s">
        <v>26</v>
      </c>
      <c r="D1065" s="19" t="s">
        <v>54</v>
      </c>
      <c r="E1065" s="19" t="s">
        <v>561</v>
      </c>
      <c r="F1065" s="19" t="s">
        <v>400</v>
      </c>
      <c r="G1065" s="19" t="s">
        <v>557</v>
      </c>
      <c r="H1065" s="19" t="s">
        <v>0</v>
      </c>
    </row>
    <row r="1066" spans="1:8" hidden="1" x14ac:dyDescent="0.25">
      <c r="A1066">
        <v>10932036</v>
      </c>
      <c r="B1066" s="19" t="s">
        <v>18</v>
      </c>
      <c r="C1066" s="19" t="s">
        <v>26</v>
      </c>
      <c r="D1066" s="19" t="s">
        <v>72</v>
      </c>
      <c r="E1066" s="19" t="s">
        <v>561</v>
      </c>
      <c r="F1066" s="19" t="s">
        <v>400</v>
      </c>
      <c r="G1066" s="19" t="s">
        <v>557</v>
      </c>
      <c r="H1066" s="19" t="s">
        <v>0</v>
      </c>
    </row>
    <row r="1067" spans="1:8" hidden="1" x14ac:dyDescent="0.25">
      <c r="A1067">
        <v>10932035</v>
      </c>
      <c r="B1067" s="19" t="s">
        <v>12</v>
      </c>
      <c r="C1067" s="19" t="s">
        <v>26</v>
      </c>
      <c r="D1067" s="19" t="s">
        <v>72</v>
      </c>
      <c r="E1067" s="19" t="s">
        <v>561</v>
      </c>
      <c r="F1067" s="19" t="s">
        <v>400</v>
      </c>
      <c r="G1067" s="19" t="s">
        <v>557</v>
      </c>
      <c r="H1067" s="19" t="s">
        <v>0</v>
      </c>
    </row>
    <row r="1068" spans="1:8" hidden="1" x14ac:dyDescent="0.25">
      <c r="A1068">
        <v>10932029</v>
      </c>
      <c r="B1068" s="19" t="s">
        <v>12</v>
      </c>
      <c r="C1068" s="19" t="s">
        <v>33</v>
      </c>
      <c r="D1068" s="19" t="s">
        <v>72</v>
      </c>
      <c r="E1068" s="19" t="s">
        <v>561</v>
      </c>
      <c r="F1068" s="19" t="s">
        <v>401</v>
      </c>
      <c r="G1068" s="19" t="s">
        <v>557</v>
      </c>
      <c r="H1068" s="19" t="s">
        <v>0</v>
      </c>
    </row>
    <row r="1069" spans="1:8" hidden="1" x14ac:dyDescent="0.25">
      <c r="A1069">
        <v>10932028</v>
      </c>
      <c r="B1069" s="19" t="s">
        <v>18</v>
      </c>
      <c r="C1069" s="19" t="s">
        <v>26</v>
      </c>
      <c r="D1069" s="19" t="s">
        <v>54</v>
      </c>
      <c r="E1069" s="19" t="s">
        <v>561</v>
      </c>
      <c r="F1069" s="19" t="s">
        <v>400</v>
      </c>
      <c r="G1069" s="19" t="s">
        <v>557</v>
      </c>
      <c r="H1069" s="19" t="s">
        <v>0</v>
      </c>
    </row>
    <row r="1070" spans="1:8" hidden="1" x14ac:dyDescent="0.25">
      <c r="A1070">
        <v>10932021</v>
      </c>
      <c r="B1070" s="19" t="s">
        <v>12</v>
      </c>
      <c r="C1070" s="19" t="s">
        <v>26</v>
      </c>
      <c r="D1070" s="19" t="s">
        <v>54</v>
      </c>
      <c r="E1070" s="19" t="s">
        <v>561</v>
      </c>
      <c r="F1070" s="19" t="s">
        <v>400</v>
      </c>
      <c r="G1070" s="19" t="s">
        <v>557</v>
      </c>
      <c r="H1070" s="19" t="s">
        <v>0</v>
      </c>
    </row>
    <row r="1071" spans="1:8" hidden="1" x14ac:dyDescent="0.25">
      <c r="A1071">
        <v>10932004</v>
      </c>
      <c r="B1071" s="19" t="s">
        <v>12</v>
      </c>
      <c r="C1071" s="19" t="s">
        <v>26</v>
      </c>
      <c r="D1071" s="19" t="s">
        <v>54</v>
      </c>
      <c r="E1071" s="19" t="s">
        <v>561</v>
      </c>
      <c r="F1071" s="19" t="s">
        <v>400</v>
      </c>
      <c r="G1071" s="19" t="s">
        <v>557</v>
      </c>
      <c r="H1071" s="19" t="s">
        <v>0</v>
      </c>
    </row>
    <row r="1072" spans="1:8" hidden="1" x14ac:dyDescent="0.25">
      <c r="A1072">
        <v>10281938</v>
      </c>
      <c r="B1072" s="19" t="s">
        <v>12</v>
      </c>
      <c r="C1072" s="19" t="s">
        <v>26</v>
      </c>
      <c r="D1072" s="19" t="s">
        <v>256</v>
      </c>
      <c r="E1072" s="19" t="s">
        <v>459</v>
      </c>
      <c r="F1072" s="19" t="s">
        <v>400</v>
      </c>
      <c r="G1072" s="19" t="s">
        <v>557</v>
      </c>
      <c r="H1072" s="19" t="s">
        <v>0</v>
      </c>
    </row>
    <row r="1073" spans="1:8" hidden="1" x14ac:dyDescent="0.25">
      <c r="A1073">
        <v>9320774</v>
      </c>
      <c r="B1073" s="19" t="s">
        <v>12</v>
      </c>
      <c r="C1073" s="19" t="s">
        <v>33</v>
      </c>
      <c r="D1073" s="19" t="s">
        <v>257</v>
      </c>
      <c r="E1073" s="19" t="s">
        <v>567</v>
      </c>
      <c r="F1073" s="19" t="s">
        <v>401</v>
      </c>
      <c r="G1073" s="19" t="s">
        <v>557</v>
      </c>
      <c r="H1073" s="19" t="s">
        <v>0</v>
      </c>
    </row>
    <row r="1074" spans="1:8" hidden="1" x14ac:dyDescent="0.25">
      <c r="A1074">
        <v>9320761</v>
      </c>
      <c r="B1074" s="19" t="s">
        <v>12</v>
      </c>
      <c r="C1074" s="19" t="s">
        <v>26</v>
      </c>
      <c r="D1074" s="19" t="s">
        <v>54</v>
      </c>
      <c r="E1074" s="19" t="s">
        <v>567</v>
      </c>
      <c r="F1074" s="19" t="s">
        <v>400</v>
      </c>
      <c r="G1074" s="19" t="s">
        <v>557</v>
      </c>
      <c r="H1074" s="19" t="s">
        <v>0</v>
      </c>
    </row>
    <row r="1075" spans="1:8" hidden="1" x14ac:dyDescent="0.25">
      <c r="A1075">
        <v>9320756</v>
      </c>
      <c r="B1075" s="19" t="s">
        <v>12</v>
      </c>
      <c r="C1075" s="19" t="s">
        <v>33</v>
      </c>
      <c r="D1075" s="19" t="s">
        <v>54</v>
      </c>
      <c r="E1075" s="19" t="s">
        <v>567</v>
      </c>
      <c r="F1075" s="19" t="s">
        <v>401</v>
      </c>
      <c r="G1075" s="19" t="s">
        <v>557</v>
      </c>
      <c r="H1075" s="19" t="s">
        <v>0</v>
      </c>
    </row>
    <row r="1076" spans="1:8" hidden="1" x14ac:dyDescent="0.25">
      <c r="A1076">
        <v>9005390</v>
      </c>
      <c r="B1076" s="19" t="s">
        <v>12</v>
      </c>
      <c r="C1076" s="19" t="s">
        <v>33</v>
      </c>
      <c r="D1076" s="19" t="s">
        <v>137</v>
      </c>
      <c r="E1076" s="19" t="s">
        <v>565</v>
      </c>
      <c r="F1076" s="19" t="s">
        <v>401</v>
      </c>
      <c r="G1076" s="19" t="s">
        <v>557</v>
      </c>
      <c r="H1076" s="19" t="s">
        <v>0</v>
      </c>
    </row>
    <row r="1077" spans="1:8" hidden="1" x14ac:dyDescent="0.25">
      <c r="A1077">
        <v>9005364</v>
      </c>
      <c r="B1077" s="19" t="s">
        <v>12</v>
      </c>
      <c r="C1077" s="19" t="s">
        <v>33</v>
      </c>
      <c r="D1077" s="19" t="s">
        <v>137</v>
      </c>
      <c r="E1077" s="19" t="s">
        <v>565</v>
      </c>
      <c r="F1077" s="19" t="s">
        <v>401</v>
      </c>
      <c r="G1077" s="19" t="s">
        <v>557</v>
      </c>
      <c r="H1077" s="19" t="s">
        <v>0</v>
      </c>
    </row>
    <row r="1078" spans="1:8" hidden="1" x14ac:dyDescent="0.25">
      <c r="A1078">
        <v>9005357</v>
      </c>
      <c r="B1078" s="19" t="s">
        <v>12</v>
      </c>
      <c r="C1078" s="19" t="s">
        <v>33</v>
      </c>
      <c r="D1078" s="19" t="s">
        <v>137</v>
      </c>
      <c r="E1078" s="19" t="s">
        <v>565</v>
      </c>
      <c r="F1078" s="19" t="s">
        <v>401</v>
      </c>
      <c r="G1078" s="19" t="s">
        <v>557</v>
      </c>
      <c r="H1078" s="19" t="s">
        <v>0</v>
      </c>
    </row>
    <row r="1079" spans="1:8" hidden="1" x14ac:dyDescent="0.25">
      <c r="A1079">
        <v>9005331</v>
      </c>
      <c r="B1079" s="19" t="s">
        <v>12</v>
      </c>
      <c r="C1079" s="19" t="s">
        <v>33</v>
      </c>
      <c r="D1079" s="19" t="s">
        <v>137</v>
      </c>
      <c r="E1079" s="19" t="s">
        <v>565</v>
      </c>
      <c r="F1079" s="19" t="s">
        <v>401</v>
      </c>
      <c r="G1079" s="19" t="s">
        <v>557</v>
      </c>
      <c r="H1079" s="19" t="s">
        <v>0</v>
      </c>
    </row>
    <row r="1080" spans="1:8" hidden="1" x14ac:dyDescent="0.25">
      <c r="A1080">
        <v>9005327</v>
      </c>
      <c r="B1080" s="19" t="s">
        <v>12</v>
      </c>
      <c r="C1080" s="19" t="s">
        <v>33</v>
      </c>
      <c r="D1080" s="19" t="s">
        <v>137</v>
      </c>
      <c r="E1080" s="19" t="s">
        <v>565</v>
      </c>
      <c r="F1080" s="19" t="s">
        <v>401</v>
      </c>
      <c r="G1080" s="19" t="s">
        <v>557</v>
      </c>
      <c r="H1080" s="19" t="s">
        <v>0</v>
      </c>
    </row>
    <row r="1081" spans="1:8" hidden="1" x14ac:dyDescent="0.25">
      <c r="A1081">
        <v>9005323</v>
      </c>
      <c r="B1081" s="19" t="s">
        <v>12</v>
      </c>
      <c r="C1081" s="19" t="s">
        <v>33</v>
      </c>
      <c r="D1081" s="19" t="s">
        <v>137</v>
      </c>
      <c r="E1081" s="19" t="s">
        <v>565</v>
      </c>
      <c r="F1081" s="19" t="s">
        <v>401</v>
      </c>
      <c r="G1081" s="19" t="s">
        <v>557</v>
      </c>
      <c r="H1081" s="19" t="s">
        <v>0</v>
      </c>
    </row>
    <row r="1082" spans="1:8" hidden="1" x14ac:dyDescent="0.25">
      <c r="A1082">
        <v>8937762</v>
      </c>
      <c r="B1082" s="19" t="s">
        <v>12</v>
      </c>
      <c r="C1082" s="19" t="s">
        <v>26</v>
      </c>
      <c r="D1082" s="19" t="s">
        <v>258</v>
      </c>
      <c r="E1082" s="19" t="s">
        <v>437</v>
      </c>
      <c r="F1082" s="19" t="s">
        <v>400</v>
      </c>
      <c r="G1082" s="19" t="s">
        <v>557</v>
      </c>
      <c r="H1082" s="19" t="s">
        <v>0</v>
      </c>
    </row>
    <row r="1083" spans="1:8" hidden="1" x14ac:dyDescent="0.25">
      <c r="A1083">
        <v>8937696</v>
      </c>
      <c r="B1083" s="19" t="s">
        <v>12</v>
      </c>
      <c r="C1083" s="19" t="s">
        <v>26</v>
      </c>
      <c r="D1083" s="19" t="s">
        <v>70</v>
      </c>
      <c r="E1083" s="19" t="s">
        <v>566</v>
      </c>
      <c r="F1083" s="19" t="s">
        <v>400</v>
      </c>
      <c r="G1083" s="19" t="s">
        <v>557</v>
      </c>
      <c r="H1083" s="19" t="s">
        <v>0</v>
      </c>
    </row>
    <row r="1084" spans="1:8" hidden="1" x14ac:dyDescent="0.25">
      <c r="A1084">
        <v>8937691</v>
      </c>
      <c r="B1084" s="19" t="s">
        <v>12</v>
      </c>
      <c r="C1084" s="19" t="s">
        <v>33</v>
      </c>
      <c r="D1084" s="19" t="s">
        <v>70</v>
      </c>
      <c r="E1084" s="19" t="s">
        <v>566</v>
      </c>
      <c r="F1084" s="19" t="s">
        <v>401</v>
      </c>
      <c r="G1084" s="19" t="s">
        <v>557</v>
      </c>
      <c r="H1084" s="19" t="s">
        <v>0</v>
      </c>
    </row>
    <row r="1085" spans="1:8" hidden="1" x14ac:dyDescent="0.25">
      <c r="A1085">
        <v>8937685</v>
      </c>
      <c r="B1085" s="19" t="s">
        <v>12</v>
      </c>
      <c r="C1085" s="19" t="s">
        <v>33</v>
      </c>
      <c r="D1085" s="19" t="s">
        <v>252</v>
      </c>
      <c r="E1085" s="19" t="s">
        <v>566</v>
      </c>
      <c r="F1085" s="19" t="s">
        <v>401</v>
      </c>
      <c r="G1085" s="19" t="s">
        <v>557</v>
      </c>
      <c r="H1085" s="19" t="s">
        <v>0</v>
      </c>
    </row>
    <row r="1086" spans="1:8" hidden="1" x14ac:dyDescent="0.25">
      <c r="A1086">
        <v>8937682</v>
      </c>
      <c r="B1086" s="19" t="s">
        <v>18</v>
      </c>
      <c r="C1086" s="19" t="s">
        <v>26</v>
      </c>
      <c r="D1086" s="19" t="s">
        <v>63</v>
      </c>
      <c r="E1086" s="19" t="s">
        <v>566</v>
      </c>
      <c r="F1086" s="19" t="s">
        <v>400</v>
      </c>
      <c r="G1086" s="19" t="s">
        <v>557</v>
      </c>
      <c r="H1086" s="19" t="s">
        <v>0</v>
      </c>
    </row>
    <row r="1087" spans="1:8" hidden="1" x14ac:dyDescent="0.25">
      <c r="A1087">
        <v>8937676</v>
      </c>
      <c r="B1087" s="19" t="s">
        <v>12</v>
      </c>
      <c r="C1087" s="19" t="s">
        <v>26</v>
      </c>
      <c r="D1087" s="19" t="s">
        <v>70</v>
      </c>
      <c r="E1087" s="19" t="s">
        <v>566</v>
      </c>
      <c r="F1087" s="19" t="s">
        <v>400</v>
      </c>
      <c r="G1087" s="19" t="s">
        <v>557</v>
      </c>
      <c r="H1087" s="19" t="s">
        <v>0</v>
      </c>
    </row>
    <row r="1088" spans="1:8" hidden="1" x14ac:dyDescent="0.25">
      <c r="A1088">
        <v>8937674</v>
      </c>
      <c r="B1088" s="19" t="s">
        <v>12</v>
      </c>
      <c r="C1088" s="19" t="s">
        <v>26</v>
      </c>
      <c r="D1088" s="19" t="s">
        <v>259</v>
      </c>
      <c r="E1088" s="19" t="s">
        <v>566</v>
      </c>
      <c r="F1088" s="19" t="s">
        <v>400</v>
      </c>
      <c r="G1088" s="19" t="s">
        <v>557</v>
      </c>
      <c r="H1088" s="19" t="s">
        <v>0</v>
      </c>
    </row>
    <row r="1089" spans="1:8" hidden="1" x14ac:dyDescent="0.25">
      <c r="A1089">
        <v>8937651</v>
      </c>
      <c r="B1089" s="19" t="s">
        <v>24</v>
      </c>
      <c r="C1089" s="19" t="s">
        <v>26</v>
      </c>
      <c r="D1089" s="19" t="s">
        <v>90</v>
      </c>
      <c r="E1089" s="19" t="s">
        <v>566</v>
      </c>
      <c r="F1089" s="19" t="s">
        <v>400</v>
      </c>
      <c r="G1089" s="19" t="s">
        <v>557</v>
      </c>
      <c r="H1089" s="19" t="s">
        <v>0</v>
      </c>
    </row>
    <row r="1090" spans="1:8" hidden="1" x14ac:dyDescent="0.25">
      <c r="A1090">
        <v>8937647</v>
      </c>
      <c r="B1090" s="19" t="s">
        <v>12</v>
      </c>
      <c r="C1090" s="19" t="s">
        <v>33</v>
      </c>
      <c r="D1090" s="19" t="s">
        <v>260</v>
      </c>
      <c r="E1090" s="19" t="s">
        <v>566</v>
      </c>
      <c r="F1090" s="19" t="s">
        <v>401</v>
      </c>
      <c r="G1090" s="19" t="s">
        <v>557</v>
      </c>
      <c r="H1090" s="19" t="s">
        <v>0</v>
      </c>
    </row>
    <row r="1091" spans="1:8" hidden="1" x14ac:dyDescent="0.25">
      <c r="A1091">
        <v>8937642</v>
      </c>
      <c r="B1091" s="19" t="s">
        <v>18</v>
      </c>
      <c r="C1091" s="19" t="s">
        <v>26</v>
      </c>
      <c r="D1091" s="19" t="s">
        <v>261</v>
      </c>
      <c r="E1091" s="19" t="s">
        <v>566</v>
      </c>
      <c r="F1091" s="19" t="s">
        <v>400</v>
      </c>
      <c r="G1091" s="19" t="s">
        <v>557</v>
      </c>
      <c r="H1091" s="19" t="s">
        <v>0</v>
      </c>
    </row>
    <row r="1092" spans="1:8" hidden="1" x14ac:dyDescent="0.25">
      <c r="A1092">
        <v>8937632</v>
      </c>
      <c r="B1092" s="19" t="s">
        <v>109</v>
      </c>
      <c r="C1092" s="19" t="s">
        <v>33</v>
      </c>
      <c r="D1092" s="19" t="s">
        <v>262</v>
      </c>
      <c r="E1092" s="19" t="s">
        <v>566</v>
      </c>
      <c r="F1092" s="19" t="s">
        <v>401</v>
      </c>
      <c r="G1092" s="19" t="s">
        <v>557</v>
      </c>
      <c r="H1092" s="19" t="s">
        <v>0</v>
      </c>
    </row>
    <row r="1093" spans="1:8" hidden="1" x14ac:dyDescent="0.25">
      <c r="A1093">
        <v>8937624</v>
      </c>
      <c r="B1093" s="19" t="s">
        <v>79</v>
      </c>
      <c r="C1093" s="19" t="s">
        <v>33</v>
      </c>
      <c r="D1093" s="19" t="s">
        <v>90</v>
      </c>
      <c r="E1093" s="19" t="s">
        <v>566</v>
      </c>
      <c r="F1093" s="19" t="s">
        <v>401</v>
      </c>
      <c r="G1093" s="19" t="s">
        <v>557</v>
      </c>
      <c r="H1093" s="19" t="s">
        <v>0</v>
      </c>
    </row>
    <row r="1094" spans="1:8" hidden="1" x14ac:dyDescent="0.25">
      <c r="A1094">
        <v>8937623</v>
      </c>
      <c r="B1094" s="19" t="s">
        <v>109</v>
      </c>
      <c r="C1094" s="19" t="s">
        <v>33</v>
      </c>
      <c r="D1094" s="19" t="s">
        <v>73</v>
      </c>
      <c r="E1094" s="19" t="s">
        <v>566</v>
      </c>
      <c r="F1094" s="19" t="s">
        <v>401</v>
      </c>
      <c r="G1094" s="19" t="s">
        <v>557</v>
      </c>
      <c r="H1094" s="19" t="s">
        <v>0</v>
      </c>
    </row>
    <row r="1095" spans="1:8" hidden="1" x14ac:dyDescent="0.25">
      <c r="A1095">
        <v>8937604</v>
      </c>
      <c r="B1095" s="19" t="s">
        <v>18</v>
      </c>
      <c r="C1095" s="19" t="s">
        <v>26</v>
      </c>
      <c r="D1095" s="19" t="s">
        <v>263</v>
      </c>
      <c r="E1095" s="19" t="s">
        <v>566</v>
      </c>
      <c r="F1095" s="19" t="s">
        <v>400</v>
      </c>
      <c r="G1095" s="19" t="s">
        <v>557</v>
      </c>
      <c r="H1095" s="19" t="s">
        <v>0</v>
      </c>
    </row>
    <row r="1096" spans="1:8" hidden="1" x14ac:dyDescent="0.25">
      <c r="A1096">
        <v>8937587</v>
      </c>
      <c r="B1096" s="19" t="s">
        <v>12</v>
      </c>
      <c r="C1096" s="19" t="s">
        <v>33</v>
      </c>
      <c r="D1096" s="19" t="s">
        <v>72</v>
      </c>
      <c r="E1096" s="19" t="s">
        <v>566</v>
      </c>
      <c r="F1096" s="19" t="s">
        <v>401</v>
      </c>
      <c r="G1096" s="19" t="s">
        <v>557</v>
      </c>
      <c r="H1096" s="19" t="s">
        <v>0</v>
      </c>
    </row>
    <row r="1097" spans="1:8" hidden="1" x14ac:dyDescent="0.25">
      <c r="A1097">
        <v>8937583</v>
      </c>
      <c r="B1097" s="19" t="s">
        <v>12</v>
      </c>
      <c r="C1097" s="19" t="s">
        <v>26</v>
      </c>
      <c r="D1097" s="19" t="s">
        <v>54</v>
      </c>
      <c r="E1097" s="19" t="s">
        <v>566</v>
      </c>
      <c r="F1097" s="19" t="s">
        <v>400</v>
      </c>
      <c r="G1097" s="19" t="s">
        <v>557</v>
      </c>
      <c r="H1097" s="19" t="s">
        <v>0</v>
      </c>
    </row>
    <row r="1098" spans="1:8" hidden="1" x14ac:dyDescent="0.25">
      <c r="A1098">
        <v>8937575</v>
      </c>
      <c r="B1098" s="19" t="s">
        <v>12</v>
      </c>
      <c r="C1098" s="19" t="s">
        <v>33</v>
      </c>
      <c r="D1098" s="19" t="s">
        <v>135</v>
      </c>
      <c r="E1098" s="19" t="s">
        <v>566</v>
      </c>
      <c r="F1098" s="19" t="s">
        <v>401</v>
      </c>
      <c r="G1098" s="19" t="s">
        <v>557</v>
      </c>
      <c r="H1098" s="19" t="s">
        <v>0</v>
      </c>
    </row>
    <row r="1099" spans="1:8" hidden="1" x14ac:dyDescent="0.25">
      <c r="A1099">
        <v>8937574</v>
      </c>
      <c r="B1099" s="19" t="s">
        <v>12</v>
      </c>
      <c r="C1099" s="19" t="s">
        <v>33</v>
      </c>
      <c r="D1099" s="19" t="s">
        <v>91</v>
      </c>
      <c r="E1099" s="19" t="s">
        <v>566</v>
      </c>
      <c r="F1099" s="19" t="s">
        <v>401</v>
      </c>
      <c r="G1099" s="19" t="s">
        <v>557</v>
      </c>
      <c r="H1099" s="19" t="s">
        <v>0</v>
      </c>
    </row>
    <row r="1100" spans="1:8" hidden="1" x14ac:dyDescent="0.25">
      <c r="A1100">
        <v>8937560</v>
      </c>
      <c r="B1100" s="19" t="s">
        <v>79</v>
      </c>
      <c r="C1100" s="19" t="s">
        <v>26</v>
      </c>
      <c r="D1100" s="19" t="s">
        <v>135</v>
      </c>
      <c r="E1100" s="19" t="s">
        <v>566</v>
      </c>
      <c r="F1100" s="19" t="s">
        <v>400</v>
      </c>
      <c r="G1100" s="19" t="s">
        <v>557</v>
      </c>
      <c r="H1100" s="19" t="s">
        <v>0</v>
      </c>
    </row>
    <row r="1101" spans="1:8" hidden="1" x14ac:dyDescent="0.25">
      <c r="A1101">
        <v>8937552</v>
      </c>
      <c r="B1101" s="19" t="s">
        <v>12</v>
      </c>
      <c r="C1101" s="19" t="s">
        <v>33</v>
      </c>
      <c r="D1101" s="19" t="s">
        <v>54</v>
      </c>
      <c r="E1101" s="19" t="s">
        <v>566</v>
      </c>
      <c r="F1101" s="19" t="s">
        <v>401</v>
      </c>
      <c r="G1101" s="19" t="s">
        <v>557</v>
      </c>
      <c r="H1101" s="19" t="s">
        <v>0</v>
      </c>
    </row>
    <row r="1102" spans="1:8" hidden="1" x14ac:dyDescent="0.25">
      <c r="A1102">
        <v>8937548</v>
      </c>
      <c r="B1102" s="19" t="s">
        <v>12</v>
      </c>
      <c r="C1102" s="19" t="s">
        <v>26</v>
      </c>
      <c r="D1102" s="19" t="s">
        <v>91</v>
      </c>
      <c r="E1102" s="19" t="s">
        <v>566</v>
      </c>
      <c r="F1102" s="19" t="s">
        <v>400</v>
      </c>
      <c r="G1102" s="19" t="s">
        <v>557</v>
      </c>
      <c r="H1102" s="19" t="s">
        <v>0</v>
      </c>
    </row>
    <row r="1103" spans="1:8" hidden="1" x14ac:dyDescent="0.25">
      <c r="A1103">
        <v>8937542</v>
      </c>
      <c r="B1103" s="19" t="s">
        <v>12</v>
      </c>
      <c r="C1103" s="19" t="s">
        <v>26</v>
      </c>
      <c r="D1103" s="19" t="s">
        <v>54</v>
      </c>
      <c r="E1103" s="19" t="s">
        <v>566</v>
      </c>
      <c r="F1103" s="19" t="s">
        <v>400</v>
      </c>
      <c r="G1103" s="19" t="s">
        <v>557</v>
      </c>
      <c r="H1103" s="19" t="s">
        <v>0</v>
      </c>
    </row>
    <row r="1104" spans="1:8" hidden="1" x14ac:dyDescent="0.25">
      <c r="A1104">
        <v>8937526</v>
      </c>
      <c r="B1104" s="19" t="s">
        <v>12</v>
      </c>
      <c r="C1104" s="19" t="s">
        <v>26</v>
      </c>
      <c r="D1104" s="19" t="s">
        <v>72</v>
      </c>
      <c r="E1104" s="19" t="s">
        <v>566</v>
      </c>
      <c r="F1104" s="19" t="s">
        <v>400</v>
      </c>
      <c r="G1104" s="19" t="s">
        <v>557</v>
      </c>
      <c r="H1104" s="19" t="s">
        <v>0</v>
      </c>
    </row>
    <row r="1105" spans="1:8" hidden="1" x14ac:dyDescent="0.25">
      <c r="A1105">
        <v>8937525</v>
      </c>
      <c r="B1105" s="19" t="s">
        <v>18</v>
      </c>
      <c r="C1105" s="19" t="s">
        <v>26</v>
      </c>
      <c r="D1105" s="19" t="s">
        <v>54</v>
      </c>
      <c r="E1105" s="19" t="s">
        <v>566</v>
      </c>
      <c r="F1105" s="19" t="s">
        <v>400</v>
      </c>
      <c r="G1105" s="19" t="s">
        <v>557</v>
      </c>
      <c r="H1105" s="19" t="s">
        <v>0</v>
      </c>
    </row>
    <row r="1106" spans="1:8" hidden="1" x14ac:dyDescent="0.25">
      <c r="A1106">
        <v>8935869</v>
      </c>
      <c r="B1106" s="19" t="s">
        <v>12</v>
      </c>
      <c r="C1106" s="19" t="s">
        <v>33</v>
      </c>
      <c r="D1106" s="19" t="s">
        <v>71</v>
      </c>
      <c r="E1106" s="19" t="s">
        <v>567</v>
      </c>
      <c r="F1106" s="19" t="s">
        <v>401</v>
      </c>
      <c r="G1106" s="19" t="s">
        <v>557</v>
      </c>
      <c r="H1106" s="19" t="s">
        <v>0</v>
      </c>
    </row>
    <row r="1107" spans="1:8" hidden="1" x14ac:dyDescent="0.25">
      <c r="A1107">
        <v>8935853</v>
      </c>
      <c r="B1107" s="19" t="s">
        <v>109</v>
      </c>
      <c r="C1107" s="19" t="s">
        <v>26</v>
      </c>
      <c r="D1107" s="19" t="s">
        <v>136</v>
      </c>
      <c r="E1107" s="19" t="s">
        <v>567</v>
      </c>
      <c r="F1107" s="19" t="s">
        <v>400</v>
      </c>
      <c r="G1107" s="19" t="s">
        <v>557</v>
      </c>
      <c r="H1107" s="19" t="s">
        <v>0</v>
      </c>
    </row>
    <row r="1108" spans="1:8" hidden="1" x14ac:dyDescent="0.25">
      <c r="A1108">
        <v>8935794</v>
      </c>
      <c r="B1108" s="19" t="s">
        <v>12</v>
      </c>
      <c r="C1108" s="19" t="s">
        <v>26</v>
      </c>
      <c r="D1108" s="19" t="s">
        <v>110</v>
      </c>
      <c r="E1108" s="19" t="s">
        <v>567</v>
      </c>
      <c r="F1108" s="19" t="s">
        <v>400</v>
      </c>
      <c r="G1108" s="19" t="s">
        <v>557</v>
      </c>
      <c r="H1108" s="19" t="s">
        <v>0</v>
      </c>
    </row>
    <row r="1109" spans="1:8" hidden="1" x14ac:dyDescent="0.25">
      <c r="A1109">
        <v>8935792</v>
      </c>
      <c r="B1109" s="19" t="s">
        <v>12</v>
      </c>
      <c r="C1109" s="19" t="s">
        <v>26</v>
      </c>
      <c r="D1109" s="19" t="s">
        <v>110</v>
      </c>
      <c r="E1109" s="19" t="s">
        <v>567</v>
      </c>
      <c r="F1109" s="19" t="s">
        <v>400</v>
      </c>
      <c r="G1109" s="19" t="s">
        <v>557</v>
      </c>
      <c r="H1109" s="19" t="s">
        <v>0</v>
      </c>
    </row>
    <row r="1110" spans="1:8" hidden="1" x14ac:dyDescent="0.25">
      <c r="A1110">
        <v>8935783</v>
      </c>
      <c r="B1110" s="19" t="s">
        <v>79</v>
      </c>
      <c r="C1110" s="19" t="s">
        <v>26</v>
      </c>
      <c r="D1110" s="19" t="s">
        <v>214</v>
      </c>
      <c r="E1110" s="19" t="s">
        <v>567</v>
      </c>
      <c r="F1110" s="19" t="s">
        <v>400</v>
      </c>
      <c r="G1110" s="19" t="s">
        <v>557</v>
      </c>
      <c r="H1110" s="19" t="s">
        <v>0</v>
      </c>
    </row>
    <row r="1111" spans="1:8" hidden="1" x14ac:dyDescent="0.25">
      <c r="A1111">
        <v>8935754</v>
      </c>
      <c r="B1111" s="19" t="s">
        <v>79</v>
      </c>
      <c r="C1111" s="19" t="s">
        <v>26</v>
      </c>
      <c r="D1111" s="19" t="s">
        <v>110</v>
      </c>
      <c r="E1111" s="19" t="s">
        <v>561</v>
      </c>
      <c r="F1111" s="19" t="s">
        <v>400</v>
      </c>
      <c r="G1111" s="19" t="s">
        <v>557</v>
      </c>
      <c r="H1111" s="19" t="s">
        <v>0</v>
      </c>
    </row>
    <row r="1112" spans="1:8" hidden="1" x14ac:dyDescent="0.25">
      <c r="A1112">
        <v>8935744</v>
      </c>
      <c r="B1112" s="19" t="s">
        <v>18</v>
      </c>
      <c r="C1112" s="19" t="s">
        <v>26</v>
      </c>
      <c r="D1112" s="19" t="s">
        <v>110</v>
      </c>
      <c r="E1112" s="19" t="s">
        <v>561</v>
      </c>
      <c r="F1112" s="19" t="s">
        <v>400</v>
      </c>
      <c r="G1112" s="19" t="s">
        <v>557</v>
      </c>
      <c r="H1112" s="19" t="s">
        <v>0</v>
      </c>
    </row>
    <row r="1113" spans="1:8" hidden="1" x14ac:dyDescent="0.25">
      <c r="A1113">
        <v>8935721</v>
      </c>
      <c r="B1113" s="19" t="s">
        <v>12</v>
      </c>
      <c r="C1113" s="19" t="s">
        <v>26</v>
      </c>
      <c r="D1113" s="19" t="s">
        <v>214</v>
      </c>
      <c r="E1113" s="19" t="s">
        <v>561</v>
      </c>
      <c r="F1113" s="19" t="s">
        <v>400</v>
      </c>
      <c r="G1113" s="19" t="s">
        <v>557</v>
      </c>
      <c r="H1113" s="19" t="s">
        <v>0</v>
      </c>
    </row>
    <row r="1114" spans="1:8" hidden="1" x14ac:dyDescent="0.25">
      <c r="A1114">
        <v>8935710</v>
      </c>
      <c r="B1114" s="19" t="s">
        <v>18</v>
      </c>
      <c r="C1114" s="19" t="s">
        <v>26</v>
      </c>
      <c r="D1114" s="19" t="s">
        <v>110</v>
      </c>
      <c r="E1114" s="19" t="s">
        <v>561</v>
      </c>
      <c r="F1114" s="19" t="s">
        <v>400</v>
      </c>
      <c r="G1114" s="19" t="s">
        <v>557</v>
      </c>
      <c r="H1114" s="19" t="s">
        <v>0</v>
      </c>
    </row>
    <row r="1115" spans="1:8" hidden="1" x14ac:dyDescent="0.25">
      <c r="A1115">
        <v>8933599</v>
      </c>
      <c r="B1115" s="19" t="s">
        <v>12</v>
      </c>
      <c r="C1115" s="19" t="s">
        <v>26</v>
      </c>
      <c r="D1115" s="19" t="s">
        <v>42</v>
      </c>
      <c r="E1115" s="19" t="s">
        <v>437</v>
      </c>
      <c r="F1115" s="19" t="s">
        <v>400</v>
      </c>
      <c r="G1115" s="19" t="s">
        <v>557</v>
      </c>
      <c r="H1115" s="19" t="s">
        <v>0</v>
      </c>
    </row>
    <row r="1116" spans="1:8" hidden="1" x14ac:dyDescent="0.25">
      <c r="A1116">
        <v>8933596</v>
      </c>
      <c r="B1116" s="19" t="s">
        <v>12</v>
      </c>
      <c r="C1116" s="19" t="s">
        <v>26</v>
      </c>
      <c r="D1116" s="19" t="s">
        <v>42</v>
      </c>
      <c r="E1116" s="19" t="s">
        <v>437</v>
      </c>
      <c r="F1116" s="19" t="s">
        <v>400</v>
      </c>
      <c r="G1116" s="19" t="s">
        <v>557</v>
      </c>
      <c r="H1116" s="19" t="s">
        <v>0</v>
      </c>
    </row>
    <row r="1117" spans="1:8" hidden="1" x14ac:dyDescent="0.25">
      <c r="A1117">
        <v>8933563</v>
      </c>
      <c r="B1117" s="19" t="s">
        <v>12</v>
      </c>
      <c r="C1117" s="19" t="s">
        <v>33</v>
      </c>
      <c r="D1117" s="19" t="s">
        <v>214</v>
      </c>
      <c r="E1117" s="19" t="s">
        <v>445</v>
      </c>
      <c r="F1117" s="19" t="s">
        <v>401</v>
      </c>
      <c r="G1117" s="19" t="s">
        <v>557</v>
      </c>
      <c r="H1117" s="19" t="s">
        <v>0</v>
      </c>
    </row>
    <row r="1118" spans="1:8" hidden="1" x14ac:dyDescent="0.25">
      <c r="A1118">
        <v>8933527</v>
      </c>
      <c r="B1118" s="19" t="s">
        <v>12</v>
      </c>
      <c r="C1118" s="19" t="s">
        <v>33</v>
      </c>
      <c r="D1118" s="19" t="s">
        <v>90</v>
      </c>
      <c r="E1118" s="19" t="s">
        <v>558</v>
      </c>
      <c r="F1118" s="19" t="s">
        <v>401</v>
      </c>
      <c r="G1118" s="19" t="s">
        <v>557</v>
      </c>
      <c r="H1118" s="19" t="s">
        <v>0</v>
      </c>
    </row>
    <row r="1119" spans="1:8" hidden="1" x14ac:dyDescent="0.25">
      <c r="A1119">
        <v>8933525</v>
      </c>
      <c r="B1119" s="19" t="s">
        <v>24</v>
      </c>
      <c r="C1119" s="19" t="s">
        <v>33</v>
      </c>
      <c r="D1119" s="19" t="s">
        <v>90</v>
      </c>
      <c r="E1119" s="19" t="s">
        <v>558</v>
      </c>
      <c r="F1119" s="19" t="s">
        <v>401</v>
      </c>
      <c r="G1119" s="19" t="s">
        <v>557</v>
      </c>
      <c r="H1119" s="19" t="s">
        <v>0</v>
      </c>
    </row>
    <row r="1120" spans="1:8" hidden="1" x14ac:dyDescent="0.25">
      <c r="A1120">
        <v>8933522</v>
      </c>
      <c r="B1120" s="19" t="s">
        <v>12</v>
      </c>
      <c r="C1120" s="19" t="s">
        <v>33</v>
      </c>
      <c r="D1120" s="19" t="s">
        <v>73</v>
      </c>
      <c r="E1120" s="19" t="s">
        <v>558</v>
      </c>
      <c r="F1120" s="19" t="s">
        <v>401</v>
      </c>
      <c r="G1120" s="19" t="s">
        <v>557</v>
      </c>
      <c r="H1120" s="19" t="s">
        <v>0</v>
      </c>
    </row>
    <row r="1121" spans="1:8" hidden="1" x14ac:dyDescent="0.25">
      <c r="A1121">
        <v>8933515</v>
      </c>
      <c r="B1121" s="19" t="s">
        <v>12</v>
      </c>
      <c r="C1121" s="19" t="s">
        <v>33</v>
      </c>
      <c r="D1121" s="19" t="s">
        <v>73</v>
      </c>
      <c r="E1121" s="19" t="s">
        <v>558</v>
      </c>
      <c r="F1121" s="19" t="s">
        <v>401</v>
      </c>
      <c r="G1121" s="19" t="s">
        <v>557</v>
      </c>
      <c r="H1121" s="19" t="s">
        <v>0</v>
      </c>
    </row>
    <row r="1122" spans="1:8" hidden="1" x14ac:dyDescent="0.25">
      <c r="A1122">
        <v>8933513</v>
      </c>
      <c r="B1122" s="19" t="s">
        <v>12</v>
      </c>
      <c r="C1122" s="19" t="s">
        <v>33</v>
      </c>
      <c r="D1122" s="19" t="s">
        <v>73</v>
      </c>
      <c r="E1122" s="19" t="s">
        <v>558</v>
      </c>
      <c r="F1122" s="19" t="s">
        <v>401</v>
      </c>
      <c r="G1122" s="19" t="s">
        <v>557</v>
      </c>
      <c r="H1122" s="19" t="s">
        <v>0</v>
      </c>
    </row>
    <row r="1123" spans="1:8" hidden="1" x14ac:dyDescent="0.25">
      <c r="A1123">
        <v>8933510</v>
      </c>
      <c r="B1123" s="19" t="s">
        <v>12</v>
      </c>
      <c r="C1123" s="19" t="s">
        <v>33</v>
      </c>
      <c r="D1123" s="19" t="s">
        <v>73</v>
      </c>
      <c r="E1123" s="19" t="s">
        <v>558</v>
      </c>
      <c r="F1123" s="19" t="s">
        <v>401</v>
      </c>
      <c r="G1123" s="19" t="s">
        <v>557</v>
      </c>
      <c r="H1123" s="19" t="s">
        <v>0</v>
      </c>
    </row>
    <row r="1124" spans="1:8" hidden="1" x14ac:dyDescent="0.25">
      <c r="A1124">
        <v>8933485</v>
      </c>
      <c r="B1124" s="19" t="s">
        <v>12</v>
      </c>
      <c r="C1124" s="19" t="s">
        <v>26</v>
      </c>
      <c r="D1124" s="19" t="s">
        <v>54</v>
      </c>
      <c r="E1124" s="19" t="s">
        <v>558</v>
      </c>
      <c r="F1124" s="19" t="s">
        <v>400</v>
      </c>
      <c r="G1124" s="19" t="s">
        <v>557</v>
      </c>
      <c r="H1124" s="19" t="s">
        <v>0</v>
      </c>
    </row>
    <row r="1125" spans="1:8" hidden="1" x14ac:dyDescent="0.25">
      <c r="A1125">
        <v>8933454</v>
      </c>
      <c r="B1125" s="19" t="s">
        <v>12</v>
      </c>
      <c r="C1125" s="19" t="s">
        <v>33</v>
      </c>
      <c r="D1125" s="19" t="s">
        <v>71</v>
      </c>
      <c r="E1125" s="19" t="s">
        <v>558</v>
      </c>
      <c r="F1125" s="19" t="s">
        <v>401</v>
      </c>
      <c r="G1125" s="19" t="s">
        <v>557</v>
      </c>
      <c r="H1125" s="19" t="s">
        <v>0</v>
      </c>
    </row>
    <row r="1126" spans="1:8" hidden="1" x14ac:dyDescent="0.25">
      <c r="A1126">
        <v>8933453</v>
      </c>
      <c r="B1126" s="19" t="s">
        <v>12</v>
      </c>
      <c r="C1126" s="19" t="s">
        <v>26</v>
      </c>
      <c r="D1126" s="19" t="s">
        <v>72</v>
      </c>
      <c r="E1126" s="19" t="s">
        <v>558</v>
      </c>
      <c r="F1126" s="19" t="s">
        <v>400</v>
      </c>
      <c r="G1126" s="19" t="s">
        <v>557</v>
      </c>
      <c r="H1126" s="19" t="s">
        <v>0</v>
      </c>
    </row>
    <row r="1127" spans="1:8" hidden="1" x14ac:dyDescent="0.25">
      <c r="A1127">
        <v>8933449</v>
      </c>
      <c r="B1127" s="19" t="s">
        <v>12</v>
      </c>
      <c r="C1127" s="19" t="s">
        <v>26</v>
      </c>
      <c r="D1127" s="19" t="s">
        <v>54</v>
      </c>
      <c r="E1127" s="19" t="s">
        <v>558</v>
      </c>
      <c r="F1127" s="19" t="s">
        <v>400</v>
      </c>
      <c r="G1127" s="19" t="s">
        <v>557</v>
      </c>
      <c r="H1127" s="19" t="s">
        <v>0</v>
      </c>
    </row>
    <row r="1128" spans="1:8" hidden="1" x14ac:dyDescent="0.25">
      <c r="A1128">
        <v>8933434</v>
      </c>
      <c r="B1128" s="19" t="s">
        <v>12</v>
      </c>
      <c r="C1128" s="19" t="s">
        <v>33</v>
      </c>
      <c r="D1128" s="19" t="s">
        <v>71</v>
      </c>
      <c r="E1128" s="19" t="s">
        <v>558</v>
      </c>
      <c r="F1128" s="19" t="s">
        <v>401</v>
      </c>
      <c r="G1128" s="19" t="s">
        <v>557</v>
      </c>
      <c r="H1128" s="19" t="s">
        <v>0</v>
      </c>
    </row>
    <row r="1129" spans="1:8" hidden="1" x14ac:dyDescent="0.25">
      <c r="A1129">
        <v>8933402</v>
      </c>
      <c r="B1129" s="19" t="s">
        <v>12</v>
      </c>
      <c r="C1129" s="19" t="s">
        <v>26</v>
      </c>
      <c r="D1129" s="19" t="s">
        <v>54</v>
      </c>
      <c r="E1129" s="19" t="s">
        <v>558</v>
      </c>
      <c r="F1129" s="19" t="s">
        <v>400</v>
      </c>
      <c r="G1129" s="19" t="s">
        <v>557</v>
      </c>
      <c r="H1129" s="19" t="s">
        <v>0</v>
      </c>
    </row>
    <row r="1130" spans="1:8" hidden="1" x14ac:dyDescent="0.25">
      <c r="A1130">
        <v>8933400</v>
      </c>
      <c r="B1130" s="19" t="s">
        <v>12</v>
      </c>
      <c r="C1130" s="19" t="s">
        <v>33</v>
      </c>
      <c r="D1130" s="19" t="s">
        <v>54</v>
      </c>
      <c r="E1130" s="19" t="s">
        <v>558</v>
      </c>
      <c r="F1130" s="19" t="s">
        <v>401</v>
      </c>
      <c r="G1130" s="19" t="s">
        <v>557</v>
      </c>
      <c r="H1130" s="19" t="s">
        <v>0</v>
      </c>
    </row>
    <row r="1131" spans="1:8" hidden="1" x14ac:dyDescent="0.25">
      <c r="A1131">
        <v>8933397</v>
      </c>
      <c r="B1131" s="19" t="s">
        <v>24</v>
      </c>
      <c r="C1131" s="19" t="s">
        <v>26</v>
      </c>
      <c r="D1131" s="19" t="s">
        <v>264</v>
      </c>
      <c r="E1131" s="19" t="s">
        <v>558</v>
      </c>
      <c r="F1131" s="19" t="s">
        <v>400</v>
      </c>
      <c r="G1131" s="19" t="s">
        <v>557</v>
      </c>
      <c r="H1131" s="19" t="s">
        <v>0</v>
      </c>
    </row>
    <row r="1132" spans="1:8" hidden="1" x14ac:dyDescent="0.25">
      <c r="A1132">
        <v>8933388</v>
      </c>
      <c r="B1132" s="19" t="s">
        <v>125</v>
      </c>
      <c r="C1132" s="19" t="s">
        <v>26</v>
      </c>
      <c r="D1132" s="19" t="s">
        <v>204</v>
      </c>
      <c r="E1132" s="19" t="s">
        <v>558</v>
      </c>
      <c r="F1132" s="19" t="s">
        <v>400</v>
      </c>
      <c r="G1132" s="19" t="s">
        <v>557</v>
      </c>
      <c r="H1132" s="19" t="s">
        <v>0</v>
      </c>
    </row>
    <row r="1133" spans="1:8" hidden="1" x14ac:dyDescent="0.25">
      <c r="A1133">
        <v>8933386</v>
      </c>
      <c r="B1133" s="19" t="s">
        <v>79</v>
      </c>
      <c r="C1133" s="19" t="s">
        <v>26</v>
      </c>
      <c r="D1133" s="19" t="s">
        <v>136</v>
      </c>
      <c r="E1133" s="19" t="s">
        <v>558</v>
      </c>
      <c r="F1133" s="19" t="s">
        <v>400</v>
      </c>
      <c r="G1133" s="19" t="s">
        <v>557</v>
      </c>
      <c r="H1133" s="19" t="s">
        <v>0</v>
      </c>
    </row>
    <row r="1134" spans="1:8" hidden="1" x14ac:dyDescent="0.25">
      <c r="A1134">
        <v>8933373</v>
      </c>
      <c r="B1134" s="19" t="s">
        <v>18</v>
      </c>
      <c r="C1134" s="19" t="s">
        <v>26</v>
      </c>
      <c r="D1134" s="19" t="s">
        <v>204</v>
      </c>
      <c r="E1134" s="19" t="s">
        <v>558</v>
      </c>
      <c r="F1134" s="19" t="s">
        <v>400</v>
      </c>
      <c r="G1134" s="19" t="s">
        <v>557</v>
      </c>
      <c r="H1134" s="19" t="s">
        <v>0</v>
      </c>
    </row>
    <row r="1135" spans="1:8" hidden="1" x14ac:dyDescent="0.25">
      <c r="A1135">
        <v>8933372</v>
      </c>
      <c r="B1135" s="19" t="s">
        <v>18</v>
      </c>
      <c r="C1135" s="19" t="s">
        <v>26</v>
      </c>
      <c r="D1135" s="19" t="s">
        <v>110</v>
      </c>
      <c r="E1135" s="19" t="s">
        <v>558</v>
      </c>
      <c r="F1135" s="19" t="s">
        <v>400</v>
      </c>
      <c r="G1135" s="19" t="s">
        <v>557</v>
      </c>
      <c r="H1135" s="19" t="s">
        <v>0</v>
      </c>
    </row>
    <row r="1136" spans="1:8" hidden="1" x14ac:dyDescent="0.25">
      <c r="A1136">
        <v>8933367</v>
      </c>
      <c r="B1136" s="19" t="s">
        <v>12</v>
      </c>
      <c r="C1136" s="19" t="s">
        <v>26</v>
      </c>
      <c r="D1136" s="19" t="s">
        <v>214</v>
      </c>
      <c r="E1136" s="19" t="s">
        <v>558</v>
      </c>
      <c r="F1136" s="19" t="s">
        <v>400</v>
      </c>
      <c r="G1136" s="19" t="s">
        <v>557</v>
      </c>
      <c r="H1136" s="19" t="s">
        <v>0</v>
      </c>
    </row>
    <row r="1137" spans="1:8" hidden="1" x14ac:dyDescent="0.25">
      <c r="A1137">
        <v>8933357</v>
      </c>
      <c r="B1137" s="19" t="s">
        <v>79</v>
      </c>
      <c r="C1137" s="19" t="s">
        <v>33</v>
      </c>
      <c r="D1137" s="19" t="s">
        <v>136</v>
      </c>
      <c r="E1137" s="19" t="s">
        <v>558</v>
      </c>
      <c r="F1137" s="19" t="s">
        <v>401</v>
      </c>
      <c r="G1137" s="19" t="s">
        <v>557</v>
      </c>
      <c r="H1137" s="19" t="s">
        <v>0</v>
      </c>
    </row>
    <row r="1138" spans="1:8" hidden="1" x14ac:dyDescent="0.25">
      <c r="A1138">
        <v>8933347</v>
      </c>
      <c r="B1138" s="19" t="s">
        <v>12</v>
      </c>
      <c r="C1138" s="19" t="s">
        <v>26</v>
      </c>
      <c r="D1138" s="19" t="s">
        <v>62</v>
      </c>
      <c r="E1138" s="19" t="s">
        <v>558</v>
      </c>
      <c r="F1138" s="19" t="s">
        <v>400</v>
      </c>
      <c r="G1138" s="19" t="s">
        <v>557</v>
      </c>
      <c r="H1138" s="19" t="s">
        <v>0</v>
      </c>
    </row>
    <row r="1139" spans="1:8" hidden="1" x14ac:dyDescent="0.25">
      <c r="A1139">
        <v>8933340</v>
      </c>
      <c r="B1139" s="19" t="s">
        <v>12</v>
      </c>
      <c r="C1139" s="19" t="s">
        <v>26</v>
      </c>
      <c r="D1139" s="19" t="s">
        <v>265</v>
      </c>
      <c r="E1139" s="19" t="s">
        <v>558</v>
      </c>
      <c r="F1139" s="19" t="s">
        <v>400</v>
      </c>
      <c r="G1139" s="19" t="s">
        <v>557</v>
      </c>
      <c r="H1139" s="19" t="s">
        <v>0</v>
      </c>
    </row>
    <row r="1140" spans="1:8" hidden="1" x14ac:dyDescent="0.25">
      <c r="A1140">
        <v>8933336</v>
      </c>
      <c r="B1140" s="19" t="s">
        <v>12</v>
      </c>
      <c r="C1140" s="19" t="s">
        <v>26</v>
      </c>
      <c r="D1140" s="19" t="s">
        <v>62</v>
      </c>
      <c r="E1140" s="19" t="s">
        <v>558</v>
      </c>
      <c r="F1140" s="19" t="s">
        <v>400</v>
      </c>
      <c r="G1140" s="19" t="s">
        <v>557</v>
      </c>
      <c r="H1140" s="19" t="s">
        <v>0</v>
      </c>
    </row>
    <row r="1141" spans="1:8" hidden="1" x14ac:dyDescent="0.25">
      <c r="A1141">
        <v>8933328</v>
      </c>
      <c r="B1141" s="19" t="s">
        <v>18</v>
      </c>
      <c r="C1141" s="19" t="s">
        <v>26</v>
      </c>
      <c r="D1141" s="19" t="s">
        <v>42</v>
      </c>
      <c r="E1141" s="19" t="s">
        <v>437</v>
      </c>
      <c r="F1141" s="19" t="s">
        <v>400</v>
      </c>
      <c r="G1141" s="19" t="s">
        <v>557</v>
      </c>
      <c r="H1141" s="19" t="s">
        <v>0</v>
      </c>
    </row>
    <row r="1142" spans="1:8" hidden="1" x14ac:dyDescent="0.25">
      <c r="A1142">
        <v>8933327</v>
      </c>
      <c r="B1142" s="19" t="s">
        <v>12</v>
      </c>
      <c r="C1142" s="19" t="s">
        <v>26</v>
      </c>
      <c r="D1142" s="19" t="s">
        <v>42</v>
      </c>
      <c r="E1142" s="19" t="s">
        <v>437</v>
      </c>
      <c r="F1142" s="19" t="s">
        <v>400</v>
      </c>
      <c r="G1142" s="19" t="s">
        <v>557</v>
      </c>
      <c r="H1142" s="19" t="s">
        <v>0</v>
      </c>
    </row>
    <row r="1143" spans="1:8" hidden="1" x14ac:dyDescent="0.25">
      <c r="A1143">
        <v>8933312</v>
      </c>
      <c r="B1143" s="19" t="s">
        <v>12</v>
      </c>
      <c r="C1143" s="19" t="s">
        <v>33</v>
      </c>
      <c r="D1143" s="19" t="s">
        <v>138</v>
      </c>
      <c r="E1143" s="19" t="s">
        <v>456</v>
      </c>
      <c r="F1143" s="19" t="s">
        <v>401</v>
      </c>
      <c r="G1143" s="19" t="s">
        <v>557</v>
      </c>
      <c r="H1143" s="19" t="s">
        <v>0</v>
      </c>
    </row>
    <row r="1144" spans="1:8" hidden="1" x14ac:dyDescent="0.25">
      <c r="A1144">
        <v>8933297</v>
      </c>
      <c r="B1144" s="19" t="s">
        <v>12</v>
      </c>
      <c r="C1144" s="19" t="s">
        <v>26</v>
      </c>
      <c r="D1144" s="19" t="s">
        <v>258</v>
      </c>
      <c r="E1144" s="19" t="s">
        <v>437</v>
      </c>
      <c r="F1144" s="19" t="s">
        <v>400</v>
      </c>
      <c r="G1144" s="19" t="s">
        <v>557</v>
      </c>
      <c r="H1144" s="19" t="s">
        <v>0</v>
      </c>
    </row>
    <row r="1145" spans="1:8" hidden="1" x14ac:dyDescent="0.25">
      <c r="A1145">
        <v>8933295</v>
      </c>
      <c r="B1145" s="19" t="s">
        <v>12</v>
      </c>
      <c r="C1145" s="19" t="s">
        <v>26</v>
      </c>
      <c r="D1145" s="19" t="s">
        <v>266</v>
      </c>
      <c r="E1145" s="19" t="s">
        <v>437</v>
      </c>
      <c r="F1145" s="19" t="s">
        <v>400</v>
      </c>
      <c r="G1145" s="19" t="s">
        <v>557</v>
      </c>
      <c r="H1145" s="19" t="s">
        <v>0</v>
      </c>
    </row>
    <row r="1146" spans="1:8" hidden="1" x14ac:dyDescent="0.25">
      <c r="A1146">
        <v>8933285</v>
      </c>
      <c r="B1146" s="19" t="s">
        <v>12</v>
      </c>
      <c r="C1146" s="19" t="s">
        <v>26</v>
      </c>
      <c r="D1146" s="19" t="s">
        <v>267</v>
      </c>
      <c r="E1146" s="19" t="s">
        <v>437</v>
      </c>
      <c r="F1146" s="19" t="s">
        <v>400</v>
      </c>
      <c r="G1146" s="19" t="s">
        <v>557</v>
      </c>
      <c r="H1146" s="19" t="s">
        <v>0</v>
      </c>
    </row>
    <row r="1147" spans="1:8" hidden="1" x14ac:dyDescent="0.25">
      <c r="A1147">
        <v>8933278</v>
      </c>
      <c r="B1147" s="19" t="s">
        <v>12</v>
      </c>
      <c r="C1147" s="19" t="s">
        <v>26</v>
      </c>
      <c r="D1147" s="19" t="s">
        <v>42</v>
      </c>
      <c r="E1147" s="19" t="s">
        <v>437</v>
      </c>
      <c r="F1147" s="19" t="s">
        <v>400</v>
      </c>
      <c r="G1147" s="19" t="s">
        <v>557</v>
      </c>
      <c r="H1147" s="19" t="s">
        <v>0</v>
      </c>
    </row>
    <row r="1148" spans="1:8" hidden="1" x14ac:dyDescent="0.25">
      <c r="A1148">
        <v>8933260</v>
      </c>
      <c r="B1148" s="19" t="s">
        <v>12</v>
      </c>
      <c r="C1148" s="19" t="s">
        <v>33</v>
      </c>
      <c r="D1148" s="19" t="s">
        <v>212</v>
      </c>
      <c r="E1148" s="19" t="s">
        <v>565</v>
      </c>
      <c r="F1148" s="19" t="s">
        <v>401</v>
      </c>
      <c r="G1148" s="19" t="s">
        <v>557</v>
      </c>
      <c r="H1148" s="19" t="s">
        <v>0</v>
      </c>
    </row>
    <row r="1149" spans="1:8" hidden="1" x14ac:dyDescent="0.25">
      <c r="A1149">
        <v>8933257</v>
      </c>
      <c r="B1149" s="19" t="s">
        <v>12</v>
      </c>
      <c r="C1149" s="19" t="s">
        <v>33</v>
      </c>
      <c r="D1149" s="19" t="s">
        <v>268</v>
      </c>
      <c r="E1149" s="19" t="s">
        <v>565</v>
      </c>
      <c r="F1149" s="19" t="s">
        <v>401</v>
      </c>
      <c r="G1149" s="19" t="s">
        <v>557</v>
      </c>
      <c r="H1149" s="19" t="s">
        <v>0</v>
      </c>
    </row>
    <row r="1150" spans="1:8" hidden="1" x14ac:dyDescent="0.25">
      <c r="A1150">
        <v>8933253</v>
      </c>
      <c r="B1150" s="19" t="s">
        <v>12</v>
      </c>
      <c r="C1150" s="19" t="s">
        <v>33</v>
      </c>
      <c r="D1150" s="19" t="s">
        <v>213</v>
      </c>
      <c r="E1150" s="19" t="s">
        <v>565</v>
      </c>
      <c r="F1150" s="19" t="s">
        <v>401</v>
      </c>
      <c r="G1150" s="19" t="s">
        <v>557</v>
      </c>
      <c r="H1150" s="19" t="s">
        <v>0</v>
      </c>
    </row>
    <row r="1151" spans="1:8" hidden="1" x14ac:dyDescent="0.25">
      <c r="A1151">
        <v>8933252</v>
      </c>
      <c r="B1151" s="19" t="s">
        <v>12</v>
      </c>
      <c r="C1151" s="19" t="s">
        <v>33</v>
      </c>
      <c r="D1151" s="19" t="s">
        <v>269</v>
      </c>
      <c r="E1151" s="19" t="s">
        <v>437</v>
      </c>
      <c r="F1151" s="19" t="s">
        <v>401</v>
      </c>
      <c r="G1151" s="19" t="s">
        <v>557</v>
      </c>
      <c r="H1151" s="19" t="s">
        <v>0</v>
      </c>
    </row>
    <row r="1152" spans="1:8" hidden="1" x14ac:dyDescent="0.25">
      <c r="A1152">
        <v>8933249</v>
      </c>
      <c r="B1152" s="19" t="s">
        <v>12</v>
      </c>
      <c r="C1152" s="19" t="s">
        <v>33</v>
      </c>
      <c r="D1152" s="19" t="s">
        <v>270</v>
      </c>
      <c r="E1152" s="19" t="s">
        <v>437</v>
      </c>
      <c r="F1152" s="19" t="s">
        <v>401</v>
      </c>
      <c r="G1152" s="19" t="s">
        <v>557</v>
      </c>
      <c r="H1152" s="19" t="s">
        <v>0</v>
      </c>
    </row>
    <row r="1153" spans="1:8" hidden="1" x14ac:dyDescent="0.25">
      <c r="A1153">
        <v>8933248</v>
      </c>
      <c r="B1153" s="19" t="s">
        <v>12</v>
      </c>
      <c r="C1153" s="19" t="s">
        <v>33</v>
      </c>
      <c r="D1153" s="19" t="s">
        <v>270</v>
      </c>
      <c r="E1153" s="19" t="s">
        <v>437</v>
      </c>
      <c r="F1153" s="19" t="s">
        <v>401</v>
      </c>
      <c r="G1153" s="19" t="s">
        <v>557</v>
      </c>
      <c r="H1153" s="19" t="s">
        <v>0</v>
      </c>
    </row>
    <row r="1154" spans="1:8" hidden="1" x14ac:dyDescent="0.25">
      <c r="A1154">
        <v>8933240</v>
      </c>
      <c r="B1154" s="19" t="s">
        <v>12</v>
      </c>
      <c r="C1154" s="19" t="s">
        <v>26</v>
      </c>
      <c r="D1154" s="19" t="s">
        <v>204</v>
      </c>
      <c r="E1154" s="19" t="s">
        <v>437</v>
      </c>
      <c r="F1154" s="19" t="s">
        <v>400</v>
      </c>
      <c r="G1154" s="19" t="s">
        <v>557</v>
      </c>
      <c r="H1154" s="19" t="s">
        <v>0</v>
      </c>
    </row>
    <row r="1155" spans="1:8" hidden="1" x14ac:dyDescent="0.25">
      <c r="A1155">
        <v>8933237</v>
      </c>
      <c r="B1155" s="19" t="s">
        <v>12</v>
      </c>
      <c r="C1155" s="19" t="s">
        <v>33</v>
      </c>
      <c r="D1155" s="19" t="s">
        <v>110</v>
      </c>
      <c r="E1155" s="19" t="s">
        <v>437</v>
      </c>
      <c r="F1155" s="19" t="s">
        <v>401</v>
      </c>
      <c r="G1155" s="19" t="s">
        <v>557</v>
      </c>
      <c r="H1155" s="19" t="s">
        <v>0</v>
      </c>
    </row>
    <row r="1156" spans="1:8" hidden="1" x14ac:dyDescent="0.25">
      <c r="A1156">
        <v>8933236</v>
      </c>
      <c r="B1156" s="19" t="s">
        <v>12</v>
      </c>
      <c r="C1156" s="19" t="s">
        <v>33</v>
      </c>
      <c r="D1156" s="19" t="s">
        <v>110</v>
      </c>
      <c r="E1156" s="19" t="s">
        <v>437</v>
      </c>
      <c r="F1156" s="19" t="s">
        <v>401</v>
      </c>
      <c r="G1156" s="19" t="s">
        <v>557</v>
      </c>
      <c r="H1156" s="19" t="s">
        <v>0</v>
      </c>
    </row>
    <row r="1157" spans="1:8" hidden="1" x14ac:dyDescent="0.25">
      <c r="A1157">
        <v>8933234</v>
      </c>
      <c r="B1157" s="19" t="s">
        <v>79</v>
      </c>
      <c r="C1157" s="19" t="s">
        <v>33</v>
      </c>
      <c r="D1157" s="19" t="s">
        <v>110</v>
      </c>
      <c r="E1157" s="19" t="s">
        <v>437</v>
      </c>
      <c r="F1157" s="19" t="s">
        <v>401</v>
      </c>
      <c r="G1157" s="19" t="s">
        <v>557</v>
      </c>
      <c r="H1157" s="19" t="s">
        <v>0</v>
      </c>
    </row>
    <row r="1158" spans="1:8" hidden="1" x14ac:dyDescent="0.25">
      <c r="A1158">
        <v>8933228</v>
      </c>
      <c r="B1158" s="19" t="s">
        <v>12</v>
      </c>
      <c r="C1158" s="19" t="s">
        <v>26</v>
      </c>
      <c r="D1158" s="19" t="s">
        <v>204</v>
      </c>
      <c r="E1158" s="19" t="s">
        <v>437</v>
      </c>
      <c r="F1158" s="19" t="s">
        <v>400</v>
      </c>
      <c r="G1158" s="19" t="s">
        <v>557</v>
      </c>
      <c r="H1158" s="19" t="s">
        <v>0</v>
      </c>
    </row>
    <row r="1159" spans="1:8" hidden="1" x14ac:dyDescent="0.25">
      <c r="A1159">
        <v>8933225</v>
      </c>
      <c r="B1159" s="19" t="s">
        <v>12</v>
      </c>
      <c r="C1159" s="19" t="s">
        <v>26</v>
      </c>
      <c r="D1159" s="19" t="s">
        <v>136</v>
      </c>
      <c r="E1159" s="19" t="s">
        <v>437</v>
      </c>
      <c r="F1159" s="19" t="s">
        <v>400</v>
      </c>
      <c r="G1159" s="19" t="s">
        <v>557</v>
      </c>
      <c r="H1159" s="19" t="s">
        <v>0</v>
      </c>
    </row>
    <row r="1160" spans="1:8" hidden="1" x14ac:dyDescent="0.25">
      <c r="A1160">
        <v>8933222</v>
      </c>
      <c r="B1160" s="19" t="s">
        <v>12</v>
      </c>
      <c r="C1160" s="19" t="s">
        <v>26</v>
      </c>
      <c r="D1160" s="19" t="s">
        <v>204</v>
      </c>
      <c r="E1160" s="19" t="s">
        <v>437</v>
      </c>
      <c r="F1160" s="19" t="s">
        <v>400</v>
      </c>
      <c r="G1160" s="19" t="s">
        <v>557</v>
      </c>
      <c r="H1160" s="19" t="s">
        <v>0</v>
      </c>
    </row>
    <row r="1161" spans="1:8" hidden="1" x14ac:dyDescent="0.25">
      <c r="A1161">
        <v>8933214</v>
      </c>
      <c r="B1161" s="19" t="s">
        <v>12</v>
      </c>
      <c r="C1161" s="19" t="s">
        <v>26</v>
      </c>
      <c r="D1161" s="19" t="s">
        <v>204</v>
      </c>
      <c r="E1161" s="19" t="s">
        <v>437</v>
      </c>
      <c r="F1161" s="19" t="s">
        <v>400</v>
      </c>
      <c r="G1161" s="19" t="s">
        <v>557</v>
      </c>
      <c r="H1161" s="19" t="s">
        <v>0</v>
      </c>
    </row>
    <row r="1162" spans="1:8" hidden="1" x14ac:dyDescent="0.25">
      <c r="A1162">
        <v>8933200</v>
      </c>
      <c r="B1162" s="19" t="s">
        <v>12</v>
      </c>
      <c r="C1162" s="19" t="s">
        <v>26</v>
      </c>
      <c r="D1162" s="19" t="s">
        <v>271</v>
      </c>
      <c r="E1162" s="19" t="s">
        <v>437</v>
      </c>
      <c r="F1162" s="19" t="s">
        <v>400</v>
      </c>
      <c r="G1162" s="19" t="s">
        <v>557</v>
      </c>
      <c r="H1162" s="19" t="s">
        <v>0</v>
      </c>
    </row>
    <row r="1163" spans="1:8" hidden="1" x14ac:dyDescent="0.25">
      <c r="A1163">
        <v>8933197</v>
      </c>
      <c r="B1163" s="19" t="s">
        <v>18</v>
      </c>
      <c r="C1163" s="19" t="s">
        <v>26</v>
      </c>
      <c r="D1163" s="19" t="s">
        <v>214</v>
      </c>
      <c r="E1163" s="19" t="s">
        <v>437</v>
      </c>
      <c r="F1163" s="19" t="s">
        <v>400</v>
      </c>
      <c r="G1163" s="19" t="s">
        <v>557</v>
      </c>
      <c r="H1163" s="19" t="s">
        <v>0</v>
      </c>
    </row>
    <row r="1164" spans="1:8" hidden="1" x14ac:dyDescent="0.25">
      <c r="A1164">
        <v>8933193</v>
      </c>
      <c r="B1164" s="19" t="s">
        <v>12</v>
      </c>
      <c r="C1164" s="19" t="s">
        <v>26</v>
      </c>
      <c r="D1164" s="19" t="s">
        <v>214</v>
      </c>
      <c r="E1164" s="19" t="s">
        <v>437</v>
      </c>
      <c r="F1164" s="19" t="s">
        <v>400</v>
      </c>
      <c r="G1164" s="19" t="s">
        <v>557</v>
      </c>
      <c r="H1164" s="19" t="s">
        <v>0</v>
      </c>
    </row>
    <row r="1165" spans="1:8" hidden="1" x14ac:dyDescent="0.25">
      <c r="A1165">
        <v>8933178</v>
      </c>
      <c r="B1165" s="19" t="s">
        <v>12</v>
      </c>
      <c r="C1165" s="19" t="s">
        <v>26</v>
      </c>
      <c r="D1165" s="19" t="s">
        <v>137</v>
      </c>
      <c r="E1165" s="19" t="s">
        <v>437</v>
      </c>
      <c r="F1165" s="19" t="s">
        <v>400</v>
      </c>
      <c r="G1165" s="19" t="s">
        <v>557</v>
      </c>
      <c r="H1165" s="19" t="s">
        <v>0</v>
      </c>
    </row>
    <row r="1166" spans="1:8" hidden="1" x14ac:dyDescent="0.25">
      <c r="A1166">
        <v>8933177</v>
      </c>
      <c r="B1166" s="19" t="s">
        <v>12</v>
      </c>
      <c r="C1166" s="19" t="s">
        <v>33</v>
      </c>
      <c r="D1166" s="19" t="s">
        <v>137</v>
      </c>
      <c r="E1166" s="19" t="s">
        <v>437</v>
      </c>
      <c r="F1166" s="19" t="s">
        <v>401</v>
      </c>
      <c r="G1166" s="19" t="s">
        <v>557</v>
      </c>
      <c r="H1166" s="19" t="s">
        <v>0</v>
      </c>
    </row>
    <row r="1167" spans="1:8" hidden="1" x14ac:dyDescent="0.25">
      <c r="A1167">
        <v>8933175</v>
      </c>
      <c r="B1167" s="19" t="s">
        <v>79</v>
      </c>
      <c r="C1167" s="19" t="s">
        <v>33</v>
      </c>
      <c r="D1167" s="19" t="s">
        <v>137</v>
      </c>
      <c r="E1167" s="19" t="s">
        <v>437</v>
      </c>
      <c r="F1167" s="19" t="s">
        <v>401</v>
      </c>
      <c r="G1167" s="19" t="s">
        <v>557</v>
      </c>
      <c r="H1167" s="19" t="s">
        <v>0</v>
      </c>
    </row>
    <row r="1168" spans="1:8" hidden="1" x14ac:dyDescent="0.25">
      <c r="A1168">
        <v>8933172</v>
      </c>
      <c r="B1168" s="19" t="s">
        <v>79</v>
      </c>
      <c r="C1168" s="19" t="s">
        <v>26</v>
      </c>
      <c r="D1168" s="19" t="s">
        <v>137</v>
      </c>
      <c r="E1168" s="19" t="s">
        <v>437</v>
      </c>
      <c r="F1168" s="19" t="s">
        <v>400</v>
      </c>
      <c r="G1168" s="19" t="s">
        <v>557</v>
      </c>
      <c r="H1168" s="19" t="s">
        <v>0</v>
      </c>
    </row>
    <row r="1169" spans="1:8" hidden="1" x14ac:dyDescent="0.25">
      <c r="A1169">
        <v>8933170</v>
      </c>
      <c r="B1169" s="19" t="s">
        <v>79</v>
      </c>
      <c r="C1169" s="19" t="s">
        <v>33</v>
      </c>
      <c r="D1169" s="19" t="s">
        <v>137</v>
      </c>
      <c r="E1169" s="19" t="s">
        <v>437</v>
      </c>
      <c r="F1169" s="19" t="s">
        <v>401</v>
      </c>
      <c r="G1169" s="19" t="s">
        <v>557</v>
      </c>
      <c r="H1169" s="19" t="s">
        <v>0</v>
      </c>
    </row>
    <row r="1170" spans="1:8" hidden="1" x14ac:dyDescent="0.25">
      <c r="A1170">
        <v>8933166</v>
      </c>
      <c r="B1170" s="19" t="s">
        <v>18</v>
      </c>
      <c r="C1170" s="19" t="s">
        <v>33</v>
      </c>
      <c r="D1170" s="19" t="s">
        <v>137</v>
      </c>
      <c r="E1170" s="19" t="s">
        <v>437</v>
      </c>
      <c r="F1170" s="19" t="s">
        <v>401</v>
      </c>
      <c r="G1170" s="19" t="s">
        <v>557</v>
      </c>
      <c r="H1170" s="19" t="s">
        <v>0</v>
      </c>
    </row>
    <row r="1171" spans="1:8" hidden="1" x14ac:dyDescent="0.25">
      <c r="A1171">
        <v>8933165</v>
      </c>
      <c r="B1171" s="19" t="s">
        <v>109</v>
      </c>
      <c r="C1171" s="19" t="s">
        <v>33</v>
      </c>
      <c r="D1171" s="19" t="s">
        <v>137</v>
      </c>
      <c r="E1171" s="19" t="s">
        <v>437</v>
      </c>
      <c r="F1171" s="19" t="s">
        <v>401</v>
      </c>
      <c r="G1171" s="19" t="s">
        <v>557</v>
      </c>
      <c r="H1171" s="19" t="s">
        <v>0</v>
      </c>
    </row>
    <row r="1172" spans="1:8" hidden="1" x14ac:dyDescent="0.25">
      <c r="A1172">
        <v>8933158</v>
      </c>
      <c r="B1172" s="19" t="s">
        <v>12</v>
      </c>
      <c r="C1172" s="19" t="s">
        <v>33</v>
      </c>
      <c r="D1172" s="19" t="s">
        <v>137</v>
      </c>
      <c r="E1172" s="19" t="s">
        <v>437</v>
      </c>
      <c r="F1172" s="19" t="s">
        <v>401</v>
      </c>
      <c r="G1172" s="19" t="s">
        <v>557</v>
      </c>
      <c r="H1172" s="19" t="s">
        <v>0</v>
      </c>
    </row>
    <row r="1173" spans="1:8" hidden="1" x14ac:dyDescent="0.25">
      <c r="A1173">
        <v>8933155</v>
      </c>
      <c r="B1173" s="19" t="s">
        <v>12</v>
      </c>
      <c r="C1173" s="19" t="s">
        <v>33</v>
      </c>
      <c r="D1173" s="19" t="s">
        <v>137</v>
      </c>
      <c r="E1173" s="19" t="s">
        <v>437</v>
      </c>
      <c r="F1173" s="19" t="s">
        <v>401</v>
      </c>
      <c r="G1173" s="19" t="s">
        <v>557</v>
      </c>
      <c r="H1173" s="19" t="s">
        <v>0</v>
      </c>
    </row>
    <row r="1174" spans="1:8" hidden="1" x14ac:dyDescent="0.25">
      <c r="A1174">
        <v>8933151</v>
      </c>
      <c r="B1174" s="19" t="s">
        <v>12</v>
      </c>
      <c r="C1174" s="19" t="s">
        <v>33</v>
      </c>
      <c r="D1174" s="19" t="s">
        <v>137</v>
      </c>
      <c r="E1174" s="19" t="s">
        <v>437</v>
      </c>
      <c r="F1174" s="19" t="s">
        <v>401</v>
      </c>
      <c r="G1174" s="19" t="s">
        <v>557</v>
      </c>
      <c r="H1174" s="19" t="s">
        <v>0</v>
      </c>
    </row>
    <row r="1175" spans="1:8" hidden="1" x14ac:dyDescent="0.25">
      <c r="A1175">
        <v>8933147</v>
      </c>
      <c r="B1175" s="19" t="s">
        <v>79</v>
      </c>
      <c r="C1175" s="19" t="s">
        <v>26</v>
      </c>
      <c r="D1175" s="19" t="s">
        <v>137</v>
      </c>
      <c r="E1175" s="19" t="s">
        <v>437</v>
      </c>
      <c r="F1175" s="19" t="s">
        <v>400</v>
      </c>
      <c r="G1175" s="19" t="s">
        <v>557</v>
      </c>
      <c r="H1175" s="19" t="s">
        <v>0</v>
      </c>
    </row>
    <row r="1176" spans="1:8" hidden="1" x14ac:dyDescent="0.25">
      <c r="A1176">
        <v>8933139</v>
      </c>
      <c r="B1176" s="19" t="s">
        <v>12</v>
      </c>
      <c r="C1176" s="19" t="s">
        <v>26</v>
      </c>
      <c r="D1176" s="19" t="s">
        <v>137</v>
      </c>
      <c r="E1176" s="19" t="s">
        <v>437</v>
      </c>
      <c r="F1176" s="19" t="s">
        <v>400</v>
      </c>
      <c r="G1176" s="19" t="s">
        <v>557</v>
      </c>
      <c r="H1176" s="19" t="s">
        <v>0</v>
      </c>
    </row>
    <row r="1177" spans="1:8" hidden="1" x14ac:dyDescent="0.25">
      <c r="A1177">
        <v>8933132</v>
      </c>
      <c r="B1177" s="19" t="s">
        <v>18</v>
      </c>
      <c r="C1177" s="19" t="s">
        <v>33</v>
      </c>
      <c r="D1177" s="19" t="s">
        <v>137</v>
      </c>
      <c r="E1177" s="19" t="s">
        <v>437</v>
      </c>
      <c r="F1177" s="19" t="s">
        <v>401</v>
      </c>
      <c r="G1177" s="19" t="s">
        <v>557</v>
      </c>
      <c r="H1177" s="19" t="s">
        <v>0</v>
      </c>
    </row>
    <row r="1178" spans="1:8" hidden="1" x14ac:dyDescent="0.25">
      <c r="A1178">
        <v>8933129</v>
      </c>
      <c r="B1178" s="19" t="s">
        <v>12</v>
      </c>
      <c r="C1178" s="19" t="s">
        <v>33</v>
      </c>
      <c r="D1178" s="19" t="s">
        <v>137</v>
      </c>
      <c r="E1178" s="19" t="s">
        <v>437</v>
      </c>
      <c r="F1178" s="19" t="s">
        <v>401</v>
      </c>
      <c r="G1178" s="19" t="s">
        <v>557</v>
      </c>
      <c r="H1178" s="19" t="s">
        <v>0</v>
      </c>
    </row>
    <row r="1179" spans="1:8" hidden="1" x14ac:dyDescent="0.25">
      <c r="A1179">
        <v>8933128</v>
      </c>
      <c r="B1179" s="19" t="s">
        <v>18</v>
      </c>
      <c r="C1179" s="19" t="s">
        <v>33</v>
      </c>
      <c r="D1179" s="19" t="s">
        <v>137</v>
      </c>
      <c r="E1179" s="19" t="s">
        <v>437</v>
      </c>
      <c r="F1179" s="19" t="s">
        <v>401</v>
      </c>
      <c r="G1179" s="19" t="s">
        <v>557</v>
      </c>
      <c r="H1179" s="19" t="s">
        <v>0</v>
      </c>
    </row>
    <row r="1180" spans="1:8" hidden="1" x14ac:dyDescent="0.25">
      <c r="A1180">
        <v>8933125</v>
      </c>
      <c r="B1180" s="19" t="s">
        <v>12</v>
      </c>
      <c r="C1180" s="19" t="s">
        <v>33</v>
      </c>
      <c r="D1180" s="19" t="s">
        <v>137</v>
      </c>
      <c r="E1180" s="19" t="s">
        <v>437</v>
      </c>
      <c r="F1180" s="19" t="s">
        <v>401</v>
      </c>
      <c r="G1180" s="19" t="s">
        <v>557</v>
      </c>
      <c r="H1180" s="19" t="s">
        <v>0</v>
      </c>
    </row>
    <row r="1181" spans="1:8" hidden="1" x14ac:dyDescent="0.25">
      <c r="A1181">
        <v>8933122</v>
      </c>
      <c r="B1181" s="19" t="s">
        <v>12</v>
      </c>
      <c r="C1181" s="19" t="s">
        <v>33</v>
      </c>
      <c r="D1181" s="19" t="s">
        <v>137</v>
      </c>
      <c r="E1181" s="19" t="s">
        <v>437</v>
      </c>
      <c r="F1181" s="19" t="s">
        <v>401</v>
      </c>
      <c r="G1181" s="19" t="s">
        <v>557</v>
      </c>
      <c r="H1181" s="19" t="s">
        <v>0</v>
      </c>
    </row>
    <row r="1182" spans="1:8" hidden="1" x14ac:dyDescent="0.25">
      <c r="A1182">
        <v>8933118</v>
      </c>
      <c r="B1182" s="19" t="s">
        <v>12</v>
      </c>
      <c r="C1182" s="19" t="s">
        <v>33</v>
      </c>
      <c r="D1182" s="19" t="s">
        <v>137</v>
      </c>
      <c r="E1182" s="19" t="s">
        <v>437</v>
      </c>
      <c r="F1182" s="19" t="s">
        <v>401</v>
      </c>
      <c r="G1182" s="19" t="s">
        <v>557</v>
      </c>
      <c r="H1182" s="19" t="s">
        <v>0</v>
      </c>
    </row>
    <row r="1183" spans="1:8" hidden="1" x14ac:dyDescent="0.25">
      <c r="A1183">
        <v>8411992</v>
      </c>
      <c r="B1183" s="19" t="s">
        <v>12</v>
      </c>
      <c r="C1183" s="19" t="s">
        <v>33</v>
      </c>
      <c r="D1183" s="19" t="s">
        <v>272</v>
      </c>
      <c r="E1183" s="19" t="s">
        <v>568</v>
      </c>
      <c r="F1183" s="19" t="s">
        <v>401</v>
      </c>
      <c r="G1183" s="19" t="s">
        <v>557</v>
      </c>
      <c r="H1183" s="19" t="s">
        <v>0</v>
      </c>
    </row>
    <row r="1184" spans="1:8" hidden="1" x14ac:dyDescent="0.25">
      <c r="A1184">
        <v>8411989</v>
      </c>
      <c r="B1184" s="19" t="s">
        <v>12</v>
      </c>
      <c r="C1184" s="19" t="s">
        <v>33</v>
      </c>
      <c r="D1184" s="19" t="s">
        <v>272</v>
      </c>
      <c r="E1184" s="19" t="s">
        <v>568</v>
      </c>
      <c r="F1184" s="19" t="s">
        <v>401</v>
      </c>
      <c r="G1184" s="19" t="s">
        <v>557</v>
      </c>
      <c r="H1184" s="19" t="s">
        <v>0</v>
      </c>
    </row>
    <row r="1185" spans="1:8" hidden="1" x14ac:dyDescent="0.25">
      <c r="A1185">
        <v>8411987</v>
      </c>
      <c r="B1185" s="19" t="s">
        <v>12</v>
      </c>
      <c r="C1185" s="19" t="s">
        <v>33</v>
      </c>
      <c r="D1185" s="19" t="s">
        <v>272</v>
      </c>
      <c r="E1185" s="19" t="s">
        <v>568</v>
      </c>
      <c r="F1185" s="19" t="s">
        <v>401</v>
      </c>
      <c r="G1185" s="19" t="s">
        <v>557</v>
      </c>
      <c r="H1185" s="19" t="s">
        <v>0</v>
      </c>
    </row>
    <row r="1186" spans="1:8" hidden="1" x14ac:dyDescent="0.25">
      <c r="A1186">
        <v>8411986</v>
      </c>
      <c r="B1186" s="19" t="s">
        <v>12</v>
      </c>
      <c r="C1186" s="19" t="s">
        <v>33</v>
      </c>
      <c r="D1186" s="19" t="s">
        <v>273</v>
      </c>
      <c r="E1186" s="19" t="s">
        <v>568</v>
      </c>
      <c r="F1186" s="19" t="s">
        <v>401</v>
      </c>
      <c r="G1186" s="19" t="s">
        <v>557</v>
      </c>
      <c r="H1186" s="19" t="s">
        <v>0</v>
      </c>
    </row>
    <row r="1187" spans="1:8" hidden="1" x14ac:dyDescent="0.25">
      <c r="A1187">
        <v>8411980</v>
      </c>
      <c r="B1187" s="19" t="s">
        <v>12</v>
      </c>
      <c r="C1187" s="19" t="s">
        <v>33</v>
      </c>
      <c r="D1187" s="19" t="s">
        <v>274</v>
      </c>
      <c r="E1187" s="19" t="s">
        <v>568</v>
      </c>
      <c r="F1187" s="19" t="s">
        <v>401</v>
      </c>
      <c r="G1187" s="19" t="s">
        <v>557</v>
      </c>
      <c r="H1187" s="19" t="s">
        <v>0</v>
      </c>
    </row>
    <row r="1188" spans="1:8" hidden="1" x14ac:dyDescent="0.25">
      <c r="A1188">
        <v>8411976</v>
      </c>
      <c r="B1188" s="19" t="s">
        <v>12</v>
      </c>
      <c r="C1188" s="19" t="s">
        <v>33</v>
      </c>
      <c r="D1188" s="19" t="s">
        <v>272</v>
      </c>
      <c r="E1188" s="19" t="s">
        <v>568</v>
      </c>
      <c r="F1188" s="19" t="s">
        <v>401</v>
      </c>
      <c r="G1188" s="19" t="s">
        <v>557</v>
      </c>
      <c r="H1188" s="19" t="s">
        <v>0</v>
      </c>
    </row>
    <row r="1189" spans="1:8" hidden="1" x14ac:dyDescent="0.25">
      <c r="A1189">
        <v>8392997</v>
      </c>
      <c r="B1189" s="19" t="s">
        <v>18</v>
      </c>
      <c r="C1189" s="19" t="s">
        <v>26</v>
      </c>
      <c r="D1189" s="19" t="s">
        <v>139</v>
      </c>
      <c r="E1189" s="19" t="s">
        <v>558</v>
      </c>
      <c r="F1189" s="19" t="s">
        <v>400</v>
      </c>
      <c r="G1189" s="19" t="s">
        <v>557</v>
      </c>
      <c r="H1189" s="19" t="s">
        <v>0</v>
      </c>
    </row>
    <row r="1190" spans="1:8" hidden="1" x14ac:dyDescent="0.25">
      <c r="A1190">
        <v>8392991</v>
      </c>
      <c r="B1190" s="19" t="s">
        <v>18</v>
      </c>
      <c r="C1190" s="19" t="s">
        <v>26</v>
      </c>
      <c r="D1190" s="19" t="s">
        <v>139</v>
      </c>
      <c r="E1190" s="19" t="s">
        <v>558</v>
      </c>
      <c r="F1190" s="19" t="s">
        <v>400</v>
      </c>
      <c r="G1190" s="19" t="s">
        <v>557</v>
      </c>
      <c r="H1190" s="19" t="s">
        <v>0</v>
      </c>
    </row>
    <row r="1191" spans="1:8" hidden="1" x14ac:dyDescent="0.25">
      <c r="A1191">
        <v>8392967</v>
      </c>
      <c r="B1191" s="19" t="s">
        <v>79</v>
      </c>
      <c r="C1191" s="19" t="s">
        <v>33</v>
      </c>
      <c r="D1191" s="19" t="s">
        <v>139</v>
      </c>
      <c r="E1191" s="19" t="s">
        <v>558</v>
      </c>
      <c r="F1191" s="19" t="s">
        <v>401</v>
      </c>
      <c r="G1191" s="19" t="s">
        <v>557</v>
      </c>
      <c r="H1191" s="19" t="s">
        <v>0</v>
      </c>
    </row>
    <row r="1192" spans="1:8" hidden="1" x14ac:dyDescent="0.25">
      <c r="A1192">
        <v>8392964</v>
      </c>
      <c r="B1192" s="19" t="s">
        <v>12</v>
      </c>
      <c r="C1192" s="19" t="s">
        <v>33</v>
      </c>
      <c r="D1192" s="19" t="s">
        <v>139</v>
      </c>
      <c r="E1192" s="19" t="s">
        <v>558</v>
      </c>
      <c r="F1192" s="19" t="s">
        <v>401</v>
      </c>
      <c r="G1192" s="19" t="s">
        <v>557</v>
      </c>
      <c r="H1192" s="19" t="s">
        <v>0</v>
      </c>
    </row>
    <row r="1193" spans="1:8" hidden="1" x14ac:dyDescent="0.25">
      <c r="A1193">
        <v>8392960</v>
      </c>
      <c r="B1193" s="19" t="s">
        <v>79</v>
      </c>
      <c r="C1193" s="19" t="s">
        <v>33</v>
      </c>
      <c r="D1193" s="19" t="s">
        <v>139</v>
      </c>
      <c r="E1193" s="19" t="s">
        <v>558</v>
      </c>
      <c r="F1193" s="19" t="s">
        <v>401</v>
      </c>
      <c r="G1193" s="19" t="s">
        <v>557</v>
      </c>
      <c r="H1193" s="19" t="s">
        <v>0</v>
      </c>
    </row>
    <row r="1194" spans="1:8" hidden="1" x14ac:dyDescent="0.25">
      <c r="A1194">
        <v>8392957</v>
      </c>
      <c r="B1194" s="19" t="s">
        <v>79</v>
      </c>
      <c r="C1194" s="19" t="s">
        <v>33</v>
      </c>
      <c r="D1194" s="19" t="s">
        <v>139</v>
      </c>
      <c r="E1194" s="19" t="s">
        <v>558</v>
      </c>
      <c r="F1194" s="19" t="s">
        <v>401</v>
      </c>
      <c r="G1194" s="19" t="s">
        <v>557</v>
      </c>
      <c r="H1194" s="19" t="s">
        <v>0</v>
      </c>
    </row>
    <row r="1195" spans="1:8" hidden="1" x14ac:dyDescent="0.25">
      <c r="A1195">
        <v>8392956</v>
      </c>
      <c r="B1195" s="19" t="s">
        <v>18</v>
      </c>
      <c r="C1195" s="19" t="s">
        <v>26</v>
      </c>
      <c r="D1195" s="19" t="s">
        <v>139</v>
      </c>
      <c r="E1195" s="19" t="s">
        <v>558</v>
      </c>
      <c r="F1195" s="19" t="s">
        <v>400</v>
      </c>
      <c r="G1195" s="19" t="s">
        <v>557</v>
      </c>
      <c r="H1195" s="19" t="s">
        <v>0</v>
      </c>
    </row>
    <row r="1196" spans="1:8" hidden="1" x14ac:dyDescent="0.25">
      <c r="A1196">
        <v>8392949</v>
      </c>
      <c r="B1196" s="19" t="s">
        <v>79</v>
      </c>
      <c r="C1196" s="19" t="s">
        <v>26</v>
      </c>
      <c r="D1196" s="19" t="s">
        <v>139</v>
      </c>
      <c r="E1196" s="19" t="s">
        <v>558</v>
      </c>
      <c r="F1196" s="19" t="s">
        <v>400</v>
      </c>
      <c r="G1196" s="19" t="s">
        <v>557</v>
      </c>
      <c r="H1196" s="19" t="s">
        <v>0</v>
      </c>
    </row>
    <row r="1197" spans="1:8" hidden="1" x14ac:dyDescent="0.25">
      <c r="A1197">
        <v>8392946</v>
      </c>
      <c r="B1197" s="19" t="s">
        <v>12</v>
      </c>
      <c r="C1197" s="19" t="s">
        <v>26</v>
      </c>
      <c r="D1197" s="19" t="s">
        <v>139</v>
      </c>
      <c r="E1197" s="19" t="s">
        <v>558</v>
      </c>
      <c r="F1197" s="19" t="s">
        <v>400</v>
      </c>
      <c r="G1197" s="19" t="s">
        <v>557</v>
      </c>
      <c r="H1197" s="19" t="s">
        <v>0</v>
      </c>
    </row>
    <row r="1198" spans="1:8" hidden="1" x14ac:dyDescent="0.25">
      <c r="A1198">
        <v>8392945</v>
      </c>
      <c r="B1198" s="19" t="s">
        <v>12</v>
      </c>
      <c r="C1198" s="19" t="s">
        <v>26</v>
      </c>
      <c r="D1198" s="19" t="s">
        <v>139</v>
      </c>
      <c r="E1198" s="19" t="s">
        <v>558</v>
      </c>
      <c r="F1198" s="19" t="s">
        <v>400</v>
      </c>
      <c r="G1198" s="19" t="s">
        <v>557</v>
      </c>
      <c r="H1198" s="19" t="s">
        <v>0</v>
      </c>
    </row>
    <row r="1199" spans="1:8" hidden="1" x14ac:dyDescent="0.25">
      <c r="A1199">
        <v>8392944</v>
      </c>
      <c r="B1199" s="19" t="s">
        <v>18</v>
      </c>
      <c r="C1199" s="19" t="s">
        <v>26</v>
      </c>
      <c r="D1199" s="19" t="s">
        <v>139</v>
      </c>
      <c r="E1199" s="19" t="s">
        <v>558</v>
      </c>
      <c r="F1199" s="19" t="s">
        <v>400</v>
      </c>
      <c r="G1199" s="19" t="s">
        <v>557</v>
      </c>
      <c r="H1199" s="19" t="s">
        <v>0</v>
      </c>
    </row>
    <row r="1200" spans="1:8" hidden="1" x14ac:dyDescent="0.25">
      <c r="A1200">
        <v>8392943</v>
      </c>
      <c r="B1200" s="19" t="s">
        <v>18</v>
      </c>
      <c r="C1200" s="19" t="s">
        <v>33</v>
      </c>
      <c r="D1200" s="19" t="s">
        <v>139</v>
      </c>
      <c r="E1200" s="19" t="s">
        <v>558</v>
      </c>
      <c r="F1200" s="19" t="s">
        <v>401</v>
      </c>
      <c r="G1200" s="19" t="s">
        <v>557</v>
      </c>
      <c r="H1200" s="19" t="s">
        <v>0</v>
      </c>
    </row>
    <row r="1201" spans="1:8" hidden="1" x14ac:dyDescent="0.25">
      <c r="A1201">
        <v>8392941</v>
      </c>
      <c r="B1201" s="19" t="s">
        <v>12</v>
      </c>
      <c r="C1201" s="19" t="s">
        <v>33</v>
      </c>
      <c r="D1201" s="19" t="s">
        <v>139</v>
      </c>
      <c r="E1201" s="19" t="s">
        <v>558</v>
      </c>
      <c r="F1201" s="19" t="s">
        <v>401</v>
      </c>
      <c r="G1201" s="19" t="s">
        <v>557</v>
      </c>
      <c r="H1201" s="19" t="s">
        <v>0</v>
      </c>
    </row>
    <row r="1202" spans="1:8" hidden="1" x14ac:dyDescent="0.25">
      <c r="A1202">
        <v>8392940</v>
      </c>
      <c r="B1202" s="19" t="s">
        <v>12</v>
      </c>
      <c r="C1202" s="19" t="s">
        <v>26</v>
      </c>
      <c r="D1202" s="19" t="s">
        <v>139</v>
      </c>
      <c r="E1202" s="19" t="s">
        <v>558</v>
      </c>
      <c r="F1202" s="19" t="s">
        <v>400</v>
      </c>
      <c r="G1202" s="19" t="s">
        <v>557</v>
      </c>
      <c r="H1202" s="19" t="s">
        <v>0</v>
      </c>
    </row>
    <row r="1203" spans="1:8" hidden="1" x14ac:dyDescent="0.25">
      <c r="A1203">
        <v>8392937</v>
      </c>
      <c r="B1203" s="19" t="s">
        <v>79</v>
      </c>
      <c r="C1203" s="19" t="s">
        <v>33</v>
      </c>
      <c r="D1203" s="19" t="s">
        <v>139</v>
      </c>
      <c r="E1203" s="19" t="s">
        <v>558</v>
      </c>
      <c r="F1203" s="19" t="s">
        <v>401</v>
      </c>
      <c r="G1203" s="19" t="s">
        <v>557</v>
      </c>
      <c r="H1203" s="19" t="s">
        <v>0</v>
      </c>
    </row>
    <row r="1204" spans="1:8" hidden="1" x14ac:dyDescent="0.25">
      <c r="A1204">
        <v>8392930</v>
      </c>
      <c r="B1204" s="19" t="s">
        <v>79</v>
      </c>
      <c r="C1204" s="19" t="s">
        <v>33</v>
      </c>
      <c r="D1204" s="19" t="s">
        <v>139</v>
      </c>
      <c r="E1204" s="19" t="s">
        <v>558</v>
      </c>
      <c r="F1204" s="19" t="s">
        <v>401</v>
      </c>
      <c r="G1204" s="19" t="s">
        <v>557</v>
      </c>
      <c r="H1204" s="19" t="s">
        <v>0</v>
      </c>
    </row>
    <row r="1205" spans="1:8" hidden="1" x14ac:dyDescent="0.25">
      <c r="A1205">
        <v>8392929</v>
      </c>
      <c r="B1205" s="19" t="s">
        <v>18</v>
      </c>
      <c r="C1205" s="19" t="s">
        <v>33</v>
      </c>
      <c r="D1205" s="19" t="s">
        <v>139</v>
      </c>
      <c r="E1205" s="19" t="s">
        <v>558</v>
      </c>
      <c r="F1205" s="19" t="s">
        <v>401</v>
      </c>
      <c r="G1205" s="19" t="s">
        <v>557</v>
      </c>
      <c r="H1205" s="19" t="s">
        <v>0</v>
      </c>
    </row>
    <row r="1206" spans="1:8" hidden="1" x14ac:dyDescent="0.25">
      <c r="A1206">
        <v>8392921</v>
      </c>
      <c r="B1206" s="19" t="s">
        <v>12</v>
      </c>
      <c r="C1206" s="19" t="s">
        <v>33</v>
      </c>
      <c r="D1206" s="19" t="s">
        <v>139</v>
      </c>
      <c r="E1206" s="19" t="s">
        <v>558</v>
      </c>
      <c r="F1206" s="19" t="s">
        <v>401</v>
      </c>
      <c r="G1206" s="19" t="s">
        <v>557</v>
      </c>
      <c r="H1206" s="19" t="s">
        <v>0</v>
      </c>
    </row>
    <row r="1207" spans="1:8" hidden="1" x14ac:dyDescent="0.25">
      <c r="A1207">
        <v>8392919</v>
      </c>
      <c r="B1207" s="19" t="s">
        <v>12</v>
      </c>
      <c r="C1207" s="19" t="s">
        <v>33</v>
      </c>
      <c r="D1207" s="19" t="s">
        <v>139</v>
      </c>
      <c r="E1207" s="19" t="s">
        <v>558</v>
      </c>
      <c r="F1207" s="19" t="s">
        <v>401</v>
      </c>
      <c r="G1207" s="19" t="s">
        <v>557</v>
      </c>
      <c r="H1207" s="19" t="s">
        <v>0</v>
      </c>
    </row>
    <row r="1208" spans="1:8" hidden="1" x14ac:dyDescent="0.25">
      <c r="A1208">
        <v>8392914</v>
      </c>
      <c r="B1208" s="19" t="s">
        <v>12</v>
      </c>
      <c r="C1208" s="19" t="s">
        <v>33</v>
      </c>
      <c r="D1208" s="19" t="s">
        <v>139</v>
      </c>
      <c r="E1208" s="19" t="s">
        <v>558</v>
      </c>
      <c r="F1208" s="19" t="s">
        <v>401</v>
      </c>
      <c r="G1208" s="19" t="s">
        <v>557</v>
      </c>
      <c r="H1208" s="19" t="s">
        <v>0</v>
      </c>
    </row>
    <row r="1209" spans="1:8" hidden="1" x14ac:dyDescent="0.25">
      <c r="A1209">
        <v>8392913</v>
      </c>
      <c r="B1209" s="19" t="s">
        <v>12</v>
      </c>
      <c r="C1209" s="19" t="s">
        <v>26</v>
      </c>
      <c r="D1209" s="19" t="s">
        <v>139</v>
      </c>
      <c r="E1209" s="19" t="s">
        <v>558</v>
      </c>
      <c r="F1209" s="19" t="s">
        <v>400</v>
      </c>
      <c r="G1209" s="19" t="s">
        <v>557</v>
      </c>
      <c r="H1209" s="19" t="s">
        <v>0</v>
      </c>
    </row>
    <row r="1210" spans="1:8" hidden="1" x14ac:dyDescent="0.25">
      <c r="A1210">
        <v>8392912</v>
      </c>
      <c r="B1210" s="19" t="s">
        <v>12</v>
      </c>
      <c r="C1210" s="19" t="s">
        <v>26</v>
      </c>
      <c r="D1210" s="19" t="s">
        <v>139</v>
      </c>
      <c r="E1210" s="19" t="s">
        <v>558</v>
      </c>
      <c r="F1210" s="19" t="s">
        <v>400</v>
      </c>
      <c r="G1210" s="19" t="s">
        <v>557</v>
      </c>
      <c r="H1210" s="19" t="s">
        <v>0</v>
      </c>
    </row>
    <row r="1211" spans="1:8" hidden="1" x14ac:dyDescent="0.25">
      <c r="A1211">
        <v>8392909</v>
      </c>
      <c r="B1211" s="19" t="s">
        <v>79</v>
      </c>
      <c r="C1211" s="19" t="s">
        <v>26</v>
      </c>
      <c r="D1211" s="19" t="s">
        <v>139</v>
      </c>
      <c r="E1211" s="19" t="s">
        <v>558</v>
      </c>
      <c r="F1211" s="19" t="s">
        <v>400</v>
      </c>
      <c r="G1211" s="19" t="s">
        <v>557</v>
      </c>
      <c r="H1211" s="19" t="s">
        <v>0</v>
      </c>
    </row>
    <row r="1212" spans="1:8" hidden="1" x14ac:dyDescent="0.25">
      <c r="A1212">
        <v>8392906</v>
      </c>
      <c r="B1212" s="19" t="s">
        <v>18</v>
      </c>
      <c r="C1212" s="19" t="s">
        <v>33</v>
      </c>
      <c r="D1212" s="19" t="s">
        <v>139</v>
      </c>
      <c r="E1212" s="19" t="s">
        <v>558</v>
      </c>
      <c r="F1212" s="19" t="s">
        <v>401</v>
      </c>
      <c r="G1212" s="19" t="s">
        <v>557</v>
      </c>
      <c r="H1212" s="19" t="s">
        <v>0</v>
      </c>
    </row>
    <row r="1213" spans="1:8" hidden="1" x14ac:dyDescent="0.25">
      <c r="A1213">
        <v>8392860</v>
      </c>
      <c r="B1213" s="19" t="s">
        <v>79</v>
      </c>
      <c r="C1213" s="19" t="s">
        <v>26</v>
      </c>
      <c r="D1213" s="19" t="s">
        <v>140</v>
      </c>
      <c r="E1213" s="19" t="s">
        <v>456</v>
      </c>
      <c r="F1213" s="19" t="s">
        <v>400</v>
      </c>
      <c r="G1213" s="19" t="s">
        <v>557</v>
      </c>
      <c r="H1213" s="19" t="s">
        <v>0</v>
      </c>
    </row>
    <row r="1214" spans="1:8" hidden="1" x14ac:dyDescent="0.25">
      <c r="A1214">
        <v>8392857</v>
      </c>
      <c r="B1214" s="19" t="s">
        <v>12</v>
      </c>
      <c r="C1214" s="19" t="s">
        <v>26</v>
      </c>
      <c r="D1214" s="19" t="s">
        <v>140</v>
      </c>
      <c r="E1214" s="19" t="s">
        <v>456</v>
      </c>
      <c r="F1214" s="19" t="s">
        <v>400</v>
      </c>
      <c r="G1214" s="19" t="s">
        <v>557</v>
      </c>
      <c r="H1214" s="19" t="s">
        <v>0</v>
      </c>
    </row>
    <row r="1215" spans="1:8" hidden="1" x14ac:dyDescent="0.25">
      <c r="A1215">
        <v>8392854</v>
      </c>
      <c r="B1215" s="19" t="s">
        <v>79</v>
      </c>
      <c r="C1215" s="19" t="s">
        <v>26</v>
      </c>
      <c r="D1215" s="19" t="s">
        <v>140</v>
      </c>
      <c r="E1215" s="19" t="s">
        <v>456</v>
      </c>
      <c r="F1215" s="19" t="s">
        <v>400</v>
      </c>
      <c r="G1215" s="19" t="s">
        <v>557</v>
      </c>
      <c r="H1215" s="19" t="s">
        <v>0</v>
      </c>
    </row>
    <row r="1216" spans="1:8" hidden="1" x14ac:dyDescent="0.25">
      <c r="A1216">
        <v>8392850</v>
      </c>
      <c r="B1216" s="19" t="s">
        <v>18</v>
      </c>
      <c r="C1216" s="19" t="s">
        <v>26</v>
      </c>
      <c r="D1216" s="19" t="s">
        <v>140</v>
      </c>
      <c r="E1216" s="19" t="s">
        <v>456</v>
      </c>
      <c r="F1216" s="19" t="s">
        <v>400</v>
      </c>
      <c r="G1216" s="19" t="s">
        <v>557</v>
      </c>
      <c r="H1216" s="19" t="s">
        <v>0</v>
      </c>
    </row>
    <row r="1217" spans="1:8" hidden="1" x14ac:dyDescent="0.25">
      <c r="A1217">
        <v>8392846</v>
      </c>
      <c r="B1217" s="19" t="s">
        <v>18</v>
      </c>
      <c r="C1217" s="19" t="s">
        <v>26</v>
      </c>
      <c r="D1217" s="19" t="s">
        <v>140</v>
      </c>
      <c r="E1217" s="19" t="s">
        <v>456</v>
      </c>
      <c r="F1217" s="19" t="s">
        <v>400</v>
      </c>
      <c r="G1217" s="19" t="s">
        <v>557</v>
      </c>
      <c r="H1217" s="19" t="s">
        <v>0</v>
      </c>
    </row>
    <row r="1218" spans="1:8" hidden="1" x14ac:dyDescent="0.25">
      <c r="A1218">
        <v>8392844</v>
      </c>
      <c r="B1218" s="19" t="s">
        <v>12</v>
      </c>
      <c r="C1218" s="19" t="s">
        <v>26</v>
      </c>
      <c r="D1218" s="19" t="s">
        <v>140</v>
      </c>
      <c r="E1218" s="19" t="s">
        <v>456</v>
      </c>
      <c r="F1218" s="19" t="s">
        <v>400</v>
      </c>
      <c r="G1218" s="19" t="s">
        <v>557</v>
      </c>
      <c r="H1218" s="19" t="s">
        <v>0</v>
      </c>
    </row>
    <row r="1219" spans="1:8" hidden="1" x14ac:dyDescent="0.25">
      <c r="A1219">
        <v>8392829</v>
      </c>
      <c r="B1219" s="19" t="s">
        <v>109</v>
      </c>
      <c r="C1219" s="19" t="s">
        <v>26</v>
      </c>
      <c r="D1219" s="19" t="s">
        <v>140</v>
      </c>
      <c r="E1219" s="19" t="s">
        <v>456</v>
      </c>
      <c r="F1219" s="19" t="s">
        <v>400</v>
      </c>
      <c r="G1219" s="19" t="s">
        <v>557</v>
      </c>
      <c r="H1219" s="19" t="s">
        <v>0</v>
      </c>
    </row>
    <row r="1220" spans="1:8" hidden="1" x14ac:dyDescent="0.25">
      <c r="A1220">
        <v>8392824</v>
      </c>
      <c r="B1220" s="19" t="s">
        <v>12</v>
      </c>
      <c r="C1220" s="19" t="s">
        <v>33</v>
      </c>
      <c r="D1220" s="19" t="s">
        <v>140</v>
      </c>
      <c r="E1220" s="19" t="s">
        <v>456</v>
      </c>
      <c r="F1220" s="19" t="s">
        <v>401</v>
      </c>
      <c r="G1220" s="19" t="s">
        <v>557</v>
      </c>
      <c r="H1220" s="19" t="s">
        <v>0</v>
      </c>
    </row>
    <row r="1221" spans="1:8" hidden="1" x14ac:dyDescent="0.25">
      <c r="A1221">
        <v>8392809</v>
      </c>
      <c r="B1221" s="19" t="s">
        <v>18</v>
      </c>
      <c r="C1221" s="19" t="s">
        <v>26</v>
      </c>
      <c r="D1221" s="19" t="s">
        <v>140</v>
      </c>
      <c r="E1221" s="19" t="s">
        <v>456</v>
      </c>
      <c r="F1221" s="19" t="s">
        <v>400</v>
      </c>
      <c r="G1221" s="19" t="s">
        <v>557</v>
      </c>
      <c r="H1221" s="19" t="s">
        <v>0</v>
      </c>
    </row>
    <row r="1222" spans="1:8" hidden="1" x14ac:dyDescent="0.25">
      <c r="A1222">
        <v>8392789</v>
      </c>
      <c r="B1222" s="19" t="s">
        <v>12</v>
      </c>
      <c r="C1222" s="19" t="s">
        <v>33</v>
      </c>
      <c r="D1222" s="19" t="s">
        <v>140</v>
      </c>
      <c r="E1222" s="19" t="s">
        <v>456</v>
      </c>
      <c r="F1222" s="19" t="s">
        <v>401</v>
      </c>
      <c r="G1222" s="19" t="s">
        <v>557</v>
      </c>
      <c r="H1222" s="19" t="s">
        <v>0</v>
      </c>
    </row>
    <row r="1223" spans="1:8" hidden="1" x14ac:dyDescent="0.25">
      <c r="A1223">
        <v>8392740</v>
      </c>
      <c r="B1223" s="19" t="s">
        <v>18</v>
      </c>
      <c r="C1223" s="19" t="s">
        <v>26</v>
      </c>
      <c r="D1223" s="19" t="s">
        <v>203</v>
      </c>
      <c r="E1223" s="19" t="s">
        <v>561</v>
      </c>
      <c r="F1223" s="19" t="s">
        <v>400</v>
      </c>
      <c r="G1223" s="19" t="s">
        <v>557</v>
      </c>
      <c r="H1223" s="19" t="s">
        <v>0</v>
      </c>
    </row>
    <row r="1224" spans="1:8" hidden="1" x14ac:dyDescent="0.25">
      <c r="A1224">
        <v>8392739</v>
      </c>
      <c r="B1224" s="19" t="s">
        <v>12</v>
      </c>
      <c r="C1224" s="19" t="s">
        <v>26</v>
      </c>
      <c r="D1224" s="19" t="s">
        <v>203</v>
      </c>
      <c r="E1224" s="19" t="s">
        <v>561</v>
      </c>
      <c r="F1224" s="19" t="s">
        <v>400</v>
      </c>
      <c r="G1224" s="19" t="s">
        <v>557</v>
      </c>
      <c r="H1224" s="19" t="s">
        <v>0</v>
      </c>
    </row>
    <row r="1225" spans="1:8" hidden="1" x14ac:dyDescent="0.25">
      <c r="A1225">
        <v>8392660</v>
      </c>
      <c r="B1225" s="19" t="s">
        <v>24</v>
      </c>
      <c r="C1225" s="19" t="s">
        <v>33</v>
      </c>
      <c r="D1225" s="19" t="s">
        <v>275</v>
      </c>
      <c r="E1225" s="19" t="s">
        <v>561</v>
      </c>
      <c r="F1225" s="19" t="s">
        <v>401</v>
      </c>
      <c r="G1225" s="19" t="s">
        <v>557</v>
      </c>
      <c r="H1225" s="19" t="s">
        <v>0</v>
      </c>
    </row>
    <row r="1226" spans="1:8" hidden="1" x14ac:dyDescent="0.25">
      <c r="A1226">
        <v>8392641</v>
      </c>
      <c r="B1226" s="19" t="s">
        <v>12</v>
      </c>
      <c r="C1226" s="19" t="s">
        <v>33</v>
      </c>
      <c r="D1226" s="19" t="s">
        <v>226</v>
      </c>
      <c r="E1226" s="19" t="s">
        <v>561</v>
      </c>
      <c r="F1226" s="19" t="s">
        <v>401</v>
      </c>
      <c r="G1226" s="19" t="s">
        <v>557</v>
      </c>
      <c r="H1226" s="19" t="s">
        <v>0</v>
      </c>
    </row>
    <row r="1227" spans="1:8" hidden="1" x14ac:dyDescent="0.25">
      <c r="A1227">
        <v>8392596</v>
      </c>
      <c r="B1227" s="19" t="s">
        <v>18</v>
      </c>
      <c r="C1227" s="19" t="s">
        <v>26</v>
      </c>
      <c r="D1227" s="19" t="s">
        <v>141</v>
      </c>
      <c r="E1227" s="19" t="s">
        <v>437</v>
      </c>
      <c r="F1227" s="19" t="s">
        <v>400</v>
      </c>
      <c r="G1227" s="19" t="s">
        <v>557</v>
      </c>
      <c r="H1227" s="19" t="s">
        <v>0</v>
      </c>
    </row>
    <row r="1228" spans="1:8" hidden="1" x14ac:dyDescent="0.25">
      <c r="A1228">
        <v>8392591</v>
      </c>
      <c r="B1228" s="19" t="s">
        <v>12</v>
      </c>
      <c r="C1228" s="19" t="s">
        <v>33</v>
      </c>
      <c r="D1228" s="19" t="s">
        <v>141</v>
      </c>
      <c r="E1228" s="19" t="s">
        <v>437</v>
      </c>
      <c r="F1228" s="19" t="s">
        <v>401</v>
      </c>
      <c r="G1228" s="19" t="s">
        <v>557</v>
      </c>
      <c r="H1228" s="19" t="s">
        <v>0</v>
      </c>
    </row>
    <row r="1229" spans="1:8" hidden="1" x14ac:dyDescent="0.25">
      <c r="A1229">
        <v>8392581</v>
      </c>
      <c r="B1229" s="19" t="s">
        <v>12</v>
      </c>
      <c r="C1229" s="19" t="s">
        <v>26</v>
      </c>
      <c r="D1229" s="19" t="s">
        <v>142</v>
      </c>
      <c r="E1229" s="19" t="s">
        <v>437</v>
      </c>
      <c r="F1229" s="19" t="s">
        <v>400</v>
      </c>
      <c r="G1229" s="19" t="s">
        <v>557</v>
      </c>
      <c r="H1229" s="19" t="s">
        <v>0</v>
      </c>
    </row>
    <row r="1230" spans="1:8" hidden="1" x14ac:dyDescent="0.25">
      <c r="A1230">
        <v>8392555</v>
      </c>
      <c r="B1230" s="19" t="s">
        <v>79</v>
      </c>
      <c r="C1230" s="19" t="s">
        <v>26</v>
      </c>
      <c r="D1230" s="19" t="s">
        <v>141</v>
      </c>
      <c r="E1230" s="19" t="s">
        <v>437</v>
      </c>
      <c r="F1230" s="19" t="s">
        <v>400</v>
      </c>
      <c r="G1230" s="19" t="s">
        <v>557</v>
      </c>
      <c r="H1230" s="19" t="s">
        <v>0</v>
      </c>
    </row>
    <row r="1231" spans="1:8" hidden="1" x14ac:dyDescent="0.25">
      <c r="A1231">
        <v>8392540</v>
      </c>
      <c r="B1231" s="19" t="s">
        <v>18</v>
      </c>
      <c r="C1231" s="19" t="s">
        <v>26</v>
      </c>
      <c r="D1231" s="19" t="s">
        <v>141</v>
      </c>
      <c r="E1231" s="19" t="s">
        <v>437</v>
      </c>
      <c r="F1231" s="19" t="s">
        <v>400</v>
      </c>
      <c r="G1231" s="19" t="s">
        <v>557</v>
      </c>
      <c r="H1231" s="19" t="s">
        <v>0</v>
      </c>
    </row>
    <row r="1232" spans="1:8" hidden="1" x14ac:dyDescent="0.25">
      <c r="A1232">
        <v>8392537</v>
      </c>
      <c r="B1232" s="19" t="s">
        <v>12</v>
      </c>
      <c r="C1232" s="19" t="s">
        <v>26</v>
      </c>
      <c r="D1232" s="19" t="s">
        <v>141</v>
      </c>
      <c r="E1232" s="19" t="s">
        <v>437</v>
      </c>
      <c r="F1232" s="19" t="s">
        <v>400</v>
      </c>
      <c r="G1232" s="19" t="s">
        <v>557</v>
      </c>
      <c r="H1232" s="19" t="s">
        <v>0</v>
      </c>
    </row>
    <row r="1233" spans="1:8" hidden="1" x14ac:dyDescent="0.25">
      <c r="A1233">
        <v>8392525</v>
      </c>
      <c r="B1233" s="19" t="s">
        <v>18</v>
      </c>
      <c r="C1233" s="19" t="s">
        <v>26</v>
      </c>
      <c r="D1233" s="19" t="s">
        <v>275</v>
      </c>
      <c r="E1233" s="19" t="s">
        <v>437</v>
      </c>
      <c r="F1233" s="19" t="s">
        <v>400</v>
      </c>
      <c r="G1233" s="19" t="s">
        <v>557</v>
      </c>
      <c r="H1233" s="19" t="s">
        <v>0</v>
      </c>
    </row>
    <row r="1234" spans="1:8" hidden="1" x14ac:dyDescent="0.25">
      <c r="A1234">
        <v>8392498</v>
      </c>
      <c r="B1234" s="19" t="s">
        <v>12</v>
      </c>
      <c r="C1234" s="19" t="s">
        <v>33</v>
      </c>
      <c r="D1234" s="19" t="s">
        <v>142</v>
      </c>
      <c r="E1234" s="19" t="s">
        <v>437</v>
      </c>
      <c r="F1234" s="19" t="s">
        <v>401</v>
      </c>
      <c r="G1234" s="19" t="s">
        <v>557</v>
      </c>
      <c r="H1234" s="19" t="s">
        <v>0</v>
      </c>
    </row>
    <row r="1235" spans="1:8" hidden="1" x14ac:dyDescent="0.25">
      <c r="A1235">
        <v>8392472</v>
      </c>
      <c r="B1235" s="19" t="s">
        <v>79</v>
      </c>
      <c r="C1235" s="19" t="s">
        <v>33</v>
      </c>
      <c r="D1235" s="19" t="s">
        <v>142</v>
      </c>
      <c r="E1235" s="19" t="s">
        <v>437</v>
      </c>
      <c r="F1235" s="19" t="s">
        <v>401</v>
      </c>
      <c r="G1235" s="19" t="s">
        <v>557</v>
      </c>
      <c r="H1235" s="19" t="s">
        <v>0</v>
      </c>
    </row>
    <row r="1236" spans="1:8" hidden="1" x14ac:dyDescent="0.25">
      <c r="A1236">
        <v>8392468</v>
      </c>
      <c r="B1236" s="19" t="s">
        <v>79</v>
      </c>
      <c r="C1236" s="19" t="s">
        <v>26</v>
      </c>
      <c r="D1236" s="19" t="s">
        <v>142</v>
      </c>
      <c r="E1236" s="19" t="s">
        <v>437</v>
      </c>
      <c r="F1236" s="19" t="s">
        <v>400</v>
      </c>
      <c r="G1236" s="19" t="s">
        <v>557</v>
      </c>
      <c r="H1236" s="19" t="s">
        <v>0</v>
      </c>
    </row>
    <row r="1237" spans="1:8" hidden="1" x14ac:dyDescent="0.25">
      <c r="A1237">
        <v>8392416</v>
      </c>
      <c r="B1237" s="19" t="s">
        <v>24</v>
      </c>
      <c r="C1237" s="19" t="s">
        <v>26</v>
      </c>
      <c r="D1237" s="19" t="s">
        <v>142</v>
      </c>
      <c r="E1237" s="19" t="s">
        <v>437</v>
      </c>
      <c r="F1237" s="19" t="s">
        <v>400</v>
      </c>
      <c r="G1237" s="19" t="s">
        <v>557</v>
      </c>
      <c r="H1237" s="19" t="s">
        <v>0</v>
      </c>
    </row>
    <row r="1238" spans="1:8" hidden="1" x14ac:dyDescent="0.25">
      <c r="A1238">
        <v>8161641</v>
      </c>
      <c r="B1238" s="19" t="s">
        <v>12</v>
      </c>
      <c r="C1238" s="19" t="s">
        <v>33</v>
      </c>
      <c r="D1238" s="19" t="s">
        <v>276</v>
      </c>
      <c r="E1238" s="19" t="s">
        <v>565</v>
      </c>
      <c r="F1238" s="19" t="s">
        <v>401</v>
      </c>
      <c r="G1238" s="19" t="s">
        <v>557</v>
      </c>
      <c r="H1238" s="19" t="s">
        <v>0</v>
      </c>
    </row>
    <row r="1239" spans="1:8" hidden="1" x14ac:dyDescent="0.25">
      <c r="A1239">
        <v>8093565</v>
      </c>
      <c r="B1239" s="19" t="s">
        <v>79</v>
      </c>
      <c r="C1239" s="19" t="s">
        <v>26</v>
      </c>
      <c r="D1239" s="19" t="s">
        <v>277</v>
      </c>
      <c r="E1239" s="19" t="s">
        <v>589</v>
      </c>
      <c r="F1239" s="19" t="s">
        <v>400</v>
      </c>
      <c r="G1239" s="19" t="s">
        <v>557</v>
      </c>
      <c r="H1239" s="19" t="s">
        <v>0</v>
      </c>
    </row>
    <row r="1240" spans="1:8" hidden="1" x14ac:dyDescent="0.25">
      <c r="A1240">
        <v>8092374</v>
      </c>
      <c r="B1240" s="19" t="s">
        <v>12</v>
      </c>
      <c r="C1240" s="19" t="s">
        <v>26</v>
      </c>
      <c r="D1240" s="19" t="s">
        <v>180</v>
      </c>
      <c r="E1240" s="19" t="s">
        <v>437</v>
      </c>
      <c r="F1240" s="19" t="s">
        <v>400</v>
      </c>
      <c r="G1240" s="19" t="s">
        <v>557</v>
      </c>
      <c r="H1240" s="19" t="s">
        <v>0</v>
      </c>
    </row>
    <row r="1241" spans="1:8" hidden="1" x14ac:dyDescent="0.25">
      <c r="A1241">
        <v>8092359</v>
      </c>
      <c r="B1241" s="19" t="s">
        <v>12</v>
      </c>
      <c r="C1241" s="19" t="s">
        <v>26</v>
      </c>
      <c r="D1241" s="19" t="s">
        <v>180</v>
      </c>
      <c r="E1241" s="19" t="s">
        <v>437</v>
      </c>
      <c r="F1241" s="19" t="s">
        <v>400</v>
      </c>
      <c r="G1241" s="19" t="s">
        <v>557</v>
      </c>
      <c r="H1241" s="19" t="s">
        <v>0</v>
      </c>
    </row>
    <row r="1242" spans="1:8" hidden="1" x14ac:dyDescent="0.25">
      <c r="A1242">
        <v>8092299</v>
      </c>
      <c r="B1242" s="19" t="s">
        <v>12</v>
      </c>
      <c r="C1242" s="19" t="s">
        <v>38</v>
      </c>
      <c r="D1242" s="19" t="s">
        <v>278</v>
      </c>
      <c r="E1242" s="19" t="s">
        <v>565</v>
      </c>
      <c r="F1242" s="19" t="s">
        <v>401</v>
      </c>
      <c r="G1242" s="19" t="s">
        <v>557</v>
      </c>
      <c r="H1242" s="19" t="s">
        <v>0</v>
      </c>
    </row>
    <row r="1243" spans="1:8" hidden="1" x14ac:dyDescent="0.25">
      <c r="A1243">
        <v>8092294</v>
      </c>
      <c r="B1243" s="19" t="s">
        <v>12</v>
      </c>
      <c r="C1243" s="19" t="s">
        <v>26</v>
      </c>
      <c r="D1243" s="19" t="s">
        <v>279</v>
      </c>
      <c r="E1243" s="19" t="s">
        <v>437</v>
      </c>
      <c r="F1243" s="19" t="s">
        <v>400</v>
      </c>
      <c r="G1243" s="19" t="s">
        <v>557</v>
      </c>
      <c r="H1243" s="19" t="s">
        <v>0</v>
      </c>
    </row>
    <row r="1244" spans="1:8" hidden="1" x14ac:dyDescent="0.25">
      <c r="A1244">
        <v>8092284</v>
      </c>
      <c r="B1244" s="19" t="s">
        <v>18</v>
      </c>
      <c r="C1244" s="19" t="s">
        <v>26</v>
      </c>
      <c r="D1244" s="19" t="s">
        <v>145</v>
      </c>
      <c r="E1244" s="19" t="s">
        <v>437</v>
      </c>
      <c r="F1244" s="19" t="s">
        <v>400</v>
      </c>
      <c r="G1244" s="19" t="s">
        <v>557</v>
      </c>
      <c r="H1244" s="19" t="s">
        <v>0</v>
      </c>
    </row>
    <row r="1245" spans="1:8" hidden="1" x14ac:dyDescent="0.25">
      <c r="A1245">
        <v>8092273</v>
      </c>
      <c r="B1245" s="19" t="s">
        <v>24</v>
      </c>
      <c r="C1245" s="19" t="s">
        <v>33</v>
      </c>
      <c r="D1245" s="19" t="s">
        <v>229</v>
      </c>
      <c r="E1245" s="19" t="s">
        <v>437</v>
      </c>
      <c r="F1245" s="19" t="s">
        <v>401</v>
      </c>
      <c r="G1245" s="19" t="s">
        <v>557</v>
      </c>
      <c r="H1245" s="19" t="s">
        <v>0</v>
      </c>
    </row>
    <row r="1246" spans="1:8" hidden="1" x14ac:dyDescent="0.25">
      <c r="A1246">
        <v>8092272</v>
      </c>
      <c r="B1246" s="19" t="s">
        <v>24</v>
      </c>
      <c r="C1246" s="19" t="s">
        <v>33</v>
      </c>
      <c r="D1246" s="19" t="s">
        <v>229</v>
      </c>
      <c r="E1246" s="19" t="s">
        <v>437</v>
      </c>
      <c r="F1246" s="19" t="s">
        <v>401</v>
      </c>
      <c r="G1246" s="19" t="s">
        <v>557</v>
      </c>
      <c r="H1246" s="19" t="s">
        <v>0</v>
      </c>
    </row>
    <row r="1247" spans="1:8" hidden="1" x14ac:dyDescent="0.25">
      <c r="A1247">
        <v>8092237</v>
      </c>
      <c r="B1247" s="19" t="s">
        <v>24</v>
      </c>
      <c r="C1247" s="19" t="s">
        <v>26</v>
      </c>
      <c r="D1247" s="19" t="s">
        <v>216</v>
      </c>
      <c r="E1247" s="19" t="s">
        <v>561</v>
      </c>
      <c r="F1247" s="19" t="s">
        <v>400</v>
      </c>
      <c r="G1247" s="19" t="s">
        <v>557</v>
      </c>
      <c r="H1247" s="19" t="s">
        <v>0</v>
      </c>
    </row>
    <row r="1248" spans="1:8" hidden="1" x14ac:dyDescent="0.25">
      <c r="A1248">
        <v>8092235</v>
      </c>
      <c r="B1248" s="19" t="s">
        <v>79</v>
      </c>
      <c r="C1248" s="19" t="s">
        <v>26</v>
      </c>
      <c r="D1248" s="19" t="s">
        <v>216</v>
      </c>
      <c r="E1248" s="19" t="s">
        <v>561</v>
      </c>
      <c r="F1248" s="19" t="s">
        <v>400</v>
      </c>
      <c r="G1248" s="19" t="s">
        <v>557</v>
      </c>
      <c r="H1248" s="19" t="s">
        <v>0</v>
      </c>
    </row>
    <row r="1249" spans="1:8" hidden="1" x14ac:dyDescent="0.25">
      <c r="A1249">
        <v>8092171</v>
      </c>
      <c r="B1249" s="19" t="s">
        <v>24</v>
      </c>
      <c r="C1249" s="19" t="s">
        <v>26</v>
      </c>
      <c r="D1249" s="19" t="s">
        <v>180</v>
      </c>
      <c r="E1249" s="19" t="s">
        <v>437</v>
      </c>
      <c r="F1249" s="19" t="s">
        <v>400</v>
      </c>
      <c r="G1249" s="19" t="s">
        <v>557</v>
      </c>
      <c r="H1249" s="19" t="s">
        <v>0</v>
      </c>
    </row>
    <row r="1250" spans="1:8" hidden="1" x14ac:dyDescent="0.25">
      <c r="A1250">
        <v>8092128</v>
      </c>
      <c r="B1250" s="19" t="s">
        <v>24</v>
      </c>
      <c r="C1250" s="19" t="s">
        <v>26</v>
      </c>
      <c r="D1250" s="19" t="s">
        <v>180</v>
      </c>
      <c r="E1250" s="19" t="s">
        <v>437</v>
      </c>
      <c r="F1250" s="19" t="s">
        <v>400</v>
      </c>
      <c r="G1250" s="19" t="s">
        <v>557</v>
      </c>
      <c r="H1250" s="19" t="s">
        <v>0</v>
      </c>
    </row>
    <row r="1251" spans="1:8" hidden="1" x14ac:dyDescent="0.25">
      <c r="A1251">
        <v>8092115</v>
      </c>
      <c r="B1251" s="19" t="s">
        <v>12</v>
      </c>
      <c r="C1251" s="19" t="s">
        <v>26</v>
      </c>
      <c r="D1251" s="19" t="s">
        <v>216</v>
      </c>
      <c r="E1251" s="19" t="s">
        <v>437</v>
      </c>
      <c r="F1251" s="19" t="s">
        <v>400</v>
      </c>
      <c r="G1251" s="19" t="s">
        <v>557</v>
      </c>
      <c r="H1251" s="19" t="s">
        <v>0</v>
      </c>
    </row>
    <row r="1252" spans="1:8" hidden="1" x14ac:dyDescent="0.25">
      <c r="A1252">
        <v>8092113</v>
      </c>
      <c r="B1252" s="19" t="s">
        <v>79</v>
      </c>
      <c r="C1252" s="19" t="s">
        <v>26</v>
      </c>
      <c r="D1252" s="19" t="s">
        <v>180</v>
      </c>
      <c r="E1252" s="19" t="s">
        <v>437</v>
      </c>
      <c r="F1252" s="19" t="s">
        <v>400</v>
      </c>
      <c r="G1252" s="19" t="s">
        <v>557</v>
      </c>
      <c r="H1252" s="19" t="s">
        <v>0</v>
      </c>
    </row>
    <row r="1253" spans="1:8" hidden="1" x14ac:dyDescent="0.25">
      <c r="A1253">
        <v>8092107</v>
      </c>
      <c r="B1253" s="19" t="s">
        <v>12</v>
      </c>
      <c r="C1253" s="19" t="s">
        <v>26</v>
      </c>
      <c r="D1253" s="19" t="s">
        <v>216</v>
      </c>
      <c r="E1253" s="19" t="s">
        <v>437</v>
      </c>
      <c r="F1253" s="19" t="s">
        <v>400</v>
      </c>
      <c r="G1253" s="19" t="s">
        <v>557</v>
      </c>
      <c r="H1253" s="19" t="s">
        <v>0</v>
      </c>
    </row>
    <row r="1254" spans="1:8" hidden="1" x14ac:dyDescent="0.25">
      <c r="A1254">
        <v>8092101</v>
      </c>
      <c r="B1254" s="19" t="s">
        <v>12</v>
      </c>
      <c r="C1254" s="19" t="s">
        <v>26</v>
      </c>
      <c r="D1254" s="19" t="s">
        <v>180</v>
      </c>
      <c r="E1254" s="19" t="s">
        <v>437</v>
      </c>
      <c r="F1254" s="19" t="s">
        <v>400</v>
      </c>
      <c r="G1254" s="19" t="s">
        <v>557</v>
      </c>
      <c r="H1254" s="19" t="s">
        <v>0</v>
      </c>
    </row>
    <row r="1255" spans="1:8" hidden="1" x14ac:dyDescent="0.25">
      <c r="A1255">
        <v>8092094</v>
      </c>
      <c r="B1255" s="19" t="s">
        <v>24</v>
      </c>
      <c r="C1255" s="19" t="s">
        <v>33</v>
      </c>
      <c r="D1255" s="19" t="s">
        <v>280</v>
      </c>
      <c r="E1255" s="19" t="s">
        <v>437</v>
      </c>
      <c r="F1255" s="19" t="s">
        <v>401</v>
      </c>
      <c r="G1255" s="19" t="s">
        <v>557</v>
      </c>
      <c r="H1255" s="19" t="s">
        <v>0</v>
      </c>
    </row>
    <row r="1256" spans="1:8" hidden="1" x14ac:dyDescent="0.25">
      <c r="A1256">
        <v>8092089</v>
      </c>
      <c r="B1256" s="19" t="s">
        <v>12</v>
      </c>
      <c r="C1256" s="19" t="s">
        <v>26</v>
      </c>
      <c r="D1256" s="19" t="s">
        <v>216</v>
      </c>
      <c r="E1256" s="19" t="s">
        <v>437</v>
      </c>
      <c r="F1256" s="19" t="s">
        <v>400</v>
      </c>
      <c r="G1256" s="19" t="s">
        <v>557</v>
      </c>
      <c r="H1256" s="19" t="s">
        <v>0</v>
      </c>
    </row>
    <row r="1257" spans="1:8" hidden="1" x14ac:dyDescent="0.25">
      <c r="A1257">
        <v>8092016</v>
      </c>
      <c r="B1257" s="19" t="s">
        <v>18</v>
      </c>
      <c r="C1257" s="19" t="s">
        <v>26</v>
      </c>
      <c r="D1257" s="19" t="s">
        <v>217</v>
      </c>
      <c r="E1257" s="19" t="s">
        <v>437</v>
      </c>
      <c r="F1257" s="19" t="s">
        <v>400</v>
      </c>
      <c r="G1257" s="19" t="s">
        <v>557</v>
      </c>
      <c r="H1257" s="19" t="s">
        <v>0</v>
      </c>
    </row>
    <row r="1258" spans="1:8" hidden="1" x14ac:dyDescent="0.25">
      <c r="A1258">
        <v>6165836</v>
      </c>
      <c r="B1258" s="19" t="s">
        <v>12</v>
      </c>
      <c r="C1258" s="19" t="s">
        <v>33</v>
      </c>
      <c r="D1258" s="19" t="s">
        <v>213</v>
      </c>
      <c r="E1258" s="19" t="s">
        <v>565</v>
      </c>
      <c r="F1258" s="19" t="s">
        <v>401</v>
      </c>
      <c r="G1258" s="19" t="s">
        <v>557</v>
      </c>
      <c r="H1258" s="19" t="s">
        <v>0</v>
      </c>
    </row>
    <row r="1259" spans="1:8" hidden="1" x14ac:dyDescent="0.25">
      <c r="A1259">
        <v>6155159</v>
      </c>
      <c r="B1259" s="19" t="s">
        <v>12</v>
      </c>
      <c r="C1259" s="19" t="s">
        <v>33</v>
      </c>
      <c r="D1259" s="19" t="s">
        <v>145</v>
      </c>
      <c r="E1259" s="19" t="s">
        <v>437</v>
      </c>
      <c r="F1259" s="19" t="s">
        <v>401</v>
      </c>
      <c r="G1259" s="19" t="s">
        <v>557</v>
      </c>
      <c r="H1259" s="19" t="s">
        <v>0</v>
      </c>
    </row>
    <row r="1260" spans="1:8" hidden="1" x14ac:dyDescent="0.25">
      <c r="A1260">
        <v>6155143</v>
      </c>
      <c r="B1260" s="19" t="s">
        <v>12</v>
      </c>
      <c r="C1260" s="19" t="s">
        <v>26</v>
      </c>
      <c r="D1260" s="19" t="s">
        <v>180</v>
      </c>
      <c r="E1260" s="19" t="s">
        <v>437</v>
      </c>
      <c r="F1260" s="19" t="s">
        <v>400</v>
      </c>
      <c r="G1260" s="19" t="s">
        <v>557</v>
      </c>
      <c r="H1260" s="19" t="s">
        <v>0</v>
      </c>
    </row>
    <row r="1261" spans="1:8" hidden="1" x14ac:dyDescent="0.25">
      <c r="A1261">
        <v>6155127</v>
      </c>
      <c r="B1261" s="19" t="s">
        <v>12</v>
      </c>
      <c r="C1261" s="19" t="s">
        <v>33</v>
      </c>
      <c r="D1261" s="19" t="s">
        <v>180</v>
      </c>
      <c r="E1261" s="19" t="s">
        <v>437</v>
      </c>
      <c r="F1261" s="19" t="s">
        <v>401</v>
      </c>
      <c r="G1261" s="19" t="s">
        <v>557</v>
      </c>
      <c r="H1261" s="19" t="s">
        <v>0</v>
      </c>
    </row>
    <row r="1262" spans="1:8" hidden="1" x14ac:dyDescent="0.25">
      <c r="A1262">
        <v>6155121</v>
      </c>
      <c r="B1262" s="19" t="s">
        <v>12</v>
      </c>
      <c r="C1262" s="19" t="s">
        <v>26</v>
      </c>
      <c r="D1262" s="19" t="s">
        <v>180</v>
      </c>
      <c r="E1262" s="19" t="s">
        <v>437</v>
      </c>
      <c r="F1262" s="19" t="s">
        <v>400</v>
      </c>
      <c r="G1262" s="19" t="s">
        <v>557</v>
      </c>
      <c r="H1262" s="19" t="s">
        <v>0</v>
      </c>
    </row>
    <row r="1263" spans="1:8" hidden="1" x14ac:dyDescent="0.25">
      <c r="A1263">
        <v>6155115</v>
      </c>
      <c r="B1263" s="19" t="s">
        <v>79</v>
      </c>
      <c r="C1263" s="19" t="s">
        <v>33</v>
      </c>
      <c r="D1263" s="19" t="s">
        <v>216</v>
      </c>
      <c r="E1263" s="19" t="s">
        <v>437</v>
      </c>
      <c r="F1263" s="19" t="s">
        <v>401</v>
      </c>
      <c r="G1263" s="19" t="s">
        <v>557</v>
      </c>
      <c r="H1263" s="19" t="s">
        <v>0</v>
      </c>
    </row>
    <row r="1264" spans="1:8" hidden="1" x14ac:dyDescent="0.25">
      <c r="A1264">
        <v>6155109</v>
      </c>
      <c r="B1264" s="19" t="s">
        <v>24</v>
      </c>
      <c r="C1264" s="19" t="s">
        <v>26</v>
      </c>
      <c r="D1264" s="19" t="s">
        <v>216</v>
      </c>
      <c r="E1264" s="19" t="s">
        <v>437</v>
      </c>
      <c r="F1264" s="19" t="s">
        <v>400</v>
      </c>
      <c r="G1264" s="19" t="s">
        <v>557</v>
      </c>
      <c r="H1264" s="19" t="s">
        <v>0</v>
      </c>
    </row>
    <row r="1265" spans="1:8" hidden="1" x14ac:dyDescent="0.25">
      <c r="A1265">
        <v>6155107</v>
      </c>
      <c r="B1265" s="19" t="s">
        <v>24</v>
      </c>
      <c r="C1265" s="19" t="s">
        <v>33</v>
      </c>
      <c r="D1265" s="19" t="s">
        <v>240</v>
      </c>
      <c r="E1265" s="19" t="s">
        <v>437</v>
      </c>
      <c r="F1265" s="19" t="s">
        <v>401</v>
      </c>
      <c r="G1265" s="19" t="s">
        <v>557</v>
      </c>
      <c r="H1265" s="19" t="s">
        <v>0</v>
      </c>
    </row>
    <row r="1266" spans="1:8" hidden="1" x14ac:dyDescent="0.25">
      <c r="A1266">
        <v>6155100</v>
      </c>
      <c r="B1266" s="19" t="s">
        <v>12</v>
      </c>
      <c r="C1266" s="19" t="s">
        <v>26</v>
      </c>
      <c r="D1266" s="19" t="s">
        <v>240</v>
      </c>
      <c r="E1266" s="19" t="s">
        <v>437</v>
      </c>
      <c r="F1266" s="19" t="s">
        <v>400</v>
      </c>
      <c r="G1266" s="19" t="s">
        <v>557</v>
      </c>
      <c r="H1266" s="19" t="s">
        <v>0</v>
      </c>
    </row>
    <row r="1267" spans="1:8" hidden="1" x14ac:dyDescent="0.25">
      <c r="A1267">
        <v>6155061</v>
      </c>
      <c r="B1267" s="19" t="s">
        <v>18</v>
      </c>
      <c r="C1267" s="19" t="s">
        <v>33</v>
      </c>
      <c r="D1267" s="19" t="s">
        <v>281</v>
      </c>
      <c r="E1267" s="19" t="s">
        <v>437</v>
      </c>
      <c r="F1267" s="19" t="s">
        <v>401</v>
      </c>
      <c r="G1267" s="19" t="s">
        <v>557</v>
      </c>
      <c r="H1267" s="19" t="s">
        <v>0</v>
      </c>
    </row>
    <row r="1268" spans="1:8" hidden="1" x14ac:dyDescent="0.25">
      <c r="A1268">
        <v>6155054</v>
      </c>
      <c r="B1268" s="19" t="s">
        <v>12</v>
      </c>
      <c r="C1268" s="19" t="s">
        <v>33</v>
      </c>
      <c r="D1268" s="19" t="s">
        <v>282</v>
      </c>
      <c r="E1268" s="19" t="s">
        <v>437</v>
      </c>
      <c r="F1268" s="19" t="s">
        <v>401</v>
      </c>
      <c r="G1268" s="19" t="s">
        <v>557</v>
      </c>
      <c r="H1268" s="19" t="s">
        <v>0</v>
      </c>
    </row>
    <row r="1269" spans="1:8" hidden="1" x14ac:dyDescent="0.25">
      <c r="A1269">
        <v>6155050</v>
      </c>
      <c r="B1269" s="19" t="s">
        <v>12</v>
      </c>
      <c r="C1269" s="19" t="s">
        <v>26</v>
      </c>
      <c r="D1269" s="19" t="s">
        <v>229</v>
      </c>
      <c r="E1269" s="19" t="s">
        <v>437</v>
      </c>
      <c r="F1269" s="19" t="s">
        <v>400</v>
      </c>
      <c r="G1269" s="19" t="s">
        <v>557</v>
      </c>
      <c r="H1269" s="19" t="s">
        <v>0</v>
      </c>
    </row>
    <row r="1270" spans="1:8" hidden="1" x14ac:dyDescent="0.25">
      <c r="A1270">
        <v>6155038</v>
      </c>
      <c r="B1270" s="19" t="s">
        <v>18</v>
      </c>
      <c r="C1270" s="19" t="s">
        <v>26</v>
      </c>
      <c r="D1270" s="19" t="s">
        <v>75</v>
      </c>
      <c r="E1270" s="19" t="s">
        <v>561</v>
      </c>
      <c r="F1270" s="19" t="s">
        <v>400</v>
      </c>
      <c r="G1270" s="19" t="s">
        <v>557</v>
      </c>
      <c r="H1270" s="19" t="s">
        <v>0</v>
      </c>
    </row>
    <row r="1271" spans="1:8" hidden="1" x14ac:dyDescent="0.25">
      <c r="A1271">
        <v>6155037</v>
      </c>
      <c r="B1271" s="19" t="s">
        <v>24</v>
      </c>
      <c r="C1271" s="19" t="s">
        <v>26</v>
      </c>
      <c r="D1271" s="19" t="s">
        <v>75</v>
      </c>
      <c r="E1271" s="19" t="s">
        <v>561</v>
      </c>
      <c r="F1271" s="19" t="s">
        <v>400</v>
      </c>
      <c r="G1271" s="19" t="s">
        <v>557</v>
      </c>
      <c r="H1271" s="19" t="s">
        <v>0</v>
      </c>
    </row>
    <row r="1272" spans="1:8" hidden="1" x14ac:dyDescent="0.25">
      <c r="A1272">
        <v>6155029</v>
      </c>
      <c r="B1272" s="19" t="s">
        <v>79</v>
      </c>
      <c r="C1272" s="19" t="s">
        <v>26</v>
      </c>
      <c r="D1272" s="19" t="s">
        <v>146</v>
      </c>
      <c r="E1272" s="19" t="s">
        <v>561</v>
      </c>
      <c r="F1272" s="19" t="s">
        <v>400</v>
      </c>
      <c r="G1272" s="19" t="s">
        <v>557</v>
      </c>
      <c r="H1272" s="19" t="s">
        <v>0</v>
      </c>
    </row>
    <row r="1273" spans="1:8" hidden="1" x14ac:dyDescent="0.25">
      <c r="A1273">
        <v>6154964</v>
      </c>
      <c r="B1273" s="19" t="s">
        <v>12</v>
      </c>
      <c r="C1273" s="19" t="s">
        <v>26</v>
      </c>
      <c r="D1273" s="19" t="s">
        <v>75</v>
      </c>
      <c r="E1273" s="19" t="s">
        <v>437</v>
      </c>
      <c r="F1273" s="19" t="s">
        <v>400</v>
      </c>
      <c r="G1273" s="19" t="s">
        <v>557</v>
      </c>
      <c r="H1273" s="19" t="s">
        <v>0</v>
      </c>
    </row>
    <row r="1274" spans="1:8" hidden="1" x14ac:dyDescent="0.25">
      <c r="A1274">
        <v>6154954</v>
      </c>
      <c r="B1274" s="19" t="s">
        <v>12</v>
      </c>
      <c r="C1274" s="19" t="s">
        <v>26</v>
      </c>
      <c r="D1274" s="19" t="s">
        <v>229</v>
      </c>
      <c r="E1274" s="19" t="s">
        <v>437</v>
      </c>
      <c r="F1274" s="19" t="s">
        <v>400</v>
      </c>
      <c r="G1274" s="19" t="s">
        <v>557</v>
      </c>
      <c r="H1274" s="19" t="s">
        <v>0</v>
      </c>
    </row>
    <row r="1275" spans="1:8" hidden="1" x14ac:dyDescent="0.25">
      <c r="A1275">
        <v>6154944</v>
      </c>
      <c r="B1275" s="19" t="s">
        <v>12</v>
      </c>
      <c r="C1275" s="19" t="s">
        <v>26</v>
      </c>
      <c r="D1275" s="19" t="s">
        <v>229</v>
      </c>
      <c r="E1275" s="19" t="s">
        <v>437</v>
      </c>
      <c r="F1275" s="19" t="s">
        <v>400</v>
      </c>
      <c r="G1275" s="19" t="s">
        <v>557</v>
      </c>
      <c r="H1275" s="19" t="s">
        <v>0</v>
      </c>
    </row>
    <row r="1276" spans="1:8" hidden="1" x14ac:dyDescent="0.25">
      <c r="A1276">
        <v>6154936</v>
      </c>
      <c r="B1276" s="19" t="s">
        <v>12</v>
      </c>
      <c r="C1276" s="19" t="s">
        <v>26</v>
      </c>
      <c r="D1276" s="19" t="s">
        <v>229</v>
      </c>
      <c r="E1276" s="19" t="s">
        <v>437</v>
      </c>
      <c r="F1276" s="19" t="s">
        <v>400</v>
      </c>
      <c r="G1276" s="19" t="s">
        <v>557</v>
      </c>
      <c r="H1276" s="19" t="s">
        <v>0</v>
      </c>
    </row>
    <row r="1277" spans="1:8" hidden="1" x14ac:dyDescent="0.25">
      <c r="A1277">
        <v>6154893</v>
      </c>
      <c r="B1277" s="19" t="s">
        <v>109</v>
      </c>
      <c r="C1277" s="19" t="s">
        <v>26</v>
      </c>
      <c r="D1277" s="19" t="s">
        <v>283</v>
      </c>
      <c r="E1277" s="19" t="s">
        <v>437</v>
      </c>
      <c r="F1277" s="19" t="s">
        <v>400</v>
      </c>
      <c r="G1277" s="19" t="s">
        <v>557</v>
      </c>
      <c r="H1277" s="19" t="s">
        <v>0</v>
      </c>
    </row>
    <row r="1278" spans="1:8" hidden="1" x14ac:dyDescent="0.25">
      <c r="A1278">
        <v>6154874</v>
      </c>
      <c r="B1278" s="19" t="s">
        <v>12</v>
      </c>
      <c r="C1278" s="19" t="s">
        <v>26</v>
      </c>
      <c r="D1278" s="19" t="s">
        <v>229</v>
      </c>
      <c r="E1278" s="19" t="s">
        <v>437</v>
      </c>
      <c r="F1278" s="19" t="s">
        <v>400</v>
      </c>
      <c r="G1278" s="19" t="s">
        <v>557</v>
      </c>
      <c r="H1278" s="19" t="s">
        <v>0</v>
      </c>
    </row>
    <row r="1279" spans="1:8" hidden="1" x14ac:dyDescent="0.25">
      <c r="A1279">
        <v>6154853</v>
      </c>
      <c r="B1279" s="19" t="s">
        <v>18</v>
      </c>
      <c r="C1279" s="19" t="s">
        <v>26</v>
      </c>
      <c r="D1279" s="19" t="s">
        <v>75</v>
      </c>
      <c r="E1279" s="19" t="s">
        <v>437</v>
      </c>
      <c r="F1279" s="19" t="s">
        <v>400</v>
      </c>
      <c r="G1279" s="19" t="s">
        <v>557</v>
      </c>
      <c r="H1279" s="19" t="s">
        <v>0</v>
      </c>
    </row>
    <row r="1280" spans="1:8" hidden="1" x14ac:dyDescent="0.25">
      <c r="A1280">
        <v>6109946</v>
      </c>
      <c r="B1280" s="19" t="s">
        <v>12</v>
      </c>
      <c r="C1280" s="19" t="s">
        <v>33</v>
      </c>
      <c r="D1280" s="19" t="s">
        <v>212</v>
      </c>
      <c r="E1280" s="19" t="s">
        <v>565</v>
      </c>
      <c r="F1280" s="19" t="s">
        <v>401</v>
      </c>
      <c r="G1280" s="19" t="s">
        <v>557</v>
      </c>
      <c r="H1280" s="19" t="s">
        <v>0</v>
      </c>
    </row>
    <row r="1281" spans="1:8" hidden="1" x14ac:dyDescent="0.25">
      <c r="A1281">
        <v>6105268</v>
      </c>
      <c r="B1281" s="19" t="s">
        <v>102</v>
      </c>
      <c r="C1281" s="19" t="s">
        <v>26</v>
      </c>
      <c r="D1281" s="19" t="s">
        <v>284</v>
      </c>
      <c r="E1281" s="19" t="s">
        <v>446</v>
      </c>
      <c r="F1281" s="19" t="s">
        <v>400</v>
      </c>
      <c r="G1281" s="19" t="s">
        <v>557</v>
      </c>
      <c r="H1281" s="19" t="s">
        <v>0</v>
      </c>
    </row>
    <row r="1282" spans="1:8" hidden="1" x14ac:dyDescent="0.25">
      <c r="A1282">
        <v>6105250</v>
      </c>
      <c r="B1282" s="19" t="s">
        <v>79</v>
      </c>
      <c r="C1282" s="19" t="s">
        <v>26</v>
      </c>
      <c r="D1282" s="19" t="s">
        <v>285</v>
      </c>
      <c r="E1282" s="19" t="s">
        <v>437</v>
      </c>
      <c r="F1282" s="19" t="s">
        <v>400</v>
      </c>
      <c r="G1282" s="19" t="s">
        <v>557</v>
      </c>
      <c r="H1282" s="19" t="s">
        <v>0</v>
      </c>
    </row>
    <row r="1283" spans="1:8" hidden="1" x14ac:dyDescent="0.25">
      <c r="A1283">
        <v>6105245</v>
      </c>
      <c r="B1283" s="19" t="s">
        <v>109</v>
      </c>
      <c r="C1283" s="19" t="s">
        <v>26</v>
      </c>
      <c r="D1283" s="19" t="s">
        <v>219</v>
      </c>
      <c r="E1283" s="19" t="s">
        <v>437</v>
      </c>
      <c r="F1283" s="19" t="s">
        <v>400</v>
      </c>
      <c r="G1283" s="19" t="s">
        <v>557</v>
      </c>
      <c r="H1283" s="19" t="s">
        <v>0</v>
      </c>
    </row>
    <row r="1284" spans="1:8" hidden="1" x14ac:dyDescent="0.25">
      <c r="A1284">
        <v>6105157</v>
      </c>
      <c r="B1284" s="19" t="s">
        <v>125</v>
      </c>
      <c r="C1284" s="19" t="s">
        <v>26</v>
      </c>
      <c r="D1284" s="19" t="s">
        <v>286</v>
      </c>
      <c r="E1284" s="19" t="s">
        <v>437</v>
      </c>
      <c r="F1284" s="19" t="s">
        <v>400</v>
      </c>
      <c r="G1284" s="19" t="s">
        <v>557</v>
      </c>
      <c r="H1284" s="19" t="s">
        <v>0</v>
      </c>
    </row>
    <row r="1285" spans="1:8" hidden="1" x14ac:dyDescent="0.25">
      <c r="A1285">
        <v>6105132</v>
      </c>
      <c r="B1285" s="19" t="s">
        <v>79</v>
      </c>
      <c r="C1285" s="19" t="s">
        <v>33</v>
      </c>
      <c r="D1285" s="19" t="s">
        <v>287</v>
      </c>
      <c r="E1285" s="19" t="s">
        <v>437</v>
      </c>
      <c r="F1285" s="19" t="s">
        <v>401</v>
      </c>
      <c r="G1285" s="19" t="s">
        <v>557</v>
      </c>
      <c r="H1285" s="19" t="s">
        <v>0</v>
      </c>
    </row>
    <row r="1286" spans="1:8" hidden="1" x14ac:dyDescent="0.25">
      <c r="A1286">
        <v>6105098</v>
      </c>
      <c r="B1286" s="19" t="s">
        <v>125</v>
      </c>
      <c r="C1286" s="19" t="s">
        <v>26</v>
      </c>
      <c r="D1286" s="19" t="s">
        <v>219</v>
      </c>
      <c r="E1286" s="19" t="s">
        <v>437</v>
      </c>
      <c r="F1286" s="19" t="s">
        <v>400</v>
      </c>
      <c r="G1286" s="19" t="s">
        <v>557</v>
      </c>
      <c r="H1286" s="19" t="s">
        <v>0</v>
      </c>
    </row>
    <row r="1287" spans="1:8" hidden="1" x14ac:dyDescent="0.25">
      <c r="A1287">
        <v>6105085</v>
      </c>
      <c r="B1287" s="19" t="s">
        <v>12</v>
      </c>
      <c r="C1287" s="19" t="s">
        <v>26</v>
      </c>
      <c r="D1287" s="19" t="s">
        <v>288</v>
      </c>
      <c r="E1287" s="19" t="s">
        <v>437</v>
      </c>
      <c r="F1287" s="19" t="s">
        <v>400</v>
      </c>
      <c r="G1287" s="19" t="s">
        <v>557</v>
      </c>
      <c r="H1287" s="19" t="s">
        <v>0</v>
      </c>
    </row>
    <row r="1288" spans="1:8" hidden="1" x14ac:dyDescent="0.25">
      <c r="A1288">
        <v>6105060</v>
      </c>
      <c r="B1288" s="19" t="s">
        <v>24</v>
      </c>
      <c r="C1288" s="19" t="s">
        <v>26</v>
      </c>
      <c r="D1288" s="19" t="s">
        <v>288</v>
      </c>
      <c r="E1288" s="19" t="s">
        <v>437</v>
      </c>
      <c r="F1288" s="19" t="s">
        <v>400</v>
      </c>
      <c r="G1288" s="19" t="s">
        <v>557</v>
      </c>
      <c r="H1288" s="19" t="s">
        <v>0</v>
      </c>
    </row>
    <row r="1289" spans="1:8" hidden="1" x14ac:dyDescent="0.25">
      <c r="A1289">
        <v>6105018</v>
      </c>
      <c r="B1289" s="19" t="s">
        <v>18</v>
      </c>
      <c r="C1289" s="19" t="s">
        <v>26</v>
      </c>
      <c r="D1289" s="19" t="s">
        <v>111</v>
      </c>
      <c r="E1289" s="19" t="s">
        <v>437</v>
      </c>
      <c r="F1289" s="19" t="s">
        <v>400</v>
      </c>
      <c r="G1289" s="19" t="s">
        <v>557</v>
      </c>
      <c r="H1289" s="19" t="s">
        <v>0</v>
      </c>
    </row>
    <row r="1290" spans="1:8" hidden="1" x14ac:dyDescent="0.25">
      <c r="A1290">
        <v>6105013</v>
      </c>
      <c r="B1290" s="19" t="s">
        <v>79</v>
      </c>
      <c r="C1290" s="19" t="s">
        <v>26</v>
      </c>
      <c r="D1290" s="19" t="s">
        <v>206</v>
      </c>
      <c r="E1290" s="19" t="s">
        <v>437</v>
      </c>
      <c r="F1290" s="19" t="s">
        <v>400</v>
      </c>
      <c r="G1290" s="19" t="s">
        <v>557</v>
      </c>
      <c r="H1290" s="19" t="s">
        <v>0</v>
      </c>
    </row>
    <row r="1291" spans="1:8" hidden="1" x14ac:dyDescent="0.25">
      <c r="A1291">
        <v>6105008</v>
      </c>
      <c r="B1291" s="19" t="s">
        <v>18</v>
      </c>
      <c r="C1291" s="19" t="s">
        <v>26</v>
      </c>
      <c r="D1291" s="19" t="s">
        <v>206</v>
      </c>
      <c r="E1291" s="19" t="s">
        <v>437</v>
      </c>
      <c r="F1291" s="19" t="s">
        <v>400</v>
      </c>
      <c r="G1291" s="19" t="s">
        <v>557</v>
      </c>
      <c r="H1291" s="19" t="s">
        <v>0</v>
      </c>
    </row>
    <row r="1292" spans="1:8" hidden="1" x14ac:dyDescent="0.25">
      <c r="A1292">
        <v>6104981</v>
      </c>
      <c r="B1292" s="19" t="s">
        <v>12</v>
      </c>
      <c r="C1292" s="19" t="s">
        <v>26</v>
      </c>
      <c r="D1292" s="19" t="s">
        <v>111</v>
      </c>
      <c r="E1292" s="19" t="s">
        <v>437</v>
      </c>
      <c r="F1292" s="19" t="s">
        <v>400</v>
      </c>
      <c r="G1292" s="19" t="s">
        <v>557</v>
      </c>
      <c r="H1292" s="19" t="s">
        <v>0</v>
      </c>
    </row>
    <row r="1293" spans="1:8" hidden="1" x14ac:dyDescent="0.25">
      <c r="A1293">
        <v>6104976</v>
      </c>
      <c r="B1293" s="19" t="s">
        <v>12</v>
      </c>
      <c r="C1293" s="19" t="s">
        <v>26</v>
      </c>
      <c r="D1293" s="19" t="s">
        <v>111</v>
      </c>
      <c r="E1293" s="19" t="s">
        <v>437</v>
      </c>
      <c r="F1293" s="19" t="s">
        <v>400</v>
      </c>
      <c r="G1293" s="19" t="s">
        <v>557</v>
      </c>
      <c r="H1293" s="19" t="s">
        <v>0</v>
      </c>
    </row>
    <row r="1294" spans="1:8" hidden="1" x14ac:dyDescent="0.25">
      <c r="A1294">
        <v>6104967</v>
      </c>
      <c r="B1294" s="19" t="s">
        <v>12</v>
      </c>
      <c r="C1294" s="19" t="s">
        <v>26</v>
      </c>
      <c r="D1294" s="19" t="s">
        <v>219</v>
      </c>
      <c r="E1294" s="19" t="s">
        <v>437</v>
      </c>
      <c r="F1294" s="19" t="s">
        <v>400</v>
      </c>
      <c r="G1294" s="19" t="s">
        <v>557</v>
      </c>
      <c r="H1294" s="19" t="s">
        <v>0</v>
      </c>
    </row>
    <row r="1295" spans="1:8" hidden="1" x14ac:dyDescent="0.25">
      <c r="A1295">
        <v>6104955</v>
      </c>
      <c r="B1295" s="19" t="s">
        <v>18</v>
      </c>
      <c r="C1295" s="19" t="s">
        <v>26</v>
      </c>
      <c r="D1295" s="19" t="s">
        <v>219</v>
      </c>
      <c r="E1295" s="19" t="s">
        <v>437</v>
      </c>
      <c r="F1295" s="19" t="s">
        <v>400</v>
      </c>
      <c r="G1295" s="19" t="s">
        <v>557</v>
      </c>
      <c r="H1295" s="19" t="s">
        <v>0</v>
      </c>
    </row>
    <row r="1296" spans="1:8" hidden="1" x14ac:dyDescent="0.25">
      <c r="A1296">
        <v>6104948</v>
      </c>
      <c r="B1296" s="19" t="s">
        <v>12</v>
      </c>
      <c r="C1296" s="19" t="s">
        <v>26</v>
      </c>
      <c r="D1296" s="19" t="s">
        <v>219</v>
      </c>
      <c r="E1296" s="19" t="s">
        <v>437</v>
      </c>
      <c r="F1296" s="19" t="s">
        <v>400</v>
      </c>
      <c r="G1296" s="19" t="s">
        <v>557</v>
      </c>
      <c r="H1296" s="19" t="s">
        <v>0</v>
      </c>
    </row>
    <row r="1297" spans="1:8" hidden="1" x14ac:dyDescent="0.25">
      <c r="A1297">
        <v>6104947</v>
      </c>
      <c r="B1297" s="19" t="s">
        <v>79</v>
      </c>
      <c r="C1297" s="19" t="s">
        <v>33</v>
      </c>
      <c r="D1297" s="19" t="s">
        <v>219</v>
      </c>
      <c r="E1297" s="19" t="s">
        <v>437</v>
      </c>
      <c r="F1297" s="19" t="s">
        <v>401</v>
      </c>
      <c r="G1297" s="19" t="s">
        <v>557</v>
      </c>
      <c r="H1297" s="19" t="s">
        <v>0</v>
      </c>
    </row>
    <row r="1298" spans="1:8" hidden="1" x14ac:dyDescent="0.25">
      <c r="A1298">
        <v>6104945</v>
      </c>
      <c r="B1298" s="19" t="s">
        <v>12</v>
      </c>
      <c r="C1298" s="19" t="s">
        <v>33</v>
      </c>
      <c r="D1298" s="19" t="s">
        <v>289</v>
      </c>
      <c r="E1298" s="19" t="s">
        <v>437</v>
      </c>
      <c r="F1298" s="19" t="s">
        <v>401</v>
      </c>
      <c r="G1298" s="19" t="s">
        <v>557</v>
      </c>
      <c r="H1298" s="19" t="s">
        <v>0</v>
      </c>
    </row>
    <row r="1299" spans="1:8" hidden="1" x14ac:dyDescent="0.25">
      <c r="A1299">
        <v>6104922</v>
      </c>
      <c r="B1299" s="19" t="s">
        <v>109</v>
      </c>
      <c r="C1299" s="19" t="s">
        <v>26</v>
      </c>
      <c r="D1299" s="19" t="s">
        <v>288</v>
      </c>
      <c r="E1299" s="19" t="s">
        <v>437</v>
      </c>
      <c r="F1299" s="19" t="s">
        <v>400</v>
      </c>
      <c r="G1299" s="19" t="s">
        <v>557</v>
      </c>
      <c r="H1299" s="19" t="s">
        <v>0</v>
      </c>
    </row>
    <row r="1300" spans="1:8" hidden="1" x14ac:dyDescent="0.25">
      <c r="A1300">
        <v>6104921</v>
      </c>
      <c r="B1300" s="19" t="s">
        <v>18</v>
      </c>
      <c r="C1300" s="19" t="s">
        <v>26</v>
      </c>
      <c r="D1300" s="19" t="s">
        <v>290</v>
      </c>
      <c r="E1300" s="19" t="s">
        <v>437</v>
      </c>
      <c r="F1300" s="19" t="s">
        <v>400</v>
      </c>
      <c r="G1300" s="19" t="s">
        <v>557</v>
      </c>
      <c r="H1300" s="19" t="s">
        <v>0</v>
      </c>
    </row>
    <row r="1301" spans="1:8" hidden="1" x14ac:dyDescent="0.25">
      <c r="A1301">
        <v>6104919</v>
      </c>
      <c r="B1301" s="19" t="s">
        <v>125</v>
      </c>
      <c r="C1301" s="19" t="s">
        <v>33</v>
      </c>
      <c r="D1301" s="19" t="s">
        <v>291</v>
      </c>
      <c r="E1301" s="19" t="s">
        <v>437</v>
      </c>
      <c r="F1301" s="19" t="s">
        <v>401</v>
      </c>
      <c r="G1301" s="19" t="s">
        <v>557</v>
      </c>
      <c r="H1301" s="19" t="s">
        <v>0</v>
      </c>
    </row>
    <row r="1302" spans="1:8" hidden="1" x14ac:dyDescent="0.25">
      <c r="A1302">
        <v>6104909</v>
      </c>
      <c r="B1302" s="19" t="s">
        <v>12</v>
      </c>
      <c r="C1302" s="19" t="s">
        <v>33</v>
      </c>
      <c r="D1302" s="19" t="s">
        <v>111</v>
      </c>
      <c r="E1302" s="19" t="s">
        <v>437</v>
      </c>
      <c r="F1302" s="19" t="s">
        <v>401</v>
      </c>
      <c r="G1302" s="19" t="s">
        <v>557</v>
      </c>
      <c r="H1302" s="19" t="s">
        <v>0</v>
      </c>
    </row>
    <row r="1303" spans="1:8" hidden="1" x14ac:dyDescent="0.25">
      <c r="A1303">
        <v>2548143</v>
      </c>
      <c r="B1303" s="19" t="s">
        <v>109</v>
      </c>
      <c r="C1303" s="19" t="s">
        <v>26</v>
      </c>
      <c r="D1303" s="19" t="s">
        <v>269</v>
      </c>
      <c r="E1303" s="19" t="s">
        <v>456</v>
      </c>
      <c r="F1303" s="19" t="s">
        <v>400</v>
      </c>
      <c r="G1303" s="19" t="s">
        <v>557</v>
      </c>
      <c r="H1303" s="19" t="s">
        <v>0</v>
      </c>
    </row>
    <row r="1304" spans="1:8" hidden="1" x14ac:dyDescent="0.25">
      <c r="A1304">
        <v>2548127</v>
      </c>
      <c r="B1304" s="19" t="s">
        <v>12</v>
      </c>
      <c r="C1304" s="19" t="s">
        <v>26</v>
      </c>
      <c r="D1304" s="19" t="s">
        <v>292</v>
      </c>
      <c r="E1304" s="19" t="s">
        <v>456</v>
      </c>
      <c r="F1304" s="19" t="s">
        <v>400</v>
      </c>
      <c r="G1304" s="19" t="s">
        <v>557</v>
      </c>
      <c r="H1304" s="19" t="s">
        <v>0</v>
      </c>
    </row>
    <row r="1305" spans="1:8" hidden="1" x14ac:dyDescent="0.25">
      <c r="A1305">
        <v>2547991</v>
      </c>
      <c r="B1305" s="19" t="s">
        <v>18</v>
      </c>
      <c r="C1305" s="19" t="s">
        <v>26</v>
      </c>
      <c r="D1305" s="19" t="s">
        <v>293</v>
      </c>
      <c r="E1305" s="19" t="s">
        <v>437</v>
      </c>
      <c r="F1305" s="19" t="s">
        <v>400</v>
      </c>
      <c r="G1305" s="19" t="s">
        <v>557</v>
      </c>
      <c r="H1305" s="19" t="s">
        <v>0</v>
      </c>
    </row>
    <row r="1306" spans="1:8" hidden="1" x14ac:dyDescent="0.25">
      <c r="A1306">
        <v>2547954</v>
      </c>
      <c r="B1306" s="19" t="s">
        <v>79</v>
      </c>
      <c r="C1306" s="19" t="s">
        <v>26</v>
      </c>
      <c r="D1306" s="19" t="s">
        <v>292</v>
      </c>
      <c r="E1306" s="19" t="s">
        <v>437</v>
      </c>
      <c r="F1306" s="19" t="s">
        <v>400</v>
      </c>
      <c r="G1306" s="19" t="s">
        <v>557</v>
      </c>
      <c r="H1306" s="19" t="s">
        <v>0</v>
      </c>
    </row>
    <row r="1307" spans="1:8" hidden="1" x14ac:dyDescent="0.25">
      <c r="A1307">
        <v>2547949</v>
      </c>
      <c r="B1307" s="19" t="s">
        <v>12</v>
      </c>
      <c r="C1307" s="19" t="s">
        <v>26</v>
      </c>
      <c r="D1307" s="19" t="s">
        <v>294</v>
      </c>
      <c r="E1307" s="19" t="s">
        <v>437</v>
      </c>
      <c r="F1307" s="19" t="s">
        <v>400</v>
      </c>
      <c r="G1307" s="19" t="s">
        <v>557</v>
      </c>
      <c r="H1307" s="19" t="s">
        <v>0</v>
      </c>
    </row>
    <row r="1308" spans="1:8" hidden="1" x14ac:dyDescent="0.25">
      <c r="A1308">
        <v>2547943</v>
      </c>
      <c r="B1308" s="19" t="s">
        <v>79</v>
      </c>
      <c r="C1308" s="19" t="s">
        <v>26</v>
      </c>
      <c r="D1308" s="19" t="s">
        <v>294</v>
      </c>
      <c r="E1308" s="19" t="s">
        <v>437</v>
      </c>
      <c r="F1308" s="19" t="s">
        <v>400</v>
      </c>
      <c r="G1308" s="19" t="s">
        <v>557</v>
      </c>
      <c r="H1308" s="19" t="s">
        <v>0</v>
      </c>
    </row>
    <row r="1309" spans="1:8" hidden="1" x14ac:dyDescent="0.25">
      <c r="A1309">
        <v>2547912</v>
      </c>
      <c r="B1309" s="19" t="s">
        <v>12</v>
      </c>
      <c r="C1309" s="19" t="s">
        <v>33</v>
      </c>
      <c r="D1309" s="19" t="s">
        <v>292</v>
      </c>
      <c r="E1309" s="19" t="s">
        <v>437</v>
      </c>
      <c r="F1309" s="19" t="s">
        <v>401</v>
      </c>
      <c r="G1309" s="19" t="s">
        <v>557</v>
      </c>
      <c r="H1309" s="19" t="s">
        <v>0</v>
      </c>
    </row>
    <row r="1310" spans="1:8" hidden="1" x14ac:dyDescent="0.25">
      <c r="A1310">
        <v>2058325</v>
      </c>
      <c r="B1310" s="19" t="s">
        <v>12</v>
      </c>
      <c r="C1310" s="19" t="s">
        <v>38</v>
      </c>
      <c r="D1310" s="19" t="s">
        <v>295</v>
      </c>
      <c r="E1310" s="19" t="s">
        <v>590</v>
      </c>
      <c r="F1310" s="19" t="s">
        <v>401</v>
      </c>
      <c r="G1310" s="19" t="s">
        <v>557</v>
      </c>
      <c r="H1310" s="19" t="s">
        <v>0</v>
      </c>
    </row>
    <row r="1311" spans="1:8" hidden="1" x14ac:dyDescent="0.25">
      <c r="A1311">
        <v>2054864</v>
      </c>
      <c r="B1311" s="19" t="s">
        <v>12</v>
      </c>
      <c r="C1311" s="19" t="s">
        <v>38</v>
      </c>
      <c r="D1311" s="19" t="s">
        <v>295</v>
      </c>
      <c r="E1311" s="19" t="s">
        <v>565</v>
      </c>
      <c r="F1311" s="19" t="s">
        <v>401</v>
      </c>
      <c r="G1311" s="19" t="s">
        <v>557</v>
      </c>
      <c r="H1311" s="19" t="s">
        <v>0</v>
      </c>
    </row>
    <row r="1312" spans="1:8" hidden="1" x14ac:dyDescent="0.25">
      <c r="A1312">
        <v>1381790</v>
      </c>
      <c r="B1312" s="19" t="s">
        <v>12</v>
      </c>
      <c r="C1312" s="19" t="s">
        <v>38</v>
      </c>
      <c r="D1312" s="19" t="s">
        <v>296</v>
      </c>
      <c r="E1312" s="19" t="s">
        <v>561</v>
      </c>
      <c r="F1312" s="19" t="s">
        <v>401</v>
      </c>
      <c r="G1312" s="19" t="s">
        <v>557</v>
      </c>
      <c r="H1312" s="19" t="s">
        <v>0</v>
      </c>
    </row>
    <row r="1313" spans="1:8" hidden="1" x14ac:dyDescent="0.25">
      <c r="A1313">
        <v>1381768</v>
      </c>
      <c r="B1313" s="19" t="s">
        <v>24</v>
      </c>
      <c r="C1313" s="19" t="s">
        <v>26</v>
      </c>
      <c r="D1313" s="19" t="s">
        <v>149</v>
      </c>
      <c r="E1313" s="19" t="s">
        <v>561</v>
      </c>
      <c r="F1313" s="19" t="s">
        <v>400</v>
      </c>
      <c r="G1313" s="19" t="s">
        <v>557</v>
      </c>
      <c r="H1313" s="19" t="s">
        <v>0</v>
      </c>
    </row>
    <row r="1314" spans="1:8" hidden="1" x14ac:dyDescent="0.25">
      <c r="A1314">
        <v>1381761</v>
      </c>
      <c r="B1314" s="19" t="s">
        <v>79</v>
      </c>
      <c r="C1314" s="19" t="s">
        <v>26</v>
      </c>
      <c r="D1314" s="19" t="s">
        <v>149</v>
      </c>
      <c r="E1314" s="19" t="s">
        <v>561</v>
      </c>
      <c r="F1314" s="19" t="s">
        <v>400</v>
      </c>
      <c r="G1314" s="19" t="s">
        <v>557</v>
      </c>
      <c r="H1314" s="19" t="s">
        <v>0</v>
      </c>
    </row>
    <row r="1315" spans="1:8" hidden="1" x14ac:dyDescent="0.25">
      <c r="A1315">
        <v>1347970</v>
      </c>
      <c r="B1315" s="19" t="s">
        <v>24</v>
      </c>
      <c r="C1315" s="19" t="s">
        <v>38</v>
      </c>
      <c r="D1315" s="19" t="s">
        <v>297</v>
      </c>
      <c r="E1315" s="19" t="s">
        <v>456</v>
      </c>
      <c r="F1315" s="19" t="s">
        <v>401</v>
      </c>
      <c r="G1315" s="19" t="s">
        <v>557</v>
      </c>
      <c r="H1315" s="19" t="s">
        <v>0</v>
      </c>
    </row>
    <row r="1316" spans="1:8" hidden="1" x14ac:dyDescent="0.25">
      <c r="A1316">
        <v>1318124</v>
      </c>
      <c r="B1316" s="19" t="s">
        <v>24</v>
      </c>
      <c r="C1316" s="19" t="s">
        <v>26</v>
      </c>
      <c r="D1316" s="19" t="s">
        <v>298</v>
      </c>
      <c r="E1316" s="19" t="s">
        <v>437</v>
      </c>
      <c r="F1316" s="19" t="s">
        <v>400</v>
      </c>
      <c r="G1316" s="19" t="s">
        <v>557</v>
      </c>
      <c r="H1316" s="19" t="s">
        <v>0</v>
      </c>
    </row>
    <row r="1317" spans="1:8" hidden="1" x14ac:dyDescent="0.25">
      <c r="A1317">
        <v>1318121</v>
      </c>
      <c r="B1317" s="19" t="s">
        <v>79</v>
      </c>
      <c r="C1317" s="19" t="s">
        <v>26</v>
      </c>
      <c r="D1317" s="19" t="s">
        <v>299</v>
      </c>
      <c r="E1317" s="19" t="s">
        <v>437</v>
      </c>
      <c r="F1317" s="19" t="s">
        <v>400</v>
      </c>
      <c r="G1317" s="19" t="s">
        <v>557</v>
      </c>
      <c r="H1317" s="19" t="s">
        <v>0</v>
      </c>
    </row>
    <row r="1318" spans="1:8" hidden="1" x14ac:dyDescent="0.25">
      <c r="A1318">
        <v>1318116</v>
      </c>
      <c r="B1318" s="19" t="s">
        <v>79</v>
      </c>
      <c r="C1318" s="19" t="s">
        <v>26</v>
      </c>
      <c r="D1318" s="19" t="s">
        <v>299</v>
      </c>
      <c r="E1318" s="19" t="s">
        <v>437</v>
      </c>
      <c r="F1318" s="19" t="s">
        <v>400</v>
      </c>
      <c r="G1318" s="19" t="s">
        <v>557</v>
      </c>
      <c r="H1318" s="19" t="s">
        <v>0</v>
      </c>
    </row>
    <row r="1319" spans="1:8" hidden="1" x14ac:dyDescent="0.25">
      <c r="A1319">
        <v>1318106</v>
      </c>
      <c r="B1319" s="19" t="s">
        <v>18</v>
      </c>
      <c r="C1319" s="19" t="s">
        <v>26</v>
      </c>
      <c r="D1319" s="19" t="s">
        <v>299</v>
      </c>
      <c r="E1319" s="19" t="s">
        <v>437</v>
      </c>
      <c r="F1319" s="19" t="s">
        <v>400</v>
      </c>
      <c r="G1319" s="19" t="s">
        <v>557</v>
      </c>
      <c r="H1319" s="19" t="s">
        <v>0</v>
      </c>
    </row>
    <row r="1320" spans="1:8" hidden="1" x14ac:dyDescent="0.25">
      <c r="A1320">
        <v>1318097</v>
      </c>
      <c r="B1320" s="19" t="s">
        <v>79</v>
      </c>
      <c r="C1320" s="19" t="s">
        <v>26</v>
      </c>
      <c r="D1320" s="19" t="s">
        <v>299</v>
      </c>
      <c r="E1320" s="19" t="s">
        <v>437</v>
      </c>
      <c r="F1320" s="19" t="s">
        <v>400</v>
      </c>
      <c r="G1320" s="19" t="s">
        <v>557</v>
      </c>
      <c r="H1320" s="19" t="s">
        <v>0</v>
      </c>
    </row>
    <row r="1321" spans="1:8" hidden="1" x14ac:dyDescent="0.25">
      <c r="A1321">
        <v>1318087</v>
      </c>
      <c r="B1321" s="19" t="s">
        <v>79</v>
      </c>
      <c r="C1321" s="19" t="s">
        <v>26</v>
      </c>
      <c r="D1321" s="19" t="s">
        <v>300</v>
      </c>
      <c r="E1321" s="19" t="s">
        <v>437</v>
      </c>
      <c r="F1321" s="19" t="s">
        <v>400</v>
      </c>
      <c r="G1321" s="19" t="s">
        <v>557</v>
      </c>
      <c r="H1321" s="19" t="s">
        <v>0</v>
      </c>
    </row>
    <row r="1322" spans="1:8" hidden="1" x14ac:dyDescent="0.25">
      <c r="A1322">
        <v>1318076</v>
      </c>
      <c r="B1322" s="19" t="s">
        <v>18</v>
      </c>
      <c r="C1322" s="19" t="s">
        <v>26</v>
      </c>
      <c r="D1322" s="19" t="s">
        <v>298</v>
      </c>
      <c r="E1322" s="19" t="s">
        <v>437</v>
      </c>
      <c r="F1322" s="19" t="s">
        <v>400</v>
      </c>
      <c r="G1322" s="19" t="s">
        <v>557</v>
      </c>
      <c r="H1322" s="19" t="s">
        <v>0</v>
      </c>
    </row>
    <row r="1323" spans="1:8" hidden="1" x14ac:dyDescent="0.25">
      <c r="A1323">
        <v>1318058</v>
      </c>
      <c r="B1323" s="19" t="s">
        <v>24</v>
      </c>
      <c r="C1323" s="19" t="s">
        <v>26</v>
      </c>
      <c r="D1323" s="19" t="s">
        <v>300</v>
      </c>
      <c r="E1323" s="19" t="s">
        <v>437</v>
      </c>
      <c r="F1323" s="19" t="s">
        <v>400</v>
      </c>
      <c r="G1323" s="19" t="s">
        <v>557</v>
      </c>
      <c r="H1323" s="19" t="s">
        <v>0</v>
      </c>
    </row>
    <row r="1324" spans="1:8" hidden="1" x14ac:dyDescent="0.25">
      <c r="A1324">
        <v>1318037</v>
      </c>
      <c r="B1324" s="19" t="s">
        <v>24</v>
      </c>
      <c r="C1324" s="19" t="s">
        <v>26</v>
      </c>
      <c r="D1324" s="19" t="s">
        <v>300</v>
      </c>
      <c r="E1324" s="19" t="s">
        <v>437</v>
      </c>
      <c r="F1324" s="19" t="s">
        <v>400</v>
      </c>
      <c r="G1324" s="19" t="s">
        <v>557</v>
      </c>
      <c r="H1324" s="19" t="s">
        <v>0</v>
      </c>
    </row>
    <row r="1325" spans="1:8" hidden="1" x14ac:dyDescent="0.25">
      <c r="A1325">
        <v>1316967</v>
      </c>
      <c r="B1325" s="19" t="s">
        <v>79</v>
      </c>
      <c r="C1325" s="19" t="s">
        <v>26</v>
      </c>
      <c r="D1325" s="19" t="s">
        <v>301</v>
      </c>
      <c r="E1325" s="19" t="s">
        <v>561</v>
      </c>
      <c r="F1325" s="19" t="s">
        <v>400</v>
      </c>
      <c r="G1325" s="19" t="s">
        <v>557</v>
      </c>
      <c r="H1325" s="19" t="s">
        <v>0</v>
      </c>
    </row>
    <row r="1326" spans="1:8" hidden="1" x14ac:dyDescent="0.25">
      <c r="A1326">
        <v>1316957</v>
      </c>
      <c r="B1326" s="19" t="s">
        <v>24</v>
      </c>
      <c r="C1326" s="19" t="s">
        <v>26</v>
      </c>
      <c r="D1326" s="19" t="s">
        <v>166</v>
      </c>
      <c r="E1326" s="19" t="s">
        <v>561</v>
      </c>
      <c r="F1326" s="19" t="s">
        <v>400</v>
      </c>
      <c r="G1326" s="19" t="s">
        <v>557</v>
      </c>
      <c r="H1326" s="19" t="s">
        <v>0</v>
      </c>
    </row>
    <row r="1327" spans="1:8" hidden="1" x14ac:dyDescent="0.25">
      <c r="A1327">
        <v>1316953</v>
      </c>
      <c r="B1327" s="19" t="s">
        <v>18</v>
      </c>
      <c r="C1327" s="19" t="s">
        <v>38</v>
      </c>
      <c r="D1327" s="19" t="s">
        <v>166</v>
      </c>
      <c r="E1327" s="19" t="s">
        <v>561</v>
      </c>
      <c r="F1327" s="19" t="s">
        <v>401</v>
      </c>
      <c r="G1327" s="19" t="s">
        <v>557</v>
      </c>
      <c r="H1327" s="19" t="s">
        <v>0</v>
      </c>
    </row>
    <row r="1328" spans="1:8" hidden="1" x14ac:dyDescent="0.25">
      <c r="A1328">
        <v>1316934</v>
      </c>
      <c r="B1328" s="19" t="s">
        <v>12</v>
      </c>
      <c r="C1328" s="19" t="s">
        <v>38</v>
      </c>
      <c r="D1328" s="19" t="s">
        <v>300</v>
      </c>
      <c r="E1328" s="19" t="s">
        <v>565</v>
      </c>
      <c r="F1328" s="19" t="s">
        <v>401</v>
      </c>
      <c r="G1328" s="19" t="s">
        <v>557</v>
      </c>
      <c r="H1328" s="19" t="s">
        <v>0</v>
      </c>
    </row>
    <row r="1329" spans="1:8" hidden="1" x14ac:dyDescent="0.25">
      <c r="A1329">
        <v>180721</v>
      </c>
      <c r="B1329" s="19" t="s">
        <v>79</v>
      </c>
      <c r="C1329" s="19" t="s">
        <v>26</v>
      </c>
      <c r="D1329" s="19" t="s">
        <v>278</v>
      </c>
      <c r="E1329" s="19" t="s">
        <v>561</v>
      </c>
      <c r="F1329" s="19" t="s">
        <v>400</v>
      </c>
      <c r="G1329" s="19" t="s">
        <v>557</v>
      </c>
      <c r="H1329" s="19" t="s">
        <v>0</v>
      </c>
    </row>
    <row r="1330" spans="1:8" hidden="1" x14ac:dyDescent="0.25">
      <c r="A1330">
        <v>180717</v>
      </c>
      <c r="B1330" s="19" t="s">
        <v>79</v>
      </c>
      <c r="C1330" s="19" t="s">
        <v>26</v>
      </c>
      <c r="D1330" s="19" t="s">
        <v>278</v>
      </c>
      <c r="E1330" s="19" t="s">
        <v>561</v>
      </c>
      <c r="F1330" s="19" t="s">
        <v>400</v>
      </c>
      <c r="G1330" s="19" t="s">
        <v>557</v>
      </c>
      <c r="H1330" s="19" t="s">
        <v>0</v>
      </c>
    </row>
    <row r="1331" spans="1:8" hidden="1" x14ac:dyDescent="0.25">
      <c r="A1331">
        <v>180705</v>
      </c>
      <c r="B1331" s="19" t="s">
        <v>24</v>
      </c>
      <c r="C1331" s="19" t="s">
        <v>26</v>
      </c>
      <c r="D1331" s="19" t="s">
        <v>302</v>
      </c>
      <c r="E1331" s="19" t="s">
        <v>561</v>
      </c>
      <c r="F1331" s="19" t="s">
        <v>400</v>
      </c>
      <c r="G1331" s="19" t="s">
        <v>557</v>
      </c>
      <c r="H1331" s="19" t="s">
        <v>0</v>
      </c>
    </row>
    <row r="1332" spans="1:8" hidden="1" x14ac:dyDescent="0.25">
      <c r="A1332">
        <v>180700</v>
      </c>
      <c r="B1332" s="19" t="s">
        <v>79</v>
      </c>
      <c r="C1332" s="19" t="s">
        <v>26</v>
      </c>
      <c r="D1332" s="19" t="s">
        <v>302</v>
      </c>
      <c r="E1332" s="19" t="s">
        <v>561</v>
      </c>
      <c r="F1332" s="19" t="s">
        <v>400</v>
      </c>
      <c r="G1332" s="19" t="s">
        <v>557</v>
      </c>
      <c r="H1332" s="19" t="s">
        <v>0</v>
      </c>
    </row>
    <row r="1333" spans="1:8" hidden="1" x14ac:dyDescent="0.25">
      <c r="A1333">
        <v>180666</v>
      </c>
      <c r="B1333" s="19" t="s">
        <v>24</v>
      </c>
      <c r="C1333" s="19" t="s">
        <v>26</v>
      </c>
      <c r="D1333" s="19" t="s">
        <v>303</v>
      </c>
      <c r="E1333" s="19" t="s">
        <v>437</v>
      </c>
      <c r="F1333" s="19" t="s">
        <v>400</v>
      </c>
      <c r="G1333" s="19" t="s">
        <v>557</v>
      </c>
      <c r="H1333" s="19" t="s">
        <v>0</v>
      </c>
    </row>
    <row r="1334" spans="1:8" hidden="1" x14ac:dyDescent="0.25">
      <c r="A1334">
        <v>180592</v>
      </c>
      <c r="B1334" s="19" t="s">
        <v>24</v>
      </c>
      <c r="C1334" s="19" t="s">
        <v>26</v>
      </c>
      <c r="D1334" s="19" t="s">
        <v>278</v>
      </c>
      <c r="E1334" s="19" t="s">
        <v>437</v>
      </c>
      <c r="F1334" s="19" t="s">
        <v>400</v>
      </c>
      <c r="G1334" s="19" t="s">
        <v>557</v>
      </c>
      <c r="H1334" s="19" t="s">
        <v>0</v>
      </c>
    </row>
    <row r="1335" spans="1:8" hidden="1" x14ac:dyDescent="0.25">
      <c r="A1335">
        <v>180572</v>
      </c>
      <c r="B1335" s="19" t="s">
        <v>24</v>
      </c>
      <c r="C1335" s="19" t="s">
        <v>26</v>
      </c>
      <c r="D1335" s="19" t="s">
        <v>278</v>
      </c>
      <c r="E1335" s="19" t="s">
        <v>437</v>
      </c>
      <c r="F1335" s="19" t="s">
        <v>400</v>
      </c>
      <c r="G1335" s="19" t="s">
        <v>557</v>
      </c>
      <c r="H1335" s="19" t="s">
        <v>0</v>
      </c>
    </row>
    <row r="1336" spans="1:8" hidden="1" x14ac:dyDescent="0.25">
      <c r="A1336">
        <v>180560</v>
      </c>
      <c r="B1336" s="19" t="s">
        <v>24</v>
      </c>
      <c r="C1336" s="19" t="s">
        <v>26</v>
      </c>
      <c r="D1336" s="19" t="s">
        <v>278</v>
      </c>
      <c r="E1336" s="19" t="s">
        <v>437</v>
      </c>
      <c r="F1336" s="19" t="s">
        <v>400</v>
      </c>
      <c r="G1336" s="19" t="s">
        <v>557</v>
      </c>
      <c r="H1336" s="19" t="s">
        <v>0</v>
      </c>
    </row>
    <row r="1337" spans="1:8" hidden="1" x14ac:dyDescent="0.25">
      <c r="A1337">
        <v>180529</v>
      </c>
      <c r="B1337" s="19" t="s">
        <v>79</v>
      </c>
      <c r="C1337" s="19" t="s">
        <v>26</v>
      </c>
      <c r="D1337" s="19" t="s">
        <v>303</v>
      </c>
      <c r="E1337" s="19" t="s">
        <v>456</v>
      </c>
      <c r="F1337" s="19" t="s">
        <v>400</v>
      </c>
      <c r="G1337" s="19" t="s">
        <v>557</v>
      </c>
      <c r="H1337" s="19" t="s">
        <v>0</v>
      </c>
    </row>
    <row r="1338" spans="1:8" hidden="1" x14ac:dyDescent="0.25">
      <c r="A1338">
        <v>180528</v>
      </c>
      <c r="B1338" s="19" t="s">
        <v>79</v>
      </c>
      <c r="C1338" s="19" t="s">
        <v>26</v>
      </c>
      <c r="D1338" s="19" t="s">
        <v>278</v>
      </c>
      <c r="E1338" s="19" t="s">
        <v>446</v>
      </c>
      <c r="F1338" s="19" t="s">
        <v>400</v>
      </c>
      <c r="G1338" s="19" t="s">
        <v>557</v>
      </c>
      <c r="H1338" s="19" t="s">
        <v>0</v>
      </c>
    </row>
    <row r="1339" spans="1:8" hidden="1" x14ac:dyDescent="0.25">
      <c r="A1339">
        <v>180524</v>
      </c>
      <c r="B1339" s="19" t="s">
        <v>79</v>
      </c>
      <c r="C1339" s="19" t="s">
        <v>26</v>
      </c>
      <c r="D1339" s="19" t="s">
        <v>278</v>
      </c>
      <c r="E1339" s="19" t="s">
        <v>446</v>
      </c>
      <c r="F1339" s="19" t="s">
        <v>400</v>
      </c>
      <c r="G1339" s="19" t="s">
        <v>557</v>
      </c>
      <c r="H1339" s="19" t="s">
        <v>0</v>
      </c>
    </row>
    <row r="1340" spans="1:8" hidden="1" x14ac:dyDescent="0.25">
      <c r="A1340">
        <v>180512</v>
      </c>
      <c r="B1340" s="19" t="s">
        <v>79</v>
      </c>
      <c r="C1340" s="19" t="s">
        <v>26</v>
      </c>
      <c r="D1340" s="19" t="s">
        <v>278</v>
      </c>
      <c r="E1340" s="19" t="s">
        <v>446</v>
      </c>
      <c r="F1340" s="19" t="s">
        <v>400</v>
      </c>
      <c r="G1340" s="19" t="s">
        <v>557</v>
      </c>
      <c r="H1340" s="19" t="s">
        <v>0</v>
      </c>
    </row>
    <row r="1341" spans="1:8" hidden="1" x14ac:dyDescent="0.25">
      <c r="A1341">
        <v>176307</v>
      </c>
      <c r="B1341" s="19" t="s">
        <v>12</v>
      </c>
      <c r="C1341" s="19" t="s">
        <v>38</v>
      </c>
      <c r="D1341" s="19" t="s">
        <v>278</v>
      </c>
      <c r="E1341" s="19" t="s">
        <v>565</v>
      </c>
      <c r="F1341" s="19" t="s">
        <v>401</v>
      </c>
      <c r="G1341" s="19" t="s">
        <v>557</v>
      </c>
      <c r="H1341" s="19" t="s">
        <v>0</v>
      </c>
    </row>
    <row r="1342" spans="1:8" hidden="1" x14ac:dyDescent="0.25">
      <c r="A1342">
        <v>176301</v>
      </c>
      <c r="B1342" s="19" t="s">
        <v>12</v>
      </c>
      <c r="C1342" s="19" t="s">
        <v>38</v>
      </c>
      <c r="D1342" s="19" t="s">
        <v>278</v>
      </c>
      <c r="E1342" s="19" t="s">
        <v>565</v>
      </c>
      <c r="F1342" s="19" t="s">
        <v>401</v>
      </c>
      <c r="G1342" s="19" t="s">
        <v>557</v>
      </c>
      <c r="H1342" s="19" t="s">
        <v>0</v>
      </c>
    </row>
    <row r="1343" spans="1:8" hidden="1" x14ac:dyDescent="0.25">
      <c r="A1343">
        <v>161892</v>
      </c>
      <c r="B1343" s="19" t="s">
        <v>102</v>
      </c>
      <c r="C1343" s="19" t="s">
        <v>26</v>
      </c>
      <c r="D1343" s="19" t="s">
        <v>304</v>
      </c>
      <c r="E1343" s="19" t="s">
        <v>437</v>
      </c>
      <c r="F1343" s="19" t="s">
        <v>400</v>
      </c>
      <c r="G1343" s="19" t="s">
        <v>557</v>
      </c>
      <c r="H1343" s="19" t="s">
        <v>0</v>
      </c>
    </row>
    <row r="1344" spans="1:8" hidden="1" x14ac:dyDescent="0.25">
      <c r="A1344">
        <v>150564</v>
      </c>
      <c r="B1344" s="19" t="s">
        <v>24</v>
      </c>
      <c r="C1344" s="19" t="s">
        <v>26</v>
      </c>
      <c r="D1344" s="19" t="s">
        <v>305</v>
      </c>
      <c r="E1344" s="19" t="s">
        <v>591</v>
      </c>
      <c r="F1344" s="19" t="s">
        <v>400</v>
      </c>
      <c r="G1344" s="19" t="s">
        <v>557</v>
      </c>
      <c r="H1344" s="19" t="s">
        <v>0</v>
      </c>
    </row>
    <row r="1345" spans="1:8" hidden="1" x14ac:dyDescent="0.25">
      <c r="A1345">
        <v>133342</v>
      </c>
      <c r="B1345" s="19" t="s">
        <v>24</v>
      </c>
      <c r="C1345" s="19" t="s">
        <v>38</v>
      </c>
      <c r="D1345" s="19" t="s">
        <v>278</v>
      </c>
      <c r="E1345" s="19" t="s">
        <v>572</v>
      </c>
      <c r="F1345" s="19" t="s">
        <v>401</v>
      </c>
      <c r="G1345" s="19" t="s">
        <v>557</v>
      </c>
      <c r="H1345" s="19" t="s">
        <v>0</v>
      </c>
    </row>
    <row r="1346" spans="1:8" hidden="1" x14ac:dyDescent="0.25">
      <c r="A1346">
        <v>93136</v>
      </c>
      <c r="B1346" s="19" t="s">
        <v>12</v>
      </c>
      <c r="C1346" s="19" t="s">
        <v>38</v>
      </c>
      <c r="D1346" s="19" t="s">
        <v>306</v>
      </c>
      <c r="E1346" s="19" t="s">
        <v>592</v>
      </c>
      <c r="F1346" s="19" t="s">
        <v>401</v>
      </c>
      <c r="G1346" s="19" t="s">
        <v>557</v>
      </c>
      <c r="H1346" s="19" t="s">
        <v>0</v>
      </c>
    </row>
    <row r="1347" spans="1:8" hidden="1" x14ac:dyDescent="0.25">
      <c r="A1347">
        <v>84657</v>
      </c>
      <c r="B1347" s="19" t="s">
        <v>79</v>
      </c>
      <c r="C1347" s="19" t="s">
        <v>26</v>
      </c>
      <c r="D1347" s="19" t="s">
        <v>307</v>
      </c>
      <c r="E1347" s="19" t="s">
        <v>446</v>
      </c>
      <c r="F1347" s="19" t="s">
        <v>400</v>
      </c>
      <c r="G1347" s="19" t="s">
        <v>557</v>
      </c>
      <c r="H1347" s="19" t="s">
        <v>0</v>
      </c>
    </row>
    <row r="1348" spans="1:8" hidden="1" x14ac:dyDescent="0.25">
      <c r="A1348">
        <v>84463</v>
      </c>
      <c r="B1348" s="19" t="s">
        <v>24</v>
      </c>
      <c r="C1348" s="19" t="s">
        <v>26</v>
      </c>
      <c r="D1348" s="19" t="s">
        <v>309</v>
      </c>
      <c r="E1348" s="19" t="s">
        <v>437</v>
      </c>
      <c r="F1348" s="19" t="s">
        <v>400</v>
      </c>
      <c r="G1348" s="19" t="s">
        <v>557</v>
      </c>
      <c r="H1348" s="19" t="s">
        <v>0</v>
      </c>
    </row>
    <row r="1349" spans="1:8" hidden="1" x14ac:dyDescent="0.25">
      <c r="A1349">
        <v>84427</v>
      </c>
      <c r="B1349" s="19" t="s">
        <v>18</v>
      </c>
      <c r="C1349" s="19" t="s">
        <v>26</v>
      </c>
      <c r="D1349" s="19" t="s">
        <v>308</v>
      </c>
      <c r="E1349" s="19" t="s">
        <v>574</v>
      </c>
      <c r="F1349" s="19" t="s">
        <v>400</v>
      </c>
      <c r="G1349" s="19" t="s">
        <v>557</v>
      </c>
      <c r="H1349" s="19" t="s">
        <v>0</v>
      </c>
    </row>
    <row r="1350" spans="1:8" hidden="1" x14ac:dyDescent="0.25">
      <c r="A1350">
        <v>84403</v>
      </c>
      <c r="B1350" s="19" t="s">
        <v>102</v>
      </c>
      <c r="C1350" s="19" t="s">
        <v>26</v>
      </c>
      <c r="D1350" s="19" t="s">
        <v>309</v>
      </c>
      <c r="E1350" s="19" t="s">
        <v>437</v>
      </c>
      <c r="F1350" s="19" t="s">
        <v>400</v>
      </c>
      <c r="G1350" s="19" t="s">
        <v>557</v>
      </c>
      <c r="H1350" s="19" t="s">
        <v>0</v>
      </c>
    </row>
    <row r="1351" spans="1:8" hidden="1" x14ac:dyDescent="0.25">
      <c r="A1351">
        <v>84393</v>
      </c>
      <c r="B1351" s="19" t="s">
        <v>102</v>
      </c>
      <c r="C1351" s="19" t="s">
        <v>26</v>
      </c>
      <c r="D1351" s="19" t="s">
        <v>309</v>
      </c>
      <c r="E1351" s="19" t="s">
        <v>437</v>
      </c>
      <c r="F1351" s="19" t="s">
        <v>400</v>
      </c>
      <c r="G1351" s="19" t="s">
        <v>557</v>
      </c>
      <c r="H1351" s="19" t="s">
        <v>0</v>
      </c>
    </row>
    <row r="1352" spans="1:8" hidden="1" x14ac:dyDescent="0.25">
      <c r="A1352">
        <v>84369</v>
      </c>
      <c r="B1352" s="19" t="s">
        <v>24</v>
      </c>
      <c r="C1352" s="19" t="s">
        <v>26</v>
      </c>
      <c r="D1352" s="19" t="s">
        <v>309</v>
      </c>
      <c r="E1352" s="19" t="s">
        <v>437</v>
      </c>
      <c r="F1352" s="19" t="s">
        <v>400</v>
      </c>
      <c r="G1352" s="19" t="s">
        <v>557</v>
      </c>
      <c r="H1352" s="19" t="s">
        <v>0</v>
      </c>
    </row>
    <row r="1353" spans="1:8" hidden="1" x14ac:dyDescent="0.25">
      <c r="A1353">
        <v>84362</v>
      </c>
      <c r="B1353" s="19" t="s">
        <v>102</v>
      </c>
      <c r="C1353" s="19" t="s">
        <v>26</v>
      </c>
      <c r="D1353" s="19" t="s">
        <v>309</v>
      </c>
      <c r="E1353" s="19" t="s">
        <v>437</v>
      </c>
      <c r="F1353" s="19" t="s">
        <v>400</v>
      </c>
      <c r="G1353" s="19" t="s">
        <v>557</v>
      </c>
      <c r="H1353" s="19" t="s">
        <v>0</v>
      </c>
    </row>
    <row r="1354" spans="1:8" hidden="1" x14ac:dyDescent="0.25">
      <c r="A1354">
        <v>84361</v>
      </c>
      <c r="B1354" s="19" t="s">
        <v>102</v>
      </c>
      <c r="C1354" s="19" t="s">
        <v>26</v>
      </c>
      <c r="D1354" s="19" t="s">
        <v>309</v>
      </c>
      <c r="E1354" s="19" t="s">
        <v>437</v>
      </c>
      <c r="F1354" s="19" t="s">
        <v>400</v>
      </c>
      <c r="G1354" s="19" t="s">
        <v>557</v>
      </c>
      <c r="H1354" s="19" t="s">
        <v>0</v>
      </c>
    </row>
    <row r="1355" spans="1:8" hidden="1" x14ac:dyDescent="0.25">
      <c r="A1355">
        <v>83926</v>
      </c>
      <c r="B1355" s="19" t="s">
        <v>12</v>
      </c>
      <c r="C1355" s="19" t="s">
        <v>38</v>
      </c>
      <c r="D1355" s="19" t="s">
        <v>310</v>
      </c>
      <c r="E1355" s="19" t="s">
        <v>565</v>
      </c>
      <c r="F1355" s="19" t="s">
        <v>401</v>
      </c>
      <c r="G1355" s="19" t="s">
        <v>557</v>
      </c>
      <c r="H1355" s="19" t="s">
        <v>0</v>
      </c>
    </row>
    <row r="1356" spans="1:8" hidden="1" x14ac:dyDescent="0.25">
      <c r="A1356">
        <v>55956</v>
      </c>
      <c r="B1356" s="19" t="s">
        <v>24</v>
      </c>
      <c r="C1356" s="19" t="s">
        <v>38</v>
      </c>
      <c r="D1356" s="19" t="s">
        <v>311</v>
      </c>
      <c r="E1356" s="19" t="s">
        <v>561</v>
      </c>
      <c r="F1356" s="19" t="s">
        <v>401</v>
      </c>
      <c r="G1356" s="19" t="s">
        <v>557</v>
      </c>
      <c r="H1356" s="19" t="s">
        <v>0</v>
      </c>
    </row>
    <row r="1357" spans="1:8" hidden="1" x14ac:dyDescent="0.25">
      <c r="A1357">
        <v>24567281</v>
      </c>
      <c r="B1357" s="19" t="s">
        <v>12</v>
      </c>
      <c r="C1357" s="19" t="s">
        <v>86</v>
      </c>
      <c r="D1357" s="19" t="s">
        <v>393</v>
      </c>
      <c r="E1357" s="19" t="s">
        <v>437</v>
      </c>
      <c r="F1357" s="19" t="s">
        <v>400</v>
      </c>
      <c r="G1357" s="19" t="s">
        <v>557</v>
      </c>
      <c r="H1357" s="19" t="s">
        <v>350</v>
      </c>
    </row>
    <row r="1358" spans="1:8" hidden="1" x14ac:dyDescent="0.25">
      <c r="A1358">
        <v>24567018</v>
      </c>
      <c r="B1358" s="19" t="s">
        <v>12</v>
      </c>
      <c r="C1358" s="19" t="s">
        <v>86</v>
      </c>
      <c r="D1358" s="19" t="s">
        <v>380</v>
      </c>
      <c r="E1358" s="19" t="s">
        <v>437</v>
      </c>
      <c r="F1358" s="19" t="s">
        <v>400</v>
      </c>
      <c r="G1358" s="19" t="s">
        <v>557</v>
      </c>
      <c r="H1358" s="19" t="s">
        <v>350</v>
      </c>
    </row>
    <row r="1359" spans="1:8" hidden="1" x14ac:dyDescent="0.25">
      <c r="A1359">
        <v>23323561</v>
      </c>
      <c r="B1359" s="19" t="s">
        <v>79</v>
      </c>
      <c r="C1359" s="19" t="s">
        <v>86</v>
      </c>
      <c r="D1359" s="19" t="s">
        <v>80</v>
      </c>
      <c r="E1359" s="19" t="s">
        <v>437</v>
      </c>
      <c r="F1359" s="19" t="s">
        <v>400</v>
      </c>
      <c r="G1359" s="19" t="s">
        <v>557</v>
      </c>
      <c r="H1359" s="19" t="s">
        <v>350</v>
      </c>
    </row>
    <row r="1360" spans="1:8" hidden="1" x14ac:dyDescent="0.25">
      <c r="A1360">
        <v>23323211</v>
      </c>
      <c r="B1360" s="19" t="s">
        <v>125</v>
      </c>
      <c r="C1360" s="19" t="s">
        <v>86</v>
      </c>
      <c r="D1360" s="19" t="s">
        <v>25</v>
      </c>
      <c r="E1360" s="19" t="s">
        <v>437</v>
      </c>
      <c r="F1360" s="19" t="s">
        <v>400</v>
      </c>
      <c r="G1360" s="19" t="s">
        <v>557</v>
      </c>
      <c r="H1360" s="19" t="s">
        <v>350</v>
      </c>
    </row>
    <row r="1361" spans="1:8" hidden="1" x14ac:dyDescent="0.25">
      <c r="A1361">
        <v>22350291</v>
      </c>
      <c r="B1361" s="19" t="s">
        <v>12</v>
      </c>
      <c r="C1361" s="19" t="s">
        <v>26</v>
      </c>
      <c r="D1361" s="19" t="s">
        <v>88</v>
      </c>
      <c r="E1361" s="19" t="s">
        <v>443</v>
      </c>
      <c r="F1361" s="19" t="s">
        <v>400</v>
      </c>
      <c r="G1361" s="19" t="s">
        <v>557</v>
      </c>
      <c r="H1361" s="19" t="s">
        <v>350</v>
      </c>
    </row>
    <row r="1362" spans="1:8" hidden="1" x14ac:dyDescent="0.25">
      <c r="A1362">
        <v>22350194</v>
      </c>
      <c r="B1362" s="19" t="s">
        <v>12</v>
      </c>
      <c r="C1362" s="19" t="s">
        <v>26</v>
      </c>
      <c r="D1362" s="19" t="s">
        <v>160</v>
      </c>
      <c r="E1362" s="19" t="s">
        <v>437</v>
      </c>
      <c r="F1362" s="19" t="s">
        <v>400</v>
      </c>
      <c r="G1362" s="19" t="s">
        <v>557</v>
      </c>
      <c r="H1362" s="19" t="s">
        <v>350</v>
      </c>
    </row>
    <row r="1363" spans="1:8" hidden="1" x14ac:dyDescent="0.25">
      <c r="A1363">
        <v>22350102</v>
      </c>
      <c r="B1363" s="19" t="s">
        <v>18</v>
      </c>
      <c r="C1363" s="19" t="s">
        <v>26</v>
      </c>
      <c r="D1363" s="19" t="s">
        <v>162</v>
      </c>
      <c r="E1363" s="19" t="s">
        <v>437</v>
      </c>
      <c r="F1363" s="19" t="s">
        <v>400</v>
      </c>
      <c r="G1363" s="19" t="s">
        <v>557</v>
      </c>
      <c r="H1363" s="19" t="s">
        <v>350</v>
      </c>
    </row>
    <row r="1364" spans="1:8" hidden="1" x14ac:dyDescent="0.25">
      <c r="A1364">
        <v>22350082</v>
      </c>
      <c r="B1364" s="19" t="s">
        <v>12</v>
      </c>
      <c r="C1364" s="19" t="s">
        <v>26</v>
      </c>
      <c r="D1364" s="19" t="s">
        <v>88</v>
      </c>
      <c r="E1364" s="19" t="s">
        <v>437</v>
      </c>
      <c r="F1364" s="19" t="s">
        <v>400</v>
      </c>
      <c r="G1364" s="19" t="s">
        <v>557</v>
      </c>
      <c r="H1364" s="19" t="s">
        <v>350</v>
      </c>
    </row>
    <row r="1365" spans="1:8" hidden="1" x14ac:dyDescent="0.25">
      <c r="A1365">
        <v>22350063</v>
      </c>
      <c r="B1365" s="19" t="s">
        <v>12</v>
      </c>
      <c r="C1365" s="19" t="s">
        <v>26</v>
      </c>
      <c r="D1365" s="19" t="s">
        <v>155</v>
      </c>
      <c r="E1365" s="19" t="s">
        <v>437</v>
      </c>
      <c r="F1365" s="19" t="s">
        <v>400</v>
      </c>
      <c r="G1365" s="19" t="s">
        <v>557</v>
      </c>
      <c r="H1365" s="19" t="s">
        <v>350</v>
      </c>
    </row>
    <row r="1366" spans="1:8" hidden="1" x14ac:dyDescent="0.25">
      <c r="A1366">
        <v>20910012</v>
      </c>
      <c r="B1366" s="19" t="s">
        <v>12</v>
      </c>
      <c r="C1366" s="19" t="s">
        <v>26</v>
      </c>
      <c r="D1366" s="19" t="s">
        <v>97</v>
      </c>
      <c r="E1366" s="19" t="s">
        <v>437</v>
      </c>
      <c r="F1366" s="19" t="s">
        <v>400</v>
      </c>
      <c r="G1366" s="19" t="s">
        <v>557</v>
      </c>
      <c r="H1366" s="19" t="s">
        <v>350</v>
      </c>
    </row>
    <row r="1367" spans="1:8" hidden="1" x14ac:dyDescent="0.25">
      <c r="A1367">
        <v>19050346</v>
      </c>
      <c r="B1367" s="19" t="s">
        <v>12</v>
      </c>
      <c r="C1367" s="19" t="s">
        <v>26</v>
      </c>
      <c r="D1367" s="19" t="s">
        <v>35</v>
      </c>
      <c r="E1367" s="19" t="s">
        <v>437</v>
      </c>
      <c r="F1367" s="19" t="s">
        <v>400</v>
      </c>
      <c r="G1367" s="19" t="s">
        <v>557</v>
      </c>
      <c r="H1367" s="19" t="s">
        <v>350</v>
      </c>
    </row>
    <row r="1368" spans="1:8" hidden="1" x14ac:dyDescent="0.25">
      <c r="A1368">
        <v>19050343</v>
      </c>
      <c r="B1368" s="19" t="s">
        <v>12</v>
      </c>
      <c r="C1368" s="19" t="s">
        <v>26</v>
      </c>
      <c r="D1368" s="19" t="s">
        <v>194</v>
      </c>
      <c r="E1368" s="19" t="s">
        <v>437</v>
      </c>
      <c r="F1368" s="19" t="s">
        <v>400</v>
      </c>
      <c r="G1368" s="19" t="s">
        <v>557</v>
      </c>
      <c r="H1368" s="19" t="s">
        <v>350</v>
      </c>
    </row>
    <row r="1369" spans="1:8" hidden="1" x14ac:dyDescent="0.25">
      <c r="A1369">
        <v>19050340</v>
      </c>
      <c r="B1369" s="19" t="s">
        <v>12</v>
      </c>
      <c r="C1369" s="19" t="s">
        <v>26</v>
      </c>
      <c r="D1369" s="19" t="s">
        <v>196</v>
      </c>
      <c r="E1369" s="19" t="s">
        <v>437</v>
      </c>
      <c r="F1369" s="19" t="s">
        <v>400</v>
      </c>
      <c r="G1369" s="19" t="s">
        <v>557</v>
      </c>
      <c r="H1369" s="19" t="s">
        <v>350</v>
      </c>
    </row>
    <row r="1370" spans="1:8" hidden="1" x14ac:dyDescent="0.25">
      <c r="A1370">
        <v>19050276</v>
      </c>
      <c r="B1370" s="19" t="s">
        <v>12</v>
      </c>
      <c r="C1370" s="19" t="s">
        <v>26</v>
      </c>
      <c r="D1370" s="19" t="s">
        <v>202</v>
      </c>
      <c r="E1370" s="19" t="s">
        <v>443</v>
      </c>
      <c r="F1370" s="19" t="s">
        <v>400</v>
      </c>
      <c r="G1370" s="19" t="s">
        <v>557</v>
      </c>
      <c r="H1370" s="19" t="s">
        <v>350</v>
      </c>
    </row>
    <row r="1371" spans="1:8" hidden="1" x14ac:dyDescent="0.25">
      <c r="A1371">
        <v>19050218</v>
      </c>
      <c r="B1371" s="19" t="s">
        <v>12</v>
      </c>
      <c r="C1371" s="19" t="s">
        <v>26</v>
      </c>
      <c r="D1371" s="19" t="s">
        <v>35</v>
      </c>
      <c r="E1371" s="19" t="s">
        <v>437</v>
      </c>
      <c r="F1371" s="19" t="s">
        <v>400</v>
      </c>
      <c r="G1371" s="19" t="s">
        <v>557</v>
      </c>
      <c r="H1371" s="19" t="s">
        <v>350</v>
      </c>
    </row>
    <row r="1372" spans="1:8" hidden="1" x14ac:dyDescent="0.25">
      <c r="A1372">
        <v>19050210</v>
      </c>
      <c r="B1372" s="19" t="s">
        <v>12</v>
      </c>
      <c r="C1372" s="19" t="s">
        <v>26</v>
      </c>
      <c r="D1372" s="19" t="s">
        <v>106</v>
      </c>
      <c r="E1372" s="19" t="s">
        <v>437</v>
      </c>
      <c r="F1372" s="19" t="s">
        <v>400</v>
      </c>
      <c r="G1372" s="19" t="s">
        <v>557</v>
      </c>
      <c r="H1372" s="19" t="s">
        <v>350</v>
      </c>
    </row>
    <row r="1373" spans="1:8" hidden="1" x14ac:dyDescent="0.25">
      <c r="A1373">
        <v>19050093</v>
      </c>
      <c r="B1373" s="19" t="s">
        <v>12</v>
      </c>
      <c r="C1373" s="19" t="s">
        <v>26</v>
      </c>
      <c r="D1373" s="19" t="s">
        <v>200</v>
      </c>
      <c r="E1373" s="19" t="s">
        <v>437</v>
      </c>
      <c r="F1373" s="19" t="s">
        <v>400</v>
      </c>
      <c r="G1373" s="19" t="s">
        <v>557</v>
      </c>
      <c r="H1373" s="19" t="s">
        <v>350</v>
      </c>
    </row>
    <row r="1374" spans="1:8" hidden="1" x14ac:dyDescent="0.25">
      <c r="A1374">
        <v>19050078</v>
      </c>
      <c r="B1374" s="19" t="s">
        <v>12</v>
      </c>
      <c r="C1374" s="19" t="s">
        <v>26</v>
      </c>
      <c r="D1374" s="19" t="s">
        <v>202</v>
      </c>
      <c r="E1374" s="19" t="s">
        <v>437</v>
      </c>
      <c r="F1374" s="19" t="s">
        <v>400</v>
      </c>
      <c r="G1374" s="19" t="s">
        <v>557</v>
      </c>
      <c r="H1374" s="19" t="s">
        <v>350</v>
      </c>
    </row>
    <row r="1375" spans="1:8" hidden="1" x14ac:dyDescent="0.25">
      <c r="A1375">
        <v>19050067</v>
      </c>
      <c r="B1375" s="19" t="s">
        <v>12</v>
      </c>
      <c r="C1375" s="19" t="s">
        <v>26</v>
      </c>
      <c r="D1375" s="19" t="s">
        <v>193</v>
      </c>
      <c r="E1375" s="19" t="s">
        <v>437</v>
      </c>
      <c r="F1375" s="19" t="s">
        <v>400</v>
      </c>
      <c r="G1375" s="19" t="s">
        <v>557</v>
      </c>
      <c r="H1375" s="19" t="s">
        <v>350</v>
      </c>
    </row>
    <row r="1376" spans="1:8" hidden="1" x14ac:dyDescent="0.25">
      <c r="A1376">
        <v>19050035</v>
      </c>
      <c r="B1376" s="19" t="s">
        <v>12</v>
      </c>
      <c r="C1376" s="19" t="s">
        <v>26</v>
      </c>
      <c r="D1376" s="19" t="s">
        <v>593</v>
      </c>
      <c r="E1376" s="19" t="s">
        <v>437</v>
      </c>
      <c r="F1376" s="19" t="s">
        <v>400</v>
      </c>
      <c r="G1376" s="19" t="s">
        <v>557</v>
      </c>
      <c r="H1376" s="19" t="s">
        <v>350</v>
      </c>
    </row>
    <row r="1377" spans="1:8" hidden="1" x14ac:dyDescent="0.25">
      <c r="A1377">
        <v>18943193</v>
      </c>
      <c r="B1377" s="19" t="s">
        <v>12</v>
      </c>
      <c r="C1377" s="19" t="s">
        <v>26</v>
      </c>
      <c r="D1377" s="19" t="s">
        <v>193</v>
      </c>
      <c r="E1377" s="19" t="s">
        <v>437</v>
      </c>
      <c r="F1377" s="19" t="s">
        <v>400</v>
      </c>
      <c r="G1377" s="19" t="s">
        <v>557</v>
      </c>
      <c r="H1377" s="19" t="s">
        <v>350</v>
      </c>
    </row>
    <row r="1378" spans="1:8" hidden="1" x14ac:dyDescent="0.25">
      <c r="A1378">
        <v>18943185</v>
      </c>
      <c r="B1378" s="19" t="s">
        <v>12</v>
      </c>
      <c r="C1378" s="19" t="s">
        <v>26</v>
      </c>
      <c r="D1378" s="19" t="s">
        <v>202</v>
      </c>
      <c r="E1378" s="19" t="s">
        <v>437</v>
      </c>
      <c r="F1378" s="19" t="s">
        <v>400</v>
      </c>
      <c r="G1378" s="19" t="s">
        <v>557</v>
      </c>
      <c r="H1378" s="19" t="s">
        <v>350</v>
      </c>
    </row>
    <row r="1379" spans="1:8" hidden="1" x14ac:dyDescent="0.25">
      <c r="A1379">
        <v>18943083</v>
      </c>
      <c r="B1379" s="19" t="s">
        <v>12</v>
      </c>
      <c r="C1379" s="19" t="s">
        <v>26</v>
      </c>
      <c r="D1379" s="19" t="s">
        <v>106</v>
      </c>
      <c r="E1379" s="19" t="s">
        <v>443</v>
      </c>
      <c r="F1379" s="19" t="s">
        <v>400</v>
      </c>
      <c r="G1379" s="19" t="s">
        <v>557</v>
      </c>
      <c r="H1379" s="19" t="s">
        <v>350</v>
      </c>
    </row>
    <row r="1380" spans="1:8" hidden="1" x14ac:dyDescent="0.25">
      <c r="A1380">
        <v>16843465</v>
      </c>
      <c r="B1380" s="19" t="s">
        <v>12</v>
      </c>
      <c r="C1380" s="19" t="s">
        <v>26</v>
      </c>
      <c r="D1380" s="19" t="s">
        <v>45</v>
      </c>
      <c r="E1380" s="19" t="s">
        <v>443</v>
      </c>
      <c r="F1380" s="19" t="s">
        <v>400</v>
      </c>
      <c r="G1380" s="19" t="s">
        <v>557</v>
      </c>
      <c r="H1380" s="19" t="s">
        <v>350</v>
      </c>
    </row>
    <row r="1381" spans="1:8" hidden="1" x14ac:dyDescent="0.25">
      <c r="A1381">
        <v>16705665</v>
      </c>
      <c r="B1381" s="19" t="s">
        <v>79</v>
      </c>
      <c r="C1381" s="19" t="s">
        <v>26</v>
      </c>
      <c r="D1381" s="19" t="s">
        <v>58</v>
      </c>
      <c r="E1381" s="19" t="s">
        <v>445</v>
      </c>
      <c r="F1381" s="19" t="s">
        <v>400</v>
      </c>
      <c r="G1381" s="19" t="s">
        <v>557</v>
      </c>
      <c r="H1381" s="19" t="s">
        <v>350</v>
      </c>
    </row>
    <row r="1382" spans="1:8" hidden="1" x14ac:dyDescent="0.25">
      <c r="A1382">
        <v>16705345</v>
      </c>
      <c r="B1382" s="19" t="s">
        <v>79</v>
      </c>
      <c r="C1382" s="19" t="s">
        <v>26</v>
      </c>
      <c r="D1382" s="19" t="s">
        <v>55</v>
      </c>
      <c r="E1382" s="19" t="s">
        <v>437</v>
      </c>
      <c r="F1382" s="19" t="s">
        <v>400</v>
      </c>
      <c r="G1382" s="19" t="s">
        <v>557</v>
      </c>
      <c r="H1382" s="19" t="s">
        <v>350</v>
      </c>
    </row>
    <row r="1383" spans="1:8" hidden="1" x14ac:dyDescent="0.25">
      <c r="A1383">
        <v>16705277</v>
      </c>
      <c r="B1383" s="19" t="s">
        <v>12</v>
      </c>
      <c r="C1383" s="19" t="s">
        <v>26</v>
      </c>
      <c r="D1383" s="19" t="s">
        <v>116</v>
      </c>
      <c r="E1383" s="19" t="s">
        <v>437</v>
      </c>
      <c r="F1383" s="19" t="s">
        <v>400</v>
      </c>
      <c r="G1383" s="19" t="s">
        <v>557</v>
      </c>
      <c r="H1383" s="19" t="s">
        <v>350</v>
      </c>
    </row>
    <row r="1384" spans="1:8" hidden="1" x14ac:dyDescent="0.25">
      <c r="A1384">
        <v>16390423</v>
      </c>
      <c r="B1384" s="19" t="s">
        <v>12</v>
      </c>
      <c r="C1384" s="19" t="s">
        <v>26</v>
      </c>
      <c r="D1384" s="19" t="s">
        <v>194</v>
      </c>
      <c r="E1384" s="19" t="s">
        <v>443</v>
      </c>
      <c r="F1384" s="19" t="s">
        <v>400</v>
      </c>
      <c r="G1384" s="19" t="s">
        <v>557</v>
      </c>
      <c r="H1384" s="19" t="s">
        <v>350</v>
      </c>
    </row>
    <row r="1385" spans="1:8" hidden="1" x14ac:dyDescent="0.25">
      <c r="A1385">
        <v>16390420</v>
      </c>
      <c r="B1385" s="19" t="s">
        <v>12</v>
      </c>
      <c r="C1385" s="19" t="s">
        <v>26</v>
      </c>
      <c r="D1385" s="19" t="s">
        <v>594</v>
      </c>
      <c r="E1385" s="19" t="s">
        <v>443</v>
      </c>
      <c r="F1385" s="19" t="s">
        <v>400</v>
      </c>
      <c r="G1385" s="19" t="s">
        <v>557</v>
      </c>
      <c r="H1385" s="19" t="s">
        <v>350</v>
      </c>
    </row>
    <row r="1386" spans="1:8" hidden="1" x14ac:dyDescent="0.25">
      <c r="A1386">
        <v>15661169</v>
      </c>
      <c r="B1386" s="19" t="s">
        <v>18</v>
      </c>
      <c r="C1386" s="19" t="s">
        <v>26</v>
      </c>
      <c r="D1386" s="19" t="s">
        <v>390</v>
      </c>
      <c r="E1386" s="19" t="s">
        <v>437</v>
      </c>
      <c r="F1386" s="19" t="s">
        <v>400</v>
      </c>
      <c r="G1386" s="19" t="s">
        <v>557</v>
      </c>
      <c r="H1386" s="19" t="s">
        <v>350</v>
      </c>
    </row>
    <row r="1387" spans="1:8" hidden="1" x14ac:dyDescent="0.25">
      <c r="A1387">
        <v>15661090</v>
      </c>
      <c r="B1387" s="19" t="s">
        <v>18</v>
      </c>
      <c r="C1387" s="19" t="s">
        <v>26</v>
      </c>
      <c r="D1387" s="19" t="s">
        <v>122</v>
      </c>
      <c r="E1387" s="19" t="s">
        <v>437</v>
      </c>
      <c r="F1387" s="19" t="s">
        <v>400</v>
      </c>
      <c r="G1387" s="19" t="s">
        <v>557</v>
      </c>
      <c r="H1387" s="19" t="s">
        <v>350</v>
      </c>
    </row>
    <row r="1388" spans="1:8" hidden="1" x14ac:dyDescent="0.25">
      <c r="A1388">
        <v>14718226</v>
      </c>
      <c r="B1388" s="19" t="s">
        <v>18</v>
      </c>
      <c r="C1388" s="19" t="s">
        <v>26</v>
      </c>
      <c r="D1388" s="19" t="s">
        <v>39</v>
      </c>
      <c r="E1388" s="19" t="s">
        <v>443</v>
      </c>
      <c r="F1388" s="19" t="s">
        <v>400</v>
      </c>
      <c r="G1388" s="19" t="s">
        <v>557</v>
      </c>
      <c r="H1388" s="19" t="s">
        <v>350</v>
      </c>
    </row>
    <row r="1389" spans="1:8" hidden="1" x14ac:dyDescent="0.25">
      <c r="A1389">
        <v>2053297</v>
      </c>
      <c r="B1389" s="19" t="s">
        <v>12</v>
      </c>
      <c r="C1389" s="19" t="s">
        <v>26</v>
      </c>
      <c r="D1389" s="19" t="s">
        <v>165</v>
      </c>
      <c r="E1389" s="19" t="s">
        <v>437</v>
      </c>
      <c r="F1389" s="19" t="s">
        <v>400</v>
      </c>
      <c r="G1389" s="19" t="s">
        <v>557</v>
      </c>
      <c r="H1389" s="19" t="s">
        <v>350</v>
      </c>
    </row>
    <row r="1390" spans="1:8" hidden="1" x14ac:dyDescent="0.25">
      <c r="A1390">
        <v>1321994</v>
      </c>
      <c r="B1390" s="19" t="s">
        <v>79</v>
      </c>
      <c r="C1390" s="19" t="s">
        <v>26</v>
      </c>
      <c r="D1390" s="19" t="s">
        <v>166</v>
      </c>
      <c r="E1390" s="19" t="s">
        <v>456</v>
      </c>
      <c r="F1390" s="19" t="s">
        <v>400</v>
      </c>
      <c r="G1390" s="19" t="s">
        <v>557</v>
      </c>
      <c r="H1390" s="19" t="s">
        <v>350</v>
      </c>
    </row>
    <row r="1391" spans="1:8" hidden="1" x14ac:dyDescent="0.25">
      <c r="A1391">
        <v>26234459</v>
      </c>
      <c r="B1391" s="19" t="s">
        <v>12</v>
      </c>
      <c r="C1391" s="19" t="s">
        <v>15</v>
      </c>
      <c r="D1391" s="19" t="s">
        <v>663</v>
      </c>
      <c r="E1391" s="19" t="s">
        <v>443</v>
      </c>
      <c r="F1391" s="19" t="s">
        <v>400</v>
      </c>
      <c r="G1391" s="19" t="s">
        <v>557</v>
      </c>
      <c r="H1391" s="19" t="s">
        <v>1</v>
      </c>
    </row>
    <row r="1392" spans="1:8" hidden="1" x14ac:dyDescent="0.25">
      <c r="A1392">
        <v>26234458</v>
      </c>
      <c r="B1392" s="19" t="s">
        <v>12</v>
      </c>
      <c r="C1392" s="19" t="s">
        <v>13</v>
      </c>
      <c r="D1392" s="19" t="s">
        <v>682</v>
      </c>
      <c r="E1392" s="19" t="s">
        <v>443</v>
      </c>
      <c r="F1392" s="19" t="s">
        <v>401</v>
      </c>
      <c r="G1392" s="19" t="s">
        <v>557</v>
      </c>
      <c r="H1392" s="19" t="s">
        <v>1</v>
      </c>
    </row>
    <row r="1393" spans="1:8" hidden="1" x14ac:dyDescent="0.25">
      <c r="A1393">
        <v>26234456</v>
      </c>
      <c r="B1393" s="19" t="s">
        <v>12</v>
      </c>
      <c r="C1393" s="19" t="s">
        <v>13</v>
      </c>
      <c r="D1393" s="19" t="s">
        <v>687</v>
      </c>
      <c r="E1393" s="19" t="s">
        <v>443</v>
      </c>
      <c r="F1393" s="19" t="s">
        <v>401</v>
      </c>
      <c r="G1393" s="19" t="s">
        <v>557</v>
      </c>
      <c r="H1393" s="19" t="s">
        <v>1</v>
      </c>
    </row>
    <row r="1394" spans="1:8" hidden="1" x14ac:dyDescent="0.25">
      <c r="A1394">
        <v>26234455</v>
      </c>
      <c r="B1394" s="19" t="s">
        <v>12</v>
      </c>
      <c r="C1394" s="19" t="s">
        <v>13</v>
      </c>
      <c r="D1394" s="19" t="s">
        <v>682</v>
      </c>
      <c r="E1394" s="19" t="s">
        <v>443</v>
      </c>
      <c r="F1394" s="19" t="s">
        <v>401</v>
      </c>
      <c r="G1394" s="19" t="s">
        <v>557</v>
      </c>
      <c r="H1394" s="19" t="s">
        <v>1</v>
      </c>
    </row>
    <row r="1395" spans="1:8" hidden="1" x14ac:dyDescent="0.25">
      <c r="A1395">
        <v>26234453</v>
      </c>
      <c r="B1395" s="19" t="s">
        <v>12</v>
      </c>
      <c r="C1395" s="19" t="s">
        <v>15</v>
      </c>
      <c r="D1395" s="19" t="s">
        <v>577</v>
      </c>
      <c r="E1395" s="19" t="s">
        <v>443</v>
      </c>
      <c r="F1395" s="19" t="s">
        <v>400</v>
      </c>
      <c r="G1395" s="19" t="s">
        <v>557</v>
      </c>
      <c r="H1395" s="19" t="s">
        <v>1</v>
      </c>
    </row>
    <row r="1396" spans="1:8" hidden="1" x14ac:dyDescent="0.25">
      <c r="A1396">
        <v>26234452</v>
      </c>
      <c r="B1396" s="19" t="s">
        <v>12</v>
      </c>
      <c r="C1396" s="19" t="s">
        <v>13</v>
      </c>
      <c r="D1396" s="19" t="s">
        <v>577</v>
      </c>
      <c r="E1396" s="19" t="s">
        <v>443</v>
      </c>
      <c r="F1396" s="19" t="s">
        <v>401</v>
      </c>
      <c r="G1396" s="19" t="s">
        <v>557</v>
      </c>
      <c r="H1396" s="19" t="s">
        <v>1</v>
      </c>
    </row>
    <row r="1397" spans="1:8" hidden="1" x14ac:dyDescent="0.25">
      <c r="A1397">
        <v>26234451</v>
      </c>
      <c r="B1397" s="19" t="s">
        <v>18</v>
      </c>
      <c r="C1397" s="19" t="s">
        <v>15</v>
      </c>
      <c r="D1397" s="19" t="s">
        <v>577</v>
      </c>
      <c r="E1397" s="19" t="s">
        <v>443</v>
      </c>
      <c r="F1397" s="19" t="s">
        <v>400</v>
      </c>
      <c r="G1397" s="19" t="s">
        <v>557</v>
      </c>
      <c r="H1397" s="19" t="s">
        <v>1</v>
      </c>
    </row>
    <row r="1398" spans="1:8" hidden="1" x14ac:dyDescent="0.25">
      <c r="A1398">
        <v>26234450</v>
      </c>
      <c r="B1398" s="19" t="s">
        <v>12</v>
      </c>
      <c r="C1398" s="19" t="s">
        <v>13</v>
      </c>
      <c r="D1398" s="19" t="s">
        <v>577</v>
      </c>
      <c r="E1398" s="19" t="s">
        <v>443</v>
      </c>
      <c r="F1398" s="19" t="s">
        <v>401</v>
      </c>
      <c r="G1398" s="19" t="s">
        <v>557</v>
      </c>
      <c r="H1398" s="19" t="s">
        <v>1</v>
      </c>
    </row>
    <row r="1399" spans="1:8" hidden="1" x14ac:dyDescent="0.25">
      <c r="A1399">
        <v>26234449</v>
      </c>
      <c r="B1399" s="19" t="s">
        <v>12</v>
      </c>
      <c r="C1399" s="19" t="s">
        <v>13</v>
      </c>
      <c r="D1399" s="19" t="s">
        <v>577</v>
      </c>
      <c r="E1399" s="19" t="s">
        <v>443</v>
      </c>
      <c r="F1399" s="19" t="s">
        <v>401</v>
      </c>
      <c r="G1399" s="19" t="s">
        <v>557</v>
      </c>
      <c r="H1399" s="19" t="s">
        <v>1</v>
      </c>
    </row>
    <row r="1400" spans="1:8" hidden="1" x14ac:dyDescent="0.25">
      <c r="A1400">
        <v>26234448</v>
      </c>
      <c r="B1400" s="19" t="s">
        <v>12</v>
      </c>
      <c r="C1400" s="19" t="s">
        <v>15</v>
      </c>
      <c r="D1400" s="19" t="s">
        <v>577</v>
      </c>
      <c r="E1400" s="19" t="s">
        <v>443</v>
      </c>
      <c r="F1400" s="19" t="s">
        <v>400</v>
      </c>
      <c r="G1400" s="19" t="s">
        <v>557</v>
      </c>
      <c r="H1400" s="19" t="s">
        <v>1</v>
      </c>
    </row>
    <row r="1401" spans="1:8" hidden="1" x14ac:dyDescent="0.25">
      <c r="A1401">
        <v>26234447</v>
      </c>
      <c r="B1401" s="19" t="s">
        <v>12</v>
      </c>
      <c r="C1401" s="19" t="s">
        <v>15</v>
      </c>
      <c r="D1401" s="19" t="s">
        <v>577</v>
      </c>
      <c r="E1401" s="19" t="s">
        <v>443</v>
      </c>
      <c r="F1401" s="19" t="s">
        <v>400</v>
      </c>
      <c r="G1401" s="19" t="s">
        <v>557</v>
      </c>
      <c r="H1401" s="19" t="s">
        <v>1</v>
      </c>
    </row>
    <row r="1402" spans="1:8" hidden="1" x14ac:dyDescent="0.25">
      <c r="A1402">
        <v>26234444</v>
      </c>
      <c r="B1402" s="19" t="s">
        <v>12</v>
      </c>
      <c r="C1402" s="19" t="s">
        <v>15</v>
      </c>
      <c r="D1402" s="19" t="s">
        <v>662</v>
      </c>
      <c r="E1402" s="19" t="s">
        <v>443</v>
      </c>
      <c r="F1402" s="19" t="s">
        <v>400</v>
      </c>
      <c r="G1402" s="19" t="s">
        <v>557</v>
      </c>
      <c r="H1402" s="19" t="s">
        <v>1</v>
      </c>
    </row>
    <row r="1403" spans="1:8" hidden="1" x14ac:dyDescent="0.25">
      <c r="A1403">
        <v>26234443</v>
      </c>
      <c r="B1403" s="19" t="s">
        <v>12</v>
      </c>
      <c r="C1403" s="19" t="s">
        <v>13</v>
      </c>
      <c r="D1403" s="19" t="s">
        <v>662</v>
      </c>
      <c r="E1403" s="19" t="s">
        <v>443</v>
      </c>
      <c r="F1403" s="19" t="s">
        <v>401</v>
      </c>
      <c r="G1403" s="19" t="s">
        <v>557</v>
      </c>
      <c r="H1403" s="19" t="s">
        <v>1</v>
      </c>
    </row>
    <row r="1404" spans="1:8" hidden="1" x14ac:dyDescent="0.25">
      <c r="A1404">
        <v>26234441</v>
      </c>
      <c r="B1404" s="19" t="s">
        <v>12</v>
      </c>
      <c r="C1404" s="19" t="s">
        <v>13</v>
      </c>
      <c r="D1404" s="19" t="s">
        <v>662</v>
      </c>
      <c r="E1404" s="19" t="s">
        <v>443</v>
      </c>
      <c r="F1404" s="19" t="s">
        <v>401</v>
      </c>
      <c r="G1404" s="19" t="s">
        <v>557</v>
      </c>
      <c r="H1404" s="19" t="s">
        <v>1</v>
      </c>
    </row>
    <row r="1405" spans="1:8" hidden="1" x14ac:dyDescent="0.25">
      <c r="A1405">
        <v>26234440</v>
      </c>
      <c r="B1405" s="19" t="s">
        <v>18</v>
      </c>
      <c r="C1405" s="19" t="s">
        <v>13</v>
      </c>
      <c r="D1405" s="19" t="s">
        <v>662</v>
      </c>
      <c r="E1405" s="19" t="s">
        <v>443</v>
      </c>
      <c r="F1405" s="19" t="s">
        <v>401</v>
      </c>
      <c r="G1405" s="19" t="s">
        <v>557</v>
      </c>
      <c r="H1405" s="19" t="s">
        <v>1</v>
      </c>
    </row>
    <row r="1406" spans="1:8" hidden="1" x14ac:dyDescent="0.25">
      <c r="A1406">
        <v>26234439</v>
      </c>
      <c r="B1406" s="19" t="s">
        <v>12</v>
      </c>
      <c r="C1406" s="19" t="s">
        <v>15</v>
      </c>
      <c r="D1406" s="19" t="s">
        <v>662</v>
      </c>
      <c r="E1406" s="19" t="s">
        <v>443</v>
      </c>
      <c r="F1406" s="19" t="s">
        <v>400</v>
      </c>
      <c r="G1406" s="19" t="s">
        <v>557</v>
      </c>
      <c r="H1406" s="19" t="s">
        <v>1</v>
      </c>
    </row>
    <row r="1407" spans="1:8" hidden="1" x14ac:dyDescent="0.25">
      <c r="A1407">
        <v>26234438</v>
      </c>
      <c r="B1407" s="19" t="s">
        <v>18</v>
      </c>
      <c r="C1407" s="19" t="s">
        <v>15</v>
      </c>
      <c r="D1407" s="19" t="s">
        <v>662</v>
      </c>
      <c r="E1407" s="19" t="s">
        <v>443</v>
      </c>
      <c r="F1407" s="19" t="s">
        <v>400</v>
      </c>
      <c r="G1407" s="19" t="s">
        <v>557</v>
      </c>
      <c r="H1407" s="19" t="s">
        <v>1</v>
      </c>
    </row>
    <row r="1408" spans="1:8" hidden="1" x14ac:dyDescent="0.25">
      <c r="A1408">
        <v>26234437</v>
      </c>
      <c r="B1408" s="19" t="s">
        <v>12</v>
      </c>
      <c r="C1408" s="19" t="s">
        <v>15</v>
      </c>
      <c r="D1408" s="19" t="s">
        <v>662</v>
      </c>
      <c r="E1408" s="19" t="s">
        <v>443</v>
      </c>
      <c r="F1408" s="19" t="s">
        <v>400</v>
      </c>
      <c r="G1408" s="19" t="s">
        <v>557</v>
      </c>
      <c r="H1408" s="19" t="s">
        <v>1</v>
      </c>
    </row>
    <row r="1409" spans="1:8" hidden="1" x14ac:dyDescent="0.25">
      <c r="A1409">
        <v>26234435</v>
      </c>
      <c r="B1409" s="19" t="s">
        <v>12</v>
      </c>
      <c r="C1409" s="19" t="s">
        <v>13</v>
      </c>
      <c r="D1409" s="19" t="s">
        <v>662</v>
      </c>
      <c r="E1409" s="19" t="s">
        <v>443</v>
      </c>
      <c r="F1409" s="19" t="s">
        <v>401</v>
      </c>
      <c r="G1409" s="19" t="s">
        <v>557</v>
      </c>
      <c r="H1409" s="19" t="s">
        <v>1</v>
      </c>
    </row>
    <row r="1410" spans="1:8" hidden="1" x14ac:dyDescent="0.25">
      <c r="A1410">
        <v>26234433</v>
      </c>
      <c r="B1410" s="19" t="s">
        <v>12</v>
      </c>
      <c r="C1410" s="19" t="s">
        <v>13</v>
      </c>
      <c r="D1410" s="19" t="s">
        <v>662</v>
      </c>
      <c r="E1410" s="19" t="s">
        <v>443</v>
      </c>
      <c r="F1410" s="19" t="s">
        <v>401</v>
      </c>
      <c r="G1410" s="19" t="s">
        <v>557</v>
      </c>
      <c r="H1410" s="19" t="s">
        <v>1</v>
      </c>
    </row>
    <row r="1411" spans="1:8" hidden="1" x14ac:dyDescent="0.25">
      <c r="A1411">
        <v>26234432</v>
      </c>
      <c r="B1411" s="19" t="s">
        <v>12</v>
      </c>
      <c r="C1411" s="19" t="s">
        <v>15</v>
      </c>
      <c r="D1411" s="19" t="s">
        <v>662</v>
      </c>
      <c r="E1411" s="19" t="s">
        <v>443</v>
      </c>
      <c r="F1411" s="19" t="s">
        <v>400</v>
      </c>
      <c r="G1411" s="19" t="s">
        <v>557</v>
      </c>
      <c r="H1411" s="19" t="s">
        <v>1</v>
      </c>
    </row>
    <row r="1412" spans="1:8" hidden="1" x14ac:dyDescent="0.25">
      <c r="A1412">
        <v>26234431</v>
      </c>
      <c r="B1412" s="19" t="s">
        <v>12</v>
      </c>
      <c r="C1412" s="19" t="s">
        <v>13</v>
      </c>
      <c r="D1412" s="19" t="s">
        <v>662</v>
      </c>
      <c r="E1412" s="19" t="s">
        <v>443</v>
      </c>
      <c r="F1412" s="19" t="s">
        <v>401</v>
      </c>
      <c r="G1412" s="19" t="s">
        <v>557</v>
      </c>
      <c r="H1412" s="19" t="s">
        <v>1</v>
      </c>
    </row>
    <row r="1413" spans="1:8" hidden="1" x14ac:dyDescent="0.25">
      <c r="A1413">
        <v>26234428</v>
      </c>
      <c r="B1413" s="19" t="s">
        <v>12</v>
      </c>
      <c r="C1413" s="19" t="s">
        <v>15</v>
      </c>
      <c r="D1413" s="19" t="s">
        <v>662</v>
      </c>
      <c r="E1413" s="19" t="s">
        <v>443</v>
      </c>
      <c r="F1413" s="19" t="s">
        <v>400</v>
      </c>
      <c r="G1413" s="19" t="s">
        <v>557</v>
      </c>
      <c r="H1413" s="19" t="s">
        <v>1</v>
      </c>
    </row>
    <row r="1414" spans="1:8" hidden="1" x14ac:dyDescent="0.25">
      <c r="A1414">
        <v>26234426</v>
      </c>
      <c r="B1414" s="19" t="s">
        <v>12</v>
      </c>
      <c r="C1414" s="19" t="s">
        <v>15</v>
      </c>
      <c r="D1414" s="19" t="s">
        <v>662</v>
      </c>
      <c r="E1414" s="19" t="s">
        <v>443</v>
      </c>
      <c r="F1414" s="19" t="s">
        <v>400</v>
      </c>
      <c r="G1414" s="19" t="s">
        <v>557</v>
      </c>
      <c r="H1414" s="19" t="s">
        <v>1</v>
      </c>
    </row>
    <row r="1415" spans="1:8" hidden="1" x14ac:dyDescent="0.25">
      <c r="A1415">
        <v>26234424</v>
      </c>
      <c r="B1415" s="19" t="s">
        <v>12</v>
      </c>
      <c r="C1415" s="19" t="s">
        <v>15</v>
      </c>
      <c r="D1415" s="19" t="s">
        <v>662</v>
      </c>
      <c r="E1415" s="19" t="s">
        <v>443</v>
      </c>
      <c r="F1415" s="19" t="s">
        <v>400</v>
      </c>
      <c r="G1415" s="19" t="s">
        <v>557</v>
      </c>
      <c r="H1415" s="19" t="s">
        <v>1</v>
      </c>
    </row>
    <row r="1416" spans="1:8" hidden="1" x14ac:dyDescent="0.25">
      <c r="A1416">
        <v>26234422</v>
      </c>
      <c r="B1416" s="19" t="s">
        <v>18</v>
      </c>
      <c r="C1416" s="19" t="s">
        <v>15</v>
      </c>
      <c r="D1416" s="19" t="s">
        <v>662</v>
      </c>
      <c r="E1416" s="19" t="s">
        <v>443</v>
      </c>
      <c r="F1416" s="19" t="s">
        <v>400</v>
      </c>
      <c r="G1416" s="19" t="s">
        <v>557</v>
      </c>
      <c r="H1416" s="19" t="s">
        <v>1</v>
      </c>
    </row>
    <row r="1417" spans="1:8" hidden="1" x14ac:dyDescent="0.25">
      <c r="A1417">
        <v>26234417</v>
      </c>
      <c r="B1417" s="19" t="s">
        <v>12</v>
      </c>
      <c r="C1417" s="19" t="s">
        <v>15</v>
      </c>
      <c r="D1417" s="19" t="s">
        <v>662</v>
      </c>
      <c r="E1417" s="19" t="s">
        <v>443</v>
      </c>
      <c r="F1417" s="19" t="s">
        <v>400</v>
      </c>
      <c r="G1417" s="19" t="s">
        <v>557</v>
      </c>
      <c r="H1417" s="19" t="s">
        <v>1</v>
      </c>
    </row>
    <row r="1418" spans="1:8" hidden="1" x14ac:dyDescent="0.25">
      <c r="A1418">
        <v>26234414</v>
      </c>
      <c r="B1418" s="19" t="s">
        <v>12</v>
      </c>
      <c r="C1418" s="19" t="s">
        <v>15</v>
      </c>
      <c r="D1418" s="19" t="s">
        <v>662</v>
      </c>
      <c r="E1418" s="19" t="s">
        <v>443</v>
      </c>
      <c r="F1418" s="19" t="s">
        <v>400</v>
      </c>
      <c r="G1418" s="19" t="s">
        <v>557</v>
      </c>
      <c r="H1418" s="19" t="s">
        <v>1</v>
      </c>
    </row>
    <row r="1419" spans="1:8" hidden="1" x14ac:dyDescent="0.25">
      <c r="A1419">
        <v>26234413</v>
      </c>
      <c r="B1419" s="19" t="s">
        <v>12</v>
      </c>
      <c r="C1419" s="19" t="s">
        <v>15</v>
      </c>
      <c r="D1419" s="19" t="s">
        <v>662</v>
      </c>
      <c r="E1419" s="19" t="s">
        <v>443</v>
      </c>
      <c r="F1419" s="19" t="s">
        <v>400</v>
      </c>
      <c r="G1419" s="19" t="s">
        <v>557</v>
      </c>
      <c r="H1419" s="19" t="s">
        <v>1</v>
      </c>
    </row>
    <row r="1420" spans="1:8" hidden="1" x14ac:dyDescent="0.25">
      <c r="A1420">
        <v>26234409</v>
      </c>
      <c r="B1420" s="19" t="s">
        <v>12</v>
      </c>
      <c r="C1420" s="19" t="s">
        <v>13</v>
      </c>
      <c r="D1420" s="19" t="s">
        <v>662</v>
      </c>
      <c r="E1420" s="19" t="s">
        <v>443</v>
      </c>
      <c r="F1420" s="19" t="s">
        <v>401</v>
      </c>
      <c r="G1420" s="19" t="s">
        <v>557</v>
      </c>
      <c r="H1420" s="19" t="s">
        <v>1</v>
      </c>
    </row>
    <row r="1421" spans="1:8" hidden="1" x14ac:dyDescent="0.25">
      <c r="A1421">
        <v>26234408</v>
      </c>
      <c r="B1421" s="19" t="s">
        <v>12</v>
      </c>
      <c r="C1421" s="19" t="s">
        <v>13</v>
      </c>
      <c r="D1421" s="19" t="s">
        <v>662</v>
      </c>
      <c r="E1421" s="19" t="s">
        <v>443</v>
      </c>
      <c r="F1421" s="19" t="s">
        <v>401</v>
      </c>
      <c r="G1421" s="19" t="s">
        <v>557</v>
      </c>
      <c r="H1421" s="19" t="s">
        <v>1</v>
      </c>
    </row>
    <row r="1422" spans="1:8" hidden="1" x14ac:dyDescent="0.25">
      <c r="A1422">
        <v>26234407</v>
      </c>
      <c r="B1422" s="19" t="s">
        <v>12</v>
      </c>
      <c r="C1422" s="19" t="s">
        <v>13</v>
      </c>
      <c r="D1422" s="19" t="s">
        <v>577</v>
      </c>
      <c r="E1422" s="19" t="s">
        <v>443</v>
      </c>
      <c r="F1422" s="19" t="s">
        <v>401</v>
      </c>
      <c r="G1422" s="19" t="s">
        <v>557</v>
      </c>
      <c r="H1422" s="19" t="s">
        <v>1</v>
      </c>
    </row>
    <row r="1423" spans="1:8" hidden="1" x14ac:dyDescent="0.25">
      <c r="A1423">
        <v>26234405</v>
      </c>
      <c r="B1423" s="19" t="s">
        <v>12</v>
      </c>
      <c r="C1423" s="19" t="s">
        <v>13</v>
      </c>
      <c r="D1423" s="19" t="s">
        <v>662</v>
      </c>
      <c r="E1423" s="19" t="s">
        <v>443</v>
      </c>
      <c r="F1423" s="19" t="s">
        <v>401</v>
      </c>
      <c r="G1423" s="19" t="s">
        <v>557</v>
      </c>
      <c r="H1423" s="19" t="s">
        <v>1</v>
      </c>
    </row>
    <row r="1424" spans="1:8" hidden="1" x14ac:dyDescent="0.25">
      <c r="A1424">
        <v>26234404</v>
      </c>
      <c r="B1424" s="19" t="s">
        <v>12</v>
      </c>
      <c r="C1424" s="19" t="s">
        <v>13</v>
      </c>
      <c r="D1424" s="19" t="s">
        <v>662</v>
      </c>
      <c r="E1424" s="19" t="s">
        <v>443</v>
      </c>
      <c r="F1424" s="19" t="s">
        <v>401</v>
      </c>
      <c r="G1424" s="19" t="s">
        <v>557</v>
      </c>
      <c r="H1424" s="19" t="s">
        <v>1</v>
      </c>
    </row>
    <row r="1425" spans="1:8" hidden="1" x14ac:dyDescent="0.25">
      <c r="A1425">
        <v>26234403</v>
      </c>
      <c r="B1425" s="19" t="s">
        <v>12</v>
      </c>
      <c r="C1425" s="19" t="s">
        <v>13</v>
      </c>
      <c r="D1425" s="19" t="s">
        <v>662</v>
      </c>
      <c r="E1425" s="19" t="s">
        <v>443</v>
      </c>
      <c r="F1425" s="19" t="s">
        <v>401</v>
      </c>
      <c r="G1425" s="19" t="s">
        <v>557</v>
      </c>
      <c r="H1425" s="19" t="s">
        <v>1</v>
      </c>
    </row>
    <row r="1426" spans="1:8" hidden="1" x14ac:dyDescent="0.25">
      <c r="A1426">
        <v>26234402</v>
      </c>
      <c r="B1426" s="19" t="s">
        <v>12</v>
      </c>
      <c r="C1426" s="19" t="s">
        <v>13</v>
      </c>
      <c r="D1426" s="19" t="s">
        <v>662</v>
      </c>
      <c r="E1426" s="19" t="s">
        <v>443</v>
      </c>
      <c r="F1426" s="19" t="s">
        <v>401</v>
      </c>
      <c r="G1426" s="19" t="s">
        <v>557</v>
      </c>
      <c r="H1426" s="19" t="s">
        <v>1</v>
      </c>
    </row>
    <row r="1427" spans="1:8" hidden="1" x14ac:dyDescent="0.25">
      <c r="A1427">
        <v>26234400</v>
      </c>
      <c r="B1427" s="19" t="s">
        <v>18</v>
      </c>
      <c r="C1427" s="19" t="s">
        <v>15</v>
      </c>
      <c r="D1427" s="19" t="s">
        <v>662</v>
      </c>
      <c r="E1427" s="19" t="s">
        <v>443</v>
      </c>
      <c r="F1427" s="19" t="s">
        <v>400</v>
      </c>
      <c r="G1427" s="19" t="s">
        <v>557</v>
      </c>
      <c r="H1427" s="19" t="s">
        <v>1</v>
      </c>
    </row>
    <row r="1428" spans="1:8" hidden="1" x14ac:dyDescent="0.25">
      <c r="A1428">
        <v>26234399</v>
      </c>
      <c r="B1428" s="19" t="s">
        <v>12</v>
      </c>
      <c r="C1428" s="19" t="s">
        <v>15</v>
      </c>
      <c r="D1428" s="19" t="s">
        <v>662</v>
      </c>
      <c r="E1428" s="19" t="s">
        <v>443</v>
      </c>
      <c r="F1428" s="19" t="s">
        <v>400</v>
      </c>
      <c r="G1428" s="19" t="s">
        <v>557</v>
      </c>
      <c r="H1428" s="19" t="s">
        <v>1</v>
      </c>
    </row>
    <row r="1429" spans="1:8" hidden="1" x14ac:dyDescent="0.25">
      <c r="A1429">
        <v>26234397</v>
      </c>
      <c r="B1429" s="19" t="s">
        <v>12</v>
      </c>
      <c r="C1429" s="19" t="s">
        <v>13</v>
      </c>
      <c r="D1429" s="19" t="s">
        <v>662</v>
      </c>
      <c r="E1429" s="19" t="s">
        <v>443</v>
      </c>
      <c r="F1429" s="19" t="s">
        <v>401</v>
      </c>
      <c r="G1429" s="19" t="s">
        <v>557</v>
      </c>
      <c r="H1429" s="19" t="s">
        <v>1</v>
      </c>
    </row>
    <row r="1430" spans="1:8" hidden="1" x14ac:dyDescent="0.25">
      <c r="A1430">
        <v>26234396</v>
      </c>
      <c r="B1430" s="19" t="s">
        <v>12</v>
      </c>
      <c r="C1430" s="19" t="s">
        <v>15</v>
      </c>
      <c r="D1430" s="19" t="s">
        <v>662</v>
      </c>
      <c r="E1430" s="19" t="s">
        <v>443</v>
      </c>
      <c r="F1430" s="19" t="s">
        <v>400</v>
      </c>
      <c r="G1430" s="19" t="s">
        <v>557</v>
      </c>
      <c r="H1430" s="19" t="s">
        <v>1</v>
      </c>
    </row>
    <row r="1431" spans="1:8" hidden="1" x14ac:dyDescent="0.25">
      <c r="A1431">
        <v>26234395</v>
      </c>
      <c r="B1431" s="19" t="s">
        <v>12</v>
      </c>
      <c r="C1431" s="19" t="s">
        <v>15</v>
      </c>
      <c r="D1431" s="19" t="s">
        <v>662</v>
      </c>
      <c r="E1431" s="19" t="s">
        <v>443</v>
      </c>
      <c r="F1431" s="19" t="s">
        <v>400</v>
      </c>
      <c r="G1431" s="19" t="s">
        <v>557</v>
      </c>
      <c r="H1431" s="19" t="s">
        <v>1</v>
      </c>
    </row>
    <row r="1432" spans="1:8" hidden="1" x14ac:dyDescent="0.25">
      <c r="A1432">
        <v>26234394</v>
      </c>
      <c r="B1432" s="19" t="s">
        <v>18</v>
      </c>
      <c r="C1432" s="19" t="s">
        <v>13</v>
      </c>
      <c r="D1432" s="19" t="s">
        <v>662</v>
      </c>
      <c r="E1432" s="19" t="s">
        <v>443</v>
      </c>
      <c r="F1432" s="19" t="s">
        <v>401</v>
      </c>
      <c r="G1432" s="19" t="s">
        <v>557</v>
      </c>
      <c r="H1432" s="19" t="s">
        <v>1</v>
      </c>
    </row>
    <row r="1433" spans="1:8" hidden="1" x14ac:dyDescent="0.25">
      <c r="A1433">
        <v>26234393</v>
      </c>
      <c r="B1433" s="19" t="s">
        <v>12</v>
      </c>
      <c r="C1433" s="19" t="s">
        <v>15</v>
      </c>
      <c r="D1433" s="19" t="s">
        <v>662</v>
      </c>
      <c r="E1433" s="19" t="s">
        <v>443</v>
      </c>
      <c r="F1433" s="19" t="s">
        <v>400</v>
      </c>
      <c r="G1433" s="19" t="s">
        <v>557</v>
      </c>
      <c r="H1433" s="19" t="s">
        <v>1</v>
      </c>
    </row>
    <row r="1434" spans="1:8" hidden="1" x14ac:dyDescent="0.25">
      <c r="A1434">
        <v>26234391</v>
      </c>
      <c r="B1434" s="19" t="s">
        <v>12</v>
      </c>
      <c r="C1434" s="19" t="s">
        <v>15</v>
      </c>
      <c r="D1434" s="19" t="s">
        <v>662</v>
      </c>
      <c r="E1434" s="19" t="s">
        <v>443</v>
      </c>
      <c r="F1434" s="19" t="s">
        <v>400</v>
      </c>
      <c r="G1434" s="19" t="s">
        <v>557</v>
      </c>
      <c r="H1434" s="19" t="s">
        <v>1</v>
      </c>
    </row>
    <row r="1435" spans="1:8" hidden="1" x14ac:dyDescent="0.25">
      <c r="A1435">
        <v>26234389</v>
      </c>
      <c r="B1435" s="19" t="s">
        <v>12</v>
      </c>
      <c r="C1435" s="19" t="s">
        <v>13</v>
      </c>
      <c r="D1435" s="19" t="s">
        <v>662</v>
      </c>
      <c r="E1435" s="19" t="s">
        <v>443</v>
      </c>
      <c r="F1435" s="19" t="s">
        <v>401</v>
      </c>
      <c r="G1435" s="19" t="s">
        <v>557</v>
      </c>
      <c r="H1435" s="19" t="s">
        <v>1</v>
      </c>
    </row>
    <row r="1436" spans="1:8" hidden="1" x14ac:dyDescent="0.25">
      <c r="A1436">
        <v>26234388</v>
      </c>
      <c r="B1436" s="19" t="s">
        <v>12</v>
      </c>
      <c r="C1436" s="19" t="s">
        <v>15</v>
      </c>
      <c r="D1436" s="19" t="s">
        <v>662</v>
      </c>
      <c r="E1436" s="19" t="s">
        <v>443</v>
      </c>
      <c r="F1436" s="19" t="s">
        <v>400</v>
      </c>
      <c r="G1436" s="19" t="s">
        <v>557</v>
      </c>
      <c r="H1436" s="19" t="s">
        <v>1</v>
      </c>
    </row>
    <row r="1437" spans="1:8" hidden="1" x14ac:dyDescent="0.25">
      <c r="A1437">
        <v>26234386</v>
      </c>
      <c r="B1437" s="19" t="s">
        <v>12</v>
      </c>
      <c r="C1437" s="19" t="s">
        <v>15</v>
      </c>
      <c r="D1437" s="19" t="s">
        <v>662</v>
      </c>
      <c r="E1437" s="19" t="s">
        <v>443</v>
      </c>
      <c r="F1437" s="19" t="s">
        <v>400</v>
      </c>
      <c r="G1437" s="19" t="s">
        <v>557</v>
      </c>
      <c r="H1437" s="19" t="s">
        <v>1</v>
      </c>
    </row>
    <row r="1438" spans="1:8" hidden="1" x14ac:dyDescent="0.25">
      <c r="A1438">
        <v>26234384</v>
      </c>
      <c r="B1438" s="19" t="s">
        <v>12</v>
      </c>
      <c r="C1438" s="19" t="s">
        <v>13</v>
      </c>
      <c r="D1438" s="19" t="s">
        <v>577</v>
      </c>
      <c r="E1438" s="19" t="s">
        <v>443</v>
      </c>
      <c r="F1438" s="19" t="s">
        <v>401</v>
      </c>
      <c r="G1438" s="19" t="s">
        <v>557</v>
      </c>
      <c r="H1438" s="19" t="s">
        <v>1</v>
      </c>
    </row>
    <row r="1439" spans="1:8" hidden="1" x14ac:dyDescent="0.25">
      <c r="A1439">
        <v>26234383</v>
      </c>
      <c r="B1439" s="19" t="s">
        <v>12</v>
      </c>
      <c r="C1439" s="19" t="s">
        <v>15</v>
      </c>
      <c r="D1439" s="19" t="s">
        <v>583</v>
      </c>
      <c r="E1439" s="19" t="s">
        <v>443</v>
      </c>
      <c r="F1439" s="19" t="s">
        <v>400</v>
      </c>
      <c r="G1439" s="19" t="s">
        <v>557</v>
      </c>
      <c r="H1439" s="19" t="s">
        <v>1</v>
      </c>
    </row>
    <row r="1440" spans="1:8" hidden="1" x14ac:dyDescent="0.25">
      <c r="A1440">
        <v>26234380</v>
      </c>
      <c r="B1440" s="19" t="s">
        <v>12</v>
      </c>
      <c r="C1440" s="19" t="s">
        <v>13</v>
      </c>
      <c r="D1440" s="19" t="s">
        <v>663</v>
      </c>
      <c r="E1440" s="19" t="s">
        <v>443</v>
      </c>
      <c r="F1440" s="19" t="s">
        <v>401</v>
      </c>
      <c r="G1440" s="19" t="s">
        <v>557</v>
      </c>
      <c r="H1440" s="19" t="s">
        <v>1</v>
      </c>
    </row>
    <row r="1441" spans="1:8" hidden="1" x14ac:dyDescent="0.25">
      <c r="A1441">
        <v>26234378</v>
      </c>
      <c r="B1441" s="19" t="s">
        <v>12</v>
      </c>
      <c r="C1441" s="19" t="s">
        <v>13</v>
      </c>
      <c r="D1441" s="19" t="s">
        <v>663</v>
      </c>
      <c r="E1441" s="19" t="s">
        <v>443</v>
      </c>
      <c r="F1441" s="19" t="s">
        <v>401</v>
      </c>
      <c r="G1441" s="19" t="s">
        <v>557</v>
      </c>
      <c r="H1441" s="19" t="s">
        <v>1</v>
      </c>
    </row>
    <row r="1442" spans="1:8" hidden="1" x14ac:dyDescent="0.25">
      <c r="A1442">
        <v>26234377</v>
      </c>
      <c r="B1442" s="19" t="s">
        <v>12</v>
      </c>
      <c r="C1442" s="19" t="s">
        <v>15</v>
      </c>
      <c r="D1442" s="19" t="s">
        <v>663</v>
      </c>
      <c r="E1442" s="19" t="s">
        <v>443</v>
      </c>
      <c r="F1442" s="19" t="s">
        <v>400</v>
      </c>
      <c r="G1442" s="19" t="s">
        <v>557</v>
      </c>
      <c r="H1442" s="19" t="s">
        <v>1</v>
      </c>
    </row>
    <row r="1443" spans="1:8" hidden="1" x14ac:dyDescent="0.25">
      <c r="A1443">
        <v>26234376</v>
      </c>
      <c r="B1443" s="19" t="s">
        <v>12</v>
      </c>
      <c r="C1443" s="19" t="s">
        <v>15</v>
      </c>
      <c r="D1443" s="19" t="s">
        <v>663</v>
      </c>
      <c r="E1443" s="19" t="s">
        <v>443</v>
      </c>
      <c r="F1443" s="19" t="s">
        <v>400</v>
      </c>
      <c r="G1443" s="19" t="s">
        <v>557</v>
      </c>
      <c r="H1443" s="19" t="s">
        <v>1</v>
      </c>
    </row>
    <row r="1444" spans="1:8" hidden="1" x14ac:dyDescent="0.25">
      <c r="A1444">
        <v>26234374</v>
      </c>
      <c r="B1444" s="19" t="s">
        <v>18</v>
      </c>
      <c r="C1444" s="19" t="s">
        <v>15</v>
      </c>
      <c r="D1444" s="19" t="s">
        <v>663</v>
      </c>
      <c r="E1444" s="19" t="s">
        <v>443</v>
      </c>
      <c r="F1444" s="19" t="s">
        <v>400</v>
      </c>
      <c r="G1444" s="19" t="s">
        <v>557</v>
      </c>
      <c r="H1444" s="19" t="s">
        <v>1</v>
      </c>
    </row>
    <row r="1445" spans="1:8" hidden="1" x14ac:dyDescent="0.25">
      <c r="A1445">
        <v>26234373</v>
      </c>
      <c r="B1445" s="19" t="s">
        <v>12</v>
      </c>
      <c r="C1445" s="19" t="s">
        <v>15</v>
      </c>
      <c r="D1445" s="19" t="s">
        <v>663</v>
      </c>
      <c r="E1445" s="19" t="s">
        <v>443</v>
      </c>
      <c r="F1445" s="19" t="s">
        <v>400</v>
      </c>
      <c r="G1445" s="19" t="s">
        <v>557</v>
      </c>
      <c r="H1445" s="19" t="s">
        <v>1</v>
      </c>
    </row>
    <row r="1446" spans="1:8" hidden="1" x14ac:dyDescent="0.25">
      <c r="A1446">
        <v>26234372</v>
      </c>
      <c r="B1446" s="19" t="s">
        <v>12</v>
      </c>
      <c r="C1446" s="19" t="s">
        <v>15</v>
      </c>
      <c r="D1446" s="19" t="s">
        <v>663</v>
      </c>
      <c r="E1446" s="19" t="s">
        <v>443</v>
      </c>
      <c r="F1446" s="19" t="s">
        <v>400</v>
      </c>
      <c r="G1446" s="19" t="s">
        <v>557</v>
      </c>
      <c r="H1446" s="19" t="s">
        <v>1</v>
      </c>
    </row>
    <row r="1447" spans="1:8" hidden="1" x14ac:dyDescent="0.25">
      <c r="A1447">
        <v>26234371</v>
      </c>
      <c r="B1447" s="19" t="s">
        <v>12</v>
      </c>
      <c r="C1447" s="19" t="s">
        <v>15</v>
      </c>
      <c r="D1447" s="19" t="s">
        <v>662</v>
      </c>
      <c r="E1447" s="19" t="s">
        <v>443</v>
      </c>
      <c r="F1447" s="19" t="s">
        <v>400</v>
      </c>
      <c r="G1447" s="19" t="s">
        <v>557</v>
      </c>
      <c r="H1447" s="19" t="s">
        <v>1</v>
      </c>
    </row>
    <row r="1448" spans="1:8" hidden="1" x14ac:dyDescent="0.25">
      <c r="A1448">
        <v>26234369</v>
      </c>
      <c r="B1448" s="19" t="s">
        <v>12</v>
      </c>
      <c r="C1448" s="19" t="s">
        <v>15</v>
      </c>
      <c r="D1448" s="19" t="s">
        <v>662</v>
      </c>
      <c r="E1448" s="19" t="s">
        <v>443</v>
      </c>
      <c r="F1448" s="19" t="s">
        <v>400</v>
      </c>
      <c r="G1448" s="19" t="s">
        <v>557</v>
      </c>
      <c r="H1448" s="19" t="s">
        <v>1</v>
      </c>
    </row>
    <row r="1449" spans="1:8" hidden="1" x14ac:dyDescent="0.25">
      <c r="A1449">
        <v>26234368</v>
      </c>
      <c r="B1449" s="19" t="s">
        <v>12</v>
      </c>
      <c r="C1449" s="19" t="s">
        <v>13</v>
      </c>
      <c r="D1449" s="19" t="s">
        <v>662</v>
      </c>
      <c r="E1449" s="19" t="s">
        <v>443</v>
      </c>
      <c r="F1449" s="19" t="s">
        <v>401</v>
      </c>
      <c r="G1449" s="19" t="s">
        <v>557</v>
      </c>
      <c r="H1449" s="19" t="s">
        <v>1</v>
      </c>
    </row>
    <row r="1450" spans="1:8" hidden="1" x14ac:dyDescent="0.25">
      <c r="A1450">
        <v>26234366</v>
      </c>
      <c r="B1450" s="19" t="s">
        <v>12</v>
      </c>
      <c r="C1450" s="19" t="s">
        <v>13</v>
      </c>
      <c r="D1450" s="19" t="s">
        <v>662</v>
      </c>
      <c r="E1450" s="19" t="s">
        <v>443</v>
      </c>
      <c r="F1450" s="19" t="s">
        <v>401</v>
      </c>
      <c r="G1450" s="19" t="s">
        <v>557</v>
      </c>
      <c r="H1450" s="19" t="s">
        <v>1</v>
      </c>
    </row>
    <row r="1451" spans="1:8" hidden="1" x14ac:dyDescent="0.25">
      <c r="A1451">
        <v>26234365</v>
      </c>
      <c r="B1451" s="19" t="s">
        <v>12</v>
      </c>
      <c r="C1451" s="19" t="s">
        <v>13</v>
      </c>
      <c r="D1451" s="19" t="s">
        <v>662</v>
      </c>
      <c r="E1451" s="19" t="s">
        <v>443</v>
      </c>
      <c r="F1451" s="19" t="s">
        <v>401</v>
      </c>
      <c r="G1451" s="19" t="s">
        <v>557</v>
      </c>
      <c r="H1451" s="19" t="s">
        <v>1</v>
      </c>
    </row>
    <row r="1452" spans="1:8" hidden="1" x14ac:dyDescent="0.25">
      <c r="A1452">
        <v>26234364</v>
      </c>
      <c r="B1452" s="19" t="s">
        <v>12</v>
      </c>
      <c r="C1452" s="19" t="s">
        <v>15</v>
      </c>
      <c r="D1452" s="19" t="s">
        <v>662</v>
      </c>
      <c r="E1452" s="19" t="s">
        <v>443</v>
      </c>
      <c r="F1452" s="19" t="s">
        <v>400</v>
      </c>
      <c r="G1452" s="19" t="s">
        <v>557</v>
      </c>
      <c r="H1452" s="19" t="s">
        <v>1</v>
      </c>
    </row>
    <row r="1453" spans="1:8" hidden="1" x14ac:dyDescent="0.25">
      <c r="A1453">
        <v>26234363</v>
      </c>
      <c r="B1453" s="19" t="s">
        <v>12</v>
      </c>
      <c r="C1453" s="19" t="s">
        <v>13</v>
      </c>
      <c r="D1453" s="19" t="s">
        <v>662</v>
      </c>
      <c r="E1453" s="19" t="s">
        <v>443</v>
      </c>
      <c r="F1453" s="19" t="s">
        <v>401</v>
      </c>
      <c r="G1453" s="19" t="s">
        <v>557</v>
      </c>
      <c r="H1453" s="19" t="s">
        <v>1</v>
      </c>
    </row>
    <row r="1454" spans="1:8" hidden="1" x14ac:dyDescent="0.25">
      <c r="A1454">
        <v>26234362</v>
      </c>
      <c r="B1454" s="19" t="s">
        <v>12</v>
      </c>
      <c r="C1454" s="19" t="s">
        <v>13</v>
      </c>
      <c r="D1454" s="19" t="s">
        <v>662</v>
      </c>
      <c r="E1454" s="19" t="s">
        <v>443</v>
      </c>
      <c r="F1454" s="19" t="s">
        <v>401</v>
      </c>
      <c r="G1454" s="19" t="s">
        <v>557</v>
      </c>
      <c r="H1454" s="19" t="s">
        <v>1</v>
      </c>
    </row>
    <row r="1455" spans="1:8" hidden="1" x14ac:dyDescent="0.25">
      <c r="A1455">
        <v>26234361</v>
      </c>
      <c r="B1455" s="19" t="s">
        <v>12</v>
      </c>
      <c r="C1455" s="19" t="s">
        <v>13</v>
      </c>
      <c r="D1455" s="19" t="s">
        <v>662</v>
      </c>
      <c r="E1455" s="19" t="s">
        <v>443</v>
      </c>
      <c r="F1455" s="19" t="s">
        <v>401</v>
      </c>
      <c r="G1455" s="19" t="s">
        <v>557</v>
      </c>
      <c r="H1455" s="19" t="s">
        <v>1</v>
      </c>
    </row>
    <row r="1456" spans="1:8" hidden="1" x14ac:dyDescent="0.25">
      <c r="A1456">
        <v>26234360</v>
      </c>
      <c r="B1456" s="19" t="s">
        <v>12</v>
      </c>
      <c r="C1456" s="19" t="s">
        <v>15</v>
      </c>
      <c r="D1456" s="19" t="s">
        <v>662</v>
      </c>
      <c r="E1456" s="19" t="s">
        <v>443</v>
      </c>
      <c r="F1456" s="19" t="s">
        <v>400</v>
      </c>
      <c r="G1456" s="19" t="s">
        <v>557</v>
      </c>
      <c r="H1456" s="19" t="s">
        <v>1</v>
      </c>
    </row>
    <row r="1457" spans="1:8" hidden="1" x14ac:dyDescent="0.25">
      <c r="A1457">
        <v>26234359</v>
      </c>
      <c r="B1457" s="19" t="s">
        <v>12</v>
      </c>
      <c r="C1457" s="19" t="s">
        <v>15</v>
      </c>
      <c r="D1457" s="19" t="s">
        <v>662</v>
      </c>
      <c r="E1457" s="19" t="s">
        <v>443</v>
      </c>
      <c r="F1457" s="19" t="s">
        <v>400</v>
      </c>
      <c r="G1457" s="19" t="s">
        <v>557</v>
      </c>
      <c r="H1457" s="19" t="s">
        <v>1</v>
      </c>
    </row>
    <row r="1458" spans="1:8" hidden="1" x14ac:dyDescent="0.25">
      <c r="A1458">
        <v>26234358</v>
      </c>
      <c r="B1458" s="19" t="s">
        <v>12</v>
      </c>
      <c r="C1458" s="19" t="s">
        <v>13</v>
      </c>
      <c r="D1458" s="19" t="s">
        <v>662</v>
      </c>
      <c r="E1458" s="19" t="s">
        <v>443</v>
      </c>
      <c r="F1458" s="19" t="s">
        <v>401</v>
      </c>
      <c r="G1458" s="19" t="s">
        <v>557</v>
      </c>
      <c r="H1458" s="19" t="s">
        <v>1</v>
      </c>
    </row>
    <row r="1459" spans="1:8" hidden="1" x14ac:dyDescent="0.25">
      <c r="A1459">
        <v>26234357</v>
      </c>
      <c r="B1459" s="19" t="s">
        <v>18</v>
      </c>
      <c r="C1459" s="19" t="s">
        <v>15</v>
      </c>
      <c r="D1459" s="19" t="s">
        <v>662</v>
      </c>
      <c r="E1459" s="19" t="s">
        <v>443</v>
      </c>
      <c r="F1459" s="19" t="s">
        <v>400</v>
      </c>
      <c r="G1459" s="19" t="s">
        <v>557</v>
      </c>
      <c r="H1459" s="19" t="s">
        <v>1</v>
      </c>
    </row>
    <row r="1460" spans="1:8" hidden="1" x14ac:dyDescent="0.25">
      <c r="A1460">
        <v>26234355</v>
      </c>
      <c r="B1460" s="19" t="s">
        <v>12</v>
      </c>
      <c r="C1460" s="19" t="s">
        <v>15</v>
      </c>
      <c r="D1460" s="19" t="s">
        <v>662</v>
      </c>
      <c r="E1460" s="19" t="s">
        <v>443</v>
      </c>
      <c r="F1460" s="19" t="s">
        <v>400</v>
      </c>
      <c r="G1460" s="19" t="s">
        <v>557</v>
      </c>
      <c r="H1460" s="19" t="s">
        <v>1</v>
      </c>
    </row>
    <row r="1461" spans="1:8" hidden="1" x14ac:dyDescent="0.25">
      <c r="A1461">
        <v>26234354</v>
      </c>
      <c r="B1461" s="19" t="s">
        <v>12</v>
      </c>
      <c r="C1461" s="19" t="s">
        <v>13</v>
      </c>
      <c r="D1461" s="19" t="s">
        <v>662</v>
      </c>
      <c r="E1461" s="19" t="s">
        <v>443</v>
      </c>
      <c r="F1461" s="19" t="s">
        <v>401</v>
      </c>
      <c r="G1461" s="19" t="s">
        <v>557</v>
      </c>
      <c r="H1461" s="19" t="s">
        <v>1</v>
      </c>
    </row>
    <row r="1462" spans="1:8" hidden="1" x14ac:dyDescent="0.25">
      <c r="A1462">
        <v>26234353</v>
      </c>
      <c r="B1462" s="19" t="s">
        <v>12</v>
      </c>
      <c r="C1462" s="19" t="s">
        <v>13</v>
      </c>
      <c r="D1462" s="19" t="s">
        <v>662</v>
      </c>
      <c r="E1462" s="19" t="s">
        <v>443</v>
      </c>
      <c r="F1462" s="19" t="s">
        <v>401</v>
      </c>
      <c r="G1462" s="19" t="s">
        <v>557</v>
      </c>
      <c r="H1462" s="19" t="s">
        <v>1</v>
      </c>
    </row>
    <row r="1463" spans="1:8" hidden="1" x14ac:dyDescent="0.25">
      <c r="A1463">
        <v>26234352</v>
      </c>
      <c r="B1463" s="19" t="s">
        <v>12</v>
      </c>
      <c r="C1463" s="19" t="s">
        <v>13</v>
      </c>
      <c r="D1463" s="19" t="s">
        <v>662</v>
      </c>
      <c r="E1463" s="19" t="s">
        <v>443</v>
      </c>
      <c r="F1463" s="19" t="s">
        <v>401</v>
      </c>
      <c r="G1463" s="19" t="s">
        <v>557</v>
      </c>
      <c r="H1463" s="19" t="s">
        <v>1</v>
      </c>
    </row>
    <row r="1464" spans="1:8" hidden="1" x14ac:dyDescent="0.25">
      <c r="A1464">
        <v>26234351</v>
      </c>
      <c r="B1464" s="19" t="s">
        <v>12</v>
      </c>
      <c r="C1464" s="19" t="s">
        <v>15</v>
      </c>
      <c r="D1464" s="19" t="s">
        <v>662</v>
      </c>
      <c r="E1464" s="19" t="s">
        <v>443</v>
      </c>
      <c r="F1464" s="19" t="s">
        <v>400</v>
      </c>
      <c r="G1464" s="19" t="s">
        <v>557</v>
      </c>
      <c r="H1464" s="19" t="s">
        <v>1</v>
      </c>
    </row>
    <row r="1465" spans="1:8" hidden="1" x14ac:dyDescent="0.25">
      <c r="A1465">
        <v>26234349</v>
      </c>
      <c r="B1465" s="19" t="s">
        <v>12</v>
      </c>
      <c r="C1465" s="19" t="s">
        <v>13</v>
      </c>
      <c r="D1465" s="19" t="s">
        <v>662</v>
      </c>
      <c r="E1465" s="19" t="s">
        <v>443</v>
      </c>
      <c r="F1465" s="19" t="s">
        <v>401</v>
      </c>
      <c r="G1465" s="19" t="s">
        <v>557</v>
      </c>
      <c r="H1465" s="19" t="s">
        <v>1</v>
      </c>
    </row>
    <row r="1466" spans="1:8" hidden="1" x14ac:dyDescent="0.25">
      <c r="A1466">
        <v>26234348</v>
      </c>
      <c r="B1466" s="19" t="s">
        <v>12</v>
      </c>
      <c r="C1466" s="19" t="s">
        <v>15</v>
      </c>
      <c r="D1466" s="19" t="s">
        <v>662</v>
      </c>
      <c r="E1466" s="19" t="s">
        <v>443</v>
      </c>
      <c r="F1466" s="19" t="s">
        <v>400</v>
      </c>
      <c r="G1466" s="19" t="s">
        <v>557</v>
      </c>
      <c r="H1466" s="19" t="s">
        <v>1</v>
      </c>
    </row>
    <row r="1467" spans="1:8" hidden="1" x14ac:dyDescent="0.25">
      <c r="A1467">
        <v>26234347</v>
      </c>
      <c r="B1467" s="19" t="s">
        <v>12</v>
      </c>
      <c r="C1467" s="19" t="s">
        <v>13</v>
      </c>
      <c r="D1467" s="19" t="s">
        <v>662</v>
      </c>
      <c r="E1467" s="19" t="s">
        <v>443</v>
      </c>
      <c r="F1467" s="19" t="s">
        <v>401</v>
      </c>
      <c r="G1467" s="19" t="s">
        <v>557</v>
      </c>
      <c r="H1467" s="19" t="s">
        <v>1</v>
      </c>
    </row>
    <row r="1468" spans="1:8" hidden="1" x14ac:dyDescent="0.25">
      <c r="A1468">
        <v>26234345</v>
      </c>
      <c r="B1468" s="19" t="s">
        <v>18</v>
      </c>
      <c r="C1468" s="19" t="s">
        <v>15</v>
      </c>
      <c r="D1468" s="19" t="s">
        <v>662</v>
      </c>
      <c r="E1468" s="19" t="s">
        <v>443</v>
      </c>
      <c r="F1468" s="19" t="s">
        <v>400</v>
      </c>
      <c r="G1468" s="19" t="s">
        <v>557</v>
      </c>
      <c r="H1468" s="19" t="s">
        <v>1</v>
      </c>
    </row>
    <row r="1469" spans="1:8" hidden="1" x14ac:dyDescent="0.25">
      <c r="A1469">
        <v>26234344</v>
      </c>
      <c r="B1469" s="19" t="s">
        <v>12</v>
      </c>
      <c r="C1469" s="19" t="s">
        <v>15</v>
      </c>
      <c r="D1469" s="19" t="s">
        <v>662</v>
      </c>
      <c r="E1469" s="19" t="s">
        <v>443</v>
      </c>
      <c r="F1469" s="19" t="s">
        <v>400</v>
      </c>
      <c r="G1469" s="19" t="s">
        <v>557</v>
      </c>
      <c r="H1469" s="19" t="s">
        <v>1</v>
      </c>
    </row>
    <row r="1470" spans="1:8" hidden="1" x14ac:dyDescent="0.25">
      <c r="A1470">
        <v>26234343</v>
      </c>
      <c r="B1470" s="19" t="s">
        <v>12</v>
      </c>
      <c r="C1470" s="19" t="s">
        <v>15</v>
      </c>
      <c r="D1470" s="19" t="s">
        <v>662</v>
      </c>
      <c r="E1470" s="19" t="s">
        <v>443</v>
      </c>
      <c r="F1470" s="19" t="s">
        <v>400</v>
      </c>
      <c r="G1470" s="19" t="s">
        <v>557</v>
      </c>
      <c r="H1470" s="19" t="s">
        <v>1</v>
      </c>
    </row>
    <row r="1471" spans="1:8" hidden="1" x14ac:dyDescent="0.25">
      <c r="A1471">
        <v>26234341</v>
      </c>
      <c r="B1471" s="19" t="s">
        <v>79</v>
      </c>
      <c r="C1471" s="19" t="s">
        <v>15</v>
      </c>
      <c r="D1471" s="19" t="s">
        <v>663</v>
      </c>
      <c r="E1471" s="19" t="s">
        <v>443</v>
      </c>
      <c r="F1471" s="19" t="s">
        <v>400</v>
      </c>
      <c r="G1471" s="19" t="s">
        <v>557</v>
      </c>
      <c r="H1471" s="19" t="s">
        <v>1</v>
      </c>
    </row>
    <row r="1472" spans="1:8" hidden="1" x14ac:dyDescent="0.25">
      <c r="A1472">
        <v>26234339</v>
      </c>
      <c r="B1472" s="19" t="s">
        <v>12</v>
      </c>
      <c r="C1472" s="19" t="s">
        <v>15</v>
      </c>
      <c r="D1472" s="19" t="s">
        <v>663</v>
      </c>
      <c r="E1472" s="19" t="s">
        <v>443</v>
      </c>
      <c r="F1472" s="19" t="s">
        <v>400</v>
      </c>
      <c r="G1472" s="19" t="s">
        <v>557</v>
      </c>
      <c r="H1472" s="19" t="s">
        <v>1</v>
      </c>
    </row>
    <row r="1473" spans="1:8" hidden="1" x14ac:dyDescent="0.25">
      <c r="A1473">
        <v>26234335</v>
      </c>
      <c r="B1473" s="19" t="s">
        <v>12</v>
      </c>
      <c r="C1473" s="19" t="s">
        <v>15</v>
      </c>
      <c r="D1473" s="19" t="s">
        <v>664</v>
      </c>
      <c r="E1473" s="19" t="s">
        <v>443</v>
      </c>
      <c r="F1473" s="19" t="s">
        <v>400</v>
      </c>
      <c r="G1473" s="19" t="s">
        <v>557</v>
      </c>
      <c r="H1473" s="19" t="s">
        <v>1</v>
      </c>
    </row>
    <row r="1474" spans="1:8" hidden="1" x14ac:dyDescent="0.25">
      <c r="A1474">
        <v>26234334</v>
      </c>
      <c r="B1474" s="19" t="s">
        <v>18</v>
      </c>
      <c r="C1474" s="19" t="s">
        <v>15</v>
      </c>
      <c r="D1474" s="19" t="s">
        <v>664</v>
      </c>
      <c r="E1474" s="19" t="s">
        <v>443</v>
      </c>
      <c r="F1474" s="19" t="s">
        <v>400</v>
      </c>
      <c r="G1474" s="19" t="s">
        <v>557</v>
      </c>
      <c r="H1474" s="19" t="s">
        <v>1</v>
      </c>
    </row>
    <row r="1475" spans="1:8" hidden="1" x14ac:dyDescent="0.25">
      <c r="A1475">
        <v>26234333</v>
      </c>
      <c r="B1475" s="19" t="s">
        <v>12</v>
      </c>
      <c r="C1475" s="19" t="s">
        <v>13</v>
      </c>
      <c r="D1475" s="19" t="s">
        <v>664</v>
      </c>
      <c r="E1475" s="19" t="s">
        <v>443</v>
      </c>
      <c r="F1475" s="19" t="s">
        <v>401</v>
      </c>
      <c r="G1475" s="19" t="s">
        <v>557</v>
      </c>
      <c r="H1475" s="19" t="s">
        <v>1</v>
      </c>
    </row>
    <row r="1476" spans="1:8" hidden="1" x14ac:dyDescent="0.25">
      <c r="A1476">
        <v>26234331</v>
      </c>
      <c r="B1476" s="19" t="s">
        <v>12</v>
      </c>
      <c r="C1476" s="19" t="s">
        <v>15</v>
      </c>
      <c r="D1476" s="19" t="s">
        <v>688</v>
      </c>
      <c r="E1476" s="19" t="s">
        <v>443</v>
      </c>
      <c r="F1476" s="19" t="s">
        <v>400</v>
      </c>
      <c r="G1476" s="19" t="s">
        <v>557</v>
      </c>
      <c r="H1476" s="19" t="s">
        <v>1</v>
      </c>
    </row>
    <row r="1477" spans="1:8" hidden="1" x14ac:dyDescent="0.25">
      <c r="A1477">
        <v>26234329</v>
      </c>
      <c r="B1477" s="19" t="s">
        <v>12</v>
      </c>
      <c r="C1477" s="19" t="s">
        <v>13</v>
      </c>
      <c r="D1477" s="19" t="s">
        <v>664</v>
      </c>
      <c r="E1477" s="19" t="s">
        <v>443</v>
      </c>
      <c r="F1477" s="19" t="s">
        <v>401</v>
      </c>
      <c r="G1477" s="19" t="s">
        <v>557</v>
      </c>
      <c r="H1477" s="19" t="s">
        <v>1</v>
      </c>
    </row>
    <row r="1478" spans="1:8" hidden="1" x14ac:dyDescent="0.25">
      <c r="A1478">
        <v>26234326</v>
      </c>
      <c r="B1478" s="19" t="s">
        <v>12</v>
      </c>
      <c r="C1478" s="19" t="s">
        <v>13</v>
      </c>
      <c r="D1478" s="19" t="s">
        <v>663</v>
      </c>
      <c r="E1478" s="19" t="s">
        <v>443</v>
      </c>
      <c r="F1478" s="19" t="s">
        <v>401</v>
      </c>
      <c r="G1478" s="19" t="s">
        <v>557</v>
      </c>
      <c r="H1478" s="19" t="s">
        <v>1</v>
      </c>
    </row>
    <row r="1479" spans="1:8" hidden="1" x14ac:dyDescent="0.25">
      <c r="A1479">
        <v>26234325</v>
      </c>
      <c r="B1479" s="19" t="s">
        <v>12</v>
      </c>
      <c r="C1479" s="19" t="s">
        <v>13</v>
      </c>
      <c r="D1479" s="19" t="s">
        <v>663</v>
      </c>
      <c r="E1479" s="19" t="s">
        <v>443</v>
      </c>
      <c r="F1479" s="19" t="s">
        <v>401</v>
      </c>
      <c r="G1479" s="19" t="s">
        <v>557</v>
      </c>
      <c r="H1479" s="19" t="s">
        <v>1</v>
      </c>
    </row>
    <row r="1480" spans="1:8" hidden="1" x14ac:dyDescent="0.25">
      <c r="A1480">
        <v>26234324</v>
      </c>
      <c r="B1480" s="19" t="s">
        <v>12</v>
      </c>
      <c r="C1480" s="19" t="s">
        <v>13</v>
      </c>
      <c r="D1480" s="19" t="s">
        <v>664</v>
      </c>
      <c r="E1480" s="19" t="s">
        <v>443</v>
      </c>
      <c r="F1480" s="19" t="s">
        <v>401</v>
      </c>
      <c r="G1480" s="19" t="s">
        <v>557</v>
      </c>
      <c r="H1480" s="19" t="s">
        <v>1</v>
      </c>
    </row>
    <row r="1481" spans="1:8" hidden="1" x14ac:dyDescent="0.25">
      <c r="A1481">
        <v>26234323</v>
      </c>
      <c r="B1481" s="19" t="s">
        <v>12</v>
      </c>
      <c r="C1481" s="19" t="s">
        <v>15</v>
      </c>
      <c r="D1481" s="19" t="s">
        <v>665</v>
      </c>
      <c r="E1481" s="19" t="s">
        <v>443</v>
      </c>
      <c r="F1481" s="19" t="s">
        <v>400</v>
      </c>
      <c r="G1481" s="19" t="s">
        <v>557</v>
      </c>
      <c r="H1481" s="19" t="s">
        <v>1</v>
      </c>
    </row>
    <row r="1482" spans="1:8" hidden="1" x14ac:dyDescent="0.25">
      <c r="A1482">
        <v>26234322</v>
      </c>
      <c r="B1482" s="19" t="s">
        <v>12</v>
      </c>
      <c r="C1482" s="19" t="s">
        <v>15</v>
      </c>
      <c r="D1482" s="19" t="s">
        <v>663</v>
      </c>
      <c r="E1482" s="19" t="s">
        <v>443</v>
      </c>
      <c r="F1482" s="19" t="s">
        <v>400</v>
      </c>
      <c r="G1482" s="19" t="s">
        <v>557</v>
      </c>
      <c r="H1482" s="19" t="s">
        <v>1</v>
      </c>
    </row>
    <row r="1483" spans="1:8" hidden="1" x14ac:dyDescent="0.25">
      <c r="A1483">
        <v>26234321</v>
      </c>
      <c r="B1483" s="19" t="s">
        <v>18</v>
      </c>
      <c r="C1483" s="19" t="s">
        <v>15</v>
      </c>
      <c r="D1483" s="19" t="s">
        <v>663</v>
      </c>
      <c r="E1483" s="19" t="s">
        <v>443</v>
      </c>
      <c r="F1483" s="19" t="s">
        <v>400</v>
      </c>
      <c r="G1483" s="19" t="s">
        <v>557</v>
      </c>
      <c r="H1483" s="19" t="s">
        <v>1</v>
      </c>
    </row>
    <row r="1484" spans="1:8" hidden="1" x14ac:dyDescent="0.25">
      <c r="A1484">
        <v>26234320</v>
      </c>
      <c r="B1484" s="19" t="s">
        <v>12</v>
      </c>
      <c r="C1484" s="19" t="s">
        <v>13</v>
      </c>
      <c r="D1484" s="19" t="s">
        <v>664</v>
      </c>
      <c r="E1484" s="19" t="s">
        <v>443</v>
      </c>
      <c r="F1484" s="19" t="s">
        <v>401</v>
      </c>
      <c r="G1484" s="19" t="s">
        <v>557</v>
      </c>
      <c r="H1484" s="19" t="s">
        <v>1</v>
      </c>
    </row>
    <row r="1485" spans="1:8" hidden="1" x14ac:dyDescent="0.25">
      <c r="A1485">
        <v>26234319</v>
      </c>
      <c r="B1485" s="19" t="s">
        <v>12</v>
      </c>
      <c r="C1485" s="19" t="s">
        <v>13</v>
      </c>
      <c r="D1485" s="19" t="s">
        <v>664</v>
      </c>
      <c r="E1485" s="19" t="s">
        <v>443</v>
      </c>
      <c r="F1485" s="19" t="s">
        <v>401</v>
      </c>
      <c r="G1485" s="19" t="s">
        <v>557</v>
      </c>
      <c r="H1485" s="19" t="s">
        <v>1</v>
      </c>
    </row>
    <row r="1486" spans="1:8" hidden="1" x14ac:dyDescent="0.25">
      <c r="A1486">
        <v>26234318</v>
      </c>
      <c r="B1486" s="19" t="s">
        <v>12</v>
      </c>
      <c r="C1486" s="19" t="s">
        <v>13</v>
      </c>
      <c r="D1486" s="19" t="s">
        <v>664</v>
      </c>
      <c r="E1486" s="19" t="s">
        <v>443</v>
      </c>
      <c r="F1486" s="19" t="s">
        <v>401</v>
      </c>
      <c r="G1486" s="19" t="s">
        <v>557</v>
      </c>
      <c r="H1486" s="19" t="s">
        <v>1</v>
      </c>
    </row>
    <row r="1487" spans="1:8" hidden="1" x14ac:dyDescent="0.25">
      <c r="A1487">
        <v>26234316</v>
      </c>
      <c r="B1487" s="19" t="s">
        <v>18</v>
      </c>
      <c r="C1487" s="19" t="s">
        <v>15</v>
      </c>
      <c r="D1487" s="19" t="s">
        <v>664</v>
      </c>
      <c r="E1487" s="19" t="s">
        <v>443</v>
      </c>
      <c r="F1487" s="19" t="s">
        <v>400</v>
      </c>
      <c r="G1487" s="19" t="s">
        <v>557</v>
      </c>
      <c r="H1487" s="19" t="s">
        <v>1</v>
      </c>
    </row>
    <row r="1488" spans="1:8" hidden="1" x14ac:dyDescent="0.25">
      <c r="A1488">
        <v>26234315</v>
      </c>
      <c r="B1488" s="19" t="s">
        <v>18</v>
      </c>
      <c r="C1488" s="19" t="s">
        <v>13</v>
      </c>
      <c r="D1488" s="19" t="s">
        <v>664</v>
      </c>
      <c r="E1488" s="19" t="s">
        <v>443</v>
      </c>
      <c r="F1488" s="19" t="s">
        <v>401</v>
      </c>
      <c r="G1488" s="19" t="s">
        <v>557</v>
      </c>
      <c r="H1488" s="19" t="s">
        <v>1</v>
      </c>
    </row>
    <row r="1489" spans="1:8" hidden="1" x14ac:dyDescent="0.25">
      <c r="A1489">
        <v>26234314</v>
      </c>
      <c r="B1489" s="19" t="s">
        <v>12</v>
      </c>
      <c r="C1489" s="19" t="s">
        <v>13</v>
      </c>
      <c r="D1489" s="19" t="s">
        <v>664</v>
      </c>
      <c r="E1489" s="19" t="s">
        <v>443</v>
      </c>
      <c r="F1489" s="19" t="s">
        <v>401</v>
      </c>
      <c r="G1489" s="19" t="s">
        <v>557</v>
      </c>
      <c r="H1489" s="19" t="s">
        <v>1</v>
      </c>
    </row>
    <row r="1490" spans="1:8" hidden="1" x14ac:dyDescent="0.25">
      <c r="A1490">
        <v>26234313</v>
      </c>
      <c r="B1490" s="19" t="s">
        <v>12</v>
      </c>
      <c r="C1490" s="19" t="s">
        <v>13</v>
      </c>
      <c r="D1490" s="19" t="s">
        <v>663</v>
      </c>
      <c r="E1490" s="19" t="s">
        <v>443</v>
      </c>
      <c r="F1490" s="19" t="s">
        <v>401</v>
      </c>
      <c r="G1490" s="19" t="s">
        <v>557</v>
      </c>
      <c r="H1490" s="19" t="s">
        <v>1</v>
      </c>
    </row>
    <row r="1491" spans="1:8" hidden="1" x14ac:dyDescent="0.25">
      <c r="A1491">
        <v>26234312</v>
      </c>
      <c r="B1491" s="19" t="s">
        <v>12</v>
      </c>
      <c r="C1491" s="19" t="s">
        <v>13</v>
      </c>
      <c r="D1491" s="19" t="s">
        <v>664</v>
      </c>
      <c r="E1491" s="19" t="s">
        <v>443</v>
      </c>
      <c r="F1491" s="19" t="s">
        <v>401</v>
      </c>
      <c r="G1491" s="19" t="s">
        <v>557</v>
      </c>
      <c r="H1491" s="19" t="s">
        <v>1</v>
      </c>
    </row>
    <row r="1492" spans="1:8" hidden="1" x14ac:dyDescent="0.25">
      <c r="A1492">
        <v>26234308</v>
      </c>
      <c r="B1492" s="19" t="s">
        <v>12</v>
      </c>
      <c r="C1492" s="19" t="s">
        <v>15</v>
      </c>
      <c r="D1492" s="19" t="s">
        <v>664</v>
      </c>
      <c r="E1492" s="19" t="s">
        <v>443</v>
      </c>
      <c r="F1492" s="19" t="s">
        <v>400</v>
      </c>
      <c r="G1492" s="19" t="s">
        <v>557</v>
      </c>
      <c r="H1492" s="19" t="s">
        <v>1</v>
      </c>
    </row>
    <row r="1493" spans="1:8" hidden="1" x14ac:dyDescent="0.25">
      <c r="A1493">
        <v>26234307</v>
      </c>
      <c r="B1493" s="19" t="s">
        <v>12</v>
      </c>
      <c r="C1493" s="19" t="s">
        <v>13</v>
      </c>
      <c r="D1493" s="19" t="s">
        <v>664</v>
      </c>
      <c r="E1493" s="19" t="s">
        <v>443</v>
      </c>
      <c r="F1493" s="19" t="s">
        <v>401</v>
      </c>
      <c r="G1493" s="19" t="s">
        <v>557</v>
      </c>
      <c r="H1493" s="19" t="s">
        <v>1</v>
      </c>
    </row>
    <row r="1494" spans="1:8" hidden="1" x14ac:dyDescent="0.25">
      <c r="A1494">
        <v>26234306</v>
      </c>
      <c r="B1494" s="19" t="s">
        <v>12</v>
      </c>
      <c r="C1494" s="19" t="s">
        <v>13</v>
      </c>
      <c r="D1494" s="19" t="s">
        <v>663</v>
      </c>
      <c r="E1494" s="19" t="s">
        <v>443</v>
      </c>
      <c r="F1494" s="19" t="s">
        <v>401</v>
      </c>
      <c r="G1494" s="19" t="s">
        <v>557</v>
      </c>
      <c r="H1494" s="19" t="s">
        <v>1</v>
      </c>
    </row>
    <row r="1495" spans="1:8" hidden="1" x14ac:dyDescent="0.25">
      <c r="A1495">
        <v>26234305</v>
      </c>
      <c r="B1495" s="19" t="s">
        <v>12</v>
      </c>
      <c r="C1495" s="19" t="s">
        <v>13</v>
      </c>
      <c r="D1495" s="19" t="s">
        <v>664</v>
      </c>
      <c r="E1495" s="19" t="s">
        <v>443</v>
      </c>
      <c r="F1495" s="19" t="s">
        <v>401</v>
      </c>
      <c r="G1495" s="19" t="s">
        <v>557</v>
      </c>
      <c r="H1495" s="19" t="s">
        <v>1</v>
      </c>
    </row>
    <row r="1496" spans="1:8" hidden="1" x14ac:dyDescent="0.25">
      <c r="A1496">
        <v>26234303</v>
      </c>
      <c r="B1496" s="19" t="s">
        <v>12</v>
      </c>
      <c r="C1496" s="19" t="s">
        <v>13</v>
      </c>
      <c r="D1496" s="19" t="s">
        <v>664</v>
      </c>
      <c r="E1496" s="19" t="s">
        <v>443</v>
      </c>
      <c r="F1496" s="19" t="s">
        <v>401</v>
      </c>
      <c r="G1496" s="19" t="s">
        <v>557</v>
      </c>
      <c r="H1496" s="19" t="s">
        <v>1</v>
      </c>
    </row>
    <row r="1497" spans="1:8" hidden="1" x14ac:dyDescent="0.25">
      <c r="A1497">
        <v>26234302</v>
      </c>
      <c r="B1497" s="19" t="s">
        <v>12</v>
      </c>
      <c r="C1497" s="19" t="s">
        <v>15</v>
      </c>
      <c r="D1497" s="19" t="s">
        <v>663</v>
      </c>
      <c r="E1497" s="19" t="s">
        <v>443</v>
      </c>
      <c r="F1497" s="19" t="s">
        <v>400</v>
      </c>
      <c r="G1497" s="19" t="s">
        <v>557</v>
      </c>
      <c r="H1497" s="19" t="s">
        <v>1</v>
      </c>
    </row>
    <row r="1498" spans="1:8" hidden="1" x14ac:dyDescent="0.25">
      <c r="A1498">
        <v>26234299</v>
      </c>
      <c r="B1498" s="19" t="s">
        <v>12</v>
      </c>
      <c r="C1498" s="19" t="s">
        <v>15</v>
      </c>
      <c r="D1498" s="19" t="s">
        <v>664</v>
      </c>
      <c r="E1498" s="19" t="s">
        <v>443</v>
      </c>
      <c r="F1498" s="19" t="s">
        <v>400</v>
      </c>
      <c r="G1498" s="19" t="s">
        <v>557</v>
      </c>
      <c r="H1498" s="19" t="s">
        <v>1</v>
      </c>
    </row>
    <row r="1499" spans="1:8" hidden="1" x14ac:dyDescent="0.25">
      <c r="A1499">
        <v>26234297</v>
      </c>
      <c r="B1499" s="19" t="s">
        <v>12</v>
      </c>
      <c r="C1499" s="19" t="s">
        <v>13</v>
      </c>
      <c r="D1499" s="19" t="s">
        <v>663</v>
      </c>
      <c r="E1499" s="19" t="s">
        <v>443</v>
      </c>
      <c r="F1499" s="19" t="s">
        <v>401</v>
      </c>
      <c r="G1499" s="19" t="s">
        <v>557</v>
      </c>
      <c r="H1499" s="19" t="s">
        <v>1</v>
      </c>
    </row>
    <row r="1500" spans="1:8" hidden="1" x14ac:dyDescent="0.25">
      <c r="A1500">
        <v>26234296</v>
      </c>
      <c r="B1500" s="19" t="s">
        <v>18</v>
      </c>
      <c r="C1500" s="19" t="s">
        <v>15</v>
      </c>
      <c r="D1500" s="19" t="s">
        <v>663</v>
      </c>
      <c r="E1500" s="19" t="s">
        <v>443</v>
      </c>
      <c r="F1500" s="19" t="s">
        <v>400</v>
      </c>
      <c r="G1500" s="19" t="s">
        <v>557</v>
      </c>
      <c r="H1500" s="19" t="s">
        <v>1</v>
      </c>
    </row>
    <row r="1501" spans="1:8" hidden="1" x14ac:dyDescent="0.25">
      <c r="A1501">
        <v>26234295</v>
      </c>
      <c r="B1501" s="19" t="s">
        <v>12</v>
      </c>
      <c r="C1501" s="19" t="s">
        <v>13</v>
      </c>
      <c r="D1501" s="19" t="s">
        <v>664</v>
      </c>
      <c r="E1501" s="19" t="s">
        <v>443</v>
      </c>
      <c r="F1501" s="19" t="s">
        <v>401</v>
      </c>
      <c r="G1501" s="19" t="s">
        <v>557</v>
      </c>
      <c r="H1501" s="19" t="s">
        <v>1</v>
      </c>
    </row>
    <row r="1502" spans="1:8" hidden="1" x14ac:dyDescent="0.25">
      <c r="A1502">
        <v>26234292</v>
      </c>
      <c r="B1502" s="19" t="s">
        <v>12</v>
      </c>
      <c r="C1502" s="19" t="s">
        <v>15</v>
      </c>
      <c r="D1502" s="19" t="s">
        <v>663</v>
      </c>
      <c r="E1502" s="19" t="s">
        <v>443</v>
      </c>
      <c r="F1502" s="19" t="s">
        <v>400</v>
      </c>
      <c r="G1502" s="19" t="s">
        <v>557</v>
      </c>
      <c r="H1502" s="19" t="s">
        <v>1</v>
      </c>
    </row>
    <row r="1503" spans="1:8" hidden="1" x14ac:dyDescent="0.25">
      <c r="A1503">
        <v>26234290</v>
      </c>
      <c r="B1503" s="19" t="s">
        <v>18</v>
      </c>
      <c r="C1503" s="19" t="s">
        <v>13</v>
      </c>
      <c r="D1503" s="19" t="s">
        <v>663</v>
      </c>
      <c r="E1503" s="19" t="s">
        <v>443</v>
      </c>
      <c r="F1503" s="19" t="s">
        <v>401</v>
      </c>
      <c r="G1503" s="19" t="s">
        <v>557</v>
      </c>
      <c r="H1503" s="19" t="s">
        <v>1</v>
      </c>
    </row>
    <row r="1504" spans="1:8" hidden="1" x14ac:dyDescent="0.25">
      <c r="A1504">
        <v>26234288</v>
      </c>
      <c r="B1504" s="19" t="s">
        <v>12</v>
      </c>
      <c r="C1504" s="19" t="s">
        <v>15</v>
      </c>
      <c r="D1504" s="19" t="s">
        <v>663</v>
      </c>
      <c r="E1504" s="19" t="s">
        <v>443</v>
      </c>
      <c r="F1504" s="19" t="s">
        <v>400</v>
      </c>
      <c r="G1504" s="19" t="s">
        <v>557</v>
      </c>
      <c r="H1504" s="19" t="s">
        <v>1</v>
      </c>
    </row>
    <row r="1505" spans="1:8" hidden="1" x14ac:dyDescent="0.25">
      <c r="A1505">
        <v>26234287</v>
      </c>
      <c r="B1505" s="19" t="s">
        <v>12</v>
      </c>
      <c r="C1505" s="19" t="s">
        <v>15</v>
      </c>
      <c r="D1505" s="19" t="s">
        <v>663</v>
      </c>
      <c r="E1505" s="19" t="s">
        <v>443</v>
      </c>
      <c r="F1505" s="19" t="s">
        <v>400</v>
      </c>
      <c r="G1505" s="19" t="s">
        <v>557</v>
      </c>
      <c r="H1505" s="19" t="s">
        <v>1</v>
      </c>
    </row>
    <row r="1506" spans="1:8" hidden="1" x14ac:dyDescent="0.25">
      <c r="A1506">
        <v>26234286</v>
      </c>
      <c r="B1506" s="19" t="s">
        <v>12</v>
      </c>
      <c r="C1506" s="19" t="s">
        <v>13</v>
      </c>
      <c r="D1506" s="19" t="s">
        <v>663</v>
      </c>
      <c r="E1506" s="19" t="s">
        <v>443</v>
      </c>
      <c r="F1506" s="19" t="s">
        <v>401</v>
      </c>
      <c r="G1506" s="19" t="s">
        <v>557</v>
      </c>
      <c r="H1506" s="19" t="s">
        <v>1</v>
      </c>
    </row>
    <row r="1507" spans="1:8" hidden="1" x14ac:dyDescent="0.25">
      <c r="A1507">
        <v>26234285</v>
      </c>
      <c r="B1507" s="19" t="s">
        <v>12</v>
      </c>
      <c r="C1507" s="19" t="s">
        <v>13</v>
      </c>
      <c r="D1507" s="19" t="s">
        <v>663</v>
      </c>
      <c r="E1507" s="19" t="s">
        <v>443</v>
      </c>
      <c r="F1507" s="19" t="s">
        <v>401</v>
      </c>
      <c r="G1507" s="19" t="s">
        <v>557</v>
      </c>
      <c r="H1507" s="19" t="s">
        <v>1</v>
      </c>
    </row>
    <row r="1508" spans="1:8" hidden="1" x14ac:dyDescent="0.25">
      <c r="A1508">
        <v>26234281</v>
      </c>
      <c r="B1508" s="19" t="s">
        <v>12</v>
      </c>
      <c r="C1508" s="19" t="s">
        <v>13</v>
      </c>
      <c r="D1508" s="19" t="s">
        <v>663</v>
      </c>
      <c r="E1508" s="19" t="s">
        <v>443</v>
      </c>
      <c r="F1508" s="19" t="s">
        <v>401</v>
      </c>
      <c r="G1508" s="19" t="s">
        <v>557</v>
      </c>
      <c r="H1508" s="19" t="s">
        <v>1</v>
      </c>
    </row>
    <row r="1509" spans="1:8" hidden="1" x14ac:dyDescent="0.25">
      <c r="A1509">
        <v>26234280</v>
      </c>
      <c r="B1509" s="19" t="s">
        <v>12</v>
      </c>
      <c r="C1509" s="19" t="s">
        <v>13</v>
      </c>
      <c r="D1509" s="19" t="s">
        <v>663</v>
      </c>
      <c r="E1509" s="19" t="s">
        <v>443</v>
      </c>
      <c r="F1509" s="19" t="s">
        <v>401</v>
      </c>
      <c r="G1509" s="19" t="s">
        <v>557</v>
      </c>
      <c r="H1509" s="19" t="s">
        <v>1</v>
      </c>
    </row>
    <row r="1510" spans="1:8" hidden="1" x14ac:dyDescent="0.25">
      <c r="A1510">
        <v>26234279</v>
      </c>
      <c r="B1510" s="19" t="s">
        <v>12</v>
      </c>
      <c r="C1510" s="19" t="s">
        <v>13</v>
      </c>
      <c r="D1510" s="19" t="s">
        <v>663</v>
      </c>
      <c r="E1510" s="19" t="s">
        <v>443</v>
      </c>
      <c r="F1510" s="19" t="s">
        <v>401</v>
      </c>
      <c r="G1510" s="19" t="s">
        <v>557</v>
      </c>
      <c r="H1510" s="19" t="s">
        <v>1</v>
      </c>
    </row>
    <row r="1511" spans="1:8" hidden="1" x14ac:dyDescent="0.25">
      <c r="A1511">
        <v>24567144</v>
      </c>
      <c r="B1511" s="19" t="s">
        <v>12</v>
      </c>
      <c r="C1511" s="19" t="s">
        <v>86</v>
      </c>
      <c r="D1511" s="19" t="s">
        <v>380</v>
      </c>
      <c r="E1511" s="19" t="s">
        <v>437</v>
      </c>
      <c r="F1511" s="19" t="s">
        <v>400</v>
      </c>
      <c r="G1511" s="19" t="s">
        <v>557</v>
      </c>
      <c r="H1511" s="19" t="s">
        <v>1</v>
      </c>
    </row>
    <row r="1512" spans="1:8" hidden="1" x14ac:dyDescent="0.25">
      <c r="A1512">
        <v>23323699</v>
      </c>
      <c r="B1512" s="19" t="s">
        <v>12</v>
      </c>
      <c r="C1512" s="19" t="s">
        <v>26</v>
      </c>
      <c r="D1512" s="19" t="s">
        <v>141</v>
      </c>
      <c r="E1512" s="19" t="s">
        <v>574</v>
      </c>
      <c r="F1512" s="19" t="s">
        <v>400</v>
      </c>
      <c r="G1512" s="19" t="s">
        <v>557</v>
      </c>
      <c r="H1512" s="19" t="s">
        <v>1</v>
      </c>
    </row>
    <row r="1513" spans="1:8" hidden="1" x14ac:dyDescent="0.25">
      <c r="A1513">
        <v>23323697</v>
      </c>
      <c r="B1513" s="19" t="s">
        <v>12</v>
      </c>
      <c r="C1513" s="19" t="s">
        <v>26</v>
      </c>
      <c r="D1513" s="19" t="s">
        <v>141</v>
      </c>
      <c r="E1513" s="19" t="s">
        <v>561</v>
      </c>
      <c r="F1513" s="19" t="s">
        <v>400</v>
      </c>
      <c r="G1513" s="19" t="s">
        <v>557</v>
      </c>
      <c r="H1513" s="19" t="s">
        <v>1</v>
      </c>
    </row>
    <row r="1514" spans="1:8" hidden="1" x14ac:dyDescent="0.25">
      <c r="A1514">
        <v>23323695</v>
      </c>
      <c r="B1514" s="19" t="s">
        <v>18</v>
      </c>
      <c r="C1514" s="19" t="s">
        <v>26</v>
      </c>
      <c r="D1514" s="19" t="s">
        <v>65</v>
      </c>
      <c r="E1514" s="19" t="s">
        <v>437</v>
      </c>
      <c r="F1514" s="19" t="s">
        <v>400</v>
      </c>
      <c r="G1514" s="19" t="s">
        <v>557</v>
      </c>
      <c r="H1514" s="19" t="s">
        <v>1</v>
      </c>
    </row>
    <row r="1515" spans="1:8" hidden="1" x14ac:dyDescent="0.25">
      <c r="A1515">
        <v>23323693</v>
      </c>
      <c r="B1515" s="19" t="s">
        <v>18</v>
      </c>
      <c r="C1515" s="19" t="s">
        <v>26</v>
      </c>
      <c r="D1515" s="19" t="s">
        <v>139</v>
      </c>
      <c r="E1515" s="19" t="s">
        <v>558</v>
      </c>
      <c r="F1515" s="19" t="s">
        <v>400</v>
      </c>
      <c r="G1515" s="19" t="s">
        <v>557</v>
      </c>
      <c r="H1515" s="19" t="s">
        <v>1</v>
      </c>
    </row>
    <row r="1516" spans="1:8" hidden="1" x14ac:dyDescent="0.25">
      <c r="A1516">
        <v>23323692</v>
      </c>
      <c r="B1516" s="19" t="s">
        <v>18</v>
      </c>
      <c r="C1516" s="19" t="s">
        <v>26</v>
      </c>
      <c r="D1516" s="19" t="s">
        <v>50</v>
      </c>
      <c r="E1516" s="19" t="s">
        <v>443</v>
      </c>
      <c r="F1516" s="19" t="s">
        <v>400</v>
      </c>
      <c r="G1516" s="19" t="s">
        <v>557</v>
      </c>
      <c r="H1516" s="19" t="s">
        <v>1</v>
      </c>
    </row>
    <row r="1517" spans="1:8" hidden="1" x14ac:dyDescent="0.25">
      <c r="A1517">
        <v>23323691</v>
      </c>
      <c r="B1517" s="19" t="s">
        <v>12</v>
      </c>
      <c r="C1517" s="19" t="s">
        <v>26</v>
      </c>
      <c r="D1517" s="19" t="s">
        <v>27</v>
      </c>
      <c r="E1517" s="19" t="s">
        <v>443</v>
      </c>
      <c r="F1517" s="19" t="s">
        <v>400</v>
      </c>
      <c r="G1517" s="19" t="s">
        <v>557</v>
      </c>
      <c r="H1517" s="19" t="s">
        <v>1</v>
      </c>
    </row>
    <row r="1518" spans="1:8" hidden="1" x14ac:dyDescent="0.25">
      <c r="A1518">
        <v>23323690</v>
      </c>
      <c r="B1518" s="19" t="s">
        <v>12</v>
      </c>
      <c r="C1518" s="19" t="s">
        <v>26</v>
      </c>
      <c r="D1518" s="19" t="s">
        <v>31</v>
      </c>
      <c r="E1518" s="19" t="s">
        <v>443</v>
      </c>
      <c r="F1518" s="19" t="s">
        <v>400</v>
      </c>
      <c r="G1518" s="19" t="s">
        <v>557</v>
      </c>
      <c r="H1518" s="19" t="s">
        <v>1</v>
      </c>
    </row>
    <row r="1519" spans="1:8" hidden="1" x14ac:dyDescent="0.25">
      <c r="A1519">
        <v>23323674</v>
      </c>
      <c r="B1519" s="19" t="s">
        <v>24</v>
      </c>
      <c r="C1519" s="19" t="s">
        <v>26</v>
      </c>
      <c r="D1519" s="19" t="s">
        <v>308</v>
      </c>
      <c r="E1519" s="19" t="s">
        <v>574</v>
      </c>
      <c r="F1519" s="19" t="s">
        <v>400</v>
      </c>
      <c r="G1519" s="19" t="s">
        <v>557</v>
      </c>
      <c r="H1519" s="19" t="s">
        <v>1</v>
      </c>
    </row>
    <row r="1520" spans="1:8" hidden="1" x14ac:dyDescent="0.25">
      <c r="A1520">
        <v>23323661</v>
      </c>
      <c r="B1520" s="19" t="s">
        <v>12</v>
      </c>
      <c r="C1520" s="19" t="s">
        <v>26</v>
      </c>
      <c r="D1520" s="19" t="s">
        <v>210</v>
      </c>
      <c r="E1520" s="19" t="s">
        <v>443</v>
      </c>
      <c r="F1520" s="19" t="s">
        <v>400</v>
      </c>
      <c r="G1520" s="19" t="s">
        <v>557</v>
      </c>
      <c r="H1520" s="19" t="s">
        <v>1</v>
      </c>
    </row>
    <row r="1521" spans="1:8" hidden="1" x14ac:dyDescent="0.25">
      <c r="A1521">
        <v>23323649</v>
      </c>
      <c r="B1521" s="19" t="s">
        <v>12</v>
      </c>
      <c r="C1521" s="19" t="s">
        <v>33</v>
      </c>
      <c r="D1521" s="19" t="s">
        <v>221</v>
      </c>
      <c r="E1521" s="19" t="s">
        <v>437</v>
      </c>
      <c r="F1521" s="19" t="s">
        <v>401</v>
      </c>
      <c r="G1521" s="19" t="s">
        <v>557</v>
      </c>
      <c r="H1521" s="19" t="s">
        <v>1</v>
      </c>
    </row>
    <row r="1522" spans="1:8" hidden="1" x14ac:dyDescent="0.25">
      <c r="A1522">
        <v>23323647</v>
      </c>
      <c r="B1522" s="19" t="s">
        <v>12</v>
      </c>
      <c r="C1522" s="19" t="s">
        <v>26</v>
      </c>
      <c r="D1522" s="19" t="s">
        <v>27</v>
      </c>
      <c r="E1522" s="19" t="s">
        <v>443</v>
      </c>
      <c r="F1522" s="19" t="s">
        <v>400</v>
      </c>
      <c r="G1522" s="19" t="s">
        <v>557</v>
      </c>
      <c r="H1522" s="19" t="s">
        <v>1</v>
      </c>
    </row>
    <row r="1523" spans="1:8" hidden="1" x14ac:dyDescent="0.25">
      <c r="A1523">
        <v>23323644</v>
      </c>
      <c r="B1523" s="19" t="s">
        <v>12</v>
      </c>
      <c r="C1523" s="19" t="s">
        <v>26</v>
      </c>
      <c r="D1523" s="19" t="s">
        <v>41</v>
      </c>
      <c r="E1523" s="19" t="s">
        <v>443</v>
      </c>
      <c r="F1523" s="19" t="s">
        <v>400</v>
      </c>
      <c r="G1523" s="19" t="s">
        <v>557</v>
      </c>
      <c r="H1523" s="19" t="s">
        <v>1</v>
      </c>
    </row>
    <row r="1524" spans="1:8" hidden="1" x14ac:dyDescent="0.25">
      <c r="A1524">
        <v>23323642</v>
      </c>
      <c r="B1524" s="19" t="s">
        <v>12</v>
      </c>
      <c r="C1524" s="19" t="s">
        <v>26</v>
      </c>
      <c r="D1524" s="19" t="s">
        <v>31</v>
      </c>
      <c r="E1524" s="19" t="s">
        <v>443</v>
      </c>
      <c r="F1524" s="19" t="s">
        <v>400</v>
      </c>
      <c r="G1524" s="19" t="s">
        <v>557</v>
      </c>
      <c r="H1524" s="19" t="s">
        <v>1</v>
      </c>
    </row>
    <row r="1525" spans="1:8" hidden="1" x14ac:dyDescent="0.25">
      <c r="A1525">
        <v>22350364</v>
      </c>
      <c r="B1525" s="19" t="s">
        <v>12</v>
      </c>
      <c r="C1525" s="19" t="s">
        <v>26</v>
      </c>
      <c r="D1525" s="19" t="s">
        <v>88</v>
      </c>
      <c r="E1525" s="19" t="s">
        <v>443</v>
      </c>
      <c r="F1525" s="19" t="s">
        <v>400</v>
      </c>
      <c r="G1525" s="19" t="s">
        <v>557</v>
      </c>
      <c r="H1525" s="19" t="s">
        <v>1</v>
      </c>
    </row>
    <row r="1526" spans="1:8" hidden="1" x14ac:dyDescent="0.25">
      <c r="A1526">
        <v>22350219</v>
      </c>
      <c r="B1526" s="19" t="s">
        <v>12</v>
      </c>
      <c r="C1526" s="19" t="s">
        <v>26</v>
      </c>
      <c r="D1526" s="19" t="s">
        <v>88</v>
      </c>
      <c r="E1526" s="19" t="s">
        <v>437</v>
      </c>
      <c r="F1526" s="19" t="s">
        <v>400</v>
      </c>
      <c r="G1526" s="19" t="s">
        <v>557</v>
      </c>
      <c r="H1526" s="19" t="s">
        <v>1</v>
      </c>
    </row>
    <row r="1527" spans="1:8" hidden="1" x14ac:dyDescent="0.25">
      <c r="A1527">
        <v>22350162</v>
      </c>
      <c r="B1527" s="19" t="s">
        <v>12</v>
      </c>
      <c r="C1527" s="19" t="s">
        <v>26</v>
      </c>
      <c r="D1527" s="19" t="s">
        <v>155</v>
      </c>
      <c r="E1527" s="19" t="s">
        <v>437</v>
      </c>
      <c r="F1527" s="19" t="s">
        <v>400</v>
      </c>
      <c r="G1527" s="19" t="s">
        <v>557</v>
      </c>
      <c r="H1527" s="19" t="s">
        <v>1</v>
      </c>
    </row>
    <row r="1528" spans="1:8" hidden="1" x14ac:dyDescent="0.25">
      <c r="A1528">
        <v>22350081</v>
      </c>
      <c r="B1528" s="19" t="s">
        <v>12</v>
      </c>
      <c r="C1528" s="19" t="s">
        <v>26</v>
      </c>
      <c r="D1528" s="19" t="s">
        <v>155</v>
      </c>
      <c r="E1528" s="19" t="s">
        <v>437</v>
      </c>
      <c r="F1528" s="19" t="s">
        <v>400</v>
      </c>
      <c r="G1528" s="19" t="s">
        <v>557</v>
      </c>
      <c r="H1528" s="19" t="s">
        <v>1</v>
      </c>
    </row>
    <row r="1529" spans="1:8" hidden="1" x14ac:dyDescent="0.25">
      <c r="A1529">
        <v>22350066</v>
      </c>
      <c r="B1529" s="19" t="s">
        <v>12</v>
      </c>
      <c r="C1529" s="19" t="s">
        <v>26</v>
      </c>
      <c r="D1529" s="19" t="s">
        <v>161</v>
      </c>
      <c r="E1529" s="19" t="s">
        <v>437</v>
      </c>
      <c r="F1529" s="19" t="s">
        <v>400</v>
      </c>
      <c r="G1529" s="19" t="s">
        <v>557</v>
      </c>
      <c r="H1529" s="19" t="s">
        <v>1</v>
      </c>
    </row>
    <row r="1530" spans="1:8" hidden="1" x14ac:dyDescent="0.25">
      <c r="A1530">
        <v>20910800</v>
      </c>
      <c r="B1530" s="19" t="s">
        <v>12</v>
      </c>
      <c r="C1530" s="19" t="s">
        <v>26</v>
      </c>
      <c r="D1530" s="19" t="s">
        <v>27</v>
      </c>
      <c r="E1530" s="19" t="s">
        <v>437</v>
      </c>
      <c r="F1530" s="19" t="s">
        <v>400</v>
      </c>
      <c r="G1530" s="19" t="s">
        <v>557</v>
      </c>
      <c r="H1530" s="19" t="s">
        <v>1</v>
      </c>
    </row>
    <row r="1531" spans="1:8" hidden="1" x14ac:dyDescent="0.25">
      <c r="A1531">
        <v>20910799</v>
      </c>
      <c r="B1531" s="19" t="s">
        <v>12</v>
      </c>
      <c r="C1531" s="19" t="s">
        <v>26</v>
      </c>
      <c r="D1531" s="19" t="s">
        <v>27</v>
      </c>
      <c r="E1531" s="19" t="s">
        <v>443</v>
      </c>
      <c r="F1531" s="19" t="s">
        <v>400</v>
      </c>
      <c r="G1531" s="19" t="s">
        <v>557</v>
      </c>
      <c r="H1531" s="19" t="s">
        <v>1</v>
      </c>
    </row>
    <row r="1532" spans="1:8" hidden="1" x14ac:dyDescent="0.25">
      <c r="A1532">
        <v>20910794</v>
      </c>
      <c r="B1532" s="19" t="s">
        <v>12</v>
      </c>
      <c r="C1532" s="19" t="s">
        <v>26</v>
      </c>
      <c r="D1532" s="19" t="s">
        <v>28</v>
      </c>
      <c r="E1532" s="19" t="s">
        <v>443</v>
      </c>
      <c r="F1532" s="19" t="s">
        <v>400</v>
      </c>
      <c r="G1532" s="19" t="s">
        <v>557</v>
      </c>
      <c r="H1532" s="19" t="s">
        <v>1</v>
      </c>
    </row>
    <row r="1533" spans="1:8" hidden="1" x14ac:dyDescent="0.25">
      <c r="A1533">
        <v>20910792</v>
      </c>
      <c r="B1533" s="19" t="s">
        <v>12</v>
      </c>
      <c r="C1533" s="19" t="s">
        <v>26</v>
      </c>
      <c r="D1533" s="19" t="s">
        <v>28</v>
      </c>
      <c r="E1533" s="19" t="s">
        <v>443</v>
      </c>
      <c r="F1533" s="19" t="s">
        <v>400</v>
      </c>
      <c r="G1533" s="19" t="s">
        <v>557</v>
      </c>
      <c r="H1533" s="19" t="s">
        <v>1</v>
      </c>
    </row>
    <row r="1534" spans="1:8" hidden="1" x14ac:dyDescent="0.25">
      <c r="A1534">
        <v>20910791</v>
      </c>
      <c r="B1534" s="19" t="s">
        <v>12</v>
      </c>
      <c r="C1534" s="19" t="s">
        <v>26</v>
      </c>
      <c r="D1534" s="19" t="s">
        <v>28</v>
      </c>
      <c r="E1534" s="19" t="s">
        <v>443</v>
      </c>
      <c r="F1534" s="19" t="s">
        <v>400</v>
      </c>
      <c r="G1534" s="19" t="s">
        <v>557</v>
      </c>
      <c r="H1534" s="19" t="s">
        <v>1</v>
      </c>
    </row>
    <row r="1535" spans="1:8" hidden="1" x14ac:dyDescent="0.25">
      <c r="A1535">
        <v>20910788</v>
      </c>
      <c r="B1535" s="19" t="s">
        <v>12</v>
      </c>
      <c r="C1535" s="19" t="s">
        <v>26</v>
      </c>
      <c r="D1535" s="19" t="s">
        <v>28</v>
      </c>
      <c r="E1535" s="19" t="s">
        <v>443</v>
      </c>
      <c r="F1535" s="19" t="s">
        <v>400</v>
      </c>
      <c r="G1535" s="19" t="s">
        <v>557</v>
      </c>
      <c r="H1535" s="19" t="s">
        <v>1</v>
      </c>
    </row>
    <row r="1536" spans="1:8" hidden="1" x14ac:dyDescent="0.25">
      <c r="A1536">
        <v>20910787</v>
      </c>
      <c r="B1536" s="19" t="s">
        <v>12</v>
      </c>
      <c r="C1536" s="19" t="s">
        <v>26</v>
      </c>
      <c r="D1536" s="19" t="s">
        <v>28</v>
      </c>
      <c r="E1536" s="19" t="s">
        <v>443</v>
      </c>
      <c r="F1536" s="19" t="s">
        <v>400</v>
      </c>
      <c r="G1536" s="19" t="s">
        <v>557</v>
      </c>
      <c r="H1536" s="19" t="s">
        <v>1</v>
      </c>
    </row>
    <row r="1537" spans="1:8" hidden="1" x14ac:dyDescent="0.25">
      <c r="A1537">
        <v>20910785</v>
      </c>
      <c r="B1537" s="19" t="s">
        <v>12</v>
      </c>
      <c r="C1537" s="19" t="s">
        <v>26</v>
      </c>
      <c r="D1537" s="19" t="s">
        <v>28</v>
      </c>
      <c r="E1537" s="19" t="s">
        <v>443</v>
      </c>
      <c r="F1537" s="19" t="s">
        <v>400</v>
      </c>
      <c r="G1537" s="19" t="s">
        <v>557</v>
      </c>
      <c r="H1537" s="19" t="s">
        <v>1</v>
      </c>
    </row>
    <row r="1538" spans="1:8" hidden="1" x14ac:dyDescent="0.25">
      <c r="A1538">
        <v>20910779</v>
      </c>
      <c r="B1538" s="19" t="s">
        <v>12</v>
      </c>
      <c r="C1538" s="19" t="s">
        <v>26</v>
      </c>
      <c r="D1538" s="19" t="s">
        <v>31</v>
      </c>
      <c r="E1538" s="19" t="s">
        <v>443</v>
      </c>
      <c r="F1538" s="19" t="s">
        <v>400</v>
      </c>
      <c r="G1538" s="19" t="s">
        <v>557</v>
      </c>
      <c r="H1538" s="19" t="s">
        <v>1</v>
      </c>
    </row>
    <row r="1539" spans="1:8" hidden="1" x14ac:dyDescent="0.25">
      <c r="A1539">
        <v>20910776</v>
      </c>
      <c r="B1539" s="19" t="s">
        <v>12</v>
      </c>
      <c r="C1539" s="19" t="s">
        <v>26</v>
      </c>
      <c r="D1539" s="19" t="s">
        <v>29</v>
      </c>
      <c r="E1539" s="19" t="s">
        <v>443</v>
      </c>
      <c r="F1539" s="19" t="s">
        <v>400</v>
      </c>
      <c r="G1539" s="19" t="s">
        <v>557</v>
      </c>
      <c r="H1539" s="19" t="s">
        <v>1</v>
      </c>
    </row>
    <row r="1540" spans="1:8" hidden="1" x14ac:dyDescent="0.25">
      <c r="A1540">
        <v>20910773</v>
      </c>
      <c r="B1540" s="19" t="s">
        <v>12</v>
      </c>
      <c r="C1540" s="19" t="s">
        <v>26</v>
      </c>
      <c r="D1540" s="19" t="s">
        <v>45</v>
      </c>
      <c r="E1540" s="19" t="s">
        <v>443</v>
      </c>
      <c r="F1540" s="19" t="s">
        <v>400</v>
      </c>
      <c r="G1540" s="19" t="s">
        <v>557</v>
      </c>
      <c r="H1540" s="19" t="s">
        <v>1</v>
      </c>
    </row>
    <row r="1541" spans="1:8" hidden="1" x14ac:dyDescent="0.25">
      <c r="A1541">
        <v>20910769</v>
      </c>
      <c r="B1541" s="19" t="s">
        <v>12</v>
      </c>
      <c r="C1541" s="19" t="s">
        <v>33</v>
      </c>
      <c r="D1541" s="19" t="s">
        <v>192</v>
      </c>
      <c r="E1541" s="19" t="s">
        <v>565</v>
      </c>
      <c r="F1541" s="19" t="s">
        <v>401</v>
      </c>
      <c r="G1541" s="19" t="s">
        <v>557</v>
      </c>
      <c r="H1541" s="19" t="s">
        <v>1</v>
      </c>
    </row>
    <row r="1542" spans="1:8" hidden="1" x14ac:dyDescent="0.25">
      <c r="A1542">
        <v>20910767</v>
      </c>
      <c r="B1542" s="19" t="s">
        <v>12</v>
      </c>
      <c r="C1542" s="19" t="s">
        <v>33</v>
      </c>
      <c r="D1542" s="19" t="s">
        <v>70</v>
      </c>
      <c r="E1542" s="19" t="s">
        <v>565</v>
      </c>
      <c r="F1542" s="19" t="s">
        <v>401</v>
      </c>
      <c r="G1542" s="19" t="s">
        <v>557</v>
      </c>
      <c r="H1542" s="19" t="s">
        <v>1</v>
      </c>
    </row>
    <row r="1543" spans="1:8" hidden="1" x14ac:dyDescent="0.25">
      <c r="A1543">
        <v>20910766</v>
      </c>
      <c r="B1543" s="19" t="s">
        <v>12</v>
      </c>
      <c r="C1543" s="19" t="s">
        <v>33</v>
      </c>
      <c r="D1543" s="19" t="s">
        <v>319</v>
      </c>
      <c r="E1543" s="19" t="s">
        <v>568</v>
      </c>
      <c r="F1543" s="19" t="s">
        <v>401</v>
      </c>
      <c r="G1543" s="19" t="s">
        <v>557</v>
      </c>
      <c r="H1543" s="19" t="s">
        <v>1</v>
      </c>
    </row>
    <row r="1544" spans="1:8" hidden="1" x14ac:dyDescent="0.25">
      <c r="A1544">
        <v>20910760</v>
      </c>
      <c r="B1544" s="19" t="s">
        <v>12</v>
      </c>
      <c r="C1544" s="19" t="s">
        <v>26</v>
      </c>
      <c r="D1544" s="19" t="s">
        <v>27</v>
      </c>
      <c r="E1544" s="19" t="s">
        <v>437</v>
      </c>
      <c r="F1544" s="19" t="s">
        <v>400</v>
      </c>
      <c r="G1544" s="19" t="s">
        <v>557</v>
      </c>
      <c r="H1544" s="19" t="s">
        <v>1</v>
      </c>
    </row>
    <row r="1545" spans="1:8" hidden="1" x14ac:dyDescent="0.25">
      <c r="A1545">
        <v>20910759</v>
      </c>
      <c r="B1545" s="19" t="s">
        <v>12</v>
      </c>
      <c r="C1545" s="19" t="s">
        <v>26</v>
      </c>
      <c r="D1545" s="19" t="s">
        <v>27</v>
      </c>
      <c r="E1545" s="19" t="s">
        <v>437</v>
      </c>
      <c r="F1545" s="19" t="s">
        <v>400</v>
      </c>
      <c r="G1545" s="19" t="s">
        <v>557</v>
      </c>
      <c r="H1545" s="19" t="s">
        <v>1</v>
      </c>
    </row>
    <row r="1546" spans="1:8" hidden="1" x14ac:dyDescent="0.25">
      <c r="A1546">
        <v>20910757</v>
      </c>
      <c r="B1546" s="19" t="s">
        <v>12</v>
      </c>
      <c r="C1546" s="19" t="s">
        <v>26</v>
      </c>
      <c r="D1546" s="19" t="s">
        <v>31</v>
      </c>
      <c r="E1546" s="19" t="s">
        <v>443</v>
      </c>
      <c r="F1546" s="19" t="s">
        <v>400</v>
      </c>
      <c r="G1546" s="19" t="s">
        <v>557</v>
      </c>
      <c r="H1546" s="19" t="s">
        <v>1</v>
      </c>
    </row>
    <row r="1547" spans="1:8" hidden="1" x14ac:dyDescent="0.25">
      <c r="A1547">
        <v>20910755</v>
      </c>
      <c r="B1547" s="19" t="s">
        <v>12</v>
      </c>
      <c r="C1547" s="19" t="s">
        <v>26</v>
      </c>
      <c r="D1547" s="19" t="s">
        <v>32</v>
      </c>
      <c r="E1547" s="19" t="s">
        <v>437</v>
      </c>
      <c r="F1547" s="19" t="s">
        <v>400</v>
      </c>
      <c r="G1547" s="19" t="s">
        <v>557</v>
      </c>
      <c r="H1547" s="19" t="s">
        <v>1</v>
      </c>
    </row>
    <row r="1548" spans="1:8" hidden="1" x14ac:dyDescent="0.25">
      <c r="A1548">
        <v>20910752</v>
      </c>
      <c r="B1548" s="19" t="s">
        <v>12</v>
      </c>
      <c r="C1548" s="19" t="s">
        <v>26</v>
      </c>
      <c r="D1548" s="19" t="s">
        <v>30</v>
      </c>
      <c r="E1548" s="19" t="s">
        <v>443</v>
      </c>
      <c r="F1548" s="19" t="s">
        <v>400</v>
      </c>
      <c r="G1548" s="19" t="s">
        <v>557</v>
      </c>
      <c r="H1548" s="19" t="s">
        <v>1</v>
      </c>
    </row>
    <row r="1549" spans="1:8" hidden="1" x14ac:dyDescent="0.25">
      <c r="A1549">
        <v>20910747</v>
      </c>
      <c r="B1549" s="19" t="s">
        <v>79</v>
      </c>
      <c r="C1549" s="19" t="s">
        <v>26</v>
      </c>
      <c r="D1549" s="19" t="s">
        <v>90</v>
      </c>
      <c r="E1549" s="19" t="s">
        <v>566</v>
      </c>
      <c r="F1549" s="19" t="s">
        <v>400</v>
      </c>
      <c r="G1549" s="19" t="s">
        <v>557</v>
      </c>
      <c r="H1549" s="19" t="s">
        <v>1</v>
      </c>
    </row>
    <row r="1550" spans="1:8" hidden="1" x14ac:dyDescent="0.25">
      <c r="A1550">
        <v>20910515</v>
      </c>
      <c r="B1550" s="19" t="s">
        <v>12</v>
      </c>
      <c r="C1550" s="19" t="s">
        <v>26</v>
      </c>
      <c r="D1550" s="19" t="s">
        <v>312</v>
      </c>
      <c r="E1550" s="19" t="s">
        <v>437</v>
      </c>
      <c r="F1550" s="19" t="s">
        <v>400</v>
      </c>
      <c r="G1550" s="19" t="s">
        <v>557</v>
      </c>
      <c r="H1550" s="19" t="s">
        <v>1</v>
      </c>
    </row>
    <row r="1551" spans="1:8" hidden="1" x14ac:dyDescent="0.25">
      <c r="A1551">
        <v>20910443</v>
      </c>
      <c r="B1551" s="19" t="s">
        <v>12</v>
      </c>
      <c r="C1551" s="19" t="s">
        <v>26</v>
      </c>
      <c r="D1551" s="19" t="s">
        <v>96</v>
      </c>
      <c r="E1551" s="19" t="s">
        <v>437</v>
      </c>
      <c r="F1551" s="19" t="s">
        <v>400</v>
      </c>
      <c r="G1551" s="19" t="s">
        <v>557</v>
      </c>
      <c r="H1551" s="19" t="s">
        <v>1</v>
      </c>
    </row>
    <row r="1552" spans="1:8" hidden="1" x14ac:dyDescent="0.25">
      <c r="A1552">
        <v>20910442</v>
      </c>
      <c r="B1552" s="19" t="s">
        <v>12</v>
      </c>
      <c r="C1552" s="19" t="s">
        <v>26</v>
      </c>
      <c r="D1552" s="19" t="s">
        <v>184</v>
      </c>
      <c r="E1552" s="19" t="s">
        <v>437</v>
      </c>
      <c r="F1552" s="19" t="s">
        <v>400</v>
      </c>
      <c r="G1552" s="19" t="s">
        <v>557</v>
      </c>
      <c r="H1552" s="19" t="s">
        <v>1</v>
      </c>
    </row>
    <row r="1553" spans="1:8" hidden="1" x14ac:dyDescent="0.25">
      <c r="A1553">
        <v>20910385</v>
      </c>
      <c r="B1553" s="19" t="s">
        <v>12</v>
      </c>
      <c r="C1553" s="19" t="s">
        <v>26</v>
      </c>
      <c r="D1553" s="19" t="s">
        <v>95</v>
      </c>
      <c r="E1553" s="19" t="s">
        <v>437</v>
      </c>
      <c r="F1553" s="19" t="s">
        <v>400</v>
      </c>
      <c r="G1553" s="19" t="s">
        <v>557</v>
      </c>
      <c r="H1553" s="19" t="s">
        <v>1</v>
      </c>
    </row>
    <row r="1554" spans="1:8" hidden="1" x14ac:dyDescent="0.25">
      <c r="A1554">
        <v>20910350</v>
      </c>
      <c r="B1554" s="19" t="s">
        <v>12</v>
      </c>
      <c r="C1554" s="19" t="s">
        <v>26</v>
      </c>
      <c r="D1554" s="19" t="s">
        <v>97</v>
      </c>
      <c r="E1554" s="19" t="s">
        <v>437</v>
      </c>
      <c r="F1554" s="19" t="s">
        <v>400</v>
      </c>
      <c r="G1554" s="19" t="s">
        <v>557</v>
      </c>
      <c r="H1554" s="19" t="s">
        <v>1</v>
      </c>
    </row>
    <row r="1555" spans="1:8" hidden="1" x14ac:dyDescent="0.25">
      <c r="A1555">
        <v>20910257</v>
      </c>
      <c r="B1555" s="19" t="s">
        <v>12</v>
      </c>
      <c r="C1555" s="19" t="s">
        <v>26</v>
      </c>
      <c r="D1555" s="19" t="s">
        <v>188</v>
      </c>
      <c r="E1555" s="19" t="s">
        <v>443</v>
      </c>
      <c r="F1555" s="19" t="s">
        <v>400</v>
      </c>
      <c r="G1555" s="19" t="s">
        <v>557</v>
      </c>
      <c r="H1555" s="19" t="s">
        <v>1</v>
      </c>
    </row>
    <row r="1556" spans="1:8" hidden="1" x14ac:dyDescent="0.25">
      <c r="A1556">
        <v>20910241</v>
      </c>
      <c r="B1556" s="19" t="s">
        <v>12</v>
      </c>
      <c r="C1556" s="19" t="s">
        <v>26</v>
      </c>
      <c r="D1556" s="19" t="s">
        <v>97</v>
      </c>
      <c r="E1556" s="19" t="s">
        <v>443</v>
      </c>
      <c r="F1556" s="19" t="s">
        <v>400</v>
      </c>
      <c r="G1556" s="19" t="s">
        <v>557</v>
      </c>
      <c r="H1556" s="19" t="s">
        <v>1</v>
      </c>
    </row>
    <row r="1557" spans="1:8" hidden="1" x14ac:dyDescent="0.25">
      <c r="A1557">
        <v>20910219</v>
      </c>
      <c r="B1557" s="19" t="s">
        <v>12</v>
      </c>
      <c r="C1557" s="19" t="s">
        <v>26</v>
      </c>
      <c r="D1557" s="19" t="s">
        <v>95</v>
      </c>
      <c r="E1557" s="19" t="s">
        <v>443</v>
      </c>
      <c r="F1557" s="19" t="s">
        <v>400</v>
      </c>
      <c r="G1557" s="19" t="s">
        <v>557</v>
      </c>
      <c r="H1557" s="19" t="s">
        <v>1</v>
      </c>
    </row>
    <row r="1558" spans="1:8" hidden="1" x14ac:dyDescent="0.25">
      <c r="A1558">
        <v>20910215</v>
      </c>
      <c r="B1558" s="19" t="s">
        <v>18</v>
      </c>
      <c r="C1558" s="19" t="s">
        <v>26</v>
      </c>
      <c r="D1558" s="19" t="s">
        <v>315</v>
      </c>
      <c r="E1558" s="19" t="s">
        <v>443</v>
      </c>
      <c r="F1558" s="19" t="s">
        <v>400</v>
      </c>
      <c r="G1558" s="19" t="s">
        <v>557</v>
      </c>
      <c r="H1558" s="19" t="s">
        <v>1</v>
      </c>
    </row>
    <row r="1559" spans="1:8" hidden="1" x14ac:dyDescent="0.25">
      <c r="A1559">
        <v>20910129</v>
      </c>
      <c r="B1559" s="19" t="s">
        <v>12</v>
      </c>
      <c r="C1559" s="19" t="s">
        <v>26</v>
      </c>
      <c r="D1559" s="19" t="s">
        <v>99</v>
      </c>
      <c r="E1559" s="19" t="s">
        <v>443</v>
      </c>
      <c r="F1559" s="19" t="s">
        <v>400</v>
      </c>
      <c r="G1559" s="19" t="s">
        <v>557</v>
      </c>
      <c r="H1559" s="19" t="s">
        <v>1</v>
      </c>
    </row>
    <row r="1560" spans="1:8" hidden="1" x14ac:dyDescent="0.25">
      <c r="A1560">
        <v>19776808</v>
      </c>
      <c r="B1560" s="19" t="s">
        <v>12</v>
      </c>
      <c r="C1560" s="19" t="s">
        <v>33</v>
      </c>
      <c r="D1560" s="19" t="s">
        <v>193</v>
      </c>
      <c r="E1560" s="19" t="s">
        <v>568</v>
      </c>
      <c r="F1560" s="19" t="s">
        <v>401</v>
      </c>
      <c r="G1560" s="19" t="s">
        <v>557</v>
      </c>
      <c r="H1560" s="19" t="s">
        <v>1</v>
      </c>
    </row>
    <row r="1561" spans="1:8" hidden="1" x14ac:dyDescent="0.25">
      <c r="A1561">
        <v>19050339</v>
      </c>
      <c r="B1561" s="19" t="s">
        <v>12</v>
      </c>
      <c r="C1561" s="19" t="s">
        <v>26</v>
      </c>
      <c r="D1561" s="19" t="s">
        <v>35</v>
      </c>
      <c r="E1561" s="19" t="s">
        <v>437</v>
      </c>
      <c r="F1561" s="19" t="s">
        <v>400</v>
      </c>
      <c r="G1561" s="19" t="s">
        <v>557</v>
      </c>
      <c r="H1561" s="19" t="s">
        <v>1</v>
      </c>
    </row>
    <row r="1562" spans="1:8" hidden="1" x14ac:dyDescent="0.25">
      <c r="A1562">
        <v>19050338</v>
      </c>
      <c r="B1562" s="19" t="s">
        <v>79</v>
      </c>
      <c r="C1562" s="19" t="s">
        <v>26</v>
      </c>
      <c r="D1562" s="19" t="s">
        <v>196</v>
      </c>
      <c r="E1562" s="19" t="s">
        <v>437</v>
      </c>
      <c r="F1562" s="19" t="s">
        <v>400</v>
      </c>
      <c r="G1562" s="19" t="s">
        <v>557</v>
      </c>
      <c r="H1562" s="19" t="s">
        <v>1</v>
      </c>
    </row>
    <row r="1563" spans="1:8" hidden="1" x14ac:dyDescent="0.25">
      <c r="A1563">
        <v>19050300</v>
      </c>
      <c r="B1563" s="19" t="s">
        <v>12</v>
      </c>
      <c r="C1563" s="19" t="s">
        <v>26</v>
      </c>
      <c r="D1563" s="19" t="s">
        <v>103</v>
      </c>
      <c r="E1563" s="19" t="s">
        <v>443</v>
      </c>
      <c r="F1563" s="19" t="s">
        <v>400</v>
      </c>
      <c r="G1563" s="19" t="s">
        <v>557</v>
      </c>
      <c r="H1563" s="19" t="s">
        <v>1</v>
      </c>
    </row>
    <row r="1564" spans="1:8" hidden="1" x14ac:dyDescent="0.25">
      <c r="A1564">
        <v>19050290</v>
      </c>
      <c r="B1564" s="19" t="s">
        <v>12</v>
      </c>
      <c r="C1564" s="19" t="s">
        <v>26</v>
      </c>
      <c r="D1564" s="19" t="s">
        <v>107</v>
      </c>
      <c r="E1564" s="19" t="s">
        <v>443</v>
      </c>
      <c r="F1564" s="19" t="s">
        <v>400</v>
      </c>
      <c r="G1564" s="19" t="s">
        <v>557</v>
      </c>
      <c r="H1564" s="19" t="s">
        <v>1</v>
      </c>
    </row>
    <row r="1565" spans="1:8" hidden="1" x14ac:dyDescent="0.25">
      <c r="A1565">
        <v>19050244</v>
      </c>
      <c r="B1565" s="19" t="s">
        <v>12</v>
      </c>
      <c r="C1565" s="19" t="s">
        <v>26</v>
      </c>
      <c r="D1565" s="19" t="s">
        <v>36</v>
      </c>
      <c r="E1565" s="19" t="s">
        <v>443</v>
      </c>
      <c r="F1565" s="19" t="s">
        <v>400</v>
      </c>
      <c r="G1565" s="19" t="s">
        <v>557</v>
      </c>
      <c r="H1565" s="19" t="s">
        <v>1</v>
      </c>
    </row>
    <row r="1566" spans="1:8" hidden="1" x14ac:dyDescent="0.25">
      <c r="A1566">
        <v>19050229</v>
      </c>
      <c r="B1566" s="19" t="s">
        <v>12</v>
      </c>
      <c r="C1566" s="19" t="s">
        <v>38</v>
      </c>
      <c r="D1566" s="19" t="s">
        <v>199</v>
      </c>
      <c r="E1566" s="19" t="s">
        <v>437</v>
      </c>
      <c r="F1566" s="19" t="s">
        <v>401</v>
      </c>
      <c r="G1566" s="19" t="s">
        <v>557</v>
      </c>
      <c r="H1566" s="19" t="s">
        <v>1</v>
      </c>
    </row>
    <row r="1567" spans="1:8" hidden="1" x14ac:dyDescent="0.25">
      <c r="A1567">
        <v>19050173</v>
      </c>
      <c r="B1567" s="19" t="s">
        <v>12</v>
      </c>
      <c r="C1567" s="19" t="s">
        <v>26</v>
      </c>
      <c r="D1567" s="19" t="s">
        <v>103</v>
      </c>
      <c r="E1567" s="19" t="s">
        <v>437</v>
      </c>
      <c r="F1567" s="19" t="s">
        <v>400</v>
      </c>
      <c r="G1567" s="19" t="s">
        <v>557</v>
      </c>
      <c r="H1567" s="19" t="s">
        <v>1</v>
      </c>
    </row>
    <row r="1568" spans="1:8" hidden="1" x14ac:dyDescent="0.25">
      <c r="A1568">
        <v>19050140</v>
      </c>
      <c r="B1568" s="19" t="s">
        <v>12</v>
      </c>
      <c r="C1568" s="19" t="s">
        <v>26</v>
      </c>
      <c r="D1568" s="19" t="s">
        <v>35</v>
      </c>
      <c r="E1568" s="19" t="s">
        <v>437</v>
      </c>
      <c r="F1568" s="19" t="s">
        <v>400</v>
      </c>
      <c r="G1568" s="19" t="s">
        <v>557</v>
      </c>
      <c r="H1568" s="19" t="s">
        <v>1</v>
      </c>
    </row>
    <row r="1569" spans="1:8" hidden="1" x14ac:dyDescent="0.25">
      <c r="A1569">
        <v>19050042</v>
      </c>
      <c r="B1569" s="19" t="s">
        <v>12</v>
      </c>
      <c r="C1569" s="19" t="s">
        <v>26</v>
      </c>
      <c r="D1569" s="19" t="s">
        <v>41</v>
      </c>
      <c r="E1569" s="19" t="s">
        <v>443</v>
      </c>
      <c r="F1569" s="19" t="s">
        <v>400</v>
      </c>
      <c r="G1569" s="19" t="s">
        <v>557</v>
      </c>
      <c r="H1569" s="19" t="s">
        <v>1</v>
      </c>
    </row>
    <row r="1570" spans="1:8" hidden="1" x14ac:dyDescent="0.25">
      <c r="A1570">
        <v>19050004</v>
      </c>
      <c r="B1570" s="19" t="s">
        <v>12</v>
      </c>
      <c r="C1570" s="19" t="s">
        <v>26</v>
      </c>
      <c r="D1570" s="19" t="s">
        <v>193</v>
      </c>
      <c r="E1570" s="19" t="s">
        <v>437</v>
      </c>
      <c r="F1570" s="19" t="s">
        <v>400</v>
      </c>
      <c r="G1570" s="19" t="s">
        <v>557</v>
      </c>
      <c r="H1570" s="19" t="s">
        <v>1</v>
      </c>
    </row>
    <row r="1571" spans="1:8" hidden="1" x14ac:dyDescent="0.25">
      <c r="A1571">
        <v>18943029</v>
      </c>
      <c r="B1571" s="19" t="s">
        <v>12</v>
      </c>
      <c r="C1571" s="19" t="s">
        <v>26</v>
      </c>
      <c r="D1571" s="19" t="s">
        <v>42</v>
      </c>
      <c r="E1571" s="19" t="s">
        <v>437</v>
      </c>
      <c r="F1571" s="19" t="s">
        <v>400</v>
      </c>
      <c r="G1571" s="19" t="s">
        <v>557</v>
      </c>
      <c r="H1571" s="19" t="s">
        <v>1</v>
      </c>
    </row>
    <row r="1572" spans="1:8" hidden="1" x14ac:dyDescent="0.25">
      <c r="A1572">
        <v>18943028</v>
      </c>
      <c r="B1572" s="19" t="s">
        <v>12</v>
      </c>
      <c r="C1572" s="19" t="s">
        <v>26</v>
      </c>
      <c r="D1572" s="19" t="s">
        <v>63</v>
      </c>
      <c r="E1572" s="19" t="s">
        <v>558</v>
      </c>
      <c r="F1572" s="19" t="s">
        <v>400</v>
      </c>
      <c r="G1572" s="19" t="s">
        <v>557</v>
      </c>
      <c r="H1572" s="19" t="s">
        <v>1</v>
      </c>
    </row>
    <row r="1573" spans="1:8" hidden="1" x14ac:dyDescent="0.25">
      <c r="A1573">
        <v>18943023</v>
      </c>
      <c r="B1573" s="19" t="s">
        <v>12</v>
      </c>
      <c r="C1573" s="19" t="s">
        <v>26</v>
      </c>
      <c r="D1573" s="19" t="s">
        <v>27</v>
      </c>
      <c r="E1573" s="19" t="s">
        <v>437</v>
      </c>
      <c r="F1573" s="19" t="s">
        <v>400</v>
      </c>
      <c r="G1573" s="19" t="s">
        <v>557</v>
      </c>
      <c r="H1573" s="19" t="s">
        <v>1</v>
      </c>
    </row>
    <row r="1574" spans="1:8" hidden="1" x14ac:dyDescent="0.25">
      <c r="A1574">
        <v>18072830</v>
      </c>
      <c r="B1574" s="19" t="s">
        <v>12</v>
      </c>
      <c r="C1574" s="19" t="s">
        <v>33</v>
      </c>
      <c r="D1574" s="19" t="s">
        <v>34</v>
      </c>
      <c r="E1574" s="19" t="s">
        <v>568</v>
      </c>
      <c r="F1574" s="19" t="s">
        <v>401</v>
      </c>
      <c r="G1574" s="19" t="s">
        <v>557</v>
      </c>
      <c r="H1574" s="19" t="s">
        <v>1</v>
      </c>
    </row>
    <row r="1575" spans="1:8" hidden="1" x14ac:dyDescent="0.25">
      <c r="A1575">
        <v>18071569</v>
      </c>
      <c r="B1575" s="19" t="s">
        <v>12</v>
      </c>
      <c r="C1575" s="19" t="s">
        <v>33</v>
      </c>
      <c r="D1575" s="19" t="s">
        <v>248</v>
      </c>
      <c r="E1575" s="19" t="s">
        <v>572</v>
      </c>
      <c r="F1575" s="19" t="s">
        <v>401</v>
      </c>
      <c r="G1575" s="19" t="s">
        <v>557</v>
      </c>
      <c r="H1575" s="19" t="s">
        <v>1</v>
      </c>
    </row>
    <row r="1576" spans="1:8" hidden="1" x14ac:dyDescent="0.25">
      <c r="A1576">
        <v>16843524</v>
      </c>
      <c r="B1576" s="19" t="s">
        <v>12</v>
      </c>
      <c r="C1576" s="19" t="s">
        <v>26</v>
      </c>
      <c r="D1576" s="19" t="s">
        <v>46</v>
      </c>
      <c r="E1576" s="19" t="s">
        <v>443</v>
      </c>
      <c r="F1576" s="19" t="s">
        <v>400</v>
      </c>
      <c r="G1576" s="19" t="s">
        <v>557</v>
      </c>
      <c r="H1576" s="19" t="s">
        <v>1</v>
      </c>
    </row>
    <row r="1577" spans="1:8" hidden="1" x14ac:dyDescent="0.25">
      <c r="A1577">
        <v>16843493</v>
      </c>
      <c r="B1577" s="19" t="s">
        <v>12</v>
      </c>
      <c r="C1577" s="19" t="s">
        <v>26</v>
      </c>
      <c r="D1577" s="19" t="s">
        <v>45</v>
      </c>
      <c r="E1577" s="19" t="s">
        <v>443</v>
      </c>
      <c r="F1577" s="19" t="s">
        <v>400</v>
      </c>
      <c r="G1577" s="19" t="s">
        <v>557</v>
      </c>
      <c r="H1577" s="19" t="s">
        <v>1</v>
      </c>
    </row>
    <row r="1578" spans="1:8" hidden="1" x14ac:dyDescent="0.25">
      <c r="A1578">
        <v>16843474</v>
      </c>
      <c r="B1578" s="19" t="s">
        <v>12</v>
      </c>
      <c r="C1578" s="19" t="s">
        <v>26</v>
      </c>
      <c r="D1578" s="19" t="s">
        <v>27</v>
      </c>
      <c r="E1578" s="19" t="s">
        <v>443</v>
      </c>
      <c r="F1578" s="19" t="s">
        <v>400</v>
      </c>
      <c r="G1578" s="19" t="s">
        <v>557</v>
      </c>
      <c r="H1578" s="19" t="s">
        <v>1</v>
      </c>
    </row>
    <row r="1579" spans="1:8" hidden="1" x14ac:dyDescent="0.25">
      <c r="A1579">
        <v>16843463</v>
      </c>
      <c r="B1579" s="19" t="s">
        <v>12</v>
      </c>
      <c r="C1579" s="19" t="s">
        <v>26</v>
      </c>
      <c r="D1579" s="19" t="s">
        <v>27</v>
      </c>
      <c r="E1579" s="19" t="s">
        <v>443</v>
      </c>
      <c r="F1579" s="19" t="s">
        <v>400</v>
      </c>
      <c r="G1579" s="19" t="s">
        <v>557</v>
      </c>
      <c r="H1579" s="19" t="s">
        <v>1</v>
      </c>
    </row>
    <row r="1580" spans="1:8" hidden="1" x14ac:dyDescent="0.25">
      <c r="A1580">
        <v>16843435</v>
      </c>
      <c r="B1580" s="19" t="s">
        <v>12</v>
      </c>
      <c r="C1580" s="19" t="s">
        <v>26</v>
      </c>
      <c r="D1580" s="19" t="s">
        <v>45</v>
      </c>
      <c r="E1580" s="19" t="s">
        <v>443</v>
      </c>
      <c r="F1580" s="19" t="s">
        <v>400</v>
      </c>
      <c r="G1580" s="19" t="s">
        <v>557</v>
      </c>
      <c r="H1580" s="19" t="s">
        <v>1</v>
      </c>
    </row>
    <row r="1581" spans="1:8" hidden="1" x14ac:dyDescent="0.25">
      <c r="A1581">
        <v>16843428</v>
      </c>
      <c r="B1581" s="19" t="s">
        <v>12</v>
      </c>
      <c r="C1581" s="19" t="s">
        <v>26</v>
      </c>
      <c r="D1581" s="19" t="s">
        <v>27</v>
      </c>
      <c r="E1581" s="19" t="s">
        <v>443</v>
      </c>
      <c r="F1581" s="19" t="s">
        <v>400</v>
      </c>
      <c r="G1581" s="19" t="s">
        <v>557</v>
      </c>
      <c r="H1581" s="19" t="s">
        <v>1</v>
      </c>
    </row>
    <row r="1582" spans="1:8" hidden="1" x14ac:dyDescent="0.25">
      <c r="A1582">
        <v>16843410</v>
      </c>
      <c r="B1582" s="19" t="s">
        <v>12</v>
      </c>
      <c r="C1582" s="19" t="s">
        <v>26</v>
      </c>
      <c r="D1582" s="19" t="s">
        <v>45</v>
      </c>
      <c r="E1582" s="19" t="s">
        <v>443</v>
      </c>
      <c r="F1582" s="19" t="s">
        <v>400</v>
      </c>
      <c r="G1582" s="19" t="s">
        <v>557</v>
      </c>
      <c r="H1582" s="19" t="s">
        <v>1</v>
      </c>
    </row>
    <row r="1583" spans="1:8" hidden="1" x14ac:dyDescent="0.25">
      <c r="A1583">
        <v>16843405</v>
      </c>
      <c r="B1583" s="19" t="s">
        <v>18</v>
      </c>
      <c r="C1583" s="19" t="s">
        <v>26</v>
      </c>
      <c r="D1583" s="19" t="s">
        <v>45</v>
      </c>
      <c r="E1583" s="19" t="s">
        <v>443</v>
      </c>
      <c r="F1583" s="19" t="s">
        <v>400</v>
      </c>
      <c r="G1583" s="19" t="s">
        <v>557</v>
      </c>
      <c r="H1583" s="19" t="s">
        <v>1</v>
      </c>
    </row>
    <row r="1584" spans="1:8" hidden="1" x14ac:dyDescent="0.25">
      <c r="A1584">
        <v>16843400</v>
      </c>
      <c r="B1584" s="19" t="s">
        <v>12</v>
      </c>
      <c r="C1584" s="19" t="s">
        <v>26</v>
      </c>
      <c r="D1584" s="19" t="s">
        <v>29</v>
      </c>
      <c r="E1584" s="19" t="s">
        <v>443</v>
      </c>
      <c r="F1584" s="19" t="s">
        <v>400</v>
      </c>
      <c r="G1584" s="19" t="s">
        <v>557</v>
      </c>
      <c r="H1584" s="19" t="s">
        <v>1</v>
      </c>
    </row>
    <row r="1585" spans="1:8" hidden="1" x14ac:dyDescent="0.25">
      <c r="A1585">
        <v>16843394</v>
      </c>
      <c r="B1585" s="19" t="s">
        <v>12</v>
      </c>
      <c r="C1585" s="19" t="s">
        <v>26</v>
      </c>
      <c r="D1585" s="19" t="s">
        <v>45</v>
      </c>
      <c r="E1585" s="19" t="s">
        <v>443</v>
      </c>
      <c r="F1585" s="19" t="s">
        <v>400</v>
      </c>
      <c r="G1585" s="19" t="s">
        <v>557</v>
      </c>
      <c r="H1585" s="19" t="s">
        <v>1</v>
      </c>
    </row>
    <row r="1586" spans="1:8" hidden="1" x14ac:dyDescent="0.25">
      <c r="A1586">
        <v>16843376</v>
      </c>
      <c r="B1586" s="19" t="s">
        <v>12</v>
      </c>
      <c r="C1586" s="19" t="s">
        <v>26</v>
      </c>
      <c r="D1586" s="19" t="s">
        <v>45</v>
      </c>
      <c r="E1586" s="19" t="s">
        <v>443</v>
      </c>
      <c r="F1586" s="19" t="s">
        <v>400</v>
      </c>
      <c r="G1586" s="19" t="s">
        <v>557</v>
      </c>
      <c r="H1586" s="19" t="s">
        <v>1</v>
      </c>
    </row>
    <row r="1587" spans="1:8" hidden="1" x14ac:dyDescent="0.25">
      <c r="A1587">
        <v>16843348</v>
      </c>
      <c r="B1587" s="19" t="s">
        <v>12</v>
      </c>
      <c r="C1587" s="19" t="s">
        <v>26</v>
      </c>
      <c r="D1587" s="19" t="s">
        <v>45</v>
      </c>
      <c r="E1587" s="19" t="s">
        <v>443</v>
      </c>
      <c r="F1587" s="19" t="s">
        <v>400</v>
      </c>
      <c r="G1587" s="19" t="s">
        <v>557</v>
      </c>
      <c r="H1587" s="19" t="s">
        <v>1</v>
      </c>
    </row>
    <row r="1588" spans="1:8" hidden="1" x14ac:dyDescent="0.25">
      <c r="A1588">
        <v>16843342</v>
      </c>
      <c r="B1588" s="19" t="s">
        <v>12</v>
      </c>
      <c r="C1588" s="19" t="s">
        <v>26</v>
      </c>
      <c r="D1588" s="19" t="s">
        <v>27</v>
      </c>
      <c r="E1588" s="19" t="s">
        <v>443</v>
      </c>
      <c r="F1588" s="19" t="s">
        <v>400</v>
      </c>
      <c r="G1588" s="19" t="s">
        <v>557</v>
      </c>
      <c r="H1588" s="19" t="s">
        <v>1</v>
      </c>
    </row>
    <row r="1589" spans="1:8" hidden="1" x14ac:dyDescent="0.25">
      <c r="A1589">
        <v>16843340</v>
      </c>
      <c r="B1589" s="19" t="s">
        <v>18</v>
      </c>
      <c r="C1589" s="19" t="s">
        <v>26</v>
      </c>
      <c r="D1589" s="19" t="s">
        <v>45</v>
      </c>
      <c r="E1589" s="19" t="s">
        <v>443</v>
      </c>
      <c r="F1589" s="19" t="s">
        <v>400</v>
      </c>
      <c r="G1589" s="19" t="s">
        <v>557</v>
      </c>
      <c r="H1589" s="19" t="s">
        <v>1</v>
      </c>
    </row>
    <row r="1590" spans="1:8" hidden="1" x14ac:dyDescent="0.25">
      <c r="A1590">
        <v>16843321</v>
      </c>
      <c r="B1590" s="19" t="s">
        <v>12</v>
      </c>
      <c r="C1590" s="19" t="s">
        <v>26</v>
      </c>
      <c r="D1590" s="19" t="s">
        <v>49</v>
      </c>
      <c r="E1590" s="19" t="s">
        <v>443</v>
      </c>
      <c r="F1590" s="19" t="s">
        <v>400</v>
      </c>
      <c r="G1590" s="19" t="s">
        <v>557</v>
      </c>
      <c r="H1590" s="19" t="s">
        <v>1</v>
      </c>
    </row>
    <row r="1591" spans="1:8" hidden="1" x14ac:dyDescent="0.25">
      <c r="A1591">
        <v>16843300</v>
      </c>
      <c r="B1591" s="19" t="s">
        <v>12</v>
      </c>
      <c r="C1591" s="19" t="s">
        <v>26</v>
      </c>
      <c r="D1591" s="19" t="s">
        <v>45</v>
      </c>
      <c r="E1591" s="19" t="s">
        <v>443</v>
      </c>
      <c r="F1591" s="19" t="s">
        <v>400</v>
      </c>
      <c r="G1591" s="19" t="s">
        <v>557</v>
      </c>
      <c r="H1591" s="19" t="s">
        <v>1</v>
      </c>
    </row>
    <row r="1592" spans="1:8" hidden="1" x14ac:dyDescent="0.25">
      <c r="A1592">
        <v>16843288</v>
      </c>
      <c r="B1592" s="19" t="s">
        <v>12</v>
      </c>
      <c r="C1592" s="19" t="s">
        <v>26</v>
      </c>
      <c r="D1592" s="19" t="s">
        <v>45</v>
      </c>
      <c r="E1592" s="19" t="s">
        <v>443</v>
      </c>
      <c r="F1592" s="19" t="s">
        <v>400</v>
      </c>
      <c r="G1592" s="19" t="s">
        <v>557</v>
      </c>
      <c r="H1592" s="19" t="s">
        <v>1</v>
      </c>
    </row>
    <row r="1593" spans="1:8" hidden="1" x14ac:dyDescent="0.25">
      <c r="A1593">
        <v>16843258</v>
      </c>
      <c r="B1593" s="19" t="s">
        <v>12</v>
      </c>
      <c r="C1593" s="19" t="s">
        <v>26</v>
      </c>
      <c r="D1593" s="19" t="s">
        <v>27</v>
      </c>
      <c r="E1593" s="19" t="s">
        <v>443</v>
      </c>
      <c r="F1593" s="19" t="s">
        <v>400</v>
      </c>
      <c r="G1593" s="19" t="s">
        <v>557</v>
      </c>
      <c r="H1593" s="19" t="s">
        <v>1</v>
      </c>
    </row>
    <row r="1594" spans="1:8" hidden="1" x14ac:dyDescent="0.25">
      <c r="A1594">
        <v>16843212</v>
      </c>
      <c r="B1594" s="19" t="s">
        <v>12</v>
      </c>
      <c r="C1594" s="19" t="s">
        <v>26</v>
      </c>
      <c r="D1594" s="19" t="s">
        <v>45</v>
      </c>
      <c r="E1594" s="19" t="s">
        <v>437</v>
      </c>
      <c r="F1594" s="19" t="s">
        <v>400</v>
      </c>
      <c r="G1594" s="19" t="s">
        <v>557</v>
      </c>
      <c r="H1594" s="19" t="s">
        <v>1</v>
      </c>
    </row>
    <row r="1595" spans="1:8" hidden="1" x14ac:dyDescent="0.25">
      <c r="A1595">
        <v>16843192</v>
      </c>
      <c r="B1595" s="19" t="s">
        <v>12</v>
      </c>
      <c r="C1595" s="19" t="s">
        <v>26</v>
      </c>
      <c r="D1595" s="19" t="s">
        <v>45</v>
      </c>
      <c r="E1595" s="19" t="s">
        <v>437</v>
      </c>
      <c r="F1595" s="19" t="s">
        <v>400</v>
      </c>
      <c r="G1595" s="19" t="s">
        <v>557</v>
      </c>
      <c r="H1595" s="19" t="s">
        <v>1</v>
      </c>
    </row>
    <row r="1596" spans="1:8" hidden="1" x14ac:dyDescent="0.25">
      <c r="A1596">
        <v>16843184</v>
      </c>
      <c r="B1596" s="19" t="s">
        <v>12</v>
      </c>
      <c r="C1596" s="19" t="s">
        <v>26</v>
      </c>
      <c r="D1596" s="19" t="s">
        <v>45</v>
      </c>
      <c r="E1596" s="19" t="s">
        <v>437</v>
      </c>
      <c r="F1596" s="19" t="s">
        <v>400</v>
      </c>
      <c r="G1596" s="19" t="s">
        <v>557</v>
      </c>
      <c r="H1596" s="19" t="s">
        <v>1</v>
      </c>
    </row>
    <row r="1597" spans="1:8" hidden="1" x14ac:dyDescent="0.25">
      <c r="A1597">
        <v>16843181</v>
      </c>
      <c r="B1597" s="19" t="s">
        <v>12</v>
      </c>
      <c r="C1597" s="19" t="s">
        <v>26</v>
      </c>
      <c r="D1597" s="19" t="s">
        <v>45</v>
      </c>
      <c r="E1597" s="19" t="s">
        <v>437</v>
      </c>
      <c r="F1597" s="19" t="s">
        <v>400</v>
      </c>
      <c r="G1597" s="19" t="s">
        <v>557</v>
      </c>
      <c r="H1597" s="19" t="s">
        <v>1</v>
      </c>
    </row>
    <row r="1598" spans="1:8" hidden="1" x14ac:dyDescent="0.25">
      <c r="A1598">
        <v>16843134</v>
      </c>
      <c r="B1598" s="19" t="s">
        <v>12</v>
      </c>
      <c r="C1598" s="19" t="s">
        <v>33</v>
      </c>
      <c r="D1598" s="19" t="s">
        <v>70</v>
      </c>
      <c r="E1598" s="19" t="s">
        <v>565</v>
      </c>
      <c r="F1598" s="19" t="s">
        <v>401</v>
      </c>
      <c r="G1598" s="19" t="s">
        <v>557</v>
      </c>
      <c r="H1598" s="19" t="s">
        <v>1</v>
      </c>
    </row>
    <row r="1599" spans="1:8" hidden="1" x14ac:dyDescent="0.25">
      <c r="A1599">
        <v>16843116</v>
      </c>
      <c r="B1599" s="19" t="s">
        <v>12</v>
      </c>
      <c r="C1599" s="19" t="s">
        <v>26</v>
      </c>
      <c r="D1599" s="19" t="s">
        <v>52</v>
      </c>
      <c r="E1599" s="19" t="s">
        <v>437</v>
      </c>
      <c r="F1599" s="19" t="s">
        <v>400</v>
      </c>
      <c r="G1599" s="19" t="s">
        <v>557</v>
      </c>
      <c r="H1599" s="19" t="s">
        <v>1</v>
      </c>
    </row>
    <row r="1600" spans="1:8" hidden="1" x14ac:dyDescent="0.25">
      <c r="A1600">
        <v>16843040</v>
      </c>
      <c r="B1600" s="19" t="s">
        <v>12</v>
      </c>
      <c r="C1600" s="19" t="s">
        <v>26</v>
      </c>
      <c r="D1600" s="19" t="s">
        <v>51</v>
      </c>
      <c r="E1600" s="19" t="s">
        <v>437</v>
      </c>
      <c r="F1600" s="19" t="s">
        <v>400</v>
      </c>
      <c r="G1600" s="19" t="s">
        <v>557</v>
      </c>
      <c r="H1600" s="19" t="s">
        <v>1</v>
      </c>
    </row>
    <row r="1601" spans="1:8" hidden="1" x14ac:dyDescent="0.25">
      <c r="A1601">
        <v>16843026</v>
      </c>
      <c r="B1601" s="19" t="s">
        <v>12</v>
      </c>
      <c r="C1601" s="19" t="s">
        <v>26</v>
      </c>
      <c r="D1601" s="19" t="s">
        <v>27</v>
      </c>
      <c r="E1601" s="19" t="s">
        <v>437</v>
      </c>
      <c r="F1601" s="19" t="s">
        <v>400</v>
      </c>
      <c r="G1601" s="19" t="s">
        <v>557</v>
      </c>
      <c r="H1601" s="19" t="s">
        <v>1</v>
      </c>
    </row>
    <row r="1602" spans="1:8" hidden="1" x14ac:dyDescent="0.25">
      <c r="A1602">
        <v>16843024</v>
      </c>
      <c r="B1602" s="19" t="s">
        <v>12</v>
      </c>
      <c r="C1602" s="19" t="s">
        <v>26</v>
      </c>
      <c r="D1602" s="19" t="s">
        <v>27</v>
      </c>
      <c r="E1602" s="19" t="s">
        <v>437</v>
      </c>
      <c r="F1602" s="19" t="s">
        <v>400</v>
      </c>
      <c r="G1602" s="19" t="s">
        <v>557</v>
      </c>
      <c r="H1602" s="19" t="s">
        <v>1</v>
      </c>
    </row>
    <row r="1603" spans="1:8" hidden="1" x14ac:dyDescent="0.25">
      <c r="A1603">
        <v>16843023</v>
      </c>
      <c r="B1603" s="19" t="s">
        <v>12</v>
      </c>
      <c r="C1603" s="19" t="s">
        <v>26</v>
      </c>
      <c r="D1603" s="19" t="s">
        <v>27</v>
      </c>
      <c r="E1603" s="19" t="s">
        <v>437</v>
      </c>
      <c r="F1603" s="19" t="s">
        <v>400</v>
      </c>
      <c r="G1603" s="19" t="s">
        <v>557</v>
      </c>
      <c r="H1603" s="19" t="s">
        <v>1</v>
      </c>
    </row>
    <row r="1604" spans="1:8" hidden="1" x14ac:dyDescent="0.25">
      <c r="A1604">
        <v>16843012</v>
      </c>
      <c r="B1604" s="19" t="s">
        <v>12</v>
      </c>
      <c r="C1604" s="19" t="s">
        <v>26</v>
      </c>
      <c r="D1604" s="19" t="s">
        <v>27</v>
      </c>
      <c r="E1604" s="19" t="s">
        <v>437</v>
      </c>
      <c r="F1604" s="19" t="s">
        <v>400</v>
      </c>
      <c r="G1604" s="19" t="s">
        <v>557</v>
      </c>
      <c r="H1604" s="19" t="s">
        <v>1</v>
      </c>
    </row>
    <row r="1605" spans="1:8" hidden="1" x14ac:dyDescent="0.25">
      <c r="A1605">
        <v>16705791</v>
      </c>
      <c r="B1605" s="19" t="s">
        <v>12</v>
      </c>
      <c r="C1605" s="19" t="s">
        <v>26</v>
      </c>
      <c r="D1605" s="19" t="s">
        <v>321</v>
      </c>
      <c r="E1605" s="19" t="s">
        <v>443</v>
      </c>
      <c r="F1605" s="19" t="s">
        <v>400</v>
      </c>
      <c r="G1605" s="19" t="s">
        <v>557</v>
      </c>
      <c r="H1605" s="19" t="s">
        <v>1</v>
      </c>
    </row>
    <row r="1606" spans="1:8" hidden="1" x14ac:dyDescent="0.25">
      <c r="A1606">
        <v>16705761</v>
      </c>
      <c r="B1606" s="19" t="s">
        <v>18</v>
      </c>
      <c r="C1606" s="19" t="s">
        <v>26</v>
      </c>
      <c r="D1606" s="19" t="s">
        <v>141</v>
      </c>
      <c r="E1606" s="19" t="s">
        <v>437</v>
      </c>
      <c r="F1606" s="19" t="s">
        <v>400</v>
      </c>
      <c r="G1606" s="19" t="s">
        <v>557</v>
      </c>
      <c r="H1606" s="19" t="s">
        <v>1</v>
      </c>
    </row>
    <row r="1607" spans="1:8" hidden="1" x14ac:dyDescent="0.25">
      <c r="A1607">
        <v>16705753</v>
      </c>
      <c r="B1607" s="19" t="s">
        <v>12</v>
      </c>
      <c r="C1607" s="19" t="s">
        <v>26</v>
      </c>
      <c r="D1607" s="19" t="s">
        <v>41</v>
      </c>
      <c r="E1607" s="19" t="s">
        <v>437</v>
      </c>
      <c r="F1607" s="19" t="s">
        <v>400</v>
      </c>
      <c r="G1607" s="19" t="s">
        <v>557</v>
      </c>
      <c r="H1607" s="19" t="s">
        <v>1</v>
      </c>
    </row>
    <row r="1608" spans="1:8" hidden="1" x14ac:dyDescent="0.25">
      <c r="A1608">
        <v>16705721</v>
      </c>
      <c r="B1608" s="19" t="s">
        <v>12</v>
      </c>
      <c r="C1608" s="19" t="s">
        <v>26</v>
      </c>
      <c r="D1608" s="19" t="s">
        <v>167</v>
      </c>
      <c r="E1608" s="19" t="s">
        <v>573</v>
      </c>
      <c r="F1608" s="19" t="s">
        <v>400</v>
      </c>
      <c r="G1608" s="19" t="s">
        <v>557</v>
      </c>
      <c r="H1608" s="19" t="s">
        <v>1</v>
      </c>
    </row>
    <row r="1609" spans="1:8" hidden="1" x14ac:dyDescent="0.25">
      <c r="A1609">
        <v>16705676</v>
      </c>
      <c r="B1609" s="19" t="s">
        <v>12</v>
      </c>
      <c r="C1609" s="19" t="s">
        <v>26</v>
      </c>
      <c r="D1609" s="19" t="s">
        <v>58</v>
      </c>
      <c r="E1609" s="19" t="s">
        <v>445</v>
      </c>
      <c r="F1609" s="19" t="s">
        <v>400</v>
      </c>
      <c r="G1609" s="19" t="s">
        <v>557</v>
      </c>
      <c r="H1609" s="19" t="s">
        <v>1</v>
      </c>
    </row>
    <row r="1610" spans="1:8" hidden="1" x14ac:dyDescent="0.25">
      <c r="A1610">
        <v>16705647</v>
      </c>
      <c r="B1610" s="19" t="s">
        <v>12</v>
      </c>
      <c r="C1610" s="19" t="s">
        <v>26</v>
      </c>
      <c r="D1610" s="19" t="s">
        <v>57</v>
      </c>
      <c r="E1610" s="19" t="s">
        <v>437</v>
      </c>
      <c r="F1610" s="19" t="s">
        <v>400</v>
      </c>
      <c r="G1610" s="19" t="s">
        <v>557</v>
      </c>
      <c r="H1610" s="19" t="s">
        <v>1</v>
      </c>
    </row>
    <row r="1611" spans="1:8" hidden="1" x14ac:dyDescent="0.25">
      <c r="A1611">
        <v>16705549</v>
      </c>
      <c r="B1611" s="19" t="s">
        <v>18</v>
      </c>
      <c r="C1611" s="19" t="s">
        <v>26</v>
      </c>
      <c r="D1611" s="19" t="s">
        <v>58</v>
      </c>
      <c r="E1611" s="19" t="s">
        <v>443</v>
      </c>
      <c r="F1611" s="19" t="s">
        <v>400</v>
      </c>
      <c r="G1611" s="19" t="s">
        <v>557</v>
      </c>
      <c r="H1611" s="19" t="s">
        <v>1</v>
      </c>
    </row>
    <row r="1612" spans="1:8" hidden="1" x14ac:dyDescent="0.25">
      <c r="A1612">
        <v>16705493</v>
      </c>
      <c r="B1612" s="19" t="s">
        <v>12</v>
      </c>
      <c r="C1612" s="19" t="s">
        <v>26</v>
      </c>
      <c r="D1612" s="19" t="s">
        <v>114</v>
      </c>
      <c r="E1612" s="19" t="s">
        <v>443</v>
      </c>
      <c r="F1612" s="19" t="s">
        <v>400</v>
      </c>
      <c r="G1612" s="19" t="s">
        <v>557</v>
      </c>
      <c r="H1612" s="19" t="s">
        <v>1</v>
      </c>
    </row>
    <row r="1613" spans="1:8" hidden="1" x14ac:dyDescent="0.25">
      <c r="A1613">
        <v>16705457</v>
      </c>
      <c r="B1613" s="19" t="s">
        <v>12</v>
      </c>
      <c r="C1613" s="19" t="s">
        <v>26</v>
      </c>
      <c r="D1613" s="19" t="s">
        <v>225</v>
      </c>
      <c r="E1613" s="19" t="s">
        <v>443</v>
      </c>
      <c r="F1613" s="19" t="s">
        <v>400</v>
      </c>
      <c r="G1613" s="19" t="s">
        <v>557</v>
      </c>
      <c r="H1613" s="19" t="s">
        <v>1</v>
      </c>
    </row>
    <row r="1614" spans="1:8" hidden="1" x14ac:dyDescent="0.25">
      <c r="A1614">
        <v>16705449</v>
      </c>
      <c r="B1614" s="19" t="s">
        <v>12</v>
      </c>
      <c r="C1614" s="19" t="s">
        <v>26</v>
      </c>
      <c r="D1614" s="19" t="s">
        <v>57</v>
      </c>
      <c r="E1614" s="19" t="s">
        <v>443</v>
      </c>
      <c r="F1614" s="19" t="s">
        <v>400</v>
      </c>
      <c r="G1614" s="19" t="s">
        <v>557</v>
      </c>
      <c r="H1614" s="19" t="s">
        <v>1</v>
      </c>
    </row>
    <row r="1615" spans="1:8" hidden="1" x14ac:dyDescent="0.25">
      <c r="A1615">
        <v>16705448</v>
      </c>
      <c r="B1615" s="19" t="s">
        <v>12</v>
      </c>
      <c r="C1615" s="19" t="s">
        <v>26</v>
      </c>
      <c r="D1615" s="19" t="s">
        <v>58</v>
      </c>
      <c r="E1615" s="19" t="s">
        <v>443</v>
      </c>
      <c r="F1615" s="19" t="s">
        <v>400</v>
      </c>
      <c r="G1615" s="19" t="s">
        <v>557</v>
      </c>
      <c r="H1615" s="19" t="s">
        <v>1</v>
      </c>
    </row>
    <row r="1616" spans="1:8" hidden="1" x14ac:dyDescent="0.25">
      <c r="A1616">
        <v>16705422</v>
      </c>
      <c r="B1616" s="19" t="s">
        <v>12</v>
      </c>
      <c r="C1616" s="19" t="s">
        <v>26</v>
      </c>
      <c r="D1616" s="19" t="s">
        <v>58</v>
      </c>
      <c r="E1616" s="19" t="s">
        <v>443</v>
      </c>
      <c r="F1616" s="19" t="s">
        <v>400</v>
      </c>
      <c r="G1616" s="19" t="s">
        <v>557</v>
      </c>
      <c r="H1616" s="19" t="s">
        <v>1</v>
      </c>
    </row>
    <row r="1617" spans="1:8" hidden="1" x14ac:dyDescent="0.25">
      <c r="A1617">
        <v>16705410</v>
      </c>
      <c r="B1617" s="19" t="s">
        <v>12</v>
      </c>
      <c r="C1617" s="19" t="s">
        <v>26</v>
      </c>
      <c r="D1617" s="19" t="s">
        <v>57</v>
      </c>
      <c r="E1617" s="19" t="s">
        <v>443</v>
      </c>
      <c r="F1617" s="19" t="s">
        <v>400</v>
      </c>
      <c r="G1617" s="19" t="s">
        <v>557</v>
      </c>
      <c r="H1617" s="19" t="s">
        <v>1</v>
      </c>
    </row>
    <row r="1618" spans="1:8" hidden="1" x14ac:dyDescent="0.25">
      <c r="A1618">
        <v>16705406</v>
      </c>
      <c r="B1618" s="19" t="s">
        <v>12</v>
      </c>
      <c r="C1618" s="19" t="s">
        <v>26</v>
      </c>
      <c r="D1618" s="19" t="s">
        <v>59</v>
      </c>
      <c r="E1618" s="19" t="s">
        <v>443</v>
      </c>
      <c r="F1618" s="19" t="s">
        <v>400</v>
      </c>
      <c r="G1618" s="19" t="s">
        <v>557</v>
      </c>
      <c r="H1618" s="19" t="s">
        <v>1</v>
      </c>
    </row>
    <row r="1619" spans="1:8" hidden="1" x14ac:dyDescent="0.25">
      <c r="A1619">
        <v>16705370</v>
      </c>
      <c r="B1619" s="19" t="s">
        <v>12</v>
      </c>
      <c r="C1619" s="19" t="s">
        <v>26</v>
      </c>
      <c r="D1619" s="19" t="s">
        <v>58</v>
      </c>
      <c r="E1619" s="19" t="s">
        <v>443</v>
      </c>
      <c r="F1619" s="19" t="s">
        <v>400</v>
      </c>
      <c r="G1619" s="19" t="s">
        <v>557</v>
      </c>
      <c r="H1619" s="19" t="s">
        <v>1</v>
      </c>
    </row>
    <row r="1620" spans="1:8" hidden="1" x14ac:dyDescent="0.25">
      <c r="A1620">
        <v>16705359</v>
      </c>
      <c r="B1620" s="19" t="s">
        <v>12</v>
      </c>
      <c r="C1620" s="19" t="s">
        <v>26</v>
      </c>
      <c r="D1620" s="19" t="s">
        <v>113</v>
      </c>
      <c r="E1620" s="19" t="s">
        <v>437</v>
      </c>
      <c r="F1620" s="19" t="s">
        <v>400</v>
      </c>
      <c r="G1620" s="19" t="s">
        <v>557</v>
      </c>
      <c r="H1620" s="19" t="s">
        <v>1</v>
      </c>
    </row>
    <row r="1621" spans="1:8" hidden="1" x14ac:dyDescent="0.25">
      <c r="A1621">
        <v>16705349</v>
      </c>
      <c r="B1621" s="19" t="s">
        <v>12</v>
      </c>
      <c r="C1621" s="19" t="s">
        <v>26</v>
      </c>
      <c r="D1621" s="19" t="s">
        <v>223</v>
      </c>
      <c r="E1621" s="19" t="s">
        <v>437</v>
      </c>
      <c r="F1621" s="19" t="s">
        <v>400</v>
      </c>
      <c r="G1621" s="19" t="s">
        <v>557</v>
      </c>
      <c r="H1621" s="19" t="s">
        <v>1</v>
      </c>
    </row>
    <row r="1622" spans="1:8" hidden="1" x14ac:dyDescent="0.25">
      <c r="A1622">
        <v>16705332</v>
      </c>
      <c r="B1622" s="19" t="s">
        <v>18</v>
      </c>
      <c r="C1622" s="19" t="s">
        <v>26</v>
      </c>
      <c r="D1622" s="19" t="s">
        <v>224</v>
      </c>
      <c r="E1622" s="19" t="s">
        <v>437</v>
      </c>
      <c r="F1622" s="19" t="s">
        <v>400</v>
      </c>
      <c r="G1622" s="19" t="s">
        <v>557</v>
      </c>
      <c r="H1622" s="19" t="s">
        <v>1</v>
      </c>
    </row>
    <row r="1623" spans="1:8" hidden="1" x14ac:dyDescent="0.25">
      <c r="A1623">
        <v>16705293</v>
      </c>
      <c r="B1623" s="19" t="s">
        <v>12</v>
      </c>
      <c r="C1623" s="19" t="s">
        <v>26</v>
      </c>
      <c r="D1623" s="19" t="s">
        <v>60</v>
      </c>
      <c r="E1623" s="19" t="s">
        <v>437</v>
      </c>
      <c r="F1623" s="19" t="s">
        <v>400</v>
      </c>
      <c r="G1623" s="19" t="s">
        <v>557</v>
      </c>
      <c r="H1623" s="19" t="s">
        <v>1</v>
      </c>
    </row>
    <row r="1624" spans="1:8" hidden="1" x14ac:dyDescent="0.25">
      <c r="A1624">
        <v>16705290</v>
      </c>
      <c r="B1624" s="19" t="s">
        <v>12</v>
      </c>
      <c r="C1624" s="19" t="s">
        <v>26</v>
      </c>
      <c r="D1624" s="19" t="s">
        <v>58</v>
      </c>
      <c r="E1624" s="19" t="s">
        <v>437</v>
      </c>
      <c r="F1624" s="19" t="s">
        <v>400</v>
      </c>
      <c r="G1624" s="19" t="s">
        <v>557</v>
      </c>
      <c r="H1624" s="19" t="s">
        <v>1</v>
      </c>
    </row>
    <row r="1625" spans="1:8" hidden="1" x14ac:dyDescent="0.25">
      <c r="A1625">
        <v>16705255</v>
      </c>
      <c r="B1625" s="19" t="s">
        <v>12</v>
      </c>
      <c r="C1625" s="19" t="s">
        <v>26</v>
      </c>
      <c r="D1625" s="19" t="s">
        <v>59</v>
      </c>
      <c r="E1625" s="19" t="s">
        <v>437</v>
      </c>
      <c r="F1625" s="19" t="s">
        <v>400</v>
      </c>
      <c r="G1625" s="19" t="s">
        <v>557</v>
      </c>
      <c r="H1625" s="19" t="s">
        <v>1</v>
      </c>
    </row>
    <row r="1626" spans="1:8" hidden="1" x14ac:dyDescent="0.25">
      <c r="A1626">
        <v>16705234</v>
      </c>
      <c r="B1626" s="19" t="s">
        <v>12</v>
      </c>
      <c r="C1626" s="19" t="s">
        <v>26</v>
      </c>
      <c r="D1626" s="19" t="s">
        <v>59</v>
      </c>
      <c r="E1626" s="19" t="s">
        <v>437</v>
      </c>
      <c r="F1626" s="19" t="s">
        <v>400</v>
      </c>
      <c r="G1626" s="19" t="s">
        <v>557</v>
      </c>
      <c r="H1626" s="19" t="s">
        <v>1</v>
      </c>
    </row>
    <row r="1627" spans="1:8" hidden="1" x14ac:dyDescent="0.25">
      <c r="A1627">
        <v>16390599</v>
      </c>
      <c r="B1627" s="19" t="s">
        <v>12</v>
      </c>
      <c r="C1627" s="19" t="s">
        <v>26</v>
      </c>
      <c r="D1627" s="19" t="s">
        <v>28</v>
      </c>
      <c r="E1627" s="19" t="s">
        <v>443</v>
      </c>
      <c r="F1627" s="19" t="s">
        <v>400</v>
      </c>
      <c r="G1627" s="19" t="s">
        <v>557</v>
      </c>
      <c r="H1627" s="19" t="s">
        <v>1</v>
      </c>
    </row>
    <row r="1628" spans="1:8" hidden="1" x14ac:dyDescent="0.25">
      <c r="A1628">
        <v>16390596</v>
      </c>
      <c r="B1628" s="19" t="s">
        <v>12</v>
      </c>
      <c r="C1628" s="19" t="s">
        <v>26</v>
      </c>
      <c r="D1628" s="19" t="s">
        <v>31</v>
      </c>
      <c r="E1628" s="19" t="s">
        <v>437</v>
      </c>
      <c r="F1628" s="19" t="s">
        <v>400</v>
      </c>
      <c r="G1628" s="19" t="s">
        <v>557</v>
      </c>
      <c r="H1628" s="19" t="s">
        <v>1</v>
      </c>
    </row>
    <row r="1629" spans="1:8" hidden="1" x14ac:dyDescent="0.25">
      <c r="A1629">
        <v>16390594</v>
      </c>
      <c r="B1629" s="19" t="s">
        <v>18</v>
      </c>
      <c r="C1629" s="19" t="s">
        <v>26</v>
      </c>
      <c r="D1629" s="19" t="s">
        <v>32</v>
      </c>
      <c r="E1629" s="19" t="s">
        <v>437</v>
      </c>
      <c r="F1629" s="19" t="s">
        <v>400</v>
      </c>
      <c r="G1629" s="19" t="s">
        <v>557</v>
      </c>
      <c r="H1629" s="19" t="s">
        <v>1</v>
      </c>
    </row>
    <row r="1630" spans="1:8" hidden="1" x14ac:dyDescent="0.25">
      <c r="A1630">
        <v>16390579</v>
      </c>
      <c r="B1630" s="19" t="s">
        <v>18</v>
      </c>
      <c r="C1630" s="19" t="s">
        <v>26</v>
      </c>
      <c r="D1630" s="19" t="s">
        <v>62</v>
      </c>
      <c r="E1630" s="19" t="s">
        <v>437</v>
      </c>
      <c r="F1630" s="19" t="s">
        <v>400</v>
      </c>
      <c r="G1630" s="19" t="s">
        <v>557</v>
      </c>
      <c r="H1630" s="19" t="s">
        <v>1</v>
      </c>
    </row>
    <row r="1631" spans="1:8" hidden="1" x14ac:dyDescent="0.25">
      <c r="A1631">
        <v>16390561</v>
      </c>
      <c r="B1631" s="19" t="s">
        <v>12</v>
      </c>
      <c r="C1631" s="19" t="s">
        <v>38</v>
      </c>
      <c r="D1631" s="19" t="s">
        <v>58</v>
      </c>
      <c r="E1631" s="19" t="s">
        <v>437</v>
      </c>
      <c r="F1631" s="19" t="s">
        <v>401</v>
      </c>
      <c r="G1631" s="19" t="s">
        <v>557</v>
      </c>
      <c r="H1631" s="19" t="s">
        <v>1</v>
      </c>
    </row>
    <row r="1632" spans="1:8" hidden="1" x14ac:dyDescent="0.25">
      <c r="A1632">
        <v>16390558</v>
      </c>
      <c r="B1632" s="19" t="s">
        <v>12</v>
      </c>
      <c r="C1632" s="19" t="s">
        <v>38</v>
      </c>
      <c r="D1632" s="19" t="s">
        <v>221</v>
      </c>
      <c r="E1632" s="19" t="s">
        <v>437</v>
      </c>
      <c r="F1632" s="19" t="s">
        <v>401</v>
      </c>
      <c r="G1632" s="19" t="s">
        <v>557</v>
      </c>
      <c r="H1632" s="19" t="s">
        <v>1</v>
      </c>
    </row>
    <row r="1633" spans="1:8" hidden="1" x14ac:dyDescent="0.25">
      <c r="A1633">
        <v>16390546</v>
      </c>
      <c r="B1633" s="19" t="s">
        <v>12</v>
      </c>
      <c r="C1633" s="19" t="s">
        <v>26</v>
      </c>
      <c r="D1633" s="19" t="s">
        <v>41</v>
      </c>
      <c r="E1633" s="19" t="s">
        <v>558</v>
      </c>
      <c r="F1633" s="19" t="s">
        <v>400</v>
      </c>
      <c r="G1633" s="19" t="s">
        <v>557</v>
      </c>
      <c r="H1633" s="19" t="s">
        <v>1</v>
      </c>
    </row>
    <row r="1634" spans="1:8" hidden="1" x14ac:dyDescent="0.25">
      <c r="A1634">
        <v>16390535</v>
      </c>
      <c r="B1634" s="19" t="s">
        <v>12</v>
      </c>
      <c r="C1634" s="19" t="s">
        <v>26</v>
      </c>
      <c r="D1634" s="19" t="s">
        <v>63</v>
      </c>
      <c r="E1634" s="19" t="s">
        <v>558</v>
      </c>
      <c r="F1634" s="19" t="s">
        <v>400</v>
      </c>
      <c r="G1634" s="19" t="s">
        <v>557</v>
      </c>
      <c r="H1634" s="19" t="s">
        <v>1</v>
      </c>
    </row>
    <row r="1635" spans="1:8" hidden="1" x14ac:dyDescent="0.25">
      <c r="A1635">
        <v>16390527</v>
      </c>
      <c r="B1635" s="19" t="s">
        <v>12</v>
      </c>
      <c r="C1635" s="19" t="s">
        <v>26</v>
      </c>
      <c r="D1635" s="19" t="s">
        <v>211</v>
      </c>
      <c r="E1635" s="19" t="s">
        <v>446</v>
      </c>
      <c r="F1635" s="19" t="s">
        <v>400</v>
      </c>
      <c r="G1635" s="19" t="s">
        <v>557</v>
      </c>
      <c r="H1635" s="19" t="s">
        <v>1</v>
      </c>
    </row>
    <row r="1636" spans="1:8" hidden="1" x14ac:dyDescent="0.25">
      <c r="A1636">
        <v>16390480</v>
      </c>
      <c r="B1636" s="19" t="s">
        <v>12</v>
      </c>
      <c r="C1636" s="19" t="s">
        <v>26</v>
      </c>
      <c r="D1636" s="19" t="s">
        <v>36</v>
      </c>
      <c r="E1636" s="19" t="s">
        <v>437</v>
      </c>
      <c r="F1636" s="19" t="s">
        <v>400</v>
      </c>
      <c r="G1636" s="19" t="s">
        <v>557</v>
      </c>
      <c r="H1636" s="19" t="s">
        <v>1</v>
      </c>
    </row>
    <row r="1637" spans="1:8" hidden="1" x14ac:dyDescent="0.25">
      <c r="A1637">
        <v>16390458</v>
      </c>
      <c r="B1637" s="19" t="s">
        <v>12</v>
      </c>
      <c r="C1637" s="19" t="s">
        <v>26</v>
      </c>
      <c r="D1637" s="19" t="s">
        <v>117</v>
      </c>
      <c r="E1637" s="19" t="s">
        <v>437</v>
      </c>
      <c r="F1637" s="19" t="s">
        <v>400</v>
      </c>
      <c r="G1637" s="19" t="s">
        <v>557</v>
      </c>
      <c r="H1637" s="19" t="s">
        <v>1</v>
      </c>
    </row>
    <row r="1638" spans="1:8" hidden="1" x14ac:dyDescent="0.25">
      <c r="A1638">
        <v>16390453</v>
      </c>
      <c r="B1638" s="19" t="s">
        <v>12</v>
      </c>
      <c r="C1638" s="19" t="s">
        <v>26</v>
      </c>
      <c r="D1638" s="19" t="s">
        <v>135</v>
      </c>
      <c r="E1638" s="19" t="s">
        <v>566</v>
      </c>
      <c r="F1638" s="19" t="s">
        <v>400</v>
      </c>
      <c r="G1638" s="19" t="s">
        <v>557</v>
      </c>
      <c r="H1638" s="19" t="s">
        <v>1</v>
      </c>
    </row>
    <row r="1639" spans="1:8" hidden="1" x14ac:dyDescent="0.25">
      <c r="A1639">
        <v>15661436</v>
      </c>
      <c r="B1639" s="19" t="s">
        <v>12</v>
      </c>
      <c r="C1639" s="19" t="s">
        <v>26</v>
      </c>
      <c r="D1639" s="19" t="s">
        <v>27</v>
      </c>
      <c r="E1639" s="19" t="s">
        <v>437</v>
      </c>
      <c r="F1639" s="19" t="s">
        <v>400</v>
      </c>
      <c r="G1639" s="19" t="s">
        <v>557</v>
      </c>
      <c r="H1639" s="19" t="s">
        <v>1</v>
      </c>
    </row>
    <row r="1640" spans="1:8" hidden="1" x14ac:dyDescent="0.25">
      <c r="A1640">
        <v>15661338</v>
      </c>
      <c r="B1640" s="19" t="s">
        <v>12</v>
      </c>
      <c r="C1640" s="19" t="s">
        <v>26</v>
      </c>
      <c r="D1640" s="19" t="s">
        <v>119</v>
      </c>
      <c r="E1640" s="19" t="s">
        <v>443</v>
      </c>
      <c r="F1640" s="19" t="s">
        <v>400</v>
      </c>
      <c r="G1640" s="19" t="s">
        <v>557</v>
      </c>
      <c r="H1640" s="19" t="s">
        <v>1</v>
      </c>
    </row>
    <row r="1641" spans="1:8" hidden="1" x14ac:dyDescent="0.25">
      <c r="A1641">
        <v>15661323</v>
      </c>
      <c r="B1641" s="19" t="s">
        <v>12</v>
      </c>
      <c r="C1641" s="19" t="s">
        <v>26</v>
      </c>
      <c r="D1641" s="19" t="s">
        <v>119</v>
      </c>
      <c r="E1641" s="19" t="s">
        <v>443</v>
      </c>
      <c r="F1641" s="19" t="s">
        <v>400</v>
      </c>
      <c r="G1641" s="19" t="s">
        <v>557</v>
      </c>
      <c r="H1641" s="19" t="s">
        <v>1</v>
      </c>
    </row>
    <row r="1642" spans="1:8" hidden="1" x14ac:dyDescent="0.25">
      <c r="A1642">
        <v>15661321</v>
      </c>
      <c r="B1642" s="19" t="s">
        <v>12</v>
      </c>
      <c r="C1642" s="19" t="s">
        <v>26</v>
      </c>
      <c r="D1642" s="19" t="s">
        <v>119</v>
      </c>
      <c r="E1642" s="19" t="s">
        <v>443</v>
      </c>
      <c r="F1642" s="19" t="s">
        <v>400</v>
      </c>
      <c r="G1642" s="19" t="s">
        <v>557</v>
      </c>
      <c r="H1642" s="19" t="s">
        <v>1</v>
      </c>
    </row>
    <row r="1643" spans="1:8" hidden="1" x14ac:dyDescent="0.25">
      <c r="A1643">
        <v>15661178</v>
      </c>
      <c r="B1643" s="19" t="s">
        <v>12</v>
      </c>
      <c r="C1643" s="19" t="s">
        <v>26</v>
      </c>
      <c r="D1643" s="19" t="s">
        <v>119</v>
      </c>
      <c r="E1643" s="19" t="s">
        <v>437</v>
      </c>
      <c r="F1643" s="19" t="s">
        <v>400</v>
      </c>
      <c r="G1643" s="19" t="s">
        <v>557</v>
      </c>
      <c r="H1643" s="19" t="s">
        <v>1</v>
      </c>
    </row>
    <row r="1644" spans="1:8" hidden="1" x14ac:dyDescent="0.25">
      <c r="A1644">
        <v>15661173</v>
      </c>
      <c r="B1644" s="19" t="s">
        <v>12</v>
      </c>
      <c r="C1644" s="19" t="s">
        <v>26</v>
      </c>
      <c r="D1644" s="19" t="s">
        <v>120</v>
      </c>
      <c r="E1644" s="19" t="s">
        <v>437</v>
      </c>
      <c r="F1644" s="19" t="s">
        <v>400</v>
      </c>
      <c r="G1644" s="19" t="s">
        <v>557</v>
      </c>
      <c r="H1644" s="19" t="s">
        <v>1</v>
      </c>
    </row>
    <row r="1645" spans="1:8" hidden="1" x14ac:dyDescent="0.25">
      <c r="A1645">
        <v>15661131</v>
      </c>
      <c r="B1645" s="19" t="s">
        <v>12</v>
      </c>
      <c r="C1645" s="19" t="s">
        <v>26</v>
      </c>
      <c r="D1645" s="19" t="s">
        <v>64</v>
      </c>
      <c r="E1645" s="19" t="s">
        <v>437</v>
      </c>
      <c r="F1645" s="19" t="s">
        <v>400</v>
      </c>
      <c r="G1645" s="19" t="s">
        <v>557</v>
      </c>
      <c r="H1645" s="19" t="s">
        <v>1</v>
      </c>
    </row>
    <row r="1646" spans="1:8" hidden="1" x14ac:dyDescent="0.25">
      <c r="A1646">
        <v>15661107</v>
      </c>
      <c r="B1646" s="19" t="s">
        <v>18</v>
      </c>
      <c r="C1646" s="19" t="s">
        <v>26</v>
      </c>
      <c r="D1646" s="19" t="s">
        <v>121</v>
      </c>
      <c r="E1646" s="19" t="s">
        <v>437</v>
      </c>
      <c r="F1646" s="19" t="s">
        <v>400</v>
      </c>
      <c r="G1646" s="19" t="s">
        <v>557</v>
      </c>
      <c r="H1646" s="19" t="s">
        <v>1</v>
      </c>
    </row>
    <row r="1647" spans="1:8" hidden="1" x14ac:dyDescent="0.25">
      <c r="A1647">
        <v>15661072</v>
      </c>
      <c r="B1647" s="19" t="s">
        <v>12</v>
      </c>
      <c r="C1647" s="19" t="s">
        <v>26</v>
      </c>
      <c r="D1647" s="19" t="s">
        <v>65</v>
      </c>
      <c r="E1647" s="19" t="s">
        <v>437</v>
      </c>
      <c r="F1647" s="19" t="s">
        <v>400</v>
      </c>
      <c r="G1647" s="19" t="s">
        <v>557</v>
      </c>
      <c r="H1647" s="19" t="s">
        <v>1</v>
      </c>
    </row>
    <row r="1648" spans="1:8" hidden="1" x14ac:dyDescent="0.25">
      <c r="A1648">
        <v>15661010</v>
      </c>
      <c r="B1648" s="19" t="s">
        <v>12</v>
      </c>
      <c r="C1648" s="19" t="s">
        <v>26</v>
      </c>
      <c r="D1648" s="19" t="s">
        <v>122</v>
      </c>
      <c r="E1648" s="19" t="s">
        <v>567</v>
      </c>
      <c r="F1648" s="19" t="s">
        <v>400</v>
      </c>
      <c r="G1648" s="19" t="s">
        <v>557</v>
      </c>
      <c r="H1648" s="19" t="s">
        <v>1</v>
      </c>
    </row>
    <row r="1649" spans="1:8" hidden="1" x14ac:dyDescent="0.25">
      <c r="A1649">
        <v>15660978</v>
      </c>
      <c r="B1649" s="19" t="s">
        <v>12</v>
      </c>
      <c r="C1649" s="19" t="s">
        <v>26</v>
      </c>
      <c r="D1649" s="19" t="s">
        <v>237</v>
      </c>
      <c r="E1649" s="19" t="s">
        <v>437</v>
      </c>
      <c r="F1649" s="19" t="s">
        <v>400</v>
      </c>
      <c r="G1649" s="19" t="s">
        <v>557</v>
      </c>
      <c r="H1649" s="19" t="s">
        <v>1</v>
      </c>
    </row>
    <row r="1650" spans="1:8" hidden="1" x14ac:dyDescent="0.25">
      <c r="A1650">
        <v>15660975</v>
      </c>
      <c r="B1650" s="19" t="s">
        <v>12</v>
      </c>
      <c r="C1650" s="19" t="s">
        <v>26</v>
      </c>
      <c r="D1650" s="19" t="s">
        <v>122</v>
      </c>
      <c r="E1650" s="19" t="s">
        <v>437</v>
      </c>
      <c r="F1650" s="19" t="s">
        <v>400</v>
      </c>
      <c r="G1650" s="19" t="s">
        <v>557</v>
      </c>
      <c r="H1650" s="19" t="s">
        <v>1</v>
      </c>
    </row>
    <row r="1651" spans="1:8" hidden="1" x14ac:dyDescent="0.25">
      <c r="A1651">
        <v>14718209</v>
      </c>
      <c r="B1651" s="19" t="s">
        <v>12</v>
      </c>
      <c r="C1651" s="19" t="s">
        <v>26</v>
      </c>
      <c r="D1651" s="19" t="s">
        <v>326</v>
      </c>
      <c r="E1651" s="19" t="s">
        <v>443</v>
      </c>
      <c r="F1651" s="19" t="s">
        <v>400</v>
      </c>
      <c r="G1651" s="19" t="s">
        <v>557</v>
      </c>
      <c r="H1651" s="19" t="s">
        <v>1</v>
      </c>
    </row>
    <row r="1652" spans="1:8" hidden="1" x14ac:dyDescent="0.25">
      <c r="A1652">
        <v>14718168</v>
      </c>
      <c r="B1652" s="19" t="s">
        <v>12</v>
      </c>
      <c r="C1652" s="19" t="s">
        <v>26</v>
      </c>
      <c r="D1652" s="19" t="s">
        <v>68</v>
      </c>
      <c r="E1652" s="19" t="s">
        <v>443</v>
      </c>
      <c r="F1652" s="19" t="s">
        <v>400</v>
      </c>
      <c r="G1652" s="19" t="s">
        <v>557</v>
      </c>
      <c r="H1652" s="19" t="s">
        <v>1</v>
      </c>
    </row>
    <row r="1653" spans="1:8" hidden="1" x14ac:dyDescent="0.25">
      <c r="A1653">
        <v>14718062</v>
      </c>
      <c r="B1653" s="19" t="s">
        <v>12</v>
      </c>
      <c r="C1653" s="19" t="s">
        <v>33</v>
      </c>
      <c r="D1653" s="19" t="s">
        <v>41</v>
      </c>
      <c r="E1653" s="19" t="s">
        <v>445</v>
      </c>
      <c r="F1653" s="19" t="s">
        <v>401</v>
      </c>
      <c r="G1653" s="19" t="s">
        <v>557</v>
      </c>
      <c r="H1653" s="19" t="s">
        <v>1</v>
      </c>
    </row>
    <row r="1654" spans="1:8" hidden="1" x14ac:dyDescent="0.25">
      <c r="A1654">
        <v>14718044</v>
      </c>
      <c r="B1654" s="19" t="s">
        <v>12</v>
      </c>
      <c r="C1654" s="19" t="s">
        <v>26</v>
      </c>
      <c r="D1654" s="19" t="s">
        <v>41</v>
      </c>
      <c r="E1654" s="19" t="s">
        <v>558</v>
      </c>
      <c r="F1654" s="19" t="s">
        <v>400</v>
      </c>
      <c r="G1654" s="19" t="s">
        <v>557</v>
      </c>
      <c r="H1654" s="19" t="s">
        <v>1</v>
      </c>
    </row>
    <row r="1655" spans="1:8" hidden="1" x14ac:dyDescent="0.25">
      <c r="A1655">
        <v>14717843</v>
      </c>
      <c r="B1655" s="19" t="s">
        <v>12</v>
      </c>
      <c r="C1655" s="19" t="s">
        <v>26</v>
      </c>
      <c r="D1655" s="19" t="s">
        <v>41</v>
      </c>
      <c r="E1655" s="19" t="s">
        <v>567</v>
      </c>
      <c r="F1655" s="19" t="s">
        <v>400</v>
      </c>
      <c r="G1655" s="19" t="s">
        <v>557</v>
      </c>
      <c r="H1655" s="19" t="s">
        <v>1</v>
      </c>
    </row>
    <row r="1656" spans="1:8" hidden="1" x14ac:dyDescent="0.25">
      <c r="A1656">
        <v>14717827</v>
      </c>
      <c r="B1656" s="19" t="s">
        <v>12</v>
      </c>
      <c r="C1656" s="19" t="s">
        <v>26</v>
      </c>
      <c r="D1656" s="19" t="s">
        <v>41</v>
      </c>
      <c r="E1656" s="19" t="s">
        <v>443</v>
      </c>
      <c r="F1656" s="19" t="s">
        <v>400</v>
      </c>
      <c r="G1656" s="19" t="s">
        <v>557</v>
      </c>
      <c r="H1656" s="19" t="s">
        <v>1</v>
      </c>
    </row>
    <row r="1657" spans="1:8" hidden="1" x14ac:dyDescent="0.25">
      <c r="A1657">
        <v>14717781</v>
      </c>
      <c r="B1657" s="19" t="s">
        <v>12</v>
      </c>
      <c r="C1657" s="19" t="s">
        <v>26</v>
      </c>
      <c r="D1657" s="19" t="s">
        <v>41</v>
      </c>
      <c r="E1657" s="19" t="s">
        <v>443</v>
      </c>
      <c r="F1657" s="19" t="s">
        <v>400</v>
      </c>
      <c r="G1657" s="19" t="s">
        <v>557</v>
      </c>
      <c r="H1657" s="19" t="s">
        <v>1</v>
      </c>
    </row>
    <row r="1658" spans="1:8" hidden="1" x14ac:dyDescent="0.25">
      <c r="A1658">
        <v>14717740</v>
      </c>
      <c r="B1658" s="19" t="s">
        <v>12</v>
      </c>
      <c r="C1658" s="19" t="s">
        <v>26</v>
      </c>
      <c r="D1658" s="19" t="s">
        <v>41</v>
      </c>
      <c r="E1658" s="19" t="s">
        <v>443</v>
      </c>
      <c r="F1658" s="19" t="s">
        <v>400</v>
      </c>
      <c r="G1658" s="19" t="s">
        <v>557</v>
      </c>
      <c r="H1658" s="19" t="s">
        <v>1</v>
      </c>
    </row>
    <row r="1659" spans="1:8" hidden="1" x14ac:dyDescent="0.25">
      <c r="A1659">
        <v>14717727</v>
      </c>
      <c r="B1659" s="19" t="s">
        <v>12</v>
      </c>
      <c r="C1659" s="19" t="s">
        <v>26</v>
      </c>
      <c r="D1659" s="19" t="s">
        <v>41</v>
      </c>
      <c r="E1659" s="19" t="s">
        <v>437</v>
      </c>
      <c r="F1659" s="19" t="s">
        <v>400</v>
      </c>
      <c r="G1659" s="19" t="s">
        <v>557</v>
      </c>
      <c r="H1659" s="19" t="s">
        <v>1</v>
      </c>
    </row>
    <row r="1660" spans="1:8" hidden="1" x14ac:dyDescent="0.25">
      <c r="A1660">
        <v>12602340</v>
      </c>
      <c r="B1660" s="19" t="s">
        <v>12</v>
      </c>
      <c r="C1660" s="19" t="s">
        <v>26</v>
      </c>
      <c r="D1660" s="19" t="s">
        <v>41</v>
      </c>
      <c r="E1660" s="19" t="s">
        <v>437</v>
      </c>
      <c r="F1660" s="19" t="s">
        <v>400</v>
      </c>
      <c r="G1660" s="19" t="s">
        <v>557</v>
      </c>
      <c r="H1660" s="19" t="s">
        <v>1</v>
      </c>
    </row>
    <row r="1661" spans="1:8" hidden="1" x14ac:dyDescent="0.25">
      <c r="A1661">
        <v>12602338</v>
      </c>
      <c r="B1661" s="19" t="s">
        <v>12</v>
      </c>
      <c r="C1661" s="19" t="s">
        <v>26</v>
      </c>
      <c r="D1661" s="19" t="s">
        <v>41</v>
      </c>
      <c r="E1661" s="19" t="s">
        <v>437</v>
      </c>
      <c r="F1661" s="19" t="s">
        <v>400</v>
      </c>
      <c r="G1661" s="19" t="s">
        <v>557</v>
      </c>
      <c r="H1661" s="19" t="s">
        <v>1</v>
      </c>
    </row>
    <row r="1662" spans="1:8" hidden="1" x14ac:dyDescent="0.25">
      <c r="A1662">
        <v>12602337</v>
      </c>
      <c r="B1662" s="19" t="s">
        <v>18</v>
      </c>
      <c r="C1662" s="19" t="s">
        <v>26</v>
      </c>
      <c r="D1662" s="19" t="s">
        <v>41</v>
      </c>
      <c r="E1662" s="19" t="s">
        <v>437</v>
      </c>
      <c r="F1662" s="19" t="s">
        <v>400</v>
      </c>
      <c r="G1662" s="19" t="s">
        <v>557</v>
      </c>
      <c r="H1662" s="19" t="s">
        <v>1</v>
      </c>
    </row>
    <row r="1663" spans="1:8" hidden="1" x14ac:dyDescent="0.25">
      <c r="A1663">
        <v>12602236</v>
      </c>
      <c r="B1663" s="19" t="s">
        <v>12</v>
      </c>
      <c r="C1663" s="19" t="s">
        <v>26</v>
      </c>
      <c r="D1663" s="19" t="s">
        <v>54</v>
      </c>
      <c r="E1663" s="19" t="s">
        <v>445</v>
      </c>
      <c r="F1663" s="19" t="s">
        <v>400</v>
      </c>
      <c r="G1663" s="19" t="s">
        <v>557</v>
      </c>
      <c r="H1663" s="19" t="s">
        <v>1</v>
      </c>
    </row>
    <row r="1664" spans="1:8" hidden="1" x14ac:dyDescent="0.25">
      <c r="A1664">
        <v>12602228</v>
      </c>
      <c r="B1664" s="19" t="s">
        <v>12</v>
      </c>
      <c r="C1664" s="19" t="s">
        <v>26</v>
      </c>
      <c r="D1664" s="19" t="s">
        <v>69</v>
      </c>
      <c r="E1664" s="19" t="s">
        <v>445</v>
      </c>
      <c r="F1664" s="19" t="s">
        <v>400</v>
      </c>
      <c r="G1664" s="19" t="s">
        <v>557</v>
      </c>
      <c r="H1664" s="19" t="s">
        <v>1</v>
      </c>
    </row>
    <row r="1665" spans="1:8" hidden="1" x14ac:dyDescent="0.25">
      <c r="A1665">
        <v>12602218</v>
      </c>
      <c r="B1665" s="19" t="s">
        <v>12</v>
      </c>
      <c r="C1665" s="19" t="s">
        <v>26</v>
      </c>
      <c r="D1665" s="19" t="s">
        <v>69</v>
      </c>
      <c r="E1665" s="19" t="s">
        <v>445</v>
      </c>
      <c r="F1665" s="19" t="s">
        <v>400</v>
      </c>
      <c r="G1665" s="19" t="s">
        <v>557</v>
      </c>
      <c r="H1665" s="19" t="s">
        <v>1</v>
      </c>
    </row>
    <row r="1666" spans="1:8" hidden="1" x14ac:dyDescent="0.25">
      <c r="A1666">
        <v>12602155</v>
      </c>
      <c r="B1666" s="19" t="s">
        <v>12</v>
      </c>
      <c r="C1666" s="19" t="s">
        <v>26</v>
      </c>
      <c r="D1666" s="19" t="s">
        <v>63</v>
      </c>
      <c r="E1666" s="19" t="s">
        <v>567</v>
      </c>
      <c r="F1666" s="19" t="s">
        <v>400</v>
      </c>
      <c r="G1666" s="19" t="s">
        <v>557</v>
      </c>
      <c r="H1666" s="19" t="s">
        <v>1</v>
      </c>
    </row>
    <row r="1667" spans="1:8" hidden="1" x14ac:dyDescent="0.25">
      <c r="A1667">
        <v>12602088</v>
      </c>
      <c r="B1667" s="19" t="s">
        <v>12</v>
      </c>
      <c r="C1667" s="19" t="s">
        <v>26</v>
      </c>
      <c r="D1667" s="19" t="s">
        <v>134</v>
      </c>
      <c r="E1667" s="19" t="s">
        <v>558</v>
      </c>
      <c r="F1667" s="19" t="s">
        <v>400</v>
      </c>
      <c r="G1667" s="19" t="s">
        <v>557</v>
      </c>
      <c r="H1667" s="19" t="s">
        <v>1</v>
      </c>
    </row>
    <row r="1668" spans="1:8" hidden="1" x14ac:dyDescent="0.25">
      <c r="A1668">
        <v>12602053</v>
      </c>
      <c r="B1668" s="19" t="s">
        <v>12</v>
      </c>
      <c r="C1668" s="19" t="s">
        <v>26</v>
      </c>
      <c r="D1668" s="19" t="s">
        <v>70</v>
      </c>
      <c r="E1668" s="19" t="s">
        <v>558</v>
      </c>
      <c r="F1668" s="19" t="s">
        <v>400</v>
      </c>
      <c r="G1668" s="19" t="s">
        <v>557</v>
      </c>
      <c r="H1668" s="19" t="s">
        <v>1</v>
      </c>
    </row>
    <row r="1669" spans="1:8" hidden="1" x14ac:dyDescent="0.25">
      <c r="A1669">
        <v>12602039</v>
      </c>
      <c r="B1669" s="19" t="s">
        <v>18</v>
      </c>
      <c r="C1669" s="19" t="s">
        <v>26</v>
      </c>
      <c r="D1669" s="19" t="s">
        <v>70</v>
      </c>
      <c r="E1669" s="19" t="s">
        <v>558</v>
      </c>
      <c r="F1669" s="19" t="s">
        <v>400</v>
      </c>
      <c r="G1669" s="19" t="s">
        <v>557</v>
      </c>
      <c r="H1669" s="19" t="s">
        <v>1</v>
      </c>
    </row>
    <row r="1670" spans="1:8" hidden="1" x14ac:dyDescent="0.25">
      <c r="A1670">
        <v>12602027</v>
      </c>
      <c r="B1670" s="19" t="s">
        <v>18</v>
      </c>
      <c r="C1670" s="19" t="s">
        <v>26</v>
      </c>
      <c r="D1670" s="19" t="s">
        <v>63</v>
      </c>
      <c r="E1670" s="19" t="s">
        <v>558</v>
      </c>
      <c r="F1670" s="19" t="s">
        <v>400</v>
      </c>
      <c r="G1670" s="19" t="s">
        <v>557</v>
      </c>
      <c r="H1670" s="19" t="s">
        <v>1</v>
      </c>
    </row>
    <row r="1671" spans="1:8" hidden="1" x14ac:dyDescent="0.25">
      <c r="A1671">
        <v>11189268</v>
      </c>
      <c r="B1671" s="19" t="s">
        <v>12</v>
      </c>
      <c r="C1671" s="19" t="s">
        <v>33</v>
      </c>
      <c r="D1671" s="19" t="s">
        <v>91</v>
      </c>
      <c r="E1671" s="19" t="s">
        <v>565</v>
      </c>
      <c r="F1671" s="19" t="s">
        <v>401</v>
      </c>
      <c r="G1671" s="19" t="s">
        <v>557</v>
      </c>
      <c r="H1671" s="19" t="s">
        <v>1</v>
      </c>
    </row>
    <row r="1672" spans="1:8" hidden="1" x14ac:dyDescent="0.25">
      <c r="A1672">
        <v>8937721</v>
      </c>
      <c r="B1672" s="19" t="s">
        <v>12</v>
      </c>
      <c r="C1672" s="19" t="s">
        <v>26</v>
      </c>
      <c r="D1672" s="19" t="s">
        <v>70</v>
      </c>
      <c r="E1672" s="19" t="s">
        <v>566</v>
      </c>
      <c r="F1672" s="19" t="s">
        <v>400</v>
      </c>
      <c r="G1672" s="19" t="s">
        <v>557</v>
      </c>
      <c r="H1672" s="19" t="s">
        <v>1</v>
      </c>
    </row>
    <row r="1673" spans="1:8" hidden="1" x14ac:dyDescent="0.25">
      <c r="A1673">
        <v>8937608</v>
      </c>
      <c r="B1673" s="19" t="s">
        <v>18</v>
      </c>
      <c r="C1673" s="19" t="s">
        <v>26</v>
      </c>
      <c r="D1673" s="19" t="s">
        <v>263</v>
      </c>
      <c r="E1673" s="19" t="s">
        <v>566</v>
      </c>
      <c r="F1673" s="19" t="s">
        <v>400</v>
      </c>
      <c r="G1673" s="19" t="s">
        <v>557</v>
      </c>
      <c r="H1673" s="19" t="s">
        <v>1</v>
      </c>
    </row>
    <row r="1674" spans="1:8" hidden="1" x14ac:dyDescent="0.25">
      <c r="A1674">
        <v>8937567</v>
      </c>
      <c r="B1674" s="19" t="s">
        <v>12</v>
      </c>
      <c r="C1674" s="19" t="s">
        <v>26</v>
      </c>
      <c r="D1674" s="19" t="s">
        <v>135</v>
      </c>
      <c r="E1674" s="19" t="s">
        <v>566</v>
      </c>
      <c r="F1674" s="19" t="s">
        <v>400</v>
      </c>
      <c r="G1674" s="19" t="s">
        <v>557</v>
      </c>
      <c r="H1674" s="19" t="s">
        <v>1</v>
      </c>
    </row>
    <row r="1675" spans="1:8" hidden="1" x14ac:dyDescent="0.25">
      <c r="A1675">
        <v>8935787</v>
      </c>
      <c r="B1675" s="19" t="s">
        <v>79</v>
      </c>
      <c r="C1675" s="19" t="s">
        <v>26</v>
      </c>
      <c r="D1675" s="19" t="s">
        <v>110</v>
      </c>
      <c r="E1675" s="19" t="s">
        <v>567</v>
      </c>
      <c r="F1675" s="19" t="s">
        <v>400</v>
      </c>
      <c r="G1675" s="19" t="s">
        <v>557</v>
      </c>
      <c r="H1675" s="19" t="s">
        <v>1</v>
      </c>
    </row>
    <row r="1676" spans="1:8" hidden="1" x14ac:dyDescent="0.25">
      <c r="A1676">
        <v>8935725</v>
      </c>
      <c r="B1676" s="19" t="s">
        <v>18</v>
      </c>
      <c r="C1676" s="19" t="s">
        <v>26</v>
      </c>
      <c r="D1676" s="19" t="s">
        <v>214</v>
      </c>
      <c r="E1676" s="19" t="s">
        <v>561</v>
      </c>
      <c r="F1676" s="19" t="s">
        <v>400</v>
      </c>
      <c r="G1676" s="19" t="s">
        <v>557</v>
      </c>
      <c r="H1676" s="19" t="s">
        <v>1</v>
      </c>
    </row>
    <row r="1677" spans="1:8" hidden="1" x14ac:dyDescent="0.25">
      <c r="A1677">
        <v>8933589</v>
      </c>
      <c r="B1677" s="19" t="s">
        <v>12</v>
      </c>
      <c r="C1677" s="19" t="s">
        <v>26</v>
      </c>
      <c r="D1677" s="19" t="s">
        <v>42</v>
      </c>
      <c r="E1677" s="19" t="s">
        <v>437</v>
      </c>
      <c r="F1677" s="19" t="s">
        <v>400</v>
      </c>
      <c r="G1677" s="19" t="s">
        <v>557</v>
      </c>
      <c r="H1677" s="19" t="s">
        <v>1</v>
      </c>
    </row>
    <row r="1678" spans="1:8" hidden="1" x14ac:dyDescent="0.25">
      <c r="A1678">
        <v>8933588</v>
      </c>
      <c r="B1678" s="19" t="s">
        <v>109</v>
      </c>
      <c r="C1678" s="19" t="s">
        <v>26</v>
      </c>
      <c r="D1678" s="19" t="s">
        <v>42</v>
      </c>
      <c r="E1678" s="19" t="s">
        <v>437</v>
      </c>
      <c r="F1678" s="19" t="s">
        <v>400</v>
      </c>
      <c r="G1678" s="19" t="s">
        <v>557</v>
      </c>
      <c r="H1678" s="19" t="s">
        <v>1</v>
      </c>
    </row>
    <row r="1679" spans="1:8" hidden="1" x14ac:dyDescent="0.25">
      <c r="A1679">
        <v>8933566</v>
      </c>
      <c r="B1679" s="19" t="s">
        <v>12</v>
      </c>
      <c r="C1679" s="19" t="s">
        <v>26</v>
      </c>
      <c r="D1679" s="19" t="s">
        <v>214</v>
      </c>
      <c r="E1679" s="19" t="s">
        <v>445</v>
      </c>
      <c r="F1679" s="19" t="s">
        <v>400</v>
      </c>
      <c r="G1679" s="19" t="s">
        <v>557</v>
      </c>
      <c r="H1679" s="19" t="s">
        <v>1</v>
      </c>
    </row>
    <row r="1680" spans="1:8" hidden="1" x14ac:dyDescent="0.25">
      <c r="A1680">
        <v>8933506</v>
      </c>
      <c r="B1680" s="19" t="s">
        <v>18</v>
      </c>
      <c r="C1680" s="19" t="s">
        <v>26</v>
      </c>
      <c r="D1680" s="19" t="s">
        <v>54</v>
      </c>
      <c r="E1680" s="19" t="s">
        <v>558</v>
      </c>
      <c r="F1680" s="19" t="s">
        <v>400</v>
      </c>
      <c r="G1680" s="19" t="s">
        <v>557</v>
      </c>
      <c r="H1680" s="19" t="s">
        <v>1</v>
      </c>
    </row>
    <row r="1681" spans="1:8" hidden="1" x14ac:dyDescent="0.25">
      <c r="A1681">
        <v>8933370</v>
      </c>
      <c r="B1681" s="19" t="s">
        <v>18</v>
      </c>
      <c r="C1681" s="19" t="s">
        <v>26</v>
      </c>
      <c r="D1681" s="19" t="s">
        <v>327</v>
      </c>
      <c r="E1681" s="19" t="s">
        <v>558</v>
      </c>
      <c r="F1681" s="19" t="s">
        <v>400</v>
      </c>
      <c r="G1681" s="19" t="s">
        <v>557</v>
      </c>
      <c r="H1681" s="19" t="s">
        <v>1</v>
      </c>
    </row>
    <row r="1682" spans="1:8" hidden="1" x14ac:dyDescent="0.25">
      <c r="A1682">
        <v>8933282</v>
      </c>
      <c r="B1682" s="19" t="s">
        <v>12</v>
      </c>
      <c r="C1682" s="19" t="s">
        <v>26</v>
      </c>
      <c r="D1682" s="19" t="s">
        <v>74</v>
      </c>
      <c r="E1682" s="19" t="s">
        <v>437</v>
      </c>
      <c r="F1682" s="19" t="s">
        <v>400</v>
      </c>
      <c r="G1682" s="19" t="s">
        <v>557</v>
      </c>
      <c r="H1682" s="19" t="s">
        <v>1</v>
      </c>
    </row>
    <row r="1683" spans="1:8" hidden="1" x14ac:dyDescent="0.25">
      <c r="A1683">
        <v>8933265</v>
      </c>
      <c r="B1683" s="19" t="s">
        <v>12</v>
      </c>
      <c r="C1683" s="19" t="s">
        <v>33</v>
      </c>
      <c r="D1683" s="19" t="s">
        <v>213</v>
      </c>
      <c r="E1683" s="19" t="s">
        <v>565</v>
      </c>
      <c r="F1683" s="19" t="s">
        <v>401</v>
      </c>
      <c r="G1683" s="19" t="s">
        <v>557</v>
      </c>
      <c r="H1683" s="19" t="s">
        <v>1</v>
      </c>
    </row>
    <row r="1684" spans="1:8" hidden="1" x14ac:dyDescent="0.25">
      <c r="A1684">
        <v>8392777</v>
      </c>
      <c r="B1684" s="19" t="s">
        <v>12</v>
      </c>
      <c r="C1684" s="19" t="s">
        <v>26</v>
      </c>
      <c r="D1684" s="19" t="s">
        <v>140</v>
      </c>
      <c r="E1684" s="19" t="s">
        <v>456</v>
      </c>
      <c r="F1684" s="19" t="s">
        <v>400</v>
      </c>
      <c r="G1684" s="19" t="s">
        <v>557</v>
      </c>
      <c r="H1684" s="19" t="s">
        <v>1</v>
      </c>
    </row>
    <row r="1685" spans="1:8" hidden="1" x14ac:dyDescent="0.25">
      <c r="A1685">
        <v>8392585</v>
      </c>
      <c r="B1685" s="19" t="s">
        <v>12</v>
      </c>
      <c r="C1685" s="19" t="s">
        <v>33</v>
      </c>
      <c r="D1685" s="19" t="s">
        <v>141</v>
      </c>
      <c r="E1685" s="19" t="s">
        <v>437</v>
      </c>
      <c r="F1685" s="19" t="s">
        <v>401</v>
      </c>
      <c r="G1685" s="19" t="s">
        <v>557</v>
      </c>
      <c r="H1685" s="19" t="s">
        <v>1</v>
      </c>
    </row>
    <row r="1686" spans="1:8" hidden="1" x14ac:dyDescent="0.25">
      <c r="A1686">
        <v>8392549</v>
      </c>
      <c r="B1686" s="19" t="s">
        <v>12</v>
      </c>
      <c r="C1686" s="19" t="s">
        <v>26</v>
      </c>
      <c r="D1686" s="19" t="s">
        <v>141</v>
      </c>
      <c r="E1686" s="19" t="s">
        <v>437</v>
      </c>
      <c r="F1686" s="19" t="s">
        <v>400</v>
      </c>
      <c r="G1686" s="19" t="s">
        <v>557</v>
      </c>
      <c r="H1686" s="19" t="s">
        <v>1</v>
      </c>
    </row>
    <row r="1687" spans="1:8" hidden="1" x14ac:dyDescent="0.25">
      <c r="A1687">
        <v>8392547</v>
      </c>
      <c r="B1687" s="19" t="s">
        <v>12</v>
      </c>
      <c r="C1687" s="19" t="s">
        <v>26</v>
      </c>
      <c r="D1687" s="19" t="s">
        <v>328</v>
      </c>
      <c r="E1687" s="19" t="s">
        <v>437</v>
      </c>
      <c r="F1687" s="19" t="s">
        <v>400</v>
      </c>
      <c r="G1687" s="19" t="s">
        <v>557</v>
      </c>
      <c r="H1687" s="19" t="s">
        <v>1</v>
      </c>
    </row>
    <row r="1688" spans="1:8" hidden="1" x14ac:dyDescent="0.25">
      <c r="A1688">
        <v>8392511</v>
      </c>
      <c r="B1688" s="19" t="s">
        <v>12</v>
      </c>
      <c r="C1688" s="19" t="s">
        <v>26</v>
      </c>
      <c r="D1688" s="19" t="s">
        <v>142</v>
      </c>
      <c r="E1688" s="19" t="s">
        <v>437</v>
      </c>
      <c r="F1688" s="19" t="s">
        <v>400</v>
      </c>
      <c r="G1688" s="19" t="s">
        <v>557</v>
      </c>
      <c r="H1688" s="19" t="s">
        <v>1</v>
      </c>
    </row>
    <row r="1689" spans="1:8" hidden="1" x14ac:dyDescent="0.25">
      <c r="A1689">
        <v>8392507</v>
      </c>
      <c r="B1689" s="19" t="s">
        <v>79</v>
      </c>
      <c r="C1689" s="19" t="s">
        <v>26</v>
      </c>
      <c r="D1689" s="19" t="s">
        <v>275</v>
      </c>
      <c r="E1689" s="19" t="s">
        <v>437</v>
      </c>
      <c r="F1689" s="19" t="s">
        <v>400</v>
      </c>
      <c r="G1689" s="19" t="s">
        <v>557</v>
      </c>
      <c r="H1689" s="19" t="s">
        <v>1</v>
      </c>
    </row>
    <row r="1690" spans="1:8" hidden="1" x14ac:dyDescent="0.25">
      <c r="A1690">
        <v>8392476</v>
      </c>
      <c r="B1690" s="19" t="s">
        <v>79</v>
      </c>
      <c r="C1690" s="19" t="s">
        <v>26</v>
      </c>
      <c r="D1690" s="19" t="s">
        <v>328</v>
      </c>
      <c r="E1690" s="19" t="s">
        <v>437</v>
      </c>
      <c r="F1690" s="19" t="s">
        <v>400</v>
      </c>
      <c r="G1690" s="19" t="s">
        <v>557</v>
      </c>
      <c r="H1690" s="19" t="s">
        <v>1</v>
      </c>
    </row>
    <row r="1691" spans="1:8" hidden="1" x14ac:dyDescent="0.25">
      <c r="A1691">
        <v>8392413</v>
      </c>
      <c r="B1691" s="19" t="s">
        <v>24</v>
      </c>
      <c r="C1691" s="19" t="s">
        <v>26</v>
      </c>
      <c r="D1691" s="19" t="s">
        <v>167</v>
      </c>
      <c r="E1691" s="19" t="s">
        <v>437</v>
      </c>
      <c r="F1691" s="19" t="s">
        <v>400</v>
      </c>
      <c r="G1691" s="19" t="s">
        <v>557</v>
      </c>
      <c r="H1691" s="19" t="s">
        <v>1</v>
      </c>
    </row>
    <row r="1692" spans="1:8" hidden="1" x14ac:dyDescent="0.25">
      <c r="A1692">
        <v>8199554</v>
      </c>
      <c r="B1692" s="19" t="s">
        <v>12</v>
      </c>
      <c r="C1692" s="19" t="s">
        <v>26</v>
      </c>
      <c r="D1692" s="19" t="s">
        <v>295</v>
      </c>
      <c r="E1692" s="19" t="s">
        <v>561</v>
      </c>
      <c r="F1692" s="19" t="s">
        <v>400</v>
      </c>
      <c r="G1692" s="19" t="s">
        <v>557</v>
      </c>
      <c r="H1692" s="19" t="s">
        <v>1</v>
      </c>
    </row>
    <row r="1693" spans="1:8" hidden="1" x14ac:dyDescent="0.25">
      <c r="A1693">
        <v>8161606</v>
      </c>
      <c r="B1693" s="19" t="s">
        <v>12</v>
      </c>
      <c r="C1693" s="19" t="s">
        <v>33</v>
      </c>
      <c r="D1693" s="19" t="s">
        <v>276</v>
      </c>
      <c r="E1693" s="19" t="s">
        <v>565</v>
      </c>
      <c r="F1693" s="19" t="s">
        <v>401</v>
      </c>
      <c r="G1693" s="19" t="s">
        <v>557</v>
      </c>
      <c r="H1693" s="19" t="s">
        <v>1</v>
      </c>
    </row>
    <row r="1694" spans="1:8" hidden="1" x14ac:dyDescent="0.25">
      <c r="A1694">
        <v>8092376</v>
      </c>
      <c r="B1694" s="19" t="s">
        <v>12</v>
      </c>
      <c r="C1694" s="19" t="s">
        <v>26</v>
      </c>
      <c r="D1694" s="19" t="s">
        <v>167</v>
      </c>
      <c r="E1694" s="19" t="s">
        <v>561</v>
      </c>
      <c r="F1694" s="19" t="s">
        <v>400</v>
      </c>
      <c r="G1694" s="19" t="s">
        <v>557</v>
      </c>
      <c r="H1694" s="19" t="s">
        <v>1</v>
      </c>
    </row>
    <row r="1695" spans="1:8" hidden="1" x14ac:dyDescent="0.25">
      <c r="A1695">
        <v>8092375</v>
      </c>
      <c r="B1695" s="19" t="s">
        <v>24</v>
      </c>
      <c r="C1695" s="19" t="s">
        <v>26</v>
      </c>
      <c r="D1695" s="19" t="s">
        <v>216</v>
      </c>
      <c r="E1695" s="19" t="s">
        <v>561</v>
      </c>
      <c r="F1695" s="19" t="s">
        <v>400</v>
      </c>
      <c r="G1695" s="19" t="s">
        <v>557</v>
      </c>
      <c r="H1695" s="19" t="s">
        <v>1</v>
      </c>
    </row>
    <row r="1696" spans="1:8" hidden="1" x14ac:dyDescent="0.25">
      <c r="A1696">
        <v>8092373</v>
      </c>
      <c r="B1696" s="19" t="s">
        <v>12</v>
      </c>
      <c r="C1696" s="19" t="s">
        <v>26</v>
      </c>
      <c r="D1696" s="19" t="s">
        <v>180</v>
      </c>
      <c r="E1696" s="19" t="s">
        <v>437</v>
      </c>
      <c r="F1696" s="19" t="s">
        <v>400</v>
      </c>
      <c r="G1696" s="19" t="s">
        <v>557</v>
      </c>
      <c r="H1696" s="19" t="s">
        <v>1</v>
      </c>
    </row>
    <row r="1697" spans="1:8" hidden="1" x14ac:dyDescent="0.25">
      <c r="A1697">
        <v>8092370</v>
      </c>
      <c r="B1697" s="19" t="s">
        <v>18</v>
      </c>
      <c r="C1697" s="19" t="s">
        <v>26</v>
      </c>
      <c r="D1697" s="19" t="s">
        <v>180</v>
      </c>
      <c r="E1697" s="19" t="s">
        <v>561</v>
      </c>
      <c r="F1697" s="19" t="s">
        <v>400</v>
      </c>
      <c r="G1697" s="19" t="s">
        <v>557</v>
      </c>
      <c r="H1697" s="19" t="s">
        <v>1</v>
      </c>
    </row>
    <row r="1698" spans="1:8" hidden="1" x14ac:dyDescent="0.25">
      <c r="A1698">
        <v>8092367</v>
      </c>
      <c r="B1698" s="19" t="s">
        <v>79</v>
      </c>
      <c r="C1698" s="19" t="s">
        <v>26</v>
      </c>
      <c r="D1698" s="19" t="s">
        <v>216</v>
      </c>
      <c r="E1698" s="19" t="s">
        <v>561</v>
      </c>
      <c r="F1698" s="19" t="s">
        <v>400</v>
      </c>
      <c r="G1698" s="19" t="s">
        <v>557</v>
      </c>
      <c r="H1698" s="19" t="s">
        <v>1</v>
      </c>
    </row>
    <row r="1699" spans="1:8" hidden="1" x14ac:dyDescent="0.25">
      <c r="A1699">
        <v>8092366</v>
      </c>
      <c r="B1699" s="19" t="s">
        <v>18</v>
      </c>
      <c r="C1699" s="19" t="s">
        <v>26</v>
      </c>
      <c r="D1699" s="19" t="s">
        <v>216</v>
      </c>
      <c r="E1699" s="19" t="s">
        <v>561</v>
      </c>
      <c r="F1699" s="19" t="s">
        <v>400</v>
      </c>
      <c r="G1699" s="19" t="s">
        <v>557</v>
      </c>
      <c r="H1699" s="19" t="s">
        <v>1</v>
      </c>
    </row>
    <row r="1700" spans="1:8" hidden="1" x14ac:dyDescent="0.25">
      <c r="A1700">
        <v>8092361</v>
      </c>
      <c r="B1700" s="19" t="s">
        <v>79</v>
      </c>
      <c r="C1700" s="19" t="s">
        <v>26</v>
      </c>
      <c r="D1700" s="19" t="s">
        <v>180</v>
      </c>
      <c r="E1700" s="19" t="s">
        <v>561</v>
      </c>
      <c r="F1700" s="19" t="s">
        <v>400</v>
      </c>
      <c r="G1700" s="19" t="s">
        <v>557</v>
      </c>
      <c r="H1700" s="19" t="s">
        <v>1</v>
      </c>
    </row>
    <row r="1701" spans="1:8" hidden="1" x14ac:dyDescent="0.25">
      <c r="A1701">
        <v>8092354</v>
      </c>
      <c r="B1701" s="19" t="s">
        <v>12</v>
      </c>
      <c r="C1701" s="19" t="s">
        <v>26</v>
      </c>
      <c r="D1701" s="19" t="s">
        <v>216</v>
      </c>
      <c r="E1701" s="19" t="s">
        <v>437</v>
      </c>
      <c r="F1701" s="19" t="s">
        <v>400</v>
      </c>
      <c r="G1701" s="19" t="s">
        <v>557</v>
      </c>
      <c r="H1701" s="19" t="s">
        <v>1</v>
      </c>
    </row>
    <row r="1702" spans="1:8" hidden="1" x14ac:dyDescent="0.25">
      <c r="A1702">
        <v>8092345</v>
      </c>
      <c r="B1702" s="19" t="s">
        <v>18</v>
      </c>
      <c r="C1702" s="19" t="s">
        <v>26</v>
      </c>
      <c r="D1702" s="19" t="s">
        <v>180</v>
      </c>
      <c r="E1702" s="19" t="s">
        <v>561</v>
      </c>
      <c r="F1702" s="19" t="s">
        <v>400</v>
      </c>
      <c r="G1702" s="19" t="s">
        <v>557</v>
      </c>
      <c r="H1702" s="19" t="s">
        <v>1</v>
      </c>
    </row>
    <row r="1703" spans="1:8" hidden="1" x14ac:dyDescent="0.25">
      <c r="A1703">
        <v>8092339</v>
      </c>
      <c r="B1703" s="19" t="s">
        <v>12</v>
      </c>
      <c r="C1703" s="19" t="s">
        <v>26</v>
      </c>
      <c r="D1703" s="19" t="s">
        <v>145</v>
      </c>
      <c r="E1703" s="19" t="s">
        <v>437</v>
      </c>
      <c r="F1703" s="19" t="s">
        <v>400</v>
      </c>
      <c r="G1703" s="19" t="s">
        <v>557</v>
      </c>
      <c r="H1703" s="19" t="s">
        <v>1</v>
      </c>
    </row>
    <row r="1704" spans="1:8" hidden="1" x14ac:dyDescent="0.25">
      <c r="A1704">
        <v>8092336</v>
      </c>
      <c r="B1704" s="19" t="s">
        <v>12</v>
      </c>
      <c r="C1704" s="19" t="s">
        <v>26</v>
      </c>
      <c r="D1704" s="19" t="s">
        <v>216</v>
      </c>
      <c r="E1704" s="19" t="s">
        <v>437</v>
      </c>
      <c r="F1704" s="19" t="s">
        <v>400</v>
      </c>
      <c r="G1704" s="19" t="s">
        <v>557</v>
      </c>
      <c r="H1704" s="19" t="s">
        <v>1</v>
      </c>
    </row>
    <row r="1705" spans="1:8" hidden="1" x14ac:dyDescent="0.25">
      <c r="A1705">
        <v>8092335</v>
      </c>
      <c r="B1705" s="19" t="s">
        <v>79</v>
      </c>
      <c r="C1705" s="19" t="s">
        <v>26</v>
      </c>
      <c r="D1705" s="19" t="s">
        <v>216</v>
      </c>
      <c r="E1705" s="19" t="s">
        <v>437</v>
      </c>
      <c r="F1705" s="19" t="s">
        <v>400</v>
      </c>
      <c r="G1705" s="19" t="s">
        <v>557</v>
      </c>
      <c r="H1705" s="19" t="s">
        <v>1</v>
      </c>
    </row>
    <row r="1706" spans="1:8" hidden="1" x14ac:dyDescent="0.25">
      <c r="A1706">
        <v>8092334</v>
      </c>
      <c r="B1706" s="19" t="s">
        <v>79</v>
      </c>
      <c r="C1706" s="19" t="s">
        <v>26</v>
      </c>
      <c r="D1706" s="19" t="s">
        <v>216</v>
      </c>
      <c r="E1706" s="19" t="s">
        <v>561</v>
      </c>
      <c r="F1706" s="19" t="s">
        <v>400</v>
      </c>
      <c r="G1706" s="19" t="s">
        <v>557</v>
      </c>
      <c r="H1706" s="19" t="s">
        <v>1</v>
      </c>
    </row>
    <row r="1707" spans="1:8" hidden="1" x14ac:dyDescent="0.25">
      <c r="A1707">
        <v>8092327</v>
      </c>
      <c r="B1707" s="19" t="s">
        <v>12</v>
      </c>
      <c r="C1707" s="19" t="s">
        <v>26</v>
      </c>
      <c r="D1707" s="19" t="s">
        <v>180</v>
      </c>
      <c r="E1707" s="19" t="s">
        <v>437</v>
      </c>
      <c r="F1707" s="19" t="s">
        <v>400</v>
      </c>
      <c r="G1707" s="19" t="s">
        <v>557</v>
      </c>
      <c r="H1707" s="19" t="s">
        <v>1</v>
      </c>
    </row>
    <row r="1708" spans="1:8" hidden="1" x14ac:dyDescent="0.25">
      <c r="A1708">
        <v>8092320</v>
      </c>
      <c r="B1708" s="19" t="s">
        <v>18</v>
      </c>
      <c r="C1708" s="19" t="s">
        <v>26</v>
      </c>
      <c r="D1708" s="19" t="s">
        <v>180</v>
      </c>
      <c r="E1708" s="19" t="s">
        <v>437</v>
      </c>
      <c r="F1708" s="19" t="s">
        <v>400</v>
      </c>
      <c r="G1708" s="19" t="s">
        <v>557</v>
      </c>
      <c r="H1708" s="19" t="s">
        <v>1</v>
      </c>
    </row>
    <row r="1709" spans="1:8" hidden="1" x14ac:dyDescent="0.25">
      <c r="A1709">
        <v>8092316</v>
      </c>
      <c r="B1709" s="19" t="s">
        <v>24</v>
      </c>
      <c r="C1709" s="19" t="s">
        <v>26</v>
      </c>
      <c r="D1709" s="19" t="s">
        <v>180</v>
      </c>
      <c r="E1709" s="19" t="s">
        <v>437</v>
      </c>
      <c r="F1709" s="19" t="s">
        <v>400</v>
      </c>
      <c r="G1709" s="19" t="s">
        <v>557</v>
      </c>
      <c r="H1709" s="19" t="s">
        <v>1</v>
      </c>
    </row>
    <row r="1710" spans="1:8" hidden="1" x14ac:dyDescent="0.25">
      <c r="A1710">
        <v>8092302</v>
      </c>
      <c r="B1710" s="19" t="s">
        <v>24</v>
      </c>
      <c r="C1710" s="19" t="s">
        <v>26</v>
      </c>
      <c r="D1710" s="19" t="s">
        <v>180</v>
      </c>
      <c r="E1710" s="19" t="s">
        <v>561</v>
      </c>
      <c r="F1710" s="19" t="s">
        <v>400</v>
      </c>
      <c r="G1710" s="19" t="s">
        <v>557</v>
      </c>
      <c r="H1710" s="19" t="s">
        <v>1</v>
      </c>
    </row>
    <row r="1711" spans="1:8" hidden="1" x14ac:dyDescent="0.25">
      <c r="A1711">
        <v>8092291</v>
      </c>
      <c r="B1711" s="19" t="s">
        <v>24</v>
      </c>
      <c r="C1711" s="19" t="s">
        <v>26</v>
      </c>
      <c r="D1711" s="19" t="s">
        <v>329</v>
      </c>
      <c r="E1711" s="19" t="s">
        <v>437</v>
      </c>
      <c r="F1711" s="19" t="s">
        <v>400</v>
      </c>
      <c r="G1711" s="19" t="s">
        <v>557</v>
      </c>
      <c r="H1711" s="19" t="s">
        <v>1</v>
      </c>
    </row>
    <row r="1712" spans="1:8" hidden="1" x14ac:dyDescent="0.25">
      <c r="A1712">
        <v>8092178</v>
      </c>
      <c r="B1712" s="19" t="s">
        <v>24</v>
      </c>
      <c r="C1712" s="19" t="s">
        <v>26</v>
      </c>
      <c r="D1712" s="19" t="s">
        <v>279</v>
      </c>
      <c r="E1712" s="19" t="s">
        <v>437</v>
      </c>
      <c r="F1712" s="19" t="s">
        <v>400</v>
      </c>
      <c r="G1712" s="19" t="s">
        <v>557</v>
      </c>
      <c r="H1712" s="19" t="s">
        <v>1</v>
      </c>
    </row>
    <row r="1713" spans="1:8" hidden="1" x14ac:dyDescent="0.25">
      <c r="A1713">
        <v>8092114</v>
      </c>
      <c r="B1713" s="19" t="s">
        <v>12</v>
      </c>
      <c r="C1713" s="19" t="s">
        <v>26</v>
      </c>
      <c r="D1713" s="19" t="s">
        <v>280</v>
      </c>
      <c r="E1713" s="19" t="s">
        <v>437</v>
      </c>
      <c r="F1713" s="19" t="s">
        <v>400</v>
      </c>
      <c r="G1713" s="19" t="s">
        <v>557</v>
      </c>
      <c r="H1713" s="19" t="s">
        <v>1</v>
      </c>
    </row>
    <row r="1714" spans="1:8" hidden="1" x14ac:dyDescent="0.25">
      <c r="A1714">
        <v>8092111</v>
      </c>
      <c r="B1714" s="19" t="s">
        <v>18</v>
      </c>
      <c r="C1714" s="19" t="s">
        <v>26</v>
      </c>
      <c r="D1714" s="19" t="s">
        <v>216</v>
      </c>
      <c r="E1714" s="19" t="s">
        <v>437</v>
      </c>
      <c r="F1714" s="19" t="s">
        <v>400</v>
      </c>
      <c r="G1714" s="19" t="s">
        <v>557</v>
      </c>
      <c r="H1714" s="19" t="s">
        <v>1</v>
      </c>
    </row>
    <row r="1715" spans="1:8" hidden="1" x14ac:dyDescent="0.25">
      <c r="A1715">
        <v>8092013</v>
      </c>
      <c r="B1715" s="19" t="s">
        <v>24</v>
      </c>
      <c r="C1715" s="19" t="s">
        <v>26</v>
      </c>
      <c r="D1715" s="19" t="s">
        <v>217</v>
      </c>
      <c r="E1715" s="19" t="s">
        <v>437</v>
      </c>
      <c r="F1715" s="19" t="s">
        <v>400</v>
      </c>
      <c r="G1715" s="19" t="s">
        <v>557</v>
      </c>
      <c r="H1715" s="19" t="s">
        <v>1</v>
      </c>
    </row>
    <row r="1716" spans="1:8" hidden="1" x14ac:dyDescent="0.25">
      <c r="A1716">
        <v>6155146</v>
      </c>
      <c r="B1716" s="19" t="s">
        <v>24</v>
      </c>
      <c r="C1716" s="19" t="s">
        <v>26</v>
      </c>
      <c r="D1716" s="19" t="s">
        <v>180</v>
      </c>
      <c r="E1716" s="19" t="s">
        <v>437</v>
      </c>
      <c r="F1716" s="19" t="s">
        <v>400</v>
      </c>
      <c r="G1716" s="19" t="s">
        <v>557</v>
      </c>
      <c r="H1716" s="19" t="s">
        <v>1</v>
      </c>
    </row>
    <row r="1717" spans="1:8" hidden="1" x14ac:dyDescent="0.25">
      <c r="A1717">
        <v>6155049</v>
      </c>
      <c r="B1717" s="19" t="s">
        <v>79</v>
      </c>
      <c r="C1717" s="19" t="s">
        <v>26</v>
      </c>
      <c r="D1717" s="19" t="s">
        <v>229</v>
      </c>
      <c r="E1717" s="19" t="s">
        <v>561</v>
      </c>
      <c r="F1717" s="19" t="s">
        <v>400</v>
      </c>
      <c r="G1717" s="19" t="s">
        <v>557</v>
      </c>
      <c r="H1717" s="19" t="s">
        <v>1</v>
      </c>
    </row>
    <row r="1718" spans="1:8" hidden="1" x14ac:dyDescent="0.25">
      <c r="A1718">
        <v>6155024</v>
      </c>
      <c r="B1718" s="19" t="s">
        <v>24</v>
      </c>
      <c r="C1718" s="19" t="s">
        <v>26</v>
      </c>
      <c r="D1718" s="19" t="s">
        <v>75</v>
      </c>
      <c r="E1718" s="19" t="s">
        <v>561</v>
      </c>
      <c r="F1718" s="19" t="s">
        <v>400</v>
      </c>
      <c r="G1718" s="19" t="s">
        <v>557</v>
      </c>
      <c r="H1718" s="19" t="s">
        <v>1</v>
      </c>
    </row>
    <row r="1719" spans="1:8" hidden="1" x14ac:dyDescent="0.25">
      <c r="A1719">
        <v>6155019</v>
      </c>
      <c r="B1719" s="19" t="s">
        <v>24</v>
      </c>
      <c r="C1719" s="19" t="s">
        <v>26</v>
      </c>
      <c r="D1719" s="19" t="s">
        <v>75</v>
      </c>
      <c r="E1719" s="19" t="s">
        <v>561</v>
      </c>
      <c r="F1719" s="19" t="s">
        <v>400</v>
      </c>
      <c r="G1719" s="19" t="s">
        <v>557</v>
      </c>
      <c r="H1719" s="19" t="s">
        <v>1</v>
      </c>
    </row>
    <row r="1720" spans="1:8" hidden="1" x14ac:dyDescent="0.25">
      <c r="A1720">
        <v>6155010</v>
      </c>
      <c r="B1720" s="19" t="s">
        <v>18</v>
      </c>
      <c r="C1720" s="19" t="s">
        <v>26</v>
      </c>
      <c r="D1720" s="19" t="s">
        <v>75</v>
      </c>
      <c r="E1720" s="19" t="s">
        <v>561</v>
      </c>
      <c r="F1720" s="19" t="s">
        <v>400</v>
      </c>
      <c r="G1720" s="19" t="s">
        <v>557</v>
      </c>
      <c r="H1720" s="19" t="s">
        <v>1</v>
      </c>
    </row>
    <row r="1721" spans="1:8" hidden="1" x14ac:dyDescent="0.25">
      <c r="A1721">
        <v>6154982</v>
      </c>
      <c r="B1721" s="19" t="s">
        <v>109</v>
      </c>
      <c r="C1721" s="19" t="s">
        <v>26</v>
      </c>
      <c r="D1721" s="19" t="s">
        <v>283</v>
      </c>
      <c r="E1721" s="19" t="s">
        <v>437</v>
      </c>
      <c r="F1721" s="19" t="s">
        <v>400</v>
      </c>
      <c r="G1721" s="19" t="s">
        <v>557</v>
      </c>
      <c r="H1721" s="19" t="s">
        <v>1</v>
      </c>
    </row>
    <row r="1722" spans="1:8" hidden="1" x14ac:dyDescent="0.25">
      <c r="A1722">
        <v>6154956</v>
      </c>
      <c r="B1722" s="19" t="s">
        <v>12</v>
      </c>
      <c r="C1722" s="19" t="s">
        <v>26</v>
      </c>
      <c r="D1722" s="19" t="s">
        <v>75</v>
      </c>
      <c r="E1722" s="19" t="s">
        <v>437</v>
      </c>
      <c r="F1722" s="19" t="s">
        <v>400</v>
      </c>
      <c r="G1722" s="19" t="s">
        <v>557</v>
      </c>
      <c r="H1722" s="19" t="s">
        <v>1</v>
      </c>
    </row>
    <row r="1723" spans="1:8" hidden="1" x14ac:dyDescent="0.25">
      <c r="A1723">
        <v>6154926</v>
      </c>
      <c r="B1723" s="19" t="s">
        <v>24</v>
      </c>
      <c r="C1723" s="19" t="s">
        <v>33</v>
      </c>
      <c r="D1723" s="19" t="s">
        <v>75</v>
      </c>
      <c r="E1723" s="19" t="s">
        <v>437</v>
      </c>
      <c r="F1723" s="19" t="s">
        <v>401</v>
      </c>
      <c r="G1723" s="19" t="s">
        <v>557</v>
      </c>
      <c r="H1723" s="19" t="s">
        <v>1</v>
      </c>
    </row>
    <row r="1724" spans="1:8" hidden="1" x14ac:dyDescent="0.25">
      <c r="A1724">
        <v>6154881</v>
      </c>
      <c r="B1724" s="19" t="s">
        <v>12</v>
      </c>
      <c r="C1724" s="19" t="s">
        <v>26</v>
      </c>
      <c r="D1724" s="19" t="s">
        <v>75</v>
      </c>
      <c r="E1724" s="19" t="s">
        <v>437</v>
      </c>
      <c r="F1724" s="19" t="s">
        <v>400</v>
      </c>
      <c r="G1724" s="19" t="s">
        <v>557</v>
      </c>
      <c r="H1724" s="19" t="s">
        <v>1</v>
      </c>
    </row>
    <row r="1725" spans="1:8" hidden="1" x14ac:dyDescent="0.25">
      <c r="A1725">
        <v>6154866</v>
      </c>
      <c r="B1725" s="19" t="s">
        <v>12</v>
      </c>
      <c r="C1725" s="19" t="s">
        <v>26</v>
      </c>
      <c r="D1725" s="19" t="s">
        <v>75</v>
      </c>
      <c r="E1725" s="19" t="s">
        <v>437</v>
      </c>
      <c r="F1725" s="19" t="s">
        <v>400</v>
      </c>
      <c r="G1725" s="19" t="s">
        <v>557</v>
      </c>
      <c r="H1725" s="19" t="s">
        <v>1</v>
      </c>
    </row>
    <row r="1726" spans="1:8" hidden="1" x14ac:dyDescent="0.25">
      <c r="A1726">
        <v>6105228</v>
      </c>
      <c r="B1726" s="19" t="s">
        <v>24</v>
      </c>
      <c r="C1726" s="19" t="s">
        <v>26</v>
      </c>
      <c r="D1726" s="19" t="s">
        <v>206</v>
      </c>
      <c r="E1726" s="19" t="s">
        <v>561</v>
      </c>
      <c r="F1726" s="19" t="s">
        <v>400</v>
      </c>
      <c r="G1726" s="19" t="s">
        <v>557</v>
      </c>
      <c r="H1726" s="19" t="s">
        <v>1</v>
      </c>
    </row>
    <row r="1727" spans="1:8" hidden="1" x14ac:dyDescent="0.25">
      <c r="A1727">
        <v>6105154</v>
      </c>
      <c r="B1727" s="19" t="s">
        <v>18</v>
      </c>
      <c r="C1727" s="19" t="s">
        <v>26</v>
      </c>
      <c r="D1727" s="19" t="s">
        <v>290</v>
      </c>
      <c r="E1727" s="19" t="s">
        <v>437</v>
      </c>
      <c r="F1727" s="19" t="s">
        <v>400</v>
      </c>
      <c r="G1727" s="19" t="s">
        <v>557</v>
      </c>
      <c r="H1727" s="19" t="s">
        <v>1</v>
      </c>
    </row>
    <row r="1728" spans="1:8" hidden="1" x14ac:dyDescent="0.25">
      <c r="A1728">
        <v>1381820</v>
      </c>
      <c r="B1728" s="19" t="s">
        <v>24</v>
      </c>
      <c r="C1728" s="19" t="s">
        <v>26</v>
      </c>
      <c r="D1728" s="19" t="s">
        <v>330</v>
      </c>
      <c r="E1728" s="19" t="s">
        <v>456</v>
      </c>
      <c r="F1728" s="19" t="s">
        <v>400</v>
      </c>
      <c r="G1728" s="19" t="s">
        <v>557</v>
      </c>
      <c r="H1728" s="19" t="s">
        <v>1</v>
      </c>
    </row>
  </sheetData>
  <autoFilter ref="A1:H1728" xr:uid="{00000000-0001-0000-0300-000000000000}">
    <filterColumn colId="7">
      <filters>
        <filter val="11.1.01.079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26"/>
  <sheetViews>
    <sheetView workbookViewId="0">
      <pane ySplit="1" topLeftCell="A2356" activePane="bottomLeft" state="frozen"/>
      <selection pane="bottomLeft" activeCell="A2" sqref="A2:A2326"/>
    </sheetView>
  </sheetViews>
  <sheetFormatPr baseColWidth="10" defaultRowHeight="15" x14ac:dyDescent="0.25"/>
  <cols>
    <col min="3" max="3" width="13.42578125" style="12" customWidth="1"/>
    <col min="242" max="242" width="16.85546875" customWidth="1"/>
    <col min="498" max="498" width="16.85546875" customWidth="1"/>
    <col min="754" max="754" width="16.85546875" customWidth="1"/>
    <col min="1010" max="1010" width="16.85546875" customWidth="1"/>
    <col min="1266" max="1266" width="16.85546875" customWidth="1"/>
    <col min="1522" max="1522" width="16.85546875" customWidth="1"/>
    <col min="1778" max="1778" width="16.85546875" customWidth="1"/>
    <col min="2034" max="2034" width="16.85546875" customWidth="1"/>
    <col min="2290" max="2290" width="16.85546875" customWidth="1"/>
    <col min="2546" max="2546" width="16.85546875" customWidth="1"/>
    <col min="2802" max="2802" width="16.85546875" customWidth="1"/>
    <col min="3058" max="3058" width="16.85546875" customWidth="1"/>
    <col min="3314" max="3314" width="16.85546875" customWidth="1"/>
    <col min="3570" max="3570" width="16.85546875" customWidth="1"/>
    <col min="3826" max="3826" width="16.85546875" customWidth="1"/>
    <col min="4082" max="4082" width="16.85546875" customWidth="1"/>
    <col min="4338" max="4338" width="16.85546875" customWidth="1"/>
    <col min="4594" max="4594" width="16.85546875" customWidth="1"/>
    <col min="4850" max="4850" width="16.85546875" customWidth="1"/>
    <col min="5106" max="5106" width="16.85546875" customWidth="1"/>
    <col min="5362" max="5362" width="16.85546875" customWidth="1"/>
    <col min="5618" max="5618" width="16.85546875" customWidth="1"/>
    <col min="5874" max="5874" width="16.85546875" customWidth="1"/>
    <col min="6130" max="6130" width="16.85546875" customWidth="1"/>
    <col min="6386" max="6386" width="16.85546875" customWidth="1"/>
    <col min="6642" max="6642" width="16.85546875" customWidth="1"/>
    <col min="6898" max="6898" width="16.85546875" customWidth="1"/>
    <col min="7154" max="7154" width="16.85546875" customWidth="1"/>
    <col min="7410" max="7410" width="16.85546875" customWidth="1"/>
    <col min="7666" max="7666" width="16.85546875" customWidth="1"/>
    <col min="7922" max="7922" width="16.85546875" customWidth="1"/>
    <col min="8178" max="8178" width="16.85546875" customWidth="1"/>
    <col min="8434" max="8434" width="16.85546875" customWidth="1"/>
    <col min="8690" max="8690" width="16.85546875" customWidth="1"/>
    <col min="8946" max="8946" width="16.85546875" customWidth="1"/>
    <col min="9202" max="9202" width="16.85546875" customWidth="1"/>
    <col min="9458" max="9458" width="16.85546875" customWidth="1"/>
    <col min="9714" max="9714" width="16.85546875" customWidth="1"/>
    <col min="9970" max="9970" width="16.85546875" customWidth="1"/>
    <col min="10226" max="10226" width="16.85546875" customWidth="1"/>
    <col min="10482" max="10482" width="16.85546875" customWidth="1"/>
    <col min="10738" max="10738" width="16.85546875" customWidth="1"/>
    <col min="10994" max="10994" width="16.85546875" customWidth="1"/>
    <col min="11250" max="11250" width="16.85546875" customWidth="1"/>
    <col min="11506" max="11506" width="16.85546875" customWidth="1"/>
    <col min="11762" max="11762" width="16.85546875" customWidth="1"/>
    <col min="12018" max="12018" width="16.85546875" customWidth="1"/>
    <col min="12274" max="12274" width="16.85546875" customWidth="1"/>
    <col min="12530" max="12530" width="16.85546875" customWidth="1"/>
    <col min="12786" max="12786" width="16.85546875" customWidth="1"/>
    <col min="13042" max="13042" width="16.85546875" customWidth="1"/>
    <col min="13298" max="13298" width="16.85546875" customWidth="1"/>
    <col min="13554" max="13554" width="16.85546875" customWidth="1"/>
    <col min="13810" max="13810" width="16.85546875" customWidth="1"/>
    <col min="14066" max="14066" width="16.85546875" customWidth="1"/>
    <col min="14322" max="14322" width="16.85546875" customWidth="1"/>
    <col min="14578" max="14578" width="16.85546875" customWidth="1"/>
    <col min="14834" max="14834" width="16.85546875" customWidth="1"/>
    <col min="15090" max="15090" width="16.85546875" customWidth="1"/>
    <col min="15346" max="15346" width="16.85546875" customWidth="1"/>
    <col min="15602" max="15602" width="16.85546875" customWidth="1"/>
    <col min="15858" max="15858" width="16.85546875" customWidth="1"/>
    <col min="16114" max="16114" width="16.85546875" customWidth="1"/>
  </cols>
  <sheetData>
    <row r="1" spans="1:6" x14ac:dyDescent="0.25">
      <c r="A1" t="s">
        <v>331</v>
      </c>
      <c r="B1" t="s">
        <v>402</v>
      </c>
      <c r="C1" s="12" t="s">
        <v>403</v>
      </c>
      <c r="D1" s="12" t="s">
        <v>404</v>
      </c>
      <c r="E1" t="s">
        <v>405</v>
      </c>
      <c r="F1" t="s">
        <v>389</v>
      </c>
    </row>
    <row r="2" spans="1:6" x14ac:dyDescent="0.25">
      <c r="A2" s="5">
        <v>18943034</v>
      </c>
      <c r="B2" s="5" t="s">
        <v>400</v>
      </c>
      <c r="C2" s="5" t="s">
        <v>79</v>
      </c>
      <c r="D2" s="6">
        <v>44127</v>
      </c>
      <c r="E2" s="12">
        <v>44141</v>
      </c>
      <c r="F2" t="s">
        <v>2</v>
      </c>
    </row>
    <row r="3" spans="1:6" x14ac:dyDescent="0.25">
      <c r="A3" s="5">
        <v>19050242</v>
      </c>
      <c r="B3" s="5" t="s">
        <v>400</v>
      </c>
      <c r="C3" s="5" t="s">
        <v>12</v>
      </c>
      <c r="D3" s="6">
        <v>42292</v>
      </c>
      <c r="E3" s="12">
        <v>44156</v>
      </c>
      <c r="F3" t="s">
        <v>2</v>
      </c>
    </row>
    <row r="4" spans="1:6" x14ac:dyDescent="0.25">
      <c r="A4" s="5">
        <v>19050244</v>
      </c>
      <c r="B4" s="5" t="s">
        <v>400</v>
      </c>
      <c r="C4" s="5" t="s">
        <v>12</v>
      </c>
      <c r="D4" s="6">
        <v>42292</v>
      </c>
      <c r="E4" s="12">
        <v>44156</v>
      </c>
      <c r="F4" t="s">
        <v>2</v>
      </c>
    </row>
    <row r="5" spans="1:6" x14ac:dyDescent="0.25">
      <c r="A5" s="5">
        <v>19050373</v>
      </c>
      <c r="B5" s="5" t="s">
        <v>401</v>
      </c>
      <c r="C5" s="5" t="s">
        <v>12</v>
      </c>
      <c r="D5" s="6">
        <v>44165</v>
      </c>
      <c r="E5" s="12">
        <v>44233</v>
      </c>
      <c r="F5" t="s">
        <v>2</v>
      </c>
    </row>
    <row r="6" spans="1:6" x14ac:dyDescent="0.25">
      <c r="A6" s="5">
        <v>19050374</v>
      </c>
      <c r="B6" s="5" t="s">
        <v>400</v>
      </c>
      <c r="C6" s="5" t="s">
        <v>18</v>
      </c>
      <c r="D6" s="6">
        <v>44165</v>
      </c>
      <c r="E6" s="12">
        <v>44233</v>
      </c>
      <c r="F6" t="s">
        <v>2</v>
      </c>
    </row>
    <row r="7" spans="1:6" x14ac:dyDescent="0.25">
      <c r="A7" s="5">
        <v>19050375</v>
      </c>
      <c r="B7" s="5" t="s">
        <v>400</v>
      </c>
      <c r="C7" s="5" t="s">
        <v>79</v>
      </c>
      <c r="D7" s="6">
        <v>44165</v>
      </c>
      <c r="E7" s="12">
        <v>44233</v>
      </c>
      <c r="F7" t="s">
        <v>2</v>
      </c>
    </row>
    <row r="8" spans="1:6" x14ac:dyDescent="0.25">
      <c r="A8" s="5">
        <v>19050376</v>
      </c>
      <c r="B8" s="5" t="s">
        <v>401</v>
      </c>
      <c r="C8" s="5" t="s">
        <v>12</v>
      </c>
      <c r="D8" s="6">
        <v>44165</v>
      </c>
      <c r="E8" s="12">
        <v>44233</v>
      </c>
      <c r="F8" t="s">
        <v>2</v>
      </c>
    </row>
    <row r="9" spans="1:6" x14ac:dyDescent="0.25">
      <c r="A9" s="5">
        <v>19050377</v>
      </c>
      <c r="B9" s="5" t="s">
        <v>401</v>
      </c>
      <c r="C9" s="5" t="s">
        <v>12</v>
      </c>
      <c r="D9" s="6">
        <v>44175</v>
      </c>
      <c r="E9" s="12">
        <v>44233</v>
      </c>
      <c r="F9" t="s">
        <v>2</v>
      </c>
    </row>
    <row r="10" spans="1:6" x14ac:dyDescent="0.25">
      <c r="A10" s="5">
        <v>19050378</v>
      </c>
      <c r="B10" s="5" t="s">
        <v>401</v>
      </c>
      <c r="C10" s="5" t="s">
        <v>18</v>
      </c>
      <c r="D10" s="6">
        <v>44165</v>
      </c>
      <c r="E10" s="12">
        <v>44233</v>
      </c>
      <c r="F10" t="s">
        <v>2</v>
      </c>
    </row>
    <row r="11" spans="1:6" x14ac:dyDescent="0.25">
      <c r="A11" s="5">
        <v>19050379</v>
      </c>
      <c r="B11" s="5" t="s">
        <v>401</v>
      </c>
      <c r="C11" s="5" t="s">
        <v>12</v>
      </c>
      <c r="D11" s="6">
        <v>44155</v>
      </c>
      <c r="E11" s="12">
        <v>44233</v>
      </c>
      <c r="F11" t="s">
        <v>2</v>
      </c>
    </row>
    <row r="12" spans="1:6" x14ac:dyDescent="0.25">
      <c r="A12" s="5">
        <v>19050380</v>
      </c>
      <c r="B12" s="5" t="s">
        <v>400</v>
      </c>
      <c r="C12" s="5" t="s">
        <v>18</v>
      </c>
      <c r="D12" s="6">
        <v>44155</v>
      </c>
      <c r="E12" s="12">
        <v>44233</v>
      </c>
      <c r="F12" t="s">
        <v>2</v>
      </c>
    </row>
    <row r="13" spans="1:6" x14ac:dyDescent="0.25">
      <c r="A13" s="5">
        <v>19050381</v>
      </c>
      <c r="B13" s="5" t="s">
        <v>400</v>
      </c>
      <c r="C13" s="5" t="s">
        <v>18</v>
      </c>
      <c r="D13" s="6">
        <v>44176</v>
      </c>
      <c r="E13" s="12">
        <v>44233</v>
      </c>
      <c r="F13" t="s">
        <v>2</v>
      </c>
    </row>
    <row r="14" spans="1:6" x14ac:dyDescent="0.25">
      <c r="A14" s="5">
        <v>19050382</v>
      </c>
      <c r="B14" s="5" t="s">
        <v>401</v>
      </c>
      <c r="C14" s="5" t="s">
        <v>12</v>
      </c>
      <c r="D14" s="6">
        <v>44165</v>
      </c>
      <c r="E14" s="12">
        <v>44233</v>
      </c>
      <c r="F14" t="s">
        <v>2</v>
      </c>
    </row>
    <row r="15" spans="1:6" x14ac:dyDescent="0.25">
      <c r="A15" s="5">
        <v>19050383</v>
      </c>
      <c r="B15" s="5" t="s">
        <v>400</v>
      </c>
      <c r="C15" s="5" t="s">
        <v>12</v>
      </c>
      <c r="D15" s="6">
        <v>44175</v>
      </c>
      <c r="E15" s="12">
        <v>44233</v>
      </c>
      <c r="F15" t="s">
        <v>2</v>
      </c>
    </row>
    <row r="16" spans="1:6" x14ac:dyDescent="0.25">
      <c r="A16" s="5">
        <v>19050371</v>
      </c>
      <c r="B16" s="5" t="s">
        <v>400</v>
      </c>
      <c r="C16" s="5" t="s">
        <v>12</v>
      </c>
      <c r="D16" s="6">
        <v>40461</v>
      </c>
      <c r="E16" s="12">
        <v>44235</v>
      </c>
      <c r="F16" t="s">
        <v>2</v>
      </c>
    </row>
    <row r="17" spans="1:6" x14ac:dyDescent="0.25">
      <c r="A17" s="5">
        <v>16390401</v>
      </c>
      <c r="B17" s="5" t="s">
        <v>401</v>
      </c>
      <c r="C17" s="5" t="s">
        <v>12</v>
      </c>
      <c r="D17" s="6">
        <v>44114</v>
      </c>
      <c r="E17" s="12">
        <v>44274</v>
      </c>
      <c r="F17" t="s">
        <v>2</v>
      </c>
    </row>
    <row r="18" spans="1:6" x14ac:dyDescent="0.25">
      <c r="A18" s="5">
        <v>16390402</v>
      </c>
      <c r="B18" s="5" t="s">
        <v>401</v>
      </c>
      <c r="C18" s="5" t="s">
        <v>18</v>
      </c>
      <c r="D18" s="6">
        <v>44195</v>
      </c>
      <c r="E18" s="12">
        <v>44274</v>
      </c>
      <c r="F18" t="s">
        <v>2</v>
      </c>
    </row>
    <row r="19" spans="1:6" x14ac:dyDescent="0.25">
      <c r="A19" s="5">
        <v>16390403</v>
      </c>
      <c r="B19" s="5" t="s">
        <v>401</v>
      </c>
      <c r="C19" s="5" t="s">
        <v>12</v>
      </c>
      <c r="D19" s="6">
        <v>44114</v>
      </c>
      <c r="E19" s="12">
        <v>44274</v>
      </c>
      <c r="F19" t="s">
        <v>2</v>
      </c>
    </row>
    <row r="20" spans="1:6" x14ac:dyDescent="0.25">
      <c r="A20" s="5">
        <v>16390404</v>
      </c>
      <c r="B20" s="5" t="s">
        <v>400</v>
      </c>
      <c r="C20" s="5" t="s">
        <v>18</v>
      </c>
      <c r="D20" s="6">
        <v>44114</v>
      </c>
      <c r="E20" s="12">
        <v>44274</v>
      </c>
      <c r="F20" t="s">
        <v>2</v>
      </c>
    </row>
    <row r="21" spans="1:6" x14ac:dyDescent="0.25">
      <c r="A21" s="5">
        <v>16390405</v>
      </c>
      <c r="B21" s="5" t="s">
        <v>401</v>
      </c>
      <c r="C21" s="5" t="s">
        <v>12</v>
      </c>
      <c r="D21" s="6">
        <v>44134</v>
      </c>
      <c r="E21" s="12">
        <v>44274</v>
      </c>
      <c r="F21" t="s">
        <v>2</v>
      </c>
    </row>
    <row r="22" spans="1:6" x14ac:dyDescent="0.25">
      <c r="A22" s="5">
        <v>16390406</v>
      </c>
      <c r="B22" s="5" t="s">
        <v>400</v>
      </c>
      <c r="C22" s="5" t="s">
        <v>12</v>
      </c>
      <c r="D22" s="6">
        <v>44134</v>
      </c>
      <c r="E22" s="12">
        <v>44274</v>
      </c>
      <c r="F22" t="s">
        <v>2</v>
      </c>
    </row>
    <row r="23" spans="1:6" x14ac:dyDescent="0.25">
      <c r="A23" s="5">
        <v>16390407</v>
      </c>
      <c r="B23" s="5" t="s">
        <v>401</v>
      </c>
      <c r="C23" s="5" t="s">
        <v>12</v>
      </c>
      <c r="D23" s="6">
        <v>44226</v>
      </c>
      <c r="E23" s="12">
        <v>44274</v>
      </c>
      <c r="F23" t="s">
        <v>2</v>
      </c>
    </row>
    <row r="24" spans="1:6" x14ac:dyDescent="0.25">
      <c r="A24" s="5">
        <v>16390408</v>
      </c>
      <c r="B24" s="5" t="s">
        <v>401</v>
      </c>
      <c r="C24" s="5" t="s">
        <v>12</v>
      </c>
      <c r="D24" s="6">
        <v>44134</v>
      </c>
      <c r="E24" s="12">
        <v>44274</v>
      </c>
      <c r="F24" t="s">
        <v>2</v>
      </c>
    </row>
    <row r="25" spans="1:6" x14ac:dyDescent="0.25">
      <c r="A25" s="5">
        <v>16390409</v>
      </c>
      <c r="B25" s="5" t="s">
        <v>401</v>
      </c>
      <c r="C25" s="5" t="s">
        <v>12</v>
      </c>
      <c r="D25" s="6">
        <v>44195</v>
      </c>
      <c r="E25" s="12">
        <v>44274</v>
      </c>
      <c r="F25" t="s">
        <v>2</v>
      </c>
    </row>
    <row r="26" spans="1:6" x14ac:dyDescent="0.25">
      <c r="A26" s="5">
        <v>16390410</v>
      </c>
      <c r="B26" s="5" t="s">
        <v>401</v>
      </c>
      <c r="C26" s="5" t="s">
        <v>12</v>
      </c>
      <c r="D26" s="6">
        <v>44165</v>
      </c>
      <c r="E26" s="12">
        <v>44274</v>
      </c>
      <c r="F26" t="s">
        <v>2</v>
      </c>
    </row>
    <row r="27" spans="1:6" x14ac:dyDescent="0.25">
      <c r="A27" s="5">
        <v>16390411</v>
      </c>
      <c r="B27" s="5" t="s">
        <v>400</v>
      </c>
      <c r="C27" s="5" t="s">
        <v>12</v>
      </c>
      <c r="D27" s="6">
        <v>44134</v>
      </c>
      <c r="E27" s="12">
        <v>44274</v>
      </c>
      <c r="F27" t="s">
        <v>2</v>
      </c>
    </row>
    <row r="28" spans="1:6" x14ac:dyDescent="0.25">
      <c r="A28" s="5">
        <v>16390412</v>
      </c>
      <c r="B28" s="5" t="s">
        <v>401</v>
      </c>
      <c r="C28" s="5" t="s">
        <v>12</v>
      </c>
      <c r="D28" s="6">
        <v>44134</v>
      </c>
      <c r="E28" s="12">
        <v>44274</v>
      </c>
      <c r="F28" t="s">
        <v>2</v>
      </c>
    </row>
    <row r="29" spans="1:6" x14ac:dyDescent="0.25">
      <c r="A29" s="5">
        <v>16390413</v>
      </c>
      <c r="B29" s="5" t="s">
        <v>400</v>
      </c>
      <c r="C29" s="5" t="s">
        <v>12</v>
      </c>
      <c r="D29" s="6">
        <v>44134</v>
      </c>
      <c r="E29" s="12">
        <v>44274</v>
      </c>
      <c r="F29" t="s">
        <v>2</v>
      </c>
    </row>
    <row r="30" spans="1:6" x14ac:dyDescent="0.25">
      <c r="A30" s="5">
        <v>16390414</v>
      </c>
      <c r="B30" s="5" t="s">
        <v>401</v>
      </c>
      <c r="C30" s="5" t="s">
        <v>12</v>
      </c>
      <c r="D30" s="6">
        <v>44134</v>
      </c>
      <c r="E30" s="12">
        <v>44274</v>
      </c>
      <c r="F30" t="s">
        <v>2</v>
      </c>
    </row>
    <row r="31" spans="1:6" x14ac:dyDescent="0.25">
      <c r="A31" s="5">
        <v>16390415</v>
      </c>
      <c r="B31" s="5" t="s">
        <v>400</v>
      </c>
      <c r="C31" s="5" t="s">
        <v>12</v>
      </c>
      <c r="D31" s="6">
        <v>44145</v>
      </c>
      <c r="E31" s="12">
        <v>44274</v>
      </c>
      <c r="F31" t="s">
        <v>2</v>
      </c>
    </row>
    <row r="32" spans="1:6" x14ac:dyDescent="0.25">
      <c r="A32" s="5">
        <v>16390416</v>
      </c>
      <c r="B32" s="5" t="s">
        <v>401</v>
      </c>
      <c r="C32" s="5" t="s">
        <v>12</v>
      </c>
      <c r="D32" s="6">
        <v>44134</v>
      </c>
      <c r="E32" s="12">
        <v>44274</v>
      </c>
      <c r="F32" t="s">
        <v>2</v>
      </c>
    </row>
    <row r="33" spans="1:6" x14ac:dyDescent="0.25">
      <c r="A33" s="5">
        <v>16390417</v>
      </c>
      <c r="B33" s="5" t="s">
        <v>401</v>
      </c>
      <c r="C33" s="5" t="s">
        <v>12</v>
      </c>
      <c r="D33" s="6">
        <v>44165</v>
      </c>
      <c r="E33" s="12">
        <v>44274</v>
      </c>
      <c r="F33" t="s">
        <v>2</v>
      </c>
    </row>
    <row r="34" spans="1:6" x14ac:dyDescent="0.25">
      <c r="A34" s="5">
        <v>16390418</v>
      </c>
      <c r="B34" s="5" t="s">
        <v>400</v>
      </c>
      <c r="C34" s="5" t="s">
        <v>12</v>
      </c>
      <c r="D34" s="6">
        <v>44134</v>
      </c>
      <c r="E34" s="12">
        <v>44274</v>
      </c>
      <c r="F34" t="s">
        <v>2</v>
      </c>
    </row>
    <row r="35" spans="1:6" x14ac:dyDescent="0.25">
      <c r="A35" s="5">
        <v>16390419</v>
      </c>
      <c r="B35" s="5" t="s">
        <v>401</v>
      </c>
      <c r="C35" s="5" t="s">
        <v>12</v>
      </c>
      <c r="D35" s="6">
        <v>44165</v>
      </c>
      <c r="E35" s="12">
        <v>44274</v>
      </c>
      <c r="F35" t="s">
        <v>2</v>
      </c>
    </row>
    <row r="36" spans="1:6" x14ac:dyDescent="0.25">
      <c r="A36" s="5">
        <v>16390420</v>
      </c>
      <c r="B36" s="5" t="s">
        <v>400</v>
      </c>
      <c r="C36" s="5" t="s">
        <v>12</v>
      </c>
      <c r="D36" s="6">
        <v>44195</v>
      </c>
      <c r="E36" s="12">
        <v>44274</v>
      </c>
      <c r="F36" t="s">
        <v>2</v>
      </c>
    </row>
    <row r="37" spans="1:6" x14ac:dyDescent="0.25">
      <c r="A37" s="5">
        <v>16390421</v>
      </c>
      <c r="B37" s="5" t="s">
        <v>400</v>
      </c>
      <c r="C37" s="5" t="s">
        <v>12</v>
      </c>
      <c r="D37" s="6">
        <v>44165</v>
      </c>
      <c r="E37" s="12">
        <v>44274</v>
      </c>
      <c r="F37" t="s">
        <v>2</v>
      </c>
    </row>
    <row r="38" spans="1:6" x14ac:dyDescent="0.25">
      <c r="A38" s="5">
        <v>16390422</v>
      </c>
      <c r="B38" s="5" t="s">
        <v>401</v>
      </c>
      <c r="C38" s="5" t="s">
        <v>18</v>
      </c>
      <c r="D38" s="6">
        <v>44134</v>
      </c>
      <c r="E38" s="12">
        <v>44274</v>
      </c>
      <c r="F38" t="s">
        <v>2</v>
      </c>
    </row>
    <row r="39" spans="1:6" x14ac:dyDescent="0.25">
      <c r="A39" s="5">
        <v>16390423</v>
      </c>
      <c r="B39" s="5" t="s">
        <v>400</v>
      </c>
      <c r="C39" s="5" t="s">
        <v>12</v>
      </c>
      <c r="D39" s="6">
        <v>44145</v>
      </c>
      <c r="E39" s="12">
        <v>44274</v>
      </c>
      <c r="F39" t="s">
        <v>2</v>
      </c>
    </row>
    <row r="40" spans="1:6" x14ac:dyDescent="0.25">
      <c r="A40" s="5">
        <v>16390424</v>
      </c>
      <c r="B40" s="5" t="s">
        <v>400</v>
      </c>
      <c r="C40" s="5" t="s">
        <v>18</v>
      </c>
      <c r="D40" s="6">
        <v>44195</v>
      </c>
      <c r="E40" s="12">
        <v>44274</v>
      </c>
      <c r="F40" t="s">
        <v>2</v>
      </c>
    </row>
    <row r="41" spans="1:6" x14ac:dyDescent="0.25">
      <c r="A41" s="5">
        <v>16390425</v>
      </c>
      <c r="B41" s="5" t="s">
        <v>400</v>
      </c>
      <c r="C41" s="5" t="s">
        <v>18</v>
      </c>
      <c r="D41" s="6">
        <v>44165</v>
      </c>
      <c r="E41" s="12">
        <v>44274</v>
      </c>
      <c r="F41" t="s">
        <v>2</v>
      </c>
    </row>
    <row r="42" spans="1:6" x14ac:dyDescent="0.25">
      <c r="A42" s="5">
        <v>16390426</v>
      </c>
      <c r="B42" s="5" t="s">
        <v>400</v>
      </c>
      <c r="C42" s="5" t="s">
        <v>79</v>
      </c>
      <c r="D42" s="6">
        <v>44165</v>
      </c>
      <c r="E42" s="12">
        <v>44274</v>
      </c>
      <c r="F42" t="s">
        <v>2</v>
      </c>
    </row>
    <row r="43" spans="1:6" x14ac:dyDescent="0.25">
      <c r="A43" s="5">
        <v>16390427</v>
      </c>
      <c r="B43" s="5" t="s">
        <v>400</v>
      </c>
      <c r="C43" s="5" t="s">
        <v>12</v>
      </c>
      <c r="D43" s="6">
        <v>44165</v>
      </c>
      <c r="E43" s="12">
        <v>44274</v>
      </c>
      <c r="F43" t="s">
        <v>2</v>
      </c>
    </row>
    <row r="44" spans="1:6" x14ac:dyDescent="0.25">
      <c r="A44" s="5">
        <v>16390428</v>
      </c>
      <c r="B44" s="5" t="s">
        <v>401</v>
      </c>
      <c r="C44" s="5" t="s">
        <v>79</v>
      </c>
      <c r="D44" s="6">
        <v>44140</v>
      </c>
      <c r="E44" s="12">
        <v>44274</v>
      </c>
      <c r="F44" t="s">
        <v>2</v>
      </c>
    </row>
    <row r="45" spans="1:6" x14ac:dyDescent="0.25">
      <c r="A45" s="5">
        <v>16390429</v>
      </c>
      <c r="B45" s="5" t="s">
        <v>400</v>
      </c>
      <c r="C45" s="5" t="s">
        <v>12</v>
      </c>
      <c r="D45" s="6">
        <v>44165</v>
      </c>
      <c r="E45" s="12">
        <v>44274</v>
      </c>
      <c r="F45" t="s">
        <v>2</v>
      </c>
    </row>
    <row r="46" spans="1:6" x14ac:dyDescent="0.25">
      <c r="A46" s="5">
        <v>16390430</v>
      </c>
      <c r="B46" s="5" t="s">
        <v>400</v>
      </c>
      <c r="C46" s="5" t="s">
        <v>125</v>
      </c>
      <c r="D46" s="6">
        <v>44195</v>
      </c>
      <c r="E46" s="12">
        <v>44274</v>
      </c>
      <c r="F46" t="s">
        <v>2</v>
      </c>
    </row>
    <row r="47" spans="1:6" x14ac:dyDescent="0.25">
      <c r="A47" s="5">
        <v>19050384</v>
      </c>
      <c r="B47" s="5" t="s">
        <v>400</v>
      </c>
      <c r="C47" s="5" t="s">
        <v>12</v>
      </c>
      <c r="D47" s="6">
        <v>44134</v>
      </c>
      <c r="E47" s="12">
        <v>44274</v>
      </c>
      <c r="F47" t="s">
        <v>2</v>
      </c>
    </row>
    <row r="48" spans="1:6" x14ac:dyDescent="0.25">
      <c r="A48" s="5">
        <v>19050385</v>
      </c>
      <c r="B48" s="5" t="s">
        <v>400</v>
      </c>
      <c r="C48" s="5" t="s">
        <v>12</v>
      </c>
      <c r="D48" s="6">
        <v>44134</v>
      </c>
      <c r="E48" s="12">
        <v>44274</v>
      </c>
      <c r="F48" t="s">
        <v>2</v>
      </c>
    </row>
    <row r="49" spans="1:6" x14ac:dyDescent="0.25">
      <c r="A49" s="5">
        <v>19050386</v>
      </c>
      <c r="B49" s="5" t="s">
        <v>401</v>
      </c>
      <c r="C49" s="5" t="s">
        <v>18</v>
      </c>
      <c r="D49" s="6">
        <v>44134</v>
      </c>
      <c r="E49" s="12">
        <v>44274</v>
      </c>
      <c r="F49" t="s">
        <v>2</v>
      </c>
    </row>
    <row r="50" spans="1:6" x14ac:dyDescent="0.25">
      <c r="A50" s="5">
        <v>19050387</v>
      </c>
      <c r="B50" s="5" t="s">
        <v>401</v>
      </c>
      <c r="C50" s="5" t="s">
        <v>12</v>
      </c>
      <c r="D50" s="6">
        <v>44114</v>
      </c>
      <c r="E50" s="12">
        <v>44274</v>
      </c>
      <c r="F50" t="s">
        <v>2</v>
      </c>
    </row>
    <row r="51" spans="1:6" x14ac:dyDescent="0.25">
      <c r="A51" s="5">
        <v>19050388</v>
      </c>
      <c r="B51" s="5" t="s">
        <v>401</v>
      </c>
      <c r="C51" s="5" t="s">
        <v>12</v>
      </c>
      <c r="D51" s="6">
        <v>44134</v>
      </c>
      <c r="E51" s="12">
        <v>44274</v>
      </c>
      <c r="F51" t="s">
        <v>2</v>
      </c>
    </row>
    <row r="52" spans="1:6" x14ac:dyDescent="0.25">
      <c r="A52" s="5">
        <v>19050389</v>
      </c>
      <c r="B52" s="5" t="s">
        <v>400</v>
      </c>
      <c r="C52" s="5" t="s">
        <v>12</v>
      </c>
      <c r="D52" s="6">
        <v>44145</v>
      </c>
      <c r="E52" s="12">
        <v>44274</v>
      </c>
      <c r="F52" t="s">
        <v>2</v>
      </c>
    </row>
    <row r="53" spans="1:6" x14ac:dyDescent="0.25">
      <c r="A53" s="5">
        <v>19050390</v>
      </c>
      <c r="B53" s="5" t="s">
        <v>400</v>
      </c>
      <c r="C53" s="5" t="s">
        <v>12</v>
      </c>
      <c r="D53" s="6">
        <v>44134</v>
      </c>
      <c r="E53" s="12">
        <v>44274</v>
      </c>
      <c r="F53" t="s">
        <v>2</v>
      </c>
    </row>
    <row r="54" spans="1:6" x14ac:dyDescent="0.25">
      <c r="A54" s="5">
        <v>19050391</v>
      </c>
      <c r="B54" s="5" t="s">
        <v>401</v>
      </c>
      <c r="C54" s="5" t="s">
        <v>12</v>
      </c>
      <c r="D54" s="6">
        <v>44134</v>
      </c>
      <c r="E54" s="12">
        <v>44274</v>
      </c>
      <c r="F54" t="s">
        <v>2</v>
      </c>
    </row>
    <row r="55" spans="1:6" x14ac:dyDescent="0.25">
      <c r="A55" s="5">
        <v>19050392</v>
      </c>
      <c r="B55" s="5" t="s">
        <v>400</v>
      </c>
      <c r="C55" s="5" t="s">
        <v>12</v>
      </c>
      <c r="D55" s="6">
        <v>44134</v>
      </c>
      <c r="E55" s="12">
        <v>44274</v>
      </c>
      <c r="F55" t="s">
        <v>2</v>
      </c>
    </row>
    <row r="56" spans="1:6" x14ac:dyDescent="0.25">
      <c r="A56" s="5">
        <v>19050393</v>
      </c>
      <c r="B56" s="5" t="s">
        <v>400</v>
      </c>
      <c r="C56" s="5" t="s">
        <v>12</v>
      </c>
      <c r="D56" s="6">
        <v>44134</v>
      </c>
      <c r="E56" s="12">
        <v>44274</v>
      </c>
      <c r="F56" t="s">
        <v>2</v>
      </c>
    </row>
    <row r="57" spans="1:6" x14ac:dyDescent="0.25">
      <c r="A57" s="5">
        <v>19050394</v>
      </c>
      <c r="B57" s="5" t="s">
        <v>400</v>
      </c>
      <c r="C57" s="5" t="s">
        <v>18</v>
      </c>
      <c r="D57" s="6">
        <v>44196</v>
      </c>
      <c r="E57" s="12">
        <v>44274</v>
      </c>
      <c r="F57" t="s">
        <v>2</v>
      </c>
    </row>
    <row r="58" spans="1:6" x14ac:dyDescent="0.25">
      <c r="A58" s="5">
        <v>19050395</v>
      </c>
      <c r="B58" s="5" t="s">
        <v>400</v>
      </c>
      <c r="C58" s="5" t="s">
        <v>12</v>
      </c>
      <c r="D58" s="6">
        <v>44165</v>
      </c>
      <c r="E58" s="12">
        <v>44274</v>
      </c>
      <c r="F58" t="s">
        <v>2</v>
      </c>
    </row>
    <row r="59" spans="1:6" x14ac:dyDescent="0.25">
      <c r="A59" s="5">
        <v>19050396</v>
      </c>
      <c r="B59" s="5" t="s">
        <v>401</v>
      </c>
      <c r="C59" s="5" t="s">
        <v>12</v>
      </c>
      <c r="D59" s="6">
        <v>44134</v>
      </c>
      <c r="E59" s="12">
        <v>44274</v>
      </c>
      <c r="F59" t="s">
        <v>2</v>
      </c>
    </row>
    <row r="60" spans="1:6" x14ac:dyDescent="0.25">
      <c r="A60" s="5">
        <v>19050397</v>
      </c>
      <c r="B60" s="5" t="s">
        <v>401</v>
      </c>
      <c r="C60" s="5" t="s">
        <v>12</v>
      </c>
      <c r="D60" s="6">
        <v>44195</v>
      </c>
      <c r="E60" s="12">
        <v>44274</v>
      </c>
      <c r="F60" t="s">
        <v>2</v>
      </c>
    </row>
    <row r="61" spans="1:6" x14ac:dyDescent="0.25">
      <c r="A61" s="5">
        <v>19050398</v>
      </c>
      <c r="B61" s="5" t="s">
        <v>400</v>
      </c>
      <c r="C61" s="5" t="s">
        <v>12</v>
      </c>
      <c r="D61" s="6">
        <v>44134</v>
      </c>
      <c r="E61" s="12">
        <v>44274</v>
      </c>
      <c r="F61" t="s">
        <v>2</v>
      </c>
    </row>
    <row r="62" spans="1:6" x14ac:dyDescent="0.25">
      <c r="A62" s="5">
        <v>19050399</v>
      </c>
      <c r="B62" s="5" t="s">
        <v>400</v>
      </c>
      <c r="C62" s="5" t="s">
        <v>12</v>
      </c>
      <c r="D62" s="6">
        <v>44145</v>
      </c>
      <c r="E62" s="12">
        <v>44274</v>
      </c>
      <c r="F62" t="s">
        <v>2</v>
      </c>
    </row>
    <row r="63" spans="1:6" x14ac:dyDescent="0.25">
      <c r="A63" s="5">
        <v>19050400</v>
      </c>
      <c r="B63" s="5" t="s">
        <v>400</v>
      </c>
      <c r="C63" s="5" t="s">
        <v>12</v>
      </c>
      <c r="D63" s="6">
        <v>44134</v>
      </c>
      <c r="E63" s="12">
        <v>44274</v>
      </c>
      <c r="F63" t="s">
        <v>2</v>
      </c>
    </row>
    <row r="64" spans="1:6" x14ac:dyDescent="0.25">
      <c r="A64" s="5">
        <v>16390431</v>
      </c>
      <c r="B64" s="5" t="s">
        <v>400</v>
      </c>
      <c r="C64" s="5" t="s">
        <v>12</v>
      </c>
      <c r="D64" s="6">
        <v>42368</v>
      </c>
      <c r="E64" s="12">
        <v>44283</v>
      </c>
      <c r="F64" t="s">
        <v>0</v>
      </c>
    </row>
    <row r="65" spans="1:6" x14ac:dyDescent="0.25">
      <c r="A65" s="5">
        <v>16390432</v>
      </c>
      <c r="B65" s="5" t="s">
        <v>400</v>
      </c>
      <c r="C65" s="5" t="s">
        <v>79</v>
      </c>
      <c r="D65" s="6">
        <v>42368</v>
      </c>
      <c r="E65" s="12">
        <v>44283</v>
      </c>
      <c r="F65" t="s">
        <v>0</v>
      </c>
    </row>
    <row r="66" spans="1:6" x14ac:dyDescent="0.25">
      <c r="A66" s="5">
        <v>16390433</v>
      </c>
      <c r="B66" s="5" t="s">
        <v>400</v>
      </c>
      <c r="C66" s="5" t="s">
        <v>24</v>
      </c>
      <c r="D66" s="6">
        <v>42368</v>
      </c>
      <c r="E66" s="12">
        <v>44283</v>
      </c>
      <c r="F66" t="s">
        <v>0</v>
      </c>
    </row>
    <row r="67" spans="1:6" x14ac:dyDescent="0.25">
      <c r="A67" s="5">
        <v>16390434</v>
      </c>
      <c r="B67" s="5" t="s">
        <v>400</v>
      </c>
      <c r="C67" s="5" t="s">
        <v>12</v>
      </c>
      <c r="D67" s="6">
        <v>42368</v>
      </c>
      <c r="E67" s="12">
        <v>44283</v>
      </c>
      <c r="F67" t="s">
        <v>0</v>
      </c>
    </row>
    <row r="68" spans="1:6" x14ac:dyDescent="0.25">
      <c r="A68" s="5">
        <v>16390435</v>
      </c>
      <c r="B68" s="5" t="s">
        <v>400</v>
      </c>
      <c r="C68" s="5" t="s">
        <v>12</v>
      </c>
      <c r="D68" s="6">
        <v>42368</v>
      </c>
      <c r="E68" s="12">
        <v>44283</v>
      </c>
      <c r="F68" t="s">
        <v>0</v>
      </c>
    </row>
    <row r="69" spans="1:6" x14ac:dyDescent="0.25">
      <c r="A69" s="5">
        <v>16390436</v>
      </c>
      <c r="B69" s="5" t="s">
        <v>400</v>
      </c>
      <c r="C69" s="5" t="s">
        <v>18</v>
      </c>
      <c r="D69" s="6">
        <v>42368</v>
      </c>
      <c r="E69" s="12">
        <v>44283</v>
      </c>
      <c r="F69" t="s">
        <v>0</v>
      </c>
    </row>
    <row r="70" spans="1:6" x14ac:dyDescent="0.25">
      <c r="A70" s="5">
        <v>16390437</v>
      </c>
      <c r="B70" s="5" t="s">
        <v>400</v>
      </c>
      <c r="C70" s="5" t="s">
        <v>18</v>
      </c>
      <c r="D70" s="6">
        <v>43403</v>
      </c>
      <c r="E70" s="12">
        <v>44283</v>
      </c>
      <c r="F70" t="s">
        <v>0</v>
      </c>
    </row>
    <row r="71" spans="1:6" x14ac:dyDescent="0.25">
      <c r="A71" s="5">
        <v>16390438</v>
      </c>
      <c r="B71" s="5" t="s">
        <v>401</v>
      </c>
      <c r="C71" s="5" t="s">
        <v>12</v>
      </c>
      <c r="D71" s="6">
        <v>44140</v>
      </c>
      <c r="E71" s="12">
        <v>44283</v>
      </c>
      <c r="F71" t="s">
        <v>0</v>
      </c>
    </row>
    <row r="72" spans="1:6" x14ac:dyDescent="0.25">
      <c r="A72" s="5">
        <v>16390439</v>
      </c>
      <c r="B72" s="5" t="s">
        <v>400</v>
      </c>
      <c r="C72" s="5" t="s">
        <v>18</v>
      </c>
      <c r="D72" s="6">
        <v>44109</v>
      </c>
      <c r="E72" s="12">
        <v>44283</v>
      </c>
      <c r="F72" t="s">
        <v>0</v>
      </c>
    </row>
    <row r="73" spans="1:6" x14ac:dyDescent="0.25">
      <c r="A73" s="5">
        <v>16390440</v>
      </c>
      <c r="B73" s="5" t="s">
        <v>400</v>
      </c>
      <c r="C73" s="5" t="s">
        <v>18</v>
      </c>
      <c r="D73" s="6">
        <v>44109</v>
      </c>
      <c r="E73" s="12">
        <v>44283</v>
      </c>
      <c r="F73" t="s">
        <v>0</v>
      </c>
    </row>
    <row r="74" spans="1:6" x14ac:dyDescent="0.25">
      <c r="A74" s="5">
        <v>16390441</v>
      </c>
      <c r="B74" s="5" t="s">
        <v>400</v>
      </c>
      <c r="C74" s="5" t="s">
        <v>12</v>
      </c>
      <c r="D74" s="6">
        <v>44109</v>
      </c>
      <c r="E74" s="12">
        <v>44283</v>
      </c>
      <c r="F74" t="s">
        <v>0</v>
      </c>
    </row>
    <row r="75" spans="1:6" x14ac:dyDescent="0.25">
      <c r="A75" s="5">
        <v>16390442</v>
      </c>
      <c r="B75" s="5" t="s">
        <v>400</v>
      </c>
      <c r="C75" s="5" t="s">
        <v>12</v>
      </c>
      <c r="D75" s="6">
        <v>44109</v>
      </c>
      <c r="E75" s="12">
        <v>44283</v>
      </c>
      <c r="F75" t="s">
        <v>0</v>
      </c>
    </row>
    <row r="76" spans="1:6" x14ac:dyDescent="0.25">
      <c r="A76" s="5">
        <v>16390443</v>
      </c>
      <c r="B76" s="5" t="s">
        <v>400</v>
      </c>
      <c r="C76" s="5" t="s">
        <v>12</v>
      </c>
      <c r="D76" s="6">
        <v>44170</v>
      </c>
      <c r="E76" s="12">
        <v>44283</v>
      </c>
      <c r="F76" t="s">
        <v>0</v>
      </c>
    </row>
    <row r="77" spans="1:6" x14ac:dyDescent="0.25">
      <c r="A77" s="5">
        <v>16390445</v>
      </c>
      <c r="B77" s="5" t="s">
        <v>401</v>
      </c>
      <c r="C77" s="5" t="s">
        <v>24</v>
      </c>
      <c r="D77" s="6">
        <v>44175</v>
      </c>
      <c r="E77" s="12">
        <v>44292</v>
      </c>
      <c r="F77" t="s">
        <v>0</v>
      </c>
    </row>
    <row r="78" spans="1:6" x14ac:dyDescent="0.25">
      <c r="A78" s="5">
        <v>16390446</v>
      </c>
      <c r="B78" s="5" t="s">
        <v>401</v>
      </c>
      <c r="C78" s="5" t="s">
        <v>12</v>
      </c>
      <c r="D78" s="6">
        <v>44165</v>
      </c>
      <c r="E78" s="12">
        <v>44318</v>
      </c>
      <c r="F78" t="s">
        <v>5</v>
      </c>
    </row>
    <row r="79" spans="1:6" x14ac:dyDescent="0.25">
      <c r="A79" s="5">
        <v>16390447</v>
      </c>
      <c r="B79" s="5" t="s">
        <v>400</v>
      </c>
      <c r="C79" s="5" t="s">
        <v>12</v>
      </c>
      <c r="D79" s="6">
        <v>44193</v>
      </c>
      <c r="E79" s="12">
        <v>44318</v>
      </c>
      <c r="F79" t="s">
        <v>5</v>
      </c>
    </row>
    <row r="80" spans="1:6" x14ac:dyDescent="0.25">
      <c r="A80" s="5">
        <v>16390448</v>
      </c>
      <c r="B80" s="5" t="s">
        <v>400</v>
      </c>
      <c r="C80" s="5" t="s">
        <v>12</v>
      </c>
      <c r="D80" s="6">
        <v>44191</v>
      </c>
      <c r="E80" s="12">
        <v>44318</v>
      </c>
      <c r="F80" t="s">
        <v>5</v>
      </c>
    </row>
    <row r="81" spans="1:6" x14ac:dyDescent="0.25">
      <c r="A81" s="5">
        <v>16390449</v>
      </c>
      <c r="B81" s="5" t="s">
        <v>401</v>
      </c>
      <c r="C81" s="5" t="s">
        <v>12</v>
      </c>
      <c r="D81" s="6">
        <v>44191</v>
      </c>
      <c r="E81" s="12">
        <v>44318</v>
      </c>
      <c r="F81" t="s">
        <v>5</v>
      </c>
    </row>
    <row r="82" spans="1:6" x14ac:dyDescent="0.25">
      <c r="A82" s="5">
        <v>16390450</v>
      </c>
      <c r="B82" s="5" t="s">
        <v>401</v>
      </c>
      <c r="C82" s="5" t="s">
        <v>12</v>
      </c>
      <c r="D82" s="6">
        <v>44104</v>
      </c>
      <c r="E82" s="12">
        <v>44346</v>
      </c>
      <c r="F82" t="s">
        <v>0</v>
      </c>
    </row>
    <row r="83" spans="1:6" x14ac:dyDescent="0.25">
      <c r="A83" s="5">
        <v>16390457</v>
      </c>
      <c r="B83" s="5" t="s">
        <v>400</v>
      </c>
      <c r="C83" s="5" t="s">
        <v>12</v>
      </c>
      <c r="D83" s="6">
        <v>44140</v>
      </c>
      <c r="E83" s="12">
        <v>44348</v>
      </c>
      <c r="F83" t="s">
        <v>1</v>
      </c>
    </row>
    <row r="84" spans="1:6" x14ac:dyDescent="0.25">
      <c r="A84" s="5">
        <v>16390482</v>
      </c>
      <c r="B84" s="5" t="s">
        <v>401</v>
      </c>
      <c r="C84" s="5" t="s">
        <v>12</v>
      </c>
      <c r="D84" s="6">
        <v>44176</v>
      </c>
      <c r="E84" s="12">
        <v>44367</v>
      </c>
      <c r="F84" t="s">
        <v>0</v>
      </c>
    </row>
    <row r="85" spans="1:6" x14ac:dyDescent="0.25">
      <c r="A85" s="5">
        <v>16390483</v>
      </c>
      <c r="B85" s="5" t="s">
        <v>401</v>
      </c>
      <c r="C85" s="5" t="s">
        <v>18</v>
      </c>
      <c r="D85" s="6">
        <v>44146</v>
      </c>
      <c r="E85" s="12">
        <v>44367</v>
      </c>
      <c r="F85" t="s">
        <v>0</v>
      </c>
    </row>
    <row r="86" spans="1:6" x14ac:dyDescent="0.25">
      <c r="A86" s="5">
        <v>16390484</v>
      </c>
      <c r="B86" s="5" t="s">
        <v>401</v>
      </c>
      <c r="C86" s="5" t="s">
        <v>12</v>
      </c>
      <c r="D86" s="6">
        <v>44180</v>
      </c>
      <c r="E86" s="12">
        <v>44367</v>
      </c>
      <c r="F86" t="s">
        <v>0</v>
      </c>
    </row>
    <row r="87" spans="1:6" x14ac:dyDescent="0.25">
      <c r="A87" s="5">
        <v>16390485</v>
      </c>
      <c r="B87" s="5" t="s">
        <v>400</v>
      </c>
      <c r="C87" s="5" t="s">
        <v>12</v>
      </c>
      <c r="D87" s="6">
        <v>44180</v>
      </c>
      <c r="E87" s="12">
        <v>44367</v>
      </c>
      <c r="F87" t="s">
        <v>0</v>
      </c>
    </row>
    <row r="88" spans="1:6" x14ac:dyDescent="0.25">
      <c r="A88" s="5">
        <v>16390486</v>
      </c>
      <c r="B88" s="5" t="s">
        <v>400</v>
      </c>
      <c r="C88" s="5" t="s">
        <v>12</v>
      </c>
      <c r="D88" s="6">
        <v>44165</v>
      </c>
      <c r="E88" s="12">
        <v>44367</v>
      </c>
      <c r="F88" t="s">
        <v>0</v>
      </c>
    </row>
    <row r="89" spans="1:6" x14ac:dyDescent="0.25">
      <c r="A89" s="5">
        <v>16390487</v>
      </c>
      <c r="B89" s="5" t="s">
        <v>401</v>
      </c>
      <c r="C89" s="5" t="s">
        <v>79</v>
      </c>
      <c r="D89" s="6">
        <v>44165</v>
      </c>
      <c r="E89" s="12">
        <v>44367</v>
      </c>
      <c r="F89" t="s">
        <v>0</v>
      </c>
    </row>
    <row r="90" spans="1:6" x14ac:dyDescent="0.25">
      <c r="A90" s="5">
        <v>16390488</v>
      </c>
      <c r="B90" s="5" t="s">
        <v>401</v>
      </c>
      <c r="C90" s="5" t="s">
        <v>24</v>
      </c>
      <c r="D90" s="6">
        <v>44165</v>
      </c>
      <c r="E90" s="12">
        <v>44367</v>
      </c>
      <c r="F90" t="s">
        <v>0</v>
      </c>
    </row>
    <row r="91" spans="1:6" x14ac:dyDescent="0.25">
      <c r="A91" s="5">
        <v>16390489</v>
      </c>
      <c r="B91" s="5" t="s">
        <v>400</v>
      </c>
      <c r="C91" s="5" t="s">
        <v>12</v>
      </c>
      <c r="D91" s="6">
        <v>44134</v>
      </c>
      <c r="E91" s="12">
        <v>44367</v>
      </c>
      <c r="F91" t="s">
        <v>0</v>
      </c>
    </row>
    <row r="92" spans="1:6" x14ac:dyDescent="0.25">
      <c r="A92" s="5">
        <v>16390490</v>
      </c>
      <c r="B92" s="5" t="s">
        <v>401</v>
      </c>
      <c r="C92" s="5" t="s">
        <v>12</v>
      </c>
      <c r="D92" s="6">
        <v>44165</v>
      </c>
      <c r="E92" s="12">
        <v>44367</v>
      </c>
      <c r="F92" t="s">
        <v>0</v>
      </c>
    </row>
    <row r="93" spans="1:6" x14ac:dyDescent="0.25">
      <c r="A93" s="5">
        <v>16390491</v>
      </c>
      <c r="B93" s="5" t="s">
        <v>400</v>
      </c>
      <c r="C93" s="5" t="s">
        <v>12</v>
      </c>
      <c r="D93" s="6">
        <v>44165</v>
      </c>
      <c r="E93" s="12">
        <v>44367</v>
      </c>
      <c r="F93" t="s">
        <v>0</v>
      </c>
    </row>
    <row r="94" spans="1:6" x14ac:dyDescent="0.25">
      <c r="A94" s="5">
        <v>16390492</v>
      </c>
      <c r="B94" s="5" t="s">
        <v>401</v>
      </c>
      <c r="C94" s="5" t="s">
        <v>79</v>
      </c>
      <c r="D94" s="6">
        <v>44226</v>
      </c>
      <c r="E94" s="12">
        <v>44367</v>
      </c>
      <c r="F94" t="s">
        <v>0</v>
      </c>
    </row>
    <row r="95" spans="1:6" x14ac:dyDescent="0.25">
      <c r="A95" s="5">
        <v>16390493</v>
      </c>
      <c r="B95" s="5" t="s">
        <v>401</v>
      </c>
      <c r="C95" s="5" t="s">
        <v>12</v>
      </c>
      <c r="D95" s="6">
        <v>44195</v>
      </c>
      <c r="E95" s="12">
        <v>44367</v>
      </c>
      <c r="F95" t="s">
        <v>0</v>
      </c>
    </row>
    <row r="96" spans="1:6" x14ac:dyDescent="0.25">
      <c r="A96" s="5">
        <v>16390494</v>
      </c>
      <c r="B96" s="5" t="s">
        <v>401</v>
      </c>
      <c r="C96" s="5" t="s">
        <v>12</v>
      </c>
      <c r="D96" s="6">
        <v>44195</v>
      </c>
      <c r="E96" s="12">
        <v>44367</v>
      </c>
      <c r="F96" t="s">
        <v>0</v>
      </c>
    </row>
    <row r="97" spans="1:6" x14ac:dyDescent="0.25">
      <c r="A97" s="5">
        <v>16390495</v>
      </c>
      <c r="B97" s="5" t="s">
        <v>401</v>
      </c>
      <c r="C97" s="5" t="s">
        <v>18</v>
      </c>
      <c r="D97" s="6">
        <v>44195</v>
      </c>
      <c r="E97" s="12">
        <v>44367</v>
      </c>
      <c r="F97" t="s">
        <v>0</v>
      </c>
    </row>
    <row r="98" spans="1:6" x14ac:dyDescent="0.25">
      <c r="A98" s="5">
        <v>16390496</v>
      </c>
      <c r="B98" s="5" t="s">
        <v>400</v>
      </c>
      <c r="C98" s="5" t="s">
        <v>12</v>
      </c>
      <c r="D98" s="6">
        <v>44195</v>
      </c>
      <c r="E98" s="12">
        <v>44367</v>
      </c>
      <c r="F98" t="s">
        <v>0</v>
      </c>
    </row>
    <row r="99" spans="1:6" x14ac:dyDescent="0.25">
      <c r="A99" s="5">
        <v>16390497</v>
      </c>
      <c r="B99" s="5" t="s">
        <v>401</v>
      </c>
      <c r="C99" s="5" t="s">
        <v>12</v>
      </c>
      <c r="D99" s="6">
        <v>44195</v>
      </c>
      <c r="E99" s="12">
        <v>44367</v>
      </c>
      <c r="F99" t="s">
        <v>0</v>
      </c>
    </row>
    <row r="100" spans="1:6" x14ac:dyDescent="0.25">
      <c r="A100" s="5">
        <v>16390498</v>
      </c>
      <c r="B100" s="5" t="s">
        <v>400</v>
      </c>
      <c r="C100" s="5" t="s">
        <v>18</v>
      </c>
      <c r="D100" s="6">
        <v>44175</v>
      </c>
      <c r="E100" s="12">
        <v>44367</v>
      </c>
      <c r="F100" t="s">
        <v>0</v>
      </c>
    </row>
    <row r="101" spans="1:6" x14ac:dyDescent="0.25">
      <c r="A101" s="5">
        <v>16390499</v>
      </c>
      <c r="B101" s="5" t="s">
        <v>401</v>
      </c>
      <c r="C101" s="5" t="s">
        <v>18</v>
      </c>
      <c r="D101" s="6">
        <v>44190</v>
      </c>
      <c r="E101" s="12">
        <v>44367</v>
      </c>
      <c r="F101" t="s">
        <v>0</v>
      </c>
    </row>
    <row r="102" spans="1:6" x14ac:dyDescent="0.25">
      <c r="A102" s="5">
        <v>16390500</v>
      </c>
      <c r="B102" s="5" t="s">
        <v>401</v>
      </c>
      <c r="C102" s="5" t="s">
        <v>12</v>
      </c>
      <c r="D102" s="6">
        <v>44195</v>
      </c>
      <c r="E102" s="12">
        <v>44367</v>
      </c>
      <c r="F102" t="s">
        <v>0</v>
      </c>
    </row>
    <row r="103" spans="1:6" x14ac:dyDescent="0.25">
      <c r="A103" s="5">
        <v>16390501</v>
      </c>
      <c r="B103" s="5" t="s">
        <v>400</v>
      </c>
      <c r="C103" s="5" t="s">
        <v>12</v>
      </c>
      <c r="D103" s="6">
        <v>44190</v>
      </c>
      <c r="E103" s="12">
        <v>44367</v>
      </c>
      <c r="F103" t="s">
        <v>0</v>
      </c>
    </row>
    <row r="104" spans="1:6" x14ac:dyDescent="0.25">
      <c r="A104" s="5">
        <v>16390502</v>
      </c>
      <c r="B104" s="5" t="s">
        <v>400</v>
      </c>
      <c r="C104" s="5" t="s">
        <v>12</v>
      </c>
      <c r="D104" s="6">
        <v>44190</v>
      </c>
      <c r="E104" s="12">
        <v>44367</v>
      </c>
      <c r="F104" t="s">
        <v>0</v>
      </c>
    </row>
    <row r="105" spans="1:6" x14ac:dyDescent="0.25">
      <c r="A105" s="5">
        <v>16390503</v>
      </c>
      <c r="B105" s="5" t="s">
        <v>400</v>
      </c>
      <c r="C105" s="5" t="s">
        <v>12</v>
      </c>
      <c r="D105" s="6">
        <v>41197</v>
      </c>
      <c r="E105" s="12">
        <v>44385</v>
      </c>
      <c r="F105" t="s">
        <v>3</v>
      </c>
    </row>
    <row r="106" spans="1:6" x14ac:dyDescent="0.25">
      <c r="A106" s="5">
        <v>16390504</v>
      </c>
      <c r="B106" s="5" t="s">
        <v>400</v>
      </c>
      <c r="C106" s="5" t="s">
        <v>12</v>
      </c>
      <c r="D106" s="6">
        <v>41197</v>
      </c>
      <c r="E106" s="12">
        <v>44385</v>
      </c>
      <c r="F106" t="s">
        <v>3</v>
      </c>
    </row>
    <row r="107" spans="1:6" x14ac:dyDescent="0.25">
      <c r="A107" s="5">
        <v>16390505</v>
      </c>
      <c r="B107" s="5" t="s">
        <v>400</v>
      </c>
      <c r="C107" s="5" t="s">
        <v>12</v>
      </c>
      <c r="D107" s="6">
        <v>44195</v>
      </c>
      <c r="E107" s="12">
        <v>44395</v>
      </c>
      <c r="F107" t="s">
        <v>2</v>
      </c>
    </row>
    <row r="108" spans="1:6" x14ac:dyDescent="0.25">
      <c r="A108" s="5">
        <v>16390506</v>
      </c>
      <c r="B108" s="5" t="s">
        <v>400</v>
      </c>
      <c r="C108" s="5" t="s">
        <v>12</v>
      </c>
      <c r="D108" s="6">
        <v>44195</v>
      </c>
      <c r="E108" s="12">
        <v>44395</v>
      </c>
      <c r="F108" t="s">
        <v>2</v>
      </c>
    </row>
    <row r="109" spans="1:6" x14ac:dyDescent="0.25">
      <c r="A109" s="5">
        <v>16390507</v>
      </c>
      <c r="B109" s="5" t="s">
        <v>400</v>
      </c>
      <c r="C109" s="5" t="s">
        <v>12</v>
      </c>
      <c r="D109" s="6">
        <v>44195</v>
      </c>
      <c r="E109" s="12">
        <v>44395</v>
      </c>
      <c r="F109" t="s">
        <v>2</v>
      </c>
    </row>
    <row r="110" spans="1:6" x14ac:dyDescent="0.25">
      <c r="A110" s="5">
        <v>16390508</v>
      </c>
      <c r="B110" s="5" t="s">
        <v>400</v>
      </c>
      <c r="C110" s="5" t="s">
        <v>24</v>
      </c>
      <c r="D110" s="6">
        <v>44195</v>
      </c>
      <c r="E110" s="12">
        <v>44395</v>
      </c>
      <c r="F110" t="s">
        <v>2</v>
      </c>
    </row>
    <row r="111" spans="1:6" x14ac:dyDescent="0.25">
      <c r="A111" s="5">
        <v>16390509</v>
      </c>
      <c r="B111" s="5" t="s">
        <v>401</v>
      </c>
      <c r="C111" s="5" t="s">
        <v>18</v>
      </c>
      <c r="D111" s="6">
        <v>44195</v>
      </c>
      <c r="E111" s="12">
        <v>44395</v>
      </c>
      <c r="F111" t="s">
        <v>2</v>
      </c>
    </row>
    <row r="112" spans="1:6" x14ac:dyDescent="0.25">
      <c r="A112" s="5">
        <v>16390510</v>
      </c>
      <c r="B112" s="5" t="s">
        <v>400</v>
      </c>
      <c r="C112" s="5" t="s">
        <v>79</v>
      </c>
      <c r="D112" s="6">
        <v>44195</v>
      </c>
      <c r="E112" s="12">
        <v>44395</v>
      </c>
      <c r="F112" t="s">
        <v>2</v>
      </c>
    </row>
    <row r="113" spans="1:6" x14ac:dyDescent="0.25">
      <c r="A113" s="5">
        <v>16390511</v>
      </c>
      <c r="B113" s="5" t="s">
        <v>401</v>
      </c>
      <c r="C113" s="5" t="s">
        <v>12</v>
      </c>
      <c r="D113" s="6">
        <v>44195</v>
      </c>
      <c r="E113" s="12">
        <v>44395</v>
      </c>
      <c r="F113" t="s">
        <v>2</v>
      </c>
    </row>
    <row r="114" spans="1:6" x14ac:dyDescent="0.25">
      <c r="A114" s="5">
        <v>16390512</v>
      </c>
      <c r="B114" s="5" t="s">
        <v>401</v>
      </c>
      <c r="C114" s="5" t="s">
        <v>12</v>
      </c>
      <c r="D114" s="6">
        <v>44195</v>
      </c>
      <c r="E114" s="12">
        <v>44395</v>
      </c>
      <c r="F114" t="s">
        <v>2</v>
      </c>
    </row>
    <row r="115" spans="1:6" x14ac:dyDescent="0.25">
      <c r="A115" s="5">
        <v>16390513</v>
      </c>
      <c r="B115" s="5" t="s">
        <v>400</v>
      </c>
      <c r="C115" s="5" t="s">
        <v>12</v>
      </c>
      <c r="D115" s="6">
        <v>44195</v>
      </c>
      <c r="E115" s="12">
        <v>44395</v>
      </c>
      <c r="F115" t="s">
        <v>2</v>
      </c>
    </row>
    <row r="116" spans="1:6" x14ac:dyDescent="0.25">
      <c r="A116" s="5">
        <v>16390514</v>
      </c>
      <c r="B116" s="5" t="s">
        <v>401</v>
      </c>
      <c r="C116" s="5" t="s">
        <v>12</v>
      </c>
      <c r="D116" s="6">
        <v>44195</v>
      </c>
      <c r="E116" s="12">
        <v>44395</v>
      </c>
      <c r="F116" t="s">
        <v>2</v>
      </c>
    </row>
    <row r="117" spans="1:6" x14ac:dyDescent="0.25">
      <c r="A117" s="5">
        <v>16390515</v>
      </c>
      <c r="B117" s="5" t="s">
        <v>401</v>
      </c>
      <c r="C117" s="5" t="s">
        <v>79</v>
      </c>
      <c r="D117" s="6">
        <v>44195</v>
      </c>
      <c r="E117" s="12">
        <v>44395</v>
      </c>
      <c r="F117" t="s">
        <v>2</v>
      </c>
    </row>
    <row r="118" spans="1:6" x14ac:dyDescent="0.25">
      <c r="A118" s="5">
        <v>16390517</v>
      </c>
      <c r="B118" s="5" t="s">
        <v>401</v>
      </c>
      <c r="C118" s="5" t="s">
        <v>12</v>
      </c>
      <c r="D118" s="6">
        <v>43023</v>
      </c>
      <c r="E118" s="12">
        <v>44397</v>
      </c>
      <c r="F118" t="s">
        <v>0</v>
      </c>
    </row>
    <row r="119" spans="1:6" x14ac:dyDescent="0.25">
      <c r="A119" s="5">
        <v>16390519</v>
      </c>
      <c r="B119" s="5" t="s">
        <v>401</v>
      </c>
      <c r="C119" s="5" t="s">
        <v>12</v>
      </c>
      <c r="D119" s="6">
        <v>43023</v>
      </c>
      <c r="E119" s="12">
        <v>44397</v>
      </c>
      <c r="F119" t="s">
        <v>0</v>
      </c>
    </row>
    <row r="120" spans="1:6" x14ac:dyDescent="0.25">
      <c r="A120" s="5">
        <v>16390520</v>
      </c>
      <c r="B120" s="5" t="s">
        <v>401</v>
      </c>
      <c r="C120" s="5" t="s">
        <v>12</v>
      </c>
      <c r="D120" s="6">
        <v>43023</v>
      </c>
      <c r="E120" s="12">
        <v>44397</v>
      </c>
      <c r="F120" t="s">
        <v>0</v>
      </c>
    </row>
    <row r="121" spans="1:6" x14ac:dyDescent="0.25">
      <c r="A121" s="5">
        <v>20910001</v>
      </c>
      <c r="B121" s="5" t="s">
        <v>400</v>
      </c>
      <c r="C121" s="5" t="s">
        <v>12</v>
      </c>
      <c r="D121" s="6">
        <v>44469</v>
      </c>
      <c r="E121" s="12">
        <v>44480</v>
      </c>
      <c r="F121" t="s">
        <v>0</v>
      </c>
    </row>
    <row r="122" spans="1:6" x14ac:dyDescent="0.25">
      <c r="A122" s="5">
        <v>20910002</v>
      </c>
      <c r="B122" s="5" t="s">
        <v>401</v>
      </c>
      <c r="C122" s="5" t="s">
        <v>12</v>
      </c>
      <c r="D122" s="6">
        <v>44443</v>
      </c>
      <c r="E122" s="12">
        <v>44480</v>
      </c>
      <c r="F122" t="s">
        <v>0</v>
      </c>
    </row>
    <row r="123" spans="1:6" x14ac:dyDescent="0.25">
      <c r="A123" s="5">
        <v>20910003</v>
      </c>
      <c r="B123" s="5" t="s">
        <v>401</v>
      </c>
      <c r="C123" s="5" t="s">
        <v>79</v>
      </c>
      <c r="D123" s="6">
        <v>44469</v>
      </c>
      <c r="E123" s="12">
        <v>44480</v>
      </c>
      <c r="F123" t="s">
        <v>0</v>
      </c>
    </row>
    <row r="124" spans="1:6" x14ac:dyDescent="0.25">
      <c r="A124" s="5">
        <v>20910004</v>
      </c>
      <c r="B124" s="5" t="s">
        <v>401</v>
      </c>
      <c r="C124" s="5" t="s">
        <v>12</v>
      </c>
      <c r="D124" s="6">
        <v>44469</v>
      </c>
      <c r="E124" s="12">
        <v>44480</v>
      </c>
      <c r="F124" t="s">
        <v>0</v>
      </c>
    </row>
    <row r="125" spans="1:6" x14ac:dyDescent="0.25">
      <c r="A125" s="5">
        <v>20910005</v>
      </c>
      <c r="B125" s="5" t="s">
        <v>400</v>
      </c>
      <c r="C125" s="5" t="s">
        <v>12</v>
      </c>
      <c r="D125" s="6">
        <v>44377</v>
      </c>
      <c r="E125" s="12">
        <v>44480</v>
      </c>
      <c r="F125" t="s">
        <v>0</v>
      </c>
    </row>
    <row r="126" spans="1:6" x14ac:dyDescent="0.25">
      <c r="A126" s="5">
        <v>20910006</v>
      </c>
      <c r="B126" s="5" t="s">
        <v>401</v>
      </c>
      <c r="C126" s="5" t="s">
        <v>12</v>
      </c>
      <c r="D126" s="6">
        <v>44469</v>
      </c>
      <c r="E126" s="12">
        <v>44480</v>
      </c>
      <c r="F126" t="s">
        <v>0</v>
      </c>
    </row>
    <row r="127" spans="1:6" x14ac:dyDescent="0.25">
      <c r="A127" s="5">
        <v>20910007</v>
      </c>
      <c r="B127" s="5" t="s">
        <v>400</v>
      </c>
      <c r="C127" s="5" t="s">
        <v>12</v>
      </c>
      <c r="D127" s="6">
        <v>44479</v>
      </c>
      <c r="E127" s="12">
        <v>44480</v>
      </c>
      <c r="F127" t="s">
        <v>0</v>
      </c>
    </row>
    <row r="128" spans="1:6" x14ac:dyDescent="0.25">
      <c r="A128" s="5">
        <v>20910008</v>
      </c>
      <c r="B128" s="5" t="s">
        <v>400</v>
      </c>
      <c r="C128" s="5" t="s">
        <v>18</v>
      </c>
      <c r="D128" s="6">
        <v>44474</v>
      </c>
      <c r="E128" s="12">
        <v>44480</v>
      </c>
      <c r="F128" t="s">
        <v>0</v>
      </c>
    </row>
    <row r="129" spans="1:6" x14ac:dyDescent="0.25">
      <c r="A129" s="5">
        <v>20910009</v>
      </c>
      <c r="B129" s="5" t="s">
        <v>401</v>
      </c>
      <c r="C129" s="5" t="s">
        <v>12</v>
      </c>
      <c r="D129" s="6">
        <v>44474</v>
      </c>
      <c r="E129" s="12">
        <v>44480</v>
      </c>
      <c r="F129" t="s">
        <v>0</v>
      </c>
    </row>
    <row r="130" spans="1:6" x14ac:dyDescent="0.25">
      <c r="A130" s="5">
        <v>20910010</v>
      </c>
      <c r="B130" s="5" t="s">
        <v>400</v>
      </c>
      <c r="C130" s="5" t="s">
        <v>12</v>
      </c>
      <c r="D130" s="6">
        <v>44474</v>
      </c>
      <c r="E130" s="12">
        <v>44480</v>
      </c>
      <c r="F130" t="s">
        <v>0</v>
      </c>
    </row>
    <row r="131" spans="1:6" x14ac:dyDescent="0.25">
      <c r="A131" s="5">
        <v>20910011</v>
      </c>
      <c r="B131" s="5" t="s">
        <v>401</v>
      </c>
      <c r="C131" s="5" t="s">
        <v>12</v>
      </c>
      <c r="D131" s="6">
        <v>44469</v>
      </c>
      <c r="E131" s="12">
        <v>44480</v>
      </c>
      <c r="F131" t="s">
        <v>0</v>
      </c>
    </row>
    <row r="132" spans="1:6" x14ac:dyDescent="0.25">
      <c r="A132" s="5">
        <v>20910012</v>
      </c>
      <c r="B132" s="5" t="s">
        <v>400</v>
      </c>
      <c r="C132" s="5" t="s">
        <v>12</v>
      </c>
      <c r="D132" s="6">
        <v>44469</v>
      </c>
      <c r="E132" s="12">
        <v>44480</v>
      </c>
      <c r="F132" t="s">
        <v>0</v>
      </c>
    </row>
    <row r="133" spans="1:6" x14ac:dyDescent="0.25">
      <c r="A133" s="5">
        <v>20910013</v>
      </c>
      <c r="B133" s="5" t="s">
        <v>401</v>
      </c>
      <c r="C133" s="5" t="s">
        <v>18</v>
      </c>
      <c r="D133" s="6">
        <v>44469</v>
      </c>
      <c r="E133" s="12">
        <v>44480</v>
      </c>
      <c r="F133" t="s">
        <v>0</v>
      </c>
    </row>
    <row r="134" spans="1:6" x14ac:dyDescent="0.25">
      <c r="A134" s="5">
        <v>20910014</v>
      </c>
      <c r="B134" s="5" t="s">
        <v>400</v>
      </c>
      <c r="C134" s="5" t="s">
        <v>18</v>
      </c>
      <c r="D134" s="6">
        <v>44469</v>
      </c>
      <c r="E134" s="12">
        <v>44480</v>
      </c>
      <c r="F134" t="s">
        <v>0</v>
      </c>
    </row>
    <row r="135" spans="1:6" x14ac:dyDescent="0.25">
      <c r="A135" s="5">
        <v>20910015</v>
      </c>
      <c r="B135" s="5" t="s">
        <v>400</v>
      </c>
      <c r="C135" s="5" t="s">
        <v>12</v>
      </c>
      <c r="D135" s="6">
        <v>44457</v>
      </c>
      <c r="E135" s="12">
        <v>44480</v>
      </c>
      <c r="F135" t="s">
        <v>0</v>
      </c>
    </row>
    <row r="136" spans="1:6" x14ac:dyDescent="0.25">
      <c r="A136" s="5">
        <v>20910016</v>
      </c>
      <c r="B136" s="5" t="s">
        <v>400</v>
      </c>
      <c r="C136" s="5" t="s">
        <v>18</v>
      </c>
      <c r="D136" s="6">
        <v>44479</v>
      </c>
      <c r="E136" s="12">
        <v>44480</v>
      </c>
      <c r="F136" t="s">
        <v>0</v>
      </c>
    </row>
    <row r="137" spans="1:6" x14ac:dyDescent="0.25">
      <c r="A137" s="5">
        <v>20910017</v>
      </c>
      <c r="B137" s="5" t="s">
        <v>400</v>
      </c>
      <c r="C137" s="5" t="s">
        <v>18</v>
      </c>
      <c r="D137" s="6">
        <v>44457</v>
      </c>
      <c r="E137" s="12">
        <v>44480</v>
      </c>
      <c r="F137" t="s">
        <v>0</v>
      </c>
    </row>
    <row r="138" spans="1:6" x14ac:dyDescent="0.25">
      <c r="A138" s="5">
        <v>20910018</v>
      </c>
      <c r="B138" s="5" t="s">
        <v>400</v>
      </c>
      <c r="C138" s="5" t="s">
        <v>18</v>
      </c>
      <c r="D138" s="6">
        <v>44469</v>
      </c>
      <c r="E138" s="12">
        <v>44480</v>
      </c>
      <c r="F138" t="s">
        <v>0</v>
      </c>
    </row>
    <row r="139" spans="1:6" x14ac:dyDescent="0.25">
      <c r="A139" s="5">
        <v>20910019</v>
      </c>
      <c r="B139" s="5" t="s">
        <v>401</v>
      </c>
      <c r="C139" s="5" t="s">
        <v>12</v>
      </c>
      <c r="D139" s="6">
        <v>44469</v>
      </c>
      <c r="E139" s="12">
        <v>44480</v>
      </c>
      <c r="F139" t="s">
        <v>0</v>
      </c>
    </row>
    <row r="140" spans="1:6" x14ac:dyDescent="0.25">
      <c r="A140" s="5">
        <v>20910020</v>
      </c>
      <c r="B140" s="5" t="s">
        <v>401</v>
      </c>
      <c r="C140" s="5" t="s">
        <v>12</v>
      </c>
      <c r="D140" s="6">
        <v>44469</v>
      </c>
      <c r="E140" s="12">
        <v>44480</v>
      </c>
      <c r="F140" t="s">
        <v>0</v>
      </c>
    </row>
    <row r="141" spans="1:6" x14ac:dyDescent="0.25">
      <c r="A141" s="5">
        <v>20910021</v>
      </c>
      <c r="B141" s="5" t="s">
        <v>400</v>
      </c>
      <c r="C141" s="5" t="s">
        <v>12</v>
      </c>
      <c r="D141" s="6">
        <v>44478</v>
      </c>
      <c r="E141" s="12">
        <v>44480</v>
      </c>
      <c r="F141" t="s">
        <v>0</v>
      </c>
    </row>
    <row r="142" spans="1:6" x14ac:dyDescent="0.25">
      <c r="A142" s="5">
        <v>20910022</v>
      </c>
      <c r="B142" s="5" t="s">
        <v>401</v>
      </c>
      <c r="C142" s="5" t="s">
        <v>12</v>
      </c>
      <c r="D142" s="6">
        <v>44469</v>
      </c>
      <c r="E142" s="12">
        <v>44480</v>
      </c>
      <c r="F142" t="s">
        <v>0</v>
      </c>
    </row>
    <row r="143" spans="1:6" x14ac:dyDescent="0.25">
      <c r="A143" s="5">
        <v>20910023</v>
      </c>
      <c r="B143" s="5" t="s">
        <v>401</v>
      </c>
      <c r="C143" s="5" t="s">
        <v>18</v>
      </c>
      <c r="D143" s="6">
        <v>44469</v>
      </c>
      <c r="E143" s="12">
        <v>44480</v>
      </c>
      <c r="F143" t="s">
        <v>0</v>
      </c>
    </row>
    <row r="144" spans="1:6" x14ac:dyDescent="0.25">
      <c r="A144" s="5">
        <v>20910024</v>
      </c>
      <c r="B144" s="5" t="s">
        <v>401</v>
      </c>
      <c r="C144" s="5" t="s">
        <v>12</v>
      </c>
      <c r="D144" s="6">
        <v>44459</v>
      </c>
      <c r="E144" s="12">
        <v>44480</v>
      </c>
      <c r="F144" t="s">
        <v>0</v>
      </c>
    </row>
    <row r="145" spans="1:6" x14ac:dyDescent="0.25">
      <c r="A145" s="5">
        <v>20910025</v>
      </c>
      <c r="B145" s="5" t="s">
        <v>401</v>
      </c>
      <c r="C145" s="5" t="s">
        <v>12</v>
      </c>
      <c r="D145" s="6">
        <v>44474</v>
      </c>
      <c r="E145" s="12">
        <v>44480</v>
      </c>
      <c r="F145" t="s">
        <v>0</v>
      </c>
    </row>
    <row r="146" spans="1:6" x14ac:dyDescent="0.25">
      <c r="A146" s="5">
        <v>20910026</v>
      </c>
      <c r="B146" s="5" t="s">
        <v>400</v>
      </c>
      <c r="C146" s="5" t="s">
        <v>18</v>
      </c>
      <c r="D146" s="6">
        <v>44459</v>
      </c>
      <c r="E146" s="12">
        <v>44480</v>
      </c>
      <c r="F146" t="s">
        <v>0</v>
      </c>
    </row>
    <row r="147" spans="1:6" x14ac:dyDescent="0.25">
      <c r="A147" s="5">
        <v>20910027</v>
      </c>
      <c r="B147" s="5" t="s">
        <v>401</v>
      </c>
      <c r="C147" s="5" t="s">
        <v>18</v>
      </c>
      <c r="D147" s="6">
        <v>44479</v>
      </c>
      <c r="E147" s="12">
        <v>44480</v>
      </c>
      <c r="F147" t="s">
        <v>0</v>
      </c>
    </row>
    <row r="148" spans="1:6" x14ac:dyDescent="0.25">
      <c r="A148" s="5">
        <v>20910028</v>
      </c>
      <c r="B148" s="5" t="s">
        <v>400</v>
      </c>
      <c r="C148" s="5" t="s">
        <v>12</v>
      </c>
      <c r="D148" s="6">
        <v>44474</v>
      </c>
      <c r="E148" s="12">
        <v>44480</v>
      </c>
      <c r="F148" t="s">
        <v>0</v>
      </c>
    </row>
    <row r="149" spans="1:6" x14ac:dyDescent="0.25">
      <c r="A149" s="5">
        <v>20910029</v>
      </c>
      <c r="B149" s="5" t="s">
        <v>401</v>
      </c>
      <c r="C149" s="5" t="s">
        <v>18</v>
      </c>
      <c r="D149" s="6">
        <v>44474</v>
      </c>
      <c r="E149" s="12">
        <v>44480</v>
      </c>
      <c r="F149" t="s">
        <v>0</v>
      </c>
    </row>
    <row r="150" spans="1:6" x14ac:dyDescent="0.25">
      <c r="A150" s="5">
        <v>20910030</v>
      </c>
      <c r="B150" s="5" t="s">
        <v>401</v>
      </c>
      <c r="C150" s="5" t="s">
        <v>12</v>
      </c>
      <c r="D150" s="6">
        <v>44469</v>
      </c>
      <c r="E150" s="12">
        <v>44480</v>
      </c>
      <c r="F150" t="s">
        <v>0</v>
      </c>
    </row>
    <row r="151" spans="1:6" x14ac:dyDescent="0.25">
      <c r="A151" s="5">
        <v>20910031</v>
      </c>
      <c r="B151" s="5" t="s">
        <v>400</v>
      </c>
      <c r="C151" s="5" t="s">
        <v>18</v>
      </c>
      <c r="D151" s="6">
        <v>44469</v>
      </c>
      <c r="E151" s="12">
        <v>44480</v>
      </c>
      <c r="F151" t="s">
        <v>0</v>
      </c>
    </row>
    <row r="152" spans="1:6" x14ac:dyDescent="0.25">
      <c r="A152" s="5">
        <v>20910032</v>
      </c>
      <c r="B152" s="5" t="s">
        <v>401</v>
      </c>
      <c r="C152" s="5" t="s">
        <v>12</v>
      </c>
      <c r="D152" s="6">
        <v>44474</v>
      </c>
      <c r="E152" s="12">
        <v>44480</v>
      </c>
      <c r="F152" t="s">
        <v>0</v>
      </c>
    </row>
    <row r="153" spans="1:6" x14ac:dyDescent="0.25">
      <c r="A153" s="5">
        <v>20910033</v>
      </c>
      <c r="B153" s="5" t="s">
        <v>401</v>
      </c>
      <c r="C153" s="5" t="s">
        <v>12</v>
      </c>
      <c r="D153" s="6">
        <v>44474</v>
      </c>
      <c r="E153" s="12">
        <v>44480</v>
      </c>
      <c r="F153" t="s">
        <v>0</v>
      </c>
    </row>
    <row r="154" spans="1:6" x14ac:dyDescent="0.25">
      <c r="A154" s="5">
        <v>20910034</v>
      </c>
      <c r="B154" s="5" t="s">
        <v>401</v>
      </c>
      <c r="C154" s="5" t="s">
        <v>12</v>
      </c>
      <c r="D154" s="6">
        <v>44469</v>
      </c>
      <c r="E154" s="12">
        <v>44480</v>
      </c>
      <c r="F154" t="s">
        <v>0</v>
      </c>
    </row>
    <row r="155" spans="1:6" x14ac:dyDescent="0.25">
      <c r="A155" s="5">
        <v>20910035</v>
      </c>
      <c r="B155" s="5" t="s">
        <v>401</v>
      </c>
      <c r="C155" s="5" t="s">
        <v>12</v>
      </c>
      <c r="D155" s="6">
        <v>44459</v>
      </c>
      <c r="E155" s="12">
        <v>44480</v>
      </c>
      <c r="F155" t="s">
        <v>0</v>
      </c>
    </row>
    <row r="156" spans="1:6" x14ac:dyDescent="0.25">
      <c r="A156" s="5">
        <v>20910036</v>
      </c>
      <c r="B156" s="5" t="s">
        <v>400</v>
      </c>
      <c r="C156" s="5" t="s">
        <v>12</v>
      </c>
      <c r="D156" s="6">
        <v>44474</v>
      </c>
      <c r="E156" s="12">
        <v>44480</v>
      </c>
      <c r="F156" t="s">
        <v>0</v>
      </c>
    </row>
    <row r="157" spans="1:6" x14ac:dyDescent="0.25">
      <c r="A157" s="5">
        <v>20910037</v>
      </c>
      <c r="B157" s="5" t="s">
        <v>400</v>
      </c>
      <c r="C157" s="5" t="s">
        <v>12</v>
      </c>
      <c r="D157" s="6">
        <v>44458</v>
      </c>
      <c r="E157" s="12">
        <v>44480</v>
      </c>
      <c r="F157" t="s">
        <v>0</v>
      </c>
    </row>
    <row r="158" spans="1:6" x14ac:dyDescent="0.25">
      <c r="A158" s="5">
        <v>20910038</v>
      </c>
      <c r="B158" s="5" t="s">
        <v>400</v>
      </c>
      <c r="C158" s="5" t="s">
        <v>12</v>
      </c>
      <c r="D158" s="6">
        <v>44476</v>
      </c>
      <c r="E158" s="12">
        <v>44480</v>
      </c>
      <c r="F158" t="s">
        <v>0</v>
      </c>
    </row>
    <row r="159" spans="1:6" x14ac:dyDescent="0.25">
      <c r="A159" s="5">
        <v>20910039</v>
      </c>
      <c r="B159" s="5" t="s">
        <v>400</v>
      </c>
      <c r="C159" s="5" t="s">
        <v>12</v>
      </c>
      <c r="D159" s="6">
        <v>44469</v>
      </c>
      <c r="E159" s="12">
        <v>44480</v>
      </c>
      <c r="F159" t="s">
        <v>0</v>
      </c>
    </row>
    <row r="160" spans="1:6" x14ac:dyDescent="0.25">
      <c r="A160" s="5">
        <v>20910040</v>
      </c>
      <c r="B160" s="5" t="s">
        <v>401</v>
      </c>
      <c r="C160" s="5" t="s">
        <v>12</v>
      </c>
      <c r="D160" s="6">
        <v>44457</v>
      </c>
      <c r="E160" s="12">
        <v>44480</v>
      </c>
      <c r="F160" t="s">
        <v>0</v>
      </c>
    </row>
    <row r="161" spans="1:6" x14ac:dyDescent="0.25">
      <c r="A161" s="5">
        <v>20910041</v>
      </c>
      <c r="B161" s="5" t="s">
        <v>401</v>
      </c>
      <c r="C161" s="5" t="s">
        <v>12</v>
      </c>
      <c r="D161" s="6">
        <v>44469</v>
      </c>
      <c r="E161" s="12">
        <v>44480</v>
      </c>
      <c r="F161" t="s">
        <v>0</v>
      </c>
    </row>
    <row r="162" spans="1:6" x14ac:dyDescent="0.25">
      <c r="A162" s="5">
        <v>20910042</v>
      </c>
      <c r="B162" s="5" t="s">
        <v>401</v>
      </c>
      <c r="C162" s="5" t="s">
        <v>12</v>
      </c>
      <c r="D162" s="6">
        <v>44474</v>
      </c>
      <c r="E162" s="12">
        <v>44480</v>
      </c>
      <c r="F162" t="s">
        <v>0</v>
      </c>
    </row>
    <row r="163" spans="1:6" x14ac:dyDescent="0.25">
      <c r="A163" s="5">
        <v>20910043</v>
      </c>
      <c r="B163" s="5" t="s">
        <v>400</v>
      </c>
      <c r="C163" s="5" t="s">
        <v>12</v>
      </c>
      <c r="D163" s="6">
        <v>44474</v>
      </c>
      <c r="E163" s="12">
        <v>44480</v>
      </c>
      <c r="F163" t="s">
        <v>0</v>
      </c>
    </row>
    <row r="164" spans="1:6" x14ac:dyDescent="0.25">
      <c r="A164" s="5">
        <v>20910044</v>
      </c>
      <c r="B164" s="5" t="s">
        <v>401</v>
      </c>
      <c r="C164" s="5" t="s">
        <v>12</v>
      </c>
      <c r="D164" s="6">
        <v>44459</v>
      </c>
      <c r="E164" s="12">
        <v>44480</v>
      </c>
      <c r="F164" t="s">
        <v>0</v>
      </c>
    </row>
    <row r="165" spans="1:6" x14ac:dyDescent="0.25">
      <c r="A165" s="5">
        <v>20910045</v>
      </c>
      <c r="B165" s="5" t="s">
        <v>401</v>
      </c>
      <c r="C165" s="5" t="s">
        <v>18</v>
      </c>
      <c r="D165" s="6">
        <v>44474</v>
      </c>
      <c r="E165" s="12">
        <v>44480</v>
      </c>
      <c r="F165" t="s">
        <v>0</v>
      </c>
    </row>
    <row r="166" spans="1:6" x14ac:dyDescent="0.25">
      <c r="A166" s="5">
        <v>20910046</v>
      </c>
      <c r="B166" s="5" t="s">
        <v>400</v>
      </c>
      <c r="C166" s="5" t="s">
        <v>18</v>
      </c>
      <c r="D166" s="6">
        <v>44474</v>
      </c>
      <c r="E166" s="12">
        <v>44480</v>
      </c>
      <c r="F166" t="s">
        <v>0</v>
      </c>
    </row>
    <row r="167" spans="1:6" x14ac:dyDescent="0.25">
      <c r="A167" s="5">
        <v>20910047</v>
      </c>
      <c r="B167" s="5" t="s">
        <v>401</v>
      </c>
      <c r="C167" s="5" t="s">
        <v>12</v>
      </c>
      <c r="D167" s="6">
        <v>44474</v>
      </c>
      <c r="E167" s="12">
        <v>44480</v>
      </c>
      <c r="F167" t="s">
        <v>0</v>
      </c>
    </row>
    <row r="168" spans="1:6" x14ac:dyDescent="0.25">
      <c r="A168" s="5">
        <v>20910048</v>
      </c>
      <c r="B168" s="5" t="s">
        <v>401</v>
      </c>
      <c r="C168" s="5" t="s">
        <v>12</v>
      </c>
      <c r="D168" s="6">
        <v>44469</v>
      </c>
      <c r="E168" s="12">
        <v>44480</v>
      </c>
      <c r="F168" t="s">
        <v>0</v>
      </c>
    </row>
    <row r="169" spans="1:6" x14ac:dyDescent="0.25">
      <c r="A169" s="5">
        <v>20910049</v>
      </c>
      <c r="B169" s="5" t="s">
        <v>400</v>
      </c>
      <c r="C169" s="5" t="s">
        <v>12</v>
      </c>
      <c r="D169" s="6">
        <v>44474</v>
      </c>
      <c r="E169" s="12">
        <v>44480</v>
      </c>
      <c r="F169" t="s">
        <v>0</v>
      </c>
    </row>
    <row r="170" spans="1:6" x14ac:dyDescent="0.25">
      <c r="A170" s="5">
        <v>20910050</v>
      </c>
      <c r="B170" s="5" t="s">
        <v>401</v>
      </c>
      <c r="C170" s="5" t="s">
        <v>12</v>
      </c>
      <c r="D170" s="6">
        <v>44474</v>
      </c>
      <c r="E170" s="12">
        <v>44480</v>
      </c>
      <c r="F170" t="s">
        <v>0</v>
      </c>
    </row>
    <row r="171" spans="1:6" x14ac:dyDescent="0.25">
      <c r="A171" s="5">
        <v>20910081</v>
      </c>
      <c r="B171" s="5" t="s">
        <v>401</v>
      </c>
      <c r="C171" s="5" t="s">
        <v>12</v>
      </c>
      <c r="D171" s="6">
        <v>44469</v>
      </c>
      <c r="E171" s="12">
        <v>44491</v>
      </c>
      <c r="F171" t="s">
        <v>2</v>
      </c>
    </row>
    <row r="172" spans="1:6" x14ac:dyDescent="0.25">
      <c r="A172" s="5">
        <v>20910082</v>
      </c>
      <c r="B172" s="5" t="s">
        <v>400</v>
      </c>
      <c r="C172" s="5" t="s">
        <v>12</v>
      </c>
      <c r="D172" s="6">
        <v>44449</v>
      </c>
      <c r="E172" s="12">
        <v>44491</v>
      </c>
      <c r="F172" t="s">
        <v>2</v>
      </c>
    </row>
    <row r="173" spans="1:6" x14ac:dyDescent="0.25">
      <c r="A173" s="5">
        <v>20910083</v>
      </c>
      <c r="B173" s="5" t="s">
        <v>400</v>
      </c>
      <c r="C173" s="5" t="s">
        <v>12</v>
      </c>
      <c r="D173" s="6">
        <v>44469</v>
      </c>
      <c r="E173" s="12">
        <v>44491</v>
      </c>
      <c r="F173" t="s">
        <v>2</v>
      </c>
    </row>
    <row r="174" spans="1:6" x14ac:dyDescent="0.25">
      <c r="A174" s="5">
        <v>20910084</v>
      </c>
      <c r="B174" s="5" t="s">
        <v>400</v>
      </c>
      <c r="C174" s="5" t="s">
        <v>12</v>
      </c>
      <c r="D174" s="6">
        <v>44474</v>
      </c>
      <c r="E174" s="12">
        <v>44491</v>
      </c>
      <c r="F174" t="s">
        <v>2</v>
      </c>
    </row>
    <row r="175" spans="1:6" x14ac:dyDescent="0.25">
      <c r="A175" s="5">
        <v>20910085</v>
      </c>
      <c r="B175" s="5" t="s">
        <v>401</v>
      </c>
      <c r="C175" s="5" t="s">
        <v>12</v>
      </c>
      <c r="D175" s="6">
        <v>44479</v>
      </c>
      <c r="E175" s="12">
        <v>44491</v>
      </c>
      <c r="F175" t="s">
        <v>2</v>
      </c>
    </row>
    <row r="176" spans="1:6" x14ac:dyDescent="0.25">
      <c r="A176" s="5">
        <v>20910086</v>
      </c>
      <c r="B176" s="5" t="s">
        <v>400</v>
      </c>
      <c r="C176" s="5" t="s">
        <v>12</v>
      </c>
      <c r="D176" s="6">
        <v>44469</v>
      </c>
      <c r="E176" s="12">
        <v>44491</v>
      </c>
      <c r="F176" t="s">
        <v>2</v>
      </c>
    </row>
    <row r="177" spans="1:6" x14ac:dyDescent="0.25">
      <c r="A177" s="5">
        <v>20910087</v>
      </c>
      <c r="B177" s="5" t="s">
        <v>401</v>
      </c>
      <c r="C177" s="5" t="s">
        <v>12</v>
      </c>
      <c r="D177" s="6">
        <v>44474</v>
      </c>
      <c r="E177" s="12">
        <v>44491</v>
      </c>
      <c r="F177" t="s">
        <v>2</v>
      </c>
    </row>
    <row r="178" spans="1:6" x14ac:dyDescent="0.25">
      <c r="A178" s="5">
        <v>20910088</v>
      </c>
      <c r="B178" s="5" t="s">
        <v>401</v>
      </c>
      <c r="C178" s="5" t="s">
        <v>12</v>
      </c>
      <c r="D178" s="6">
        <v>44469</v>
      </c>
      <c r="E178" s="12">
        <v>44491</v>
      </c>
      <c r="F178" t="s">
        <v>2</v>
      </c>
    </row>
    <row r="179" spans="1:6" x14ac:dyDescent="0.25">
      <c r="A179" s="5">
        <v>20910089</v>
      </c>
      <c r="B179" s="5" t="s">
        <v>400</v>
      </c>
      <c r="C179" s="5" t="s">
        <v>18</v>
      </c>
      <c r="D179" s="6">
        <v>44469</v>
      </c>
      <c r="E179" s="12">
        <v>44491</v>
      </c>
      <c r="F179" t="s">
        <v>2</v>
      </c>
    </row>
    <row r="180" spans="1:6" x14ac:dyDescent="0.25">
      <c r="A180" s="5">
        <v>20910090</v>
      </c>
      <c r="B180" s="5" t="s">
        <v>400</v>
      </c>
      <c r="C180" s="5" t="s">
        <v>12</v>
      </c>
      <c r="D180" s="6">
        <v>44469</v>
      </c>
      <c r="E180" s="12">
        <v>44491</v>
      </c>
      <c r="F180" t="s">
        <v>2</v>
      </c>
    </row>
    <row r="181" spans="1:6" x14ac:dyDescent="0.25">
      <c r="A181" s="5">
        <v>20910091</v>
      </c>
      <c r="B181" s="5" t="s">
        <v>400</v>
      </c>
      <c r="C181" s="5" t="s">
        <v>12</v>
      </c>
      <c r="D181" s="6">
        <v>44469</v>
      </c>
      <c r="E181" s="12">
        <v>44491</v>
      </c>
      <c r="F181" t="s">
        <v>2</v>
      </c>
    </row>
    <row r="182" spans="1:6" x14ac:dyDescent="0.25">
      <c r="A182" s="5">
        <v>20910092</v>
      </c>
      <c r="B182" s="5" t="s">
        <v>400</v>
      </c>
      <c r="C182" s="5" t="s">
        <v>12</v>
      </c>
      <c r="D182" s="6">
        <v>44469</v>
      </c>
      <c r="E182" s="12">
        <v>44491</v>
      </c>
      <c r="F182" t="s">
        <v>2</v>
      </c>
    </row>
    <row r="183" spans="1:6" x14ac:dyDescent="0.25">
      <c r="A183" s="5">
        <v>20910093</v>
      </c>
      <c r="B183" s="5" t="s">
        <v>400</v>
      </c>
      <c r="C183" s="5" t="s">
        <v>12</v>
      </c>
      <c r="D183" s="6">
        <v>44469</v>
      </c>
      <c r="E183" s="12">
        <v>44491</v>
      </c>
      <c r="F183" t="s">
        <v>2</v>
      </c>
    </row>
    <row r="184" spans="1:6" x14ac:dyDescent="0.25">
      <c r="A184" s="5">
        <v>20910094</v>
      </c>
      <c r="B184" s="5" t="s">
        <v>401</v>
      </c>
      <c r="C184" s="5" t="s">
        <v>12</v>
      </c>
      <c r="D184" s="6">
        <v>44469</v>
      </c>
      <c r="E184" s="12">
        <v>44491</v>
      </c>
      <c r="F184" t="s">
        <v>2</v>
      </c>
    </row>
    <row r="185" spans="1:6" x14ac:dyDescent="0.25">
      <c r="A185" s="5">
        <v>20910095</v>
      </c>
      <c r="B185" s="5" t="s">
        <v>401</v>
      </c>
      <c r="C185" s="5" t="s">
        <v>18</v>
      </c>
      <c r="D185" s="6">
        <v>44469</v>
      </c>
      <c r="E185" s="12">
        <v>44491</v>
      </c>
      <c r="F185" t="s">
        <v>2</v>
      </c>
    </row>
    <row r="186" spans="1:6" x14ac:dyDescent="0.25">
      <c r="A186" s="5">
        <v>20910096</v>
      </c>
      <c r="B186" s="5" t="s">
        <v>400</v>
      </c>
      <c r="C186" s="5" t="s">
        <v>18</v>
      </c>
      <c r="D186" s="6">
        <v>44479</v>
      </c>
      <c r="E186" s="12">
        <v>44491</v>
      </c>
      <c r="F186" t="s">
        <v>2</v>
      </c>
    </row>
    <row r="187" spans="1:6" x14ac:dyDescent="0.25">
      <c r="A187" s="5">
        <v>20910097</v>
      </c>
      <c r="B187" s="5" t="s">
        <v>400</v>
      </c>
      <c r="C187" s="5" t="s">
        <v>12</v>
      </c>
      <c r="D187" s="6">
        <v>44474</v>
      </c>
      <c r="E187" s="12">
        <v>44491</v>
      </c>
      <c r="F187" t="s">
        <v>2</v>
      </c>
    </row>
    <row r="188" spans="1:6" x14ac:dyDescent="0.25">
      <c r="A188" s="5">
        <v>20910098</v>
      </c>
      <c r="B188" s="5" t="s">
        <v>400</v>
      </c>
      <c r="C188" s="5" t="s">
        <v>12</v>
      </c>
      <c r="D188" s="6">
        <v>44469</v>
      </c>
      <c r="E188" s="12">
        <v>44491</v>
      </c>
      <c r="F188" t="s">
        <v>2</v>
      </c>
    </row>
    <row r="189" spans="1:6" x14ac:dyDescent="0.25">
      <c r="A189" s="5">
        <v>20910099</v>
      </c>
      <c r="B189" s="5" t="s">
        <v>400</v>
      </c>
      <c r="C189" s="5" t="s">
        <v>12</v>
      </c>
      <c r="D189" s="6">
        <v>44469</v>
      </c>
      <c r="E189" s="12">
        <v>44491</v>
      </c>
      <c r="F189" t="s">
        <v>2</v>
      </c>
    </row>
    <row r="190" spans="1:6" x14ac:dyDescent="0.25">
      <c r="A190" s="5">
        <v>20910100</v>
      </c>
      <c r="B190" s="5" t="s">
        <v>400</v>
      </c>
      <c r="C190" s="5" t="s">
        <v>12</v>
      </c>
      <c r="D190" s="6">
        <v>44469</v>
      </c>
      <c r="E190" s="12">
        <v>44491</v>
      </c>
      <c r="F190" t="s">
        <v>2</v>
      </c>
    </row>
    <row r="191" spans="1:6" x14ac:dyDescent="0.25">
      <c r="A191" s="5">
        <v>20910101</v>
      </c>
      <c r="B191" s="5" t="s">
        <v>401</v>
      </c>
      <c r="C191" s="5" t="s">
        <v>12</v>
      </c>
      <c r="D191" s="6">
        <v>44469</v>
      </c>
      <c r="E191" s="12">
        <v>44491</v>
      </c>
      <c r="F191" t="s">
        <v>2</v>
      </c>
    </row>
    <row r="192" spans="1:6" x14ac:dyDescent="0.25">
      <c r="A192" s="5">
        <v>20910102</v>
      </c>
      <c r="B192" s="5" t="s">
        <v>401</v>
      </c>
      <c r="C192" s="5" t="s">
        <v>12</v>
      </c>
      <c r="D192" s="6">
        <v>44469</v>
      </c>
      <c r="E192" s="12">
        <v>44491</v>
      </c>
      <c r="F192" t="s">
        <v>2</v>
      </c>
    </row>
    <row r="193" spans="1:6" x14ac:dyDescent="0.25">
      <c r="A193" s="5">
        <v>20910103</v>
      </c>
      <c r="B193" s="5" t="s">
        <v>400</v>
      </c>
      <c r="C193" s="5" t="s">
        <v>18</v>
      </c>
      <c r="D193" s="6">
        <v>44469</v>
      </c>
      <c r="E193" s="12">
        <v>44491</v>
      </c>
      <c r="F193" t="s">
        <v>2</v>
      </c>
    </row>
    <row r="194" spans="1:6" x14ac:dyDescent="0.25">
      <c r="A194" s="5">
        <v>20910104</v>
      </c>
      <c r="B194" s="5" t="s">
        <v>401</v>
      </c>
      <c r="C194" s="5" t="s">
        <v>12</v>
      </c>
      <c r="D194" s="6">
        <v>44469</v>
      </c>
      <c r="E194" s="12">
        <v>44491</v>
      </c>
      <c r="F194" t="s">
        <v>2</v>
      </c>
    </row>
    <row r="195" spans="1:6" x14ac:dyDescent="0.25">
      <c r="A195" s="5">
        <v>20910105</v>
      </c>
      <c r="B195" s="5" t="s">
        <v>401</v>
      </c>
      <c r="C195" s="5" t="s">
        <v>12</v>
      </c>
      <c r="D195" s="6">
        <v>44469</v>
      </c>
      <c r="E195" s="12">
        <v>44491</v>
      </c>
      <c r="F195" t="s">
        <v>2</v>
      </c>
    </row>
    <row r="196" spans="1:6" x14ac:dyDescent="0.25">
      <c r="A196" s="5">
        <v>20910106</v>
      </c>
      <c r="B196" s="5" t="s">
        <v>400</v>
      </c>
      <c r="C196" s="5" t="s">
        <v>12</v>
      </c>
      <c r="D196" s="6">
        <v>44474</v>
      </c>
      <c r="E196" s="12">
        <v>44491</v>
      </c>
      <c r="F196" t="s">
        <v>2</v>
      </c>
    </row>
    <row r="197" spans="1:6" x14ac:dyDescent="0.25">
      <c r="A197" s="5">
        <v>20910107</v>
      </c>
      <c r="B197" s="5" t="s">
        <v>400</v>
      </c>
      <c r="C197" s="5" t="s">
        <v>18</v>
      </c>
      <c r="D197" s="6">
        <v>44474</v>
      </c>
      <c r="E197" s="12">
        <v>44491</v>
      </c>
      <c r="F197" t="s">
        <v>2</v>
      </c>
    </row>
    <row r="198" spans="1:6" x14ac:dyDescent="0.25">
      <c r="A198" s="5">
        <v>20910108</v>
      </c>
      <c r="B198" s="5" t="s">
        <v>401</v>
      </c>
      <c r="C198" s="5" t="s">
        <v>12</v>
      </c>
      <c r="D198" s="6">
        <v>44474</v>
      </c>
      <c r="E198" s="12">
        <v>44491</v>
      </c>
      <c r="F198" t="s">
        <v>2</v>
      </c>
    </row>
    <row r="199" spans="1:6" x14ac:dyDescent="0.25">
      <c r="A199" s="5">
        <v>20910109</v>
      </c>
      <c r="B199" s="5" t="s">
        <v>400</v>
      </c>
      <c r="C199" s="5" t="s">
        <v>12</v>
      </c>
      <c r="D199" s="6">
        <v>44469</v>
      </c>
      <c r="E199" s="12">
        <v>44491</v>
      </c>
      <c r="F199" t="s">
        <v>2</v>
      </c>
    </row>
    <row r="200" spans="1:6" x14ac:dyDescent="0.25">
      <c r="A200" s="5">
        <v>20910110</v>
      </c>
      <c r="B200" s="5" t="s">
        <v>401</v>
      </c>
      <c r="C200" s="5" t="s">
        <v>12</v>
      </c>
      <c r="D200" s="6">
        <v>44474</v>
      </c>
      <c r="E200" s="12">
        <v>44491</v>
      </c>
      <c r="F200" t="s">
        <v>2</v>
      </c>
    </row>
    <row r="201" spans="1:6" x14ac:dyDescent="0.25">
      <c r="A201" s="5">
        <v>20910111</v>
      </c>
      <c r="B201" s="5" t="s">
        <v>400</v>
      </c>
      <c r="C201" s="5" t="s">
        <v>12</v>
      </c>
      <c r="D201" s="6">
        <v>44469</v>
      </c>
      <c r="E201" s="12">
        <v>44491</v>
      </c>
      <c r="F201" t="s">
        <v>2</v>
      </c>
    </row>
    <row r="202" spans="1:6" x14ac:dyDescent="0.25">
      <c r="A202" s="5">
        <v>20910112</v>
      </c>
      <c r="B202" s="5" t="s">
        <v>401</v>
      </c>
      <c r="C202" s="5" t="s">
        <v>12</v>
      </c>
      <c r="D202" s="6">
        <v>44450</v>
      </c>
      <c r="E202" s="12">
        <v>44491</v>
      </c>
      <c r="F202" t="s">
        <v>2</v>
      </c>
    </row>
    <row r="203" spans="1:6" x14ac:dyDescent="0.25">
      <c r="A203" s="5">
        <v>20910113</v>
      </c>
      <c r="B203" s="5" t="s">
        <v>401</v>
      </c>
      <c r="C203" s="5" t="s">
        <v>12</v>
      </c>
      <c r="D203" s="6">
        <v>44469</v>
      </c>
      <c r="E203" s="12">
        <v>44491</v>
      </c>
      <c r="F203" t="s">
        <v>2</v>
      </c>
    </row>
    <row r="204" spans="1:6" x14ac:dyDescent="0.25">
      <c r="A204" s="5">
        <v>20910114</v>
      </c>
      <c r="B204" s="5" t="s">
        <v>401</v>
      </c>
      <c r="C204" s="5" t="s">
        <v>12</v>
      </c>
      <c r="D204" s="6">
        <v>44469</v>
      </c>
      <c r="E204" s="12">
        <v>44491</v>
      </c>
      <c r="F204" t="s">
        <v>2</v>
      </c>
    </row>
    <row r="205" spans="1:6" x14ac:dyDescent="0.25">
      <c r="A205" s="5">
        <v>20910115</v>
      </c>
      <c r="B205" s="5" t="s">
        <v>400</v>
      </c>
      <c r="C205" s="5" t="s">
        <v>12</v>
      </c>
      <c r="D205" s="6">
        <v>44469</v>
      </c>
      <c r="E205" s="12">
        <v>44491</v>
      </c>
      <c r="F205" t="s">
        <v>2</v>
      </c>
    </row>
    <row r="206" spans="1:6" x14ac:dyDescent="0.25">
      <c r="A206" s="5">
        <v>20910116</v>
      </c>
      <c r="B206" s="5" t="s">
        <v>400</v>
      </c>
      <c r="C206" s="5" t="s">
        <v>12</v>
      </c>
      <c r="D206" s="6">
        <v>44469</v>
      </c>
      <c r="E206" s="12">
        <v>44491</v>
      </c>
      <c r="F206" t="s">
        <v>2</v>
      </c>
    </row>
    <row r="207" spans="1:6" x14ac:dyDescent="0.25">
      <c r="A207" s="5">
        <v>20910117</v>
      </c>
      <c r="B207" s="5" t="s">
        <v>400</v>
      </c>
      <c r="C207" s="5" t="s">
        <v>12</v>
      </c>
      <c r="D207" s="6">
        <v>44469</v>
      </c>
      <c r="E207" s="12">
        <v>44491</v>
      </c>
      <c r="F207" t="s">
        <v>2</v>
      </c>
    </row>
    <row r="208" spans="1:6" x14ac:dyDescent="0.25">
      <c r="A208" s="5">
        <v>20910118</v>
      </c>
      <c r="B208" s="5" t="s">
        <v>400</v>
      </c>
      <c r="C208" s="5" t="s">
        <v>12</v>
      </c>
      <c r="D208" s="6">
        <v>44469</v>
      </c>
      <c r="E208" s="12">
        <v>44491</v>
      </c>
      <c r="F208" t="s">
        <v>2</v>
      </c>
    </row>
    <row r="209" spans="1:6" x14ac:dyDescent="0.25">
      <c r="A209" s="5">
        <v>20910119</v>
      </c>
      <c r="B209" s="5" t="s">
        <v>401</v>
      </c>
      <c r="C209" s="5" t="s">
        <v>12</v>
      </c>
      <c r="D209" s="6">
        <v>44469</v>
      </c>
      <c r="E209" s="12">
        <v>44491</v>
      </c>
      <c r="F209" t="s">
        <v>2</v>
      </c>
    </row>
    <row r="210" spans="1:6" x14ac:dyDescent="0.25">
      <c r="A210" s="5">
        <v>20910120</v>
      </c>
      <c r="B210" s="5" t="s">
        <v>401</v>
      </c>
      <c r="C210" s="5" t="s">
        <v>12</v>
      </c>
      <c r="D210" s="6">
        <v>44459</v>
      </c>
      <c r="E210" s="12">
        <v>44491</v>
      </c>
      <c r="F210" t="s">
        <v>2</v>
      </c>
    </row>
    <row r="211" spans="1:6" x14ac:dyDescent="0.25">
      <c r="A211" s="5">
        <v>20910121</v>
      </c>
      <c r="B211" s="5" t="s">
        <v>401</v>
      </c>
      <c r="C211" s="5" t="s">
        <v>12</v>
      </c>
      <c r="D211" s="6">
        <v>44450</v>
      </c>
      <c r="E211" s="12">
        <v>44491</v>
      </c>
      <c r="F211" t="s">
        <v>2</v>
      </c>
    </row>
    <row r="212" spans="1:6" x14ac:dyDescent="0.25">
      <c r="A212" s="5">
        <v>20910122</v>
      </c>
      <c r="B212" s="5" t="s">
        <v>401</v>
      </c>
      <c r="C212" s="5" t="s">
        <v>12</v>
      </c>
      <c r="D212" s="6">
        <v>44459</v>
      </c>
      <c r="E212" s="12">
        <v>44491</v>
      </c>
      <c r="F212" t="s">
        <v>2</v>
      </c>
    </row>
    <row r="213" spans="1:6" x14ac:dyDescent="0.25">
      <c r="A213" s="5">
        <v>20910123</v>
      </c>
      <c r="B213" s="5" t="s">
        <v>401</v>
      </c>
      <c r="C213" s="5" t="s">
        <v>12</v>
      </c>
      <c r="D213" s="6">
        <v>44459</v>
      </c>
      <c r="E213" s="12">
        <v>44491</v>
      </c>
      <c r="F213" t="s">
        <v>2</v>
      </c>
    </row>
    <row r="214" spans="1:6" x14ac:dyDescent="0.25">
      <c r="A214" s="5">
        <v>20910124</v>
      </c>
      <c r="B214" s="5" t="s">
        <v>400</v>
      </c>
      <c r="C214" s="5" t="s">
        <v>12</v>
      </c>
      <c r="D214" s="6">
        <v>44469</v>
      </c>
      <c r="E214" s="12">
        <v>44491</v>
      </c>
      <c r="F214" t="s">
        <v>2</v>
      </c>
    </row>
    <row r="215" spans="1:6" x14ac:dyDescent="0.25">
      <c r="A215" s="5">
        <v>20910125</v>
      </c>
      <c r="B215" s="5" t="s">
        <v>400</v>
      </c>
      <c r="C215" s="5" t="s">
        <v>12</v>
      </c>
      <c r="D215" s="6">
        <v>44474</v>
      </c>
      <c r="E215" s="12">
        <v>44491</v>
      </c>
      <c r="F215" t="s">
        <v>2</v>
      </c>
    </row>
    <row r="216" spans="1:6" x14ac:dyDescent="0.25">
      <c r="A216" s="5">
        <v>20910126</v>
      </c>
      <c r="B216" s="5" t="s">
        <v>401</v>
      </c>
      <c r="C216" s="5" t="s">
        <v>12</v>
      </c>
      <c r="D216" s="6">
        <v>44469</v>
      </c>
      <c r="E216" s="12">
        <v>44491</v>
      </c>
      <c r="F216" t="s">
        <v>2</v>
      </c>
    </row>
    <row r="217" spans="1:6" x14ac:dyDescent="0.25">
      <c r="A217" s="5">
        <v>20910127</v>
      </c>
      <c r="B217" s="5" t="s">
        <v>400</v>
      </c>
      <c r="C217" s="5" t="s">
        <v>12</v>
      </c>
      <c r="D217" s="6">
        <v>44469</v>
      </c>
      <c r="E217" s="12">
        <v>44491</v>
      </c>
      <c r="F217" t="s">
        <v>2</v>
      </c>
    </row>
    <row r="218" spans="1:6" x14ac:dyDescent="0.25">
      <c r="A218" s="5">
        <v>20910128</v>
      </c>
      <c r="B218" s="5" t="s">
        <v>400</v>
      </c>
      <c r="C218" s="5" t="s">
        <v>12</v>
      </c>
      <c r="D218" s="6">
        <v>44474</v>
      </c>
      <c r="E218" s="12">
        <v>44491</v>
      </c>
      <c r="F218" t="s">
        <v>2</v>
      </c>
    </row>
    <row r="219" spans="1:6" x14ac:dyDescent="0.25">
      <c r="A219" s="5">
        <v>20910129</v>
      </c>
      <c r="B219" s="5" t="s">
        <v>400</v>
      </c>
      <c r="C219" s="5" t="s">
        <v>12</v>
      </c>
      <c r="D219" s="6">
        <v>44487</v>
      </c>
      <c r="E219" s="12">
        <v>44491</v>
      </c>
      <c r="F219" t="s">
        <v>2</v>
      </c>
    </row>
    <row r="220" spans="1:6" x14ac:dyDescent="0.25">
      <c r="A220" s="5">
        <v>20910130</v>
      </c>
      <c r="B220" s="5" t="s">
        <v>400</v>
      </c>
      <c r="C220" s="5" t="s">
        <v>12</v>
      </c>
      <c r="D220" s="6">
        <v>44474</v>
      </c>
      <c r="E220" s="12">
        <v>44491</v>
      </c>
      <c r="F220" t="s">
        <v>2</v>
      </c>
    </row>
    <row r="221" spans="1:6" x14ac:dyDescent="0.25">
      <c r="A221" s="5">
        <v>20910131</v>
      </c>
      <c r="B221" s="5" t="s">
        <v>400</v>
      </c>
      <c r="C221" s="5" t="s">
        <v>12</v>
      </c>
      <c r="D221" s="6">
        <v>44469</v>
      </c>
      <c r="E221" s="12">
        <v>44491</v>
      </c>
      <c r="F221" t="s">
        <v>2</v>
      </c>
    </row>
    <row r="222" spans="1:6" x14ac:dyDescent="0.25">
      <c r="A222" s="5">
        <v>20910132</v>
      </c>
      <c r="B222" s="5" t="s">
        <v>401</v>
      </c>
      <c r="C222" s="5" t="s">
        <v>12</v>
      </c>
      <c r="D222" s="6">
        <v>44469</v>
      </c>
      <c r="E222" s="12">
        <v>44491</v>
      </c>
      <c r="F222" t="s">
        <v>2</v>
      </c>
    </row>
    <row r="223" spans="1:6" x14ac:dyDescent="0.25">
      <c r="A223" s="5">
        <v>20910133</v>
      </c>
      <c r="B223" s="5" t="s">
        <v>401</v>
      </c>
      <c r="C223" s="5" t="s">
        <v>12</v>
      </c>
      <c r="D223" s="6">
        <v>44469</v>
      </c>
      <c r="E223" s="12">
        <v>44491</v>
      </c>
      <c r="F223" t="s">
        <v>2</v>
      </c>
    </row>
    <row r="224" spans="1:6" x14ac:dyDescent="0.25">
      <c r="A224" s="5">
        <v>20910134</v>
      </c>
      <c r="B224" s="5" t="s">
        <v>401</v>
      </c>
      <c r="C224" s="5" t="s">
        <v>18</v>
      </c>
      <c r="D224" s="6">
        <v>44469</v>
      </c>
      <c r="E224" s="12">
        <v>44491</v>
      </c>
      <c r="F224" t="s">
        <v>2</v>
      </c>
    </row>
    <row r="225" spans="1:6" x14ac:dyDescent="0.25">
      <c r="A225" s="5">
        <v>20910135</v>
      </c>
      <c r="B225" s="5" t="s">
        <v>401</v>
      </c>
      <c r="C225" s="5" t="s">
        <v>12</v>
      </c>
      <c r="D225" s="6">
        <v>44469</v>
      </c>
      <c r="E225" s="12">
        <v>44491</v>
      </c>
      <c r="F225" t="s">
        <v>2</v>
      </c>
    </row>
    <row r="226" spans="1:6" x14ac:dyDescent="0.25">
      <c r="A226" s="5">
        <v>20910136</v>
      </c>
      <c r="B226" s="5" t="s">
        <v>401</v>
      </c>
      <c r="C226" s="5" t="s">
        <v>12</v>
      </c>
      <c r="D226" s="6">
        <v>44469</v>
      </c>
      <c r="E226" s="12">
        <v>44491</v>
      </c>
      <c r="F226" t="s">
        <v>2</v>
      </c>
    </row>
    <row r="227" spans="1:6" x14ac:dyDescent="0.25">
      <c r="A227" s="5">
        <v>20910137</v>
      </c>
      <c r="B227" s="5" t="s">
        <v>400</v>
      </c>
      <c r="C227" s="5" t="s">
        <v>12</v>
      </c>
      <c r="D227" s="6">
        <v>44469</v>
      </c>
      <c r="E227" s="12">
        <v>44491</v>
      </c>
      <c r="F227" t="s">
        <v>2</v>
      </c>
    </row>
    <row r="228" spans="1:6" x14ac:dyDescent="0.25">
      <c r="A228" s="5">
        <v>20910138</v>
      </c>
      <c r="B228" s="5" t="s">
        <v>401</v>
      </c>
      <c r="C228" s="5" t="s">
        <v>12</v>
      </c>
      <c r="D228" s="6">
        <v>44469</v>
      </c>
      <c r="E228" s="12">
        <v>44491</v>
      </c>
      <c r="F228" t="s">
        <v>2</v>
      </c>
    </row>
    <row r="229" spans="1:6" x14ac:dyDescent="0.25">
      <c r="A229" s="5">
        <v>20910139</v>
      </c>
      <c r="B229" s="5" t="s">
        <v>400</v>
      </c>
      <c r="C229" s="5" t="s">
        <v>12</v>
      </c>
      <c r="D229" s="6">
        <v>44469</v>
      </c>
      <c r="E229" s="12">
        <v>44491</v>
      </c>
      <c r="F229" t="s">
        <v>2</v>
      </c>
    </row>
    <row r="230" spans="1:6" x14ac:dyDescent="0.25">
      <c r="A230" s="5">
        <v>20910140</v>
      </c>
      <c r="B230" s="5" t="s">
        <v>401</v>
      </c>
      <c r="C230" s="5" t="s">
        <v>12</v>
      </c>
      <c r="D230" s="6">
        <v>44469</v>
      </c>
      <c r="E230" s="12">
        <v>44491</v>
      </c>
      <c r="F230" t="s">
        <v>2</v>
      </c>
    </row>
    <row r="231" spans="1:6" x14ac:dyDescent="0.25">
      <c r="A231" s="5">
        <v>20910141</v>
      </c>
      <c r="B231" s="5" t="s">
        <v>401</v>
      </c>
      <c r="C231" s="5" t="s">
        <v>12</v>
      </c>
      <c r="D231" s="6">
        <v>44469</v>
      </c>
      <c r="E231" s="12">
        <v>44491</v>
      </c>
      <c r="F231" t="s">
        <v>2</v>
      </c>
    </row>
    <row r="232" spans="1:6" x14ac:dyDescent="0.25">
      <c r="A232" s="5">
        <v>20910142</v>
      </c>
      <c r="B232" s="5" t="s">
        <v>400</v>
      </c>
      <c r="C232" s="5" t="s">
        <v>12</v>
      </c>
      <c r="D232" s="6">
        <v>44469</v>
      </c>
      <c r="E232" s="12">
        <v>44491</v>
      </c>
      <c r="F232" t="s">
        <v>2</v>
      </c>
    </row>
    <row r="233" spans="1:6" x14ac:dyDescent="0.25">
      <c r="A233" s="5">
        <v>20910143</v>
      </c>
      <c r="B233" s="5" t="s">
        <v>401</v>
      </c>
      <c r="C233" s="5" t="s">
        <v>12</v>
      </c>
      <c r="D233" s="6">
        <v>44469</v>
      </c>
      <c r="E233" s="12">
        <v>44491</v>
      </c>
      <c r="F233" t="s">
        <v>2</v>
      </c>
    </row>
    <row r="234" spans="1:6" x14ac:dyDescent="0.25">
      <c r="A234" s="5">
        <v>20910144</v>
      </c>
      <c r="B234" s="5" t="s">
        <v>401</v>
      </c>
      <c r="C234" s="5" t="s">
        <v>12</v>
      </c>
      <c r="D234" s="6">
        <v>44469</v>
      </c>
      <c r="E234" s="12">
        <v>44491</v>
      </c>
      <c r="F234" t="s">
        <v>2</v>
      </c>
    </row>
    <row r="235" spans="1:6" x14ac:dyDescent="0.25">
      <c r="A235" s="5">
        <v>20910145</v>
      </c>
      <c r="B235" s="5" t="s">
        <v>401</v>
      </c>
      <c r="C235" s="5" t="s">
        <v>12</v>
      </c>
      <c r="D235" s="6">
        <v>44469</v>
      </c>
      <c r="E235" s="12">
        <v>44491</v>
      </c>
      <c r="F235" t="s">
        <v>2</v>
      </c>
    </row>
    <row r="236" spans="1:6" x14ac:dyDescent="0.25">
      <c r="A236" s="5">
        <v>20910146</v>
      </c>
      <c r="B236" s="5" t="s">
        <v>401</v>
      </c>
      <c r="C236" s="5" t="s">
        <v>12</v>
      </c>
      <c r="D236" s="6">
        <v>44469</v>
      </c>
      <c r="E236" s="12">
        <v>44491</v>
      </c>
      <c r="F236" t="s">
        <v>2</v>
      </c>
    </row>
    <row r="237" spans="1:6" x14ac:dyDescent="0.25">
      <c r="A237" s="5">
        <v>20910147</v>
      </c>
      <c r="B237" s="5" t="s">
        <v>401</v>
      </c>
      <c r="C237" s="5" t="s">
        <v>12</v>
      </c>
      <c r="D237" s="6">
        <v>44469</v>
      </c>
      <c r="E237" s="12">
        <v>44491</v>
      </c>
      <c r="F237" t="s">
        <v>2</v>
      </c>
    </row>
    <row r="238" spans="1:6" x14ac:dyDescent="0.25">
      <c r="A238" s="5">
        <v>20910148</v>
      </c>
      <c r="B238" s="5" t="s">
        <v>400</v>
      </c>
      <c r="C238" s="5" t="s">
        <v>12</v>
      </c>
      <c r="D238" s="6">
        <v>44469</v>
      </c>
      <c r="E238" s="12">
        <v>44491</v>
      </c>
      <c r="F238" t="s">
        <v>2</v>
      </c>
    </row>
    <row r="239" spans="1:6" x14ac:dyDescent="0.25">
      <c r="A239" s="5">
        <v>20910149</v>
      </c>
      <c r="B239" s="5" t="s">
        <v>400</v>
      </c>
      <c r="C239" s="5" t="s">
        <v>12</v>
      </c>
      <c r="D239" s="6">
        <v>44469</v>
      </c>
      <c r="E239" s="12">
        <v>44491</v>
      </c>
      <c r="F239" t="s">
        <v>2</v>
      </c>
    </row>
    <row r="240" spans="1:6" x14ac:dyDescent="0.25">
      <c r="A240" s="5">
        <v>20910150</v>
      </c>
      <c r="B240" s="5" t="s">
        <v>401</v>
      </c>
      <c r="C240" s="5" t="s">
        <v>12</v>
      </c>
      <c r="D240" s="6">
        <v>44474</v>
      </c>
      <c r="E240" s="12">
        <v>44491</v>
      </c>
      <c r="F240" t="s">
        <v>2</v>
      </c>
    </row>
    <row r="241" spans="1:6" x14ac:dyDescent="0.25">
      <c r="A241" s="5">
        <v>20910151</v>
      </c>
      <c r="B241" s="5" t="s">
        <v>401</v>
      </c>
      <c r="C241" s="5" t="s">
        <v>12</v>
      </c>
      <c r="D241" s="6">
        <v>44469</v>
      </c>
      <c r="E241" s="12">
        <v>44491</v>
      </c>
      <c r="F241" t="s">
        <v>2</v>
      </c>
    </row>
    <row r="242" spans="1:6" x14ac:dyDescent="0.25">
      <c r="A242" s="5">
        <v>20910152</v>
      </c>
      <c r="B242" s="5" t="s">
        <v>400</v>
      </c>
      <c r="C242" s="5" t="s">
        <v>12</v>
      </c>
      <c r="D242" s="6">
        <v>44474</v>
      </c>
      <c r="E242" s="12">
        <v>44491</v>
      </c>
      <c r="F242" t="s">
        <v>2</v>
      </c>
    </row>
    <row r="243" spans="1:6" x14ac:dyDescent="0.25">
      <c r="A243" s="5">
        <v>20910153</v>
      </c>
      <c r="B243" s="5" t="s">
        <v>401</v>
      </c>
      <c r="C243" s="5" t="s">
        <v>12</v>
      </c>
      <c r="D243" s="6">
        <v>44450</v>
      </c>
      <c r="E243" s="12">
        <v>44491</v>
      </c>
      <c r="F243" t="s">
        <v>2</v>
      </c>
    </row>
    <row r="244" spans="1:6" x14ac:dyDescent="0.25">
      <c r="A244" s="5">
        <v>20910154</v>
      </c>
      <c r="B244" s="5" t="s">
        <v>400</v>
      </c>
      <c r="C244" s="5" t="s">
        <v>12</v>
      </c>
      <c r="D244" s="6">
        <v>44469</v>
      </c>
      <c r="E244" s="12">
        <v>44491</v>
      </c>
      <c r="F244" t="s">
        <v>2</v>
      </c>
    </row>
    <row r="245" spans="1:6" x14ac:dyDescent="0.25">
      <c r="A245" s="5">
        <v>20910155</v>
      </c>
      <c r="B245" s="5" t="s">
        <v>401</v>
      </c>
      <c r="C245" s="5" t="s">
        <v>12</v>
      </c>
      <c r="D245" s="6">
        <v>44449</v>
      </c>
      <c r="E245" s="12">
        <v>44491</v>
      </c>
      <c r="F245" t="s">
        <v>2</v>
      </c>
    </row>
    <row r="246" spans="1:6" x14ac:dyDescent="0.25">
      <c r="A246" s="5">
        <v>20910156</v>
      </c>
      <c r="B246" s="5" t="s">
        <v>400</v>
      </c>
      <c r="C246" s="5" t="s">
        <v>12</v>
      </c>
      <c r="D246" s="6">
        <v>44469</v>
      </c>
      <c r="E246" s="12">
        <v>44491</v>
      </c>
      <c r="F246" t="s">
        <v>2</v>
      </c>
    </row>
    <row r="247" spans="1:6" x14ac:dyDescent="0.25">
      <c r="A247" s="5">
        <v>20910157</v>
      </c>
      <c r="B247" s="5" t="s">
        <v>401</v>
      </c>
      <c r="C247" s="5" t="s">
        <v>12</v>
      </c>
      <c r="D247" s="6">
        <v>44449</v>
      </c>
      <c r="E247" s="12">
        <v>44491</v>
      </c>
      <c r="F247" t="s">
        <v>2</v>
      </c>
    </row>
    <row r="248" spans="1:6" x14ac:dyDescent="0.25">
      <c r="A248" s="5">
        <v>20910158</v>
      </c>
      <c r="B248" s="5" t="s">
        <v>401</v>
      </c>
      <c r="C248" s="5" t="s">
        <v>12</v>
      </c>
      <c r="D248" s="6">
        <v>44459</v>
      </c>
      <c r="E248" s="12">
        <v>44491</v>
      </c>
      <c r="F248" t="s">
        <v>2</v>
      </c>
    </row>
    <row r="249" spans="1:6" x14ac:dyDescent="0.25">
      <c r="A249" s="5">
        <v>20910159</v>
      </c>
      <c r="B249" s="5" t="s">
        <v>400</v>
      </c>
      <c r="C249" s="5" t="s">
        <v>12</v>
      </c>
      <c r="D249" s="6">
        <v>44474</v>
      </c>
      <c r="E249" s="12">
        <v>44491</v>
      </c>
      <c r="F249" t="s">
        <v>2</v>
      </c>
    </row>
    <row r="250" spans="1:6" x14ac:dyDescent="0.25">
      <c r="A250" s="5">
        <v>20910160</v>
      </c>
      <c r="B250" s="5" t="s">
        <v>401</v>
      </c>
      <c r="C250" s="5" t="s">
        <v>12</v>
      </c>
      <c r="D250" s="6">
        <v>44474</v>
      </c>
      <c r="E250" s="12">
        <v>44491</v>
      </c>
      <c r="F250" t="s">
        <v>2</v>
      </c>
    </row>
    <row r="251" spans="1:6" x14ac:dyDescent="0.25">
      <c r="A251" s="5">
        <v>20910161</v>
      </c>
      <c r="B251" s="5" t="s">
        <v>400</v>
      </c>
      <c r="C251" s="5" t="s">
        <v>12</v>
      </c>
      <c r="D251" s="6">
        <v>44459</v>
      </c>
      <c r="E251" s="12">
        <v>44491</v>
      </c>
      <c r="F251" t="s">
        <v>2</v>
      </c>
    </row>
    <row r="252" spans="1:6" x14ac:dyDescent="0.25">
      <c r="A252" s="5">
        <v>20910162</v>
      </c>
      <c r="B252" s="5" t="s">
        <v>401</v>
      </c>
      <c r="C252" s="5" t="s">
        <v>12</v>
      </c>
      <c r="D252" s="6">
        <v>44459</v>
      </c>
      <c r="E252" s="12">
        <v>44491</v>
      </c>
      <c r="F252" t="s">
        <v>2</v>
      </c>
    </row>
    <row r="253" spans="1:6" x14ac:dyDescent="0.25">
      <c r="A253" s="5">
        <v>20910163</v>
      </c>
      <c r="B253" s="5" t="s">
        <v>401</v>
      </c>
      <c r="C253" s="5" t="s">
        <v>12</v>
      </c>
      <c r="D253" s="6">
        <v>44469</v>
      </c>
      <c r="E253" s="12">
        <v>44491</v>
      </c>
      <c r="F253" t="s">
        <v>2</v>
      </c>
    </row>
    <row r="254" spans="1:6" x14ac:dyDescent="0.25">
      <c r="A254" s="5">
        <v>20910164</v>
      </c>
      <c r="B254" s="5" t="s">
        <v>401</v>
      </c>
      <c r="C254" s="5" t="s">
        <v>12</v>
      </c>
      <c r="D254" s="6">
        <v>44449</v>
      </c>
      <c r="E254" s="12">
        <v>44491</v>
      </c>
      <c r="F254" t="s">
        <v>2</v>
      </c>
    </row>
    <row r="255" spans="1:6" x14ac:dyDescent="0.25">
      <c r="A255" s="5">
        <v>20910165</v>
      </c>
      <c r="B255" s="5" t="s">
        <v>401</v>
      </c>
      <c r="C255" s="5" t="s">
        <v>12</v>
      </c>
      <c r="D255" s="6">
        <v>44459</v>
      </c>
      <c r="E255" s="12">
        <v>44491</v>
      </c>
      <c r="F255" t="s">
        <v>2</v>
      </c>
    </row>
    <row r="256" spans="1:6" x14ac:dyDescent="0.25">
      <c r="A256" s="5">
        <v>20910166</v>
      </c>
      <c r="B256" s="5" t="s">
        <v>400</v>
      </c>
      <c r="C256" s="5" t="s">
        <v>12</v>
      </c>
      <c r="D256" s="6">
        <v>44469</v>
      </c>
      <c r="E256" s="12">
        <v>44491</v>
      </c>
      <c r="F256" t="s">
        <v>2</v>
      </c>
    </row>
    <row r="257" spans="1:6" x14ac:dyDescent="0.25">
      <c r="A257" s="5">
        <v>20910167</v>
      </c>
      <c r="B257" s="5" t="s">
        <v>400</v>
      </c>
      <c r="C257" s="5" t="s">
        <v>12</v>
      </c>
      <c r="D257" s="6">
        <v>44469</v>
      </c>
      <c r="E257" s="12">
        <v>44491</v>
      </c>
      <c r="F257" t="s">
        <v>2</v>
      </c>
    </row>
    <row r="258" spans="1:6" x14ac:dyDescent="0.25">
      <c r="A258" s="5">
        <v>20910168</v>
      </c>
      <c r="B258" s="5" t="s">
        <v>400</v>
      </c>
      <c r="C258" s="5" t="s">
        <v>12</v>
      </c>
      <c r="D258" s="6">
        <v>44459</v>
      </c>
      <c r="E258" s="12">
        <v>44491</v>
      </c>
      <c r="F258" t="s">
        <v>2</v>
      </c>
    </row>
    <row r="259" spans="1:6" x14ac:dyDescent="0.25">
      <c r="A259" s="5">
        <v>20910169</v>
      </c>
      <c r="B259" s="5" t="s">
        <v>400</v>
      </c>
      <c r="C259" s="5" t="s">
        <v>12</v>
      </c>
      <c r="D259" s="6">
        <v>44474</v>
      </c>
      <c r="E259" s="12">
        <v>44491</v>
      </c>
      <c r="F259" t="s">
        <v>2</v>
      </c>
    </row>
    <row r="260" spans="1:6" x14ac:dyDescent="0.25">
      <c r="A260" s="5">
        <v>20910170</v>
      </c>
      <c r="B260" s="5" t="s">
        <v>400</v>
      </c>
      <c r="C260" s="5" t="s">
        <v>12</v>
      </c>
      <c r="D260" s="6">
        <v>44450</v>
      </c>
      <c r="E260" s="12">
        <v>44491</v>
      </c>
      <c r="F260" t="s">
        <v>2</v>
      </c>
    </row>
    <row r="261" spans="1:6" x14ac:dyDescent="0.25">
      <c r="A261" s="5">
        <v>20910171</v>
      </c>
      <c r="B261" s="5" t="s">
        <v>400</v>
      </c>
      <c r="C261" s="5" t="s">
        <v>12</v>
      </c>
      <c r="D261" s="6">
        <v>44480</v>
      </c>
      <c r="E261" s="12">
        <v>44491</v>
      </c>
      <c r="F261" t="s">
        <v>2</v>
      </c>
    </row>
    <row r="262" spans="1:6" x14ac:dyDescent="0.25">
      <c r="A262" s="5">
        <v>20910172</v>
      </c>
      <c r="B262" s="5" t="s">
        <v>400</v>
      </c>
      <c r="C262" s="5" t="s">
        <v>12</v>
      </c>
      <c r="D262" s="6">
        <v>44474</v>
      </c>
      <c r="E262" s="12">
        <v>44491</v>
      </c>
      <c r="F262" t="s">
        <v>2</v>
      </c>
    </row>
    <row r="263" spans="1:6" x14ac:dyDescent="0.25">
      <c r="A263" s="5">
        <v>20910173</v>
      </c>
      <c r="B263" s="5" t="s">
        <v>401</v>
      </c>
      <c r="C263" s="5" t="s">
        <v>12</v>
      </c>
      <c r="D263" s="6">
        <v>44474</v>
      </c>
      <c r="E263" s="12">
        <v>44491</v>
      </c>
      <c r="F263" t="s">
        <v>2</v>
      </c>
    </row>
    <row r="264" spans="1:6" x14ac:dyDescent="0.25">
      <c r="A264" s="5">
        <v>20910174</v>
      </c>
      <c r="B264" s="5" t="s">
        <v>401</v>
      </c>
      <c r="C264" s="5" t="s">
        <v>12</v>
      </c>
      <c r="D264" s="6">
        <v>44444</v>
      </c>
      <c r="E264" s="12">
        <v>44491</v>
      </c>
      <c r="F264" t="s">
        <v>2</v>
      </c>
    </row>
    <row r="265" spans="1:6" x14ac:dyDescent="0.25">
      <c r="A265" s="5">
        <v>20910175</v>
      </c>
      <c r="B265" s="5" t="s">
        <v>400</v>
      </c>
      <c r="C265" s="5" t="s">
        <v>12</v>
      </c>
      <c r="D265" s="6">
        <v>44469</v>
      </c>
      <c r="E265" s="12">
        <v>44491</v>
      </c>
      <c r="F265" t="s">
        <v>2</v>
      </c>
    </row>
    <row r="266" spans="1:6" x14ac:dyDescent="0.25">
      <c r="A266" s="5">
        <v>20910176</v>
      </c>
      <c r="B266" s="5" t="s">
        <v>401</v>
      </c>
      <c r="C266" s="5" t="s">
        <v>12</v>
      </c>
      <c r="D266" s="6">
        <v>44469</v>
      </c>
      <c r="E266" s="12">
        <v>44491</v>
      </c>
      <c r="F266" t="s">
        <v>2</v>
      </c>
    </row>
    <row r="267" spans="1:6" x14ac:dyDescent="0.25">
      <c r="A267" s="5">
        <v>20910177</v>
      </c>
      <c r="B267" s="5" t="s">
        <v>400</v>
      </c>
      <c r="C267" s="5" t="s">
        <v>12</v>
      </c>
      <c r="D267" s="6">
        <v>44480</v>
      </c>
      <c r="E267" s="12">
        <v>44491</v>
      </c>
      <c r="F267" t="s">
        <v>2</v>
      </c>
    </row>
    <row r="268" spans="1:6" x14ac:dyDescent="0.25">
      <c r="A268" s="5">
        <v>20910178</v>
      </c>
      <c r="B268" s="5" t="s">
        <v>400</v>
      </c>
      <c r="C268" s="5" t="s">
        <v>12</v>
      </c>
      <c r="D268" s="6">
        <v>44469</v>
      </c>
      <c r="E268" s="12">
        <v>44491</v>
      </c>
      <c r="F268" t="s">
        <v>2</v>
      </c>
    </row>
    <row r="269" spans="1:6" x14ac:dyDescent="0.25">
      <c r="A269" s="5">
        <v>20910179</v>
      </c>
      <c r="B269" s="5" t="s">
        <v>401</v>
      </c>
      <c r="C269" s="5" t="s">
        <v>12</v>
      </c>
      <c r="D269" s="6">
        <v>44469</v>
      </c>
      <c r="E269" s="12">
        <v>44491</v>
      </c>
      <c r="F269" t="s">
        <v>2</v>
      </c>
    </row>
    <row r="270" spans="1:6" x14ac:dyDescent="0.25">
      <c r="A270" s="5">
        <v>20910180</v>
      </c>
      <c r="B270" s="5" t="s">
        <v>400</v>
      </c>
      <c r="C270" s="5" t="s">
        <v>12</v>
      </c>
      <c r="D270" s="6">
        <v>44469</v>
      </c>
      <c r="E270" s="12">
        <v>44491</v>
      </c>
      <c r="F270" t="s">
        <v>2</v>
      </c>
    </row>
    <row r="271" spans="1:6" x14ac:dyDescent="0.25">
      <c r="A271" s="5">
        <v>20910181</v>
      </c>
      <c r="B271" s="5" t="s">
        <v>401</v>
      </c>
      <c r="C271" s="5" t="s">
        <v>12</v>
      </c>
      <c r="D271" s="6">
        <v>44480</v>
      </c>
      <c r="E271" s="12">
        <v>44491</v>
      </c>
      <c r="F271" t="s">
        <v>2</v>
      </c>
    </row>
    <row r="272" spans="1:6" x14ac:dyDescent="0.25">
      <c r="A272" s="5">
        <v>20910182</v>
      </c>
      <c r="B272" s="5" t="s">
        <v>401</v>
      </c>
      <c r="C272" s="5" t="s">
        <v>12</v>
      </c>
      <c r="D272" s="6">
        <v>44469</v>
      </c>
      <c r="E272" s="12">
        <v>44491</v>
      </c>
      <c r="F272" t="s">
        <v>2</v>
      </c>
    </row>
    <row r="273" spans="1:6" x14ac:dyDescent="0.25">
      <c r="A273" s="5">
        <v>20910183</v>
      </c>
      <c r="B273" s="5" t="s">
        <v>401</v>
      </c>
      <c r="C273" s="5" t="s">
        <v>12</v>
      </c>
      <c r="D273" s="6">
        <v>44474</v>
      </c>
      <c r="E273" s="12">
        <v>44491</v>
      </c>
      <c r="F273" t="s">
        <v>2</v>
      </c>
    </row>
    <row r="274" spans="1:6" x14ac:dyDescent="0.25">
      <c r="A274" s="5">
        <v>20910184</v>
      </c>
      <c r="B274" s="5" t="s">
        <v>400</v>
      </c>
      <c r="C274" s="5" t="s">
        <v>12</v>
      </c>
      <c r="D274" s="6">
        <v>44469</v>
      </c>
      <c r="E274" s="12">
        <v>44491</v>
      </c>
      <c r="F274" t="s">
        <v>2</v>
      </c>
    </row>
    <row r="275" spans="1:6" x14ac:dyDescent="0.25">
      <c r="A275" s="5">
        <v>20910185</v>
      </c>
      <c r="B275" s="5" t="s">
        <v>401</v>
      </c>
      <c r="C275" s="5" t="s">
        <v>12</v>
      </c>
      <c r="D275" s="6">
        <v>44474</v>
      </c>
      <c r="E275" s="12">
        <v>44491</v>
      </c>
      <c r="F275" t="s">
        <v>2</v>
      </c>
    </row>
    <row r="276" spans="1:6" x14ac:dyDescent="0.25">
      <c r="A276" s="5">
        <v>20910186</v>
      </c>
      <c r="B276" s="5" t="s">
        <v>400</v>
      </c>
      <c r="C276" s="5" t="s">
        <v>12</v>
      </c>
      <c r="D276" s="6">
        <v>44469</v>
      </c>
      <c r="E276" s="12">
        <v>44491</v>
      </c>
      <c r="F276" t="s">
        <v>2</v>
      </c>
    </row>
    <row r="277" spans="1:6" x14ac:dyDescent="0.25">
      <c r="A277" s="5">
        <v>20910187</v>
      </c>
      <c r="B277" s="5" t="s">
        <v>401</v>
      </c>
      <c r="C277" s="5" t="s">
        <v>12</v>
      </c>
      <c r="D277" s="6">
        <v>44484</v>
      </c>
      <c r="E277" s="12">
        <v>44491</v>
      </c>
      <c r="F277" t="s">
        <v>2</v>
      </c>
    </row>
    <row r="278" spans="1:6" x14ac:dyDescent="0.25">
      <c r="A278" s="5">
        <v>20910188</v>
      </c>
      <c r="B278" s="5" t="s">
        <v>401</v>
      </c>
      <c r="C278" s="5" t="s">
        <v>12</v>
      </c>
      <c r="D278" s="6">
        <v>44484</v>
      </c>
      <c r="E278" s="12">
        <v>44491</v>
      </c>
      <c r="F278" t="s">
        <v>2</v>
      </c>
    </row>
    <row r="279" spans="1:6" x14ac:dyDescent="0.25">
      <c r="A279" s="5">
        <v>20910189</v>
      </c>
      <c r="B279" s="5" t="s">
        <v>401</v>
      </c>
      <c r="C279" s="5" t="s">
        <v>12</v>
      </c>
      <c r="D279" s="6">
        <v>44484</v>
      </c>
      <c r="E279" s="12">
        <v>44491</v>
      </c>
      <c r="F279" t="s">
        <v>2</v>
      </c>
    </row>
    <row r="280" spans="1:6" x14ac:dyDescent="0.25">
      <c r="A280" s="5">
        <v>20910190</v>
      </c>
      <c r="B280" s="5" t="s">
        <v>400</v>
      </c>
      <c r="C280" s="5" t="s">
        <v>12</v>
      </c>
      <c r="D280" s="6">
        <v>44484</v>
      </c>
      <c r="E280" s="12">
        <v>44491</v>
      </c>
      <c r="F280" t="s">
        <v>2</v>
      </c>
    </row>
    <row r="281" spans="1:6" x14ac:dyDescent="0.25">
      <c r="A281" s="5">
        <v>20910191</v>
      </c>
      <c r="B281" s="5" t="s">
        <v>400</v>
      </c>
      <c r="C281" s="5" t="s">
        <v>12</v>
      </c>
      <c r="D281" s="6">
        <v>44484</v>
      </c>
      <c r="E281" s="12">
        <v>44491</v>
      </c>
      <c r="F281" t="s">
        <v>2</v>
      </c>
    </row>
    <row r="282" spans="1:6" x14ac:dyDescent="0.25">
      <c r="A282" s="5">
        <v>20910192</v>
      </c>
      <c r="B282" s="5" t="s">
        <v>401</v>
      </c>
      <c r="C282" s="5" t="s">
        <v>12</v>
      </c>
      <c r="D282" s="6">
        <v>44484</v>
      </c>
      <c r="E282" s="12">
        <v>44491</v>
      </c>
      <c r="F282" t="s">
        <v>2</v>
      </c>
    </row>
    <row r="283" spans="1:6" x14ac:dyDescent="0.25">
      <c r="A283" s="5">
        <v>20910193</v>
      </c>
      <c r="B283" s="5" t="s">
        <v>400</v>
      </c>
      <c r="C283" s="5" t="s">
        <v>12</v>
      </c>
      <c r="D283" s="6">
        <v>44484</v>
      </c>
      <c r="E283" s="12">
        <v>44491</v>
      </c>
      <c r="F283" t="s">
        <v>2</v>
      </c>
    </row>
    <row r="284" spans="1:6" x14ac:dyDescent="0.25">
      <c r="A284" s="5">
        <v>20910194</v>
      </c>
      <c r="B284" s="5" t="s">
        <v>401</v>
      </c>
      <c r="C284" s="5" t="s">
        <v>12</v>
      </c>
      <c r="D284" s="6">
        <v>44444</v>
      </c>
      <c r="E284" s="12">
        <v>44491</v>
      </c>
      <c r="F284" t="s">
        <v>2</v>
      </c>
    </row>
    <row r="285" spans="1:6" x14ac:dyDescent="0.25">
      <c r="A285" s="5">
        <v>20910195</v>
      </c>
      <c r="B285" s="5" t="s">
        <v>401</v>
      </c>
      <c r="C285" s="5" t="s">
        <v>12</v>
      </c>
      <c r="D285" s="6">
        <v>44474</v>
      </c>
      <c r="E285" s="12">
        <v>44491</v>
      </c>
      <c r="F285" t="s">
        <v>2</v>
      </c>
    </row>
    <row r="286" spans="1:6" x14ac:dyDescent="0.25">
      <c r="A286" s="5">
        <v>20910196</v>
      </c>
      <c r="B286" s="5" t="s">
        <v>401</v>
      </c>
      <c r="C286" s="5" t="s">
        <v>12</v>
      </c>
      <c r="D286" s="6">
        <v>44481</v>
      </c>
      <c r="E286" s="12">
        <v>44491</v>
      </c>
      <c r="F286" t="s">
        <v>2</v>
      </c>
    </row>
    <row r="287" spans="1:6" x14ac:dyDescent="0.25">
      <c r="A287" s="5">
        <v>20910197</v>
      </c>
      <c r="B287" s="5" t="s">
        <v>401</v>
      </c>
      <c r="C287" s="5" t="s">
        <v>12</v>
      </c>
      <c r="D287" s="6">
        <v>44449</v>
      </c>
      <c r="E287" s="12">
        <v>44491</v>
      </c>
      <c r="F287" t="s">
        <v>2</v>
      </c>
    </row>
    <row r="288" spans="1:6" x14ac:dyDescent="0.25">
      <c r="A288" s="5">
        <v>20910198</v>
      </c>
      <c r="B288" s="5" t="s">
        <v>400</v>
      </c>
      <c r="C288" s="5" t="s">
        <v>18</v>
      </c>
      <c r="D288" s="6">
        <v>44438</v>
      </c>
      <c r="E288" s="12">
        <v>44491</v>
      </c>
      <c r="F288" t="s">
        <v>2</v>
      </c>
    </row>
    <row r="289" spans="1:6" x14ac:dyDescent="0.25">
      <c r="A289" s="5">
        <v>20910199</v>
      </c>
      <c r="B289" s="5" t="s">
        <v>400</v>
      </c>
      <c r="C289" s="5" t="s">
        <v>79</v>
      </c>
      <c r="D289" s="6">
        <v>44464</v>
      </c>
      <c r="E289" s="12">
        <v>44491</v>
      </c>
      <c r="F289" t="s">
        <v>2</v>
      </c>
    </row>
    <row r="290" spans="1:6" x14ac:dyDescent="0.25">
      <c r="A290" s="5">
        <v>20910200</v>
      </c>
      <c r="B290" s="5" t="s">
        <v>401</v>
      </c>
      <c r="C290" s="5" t="s">
        <v>12</v>
      </c>
      <c r="D290" s="6">
        <v>44464</v>
      </c>
      <c r="E290" s="12">
        <v>44491</v>
      </c>
      <c r="F290" t="s">
        <v>2</v>
      </c>
    </row>
    <row r="291" spans="1:6" x14ac:dyDescent="0.25">
      <c r="A291" s="5">
        <v>20910201</v>
      </c>
      <c r="B291" s="5" t="s">
        <v>400</v>
      </c>
      <c r="C291" s="5" t="s">
        <v>12</v>
      </c>
      <c r="D291" s="6">
        <v>44449</v>
      </c>
      <c r="E291" s="12">
        <v>44491</v>
      </c>
      <c r="F291" t="s">
        <v>2</v>
      </c>
    </row>
    <row r="292" spans="1:6" x14ac:dyDescent="0.25">
      <c r="A292" s="5">
        <v>20910202</v>
      </c>
      <c r="B292" s="5" t="s">
        <v>401</v>
      </c>
      <c r="C292" s="5" t="s">
        <v>18</v>
      </c>
      <c r="D292" s="6">
        <v>44464</v>
      </c>
      <c r="E292" s="12">
        <v>44491</v>
      </c>
      <c r="F292" t="s">
        <v>2</v>
      </c>
    </row>
    <row r="293" spans="1:6" x14ac:dyDescent="0.25">
      <c r="A293" s="5">
        <v>20910203</v>
      </c>
      <c r="B293" s="5" t="s">
        <v>401</v>
      </c>
      <c r="C293" s="5" t="s">
        <v>79</v>
      </c>
      <c r="D293" s="6">
        <v>44464</v>
      </c>
      <c r="E293" s="12">
        <v>44491</v>
      </c>
      <c r="F293" t="s">
        <v>2</v>
      </c>
    </row>
    <row r="294" spans="1:6" x14ac:dyDescent="0.25">
      <c r="A294" s="5">
        <v>20910204</v>
      </c>
      <c r="B294" s="5" t="s">
        <v>401</v>
      </c>
      <c r="C294" s="5" t="s">
        <v>79</v>
      </c>
      <c r="D294" s="6">
        <v>44438</v>
      </c>
      <c r="E294" s="12">
        <v>44491</v>
      </c>
      <c r="F294" t="s">
        <v>2</v>
      </c>
    </row>
    <row r="295" spans="1:6" x14ac:dyDescent="0.25">
      <c r="A295" s="5">
        <v>20910205</v>
      </c>
      <c r="B295" s="5" t="s">
        <v>401</v>
      </c>
      <c r="C295" s="5" t="s">
        <v>18</v>
      </c>
      <c r="D295" s="6">
        <v>44484</v>
      </c>
      <c r="E295" s="12">
        <v>44491</v>
      </c>
      <c r="F295" t="s">
        <v>2</v>
      </c>
    </row>
    <row r="296" spans="1:6" x14ac:dyDescent="0.25">
      <c r="A296" s="5">
        <v>20910206</v>
      </c>
      <c r="B296" s="5" t="s">
        <v>400</v>
      </c>
      <c r="C296" s="5" t="s">
        <v>12</v>
      </c>
      <c r="D296" s="6">
        <v>44464</v>
      </c>
      <c r="E296" s="12">
        <v>44491</v>
      </c>
      <c r="F296" t="s">
        <v>2</v>
      </c>
    </row>
    <row r="297" spans="1:6" x14ac:dyDescent="0.25">
      <c r="A297" s="5">
        <v>20910207</v>
      </c>
      <c r="B297" s="5" t="s">
        <v>400</v>
      </c>
      <c r="C297" s="5" t="s">
        <v>24</v>
      </c>
      <c r="D297" s="6">
        <v>44484</v>
      </c>
      <c r="E297" s="12">
        <v>44491</v>
      </c>
      <c r="F297" t="s">
        <v>2</v>
      </c>
    </row>
    <row r="298" spans="1:6" x14ac:dyDescent="0.25">
      <c r="A298" s="5">
        <v>20910208</v>
      </c>
      <c r="B298" s="5" t="s">
        <v>400</v>
      </c>
      <c r="C298" s="5" t="s">
        <v>18</v>
      </c>
      <c r="D298" s="6">
        <v>44449</v>
      </c>
      <c r="E298" s="12">
        <v>44491</v>
      </c>
      <c r="F298" t="s">
        <v>2</v>
      </c>
    </row>
    <row r="299" spans="1:6" x14ac:dyDescent="0.25">
      <c r="A299" s="5">
        <v>20910209</v>
      </c>
      <c r="B299" s="5" t="s">
        <v>401</v>
      </c>
      <c r="C299" s="5" t="s">
        <v>18</v>
      </c>
      <c r="D299" s="6">
        <v>44454</v>
      </c>
      <c r="E299" s="12">
        <v>44491</v>
      </c>
      <c r="F299" t="s">
        <v>2</v>
      </c>
    </row>
    <row r="300" spans="1:6" x14ac:dyDescent="0.25">
      <c r="A300" s="5">
        <v>20910210</v>
      </c>
      <c r="B300" s="5" t="s">
        <v>400</v>
      </c>
      <c r="C300" s="5" t="s">
        <v>12</v>
      </c>
      <c r="D300" s="6">
        <v>44469</v>
      </c>
      <c r="E300" s="12">
        <v>44491</v>
      </c>
      <c r="F300" t="s">
        <v>2</v>
      </c>
    </row>
    <row r="301" spans="1:6" x14ac:dyDescent="0.25">
      <c r="A301" s="5">
        <v>20910211</v>
      </c>
      <c r="B301" s="5" t="s">
        <v>400</v>
      </c>
      <c r="C301" s="5" t="s">
        <v>12</v>
      </c>
      <c r="D301" s="6">
        <v>44449</v>
      </c>
      <c r="E301" s="12">
        <v>44491</v>
      </c>
      <c r="F301" t="s">
        <v>2</v>
      </c>
    </row>
    <row r="302" spans="1:6" x14ac:dyDescent="0.25">
      <c r="A302" s="5">
        <v>20910212</v>
      </c>
      <c r="B302" s="5" t="s">
        <v>401</v>
      </c>
      <c r="C302" s="5" t="s">
        <v>109</v>
      </c>
      <c r="D302" s="6">
        <v>44449</v>
      </c>
      <c r="E302" s="12">
        <v>44491</v>
      </c>
      <c r="F302" t="s">
        <v>2</v>
      </c>
    </row>
    <row r="303" spans="1:6" x14ac:dyDescent="0.25">
      <c r="A303" s="5">
        <v>20910213</v>
      </c>
      <c r="B303" s="5" t="s">
        <v>400</v>
      </c>
      <c r="C303" s="5" t="s">
        <v>12</v>
      </c>
      <c r="D303" s="6">
        <v>44449</v>
      </c>
      <c r="E303" s="12">
        <v>44491</v>
      </c>
      <c r="F303" t="s">
        <v>2</v>
      </c>
    </row>
    <row r="304" spans="1:6" x14ac:dyDescent="0.25">
      <c r="A304" s="5">
        <v>20910214</v>
      </c>
      <c r="B304" s="5" t="s">
        <v>400</v>
      </c>
      <c r="C304" s="5" t="s">
        <v>79</v>
      </c>
      <c r="D304" s="6">
        <v>44454</v>
      </c>
      <c r="E304" s="12">
        <v>44491</v>
      </c>
      <c r="F304" t="s">
        <v>2</v>
      </c>
    </row>
    <row r="305" spans="1:6" x14ac:dyDescent="0.25">
      <c r="A305" s="5">
        <v>20910215</v>
      </c>
      <c r="B305" s="5" t="s">
        <v>400</v>
      </c>
      <c r="C305" s="5" t="s">
        <v>18</v>
      </c>
      <c r="D305" s="6">
        <v>44434</v>
      </c>
      <c r="E305" s="12">
        <v>44491</v>
      </c>
      <c r="F305" t="s">
        <v>2</v>
      </c>
    </row>
    <row r="306" spans="1:6" x14ac:dyDescent="0.25">
      <c r="A306" s="5">
        <v>20910216</v>
      </c>
      <c r="B306" s="5" t="s">
        <v>400</v>
      </c>
      <c r="C306" s="5" t="s">
        <v>12</v>
      </c>
      <c r="D306" s="6">
        <v>44491</v>
      </c>
      <c r="E306" s="12">
        <v>44491</v>
      </c>
      <c r="F306" t="s">
        <v>2</v>
      </c>
    </row>
    <row r="307" spans="1:6" x14ac:dyDescent="0.25">
      <c r="A307" s="5">
        <v>20910217</v>
      </c>
      <c r="B307" s="5" t="s">
        <v>400</v>
      </c>
      <c r="C307" s="5" t="s">
        <v>12</v>
      </c>
      <c r="D307" s="6">
        <v>44454</v>
      </c>
      <c r="E307" s="12">
        <v>44491</v>
      </c>
      <c r="F307" t="s">
        <v>2</v>
      </c>
    </row>
    <row r="308" spans="1:6" x14ac:dyDescent="0.25">
      <c r="A308" s="5">
        <v>20910218</v>
      </c>
      <c r="B308" s="5" t="s">
        <v>401</v>
      </c>
      <c r="C308" s="5" t="s">
        <v>79</v>
      </c>
      <c r="D308" s="6">
        <v>44454</v>
      </c>
      <c r="E308" s="12">
        <v>44491</v>
      </c>
      <c r="F308" t="s">
        <v>2</v>
      </c>
    </row>
    <row r="309" spans="1:6" x14ac:dyDescent="0.25">
      <c r="A309" s="5">
        <v>20910219</v>
      </c>
      <c r="B309" s="5" t="s">
        <v>400</v>
      </c>
      <c r="C309" s="5" t="s">
        <v>12</v>
      </c>
      <c r="D309" s="6">
        <v>44474</v>
      </c>
      <c r="E309" s="12">
        <v>44491</v>
      </c>
      <c r="F309" t="s">
        <v>2</v>
      </c>
    </row>
    <row r="310" spans="1:6" x14ac:dyDescent="0.25">
      <c r="A310" s="5">
        <v>20910220</v>
      </c>
      <c r="B310" s="5" t="s">
        <v>400</v>
      </c>
      <c r="C310" s="5" t="s">
        <v>12</v>
      </c>
      <c r="D310" s="6">
        <v>44454</v>
      </c>
      <c r="E310" s="12">
        <v>44491</v>
      </c>
      <c r="F310" t="s">
        <v>2</v>
      </c>
    </row>
    <row r="311" spans="1:6" x14ac:dyDescent="0.25">
      <c r="A311" s="5">
        <v>20910221</v>
      </c>
      <c r="B311" s="5" t="s">
        <v>401</v>
      </c>
      <c r="C311" s="5" t="s">
        <v>12</v>
      </c>
      <c r="D311" s="6">
        <v>44454</v>
      </c>
      <c r="E311" s="12">
        <v>44491</v>
      </c>
      <c r="F311" t="s">
        <v>2</v>
      </c>
    </row>
    <row r="312" spans="1:6" x14ac:dyDescent="0.25">
      <c r="A312" s="5">
        <v>20910222</v>
      </c>
      <c r="B312" s="5" t="s">
        <v>401</v>
      </c>
      <c r="C312" s="5" t="s">
        <v>18</v>
      </c>
      <c r="D312" s="6">
        <v>44454</v>
      </c>
      <c r="E312" s="12">
        <v>44491</v>
      </c>
      <c r="F312" t="s">
        <v>2</v>
      </c>
    </row>
    <row r="313" spans="1:6" x14ac:dyDescent="0.25">
      <c r="A313" s="5">
        <v>20910223</v>
      </c>
      <c r="B313" s="5" t="s">
        <v>400</v>
      </c>
      <c r="C313" s="5" t="s">
        <v>24</v>
      </c>
      <c r="D313" s="6">
        <v>44474</v>
      </c>
      <c r="E313" s="12">
        <v>44491</v>
      </c>
      <c r="F313" t="s">
        <v>2</v>
      </c>
    </row>
    <row r="314" spans="1:6" x14ac:dyDescent="0.25">
      <c r="A314" s="5">
        <v>20910224</v>
      </c>
      <c r="B314" s="5" t="s">
        <v>400</v>
      </c>
      <c r="C314" s="5" t="s">
        <v>12</v>
      </c>
      <c r="D314" s="6">
        <v>44454</v>
      </c>
      <c r="E314" s="12">
        <v>44491</v>
      </c>
      <c r="F314" t="s">
        <v>2</v>
      </c>
    </row>
    <row r="315" spans="1:6" x14ac:dyDescent="0.25">
      <c r="A315" s="5">
        <v>20910225</v>
      </c>
      <c r="B315" s="5" t="s">
        <v>401</v>
      </c>
      <c r="C315" s="5" t="s">
        <v>12</v>
      </c>
      <c r="D315" s="6">
        <v>44454</v>
      </c>
      <c r="E315" s="12">
        <v>44491</v>
      </c>
      <c r="F315" t="s">
        <v>2</v>
      </c>
    </row>
    <row r="316" spans="1:6" x14ac:dyDescent="0.25">
      <c r="A316" s="5">
        <v>20910226</v>
      </c>
      <c r="B316" s="5" t="s">
        <v>400</v>
      </c>
      <c r="C316" s="5" t="s">
        <v>18</v>
      </c>
      <c r="D316" s="6">
        <v>44474</v>
      </c>
      <c r="E316" s="12">
        <v>44491</v>
      </c>
      <c r="F316" t="s">
        <v>2</v>
      </c>
    </row>
    <row r="317" spans="1:6" x14ac:dyDescent="0.25">
      <c r="A317" s="5">
        <v>20910227</v>
      </c>
      <c r="B317" s="5" t="s">
        <v>400</v>
      </c>
      <c r="C317" s="5" t="s">
        <v>12</v>
      </c>
      <c r="D317" s="6">
        <v>44449</v>
      </c>
      <c r="E317" s="12">
        <v>44491</v>
      </c>
      <c r="F317" t="s">
        <v>2</v>
      </c>
    </row>
    <row r="318" spans="1:6" x14ac:dyDescent="0.25">
      <c r="A318" s="5">
        <v>20910228</v>
      </c>
      <c r="B318" s="5" t="s">
        <v>400</v>
      </c>
      <c r="C318" s="5" t="s">
        <v>12</v>
      </c>
      <c r="D318" s="6">
        <v>44449</v>
      </c>
      <c r="E318" s="12">
        <v>44491</v>
      </c>
      <c r="F318" t="s">
        <v>2</v>
      </c>
    </row>
    <row r="319" spans="1:6" x14ac:dyDescent="0.25">
      <c r="A319" s="5">
        <v>20910229</v>
      </c>
      <c r="B319" s="5" t="s">
        <v>401</v>
      </c>
      <c r="C319" s="5" t="s">
        <v>12</v>
      </c>
      <c r="D319" s="6">
        <v>44469</v>
      </c>
      <c r="E319" s="12">
        <v>44491</v>
      </c>
      <c r="F319" t="s">
        <v>2</v>
      </c>
    </row>
    <row r="320" spans="1:6" x14ac:dyDescent="0.25">
      <c r="A320" s="5">
        <v>20910230</v>
      </c>
      <c r="B320" s="5" t="s">
        <v>400</v>
      </c>
      <c r="C320" s="5" t="s">
        <v>12</v>
      </c>
      <c r="D320" s="6">
        <v>44449</v>
      </c>
      <c r="E320" s="12">
        <v>44491</v>
      </c>
      <c r="F320" t="s">
        <v>2</v>
      </c>
    </row>
    <row r="321" spans="1:6" x14ac:dyDescent="0.25">
      <c r="A321" s="5">
        <v>20910231</v>
      </c>
      <c r="B321" s="5" t="s">
        <v>400</v>
      </c>
      <c r="C321" s="5" t="s">
        <v>18</v>
      </c>
      <c r="D321" s="6">
        <v>44449</v>
      </c>
      <c r="E321" s="12">
        <v>44491</v>
      </c>
      <c r="F321" t="s">
        <v>2</v>
      </c>
    </row>
    <row r="322" spans="1:6" x14ac:dyDescent="0.25">
      <c r="A322" s="5">
        <v>20910232</v>
      </c>
      <c r="B322" s="5" t="s">
        <v>401</v>
      </c>
      <c r="C322" s="5" t="s">
        <v>12</v>
      </c>
      <c r="D322" s="6">
        <v>44449</v>
      </c>
      <c r="E322" s="12">
        <v>44491</v>
      </c>
      <c r="F322" t="s">
        <v>2</v>
      </c>
    </row>
    <row r="323" spans="1:6" x14ac:dyDescent="0.25">
      <c r="A323" s="5">
        <v>20910233</v>
      </c>
      <c r="B323" s="5" t="s">
        <v>400</v>
      </c>
      <c r="C323" s="5" t="s">
        <v>12</v>
      </c>
      <c r="D323" s="6">
        <v>44480</v>
      </c>
      <c r="E323" s="12">
        <v>44491</v>
      </c>
      <c r="F323" t="s">
        <v>2</v>
      </c>
    </row>
    <row r="324" spans="1:6" x14ac:dyDescent="0.25">
      <c r="A324" s="5">
        <v>20910234</v>
      </c>
      <c r="B324" s="5" t="s">
        <v>400</v>
      </c>
      <c r="C324" s="5" t="s">
        <v>12</v>
      </c>
      <c r="D324" s="6">
        <v>44479</v>
      </c>
      <c r="E324" s="12">
        <v>44491</v>
      </c>
      <c r="F324" t="s">
        <v>2</v>
      </c>
    </row>
    <row r="325" spans="1:6" x14ac:dyDescent="0.25">
      <c r="A325" s="5">
        <v>20910235</v>
      </c>
      <c r="B325" s="5" t="s">
        <v>400</v>
      </c>
      <c r="C325" s="5" t="s">
        <v>12</v>
      </c>
      <c r="D325" s="6">
        <v>44469</v>
      </c>
      <c r="E325" s="12">
        <v>44491</v>
      </c>
      <c r="F325" t="s">
        <v>2</v>
      </c>
    </row>
    <row r="326" spans="1:6" x14ac:dyDescent="0.25">
      <c r="A326" s="5">
        <v>20910236</v>
      </c>
      <c r="B326" s="5" t="s">
        <v>400</v>
      </c>
      <c r="C326" s="5" t="s">
        <v>12</v>
      </c>
      <c r="D326" s="6">
        <v>44454</v>
      </c>
      <c r="E326" s="12">
        <v>44491</v>
      </c>
      <c r="F326" t="s">
        <v>2</v>
      </c>
    </row>
    <row r="327" spans="1:6" x14ac:dyDescent="0.25">
      <c r="A327" s="5">
        <v>20910237</v>
      </c>
      <c r="B327" s="5" t="s">
        <v>401</v>
      </c>
      <c r="C327" s="5" t="s">
        <v>12</v>
      </c>
      <c r="D327" s="6">
        <v>44454</v>
      </c>
      <c r="E327" s="12">
        <v>44491</v>
      </c>
      <c r="F327" t="s">
        <v>2</v>
      </c>
    </row>
    <row r="328" spans="1:6" x14ac:dyDescent="0.25">
      <c r="A328" s="5">
        <v>20910238</v>
      </c>
      <c r="B328" s="5" t="s">
        <v>400</v>
      </c>
      <c r="C328" s="5" t="s">
        <v>12</v>
      </c>
      <c r="D328" s="6">
        <v>44469</v>
      </c>
      <c r="E328" s="12">
        <v>44491</v>
      </c>
      <c r="F328" t="s">
        <v>2</v>
      </c>
    </row>
    <row r="329" spans="1:6" x14ac:dyDescent="0.25">
      <c r="A329" s="5">
        <v>20910239</v>
      </c>
      <c r="B329" s="5" t="s">
        <v>400</v>
      </c>
      <c r="C329" s="5" t="s">
        <v>12</v>
      </c>
      <c r="D329" s="6">
        <v>44469</v>
      </c>
      <c r="E329" s="12">
        <v>44491</v>
      </c>
      <c r="F329" t="s">
        <v>2</v>
      </c>
    </row>
    <row r="330" spans="1:6" x14ac:dyDescent="0.25">
      <c r="A330" s="5">
        <v>20910240</v>
      </c>
      <c r="B330" s="5" t="s">
        <v>400</v>
      </c>
      <c r="C330" s="5" t="s">
        <v>12</v>
      </c>
      <c r="D330" s="6">
        <v>44469</v>
      </c>
      <c r="E330" s="12">
        <v>44491</v>
      </c>
      <c r="F330" t="s">
        <v>2</v>
      </c>
    </row>
    <row r="331" spans="1:6" x14ac:dyDescent="0.25">
      <c r="A331" s="5">
        <v>20910241</v>
      </c>
      <c r="B331" s="5" t="s">
        <v>400</v>
      </c>
      <c r="C331" s="5" t="s">
        <v>12</v>
      </c>
      <c r="D331" s="6">
        <v>44469</v>
      </c>
      <c r="E331" s="12">
        <v>44491</v>
      </c>
      <c r="F331" t="s">
        <v>2</v>
      </c>
    </row>
    <row r="332" spans="1:6" x14ac:dyDescent="0.25">
      <c r="A332" s="5">
        <v>20910242</v>
      </c>
      <c r="B332" s="5" t="s">
        <v>400</v>
      </c>
      <c r="C332" s="5" t="s">
        <v>12</v>
      </c>
      <c r="D332" s="6">
        <v>44469</v>
      </c>
      <c r="E332" s="12">
        <v>44491</v>
      </c>
      <c r="F332" t="s">
        <v>2</v>
      </c>
    </row>
    <row r="333" spans="1:6" x14ac:dyDescent="0.25">
      <c r="A333" s="5">
        <v>20910243</v>
      </c>
      <c r="B333" s="5" t="s">
        <v>401</v>
      </c>
      <c r="C333" s="5" t="s">
        <v>12</v>
      </c>
      <c r="D333" s="6">
        <v>44474</v>
      </c>
      <c r="E333" s="12">
        <v>44491</v>
      </c>
      <c r="F333" t="s">
        <v>2</v>
      </c>
    </row>
    <row r="334" spans="1:6" x14ac:dyDescent="0.25">
      <c r="A334" s="5">
        <v>20910244</v>
      </c>
      <c r="B334" s="5" t="s">
        <v>401</v>
      </c>
      <c r="C334" s="5" t="s">
        <v>12</v>
      </c>
      <c r="D334" s="6">
        <v>44474</v>
      </c>
      <c r="E334" s="12">
        <v>44491</v>
      </c>
      <c r="F334" t="s">
        <v>2</v>
      </c>
    </row>
    <row r="335" spans="1:6" x14ac:dyDescent="0.25">
      <c r="A335" s="5">
        <v>20910245</v>
      </c>
      <c r="B335" s="5" t="s">
        <v>401</v>
      </c>
      <c r="C335" s="5" t="s">
        <v>18</v>
      </c>
      <c r="D335" s="6">
        <v>44454</v>
      </c>
      <c r="E335" s="12">
        <v>44491</v>
      </c>
      <c r="F335" t="s">
        <v>2</v>
      </c>
    </row>
    <row r="336" spans="1:6" x14ac:dyDescent="0.25">
      <c r="A336" s="5">
        <v>20910246</v>
      </c>
      <c r="B336" s="5" t="s">
        <v>401</v>
      </c>
      <c r="C336" s="5" t="s">
        <v>18</v>
      </c>
      <c r="D336" s="6">
        <v>44454</v>
      </c>
      <c r="E336" s="12">
        <v>44491</v>
      </c>
      <c r="F336" t="s">
        <v>2</v>
      </c>
    </row>
    <row r="337" spans="1:6" x14ac:dyDescent="0.25">
      <c r="A337" s="5">
        <v>20910247</v>
      </c>
      <c r="B337" s="5" t="s">
        <v>400</v>
      </c>
      <c r="C337" s="5" t="s">
        <v>79</v>
      </c>
      <c r="D337" s="6">
        <v>44469</v>
      </c>
      <c r="E337" s="12">
        <v>44491</v>
      </c>
      <c r="F337" t="s">
        <v>2</v>
      </c>
    </row>
    <row r="338" spans="1:6" x14ac:dyDescent="0.25">
      <c r="A338" s="5">
        <v>20910248</v>
      </c>
      <c r="B338" s="5" t="s">
        <v>401</v>
      </c>
      <c r="C338" s="5" t="s">
        <v>18</v>
      </c>
      <c r="D338" s="6">
        <v>44454</v>
      </c>
      <c r="E338" s="12">
        <v>44491</v>
      </c>
      <c r="F338" t="s">
        <v>2</v>
      </c>
    </row>
    <row r="339" spans="1:6" x14ac:dyDescent="0.25">
      <c r="A339" s="5">
        <v>20910249</v>
      </c>
      <c r="B339" s="5" t="s">
        <v>401</v>
      </c>
      <c r="C339" s="5" t="s">
        <v>12</v>
      </c>
      <c r="D339" s="6">
        <v>44450</v>
      </c>
      <c r="E339" s="12">
        <v>44491</v>
      </c>
      <c r="F339" t="s">
        <v>2</v>
      </c>
    </row>
    <row r="340" spans="1:6" x14ac:dyDescent="0.25">
      <c r="A340" s="5">
        <v>20910250</v>
      </c>
      <c r="B340" s="5" t="s">
        <v>400</v>
      </c>
      <c r="C340" s="5" t="s">
        <v>12</v>
      </c>
      <c r="D340" s="6">
        <v>44454</v>
      </c>
      <c r="E340" s="12">
        <v>44491</v>
      </c>
      <c r="F340" t="s">
        <v>2</v>
      </c>
    </row>
    <row r="341" spans="1:6" x14ac:dyDescent="0.25">
      <c r="A341" s="5">
        <v>20910251</v>
      </c>
      <c r="B341" s="5" t="s">
        <v>401</v>
      </c>
      <c r="C341" s="5" t="s">
        <v>12</v>
      </c>
      <c r="D341" s="6">
        <v>44469</v>
      </c>
      <c r="E341" s="12">
        <v>44491</v>
      </c>
      <c r="F341" t="s">
        <v>2</v>
      </c>
    </row>
    <row r="342" spans="1:6" x14ac:dyDescent="0.25">
      <c r="A342" s="5">
        <v>20910252</v>
      </c>
      <c r="B342" s="5" t="s">
        <v>401</v>
      </c>
      <c r="C342" s="5" t="s">
        <v>12</v>
      </c>
      <c r="D342" s="6">
        <v>44454</v>
      </c>
      <c r="E342" s="12">
        <v>44491</v>
      </c>
      <c r="F342" t="s">
        <v>2</v>
      </c>
    </row>
    <row r="343" spans="1:6" x14ac:dyDescent="0.25">
      <c r="A343" s="5">
        <v>20910253</v>
      </c>
      <c r="B343" s="5" t="s">
        <v>401</v>
      </c>
      <c r="C343" s="5" t="s">
        <v>12</v>
      </c>
      <c r="D343" s="6">
        <v>44469</v>
      </c>
      <c r="E343" s="12">
        <v>44491</v>
      </c>
      <c r="F343" t="s">
        <v>2</v>
      </c>
    </row>
    <row r="344" spans="1:6" x14ac:dyDescent="0.25">
      <c r="A344" s="5">
        <v>20910254</v>
      </c>
      <c r="B344" s="5" t="s">
        <v>400</v>
      </c>
      <c r="C344" s="5" t="s">
        <v>12</v>
      </c>
      <c r="D344" s="6">
        <v>44469</v>
      </c>
      <c r="E344" s="12">
        <v>44491</v>
      </c>
      <c r="F344" t="s">
        <v>2</v>
      </c>
    </row>
    <row r="345" spans="1:6" x14ac:dyDescent="0.25">
      <c r="A345" s="5">
        <v>20910255</v>
      </c>
      <c r="B345" s="5" t="s">
        <v>400</v>
      </c>
      <c r="C345" s="5" t="s">
        <v>12</v>
      </c>
      <c r="D345" s="6">
        <v>44469</v>
      </c>
      <c r="E345" s="12">
        <v>44491</v>
      </c>
      <c r="F345" t="s">
        <v>2</v>
      </c>
    </row>
    <row r="346" spans="1:6" x14ac:dyDescent="0.25">
      <c r="A346" s="5">
        <v>20910256</v>
      </c>
      <c r="B346" s="5" t="s">
        <v>400</v>
      </c>
      <c r="C346" s="5" t="s">
        <v>12</v>
      </c>
      <c r="D346" s="6">
        <v>44469</v>
      </c>
      <c r="E346" s="12">
        <v>44491</v>
      </c>
      <c r="F346" t="s">
        <v>2</v>
      </c>
    </row>
    <row r="347" spans="1:6" x14ac:dyDescent="0.25">
      <c r="A347" s="5">
        <v>16390557</v>
      </c>
      <c r="B347" s="5" t="s">
        <v>401</v>
      </c>
      <c r="C347" s="5" t="s">
        <v>12</v>
      </c>
      <c r="D347" s="6">
        <v>43770</v>
      </c>
      <c r="E347" s="12">
        <v>44532</v>
      </c>
      <c r="F347" t="s">
        <v>2</v>
      </c>
    </row>
    <row r="348" spans="1:6" x14ac:dyDescent="0.25">
      <c r="A348" s="5">
        <v>16390552</v>
      </c>
      <c r="B348" s="5" t="s">
        <v>400</v>
      </c>
      <c r="C348" s="5" t="s">
        <v>12</v>
      </c>
      <c r="D348" s="6">
        <v>41912</v>
      </c>
      <c r="E348" s="12">
        <v>44551</v>
      </c>
      <c r="F348" t="s">
        <v>0</v>
      </c>
    </row>
    <row r="349" spans="1:6" x14ac:dyDescent="0.25">
      <c r="A349" s="5">
        <v>18943172</v>
      </c>
      <c r="B349" s="5" t="s">
        <v>400</v>
      </c>
      <c r="C349" s="5" t="s">
        <v>12</v>
      </c>
      <c r="D349" s="6">
        <v>41912</v>
      </c>
      <c r="E349" s="12">
        <v>44551</v>
      </c>
      <c r="F349" t="s">
        <v>0</v>
      </c>
    </row>
    <row r="350" spans="1:6" x14ac:dyDescent="0.25">
      <c r="A350" s="5">
        <v>20910526</v>
      </c>
      <c r="B350" s="5" t="s">
        <v>401</v>
      </c>
      <c r="C350" s="5" t="s">
        <v>79</v>
      </c>
      <c r="D350" s="6">
        <v>44505</v>
      </c>
      <c r="E350" s="12">
        <v>44570</v>
      </c>
      <c r="F350" t="s">
        <v>2</v>
      </c>
    </row>
    <row r="351" spans="1:6" x14ac:dyDescent="0.25">
      <c r="A351" s="5">
        <v>20910527</v>
      </c>
      <c r="B351" s="5" t="s">
        <v>400</v>
      </c>
      <c r="C351" s="5" t="s">
        <v>12</v>
      </c>
      <c r="D351" s="6">
        <v>44520</v>
      </c>
      <c r="E351" s="12">
        <v>44570</v>
      </c>
      <c r="F351" t="s">
        <v>2</v>
      </c>
    </row>
    <row r="352" spans="1:6" x14ac:dyDescent="0.25">
      <c r="A352" s="5">
        <v>20910528</v>
      </c>
      <c r="B352" s="5" t="s">
        <v>400</v>
      </c>
      <c r="C352" s="5" t="s">
        <v>79</v>
      </c>
      <c r="D352" s="6">
        <v>44530</v>
      </c>
      <c r="E352" s="12">
        <v>44570</v>
      </c>
      <c r="F352" t="s">
        <v>2</v>
      </c>
    </row>
    <row r="353" spans="1:6" x14ac:dyDescent="0.25">
      <c r="A353" s="5">
        <v>20910529</v>
      </c>
      <c r="B353" s="5" t="s">
        <v>401</v>
      </c>
      <c r="C353" s="5" t="s">
        <v>18</v>
      </c>
      <c r="D353" s="6">
        <v>44520</v>
      </c>
      <c r="E353" s="12">
        <v>44570</v>
      </c>
      <c r="F353" t="s">
        <v>2</v>
      </c>
    </row>
    <row r="354" spans="1:6" x14ac:dyDescent="0.25">
      <c r="A354" s="5">
        <v>20910530</v>
      </c>
      <c r="B354" s="5" t="s">
        <v>401</v>
      </c>
      <c r="C354" s="5" t="s">
        <v>12</v>
      </c>
      <c r="D354" s="6">
        <v>44540</v>
      </c>
      <c r="E354" s="12">
        <v>44570</v>
      </c>
      <c r="F354" t="s">
        <v>2</v>
      </c>
    </row>
    <row r="355" spans="1:6" x14ac:dyDescent="0.25">
      <c r="A355" s="5">
        <v>20910531</v>
      </c>
      <c r="B355" s="5" t="s">
        <v>401</v>
      </c>
      <c r="C355" s="5" t="s">
        <v>12</v>
      </c>
      <c r="D355" s="6">
        <v>44545</v>
      </c>
      <c r="E355" s="12">
        <v>44570</v>
      </c>
      <c r="F355" t="s">
        <v>2</v>
      </c>
    </row>
    <row r="356" spans="1:6" x14ac:dyDescent="0.25">
      <c r="A356" s="5">
        <v>20910532</v>
      </c>
      <c r="B356" s="5" t="s">
        <v>401</v>
      </c>
      <c r="C356" s="5" t="s">
        <v>12</v>
      </c>
      <c r="D356" s="6">
        <v>44560</v>
      </c>
      <c r="E356" s="12">
        <v>44570</v>
      </c>
      <c r="F356" t="s">
        <v>2</v>
      </c>
    </row>
    <row r="357" spans="1:6" x14ac:dyDescent="0.25">
      <c r="A357" s="5">
        <v>20910533</v>
      </c>
      <c r="B357" s="5" t="s">
        <v>400</v>
      </c>
      <c r="C357" s="5" t="s">
        <v>12</v>
      </c>
      <c r="D357" s="6">
        <v>44550</v>
      </c>
      <c r="E357" s="12">
        <v>44570</v>
      </c>
      <c r="F357" t="s">
        <v>2</v>
      </c>
    </row>
    <row r="358" spans="1:6" x14ac:dyDescent="0.25">
      <c r="A358" s="5">
        <v>20910534</v>
      </c>
      <c r="B358" s="5" t="s">
        <v>400</v>
      </c>
      <c r="C358" s="5" t="s">
        <v>18</v>
      </c>
      <c r="D358" s="6">
        <v>44548</v>
      </c>
      <c r="E358" s="12">
        <v>44570</v>
      </c>
      <c r="F358" t="s">
        <v>2</v>
      </c>
    </row>
    <row r="359" spans="1:6" x14ac:dyDescent="0.25">
      <c r="A359" s="5">
        <v>20910535</v>
      </c>
      <c r="B359" s="5" t="s">
        <v>400</v>
      </c>
      <c r="C359" s="5" t="s">
        <v>12</v>
      </c>
      <c r="D359" s="6">
        <v>44548</v>
      </c>
      <c r="E359" s="12">
        <v>44570</v>
      </c>
      <c r="F359" t="s">
        <v>2</v>
      </c>
    </row>
    <row r="360" spans="1:6" x14ac:dyDescent="0.25">
      <c r="A360" s="5">
        <v>20910536</v>
      </c>
      <c r="B360" s="5" t="s">
        <v>401</v>
      </c>
      <c r="C360" s="5" t="s">
        <v>12</v>
      </c>
      <c r="D360" s="6">
        <v>44505</v>
      </c>
      <c r="E360" s="12">
        <v>44570</v>
      </c>
      <c r="F360" t="s">
        <v>2</v>
      </c>
    </row>
    <row r="361" spans="1:6" x14ac:dyDescent="0.25">
      <c r="A361" s="5">
        <v>20910537</v>
      </c>
      <c r="B361" s="5" t="s">
        <v>400</v>
      </c>
      <c r="C361" s="5" t="s">
        <v>12</v>
      </c>
      <c r="D361" s="6">
        <v>44554</v>
      </c>
      <c r="E361" s="12">
        <v>44570</v>
      </c>
      <c r="F361" t="s">
        <v>2</v>
      </c>
    </row>
    <row r="362" spans="1:6" x14ac:dyDescent="0.25">
      <c r="A362" s="5">
        <v>20910538</v>
      </c>
      <c r="B362" s="5" t="s">
        <v>401</v>
      </c>
      <c r="C362" s="5" t="s">
        <v>79</v>
      </c>
      <c r="D362" s="6">
        <v>44505</v>
      </c>
      <c r="E362" s="12">
        <v>44570</v>
      </c>
      <c r="F362" t="s">
        <v>2</v>
      </c>
    </row>
    <row r="363" spans="1:6" x14ac:dyDescent="0.25">
      <c r="A363" s="5">
        <v>20910539</v>
      </c>
      <c r="B363" s="5" t="s">
        <v>401</v>
      </c>
      <c r="C363" s="5" t="s">
        <v>12</v>
      </c>
      <c r="D363" s="6">
        <v>44555</v>
      </c>
      <c r="E363" s="12">
        <v>44570</v>
      </c>
      <c r="F363" t="s">
        <v>2</v>
      </c>
    </row>
    <row r="364" spans="1:6" x14ac:dyDescent="0.25">
      <c r="A364" s="5">
        <v>20910540</v>
      </c>
      <c r="B364" s="5" t="s">
        <v>401</v>
      </c>
      <c r="C364" s="5" t="s">
        <v>12</v>
      </c>
      <c r="D364" s="6">
        <v>44520</v>
      </c>
      <c r="E364" s="12">
        <v>44570</v>
      </c>
      <c r="F364" t="s">
        <v>2</v>
      </c>
    </row>
    <row r="365" spans="1:6" x14ac:dyDescent="0.25">
      <c r="A365" s="5">
        <v>20910541</v>
      </c>
      <c r="B365" s="5" t="s">
        <v>401</v>
      </c>
      <c r="C365" s="5" t="s">
        <v>12</v>
      </c>
      <c r="D365" s="6">
        <v>44518</v>
      </c>
      <c r="E365" s="12">
        <v>44570</v>
      </c>
      <c r="F365" t="s">
        <v>2</v>
      </c>
    </row>
    <row r="366" spans="1:6" x14ac:dyDescent="0.25">
      <c r="A366" s="5">
        <v>20910542</v>
      </c>
      <c r="B366" s="5" t="s">
        <v>400</v>
      </c>
      <c r="C366" s="5" t="s">
        <v>12</v>
      </c>
      <c r="D366" s="6">
        <v>44518</v>
      </c>
      <c r="E366" s="12">
        <v>44570</v>
      </c>
      <c r="F366" t="s">
        <v>2</v>
      </c>
    </row>
    <row r="367" spans="1:6" x14ac:dyDescent="0.25">
      <c r="A367" s="5">
        <v>20910543</v>
      </c>
      <c r="B367" s="5" t="s">
        <v>401</v>
      </c>
      <c r="C367" s="5" t="s">
        <v>12</v>
      </c>
      <c r="D367" s="6">
        <v>44505</v>
      </c>
      <c r="E367" s="12">
        <v>44570</v>
      </c>
      <c r="F367" t="s">
        <v>2</v>
      </c>
    </row>
    <row r="368" spans="1:6" x14ac:dyDescent="0.25">
      <c r="A368" s="5">
        <v>20910544</v>
      </c>
      <c r="B368" s="5" t="s">
        <v>400</v>
      </c>
      <c r="C368" s="5" t="s">
        <v>12</v>
      </c>
      <c r="D368" s="6">
        <v>44518</v>
      </c>
      <c r="E368" s="12">
        <v>44570</v>
      </c>
      <c r="F368" t="s">
        <v>2</v>
      </c>
    </row>
    <row r="369" spans="1:6" x14ac:dyDescent="0.25">
      <c r="A369" s="5">
        <v>20910545</v>
      </c>
      <c r="B369" s="5" t="s">
        <v>400</v>
      </c>
      <c r="C369" s="5" t="s">
        <v>12</v>
      </c>
      <c r="D369" s="6">
        <v>44561</v>
      </c>
      <c r="E369" s="12">
        <v>44570</v>
      </c>
      <c r="F369" t="s">
        <v>2</v>
      </c>
    </row>
    <row r="370" spans="1:6" x14ac:dyDescent="0.25">
      <c r="A370" s="5">
        <v>20910546</v>
      </c>
      <c r="B370" s="5" t="s">
        <v>401</v>
      </c>
      <c r="C370" s="5" t="s">
        <v>12</v>
      </c>
      <c r="D370" s="6">
        <v>44499</v>
      </c>
      <c r="E370" s="12">
        <v>44570</v>
      </c>
      <c r="F370" t="s">
        <v>2</v>
      </c>
    </row>
    <row r="371" spans="1:6" x14ac:dyDescent="0.25">
      <c r="A371" s="5">
        <v>20910547</v>
      </c>
      <c r="B371" s="5" t="s">
        <v>401</v>
      </c>
      <c r="C371" s="5" t="s">
        <v>12</v>
      </c>
      <c r="D371" s="6">
        <v>44520</v>
      </c>
      <c r="E371" s="12">
        <v>44570</v>
      </c>
      <c r="F371" t="s">
        <v>2</v>
      </c>
    </row>
    <row r="372" spans="1:6" x14ac:dyDescent="0.25">
      <c r="A372" s="5">
        <v>20910548</v>
      </c>
      <c r="B372" s="5" t="s">
        <v>400</v>
      </c>
      <c r="C372" s="5" t="s">
        <v>12</v>
      </c>
      <c r="D372" s="6">
        <v>44530</v>
      </c>
      <c r="E372" s="12">
        <v>44570</v>
      </c>
      <c r="F372" t="s">
        <v>2</v>
      </c>
    </row>
    <row r="373" spans="1:6" x14ac:dyDescent="0.25">
      <c r="A373" s="5">
        <v>20910549</v>
      </c>
      <c r="B373" s="5" t="s">
        <v>401</v>
      </c>
      <c r="C373" s="5" t="s">
        <v>12</v>
      </c>
      <c r="D373" s="6">
        <v>44530</v>
      </c>
      <c r="E373" s="12">
        <v>44570</v>
      </c>
      <c r="F373" t="s">
        <v>2</v>
      </c>
    </row>
    <row r="374" spans="1:6" x14ac:dyDescent="0.25">
      <c r="A374" s="5">
        <v>20910550</v>
      </c>
      <c r="B374" s="5" t="s">
        <v>401</v>
      </c>
      <c r="C374" s="5" t="s">
        <v>12</v>
      </c>
      <c r="D374" s="6">
        <v>44581</v>
      </c>
      <c r="E374" s="12">
        <v>44598</v>
      </c>
      <c r="F374" t="s">
        <v>0</v>
      </c>
    </row>
    <row r="375" spans="1:6" x14ac:dyDescent="0.25">
      <c r="A375" s="5">
        <v>20910551</v>
      </c>
      <c r="B375" s="5" t="s">
        <v>401</v>
      </c>
      <c r="C375" s="5" t="s">
        <v>12</v>
      </c>
      <c r="D375" s="6">
        <v>44560</v>
      </c>
      <c r="E375" s="12">
        <v>44598</v>
      </c>
      <c r="F375" t="s">
        <v>0</v>
      </c>
    </row>
    <row r="376" spans="1:6" x14ac:dyDescent="0.25">
      <c r="A376" s="5">
        <v>20910552</v>
      </c>
      <c r="B376" s="5" t="s">
        <v>401</v>
      </c>
      <c r="C376" s="5" t="s">
        <v>12</v>
      </c>
      <c r="D376" s="6">
        <v>44560</v>
      </c>
      <c r="E376" s="12">
        <v>44598</v>
      </c>
      <c r="F376" t="s">
        <v>0</v>
      </c>
    </row>
    <row r="377" spans="1:6" x14ac:dyDescent="0.25">
      <c r="A377" s="5">
        <v>20910553</v>
      </c>
      <c r="B377" s="5" t="s">
        <v>400</v>
      </c>
      <c r="C377" s="5" t="s">
        <v>12</v>
      </c>
      <c r="D377" s="6">
        <v>44560</v>
      </c>
      <c r="E377" s="12">
        <v>44598</v>
      </c>
      <c r="F377" t="s">
        <v>0</v>
      </c>
    </row>
    <row r="378" spans="1:6" x14ac:dyDescent="0.25">
      <c r="A378" s="5">
        <v>20910554</v>
      </c>
      <c r="B378" s="5" t="s">
        <v>401</v>
      </c>
      <c r="C378" s="5" t="s">
        <v>12</v>
      </c>
      <c r="D378" s="6">
        <v>44560</v>
      </c>
      <c r="E378" s="12">
        <v>44598</v>
      </c>
      <c r="F378" t="s">
        <v>0</v>
      </c>
    </row>
    <row r="379" spans="1:6" x14ac:dyDescent="0.25">
      <c r="A379" s="5">
        <v>20910555</v>
      </c>
      <c r="B379" s="5" t="s">
        <v>401</v>
      </c>
      <c r="C379" s="5" t="s">
        <v>12</v>
      </c>
      <c r="D379" s="6">
        <v>44560</v>
      </c>
      <c r="E379" s="12">
        <v>44598</v>
      </c>
      <c r="F379" t="s">
        <v>0</v>
      </c>
    </row>
    <row r="380" spans="1:6" x14ac:dyDescent="0.25">
      <c r="A380" s="5">
        <v>20910556</v>
      </c>
      <c r="B380" s="5" t="s">
        <v>401</v>
      </c>
      <c r="C380" s="5" t="s">
        <v>12</v>
      </c>
      <c r="D380" s="6">
        <v>44423</v>
      </c>
      <c r="E380" s="12">
        <v>44654</v>
      </c>
      <c r="F380" t="s">
        <v>3</v>
      </c>
    </row>
    <row r="381" spans="1:6" x14ac:dyDescent="0.25">
      <c r="A381" s="5">
        <v>20910557</v>
      </c>
      <c r="B381" s="5" t="s">
        <v>401</v>
      </c>
      <c r="C381" s="5" t="s">
        <v>18</v>
      </c>
      <c r="D381" s="6">
        <v>44479</v>
      </c>
      <c r="E381" s="12">
        <v>44654</v>
      </c>
      <c r="F381" t="s">
        <v>3</v>
      </c>
    </row>
    <row r="382" spans="1:6" x14ac:dyDescent="0.25">
      <c r="A382" s="5">
        <v>20910558</v>
      </c>
      <c r="B382" s="5" t="s">
        <v>401</v>
      </c>
      <c r="C382" s="5" t="s">
        <v>12</v>
      </c>
      <c r="D382" s="6">
        <v>44499</v>
      </c>
      <c r="E382" s="12">
        <v>44654</v>
      </c>
      <c r="F382" t="s">
        <v>3</v>
      </c>
    </row>
    <row r="383" spans="1:6" x14ac:dyDescent="0.25">
      <c r="A383" s="5">
        <v>20910559</v>
      </c>
      <c r="B383" s="5" t="s">
        <v>401</v>
      </c>
      <c r="C383" s="5" t="s">
        <v>18</v>
      </c>
      <c r="D383" s="6">
        <v>44499</v>
      </c>
      <c r="E383" s="12">
        <v>44654</v>
      </c>
      <c r="F383" t="s">
        <v>3</v>
      </c>
    </row>
    <row r="384" spans="1:6" x14ac:dyDescent="0.25">
      <c r="A384" s="5">
        <v>20910560</v>
      </c>
      <c r="B384" s="5" t="s">
        <v>401</v>
      </c>
      <c r="C384" s="5" t="s">
        <v>12</v>
      </c>
      <c r="D384" s="6">
        <v>44499</v>
      </c>
      <c r="E384" s="12">
        <v>44654</v>
      </c>
      <c r="F384" t="s">
        <v>3</v>
      </c>
    </row>
    <row r="385" spans="1:6" x14ac:dyDescent="0.25">
      <c r="A385" s="5">
        <v>20910561</v>
      </c>
      <c r="B385" s="5" t="s">
        <v>401</v>
      </c>
      <c r="C385" s="5" t="s">
        <v>12</v>
      </c>
      <c r="D385" s="6">
        <v>44542</v>
      </c>
      <c r="E385" s="12">
        <v>44654</v>
      </c>
      <c r="F385" t="s">
        <v>3</v>
      </c>
    </row>
    <row r="386" spans="1:6" x14ac:dyDescent="0.25">
      <c r="A386" s="5">
        <v>20910562</v>
      </c>
      <c r="B386" s="5" t="s">
        <v>401</v>
      </c>
      <c r="C386" s="5" t="s">
        <v>18</v>
      </c>
      <c r="D386" s="6">
        <v>44530</v>
      </c>
      <c r="E386" s="12">
        <v>44654</v>
      </c>
      <c r="F386" t="s">
        <v>3</v>
      </c>
    </row>
    <row r="387" spans="1:6" x14ac:dyDescent="0.25">
      <c r="A387" s="5">
        <v>20910563</v>
      </c>
      <c r="B387" s="5" t="s">
        <v>401</v>
      </c>
      <c r="C387" s="5" t="s">
        <v>79</v>
      </c>
      <c r="D387" s="6">
        <v>44554</v>
      </c>
      <c r="E387" s="12">
        <v>44654</v>
      </c>
      <c r="F387" t="s">
        <v>3</v>
      </c>
    </row>
    <row r="388" spans="1:6" x14ac:dyDescent="0.25">
      <c r="A388" s="5">
        <v>20916625</v>
      </c>
      <c r="B388" s="5" t="s">
        <v>400</v>
      </c>
      <c r="C388" s="5" t="s">
        <v>12</v>
      </c>
      <c r="D388" s="6">
        <v>44635</v>
      </c>
      <c r="E388" s="12">
        <v>44658</v>
      </c>
      <c r="F388" t="s">
        <v>4</v>
      </c>
    </row>
    <row r="389" spans="1:6" x14ac:dyDescent="0.25">
      <c r="A389" s="5">
        <v>20916626</v>
      </c>
      <c r="B389" s="5" t="s">
        <v>400</v>
      </c>
      <c r="C389" s="5" t="s">
        <v>79</v>
      </c>
      <c r="D389" s="6">
        <v>44607</v>
      </c>
      <c r="E389" s="12">
        <v>44658</v>
      </c>
      <c r="F389" t="s">
        <v>4</v>
      </c>
    </row>
    <row r="390" spans="1:6" x14ac:dyDescent="0.25">
      <c r="A390" s="5">
        <v>20916627</v>
      </c>
      <c r="B390" s="5" t="s">
        <v>400</v>
      </c>
      <c r="C390" s="5" t="s">
        <v>12</v>
      </c>
      <c r="D390" s="6">
        <v>44607</v>
      </c>
      <c r="E390" s="12">
        <v>44658</v>
      </c>
      <c r="F390" t="s">
        <v>4</v>
      </c>
    </row>
    <row r="391" spans="1:6" x14ac:dyDescent="0.25">
      <c r="A391" s="5">
        <v>20916628</v>
      </c>
      <c r="B391" s="5" t="s">
        <v>401</v>
      </c>
      <c r="C391" s="5" t="s">
        <v>12</v>
      </c>
      <c r="D391" s="6">
        <v>44576</v>
      </c>
      <c r="E391" s="12">
        <v>44658</v>
      </c>
      <c r="F391" t="s">
        <v>4</v>
      </c>
    </row>
    <row r="392" spans="1:6" x14ac:dyDescent="0.25">
      <c r="A392" s="5">
        <v>20916629</v>
      </c>
      <c r="B392" s="5" t="s">
        <v>400</v>
      </c>
      <c r="C392" s="5" t="s">
        <v>12</v>
      </c>
      <c r="D392" s="6">
        <v>44635</v>
      </c>
      <c r="E392" s="12">
        <v>44658</v>
      </c>
      <c r="F392" t="s">
        <v>4</v>
      </c>
    </row>
    <row r="393" spans="1:6" x14ac:dyDescent="0.25">
      <c r="A393" s="5">
        <v>20916630</v>
      </c>
      <c r="B393" s="5" t="s">
        <v>401</v>
      </c>
      <c r="C393" s="5" t="s">
        <v>406</v>
      </c>
      <c r="D393" s="6">
        <v>44576</v>
      </c>
      <c r="E393" s="12">
        <v>44658</v>
      </c>
      <c r="F393" t="s">
        <v>4</v>
      </c>
    </row>
    <row r="394" spans="1:6" x14ac:dyDescent="0.25">
      <c r="A394" s="5">
        <v>20916631</v>
      </c>
      <c r="B394" s="5" t="s">
        <v>401</v>
      </c>
      <c r="C394" s="5" t="s">
        <v>12</v>
      </c>
      <c r="D394" s="6">
        <v>44545</v>
      </c>
      <c r="E394" s="12">
        <v>44658</v>
      </c>
      <c r="F394" t="s">
        <v>4</v>
      </c>
    </row>
    <row r="395" spans="1:6" x14ac:dyDescent="0.25">
      <c r="A395" s="5">
        <v>20916632</v>
      </c>
      <c r="B395" s="5" t="s">
        <v>400</v>
      </c>
      <c r="C395" s="5" t="s">
        <v>18</v>
      </c>
      <c r="D395" s="6">
        <v>44576</v>
      </c>
      <c r="E395" s="12">
        <v>44658</v>
      </c>
      <c r="F395" t="s">
        <v>4</v>
      </c>
    </row>
    <row r="396" spans="1:6" x14ac:dyDescent="0.25">
      <c r="A396" s="5">
        <v>20916633</v>
      </c>
      <c r="B396" s="5" t="s">
        <v>401</v>
      </c>
      <c r="C396" s="5" t="s">
        <v>24</v>
      </c>
      <c r="D396" s="6">
        <v>44576</v>
      </c>
      <c r="E396" s="12">
        <v>44658</v>
      </c>
      <c r="F396" t="s">
        <v>4</v>
      </c>
    </row>
    <row r="397" spans="1:6" x14ac:dyDescent="0.25">
      <c r="A397" s="5">
        <v>20916634</v>
      </c>
      <c r="B397" s="5" t="s">
        <v>401</v>
      </c>
      <c r="C397" s="5" t="s">
        <v>12</v>
      </c>
      <c r="D397" s="6">
        <v>44576</v>
      </c>
      <c r="E397" s="12">
        <v>44658</v>
      </c>
      <c r="F397" t="s">
        <v>4</v>
      </c>
    </row>
    <row r="398" spans="1:6" x14ac:dyDescent="0.25">
      <c r="A398" s="5">
        <v>20916635</v>
      </c>
      <c r="B398" s="5" t="s">
        <v>400</v>
      </c>
      <c r="C398" s="5" t="s">
        <v>18</v>
      </c>
      <c r="D398" s="6">
        <v>44576</v>
      </c>
      <c r="E398" s="12">
        <v>44658</v>
      </c>
      <c r="F398" t="s">
        <v>4</v>
      </c>
    </row>
    <row r="399" spans="1:6" x14ac:dyDescent="0.25">
      <c r="A399" s="5">
        <v>20916636</v>
      </c>
      <c r="B399" s="5" t="s">
        <v>400</v>
      </c>
      <c r="C399" s="5" t="s">
        <v>24</v>
      </c>
      <c r="D399" s="6">
        <v>41197</v>
      </c>
      <c r="E399" s="12">
        <v>44658</v>
      </c>
      <c r="F399" t="s">
        <v>4</v>
      </c>
    </row>
    <row r="400" spans="1:6" x14ac:dyDescent="0.25">
      <c r="A400" s="5">
        <v>20910564</v>
      </c>
      <c r="B400" s="5" t="s">
        <v>401</v>
      </c>
      <c r="C400" s="5" t="s">
        <v>12</v>
      </c>
      <c r="D400" s="6">
        <v>44499</v>
      </c>
      <c r="E400" s="12">
        <v>44660</v>
      </c>
      <c r="F400" t="s">
        <v>0</v>
      </c>
    </row>
    <row r="401" spans="1:6" x14ac:dyDescent="0.25">
      <c r="A401" s="5">
        <v>20910566</v>
      </c>
      <c r="B401" s="5" t="s">
        <v>400</v>
      </c>
      <c r="C401" s="5" t="s">
        <v>12</v>
      </c>
      <c r="D401" s="6">
        <v>44530</v>
      </c>
      <c r="E401" s="12">
        <v>44660</v>
      </c>
      <c r="F401" t="s">
        <v>0</v>
      </c>
    </row>
    <row r="402" spans="1:6" x14ac:dyDescent="0.25">
      <c r="A402" s="5">
        <v>20910567</v>
      </c>
      <c r="B402" s="5" t="s">
        <v>401</v>
      </c>
      <c r="C402" s="5" t="s">
        <v>18</v>
      </c>
      <c r="D402" s="6">
        <v>44530</v>
      </c>
      <c r="E402" s="12">
        <v>44660</v>
      </c>
      <c r="F402" t="s">
        <v>0</v>
      </c>
    </row>
    <row r="403" spans="1:6" x14ac:dyDescent="0.25">
      <c r="A403" s="5">
        <v>20910568</v>
      </c>
      <c r="B403" s="5" t="s">
        <v>401</v>
      </c>
      <c r="C403" s="5" t="s">
        <v>79</v>
      </c>
      <c r="D403" s="6">
        <v>44530</v>
      </c>
      <c r="E403" s="12">
        <v>44660</v>
      </c>
      <c r="F403" t="s">
        <v>0</v>
      </c>
    </row>
    <row r="404" spans="1:6" x14ac:dyDescent="0.25">
      <c r="A404" s="5">
        <v>20910569</v>
      </c>
      <c r="B404" s="5" t="s">
        <v>401</v>
      </c>
      <c r="C404" s="5" t="s">
        <v>12</v>
      </c>
      <c r="D404" s="6">
        <v>44537</v>
      </c>
      <c r="E404" s="12">
        <v>44708</v>
      </c>
      <c r="F404" t="s">
        <v>2</v>
      </c>
    </row>
    <row r="405" spans="1:6" x14ac:dyDescent="0.25">
      <c r="A405" s="5">
        <v>20910570</v>
      </c>
      <c r="B405" s="5" t="s">
        <v>401</v>
      </c>
      <c r="C405" s="5" t="s">
        <v>12</v>
      </c>
      <c r="D405" s="6">
        <v>44537</v>
      </c>
      <c r="E405" s="12">
        <v>44708</v>
      </c>
      <c r="F405" t="s">
        <v>2</v>
      </c>
    </row>
    <row r="406" spans="1:6" x14ac:dyDescent="0.25">
      <c r="A406" s="5">
        <v>20910571</v>
      </c>
      <c r="B406" s="5" t="s">
        <v>400</v>
      </c>
      <c r="C406" s="5" t="s">
        <v>12</v>
      </c>
      <c r="D406" s="6">
        <v>44537</v>
      </c>
      <c r="E406" s="12">
        <v>44708</v>
      </c>
      <c r="F406" t="s">
        <v>2</v>
      </c>
    </row>
    <row r="407" spans="1:6" x14ac:dyDescent="0.25">
      <c r="A407" s="5">
        <v>20910572</v>
      </c>
      <c r="B407" s="5" t="s">
        <v>400</v>
      </c>
      <c r="C407" s="5" t="s">
        <v>12</v>
      </c>
      <c r="D407" s="6">
        <v>44537</v>
      </c>
      <c r="E407" s="12">
        <v>44708</v>
      </c>
      <c r="F407" t="s">
        <v>2</v>
      </c>
    </row>
    <row r="408" spans="1:6" x14ac:dyDescent="0.25">
      <c r="A408" s="5">
        <v>20910573</v>
      </c>
      <c r="B408" s="5" t="s">
        <v>400</v>
      </c>
      <c r="C408" s="5" t="s">
        <v>18</v>
      </c>
      <c r="D408" s="6">
        <v>44537</v>
      </c>
      <c r="E408" s="12">
        <v>44708</v>
      </c>
      <c r="F408" t="s">
        <v>2</v>
      </c>
    </row>
    <row r="409" spans="1:6" x14ac:dyDescent="0.25">
      <c r="A409" s="5">
        <v>20910574</v>
      </c>
      <c r="B409" s="5" t="s">
        <v>401</v>
      </c>
      <c r="C409" s="5" t="s">
        <v>12</v>
      </c>
      <c r="D409" s="6">
        <v>44537</v>
      </c>
      <c r="E409" s="12">
        <v>44708</v>
      </c>
      <c r="F409" t="s">
        <v>2</v>
      </c>
    </row>
    <row r="410" spans="1:6" x14ac:dyDescent="0.25">
      <c r="A410" s="5">
        <v>20910575</v>
      </c>
      <c r="B410" s="5" t="s">
        <v>400</v>
      </c>
      <c r="C410" s="5" t="s">
        <v>12</v>
      </c>
      <c r="D410" s="6">
        <v>44537</v>
      </c>
      <c r="E410" s="12">
        <v>44708</v>
      </c>
      <c r="F410" t="s">
        <v>2</v>
      </c>
    </row>
    <row r="411" spans="1:6" x14ac:dyDescent="0.25">
      <c r="A411" s="5">
        <v>20910576</v>
      </c>
      <c r="B411" s="5" t="s">
        <v>400</v>
      </c>
      <c r="C411" s="5" t="s">
        <v>12</v>
      </c>
      <c r="D411" s="6">
        <v>44537</v>
      </c>
      <c r="E411" s="12">
        <v>44708</v>
      </c>
      <c r="F411" t="s">
        <v>2</v>
      </c>
    </row>
    <row r="412" spans="1:6" x14ac:dyDescent="0.25">
      <c r="A412" s="5">
        <v>20910577</v>
      </c>
      <c r="B412" s="5" t="s">
        <v>400</v>
      </c>
      <c r="C412" s="5" t="s">
        <v>12</v>
      </c>
      <c r="D412" s="6">
        <v>44537</v>
      </c>
      <c r="E412" s="12">
        <v>44708</v>
      </c>
      <c r="F412" t="s">
        <v>2</v>
      </c>
    </row>
    <row r="413" spans="1:6" x14ac:dyDescent="0.25">
      <c r="A413" s="5">
        <v>20910578</v>
      </c>
      <c r="B413" s="5" t="s">
        <v>401</v>
      </c>
      <c r="C413" s="5" t="s">
        <v>12</v>
      </c>
      <c r="D413" s="6">
        <v>44537</v>
      </c>
      <c r="E413" s="12">
        <v>44708</v>
      </c>
      <c r="F413" t="s">
        <v>2</v>
      </c>
    </row>
    <row r="414" spans="1:6" x14ac:dyDescent="0.25">
      <c r="A414" s="5">
        <v>20910579</v>
      </c>
      <c r="B414" s="5" t="s">
        <v>400</v>
      </c>
      <c r="C414" s="5" t="s">
        <v>12</v>
      </c>
      <c r="D414" s="6">
        <v>44537</v>
      </c>
      <c r="E414" s="12">
        <v>44708</v>
      </c>
      <c r="F414" t="s">
        <v>2</v>
      </c>
    </row>
    <row r="415" spans="1:6" x14ac:dyDescent="0.25">
      <c r="A415" s="5">
        <v>20910580</v>
      </c>
      <c r="B415" s="5" t="s">
        <v>400</v>
      </c>
      <c r="C415" s="5" t="s">
        <v>18</v>
      </c>
      <c r="D415" s="6">
        <v>44537</v>
      </c>
      <c r="E415" s="12">
        <v>44708</v>
      </c>
      <c r="F415" t="s">
        <v>2</v>
      </c>
    </row>
    <row r="416" spans="1:6" x14ac:dyDescent="0.25">
      <c r="A416" s="5">
        <v>20910581</v>
      </c>
      <c r="B416" s="5" t="s">
        <v>401</v>
      </c>
      <c r="C416" s="5" t="s">
        <v>12</v>
      </c>
      <c r="D416" s="6">
        <v>44537</v>
      </c>
      <c r="E416" s="12">
        <v>44708</v>
      </c>
      <c r="F416" t="s">
        <v>2</v>
      </c>
    </row>
    <row r="417" spans="1:6" x14ac:dyDescent="0.25">
      <c r="A417" s="5">
        <v>20910582</v>
      </c>
      <c r="B417" s="5" t="s">
        <v>400</v>
      </c>
      <c r="C417" s="5" t="s">
        <v>12</v>
      </c>
      <c r="D417" s="6">
        <v>44537</v>
      </c>
      <c r="E417" s="12">
        <v>44708</v>
      </c>
      <c r="F417" t="s">
        <v>2</v>
      </c>
    </row>
    <row r="418" spans="1:6" x14ac:dyDescent="0.25">
      <c r="A418" s="5">
        <v>20910583</v>
      </c>
      <c r="B418" s="5" t="s">
        <v>401</v>
      </c>
      <c r="C418" s="5" t="s">
        <v>12</v>
      </c>
      <c r="D418" s="6">
        <v>44537</v>
      </c>
      <c r="E418" s="12">
        <v>44708</v>
      </c>
      <c r="F418" t="s">
        <v>2</v>
      </c>
    </row>
    <row r="419" spans="1:6" x14ac:dyDescent="0.25">
      <c r="A419" s="5">
        <v>20910584</v>
      </c>
      <c r="B419" s="5" t="s">
        <v>400</v>
      </c>
      <c r="C419" s="5" t="s">
        <v>12</v>
      </c>
      <c r="D419" s="6">
        <v>44537</v>
      </c>
      <c r="E419" s="12">
        <v>44708</v>
      </c>
      <c r="F419" t="s">
        <v>2</v>
      </c>
    </row>
    <row r="420" spans="1:6" x14ac:dyDescent="0.25">
      <c r="A420" s="5">
        <v>20910585</v>
      </c>
      <c r="B420" s="5" t="s">
        <v>400</v>
      </c>
      <c r="C420" s="5" t="s">
        <v>18</v>
      </c>
      <c r="D420" s="6">
        <v>44537</v>
      </c>
      <c r="E420" s="12">
        <v>44708</v>
      </c>
      <c r="F420" t="s">
        <v>2</v>
      </c>
    </row>
    <row r="421" spans="1:6" x14ac:dyDescent="0.25">
      <c r="A421" s="5">
        <v>20910586</v>
      </c>
      <c r="B421" s="5" t="s">
        <v>401</v>
      </c>
      <c r="C421" s="5" t="s">
        <v>12</v>
      </c>
      <c r="D421" s="6">
        <v>44537</v>
      </c>
      <c r="E421" s="12">
        <v>44708</v>
      </c>
      <c r="F421" t="s">
        <v>2</v>
      </c>
    </row>
    <row r="422" spans="1:6" x14ac:dyDescent="0.25">
      <c r="A422" s="5">
        <v>20910587</v>
      </c>
      <c r="B422" s="5" t="s">
        <v>401</v>
      </c>
      <c r="C422" s="5" t="s">
        <v>12</v>
      </c>
      <c r="D422" s="6">
        <v>44537</v>
      </c>
      <c r="E422" s="12">
        <v>44708</v>
      </c>
      <c r="F422" t="s">
        <v>2</v>
      </c>
    </row>
    <row r="423" spans="1:6" x14ac:dyDescent="0.25">
      <c r="A423" s="5">
        <v>20910588</v>
      </c>
      <c r="B423" s="5" t="s">
        <v>401</v>
      </c>
      <c r="C423" s="5" t="s">
        <v>12</v>
      </c>
      <c r="D423" s="6">
        <v>44537</v>
      </c>
      <c r="E423" s="12">
        <v>44708</v>
      </c>
      <c r="F423" t="s">
        <v>2</v>
      </c>
    </row>
    <row r="424" spans="1:6" x14ac:dyDescent="0.25">
      <c r="A424" s="5">
        <v>20910589</v>
      </c>
      <c r="B424" s="5" t="s">
        <v>401</v>
      </c>
      <c r="C424" s="5" t="s">
        <v>12</v>
      </c>
      <c r="D424" s="6">
        <v>44537</v>
      </c>
      <c r="E424" s="12">
        <v>44708</v>
      </c>
      <c r="F424" t="s">
        <v>2</v>
      </c>
    </row>
    <row r="425" spans="1:6" x14ac:dyDescent="0.25">
      <c r="A425" s="5">
        <v>20910590</v>
      </c>
      <c r="B425" s="5" t="s">
        <v>400</v>
      </c>
      <c r="C425" s="5" t="s">
        <v>12</v>
      </c>
      <c r="D425" s="6">
        <v>44537</v>
      </c>
      <c r="E425" s="12">
        <v>44708</v>
      </c>
      <c r="F425" t="s">
        <v>2</v>
      </c>
    </row>
    <row r="426" spans="1:6" x14ac:dyDescent="0.25">
      <c r="A426" s="5">
        <v>20910591</v>
      </c>
      <c r="B426" s="5" t="s">
        <v>400</v>
      </c>
      <c r="C426" s="5" t="s">
        <v>18</v>
      </c>
      <c r="D426" s="6">
        <v>44537</v>
      </c>
      <c r="E426" s="12">
        <v>44708</v>
      </c>
      <c r="F426" t="s">
        <v>2</v>
      </c>
    </row>
    <row r="427" spans="1:6" x14ac:dyDescent="0.25">
      <c r="A427" s="5">
        <v>20910592</v>
      </c>
      <c r="B427" s="5" t="s">
        <v>400</v>
      </c>
      <c r="C427" s="5" t="s">
        <v>12</v>
      </c>
      <c r="D427" s="6">
        <v>44537</v>
      </c>
      <c r="E427" s="12">
        <v>44708</v>
      </c>
      <c r="F427" t="s">
        <v>2</v>
      </c>
    </row>
    <row r="428" spans="1:6" x14ac:dyDescent="0.25">
      <c r="A428" s="5">
        <v>20910593</v>
      </c>
      <c r="B428" s="5" t="s">
        <v>401</v>
      </c>
      <c r="C428" s="5" t="s">
        <v>12</v>
      </c>
      <c r="D428" s="6">
        <v>44537</v>
      </c>
      <c r="E428" s="12">
        <v>44708</v>
      </c>
      <c r="F428" t="s">
        <v>2</v>
      </c>
    </row>
    <row r="429" spans="1:6" x14ac:dyDescent="0.25">
      <c r="A429" s="5">
        <v>20910601</v>
      </c>
      <c r="B429" s="5" t="s">
        <v>400</v>
      </c>
      <c r="C429" s="5" t="s">
        <v>12</v>
      </c>
      <c r="D429" s="6">
        <v>44545</v>
      </c>
      <c r="E429" s="12">
        <v>44709</v>
      </c>
      <c r="F429" t="s">
        <v>0</v>
      </c>
    </row>
    <row r="430" spans="1:6" x14ac:dyDescent="0.25">
      <c r="A430" s="5">
        <v>20910602</v>
      </c>
      <c r="B430" s="5" t="s">
        <v>400</v>
      </c>
      <c r="C430" s="5" t="s">
        <v>12</v>
      </c>
      <c r="D430" s="6">
        <v>44545</v>
      </c>
      <c r="E430" s="12">
        <v>44709</v>
      </c>
      <c r="F430" t="s">
        <v>0</v>
      </c>
    </row>
    <row r="431" spans="1:6" x14ac:dyDescent="0.25">
      <c r="A431" s="5">
        <v>20910603</v>
      </c>
      <c r="B431" s="5" t="s">
        <v>400</v>
      </c>
      <c r="C431" s="5" t="s">
        <v>12</v>
      </c>
      <c r="D431" s="6">
        <v>44545</v>
      </c>
      <c r="E431" s="12">
        <v>44709</v>
      </c>
      <c r="F431" t="s">
        <v>0</v>
      </c>
    </row>
    <row r="432" spans="1:6" x14ac:dyDescent="0.25">
      <c r="A432" s="5">
        <v>20910604</v>
      </c>
      <c r="B432" s="5" t="s">
        <v>400</v>
      </c>
      <c r="C432" s="5" t="s">
        <v>12</v>
      </c>
      <c r="D432" s="6">
        <v>44545</v>
      </c>
      <c r="E432" s="12">
        <v>44709</v>
      </c>
      <c r="F432" t="s">
        <v>0</v>
      </c>
    </row>
    <row r="433" spans="1:6" x14ac:dyDescent="0.25">
      <c r="A433" s="5">
        <v>20910605</v>
      </c>
      <c r="B433" s="5" t="s">
        <v>400</v>
      </c>
      <c r="C433" s="5" t="s">
        <v>18</v>
      </c>
      <c r="D433" s="6">
        <v>44545</v>
      </c>
      <c r="E433" s="12">
        <v>44709</v>
      </c>
      <c r="F433" t="s">
        <v>0</v>
      </c>
    </row>
    <row r="434" spans="1:6" x14ac:dyDescent="0.25">
      <c r="A434" s="5">
        <v>20910606</v>
      </c>
      <c r="B434" s="5" t="s">
        <v>400</v>
      </c>
      <c r="C434" s="5" t="s">
        <v>12</v>
      </c>
      <c r="D434" s="6">
        <v>44545</v>
      </c>
      <c r="E434" s="12">
        <v>44709</v>
      </c>
      <c r="F434" t="s">
        <v>0</v>
      </c>
    </row>
    <row r="435" spans="1:6" x14ac:dyDescent="0.25">
      <c r="A435" s="5">
        <v>20910607</v>
      </c>
      <c r="B435" s="5" t="s">
        <v>400</v>
      </c>
      <c r="C435" s="5" t="s">
        <v>12</v>
      </c>
      <c r="D435" s="6">
        <v>44545</v>
      </c>
      <c r="E435" s="12">
        <v>44709</v>
      </c>
      <c r="F435" t="s">
        <v>0</v>
      </c>
    </row>
    <row r="436" spans="1:6" x14ac:dyDescent="0.25">
      <c r="A436" s="5">
        <v>20910608</v>
      </c>
      <c r="B436" s="5" t="s">
        <v>400</v>
      </c>
      <c r="C436" s="5" t="s">
        <v>12</v>
      </c>
      <c r="D436" s="6">
        <v>44545</v>
      </c>
      <c r="E436" s="12">
        <v>44709</v>
      </c>
      <c r="F436" t="s">
        <v>0</v>
      </c>
    </row>
    <row r="437" spans="1:6" x14ac:dyDescent="0.25">
      <c r="A437" s="5">
        <v>20910609</v>
      </c>
      <c r="B437" s="5" t="s">
        <v>400</v>
      </c>
      <c r="C437" s="5" t="s">
        <v>12</v>
      </c>
      <c r="D437" s="6">
        <v>44545</v>
      </c>
      <c r="E437" s="12">
        <v>44709</v>
      </c>
      <c r="F437" t="s">
        <v>0</v>
      </c>
    </row>
    <row r="438" spans="1:6" x14ac:dyDescent="0.25">
      <c r="A438" s="5">
        <v>20910610</v>
      </c>
      <c r="B438" s="5" t="s">
        <v>400</v>
      </c>
      <c r="C438" s="5" t="s">
        <v>12</v>
      </c>
      <c r="D438" s="6">
        <v>44545</v>
      </c>
      <c r="E438" s="12">
        <v>44709</v>
      </c>
      <c r="F438" t="s">
        <v>0</v>
      </c>
    </row>
    <row r="439" spans="1:6" x14ac:dyDescent="0.25">
      <c r="A439" s="5">
        <v>20910611</v>
      </c>
      <c r="B439" s="5" t="s">
        <v>400</v>
      </c>
      <c r="C439" s="5" t="s">
        <v>12</v>
      </c>
      <c r="D439" s="6">
        <v>44545</v>
      </c>
      <c r="E439" s="12">
        <v>44709</v>
      </c>
      <c r="F439" t="s">
        <v>0</v>
      </c>
    </row>
    <row r="440" spans="1:6" x14ac:dyDescent="0.25">
      <c r="A440" s="5">
        <v>20910594</v>
      </c>
      <c r="B440" s="5" t="s">
        <v>401</v>
      </c>
      <c r="C440" s="5" t="s">
        <v>12</v>
      </c>
      <c r="D440" s="6">
        <v>44530</v>
      </c>
      <c r="E440" s="12">
        <v>44710</v>
      </c>
      <c r="F440" t="s">
        <v>0</v>
      </c>
    </row>
    <row r="441" spans="1:6" x14ac:dyDescent="0.25">
      <c r="A441" s="5">
        <v>20910595</v>
      </c>
      <c r="B441" s="5" t="s">
        <v>401</v>
      </c>
      <c r="C441" s="5" t="s">
        <v>12</v>
      </c>
      <c r="D441" s="6">
        <v>44530</v>
      </c>
      <c r="E441" s="12">
        <v>44710</v>
      </c>
      <c r="F441" t="s">
        <v>0</v>
      </c>
    </row>
    <row r="442" spans="1:6" x14ac:dyDescent="0.25">
      <c r="A442" s="5">
        <v>20910596</v>
      </c>
      <c r="B442" s="5" t="s">
        <v>401</v>
      </c>
      <c r="C442" s="5" t="s">
        <v>12</v>
      </c>
      <c r="D442" s="6">
        <v>44530</v>
      </c>
      <c r="E442" s="12">
        <v>44710</v>
      </c>
      <c r="F442" t="s">
        <v>0</v>
      </c>
    </row>
    <row r="443" spans="1:6" x14ac:dyDescent="0.25">
      <c r="A443" s="5">
        <v>20910597</v>
      </c>
      <c r="B443" s="5" t="s">
        <v>401</v>
      </c>
      <c r="C443" s="5" t="s">
        <v>12</v>
      </c>
      <c r="D443" s="6">
        <v>44530</v>
      </c>
      <c r="E443" s="12">
        <v>44710</v>
      </c>
      <c r="F443" t="s">
        <v>0</v>
      </c>
    </row>
    <row r="444" spans="1:6" x14ac:dyDescent="0.25">
      <c r="A444" s="5">
        <v>20910598</v>
      </c>
      <c r="B444" s="5" t="s">
        <v>401</v>
      </c>
      <c r="C444" s="5" t="s">
        <v>12</v>
      </c>
      <c r="D444" s="6">
        <v>44530</v>
      </c>
      <c r="E444" s="12">
        <v>44710</v>
      </c>
      <c r="F444" t="s">
        <v>0</v>
      </c>
    </row>
    <row r="445" spans="1:6" x14ac:dyDescent="0.25">
      <c r="A445" s="5">
        <v>20910599</v>
      </c>
      <c r="B445" s="5" t="s">
        <v>401</v>
      </c>
      <c r="C445" s="5" t="s">
        <v>12</v>
      </c>
      <c r="D445" s="6">
        <v>44530</v>
      </c>
      <c r="E445" s="12">
        <v>44710</v>
      </c>
      <c r="F445" t="s">
        <v>0</v>
      </c>
    </row>
    <row r="446" spans="1:6" x14ac:dyDescent="0.25">
      <c r="A446" s="5">
        <v>20910600</v>
      </c>
      <c r="B446" s="5" t="s">
        <v>401</v>
      </c>
      <c r="C446" s="5" t="s">
        <v>12</v>
      </c>
      <c r="D446" s="6">
        <v>44530</v>
      </c>
      <c r="E446" s="12">
        <v>44710</v>
      </c>
      <c r="F446" t="s">
        <v>0</v>
      </c>
    </row>
    <row r="447" spans="1:6" x14ac:dyDescent="0.25">
      <c r="A447" s="5">
        <v>16390468</v>
      </c>
      <c r="B447" s="5" t="s">
        <v>400</v>
      </c>
      <c r="C447" s="5" t="s">
        <v>12</v>
      </c>
      <c r="D447" s="6">
        <v>42353</v>
      </c>
      <c r="E447" s="12">
        <v>44727</v>
      </c>
      <c r="F447" t="s">
        <v>0</v>
      </c>
    </row>
    <row r="448" spans="1:6" x14ac:dyDescent="0.25">
      <c r="A448" s="5">
        <v>16390553</v>
      </c>
      <c r="B448" s="5" t="s">
        <v>400</v>
      </c>
      <c r="C448" s="5" t="s">
        <v>12</v>
      </c>
      <c r="D448" s="6">
        <v>42353</v>
      </c>
      <c r="E448" s="12">
        <v>44727</v>
      </c>
      <c r="F448" t="s">
        <v>0</v>
      </c>
    </row>
    <row r="449" spans="1:6" x14ac:dyDescent="0.25">
      <c r="A449" s="5">
        <v>20910616</v>
      </c>
      <c r="B449" s="5" t="s">
        <v>401</v>
      </c>
      <c r="C449" s="5" t="s">
        <v>18</v>
      </c>
      <c r="D449" s="6">
        <v>44591</v>
      </c>
      <c r="E449" s="12">
        <v>44780</v>
      </c>
      <c r="F449" t="s">
        <v>0</v>
      </c>
    </row>
    <row r="450" spans="1:6" x14ac:dyDescent="0.25">
      <c r="A450" s="5">
        <v>20910617</v>
      </c>
      <c r="B450" s="5" t="s">
        <v>401</v>
      </c>
      <c r="C450" s="5" t="s">
        <v>12</v>
      </c>
      <c r="D450" s="6">
        <v>44561</v>
      </c>
      <c r="E450" s="12">
        <v>44780</v>
      </c>
      <c r="F450" t="s">
        <v>0</v>
      </c>
    </row>
    <row r="451" spans="1:6" x14ac:dyDescent="0.25">
      <c r="A451" s="5">
        <v>20910618</v>
      </c>
      <c r="B451" s="5" t="s">
        <v>401</v>
      </c>
      <c r="C451" s="5" t="s">
        <v>12</v>
      </c>
      <c r="D451" s="6">
        <v>44530</v>
      </c>
      <c r="E451" s="12">
        <v>44780</v>
      </c>
      <c r="F451" t="s">
        <v>0</v>
      </c>
    </row>
    <row r="452" spans="1:6" x14ac:dyDescent="0.25">
      <c r="A452" s="5">
        <v>20910619</v>
      </c>
      <c r="B452" s="5" t="s">
        <v>401</v>
      </c>
      <c r="C452" s="5" t="s">
        <v>79</v>
      </c>
      <c r="D452" s="6">
        <v>44530</v>
      </c>
      <c r="E452" s="12">
        <v>44780</v>
      </c>
      <c r="F452" t="s">
        <v>0</v>
      </c>
    </row>
    <row r="453" spans="1:6" x14ac:dyDescent="0.25">
      <c r="A453" s="5">
        <v>20910620</v>
      </c>
      <c r="B453" s="5" t="s">
        <v>400</v>
      </c>
      <c r="C453" s="5" t="s">
        <v>109</v>
      </c>
      <c r="D453" s="6">
        <v>44560</v>
      </c>
      <c r="E453" s="12">
        <v>44780</v>
      </c>
      <c r="F453" t="s">
        <v>0</v>
      </c>
    </row>
    <row r="454" spans="1:6" x14ac:dyDescent="0.25">
      <c r="A454" s="5">
        <v>20910621</v>
      </c>
      <c r="B454" s="5" t="s">
        <v>401</v>
      </c>
      <c r="C454" s="5" t="s">
        <v>12</v>
      </c>
      <c r="D454" s="6">
        <v>44560</v>
      </c>
      <c r="E454" s="12">
        <v>44780</v>
      </c>
      <c r="F454" t="s">
        <v>0</v>
      </c>
    </row>
    <row r="455" spans="1:6" x14ac:dyDescent="0.25">
      <c r="A455" s="5">
        <v>20910622</v>
      </c>
      <c r="B455" s="5" t="s">
        <v>401</v>
      </c>
      <c r="C455" s="5" t="s">
        <v>12</v>
      </c>
      <c r="D455" s="6">
        <v>44489</v>
      </c>
      <c r="E455" s="12">
        <v>44780</v>
      </c>
      <c r="F455" t="s">
        <v>0</v>
      </c>
    </row>
    <row r="456" spans="1:6" x14ac:dyDescent="0.25">
      <c r="A456" s="5">
        <v>20910623</v>
      </c>
      <c r="B456" s="5" t="s">
        <v>401</v>
      </c>
      <c r="C456" s="5" t="s">
        <v>12</v>
      </c>
      <c r="D456" s="6">
        <v>44560</v>
      </c>
      <c r="E456" s="12">
        <v>44780</v>
      </c>
      <c r="F456" t="s">
        <v>0</v>
      </c>
    </row>
    <row r="457" spans="1:6" x14ac:dyDescent="0.25">
      <c r="A457" s="5">
        <v>20910624</v>
      </c>
      <c r="B457" s="5" t="s">
        <v>401</v>
      </c>
      <c r="C457" s="5" t="s">
        <v>12</v>
      </c>
      <c r="D457" s="6">
        <v>44560</v>
      </c>
      <c r="E457" s="12">
        <v>44780</v>
      </c>
      <c r="F457" t="s">
        <v>0</v>
      </c>
    </row>
    <row r="458" spans="1:6" x14ac:dyDescent="0.25">
      <c r="A458" s="5">
        <v>20910625</v>
      </c>
      <c r="B458" s="5" t="s">
        <v>401</v>
      </c>
      <c r="C458" s="5" t="s">
        <v>18</v>
      </c>
      <c r="D458" s="6">
        <v>44560</v>
      </c>
      <c r="E458" s="12">
        <v>44780</v>
      </c>
      <c r="F458" t="s">
        <v>0</v>
      </c>
    </row>
    <row r="459" spans="1:6" x14ac:dyDescent="0.25">
      <c r="A459" s="5">
        <v>16390555</v>
      </c>
      <c r="B459" s="5" t="s">
        <v>400</v>
      </c>
      <c r="C459" s="5" t="s">
        <v>24</v>
      </c>
      <c r="D459" s="6">
        <v>43723</v>
      </c>
      <c r="E459" s="12">
        <v>44801</v>
      </c>
      <c r="F459" t="s">
        <v>0</v>
      </c>
    </row>
    <row r="460" spans="1:6" x14ac:dyDescent="0.25">
      <c r="A460" s="5">
        <v>16390573</v>
      </c>
      <c r="B460" s="5" t="s">
        <v>400</v>
      </c>
      <c r="C460" s="5" t="s">
        <v>24</v>
      </c>
      <c r="D460" s="6">
        <v>43723</v>
      </c>
      <c r="E460" s="12">
        <v>44801</v>
      </c>
      <c r="F460" t="s">
        <v>0</v>
      </c>
    </row>
    <row r="461" spans="1:6" x14ac:dyDescent="0.25">
      <c r="A461" s="5">
        <v>16390574</v>
      </c>
      <c r="B461" s="5" t="s">
        <v>400</v>
      </c>
      <c r="C461" s="5" t="s">
        <v>12</v>
      </c>
      <c r="D461" s="6">
        <v>43753</v>
      </c>
      <c r="E461" s="12">
        <v>44832</v>
      </c>
      <c r="F461" t="s">
        <v>0</v>
      </c>
    </row>
    <row r="462" spans="1:6" x14ac:dyDescent="0.25">
      <c r="A462" s="5">
        <v>20910626</v>
      </c>
      <c r="B462" s="5" t="s">
        <v>401</v>
      </c>
      <c r="C462" s="5" t="s">
        <v>12</v>
      </c>
      <c r="D462" s="6">
        <v>44515</v>
      </c>
      <c r="E462" s="12">
        <v>44832</v>
      </c>
      <c r="F462" t="s">
        <v>0</v>
      </c>
    </row>
    <row r="463" spans="1:6" x14ac:dyDescent="0.25">
      <c r="A463" s="10">
        <v>16390575</v>
      </c>
      <c r="B463" s="10" t="s">
        <v>401</v>
      </c>
      <c r="C463" s="10" t="s">
        <v>79</v>
      </c>
      <c r="D463" s="11">
        <v>41577</v>
      </c>
      <c r="E463" s="12">
        <v>44857</v>
      </c>
      <c r="F463" t="s">
        <v>0</v>
      </c>
    </row>
    <row r="464" spans="1:6" x14ac:dyDescent="0.25">
      <c r="A464" s="5">
        <v>22350001</v>
      </c>
      <c r="B464" s="5" t="s">
        <v>400</v>
      </c>
      <c r="C464" s="5" t="s">
        <v>12</v>
      </c>
      <c r="D464" s="6">
        <v>44854</v>
      </c>
      <c r="E464" s="12">
        <v>44867</v>
      </c>
      <c r="F464" t="s">
        <v>0</v>
      </c>
    </row>
    <row r="465" spans="1:6" x14ac:dyDescent="0.25">
      <c r="A465" s="5">
        <v>22350002</v>
      </c>
      <c r="B465" s="5" t="s">
        <v>401</v>
      </c>
      <c r="C465" s="5" t="s">
        <v>12</v>
      </c>
      <c r="D465" s="6">
        <v>44834</v>
      </c>
      <c r="E465" s="12">
        <v>44867</v>
      </c>
      <c r="F465" t="s">
        <v>0</v>
      </c>
    </row>
    <row r="466" spans="1:6" x14ac:dyDescent="0.25">
      <c r="A466" s="5">
        <v>22350003</v>
      </c>
      <c r="B466" s="5" t="s">
        <v>401</v>
      </c>
      <c r="C466" s="5" t="s">
        <v>12</v>
      </c>
      <c r="D466" s="6">
        <v>44834</v>
      </c>
      <c r="E466" s="12">
        <v>44867</v>
      </c>
      <c r="F466" t="s">
        <v>0</v>
      </c>
    </row>
    <row r="467" spans="1:6" x14ac:dyDescent="0.25">
      <c r="A467" s="5">
        <v>22350005</v>
      </c>
      <c r="B467" s="5" t="s">
        <v>400</v>
      </c>
      <c r="C467" s="5" t="s">
        <v>12</v>
      </c>
      <c r="D467" s="6">
        <v>44854</v>
      </c>
      <c r="E467" s="12">
        <v>44867</v>
      </c>
      <c r="F467" t="s">
        <v>0</v>
      </c>
    </row>
    <row r="468" spans="1:6" x14ac:dyDescent="0.25">
      <c r="A468" s="5">
        <v>22350006</v>
      </c>
      <c r="B468" s="5" t="s">
        <v>400</v>
      </c>
      <c r="C468" s="5" t="s">
        <v>12</v>
      </c>
      <c r="D468" s="6">
        <v>44854</v>
      </c>
      <c r="E468" s="12">
        <v>44867</v>
      </c>
      <c r="F468" t="s">
        <v>0</v>
      </c>
    </row>
    <row r="469" spans="1:6" x14ac:dyDescent="0.25">
      <c r="A469" s="5">
        <v>22350008</v>
      </c>
      <c r="B469" s="5" t="s">
        <v>401</v>
      </c>
      <c r="C469" s="5" t="s">
        <v>12</v>
      </c>
      <c r="D469" s="6">
        <v>44839</v>
      </c>
      <c r="E469" s="12">
        <v>44867</v>
      </c>
      <c r="F469" t="s">
        <v>0</v>
      </c>
    </row>
    <row r="470" spans="1:6" x14ac:dyDescent="0.25">
      <c r="A470" s="5">
        <v>22350009</v>
      </c>
      <c r="B470" s="5" t="s">
        <v>400</v>
      </c>
      <c r="C470" s="5" t="s">
        <v>12</v>
      </c>
      <c r="D470" s="6">
        <v>44854</v>
      </c>
      <c r="E470" s="12">
        <v>44867</v>
      </c>
      <c r="F470" t="s">
        <v>0</v>
      </c>
    </row>
    <row r="471" spans="1:6" x14ac:dyDescent="0.25">
      <c r="A471" s="5">
        <v>22350013</v>
      </c>
      <c r="B471" s="5" t="s">
        <v>401</v>
      </c>
      <c r="C471" s="5" t="s">
        <v>12</v>
      </c>
      <c r="D471" s="6">
        <v>44854</v>
      </c>
      <c r="E471" s="12">
        <v>44867</v>
      </c>
      <c r="F471" t="s">
        <v>0</v>
      </c>
    </row>
    <row r="472" spans="1:6" x14ac:dyDescent="0.25">
      <c r="A472" s="5">
        <v>22350014</v>
      </c>
      <c r="B472" s="5" t="s">
        <v>401</v>
      </c>
      <c r="C472" s="5" t="s">
        <v>12</v>
      </c>
      <c r="D472" s="6">
        <v>44854</v>
      </c>
      <c r="E472" s="12">
        <v>44867</v>
      </c>
      <c r="F472" t="s">
        <v>0</v>
      </c>
    </row>
    <row r="473" spans="1:6" x14ac:dyDescent="0.25">
      <c r="A473" s="5">
        <v>22350015</v>
      </c>
      <c r="B473" s="5" t="s">
        <v>400</v>
      </c>
      <c r="C473" s="5" t="s">
        <v>12</v>
      </c>
      <c r="D473" s="6">
        <v>44854</v>
      </c>
      <c r="E473" s="12">
        <v>44867</v>
      </c>
      <c r="F473" t="s">
        <v>0</v>
      </c>
    </row>
    <row r="474" spans="1:6" x14ac:dyDescent="0.25">
      <c r="A474" s="5">
        <v>22350016</v>
      </c>
      <c r="B474" s="5" t="s">
        <v>401</v>
      </c>
      <c r="C474" s="5" t="s">
        <v>12</v>
      </c>
      <c r="D474" s="6">
        <v>44854</v>
      </c>
      <c r="E474" s="12">
        <v>44867</v>
      </c>
      <c r="F474" t="s">
        <v>0</v>
      </c>
    </row>
    <row r="475" spans="1:6" x14ac:dyDescent="0.25">
      <c r="A475" s="5">
        <v>22350017</v>
      </c>
      <c r="B475" s="5" t="s">
        <v>400</v>
      </c>
      <c r="C475" s="5" t="s">
        <v>12</v>
      </c>
      <c r="D475" s="6">
        <v>44836</v>
      </c>
      <c r="E475" s="12">
        <v>44867</v>
      </c>
      <c r="F475" t="s">
        <v>0</v>
      </c>
    </row>
    <row r="476" spans="1:6" x14ac:dyDescent="0.25">
      <c r="A476" s="5">
        <v>22350018</v>
      </c>
      <c r="B476" s="5" t="s">
        <v>401</v>
      </c>
      <c r="C476" s="5" t="s">
        <v>12</v>
      </c>
      <c r="D476" s="6">
        <v>44854</v>
      </c>
      <c r="E476" s="12">
        <v>44867</v>
      </c>
      <c r="F476" t="s">
        <v>0</v>
      </c>
    </row>
    <row r="477" spans="1:6" x14ac:dyDescent="0.25">
      <c r="A477" s="5">
        <v>22350019</v>
      </c>
      <c r="B477" s="5" t="s">
        <v>400</v>
      </c>
      <c r="C477" s="5" t="s">
        <v>12</v>
      </c>
      <c r="D477" s="6">
        <v>44834</v>
      </c>
      <c r="E477" s="12">
        <v>44867</v>
      </c>
      <c r="F477" t="s">
        <v>0</v>
      </c>
    </row>
    <row r="478" spans="1:6" x14ac:dyDescent="0.25">
      <c r="A478" s="5">
        <v>22350020</v>
      </c>
      <c r="B478" s="5" t="s">
        <v>401</v>
      </c>
      <c r="C478" s="5" t="s">
        <v>12</v>
      </c>
      <c r="D478" s="6">
        <v>44854</v>
      </c>
      <c r="E478" s="12">
        <v>44867</v>
      </c>
      <c r="F478" t="s">
        <v>0</v>
      </c>
    </row>
    <row r="479" spans="1:6" x14ac:dyDescent="0.25">
      <c r="A479" s="5">
        <v>22350021</v>
      </c>
      <c r="B479" s="5" t="s">
        <v>401</v>
      </c>
      <c r="C479" s="5" t="s">
        <v>12</v>
      </c>
      <c r="D479" s="6">
        <v>44834</v>
      </c>
      <c r="E479" s="12">
        <v>44867</v>
      </c>
      <c r="F479" t="s">
        <v>0</v>
      </c>
    </row>
    <row r="480" spans="1:6" x14ac:dyDescent="0.25">
      <c r="A480" s="5">
        <v>22350024</v>
      </c>
      <c r="B480" s="5" t="s">
        <v>401</v>
      </c>
      <c r="C480" s="5" t="s">
        <v>18</v>
      </c>
      <c r="D480" s="6">
        <v>44834</v>
      </c>
      <c r="E480" s="12">
        <v>44867</v>
      </c>
      <c r="F480" t="s">
        <v>0</v>
      </c>
    </row>
    <row r="481" spans="1:6" x14ac:dyDescent="0.25">
      <c r="A481" s="5">
        <v>22350025</v>
      </c>
      <c r="B481" s="5" t="s">
        <v>401</v>
      </c>
      <c r="C481" s="5" t="s">
        <v>12</v>
      </c>
      <c r="D481" s="6">
        <v>44849</v>
      </c>
      <c r="E481" s="12">
        <v>44867</v>
      </c>
      <c r="F481" t="s">
        <v>0</v>
      </c>
    </row>
    <row r="482" spans="1:6" x14ac:dyDescent="0.25">
      <c r="A482" s="5">
        <v>22350026</v>
      </c>
      <c r="B482" s="5" t="s">
        <v>401</v>
      </c>
      <c r="C482" s="5" t="s">
        <v>12</v>
      </c>
      <c r="D482" s="6">
        <v>44839</v>
      </c>
      <c r="E482" s="12">
        <v>44867</v>
      </c>
      <c r="F482" t="s">
        <v>0</v>
      </c>
    </row>
    <row r="483" spans="1:6" x14ac:dyDescent="0.25">
      <c r="A483" s="5">
        <v>22350028</v>
      </c>
      <c r="B483" s="5" t="s">
        <v>401</v>
      </c>
      <c r="C483" s="5" t="s">
        <v>12</v>
      </c>
      <c r="D483" s="6">
        <v>44854</v>
      </c>
      <c r="E483" s="12">
        <v>44867</v>
      </c>
      <c r="F483" t="s">
        <v>0</v>
      </c>
    </row>
    <row r="484" spans="1:6" x14ac:dyDescent="0.25">
      <c r="A484" s="5">
        <v>22350030</v>
      </c>
      <c r="B484" s="5" t="s">
        <v>401</v>
      </c>
      <c r="C484" s="5" t="s">
        <v>125</v>
      </c>
      <c r="D484" s="6">
        <v>44834</v>
      </c>
      <c r="E484" s="12">
        <v>44867</v>
      </c>
      <c r="F484" t="s">
        <v>0</v>
      </c>
    </row>
    <row r="485" spans="1:6" x14ac:dyDescent="0.25">
      <c r="A485" s="5">
        <v>22350031</v>
      </c>
      <c r="B485" s="5" t="s">
        <v>400</v>
      </c>
      <c r="C485" s="5" t="s">
        <v>12</v>
      </c>
      <c r="D485" s="6">
        <v>44839</v>
      </c>
      <c r="E485" s="12">
        <v>44867</v>
      </c>
      <c r="F485" t="s">
        <v>0</v>
      </c>
    </row>
    <row r="486" spans="1:6" x14ac:dyDescent="0.25">
      <c r="A486" s="5">
        <v>22350032</v>
      </c>
      <c r="B486" s="5" t="s">
        <v>401</v>
      </c>
      <c r="C486" s="5" t="s">
        <v>12</v>
      </c>
      <c r="D486" s="6">
        <v>44839</v>
      </c>
      <c r="E486" s="12">
        <v>44867</v>
      </c>
      <c r="F486" t="s">
        <v>0</v>
      </c>
    </row>
    <row r="487" spans="1:6" x14ac:dyDescent="0.25">
      <c r="A487" s="5">
        <v>22350033</v>
      </c>
      <c r="B487" s="5" t="s">
        <v>400</v>
      </c>
      <c r="C487" s="5" t="s">
        <v>12</v>
      </c>
      <c r="D487" s="6">
        <v>44854</v>
      </c>
      <c r="E487" s="12">
        <v>44867</v>
      </c>
      <c r="F487" t="s">
        <v>0</v>
      </c>
    </row>
    <row r="488" spans="1:6" x14ac:dyDescent="0.25">
      <c r="A488" s="5">
        <v>22350034</v>
      </c>
      <c r="B488" s="5" t="s">
        <v>400</v>
      </c>
      <c r="C488" s="5" t="s">
        <v>18</v>
      </c>
      <c r="D488" s="6">
        <v>44854</v>
      </c>
      <c r="E488" s="12">
        <v>44867</v>
      </c>
      <c r="F488" t="s">
        <v>0</v>
      </c>
    </row>
    <row r="489" spans="1:6" x14ac:dyDescent="0.25">
      <c r="A489" s="5">
        <v>22350035</v>
      </c>
      <c r="B489" s="5" t="s">
        <v>401</v>
      </c>
      <c r="C489" s="5" t="s">
        <v>12</v>
      </c>
      <c r="D489" s="6">
        <v>44849</v>
      </c>
      <c r="E489" s="12">
        <v>44867</v>
      </c>
      <c r="F489" t="s">
        <v>0</v>
      </c>
    </row>
    <row r="490" spans="1:6" x14ac:dyDescent="0.25">
      <c r="A490" s="5">
        <v>22350036</v>
      </c>
      <c r="B490" s="5" t="s">
        <v>401</v>
      </c>
      <c r="C490" s="5" t="s">
        <v>18</v>
      </c>
      <c r="D490" s="6">
        <v>44834</v>
      </c>
      <c r="E490" s="12">
        <v>44867</v>
      </c>
      <c r="F490" t="s">
        <v>0</v>
      </c>
    </row>
    <row r="491" spans="1:6" x14ac:dyDescent="0.25">
      <c r="A491" s="5">
        <v>22350039</v>
      </c>
      <c r="B491" s="5" t="s">
        <v>401</v>
      </c>
      <c r="C491" s="5" t="s">
        <v>18</v>
      </c>
      <c r="D491" s="6">
        <v>44834</v>
      </c>
      <c r="E491" s="12">
        <v>44867</v>
      </c>
      <c r="F491" t="s">
        <v>0</v>
      </c>
    </row>
    <row r="492" spans="1:6" x14ac:dyDescent="0.25">
      <c r="A492" s="5">
        <v>22350040</v>
      </c>
      <c r="B492" s="5" t="s">
        <v>401</v>
      </c>
      <c r="C492" s="5" t="s">
        <v>12</v>
      </c>
      <c r="D492" s="6">
        <v>44834</v>
      </c>
      <c r="E492" s="12">
        <v>44867</v>
      </c>
      <c r="F492" t="s">
        <v>0</v>
      </c>
    </row>
    <row r="493" spans="1:6" x14ac:dyDescent="0.25">
      <c r="A493" s="5">
        <v>22350041</v>
      </c>
      <c r="B493" s="5" t="s">
        <v>401</v>
      </c>
      <c r="C493" s="5" t="s">
        <v>12</v>
      </c>
      <c r="D493" s="6">
        <v>44844</v>
      </c>
      <c r="E493" s="12">
        <v>44867</v>
      </c>
      <c r="F493" t="s">
        <v>0</v>
      </c>
    </row>
    <row r="494" spans="1:6" x14ac:dyDescent="0.25">
      <c r="A494" s="5">
        <v>22350042</v>
      </c>
      <c r="B494" s="5" t="s">
        <v>401</v>
      </c>
      <c r="C494" s="5" t="s">
        <v>12</v>
      </c>
      <c r="D494" s="6">
        <v>44854</v>
      </c>
      <c r="E494" s="12">
        <v>44867</v>
      </c>
      <c r="F494" t="s">
        <v>0</v>
      </c>
    </row>
    <row r="495" spans="1:6" x14ac:dyDescent="0.25">
      <c r="A495" s="5">
        <v>22350043</v>
      </c>
      <c r="B495" s="5" t="s">
        <v>401</v>
      </c>
      <c r="C495" s="5" t="s">
        <v>12</v>
      </c>
      <c r="D495" s="6">
        <v>44859</v>
      </c>
      <c r="E495" s="12">
        <v>44867</v>
      </c>
      <c r="F495" t="s">
        <v>0</v>
      </c>
    </row>
    <row r="496" spans="1:6" x14ac:dyDescent="0.25">
      <c r="A496" s="5">
        <v>22350044</v>
      </c>
      <c r="B496" s="5" t="s">
        <v>400</v>
      </c>
      <c r="C496" s="5" t="s">
        <v>12</v>
      </c>
      <c r="D496" s="6">
        <v>44844</v>
      </c>
      <c r="E496" s="12">
        <v>44867</v>
      </c>
      <c r="F496" t="s">
        <v>0</v>
      </c>
    </row>
    <row r="497" spans="1:6" x14ac:dyDescent="0.25">
      <c r="A497" s="5">
        <v>22350045</v>
      </c>
      <c r="B497" s="5" t="s">
        <v>401</v>
      </c>
      <c r="C497" s="5" t="s">
        <v>12</v>
      </c>
      <c r="D497" s="6">
        <v>44859</v>
      </c>
      <c r="E497" s="12">
        <v>44867</v>
      </c>
      <c r="F497" t="s">
        <v>0</v>
      </c>
    </row>
    <row r="498" spans="1:6" x14ac:dyDescent="0.25">
      <c r="A498" s="5">
        <v>22350047</v>
      </c>
      <c r="B498" s="5" t="s">
        <v>400</v>
      </c>
      <c r="C498" s="5" t="s">
        <v>18</v>
      </c>
      <c r="D498" s="6">
        <v>44854</v>
      </c>
      <c r="E498" s="12">
        <v>44867</v>
      </c>
      <c r="F498" t="s">
        <v>0</v>
      </c>
    </row>
    <row r="499" spans="1:6" x14ac:dyDescent="0.25">
      <c r="A499" s="5">
        <v>22350048</v>
      </c>
      <c r="B499" s="5" t="s">
        <v>400</v>
      </c>
      <c r="C499" s="5" t="s">
        <v>12</v>
      </c>
      <c r="D499" s="6">
        <v>44854</v>
      </c>
      <c r="E499" s="12">
        <v>44867</v>
      </c>
      <c r="F499" t="s">
        <v>0</v>
      </c>
    </row>
    <row r="500" spans="1:6" x14ac:dyDescent="0.25">
      <c r="A500" s="5">
        <v>22350049</v>
      </c>
      <c r="B500" s="5" t="s">
        <v>401</v>
      </c>
      <c r="C500" s="5" t="s">
        <v>12</v>
      </c>
      <c r="D500" s="6">
        <v>44839</v>
      </c>
      <c r="E500" s="12">
        <v>44867</v>
      </c>
      <c r="F500" t="s">
        <v>0</v>
      </c>
    </row>
    <row r="501" spans="1:6" x14ac:dyDescent="0.25">
      <c r="A501" s="5">
        <v>22350050</v>
      </c>
      <c r="B501" s="5" t="s">
        <v>400</v>
      </c>
      <c r="C501" s="5" t="s">
        <v>12</v>
      </c>
      <c r="D501" s="6">
        <v>44854</v>
      </c>
      <c r="E501" s="12">
        <v>44867</v>
      </c>
      <c r="F501" t="s">
        <v>0</v>
      </c>
    </row>
    <row r="502" spans="1:6" x14ac:dyDescent="0.25">
      <c r="A502" s="5">
        <v>22350051</v>
      </c>
      <c r="B502" s="5" t="s">
        <v>400</v>
      </c>
      <c r="C502" s="5" t="s">
        <v>12</v>
      </c>
      <c r="D502" s="6">
        <v>44854</v>
      </c>
      <c r="E502" s="12">
        <v>44867</v>
      </c>
      <c r="F502" t="s">
        <v>0</v>
      </c>
    </row>
    <row r="503" spans="1:6" x14ac:dyDescent="0.25">
      <c r="A503" s="5">
        <v>22350053</v>
      </c>
      <c r="B503" s="5" t="s">
        <v>401</v>
      </c>
      <c r="C503" s="5" t="s">
        <v>12</v>
      </c>
      <c r="D503" s="6">
        <v>44808</v>
      </c>
      <c r="E503" s="12">
        <v>44867</v>
      </c>
      <c r="F503" t="s">
        <v>0</v>
      </c>
    </row>
    <row r="504" spans="1:6" x14ac:dyDescent="0.25">
      <c r="A504" s="5">
        <v>22350054</v>
      </c>
      <c r="B504" s="5" t="s">
        <v>401</v>
      </c>
      <c r="C504" s="5" t="s">
        <v>12</v>
      </c>
      <c r="D504" s="6">
        <v>44815</v>
      </c>
      <c r="E504" s="12">
        <v>44867</v>
      </c>
      <c r="F504" t="s">
        <v>0</v>
      </c>
    </row>
    <row r="505" spans="1:6" x14ac:dyDescent="0.25">
      <c r="A505" s="5">
        <v>22350055</v>
      </c>
      <c r="B505" s="5" t="s">
        <v>401</v>
      </c>
      <c r="C505" s="5" t="s">
        <v>18</v>
      </c>
      <c r="D505" s="6">
        <v>44854</v>
      </c>
      <c r="E505" s="12">
        <v>44867</v>
      </c>
      <c r="F505" t="s">
        <v>0</v>
      </c>
    </row>
    <row r="506" spans="1:6" x14ac:dyDescent="0.25">
      <c r="A506" s="5">
        <v>22350057</v>
      </c>
      <c r="B506" s="5" t="s">
        <v>401</v>
      </c>
      <c r="C506" s="5" t="s">
        <v>12</v>
      </c>
      <c r="D506" s="6">
        <v>44854</v>
      </c>
      <c r="E506" s="12">
        <v>44867</v>
      </c>
      <c r="F506" t="s">
        <v>0</v>
      </c>
    </row>
    <row r="507" spans="1:6" x14ac:dyDescent="0.25">
      <c r="A507" s="5">
        <v>22350058</v>
      </c>
      <c r="B507" s="5" t="s">
        <v>400</v>
      </c>
      <c r="C507" s="5" t="s">
        <v>18</v>
      </c>
      <c r="D507" s="6">
        <v>44854</v>
      </c>
      <c r="E507" s="12">
        <v>44867</v>
      </c>
      <c r="F507" t="s">
        <v>0</v>
      </c>
    </row>
    <row r="508" spans="1:6" x14ac:dyDescent="0.25">
      <c r="A508" s="5">
        <v>22350059</v>
      </c>
      <c r="B508" s="5" t="s">
        <v>400</v>
      </c>
      <c r="C508" s="5" t="s">
        <v>18</v>
      </c>
      <c r="D508" s="6">
        <v>44859</v>
      </c>
      <c r="E508" s="12">
        <v>44867</v>
      </c>
      <c r="F508" t="s">
        <v>0</v>
      </c>
    </row>
    <row r="509" spans="1:6" x14ac:dyDescent="0.25">
      <c r="A509" s="5">
        <v>22350060</v>
      </c>
      <c r="B509" s="5" t="s">
        <v>401</v>
      </c>
      <c r="C509" s="5" t="s">
        <v>12</v>
      </c>
      <c r="D509" s="6">
        <v>44844</v>
      </c>
      <c r="E509" s="12">
        <v>44867</v>
      </c>
      <c r="F509" t="s">
        <v>0</v>
      </c>
    </row>
    <row r="510" spans="1:6" x14ac:dyDescent="0.25">
      <c r="A510" s="5">
        <v>22350061</v>
      </c>
      <c r="B510" s="5" t="s">
        <v>401</v>
      </c>
      <c r="C510" s="5" t="s">
        <v>12</v>
      </c>
      <c r="D510" s="6">
        <v>44834</v>
      </c>
      <c r="E510" s="12">
        <v>44867</v>
      </c>
      <c r="F510" t="s">
        <v>0</v>
      </c>
    </row>
    <row r="511" spans="1:6" x14ac:dyDescent="0.25">
      <c r="A511" s="5">
        <v>22350062</v>
      </c>
      <c r="B511" s="5" t="s">
        <v>400</v>
      </c>
      <c r="C511" s="5" t="s">
        <v>12</v>
      </c>
      <c r="D511" s="6">
        <v>44854</v>
      </c>
      <c r="E511" s="12">
        <v>44867</v>
      </c>
      <c r="F511" t="s">
        <v>0</v>
      </c>
    </row>
    <row r="512" spans="1:6" x14ac:dyDescent="0.25">
      <c r="A512" s="5">
        <v>22350064</v>
      </c>
      <c r="B512" s="5" t="s">
        <v>400</v>
      </c>
      <c r="C512" s="5" t="s">
        <v>18</v>
      </c>
      <c r="D512" s="6">
        <v>44854</v>
      </c>
      <c r="E512" s="12">
        <v>44867</v>
      </c>
      <c r="F512" t="s">
        <v>0</v>
      </c>
    </row>
    <row r="513" spans="1:6" x14ac:dyDescent="0.25">
      <c r="A513" s="5">
        <v>22350065</v>
      </c>
      <c r="B513" s="5" t="s">
        <v>400</v>
      </c>
      <c r="C513" s="5" t="s">
        <v>12</v>
      </c>
      <c r="D513" s="6">
        <v>44809</v>
      </c>
      <c r="E513" s="12">
        <v>44867</v>
      </c>
      <c r="F513" t="s">
        <v>0</v>
      </c>
    </row>
    <row r="514" spans="1:6" x14ac:dyDescent="0.25">
      <c r="A514" s="5">
        <v>22350066</v>
      </c>
      <c r="B514" s="5" t="s">
        <v>400</v>
      </c>
      <c r="C514" s="5" t="s">
        <v>12</v>
      </c>
      <c r="D514" s="6">
        <v>44859</v>
      </c>
      <c r="E514" s="12">
        <v>44867</v>
      </c>
      <c r="F514" t="s">
        <v>0</v>
      </c>
    </row>
    <row r="515" spans="1:6" x14ac:dyDescent="0.25">
      <c r="A515" s="5">
        <v>22350068</v>
      </c>
      <c r="B515" s="5" t="s">
        <v>400</v>
      </c>
      <c r="C515" s="5" t="s">
        <v>12</v>
      </c>
      <c r="D515" s="6">
        <v>44859</v>
      </c>
      <c r="E515" s="12">
        <v>44867</v>
      </c>
      <c r="F515" t="s">
        <v>0</v>
      </c>
    </row>
    <row r="516" spans="1:6" x14ac:dyDescent="0.25">
      <c r="A516" s="5">
        <v>22350069</v>
      </c>
      <c r="B516" s="5" t="s">
        <v>401</v>
      </c>
      <c r="C516" s="5" t="s">
        <v>12</v>
      </c>
      <c r="D516" s="6">
        <v>44834</v>
      </c>
      <c r="E516" s="12">
        <v>44867</v>
      </c>
      <c r="F516" t="s">
        <v>0</v>
      </c>
    </row>
    <row r="517" spans="1:6" x14ac:dyDescent="0.25">
      <c r="A517" s="5">
        <v>22350070</v>
      </c>
      <c r="B517" s="5" t="s">
        <v>401</v>
      </c>
      <c r="C517" s="5" t="s">
        <v>12</v>
      </c>
      <c r="D517" s="6">
        <v>44844</v>
      </c>
      <c r="E517" s="12">
        <v>44867</v>
      </c>
      <c r="F517" t="s">
        <v>0</v>
      </c>
    </row>
    <row r="518" spans="1:6" x14ac:dyDescent="0.25">
      <c r="A518" s="5">
        <v>22350071</v>
      </c>
      <c r="B518" s="5" t="s">
        <v>401</v>
      </c>
      <c r="C518" s="5" t="s">
        <v>12</v>
      </c>
      <c r="D518" s="6">
        <v>44834</v>
      </c>
      <c r="E518" s="12">
        <v>44867</v>
      </c>
      <c r="F518" t="s">
        <v>0</v>
      </c>
    </row>
    <row r="519" spans="1:6" x14ac:dyDescent="0.25">
      <c r="A519" s="5">
        <v>22350072</v>
      </c>
      <c r="B519" s="5" t="s">
        <v>400</v>
      </c>
      <c r="C519" s="5" t="s">
        <v>12</v>
      </c>
      <c r="D519" s="6">
        <v>44815</v>
      </c>
      <c r="E519" s="12">
        <v>44867</v>
      </c>
      <c r="F519" t="s">
        <v>0</v>
      </c>
    </row>
    <row r="520" spans="1:6" x14ac:dyDescent="0.25">
      <c r="A520" s="5">
        <v>22350073</v>
      </c>
      <c r="B520" s="5" t="s">
        <v>400</v>
      </c>
      <c r="C520" s="5" t="s">
        <v>12</v>
      </c>
      <c r="D520" s="6">
        <v>44839</v>
      </c>
      <c r="E520" s="12">
        <v>44867</v>
      </c>
      <c r="F520" t="s">
        <v>0</v>
      </c>
    </row>
    <row r="521" spans="1:6" x14ac:dyDescent="0.25">
      <c r="A521" s="5">
        <v>22350075</v>
      </c>
      <c r="B521" s="5" t="s">
        <v>401</v>
      </c>
      <c r="C521" s="5" t="s">
        <v>12</v>
      </c>
      <c r="D521" s="6">
        <v>44834</v>
      </c>
      <c r="E521" s="12">
        <v>44867</v>
      </c>
      <c r="F521" t="s">
        <v>0</v>
      </c>
    </row>
    <row r="522" spans="1:6" x14ac:dyDescent="0.25">
      <c r="A522" s="5">
        <v>22350076</v>
      </c>
      <c r="B522" s="5" t="s">
        <v>400</v>
      </c>
      <c r="C522" s="5" t="s">
        <v>18</v>
      </c>
      <c r="D522" s="6">
        <v>44844</v>
      </c>
      <c r="E522" s="12">
        <v>44867</v>
      </c>
      <c r="F522" t="s">
        <v>0</v>
      </c>
    </row>
    <row r="523" spans="1:6" x14ac:dyDescent="0.25">
      <c r="A523" s="5">
        <v>22350078</v>
      </c>
      <c r="B523" s="5" t="s">
        <v>401</v>
      </c>
      <c r="C523" s="5" t="s">
        <v>12</v>
      </c>
      <c r="D523" s="6">
        <v>44844</v>
      </c>
      <c r="E523" s="12">
        <v>44867</v>
      </c>
      <c r="F523" t="s">
        <v>0</v>
      </c>
    </row>
    <row r="524" spans="1:6" x14ac:dyDescent="0.25">
      <c r="A524" s="5">
        <v>22350079</v>
      </c>
      <c r="B524" s="5" t="s">
        <v>401</v>
      </c>
      <c r="C524" s="5" t="s">
        <v>12</v>
      </c>
      <c r="D524" s="6">
        <v>44844</v>
      </c>
      <c r="E524" s="12">
        <v>44867</v>
      </c>
      <c r="F524" t="s">
        <v>0</v>
      </c>
    </row>
    <row r="525" spans="1:6" x14ac:dyDescent="0.25">
      <c r="A525" s="5">
        <v>22350080</v>
      </c>
      <c r="B525" s="5" t="s">
        <v>401</v>
      </c>
      <c r="C525" s="5" t="s">
        <v>18</v>
      </c>
      <c r="D525" s="6">
        <v>44834</v>
      </c>
      <c r="E525" s="12">
        <v>44867</v>
      </c>
      <c r="F525" t="s">
        <v>0</v>
      </c>
    </row>
    <row r="526" spans="1:6" x14ac:dyDescent="0.25">
      <c r="A526" s="5">
        <v>22350082</v>
      </c>
      <c r="B526" s="5" t="s">
        <v>400</v>
      </c>
      <c r="C526" s="5" t="s">
        <v>12</v>
      </c>
      <c r="D526" s="6">
        <v>44844</v>
      </c>
      <c r="E526" s="12">
        <v>44867</v>
      </c>
      <c r="F526" t="s">
        <v>0</v>
      </c>
    </row>
    <row r="527" spans="1:6" x14ac:dyDescent="0.25">
      <c r="A527" s="5">
        <v>22350083</v>
      </c>
      <c r="B527" s="5" t="s">
        <v>401</v>
      </c>
      <c r="C527" s="5" t="s">
        <v>12</v>
      </c>
      <c r="D527" s="6">
        <v>44854</v>
      </c>
      <c r="E527" s="12">
        <v>44867</v>
      </c>
      <c r="F527" t="s">
        <v>0</v>
      </c>
    </row>
    <row r="528" spans="1:6" x14ac:dyDescent="0.25">
      <c r="A528" s="5">
        <v>22350085</v>
      </c>
      <c r="B528" s="5" t="s">
        <v>400</v>
      </c>
      <c r="C528" s="5" t="s">
        <v>18</v>
      </c>
      <c r="D528" s="6">
        <v>44854</v>
      </c>
      <c r="E528" s="12">
        <v>44867</v>
      </c>
      <c r="F528" t="s">
        <v>0</v>
      </c>
    </row>
    <row r="529" spans="1:6" x14ac:dyDescent="0.25">
      <c r="A529" s="5">
        <v>22350086</v>
      </c>
      <c r="B529" s="5" t="s">
        <v>401</v>
      </c>
      <c r="C529" s="5" t="s">
        <v>125</v>
      </c>
      <c r="D529" s="6">
        <v>44854</v>
      </c>
      <c r="E529" s="12">
        <v>44867</v>
      </c>
      <c r="F529" t="s">
        <v>0</v>
      </c>
    </row>
    <row r="530" spans="1:6" x14ac:dyDescent="0.25">
      <c r="A530" s="5">
        <v>22350087</v>
      </c>
      <c r="B530" s="5" t="s">
        <v>401</v>
      </c>
      <c r="C530" s="5" t="s">
        <v>12</v>
      </c>
      <c r="D530" s="6">
        <v>44854</v>
      </c>
      <c r="E530" s="12">
        <v>44867</v>
      </c>
      <c r="F530" t="s">
        <v>0</v>
      </c>
    </row>
    <row r="531" spans="1:6" x14ac:dyDescent="0.25">
      <c r="A531" s="5">
        <v>22350088</v>
      </c>
      <c r="B531" s="5" t="s">
        <v>401</v>
      </c>
      <c r="C531" s="5" t="s">
        <v>12</v>
      </c>
      <c r="D531" s="6">
        <v>44854</v>
      </c>
      <c r="E531" s="12">
        <v>44867</v>
      </c>
      <c r="F531" t="s">
        <v>0</v>
      </c>
    </row>
    <row r="532" spans="1:6" x14ac:dyDescent="0.25">
      <c r="A532" s="5">
        <v>22350090</v>
      </c>
      <c r="B532" s="5" t="s">
        <v>400</v>
      </c>
      <c r="C532" s="5" t="s">
        <v>12</v>
      </c>
      <c r="D532" s="6">
        <v>44834</v>
      </c>
      <c r="E532" s="12">
        <v>44867</v>
      </c>
      <c r="F532" t="s">
        <v>0</v>
      </c>
    </row>
    <row r="533" spans="1:6" x14ac:dyDescent="0.25">
      <c r="A533" s="5">
        <v>22350091</v>
      </c>
      <c r="B533" s="5" t="s">
        <v>401</v>
      </c>
      <c r="C533" s="5" t="s">
        <v>12</v>
      </c>
      <c r="D533" s="6">
        <v>44834</v>
      </c>
      <c r="E533" s="12">
        <v>44868</v>
      </c>
      <c r="F533" t="s">
        <v>0</v>
      </c>
    </row>
    <row r="534" spans="1:6" x14ac:dyDescent="0.25">
      <c r="A534" s="5">
        <v>22350092</v>
      </c>
      <c r="B534" s="5" t="s">
        <v>401</v>
      </c>
      <c r="C534" s="5" t="s">
        <v>12</v>
      </c>
      <c r="D534" s="6">
        <v>44834</v>
      </c>
      <c r="E534" s="12">
        <v>44868</v>
      </c>
      <c r="F534" t="s">
        <v>0</v>
      </c>
    </row>
    <row r="535" spans="1:6" x14ac:dyDescent="0.25">
      <c r="A535" s="5">
        <v>22350093</v>
      </c>
      <c r="B535" s="5" t="s">
        <v>401</v>
      </c>
      <c r="C535" s="5" t="s">
        <v>12</v>
      </c>
      <c r="D535" s="6">
        <v>44834</v>
      </c>
      <c r="E535" s="12">
        <v>44868</v>
      </c>
      <c r="F535" t="s">
        <v>0</v>
      </c>
    </row>
    <row r="536" spans="1:6" x14ac:dyDescent="0.25">
      <c r="A536" s="5">
        <v>22350096</v>
      </c>
      <c r="B536" s="5" t="s">
        <v>400</v>
      </c>
      <c r="C536" s="5" t="s">
        <v>12</v>
      </c>
      <c r="D536" s="6">
        <v>44854</v>
      </c>
      <c r="E536" s="12">
        <v>44868</v>
      </c>
      <c r="F536" t="s">
        <v>0</v>
      </c>
    </row>
    <row r="537" spans="1:6" x14ac:dyDescent="0.25">
      <c r="A537" s="5">
        <v>22350097</v>
      </c>
      <c r="B537" s="5" t="s">
        <v>401</v>
      </c>
      <c r="C537" s="5" t="s">
        <v>18</v>
      </c>
      <c r="D537" s="6">
        <v>44834</v>
      </c>
      <c r="E537" s="12">
        <v>44868</v>
      </c>
      <c r="F537" t="s">
        <v>0</v>
      </c>
    </row>
    <row r="538" spans="1:6" x14ac:dyDescent="0.25">
      <c r="A538" s="5">
        <v>22350098</v>
      </c>
      <c r="B538" s="5" t="s">
        <v>400</v>
      </c>
      <c r="C538" s="5" t="s">
        <v>12</v>
      </c>
      <c r="D538" s="6">
        <v>44824</v>
      </c>
      <c r="E538" s="12">
        <v>44868</v>
      </c>
      <c r="F538" t="s">
        <v>0</v>
      </c>
    </row>
    <row r="539" spans="1:6" x14ac:dyDescent="0.25">
      <c r="A539" s="5">
        <v>22350099</v>
      </c>
      <c r="B539" s="5" t="s">
        <v>401</v>
      </c>
      <c r="C539" s="5" t="s">
        <v>18</v>
      </c>
      <c r="D539" s="6">
        <v>44834</v>
      </c>
      <c r="E539" s="12">
        <v>44868</v>
      </c>
      <c r="F539" t="s">
        <v>0</v>
      </c>
    </row>
    <row r="540" spans="1:6" x14ac:dyDescent="0.25">
      <c r="A540" s="5">
        <v>22350100</v>
      </c>
      <c r="B540" s="5" t="s">
        <v>401</v>
      </c>
      <c r="C540" s="5" t="s">
        <v>12</v>
      </c>
      <c r="D540" s="6">
        <v>44854</v>
      </c>
      <c r="E540" s="12">
        <v>44868</v>
      </c>
      <c r="F540" t="s">
        <v>0</v>
      </c>
    </row>
    <row r="541" spans="1:6" x14ac:dyDescent="0.25">
      <c r="A541" s="5">
        <v>22350101</v>
      </c>
      <c r="B541" s="5" t="s">
        <v>401</v>
      </c>
      <c r="C541" s="5" t="s">
        <v>12</v>
      </c>
      <c r="D541" s="6">
        <v>44854</v>
      </c>
      <c r="E541" s="12">
        <v>44868</v>
      </c>
      <c r="F541" t="s">
        <v>0</v>
      </c>
    </row>
    <row r="542" spans="1:6" x14ac:dyDescent="0.25">
      <c r="A542" s="5">
        <v>22350102</v>
      </c>
      <c r="B542" s="5" t="s">
        <v>400</v>
      </c>
      <c r="C542" s="5" t="s">
        <v>18</v>
      </c>
      <c r="D542" s="6">
        <v>44824</v>
      </c>
      <c r="E542" s="12">
        <v>44868</v>
      </c>
      <c r="F542" t="s">
        <v>0</v>
      </c>
    </row>
    <row r="543" spans="1:6" x14ac:dyDescent="0.25">
      <c r="A543" s="5">
        <v>22350103</v>
      </c>
      <c r="B543" s="5" t="s">
        <v>401</v>
      </c>
      <c r="C543" s="5" t="s">
        <v>12</v>
      </c>
      <c r="D543" s="6">
        <v>44854</v>
      </c>
      <c r="E543" s="12">
        <v>44868</v>
      </c>
      <c r="F543" t="s">
        <v>0</v>
      </c>
    </row>
    <row r="544" spans="1:6" x14ac:dyDescent="0.25">
      <c r="A544" s="5">
        <v>22350104</v>
      </c>
      <c r="B544" s="5" t="s">
        <v>400</v>
      </c>
      <c r="C544" s="5" t="s">
        <v>12</v>
      </c>
      <c r="D544" s="6">
        <v>44854</v>
      </c>
      <c r="E544" s="12">
        <v>44868</v>
      </c>
      <c r="F544" t="s">
        <v>0</v>
      </c>
    </row>
    <row r="545" spans="1:6" x14ac:dyDescent="0.25">
      <c r="A545" s="5">
        <v>22350105</v>
      </c>
      <c r="B545" s="5" t="s">
        <v>401</v>
      </c>
      <c r="C545" s="5" t="s">
        <v>12</v>
      </c>
      <c r="D545" s="6">
        <v>44854</v>
      </c>
      <c r="E545" s="12">
        <v>44868</v>
      </c>
      <c r="F545" t="s">
        <v>0</v>
      </c>
    </row>
    <row r="546" spans="1:6" x14ac:dyDescent="0.25">
      <c r="A546" s="5">
        <v>22350106</v>
      </c>
      <c r="B546" s="5" t="s">
        <v>400</v>
      </c>
      <c r="C546" s="5" t="s">
        <v>12</v>
      </c>
      <c r="D546" s="6">
        <v>44854</v>
      </c>
      <c r="E546" s="12">
        <v>44868</v>
      </c>
      <c r="F546" t="s">
        <v>0</v>
      </c>
    </row>
    <row r="547" spans="1:6" x14ac:dyDescent="0.25">
      <c r="A547" s="5">
        <v>22350107</v>
      </c>
      <c r="B547" s="5" t="s">
        <v>400</v>
      </c>
      <c r="C547" s="5" t="s">
        <v>12</v>
      </c>
      <c r="D547" s="6">
        <v>44854</v>
      </c>
      <c r="E547" s="12">
        <v>44868</v>
      </c>
      <c r="F547" t="s">
        <v>0</v>
      </c>
    </row>
    <row r="548" spans="1:6" x14ac:dyDescent="0.25">
      <c r="A548" s="5">
        <v>22350108</v>
      </c>
      <c r="B548" s="5" t="s">
        <v>401</v>
      </c>
      <c r="C548" s="5" t="s">
        <v>12</v>
      </c>
      <c r="D548" s="6">
        <v>44834</v>
      </c>
      <c r="E548" s="12">
        <v>44868</v>
      </c>
      <c r="F548" t="s">
        <v>0</v>
      </c>
    </row>
    <row r="549" spans="1:6" x14ac:dyDescent="0.25">
      <c r="A549" s="5">
        <v>22350109</v>
      </c>
      <c r="B549" s="5" t="s">
        <v>400</v>
      </c>
      <c r="C549" s="5" t="s">
        <v>125</v>
      </c>
      <c r="D549" s="6">
        <v>44854</v>
      </c>
      <c r="E549" s="12">
        <v>44868</v>
      </c>
      <c r="F549" t="s">
        <v>0</v>
      </c>
    </row>
    <row r="550" spans="1:6" x14ac:dyDescent="0.25">
      <c r="A550" s="5">
        <v>22350110</v>
      </c>
      <c r="B550" s="5" t="s">
        <v>401</v>
      </c>
      <c r="C550" s="5" t="s">
        <v>12</v>
      </c>
      <c r="D550" s="6">
        <v>44854</v>
      </c>
      <c r="E550" s="12">
        <v>44868</v>
      </c>
      <c r="F550" t="s">
        <v>0</v>
      </c>
    </row>
    <row r="551" spans="1:6" x14ac:dyDescent="0.25">
      <c r="A551" s="5">
        <v>22350111</v>
      </c>
      <c r="B551" s="5" t="s">
        <v>400</v>
      </c>
      <c r="C551" s="5" t="s">
        <v>12</v>
      </c>
      <c r="D551" s="6">
        <v>44854</v>
      </c>
      <c r="E551" s="12">
        <v>44868</v>
      </c>
      <c r="F551" t="s">
        <v>0</v>
      </c>
    </row>
    <row r="552" spans="1:6" x14ac:dyDescent="0.25">
      <c r="A552" s="5">
        <v>22350112</v>
      </c>
      <c r="B552" s="5" t="s">
        <v>401</v>
      </c>
      <c r="C552" s="5" t="s">
        <v>12</v>
      </c>
      <c r="D552" s="6">
        <v>44834</v>
      </c>
      <c r="E552" s="12">
        <v>44868</v>
      </c>
      <c r="F552" t="s">
        <v>0</v>
      </c>
    </row>
    <row r="553" spans="1:6" x14ac:dyDescent="0.25">
      <c r="A553" s="5">
        <v>22350113</v>
      </c>
      <c r="B553" s="5" t="s">
        <v>401</v>
      </c>
      <c r="C553" s="5" t="s">
        <v>125</v>
      </c>
      <c r="D553" s="6">
        <v>44839</v>
      </c>
      <c r="E553" s="12">
        <v>44868</v>
      </c>
      <c r="F553" t="s">
        <v>0</v>
      </c>
    </row>
    <row r="554" spans="1:6" x14ac:dyDescent="0.25">
      <c r="A554" s="5">
        <v>22350114</v>
      </c>
      <c r="B554" s="5" t="s">
        <v>400</v>
      </c>
      <c r="C554" s="5" t="s">
        <v>12</v>
      </c>
      <c r="D554" s="6">
        <v>44839</v>
      </c>
      <c r="E554" s="12">
        <v>44868</v>
      </c>
      <c r="F554" t="s">
        <v>0</v>
      </c>
    </row>
    <row r="555" spans="1:6" x14ac:dyDescent="0.25">
      <c r="A555" s="5">
        <v>22350115</v>
      </c>
      <c r="B555" s="5" t="s">
        <v>401</v>
      </c>
      <c r="C555" s="5" t="s">
        <v>12</v>
      </c>
      <c r="D555" s="6">
        <v>44834</v>
      </c>
      <c r="E555" s="12">
        <v>44868</v>
      </c>
      <c r="F555" t="s">
        <v>0</v>
      </c>
    </row>
    <row r="556" spans="1:6" x14ac:dyDescent="0.25">
      <c r="A556" s="5">
        <v>22350116</v>
      </c>
      <c r="B556" s="5" t="s">
        <v>400</v>
      </c>
      <c r="C556" s="5" t="s">
        <v>12</v>
      </c>
      <c r="D556" s="6">
        <v>44854</v>
      </c>
      <c r="E556" s="12">
        <v>44868</v>
      </c>
      <c r="F556" t="s">
        <v>0</v>
      </c>
    </row>
    <row r="557" spans="1:6" x14ac:dyDescent="0.25">
      <c r="A557" s="5">
        <v>22350118</v>
      </c>
      <c r="B557" s="5" t="s">
        <v>400</v>
      </c>
      <c r="C557" s="5" t="s">
        <v>12</v>
      </c>
      <c r="D557" s="6">
        <v>44854</v>
      </c>
      <c r="E557" s="12">
        <v>44868</v>
      </c>
      <c r="F557" t="s">
        <v>0</v>
      </c>
    </row>
    <row r="558" spans="1:6" x14ac:dyDescent="0.25">
      <c r="A558" s="5">
        <v>22350120</v>
      </c>
      <c r="B558" s="5" t="s">
        <v>401</v>
      </c>
      <c r="C558" s="5" t="s">
        <v>12</v>
      </c>
      <c r="D558" s="6">
        <v>44854</v>
      </c>
      <c r="E558" s="12">
        <v>44868</v>
      </c>
      <c r="F558" t="s">
        <v>0</v>
      </c>
    </row>
    <row r="559" spans="1:6" x14ac:dyDescent="0.25">
      <c r="A559" s="5">
        <v>22350121</v>
      </c>
      <c r="B559" s="5" t="s">
        <v>401</v>
      </c>
      <c r="C559" s="5" t="s">
        <v>18</v>
      </c>
      <c r="D559" s="6">
        <v>44854</v>
      </c>
      <c r="E559" s="12">
        <v>44868</v>
      </c>
      <c r="F559" t="s">
        <v>0</v>
      </c>
    </row>
    <row r="560" spans="1:6" x14ac:dyDescent="0.25">
      <c r="A560" s="5">
        <v>22350122</v>
      </c>
      <c r="B560" s="5" t="s">
        <v>401</v>
      </c>
      <c r="C560" s="5" t="s">
        <v>18</v>
      </c>
      <c r="D560" s="6">
        <v>44808</v>
      </c>
      <c r="E560" s="12">
        <v>44868</v>
      </c>
      <c r="F560" t="s">
        <v>0</v>
      </c>
    </row>
    <row r="561" spans="1:6" x14ac:dyDescent="0.25">
      <c r="A561" s="5">
        <v>22350123</v>
      </c>
      <c r="B561" s="5" t="s">
        <v>401</v>
      </c>
      <c r="C561" s="5" t="s">
        <v>18</v>
      </c>
      <c r="D561" s="6">
        <v>44834</v>
      </c>
      <c r="E561" s="12">
        <v>44868</v>
      </c>
      <c r="F561" t="s">
        <v>0</v>
      </c>
    </row>
    <row r="562" spans="1:6" x14ac:dyDescent="0.25">
      <c r="A562" s="5">
        <v>22350124</v>
      </c>
      <c r="B562" s="5" t="s">
        <v>401</v>
      </c>
      <c r="C562" s="5" t="s">
        <v>12</v>
      </c>
      <c r="D562" s="6">
        <v>44854</v>
      </c>
      <c r="E562" s="12">
        <v>44868</v>
      </c>
      <c r="F562" t="s">
        <v>0</v>
      </c>
    </row>
    <row r="563" spans="1:6" x14ac:dyDescent="0.25">
      <c r="A563" s="5">
        <v>22350125</v>
      </c>
      <c r="B563" s="5" t="s">
        <v>401</v>
      </c>
      <c r="C563" s="5" t="s">
        <v>12</v>
      </c>
      <c r="D563" s="6">
        <v>44854</v>
      </c>
      <c r="E563" s="12">
        <v>44868</v>
      </c>
      <c r="F563" t="s">
        <v>0</v>
      </c>
    </row>
    <row r="564" spans="1:6" x14ac:dyDescent="0.25">
      <c r="A564" s="5">
        <v>22350126</v>
      </c>
      <c r="B564" s="5" t="s">
        <v>401</v>
      </c>
      <c r="C564" s="5" t="s">
        <v>18</v>
      </c>
      <c r="D564" s="6">
        <v>44864</v>
      </c>
      <c r="E564" s="12">
        <v>44868</v>
      </c>
      <c r="F564" t="s">
        <v>0</v>
      </c>
    </row>
    <row r="565" spans="1:6" x14ac:dyDescent="0.25">
      <c r="A565" s="5">
        <v>22350127</v>
      </c>
      <c r="B565" s="5" t="s">
        <v>401</v>
      </c>
      <c r="C565" s="5" t="s">
        <v>12</v>
      </c>
      <c r="D565" s="6">
        <v>44854</v>
      </c>
      <c r="E565" s="12">
        <v>44868</v>
      </c>
      <c r="F565" t="s">
        <v>0</v>
      </c>
    </row>
    <row r="566" spans="1:6" x14ac:dyDescent="0.25">
      <c r="A566" s="5">
        <v>22350128</v>
      </c>
      <c r="B566" s="5" t="s">
        <v>401</v>
      </c>
      <c r="C566" s="5" t="s">
        <v>24</v>
      </c>
      <c r="D566" s="6">
        <v>44742</v>
      </c>
      <c r="E566" s="12">
        <v>44868</v>
      </c>
      <c r="F566" t="s">
        <v>0</v>
      </c>
    </row>
    <row r="567" spans="1:6" x14ac:dyDescent="0.25">
      <c r="A567" s="5">
        <v>22350129</v>
      </c>
      <c r="B567" s="5" t="s">
        <v>400</v>
      </c>
      <c r="C567" s="5" t="s">
        <v>12</v>
      </c>
      <c r="D567" s="6">
        <v>44834</v>
      </c>
      <c r="E567" s="12">
        <v>44868</v>
      </c>
      <c r="F567" t="s">
        <v>0</v>
      </c>
    </row>
    <row r="568" spans="1:6" x14ac:dyDescent="0.25">
      <c r="A568" s="5">
        <v>22350130</v>
      </c>
      <c r="B568" s="5" t="s">
        <v>401</v>
      </c>
      <c r="C568" s="5" t="s">
        <v>12</v>
      </c>
      <c r="D568" s="6">
        <v>44834</v>
      </c>
      <c r="E568" s="12">
        <v>44868</v>
      </c>
      <c r="F568" t="s">
        <v>0</v>
      </c>
    </row>
    <row r="569" spans="1:6" x14ac:dyDescent="0.25">
      <c r="A569" s="5">
        <v>22350131</v>
      </c>
      <c r="B569" s="5" t="s">
        <v>400</v>
      </c>
      <c r="C569" s="5" t="s">
        <v>12</v>
      </c>
      <c r="D569" s="6">
        <v>44859</v>
      </c>
      <c r="E569" s="12">
        <v>44868</v>
      </c>
      <c r="F569" t="s">
        <v>0</v>
      </c>
    </row>
    <row r="570" spans="1:6" x14ac:dyDescent="0.25">
      <c r="A570" s="5">
        <v>22350132</v>
      </c>
      <c r="B570" s="5" t="s">
        <v>400</v>
      </c>
      <c r="C570" s="5" t="s">
        <v>12</v>
      </c>
      <c r="D570" s="6">
        <v>44859</v>
      </c>
      <c r="E570" s="12">
        <v>44868</v>
      </c>
      <c r="F570" t="s">
        <v>0</v>
      </c>
    </row>
    <row r="571" spans="1:6" x14ac:dyDescent="0.25">
      <c r="A571" s="5">
        <v>22350133</v>
      </c>
      <c r="B571" s="5" t="s">
        <v>401</v>
      </c>
      <c r="C571" s="5" t="s">
        <v>12</v>
      </c>
      <c r="D571" s="6">
        <v>44854</v>
      </c>
      <c r="E571" s="12">
        <v>44868</v>
      </c>
      <c r="F571" t="s">
        <v>0</v>
      </c>
    </row>
    <row r="572" spans="1:6" x14ac:dyDescent="0.25">
      <c r="A572" s="5">
        <v>22350135</v>
      </c>
      <c r="B572" s="5" t="s">
        <v>400</v>
      </c>
      <c r="C572" s="5" t="s">
        <v>12</v>
      </c>
      <c r="D572" s="6">
        <v>44854</v>
      </c>
      <c r="E572" s="12">
        <v>44868</v>
      </c>
      <c r="F572" t="s">
        <v>0</v>
      </c>
    </row>
    <row r="573" spans="1:6" x14ac:dyDescent="0.25">
      <c r="A573" s="5">
        <v>22350137</v>
      </c>
      <c r="B573" s="5" t="s">
        <v>401</v>
      </c>
      <c r="C573" s="5" t="s">
        <v>12</v>
      </c>
      <c r="D573" s="6">
        <v>44839</v>
      </c>
      <c r="E573" s="12">
        <v>44868</v>
      </c>
      <c r="F573" t="s">
        <v>0</v>
      </c>
    </row>
    <row r="574" spans="1:6" x14ac:dyDescent="0.25">
      <c r="A574" s="5">
        <v>22350138</v>
      </c>
      <c r="B574" s="5" t="s">
        <v>400</v>
      </c>
      <c r="C574" s="5" t="s">
        <v>12</v>
      </c>
      <c r="D574" s="6">
        <v>44854</v>
      </c>
      <c r="E574" s="12">
        <v>44868</v>
      </c>
      <c r="F574" t="s">
        <v>0</v>
      </c>
    </row>
    <row r="575" spans="1:6" x14ac:dyDescent="0.25">
      <c r="A575" s="5">
        <v>22350139</v>
      </c>
      <c r="B575" s="5" t="s">
        <v>401</v>
      </c>
      <c r="C575" s="5" t="s">
        <v>12</v>
      </c>
      <c r="D575" s="6">
        <v>44854</v>
      </c>
      <c r="E575" s="12">
        <v>44868</v>
      </c>
      <c r="F575" t="s">
        <v>0</v>
      </c>
    </row>
    <row r="576" spans="1:6" x14ac:dyDescent="0.25">
      <c r="A576" s="5">
        <v>22350140</v>
      </c>
      <c r="B576" s="5" t="s">
        <v>401</v>
      </c>
      <c r="C576" s="5" t="s">
        <v>12</v>
      </c>
      <c r="D576" s="6">
        <v>44854</v>
      </c>
      <c r="E576" s="12">
        <v>44868</v>
      </c>
      <c r="F576" t="s">
        <v>0</v>
      </c>
    </row>
    <row r="577" spans="1:6" x14ac:dyDescent="0.25">
      <c r="A577" s="5">
        <v>22350141</v>
      </c>
      <c r="B577" s="5" t="s">
        <v>401</v>
      </c>
      <c r="C577" s="5" t="s">
        <v>18</v>
      </c>
      <c r="D577" s="6">
        <v>44854</v>
      </c>
      <c r="E577" s="12">
        <v>44868</v>
      </c>
      <c r="F577" t="s">
        <v>0</v>
      </c>
    </row>
    <row r="578" spans="1:6" x14ac:dyDescent="0.25">
      <c r="A578" s="5">
        <v>22350142</v>
      </c>
      <c r="B578" s="5" t="s">
        <v>400</v>
      </c>
      <c r="C578" s="5" t="s">
        <v>18</v>
      </c>
      <c r="D578" s="6">
        <v>44839</v>
      </c>
      <c r="E578" s="12">
        <v>44868</v>
      </c>
      <c r="F578" t="s">
        <v>0</v>
      </c>
    </row>
    <row r="579" spans="1:6" x14ac:dyDescent="0.25">
      <c r="A579" s="5">
        <v>22350143</v>
      </c>
      <c r="B579" s="5" t="s">
        <v>400</v>
      </c>
      <c r="C579" s="5" t="s">
        <v>12</v>
      </c>
      <c r="D579" s="6">
        <v>44834</v>
      </c>
      <c r="E579" s="12">
        <v>44868</v>
      </c>
      <c r="F579" t="s">
        <v>0</v>
      </c>
    </row>
    <row r="580" spans="1:6" x14ac:dyDescent="0.25">
      <c r="A580" s="5">
        <v>22350145</v>
      </c>
      <c r="B580" s="5" t="s">
        <v>400</v>
      </c>
      <c r="C580" s="5" t="s">
        <v>12</v>
      </c>
      <c r="D580" s="6">
        <v>44839</v>
      </c>
      <c r="E580" s="12">
        <v>44868</v>
      </c>
      <c r="F580" t="s">
        <v>0</v>
      </c>
    </row>
    <row r="581" spans="1:6" x14ac:dyDescent="0.25">
      <c r="A581" s="5">
        <v>22350146</v>
      </c>
      <c r="B581" s="5" t="s">
        <v>401</v>
      </c>
      <c r="C581" s="5" t="s">
        <v>18</v>
      </c>
      <c r="D581" s="6">
        <v>44839</v>
      </c>
      <c r="E581" s="12">
        <v>44868</v>
      </c>
      <c r="F581" t="s">
        <v>0</v>
      </c>
    </row>
    <row r="582" spans="1:6" x14ac:dyDescent="0.25">
      <c r="A582" s="5">
        <v>22350147</v>
      </c>
      <c r="B582" s="5" t="s">
        <v>401</v>
      </c>
      <c r="C582" s="5" t="s">
        <v>12</v>
      </c>
      <c r="D582" s="6">
        <v>44854</v>
      </c>
      <c r="E582" s="12">
        <v>44868</v>
      </c>
      <c r="F582" t="s">
        <v>0</v>
      </c>
    </row>
    <row r="583" spans="1:6" x14ac:dyDescent="0.25">
      <c r="A583" s="5">
        <v>22350148</v>
      </c>
      <c r="B583" s="5" t="s">
        <v>401</v>
      </c>
      <c r="C583" s="5" t="s">
        <v>18</v>
      </c>
      <c r="D583" s="6">
        <v>44839</v>
      </c>
      <c r="E583" s="12">
        <v>44868</v>
      </c>
      <c r="F583" t="s">
        <v>0</v>
      </c>
    </row>
    <row r="584" spans="1:6" x14ac:dyDescent="0.25">
      <c r="A584" s="5">
        <v>22350149</v>
      </c>
      <c r="B584" s="5" t="s">
        <v>400</v>
      </c>
      <c r="C584" s="5" t="s">
        <v>18</v>
      </c>
      <c r="D584" s="6">
        <v>44854</v>
      </c>
      <c r="E584" s="12">
        <v>44868</v>
      </c>
      <c r="F584" t="s">
        <v>0</v>
      </c>
    </row>
    <row r="585" spans="1:6" x14ac:dyDescent="0.25">
      <c r="A585" s="5">
        <v>22350151</v>
      </c>
      <c r="B585" s="5" t="s">
        <v>400</v>
      </c>
      <c r="C585" s="5" t="s">
        <v>18</v>
      </c>
      <c r="D585" s="6">
        <v>44834</v>
      </c>
      <c r="E585" s="12">
        <v>44868</v>
      </c>
      <c r="F585" t="s">
        <v>0</v>
      </c>
    </row>
    <row r="586" spans="1:6" x14ac:dyDescent="0.25">
      <c r="A586" s="5">
        <v>22350152</v>
      </c>
      <c r="B586" s="5" t="s">
        <v>401</v>
      </c>
      <c r="C586" s="5" t="s">
        <v>12</v>
      </c>
      <c r="D586" s="6">
        <v>44839</v>
      </c>
      <c r="E586" s="12">
        <v>44868</v>
      </c>
      <c r="F586" t="s">
        <v>0</v>
      </c>
    </row>
    <row r="587" spans="1:6" x14ac:dyDescent="0.25">
      <c r="A587" s="5">
        <v>22350154</v>
      </c>
      <c r="B587" s="5" t="s">
        <v>401</v>
      </c>
      <c r="C587" s="5" t="s">
        <v>12</v>
      </c>
      <c r="D587" s="6">
        <v>44854</v>
      </c>
      <c r="E587" s="12">
        <v>44868</v>
      </c>
      <c r="F587" t="s">
        <v>0</v>
      </c>
    </row>
    <row r="588" spans="1:6" x14ac:dyDescent="0.25">
      <c r="A588" s="5">
        <v>22350155</v>
      </c>
      <c r="B588" s="5" t="s">
        <v>401</v>
      </c>
      <c r="C588" s="5" t="s">
        <v>18</v>
      </c>
      <c r="D588" s="6">
        <v>44839</v>
      </c>
      <c r="E588" s="12">
        <v>44868</v>
      </c>
      <c r="F588" t="s">
        <v>0</v>
      </c>
    </row>
    <row r="589" spans="1:6" x14ac:dyDescent="0.25">
      <c r="A589" s="5">
        <v>22350156</v>
      </c>
      <c r="B589" s="5" t="s">
        <v>400</v>
      </c>
      <c r="C589" s="5" t="s">
        <v>12</v>
      </c>
      <c r="D589" s="6">
        <v>44859</v>
      </c>
      <c r="E589" s="12">
        <v>44868</v>
      </c>
      <c r="F589" t="s">
        <v>0</v>
      </c>
    </row>
    <row r="590" spans="1:6" x14ac:dyDescent="0.25">
      <c r="A590" s="5">
        <v>22350157</v>
      </c>
      <c r="B590" s="5" t="s">
        <v>401</v>
      </c>
      <c r="C590" s="5" t="s">
        <v>12</v>
      </c>
      <c r="D590" s="6">
        <v>44834</v>
      </c>
      <c r="E590" s="12">
        <v>44868</v>
      </c>
      <c r="F590" t="s">
        <v>0</v>
      </c>
    </row>
    <row r="591" spans="1:6" x14ac:dyDescent="0.25">
      <c r="A591" s="5">
        <v>22350158</v>
      </c>
      <c r="B591" s="5" t="s">
        <v>401</v>
      </c>
      <c r="C591" s="5" t="s">
        <v>12</v>
      </c>
      <c r="D591" s="6">
        <v>44854</v>
      </c>
      <c r="E591" s="12">
        <v>44868</v>
      </c>
      <c r="F591" t="s">
        <v>0</v>
      </c>
    </row>
    <row r="592" spans="1:6" x14ac:dyDescent="0.25">
      <c r="A592" s="5">
        <v>22350159</v>
      </c>
      <c r="B592" s="5" t="s">
        <v>400</v>
      </c>
      <c r="C592" s="5" t="s">
        <v>12</v>
      </c>
      <c r="D592" s="6">
        <v>44834</v>
      </c>
      <c r="E592" s="12">
        <v>44868</v>
      </c>
      <c r="F592" t="s">
        <v>0</v>
      </c>
    </row>
    <row r="593" spans="1:6" x14ac:dyDescent="0.25">
      <c r="A593" s="5">
        <v>22350160</v>
      </c>
      <c r="B593" s="5" t="s">
        <v>401</v>
      </c>
      <c r="C593" s="5" t="s">
        <v>12</v>
      </c>
      <c r="D593" s="6">
        <v>44859</v>
      </c>
      <c r="E593" s="12">
        <v>44868</v>
      </c>
      <c r="F593" t="s">
        <v>0</v>
      </c>
    </row>
    <row r="594" spans="1:6" x14ac:dyDescent="0.25">
      <c r="A594" s="5">
        <v>22350161</v>
      </c>
      <c r="B594" s="5" t="s">
        <v>401</v>
      </c>
      <c r="C594" s="5" t="s">
        <v>18</v>
      </c>
      <c r="D594" s="6">
        <v>44834</v>
      </c>
      <c r="E594" s="12">
        <v>44868</v>
      </c>
      <c r="F594" t="s">
        <v>0</v>
      </c>
    </row>
    <row r="595" spans="1:6" x14ac:dyDescent="0.25">
      <c r="A595" s="5">
        <v>22350163</v>
      </c>
      <c r="B595" s="5" t="s">
        <v>400</v>
      </c>
      <c r="C595" s="5" t="s">
        <v>12</v>
      </c>
      <c r="D595" s="6">
        <v>44854</v>
      </c>
      <c r="E595" s="12">
        <v>44868</v>
      </c>
      <c r="F595" t="s">
        <v>0</v>
      </c>
    </row>
    <row r="596" spans="1:6" x14ac:dyDescent="0.25">
      <c r="A596" s="5">
        <v>22350164</v>
      </c>
      <c r="B596" s="5" t="s">
        <v>400</v>
      </c>
      <c r="C596" s="5" t="s">
        <v>12</v>
      </c>
      <c r="D596" s="6">
        <v>44854</v>
      </c>
      <c r="E596" s="12">
        <v>44868</v>
      </c>
      <c r="F596" t="s">
        <v>0</v>
      </c>
    </row>
    <row r="597" spans="1:6" x14ac:dyDescent="0.25">
      <c r="A597" s="5">
        <v>22350165</v>
      </c>
      <c r="B597" s="5" t="s">
        <v>401</v>
      </c>
      <c r="C597" s="5" t="s">
        <v>12</v>
      </c>
      <c r="D597" s="6">
        <v>44834</v>
      </c>
      <c r="E597" s="12">
        <v>44868</v>
      </c>
      <c r="F597" t="s">
        <v>0</v>
      </c>
    </row>
    <row r="598" spans="1:6" x14ac:dyDescent="0.25">
      <c r="A598" s="5">
        <v>22350166</v>
      </c>
      <c r="B598" s="5" t="s">
        <v>400</v>
      </c>
      <c r="C598" s="5" t="s">
        <v>12</v>
      </c>
      <c r="D598" s="6">
        <v>44854</v>
      </c>
      <c r="E598" s="12">
        <v>44868</v>
      </c>
      <c r="F598" t="s">
        <v>0</v>
      </c>
    </row>
    <row r="599" spans="1:6" x14ac:dyDescent="0.25">
      <c r="A599" s="5">
        <v>22350167</v>
      </c>
      <c r="B599" s="5" t="s">
        <v>401</v>
      </c>
      <c r="C599" s="5" t="s">
        <v>12</v>
      </c>
      <c r="D599" s="6">
        <v>44839</v>
      </c>
      <c r="E599" s="12">
        <v>44868</v>
      </c>
      <c r="F599" t="s">
        <v>0</v>
      </c>
    </row>
    <row r="600" spans="1:6" x14ac:dyDescent="0.25">
      <c r="A600" s="5">
        <v>22350168</v>
      </c>
      <c r="B600" s="5" t="s">
        <v>400</v>
      </c>
      <c r="C600" s="5" t="s">
        <v>12</v>
      </c>
      <c r="D600" s="6">
        <v>44845</v>
      </c>
      <c r="E600" s="12">
        <v>44868</v>
      </c>
      <c r="F600" t="s">
        <v>0</v>
      </c>
    </row>
    <row r="601" spans="1:6" x14ac:dyDescent="0.25">
      <c r="A601" s="5">
        <v>22350170</v>
      </c>
      <c r="B601" s="5" t="s">
        <v>400</v>
      </c>
      <c r="C601" s="5" t="s">
        <v>12</v>
      </c>
      <c r="D601" s="6">
        <v>44839</v>
      </c>
      <c r="E601" s="12">
        <v>44868</v>
      </c>
      <c r="F601" t="s">
        <v>0</v>
      </c>
    </row>
    <row r="602" spans="1:6" x14ac:dyDescent="0.25">
      <c r="A602" s="5">
        <v>22350171</v>
      </c>
      <c r="B602" s="5" t="s">
        <v>400</v>
      </c>
      <c r="C602" s="5" t="s">
        <v>12</v>
      </c>
      <c r="D602" s="6">
        <v>44859</v>
      </c>
      <c r="E602" s="12">
        <v>44868</v>
      </c>
      <c r="F602" t="s">
        <v>0</v>
      </c>
    </row>
    <row r="603" spans="1:6" x14ac:dyDescent="0.25">
      <c r="A603" s="5">
        <v>22350172</v>
      </c>
      <c r="B603" s="5" t="s">
        <v>400</v>
      </c>
      <c r="C603" s="5" t="s">
        <v>12</v>
      </c>
      <c r="D603" s="6">
        <v>44859</v>
      </c>
      <c r="E603" s="12">
        <v>44868</v>
      </c>
      <c r="F603" t="s">
        <v>0</v>
      </c>
    </row>
    <row r="604" spans="1:6" x14ac:dyDescent="0.25">
      <c r="A604" s="5">
        <v>22350173</v>
      </c>
      <c r="B604" s="5" t="s">
        <v>401</v>
      </c>
      <c r="C604" s="5" t="s">
        <v>18</v>
      </c>
      <c r="D604" s="6">
        <v>44856</v>
      </c>
      <c r="E604" s="12">
        <v>44868</v>
      </c>
      <c r="F604" t="s">
        <v>0</v>
      </c>
    </row>
    <row r="605" spans="1:6" x14ac:dyDescent="0.25">
      <c r="A605" s="5">
        <v>22350174</v>
      </c>
      <c r="B605" s="5" t="s">
        <v>401</v>
      </c>
      <c r="C605" s="5" t="s">
        <v>12</v>
      </c>
      <c r="D605" s="6">
        <v>44854</v>
      </c>
      <c r="E605" s="12">
        <v>44868</v>
      </c>
      <c r="F605" t="s">
        <v>0</v>
      </c>
    </row>
    <row r="606" spans="1:6" x14ac:dyDescent="0.25">
      <c r="A606" s="5">
        <v>22350175</v>
      </c>
      <c r="B606" s="5" t="s">
        <v>400</v>
      </c>
      <c r="C606" s="5" t="s">
        <v>12</v>
      </c>
      <c r="D606" s="6">
        <v>44854</v>
      </c>
      <c r="E606" s="12">
        <v>44868</v>
      </c>
      <c r="F606" t="s">
        <v>0</v>
      </c>
    </row>
    <row r="607" spans="1:6" x14ac:dyDescent="0.25">
      <c r="A607" s="5">
        <v>22350176</v>
      </c>
      <c r="B607" s="5" t="s">
        <v>401</v>
      </c>
      <c r="C607" s="5" t="s">
        <v>12</v>
      </c>
      <c r="D607" s="6">
        <v>44844</v>
      </c>
      <c r="E607" s="12">
        <v>44868</v>
      </c>
      <c r="F607" t="s">
        <v>0</v>
      </c>
    </row>
    <row r="608" spans="1:6" x14ac:dyDescent="0.25">
      <c r="A608" s="5">
        <v>22350177</v>
      </c>
      <c r="B608" s="5" t="s">
        <v>401</v>
      </c>
      <c r="C608" s="5" t="s">
        <v>12</v>
      </c>
      <c r="D608" s="6">
        <v>44844</v>
      </c>
      <c r="E608" s="12">
        <v>44868</v>
      </c>
      <c r="F608" t="s">
        <v>0</v>
      </c>
    </row>
    <row r="609" spans="1:6" x14ac:dyDescent="0.25">
      <c r="A609" s="5">
        <v>22350178</v>
      </c>
      <c r="B609" s="5" t="s">
        <v>400</v>
      </c>
      <c r="C609" s="5" t="s">
        <v>125</v>
      </c>
      <c r="D609" s="6">
        <v>44854</v>
      </c>
      <c r="E609" s="12">
        <v>44868</v>
      </c>
      <c r="F609" t="s">
        <v>0</v>
      </c>
    </row>
    <row r="610" spans="1:6" x14ac:dyDescent="0.25">
      <c r="A610" s="5">
        <v>22350179</v>
      </c>
      <c r="B610" s="5" t="s">
        <v>400</v>
      </c>
      <c r="C610" s="5" t="s">
        <v>12</v>
      </c>
      <c r="D610" s="6">
        <v>44839</v>
      </c>
      <c r="E610" s="12">
        <v>44868</v>
      </c>
      <c r="F610" t="s">
        <v>0</v>
      </c>
    </row>
    <row r="611" spans="1:6" x14ac:dyDescent="0.25">
      <c r="A611" s="5">
        <v>22350180</v>
      </c>
      <c r="B611" s="5" t="s">
        <v>401</v>
      </c>
      <c r="C611" s="5" t="s">
        <v>12</v>
      </c>
      <c r="D611" s="6">
        <v>44854</v>
      </c>
      <c r="E611" s="12">
        <v>44868</v>
      </c>
      <c r="F611" t="s">
        <v>0</v>
      </c>
    </row>
    <row r="612" spans="1:6" x14ac:dyDescent="0.25">
      <c r="A612" s="5">
        <v>22350181</v>
      </c>
      <c r="B612" s="5" t="s">
        <v>400</v>
      </c>
      <c r="C612" s="5" t="s">
        <v>12</v>
      </c>
      <c r="D612" s="6">
        <v>44854</v>
      </c>
      <c r="E612" s="12">
        <v>44868</v>
      </c>
      <c r="F612" t="s">
        <v>0</v>
      </c>
    </row>
    <row r="613" spans="1:6" x14ac:dyDescent="0.25">
      <c r="A613" s="5">
        <v>20910627</v>
      </c>
      <c r="B613" s="5" t="s">
        <v>400</v>
      </c>
      <c r="C613" s="5" t="s">
        <v>12</v>
      </c>
      <c r="D613" s="6">
        <v>44591</v>
      </c>
      <c r="E613" s="12">
        <v>44878</v>
      </c>
      <c r="F613" t="s">
        <v>0</v>
      </c>
    </row>
    <row r="614" spans="1:6" x14ac:dyDescent="0.25">
      <c r="A614" s="5">
        <v>20910628</v>
      </c>
      <c r="B614" s="5" t="s">
        <v>401</v>
      </c>
      <c r="C614" s="5" t="s">
        <v>12</v>
      </c>
      <c r="D614" s="6">
        <v>44469</v>
      </c>
      <c r="E614" s="12">
        <v>44878</v>
      </c>
      <c r="F614" t="s">
        <v>0</v>
      </c>
    </row>
    <row r="615" spans="1:6" x14ac:dyDescent="0.25">
      <c r="A615" s="5">
        <v>20910629</v>
      </c>
      <c r="B615" s="5" t="s">
        <v>401</v>
      </c>
      <c r="C615" s="5" t="s">
        <v>24</v>
      </c>
      <c r="D615" s="6">
        <v>44469</v>
      </c>
      <c r="E615" s="12">
        <v>44878</v>
      </c>
      <c r="F615" t="s">
        <v>0</v>
      </c>
    </row>
    <row r="616" spans="1:6" x14ac:dyDescent="0.25">
      <c r="A616" s="5">
        <v>22350004</v>
      </c>
      <c r="B616" s="5" t="s">
        <v>400</v>
      </c>
      <c r="C616" s="5" t="s">
        <v>12</v>
      </c>
      <c r="D616" s="6">
        <v>44834</v>
      </c>
      <c r="E616" s="12">
        <v>44880</v>
      </c>
      <c r="F616" t="s">
        <v>0</v>
      </c>
    </row>
    <row r="617" spans="1:6" x14ac:dyDescent="0.25">
      <c r="A617" s="5">
        <v>22350007</v>
      </c>
      <c r="B617" s="5" t="s">
        <v>400</v>
      </c>
      <c r="C617" s="5" t="s">
        <v>12</v>
      </c>
      <c r="D617" s="6">
        <v>44834</v>
      </c>
      <c r="E617" s="12">
        <v>44880</v>
      </c>
      <c r="F617" t="s">
        <v>0</v>
      </c>
    </row>
    <row r="618" spans="1:6" x14ac:dyDescent="0.25">
      <c r="A618" s="5">
        <v>22350010</v>
      </c>
      <c r="B618" s="5" t="s">
        <v>400</v>
      </c>
      <c r="C618" s="5" t="s">
        <v>12</v>
      </c>
      <c r="D618" s="6">
        <v>44834</v>
      </c>
      <c r="E618" s="12">
        <v>44880</v>
      </c>
      <c r="F618" t="s">
        <v>0</v>
      </c>
    </row>
    <row r="619" spans="1:6" x14ac:dyDescent="0.25">
      <c r="A619" s="5">
        <v>22350011</v>
      </c>
      <c r="B619" s="5" t="s">
        <v>400</v>
      </c>
      <c r="C619" s="5" t="s">
        <v>12</v>
      </c>
      <c r="D619" s="6">
        <v>44839</v>
      </c>
      <c r="E619" s="12">
        <v>44880</v>
      </c>
      <c r="F619" t="s">
        <v>0</v>
      </c>
    </row>
    <row r="620" spans="1:6" x14ac:dyDescent="0.25">
      <c r="A620" s="5">
        <v>22350012</v>
      </c>
      <c r="B620" s="5" t="s">
        <v>400</v>
      </c>
      <c r="C620" s="5" t="s">
        <v>12</v>
      </c>
      <c r="D620" s="6">
        <v>44834</v>
      </c>
      <c r="E620" s="12">
        <v>44880</v>
      </c>
      <c r="F620" t="s">
        <v>0</v>
      </c>
    </row>
    <row r="621" spans="1:6" x14ac:dyDescent="0.25">
      <c r="A621" s="5">
        <v>22350022</v>
      </c>
      <c r="B621" s="5" t="s">
        <v>400</v>
      </c>
      <c r="C621" s="5" t="s">
        <v>18</v>
      </c>
      <c r="D621" s="6">
        <v>44834</v>
      </c>
      <c r="E621" s="12">
        <v>44880</v>
      </c>
      <c r="F621" t="s">
        <v>0</v>
      </c>
    </row>
    <row r="622" spans="1:6" x14ac:dyDescent="0.25">
      <c r="A622" s="5">
        <v>22350023</v>
      </c>
      <c r="B622" s="5" t="s">
        <v>400</v>
      </c>
      <c r="C622" s="5" t="s">
        <v>18</v>
      </c>
      <c r="D622" s="6">
        <v>44834</v>
      </c>
      <c r="E622" s="12">
        <v>44880</v>
      </c>
      <c r="F622" t="s">
        <v>0</v>
      </c>
    </row>
    <row r="623" spans="1:6" x14ac:dyDescent="0.25">
      <c r="A623" s="5">
        <v>22350027</v>
      </c>
      <c r="B623" s="5" t="s">
        <v>400</v>
      </c>
      <c r="C623" s="5" t="s">
        <v>18</v>
      </c>
      <c r="D623" s="6">
        <v>44834</v>
      </c>
      <c r="E623" s="12">
        <v>44880</v>
      </c>
      <c r="F623" t="s">
        <v>0</v>
      </c>
    </row>
    <row r="624" spans="1:6" x14ac:dyDescent="0.25">
      <c r="A624" s="5">
        <v>22350029</v>
      </c>
      <c r="B624" s="5" t="s">
        <v>400</v>
      </c>
      <c r="C624" s="5" t="s">
        <v>12</v>
      </c>
      <c r="D624" s="6">
        <v>44834</v>
      </c>
      <c r="E624" s="12">
        <v>44880</v>
      </c>
      <c r="F624" t="s">
        <v>0</v>
      </c>
    </row>
    <row r="625" spans="1:6" x14ac:dyDescent="0.25">
      <c r="A625" s="5">
        <v>22350037</v>
      </c>
      <c r="B625" s="5" t="s">
        <v>400</v>
      </c>
      <c r="C625" s="5" t="s">
        <v>12</v>
      </c>
      <c r="D625" s="6">
        <v>44834</v>
      </c>
      <c r="E625" s="12">
        <v>44880</v>
      </c>
      <c r="F625" t="s">
        <v>0</v>
      </c>
    </row>
    <row r="626" spans="1:6" x14ac:dyDescent="0.25">
      <c r="A626" s="5">
        <v>22350038</v>
      </c>
      <c r="B626" s="5" t="s">
        <v>400</v>
      </c>
      <c r="C626" s="5" t="s">
        <v>12</v>
      </c>
      <c r="D626" s="6">
        <v>44834</v>
      </c>
      <c r="E626" s="12">
        <v>44880</v>
      </c>
      <c r="F626" t="s">
        <v>0</v>
      </c>
    </row>
    <row r="627" spans="1:6" x14ac:dyDescent="0.25">
      <c r="A627" s="5">
        <v>22350046</v>
      </c>
      <c r="B627" s="5" t="s">
        <v>400</v>
      </c>
      <c r="C627" s="5" t="s">
        <v>12</v>
      </c>
      <c r="D627" s="6">
        <v>44834</v>
      </c>
      <c r="E627" s="12">
        <v>44880</v>
      </c>
      <c r="F627" t="s">
        <v>0</v>
      </c>
    </row>
    <row r="628" spans="1:6" x14ac:dyDescent="0.25">
      <c r="A628" s="5">
        <v>22350052</v>
      </c>
      <c r="B628" s="5" t="s">
        <v>400</v>
      </c>
      <c r="C628" s="5" t="s">
        <v>18</v>
      </c>
      <c r="D628" s="6">
        <v>44834</v>
      </c>
      <c r="E628" s="12">
        <v>44880</v>
      </c>
      <c r="F628" t="s">
        <v>0</v>
      </c>
    </row>
    <row r="629" spans="1:6" x14ac:dyDescent="0.25">
      <c r="A629" s="5">
        <v>22350056</v>
      </c>
      <c r="B629" s="5" t="s">
        <v>400</v>
      </c>
      <c r="C629" s="5" t="s">
        <v>12</v>
      </c>
      <c r="D629" s="6">
        <v>44834</v>
      </c>
      <c r="E629" s="12">
        <v>44880</v>
      </c>
      <c r="F629" t="s">
        <v>0</v>
      </c>
    </row>
    <row r="630" spans="1:6" x14ac:dyDescent="0.25">
      <c r="A630" s="5">
        <v>22350063</v>
      </c>
      <c r="B630" s="5" t="s">
        <v>400</v>
      </c>
      <c r="C630" s="5" t="s">
        <v>12</v>
      </c>
      <c r="D630" s="6">
        <v>44834</v>
      </c>
      <c r="E630" s="12">
        <v>44880</v>
      </c>
      <c r="F630" t="s">
        <v>0</v>
      </c>
    </row>
    <row r="631" spans="1:6" x14ac:dyDescent="0.25">
      <c r="A631" s="5">
        <v>22350067</v>
      </c>
      <c r="B631" s="5" t="s">
        <v>400</v>
      </c>
      <c r="C631" s="5" t="s">
        <v>12</v>
      </c>
      <c r="D631" s="6">
        <v>44834</v>
      </c>
      <c r="E631" s="12">
        <v>44880</v>
      </c>
      <c r="F631" t="s">
        <v>0</v>
      </c>
    </row>
    <row r="632" spans="1:6" x14ac:dyDescent="0.25">
      <c r="A632" s="5">
        <v>22350074</v>
      </c>
      <c r="B632" s="5" t="s">
        <v>400</v>
      </c>
      <c r="C632" s="5" t="s">
        <v>12</v>
      </c>
      <c r="D632" s="6">
        <v>44834</v>
      </c>
      <c r="E632" s="12">
        <v>44880</v>
      </c>
      <c r="F632" t="s">
        <v>0</v>
      </c>
    </row>
    <row r="633" spans="1:6" x14ac:dyDescent="0.25">
      <c r="A633" s="5">
        <v>22350077</v>
      </c>
      <c r="B633" s="5" t="s">
        <v>400</v>
      </c>
      <c r="C633" s="5" t="s">
        <v>12</v>
      </c>
      <c r="D633" s="6">
        <v>44834</v>
      </c>
      <c r="E633" s="12">
        <v>44880</v>
      </c>
      <c r="F633" t="s">
        <v>0</v>
      </c>
    </row>
    <row r="634" spans="1:6" x14ac:dyDescent="0.25">
      <c r="A634" s="5">
        <v>22350081</v>
      </c>
      <c r="B634" s="5" t="s">
        <v>400</v>
      </c>
      <c r="C634" s="5" t="s">
        <v>12</v>
      </c>
      <c r="D634" s="6">
        <v>44834</v>
      </c>
      <c r="E634" s="12">
        <v>44880</v>
      </c>
      <c r="F634" t="s">
        <v>0</v>
      </c>
    </row>
    <row r="635" spans="1:6" x14ac:dyDescent="0.25">
      <c r="A635" s="5">
        <v>22350084</v>
      </c>
      <c r="B635" s="5" t="s">
        <v>400</v>
      </c>
      <c r="C635" s="5" t="s">
        <v>12</v>
      </c>
      <c r="D635" s="6">
        <v>44834</v>
      </c>
      <c r="E635" s="12">
        <v>44880</v>
      </c>
      <c r="F635" t="s">
        <v>0</v>
      </c>
    </row>
    <row r="636" spans="1:6" x14ac:dyDescent="0.25">
      <c r="A636" s="5">
        <v>22350089</v>
      </c>
      <c r="B636" s="5" t="s">
        <v>400</v>
      </c>
      <c r="C636" s="5" t="s">
        <v>12</v>
      </c>
      <c r="D636" s="6">
        <v>44834</v>
      </c>
      <c r="E636" s="12">
        <v>44880</v>
      </c>
      <c r="F636" t="s">
        <v>0</v>
      </c>
    </row>
    <row r="637" spans="1:6" x14ac:dyDescent="0.25">
      <c r="A637" s="5">
        <v>22350094</v>
      </c>
      <c r="B637" s="5" t="s">
        <v>400</v>
      </c>
      <c r="C637" s="5" t="s">
        <v>12</v>
      </c>
      <c r="D637" s="6">
        <v>44834</v>
      </c>
      <c r="E637" s="12">
        <v>44880</v>
      </c>
      <c r="F637" t="s">
        <v>0</v>
      </c>
    </row>
    <row r="638" spans="1:6" x14ac:dyDescent="0.25">
      <c r="A638" s="5">
        <v>22350095</v>
      </c>
      <c r="B638" s="5" t="s">
        <v>400</v>
      </c>
      <c r="C638" s="5" t="s">
        <v>12</v>
      </c>
      <c r="D638" s="6">
        <v>44834</v>
      </c>
      <c r="E638" s="12">
        <v>44880</v>
      </c>
      <c r="F638" t="s">
        <v>0</v>
      </c>
    </row>
    <row r="639" spans="1:6" x14ac:dyDescent="0.25">
      <c r="A639" s="5">
        <v>22350117</v>
      </c>
      <c r="B639" s="5" t="s">
        <v>400</v>
      </c>
      <c r="C639" s="5" t="s">
        <v>18</v>
      </c>
      <c r="D639" s="6">
        <v>44834</v>
      </c>
      <c r="E639" s="12">
        <v>44880</v>
      </c>
      <c r="F639" t="s">
        <v>0</v>
      </c>
    </row>
    <row r="640" spans="1:6" x14ac:dyDescent="0.25">
      <c r="A640" s="5">
        <v>22350119</v>
      </c>
      <c r="B640" s="5" t="s">
        <v>400</v>
      </c>
      <c r="C640" s="5" t="s">
        <v>18</v>
      </c>
      <c r="D640" s="6">
        <v>44834</v>
      </c>
      <c r="E640" s="12">
        <v>44880</v>
      </c>
      <c r="F640" t="s">
        <v>0</v>
      </c>
    </row>
    <row r="641" spans="1:6" x14ac:dyDescent="0.25">
      <c r="A641" s="5">
        <v>22350134</v>
      </c>
      <c r="B641" s="5" t="s">
        <v>400</v>
      </c>
      <c r="C641" s="5" t="s">
        <v>12</v>
      </c>
      <c r="D641" s="6">
        <v>44834</v>
      </c>
      <c r="E641" s="12">
        <v>44880</v>
      </c>
      <c r="F641" t="s">
        <v>0</v>
      </c>
    </row>
    <row r="642" spans="1:6" x14ac:dyDescent="0.25">
      <c r="A642" s="5">
        <v>22350136</v>
      </c>
      <c r="B642" s="5" t="s">
        <v>400</v>
      </c>
      <c r="C642" s="5" t="s">
        <v>18</v>
      </c>
      <c r="D642" s="6">
        <v>44834</v>
      </c>
      <c r="E642" s="12">
        <v>44880</v>
      </c>
      <c r="F642" t="s">
        <v>0</v>
      </c>
    </row>
    <row r="643" spans="1:6" x14ac:dyDescent="0.25">
      <c r="A643" s="5">
        <v>22350144</v>
      </c>
      <c r="B643" s="5" t="s">
        <v>400</v>
      </c>
      <c r="C643" s="5" t="s">
        <v>18</v>
      </c>
      <c r="D643" s="6">
        <v>44834</v>
      </c>
      <c r="E643" s="12">
        <v>44880</v>
      </c>
      <c r="F643" t="s">
        <v>0</v>
      </c>
    </row>
    <row r="644" spans="1:6" x14ac:dyDescent="0.25">
      <c r="A644" s="5">
        <v>22350150</v>
      </c>
      <c r="B644" s="5" t="s">
        <v>400</v>
      </c>
      <c r="C644" s="5" t="s">
        <v>18</v>
      </c>
      <c r="D644" s="6">
        <v>44834</v>
      </c>
      <c r="E644" s="12">
        <v>44880</v>
      </c>
      <c r="F644" t="s">
        <v>0</v>
      </c>
    </row>
    <row r="645" spans="1:6" x14ac:dyDescent="0.25">
      <c r="A645" s="5">
        <v>22350153</v>
      </c>
      <c r="B645" s="5" t="s">
        <v>400</v>
      </c>
      <c r="C645" s="5" t="s">
        <v>12</v>
      </c>
      <c r="D645" s="6">
        <v>44834</v>
      </c>
      <c r="E645" s="12">
        <v>44880</v>
      </c>
      <c r="F645" t="s">
        <v>0</v>
      </c>
    </row>
    <row r="646" spans="1:6" x14ac:dyDescent="0.25">
      <c r="A646" s="5">
        <v>22350162</v>
      </c>
      <c r="B646" s="5" t="s">
        <v>400</v>
      </c>
      <c r="C646" s="5" t="s">
        <v>12</v>
      </c>
      <c r="D646" s="6">
        <v>44834</v>
      </c>
      <c r="E646" s="12">
        <v>44880</v>
      </c>
      <c r="F646" t="s">
        <v>0</v>
      </c>
    </row>
    <row r="647" spans="1:6" x14ac:dyDescent="0.25">
      <c r="A647" s="5">
        <v>22350169</v>
      </c>
      <c r="B647" s="5" t="s">
        <v>400</v>
      </c>
      <c r="C647" s="5" t="s">
        <v>12</v>
      </c>
      <c r="D647" s="6">
        <v>44834</v>
      </c>
      <c r="E647" s="12">
        <v>44880</v>
      </c>
      <c r="F647" t="s">
        <v>0</v>
      </c>
    </row>
    <row r="648" spans="1:6" x14ac:dyDescent="0.25">
      <c r="A648" s="5">
        <v>22350182</v>
      </c>
      <c r="B648" s="5" t="s">
        <v>400</v>
      </c>
      <c r="C648" s="5" t="s">
        <v>12</v>
      </c>
      <c r="D648" s="6">
        <v>44834</v>
      </c>
      <c r="E648" s="12">
        <v>44880</v>
      </c>
      <c r="F648" t="s">
        <v>0</v>
      </c>
    </row>
    <row r="649" spans="1:6" x14ac:dyDescent="0.25">
      <c r="A649" s="5">
        <v>22350183</v>
      </c>
      <c r="B649" s="5" t="s">
        <v>400</v>
      </c>
      <c r="C649" s="5" t="s">
        <v>12</v>
      </c>
      <c r="D649" s="6">
        <v>44834</v>
      </c>
      <c r="E649" s="12">
        <v>44880</v>
      </c>
      <c r="F649" t="s">
        <v>0</v>
      </c>
    </row>
    <row r="650" spans="1:6" x14ac:dyDescent="0.25">
      <c r="A650" s="5">
        <v>22350184</v>
      </c>
      <c r="B650" s="5" t="s">
        <v>400</v>
      </c>
      <c r="C650" s="5" t="s">
        <v>12</v>
      </c>
      <c r="D650" s="6">
        <v>44834</v>
      </c>
      <c r="E650" s="12">
        <v>44880</v>
      </c>
      <c r="F650" t="s">
        <v>0</v>
      </c>
    </row>
    <row r="651" spans="1:6" x14ac:dyDescent="0.25">
      <c r="A651" s="5">
        <v>22350185</v>
      </c>
      <c r="B651" s="5" t="s">
        <v>400</v>
      </c>
      <c r="C651" s="5" t="s">
        <v>12</v>
      </c>
      <c r="D651" s="6">
        <v>44839</v>
      </c>
      <c r="E651" s="12">
        <v>44880</v>
      </c>
      <c r="F651" t="s">
        <v>0</v>
      </c>
    </row>
    <row r="652" spans="1:6" x14ac:dyDescent="0.25">
      <c r="A652" s="5">
        <v>22350186</v>
      </c>
      <c r="B652" s="5" t="s">
        <v>400</v>
      </c>
      <c r="C652" s="5" t="s">
        <v>12</v>
      </c>
      <c r="D652" s="6">
        <v>44839</v>
      </c>
      <c r="E652" s="12">
        <v>44880</v>
      </c>
      <c r="F652" t="s">
        <v>0</v>
      </c>
    </row>
    <row r="653" spans="1:6" x14ac:dyDescent="0.25">
      <c r="A653" s="5">
        <v>22350187</v>
      </c>
      <c r="B653" s="5" t="s">
        <v>400</v>
      </c>
      <c r="C653" s="5" t="s">
        <v>12</v>
      </c>
      <c r="D653" s="6">
        <v>44839</v>
      </c>
      <c r="E653" s="12">
        <v>44880</v>
      </c>
      <c r="F653" t="s">
        <v>0</v>
      </c>
    </row>
    <row r="654" spans="1:6" x14ac:dyDescent="0.25">
      <c r="A654" s="5">
        <v>22350188</v>
      </c>
      <c r="B654" s="5" t="s">
        <v>400</v>
      </c>
      <c r="C654" s="5" t="s">
        <v>12</v>
      </c>
      <c r="D654" s="6">
        <v>44854</v>
      </c>
      <c r="E654" s="12">
        <v>44883</v>
      </c>
      <c r="F654" t="s">
        <v>0</v>
      </c>
    </row>
    <row r="655" spans="1:6" x14ac:dyDescent="0.25">
      <c r="A655" s="5">
        <v>22350189</v>
      </c>
      <c r="B655" s="5" t="s">
        <v>400</v>
      </c>
      <c r="C655" s="5" t="s">
        <v>12</v>
      </c>
      <c r="D655" s="6">
        <v>44839</v>
      </c>
      <c r="E655" s="12">
        <v>44883</v>
      </c>
      <c r="F655" t="s">
        <v>0</v>
      </c>
    </row>
    <row r="656" spans="1:6" x14ac:dyDescent="0.25">
      <c r="A656" s="5">
        <v>22350190</v>
      </c>
      <c r="B656" s="5" t="s">
        <v>401</v>
      </c>
      <c r="C656" s="5" t="s">
        <v>12</v>
      </c>
      <c r="D656" s="6">
        <v>44839</v>
      </c>
      <c r="E656" s="12">
        <v>44883</v>
      </c>
      <c r="F656" t="s">
        <v>0</v>
      </c>
    </row>
    <row r="657" spans="1:6" x14ac:dyDescent="0.25">
      <c r="A657" s="5">
        <v>22350191</v>
      </c>
      <c r="B657" s="5" t="s">
        <v>401</v>
      </c>
      <c r="C657" s="5" t="s">
        <v>18</v>
      </c>
      <c r="D657" s="6">
        <v>44839</v>
      </c>
      <c r="E657" s="12">
        <v>44883</v>
      </c>
      <c r="F657" t="s">
        <v>0</v>
      </c>
    </row>
    <row r="658" spans="1:6" x14ac:dyDescent="0.25">
      <c r="A658" s="5">
        <v>22350192</v>
      </c>
      <c r="B658" s="5" t="s">
        <v>400</v>
      </c>
      <c r="C658" s="5" t="s">
        <v>12</v>
      </c>
      <c r="D658" s="6">
        <v>44839</v>
      </c>
      <c r="E658" s="12">
        <v>44883</v>
      </c>
      <c r="F658" t="s">
        <v>0</v>
      </c>
    </row>
    <row r="659" spans="1:6" x14ac:dyDescent="0.25">
      <c r="A659" s="5">
        <v>22350193</v>
      </c>
      <c r="B659" s="5" t="s">
        <v>400</v>
      </c>
      <c r="C659" s="5" t="s">
        <v>12</v>
      </c>
      <c r="D659" s="6">
        <v>44839</v>
      </c>
      <c r="E659" s="12">
        <v>44883</v>
      </c>
      <c r="F659" t="s">
        <v>0</v>
      </c>
    </row>
    <row r="660" spans="1:6" x14ac:dyDescent="0.25">
      <c r="A660" s="5">
        <v>22350194</v>
      </c>
      <c r="B660" s="5" t="s">
        <v>400</v>
      </c>
      <c r="C660" s="5" t="s">
        <v>12</v>
      </c>
      <c r="D660" s="6">
        <v>44839</v>
      </c>
      <c r="E660" s="12">
        <v>44883</v>
      </c>
      <c r="F660" t="s">
        <v>0</v>
      </c>
    </row>
    <row r="661" spans="1:6" x14ac:dyDescent="0.25">
      <c r="A661" s="5">
        <v>22350195</v>
      </c>
      <c r="B661" s="5" t="s">
        <v>400</v>
      </c>
      <c r="C661" s="5" t="s">
        <v>18</v>
      </c>
      <c r="D661" s="6">
        <v>44834</v>
      </c>
      <c r="E661" s="12">
        <v>44883</v>
      </c>
      <c r="F661" t="s">
        <v>0</v>
      </c>
    </row>
    <row r="662" spans="1:6" x14ac:dyDescent="0.25">
      <c r="A662" s="5">
        <v>22350196</v>
      </c>
      <c r="B662" s="5" t="s">
        <v>400</v>
      </c>
      <c r="C662" s="5" t="s">
        <v>12</v>
      </c>
      <c r="D662" s="6">
        <v>44839</v>
      </c>
      <c r="E662" s="12">
        <v>44883</v>
      </c>
      <c r="F662" t="s">
        <v>0</v>
      </c>
    </row>
    <row r="663" spans="1:6" x14ac:dyDescent="0.25">
      <c r="A663" s="5">
        <v>22350197</v>
      </c>
      <c r="B663" s="5" t="s">
        <v>401</v>
      </c>
      <c r="C663" s="5" t="s">
        <v>12</v>
      </c>
      <c r="D663" s="6">
        <v>44834</v>
      </c>
      <c r="E663" s="12">
        <v>44883</v>
      </c>
      <c r="F663" t="s">
        <v>0</v>
      </c>
    </row>
    <row r="664" spans="1:6" x14ac:dyDescent="0.25">
      <c r="A664" s="5">
        <v>22350198</v>
      </c>
      <c r="B664" s="5" t="s">
        <v>401</v>
      </c>
      <c r="C664" s="5" t="s">
        <v>12</v>
      </c>
      <c r="D664" s="6">
        <v>44834</v>
      </c>
      <c r="E664" s="12">
        <v>44883</v>
      </c>
      <c r="F664" t="s">
        <v>0</v>
      </c>
    </row>
    <row r="665" spans="1:6" x14ac:dyDescent="0.25">
      <c r="A665" s="5">
        <v>22350199</v>
      </c>
      <c r="B665" s="5" t="s">
        <v>401</v>
      </c>
      <c r="C665" s="5" t="s">
        <v>18</v>
      </c>
      <c r="D665" s="6">
        <v>44834</v>
      </c>
      <c r="E665" s="12">
        <v>44883</v>
      </c>
      <c r="F665" t="s">
        <v>0</v>
      </c>
    </row>
    <row r="666" spans="1:6" x14ac:dyDescent="0.25">
      <c r="A666" s="5">
        <v>22350200</v>
      </c>
      <c r="B666" s="5" t="s">
        <v>401</v>
      </c>
      <c r="C666" s="5" t="s">
        <v>12</v>
      </c>
      <c r="D666" s="6">
        <v>44808</v>
      </c>
      <c r="E666" s="12">
        <v>44883</v>
      </c>
      <c r="F666" t="s">
        <v>0</v>
      </c>
    </row>
    <row r="667" spans="1:6" x14ac:dyDescent="0.25">
      <c r="A667" s="5">
        <v>22350201</v>
      </c>
      <c r="B667" s="5" t="s">
        <v>401</v>
      </c>
      <c r="C667" s="5" t="s">
        <v>12</v>
      </c>
      <c r="D667" s="6">
        <v>44844</v>
      </c>
      <c r="E667" s="12">
        <v>44883</v>
      </c>
      <c r="F667" t="s">
        <v>0</v>
      </c>
    </row>
    <row r="668" spans="1:6" x14ac:dyDescent="0.25">
      <c r="A668" s="5">
        <v>22350202</v>
      </c>
      <c r="B668" s="5" t="s">
        <v>401</v>
      </c>
      <c r="C668" s="5" t="s">
        <v>12</v>
      </c>
      <c r="D668" s="6">
        <v>44834</v>
      </c>
      <c r="E668" s="12">
        <v>44883</v>
      </c>
      <c r="F668" t="s">
        <v>0</v>
      </c>
    </row>
    <row r="669" spans="1:6" x14ac:dyDescent="0.25">
      <c r="A669" s="5">
        <v>22350203</v>
      </c>
      <c r="B669" s="5" t="s">
        <v>401</v>
      </c>
      <c r="C669" s="5" t="s">
        <v>12</v>
      </c>
      <c r="D669" s="6">
        <v>44844</v>
      </c>
      <c r="E669" s="12">
        <v>44883</v>
      </c>
      <c r="F669" t="s">
        <v>0</v>
      </c>
    </row>
    <row r="670" spans="1:6" x14ac:dyDescent="0.25">
      <c r="A670" s="5">
        <v>22350204</v>
      </c>
      <c r="B670" s="5" t="s">
        <v>400</v>
      </c>
      <c r="C670" s="5" t="s">
        <v>12</v>
      </c>
      <c r="D670" s="6">
        <v>44854</v>
      </c>
      <c r="E670" s="12">
        <v>44883</v>
      </c>
      <c r="F670" t="s">
        <v>0</v>
      </c>
    </row>
    <row r="671" spans="1:6" x14ac:dyDescent="0.25">
      <c r="A671" s="5">
        <v>22350205</v>
      </c>
      <c r="B671" s="5" t="s">
        <v>400</v>
      </c>
      <c r="C671" s="5" t="s">
        <v>12</v>
      </c>
      <c r="D671" s="6">
        <v>44854</v>
      </c>
      <c r="E671" s="12">
        <v>44883</v>
      </c>
      <c r="F671" t="s">
        <v>0</v>
      </c>
    </row>
    <row r="672" spans="1:6" x14ac:dyDescent="0.25">
      <c r="A672" s="5">
        <v>22350206</v>
      </c>
      <c r="B672" s="5" t="s">
        <v>401</v>
      </c>
      <c r="C672" s="5" t="s">
        <v>12</v>
      </c>
      <c r="D672" s="6">
        <v>44854</v>
      </c>
      <c r="E672" s="12">
        <v>44883</v>
      </c>
      <c r="F672" t="s">
        <v>0</v>
      </c>
    </row>
    <row r="673" spans="1:6" x14ac:dyDescent="0.25">
      <c r="A673" s="5">
        <v>22350207</v>
      </c>
      <c r="B673" s="5" t="s">
        <v>401</v>
      </c>
      <c r="C673" s="5" t="s">
        <v>12</v>
      </c>
      <c r="D673" s="6">
        <v>44844</v>
      </c>
      <c r="E673" s="12">
        <v>44883</v>
      </c>
      <c r="F673" t="s">
        <v>0</v>
      </c>
    </row>
    <row r="674" spans="1:6" x14ac:dyDescent="0.25">
      <c r="A674" s="5">
        <v>22350208</v>
      </c>
      <c r="B674" s="5" t="s">
        <v>401</v>
      </c>
      <c r="C674" s="5" t="s">
        <v>12</v>
      </c>
      <c r="D674" s="6">
        <v>44844</v>
      </c>
      <c r="E674" s="12">
        <v>44883</v>
      </c>
      <c r="F674" t="s">
        <v>0</v>
      </c>
    </row>
    <row r="675" spans="1:6" x14ac:dyDescent="0.25">
      <c r="A675" s="5">
        <v>22350209</v>
      </c>
      <c r="B675" s="5" t="s">
        <v>401</v>
      </c>
      <c r="C675" s="5" t="s">
        <v>12</v>
      </c>
      <c r="D675" s="6">
        <v>44844</v>
      </c>
      <c r="E675" s="12">
        <v>44883</v>
      </c>
      <c r="F675" t="s">
        <v>0</v>
      </c>
    </row>
    <row r="676" spans="1:6" x14ac:dyDescent="0.25">
      <c r="A676" s="5">
        <v>22350210</v>
      </c>
      <c r="B676" s="5" t="s">
        <v>400</v>
      </c>
      <c r="C676" s="5" t="s">
        <v>12</v>
      </c>
      <c r="D676" s="6">
        <v>44839</v>
      </c>
      <c r="E676" s="12">
        <v>44883</v>
      </c>
      <c r="F676" t="s">
        <v>0</v>
      </c>
    </row>
    <row r="677" spans="1:6" x14ac:dyDescent="0.25">
      <c r="A677" s="5">
        <v>22350211</v>
      </c>
      <c r="B677" s="5" t="s">
        <v>401</v>
      </c>
      <c r="C677" s="5" t="s">
        <v>12</v>
      </c>
      <c r="D677" s="6">
        <v>44839</v>
      </c>
      <c r="E677" s="12">
        <v>44883</v>
      </c>
      <c r="F677" t="s">
        <v>0</v>
      </c>
    </row>
    <row r="678" spans="1:6" x14ac:dyDescent="0.25">
      <c r="A678" s="5">
        <v>22350212</v>
      </c>
      <c r="B678" s="5" t="s">
        <v>401</v>
      </c>
      <c r="C678" s="5" t="s">
        <v>12</v>
      </c>
      <c r="D678" s="6">
        <v>44839</v>
      </c>
      <c r="E678" s="12">
        <v>44883</v>
      </c>
      <c r="F678" t="s">
        <v>0</v>
      </c>
    </row>
    <row r="679" spans="1:6" x14ac:dyDescent="0.25">
      <c r="A679" s="5">
        <v>22350213</v>
      </c>
      <c r="B679" s="5" t="s">
        <v>401</v>
      </c>
      <c r="C679" s="5" t="s">
        <v>18</v>
      </c>
      <c r="D679" s="6">
        <v>44839</v>
      </c>
      <c r="E679" s="12">
        <v>44883</v>
      </c>
      <c r="F679" t="s">
        <v>0</v>
      </c>
    </row>
    <row r="680" spans="1:6" x14ac:dyDescent="0.25">
      <c r="A680" s="5">
        <v>22350214</v>
      </c>
      <c r="B680" s="5" t="s">
        <v>400</v>
      </c>
      <c r="C680" s="5" t="s">
        <v>12</v>
      </c>
      <c r="D680" s="6">
        <v>44859</v>
      </c>
      <c r="E680" s="12">
        <v>44883</v>
      </c>
      <c r="F680" t="s">
        <v>0</v>
      </c>
    </row>
    <row r="681" spans="1:6" x14ac:dyDescent="0.25">
      <c r="A681" s="5">
        <v>22350215</v>
      </c>
      <c r="B681" s="5" t="s">
        <v>400</v>
      </c>
      <c r="C681" s="5" t="s">
        <v>12</v>
      </c>
      <c r="D681" s="6">
        <v>44834</v>
      </c>
      <c r="E681" s="12">
        <v>44883</v>
      </c>
      <c r="F681" t="s">
        <v>0</v>
      </c>
    </row>
    <row r="682" spans="1:6" x14ac:dyDescent="0.25">
      <c r="A682" s="5">
        <v>22350216</v>
      </c>
      <c r="B682" s="5" t="s">
        <v>401</v>
      </c>
      <c r="C682" s="5" t="s">
        <v>12</v>
      </c>
      <c r="D682" s="6">
        <v>44834</v>
      </c>
      <c r="E682" s="12">
        <v>44883</v>
      </c>
      <c r="F682" t="s">
        <v>0</v>
      </c>
    </row>
    <row r="683" spans="1:6" x14ac:dyDescent="0.25">
      <c r="A683" s="5">
        <v>22350217</v>
      </c>
      <c r="B683" s="5" t="s">
        <v>400</v>
      </c>
      <c r="C683" s="5" t="s">
        <v>12</v>
      </c>
      <c r="D683" s="6">
        <v>44859</v>
      </c>
      <c r="E683" s="12">
        <v>44883</v>
      </c>
      <c r="F683" t="s">
        <v>0</v>
      </c>
    </row>
    <row r="684" spans="1:6" x14ac:dyDescent="0.25">
      <c r="A684" s="5">
        <v>22350218</v>
      </c>
      <c r="B684" s="5" t="s">
        <v>401</v>
      </c>
      <c r="C684" s="5" t="s">
        <v>12</v>
      </c>
      <c r="D684" s="6">
        <v>44834</v>
      </c>
      <c r="E684" s="12">
        <v>44883</v>
      </c>
      <c r="F684" t="s">
        <v>0</v>
      </c>
    </row>
    <row r="685" spans="1:6" x14ac:dyDescent="0.25">
      <c r="A685" s="5">
        <v>22350219</v>
      </c>
      <c r="B685" s="5" t="s">
        <v>400</v>
      </c>
      <c r="C685" s="5" t="s">
        <v>12</v>
      </c>
      <c r="D685" s="6">
        <v>44844</v>
      </c>
      <c r="E685" s="12">
        <v>44883</v>
      </c>
      <c r="F685" t="s">
        <v>0</v>
      </c>
    </row>
    <row r="686" spans="1:6" x14ac:dyDescent="0.25">
      <c r="A686" s="5">
        <v>22350220</v>
      </c>
      <c r="B686" s="5" t="s">
        <v>400</v>
      </c>
      <c r="C686" s="5" t="s">
        <v>12</v>
      </c>
      <c r="D686" s="6">
        <v>44854</v>
      </c>
      <c r="E686" s="12">
        <v>44883</v>
      </c>
      <c r="F686" t="s">
        <v>0</v>
      </c>
    </row>
    <row r="687" spans="1:6" x14ac:dyDescent="0.25">
      <c r="A687" s="5">
        <v>22350221</v>
      </c>
      <c r="B687" s="5" t="s">
        <v>401</v>
      </c>
      <c r="C687" s="5" t="s">
        <v>12</v>
      </c>
      <c r="D687" s="6">
        <v>44839</v>
      </c>
      <c r="E687" s="12">
        <v>44883</v>
      </c>
      <c r="F687" t="s">
        <v>0</v>
      </c>
    </row>
    <row r="688" spans="1:6" x14ac:dyDescent="0.25">
      <c r="A688" s="5">
        <v>22350222</v>
      </c>
      <c r="B688" s="5" t="s">
        <v>400</v>
      </c>
      <c r="C688" s="5" t="s">
        <v>12</v>
      </c>
      <c r="D688" s="6">
        <v>44839</v>
      </c>
      <c r="E688" s="12">
        <v>44883</v>
      </c>
      <c r="F688" t="s">
        <v>0</v>
      </c>
    </row>
    <row r="689" spans="1:6" x14ac:dyDescent="0.25">
      <c r="A689" s="5">
        <v>22350223</v>
      </c>
      <c r="B689" s="5" t="s">
        <v>401</v>
      </c>
      <c r="C689" s="5" t="s">
        <v>12</v>
      </c>
      <c r="D689" s="6">
        <v>44839</v>
      </c>
      <c r="E689" s="12">
        <v>44883</v>
      </c>
      <c r="F689" t="s">
        <v>0</v>
      </c>
    </row>
    <row r="690" spans="1:6" x14ac:dyDescent="0.25">
      <c r="A690" s="5">
        <v>22350224</v>
      </c>
      <c r="B690" s="5" t="s">
        <v>400</v>
      </c>
      <c r="C690" s="5" t="s">
        <v>12</v>
      </c>
      <c r="D690" s="6">
        <v>44839</v>
      </c>
      <c r="E690" s="12">
        <v>44883</v>
      </c>
      <c r="F690" t="s">
        <v>0</v>
      </c>
    </row>
    <row r="691" spans="1:6" x14ac:dyDescent="0.25">
      <c r="A691" s="5">
        <v>22350225</v>
      </c>
      <c r="B691" s="5" t="s">
        <v>400</v>
      </c>
      <c r="C691" s="5" t="s">
        <v>12</v>
      </c>
      <c r="D691" s="6">
        <v>44839</v>
      </c>
      <c r="E691" s="12">
        <v>44883</v>
      </c>
      <c r="F691" t="s">
        <v>0</v>
      </c>
    </row>
    <row r="692" spans="1:6" x14ac:dyDescent="0.25">
      <c r="A692" s="5">
        <v>22350226</v>
      </c>
      <c r="B692" s="5" t="s">
        <v>401</v>
      </c>
      <c r="C692" s="5" t="s">
        <v>12</v>
      </c>
      <c r="D692" s="6">
        <v>44854</v>
      </c>
      <c r="E692" s="12">
        <v>44883</v>
      </c>
      <c r="F692" t="s">
        <v>0</v>
      </c>
    </row>
    <row r="693" spans="1:6" x14ac:dyDescent="0.25">
      <c r="A693" s="5">
        <v>22350227</v>
      </c>
      <c r="B693" s="5" t="s">
        <v>401</v>
      </c>
      <c r="C693" s="5" t="s">
        <v>12</v>
      </c>
      <c r="D693" s="6">
        <v>44839</v>
      </c>
      <c r="E693" s="12">
        <v>44883</v>
      </c>
      <c r="F693" t="s">
        <v>0</v>
      </c>
    </row>
    <row r="694" spans="1:6" x14ac:dyDescent="0.25">
      <c r="A694" s="5">
        <v>22350228</v>
      </c>
      <c r="B694" s="5" t="s">
        <v>400</v>
      </c>
      <c r="C694" s="5" t="s">
        <v>12</v>
      </c>
      <c r="D694" s="6">
        <v>44854</v>
      </c>
      <c r="E694" s="12">
        <v>44883</v>
      </c>
      <c r="F694" t="s">
        <v>0</v>
      </c>
    </row>
    <row r="695" spans="1:6" x14ac:dyDescent="0.25">
      <c r="A695" s="5">
        <v>22350229</v>
      </c>
      <c r="B695" s="5" t="s">
        <v>401</v>
      </c>
      <c r="C695" s="5" t="s">
        <v>18</v>
      </c>
      <c r="D695" s="6">
        <v>44839</v>
      </c>
      <c r="E695" s="12">
        <v>44883</v>
      </c>
      <c r="F695" t="s">
        <v>0</v>
      </c>
    </row>
    <row r="696" spans="1:6" x14ac:dyDescent="0.25">
      <c r="A696" s="5">
        <v>22350230</v>
      </c>
      <c r="B696" s="5" t="s">
        <v>400</v>
      </c>
      <c r="C696" s="5" t="s">
        <v>12</v>
      </c>
      <c r="D696" s="6">
        <v>44839</v>
      </c>
      <c r="E696" s="12">
        <v>44883</v>
      </c>
      <c r="F696" t="s">
        <v>0</v>
      </c>
    </row>
    <row r="697" spans="1:6" x14ac:dyDescent="0.25">
      <c r="A697" s="5">
        <v>22350231</v>
      </c>
      <c r="B697" s="5" t="s">
        <v>401</v>
      </c>
      <c r="C697" s="5" t="s">
        <v>12</v>
      </c>
      <c r="D697" s="6">
        <v>44844</v>
      </c>
      <c r="E697" s="12">
        <v>44883</v>
      </c>
      <c r="F697" t="s">
        <v>0</v>
      </c>
    </row>
    <row r="698" spans="1:6" x14ac:dyDescent="0.25">
      <c r="A698" s="5">
        <v>22350232</v>
      </c>
      <c r="B698" s="5" t="s">
        <v>400</v>
      </c>
      <c r="C698" s="5" t="s">
        <v>12</v>
      </c>
      <c r="D698" s="6">
        <v>44839</v>
      </c>
      <c r="E698" s="12">
        <v>44883</v>
      </c>
      <c r="F698" t="s">
        <v>0</v>
      </c>
    </row>
    <row r="699" spans="1:6" x14ac:dyDescent="0.25">
      <c r="A699" s="5">
        <v>22350233</v>
      </c>
      <c r="B699" s="5" t="s">
        <v>400</v>
      </c>
      <c r="C699" s="5" t="s">
        <v>12</v>
      </c>
      <c r="D699" s="6">
        <v>44859</v>
      </c>
      <c r="E699" s="12">
        <v>44883</v>
      </c>
      <c r="F699" t="s">
        <v>0</v>
      </c>
    </row>
    <row r="700" spans="1:6" x14ac:dyDescent="0.25">
      <c r="A700" s="5">
        <v>22350234</v>
      </c>
      <c r="B700" s="5" t="s">
        <v>401</v>
      </c>
      <c r="C700" s="5" t="s">
        <v>18</v>
      </c>
      <c r="D700" s="6">
        <v>44839</v>
      </c>
      <c r="E700" s="12">
        <v>44883</v>
      </c>
      <c r="F700" t="s">
        <v>0</v>
      </c>
    </row>
    <row r="701" spans="1:6" x14ac:dyDescent="0.25">
      <c r="A701" s="5">
        <v>22350235</v>
      </c>
      <c r="B701" s="5" t="s">
        <v>401</v>
      </c>
      <c r="C701" s="5" t="s">
        <v>12</v>
      </c>
      <c r="D701" s="6">
        <v>44849</v>
      </c>
      <c r="E701" s="12">
        <v>44883</v>
      </c>
      <c r="F701" t="s">
        <v>0</v>
      </c>
    </row>
    <row r="702" spans="1:6" x14ac:dyDescent="0.25">
      <c r="A702" s="5">
        <v>22350236</v>
      </c>
      <c r="B702" s="5" t="s">
        <v>401</v>
      </c>
      <c r="C702" s="5" t="s">
        <v>24</v>
      </c>
      <c r="D702" s="6">
        <v>44854</v>
      </c>
      <c r="E702" s="12">
        <v>44883</v>
      </c>
      <c r="F702" t="s">
        <v>0</v>
      </c>
    </row>
    <row r="703" spans="1:6" x14ac:dyDescent="0.25">
      <c r="A703" s="5">
        <v>22350237</v>
      </c>
      <c r="B703" s="5" t="s">
        <v>401</v>
      </c>
      <c r="C703" s="5" t="s">
        <v>12</v>
      </c>
      <c r="D703" s="6">
        <v>44854</v>
      </c>
      <c r="E703" s="12">
        <v>44883</v>
      </c>
      <c r="F703" t="s">
        <v>0</v>
      </c>
    </row>
    <row r="704" spans="1:6" x14ac:dyDescent="0.25">
      <c r="A704" s="5">
        <v>22350238</v>
      </c>
      <c r="B704" s="5" t="s">
        <v>401</v>
      </c>
      <c r="C704" s="5" t="s">
        <v>18</v>
      </c>
      <c r="D704" s="6">
        <v>44844</v>
      </c>
      <c r="E704" s="12">
        <v>44883</v>
      </c>
      <c r="F704" t="s">
        <v>0</v>
      </c>
    </row>
    <row r="705" spans="1:6" x14ac:dyDescent="0.25">
      <c r="A705" s="5">
        <v>22350239</v>
      </c>
      <c r="B705" s="5" t="s">
        <v>400</v>
      </c>
      <c r="C705" s="5" t="s">
        <v>12</v>
      </c>
      <c r="D705" s="6">
        <v>44839</v>
      </c>
      <c r="E705" s="12">
        <v>44883</v>
      </c>
      <c r="F705" t="s">
        <v>0</v>
      </c>
    </row>
    <row r="706" spans="1:6" x14ac:dyDescent="0.25">
      <c r="A706" s="5">
        <v>22350240</v>
      </c>
      <c r="B706" s="5" t="s">
        <v>401</v>
      </c>
      <c r="C706" s="5" t="s">
        <v>12</v>
      </c>
      <c r="D706" s="6">
        <v>44839</v>
      </c>
      <c r="E706" s="12">
        <v>44883</v>
      </c>
      <c r="F706" t="s">
        <v>0</v>
      </c>
    </row>
    <row r="707" spans="1:6" x14ac:dyDescent="0.25">
      <c r="A707" s="5">
        <v>22350241</v>
      </c>
      <c r="B707" s="5" t="s">
        <v>401</v>
      </c>
      <c r="C707" s="5" t="s">
        <v>12</v>
      </c>
      <c r="D707" s="6">
        <v>44834</v>
      </c>
      <c r="E707" s="12">
        <v>44883</v>
      </c>
      <c r="F707" t="s">
        <v>0</v>
      </c>
    </row>
    <row r="708" spans="1:6" x14ac:dyDescent="0.25">
      <c r="A708" s="5">
        <v>22350242</v>
      </c>
      <c r="B708" s="5" t="s">
        <v>401</v>
      </c>
      <c r="C708" s="5" t="s">
        <v>18</v>
      </c>
      <c r="D708" s="6">
        <v>44854</v>
      </c>
      <c r="E708" s="12">
        <v>44883</v>
      </c>
      <c r="F708" t="s">
        <v>0</v>
      </c>
    </row>
    <row r="709" spans="1:6" x14ac:dyDescent="0.25">
      <c r="A709" s="5">
        <v>22350243</v>
      </c>
      <c r="B709" s="5" t="s">
        <v>400</v>
      </c>
      <c r="C709" s="5" t="s">
        <v>18</v>
      </c>
      <c r="D709" s="6">
        <v>44854</v>
      </c>
      <c r="E709" s="12">
        <v>44883</v>
      </c>
      <c r="F709" t="s">
        <v>0</v>
      </c>
    </row>
    <row r="710" spans="1:6" x14ac:dyDescent="0.25">
      <c r="A710" s="5">
        <v>22350244</v>
      </c>
      <c r="B710" s="5" t="s">
        <v>401</v>
      </c>
      <c r="C710" s="5" t="s">
        <v>12</v>
      </c>
      <c r="D710" s="6">
        <v>44844</v>
      </c>
      <c r="E710" s="12">
        <v>44883</v>
      </c>
      <c r="F710" t="s">
        <v>0</v>
      </c>
    </row>
    <row r="711" spans="1:6" x14ac:dyDescent="0.25">
      <c r="A711" s="5">
        <v>22350245</v>
      </c>
      <c r="B711" s="5" t="s">
        <v>401</v>
      </c>
      <c r="C711" s="5" t="s">
        <v>12</v>
      </c>
      <c r="D711" s="6">
        <v>44839</v>
      </c>
      <c r="E711" s="12">
        <v>44883</v>
      </c>
      <c r="F711" t="s">
        <v>0</v>
      </c>
    </row>
    <row r="712" spans="1:6" x14ac:dyDescent="0.25">
      <c r="A712" s="5">
        <v>16390587</v>
      </c>
      <c r="B712" s="5" t="s">
        <v>400</v>
      </c>
      <c r="C712" s="5" t="s">
        <v>12</v>
      </c>
      <c r="D712" s="6">
        <v>43738</v>
      </c>
      <c r="E712" s="12">
        <v>44887</v>
      </c>
      <c r="F712" t="s">
        <v>0</v>
      </c>
    </row>
    <row r="713" spans="1:6" x14ac:dyDescent="0.25">
      <c r="A713" s="5">
        <v>22350246</v>
      </c>
      <c r="B713" s="5" t="s">
        <v>400</v>
      </c>
      <c r="C713" s="5" t="s">
        <v>12</v>
      </c>
      <c r="D713" s="6">
        <v>44839</v>
      </c>
      <c r="E713" s="12">
        <v>44887</v>
      </c>
      <c r="F713" t="s">
        <v>0</v>
      </c>
    </row>
    <row r="714" spans="1:6" x14ac:dyDescent="0.25">
      <c r="A714" s="5">
        <v>22350247</v>
      </c>
      <c r="B714" s="5" t="s">
        <v>400</v>
      </c>
      <c r="C714" s="5" t="s">
        <v>12</v>
      </c>
      <c r="D714" s="6">
        <v>44839</v>
      </c>
      <c r="E714" s="12">
        <v>44887</v>
      </c>
      <c r="F714" t="s">
        <v>0</v>
      </c>
    </row>
    <row r="715" spans="1:6" x14ac:dyDescent="0.25">
      <c r="A715" s="5">
        <v>22350248</v>
      </c>
      <c r="B715" s="5" t="s">
        <v>400</v>
      </c>
      <c r="C715" s="5" t="s">
        <v>12</v>
      </c>
      <c r="D715" s="6">
        <v>44839</v>
      </c>
      <c r="E715" s="12">
        <v>44887</v>
      </c>
      <c r="F715" t="s">
        <v>0</v>
      </c>
    </row>
    <row r="716" spans="1:6" x14ac:dyDescent="0.25">
      <c r="A716" s="5">
        <v>22350249</v>
      </c>
      <c r="B716" s="5" t="s">
        <v>400</v>
      </c>
      <c r="C716" s="5" t="s">
        <v>12</v>
      </c>
      <c r="D716" s="6">
        <v>44839</v>
      </c>
      <c r="E716" s="12">
        <v>44887</v>
      </c>
      <c r="F716" t="s">
        <v>0</v>
      </c>
    </row>
    <row r="717" spans="1:6" x14ac:dyDescent="0.25">
      <c r="A717" s="5">
        <v>22350250</v>
      </c>
      <c r="B717" s="5" t="s">
        <v>400</v>
      </c>
      <c r="C717" s="5" t="s">
        <v>12</v>
      </c>
      <c r="D717" s="6">
        <v>44839</v>
      </c>
      <c r="E717" s="12">
        <v>44887</v>
      </c>
      <c r="F717" t="s">
        <v>0</v>
      </c>
    </row>
    <row r="718" spans="1:6" x14ac:dyDescent="0.25">
      <c r="A718" s="5">
        <v>22350251</v>
      </c>
      <c r="B718" s="5" t="s">
        <v>400</v>
      </c>
      <c r="C718" s="5" t="s">
        <v>12</v>
      </c>
      <c r="D718" s="6">
        <v>44839</v>
      </c>
      <c r="E718" s="12">
        <v>44887</v>
      </c>
      <c r="F718" t="s">
        <v>0</v>
      </c>
    </row>
    <row r="719" spans="1:6" x14ac:dyDescent="0.25">
      <c r="A719" s="5">
        <v>22350252</v>
      </c>
      <c r="B719" s="5" t="s">
        <v>400</v>
      </c>
      <c r="C719" s="5" t="s">
        <v>12</v>
      </c>
      <c r="D719" s="6">
        <v>44839</v>
      </c>
      <c r="E719" s="12">
        <v>44887</v>
      </c>
      <c r="F719" t="s">
        <v>0</v>
      </c>
    </row>
    <row r="720" spans="1:6" x14ac:dyDescent="0.25">
      <c r="A720" s="5">
        <v>22350253</v>
      </c>
      <c r="B720" s="5" t="s">
        <v>400</v>
      </c>
      <c r="C720" s="5" t="s">
        <v>12</v>
      </c>
      <c r="D720" s="6">
        <v>44839</v>
      </c>
      <c r="E720" s="12">
        <v>44887</v>
      </c>
      <c r="F720" t="s">
        <v>0</v>
      </c>
    </row>
    <row r="721" spans="1:6" x14ac:dyDescent="0.25">
      <c r="A721" s="5">
        <v>22350254</v>
      </c>
      <c r="B721" s="5" t="s">
        <v>400</v>
      </c>
      <c r="C721" s="5" t="s">
        <v>12</v>
      </c>
      <c r="D721" s="6">
        <v>44839</v>
      </c>
      <c r="E721" s="12">
        <v>44887</v>
      </c>
      <c r="F721" t="s">
        <v>0</v>
      </c>
    </row>
    <row r="722" spans="1:6" x14ac:dyDescent="0.25">
      <c r="A722" s="5">
        <v>16390586</v>
      </c>
      <c r="B722" s="5" t="s">
        <v>400</v>
      </c>
      <c r="C722" s="5" t="s">
        <v>12</v>
      </c>
      <c r="D722" s="6">
        <v>44119</v>
      </c>
      <c r="E722" s="12">
        <v>44893</v>
      </c>
      <c r="F722" t="s">
        <v>0</v>
      </c>
    </row>
    <row r="723" spans="1:6" x14ac:dyDescent="0.25">
      <c r="A723" s="5">
        <v>22350255</v>
      </c>
      <c r="B723" s="5" t="s">
        <v>401</v>
      </c>
      <c r="C723" s="5" t="s">
        <v>12</v>
      </c>
      <c r="D723" s="6">
        <v>44839</v>
      </c>
      <c r="E723" s="12">
        <v>44893</v>
      </c>
      <c r="F723" t="s">
        <v>0</v>
      </c>
    </row>
    <row r="724" spans="1:6" x14ac:dyDescent="0.25">
      <c r="A724" s="5">
        <v>22350256</v>
      </c>
      <c r="B724" s="5" t="s">
        <v>401</v>
      </c>
      <c r="C724" s="5" t="s">
        <v>12</v>
      </c>
      <c r="D724" s="6">
        <v>44839</v>
      </c>
      <c r="E724" s="12">
        <v>44893</v>
      </c>
      <c r="F724" t="s">
        <v>0</v>
      </c>
    </row>
    <row r="725" spans="1:6" x14ac:dyDescent="0.25">
      <c r="A725" s="5">
        <v>22350257</v>
      </c>
      <c r="B725" s="5" t="s">
        <v>401</v>
      </c>
      <c r="C725" s="5" t="s">
        <v>18</v>
      </c>
      <c r="D725" s="6">
        <v>44839</v>
      </c>
      <c r="E725" s="12">
        <v>44893</v>
      </c>
      <c r="F725" t="s">
        <v>0</v>
      </c>
    </row>
    <row r="726" spans="1:6" x14ac:dyDescent="0.25">
      <c r="A726" s="5">
        <v>22350258</v>
      </c>
      <c r="B726" s="5" t="s">
        <v>401</v>
      </c>
      <c r="C726" s="5" t="s">
        <v>18</v>
      </c>
      <c r="D726" s="6">
        <v>44854</v>
      </c>
      <c r="E726" s="12">
        <v>44893</v>
      </c>
      <c r="F726" t="s">
        <v>0</v>
      </c>
    </row>
    <row r="727" spans="1:6" x14ac:dyDescent="0.25">
      <c r="A727" s="5">
        <v>22350259</v>
      </c>
      <c r="B727" s="5" t="s">
        <v>400</v>
      </c>
      <c r="C727" s="5" t="s">
        <v>12</v>
      </c>
      <c r="D727" s="6">
        <v>44844</v>
      </c>
      <c r="E727" s="12">
        <v>44893</v>
      </c>
      <c r="F727" t="s">
        <v>0</v>
      </c>
    </row>
    <row r="728" spans="1:6" x14ac:dyDescent="0.25">
      <c r="A728" s="5">
        <v>22350260</v>
      </c>
      <c r="B728" s="5" t="s">
        <v>401</v>
      </c>
      <c r="C728" s="5" t="s">
        <v>109</v>
      </c>
      <c r="D728" s="6">
        <v>44859</v>
      </c>
      <c r="E728" s="12">
        <v>44893</v>
      </c>
      <c r="F728" t="s">
        <v>0</v>
      </c>
    </row>
    <row r="729" spans="1:6" x14ac:dyDescent="0.25">
      <c r="A729" s="5">
        <v>22350261</v>
      </c>
      <c r="B729" s="5" t="s">
        <v>401</v>
      </c>
      <c r="C729" s="5" t="s">
        <v>18</v>
      </c>
      <c r="D729" s="6">
        <v>44870</v>
      </c>
      <c r="E729" s="12">
        <v>44893</v>
      </c>
      <c r="F729" t="s">
        <v>0</v>
      </c>
    </row>
    <row r="730" spans="1:6" x14ac:dyDescent="0.25">
      <c r="A730" s="5">
        <v>22350262</v>
      </c>
      <c r="B730" s="5" t="s">
        <v>400</v>
      </c>
      <c r="C730" s="5" t="s">
        <v>12</v>
      </c>
      <c r="D730" s="6">
        <v>44870</v>
      </c>
      <c r="E730" s="12">
        <v>44893</v>
      </c>
      <c r="F730" t="s">
        <v>0</v>
      </c>
    </row>
    <row r="731" spans="1:6" x14ac:dyDescent="0.25">
      <c r="A731" s="5">
        <v>16390558</v>
      </c>
      <c r="B731" s="5" t="s">
        <v>401</v>
      </c>
      <c r="C731" s="5" t="s">
        <v>12</v>
      </c>
      <c r="D731" s="6">
        <v>43770</v>
      </c>
      <c r="E731" s="12">
        <v>44894</v>
      </c>
      <c r="F731" t="s">
        <v>0</v>
      </c>
    </row>
    <row r="732" spans="1:6" x14ac:dyDescent="0.25">
      <c r="A732" s="5">
        <v>16390559</v>
      </c>
      <c r="B732" s="5" t="s">
        <v>401</v>
      </c>
      <c r="C732" s="5" t="s">
        <v>12</v>
      </c>
      <c r="D732" s="6">
        <v>43738</v>
      </c>
      <c r="E732" s="12">
        <v>44894</v>
      </c>
      <c r="F732" t="s">
        <v>0</v>
      </c>
    </row>
    <row r="733" spans="1:6" x14ac:dyDescent="0.25">
      <c r="A733" s="5">
        <v>16390560</v>
      </c>
      <c r="B733" s="5" t="s">
        <v>401</v>
      </c>
      <c r="C733" s="5" t="s">
        <v>12</v>
      </c>
      <c r="D733" s="6">
        <v>43770</v>
      </c>
      <c r="E733" s="12">
        <v>44894</v>
      </c>
      <c r="F733" t="s">
        <v>0</v>
      </c>
    </row>
    <row r="734" spans="1:6" x14ac:dyDescent="0.25">
      <c r="A734" s="5">
        <v>16390561</v>
      </c>
      <c r="B734" s="5" t="s">
        <v>401</v>
      </c>
      <c r="C734" s="5" t="s">
        <v>12</v>
      </c>
      <c r="D734" s="6">
        <v>43738</v>
      </c>
      <c r="E734" s="12">
        <v>44894</v>
      </c>
      <c r="F734" t="s">
        <v>0</v>
      </c>
    </row>
    <row r="735" spans="1:6" x14ac:dyDescent="0.25">
      <c r="A735" s="5">
        <v>22350263</v>
      </c>
      <c r="B735" s="5" t="s">
        <v>400</v>
      </c>
      <c r="C735" s="5" t="s">
        <v>12</v>
      </c>
      <c r="D735" s="6">
        <v>44864</v>
      </c>
      <c r="E735" s="12">
        <v>44912</v>
      </c>
      <c r="F735" t="s">
        <v>0</v>
      </c>
    </row>
    <row r="736" spans="1:6" x14ac:dyDescent="0.25">
      <c r="A736" s="5">
        <v>22350264</v>
      </c>
      <c r="B736" s="5" t="s">
        <v>401</v>
      </c>
      <c r="C736" s="5" t="s">
        <v>18</v>
      </c>
      <c r="D736" s="6">
        <v>44864</v>
      </c>
      <c r="E736" s="12">
        <v>44912</v>
      </c>
      <c r="F736" t="s">
        <v>0</v>
      </c>
    </row>
    <row r="737" spans="1:6" x14ac:dyDescent="0.25">
      <c r="A737" s="5">
        <v>22350265</v>
      </c>
      <c r="B737" s="5" t="s">
        <v>400</v>
      </c>
      <c r="C737" s="5" t="s">
        <v>18</v>
      </c>
      <c r="D737" s="6">
        <v>44864</v>
      </c>
      <c r="E737" s="12">
        <v>44912</v>
      </c>
      <c r="F737" t="s">
        <v>0</v>
      </c>
    </row>
    <row r="738" spans="1:6" x14ac:dyDescent="0.25">
      <c r="A738" s="5">
        <v>22350266</v>
      </c>
      <c r="B738" s="5" t="s">
        <v>400</v>
      </c>
      <c r="C738" s="5" t="s">
        <v>18</v>
      </c>
      <c r="D738" s="6">
        <v>44870</v>
      </c>
      <c r="E738" s="12">
        <v>44912</v>
      </c>
      <c r="F738" t="s">
        <v>0</v>
      </c>
    </row>
    <row r="739" spans="1:6" x14ac:dyDescent="0.25">
      <c r="A739" s="5">
        <v>22350267</v>
      </c>
      <c r="B739" s="5" t="s">
        <v>400</v>
      </c>
      <c r="C739" s="5" t="s">
        <v>12</v>
      </c>
      <c r="D739" s="6">
        <v>44834</v>
      </c>
      <c r="E739" s="12">
        <v>44912</v>
      </c>
      <c r="F739" t="s">
        <v>0</v>
      </c>
    </row>
    <row r="740" spans="1:6" x14ac:dyDescent="0.25">
      <c r="A740" s="5">
        <v>22350268</v>
      </c>
      <c r="B740" s="5" t="s">
        <v>400</v>
      </c>
      <c r="C740" s="5" t="s">
        <v>18</v>
      </c>
      <c r="D740" s="6">
        <v>44870</v>
      </c>
      <c r="E740" s="12">
        <v>44912</v>
      </c>
      <c r="F740" t="s">
        <v>0</v>
      </c>
    </row>
    <row r="741" spans="1:6" x14ac:dyDescent="0.25">
      <c r="A741" s="5">
        <v>22350269</v>
      </c>
      <c r="B741" s="5" t="s">
        <v>400</v>
      </c>
      <c r="C741" s="5" t="s">
        <v>12</v>
      </c>
      <c r="D741" s="6">
        <v>44870</v>
      </c>
      <c r="E741" s="12">
        <v>44912</v>
      </c>
      <c r="F741" t="s">
        <v>0</v>
      </c>
    </row>
    <row r="742" spans="1:6" x14ac:dyDescent="0.25">
      <c r="A742" s="5">
        <v>22350270</v>
      </c>
      <c r="B742" s="5" t="s">
        <v>401</v>
      </c>
      <c r="C742" s="5" t="s">
        <v>12</v>
      </c>
      <c r="D742" s="6">
        <v>44870</v>
      </c>
      <c r="E742" s="12">
        <v>44912</v>
      </c>
      <c r="F742" t="s">
        <v>0</v>
      </c>
    </row>
    <row r="743" spans="1:6" x14ac:dyDescent="0.25">
      <c r="A743" s="5">
        <v>22350271</v>
      </c>
      <c r="B743" s="5" t="s">
        <v>401</v>
      </c>
      <c r="C743" s="5" t="s">
        <v>12</v>
      </c>
      <c r="D743" s="6">
        <v>44870</v>
      </c>
      <c r="E743" s="12">
        <v>44912</v>
      </c>
      <c r="F743" t="s">
        <v>0</v>
      </c>
    </row>
    <row r="744" spans="1:6" x14ac:dyDescent="0.25">
      <c r="A744" s="5">
        <v>22350272</v>
      </c>
      <c r="B744" s="5" t="s">
        <v>401</v>
      </c>
      <c r="C744" s="5" t="s">
        <v>18</v>
      </c>
      <c r="D744" s="6">
        <v>44864</v>
      </c>
      <c r="E744" s="12">
        <v>44912</v>
      </c>
      <c r="F744" t="s">
        <v>0</v>
      </c>
    </row>
    <row r="745" spans="1:6" x14ac:dyDescent="0.25">
      <c r="A745" s="5">
        <v>22350273</v>
      </c>
      <c r="B745" s="5" t="s">
        <v>401</v>
      </c>
      <c r="C745" s="5" t="s">
        <v>12</v>
      </c>
      <c r="D745" s="6">
        <v>44864</v>
      </c>
      <c r="E745" s="12">
        <v>44912</v>
      </c>
      <c r="F745" t="s">
        <v>0</v>
      </c>
    </row>
    <row r="746" spans="1:6" x14ac:dyDescent="0.25">
      <c r="A746" s="5">
        <v>22350274</v>
      </c>
      <c r="B746" s="5" t="s">
        <v>401</v>
      </c>
      <c r="C746" s="5" t="s">
        <v>18</v>
      </c>
      <c r="D746" s="6">
        <v>44895</v>
      </c>
      <c r="E746" s="12">
        <v>44912</v>
      </c>
      <c r="F746" t="s">
        <v>0</v>
      </c>
    </row>
    <row r="747" spans="1:6" x14ac:dyDescent="0.25">
      <c r="A747" s="5">
        <v>22350275</v>
      </c>
      <c r="B747" s="5" t="s">
        <v>400</v>
      </c>
      <c r="C747" s="5" t="s">
        <v>12</v>
      </c>
      <c r="D747" s="6">
        <v>44870</v>
      </c>
      <c r="E747" s="12">
        <v>44912</v>
      </c>
      <c r="F747" t="s">
        <v>0</v>
      </c>
    </row>
    <row r="748" spans="1:6" x14ac:dyDescent="0.25">
      <c r="A748" s="5">
        <v>22350276</v>
      </c>
      <c r="B748" s="5" t="s">
        <v>400</v>
      </c>
      <c r="C748" s="5" t="s">
        <v>12</v>
      </c>
      <c r="D748" s="6">
        <v>44900</v>
      </c>
      <c r="E748" s="12">
        <v>44912</v>
      </c>
      <c r="F748" t="s">
        <v>0</v>
      </c>
    </row>
    <row r="749" spans="1:6" x14ac:dyDescent="0.25">
      <c r="A749" s="5">
        <v>22350277</v>
      </c>
      <c r="B749" s="5" t="s">
        <v>401</v>
      </c>
      <c r="C749" s="5" t="s">
        <v>12</v>
      </c>
      <c r="D749" s="6">
        <v>44870</v>
      </c>
      <c r="E749" s="12">
        <v>44912</v>
      </c>
      <c r="F749" t="s">
        <v>0</v>
      </c>
    </row>
    <row r="750" spans="1:6" x14ac:dyDescent="0.25">
      <c r="A750" s="5">
        <v>22350278</v>
      </c>
      <c r="B750" s="5" t="s">
        <v>401</v>
      </c>
      <c r="C750" s="5" t="s">
        <v>12</v>
      </c>
      <c r="D750" s="6">
        <v>44885</v>
      </c>
      <c r="E750" s="12">
        <v>44912</v>
      </c>
      <c r="F750" t="s">
        <v>0</v>
      </c>
    </row>
    <row r="751" spans="1:6" x14ac:dyDescent="0.25">
      <c r="A751" s="5">
        <v>22350279</v>
      </c>
      <c r="B751" s="5" t="s">
        <v>401</v>
      </c>
      <c r="C751" s="5" t="s">
        <v>18</v>
      </c>
      <c r="D751" s="6">
        <v>44864</v>
      </c>
      <c r="E751" s="12">
        <v>44912</v>
      </c>
      <c r="F751" t="s">
        <v>0</v>
      </c>
    </row>
    <row r="752" spans="1:6" x14ac:dyDescent="0.25">
      <c r="A752" s="5">
        <v>22350280</v>
      </c>
      <c r="B752" s="5" t="s">
        <v>400</v>
      </c>
      <c r="C752" s="5" t="s">
        <v>12</v>
      </c>
      <c r="D752" s="6">
        <v>44870</v>
      </c>
      <c r="E752" s="12">
        <v>44912</v>
      </c>
      <c r="F752" t="s">
        <v>0</v>
      </c>
    </row>
    <row r="753" spans="1:6" x14ac:dyDescent="0.25">
      <c r="A753" s="5">
        <v>22350281</v>
      </c>
      <c r="B753" s="5" t="s">
        <v>400</v>
      </c>
      <c r="C753" s="5" t="s">
        <v>12</v>
      </c>
      <c r="D753" s="6">
        <v>44870</v>
      </c>
      <c r="E753" s="12">
        <v>44912</v>
      </c>
      <c r="F753" t="s">
        <v>0</v>
      </c>
    </row>
    <row r="754" spans="1:6" x14ac:dyDescent="0.25">
      <c r="A754" s="5">
        <v>22350282</v>
      </c>
      <c r="B754" s="5" t="s">
        <v>401</v>
      </c>
      <c r="C754" s="5" t="s">
        <v>18</v>
      </c>
      <c r="D754" s="6">
        <v>44870</v>
      </c>
      <c r="E754" s="12">
        <v>44912</v>
      </c>
      <c r="F754" t="s">
        <v>0</v>
      </c>
    </row>
    <row r="755" spans="1:6" x14ac:dyDescent="0.25">
      <c r="A755" s="5">
        <v>22350283</v>
      </c>
      <c r="B755" s="5" t="s">
        <v>401</v>
      </c>
      <c r="C755" s="5" t="s">
        <v>12</v>
      </c>
      <c r="D755" s="6">
        <v>44885</v>
      </c>
      <c r="E755" s="12">
        <v>44912</v>
      </c>
      <c r="F755" t="s">
        <v>0</v>
      </c>
    </row>
    <row r="756" spans="1:6" x14ac:dyDescent="0.25">
      <c r="A756" s="5">
        <v>22350284</v>
      </c>
      <c r="B756" s="5" t="s">
        <v>400</v>
      </c>
      <c r="C756" s="5" t="s">
        <v>18</v>
      </c>
      <c r="D756" s="6">
        <v>44885</v>
      </c>
      <c r="E756" s="12">
        <v>44912</v>
      </c>
      <c r="F756" t="s">
        <v>0</v>
      </c>
    </row>
    <row r="757" spans="1:6" x14ac:dyDescent="0.25">
      <c r="A757" s="5">
        <v>22350285</v>
      </c>
      <c r="B757" s="5" t="s">
        <v>401</v>
      </c>
      <c r="C757" s="5" t="s">
        <v>12</v>
      </c>
      <c r="D757" s="6">
        <v>44885</v>
      </c>
      <c r="E757" s="12">
        <v>44912</v>
      </c>
      <c r="F757" t="s">
        <v>0</v>
      </c>
    </row>
    <row r="758" spans="1:6" x14ac:dyDescent="0.25">
      <c r="A758" s="5">
        <v>22350286</v>
      </c>
      <c r="B758" s="5" t="s">
        <v>400</v>
      </c>
      <c r="C758" s="5" t="s">
        <v>24</v>
      </c>
      <c r="D758" s="6">
        <v>44900</v>
      </c>
      <c r="E758" s="12">
        <v>44912</v>
      </c>
      <c r="F758" t="s">
        <v>0</v>
      </c>
    </row>
    <row r="759" spans="1:6" x14ac:dyDescent="0.25">
      <c r="A759" s="5">
        <v>22350287</v>
      </c>
      <c r="B759" s="5" t="s">
        <v>401</v>
      </c>
      <c r="C759" s="5" t="s">
        <v>12</v>
      </c>
      <c r="D759" s="6">
        <v>44864</v>
      </c>
      <c r="E759" s="12">
        <v>44912</v>
      </c>
      <c r="F759" t="s">
        <v>0</v>
      </c>
    </row>
    <row r="760" spans="1:6" x14ac:dyDescent="0.25">
      <c r="A760" s="5">
        <v>22350288</v>
      </c>
      <c r="B760" s="5" t="s">
        <v>401</v>
      </c>
      <c r="C760" s="5" t="s">
        <v>12</v>
      </c>
      <c r="D760" s="6">
        <v>44834</v>
      </c>
      <c r="E760" s="12">
        <v>44912</v>
      </c>
      <c r="F760" t="s">
        <v>0</v>
      </c>
    </row>
    <row r="761" spans="1:6" x14ac:dyDescent="0.25">
      <c r="A761" s="5">
        <v>22350289</v>
      </c>
      <c r="B761" s="5" t="s">
        <v>400</v>
      </c>
      <c r="C761" s="5" t="s">
        <v>12</v>
      </c>
      <c r="D761" s="6">
        <v>44880</v>
      </c>
      <c r="E761" s="12">
        <v>44912</v>
      </c>
      <c r="F761" t="s">
        <v>0</v>
      </c>
    </row>
    <row r="762" spans="1:6" x14ac:dyDescent="0.25">
      <c r="A762" s="5">
        <v>22350290</v>
      </c>
      <c r="B762" s="5" t="s">
        <v>400</v>
      </c>
      <c r="C762" s="5" t="s">
        <v>18</v>
      </c>
      <c r="D762" s="6">
        <v>44844</v>
      </c>
      <c r="E762" s="12">
        <v>44916</v>
      </c>
      <c r="F762" t="s">
        <v>2</v>
      </c>
    </row>
    <row r="763" spans="1:6" x14ac:dyDescent="0.25">
      <c r="A763" s="5">
        <v>22350291</v>
      </c>
      <c r="B763" s="5" t="s">
        <v>400</v>
      </c>
      <c r="C763" s="5" t="s">
        <v>12</v>
      </c>
      <c r="D763" s="6">
        <v>44844</v>
      </c>
      <c r="E763" s="12">
        <v>44916</v>
      </c>
      <c r="F763" t="s">
        <v>2</v>
      </c>
    </row>
    <row r="764" spans="1:6" x14ac:dyDescent="0.25">
      <c r="A764" s="5">
        <v>22350292</v>
      </c>
      <c r="B764" s="5" t="s">
        <v>401</v>
      </c>
      <c r="C764" s="5" t="s">
        <v>12</v>
      </c>
      <c r="D764" s="6">
        <v>44844</v>
      </c>
      <c r="E764" s="12">
        <v>44916</v>
      </c>
      <c r="F764" t="s">
        <v>2</v>
      </c>
    </row>
    <row r="765" spans="1:6" x14ac:dyDescent="0.25">
      <c r="A765" s="5">
        <v>22350293</v>
      </c>
      <c r="B765" s="5" t="s">
        <v>401</v>
      </c>
      <c r="C765" s="5" t="s">
        <v>12</v>
      </c>
      <c r="D765" s="6">
        <v>44844</v>
      </c>
      <c r="E765" s="12">
        <v>44916</v>
      </c>
      <c r="F765" t="s">
        <v>2</v>
      </c>
    </row>
    <row r="766" spans="1:6" x14ac:dyDescent="0.25">
      <c r="A766" s="5">
        <v>22350294</v>
      </c>
      <c r="B766" s="5" t="s">
        <v>400</v>
      </c>
      <c r="C766" s="5" t="s">
        <v>12</v>
      </c>
      <c r="D766" s="6">
        <v>44844</v>
      </c>
      <c r="E766" s="12">
        <v>44916</v>
      </c>
      <c r="F766" t="s">
        <v>2</v>
      </c>
    </row>
    <row r="767" spans="1:6" x14ac:dyDescent="0.25">
      <c r="A767" s="5">
        <v>22350295</v>
      </c>
      <c r="B767" s="5" t="s">
        <v>401</v>
      </c>
      <c r="C767" s="5" t="s">
        <v>12</v>
      </c>
      <c r="D767" s="6">
        <v>44844</v>
      </c>
      <c r="E767" s="12">
        <v>44916</v>
      </c>
      <c r="F767" t="s">
        <v>2</v>
      </c>
    </row>
    <row r="768" spans="1:6" x14ac:dyDescent="0.25">
      <c r="A768" s="5">
        <v>22350296</v>
      </c>
      <c r="B768" s="5" t="s">
        <v>401</v>
      </c>
      <c r="C768" s="5" t="s">
        <v>12</v>
      </c>
      <c r="D768" s="6">
        <v>44844</v>
      </c>
      <c r="E768" s="12">
        <v>44916</v>
      </c>
      <c r="F768" t="s">
        <v>2</v>
      </c>
    </row>
    <row r="769" spans="1:6" x14ac:dyDescent="0.25">
      <c r="A769" s="5">
        <v>22350297</v>
      </c>
      <c r="B769" s="5" t="s">
        <v>400</v>
      </c>
      <c r="C769" s="5" t="s">
        <v>12</v>
      </c>
      <c r="D769" s="6">
        <v>44844</v>
      </c>
      <c r="E769" s="12">
        <v>44916</v>
      </c>
      <c r="F769" t="s">
        <v>2</v>
      </c>
    </row>
    <row r="770" spans="1:6" x14ac:dyDescent="0.25">
      <c r="A770" s="5">
        <v>22350298</v>
      </c>
      <c r="B770" s="5" t="s">
        <v>401</v>
      </c>
      <c r="C770" s="5" t="s">
        <v>18</v>
      </c>
      <c r="D770" s="6">
        <v>44844</v>
      </c>
      <c r="E770" s="12">
        <v>44916</v>
      </c>
      <c r="F770" t="s">
        <v>2</v>
      </c>
    </row>
    <row r="771" spans="1:6" x14ac:dyDescent="0.25">
      <c r="A771" s="5">
        <v>22350299</v>
      </c>
      <c r="B771" s="5" t="s">
        <v>401</v>
      </c>
      <c r="C771" s="5" t="s">
        <v>12</v>
      </c>
      <c r="D771" s="6">
        <v>44844</v>
      </c>
      <c r="E771" s="12">
        <v>44916</v>
      </c>
      <c r="F771" t="s">
        <v>2</v>
      </c>
    </row>
    <row r="772" spans="1:6" x14ac:dyDescent="0.25">
      <c r="A772" s="5">
        <v>22350300</v>
      </c>
      <c r="B772" s="5" t="s">
        <v>400</v>
      </c>
      <c r="C772" s="5" t="s">
        <v>12</v>
      </c>
      <c r="D772" s="6">
        <v>44844</v>
      </c>
      <c r="E772" s="12">
        <v>44916</v>
      </c>
      <c r="F772" t="s">
        <v>2</v>
      </c>
    </row>
    <row r="773" spans="1:6" x14ac:dyDescent="0.25">
      <c r="A773" s="5">
        <v>22350301</v>
      </c>
      <c r="B773" s="5" t="s">
        <v>401</v>
      </c>
      <c r="C773" s="5" t="s">
        <v>12</v>
      </c>
      <c r="D773" s="6">
        <v>44844</v>
      </c>
      <c r="E773" s="12">
        <v>44916</v>
      </c>
      <c r="F773" t="s">
        <v>2</v>
      </c>
    </row>
    <row r="774" spans="1:6" x14ac:dyDescent="0.25">
      <c r="A774" s="5">
        <v>22350302</v>
      </c>
      <c r="B774" s="5" t="s">
        <v>401</v>
      </c>
      <c r="C774" s="5" t="s">
        <v>12</v>
      </c>
      <c r="D774" s="6">
        <v>44844</v>
      </c>
      <c r="E774" s="12">
        <v>44916</v>
      </c>
      <c r="F774" t="s">
        <v>2</v>
      </c>
    </row>
    <row r="775" spans="1:6" x14ac:dyDescent="0.25">
      <c r="A775" s="5">
        <v>22350303</v>
      </c>
      <c r="B775" s="5" t="s">
        <v>401</v>
      </c>
      <c r="C775" s="5" t="s">
        <v>12</v>
      </c>
      <c r="D775" s="6">
        <v>44844</v>
      </c>
      <c r="E775" s="12">
        <v>44916</v>
      </c>
      <c r="F775" t="s">
        <v>2</v>
      </c>
    </row>
    <row r="776" spans="1:6" x14ac:dyDescent="0.25">
      <c r="A776" s="5">
        <v>22350304</v>
      </c>
      <c r="B776" s="5" t="s">
        <v>400</v>
      </c>
      <c r="C776" s="5" t="s">
        <v>12</v>
      </c>
      <c r="D776" s="6">
        <v>44844</v>
      </c>
      <c r="E776" s="12">
        <v>44916</v>
      </c>
      <c r="F776" t="s">
        <v>2</v>
      </c>
    </row>
    <row r="777" spans="1:6" x14ac:dyDescent="0.25">
      <c r="A777" s="5">
        <v>22350305</v>
      </c>
      <c r="B777" s="5" t="s">
        <v>400</v>
      </c>
      <c r="C777" s="5" t="s">
        <v>12</v>
      </c>
      <c r="D777" s="6">
        <v>44844</v>
      </c>
      <c r="E777" s="12">
        <v>44916</v>
      </c>
      <c r="F777" t="s">
        <v>2</v>
      </c>
    </row>
    <row r="778" spans="1:6" x14ac:dyDescent="0.25">
      <c r="A778" s="5">
        <v>22350306</v>
      </c>
      <c r="B778" s="5" t="s">
        <v>400</v>
      </c>
      <c r="C778" s="5" t="s">
        <v>12</v>
      </c>
      <c r="D778" s="6">
        <v>44844</v>
      </c>
      <c r="E778" s="12">
        <v>44916</v>
      </c>
      <c r="F778" t="s">
        <v>2</v>
      </c>
    </row>
    <row r="779" spans="1:6" x14ac:dyDescent="0.25">
      <c r="A779" s="5">
        <v>22350307</v>
      </c>
      <c r="B779" s="5" t="s">
        <v>401</v>
      </c>
      <c r="C779" s="5" t="s">
        <v>12</v>
      </c>
      <c r="D779" s="6">
        <v>44844</v>
      </c>
      <c r="E779" s="12">
        <v>44916</v>
      </c>
      <c r="F779" t="s">
        <v>2</v>
      </c>
    </row>
    <row r="780" spans="1:6" x14ac:dyDescent="0.25">
      <c r="A780" s="5">
        <v>22350308</v>
      </c>
      <c r="B780" s="5" t="s">
        <v>401</v>
      </c>
      <c r="C780" s="5" t="s">
        <v>12</v>
      </c>
      <c r="D780" s="6">
        <v>44844</v>
      </c>
      <c r="E780" s="12">
        <v>44916</v>
      </c>
      <c r="F780" t="s">
        <v>2</v>
      </c>
    </row>
    <row r="781" spans="1:6" x14ac:dyDescent="0.25">
      <c r="A781" s="5">
        <v>22350309</v>
      </c>
      <c r="B781" s="5" t="s">
        <v>400</v>
      </c>
      <c r="C781" s="5" t="s">
        <v>12</v>
      </c>
      <c r="D781" s="6">
        <v>44896</v>
      </c>
      <c r="E781" s="12">
        <v>44916</v>
      </c>
      <c r="F781" t="s">
        <v>2</v>
      </c>
    </row>
    <row r="782" spans="1:6" x14ac:dyDescent="0.25">
      <c r="A782" s="5">
        <v>22350310</v>
      </c>
      <c r="B782" s="5" t="s">
        <v>400</v>
      </c>
      <c r="C782" s="5" t="s">
        <v>12</v>
      </c>
      <c r="D782" s="6">
        <v>44844</v>
      </c>
      <c r="E782" s="12">
        <v>44916</v>
      </c>
      <c r="F782" t="s">
        <v>2</v>
      </c>
    </row>
    <row r="783" spans="1:6" x14ac:dyDescent="0.25">
      <c r="A783" s="5">
        <v>22350311</v>
      </c>
      <c r="B783" s="5" t="s">
        <v>401</v>
      </c>
      <c r="C783" s="5" t="s">
        <v>12</v>
      </c>
      <c r="D783" s="6">
        <v>44844</v>
      </c>
      <c r="E783" s="12">
        <v>44916</v>
      </c>
      <c r="F783" t="s">
        <v>2</v>
      </c>
    </row>
    <row r="784" spans="1:6" x14ac:dyDescent="0.25">
      <c r="A784" s="5">
        <v>22350312</v>
      </c>
      <c r="B784" s="5" t="s">
        <v>400</v>
      </c>
      <c r="C784" s="5" t="s">
        <v>12</v>
      </c>
      <c r="D784" s="6">
        <v>44844</v>
      </c>
      <c r="E784" s="12">
        <v>44916</v>
      </c>
      <c r="F784" t="s">
        <v>2</v>
      </c>
    </row>
    <row r="785" spans="1:6" x14ac:dyDescent="0.25">
      <c r="A785" s="5">
        <v>22350313</v>
      </c>
      <c r="B785" s="5" t="s">
        <v>401</v>
      </c>
      <c r="C785" s="5" t="s">
        <v>18</v>
      </c>
      <c r="D785" s="6">
        <v>44844</v>
      </c>
      <c r="E785" s="12">
        <v>44916</v>
      </c>
      <c r="F785" t="s">
        <v>2</v>
      </c>
    </row>
    <row r="786" spans="1:6" x14ac:dyDescent="0.25">
      <c r="A786" s="5">
        <v>22350314</v>
      </c>
      <c r="B786" s="5" t="s">
        <v>400</v>
      </c>
      <c r="C786" s="5" t="s">
        <v>12</v>
      </c>
      <c r="D786" s="6">
        <v>44844</v>
      </c>
      <c r="E786" s="12">
        <v>44916</v>
      </c>
      <c r="F786" t="s">
        <v>2</v>
      </c>
    </row>
    <row r="787" spans="1:6" x14ac:dyDescent="0.25">
      <c r="A787" s="5">
        <v>22350315</v>
      </c>
      <c r="B787" s="5" t="s">
        <v>401</v>
      </c>
      <c r="C787" s="5" t="s">
        <v>12</v>
      </c>
      <c r="D787" s="6">
        <v>44844</v>
      </c>
      <c r="E787" s="12">
        <v>44916</v>
      </c>
      <c r="F787" t="s">
        <v>2</v>
      </c>
    </row>
    <row r="788" spans="1:6" x14ac:dyDescent="0.25">
      <c r="A788" s="5">
        <v>22350316</v>
      </c>
      <c r="B788" s="5" t="s">
        <v>400</v>
      </c>
      <c r="C788" s="5" t="s">
        <v>12</v>
      </c>
      <c r="D788" s="6">
        <v>44844</v>
      </c>
      <c r="E788" s="12">
        <v>44916</v>
      </c>
      <c r="F788" t="s">
        <v>2</v>
      </c>
    </row>
    <row r="789" spans="1:6" x14ac:dyDescent="0.25">
      <c r="A789" s="5">
        <v>22350317</v>
      </c>
      <c r="B789" s="5" t="s">
        <v>401</v>
      </c>
      <c r="C789" s="5" t="s">
        <v>12</v>
      </c>
      <c r="D789" s="6">
        <v>44844</v>
      </c>
      <c r="E789" s="12">
        <v>44916</v>
      </c>
      <c r="F789" t="s">
        <v>2</v>
      </c>
    </row>
    <row r="790" spans="1:6" x14ac:dyDescent="0.25">
      <c r="A790" s="5">
        <v>22350318</v>
      </c>
      <c r="B790" s="5" t="s">
        <v>401</v>
      </c>
      <c r="C790" s="5" t="s">
        <v>12</v>
      </c>
      <c r="D790" s="6">
        <v>44900</v>
      </c>
      <c r="E790" s="12">
        <v>44916</v>
      </c>
      <c r="F790" t="s">
        <v>2</v>
      </c>
    </row>
    <row r="791" spans="1:6" x14ac:dyDescent="0.25">
      <c r="A791" s="5">
        <v>22350319</v>
      </c>
      <c r="B791" s="5" t="s">
        <v>401</v>
      </c>
      <c r="C791" s="5" t="s">
        <v>12</v>
      </c>
      <c r="D791" s="6">
        <v>44844</v>
      </c>
      <c r="E791" s="12">
        <v>44916</v>
      </c>
      <c r="F791" t="s">
        <v>2</v>
      </c>
    </row>
    <row r="792" spans="1:6" x14ac:dyDescent="0.25">
      <c r="A792" s="5">
        <v>22350320</v>
      </c>
      <c r="B792" s="5" t="s">
        <v>400</v>
      </c>
      <c r="C792" s="5" t="s">
        <v>12</v>
      </c>
      <c r="D792" s="6">
        <v>44844</v>
      </c>
      <c r="E792" s="12">
        <v>44916</v>
      </c>
      <c r="F792" t="s">
        <v>2</v>
      </c>
    </row>
    <row r="793" spans="1:6" x14ac:dyDescent="0.25">
      <c r="A793" s="5">
        <v>22350321</v>
      </c>
      <c r="B793" s="5" t="s">
        <v>400</v>
      </c>
      <c r="C793" s="5" t="s">
        <v>12</v>
      </c>
      <c r="D793" s="6">
        <v>44844</v>
      </c>
      <c r="E793" s="12">
        <v>44916</v>
      </c>
      <c r="F793" t="s">
        <v>2</v>
      </c>
    </row>
    <row r="794" spans="1:6" x14ac:dyDescent="0.25">
      <c r="A794" s="5">
        <v>22350322</v>
      </c>
      <c r="B794" s="5" t="s">
        <v>400</v>
      </c>
      <c r="C794" s="5" t="s">
        <v>18</v>
      </c>
      <c r="D794" s="6">
        <v>44844</v>
      </c>
      <c r="E794" s="12">
        <v>44916</v>
      </c>
      <c r="F794" t="s">
        <v>2</v>
      </c>
    </row>
    <row r="795" spans="1:6" x14ac:dyDescent="0.25">
      <c r="A795" s="5">
        <v>22350323</v>
      </c>
      <c r="B795" s="5" t="s">
        <v>400</v>
      </c>
      <c r="C795" s="5" t="s">
        <v>12</v>
      </c>
      <c r="D795" s="6">
        <v>44844</v>
      </c>
      <c r="E795" s="12">
        <v>44916</v>
      </c>
      <c r="F795" t="s">
        <v>2</v>
      </c>
    </row>
    <row r="796" spans="1:6" x14ac:dyDescent="0.25">
      <c r="A796" s="5">
        <v>22350324</v>
      </c>
      <c r="B796" s="5" t="s">
        <v>401</v>
      </c>
      <c r="C796" s="5" t="s">
        <v>18</v>
      </c>
      <c r="D796" s="6">
        <v>44844</v>
      </c>
      <c r="E796" s="12">
        <v>44916</v>
      </c>
      <c r="F796" t="s">
        <v>2</v>
      </c>
    </row>
    <row r="797" spans="1:6" x14ac:dyDescent="0.25">
      <c r="A797" s="5">
        <v>22350325</v>
      </c>
      <c r="B797" s="5" t="s">
        <v>400</v>
      </c>
      <c r="C797" s="5" t="s">
        <v>12</v>
      </c>
      <c r="D797" s="6">
        <v>44844</v>
      </c>
      <c r="E797" s="12">
        <v>44916</v>
      </c>
      <c r="F797" t="s">
        <v>2</v>
      </c>
    </row>
    <row r="798" spans="1:6" x14ac:dyDescent="0.25">
      <c r="A798" s="5">
        <v>22350326</v>
      </c>
      <c r="B798" s="5" t="s">
        <v>401</v>
      </c>
      <c r="C798" s="5" t="s">
        <v>12</v>
      </c>
      <c r="D798" s="6">
        <v>44844</v>
      </c>
      <c r="E798" s="12">
        <v>44916</v>
      </c>
      <c r="F798" t="s">
        <v>2</v>
      </c>
    </row>
    <row r="799" spans="1:6" x14ac:dyDescent="0.25">
      <c r="A799" s="5">
        <v>22350327</v>
      </c>
      <c r="B799" s="5" t="s">
        <v>400</v>
      </c>
      <c r="C799" s="5" t="s">
        <v>12</v>
      </c>
      <c r="D799" s="6">
        <v>44844</v>
      </c>
      <c r="E799" s="12">
        <v>44916</v>
      </c>
      <c r="F799" t="s">
        <v>2</v>
      </c>
    </row>
    <row r="800" spans="1:6" x14ac:dyDescent="0.25">
      <c r="A800" s="5">
        <v>22350328</v>
      </c>
      <c r="B800" s="5" t="s">
        <v>401</v>
      </c>
      <c r="C800" s="5" t="s">
        <v>12</v>
      </c>
      <c r="D800" s="6">
        <v>44844</v>
      </c>
      <c r="E800" s="12">
        <v>44916</v>
      </c>
      <c r="F800" t="s">
        <v>2</v>
      </c>
    </row>
    <row r="801" spans="1:6" x14ac:dyDescent="0.25">
      <c r="A801" s="5">
        <v>22350329</v>
      </c>
      <c r="B801" s="5" t="s">
        <v>401</v>
      </c>
      <c r="C801" s="5" t="s">
        <v>12</v>
      </c>
      <c r="D801" s="6">
        <v>44844</v>
      </c>
      <c r="E801" s="12">
        <v>44916</v>
      </c>
      <c r="F801" t="s">
        <v>2</v>
      </c>
    </row>
    <row r="802" spans="1:6" x14ac:dyDescent="0.25">
      <c r="A802" s="5">
        <v>22350330</v>
      </c>
      <c r="B802" s="5" t="s">
        <v>400</v>
      </c>
      <c r="C802" s="5" t="s">
        <v>12</v>
      </c>
      <c r="D802" s="6">
        <v>44844</v>
      </c>
      <c r="E802" s="12">
        <v>44916</v>
      </c>
      <c r="F802" t="s">
        <v>2</v>
      </c>
    </row>
    <row r="803" spans="1:6" x14ac:dyDescent="0.25">
      <c r="A803" s="5">
        <v>22350331</v>
      </c>
      <c r="B803" s="5" t="s">
        <v>400</v>
      </c>
      <c r="C803" s="5" t="s">
        <v>12</v>
      </c>
      <c r="D803" s="6">
        <v>44844</v>
      </c>
      <c r="E803" s="12">
        <v>44916</v>
      </c>
      <c r="F803" t="s">
        <v>2</v>
      </c>
    </row>
    <row r="804" spans="1:6" x14ac:dyDescent="0.25">
      <c r="A804" s="5">
        <v>22350332</v>
      </c>
      <c r="B804" s="5" t="s">
        <v>401</v>
      </c>
      <c r="C804" s="5" t="s">
        <v>12</v>
      </c>
      <c r="D804" s="6">
        <v>44844</v>
      </c>
      <c r="E804" s="12">
        <v>44916</v>
      </c>
      <c r="F804" t="s">
        <v>2</v>
      </c>
    </row>
    <row r="805" spans="1:6" x14ac:dyDescent="0.25">
      <c r="A805" s="5">
        <v>22350333</v>
      </c>
      <c r="B805" s="5" t="s">
        <v>401</v>
      </c>
      <c r="C805" s="5" t="s">
        <v>12</v>
      </c>
      <c r="D805" s="6">
        <v>44844</v>
      </c>
      <c r="E805" s="12">
        <v>44916</v>
      </c>
      <c r="F805" t="s">
        <v>2</v>
      </c>
    </row>
    <row r="806" spans="1:6" x14ac:dyDescent="0.25">
      <c r="A806" s="5">
        <v>22350334</v>
      </c>
      <c r="B806" s="5" t="s">
        <v>400</v>
      </c>
      <c r="C806" s="5" t="s">
        <v>12</v>
      </c>
      <c r="D806" s="6">
        <v>44844</v>
      </c>
      <c r="E806" s="12">
        <v>44916</v>
      </c>
      <c r="F806" t="s">
        <v>2</v>
      </c>
    </row>
    <row r="807" spans="1:6" x14ac:dyDescent="0.25">
      <c r="A807" s="5">
        <v>22350335</v>
      </c>
      <c r="B807" s="5" t="s">
        <v>401</v>
      </c>
      <c r="C807" s="5" t="s">
        <v>12</v>
      </c>
      <c r="D807" s="6">
        <v>44844</v>
      </c>
      <c r="E807" s="12">
        <v>44916</v>
      </c>
      <c r="F807" t="s">
        <v>2</v>
      </c>
    </row>
    <row r="808" spans="1:6" x14ac:dyDescent="0.25">
      <c r="A808" s="5">
        <v>22350336</v>
      </c>
      <c r="B808" s="5" t="s">
        <v>401</v>
      </c>
      <c r="C808" s="5" t="s">
        <v>12</v>
      </c>
      <c r="D808" s="6">
        <v>44844</v>
      </c>
      <c r="E808" s="12">
        <v>44916</v>
      </c>
      <c r="F808" t="s">
        <v>2</v>
      </c>
    </row>
    <row r="809" spans="1:6" x14ac:dyDescent="0.25">
      <c r="A809" s="5">
        <v>22350337</v>
      </c>
      <c r="B809" s="5" t="s">
        <v>401</v>
      </c>
      <c r="C809" s="5" t="s">
        <v>12</v>
      </c>
      <c r="D809" s="6">
        <v>44844</v>
      </c>
      <c r="E809" s="12">
        <v>44916</v>
      </c>
      <c r="F809" t="s">
        <v>2</v>
      </c>
    </row>
    <row r="810" spans="1:6" x14ac:dyDescent="0.25">
      <c r="A810" s="5">
        <v>22350338</v>
      </c>
      <c r="B810" s="5" t="s">
        <v>400</v>
      </c>
      <c r="C810" s="5" t="s">
        <v>12</v>
      </c>
      <c r="D810" s="6">
        <v>44844</v>
      </c>
      <c r="E810" s="12">
        <v>44916</v>
      </c>
      <c r="F810" t="s">
        <v>2</v>
      </c>
    </row>
    <row r="811" spans="1:6" x14ac:dyDescent="0.25">
      <c r="A811" s="5">
        <v>22350339</v>
      </c>
      <c r="B811" s="5" t="s">
        <v>400</v>
      </c>
      <c r="C811" s="5" t="s">
        <v>12</v>
      </c>
      <c r="D811" s="6">
        <v>44844</v>
      </c>
      <c r="E811" s="12">
        <v>44916</v>
      </c>
      <c r="F811" t="s">
        <v>2</v>
      </c>
    </row>
    <row r="812" spans="1:6" x14ac:dyDescent="0.25">
      <c r="A812" s="5">
        <v>22350340</v>
      </c>
      <c r="B812" s="5" t="s">
        <v>401</v>
      </c>
      <c r="C812" s="5" t="s">
        <v>12</v>
      </c>
      <c r="D812" s="6">
        <v>44844</v>
      </c>
      <c r="E812" s="12">
        <v>44916</v>
      </c>
      <c r="F812" t="s">
        <v>2</v>
      </c>
    </row>
    <row r="813" spans="1:6" x14ac:dyDescent="0.25">
      <c r="A813" s="5">
        <v>22350341</v>
      </c>
      <c r="B813" s="5" t="s">
        <v>400</v>
      </c>
      <c r="C813" s="5" t="s">
        <v>12</v>
      </c>
      <c r="D813" s="6">
        <v>44844</v>
      </c>
      <c r="E813" s="12">
        <v>44916</v>
      </c>
      <c r="F813" t="s">
        <v>2</v>
      </c>
    </row>
    <row r="814" spans="1:6" x14ac:dyDescent="0.25">
      <c r="A814" s="5">
        <v>22350342</v>
      </c>
      <c r="B814" s="5" t="s">
        <v>401</v>
      </c>
      <c r="C814" s="5" t="s">
        <v>18</v>
      </c>
      <c r="D814" s="6">
        <v>44844</v>
      </c>
      <c r="E814" s="12">
        <v>44916</v>
      </c>
      <c r="F814" t="s">
        <v>2</v>
      </c>
    </row>
    <row r="815" spans="1:6" x14ac:dyDescent="0.25">
      <c r="A815" s="5">
        <v>22350343</v>
      </c>
      <c r="B815" s="5" t="s">
        <v>401</v>
      </c>
      <c r="C815" s="5" t="s">
        <v>12</v>
      </c>
      <c r="D815" s="6">
        <v>44844</v>
      </c>
      <c r="E815" s="12">
        <v>44916</v>
      </c>
      <c r="F815" t="s">
        <v>2</v>
      </c>
    </row>
    <row r="816" spans="1:6" x14ac:dyDescent="0.25">
      <c r="A816" s="5">
        <v>22350344</v>
      </c>
      <c r="B816" s="5" t="s">
        <v>400</v>
      </c>
      <c r="C816" s="5" t="s">
        <v>12</v>
      </c>
      <c r="D816" s="6">
        <v>44844</v>
      </c>
      <c r="E816" s="12">
        <v>44916</v>
      </c>
      <c r="F816" t="s">
        <v>2</v>
      </c>
    </row>
    <row r="817" spans="1:6" x14ac:dyDescent="0.25">
      <c r="A817" s="5">
        <v>22350345</v>
      </c>
      <c r="B817" s="5" t="s">
        <v>401</v>
      </c>
      <c r="C817" s="5" t="s">
        <v>12</v>
      </c>
      <c r="D817" s="6">
        <v>44844</v>
      </c>
      <c r="E817" s="12">
        <v>44916</v>
      </c>
      <c r="F817" t="s">
        <v>2</v>
      </c>
    </row>
    <row r="818" spans="1:6" x14ac:dyDescent="0.25">
      <c r="A818" s="5">
        <v>22350346</v>
      </c>
      <c r="B818" s="5" t="s">
        <v>400</v>
      </c>
      <c r="C818" s="5" t="s">
        <v>12</v>
      </c>
      <c r="D818" s="6">
        <v>44844</v>
      </c>
      <c r="E818" s="12">
        <v>44916</v>
      </c>
      <c r="F818" t="s">
        <v>2</v>
      </c>
    </row>
    <row r="819" spans="1:6" x14ac:dyDescent="0.25">
      <c r="A819" s="5">
        <v>22350347</v>
      </c>
      <c r="B819" s="5" t="s">
        <v>400</v>
      </c>
      <c r="C819" s="5" t="s">
        <v>12</v>
      </c>
      <c r="D819" s="6">
        <v>44844</v>
      </c>
      <c r="E819" s="12">
        <v>44916</v>
      </c>
      <c r="F819" t="s">
        <v>2</v>
      </c>
    </row>
    <row r="820" spans="1:6" x14ac:dyDescent="0.25">
      <c r="A820" s="5">
        <v>22350348</v>
      </c>
      <c r="B820" s="5" t="s">
        <v>401</v>
      </c>
      <c r="C820" s="5" t="s">
        <v>12</v>
      </c>
      <c r="D820" s="6">
        <v>44844</v>
      </c>
      <c r="E820" s="12">
        <v>44916</v>
      </c>
      <c r="F820" t="s">
        <v>2</v>
      </c>
    </row>
    <row r="821" spans="1:6" x14ac:dyDescent="0.25">
      <c r="A821" s="5">
        <v>22350349</v>
      </c>
      <c r="B821" s="5" t="s">
        <v>400</v>
      </c>
      <c r="C821" s="5" t="s">
        <v>12</v>
      </c>
      <c r="D821" s="6">
        <v>44844</v>
      </c>
      <c r="E821" s="12">
        <v>44916</v>
      </c>
      <c r="F821" t="s">
        <v>2</v>
      </c>
    </row>
    <row r="822" spans="1:6" x14ac:dyDescent="0.25">
      <c r="A822" s="5">
        <v>22350350</v>
      </c>
      <c r="B822" s="5" t="s">
        <v>401</v>
      </c>
      <c r="C822" s="5" t="s">
        <v>12</v>
      </c>
      <c r="D822" s="6">
        <v>44844</v>
      </c>
      <c r="E822" s="12">
        <v>44916</v>
      </c>
      <c r="F822" t="s">
        <v>2</v>
      </c>
    </row>
    <row r="823" spans="1:6" x14ac:dyDescent="0.25">
      <c r="A823" s="5">
        <v>22350351</v>
      </c>
      <c r="B823" s="5" t="s">
        <v>401</v>
      </c>
      <c r="C823" s="5" t="s">
        <v>12</v>
      </c>
      <c r="D823" s="6">
        <v>44906</v>
      </c>
      <c r="E823" s="12">
        <v>44916</v>
      </c>
      <c r="F823" t="s">
        <v>2</v>
      </c>
    </row>
    <row r="824" spans="1:6" x14ac:dyDescent="0.25">
      <c r="A824" s="5">
        <v>22350352</v>
      </c>
      <c r="B824" s="5" t="s">
        <v>400</v>
      </c>
      <c r="C824" s="5" t="s">
        <v>12</v>
      </c>
      <c r="D824" s="6">
        <v>44844</v>
      </c>
      <c r="E824" s="12">
        <v>44916</v>
      </c>
      <c r="F824" t="s">
        <v>2</v>
      </c>
    </row>
    <row r="825" spans="1:6" x14ac:dyDescent="0.25">
      <c r="A825" s="5">
        <v>22350353</v>
      </c>
      <c r="B825" s="5" t="s">
        <v>400</v>
      </c>
      <c r="C825" s="5" t="s">
        <v>12</v>
      </c>
      <c r="D825" s="6">
        <v>44844</v>
      </c>
      <c r="E825" s="12">
        <v>44916</v>
      </c>
      <c r="F825" t="s">
        <v>2</v>
      </c>
    </row>
    <row r="826" spans="1:6" x14ac:dyDescent="0.25">
      <c r="A826" s="5">
        <v>22350354</v>
      </c>
      <c r="B826" s="5" t="s">
        <v>400</v>
      </c>
      <c r="C826" s="5" t="s">
        <v>12</v>
      </c>
      <c r="D826" s="6">
        <v>44844</v>
      </c>
      <c r="E826" s="12">
        <v>44916</v>
      </c>
      <c r="F826" t="s">
        <v>2</v>
      </c>
    </row>
    <row r="827" spans="1:6" x14ac:dyDescent="0.25">
      <c r="A827" s="5">
        <v>22350355</v>
      </c>
      <c r="B827" s="5" t="s">
        <v>401</v>
      </c>
      <c r="C827" s="5" t="s">
        <v>12</v>
      </c>
      <c r="D827" s="6">
        <v>44844</v>
      </c>
      <c r="E827" s="12">
        <v>44916</v>
      </c>
      <c r="F827" t="s">
        <v>2</v>
      </c>
    </row>
    <row r="828" spans="1:6" x14ac:dyDescent="0.25">
      <c r="A828" s="5">
        <v>22350356</v>
      </c>
      <c r="B828" s="5" t="s">
        <v>401</v>
      </c>
      <c r="C828" s="5" t="s">
        <v>12</v>
      </c>
      <c r="D828" s="6">
        <v>44844</v>
      </c>
      <c r="E828" s="12">
        <v>44916</v>
      </c>
      <c r="F828" t="s">
        <v>2</v>
      </c>
    </row>
    <row r="829" spans="1:6" x14ac:dyDescent="0.25">
      <c r="A829" s="5">
        <v>22350357</v>
      </c>
      <c r="B829" s="5" t="s">
        <v>401</v>
      </c>
      <c r="C829" s="5" t="s">
        <v>12</v>
      </c>
      <c r="D829" s="6">
        <v>44844</v>
      </c>
      <c r="E829" s="12">
        <v>44916</v>
      </c>
      <c r="F829" t="s">
        <v>2</v>
      </c>
    </row>
    <row r="830" spans="1:6" x14ac:dyDescent="0.25">
      <c r="A830" s="5">
        <v>22350358</v>
      </c>
      <c r="B830" s="5" t="s">
        <v>400</v>
      </c>
      <c r="C830" s="5" t="s">
        <v>12</v>
      </c>
      <c r="D830" s="6">
        <v>44844</v>
      </c>
      <c r="E830" s="12">
        <v>44916</v>
      </c>
      <c r="F830" t="s">
        <v>2</v>
      </c>
    </row>
    <row r="831" spans="1:6" x14ac:dyDescent="0.25">
      <c r="A831" s="5">
        <v>22350359</v>
      </c>
      <c r="B831" s="5" t="s">
        <v>401</v>
      </c>
      <c r="C831" s="5" t="s">
        <v>12</v>
      </c>
      <c r="D831" s="6">
        <v>44844</v>
      </c>
      <c r="E831" s="12">
        <v>44916</v>
      </c>
      <c r="F831" t="s">
        <v>2</v>
      </c>
    </row>
    <row r="832" spans="1:6" x14ac:dyDescent="0.25">
      <c r="A832" s="5">
        <v>22350360</v>
      </c>
      <c r="B832" s="5" t="s">
        <v>401</v>
      </c>
      <c r="C832" s="5" t="s">
        <v>12</v>
      </c>
      <c r="D832" s="6">
        <v>44844</v>
      </c>
      <c r="E832" s="12">
        <v>44916</v>
      </c>
      <c r="F832" t="s">
        <v>2</v>
      </c>
    </row>
    <row r="833" spans="1:6" x14ac:dyDescent="0.25">
      <c r="A833" s="5">
        <v>22350361</v>
      </c>
      <c r="B833" s="5" t="s">
        <v>400</v>
      </c>
      <c r="C833" s="5" t="s">
        <v>12</v>
      </c>
      <c r="D833" s="6">
        <v>44844</v>
      </c>
      <c r="E833" s="12">
        <v>44916</v>
      </c>
      <c r="F833" t="s">
        <v>2</v>
      </c>
    </row>
    <row r="834" spans="1:6" x14ac:dyDescent="0.25">
      <c r="A834" s="5">
        <v>22350362</v>
      </c>
      <c r="B834" s="5" t="s">
        <v>400</v>
      </c>
      <c r="C834" s="5" t="s">
        <v>12</v>
      </c>
      <c r="D834" s="6">
        <v>44844</v>
      </c>
      <c r="E834" s="12">
        <v>44916</v>
      </c>
      <c r="F834" t="s">
        <v>2</v>
      </c>
    </row>
    <row r="835" spans="1:6" x14ac:dyDescent="0.25">
      <c r="A835" s="5">
        <v>22350363</v>
      </c>
      <c r="B835" s="5" t="s">
        <v>400</v>
      </c>
      <c r="C835" s="5" t="s">
        <v>12</v>
      </c>
      <c r="D835" s="6">
        <v>44844</v>
      </c>
      <c r="E835" s="12">
        <v>44916</v>
      </c>
      <c r="F835" t="s">
        <v>2</v>
      </c>
    </row>
    <row r="836" spans="1:6" x14ac:dyDescent="0.25">
      <c r="A836" s="5">
        <v>22350364</v>
      </c>
      <c r="B836" s="5" t="s">
        <v>400</v>
      </c>
      <c r="C836" s="5" t="s">
        <v>12</v>
      </c>
      <c r="D836" s="6">
        <v>44844</v>
      </c>
      <c r="E836" s="12">
        <v>44916</v>
      </c>
      <c r="F836" t="s">
        <v>2</v>
      </c>
    </row>
    <row r="837" spans="1:6" x14ac:dyDescent="0.25">
      <c r="A837" s="5">
        <v>22350365</v>
      </c>
      <c r="B837" s="5" t="s">
        <v>400</v>
      </c>
      <c r="C837" s="5" t="s">
        <v>12</v>
      </c>
      <c r="D837" s="6">
        <v>44844</v>
      </c>
      <c r="E837" s="12">
        <v>44916</v>
      </c>
      <c r="F837" t="s">
        <v>2</v>
      </c>
    </row>
    <row r="838" spans="1:6" x14ac:dyDescent="0.25">
      <c r="A838" s="5">
        <v>22350366</v>
      </c>
      <c r="B838" s="5" t="s">
        <v>401</v>
      </c>
      <c r="C838" s="5" t="s">
        <v>12</v>
      </c>
      <c r="D838" s="6">
        <v>44844</v>
      </c>
      <c r="E838" s="12">
        <v>44916</v>
      </c>
      <c r="F838" t="s">
        <v>2</v>
      </c>
    </row>
    <row r="839" spans="1:6" x14ac:dyDescent="0.25">
      <c r="A839" s="5">
        <v>22350367</v>
      </c>
      <c r="B839" s="5" t="s">
        <v>400</v>
      </c>
      <c r="C839" s="5" t="s">
        <v>18</v>
      </c>
      <c r="D839" s="6">
        <v>44844</v>
      </c>
      <c r="E839" s="12">
        <v>44916</v>
      </c>
      <c r="F839" t="s">
        <v>2</v>
      </c>
    </row>
    <row r="840" spans="1:6" x14ac:dyDescent="0.25">
      <c r="A840" s="5">
        <v>22350368</v>
      </c>
      <c r="B840" s="5" t="s">
        <v>400</v>
      </c>
      <c r="C840" s="5" t="s">
        <v>12</v>
      </c>
      <c r="D840" s="6">
        <v>44844</v>
      </c>
      <c r="E840" s="12">
        <v>44916</v>
      </c>
      <c r="F840" t="s">
        <v>2</v>
      </c>
    </row>
    <row r="841" spans="1:6" x14ac:dyDescent="0.25">
      <c r="A841" s="5">
        <v>22350369</v>
      </c>
      <c r="B841" s="5" t="s">
        <v>401</v>
      </c>
      <c r="C841" s="5" t="s">
        <v>12</v>
      </c>
      <c r="D841" s="6">
        <v>44844</v>
      </c>
      <c r="E841" s="12">
        <v>44916</v>
      </c>
      <c r="F841" t="s">
        <v>2</v>
      </c>
    </row>
    <row r="842" spans="1:6" x14ac:dyDescent="0.25">
      <c r="A842" s="5">
        <v>22350370</v>
      </c>
      <c r="B842" s="5" t="s">
        <v>400</v>
      </c>
      <c r="C842" s="5" t="s">
        <v>12</v>
      </c>
      <c r="D842" s="6">
        <v>44844</v>
      </c>
      <c r="E842" s="12">
        <v>44916</v>
      </c>
      <c r="F842" t="s">
        <v>2</v>
      </c>
    </row>
    <row r="843" spans="1:6" x14ac:dyDescent="0.25">
      <c r="A843" s="5">
        <v>22350371</v>
      </c>
      <c r="B843" s="5" t="s">
        <v>401</v>
      </c>
      <c r="C843" s="5" t="s">
        <v>18</v>
      </c>
      <c r="D843" s="6">
        <v>44844</v>
      </c>
      <c r="E843" s="12">
        <v>44916</v>
      </c>
      <c r="F843" t="s">
        <v>2</v>
      </c>
    </row>
    <row r="844" spans="1:6" x14ac:dyDescent="0.25">
      <c r="A844" s="5">
        <v>22350372</v>
      </c>
      <c r="B844" s="5" t="s">
        <v>401</v>
      </c>
      <c r="C844" s="5" t="s">
        <v>12</v>
      </c>
      <c r="D844" s="6">
        <v>44844</v>
      </c>
      <c r="E844" s="12">
        <v>44916</v>
      </c>
      <c r="F844" t="s">
        <v>2</v>
      </c>
    </row>
    <row r="845" spans="1:6" x14ac:dyDescent="0.25">
      <c r="A845" s="5">
        <v>22350373</v>
      </c>
      <c r="B845" s="5" t="s">
        <v>401</v>
      </c>
      <c r="C845" s="5" t="s">
        <v>12</v>
      </c>
      <c r="D845" s="6">
        <v>44844</v>
      </c>
      <c r="E845" s="12">
        <v>44916</v>
      </c>
      <c r="F845" t="s">
        <v>2</v>
      </c>
    </row>
    <row r="846" spans="1:6" x14ac:dyDescent="0.25">
      <c r="A846" s="5">
        <v>22350374</v>
      </c>
      <c r="B846" s="5" t="s">
        <v>401</v>
      </c>
      <c r="C846" s="5" t="s">
        <v>12</v>
      </c>
      <c r="D846" s="6">
        <v>44844</v>
      </c>
      <c r="E846" s="12">
        <v>44916</v>
      </c>
      <c r="F846" t="s">
        <v>2</v>
      </c>
    </row>
    <row r="847" spans="1:6" x14ac:dyDescent="0.25">
      <c r="A847" s="5">
        <v>22350375</v>
      </c>
      <c r="B847" s="5" t="s">
        <v>400</v>
      </c>
      <c r="C847" s="5" t="s">
        <v>12</v>
      </c>
      <c r="D847" s="6">
        <v>44844</v>
      </c>
      <c r="E847" s="12">
        <v>44916</v>
      </c>
      <c r="F847" t="s">
        <v>2</v>
      </c>
    </row>
    <row r="848" spans="1:6" x14ac:dyDescent="0.25">
      <c r="A848" s="5">
        <v>22350376</v>
      </c>
      <c r="B848" s="5" t="s">
        <v>401</v>
      </c>
      <c r="C848" s="5" t="s">
        <v>12</v>
      </c>
      <c r="D848" s="6">
        <v>44844</v>
      </c>
      <c r="E848" s="12">
        <v>44916</v>
      </c>
      <c r="F848" t="s">
        <v>2</v>
      </c>
    </row>
    <row r="849" spans="1:6" x14ac:dyDescent="0.25">
      <c r="A849" s="5">
        <v>22350377</v>
      </c>
      <c r="B849" s="5" t="s">
        <v>400</v>
      </c>
      <c r="C849" s="5" t="s">
        <v>12</v>
      </c>
      <c r="D849" s="6">
        <v>44844</v>
      </c>
      <c r="E849" s="12">
        <v>44916</v>
      </c>
      <c r="F849" t="s">
        <v>2</v>
      </c>
    </row>
    <row r="850" spans="1:6" x14ac:dyDescent="0.25">
      <c r="A850" s="5">
        <v>22350378</v>
      </c>
      <c r="B850" s="5" t="s">
        <v>400</v>
      </c>
      <c r="C850" s="5" t="s">
        <v>12</v>
      </c>
      <c r="D850" s="6">
        <v>44844</v>
      </c>
      <c r="E850" s="12">
        <v>44916</v>
      </c>
      <c r="F850" t="s">
        <v>2</v>
      </c>
    </row>
    <row r="851" spans="1:6" x14ac:dyDescent="0.25">
      <c r="A851" s="5">
        <v>22350379</v>
      </c>
      <c r="B851" s="5" t="s">
        <v>401</v>
      </c>
      <c r="C851" s="5" t="s">
        <v>12</v>
      </c>
      <c r="D851" s="6">
        <v>44844</v>
      </c>
      <c r="E851" s="12">
        <v>44916</v>
      </c>
      <c r="F851" t="s">
        <v>2</v>
      </c>
    </row>
    <row r="852" spans="1:6" x14ac:dyDescent="0.25">
      <c r="A852" s="5">
        <v>22350380</v>
      </c>
      <c r="B852" s="5" t="s">
        <v>400</v>
      </c>
      <c r="C852" s="5" t="s">
        <v>12</v>
      </c>
      <c r="D852" s="6">
        <v>44844</v>
      </c>
      <c r="E852" s="12">
        <v>44916</v>
      </c>
      <c r="F852" t="s">
        <v>2</v>
      </c>
    </row>
    <row r="853" spans="1:6" x14ac:dyDescent="0.25">
      <c r="A853" s="5">
        <v>22350381</v>
      </c>
      <c r="B853" s="5" t="s">
        <v>401</v>
      </c>
      <c r="C853" s="5" t="s">
        <v>12</v>
      </c>
      <c r="D853" s="6">
        <v>44844</v>
      </c>
      <c r="E853" s="12">
        <v>44916</v>
      </c>
      <c r="F853" t="s">
        <v>2</v>
      </c>
    </row>
    <row r="854" spans="1:6" x14ac:dyDescent="0.25">
      <c r="A854" s="5">
        <v>22350382</v>
      </c>
      <c r="B854" s="5" t="s">
        <v>400</v>
      </c>
      <c r="C854" s="5" t="s">
        <v>12</v>
      </c>
      <c r="D854" s="6">
        <v>44844</v>
      </c>
      <c r="E854" s="12">
        <v>44916</v>
      </c>
      <c r="F854" t="s">
        <v>2</v>
      </c>
    </row>
    <row r="855" spans="1:6" x14ac:dyDescent="0.25">
      <c r="A855" s="5">
        <v>22350383</v>
      </c>
      <c r="B855" s="5" t="s">
        <v>401</v>
      </c>
      <c r="C855" s="5" t="s">
        <v>12</v>
      </c>
      <c r="D855" s="6">
        <v>44844</v>
      </c>
      <c r="E855" s="12">
        <v>44916</v>
      </c>
      <c r="F855" t="s">
        <v>2</v>
      </c>
    </row>
    <row r="856" spans="1:6" x14ac:dyDescent="0.25">
      <c r="A856" s="5">
        <v>22350384</v>
      </c>
      <c r="B856" s="5" t="s">
        <v>401</v>
      </c>
      <c r="C856" s="5" t="s">
        <v>18</v>
      </c>
      <c r="D856" s="6">
        <v>44844</v>
      </c>
      <c r="E856" s="12">
        <v>44916</v>
      </c>
      <c r="F856" t="s">
        <v>2</v>
      </c>
    </row>
    <row r="857" spans="1:6" x14ac:dyDescent="0.25">
      <c r="A857" s="5">
        <v>22350385</v>
      </c>
      <c r="B857" s="5" t="s">
        <v>400</v>
      </c>
      <c r="C857" s="5" t="s">
        <v>12</v>
      </c>
      <c r="D857" s="6">
        <v>44844</v>
      </c>
      <c r="E857" s="12">
        <v>44916</v>
      </c>
      <c r="F857" t="s">
        <v>2</v>
      </c>
    </row>
    <row r="858" spans="1:6" x14ac:dyDescent="0.25">
      <c r="A858" s="5">
        <v>22350386</v>
      </c>
      <c r="B858" s="5" t="s">
        <v>400</v>
      </c>
      <c r="C858" s="5" t="s">
        <v>12</v>
      </c>
      <c r="D858" s="6">
        <v>44844</v>
      </c>
      <c r="E858" s="12">
        <v>44916</v>
      </c>
      <c r="F858" t="s">
        <v>2</v>
      </c>
    </row>
    <row r="859" spans="1:6" x14ac:dyDescent="0.25">
      <c r="A859" s="5">
        <v>22350387</v>
      </c>
      <c r="B859" s="5" t="s">
        <v>401</v>
      </c>
      <c r="C859" s="5" t="s">
        <v>12</v>
      </c>
      <c r="D859" s="6">
        <v>44844</v>
      </c>
      <c r="E859" s="12">
        <v>44916</v>
      </c>
      <c r="F859" t="s">
        <v>2</v>
      </c>
    </row>
    <row r="860" spans="1:6" x14ac:dyDescent="0.25">
      <c r="A860" s="5">
        <v>22350388</v>
      </c>
      <c r="B860" s="5" t="s">
        <v>400</v>
      </c>
      <c r="C860" s="5" t="s">
        <v>12</v>
      </c>
      <c r="D860" s="6">
        <v>44844</v>
      </c>
      <c r="E860" s="12">
        <v>44916</v>
      </c>
      <c r="F860" t="s">
        <v>2</v>
      </c>
    </row>
    <row r="861" spans="1:6" x14ac:dyDescent="0.25">
      <c r="A861" s="5">
        <v>22350389</v>
      </c>
      <c r="B861" s="5" t="s">
        <v>401</v>
      </c>
      <c r="C861" s="5" t="s">
        <v>12</v>
      </c>
      <c r="D861" s="6">
        <v>44844</v>
      </c>
      <c r="E861" s="12">
        <v>44916</v>
      </c>
      <c r="F861" t="s">
        <v>2</v>
      </c>
    </row>
    <row r="862" spans="1:6" x14ac:dyDescent="0.25">
      <c r="A862" s="5">
        <v>22350390</v>
      </c>
      <c r="B862" s="5" t="s">
        <v>400</v>
      </c>
      <c r="C862" s="5" t="s">
        <v>18</v>
      </c>
      <c r="D862" s="6">
        <v>44844</v>
      </c>
      <c r="E862" s="12">
        <v>44916</v>
      </c>
      <c r="F862" t="s">
        <v>2</v>
      </c>
    </row>
    <row r="863" spans="1:6" x14ac:dyDescent="0.25">
      <c r="A863" s="5">
        <v>22350391</v>
      </c>
      <c r="B863" s="5" t="s">
        <v>401</v>
      </c>
      <c r="C863" s="5" t="s">
        <v>18</v>
      </c>
      <c r="D863" s="6">
        <v>44844</v>
      </c>
      <c r="E863" s="12">
        <v>44916</v>
      </c>
      <c r="F863" t="s">
        <v>2</v>
      </c>
    </row>
    <row r="864" spans="1:6" x14ac:dyDescent="0.25">
      <c r="A864" s="5">
        <v>22350392</v>
      </c>
      <c r="B864" s="5" t="s">
        <v>401</v>
      </c>
      <c r="C864" s="5" t="s">
        <v>12</v>
      </c>
      <c r="D864" s="6">
        <v>44844</v>
      </c>
      <c r="E864" s="12">
        <v>44916</v>
      </c>
      <c r="F864" t="s">
        <v>2</v>
      </c>
    </row>
    <row r="865" spans="1:6" x14ac:dyDescent="0.25">
      <c r="A865" s="5">
        <v>22350393</v>
      </c>
      <c r="B865" s="5" t="s">
        <v>401</v>
      </c>
      <c r="C865" s="5" t="s">
        <v>12</v>
      </c>
      <c r="D865" s="6">
        <v>44844</v>
      </c>
      <c r="E865" s="12">
        <v>44916</v>
      </c>
      <c r="F865" t="s">
        <v>2</v>
      </c>
    </row>
    <row r="866" spans="1:6" x14ac:dyDescent="0.25">
      <c r="A866" s="5">
        <v>22350394</v>
      </c>
      <c r="B866" s="5" t="s">
        <v>400</v>
      </c>
      <c r="C866" s="5" t="s">
        <v>12</v>
      </c>
      <c r="D866" s="6">
        <v>44844</v>
      </c>
      <c r="E866" s="12">
        <v>44916</v>
      </c>
      <c r="F866" t="s">
        <v>2</v>
      </c>
    </row>
    <row r="867" spans="1:6" x14ac:dyDescent="0.25">
      <c r="A867" s="5">
        <v>22350395</v>
      </c>
      <c r="B867" s="5" t="s">
        <v>401</v>
      </c>
      <c r="C867" s="5" t="s">
        <v>12</v>
      </c>
      <c r="D867" s="6">
        <v>44844</v>
      </c>
      <c r="E867" s="12">
        <v>44916</v>
      </c>
      <c r="F867" t="s">
        <v>2</v>
      </c>
    </row>
    <row r="868" spans="1:6" x14ac:dyDescent="0.25">
      <c r="A868" s="5">
        <v>22350396</v>
      </c>
      <c r="B868" s="5" t="s">
        <v>400</v>
      </c>
      <c r="C868" s="5" t="s">
        <v>12</v>
      </c>
      <c r="D868" s="6">
        <v>44844</v>
      </c>
      <c r="E868" s="12">
        <v>44916</v>
      </c>
      <c r="F868" t="s">
        <v>2</v>
      </c>
    </row>
    <row r="869" spans="1:6" x14ac:dyDescent="0.25">
      <c r="A869" s="5">
        <v>22350397</v>
      </c>
      <c r="B869" s="5" t="s">
        <v>400</v>
      </c>
      <c r="C869" s="5" t="s">
        <v>12</v>
      </c>
      <c r="D869" s="6">
        <v>44844</v>
      </c>
      <c r="E869" s="12">
        <v>44916</v>
      </c>
      <c r="F869" t="s">
        <v>2</v>
      </c>
    </row>
    <row r="870" spans="1:6" x14ac:dyDescent="0.25">
      <c r="A870" s="5">
        <v>22350398</v>
      </c>
      <c r="B870" s="5" t="s">
        <v>401</v>
      </c>
      <c r="C870" s="5" t="s">
        <v>12</v>
      </c>
      <c r="D870" s="6">
        <v>44844</v>
      </c>
      <c r="E870" s="12">
        <v>44916</v>
      </c>
      <c r="F870" t="s">
        <v>2</v>
      </c>
    </row>
    <row r="871" spans="1:6" x14ac:dyDescent="0.25">
      <c r="A871" s="5">
        <v>22350399</v>
      </c>
      <c r="B871" s="5" t="s">
        <v>400</v>
      </c>
      <c r="C871" s="5" t="s">
        <v>12</v>
      </c>
      <c r="D871" s="6">
        <v>44844</v>
      </c>
      <c r="E871" s="12">
        <v>44916</v>
      </c>
      <c r="F871" t="s">
        <v>2</v>
      </c>
    </row>
    <row r="872" spans="1:6" x14ac:dyDescent="0.25">
      <c r="A872" s="5">
        <v>22350400</v>
      </c>
      <c r="B872" s="5" t="s">
        <v>401</v>
      </c>
      <c r="C872" s="5" t="s">
        <v>12</v>
      </c>
      <c r="D872" s="6">
        <v>44844</v>
      </c>
      <c r="E872" s="12">
        <v>44916</v>
      </c>
      <c r="F872" t="s">
        <v>2</v>
      </c>
    </row>
    <row r="873" spans="1:6" x14ac:dyDescent="0.25">
      <c r="A873" s="5">
        <v>22350401</v>
      </c>
      <c r="B873" s="5" t="s">
        <v>401</v>
      </c>
      <c r="C873" s="5" t="s">
        <v>12</v>
      </c>
      <c r="D873" s="6">
        <v>44844</v>
      </c>
      <c r="E873" s="12">
        <v>44916</v>
      </c>
      <c r="F873" t="s">
        <v>2</v>
      </c>
    </row>
    <row r="874" spans="1:6" x14ac:dyDescent="0.25">
      <c r="A874" s="5">
        <v>22350402</v>
      </c>
      <c r="B874" s="5" t="s">
        <v>400</v>
      </c>
      <c r="C874" s="5" t="s">
        <v>12</v>
      </c>
      <c r="D874" s="6">
        <v>44854</v>
      </c>
      <c r="E874" s="12">
        <v>44923</v>
      </c>
      <c r="F874" t="s">
        <v>0</v>
      </c>
    </row>
    <row r="875" spans="1:6" x14ac:dyDescent="0.25">
      <c r="A875" s="5">
        <v>22350403</v>
      </c>
      <c r="B875" s="5" t="s">
        <v>400</v>
      </c>
      <c r="C875" s="5" t="s">
        <v>12</v>
      </c>
      <c r="D875" s="6">
        <v>44870</v>
      </c>
      <c r="E875" s="12">
        <v>44923</v>
      </c>
      <c r="F875" t="s">
        <v>0</v>
      </c>
    </row>
    <row r="876" spans="1:6" x14ac:dyDescent="0.25">
      <c r="A876" s="5">
        <v>22350404</v>
      </c>
      <c r="B876" s="5" t="s">
        <v>400</v>
      </c>
      <c r="C876" s="5" t="s">
        <v>18</v>
      </c>
      <c r="D876" s="6">
        <v>44844</v>
      </c>
      <c r="E876" s="12">
        <v>44923</v>
      </c>
      <c r="F876" t="s">
        <v>0</v>
      </c>
    </row>
    <row r="877" spans="1:6" x14ac:dyDescent="0.25">
      <c r="A877" s="5">
        <v>22350405</v>
      </c>
      <c r="B877" s="5" t="s">
        <v>400</v>
      </c>
      <c r="C877" s="5" t="s">
        <v>12</v>
      </c>
      <c r="D877" s="6">
        <v>44870</v>
      </c>
      <c r="E877" s="12">
        <v>44923</v>
      </c>
      <c r="F877" t="s">
        <v>0</v>
      </c>
    </row>
    <row r="878" spans="1:6" x14ac:dyDescent="0.25">
      <c r="A878" s="5">
        <v>22350406</v>
      </c>
      <c r="B878" s="5" t="s">
        <v>400</v>
      </c>
      <c r="C878" s="5" t="s">
        <v>12</v>
      </c>
      <c r="D878" s="6">
        <v>44864</v>
      </c>
      <c r="E878" s="12">
        <v>44950</v>
      </c>
      <c r="F878" t="s">
        <v>0</v>
      </c>
    </row>
    <row r="879" spans="1:6" x14ac:dyDescent="0.25">
      <c r="A879" s="5">
        <v>22350407</v>
      </c>
      <c r="B879" s="5" t="s">
        <v>401</v>
      </c>
      <c r="C879" s="5" t="s">
        <v>12</v>
      </c>
      <c r="D879" s="6">
        <v>44834</v>
      </c>
      <c r="E879" s="12">
        <v>44950</v>
      </c>
      <c r="F879" t="s">
        <v>0</v>
      </c>
    </row>
    <row r="880" spans="1:6" x14ac:dyDescent="0.25">
      <c r="A880" s="5">
        <v>22350408</v>
      </c>
      <c r="B880" s="5" t="s">
        <v>400</v>
      </c>
      <c r="C880" s="5" t="s">
        <v>12</v>
      </c>
      <c r="D880" s="6">
        <v>44870</v>
      </c>
      <c r="E880" s="12">
        <v>44950</v>
      </c>
      <c r="F880" t="s">
        <v>0</v>
      </c>
    </row>
    <row r="881" spans="1:6" x14ac:dyDescent="0.25">
      <c r="A881" s="5">
        <v>22350409</v>
      </c>
      <c r="B881" s="5" t="s">
        <v>400</v>
      </c>
      <c r="C881" s="5" t="s">
        <v>12</v>
      </c>
      <c r="D881" s="6">
        <v>44864</v>
      </c>
      <c r="E881" s="12">
        <v>44950</v>
      </c>
      <c r="F881" t="s">
        <v>0</v>
      </c>
    </row>
    <row r="882" spans="1:6" x14ac:dyDescent="0.25">
      <c r="A882" s="5">
        <v>22350410</v>
      </c>
      <c r="B882" s="5" t="s">
        <v>401</v>
      </c>
      <c r="C882" s="5" t="s">
        <v>12</v>
      </c>
      <c r="D882" s="6">
        <v>44764</v>
      </c>
      <c r="E882" s="12">
        <v>44978</v>
      </c>
      <c r="F882" t="s">
        <v>2</v>
      </c>
    </row>
    <row r="883" spans="1:6" x14ac:dyDescent="0.25">
      <c r="A883" s="5">
        <v>22350411</v>
      </c>
      <c r="B883" s="5" t="s">
        <v>400</v>
      </c>
      <c r="C883" s="5" t="s">
        <v>12</v>
      </c>
      <c r="D883" s="6">
        <v>44895</v>
      </c>
      <c r="E883" s="12">
        <v>45058</v>
      </c>
      <c r="F883" t="s">
        <v>2</v>
      </c>
    </row>
    <row r="884" spans="1:6" x14ac:dyDescent="0.25">
      <c r="A884" s="5">
        <v>22350412</v>
      </c>
      <c r="B884" s="5" t="s">
        <v>400</v>
      </c>
      <c r="C884" s="5" t="s">
        <v>12</v>
      </c>
      <c r="D884" s="6">
        <v>44895</v>
      </c>
      <c r="E884" s="12">
        <v>45058</v>
      </c>
      <c r="F884" t="s">
        <v>2</v>
      </c>
    </row>
    <row r="885" spans="1:6" x14ac:dyDescent="0.25">
      <c r="A885" s="5">
        <v>16390598</v>
      </c>
      <c r="B885" s="5" t="s">
        <v>400</v>
      </c>
      <c r="C885" s="5" t="s">
        <v>12</v>
      </c>
      <c r="D885" s="6">
        <v>44119</v>
      </c>
      <c r="E885" s="12">
        <v>45065</v>
      </c>
      <c r="F885" t="s">
        <v>2</v>
      </c>
    </row>
    <row r="886" spans="1:6" x14ac:dyDescent="0.25">
      <c r="A886" s="5">
        <v>16390599</v>
      </c>
      <c r="B886" s="5" t="s">
        <v>400</v>
      </c>
      <c r="C886" s="5" t="s">
        <v>12</v>
      </c>
      <c r="D886" s="6">
        <v>44119</v>
      </c>
      <c r="E886" s="12">
        <v>45065</v>
      </c>
      <c r="F886" t="s">
        <v>2</v>
      </c>
    </row>
    <row r="887" spans="1:6" x14ac:dyDescent="0.25">
      <c r="A887" s="5">
        <v>20910781</v>
      </c>
      <c r="B887" s="5" t="s">
        <v>400</v>
      </c>
      <c r="C887" s="5" t="s">
        <v>12</v>
      </c>
      <c r="D887" s="6">
        <v>44119</v>
      </c>
      <c r="E887" s="12">
        <v>45065</v>
      </c>
      <c r="F887" t="s">
        <v>2</v>
      </c>
    </row>
    <row r="888" spans="1:6" x14ac:dyDescent="0.25">
      <c r="A888" s="5">
        <v>20910782</v>
      </c>
      <c r="B888" s="5" t="s">
        <v>400</v>
      </c>
      <c r="C888" s="5" t="s">
        <v>12</v>
      </c>
      <c r="D888" s="6">
        <v>44119</v>
      </c>
      <c r="E888" s="12">
        <v>45065</v>
      </c>
      <c r="F888" t="s">
        <v>2</v>
      </c>
    </row>
    <row r="889" spans="1:6" x14ac:dyDescent="0.25">
      <c r="A889" s="5">
        <v>20910783</v>
      </c>
      <c r="B889" s="5" t="s">
        <v>400</v>
      </c>
      <c r="C889" s="5" t="s">
        <v>12</v>
      </c>
      <c r="D889" s="6">
        <v>44119</v>
      </c>
      <c r="E889" s="12">
        <v>45065</v>
      </c>
      <c r="F889" t="s">
        <v>2</v>
      </c>
    </row>
    <row r="890" spans="1:6" x14ac:dyDescent="0.25">
      <c r="A890" s="5">
        <v>20910784</v>
      </c>
      <c r="B890" s="5" t="s">
        <v>400</v>
      </c>
      <c r="C890" s="5" t="s">
        <v>12</v>
      </c>
      <c r="D890" s="6">
        <v>44119</v>
      </c>
      <c r="E890" s="12">
        <v>45065</v>
      </c>
      <c r="F890" t="s">
        <v>2</v>
      </c>
    </row>
    <row r="891" spans="1:6" x14ac:dyDescent="0.25">
      <c r="A891" s="5">
        <v>20910785</v>
      </c>
      <c r="B891" s="5" t="s">
        <v>400</v>
      </c>
      <c r="C891" s="5" t="s">
        <v>12</v>
      </c>
      <c r="D891" s="6">
        <v>44119</v>
      </c>
      <c r="E891" s="12">
        <v>45065</v>
      </c>
      <c r="F891" t="s">
        <v>2</v>
      </c>
    </row>
    <row r="892" spans="1:6" x14ac:dyDescent="0.25">
      <c r="A892" s="5">
        <v>20910786</v>
      </c>
      <c r="B892" s="5" t="s">
        <v>400</v>
      </c>
      <c r="C892" s="5" t="s">
        <v>12</v>
      </c>
      <c r="D892" s="6">
        <v>44119</v>
      </c>
      <c r="E892" s="12">
        <v>45065</v>
      </c>
      <c r="F892" t="s">
        <v>2</v>
      </c>
    </row>
    <row r="893" spans="1:6" x14ac:dyDescent="0.25">
      <c r="A893" s="5">
        <v>20910787</v>
      </c>
      <c r="B893" s="5" t="s">
        <v>400</v>
      </c>
      <c r="C893" s="5" t="s">
        <v>12</v>
      </c>
      <c r="D893" s="6">
        <v>44119</v>
      </c>
      <c r="E893" s="12">
        <v>45065</v>
      </c>
      <c r="F893" t="s">
        <v>2</v>
      </c>
    </row>
    <row r="894" spans="1:6" x14ac:dyDescent="0.25">
      <c r="A894" s="5">
        <v>20910788</v>
      </c>
      <c r="B894" s="5" t="s">
        <v>400</v>
      </c>
      <c r="C894" s="5" t="s">
        <v>12</v>
      </c>
      <c r="D894" s="6">
        <v>44119</v>
      </c>
      <c r="E894" s="12">
        <v>45065</v>
      </c>
      <c r="F894" t="s">
        <v>2</v>
      </c>
    </row>
    <row r="895" spans="1:6" x14ac:dyDescent="0.25">
      <c r="A895" s="5">
        <v>20910789</v>
      </c>
      <c r="B895" s="5" t="s">
        <v>400</v>
      </c>
      <c r="C895" s="5" t="s">
        <v>12</v>
      </c>
      <c r="D895" s="6">
        <v>44119</v>
      </c>
      <c r="E895" s="12">
        <v>45065</v>
      </c>
      <c r="F895" t="s">
        <v>2</v>
      </c>
    </row>
    <row r="896" spans="1:6" x14ac:dyDescent="0.25">
      <c r="A896" s="5">
        <v>20910790</v>
      </c>
      <c r="B896" s="5" t="s">
        <v>400</v>
      </c>
      <c r="C896" s="5" t="s">
        <v>12</v>
      </c>
      <c r="D896" s="6">
        <v>44119</v>
      </c>
      <c r="E896" s="12">
        <v>45065</v>
      </c>
      <c r="F896" t="s">
        <v>2</v>
      </c>
    </row>
    <row r="897" spans="1:6" x14ac:dyDescent="0.25">
      <c r="A897" s="5">
        <v>20910791</v>
      </c>
      <c r="B897" s="5" t="s">
        <v>400</v>
      </c>
      <c r="C897" s="5" t="s">
        <v>12</v>
      </c>
      <c r="D897" s="6">
        <v>44119</v>
      </c>
      <c r="E897" s="12">
        <v>45065</v>
      </c>
      <c r="F897" t="s">
        <v>2</v>
      </c>
    </row>
    <row r="898" spans="1:6" x14ac:dyDescent="0.25">
      <c r="A898" s="5">
        <v>20910792</v>
      </c>
      <c r="B898" s="5" t="s">
        <v>400</v>
      </c>
      <c r="C898" s="5" t="s">
        <v>12</v>
      </c>
      <c r="D898" s="6">
        <v>44119</v>
      </c>
      <c r="E898" s="12">
        <v>45065</v>
      </c>
      <c r="F898" t="s">
        <v>2</v>
      </c>
    </row>
    <row r="899" spans="1:6" x14ac:dyDescent="0.25">
      <c r="A899" s="5">
        <v>20910793</v>
      </c>
      <c r="B899" s="5" t="s">
        <v>400</v>
      </c>
      <c r="C899" s="5" t="s">
        <v>12</v>
      </c>
      <c r="D899" s="6">
        <v>44119</v>
      </c>
      <c r="E899" s="12">
        <v>45065</v>
      </c>
      <c r="F899" t="s">
        <v>2</v>
      </c>
    </row>
    <row r="900" spans="1:6" x14ac:dyDescent="0.25">
      <c r="A900" s="5">
        <v>20910794</v>
      </c>
      <c r="B900" s="5" t="s">
        <v>400</v>
      </c>
      <c r="C900" s="5" t="s">
        <v>12</v>
      </c>
      <c r="D900" s="6">
        <v>44119</v>
      </c>
      <c r="E900" s="12">
        <v>45065</v>
      </c>
      <c r="F900" t="s">
        <v>2</v>
      </c>
    </row>
    <row r="901" spans="1:6" x14ac:dyDescent="0.25">
      <c r="A901" s="5">
        <v>20910630</v>
      </c>
      <c r="B901" s="5" t="s">
        <v>401</v>
      </c>
      <c r="C901" s="5" t="s">
        <v>18</v>
      </c>
      <c r="D901" s="6">
        <v>44864</v>
      </c>
      <c r="E901" s="12">
        <v>45071</v>
      </c>
      <c r="F901" t="s">
        <v>0</v>
      </c>
    </row>
    <row r="902" spans="1:6" x14ac:dyDescent="0.25">
      <c r="A902" s="5">
        <v>20910637</v>
      </c>
      <c r="B902" s="5" t="s">
        <v>400</v>
      </c>
      <c r="C902" s="5" t="s">
        <v>12</v>
      </c>
      <c r="D902" s="6">
        <v>41927</v>
      </c>
      <c r="E902" s="12">
        <v>45090</v>
      </c>
      <c r="F902" t="s">
        <v>0</v>
      </c>
    </row>
    <row r="903" spans="1:6" x14ac:dyDescent="0.25">
      <c r="A903" s="5">
        <v>20910639</v>
      </c>
      <c r="B903" s="5" t="s">
        <v>400</v>
      </c>
      <c r="C903" s="5" t="s">
        <v>12</v>
      </c>
      <c r="D903" s="6">
        <v>41927</v>
      </c>
      <c r="E903" s="12">
        <v>45090</v>
      </c>
      <c r="F903" t="s">
        <v>0</v>
      </c>
    </row>
    <row r="904" spans="1:6" x14ac:dyDescent="0.25">
      <c r="A904" s="5">
        <v>20910640</v>
      </c>
      <c r="B904" s="5" t="s">
        <v>400</v>
      </c>
      <c r="C904" s="5" t="s">
        <v>12</v>
      </c>
      <c r="D904" s="6">
        <v>41927</v>
      </c>
      <c r="E904" s="12">
        <v>45090</v>
      </c>
      <c r="F904" t="s">
        <v>0</v>
      </c>
    </row>
    <row r="905" spans="1:6" x14ac:dyDescent="0.25">
      <c r="A905" s="5">
        <v>20910661</v>
      </c>
      <c r="B905" s="5" t="s">
        <v>401</v>
      </c>
      <c r="C905" s="5" t="s">
        <v>12</v>
      </c>
      <c r="D905" s="6">
        <v>44900</v>
      </c>
      <c r="E905" s="12">
        <v>45090</v>
      </c>
      <c r="F905" t="s">
        <v>2</v>
      </c>
    </row>
    <row r="906" spans="1:6" x14ac:dyDescent="0.25">
      <c r="A906" s="5">
        <v>20910662</v>
      </c>
      <c r="B906" s="5" t="s">
        <v>401</v>
      </c>
      <c r="C906" s="5" t="s">
        <v>12</v>
      </c>
      <c r="D906" s="6">
        <v>44900</v>
      </c>
      <c r="E906" s="12">
        <v>45090</v>
      </c>
      <c r="F906" t="s">
        <v>2</v>
      </c>
    </row>
    <row r="907" spans="1:6" x14ac:dyDescent="0.25">
      <c r="A907" s="5">
        <v>20910663</v>
      </c>
      <c r="B907" s="5" t="s">
        <v>401</v>
      </c>
      <c r="C907" s="5" t="s">
        <v>12</v>
      </c>
      <c r="D907" s="6">
        <v>44900</v>
      </c>
      <c r="E907" s="12">
        <v>45090</v>
      </c>
      <c r="F907" t="s">
        <v>2</v>
      </c>
    </row>
    <row r="908" spans="1:6" x14ac:dyDescent="0.25">
      <c r="A908" s="5">
        <v>20910644</v>
      </c>
      <c r="B908" s="5" t="s">
        <v>401</v>
      </c>
      <c r="C908" s="5" t="s">
        <v>125</v>
      </c>
      <c r="D908" s="6">
        <v>44880</v>
      </c>
      <c r="E908" s="12">
        <v>45091</v>
      </c>
      <c r="F908" t="s">
        <v>0</v>
      </c>
    </row>
    <row r="909" spans="1:6" x14ac:dyDescent="0.25">
      <c r="A909" s="5">
        <v>20910645</v>
      </c>
      <c r="B909" s="5" t="s">
        <v>401</v>
      </c>
      <c r="C909" s="5" t="s">
        <v>18</v>
      </c>
      <c r="D909" s="6">
        <v>44880</v>
      </c>
      <c r="E909" s="12">
        <v>45091</v>
      </c>
      <c r="F909" t="s">
        <v>0</v>
      </c>
    </row>
    <row r="910" spans="1:6" x14ac:dyDescent="0.25">
      <c r="A910" s="5">
        <v>20910646</v>
      </c>
      <c r="B910" s="5" t="s">
        <v>401</v>
      </c>
      <c r="C910" s="5" t="s">
        <v>12</v>
      </c>
      <c r="D910" s="6">
        <v>44880</v>
      </c>
      <c r="E910" s="12">
        <v>45091</v>
      </c>
      <c r="F910" t="s">
        <v>0</v>
      </c>
    </row>
    <row r="911" spans="1:6" x14ac:dyDescent="0.25">
      <c r="A911" s="5">
        <v>20910647</v>
      </c>
      <c r="B911" s="5" t="s">
        <v>401</v>
      </c>
      <c r="C911" s="5" t="s">
        <v>24</v>
      </c>
      <c r="D911" s="6">
        <v>44880</v>
      </c>
      <c r="E911" s="12">
        <v>45091</v>
      </c>
      <c r="F911" t="s">
        <v>0</v>
      </c>
    </row>
    <row r="912" spans="1:6" x14ac:dyDescent="0.25">
      <c r="A912" s="5">
        <v>20910648</v>
      </c>
      <c r="B912" s="5" t="s">
        <v>401</v>
      </c>
      <c r="C912" s="5" t="s">
        <v>24</v>
      </c>
      <c r="D912" s="6">
        <v>44880</v>
      </c>
      <c r="E912" s="12">
        <v>45091</v>
      </c>
      <c r="F912" t="s">
        <v>0</v>
      </c>
    </row>
    <row r="913" spans="1:6" x14ac:dyDescent="0.25">
      <c r="A913" s="5">
        <v>20910649</v>
      </c>
      <c r="B913" s="5" t="s">
        <v>401</v>
      </c>
      <c r="C913" s="5" t="s">
        <v>12</v>
      </c>
      <c r="D913" s="6">
        <v>44946</v>
      </c>
      <c r="E913" s="12">
        <v>45091</v>
      </c>
      <c r="F913" t="s">
        <v>0</v>
      </c>
    </row>
    <row r="914" spans="1:6" x14ac:dyDescent="0.25">
      <c r="A914" s="5">
        <v>20910650</v>
      </c>
      <c r="B914" s="5" t="s">
        <v>401</v>
      </c>
      <c r="C914" s="5" t="s">
        <v>12</v>
      </c>
      <c r="D914" s="6">
        <v>44880</v>
      </c>
      <c r="E914" s="12">
        <v>45091</v>
      </c>
      <c r="F914" t="s">
        <v>0</v>
      </c>
    </row>
    <row r="915" spans="1:6" x14ac:dyDescent="0.25">
      <c r="A915" s="5">
        <v>20910651</v>
      </c>
      <c r="B915" s="5" t="s">
        <v>401</v>
      </c>
      <c r="C915" s="5" t="s">
        <v>12</v>
      </c>
      <c r="D915" s="6">
        <v>44696</v>
      </c>
      <c r="E915" s="12">
        <v>45091</v>
      </c>
      <c r="F915" t="s">
        <v>0</v>
      </c>
    </row>
    <row r="916" spans="1:6" x14ac:dyDescent="0.25">
      <c r="A916" s="5">
        <v>20910652</v>
      </c>
      <c r="B916" s="5" t="s">
        <v>401</v>
      </c>
      <c r="C916" s="5" t="s">
        <v>24</v>
      </c>
      <c r="D916" s="6">
        <v>44666</v>
      </c>
      <c r="E916" s="12">
        <v>45091</v>
      </c>
      <c r="F916" t="s">
        <v>0</v>
      </c>
    </row>
    <row r="917" spans="1:6" x14ac:dyDescent="0.25">
      <c r="A917" s="5">
        <v>20910656</v>
      </c>
      <c r="B917" s="5" t="s">
        <v>401</v>
      </c>
      <c r="C917" s="5" t="s">
        <v>12</v>
      </c>
      <c r="D917" s="6">
        <v>44880</v>
      </c>
      <c r="E917" s="12">
        <v>45091</v>
      </c>
      <c r="F917" t="s">
        <v>0</v>
      </c>
    </row>
    <row r="918" spans="1:6" x14ac:dyDescent="0.25">
      <c r="A918" s="5">
        <v>20910657</v>
      </c>
      <c r="B918" s="5" t="s">
        <v>401</v>
      </c>
      <c r="C918" s="5" t="s">
        <v>12</v>
      </c>
      <c r="D918" s="6">
        <v>44910</v>
      </c>
      <c r="E918" s="12">
        <v>45091</v>
      </c>
      <c r="F918" t="s">
        <v>0</v>
      </c>
    </row>
    <row r="919" spans="1:6" x14ac:dyDescent="0.25">
      <c r="A919" s="5">
        <v>20910658</v>
      </c>
      <c r="B919" s="5" t="s">
        <v>401</v>
      </c>
      <c r="C919" s="5" t="s">
        <v>12</v>
      </c>
      <c r="D919" s="6">
        <v>44880</v>
      </c>
      <c r="E919" s="12">
        <v>45091</v>
      </c>
      <c r="F919" t="s">
        <v>0</v>
      </c>
    </row>
    <row r="920" spans="1:6" x14ac:dyDescent="0.25">
      <c r="A920" s="5">
        <v>20910659</v>
      </c>
      <c r="B920" s="5" t="s">
        <v>401</v>
      </c>
      <c r="C920" s="5" t="s">
        <v>125</v>
      </c>
      <c r="D920" s="6">
        <v>44910</v>
      </c>
      <c r="E920" s="12">
        <v>45091</v>
      </c>
      <c r="F920" t="s">
        <v>0</v>
      </c>
    </row>
    <row r="921" spans="1:6" x14ac:dyDescent="0.25">
      <c r="A921" s="5">
        <v>20910660</v>
      </c>
      <c r="B921" s="5" t="s">
        <v>401</v>
      </c>
      <c r="C921" s="5" t="s">
        <v>12</v>
      </c>
      <c r="D921" s="6">
        <v>44880</v>
      </c>
      <c r="E921" s="12">
        <v>45091</v>
      </c>
      <c r="F921" t="s">
        <v>0</v>
      </c>
    </row>
    <row r="922" spans="1:6" x14ac:dyDescent="0.25">
      <c r="A922" s="5">
        <v>22350413</v>
      </c>
      <c r="B922" s="5" t="s">
        <v>400</v>
      </c>
      <c r="C922" s="5" t="s">
        <v>12</v>
      </c>
      <c r="D922" s="6">
        <v>44880</v>
      </c>
      <c r="E922" s="12">
        <v>45091</v>
      </c>
      <c r="F922" t="s">
        <v>0</v>
      </c>
    </row>
    <row r="923" spans="1:6" x14ac:dyDescent="0.25">
      <c r="A923" s="5">
        <v>22350414</v>
      </c>
      <c r="B923" s="5" t="s">
        <v>400</v>
      </c>
      <c r="C923" s="5" t="s">
        <v>12</v>
      </c>
      <c r="D923" s="6">
        <v>44696</v>
      </c>
      <c r="E923" s="12">
        <v>45091</v>
      </c>
      <c r="F923" t="s">
        <v>0</v>
      </c>
    </row>
    <row r="924" spans="1:6" x14ac:dyDescent="0.25">
      <c r="A924" s="5">
        <v>22350415</v>
      </c>
      <c r="B924" s="5" t="s">
        <v>400</v>
      </c>
      <c r="C924" s="5" t="s">
        <v>12</v>
      </c>
      <c r="D924" s="6">
        <v>44907</v>
      </c>
      <c r="E924" s="12">
        <v>45091</v>
      </c>
      <c r="F924" t="s">
        <v>0</v>
      </c>
    </row>
    <row r="925" spans="1:6" x14ac:dyDescent="0.25">
      <c r="A925" s="5">
        <v>22350416</v>
      </c>
      <c r="B925" s="5" t="s">
        <v>400</v>
      </c>
      <c r="C925" s="5" t="s">
        <v>12</v>
      </c>
      <c r="D925" s="6">
        <v>44910</v>
      </c>
      <c r="E925" s="12">
        <v>45091</v>
      </c>
      <c r="F925" t="s">
        <v>0</v>
      </c>
    </row>
    <row r="926" spans="1:6" x14ac:dyDescent="0.25">
      <c r="A926" s="5">
        <v>22350417</v>
      </c>
      <c r="B926" s="5" t="s">
        <v>400</v>
      </c>
      <c r="C926" s="5" t="s">
        <v>12</v>
      </c>
      <c r="D926" s="6">
        <v>44910</v>
      </c>
      <c r="E926" s="12">
        <v>45091</v>
      </c>
      <c r="F926" t="s">
        <v>0</v>
      </c>
    </row>
    <row r="927" spans="1:6" x14ac:dyDescent="0.25">
      <c r="A927" s="5">
        <v>22350418</v>
      </c>
      <c r="B927" s="5" t="s">
        <v>400</v>
      </c>
      <c r="C927" s="5" t="s">
        <v>12</v>
      </c>
      <c r="D927" s="6">
        <v>44910</v>
      </c>
      <c r="E927" s="12">
        <v>45091</v>
      </c>
      <c r="F927" t="s">
        <v>0</v>
      </c>
    </row>
    <row r="928" spans="1:6" x14ac:dyDescent="0.25">
      <c r="A928" s="5">
        <v>22350419</v>
      </c>
      <c r="B928" s="5" t="s">
        <v>400</v>
      </c>
      <c r="C928" s="5" t="s">
        <v>12</v>
      </c>
      <c r="D928" s="6">
        <v>44910</v>
      </c>
      <c r="E928" s="12">
        <v>45091</v>
      </c>
      <c r="F928" t="s">
        <v>0</v>
      </c>
    </row>
    <row r="929" spans="1:6" x14ac:dyDescent="0.25">
      <c r="A929" s="5">
        <v>22350420</v>
      </c>
      <c r="B929" s="5" t="s">
        <v>400</v>
      </c>
      <c r="C929" s="5" t="s">
        <v>18</v>
      </c>
      <c r="D929" s="6">
        <v>44910</v>
      </c>
      <c r="E929" s="12">
        <v>45091</v>
      </c>
      <c r="F929" t="s">
        <v>0</v>
      </c>
    </row>
    <row r="930" spans="1:6" x14ac:dyDescent="0.25">
      <c r="A930" s="5">
        <v>22350421</v>
      </c>
      <c r="B930" s="5" t="s">
        <v>400</v>
      </c>
      <c r="C930" s="5" t="s">
        <v>18</v>
      </c>
      <c r="D930" s="6">
        <v>44849</v>
      </c>
      <c r="E930" s="12">
        <v>45091</v>
      </c>
      <c r="F930" t="s">
        <v>0</v>
      </c>
    </row>
    <row r="931" spans="1:6" x14ac:dyDescent="0.25">
      <c r="A931" s="5">
        <v>22350422</v>
      </c>
      <c r="B931" s="5" t="s">
        <v>400</v>
      </c>
      <c r="C931" s="5" t="s">
        <v>12</v>
      </c>
      <c r="D931" s="6">
        <v>44910</v>
      </c>
      <c r="E931" s="12">
        <v>45128</v>
      </c>
      <c r="F931" t="s">
        <v>0</v>
      </c>
    </row>
    <row r="932" spans="1:6" x14ac:dyDescent="0.25">
      <c r="A932" s="5">
        <v>22350423</v>
      </c>
      <c r="B932" s="5" t="s">
        <v>400</v>
      </c>
      <c r="C932" s="5" t="s">
        <v>12</v>
      </c>
      <c r="D932" s="6">
        <v>44910</v>
      </c>
      <c r="E932" s="12">
        <v>45128</v>
      </c>
      <c r="F932" t="s">
        <v>0</v>
      </c>
    </row>
    <row r="933" spans="1:6" x14ac:dyDescent="0.25">
      <c r="A933" s="5">
        <v>22350424</v>
      </c>
      <c r="B933" s="5" t="s">
        <v>400</v>
      </c>
      <c r="C933" s="5" t="s">
        <v>12</v>
      </c>
      <c r="D933" s="6">
        <v>44910</v>
      </c>
      <c r="E933" s="12">
        <v>45128</v>
      </c>
      <c r="F933" t="s">
        <v>0</v>
      </c>
    </row>
    <row r="934" spans="1:6" x14ac:dyDescent="0.25">
      <c r="A934" s="5">
        <v>22350425</v>
      </c>
      <c r="B934" s="5" t="s">
        <v>400</v>
      </c>
      <c r="C934" s="5" t="s">
        <v>12</v>
      </c>
      <c r="D934" s="6">
        <v>44910</v>
      </c>
      <c r="E934" s="12">
        <v>45128</v>
      </c>
      <c r="F934" t="s">
        <v>0</v>
      </c>
    </row>
    <row r="935" spans="1:6" x14ac:dyDescent="0.25">
      <c r="A935" s="5">
        <v>16390600</v>
      </c>
      <c r="B935" s="5" t="s">
        <v>400</v>
      </c>
      <c r="C935" s="5" t="s">
        <v>12</v>
      </c>
      <c r="D935" s="6">
        <v>43363</v>
      </c>
      <c r="E935" s="12">
        <v>45169</v>
      </c>
      <c r="F935" t="s">
        <v>2</v>
      </c>
    </row>
    <row r="936" spans="1:6" x14ac:dyDescent="0.25">
      <c r="A936" s="5">
        <v>20910632</v>
      </c>
      <c r="B936" s="5" t="s">
        <v>401</v>
      </c>
      <c r="C936" s="5" t="s">
        <v>12</v>
      </c>
      <c r="D936" s="6">
        <v>44926</v>
      </c>
      <c r="E936" s="12">
        <v>45182</v>
      </c>
      <c r="F936" t="s">
        <v>0</v>
      </c>
    </row>
    <row r="937" spans="1:6" x14ac:dyDescent="0.25">
      <c r="A937" s="5">
        <v>20910737</v>
      </c>
      <c r="B937" s="5" t="s">
        <v>401</v>
      </c>
      <c r="C937" s="5" t="s">
        <v>12</v>
      </c>
      <c r="D937" s="6">
        <v>45015</v>
      </c>
      <c r="E937" s="12">
        <v>45224</v>
      </c>
      <c r="F937" t="s">
        <v>2</v>
      </c>
    </row>
    <row r="938" spans="1:6" x14ac:dyDescent="0.25">
      <c r="A938" s="5">
        <v>20910738</v>
      </c>
      <c r="B938" s="5" t="s">
        <v>401</v>
      </c>
      <c r="C938" s="5" t="s">
        <v>12</v>
      </c>
      <c r="D938" s="6">
        <v>45015</v>
      </c>
      <c r="E938" s="12">
        <v>45224</v>
      </c>
      <c r="F938" t="s">
        <v>2</v>
      </c>
    </row>
    <row r="939" spans="1:6" x14ac:dyDescent="0.25">
      <c r="A939" s="5">
        <v>22350429</v>
      </c>
      <c r="B939" s="5" t="s">
        <v>400</v>
      </c>
      <c r="C939" s="5" t="s">
        <v>12</v>
      </c>
      <c r="D939" s="6">
        <v>45015</v>
      </c>
      <c r="E939" s="12">
        <v>45224</v>
      </c>
      <c r="F939" t="s">
        <v>2</v>
      </c>
    </row>
    <row r="940" spans="1:6" x14ac:dyDescent="0.25">
      <c r="A940" s="5">
        <v>22350430</v>
      </c>
      <c r="B940" s="5" t="s">
        <v>400</v>
      </c>
      <c r="C940" s="5" t="s">
        <v>18</v>
      </c>
      <c r="D940" s="6">
        <v>45015</v>
      </c>
      <c r="E940" s="12">
        <v>45224</v>
      </c>
      <c r="F940" t="s">
        <v>2</v>
      </c>
    </row>
    <row r="941" spans="1:6" x14ac:dyDescent="0.25">
      <c r="A941" s="5">
        <v>19050229</v>
      </c>
      <c r="B941" s="5" t="s">
        <v>401</v>
      </c>
      <c r="C941" s="5" t="s">
        <v>12</v>
      </c>
      <c r="D941" s="6">
        <v>41241</v>
      </c>
      <c r="E941" s="12">
        <v>45232</v>
      </c>
      <c r="F941" t="s">
        <v>0</v>
      </c>
    </row>
    <row r="942" spans="1:6" x14ac:dyDescent="0.25">
      <c r="A942" s="5">
        <v>23323201</v>
      </c>
      <c r="B942" s="5" t="s">
        <v>400</v>
      </c>
      <c r="C942" s="5" t="s">
        <v>18</v>
      </c>
      <c r="D942" s="6">
        <v>45229</v>
      </c>
      <c r="E942" s="12">
        <v>45240</v>
      </c>
      <c r="F942" t="s">
        <v>0</v>
      </c>
    </row>
    <row r="943" spans="1:6" x14ac:dyDescent="0.25">
      <c r="A943" s="5">
        <v>23323202</v>
      </c>
      <c r="B943" s="5" t="s">
        <v>400</v>
      </c>
      <c r="C943" s="5" t="s">
        <v>18</v>
      </c>
      <c r="D943" s="6">
        <v>45214</v>
      </c>
      <c r="E943" s="12">
        <v>45240</v>
      </c>
      <c r="F943" t="s">
        <v>0</v>
      </c>
    </row>
    <row r="944" spans="1:6" x14ac:dyDescent="0.25">
      <c r="A944" s="5">
        <v>23323203</v>
      </c>
      <c r="B944" s="5" t="s">
        <v>400</v>
      </c>
      <c r="C944" s="5" t="s">
        <v>12</v>
      </c>
      <c r="D944" s="6">
        <v>45214</v>
      </c>
      <c r="E944" s="12">
        <v>45240</v>
      </c>
      <c r="F944" t="s">
        <v>0</v>
      </c>
    </row>
    <row r="945" spans="1:6" x14ac:dyDescent="0.25">
      <c r="A945" s="5">
        <v>23323204</v>
      </c>
      <c r="B945" s="5" t="s">
        <v>401</v>
      </c>
      <c r="C945" s="5" t="s">
        <v>12</v>
      </c>
      <c r="D945" s="6">
        <v>45214</v>
      </c>
      <c r="E945" s="12">
        <v>45240</v>
      </c>
      <c r="F945" t="s">
        <v>0</v>
      </c>
    </row>
    <row r="946" spans="1:6" x14ac:dyDescent="0.25">
      <c r="A946" s="5">
        <v>23323205</v>
      </c>
      <c r="B946" s="5" t="s">
        <v>401</v>
      </c>
      <c r="C946" s="5" t="s">
        <v>18</v>
      </c>
      <c r="D946" s="6">
        <v>45214</v>
      </c>
      <c r="E946" s="12">
        <v>45240</v>
      </c>
      <c r="F946" t="s">
        <v>0</v>
      </c>
    </row>
    <row r="947" spans="1:6" x14ac:dyDescent="0.25">
      <c r="A947" s="5">
        <v>23323206</v>
      </c>
      <c r="B947" s="5" t="s">
        <v>401</v>
      </c>
      <c r="C947" s="5" t="s">
        <v>12</v>
      </c>
      <c r="D947" s="6">
        <v>45214</v>
      </c>
      <c r="E947" s="12">
        <v>45240</v>
      </c>
      <c r="F947" t="s">
        <v>0</v>
      </c>
    </row>
    <row r="948" spans="1:6" x14ac:dyDescent="0.25">
      <c r="A948" s="5">
        <v>23323207</v>
      </c>
      <c r="B948" s="5" t="s">
        <v>400</v>
      </c>
      <c r="C948" s="5" t="s">
        <v>12</v>
      </c>
      <c r="D948" s="6">
        <v>45214</v>
      </c>
      <c r="E948" s="12">
        <v>45240</v>
      </c>
      <c r="F948" t="s">
        <v>0</v>
      </c>
    </row>
    <row r="949" spans="1:6" x14ac:dyDescent="0.25">
      <c r="A949" s="5">
        <v>23323208</v>
      </c>
      <c r="B949" s="5" t="s">
        <v>400</v>
      </c>
      <c r="C949" s="5" t="s">
        <v>12</v>
      </c>
      <c r="D949" s="6">
        <v>45214</v>
      </c>
      <c r="E949" s="12">
        <v>45240</v>
      </c>
      <c r="F949" t="s">
        <v>0</v>
      </c>
    </row>
    <row r="950" spans="1:6" x14ac:dyDescent="0.25">
      <c r="A950" s="5">
        <v>23323209</v>
      </c>
      <c r="B950" s="5" t="s">
        <v>401</v>
      </c>
      <c r="C950" s="5" t="s">
        <v>12</v>
      </c>
      <c r="D950" s="6">
        <v>45214</v>
      </c>
      <c r="E950" s="12">
        <v>45240</v>
      </c>
      <c r="F950" t="s">
        <v>0</v>
      </c>
    </row>
    <row r="951" spans="1:6" x14ac:dyDescent="0.25">
      <c r="A951" s="5">
        <v>23323210</v>
      </c>
      <c r="B951" s="5" t="s">
        <v>400</v>
      </c>
      <c r="C951" s="5" t="s">
        <v>12</v>
      </c>
      <c r="D951" s="6">
        <v>45214</v>
      </c>
      <c r="E951" s="12">
        <v>45240</v>
      </c>
      <c r="F951" t="s">
        <v>0</v>
      </c>
    </row>
    <row r="952" spans="1:6" x14ac:dyDescent="0.25">
      <c r="A952" s="5">
        <v>23323211</v>
      </c>
      <c r="B952" s="5" t="s">
        <v>400</v>
      </c>
      <c r="C952" s="5" t="s">
        <v>125</v>
      </c>
      <c r="D952" s="6">
        <v>45214</v>
      </c>
      <c r="E952" s="12">
        <v>45240</v>
      </c>
      <c r="F952" t="s">
        <v>0</v>
      </c>
    </row>
    <row r="953" spans="1:6" x14ac:dyDescent="0.25">
      <c r="A953" s="5">
        <v>23323212</v>
      </c>
      <c r="B953" s="5" t="s">
        <v>400</v>
      </c>
      <c r="C953" s="5" t="s">
        <v>12</v>
      </c>
      <c r="D953" s="6">
        <v>45214</v>
      </c>
      <c r="E953" s="12">
        <v>45240</v>
      </c>
      <c r="F953" t="s">
        <v>0</v>
      </c>
    </row>
    <row r="954" spans="1:6" x14ac:dyDescent="0.25">
      <c r="A954" s="5">
        <v>23323213</v>
      </c>
      <c r="B954" s="5" t="s">
        <v>400</v>
      </c>
      <c r="C954" s="5" t="s">
        <v>12</v>
      </c>
      <c r="D954" s="6">
        <v>45214</v>
      </c>
      <c r="E954" s="12">
        <v>45240</v>
      </c>
      <c r="F954" t="s">
        <v>0</v>
      </c>
    </row>
    <row r="955" spans="1:6" x14ac:dyDescent="0.25">
      <c r="A955" s="5">
        <v>23323214</v>
      </c>
      <c r="B955" s="5" t="s">
        <v>401</v>
      </c>
      <c r="C955" s="5" t="s">
        <v>12</v>
      </c>
      <c r="D955" s="6">
        <v>45214</v>
      </c>
      <c r="E955" s="12">
        <v>45240</v>
      </c>
      <c r="F955" t="s">
        <v>0</v>
      </c>
    </row>
    <row r="956" spans="1:6" x14ac:dyDescent="0.25">
      <c r="A956" s="5">
        <v>23323215</v>
      </c>
      <c r="B956" s="5" t="s">
        <v>400</v>
      </c>
      <c r="C956" s="5" t="s">
        <v>109</v>
      </c>
      <c r="D956" s="6">
        <v>45214</v>
      </c>
      <c r="E956" s="12">
        <v>45240</v>
      </c>
      <c r="F956" t="s">
        <v>0</v>
      </c>
    </row>
    <row r="957" spans="1:6" x14ac:dyDescent="0.25">
      <c r="A957" s="5">
        <v>23323216</v>
      </c>
      <c r="B957" s="5" t="s">
        <v>401</v>
      </c>
      <c r="C957" s="5" t="s">
        <v>12</v>
      </c>
      <c r="D957" s="6">
        <v>45214</v>
      </c>
      <c r="E957" s="12">
        <v>45240</v>
      </c>
      <c r="F957" t="s">
        <v>0</v>
      </c>
    </row>
    <row r="958" spans="1:6" x14ac:dyDescent="0.25">
      <c r="A958" s="5">
        <v>23323217</v>
      </c>
      <c r="B958" s="5" t="s">
        <v>400</v>
      </c>
      <c r="C958" s="5" t="s">
        <v>12</v>
      </c>
      <c r="D958" s="6">
        <v>45214</v>
      </c>
      <c r="E958" s="12">
        <v>45240</v>
      </c>
      <c r="F958" t="s">
        <v>0</v>
      </c>
    </row>
    <row r="959" spans="1:6" x14ac:dyDescent="0.25">
      <c r="A959" s="5">
        <v>23323218</v>
      </c>
      <c r="B959" s="5" t="s">
        <v>400</v>
      </c>
      <c r="C959" s="5" t="s">
        <v>12</v>
      </c>
      <c r="D959" s="6">
        <v>45214</v>
      </c>
      <c r="E959" s="12">
        <v>45240</v>
      </c>
      <c r="F959" t="s">
        <v>0</v>
      </c>
    </row>
    <row r="960" spans="1:6" x14ac:dyDescent="0.25">
      <c r="A960" s="5">
        <v>23323219</v>
      </c>
      <c r="B960" s="5" t="s">
        <v>400</v>
      </c>
      <c r="C960" s="5" t="s">
        <v>12</v>
      </c>
      <c r="D960" s="6">
        <v>45214</v>
      </c>
      <c r="E960" s="12">
        <v>45240</v>
      </c>
      <c r="F960" t="s">
        <v>0</v>
      </c>
    </row>
    <row r="961" spans="1:6" x14ac:dyDescent="0.25">
      <c r="A961" s="5">
        <v>23323220</v>
      </c>
      <c r="B961" s="5" t="s">
        <v>401</v>
      </c>
      <c r="C961" s="5" t="s">
        <v>12</v>
      </c>
      <c r="D961" s="6">
        <v>45214</v>
      </c>
      <c r="E961" s="12">
        <v>45240</v>
      </c>
      <c r="F961" t="s">
        <v>0</v>
      </c>
    </row>
    <row r="962" spans="1:6" x14ac:dyDescent="0.25">
      <c r="A962" s="5">
        <v>23323221</v>
      </c>
      <c r="B962" s="5" t="s">
        <v>400</v>
      </c>
      <c r="C962" s="5" t="s">
        <v>12</v>
      </c>
      <c r="D962" s="6">
        <v>45214</v>
      </c>
      <c r="E962" s="12">
        <v>45240</v>
      </c>
      <c r="F962" t="s">
        <v>0</v>
      </c>
    </row>
    <row r="963" spans="1:6" x14ac:dyDescent="0.25">
      <c r="A963" s="5">
        <v>23323222</v>
      </c>
      <c r="B963" s="5" t="s">
        <v>401</v>
      </c>
      <c r="C963" s="5" t="s">
        <v>12</v>
      </c>
      <c r="D963" s="6">
        <v>45214</v>
      </c>
      <c r="E963" s="12">
        <v>45240</v>
      </c>
      <c r="F963" t="s">
        <v>0</v>
      </c>
    </row>
    <row r="964" spans="1:6" x14ac:dyDescent="0.25">
      <c r="A964" s="5">
        <v>23323223</v>
      </c>
      <c r="B964" s="5" t="s">
        <v>400</v>
      </c>
      <c r="C964" s="5" t="s">
        <v>12</v>
      </c>
      <c r="D964" s="6">
        <v>45229</v>
      </c>
      <c r="E964" s="12">
        <v>45240</v>
      </c>
      <c r="F964" t="s">
        <v>0</v>
      </c>
    </row>
    <row r="965" spans="1:6" x14ac:dyDescent="0.25">
      <c r="A965" s="5">
        <v>23323224</v>
      </c>
      <c r="B965" s="5" t="s">
        <v>400</v>
      </c>
      <c r="C965" s="5" t="s">
        <v>12</v>
      </c>
      <c r="D965" s="6">
        <v>45229</v>
      </c>
      <c r="E965" s="12">
        <v>45240</v>
      </c>
      <c r="F965" t="s">
        <v>0</v>
      </c>
    </row>
    <row r="966" spans="1:6" x14ac:dyDescent="0.25">
      <c r="A966" s="5">
        <v>23323225</v>
      </c>
      <c r="B966" s="5" t="s">
        <v>401</v>
      </c>
      <c r="C966" s="5" t="s">
        <v>12</v>
      </c>
      <c r="D966" s="6">
        <v>45214</v>
      </c>
      <c r="E966" s="12">
        <v>45240</v>
      </c>
      <c r="F966" t="s">
        <v>0</v>
      </c>
    </row>
    <row r="967" spans="1:6" x14ac:dyDescent="0.25">
      <c r="A967" s="5">
        <v>23323226</v>
      </c>
      <c r="B967" s="5" t="s">
        <v>400</v>
      </c>
      <c r="C967" s="5" t="s">
        <v>12</v>
      </c>
      <c r="D967" s="6">
        <v>45229</v>
      </c>
      <c r="E967" s="12">
        <v>45240</v>
      </c>
      <c r="F967" t="s">
        <v>0</v>
      </c>
    </row>
    <row r="968" spans="1:6" x14ac:dyDescent="0.25">
      <c r="A968" s="5">
        <v>23323227</v>
      </c>
      <c r="B968" s="5" t="s">
        <v>401</v>
      </c>
      <c r="C968" s="5" t="s">
        <v>24</v>
      </c>
      <c r="D968" s="6">
        <v>45214</v>
      </c>
      <c r="E968" s="12">
        <v>45240</v>
      </c>
      <c r="F968" t="s">
        <v>0</v>
      </c>
    </row>
    <row r="969" spans="1:6" x14ac:dyDescent="0.25">
      <c r="A969" s="5">
        <v>23323228</v>
      </c>
      <c r="B969" s="5" t="s">
        <v>400</v>
      </c>
      <c r="C969" s="5" t="s">
        <v>12</v>
      </c>
      <c r="D969" s="6">
        <v>45214</v>
      </c>
      <c r="E969" s="12">
        <v>45240</v>
      </c>
      <c r="F969" t="s">
        <v>0</v>
      </c>
    </row>
    <row r="970" spans="1:6" x14ac:dyDescent="0.25">
      <c r="A970" s="5">
        <v>23323229</v>
      </c>
      <c r="B970" s="5" t="s">
        <v>400</v>
      </c>
      <c r="C970" s="5" t="s">
        <v>12</v>
      </c>
      <c r="D970" s="6">
        <v>45214</v>
      </c>
      <c r="E970" s="12">
        <v>45240</v>
      </c>
      <c r="F970" t="s">
        <v>0</v>
      </c>
    </row>
    <row r="971" spans="1:6" x14ac:dyDescent="0.25">
      <c r="A971" s="5">
        <v>23323230</v>
      </c>
      <c r="B971" s="5" t="s">
        <v>400</v>
      </c>
      <c r="C971" s="5" t="s">
        <v>18</v>
      </c>
      <c r="D971" s="6">
        <v>45214</v>
      </c>
      <c r="E971" s="12">
        <v>45240</v>
      </c>
      <c r="F971" t="s">
        <v>0</v>
      </c>
    </row>
    <row r="972" spans="1:6" x14ac:dyDescent="0.25">
      <c r="A972" s="5">
        <v>23323231</v>
      </c>
      <c r="B972" s="5" t="s">
        <v>400</v>
      </c>
      <c r="C972" s="5" t="s">
        <v>12</v>
      </c>
      <c r="D972" s="6">
        <v>45214</v>
      </c>
      <c r="E972" s="12">
        <v>45240</v>
      </c>
      <c r="F972" t="s">
        <v>0</v>
      </c>
    </row>
    <row r="973" spans="1:6" x14ac:dyDescent="0.25">
      <c r="A973" s="5">
        <v>23323232</v>
      </c>
      <c r="B973" s="5" t="s">
        <v>401</v>
      </c>
      <c r="C973" s="5" t="s">
        <v>12</v>
      </c>
      <c r="D973" s="6">
        <v>45214</v>
      </c>
      <c r="E973" s="12">
        <v>45240</v>
      </c>
      <c r="F973" t="s">
        <v>0</v>
      </c>
    </row>
    <row r="974" spans="1:6" x14ac:dyDescent="0.25">
      <c r="A974" s="5">
        <v>23323233</v>
      </c>
      <c r="B974" s="5" t="s">
        <v>401</v>
      </c>
      <c r="C974" s="5" t="s">
        <v>12</v>
      </c>
      <c r="D974" s="6">
        <v>45229</v>
      </c>
      <c r="E974" s="12">
        <v>45240</v>
      </c>
      <c r="F974" t="s">
        <v>0</v>
      </c>
    </row>
    <row r="975" spans="1:6" x14ac:dyDescent="0.25">
      <c r="A975" s="5">
        <v>23323234</v>
      </c>
      <c r="B975" s="5" t="s">
        <v>400</v>
      </c>
      <c r="C975" s="5" t="s">
        <v>18</v>
      </c>
      <c r="D975" s="6">
        <v>45214</v>
      </c>
      <c r="E975" s="12">
        <v>45240</v>
      </c>
      <c r="F975" t="s">
        <v>0</v>
      </c>
    </row>
    <row r="976" spans="1:6" x14ac:dyDescent="0.25">
      <c r="A976" s="5">
        <v>23323235</v>
      </c>
      <c r="B976" s="5" t="s">
        <v>400</v>
      </c>
      <c r="C976" s="5" t="s">
        <v>12</v>
      </c>
      <c r="D976" s="6">
        <v>45214</v>
      </c>
      <c r="E976" s="12">
        <v>45240</v>
      </c>
      <c r="F976" t="s">
        <v>0</v>
      </c>
    </row>
    <row r="977" spans="1:6" x14ac:dyDescent="0.25">
      <c r="A977" s="5">
        <v>23323236</v>
      </c>
      <c r="B977" s="5" t="s">
        <v>400</v>
      </c>
      <c r="C977" s="5" t="s">
        <v>12</v>
      </c>
      <c r="D977" s="6">
        <v>45214</v>
      </c>
      <c r="E977" s="12">
        <v>45240</v>
      </c>
      <c r="F977" t="s">
        <v>0</v>
      </c>
    </row>
    <row r="978" spans="1:6" x14ac:dyDescent="0.25">
      <c r="A978" s="5">
        <v>23323237</v>
      </c>
      <c r="B978" s="5" t="s">
        <v>400</v>
      </c>
      <c r="C978" s="5" t="s">
        <v>12</v>
      </c>
      <c r="D978" s="6">
        <v>45214</v>
      </c>
      <c r="E978" s="12">
        <v>45240</v>
      </c>
      <c r="F978" t="s">
        <v>0</v>
      </c>
    </row>
    <row r="979" spans="1:6" x14ac:dyDescent="0.25">
      <c r="A979" s="5">
        <v>23323238</v>
      </c>
      <c r="B979" s="5" t="s">
        <v>400</v>
      </c>
      <c r="C979" s="5" t="s">
        <v>12</v>
      </c>
      <c r="D979" s="6">
        <v>45180</v>
      </c>
      <c r="E979" s="12">
        <v>45240</v>
      </c>
      <c r="F979" t="s">
        <v>0</v>
      </c>
    </row>
    <row r="980" spans="1:6" x14ac:dyDescent="0.25">
      <c r="A980" s="5">
        <v>23323239</v>
      </c>
      <c r="B980" s="5" t="s">
        <v>400</v>
      </c>
      <c r="C980" s="5" t="s">
        <v>12</v>
      </c>
      <c r="D980" s="6">
        <v>45214</v>
      </c>
      <c r="E980" s="12">
        <v>45240</v>
      </c>
      <c r="F980" t="s">
        <v>0</v>
      </c>
    </row>
    <row r="981" spans="1:6" x14ac:dyDescent="0.25">
      <c r="A981" s="5">
        <v>20910742</v>
      </c>
      <c r="B981" s="5" t="s">
        <v>401</v>
      </c>
      <c r="C981" s="5" t="s">
        <v>12</v>
      </c>
      <c r="D981" s="6">
        <v>44925</v>
      </c>
      <c r="E981" s="12">
        <v>45242</v>
      </c>
      <c r="F981" t="s">
        <v>2</v>
      </c>
    </row>
    <row r="982" spans="1:6" x14ac:dyDescent="0.25">
      <c r="A982" s="5">
        <v>20910743</v>
      </c>
      <c r="B982" s="5" t="s">
        <v>401</v>
      </c>
      <c r="C982" s="5" t="s">
        <v>12</v>
      </c>
      <c r="D982" s="6">
        <v>44925</v>
      </c>
      <c r="E982" s="12">
        <v>45242</v>
      </c>
      <c r="F982" t="s">
        <v>2</v>
      </c>
    </row>
    <row r="983" spans="1:6" x14ac:dyDescent="0.25">
      <c r="A983" s="5">
        <v>23323325</v>
      </c>
      <c r="B983" s="5" t="s">
        <v>401</v>
      </c>
      <c r="C983" s="5" t="s">
        <v>12</v>
      </c>
      <c r="D983" s="6">
        <v>45231</v>
      </c>
      <c r="E983" s="12">
        <v>45258</v>
      </c>
      <c r="F983" t="s">
        <v>0</v>
      </c>
    </row>
    <row r="984" spans="1:6" x14ac:dyDescent="0.25">
      <c r="A984" s="5">
        <v>23323326</v>
      </c>
      <c r="B984" s="5" t="s">
        <v>400</v>
      </c>
      <c r="C984" s="5" t="s">
        <v>84</v>
      </c>
      <c r="D984" s="6">
        <v>45245</v>
      </c>
      <c r="E984" s="12">
        <v>45258</v>
      </c>
      <c r="F984" t="s">
        <v>0</v>
      </c>
    </row>
    <row r="985" spans="1:6" x14ac:dyDescent="0.25">
      <c r="A985" s="5">
        <v>23323327</v>
      </c>
      <c r="B985" s="5" t="s">
        <v>400</v>
      </c>
      <c r="C985" s="5" t="s">
        <v>18</v>
      </c>
      <c r="D985" s="6">
        <v>45229</v>
      </c>
      <c r="E985" s="12">
        <v>45258</v>
      </c>
      <c r="F985" t="s">
        <v>0</v>
      </c>
    </row>
    <row r="986" spans="1:6" x14ac:dyDescent="0.25">
      <c r="A986" s="5">
        <v>23323328</v>
      </c>
      <c r="B986" s="5" t="s">
        <v>400</v>
      </c>
      <c r="C986" s="5" t="s">
        <v>18</v>
      </c>
      <c r="D986" s="6">
        <v>45200</v>
      </c>
      <c r="E986" s="12">
        <v>45258</v>
      </c>
      <c r="F986" t="s">
        <v>0</v>
      </c>
    </row>
    <row r="987" spans="1:6" x14ac:dyDescent="0.25">
      <c r="A987" s="5">
        <v>23323329</v>
      </c>
      <c r="B987" s="5" t="s">
        <v>401</v>
      </c>
      <c r="C987" s="5" t="s">
        <v>12</v>
      </c>
      <c r="D987" s="6">
        <v>45229</v>
      </c>
      <c r="E987" s="12">
        <v>45258</v>
      </c>
      <c r="F987" t="s">
        <v>0</v>
      </c>
    </row>
    <row r="988" spans="1:6" x14ac:dyDescent="0.25">
      <c r="A988" s="5">
        <v>23323330</v>
      </c>
      <c r="B988" s="5" t="s">
        <v>401</v>
      </c>
      <c r="C988" s="5" t="s">
        <v>12</v>
      </c>
      <c r="D988" s="6">
        <v>45229</v>
      </c>
      <c r="E988" s="12">
        <v>45258</v>
      </c>
      <c r="F988" t="s">
        <v>0</v>
      </c>
    </row>
    <row r="989" spans="1:6" x14ac:dyDescent="0.25">
      <c r="A989" s="5">
        <v>23323331</v>
      </c>
      <c r="B989" s="5" t="s">
        <v>400</v>
      </c>
      <c r="C989" s="5" t="s">
        <v>12</v>
      </c>
      <c r="D989" s="6">
        <v>45229</v>
      </c>
      <c r="E989" s="12">
        <v>45258</v>
      </c>
      <c r="F989" t="s">
        <v>0</v>
      </c>
    </row>
    <row r="990" spans="1:6" x14ac:dyDescent="0.25">
      <c r="A990" s="5">
        <v>23323332</v>
      </c>
      <c r="B990" s="5" t="s">
        <v>400</v>
      </c>
      <c r="C990" s="5" t="s">
        <v>12</v>
      </c>
      <c r="D990" s="6">
        <v>45200</v>
      </c>
      <c r="E990" s="12">
        <v>45258</v>
      </c>
      <c r="F990" t="s">
        <v>0</v>
      </c>
    </row>
    <row r="991" spans="1:6" x14ac:dyDescent="0.25">
      <c r="A991" s="5">
        <v>23323333</v>
      </c>
      <c r="B991" s="5" t="s">
        <v>400</v>
      </c>
      <c r="C991" s="5" t="s">
        <v>12</v>
      </c>
      <c r="D991" s="6">
        <v>45260</v>
      </c>
      <c r="E991" s="12">
        <v>45261</v>
      </c>
      <c r="F991" t="s">
        <v>0</v>
      </c>
    </row>
    <row r="992" spans="1:6" x14ac:dyDescent="0.25">
      <c r="A992" s="5">
        <v>23323334</v>
      </c>
      <c r="B992" s="5" t="s">
        <v>401</v>
      </c>
      <c r="C992" s="5" t="s">
        <v>12</v>
      </c>
      <c r="D992" s="6">
        <v>45260</v>
      </c>
      <c r="E992" s="12">
        <v>45261</v>
      </c>
      <c r="F992" t="s">
        <v>0</v>
      </c>
    </row>
    <row r="993" spans="1:6" x14ac:dyDescent="0.25">
      <c r="A993" s="5">
        <v>23323335</v>
      </c>
      <c r="B993" s="5" t="s">
        <v>401</v>
      </c>
      <c r="C993" s="5" t="s">
        <v>12</v>
      </c>
      <c r="D993" s="6">
        <v>45245</v>
      </c>
      <c r="E993" s="12">
        <v>45261</v>
      </c>
      <c r="F993" t="s">
        <v>0</v>
      </c>
    </row>
    <row r="994" spans="1:6" x14ac:dyDescent="0.25">
      <c r="A994" s="5">
        <v>23323336</v>
      </c>
      <c r="B994" s="5" t="s">
        <v>401</v>
      </c>
      <c r="C994" s="5" t="s">
        <v>12</v>
      </c>
      <c r="D994" s="6">
        <v>45235</v>
      </c>
      <c r="E994" s="12">
        <v>45261</v>
      </c>
      <c r="F994" t="s">
        <v>0</v>
      </c>
    </row>
    <row r="995" spans="1:6" x14ac:dyDescent="0.25">
      <c r="A995" s="5">
        <v>23323337</v>
      </c>
      <c r="B995" s="5" t="s">
        <v>401</v>
      </c>
      <c r="C995" s="5" t="s">
        <v>18</v>
      </c>
      <c r="D995" s="6">
        <v>45235</v>
      </c>
      <c r="E995" s="12">
        <v>45261</v>
      </c>
      <c r="F995" t="s">
        <v>0</v>
      </c>
    </row>
    <row r="996" spans="1:6" x14ac:dyDescent="0.25">
      <c r="A996" s="5">
        <v>23323338</v>
      </c>
      <c r="B996" s="5" t="s">
        <v>400</v>
      </c>
      <c r="C996" s="5" t="s">
        <v>12</v>
      </c>
      <c r="D996" s="6">
        <v>45245</v>
      </c>
      <c r="E996" s="12">
        <v>45261</v>
      </c>
      <c r="F996" t="s">
        <v>0</v>
      </c>
    </row>
    <row r="997" spans="1:6" x14ac:dyDescent="0.25">
      <c r="A997" s="5">
        <v>23323339</v>
      </c>
      <c r="B997" s="5" t="s">
        <v>401</v>
      </c>
      <c r="C997" s="5" t="s">
        <v>12</v>
      </c>
      <c r="D997" s="6">
        <v>45235</v>
      </c>
      <c r="E997" s="12">
        <v>45261</v>
      </c>
      <c r="F997" t="s">
        <v>0</v>
      </c>
    </row>
    <row r="998" spans="1:6" x14ac:dyDescent="0.25">
      <c r="A998" s="5">
        <v>23323340</v>
      </c>
      <c r="B998" s="5" t="s">
        <v>400</v>
      </c>
      <c r="C998" s="5" t="s">
        <v>12</v>
      </c>
      <c r="D998" s="6">
        <v>45235</v>
      </c>
      <c r="E998" s="12">
        <v>45261</v>
      </c>
      <c r="F998" t="s">
        <v>0</v>
      </c>
    </row>
    <row r="999" spans="1:6" x14ac:dyDescent="0.25">
      <c r="A999" s="5">
        <v>23323341</v>
      </c>
      <c r="B999" s="5" t="s">
        <v>400</v>
      </c>
      <c r="C999" s="5" t="s">
        <v>18</v>
      </c>
      <c r="D999" s="6">
        <v>45235</v>
      </c>
      <c r="E999" s="12">
        <v>45261</v>
      </c>
      <c r="F999" t="s">
        <v>0</v>
      </c>
    </row>
    <row r="1000" spans="1:6" x14ac:dyDescent="0.25">
      <c r="A1000" s="5">
        <v>23323342</v>
      </c>
      <c r="B1000" s="5" t="s">
        <v>400</v>
      </c>
      <c r="C1000" s="5" t="s">
        <v>12</v>
      </c>
      <c r="D1000" s="6">
        <v>45260</v>
      </c>
      <c r="E1000" s="12">
        <v>45261</v>
      </c>
      <c r="F1000" t="s">
        <v>0</v>
      </c>
    </row>
    <row r="1001" spans="1:6" x14ac:dyDescent="0.25">
      <c r="A1001" s="5">
        <v>23323343</v>
      </c>
      <c r="B1001" s="5" t="s">
        <v>400</v>
      </c>
      <c r="C1001" s="5" t="s">
        <v>12</v>
      </c>
      <c r="D1001" s="6">
        <v>45235</v>
      </c>
      <c r="E1001" s="12">
        <v>45261</v>
      </c>
      <c r="F1001" t="s">
        <v>0</v>
      </c>
    </row>
    <row r="1002" spans="1:6" x14ac:dyDescent="0.25">
      <c r="A1002" s="5">
        <v>23323344</v>
      </c>
      <c r="B1002" s="5" t="s">
        <v>400</v>
      </c>
      <c r="C1002" s="5" t="s">
        <v>12</v>
      </c>
      <c r="D1002" s="6">
        <v>45235</v>
      </c>
      <c r="E1002" s="12">
        <v>45261</v>
      </c>
      <c r="F1002" t="s">
        <v>0</v>
      </c>
    </row>
    <row r="1003" spans="1:6" x14ac:dyDescent="0.25">
      <c r="A1003" s="5">
        <v>23323345</v>
      </c>
      <c r="B1003" s="5" t="s">
        <v>401</v>
      </c>
      <c r="C1003" s="5" t="s">
        <v>12</v>
      </c>
      <c r="D1003" s="6">
        <v>45240</v>
      </c>
      <c r="E1003" s="12">
        <v>45261</v>
      </c>
      <c r="F1003" t="s">
        <v>0</v>
      </c>
    </row>
    <row r="1004" spans="1:6" x14ac:dyDescent="0.25">
      <c r="A1004" s="5">
        <v>23323346</v>
      </c>
      <c r="B1004" s="5" t="s">
        <v>400</v>
      </c>
      <c r="C1004" s="5" t="s">
        <v>12</v>
      </c>
      <c r="D1004" s="6">
        <v>45240</v>
      </c>
      <c r="E1004" s="12">
        <v>45261</v>
      </c>
      <c r="F1004" t="s">
        <v>0</v>
      </c>
    </row>
    <row r="1005" spans="1:6" x14ac:dyDescent="0.25">
      <c r="A1005" s="5">
        <v>23323347</v>
      </c>
      <c r="B1005" s="5" t="s">
        <v>401</v>
      </c>
      <c r="C1005" s="5" t="s">
        <v>12</v>
      </c>
      <c r="D1005" s="6">
        <v>45235</v>
      </c>
      <c r="E1005" s="12">
        <v>45261</v>
      </c>
      <c r="F1005" t="s">
        <v>0</v>
      </c>
    </row>
    <row r="1006" spans="1:6" x14ac:dyDescent="0.25">
      <c r="A1006" s="5">
        <v>23323348</v>
      </c>
      <c r="B1006" s="5" t="s">
        <v>400</v>
      </c>
      <c r="C1006" s="5" t="s">
        <v>12</v>
      </c>
      <c r="D1006" s="6">
        <v>45235</v>
      </c>
      <c r="E1006" s="12">
        <v>45261</v>
      </c>
      <c r="F1006" t="s">
        <v>0</v>
      </c>
    </row>
    <row r="1007" spans="1:6" x14ac:dyDescent="0.25">
      <c r="A1007" s="5">
        <v>23323349</v>
      </c>
      <c r="B1007" s="5" t="s">
        <v>400</v>
      </c>
      <c r="C1007" s="5" t="s">
        <v>12</v>
      </c>
      <c r="D1007" s="6">
        <v>45214</v>
      </c>
      <c r="E1007" s="12">
        <v>45261</v>
      </c>
      <c r="F1007" t="s">
        <v>0</v>
      </c>
    </row>
    <row r="1008" spans="1:6" x14ac:dyDescent="0.25">
      <c r="A1008" s="5">
        <v>23323350</v>
      </c>
      <c r="B1008" s="5" t="s">
        <v>400</v>
      </c>
      <c r="C1008" s="5" t="s">
        <v>12</v>
      </c>
      <c r="D1008" s="6">
        <v>45235</v>
      </c>
      <c r="E1008" s="12">
        <v>45261</v>
      </c>
      <c r="F1008" t="s">
        <v>0</v>
      </c>
    </row>
    <row r="1009" spans="1:6" x14ac:dyDescent="0.25">
      <c r="A1009" s="5">
        <v>23323351</v>
      </c>
      <c r="B1009" s="5" t="s">
        <v>400</v>
      </c>
      <c r="C1009" s="5" t="s">
        <v>12</v>
      </c>
      <c r="D1009" s="6">
        <v>45229</v>
      </c>
      <c r="E1009" s="12">
        <v>45261</v>
      </c>
      <c r="F1009" t="s">
        <v>0</v>
      </c>
    </row>
    <row r="1010" spans="1:6" x14ac:dyDescent="0.25">
      <c r="A1010" s="5">
        <v>23323352</v>
      </c>
      <c r="B1010" s="5" t="s">
        <v>401</v>
      </c>
      <c r="C1010" s="5" t="s">
        <v>12</v>
      </c>
      <c r="D1010" s="6">
        <v>45245</v>
      </c>
      <c r="E1010" s="12">
        <v>45261</v>
      </c>
      <c r="F1010" t="s">
        <v>0</v>
      </c>
    </row>
    <row r="1011" spans="1:6" x14ac:dyDescent="0.25">
      <c r="A1011" s="5">
        <v>23323353</v>
      </c>
      <c r="B1011" s="5" t="s">
        <v>401</v>
      </c>
      <c r="C1011" s="5" t="s">
        <v>12</v>
      </c>
      <c r="D1011" s="6">
        <v>45235</v>
      </c>
      <c r="E1011" s="12">
        <v>45261</v>
      </c>
      <c r="F1011" t="s">
        <v>0</v>
      </c>
    </row>
    <row r="1012" spans="1:6" x14ac:dyDescent="0.25">
      <c r="A1012" s="5">
        <v>23323354</v>
      </c>
      <c r="B1012" s="5" t="s">
        <v>400</v>
      </c>
      <c r="C1012" s="5" t="s">
        <v>12</v>
      </c>
      <c r="D1012" s="6">
        <v>45245</v>
      </c>
      <c r="E1012" s="12">
        <v>45261</v>
      </c>
      <c r="F1012" t="s">
        <v>0</v>
      </c>
    </row>
    <row r="1013" spans="1:6" x14ac:dyDescent="0.25">
      <c r="A1013" s="5">
        <v>23323355</v>
      </c>
      <c r="B1013" s="5" t="s">
        <v>401</v>
      </c>
      <c r="C1013" s="5" t="s">
        <v>12</v>
      </c>
      <c r="D1013" s="6">
        <v>44834</v>
      </c>
      <c r="E1013" s="12">
        <v>45261</v>
      </c>
      <c r="F1013" t="s">
        <v>0</v>
      </c>
    </row>
    <row r="1014" spans="1:6" x14ac:dyDescent="0.25">
      <c r="A1014" s="5">
        <v>20910754</v>
      </c>
      <c r="B1014" s="5" t="s">
        <v>400</v>
      </c>
      <c r="C1014" s="5" t="s">
        <v>18</v>
      </c>
      <c r="D1014" s="6">
        <v>43403</v>
      </c>
      <c r="E1014" s="12">
        <v>45265</v>
      </c>
      <c r="F1014" t="s">
        <v>2</v>
      </c>
    </row>
    <row r="1015" spans="1:6" x14ac:dyDescent="0.25">
      <c r="A1015" s="5">
        <v>23323356</v>
      </c>
      <c r="B1015" s="5" t="s">
        <v>400</v>
      </c>
      <c r="C1015" s="5" t="s">
        <v>18</v>
      </c>
      <c r="D1015" s="6">
        <v>45200</v>
      </c>
      <c r="E1015" s="12">
        <v>45265</v>
      </c>
      <c r="F1015" t="s">
        <v>2</v>
      </c>
    </row>
    <row r="1016" spans="1:6" x14ac:dyDescent="0.25">
      <c r="A1016" s="5">
        <v>23323357</v>
      </c>
      <c r="B1016" s="5" t="s">
        <v>400</v>
      </c>
      <c r="C1016" s="5" t="s">
        <v>18</v>
      </c>
      <c r="D1016" s="6">
        <v>45200</v>
      </c>
      <c r="E1016" s="12">
        <v>45265</v>
      </c>
      <c r="F1016" t="s">
        <v>2</v>
      </c>
    </row>
    <row r="1017" spans="1:6" x14ac:dyDescent="0.25">
      <c r="A1017" s="5">
        <v>23323358</v>
      </c>
      <c r="B1017" s="5" t="s">
        <v>401</v>
      </c>
      <c r="C1017" s="5" t="s">
        <v>18</v>
      </c>
      <c r="D1017" s="6">
        <v>45200</v>
      </c>
      <c r="E1017" s="12">
        <v>45265</v>
      </c>
      <c r="F1017" t="s">
        <v>2</v>
      </c>
    </row>
    <row r="1018" spans="1:6" x14ac:dyDescent="0.25">
      <c r="A1018" s="5">
        <v>23323359</v>
      </c>
      <c r="B1018" s="5" t="s">
        <v>401</v>
      </c>
      <c r="C1018" s="5" t="s">
        <v>12</v>
      </c>
      <c r="D1018" s="6">
        <v>45245</v>
      </c>
      <c r="E1018" s="12">
        <v>45265</v>
      </c>
      <c r="F1018" t="s">
        <v>2</v>
      </c>
    </row>
    <row r="1019" spans="1:6" x14ac:dyDescent="0.25">
      <c r="A1019" s="5">
        <v>23323360</v>
      </c>
      <c r="B1019" s="5" t="s">
        <v>401</v>
      </c>
      <c r="C1019" s="5" t="s">
        <v>12</v>
      </c>
      <c r="D1019" s="6">
        <v>45231</v>
      </c>
      <c r="E1019" s="12">
        <v>45265</v>
      </c>
      <c r="F1019" t="s">
        <v>2</v>
      </c>
    </row>
    <row r="1020" spans="1:6" x14ac:dyDescent="0.25">
      <c r="A1020" s="5">
        <v>23323361</v>
      </c>
      <c r="B1020" s="5" t="s">
        <v>401</v>
      </c>
      <c r="C1020" s="5" t="s">
        <v>18</v>
      </c>
      <c r="D1020" s="6">
        <v>45200</v>
      </c>
      <c r="E1020" s="12">
        <v>45265</v>
      </c>
      <c r="F1020" t="s">
        <v>2</v>
      </c>
    </row>
    <row r="1021" spans="1:6" x14ac:dyDescent="0.25">
      <c r="A1021" s="5">
        <v>23323362</v>
      </c>
      <c r="B1021" s="5" t="s">
        <v>401</v>
      </c>
      <c r="C1021" s="5" t="s">
        <v>18</v>
      </c>
      <c r="D1021" s="6">
        <v>45200</v>
      </c>
      <c r="E1021" s="12">
        <v>45265</v>
      </c>
      <c r="F1021" t="s">
        <v>2</v>
      </c>
    </row>
    <row r="1022" spans="1:6" x14ac:dyDescent="0.25">
      <c r="A1022" s="5">
        <v>23323363</v>
      </c>
      <c r="B1022" s="5" t="s">
        <v>400</v>
      </c>
      <c r="C1022" s="5" t="s">
        <v>12</v>
      </c>
      <c r="D1022" s="6">
        <v>45200</v>
      </c>
      <c r="E1022" s="12">
        <v>45265</v>
      </c>
      <c r="F1022" t="s">
        <v>2</v>
      </c>
    </row>
    <row r="1023" spans="1:6" x14ac:dyDescent="0.25">
      <c r="A1023" s="5">
        <v>23323364</v>
      </c>
      <c r="B1023" s="5" t="s">
        <v>401</v>
      </c>
      <c r="C1023" s="5" t="s">
        <v>18</v>
      </c>
      <c r="D1023" s="6">
        <v>45200</v>
      </c>
      <c r="E1023" s="12">
        <v>45265</v>
      </c>
      <c r="F1023" t="s">
        <v>2</v>
      </c>
    </row>
    <row r="1024" spans="1:6" x14ac:dyDescent="0.25">
      <c r="A1024" s="5">
        <v>23323365</v>
      </c>
      <c r="B1024" s="5" t="s">
        <v>401</v>
      </c>
      <c r="C1024" s="5" t="s">
        <v>18</v>
      </c>
      <c r="D1024" s="6">
        <v>45231</v>
      </c>
      <c r="E1024" s="12">
        <v>45265</v>
      </c>
      <c r="F1024" t="s">
        <v>2</v>
      </c>
    </row>
    <row r="1025" spans="1:6" x14ac:dyDescent="0.25">
      <c r="A1025" s="5">
        <v>23323366</v>
      </c>
      <c r="B1025" s="5" t="s">
        <v>401</v>
      </c>
      <c r="C1025" s="5" t="s">
        <v>18</v>
      </c>
      <c r="D1025" s="6">
        <v>45200</v>
      </c>
      <c r="E1025" s="12">
        <v>45265</v>
      </c>
      <c r="F1025" t="s">
        <v>2</v>
      </c>
    </row>
    <row r="1026" spans="1:6" x14ac:dyDescent="0.25">
      <c r="A1026" s="5">
        <v>23323367</v>
      </c>
      <c r="B1026" s="5" t="s">
        <v>400</v>
      </c>
      <c r="C1026" s="5" t="s">
        <v>12</v>
      </c>
      <c r="D1026" s="6">
        <v>45214</v>
      </c>
      <c r="E1026" s="12">
        <v>45265</v>
      </c>
      <c r="F1026" t="s">
        <v>2</v>
      </c>
    </row>
    <row r="1027" spans="1:6" x14ac:dyDescent="0.25">
      <c r="A1027" s="5">
        <v>23323368</v>
      </c>
      <c r="B1027" s="5" t="s">
        <v>401</v>
      </c>
      <c r="C1027" s="5" t="s">
        <v>18</v>
      </c>
      <c r="D1027" s="6">
        <v>45214</v>
      </c>
      <c r="E1027" s="12">
        <v>45265</v>
      </c>
      <c r="F1027" t="s">
        <v>2</v>
      </c>
    </row>
    <row r="1028" spans="1:6" x14ac:dyDescent="0.25">
      <c r="A1028" s="5">
        <v>23323369</v>
      </c>
      <c r="B1028" s="5" t="s">
        <v>401</v>
      </c>
      <c r="C1028" s="5" t="s">
        <v>18</v>
      </c>
      <c r="D1028" s="6">
        <v>45214</v>
      </c>
      <c r="E1028" s="12">
        <v>45265</v>
      </c>
      <c r="F1028" t="s">
        <v>2</v>
      </c>
    </row>
    <row r="1029" spans="1:6" x14ac:dyDescent="0.25">
      <c r="A1029" s="5">
        <v>23323370</v>
      </c>
      <c r="B1029" s="5" t="s">
        <v>401</v>
      </c>
      <c r="C1029" s="5" t="s">
        <v>84</v>
      </c>
      <c r="D1029" s="6">
        <v>45200</v>
      </c>
      <c r="E1029" s="12">
        <v>45265</v>
      </c>
      <c r="F1029" t="s">
        <v>2</v>
      </c>
    </row>
    <row r="1030" spans="1:6" x14ac:dyDescent="0.25">
      <c r="A1030" s="5">
        <v>23323371</v>
      </c>
      <c r="B1030" s="5" t="s">
        <v>401</v>
      </c>
      <c r="C1030" s="5" t="s">
        <v>18</v>
      </c>
      <c r="D1030" s="6">
        <v>45214</v>
      </c>
      <c r="E1030" s="12">
        <v>45265</v>
      </c>
      <c r="F1030" t="s">
        <v>2</v>
      </c>
    </row>
    <row r="1031" spans="1:6" x14ac:dyDescent="0.25">
      <c r="A1031" s="5">
        <v>23323372</v>
      </c>
      <c r="B1031" s="5" t="s">
        <v>400</v>
      </c>
      <c r="C1031" s="5" t="s">
        <v>18</v>
      </c>
      <c r="D1031" s="6">
        <v>45200</v>
      </c>
      <c r="E1031" s="12">
        <v>45265</v>
      </c>
      <c r="F1031" t="s">
        <v>2</v>
      </c>
    </row>
    <row r="1032" spans="1:6" x14ac:dyDescent="0.25">
      <c r="A1032" s="5">
        <v>23323373</v>
      </c>
      <c r="B1032" s="5" t="s">
        <v>401</v>
      </c>
      <c r="C1032" s="5" t="s">
        <v>12</v>
      </c>
      <c r="D1032" s="6">
        <v>45231</v>
      </c>
      <c r="E1032" s="12">
        <v>45265</v>
      </c>
      <c r="F1032" t="s">
        <v>2</v>
      </c>
    </row>
    <row r="1033" spans="1:6" x14ac:dyDescent="0.25">
      <c r="A1033" s="5">
        <v>23323374</v>
      </c>
      <c r="B1033" s="5" t="s">
        <v>400</v>
      </c>
      <c r="C1033" s="5" t="s">
        <v>12</v>
      </c>
      <c r="D1033" s="6">
        <v>45200</v>
      </c>
      <c r="E1033" s="12">
        <v>45265</v>
      </c>
      <c r="F1033" t="s">
        <v>2</v>
      </c>
    </row>
    <row r="1034" spans="1:6" x14ac:dyDescent="0.25">
      <c r="A1034" s="5">
        <v>23323375</v>
      </c>
      <c r="B1034" s="5" t="s">
        <v>400</v>
      </c>
      <c r="C1034" s="5" t="s">
        <v>12</v>
      </c>
      <c r="D1034" s="6">
        <v>45200</v>
      </c>
      <c r="E1034" s="12">
        <v>45265</v>
      </c>
      <c r="F1034" t="s">
        <v>2</v>
      </c>
    </row>
    <row r="1035" spans="1:6" x14ac:dyDescent="0.25">
      <c r="A1035" s="5">
        <v>23323376</v>
      </c>
      <c r="B1035" s="5" t="s">
        <v>400</v>
      </c>
      <c r="C1035" s="5" t="s">
        <v>12</v>
      </c>
      <c r="D1035" s="6">
        <v>45214</v>
      </c>
      <c r="E1035" s="12">
        <v>45265</v>
      </c>
      <c r="F1035" t="s">
        <v>2</v>
      </c>
    </row>
    <row r="1036" spans="1:6" x14ac:dyDescent="0.25">
      <c r="A1036" s="5">
        <v>23323377</v>
      </c>
      <c r="B1036" s="5" t="s">
        <v>401</v>
      </c>
      <c r="C1036" s="5" t="s">
        <v>18</v>
      </c>
      <c r="D1036" s="6">
        <v>45200</v>
      </c>
      <c r="E1036" s="12">
        <v>45265</v>
      </c>
      <c r="F1036" t="s">
        <v>2</v>
      </c>
    </row>
    <row r="1037" spans="1:6" x14ac:dyDescent="0.25">
      <c r="A1037" s="5">
        <v>23323378</v>
      </c>
      <c r="B1037" s="5" t="s">
        <v>401</v>
      </c>
      <c r="C1037" s="5" t="s">
        <v>12</v>
      </c>
      <c r="D1037" s="6">
        <v>45231</v>
      </c>
      <c r="E1037" s="12">
        <v>45265</v>
      </c>
      <c r="F1037" t="s">
        <v>2</v>
      </c>
    </row>
    <row r="1038" spans="1:6" x14ac:dyDescent="0.25">
      <c r="A1038" s="5">
        <v>23323380</v>
      </c>
      <c r="B1038" s="5" t="s">
        <v>400</v>
      </c>
      <c r="C1038" s="5" t="s">
        <v>18</v>
      </c>
      <c r="D1038" s="6">
        <v>45245</v>
      </c>
      <c r="E1038" s="12">
        <v>45265</v>
      </c>
      <c r="F1038" t="s">
        <v>2</v>
      </c>
    </row>
    <row r="1039" spans="1:6" x14ac:dyDescent="0.25">
      <c r="A1039" s="5">
        <v>23323381</v>
      </c>
      <c r="B1039" s="5" t="s">
        <v>400</v>
      </c>
      <c r="C1039" s="5" t="s">
        <v>12</v>
      </c>
      <c r="D1039" s="6">
        <v>45214</v>
      </c>
      <c r="E1039" s="12">
        <v>45265</v>
      </c>
      <c r="F1039" t="s">
        <v>2</v>
      </c>
    </row>
    <row r="1040" spans="1:6" x14ac:dyDescent="0.25">
      <c r="A1040" s="5">
        <v>23323382</v>
      </c>
      <c r="B1040" s="5" t="s">
        <v>401</v>
      </c>
      <c r="C1040" s="5" t="s">
        <v>18</v>
      </c>
      <c r="D1040" s="6">
        <v>45200</v>
      </c>
      <c r="E1040" s="12">
        <v>45265</v>
      </c>
      <c r="F1040" t="s">
        <v>2</v>
      </c>
    </row>
    <row r="1041" spans="1:6" x14ac:dyDescent="0.25">
      <c r="A1041" s="5">
        <v>23323383</v>
      </c>
      <c r="B1041" s="5" t="s">
        <v>400</v>
      </c>
      <c r="C1041" s="5" t="s">
        <v>18</v>
      </c>
      <c r="D1041" s="6">
        <v>45200</v>
      </c>
      <c r="E1041" s="12">
        <v>45265</v>
      </c>
      <c r="F1041" t="s">
        <v>2</v>
      </c>
    </row>
    <row r="1042" spans="1:6" x14ac:dyDescent="0.25">
      <c r="A1042" s="5">
        <v>23323384</v>
      </c>
      <c r="B1042" s="5" t="s">
        <v>400</v>
      </c>
      <c r="C1042" s="5" t="s">
        <v>12</v>
      </c>
      <c r="D1042" s="6">
        <v>45200</v>
      </c>
      <c r="E1042" s="12">
        <v>45265</v>
      </c>
      <c r="F1042" t="s">
        <v>2</v>
      </c>
    </row>
    <row r="1043" spans="1:6" x14ac:dyDescent="0.25">
      <c r="A1043" s="5">
        <v>23323385</v>
      </c>
      <c r="B1043" s="5" t="s">
        <v>401</v>
      </c>
      <c r="C1043" s="5" t="s">
        <v>18</v>
      </c>
      <c r="D1043" s="6">
        <v>45200</v>
      </c>
      <c r="E1043" s="12">
        <v>45265</v>
      </c>
      <c r="F1043" t="s">
        <v>2</v>
      </c>
    </row>
    <row r="1044" spans="1:6" x14ac:dyDescent="0.25">
      <c r="A1044" s="5">
        <v>23323386</v>
      </c>
      <c r="B1044" s="5" t="s">
        <v>400</v>
      </c>
      <c r="C1044" s="5" t="s">
        <v>12</v>
      </c>
      <c r="D1044" s="6">
        <v>45231</v>
      </c>
      <c r="E1044" s="12">
        <v>45265</v>
      </c>
      <c r="F1044" t="s">
        <v>2</v>
      </c>
    </row>
    <row r="1045" spans="1:6" x14ac:dyDescent="0.25">
      <c r="A1045" s="5">
        <v>23323387</v>
      </c>
      <c r="B1045" s="5" t="s">
        <v>400</v>
      </c>
      <c r="C1045" s="5" t="s">
        <v>18</v>
      </c>
      <c r="D1045" s="6">
        <v>45231</v>
      </c>
      <c r="E1045" s="12">
        <v>45265</v>
      </c>
      <c r="F1045" t="s">
        <v>2</v>
      </c>
    </row>
    <row r="1046" spans="1:6" x14ac:dyDescent="0.25">
      <c r="A1046" s="5">
        <v>23323388</v>
      </c>
      <c r="B1046" s="5" t="s">
        <v>400</v>
      </c>
      <c r="C1046" s="5" t="s">
        <v>18</v>
      </c>
      <c r="D1046" s="6">
        <v>45200</v>
      </c>
      <c r="E1046" s="12">
        <v>45265</v>
      </c>
      <c r="F1046" t="s">
        <v>2</v>
      </c>
    </row>
    <row r="1047" spans="1:6" x14ac:dyDescent="0.25">
      <c r="A1047" s="5">
        <v>23323389</v>
      </c>
      <c r="B1047" s="5" t="s">
        <v>401</v>
      </c>
      <c r="C1047" s="5" t="s">
        <v>12</v>
      </c>
      <c r="D1047" s="6">
        <v>45200</v>
      </c>
      <c r="E1047" s="12">
        <v>45265</v>
      </c>
      <c r="F1047" t="s">
        <v>2</v>
      </c>
    </row>
    <row r="1048" spans="1:6" x14ac:dyDescent="0.25">
      <c r="A1048" s="5">
        <v>23323390</v>
      </c>
      <c r="B1048" s="5" t="s">
        <v>401</v>
      </c>
      <c r="C1048" s="5" t="s">
        <v>12</v>
      </c>
      <c r="D1048" s="6">
        <v>45245</v>
      </c>
      <c r="E1048" s="12">
        <v>45265</v>
      </c>
      <c r="F1048" t="s">
        <v>2</v>
      </c>
    </row>
    <row r="1049" spans="1:6" x14ac:dyDescent="0.25">
      <c r="A1049" s="5">
        <v>23323391</v>
      </c>
      <c r="B1049" s="5" t="s">
        <v>401</v>
      </c>
      <c r="C1049" s="5" t="s">
        <v>12</v>
      </c>
      <c r="D1049" s="6">
        <v>45200</v>
      </c>
      <c r="E1049" s="12">
        <v>45265</v>
      </c>
      <c r="F1049" t="s">
        <v>2</v>
      </c>
    </row>
    <row r="1050" spans="1:6" x14ac:dyDescent="0.25">
      <c r="A1050" s="5">
        <v>23323392</v>
      </c>
      <c r="B1050" s="5" t="s">
        <v>401</v>
      </c>
      <c r="C1050" s="5" t="s">
        <v>18</v>
      </c>
      <c r="D1050" s="6">
        <v>45200</v>
      </c>
      <c r="E1050" s="12">
        <v>45265</v>
      </c>
      <c r="F1050" t="s">
        <v>2</v>
      </c>
    </row>
    <row r="1051" spans="1:6" x14ac:dyDescent="0.25">
      <c r="A1051" s="5">
        <v>23323393</v>
      </c>
      <c r="B1051" s="5" t="s">
        <v>401</v>
      </c>
      <c r="C1051" s="5" t="s">
        <v>12</v>
      </c>
      <c r="D1051" s="6">
        <v>45200</v>
      </c>
      <c r="E1051" s="12">
        <v>45265</v>
      </c>
      <c r="F1051" t="s">
        <v>2</v>
      </c>
    </row>
    <row r="1052" spans="1:6" x14ac:dyDescent="0.25">
      <c r="A1052" s="5">
        <v>23323394</v>
      </c>
      <c r="B1052" s="5" t="s">
        <v>401</v>
      </c>
      <c r="C1052" s="5" t="s">
        <v>12</v>
      </c>
      <c r="D1052" s="6">
        <v>45200</v>
      </c>
      <c r="E1052" s="12">
        <v>45265</v>
      </c>
      <c r="F1052" t="s">
        <v>2</v>
      </c>
    </row>
    <row r="1053" spans="1:6" x14ac:dyDescent="0.25">
      <c r="A1053" s="5">
        <v>23323395</v>
      </c>
      <c r="B1053" s="5" t="s">
        <v>401</v>
      </c>
      <c r="C1053" s="5" t="s">
        <v>12</v>
      </c>
      <c r="D1053" s="6">
        <v>45245</v>
      </c>
      <c r="E1053" s="12">
        <v>45265</v>
      </c>
      <c r="F1053" t="s">
        <v>2</v>
      </c>
    </row>
    <row r="1054" spans="1:6" x14ac:dyDescent="0.25">
      <c r="A1054" s="5">
        <v>23323396</v>
      </c>
      <c r="B1054" s="5" t="s">
        <v>401</v>
      </c>
      <c r="C1054" s="5" t="s">
        <v>12</v>
      </c>
      <c r="D1054" s="6">
        <v>45260</v>
      </c>
      <c r="E1054" s="12">
        <v>45265</v>
      </c>
      <c r="F1054" t="s">
        <v>2</v>
      </c>
    </row>
    <row r="1055" spans="1:6" x14ac:dyDescent="0.25">
      <c r="A1055" s="5">
        <v>23323397</v>
      </c>
      <c r="B1055" s="5" t="s">
        <v>401</v>
      </c>
      <c r="C1055" s="5" t="s">
        <v>12</v>
      </c>
      <c r="D1055" s="6">
        <v>45245</v>
      </c>
      <c r="E1055" s="12">
        <v>45265</v>
      </c>
      <c r="F1055" t="s">
        <v>2</v>
      </c>
    </row>
    <row r="1056" spans="1:6" x14ac:dyDescent="0.25">
      <c r="A1056" s="5">
        <v>23323398</v>
      </c>
      <c r="B1056" s="5" t="s">
        <v>400</v>
      </c>
      <c r="C1056" s="5" t="s">
        <v>12</v>
      </c>
      <c r="D1056" s="6">
        <v>45245</v>
      </c>
      <c r="E1056" s="12">
        <v>45265</v>
      </c>
      <c r="F1056" t="s">
        <v>2</v>
      </c>
    </row>
    <row r="1057" spans="1:6" x14ac:dyDescent="0.25">
      <c r="A1057" s="5">
        <v>23323399</v>
      </c>
      <c r="B1057" s="5" t="s">
        <v>400</v>
      </c>
      <c r="C1057" s="5" t="s">
        <v>12</v>
      </c>
      <c r="D1057" s="6">
        <v>45200</v>
      </c>
      <c r="E1057" s="12">
        <v>45265</v>
      </c>
      <c r="F1057" t="s">
        <v>2</v>
      </c>
    </row>
    <row r="1058" spans="1:6" x14ac:dyDescent="0.25">
      <c r="A1058" s="5">
        <v>23323400</v>
      </c>
      <c r="B1058" s="5" t="s">
        <v>400</v>
      </c>
      <c r="C1058" s="5" t="s">
        <v>12</v>
      </c>
      <c r="D1058" s="6">
        <v>45200</v>
      </c>
      <c r="E1058" s="12">
        <v>45265</v>
      </c>
      <c r="F1058" t="s">
        <v>2</v>
      </c>
    </row>
    <row r="1059" spans="1:6" x14ac:dyDescent="0.25">
      <c r="A1059" s="5">
        <v>23323401</v>
      </c>
      <c r="B1059" s="5" t="s">
        <v>400</v>
      </c>
      <c r="C1059" s="5" t="s">
        <v>18</v>
      </c>
      <c r="D1059" s="6">
        <v>45200</v>
      </c>
      <c r="E1059" s="12">
        <v>45265</v>
      </c>
      <c r="F1059" t="s">
        <v>2</v>
      </c>
    </row>
    <row r="1060" spans="1:6" x14ac:dyDescent="0.25">
      <c r="A1060" s="5">
        <v>23323402</v>
      </c>
      <c r="B1060" s="5" t="s">
        <v>400</v>
      </c>
      <c r="C1060" s="5" t="s">
        <v>12</v>
      </c>
      <c r="D1060" s="6">
        <v>45214</v>
      </c>
      <c r="E1060" s="12">
        <v>45265</v>
      </c>
      <c r="F1060" t="s">
        <v>2</v>
      </c>
    </row>
    <row r="1061" spans="1:6" x14ac:dyDescent="0.25">
      <c r="A1061" s="5">
        <v>23323403</v>
      </c>
      <c r="B1061" s="5" t="s">
        <v>400</v>
      </c>
      <c r="C1061" s="5" t="s">
        <v>12</v>
      </c>
      <c r="D1061" s="6">
        <v>45200</v>
      </c>
      <c r="E1061" s="12">
        <v>45265</v>
      </c>
      <c r="F1061" t="s">
        <v>2</v>
      </c>
    </row>
    <row r="1062" spans="1:6" x14ac:dyDescent="0.25">
      <c r="A1062" s="5">
        <v>23323404</v>
      </c>
      <c r="B1062" s="5" t="s">
        <v>401</v>
      </c>
      <c r="C1062" s="5" t="s">
        <v>12</v>
      </c>
      <c r="D1062" s="6">
        <v>45245</v>
      </c>
      <c r="E1062" s="12">
        <v>45265</v>
      </c>
      <c r="F1062" t="s">
        <v>2</v>
      </c>
    </row>
    <row r="1063" spans="1:6" x14ac:dyDescent="0.25">
      <c r="A1063" s="5">
        <v>23323405</v>
      </c>
      <c r="B1063" s="5" t="s">
        <v>401</v>
      </c>
      <c r="C1063" s="5" t="s">
        <v>18</v>
      </c>
      <c r="D1063" s="6">
        <v>45200</v>
      </c>
      <c r="E1063" s="12">
        <v>45265</v>
      </c>
      <c r="F1063" t="s">
        <v>2</v>
      </c>
    </row>
    <row r="1064" spans="1:6" x14ac:dyDescent="0.25">
      <c r="A1064" s="5">
        <v>23323406</v>
      </c>
      <c r="B1064" s="5" t="s">
        <v>400</v>
      </c>
      <c r="C1064" s="5" t="s">
        <v>18</v>
      </c>
      <c r="D1064" s="6">
        <v>45200</v>
      </c>
      <c r="E1064" s="12">
        <v>45265</v>
      </c>
      <c r="F1064" t="s">
        <v>2</v>
      </c>
    </row>
    <row r="1065" spans="1:6" x14ac:dyDescent="0.25">
      <c r="A1065" s="5">
        <v>23323407</v>
      </c>
      <c r="B1065" s="5" t="s">
        <v>400</v>
      </c>
      <c r="C1065" s="5" t="s">
        <v>12</v>
      </c>
      <c r="D1065" s="6">
        <v>45200</v>
      </c>
      <c r="E1065" s="12">
        <v>45265</v>
      </c>
      <c r="F1065" t="s">
        <v>2</v>
      </c>
    </row>
    <row r="1066" spans="1:6" x14ac:dyDescent="0.25">
      <c r="A1066" s="5">
        <v>23323408</v>
      </c>
      <c r="B1066" s="5" t="s">
        <v>400</v>
      </c>
      <c r="C1066" s="5" t="s">
        <v>18</v>
      </c>
      <c r="D1066" s="6">
        <v>45200</v>
      </c>
      <c r="E1066" s="12">
        <v>45265</v>
      </c>
      <c r="F1066" t="s">
        <v>2</v>
      </c>
    </row>
    <row r="1067" spans="1:6" x14ac:dyDescent="0.25">
      <c r="A1067" s="5">
        <v>23323409</v>
      </c>
      <c r="B1067" s="5" t="s">
        <v>401</v>
      </c>
      <c r="C1067" s="5" t="s">
        <v>12</v>
      </c>
      <c r="D1067" s="6">
        <v>45200</v>
      </c>
      <c r="E1067" s="12">
        <v>45265</v>
      </c>
      <c r="F1067" t="s">
        <v>2</v>
      </c>
    </row>
    <row r="1068" spans="1:6" x14ac:dyDescent="0.25">
      <c r="A1068" s="5">
        <v>23323410</v>
      </c>
      <c r="B1068" s="5" t="s">
        <v>401</v>
      </c>
      <c r="C1068" s="5" t="s">
        <v>12</v>
      </c>
      <c r="D1068" s="6">
        <v>45214</v>
      </c>
      <c r="E1068" s="12">
        <v>45265</v>
      </c>
      <c r="F1068" t="s">
        <v>2</v>
      </c>
    </row>
    <row r="1069" spans="1:6" x14ac:dyDescent="0.25">
      <c r="A1069" s="5">
        <v>23323411</v>
      </c>
      <c r="B1069" s="5" t="s">
        <v>401</v>
      </c>
      <c r="C1069" s="5" t="s">
        <v>18</v>
      </c>
      <c r="D1069" s="6">
        <v>45200</v>
      </c>
      <c r="E1069" s="12">
        <v>45265</v>
      </c>
      <c r="F1069" t="s">
        <v>2</v>
      </c>
    </row>
    <row r="1070" spans="1:6" x14ac:dyDescent="0.25">
      <c r="A1070" s="5">
        <v>23323412</v>
      </c>
      <c r="B1070" s="5" t="s">
        <v>401</v>
      </c>
      <c r="C1070" s="5" t="s">
        <v>12</v>
      </c>
      <c r="D1070" s="6">
        <v>45170</v>
      </c>
      <c r="E1070" s="12">
        <v>45265</v>
      </c>
      <c r="F1070" t="s">
        <v>2</v>
      </c>
    </row>
    <row r="1071" spans="1:6" x14ac:dyDescent="0.25">
      <c r="A1071" s="5">
        <v>23323413</v>
      </c>
      <c r="B1071" s="5" t="s">
        <v>401</v>
      </c>
      <c r="C1071" s="5" t="s">
        <v>12</v>
      </c>
      <c r="D1071" s="6">
        <v>45214</v>
      </c>
      <c r="E1071" s="12">
        <v>45265</v>
      </c>
      <c r="F1071" t="s">
        <v>2</v>
      </c>
    </row>
    <row r="1072" spans="1:6" x14ac:dyDescent="0.25">
      <c r="A1072" s="5">
        <v>23323414</v>
      </c>
      <c r="B1072" s="5" t="s">
        <v>400</v>
      </c>
      <c r="C1072" s="5" t="s">
        <v>12</v>
      </c>
      <c r="D1072" s="6">
        <v>45245</v>
      </c>
      <c r="E1072" s="12">
        <v>45265</v>
      </c>
      <c r="F1072" t="s">
        <v>2</v>
      </c>
    </row>
    <row r="1073" spans="1:6" x14ac:dyDescent="0.25">
      <c r="A1073" s="5">
        <v>23323415</v>
      </c>
      <c r="B1073" s="5" t="s">
        <v>400</v>
      </c>
      <c r="C1073" s="5" t="s">
        <v>12</v>
      </c>
      <c r="D1073" s="6">
        <v>45200</v>
      </c>
      <c r="E1073" s="12">
        <v>45265</v>
      </c>
      <c r="F1073" t="s">
        <v>2</v>
      </c>
    </row>
    <row r="1074" spans="1:6" x14ac:dyDescent="0.25">
      <c r="A1074" s="5">
        <v>23323416</v>
      </c>
      <c r="B1074" s="5" t="s">
        <v>401</v>
      </c>
      <c r="C1074" s="5" t="s">
        <v>12</v>
      </c>
      <c r="D1074" s="6">
        <v>45200</v>
      </c>
      <c r="E1074" s="12">
        <v>45265</v>
      </c>
      <c r="F1074" t="s">
        <v>2</v>
      </c>
    </row>
    <row r="1075" spans="1:6" x14ac:dyDescent="0.25">
      <c r="A1075" s="5">
        <v>23323418</v>
      </c>
      <c r="B1075" s="5" t="s">
        <v>400</v>
      </c>
      <c r="C1075" s="5" t="s">
        <v>12</v>
      </c>
      <c r="D1075" s="6">
        <v>45260</v>
      </c>
      <c r="E1075" s="12">
        <v>45265</v>
      </c>
      <c r="F1075" t="s">
        <v>2</v>
      </c>
    </row>
    <row r="1076" spans="1:6" x14ac:dyDescent="0.25">
      <c r="A1076" s="5">
        <v>23323419</v>
      </c>
      <c r="B1076" s="5" t="s">
        <v>400</v>
      </c>
      <c r="C1076" s="5" t="s">
        <v>12</v>
      </c>
      <c r="D1076" s="6">
        <v>45200</v>
      </c>
      <c r="E1076" s="12">
        <v>45265</v>
      </c>
      <c r="F1076" t="s">
        <v>2</v>
      </c>
    </row>
    <row r="1077" spans="1:6" x14ac:dyDescent="0.25">
      <c r="A1077" s="5">
        <v>23323420</v>
      </c>
      <c r="B1077" s="5" t="s">
        <v>400</v>
      </c>
      <c r="C1077" s="5" t="s">
        <v>12</v>
      </c>
      <c r="D1077" s="6">
        <v>45200</v>
      </c>
      <c r="E1077" s="12">
        <v>45265</v>
      </c>
      <c r="F1077" t="s">
        <v>2</v>
      </c>
    </row>
    <row r="1078" spans="1:6" x14ac:dyDescent="0.25">
      <c r="A1078" s="5">
        <v>23323421</v>
      </c>
      <c r="B1078" s="5" t="s">
        <v>400</v>
      </c>
      <c r="C1078" s="5" t="s">
        <v>18</v>
      </c>
      <c r="D1078" s="6">
        <v>45214</v>
      </c>
      <c r="E1078" s="12">
        <v>45265</v>
      </c>
      <c r="F1078" t="s">
        <v>2</v>
      </c>
    </row>
    <row r="1079" spans="1:6" x14ac:dyDescent="0.25">
      <c r="A1079" s="5">
        <v>23323422</v>
      </c>
      <c r="B1079" s="5" t="s">
        <v>401</v>
      </c>
      <c r="C1079" s="5" t="s">
        <v>18</v>
      </c>
      <c r="D1079" s="6">
        <v>45200</v>
      </c>
      <c r="E1079" s="12">
        <v>45265</v>
      </c>
      <c r="F1079" t="s">
        <v>2</v>
      </c>
    </row>
    <row r="1080" spans="1:6" x14ac:dyDescent="0.25">
      <c r="A1080" s="5">
        <v>23323423</v>
      </c>
      <c r="B1080" s="5" t="s">
        <v>401</v>
      </c>
      <c r="C1080" s="5" t="s">
        <v>24</v>
      </c>
      <c r="D1080" s="6">
        <v>45170</v>
      </c>
      <c r="E1080" s="12">
        <v>45265</v>
      </c>
      <c r="F1080" t="s">
        <v>2</v>
      </c>
    </row>
    <row r="1081" spans="1:6" x14ac:dyDescent="0.25">
      <c r="A1081" s="5">
        <v>23323424</v>
      </c>
      <c r="B1081" s="5" t="s">
        <v>401</v>
      </c>
      <c r="C1081" s="5" t="s">
        <v>12</v>
      </c>
      <c r="D1081" s="6">
        <v>45200</v>
      </c>
      <c r="E1081" s="12">
        <v>45265</v>
      </c>
      <c r="F1081" t="s">
        <v>2</v>
      </c>
    </row>
    <row r="1082" spans="1:6" x14ac:dyDescent="0.25">
      <c r="A1082" s="5">
        <v>23323425</v>
      </c>
      <c r="B1082" s="5" t="s">
        <v>400</v>
      </c>
      <c r="C1082" s="5" t="s">
        <v>12</v>
      </c>
      <c r="D1082" s="6">
        <v>45231</v>
      </c>
      <c r="E1082" s="12">
        <v>45265</v>
      </c>
      <c r="F1082" t="s">
        <v>2</v>
      </c>
    </row>
    <row r="1083" spans="1:6" x14ac:dyDescent="0.25">
      <c r="A1083" s="5">
        <v>23323426</v>
      </c>
      <c r="B1083" s="5" t="s">
        <v>401</v>
      </c>
      <c r="C1083" s="5" t="s">
        <v>12</v>
      </c>
      <c r="D1083" s="6">
        <v>45170</v>
      </c>
      <c r="E1083" s="12">
        <v>45265</v>
      </c>
      <c r="F1083" t="s">
        <v>2</v>
      </c>
    </row>
    <row r="1084" spans="1:6" x14ac:dyDescent="0.25">
      <c r="A1084" s="5">
        <v>23323427</v>
      </c>
      <c r="B1084" s="5" t="s">
        <v>400</v>
      </c>
      <c r="C1084" s="5" t="s">
        <v>18</v>
      </c>
      <c r="D1084" s="6">
        <v>45200</v>
      </c>
      <c r="E1084" s="12">
        <v>45265</v>
      </c>
      <c r="F1084" t="s">
        <v>2</v>
      </c>
    </row>
    <row r="1085" spans="1:6" x14ac:dyDescent="0.25">
      <c r="A1085" s="5">
        <v>23323428</v>
      </c>
      <c r="B1085" s="5" t="s">
        <v>400</v>
      </c>
      <c r="C1085" s="5" t="s">
        <v>12</v>
      </c>
      <c r="D1085" s="6">
        <v>45231</v>
      </c>
      <c r="E1085" s="12">
        <v>45265</v>
      </c>
      <c r="F1085" t="s">
        <v>2</v>
      </c>
    </row>
    <row r="1086" spans="1:6" x14ac:dyDescent="0.25">
      <c r="A1086" s="5">
        <v>23323429</v>
      </c>
      <c r="B1086" s="5" t="s">
        <v>400</v>
      </c>
      <c r="C1086" s="5" t="s">
        <v>12</v>
      </c>
      <c r="D1086" s="6">
        <v>45200</v>
      </c>
      <c r="E1086" s="12">
        <v>45265</v>
      </c>
      <c r="F1086" t="s">
        <v>2</v>
      </c>
    </row>
    <row r="1087" spans="1:6" x14ac:dyDescent="0.25">
      <c r="A1087" s="5">
        <v>23323430</v>
      </c>
      <c r="B1087" s="5" t="s">
        <v>401</v>
      </c>
      <c r="C1087" s="5" t="s">
        <v>12</v>
      </c>
      <c r="D1087" s="6">
        <v>45200</v>
      </c>
      <c r="E1087" s="12">
        <v>45265</v>
      </c>
      <c r="F1087" t="s">
        <v>2</v>
      </c>
    </row>
    <row r="1088" spans="1:6" x14ac:dyDescent="0.25">
      <c r="A1088" s="5">
        <v>23323431</v>
      </c>
      <c r="B1088" s="5" t="s">
        <v>401</v>
      </c>
      <c r="C1088" s="5" t="s">
        <v>84</v>
      </c>
      <c r="D1088" s="6">
        <v>45231</v>
      </c>
      <c r="E1088" s="12">
        <v>45265</v>
      </c>
      <c r="F1088" t="s">
        <v>2</v>
      </c>
    </row>
    <row r="1089" spans="1:6" x14ac:dyDescent="0.25">
      <c r="A1089" s="5">
        <v>23323432</v>
      </c>
      <c r="B1089" s="5" t="s">
        <v>401</v>
      </c>
      <c r="C1089" s="5" t="s">
        <v>12</v>
      </c>
      <c r="D1089" s="6">
        <v>45170</v>
      </c>
      <c r="E1089" s="12">
        <v>45265</v>
      </c>
      <c r="F1089" t="s">
        <v>2</v>
      </c>
    </row>
    <row r="1090" spans="1:6" x14ac:dyDescent="0.25">
      <c r="A1090" s="5">
        <v>23323433</v>
      </c>
      <c r="B1090" s="5" t="s">
        <v>400</v>
      </c>
      <c r="C1090" s="5" t="s">
        <v>18</v>
      </c>
      <c r="D1090" s="6">
        <v>45200</v>
      </c>
      <c r="E1090" s="12">
        <v>45265</v>
      </c>
      <c r="F1090" t="s">
        <v>2</v>
      </c>
    </row>
    <row r="1091" spans="1:6" x14ac:dyDescent="0.25">
      <c r="A1091" s="5">
        <v>23323434</v>
      </c>
      <c r="B1091" s="5" t="s">
        <v>400</v>
      </c>
      <c r="C1091" s="5" t="s">
        <v>12</v>
      </c>
      <c r="D1091" s="6">
        <v>45231</v>
      </c>
      <c r="E1091" s="12">
        <v>45265</v>
      </c>
      <c r="F1091" t="s">
        <v>2</v>
      </c>
    </row>
    <row r="1092" spans="1:6" x14ac:dyDescent="0.25">
      <c r="A1092" s="5">
        <v>23323435</v>
      </c>
      <c r="B1092" s="5" t="s">
        <v>400</v>
      </c>
      <c r="C1092" s="5" t="s">
        <v>12</v>
      </c>
      <c r="D1092" s="6">
        <v>45200</v>
      </c>
      <c r="E1092" s="12">
        <v>45265</v>
      </c>
      <c r="F1092" t="s">
        <v>2</v>
      </c>
    </row>
    <row r="1093" spans="1:6" x14ac:dyDescent="0.25">
      <c r="A1093" s="5">
        <v>23323436</v>
      </c>
      <c r="B1093" s="5" t="s">
        <v>401</v>
      </c>
      <c r="C1093" s="5" t="s">
        <v>12</v>
      </c>
      <c r="D1093" s="6">
        <v>45231</v>
      </c>
      <c r="E1093" s="12">
        <v>45265</v>
      </c>
      <c r="F1093" t="s">
        <v>2</v>
      </c>
    </row>
    <row r="1094" spans="1:6" x14ac:dyDescent="0.25">
      <c r="A1094" s="5">
        <v>23323437</v>
      </c>
      <c r="B1094" s="5" t="s">
        <v>400</v>
      </c>
      <c r="C1094" s="5" t="s">
        <v>12</v>
      </c>
      <c r="D1094" s="6">
        <v>45231</v>
      </c>
      <c r="E1094" s="12">
        <v>45265</v>
      </c>
      <c r="F1094" t="s">
        <v>2</v>
      </c>
    </row>
    <row r="1095" spans="1:6" x14ac:dyDescent="0.25">
      <c r="A1095" s="5">
        <v>23323438</v>
      </c>
      <c r="B1095" s="5" t="s">
        <v>400</v>
      </c>
      <c r="C1095" s="5" t="s">
        <v>12</v>
      </c>
      <c r="D1095" s="6">
        <v>45231</v>
      </c>
      <c r="E1095" s="12">
        <v>45265</v>
      </c>
      <c r="F1095" t="s">
        <v>2</v>
      </c>
    </row>
    <row r="1096" spans="1:6" x14ac:dyDescent="0.25">
      <c r="A1096" s="5">
        <v>23323439</v>
      </c>
      <c r="B1096" s="5" t="s">
        <v>401</v>
      </c>
      <c r="C1096" s="5" t="s">
        <v>12</v>
      </c>
      <c r="D1096" s="6">
        <v>45200</v>
      </c>
      <c r="E1096" s="12">
        <v>45265</v>
      </c>
      <c r="F1096" t="s">
        <v>2</v>
      </c>
    </row>
    <row r="1097" spans="1:6" x14ac:dyDescent="0.25">
      <c r="A1097" s="5">
        <v>23323440</v>
      </c>
      <c r="B1097" s="5" t="s">
        <v>401</v>
      </c>
      <c r="C1097" s="5" t="s">
        <v>12</v>
      </c>
      <c r="D1097" s="6">
        <v>45170</v>
      </c>
      <c r="E1097" s="12">
        <v>45265</v>
      </c>
      <c r="F1097" t="s">
        <v>2</v>
      </c>
    </row>
    <row r="1098" spans="1:6" x14ac:dyDescent="0.25">
      <c r="A1098" s="5">
        <v>23323441</v>
      </c>
      <c r="B1098" s="5" t="s">
        <v>401</v>
      </c>
      <c r="C1098" s="5" t="s">
        <v>12</v>
      </c>
      <c r="D1098" s="6">
        <v>45170</v>
      </c>
      <c r="E1098" s="12">
        <v>45265</v>
      </c>
      <c r="F1098" t="s">
        <v>2</v>
      </c>
    </row>
    <row r="1099" spans="1:6" x14ac:dyDescent="0.25">
      <c r="A1099" s="5">
        <v>23323442</v>
      </c>
      <c r="B1099" s="5" t="s">
        <v>401</v>
      </c>
      <c r="C1099" s="5" t="s">
        <v>12</v>
      </c>
      <c r="D1099" s="6">
        <v>45200</v>
      </c>
      <c r="E1099" s="12">
        <v>45265</v>
      </c>
      <c r="F1099" t="s">
        <v>2</v>
      </c>
    </row>
    <row r="1100" spans="1:6" x14ac:dyDescent="0.25">
      <c r="A1100" s="5">
        <v>23323443</v>
      </c>
      <c r="B1100" s="5" t="s">
        <v>401</v>
      </c>
      <c r="C1100" s="5" t="s">
        <v>12</v>
      </c>
      <c r="D1100" s="6">
        <v>45231</v>
      </c>
      <c r="E1100" s="12">
        <v>45265</v>
      </c>
      <c r="F1100" t="s">
        <v>2</v>
      </c>
    </row>
    <row r="1101" spans="1:6" x14ac:dyDescent="0.25">
      <c r="A1101" s="5">
        <v>23323444</v>
      </c>
      <c r="B1101" s="5" t="s">
        <v>401</v>
      </c>
      <c r="C1101" s="5" t="s">
        <v>12</v>
      </c>
      <c r="D1101" s="6">
        <v>45200</v>
      </c>
      <c r="E1101" s="12">
        <v>45265</v>
      </c>
      <c r="F1101" t="s">
        <v>2</v>
      </c>
    </row>
    <row r="1102" spans="1:6" x14ac:dyDescent="0.25">
      <c r="A1102" s="5">
        <v>23323445</v>
      </c>
      <c r="B1102" s="5" t="s">
        <v>400</v>
      </c>
      <c r="C1102" s="5" t="s">
        <v>12</v>
      </c>
      <c r="D1102" s="6">
        <v>45200</v>
      </c>
      <c r="E1102" s="12">
        <v>45265</v>
      </c>
      <c r="F1102" t="s">
        <v>2</v>
      </c>
    </row>
    <row r="1103" spans="1:6" x14ac:dyDescent="0.25">
      <c r="A1103" s="5">
        <v>23323446</v>
      </c>
      <c r="B1103" s="5" t="s">
        <v>401</v>
      </c>
      <c r="C1103" s="5" t="s">
        <v>12</v>
      </c>
      <c r="D1103" s="6">
        <v>45200</v>
      </c>
      <c r="E1103" s="12">
        <v>45265</v>
      </c>
      <c r="F1103" t="s">
        <v>2</v>
      </c>
    </row>
    <row r="1104" spans="1:6" x14ac:dyDescent="0.25">
      <c r="A1104" s="5">
        <v>23323447</v>
      </c>
      <c r="B1104" s="5" t="s">
        <v>401</v>
      </c>
      <c r="C1104" s="5" t="s">
        <v>12</v>
      </c>
      <c r="D1104" s="6">
        <v>45200</v>
      </c>
      <c r="E1104" s="12">
        <v>45265</v>
      </c>
      <c r="F1104" t="s">
        <v>2</v>
      </c>
    </row>
    <row r="1105" spans="1:6" x14ac:dyDescent="0.25">
      <c r="A1105" s="5">
        <v>23323448</v>
      </c>
      <c r="B1105" s="5" t="s">
        <v>400</v>
      </c>
      <c r="C1105" s="5" t="s">
        <v>18</v>
      </c>
      <c r="D1105" s="6">
        <v>45200</v>
      </c>
      <c r="E1105" s="12">
        <v>45265</v>
      </c>
      <c r="F1105" t="s">
        <v>2</v>
      </c>
    </row>
    <row r="1106" spans="1:6" x14ac:dyDescent="0.25">
      <c r="A1106" s="5">
        <v>23323449</v>
      </c>
      <c r="B1106" s="5" t="s">
        <v>401</v>
      </c>
      <c r="C1106" s="5" t="s">
        <v>12</v>
      </c>
      <c r="D1106" s="6">
        <v>45200</v>
      </c>
      <c r="E1106" s="12">
        <v>45265</v>
      </c>
      <c r="F1106" t="s">
        <v>2</v>
      </c>
    </row>
    <row r="1107" spans="1:6" x14ac:dyDescent="0.25">
      <c r="A1107" s="5">
        <v>23323450</v>
      </c>
      <c r="B1107" s="5" t="s">
        <v>400</v>
      </c>
      <c r="C1107" s="5" t="s">
        <v>12</v>
      </c>
      <c r="D1107" s="6">
        <v>45200</v>
      </c>
      <c r="E1107" s="12">
        <v>45265</v>
      </c>
      <c r="F1107" t="s">
        <v>2</v>
      </c>
    </row>
    <row r="1108" spans="1:6" x14ac:dyDescent="0.25">
      <c r="A1108" s="5">
        <v>23323451</v>
      </c>
      <c r="B1108" s="5" t="s">
        <v>400</v>
      </c>
      <c r="C1108" s="5" t="s">
        <v>18</v>
      </c>
      <c r="D1108" s="6">
        <v>45200</v>
      </c>
      <c r="E1108" s="12">
        <v>45265</v>
      </c>
      <c r="F1108" t="s">
        <v>2</v>
      </c>
    </row>
    <row r="1109" spans="1:6" x14ac:dyDescent="0.25">
      <c r="A1109" s="5">
        <v>23323452</v>
      </c>
      <c r="B1109" s="5" t="s">
        <v>400</v>
      </c>
      <c r="C1109" s="5" t="s">
        <v>12</v>
      </c>
      <c r="D1109" s="6">
        <v>45231</v>
      </c>
      <c r="E1109" s="12">
        <v>45265</v>
      </c>
      <c r="F1109" t="s">
        <v>2</v>
      </c>
    </row>
    <row r="1110" spans="1:6" x14ac:dyDescent="0.25">
      <c r="A1110" s="5">
        <v>23323453</v>
      </c>
      <c r="B1110" s="5" t="s">
        <v>401</v>
      </c>
      <c r="C1110" s="5" t="s">
        <v>18</v>
      </c>
      <c r="D1110" s="6">
        <v>45170</v>
      </c>
      <c r="E1110" s="12">
        <v>45265</v>
      </c>
      <c r="F1110" t="s">
        <v>2</v>
      </c>
    </row>
    <row r="1111" spans="1:6" x14ac:dyDescent="0.25">
      <c r="A1111" s="5">
        <v>23323454</v>
      </c>
      <c r="B1111" s="5" t="s">
        <v>400</v>
      </c>
      <c r="C1111" s="5" t="s">
        <v>12</v>
      </c>
      <c r="D1111" s="6">
        <v>45200</v>
      </c>
      <c r="E1111" s="12">
        <v>45265</v>
      </c>
      <c r="F1111" t="s">
        <v>2</v>
      </c>
    </row>
    <row r="1112" spans="1:6" x14ac:dyDescent="0.25">
      <c r="A1112" s="5">
        <v>23323455</v>
      </c>
      <c r="B1112" s="5" t="s">
        <v>401</v>
      </c>
      <c r="C1112" s="5" t="s">
        <v>18</v>
      </c>
      <c r="D1112" s="6">
        <v>45170</v>
      </c>
      <c r="E1112" s="12">
        <v>45265</v>
      </c>
      <c r="F1112" t="s">
        <v>2</v>
      </c>
    </row>
    <row r="1113" spans="1:6" x14ac:dyDescent="0.25">
      <c r="A1113" s="5">
        <v>23323456</v>
      </c>
      <c r="B1113" s="5" t="s">
        <v>400</v>
      </c>
      <c r="C1113" s="5" t="s">
        <v>18</v>
      </c>
      <c r="D1113" s="6">
        <v>45200</v>
      </c>
      <c r="E1113" s="12">
        <v>45265</v>
      </c>
      <c r="F1113" t="s">
        <v>2</v>
      </c>
    </row>
    <row r="1114" spans="1:6" x14ac:dyDescent="0.25">
      <c r="A1114" s="5">
        <v>23323457</v>
      </c>
      <c r="B1114" s="5" t="s">
        <v>400</v>
      </c>
      <c r="C1114" s="5" t="s">
        <v>12</v>
      </c>
      <c r="D1114" s="6">
        <v>45231</v>
      </c>
      <c r="E1114" s="12">
        <v>45265</v>
      </c>
      <c r="F1114" t="s">
        <v>2</v>
      </c>
    </row>
    <row r="1115" spans="1:6" x14ac:dyDescent="0.25">
      <c r="A1115" s="5">
        <v>23323458</v>
      </c>
      <c r="B1115" s="5" t="s">
        <v>400</v>
      </c>
      <c r="C1115" s="5" t="s">
        <v>12</v>
      </c>
      <c r="D1115" s="6">
        <v>45200</v>
      </c>
      <c r="E1115" s="12">
        <v>45265</v>
      </c>
      <c r="F1115" t="s">
        <v>2</v>
      </c>
    </row>
    <row r="1116" spans="1:6" x14ac:dyDescent="0.25">
      <c r="A1116" s="5">
        <v>23323459</v>
      </c>
      <c r="B1116" s="5" t="s">
        <v>400</v>
      </c>
      <c r="C1116" s="5" t="s">
        <v>12</v>
      </c>
      <c r="D1116" s="6">
        <v>45200</v>
      </c>
      <c r="E1116" s="12">
        <v>45265</v>
      </c>
      <c r="F1116" t="s">
        <v>2</v>
      </c>
    </row>
    <row r="1117" spans="1:6" x14ac:dyDescent="0.25">
      <c r="A1117" s="5">
        <v>23323460</v>
      </c>
      <c r="B1117" s="5" t="s">
        <v>400</v>
      </c>
      <c r="C1117" s="5" t="s">
        <v>18</v>
      </c>
      <c r="D1117" s="6">
        <v>45231</v>
      </c>
      <c r="E1117" s="12">
        <v>45265</v>
      </c>
      <c r="F1117" t="s">
        <v>2</v>
      </c>
    </row>
    <row r="1118" spans="1:6" x14ac:dyDescent="0.25">
      <c r="A1118" s="5">
        <v>23323461</v>
      </c>
      <c r="B1118" s="5" t="s">
        <v>401</v>
      </c>
      <c r="C1118" s="5" t="s">
        <v>12</v>
      </c>
      <c r="D1118" s="6">
        <v>45260</v>
      </c>
      <c r="E1118" s="12">
        <v>45265</v>
      </c>
      <c r="F1118" t="s">
        <v>2</v>
      </c>
    </row>
    <row r="1119" spans="1:6" x14ac:dyDescent="0.25">
      <c r="A1119" s="5">
        <v>23323462</v>
      </c>
      <c r="B1119" s="5" t="s">
        <v>401</v>
      </c>
      <c r="C1119" s="5" t="s">
        <v>12</v>
      </c>
      <c r="D1119" s="6">
        <v>45200</v>
      </c>
      <c r="E1119" s="12">
        <v>45265</v>
      </c>
      <c r="F1119" t="s">
        <v>2</v>
      </c>
    </row>
    <row r="1120" spans="1:6" x14ac:dyDescent="0.25">
      <c r="A1120" s="5">
        <v>23323463</v>
      </c>
      <c r="B1120" s="5" t="s">
        <v>400</v>
      </c>
      <c r="C1120" s="5" t="s">
        <v>12</v>
      </c>
      <c r="D1120" s="6">
        <v>45200</v>
      </c>
      <c r="E1120" s="12">
        <v>45265</v>
      </c>
      <c r="F1120" t="s">
        <v>2</v>
      </c>
    </row>
    <row r="1121" spans="1:6" x14ac:dyDescent="0.25">
      <c r="A1121" s="5">
        <v>23323464</v>
      </c>
      <c r="B1121" s="5" t="s">
        <v>401</v>
      </c>
      <c r="C1121" s="5" t="s">
        <v>12</v>
      </c>
      <c r="D1121" s="6">
        <v>45200</v>
      </c>
      <c r="E1121" s="12">
        <v>45265</v>
      </c>
      <c r="F1121" t="s">
        <v>2</v>
      </c>
    </row>
    <row r="1122" spans="1:6" x14ac:dyDescent="0.25">
      <c r="A1122" s="5">
        <v>23323465</v>
      </c>
      <c r="B1122" s="5" t="s">
        <v>401</v>
      </c>
      <c r="C1122" s="5" t="s">
        <v>12</v>
      </c>
      <c r="D1122" s="6">
        <v>45231</v>
      </c>
      <c r="E1122" s="12">
        <v>45265</v>
      </c>
      <c r="F1122" t="s">
        <v>2</v>
      </c>
    </row>
    <row r="1123" spans="1:6" x14ac:dyDescent="0.25">
      <c r="A1123" s="5">
        <v>23323466</v>
      </c>
      <c r="B1123" s="5" t="s">
        <v>400</v>
      </c>
      <c r="C1123" s="5" t="s">
        <v>12</v>
      </c>
      <c r="D1123" s="6">
        <v>45245</v>
      </c>
      <c r="E1123" s="12">
        <v>45265</v>
      </c>
      <c r="F1123" t="s">
        <v>2</v>
      </c>
    </row>
    <row r="1124" spans="1:6" x14ac:dyDescent="0.25">
      <c r="A1124" s="5">
        <v>23323467</v>
      </c>
      <c r="B1124" s="5" t="s">
        <v>400</v>
      </c>
      <c r="C1124" s="5" t="s">
        <v>12</v>
      </c>
      <c r="D1124" s="6">
        <v>45200</v>
      </c>
      <c r="E1124" s="12">
        <v>45265</v>
      </c>
      <c r="F1124" t="s">
        <v>2</v>
      </c>
    </row>
    <row r="1125" spans="1:6" x14ac:dyDescent="0.25">
      <c r="A1125" s="5">
        <v>23323468</v>
      </c>
      <c r="B1125" s="5" t="s">
        <v>400</v>
      </c>
      <c r="C1125" s="5" t="s">
        <v>12</v>
      </c>
      <c r="D1125" s="6">
        <v>45231</v>
      </c>
      <c r="E1125" s="12">
        <v>45265</v>
      </c>
      <c r="F1125" t="s">
        <v>2</v>
      </c>
    </row>
    <row r="1126" spans="1:6" x14ac:dyDescent="0.25">
      <c r="A1126" s="5">
        <v>23323469</v>
      </c>
      <c r="B1126" s="5" t="s">
        <v>400</v>
      </c>
      <c r="C1126" s="5" t="s">
        <v>12</v>
      </c>
      <c r="D1126" s="6">
        <v>45170</v>
      </c>
      <c r="E1126" s="12">
        <v>45265</v>
      </c>
      <c r="F1126" t="s">
        <v>2</v>
      </c>
    </row>
    <row r="1127" spans="1:6" x14ac:dyDescent="0.25">
      <c r="A1127" s="5">
        <v>23323470</v>
      </c>
      <c r="B1127" s="5" t="s">
        <v>400</v>
      </c>
      <c r="C1127" s="5" t="s">
        <v>12</v>
      </c>
      <c r="D1127" s="6">
        <v>45170</v>
      </c>
      <c r="E1127" s="12">
        <v>45265</v>
      </c>
      <c r="F1127" t="s">
        <v>2</v>
      </c>
    </row>
    <row r="1128" spans="1:6" x14ac:dyDescent="0.25">
      <c r="A1128" s="5">
        <v>23323471</v>
      </c>
      <c r="B1128" s="5" t="s">
        <v>401</v>
      </c>
      <c r="C1128" s="5" t="s">
        <v>12</v>
      </c>
      <c r="D1128" s="6">
        <v>45200</v>
      </c>
      <c r="E1128" s="12">
        <v>45265</v>
      </c>
      <c r="F1128" t="s">
        <v>2</v>
      </c>
    </row>
    <row r="1129" spans="1:6" x14ac:dyDescent="0.25">
      <c r="A1129" s="5">
        <v>23323472</v>
      </c>
      <c r="B1129" s="5" t="s">
        <v>400</v>
      </c>
      <c r="C1129" s="5" t="s">
        <v>12</v>
      </c>
      <c r="D1129" s="6">
        <v>45200</v>
      </c>
      <c r="E1129" s="12">
        <v>45265</v>
      </c>
      <c r="F1129" t="s">
        <v>2</v>
      </c>
    </row>
    <row r="1130" spans="1:6" x14ac:dyDescent="0.25">
      <c r="A1130" s="5">
        <v>23323473</v>
      </c>
      <c r="B1130" s="5" t="s">
        <v>401</v>
      </c>
      <c r="C1130" s="5" t="s">
        <v>18</v>
      </c>
      <c r="D1130" s="6">
        <v>45200</v>
      </c>
      <c r="E1130" s="12">
        <v>45265</v>
      </c>
      <c r="F1130" t="s">
        <v>2</v>
      </c>
    </row>
    <row r="1131" spans="1:6" x14ac:dyDescent="0.25">
      <c r="A1131" s="5">
        <v>23323474</v>
      </c>
      <c r="B1131" s="5" t="s">
        <v>401</v>
      </c>
      <c r="C1131" s="5" t="s">
        <v>12</v>
      </c>
      <c r="D1131" s="6">
        <v>45231</v>
      </c>
      <c r="E1131" s="12">
        <v>45265</v>
      </c>
      <c r="F1131" t="s">
        <v>2</v>
      </c>
    </row>
    <row r="1132" spans="1:6" x14ac:dyDescent="0.25">
      <c r="A1132" s="5">
        <v>23323475</v>
      </c>
      <c r="B1132" s="5" t="s">
        <v>401</v>
      </c>
      <c r="C1132" s="5" t="s">
        <v>12</v>
      </c>
      <c r="D1132" s="6">
        <v>45170</v>
      </c>
      <c r="E1132" s="12">
        <v>45265</v>
      </c>
      <c r="F1132" t="s">
        <v>2</v>
      </c>
    </row>
    <row r="1133" spans="1:6" x14ac:dyDescent="0.25">
      <c r="A1133" s="5">
        <v>23323476</v>
      </c>
      <c r="B1133" s="5" t="s">
        <v>400</v>
      </c>
      <c r="C1133" s="5" t="s">
        <v>12</v>
      </c>
      <c r="D1133" s="6">
        <v>45231</v>
      </c>
      <c r="E1133" s="12">
        <v>45265</v>
      </c>
      <c r="F1133" t="s">
        <v>2</v>
      </c>
    </row>
    <row r="1134" spans="1:6" x14ac:dyDescent="0.25">
      <c r="A1134" s="5">
        <v>23323477</v>
      </c>
      <c r="B1134" s="5" t="s">
        <v>401</v>
      </c>
      <c r="C1134" s="5" t="s">
        <v>18</v>
      </c>
      <c r="D1134" s="6">
        <v>45200</v>
      </c>
      <c r="E1134" s="12">
        <v>45265</v>
      </c>
      <c r="F1134" t="s">
        <v>2</v>
      </c>
    </row>
    <row r="1135" spans="1:6" x14ac:dyDescent="0.25">
      <c r="A1135" s="5">
        <v>23323478</v>
      </c>
      <c r="B1135" s="5" t="s">
        <v>400</v>
      </c>
      <c r="C1135" s="5" t="s">
        <v>12</v>
      </c>
      <c r="D1135" s="6">
        <v>45200</v>
      </c>
      <c r="E1135" s="12">
        <v>45265</v>
      </c>
      <c r="F1135" t="s">
        <v>2</v>
      </c>
    </row>
    <row r="1136" spans="1:6" x14ac:dyDescent="0.25">
      <c r="A1136" s="5">
        <v>22350427</v>
      </c>
      <c r="B1136" s="5" t="s">
        <v>400</v>
      </c>
      <c r="C1136" s="5" t="s">
        <v>12</v>
      </c>
      <c r="D1136" s="6">
        <v>44834</v>
      </c>
      <c r="E1136" s="12">
        <v>45269</v>
      </c>
      <c r="F1136" t="s">
        <v>0</v>
      </c>
    </row>
    <row r="1137" spans="1:6" x14ac:dyDescent="0.25">
      <c r="A1137" s="5">
        <v>22350428</v>
      </c>
      <c r="B1137" s="5" t="s">
        <v>400</v>
      </c>
      <c r="C1137" s="5" t="s">
        <v>12</v>
      </c>
      <c r="D1137" s="6">
        <v>44834</v>
      </c>
      <c r="E1137" s="12">
        <v>45269</v>
      </c>
      <c r="F1137" t="s">
        <v>0</v>
      </c>
    </row>
    <row r="1138" spans="1:6" x14ac:dyDescent="0.25">
      <c r="A1138" s="5">
        <v>23323555</v>
      </c>
      <c r="B1138" s="5" t="s">
        <v>400</v>
      </c>
      <c r="C1138" s="5" t="s">
        <v>12</v>
      </c>
      <c r="D1138" s="6">
        <v>45291</v>
      </c>
      <c r="E1138" s="12">
        <v>45311</v>
      </c>
      <c r="F1138" t="s">
        <v>0</v>
      </c>
    </row>
    <row r="1139" spans="1:6" x14ac:dyDescent="0.25">
      <c r="A1139" s="5">
        <v>23323556</v>
      </c>
      <c r="B1139" s="5" t="s">
        <v>401</v>
      </c>
      <c r="C1139" s="5" t="s">
        <v>12</v>
      </c>
      <c r="D1139" s="6">
        <v>45291</v>
      </c>
      <c r="E1139" s="12">
        <v>45311</v>
      </c>
      <c r="F1139" t="s">
        <v>0</v>
      </c>
    </row>
    <row r="1140" spans="1:6" x14ac:dyDescent="0.25">
      <c r="A1140" s="5">
        <v>23323557</v>
      </c>
      <c r="B1140" s="5" t="s">
        <v>400</v>
      </c>
      <c r="C1140" s="5" t="s">
        <v>79</v>
      </c>
      <c r="D1140" s="6">
        <v>45291</v>
      </c>
      <c r="E1140" s="12">
        <v>45311</v>
      </c>
      <c r="F1140" t="s">
        <v>0</v>
      </c>
    </row>
    <row r="1141" spans="1:6" x14ac:dyDescent="0.25">
      <c r="A1141" s="5">
        <v>23323558</v>
      </c>
      <c r="B1141" s="5" t="s">
        <v>400</v>
      </c>
      <c r="C1141" s="5" t="s">
        <v>12</v>
      </c>
      <c r="D1141" s="6">
        <v>45285</v>
      </c>
      <c r="E1141" s="12">
        <v>45311</v>
      </c>
      <c r="F1141" t="s">
        <v>0</v>
      </c>
    </row>
    <row r="1142" spans="1:6" x14ac:dyDescent="0.25">
      <c r="A1142" s="5">
        <v>23323559</v>
      </c>
      <c r="B1142" s="5" t="s">
        <v>400</v>
      </c>
      <c r="C1142" s="5" t="s">
        <v>18</v>
      </c>
      <c r="D1142" s="6">
        <v>45285</v>
      </c>
      <c r="E1142" s="12">
        <v>45311</v>
      </c>
      <c r="F1142" t="s">
        <v>0</v>
      </c>
    </row>
    <row r="1143" spans="1:6" x14ac:dyDescent="0.25">
      <c r="A1143" s="5">
        <v>23323560</v>
      </c>
      <c r="B1143" s="5" t="s">
        <v>401</v>
      </c>
      <c r="C1143" s="5" t="s">
        <v>79</v>
      </c>
      <c r="D1143" s="6">
        <v>45291</v>
      </c>
      <c r="E1143" s="12">
        <v>45311</v>
      </c>
      <c r="F1143" t="s">
        <v>0</v>
      </c>
    </row>
    <row r="1144" spans="1:6" x14ac:dyDescent="0.25">
      <c r="A1144" s="5">
        <v>23323561</v>
      </c>
      <c r="B1144" s="5" t="s">
        <v>400</v>
      </c>
      <c r="C1144" s="5" t="s">
        <v>79</v>
      </c>
      <c r="D1144" s="6">
        <v>45291</v>
      </c>
      <c r="E1144" s="12">
        <v>45311</v>
      </c>
      <c r="F1144" t="s">
        <v>0</v>
      </c>
    </row>
    <row r="1145" spans="1:6" x14ac:dyDescent="0.25">
      <c r="A1145" s="5">
        <v>23323562</v>
      </c>
      <c r="B1145" s="5" t="s">
        <v>400</v>
      </c>
      <c r="C1145" s="5" t="s">
        <v>12</v>
      </c>
      <c r="D1145" s="6">
        <v>45291</v>
      </c>
      <c r="E1145" s="12">
        <v>45311</v>
      </c>
      <c r="F1145" t="s">
        <v>0</v>
      </c>
    </row>
    <row r="1146" spans="1:6" x14ac:dyDescent="0.25">
      <c r="A1146" s="5">
        <v>23323563</v>
      </c>
      <c r="B1146" s="5" t="s">
        <v>400</v>
      </c>
      <c r="C1146" s="5" t="s">
        <v>12</v>
      </c>
      <c r="D1146" s="6">
        <v>45285</v>
      </c>
      <c r="E1146" s="12">
        <v>45311</v>
      </c>
      <c r="F1146" t="s">
        <v>0</v>
      </c>
    </row>
    <row r="1147" spans="1:6" x14ac:dyDescent="0.25">
      <c r="A1147" s="5">
        <v>23323564</v>
      </c>
      <c r="B1147" s="5" t="s">
        <v>400</v>
      </c>
      <c r="C1147" s="5" t="s">
        <v>12</v>
      </c>
      <c r="D1147" s="6">
        <v>45285</v>
      </c>
      <c r="E1147" s="12">
        <v>45311</v>
      </c>
      <c r="F1147" t="s">
        <v>0</v>
      </c>
    </row>
    <row r="1148" spans="1:6" x14ac:dyDescent="0.25">
      <c r="A1148" s="5">
        <v>23323565</v>
      </c>
      <c r="B1148" s="5" t="s">
        <v>401</v>
      </c>
      <c r="C1148" s="5" t="s">
        <v>12</v>
      </c>
      <c r="D1148" s="6">
        <v>45285</v>
      </c>
      <c r="E1148" s="12">
        <v>45311</v>
      </c>
      <c r="F1148" t="s">
        <v>0</v>
      </c>
    </row>
    <row r="1149" spans="1:6" x14ac:dyDescent="0.25">
      <c r="A1149" s="5">
        <v>23323566</v>
      </c>
      <c r="B1149" s="5" t="s">
        <v>400</v>
      </c>
      <c r="C1149" s="5" t="s">
        <v>12</v>
      </c>
      <c r="D1149" s="6">
        <v>45285</v>
      </c>
      <c r="E1149" s="12">
        <v>45311</v>
      </c>
      <c r="F1149" t="s">
        <v>0</v>
      </c>
    </row>
    <row r="1150" spans="1:6" x14ac:dyDescent="0.25">
      <c r="A1150" s="5">
        <v>23323567</v>
      </c>
      <c r="B1150" s="5" t="s">
        <v>401</v>
      </c>
      <c r="C1150" s="5" t="s">
        <v>12</v>
      </c>
      <c r="D1150" s="6">
        <v>45291</v>
      </c>
      <c r="E1150" s="12">
        <v>45311</v>
      </c>
      <c r="F1150" t="s">
        <v>0</v>
      </c>
    </row>
    <row r="1151" spans="1:6" x14ac:dyDescent="0.25">
      <c r="A1151" s="5">
        <v>23323568</v>
      </c>
      <c r="B1151" s="5" t="s">
        <v>401</v>
      </c>
      <c r="C1151" s="5" t="s">
        <v>79</v>
      </c>
      <c r="D1151" s="6">
        <v>45271</v>
      </c>
      <c r="E1151" s="12">
        <v>45311</v>
      </c>
      <c r="F1151" t="s">
        <v>0</v>
      </c>
    </row>
    <row r="1152" spans="1:6" x14ac:dyDescent="0.25">
      <c r="A1152" s="5">
        <v>23323569</v>
      </c>
      <c r="B1152" s="5" t="s">
        <v>401</v>
      </c>
      <c r="C1152" s="5" t="s">
        <v>12</v>
      </c>
      <c r="D1152" s="6">
        <v>45265</v>
      </c>
      <c r="E1152" s="12">
        <v>45318</v>
      </c>
      <c r="F1152" t="s">
        <v>2</v>
      </c>
    </row>
    <row r="1153" spans="1:6" x14ac:dyDescent="0.25">
      <c r="A1153" s="5">
        <v>23323570</v>
      </c>
      <c r="B1153" s="5" t="s">
        <v>401</v>
      </c>
      <c r="C1153" s="5" t="s">
        <v>12</v>
      </c>
      <c r="D1153" s="6">
        <v>45260</v>
      </c>
      <c r="E1153" s="12">
        <v>45318</v>
      </c>
      <c r="F1153" t="s">
        <v>2</v>
      </c>
    </row>
    <row r="1154" spans="1:6" x14ac:dyDescent="0.25">
      <c r="A1154" s="5">
        <v>23323571</v>
      </c>
      <c r="B1154" s="5" t="s">
        <v>401</v>
      </c>
      <c r="C1154" s="5" t="s">
        <v>18</v>
      </c>
      <c r="D1154" s="6">
        <v>45260</v>
      </c>
      <c r="E1154" s="12">
        <v>45318</v>
      </c>
      <c r="F1154" t="s">
        <v>2</v>
      </c>
    </row>
    <row r="1155" spans="1:6" x14ac:dyDescent="0.25">
      <c r="A1155" s="5">
        <v>23323572</v>
      </c>
      <c r="B1155" s="5" t="s">
        <v>400</v>
      </c>
      <c r="C1155" s="5" t="s">
        <v>12</v>
      </c>
      <c r="D1155" s="6">
        <v>45265</v>
      </c>
      <c r="E1155" s="12">
        <v>45318</v>
      </c>
      <c r="F1155" t="s">
        <v>2</v>
      </c>
    </row>
    <row r="1156" spans="1:6" x14ac:dyDescent="0.25">
      <c r="A1156" s="5">
        <v>23323573</v>
      </c>
      <c r="B1156" s="5" t="s">
        <v>401</v>
      </c>
      <c r="C1156" s="5" t="s">
        <v>12</v>
      </c>
      <c r="D1156" s="6">
        <v>45229</v>
      </c>
      <c r="E1156" s="12">
        <v>45318</v>
      </c>
      <c r="F1156" t="s">
        <v>2</v>
      </c>
    </row>
    <row r="1157" spans="1:6" x14ac:dyDescent="0.25">
      <c r="A1157" s="5">
        <v>23323574</v>
      </c>
      <c r="B1157" s="5" t="s">
        <v>400</v>
      </c>
      <c r="C1157" s="5" t="s">
        <v>12</v>
      </c>
      <c r="D1157" s="6">
        <v>45291</v>
      </c>
      <c r="E1157" s="12">
        <v>45318</v>
      </c>
      <c r="F1157" t="s">
        <v>2</v>
      </c>
    </row>
    <row r="1158" spans="1:6" x14ac:dyDescent="0.25">
      <c r="A1158" s="5">
        <v>23323575</v>
      </c>
      <c r="B1158" s="5" t="s">
        <v>400</v>
      </c>
      <c r="C1158" s="5" t="s">
        <v>12</v>
      </c>
      <c r="D1158" s="6">
        <v>45260</v>
      </c>
      <c r="E1158" s="12">
        <v>45318</v>
      </c>
      <c r="F1158" t="s">
        <v>2</v>
      </c>
    </row>
    <row r="1159" spans="1:6" x14ac:dyDescent="0.25">
      <c r="A1159" s="5">
        <v>23323576</v>
      </c>
      <c r="B1159" s="5" t="s">
        <v>400</v>
      </c>
      <c r="C1159" s="5" t="s">
        <v>18</v>
      </c>
      <c r="D1159" s="6">
        <v>45265</v>
      </c>
      <c r="E1159" s="12">
        <v>45318</v>
      </c>
      <c r="F1159" t="s">
        <v>2</v>
      </c>
    </row>
    <row r="1160" spans="1:6" x14ac:dyDescent="0.25">
      <c r="A1160" s="5">
        <v>23323577</v>
      </c>
      <c r="B1160" s="5" t="s">
        <v>400</v>
      </c>
      <c r="C1160" s="5" t="s">
        <v>12</v>
      </c>
      <c r="D1160" s="6">
        <v>45235</v>
      </c>
      <c r="E1160" s="12">
        <v>45318</v>
      </c>
      <c r="F1160" t="s">
        <v>2</v>
      </c>
    </row>
    <row r="1161" spans="1:6" x14ac:dyDescent="0.25">
      <c r="A1161" s="5">
        <v>23323578</v>
      </c>
      <c r="B1161" s="5" t="s">
        <v>401</v>
      </c>
      <c r="C1161" s="5" t="s">
        <v>12</v>
      </c>
      <c r="D1161" s="6">
        <v>45235</v>
      </c>
      <c r="E1161" s="12">
        <v>45318</v>
      </c>
      <c r="F1161" t="s">
        <v>2</v>
      </c>
    </row>
    <row r="1162" spans="1:6" x14ac:dyDescent="0.25">
      <c r="A1162" s="5">
        <v>23323579</v>
      </c>
      <c r="B1162" s="5" t="s">
        <v>401</v>
      </c>
      <c r="C1162" s="5" t="s">
        <v>18</v>
      </c>
      <c r="D1162" s="6">
        <v>45265</v>
      </c>
      <c r="E1162" s="12">
        <v>45318</v>
      </c>
      <c r="F1162" t="s">
        <v>2</v>
      </c>
    </row>
    <row r="1163" spans="1:6" x14ac:dyDescent="0.25">
      <c r="A1163" s="5">
        <v>23323580</v>
      </c>
      <c r="B1163" s="5" t="s">
        <v>401</v>
      </c>
      <c r="C1163" s="5" t="s">
        <v>18</v>
      </c>
      <c r="D1163" s="6">
        <v>45291</v>
      </c>
      <c r="E1163" s="12">
        <v>45318</v>
      </c>
      <c r="F1163" t="s">
        <v>2</v>
      </c>
    </row>
    <row r="1164" spans="1:6" x14ac:dyDescent="0.25">
      <c r="A1164" s="5">
        <v>23323581</v>
      </c>
      <c r="B1164" s="5" t="s">
        <v>401</v>
      </c>
      <c r="C1164" s="5" t="s">
        <v>12</v>
      </c>
      <c r="D1164" s="6">
        <v>45260</v>
      </c>
      <c r="E1164" s="12">
        <v>45318</v>
      </c>
      <c r="F1164" t="s">
        <v>2</v>
      </c>
    </row>
    <row r="1165" spans="1:6" x14ac:dyDescent="0.25">
      <c r="A1165" s="5">
        <v>23323582</v>
      </c>
      <c r="B1165" s="5" t="s">
        <v>400</v>
      </c>
      <c r="C1165" s="5" t="s">
        <v>12</v>
      </c>
      <c r="D1165" s="6">
        <v>45260</v>
      </c>
      <c r="E1165" s="12">
        <v>45318</v>
      </c>
      <c r="F1165" t="s">
        <v>2</v>
      </c>
    </row>
    <row r="1166" spans="1:6" x14ac:dyDescent="0.25">
      <c r="A1166" s="5">
        <v>23323583</v>
      </c>
      <c r="B1166" s="5" t="s">
        <v>401</v>
      </c>
      <c r="C1166" s="5" t="s">
        <v>79</v>
      </c>
      <c r="D1166" s="6">
        <v>45265</v>
      </c>
      <c r="E1166" s="12">
        <v>45318</v>
      </c>
      <c r="F1166" t="s">
        <v>2</v>
      </c>
    </row>
    <row r="1167" spans="1:6" x14ac:dyDescent="0.25">
      <c r="A1167" s="5">
        <v>23323584</v>
      </c>
      <c r="B1167" s="5" t="s">
        <v>400</v>
      </c>
      <c r="C1167" s="5" t="s">
        <v>12</v>
      </c>
      <c r="D1167" s="6">
        <v>45265</v>
      </c>
      <c r="E1167" s="12">
        <v>45318</v>
      </c>
      <c r="F1167" t="s">
        <v>2</v>
      </c>
    </row>
    <row r="1168" spans="1:6" x14ac:dyDescent="0.25">
      <c r="A1168" s="5">
        <v>23323585</v>
      </c>
      <c r="B1168" s="5" t="s">
        <v>400</v>
      </c>
      <c r="C1168" s="5" t="s">
        <v>12</v>
      </c>
      <c r="D1168" s="6">
        <v>45260</v>
      </c>
      <c r="E1168" s="12">
        <v>45318</v>
      </c>
      <c r="F1168" t="s">
        <v>2</v>
      </c>
    </row>
    <row r="1169" spans="1:6" x14ac:dyDescent="0.25">
      <c r="A1169" s="5">
        <v>23323586</v>
      </c>
      <c r="B1169" s="5" t="s">
        <v>400</v>
      </c>
      <c r="C1169" s="5" t="s">
        <v>18</v>
      </c>
      <c r="D1169" s="6">
        <v>45265</v>
      </c>
      <c r="E1169" s="12">
        <v>45318</v>
      </c>
      <c r="F1169" t="s">
        <v>2</v>
      </c>
    </row>
    <row r="1170" spans="1:6" x14ac:dyDescent="0.25">
      <c r="A1170" s="5">
        <v>23323587</v>
      </c>
      <c r="B1170" s="5" t="s">
        <v>401</v>
      </c>
      <c r="C1170" s="5" t="s">
        <v>12</v>
      </c>
      <c r="D1170" s="6">
        <v>45260</v>
      </c>
      <c r="E1170" s="12">
        <v>45318</v>
      </c>
      <c r="F1170" t="s">
        <v>2</v>
      </c>
    </row>
    <row r="1171" spans="1:6" x14ac:dyDescent="0.25">
      <c r="A1171" s="5">
        <v>23323588</v>
      </c>
      <c r="B1171" s="5" t="s">
        <v>401</v>
      </c>
      <c r="C1171" s="5" t="s">
        <v>12</v>
      </c>
      <c r="D1171" s="6">
        <v>45235</v>
      </c>
      <c r="E1171" s="12">
        <v>45318</v>
      </c>
      <c r="F1171" t="s">
        <v>2</v>
      </c>
    </row>
    <row r="1172" spans="1:6" x14ac:dyDescent="0.25">
      <c r="A1172" s="5">
        <v>23323589</v>
      </c>
      <c r="B1172" s="5" t="s">
        <v>400</v>
      </c>
      <c r="C1172" s="5" t="s">
        <v>18</v>
      </c>
      <c r="D1172" s="6">
        <v>45245</v>
      </c>
      <c r="E1172" s="12">
        <v>45318</v>
      </c>
      <c r="F1172" t="s">
        <v>2</v>
      </c>
    </row>
    <row r="1173" spans="1:6" x14ac:dyDescent="0.25">
      <c r="A1173" s="5">
        <v>23323590</v>
      </c>
      <c r="B1173" s="5" t="s">
        <v>400</v>
      </c>
      <c r="C1173" s="5" t="s">
        <v>12</v>
      </c>
      <c r="D1173" s="6">
        <v>45245</v>
      </c>
      <c r="E1173" s="12">
        <v>45318</v>
      </c>
      <c r="F1173" t="s">
        <v>2</v>
      </c>
    </row>
    <row r="1174" spans="1:6" x14ac:dyDescent="0.25">
      <c r="A1174" s="5">
        <v>23323591</v>
      </c>
      <c r="B1174" s="5" t="s">
        <v>401</v>
      </c>
      <c r="C1174" s="5" t="s">
        <v>18</v>
      </c>
      <c r="D1174" s="6">
        <v>45199</v>
      </c>
      <c r="E1174" s="12">
        <v>45405</v>
      </c>
      <c r="F1174" t="s">
        <v>0</v>
      </c>
    </row>
    <row r="1175" spans="1:6" x14ac:dyDescent="0.25">
      <c r="A1175" s="5">
        <v>23323592</v>
      </c>
      <c r="B1175" s="5" t="s">
        <v>400</v>
      </c>
      <c r="C1175" s="5" t="s">
        <v>12</v>
      </c>
      <c r="D1175" s="6">
        <v>45260</v>
      </c>
      <c r="E1175" s="12">
        <v>45405</v>
      </c>
      <c r="F1175" t="s">
        <v>0</v>
      </c>
    </row>
    <row r="1176" spans="1:6" x14ac:dyDescent="0.25">
      <c r="A1176" s="5">
        <v>20910765</v>
      </c>
      <c r="B1176" s="5" t="s">
        <v>400</v>
      </c>
      <c r="C1176" s="5" t="s">
        <v>12</v>
      </c>
      <c r="D1176" s="6">
        <v>43770</v>
      </c>
      <c r="E1176" s="12">
        <v>45430</v>
      </c>
      <c r="F1176" t="s">
        <v>0</v>
      </c>
    </row>
    <row r="1177" spans="1:6" x14ac:dyDescent="0.25">
      <c r="A1177" s="5">
        <v>23323593</v>
      </c>
      <c r="B1177" s="5" t="s">
        <v>400</v>
      </c>
      <c r="C1177" s="5" t="s">
        <v>12</v>
      </c>
      <c r="D1177" s="6">
        <v>45362</v>
      </c>
      <c r="E1177" s="12">
        <v>45432</v>
      </c>
      <c r="F1177" t="s">
        <v>0</v>
      </c>
    </row>
    <row r="1178" spans="1:6" x14ac:dyDescent="0.25">
      <c r="A1178" s="5">
        <v>23323594</v>
      </c>
      <c r="B1178" s="5" t="s">
        <v>401</v>
      </c>
      <c r="C1178" s="5" t="s">
        <v>12</v>
      </c>
      <c r="D1178" s="6">
        <v>45265</v>
      </c>
      <c r="E1178" s="12">
        <v>45432</v>
      </c>
      <c r="F1178" t="s">
        <v>0</v>
      </c>
    </row>
    <row r="1179" spans="1:6" x14ac:dyDescent="0.25">
      <c r="A1179" s="5">
        <v>23323595</v>
      </c>
      <c r="B1179" s="5" t="s">
        <v>400</v>
      </c>
      <c r="C1179" s="5" t="s">
        <v>18</v>
      </c>
      <c r="D1179" s="6">
        <v>45362</v>
      </c>
      <c r="E1179" s="12">
        <v>45432</v>
      </c>
      <c r="F1179" t="s">
        <v>0</v>
      </c>
    </row>
    <row r="1180" spans="1:6" x14ac:dyDescent="0.25">
      <c r="A1180" s="5">
        <v>23323596</v>
      </c>
      <c r="B1180" s="5" t="s">
        <v>401</v>
      </c>
      <c r="C1180" s="5" t="s">
        <v>12</v>
      </c>
      <c r="D1180" s="6">
        <v>44956</v>
      </c>
      <c r="E1180" s="12">
        <v>45432</v>
      </c>
      <c r="F1180" t="s">
        <v>0</v>
      </c>
    </row>
    <row r="1181" spans="1:6" x14ac:dyDescent="0.25">
      <c r="A1181" s="5">
        <v>23323597</v>
      </c>
      <c r="B1181" s="5" t="s">
        <v>401</v>
      </c>
      <c r="C1181" s="5" t="s">
        <v>12</v>
      </c>
      <c r="D1181" s="6">
        <v>45290</v>
      </c>
      <c r="E1181" s="12">
        <v>45432</v>
      </c>
      <c r="F1181" t="s">
        <v>0</v>
      </c>
    </row>
    <row r="1182" spans="1:6" x14ac:dyDescent="0.25">
      <c r="A1182" s="5">
        <v>23323598</v>
      </c>
      <c r="B1182" s="5" t="s">
        <v>400</v>
      </c>
      <c r="C1182" s="5" t="s">
        <v>12</v>
      </c>
      <c r="D1182" s="6">
        <v>45290</v>
      </c>
      <c r="E1182" s="12">
        <v>45432</v>
      </c>
      <c r="F1182" t="s">
        <v>0</v>
      </c>
    </row>
    <row r="1183" spans="1:6" x14ac:dyDescent="0.25">
      <c r="A1183" s="5">
        <v>23323599</v>
      </c>
      <c r="B1183" s="5" t="s">
        <v>400</v>
      </c>
      <c r="C1183" s="5" t="s">
        <v>12</v>
      </c>
      <c r="D1183" s="6">
        <v>45290</v>
      </c>
      <c r="E1183" s="12">
        <v>45432</v>
      </c>
      <c r="F1183" t="s">
        <v>0</v>
      </c>
    </row>
    <row r="1184" spans="1:6" x14ac:dyDescent="0.25">
      <c r="A1184" s="5">
        <v>23323600</v>
      </c>
      <c r="B1184" s="5" t="s">
        <v>401</v>
      </c>
      <c r="C1184" s="5" t="s">
        <v>12</v>
      </c>
      <c r="D1184" s="6">
        <v>45321</v>
      </c>
      <c r="E1184" s="12">
        <v>45432</v>
      </c>
      <c r="F1184" t="s">
        <v>0</v>
      </c>
    </row>
    <row r="1185" spans="1:6" x14ac:dyDescent="0.25">
      <c r="A1185" s="5">
        <v>23323601</v>
      </c>
      <c r="B1185" s="5" t="s">
        <v>401</v>
      </c>
      <c r="C1185" s="5" t="s">
        <v>12</v>
      </c>
      <c r="D1185" s="6">
        <v>45321</v>
      </c>
      <c r="E1185" s="12">
        <v>45432</v>
      </c>
      <c r="F1185" t="s">
        <v>0</v>
      </c>
    </row>
    <row r="1186" spans="1:6" x14ac:dyDescent="0.25">
      <c r="A1186" s="5">
        <v>23323602</v>
      </c>
      <c r="B1186" s="5" t="s">
        <v>400</v>
      </c>
      <c r="C1186" s="5" t="s">
        <v>18</v>
      </c>
      <c r="D1186" s="6">
        <v>45265</v>
      </c>
      <c r="E1186" s="12">
        <v>45432</v>
      </c>
      <c r="F1186" t="s">
        <v>0</v>
      </c>
    </row>
    <row r="1187" spans="1:6" x14ac:dyDescent="0.25">
      <c r="A1187" s="5">
        <v>23323603</v>
      </c>
      <c r="B1187" s="5" t="s">
        <v>401</v>
      </c>
      <c r="C1187" s="5" t="s">
        <v>12</v>
      </c>
      <c r="D1187" s="6">
        <v>45265</v>
      </c>
      <c r="E1187" s="12">
        <v>45432</v>
      </c>
      <c r="F1187" t="s">
        <v>0</v>
      </c>
    </row>
    <row r="1188" spans="1:6" x14ac:dyDescent="0.25">
      <c r="A1188" s="5">
        <v>23323604</v>
      </c>
      <c r="B1188" s="5" t="s">
        <v>400</v>
      </c>
      <c r="C1188" s="5" t="s">
        <v>12</v>
      </c>
      <c r="D1188" s="6">
        <v>45265</v>
      </c>
      <c r="E1188" s="12">
        <v>45432</v>
      </c>
      <c r="F1188" t="s">
        <v>0</v>
      </c>
    </row>
    <row r="1189" spans="1:6" x14ac:dyDescent="0.25">
      <c r="A1189" s="5">
        <v>20910770</v>
      </c>
      <c r="B1189" s="5" t="s">
        <v>400</v>
      </c>
      <c r="C1189" s="5" t="s">
        <v>12</v>
      </c>
      <c r="D1189" s="6">
        <v>43770</v>
      </c>
      <c r="E1189" s="12">
        <v>45433</v>
      </c>
      <c r="F1189" t="s">
        <v>0</v>
      </c>
    </row>
    <row r="1190" spans="1:6" x14ac:dyDescent="0.25">
      <c r="A1190" s="5">
        <v>23323495</v>
      </c>
      <c r="B1190" s="5" t="s">
        <v>400</v>
      </c>
      <c r="C1190" s="5" t="s">
        <v>12</v>
      </c>
      <c r="D1190" s="6">
        <v>43817</v>
      </c>
      <c r="E1190" s="12">
        <v>45433</v>
      </c>
      <c r="F1190" t="s">
        <v>0</v>
      </c>
    </row>
    <row r="1191" spans="1:6" x14ac:dyDescent="0.25">
      <c r="A1191" s="5">
        <v>23323496</v>
      </c>
      <c r="B1191" s="5" t="s">
        <v>400</v>
      </c>
      <c r="C1191" s="5" t="s">
        <v>12</v>
      </c>
      <c r="D1191" s="6">
        <v>43770</v>
      </c>
      <c r="E1191" s="12">
        <v>45433</v>
      </c>
      <c r="F1191" t="s">
        <v>0</v>
      </c>
    </row>
    <row r="1192" spans="1:6" x14ac:dyDescent="0.25">
      <c r="A1192" s="5">
        <v>23323621</v>
      </c>
      <c r="B1192" s="5" t="s">
        <v>401</v>
      </c>
      <c r="C1192" s="5" t="s">
        <v>12</v>
      </c>
      <c r="D1192" s="6">
        <v>45275</v>
      </c>
      <c r="E1192" s="12">
        <v>45438</v>
      </c>
      <c r="F1192" t="s">
        <v>2</v>
      </c>
    </row>
    <row r="1193" spans="1:6" x14ac:dyDescent="0.25">
      <c r="A1193" s="5">
        <v>23323622</v>
      </c>
      <c r="B1193" s="5" t="s">
        <v>400</v>
      </c>
      <c r="C1193" s="5" t="s">
        <v>18</v>
      </c>
      <c r="D1193" s="6">
        <v>45275</v>
      </c>
      <c r="E1193" s="12">
        <v>45438</v>
      </c>
      <c r="F1193" t="s">
        <v>2</v>
      </c>
    </row>
    <row r="1194" spans="1:6" x14ac:dyDescent="0.25">
      <c r="A1194" s="5">
        <v>23323623</v>
      </c>
      <c r="B1194" s="5" t="s">
        <v>401</v>
      </c>
      <c r="C1194" s="5" t="s">
        <v>18</v>
      </c>
      <c r="D1194" s="6">
        <v>45275</v>
      </c>
      <c r="E1194" s="12">
        <v>45438</v>
      </c>
      <c r="F1194" t="s">
        <v>2</v>
      </c>
    </row>
    <row r="1195" spans="1:6" x14ac:dyDescent="0.25">
      <c r="A1195" s="5">
        <v>23323624</v>
      </c>
      <c r="B1195" s="5" t="s">
        <v>401</v>
      </c>
      <c r="C1195" s="5" t="s">
        <v>12</v>
      </c>
      <c r="D1195" s="6">
        <v>45260</v>
      </c>
      <c r="E1195" s="12">
        <v>45438</v>
      </c>
      <c r="F1195" t="s">
        <v>2</v>
      </c>
    </row>
    <row r="1196" spans="1:6" x14ac:dyDescent="0.25">
      <c r="A1196" s="5">
        <v>23323625</v>
      </c>
      <c r="B1196" s="5" t="s">
        <v>400</v>
      </c>
      <c r="C1196" s="5" t="s">
        <v>12</v>
      </c>
      <c r="D1196" s="6">
        <v>45275</v>
      </c>
      <c r="E1196" s="12">
        <v>45438</v>
      </c>
      <c r="F1196" t="s">
        <v>2</v>
      </c>
    </row>
    <row r="1197" spans="1:6" x14ac:dyDescent="0.25">
      <c r="A1197" s="5">
        <v>23323627</v>
      </c>
      <c r="B1197" s="5" t="s">
        <v>400</v>
      </c>
      <c r="C1197" s="5" t="s">
        <v>12</v>
      </c>
      <c r="D1197" s="6">
        <v>44941</v>
      </c>
      <c r="E1197" s="12">
        <v>45452</v>
      </c>
      <c r="F1197" t="s">
        <v>0</v>
      </c>
    </row>
    <row r="1198" spans="1:6" x14ac:dyDescent="0.25">
      <c r="A1198" s="5">
        <v>20910751</v>
      </c>
      <c r="B1198" s="5" t="s">
        <v>400</v>
      </c>
      <c r="C1198" s="5" t="s">
        <v>12</v>
      </c>
      <c r="D1198" s="6">
        <v>43770</v>
      </c>
      <c r="E1198" s="12">
        <v>45459</v>
      </c>
      <c r="F1198" t="s">
        <v>0</v>
      </c>
    </row>
    <row r="1199" spans="1:6" x14ac:dyDescent="0.25">
      <c r="A1199" s="5">
        <v>20910761</v>
      </c>
      <c r="B1199" s="5" t="s">
        <v>401</v>
      </c>
      <c r="C1199" s="5" t="s">
        <v>12</v>
      </c>
      <c r="D1199" s="6">
        <v>45016</v>
      </c>
      <c r="E1199" s="12">
        <v>45459</v>
      </c>
      <c r="F1199" t="s">
        <v>0</v>
      </c>
    </row>
    <row r="1200" spans="1:6" x14ac:dyDescent="0.25">
      <c r="A1200" s="5">
        <v>23323628</v>
      </c>
      <c r="B1200" s="5" t="s">
        <v>401</v>
      </c>
      <c r="C1200" s="5" t="s">
        <v>12</v>
      </c>
      <c r="D1200" s="6">
        <v>45382</v>
      </c>
      <c r="E1200" s="12">
        <v>45459</v>
      </c>
      <c r="F1200" t="s">
        <v>0</v>
      </c>
    </row>
    <row r="1201" spans="1:6" x14ac:dyDescent="0.25">
      <c r="A1201" s="5">
        <v>23323629</v>
      </c>
      <c r="B1201" s="5" t="s">
        <v>401</v>
      </c>
      <c r="C1201" s="5" t="s">
        <v>18</v>
      </c>
      <c r="D1201" s="6">
        <v>45382</v>
      </c>
      <c r="E1201" s="12">
        <v>45459</v>
      </c>
      <c r="F1201" t="s">
        <v>0</v>
      </c>
    </row>
    <row r="1202" spans="1:6" x14ac:dyDescent="0.25">
      <c r="A1202" s="5">
        <v>23323630</v>
      </c>
      <c r="B1202" s="5" t="s">
        <v>400</v>
      </c>
      <c r="C1202" s="5" t="s">
        <v>12</v>
      </c>
      <c r="D1202" s="6">
        <v>45382</v>
      </c>
      <c r="E1202" s="12">
        <v>45459</v>
      </c>
      <c r="F1202" t="s">
        <v>0</v>
      </c>
    </row>
    <row r="1203" spans="1:6" x14ac:dyDescent="0.25">
      <c r="A1203" s="5">
        <v>23323631</v>
      </c>
      <c r="B1203" s="5" t="s">
        <v>400</v>
      </c>
      <c r="C1203" s="5" t="s">
        <v>12</v>
      </c>
      <c r="D1203" s="6">
        <v>45382</v>
      </c>
      <c r="E1203" s="12">
        <v>45459</v>
      </c>
      <c r="F1203" t="s">
        <v>0</v>
      </c>
    </row>
    <row r="1204" spans="1:6" x14ac:dyDescent="0.25">
      <c r="A1204" s="5">
        <v>23323632</v>
      </c>
      <c r="B1204" s="5" t="s">
        <v>401</v>
      </c>
      <c r="C1204" s="5" t="s">
        <v>12</v>
      </c>
      <c r="D1204" s="6">
        <v>45382</v>
      </c>
      <c r="E1204" s="12">
        <v>45459</v>
      </c>
      <c r="F1204" t="s">
        <v>0</v>
      </c>
    </row>
    <row r="1205" spans="1:6" x14ac:dyDescent="0.25">
      <c r="A1205" s="5">
        <v>10834233</v>
      </c>
      <c r="B1205" s="5" t="s">
        <v>401</v>
      </c>
      <c r="C1205" s="5" t="s">
        <v>24</v>
      </c>
      <c r="D1205" s="6">
        <v>43753</v>
      </c>
      <c r="E1205" s="12">
        <v>45566</v>
      </c>
      <c r="F1205" t="s">
        <v>0</v>
      </c>
    </row>
    <row r="1206" spans="1:6" x14ac:dyDescent="0.25">
      <c r="A1206" s="5">
        <v>24567001</v>
      </c>
      <c r="B1206" s="5" t="s">
        <v>401</v>
      </c>
      <c r="C1206" s="5" t="s">
        <v>79</v>
      </c>
      <c r="D1206" s="6">
        <v>45550</v>
      </c>
      <c r="E1206" s="12">
        <v>45577</v>
      </c>
      <c r="F1206" t="s">
        <v>0</v>
      </c>
    </row>
    <row r="1207" spans="1:6" x14ac:dyDescent="0.25">
      <c r="A1207" s="5">
        <v>24567003</v>
      </c>
      <c r="B1207" s="5" t="s">
        <v>400</v>
      </c>
      <c r="C1207" s="5" t="s">
        <v>12</v>
      </c>
      <c r="D1207" s="6">
        <v>45550</v>
      </c>
      <c r="E1207" s="12">
        <v>45577</v>
      </c>
      <c r="F1207" t="s">
        <v>0</v>
      </c>
    </row>
    <row r="1208" spans="1:6" x14ac:dyDescent="0.25">
      <c r="A1208" s="5">
        <v>24567004</v>
      </c>
      <c r="B1208" s="5" t="s">
        <v>400</v>
      </c>
      <c r="C1208" s="5" t="s">
        <v>12</v>
      </c>
      <c r="D1208" s="6">
        <v>45550</v>
      </c>
      <c r="E1208" s="12">
        <v>45577</v>
      </c>
      <c r="F1208" t="s">
        <v>0</v>
      </c>
    </row>
    <row r="1209" spans="1:6" x14ac:dyDescent="0.25">
      <c r="A1209" s="5">
        <v>24567005</v>
      </c>
      <c r="B1209" s="5" t="s">
        <v>400</v>
      </c>
      <c r="C1209" s="5" t="s">
        <v>12</v>
      </c>
      <c r="D1209" s="6">
        <v>45550</v>
      </c>
      <c r="E1209" s="12">
        <v>45577</v>
      </c>
      <c r="F1209" t="s">
        <v>0</v>
      </c>
    </row>
    <row r="1210" spans="1:6" x14ac:dyDescent="0.25">
      <c r="A1210" s="5">
        <v>24567006</v>
      </c>
      <c r="B1210" s="5" t="s">
        <v>401</v>
      </c>
      <c r="C1210" s="5" t="s">
        <v>12</v>
      </c>
      <c r="D1210" s="6">
        <v>45550</v>
      </c>
      <c r="E1210" s="12">
        <v>45577</v>
      </c>
      <c r="F1210" t="s">
        <v>0</v>
      </c>
    </row>
    <row r="1211" spans="1:6" x14ac:dyDescent="0.25">
      <c r="A1211" s="5">
        <v>24567007</v>
      </c>
      <c r="B1211" s="5" t="s">
        <v>401</v>
      </c>
      <c r="C1211" s="5" t="s">
        <v>18</v>
      </c>
      <c r="D1211" s="6">
        <v>45550</v>
      </c>
      <c r="E1211" s="12">
        <v>45577</v>
      </c>
      <c r="F1211" t="s">
        <v>0</v>
      </c>
    </row>
    <row r="1212" spans="1:6" x14ac:dyDescent="0.25">
      <c r="A1212" s="5">
        <v>24567008</v>
      </c>
      <c r="B1212" s="5" t="s">
        <v>400</v>
      </c>
      <c r="C1212" s="5" t="s">
        <v>12</v>
      </c>
      <c r="D1212" s="6">
        <v>45550</v>
      </c>
      <c r="E1212" s="12">
        <v>45577</v>
      </c>
      <c r="F1212" t="s">
        <v>0</v>
      </c>
    </row>
    <row r="1213" spans="1:6" x14ac:dyDescent="0.25">
      <c r="A1213" s="5">
        <v>24567009</v>
      </c>
      <c r="B1213" s="5" t="s">
        <v>400</v>
      </c>
      <c r="C1213" s="5" t="s">
        <v>12</v>
      </c>
      <c r="D1213" s="6">
        <v>45550</v>
      </c>
      <c r="E1213" s="12">
        <v>45577</v>
      </c>
      <c r="F1213" t="s">
        <v>0</v>
      </c>
    </row>
    <row r="1214" spans="1:6" x14ac:dyDescent="0.25">
      <c r="A1214" s="5">
        <v>24567010</v>
      </c>
      <c r="B1214" s="5" t="s">
        <v>401</v>
      </c>
      <c r="C1214" s="5" t="s">
        <v>12</v>
      </c>
      <c r="D1214" s="6">
        <v>45550</v>
      </c>
      <c r="E1214" s="12">
        <v>45577</v>
      </c>
      <c r="F1214" t="s">
        <v>0</v>
      </c>
    </row>
    <row r="1215" spans="1:6" x14ac:dyDescent="0.25">
      <c r="A1215" s="5">
        <v>24567011</v>
      </c>
      <c r="B1215" s="5" t="s">
        <v>401</v>
      </c>
      <c r="C1215" s="5" t="s">
        <v>12</v>
      </c>
      <c r="D1215" s="6">
        <v>45550</v>
      </c>
      <c r="E1215" s="12">
        <v>45577</v>
      </c>
      <c r="F1215" t="s">
        <v>0</v>
      </c>
    </row>
    <row r="1216" spans="1:6" x14ac:dyDescent="0.25">
      <c r="A1216" s="5">
        <v>24567012</v>
      </c>
      <c r="B1216" s="5" t="s">
        <v>401</v>
      </c>
      <c r="C1216" s="5" t="s">
        <v>12</v>
      </c>
      <c r="D1216" s="6">
        <v>45550</v>
      </c>
      <c r="E1216" s="12">
        <v>45577</v>
      </c>
      <c r="F1216" t="s">
        <v>0</v>
      </c>
    </row>
    <row r="1217" spans="1:6" x14ac:dyDescent="0.25">
      <c r="A1217" s="5">
        <v>24567014</v>
      </c>
      <c r="B1217" s="5" t="s">
        <v>400</v>
      </c>
      <c r="C1217" s="5" t="s">
        <v>12</v>
      </c>
      <c r="D1217" s="6">
        <v>45550</v>
      </c>
      <c r="E1217" s="12">
        <v>45577</v>
      </c>
      <c r="F1217" t="s">
        <v>0</v>
      </c>
    </row>
    <row r="1218" spans="1:6" x14ac:dyDescent="0.25">
      <c r="A1218" s="5">
        <v>24567015</v>
      </c>
      <c r="B1218" s="5" t="s">
        <v>400</v>
      </c>
      <c r="C1218" s="5" t="s">
        <v>18</v>
      </c>
      <c r="D1218" s="6">
        <v>45550</v>
      </c>
      <c r="E1218" s="12">
        <v>45577</v>
      </c>
      <c r="F1218" t="s">
        <v>0</v>
      </c>
    </row>
    <row r="1219" spans="1:6" x14ac:dyDescent="0.25">
      <c r="A1219" s="5">
        <v>24567016</v>
      </c>
      <c r="B1219" s="5" t="s">
        <v>401</v>
      </c>
      <c r="C1219" s="5" t="s">
        <v>12</v>
      </c>
      <c r="D1219" s="6">
        <v>45550</v>
      </c>
      <c r="E1219" s="12">
        <v>45577</v>
      </c>
      <c r="F1219" t="s">
        <v>0</v>
      </c>
    </row>
    <row r="1220" spans="1:6" x14ac:dyDescent="0.25">
      <c r="A1220" s="5">
        <v>24567017</v>
      </c>
      <c r="B1220" s="5" t="s">
        <v>400</v>
      </c>
      <c r="C1220" s="5" t="s">
        <v>12</v>
      </c>
      <c r="D1220" s="6">
        <v>45550</v>
      </c>
      <c r="E1220" s="12">
        <v>45577</v>
      </c>
      <c r="F1220" t="s">
        <v>0</v>
      </c>
    </row>
    <row r="1221" spans="1:6" x14ac:dyDescent="0.25">
      <c r="A1221" s="5">
        <v>24567018</v>
      </c>
      <c r="B1221" s="5" t="s">
        <v>400</v>
      </c>
      <c r="C1221" s="5" t="s">
        <v>12</v>
      </c>
      <c r="D1221" s="6">
        <v>45550</v>
      </c>
      <c r="E1221" s="12">
        <v>45577</v>
      </c>
      <c r="F1221" t="s">
        <v>0</v>
      </c>
    </row>
    <row r="1222" spans="1:6" x14ac:dyDescent="0.25">
      <c r="A1222" s="5">
        <v>24567019</v>
      </c>
      <c r="B1222" s="5" t="s">
        <v>400</v>
      </c>
      <c r="C1222" s="5" t="s">
        <v>12</v>
      </c>
      <c r="D1222" s="6">
        <v>45550</v>
      </c>
      <c r="E1222" s="12">
        <v>45577</v>
      </c>
      <c r="F1222" t="s">
        <v>0</v>
      </c>
    </row>
    <row r="1223" spans="1:6" x14ac:dyDescent="0.25">
      <c r="A1223" s="5">
        <v>24567020</v>
      </c>
      <c r="B1223" s="5" t="s">
        <v>401</v>
      </c>
      <c r="C1223" s="5" t="s">
        <v>12</v>
      </c>
      <c r="D1223" s="6">
        <v>45550</v>
      </c>
      <c r="E1223" s="12">
        <v>45577</v>
      </c>
      <c r="F1223" t="s">
        <v>0</v>
      </c>
    </row>
    <row r="1224" spans="1:6" x14ac:dyDescent="0.25">
      <c r="A1224" s="5">
        <v>24567021</v>
      </c>
      <c r="B1224" s="5" t="s">
        <v>400</v>
      </c>
      <c r="C1224" s="5" t="s">
        <v>12</v>
      </c>
      <c r="D1224" s="6">
        <v>45550</v>
      </c>
      <c r="E1224" s="12">
        <v>45577</v>
      </c>
      <c r="F1224" t="s">
        <v>0</v>
      </c>
    </row>
    <row r="1225" spans="1:6" x14ac:dyDescent="0.25">
      <c r="A1225" s="5">
        <v>24567022</v>
      </c>
      <c r="B1225" s="5" t="s">
        <v>401</v>
      </c>
      <c r="C1225" s="5" t="s">
        <v>12</v>
      </c>
      <c r="D1225" s="6">
        <v>45306</v>
      </c>
      <c r="E1225" s="12">
        <v>45577</v>
      </c>
      <c r="F1225" t="s">
        <v>0</v>
      </c>
    </row>
    <row r="1226" spans="1:6" x14ac:dyDescent="0.25">
      <c r="A1226" s="5">
        <v>24567023</v>
      </c>
      <c r="B1226" s="5" t="s">
        <v>401</v>
      </c>
      <c r="C1226" s="5" t="s">
        <v>12</v>
      </c>
      <c r="D1226" s="6">
        <v>45550</v>
      </c>
      <c r="E1226" s="12">
        <v>45577</v>
      </c>
      <c r="F1226" t="s">
        <v>0</v>
      </c>
    </row>
    <row r="1227" spans="1:6" x14ac:dyDescent="0.25">
      <c r="A1227" s="5">
        <v>24567024</v>
      </c>
      <c r="B1227" s="5" t="s">
        <v>401</v>
      </c>
      <c r="C1227" s="5" t="s">
        <v>12</v>
      </c>
      <c r="D1227" s="6">
        <v>45550</v>
      </c>
      <c r="E1227" s="12">
        <v>45577</v>
      </c>
      <c r="F1227" t="s">
        <v>0</v>
      </c>
    </row>
    <row r="1228" spans="1:6" x14ac:dyDescent="0.25">
      <c r="A1228" s="5">
        <v>24567025</v>
      </c>
      <c r="B1228" s="5" t="s">
        <v>400</v>
      </c>
      <c r="C1228" s="5" t="s">
        <v>12</v>
      </c>
      <c r="D1228" s="6">
        <v>45550</v>
      </c>
      <c r="E1228" s="12">
        <v>45577</v>
      </c>
      <c r="F1228" t="s">
        <v>0</v>
      </c>
    </row>
    <row r="1229" spans="1:6" x14ac:dyDescent="0.25">
      <c r="A1229" s="5">
        <v>24567026</v>
      </c>
      <c r="B1229" s="5" t="s">
        <v>401</v>
      </c>
      <c r="C1229" s="5" t="s">
        <v>12</v>
      </c>
      <c r="D1229" s="6">
        <v>45550</v>
      </c>
      <c r="E1229" s="12">
        <v>45577</v>
      </c>
      <c r="F1229" t="s">
        <v>0</v>
      </c>
    </row>
    <row r="1230" spans="1:6" x14ac:dyDescent="0.25">
      <c r="A1230" s="5">
        <v>24567027</v>
      </c>
      <c r="B1230" s="5" t="s">
        <v>401</v>
      </c>
      <c r="C1230" s="5" t="s">
        <v>12</v>
      </c>
      <c r="D1230" s="6">
        <v>45550</v>
      </c>
      <c r="E1230" s="12">
        <v>45577</v>
      </c>
      <c r="F1230" t="s">
        <v>0</v>
      </c>
    </row>
    <row r="1231" spans="1:6" x14ac:dyDescent="0.25">
      <c r="A1231" s="5">
        <v>24567028</v>
      </c>
      <c r="B1231" s="5" t="s">
        <v>400</v>
      </c>
      <c r="C1231" s="5" t="s">
        <v>12</v>
      </c>
      <c r="D1231" s="6">
        <v>45550</v>
      </c>
      <c r="E1231" s="12">
        <v>45577</v>
      </c>
      <c r="F1231" t="s">
        <v>0</v>
      </c>
    </row>
    <row r="1232" spans="1:6" x14ac:dyDescent="0.25">
      <c r="A1232" s="5">
        <v>24567029</v>
      </c>
      <c r="B1232" s="5" t="s">
        <v>400</v>
      </c>
      <c r="C1232" s="5" t="s">
        <v>12</v>
      </c>
      <c r="D1232" s="6">
        <v>45550</v>
      </c>
      <c r="E1232" s="12">
        <v>45577</v>
      </c>
      <c r="F1232" t="s">
        <v>0</v>
      </c>
    </row>
    <row r="1233" spans="1:6" x14ac:dyDescent="0.25">
      <c r="A1233" s="5">
        <v>24567030</v>
      </c>
      <c r="B1233" s="5" t="s">
        <v>401</v>
      </c>
      <c r="C1233" s="5" t="s">
        <v>12</v>
      </c>
      <c r="D1233" s="6">
        <v>45550</v>
      </c>
      <c r="E1233" s="12">
        <v>45577</v>
      </c>
      <c r="F1233" t="s">
        <v>0</v>
      </c>
    </row>
    <row r="1234" spans="1:6" x14ac:dyDescent="0.25">
      <c r="A1234" s="5">
        <v>24567031</v>
      </c>
      <c r="B1234" s="5" t="s">
        <v>401</v>
      </c>
      <c r="C1234" s="5" t="s">
        <v>12</v>
      </c>
      <c r="D1234" s="6">
        <v>45550</v>
      </c>
      <c r="E1234" s="12">
        <v>45577</v>
      </c>
      <c r="F1234" t="s">
        <v>0</v>
      </c>
    </row>
    <row r="1235" spans="1:6" x14ac:dyDescent="0.25">
      <c r="A1235" s="5">
        <v>24567032</v>
      </c>
      <c r="B1235" s="5" t="s">
        <v>400</v>
      </c>
      <c r="C1235" s="5" t="s">
        <v>12</v>
      </c>
      <c r="D1235" s="6">
        <v>45550</v>
      </c>
      <c r="E1235" s="12">
        <v>45577</v>
      </c>
      <c r="F1235" t="s">
        <v>0</v>
      </c>
    </row>
    <row r="1236" spans="1:6" x14ac:dyDescent="0.25">
      <c r="A1236" s="5">
        <v>24567033</v>
      </c>
      <c r="B1236" s="5" t="s">
        <v>401</v>
      </c>
      <c r="C1236" s="5" t="s">
        <v>12</v>
      </c>
      <c r="D1236" s="6">
        <v>45550</v>
      </c>
      <c r="E1236" s="12">
        <v>45577</v>
      </c>
      <c r="F1236" t="s">
        <v>0</v>
      </c>
    </row>
    <row r="1237" spans="1:6" x14ac:dyDescent="0.25">
      <c r="A1237" s="5">
        <v>24567034</v>
      </c>
      <c r="B1237" s="5" t="s">
        <v>401</v>
      </c>
      <c r="C1237" s="5" t="s">
        <v>12</v>
      </c>
      <c r="D1237" s="6">
        <v>45550</v>
      </c>
      <c r="E1237" s="12">
        <v>45577</v>
      </c>
      <c r="F1237" t="s">
        <v>0</v>
      </c>
    </row>
    <row r="1238" spans="1:6" x14ac:dyDescent="0.25">
      <c r="A1238" s="5">
        <v>24567035</v>
      </c>
      <c r="B1238" s="5" t="s">
        <v>400</v>
      </c>
      <c r="C1238" s="5" t="s">
        <v>12</v>
      </c>
      <c r="D1238" s="6">
        <v>45550</v>
      </c>
      <c r="E1238" s="12">
        <v>45577</v>
      </c>
      <c r="F1238" t="s">
        <v>0</v>
      </c>
    </row>
    <row r="1239" spans="1:6" x14ac:dyDescent="0.25">
      <c r="A1239" s="5">
        <v>24567036</v>
      </c>
      <c r="B1239" s="5" t="s">
        <v>400</v>
      </c>
      <c r="C1239" s="5" t="s">
        <v>12</v>
      </c>
      <c r="D1239" s="6">
        <v>45550</v>
      </c>
      <c r="E1239" s="12">
        <v>45577</v>
      </c>
      <c r="F1239" t="s">
        <v>0</v>
      </c>
    </row>
    <row r="1240" spans="1:6" x14ac:dyDescent="0.25">
      <c r="A1240" s="5">
        <v>24567037</v>
      </c>
      <c r="B1240" s="5" t="s">
        <v>401</v>
      </c>
      <c r="C1240" s="5" t="s">
        <v>12</v>
      </c>
      <c r="D1240" s="6">
        <v>45550</v>
      </c>
      <c r="E1240" s="12">
        <v>45577</v>
      </c>
      <c r="F1240" t="s">
        <v>0</v>
      </c>
    </row>
    <row r="1241" spans="1:6" x14ac:dyDescent="0.25">
      <c r="A1241" s="5">
        <v>24567038</v>
      </c>
      <c r="B1241" s="5" t="s">
        <v>400</v>
      </c>
      <c r="C1241" s="5" t="s">
        <v>12</v>
      </c>
      <c r="D1241" s="6">
        <v>45550</v>
      </c>
      <c r="E1241" s="12">
        <v>45577</v>
      </c>
      <c r="F1241" t="s">
        <v>0</v>
      </c>
    </row>
    <row r="1242" spans="1:6" x14ac:dyDescent="0.25">
      <c r="A1242" s="5">
        <v>24567039</v>
      </c>
      <c r="B1242" s="5" t="s">
        <v>400</v>
      </c>
      <c r="C1242" s="5" t="s">
        <v>12</v>
      </c>
      <c r="D1242" s="6">
        <v>45550</v>
      </c>
      <c r="E1242" s="12">
        <v>45577</v>
      </c>
      <c r="F1242" t="s">
        <v>0</v>
      </c>
    </row>
    <row r="1243" spans="1:6" x14ac:dyDescent="0.25">
      <c r="A1243" s="5">
        <v>24567040</v>
      </c>
      <c r="B1243" s="5" t="s">
        <v>401</v>
      </c>
      <c r="C1243" s="5" t="s">
        <v>18</v>
      </c>
      <c r="D1243" s="6">
        <v>45550</v>
      </c>
      <c r="E1243" s="12">
        <v>45577</v>
      </c>
      <c r="F1243" t="s">
        <v>0</v>
      </c>
    </row>
    <row r="1244" spans="1:6" x14ac:dyDescent="0.25">
      <c r="A1244" s="5">
        <v>24567041</v>
      </c>
      <c r="B1244" s="5" t="s">
        <v>401</v>
      </c>
      <c r="C1244" s="5" t="s">
        <v>12</v>
      </c>
      <c r="D1244" s="6">
        <v>45550</v>
      </c>
      <c r="E1244" s="12">
        <v>45577</v>
      </c>
      <c r="F1244" t="s">
        <v>0</v>
      </c>
    </row>
    <row r="1245" spans="1:6" x14ac:dyDescent="0.25">
      <c r="A1245" s="5">
        <v>24567042</v>
      </c>
      <c r="B1245" s="5" t="s">
        <v>401</v>
      </c>
      <c r="C1245" s="5" t="s">
        <v>18</v>
      </c>
      <c r="D1245" s="6">
        <v>45550</v>
      </c>
      <c r="E1245" s="12">
        <v>45577</v>
      </c>
      <c r="F1245" t="s">
        <v>0</v>
      </c>
    </row>
    <row r="1246" spans="1:6" x14ac:dyDescent="0.25">
      <c r="A1246" s="5">
        <v>24567043</v>
      </c>
      <c r="B1246" s="5" t="s">
        <v>400</v>
      </c>
      <c r="C1246" s="5" t="s">
        <v>79</v>
      </c>
      <c r="D1246" s="6">
        <v>45550</v>
      </c>
      <c r="E1246" s="12">
        <v>45577</v>
      </c>
      <c r="F1246" t="s">
        <v>0</v>
      </c>
    </row>
    <row r="1247" spans="1:6" x14ac:dyDescent="0.25">
      <c r="A1247" s="5">
        <v>24567044</v>
      </c>
      <c r="B1247" s="5" t="s">
        <v>401</v>
      </c>
      <c r="C1247" s="5" t="s">
        <v>12</v>
      </c>
      <c r="D1247" s="6">
        <v>45550</v>
      </c>
      <c r="E1247" s="12">
        <v>45577</v>
      </c>
      <c r="F1247" t="s">
        <v>0</v>
      </c>
    </row>
    <row r="1248" spans="1:6" x14ac:dyDescent="0.25">
      <c r="A1248" s="5">
        <v>24567045</v>
      </c>
      <c r="B1248" s="5" t="s">
        <v>400</v>
      </c>
      <c r="C1248" s="5" t="s">
        <v>12</v>
      </c>
      <c r="D1248" s="6">
        <v>45550</v>
      </c>
      <c r="E1248" s="12">
        <v>45577</v>
      </c>
      <c r="F1248" t="s">
        <v>0</v>
      </c>
    </row>
    <row r="1249" spans="1:6" x14ac:dyDescent="0.25">
      <c r="A1249" s="5">
        <v>24567046</v>
      </c>
      <c r="B1249" s="5" t="s">
        <v>400</v>
      </c>
      <c r="C1249" s="5" t="s">
        <v>12</v>
      </c>
      <c r="D1249" s="6">
        <v>45550</v>
      </c>
      <c r="E1249" s="12">
        <v>45577</v>
      </c>
      <c r="F1249" t="s">
        <v>0</v>
      </c>
    </row>
    <row r="1250" spans="1:6" x14ac:dyDescent="0.25">
      <c r="A1250" s="5">
        <v>24567047</v>
      </c>
      <c r="B1250" s="5" t="s">
        <v>400</v>
      </c>
      <c r="C1250" s="5" t="s">
        <v>12</v>
      </c>
      <c r="D1250" s="6">
        <v>45550</v>
      </c>
      <c r="E1250" s="12">
        <v>45577</v>
      </c>
      <c r="F1250" t="s">
        <v>0</v>
      </c>
    </row>
    <row r="1251" spans="1:6" x14ac:dyDescent="0.25">
      <c r="A1251" s="5">
        <v>24567048</v>
      </c>
      <c r="B1251" s="5" t="s">
        <v>400</v>
      </c>
      <c r="C1251" s="5" t="s">
        <v>79</v>
      </c>
      <c r="D1251" s="6">
        <v>45550</v>
      </c>
      <c r="E1251" s="12">
        <v>45577</v>
      </c>
      <c r="F1251" t="s">
        <v>0</v>
      </c>
    </row>
    <row r="1252" spans="1:6" x14ac:dyDescent="0.25">
      <c r="A1252" s="5">
        <v>24567049</v>
      </c>
      <c r="B1252" s="5" t="s">
        <v>400</v>
      </c>
      <c r="C1252" s="5" t="s">
        <v>18</v>
      </c>
      <c r="D1252" s="6">
        <v>45550</v>
      </c>
      <c r="E1252" s="12">
        <v>45577</v>
      </c>
      <c r="F1252" t="s">
        <v>0</v>
      </c>
    </row>
    <row r="1253" spans="1:6" x14ac:dyDescent="0.25">
      <c r="A1253" s="5">
        <v>24567050</v>
      </c>
      <c r="B1253" s="5" t="s">
        <v>401</v>
      </c>
      <c r="C1253" s="5" t="s">
        <v>12</v>
      </c>
      <c r="D1253" s="6">
        <v>45550</v>
      </c>
      <c r="E1253" s="12">
        <v>45577</v>
      </c>
      <c r="F1253" t="s">
        <v>0</v>
      </c>
    </row>
    <row r="1254" spans="1:6" x14ac:dyDescent="0.25">
      <c r="A1254" s="5">
        <v>24567051</v>
      </c>
      <c r="B1254" s="5" t="s">
        <v>400</v>
      </c>
      <c r="C1254" s="5" t="s">
        <v>12</v>
      </c>
      <c r="D1254" s="6">
        <v>45550</v>
      </c>
      <c r="E1254" s="12">
        <v>45577</v>
      </c>
      <c r="F1254" t="s">
        <v>0</v>
      </c>
    </row>
    <row r="1255" spans="1:6" x14ac:dyDescent="0.25">
      <c r="A1255" s="5">
        <v>24567052</v>
      </c>
      <c r="B1255" s="5" t="s">
        <v>401</v>
      </c>
      <c r="C1255" s="5" t="s">
        <v>12</v>
      </c>
      <c r="D1255" s="6">
        <v>45550</v>
      </c>
      <c r="E1255" s="12">
        <v>45577</v>
      </c>
      <c r="F1255" t="s">
        <v>0</v>
      </c>
    </row>
    <row r="1256" spans="1:6" x14ac:dyDescent="0.25">
      <c r="A1256" s="5">
        <v>24567053</v>
      </c>
      <c r="B1256" s="5" t="s">
        <v>400</v>
      </c>
      <c r="C1256" s="5" t="s">
        <v>12</v>
      </c>
      <c r="D1256" s="6">
        <v>45550</v>
      </c>
      <c r="E1256" s="12">
        <v>45577</v>
      </c>
      <c r="F1256" t="s">
        <v>0</v>
      </c>
    </row>
    <row r="1257" spans="1:6" x14ac:dyDescent="0.25">
      <c r="A1257" s="5">
        <v>24567054</v>
      </c>
      <c r="B1257" s="5" t="s">
        <v>400</v>
      </c>
      <c r="C1257" s="5" t="s">
        <v>12</v>
      </c>
      <c r="D1257" s="6">
        <v>45550</v>
      </c>
      <c r="E1257" s="12">
        <v>45577</v>
      </c>
      <c r="F1257" t="s">
        <v>0</v>
      </c>
    </row>
    <row r="1258" spans="1:6" x14ac:dyDescent="0.25">
      <c r="A1258" s="5">
        <v>24567055</v>
      </c>
      <c r="B1258" s="5" t="s">
        <v>401</v>
      </c>
      <c r="C1258" s="5" t="s">
        <v>12</v>
      </c>
      <c r="D1258" s="6">
        <v>45427</v>
      </c>
      <c r="E1258" s="12">
        <v>45577</v>
      </c>
      <c r="F1258" t="s">
        <v>0</v>
      </c>
    </row>
    <row r="1259" spans="1:6" x14ac:dyDescent="0.25">
      <c r="A1259" s="5">
        <v>24567056</v>
      </c>
      <c r="B1259" s="5" t="s">
        <v>401</v>
      </c>
      <c r="C1259" s="5" t="s">
        <v>79</v>
      </c>
      <c r="D1259" s="6">
        <v>45427</v>
      </c>
      <c r="E1259" s="12">
        <v>45577</v>
      </c>
      <c r="F1259" t="s">
        <v>0</v>
      </c>
    </row>
    <row r="1260" spans="1:6" x14ac:dyDescent="0.25">
      <c r="A1260" s="5">
        <v>24567057</v>
      </c>
      <c r="B1260" s="5" t="s">
        <v>401</v>
      </c>
      <c r="C1260" s="5" t="s">
        <v>12</v>
      </c>
      <c r="D1260" s="6">
        <v>45427</v>
      </c>
      <c r="E1260" s="12">
        <v>45577</v>
      </c>
      <c r="F1260" t="s">
        <v>0</v>
      </c>
    </row>
    <row r="1261" spans="1:6" x14ac:dyDescent="0.25">
      <c r="A1261" s="5">
        <v>24567058</v>
      </c>
      <c r="B1261" s="5" t="s">
        <v>401</v>
      </c>
      <c r="C1261" s="5" t="s">
        <v>12</v>
      </c>
      <c r="D1261" s="6">
        <v>45550</v>
      </c>
      <c r="E1261" s="12">
        <v>45577</v>
      </c>
      <c r="F1261" t="s">
        <v>0</v>
      </c>
    </row>
    <row r="1262" spans="1:6" x14ac:dyDescent="0.25">
      <c r="A1262" s="5">
        <v>24567059</v>
      </c>
      <c r="B1262" s="5" t="s">
        <v>401</v>
      </c>
      <c r="C1262" s="5" t="s">
        <v>18</v>
      </c>
      <c r="D1262" s="6">
        <v>45550</v>
      </c>
      <c r="E1262" s="12">
        <v>45577</v>
      </c>
      <c r="F1262" t="s">
        <v>0</v>
      </c>
    </row>
    <row r="1263" spans="1:6" x14ac:dyDescent="0.25">
      <c r="A1263" s="5">
        <v>24567060</v>
      </c>
      <c r="B1263" s="5" t="s">
        <v>401</v>
      </c>
      <c r="C1263" s="5" t="s">
        <v>12</v>
      </c>
      <c r="D1263" s="6">
        <v>45550</v>
      </c>
      <c r="E1263" s="12">
        <v>45577</v>
      </c>
      <c r="F1263" t="s">
        <v>0</v>
      </c>
    </row>
    <row r="1264" spans="1:6" x14ac:dyDescent="0.25">
      <c r="A1264" s="5">
        <v>24567061</v>
      </c>
      <c r="B1264" s="5" t="s">
        <v>401</v>
      </c>
      <c r="C1264" s="5" t="s">
        <v>18</v>
      </c>
      <c r="D1264" s="6">
        <v>45550</v>
      </c>
      <c r="E1264" s="12">
        <v>45577</v>
      </c>
      <c r="F1264" t="s">
        <v>0</v>
      </c>
    </row>
    <row r="1265" spans="1:6" x14ac:dyDescent="0.25">
      <c r="A1265" s="5">
        <v>24567062</v>
      </c>
      <c r="B1265" s="5" t="s">
        <v>401</v>
      </c>
      <c r="C1265" s="5" t="s">
        <v>12</v>
      </c>
      <c r="D1265" s="6">
        <v>45550</v>
      </c>
      <c r="E1265" s="12">
        <v>45577</v>
      </c>
      <c r="F1265" t="s">
        <v>0</v>
      </c>
    </row>
    <row r="1266" spans="1:6" x14ac:dyDescent="0.25">
      <c r="A1266" s="5">
        <v>24567063</v>
      </c>
      <c r="B1266" s="5" t="s">
        <v>401</v>
      </c>
      <c r="C1266" s="5" t="s">
        <v>12</v>
      </c>
      <c r="D1266" s="6">
        <v>45413</v>
      </c>
      <c r="E1266" s="12">
        <v>45577</v>
      </c>
      <c r="F1266" t="s">
        <v>0</v>
      </c>
    </row>
    <row r="1267" spans="1:6" x14ac:dyDescent="0.25">
      <c r="A1267" s="5">
        <v>24567064</v>
      </c>
      <c r="B1267" s="5" t="s">
        <v>400</v>
      </c>
      <c r="C1267" s="5" t="s">
        <v>12</v>
      </c>
      <c r="D1267" s="6">
        <v>45427</v>
      </c>
      <c r="E1267" s="12">
        <v>45577</v>
      </c>
      <c r="F1267" t="s">
        <v>0</v>
      </c>
    </row>
    <row r="1268" spans="1:6" x14ac:dyDescent="0.25">
      <c r="A1268" s="5">
        <v>24567065</v>
      </c>
      <c r="B1268" s="5" t="s">
        <v>400</v>
      </c>
      <c r="C1268" s="5" t="s">
        <v>18</v>
      </c>
      <c r="D1268" s="6">
        <v>45550</v>
      </c>
      <c r="E1268" s="12">
        <v>45577</v>
      </c>
      <c r="F1268" t="s">
        <v>0</v>
      </c>
    </row>
    <row r="1269" spans="1:6" x14ac:dyDescent="0.25">
      <c r="A1269" s="5">
        <v>24567066</v>
      </c>
      <c r="B1269" s="5" t="s">
        <v>400</v>
      </c>
      <c r="C1269" s="5" t="s">
        <v>12</v>
      </c>
      <c r="D1269" s="6">
        <v>45550</v>
      </c>
      <c r="E1269" s="12">
        <v>45577</v>
      </c>
      <c r="F1269" t="s">
        <v>0</v>
      </c>
    </row>
    <row r="1270" spans="1:6" x14ac:dyDescent="0.25">
      <c r="A1270" s="5">
        <v>24567067</v>
      </c>
      <c r="B1270" s="5" t="s">
        <v>401</v>
      </c>
      <c r="C1270" s="5" t="s">
        <v>18</v>
      </c>
      <c r="D1270" s="6">
        <v>45550</v>
      </c>
      <c r="E1270" s="12">
        <v>45577</v>
      </c>
      <c r="F1270" t="s">
        <v>0</v>
      </c>
    </row>
    <row r="1271" spans="1:6" x14ac:dyDescent="0.25">
      <c r="A1271" s="5">
        <v>24567068</v>
      </c>
      <c r="B1271" s="5" t="s">
        <v>400</v>
      </c>
      <c r="C1271" s="5" t="s">
        <v>12</v>
      </c>
      <c r="D1271" s="6">
        <v>45550</v>
      </c>
      <c r="E1271" s="12">
        <v>45577</v>
      </c>
      <c r="F1271" t="s">
        <v>0</v>
      </c>
    </row>
    <row r="1272" spans="1:6" x14ac:dyDescent="0.25">
      <c r="A1272" s="5">
        <v>24567069</v>
      </c>
      <c r="B1272" s="5" t="s">
        <v>401</v>
      </c>
      <c r="C1272" s="5" t="s">
        <v>12</v>
      </c>
      <c r="D1272" s="6">
        <v>45550</v>
      </c>
      <c r="E1272" s="12">
        <v>45577</v>
      </c>
      <c r="F1272" t="s">
        <v>0</v>
      </c>
    </row>
    <row r="1273" spans="1:6" x14ac:dyDescent="0.25">
      <c r="A1273" s="5">
        <v>24567070</v>
      </c>
      <c r="B1273" s="5" t="s">
        <v>400</v>
      </c>
      <c r="C1273" s="5" t="s">
        <v>18</v>
      </c>
      <c r="D1273" s="6">
        <v>45550</v>
      </c>
      <c r="E1273" s="12">
        <v>45577</v>
      </c>
      <c r="F1273" t="s">
        <v>0</v>
      </c>
    </row>
    <row r="1274" spans="1:6" x14ac:dyDescent="0.25">
      <c r="A1274" s="5">
        <v>24567071</v>
      </c>
      <c r="B1274" s="5" t="s">
        <v>401</v>
      </c>
      <c r="C1274" s="5" t="s">
        <v>12</v>
      </c>
      <c r="D1274" s="6">
        <v>45550</v>
      </c>
      <c r="E1274" s="12">
        <v>45577</v>
      </c>
      <c r="F1274" t="s">
        <v>0</v>
      </c>
    </row>
    <row r="1275" spans="1:6" x14ac:dyDescent="0.25">
      <c r="A1275" s="5">
        <v>24567072</v>
      </c>
      <c r="B1275" s="5" t="s">
        <v>401</v>
      </c>
      <c r="C1275" s="5" t="s">
        <v>12</v>
      </c>
      <c r="D1275" s="6">
        <v>45550</v>
      </c>
      <c r="E1275" s="12">
        <v>45577</v>
      </c>
      <c r="F1275" t="s">
        <v>0</v>
      </c>
    </row>
    <row r="1276" spans="1:6" x14ac:dyDescent="0.25">
      <c r="A1276" s="5">
        <v>24567073</v>
      </c>
      <c r="B1276" s="5" t="s">
        <v>401</v>
      </c>
      <c r="C1276" s="5" t="s">
        <v>79</v>
      </c>
      <c r="D1276" s="6">
        <v>45427</v>
      </c>
      <c r="E1276" s="12">
        <v>45577</v>
      </c>
      <c r="F1276" t="s">
        <v>0</v>
      </c>
    </row>
    <row r="1277" spans="1:6" x14ac:dyDescent="0.25">
      <c r="A1277" s="5">
        <v>24567074</v>
      </c>
      <c r="B1277" s="5" t="s">
        <v>400</v>
      </c>
      <c r="C1277" s="5" t="s">
        <v>12</v>
      </c>
      <c r="D1277" s="6">
        <v>45427</v>
      </c>
      <c r="E1277" s="12">
        <v>45577</v>
      </c>
      <c r="F1277" t="s">
        <v>0</v>
      </c>
    </row>
    <row r="1278" spans="1:6" x14ac:dyDescent="0.25">
      <c r="A1278" s="5">
        <v>24567075</v>
      </c>
      <c r="B1278" s="5" t="s">
        <v>401</v>
      </c>
      <c r="C1278" s="5" t="s">
        <v>12</v>
      </c>
      <c r="D1278" s="6">
        <v>45427</v>
      </c>
      <c r="E1278" s="12">
        <v>45577</v>
      </c>
      <c r="F1278" t="s">
        <v>0</v>
      </c>
    </row>
    <row r="1279" spans="1:6" x14ac:dyDescent="0.25">
      <c r="A1279" s="5">
        <v>24567076</v>
      </c>
      <c r="B1279" s="5" t="s">
        <v>400</v>
      </c>
      <c r="C1279" s="5" t="s">
        <v>18</v>
      </c>
      <c r="D1279" s="6">
        <v>45550</v>
      </c>
      <c r="E1279" s="12">
        <v>45577</v>
      </c>
      <c r="F1279" t="s">
        <v>0</v>
      </c>
    </row>
    <row r="1280" spans="1:6" x14ac:dyDescent="0.25">
      <c r="A1280" s="5">
        <v>24567077</v>
      </c>
      <c r="B1280" s="5" t="s">
        <v>400</v>
      </c>
      <c r="C1280" s="5" t="s">
        <v>12</v>
      </c>
      <c r="D1280" s="6">
        <v>45550</v>
      </c>
      <c r="E1280" s="12">
        <v>45577</v>
      </c>
      <c r="F1280" t="s">
        <v>0</v>
      </c>
    </row>
    <row r="1281" spans="1:6" x14ac:dyDescent="0.25">
      <c r="A1281" s="5">
        <v>24567078</v>
      </c>
      <c r="B1281" s="5" t="s">
        <v>400</v>
      </c>
      <c r="C1281" s="5" t="s">
        <v>12</v>
      </c>
      <c r="D1281" s="6">
        <v>45550</v>
      </c>
      <c r="E1281" s="12">
        <v>45577</v>
      </c>
      <c r="F1281" t="s">
        <v>0</v>
      </c>
    </row>
    <row r="1282" spans="1:6" x14ac:dyDescent="0.25">
      <c r="A1282" s="5">
        <v>24567079</v>
      </c>
      <c r="B1282" s="5" t="s">
        <v>401</v>
      </c>
      <c r="C1282" s="5" t="s">
        <v>12</v>
      </c>
      <c r="D1282" s="6">
        <v>45550</v>
      </c>
      <c r="E1282" s="12">
        <v>45577</v>
      </c>
      <c r="F1282" t="s">
        <v>0</v>
      </c>
    </row>
    <row r="1283" spans="1:6" x14ac:dyDescent="0.25">
      <c r="A1283" s="5">
        <v>24567080</v>
      </c>
      <c r="B1283" s="5" t="s">
        <v>401</v>
      </c>
      <c r="C1283" s="5" t="s">
        <v>12</v>
      </c>
      <c r="D1283" s="6">
        <v>45550</v>
      </c>
      <c r="E1283" s="12">
        <v>45577</v>
      </c>
      <c r="F1283" t="s">
        <v>0</v>
      </c>
    </row>
    <row r="1284" spans="1:6" x14ac:dyDescent="0.25">
      <c r="A1284" s="5">
        <v>24567081</v>
      </c>
      <c r="B1284" s="5" t="s">
        <v>401</v>
      </c>
      <c r="C1284" s="5" t="s">
        <v>79</v>
      </c>
      <c r="D1284" s="6">
        <v>45550</v>
      </c>
      <c r="E1284" s="12">
        <v>45577</v>
      </c>
      <c r="F1284" t="s">
        <v>0</v>
      </c>
    </row>
    <row r="1285" spans="1:6" x14ac:dyDescent="0.25">
      <c r="A1285" s="5">
        <v>24567082</v>
      </c>
      <c r="B1285" s="5" t="s">
        <v>401</v>
      </c>
      <c r="C1285" s="5" t="s">
        <v>12</v>
      </c>
      <c r="D1285" s="6">
        <v>45550</v>
      </c>
      <c r="E1285" s="12">
        <v>45577</v>
      </c>
      <c r="F1285" t="s">
        <v>0</v>
      </c>
    </row>
    <row r="1286" spans="1:6" x14ac:dyDescent="0.25">
      <c r="A1286" s="5">
        <v>24567083</v>
      </c>
      <c r="B1286" s="5" t="s">
        <v>400</v>
      </c>
      <c r="C1286" s="5" t="s">
        <v>18</v>
      </c>
      <c r="D1286" s="6">
        <v>45550</v>
      </c>
      <c r="E1286" s="12">
        <v>45577</v>
      </c>
      <c r="F1286" t="s">
        <v>0</v>
      </c>
    </row>
    <row r="1287" spans="1:6" x14ac:dyDescent="0.25">
      <c r="A1287" s="5">
        <v>24567084</v>
      </c>
      <c r="B1287" s="5" t="s">
        <v>401</v>
      </c>
      <c r="C1287" s="5" t="s">
        <v>12</v>
      </c>
      <c r="D1287" s="6">
        <v>45550</v>
      </c>
      <c r="E1287" s="12">
        <v>45577</v>
      </c>
      <c r="F1287" t="s">
        <v>0</v>
      </c>
    </row>
    <row r="1288" spans="1:6" x14ac:dyDescent="0.25">
      <c r="A1288" s="5">
        <v>24567085</v>
      </c>
      <c r="B1288" s="5" t="s">
        <v>400</v>
      </c>
      <c r="C1288" s="5" t="s">
        <v>12</v>
      </c>
      <c r="D1288" s="6">
        <v>45550</v>
      </c>
      <c r="E1288" s="12">
        <v>45577</v>
      </c>
      <c r="F1288" t="s">
        <v>0</v>
      </c>
    </row>
    <row r="1289" spans="1:6" x14ac:dyDescent="0.25">
      <c r="A1289" s="5">
        <v>24567086</v>
      </c>
      <c r="B1289" s="5" t="s">
        <v>400</v>
      </c>
      <c r="C1289" s="5" t="s">
        <v>12</v>
      </c>
      <c r="D1289" s="6">
        <v>45550</v>
      </c>
      <c r="E1289" s="12">
        <v>45577</v>
      </c>
      <c r="F1289" t="s">
        <v>0</v>
      </c>
    </row>
    <row r="1290" spans="1:6" x14ac:dyDescent="0.25">
      <c r="A1290" s="5">
        <v>24567087</v>
      </c>
      <c r="B1290" s="5" t="s">
        <v>401</v>
      </c>
      <c r="C1290" s="5" t="s">
        <v>12</v>
      </c>
      <c r="D1290" s="6">
        <v>45550</v>
      </c>
      <c r="E1290" s="12">
        <v>45577</v>
      </c>
      <c r="F1290" t="s">
        <v>0</v>
      </c>
    </row>
    <row r="1291" spans="1:6" x14ac:dyDescent="0.25">
      <c r="A1291" s="5">
        <v>24567088</v>
      </c>
      <c r="B1291" s="5" t="s">
        <v>401</v>
      </c>
      <c r="C1291" s="5" t="s">
        <v>12</v>
      </c>
      <c r="D1291" s="6">
        <v>45550</v>
      </c>
      <c r="E1291" s="12">
        <v>45577</v>
      </c>
      <c r="F1291" t="s">
        <v>0</v>
      </c>
    </row>
    <row r="1292" spans="1:6" x14ac:dyDescent="0.25">
      <c r="A1292" s="5">
        <v>24567089</v>
      </c>
      <c r="B1292" s="5" t="s">
        <v>400</v>
      </c>
      <c r="C1292" s="5" t="s">
        <v>12</v>
      </c>
      <c r="D1292" s="6">
        <v>45550</v>
      </c>
      <c r="E1292" s="12">
        <v>45577</v>
      </c>
      <c r="F1292" t="s">
        <v>0</v>
      </c>
    </row>
    <row r="1293" spans="1:6" x14ac:dyDescent="0.25">
      <c r="A1293" s="5">
        <v>24567090</v>
      </c>
      <c r="B1293" s="5" t="s">
        <v>401</v>
      </c>
      <c r="C1293" s="5" t="s">
        <v>12</v>
      </c>
      <c r="D1293" s="6">
        <v>45550</v>
      </c>
      <c r="E1293" s="12">
        <v>45577</v>
      </c>
      <c r="F1293" t="s">
        <v>0</v>
      </c>
    </row>
    <row r="1294" spans="1:6" x14ac:dyDescent="0.25">
      <c r="A1294" s="5">
        <v>24567091</v>
      </c>
      <c r="B1294" s="5" t="s">
        <v>401</v>
      </c>
      <c r="C1294" s="5" t="s">
        <v>12</v>
      </c>
      <c r="D1294" s="6">
        <v>45550</v>
      </c>
      <c r="E1294" s="12">
        <v>45577</v>
      </c>
      <c r="F1294" t="s">
        <v>0</v>
      </c>
    </row>
    <row r="1295" spans="1:6" x14ac:dyDescent="0.25">
      <c r="A1295" s="5">
        <v>23323502</v>
      </c>
      <c r="B1295" s="5" t="s">
        <v>401</v>
      </c>
      <c r="C1295" s="5" t="s">
        <v>12</v>
      </c>
      <c r="D1295" s="6">
        <v>45231</v>
      </c>
      <c r="E1295" s="12">
        <v>45578</v>
      </c>
      <c r="F1295" t="s">
        <v>0</v>
      </c>
    </row>
    <row r="1296" spans="1:6" x14ac:dyDescent="0.25">
      <c r="A1296" s="5">
        <v>24567092</v>
      </c>
      <c r="B1296" s="5" t="s">
        <v>401</v>
      </c>
      <c r="C1296" s="5" t="s">
        <v>12</v>
      </c>
      <c r="D1296" s="6">
        <v>45550</v>
      </c>
      <c r="E1296" s="12">
        <v>45578</v>
      </c>
      <c r="F1296" t="s">
        <v>0</v>
      </c>
    </row>
    <row r="1297" spans="1:6" x14ac:dyDescent="0.25">
      <c r="A1297" s="5">
        <v>24567093</v>
      </c>
      <c r="B1297" s="5" t="s">
        <v>401</v>
      </c>
      <c r="C1297" s="5" t="s">
        <v>18</v>
      </c>
      <c r="D1297" s="6">
        <v>45550</v>
      </c>
      <c r="E1297" s="12">
        <v>45578</v>
      </c>
      <c r="F1297" t="s">
        <v>0</v>
      </c>
    </row>
    <row r="1298" spans="1:6" x14ac:dyDescent="0.25">
      <c r="A1298" s="5">
        <v>24567094</v>
      </c>
      <c r="B1298" s="5" t="s">
        <v>401</v>
      </c>
      <c r="C1298" s="5" t="s">
        <v>18</v>
      </c>
      <c r="D1298" s="6">
        <v>45550</v>
      </c>
      <c r="E1298" s="12">
        <v>45578</v>
      </c>
      <c r="F1298" t="s">
        <v>0</v>
      </c>
    </row>
    <row r="1299" spans="1:6" x14ac:dyDescent="0.25">
      <c r="A1299" s="5">
        <v>24567095</v>
      </c>
      <c r="B1299" s="5" t="s">
        <v>400</v>
      </c>
      <c r="C1299" s="5" t="s">
        <v>12</v>
      </c>
      <c r="D1299" s="6">
        <v>45550</v>
      </c>
      <c r="E1299" s="12">
        <v>45578</v>
      </c>
      <c r="F1299" t="s">
        <v>0</v>
      </c>
    </row>
    <row r="1300" spans="1:6" x14ac:dyDescent="0.25">
      <c r="A1300" s="5">
        <v>24567096</v>
      </c>
      <c r="B1300" s="5" t="s">
        <v>401</v>
      </c>
      <c r="C1300" s="5" t="s">
        <v>12</v>
      </c>
      <c r="D1300" s="6">
        <v>45550</v>
      </c>
      <c r="E1300" s="12">
        <v>45578</v>
      </c>
      <c r="F1300" t="s">
        <v>0</v>
      </c>
    </row>
    <row r="1301" spans="1:6" x14ac:dyDescent="0.25">
      <c r="A1301" s="5">
        <v>24567097</v>
      </c>
      <c r="B1301" s="5" t="s">
        <v>401</v>
      </c>
      <c r="C1301" s="5" t="s">
        <v>12</v>
      </c>
      <c r="D1301" s="6">
        <v>45550</v>
      </c>
      <c r="E1301" s="12">
        <v>45578</v>
      </c>
      <c r="F1301" t="s">
        <v>0</v>
      </c>
    </row>
    <row r="1302" spans="1:6" x14ac:dyDescent="0.25">
      <c r="A1302" s="5">
        <v>24567098</v>
      </c>
      <c r="B1302" s="5" t="s">
        <v>400</v>
      </c>
      <c r="C1302" s="5" t="s">
        <v>12</v>
      </c>
      <c r="D1302" s="6">
        <v>45550</v>
      </c>
      <c r="E1302" s="12">
        <v>45578</v>
      </c>
      <c r="F1302" t="s">
        <v>0</v>
      </c>
    </row>
    <row r="1303" spans="1:6" x14ac:dyDescent="0.25">
      <c r="A1303" s="5">
        <v>24567099</v>
      </c>
      <c r="B1303" s="5" t="s">
        <v>401</v>
      </c>
      <c r="C1303" s="5" t="s">
        <v>12</v>
      </c>
      <c r="D1303" s="6">
        <v>45550</v>
      </c>
      <c r="E1303" s="12">
        <v>45578</v>
      </c>
      <c r="F1303" t="s">
        <v>0</v>
      </c>
    </row>
    <row r="1304" spans="1:6" x14ac:dyDescent="0.25">
      <c r="A1304" s="5">
        <v>24567100</v>
      </c>
      <c r="B1304" s="5" t="s">
        <v>401</v>
      </c>
      <c r="C1304" s="5" t="s">
        <v>12</v>
      </c>
      <c r="D1304" s="6">
        <v>45550</v>
      </c>
      <c r="E1304" s="12">
        <v>45578</v>
      </c>
      <c r="F1304" t="s">
        <v>0</v>
      </c>
    </row>
    <row r="1305" spans="1:6" x14ac:dyDescent="0.25">
      <c r="A1305" s="5">
        <v>24567101</v>
      </c>
      <c r="B1305" s="5" t="s">
        <v>401</v>
      </c>
      <c r="C1305" s="5" t="s">
        <v>12</v>
      </c>
      <c r="D1305" s="6">
        <v>45536</v>
      </c>
      <c r="E1305" s="12">
        <v>45578</v>
      </c>
      <c r="F1305" t="s">
        <v>0</v>
      </c>
    </row>
    <row r="1306" spans="1:6" x14ac:dyDescent="0.25">
      <c r="A1306" s="5">
        <v>24567102</v>
      </c>
      <c r="B1306" s="5" t="s">
        <v>401</v>
      </c>
      <c r="C1306" s="5" t="s">
        <v>18</v>
      </c>
      <c r="D1306" s="6">
        <v>45550</v>
      </c>
      <c r="E1306" s="12">
        <v>45578</v>
      </c>
      <c r="F1306" t="s">
        <v>0</v>
      </c>
    </row>
    <row r="1307" spans="1:6" x14ac:dyDescent="0.25">
      <c r="A1307" s="5">
        <v>24567103</v>
      </c>
      <c r="B1307" s="5" t="s">
        <v>400</v>
      </c>
      <c r="C1307" s="5" t="s">
        <v>12</v>
      </c>
      <c r="D1307" s="6">
        <v>45550</v>
      </c>
      <c r="E1307" s="12">
        <v>45578</v>
      </c>
      <c r="F1307" t="s">
        <v>0</v>
      </c>
    </row>
    <row r="1308" spans="1:6" x14ac:dyDescent="0.25">
      <c r="A1308" s="5">
        <v>24567104</v>
      </c>
      <c r="B1308" s="5" t="s">
        <v>401</v>
      </c>
      <c r="C1308" s="5" t="s">
        <v>12</v>
      </c>
      <c r="D1308" s="6">
        <v>45550</v>
      </c>
      <c r="E1308" s="12">
        <v>45578</v>
      </c>
      <c r="F1308" t="s">
        <v>0</v>
      </c>
    </row>
    <row r="1309" spans="1:6" x14ac:dyDescent="0.25">
      <c r="A1309" s="5">
        <v>24567105</v>
      </c>
      <c r="B1309" s="5" t="s">
        <v>400</v>
      </c>
      <c r="C1309" s="5" t="s">
        <v>12</v>
      </c>
      <c r="D1309" s="6">
        <v>45550</v>
      </c>
      <c r="E1309" s="12">
        <v>45578</v>
      </c>
      <c r="F1309" t="s">
        <v>0</v>
      </c>
    </row>
    <row r="1310" spans="1:6" x14ac:dyDescent="0.25">
      <c r="A1310" s="5">
        <v>24567106</v>
      </c>
      <c r="B1310" s="5" t="s">
        <v>400</v>
      </c>
      <c r="C1310" s="5" t="s">
        <v>12</v>
      </c>
      <c r="D1310" s="6">
        <v>45550</v>
      </c>
      <c r="E1310" s="12">
        <v>45578</v>
      </c>
      <c r="F1310" t="s">
        <v>0</v>
      </c>
    </row>
    <row r="1311" spans="1:6" x14ac:dyDescent="0.25">
      <c r="A1311" s="5">
        <v>24567107</v>
      </c>
      <c r="B1311" s="5" t="s">
        <v>400</v>
      </c>
      <c r="C1311" s="5" t="s">
        <v>12</v>
      </c>
      <c r="D1311" s="6">
        <v>45550</v>
      </c>
      <c r="E1311" s="12">
        <v>45578</v>
      </c>
      <c r="F1311" t="s">
        <v>0</v>
      </c>
    </row>
    <row r="1312" spans="1:6" x14ac:dyDescent="0.25">
      <c r="A1312" s="5">
        <v>24567108</v>
      </c>
      <c r="B1312" s="5" t="s">
        <v>400</v>
      </c>
      <c r="C1312" s="5" t="s">
        <v>12</v>
      </c>
      <c r="D1312" s="6">
        <v>45550</v>
      </c>
      <c r="E1312" s="12">
        <v>45578</v>
      </c>
      <c r="F1312" t="s">
        <v>0</v>
      </c>
    </row>
    <row r="1313" spans="1:6" x14ac:dyDescent="0.25">
      <c r="A1313" s="5">
        <v>24567109</v>
      </c>
      <c r="B1313" s="5" t="s">
        <v>400</v>
      </c>
      <c r="C1313" s="5" t="s">
        <v>12</v>
      </c>
      <c r="D1313" s="6">
        <v>45550</v>
      </c>
      <c r="E1313" s="12">
        <v>45578</v>
      </c>
      <c r="F1313" t="s">
        <v>0</v>
      </c>
    </row>
    <row r="1314" spans="1:6" x14ac:dyDescent="0.25">
      <c r="A1314" s="5">
        <v>24567110</v>
      </c>
      <c r="B1314" s="5" t="s">
        <v>400</v>
      </c>
      <c r="C1314" s="5" t="s">
        <v>12</v>
      </c>
      <c r="D1314" s="6">
        <v>45550</v>
      </c>
      <c r="E1314" s="12">
        <v>45578</v>
      </c>
      <c r="F1314" t="s">
        <v>0</v>
      </c>
    </row>
    <row r="1315" spans="1:6" x14ac:dyDescent="0.25">
      <c r="A1315" s="5">
        <v>24567111</v>
      </c>
      <c r="B1315" s="5" t="s">
        <v>400</v>
      </c>
      <c r="C1315" s="5" t="s">
        <v>12</v>
      </c>
      <c r="D1315" s="6">
        <v>45550</v>
      </c>
      <c r="E1315" s="12">
        <v>45578</v>
      </c>
      <c r="F1315" t="s">
        <v>0</v>
      </c>
    </row>
    <row r="1316" spans="1:6" x14ac:dyDescent="0.25">
      <c r="A1316" s="5">
        <v>24567112</v>
      </c>
      <c r="B1316" s="5" t="s">
        <v>400</v>
      </c>
      <c r="C1316" s="5" t="s">
        <v>12</v>
      </c>
      <c r="D1316" s="6">
        <v>45550</v>
      </c>
      <c r="E1316" s="12">
        <v>45578</v>
      </c>
      <c r="F1316" t="s">
        <v>0</v>
      </c>
    </row>
    <row r="1317" spans="1:6" x14ac:dyDescent="0.25">
      <c r="A1317" s="5">
        <v>24567113</v>
      </c>
      <c r="B1317" s="5" t="s">
        <v>400</v>
      </c>
      <c r="C1317" s="5" t="s">
        <v>12</v>
      </c>
      <c r="D1317" s="6">
        <v>45550</v>
      </c>
      <c r="E1317" s="12">
        <v>45578</v>
      </c>
      <c r="F1317" t="s">
        <v>0</v>
      </c>
    </row>
    <row r="1318" spans="1:6" x14ac:dyDescent="0.25">
      <c r="A1318" s="5">
        <v>24567114</v>
      </c>
      <c r="B1318" s="5" t="s">
        <v>400</v>
      </c>
      <c r="C1318" s="5" t="s">
        <v>125</v>
      </c>
      <c r="D1318" s="6">
        <v>45550</v>
      </c>
      <c r="E1318" s="12">
        <v>45578</v>
      </c>
      <c r="F1318" t="s">
        <v>0</v>
      </c>
    </row>
    <row r="1319" spans="1:6" x14ac:dyDescent="0.25">
      <c r="A1319" s="5">
        <v>24567115</v>
      </c>
      <c r="B1319" s="5" t="s">
        <v>401</v>
      </c>
      <c r="C1319" s="5" t="s">
        <v>12</v>
      </c>
      <c r="D1319" s="6">
        <v>45550</v>
      </c>
      <c r="E1319" s="12">
        <v>45578</v>
      </c>
      <c r="F1319" t="s">
        <v>0</v>
      </c>
    </row>
    <row r="1320" spans="1:6" x14ac:dyDescent="0.25">
      <c r="A1320" s="5">
        <v>24567116</v>
      </c>
      <c r="B1320" s="5" t="s">
        <v>400</v>
      </c>
      <c r="C1320" s="5" t="s">
        <v>12</v>
      </c>
      <c r="D1320" s="6">
        <v>45550</v>
      </c>
      <c r="E1320" s="12">
        <v>45578</v>
      </c>
      <c r="F1320" t="s">
        <v>0</v>
      </c>
    </row>
    <row r="1321" spans="1:6" x14ac:dyDescent="0.25">
      <c r="A1321" s="5">
        <v>24567117</v>
      </c>
      <c r="B1321" s="5" t="s">
        <v>400</v>
      </c>
      <c r="C1321" s="5" t="s">
        <v>12</v>
      </c>
      <c r="D1321" s="6">
        <v>45550</v>
      </c>
      <c r="E1321" s="12">
        <v>45578</v>
      </c>
      <c r="F1321" t="s">
        <v>0</v>
      </c>
    </row>
    <row r="1322" spans="1:6" x14ac:dyDescent="0.25">
      <c r="A1322" s="5">
        <v>24567118</v>
      </c>
      <c r="B1322" s="5" t="s">
        <v>400</v>
      </c>
      <c r="C1322" s="5" t="s">
        <v>12</v>
      </c>
      <c r="D1322" s="6">
        <v>45550</v>
      </c>
      <c r="E1322" s="12">
        <v>45578</v>
      </c>
      <c r="F1322" t="s">
        <v>0</v>
      </c>
    </row>
    <row r="1323" spans="1:6" x14ac:dyDescent="0.25">
      <c r="A1323" s="5">
        <v>24567119</v>
      </c>
      <c r="B1323" s="5" t="s">
        <v>400</v>
      </c>
      <c r="C1323" s="5" t="s">
        <v>12</v>
      </c>
      <c r="D1323" s="6">
        <v>45550</v>
      </c>
      <c r="E1323" s="12">
        <v>45578</v>
      </c>
      <c r="F1323" t="s">
        <v>0</v>
      </c>
    </row>
    <row r="1324" spans="1:6" x14ac:dyDescent="0.25">
      <c r="A1324" s="5">
        <v>24567120</v>
      </c>
      <c r="B1324" s="5" t="s">
        <v>400</v>
      </c>
      <c r="C1324" s="5" t="s">
        <v>12</v>
      </c>
      <c r="D1324" s="6">
        <v>45550</v>
      </c>
      <c r="E1324" s="12">
        <v>45578</v>
      </c>
      <c r="F1324" t="s">
        <v>0</v>
      </c>
    </row>
    <row r="1325" spans="1:6" x14ac:dyDescent="0.25">
      <c r="A1325" s="5">
        <v>24567121</v>
      </c>
      <c r="B1325" s="5" t="s">
        <v>401</v>
      </c>
      <c r="C1325" s="5" t="s">
        <v>12</v>
      </c>
      <c r="D1325" s="6">
        <v>45550</v>
      </c>
      <c r="E1325" s="12">
        <v>45578</v>
      </c>
      <c r="F1325" t="s">
        <v>0</v>
      </c>
    </row>
    <row r="1326" spans="1:6" x14ac:dyDescent="0.25">
      <c r="A1326" s="5">
        <v>24567122</v>
      </c>
      <c r="B1326" s="5" t="s">
        <v>401</v>
      </c>
      <c r="C1326" s="5" t="s">
        <v>12</v>
      </c>
      <c r="D1326" s="6">
        <v>45550</v>
      </c>
      <c r="E1326" s="12">
        <v>45578</v>
      </c>
      <c r="F1326" t="s">
        <v>0</v>
      </c>
    </row>
    <row r="1327" spans="1:6" x14ac:dyDescent="0.25">
      <c r="A1327" s="5">
        <v>24567123</v>
      </c>
      <c r="B1327" s="5" t="s">
        <v>400</v>
      </c>
      <c r="C1327" s="5" t="s">
        <v>12</v>
      </c>
      <c r="D1327" s="6">
        <v>45550</v>
      </c>
      <c r="E1327" s="12">
        <v>45578</v>
      </c>
      <c r="F1327" t="s">
        <v>0</v>
      </c>
    </row>
    <row r="1328" spans="1:6" x14ac:dyDescent="0.25">
      <c r="A1328" s="5">
        <v>24567124</v>
      </c>
      <c r="B1328" s="5" t="s">
        <v>401</v>
      </c>
      <c r="C1328" s="5" t="s">
        <v>12</v>
      </c>
      <c r="D1328" s="6">
        <v>45550</v>
      </c>
      <c r="E1328" s="12">
        <v>45578</v>
      </c>
      <c r="F1328" t="s">
        <v>0</v>
      </c>
    </row>
    <row r="1329" spans="1:6" x14ac:dyDescent="0.25">
      <c r="A1329" s="5">
        <v>24567125</v>
      </c>
      <c r="B1329" s="5" t="s">
        <v>401</v>
      </c>
      <c r="C1329" s="5" t="s">
        <v>12</v>
      </c>
      <c r="D1329" s="6">
        <v>45550</v>
      </c>
      <c r="E1329" s="12">
        <v>45578</v>
      </c>
      <c r="F1329" t="s">
        <v>0</v>
      </c>
    </row>
    <row r="1330" spans="1:6" x14ac:dyDescent="0.25">
      <c r="A1330" s="5">
        <v>24567126</v>
      </c>
      <c r="B1330" s="5" t="s">
        <v>400</v>
      </c>
      <c r="C1330" s="5" t="s">
        <v>125</v>
      </c>
      <c r="D1330" s="6">
        <v>45550</v>
      </c>
      <c r="E1330" s="12">
        <v>45578</v>
      </c>
      <c r="F1330" t="s">
        <v>0</v>
      </c>
    </row>
    <row r="1331" spans="1:6" x14ac:dyDescent="0.25">
      <c r="A1331" s="5">
        <v>24567127</v>
      </c>
      <c r="B1331" s="5" t="s">
        <v>400</v>
      </c>
      <c r="C1331" s="5" t="s">
        <v>12</v>
      </c>
      <c r="D1331" s="6">
        <v>45550</v>
      </c>
      <c r="E1331" s="12">
        <v>45578</v>
      </c>
      <c r="F1331" t="s">
        <v>0</v>
      </c>
    </row>
    <row r="1332" spans="1:6" x14ac:dyDescent="0.25">
      <c r="A1332" s="5">
        <v>24567128</v>
      </c>
      <c r="B1332" s="5" t="s">
        <v>401</v>
      </c>
      <c r="C1332" s="5" t="s">
        <v>12</v>
      </c>
      <c r="D1332" s="6">
        <v>45550</v>
      </c>
      <c r="E1332" s="12">
        <v>45578</v>
      </c>
      <c r="F1332" t="s">
        <v>0</v>
      </c>
    </row>
    <row r="1333" spans="1:6" x14ac:dyDescent="0.25">
      <c r="A1333" s="5">
        <v>24567129</v>
      </c>
      <c r="B1333" s="5" t="s">
        <v>401</v>
      </c>
      <c r="C1333" s="5" t="s">
        <v>12</v>
      </c>
      <c r="D1333" s="6">
        <v>45550</v>
      </c>
      <c r="E1333" s="12">
        <v>45578</v>
      </c>
      <c r="F1333" t="s">
        <v>0</v>
      </c>
    </row>
    <row r="1334" spans="1:6" x14ac:dyDescent="0.25">
      <c r="A1334" s="5">
        <v>24567130</v>
      </c>
      <c r="B1334" s="5" t="s">
        <v>400</v>
      </c>
      <c r="C1334" s="5" t="s">
        <v>125</v>
      </c>
      <c r="D1334" s="6">
        <v>45550</v>
      </c>
      <c r="E1334" s="12">
        <v>45578</v>
      </c>
      <c r="F1334" t="s">
        <v>0</v>
      </c>
    </row>
    <row r="1335" spans="1:6" x14ac:dyDescent="0.25">
      <c r="A1335" s="5">
        <v>24567131</v>
      </c>
      <c r="B1335" s="5" t="s">
        <v>400</v>
      </c>
      <c r="C1335" s="5" t="s">
        <v>12</v>
      </c>
      <c r="D1335" s="6">
        <v>45550</v>
      </c>
      <c r="E1335" s="12">
        <v>45578</v>
      </c>
      <c r="F1335" t="s">
        <v>0</v>
      </c>
    </row>
    <row r="1336" spans="1:6" x14ac:dyDescent="0.25">
      <c r="A1336" s="5">
        <v>24567132</v>
      </c>
      <c r="B1336" s="5" t="s">
        <v>401</v>
      </c>
      <c r="C1336" s="5" t="s">
        <v>12</v>
      </c>
      <c r="D1336" s="6">
        <v>45550</v>
      </c>
      <c r="E1336" s="12">
        <v>45578</v>
      </c>
      <c r="F1336" t="s">
        <v>0</v>
      </c>
    </row>
    <row r="1337" spans="1:6" x14ac:dyDescent="0.25">
      <c r="A1337" s="5">
        <v>24567133</v>
      </c>
      <c r="B1337" s="5" t="s">
        <v>400</v>
      </c>
      <c r="C1337" s="5" t="s">
        <v>12</v>
      </c>
      <c r="D1337" s="6">
        <v>45550</v>
      </c>
      <c r="E1337" s="12">
        <v>45578</v>
      </c>
      <c r="F1337" t="s">
        <v>0</v>
      </c>
    </row>
    <row r="1338" spans="1:6" x14ac:dyDescent="0.25">
      <c r="A1338" s="5">
        <v>24567134</v>
      </c>
      <c r="B1338" s="5" t="s">
        <v>400</v>
      </c>
      <c r="C1338" s="5" t="s">
        <v>18</v>
      </c>
      <c r="D1338" s="6">
        <v>45550</v>
      </c>
      <c r="E1338" s="12">
        <v>45578</v>
      </c>
      <c r="F1338" t="s">
        <v>0</v>
      </c>
    </row>
    <row r="1339" spans="1:6" x14ac:dyDescent="0.25">
      <c r="A1339" s="5">
        <v>24567135</v>
      </c>
      <c r="B1339" s="5" t="s">
        <v>401</v>
      </c>
      <c r="C1339" s="5" t="s">
        <v>12</v>
      </c>
      <c r="D1339" s="6">
        <v>45550</v>
      </c>
      <c r="E1339" s="12">
        <v>45578</v>
      </c>
      <c r="F1339" t="s">
        <v>0</v>
      </c>
    </row>
    <row r="1340" spans="1:6" x14ac:dyDescent="0.25">
      <c r="A1340" s="5">
        <v>24567136</v>
      </c>
      <c r="B1340" s="5" t="s">
        <v>400</v>
      </c>
      <c r="C1340" s="5" t="s">
        <v>12</v>
      </c>
      <c r="D1340" s="6">
        <v>45550</v>
      </c>
      <c r="E1340" s="12">
        <v>45578</v>
      </c>
      <c r="F1340" t="s">
        <v>0</v>
      </c>
    </row>
    <row r="1341" spans="1:6" x14ac:dyDescent="0.25">
      <c r="A1341" s="5">
        <v>24567137</v>
      </c>
      <c r="B1341" s="5" t="s">
        <v>401</v>
      </c>
      <c r="C1341" s="5" t="s">
        <v>12</v>
      </c>
      <c r="D1341" s="6">
        <v>45550</v>
      </c>
      <c r="E1341" s="12">
        <v>45578</v>
      </c>
      <c r="F1341" t="s">
        <v>0</v>
      </c>
    </row>
    <row r="1342" spans="1:6" x14ac:dyDescent="0.25">
      <c r="A1342" s="5">
        <v>24567138</v>
      </c>
      <c r="B1342" s="5" t="s">
        <v>401</v>
      </c>
      <c r="C1342" s="5" t="s">
        <v>12</v>
      </c>
      <c r="D1342" s="6">
        <v>45550</v>
      </c>
      <c r="E1342" s="12">
        <v>45578</v>
      </c>
      <c r="F1342" t="s">
        <v>0</v>
      </c>
    </row>
    <row r="1343" spans="1:6" x14ac:dyDescent="0.25">
      <c r="A1343" s="5">
        <v>24567139</v>
      </c>
      <c r="B1343" s="5" t="s">
        <v>401</v>
      </c>
      <c r="C1343" s="5" t="s">
        <v>12</v>
      </c>
      <c r="D1343" s="6">
        <v>45550</v>
      </c>
      <c r="E1343" s="12">
        <v>45578</v>
      </c>
      <c r="F1343" t="s">
        <v>0</v>
      </c>
    </row>
    <row r="1344" spans="1:6" x14ac:dyDescent="0.25">
      <c r="A1344" s="5">
        <v>24567140</v>
      </c>
      <c r="B1344" s="5" t="s">
        <v>400</v>
      </c>
      <c r="C1344" s="5" t="s">
        <v>12</v>
      </c>
      <c r="D1344" s="6">
        <v>45550</v>
      </c>
      <c r="E1344" s="12">
        <v>45578</v>
      </c>
      <c r="F1344" t="s">
        <v>0</v>
      </c>
    </row>
    <row r="1345" spans="1:6" x14ac:dyDescent="0.25">
      <c r="A1345" s="5">
        <v>24567141</v>
      </c>
      <c r="B1345" s="5" t="s">
        <v>401</v>
      </c>
      <c r="C1345" s="5" t="s">
        <v>12</v>
      </c>
      <c r="D1345" s="6">
        <v>45550</v>
      </c>
      <c r="E1345" s="12">
        <v>45578</v>
      </c>
      <c r="F1345" t="s">
        <v>0</v>
      </c>
    </row>
    <row r="1346" spans="1:6" x14ac:dyDescent="0.25">
      <c r="A1346" s="5">
        <v>24567142</v>
      </c>
      <c r="B1346" s="5" t="s">
        <v>400</v>
      </c>
      <c r="C1346" s="5" t="s">
        <v>12</v>
      </c>
      <c r="D1346" s="6">
        <v>45550</v>
      </c>
      <c r="E1346" s="12">
        <v>45578</v>
      </c>
      <c r="F1346" t="s">
        <v>0</v>
      </c>
    </row>
    <row r="1347" spans="1:6" x14ac:dyDescent="0.25">
      <c r="A1347" s="5">
        <v>24567143</v>
      </c>
      <c r="B1347" s="5" t="s">
        <v>400</v>
      </c>
      <c r="C1347" s="5" t="s">
        <v>12</v>
      </c>
      <c r="D1347" s="6">
        <v>45550</v>
      </c>
      <c r="E1347" s="12">
        <v>45578</v>
      </c>
      <c r="F1347" t="s">
        <v>0</v>
      </c>
    </row>
    <row r="1348" spans="1:6" x14ac:dyDescent="0.25">
      <c r="A1348" s="5">
        <v>24567144</v>
      </c>
      <c r="B1348" s="5" t="s">
        <v>400</v>
      </c>
      <c r="C1348" s="5" t="s">
        <v>12</v>
      </c>
      <c r="D1348" s="6">
        <v>45550</v>
      </c>
      <c r="E1348" s="12">
        <v>45578</v>
      </c>
      <c r="F1348" t="s">
        <v>0</v>
      </c>
    </row>
    <row r="1349" spans="1:6" x14ac:dyDescent="0.25">
      <c r="A1349" s="5">
        <v>24567145</v>
      </c>
      <c r="B1349" s="5" t="s">
        <v>400</v>
      </c>
      <c r="C1349" s="5" t="s">
        <v>18</v>
      </c>
      <c r="D1349" s="6">
        <v>45550</v>
      </c>
      <c r="E1349" s="12">
        <v>45578</v>
      </c>
      <c r="F1349" t="s">
        <v>0</v>
      </c>
    </row>
    <row r="1350" spans="1:6" x14ac:dyDescent="0.25">
      <c r="A1350" s="5">
        <v>24567146</v>
      </c>
      <c r="B1350" s="5" t="s">
        <v>401</v>
      </c>
      <c r="C1350" s="5" t="s">
        <v>12</v>
      </c>
      <c r="D1350" s="6">
        <v>45550</v>
      </c>
      <c r="E1350" s="12">
        <v>45578</v>
      </c>
      <c r="F1350" t="s">
        <v>0</v>
      </c>
    </row>
    <row r="1351" spans="1:6" x14ac:dyDescent="0.25">
      <c r="A1351" s="5">
        <v>24567147</v>
      </c>
      <c r="B1351" s="5" t="s">
        <v>401</v>
      </c>
      <c r="C1351" s="5" t="s">
        <v>12</v>
      </c>
      <c r="D1351" s="6">
        <v>45550</v>
      </c>
      <c r="E1351" s="12">
        <v>45578</v>
      </c>
      <c r="F1351" t="s">
        <v>0</v>
      </c>
    </row>
    <row r="1352" spans="1:6" x14ac:dyDescent="0.25">
      <c r="A1352" s="5">
        <v>24567148</v>
      </c>
      <c r="B1352" s="5" t="s">
        <v>400</v>
      </c>
      <c r="C1352" s="5" t="s">
        <v>12</v>
      </c>
      <c r="D1352" s="6">
        <v>45550</v>
      </c>
      <c r="E1352" s="12">
        <v>45578</v>
      </c>
      <c r="F1352" t="s">
        <v>0</v>
      </c>
    </row>
    <row r="1353" spans="1:6" x14ac:dyDescent="0.25">
      <c r="A1353" s="5">
        <v>24567149</v>
      </c>
      <c r="B1353" s="5" t="s">
        <v>401</v>
      </c>
      <c r="C1353" s="5" t="s">
        <v>12</v>
      </c>
      <c r="D1353" s="6">
        <v>45550</v>
      </c>
      <c r="E1353" s="12">
        <v>45578</v>
      </c>
      <c r="F1353" t="s">
        <v>0</v>
      </c>
    </row>
    <row r="1354" spans="1:6" x14ac:dyDescent="0.25">
      <c r="A1354" s="5">
        <v>24567150</v>
      </c>
      <c r="B1354" s="5" t="s">
        <v>400</v>
      </c>
      <c r="C1354" s="5" t="s">
        <v>12</v>
      </c>
      <c r="D1354" s="6">
        <v>45550</v>
      </c>
      <c r="E1354" s="12">
        <v>45578</v>
      </c>
      <c r="F1354" t="s">
        <v>0</v>
      </c>
    </row>
    <row r="1355" spans="1:6" x14ac:dyDescent="0.25">
      <c r="A1355" s="5">
        <v>24567151</v>
      </c>
      <c r="B1355" s="5" t="s">
        <v>400</v>
      </c>
      <c r="C1355" s="5" t="s">
        <v>12</v>
      </c>
      <c r="D1355" s="6">
        <v>45550</v>
      </c>
      <c r="E1355" s="12">
        <v>45578</v>
      </c>
      <c r="F1355" t="s">
        <v>0</v>
      </c>
    </row>
    <row r="1356" spans="1:6" x14ac:dyDescent="0.25">
      <c r="A1356" s="5">
        <v>24567152</v>
      </c>
      <c r="B1356" s="5" t="s">
        <v>400</v>
      </c>
      <c r="C1356" s="5" t="s">
        <v>12</v>
      </c>
      <c r="D1356" s="6">
        <v>45550</v>
      </c>
      <c r="E1356" s="12">
        <v>45578</v>
      </c>
      <c r="F1356" t="s">
        <v>0</v>
      </c>
    </row>
    <row r="1357" spans="1:6" x14ac:dyDescent="0.25">
      <c r="A1357" s="5">
        <v>24567153</v>
      </c>
      <c r="B1357" s="5" t="s">
        <v>401</v>
      </c>
      <c r="C1357" s="5" t="s">
        <v>12</v>
      </c>
      <c r="D1357" s="6">
        <v>45550</v>
      </c>
      <c r="E1357" s="12">
        <v>45578</v>
      </c>
      <c r="F1357" t="s">
        <v>0</v>
      </c>
    </row>
    <row r="1358" spans="1:6" x14ac:dyDescent="0.25">
      <c r="A1358" s="5">
        <v>24567154</v>
      </c>
      <c r="B1358" s="5" t="s">
        <v>401</v>
      </c>
      <c r="C1358" s="5" t="s">
        <v>12</v>
      </c>
      <c r="D1358" s="6">
        <v>45550</v>
      </c>
      <c r="E1358" s="12">
        <v>45578</v>
      </c>
      <c r="F1358" t="s">
        <v>0</v>
      </c>
    </row>
    <row r="1359" spans="1:6" x14ac:dyDescent="0.25">
      <c r="A1359" s="5">
        <v>24567155</v>
      </c>
      <c r="B1359" s="5" t="s">
        <v>400</v>
      </c>
      <c r="C1359" s="5" t="s">
        <v>12</v>
      </c>
      <c r="D1359" s="6">
        <v>45550</v>
      </c>
      <c r="E1359" s="12">
        <v>45578</v>
      </c>
      <c r="F1359" t="s">
        <v>0</v>
      </c>
    </row>
    <row r="1360" spans="1:6" x14ac:dyDescent="0.25">
      <c r="A1360" s="5">
        <v>22350434</v>
      </c>
      <c r="B1360" s="5" t="s">
        <v>400</v>
      </c>
      <c r="C1360" s="5" t="s">
        <v>12</v>
      </c>
      <c r="D1360" s="6">
        <v>44134</v>
      </c>
      <c r="E1360" s="12">
        <v>45587</v>
      </c>
      <c r="F1360" t="s">
        <v>0</v>
      </c>
    </row>
    <row r="1361" spans="1:6" x14ac:dyDescent="0.25">
      <c r="A1361" s="5">
        <v>24567156</v>
      </c>
      <c r="B1361" s="5" t="s">
        <v>400</v>
      </c>
      <c r="C1361" s="5" t="s">
        <v>12</v>
      </c>
      <c r="D1361" s="6">
        <v>45565</v>
      </c>
      <c r="E1361" s="12">
        <v>45587</v>
      </c>
      <c r="F1361" t="s">
        <v>0</v>
      </c>
    </row>
    <row r="1362" spans="1:6" x14ac:dyDescent="0.25">
      <c r="A1362" s="5">
        <v>24567157</v>
      </c>
      <c r="B1362" s="5" t="s">
        <v>400</v>
      </c>
      <c r="C1362" s="5" t="s">
        <v>18</v>
      </c>
      <c r="D1362" s="6">
        <v>45570</v>
      </c>
      <c r="E1362" s="12">
        <v>45587</v>
      </c>
      <c r="F1362" t="s">
        <v>0</v>
      </c>
    </row>
    <row r="1363" spans="1:6" x14ac:dyDescent="0.25">
      <c r="A1363" s="5">
        <v>24567158</v>
      </c>
      <c r="B1363" s="5" t="s">
        <v>401</v>
      </c>
      <c r="C1363" s="5" t="s">
        <v>12</v>
      </c>
      <c r="D1363" s="6">
        <v>45570</v>
      </c>
      <c r="E1363" s="12">
        <v>45587</v>
      </c>
      <c r="F1363" t="s">
        <v>0</v>
      </c>
    </row>
    <row r="1364" spans="1:6" x14ac:dyDescent="0.25">
      <c r="A1364" s="5">
        <v>24567159</v>
      </c>
      <c r="B1364" s="5" t="s">
        <v>401</v>
      </c>
      <c r="C1364" s="5" t="s">
        <v>79</v>
      </c>
      <c r="D1364" s="6">
        <v>45570</v>
      </c>
      <c r="E1364" s="12">
        <v>45587</v>
      </c>
      <c r="F1364" t="s">
        <v>0</v>
      </c>
    </row>
    <row r="1365" spans="1:6" x14ac:dyDescent="0.25">
      <c r="A1365" s="5">
        <v>24567160</v>
      </c>
      <c r="B1365" s="5" t="s">
        <v>400</v>
      </c>
      <c r="C1365" s="5" t="s">
        <v>12</v>
      </c>
      <c r="D1365" s="6">
        <v>45570</v>
      </c>
      <c r="E1365" s="12">
        <v>45587</v>
      </c>
      <c r="F1365" t="s">
        <v>0</v>
      </c>
    </row>
    <row r="1366" spans="1:6" x14ac:dyDescent="0.25">
      <c r="A1366" s="5">
        <v>24567161</v>
      </c>
      <c r="B1366" s="5" t="s">
        <v>400</v>
      </c>
      <c r="C1366" s="5" t="s">
        <v>12</v>
      </c>
      <c r="D1366" s="6">
        <v>45565</v>
      </c>
      <c r="E1366" s="12">
        <v>45587</v>
      </c>
      <c r="F1366" t="s">
        <v>0</v>
      </c>
    </row>
    <row r="1367" spans="1:6" x14ac:dyDescent="0.25">
      <c r="A1367" s="5">
        <v>24567162</v>
      </c>
      <c r="B1367" s="5" t="s">
        <v>401</v>
      </c>
      <c r="C1367" s="5" t="s">
        <v>12</v>
      </c>
      <c r="D1367" s="6">
        <v>45565</v>
      </c>
      <c r="E1367" s="12">
        <v>45587</v>
      </c>
      <c r="F1367" t="s">
        <v>0</v>
      </c>
    </row>
    <row r="1368" spans="1:6" x14ac:dyDescent="0.25">
      <c r="A1368" s="5">
        <v>24567163</v>
      </c>
      <c r="B1368" s="5" t="s">
        <v>401</v>
      </c>
      <c r="C1368" s="5" t="s">
        <v>12</v>
      </c>
      <c r="D1368" s="6">
        <v>45570</v>
      </c>
      <c r="E1368" s="12">
        <v>45587</v>
      </c>
      <c r="F1368" t="s">
        <v>0</v>
      </c>
    </row>
    <row r="1369" spans="1:6" x14ac:dyDescent="0.25">
      <c r="A1369" s="5">
        <v>24567164</v>
      </c>
      <c r="B1369" s="5" t="s">
        <v>401</v>
      </c>
      <c r="C1369" s="5" t="s">
        <v>12</v>
      </c>
      <c r="D1369" s="6">
        <v>45570</v>
      </c>
      <c r="E1369" s="12">
        <v>45587</v>
      </c>
      <c r="F1369" t="s">
        <v>0</v>
      </c>
    </row>
    <row r="1370" spans="1:6" x14ac:dyDescent="0.25">
      <c r="A1370" s="5">
        <v>24567165</v>
      </c>
      <c r="B1370" s="5" t="s">
        <v>401</v>
      </c>
      <c r="C1370" s="5" t="s">
        <v>12</v>
      </c>
      <c r="D1370" s="6">
        <v>45570</v>
      </c>
      <c r="E1370" s="12">
        <v>45587</v>
      </c>
      <c r="F1370" t="s">
        <v>0</v>
      </c>
    </row>
    <row r="1371" spans="1:6" x14ac:dyDescent="0.25">
      <c r="A1371" s="5">
        <v>24567166</v>
      </c>
      <c r="B1371" s="5" t="s">
        <v>400</v>
      </c>
      <c r="C1371" s="5" t="s">
        <v>18</v>
      </c>
      <c r="D1371" s="6">
        <v>45570</v>
      </c>
      <c r="E1371" s="12">
        <v>45587</v>
      </c>
      <c r="F1371" t="s">
        <v>0</v>
      </c>
    </row>
    <row r="1372" spans="1:6" x14ac:dyDescent="0.25">
      <c r="A1372" s="5">
        <v>24567167</v>
      </c>
      <c r="B1372" s="5" t="s">
        <v>400</v>
      </c>
      <c r="C1372" s="5" t="s">
        <v>12</v>
      </c>
      <c r="D1372" s="6">
        <v>45570</v>
      </c>
      <c r="E1372" s="12">
        <v>45587</v>
      </c>
      <c r="F1372" t="s">
        <v>0</v>
      </c>
    </row>
    <row r="1373" spans="1:6" x14ac:dyDescent="0.25">
      <c r="A1373" s="5">
        <v>24567168</v>
      </c>
      <c r="B1373" s="5" t="s">
        <v>400</v>
      </c>
      <c r="C1373" s="5" t="s">
        <v>12</v>
      </c>
      <c r="D1373" s="6">
        <v>45570</v>
      </c>
      <c r="E1373" s="12">
        <v>45587</v>
      </c>
      <c r="F1373" t="s">
        <v>0</v>
      </c>
    </row>
    <row r="1374" spans="1:6" x14ac:dyDescent="0.25">
      <c r="A1374" s="5">
        <v>24567169</v>
      </c>
      <c r="B1374" s="5" t="s">
        <v>400</v>
      </c>
      <c r="C1374" s="5" t="s">
        <v>12</v>
      </c>
      <c r="D1374" s="6">
        <v>45570</v>
      </c>
      <c r="E1374" s="12">
        <v>45587</v>
      </c>
      <c r="F1374" t="s">
        <v>0</v>
      </c>
    </row>
    <row r="1375" spans="1:6" x14ac:dyDescent="0.25">
      <c r="A1375" s="5">
        <v>24567170</v>
      </c>
      <c r="B1375" s="5" t="s">
        <v>401</v>
      </c>
      <c r="C1375" s="5" t="s">
        <v>12</v>
      </c>
      <c r="D1375" s="6">
        <v>45580</v>
      </c>
      <c r="E1375" s="12">
        <v>45587</v>
      </c>
      <c r="F1375" t="s">
        <v>0</v>
      </c>
    </row>
    <row r="1376" spans="1:6" x14ac:dyDescent="0.25">
      <c r="A1376" s="5">
        <v>24567171</v>
      </c>
      <c r="B1376" s="5" t="s">
        <v>401</v>
      </c>
      <c r="C1376" s="5" t="s">
        <v>12</v>
      </c>
      <c r="D1376" s="6">
        <v>45570</v>
      </c>
      <c r="E1376" s="12">
        <v>45587</v>
      </c>
      <c r="F1376" t="s">
        <v>0</v>
      </c>
    </row>
    <row r="1377" spans="1:6" x14ac:dyDescent="0.25">
      <c r="A1377" s="5">
        <v>24567172</v>
      </c>
      <c r="B1377" s="5" t="s">
        <v>401</v>
      </c>
      <c r="C1377" s="5" t="s">
        <v>79</v>
      </c>
      <c r="D1377" s="6">
        <v>45565</v>
      </c>
      <c r="E1377" s="12">
        <v>45587</v>
      </c>
      <c r="F1377" t="s">
        <v>0</v>
      </c>
    </row>
    <row r="1378" spans="1:6" x14ac:dyDescent="0.25">
      <c r="A1378" s="5">
        <v>24567173</v>
      </c>
      <c r="B1378" s="5" t="s">
        <v>400</v>
      </c>
      <c r="C1378" s="5" t="s">
        <v>18</v>
      </c>
      <c r="D1378" s="6">
        <v>45565</v>
      </c>
      <c r="E1378" s="12">
        <v>45587</v>
      </c>
      <c r="F1378" t="s">
        <v>0</v>
      </c>
    </row>
    <row r="1379" spans="1:6" x14ac:dyDescent="0.25">
      <c r="A1379" s="5">
        <v>24567174</v>
      </c>
      <c r="B1379" s="5" t="s">
        <v>401</v>
      </c>
      <c r="C1379" s="5" t="s">
        <v>12</v>
      </c>
      <c r="D1379" s="6">
        <v>45570</v>
      </c>
      <c r="E1379" s="12">
        <v>45587</v>
      </c>
      <c r="F1379" t="s">
        <v>0</v>
      </c>
    </row>
    <row r="1380" spans="1:6" x14ac:dyDescent="0.25">
      <c r="A1380" s="5">
        <v>24567175</v>
      </c>
      <c r="B1380" s="5" t="s">
        <v>400</v>
      </c>
      <c r="C1380" s="5" t="s">
        <v>12</v>
      </c>
      <c r="D1380" s="6">
        <v>45570</v>
      </c>
      <c r="E1380" s="12">
        <v>45587</v>
      </c>
      <c r="F1380" t="s">
        <v>0</v>
      </c>
    </row>
    <row r="1381" spans="1:6" x14ac:dyDescent="0.25">
      <c r="A1381" s="5">
        <v>24567176</v>
      </c>
      <c r="B1381" s="5" t="s">
        <v>401</v>
      </c>
      <c r="C1381" s="5" t="s">
        <v>12</v>
      </c>
      <c r="D1381" s="6">
        <v>45570</v>
      </c>
      <c r="E1381" s="12">
        <v>45587</v>
      </c>
      <c r="F1381" t="s">
        <v>0</v>
      </c>
    </row>
    <row r="1382" spans="1:6" x14ac:dyDescent="0.25">
      <c r="A1382" s="5">
        <v>24567177</v>
      </c>
      <c r="B1382" s="5" t="s">
        <v>401</v>
      </c>
      <c r="C1382" s="5" t="s">
        <v>18</v>
      </c>
      <c r="D1382" s="6">
        <v>45565</v>
      </c>
      <c r="E1382" s="12">
        <v>45587</v>
      </c>
      <c r="F1382" t="s">
        <v>0</v>
      </c>
    </row>
    <row r="1383" spans="1:6" x14ac:dyDescent="0.25">
      <c r="A1383" s="5">
        <v>24567178</v>
      </c>
      <c r="B1383" s="5" t="s">
        <v>400</v>
      </c>
      <c r="C1383" s="5" t="s">
        <v>12</v>
      </c>
      <c r="D1383" s="6">
        <v>45570</v>
      </c>
      <c r="E1383" s="12">
        <v>45587</v>
      </c>
      <c r="F1383" t="s">
        <v>0</v>
      </c>
    </row>
    <row r="1384" spans="1:6" x14ac:dyDescent="0.25">
      <c r="A1384" s="5">
        <v>24567179</v>
      </c>
      <c r="B1384" s="5" t="s">
        <v>401</v>
      </c>
      <c r="C1384" s="5" t="s">
        <v>18</v>
      </c>
      <c r="D1384" s="6">
        <v>45570</v>
      </c>
      <c r="E1384" s="12">
        <v>45587</v>
      </c>
      <c r="F1384" t="s">
        <v>0</v>
      </c>
    </row>
    <row r="1385" spans="1:6" x14ac:dyDescent="0.25">
      <c r="A1385" s="5">
        <v>24567180</v>
      </c>
      <c r="B1385" s="5" t="s">
        <v>401</v>
      </c>
      <c r="C1385" s="5" t="s">
        <v>18</v>
      </c>
      <c r="D1385" s="6">
        <v>45570</v>
      </c>
      <c r="E1385" s="12">
        <v>45587</v>
      </c>
      <c r="F1385" t="s">
        <v>0</v>
      </c>
    </row>
    <row r="1386" spans="1:6" x14ac:dyDescent="0.25">
      <c r="A1386" s="5">
        <v>24567181</v>
      </c>
      <c r="B1386" s="5" t="s">
        <v>400</v>
      </c>
      <c r="C1386" s="5" t="s">
        <v>12</v>
      </c>
      <c r="D1386" s="6">
        <v>45570</v>
      </c>
      <c r="E1386" s="12">
        <v>45587</v>
      </c>
      <c r="F1386" t="s">
        <v>0</v>
      </c>
    </row>
    <row r="1387" spans="1:6" x14ac:dyDescent="0.25">
      <c r="A1387" s="5">
        <v>24567182</v>
      </c>
      <c r="B1387" s="5" t="s">
        <v>401</v>
      </c>
      <c r="C1387" s="5" t="s">
        <v>12</v>
      </c>
      <c r="D1387" s="6">
        <v>45580</v>
      </c>
      <c r="E1387" s="12">
        <v>45587</v>
      </c>
      <c r="F1387" t="s">
        <v>0</v>
      </c>
    </row>
    <row r="1388" spans="1:6" x14ac:dyDescent="0.25">
      <c r="A1388" s="5">
        <v>24567183</v>
      </c>
      <c r="B1388" s="5" t="s">
        <v>401</v>
      </c>
      <c r="C1388" s="5" t="s">
        <v>18</v>
      </c>
      <c r="D1388" s="6">
        <v>45570</v>
      </c>
      <c r="E1388" s="12">
        <v>45587</v>
      </c>
      <c r="F1388" t="s">
        <v>0</v>
      </c>
    </row>
    <row r="1389" spans="1:6" x14ac:dyDescent="0.25">
      <c r="A1389" s="5">
        <v>24567184</v>
      </c>
      <c r="B1389" s="5" t="s">
        <v>400</v>
      </c>
      <c r="C1389" s="5" t="s">
        <v>12</v>
      </c>
      <c r="D1389" s="6">
        <v>45576</v>
      </c>
      <c r="E1389" s="12">
        <v>45587</v>
      </c>
      <c r="F1389" t="s">
        <v>0</v>
      </c>
    </row>
    <row r="1390" spans="1:6" x14ac:dyDescent="0.25">
      <c r="A1390" s="5">
        <v>24567185</v>
      </c>
      <c r="B1390" s="5" t="s">
        <v>400</v>
      </c>
      <c r="C1390" s="5" t="s">
        <v>12</v>
      </c>
      <c r="D1390" s="6">
        <v>45576</v>
      </c>
      <c r="E1390" s="12">
        <v>45587</v>
      </c>
      <c r="F1390" t="s">
        <v>0</v>
      </c>
    </row>
    <row r="1391" spans="1:6" x14ac:dyDescent="0.25">
      <c r="A1391" s="5">
        <v>24567186</v>
      </c>
      <c r="B1391" s="5" t="s">
        <v>400</v>
      </c>
      <c r="C1391" s="5" t="s">
        <v>12</v>
      </c>
      <c r="D1391" s="6">
        <v>45570</v>
      </c>
      <c r="E1391" s="12">
        <v>45587</v>
      </c>
      <c r="F1391" t="s">
        <v>0</v>
      </c>
    </row>
    <row r="1392" spans="1:6" x14ac:dyDescent="0.25">
      <c r="A1392" s="5">
        <v>24567187</v>
      </c>
      <c r="B1392" s="5" t="s">
        <v>400</v>
      </c>
      <c r="C1392" s="5" t="s">
        <v>12</v>
      </c>
      <c r="D1392" s="6">
        <v>45565</v>
      </c>
      <c r="E1392" s="12">
        <v>45587</v>
      </c>
      <c r="F1392" t="s">
        <v>0</v>
      </c>
    </row>
    <row r="1393" spans="1:6" x14ac:dyDescent="0.25">
      <c r="A1393" s="5">
        <v>24567188</v>
      </c>
      <c r="B1393" s="5" t="s">
        <v>401</v>
      </c>
      <c r="C1393" s="5" t="s">
        <v>12</v>
      </c>
      <c r="D1393" s="6">
        <v>45570</v>
      </c>
      <c r="E1393" s="12">
        <v>45587</v>
      </c>
      <c r="F1393" t="s">
        <v>0</v>
      </c>
    </row>
    <row r="1394" spans="1:6" x14ac:dyDescent="0.25">
      <c r="A1394" s="5">
        <v>24567189</v>
      </c>
      <c r="B1394" s="5" t="s">
        <v>400</v>
      </c>
      <c r="C1394" s="5" t="s">
        <v>12</v>
      </c>
      <c r="D1394" s="6">
        <v>45570</v>
      </c>
      <c r="E1394" s="12">
        <v>45587</v>
      </c>
      <c r="F1394" t="s">
        <v>0</v>
      </c>
    </row>
    <row r="1395" spans="1:6" x14ac:dyDescent="0.25">
      <c r="A1395" s="5">
        <v>24567190</v>
      </c>
      <c r="B1395" s="5" t="s">
        <v>400</v>
      </c>
      <c r="C1395" s="5" t="s">
        <v>12</v>
      </c>
      <c r="D1395" s="6">
        <v>45570</v>
      </c>
      <c r="E1395" s="12">
        <v>45587</v>
      </c>
      <c r="F1395" t="s">
        <v>0</v>
      </c>
    </row>
    <row r="1396" spans="1:6" x14ac:dyDescent="0.25">
      <c r="A1396" s="5">
        <v>24567191</v>
      </c>
      <c r="B1396" s="5" t="s">
        <v>401</v>
      </c>
      <c r="C1396" s="5" t="s">
        <v>12</v>
      </c>
      <c r="D1396" s="6">
        <v>45570</v>
      </c>
      <c r="E1396" s="12">
        <v>45587</v>
      </c>
      <c r="F1396" t="s">
        <v>0</v>
      </c>
    </row>
    <row r="1397" spans="1:6" x14ac:dyDescent="0.25">
      <c r="A1397" s="5">
        <v>24567192</v>
      </c>
      <c r="B1397" s="5" t="s">
        <v>400</v>
      </c>
      <c r="C1397" s="5" t="s">
        <v>12</v>
      </c>
      <c r="D1397" s="6">
        <v>45570</v>
      </c>
      <c r="E1397" s="12">
        <v>45587</v>
      </c>
      <c r="F1397" t="s">
        <v>0</v>
      </c>
    </row>
    <row r="1398" spans="1:6" x14ac:dyDescent="0.25">
      <c r="A1398" s="5">
        <v>24567193</v>
      </c>
      <c r="B1398" s="5" t="s">
        <v>401</v>
      </c>
      <c r="C1398" s="5" t="s">
        <v>12</v>
      </c>
      <c r="D1398" s="6">
        <v>45570</v>
      </c>
      <c r="E1398" s="12">
        <v>45587</v>
      </c>
      <c r="F1398" t="s">
        <v>0</v>
      </c>
    </row>
    <row r="1399" spans="1:6" x14ac:dyDescent="0.25">
      <c r="A1399" s="5">
        <v>24567194</v>
      </c>
      <c r="B1399" s="5" t="s">
        <v>400</v>
      </c>
      <c r="C1399" s="5" t="s">
        <v>12</v>
      </c>
      <c r="D1399" s="6">
        <v>45570</v>
      </c>
      <c r="E1399" s="12">
        <v>45587</v>
      </c>
      <c r="F1399" t="s">
        <v>0</v>
      </c>
    </row>
    <row r="1400" spans="1:6" x14ac:dyDescent="0.25">
      <c r="A1400" s="5">
        <v>24567195</v>
      </c>
      <c r="B1400" s="5" t="s">
        <v>401</v>
      </c>
      <c r="C1400" s="5" t="s">
        <v>12</v>
      </c>
      <c r="D1400" s="6">
        <v>45570</v>
      </c>
      <c r="E1400" s="12">
        <v>45587</v>
      </c>
      <c r="F1400" t="s">
        <v>0</v>
      </c>
    </row>
    <row r="1401" spans="1:6" x14ac:dyDescent="0.25">
      <c r="A1401" s="5">
        <v>24567196</v>
      </c>
      <c r="B1401" s="5" t="s">
        <v>400</v>
      </c>
      <c r="C1401" s="5" t="s">
        <v>12</v>
      </c>
      <c r="D1401" s="6">
        <v>45576</v>
      </c>
      <c r="E1401" s="12">
        <v>45587</v>
      </c>
      <c r="F1401" t="s">
        <v>0</v>
      </c>
    </row>
    <row r="1402" spans="1:6" x14ac:dyDescent="0.25">
      <c r="A1402" s="5">
        <v>24567197</v>
      </c>
      <c r="B1402" s="5" t="s">
        <v>401</v>
      </c>
      <c r="C1402" s="5" t="s">
        <v>18</v>
      </c>
      <c r="D1402" s="6">
        <v>45570</v>
      </c>
      <c r="E1402" s="12">
        <v>45587</v>
      </c>
      <c r="F1402" t="s">
        <v>0</v>
      </c>
    </row>
    <row r="1403" spans="1:6" x14ac:dyDescent="0.25">
      <c r="A1403" s="5">
        <v>24567198</v>
      </c>
      <c r="B1403" s="5" t="s">
        <v>400</v>
      </c>
      <c r="C1403" s="5" t="s">
        <v>12</v>
      </c>
      <c r="D1403" s="6">
        <v>45570</v>
      </c>
      <c r="E1403" s="12">
        <v>45587</v>
      </c>
      <c r="F1403" t="s">
        <v>0</v>
      </c>
    </row>
    <row r="1404" spans="1:6" x14ac:dyDescent="0.25">
      <c r="A1404" s="5">
        <v>24567199</v>
      </c>
      <c r="B1404" s="5" t="s">
        <v>401</v>
      </c>
      <c r="C1404" s="5" t="s">
        <v>18</v>
      </c>
      <c r="D1404" s="6">
        <v>45570</v>
      </c>
      <c r="E1404" s="12">
        <v>45587</v>
      </c>
      <c r="F1404" t="s">
        <v>0</v>
      </c>
    </row>
    <row r="1405" spans="1:6" x14ac:dyDescent="0.25">
      <c r="A1405" s="5">
        <v>24567200</v>
      </c>
      <c r="B1405" s="5" t="s">
        <v>401</v>
      </c>
      <c r="C1405" s="5" t="s">
        <v>12</v>
      </c>
      <c r="D1405" s="6">
        <v>45570</v>
      </c>
      <c r="E1405" s="12">
        <v>45587</v>
      </c>
      <c r="F1405" t="s">
        <v>0</v>
      </c>
    </row>
    <row r="1406" spans="1:6" x14ac:dyDescent="0.25">
      <c r="A1406" s="5">
        <v>24567201</v>
      </c>
      <c r="B1406" s="5" t="s">
        <v>400</v>
      </c>
      <c r="C1406" s="5" t="s">
        <v>79</v>
      </c>
      <c r="D1406" s="6">
        <v>45570</v>
      </c>
      <c r="E1406" s="12">
        <v>45587</v>
      </c>
      <c r="F1406" t="s">
        <v>0</v>
      </c>
    </row>
    <row r="1407" spans="1:6" x14ac:dyDescent="0.25">
      <c r="A1407" s="5">
        <v>24567202</v>
      </c>
      <c r="B1407" s="5" t="s">
        <v>400</v>
      </c>
      <c r="C1407" s="5" t="s">
        <v>12</v>
      </c>
      <c r="D1407" s="6">
        <v>45570</v>
      </c>
      <c r="E1407" s="12">
        <v>45587</v>
      </c>
      <c r="F1407" t="s">
        <v>0</v>
      </c>
    </row>
    <row r="1408" spans="1:6" x14ac:dyDescent="0.25">
      <c r="A1408" s="5">
        <v>24567203</v>
      </c>
      <c r="B1408" s="5" t="s">
        <v>401</v>
      </c>
      <c r="C1408" s="5" t="s">
        <v>12</v>
      </c>
      <c r="D1408" s="6">
        <v>45570</v>
      </c>
      <c r="E1408" s="12">
        <v>45587</v>
      </c>
      <c r="F1408" t="s">
        <v>0</v>
      </c>
    </row>
    <row r="1409" spans="1:6" x14ac:dyDescent="0.25">
      <c r="A1409" s="5">
        <v>24567204</v>
      </c>
      <c r="B1409" s="5" t="s">
        <v>400</v>
      </c>
      <c r="C1409" s="5" t="s">
        <v>12</v>
      </c>
      <c r="D1409" s="6">
        <v>45570</v>
      </c>
      <c r="E1409" s="12">
        <v>45587</v>
      </c>
      <c r="F1409" t="s">
        <v>0</v>
      </c>
    </row>
    <row r="1410" spans="1:6" x14ac:dyDescent="0.25">
      <c r="A1410" s="5">
        <v>24567205</v>
      </c>
      <c r="B1410" s="5" t="s">
        <v>401</v>
      </c>
      <c r="C1410" s="5" t="s">
        <v>18</v>
      </c>
      <c r="D1410" s="6">
        <v>45565</v>
      </c>
      <c r="E1410" s="12">
        <v>45587</v>
      </c>
      <c r="F1410" t="s">
        <v>0</v>
      </c>
    </row>
    <row r="1411" spans="1:6" x14ac:dyDescent="0.25">
      <c r="A1411" s="5">
        <v>24567206</v>
      </c>
      <c r="B1411" s="5" t="s">
        <v>401</v>
      </c>
      <c r="C1411" s="5" t="s">
        <v>12</v>
      </c>
      <c r="D1411" s="6">
        <v>45570</v>
      </c>
      <c r="E1411" s="12">
        <v>45587</v>
      </c>
      <c r="F1411" t="s">
        <v>0</v>
      </c>
    </row>
    <row r="1412" spans="1:6" x14ac:dyDescent="0.25">
      <c r="A1412" s="5">
        <v>24567207</v>
      </c>
      <c r="B1412" s="5" t="s">
        <v>401</v>
      </c>
      <c r="C1412" s="5" t="s">
        <v>12</v>
      </c>
      <c r="D1412" s="6">
        <v>45570</v>
      </c>
      <c r="E1412" s="12">
        <v>45587</v>
      </c>
      <c r="F1412" t="s">
        <v>0</v>
      </c>
    </row>
    <row r="1413" spans="1:6" x14ac:dyDescent="0.25">
      <c r="A1413" s="5">
        <v>24567208</v>
      </c>
      <c r="B1413" s="5" t="s">
        <v>401</v>
      </c>
      <c r="C1413" s="5" t="s">
        <v>12</v>
      </c>
      <c r="D1413" s="6">
        <v>45570</v>
      </c>
      <c r="E1413" s="12">
        <v>45587</v>
      </c>
      <c r="F1413" t="s">
        <v>0</v>
      </c>
    </row>
    <row r="1414" spans="1:6" x14ac:dyDescent="0.25">
      <c r="A1414" s="5">
        <v>24567209</v>
      </c>
      <c r="B1414" s="5" t="s">
        <v>401</v>
      </c>
      <c r="C1414" s="5" t="s">
        <v>12</v>
      </c>
      <c r="D1414" s="6">
        <v>45570</v>
      </c>
      <c r="E1414" s="12">
        <v>45587</v>
      </c>
      <c r="F1414" t="s">
        <v>0</v>
      </c>
    </row>
    <row r="1415" spans="1:6" x14ac:dyDescent="0.25">
      <c r="A1415" s="5">
        <v>24567210</v>
      </c>
      <c r="B1415" s="5" t="s">
        <v>401</v>
      </c>
      <c r="C1415" s="5" t="s">
        <v>12</v>
      </c>
      <c r="D1415" s="6">
        <v>45570</v>
      </c>
      <c r="E1415" s="12">
        <v>45587</v>
      </c>
      <c r="F1415" t="s">
        <v>0</v>
      </c>
    </row>
    <row r="1416" spans="1:6" x14ac:dyDescent="0.25">
      <c r="A1416" s="5">
        <v>24567211</v>
      </c>
      <c r="B1416" s="5" t="s">
        <v>401</v>
      </c>
      <c r="C1416" s="5" t="s">
        <v>12</v>
      </c>
      <c r="D1416" s="6">
        <v>45570</v>
      </c>
      <c r="E1416" s="12">
        <v>45587</v>
      </c>
      <c r="F1416" t="s">
        <v>0</v>
      </c>
    </row>
    <row r="1417" spans="1:6" x14ac:dyDescent="0.25">
      <c r="A1417" s="5">
        <v>24567212</v>
      </c>
      <c r="B1417" s="5" t="s">
        <v>401</v>
      </c>
      <c r="C1417" s="5" t="s">
        <v>12</v>
      </c>
      <c r="D1417" s="6">
        <v>45570</v>
      </c>
      <c r="E1417" s="12">
        <v>45587</v>
      </c>
      <c r="F1417" t="s">
        <v>0</v>
      </c>
    </row>
    <row r="1418" spans="1:6" x14ac:dyDescent="0.25">
      <c r="A1418" s="5">
        <v>24567213</v>
      </c>
      <c r="B1418" s="5" t="s">
        <v>401</v>
      </c>
      <c r="C1418" s="5" t="s">
        <v>12</v>
      </c>
      <c r="D1418" s="6">
        <v>45576</v>
      </c>
      <c r="E1418" s="12">
        <v>45587</v>
      </c>
      <c r="F1418" t="s">
        <v>0</v>
      </c>
    </row>
    <row r="1419" spans="1:6" x14ac:dyDescent="0.25">
      <c r="A1419" s="5">
        <v>24567214</v>
      </c>
      <c r="B1419" s="5" t="s">
        <v>401</v>
      </c>
      <c r="C1419" s="5" t="s">
        <v>12</v>
      </c>
      <c r="D1419" s="6">
        <v>45570</v>
      </c>
      <c r="E1419" s="12">
        <v>45587</v>
      </c>
      <c r="F1419" t="s">
        <v>0</v>
      </c>
    </row>
    <row r="1420" spans="1:6" x14ac:dyDescent="0.25">
      <c r="A1420" s="5">
        <v>24567215</v>
      </c>
      <c r="B1420" s="5" t="s">
        <v>400</v>
      </c>
      <c r="C1420" s="5" t="s">
        <v>12</v>
      </c>
      <c r="D1420" s="6">
        <v>45570</v>
      </c>
      <c r="E1420" s="12">
        <v>45587</v>
      </c>
      <c r="F1420" t="s">
        <v>0</v>
      </c>
    </row>
    <row r="1421" spans="1:6" x14ac:dyDescent="0.25">
      <c r="A1421" s="5">
        <v>24567216</v>
      </c>
      <c r="B1421" s="5" t="s">
        <v>401</v>
      </c>
      <c r="C1421" s="5" t="s">
        <v>12</v>
      </c>
      <c r="D1421" s="6">
        <v>45565</v>
      </c>
      <c r="E1421" s="12">
        <v>45587</v>
      </c>
      <c r="F1421" t="s">
        <v>0</v>
      </c>
    </row>
    <row r="1422" spans="1:6" x14ac:dyDescent="0.25">
      <c r="A1422" s="5">
        <v>24567217</v>
      </c>
      <c r="B1422" s="5" t="s">
        <v>401</v>
      </c>
      <c r="C1422" s="5" t="s">
        <v>12</v>
      </c>
      <c r="D1422" s="6">
        <v>45570</v>
      </c>
      <c r="E1422" s="12">
        <v>45587</v>
      </c>
      <c r="F1422" t="s">
        <v>0</v>
      </c>
    </row>
    <row r="1423" spans="1:6" x14ac:dyDescent="0.25">
      <c r="A1423" s="5">
        <v>24567218</v>
      </c>
      <c r="B1423" s="5" t="s">
        <v>400</v>
      </c>
      <c r="C1423" s="5" t="s">
        <v>12</v>
      </c>
      <c r="D1423" s="6">
        <v>45570</v>
      </c>
      <c r="E1423" s="12">
        <v>45587</v>
      </c>
      <c r="F1423" t="s">
        <v>0</v>
      </c>
    </row>
    <row r="1424" spans="1:6" x14ac:dyDescent="0.25">
      <c r="A1424" s="5">
        <v>24567219</v>
      </c>
      <c r="B1424" s="5" t="s">
        <v>400</v>
      </c>
      <c r="C1424" s="5" t="s">
        <v>12</v>
      </c>
      <c r="D1424" s="6">
        <v>45570</v>
      </c>
      <c r="E1424" s="12">
        <v>45587</v>
      </c>
      <c r="F1424" t="s">
        <v>0</v>
      </c>
    </row>
    <row r="1425" spans="1:6" x14ac:dyDescent="0.25">
      <c r="A1425" s="5">
        <v>24567220</v>
      </c>
      <c r="B1425" s="5" t="s">
        <v>400</v>
      </c>
      <c r="C1425" s="5" t="s">
        <v>12</v>
      </c>
      <c r="D1425" s="6">
        <v>45570</v>
      </c>
      <c r="E1425" s="12">
        <v>45587</v>
      </c>
      <c r="F1425" t="s">
        <v>0</v>
      </c>
    </row>
    <row r="1426" spans="1:6" x14ac:dyDescent="0.25">
      <c r="A1426" s="5">
        <v>24567221</v>
      </c>
      <c r="B1426" s="5" t="s">
        <v>400</v>
      </c>
      <c r="C1426" s="5" t="s">
        <v>12</v>
      </c>
      <c r="D1426" s="6">
        <v>45583</v>
      </c>
      <c r="E1426" s="12">
        <v>45587</v>
      </c>
      <c r="F1426" t="s">
        <v>0</v>
      </c>
    </row>
    <row r="1427" spans="1:6" x14ac:dyDescent="0.25">
      <c r="A1427" s="5">
        <v>24567222</v>
      </c>
      <c r="B1427" s="5" t="s">
        <v>401</v>
      </c>
      <c r="C1427" s="5" t="s">
        <v>12</v>
      </c>
      <c r="D1427" s="6">
        <v>45576</v>
      </c>
      <c r="E1427" s="12">
        <v>45587</v>
      </c>
      <c r="F1427" t="s">
        <v>0</v>
      </c>
    </row>
    <row r="1428" spans="1:6" x14ac:dyDescent="0.25">
      <c r="A1428" s="5">
        <v>24567223</v>
      </c>
      <c r="B1428" s="5" t="s">
        <v>401</v>
      </c>
      <c r="C1428" s="5" t="s">
        <v>12</v>
      </c>
      <c r="D1428" s="6">
        <v>45570</v>
      </c>
      <c r="E1428" s="12">
        <v>45587</v>
      </c>
      <c r="F1428" t="s">
        <v>0</v>
      </c>
    </row>
    <row r="1429" spans="1:6" x14ac:dyDescent="0.25">
      <c r="A1429" s="5">
        <v>24567224</v>
      </c>
      <c r="B1429" s="5" t="s">
        <v>400</v>
      </c>
      <c r="C1429" s="5" t="s">
        <v>12</v>
      </c>
      <c r="D1429" s="6">
        <v>45570</v>
      </c>
      <c r="E1429" s="12">
        <v>45587</v>
      </c>
      <c r="F1429" t="s">
        <v>0</v>
      </c>
    </row>
    <row r="1430" spans="1:6" x14ac:dyDescent="0.25">
      <c r="A1430" s="5">
        <v>24567225</v>
      </c>
      <c r="B1430" s="5" t="s">
        <v>401</v>
      </c>
      <c r="C1430" s="5" t="s">
        <v>18</v>
      </c>
      <c r="D1430" s="6">
        <v>45570</v>
      </c>
      <c r="E1430" s="12">
        <v>45587</v>
      </c>
      <c r="F1430" t="s">
        <v>0</v>
      </c>
    </row>
    <row r="1431" spans="1:6" x14ac:dyDescent="0.25">
      <c r="A1431" s="5">
        <v>24567226</v>
      </c>
      <c r="B1431" s="5" t="s">
        <v>401</v>
      </c>
      <c r="C1431" s="5" t="s">
        <v>12</v>
      </c>
      <c r="D1431" s="6">
        <v>45570</v>
      </c>
      <c r="E1431" s="12">
        <v>45587</v>
      </c>
      <c r="F1431" t="s">
        <v>0</v>
      </c>
    </row>
    <row r="1432" spans="1:6" x14ac:dyDescent="0.25">
      <c r="A1432" s="5">
        <v>24567227</v>
      </c>
      <c r="B1432" s="5" t="s">
        <v>401</v>
      </c>
      <c r="C1432" s="5" t="s">
        <v>12</v>
      </c>
      <c r="D1432" s="6">
        <v>45570</v>
      </c>
      <c r="E1432" s="12">
        <v>45587</v>
      </c>
      <c r="F1432" t="s">
        <v>0</v>
      </c>
    </row>
    <row r="1433" spans="1:6" x14ac:dyDescent="0.25">
      <c r="A1433" s="5">
        <v>24567228</v>
      </c>
      <c r="B1433" s="5" t="s">
        <v>401</v>
      </c>
      <c r="C1433" s="5" t="s">
        <v>12</v>
      </c>
      <c r="D1433" s="6">
        <v>45570</v>
      </c>
      <c r="E1433" s="12">
        <v>45587</v>
      </c>
      <c r="F1433" t="s">
        <v>0</v>
      </c>
    </row>
    <row r="1434" spans="1:6" x14ac:dyDescent="0.25">
      <c r="A1434" s="5">
        <v>24567229</v>
      </c>
      <c r="B1434" s="5" t="s">
        <v>400</v>
      </c>
      <c r="C1434" s="5" t="s">
        <v>12</v>
      </c>
      <c r="D1434" s="6">
        <v>45570</v>
      </c>
      <c r="E1434" s="12">
        <v>45587</v>
      </c>
      <c r="F1434" t="s">
        <v>0</v>
      </c>
    </row>
    <row r="1435" spans="1:6" x14ac:dyDescent="0.25">
      <c r="A1435" s="5">
        <v>24567230</v>
      </c>
      <c r="B1435" s="5" t="s">
        <v>401</v>
      </c>
      <c r="C1435" s="5" t="s">
        <v>12</v>
      </c>
      <c r="D1435" s="6">
        <v>45570</v>
      </c>
      <c r="E1435" s="12">
        <v>45587</v>
      </c>
      <c r="F1435" t="s">
        <v>0</v>
      </c>
    </row>
    <row r="1436" spans="1:6" x14ac:dyDescent="0.25">
      <c r="A1436" s="5">
        <v>24567231</v>
      </c>
      <c r="B1436" s="5" t="s">
        <v>400</v>
      </c>
      <c r="C1436" s="5" t="s">
        <v>12</v>
      </c>
      <c r="D1436" s="6">
        <v>45570</v>
      </c>
      <c r="E1436" s="12">
        <v>45587</v>
      </c>
      <c r="F1436" t="s">
        <v>0</v>
      </c>
    </row>
    <row r="1437" spans="1:6" x14ac:dyDescent="0.25">
      <c r="A1437" s="5">
        <v>24567232</v>
      </c>
      <c r="B1437" s="5" t="s">
        <v>400</v>
      </c>
      <c r="C1437" s="5" t="s">
        <v>12</v>
      </c>
      <c r="D1437" s="6">
        <v>45570</v>
      </c>
      <c r="E1437" s="12">
        <v>45587</v>
      </c>
      <c r="F1437" t="s">
        <v>0</v>
      </c>
    </row>
    <row r="1438" spans="1:6" x14ac:dyDescent="0.25">
      <c r="A1438" s="5">
        <v>24567233</v>
      </c>
      <c r="B1438" s="5" t="s">
        <v>400</v>
      </c>
      <c r="C1438" s="5" t="s">
        <v>12</v>
      </c>
      <c r="D1438" s="6">
        <v>45570</v>
      </c>
      <c r="E1438" s="12">
        <v>45587</v>
      </c>
      <c r="F1438" t="s">
        <v>0</v>
      </c>
    </row>
    <row r="1439" spans="1:6" x14ac:dyDescent="0.25">
      <c r="A1439" s="5">
        <v>24567234</v>
      </c>
      <c r="B1439" s="5" t="s">
        <v>401</v>
      </c>
      <c r="C1439" s="5" t="s">
        <v>12</v>
      </c>
      <c r="D1439" s="6">
        <v>45570</v>
      </c>
      <c r="E1439" s="12">
        <v>45587</v>
      </c>
      <c r="F1439" t="s">
        <v>0</v>
      </c>
    </row>
    <row r="1440" spans="1:6" x14ac:dyDescent="0.25">
      <c r="A1440" s="5">
        <v>23323633</v>
      </c>
      <c r="B1440" s="5" t="s">
        <v>400</v>
      </c>
      <c r="C1440" s="5" t="s">
        <v>12</v>
      </c>
      <c r="D1440" s="6">
        <v>45214</v>
      </c>
      <c r="E1440" s="12">
        <v>45605</v>
      </c>
      <c r="F1440" t="s">
        <v>0</v>
      </c>
    </row>
    <row r="1441" spans="1:6" x14ac:dyDescent="0.25">
      <c r="A1441" s="5">
        <v>23323635</v>
      </c>
      <c r="B1441" s="5" t="s">
        <v>400</v>
      </c>
      <c r="C1441" s="5" t="s">
        <v>12</v>
      </c>
      <c r="D1441" s="6">
        <v>45214</v>
      </c>
      <c r="E1441" s="12">
        <v>45605</v>
      </c>
      <c r="F1441" t="s">
        <v>0</v>
      </c>
    </row>
    <row r="1442" spans="1:6" x14ac:dyDescent="0.25">
      <c r="A1442" s="5">
        <v>24567235</v>
      </c>
      <c r="B1442" s="5" t="s">
        <v>401</v>
      </c>
      <c r="C1442" s="5" t="s">
        <v>12</v>
      </c>
      <c r="D1442" s="6">
        <v>45570</v>
      </c>
      <c r="E1442" s="12">
        <v>45606</v>
      </c>
      <c r="F1442" t="s">
        <v>0</v>
      </c>
    </row>
    <row r="1443" spans="1:6" x14ac:dyDescent="0.25">
      <c r="A1443" s="5">
        <v>24567236</v>
      </c>
      <c r="B1443" s="5" t="s">
        <v>400</v>
      </c>
      <c r="C1443" s="5" t="s">
        <v>12</v>
      </c>
      <c r="D1443" s="6">
        <v>45585</v>
      </c>
      <c r="E1443" s="12">
        <v>45606</v>
      </c>
      <c r="F1443" t="s">
        <v>0</v>
      </c>
    </row>
    <row r="1444" spans="1:6" x14ac:dyDescent="0.25">
      <c r="A1444" s="5">
        <v>24567237</v>
      </c>
      <c r="B1444" s="5" t="s">
        <v>401</v>
      </c>
      <c r="C1444" s="5" t="s">
        <v>12</v>
      </c>
      <c r="D1444" s="6">
        <v>45585</v>
      </c>
      <c r="E1444" s="12">
        <v>45606</v>
      </c>
      <c r="F1444" t="s">
        <v>0</v>
      </c>
    </row>
    <row r="1445" spans="1:6" x14ac:dyDescent="0.25">
      <c r="A1445" s="5">
        <v>24567238</v>
      </c>
      <c r="B1445" s="5" t="s">
        <v>401</v>
      </c>
      <c r="C1445" s="5" t="s">
        <v>12</v>
      </c>
      <c r="D1445" s="6">
        <v>45585</v>
      </c>
      <c r="E1445" s="12">
        <v>45606</v>
      </c>
      <c r="F1445" t="s">
        <v>0</v>
      </c>
    </row>
    <row r="1446" spans="1:6" x14ac:dyDescent="0.25">
      <c r="A1446" s="5">
        <v>24567239</v>
      </c>
      <c r="B1446" s="5" t="s">
        <v>401</v>
      </c>
      <c r="C1446" s="5" t="s">
        <v>12</v>
      </c>
      <c r="D1446" s="6">
        <v>45585</v>
      </c>
      <c r="E1446" s="12">
        <v>45606</v>
      </c>
      <c r="F1446" t="s">
        <v>0</v>
      </c>
    </row>
    <row r="1447" spans="1:6" x14ac:dyDescent="0.25">
      <c r="A1447" s="5">
        <v>24567240</v>
      </c>
      <c r="B1447" s="5" t="s">
        <v>401</v>
      </c>
      <c r="C1447" s="5" t="s">
        <v>12</v>
      </c>
      <c r="D1447" s="6">
        <v>45585</v>
      </c>
      <c r="E1447" s="12">
        <v>45606</v>
      </c>
      <c r="F1447" t="s">
        <v>0</v>
      </c>
    </row>
    <row r="1448" spans="1:6" x14ac:dyDescent="0.25">
      <c r="A1448" s="5">
        <v>24567241</v>
      </c>
      <c r="B1448" s="5" t="s">
        <v>400</v>
      </c>
      <c r="C1448" s="5" t="s">
        <v>12</v>
      </c>
      <c r="D1448" s="6">
        <v>45585</v>
      </c>
      <c r="E1448" s="12">
        <v>45606</v>
      </c>
      <c r="F1448" t="s">
        <v>0</v>
      </c>
    </row>
    <row r="1449" spans="1:6" x14ac:dyDescent="0.25">
      <c r="A1449" s="5">
        <v>24567242</v>
      </c>
      <c r="B1449" s="5" t="s">
        <v>400</v>
      </c>
      <c r="C1449" s="5" t="s">
        <v>12</v>
      </c>
      <c r="D1449" s="6">
        <v>45585</v>
      </c>
      <c r="E1449" s="12">
        <v>45606</v>
      </c>
      <c r="F1449" t="s">
        <v>0</v>
      </c>
    </row>
    <row r="1450" spans="1:6" x14ac:dyDescent="0.25">
      <c r="A1450" s="5">
        <v>24567243</v>
      </c>
      <c r="B1450" s="5" t="s">
        <v>400</v>
      </c>
      <c r="C1450" s="5" t="s">
        <v>18</v>
      </c>
      <c r="D1450" s="6">
        <v>45585</v>
      </c>
      <c r="E1450" s="12">
        <v>45606</v>
      </c>
      <c r="F1450" t="s">
        <v>0</v>
      </c>
    </row>
    <row r="1451" spans="1:6" x14ac:dyDescent="0.25">
      <c r="A1451" s="5">
        <v>24567244</v>
      </c>
      <c r="B1451" s="5" t="s">
        <v>400</v>
      </c>
      <c r="C1451" s="5" t="s">
        <v>12</v>
      </c>
      <c r="D1451" s="6">
        <v>45585</v>
      </c>
      <c r="E1451" s="12">
        <v>45606</v>
      </c>
      <c r="F1451" t="s">
        <v>0</v>
      </c>
    </row>
    <row r="1452" spans="1:6" x14ac:dyDescent="0.25">
      <c r="A1452" s="5">
        <v>24567245</v>
      </c>
      <c r="B1452" s="5" t="s">
        <v>401</v>
      </c>
      <c r="C1452" s="5" t="s">
        <v>18</v>
      </c>
      <c r="D1452" s="6">
        <v>45585</v>
      </c>
      <c r="E1452" s="12">
        <v>45606</v>
      </c>
      <c r="F1452" t="s">
        <v>0</v>
      </c>
    </row>
    <row r="1453" spans="1:6" x14ac:dyDescent="0.25">
      <c r="A1453" s="5">
        <v>24567246</v>
      </c>
      <c r="B1453" s="5" t="s">
        <v>400</v>
      </c>
      <c r="C1453" s="5" t="s">
        <v>12</v>
      </c>
      <c r="D1453" s="6">
        <v>45585</v>
      </c>
      <c r="E1453" s="12">
        <v>45606</v>
      </c>
      <c r="F1453" t="s">
        <v>0</v>
      </c>
    </row>
    <row r="1454" spans="1:6" x14ac:dyDescent="0.25">
      <c r="A1454" s="5">
        <v>24567247</v>
      </c>
      <c r="B1454" s="5" t="s">
        <v>401</v>
      </c>
      <c r="C1454" s="5" t="s">
        <v>18</v>
      </c>
      <c r="D1454" s="6">
        <v>45585</v>
      </c>
      <c r="E1454" s="12">
        <v>45606</v>
      </c>
      <c r="F1454" t="s">
        <v>0</v>
      </c>
    </row>
    <row r="1455" spans="1:6" x14ac:dyDescent="0.25">
      <c r="A1455" s="5">
        <v>24567248</v>
      </c>
      <c r="B1455" s="5" t="s">
        <v>400</v>
      </c>
      <c r="C1455" s="5" t="s">
        <v>12</v>
      </c>
      <c r="D1455" s="6">
        <v>45595</v>
      </c>
      <c r="E1455" s="12">
        <v>45612</v>
      </c>
      <c r="F1455" t="s">
        <v>0</v>
      </c>
    </row>
    <row r="1456" spans="1:6" x14ac:dyDescent="0.25">
      <c r="A1456" s="5">
        <v>24567249</v>
      </c>
      <c r="B1456" s="5" t="s">
        <v>401</v>
      </c>
      <c r="C1456" s="5" t="s">
        <v>12</v>
      </c>
      <c r="D1456" s="6">
        <v>45595</v>
      </c>
      <c r="E1456" s="12">
        <v>45612</v>
      </c>
      <c r="F1456" t="s">
        <v>0</v>
      </c>
    </row>
    <row r="1457" spans="1:6" x14ac:dyDescent="0.25">
      <c r="A1457" s="5">
        <v>24567250</v>
      </c>
      <c r="B1457" s="5" t="s">
        <v>401</v>
      </c>
      <c r="C1457" s="5" t="s">
        <v>12</v>
      </c>
      <c r="D1457" s="6">
        <v>45595</v>
      </c>
      <c r="E1457" s="12">
        <v>45612</v>
      </c>
      <c r="F1457" t="s">
        <v>0</v>
      </c>
    </row>
    <row r="1458" spans="1:6" x14ac:dyDescent="0.25">
      <c r="A1458" s="5">
        <v>24567251</v>
      </c>
      <c r="B1458" s="5" t="s">
        <v>400</v>
      </c>
      <c r="C1458" s="5" t="s">
        <v>12</v>
      </c>
      <c r="D1458" s="6">
        <v>45570</v>
      </c>
      <c r="E1458" s="12">
        <v>45612</v>
      </c>
      <c r="F1458" t="s">
        <v>0</v>
      </c>
    </row>
    <row r="1459" spans="1:6" x14ac:dyDescent="0.25">
      <c r="A1459" s="5">
        <v>24567252</v>
      </c>
      <c r="B1459" s="5" t="s">
        <v>400</v>
      </c>
      <c r="C1459" s="5" t="s">
        <v>12</v>
      </c>
      <c r="D1459" s="6">
        <v>45580</v>
      </c>
      <c r="E1459" s="12">
        <v>45612</v>
      </c>
      <c r="F1459" t="s">
        <v>0</v>
      </c>
    </row>
    <row r="1460" spans="1:6" x14ac:dyDescent="0.25">
      <c r="A1460" s="5">
        <v>24567253</v>
      </c>
      <c r="B1460" s="5" t="s">
        <v>401</v>
      </c>
      <c r="C1460" s="5" t="s">
        <v>12</v>
      </c>
      <c r="D1460" s="6">
        <v>45580</v>
      </c>
      <c r="E1460" s="12">
        <v>45612</v>
      </c>
      <c r="F1460" t="s">
        <v>0</v>
      </c>
    </row>
    <row r="1461" spans="1:6" x14ac:dyDescent="0.25">
      <c r="A1461" s="5">
        <v>24567254</v>
      </c>
      <c r="B1461" s="5" t="s">
        <v>400</v>
      </c>
      <c r="C1461" s="5" t="s">
        <v>12</v>
      </c>
      <c r="D1461" s="6">
        <v>45580</v>
      </c>
      <c r="E1461" s="12">
        <v>45612</v>
      </c>
      <c r="F1461" t="s">
        <v>0</v>
      </c>
    </row>
    <row r="1462" spans="1:6" x14ac:dyDescent="0.25">
      <c r="A1462" s="5">
        <v>24567255</v>
      </c>
      <c r="B1462" s="5" t="s">
        <v>400</v>
      </c>
      <c r="C1462" s="5" t="s">
        <v>12</v>
      </c>
      <c r="D1462" s="6">
        <v>45595</v>
      </c>
      <c r="E1462" s="12">
        <v>45612</v>
      </c>
      <c r="F1462" t="s">
        <v>0</v>
      </c>
    </row>
    <row r="1463" spans="1:6" x14ac:dyDescent="0.25">
      <c r="A1463" s="5">
        <v>24567256</v>
      </c>
      <c r="B1463" s="5" t="s">
        <v>400</v>
      </c>
      <c r="C1463" s="5" t="s">
        <v>12</v>
      </c>
      <c r="D1463" s="6">
        <v>45580</v>
      </c>
      <c r="E1463" s="12">
        <v>45612</v>
      </c>
      <c r="F1463" t="s">
        <v>0</v>
      </c>
    </row>
    <row r="1464" spans="1:6" x14ac:dyDescent="0.25">
      <c r="A1464" s="5">
        <v>24567257</v>
      </c>
      <c r="B1464" s="5" t="s">
        <v>401</v>
      </c>
      <c r="C1464" s="5" t="s">
        <v>12</v>
      </c>
      <c r="D1464" s="6">
        <v>45595</v>
      </c>
      <c r="E1464" s="12">
        <v>45612</v>
      </c>
      <c r="F1464" t="s">
        <v>0</v>
      </c>
    </row>
    <row r="1465" spans="1:6" x14ac:dyDescent="0.25">
      <c r="A1465" s="5">
        <v>24567258</v>
      </c>
      <c r="B1465" s="5" t="s">
        <v>400</v>
      </c>
      <c r="C1465" s="5" t="s">
        <v>12</v>
      </c>
      <c r="D1465" s="6">
        <v>45580</v>
      </c>
      <c r="E1465" s="12">
        <v>45612</v>
      </c>
      <c r="F1465" t="s">
        <v>0</v>
      </c>
    </row>
    <row r="1466" spans="1:6" x14ac:dyDescent="0.25">
      <c r="A1466" s="5">
        <v>24567259</v>
      </c>
      <c r="B1466" s="5" t="s">
        <v>400</v>
      </c>
      <c r="C1466" s="5" t="s">
        <v>12</v>
      </c>
      <c r="D1466" s="6">
        <v>45580</v>
      </c>
      <c r="E1466" s="12">
        <v>45612</v>
      </c>
      <c r="F1466" t="s">
        <v>0</v>
      </c>
    </row>
    <row r="1467" spans="1:6" x14ac:dyDescent="0.25">
      <c r="A1467" s="5">
        <v>24567260</v>
      </c>
      <c r="B1467" s="5" t="s">
        <v>400</v>
      </c>
      <c r="C1467" s="5" t="s">
        <v>12</v>
      </c>
      <c r="D1467" s="6">
        <v>45580</v>
      </c>
      <c r="E1467" s="12">
        <v>45612</v>
      </c>
      <c r="F1467" t="s">
        <v>0</v>
      </c>
    </row>
    <row r="1468" spans="1:6" x14ac:dyDescent="0.25">
      <c r="A1468" s="5">
        <v>24567261</v>
      </c>
      <c r="B1468" s="5" t="s">
        <v>400</v>
      </c>
      <c r="C1468" s="5" t="s">
        <v>12</v>
      </c>
      <c r="D1468" s="6">
        <v>45601</v>
      </c>
      <c r="E1468" s="12">
        <v>45612</v>
      </c>
      <c r="F1468" t="s">
        <v>0</v>
      </c>
    </row>
    <row r="1469" spans="1:6" x14ac:dyDescent="0.25">
      <c r="A1469" s="5">
        <v>24567262</v>
      </c>
      <c r="B1469" s="5" t="s">
        <v>400</v>
      </c>
      <c r="C1469" s="5" t="s">
        <v>12</v>
      </c>
      <c r="D1469" s="6">
        <v>45601</v>
      </c>
      <c r="E1469" s="12">
        <v>45612</v>
      </c>
      <c r="F1469" t="s">
        <v>0</v>
      </c>
    </row>
    <row r="1470" spans="1:6" x14ac:dyDescent="0.25">
      <c r="A1470" s="5">
        <v>24567263</v>
      </c>
      <c r="B1470" s="5" t="s">
        <v>400</v>
      </c>
      <c r="C1470" s="5" t="s">
        <v>12</v>
      </c>
      <c r="D1470" s="6">
        <v>45595</v>
      </c>
      <c r="E1470" s="12">
        <v>45612</v>
      </c>
      <c r="F1470" t="s">
        <v>0</v>
      </c>
    </row>
    <row r="1471" spans="1:6" x14ac:dyDescent="0.25">
      <c r="A1471" s="5">
        <v>24567264</v>
      </c>
      <c r="B1471" s="5" t="s">
        <v>400</v>
      </c>
      <c r="C1471" s="5" t="s">
        <v>12</v>
      </c>
      <c r="D1471" s="6">
        <v>45595</v>
      </c>
      <c r="E1471" s="12">
        <v>45612</v>
      </c>
      <c r="F1471" t="s">
        <v>0</v>
      </c>
    </row>
    <row r="1472" spans="1:6" x14ac:dyDescent="0.25">
      <c r="A1472" s="5">
        <v>24567265</v>
      </c>
      <c r="B1472" s="5" t="s">
        <v>400</v>
      </c>
      <c r="C1472" s="5" t="s">
        <v>12</v>
      </c>
      <c r="D1472" s="6">
        <v>45595</v>
      </c>
      <c r="E1472" s="12">
        <v>45612</v>
      </c>
      <c r="F1472" t="s">
        <v>0</v>
      </c>
    </row>
    <row r="1473" spans="1:6" x14ac:dyDescent="0.25">
      <c r="A1473" s="5">
        <v>24567266</v>
      </c>
      <c r="B1473" s="5" t="s">
        <v>400</v>
      </c>
      <c r="C1473" s="5" t="s">
        <v>12</v>
      </c>
      <c r="D1473" s="6">
        <v>45595</v>
      </c>
      <c r="E1473" s="12">
        <v>45612</v>
      </c>
      <c r="F1473" t="s">
        <v>0</v>
      </c>
    </row>
    <row r="1474" spans="1:6" x14ac:dyDescent="0.25">
      <c r="A1474" s="5">
        <v>24567267</v>
      </c>
      <c r="B1474" s="5" t="s">
        <v>400</v>
      </c>
      <c r="C1474" s="5" t="s">
        <v>12</v>
      </c>
      <c r="D1474" s="6">
        <v>45595</v>
      </c>
      <c r="E1474" s="12">
        <v>45612</v>
      </c>
      <c r="F1474" t="s">
        <v>0</v>
      </c>
    </row>
    <row r="1475" spans="1:6" x14ac:dyDescent="0.25">
      <c r="A1475" s="5">
        <v>24567268</v>
      </c>
      <c r="B1475" s="5" t="s">
        <v>401</v>
      </c>
      <c r="C1475" s="5" t="s">
        <v>12</v>
      </c>
      <c r="D1475" s="6">
        <v>45570</v>
      </c>
      <c r="E1475" s="12">
        <v>45612</v>
      </c>
      <c r="F1475" t="s">
        <v>0</v>
      </c>
    </row>
    <row r="1476" spans="1:6" x14ac:dyDescent="0.25">
      <c r="A1476" s="5">
        <v>24567269</v>
      </c>
      <c r="B1476" s="5" t="s">
        <v>401</v>
      </c>
      <c r="C1476" s="5" t="s">
        <v>12</v>
      </c>
      <c r="D1476" s="6">
        <v>45534</v>
      </c>
      <c r="E1476" s="12">
        <v>45612</v>
      </c>
      <c r="F1476" t="s">
        <v>0</v>
      </c>
    </row>
    <row r="1477" spans="1:6" x14ac:dyDescent="0.25">
      <c r="A1477" s="5">
        <v>24567270</v>
      </c>
      <c r="B1477" s="5" t="s">
        <v>401</v>
      </c>
      <c r="C1477" s="5" t="s">
        <v>12</v>
      </c>
      <c r="D1477" s="6">
        <v>45570</v>
      </c>
      <c r="E1477" s="12">
        <v>45612</v>
      </c>
      <c r="F1477" t="s">
        <v>0</v>
      </c>
    </row>
    <row r="1478" spans="1:6" x14ac:dyDescent="0.25">
      <c r="A1478" s="5">
        <v>24567271</v>
      </c>
      <c r="B1478" s="5" t="s">
        <v>401</v>
      </c>
      <c r="C1478" s="5" t="s">
        <v>12</v>
      </c>
      <c r="D1478" s="6">
        <v>45570</v>
      </c>
      <c r="E1478" s="12">
        <v>45612</v>
      </c>
      <c r="F1478" t="s">
        <v>0</v>
      </c>
    </row>
    <row r="1479" spans="1:6" x14ac:dyDescent="0.25">
      <c r="A1479" s="5">
        <v>24567272</v>
      </c>
      <c r="B1479" s="5" t="s">
        <v>401</v>
      </c>
      <c r="C1479" s="5" t="s">
        <v>12</v>
      </c>
      <c r="D1479" s="6">
        <v>45595</v>
      </c>
      <c r="E1479" s="12">
        <v>45612</v>
      </c>
      <c r="F1479" t="s">
        <v>0</v>
      </c>
    </row>
    <row r="1480" spans="1:6" x14ac:dyDescent="0.25">
      <c r="A1480" s="5">
        <v>24567273</v>
      </c>
      <c r="B1480" s="5" t="s">
        <v>401</v>
      </c>
      <c r="C1480" s="5" t="s">
        <v>12</v>
      </c>
      <c r="D1480" s="6">
        <v>45565</v>
      </c>
      <c r="E1480" s="12">
        <v>45612</v>
      </c>
      <c r="F1480" t="s">
        <v>0</v>
      </c>
    </row>
    <row r="1481" spans="1:6" x14ac:dyDescent="0.25">
      <c r="A1481" s="5">
        <v>24567274</v>
      </c>
      <c r="B1481" s="5" t="s">
        <v>401</v>
      </c>
      <c r="C1481" s="5" t="s">
        <v>12</v>
      </c>
      <c r="D1481" s="6">
        <v>45601</v>
      </c>
      <c r="E1481" s="12">
        <v>45612</v>
      </c>
      <c r="F1481" t="s">
        <v>0</v>
      </c>
    </row>
    <row r="1482" spans="1:6" x14ac:dyDescent="0.25">
      <c r="A1482" s="5">
        <v>24567275</v>
      </c>
      <c r="B1482" s="5" t="s">
        <v>401</v>
      </c>
      <c r="C1482" s="5" t="s">
        <v>12</v>
      </c>
      <c r="D1482" s="6">
        <v>45601</v>
      </c>
      <c r="E1482" s="12">
        <v>45612</v>
      </c>
      <c r="F1482" t="s">
        <v>0</v>
      </c>
    </row>
    <row r="1483" spans="1:6" x14ac:dyDescent="0.25">
      <c r="A1483" s="5">
        <v>24567276</v>
      </c>
      <c r="B1483" s="5" t="s">
        <v>400</v>
      </c>
      <c r="C1483" s="5" t="s">
        <v>12</v>
      </c>
      <c r="D1483" s="6">
        <v>45611</v>
      </c>
      <c r="E1483" s="12">
        <v>45612</v>
      </c>
      <c r="F1483" t="s">
        <v>0</v>
      </c>
    </row>
    <row r="1484" spans="1:6" x14ac:dyDescent="0.25">
      <c r="A1484" s="5">
        <v>24567277</v>
      </c>
      <c r="B1484" s="5" t="s">
        <v>401</v>
      </c>
      <c r="C1484" s="5" t="s">
        <v>12</v>
      </c>
      <c r="D1484" s="6">
        <v>45381</v>
      </c>
      <c r="E1484" s="12">
        <v>45612</v>
      </c>
      <c r="F1484" t="s">
        <v>0</v>
      </c>
    </row>
    <row r="1485" spans="1:6" x14ac:dyDescent="0.25">
      <c r="A1485" s="5">
        <v>24567278</v>
      </c>
      <c r="B1485" s="5" t="s">
        <v>401</v>
      </c>
      <c r="C1485" s="5" t="s">
        <v>12</v>
      </c>
      <c r="D1485" s="6">
        <v>45565</v>
      </c>
      <c r="E1485" s="12">
        <v>45612</v>
      </c>
      <c r="F1485" t="s">
        <v>0</v>
      </c>
    </row>
    <row r="1486" spans="1:6" x14ac:dyDescent="0.25">
      <c r="A1486" s="5">
        <v>24567279</v>
      </c>
      <c r="B1486" s="5" t="s">
        <v>401</v>
      </c>
      <c r="C1486" s="5" t="s">
        <v>12</v>
      </c>
      <c r="D1486" s="6">
        <v>45595</v>
      </c>
      <c r="E1486" s="12">
        <v>45612</v>
      </c>
      <c r="F1486" t="s">
        <v>0</v>
      </c>
    </row>
    <row r="1487" spans="1:6" x14ac:dyDescent="0.25">
      <c r="A1487" s="5">
        <v>24567280</v>
      </c>
      <c r="B1487" s="5" t="s">
        <v>401</v>
      </c>
      <c r="C1487" s="5" t="s">
        <v>12</v>
      </c>
      <c r="D1487" s="6">
        <v>45534</v>
      </c>
      <c r="E1487" s="12">
        <v>45612</v>
      </c>
      <c r="F1487" t="s">
        <v>0</v>
      </c>
    </row>
    <row r="1488" spans="1:6" x14ac:dyDescent="0.25">
      <c r="A1488" s="5">
        <v>24567281</v>
      </c>
      <c r="B1488" s="5" t="s">
        <v>400</v>
      </c>
      <c r="C1488" s="5" t="s">
        <v>12</v>
      </c>
      <c r="D1488" s="6">
        <v>45601</v>
      </c>
      <c r="E1488" s="12">
        <v>45612</v>
      </c>
      <c r="F1488" t="s">
        <v>0</v>
      </c>
    </row>
    <row r="1489" spans="1:6" x14ac:dyDescent="0.25">
      <c r="A1489" s="5">
        <v>24567282</v>
      </c>
      <c r="B1489" s="5" t="s">
        <v>401</v>
      </c>
      <c r="C1489" s="5" t="s">
        <v>79</v>
      </c>
      <c r="D1489" s="6">
        <v>45595</v>
      </c>
      <c r="E1489" s="12">
        <v>45612</v>
      </c>
      <c r="F1489" t="s">
        <v>0</v>
      </c>
    </row>
    <row r="1490" spans="1:6" x14ac:dyDescent="0.25">
      <c r="A1490" s="5">
        <v>24567283</v>
      </c>
      <c r="B1490" s="5" t="s">
        <v>400</v>
      </c>
      <c r="C1490" s="5" t="s">
        <v>12</v>
      </c>
      <c r="D1490" s="6">
        <v>45580</v>
      </c>
      <c r="E1490" s="12">
        <v>45612</v>
      </c>
      <c r="F1490" t="s">
        <v>0</v>
      </c>
    </row>
    <row r="1491" spans="1:6" x14ac:dyDescent="0.25">
      <c r="A1491" s="5">
        <v>24567284</v>
      </c>
      <c r="B1491" s="5" t="s">
        <v>401</v>
      </c>
      <c r="C1491" s="5" t="s">
        <v>12</v>
      </c>
      <c r="D1491" s="6">
        <v>45580</v>
      </c>
      <c r="E1491" s="12">
        <v>45612</v>
      </c>
      <c r="F1491" t="s">
        <v>0</v>
      </c>
    </row>
    <row r="1492" spans="1:6" x14ac:dyDescent="0.25">
      <c r="A1492" s="5">
        <v>24567285</v>
      </c>
      <c r="B1492" s="5" t="s">
        <v>400</v>
      </c>
      <c r="C1492" s="5" t="s">
        <v>12</v>
      </c>
      <c r="D1492" s="6">
        <v>45570</v>
      </c>
      <c r="E1492" s="12">
        <v>45612</v>
      </c>
      <c r="F1492" t="s">
        <v>0</v>
      </c>
    </row>
    <row r="1493" spans="1:6" x14ac:dyDescent="0.25">
      <c r="A1493" s="5">
        <v>24567286</v>
      </c>
      <c r="B1493" s="5" t="s">
        <v>401</v>
      </c>
      <c r="C1493" s="5" t="s">
        <v>12</v>
      </c>
      <c r="D1493" s="6">
        <v>45580</v>
      </c>
      <c r="E1493" s="12">
        <v>45612</v>
      </c>
      <c r="F1493" t="s">
        <v>0</v>
      </c>
    </row>
    <row r="1494" spans="1:6" x14ac:dyDescent="0.25">
      <c r="A1494" s="5">
        <v>24567287</v>
      </c>
      <c r="B1494" s="5" t="s">
        <v>401</v>
      </c>
      <c r="C1494" s="5" t="s">
        <v>12</v>
      </c>
      <c r="D1494" s="6">
        <v>45601</v>
      </c>
      <c r="E1494" s="12">
        <v>45612</v>
      </c>
      <c r="F1494" t="s">
        <v>0</v>
      </c>
    </row>
    <row r="1495" spans="1:6" x14ac:dyDescent="0.25">
      <c r="A1495" s="5">
        <v>24567288</v>
      </c>
      <c r="B1495" s="5" t="s">
        <v>400</v>
      </c>
      <c r="C1495" s="5" t="s">
        <v>12</v>
      </c>
      <c r="D1495" s="6">
        <v>45601</v>
      </c>
      <c r="E1495" s="12">
        <v>45612</v>
      </c>
      <c r="F1495" t="s">
        <v>0</v>
      </c>
    </row>
    <row r="1496" spans="1:6" x14ac:dyDescent="0.25">
      <c r="A1496" s="5">
        <v>24567289</v>
      </c>
      <c r="B1496" s="5" t="s">
        <v>400</v>
      </c>
      <c r="C1496" s="5" t="s">
        <v>12</v>
      </c>
      <c r="D1496" s="6">
        <v>45601</v>
      </c>
      <c r="E1496" s="12">
        <v>45612</v>
      </c>
      <c r="F1496" t="s">
        <v>0</v>
      </c>
    </row>
    <row r="1497" spans="1:6" x14ac:dyDescent="0.25">
      <c r="A1497" s="5">
        <v>24567290</v>
      </c>
      <c r="B1497" s="5" t="s">
        <v>400</v>
      </c>
      <c r="C1497" s="5" t="s">
        <v>12</v>
      </c>
      <c r="D1497" s="6">
        <v>45570</v>
      </c>
      <c r="E1497" s="12">
        <v>45612</v>
      </c>
      <c r="F1497" t="s">
        <v>0</v>
      </c>
    </row>
    <row r="1498" spans="1:6" x14ac:dyDescent="0.25">
      <c r="A1498" s="5">
        <v>24567291</v>
      </c>
      <c r="B1498" s="5" t="s">
        <v>401</v>
      </c>
      <c r="C1498" s="5" t="s">
        <v>12</v>
      </c>
      <c r="D1498" s="6">
        <v>45601</v>
      </c>
      <c r="E1498" s="12">
        <v>45612</v>
      </c>
      <c r="F1498" t="s">
        <v>0</v>
      </c>
    </row>
    <row r="1499" spans="1:6" x14ac:dyDescent="0.25">
      <c r="A1499" s="5">
        <v>24567292</v>
      </c>
      <c r="B1499" s="5" t="s">
        <v>401</v>
      </c>
      <c r="C1499" s="5" t="s">
        <v>12</v>
      </c>
      <c r="D1499" s="6">
        <v>45565</v>
      </c>
      <c r="E1499" s="12">
        <v>45612</v>
      </c>
      <c r="F1499" t="s">
        <v>0</v>
      </c>
    </row>
    <row r="1500" spans="1:6" x14ac:dyDescent="0.25">
      <c r="A1500" s="5">
        <v>24567293</v>
      </c>
      <c r="B1500" s="5" t="s">
        <v>400</v>
      </c>
      <c r="C1500" s="5" t="s">
        <v>12</v>
      </c>
      <c r="D1500" s="6">
        <v>45601</v>
      </c>
      <c r="E1500" s="12">
        <v>45612</v>
      </c>
      <c r="F1500" t="s">
        <v>0</v>
      </c>
    </row>
    <row r="1501" spans="1:6" x14ac:dyDescent="0.25">
      <c r="A1501" s="5">
        <v>24567294</v>
      </c>
      <c r="B1501" s="5" t="s">
        <v>400</v>
      </c>
      <c r="C1501" s="5" t="s">
        <v>12</v>
      </c>
      <c r="D1501" s="6">
        <v>45601</v>
      </c>
      <c r="E1501" s="12">
        <v>45612</v>
      </c>
      <c r="F1501" t="s">
        <v>0</v>
      </c>
    </row>
    <row r="1502" spans="1:6" x14ac:dyDescent="0.25">
      <c r="A1502" s="5">
        <v>24567295</v>
      </c>
      <c r="B1502" s="5" t="s">
        <v>400</v>
      </c>
      <c r="C1502" s="5" t="s">
        <v>12</v>
      </c>
      <c r="D1502" s="6">
        <v>45601</v>
      </c>
      <c r="E1502" s="12">
        <v>45612</v>
      </c>
      <c r="F1502" t="s">
        <v>0</v>
      </c>
    </row>
    <row r="1503" spans="1:6" x14ac:dyDescent="0.25">
      <c r="A1503" s="5">
        <v>24567296</v>
      </c>
      <c r="B1503" s="5" t="s">
        <v>400</v>
      </c>
      <c r="C1503" s="5" t="s">
        <v>12</v>
      </c>
      <c r="D1503" s="6">
        <v>45585</v>
      </c>
      <c r="E1503" s="12">
        <v>45612</v>
      </c>
      <c r="F1503" t="s">
        <v>0</v>
      </c>
    </row>
    <row r="1504" spans="1:6" x14ac:dyDescent="0.25">
      <c r="A1504" s="5">
        <v>24567297</v>
      </c>
      <c r="B1504" s="5" t="s">
        <v>400</v>
      </c>
      <c r="C1504" s="5" t="s">
        <v>12</v>
      </c>
      <c r="D1504" s="6">
        <v>45595</v>
      </c>
      <c r="E1504" s="12">
        <v>45612</v>
      </c>
      <c r="F1504" t="s">
        <v>0</v>
      </c>
    </row>
    <row r="1505" spans="1:6" x14ac:dyDescent="0.25">
      <c r="A1505" s="5">
        <v>24567298</v>
      </c>
      <c r="B1505" s="5" t="s">
        <v>401</v>
      </c>
      <c r="C1505" s="5" t="s">
        <v>12</v>
      </c>
      <c r="D1505" s="6">
        <v>45595</v>
      </c>
      <c r="E1505" s="12">
        <v>45612</v>
      </c>
      <c r="F1505" t="s">
        <v>0</v>
      </c>
    </row>
    <row r="1506" spans="1:6" x14ac:dyDescent="0.25">
      <c r="A1506" s="5">
        <v>24567299</v>
      </c>
      <c r="B1506" s="5" t="s">
        <v>401</v>
      </c>
      <c r="C1506" s="5" t="s">
        <v>12</v>
      </c>
      <c r="D1506" s="6">
        <v>45595</v>
      </c>
      <c r="E1506" s="12">
        <v>45612</v>
      </c>
      <c r="F1506" t="s">
        <v>0</v>
      </c>
    </row>
    <row r="1507" spans="1:6" x14ac:dyDescent="0.25">
      <c r="A1507" s="5">
        <v>24567300</v>
      </c>
      <c r="B1507" s="5" t="s">
        <v>400</v>
      </c>
      <c r="C1507" s="5" t="s">
        <v>12</v>
      </c>
      <c r="D1507" s="6">
        <v>45565</v>
      </c>
      <c r="E1507" s="12">
        <v>45612</v>
      </c>
      <c r="F1507" t="s">
        <v>0</v>
      </c>
    </row>
    <row r="1508" spans="1:6" x14ac:dyDescent="0.25">
      <c r="A1508" s="5">
        <v>24567301</v>
      </c>
      <c r="B1508" s="5" t="s">
        <v>401</v>
      </c>
      <c r="C1508" s="5" t="s">
        <v>12</v>
      </c>
      <c r="D1508" s="6">
        <v>45565</v>
      </c>
      <c r="E1508" s="12">
        <v>45612</v>
      </c>
      <c r="F1508" t="s">
        <v>0</v>
      </c>
    </row>
    <row r="1509" spans="1:6" x14ac:dyDescent="0.25">
      <c r="A1509" s="5">
        <v>24567302</v>
      </c>
      <c r="B1509" s="5" t="s">
        <v>400</v>
      </c>
      <c r="C1509" s="5" t="s">
        <v>12</v>
      </c>
      <c r="D1509" s="6">
        <v>45570</v>
      </c>
      <c r="E1509" s="12">
        <v>45612</v>
      </c>
      <c r="F1509" t="s">
        <v>0</v>
      </c>
    </row>
    <row r="1510" spans="1:6" x14ac:dyDescent="0.25">
      <c r="A1510" s="5">
        <v>24567303</v>
      </c>
      <c r="B1510" s="5" t="s">
        <v>400</v>
      </c>
      <c r="C1510" s="5" t="s">
        <v>12</v>
      </c>
      <c r="D1510" s="6">
        <v>45570</v>
      </c>
      <c r="E1510" s="12">
        <v>45612</v>
      </c>
      <c r="F1510" t="s">
        <v>0</v>
      </c>
    </row>
    <row r="1511" spans="1:6" x14ac:dyDescent="0.25">
      <c r="A1511" s="5">
        <v>24567304</v>
      </c>
      <c r="B1511" s="5" t="s">
        <v>400</v>
      </c>
      <c r="C1511" s="5" t="s">
        <v>12</v>
      </c>
      <c r="D1511" s="6">
        <v>45570</v>
      </c>
      <c r="E1511" s="12">
        <v>45612</v>
      </c>
      <c r="F1511" t="s">
        <v>0</v>
      </c>
    </row>
    <row r="1512" spans="1:6" x14ac:dyDescent="0.25">
      <c r="A1512" s="5">
        <v>24567305</v>
      </c>
      <c r="B1512" s="5" t="s">
        <v>401</v>
      </c>
      <c r="C1512" s="5" t="s">
        <v>12</v>
      </c>
      <c r="D1512" s="6">
        <v>45570</v>
      </c>
      <c r="E1512" s="12">
        <v>45612</v>
      </c>
      <c r="F1512" t="s">
        <v>0</v>
      </c>
    </row>
    <row r="1513" spans="1:6" x14ac:dyDescent="0.25">
      <c r="A1513" s="5">
        <v>24567311</v>
      </c>
      <c r="B1513" s="5" t="s">
        <v>401</v>
      </c>
      <c r="C1513" s="5" t="s">
        <v>12</v>
      </c>
      <c r="D1513" s="6">
        <v>45570</v>
      </c>
      <c r="E1513" s="12">
        <v>45612</v>
      </c>
      <c r="F1513" t="s">
        <v>0</v>
      </c>
    </row>
    <row r="1514" spans="1:6" x14ac:dyDescent="0.25">
      <c r="A1514" s="5">
        <v>24567386</v>
      </c>
      <c r="B1514" s="5" t="s">
        <v>401</v>
      </c>
      <c r="C1514" s="5" t="s">
        <v>12</v>
      </c>
      <c r="D1514" s="6">
        <v>45412</v>
      </c>
      <c r="E1514" s="12">
        <v>45632</v>
      </c>
      <c r="F1514" t="s">
        <v>0</v>
      </c>
    </row>
    <row r="1515" spans="1:6" x14ac:dyDescent="0.25">
      <c r="A1515" s="5">
        <v>24567387</v>
      </c>
      <c r="B1515" s="5" t="s">
        <v>401</v>
      </c>
      <c r="C1515" s="5" t="s">
        <v>12</v>
      </c>
      <c r="D1515" s="6">
        <v>45412</v>
      </c>
      <c r="E1515" s="12">
        <v>45632</v>
      </c>
      <c r="F1515" t="s">
        <v>0</v>
      </c>
    </row>
    <row r="1516" spans="1:6" x14ac:dyDescent="0.25">
      <c r="A1516" s="5">
        <v>24567388</v>
      </c>
      <c r="B1516" s="5" t="s">
        <v>401</v>
      </c>
      <c r="C1516" s="5" t="s">
        <v>18</v>
      </c>
      <c r="D1516" s="6">
        <v>45412</v>
      </c>
      <c r="E1516" s="12">
        <v>45632</v>
      </c>
      <c r="F1516" t="s">
        <v>0</v>
      </c>
    </row>
    <row r="1517" spans="1:6" x14ac:dyDescent="0.25">
      <c r="A1517" s="5">
        <v>24567389</v>
      </c>
      <c r="B1517" s="5" t="s">
        <v>401</v>
      </c>
      <c r="C1517" s="5" t="s">
        <v>12</v>
      </c>
      <c r="D1517" s="6">
        <v>45412</v>
      </c>
      <c r="E1517" s="12">
        <v>45632</v>
      </c>
      <c r="F1517" t="s">
        <v>0</v>
      </c>
    </row>
    <row r="1518" spans="1:6" x14ac:dyDescent="0.25">
      <c r="A1518" s="5">
        <v>24567390</v>
      </c>
      <c r="B1518" s="5" t="s">
        <v>401</v>
      </c>
      <c r="C1518" s="5" t="s">
        <v>12</v>
      </c>
      <c r="D1518" s="6">
        <v>45412</v>
      </c>
      <c r="E1518" s="12">
        <v>45632</v>
      </c>
      <c r="F1518" t="s">
        <v>0</v>
      </c>
    </row>
    <row r="1519" spans="1:6" x14ac:dyDescent="0.25">
      <c r="A1519" s="5">
        <v>24567391</v>
      </c>
      <c r="B1519" s="5" t="s">
        <v>401</v>
      </c>
      <c r="C1519" s="5" t="s">
        <v>12</v>
      </c>
      <c r="D1519" s="6">
        <v>45412</v>
      </c>
      <c r="E1519" s="12">
        <v>45632</v>
      </c>
      <c r="F1519" t="s">
        <v>0</v>
      </c>
    </row>
    <row r="1520" spans="1:6" x14ac:dyDescent="0.25">
      <c r="A1520" s="5">
        <v>24567392</v>
      </c>
      <c r="B1520" s="5" t="s">
        <v>401</v>
      </c>
      <c r="C1520" s="5" t="s">
        <v>12</v>
      </c>
      <c r="D1520" s="6">
        <v>45412</v>
      </c>
      <c r="E1520" s="12">
        <v>45632</v>
      </c>
      <c r="F1520" t="s">
        <v>0</v>
      </c>
    </row>
    <row r="1521" spans="1:6" x14ac:dyDescent="0.25">
      <c r="A1521" s="5">
        <v>24567393</v>
      </c>
      <c r="B1521" s="5" t="s">
        <v>401</v>
      </c>
      <c r="C1521" s="5" t="s">
        <v>12</v>
      </c>
      <c r="D1521" s="6">
        <v>45412</v>
      </c>
      <c r="E1521" s="12">
        <v>45632</v>
      </c>
      <c r="F1521" t="s">
        <v>0</v>
      </c>
    </row>
    <row r="1522" spans="1:6" x14ac:dyDescent="0.25">
      <c r="A1522" s="5">
        <v>24567394</v>
      </c>
      <c r="B1522" s="5" t="s">
        <v>401</v>
      </c>
      <c r="C1522" s="5" t="s">
        <v>12</v>
      </c>
      <c r="D1522" s="6">
        <v>45412</v>
      </c>
      <c r="E1522" s="12">
        <v>45632</v>
      </c>
      <c r="F1522" t="s">
        <v>0</v>
      </c>
    </row>
    <row r="1523" spans="1:6" x14ac:dyDescent="0.25">
      <c r="A1523" s="5">
        <v>24567395</v>
      </c>
      <c r="B1523" s="5" t="s">
        <v>401</v>
      </c>
      <c r="C1523" s="5" t="s">
        <v>12</v>
      </c>
      <c r="D1523" s="6">
        <v>45412</v>
      </c>
      <c r="E1523" s="12">
        <v>45632</v>
      </c>
      <c r="F1523" t="s">
        <v>0</v>
      </c>
    </row>
    <row r="1524" spans="1:6" x14ac:dyDescent="0.25">
      <c r="A1524" s="5">
        <v>24567396</v>
      </c>
      <c r="B1524" s="5" t="s">
        <v>401</v>
      </c>
      <c r="C1524" s="5" t="s">
        <v>12</v>
      </c>
      <c r="D1524" s="6">
        <v>45412</v>
      </c>
      <c r="E1524" s="12">
        <v>45632</v>
      </c>
      <c r="F1524" t="s">
        <v>0</v>
      </c>
    </row>
    <row r="1525" spans="1:6" x14ac:dyDescent="0.25">
      <c r="A1525" s="5">
        <v>24567397</v>
      </c>
      <c r="B1525" s="5" t="s">
        <v>401</v>
      </c>
      <c r="C1525" s="5" t="s">
        <v>12</v>
      </c>
      <c r="D1525" s="6">
        <v>45412</v>
      </c>
      <c r="E1525" s="12">
        <v>45632</v>
      </c>
      <c r="F1525" t="s">
        <v>0</v>
      </c>
    </row>
    <row r="1526" spans="1:6" x14ac:dyDescent="0.25">
      <c r="A1526" s="5">
        <v>24567398</v>
      </c>
      <c r="B1526" s="5" t="s">
        <v>401</v>
      </c>
      <c r="C1526" s="5" t="s">
        <v>18</v>
      </c>
      <c r="D1526" s="6">
        <v>45412</v>
      </c>
      <c r="E1526" s="12">
        <v>45632</v>
      </c>
      <c r="F1526" t="s">
        <v>0</v>
      </c>
    </row>
    <row r="1527" spans="1:6" x14ac:dyDescent="0.25">
      <c r="A1527" s="5">
        <v>24567399</v>
      </c>
      <c r="B1527" s="5" t="s">
        <v>400</v>
      </c>
      <c r="C1527" s="5" t="s">
        <v>12</v>
      </c>
      <c r="D1527" s="6">
        <v>45412</v>
      </c>
      <c r="E1527" s="12">
        <v>45632</v>
      </c>
      <c r="F1527" t="s">
        <v>0</v>
      </c>
    </row>
    <row r="1528" spans="1:6" x14ac:dyDescent="0.25">
      <c r="A1528" s="5">
        <v>24567400</v>
      </c>
      <c r="B1528" s="5" t="s">
        <v>400</v>
      </c>
      <c r="C1528" s="5" t="s">
        <v>12</v>
      </c>
      <c r="D1528" s="6">
        <v>45412</v>
      </c>
      <c r="E1528" s="12">
        <v>45632</v>
      </c>
      <c r="F1528" t="s">
        <v>0</v>
      </c>
    </row>
    <row r="1529" spans="1:6" x14ac:dyDescent="0.25">
      <c r="A1529" s="5">
        <v>24567401</v>
      </c>
      <c r="B1529" s="5" t="s">
        <v>400</v>
      </c>
      <c r="C1529" s="5" t="s">
        <v>12</v>
      </c>
      <c r="D1529" s="6">
        <v>45412</v>
      </c>
      <c r="E1529" s="12">
        <v>45632</v>
      </c>
      <c r="F1529" t="s">
        <v>0</v>
      </c>
    </row>
    <row r="1530" spans="1:6" x14ac:dyDescent="0.25">
      <c r="A1530" s="5">
        <v>24567402</v>
      </c>
      <c r="B1530" s="5" t="s">
        <v>400</v>
      </c>
      <c r="C1530" s="5" t="s">
        <v>12</v>
      </c>
      <c r="D1530" s="6">
        <v>45412</v>
      </c>
      <c r="E1530" s="12">
        <v>45632</v>
      </c>
      <c r="F1530" t="s">
        <v>0</v>
      </c>
    </row>
    <row r="1531" spans="1:6" x14ac:dyDescent="0.25">
      <c r="A1531" s="5">
        <v>24567403</v>
      </c>
      <c r="B1531" s="5" t="s">
        <v>400</v>
      </c>
      <c r="C1531" s="5" t="s">
        <v>12</v>
      </c>
      <c r="D1531" s="6">
        <v>45412</v>
      </c>
      <c r="E1531" s="12">
        <v>45632</v>
      </c>
      <c r="F1531" t="s">
        <v>0</v>
      </c>
    </row>
    <row r="1532" spans="1:6" x14ac:dyDescent="0.25">
      <c r="A1532" s="5">
        <v>24567404</v>
      </c>
      <c r="B1532" s="5" t="s">
        <v>400</v>
      </c>
      <c r="C1532" s="5" t="s">
        <v>12</v>
      </c>
      <c r="D1532" s="6">
        <v>45412</v>
      </c>
      <c r="E1532" s="12">
        <v>45632</v>
      </c>
      <c r="F1532" t="s">
        <v>0</v>
      </c>
    </row>
    <row r="1533" spans="1:6" x14ac:dyDescent="0.25">
      <c r="A1533" s="5">
        <v>24567405</v>
      </c>
      <c r="B1533" s="5" t="s">
        <v>400</v>
      </c>
      <c r="C1533" s="5" t="s">
        <v>12</v>
      </c>
      <c r="D1533" s="6">
        <v>45412</v>
      </c>
      <c r="E1533" s="12">
        <v>45632</v>
      </c>
      <c r="F1533" t="s">
        <v>0</v>
      </c>
    </row>
    <row r="1534" spans="1:6" x14ac:dyDescent="0.25">
      <c r="A1534" s="5">
        <v>24567406</v>
      </c>
      <c r="B1534" s="5" t="s">
        <v>400</v>
      </c>
      <c r="C1534" s="5" t="s">
        <v>12</v>
      </c>
      <c r="D1534" s="6">
        <v>45412</v>
      </c>
      <c r="E1534" s="12">
        <v>45632</v>
      </c>
      <c r="F1534" t="s">
        <v>0</v>
      </c>
    </row>
    <row r="1535" spans="1:6" x14ac:dyDescent="0.25">
      <c r="A1535" s="5">
        <v>24567407</v>
      </c>
      <c r="B1535" s="5" t="s">
        <v>400</v>
      </c>
      <c r="C1535" s="5" t="s">
        <v>12</v>
      </c>
      <c r="D1535" s="6">
        <v>45412</v>
      </c>
      <c r="E1535" s="12">
        <v>45632</v>
      </c>
      <c r="F1535" t="s">
        <v>0</v>
      </c>
    </row>
    <row r="1536" spans="1:6" x14ac:dyDescent="0.25">
      <c r="A1536" s="5">
        <v>24567408</v>
      </c>
      <c r="B1536" s="5" t="s">
        <v>400</v>
      </c>
      <c r="C1536" s="5" t="s">
        <v>12</v>
      </c>
      <c r="D1536" s="6">
        <v>45412</v>
      </c>
      <c r="E1536" s="12">
        <v>45632</v>
      </c>
      <c r="F1536" t="s">
        <v>0</v>
      </c>
    </row>
    <row r="1537" spans="1:6" x14ac:dyDescent="0.25">
      <c r="A1537" s="5">
        <v>23323638</v>
      </c>
      <c r="B1537" s="5" t="s">
        <v>400</v>
      </c>
      <c r="C1537" s="5" t="s">
        <v>12</v>
      </c>
      <c r="D1537" s="6">
        <v>44089</v>
      </c>
      <c r="E1537" s="12">
        <v>45636</v>
      </c>
      <c r="F1537" t="s">
        <v>0</v>
      </c>
    </row>
    <row r="1538" spans="1:6" x14ac:dyDescent="0.25">
      <c r="A1538" s="5">
        <v>23323640</v>
      </c>
      <c r="B1538" s="5" t="s">
        <v>400</v>
      </c>
      <c r="C1538" s="5" t="s">
        <v>12</v>
      </c>
      <c r="D1538" s="6">
        <v>44104</v>
      </c>
      <c r="E1538" s="12">
        <v>45636</v>
      </c>
      <c r="F1538" t="s">
        <v>0</v>
      </c>
    </row>
    <row r="1539" spans="1:6" x14ac:dyDescent="0.25">
      <c r="A1539" s="5">
        <v>23323649</v>
      </c>
      <c r="B1539" s="5" t="s">
        <v>401</v>
      </c>
      <c r="C1539" s="5" t="s">
        <v>12</v>
      </c>
      <c r="D1539" s="6">
        <v>43770</v>
      </c>
      <c r="E1539" s="12">
        <v>45636</v>
      </c>
      <c r="F1539" t="s">
        <v>0</v>
      </c>
    </row>
    <row r="1540" spans="1:6" x14ac:dyDescent="0.25">
      <c r="A1540" s="5">
        <v>24567409</v>
      </c>
      <c r="B1540" s="5" t="s">
        <v>400</v>
      </c>
      <c r="C1540" s="5" t="s">
        <v>12</v>
      </c>
      <c r="D1540" s="6">
        <v>45570</v>
      </c>
      <c r="E1540" s="12">
        <v>45636</v>
      </c>
      <c r="F1540" t="s">
        <v>0</v>
      </c>
    </row>
    <row r="1541" spans="1:6" x14ac:dyDescent="0.25">
      <c r="A1541" s="5">
        <v>24567410</v>
      </c>
      <c r="B1541" s="5" t="s">
        <v>400</v>
      </c>
      <c r="C1541" s="5" t="s">
        <v>12</v>
      </c>
      <c r="D1541" s="6">
        <v>45601</v>
      </c>
      <c r="E1541" s="12">
        <v>45636</v>
      </c>
      <c r="F1541" t="s">
        <v>0</v>
      </c>
    </row>
    <row r="1542" spans="1:6" x14ac:dyDescent="0.25">
      <c r="A1542" s="5">
        <v>23323605</v>
      </c>
      <c r="B1542" s="5" t="s">
        <v>401</v>
      </c>
      <c r="C1542" s="5" t="s">
        <v>12</v>
      </c>
      <c r="D1542" s="6">
        <v>45321</v>
      </c>
      <c r="E1542" s="12">
        <v>45647</v>
      </c>
      <c r="F1542" t="s">
        <v>0</v>
      </c>
    </row>
    <row r="1543" spans="1:6" x14ac:dyDescent="0.25">
      <c r="A1543" s="5">
        <v>23323606</v>
      </c>
      <c r="B1543" s="5" t="s">
        <v>400</v>
      </c>
      <c r="C1543" s="5" t="s">
        <v>12</v>
      </c>
      <c r="D1543" s="6">
        <v>45290</v>
      </c>
      <c r="E1543" s="12">
        <v>45647</v>
      </c>
      <c r="F1543" t="s">
        <v>0</v>
      </c>
    </row>
    <row r="1544" spans="1:6" x14ac:dyDescent="0.25">
      <c r="A1544" s="5">
        <v>23323607</v>
      </c>
      <c r="B1544" s="5" t="s">
        <v>400</v>
      </c>
      <c r="C1544" s="5" t="s">
        <v>12</v>
      </c>
      <c r="D1544" s="6">
        <v>45290</v>
      </c>
      <c r="E1544" s="12">
        <v>45647</v>
      </c>
      <c r="F1544" t="s">
        <v>0</v>
      </c>
    </row>
    <row r="1545" spans="1:6" x14ac:dyDescent="0.25">
      <c r="A1545" s="5">
        <v>23323608</v>
      </c>
      <c r="B1545" s="5" t="s">
        <v>401</v>
      </c>
      <c r="C1545" s="5" t="s">
        <v>12</v>
      </c>
      <c r="D1545" s="6">
        <v>45321</v>
      </c>
      <c r="E1545" s="12">
        <v>45647</v>
      </c>
      <c r="F1545" t="s">
        <v>0</v>
      </c>
    </row>
    <row r="1546" spans="1:6" x14ac:dyDescent="0.25">
      <c r="A1546" s="5">
        <v>23323609</v>
      </c>
      <c r="B1546" s="5" t="s">
        <v>401</v>
      </c>
      <c r="C1546" s="5" t="s">
        <v>12</v>
      </c>
      <c r="D1546" s="6">
        <v>45381</v>
      </c>
      <c r="E1546" s="12">
        <v>45647</v>
      </c>
      <c r="F1546" t="s">
        <v>0</v>
      </c>
    </row>
    <row r="1547" spans="1:6" x14ac:dyDescent="0.25">
      <c r="A1547" s="5">
        <v>23323610</v>
      </c>
      <c r="B1547" s="5" t="s">
        <v>401</v>
      </c>
      <c r="C1547" s="5" t="s">
        <v>18</v>
      </c>
      <c r="D1547" s="6">
        <v>45321</v>
      </c>
      <c r="E1547" s="12">
        <v>45647</v>
      </c>
      <c r="F1547" t="s">
        <v>0</v>
      </c>
    </row>
    <row r="1548" spans="1:6" x14ac:dyDescent="0.25">
      <c r="A1548" s="5">
        <v>23323611</v>
      </c>
      <c r="B1548" s="5" t="s">
        <v>400</v>
      </c>
      <c r="C1548" s="5" t="s">
        <v>18</v>
      </c>
      <c r="D1548" s="6">
        <v>45285</v>
      </c>
      <c r="E1548" s="12">
        <v>45647</v>
      </c>
      <c r="F1548" t="s">
        <v>0</v>
      </c>
    </row>
    <row r="1549" spans="1:6" x14ac:dyDescent="0.25">
      <c r="A1549" s="5">
        <v>23323612</v>
      </c>
      <c r="B1549" s="5" t="s">
        <v>400</v>
      </c>
      <c r="C1549" s="5" t="s">
        <v>18</v>
      </c>
      <c r="D1549" s="6">
        <v>44956</v>
      </c>
      <c r="E1549" s="12">
        <v>45647</v>
      </c>
      <c r="F1549" t="s">
        <v>0</v>
      </c>
    </row>
    <row r="1550" spans="1:6" x14ac:dyDescent="0.25">
      <c r="A1550" s="5">
        <v>23323613</v>
      </c>
      <c r="B1550" s="5" t="s">
        <v>400</v>
      </c>
      <c r="C1550" s="5" t="s">
        <v>12</v>
      </c>
      <c r="D1550" s="6">
        <v>45350</v>
      </c>
      <c r="E1550" s="12">
        <v>45647</v>
      </c>
      <c r="F1550" t="s">
        <v>0</v>
      </c>
    </row>
    <row r="1551" spans="1:6" x14ac:dyDescent="0.25">
      <c r="A1551" s="5">
        <v>23323614</v>
      </c>
      <c r="B1551" s="5" t="s">
        <v>400</v>
      </c>
      <c r="C1551" s="5" t="s">
        <v>12</v>
      </c>
      <c r="D1551" s="6">
        <v>45321</v>
      </c>
      <c r="E1551" s="12">
        <v>45647</v>
      </c>
      <c r="F1551" t="s">
        <v>0</v>
      </c>
    </row>
    <row r="1552" spans="1:6" x14ac:dyDescent="0.25">
      <c r="A1552" s="5">
        <v>23323615</v>
      </c>
      <c r="B1552" s="5" t="s">
        <v>401</v>
      </c>
      <c r="C1552" s="5" t="s">
        <v>12</v>
      </c>
      <c r="D1552" s="6">
        <v>45321</v>
      </c>
      <c r="E1552" s="12">
        <v>45647</v>
      </c>
      <c r="F1552" t="s">
        <v>0</v>
      </c>
    </row>
    <row r="1553" spans="1:6" x14ac:dyDescent="0.25">
      <c r="A1553" s="5">
        <v>23323616</v>
      </c>
      <c r="B1553" s="5" t="s">
        <v>401</v>
      </c>
      <c r="C1553" s="5" t="s">
        <v>18</v>
      </c>
      <c r="D1553" s="6">
        <v>45321</v>
      </c>
      <c r="E1553" s="12">
        <v>45647</v>
      </c>
      <c r="F1553" t="s">
        <v>0</v>
      </c>
    </row>
    <row r="1554" spans="1:6" x14ac:dyDescent="0.25">
      <c r="A1554" s="5">
        <v>23323617</v>
      </c>
      <c r="B1554" s="5" t="s">
        <v>401</v>
      </c>
      <c r="C1554" s="5" t="s">
        <v>12</v>
      </c>
      <c r="D1554" s="6">
        <v>45260</v>
      </c>
      <c r="E1554" s="12">
        <v>45647</v>
      </c>
      <c r="F1554" t="s">
        <v>0</v>
      </c>
    </row>
    <row r="1555" spans="1:6" x14ac:dyDescent="0.25">
      <c r="A1555" s="5">
        <v>23323618</v>
      </c>
      <c r="B1555" s="5" t="s">
        <v>400</v>
      </c>
      <c r="C1555" s="5" t="s">
        <v>12</v>
      </c>
      <c r="D1555" s="6">
        <v>45321</v>
      </c>
      <c r="E1555" s="12">
        <v>45647</v>
      </c>
      <c r="F1555" t="s">
        <v>0</v>
      </c>
    </row>
    <row r="1556" spans="1:6" x14ac:dyDescent="0.25">
      <c r="A1556" s="5">
        <v>23323619</v>
      </c>
      <c r="B1556" s="5" t="s">
        <v>400</v>
      </c>
      <c r="C1556" s="5" t="s">
        <v>12</v>
      </c>
      <c r="D1556" s="6">
        <v>45362</v>
      </c>
      <c r="E1556" s="12">
        <v>45647</v>
      </c>
      <c r="F1556" t="s">
        <v>0</v>
      </c>
    </row>
    <row r="1557" spans="1:6" x14ac:dyDescent="0.25">
      <c r="A1557" s="5">
        <v>23323620</v>
      </c>
      <c r="B1557" s="5" t="s">
        <v>401</v>
      </c>
      <c r="C1557" s="5" t="s">
        <v>12</v>
      </c>
      <c r="D1557" s="6">
        <v>45290</v>
      </c>
      <c r="E1557" s="12">
        <v>45647</v>
      </c>
      <c r="F1557" t="s">
        <v>0</v>
      </c>
    </row>
    <row r="1558" spans="1:6" x14ac:dyDescent="0.25">
      <c r="A1558" s="5">
        <v>24567411</v>
      </c>
      <c r="B1558" s="5" t="s">
        <v>400</v>
      </c>
      <c r="C1558" s="5" t="s">
        <v>12</v>
      </c>
      <c r="D1558" s="6">
        <v>45601</v>
      </c>
      <c r="E1558" s="12">
        <v>45647</v>
      </c>
      <c r="F1558" t="s">
        <v>0</v>
      </c>
    </row>
    <row r="1559" spans="1:6" x14ac:dyDescent="0.25">
      <c r="A1559" s="5">
        <v>24567412</v>
      </c>
      <c r="B1559" s="5" t="s">
        <v>400</v>
      </c>
      <c r="C1559" s="5" t="s">
        <v>12</v>
      </c>
      <c r="D1559" s="6">
        <v>45570</v>
      </c>
      <c r="E1559" s="12">
        <v>45647</v>
      </c>
      <c r="F1559" t="s">
        <v>0</v>
      </c>
    </row>
    <row r="1560" spans="1:6" x14ac:dyDescent="0.25">
      <c r="A1560" s="5">
        <v>24567413</v>
      </c>
      <c r="B1560" s="5" t="s">
        <v>400</v>
      </c>
      <c r="C1560" s="5" t="s">
        <v>12</v>
      </c>
      <c r="D1560" s="6">
        <v>45601</v>
      </c>
      <c r="E1560" s="12">
        <v>45647</v>
      </c>
      <c r="F1560" t="s">
        <v>0</v>
      </c>
    </row>
    <row r="1561" spans="1:6" x14ac:dyDescent="0.25">
      <c r="A1561" s="5">
        <v>24567415</v>
      </c>
      <c r="B1561" s="5" t="s">
        <v>400</v>
      </c>
      <c r="C1561" s="5" t="s">
        <v>12</v>
      </c>
      <c r="D1561" s="6">
        <v>45601</v>
      </c>
      <c r="E1561" s="12">
        <v>45647</v>
      </c>
      <c r="F1561" t="s">
        <v>0</v>
      </c>
    </row>
    <row r="1562" spans="1:6" x14ac:dyDescent="0.25">
      <c r="A1562" s="5">
        <v>24567416</v>
      </c>
      <c r="B1562" s="5" t="s">
        <v>400</v>
      </c>
      <c r="C1562" s="5" t="s">
        <v>12</v>
      </c>
      <c r="D1562" s="6">
        <v>45601</v>
      </c>
      <c r="E1562" s="12">
        <v>45647</v>
      </c>
      <c r="F1562" t="s">
        <v>0</v>
      </c>
    </row>
    <row r="1563" spans="1:6" x14ac:dyDescent="0.25">
      <c r="A1563" s="5">
        <v>24567417</v>
      </c>
      <c r="B1563" s="5" t="s">
        <v>400</v>
      </c>
      <c r="C1563" s="5" t="s">
        <v>12</v>
      </c>
      <c r="D1563" s="6">
        <v>45601</v>
      </c>
      <c r="E1563" s="12">
        <v>45647</v>
      </c>
      <c r="F1563" t="s">
        <v>0</v>
      </c>
    </row>
    <row r="1564" spans="1:6" x14ac:dyDescent="0.25">
      <c r="A1564" s="5">
        <v>24567418</v>
      </c>
      <c r="B1564" s="5" t="s">
        <v>400</v>
      </c>
      <c r="C1564" s="5" t="s">
        <v>12</v>
      </c>
      <c r="D1564" s="6">
        <v>45601</v>
      </c>
      <c r="E1564" s="12">
        <v>45647</v>
      </c>
      <c r="F1564" t="s">
        <v>0</v>
      </c>
    </row>
    <row r="1565" spans="1:6" x14ac:dyDescent="0.25">
      <c r="A1565" s="5">
        <v>24567419</v>
      </c>
      <c r="B1565" s="5" t="s">
        <v>400</v>
      </c>
      <c r="C1565" s="5" t="s">
        <v>12</v>
      </c>
      <c r="D1565" s="6">
        <v>45565</v>
      </c>
      <c r="E1565" s="12">
        <v>45647</v>
      </c>
      <c r="F1565" t="s">
        <v>0</v>
      </c>
    </row>
    <row r="1566" spans="1:6" x14ac:dyDescent="0.25">
      <c r="A1566" s="5">
        <v>24567420</v>
      </c>
      <c r="B1566" s="5" t="s">
        <v>400</v>
      </c>
      <c r="C1566" s="5" t="s">
        <v>18</v>
      </c>
      <c r="D1566" s="6">
        <v>45601</v>
      </c>
      <c r="E1566" s="12">
        <v>45647</v>
      </c>
      <c r="F1566" t="s">
        <v>0</v>
      </c>
    </row>
    <row r="1567" spans="1:6" x14ac:dyDescent="0.25">
      <c r="A1567" s="5">
        <v>24567422</v>
      </c>
      <c r="B1567" s="5" t="s">
        <v>400</v>
      </c>
      <c r="C1567" s="5" t="s">
        <v>12</v>
      </c>
      <c r="D1567" s="6">
        <v>45555</v>
      </c>
      <c r="E1567" s="12">
        <v>45654</v>
      </c>
      <c r="F1567" t="s">
        <v>2</v>
      </c>
    </row>
    <row r="1568" spans="1:6" x14ac:dyDescent="0.25">
      <c r="A1568" s="5">
        <v>24567423</v>
      </c>
      <c r="B1568" s="5" t="s">
        <v>400</v>
      </c>
      <c r="C1568" s="5" t="s">
        <v>12</v>
      </c>
      <c r="D1568" s="6">
        <v>45555</v>
      </c>
      <c r="E1568" s="12">
        <v>45654</v>
      </c>
      <c r="F1568" t="s">
        <v>2</v>
      </c>
    </row>
    <row r="1569" spans="1:6" x14ac:dyDescent="0.25">
      <c r="A1569" s="5">
        <v>24567424</v>
      </c>
      <c r="B1569" s="5" t="s">
        <v>400</v>
      </c>
      <c r="C1569" s="5" t="s">
        <v>12</v>
      </c>
      <c r="D1569" s="6">
        <v>45555</v>
      </c>
      <c r="E1569" s="12">
        <v>45654</v>
      </c>
      <c r="F1569" t="s">
        <v>2</v>
      </c>
    </row>
    <row r="1570" spans="1:6" x14ac:dyDescent="0.25">
      <c r="A1570" s="5">
        <v>24567425</v>
      </c>
      <c r="B1570" s="5" t="s">
        <v>401</v>
      </c>
      <c r="C1570" s="5" t="s">
        <v>12</v>
      </c>
      <c r="D1570" s="6">
        <v>45555</v>
      </c>
      <c r="E1570" s="12">
        <v>45654</v>
      </c>
      <c r="F1570" t="s">
        <v>2</v>
      </c>
    </row>
    <row r="1571" spans="1:6" x14ac:dyDescent="0.25">
      <c r="A1571" s="5">
        <v>24567426</v>
      </c>
      <c r="B1571" s="5" t="s">
        <v>401</v>
      </c>
      <c r="C1571" s="5" t="s">
        <v>12</v>
      </c>
      <c r="D1571" s="6">
        <v>45555</v>
      </c>
      <c r="E1571" s="12">
        <v>45654</v>
      </c>
      <c r="F1571" t="s">
        <v>2</v>
      </c>
    </row>
    <row r="1572" spans="1:6" x14ac:dyDescent="0.25">
      <c r="A1572" s="5">
        <v>24567427</v>
      </c>
      <c r="B1572" s="5" t="s">
        <v>401</v>
      </c>
      <c r="C1572" s="5" t="s">
        <v>12</v>
      </c>
      <c r="D1572" s="6">
        <v>45555</v>
      </c>
      <c r="E1572" s="12">
        <v>45654</v>
      </c>
      <c r="F1572" t="s">
        <v>2</v>
      </c>
    </row>
    <row r="1573" spans="1:6" x14ac:dyDescent="0.25">
      <c r="A1573" s="5">
        <v>24567428</v>
      </c>
      <c r="B1573" s="5" t="s">
        <v>401</v>
      </c>
      <c r="C1573" s="5" t="s">
        <v>12</v>
      </c>
      <c r="D1573" s="6">
        <v>45555</v>
      </c>
      <c r="E1573" s="12">
        <v>45654</v>
      </c>
      <c r="F1573" t="s">
        <v>2</v>
      </c>
    </row>
    <row r="1574" spans="1:6" x14ac:dyDescent="0.25">
      <c r="A1574" s="5">
        <v>24567429</v>
      </c>
      <c r="B1574" s="5" t="s">
        <v>400</v>
      </c>
      <c r="C1574" s="5" t="s">
        <v>12</v>
      </c>
      <c r="D1574" s="6">
        <v>45555</v>
      </c>
      <c r="E1574" s="12">
        <v>45654</v>
      </c>
      <c r="F1574" t="s">
        <v>2</v>
      </c>
    </row>
    <row r="1575" spans="1:6" x14ac:dyDescent="0.25">
      <c r="A1575" s="5">
        <v>24567430</v>
      </c>
      <c r="B1575" s="5" t="s">
        <v>400</v>
      </c>
      <c r="C1575" s="5" t="s">
        <v>12</v>
      </c>
      <c r="D1575" s="6">
        <v>45555</v>
      </c>
      <c r="E1575" s="12">
        <v>45654</v>
      </c>
      <c r="F1575" t="s">
        <v>2</v>
      </c>
    </row>
    <row r="1576" spans="1:6" x14ac:dyDescent="0.25">
      <c r="A1576" s="5">
        <v>24567431</v>
      </c>
      <c r="B1576" s="5" t="s">
        <v>401</v>
      </c>
      <c r="C1576" s="5" t="s">
        <v>12</v>
      </c>
      <c r="D1576" s="6">
        <v>45550</v>
      </c>
      <c r="E1576" s="12">
        <v>45654</v>
      </c>
      <c r="F1576" t="s">
        <v>2</v>
      </c>
    </row>
    <row r="1577" spans="1:6" x14ac:dyDescent="0.25">
      <c r="A1577" s="5">
        <v>24567432</v>
      </c>
      <c r="B1577" s="5" t="s">
        <v>400</v>
      </c>
      <c r="C1577" s="5" t="s">
        <v>18</v>
      </c>
      <c r="D1577" s="6">
        <v>45626</v>
      </c>
      <c r="E1577" s="12">
        <v>45654</v>
      </c>
      <c r="F1577" t="s">
        <v>2</v>
      </c>
    </row>
    <row r="1578" spans="1:6" x14ac:dyDescent="0.25">
      <c r="A1578" s="5">
        <v>24567433</v>
      </c>
      <c r="B1578" s="5" t="s">
        <v>401</v>
      </c>
      <c r="C1578" s="5" t="s">
        <v>12</v>
      </c>
      <c r="D1578" s="6">
        <v>45626</v>
      </c>
      <c r="E1578" s="12">
        <v>45654</v>
      </c>
      <c r="F1578" t="s">
        <v>2</v>
      </c>
    </row>
    <row r="1579" spans="1:6" x14ac:dyDescent="0.25">
      <c r="A1579" s="5">
        <v>24567434</v>
      </c>
      <c r="B1579" s="5" t="s">
        <v>401</v>
      </c>
      <c r="C1579" s="5" t="s">
        <v>12</v>
      </c>
      <c r="D1579" s="6">
        <v>45626</v>
      </c>
      <c r="E1579" s="12">
        <v>45654</v>
      </c>
      <c r="F1579" t="s">
        <v>2</v>
      </c>
    </row>
    <row r="1580" spans="1:6" x14ac:dyDescent="0.25">
      <c r="A1580" s="5">
        <v>24567435</v>
      </c>
      <c r="B1580" s="5" t="s">
        <v>401</v>
      </c>
      <c r="C1580" s="5" t="s">
        <v>12</v>
      </c>
      <c r="D1580" s="6">
        <v>45626</v>
      </c>
      <c r="E1580" s="12">
        <v>45654</v>
      </c>
      <c r="F1580" t="s">
        <v>2</v>
      </c>
    </row>
    <row r="1581" spans="1:6" x14ac:dyDescent="0.25">
      <c r="A1581" s="5">
        <v>24567436</v>
      </c>
      <c r="B1581" s="5" t="s">
        <v>401</v>
      </c>
      <c r="C1581" s="5" t="s">
        <v>12</v>
      </c>
      <c r="D1581" s="6">
        <v>45555</v>
      </c>
      <c r="E1581" s="12">
        <v>45654</v>
      </c>
      <c r="F1581" t="s">
        <v>2</v>
      </c>
    </row>
    <row r="1582" spans="1:6" x14ac:dyDescent="0.25">
      <c r="A1582" s="5">
        <v>24567437</v>
      </c>
      <c r="B1582" s="5" t="s">
        <v>401</v>
      </c>
      <c r="C1582" s="5" t="s">
        <v>12</v>
      </c>
      <c r="D1582" s="6">
        <v>45555</v>
      </c>
      <c r="E1582" s="12">
        <v>45654</v>
      </c>
      <c r="F1582" t="s">
        <v>2</v>
      </c>
    </row>
    <row r="1583" spans="1:6" x14ac:dyDescent="0.25">
      <c r="A1583" s="5">
        <v>24567438</v>
      </c>
      <c r="B1583" s="5" t="s">
        <v>400</v>
      </c>
      <c r="C1583" s="5" t="s">
        <v>12</v>
      </c>
      <c r="D1583" s="6">
        <v>45555</v>
      </c>
      <c r="E1583" s="12">
        <v>45654</v>
      </c>
      <c r="F1583" t="s">
        <v>2</v>
      </c>
    </row>
    <row r="1584" spans="1:6" x14ac:dyDescent="0.25">
      <c r="A1584" s="5">
        <v>24567439</v>
      </c>
      <c r="B1584" s="5" t="s">
        <v>400</v>
      </c>
      <c r="C1584" s="5" t="s">
        <v>12</v>
      </c>
      <c r="D1584" s="6">
        <v>45555</v>
      </c>
      <c r="E1584" s="12">
        <v>45654</v>
      </c>
      <c r="F1584" t="s">
        <v>2</v>
      </c>
    </row>
    <row r="1585" spans="1:6" x14ac:dyDescent="0.25">
      <c r="A1585" s="5">
        <v>24567440</v>
      </c>
      <c r="B1585" s="5" t="s">
        <v>400</v>
      </c>
      <c r="C1585" s="5" t="s">
        <v>12</v>
      </c>
      <c r="D1585" s="6">
        <v>45555</v>
      </c>
      <c r="E1585" s="12">
        <v>45654</v>
      </c>
      <c r="F1585" t="s">
        <v>2</v>
      </c>
    </row>
    <row r="1586" spans="1:6" x14ac:dyDescent="0.25">
      <c r="A1586" s="5">
        <v>24567441</v>
      </c>
      <c r="B1586" s="5" t="s">
        <v>401</v>
      </c>
      <c r="C1586" s="5" t="s">
        <v>18</v>
      </c>
      <c r="D1586" s="6">
        <v>45626</v>
      </c>
      <c r="E1586" s="12">
        <v>45654</v>
      </c>
      <c r="F1586" t="s">
        <v>2</v>
      </c>
    </row>
    <row r="1587" spans="1:6" x14ac:dyDescent="0.25">
      <c r="A1587" s="5">
        <v>24567442</v>
      </c>
      <c r="B1587" s="5" t="s">
        <v>401</v>
      </c>
      <c r="C1587" s="5" t="s">
        <v>12</v>
      </c>
      <c r="D1587" s="6">
        <v>45626</v>
      </c>
      <c r="E1587" s="12">
        <v>45654</v>
      </c>
      <c r="F1587" t="s">
        <v>2</v>
      </c>
    </row>
    <row r="1588" spans="1:6" x14ac:dyDescent="0.25">
      <c r="A1588" s="5">
        <v>24567443</v>
      </c>
      <c r="B1588" s="5" t="s">
        <v>400</v>
      </c>
      <c r="C1588" s="5" t="s">
        <v>12</v>
      </c>
      <c r="D1588" s="6">
        <v>45626</v>
      </c>
      <c r="E1588" s="12">
        <v>45654</v>
      </c>
      <c r="F1588" t="s">
        <v>2</v>
      </c>
    </row>
    <row r="1589" spans="1:6" x14ac:dyDescent="0.25">
      <c r="A1589" s="5">
        <v>24567444</v>
      </c>
      <c r="B1589" s="5" t="s">
        <v>401</v>
      </c>
      <c r="C1589" s="5" t="s">
        <v>12</v>
      </c>
      <c r="D1589" s="6">
        <v>45550</v>
      </c>
      <c r="E1589" s="12">
        <v>45654</v>
      </c>
      <c r="F1589" t="s">
        <v>2</v>
      </c>
    </row>
    <row r="1590" spans="1:6" x14ac:dyDescent="0.25">
      <c r="A1590" s="5">
        <v>24567445</v>
      </c>
      <c r="B1590" s="5" t="s">
        <v>400</v>
      </c>
      <c r="C1590" s="5" t="s">
        <v>12</v>
      </c>
      <c r="D1590" s="6">
        <v>45550</v>
      </c>
      <c r="E1590" s="12">
        <v>45654</v>
      </c>
      <c r="F1590" t="s">
        <v>2</v>
      </c>
    </row>
    <row r="1591" spans="1:6" x14ac:dyDescent="0.25">
      <c r="A1591" s="5">
        <v>24567446</v>
      </c>
      <c r="B1591" s="5" t="s">
        <v>400</v>
      </c>
      <c r="C1591" s="5" t="s">
        <v>12</v>
      </c>
      <c r="D1591" s="6">
        <v>45550</v>
      </c>
      <c r="E1591" s="12">
        <v>45654</v>
      </c>
      <c r="F1591" t="s">
        <v>2</v>
      </c>
    </row>
    <row r="1592" spans="1:6" x14ac:dyDescent="0.25">
      <c r="A1592" s="5">
        <v>24567447</v>
      </c>
      <c r="B1592" s="5" t="s">
        <v>400</v>
      </c>
      <c r="C1592" s="5" t="s">
        <v>12</v>
      </c>
      <c r="D1592" s="6">
        <v>45550</v>
      </c>
      <c r="E1592" s="12">
        <v>45654</v>
      </c>
      <c r="F1592" t="s">
        <v>2</v>
      </c>
    </row>
    <row r="1593" spans="1:6" x14ac:dyDescent="0.25">
      <c r="A1593" s="5">
        <v>24567448</v>
      </c>
      <c r="B1593" s="5" t="s">
        <v>401</v>
      </c>
      <c r="C1593" s="5" t="s">
        <v>12</v>
      </c>
      <c r="D1593" s="6">
        <v>45550</v>
      </c>
      <c r="E1593" s="12">
        <v>45654</v>
      </c>
      <c r="F1593" t="s">
        <v>2</v>
      </c>
    </row>
    <row r="1594" spans="1:6" x14ac:dyDescent="0.25">
      <c r="A1594" s="5">
        <v>24567449</v>
      </c>
      <c r="B1594" s="5" t="s">
        <v>401</v>
      </c>
      <c r="C1594" s="5" t="s">
        <v>12</v>
      </c>
      <c r="D1594" s="6">
        <v>45550</v>
      </c>
      <c r="E1594" s="12">
        <v>45654</v>
      </c>
      <c r="F1594" t="s">
        <v>2</v>
      </c>
    </row>
    <row r="1595" spans="1:6" x14ac:dyDescent="0.25">
      <c r="A1595" s="5">
        <v>24567450</v>
      </c>
      <c r="B1595" s="5" t="s">
        <v>401</v>
      </c>
      <c r="C1595" s="5" t="s">
        <v>12</v>
      </c>
      <c r="D1595" s="6">
        <v>45550</v>
      </c>
      <c r="E1595" s="12">
        <v>45654</v>
      </c>
      <c r="F1595" t="s">
        <v>2</v>
      </c>
    </row>
    <row r="1596" spans="1:6" x14ac:dyDescent="0.25">
      <c r="A1596" s="5">
        <v>24567451</v>
      </c>
      <c r="B1596" s="5" t="s">
        <v>400</v>
      </c>
      <c r="C1596" s="5" t="s">
        <v>12</v>
      </c>
      <c r="D1596" s="6">
        <v>45550</v>
      </c>
      <c r="E1596" s="12">
        <v>45654</v>
      </c>
      <c r="F1596" t="s">
        <v>2</v>
      </c>
    </row>
    <row r="1597" spans="1:6" x14ac:dyDescent="0.25">
      <c r="A1597" s="5">
        <v>24567452</v>
      </c>
      <c r="B1597" s="5" t="s">
        <v>401</v>
      </c>
      <c r="C1597" s="5" t="s">
        <v>12</v>
      </c>
      <c r="D1597" s="6">
        <v>45550</v>
      </c>
      <c r="E1597" s="12">
        <v>45654</v>
      </c>
      <c r="F1597" t="s">
        <v>2</v>
      </c>
    </row>
    <row r="1598" spans="1:6" x14ac:dyDescent="0.25">
      <c r="A1598" s="5">
        <v>24567453</v>
      </c>
      <c r="B1598" s="5" t="s">
        <v>401</v>
      </c>
      <c r="C1598" s="5" t="s">
        <v>18</v>
      </c>
      <c r="D1598" s="6">
        <v>45550</v>
      </c>
      <c r="E1598" s="12">
        <v>45654</v>
      </c>
      <c r="F1598" t="s">
        <v>2</v>
      </c>
    </row>
    <row r="1599" spans="1:6" x14ac:dyDescent="0.25">
      <c r="A1599" s="5">
        <v>24567306</v>
      </c>
      <c r="B1599" s="5" t="s">
        <v>400</v>
      </c>
      <c r="C1599" s="5" t="s">
        <v>12</v>
      </c>
      <c r="D1599" s="6">
        <v>44515</v>
      </c>
      <c r="E1599" s="12">
        <v>45661</v>
      </c>
      <c r="F1599" t="s">
        <v>2</v>
      </c>
    </row>
    <row r="1600" spans="1:6" x14ac:dyDescent="0.25">
      <c r="A1600" s="5">
        <v>24567307</v>
      </c>
      <c r="B1600" s="5" t="s">
        <v>400</v>
      </c>
      <c r="C1600" s="5" t="s">
        <v>12</v>
      </c>
      <c r="D1600" s="6">
        <v>44515</v>
      </c>
      <c r="E1600" s="12">
        <v>45661</v>
      </c>
      <c r="F1600" t="s">
        <v>2</v>
      </c>
    </row>
    <row r="1601" spans="1:6" x14ac:dyDescent="0.25">
      <c r="A1601" s="5">
        <v>24567308</v>
      </c>
      <c r="B1601" s="5" t="s">
        <v>401</v>
      </c>
      <c r="C1601" s="5" t="s">
        <v>12</v>
      </c>
      <c r="D1601" s="6">
        <v>44515</v>
      </c>
      <c r="E1601" s="12">
        <v>45661</v>
      </c>
      <c r="F1601" t="s">
        <v>2</v>
      </c>
    </row>
    <row r="1602" spans="1:6" x14ac:dyDescent="0.25">
      <c r="A1602" s="5">
        <v>24567309</v>
      </c>
      <c r="B1602" s="5" t="s">
        <v>401</v>
      </c>
      <c r="C1602" s="5" t="s">
        <v>12</v>
      </c>
      <c r="D1602" s="6">
        <v>44515</v>
      </c>
      <c r="E1602" s="12">
        <v>45661</v>
      </c>
      <c r="F1602" t="s">
        <v>2</v>
      </c>
    </row>
    <row r="1603" spans="1:6" x14ac:dyDescent="0.25">
      <c r="A1603" s="5">
        <v>24567310</v>
      </c>
      <c r="B1603" s="5" t="s">
        <v>400</v>
      </c>
      <c r="C1603" s="5" t="s">
        <v>12</v>
      </c>
      <c r="D1603" s="6">
        <v>44515</v>
      </c>
      <c r="E1603" s="12">
        <v>45661</v>
      </c>
      <c r="F1603" t="s">
        <v>2</v>
      </c>
    </row>
    <row r="1604" spans="1:6" x14ac:dyDescent="0.25">
      <c r="A1604" s="5">
        <v>24567312</v>
      </c>
      <c r="B1604" s="5" t="s">
        <v>400</v>
      </c>
      <c r="C1604" s="5" t="s">
        <v>12</v>
      </c>
      <c r="D1604" s="6">
        <v>44515</v>
      </c>
      <c r="E1604" s="12">
        <v>45661</v>
      </c>
      <c r="F1604" t="s">
        <v>2</v>
      </c>
    </row>
    <row r="1605" spans="1:6" x14ac:dyDescent="0.25">
      <c r="A1605" s="5">
        <v>24567313</v>
      </c>
      <c r="B1605" s="5" t="s">
        <v>401</v>
      </c>
      <c r="C1605" s="5" t="s">
        <v>18</v>
      </c>
      <c r="D1605" s="6">
        <v>44515</v>
      </c>
      <c r="E1605" s="12">
        <v>45661</v>
      </c>
      <c r="F1605" t="s">
        <v>2</v>
      </c>
    </row>
    <row r="1606" spans="1:6" x14ac:dyDescent="0.25">
      <c r="A1606" s="5">
        <v>24567314</v>
      </c>
      <c r="B1606" s="5" t="s">
        <v>401</v>
      </c>
      <c r="C1606" s="5" t="s">
        <v>12</v>
      </c>
      <c r="D1606" s="6">
        <v>44515</v>
      </c>
      <c r="E1606" s="12">
        <v>45661</v>
      </c>
      <c r="F1606" t="s">
        <v>2</v>
      </c>
    </row>
    <row r="1607" spans="1:6" x14ac:dyDescent="0.25">
      <c r="A1607" s="5">
        <v>24567315</v>
      </c>
      <c r="B1607" s="5" t="s">
        <v>400</v>
      </c>
      <c r="C1607" s="5" t="s">
        <v>12</v>
      </c>
      <c r="D1607" s="6">
        <v>44515</v>
      </c>
      <c r="E1607" s="12">
        <v>45661</v>
      </c>
      <c r="F1607" t="s">
        <v>2</v>
      </c>
    </row>
    <row r="1608" spans="1:6" x14ac:dyDescent="0.25">
      <c r="A1608" s="5">
        <v>24567316</v>
      </c>
      <c r="B1608" s="5" t="s">
        <v>401</v>
      </c>
      <c r="C1608" s="5" t="s">
        <v>18</v>
      </c>
      <c r="D1608" s="6">
        <v>44515</v>
      </c>
      <c r="E1608" s="12">
        <v>45661</v>
      </c>
      <c r="F1608" t="s">
        <v>2</v>
      </c>
    </row>
    <row r="1609" spans="1:6" x14ac:dyDescent="0.25">
      <c r="A1609" s="5">
        <v>24567317</v>
      </c>
      <c r="B1609" s="5" t="s">
        <v>401</v>
      </c>
      <c r="C1609" s="5" t="s">
        <v>12</v>
      </c>
      <c r="D1609" s="6">
        <v>44515</v>
      </c>
      <c r="E1609" s="12">
        <v>45661</v>
      </c>
      <c r="F1609" t="s">
        <v>2</v>
      </c>
    </row>
    <row r="1610" spans="1:6" x14ac:dyDescent="0.25">
      <c r="A1610" s="5">
        <v>24567318</v>
      </c>
      <c r="B1610" s="5" t="s">
        <v>400</v>
      </c>
      <c r="C1610" s="5" t="s">
        <v>12</v>
      </c>
      <c r="D1610" s="6">
        <v>44515</v>
      </c>
      <c r="E1610" s="12">
        <v>45661</v>
      </c>
      <c r="F1610" t="s">
        <v>2</v>
      </c>
    </row>
    <row r="1611" spans="1:6" x14ac:dyDescent="0.25">
      <c r="A1611" s="5">
        <v>24567319</v>
      </c>
      <c r="B1611" s="5" t="s">
        <v>400</v>
      </c>
      <c r="C1611" s="5" t="s">
        <v>12</v>
      </c>
      <c r="D1611" s="6">
        <v>44515</v>
      </c>
      <c r="E1611" s="12">
        <v>45661</v>
      </c>
      <c r="F1611" t="s">
        <v>2</v>
      </c>
    </row>
    <row r="1612" spans="1:6" x14ac:dyDescent="0.25">
      <c r="A1612" s="5">
        <v>24567320</v>
      </c>
      <c r="B1612" s="5" t="s">
        <v>400</v>
      </c>
      <c r="C1612" s="5" t="s">
        <v>18</v>
      </c>
      <c r="D1612" s="6">
        <v>44515</v>
      </c>
      <c r="E1612" s="12">
        <v>45661</v>
      </c>
      <c r="F1612" t="s">
        <v>2</v>
      </c>
    </row>
    <row r="1613" spans="1:6" x14ac:dyDescent="0.25">
      <c r="A1613" s="5">
        <v>24567321</v>
      </c>
      <c r="B1613" s="5" t="s">
        <v>401</v>
      </c>
      <c r="C1613" s="5" t="s">
        <v>12</v>
      </c>
      <c r="D1613" s="6">
        <v>44515</v>
      </c>
      <c r="E1613" s="12">
        <v>45661</v>
      </c>
      <c r="F1613" t="s">
        <v>2</v>
      </c>
    </row>
    <row r="1614" spans="1:6" x14ac:dyDescent="0.25">
      <c r="A1614" s="5">
        <v>24567322</v>
      </c>
      <c r="B1614" s="5" t="s">
        <v>401</v>
      </c>
      <c r="C1614" s="5" t="s">
        <v>12</v>
      </c>
      <c r="D1614" s="6">
        <v>44515</v>
      </c>
      <c r="E1614" s="12">
        <v>45661</v>
      </c>
      <c r="F1614" t="s">
        <v>2</v>
      </c>
    </row>
    <row r="1615" spans="1:6" x14ac:dyDescent="0.25">
      <c r="A1615" s="5">
        <v>24567323</v>
      </c>
      <c r="B1615" s="5" t="s">
        <v>401</v>
      </c>
      <c r="C1615" s="5" t="s">
        <v>12</v>
      </c>
      <c r="D1615" s="6">
        <v>44515</v>
      </c>
      <c r="E1615" s="12">
        <v>45661</v>
      </c>
      <c r="F1615" t="s">
        <v>2</v>
      </c>
    </row>
    <row r="1616" spans="1:6" x14ac:dyDescent="0.25">
      <c r="A1616" s="5">
        <v>24567324</v>
      </c>
      <c r="B1616" s="5" t="s">
        <v>400</v>
      </c>
      <c r="C1616" s="5" t="s">
        <v>12</v>
      </c>
      <c r="D1616" s="6">
        <v>44515</v>
      </c>
      <c r="E1616" s="12">
        <v>45661</v>
      </c>
      <c r="F1616" t="s">
        <v>2</v>
      </c>
    </row>
    <row r="1617" spans="1:6" x14ac:dyDescent="0.25">
      <c r="A1617" s="5">
        <v>24567325</v>
      </c>
      <c r="B1617" s="5" t="s">
        <v>401</v>
      </c>
      <c r="C1617" s="5" t="s">
        <v>12</v>
      </c>
      <c r="D1617" s="6">
        <v>45550</v>
      </c>
      <c r="E1617" s="12">
        <v>45661</v>
      </c>
      <c r="F1617" t="s">
        <v>2</v>
      </c>
    </row>
    <row r="1618" spans="1:6" x14ac:dyDescent="0.25">
      <c r="A1618" s="5">
        <v>24567326</v>
      </c>
      <c r="B1618" s="5" t="s">
        <v>400</v>
      </c>
      <c r="C1618" s="5" t="s">
        <v>12</v>
      </c>
      <c r="D1618" s="6">
        <v>45550</v>
      </c>
      <c r="E1618" s="12">
        <v>45661</v>
      </c>
      <c r="F1618" t="s">
        <v>2</v>
      </c>
    </row>
    <row r="1619" spans="1:6" x14ac:dyDescent="0.25">
      <c r="A1619" s="5">
        <v>24567327</v>
      </c>
      <c r="B1619" s="5" t="s">
        <v>401</v>
      </c>
      <c r="C1619" s="5" t="s">
        <v>12</v>
      </c>
      <c r="D1619" s="6">
        <v>45550</v>
      </c>
      <c r="E1619" s="12">
        <v>45661</v>
      </c>
      <c r="F1619" t="s">
        <v>2</v>
      </c>
    </row>
    <row r="1620" spans="1:6" x14ac:dyDescent="0.25">
      <c r="A1620" s="5">
        <v>24567328</v>
      </c>
      <c r="B1620" s="5" t="s">
        <v>401</v>
      </c>
      <c r="C1620" s="5" t="s">
        <v>18</v>
      </c>
      <c r="D1620" s="6">
        <v>45550</v>
      </c>
      <c r="E1620" s="12">
        <v>45661</v>
      </c>
      <c r="F1620" t="s">
        <v>2</v>
      </c>
    </row>
    <row r="1621" spans="1:6" x14ac:dyDescent="0.25">
      <c r="A1621" s="5">
        <v>24567329</v>
      </c>
      <c r="B1621" s="5" t="s">
        <v>401</v>
      </c>
      <c r="C1621" s="5" t="s">
        <v>12</v>
      </c>
      <c r="D1621" s="6">
        <v>45550</v>
      </c>
      <c r="E1621" s="12">
        <v>45661</v>
      </c>
      <c r="F1621" t="s">
        <v>2</v>
      </c>
    </row>
    <row r="1622" spans="1:6" x14ac:dyDescent="0.25">
      <c r="A1622" s="5">
        <v>24567330</v>
      </c>
      <c r="B1622" s="5" t="s">
        <v>400</v>
      </c>
      <c r="C1622" s="5" t="s">
        <v>12</v>
      </c>
      <c r="D1622" s="6">
        <v>45550</v>
      </c>
      <c r="E1622" s="12">
        <v>45661</v>
      </c>
      <c r="F1622" t="s">
        <v>2</v>
      </c>
    </row>
    <row r="1623" spans="1:6" x14ac:dyDescent="0.25">
      <c r="A1623" s="5">
        <v>24567331</v>
      </c>
      <c r="B1623" s="5" t="s">
        <v>401</v>
      </c>
      <c r="C1623" s="5" t="s">
        <v>12</v>
      </c>
      <c r="D1623" s="6">
        <v>45550</v>
      </c>
      <c r="E1623" s="12">
        <v>45661</v>
      </c>
      <c r="F1623" t="s">
        <v>2</v>
      </c>
    </row>
    <row r="1624" spans="1:6" x14ac:dyDescent="0.25">
      <c r="A1624" s="5">
        <v>24567332</v>
      </c>
      <c r="B1624" s="5" t="s">
        <v>401</v>
      </c>
      <c r="C1624" s="5" t="s">
        <v>12</v>
      </c>
      <c r="D1624" s="6">
        <v>45550</v>
      </c>
      <c r="E1624" s="12">
        <v>45661</v>
      </c>
      <c r="F1624" t="s">
        <v>2</v>
      </c>
    </row>
    <row r="1625" spans="1:6" x14ac:dyDescent="0.25">
      <c r="A1625" s="5">
        <v>24567333</v>
      </c>
      <c r="B1625" s="5" t="s">
        <v>401</v>
      </c>
      <c r="C1625" s="5" t="s">
        <v>12</v>
      </c>
      <c r="D1625" s="6">
        <v>45550</v>
      </c>
      <c r="E1625" s="12">
        <v>45661</v>
      </c>
      <c r="F1625" t="s">
        <v>2</v>
      </c>
    </row>
    <row r="1626" spans="1:6" x14ac:dyDescent="0.25">
      <c r="A1626" s="5">
        <v>24567334</v>
      </c>
      <c r="B1626" s="5" t="s">
        <v>400</v>
      </c>
      <c r="C1626" s="5" t="s">
        <v>12</v>
      </c>
      <c r="D1626" s="6">
        <v>45580</v>
      </c>
      <c r="E1626" s="12">
        <v>45661</v>
      </c>
      <c r="F1626" t="s">
        <v>2</v>
      </c>
    </row>
    <row r="1627" spans="1:6" x14ac:dyDescent="0.25">
      <c r="A1627" s="5">
        <v>24567335</v>
      </c>
      <c r="B1627" s="5" t="s">
        <v>401</v>
      </c>
      <c r="C1627" s="5" t="s">
        <v>18</v>
      </c>
      <c r="D1627" s="6">
        <v>45580</v>
      </c>
      <c r="E1627" s="12">
        <v>45661</v>
      </c>
      <c r="F1627" t="s">
        <v>2</v>
      </c>
    </row>
    <row r="1628" spans="1:6" x14ac:dyDescent="0.25">
      <c r="A1628" s="5">
        <v>24567336</v>
      </c>
      <c r="B1628" s="5" t="s">
        <v>401</v>
      </c>
      <c r="C1628" s="5" t="s">
        <v>18</v>
      </c>
      <c r="D1628" s="6">
        <v>45550</v>
      </c>
      <c r="E1628" s="12">
        <v>45661</v>
      </c>
      <c r="F1628" t="s">
        <v>2</v>
      </c>
    </row>
    <row r="1629" spans="1:6" x14ac:dyDescent="0.25">
      <c r="A1629" s="5">
        <v>24567337</v>
      </c>
      <c r="B1629" s="5" t="s">
        <v>401</v>
      </c>
      <c r="C1629" s="5" t="s">
        <v>12</v>
      </c>
      <c r="D1629" s="6">
        <v>45550</v>
      </c>
      <c r="E1629" s="12">
        <v>45661</v>
      </c>
      <c r="F1629" t="s">
        <v>2</v>
      </c>
    </row>
    <row r="1630" spans="1:6" x14ac:dyDescent="0.25">
      <c r="A1630" s="5">
        <v>24567338</v>
      </c>
      <c r="B1630" s="5" t="s">
        <v>400</v>
      </c>
      <c r="C1630" s="5" t="s">
        <v>12</v>
      </c>
      <c r="D1630" s="6">
        <v>45550</v>
      </c>
      <c r="E1630" s="12">
        <v>45661</v>
      </c>
      <c r="F1630" t="s">
        <v>2</v>
      </c>
    </row>
    <row r="1631" spans="1:6" x14ac:dyDescent="0.25">
      <c r="A1631" s="5">
        <v>24567339</v>
      </c>
      <c r="B1631" s="5" t="s">
        <v>400</v>
      </c>
      <c r="C1631" s="5" t="s">
        <v>12</v>
      </c>
      <c r="D1631" s="6">
        <v>45550</v>
      </c>
      <c r="E1631" s="12">
        <v>45661</v>
      </c>
      <c r="F1631" t="s">
        <v>2</v>
      </c>
    </row>
    <row r="1632" spans="1:6" x14ac:dyDescent="0.25">
      <c r="A1632" s="5">
        <v>24567340</v>
      </c>
      <c r="B1632" s="5" t="s">
        <v>401</v>
      </c>
      <c r="C1632" s="5" t="s">
        <v>12</v>
      </c>
      <c r="D1632" s="6">
        <v>45550</v>
      </c>
      <c r="E1632" s="12">
        <v>45661</v>
      </c>
      <c r="F1632" t="s">
        <v>2</v>
      </c>
    </row>
    <row r="1633" spans="1:6" x14ac:dyDescent="0.25">
      <c r="A1633" s="5">
        <v>24567341</v>
      </c>
      <c r="B1633" s="5" t="s">
        <v>401</v>
      </c>
      <c r="C1633" s="5" t="s">
        <v>12</v>
      </c>
      <c r="D1633" s="6">
        <v>45550</v>
      </c>
      <c r="E1633" s="12">
        <v>45661</v>
      </c>
      <c r="F1633" t="s">
        <v>2</v>
      </c>
    </row>
    <row r="1634" spans="1:6" x14ac:dyDescent="0.25">
      <c r="A1634" s="5">
        <v>24567342</v>
      </c>
      <c r="B1634" s="5" t="s">
        <v>400</v>
      </c>
      <c r="C1634" s="5" t="s">
        <v>18</v>
      </c>
      <c r="D1634" s="6">
        <v>45550</v>
      </c>
      <c r="E1634" s="12">
        <v>45661</v>
      </c>
      <c r="F1634" t="s">
        <v>2</v>
      </c>
    </row>
    <row r="1635" spans="1:6" x14ac:dyDescent="0.25">
      <c r="A1635" s="5">
        <v>24567343</v>
      </c>
      <c r="B1635" s="5" t="s">
        <v>401</v>
      </c>
      <c r="C1635" s="5" t="s">
        <v>12</v>
      </c>
      <c r="D1635" s="6">
        <v>45550</v>
      </c>
      <c r="E1635" s="12">
        <v>45661</v>
      </c>
      <c r="F1635" t="s">
        <v>2</v>
      </c>
    </row>
    <row r="1636" spans="1:6" x14ac:dyDescent="0.25">
      <c r="A1636" s="5">
        <v>24567344</v>
      </c>
      <c r="B1636" s="5" t="s">
        <v>400</v>
      </c>
      <c r="C1636" s="5" t="s">
        <v>12</v>
      </c>
      <c r="D1636" s="6">
        <v>45550</v>
      </c>
      <c r="E1636" s="12">
        <v>45661</v>
      </c>
      <c r="F1636" t="s">
        <v>2</v>
      </c>
    </row>
    <row r="1637" spans="1:6" x14ac:dyDescent="0.25">
      <c r="A1637" s="5">
        <v>24567345</v>
      </c>
      <c r="B1637" s="5" t="s">
        <v>401</v>
      </c>
      <c r="C1637" s="5" t="s">
        <v>12</v>
      </c>
      <c r="D1637" s="6">
        <v>45550</v>
      </c>
      <c r="E1637" s="12">
        <v>45661</v>
      </c>
      <c r="F1637" t="s">
        <v>2</v>
      </c>
    </row>
    <row r="1638" spans="1:6" x14ac:dyDescent="0.25">
      <c r="A1638" s="5">
        <v>24567346</v>
      </c>
      <c r="B1638" s="5" t="s">
        <v>400</v>
      </c>
      <c r="C1638" s="5" t="s">
        <v>12</v>
      </c>
      <c r="D1638" s="6">
        <v>45550</v>
      </c>
      <c r="E1638" s="12">
        <v>45661</v>
      </c>
      <c r="F1638" t="s">
        <v>2</v>
      </c>
    </row>
    <row r="1639" spans="1:6" x14ac:dyDescent="0.25">
      <c r="A1639" s="5">
        <v>24567347</v>
      </c>
      <c r="B1639" s="5" t="s">
        <v>400</v>
      </c>
      <c r="C1639" s="5" t="s">
        <v>12</v>
      </c>
      <c r="D1639" s="6">
        <v>45550</v>
      </c>
      <c r="E1639" s="12">
        <v>45661</v>
      </c>
      <c r="F1639" t="s">
        <v>2</v>
      </c>
    </row>
    <row r="1640" spans="1:6" x14ac:dyDescent="0.25">
      <c r="A1640" s="5">
        <v>24567348</v>
      </c>
      <c r="B1640" s="5" t="s">
        <v>401</v>
      </c>
      <c r="C1640" s="5" t="s">
        <v>12</v>
      </c>
      <c r="D1640" s="6">
        <v>45550</v>
      </c>
      <c r="E1640" s="12">
        <v>45661</v>
      </c>
      <c r="F1640" t="s">
        <v>2</v>
      </c>
    </row>
    <row r="1641" spans="1:6" x14ac:dyDescent="0.25">
      <c r="A1641" s="5">
        <v>24567349</v>
      </c>
      <c r="B1641" s="5" t="s">
        <v>401</v>
      </c>
      <c r="C1641" s="5" t="s">
        <v>12</v>
      </c>
      <c r="D1641" s="6">
        <v>45550</v>
      </c>
      <c r="E1641" s="12">
        <v>45661</v>
      </c>
      <c r="F1641" t="s">
        <v>2</v>
      </c>
    </row>
    <row r="1642" spans="1:6" x14ac:dyDescent="0.25">
      <c r="A1642" s="5">
        <v>24567350</v>
      </c>
      <c r="B1642" s="5" t="s">
        <v>400</v>
      </c>
      <c r="C1642" s="5" t="s">
        <v>12</v>
      </c>
      <c r="D1642" s="6">
        <v>45550</v>
      </c>
      <c r="E1642" s="12">
        <v>45661</v>
      </c>
      <c r="F1642" t="s">
        <v>2</v>
      </c>
    </row>
    <row r="1643" spans="1:6" x14ac:dyDescent="0.25">
      <c r="A1643" s="5">
        <v>24567351</v>
      </c>
      <c r="B1643" s="5" t="s">
        <v>400</v>
      </c>
      <c r="C1643" s="5" t="s">
        <v>12</v>
      </c>
      <c r="D1643" s="6">
        <v>45550</v>
      </c>
      <c r="E1643" s="12">
        <v>45661</v>
      </c>
      <c r="F1643" t="s">
        <v>2</v>
      </c>
    </row>
    <row r="1644" spans="1:6" x14ac:dyDescent="0.25">
      <c r="A1644" s="5">
        <v>24567352</v>
      </c>
      <c r="B1644" s="5" t="s">
        <v>401</v>
      </c>
      <c r="C1644" s="5" t="s">
        <v>12</v>
      </c>
      <c r="D1644" s="6">
        <v>45550</v>
      </c>
      <c r="E1644" s="12">
        <v>45661</v>
      </c>
      <c r="F1644" t="s">
        <v>2</v>
      </c>
    </row>
    <row r="1645" spans="1:6" x14ac:dyDescent="0.25">
      <c r="A1645" s="5">
        <v>24567353</v>
      </c>
      <c r="B1645" s="5" t="s">
        <v>401</v>
      </c>
      <c r="C1645" s="5" t="s">
        <v>12</v>
      </c>
      <c r="D1645" s="6">
        <v>45550</v>
      </c>
      <c r="E1645" s="12">
        <v>45661</v>
      </c>
      <c r="F1645" t="s">
        <v>2</v>
      </c>
    </row>
    <row r="1646" spans="1:6" x14ac:dyDescent="0.25">
      <c r="A1646" s="5">
        <v>24567354</v>
      </c>
      <c r="B1646" s="5" t="s">
        <v>401</v>
      </c>
      <c r="C1646" s="5" t="s">
        <v>12</v>
      </c>
      <c r="D1646" s="6">
        <v>45550</v>
      </c>
      <c r="E1646" s="12">
        <v>45661</v>
      </c>
      <c r="F1646" t="s">
        <v>2</v>
      </c>
    </row>
    <row r="1647" spans="1:6" x14ac:dyDescent="0.25">
      <c r="A1647" s="5">
        <v>24567355</v>
      </c>
      <c r="B1647" s="5" t="s">
        <v>400</v>
      </c>
      <c r="C1647" s="5" t="s">
        <v>12</v>
      </c>
      <c r="D1647" s="6">
        <v>45550</v>
      </c>
      <c r="E1647" s="12">
        <v>45661</v>
      </c>
      <c r="F1647" t="s">
        <v>2</v>
      </c>
    </row>
    <row r="1648" spans="1:6" x14ac:dyDescent="0.25">
      <c r="A1648" s="5">
        <v>24567356</v>
      </c>
      <c r="B1648" s="5" t="s">
        <v>401</v>
      </c>
      <c r="C1648" s="5" t="s">
        <v>12</v>
      </c>
      <c r="D1648" s="6">
        <v>45550</v>
      </c>
      <c r="E1648" s="12">
        <v>45661</v>
      </c>
      <c r="F1648" t="s">
        <v>2</v>
      </c>
    </row>
    <row r="1649" spans="1:6" x14ac:dyDescent="0.25">
      <c r="A1649" s="5">
        <v>24567357</v>
      </c>
      <c r="B1649" s="5" t="s">
        <v>401</v>
      </c>
      <c r="C1649" s="5" t="s">
        <v>12</v>
      </c>
      <c r="D1649" s="6">
        <v>45550</v>
      </c>
      <c r="E1649" s="12">
        <v>45661</v>
      </c>
      <c r="F1649" t="s">
        <v>2</v>
      </c>
    </row>
    <row r="1650" spans="1:6" x14ac:dyDescent="0.25">
      <c r="A1650" s="5">
        <v>24567358</v>
      </c>
      <c r="B1650" s="5" t="s">
        <v>400</v>
      </c>
      <c r="C1650" s="5" t="s">
        <v>12</v>
      </c>
      <c r="D1650" s="6">
        <v>45550</v>
      </c>
      <c r="E1650" s="12">
        <v>45661</v>
      </c>
      <c r="F1650" t="s">
        <v>2</v>
      </c>
    </row>
    <row r="1651" spans="1:6" x14ac:dyDescent="0.25">
      <c r="A1651" s="5">
        <v>24567359</v>
      </c>
      <c r="B1651" s="5" t="s">
        <v>400</v>
      </c>
      <c r="C1651" s="5" t="s">
        <v>12</v>
      </c>
      <c r="D1651" s="6">
        <v>45550</v>
      </c>
      <c r="E1651" s="12">
        <v>45661</v>
      </c>
      <c r="F1651" t="s">
        <v>2</v>
      </c>
    </row>
    <row r="1652" spans="1:6" x14ac:dyDescent="0.25">
      <c r="A1652" s="5">
        <v>24567360</v>
      </c>
      <c r="B1652" s="5" t="s">
        <v>401</v>
      </c>
      <c r="C1652" s="5" t="s">
        <v>12</v>
      </c>
      <c r="D1652" s="6">
        <v>45550</v>
      </c>
      <c r="E1652" s="12">
        <v>45661</v>
      </c>
      <c r="F1652" t="s">
        <v>2</v>
      </c>
    </row>
    <row r="1653" spans="1:6" x14ac:dyDescent="0.25">
      <c r="A1653" s="5">
        <v>24567361</v>
      </c>
      <c r="B1653" s="5" t="s">
        <v>401</v>
      </c>
      <c r="C1653" s="5" t="s">
        <v>12</v>
      </c>
      <c r="D1653" s="6">
        <v>45550</v>
      </c>
      <c r="E1653" s="12">
        <v>45661</v>
      </c>
      <c r="F1653" t="s">
        <v>2</v>
      </c>
    </row>
    <row r="1654" spans="1:6" x14ac:dyDescent="0.25">
      <c r="A1654" s="5">
        <v>24567362</v>
      </c>
      <c r="B1654" s="5" t="s">
        <v>401</v>
      </c>
      <c r="C1654" s="5" t="s">
        <v>12</v>
      </c>
      <c r="D1654" s="6">
        <v>45550</v>
      </c>
      <c r="E1654" s="12">
        <v>45661</v>
      </c>
      <c r="F1654" t="s">
        <v>2</v>
      </c>
    </row>
    <row r="1655" spans="1:6" x14ac:dyDescent="0.25">
      <c r="A1655" s="5">
        <v>24567363</v>
      </c>
      <c r="B1655" s="5" t="s">
        <v>400</v>
      </c>
      <c r="C1655" s="5" t="s">
        <v>12</v>
      </c>
      <c r="D1655" s="6">
        <v>45550</v>
      </c>
      <c r="E1655" s="12">
        <v>45661</v>
      </c>
      <c r="F1655" t="s">
        <v>2</v>
      </c>
    </row>
    <row r="1656" spans="1:6" x14ac:dyDescent="0.25">
      <c r="A1656" s="5">
        <v>24567364</v>
      </c>
      <c r="B1656" s="5" t="s">
        <v>401</v>
      </c>
      <c r="C1656" s="5" t="s">
        <v>12</v>
      </c>
      <c r="D1656" s="6">
        <v>45550</v>
      </c>
      <c r="E1656" s="12">
        <v>45661</v>
      </c>
      <c r="F1656" t="s">
        <v>2</v>
      </c>
    </row>
    <row r="1657" spans="1:6" x14ac:dyDescent="0.25">
      <c r="A1657" s="5">
        <v>24567365</v>
      </c>
      <c r="B1657" s="5" t="s">
        <v>400</v>
      </c>
      <c r="C1657" s="5" t="s">
        <v>12</v>
      </c>
      <c r="D1657" s="6">
        <v>45550</v>
      </c>
      <c r="E1657" s="12">
        <v>45661</v>
      </c>
      <c r="F1657" t="s">
        <v>2</v>
      </c>
    </row>
    <row r="1658" spans="1:6" x14ac:dyDescent="0.25">
      <c r="A1658" s="5">
        <v>24567366</v>
      </c>
      <c r="B1658" s="5" t="s">
        <v>401</v>
      </c>
      <c r="C1658" s="5" t="s">
        <v>12</v>
      </c>
      <c r="D1658" s="6">
        <v>45550</v>
      </c>
      <c r="E1658" s="12">
        <v>45661</v>
      </c>
      <c r="F1658" t="s">
        <v>2</v>
      </c>
    </row>
    <row r="1659" spans="1:6" x14ac:dyDescent="0.25">
      <c r="A1659" s="5">
        <v>24567367</v>
      </c>
      <c r="B1659" s="5" t="s">
        <v>401</v>
      </c>
      <c r="C1659" s="5" t="s">
        <v>12</v>
      </c>
      <c r="D1659" s="6">
        <v>45550</v>
      </c>
      <c r="E1659" s="12">
        <v>45661</v>
      </c>
      <c r="F1659" t="s">
        <v>2</v>
      </c>
    </row>
    <row r="1660" spans="1:6" x14ac:dyDescent="0.25">
      <c r="A1660" s="5">
        <v>24567368</v>
      </c>
      <c r="B1660" s="5" t="s">
        <v>401</v>
      </c>
      <c r="C1660" s="5" t="s">
        <v>12</v>
      </c>
      <c r="D1660" s="6">
        <v>45550</v>
      </c>
      <c r="E1660" s="12">
        <v>45661</v>
      </c>
      <c r="F1660" t="s">
        <v>2</v>
      </c>
    </row>
    <row r="1661" spans="1:6" x14ac:dyDescent="0.25">
      <c r="A1661" s="5">
        <v>24567369</v>
      </c>
      <c r="B1661" s="5" t="s">
        <v>401</v>
      </c>
      <c r="C1661" s="5" t="s">
        <v>12</v>
      </c>
      <c r="D1661" s="6">
        <v>45550</v>
      </c>
      <c r="E1661" s="12">
        <v>45661</v>
      </c>
      <c r="F1661" t="s">
        <v>2</v>
      </c>
    </row>
    <row r="1662" spans="1:6" x14ac:dyDescent="0.25">
      <c r="A1662" s="5">
        <v>24567370</v>
      </c>
      <c r="B1662" s="5" t="s">
        <v>401</v>
      </c>
      <c r="C1662" s="5" t="s">
        <v>12</v>
      </c>
      <c r="D1662" s="6">
        <v>45550</v>
      </c>
      <c r="E1662" s="12">
        <v>45661</v>
      </c>
      <c r="F1662" t="s">
        <v>2</v>
      </c>
    </row>
    <row r="1663" spans="1:6" x14ac:dyDescent="0.25">
      <c r="A1663" s="5">
        <v>24567371</v>
      </c>
      <c r="B1663" s="5" t="s">
        <v>400</v>
      </c>
      <c r="C1663" s="5" t="s">
        <v>12</v>
      </c>
      <c r="D1663" s="6">
        <v>45550</v>
      </c>
      <c r="E1663" s="12">
        <v>45661</v>
      </c>
      <c r="F1663" t="s">
        <v>2</v>
      </c>
    </row>
    <row r="1664" spans="1:6" x14ac:dyDescent="0.25">
      <c r="A1664" s="5">
        <v>24567372</v>
      </c>
      <c r="B1664" s="5" t="s">
        <v>400</v>
      </c>
      <c r="C1664" s="5" t="s">
        <v>12</v>
      </c>
      <c r="D1664" s="6">
        <v>45550</v>
      </c>
      <c r="E1664" s="12">
        <v>45661</v>
      </c>
      <c r="F1664" t="s">
        <v>2</v>
      </c>
    </row>
    <row r="1665" spans="1:6" x14ac:dyDescent="0.25">
      <c r="A1665" s="5">
        <v>24567373</v>
      </c>
      <c r="B1665" s="5" t="s">
        <v>401</v>
      </c>
      <c r="C1665" s="5" t="s">
        <v>12</v>
      </c>
      <c r="D1665" s="6">
        <v>45550</v>
      </c>
      <c r="E1665" s="12">
        <v>45661</v>
      </c>
      <c r="F1665" t="s">
        <v>2</v>
      </c>
    </row>
    <row r="1666" spans="1:6" x14ac:dyDescent="0.25">
      <c r="A1666" s="5">
        <v>24567374</v>
      </c>
      <c r="B1666" s="5" t="s">
        <v>400</v>
      </c>
      <c r="C1666" s="5" t="s">
        <v>18</v>
      </c>
      <c r="D1666" s="6">
        <v>45550</v>
      </c>
      <c r="E1666" s="12">
        <v>45661</v>
      </c>
      <c r="F1666" t="s">
        <v>2</v>
      </c>
    </row>
    <row r="1667" spans="1:6" x14ac:dyDescent="0.25">
      <c r="A1667" s="5">
        <v>24567375</v>
      </c>
      <c r="B1667" s="5" t="s">
        <v>400</v>
      </c>
      <c r="C1667" s="5" t="s">
        <v>12</v>
      </c>
      <c r="D1667" s="6">
        <v>45550</v>
      </c>
      <c r="E1667" s="12">
        <v>45661</v>
      </c>
      <c r="F1667" t="s">
        <v>2</v>
      </c>
    </row>
    <row r="1668" spans="1:6" x14ac:dyDescent="0.25">
      <c r="A1668" s="5">
        <v>24567376</v>
      </c>
      <c r="B1668" s="5" t="s">
        <v>400</v>
      </c>
      <c r="C1668" s="5" t="s">
        <v>12</v>
      </c>
      <c r="D1668" s="6">
        <v>45550</v>
      </c>
      <c r="E1668" s="12">
        <v>45661</v>
      </c>
      <c r="F1668" t="s">
        <v>2</v>
      </c>
    </row>
    <row r="1669" spans="1:6" x14ac:dyDescent="0.25">
      <c r="A1669" s="5">
        <v>24567377</v>
      </c>
      <c r="B1669" s="5" t="s">
        <v>400</v>
      </c>
      <c r="C1669" s="5" t="s">
        <v>12</v>
      </c>
      <c r="D1669" s="6">
        <v>45550</v>
      </c>
      <c r="E1669" s="12">
        <v>45661</v>
      </c>
      <c r="F1669" t="s">
        <v>2</v>
      </c>
    </row>
    <row r="1670" spans="1:6" x14ac:dyDescent="0.25">
      <c r="A1670" s="5">
        <v>24567378</v>
      </c>
      <c r="B1670" s="5" t="s">
        <v>401</v>
      </c>
      <c r="C1670" s="5" t="s">
        <v>12</v>
      </c>
      <c r="D1670" s="6">
        <v>45550</v>
      </c>
      <c r="E1670" s="12">
        <v>45661</v>
      </c>
      <c r="F1670" t="s">
        <v>2</v>
      </c>
    </row>
    <row r="1671" spans="1:6" x14ac:dyDescent="0.25">
      <c r="A1671" s="5">
        <v>24567379</v>
      </c>
      <c r="B1671" s="5" t="s">
        <v>401</v>
      </c>
      <c r="C1671" s="5" t="s">
        <v>12</v>
      </c>
      <c r="D1671" s="6">
        <v>45550</v>
      </c>
      <c r="E1671" s="12">
        <v>45661</v>
      </c>
      <c r="F1671" t="s">
        <v>2</v>
      </c>
    </row>
    <row r="1672" spans="1:6" x14ac:dyDescent="0.25">
      <c r="A1672" s="5">
        <v>24567380</v>
      </c>
      <c r="B1672" s="5" t="s">
        <v>400</v>
      </c>
      <c r="C1672" s="5" t="s">
        <v>12</v>
      </c>
      <c r="D1672" s="6">
        <v>45550</v>
      </c>
      <c r="E1672" s="12">
        <v>45661</v>
      </c>
      <c r="F1672" t="s">
        <v>2</v>
      </c>
    </row>
    <row r="1673" spans="1:6" x14ac:dyDescent="0.25">
      <c r="A1673" s="5">
        <v>24567381</v>
      </c>
      <c r="B1673" s="5" t="s">
        <v>400</v>
      </c>
      <c r="C1673" s="5" t="s">
        <v>12</v>
      </c>
      <c r="D1673" s="6">
        <v>45550</v>
      </c>
      <c r="E1673" s="12">
        <v>45661</v>
      </c>
      <c r="F1673" t="s">
        <v>2</v>
      </c>
    </row>
    <row r="1674" spans="1:6" x14ac:dyDescent="0.25">
      <c r="A1674" s="5">
        <v>24567382</v>
      </c>
      <c r="B1674" s="5" t="s">
        <v>400</v>
      </c>
      <c r="C1674" s="5" t="s">
        <v>18</v>
      </c>
      <c r="D1674" s="6">
        <v>45550</v>
      </c>
      <c r="E1674" s="12">
        <v>45661</v>
      </c>
      <c r="F1674" t="s">
        <v>2</v>
      </c>
    </row>
    <row r="1675" spans="1:6" x14ac:dyDescent="0.25">
      <c r="A1675" s="5">
        <v>24567383</v>
      </c>
      <c r="B1675" s="5" t="s">
        <v>400</v>
      </c>
      <c r="C1675" s="5" t="s">
        <v>12</v>
      </c>
      <c r="D1675" s="6">
        <v>45550</v>
      </c>
      <c r="E1675" s="12">
        <v>45661</v>
      </c>
      <c r="F1675" t="s">
        <v>2</v>
      </c>
    </row>
    <row r="1676" spans="1:6" x14ac:dyDescent="0.25">
      <c r="A1676" s="5">
        <v>24567384</v>
      </c>
      <c r="B1676" s="5" t="s">
        <v>401</v>
      </c>
      <c r="C1676" s="5" t="s">
        <v>12</v>
      </c>
      <c r="D1676" s="6">
        <v>45606</v>
      </c>
      <c r="E1676" s="12">
        <v>45661</v>
      </c>
      <c r="F1676" t="s">
        <v>2</v>
      </c>
    </row>
    <row r="1677" spans="1:6" x14ac:dyDescent="0.25">
      <c r="A1677" s="5">
        <v>24567385</v>
      </c>
      <c r="B1677" s="5" t="s">
        <v>401</v>
      </c>
      <c r="C1677" s="5" t="s">
        <v>12</v>
      </c>
      <c r="D1677" s="6">
        <v>45606</v>
      </c>
      <c r="E1677" s="12">
        <v>45661</v>
      </c>
      <c r="F1677" t="s">
        <v>2</v>
      </c>
    </row>
    <row r="1678" spans="1:6" x14ac:dyDescent="0.25">
      <c r="A1678" s="5">
        <v>24567454</v>
      </c>
      <c r="B1678" s="5" t="s">
        <v>401</v>
      </c>
      <c r="C1678" s="5" t="s">
        <v>12</v>
      </c>
      <c r="D1678" s="6">
        <v>44530</v>
      </c>
      <c r="E1678" s="12">
        <v>45661</v>
      </c>
      <c r="F1678" t="s">
        <v>2</v>
      </c>
    </row>
    <row r="1679" spans="1:6" x14ac:dyDescent="0.25">
      <c r="A1679" s="5">
        <v>24567455</v>
      </c>
      <c r="B1679" s="5" t="s">
        <v>400</v>
      </c>
      <c r="C1679" s="5" t="s">
        <v>12</v>
      </c>
      <c r="D1679" s="6">
        <v>45626</v>
      </c>
      <c r="E1679" s="12">
        <v>45661</v>
      </c>
      <c r="F1679" t="s">
        <v>2</v>
      </c>
    </row>
    <row r="1680" spans="1:6" x14ac:dyDescent="0.25">
      <c r="A1680" s="5">
        <v>24567456</v>
      </c>
      <c r="B1680" s="5" t="s">
        <v>401</v>
      </c>
      <c r="C1680" s="5" t="s">
        <v>12</v>
      </c>
      <c r="D1680" s="6">
        <v>45626</v>
      </c>
      <c r="E1680" s="12">
        <v>45661</v>
      </c>
      <c r="F1680" t="s">
        <v>2</v>
      </c>
    </row>
    <row r="1681" spans="1:6" x14ac:dyDescent="0.25">
      <c r="A1681" s="5">
        <v>24567457</v>
      </c>
      <c r="B1681" s="5" t="s">
        <v>401</v>
      </c>
      <c r="C1681" s="5" t="s">
        <v>12</v>
      </c>
      <c r="D1681" s="6">
        <v>45626</v>
      </c>
      <c r="E1681" s="12">
        <v>45661</v>
      </c>
      <c r="F1681" t="s">
        <v>2</v>
      </c>
    </row>
    <row r="1682" spans="1:6" x14ac:dyDescent="0.25">
      <c r="A1682" s="5">
        <v>24567458</v>
      </c>
      <c r="B1682" s="5" t="s">
        <v>400</v>
      </c>
      <c r="C1682" s="5" t="s">
        <v>12</v>
      </c>
      <c r="D1682" s="6">
        <v>44530</v>
      </c>
      <c r="E1682" s="12">
        <v>45661</v>
      </c>
      <c r="F1682" t="s">
        <v>2</v>
      </c>
    </row>
    <row r="1683" spans="1:6" x14ac:dyDescent="0.25">
      <c r="A1683" s="5">
        <v>24567459</v>
      </c>
      <c r="B1683" s="5" t="s">
        <v>400</v>
      </c>
      <c r="C1683" s="5" t="s">
        <v>18</v>
      </c>
      <c r="D1683" s="6">
        <v>44530</v>
      </c>
      <c r="E1683" s="12">
        <v>45661</v>
      </c>
      <c r="F1683" t="s">
        <v>2</v>
      </c>
    </row>
    <row r="1684" spans="1:6" x14ac:dyDescent="0.25">
      <c r="A1684" s="5">
        <v>24567460</v>
      </c>
      <c r="B1684" s="5" t="s">
        <v>400</v>
      </c>
      <c r="C1684" s="5" t="s">
        <v>12</v>
      </c>
      <c r="D1684" s="6">
        <v>45626</v>
      </c>
      <c r="E1684" s="12">
        <v>45661</v>
      </c>
      <c r="F1684" t="s">
        <v>2</v>
      </c>
    </row>
    <row r="1685" spans="1:6" x14ac:dyDescent="0.25">
      <c r="A1685" s="5">
        <v>23323648</v>
      </c>
      <c r="B1685" s="5" t="s">
        <v>401</v>
      </c>
      <c r="C1685" s="5" t="s">
        <v>12</v>
      </c>
      <c r="D1685" s="6">
        <v>43770</v>
      </c>
      <c r="E1685" s="12">
        <v>45662</v>
      </c>
      <c r="F1685" t="s">
        <v>2</v>
      </c>
    </row>
    <row r="1686" spans="1:6" x14ac:dyDescent="0.25">
      <c r="A1686" s="5">
        <v>24567461</v>
      </c>
      <c r="B1686" s="5" t="s">
        <v>401</v>
      </c>
      <c r="C1686" s="5" t="s">
        <v>12</v>
      </c>
      <c r="D1686" s="6">
        <v>45631</v>
      </c>
      <c r="E1686" s="12">
        <v>45671</v>
      </c>
      <c r="F1686" t="s">
        <v>0</v>
      </c>
    </row>
    <row r="1687" spans="1:6" x14ac:dyDescent="0.25">
      <c r="A1687" s="5">
        <v>24567462</v>
      </c>
      <c r="B1687" s="5" t="s">
        <v>401</v>
      </c>
      <c r="C1687" s="5" t="s">
        <v>12</v>
      </c>
      <c r="D1687" s="6">
        <v>45631</v>
      </c>
      <c r="E1687" s="12">
        <v>45671</v>
      </c>
      <c r="F1687" t="s">
        <v>0</v>
      </c>
    </row>
    <row r="1688" spans="1:6" x14ac:dyDescent="0.25">
      <c r="A1688" s="5">
        <v>24567463</v>
      </c>
      <c r="B1688" s="5" t="s">
        <v>401</v>
      </c>
      <c r="C1688" s="5" t="s">
        <v>12</v>
      </c>
      <c r="D1688" s="6">
        <v>45631</v>
      </c>
      <c r="E1688" s="12">
        <v>45671</v>
      </c>
      <c r="F1688" t="s">
        <v>0</v>
      </c>
    </row>
    <row r="1689" spans="1:6" x14ac:dyDescent="0.25">
      <c r="A1689" s="5">
        <v>24567464</v>
      </c>
      <c r="B1689" s="5" t="s">
        <v>400</v>
      </c>
      <c r="C1689" s="5" t="s">
        <v>12</v>
      </c>
      <c r="D1689" s="6">
        <v>45631</v>
      </c>
      <c r="E1689" s="12">
        <v>45671</v>
      </c>
      <c r="F1689" t="s">
        <v>0</v>
      </c>
    </row>
    <row r="1690" spans="1:6" x14ac:dyDescent="0.25">
      <c r="A1690" s="5">
        <v>24567465</v>
      </c>
      <c r="B1690" s="5" t="s">
        <v>400</v>
      </c>
      <c r="C1690" s="5" t="s">
        <v>12</v>
      </c>
      <c r="D1690" s="6">
        <v>45631</v>
      </c>
      <c r="E1690" s="12">
        <v>45671</v>
      </c>
      <c r="F1690" t="s">
        <v>0</v>
      </c>
    </row>
    <row r="1691" spans="1:6" x14ac:dyDescent="0.25">
      <c r="A1691" s="5">
        <v>24567466</v>
      </c>
      <c r="B1691" s="5" t="s">
        <v>401</v>
      </c>
      <c r="C1691" s="5" t="s">
        <v>18</v>
      </c>
      <c r="D1691" s="6">
        <v>45626</v>
      </c>
      <c r="E1691" s="12">
        <v>45671</v>
      </c>
      <c r="F1691" t="s">
        <v>0</v>
      </c>
    </row>
    <row r="1692" spans="1:6" x14ac:dyDescent="0.25">
      <c r="A1692" s="5">
        <v>24567467</v>
      </c>
      <c r="B1692" s="5" t="s">
        <v>400</v>
      </c>
      <c r="C1692" s="5" t="s">
        <v>12</v>
      </c>
      <c r="D1692" s="6">
        <v>45631</v>
      </c>
      <c r="E1692" s="12">
        <v>45671</v>
      </c>
      <c r="F1692" t="s">
        <v>0</v>
      </c>
    </row>
    <row r="1693" spans="1:6" x14ac:dyDescent="0.25">
      <c r="A1693" s="5">
        <v>24567468</v>
      </c>
      <c r="B1693" s="5" t="s">
        <v>401</v>
      </c>
      <c r="C1693" s="5" t="s">
        <v>18</v>
      </c>
      <c r="D1693" s="6">
        <v>45626</v>
      </c>
      <c r="E1693" s="12">
        <v>45671</v>
      </c>
      <c r="F1693" t="s">
        <v>0</v>
      </c>
    </row>
    <row r="1694" spans="1:6" x14ac:dyDescent="0.25">
      <c r="A1694" s="5">
        <v>24567469</v>
      </c>
      <c r="B1694" s="5" t="s">
        <v>400</v>
      </c>
      <c r="C1694" s="5" t="s">
        <v>18</v>
      </c>
      <c r="D1694" s="6">
        <v>45631</v>
      </c>
      <c r="E1694" s="12">
        <v>45671</v>
      </c>
      <c r="F1694" t="s">
        <v>0</v>
      </c>
    </row>
    <row r="1695" spans="1:6" x14ac:dyDescent="0.25">
      <c r="A1695" s="5">
        <v>24567470</v>
      </c>
      <c r="B1695" s="5" t="s">
        <v>400</v>
      </c>
      <c r="C1695" s="5" t="s">
        <v>12</v>
      </c>
      <c r="D1695" s="6">
        <v>45631</v>
      </c>
      <c r="E1695" s="12">
        <v>45671</v>
      </c>
      <c r="F1695" t="s">
        <v>0</v>
      </c>
    </row>
    <row r="1696" spans="1:6" x14ac:dyDescent="0.25">
      <c r="A1696" s="5">
        <v>24567471</v>
      </c>
      <c r="B1696" s="5" t="s">
        <v>400</v>
      </c>
      <c r="C1696" s="5" t="s">
        <v>18</v>
      </c>
      <c r="D1696" s="6">
        <v>45631</v>
      </c>
      <c r="E1696" s="12">
        <v>45671</v>
      </c>
      <c r="F1696" t="s">
        <v>0</v>
      </c>
    </row>
    <row r="1697" spans="1:6" x14ac:dyDescent="0.25">
      <c r="A1697" s="5">
        <v>24567472</v>
      </c>
      <c r="B1697" s="5" t="s">
        <v>400</v>
      </c>
      <c r="C1697" s="5" t="s">
        <v>18</v>
      </c>
      <c r="D1697" s="6">
        <v>45631</v>
      </c>
      <c r="E1697" s="12">
        <v>45671</v>
      </c>
      <c r="F1697" t="s">
        <v>0</v>
      </c>
    </row>
    <row r="1698" spans="1:6" x14ac:dyDescent="0.25">
      <c r="A1698" s="5">
        <v>24567473</v>
      </c>
      <c r="B1698" s="5" t="s">
        <v>401</v>
      </c>
      <c r="C1698" s="5" t="s">
        <v>12</v>
      </c>
      <c r="D1698" s="6">
        <v>45601</v>
      </c>
      <c r="E1698" s="12">
        <v>45671</v>
      </c>
      <c r="F1698" t="s">
        <v>0</v>
      </c>
    </row>
    <row r="1699" spans="1:6" x14ac:dyDescent="0.25">
      <c r="A1699" s="5">
        <v>24567474</v>
      </c>
      <c r="B1699" s="5" t="s">
        <v>400</v>
      </c>
      <c r="C1699" s="5" t="s">
        <v>12</v>
      </c>
      <c r="D1699" s="6">
        <v>45601</v>
      </c>
      <c r="E1699" s="12">
        <v>45671</v>
      </c>
      <c r="F1699" t="s">
        <v>0</v>
      </c>
    </row>
    <row r="1700" spans="1:6" x14ac:dyDescent="0.25">
      <c r="A1700" s="5">
        <v>24567475</v>
      </c>
      <c r="B1700" s="5" t="s">
        <v>400</v>
      </c>
      <c r="C1700" s="5" t="s">
        <v>12</v>
      </c>
      <c r="D1700" s="6">
        <v>45626</v>
      </c>
      <c r="E1700" s="12">
        <v>45671</v>
      </c>
      <c r="F1700" t="s">
        <v>0</v>
      </c>
    </row>
    <row r="1701" spans="1:6" x14ac:dyDescent="0.25">
      <c r="A1701" s="5">
        <v>24567476</v>
      </c>
      <c r="B1701" s="5" t="s">
        <v>401</v>
      </c>
      <c r="C1701" s="5" t="s">
        <v>12</v>
      </c>
      <c r="D1701" s="6">
        <v>45595</v>
      </c>
      <c r="E1701" s="12">
        <v>45671</v>
      </c>
      <c r="F1701" t="s">
        <v>0</v>
      </c>
    </row>
    <row r="1702" spans="1:6" x14ac:dyDescent="0.25">
      <c r="A1702" s="5">
        <v>24567477</v>
      </c>
      <c r="B1702" s="5" t="s">
        <v>400</v>
      </c>
      <c r="C1702" s="5" t="s">
        <v>12</v>
      </c>
      <c r="D1702" s="6">
        <v>45644</v>
      </c>
      <c r="E1702" s="12">
        <v>45671</v>
      </c>
      <c r="F1702" t="s">
        <v>0</v>
      </c>
    </row>
    <row r="1703" spans="1:6" x14ac:dyDescent="0.25">
      <c r="A1703" s="5">
        <v>24567478</v>
      </c>
      <c r="B1703" s="5" t="s">
        <v>401</v>
      </c>
      <c r="C1703" s="5" t="s">
        <v>12</v>
      </c>
      <c r="D1703" s="6">
        <v>45650</v>
      </c>
      <c r="E1703" s="12">
        <v>45671</v>
      </c>
      <c r="F1703" t="s">
        <v>0</v>
      </c>
    </row>
    <row r="1704" spans="1:6" x14ac:dyDescent="0.25">
      <c r="A1704" s="5">
        <v>24567479</v>
      </c>
      <c r="B1704" s="5" t="s">
        <v>400</v>
      </c>
      <c r="C1704" s="5" t="s">
        <v>12</v>
      </c>
      <c r="D1704" s="6">
        <v>45626</v>
      </c>
      <c r="E1704" s="12">
        <v>45671</v>
      </c>
      <c r="F1704" t="s">
        <v>0</v>
      </c>
    </row>
    <row r="1705" spans="1:6" x14ac:dyDescent="0.25">
      <c r="A1705" s="5">
        <v>24567480</v>
      </c>
      <c r="B1705" s="5" t="s">
        <v>401</v>
      </c>
      <c r="C1705" s="5" t="s">
        <v>12</v>
      </c>
      <c r="D1705" s="6">
        <v>45626</v>
      </c>
      <c r="E1705" s="12">
        <v>45671</v>
      </c>
      <c r="F1705" t="s">
        <v>0</v>
      </c>
    </row>
    <row r="1706" spans="1:6" x14ac:dyDescent="0.25">
      <c r="A1706" s="5">
        <v>24567481</v>
      </c>
      <c r="B1706" s="5" t="s">
        <v>400</v>
      </c>
      <c r="C1706" s="5" t="s">
        <v>12</v>
      </c>
      <c r="D1706" s="6">
        <v>45626</v>
      </c>
      <c r="E1706" s="12">
        <v>45671</v>
      </c>
      <c r="F1706" t="s">
        <v>0</v>
      </c>
    </row>
    <row r="1707" spans="1:6" x14ac:dyDescent="0.25">
      <c r="A1707" s="5">
        <v>24567482</v>
      </c>
      <c r="B1707" s="5" t="s">
        <v>401</v>
      </c>
      <c r="C1707" s="5" t="s">
        <v>12</v>
      </c>
      <c r="D1707" s="6">
        <v>45626</v>
      </c>
      <c r="E1707" s="12">
        <v>45671</v>
      </c>
      <c r="F1707" t="s">
        <v>0</v>
      </c>
    </row>
    <row r="1708" spans="1:6" x14ac:dyDescent="0.25">
      <c r="A1708" s="5">
        <v>24567483</v>
      </c>
      <c r="B1708" s="5" t="s">
        <v>401</v>
      </c>
      <c r="C1708" s="5" t="s">
        <v>12</v>
      </c>
      <c r="D1708" s="6">
        <v>45626</v>
      </c>
      <c r="E1708" s="12">
        <v>45671</v>
      </c>
      <c r="F1708" t="s">
        <v>0</v>
      </c>
    </row>
    <row r="1709" spans="1:6" x14ac:dyDescent="0.25">
      <c r="A1709" s="5">
        <v>24567484</v>
      </c>
      <c r="B1709" s="5" t="s">
        <v>401</v>
      </c>
      <c r="C1709" s="5" t="s">
        <v>12</v>
      </c>
      <c r="D1709" s="6">
        <v>45626</v>
      </c>
      <c r="E1709" s="12">
        <v>45671</v>
      </c>
      <c r="F1709" t="s">
        <v>0</v>
      </c>
    </row>
    <row r="1710" spans="1:6" x14ac:dyDescent="0.25">
      <c r="A1710" s="5">
        <v>24567485</v>
      </c>
      <c r="B1710" s="5" t="s">
        <v>401</v>
      </c>
      <c r="C1710" s="5" t="s">
        <v>18</v>
      </c>
      <c r="D1710" s="6">
        <v>45595</v>
      </c>
      <c r="E1710" s="12">
        <v>45671</v>
      </c>
      <c r="F1710" t="s">
        <v>0</v>
      </c>
    </row>
    <row r="1711" spans="1:6" x14ac:dyDescent="0.25">
      <c r="A1711" s="5">
        <v>24567486</v>
      </c>
      <c r="B1711" s="5" t="s">
        <v>400</v>
      </c>
      <c r="C1711" s="5" t="s">
        <v>12</v>
      </c>
      <c r="D1711" s="6">
        <v>45631</v>
      </c>
      <c r="E1711" s="12">
        <v>45671</v>
      </c>
      <c r="F1711" t="s">
        <v>0</v>
      </c>
    </row>
    <row r="1712" spans="1:6" x14ac:dyDescent="0.25">
      <c r="A1712" s="5">
        <v>24567487</v>
      </c>
      <c r="B1712" s="5" t="s">
        <v>401</v>
      </c>
      <c r="C1712" s="5" t="s">
        <v>12</v>
      </c>
      <c r="D1712" s="6">
        <v>45631</v>
      </c>
      <c r="E1712" s="12">
        <v>45671</v>
      </c>
      <c r="F1712" t="s">
        <v>0</v>
      </c>
    </row>
    <row r="1713" spans="1:6" x14ac:dyDescent="0.25">
      <c r="A1713" s="5">
        <v>24567488</v>
      </c>
      <c r="B1713" s="5" t="s">
        <v>400</v>
      </c>
      <c r="C1713" s="5" t="s">
        <v>18</v>
      </c>
      <c r="D1713" s="6">
        <v>45626</v>
      </c>
      <c r="E1713" s="12">
        <v>45671</v>
      </c>
      <c r="F1713" t="s">
        <v>0</v>
      </c>
    </row>
    <row r="1714" spans="1:6" x14ac:dyDescent="0.25">
      <c r="A1714" s="5">
        <v>24567489</v>
      </c>
      <c r="B1714" s="5" t="s">
        <v>401</v>
      </c>
      <c r="C1714" s="5" t="s">
        <v>12</v>
      </c>
      <c r="D1714" s="6">
        <v>45595</v>
      </c>
      <c r="E1714" s="12">
        <v>45671</v>
      </c>
      <c r="F1714" t="s">
        <v>0</v>
      </c>
    </row>
    <row r="1715" spans="1:6" x14ac:dyDescent="0.25">
      <c r="A1715" s="5">
        <v>24567490</v>
      </c>
      <c r="B1715" s="5" t="s">
        <v>400</v>
      </c>
      <c r="C1715" s="5" t="s">
        <v>12</v>
      </c>
      <c r="D1715" s="6">
        <v>45631</v>
      </c>
      <c r="E1715" s="12">
        <v>45671</v>
      </c>
      <c r="F1715" t="s">
        <v>0</v>
      </c>
    </row>
    <row r="1716" spans="1:6" x14ac:dyDescent="0.25">
      <c r="A1716" s="5">
        <v>24567491</v>
      </c>
      <c r="B1716" s="5" t="s">
        <v>401</v>
      </c>
      <c r="C1716" s="5" t="s">
        <v>12</v>
      </c>
      <c r="D1716" s="6">
        <v>45631</v>
      </c>
      <c r="E1716" s="12">
        <v>45671</v>
      </c>
      <c r="F1716" t="s">
        <v>0</v>
      </c>
    </row>
    <row r="1717" spans="1:6" x14ac:dyDescent="0.25">
      <c r="A1717" s="5">
        <v>24567492</v>
      </c>
      <c r="B1717" s="5" t="s">
        <v>401</v>
      </c>
      <c r="C1717" s="5" t="s">
        <v>12</v>
      </c>
      <c r="D1717" s="6">
        <v>45595</v>
      </c>
      <c r="E1717" s="12">
        <v>45671</v>
      </c>
      <c r="F1717" t="s">
        <v>0</v>
      </c>
    </row>
    <row r="1718" spans="1:6" x14ac:dyDescent="0.25">
      <c r="A1718" s="5">
        <v>24567493</v>
      </c>
      <c r="B1718" s="5" t="s">
        <v>401</v>
      </c>
      <c r="C1718" s="5" t="s">
        <v>79</v>
      </c>
      <c r="D1718" s="6">
        <v>45570</v>
      </c>
      <c r="E1718" s="12">
        <v>45671</v>
      </c>
      <c r="F1718" t="s">
        <v>0</v>
      </c>
    </row>
    <row r="1719" spans="1:6" x14ac:dyDescent="0.25">
      <c r="A1719" s="5">
        <v>24567494</v>
      </c>
      <c r="B1719" s="5" t="s">
        <v>401</v>
      </c>
      <c r="C1719" s="5" t="s">
        <v>79</v>
      </c>
      <c r="D1719" s="6">
        <v>45570</v>
      </c>
      <c r="E1719" s="12">
        <v>45671</v>
      </c>
      <c r="F1719" t="s">
        <v>0</v>
      </c>
    </row>
    <row r="1720" spans="1:6" x14ac:dyDescent="0.25">
      <c r="A1720" s="5">
        <v>23323657</v>
      </c>
      <c r="B1720" s="5" t="s">
        <v>400</v>
      </c>
      <c r="C1720" s="5" t="s">
        <v>12</v>
      </c>
      <c r="D1720" s="6">
        <v>43770</v>
      </c>
      <c r="E1720" s="12">
        <v>45674</v>
      </c>
      <c r="F1720" t="s">
        <v>2</v>
      </c>
    </row>
    <row r="1721" spans="1:6" x14ac:dyDescent="0.25">
      <c r="A1721" s="5">
        <v>23323658</v>
      </c>
      <c r="B1721" s="5" t="s">
        <v>400</v>
      </c>
      <c r="C1721" s="5" t="s">
        <v>12</v>
      </c>
      <c r="D1721" s="6">
        <v>43770</v>
      </c>
      <c r="E1721" s="12">
        <v>45674</v>
      </c>
      <c r="F1721" t="s">
        <v>2</v>
      </c>
    </row>
    <row r="1722" spans="1:6" x14ac:dyDescent="0.25">
      <c r="A1722" s="5">
        <v>23323659</v>
      </c>
      <c r="B1722" s="5" t="s">
        <v>400</v>
      </c>
      <c r="C1722" s="5" t="s">
        <v>18</v>
      </c>
      <c r="D1722" s="6">
        <v>43738</v>
      </c>
      <c r="E1722" s="12">
        <v>45674</v>
      </c>
      <c r="F1722" t="s">
        <v>2</v>
      </c>
    </row>
    <row r="1723" spans="1:6" x14ac:dyDescent="0.25">
      <c r="A1723" s="5">
        <v>23323661</v>
      </c>
      <c r="B1723" s="5" t="s">
        <v>400</v>
      </c>
      <c r="C1723" s="5" t="s">
        <v>12</v>
      </c>
      <c r="D1723" s="6">
        <v>43758</v>
      </c>
      <c r="E1723" s="12">
        <v>45674</v>
      </c>
      <c r="F1723" t="s">
        <v>2</v>
      </c>
    </row>
    <row r="1724" spans="1:6" x14ac:dyDescent="0.25">
      <c r="A1724" s="5">
        <v>24567495</v>
      </c>
      <c r="B1724" s="5" t="s">
        <v>400</v>
      </c>
      <c r="C1724" s="5" t="s">
        <v>12</v>
      </c>
      <c r="D1724" s="6">
        <v>45550</v>
      </c>
      <c r="E1724" s="12">
        <v>45674</v>
      </c>
      <c r="F1724" t="s">
        <v>2</v>
      </c>
    </row>
    <row r="1725" spans="1:6" x14ac:dyDescent="0.25">
      <c r="A1725" s="5">
        <v>24567496</v>
      </c>
      <c r="B1725" s="5" t="s">
        <v>400</v>
      </c>
      <c r="C1725" s="5" t="s">
        <v>12</v>
      </c>
      <c r="D1725" s="6">
        <v>45550</v>
      </c>
      <c r="E1725" s="12">
        <v>45674</v>
      </c>
      <c r="F1725" t="s">
        <v>2</v>
      </c>
    </row>
    <row r="1726" spans="1:6" x14ac:dyDescent="0.25">
      <c r="A1726" s="5">
        <v>24567497</v>
      </c>
      <c r="B1726" s="5" t="s">
        <v>401</v>
      </c>
      <c r="C1726" s="5" t="s">
        <v>18</v>
      </c>
      <c r="D1726" s="6">
        <v>45550</v>
      </c>
      <c r="E1726" s="12">
        <v>45674</v>
      </c>
      <c r="F1726" t="s">
        <v>2</v>
      </c>
    </row>
    <row r="1727" spans="1:6" x14ac:dyDescent="0.25">
      <c r="A1727" s="5">
        <v>24567498</v>
      </c>
      <c r="B1727" s="5" t="s">
        <v>401</v>
      </c>
      <c r="C1727" s="5" t="s">
        <v>12</v>
      </c>
      <c r="D1727" s="6">
        <v>45550</v>
      </c>
      <c r="E1727" s="12">
        <v>45674</v>
      </c>
      <c r="F1727" t="s">
        <v>2</v>
      </c>
    </row>
    <row r="1728" spans="1:6" x14ac:dyDescent="0.25">
      <c r="A1728" s="5">
        <v>24567499</v>
      </c>
      <c r="B1728" s="5" t="s">
        <v>401</v>
      </c>
      <c r="C1728" s="5" t="s">
        <v>18</v>
      </c>
      <c r="D1728" s="6">
        <v>45550</v>
      </c>
      <c r="E1728" s="12">
        <v>45674</v>
      </c>
      <c r="F1728" t="s">
        <v>2</v>
      </c>
    </row>
    <row r="1729" spans="1:6" x14ac:dyDescent="0.25">
      <c r="A1729" s="5">
        <v>24567500</v>
      </c>
      <c r="B1729" s="5" t="s">
        <v>400</v>
      </c>
      <c r="C1729" s="5" t="s">
        <v>12</v>
      </c>
      <c r="D1729" s="6">
        <v>45550</v>
      </c>
      <c r="E1729" s="12">
        <v>45674</v>
      </c>
      <c r="F1729" t="s">
        <v>2</v>
      </c>
    </row>
    <row r="1730" spans="1:6" x14ac:dyDescent="0.25">
      <c r="A1730" s="5">
        <v>24567501</v>
      </c>
      <c r="B1730" s="5" t="s">
        <v>401</v>
      </c>
      <c r="C1730" s="5" t="s">
        <v>12</v>
      </c>
      <c r="D1730" s="6">
        <v>45550</v>
      </c>
      <c r="E1730" s="12">
        <v>45674</v>
      </c>
      <c r="F1730" t="s">
        <v>2</v>
      </c>
    </row>
    <row r="1731" spans="1:6" x14ac:dyDescent="0.25">
      <c r="A1731" s="5">
        <v>24567502</v>
      </c>
      <c r="B1731" s="5" t="s">
        <v>400</v>
      </c>
      <c r="C1731" s="5" t="s">
        <v>12</v>
      </c>
      <c r="D1731" s="6">
        <v>45550</v>
      </c>
      <c r="E1731" s="12">
        <v>45674</v>
      </c>
      <c r="F1731" t="s">
        <v>2</v>
      </c>
    </row>
    <row r="1732" spans="1:6" x14ac:dyDescent="0.25">
      <c r="A1732" s="5">
        <v>24567503</v>
      </c>
      <c r="B1732" s="5" t="s">
        <v>401</v>
      </c>
      <c r="C1732" s="5" t="s">
        <v>12</v>
      </c>
      <c r="D1732" s="6">
        <v>45550</v>
      </c>
      <c r="E1732" s="12">
        <v>45674</v>
      </c>
      <c r="F1732" t="s">
        <v>2</v>
      </c>
    </row>
    <row r="1733" spans="1:6" x14ac:dyDescent="0.25">
      <c r="A1733" s="5">
        <v>24567504</v>
      </c>
      <c r="B1733" s="5" t="s">
        <v>400</v>
      </c>
      <c r="C1733" s="5" t="s">
        <v>12</v>
      </c>
      <c r="D1733" s="6">
        <v>45550</v>
      </c>
      <c r="E1733" s="12">
        <v>45674</v>
      </c>
      <c r="F1733" t="s">
        <v>2</v>
      </c>
    </row>
    <row r="1734" spans="1:6" x14ac:dyDescent="0.25">
      <c r="A1734" s="5">
        <v>24567505</v>
      </c>
      <c r="B1734" s="5" t="s">
        <v>401</v>
      </c>
      <c r="C1734" s="5" t="s">
        <v>12</v>
      </c>
      <c r="D1734" s="6">
        <v>45550</v>
      </c>
      <c r="E1734" s="12">
        <v>45674</v>
      </c>
      <c r="F1734" t="s">
        <v>2</v>
      </c>
    </row>
    <row r="1735" spans="1:6" x14ac:dyDescent="0.25">
      <c r="A1735" s="5">
        <v>24567506</v>
      </c>
      <c r="B1735" s="5" t="s">
        <v>401</v>
      </c>
      <c r="C1735" s="5" t="s">
        <v>12</v>
      </c>
      <c r="D1735" s="6">
        <v>45550</v>
      </c>
      <c r="E1735" s="12">
        <v>45674</v>
      </c>
      <c r="F1735" t="s">
        <v>2</v>
      </c>
    </row>
    <row r="1736" spans="1:6" x14ac:dyDescent="0.25">
      <c r="A1736" s="5">
        <v>24567507</v>
      </c>
      <c r="B1736" s="5" t="s">
        <v>400</v>
      </c>
      <c r="C1736" s="5" t="s">
        <v>12</v>
      </c>
      <c r="D1736" s="6">
        <v>45550</v>
      </c>
      <c r="E1736" s="12">
        <v>45674</v>
      </c>
      <c r="F1736" t="s">
        <v>2</v>
      </c>
    </row>
    <row r="1737" spans="1:6" x14ac:dyDescent="0.25">
      <c r="A1737" s="5">
        <v>24567508</v>
      </c>
      <c r="B1737" s="5" t="s">
        <v>400</v>
      </c>
      <c r="C1737" s="5" t="s">
        <v>12</v>
      </c>
      <c r="D1737" s="6">
        <v>45550</v>
      </c>
      <c r="E1737" s="12">
        <v>45674</v>
      </c>
      <c r="F1737" t="s">
        <v>2</v>
      </c>
    </row>
    <row r="1738" spans="1:6" x14ac:dyDescent="0.25">
      <c r="A1738" s="5">
        <v>24567509</v>
      </c>
      <c r="B1738" s="5" t="s">
        <v>400</v>
      </c>
      <c r="C1738" s="5" t="s">
        <v>12</v>
      </c>
      <c r="D1738" s="6">
        <v>45550</v>
      </c>
      <c r="E1738" s="12">
        <v>45674</v>
      </c>
      <c r="F1738" t="s">
        <v>2</v>
      </c>
    </row>
    <row r="1739" spans="1:6" x14ac:dyDescent="0.25">
      <c r="A1739" s="5">
        <v>24567510</v>
      </c>
      <c r="B1739" s="5" t="s">
        <v>400</v>
      </c>
      <c r="C1739" s="5" t="s">
        <v>12</v>
      </c>
      <c r="D1739" s="6">
        <v>45550</v>
      </c>
      <c r="E1739" s="12">
        <v>45674</v>
      </c>
      <c r="F1739" t="s">
        <v>2</v>
      </c>
    </row>
    <row r="1740" spans="1:6" x14ac:dyDescent="0.25">
      <c r="A1740" s="5">
        <v>24567511</v>
      </c>
      <c r="B1740" s="5" t="s">
        <v>400</v>
      </c>
      <c r="C1740" s="5" t="s">
        <v>12</v>
      </c>
      <c r="D1740" s="6">
        <v>45550</v>
      </c>
      <c r="E1740" s="12">
        <v>45674</v>
      </c>
      <c r="F1740" t="s">
        <v>2</v>
      </c>
    </row>
    <row r="1741" spans="1:6" x14ac:dyDescent="0.25">
      <c r="A1741" s="5">
        <v>24567512</v>
      </c>
      <c r="B1741" s="5" t="s">
        <v>401</v>
      </c>
      <c r="C1741" s="5" t="s">
        <v>12</v>
      </c>
      <c r="D1741" s="6">
        <v>45550</v>
      </c>
      <c r="E1741" s="12">
        <v>45674</v>
      </c>
      <c r="F1741" t="s">
        <v>2</v>
      </c>
    </row>
    <row r="1742" spans="1:6" x14ac:dyDescent="0.25">
      <c r="A1742" s="5">
        <v>24567513</v>
      </c>
      <c r="B1742" s="5" t="s">
        <v>401</v>
      </c>
      <c r="C1742" s="5" t="s">
        <v>12</v>
      </c>
      <c r="D1742" s="6">
        <v>45550</v>
      </c>
      <c r="E1742" s="12">
        <v>45674</v>
      </c>
      <c r="F1742" t="s">
        <v>2</v>
      </c>
    </row>
    <row r="1743" spans="1:6" x14ac:dyDescent="0.25">
      <c r="A1743" s="5">
        <v>24567514</v>
      </c>
      <c r="B1743" s="5" t="s">
        <v>400</v>
      </c>
      <c r="C1743" s="5" t="s">
        <v>12</v>
      </c>
      <c r="D1743" s="6">
        <v>45550</v>
      </c>
      <c r="E1743" s="12">
        <v>45674</v>
      </c>
      <c r="F1743" t="s">
        <v>2</v>
      </c>
    </row>
    <row r="1744" spans="1:6" x14ac:dyDescent="0.25">
      <c r="A1744" s="5">
        <v>24567515</v>
      </c>
      <c r="B1744" s="5" t="s">
        <v>401</v>
      </c>
      <c r="C1744" s="5" t="s">
        <v>12</v>
      </c>
      <c r="D1744" s="6">
        <v>45550</v>
      </c>
      <c r="E1744" s="12">
        <v>45674</v>
      </c>
      <c r="F1744" t="s">
        <v>2</v>
      </c>
    </row>
    <row r="1745" spans="1:6" x14ac:dyDescent="0.25">
      <c r="A1745" s="5">
        <v>24567516</v>
      </c>
      <c r="B1745" s="5" t="s">
        <v>400</v>
      </c>
      <c r="C1745" s="5" t="s">
        <v>12</v>
      </c>
      <c r="D1745" s="6">
        <v>45550</v>
      </c>
      <c r="E1745" s="12">
        <v>45674</v>
      </c>
      <c r="F1745" t="s">
        <v>2</v>
      </c>
    </row>
    <row r="1746" spans="1:6" x14ac:dyDescent="0.25">
      <c r="A1746" s="5">
        <v>24567517</v>
      </c>
      <c r="B1746" s="5" t="s">
        <v>401</v>
      </c>
      <c r="C1746" s="5" t="s">
        <v>12</v>
      </c>
      <c r="D1746" s="6">
        <v>45550</v>
      </c>
      <c r="E1746" s="12">
        <v>45674</v>
      </c>
      <c r="F1746" t="s">
        <v>2</v>
      </c>
    </row>
    <row r="1747" spans="1:6" x14ac:dyDescent="0.25">
      <c r="A1747" s="5">
        <v>24567518</v>
      </c>
      <c r="B1747" s="5" t="s">
        <v>400</v>
      </c>
      <c r="C1747" s="5" t="s">
        <v>12</v>
      </c>
      <c r="D1747" s="6">
        <v>45550</v>
      </c>
      <c r="E1747" s="12">
        <v>45674</v>
      </c>
      <c r="F1747" t="s">
        <v>2</v>
      </c>
    </row>
    <row r="1748" spans="1:6" x14ac:dyDescent="0.25">
      <c r="A1748" s="5">
        <v>24567519</v>
      </c>
      <c r="B1748" s="5" t="s">
        <v>401</v>
      </c>
      <c r="C1748" s="5" t="s">
        <v>12</v>
      </c>
      <c r="D1748" s="6">
        <v>45550</v>
      </c>
      <c r="E1748" s="12">
        <v>45674</v>
      </c>
      <c r="F1748" t="s">
        <v>2</v>
      </c>
    </row>
    <row r="1749" spans="1:6" x14ac:dyDescent="0.25">
      <c r="A1749" s="5">
        <v>24567520</v>
      </c>
      <c r="B1749" s="5" t="s">
        <v>400</v>
      </c>
      <c r="C1749" s="5" t="s">
        <v>12</v>
      </c>
      <c r="D1749" s="6">
        <v>45550</v>
      </c>
      <c r="E1749" s="12">
        <v>45674</v>
      </c>
      <c r="F1749" t="s">
        <v>2</v>
      </c>
    </row>
    <row r="1750" spans="1:6" x14ac:dyDescent="0.25">
      <c r="A1750" s="5">
        <v>24567521</v>
      </c>
      <c r="B1750" s="5" t="s">
        <v>400</v>
      </c>
      <c r="C1750" s="5" t="s">
        <v>12</v>
      </c>
      <c r="D1750" s="6">
        <v>45550</v>
      </c>
      <c r="E1750" s="12">
        <v>45674</v>
      </c>
      <c r="F1750" t="s">
        <v>2</v>
      </c>
    </row>
    <row r="1751" spans="1:6" x14ac:dyDescent="0.25">
      <c r="A1751" s="5">
        <v>24567522</v>
      </c>
      <c r="B1751" s="5" t="s">
        <v>400</v>
      </c>
      <c r="C1751" s="5" t="s">
        <v>18</v>
      </c>
      <c r="D1751" s="6">
        <v>45550</v>
      </c>
      <c r="E1751" s="12">
        <v>45674</v>
      </c>
      <c r="F1751" t="s">
        <v>2</v>
      </c>
    </row>
    <row r="1752" spans="1:6" x14ac:dyDescent="0.25">
      <c r="A1752" s="5">
        <v>24567523</v>
      </c>
      <c r="B1752" s="5" t="s">
        <v>400</v>
      </c>
      <c r="C1752" s="5" t="s">
        <v>18</v>
      </c>
      <c r="D1752" s="6">
        <v>45550</v>
      </c>
      <c r="E1752" s="12">
        <v>45674</v>
      </c>
      <c r="F1752" t="s">
        <v>2</v>
      </c>
    </row>
    <row r="1753" spans="1:6" x14ac:dyDescent="0.25">
      <c r="A1753" s="5">
        <v>24567524</v>
      </c>
      <c r="B1753" s="5" t="s">
        <v>400</v>
      </c>
      <c r="C1753" s="5" t="s">
        <v>12</v>
      </c>
      <c r="D1753" s="6">
        <v>45550</v>
      </c>
      <c r="E1753" s="12">
        <v>45674</v>
      </c>
      <c r="F1753" t="s">
        <v>2</v>
      </c>
    </row>
    <row r="1754" spans="1:6" x14ac:dyDescent="0.25">
      <c r="A1754" s="5">
        <v>24567525</v>
      </c>
      <c r="B1754" s="5" t="s">
        <v>400</v>
      </c>
      <c r="C1754" s="5" t="s">
        <v>12</v>
      </c>
      <c r="D1754" s="6">
        <v>45550</v>
      </c>
      <c r="E1754" s="12">
        <v>45674</v>
      </c>
      <c r="F1754" t="s">
        <v>2</v>
      </c>
    </row>
    <row r="1755" spans="1:6" x14ac:dyDescent="0.25">
      <c r="A1755" s="5">
        <v>24567526</v>
      </c>
      <c r="B1755" s="5" t="s">
        <v>400</v>
      </c>
      <c r="C1755" s="5" t="s">
        <v>12</v>
      </c>
      <c r="D1755" s="6">
        <v>45550</v>
      </c>
      <c r="E1755" s="12">
        <v>45674</v>
      </c>
      <c r="F1755" t="s">
        <v>2</v>
      </c>
    </row>
    <row r="1756" spans="1:6" x14ac:dyDescent="0.25">
      <c r="A1756" s="5">
        <v>24567527</v>
      </c>
      <c r="B1756" s="5" t="s">
        <v>401</v>
      </c>
      <c r="C1756" s="5" t="s">
        <v>12</v>
      </c>
      <c r="D1756" s="6">
        <v>45550</v>
      </c>
      <c r="E1756" s="12">
        <v>45674</v>
      </c>
      <c r="F1756" t="s">
        <v>2</v>
      </c>
    </row>
    <row r="1757" spans="1:6" x14ac:dyDescent="0.25">
      <c r="A1757" s="5">
        <v>24567528</v>
      </c>
      <c r="B1757" s="5" t="s">
        <v>400</v>
      </c>
      <c r="C1757" s="5" t="s">
        <v>12</v>
      </c>
      <c r="D1757" s="6">
        <v>45550</v>
      </c>
      <c r="E1757" s="12">
        <v>45674</v>
      </c>
      <c r="F1757" t="s">
        <v>2</v>
      </c>
    </row>
    <row r="1758" spans="1:6" x14ac:dyDescent="0.25">
      <c r="A1758" s="5">
        <v>24567529</v>
      </c>
      <c r="B1758" s="5" t="s">
        <v>400</v>
      </c>
      <c r="C1758" s="5" t="s">
        <v>18</v>
      </c>
      <c r="D1758" s="6">
        <v>45550</v>
      </c>
      <c r="E1758" s="12">
        <v>45674</v>
      </c>
      <c r="F1758" t="s">
        <v>2</v>
      </c>
    </row>
    <row r="1759" spans="1:6" x14ac:dyDescent="0.25">
      <c r="A1759" s="5">
        <v>24567530</v>
      </c>
      <c r="B1759" s="5" t="s">
        <v>401</v>
      </c>
      <c r="C1759" s="5" t="s">
        <v>12</v>
      </c>
      <c r="D1759" s="6">
        <v>45550</v>
      </c>
      <c r="E1759" s="12">
        <v>45674</v>
      </c>
      <c r="F1759" t="s">
        <v>2</v>
      </c>
    </row>
    <row r="1760" spans="1:6" x14ac:dyDescent="0.25">
      <c r="A1760" s="5">
        <v>24567531</v>
      </c>
      <c r="B1760" s="5" t="s">
        <v>400</v>
      </c>
      <c r="C1760" s="5" t="s">
        <v>18</v>
      </c>
      <c r="D1760" s="6">
        <v>45550</v>
      </c>
      <c r="E1760" s="12">
        <v>45674</v>
      </c>
      <c r="F1760" t="s">
        <v>2</v>
      </c>
    </row>
    <row r="1761" spans="1:6" x14ac:dyDescent="0.25">
      <c r="A1761" s="5">
        <v>24567532</v>
      </c>
      <c r="B1761" s="5" t="s">
        <v>400</v>
      </c>
      <c r="C1761" s="5" t="s">
        <v>12</v>
      </c>
      <c r="D1761" s="6">
        <v>45550</v>
      </c>
      <c r="E1761" s="12">
        <v>45674</v>
      </c>
      <c r="F1761" t="s">
        <v>2</v>
      </c>
    </row>
    <row r="1762" spans="1:6" x14ac:dyDescent="0.25">
      <c r="A1762" s="5">
        <v>24567533</v>
      </c>
      <c r="B1762" s="5" t="s">
        <v>400</v>
      </c>
      <c r="C1762" s="5" t="s">
        <v>12</v>
      </c>
      <c r="D1762" s="6">
        <v>45550</v>
      </c>
      <c r="E1762" s="12">
        <v>45674</v>
      </c>
      <c r="F1762" t="s">
        <v>2</v>
      </c>
    </row>
    <row r="1763" spans="1:6" x14ac:dyDescent="0.25">
      <c r="A1763" s="5">
        <v>24567534</v>
      </c>
      <c r="B1763" s="5" t="s">
        <v>401</v>
      </c>
      <c r="C1763" s="5" t="s">
        <v>12</v>
      </c>
      <c r="D1763" s="6">
        <v>45550</v>
      </c>
      <c r="E1763" s="12">
        <v>45674</v>
      </c>
      <c r="F1763" t="s">
        <v>2</v>
      </c>
    </row>
    <row r="1764" spans="1:6" x14ac:dyDescent="0.25">
      <c r="A1764" s="5">
        <v>24567535</v>
      </c>
      <c r="B1764" s="5" t="s">
        <v>401</v>
      </c>
      <c r="C1764" s="5" t="s">
        <v>12</v>
      </c>
      <c r="D1764" s="6">
        <v>45550</v>
      </c>
      <c r="E1764" s="12">
        <v>45674</v>
      </c>
      <c r="F1764" t="s">
        <v>2</v>
      </c>
    </row>
    <row r="1765" spans="1:6" x14ac:dyDescent="0.25">
      <c r="A1765" s="5">
        <v>24567536</v>
      </c>
      <c r="B1765" s="5" t="s">
        <v>400</v>
      </c>
      <c r="C1765" s="5" t="s">
        <v>12</v>
      </c>
      <c r="D1765" s="6">
        <v>45550</v>
      </c>
      <c r="E1765" s="12">
        <v>45674</v>
      </c>
      <c r="F1765" t="s">
        <v>2</v>
      </c>
    </row>
    <row r="1766" spans="1:6" x14ac:dyDescent="0.25">
      <c r="A1766" s="5">
        <v>24567537</v>
      </c>
      <c r="B1766" s="5" t="s">
        <v>401</v>
      </c>
      <c r="C1766" s="5" t="s">
        <v>18</v>
      </c>
      <c r="D1766" s="6">
        <v>45550</v>
      </c>
      <c r="E1766" s="12">
        <v>45674</v>
      </c>
      <c r="F1766" t="s">
        <v>2</v>
      </c>
    </row>
    <row r="1767" spans="1:6" x14ac:dyDescent="0.25">
      <c r="A1767" s="5">
        <v>24567538</v>
      </c>
      <c r="B1767" s="5" t="s">
        <v>401</v>
      </c>
      <c r="C1767" s="5" t="s">
        <v>12</v>
      </c>
      <c r="D1767" s="6">
        <v>45550</v>
      </c>
      <c r="E1767" s="12">
        <v>45674</v>
      </c>
      <c r="F1767" t="s">
        <v>2</v>
      </c>
    </row>
    <row r="1768" spans="1:6" x14ac:dyDescent="0.25">
      <c r="A1768" s="5">
        <v>24567539</v>
      </c>
      <c r="B1768" s="5" t="s">
        <v>400</v>
      </c>
      <c r="C1768" s="5" t="s">
        <v>109</v>
      </c>
      <c r="D1768" s="6">
        <v>45550</v>
      </c>
      <c r="E1768" s="12">
        <v>45674</v>
      </c>
      <c r="F1768" t="s">
        <v>2</v>
      </c>
    </row>
    <row r="1769" spans="1:6" x14ac:dyDescent="0.25">
      <c r="A1769" s="5">
        <v>24567540</v>
      </c>
      <c r="B1769" s="5" t="s">
        <v>401</v>
      </c>
      <c r="C1769" s="5" t="s">
        <v>12</v>
      </c>
      <c r="D1769" s="6">
        <v>45550</v>
      </c>
      <c r="E1769" s="12">
        <v>45674</v>
      </c>
      <c r="F1769" t="s">
        <v>2</v>
      </c>
    </row>
    <row r="1770" spans="1:6" x14ac:dyDescent="0.25">
      <c r="A1770" s="5">
        <v>24567541</v>
      </c>
      <c r="B1770" s="5" t="s">
        <v>400</v>
      </c>
      <c r="C1770" s="5" t="s">
        <v>12</v>
      </c>
      <c r="D1770" s="6">
        <v>45550</v>
      </c>
      <c r="E1770" s="12">
        <v>45674</v>
      </c>
      <c r="F1770" t="s">
        <v>2</v>
      </c>
    </row>
    <row r="1771" spans="1:6" x14ac:dyDescent="0.25">
      <c r="A1771" s="5">
        <v>24567542</v>
      </c>
      <c r="B1771" s="5" t="s">
        <v>400</v>
      </c>
      <c r="C1771" s="5" t="s">
        <v>12</v>
      </c>
      <c r="D1771" s="6">
        <v>45550</v>
      </c>
      <c r="E1771" s="12">
        <v>45674</v>
      </c>
      <c r="F1771" t="s">
        <v>2</v>
      </c>
    </row>
    <row r="1772" spans="1:6" x14ac:dyDescent="0.25">
      <c r="A1772" s="5">
        <v>24567543</v>
      </c>
      <c r="B1772" s="5" t="s">
        <v>400</v>
      </c>
      <c r="C1772" s="5" t="s">
        <v>12</v>
      </c>
      <c r="D1772" s="6">
        <v>45550</v>
      </c>
      <c r="E1772" s="12">
        <v>45674</v>
      </c>
      <c r="F1772" t="s">
        <v>2</v>
      </c>
    </row>
    <row r="1773" spans="1:6" x14ac:dyDescent="0.25">
      <c r="A1773" s="5">
        <v>24567544</v>
      </c>
      <c r="B1773" s="5" t="s">
        <v>401</v>
      </c>
      <c r="C1773" s="5" t="s">
        <v>12</v>
      </c>
      <c r="D1773" s="6">
        <v>45550</v>
      </c>
      <c r="E1773" s="12">
        <v>45674</v>
      </c>
      <c r="F1773" t="s">
        <v>2</v>
      </c>
    </row>
    <row r="1774" spans="1:6" x14ac:dyDescent="0.25">
      <c r="A1774" s="5">
        <v>24567545</v>
      </c>
      <c r="B1774" s="5" t="s">
        <v>400</v>
      </c>
      <c r="C1774" s="5" t="s">
        <v>12</v>
      </c>
      <c r="D1774" s="6">
        <v>45550</v>
      </c>
      <c r="E1774" s="12">
        <v>45674</v>
      </c>
      <c r="F1774" t="s">
        <v>2</v>
      </c>
    </row>
    <row r="1775" spans="1:6" x14ac:dyDescent="0.25">
      <c r="A1775" s="5">
        <v>24567546</v>
      </c>
      <c r="B1775" s="5" t="s">
        <v>401</v>
      </c>
      <c r="C1775" s="5" t="s">
        <v>18</v>
      </c>
      <c r="D1775" s="6">
        <v>45550</v>
      </c>
      <c r="E1775" s="12">
        <v>45674</v>
      </c>
      <c r="F1775" t="s">
        <v>2</v>
      </c>
    </row>
    <row r="1776" spans="1:6" x14ac:dyDescent="0.25">
      <c r="A1776" s="5">
        <v>24567547</v>
      </c>
      <c r="B1776" s="5" t="s">
        <v>401</v>
      </c>
      <c r="C1776" s="5" t="s">
        <v>24</v>
      </c>
      <c r="D1776" s="6">
        <v>45550</v>
      </c>
      <c r="E1776" s="12">
        <v>45674</v>
      </c>
      <c r="F1776" t="s">
        <v>2</v>
      </c>
    </row>
    <row r="1777" spans="1:6" x14ac:dyDescent="0.25">
      <c r="A1777" s="5">
        <v>24567548</v>
      </c>
      <c r="B1777" s="5" t="s">
        <v>401</v>
      </c>
      <c r="C1777" s="5" t="s">
        <v>12</v>
      </c>
      <c r="D1777" s="6">
        <v>45550</v>
      </c>
      <c r="E1777" s="12">
        <v>45674</v>
      </c>
      <c r="F1777" t="s">
        <v>2</v>
      </c>
    </row>
    <row r="1778" spans="1:6" x14ac:dyDescent="0.25">
      <c r="A1778" s="5">
        <v>24567549</v>
      </c>
      <c r="B1778" s="5" t="s">
        <v>401</v>
      </c>
      <c r="C1778" s="5" t="s">
        <v>12</v>
      </c>
      <c r="D1778" s="6">
        <v>45550</v>
      </c>
      <c r="E1778" s="12">
        <v>45674</v>
      </c>
      <c r="F1778" t="s">
        <v>2</v>
      </c>
    </row>
    <row r="1779" spans="1:6" x14ac:dyDescent="0.25">
      <c r="A1779" s="5">
        <v>24567550</v>
      </c>
      <c r="B1779" s="5" t="s">
        <v>401</v>
      </c>
      <c r="C1779" s="5" t="s">
        <v>12</v>
      </c>
      <c r="D1779" s="6">
        <v>45550</v>
      </c>
      <c r="E1779" s="12">
        <v>45674</v>
      </c>
      <c r="F1779" t="s">
        <v>2</v>
      </c>
    </row>
    <row r="1780" spans="1:6" x14ac:dyDescent="0.25">
      <c r="A1780" s="5">
        <v>24567551</v>
      </c>
      <c r="B1780" s="5" t="s">
        <v>400</v>
      </c>
      <c r="C1780" s="5" t="s">
        <v>12</v>
      </c>
      <c r="D1780" s="6">
        <v>45550</v>
      </c>
      <c r="E1780" s="12">
        <v>45674</v>
      </c>
      <c r="F1780" t="s">
        <v>2</v>
      </c>
    </row>
    <row r="1781" spans="1:6" x14ac:dyDescent="0.25">
      <c r="A1781" s="5">
        <v>24567552</v>
      </c>
      <c r="B1781" s="5" t="s">
        <v>401</v>
      </c>
      <c r="C1781" s="5" t="s">
        <v>12</v>
      </c>
      <c r="D1781" s="6">
        <v>45550</v>
      </c>
      <c r="E1781" s="12">
        <v>45674</v>
      </c>
      <c r="F1781" t="s">
        <v>2</v>
      </c>
    </row>
    <row r="1782" spans="1:6" x14ac:dyDescent="0.25">
      <c r="A1782" s="5">
        <v>24567553</v>
      </c>
      <c r="B1782" s="5" t="s">
        <v>400</v>
      </c>
      <c r="C1782" s="5" t="s">
        <v>12</v>
      </c>
      <c r="D1782" s="6">
        <v>45550</v>
      </c>
      <c r="E1782" s="12">
        <v>45674</v>
      </c>
      <c r="F1782" t="s">
        <v>2</v>
      </c>
    </row>
    <row r="1783" spans="1:6" x14ac:dyDescent="0.25">
      <c r="A1783" s="5">
        <v>24567554</v>
      </c>
      <c r="B1783" s="5" t="s">
        <v>401</v>
      </c>
      <c r="C1783" s="5" t="s">
        <v>18</v>
      </c>
      <c r="D1783" s="6">
        <v>45550</v>
      </c>
      <c r="E1783" s="12">
        <v>45674</v>
      </c>
      <c r="F1783" t="s">
        <v>2</v>
      </c>
    </row>
    <row r="1784" spans="1:6" x14ac:dyDescent="0.25">
      <c r="A1784" s="5">
        <v>24567555</v>
      </c>
      <c r="B1784" s="5" t="s">
        <v>400</v>
      </c>
      <c r="C1784" s="5" t="s">
        <v>12</v>
      </c>
      <c r="D1784" s="6">
        <v>45550</v>
      </c>
      <c r="E1784" s="12">
        <v>45674</v>
      </c>
      <c r="F1784" t="s">
        <v>2</v>
      </c>
    </row>
    <row r="1785" spans="1:6" x14ac:dyDescent="0.25">
      <c r="A1785" s="5">
        <v>24567556</v>
      </c>
      <c r="B1785" s="5" t="s">
        <v>400</v>
      </c>
      <c r="C1785" s="5" t="s">
        <v>12</v>
      </c>
      <c r="D1785" s="6">
        <v>45550</v>
      </c>
      <c r="E1785" s="12">
        <v>45674</v>
      </c>
      <c r="F1785" t="s">
        <v>2</v>
      </c>
    </row>
    <row r="1786" spans="1:6" x14ac:dyDescent="0.25">
      <c r="A1786" s="5">
        <v>24567557</v>
      </c>
      <c r="B1786" s="5" t="s">
        <v>400</v>
      </c>
      <c r="C1786" s="5" t="s">
        <v>12</v>
      </c>
      <c r="D1786" s="6">
        <v>45550</v>
      </c>
      <c r="E1786" s="12">
        <v>45674</v>
      </c>
      <c r="F1786" t="s">
        <v>2</v>
      </c>
    </row>
    <row r="1787" spans="1:6" x14ac:dyDescent="0.25">
      <c r="A1787" s="5">
        <v>24567558</v>
      </c>
      <c r="B1787" s="5" t="s">
        <v>401</v>
      </c>
      <c r="C1787" s="5" t="s">
        <v>12</v>
      </c>
      <c r="D1787" s="6">
        <v>45550</v>
      </c>
      <c r="E1787" s="12">
        <v>45674</v>
      </c>
      <c r="F1787" t="s">
        <v>2</v>
      </c>
    </row>
    <row r="1788" spans="1:6" x14ac:dyDescent="0.25">
      <c r="A1788" s="5">
        <v>24567559</v>
      </c>
      <c r="B1788" s="5" t="s">
        <v>401</v>
      </c>
      <c r="C1788" s="5" t="s">
        <v>18</v>
      </c>
      <c r="D1788" s="6">
        <v>45550</v>
      </c>
      <c r="E1788" s="12">
        <v>45674</v>
      </c>
      <c r="F1788" t="s">
        <v>2</v>
      </c>
    </row>
    <row r="1789" spans="1:6" x14ac:dyDescent="0.25">
      <c r="A1789" s="5">
        <v>24567560</v>
      </c>
      <c r="B1789" s="5" t="s">
        <v>401</v>
      </c>
      <c r="C1789" s="5" t="s">
        <v>12</v>
      </c>
      <c r="D1789" s="6">
        <v>45550</v>
      </c>
      <c r="E1789" s="12">
        <v>45674</v>
      </c>
      <c r="F1789" t="s">
        <v>2</v>
      </c>
    </row>
    <row r="1790" spans="1:6" x14ac:dyDescent="0.25">
      <c r="A1790" s="5">
        <v>24567561</v>
      </c>
      <c r="B1790" s="5" t="s">
        <v>401</v>
      </c>
      <c r="C1790" s="5" t="s">
        <v>12</v>
      </c>
      <c r="D1790" s="6">
        <v>45550</v>
      </c>
      <c r="E1790" s="12">
        <v>45674</v>
      </c>
      <c r="F1790" t="s">
        <v>2</v>
      </c>
    </row>
    <row r="1791" spans="1:6" x14ac:dyDescent="0.25">
      <c r="A1791" s="5">
        <v>24567562</v>
      </c>
      <c r="B1791" s="5" t="s">
        <v>400</v>
      </c>
      <c r="C1791" s="5" t="s">
        <v>12</v>
      </c>
      <c r="D1791" s="6">
        <v>45550</v>
      </c>
      <c r="E1791" s="12">
        <v>45674</v>
      </c>
      <c r="F1791" t="s">
        <v>2</v>
      </c>
    </row>
    <row r="1792" spans="1:6" x14ac:dyDescent="0.25">
      <c r="A1792" s="5">
        <v>24567563</v>
      </c>
      <c r="B1792" s="5" t="s">
        <v>400</v>
      </c>
      <c r="C1792" s="5" t="s">
        <v>12</v>
      </c>
      <c r="D1792" s="6">
        <v>45550</v>
      </c>
      <c r="E1792" s="12">
        <v>45674</v>
      </c>
      <c r="F1792" t="s">
        <v>2</v>
      </c>
    </row>
    <row r="1793" spans="1:6" x14ac:dyDescent="0.25">
      <c r="A1793" s="5">
        <v>24567564</v>
      </c>
      <c r="B1793" s="5" t="s">
        <v>401</v>
      </c>
      <c r="C1793" s="5" t="s">
        <v>12</v>
      </c>
      <c r="D1793" s="6">
        <v>45550</v>
      </c>
      <c r="E1793" s="12">
        <v>45674</v>
      </c>
      <c r="F1793" t="s">
        <v>2</v>
      </c>
    </row>
    <row r="1794" spans="1:6" x14ac:dyDescent="0.25">
      <c r="A1794" s="5">
        <v>24567565</v>
      </c>
      <c r="B1794" s="5" t="s">
        <v>400</v>
      </c>
      <c r="C1794" s="5" t="s">
        <v>12</v>
      </c>
      <c r="D1794" s="6">
        <v>45550</v>
      </c>
      <c r="E1794" s="12">
        <v>45674</v>
      </c>
      <c r="F1794" t="s">
        <v>2</v>
      </c>
    </row>
    <row r="1795" spans="1:6" x14ac:dyDescent="0.25">
      <c r="A1795" s="5">
        <v>24567566</v>
      </c>
      <c r="B1795" s="5" t="s">
        <v>401</v>
      </c>
      <c r="C1795" s="5" t="s">
        <v>12</v>
      </c>
      <c r="D1795" s="6">
        <v>45550</v>
      </c>
      <c r="E1795" s="12">
        <v>45674</v>
      </c>
      <c r="F1795" t="s">
        <v>2</v>
      </c>
    </row>
    <row r="1796" spans="1:6" x14ac:dyDescent="0.25">
      <c r="A1796" s="5">
        <v>24567567</v>
      </c>
      <c r="B1796" s="5" t="s">
        <v>401</v>
      </c>
      <c r="C1796" s="5" t="s">
        <v>18</v>
      </c>
      <c r="D1796" s="6">
        <v>45550</v>
      </c>
      <c r="E1796" s="12">
        <v>45674</v>
      </c>
      <c r="F1796" t="s">
        <v>2</v>
      </c>
    </row>
    <row r="1797" spans="1:6" x14ac:dyDescent="0.25">
      <c r="A1797" s="5">
        <v>24567568</v>
      </c>
      <c r="B1797" s="5" t="s">
        <v>401</v>
      </c>
      <c r="C1797" s="5" t="s">
        <v>12</v>
      </c>
      <c r="D1797" s="6">
        <v>45550</v>
      </c>
      <c r="E1797" s="12">
        <v>45674</v>
      </c>
      <c r="F1797" t="s">
        <v>2</v>
      </c>
    </row>
    <row r="1798" spans="1:6" x14ac:dyDescent="0.25">
      <c r="A1798" s="5">
        <v>24567569</v>
      </c>
      <c r="B1798" s="5" t="s">
        <v>400</v>
      </c>
      <c r="C1798" s="5" t="s">
        <v>12</v>
      </c>
      <c r="D1798" s="6">
        <v>45550</v>
      </c>
      <c r="E1798" s="12">
        <v>45674</v>
      </c>
      <c r="F1798" t="s">
        <v>2</v>
      </c>
    </row>
    <row r="1799" spans="1:6" x14ac:dyDescent="0.25">
      <c r="A1799" s="5">
        <v>24567570</v>
      </c>
      <c r="B1799" s="5" t="s">
        <v>401</v>
      </c>
      <c r="C1799" s="5" t="s">
        <v>12</v>
      </c>
      <c r="D1799" s="6">
        <v>45550</v>
      </c>
      <c r="E1799" s="12">
        <v>45674</v>
      </c>
      <c r="F1799" t="s">
        <v>2</v>
      </c>
    </row>
    <row r="1800" spans="1:6" x14ac:dyDescent="0.25">
      <c r="A1800" s="5">
        <v>24567571</v>
      </c>
      <c r="B1800" s="5" t="s">
        <v>400</v>
      </c>
      <c r="C1800" s="5" t="s">
        <v>12</v>
      </c>
      <c r="D1800" s="6">
        <v>45550</v>
      </c>
      <c r="E1800" s="12">
        <v>45674</v>
      </c>
      <c r="F1800" t="s">
        <v>2</v>
      </c>
    </row>
    <row r="1801" spans="1:6" x14ac:dyDescent="0.25">
      <c r="A1801" s="5">
        <v>24567572</v>
      </c>
      <c r="B1801" s="5" t="s">
        <v>401</v>
      </c>
      <c r="C1801" s="5" t="s">
        <v>12</v>
      </c>
      <c r="D1801" s="6">
        <v>45550</v>
      </c>
      <c r="E1801" s="12">
        <v>45674</v>
      </c>
      <c r="F1801" t="s">
        <v>2</v>
      </c>
    </row>
    <row r="1802" spans="1:6" x14ac:dyDescent="0.25">
      <c r="A1802" s="5">
        <v>24567573</v>
      </c>
      <c r="B1802" s="5" t="s">
        <v>401</v>
      </c>
      <c r="C1802" s="5" t="s">
        <v>12</v>
      </c>
      <c r="D1802" s="6">
        <v>45550</v>
      </c>
      <c r="E1802" s="12">
        <v>45674</v>
      </c>
      <c r="F1802" t="s">
        <v>2</v>
      </c>
    </row>
    <row r="1803" spans="1:6" x14ac:dyDescent="0.25">
      <c r="A1803" s="5">
        <v>24567574</v>
      </c>
      <c r="B1803" s="5" t="s">
        <v>401</v>
      </c>
      <c r="C1803" s="5" t="s">
        <v>18</v>
      </c>
      <c r="D1803" s="6">
        <v>45672</v>
      </c>
      <c r="E1803" s="12">
        <v>45674</v>
      </c>
      <c r="F1803" t="s">
        <v>2</v>
      </c>
    </row>
    <row r="1804" spans="1:6" x14ac:dyDescent="0.25">
      <c r="A1804" s="5">
        <v>24567575</v>
      </c>
      <c r="B1804" s="5" t="s">
        <v>400</v>
      </c>
      <c r="C1804" s="5" t="s">
        <v>12</v>
      </c>
      <c r="D1804" s="6">
        <v>45550</v>
      </c>
      <c r="E1804" s="12">
        <v>45674</v>
      </c>
      <c r="F1804" t="s">
        <v>2</v>
      </c>
    </row>
    <row r="1805" spans="1:6" x14ac:dyDescent="0.25">
      <c r="A1805" s="5">
        <v>24567576</v>
      </c>
      <c r="B1805" s="5" t="s">
        <v>400</v>
      </c>
      <c r="C1805" s="5" t="s">
        <v>12</v>
      </c>
      <c r="D1805" s="6">
        <v>45550</v>
      </c>
      <c r="E1805" s="12">
        <v>45674</v>
      </c>
      <c r="F1805" t="s">
        <v>2</v>
      </c>
    </row>
    <row r="1806" spans="1:6" x14ac:dyDescent="0.25">
      <c r="A1806" s="5">
        <v>24567577</v>
      </c>
      <c r="B1806" s="5" t="s">
        <v>400</v>
      </c>
      <c r="C1806" s="5" t="s">
        <v>12</v>
      </c>
      <c r="D1806" s="6">
        <v>45550</v>
      </c>
      <c r="E1806" s="12">
        <v>45674</v>
      </c>
      <c r="F1806" t="s">
        <v>2</v>
      </c>
    </row>
    <row r="1807" spans="1:6" x14ac:dyDescent="0.25">
      <c r="A1807" s="5">
        <v>24567578</v>
      </c>
      <c r="B1807" s="5" t="s">
        <v>401</v>
      </c>
      <c r="C1807" s="5" t="s">
        <v>18</v>
      </c>
      <c r="D1807" s="6">
        <v>45550</v>
      </c>
      <c r="E1807" s="12">
        <v>45674</v>
      </c>
      <c r="F1807" t="s">
        <v>2</v>
      </c>
    </row>
    <row r="1808" spans="1:6" x14ac:dyDescent="0.25">
      <c r="A1808" s="5">
        <v>24567579</v>
      </c>
      <c r="B1808" s="5" t="s">
        <v>401</v>
      </c>
      <c r="C1808" s="5" t="s">
        <v>12</v>
      </c>
      <c r="D1808" s="6">
        <v>45550</v>
      </c>
      <c r="E1808" s="12">
        <v>45674</v>
      </c>
      <c r="F1808" t="s">
        <v>2</v>
      </c>
    </row>
    <row r="1809" spans="1:6" x14ac:dyDescent="0.25">
      <c r="A1809" s="5">
        <v>24567580</v>
      </c>
      <c r="B1809" s="5" t="s">
        <v>401</v>
      </c>
      <c r="C1809" s="5" t="s">
        <v>12</v>
      </c>
      <c r="D1809" s="6">
        <v>45550</v>
      </c>
      <c r="E1809" s="12">
        <v>45674</v>
      </c>
      <c r="F1809" t="s">
        <v>2</v>
      </c>
    </row>
    <row r="1810" spans="1:6" x14ac:dyDescent="0.25">
      <c r="A1810" s="5">
        <v>24567581</v>
      </c>
      <c r="B1810" s="5" t="s">
        <v>400</v>
      </c>
      <c r="C1810" s="5" t="s">
        <v>12</v>
      </c>
      <c r="D1810" s="6">
        <v>45550</v>
      </c>
      <c r="E1810" s="12">
        <v>45674</v>
      </c>
      <c r="F1810" t="s">
        <v>2</v>
      </c>
    </row>
    <row r="1811" spans="1:6" x14ac:dyDescent="0.25">
      <c r="A1811" s="5">
        <v>24567582</v>
      </c>
      <c r="B1811" s="5" t="s">
        <v>401</v>
      </c>
      <c r="C1811" s="5" t="s">
        <v>12</v>
      </c>
      <c r="D1811" s="6">
        <v>45550</v>
      </c>
      <c r="E1811" s="12">
        <v>45674</v>
      </c>
      <c r="F1811" t="s">
        <v>2</v>
      </c>
    </row>
    <row r="1812" spans="1:6" x14ac:dyDescent="0.25">
      <c r="A1812" s="5">
        <v>24567583</v>
      </c>
      <c r="B1812" s="5" t="s">
        <v>401</v>
      </c>
      <c r="C1812" s="5" t="s">
        <v>18</v>
      </c>
      <c r="D1812" s="6">
        <v>45550</v>
      </c>
      <c r="E1812" s="12">
        <v>45674</v>
      </c>
      <c r="F1812" t="s">
        <v>2</v>
      </c>
    </row>
    <row r="1813" spans="1:6" x14ac:dyDescent="0.25">
      <c r="A1813" s="5">
        <v>24567584</v>
      </c>
      <c r="B1813" s="5" t="s">
        <v>401</v>
      </c>
      <c r="C1813" s="5" t="s">
        <v>12</v>
      </c>
      <c r="D1813" s="6">
        <v>45550</v>
      </c>
      <c r="E1813" s="12">
        <v>45674</v>
      </c>
      <c r="F1813" t="s">
        <v>2</v>
      </c>
    </row>
    <row r="1814" spans="1:6" x14ac:dyDescent="0.25">
      <c r="A1814" s="5">
        <v>24567587</v>
      </c>
      <c r="B1814" s="5" t="s">
        <v>400</v>
      </c>
      <c r="C1814" s="5" t="s">
        <v>12</v>
      </c>
      <c r="D1814" s="6">
        <v>45626</v>
      </c>
      <c r="E1814" s="12">
        <v>45748</v>
      </c>
      <c r="F1814" t="s">
        <v>0</v>
      </c>
    </row>
    <row r="1815" spans="1:6" x14ac:dyDescent="0.25">
      <c r="A1815" s="5">
        <v>24567585</v>
      </c>
      <c r="B1815" s="5" t="s">
        <v>401</v>
      </c>
      <c r="C1815" s="5" t="s">
        <v>12</v>
      </c>
      <c r="D1815" s="6">
        <v>45626</v>
      </c>
      <c r="E1815" s="12">
        <v>45755</v>
      </c>
      <c r="F1815" t="s">
        <v>0</v>
      </c>
    </row>
    <row r="1816" spans="1:6" x14ac:dyDescent="0.25">
      <c r="A1816" s="5">
        <v>24567586</v>
      </c>
      <c r="B1816" s="5" t="s">
        <v>401</v>
      </c>
      <c r="C1816" s="5" t="s">
        <v>12</v>
      </c>
      <c r="D1816" s="6">
        <v>45626</v>
      </c>
      <c r="E1816" s="12">
        <v>45755</v>
      </c>
      <c r="F1816" t="s">
        <v>0</v>
      </c>
    </row>
    <row r="1817" spans="1:6" x14ac:dyDescent="0.25">
      <c r="A1817" s="5">
        <v>23323664</v>
      </c>
      <c r="B1817" s="5" t="s">
        <v>400</v>
      </c>
      <c r="C1817" s="5" t="s">
        <v>12</v>
      </c>
      <c r="D1817" s="6">
        <v>44545</v>
      </c>
      <c r="E1817" s="12">
        <v>45773</v>
      </c>
      <c r="F1817" t="s">
        <v>0</v>
      </c>
    </row>
    <row r="1818" spans="1:6" x14ac:dyDescent="0.25">
      <c r="A1818" s="5">
        <v>24567588</v>
      </c>
      <c r="B1818" s="5" t="s">
        <v>401</v>
      </c>
      <c r="C1818" s="5" t="s">
        <v>12</v>
      </c>
      <c r="D1818" s="6">
        <v>45657</v>
      </c>
      <c r="E1818" s="12">
        <v>45773</v>
      </c>
      <c r="F1818" t="s">
        <v>0</v>
      </c>
    </row>
    <row r="1819" spans="1:6" x14ac:dyDescent="0.25">
      <c r="A1819" s="5">
        <v>24567589</v>
      </c>
      <c r="B1819" s="5" t="s">
        <v>401</v>
      </c>
      <c r="C1819" s="5" t="s">
        <v>12</v>
      </c>
      <c r="D1819" s="6">
        <v>45631</v>
      </c>
      <c r="E1819" s="12">
        <v>45773</v>
      </c>
      <c r="F1819" t="s">
        <v>0</v>
      </c>
    </row>
    <row r="1820" spans="1:6" x14ac:dyDescent="0.25">
      <c r="A1820" s="5">
        <v>20910762</v>
      </c>
      <c r="B1820" s="5" t="s">
        <v>400</v>
      </c>
      <c r="C1820" s="5" t="s">
        <v>12</v>
      </c>
      <c r="D1820" s="6">
        <v>44545</v>
      </c>
      <c r="E1820" s="12">
        <v>45774</v>
      </c>
      <c r="F1820" t="s">
        <v>0</v>
      </c>
    </row>
    <row r="1821" spans="1:6" x14ac:dyDescent="0.25">
      <c r="A1821" s="5">
        <v>23323637</v>
      </c>
      <c r="B1821" s="5" t="s">
        <v>400</v>
      </c>
      <c r="C1821" s="5" t="s">
        <v>12</v>
      </c>
      <c r="D1821" s="6">
        <v>44545</v>
      </c>
      <c r="E1821" s="12">
        <v>45774</v>
      </c>
      <c r="F1821" t="s">
        <v>0</v>
      </c>
    </row>
    <row r="1822" spans="1:6" x14ac:dyDescent="0.25">
      <c r="A1822" s="5">
        <v>23323665</v>
      </c>
      <c r="B1822" s="5" t="s">
        <v>400</v>
      </c>
      <c r="C1822" s="5" t="s">
        <v>12</v>
      </c>
      <c r="D1822" s="6">
        <v>44545</v>
      </c>
      <c r="E1822" s="12">
        <v>45774</v>
      </c>
      <c r="F1822" t="s">
        <v>0</v>
      </c>
    </row>
    <row r="1823" spans="1:6" x14ac:dyDescent="0.25">
      <c r="A1823" s="5">
        <v>24567590</v>
      </c>
      <c r="B1823" s="5" t="s">
        <v>401</v>
      </c>
      <c r="C1823" s="5" t="s">
        <v>12</v>
      </c>
      <c r="D1823" s="6">
        <v>45627</v>
      </c>
      <c r="E1823" s="12">
        <v>45774</v>
      </c>
      <c r="F1823" t="s">
        <v>0</v>
      </c>
    </row>
    <row r="1824" spans="1:6" x14ac:dyDescent="0.25">
      <c r="A1824" s="5">
        <v>24567591</v>
      </c>
      <c r="B1824" s="5" t="s">
        <v>400</v>
      </c>
      <c r="C1824" s="5" t="s">
        <v>18</v>
      </c>
      <c r="D1824" s="6">
        <v>45716</v>
      </c>
      <c r="E1824" s="12">
        <v>45774</v>
      </c>
      <c r="F1824" t="s">
        <v>0</v>
      </c>
    </row>
    <row r="1825" spans="1:7" x14ac:dyDescent="0.25">
      <c r="A1825" s="5">
        <v>24567592</v>
      </c>
      <c r="B1825" s="5" t="s">
        <v>401</v>
      </c>
      <c r="C1825" s="5" t="s">
        <v>18</v>
      </c>
      <c r="D1825" s="6">
        <v>45687</v>
      </c>
      <c r="E1825" s="12">
        <v>45774</v>
      </c>
      <c r="F1825" t="s">
        <v>0</v>
      </c>
    </row>
    <row r="1826" spans="1:7" x14ac:dyDescent="0.25">
      <c r="A1826" s="5">
        <v>24567593</v>
      </c>
      <c r="B1826" s="5" t="s">
        <v>400</v>
      </c>
      <c r="C1826" s="5" t="s">
        <v>18</v>
      </c>
      <c r="D1826" s="6">
        <v>45746</v>
      </c>
      <c r="E1826" s="12">
        <v>45774</v>
      </c>
      <c r="F1826" t="s">
        <v>0</v>
      </c>
    </row>
    <row r="1827" spans="1:7" x14ac:dyDescent="0.25">
      <c r="A1827" s="5">
        <v>24567594</v>
      </c>
      <c r="B1827" s="5" t="s">
        <v>400</v>
      </c>
      <c r="C1827" s="5" t="s">
        <v>12</v>
      </c>
      <c r="D1827" s="6">
        <v>45626</v>
      </c>
      <c r="E1827" s="12">
        <v>45774</v>
      </c>
      <c r="F1827" t="s">
        <v>0</v>
      </c>
    </row>
    <row r="1828" spans="1:7" x14ac:dyDescent="0.25">
      <c r="A1828" s="5">
        <v>24567595</v>
      </c>
      <c r="B1828" s="5" t="s">
        <v>400</v>
      </c>
      <c r="C1828" s="5" t="s">
        <v>12</v>
      </c>
      <c r="D1828" s="6">
        <v>45758</v>
      </c>
      <c r="E1828" s="12">
        <v>45774</v>
      </c>
      <c r="F1828" t="s">
        <v>0</v>
      </c>
    </row>
    <row r="1829" spans="1:7" x14ac:dyDescent="0.25">
      <c r="A1829" s="5">
        <v>24567596</v>
      </c>
      <c r="B1829" s="5" t="s">
        <v>400</v>
      </c>
      <c r="C1829" s="5" t="s">
        <v>12</v>
      </c>
      <c r="D1829" s="6">
        <v>45758</v>
      </c>
      <c r="E1829" s="12">
        <v>45774</v>
      </c>
      <c r="F1829" t="s">
        <v>0</v>
      </c>
    </row>
    <row r="1830" spans="1:7" x14ac:dyDescent="0.25">
      <c r="A1830" s="5">
        <v>24567597</v>
      </c>
      <c r="B1830" s="5" t="s">
        <v>401</v>
      </c>
      <c r="C1830" s="5" t="s">
        <v>79</v>
      </c>
      <c r="D1830" s="6">
        <v>45747</v>
      </c>
      <c r="E1830" s="12">
        <v>45774</v>
      </c>
      <c r="F1830" t="s">
        <v>0</v>
      </c>
    </row>
    <row r="1831" spans="1:7" x14ac:dyDescent="0.25">
      <c r="A1831" s="5">
        <v>24567598</v>
      </c>
      <c r="B1831" s="5" t="s">
        <v>400</v>
      </c>
      <c r="C1831" s="5" t="s">
        <v>18</v>
      </c>
      <c r="D1831" s="6">
        <v>45727</v>
      </c>
      <c r="E1831" s="12">
        <v>45774</v>
      </c>
      <c r="F1831" t="s">
        <v>0</v>
      </c>
    </row>
    <row r="1832" spans="1:7" x14ac:dyDescent="0.25">
      <c r="A1832" s="5">
        <v>24567599</v>
      </c>
      <c r="B1832" s="5" t="s">
        <v>400</v>
      </c>
      <c r="C1832" s="5" t="s">
        <v>18</v>
      </c>
      <c r="D1832" s="6">
        <v>45727</v>
      </c>
      <c r="E1832" s="12">
        <v>45774</v>
      </c>
      <c r="F1832" t="s">
        <v>0</v>
      </c>
    </row>
    <row r="1833" spans="1:7" x14ac:dyDescent="0.25">
      <c r="A1833" s="5">
        <v>24567600</v>
      </c>
      <c r="B1833" s="5" t="s">
        <v>400</v>
      </c>
      <c r="C1833" s="5" t="s">
        <v>12</v>
      </c>
      <c r="D1833" s="6">
        <v>45626</v>
      </c>
      <c r="E1833" s="12">
        <v>45774</v>
      </c>
      <c r="F1833" t="s">
        <v>0</v>
      </c>
    </row>
    <row r="1834" spans="1:7" x14ac:dyDescent="0.25">
      <c r="A1834" s="5">
        <v>24567601</v>
      </c>
      <c r="B1834" s="5" t="s">
        <v>400</v>
      </c>
      <c r="C1834" s="5" t="s">
        <v>12</v>
      </c>
      <c r="D1834" s="6">
        <v>45595</v>
      </c>
      <c r="E1834" s="12">
        <v>45774</v>
      </c>
      <c r="F1834" t="s">
        <v>0</v>
      </c>
    </row>
    <row r="1835" spans="1:7" x14ac:dyDescent="0.25">
      <c r="A1835" s="5">
        <v>24567602</v>
      </c>
      <c r="B1835" s="5" t="s">
        <v>400</v>
      </c>
      <c r="C1835" s="5" t="s">
        <v>12</v>
      </c>
      <c r="D1835" s="6">
        <v>45657</v>
      </c>
      <c r="E1835" s="12">
        <v>45774</v>
      </c>
      <c r="F1835" t="s">
        <v>0</v>
      </c>
    </row>
    <row r="1836" spans="1:7" x14ac:dyDescent="0.25">
      <c r="A1836" s="5">
        <v>24567603</v>
      </c>
      <c r="B1836" s="5" t="s">
        <v>400</v>
      </c>
      <c r="C1836" s="5" t="s">
        <v>12</v>
      </c>
      <c r="D1836" s="6">
        <v>45657</v>
      </c>
      <c r="E1836" s="12">
        <v>45774</v>
      </c>
      <c r="F1836" t="s">
        <v>0</v>
      </c>
    </row>
    <row r="1837" spans="1:7" x14ac:dyDescent="0.25">
      <c r="A1837" s="5">
        <v>24567604</v>
      </c>
      <c r="B1837" s="5" t="s">
        <v>400</v>
      </c>
      <c r="C1837" s="5" t="s">
        <v>12</v>
      </c>
      <c r="D1837" s="6">
        <v>45657</v>
      </c>
      <c r="E1837" s="12">
        <v>45774</v>
      </c>
      <c r="F1837" t="s">
        <v>0</v>
      </c>
    </row>
    <row r="1838" spans="1:7" x14ac:dyDescent="0.25">
      <c r="A1838" s="5">
        <v>24567605</v>
      </c>
      <c r="B1838" s="5" t="s">
        <v>400</v>
      </c>
      <c r="C1838" s="5" t="s">
        <v>12</v>
      </c>
      <c r="D1838" s="6">
        <v>45657</v>
      </c>
      <c r="E1838" s="12">
        <v>45774</v>
      </c>
      <c r="F1838" t="s">
        <v>0</v>
      </c>
    </row>
    <row r="1839" spans="1:7" x14ac:dyDescent="0.25">
      <c r="A1839" s="5">
        <v>24567606</v>
      </c>
      <c r="B1839" s="5" t="s">
        <v>401</v>
      </c>
      <c r="C1839" s="5" t="s">
        <v>12</v>
      </c>
      <c r="D1839" s="6">
        <v>45626</v>
      </c>
      <c r="E1839" s="12">
        <v>45787</v>
      </c>
      <c r="F1839" t="s">
        <v>2</v>
      </c>
      <c r="G1839" s="14"/>
    </row>
    <row r="1840" spans="1:7" x14ac:dyDescent="0.25">
      <c r="A1840" s="5">
        <v>23323672</v>
      </c>
      <c r="B1840" s="5" t="s">
        <v>401</v>
      </c>
      <c r="C1840" s="5" t="s">
        <v>12</v>
      </c>
      <c r="D1840" s="6">
        <v>45641</v>
      </c>
      <c r="E1840" s="12">
        <v>45955</v>
      </c>
      <c r="F1840" t="s">
        <v>0</v>
      </c>
    </row>
    <row r="1841" spans="1:6" x14ac:dyDescent="0.25">
      <c r="A1841" s="5">
        <v>26234001</v>
      </c>
      <c r="B1841" s="5" t="s">
        <v>400</v>
      </c>
      <c r="C1841" s="5" t="s">
        <v>12</v>
      </c>
      <c r="D1841" s="6">
        <v>45930</v>
      </c>
      <c r="E1841" s="12">
        <v>45965</v>
      </c>
      <c r="F1841" t="s">
        <v>0</v>
      </c>
    </row>
    <row r="1842" spans="1:6" x14ac:dyDescent="0.25">
      <c r="A1842" s="5">
        <v>26234002</v>
      </c>
      <c r="B1842" s="5" t="s">
        <v>400</v>
      </c>
      <c r="C1842" s="5" t="s">
        <v>12</v>
      </c>
      <c r="D1842" s="6">
        <v>45935</v>
      </c>
      <c r="E1842" s="12">
        <v>45965</v>
      </c>
      <c r="F1842" t="s">
        <v>0</v>
      </c>
    </row>
    <row r="1843" spans="1:6" x14ac:dyDescent="0.25">
      <c r="A1843" s="5">
        <v>26234003</v>
      </c>
      <c r="B1843" s="5" t="s">
        <v>401</v>
      </c>
      <c r="C1843" s="5" t="s">
        <v>12</v>
      </c>
      <c r="D1843" s="6">
        <v>45935</v>
      </c>
      <c r="E1843" s="12">
        <v>45965</v>
      </c>
      <c r="F1843" t="s">
        <v>0</v>
      </c>
    </row>
    <row r="1844" spans="1:6" x14ac:dyDescent="0.25">
      <c r="A1844" s="5">
        <v>26234004</v>
      </c>
      <c r="B1844" s="5" t="s">
        <v>401</v>
      </c>
      <c r="C1844" s="5" t="s">
        <v>12</v>
      </c>
      <c r="D1844" s="6">
        <v>45935</v>
      </c>
      <c r="E1844" s="12">
        <v>45965</v>
      </c>
      <c r="F1844" t="s">
        <v>0</v>
      </c>
    </row>
    <row r="1845" spans="1:6" x14ac:dyDescent="0.25">
      <c r="A1845" s="5">
        <v>26234005</v>
      </c>
      <c r="B1845" s="5" t="s">
        <v>401</v>
      </c>
      <c r="C1845" s="5" t="s">
        <v>18</v>
      </c>
      <c r="D1845" s="6">
        <v>45935</v>
      </c>
      <c r="E1845" s="12">
        <v>45965</v>
      </c>
      <c r="F1845" t="s">
        <v>0</v>
      </c>
    </row>
    <row r="1846" spans="1:6" x14ac:dyDescent="0.25">
      <c r="A1846" s="5">
        <v>26234006</v>
      </c>
      <c r="B1846" s="5" t="s">
        <v>401</v>
      </c>
      <c r="C1846" s="5" t="s">
        <v>12</v>
      </c>
      <c r="D1846" s="6">
        <v>45935</v>
      </c>
      <c r="E1846" s="12">
        <v>45965</v>
      </c>
      <c r="F1846" t="s">
        <v>0</v>
      </c>
    </row>
    <row r="1847" spans="1:6" x14ac:dyDescent="0.25">
      <c r="A1847" s="5">
        <v>26234007</v>
      </c>
      <c r="B1847" s="5" t="s">
        <v>401</v>
      </c>
      <c r="C1847" s="5" t="s">
        <v>12</v>
      </c>
      <c r="D1847" s="6">
        <v>45935</v>
      </c>
      <c r="E1847" s="12">
        <v>45965</v>
      </c>
      <c r="F1847" t="s">
        <v>0</v>
      </c>
    </row>
    <row r="1848" spans="1:6" x14ac:dyDescent="0.25">
      <c r="A1848" s="5">
        <v>26234008</v>
      </c>
      <c r="B1848" s="5" t="s">
        <v>401</v>
      </c>
      <c r="C1848" s="5" t="s">
        <v>12</v>
      </c>
      <c r="D1848" s="6">
        <v>45935</v>
      </c>
      <c r="E1848" s="12">
        <v>45965</v>
      </c>
      <c r="F1848" t="s">
        <v>0</v>
      </c>
    </row>
    <row r="1849" spans="1:6" x14ac:dyDescent="0.25">
      <c r="A1849" s="5">
        <v>26234009</v>
      </c>
      <c r="B1849" s="5" t="s">
        <v>401</v>
      </c>
      <c r="C1849" s="5" t="s">
        <v>12</v>
      </c>
      <c r="D1849" s="6">
        <v>45935</v>
      </c>
      <c r="E1849" s="12">
        <v>45965</v>
      </c>
      <c r="F1849" t="s">
        <v>0</v>
      </c>
    </row>
    <row r="1850" spans="1:6" x14ac:dyDescent="0.25">
      <c r="A1850" s="5">
        <v>26234010</v>
      </c>
      <c r="B1850" s="5" t="s">
        <v>401</v>
      </c>
      <c r="C1850" s="5" t="s">
        <v>12</v>
      </c>
      <c r="D1850" s="6">
        <v>45935</v>
      </c>
      <c r="E1850" s="12">
        <v>45965</v>
      </c>
      <c r="F1850" t="s">
        <v>0</v>
      </c>
    </row>
    <row r="1851" spans="1:6" x14ac:dyDescent="0.25">
      <c r="A1851" s="5">
        <v>26234011</v>
      </c>
      <c r="B1851" s="5" t="s">
        <v>401</v>
      </c>
      <c r="C1851" s="5" t="s">
        <v>18</v>
      </c>
      <c r="D1851" s="6">
        <v>45935</v>
      </c>
      <c r="E1851" s="12">
        <v>45965</v>
      </c>
      <c r="F1851" t="s">
        <v>0</v>
      </c>
    </row>
    <row r="1852" spans="1:6" x14ac:dyDescent="0.25">
      <c r="A1852" s="5">
        <v>26234012</v>
      </c>
      <c r="B1852" s="5" t="s">
        <v>400</v>
      </c>
      <c r="C1852" s="5" t="s">
        <v>12</v>
      </c>
      <c r="D1852" s="6">
        <v>45935</v>
      </c>
      <c r="E1852" s="12">
        <v>45965</v>
      </c>
      <c r="F1852" t="s">
        <v>0</v>
      </c>
    </row>
    <row r="1853" spans="1:6" x14ac:dyDescent="0.25">
      <c r="A1853" s="5">
        <v>26234013</v>
      </c>
      <c r="B1853" s="5" t="s">
        <v>400</v>
      </c>
      <c r="C1853" s="5" t="s">
        <v>12</v>
      </c>
      <c r="D1853" s="6">
        <v>45899</v>
      </c>
      <c r="E1853" s="12">
        <v>45965</v>
      </c>
      <c r="F1853" t="s">
        <v>0</v>
      </c>
    </row>
    <row r="1854" spans="1:6" x14ac:dyDescent="0.25">
      <c r="A1854" s="5">
        <v>26234014</v>
      </c>
      <c r="B1854" s="5" t="s">
        <v>400</v>
      </c>
      <c r="C1854" s="5" t="s">
        <v>12</v>
      </c>
      <c r="D1854" s="6">
        <v>45935</v>
      </c>
      <c r="E1854" s="12">
        <v>45965</v>
      </c>
      <c r="F1854" t="s">
        <v>0</v>
      </c>
    </row>
    <row r="1855" spans="1:6" x14ac:dyDescent="0.25">
      <c r="A1855" s="5">
        <v>26234015</v>
      </c>
      <c r="B1855" s="5" t="s">
        <v>400</v>
      </c>
      <c r="C1855" s="5" t="s">
        <v>12</v>
      </c>
      <c r="D1855" s="6">
        <v>45899</v>
      </c>
      <c r="E1855" s="12">
        <v>45965</v>
      </c>
      <c r="F1855" t="s">
        <v>0</v>
      </c>
    </row>
    <row r="1856" spans="1:6" x14ac:dyDescent="0.25">
      <c r="A1856" s="5">
        <v>26234016</v>
      </c>
      <c r="B1856" s="5" t="s">
        <v>400</v>
      </c>
      <c r="C1856" s="5" t="s">
        <v>79</v>
      </c>
      <c r="D1856" s="6">
        <v>45899</v>
      </c>
      <c r="E1856" s="12">
        <v>45965</v>
      </c>
      <c r="F1856" t="s">
        <v>0</v>
      </c>
    </row>
    <row r="1857" spans="1:6" x14ac:dyDescent="0.25">
      <c r="A1857" s="5">
        <v>26234017</v>
      </c>
      <c r="B1857" s="5" t="s">
        <v>401</v>
      </c>
      <c r="C1857" s="5" t="s">
        <v>12</v>
      </c>
      <c r="D1857" s="6">
        <v>45935</v>
      </c>
      <c r="E1857" s="12">
        <v>45965</v>
      </c>
      <c r="F1857" t="s">
        <v>0</v>
      </c>
    </row>
    <row r="1858" spans="1:6" x14ac:dyDescent="0.25">
      <c r="A1858" s="5">
        <v>26234018</v>
      </c>
      <c r="B1858" s="5" t="s">
        <v>401</v>
      </c>
      <c r="C1858" s="5" t="s">
        <v>12</v>
      </c>
      <c r="D1858" s="6">
        <v>45935</v>
      </c>
      <c r="E1858" s="12">
        <v>45965</v>
      </c>
      <c r="F1858" t="s">
        <v>0</v>
      </c>
    </row>
    <row r="1859" spans="1:6" x14ac:dyDescent="0.25">
      <c r="A1859" s="5">
        <v>26234019</v>
      </c>
      <c r="B1859" s="5" t="s">
        <v>400</v>
      </c>
      <c r="C1859" s="5" t="s">
        <v>12</v>
      </c>
      <c r="D1859" s="6">
        <v>45935</v>
      </c>
      <c r="E1859" s="12">
        <v>45965</v>
      </c>
      <c r="F1859" t="s">
        <v>0</v>
      </c>
    </row>
    <row r="1860" spans="1:6" x14ac:dyDescent="0.25">
      <c r="A1860" s="5">
        <v>26234020</v>
      </c>
      <c r="B1860" s="5" t="s">
        <v>401</v>
      </c>
      <c r="C1860" s="5" t="s">
        <v>12</v>
      </c>
      <c r="D1860" s="6">
        <v>45935</v>
      </c>
      <c r="E1860" s="12">
        <v>45965</v>
      </c>
      <c r="F1860" t="s">
        <v>0</v>
      </c>
    </row>
    <row r="1861" spans="1:6" x14ac:dyDescent="0.25">
      <c r="A1861" s="5">
        <v>26234021</v>
      </c>
      <c r="B1861" s="5" t="s">
        <v>400</v>
      </c>
      <c r="C1861" s="5" t="s">
        <v>12</v>
      </c>
      <c r="D1861" s="6">
        <v>45899</v>
      </c>
      <c r="E1861" s="12">
        <v>45965</v>
      </c>
      <c r="F1861" t="s">
        <v>0</v>
      </c>
    </row>
    <row r="1862" spans="1:6" x14ac:dyDescent="0.25">
      <c r="A1862" s="5">
        <v>26234022</v>
      </c>
      <c r="B1862" s="5" t="s">
        <v>400</v>
      </c>
      <c r="C1862" s="5" t="s">
        <v>12</v>
      </c>
      <c r="D1862" s="6">
        <v>45899</v>
      </c>
      <c r="E1862" s="12">
        <v>45965</v>
      </c>
      <c r="F1862" t="s">
        <v>0</v>
      </c>
    </row>
    <row r="1863" spans="1:6" x14ac:dyDescent="0.25">
      <c r="A1863" s="5">
        <v>26234023</v>
      </c>
      <c r="B1863" s="5" t="s">
        <v>401</v>
      </c>
      <c r="C1863" s="5" t="s">
        <v>12</v>
      </c>
      <c r="D1863" s="6">
        <v>45899</v>
      </c>
      <c r="E1863" s="12">
        <v>45965</v>
      </c>
      <c r="F1863" t="s">
        <v>0</v>
      </c>
    </row>
    <row r="1864" spans="1:6" x14ac:dyDescent="0.25">
      <c r="A1864" s="5">
        <v>26234024</v>
      </c>
      <c r="B1864" s="5" t="s">
        <v>400</v>
      </c>
      <c r="C1864" s="5" t="s">
        <v>12</v>
      </c>
      <c r="D1864" s="6">
        <v>45935</v>
      </c>
      <c r="E1864" s="12">
        <v>45965</v>
      </c>
      <c r="F1864" t="s">
        <v>0</v>
      </c>
    </row>
    <row r="1865" spans="1:6" x14ac:dyDescent="0.25">
      <c r="A1865" s="5">
        <v>26234025</v>
      </c>
      <c r="B1865" s="5" t="s">
        <v>401</v>
      </c>
      <c r="C1865" s="5" t="s">
        <v>12</v>
      </c>
      <c r="D1865" s="6">
        <v>45935</v>
      </c>
      <c r="E1865" s="12">
        <v>45965</v>
      </c>
      <c r="F1865" t="s">
        <v>0</v>
      </c>
    </row>
    <row r="1866" spans="1:6" x14ac:dyDescent="0.25">
      <c r="A1866" s="5">
        <v>26234026</v>
      </c>
      <c r="B1866" s="5" t="s">
        <v>400</v>
      </c>
      <c r="C1866" s="5" t="s">
        <v>12</v>
      </c>
      <c r="D1866" s="6">
        <v>45935</v>
      </c>
      <c r="E1866" s="12">
        <v>45965</v>
      </c>
      <c r="F1866" t="s">
        <v>0</v>
      </c>
    </row>
    <row r="1867" spans="1:6" x14ac:dyDescent="0.25">
      <c r="A1867" s="5">
        <v>26234027</v>
      </c>
      <c r="B1867" s="5" t="s">
        <v>401</v>
      </c>
      <c r="C1867" s="5" t="s">
        <v>12</v>
      </c>
      <c r="D1867" s="6">
        <v>45935</v>
      </c>
      <c r="E1867" s="12">
        <v>45965</v>
      </c>
      <c r="F1867" t="s">
        <v>0</v>
      </c>
    </row>
    <row r="1868" spans="1:6" x14ac:dyDescent="0.25">
      <c r="A1868" s="5">
        <v>26234028</v>
      </c>
      <c r="B1868" s="5" t="s">
        <v>400</v>
      </c>
      <c r="C1868" s="5" t="s">
        <v>12</v>
      </c>
      <c r="D1868" s="6">
        <v>45935</v>
      </c>
      <c r="E1868" s="12">
        <v>45965</v>
      </c>
      <c r="F1868" t="s">
        <v>0</v>
      </c>
    </row>
    <row r="1869" spans="1:6" x14ac:dyDescent="0.25">
      <c r="A1869" s="5">
        <v>26234029</v>
      </c>
      <c r="B1869" s="5" t="s">
        <v>401</v>
      </c>
      <c r="C1869" s="5" t="s">
        <v>18</v>
      </c>
      <c r="D1869" s="6">
        <v>45935</v>
      </c>
      <c r="E1869" s="12">
        <v>45965</v>
      </c>
      <c r="F1869" t="s">
        <v>0</v>
      </c>
    </row>
    <row r="1870" spans="1:6" x14ac:dyDescent="0.25">
      <c r="A1870" s="5">
        <v>26234030</v>
      </c>
      <c r="B1870" s="5" t="s">
        <v>400</v>
      </c>
      <c r="C1870" s="5" t="s">
        <v>12</v>
      </c>
      <c r="D1870" s="6">
        <v>45935</v>
      </c>
      <c r="E1870" s="12">
        <v>45965</v>
      </c>
      <c r="F1870" t="s">
        <v>0</v>
      </c>
    </row>
    <row r="1871" spans="1:6" x14ac:dyDescent="0.25">
      <c r="A1871" s="5">
        <v>26234031</v>
      </c>
      <c r="B1871" s="5" t="s">
        <v>400</v>
      </c>
      <c r="C1871" s="5" t="s">
        <v>12</v>
      </c>
      <c r="D1871" s="6">
        <v>45935</v>
      </c>
      <c r="E1871" s="12">
        <v>45965</v>
      </c>
      <c r="F1871" t="s">
        <v>0</v>
      </c>
    </row>
    <row r="1872" spans="1:6" x14ac:dyDescent="0.25">
      <c r="A1872" s="5">
        <v>26234032</v>
      </c>
      <c r="B1872" s="5" t="s">
        <v>401</v>
      </c>
      <c r="C1872" s="5" t="s">
        <v>12</v>
      </c>
      <c r="D1872" s="6">
        <v>45935</v>
      </c>
      <c r="E1872" s="12">
        <v>45965</v>
      </c>
      <c r="F1872" t="s">
        <v>0</v>
      </c>
    </row>
    <row r="1873" spans="1:6" x14ac:dyDescent="0.25">
      <c r="A1873" s="5">
        <v>26234033</v>
      </c>
      <c r="B1873" s="5" t="s">
        <v>401</v>
      </c>
      <c r="C1873" s="5" t="s">
        <v>79</v>
      </c>
      <c r="D1873" s="6">
        <v>45935</v>
      </c>
      <c r="E1873" s="12">
        <v>45966</v>
      </c>
      <c r="F1873" t="s">
        <v>0</v>
      </c>
    </row>
    <row r="1874" spans="1:6" x14ac:dyDescent="0.25">
      <c r="A1874" s="5">
        <v>26234034</v>
      </c>
      <c r="B1874" s="5" t="s">
        <v>400</v>
      </c>
      <c r="C1874" s="5" t="s">
        <v>12</v>
      </c>
      <c r="D1874" s="6">
        <v>45935</v>
      </c>
      <c r="E1874" s="12">
        <v>45966</v>
      </c>
      <c r="F1874" t="s">
        <v>0</v>
      </c>
    </row>
    <row r="1875" spans="1:6" x14ac:dyDescent="0.25">
      <c r="A1875" s="5">
        <v>26234035</v>
      </c>
      <c r="B1875" s="5" t="s">
        <v>400</v>
      </c>
      <c r="C1875" s="5" t="s">
        <v>12</v>
      </c>
      <c r="D1875" s="6">
        <v>45935</v>
      </c>
      <c r="E1875" s="12">
        <v>45966</v>
      </c>
      <c r="F1875" t="s">
        <v>0</v>
      </c>
    </row>
    <row r="1876" spans="1:6" x14ac:dyDescent="0.25">
      <c r="A1876" s="5">
        <v>26234036</v>
      </c>
      <c r="B1876" s="5" t="s">
        <v>401</v>
      </c>
      <c r="C1876" s="5" t="s">
        <v>12</v>
      </c>
      <c r="D1876" s="6">
        <v>45935</v>
      </c>
      <c r="E1876" s="12">
        <v>45966</v>
      </c>
      <c r="F1876" t="s">
        <v>0</v>
      </c>
    </row>
    <row r="1877" spans="1:6" x14ac:dyDescent="0.25">
      <c r="A1877" s="5">
        <v>26234037</v>
      </c>
      <c r="B1877" s="5" t="s">
        <v>400</v>
      </c>
      <c r="C1877" s="5" t="s">
        <v>12</v>
      </c>
      <c r="D1877" s="6">
        <v>45935</v>
      </c>
      <c r="E1877" s="12">
        <v>45966</v>
      </c>
      <c r="F1877" t="s">
        <v>0</v>
      </c>
    </row>
    <row r="1878" spans="1:6" x14ac:dyDescent="0.25">
      <c r="A1878" s="5">
        <v>26234038</v>
      </c>
      <c r="B1878" s="5" t="s">
        <v>401</v>
      </c>
      <c r="C1878" s="5" t="s">
        <v>12</v>
      </c>
      <c r="D1878" s="6">
        <v>45935</v>
      </c>
      <c r="E1878" s="12">
        <v>45966</v>
      </c>
      <c r="F1878" t="s">
        <v>0</v>
      </c>
    </row>
    <row r="1879" spans="1:6" x14ac:dyDescent="0.25">
      <c r="A1879" s="5">
        <v>26234039</v>
      </c>
      <c r="B1879" s="5" t="s">
        <v>400</v>
      </c>
      <c r="C1879" s="5" t="s">
        <v>12</v>
      </c>
      <c r="D1879" s="6">
        <v>45935</v>
      </c>
      <c r="E1879" s="12">
        <v>45966</v>
      </c>
      <c r="F1879" t="s">
        <v>0</v>
      </c>
    </row>
    <row r="1880" spans="1:6" x14ac:dyDescent="0.25">
      <c r="A1880" s="5">
        <v>26234040</v>
      </c>
      <c r="B1880" s="5" t="s">
        <v>400</v>
      </c>
      <c r="C1880" s="5" t="s">
        <v>18</v>
      </c>
      <c r="D1880" s="6">
        <v>45935</v>
      </c>
      <c r="E1880" s="12">
        <v>45966</v>
      </c>
      <c r="F1880" t="s">
        <v>0</v>
      </c>
    </row>
    <row r="1881" spans="1:6" x14ac:dyDescent="0.25">
      <c r="A1881" s="5">
        <v>26234041</v>
      </c>
      <c r="B1881" s="5" t="s">
        <v>400</v>
      </c>
      <c r="C1881" s="5" t="s">
        <v>12</v>
      </c>
      <c r="D1881" s="6">
        <v>45935</v>
      </c>
      <c r="E1881" s="12">
        <v>45966</v>
      </c>
      <c r="F1881" t="s">
        <v>0</v>
      </c>
    </row>
    <row r="1882" spans="1:6" x14ac:dyDescent="0.25">
      <c r="A1882" s="5">
        <v>26234042</v>
      </c>
      <c r="B1882" s="5" t="s">
        <v>400</v>
      </c>
      <c r="C1882" s="5" t="s">
        <v>12</v>
      </c>
      <c r="D1882" s="6">
        <v>45935</v>
      </c>
      <c r="E1882" s="12">
        <v>45966</v>
      </c>
      <c r="F1882" t="s">
        <v>0</v>
      </c>
    </row>
    <row r="1883" spans="1:6" x14ac:dyDescent="0.25">
      <c r="A1883" s="5">
        <v>26234043</v>
      </c>
      <c r="B1883" s="5" t="s">
        <v>401</v>
      </c>
      <c r="C1883" s="5" t="s">
        <v>12</v>
      </c>
      <c r="D1883" s="6">
        <v>45935</v>
      </c>
      <c r="E1883" s="12">
        <v>45966</v>
      </c>
      <c r="F1883" t="s">
        <v>0</v>
      </c>
    </row>
    <row r="1884" spans="1:6" x14ac:dyDescent="0.25">
      <c r="A1884" s="5">
        <v>26234044</v>
      </c>
      <c r="B1884" s="5" t="s">
        <v>401</v>
      </c>
      <c r="C1884" s="5" t="s">
        <v>18</v>
      </c>
      <c r="D1884" s="6">
        <v>45935</v>
      </c>
      <c r="E1884" s="12">
        <v>45966</v>
      </c>
      <c r="F1884" t="s">
        <v>0</v>
      </c>
    </row>
    <row r="1885" spans="1:6" x14ac:dyDescent="0.25">
      <c r="A1885" s="5">
        <v>26234045</v>
      </c>
      <c r="B1885" s="5" t="s">
        <v>401</v>
      </c>
      <c r="C1885" s="5" t="s">
        <v>18</v>
      </c>
      <c r="D1885" s="6">
        <v>45935</v>
      </c>
      <c r="E1885" s="12">
        <v>45966</v>
      </c>
      <c r="F1885" t="s">
        <v>0</v>
      </c>
    </row>
    <row r="1886" spans="1:6" x14ac:dyDescent="0.25">
      <c r="A1886" s="5">
        <v>26234046</v>
      </c>
      <c r="B1886" s="5" t="s">
        <v>400</v>
      </c>
      <c r="C1886" s="5" t="s">
        <v>18</v>
      </c>
      <c r="D1886" s="6">
        <v>45935</v>
      </c>
      <c r="E1886" s="12">
        <v>45966</v>
      </c>
      <c r="F1886" t="s">
        <v>0</v>
      </c>
    </row>
    <row r="1887" spans="1:6" x14ac:dyDescent="0.25">
      <c r="A1887" s="5">
        <v>26234047</v>
      </c>
      <c r="B1887" s="5" t="s">
        <v>400</v>
      </c>
      <c r="C1887" s="5" t="s">
        <v>12</v>
      </c>
      <c r="D1887" s="6">
        <v>45935</v>
      </c>
      <c r="E1887" s="12">
        <v>45966</v>
      </c>
      <c r="F1887" t="s">
        <v>0</v>
      </c>
    </row>
    <row r="1888" spans="1:6" x14ac:dyDescent="0.25">
      <c r="A1888" s="5">
        <v>26234048</v>
      </c>
      <c r="B1888" s="5" t="s">
        <v>400</v>
      </c>
      <c r="C1888" s="5" t="s">
        <v>12</v>
      </c>
      <c r="D1888" s="6">
        <v>45935</v>
      </c>
      <c r="E1888" s="12">
        <v>45966</v>
      </c>
      <c r="F1888" t="s">
        <v>0</v>
      </c>
    </row>
    <row r="1889" spans="1:6" x14ac:dyDescent="0.25">
      <c r="A1889" s="5">
        <v>26234049</v>
      </c>
      <c r="B1889" s="5" t="s">
        <v>400</v>
      </c>
      <c r="C1889" s="5" t="s">
        <v>18</v>
      </c>
      <c r="D1889" s="6">
        <v>45935</v>
      </c>
      <c r="E1889" s="12">
        <v>45966</v>
      </c>
      <c r="F1889" t="s">
        <v>0</v>
      </c>
    </row>
    <row r="1890" spans="1:6" x14ac:dyDescent="0.25">
      <c r="A1890" s="5">
        <v>26234050</v>
      </c>
      <c r="B1890" s="5" t="s">
        <v>400</v>
      </c>
      <c r="C1890" s="5" t="s">
        <v>18</v>
      </c>
      <c r="D1890" s="6">
        <v>45935</v>
      </c>
      <c r="E1890" s="12">
        <v>45966</v>
      </c>
      <c r="F1890" t="s">
        <v>0</v>
      </c>
    </row>
    <row r="1891" spans="1:6" x14ac:dyDescent="0.25">
      <c r="A1891" s="5">
        <v>26234051</v>
      </c>
      <c r="B1891" s="5" t="s">
        <v>401</v>
      </c>
      <c r="C1891" s="5" t="s">
        <v>12</v>
      </c>
      <c r="D1891" s="6">
        <v>45935</v>
      </c>
      <c r="E1891" s="12">
        <v>45966</v>
      </c>
      <c r="F1891" t="s">
        <v>0</v>
      </c>
    </row>
    <row r="1892" spans="1:6" x14ac:dyDescent="0.25">
      <c r="A1892" s="5">
        <v>26234052</v>
      </c>
      <c r="B1892" s="5" t="s">
        <v>400</v>
      </c>
      <c r="C1892" s="5" t="s">
        <v>12</v>
      </c>
      <c r="D1892" s="6">
        <v>45935</v>
      </c>
      <c r="E1892" s="12">
        <v>45966</v>
      </c>
      <c r="F1892" t="s">
        <v>0</v>
      </c>
    </row>
    <row r="1893" spans="1:6" x14ac:dyDescent="0.25">
      <c r="A1893" s="5">
        <v>26234053</v>
      </c>
      <c r="B1893" s="5" t="s">
        <v>400</v>
      </c>
      <c r="C1893" s="5" t="s">
        <v>12</v>
      </c>
      <c r="D1893" s="6">
        <v>45935</v>
      </c>
      <c r="E1893" s="12">
        <v>45966</v>
      </c>
      <c r="F1893" t="s">
        <v>0</v>
      </c>
    </row>
    <row r="1894" spans="1:6" x14ac:dyDescent="0.25">
      <c r="A1894" s="5">
        <v>26234054</v>
      </c>
      <c r="B1894" s="5" t="s">
        <v>401</v>
      </c>
      <c r="C1894" s="5" t="s">
        <v>18</v>
      </c>
      <c r="D1894" s="6">
        <v>45727</v>
      </c>
      <c r="E1894" s="12">
        <v>45966</v>
      </c>
      <c r="F1894" t="s">
        <v>0</v>
      </c>
    </row>
    <row r="1895" spans="1:6" x14ac:dyDescent="0.25">
      <c r="A1895" s="5">
        <v>26234055</v>
      </c>
      <c r="B1895" s="5" t="s">
        <v>401</v>
      </c>
      <c r="C1895" s="5" t="s">
        <v>12</v>
      </c>
      <c r="D1895" s="6">
        <v>45935</v>
      </c>
      <c r="E1895" s="12">
        <v>45966</v>
      </c>
      <c r="F1895" t="s">
        <v>0</v>
      </c>
    </row>
    <row r="1896" spans="1:6" x14ac:dyDescent="0.25">
      <c r="A1896" s="5">
        <v>26234056</v>
      </c>
      <c r="B1896" s="5" t="s">
        <v>400</v>
      </c>
      <c r="C1896" s="5" t="s">
        <v>18</v>
      </c>
      <c r="D1896" s="6">
        <v>45935</v>
      </c>
      <c r="E1896" s="12">
        <v>45966</v>
      </c>
      <c r="F1896" t="s">
        <v>0</v>
      </c>
    </row>
    <row r="1897" spans="1:6" x14ac:dyDescent="0.25">
      <c r="A1897" s="5">
        <v>26234057</v>
      </c>
      <c r="B1897" s="5" t="s">
        <v>400</v>
      </c>
      <c r="C1897" s="5" t="s">
        <v>18</v>
      </c>
      <c r="D1897" s="6">
        <v>45935</v>
      </c>
      <c r="E1897" s="12">
        <v>45966</v>
      </c>
      <c r="F1897" t="s">
        <v>0</v>
      </c>
    </row>
    <row r="1898" spans="1:6" x14ac:dyDescent="0.25">
      <c r="A1898" s="5">
        <v>26234058</v>
      </c>
      <c r="B1898" s="5" t="s">
        <v>401</v>
      </c>
      <c r="C1898" s="5" t="s">
        <v>18</v>
      </c>
      <c r="D1898" s="6">
        <v>45812</v>
      </c>
      <c r="E1898" s="12">
        <v>45966</v>
      </c>
      <c r="F1898" t="s">
        <v>0</v>
      </c>
    </row>
    <row r="1899" spans="1:6" x14ac:dyDescent="0.25">
      <c r="A1899" s="5">
        <v>26234059</v>
      </c>
      <c r="B1899" s="5" t="s">
        <v>401</v>
      </c>
      <c r="C1899" s="5" t="s">
        <v>12</v>
      </c>
      <c r="D1899" s="6">
        <v>45935</v>
      </c>
      <c r="E1899" s="12">
        <v>45966</v>
      </c>
      <c r="F1899" t="s">
        <v>0</v>
      </c>
    </row>
    <row r="1900" spans="1:6" x14ac:dyDescent="0.25">
      <c r="A1900" s="5">
        <v>26234060</v>
      </c>
      <c r="B1900" s="5" t="s">
        <v>401</v>
      </c>
      <c r="C1900" s="5" t="s">
        <v>12</v>
      </c>
      <c r="D1900" s="6">
        <v>45935</v>
      </c>
      <c r="E1900" s="12">
        <v>45966</v>
      </c>
      <c r="F1900" t="s">
        <v>0</v>
      </c>
    </row>
    <row r="1901" spans="1:6" x14ac:dyDescent="0.25">
      <c r="A1901" s="5">
        <v>26234061</v>
      </c>
      <c r="B1901" s="5" t="s">
        <v>400</v>
      </c>
      <c r="C1901" s="5" t="s">
        <v>12</v>
      </c>
      <c r="D1901" s="6">
        <v>45935</v>
      </c>
      <c r="E1901" s="12">
        <v>45966</v>
      </c>
      <c r="F1901" t="s">
        <v>0</v>
      </c>
    </row>
    <row r="1902" spans="1:6" x14ac:dyDescent="0.25">
      <c r="A1902" s="5">
        <v>26234062</v>
      </c>
      <c r="B1902" s="5" t="s">
        <v>400</v>
      </c>
      <c r="C1902" s="5" t="s">
        <v>12</v>
      </c>
      <c r="D1902" s="6">
        <v>45935</v>
      </c>
      <c r="E1902" s="12">
        <v>45966</v>
      </c>
      <c r="F1902" t="s">
        <v>0</v>
      </c>
    </row>
    <row r="1903" spans="1:6" x14ac:dyDescent="0.25">
      <c r="A1903" s="5">
        <v>26234063</v>
      </c>
      <c r="B1903" s="5" t="s">
        <v>401</v>
      </c>
      <c r="C1903" s="5" t="s">
        <v>12</v>
      </c>
      <c r="D1903" s="6">
        <v>45935</v>
      </c>
      <c r="E1903" s="12">
        <v>45966</v>
      </c>
      <c r="F1903" t="s">
        <v>0</v>
      </c>
    </row>
    <row r="1904" spans="1:6" x14ac:dyDescent="0.25">
      <c r="A1904" s="5">
        <v>26234064</v>
      </c>
      <c r="B1904" s="5" t="s">
        <v>400</v>
      </c>
      <c r="C1904" s="5" t="s">
        <v>18</v>
      </c>
      <c r="D1904" s="6">
        <v>45873</v>
      </c>
      <c r="E1904" s="12">
        <v>45966</v>
      </c>
      <c r="F1904" t="s">
        <v>0</v>
      </c>
    </row>
    <row r="1905" spans="1:6" x14ac:dyDescent="0.25">
      <c r="A1905" s="5">
        <v>26234065</v>
      </c>
      <c r="B1905" s="5" t="s">
        <v>400</v>
      </c>
      <c r="C1905" s="5" t="s">
        <v>12</v>
      </c>
      <c r="D1905" s="6">
        <v>45935</v>
      </c>
      <c r="E1905" s="12">
        <v>45966</v>
      </c>
      <c r="F1905" t="s">
        <v>0</v>
      </c>
    </row>
    <row r="1906" spans="1:6" x14ac:dyDescent="0.25">
      <c r="A1906" s="5">
        <v>26234066</v>
      </c>
      <c r="B1906" s="5" t="s">
        <v>401</v>
      </c>
      <c r="C1906" s="5" t="s">
        <v>79</v>
      </c>
      <c r="D1906" s="6">
        <v>45905</v>
      </c>
      <c r="E1906" s="12">
        <v>45966</v>
      </c>
      <c r="F1906" t="s">
        <v>0</v>
      </c>
    </row>
    <row r="1907" spans="1:6" x14ac:dyDescent="0.25">
      <c r="A1907" s="5">
        <v>26234067</v>
      </c>
      <c r="B1907" s="5" t="s">
        <v>400</v>
      </c>
      <c r="C1907" s="5" t="s">
        <v>12</v>
      </c>
      <c r="D1907" s="6">
        <v>45935</v>
      </c>
      <c r="E1907" s="12">
        <v>45966</v>
      </c>
      <c r="F1907" t="s">
        <v>0</v>
      </c>
    </row>
    <row r="1908" spans="1:6" x14ac:dyDescent="0.25">
      <c r="A1908" s="5">
        <v>26234068</v>
      </c>
      <c r="B1908" s="5" t="s">
        <v>400</v>
      </c>
      <c r="C1908" s="5" t="s">
        <v>12</v>
      </c>
      <c r="D1908" s="6">
        <v>45935</v>
      </c>
      <c r="E1908" s="12">
        <v>45966</v>
      </c>
      <c r="F1908" t="s">
        <v>0</v>
      </c>
    </row>
    <row r="1909" spans="1:6" x14ac:dyDescent="0.25">
      <c r="A1909" s="5">
        <v>26234069</v>
      </c>
      <c r="B1909" s="5" t="s">
        <v>401</v>
      </c>
      <c r="C1909" s="5" t="s">
        <v>12</v>
      </c>
      <c r="D1909" s="6">
        <v>45842</v>
      </c>
      <c r="E1909" s="12">
        <v>45966</v>
      </c>
      <c r="F1909" t="s">
        <v>0</v>
      </c>
    </row>
    <row r="1910" spans="1:6" x14ac:dyDescent="0.25">
      <c r="A1910" s="5">
        <v>26234070</v>
      </c>
      <c r="B1910" s="5" t="s">
        <v>400</v>
      </c>
      <c r="C1910" s="5" t="s">
        <v>12</v>
      </c>
      <c r="D1910" s="6">
        <v>45935</v>
      </c>
      <c r="E1910" s="12">
        <v>45966</v>
      </c>
      <c r="F1910" t="s">
        <v>0</v>
      </c>
    </row>
    <row r="1911" spans="1:6" x14ac:dyDescent="0.25">
      <c r="A1911" s="5">
        <v>26234071</v>
      </c>
      <c r="B1911" s="5" t="s">
        <v>400</v>
      </c>
      <c r="C1911" s="5" t="s">
        <v>12</v>
      </c>
      <c r="D1911" s="6">
        <v>45842</v>
      </c>
      <c r="E1911" s="12">
        <v>45966</v>
      </c>
      <c r="F1911" t="s">
        <v>0</v>
      </c>
    </row>
    <row r="1912" spans="1:6" x14ac:dyDescent="0.25">
      <c r="A1912" s="5">
        <v>26234072</v>
      </c>
      <c r="B1912" s="5" t="s">
        <v>400</v>
      </c>
      <c r="C1912" s="5" t="s">
        <v>12</v>
      </c>
      <c r="D1912" s="6">
        <v>45935</v>
      </c>
      <c r="E1912" s="12">
        <v>45966</v>
      </c>
      <c r="F1912" t="s">
        <v>0</v>
      </c>
    </row>
    <row r="1913" spans="1:6" x14ac:dyDescent="0.25">
      <c r="A1913" s="5">
        <v>26234073</v>
      </c>
      <c r="B1913" s="5" t="s">
        <v>400</v>
      </c>
      <c r="C1913" s="5" t="s">
        <v>18</v>
      </c>
      <c r="D1913" s="6">
        <v>45935</v>
      </c>
      <c r="E1913" s="12">
        <v>45966</v>
      </c>
      <c r="F1913" t="s">
        <v>0</v>
      </c>
    </row>
    <row r="1914" spans="1:6" x14ac:dyDescent="0.25">
      <c r="A1914" s="5">
        <v>26234074</v>
      </c>
      <c r="B1914" s="5" t="s">
        <v>400</v>
      </c>
      <c r="C1914" s="5" t="s">
        <v>12</v>
      </c>
      <c r="D1914" s="6">
        <v>45935</v>
      </c>
      <c r="E1914" s="12">
        <v>45966</v>
      </c>
      <c r="F1914" t="s">
        <v>0</v>
      </c>
    </row>
    <row r="1915" spans="1:6" x14ac:dyDescent="0.25">
      <c r="A1915" s="5">
        <v>26234075</v>
      </c>
      <c r="B1915" s="5" t="s">
        <v>400</v>
      </c>
      <c r="C1915" s="5" t="s">
        <v>12</v>
      </c>
      <c r="D1915" s="6">
        <v>45935</v>
      </c>
      <c r="E1915" s="12">
        <v>45966</v>
      </c>
      <c r="F1915" t="s">
        <v>0</v>
      </c>
    </row>
    <row r="1916" spans="1:6" x14ac:dyDescent="0.25">
      <c r="A1916" s="5">
        <v>26234076</v>
      </c>
      <c r="B1916" s="5" t="s">
        <v>400</v>
      </c>
      <c r="C1916" s="5" t="s">
        <v>12</v>
      </c>
      <c r="D1916" s="6">
        <v>45934</v>
      </c>
      <c r="E1916" s="12">
        <v>45966</v>
      </c>
      <c r="F1916" t="s">
        <v>0</v>
      </c>
    </row>
    <row r="1917" spans="1:6" x14ac:dyDescent="0.25">
      <c r="A1917" s="5">
        <v>26234077</v>
      </c>
      <c r="B1917" s="5" t="s">
        <v>400</v>
      </c>
      <c r="C1917" s="5" t="s">
        <v>12</v>
      </c>
      <c r="D1917" s="6">
        <v>45845</v>
      </c>
      <c r="E1917" s="12">
        <v>45966</v>
      </c>
      <c r="F1917" t="s">
        <v>0</v>
      </c>
    </row>
    <row r="1918" spans="1:6" x14ac:dyDescent="0.25">
      <c r="A1918" s="5">
        <v>26234078</v>
      </c>
      <c r="B1918" s="5" t="s">
        <v>400</v>
      </c>
      <c r="C1918" s="5" t="s">
        <v>12</v>
      </c>
      <c r="D1918" s="6">
        <v>45935</v>
      </c>
      <c r="E1918" s="12">
        <v>45966</v>
      </c>
      <c r="F1918" t="s">
        <v>0</v>
      </c>
    </row>
    <row r="1919" spans="1:6" x14ac:dyDescent="0.25">
      <c r="A1919" s="5">
        <v>26234079</v>
      </c>
      <c r="B1919" s="5" t="s">
        <v>400</v>
      </c>
      <c r="C1919" s="5" t="s">
        <v>12</v>
      </c>
      <c r="D1919" s="6">
        <v>45935</v>
      </c>
      <c r="E1919" s="12">
        <v>45966</v>
      </c>
      <c r="F1919" t="s">
        <v>0</v>
      </c>
    </row>
    <row r="1920" spans="1:6" x14ac:dyDescent="0.25">
      <c r="A1920" s="5">
        <v>26234080</v>
      </c>
      <c r="B1920" s="5" t="s">
        <v>401</v>
      </c>
      <c r="C1920" s="5" t="s">
        <v>18</v>
      </c>
      <c r="D1920" s="6">
        <v>45842</v>
      </c>
      <c r="E1920" s="12">
        <v>45966</v>
      </c>
      <c r="F1920" t="s">
        <v>0</v>
      </c>
    </row>
    <row r="1921" spans="1:6" x14ac:dyDescent="0.25">
      <c r="A1921" s="5">
        <v>26234081</v>
      </c>
      <c r="B1921" s="5" t="s">
        <v>401</v>
      </c>
      <c r="C1921" s="5" t="s">
        <v>18</v>
      </c>
      <c r="D1921" s="6">
        <v>45935</v>
      </c>
      <c r="E1921" s="12">
        <v>45966</v>
      </c>
      <c r="F1921" t="s">
        <v>0</v>
      </c>
    </row>
    <row r="1922" spans="1:6" x14ac:dyDescent="0.25">
      <c r="A1922" s="5">
        <v>26234082</v>
      </c>
      <c r="B1922" s="5" t="s">
        <v>401</v>
      </c>
      <c r="C1922" s="5" t="s">
        <v>12</v>
      </c>
      <c r="D1922" s="6">
        <v>45935</v>
      </c>
      <c r="E1922" s="12">
        <v>45966</v>
      </c>
      <c r="F1922" t="s">
        <v>0</v>
      </c>
    </row>
    <row r="1923" spans="1:6" x14ac:dyDescent="0.25">
      <c r="A1923" s="5">
        <v>26234083</v>
      </c>
      <c r="B1923" s="5" t="s">
        <v>401</v>
      </c>
      <c r="C1923" s="5" t="s">
        <v>18</v>
      </c>
      <c r="D1923" s="6">
        <v>45935</v>
      </c>
      <c r="E1923" s="12">
        <v>45966</v>
      </c>
      <c r="F1923" t="s">
        <v>0</v>
      </c>
    </row>
    <row r="1924" spans="1:6" x14ac:dyDescent="0.25">
      <c r="A1924" s="5">
        <v>26234084</v>
      </c>
      <c r="B1924" s="5" t="s">
        <v>401</v>
      </c>
      <c r="C1924" s="5" t="s">
        <v>12</v>
      </c>
      <c r="D1924" s="6">
        <v>45868</v>
      </c>
      <c r="E1924" s="12">
        <v>45966</v>
      </c>
      <c r="F1924" t="s">
        <v>0</v>
      </c>
    </row>
    <row r="1925" spans="1:6" x14ac:dyDescent="0.25">
      <c r="A1925" s="5">
        <v>26234085</v>
      </c>
      <c r="B1925" s="5" t="s">
        <v>400</v>
      </c>
      <c r="C1925" s="5" t="s">
        <v>12</v>
      </c>
      <c r="D1925" s="6">
        <v>45868</v>
      </c>
      <c r="E1925" s="12">
        <v>45966</v>
      </c>
      <c r="F1925" t="s">
        <v>0</v>
      </c>
    </row>
    <row r="1926" spans="1:6" x14ac:dyDescent="0.25">
      <c r="A1926" s="5">
        <v>26234086</v>
      </c>
      <c r="B1926" s="5" t="s">
        <v>401</v>
      </c>
      <c r="C1926" s="5" t="s">
        <v>12</v>
      </c>
      <c r="D1926" s="6">
        <v>45868</v>
      </c>
      <c r="E1926" s="12">
        <v>45966</v>
      </c>
      <c r="F1926" t="s">
        <v>0</v>
      </c>
    </row>
    <row r="1927" spans="1:6" x14ac:dyDescent="0.25">
      <c r="A1927" s="5">
        <v>26234087</v>
      </c>
      <c r="B1927" s="5" t="s">
        <v>400</v>
      </c>
      <c r="C1927" s="5" t="s">
        <v>12</v>
      </c>
      <c r="D1927" s="6">
        <v>45935</v>
      </c>
      <c r="E1927" s="12">
        <v>45966</v>
      </c>
      <c r="F1927" t="s">
        <v>0</v>
      </c>
    </row>
    <row r="1928" spans="1:6" x14ac:dyDescent="0.25">
      <c r="A1928" s="5">
        <v>26234088</v>
      </c>
      <c r="B1928" s="5" t="s">
        <v>401</v>
      </c>
      <c r="C1928" s="5" t="s">
        <v>12</v>
      </c>
      <c r="D1928" s="6">
        <v>45935</v>
      </c>
      <c r="E1928" s="12">
        <v>45966</v>
      </c>
      <c r="F1928" t="s">
        <v>0</v>
      </c>
    </row>
    <row r="1929" spans="1:6" x14ac:dyDescent="0.25">
      <c r="A1929" s="5">
        <v>26234089</v>
      </c>
      <c r="B1929" s="5" t="s">
        <v>401</v>
      </c>
      <c r="C1929" s="5" t="s">
        <v>12</v>
      </c>
      <c r="D1929" s="6">
        <v>45935</v>
      </c>
      <c r="E1929" s="12">
        <v>45966</v>
      </c>
      <c r="F1929" t="s">
        <v>0</v>
      </c>
    </row>
    <row r="1930" spans="1:6" x14ac:dyDescent="0.25">
      <c r="A1930" s="5">
        <v>26234090</v>
      </c>
      <c r="B1930" s="5" t="s">
        <v>401</v>
      </c>
      <c r="C1930" s="5" t="s">
        <v>12</v>
      </c>
      <c r="D1930" s="6">
        <v>45935</v>
      </c>
      <c r="E1930" s="12">
        <v>45966</v>
      </c>
      <c r="F1930" t="s">
        <v>0</v>
      </c>
    </row>
    <row r="1931" spans="1:6" x14ac:dyDescent="0.25">
      <c r="A1931" s="5">
        <v>26234091</v>
      </c>
      <c r="B1931" s="5" t="s">
        <v>400</v>
      </c>
      <c r="C1931" s="5" t="s">
        <v>18</v>
      </c>
      <c r="D1931" s="6">
        <v>45868</v>
      </c>
      <c r="E1931" s="12">
        <v>45966</v>
      </c>
      <c r="F1931" t="s">
        <v>0</v>
      </c>
    </row>
    <row r="1932" spans="1:6" x14ac:dyDescent="0.25">
      <c r="A1932" s="5">
        <v>26234092</v>
      </c>
      <c r="B1932" s="5" t="s">
        <v>400</v>
      </c>
      <c r="C1932" s="5" t="s">
        <v>12</v>
      </c>
      <c r="D1932" s="6">
        <v>45935</v>
      </c>
      <c r="E1932" s="12">
        <v>45966</v>
      </c>
      <c r="F1932" t="s">
        <v>0</v>
      </c>
    </row>
    <row r="1933" spans="1:6" x14ac:dyDescent="0.25">
      <c r="A1933" s="5">
        <v>26234093</v>
      </c>
      <c r="B1933" s="5" t="s">
        <v>401</v>
      </c>
      <c r="C1933" s="5" t="s">
        <v>79</v>
      </c>
      <c r="D1933" s="6">
        <v>45935</v>
      </c>
      <c r="E1933" s="12">
        <v>45966</v>
      </c>
      <c r="F1933" t="s">
        <v>0</v>
      </c>
    </row>
    <row r="1934" spans="1:6" x14ac:dyDescent="0.25">
      <c r="A1934" s="5">
        <v>26234094</v>
      </c>
      <c r="B1934" s="5" t="s">
        <v>400</v>
      </c>
      <c r="C1934" s="5" t="s">
        <v>12</v>
      </c>
      <c r="D1934" s="6">
        <v>45950</v>
      </c>
      <c r="E1934" s="12">
        <v>45966</v>
      </c>
      <c r="F1934" t="s">
        <v>0</v>
      </c>
    </row>
    <row r="1935" spans="1:6" x14ac:dyDescent="0.25">
      <c r="A1935" s="5">
        <v>23323682</v>
      </c>
      <c r="B1935" s="5" t="s">
        <v>400</v>
      </c>
      <c r="C1935" s="5" t="s">
        <v>12</v>
      </c>
      <c r="D1935" s="6">
        <v>44469</v>
      </c>
      <c r="E1935" s="12">
        <v>45972</v>
      </c>
      <c r="F1935" t="s">
        <v>0</v>
      </c>
    </row>
    <row r="1936" spans="1:6" x14ac:dyDescent="0.25">
      <c r="A1936" s="5">
        <v>26234095</v>
      </c>
      <c r="B1936" s="5" t="s">
        <v>401</v>
      </c>
      <c r="C1936" s="5" t="s">
        <v>12</v>
      </c>
      <c r="D1936" s="6">
        <v>45935</v>
      </c>
      <c r="E1936" s="12">
        <v>45972</v>
      </c>
      <c r="F1936" t="s">
        <v>0</v>
      </c>
    </row>
    <row r="1937" spans="1:6" x14ac:dyDescent="0.25">
      <c r="A1937" s="5">
        <v>26234096</v>
      </c>
      <c r="B1937" s="5" t="s">
        <v>401</v>
      </c>
      <c r="C1937" s="5" t="s">
        <v>12</v>
      </c>
      <c r="D1937" s="6">
        <v>45854</v>
      </c>
      <c r="E1937" s="12">
        <v>45972</v>
      </c>
      <c r="F1937" t="s">
        <v>0</v>
      </c>
    </row>
    <row r="1938" spans="1:6" x14ac:dyDescent="0.25">
      <c r="A1938" s="5">
        <v>26234097</v>
      </c>
      <c r="B1938" s="5" t="s">
        <v>400</v>
      </c>
      <c r="C1938" s="5" t="s">
        <v>12</v>
      </c>
      <c r="D1938" s="6">
        <v>45935</v>
      </c>
      <c r="E1938" s="12">
        <v>45972</v>
      </c>
      <c r="F1938" t="s">
        <v>0</v>
      </c>
    </row>
    <row r="1939" spans="1:6" x14ac:dyDescent="0.25">
      <c r="A1939" s="5">
        <v>26234098</v>
      </c>
      <c r="B1939" s="5" t="s">
        <v>400</v>
      </c>
      <c r="C1939" s="5" t="s">
        <v>12</v>
      </c>
      <c r="D1939" s="6">
        <v>45935</v>
      </c>
      <c r="E1939" s="12">
        <v>45972</v>
      </c>
      <c r="F1939" t="s">
        <v>0</v>
      </c>
    </row>
    <row r="1940" spans="1:6" x14ac:dyDescent="0.25">
      <c r="A1940" s="5">
        <v>26234099</v>
      </c>
      <c r="B1940" s="5" t="s">
        <v>400</v>
      </c>
      <c r="C1940" s="5" t="s">
        <v>12</v>
      </c>
      <c r="D1940" s="6">
        <v>45935</v>
      </c>
      <c r="E1940" s="12">
        <v>45972</v>
      </c>
      <c r="F1940" t="s">
        <v>0</v>
      </c>
    </row>
    <row r="1941" spans="1:6" x14ac:dyDescent="0.25">
      <c r="A1941" s="5">
        <v>26234100</v>
      </c>
      <c r="B1941" s="5" t="s">
        <v>401</v>
      </c>
      <c r="C1941" s="5" t="s">
        <v>12</v>
      </c>
      <c r="D1941" s="6">
        <v>45899</v>
      </c>
      <c r="E1941" s="12">
        <v>45972</v>
      </c>
      <c r="F1941" t="s">
        <v>0</v>
      </c>
    </row>
    <row r="1942" spans="1:6" x14ac:dyDescent="0.25">
      <c r="A1942" s="5">
        <v>26234101</v>
      </c>
      <c r="B1942" s="5" t="s">
        <v>401</v>
      </c>
      <c r="C1942" s="5" t="s">
        <v>12</v>
      </c>
      <c r="D1942" s="6">
        <v>45935</v>
      </c>
      <c r="E1942" s="12">
        <v>45972</v>
      </c>
      <c r="F1942" t="s">
        <v>0</v>
      </c>
    </row>
    <row r="1943" spans="1:6" x14ac:dyDescent="0.25">
      <c r="A1943" s="5">
        <v>26234102</v>
      </c>
      <c r="B1943" s="5" t="s">
        <v>400</v>
      </c>
      <c r="C1943" s="5" t="s">
        <v>12</v>
      </c>
      <c r="D1943" s="6">
        <v>45935</v>
      </c>
      <c r="E1943" s="12">
        <v>45972</v>
      </c>
      <c r="F1943" t="s">
        <v>0</v>
      </c>
    </row>
    <row r="1944" spans="1:6" x14ac:dyDescent="0.25">
      <c r="A1944" s="5">
        <v>26234103</v>
      </c>
      <c r="B1944" s="5" t="s">
        <v>401</v>
      </c>
      <c r="C1944" s="5" t="s">
        <v>12</v>
      </c>
      <c r="D1944" s="6">
        <v>45854</v>
      </c>
      <c r="E1944" s="12">
        <v>45972</v>
      </c>
      <c r="F1944" t="s">
        <v>0</v>
      </c>
    </row>
    <row r="1945" spans="1:6" x14ac:dyDescent="0.25">
      <c r="A1945" s="5">
        <v>26234104</v>
      </c>
      <c r="B1945" s="5" t="s">
        <v>401</v>
      </c>
      <c r="C1945" s="5" t="s">
        <v>12</v>
      </c>
      <c r="D1945" s="6">
        <v>45935</v>
      </c>
      <c r="E1945" s="12">
        <v>45972</v>
      </c>
      <c r="F1945" t="s">
        <v>0</v>
      </c>
    </row>
    <row r="1946" spans="1:6" x14ac:dyDescent="0.25">
      <c r="A1946" s="5">
        <v>26234105</v>
      </c>
      <c r="B1946" s="5" t="s">
        <v>401</v>
      </c>
      <c r="C1946" s="5" t="s">
        <v>12</v>
      </c>
      <c r="D1946" s="6">
        <v>45935</v>
      </c>
      <c r="E1946" s="12">
        <v>45972</v>
      </c>
      <c r="F1946" t="s">
        <v>0</v>
      </c>
    </row>
    <row r="1947" spans="1:6" x14ac:dyDescent="0.25">
      <c r="A1947" s="5">
        <v>26234106</v>
      </c>
      <c r="B1947" s="5" t="s">
        <v>401</v>
      </c>
      <c r="C1947" s="5" t="s">
        <v>12</v>
      </c>
      <c r="D1947" s="6">
        <v>45935</v>
      </c>
      <c r="E1947" s="12">
        <v>45972</v>
      </c>
      <c r="F1947" t="s">
        <v>0</v>
      </c>
    </row>
    <row r="1948" spans="1:6" x14ac:dyDescent="0.25">
      <c r="A1948" s="5">
        <v>26234107</v>
      </c>
      <c r="B1948" s="5" t="s">
        <v>401</v>
      </c>
      <c r="C1948" s="5" t="s">
        <v>12</v>
      </c>
      <c r="D1948" s="6">
        <v>45935</v>
      </c>
      <c r="E1948" s="12">
        <v>45972</v>
      </c>
      <c r="F1948" t="s">
        <v>0</v>
      </c>
    </row>
    <row r="1949" spans="1:6" x14ac:dyDescent="0.25">
      <c r="A1949" s="5">
        <v>26234108</v>
      </c>
      <c r="B1949" s="5" t="s">
        <v>400</v>
      </c>
      <c r="C1949" s="5" t="s">
        <v>12</v>
      </c>
      <c r="D1949" s="6">
        <v>45935</v>
      </c>
      <c r="E1949" s="12">
        <v>45972</v>
      </c>
      <c r="F1949" t="s">
        <v>0</v>
      </c>
    </row>
    <row r="1950" spans="1:6" x14ac:dyDescent="0.25">
      <c r="A1950" s="5">
        <v>26234109</v>
      </c>
      <c r="B1950" s="5" t="s">
        <v>400</v>
      </c>
      <c r="C1950" s="5" t="s">
        <v>12</v>
      </c>
      <c r="D1950" s="6">
        <v>45935</v>
      </c>
      <c r="E1950" s="12">
        <v>45972</v>
      </c>
      <c r="F1950" t="s">
        <v>0</v>
      </c>
    </row>
    <row r="1951" spans="1:6" x14ac:dyDescent="0.25">
      <c r="A1951" s="5">
        <v>26234110</v>
      </c>
      <c r="B1951" s="5" t="s">
        <v>401</v>
      </c>
      <c r="C1951" s="5" t="s">
        <v>12</v>
      </c>
      <c r="D1951" s="6">
        <v>45935</v>
      </c>
      <c r="E1951" s="12">
        <v>45972</v>
      </c>
      <c r="F1951" t="s">
        <v>0</v>
      </c>
    </row>
    <row r="1952" spans="1:6" x14ac:dyDescent="0.25">
      <c r="A1952" s="5">
        <v>26234111</v>
      </c>
      <c r="B1952" s="5" t="s">
        <v>401</v>
      </c>
      <c r="C1952" s="5" t="s">
        <v>109</v>
      </c>
      <c r="D1952" s="6">
        <v>45935</v>
      </c>
      <c r="E1952" s="12">
        <v>45972</v>
      </c>
      <c r="F1952" t="s">
        <v>0</v>
      </c>
    </row>
    <row r="1953" spans="1:6" x14ac:dyDescent="0.25">
      <c r="A1953" s="5">
        <v>26234112</v>
      </c>
      <c r="B1953" s="5" t="s">
        <v>401</v>
      </c>
      <c r="C1953" s="5" t="s">
        <v>12</v>
      </c>
      <c r="D1953" s="6">
        <v>45935</v>
      </c>
      <c r="E1953" s="12">
        <v>45972</v>
      </c>
      <c r="F1953" t="s">
        <v>0</v>
      </c>
    </row>
    <row r="1954" spans="1:6" x14ac:dyDescent="0.25">
      <c r="A1954" s="5">
        <v>26234113</v>
      </c>
      <c r="B1954" s="5" t="s">
        <v>401</v>
      </c>
      <c r="C1954" s="5" t="s">
        <v>12</v>
      </c>
      <c r="D1954" s="6">
        <v>45935</v>
      </c>
      <c r="E1954" s="12">
        <v>45972</v>
      </c>
      <c r="F1954" t="s">
        <v>0</v>
      </c>
    </row>
    <row r="1955" spans="1:6" x14ac:dyDescent="0.25">
      <c r="A1955" s="5">
        <v>26234114</v>
      </c>
      <c r="B1955" s="5" t="s">
        <v>400</v>
      </c>
      <c r="C1955" s="5" t="s">
        <v>12</v>
      </c>
      <c r="D1955" s="6">
        <v>45935</v>
      </c>
      <c r="E1955" s="12">
        <v>45972</v>
      </c>
      <c r="F1955" t="s">
        <v>0</v>
      </c>
    </row>
    <row r="1956" spans="1:6" x14ac:dyDescent="0.25">
      <c r="A1956" s="5">
        <v>26234116</v>
      </c>
      <c r="B1956" s="5" t="s">
        <v>401</v>
      </c>
      <c r="C1956" s="5" t="s">
        <v>12</v>
      </c>
      <c r="D1956" s="6">
        <v>45935</v>
      </c>
      <c r="E1956" s="12">
        <v>45972</v>
      </c>
      <c r="F1956" t="s">
        <v>0</v>
      </c>
    </row>
    <row r="1957" spans="1:6" x14ac:dyDescent="0.25">
      <c r="A1957" s="5">
        <v>26234117</v>
      </c>
      <c r="B1957" s="5" t="s">
        <v>400</v>
      </c>
      <c r="C1957" s="5" t="s">
        <v>12</v>
      </c>
      <c r="D1957" s="6">
        <v>45935</v>
      </c>
      <c r="E1957" s="12">
        <v>45972</v>
      </c>
      <c r="F1957" t="s">
        <v>0</v>
      </c>
    </row>
    <row r="1958" spans="1:6" x14ac:dyDescent="0.25">
      <c r="A1958" s="5">
        <v>26234118</v>
      </c>
      <c r="B1958" s="5" t="s">
        <v>401</v>
      </c>
      <c r="C1958" s="5" t="s">
        <v>12</v>
      </c>
      <c r="D1958" s="6">
        <v>45935</v>
      </c>
      <c r="E1958" s="12">
        <v>45972</v>
      </c>
      <c r="F1958" t="s">
        <v>0</v>
      </c>
    </row>
    <row r="1959" spans="1:6" x14ac:dyDescent="0.25">
      <c r="A1959" s="5">
        <v>26234119</v>
      </c>
      <c r="B1959" s="5" t="s">
        <v>400</v>
      </c>
      <c r="C1959" s="5" t="s">
        <v>12</v>
      </c>
      <c r="D1959" s="6">
        <v>45935</v>
      </c>
      <c r="E1959" s="12">
        <v>45972</v>
      </c>
      <c r="F1959" t="s">
        <v>0</v>
      </c>
    </row>
    <row r="1960" spans="1:6" x14ac:dyDescent="0.25">
      <c r="A1960" s="5">
        <v>26234120</v>
      </c>
      <c r="B1960" s="5" t="s">
        <v>400</v>
      </c>
      <c r="C1960" s="5" t="s">
        <v>18</v>
      </c>
      <c r="D1960" s="6">
        <v>45935</v>
      </c>
      <c r="E1960" s="12">
        <v>45972</v>
      </c>
      <c r="F1960" t="s">
        <v>0</v>
      </c>
    </row>
    <row r="1961" spans="1:6" x14ac:dyDescent="0.25">
      <c r="A1961" s="5">
        <v>26234121</v>
      </c>
      <c r="B1961" s="5" t="s">
        <v>401</v>
      </c>
      <c r="C1961" s="5" t="s">
        <v>18</v>
      </c>
      <c r="D1961" s="6">
        <v>45935</v>
      </c>
      <c r="E1961" s="12">
        <v>45972</v>
      </c>
      <c r="F1961" t="s">
        <v>0</v>
      </c>
    </row>
    <row r="1962" spans="1:6" x14ac:dyDescent="0.25">
      <c r="A1962" s="5">
        <v>26234122</v>
      </c>
      <c r="B1962" s="5" t="s">
        <v>400</v>
      </c>
      <c r="C1962" s="5" t="s">
        <v>18</v>
      </c>
      <c r="D1962" s="6">
        <v>45935</v>
      </c>
      <c r="E1962" s="12">
        <v>45972</v>
      </c>
      <c r="F1962" t="s">
        <v>0</v>
      </c>
    </row>
    <row r="1963" spans="1:6" x14ac:dyDescent="0.25">
      <c r="A1963" s="5">
        <v>26234123</v>
      </c>
      <c r="B1963" s="5" t="s">
        <v>401</v>
      </c>
      <c r="C1963" s="5" t="s">
        <v>12</v>
      </c>
      <c r="D1963" s="6">
        <v>45935</v>
      </c>
      <c r="E1963" s="12">
        <v>45972</v>
      </c>
      <c r="F1963" t="s">
        <v>0</v>
      </c>
    </row>
    <row r="1964" spans="1:6" x14ac:dyDescent="0.25">
      <c r="A1964" s="5">
        <v>26234124</v>
      </c>
      <c r="B1964" s="5" t="s">
        <v>401</v>
      </c>
      <c r="C1964" s="5" t="s">
        <v>12</v>
      </c>
      <c r="D1964" s="6">
        <v>45935</v>
      </c>
      <c r="E1964" s="12">
        <v>45972</v>
      </c>
      <c r="F1964" t="s">
        <v>0</v>
      </c>
    </row>
    <row r="1965" spans="1:6" x14ac:dyDescent="0.25">
      <c r="A1965" s="5">
        <v>26234125</v>
      </c>
      <c r="B1965" s="5" t="s">
        <v>400</v>
      </c>
      <c r="C1965" s="5" t="s">
        <v>12</v>
      </c>
      <c r="D1965" s="6">
        <v>45935</v>
      </c>
      <c r="E1965" s="12">
        <v>45972</v>
      </c>
      <c r="F1965" t="s">
        <v>0</v>
      </c>
    </row>
    <row r="1966" spans="1:6" x14ac:dyDescent="0.25">
      <c r="A1966" s="5">
        <v>26234126</v>
      </c>
      <c r="B1966" s="5" t="s">
        <v>400</v>
      </c>
      <c r="C1966" s="5" t="s">
        <v>12</v>
      </c>
      <c r="D1966" s="6">
        <v>45935</v>
      </c>
      <c r="E1966" s="12">
        <v>45972</v>
      </c>
      <c r="F1966" t="s">
        <v>0</v>
      </c>
    </row>
    <row r="1967" spans="1:6" x14ac:dyDescent="0.25">
      <c r="A1967" s="5">
        <v>26234127</v>
      </c>
      <c r="B1967" s="5" t="s">
        <v>401</v>
      </c>
      <c r="C1967" s="5" t="s">
        <v>12</v>
      </c>
      <c r="D1967" s="6">
        <v>45935</v>
      </c>
      <c r="E1967" s="12">
        <v>45972</v>
      </c>
      <c r="F1967" t="s">
        <v>0</v>
      </c>
    </row>
    <row r="1968" spans="1:6" x14ac:dyDescent="0.25">
      <c r="A1968" s="5">
        <v>26234128</v>
      </c>
      <c r="B1968" s="5" t="s">
        <v>401</v>
      </c>
      <c r="C1968" s="5" t="s">
        <v>12</v>
      </c>
      <c r="D1968" s="6">
        <v>45935</v>
      </c>
      <c r="E1968" s="12">
        <v>45972</v>
      </c>
      <c r="F1968" t="s">
        <v>0</v>
      </c>
    </row>
    <row r="1969" spans="1:6" x14ac:dyDescent="0.25">
      <c r="A1969" s="5">
        <v>26234129</v>
      </c>
      <c r="B1969" s="5" t="s">
        <v>401</v>
      </c>
      <c r="C1969" s="5" t="s">
        <v>12</v>
      </c>
      <c r="D1969" s="6">
        <v>45935</v>
      </c>
      <c r="E1969" s="12">
        <v>45972</v>
      </c>
      <c r="F1969" t="s">
        <v>0</v>
      </c>
    </row>
    <row r="1970" spans="1:6" x14ac:dyDescent="0.25">
      <c r="A1970" s="5">
        <v>26234130</v>
      </c>
      <c r="B1970" s="5" t="s">
        <v>400</v>
      </c>
      <c r="C1970" s="5" t="s">
        <v>12</v>
      </c>
      <c r="D1970" s="6">
        <v>45935</v>
      </c>
      <c r="E1970" s="12">
        <v>45972</v>
      </c>
      <c r="F1970" t="s">
        <v>0</v>
      </c>
    </row>
    <row r="1971" spans="1:6" x14ac:dyDescent="0.25">
      <c r="A1971" s="5">
        <v>26234131</v>
      </c>
      <c r="B1971" s="5" t="s">
        <v>401</v>
      </c>
      <c r="C1971" s="5" t="s">
        <v>12</v>
      </c>
      <c r="D1971" s="6">
        <v>45935</v>
      </c>
      <c r="E1971" s="12">
        <v>45972</v>
      </c>
      <c r="F1971" t="s">
        <v>0</v>
      </c>
    </row>
    <row r="1972" spans="1:6" x14ac:dyDescent="0.25">
      <c r="A1972" s="5">
        <v>26234132</v>
      </c>
      <c r="B1972" s="5" t="s">
        <v>401</v>
      </c>
      <c r="C1972" s="5" t="s">
        <v>12</v>
      </c>
      <c r="D1972" s="6">
        <v>45935</v>
      </c>
      <c r="E1972" s="12">
        <v>45972</v>
      </c>
      <c r="F1972" t="s">
        <v>0</v>
      </c>
    </row>
    <row r="1973" spans="1:6" x14ac:dyDescent="0.25">
      <c r="A1973" s="5">
        <v>26234133</v>
      </c>
      <c r="B1973" s="5" t="s">
        <v>401</v>
      </c>
      <c r="C1973" s="5" t="s">
        <v>12</v>
      </c>
      <c r="D1973" s="6">
        <v>45935</v>
      </c>
      <c r="E1973" s="12">
        <v>45972</v>
      </c>
      <c r="F1973" t="s">
        <v>0</v>
      </c>
    </row>
    <row r="1974" spans="1:6" x14ac:dyDescent="0.25">
      <c r="A1974" s="5">
        <v>26234134</v>
      </c>
      <c r="B1974" s="5" t="s">
        <v>401</v>
      </c>
      <c r="C1974" s="5" t="s">
        <v>12</v>
      </c>
      <c r="D1974" s="6">
        <v>45935</v>
      </c>
      <c r="E1974" s="12">
        <v>45972</v>
      </c>
      <c r="F1974" t="s">
        <v>0</v>
      </c>
    </row>
    <row r="1975" spans="1:6" x14ac:dyDescent="0.25">
      <c r="A1975" s="5">
        <v>26234135</v>
      </c>
      <c r="B1975" s="5" t="s">
        <v>401</v>
      </c>
      <c r="C1975" s="5" t="s">
        <v>12</v>
      </c>
      <c r="D1975" s="6">
        <v>45935</v>
      </c>
      <c r="E1975" s="12">
        <v>45972</v>
      </c>
      <c r="F1975" t="s">
        <v>0</v>
      </c>
    </row>
    <row r="1976" spans="1:6" x14ac:dyDescent="0.25">
      <c r="A1976" s="5">
        <v>26234136</v>
      </c>
      <c r="B1976" s="5" t="s">
        <v>400</v>
      </c>
      <c r="C1976" s="5" t="s">
        <v>12</v>
      </c>
      <c r="D1976" s="6">
        <v>45935</v>
      </c>
      <c r="E1976" s="12">
        <v>45972</v>
      </c>
      <c r="F1976" t="s">
        <v>0</v>
      </c>
    </row>
    <row r="1977" spans="1:6" x14ac:dyDescent="0.25">
      <c r="A1977" s="5">
        <v>26234137</v>
      </c>
      <c r="B1977" s="5" t="s">
        <v>401</v>
      </c>
      <c r="C1977" s="5" t="s">
        <v>12</v>
      </c>
      <c r="D1977" s="6">
        <v>45935</v>
      </c>
      <c r="E1977" s="12">
        <v>45972</v>
      </c>
      <c r="F1977" t="s">
        <v>0</v>
      </c>
    </row>
    <row r="1978" spans="1:6" x14ac:dyDescent="0.25">
      <c r="A1978" s="5">
        <v>26234138</v>
      </c>
      <c r="B1978" s="5" t="s">
        <v>401</v>
      </c>
      <c r="C1978" s="5" t="s">
        <v>12</v>
      </c>
      <c r="D1978" s="6">
        <v>45935</v>
      </c>
      <c r="E1978" s="12">
        <v>45972</v>
      </c>
      <c r="F1978" t="s">
        <v>0</v>
      </c>
    </row>
    <row r="1979" spans="1:6" x14ac:dyDescent="0.25">
      <c r="A1979" s="5">
        <v>26234139</v>
      </c>
      <c r="B1979" s="5" t="s">
        <v>400</v>
      </c>
      <c r="C1979" s="5" t="s">
        <v>12</v>
      </c>
      <c r="D1979" s="6">
        <v>45935</v>
      </c>
      <c r="E1979" s="12">
        <v>45972</v>
      </c>
      <c r="F1979" t="s">
        <v>0</v>
      </c>
    </row>
    <row r="1980" spans="1:6" x14ac:dyDescent="0.25">
      <c r="A1980" s="5">
        <v>26234140</v>
      </c>
      <c r="B1980" s="5" t="s">
        <v>400</v>
      </c>
      <c r="C1980" s="5" t="s">
        <v>12</v>
      </c>
      <c r="D1980" s="6">
        <v>45935</v>
      </c>
      <c r="E1980" s="12">
        <v>45972</v>
      </c>
      <c r="F1980" t="s">
        <v>0</v>
      </c>
    </row>
    <row r="1981" spans="1:6" x14ac:dyDescent="0.25">
      <c r="A1981" s="5">
        <v>26234141</v>
      </c>
      <c r="B1981" s="5" t="s">
        <v>401</v>
      </c>
      <c r="C1981" s="5" t="s">
        <v>12</v>
      </c>
      <c r="D1981" s="6">
        <v>45935</v>
      </c>
      <c r="E1981" s="12">
        <v>45972</v>
      </c>
      <c r="F1981" t="s">
        <v>0</v>
      </c>
    </row>
    <row r="1982" spans="1:6" x14ac:dyDescent="0.25">
      <c r="A1982" s="5">
        <v>26234142</v>
      </c>
      <c r="B1982" s="5" t="s">
        <v>401</v>
      </c>
      <c r="C1982" s="5" t="s">
        <v>18</v>
      </c>
      <c r="D1982" s="6">
        <v>45935</v>
      </c>
      <c r="E1982" s="12">
        <v>45972</v>
      </c>
      <c r="F1982" t="s">
        <v>0</v>
      </c>
    </row>
    <row r="1983" spans="1:6" x14ac:dyDescent="0.25">
      <c r="A1983" s="5">
        <v>26234143</v>
      </c>
      <c r="B1983" s="5" t="s">
        <v>401</v>
      </c>
      <c r="C1983" s="5" t="s">
        <v>12</v>
      </c>
      <c r="D1983" s="6">
        <v>45935</v>
      </c>
      <c r="E1983" s="12">
        <v>45972</v>
      </c>
      <c r="F1983" t="s">
        <v>0</v>
      </c>
    </row>
    <row r="1984" spans="1:6" x14ac:dyDescent="0.25">
      <c r="A1984" s="5">
        <v>26234144</v>
      </c>
      <c r="B1984" s="5" t="s">
        <v>400</v>
      </c>
      <c r="C1984" s="5" t="s">
        <v>12</v>
      </c>
      <c r="D1984" s="6">
        <v>45935</v>
      </c>
      <c r="E1984" s="12">
        <v>45972</v>
      </c>
      <c r="F1984" t="s">
        <v>0</v>
      </c>
    </row>
    <row r="1985" spans="1:6" x14ac:dyDescent="0.25">
      <c r="A1985" s="5">
        <v>26234145</v>
      </c>
      <c r="B1985" s="5" t="s">
        <v>400</v>
      </c>
      <c r="C1985" s="5" t="s">
        <v>18</v>
      </c>
      <c r="D1985" s="6">
        <v>45935</v>
      </c>
      <c r="E1985" s="12">
        <v>45972</v>
      </c>
      <c r="F1985" t="s">
        <v>0</v>
      </c>
    </row>
    <row r="1986" spans="1:6" x14ac:dyDescent="0.25">
      <c r="A1986" s="5">
        <v>26234146</v>
      </c>
      <c r="B1986" s="5" t="s">
        <v>401</v>
      </c>
      <c r="C1986" s="5" t="s">
        <v>18</v>
      </c>
      <c r="D1986" s="6">
        <v>45935</v>
      </c>
      <c r="E1986" s="12">
        <v>45972</v>
      </c>
      <c r="F1986" t="s">
        <v>0</v>
      </c>
    </row>
    <row r="1987" spans="1:6" x14ac:dyDescent="0.25">
      <c r="A1987" s="5">
        <v>26234147</v>
      </c>
      <c r="B1987" s="5" t="s">
        <v>401</v>
      </c>
      <c r="C1987" s="5" t="s">
        <v>12</v>
      </c>
      <c r="D1987" s="6">
        <v>45935</v>
      </c>
      <c r="E1987" s="12">
        <v>45972</v>
      </c>
      <c r="F1987" t="s">
        <v>0</v>
      </c>
    </row>
    <row r="1988" spans="1:6" x14ac:dyDescent="0.25">
      <c r="A1988" s="5">
        <v>26234148</v>
      </c>
      <c r="B1988" s="5" t="s">
        <v>401</v>
      </c>
      <c r="C1988" s="5" t="s">
        <v>12</v>
      </c>
      <c r="D1988" s="6">
        <v>45935</v>
      </c>
      <c r="E1988" s="12">
        <v>45973</v>
      </c>
      <c r="F1988" t="s">
        <v>0</v>
      </c>
    </row>
    <row r="1989" spans="1:6" x14ac:dyDescent="0.25">
      <c r="A1989" s="5">
        <v>23323682</v>
      </c>
      <c r="B1989" s="5" t="s">
        <v>400</v>
      </c>
      <c r="C1989" s="5" t="s">
        <v>12</v>
      </c>
      <c r="D1989" s="6">
        <v>44469</v>
      </c>
      <c r="E1989" s="12">
        <v>45974</v>
      </c>
      <c r="F1989" t="s">
        <v>0</v>
      </c>
    </row>
    <row r="1990" spans="1:6" x14ac:dyDescent="0.25">
      <c r="A1990" s="5">
        <v>26234151</v>
      </c>
      <c r="B1990" s="5" t="s">
        <v>401</v>
      </c>
      <c r="C1990" s="5" t="s">
        <v>12</v>
      </c>
      <c r="D1990" s="6">
        <v>45911</v>
      </c>
      <c r="E1990" s="12">
        <v>45984</v>
      </c>
      <c r="F1990" t="s">
        <v>2</v>
      </c>
    </row>
    <row r="1991" spans="1:6" x14ac:dyDescent="0.25">
      <c r="A1991" s="5">
        <v>26234152</v>
      </c>
      <c r="B1991" s="5" t="s">
        <v>400</v>
      </c>
      <c r="C1991" s="5" t="s">
        <v>12</v>
      </c>
      <c r="D1991" s="6">
        <v>45930</v>
      </c>
      <c r="E1991" s="12">
        <v>45984</v>
      </c>
      <c r="F1991" t="s">
        <v>2</v>
      </c>
    </row>
    <row r="1992" spans="1:6" x14ac:dyDescent="0.25">
      <c r="A1992" s="5">
        <v>26234153</v>
      </c>
      <c r="B1992" s="5" t="s">
        <v>400</v>
      </c>
      <c r="C1992" s="5" t="s">
        <v>12</v>
      </c>
      <c r="D1992" s="6">
        <v>45930</v>
      </c>
      <c r="E1992" s="12">
        <v>45984</v>
      </c>
      <c r="F1992" t="s">
        <v>2</v>
      </c>
    </row>
    <row r="1993" spans="1:6" x14ac:dyDescent="0.25">
      <c r="A1993" s="5">
        <v>26234154</v>
      </c>
      <c r="B1993" s="5" t="s">
        <v>400</v>
      </c>
      <c r="C1993" s="5" t="s">
        <v>12</v>
      </c>
      <c r="D1993" s="6">
        <v>45930</v>
      </c>
      <c r="E1993" s="12">
        <v>45984</v>
      </c>
      <c r="F1993" t="s">
        <v>2</v>
      </c>
    </row>
    <row r="1994" spans="1:6" x14ac:dyDescent="0.25">
      <c r="A1994" s="5">
        <v>26234155</v>
      </c>
      <c r="B1994" s="5" t="s">
        <v>400</v>
      </c>
      <c r="C1994" s="5" t="s">
        <v>12</v>
      </c>
      <c r="D1994" s="6">
        <v>45930</v>
      </c>
      <c r="E1994" s="12">
        <v>45984</v>
      </c>
      <c r="F1994" t="s">
        <v>2</v>
      </c>
    </row>
    <row r="1995" spans="1:6" x14ac:dyDescent="0.25">
      <c r="A1995" s="5">
        <v>26234156</v>
      </c>
      <c r="B1995" s="5" t="s">
        <v>400</v>
      </c>
      <c r="C1995" s="5" t="s">
        <v>12</v>
      </c>
      <c r="D1995" s="6">
        <v>45935</v>
      </c>
      <c r="E1995" s="12">
        <v>45984</v>
      </c>
      <c r="F1995" t="s">
        <v>2</v>
      </c>
    </row>
    <row r="1996" spans="1:6" x14ac:dyDescent="0.25">
      <c r="A1996" s="5">
        <v>26234157</v>
      </c>
      <c r="B1996" s="5" t="s">
        <v>400</v>
      </c>
      <c r="C1996" s="5" t="s">
        <v>18</v>
      </c>
      <c r="D1996" s="6">
        <v>45909</v>
      </c>
      <c r="E1996" s="12">
        <v>45984</v>
      </c>
      <c r="F1996" t="s">
        <v>2</v>
      </c>
    </row>
    <row r="1997" spans="1:6" x14ac:dyDescent="0.25">
      <c r="A1997" s="5">
        <v>26234158</v>
      </c>
      <c r="B1997" s="5" t="s">
        <v>400</v>
      </c>
      <c r="C1997" s="5" t="s">
        <v>12</v>
      </c>
      <c r="D1997" s="6">
        <v>45935</v>
      </c>
      <c r="E1997" s="12">
        <v>45984</v>
      </c>
      <c r="F1997" t="s">
        <v>2</v>
      </c>
    </row>
    <row r="1998" spans="1:6" x14ac:dyDescent="0.25">
      <c r="A1998" s="5">
        <v>26234159</v>
      </c>
      <c r="B1998" s="5" t="s">
        <v>401</v>
      </c>
      <c r="C1998" s="5" t="s">
        <v>12</v>
      </c>
      <c r="D1998" s="6">
        <v>45930</v>
      </c>
      <c r="E1998" s="12">
        <v>45984</v>
      </c>
      <c r="F1998" t="s">
        <v>2</v>
      </c>
    </row>
    <row r="1999" spans="1:6" x14ac:dyDescent="0.25">
      <c r="A1999" s="5">
        <v>26234160</v>
      </c>
      <c r="B1999" s="5" t="s">
        <v>400</v>
      </c>
      <c r="C1999" s="5" t="s">
        <v>18</v>
      </c>
      <c r="D1999" s="6">
        <v>45930</v>
      </c>
      <c r="E1999" s="12">
        <v>45984</v>
      </c>
      <c r="F1999" t="s">
        <v>2</v>
      </c>
    </row>
    <row r="2000" spans="1:6" x14ac:dyDescent="0.25">
      <c r="A2000" s="5">
        <v>26234161</v>
      </c>
      <c r="B2000" s="5" t="s">
        <v>400</v>
      </c>
      <c r="C2000" s="5" t="s">
        <v>12</v>
      </c>
      <c r="D2000" s="6">
        <v>45930</v>
      </c>
      <c r="E2000" s="12">
        <v>45984</v>
      </c>
      <c r="F2000" t="s">
        <v>2</v>
      </c>
    </row>
    <row r="2001" spans="1:6" x14ac:dyDescent="0.25">
      <c r="A2001" s="5">
        <v>26234162</v>
      </c>
      <c r="B2001" s="5" t="s">
        <v>400</v>
      </c>
      <c r="C2001" s="5" t="s">
        <v>12</v>
      </c>
      <c r="D2001" s="6">
        <v>45930</v>
      </c>
      <c r="E2001" s="12">
        <v>45984</v>
      </c>
      <c r="F2001" t="s">
        <v>2</v>
      </c>
    </row>
    <row r="2002" spans="1:6" x14ac:dyDescent="0.25">
      <c r="A2002" s="5">
        <v>26234163</v>
      </c>
      <c r="B2002" s="5" t="s">
        <v>400</v>
      </c>
      <c r="C2002" s="5" t="s">
        <v>18</v>
      </c>
      <c r="D2002" s="6">
        <v>45930</v>
      </c>
      <c r="E2002" s="12">
        <v>45984</v>
      </c>
      <c r="F2002" t="s">
        <v>2</v>
      </c>
    </row>
    <row r="2003" spans="1:6" x14ac:dyDescent="0.25">
      <c r="A2003" s="5">
        <v>26234164</v>
      </c>
      <c r="B2003" s="5" t="s">
        <v>400</v>
      </c>
      <c r="C2003" s="5" t="s">
        <v>12</v>
      </c>
      <c r="D2003" s="6">
        <v>45868</v>
      </c>
      <c r="E2003" s="12">
        <v>45984</v>
      </c>
      <c r="F2003" t="s">
        <v>2</v>
      </c>
    </row>
    <row r="2004" spans="1:6" x14ac:dyDescent="0.25">
      <c r="A2004" s="5">
        <v>26234165</v>
      </c>
      <c r="B2004" s="5" t="s">
        <v>401</v>
      </c>
      <c r="C2004" s="5" t="s">
        <v>12</v>
      </c>
      <c r="D2004" s="6">
        <v>45966</v>
      </c>
      <c r="E2004" s="12">
        <v>45984</v>
      </c>
      <c r="F2004" t="s">
        <v>2</v>
      </c>
    </row>
    <row r="2005" spans="1:6" x14ac:dyDescent="0.25">
      <c r="A2005" s="5">
        <v>26234166</v>
      </c>
      <c r="B2005" s="5" t="s">
        <v>401</v>
      </c>
      <c r="C2005" s="5" t="s">
        <v>12</v>
      </c>
      <c r="D2005" s="6">
        <v>45905</v>
      </c>
      <c r="E2005" s="12">
        <v>45984</v>
      </c>
      <c r="F2005" t="s">
        <v>2</v>
      </c>
    </row>
    <row r="2006" spans="1:6" x14ac:dyDescent="0.25">
      <c r="A2006" s="5">
        <v>26234167</v>
      </c>
      <c r="B2006" s="5" t="s">
        <v>400</v>
      </c>
      <c r="C2006" s="5" t="s">
        <v>12</v>
      </c>
      <c r="D2006" s="6">
        <v>45925</v>
      </c>
      <c r="E2006" s="12">
        <v>45984</v>
      </c>
      <c r="F2006" t="s">
        <v>2</v>
      </c>
    </row>
    <row r="2007" spans="1:6" x14ac:dyDescent="0.25">
      <c r="A2007" s="5">
        <v>26234168</v>
      </c>
      <c r="B2007" s="5" t="s">
        <v>400</v>
      </c>
      <c r="C2007" s="5" t="s">
        <v>12</v>
      </c>
      <c r="D2007" s="6">
        <v>45925</v>
      </c>
      <c r="E2007" s="12">
        <v>45984</v>
      </c>
      <c r="F2007" t="s">
        <v>2</v>
      </c>
    </row>
    <row r="2008" spans="1:6" x14ac:dyDescent="0.25">
      <c r="A2008" s="5">
        <v>26234169</v>
      </c>
      <c r="B2008" s="5" t="s">
        <v>401</v>
      </c>
      <c r="C2008" s="5" t="s">
        <v>12</v>
      </c>
      <c r="D2008" s="6">
        <v>45925</v>
      </c>
      <c r="E2008" s="12">
        <v>45984</v>
      </c>
      <c r="F2008" t="s">
        <v>2</v>
      </c>
    </row>
    <row r="2009" spans="1:6" x14ac:dyDescent="0.25">
      <c r="A2009" s="5">
        <v>26234170</v>
      </c>
      <c r="B2009" s="5" t="s">
        <v>401</v>
      </c>
      <c r="C2009" s="5" t="s">
        <v>18</v>
      </c>
      <c r="D2009" s="6">
        <v>45899</v>
      </c>
      <c r="E2009" s="12">
        <v>45984</v>
      </c>
      <c r="F2009" t="s">
        <v>2</v>
      </c>
    </row>
    <row r="2010" spans="1:6" x14ac:dyDescent="0.25">
      <c r="A2010" s="5">
        <v>26234171</v>
      </c>
      <c r="B2010" s="5" t="s">
        <v>401</v>
      </c>
      <c r="C2010" s="5" t="s">
        <v>12</v>
      </c>
      <c r="D2010" s="6">
        <v>45899</v>
      </c>
      <c r="E2010" s="12">
        <v>45984</v>
      </c>
      <c r="F2010" t="s">
        <v>2</v>
      </c>
    </row>
    <row r="2011" spans="1:6" x14ac:dyDescent="0.25">
      <c r="A2011" s="5">
        <v>26234172</v>
      </c>
      <c r="B2011" s="5" t="s">
        <v>400</v>
      </c>
      <c r="C2011" s="5" t="s">
        <v>18</v>
      </c>
      <c r="D2011" s="6">
        <v>45899</v>
      </c>
      <c r="E2011" s="12">
        <v>45984</v>
      </c>
      <c r="F2011" t="s">
        <v>2</v>
      </c>
    </row>
    <row r="2012" spans="1:6" x14ac:dyDescent="0.25">
      <c r="A2012" s="5">
        <v>26234173</v>
      </c>
      <c r="B2012" s="5" t="s">
        <v>400</v>
      </c>
      <c r="C2012" s="5" t="s">
        <v>12</v>
      </c>
      <c r="D2012" s="6">
        <v>45899</v>
      </c>
      <c r="E2012" s="12">
        <v>45984</v>
      </c>
      <c r="F2012" t="s">
        <v>2</v>
      </c>
    </row>
    <row r="2013" spans="1:6" x14ac:dyDescent="0.25">
      <c r="A2013" s="5">
        <v>26234174</v>
      </c>
      <c r="B2013" s="5" t="s">
        <v>401</v>
      </c>
      <c r="C2013" s="5" t="s">
        <v>12</v>
      </c>
      <c r="D2013" s="6">
        <v>45930</v>
      </c>
      <c r="E2013" s="12">
        <v>45984</v>
      </c>
      <c r="F2013" t="s">
        <v>2</v>
      </c>
    </row>
    <row r="2014" spans="1:6" x14ac:dyDescent="0.25">
      <c r="A2014" s="5">
        <v>26234175</v>
      </c>
      <c r="B2014" s="5" t="s">
        <v>401</v>
      </c>
      <c r="C2014" s="5" t="s">
        <v>12</v>
      </c>
      <c r="D2014" s="6">
        <v>45854</v>
      </c>
      <c r="E2014" s="12">
        <v>45984</v>
      </c>
      <c r="F2014" t="s">
        <v>2</v>
      </c>
    </row>
    <row r="2015" spans="1:6" x14ac:dyDescent="0.25">
      <c r="A2015" s="5">
        <v>26234176</v>
      </c>
      <c r="B2015" s="5" t="s">
        <v>400</v>
      </c>
      <c r="C2015" s="5" t="s">
        <v>12</v>
      </c>
      <c r="D2015" s="6">
        <v>45899</v>
      </c>
      <c r="E2015" s="12">
        <v>45984</v>
      </c>
      <c r="F2015" t="s">
        <v>2</v>
      </c>
    </row>
    <row r="2016" spans="1:6" x14ac:dyDescent="0.25">
      <c r="A2016" s="5">
        <v>26234177</v>
      </c>
      <c r="B2016" s="5" t="s">
        <v>401</v>
      </c>
      <c r="C2016" s="5" t="s">
        <v>12</v>
      </c>
      <c r="D2016" s="6">
        <v>45868</v>
      </c>
      <c r="E2016" s="12">
        <v>45984</v>
      </c>
      <c r="F2016" t="s">
        <v>2</v>
      </c>
    </row>
    <row r="2017" spans="1:6" x14ac:dyDescent="0.25">
      <c r="A2017" s="5">
        <v>26234178</v>
      </c>
      <c r="B2017" s="5" t="s">
        <v>400</v>
      </c>
      <c r="C2017" s="5" t="s">
        <v>12</v>
      </c>
      <c r="D2017" s="6">
        <v>45905</v>
      </c>
      <c r="E2017" s="12">
        <v>45984</v>
      </c>
      <c r="F2017" t="s">
        <v>2</v>
      </c>
    </row>
    <row r="2018" spans="1:6" x14ac:dyDescent="0.25">
      <c r="A2018" s="5">
        <v>26234179</v>
      </c>
      <c r="B2018" s="5" t="s">
        <v>400</v>
      </c>
      <c r="C2018" s="5" t="s">
        <v>12</v>
      </c>
      <c r="D2018" s="6">
        <v>45905</v>
      </c>
      <c r="E2018" s="12">
        <v>45984</v>
      </c>
      <c r="F2018" t="s">
        <v>2</v>
      </c>
    </row>
    <row r="2019" spans="1:6" x14ac:dyDescent="0.25">
      <c r="A2019" s="5">
        <v>26234180</v>
      </c>
      <c r="B2019" s="5" t="s">
        <v>401</v>
      </c>
      <c r="C2019" s="5" t="s">
        <v>18</v>
      </c>
      <c r="D2019" s="6">
        <v>45905</v>
      </c>
      <c r="E2019" s="12">
        <v>45984</v>
      </c>
      <c r="F2019" t="s">
        <v>2</v>
      </c>
    </row>
    <row r="2020" spans="1:6" x14ac:dyDescent="0.25">
      <c r="A2020" s="5">
        <v>26234181</v>
      </c>
      <c r="B2020" s="5" t="s">
        <v>401</v>
      </c>
      <c r="C2020" s="5" t="s">
        <v>12</v>
      </c>
      <c r="D2020" s="6">
        <v>45905</v>
      </c>
      <c r="E2020" s="12">
        <v>45984</v>
      </c>
      <c r="F2020" t="s">
        <v>2</v>
      </c>
    </row>
    <row r="2021" spans="1:6" x14ac:dyDescent="0.25">
      <c r="A2021" s="5">
        <v>26234182</v>
      </c>
      <c r="B2021" s="5" t="s">
        <v>401</v>
      </c>
      <c r="C2021" s="5" t="s">
        <v>12</v>
      </c>
      <c r="D2021" s="6">
        <v>45868</v>
      </c>
      <c r="E2021" s="12">
        <v>45984</v>
      </c>
      <c r="F2021" t="s">
        <v>2</v>
      </c>
    </row>
    <row r="2022" spans="1:6" x14ac:dyDescent="0.25">
      <c r="A2022" s="5">
        <v>26234183</v>
      </c>
      <c r="B2022" s="5" t="s">
        <v>400</v>
      </c>
      <c r="C2022" s="5" t="s">
        <v>12</v>
      </c>
      <c r="D2022" s="6">
        <v>45930</v>
      </c>
      <c r="E2022" s="12">
        <v>45984</v>
      </c>
      <c r="F2022" t="s">
        <v>2</v>
      </c>
    </row>
    <row r="2023" spans="1:6" x14ac:dyDescent="0.25">
      <c r="A2023" s="5">
        <v>26234184</v>
      </c>
      <c r="B2023" s="5" t="s">
        <v>401</v>
      </c>
      <c r="C2023" s="5" t="s">
        <v>12</v>
      </c>
      <c r="D2023" s="6">
        <v>45935</v>
      </c>
      <c r="E2023" s="12">
        <v>45984</v>
      </c>
      <c r="F2023" t="s">
        <v>2</v>
      </c>
    </row>
    <row r="2024" spans="1:6" x14ac:dyDescent="0.25">
      <c r="A2024" s="5">
        <v>26234185</v>
      </c>
      <c r="B2024" s="5" t="s">
        <v>401</v>
      </c>
      <c r="C2024" s="5" t="s">
        <v>79</v>
      </c>
      <c r="D2024" s="6">
        <v>45935</v>
      </c>
      <c r="E2024" s="12">
        <v>45984</v>
      </c>
      <c r="F2024" t="s">
        <v>2</v>
      </c>
    </row>
    <row r="2025" spans="1:6" x14ac:dyDescent="0.25">
      <c r="A2025" s="5">
        <v>26234186</v>
      </c>
      <c r="B2025" s="5" t="s">
        <v>401</v>
      </c>
      <c r="C2025" s="5" t="s">
        <v>12</v>
      </c>
      <c r="D2025" s="6">
        <v>45935</v>
      </c>
      <c r="E2025" s="12">
        <v>45984</v>
      </c>
      <c r="F2025" t="s">
        <v>2</v>
      </c>
    </row>
    <row r="2026" spans="1:6" x14ac:dyDescent="0.25">
      <c r="A2026" s="5">
        <v>26234187</v>
      </c>
      <c r="B2026" s="5" t="s">
        <v>401</v>
      </c>
      <c r="C2026" s="5" t="s">
        <v>12</v>
      </c>
      <c r="D2026" s="6">
        <v>45930</v>
      </c>
      <c r="E2026" s="12">
        <v>45984</v>
      </c>
      <c r="F2026" t="s">
        <v>2</v>
      </c>
    </row>
    <row r="2027" spans="1:6" x14ac:dyDescent="0.25">
      <c r="A2027" s="5">
        <v>26234188</v>
      </c>
      <c r="B2027" s="5" t="s">
        <v>401</v>
      </c>
      <c r="C2027" s="5" t="s">
        <v>12</v>
      </c>
      <c r="D2027" s="6">
        <v>45868</v>
      </c>
      <c r="E2027" s="12">
        <v>45984</v>
      </c>
      <c r="F2027" t="s">
        <v>2</v>
      </c>
    </row>
    <row r="2028" spans="1:6" x14ac:dyDescent="0.25">
      <c r="A2028" s="5">
        <v>26234189</v>
      </c>
      <c r="B2028" s="5" t="s">
        <v>400</v>
      </c>
      <c r="C2028" s="5" t="s">
        <v>12</v>
      </c>
      <c r="D2028" s="6">
        <v>45935</v>
      </c>
      <c r="E2028" s="12">
        <v>45984</v>
      </c>
      <c r="F2028" t="s">
        <v>2</v>
      </c>
    </row>
    <row r="2029" spans="1:6" x14ac:dyDescent="0.25">
      <c r="A2029" s="5">
        <v>26234190</v>
      </c>
      <c r="B2029" s="5" t="s">
        <v>400</v>
      </c>
      <c r="C2029" s="5" t="s">
        <v>12</v>
      </c>
      <c r="D2029" s="6">
        <v>45930</v>
      </c>
      <c r="E2029" s="12">
        <v>45984</v>
      </c>
      <c r="F2029" t="s">
        <v>2</v>
      </c>
    </row>
    <row r="2030" spans="1:6" x14ac:dyDescent="0.25">
      <c r="A2030" s="5">
        <v>26234191</v>
      </c>
      <c r="B2030" s="5" t="s">
        <v>400</v>
      </c>
      <c r="C2030" s="5" t="s">
        <v>18</v>
      </c>
      <c r="D2030" s="6">
        <v>45930</v>
      </c>
      <c r="E2030" s="12">
        <v>45984</v>
      </c>
      <c r="F2030" t="s">
        <v>2</v>
      </c>
    </row>
    <row r="2031" spans="1:6" x14ac:dyDescent="0.25">
      <c r="A2031" s="5">
        <v>26234192</v>
      </c>
      <c r="B2031" s="5" t="s">
        <v>401</v>
      </c>
      <c r="C2031" s="5" t="s">
        <v>12</v>
      </c>
      <c r="D2031" s="6">
        <v>45930</v>
      </c>
      <c r="E2031" s="12">
        <v>45984</v>
      </c>
      <c r="F2031" t="s">
        <v>2</v>
      </c>
    </row>
    <row r="2032" spans="1:6" x14ac:dyDescent="0.25">
      <c r="A2032" s="5">
        <v>26234193</v>
      </c>
      <c r="B2032" s="5" t="s">
        <v>401</v>
      </c>
      <c r="C2032" s="5" t="s">
        <v>12</v>
      </c>
      <c r="D2032" s="6">
        <v>45930</v>
      </c>
      <c r="E2032" s="12">
        <v>45984</v>
      </c>
      <c r="F2032" t="s">
        <v>2</v>
      </c>
    </row>
    <row r="2033" spans="1:6" x14ac:dyDescent="0.25">
      <c r="A2033" s="5">
        <v>26234194</v>
      </c>
      <c r="B2033" s="5" t="s">
        <v>401</v>
      </c>
      <c r="C2033" s="5" t="s">
        <v>12</v>
      </c>
      <c r="D2033" s="6">
        <v>45935</v>
      </c>
      <c r="E2033" s="12">
        <v>45984</v>
      </c>
      <c r="F2033" t="s">
        <v>2</v>
      </c>
    </row>
    <row r="2034" spans="1:6" x14ac:dyDescent="0.25">
      <c r="A2034" s="5">
        <v>26234195</v>
      </c>
      <c r="B2034" s="5" t="s">
        <v>400</v>
      </c>
      <c r="C2034" s="5" t="s">
        <v>12</v>
      </c>
      <c r="D2034" s="6">
        <v>45930</v>
      </c>
      <c r="E2034" s="12">
        <v>45984</v>
      </c>
      <c r="F2034" t="s">
        <v>2</v>
      </c>
    </row>
    <row r="2035" spans="1:6" x14ac:dyDescent="0.25">
      <c r="A2035" s="5">
        <v>26234196</v>
      </c>
      <c r="B2035" s="5" t="s">
        <v>401</v>
      </c>
      <c r="C2035" s="5" t="s">
        <v>12</v>
      </c>
      <c r="D2035" s="6">
        <v>45930</v>
      </c>
      <c r="E2035" s="12">
        <v>45984</v>
      </c>
      <c r="F2035" t="s">
        <v>2</v>
      </c>
    </row>
    <row r="2036" spans="1:6" x14ac:dyDescent="0.25">
      <c r="A2036" s="5">
        <v>26234197</v>
      </c>
      <c r="B2036" s="5" t="s">
        <v>400</v>
      </c>
      <c r="C2036" s="5" t="s">
        <v>12</v>
      </c>
      <c r="D2036" s="6">
        <v>45930</v>
      </c>
      <c r="E2036" s="12">
        <v>45984</v>
      </c>
      <c r="F2036" t="s">
        <v>2</v>
      </c>
    </row>
    <row r="2037" spans="1:6" x14ac:dyDescent="0.25">
      <c r="A2037" s="5">
        <v>26234198</v>
      </c>
      <c r="B2037" s="5" t="s">
        <v>400</v>
      </c>
      <c r="C2037" s="5" t="s">
        <v>12</v>
      </c>
      <c r="D2037" s="6">
        <v>45930</v>
      </c>
      <c r="E2037" s="12">
        <v>45984</v>
      </c>
      <c r="F2037" t="s">
        <v>2</v>
      </c>
    </row>
    <row r="2038" spans="1:6" x14ac:dyDescent="0.25">
      <c r="A2038" s="5">
        <v>26234199</v>
      </c>
      <c r="B2038" s="5" t="s">
        <v>400</v>
      </c>
      <c r="C2038" s="5" t="s">
        <v>12</v>
      </c>
      <c r="D2038" s="6">
        <v>45930</v>
      </c>
      <c r="E2038" s="12">
        <v>45984</v>
      </c>
      <c r="F2038" t="s">
        <v>2</v>
      </c>
    </row>
    <row r="2039" spans="1:6" x14ac:dyDescent="0.25">
      <c r="A2039" s="5">
        <v>26234200</v>
      </c>
      <c r="B2039" s="5" t="s">
        <v>401</v>
      </c>
      <c r="C2039" s="5" t="s">
        <v>12</v>
      </c>
      <c r="D2039" s="6">
        <v>45966</v>
      </c>
      <c r="E2039" s="12">
        <v>45984</v>
      </c>
      <c r="F2039" t="s">
        <v>2</v>
      </c>
    </row>
    <row r="2040" spans="1:6" x14ac:dyDescent="0.25">
      <c r="A2040" s="5">
        <v>26234201</v>
      </c>
      <c r="B2040" s="5" t="s">
        <v>400</v>
      </c>
      <c r="C2040" s="5" t="s">
        <v>12</v>
      </c>
      <c r="D2040" s="6">
        <v>45930</v>
      </c>
      <c r="E2040" s="12">
        <v>45984</v>
      </c>
      <c r="F2040" t="s">
        <v>2</v>
      </c>
    </row>
    <row r="2041" spans="1:6" x14ac:dyDescent="0.25">
      <c r="A2041" s="5">
        <v>26234202</v>
      </c>
      <c r="B2041" s="5" t="s">
        <v>401</v>
      </c>
      <c r="C2041" s="5" t="s">
        <v>12</v>
      </c>
      <c r="D2041" s="6">
        <v>45930</v>
      </c>
      <c r="E2041" s="12">
        <v>45984</v>
      </c>
      <c r="F2041" t="s">
        <v>2</v>
      </c>
    </row>
    <row r="2042" spans="1:6" x14ac:dyDescent="0.25">
      <c r="A2042" s="5">
        <v>26234203</v>
      </c>
      <c r="B2042" s="5" t="s">
        <v>400</v>
      </c>
      <c r="C2042" s="5" t="s">
        <v>12</v>
      </c>
      <c r="D2042" s="6">
        <v>45930</v>
      </c>
      <c r="E2042" s="12">
        <v>45984</v>
      </c>
      <c r="F2042" t="s">
        <v>2</v>
      </c>
    </row>
    <row r="2043" spans="1:6" x14ac:dyDescent="0.25">
      <c r="A2043" s="5">
        <v>26234204</v>
      </c>
      <c r="B2043" s="5" t="s">
        <v>400</v>
      </c>
      <c r="C2043" s="5" t="s">
        <v>12</v>
      </c>
      <c r="D2043" s="6">
        <v>45935</v>
      </c>
      <c r="E2043" s="12">
        <v>45984</v>
      </c>
      <c r="F2043" t="s">
        <v>2</v>
      </c>
    </row>
    <row r="2044" spans="1:6" x14ac:dyDescent="0.25">
      <c r="A2044" s="5">
        <v>26234205</v>
      </c>
      <c r="B2044" s="5" t="s">
        <v>400</v>
      </c>
      <c r="C2044" s="5" t="s">
        <v>12</v>
      </c>
      <c r="D2044" s="6">
        <v>45935</v>
      </c>
      <c r="E2044" s="12">
        <v>45984</v>
      </c>
      <c r="F2044" t="s">
        <v>2</v>
      </c>
    </row>
    <row r="2045" spans="1:6" x14ac:dyDescent="0.25">
      <c r="A2045" s="5">
        <v>26234206</v>
      </c>
      <c r="B2045" s="5" t="s">
        <v>400</v>
      </c>
      <c r="C2045" s="5" t="s">
        <v>12</v>
      </c>
      <c r="D2045" s="6">
        <v>45935</v>
      </c>
      <c r="E2045" s="12">
        <v>45984</v>
      </c>
      <c r="F2045" t="s">
        <v>2</v>
      </c>
    </row>
    <row r="2046" spans="1:6" x14ac:dyDescent="0.25">
      <c r="A2046" s="5">
        <v>26234207</v>
      </c>
      <c r="B2046" s="5" t="s">
        <v>401</v>
      </c>
      <c r="C2046" s="5" t="s">
        <v>12</v>
      </c>
      <c r="D2046" s="6">
        <v>45935</v>
      </c>
      <c r="E2046" s="12">
        <v>45984</v>
      </c>
      <c r="F2046" t="s">
        <v>2</v>
      </c>
    </row>
    <row r="2047" spans="1:6" x14ac:dyDescent="0.25">
      <c r="A2047" s="5">
        <v>26234208</v>
      </c>
      <c r="B2047" s="5" t="s">
        <v>401</v>
      </c>
      <c r="C2047" s="5" t="s">
        <v>12</v>
      </c>
      <c r="D2047" s="6">
        <v>45935</v>
      </c>
      <c r="E2047" s="12">
        <v>45984</v>
      </c>
      <c r="F2047" t="s">
        <v>2</v>
      </c>
    </row>
    <row r="2048" spans="1:6" x14ac:dyDescent="0.25">
      <c r="A2048" s="5">
        <v>26234209</v>
      </c>
      <c r="B2048" s="5" t="s">
        <v>400</v>
      </c>
      <c r="C2048" s="5" t="s">
        <v>12</v>
      </c>
      <c r="D2048" s="6">
        <v>45935</v>
      </c>
      <c r="E2048" s="12">
        <v>45984</v>
      </c>
      <c r="F2048" t="s">
        <v>2</v>
      </c>
    </row>
    <row r="2049" spans="1:6" x14ac:dyDescent="0.25">
      <c r="A2049" s="5">
        <v>26234210</v>
      </c>
      <c r="B2049" s="5" t="s">
        <v>401</v>
      </c>
      <c r="C2049" s="5" t="s">
        <v>18</v>
      </c>
      <c r="D2049" s="6">
        <v>45930</v>
      </c>
      <c r="E2049" s="12">
        <v>45984</v>
      </c>
      <c r="F2049" t="s">
        <v>2</v>
      </c>
    </row>
    <row r="2050" spans="1:6" x14ac:dyDescent="0.25">
      <c r="A2050" s="5">
        <v>26234211</v>
      </c>
      <c r="B2050" s="5" t="s">
        <v>401</v>
      </c>
      <c r="C2050" s="5" t="s">
        <v>12</v>
      </c>
      <c r="D2050" s="6">
        <v>45930</v>
      </c>
      <c r="E2050" s="12">
        <v>45984</v>
      </c>
      <c r="F2050" t="s">
        <v>2</v>
      </c>
    </row>
    <row r="2051" spans="1:6" x14ac:dyDescent="0.25">
      <c r="A2051" s="5">
        <v>26234212</v>
      </c>
      <c r="B2051" s="5" t="s">
        <v>400</v>
      </c>
      <c r="C2051" s="5" t="s">
        <v>12</v>
      </c>
      <c r="D2051" s="6">
        <v>45930</v>
      </c>
      <c r="E2051" s="12">
        <v>45984</v>
      </c>
      <c r="F2051" t="s">
        <v>2</v>
      </c>
    </row>
    <row r="2052" spans="1:6" x14ac:dyDescent="0.25">
      <c r="A2052" s="5">
        <v>26234213</v>
      </c>
      <c r="B2052" s="5" t="s">
        <v>400</v>
      </c>
      <c r="C2052" s="5" t="s">
        <v>12</v>
      </c>
      <c r="D2052" s="6">
        <v>45935</v>
      </c>
      <c r="E2052" s="12">
        <v>45984</v>
      </c>
      <c r="F2052" t="s">
        <v>2</v>
      </c>
    </row>
    <row r="2053" spans="1:6" x14ac:dyDescent="0.25">
      <c r="A2053" s="5">
        <v>26234214</v>
      </c>
      <c r="B2053" s="5" t="s">
        <v>401</v>
      </c>
      <c r="C2053" s="5" t="s">
        <v>18</v>
      </c>
      <c r="D2053" s="6">
        <v>45935</v>
      </c>
      <c r="E2053" s="12">
        <v>45984</v>
      </c>
      <c r="F2053" t="s">
        <v>2</v>
      </c>
    </row>
    <row r="2054" spans="1:6" x14ac:dyDescent="0.25">
      <c r="A2054" s="5">
        <v>26234236</v>
      </c>
      <c r="B2054" s="5" t="s">
        <v>401</v>
      </c>
      <c r="C2054" s="5" t="s">
        <v>12</v>
      </c>
      <c r="D2054" s="6">
        <v>45935</v>
      </c>
      <c r="E2054" s="12">
        <v>45988</v>
      </c>
      <c r="F2054" t="s">
        <v>0</v>
      </c>
    </row>
    <row r="2055" spans="1:6" x14ac:dyDescent="0.25">
      <c r="A2055" s="5">
        <v>26234237</v>
      </c>
      <c r="B2055" s="5" t="s">
        <v>400</v>
      </c>
      <c r="C2055" s="5" t="s">
        <v>18</v>
      </c>
      <c r="D2055" s="6">
        <v>45935</v>
      </c>
      <c r="E2055" s="12">
        <v>45988</v>
      </c>
      <c r="F2055" t="s">
        <v>0</v>
      </c>
    </row>
    <row r="2056" spans="1:6" x14ac:dyDescent="0.25">
      <c r="A2056" s="5">
        <v>26234238</v>
      </c>
      <c r="B2056" s="5" t="s">
        <v>400</v>
      </c>
      <c r="C2056" s="5" t="s">
        <v>12</v>
      </c>
      <c r="D2056" s="6">
        <v>45935</v>
      </c>
      <c r="E2056" s="12">
        <v>45988</v>
      </c>
      <c r="F2056" t="s">
        <v>0</v>
      </c>
    </row>
    <row r="2057" spans="1:6" x14ac:dyDescent="0.25">
      <c r="A2057" s="5">
        <v>26234239</v>
      </c>
      <c r="B2057" s="5" t="s">
        <v>401</v>
      </c>
      <c r="C2057" s="5" t="s">
        <v>12</v>
      </c>
      <c r="D2057" s="6">
        <v>45935</v>
      </c>
      <c r="E2057" s="12">
        <v>45988</v>
      </c>
      <c r="F2057" t="s">
        <v>0</v>
      </c>
    </row>
    <row r="2058" spans="1:6" x14ac:dyDescent="0.25">
      <c r="A2058" s="5">
        <v>26234240</v>
      </c>
      <c r="B2058" s="5" t="s">
        <v>401</v>
      </c>
      <c r="C2058" s="5" t="s">
        <v>12</v>
      </c>
      <c r="D2058" s="6">
        <v>45935</v>
      </c>
      <c r="E2058" s="12">
        <v>45988</v>
      </c>
      <c r="F2058" t="s">
        <v>0</v>
      </c>
    </row>
    <row r="2059" spans="1:6" x14ac:dyDescent="0.25">
      <c r="A2059" s="5">
        <v>26234241</v>
      </c>
      <c r="B2059" s="5" t="s">
        <v>400</v>
      </c>
      <c r="C2059" s="5" t="s">
        <v>12</v>
      </c>
      <c r="D2059" s="6">
        <v>45935</v>
      </c>
      <c r="E2059" s="12">
        <v>45988</v>
      </c>
      <c r="F2059" t="s">
        <v>0</v>
      </c>
    </row>
    <row r="2060" spans="1:6" x14ac:dyDescent="0.25">
      <c r="A2060" s="5">
        <v>26234242</v>
      </c>
      <c r="B2060" s="5" t="s">
        <v>401</v>
      </c>
      <c r="C2060" s="5" t="s">
        <v>12</v>
      </c>
      <c r="D2060" s="6">
        <v>45935</v>
      </c>
      <c r="E2060" s="12">
        <v>45988</v>
      </c>
      <c r="F2060" t="s">
        <v>0</v>
      </c>
    </row>
    <row r="2061" spans="1:6" x14ac:dyDescent="0.25">
      <c r="A2061" s="5">
        <v>26234243</v>
      </c>
      <c r="B2061" s="5" t="s">
        <v>400</v>
      </c>
      <c r="C2061" s="5" t="s">
        <v>12</v>
      </c>
      <c r="D2061" s="6">
        <v>45935</v>
      </c>
      <c r="E2061" s="12">
        <v>45988</v>
      </c>
      <c r="F2061" t="s">
        <v>0</v>
      </c>
    </row>
    <row r="2062" spans="1:6" x14ac:dyDescent="0.25">
      <c r="A2062" s="5">
        <v>26234244</v>
      </c>
      <c r="B2062" s="5" t="s">
        <v>401</v>
      </c>
      <c r="C2062" s="5" t="s">
        <v>12</v>
      </c>
      <c r="D2062" s="6">
        <v>45935</v>
      </c>
      <c r="E2062" s="12">
        <v>45988</v>
      </c>
      <c r="F2062" t="s">
        <v>0</v>
      </c>
    </row>
    <row r="2063" spans="1:6" x14ac:dyDescent="0.25">
      <c r="A2063" s="5">
        <v>26234245</v>
      </c>
      <c r="B2063" s="5" t="s">
        <v>401</v>
      </c>
      <c r="C2063" s="5" t="s">
        <v>18</v>
      </c>
      <c r="D2063" s="6">
        <v>45935</v>
      </c>
      <c r="E2063" s="12">
        <v>45988</v>
      </c>
      <c r="F2063" t="s">
        <v>0</v>
      </c>
    </row>
    <row r="2064" spans="1:6" x14ac:dyDescent="0.25">
      <c r="A2064" s="5">
        <v>26234246</v>
      </c>
      <c r="B2064" s="5" t="s">
        <v>400</v>
      </c>
      <c r="C2064" s="5" t="s">
        <v>12</v>
      </c>
      <c r="D2064" s="6">
        <v>45935</v>
      </c>
      <c r="E2064" s="12">
        <v>45988</v>
      </c>
      <c r="F2064" t="s">
        <v>0</v>
      </c>
    </row>
    <row r="2065" spans="1:6" x14ac:dyDescent="0.25">
      <c r="A2065" s="5">
        <v>26234247</v>
      </c>
      <c r="B2065" s="5" t="s">
        <v>400</v>
      </c>
      <c r="C2065" s="5" t="s">
        <v>12</v>
      </c>
      <c r="D2065" s="6">
        <v>45935</v>
      </c>
      <c r="E2065" s="12">
        <v>45988</v>
      </c>
      <c r="F2065" t="s">
        <v>0</v>
      </c>
    </row>
    <row r="2066" spans="1:6" x14ac:dyDescent="0.25">
      <c r="A2066" s="5">
        <v>26234248</v>
      </c>
      <c r="B2066" s="5" t="s">
        <v>400</v>
      </c>
      <c r="C2066" s="5" t="s">
        <v>12</v>
      </c>
      <c r="D2066" s="6">
        <v>45935</v>
      </c>
      <c r="E2066" s="12">
        <v>45988</v>
      </c>
      <c r="F2066" t="s">
        <v>0</v>
      </c>
    </row>
    <row r="2067" spans="1:6" x14ac:dyDescent="0.25">
      <c r="A2067" s="5">
        <v>26234249</v>
      </c>
      <c r="B2067" s="5" t="s">
        <v>400</v>
      </c>
      <c r="C2067" s="5" t="s">
        <v>18</v>
      </c>
      <c r="D2067" s="6">
        <v>45935</v>
      </c>
      <c r="E2067" s="12">
        <v>45988</v>
      </c>
      <c r="F2067" t="s">
        <v>0</v>
      </c>
    </row>
    <row r="2068" spans="1:6" x14ac:dyDescent="0.25">
      <c r="A2068" s="5">
        <v>26234250</v>
      </c>
      <c r="B2068" s="5" t="s">
        <v>400</v>
      </c>
      <c r="C2068" s="5" t="s">
        <v>12</v>
      </c>
      <c r="D2068" s="6">
        <v>45935</v>
      </c>
      <c r="E2068" s="12">
        <v>45988</v>
      </c>
      <c r="F2068" t="s">
        <v>0</v>
      </c>
    </row>
    <row r="2069" spans="1:6" x14ac:dyDescent="0.25">
      <c r="A2069" s="5">
        <v>26234251</v>
      </c>
      <c r="B2069" s="5" t="s">
        <v>400</v>
      </c>
      <c r="C2069" s="5" t="s">
        <v>12</v>
      </c>
      <c r="D2069" s="6">
        <v>45935</v>
      </c>
      <c r="E2069" s="12">
        <v>45988</v>
      </c>
      <c r="F2069" t="s">
        <v>0</v>
      </c>
    </row>
    <row r="2070" spans="1:6" x14ac:dyDescent="0.25">
      <c r="A2070" s="5">
        <v>26234252</v>
      </c>
      <c r="B2070" s="5" t="s">
        <v>401</v>
      </c>
      <c r="C2070" s="5" t="s">
        <v>12</v>
      </c>
      <c r="D2070" s="6">
        <v>45935</v>
      </c>
      <c r="E2070" s="12">
        <v>45988</v>
      </c>
      <c r="F2070" t="s">
        <v>0</v>
      </c>
    </row>
    <row r="2071" spans="1:6" x14ac:dyDescent="0.25">
      <c r="A2071" s="5">
        <v>26234253</v>
      </c>
      <c r="B2071" s="5" t="s">
        <v>400</v>
      </c>
      <c r="C2071" s="5" t="s">
        <v>12</v>
      </c>
      <c r="D2071" s="6">
        <v>45935</v>
      </c>
      <c r="E2071" s="12">
        <v>45988</v>
      </c>
      <c r="F2071" t="s">
        <v>0</v>
      </c>
    </row>
    <row r="2072" spans="1:6" x14ac:dyDescent="0.25">
      <c r="A2072" s="5">
        <v>26234254</v>
      </c>
      <c r="B2072" s="5" t="s">
        <v>400</v>
      </c>
      <c r="C2072" s="5" t="s">
        <v>12</v>
      </c>
      <c r="D2072" s="6">
        <v>45935</v>
      </c>
      <c r="E2072" s="12">
        <v>45988</v>
      </c>
      <c r="F2072" t="s">
        <v>0</v>
      </c>
    </row>
    <row r="2073" spans="1:6" x14ac:dyDescent="0.25">
      <c r="A2073" s="5">
        <v>26234255</v>
      </c>
      <c r="B2073" s="5" t="s">
        <v>400</v>
      </c>
      <c r="C2073" s="5" t="s">
        <v>12</v>
      </c>
      <c r="D2073" s="6">
        <v>45935</v>
      </c>
      <c r="E2073" s="12">
        <v>45988</v>
      </c>
      <c r="F2073" t="s">
        <v>0</v>
      </c>
    </row>
    <row r="2074" spans="1:6" x14ac:dyDescent="0.25">
      <c r="A2074" s="5">
        <v>26234256</v>
      </c>
      <c r="B2074" s="5" t="s">
        <v>400</v>
      </c>
      <c r="C2074" s="5" t="s">
        <v>12</v>
      </c>
      <c r="D2074" s="6">
        <v>45935</v>
      </c>
      <c r="E2074" s="12">
        <v>45988</v>
      </c>
      <c r="F2074" t="s">
        <v>0</v>
      </c>
    </row>
    <row r="2075" spans="1:6" x14ac:dyDescent="0.25">
      <c r="A2075" s="5">
        <v>26234257</v>
      </c>
      <c r="B2075" s="5" t="s">
        <v>401</v>
      </c>
      <c r="C2075" s="5" t="s">
        <v>12</v>
      </c>
      <c r="D2075" s="6">
        <v>45935</v>
      </c>
      <c r="E2075" s="12">
        <v>45988</v>
      </c>
      <c r="F2075" t="s">
        <v>0</v>
      </c>
    </row>
    <row r="2076" spans="1:6" x14ac:dyDescent="0.25">
      <c r="A2076" s="5">
        <v>26234258</v>
      </c>
      <c r="B2076" s="5" t="s">
        <v>400</v>
      </c>
      <c r="C2076" s="5" t="s">
        <v>12</v>
      </c>
      <c r="D2076" s="6">
        <v>45935</v>
      </c>
      <c r="E2076" s="12">
        <v>45988</v>
      </c>
      <c r="F2076" t="s">
        <v>0</v>
      </c>
    </row>
    <row r="2077" spans="1:6" x14ac:dyDescent="0.25">
      <c r="A2077" s="5">
        <v>26234259</v>
      </c>
      <c r="B2077" s="5" t="s">
        <v>400</v>
      </c>
      <c r="C2077" s="5" t="s">
        <v>12</v>
      </c>
      <c r="D2077" s="6">
        <v>45935</v>
      </c>
      <c r="E2077" s="12">
        <v>45988</v>
      </c>
      <c r="F2077" t="s">
        <v>0</v>
      </c>
    </row>
    <row r="2078" spans="1:6" x14ac:dyDescent="0.25">
      <c r="A2078" s="5">
        <v>26234260</v>
      </c>
      <c r="B2078" s="5" t="s">
        <v>401</v>
      </c>
      <c r="C2078" s="5" t="s">
        <v>12</v>
      </c>
      <c r="D2078" s="6">
        <v>45935</v>
      </c>
      <c r="E2078" s="12">
        <v>45988</v>
      </c>
      <c r="F2078" t="s">
        <v>0</v>
      </c>
    </row>
    <row r="2079" spans="1:6" x14ac:dyDescent="0.25">
      <c r="A2079" s="5">
        <v>26234261</v>
      </c>
      <c r="B2079" s="5" t="s">
        <v>400</v>
      </c>
      <c r="C2079" s="5" t="s">
        <v>12</v>
      </c>
      <c r="D2079" s="6">
        <v>45935</v>
      </c>
      <c r="E2079" s="12">
        <v>45988</v>
      </c>
      <c r="F2079" t="s">
        <v>0</v>
      </c>
    </row>
    <row r="2080" spans="1:6" x14ac:dyDescent="0.25">
      <c r="A2080" s="5">
        <v>26234262</v>
      </c>
      <c r="B2080" s="5" t="s">
        <v>400</v>
      </c>
      <c r="C2080" s="5" t="s">
        <v>12</v>
      </c>
      <c r="D2080" s="6">
        <v>45935</v>
      </c>
      <c r="E2080" s="12">
        <v>45988</v>
      </c>
      <c r="F2080" t="s">
        <v>0</v>
      </c>
    </row>
    <row r="2081" spans="1:6" x14ac:dyDescent="0.25">
      <c r="A2081" s="5">
        <v>26234263</v>
      </c>
      <c r="B2081" s="5" t="s">
        <v>400</v>
      </c>
      <c r="C2081" s="5" t="s">
        <v>18</v>
      </c>
      <c r="D2081" s="6">
        <v>45935</v>
      </c>
      <c r="E2081" s="12">
        <v>45988</v>
      </c>
      <c r="F2081" t="s">
        <v>0</v>
      </c>
    </row>
    <row r="2082" spans="1:6" x14ac:dyDescent="0.25">
      <c r="A2082" s="5">
        <v>26234264</v>
      </c>
      <c r="B2082" s="5" t="s">
        <v>401</v>
      </c>
      <c r="C2082" s="5" t="s">
        <v>12</v>
      </c>
      <c r="D2082" s="6">
        <v>45935</v>
      </c>
      <c r="E2082" s="12">
        <v>45988</v>
      </c>
      <c r="F2082" t="s">
        <v>0</v>
      </c>
    </row>
    <row r="2083" spans="1:6" x14ac:dyDescent="0.25">
      <c r="A2083" s="5">
        <v>26234265</v>
      </c>
      <c r="B2083" s="5" t="s">
        <v>401</v>
      </c>
      <c r="C2083" s="5" t="s">
        <v>12</v>
      </c>
      <c r="D2083" s="6">
        <v>45935</v>
      </c>
      <c r="E2083" s="12">
        <v>45988</v>
      </c>
      <c r="F2083" t="s">
        <v>0</v>
      </c>
    </row>
    <row r="2084" spans="1:6" x14ac:dyDescent="0.25">
      <c r="A2084" s="5">
        <v>26234266</v>
      </c>
      <c r="B2084" s="5" t="s">
        <v>400</v>
      </c>
      <c r="C2084" s="5" t="s">
        <v>12</v>
      </c>
      <c r="D2084" s="6">
        <v>45935</v>
      </c>
      <c r="E2084" s="12">
        <v>45988</v>
      </c>
      <c r="F2084" t="s">
        <v>0</v>
      </c>
    </row>
    <row r="2085" spans="1:6" x14ac:dyDescent="0.25">
      <c r="A2085" s="5">
        <v>26234267</v>
      </c>
      <c r="B2085" s="5" t="s">
        <v>401</v>
      </c>
      <c r="C2085" s="5" t="s">
        <v>12</v>
      </c>
      <c r="D2085" s="6">
        <v>45935</v>
      </c>
      <c r="E2085" s="12">
        <v>45988</v>
      </c>
      <c r="F2085" t="s">
        <v>0</v>
      </c>
    </row>
    <row r="2086" spans="1:6" x14ac:dyDescent="0.25">
      <c r="A2086" s="5">
        <v>26234268</v>
      </c>
      <c r="B2086" s="5" t="s">
        <v>400</v>
      </c>
      <c r="C2086" s="5" t="s">
        <v>12</v>
      </c>
      <c r="D2086" s="6">
        <v>45935</v>
      </c>
      <c r="E2086" s="12">
        <v>45988</v>
      </c>
      <c r="F2086" t="s">
        <v>0</v>
      </c>
    </row>
    <row r="2087" spans="1:6" x14ac:dyDescent="0.25">
      <c r="A2087" s="5">
        <v>26234269</v>
      </c>
      <c r="B2087" s="5" t="s">
        <v>401</v>
      </c>
      <c r="C2087" s="5" t="s">
        <v>12</v>
      </c>
      <c r="D2087" s="6">
        <v>45935</v>
      </c>
      <c r="E2087" s="12">
        <v>45988</v>
      </c>
      <c r="F2087" t="s">
        <v>0</v>
      </c>
    </row>
    <row r="2088" spans="1:6" x14ac:dyDescent="0.25">
      <c r="A2088" s="5">
        <v>26234270</v>
      </c>
      <c r="B2088" s="5" t="s">
        <v>400</v>
      </c>
      <c r="C2088" s="5" t="s">
        <v>12</v>
      </c>
      <c r="D2088" s="6">
        <v>45935</v>
      </c>
      <c r="E2088" s="12">
        <v>45988</v>
      </c>
      <c r="F2088" t="s">
        <v>0</v>
      </c>
    </row>
    <row r="2089" spans="1:6" x14ac:dyDescent="0.25">
      <c r="A2089" s="5">
        <v>26234271</v>
      </c>
      <c r="B2089" s="5" t="s">
        <v>401</v>
      </c>
      <c r="C2089" s="5" t="s">
        <v>12</v>
      </c>
      <c r="D2089" s="6">
        <v>45935</v>
      </c>
      <c r="E2089" s="12">
        <v>45988</v>
      </c>
      <c r="F2089" t="s">
        <v>0</v>
      </c>
    </row>
    <row r="2090" spans="1:6" x14ac:dyDescent="0.25">
      <c r="A2090" s="5">
        <v>26234272</v>
      </c>
      <c r="B2090" s="5" t="s">
        <v>400</v>
      </c>
      <c r="C2090" s="5" t="s">
        <v>18</v>
      </c>
      <c r="D2090" s="6">
        <v>45935</v>
      </c>
      <c r="E2090" s="12">
        <v>45988</v>
      </c>
      <c r="F2090" t="s">
        <v>0</v>
      </c>
    </row>
    <row r="2091" spans="1:6" x14ac:dyDescent="0.25">
      <c r="A2091" s="5">
        <v>26234273</v>
      </c>
      <c r="B2091" s="5" t="s">
        <v>401</v>
      </c>
      <c r="C2091" s="5" t="s">
        <v>18</v>
      </c>
      <c r="D2091" s="6">
        <v>45935</v>
      </c>
      <c r="E2091" s="12">
        <v>45988</v>
      </c>
      <c r="F2091" t="s">
        <v>0</v>
      </c>
    </row>
    <row r="2092" spans="1:6" x14ac:dyDescent="0.25">
      <c r="A2092" s="5">
        <v>26234274</v>
      </c>
      <c r="B2092" s="5" t="s">
        <v>401</v>
      </c>
      <c r="C2092" s="5" t="s">
        <v>12</v>
      </c>
      <c r="D2092" s="6">
        <v>45935</v>
      </c>
      <c r="E2092" s="12">
        <v>45988</v>
      </c>
      <c r="F2092" t="s">
        <v>0</v>
      </c>
    </row>
    <row r="2093" spans="1:6" x14ac:dyDescent="0.25">
      <c r="A2093" s="5">
        <v>26234275</v>
      </c>
      <c r="B2093" s="5" t="s">
        <v>401</v>
      </c>
      <c r="C2093" s="5" t="s">
        <v>12</v>
      </c>
      <c r="D2093" s="6">
        <v>45935</v>
      </c>
      <c r="E2093" s="12">
        <v>45988</v>
      </c>
      <c r="F2093" t="s">
        <v>0</v>
      </c>
    </row>
    <row r="2094" spans="1:6" x14ac:dyDescent="0.25">
      <c r="A2094" s="5">
        <v>26234276</v>
      </c>
      <c r="B2094" s="5" t="s">
        <v>400</v>
      </c>
      <c r="C2094" s="5" t="s">
        <v>12</v>
      </c>
      <c r="D2094" s="6">
        <v>45935</v>
      </c>
      <c r="E2094" s="12">
        <v>45988</v>
      </c>
      <c r="F2094" t="s">
        <v>0</v>
      </c>
    </row>
    <row r="2095" spans="1:6" x14ac:dyDescent="0.25">
      <c r="A2095" s="5">
        <v>26234277</v>
      </c>
      <c r="B2095" s="5" t="s">
        <v>400</v>
      </c>
      <c r="C2095" s="5" t="s">
        <v>12</v>
      </c>
      <c r="D2095" s="6">
        <v>45935</v>
      </c>
      <c r="E2095" s="12">
        <v>45988</v>
      </c>
      <c r="F2095" t="s">
        <v>0</v>
      </c>
    </row>
    <row r="2096" spans="1:6" x14ac:dyDescent="0.25">
      <c r="A2096" s="5">
        <v>26234278</v>
      </c>
      <c r="B2096" s="5" t="s">
        <v>400</v>
      </c>
      <c r="C2096" s="5" t="s">
        <v>18</v>
      </c>
      <c r="D2096" s="6">
        <v>45935</v>
      </c>
      <c r="E2096" s="12">
        <v>45988</v>
      </c>
      <c r="F2096" t="s">
        <v>0</v>
      </c>
    </row>
    <row r="2097" spans="1:6" x14ac:dyDescent="0.25">
      <c r="A2097" s="5">
        <v>26234215</v>
      </c>
      <c r="B2097" s="5" t="s">
        <v>401</v>
      </c>
      <c r="C2097" s="5" t="s">
        <v>12</v>
      </c>
      <c r="D2097" s="6">
        <v>45935</v>
      </c>
      <c r="E2097" s="12">
        <v>45988</v>
      </c>
      <c r="F2097" t="s">
        <v>0</v>
      </c>
    </row>
    <row r="2098" spans="1:6" x14ac:dyDescent="0.25">
      <c r="A2098" s="5">
        <v>26234216</v>
      </c>
      <c r="B2098" s="5" t="s">
        <v>401</v>
      </c>
      <c r="C2098" s="5" t="s">
        <v>12</v>
      </c>
      <c r="D2098" s="6">
        <v>45935</v>
      </c>
      <c r="E2098" s="12">
        <v>45988</v>
      </c>
      <c r="F2098" t="s">
        <v>0</v>
      </c>
    </row>
    <row r="2099" spans="1:6" x14ac:dyDescent="0.25">
      <c r="A2099" s="5">
        <v>26234217</v>
      </c>
      <c r="B2099" s="5" t="s">
        <v>400</v>
      </c>
      <c r="C2099" s="5" t="s">
        <v>79</v>
      </c>
      <c r="D2099" s="6">
        <v>45935</v>
      </c>
      <c r="E2099" s="12">
        <v>45988</v>
      </c>
      <c r="F2099" t="s">
        <v>0</v>
      </c>
    </row>
    <row r="2100" spans="1:6" x14ac:dyDescent="0.25">
      <c r="A2100" s="5">
        <v>26234218</v>
      </c>
      <c r="B2100" s="5" t="s">
        <v>400</v>
      </c>
      <c r="C2100" s="5" t="s">
        <v>12</v>
      </c>
      <c r="D2100" s="6">
        <v>45935</v>
      </c>
      <c r="E2100" s="12">
        <v>45988</v>
      </c>
      <c r="F2100" t="s">
        <v>0</v>
      </c>
    </row>
    <row r="2101" spans="1:6" x14ac:dyDescent="0.25">
      <c r="A2101" s="5">
        <v>26234219</v>
      </c>
      <c r="B2101" s="5" t="s">
        <v>400</v>
      </c>
      <c r="C2101" s="5" t="s">
        <v>12</v>
      </c>
      <c r="D2101" s="6">
        <v>45935</v>
      </c>
      <c r="E2101" s="12">
        <v>45988</v>
      </c>
      <c r="F2101" t="s">
        <v>0</v>
      </c>
    </row>
    <row r="2102" spans="1:6" x14ac:dyDescent="0.25">
      <c r="A2102" s="5">
        <v>26234220</v>
      </c>
      <c r="B2102" s="5" t="s">
        <v>401</v>
      </c>
      <c r="C2102" s="5" t="s">
        <v>18</v>
      </c>
      <c r="D2102" s="6">
        <v>45935</v>
      </c>
      <c r="E2102" s="12">
        <v>45988</v>
      </c>
      <c r="F2102" t="s">
        <v>0</v>
      </c>
    </row>
    <row r="2103" spans="1:6" x14ac:dyDescent="0.25">
      <c r="A2103" s="5">
        <v>26234221</v>
      </c>
      <c r="B2103" s="5" t="s">
        <v>401</v>
      </c>
      <c r="C2103" s="5" t="s">
        <v>12</v>
      </c>
      <c r="D2103" s="6">
        <v>45935</v>
      </c>
      <c r="E2103" s="12">
        <v>45988</v>
      </c>
      <c r="F2103" t="s">
        <v>0</v>
      </c>
    </row>
    <row r="2104" spans="1:6" x14ac:dyDescent="0.25">
      <c r="A2104" s="5">
        <v>26234222</v>
      </c>
      <c r="B2104" s="5" t="s">
        <v>401</v>
      </c>
      <c r="C2104" s="5" t="s">
        <v>12</v>
      </c>
      <c r="D2104" s="6">
        <v>45935</v>
      </c>
      <c r="E2104" s="12">
        <v>45988</v>
      </c>
      <c r="F2104" t="s">
        <v>0</v>
      </c>
    </row>
    <row r="2105" spans="1:6" x14ac:dyDescent="0.25">
      <c r="A2105" s="5">
        <v>26234223</v>
      </c>
      <c r="B2105" s="5" t="s">
        <v>401</v>
      </c>
      <c r="C2105" s="5" t="s">
        <v>18</v>
      </c>
      <c r="D2105" s="6">
        <v>45935</v>
      </c>
      <c r="E2105" s="12">
        <v>45988</v>
      </c>
      <c r="F2105" t="s">
        <v>0</v>
      </c>
    </row>
    <row r="2106" spans="1:6" x14ac:dyDescent="0.25">
      <c r="A2106" s="5">
        <v>26234224</v>
      </c>
      <c r="B2106" s="5" t="s">
        <v>400</v>
      </c>
      <c r="C2106" s="5" t="s">
        <v>12</v>
      </c>
      <c r="D2106" s="6">
        <v>45935</v>
      </c>
      <c r="E2106" s="12">
        <v>45988</v>
      </c>
      <c r="F2106" t="s">
        <v>0</v>
      </c>
    </row>
    <row r="2107" spans="1:6" x14ac:dyDescent="0.25">
      <c r="A2107" s="5">
        <v>26234225</v>
      </c>
      <c r="B2107" s="5" t="s">
        <v>400</v>
      </c>
      <c r="C2107" s="5" t="s">
        <v>12</v>
      </c>
      <c r="D2107" s="6">
        <v>45935</v>
      </c>
      <c r="E2107" s="12">
        <v>45988</v>
      </c>
      <c r="F2107" t="s">
        <v>0</v>
      </c>
    </row>
    <row r="2108" spans="1:6" x14ac:dyDescent="0.25">
      <c r="A2108" s="5">
        <v>26234226</v>
      </c>
      <c r="B2108" s="5" t="s">
        <v>400</v>
      </c>
      <c r="C2108" s="5" t="s">
        <v>12</v>
      </c>
      <c r="D2108" s="6">
        <v>45935</v>
      </c>
      <c r="E2108" s="12">
        <v>45988</v>
      </c>
      <c r="F2108" t="s">
        <v>0</v>
      </c>
    </row>
    <row r="2109" spans="1:6" x14ac:dyDescent="0.25">
      <c r="A2109" s="5">
        <v>26234227</v>
      </c>
      <c r="B2109" s="5" t="s">
        <v>400</v>
      </c>
      <c r="C2109" s="5" t="s">
        <v>18</v>
      </c>
      <c r="D2109" s="6">
        <v>45935</v>
      </c>
      <c r="E2109" s="12">
        <v>45988</v>
      </c>
      <c r="F2109" t="s">
        <v>0</v>
      </c>
    </row>
    <row r="2110" spans="1:6" x14ac:dyDescent="0.25">
      <c r="A2110" s="5">
        <v>26234228</v>
      </c>
      <c r="B2110" s="5" t="s">
        <v>401</v>
      </c>
      <c r="C2110" s="5" t="s">
        <v>12</v>
      </c>
      <c r="D2110" s="6">
        <v>45935</v>
      </c>
      <c r="E2110" s="12">
        <v>45988</v>
      </c>
      <c r="F2110" t="s">
        <v>0</v>
      </c>
    </row>
    <row r="2111" spans="1:6" x14ac:dyDescent="0.25">
      <c r="A2111" s="5">
        <v>26234229</v>
      </c>
      <c r="B2111" s="5" t="s">
        <v>401</v>
      </c>
      <c r="C2111" s="5" t="s">
        <v>12</v>
      </c>
      <c r="D2111" s="6">
        <v>45935</v>
      </c>
      <c r="E2111" s="12">
        <v>45988</v>
      </c>
      <c r="F2111" t="s">
        <v>0</v>
      </c>
    </row>
    <row r="2112" spans="1:6" x14ac:dyDescent="0.25">
      <c r="A2112" s="5">
        <v>26234230</v>
      </c>
      <c r="B2112" s="5" t="s">
        <v>401</v>
      </c>
      <c r="C2112" s="5" t="s">
        <v>12</v>
      </c>
      <c r="D2112" s="6">
        <v>45935</v>
      </c>
      <c r="E2112" s="12">
        <v>45988</v>
      </c>
      <c r="F2112" t="s">
        <v>0</v>
      </c>
    </row>
    <row r="2113" spans="1:6" x14ac:dyDescent="0.25">
      <c r="A2113" s="5">
        <v>26234231</v>
      </c>
      <c r="B2113" s="5" t="s">
        <v>401</v>
      </c>
      <c r="C2113" s="5" t="s">
        <v>12</v>
      </c>
      <c r="D2113" s="6">
        <v>45935</v>
      </c>
      <c r="E2113" s="12">
        <v>45988</v>
      </c>
      <c r="F2113" t="s">
        <v>0</v>
      </c>
    </row>
    <row r="2114" spans="1:6" x14ac:dyDescent="0.25">
      <c r="A2114" s="5">
        <v>26234232</v>
      </c>
      <c r="B2114" s="5" t="s">
        <v>400</v>
      </c>
      <c r="C2114" s="5" t="s">
        <v>18</v>
      </c>
      <c r="D2114" s="6">
        <v>45935</v>
      </c>
      <c r="E2114" s="12">
        <v>45988</v>
      </c>
      <c r="F2114" t="s">
        <v>0</v>
      </c>
    </row>
    <row r="2115" spans="1:6" x14ac:dyDescent="0.25">
      <c r="A2115" s="5">
        <v>26234233</v>
      </c>
      <c r="B2115" s="5" t="s">
        <v>400</v>
      </c>
      <c r="C2115" s="5" t="s">
        <v>12</v>
      </c>
      <c r="D2115" s="6">
        <v>45935</v>
      </c>
      <c r="E2115" s="12">
        <v>45988</v>
      </c>
      <c r="F2115" t="s">
        <v>0</v>
      </c>
    </row>
    <row r="2116" spans="1:6" x14ac:dyDescent="0.25">
      <c r="A2116" s="5">
        <v>26234234</v>
      </c>
      <c r="B2116" s="5" t="s">
        <v>401</v>
      </c>
      <c r="C2116" s="5" t="s">
        <v>12</v>
      </c>
      <c r="D2116" s="6">
        <v>45935</v>
      </c>
      <c r="E2116" s="12">
        <v>45988</v>
      </c>
      <c r="F2116" t="s">
        <v>0</v>
      </c>
    </row>
    <row r="2117" spans="1:6" x14ac:dyDescent="0.25">
      <c r="A2117" s="5">
        <v>26234235</v>
      </c>
      <c r="B2117" s="5" t="s">
        <v>401</v>
      </c>
      <c r="C2117" s="5" t="s">
        <v>12</v>
      </c>
      <c r="D2117" s="6">
        <v>45935</v>
      </c>
      <c r="E2117" s="12">
        <v>45988</v>
      </c>
      <c r="F2117" t="s">
        <v>0</v>
      </c>
    </row>
    <row r="2118" spans="1:6" x14ac:dyDescent="0.25">
      <c r="A2118" s="5">
        <v>26234279</v>
      </c>
      <c r="B2118" s="5" t="s">
        <v>401</v>
      </c>
      <c r="C2118" s="5" t="s">
        <v>12</v>
      </c>
      <c r="D2118" s="6">
        <v>45945</v>
      </c>
      <c r="E2118" s="12">
        <v>45989</v>
      </c>
      <c r="F2118" t="s">
        <v>2</v>
      </c>
    </row>
    <row r="2119" spans="1:6" x14ac:dyDescent="0.25">
      <c r="A2119" s="5">
        <v>26234280</v>
      </c>
      <c r="B2119" s="5" t="s">
        <v>401</v>
      </c>
      <c r="C2119" s="5" t="s">
        <v>12</v>
      </c>
      <c r="D2119" s="6">
        <v>45945</v>
      </c>
      <c r="E2119" s="12">
        <v>45989</v>
      </c>
      <c r="F2119" t="s">
        <v>2</v>
      </c>
    </row>
    <row r="2120" spans="1:6" x14ac:dyDescent="0.25">
      <c r="A2120" s="5">
        <v>26234281</v>
      </c>
      <c r="B2120" s="5" t="s">
        <v>401</v>
      </c>
      <c r="C2120" s="5" t="s">
        <v>12</v>
      </c>
      <c r="D2120" s="6">
        <v>45945</v>
      </c>
      <c r="E2120" s="12">
        <v>45989</v>
      </c>
      <c r="F2120" t="s">
        <v>2</v>
      </c>
    </row>
    <row r="2121" spans="1:6" x14ac:dyDescent="0.25">
      <c r="A2121" s="5">
        <v>26234282</v>
      </c>
      <c r="B2121" s="5" t="s">
        <v>401</v>
      </c>
      <c r="C2121" s="5" t="s">
        <v>12</v>
      </c>
      <c r="D2121" s="6">
        <v>45945</v>
      </c>
      <c r="E2121" s="12">
        <v>45989</v>
      </c>
      <c r="F2121" t="s">
        <v>2</v>
      </c>
    </row>
    <row r="2122" spans="1:6" x14ac:dyDescent="0.25">
      <c r="A2122" s="5">
        <v>26234283</v>
      </c>
      <c r="B2122" s="5" t="s">
        <v>400</v>
      </c>
      <c r="C2122" s="5" t="s">
        <v>12</v>
      </c>
      <c r="D2122" s="6">
        <v>45945</v>
      </c>
      <c r="E2122" s="12">
        <v>45989</v>
      </c>
      <c r="F2122" t="s">
        <v>2</v>
      </c>
    </row>
    <row r="2123" spans="1:6" x14ac:dyDescent="0.25">
      <c r="A2123" s="5">
        <v>26234284</v>
      </c>
      <c r="B2123" s="5" t="s">
        <v>400</v>
      </c>
      <c r="C2123" s="5" t="s">
        <v>12</v>
      </c>
      <c r="D2123" s="6">
        <v>45945</v>
      </c>
      <c r="E2123" s="12">
        <v>45989</v>
      </c>
      <c r="F2123" t="s">
        <v>2</v>
      </c>
    </row>
    <row r="2124" spans="1:6" x14ac:dyDescent="0.25">
      <c r="A2124" s="5">
        <v>26234285</v>
      </c>
      <c r="B2124" s="5" t="s">
        <v>401</v>
      </c>
      <c r="C2124" s="5" t="s">
        <v>12</v>
      </c>
      <c r="D2124" s="6">
        <v>45945</v>
      </c>
      <c r="E2124" s="12">
        <v>45989</v>
      </c>
      <c r="F2124" t="s">
        <v>2</v>
      </c>
    </row>
    <row r="2125" spans="1:6" x14ac:dyDescent="0.25">
      <c r="A2125" s="5">
        <v>26234286</v>
      </c>
      <c r="B2125" s="5" t="s">
        <v>401</v>
      </c>
      <c r="C2125" s="5" t="s">
        <v>12</v>
      </c>
      <c r="D2125" s="6">
        <v>45945</v>
      </c>
      <c r="E2125" s="12">
        <v>45989</v>
      </c>
      <c r="F2125" t="s">
        <v>2</v>
      </c>
    </row>
    <row r="2126" spans="1:6" x14ac:dyDescent="0.25">
      <c r="A2126" s="5">
        <v>26234287</v>
      </c>
      <c r="B2126" s="5" t="s">
        <v>400</v>
      </c>
      <c r="C2126" s="5" t="s">
        <v>12</v>
      </c>
      <c r="D2126" s="6">
        <v>45945</v>
      </c>
      <c r="E2126" s="12">
        <v>45989</v>
      </c>
      <c r="F2126" t="s">
        <v>2</v>
      </c>
    </row>
    <row r="2127" spans="1:6" x14ac:dyDescent="0.25">
      <c r="A2127" s="5">
        <v>26234288</v>
      </c>
      <c r="B2127" s="5" t="s">
        <v>400</v>
      </c>
      <c r="C2127" s="5" t="s">
        <v>12</v>
      </c>
      <c r="D2127" s="6">
        <v>45945</v>
      </c>
      <c r="E2127" s="12">
        <v>45989</v>
      </c>
      <c r="F2127" t="s">
        <v>2</v>
      </c>
    </row>
    <row r="2128" spans="1:6" x14ac:dyDescent="0.25">
      <c r="A2128" s="5">
        <v>26234289</v>
      </c>
      <c r="B2128" s="5" t="s">
        <v>401</v>
      </c>
      <c r="C2128" s="5" t="s">
        <v>12</v>
      </c>
      <c r="D2128" s="6">
        <v>45945</v>
      </c>
      <c r="E2128" s="12">
        <v>45989</v>
      </c>
      <c r="F2128" t="s">
        <v>2</v>
      </c>
    </row>
    <row r="2129" spans="1:6" x14ac:dyDescent="0.25">
      <c r="A2129" s="5">
        <v>26234290</v>
      </c>
      <c r="B2129" s="5" t="s">
        <v>401</v>
      </c>
      <c r="C2129" s="5" t="s">
        <v>18</v>
      </c>
      <c r="D2129" s="6">
        <v>45945</v>
      </c>
      <c r="E2129" s="12">
        <v>45989</v>
      </c>
      <c r="F2129" t="s">
        <v>2</v>
      </c>
    </row>
    <row r="2130" spans="1:6" x14ac:dyDescent="0.25">
      <c r="A2130" s="5">
        <v>26234291</v>
      </c>
      <c r="B2130" s="5" t="s">
        <v>401</v>
      </c>
      <c r="C2130" s="5" t="s">
        <v>12</v>
      </c>
      <c r="D2130" s="6">
        <v>45945</v>
      </c>
      <c r="E2130" s="12">
        <v>45989</v>
      </c>
      <c r="F2130" t="s">
        <v>2</v>
      </c>
    </row>
    <row r="2131" spans="1:6" x14ac:dyDescent="0.25">
      <c r="A2131" s="5">
        <v>26234292</v>
      </c>
      <c r="B2131" s="5" t="s">
        <v>400</v>
      </c>
      <c r="C2131" s="5" t="s">
        <v>12</v>
      </c>
      <c r="D2131" s="6">
        <v>45945</v>
      </c>
      <c r="E2131" s="12">
        <v>45989</v>
      </c>
      <c r="F2131" t="s">
        <v>2</v>
      </c>
    </row>
    <row r="2132" spans="1:6" x14ac:dyDescent="0.25">
      <c r="A2132" s="5">
        <v>26234293</v>
      </c>
      <c r="B2132" s="5" t="s">
        <v>401</v>
      </c>
      <c r="C2132" s="5" t="s">
        <v>12</v>
      </c>
      <c r="D2132" s="6">
        <v>45945</v>
      </c>
      <c r="E2132" s="12">
        <v>45989</v>
      </c>
      <c r="F2132" t="s">
        <v>2</v>
      </c>
    </row>
    <row r="2133" spans="1:6" x14ac:dyDescent="0.25">
      <c r="A2133" s="5">
        <v>26234294</v>
      </c>
      <c r="B2133" s="5" t="s">
        <v>400</v>
      </c>
      <c r="C2133" s="5" t="s">
        <v>12</v>
      </c>
      <c r="D2133" s="6">
        <v>45945</v>
      </c>
      <c r="E2133" s="12">
        <v>45989</v>
      </c>
      <c r="F2133" t="s">
        <v>2</v>
      </c>
    </row>
    <row r="2134" spans="1:6" x14ac:dyDescent="0.25">
      <c r="A2134" s="5">
        <v>26234295</v>
      </c>
      <c r="B2134" s="5" t="s">
        <v>401</v>
      </c>
      <c r="C2134" s="5" t="s">
        <v>12</v>
      </c>
      <c r="D2134" s="6">
        <v>45915</v>
      </c>
      <c r="E2134" s="12">
        <v>45989</v>
      </c>
      <c r="F2134" t="s">
        <v>2</v>
      </c>
    </row>
    <row r="2135" spans="1:6" x14ac:dyDescent="0.25">
      <c r="A2135" s="5">
        <v>26234296</v>
      </c>
      <c r="B2135" s="5" t="s">
        <v>400</v>
      </c>
      <c r="C2135" s="5" t="s">
        <v>18</v>
      </c>
      <c r="D2135" s="6">
        <v>45945</v>
      </c>
      <c r="E2135" s="12">
        <v>45989</v>
      </c>
      <c r="F2135" t="s">
        <v>2</v>
      </c>
    </row>
    <row r="2136" spans="1:6" x14ac:dyDescent="0.25">
      <c r="A2136" s="5">
        <v>26234297</v>
      </c>
      <c r="B2136" s="5" t="s">
        <v>401</v>
      </c>
      <c r="C2136" s="5" t="s">
        <v>12</v>
      </c>
      <c r="D2136" s="6">
        <v>45945</v>
      </c>
      <c r="E2136" s="12">
        <v>45989</v>
      </c>
      <c r="F2136" t="s">
        <v>2</v>
      </c>
    </row>
    <row r="2137" spans="1:6" x14ac:dyDescent="0.25">
      <c r="A2137" s="5">
        <v>26234298</v>
      </c>
      <c r="B2137" s="5" t="s">
        <v>401</v>
      </c>
      <c r="C2137" s="5" t="s">
        <v>12</v>
      </c>
      <c r="D2137" s="6">
        <v>45915</v>
      </c>
      <c r="E2137" s="12">
        <v>45989</v>
      </c>
      <c r="F2137" t="s">
        <v>2</v>
      </c>
    </row>
    <row r="2138" spans="1:6" x14ac:dyDescent="0.25">
      <c r="A2138" s="5">
        <v>26234299</v>
      </c>
      <c r="B2138" s="5" t="s">
        <v>400</v>
      </c>
      <c r="C2138" s="5" t="s">
        <v>12</v>
      </c>
      <c r="D2138" s="6">
        <v>45915</v>
      </c>
      <c r="E2138" s="12">
        <v>45989</v>
      </c>
      <c r="F2138" t="s">
        <v>2</v>
      </c>
    </row>
    <row r="2139" spans="1:6" x14ac:dyDescent="0.25">
      <c r="A2139" s="5">
        <v>26234300</v>
      </c>
      <c r="B2139" s="5" t="s">
        <v>401</v>
      </c>
      <c r="C2139" s="5" t="s">
        <v>12</v>
      </c>
      <c r="D2139" s="6">
        <v>45915</v>
      </c>
      <c r="E2139" s="12">
        <v>45989</v>
      </c>
      <c r="F2139" t="s">
        <v>2</v>
      </c>
    </row>
    <row r="2140" spans="1:6" x14ac:dyDescent="0.25">
      <c r="A2140" s="5">
        <v>26234301</v>
      </c>
      <c r="B2140" s="5" t="s">
        <v>401</v>
      </c>
      <c r="C2140" s="5" t="s">
        <v>12</v>
      </c>
      <c r="D2140" s="6">
        <v>45945</v>
      </c>
      <c r="E2140" s="12">
        <v>45989</v>
      </c>
      <c r="F2140" t="s">
        <v>2</v>
      </c>
    </row>
    <row r="2141" spans="1:6" x14ac:dyDescent="0.25">
      <c r="A2141" s="5">
        <v>26234302</v>
      </c>
      <c r="B2141" s="5" t="s">
        <v>400</v>
      </c>
      <c r="C2141" s="5" t="s">
        <v>12</v>
      </c>
      <c r="D2141" s="6">
        <v>45945</v>
      </c>
      <c r="E2141" s="12">
        <v>45989</v>
      </c>
      <c r="F2141" t="s">
        <v>2</v>
      </c>
    </row>
    <row r="2142" spans="1:6" x14ac:dyDescent="0.25">
      <c r="A2142" s="5">
        <v>26234303</v>
      </c>
      <c r="B2142" s="5" t="s">
        <v>401</v>
      </c>
      <c r="C2142" s="5" t="s">
        <v>12</v>
      </c>
      <c r="D2142" s="6">
        <v>45915</v>
      </c>
      <c r="E2142" s="12">
        <v>45989</v>
      </c>
      <c r="F2142" t="s">
        <v>2</v>
      </c>
    </row>
    <row r="2143" spans="1:6" x14ac:dyDescent="0.25">
      <c r="A2143" s="5">
        <v>26234304</v>
      </c>
      <c r="B2143" s="5" t="s">
        <v>400</v>
      </c>
      <c r="C2143" s="5" t="s">
        <v>12</v>
      </c>
      <c r="D2143" s="6">
        <v>45945</v>
      </c>
      <c r="E2143" s="12">
        <v>45989</v>
      </c>
      <c r="F2143" t="s">
        <v>2</v>
      </c>
    </row>
    <row r="2144" spans="1:6" x14ac:dyDescent="0.25">
      <c r="A2144" s="5">
        <v>26234305</v>
      </c>
      <c r="B2144" s="5" t="s">
        <v>401</v>
      </c>
      <c r="C2144" s="5" t="s">
        <v>12</v>
      </c>
      <c r="D2144" s="6">
        <v>45915</v>
      </c>
      <c r="E2144" s="12">
        <v>45989</v>
      </c>
      <c r="F2144" t="s">
        <v>2</v>
      </c>
    </row>
    <row r="2145" spans="1:6" x14ac:dyDescent="0.25">
      <c r="A2145" s="5">
        <v>26234306</v>
      </c>
      <c r="B2145" s="5" t="s">
        <v>401</v>
      </c>
      <c r="C2145" s="5" t="s">
        <v>12</v>
      </c>
      <c r="D2145" s="6">
        <v>45945</v>
      </c>
      <c r="E2145" s="12">
        <v>45989</v>
      </c>
      <c r="F2145" t="s">
        <v>2</v>
      </c>
    </row>
    <row r="2146" spans="1:6" x14ac:dyDescent="0.25">
      <c r="A2146" s="5">
        <v>26234307</v>
      </c>
      <c r="B2146" s="5" t="s">
        <v>401</v>
      </c>
      <c r="C2146" s="5" t="s">
        <v>12</v>
      </c>
      <c r="D2146" s="6">
        <v>45915</v>
      </c>
      <c r="E2146" s="12">
        <v>45989</v>
      </c>
      <c r="F2146" t="s">
        <v>2</v>
      </c>
    </row>
    <row r="2147" spans="1:6" x14ac:dyDescent="0.25">
      <c r="A2147" s="5">
        <v>26234308</v>
      </c>
      <c r="B2147" s="5" t="s">
        <v>400</v>
      </c>
      <c r="C2147" s="5" t="s">
        <v>12</v>
      </c>
      <c r="D2147" s="6">
        <v>45915</v>
      </c>
      <c r="E2147" s="12">
        <v>45989</v>
      </c>
      <c r="F2147" t="s">
        <v>2</v>
      </c>
    </row>
    <row r="2148" spans="1:6" x14ac:dyDescent="0.25">
      <c r="A2148" s="5">
        <v>26234309</v>
      </c>
      <c r="B2148" s="5" t="s">
        <v>400</v>
      </c>
      <c r="C2148" s="5" t="s">
        <v>12</v>
      </c>
      <c r="D2148" s="6">
        <v>45945</v>
      </c>
      <c r="E2148" s="12">
        <v>45989</v>
      </c>
      <c r="F2148" t="s">
        <v>2</v>
      </c>
    </row>
    <row r="2149" spans="1:6" x14ac:dyDescent="0.25">
      <c r="A2149" s="5">
        <v>26234310</v>
      </c>
      <c r="B2149" s="5" t="s">
        <v>401</v>
      </c>
      <c r="C2149" s="5" t="s">
        <v>12</v>
      </c>
      <c r="D2149" s="6">
        <v>45945</v>
      </c>
      <c r="E2149" s="12">
        <v>45989</v>
      </c>
      <c r="F2149" t="s">
        <v>2</v>
      </c>
    </row>
    <row r="2150" spans="1:6" x14ac:dyDescent="0.25">
      <c r="A2150" s="5">
        <v>26234311</v>
      </c>
      <c r="B2150" s="5" t="s">
        <v>401</v>
      </c>
      <c r="C2150" s="5" t="s">
        <v>12</v>
      </c>
      <c r="D2150" s="6">
        <v>45945</v>
      </c>
      <c r="E2150" s="12">
        <v>45989</v>
      </c>
      <c r="F2150" t="s">
        <v>2</v>
      </c>
    </row>
    <row r="2151" spans="1:6" x14ac:dyDescent="0.25">
      <c r="A2151" s="5">
        <v>26234312</v>
      </c>
      <c r="B2151" s="5" t="s">
        <v>401</v>
      </c>
      <c r="C2151" s="5" t="s">
        <v>12</v>
      </c>
      <c r="D2151" s="6">
        <v>45915</v>
      </c>
      <c r="E2151" s="12">
        <v>45989</v>
      </c>
      <c r="F2151" t="s">
        <v>2</v>
      </c>
    </row>
    <row r="2152" spans="1:6" x14ac:dyDescent="0.25">
      <c r="A2152" s="5">
        <v>26234313</v>
      </c>
      <c r="B2152" s="5" t="s">
        <v>401</v>
      </c>
      <c r="C2152" s="5" t="s">
        <v>12</v>
      </c>
      <c r="D2152" s="6">
        <v>45945</v>
      </c>
      <c r="E2152" s="12">
        <v>45989</v>
      </c>
      <c r="F2152" t="s">
        <v>2</v>
      </c>
    </row>
    <row r="2153" spans="1:6" x14ac:dyDescent="0.25">
      <c r="A2153" s="5">
        <v>26234314</v>
      </c>
      <c r="B2153" s="5" t="s">
        <v>401</v>
      </c>
      <c r="C2153" s="5" t="s">
        <v>12</v>
      </c>
      <c r="D2153" s="6">
        <v>45915</v>
      </c>
      <c r="E2153" s="12">
        <v>45989</v>
      </c>
      <c r="F2153" t="s">
        <v>2</v>
      </c>
    </row>
    <row r="2154" spans="1:6" x14ac:dyDescent="0.25">
      <c r="A2154" s="5">
        <v>26234315</v>
      </c>
      <c r="B2154" s="5" t="s">
        <v>401</v>
      </c>
      <c r="C2154" s="5" t="s">
        <v>18</v>
      </c>
      <c r="D2154" s="6">
        <v>45915</v>
      </c>
      <c r="E2154" s="12">
        <v>45989</v>
      </c>
      <c r="F2154" t="s">
        <v>2</v>
      </c>
    </row>
    <row r="2155" spans="1:6" x14ac:dyDescent="0.25">
      <c r="A2155" s="5">
        <v>26234316</v>
      </c>
      <c r="B2155" s="5" t="s">
        <v>400</v>
      </c>
      <c r="C2155" s="5" t="s">
        <v>18</v>
      </c>
      <c r="D2155" s="6">
        <v>45915</v>
      </c>
      <c r="E2155" s="12">
        <v>45989</v>
      </c>
      <c r="F2155" t="s">
        <v>2</v>
      </c>
    </row>
    <row r="2156" spans="1:6" x14ac:dyDescent="0.25">
      <c r="A2156" s="5">
        <v>26234317</v>
      </c>
      <c r="B2156" s="5" t="s">
        <v>400</v>
      </c>
      <c r="C2156" s="5" t="s">
        <v>18</v>
      </c>
      <c r="D2156" s="6">
        <v>45976</v>
      </c>
      <c r="E2156" s="12">
        <v>45989</v>
      </c>
      <c r="F2156" t="s">
        <v>2</v>
      </c>
    </row>
    <row r="2157" spans="1:6" x14ac:dyDescent="0.25">
      <c r="A2157" s="5">
        <v>26234318</v>
      </c>
      <c r="B2157" s="5" t="s">
        <v>401</v>
      </c>
      <c r="C2157" s="5" t="s">
        <v>12</v>
      </c>
      <c r="D2157" s="6">
        <v>45915</v>
      </c>
      <c r="E2157" s="12">
        <v>45989</v>
      </c>
      <c r="F2157" t="s">
        <v>2</v>
      </c>
    </row>
    <row r="2158" spans="1:6" x14ac:dyDescent="0.25">
      <c r="A2158" s="5">
        <v>26234319</v>
      </c>
      <c r="B2158" s="5" t="s">
        <v>401</v>
      </c>
      <c r="C2158" s="5" t="s">
        <v>12</v>
      </c>
      <c r="D2158" s="6">
        <v>45915</v>
      </c>
      <c r="E2158" s="12">
        <v>45989</v>
      </c>
      <c r="F2158" t="s">
        <v>2</v>
      </c>
    </row>
    <row r="2159" spans="1:6" x14ac:dyDescent="0.25">
      <c r="A2159" s="5">
        <v>26234320</v>
      </c>
      <c r="B2159" s="5" t="s">
        <v>401</v>
      </c>
      <c r="C2159" s="5" t="s">
        <v>12</v>
      </c>
      <c r="D2159" s="6">
        <v>45915</v>
      </c>
      <c r="E2159" s="12">
        <v>45989</v>
      </c>
      <c r="F2159" t="s">
        <v>2</v>
      </c>
    </row>
    <row r="2160" spans="1:6" x14ac:dyDescent="0.25">
      <c r="A2160" s="5">
        <v>26234321</v>
      </c>
      <c r="B2160" s="5" t="s">
        <v>400</v>
      </c>
      <c r="C2160" s="5" t="s">
        <v>18</v>
      </c>
      <c r="D2160" s="6">
        <v>45945</v>
      </c>
      <c r="E2160" s="12">
        <v>45989</v>
      </c>
      <c r="F2160" t="s">
        <v>2</v>
      </c>
    </row>
    <row r="2161" spans="1:6" x14ac:dyDescent="0.25">
      <c r="A2161" s="5">
        <v>26234322</v>
      </c>
      <c r="B2161" s="5" t="s">
        <v>400</v>
      </c>
      <c r="C2161" s="5" t="s">
        <v>12</v>
      </c>
      <c r="D2161" s="6">
        <v>45945</v>
      </c>
      <c r="E2161" s="12">
        <v>45989</v>
      </c>
      <c r="F2161" t="s">
        <v>2</v>
      </c>
    </row>
    <row r="2162" spans="1:6" x14ac:dyDescent="0.25">
      <c r="A2162" s="5">
        <v>26234323</v>
      </c>
      <c r="B2162" s="5" t="s">
        <v>400</v>
      </c>
      <c r="C2162" s="5" t="s">
        <v>12</v>
      </c>
      <c r="D2162" s="6">
        <v>45976</v>
      </c>
      <c r="E2162" s="12">
        <v>45989</v>
      </c>
      <c r="F2162" t="s">
        <v>2</v>
      </c>
    </row>
    <row r="2163" spans="1:6" x14ac:dyDescent="0.25">
      <c r="A2163" s="5">
        <v>26234324</v>
      </c>
      <c r="B2163" s="5" t="s">
        <v>401</v>
      </c>
      <c r="C2163" s="5" t="s">
        <v>12</v>
      </c>
      <c r="D2163" s="6">
        <v>45915</v>
      </c>
      <c r="E2163" s="12">
        <v>45989</v>
      </c>
      <c r="F2163" t="s">
        <v>2</v>
      </c>
    </row>
    <row r="2164" spans="1:6" x14ac:dyDescent="0.25">
      <c r="A2164" s="5">
        <v>26234325</v>
      </c>
      <c r="B2164" s="5" t="s">
        <v>401</v>
      </c>
      <c r="C2164" s="5" t="s">
        <v>12</v>
      </c>
      <c r="D2164" s="6">
        <v>45945</v>
      </c>
      <c r="E2164" s="12">
        <v>45989</v>
      </c>
      <c r="F2164" t="s">
        <v>2</v>
      </c>
    </row>
    <row r="2165" spans="1:6" x14ac:dyDescent="0.25">
      <c r="A2165" s="5">
        <v>26234326</v>
      </c>
      <c r="B2165" s="5" t="s">
        <v>401</v>
      </c>
      <c r="C2165" s="5" t="s">
        <v>12</v>
      </c>
      <c r="D2165" s="6">
        <v>45945</v>
      </c>
      <c r="E2165" s="12">
        <v>45989</v>
      </c>
      <c r="F2165" t="s">
        <v>2</v>
      </c>
    </row>
    <row r="2166" spans="1:6" x14ac:dyDescent="0.25">
      <c r="A2166" s="5">
        <v>26234327</v>
      </c>
      <c r="B2166" s="5" t="s">
        <v>400</v>
      </c>
      <c r="C2166" s="5" t="s">
        <v>12</v>
      </c>
      <c r="D2166" s="6">
        <v>45945</v>
      </c>
      <c r="E2166" s="12">
        <v>45989</v>
      </c>
      <c r="F2166" t="s">
        <v>2</v>
      </c>
    </row>
    <row r="2167" spans="1:6" x14ac:dyDescent="0.25">
      <c r="A2167" s="5">
        <v>26234328</v>
      </c>
      <c r="B2167" s="5" t="s">
        <v>400</v>
      </c>
      <c r="C2167" s="5" t="s">
        <v>12</v>
      </c>
      <c r="D2167" s="6">
        <v>45915</v>
      </c>
      <c r="E2167" s="12">
        <v>45989</v>
      </c>
      <c r="F2167" t="s">
        <v>2</v>
      </c>
    </row>
    <row r="2168" spans="1:6" x14ac:dyDescent="0.25">
      <c r="A2168" s="5">
        <v>26234329</v>
      </c>
      <c r="B2168" s="5" t="s">
        <v>401</v>
      </c>
      <c r="C2168" s="5" t="s">
        <v>12</v>
      </c>
      <c r="D2168" s="6">
        <v>45915</v>
      </c>
      <c r="E2168" s="12">
        <v>45989</v>
      </c>
      <c r="F2168" t="s">
        <v>2</v>
      </c>
    </row>
    <row r="2169" spans="1:6" x14ac:dyDescent="0.25">
      <c r="A2169" s="5">
        <v>26234330</v>
      </c>
      <c r="B2169" s="5" t="s">
        <v>401</v>
      </c>
      <c r="C2169" s="5" t="s">
        <v>12</v>
      </c>
      <c r="D2169" s="6">
        <v>45915</v>
      </c>
      <c r="E2169" s="12">
        <v>45989</v>
      </c>
      <c r="F2169" t="s">
        <v>2</v>
      </c>
    </row>
    <row r="2170" spans="1:6" x14ac:dyDescent="0.25">
      <c r="A2170" s="5">
        <v>26234331</v>
      </c>
      <c r="B2170" s="5" t="s">
        <v>400</v>
      </c>
      <c r="C2170" s="5" t="s">
        <v>12</v>
      </c>
      <c r="D2170" s="6">
        <v>45884</v>
      </c>
      <c r="E2170" s="12">
        <v>45989</v>
      </c>
      <c r="F2170" t="s">
        <v>2</v>
      </c>
    </row>
    <row r="2171" spans="1:6" x14ac:dyDescent="0.25">
      <c r="A2171" s="5">
        <v>26234332</v>
      </c>
      <c r="B2171" s="5" t="s">
        <v>401</v>
      </c>
      <c r="C2171" s="5" t="s">
        <v>12</v>
      </c>
      <c r="D2171" s="6">
        <v>45945</v>
      </c>
      <c r="E2171" s="12">
        <v>45989</v>
      </c>
      <c r="F2171" t="s">
        <v>2</v>
      </c>
    </row>
    <row r="2172" spans="1:6" x14ac:dyDescent="0.25">
      <c r="A2172" s="5">
        <v>26234333</v>
      </c>
      <c r="B2172" s="5" t="s">
        <v>401</v>
      </c>
      <c r="C2172" s="5" t="s">
        <v>12</v>
      </c>
      <c r="D2172" s="6">
        <v>45915</v>
      </c>
      <c r="E2172" s="12">
        <v>45989</v>
      </c>
      <c r="F2172" t="s">
        <v>2</v>
      </c>
    </row>
    <row r="2173" spans="1:6" x14ac:dyDescent="0.25">
      <c r="A2173" s="5">
        <v>26234334</v>
      </c>
      <c r="B2173" s="5" t="s">
        <v>400</v>
      </c>
      <c r="C2173" s="5" t="s">
        <v>18</v>
      </c>
      <c r="D2173" s="6">
        <v>45915</v>
      </c>
      <c r="E2173" s="12">
        <v>45989</v>
      </c>
      <c r="F2173" t="s">
        <v>2</v>
      </c>
    </row>
    <row r="2174" spans="1:6" x14ac:dyDescent="0.25">
      <c r="A2174" s="5">
        <v>26234335</v>
      </c>
      <c r="B2174" s="5" t="s">
        <v>400</v>
      </c>
      <c r="C2174" s="5" t="s">
        <v>12</v>
      </c>
      <c r="D2174" s="6">
        <v>45915</v>
      </c>
      <c r="E2174" s="12">
        <v>45989</v>
      </c>
      <c r="F2174" t="s">
        <v>2</v>
      </c>
    </row>
    <row r="2175" spans="1:6" x14ac:dyDescent="0.25">
      <c r="A2175" s="5">
        <v>26234336</v>
      </c>
      <c r="B2175" s="5" t="s">
        <v>400</v>
      </c>
      <c r="C2175" s="5" t="s">
        <v>12</v>
      </c>
      <c r="D2175" s="6">
        <v>45915</v>
      </c>
      <c r="E2175" s="12">
        <v>45989</v>
      </c>
      <c r="F2175" t="s">
        <v>2</v>
      </c>
    </row>
    <row r="2176" spans="1:6" x14ac:dyDescent="0.25">
      <c r="A2176" s="5">
        <v>26234337</v>
      </c>
      <c r="B2176" s="5" t="s">
        <v>400</v>
      </c>
      <c r="C2176" s="5" t="s">
        <v>12</v>
      </c>
      <c r="D2176" s="6">
        <v>45945</v>
      </c>
      <c r="E2176" s="12">
        <v>45989</v>
      </c>
      <c r="F2176" t="s">
        <v>2</v>
      </c>
    </row>
    <row r="2177" spans="1:6" x14ac:dyDescent="0.25">
      <c r="A2177" s="5">
        <v>26234338</v>
      </c>
      <c r="B2177" s="5" t="s">
        <v>400</v>
      </c>
      <c r="C2177" s="5" t="s">
        <v>12</v>
      </c>
      <c r="D2177" s="6">
        <v>45945</v>
      </c>
      <c r="E2177" s="12">
        <v>45989</v>
      </c>
      <c r="F2177" t="s">
        <v>2</v>
      </c>
    </row>
    <row r="2178" spans="1:6" x14ac:dyDescent="0.25">
      <c r="A2178" s="5">
        <v>26234339</v>
      </c>
      <c r="B2178" s="5" t="s">
        <v>400</v>
      </c>
      <c r="C2178" s="5" t="s">
        <v>12</v>
      </c>
      <c r="D2178" s="6">
        <v>45945</v>
      </c>
      <c r="E2178" s="12">
        <v>45989</v>
      </c>
      <c r="F2178" t="s">
        <v>2</v>
      </c>
    </row>
    <row r="2179" spans="1:6" x14ac:dyDescent="0.25">
      <c r="A2179" s="5">
        <v>26234340</v>
      </c>
      <c r="B2179" s="5" t="s">
        <v>401</v>
      </c>
      <c r="C2179" s="5" t="s">
        <v>12</v>
      </c>
      <c r="D2179" s="6">
        <v>45915</v>
      </c>
      <c r="E2179" s="12">
        <v>45989</v>
      </c>
      <c r="F2179" t="s">
        <v>2</v>
      </c>
    </row>
    <row r="2180" spans="1:6" x14ac:dyDescent="0.25">
      <c r="A2180" s="5">
        <v>26234341</v>
      </c>
      <c r="B2180" s="5" t="s">
        <v>400</v>
      </c>
      <c r="C2180" s="5" t="s">
        <v>79</v>
      </c>
      <c r="D2180" s="6">
        <v>45945</v>
      </c>
      <c r="E2180" s="12">
        <v>45989</v>
      </c>
      <c r="F2180" t="s">
        <v>2</v>
      </c>
    </row>
    <row r="2181" spans="1:6" x14ac:dyDescent="0.25">
      <c r="A2181" s="5">
        <v>26234342</v>
      </c>
      <c r="B2181" s="5" t="s">
        <v>400</v>
      </c>
      <c r="C2181" s="5" t="s">
        <v>12</v>
      </c>
      <c r="D2181" s="6">
        <v>45935</v>
      </c>
      <c r="E2181" s="12">
        <v>45989</v>
      </c>
      <c r="F2181" t="s">
        <v>2</v>
      </c>
    </row>
    <row r="2182" spans="1:6" x14ac:dyDescent="0.25">
      <c r="A2182" s="5">
        <v>26234343</v>
      </c>
      <c r="B2182" s="5" t="s">
        <v>400</v>
      </c>
      <c r="C2182" s="5" t="s">
        <v>12</v>
      </c>
      <c r="D2182" s="6">
        <v>45911</v>
      </c>
      <c r="E2182" s="12">
        <v>45989</v>
      </c>
      <c r="F2182" t="s">
        <v>2</v>
      </c>
    </row>
    <row r="2183" spans="1:6" x14ac:dyDescent="0.25">
      <c r="A2183" s="5">
        <v>26234344</v>
      </c>
      <c r="B2183" s="5" t="s">
        <v>400</v>
      </c>
      <c r="C2183" s="5" t="s">
        <v>12</v>
      </c>
      <c r="D2183" s="6">
        <v>45911</v>
      </c>
      <c r="E2183" s="12">
        <v>45989</v>
      </c>
      <c r="F2183" t="s">
        <v>2</v>
      </c>
    </row>
    <row r="2184" spans="1:6" x14ac:dyDescent="0.25">
      <c r="A2184" s="5">
        <v>26234345</v>
      </c>
      <c r="B2184" s="5" t="s">
        <v>400</v>
      </c>
      <c r="C2184" s="5" t="s">
        <v>18</v>
      </c>
      <c r="D2184" s="6">
        <v>45911</v>
      </c>
      <c r="E2184" s="12">
        <v>45989</v>
      </c>
      <c r="F2184" t="s">
        <v>2</v>
      </c>
    </row>
    <row r="2185" spans="1:6" x14ac:dyDescent="0.25">
      <c r="A2185" s="5">
        <v>26234346</v>
      </c>
      <c r="B2185" s="5" t="s">
        <v>401</v>
      </c>
      <c r="C2185" s="5" t="s">
        <v>12</v>
      </c>
      <c r="D2185" s="6">
        <v>45911</v>
      </c>
      <c r="E2185" s="12">
        <v>45989</v>
      </c>
      <c r="F2185" t="s">
        <v>2</v>
      </c>
    </row>
    <row r="2186" spans="1:6" x14ac:dyDescent="0.25">
      <c r="A2186" s="5">
        <v>26234347</v>
      </c>
      <c r="B2186" s="5" t="s">
        <v>401</v>
      </c>
      <c r="C2186" s="5" t="s">
        <v>12</v>
      </c>
      <c r="D2186" s="6">
        <v>45911</v>
      </c>
      <c r="E2186" s="12">
        <v>45989</v>
      </c>
      <c r="F2186" t="s">
        <v>2</v>
      </c>
    </row>
    <row r="2187" spans="1:6" x14ac:dyDescent="0.25">
      <c r="A2187" s="5">
        <v>26234348</v>
      </c>
      <c r="B2187" s="5" t="s">
        <v>400</v>
      </c>
      <c r="C2187" s="5" t="s">
        <v>12</v>
      </c>
      <c r="D2187" s="6">
        <v>45911</v>
      </c>
      <c r="E2187" s="12">
        <v>45989</v>
      </c>
      <c r="F2187" t="s">
        <v>2</v>
      </c>
    </row>
    <row r="2188" spans="1:6" x14ac:dyDescent="0.25">
      <c r="A2188" s="5">
        <v>26234349</v>
      </c>
      <c r="B2188" s="5" t="s">
        <v>401</v>
      </c>
      <c r="C2188" s="5" t="s">
        <v>12</v>
      </c>
      <c r="D2188" s="6">
        <v>45911</v>
      </c>
      <c r="E2188" s="12">
        <v>45989</v>
      </c>
      <c r="F2188" t="s">
        <v>2</v>
      </c>
    </row>
    <row r="2189" spans="1:6" x14ac:dyDescent="0.25">
      <c r="A2189" s="5">
        <v>26234350</v>
      </c>
      <c r="B2189" s="5" t="s">
        <v>400</v>
      </c>
      <c r="C2189" s="5" t="s">
        <v>18</v>
      </c>
      <c r="D2189" s="6">
        <v>45911</v>
      </c>
      <c r="E2189" s="12">
        <v>45989</v>
      </c>
      <c r="F2189" t="s">
        <v>2</v>
      </c>
    </row>
    <row r="2190" spans="1:6" x14ac:dyDescent="0.25">
      <c r="A2190" s="5">
        <v>26234351</v>
      </c>
      <c r="B2190" s="5" t="s">
        <v>400</v>
      </c>
      <c r="C2190" s="5" t="s">
        <v>12</v>
      </c>
      <c r="D2190" s="6">
        <v>45911</v>
      </c>
      <c r="E2190" s="12">
        <v>45989</v>
      </c>
      <c r="F2190" t="s">
        <v>2</v>
      </c>
    </row>
    <row r="2191" spans="1:6" x14ac:dyDescent="0.25">
      <c r="A2191" s="5">
        <v>26234352</v>
      </c>
      <c r="B2191" s="5" t="s">
        <v>401</v>
      </c>
      <c r="C2191" s="5" t="s">
        <v>12</v>
      </c>
      <c r="D2191" s="6">
        <v>45911</v>
      </c>
      <c r="E2191" s="12">
        <v>45989</v>
      </c>
      <c r="F2191" t="s">
        <v>2</v>
      </c>
    </row>
    <row r="2192" spans="1:6" x14ac:dyDescent="0.25">
      <c r="A2192" s="5">
        <v>26234353</v>
      </c>
      <c r="B2192" s="5" t="s">
        <v>401</v>
      </c>
      <c r="C2192" s="5" t="s">
        <v>12</v>
      </c>
      <c r="D2192" s="6">
        <v>45911</v>
      </c>
      <c r="E2192" s="12">
        <v>45989</v>
      </c>
      <c r="F2192" t="s">
        <v>2</v>
      </c>
    </row>
    <row r="2193" spans="1:6" x14ac:dyDescent="0.25">
      <c r="A2193" s="5">
        <v>26234354</v>
      </c>
      <c r="B2193" s="5" t="s">
        <v>401</v>
      </c>
      <c r="C2193" s="5" t="s">
        <v>12</v>
      </c>
      <c r="D2193" s="6">
        <v>45911</v>
      </c>
      <c r="E2193" s="12">
        <v>45989</v>
      </c>
      <c r="F2193" t="s">
        <v>2</v>
      </c>
    </row>
    <row r="2194" spans="1:6" x14ac:dyDescent="0.25">
      <c r="A2194" s="5">
        <v>26234355</v>
      </c>
      <c r="B2194" s="5" t="s">
        <v>400</v>
      </c>
      <c r="C2194" s="5" t="s">
        <v>12</v>
      </c>
      <c r="D2194" s="6">
        <v>45911</v>
      </c>
      <c r="E2194" s="12">
        <v>45989</v>
      </c>
      <c r="F2194" t="s">
        <v>2</v>
      </c>
    </row>
    <row r="2195" spans="1:6" x14ac:dyDescent="0.25">
      <c r="A2195" s="5">
        <v>26234356</v>
      </c>
      <c r="B2195" s="5" t="s">
        <v>401</v>
      </c>
      <c r="C2195" s="5" t="s">
        <v>12</v>
      </c>
      <c r="D2195" s="6">
        <v>45911</v>
      </c>
      <c r="E2195" s="12">
        <v>45989</v>
      </c>
      <c r="F2195" t="s">
        <v>2</v>
      </c>
    </row>
    <row r="2196" spans="1:6" x14ac:dyDescent="0.25">
      <c r="A2196" s="5">
        <v>26234357</v>
      </c>
      <c r="B2196" s="5" t="s">
        <v>400</v>
      </c>
      <c r="C2196" s="5" t="s">
        <v>18</v>
      </c>
      <c r="D2196" s="6">
        <v>45911</v>
      </c>
      <c r="E2196" s="12">
        <v>45989</v>
      </c>
      <c r="F2196" t="s">
        <v>2</v>
      </c>
    </row>
    <row r="2197" spans="1:6" x14ac:dyDescent="0.25">
      <c r="A2197" s="5">
        <v>26234358</v>
      </c>
      <c r="B2197" s="5" t="s">
        <v>401</v>
      </c>
      <c r="C2197" s="5" t="s">
        <v>12</v>
      </c>
      <c r="D2197" s="6">
        <v>45911</v>
      </c>
      <c r="E2197" s="12">
        <v>45989</v>
      </c>
      <c r="F2197" t="s">
        <v>2</v>
      </c>
    </row>
    <row r="2198" spans="1:6" x14ac:dyDescent="0.25">
      <c r="A2198" s="5">
        <v>26234359</v>
      </c>
      <c r="B2198" s="5" t="s">
        <v>400</v>
      </c>
      <c r="C2198" s="5" t="s">
        <v>12</v>
      </c>
      <c r="D2198" s="6">
        <v>45911</v>
      </c>
      <c r="E2198" s="12">
        <v>45989</v>
      </c>
      <c r="F2198" t="s">
        <v>2</v>
      </c>
    </row>
    <row r="2199" spans="1:6" x14ac:dyDescent="0.25">
      <c r="A2199" s="5">
        <v>26234360</v>
      </c>
      <c r="B2199" s="5" t="s">
        <v>400</v>
      </c>
      <c r="C2199" s="5" t="s">
        <v>12</v>
      </c>
      <c r="D2199" s="6">
        <v>45911</v>
      </c>
      <c r="E2199" s="12">
        <v>45989</v>
      </c>
      <c r="F2199" t="s">
        <v>2</v>
      </c>
    </row>
    <row r="2200" spans="1:6" x14ac:dyDescent="0.25">
      <c r="A2200" s="5">
        <v>26234361</v>
      </c>
      <c r="B2200" s="5" t="s">
        <v>401</v>
      </c>
      <c r="C2200" s="5" t="s">
        <v>12</v>
      </c>
      <c r="D2200" s="6">
        <v>45911</v>
      </c>
      <c r="E2200" s="12">
        <v>45989</v>
      </c>
      <c r="F2200" t="s">
        <v>2</v>
      </c>
    </row>
    <row r="2201" spans="1:6" x14ac:dyDescent="0.25">
      <c r="A2201" s="5">
        <v>26234362</v>
      </c>
      <c r="B2201" s="5" t="s">
        <v>401</v>
      </c>
      <c r="C2201" s="5" t="s">
        <v>12</v>
      </c>
      <c r="D2201" s="6">
        <v>45911</v>
      </c>
      <c r="E2201" s="12">
        <v>45989</v>
      </c>
      <c r="F2201" t="s">
        <v>2</v>
      </c>
    </row>
    <row r="2202" spans="1:6" x14ac:dyDescent="0.25">
      <c r="A2202" s="5">
        <v>26234363</v>
      </c>
      <c r="B2202" s="5" t="s">
        <v>401</v>
      </c>
      <c r="C2202" s="5" t="s">
        <v>12</v>
      </c>
      <c r="D2202" s="6">
        <v>45911</v>
      </c>
      <c r="E2202" s="12">
        <v>45989</v>
      </c>
      <c r="F2202" t="s">
        <v>2</v>
      </c>
    </row>
    <row r="2203" spans="1:6" x14ac:dyDescent="0.25">
      <c r="A2203" s="5">
        <v>26234364</v>
      </c>
      <c r="B2203" s="5" t="s">
        <v>400</v>
      </c>
      <c r="C2203" s="5" t="s">
        <v>12</v>
      </c>
      <c r="D2203" s="6">
        <v>45911</v>
      </c>
      <c r="E2203" s="12">
        <v>45989</v>
      </c>
      <c r="F2203" t="s">
        <v>2</v>
      </c>
    </row>
    <row r="2204" spans="1:6" x14ac:dyDescent="0.25">
      <c r="A2204" s="5">
        <v>26234365</v>
      </c>
      <c r="B2204" s="5" t="s">
        <v>401</v>
      </c>
      <c r="C2204" s="5" t="s">
        <v>12</v>
      </c>
      <c r="D2204" s="6">
        <v>45911</v>
      </c>
      <c r="E2204" s="12">
        <v>45989</v>
      </c>
      <c r="F2204" t="s">
        <v>2</v>
      </c>
    </row>
    <row r="2205" spans="1:6" x14ac:dyDescent="0.25">
      <c r="A2205" s="5">
        <v>26234366</v>
      </c>
      <c r="B2205" s="5" t="s">
        <v>401</v>
      </c>
      <c r="C2205" s="5" t="s">
        <v>12</v>
      </c>
      <c r="D2205" s="6">
        <v>45911</v>
      </c>
      <c r="E2205" s="12">
        <v>45989</v>
      </c>
      <c r="F2205" t="s">
        <v>2</v>
      </c>
    </row>
    <row r="2206" spans="1:6" x14ac:dyDescent="0.25">
      <c r="A2206" s="5">
        <v>26234367</v>
      </c>
      <c r="B2206" s="5" t="s">
        <v>401</v>
      </c>
      <c r="C2206" s="5" t="s">
        <v>12</v>
      </c>
      <c r="D2206" s="6">
        <v>45911</v>
      </c>
      <c r="E2206" s="12">
        <v>45989</v>
      </c>
      <c r="F2206" t="s">
        <v>2</v>
      </c>
    </row>
    <row r="2207" spans="1:6" x14ac:dyDescent="0.25">
      <c r="A2207" s="5">
        <v>26234368</v>
      </c>
      <c r="B2207" s="5" t="s">
        <v>401</v>
      </c>
      <c r="C2207" s="5" t="s">
        <v>12</v>
      </c>
      <c r="D2207" s="6">
        <v>45911</v>
      </c>
      <c r="E2207" s="12">
        <v>45989</v>
      </c>
      <c r="F2207" t="s">
        <v>2</v>
      </c>
    </row>
    <row r="2208" spans="1:6" x14ac:dyDescent="0.25">
      <c r="A2208" s="5">
        <v>26234369</v>
      </c>
      <c r="B2208" s="5" t="s">
        <v>400</v>
      </c>
      <c r="C2208" s="5" t="s">
        <v>12</v>
      </c>
      <c r="D2208" s="6">
        <v>45911</v>
      </c>
      <c r="E2208" s="12">
        <v>45989</v>
      </c>
      <c r="F2208" t="s">
        <v>2</v>
      </c>
    </row>
    <row r="2209" spans="1:6" x14ac:dyDescent="0.25">
      <c r="A2209" s="5">
        <v>26234370</v>
      </c>
      <c r="B2209" s="5" t="s">
        <v>401</v>
      </c>
      <c r="C2209" s="5" t="s">
        <v>12</v>
      </c>
      <c r="D2209" s="6">
        <v>45935</v>
      </c>
      <c r="E2209" s="12">
        <v>45989</v>
      </c>
      <c r="F2209" t="s">
        <v>2</v>
      </c>
    </row>
    <row r="2210" spans="1:6" x14ac:dyDescent="0.25">
      <c r="A2210" s="5">
        <v>26234371</v>
      </c>
      <c r="B2210" s="5" t="s">
        <v>400</v>
      </c>
      <c r="C2210" s="5" t="s">
        <v>12</v>
      </c>
      <c r="D2210" s="6">
        <v>45911</v>
      </c>
      <c r="E2210" s="12">
        <v>45989</v>
      </c>
      <c r="F2210" t="s">
        <v>2</v>
      </c>
    </row>
    <row r="2211" spans="1:6" x14ac:dyDescent="0.25">
      <c r="A2211" s="5">
        <v>26234372</v>
      </c>
      <c r="B2211" s="5" t="s">
        <v>400</v>
      </c>
      <c r="C2211" s="5" t="s">
        <v>12</v>
      </c>
      <c r="D2211" s="6">
        <v>45945</v>
      </c>
      <c r="E2211" s="12">
        <v>45989</v>
      </c>
      <c r="F2211" t="s">
        <v>2</v>
      </c>
    </row>
    <row r="2212" spans="1:6" x14ac:dyDescent="0.25">
      <c r="A2212" s="5">
        <v>26234373</v>
      </c>
      <c r="B2212" s="5" t="s">
        <v>400</v>
      </c>
      <c r="C2212" s="5" t="s">
        <v>12</v>
      </c>
      <c r="D2212" s="6">
        <v>45945</v>
      </c>
      <c r="E2212" s="12">
        <v>45989</v>
      </c>
      <c r="F2212" t="s">
        <v>2</v>
      </c>
    </row>
    <row r="2213" spans="1:6" x14ac:dyDescent="0.25">
      <c r="A2213" s="5">
        <v>26234374</v>
      </c>
      <c r="B2213" s="5" t="s">
        <v>400</v>
      </c>
      <c r="C2213" s="5" t="s">
        <v>18</v>
      </c>
      <c r="D2213" s="6">
        <v>45945</v>
      </c>
      <c r="E2213" s="12">
        <v>45989</v>
      </c>
      <c r="F2213" t="s">
        <v>2</v>
      </c>
    </row>
    <row r="2214" spans="1:6" x14ac:dyDescent="0.25">
      <c r="A2214" s="5">
        <v>26234375</v>
      </c>
      <c r="B2214" s="5" t="s">
        <v>400</v>
      </c>
      <c r="C2214" s="5" t="s">
        <v>12</v>
      </c>
      <c r="D2214" s="6">
        <v>45945</v>
      </c>
      <c r="E2214" s="12">
        <v>45989</v>
      </c>
      <c r="F2214" t="s">
        <v>2</v>
      </c>
    </row>
    <row r="2215" spans="1:6" x14ac:dyDescent="0.25">
      <c r="A2215" s="5">
        <v>26234376</v>
      </c>
      <c r="B2215" s="5" t="s">
        <v>400</v>
      </c>
      <c r="C2215" s="5" t="s">
        <v>12</v>
      </c>
      <c r="D2215" s="6">
        <v>45945</v>
      </c>
      <c r="E2215" s="12">
        <v>45989</v>
      </c>
      <c r="F2215" t="s">
        <v>2</v>
      </c>
    </row>
    <row r="2216" spans="1:6" x14ac:dyDescent="0.25">
      <c r="A2216" s="5">
        <v>26234377</v>
      </c>
      <c r="B2216" s="5" t="s">
        <v>400</v>
      </c>
      <c r="C2216" s="5" t="s">
        <v>12</v>
      </c>
      <c r="D2216" s="6">
        <v>45945</v>
      </c>
      <c r="E2216" s="12">
        <v>45989</v>
      </c>
      <c r="F2216" t="s">
        <v>2</v>
      </c>
    </row>
    <row r="2217" spans="1:6" x14ac:dyDescent="0.25">
      <c r="A2217" s="5">
        <v>26234378</v>
      </c>
      <c r="B2217" s="5" t="s">
        <v>401</v>
      </c>
      <c r="C2217" s="5" t="s">
        <v>12</v>
      </c>
      <c r="D2217" s="6">
        <v>45945</v>
      </c>
      <c r="E2217" s="12">
        <v>45989</v>
      </c>
      <c r="F2217" t="s">
        <v>2</v>
      </c>
    </row>
    <row r="2218" spans="1:6" x14ac:dyDescent="0.25">
      <c r="A2218" s="5">
        <v>26234379</v>
      </c>
      <c r="B2218" s="5" t="s">
        <v>401</v>
      </c>
      <c r="C2218" s="5" t="s">
        <v>12</v>
      </c>
      <c r="D2218" s="6">
        <v>45945</v>
      </c>
      <c r="E2218" s="12">
        <v>45989</v>
      </c>
      <c r="F2218" t="s">
        <v>2</v>
      </c>
    </row>
    <row r="2219" spans="1:6" x14ac:dyDescent="0.25">
      <c r="A2219" s="5">
        <v>26234380</v>
      </c>
      <c r="B2219" s="5" t="s">
        <v>401</v>
      </c>
      <c r="C2219" s="5" t="s">
        <v>12</v>
      </c>
      <c r="D2219" s="6">
        <v>45945</v>
      </c>
      <c r="E2219" s="12">
        <v>45989</v>
      </c>
      <c r="F2219" t="s">
        <v>2</v>
      </c>
    </row>
    <row r="2220" spans="1:6" x14ac:dyDescent="0.25">
      <c r="A2220" s="5">
        <v>26234381</v>
      </c>
      <c r="B2220" s="5" t="s">
        <v>401</v>
      </c>
      <c r="C2220" s="5" t="s">
        <v>18</v>
      </c>
      <c r="D2220" s="6">
        <v>45935</v>
      </c>
      <c r="E2220" s="12">
        <v>45989</v>
      </c>
      <c r="F2220" t="s">
        <v>2</v>
      </c>
    </row>
    <row r="2221" spans="1:6" x14ac:dyDescent="0.25">
      <c r="A2221" s="5">
        <v>26234382</v>
      </c>
      <c r="B2221" s="5" t="s">
        <v>400</v>
      </c>
      <c r="C2221" s="5" t="s">
        <v>12</v>
      </c>
      <c r="D2221" s="6">
        <v>45935</v>
      </c>
      <c r="E2221" s="12">
        <v>45989</v>
      </c>
      <c r="F2221" t="s">
        <v>2</v>
      </c>
    </row>
    <row r="2222" spans="1:6" x14ac:dyDescent="0.25">
      <c r="A2222" s="5">
        <v>26234383</v>
      </c>
      <c r="B2222" s="5" t="s">
        <v>400</v>
      </c>
      <c r="C2222" s="5" t="s">
        <v>12</v>
      </c>
      <c r="D2222" s="6">
        <v>45899</v>
      </c>
      <c r="E2222" s="12">
        <v>45989</v>
      </c>
      <c r="F2222" t="s">
        <v>2</v>
      </c>
    </row>
    <row r="2223" spans="1:6" x14ac:dyDescent="0.25">
      <c r="A2223" s="5">
        <v>26234384</v>
      </c>
      <c r="B2223" s="5" t="s">
        <v>401</v>
      </c>
      <c r="C2223" s="5" t="s">
        <v>12</v>
      </c>
      <c r="D2223" s="6">
        <v>45935</v>
      </c>
      <c r="E2223" s="12">
        <v>45989</v>
      </c>
      <c r="F2223" t="s">
        <v>2</v>
      </c>
    </row>
    <row r="2224" spans="1:6" x14ac:dyDescent="0.25">
      <c r="A2224" s="5">
        <v>26234385</v>
      </c>
      <c r="B2224" s="5" t="s">
        <v>400</v>
      </c>
      <c r="C2224" s="5" t="s">
        <v>12</v>
      </c>
      <c r="D2224" s="6">
        <v>45911</v>
      </c>
      <c r="E2224" s="12">
        <v>45989</v>
      </c>
      <c r="F2224" t="s">
        <v>2</v>
      </c>
    </row>
    <row r="2225" spans="1:6" x14ac:dyDescent="0.25">
      <c r="A2225" s="5">
        <v>26234386</v>
      </c>
      <c r="B2225" s="5" t="s">
        <v>400</v>
      </c>
      <c r="C2225" s="5" t="s">
        <v>12</v>
      </c>
      <c r="D2225" s="6">
        <v>45911</v>
      </c>
      <c r="E2225" s="12">
        <v>45989</v>
      </c>
      <c r="F2225" t="s">
        <v>2</v>
      </c>
    </row>
    <row r="2226" spans="1:6" x14ac:dyDescent="0.25">
      <c r="A2226" s="5">
        <v>26234387</v>
      </c>
      <c r="B2226" s="5" t="s">
        <v>401</v>
      </c>
      <c r="C2226" s="5" t="s">
        <v>12</v>
      </c>
      <c r="D2226" s="6">
        <v>45911</v>
      </c>
      <c r="E2226" s="12">
        <v>45989</v>
      </c>
      <c r="F2226" t="s">
        <v>2</v>
      </c>
    </row>
    <row r="2227" spans="1:6" x14ac:dyDescent="0.25">
      <c r="A2227" s="5">
        <v>26234388</v>
      </c>
      <c r="B2227" s="5" t="s">
        <v>400</v>
      </c>
      <c r="C2227" s="5" t="s">
        <v>12</v>
      </c>
      <c r="D2227" s="6">
        <v>45911</v>
      </c>
      <c r="E2227" s="12">
        <v>45989</v>
      </c>
      <c r="F2227" t="s">
        <v>2</v>
      </c>
    </row>
    <row r="2228" spans="1:6" x14ac:dyDescent="0.25">
      <c r="A2228" s="5">
        <v>26234389</v>
      </c>
      <c r="B2228" s="5" t="s">
        <v>401</v>
      </c>
      <c r="C2228" s="5" t="s">
        <v>12</v>
      </c>
      <c r="D2228" s="6">
        <v>45911</v>
      </c>
      <c r="E2228" s="12">
        <v>45989</v>
      </c>
      <c r="F2228" t="s">
        <v>2</v>
      </c>
    </row>
    <row r="2229" spans="1:6" x14ac:dyDescent="0.25">
      <c r="A2229" s="5">
        <v>26234390</v>
      </c>
      <c r="B2229" s="5" t="s">
        <v>400</v>
      </c>
      <c r="C2229" s="5" t="s">
        <v>12</v>
      </c>
      <c r="D2229" s="6">
        <v>45911</v>
      </c>
      <c r="E2229" s="12">
        <v>45989</v>
      </c>
      <c r="F2229" t="s">
        <v>2</v>
      </c>
    </row>
    <row r="2230" spans="1:6" x14ac:dyDescent="0.25">
      <c r="A2230" s="5">
        <v>26234391</v>
      </c>
      <c r="B2230" s="5" t="s">
        <v>400</v>
      </c>
      <c r="C2230" s="5" t="s">
        <v>12</v>
      </c>
      <c r="D2230" s="6">
        <v>45911</v>
      </c>
      <c r="E2230" s="12">
        <v>45989</v>
      </c>
      <c r="F2230" t="s">
        <v>2</v>
      </c>
    </row>
    <row r="2231" spans="1:6" x14ac:dyDescent="0.25">
      <c r="A2231" s="5">
        <v>26234392</v>
      </c>
      <c r="B2231" s="5" t="s">
        <v>400</v>
      </c>
      <c r="C2231" s="5" t="s">
        <v>12</v>
      </c>
      <c r="D2231" s="6">
        <v>45911</v>
      </c>
      <c r="E2231" s="12">
        <v>45989</v>
      </c>
      <c r="F2231" t="s">
        <v>2</v>
      </c>
    </row>
    <row r="2232" spans="1:6" x14ac:dyDescent="0.25">
      <c r="A2232" s="5">
        <v>26234393</v>
      </c>
      <c r="B2232" s="5" t="s">
        <v>400</v>
      </c>
      <c r="C2232" s="5" t="s">
        <v>12</v>
      </c>
      <c r="D2232" s="6">
        <v>45911</v>
      </c>
      <c r="E2232" s="12">
        <v>45989</v>
      </c>
      <c r="F2232" t="s">
        <v>2</v>
      </c>
    </row>
    <row r="2233" spans="1:6" x14ac:dyDescent="0.25">
      <c r="A2233" s="5">
        <v>26234394</v>
      </c>
      <c r="B2233" s="5" t="s">
        <v>401</v>
      </c>
      <c r="C2233" s="5" t="s">
        <v>18</v>
      </c>
      <c r="D2233" s="6">
        <v>45911</v>
      </c>
      <c r="E2233" s="12">
        <v>45989</v>
      </c>
      <c r="F2233" t="s">
        <v>2</v>
      </c>
    </row>
    <row r="2234" spans="1:6" x14ac:dyDescent="0.25">
      <c r="A2234" s="5">
        <v>26234395</v>
      </c>
      <c r="B2234" s="5" t="s">
        <v>400</v>
      </c>
      <c r="C2234" s="5" t="s">
        <v>12</v>
      </c>
      <c r="D2234" s="6">
        <v>45911</v>
      </c>
      <c r="E2234" s="12">
        <v>45989</v>
      </c>
      <c r="F2234" t="s">
        <v>2</v>
      </c>
    </row>
    <row r="2235" spans="1:6" x14ac:dyDescent="0.25">
      <c r="A2235" s="5">
        <v>26234396</v>
      </c>
      <c r="B2235" s="5" t="s">
        <v>400</v>
      </c>
      <c r="C2235" s="5" t="s">
        <v>12</v>
      </c>
      <c r="D2235" s="6">
        <v>45911</v>
      </c>
      <c r="E2235" s="12">
        <v>45989</v>
      </c>
      <c r="F2235" t="s">
        <v>2</v>
      </c>
    </row>
    <row r="2236" spans="1:6" x14ac:dyDescent="0.25">
      <c r="A2236" s="5">
        <v>26234397</v>
      </c>
      <c r="B2236" s="5" t="s">
        <v>401</v>
      </c>
      <c r="C2236" s="5" t="s">
        <v>12</v>
      </c>
      <c r="D2236" s="6">
        <v>45911</v>
      </c>
      <c r="E2236" s="12">
        <v>45989</v>
      </c>
      <c r="F2236" t="s">
        <v>2</v>
      </c>
    </row>
    <row r="2237" spans="1:6" x14ac:dyDescent="0.25">
      <c r="A2237" s="5">
        <v>26234398</v>
      </c>
      <c r="B2237" s="5" t="s">
        <v>400</v>
      </c>
      <c r="C2237" s="5" t="s">
        <v>12</v>
      </c>
      <c r="D2237" s="6">
        <v>45935</v>
      </c>
      <c r="E2237" s="12">
        <v>45989</v>
      </c>
      <c r="F2237" t="s">
        <v>2</v>
      </c>
    </row>
    <row r="2238" spans="1:6" x14ac:dyDescent="0.25">
      <c r="A2238" s="5">
        <v>26234399</v>
      </c>
      <c r="B2238" s="5" t="s">
        <v>400</v>
      </c>
      <c r="C2238" s="5" t="s">
        <v>12</v>
      </c>
      <c r="D2238" s="6">
        <v>45911</v>
      </c>
      <c r="E2238" s="12">
        <v>45989</v>
      </c>
      <c r="F2238" t="s">
        <v>2</v>
      </c>
    </row>
    <row r="2239" spans="1:6" x14ac:dyDescent="0.25">
      <c r="A2239" s="5">
        <v>26234400</v>
      </c>
      <c r="B2239" s="5" t="s">
        <v>400</v>
      </c>
      <c r="C2239" s="5" t="s">
        <v>18</v>
      </c>
      <c r="D2239" s="6">
        <v>45911</v>
      </c>
      <c r="E2239" s="12">
        <v>45989</v>
      </c>
      <c r="F2239" t="s">
        <v>2</v>
      </c>
    </row>
    <row r="2240" spans="1:6" x14ac:dyDescent="0.25">
      <c r="A2240" s="5">
        <v>26234401</v>
      </c>
      <c r="B2240" s="5" t="s">
        <v>401</v>
      </c>
      <c r="C2240" s="5" t="s">
        <v>12</v>
      </c>
      <c r="D2240" s="6">
        <v>45911</v>
      </c>
      <c r="E2240" s="12">
        <v>45989</v>
      </c>
      <c r="F2240" t="s">
        <v>2</v>
      </c>
    </row>
    <row r="2241" spans="1:6" x14ac:dyDescent="0.25">
      <c r="A2241" s="5">
        <v>26234402</v>
      </c>
      <c r="B2241" s="5" t="s">
        <v>401</v>
      </c>
      <c r="C2241" s="5" t="s">
        <v>12</v>
      </c>
      <c r="D2241" s="6">
        <v>45911</v>
      </c>
      <c r="E2241" s="12">
        <v>45989</v>
      </c>
      <c r="F2241" t="s">
        <v>2</v>
      </c>
    </row>
    <row r="2242" spans="1:6" x14ac:dyDescent="0.25">
      <c r="A2242" s="5">
        <v>26234403</v>
      </c>
      <c r="B2242" s="5" t="s">
        <v>401</v>
      </c>
      <c r="C2242" s="5" t="s">
        <v>12</v>
      </c>
      <c r="D2242" s="6">
        <v>45911</v>
      </c>
      <c r="E2242" s="12">
        <v>45989</v>
      </c>
      <c r="F2242" t="s">
        <v>2</v>
      </c>
    </row>
    <row r="2243" spans="1:6" x14ac:dyDescent="0.25">
      <c r="A2243" s="5">
        <v>26234404</v>
      </c>
      <c r="B2243" s="5" t="s">
        <v>401</v>
      </c>
      <c r="C2243" s="5" t="s">
        <v>12</v>
      </c>
      <c r="D2243" s="6">
        <v>45911</v>
      </c>
      <c r="E2243" s="12">
        <v>45989</v>
      </c>
      <c r="F2243" t="s">
        <v>2</v>
      </c>
    </row>
    <row r="2244" spans="1:6" x14ac:dyDescent="0.25">
      <c r="A2244" s="5">
        <v>26234405</v>
      </c>
      <c r="B2244" s="5" t="s">
        <v>401</v>
      </c>
      <c r="C2244" s="5" t="s">
        <v>12</v>
      </c>
      <c r="D2244" s="6">
        <v>45911</v>
      </c>
      <c r="E2244" s="12">
        <v>45989</v>
      </c>
      <c r="F2244" t="s">
        <v>2</v>
      </c>
    </row>
    <row r="2245" spans="1:6" x14ac:dyDescent="0.25">
      <c r="A2245" s="5">
        <v>26234406</v>
      </c>
      <c r="B2245" s="5" t="s">
        <v>401</v>
      </c>
      <c r="C2245" s="5" t="s">
        <v>12</v>
      </c>
      <c r="D2245" s="6">
        <v>45911</v>
      </c>
      <c r="E2245" s="12">
        <v>45989</v>
      </c>
      <c r="F2245" t="s">
        <v>2</v>
      </c>
    </row>
    <row r="2246" spans="1:6" x14ac:dyDescent="0.25">
      <c r="A2246" s="5">
        <v>26234407</v>
      </c>
      <c r="B2246" s="5" t="s">
        <v>401</v>
      </c>
      <c r="C2246" s="5" t="s">
        <v>12</v>
      </c>
      <c r="D2246" s="6">
        <v>45935</v>
      </c>
      <c r="E2246" s="12">
        <v>45989</v>
      </c>
      <c r="F2246" t="s">
        <v>2</v>
      </c>
    </row>
    <row r="2247" spans="1:6" x14ac:dyDescent="0.25">
      <c r="A2247" s="5">
        <v>26234408</v>
      </c>
      <c r="B2247" s="5" t="s">
        <v>401</v>
      </c>
      <c r="C2247" s="5" t="s">
        <v>12</v>
      </c>
      <c r="D2247" s="6">
        <v>45911</v>
      </c>
      <c r="E2247" s="12">
        <v>45989</v>
      </c>
      <c r="F2247" t="s">
        <v>2</v>
      </c>
    </row>
    <row r="2248" spans="1:6" x14ac:dyDescent="0.25">
      <c r="A2248" s="5">
        <v>26234409</v>
      </c>
      <c r="B2248" s="5" t="s">
        <v>401</v>
      </c>
      <c r="C2248" s="5" t="s">
        <v>12</v>
      </c>
      <c r="D2248" s="6">
        <v>45911</v>
      </c>
      <c r="E2248" s="12">
        <v>45989</v>
      </c>
      <c r="F2248" t="s">
        <v>2</v>
      </c>
    </row>
    <row r="2249" spans="1:6" x14ac:dyDescent="0.25">
      <c r="A2249" s="5">
        <v>26234410</v>
      </c>
      <c r="B2249" s="5" t="s">
        <v>401</v>
      </c>
      <c r="C2249" s="5" t="s">
        <v>12</v>
      </c>
      <c r="D2249" s="6">
        <v>45911</v>
      </c>
      <c r="E2249" s="12">
        <v>45989</v>
      </c>
      <c r="F2249" t="s">
        <v>2</v>
      </c>
    </row>
    <row r="2250" spans="1:6" x14ac:dyDescent="0.25">
      <c r="A2250" s="5">
        <v>26234411</v>
      </c>
      <c r="B2250" s="5" t="s">
        <v>401</v>
      </c>
      <c r="C2250" s="5" t="s">
        <v>12</v>
      </c>
      <c r="D2250" s="6">
        <v>45911</v>
      </c>
      <c r="E2250" s="12">
        <v>45989</v>
      </c>
      <c r="F2250" t="s">
        <v>2</v>
      </c>
    </row>
    <row r="2251" spans="1:6" x14ac:dyDescent="0.25">
      <c r="A2251" s="5">
        <v>26234412</v>
      </c>
      <c r="B2251" s="5" t="s">
        <v>400</v>
      </c>
      <c r="C2251" s="5" t="s">
        <v>12</v>
      </c>
      <c r="D2251" s="6">
        <v>45911</v>
      </c>
      <c r="E2251" s="12">
        <v>45989</v>
      </c>
      <c r="F2251" t="s">
        <v>2</v>
      </c>
    </row>
    <row r="2252" spans="1:6" x14ac:dyDescent="0.25">
      <c r="A2252" s="5">
        <v>26234413</v>
      </c>
      <c r="B2252" s="5" t="s">
        <v>400</v>
      </c>
      <c r="C2252" s="5" t="s">
        <v>12</v>
      </c>
      <c r="D2252" s="6">
        <v>45911</v>
      </c>
      <c r="E2252" s="12">
        <v>45989</v>
      </c>
      <c r="F2252" t="s">
        <v>2</v>
      </c>
    </row>
    <row r="2253" spans="1:6" x14ac:dyDescent="0.25">
      <c r="A2253" s="5">
        <v>26234414</v>
      </c>
      <c r="B2253" s="5" t="s">
        <v>400</v>
      </c>
      <c r="C2253" s="5" t="s">
        <v>12</v>
      </c>
      <c r="D2253" s="6">
        <v>45911</v>
      </c>
      <c r="E2253" s="12">
        <v>45989</v>
      </c>
      <c r="F2253" t="s">
        <v>2</v>
      </c>
    </row>
    <row r="2254" spans="1:6" x14ac:dyDescent="0.25">
      <c r="A2254" s="5">
        <v>26234415</v>
      </c>
      <c r="B2254" s="5" t="s">
        <v>401</v>
      </c>
      <c r="C2254" s="5" t="s">
        <v>12</v>
      </c>
      <c r="D2254" s="6">
        <v>45911</v>
      </c>
      <c r="E2254" s="12">
        <v>45989</v>
      </c>
      <c r="F2254" t="s">
        <v>2</v>
      </c>
    </row>
    <row r="2255" spans="1:6" x14ac:dyDescent="0.25">
      <c r="A2255" s="5">
        <v>26234416</v>
      </c>
      <c r="B2255" s="5" t="s">
        <v>401</v>
      </c>
      <c r="C2255" s="5" t="s">
        <v>12</v>
      </c>
      <c r="D2255" s="6">
        <v>45911</v>
      </c>
      <c r="E2255" s="12">
        <v>45989</v>
      </c>
      <c r="F2255" t="s">
        <v>2</v>
      </c>
    </row>
    <row r="2256" spans="1:6" x14ac:dyDescent="0.25">
      <c r="A2256" s="5">
        <v>26234417</v>
      </c>
      <c r="B2256" s="5" t="s">
        <v>400</v>
      </c>
      <c r="C2256" s="5" t="s">
        <v>12</v>
      </c>
      <c r="D2256" s="6">
        <v>45911</v>
      </c>
      <c r="E2256" s="12">
        <v>45989</v>
      </c>
      <c r="F2256" t="s">
        <v>2</v>
      </c>
    </row>
    <row r="2257" spans="1:6" x14ac:dyDescent="0.25">
      <c r="A2257" s="5">
        <v>26234418</v>
      </c>
      <c r="B2257" s="5" t="s">
        <v>400</v>
      </c>
      <c r="C2257" s="5" t="s">
        <v>12</v>
      </c>
      <c r="D2257" s="6">
        <v>45911</v>
      </c>
      <c r="E2257" s="12">
        <v>45989</v>
      </c>
      <c r="F2257" t="s">
        <v>2</v>
      </c>
    </row>
    <row r="2258" spans="1:6" x14ac:dyDescent="0.25">
      <c r="A2258" s="5">
        <v>26234419</v>
      </c>
      <c r="B2258" s="5" t="s">
        <v>400</v>
      </c>
      <c r="C2258" s="5" t="s">
        <v>18</v>
      </c>
      <c r="D2258" s="6">
        <v>45911</v>
      </c>
      <c r="E2258" s="12">
        <v>45989</v>
      </c>
      <c r="F2258" t="s">
        <v>2</v>
      </c>
    </row>
    <row r="2259" spans="1:6" x14ac:dyDescent="0.25">
      <c r="A2259" s="5">
        <v>26234420</v>
      </c>
      <c r="B2259" s="5" t="s">
        <v>401</v>
      </c>
      <c r="C2259" s="5" t="s">
        <v>12</v>
      </c>
      <c r="D2259" s="6">
        <v>45911</v>
      </c>
      <c r="E2259" s="12">
        <v>45989</v>
      </c>
      <c r="F2259" t="s">
        <v>2</v>
      </c>
    </row>
    <row r="2260" spans="1:6" x14ac:dyDescent="0.25">
      <c r="A2260" s="5">
        <v>26234421</v>
      </c>
      <c r="B2260" s="5" t="s">
        <v>401</v>
      </c>
      <c r="C2260" s="5" t="s">
        <v>12</v>
      </c>
      <c r="D2260" s="6">
        <v>45911</v>
      </c>
      <c r="E2260" s="12">
        <v>45989</v>
      </c>
      <c r="F2260" t="s">
        <v>2</v>
      </c>
    </row>
    <row r="2261" spans="1:6" x14ac:dyDescent="0.25">
      <c r="A2261" s="5">
        <v>26234422</v>
      </c>
      <c r="B2261" s="5" t="s">
        <v>400</v>
      </c>
      <c r="C2261" s="5" t="s">
        <v>18</v>
      </c>
      <c r="D2261" s="6">
        <v>45911</v>
      </c>
      <c r="E2261" s="12">
        <v>45989</v>
      </c>
      <c r="F2261" t="s">
        <v>2</v>
      </c>
    </row>
    <row r="2262" spans="1:6" x14ac:dyDescent="0.25">
      <c r="A2262" s="5">
        <v>26234423</v>
      </c>
      <c r="B2262" s="5" t="s">
        <v>401</v>
      </c>
      <c r="C2262" s="5" t="s">
        <v>12</v>
      </c>
      <c r="D2262" s="6">
        <v>45911</v>
      </c>
      <c r="E2262" s="12">
        <v>45989</v>
      </c>
      <c r="F2262" t="s">
        <v>2</v>
      </c>
    </row>
    <row r="2263" spans="1:6" x14ac:dyDescent="0.25">
      <c r="A2263" s="5">
        <v>26234424</v>
      </c>
      <c r="B2263" s="5" t="s">
        <v>400</v>
      </c>
      <c r="C2263" s="5" t="s">
        <v>12</v>
      </c>
      <c r="D2263" s="6">
        <v>45911</v>
      </c>
      <c r="E2263" s="12">
        <v>45989</v>
      </c>
      <c r="F2263" t="s">
        <v>2</v>
      </c>
    </row>
    <row r="2264" spans="1:6" x14ac:dyDescent="0.25">
      <c r="A2264" s="5">
        <v>26234425</v>
      </c>
      <c r="B2264" s="5" t="s">
        <v>400</v>
      </c>
      <c r="C2264" s="5" t="s">
        <v>12</v>
      </c>
      <c r="D2264" s="6">
        <v>45911</v>
      </c>
      <c r="E2264" s="12">
        <v>45989</v>
      </c>
      <c r="F2264" t="s">
        <v>2</v>
      </c>
    </row>
    <row r="2265" spans="1:6" x14ac:dyDescent="0.25">
      <c r="A2265" s="5">
        <v>26234426</v>
      </c>
      <c r="B2265" s="5" t="s">
        <v>400</v>
      </c>
      <c r="C2265" s="5" t="s">
        <v>12</v>
      </c>
      <c r="D2265" s="6">
        <v>45911</v>
      </c>
      <c r="E2265" s="12">
        <v>45989</v>
      </c>
      <c r="F2265" t="s">
        <v>2</v>
      </c>
    </row>
    <row r="2266" spans="1:6" x14ac:dyDescent="0.25">
      <c r="A2266" s="5">
        <v>26234427</v>
      </c>
      <c r="B2266" s="5" t="s">
        <v>401</v>
      </c>
      <c r="C2266" s="5" t="s">
        <v>12</v>
      </c>
      <c r="D2266" s="6">
        <v>45911</v>
      </c>
      <c r="E2266" s="12">
        <v>45989</v>
      </c>
      <c r="F2266" t="s">
        <v>2</v>
      </c>
    </row>
    <row r="2267" spans="1:6" x14ac:dyDescent="0.25">
      <c r="A2267" s="5">
        <v>26234428</v>
      </c>
      <c r="B2267" s="5" t="s">
        <v>400</v>
      </c>
      <c r="C2267" s="5" t="s">
        <v>12</v>
      </c>
      <c r="D2267" s="6">
        <v>45911</v>
      </c>
      <c r="E2267" s="12">
        <v>45989</v>
      </c>
      <c r="F2267" t="s">
        <v>2</v>
      </c>
    </row>
    <row r="2268" spans="1:6" x14ac:dyDescent="0.25">
      <c r="A2268" s="5">
        <v>26234429</v>
      </c>
      <c r="B2268" s="5" t="s">
        <v>401</v>
      </c>
      <c r="C2268" s="5" t="s">
        <v>12</v>
      </c>
      <c r="D2268" s="6">
        <v>45911</v>
      </c>
      <c r="E2268" s="12">
        <v>45989</v>
      </c>
      <c r="F2268" t="s">
        <v>2</v>
      </c>
    </row>
    <row r="2269" spans="1:6" x14ac:dyDescent="0.25">
      <c r="A2269" s="5">
        <v>26234430</v>
      </c>
      <c r="B2269" s="5" t="s">
        <v>401</v>
      </c>
      <c r="C2269" s="5" t="s">
        <v>12</v>
      </c>
      <c r="D2269" s="6">
        <v>45911</v>
      </c>
      <c r="E2269" s="12">
        <v>45989</v>
      </c>
      <c r="F2269" t="s">
        <v>2</v>
      </c>
    </row>
    <row r="2270" spans="1:6" x14ac:dyDescent="0.25">
      <c r="A2270" s="5">
        <v>26234431</v>
      </c>
      <c r="B2270" s="5" t="s">
        <v>401</v>
      </c>
      <c r="C2270" s="5" t="s">
        <v>12</v>
      </c>
      <c r="D2270" s="6">
        <v>45911</v>
      </c>
      <c r="E2270" s="12">
        <v>45989</v>
      </c>
      <c r="F2270" t="s">
        <v>2</v>
      </c>
    </row>
    <row r="2271" spans="1:6" x14ac:dyDescent="0.25">
      <c r="A2271" s="5">
        <v>26234432</v>
      </c>
      <c r="B2271" s="5" t="s">
        <v>400</v>
      </c>
      <c r="C2271" s="5" t="s">
        <v>12</v>
      </c>
      <c r="D2271" s="6">
        <v>45911</v>
      </c>
      <c r="E2271" s="12">
        <v>45989</v>
      </c>
      <c r="F2271" t="s">
        <v>2</v>
      </c>
    </row>
    <row r="2272" spans="1:6" x14ac:dyDescent="0.25">
      <c r="A2272" s="5">
        <v>26234433</v>
      </c>
      <c r="B2272" s="5" t="s">
        <v>401</v>
      </c>
      <c r="C2272" s="5" t="s">
        <v>12</v>
      </c>
      <c r="D2272" s="6">
        <v>45911</v>
      </c>
      <c r="E2272" s="12">
        <v>45989</v>
      </c>
      <c r="F2272" t="s">
        <v>2</v>
      </c>
    </row>
    <row r="2273" spans="1:6" x14ac:dyDescent="0.25">
      <c r="A2273" s="5">
        <v>26234434</v>
      </c>
      <c r="B2273" s="5" t="s">
        <v>401</v>
      </c>
      <c r="C2273" s="5" t="s">
        <v>12</v>
      </c>
      <c r="D2273" s="6">
        <v>45911</v>
      </c>
      <c r="E2273" s="12">
        <v>45989</v>
      </c>
      <c r="F2273" t="s">
        <v>2</v>
      </c>
    </row>
    <row r="2274" spans="1:6" x14ac:dyDescent="0.25">
      <c r="A2274" s="5">
        <v>26234435</v>
      </c>
      <c r="B2274" s="5" t="s">
        <v>401</v>
      </c>
      <c r="C2274" s="5" t="s">
        <v>12</v>
      </c>
      <c r="D2274" s="6">
        <v>45911</v>
      </c>
      <c r="E2274" s="12">
        <v>45989</v>
      </c>
      <c r="F2274" t="s">
        <v>2</v>
      </c>
    </row>
    <row r="2275" spans="1:6" x14ac:dyDescent="0.25">
      <c r="A2275" s="5">
        <v>26234436</v>
      </c>
      <c r="B2275" s="5" t="s">
        <v>401</v>
      </c>
      <c r="C2275" s="5" t="s">
        <v>18</v>
      </c>
      <c r="D2275" s="6">
        <v>45911</v>
      </c>
      <c r="E2275" s="12">
        <v>45989</v>
      </c>
      <c r="F2275" t="s">
        <v>2</v>
      </c>
    </row>
    <row r="2276" spans="1:6" x14ac:dyDescent="0.25">
      <c r="A2276" s="5">
        <v>26234437</v>
      </c>
      <c r="B2276" s="5" t="s">
        <v>400</v>
      </c>
      <c r="C2276" s="5" t="s">
        <v>12</v>
      </c>
      <c r="D2276" s="6">
        <v>45911</v>
      </c>
      <c r="E2276" s="12">
        <v>45989</v>
      </c>
      <c r="F2276" t="s">
        <v>2</v>
      </c>
    </row>
    <row r="2277" spans="1:6" x14ac:dyDescent="0.25">
      <c r="A2277" s="5">
        <v>26234438</v>
      </c>
      <c r="B2277" s="5" t="s">
        <v>400</v>
      </c>
      <c r="C2277" s="5" t="s">
        <v>18</v>
      </c>
      <c r="D2277" s="6">
        <v>45911</v>
      </c>
      <c r="E2277" s="12">
        <v>45989</v>
      </c>
      <c r="F2277" t="s">
        <v>2</v>
      </c>
    </row>
    <row r="2278" spans="1:6" x14ac:dyDescent="0.25">
      <c r="A2278" s="5">
        <v>26234439</v>
      </c>
      <c r="B2278" s="5" t="s">
        <v>400</v>
      </c>
      <c r="C2278" s="5" t="s">
        <v>12</v>
      </c>
      <c r="D2278" s="6">
        <v>45911</v>
      </c>
      <c r="E2278" s="12">
        <v>45989</v>
      </c>
      <c r="F2278" t="s">
        <v>2</v>
      </c>
    </row>
    <row r="2279" spans="1:6" x14ac:dyDescent="0.25">
      <c r="A2279" s="5">
        <v>26234440</v>
      </c>
      <c r="B2279" s="5" t="s">
        <v>401</v>
      </c>
      <c r="C2279" s="5" t="s">
        <v>18</v>
      </c>
      <c r="D2279" s="6">
        <v>45911</v>
      </c>
      <c r="E2279" s="12">
        <v>45989</v>
      </c>
      <c r="F2279" t="s">
        <v>2</v>
      </c>
    </row>
    <row r="2280" spans="1:6" x14ac:dyDescent="0.25">
      <c r="A2280" s="5">
        <v>26234441</v>
      </c>
      <c r="B2280" s="5" t="s">
        <v>401</v>
      </c>
      <c r="C2280" s="5" t="s">
        <v>12</v>
      </c>
      <c r="D2280" s="6">
        <v>45911</v>
      </c>
      <c r="E2280" s="12">
        <v>45989</v>
      </c>
      <c r="F2280" t="s">
        <v>2</v>
      </c>
    </row>
    <row r="2281" spans="1:6" x14ac:dyDescent="0.25">
      <c r="A2281" s="5">
        <v>26234442</v>
      </c>
      <c r="B2281" s="5" t="s">
        <v>401</v>
      </c>
      <c r="C2281" s="5" t="s">
        <v>12</v>
      </c>
      <c r="D2281" s="6">
        <v>45911</v>
      </c>
      <c r="E2281" s="12">
        <v>45989</v>
      </c>
      <c r="F2281" t="s">
        <v>2</v>
      </c>
    </row>
    <row r="2282" spans="1:6" x14ac:dyDescent="0.25">
      <c r="A2282" s="5">
        <v>26234443</v>
      </c>
      <c r="B2282" s="5" t="s">
        <v>401</v>
      </c>
      <c r="C2282" s="5" t="s">
        <v>12</v>
      </c>
      <c r="D2282" s="6">
        <v>45911</v>
      </c>
      <c r="E2282" s="12">
        <v>45989</v>
      </c>
      <c r="F2282" t="s">
        <v>2</v>
      </c>
    </row>
    <row r="2283" spans="1:6" x14ac:dyDescent="0.25">
      <c r="A2283" s="5">
        <v>26234444</v>
      </c>
      <c r="B2283" s="5" t="s">
        <v>400</v>
      </c>
      <c r="C2283" s="5" t="s">
        <v>12</v>
      </c>
      <c r="D2283" s="6">
        <v>45911</v>
      </c>
      <c r="E2283" s="12">
        <v>45989</v>
      </c>
      <c r="F2283" t="s">
        <v>2</v>
      </c>
    </row>
    <row r="2284" spans="1:6" x14ac:dyDescent="0.25">
      <c r="A2284" s="5">
        <v>26234445</v>
      </c>
      <c r="B2284" s="5" t="s">
        <v>401</v>
      </c>
      <c r="C2284" s="5" t="s">
        <v>12</v>
      </c>
      <c r="D2284" s="6">
        <v>45911</v>
      </c>
      <c r="E2284" s="12">
        <v>45989</v>
      </c>
      <c r="F2284" t="s">
        <v>2</v>
      </c>
    </row>
    <row r="2285" spans="1:6" x14ac:dyDescent="0.25">
      <c r="A2285" s="5">
        <v>26234446</v>
      </c>
      <c r="B2285" s="5" t="s">
        <v>401</v>
      </c>
      <c r="C2285" s="5" t="s">
        <v>12</v>
      </c>
      <c r="D2285" s="6">
        <v>45935</v>
      </c>
      <c r="E2285" s="12">
        <v>45989</v>
      </c>
      <c r="F2285" t="s">
        <v>2</v>
      </c>
    </row>
    <row r="2286" spans="1:6" x14ac:dyDescent="0.25">
      <c r="A2286" s="5">
        <v>26234447</v>
      </c>
      <c r="B2286" s="5" t="s">
        <v>400</v>
      </c>
      <c r="C2286" s="5" t="s">
        <v>12</v>
      </c>
      <c r="D2286" s="6">
        <v>45935</v>
      </c>
      <c r="E2286" s="12">
        <v>45989</v>
      </c>
      <c r="F2286" t="s">
        <v>2</v>
      </c>
    </row>
    <row r="2287" spans="1:6" x14ac:dyDescent="0.25">
      <c r="A2287" s="5">
        <v>26234448</v>
      </c>
      <c r="B2287" s="5" t="s">
        <v>400</v>
      </c>
      <c r="C2287" s="5" t="s">
        <v>12</v>
      </c>
      <c r="D2287" s="6">
        <v>45935</v>
      </c>
      <c r="E2287" s="12">
        <v>45989</v>
      </c>
      <c r="F2287" t="s">
        <v>2</v>
      </c>
    </row>
    <row r="2288" spans="1:6" x14ac:dyDescent="0.25">
      <c r="A2288" s="5">
        <v>26234449</v>
      </c>
      <c r="B2288" s="5" t="s">
        <v>401</v>
      </c>
      <c r="C2288" s="5" t="s">
        <v>12</v>
      </c>
      <c r="D2288" s="6">
        <v>45935</v>
      </c>
      <c r="E2288" s="12">
        <v>45989</v>
      </c>
      <c r="F2288" t="s">
        <v>2</v>
      </c>
    </row>
    <row r="2289" spans="1:6" x14ac:dyDescent="0.25">
      <c r="A2289" s="5">
        <v>26234450</v>
      </c>
      <c r="B2289" s="5" t="s">
        <v>401</v>
      </c>
      <c r="C2289" s="5" t="s">
        <v>12</v>
      </c>
      <c r="D2289" s="6">
        <v>45935</v>
      </c>
      <c r="E2289" s="12">
        <v>45989</v>
      </c>
      <c r="F2289" t="s">
        <v>2</v>
      </c>
    </row>
    <row r="2290" spans="1:6" x14ac:dyDescent="0.25">
      <c r="A2290" s="5">
        <v>26234451</v>
      </c>
      <c r="B2290" s="5" t="s">
        <v>400</v>
      </c>
      <c r="C2290" s="5" t="s">
        <v>18</v>
      </c>
      <c r="D2290" s="6">
        <v>45935</v>
      </c>
      <c r="E2290" s="12">
        <v>45989</v>
      </c>
      <c r="F2290" t="s">
        <v>2</v>
      </c>
    </row>
    <row r="2291" spans="1:6" x14ac:dyDescent="0.25">
      <c r="A2291" s="5">
        <v>26234452</v>
      </c>
      <c r="B2291" s="5" t="s">
        <v>401</v>
      </c>
      <c r="C2291" s="5" t="s">
        <v>12</v>
      </c>
      <c r="D2291" s="6">
        <v>45935</v>
      </c>
      <c r="E2291" s="12">
        <v>45989</v>
      </c>
      <c r="F2291" t="s">
        <v>2</v>
      </c>
    </row>
    <row r="2292" spans="1:6" x14ac:dyDescent="0.25">
      <c r="A2292" s="5">
        <v>26234453</v>
      </c>
      <c r="B2292" s="5" t="s">
        <v>400</v>
      </c>
      <c r="C2292" s="5" t="s">
        <v>12</v>
      </c>
      <c r="D2292" s="6">
        <v>45935</v>
      </c>
      <c r="E2292" s="12">
        <v>45989</v>
      </c>
      <c r="F2292" t="s">
        <v>2</v>
      </c>
    </row>
    <row r="2293" spans="1:6" x14ac:dyDescent="0.25">
      <c r="A2293" s="5">
        <v>26234454</v>
      </c>
      <c r="B2293" s="5" t="s">
        <v>401</v>
      </c>
      <c r="C2293" s="5" t="s">
        <v>12</v>
      </c>
      <c r="D2293" s="6">
        <v>45935</v>
      </c>
      <c r="E2293" s="12">
        <v>45989</v>
      </c>
      <c r="F2293" t="s">
        <v>2</v>
      </c>
    </row>
    <row r="2294" spans="1:6" x14ac:dyDescent="0.25">
      <c r="A2294" s="5">
        <v>26234455</v>
      </c>
      <c r="B2294" s="5" t="s">
        <v>401</v>
      </c>
      <c r="C2294" s="5" t="s">
        <v>12</v>
      </c>
      <c r="D2294" s="6">
        <v>45989</v>
      </c>
      <c r="E2294" s="12">
        <v>45989</v>
      </c>
      <c r="F2294" t="s">
        <v>2</v>
      </c>
    </row>
    <row r="2295" spans="1:6" x14ac:dyDescent="0.25">
      <c r="A2295" s="5">
        <v>26234456</v>
      </c>
      <c r="B2295" s="5" t="s">
        <v>401</v>
      </c>
      <c r="C2295" s="5" t="s">
        <v>12</v>
      </c>
      <c r="D2295" s="6">
        <v>45986</v>
      </c>
      <c r="E2295" s="12">
        <v>45989</v>
      </c>
      <c r="F2295" t="s">
        <v>2</v>
      </c>
    </row>
    <row r="2296" spans="1:6" x14ac:dyDescent="0.25">
      <c r="A2296" s="5">
        <v>26234457</v>
      </c>
      <c r="B2296" s="5" t="s">
        <v>401</v>
      </c>
      <c r="C2296" s="5" t="s">
        <v>12</v>
      </c>
      <c r="D2296" s="6">
        <v>45989</v>
      </c>
      <c r="E2296" s="12">
        <v>45989</v>
      </c>
      <c r="F2296" t="s">
        <v>2</v>
      </c>
    </row>
    <row r="2297" spans="1:6" x14ac:dyDescent="0.25">
      <c r="A2297" s="5">
        <v>26234458</v>
      </c>
      <c r="B2297" s="5" t="s">
        <v>401</v>
      </c>
      <c r="C2297" s="5" t="s">
        <v>12</v>
      </c>
      <c r="D2297" s="6">
        <v>45989</v>
      </c>
      <c r="E2297" s="12">
        <v>45989</v>
      </c>
      <c r="F2297" t="s">
        <v>2</v>
      </c>
    </row>
    <row r="2298" spans="1:6" x14ac:dyDescent="0.25">
      <c r="A2298" s="5">
        <v>26234459</v>
      </c>
      <c r="B2298" s="5" t="s">
        <v>400</v>
      </c>
      <c r="C2298" s="5" t="s">
        <v>12</v>
      </c>
      <c r="D2298" s="6">
        <v>45945</v>
      </c>
      <c r="E2298" s="12">
        <v>45989</v>
      </c>
      <c r="F2298" t="s">
        <v>2</v>
      </c>
    </row>
    <row r="2299" spans="1:6" x14ac:dyDescent="0.25">
      <c r="A2299" s="5">
        <v>26234461</v>
      </c>
      <c r="B2299" s="5" t="s">
        <v>401</v>
      </c>
      <c r="C2299" s="5" t="s">
        <v>12</v>
      </c>
      <c r="D2299" s="6">
        <v>46007</v>
      </c>
      <c r="E2299" s="12">
        <v>46008</v>
      </c>
      <c r="F2299" t="s">
        <v>0</v>
      </c>
    </row>
    <row r="2300" spans="1:6" x14ac:dyDescent="0.25">
      <c r="A2300" s="5">
        <v>26234462</v>
      </c>
      <c r="B2300" s="5" t="s">
        <v>400</v>
      </c>
      <c r="C2300" s="5" t="s">
        <v>12</v>
      </c>
      <c r="D2300" s="6">
        <v>46007</v>
      </c>
      <c r="E2300" s="12">
        <v>46008</v>
      </c>
      <c r="F2300" t="s">
        <v>0</v>
      </c>
    </row>
    <row r="2301" spans="1:6" x14ac:dyDescent="0.25">
      <c r="A2301" s="5">
        <v>26234463</v>
      </c>
      <c r="B2301" s="5" t="s">
        <v>400</v>
      </c>
      <c r="C2301" s="5" t="s">
        <v>18</v>
      </c>
      <c r="D2301" s="6">
        <v>46007</v>
      </c>
      <c r="E2301" s="12">
        <v>46008</v>
      </c>
      <c r="F2301" t="s">
        <v>0</v>
      </c>
    </row>
    <row r="2302" spans="1:6" x14ac:dyDescent="0.25">
      <c r="A2302" s="5">
        <v>26234464</v>
      </c>
      <c r="B2302" s="5" t="s">
        <v>400</v>
      </c>
      <c r="C2302" s="5" t="s">
        <v>79</v>
      </c>
      <c r="D2302" s="6">
        <v>46007</v>
      </c>
      <c r="E2302" s="12">
        <v>46008</v>
      </c>
      <c r="F2302" t="s">
        <v>0</v>
      </c>
    </row>
    <row r="2303" spans="1:6" x14ac:dyDescent="0.25">
      <c r="A2303" s="5">
        <v>26234465</v>
      </c>
      <c r="B2303" s="5" t="s">
        <v>400</v>
      </c>
      <c r="C2303" s="5" t="s">
        <v>79</v>
      </c>
      <c r="D2303" s="6">
        <v>46007</v>
      </c>
      <c r="E2303" s="12">
        <v>46008</v>
      </c>
      <c r="F2303" t="s">
        <v>0</v>
      </c>
    </row>
    <row r="2304" spans="1:6" x14ac:dyDescent="0.25">
      <c r="A2304" s="5">
        <v>26234466</v>
      </c>
      <c r="B2304" s="5" t="s">
        <v>401</v>
      </c>
      <c r="C2304" s="5" t="s">
        <v>79</v>
      </c>
      <c r="D2304" s="6">
        <v>46007</v>
      </c>
      <c r="E2304" s="12">
        <v>46008</v>
      </c>
      <c r="F2304" t="s">
        <v>0</v>
      </c>
    </row>
    <row r="2305" spans="1:6" x14ac:dyDescent="0.25">
      <c r="A2305" s="5">
        <v>26234467</v>
      </c>
      <c r="B2305" s="5" t="s">
        <v>401</v>
      </c>
      <c r="C2305" s="5" t="s">
        <v>79</v>
      </c>
      <c r="D2305" s="6">
        <v>46007</v>
      </c>
      <c r="E2305" s="12">
        <v>46008</v>
      </c>
      <c r="F2305" t="s">
        <v>0</v>
      </c>
    </row>
    <row r="2306" spans="1:6" x14ac:dyDescent="0.25">
      <c r="A2306" s="5">
        <v>26234468</v>
      </c>
      <c r="B2306" s="5" t="s">
        <v>400</v>
      </c>
      <c r="C2306" s="5" t="s">
        <v>79</v>
      </c>
      <c r="D2306" s="6">
        <v>46007</v>
      </c>
      <c r="E2306" s="12">
        <v>46008</v>
      </c>
      <c r="F2306" t="s">
        <v>0</v>
      </c>
    </row>
    <row r="2307" spans="1:6" x14ac:dyDescent="0.25">
      <c r="A2307" s="5">
        <v>26234469</v>
      </c>
      <c r="B2307" s="5" t="s">
        <v>401</v>
      </c>
      <c r="C2307" s="5" t="s">
        <v>79</v>
      </c>
      <c r="D2307" s="6">
        <v>46007</v>
      </c>
      <c r="E2307" s="12">
        <v>46008</v>
      </c>
      <c r="F2307" t="s">
        <v>0</v>
      </c>
    </row>
    <row r="2308" spans="1:6" x14ac:dyDescent="0.25">
      <c r="A2308" s="5">
        <v>26234470</v>
      </c>
      <c r="B2308" s="5" t="s">
        <v>401</v>
      </c>
      <c r="C2308" s="5" t="s">
        <v>79</v>
      </c>
      <c r="D2308" s="6">
        <v>46007</v>
      </c>
      <c r="E2308" s="12">
        <v>46008</v>
      </c>
      <c r="F2308" t="s">
        <v>0</v>
      </c>
    </row>
    <row r="2309" spans="1:6" x14ac:dyDescent="0.25">
      <c r="A2309" s="5">
        <v>26234471</v>
      </c>
      <c r="B2309" s="5" t="s">
        <v>401</v>
      </c>
      <c r="C2309" s="5" t="s">
        <v>79</v>
      </c>
      <c r="D2309" s="6">
        <v>46007</v>
      </c>
      <c r="E2309" s="12">
        <v>46008</v>
      </c>
      <c r="F2309" t="s">
        <v>0</v>
      </c>
    </row>
    <row r="2310" spans="1:6" x14ac:dyDescent="0.25">
      <c r="A2310" s="5">
        <v>26234472</v>
      </c>
      <c r="B2310" s="5" t="s">
        <v>401</v>
      </c>
      <c r="C2310" s="5" t="s">
        <v>18</v>
      </c>
      <c r="D2310" s="6">
        <v>46007</v>
      </c>
      <c r="E2310" s="12">
        <v>46008</v>
      </c>
      <c r="F2310" t="s">
        <v>0</v>
      </c>
    </row>
    <row r="2311" spans="1:6" x14ac:dyDescent="0.25">
      <c r="A2311" s="5">
        <v>26234473</v>
      </c>
      <c r="B2311" s="5" t="s">
        <v>400</v>
      </c>
      <c r="C2311" s="5" t="s">
        <v>12</v>
      </c>
      <c r="D2311" s="6">
        <v>46007</v>
      </c>
      <c r="E2311" s="12">
        <v>46008</v>
      </c>
      <c r="F2311" t="s">
        <v>0</v>
      </c>
    </row>
    <row r="2312" spans="1:6" x14ac:dyDescent="0.25">
      <c r="A2312" s="5">
        <v>26234474</v>
      </c>
      <c r="B2312" s="5" t="s">
        <v>400</v>
      </c>
      <c r="C2312" s="5" t="s">
        <v>12</v>
      </c>
      <c r="D2312" s="6">
        <v>46007</v>
      </c>
      <c r="E2312" s="12">
        <v>46008</v>
      </c>
      <c r="F2312" t="s">
        <v>0</v>
      </c>
    </row>
    <row r="2313" spans="1:6" x14ac:dyDescent="0.25">
      <c r="A2313" s="5">
        <v>26234475</v>
      </c>
      <c r="B2313" s="5" t="s">
        <v>401</v>
      </c>
      <c r="C2313" s="5" t="s">
        <v>12</v>
      </c>
      <c r="D2313" s="6">
        <v>46007</v>
      </c>
      <c r="E2313" s="12">
        <v>46008</v>
      </c>
      <c r="F2313" t="s">
        <v>0</v>
      </c>
    </row>
    <row r="2314" spans="1:6" x14ac:dyDescent="0.25">
      <c r="A2314" s="5">
        <v>26234476</v>
      </c>
      <c r="B2314" s="5" t="s">
        <v>401</v>
      </c>
      <c r="C2314" s="5" t="s">
        <v>12</v>
      </c>
      <c r="D2314" s="6">
        <v>46007</v>
      </c>
      <c r="E2314" s="12">
        <v>46008</v>
      </c>
      <c r="F2314" t="s">
        <v>0</v>
      </c>
    </row>
    <row r="2315" spans="1:6" x14ac:dyDescent="0.25">
      <c r="A2315" s="5">
        <v>26234477</v>
      </c>
      <c r="B2315" s="5" t="s">
        <v>401</v>
      </c>
      <c r="C2315" s="5" t="s">
        <v>12</v>
      </c>
      <c r="D2315" s="6">
        <v>46007</v>
      </c>
      <c r="E2315" s="12">
        <v>46008</v>
      </c>
      <c r="F2315" t="s">
        <v>0</v>
      </c>
    </row>
    <row r="2316" spans="1:6" x14ac:dyDescent="0.25">
      <c r="A2316" s="5">
        <v>26234478</v>
      </c>
      <c r="B2316" s="5" t="s">
        <v>400</v>
      </c>
      <c r="C2316" s="5" t="s">
        <v>12</v>
      </c>
      <c r="D2316" s="6">
        <v>45991</v>
      </c>
      <c r="E2316" s="12">
        <v>46010</v>
      </c>
      <c r="F2316" t="s">
        <v>2</v>
      </c>
    </row>
    <row r="2317" spans="1:6" x14ac:dyDescent="0.25">
      <c r="A2317" s="5">
        <v>26234479</v>
      </c>
      <c r="B2317" s="5" t="s">
        <v>400</v>
      </c>
      <c r="C2317" s="5" t="s">
        <v>12</v>
      </c>
      <c r="D2317" s="6">
        <v>45966</v>
      </c>
      <c r="E2317" s="12">
        <v>46010</v>
      </c>
      <c r="F2317" t="s">
        <v>2</v>
      </c>
    </row>
    <row r="2318" spans="1:6" x14ac:dyDescent="0.25">
      <c r="A2318" s="5">
        <v>26234480</v>
      </c>
      <c r="B2318" s="5" t="s">
        <v>400</v>
      </c>
      <c r="C2318" s="5" t="s">
        <v>12</v>
      </c>
      <c r="D2318" s="6">
        <v>45966</v>
      </c>
      <c r="E2318" s="12">
        <v>46010</v>
      </c>
      <c r="F2318" t="s">
        <v>2</v>
      </c>
    </row>
    <row r="2319" spans="1:6" x14ac:dyDescent="0.25">
      <c r="A2319" s="5">
        <v>26234481</v>
      </c>
      <c r="B2319" s="5" t="s">
        <v>401</v>
      </c>
      <c r="C2319" s="5" t="s">
        <v>12</v>
      </c>
      <c r="D2319" s="6">
        <v>45991</v>
      </c>
      <c r="E2319" s="12">
        <v>46010</v>
      </c>
      <c r="F2319" t="s">
        <v>2</v>
      </c>
    </row>
    <row r="2320" spans="1:6" x14ac:dyDescent="0.25">
      <c r="A2320" s="5">
        <v>26234482</v>
      </c>
      <c r="B2320" s="5" t="s">
        <v>400</v>
      </c>
      <c r="C2320" s="5" t="s">
        <v>12</v>
      </c>
      <c r="D2320" s="6">
        <v>45991</v>
      </c>
      <c r="E2320" s="12">
        <v>46010</v>
      </c>
      <c r="F2320" t="s">
        <v>2</v>
      </c>
    </row>
    <row r="2321" spans="1:6" x14ac:dyDescent="0.25">
      <c r="A2321" s="5">
        <v>26234483</v>
      </c>
      <c r="B2321" s="5" t="s">
        <v>401</v>
      </c>
      <c r="C2321" s="5" t="s">
        <v>12</v>
      </c>
      <c r="D2321" s="6">
        <v>45991</v>
      </c>
      <c r="E2321" s="12">
        <v>46010</v>
      </c>
      <c r="F2321" t="s">
        <v>2</v>
      </c>
    </row>
    <row r="2322" spans="1:6" x14ac:dyDescent="0.25">
      <c r="A2322" s="5">
        <v>26234484</v>
      </c>
      <c r="B2322" s="5" t="s">
        <v>401</v>
      </c>
      <c r="C2322" s="5" t="s">
        <v>12</v>
      </c>
      <c r="D2322" s="6">
        <v>45966</v>
      </c>
      <c r="E2322" s="12">
        <v>46010</v>
      </c>
      <c r="F2322" t="s">
        <v>2</v>
      </c>
    </row>
    <row r="2323" spans="1:6" x14ac:dyDescent="0.25">
      <c r="A2323" s="5">
        <v>26234460</v>
      </c>
      <c r="B2323" s="5" t="s">
        <v>400</v>
      </c>
      <c r="C2323" s="5" t="s">
        <v>79</v>
      </c>
      <c r="D2323" s="6">
        <v>45935</v>
      </c>
      <c r="E2323" s="12">
        <v>46006</v>
      </c>
      <c r="F2323" t="s">
        <v>0</v>
      </c>
    </row>
    <row r="2324" spans="1:6" x14ac:dyDescent="0.25">
      <c r="A2324" s="5">
        <v>26234150</v>
      </c>
      <c r="B2324" s="5" t="s">
        <v>401</v>
      </c>
      <c r="C2324" s="5" t="s">
        <v>12</v>
      </c>
      <c r="D2324" s="6">
        <v>45960</v>
      </c>
      <c r="E2324" s="12">
        <v>45990</v>
      </c>
      <c r="F2324" t="s">
        <v>0</v>
      </c>
    </row>
    <row r="2325" spans="1:6" x14ac:dyDescent="0.25">
      <c r="A2325" s="5">
        <v>26234149</v>
      </c>
      <c r="B2325" s="5" t="s">
        <v>400</v>
      </c>
      <c r="C2325" s="5" t="s">
        <v>18</v>
      </c>
      <c r="D2325" s="6">
        <v>45935</v>
      </c>
      <c r="E2325" s="12">
        <v>46029</v>
      </c>
      <c r="F2325" t="s">
        <v>0</v>
      </c>
    </row>
    <row r="2326" spans="1:6" x14ac:dyDescent="0.25">
      <c r="A2326" s="5">
        <v>26234485</v>
      </c>
      <c r="B2326" s="5" t="s">
        <v>400</v>
      </c>
      <c r="C2326" s="5" t="s">
        <v>12</v>
      </c>
      <c r="D2326" s="6">
        <v>46012</v>
      </c>
      <c r="E2326" s="12">
        <v>46012</v>
      </c>
      <c r="F2326" t="s">
        <v>2</v>
      </c>
    </row>
  </sheetData>
  <sortState xmlns:xlrd2="http://schemas.microsoft.com/office/spreadsheetml/2017/richdata2" ref="A2:G1988">
    <sortCondition ref="E2:E1988"/>
    <sortCondition ref="A2:A198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1"/>
  <sheetViews>
    <sheetView workbookViewId="0">
      <pane ySplit="1" topLeftCell="A58" activePane="bottomLeft" state="frozen"/>
      <selection pane="bottomLeft" activeCell="A70" sqref="A70"/>
    </sheetView>
  </sheetViews>
  <sheetFormatPr baseColWidth="10" defaultRowHeight="15" x14ac:dyDescent="0.25"/>
  <cols>
    <col min="3" max="3" width="21.28515625" style="7" customWidth="1"/>
  </cols>
  <sheetData>
    <row r="1" spans="1:3" x14ac:dyDescent="0.25">
      <c r="A1" t="s">
        <v>331</v>
      </c>
      <c r="B1" t="s">
        <v>387</v>
      </c>
      <c r="C1" s="7" t="s">
        <v>386</v>
      </c>
    </row>
    <row r="2" spans="1:3" x14ac:dyDescent="0.25">
      <c r="A2">
        <v>3583874</v>
      </c>
      <c r="C2">
        <v>2636134</v>
      </c>
    </row>
    <row r="3" spans="1:3" x14ac:dyDescent="0.25">
      <c r="A3">
        <v>9005308</v>
      </c>
      <c r="C3">
        <v>2636135</v>
      </c>
    </row>
    <row r="4" spans="1:3" x14ac:dyDescent="0.25">
      <c r="A4">
        <v>13447209</v>
      </c>
      <c r="C4">
        <v>2636103</v>
      </c>
    </row>
    <row r="5" spans="1:3" x14ac:dyDescent="0.25">
      <c r="A5">
        <v>14718282</v>
      </c>
      <c r="C5">
        <v>2636125</v>
      </c>
    </row>
    <row r="6" spans="1:3" x14ac:dyDescent="0.25">
      <c r="A6">
        <v>14718285</v>
      </c>
      <c r="C6">
        <v>2636141</v>
      </c>
    </row>
    <row r="7" spans="1:3" x14ac:dyDescent="0.25">
      <c r="A7">
        <v>14718286</v>
      </c>
      <c r="C7">
        <v>2636113</v>
      </c>
    </row>
    <row r="8" spans="1:3" x14ac:dyDescent="0.25">
      <c r="A8">
        <v>14718287</v>
      </c>
      <c r="C8">
        <v>2636102</v>
      </c>
    </row>
    <row r="9" spans="1:3" x14ac:dyDescent="0.25">
      <c r="A9">
        <v>14718288</v>
      </c>
      <c r="C9">
        <v>2636101</v>
      </c>
    </row>
    <row r="10" spans="1:3" x14ac:dyDescent="0.25">
      <c r="A10">
        <v>15417634</v>
      </c>
      <c r="C10">
        <v>2636124</v>
      </c>
    </row>
    <row r="11" spans="1:3" x14ac:dyDescent="0.25">
      <c r="A11">
        <v>15417643</v>
      </c>
      <c r="C11">
        <v>2366120</v>
      </c>
    </row>
    <row r="12" spans="1:3" x14ac:dyDescent="0.25">
      <c r="A12">
        <v>16190664</v>
      </c>
      <c r="C12">
        <v>2636122</v>
      </c>
    </row>
    <row r="13" spans="1:3" x14ac:dyDescent="0.25">
      <c r="A13">
        <v>16190671</v>
      </c>
      <c r="C13">
        <v>2636117</v>
      </c>
    </row>
    <row r="14" spans="1:3" x14ac:dyDescent="0.25">
      <c r="A14">
        <v>16390454</v>
      </c>
      <c r="C14">
        <v>2636128</v>
      </c>
    </row>
    <row r="15" spans="1:3" x14ac:dyDescent="0.25">
      <c r="A15">
        <v>16390516</v>
      </c>
      <c r="C15">
        <v>2636118</v>
      </c>
    </row>
    <row r="16" spans="1:3" x14ac:dyDescent="0.25">
      <c r="A16">
        <v>16390518</v>
      </c>
      <c r="C16">
        <v>2636127</v>
      </c>
    </row>
    <row r="17" spans="1:3" x14ac:dyDescent="0.25">
      <c r="A17">
        <v>16390557</v>
      </c>
      <c r="C17">
        <v>2636125</v>
      </c>
    </row>
    <row r="18" spans="1:3" x14ac:dyDescent="0.25">
      <c r="A18">
        <v>16390558</v>
      </c>
      <c r="C18">
        <v>2636148</v>
      </c>
    </row>
    <row r="19" spans="1:3" x14ac:dyDescent="0.25">
      <c r="A19">
        <v>16390559</v>
      </c>
      <c r="C19">
        <v>2636149</v>
      </c>
    </row>
    <row r="20" spans="1:3" x14ac:dyDescent="0.25">
      <c r="A20">
        <v>16390560</v>
      </c>
      <c r="C20">
        <v>2636154</v>
      </c>
    </row>
    <row r="21" spans="1:3" x14ac:dyDescent="0.25">
      <c r="A21">
        <v>16390591</v>
      </c>
      <c r="C21">
        <v>2636153</v>
      </c>
    </row>
    <row r="22" spans="1:3" x14ac:dyDescent="0.25">
      <c r="A22">
        <v>16390591</v>
      </c>
      <c r="C22">
        <v>2636108</v>
      </c>
    </row>
    <row r="23" spans="1:3" x14ac:dyDescent="0.25">
      <c r="A23">
        <v>16390592</v>
      </c>
      <c r="C23">
        <v>2636139</v>
      </c>
    </row>
    <row r="24" spans="1:3" x14ac:dyDescent="0.25">
      <c r="A24">
        <v>16843121</v>
      </c>
      <c r="C24">
        <v>2636115</v>
      </c>
    </row>
    <row r="25" spans="1:3" x14ac:dyDescent="0.25">
      <c r="A25">
        <v>16843122</v>
      </c>
      <c r="C25">
        <v>2636112</v>
      </c>
    </row>
    <row r="26" spans="1:3" x14ac:dyDescent="0.25">
      <c r="A26">
        <v>16843124</v>
      </c>
      <c r="C26">
        <v>2636119</v>
      </c>
    </row>
    <row r="27" spans="1:3" x14ac:dyDescent="0.25">
      <c r="A27">
        <v>16843125</v>
      </c>
      <c r="C27">
        <v>2636110</v>
      </c>
    </row>
    <row r="28" spans="1:3" x14ac:dyDescent="0.25">
      <c r="A28">
        <v>16843126</v>
      </c>
      <c r="C28">
        <v>2636136</v>
      </c>
    </row>
    <row r="29" spans="1:3" x14ac:dyDescent="0.25">
      <c r="A29">
        <v>16843128</v>
      </c>
      <c r="C29">
        <v>2636145</v>
      </c>
    </row>
    <row r="30" spans="1:3" x14ac:dyDescent="0.25">
      <c r="A30">
        <v>16843140</v>
      </c>
      <c r="C30">
        <v>2636114</v>
      </c>
    </row>
    <row r="31" spans="1:3" x14ac:dyDescent="0.25">
      <c r="A31">
        <v>18071569</v>
      </c>
      <c r="B31">
        <v>13349320</v>
      </c>
      <c r="C31">
        <v>2636109</v>
      </c>
    </row>
    <row r="32" spans="1:3" x14ac:dyDescent="0.25">
      <c r="A32">
        <v>18072806</v>
      </c>
      <c r="C32">
        <v>2636151</v>
      </c>
    </row>
    <row r="33" spans="1:3" x14ac:dyDescent="0.25">
      <c r="A33">
        <v>18072830</v>
      </c>
      <c r="C33">
        <v>2636147</v>
      </c>
    </row>
    <row r="34" spans="1:3" x14ac:dyDescent="0.25">
      <c r="A34">
        <v>19050220</v>
      </c>
      <c r="C34">
        <v>2636116</v>
      </c>
    </row>
    <row r="35" spans="1:3" x14ac:dyDescent="0.25">
      <c r="A35">
        <v>19050221</v>
      </c>
      <c r="C35">
        <v>2636111</v>
      </c>
    </row>
    <row r="36" spans="1:3" x14ac:dyDescent="0.25">
      <c r="A36">
        <v>19050222</v>
      </c>
      <c r="C36">
        <v>2636107</v>
      </c>
    </row>
    <row r="37" spans="1:3" x14ac:dyDescent="0.25">
      <c r="A37">
        <v>19050223</v>
      </c>
      <c r="C37">
        <v>2636103</v>
      </c>
    </row>
    <row r="38" spans="1:3" x14ac:dyDescent="0.25">
      <c r="A38">
        <v>19050224</v>
      </c>
      <c r="C38">
        <v>2636105</v>
      </c>
    </row>
    <row r="39" spans="1:3" x14ac:dyDescent="0.25">
      <c r="A39">
        <v>19050225</v>
      </c>
      <c r="C39">
        <v>2636106</v>
      </c>
    </row>
    <row r="40" spans="1:3" x14ac:dyDescent="0.25">
      <c r="A40">
        <v>19050226</v>
      </c>
      <c r="C40">
        <v>2636131</v>
      </c>
    </row>
    <row r="41" spans="1:3" x14ac:dyDescent="0.25">
      <c r="A41">
        <v>19050228</v>
      </c>
      <c r="C41">
        <v>2636123</v>
      </c>
    </row>
    <row r="42" spans="1:3" x14ac:dyDescent="0.25">
      <c r="A42">
        <v>19050229</v>
      </c>
      <c r="C42">
        <v>2636122</v>
      </c>
    </row>
    <row r="43" spans="1:3" x14ac:dyDescent="0.25">
      <c r="A43">
        <v>19050230</v>
      </c>
      <c r="C43">
        <v>2636133</v>
      </c>
    </row>
    <row r="44" spans="1:3" x14ac:dyDescent="0.25">
      <c r="A44">
        <v>19050231</v>
      </c>
      <c r="C44">
        <v>2636130</v>
      </c>
    </row>
    <row r="45" spans="1:3" x14ac:dyDescent="0.25">
      <c r="A45">
        <v>19050232</v>
      </c>
      <c r="C45">
        <v>2636121</v>
      </c>
    </row>
    <row r="46" spans="1:3" x14ac:dyDescent="0.25">
      <c r="A46">
        <v>19050234</v>
      </c>
      <c r="C46">
        <v>2636140</v>
      </c>
    </row>
    <row r="47" spans="1:3" x14ac:dyDescent="0.25">
      <c r="A47">
        <v>19050235</v>
      </c>
      <c r="C47">
        <v>2636138</v>
      </c>
    </row>
    <row r="48" spans="1:3" x14ac:dyDescent="0.25">
      <c r="A48">
        <v>19050236</v>
      </c>
      <c r="C48">
        <v>2636144</v>
      </c>
    </row>
    <row r="49" spans="1:3" x14ac:dyDescent="0.25">
      <c r="A49">
        <v>19050237</v>
      </c>
      <c r="C49">
        <v>2636137</v>
      </c>
    </row>
    <row r="50" spans="1:3" x14ac:dyDescent="0.25">
      <c r="A50">
        <v>19050238</v>
      </c>
      <c r="C50">
        <v>2636126</v>
      </c>
    </row>
    <row r="51" spans="1:3" x14ac:dyDescent="0.25">
      <c r="A51">
        <v>19050239</v>
      </c>
      <c r="C51">
        <v>2636142</v>
      </c>
    </row>
    <row r="52" spans="1:3" x14ac:dyDescent="0.25">
      <c r="A52">
        <v>19050240</v>
      </c>
      <c r="C52">
        <v>2636143</v>
      </c>
    </row>
    <row r="53" spans="1:3" x14ac:dyDescent="0.25">
      <c r="A53">
        <v>19776808</v>
      </c>
      <c r="C53">
        <v>2636157</v>
      </c>
    </row>
    <row r="54" spans="1:3" x14ac:dyDescent="0.25">
      <c r="A54">
        <v>19785769</v>
      </c>
      <c r="C54">
        <v>2636173</v>
      </c>
    </row>
    <row r="55" spans="1:3" x14ac:dyDescent="0.25">
      <c r="A55">
        <v>19785784</v>
      </c>
      <c r="C55">
        <v>2636164</v>
      </c>
    </row>
    <row r="56" spans="1:3" x14ac:dyDescent="0.25">
      <c r="A56">
        <v>19785789</v>
      </c>
      <c r="C56">
        <v>2636168</v>
      </c>
    </row>
    <row r="57" spans="1:3" x14ac:dyDescent="0.25">
      <c r="A57">
        <v>19785804</v>
      </c>
      <c r="C57" s="7">
        <v>2636177</v>
      </c>
    </row>
    <row r="58" spans="1:3" x14ac:dyDescent="0.25">
      <c r="A58">
        <v>20005035</v>
      </c>
      <c r="C58">
        <v>2636155</v>
      </c>
    </row>
    <row r="59" spans="1:3" x14ac:dyDescent="0.25">
      <c r="A59">
        <v>20910269</v>
      </c>
      <c r="C59">
        <v>2636161</v>
      </c>
    </row>
    <row r="60" spans="1:3" x14ac:dyDescent="0.25">
      <c r="A60">
        <v>20910379</v>
      </c>
      <c r="C60">
        <v>2636175</v>
      </c>
    </row>
    <row r="61" spans="1:3" x14ac:dyDescent="0.25">
      <c r="A61">
        <v>20910380</v>
      </c>
      <c r="C61">
        <v>2636174</v>
      </c>
    </row>
    <row r="62" spans="1:3" x14ac:dyDescent="0.25">
      <c r="A62">
        <v>20910653</v>
      </c>
      <c r="C62">
        <v>2636172</v>
      </c>
    </row>
    <row r="63" spans="1:3" x14ac:dyDescent="0.25">
      <c r="A63">
        <v>20910654</v>
      </c>
      <c r="C63">
        <v>2636142</v>
      </c>
    </row>
    <row r="64" spans="1:3" x14ac:dyDescent="0.25">
      <c r="A64">
        <v>20910751</v>
      </c>
      <c r="C64" s="7">
        <v>2636110</v>
      </c>
    </row>
    <row r="65" spans="1:3" x14ac:dyDescent="0.25">
      <c r="A65">
        <v>20910766</v>
      </c>
      <c r="C65">
        <v>2636163</v>
      </c>
    </row>
    <row r="66" spans="1:3" x14ac:dyDescent="0.25">
      <c r="A66">
        <v>20910768</v>
      </c>
      <c r="C66">
        <v>2636160</v>
      </c>
    </row>
    <row r="67" spans="1:3" x14ac:dyDescent="0.25">
      <c r="A67">
        <v>20910769</v>
      </c>
      <c r="B67">
        <v>19776849</v>
      </c>
      <c r="C67">
        <v>2636170</v>
      </c>
    </row>
    <row r="68" spans="1:3" x14ac:dyDescent="0.25">
      <c r="A68">
        <v>21070641</v>
      </c>
      <c r="C68" s="8">
        <v>2636178</v>
      </c>
    </row>
    <row r="69" spans="1:3" x14ac:dyDescent="0.25">
      <c r="A69">
        <v>26126981</v>
      </c>
      <c r="B69">
        <v>22350410</v>
      </c>
      <c r="C69">
        <v>2636162</v>
      </c>
    </row>
    <row r="70" spans="1:3" x14ac:dyDescent="0.25">
      <c r="A70">
        <v>23323649</v>
      </c>
      <c r="C70">
        <v>2636171</v>
      </c>
    </row>
    <row r="71" spans="1:3" x14ac:dyDescent="0.25">
      <c r="A71">
        <v>23323650</v>
      </c>
      <c r="B71">
        <v>15417634</v>
      </c>
      <c r="C71">
        <v>2636124</v>
      </c>
    </row>
  </sheetData>
  <sortState xmlns:xlrd2="http://schemas.microsoft.com/office/spreadsheetml/2017/richdata2" ref="A2:C80">
    <sortCondition ref="A2:A8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1"/>
  <sheetViews>
    <sheetView workbookViewId="0">
      <pane ySplit="1" topLeftCell="A125" activePane="bottomLeft" state="frozen"/>
      <selection pane="bottomLeft" activeCell="F18" sqref="F18"/>
    </sheetView>
  </sheetViews>
  <sheetFormatPr baseColWidth="10" defaultRowHeight="15" x14ac:dyDescent="0.25"/>
  <cols>
    <col min="1" max="1" width="15.85546875" customWidth="1"/>
    <col min="2" max="2" width="17.42578125" customWidth="1"/>
    <col min="3" max="3" width="14.85546875" customWidth="1"/>
  </cols>
  <sheetData>
    <row r="1" spans="1:4" x14ac:dyDescent="0.25">
      <c r="A1" s="9" t="s">
        <v>398</v>
      </c>
      <c r="B1" s="9" t="s">
        <v>397</v>
      </c>
      <c r="C1" s="9" t="s">
        <v>399</v>
      </c>
      <c r="D1" s="9" t="s">
        <v>389</v>
      </c>
    </row>
    <row r="2" spans="1:4" x14ac:dyDescent="0.25">
      <c r="A2" s="10">
        <v>20910612</v>
      </c>
      <c r="B2" s="10">
        <v>6154958</v>
      </c>
      <c r="C2" s="11">
        <v>44727</v>
      </c>
      <c r="D2" t="s">
        <v>0</v>
      </c>
    </row>
    <row r="3" spans="1:4" x14ac:dyDescent="0.25">
      <c r="A3" s="10">
        <v>20910613</v>
      </c>
      <c r="B3" s="10">
        <v>6154794</v>
      </c>
      <c r="C3" s="11">
        <v>44727</v>
      </c>
      <c r="D3" t="s">
        <v>0</v>
      </c>
    </row>
    <row r="4" spans="1:4" x14ac:dyDescent="0.25">
      <c r="A4" s="10">
        <v>20910614</v>
      </c>
      <c r="B4" s="10">
        <v>8392827</v>
      </c>
      <c r="C4" s="11">
        <v>44727</v>
      </c>
      <c r="D4" t="s">
        <v>0</v>
      </c>
    </row>
    <row r="5" spans="1:4" x14ac:dyDescent="0.25">
      <c r="A5" s="10">
        <v>20910615</v>
      </c>
      <c r="B5" s="10">
        <v>15661075</v>
      </c>
      <c r="C5" s="11">
        <v>44727</v>
      </c>
      <c r="D5" t="s">
        <v>0</v>
      </c>
    </row>
    <row r="6" spans="1:4" x14ac:dyDescent="0.25">
      <c r="A6" s="10">
        <v>16390476</v>
      </c>
      <c r="B6" s="10">
        <v>16705762</v>
      </c>
      <c r="C6" s="11">
        <v>44745</v>
      </c>
      <c r="D6" t="s">
        <v>0</v>
      </c>
    </row>
    <row r="7" spans="1:4" x14ac:dyDescent="0.25">
      <c r="A7" s="10">
        <v>16390576</v>
      </c>
      <c r="B7" s="10">
        <v>8092341</v>
      </c>
      <c r="C7" s="11">
        <v>44858</v>
      </c>
      <c r="D7" t="s">
        <v>0</v>
      </c>
    </row>
    <row r="8" spans="1:4" x14ac:dyDescent="0.25">
      <c r="A8" s="10">
        <v>16390577</v>
      </c>
      <c r="B8" s="10">
        <v>8935764</v>
      </c>
      <c r="C8" s="11">
        <v>44858</v>
      </c>
      <c r="D8" t="s">
        <v>0</v>
      </c>
    </row>
    <row r="9" spans="1:4" x14ac:dyDescent="0.25">
      <c r="A9" s="10">
        <v>16390578</v>
      </c>
      <c r="B9" s="10">
        <v>8392642</v>
      </c>
      <c r="C9" s="11">
        <v>44868</v>
      </c>
      <c r="D9" t="s">
        <v>0</v>
      </c>
    </row>
    <row r="10" spans="1:4" x14ac:dyDescent="0.25">
      <c r="A10" s="10">
        <v>16390579</v>
      </c>
      <c r="B10" s="10">
        <v>8933216</v>
      </c>
      <c r="C10" s="11">
        <v>44868</v>
      </c>
      <c r="D10" t="s">
        <v>0</v>
      </c>
    </row>
    <row r="11" spans="1:4" x14ac:dyDescent="0.25">
      <c r="A11" s="10">
        <v>16390580</v>
      </c>
      <c r="B11" s="10">
        <v>14717842</v>
      </c>
      <c r="C11" s="11">
        <v>44868</v>
      </c>
      <c r="D11" t="s">
        <v>0</v>
      </c>
    </row>
    <row r="12" spans="1:4" x14ac:dyDescent="0.25">
      <c r="A12" s="10">
        <v>16390581</v>
      </c>
      <c r="B12" s="10">
        <v>8937709</v>
      </c>
      <c r="C12" s="11">
        <v>44868</v>
      </c>
      <c r="D12" t="s">
        <v>0</v>
      </c>
    </row>
    <row r="13" spans="1:4" x14ac:dyDescent="0.25">
      <c r="A13" s="10">
        <v>16390583</v>
      </c>
      <c r="B13" s="10">
        <v>14718063</v>
      </c>
      <c r="C13" s="11">
        <v>44880</v>
      </c>
      <c r="D13" t="s">
        <v>4</v>
      </c>
    </row>
    <row r="14" spans="1:4" x14ac:dyDescent="0.25">
      <c r="A14" s="10">
        <v>16390582</v>
      </c>
      <c r="B14" s="10">
        <v>8933559</v>
      </c>
      <c r="C14" s="11">
        <v>44880</v>
      </c>
      <c r="D14" t="s">
        <v>4</v>
      </c>
    </row>
    <row r="15" spans="1:4" x14ac:dyDescent="0.25">
      <c r="A15" s="10">
        <v>16390585</v>
      </c>
      <c r="B15" s="10">
        <v>15661035</v>
      </c>
      <c r="C15" s="11">
        <v>44881</v>
      </c>
      <c r="D15" t="s">
        <v>0</v>
      </c>
    </row>
    <row r="16" spans="1:4" x14ac:dyDescent="0.25">
      <c r="A16" s="10">
        <v>16390584</v>
      </c>
      <c r="B16" s="10">
        <v>14717854</v>
      </c>
      <c r="C16" s="11">
        <v>44881</v>
      </c>
      <c r="D16" t="s">
        <v>0</v>
      </c>
    </row>
    <row r="17" spans="1:4" x14ac:dyDescent="0.25">
      <c r="A17" s="10">
        <v>16390590</v>
      </c>
      <c r="B17" s="10">
        <v>16390489</v>
      </c>
      <c r="C17" s="11">
        <v>44885</v>
      </c>
      <c r="D17" t="s">
        <v>3</v>
      </c>
    </row>
    <row r="18" spans="1:4" x14ac:dyDescent="0.25">
      <c r="A18" s="10">
        <v>16390588</v>
      </c>
      <c r="B18" s="10">
        <v>14718065</v>
      </c>
      <c r="C18" s="11">
        <v>44887</v>
      </c>
      <c r="D18" t="s">
        <v>0</v>
      </c>
    </row>
    <row r="19" spans="1:4" x14ac:dyDescent="0.25">
      <c r="A19" s="10">
        <v>16390589</v>
      </c>
      <c r="B19" s="10">
        <v>8392977</v>
      </c>
      <c r="C19" s="11">
        <v>44887</v>
      </c>
      <c r="D19" t="s">
        <v>0</v>
      </c>
    </row>
    <row r="20" spans="1:4" x14ac:dyDescent="0.25">
      <c r="A20" s="10">
        <v>16390591</v>
      </c>
      <c r="B20" s="10">
        <v>14718283</v>
      </c>
      <c r="C20" s="11">
        <v>44894</v>
      </c>
      <c r="D20" t="s">
        <v>0</v>
      </c>
    </row>
    <row r="21" spans="1:4" x14ac:dyDescent="0.25">
      <c r="A21" s="10">
        <v>16390592</v>
      </c>
      <c r="B21" s="10">
        <v>15714197</v>
      </c>
      <c r="C21" s="11">
        <v>44894</v>
      </c>
      <c r="D21" t="s">
        <v>0</v>
      </c>
    </row>
    <row r="22" spans="1:4" x14ac:dyDescent="0.25">
      <c r="A22" s="10">
        <v>16390594</v>
      </c>
      <c r="B22" s="10">
        <v>16843197</v>
      </c>
      <c r="C22" s="11">
        <v>44908</v>
      </c>
      <c r="D22" t="s">
        <v>2</v>
      </c>
    </row>
    <row r="23" spans="1:4" x14ac:dyDescent="0.25">
      <c r="A23" s="10">
        <v>16390595</v>
      </c>
      <c r="B23" s="10">
        <v>16843004</v>
      </c>
      <c r="C23" s="11">
        <v>44908</v>
      </c>
      <c r="D23" t="s">
        <v>2</v>
      </c>
    </row>
    <row r="24" spans="1:4" x14ac:dyDescent="0.25">
      <c r="A24" s="10">
        <v>16390596</v>
      </c>
      <c r="B24" s="10">
        <v>15661434</v>
      </c>
      <c r="C24" s="11">
        <v>44908</v>
      </c>
      <c r="D24" t="s">
        <v>2</v>
      </c>
    </row>
    <row r="25" spans="1:4" x14ac:dyDescent="0.25">
      <c r="A25" s="10">
        <v>16390593</v>
      </c>
      <c r="B25" s="10">
        <v>12602360</v>
      </c>
      <c r="C25" s="11">
        <v>44909</v>
      </c>
      <c r="D25" t="s">
        <v>0</v>
      </c>
    </row>
    <row r="26" spans="1:4" x14ac:dyDescent="0.25">
      <c r="A26" s="10">
        <v>16390597</v>
      </c>
      <c r="B26" s="10">
        <v>15660941</v>
      </c>
      <c r="C26" s="11">
        <v>44912</v>
      </c>
      <c r="D26" t="s">
        <v>0</v>
      </c>
    </row>
    <row r="27" spans="1:4" x14ac:dyDescent="0.25">
      <c r="A27" s="10">
        <v>20910795</v>
      </c>
      <c r="B27" s="10">
        <v>16390538</v>
      </c>
      <c r="C27" s="11">
        <v>44923</v>
      </c>
      <c r="D27" t="s">
        <v>0</v>
      </c>
    </row>
    <row r="28" spans="1:4" x14ac:dyDescent="0.25">
      <c r="A28" s="10">
        <v>20910796</v>
      </c>
      <c r="B28" s="10">
        <v>8937509</v>
      </c>
      <c r="C28" s="11">
        <v>44923</v>
      </c>
      <c r="D28" t="s">
        <v>0</v>
      </c>
    </row>
    <row r="29" spans="1:4" x14ac:dyDescent="0.25">
      <c r="A29" s="10">
        <v>20910797</v>
      </c>
      <c r="B29" s="10">
        <v>6154761</v>
      </c>
      <c r="C29" s="11">
        <v>45025</v>
      </c>
      <c r="D29" t="s">
        <v>0</v>
      </c>
    </row>
    <row r="30" spans="1:4" x14ac:dyDescent="0.25">
      <c r="A30" s="10">
        <v>20910798</v>
      </c>
      <c r="B30" s="10">
        <v>8392661</v>
      </c>
      <c r="C30" s="11">
        <v>45025</v>
      </c>
      <c r="D30" t="s">
        <v>0</v>
      </c>
    </row>
    <row r="31" spans="1:4" x14ac:dyDescent="0.25">
      <c r="A31" s="5">
        <v>20910776</v>
      </c>
      <c r="B31" s="5">
        <v>16843302</v>
      </c>
      <c r="C31" s="6">
        <v>45065</v>
      </c>
      <c r="D31" t="s">
        <v>2</v>
      </c>
    </row>
    <row r="32" spans="1:4" x14ac:dyDescent="0.25">
      <c r="A32" s="5">
        <v>20910799</v>
      </c>
      <c r="B32" s="5">
        <v>16843423</v>
      </c>
      <c r="C32" s="6">
        <v>45065</v>
      </c>
      <c r="D32" t="s">
        <v>2</v>
      </c>
    </row>
    <row r="33" spans="1:5" x14ac:dyDescent="0.25">
      <c r="A33" s="5">
        <v>20910800</v>
      </c>
      <c r="B33" s="5">
        <v>16843194</v>
      </c>
      <c r="C33" s="6">
        <v>45065</v>
      </c>
      <c r="D33" t="s">
        <v>2</v>
      </c>
    </row>
    <row r="34" spans="1:5" x14ac:dyDescent="0.25">
      <c r="A34" s="10">
        <v>20910636</v>
      </c>
      <c r="B34" s="10">
        <v>14717775</v>
      </c>
      <c r="C34" s="11">
        <v>45090</v>
      </c>
      <c r="D34" t="s">
        <v>0</v>
      </c>
    </row>
    <row r="35" spans="1:5" x14ac:dyDescent="0.25">
      <c r="A35" s="10">
        <v>20910638</v>
      </c>
      <c r="B35" s="10">
        <v>6155136</v>
      </c>
      <c r="C35" s="11">
        <v>45090</v>
      </c>
      <c r="D35" t="s">
        <v>0</v>
      </c>
    </row>
    <row r="36" spans="1:5" x14ac:dyDescent="0.25">
      <c r="A36" s="10">
        <v>20910641</v>
      </c>
      <c r="B36" s="10">
        <v>8392478</v>
      </c>
      <c r="C36" s="11">
        <v>45090</v>
      </c>
      <c r="D36" t="s">
        <v>0</v>
      </c>
    </row>
    <row r="37" spans="1:5" x14ac:dyDescent="0.25">
      <c r="A37" s="10">
        <v>20910642</v>
      </c>
      <c r="B37" s="10">
        <v>8092328</v>
      </c>
      <c r="C37" s="11">
        <v>45092</v>
      </c>
      <c r="D37" t="s">
        <v>0</v>
      </c>
    </row>
    <row r="38" spans="1:5" x14ac:dyDescent="0.25">
      <c r="A38" s="10">
        <v>20910643</v>
      </c>
      <c r="B38" s="10">
        <v>8933487</v>
      </c>
      <c r="C38" s="11">
        <v>45092</v>
      </c>
      <c r="D38" t="s">
        <v>0</v>
      </c>
    </row>
    <row r="39" spans="1:5" x14ac:dyDescent="0.25">
      <c r="A39" s="5">
        <v>20910653</v>
      </c>
      <c r="B39" s="5">
        <v>18072809</v>
      </c>
      <c r="C39" s="6">
        <v>45100</v>
      </c>
      <c r="D39" t="s">
        <v>0</v>
      </c>
    </row>
    <row r="40" spans="1:5" x14ac:dyDescent="0.25">
      <c r="A40" s="5">
        <v>20910654</v>
      </c>
      <c r="B40" s="5">
        <v>19050239</v>
      </c>
      <c r="C40" s="6">
        <v>45100</v>
      </c>
      <c r="D40" t="s">
        <v>0</v>
      </c>
    </row>
    <row r="41" spans="1:5" x14ac:dyDescent="0.25">
      <c r="A41" s="10">
        <v>20910655</v>
      </c>
      <c r="B41" s="10">
        <v>15661381</v>
      </c>
      <c r="C41" s="11">
        <v>45105</v>
      </c>
      <c r="D41" t="s">
        <v>5</v>
      </c>
    </row>
    <row r="42" spans="1:5" x14ac:dyDescent="0.25">
      <c r="A42" s="5">
        <v>20910739</v>
      </c>
      <c r="B42" s="5">
        <v>20910602</v>
      </c>
      <c r="C42" s="6">
        <v>45239</v>
      </c>
      <c r="D42" t="s">
        <v>3</v>
      </c>
    </row>
    <row r="43" spans="1:5" x14ac:dyDescent="0.25">
      <c r="A43" s="10">
        <v>20910740</v>
      </c>
      <c r="B43" s="10">
        <v>8937516</v>
      </c>
      <c r="C43" s="11">
        <v>45240</v>
      </c>
      <c r="D43" t="s">
        <v>0</v>
      </c>
    </row>
    <row r="44" spans="1:5" s="24" customFormat="1" x14ac:dyDescent="0.25">
      <c r="A44" s="22" t="s">
        <v>660</v>
      </c>
      <c r="B44" s="22">
        <v>20910269</v>
      </c>
      <c r="C44" s="23">
        <v>45240</v>
      </c>
      <c r="D44" s="24" t="s">
        <v>0</v>
      </c>
      <c r="E44" s="24" t="s">
        <v>659</v>
      </c>
    </row>
    <row r="45" spans="1:5" x14ac:dyDescent="0.25">
      <c r="A45" s="10">
        <v>20910744</v>
      </c>
      <c r="B45" s="10">
        <v>9320741</v>
      </c>
      <c r="C45" s="11">
        <v>45253</v>
      </c>
      <c r="D45" t="s">
        <v>2</v>
      </c>
    </row>
    <row r="46" spans="1:5" x14ac:dyDescent="0.25">
      <c r="A46" s="10">
        <v>20910745</v>
      </c>
      <c r="B46" s="10">
        <v>16843324</v>
      </c>
      <c r="C46" s="11">
        <v>45253</v>
      </c>
      <c r="D46" t="s">
        <v>2</v>
      </c>
    </row>
    <row r="47" spans="1:5" x14ac:dyDescent="0.25">
      <c r="A47" s="10">
        <v>20910746</v>
      </c>
      <c r="B47" s="10">
        <v>16843316</v>
      </c>
      <c r="C47" s="11">
        <v>45253</v>
      </c>
      <c r="D47" t="s">
        <v>2</v>
      </c>
    </row>
    <row r="48" spans="1:5" x14ac:dyDescent="0.25">
      <c r="A48" s="10">
        <v>20910747</v>
      </c>
      <c r="B48" s="10">
        <v>8937616</v>
      </c>
      <c r="C48" s="11">
        <v>45253</v>
      </c>
      <c r="D48" t="s">
        <v>2</v>
      </c>
    </row>
    <row r="49" spans="1:4" x14ac:dyDescent="0.25">
      <c r="A49" s="10">
        <v>20910748</v>
      </c>
      <c r="B49" s="10">
        <v>14717789</v>
      </c>
      <c r="C49" s="11">
        <v>45253</v>
      </c>
      <c r="D49" t="s">
        <v>2</v>
      </c>
    </row>
    <row r="50" spans="1:4" x14ac:dyDescent="0.25">
      <c r="A50" s="5">
        <v>20910749</v>
      </c>
      <c r="B50" s="5">
        <v>14717844</v>
      </c>
      <c r="C50" s="6">
        <v>45261</v>
      </c>
      <c r="D50" t="s">
        <v>0</v>
      </c>
    </row>
    <row r="51" spans="1:4" x14ac:dyDescent="0.25">
      <c r="A51" s="5">
        <v>20910753</v>
      </c>
      <c r="B51" s="5">
        <v>16843227</v>
      </c>
      <c r="C51" s="6">
        <v>45265</v>
      </c>
      <c r="D51" t="s">
        <v>2</v>
      </c>
    </row>
    <row r="52" spans="1:4" x14ac:dyDescent="0.25">
      <c r="A52" s="5">
        <v>20910755</v>
      </c>
      <c r="B52" s="5">
        <v>16843155</v>
      </c>
      <c r="C52" s="6">
        <v>45265</v>
      </c>
      <c r="D52" t="s">
        <v>2</v>
      </c>
    </row>
    <row r="53" spans="1:4" x14ac:dyDescent="0.25">
      <c r="A53" s="5">
        <v>20910757</v>
      </c>
      <c r="B53" s="5">
        <v>16843343</v>
      </c>
      <c r="C53" s="6">
        <v>45265</v>
      </c>
      <c r="D53" t="s">
        <v>2</v>
      </c>
    </row>
    <row r="54" spans="1:4" x14ac:dyDescent="0.25">
      <c r="A54" s="5">
        <v>20910759</v>
      </c>
      <c r="B54" s="5">
        <v>16843022</v>
      </c>
      <c r="C54" s="6">
        <v>45265</v>
      </c>
      <c r="D54" t="s">
        <v>2</v>
      </c>
    </row>
    <row r="55" spans="1:4" x14ac:dyDescent="0.25">
      <c r="A55" s="5">
        <v>20910760</v>
      </c>
      <c r="B55" s="5">
        <v>16843218</v>
      </c>
      <c r="C55" s="6">
        <v>45265</v>
      </c>
      <c r="D55" t="s">
        <v>2</v>
      </c>
    </row>
    <row r="56" spans="1:4" x14ac:dyDescent="0.25">
      <c r="A56" s="5">
        <v>22350426</v>
      </c>
      <c r="B56" s="5">
        <v>22350243</v>
      </c>
      <c r="C56" s="6">
        <v>45269</v>
      </c>
      <c r="D56" t="s">
        <v>0</v>
      </c>
    </row>
    <row r="57" spans="1:4" x14ac:dyDescent="0.25">
      <c r="A57" s="10">
        <v>22350431</v>
      </c>
      <c r="B57" s="10">
        <v>22350050</v>
      </c>
      <c r="C57" s="11">
        <v>45287</v>
      </c>
      <c r="D57" t="s">
        <v>8</v>
      </c>
    </row>
    <row r="58" spans="1:4" x14ac:dyDescent="0.25">
      <c r="A58" s="5">
        <v>20910766</v>
      </c>
      <c r="B58" s="5">
        <v>19050225</v>
      </c>
      <c r="C58" s="6">
        <v>45396</v>
      </c>
      <c r="D58" t="s">
        <v>0</v>
      </c>
    </row>
    <row r="59" spans="1:4" x14ac:dyDescent="0.25">
      <c r="A59" s="5">
        <v>20910767</v>
      </c>
      <c r="B59" s="5">
        <v>19050226</v>
      </c>
      <c r="C59" s="6">
        <v>45396</v>
      </c>
      <c r="D59" t="s">
        <v>0</v>
      </c>
    </row>
    <row r="60" spans="1:4" x14ac:dyDescent="0.25">
      <c r="A60" s="5">
        <v>20910768</v>
      </c>
      <c r="B60" s="5">
        <v>20910649</v>
      </c>
      <c r="C60" s="6">
        <v>45396</v>
      </c>
      <c r="D60" t="s">
        <v>0</v>
      </c>
    </row>
    <row r="61" spans="1:4" x14ac:dyDescent="0.25">
      <c r="A61" s="5">
        <v>20910769</v>
      </c>
      <c r="B61" s="5">
        <v>19776849</v>
      </c>
      <c r="C61" s="6">
        <v>45396</v>
      </c>
      <c r="D61" t="s">
        <v>0</v>
      </c>
    </row>
    <row r="62" spans="1:4" x14ac:dyDescent="0.25">
      <c r="A62" s="10">
        <v>20910771</v>
      </c>
      <c r="B62" s="10">
        <v>14718270</v>
      </c>
      <c r="C62" s="11">
        <v>45433</v>
      </c>
      <c r="D62" t="s">
        <v>0</v>
      </c>
    </row>
    <row r="63" spans="1:4" x14ac:dyDescent="0.25">
      <c r="A63" s="10">
        <v>20910772</v>
      </c>
      <c r="B63" s="10">
        <v>16843293</v>
      </c>
      <c r="C63" s="11">
        <v>45437</v>
      </c>
      <c r="D63" t="s">
        <v>2</v>
      </c>
    </row>
    <row r="64" spans="1:4" x14ac:dyDescent="0.25">
      <c r="A64" s="10">
        <v>20910773</v>
      </c>
      <c r="B64" s="10">
        <v>16843440</v>
      </c>
      <c r="C64" s="11">
        <v>45437</v>
      </c>
      <c r="D64" t="s">
        <v>2</v>
      </c>
    </row>
    <row r="65" spans="1:4" x14ac:dyDescent="0.25">
      <c r="A65" s="5">
        <v>20910774</v>
      </c>
      <c r="B65" s="5">
        <v>15661159</v>
      </c>
      <c r="C65" s="6">
        <v>45438</v>
      </c>
      <c r="D65" t="s">
        <v>2</v>
      </c>
    </row>
    <row r="66" spans="1:4" x14ac:dyDescent="0.25">
      <c r="A66" s="5">
        <v>20910778</v>
      </c>
      <c r="B66" s="5">
        <v>16843232</v>
      </c>
      <c r="C66" s="6">
        <v>45438</v>
      </c>
      <c r="D66" t="s">
        <v>2</v>
      </c>
    </row>
    <row r="67" spans="1:4" x14ac:dyDescent="0.25">
      <c r="A67" s="10">
        <v>23323626</v>
      </c>
      <c r="B67" s="10">
        <v>23323246</v>
      </c>
      <c r="C67" s="11">
        <v>45438</v>
      </c>
      <c r="D67" t="s">
        <v>2</v>
      </c>
    </row>
    <row r="68" spans="1:4" x14ac:dyDescent="0.25">
      <c r="A68">
        <v>20910774</v>
      </c>
      <c r="B68">
        <v>15661159</v>
      </c>
      <c r="C68" s="12">
        <v>45438</v>
      </c>
      <c r="D68" t="s">
        <v>2</v>
      </c>
    </row>
    <row r="69" spans="1:4" x14ac:dyDescent="0.25">
      <c r="A69">
        <v>20910778</v>
      </c>
      <c r="B69">
        <v>16843232</v>
      </c>
      <c r="C69" s="12">
        <v>45438</v>
      </c>
      <c r="D69" t="s">
        <v>2</v>
      </c>
    </row>
    <row r="70" spans="1:4" x14ac:dyDescent="0.25">
      <c r="A70" s="10">
        <v>22350432</v>
      </c>
      <c r="B70" s="10">
        <v>22350001</v>
      </c>
      <c r="C70" s="11">
        <v>45486</v>
      </c>
      <c r="D70" t="s">
        <v>3</v>
      </c>
    </row>
    <row r="71" spans="1:4" x14ac:dyDescent="0.25">
      <c r="A71" s="10">
        <v>22350433</v>
      </c>
      <c r="B71" s="10">
        <v>22350134</v>
      </c>
      <c r="C71" s="11">
        <v>45486</v>
      </c>
      <c r="D71" t="s">
        <v>3</v>
      </c>
    </row>
    <row r="72" spans="1:4" x14ac:dyDescent="0.25">
      <c r="A72" s="10">
        <v>20910780</v>
      </c>
      <c r="B72" s="10">
        <v>15661111</v>
      </c>
      <c r="C72" s="11">
        <v>45569</v>
      </c>
      <c r="D72" t="s">
        <v>2</v>
      </c>
    </row>
    <row r="73" spans="1:4" x14ac:dyDescent="0.25">
      <c r="A73" s="10">
        <v>22350435</v>
      </c>
      <c r="B73" s="10">
        <v>14718268</v>
      </c>
      <c r="C73" s="11">
        <v>45569</v>
      </c>
      <c r="D73" t="s">
        <v>2</v>
      </c>
    </row>
    <row r="74" spans="1:4" x14ac:dyDescent="0.25">
      <c r="A74" s="5">
        <v>22350436</v>
      </c>
      <c r="B74" s="5">
        <v>19050324</v>
      </c>
      <c r="C74" s="6">
        <v>45587</v>
      </c>
      <c r="D74" t="s">
        <v>0</v>
      </c>
    </row>
    <row r="75" spans="1:4" x14ac:dyDescent="0.25">
      <c r="A75" s="5">
        <v>22350437</v>
      </c>
      <c r="B75" s="5">
        <v>19050321</v>
      </c>
      <c r="C75" s="6">
        <v>45587</v>
      </c>
      <c r="D75" t="s">
        <v>0</v>
      </c>
    </row>
    <row r="76" spans="1:4" x14ac:dyDescent="0.25">
      <c r="A76" s="10">
        <v>22350438</v>
      </c>
      <c r="B76" s="10">
        <v>22350426</v>
      </c>
      <c r="C76" s="11">
        <v>45605</v>
      </c>
      <c r="D76" t="s">
        <v>3</v>
      </c>
    </row>
    <row r="77" spans="1:4" x14ac:dyDescent="0.25">
      <c r="A77" s="10">
        <v>22350439</v>
      </c>
      <c r="B77" s="10">
        <v>22350263</v>
      </c>
      <c r="C77" s="11">
        <v>45605</v>
      </c>
      <c r="D77" t="s">
        <v>3</v>
      </c>
    </row>
    <row r="78" spans="1:4" x14ac:dyDescent="0.25">
      <c r="A78" s="10">
        <v>22350440</v>
      </c>
      <c r="B78" s="10">
        <v>22350046</v>
      </c>
      <c r="C78" s="11">
        <v>45605</v>
      </c>
      <c r="D78" t="s">
        <v>3</v>
      </c>
    </row>
    <row r="79" spans="1:4" x14ac:dyDescent="0.25">
      <c r="A79" s="10">
        <v>23323634</v>
      </c>
      <c r="B79" s="10">
        <v>19705838</v>
      </c>
      <c r="C79" s="11">
        <v>45612</v>
      </c>
      <c r="D79" t="s">
        <v>0</v>
      </c>
    </row>
    <row r="80" spans="1:4" x14ac:dyDescent="0.25">
      <c r="A80" s="5">
        <v>23323639</v>
      </c>
      <c r="B80" s="5">
        <v>14717757</v>
      </c>
      <c r="C80" s="6">
        <v>45612</v>
      </c>
      <c r="D80" t="s">
        <v>0</v>
      </c>
    </row>
    <row r="81" spans="1:4" x14ac:dyDescent="0.25">
      <c r="A81" s="5">
        <v>23323641</v>
      </c>
      <c r="B81" s="5">
        <v>14717848</v>
      </c>
      <c r="C81" s="6">
        <v>45612</v>
      </c>
      <c r="D81" t="s">
        <v>0</v>
      </c>
    </row>
    <row r="82" spans="1:4" x14ac:dyDescent="0.25">
      <c r="A82" s="5">
        <v>23323636</v>
      </c>
      <c r="B82" s="5">
        <v>16843085</v>
      </c>
      <c r="C82" s="6">
        <v>45612</v>
      </c>
      <c r="D82" t="s">
        <v>0</v>
      </c>
    </row>
    <row r="83" spans="1:4" x14ac:dyDescent="0.25">
      <c r="A83">
        <v>23323634</v>
      </c>
      <c r="B83">
        <v>19705838</v>
      </c>
      <c r="C83" s="12">
        <v>45612</v>
      </c>
      <c r="D83" t="s">
        <v>0</v>
      </c>
    </row>
    <row r="84" spans="1:4" x14ac:dyDescent="0.25">
      <c r="A84" s="10">
        <v>23323652</v>
      </c>
      <c r="B84" s="10">
        <v>15661327</v>
      </c>
      <c r="C84" s="11">
        <v>45636</v>
      </c>
      <c r="D84" t="s">
        <v>0</v>
      </c>
    </row>
    <row r="85" spans="1:4" x14ac:dyDescent="0.25">
      <c r="A85" s="10">
        <v>23323654</v>
      </c>
      <c r="B85" s="10">
        <v>14718090</v>
      </c>
      <c r="C85" s="11">
        <v>45647</v>
      </c>
      <c r="D85" t="s">
        <v>0</v>
      </c>
    </row>
    <row r="86" spans="1:4" x14ac:dyDescent="0.25">
      <c r="A86" s="5">
        <v>24567421</v>
      </c>
      <c r="B86" s="5">
        <v>24567181</v>
      </c>
      <c r="C86" s="6">
        <v>45647</v>
      </c>
      <c r="D86" t="s">
        <v>0</v>
      </c>
    </row>
    <row r="87" spans="1:4" x14ac:dyDescent="0.25">
      <c r="A87" s="5">
        <v>24567414</v>
      </c>
      <c r="B87" s="5">
        <v>24567143</v>
      </c>
      <c r="C87" s="6">
        <v>45647</v>
      </c>
      <c r="D87" t="s">
        <v>0</v>
      </c>
    </row>
    <row r="88" spans="1:4" x14ac:dyDescent="0.25">
      <c r="A88" s="5">
        <v>23323653</v>
      </c>
      <c r="B88" s="5">
        <v>18943177</v>
      </c>
      <c r="C88" s="6">
        <v>45648</v>
      </c>
      <c r="D88" t="s">
        <v>0</v>
      </c>
    </row>
    <row r="89" spans="1:4" x14ac:dyDescent="0.25">
      <c r="A89" s="5">
        <v>23323650</v>
      </c>
      <c r="B89" s="5">
        <v>15417634</v>
      </c>
      <c r="C89" s="6">
        <v>45648</v>
      </c>
      <c r="D89" t="s">
        <v>0</v>
      </c>
    </row>
    <row r="90" spans="1:4" x14ac:dyDescent="0.25">
      <c r="A90">
        <v>23323654</v>
      </c>
      <c r="B90">
        <v>14718090</v>
      </c>
      <c r="C90" s="12">
        <v>45649</v>
      </c>
      <c r="D90" t="s">
        <v>0</v>
      </c>
    </row>
    <row r="91" spans="1:4" x14ac:dyDescent="0.25">
      <c r="A91">
        <v>23323642</v>
      </c>
      <c r="B91">
        <v>16843240</v>
      </c>
      <c r="C91" s="12">
        <v>45662</v>
      </c>
      <c r="D91" t="s">
        <v>2</v>
      </c>
    </row>
    <row r="92" spans="1:4" x14ac:dyDescent="0.25">
      <c r="A92">
        <v>23323643</v>
      </c>
      <c r="B92">
        <v>16843275</v>
      </c>
      <c r="C92" s="12">
        <v>45662</v>
      </c>
      <c r="D92" t="s">
        <v>2</v>
      </c>
    </row>
    <row r="93" spans="1:4" x14ac:dyDescent="0.25">
      <c r="A93">
        <v>23323644</v>
      </c>
      <c r="B93">
        <v>14717758</v>
      </c>
      <c r="C93" s="12">
        <v>45662</v>
      </c>
      <c r="D93" t="s">
        <v>2</v>
      </c>
    </row>
    <row r="94" spans="1:4" x14ac:dyDescent="0.25">
      <c r="A94">
        <v>23323645</v>
      </c>
      <c r="B94">
        <v>16843236</v>
      </c>
      <c r="C94" s="12">
        <v>45662</v>
      </c>
      <c r="D94" t="s">
        <v>2</v>
      </c>
    </row>
    <row r="95" spans="1:4" x14ac:dyDescent="0.25">
      <c r="A95">
        <v>23323646</v>
      </c>
      <c r="B95">
        <v>16843018</v>
      </c>
      <c r="C95" s="12">
        <v>45662</v>
      </c>
      <c r="D95" t="s">
        <v>2</v>
      </c>
    </row>
    <row r="96" spans="1:4" x14ac:dyDescent="0.25">
      <c r="A96">
        <v>23323655</v>
      </c>
      <c r="B96">
        <v>15661371</v>
      </c>
      <c r="C96" s="12">
        <v>45671</v>
      </c>
      <c r="D96" t="s">
        <v>0</v>
      </c>
    </row>
    <row r="97" spans="1:5" x14ac:dyDescent="0.25">
      <c r="A97">
        <v>23323656</v>
      </c>
      <c r="B97">
        <v>12602149</v>
      </c>
      <c r="C97" s="12">
        <v>45671</v>
      </c>
      <c r="D97" t="s">
        <v>0</v>
      </c>
    </row>
    <row r="98" spans="1:5" x14ac:dyDescent="0.25">
      <c r="A98">
        <v>20910775</v>
      </c>
      <c r="B98">
        <v>14717892</v>
      </c>
      <c r="C98" s="12">
        <v>45674</v>
      </c>
      <c r="D98" t="s">
        <v>2</v>
      </c>
    </row>
    <row r="99" spans="1:5" x14ac:dyDescent="0.25">
      <c r="A99">
        <v>20910777</v>
      </c>
      <c r="B99">
        <v>16843375</v>
      </c>
      <c r="C99" s="12">
        <v>45674</v>
      </c>
      <c r="D99" t="s">
        <v>2</v>
      </c>
    </row>
    <row r="100" spans="1:5" x14ac:dyDescent="0.25">
      <c r="A100">
        <v>20910779</v>
      </c>
      <c r="B100">
        <v>16843282</v>
      </c>
      <c r="C100" s="12">
        <v>45674</v>
      </c>
      <c r="D100" t="s">
        <v>2</v>
      </c>
    </row>
    <row r="101" spans="1:5" x14ac:dyDescent="0.25">
      <c r="A101">
        <v>23323651</v>
      </c>
      <c r="B101">
        <v>19050220</v>
      </c>
      <c r="C101" s="12">
        <v>45674</v>
      </c>
      <c r="D101" t="s">
        <v>2</v>
      </c>
      <c r="E101" s="12"/>
    </row>
    <row r="102" spans="1:5" x14ac:dyDescent="0.25">
      <c r="A102">
        <v>23323662</v>
      </c>
      <c r="B102">
        <v>16843299</v>
      </c>
      <c r="C102" s="12">
        <v>45674</v>
      </c>
      <c r="D102" t="s">
        <v>2</v>
      </c>
      <c r="E102" s="12"/>
    </row>
    <row r="103" spans="1:5" x14ac:dyDescent="0.25">
      <c r="A103">
        <v>23323663</v>
      </c>
      <c r="B103">
        <v>16843492</v>
      </c>
      <c r="C103" s="12">
        <v>45674</v>
      </c>
      <c r="D103" t="s">
        <v>2</v>
      </c>
      <c r="E103" s="12"/>
    </row>
    <row r="104" spans="1:5" x14ac:dyDescent="0.25">
      <c r="A104" s="10">
        <v>23323666</v>
      </c>
      <c r="B104" s="10">
        <v>15661292</v>
      </c>
      <c r="C104" s="12">
        <v>45779</v>
      </c>
      <c r="D104" t="s">
        <v>0</v>
      </c>
    </row>
    <row r="105" spans="1:5" x14ac:dyDescent="0.25">
      <c r="A105" s="10">
        <v>23323667</v>
      </c>
      <c r="B105" s="10">
        <v>20910480</v>
      </c>
      <c r="C105" s="12">
        <v>45779</v>
      </c>
      <c r="D105" t="s">
        <v>0</v>
      </c>
    </row>
    <row r="106" spans="1:5" x14ac:dyDescent="0.25">
      <c r="A106" s="10">
        <v>23323668</v>
      </c>
      <c r="B106" s="10">
        <v>20910010</v>
      </c>
      <c r="C106" s="12">
        <v>45779</v>
      </c>
      <c r="D106" t="s">
        <v>0</v>
      </c>
    </row>
    <row r="107" spans="1:5" x14ac:dyDescent="0.25">
      <c r="A107" s="10">
        <v>24567607</v>
      </c>
      <c r="B107" s="10">
        <v>16705238</v>
      </c>
      <c r="C107" s="12">
        <v>45813</v>
      </c>
      <c r="D107" t="s">
        <v>1</v>
      </c>
    </row>
    <row r="108" spans="1:5" x14ac:dyDescent="0.25">
      <c r="A108" s="10">
        <v>24567608</v>
      </c>
      <c r="B108" s="10">
        <v>16705475</v>
      </c>
      <c r="C108" s="12">
        <v>45813</v>
      </c>
      <c r="D108" t="s">
        <v>1</v>
      </c>
    </row>
    <row r="109" spans="1:5" x14ac:dyDescent="0.25">
      <c r="A109">
        <v>24567609</v>
      </c>
      <c r="B109">
        <v>24567049</v>
      </c>
      <c r="C109" s="12">
        <v>45890</v>
      </c>
      <c r="D109" t="s">
        <v>8</v>
      </c>
    </row>
    <row r="110" spans="1:5" x14ac:dyDescent="0.25">
      <c r="A110" s="5">
        <v>26126982</v>
      </c>
      <c r="B110" s="5">
        <v>8933598</v>
      </c>
      <c r="C110" s="6">
        <v>45958</v>
      </c>
    </row>
    <row r="111" spans="1:5" x14ac:dyDescent="0.25">
      <c r="A111" s="5">
        <v>26126981</v>
      </c>
      <c r="B111" s="5">
        <v>22350410</v>
      </c>
      <c r="C111" s="6">
        <v>45958</v>
      </c>
    </row>
    <row r="112" spans="1:5" x14ac:dyDescent="0.25">
      <c r="A112" s="5">
        <v>26126983</v>
      </c>
      <c r="B112" s="5">
        <v>23323333</v>
      </c>
      <c r="C112" s="6">
        <v>45958</v>
      </c>
    </row>
    <row r="113" spans="1:4" x14ac:dyDescent="0.25">
      <c r="A113" s="10">
        <v>23323676</v>
      </c>
      <c r="B113" s="10">
        <v>15661176</v>
      </c>
      <c r="C113" s="12">
        <v>45965</v>
      </c>
      <c r="D113" t="s">
        <v>0</v>
      </c>
    </row>
    <row r="114" spans="1:4" x14ac:dyDescent="0.25">
      <c r="A114" s="5">
        <v>23323676</v>
      </c>
      <c r="B114" s="5">
        <v>15661176</v>
      </c>
      <c r="C114" s="12">
        <v>45966</v>
      </c>
      <c r="D114" t="s">
        <v>0</v>
      </c>
    </row>
    <row r="115" spans="1:4" x14ac:dyDescent="0.25">
      <c r="A115" s="5">
        <v>23323679</v>
      </c>
      <c r="B115" s="5">
        <v>18943053</v>
      </c>
      <c r="C115" s="12">
        <v>45966</v>
      </c>
      <c r="D115" t="s">
        <v>0</v>
      </c>
    </row>
    <row r="116" spans="1:4" x14ac:dyDescent="0.25">
      <c r="A116" s="5">
        <v>23323680</v>
      </c>
      <c r="B116" s="5">
        <v>23323655</v>
      </c>
      <c r="C116" s="12">
        <v>45966</v>
      </c>
      <c r="D116" t="s">
        <v>0</v>
      </c>
    </row>
    <row r="117" spans="1:4" x14ac:dyDescent="0.25">
      <c r="A117" s="5">
        <v>23323670</v>
      </c>
      <c r="B117" s="5">
        <v>24567522</v>
      </c>
      <c r="C117" s="12">
        <v>45966</v>
      </c>
      <c r="D117" t="s">
        <v>0</v>
      </c>
    </row>
    <row r="118" spans="1:4" x14ac:dyDescent="0.25">
      <c r="A118" s="5">
        <v>23323681</v>
      </c>
      <c r="B118" s="5">
        <v>24567508</v>
      </c>
      <c r="C118" s="12">
        <v>45966</v>
      </c>
      <c r="D118" t="s">
        <v>0</v>
      </c>
    </row>
    <row r="119" spans="1:4" x14ac:dyDescent="0.25">
      <c r="A119" s="5">
        <v>23323678</v>
      </c>
      <c r="B119" s="5">
        <v>24567520</v>
      </c>
      <c r="C119" s="6">
        <v>45966</v>
      </c>
      <c r="D119" t="s">
        <v>0</v>
      </c>
    </row>
    <row r="120" spans="1:4" x14ac:dyDescent="0.25">
      <c r="A120" s="10">
        <v>23323678</v>
      </c>
      <c r="B120" s="10">
        <v>24567520</v>
      </c>
      <c r="C120" s="12">
        <v>45966</v>
      </c>
      <c r="D120" t="s">
        <v>0</v>
      </c>
    </row>
    <row r="121" spans="1:4" x14ac:dyDescent="0.25">
      <c r="A121" s="10">
        <v>23323681</v>
      </c>
      <c r="B121" s="10">
        <v>24567508</v>
      </c>
      <c r="C121" s="12">
        <v>45966</v>
      </c>
      <c r="D121" t="s">
        <v>0</v>
      </c>
    </row>
    <row r="122" spans="1:4" x14ac:dyDescent="0.25">
      <c r="A122" s="10">
        <v>23323670</v>
      </c>
      <c r="B122" s="10">
        <v>24567522</v>
      </c>
      <c r="C122" s="12">
        <v>45966</v>
      </c>
      <c r="D122" t="s">
        <v>0</v>
      </c>
    </row>
    <row r="123" spans="1:4" x14ac:dyDescent="0.25">
      <c r="A123" s="10">
        <v>23323679</v>
      </c>
      <c r="B123" s="10">
        <v>18943053</v>
      </c>
      <c r="C123" s="12">
        <v>45966</v>
      </c>
      <c r="D123" t="s">
        <v>0</v>
      </c>
    </row>
    <row r="124" spans="1:4" x14ac:dyDescent="0.25">
      <c r="A124" s="10">
        <v>23323680</v>
      </c>
      <c r="B124" s="10">
        <v>23323655</v>
      </c>
      <c r="C124" s="12">
        <v>45966</v>
      </c>
      <c r="D124" t="s">
        <v>0</v>
      </c>
    </row>
    <row r="125" spans="1:4" x14ac:dyDescent="0.25">
      <c r="A125" s="5">
        <v>23323683</v>
      </c>
      <c r="B125" s="5">
        <v>8933220</v>
      </c>
      <c r="C125" s="12">
        <v>45972</v>
      </c>
      <c r="D125" t="s">
        <v>0</v>
      </c>
    </row>
    <row r="126" spans="1:4" x14ac:dyDescent="0.25">
      <c r="A126" s="5">
        <v>23323684</v>
      </c>
      <c r="B126" s="5">
        <v>19050369</v>
      </c>
      <c r="C126" s="12">
        <v>45972</v>
      </c>
      <c r="D126" t="s">
        <v>0</v>
      </c>
    </row>
    <row r="127" spans="1:4" x14ac:dyDescent="0.25">
      <c r="A127" s="5">
        <v>23323685</v>
      </c>
      <c r="B127" s="5">
        <v>16705728</v>
      </c>
      <c r="C127" s="12">
        <v>45972</v>
      </c>
      <c r="D127" t="s">
        <v>0</v>
      </c>
    </row>
    <row r="128" spans="1:4" x14ac:dyDescent="0.25">
      <c r="A128" s="10">
        <v>23323677</v>
      </c>
      <c r="B128" s="10">
        <v>20910676</v>
      </c>
      <c r="C128" s="12">
        <v>45972</v>
      </c>
      <c r="D128" t="s">
        <v>0</v>
      </c>
    </row>
    <row r="129" spans="1:4" x14ac:dyDescent="0.25">
      <c r="A129" s="10">
        <v>23323677</v>
      </c>
      <c r="B129" s="10">
        <v>20910676</v>
      </c>
      <c r="C129" s="12">
        <v>45972</v>
      </c>
      <c r="D129" t="s">
        <v>0</v>
      </c>
    </row>
    <row r="130" spans="1:4" x14ac:dyDescent="0.25">
      <c r="A130" s="10">
        <v>23323683</v>
      </c>
      <c r="B130" s="10">
        <v>8933220</v>
      </c>
      <c r="C130" s="12">
        <v>45972</v>
      </c>
      <c r="D130" t="s">
        <v>0</v>
      </c>
    </row>
    <row r="131" spans="1:4" x14ac:dyDescent="0.25">
      <c r="A131" s="10">
        <v>23323684</v>
      </c>
      <c r="B131" s="10">
        <v>19050369</v>
      </c>
      <c r="C131" s="12">
        <v>45972</v>
      </c>
      <c r="D131" t="s">
        <v>0</v>
      </c>
    </row>
    <row r="132" spans="1:4" x14ac:dyDescent="0.25">
      <c r="A132" s="10">
        <v>23323685</v>
      </c>
      <c r="B132" s="10">
        <v>16705728</v>
      </c>
      <c r="C132" s="12">
        <v>45972</v>
      </c>
      <c r="D132" t="s">
        <v>0</v>
      </c>
    </row>
    <row r="133" spans="1:4" x14ac:dyDescent="0.25">
      <c r="A133" s="10">
        <v>23323686</v>
      </c>
      <c r="B133" s="10">
        <v>16390491</v>
      </c>
      <c r="C133" s="12">
        <v>45980</v>
      </c>
      <c r="D133" t="s">
        <v>2</v>
      </c>
    </row>
    <row r="134" spans="1:4" x14ac:dyDescent="0.25">
      <c r="A134" s="10">
        <v>23323673</v>
      </c>
      <c r="B134" s="10">
        <v>84634</v>
      </c>
      <c r="C134" s="12">
        <v>45987</v>
      </c>
      <c r="D134" t="s">
        <v>0</v>
      </c>
    </row>
    <row r="135" spans="1:4" x14ac:dyDescent="0.25">
      <c r="A135" s="10">
        <v>23323674</v>
      </c>
      <c r="B135" s="10">
        <v>84494</v>
      </c>
      <c r="C135" s="12">
        <v>45987</v>
      </c>
      <c r="D135" t="s">
        <v>0</v>
      </c>
    </row>
    <row r="136" spans="1:4" x14ac:dyDescent="0.25">
      <c r="A136" s="10">
        <v>23323688</v>
      </c>
      <c r="B136" s="10">
        <v>20910190</v>
      </c>
      <c r="C136" s="12">
        <v>45988</v>
      </c>
      <c r="D136" t="s">
        <v>0</v>
      </c>
    </row>
    <row r="137" spans="1:4" x14ac:dyDescent="0.25">
      <c r="A137" s="10">
        <v>23323687</v>
      </c>
      <c r="B137" s="10">
        <v>14717764</v>
      </c>
      <c r="C137" s="12">
        <v>45988</v>
      </c>
      <c r="D137" t="s">
        <v>0</v>
      </c>
    </row>
    <row r="138" spans="1:4" x14ac:dyDescent="0.25">
      <c r="A138" s="10">
        <v>23323693</v>
      </c>
      <c r="B138" s="10">
        <v>8392927</v>
      </c>
      <c r="C138" s="12">
        <v>45990</v>
      </c>
      <c r="D138" t="s">
        <v>2</v>
      </c>
    </row>
    <row r="139" spans="1:4" x14ac:dyDescent="0.25">
      <c r="A139" s="10">
        <v>23323689</v>
      </c>
      <c r="B139" s="10">
        <v>16843407</v>
      </c>
      <c r="C139" s="12">
        <v>45990</v>
      </c>
      <c r="D139" t="s">
        <v>2</v>
      </c>
    </row>
    <row r="140" spans="1:4" x14ac:dyDescent="0.25">
      <c r="A140" s="10">
        <v>23323690</v>
      </c>
      <c r="B140" s="10">
        <v>16843264</v>
      </c>
      <c r="C140" s="12">
        <v>45990</v>
      </c>
      <c r="D140" t="s">
        <v>2</v>
      </c>
    </row>
    <row r="141" spans="1:4" x14ac:dyDescent="0.25">
      <c r="A141" s="10">
        <v>23323691</v>
      </c>
      <c r="B141" s="10">
        <v>16843228</v>
      </c>
      <c r="C141" s="12">
        <v>45990</v>
      </c>
      <c r="D141" t="s">
        <v>2</v>
      </c>
    </row>
    <row r="142" spans="1:4" x14ac:dyDescent="0.25">
      <c r="A142" s="10">
        <v>23323692</v>
      </c>
      <c r="B142" s="10">
        <v>16843403</v>
      </c>
      <c r="C142" s="12">
        <v>45990</v>
      </c>
      <c r="D142" t="s">
        <v>2</v>
      </c>
    </row>
    <row r="143" spans="1:4" x14ac:dyDescent="0.25">
      <c r="A143" s="10">
        <v>23323694</v>
      </c>
      <c r="B143" s="10">
        <v>16843434</v>
      </c>
      <c r="C143" s="12">
        <v>45990</v>
      </c>
      <c r="D143" t="s">
        <v>2</v>
      </c>
    </row>
    <row r="144" spans="1:4" x14ac:dyDescent="0.25">
      <c r="A144" s="10">
        <v>23323695</v>
      </c>
      <c r="B144" s="10">
        <v>15660964</v>
      </c>
      <c r="C144" s="12">
        <v>45990</v>
      </c>
      <c r="D144" t="s">
        <v>2</v>
      </c>
    </row>
    <row r="145" spans="1:4" x14ac:dyDescent="0.25">
      <c r="A145" s="10">
        <v>23323696</v>
      </c>
      <c r="B145" s="10">
        <v>16843229</v>
      </c>
      <c r="C145" s="12">
        <v>45990</v>
      </c>
      <c r="D145" t="s">
        <v>2</v>
      </c>
    </row>
    <row r="146" spans="1:4" x14ac:dyDescent="0.25">
      <c r="A146" s="10">
        <v>23323698</v>
      </c>
      <c r="B146" s="10">
        <v>16843537</v>
      </c>
      <c r="C146" s="12">
        <v>45990</v>
      </c>
      <c r="D146" t="s">
        <v>2</v>
      </c>
    </row>
    <row r="147" spans="1:4" x14ac:dyDescent="0.25">
      <c r="A147" s="10">
        <v>23323697</v>
      </c>
      <c r="B147" s="10">
        <v>8392652</v>
      </c>
      <c r="C147" s="12">
        <v>45990</v>
      </c>
      <c r="D147" t="s">
        <v>2</v>
      </c>
    </row>
    <row r="148" spans="1:4" x14ac:dyDescent="0.25">
      <c r="A148" s="10">
        <v>23323699</v>
      </c>
      <c r="B148" s="10">
        <v>8392634</v>
      </c>
      <c r="C148" s="12">
        <v>45990</v>
      </c>
      <c r="D148" t="s">
        <v>2</v>
      </c>
    </row>
    <row r="149" spans="1:4" x14ac:dyDescent="0.25">
      <c r="A149" s="10">
        <v>23323700</v>
      </c>
      <c r="B149" s="10">
        <v>20910784</v>
      </c>
      <c r="C149" s="12">
        <v>45990</v>
      </c>
      <c r="D149" t="s">
        <v>2</v>
      </c>
    </row>
    <row r="150" spans="1:4" x14ac:dyDescent="0.25">
      <c r="A150" s="10">
        <v>23323671</v>
      </c>
      <c r="B150" s="10">
        <v>84465</v>
      </c>
      <c r="C150" s="12">
        <v>46007</v>
      </c>
      <c r="D150" t="s">
        <v>0</v>
      </c>
    </row>
    <row r="151" spans="1:4" x14ac:dyDescent="0.25">
      <c r="A151" s="10">
        <v>23323647</v>
      </c>
      <c r="B151" s="10">
        <v>16843457</v>
      </c>
      <c r="C151" s="12">
        <v>46011</v>
      </c>
      <c r="D151" t="s">
        <v>2</v>
      </c>
    </row>
  </sheetData>
  <sortState xmlns:xlrd2="http://schemas.microsoft.com/office/spreadsheetml/2017/richdata2" ref="A2:I154">
    <sortCondition ref="C2:C154"/>
    <sortCondition ref="D2:D154"/>
  </sortState>
  <pageMargins left="0.7" right="0.7" top="0.75" bottom="0.75" header="0.3" footer="0.3"/>
  <pageSetup paperSize="30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3642"/>
  <sheetViews>
    <sheetView workbookViewId="0">
      <pane ySplit="1" topLeftCell="A3610" activePane="bottomLeft" state="frozen"/>
      <selection pane="bottomLeft" activeCell="G3627" sqref="G3627"/>
    </sheetView>
  </sheetViews>
  <sheetFormatPr baseColWidth="10" defaultRowHeight="15" x14ac:dyDescent="0.25"/>
  <cols>
    <col min="10" max="10" width="23" customWidth="1"/>
  </cols>
  <sheetData>
    <row r="1" spans="1:21" x14ac:dyDescent="0.25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368</v>
      </c>
      <c r="H1" t="s">
        <v>337</v>
      </c>
      <c r="I1" t="s">
        <v>426</v>
      </c>
      <c r="J1" t="s">
        <v>427</v>
      </c>
      <c r="K1" t="s">
        <v>428</v>
      </c>
      <c r="L1" t="s">
        <v>338</v>
      </c>
      <c r="M1" t="s">
        <v>429</v>
      </c>
      <c r="N1" t="s">
        <v>430</v>
      </c>
      <c r="O1" t="s">
        <v>431</v>
      </c>
      <c r="P1" t="s">
        <v>339</v>
      </c>
      <c r="Q1" t="s">
        <v>432</v>
      </c>
      <c r="R1" t="s">
        <v>433</v>
      </c>
      <c r="S1" t="s">
        <v>434</v>
      </c>
      <c r="T1" t="s">
        <v>407</v>
      </c>
      <c r="U1" t="s">
        <v>435</v>
      </c>
    </row>
    <row r="2" spans="1:21" x14ac:dyDescent="0.25">
      <c r="A2">
        <v>55956</v>
      </c>
      <c r="B2" t="s">
        <v>342</v>
      </c>
      <c r="C2" t="s">
        <v>38</v>
      </c>
      <c r="D2" t="s">
        <v>24</v>
      </c>
      <c r="E2" t="s">
        <v>690</v>
      </c>
      <c r="F2" t="s">
        <v>311</v>
      </c>
      <c r="G2" t="s">
        <v>369</v>
      </c>
      <c r="H2" t="s">
        <v>0</v>
      </c>
      <c r="I2" t="s">
        <v>436</v>
      </c>
      <c r="J2" t="s">
        <v>437</v>
      </c>
      <c r="K2" t="s">
        <v>438</v>
      </c>
      <c r="L2" t="s">
        <v>10</v>
      </c>
      <c r="M2" t="s">
        <v>408</v>
      </c>
      <c r="N2" t="s">
        <v>11</v>
      </c>
      <c r="O2" t="s">
        <v>11</v>
      </c>
      <c r="P2" t="s">
        <v>341</v>
      </c>
      <c r="Q2" t="s">
        <v>408</v>
      </c>
      <c r="R2" t="s">
        <v>439</v>
      </c>
      <c r="S2" t="s">
        <v>440</v>
      </c>
      <c r="T2" t="s">
        <v>11</v>
      </c>
      <c r="U2" t="s">
        <v>408</v>
      </c>
    </row>
    <row r="3" spans="1:21" x14ac:dyDescent="0.25">
      <c r="A3">
        <v>83926</v>
      </c>
      <c r="B3" t="s">
        <v>342</v>
      </c>
      <c r="C3" t="s">
        <v>38</v>
      </c>
      <c r="D3" t="s">
        <v>12</v>
      </c>
      <c r="E3" t="s">
        <v>691</v>
      </c>
      <c r="F3" t="s">
        <v>310</v>
      </c>
      <c r="G3" t="s">
        <v>369</v>
      </c>
      <c r="H3" t="s">
        <v>0</v>
      </c>
      <c r="I3" t="s">
        <v>436</v>
      </c>
      <c r="J3" t="s">
        <v>437</v>
      </c>
      <c r="K3" t="s">
        <v>438</v>
      </c>
      <c r="L3" t="s">
        <v>343</v>
      </c>
      <c r="M3" t="s">
        <v>408</v>
      </c>
      <c r="N3" t="s">
        <v>11</v>
      </c>
      <c r="O3" t="s">
        <v>11</v>
      </c>
      <c r="P3" t="s">
        <v>344</v>
      </c>
      <c r="Q3" t="s">
        <v>408</v>
      </c>
      <c r="R3" t="s">
        <v>439</v>
      </c>
      <c r="S3" t="s">
        <v>440</v>
      </c>
      <c r="T3" t="s">
        <v>11</v>
      </c>
      <c r="U3" t="s">
        <v>408</v>
      </c>
    </row>
    <row r="4" spans="1:21" x14ac:dyDescent="0.25">
      <c r="A4">
        <v>84361</v>
      </c>
      <c r="B4" t="s">
        <v>340</v>
      </c>
      <c r="C4" t="s">
        <v>26</v>
      </c>
      <c r="D4" t="s">
        <v>102</v>
      </c>
      <c r="E4" t="s">
        <v>692</v>
      </c>
      <c r="F4" t="s">
        <v>309</v>
      </c>
      <c r="G4" t="s">
        <v>369</v>
      </c>
      <c r="H4" t="s">
        <v>0</v>
      </c>
      <c r="I4" t="s">
        <v>436</v>
      </c>
      <c r="J4" t="s">
        <v>437</v>
      </c>
      <c r="K4" t="s">
        <v>438</v>
      </c>
      <c r="L4" t="s">
        <v>5</v>
      </c>
      <c r="M4" t="s">
        <v>408</v>
      </c>
      <c r="N4" t="s">
        <v>11</v>
      </c>
      <c r="O4" t="s">
        <v>11</v>
      </c>
      <c r="P4" t="s">
        <v>0</v>
      </c>
      <c r="Q4" t="s">
        <v>408</v>
      </c>
      <c r="R4" t="s">
        <v>439</v>
      </c>
      <c r="S4" t="s">
        <v>440</v>
      </c>
      <c r="T4" t="s">
        <v>11</v>
      </c>
      <c r="U4" t="s">
        <v>408</v>
      </c>
    </row>
    <row r="5" spans="1:21" x14ac:dyDescent="0.25">
      <c r="A5">
        <v>84362</v>
      </c>
      <c r="B5" t="s">
        <v>340</v>
      </c>
      <c r="C5" t="s">
        <v>26</v>
      </c>
      <c r="D5" t="s">
        <v>102</v>
      </c>
      <c r="E5" t="s">
        <v>692</v>
      </c>
      <c r="F5" t="s">
        <v>309</v>
      </c>
      <c r="G5" t="s">
        <v>369</v>
      </c>
      <c r="H5" t="s">
        <v>0</v>
      </c>
      <c r="I5" t="s">
        <v>436</v>
      </c>
      <c r="J5" t="s">
        <v>437</v>
      </c>
      <c r="K5" t="s">
        <v>438</v>
      </c>
      <c r="L5" t="s">
        <v>345</v>
      </c>
      <c r="M5" t="s">
        <v>408</v>
      </c>
      <c r="N5" t="s">
        <v>11</v>
      </c>
      <c r="O5" t="s">
        <v>11</v>
      </c>
      <c r="P5" t="s">
        <v>0</v>
      </c>
      <c r="Q5" t="s">
        <v>408</v>
      </c>
      <c r="R5" t="s">
        <v>439</v>
      </c>
      <c r="S5" t="s">
        <v>440</v>
      </c>
      <c r="T5" t="s">
        <v>11</v>
      </c>
      <c r="U5" t="s">
        <v>408</v>
      </c>
    </row>
    <row r="6" spans="1:21" x14ac:dyDescent="0.25">
      <c r="A6">
        <v>84369</v>
      </c>
      <c r="B6" t="s">
        <v>340</v>
      </c>
      <c r="C6" t="s">
        <v>26</v>
      </c>
      <c r="D6" t="s">
        <v>24</v>
      </c>
      <c r="E6" t="s">
        <v>692</v>
      </c>
      <c r="F6" t="s">
        <v>309</v>
      </c>
      <c r="G6" t="s">
        <v>369</v>
      </c>
      <c r="H6" t="s">
        <v>0</v>
      </c>
      <c r="I6" t="s">
        <v>436</v>
      </c>
      <c r="J6" t="s">
        <v>437</v>
      </c>
      <c r="K6" t="s">
        <v>438</v>
      </c>
      <c r="L6" t="s">
        <v>345</v>
      </c>
      <c r="M6" t="s">
        <v>408</v>
      </c>
      <c r="N6" t="s">
        <v>11</v>
      </c>
      <c r="O6" t="s">
        <v>11</v>
      </c>
      <c r="P6" t="s">
        <v>0</v>
      </c>
      <c r="Q6" t="s">
        <v>408</v>
      </c>
      <c r="R6" t="s">
        <v>439</v>
      </c>
      <c r="S6" t="s">
        <v>440</v>
      </c>
      <c r="T6" t="s">
        <v>11</v>
      </c>
      <c r="U6" t="s">
        <v>408</v>
      </c>
    </row>
    <row r="7" spans="1:21" x14ac:dyDescent="0.25">
      <c r="A7">
        <v>84393</v>
      </c>
      <c r="B7" t="s">
        <v>340</v>
      </c>
      <c r="C7" t="s">
        <v>26</v>
      </c>
      <c r="D7" t="s">
        <v>102</v>
      </c>
      <c r="E7" t="s">
        <v>692</v>
      </c>
      <c r="F7" t="s">
        <v>309</v>
      </c>
      <c r="G7" t="s">
        <v>369</v>
      </c>
      <c r="H7" t="s">
        <v>0</v>
      </c>
      <c r="I7" t="s">
        <v>436</v>
      </c>
      <c r="J7" t="s">
        <v>437</v>
      </c>
      <c r="K7" t="s">
        <v>438</v>
      </c>
      <c r="L7" t="s">
        <v>151</v>
      </c>
      <c r="M7" t="s">
        <v>408</v>
      </c>
      <c r="N7" t="s">
        <v>11</v>
      </c>
      <c r="O7" t="s">
        <v>11</v>
      </c>
      <c r="P7" t="s">
        <v>0</v>
      </c>
      <c r="Q7" t="s">
        <v>408</v>
      </c>
      <c r="R7" t="s">
        <v>439</v>
      </c>
      <c r="S7" t="s">
        <v>440</v>
      </c>
      <c r="T7" t="s">
        <v>11</v>
      </c>
      <c r="U7" t="s">
        <v>408</v>
      </c>
    </row>
    <row r="8" spans="1:21" x14ac:dyDescent="0.25">
      <c r="A8">
        <v>84403</v>
      </c>
      <c r="B8" t="s">
        <v>340</v>
      </c>
      <c r="C8" t="s">
        <v>26</v>
      </c>
      <c r="D8" t="s">
        <v>102</v>
      </c>
      <c r="E8" t="s">
        <v>692</v>
      </c>
      <c r="F8" t="s">
        <v>309</v>
      </c>
      <c r="G8" t="s">
        <v>369</v>
      </c>
      <c r="H8" t="s">
        <v>0</v>
      </c>
      <c r="I8" t="s">
        <v>436</v>
      </c>
      <c r="J8" t="s">
        <v>437</v>
      </c>
      <c r="K8" t="s">
        <v>438</v>
      </c>
      <c r="L8" t="s">
        <v>345</v>
      </c>
      <c r="M8" t="s">
        <v>408</v>
      </c>
      <c r="N8" t="s">
        <v>11</v>
      </c>
      <c r="O8" t="s">
        <v>11</v>
      </c>
      <c r="P8" t="s">
        <v>0</v>
      </c>
      <c r="Q8" t="s">
        <v>408</v>
      </c>
      <c r="R8" t="s">
        <v>439</v>
      </c>
      <c r="S8" t="s">
        <v>440</v>
      </c>
      <c r="T8" t="s">
        <v>11</v>
      </c>
      <c r="U8" t="s">
        <v>408</v>
      </c>
    </row>
    <row r="9" spans="1:21" x14ac:dyDescent="0.25">
      <c r="A9">
        <v>84427</v>
      </c>
      <c r="B9" t="s">
        <v>340</v>
      </c>
      <c r="C9" t="s">
        <v>26</v>
      </c>
      <c r="D9" t="s">
        <v>18</v>
      </c>
      <c r="E9" t="s">
        <v>693</v>
      </c>
      <c r="F9" t="s">
        <v>308</v>
      </c>
      <c r="G9" t="s">
        <v>369</v>
      </c>
      <c r="H9" t="s">
        <v>0</v>
      </c>
      <c r="I9" t="s">
        <v>436</v>
      </c>
      <c r="J9" t="s">
        <v>437</v>
      </c>
      <c r="K9" t="s">
        <v>438</v>
      </c>
      <c r="L9" t="s">
        <v>341</v>
      </c>
      <c r="M9" t="s">
        <v>408</v>
      </c>
      <c r="N9" t="s">
        <v>11</v>
      </c>
      <c r="O9" t="s">
        <v>11</v>
      </c>
      <c r="P9" t="s">
        <v>10</v>
      </c>
      <c r="Q9" t="s">
        <v>408</v>
      </c>
      <c r="R9" t="s">
        <v>439</v>
      </c>
      <c r="S9" t="s">
        <v>440</v>
      </c>
      <c r="T9" t="s">
        <v>11</v>
      </c>
      <c r="U9" t="s">
        <v>408</v>
      </c>
    </row>
    <row r="10" spans="1:21" x14ac:dyDescent="0.25">
      <c r="A10">
        <v>84463</v>
      </c>
      <c r="B10" t="s">
        <v>340</v>
      </c>
      <c r="C10" t="s">
        <v>26</v>
      </c>
      <c r="D10" t="s">
        <v>24</v>
      </c>
      <c r="E10" t="s">
        <v>692</v>
      </c>
      <c r="F10" t="s">
        <v>309</v>
      </c>
      <c r="G10" t="s">
        <v>369</v>
      </c>
      <c r="H10" t="s">
        <v>0</v>
      </c>
      <c r="I10" t="s">
        <v>436</v>
      </c>
      <c r="J10" t="s">
        <v>437</v>
      </c>
      <c r="K10" t="s">
        <v>438</v>
      </c>
      <c r="L10" t="s">
        <v>345</v>
      </c>
      <c r="M10" t="s">
        <v>408</v>
      </c>
      <c r="N10" t="s">
        <v>11</v>
      </c>
      <c r="O10" t="s">
        <v>11</v>
      </c>
      <c r="P10" t="s">
        <v>0</v>
      </c>
      <c r="Q10" t="s">
        <v>408</v>
      </c>
      <c r="R10" t="s">
        <v>439</v>
      </c>
      <c r="S10" t="s">
        <v>440</v>
      </c>
      <c r="T10" t="s">
        <v>11</v>
      </c>
      <c r="U10" t="s">
        <v>408</v>
      </c>
    </row>
    <row r="11" spans="1:21" x14ac:dyDescent="0.25">
      <c r="A11">
        <v>84657</v>
      </c>
      <c r="B11" t="s">
        <v>340</v>
      </c>
      <c r="C11" t="s">
        <v>26</v>
      </c>
      <c r="D11" t="s">
        <v>79</v>
      </c>
      <c r="E11" t="s">
        <v>694</v>
      </c>
      <c r="F11" t="s">
        <v>307</v>
      </c>
      <c r="G11" t="s">
        <v>369</v>
      </c>
      <c r="H11" t="s">
        <v>0</v>
      </c>
      <c r="I11" t="s">
        <v>436</v>
      </c>
      <c r="J11" t="s">
        <v>437</v>
      </c>
      <c r="K11" t="s">
        <v>438</v>
      </c>
      <c r="L11" t="s">
        <v>5</v>
      </c>
      <c r="M11" t="s">
        <v>408</v>
      </c>
      <c r="N11" t="s">
        <v>11</v>
      </c>
      <c r="O11" t="s">
        <v>11</v>
      </c>
      <c r="P11" t="s">
        <v>5</v>
      </c>
      <c r="Q11" t="s">
        <v>408</v>
      </c>
      <c r="R11" t="s">
        <v>439</v>
      </c>
      <c r="S11" t="s">
        <v>440</v>
      </c>
      <c r="T11" t="s">
        <v>11</v>
      </c>
      <c r="U11" t="s">
        <v>408</v>
      </c>
    </row>
    <row r="12" spans="1:21" x14ac:dyDescent="0.25">
      <c r="A12">
        <v>93136</v>
      </c>
      <c r="B12" t="s">
        <v>342</v>
      </c>
      <c r="C12" t="s">
        <v>38</v>
      </c>
      <c r="D12" t="s">
        <v>12</v>
      </c>
      <c r="E12" t="s">
        <v>695</v>
      </c>
      <c r="F12" t="s">
        <v>306</v>
      </c>
      <c r="G12" t="s">
        <v>369</v>
      </c>
      <c r="H12" t="s">
        <v>0</v>
      </c>
      <c r="I12" t="s">
        <v>436</v>
      </c>
      <c r="J12" t="s">
        <v>437</v>
      </c>
      <c r="K12" t="s">
        <v>438</v>
      </c>
      <c r="L12" t="s">
        <v>341</v>
      </c>
      <c r="M12" t="s">
        <v>408</v>
      </c>
      <c r="N12" t="s">
        <v>11</v>
      </c>
      <c r="O12" t="s">
        <v>408</v>
      </c>
      <c r="P12" t="s">
        <v>76</v>
      </c>
      <c r="Q12" t="s">
        <v>408</v>
      </c>
      <c r="R12" t="s">
        <v>439</v>
      </c>
      <c r="S12" t="s">
        <v>440</v>
      </c>
      <c r="T12" t="s">
        <v>11</v>
      </c>
      <c r="U12" t="s">
        <v>408</v>
      </c>
    </row>
    <row r="13" spans="1:21" x14ac:dyDescent="0.25">
      <c r="A13">
        <v>133342</v>
      </c>
      <c r="B13" t="s">
        <v>342</v>
      </c>
      <c r="C13" t="s">
        <v>38</v>
      </c>
      <c r="D13" t="s">
        <v>24</v>
      </c>
      <c r="E13" t="s">
        <v>695</v>
      </c>
      <c r="F13" t="s">
        <v>278</v>
      </c>
      <c r="G13" t="s">
        <v>369</v>
      </c>
      <c r="H13" t="s">
        <v>0</v>
      </c>
      <c r="I13" t="s">
        <v>436</v>
      </c>
      <c r="J13" t="s">
        <v>437</v>
      </c>
      <c r="K13" t="s">
        <v>438</v>
      </c>
      <c r="L13" t="s">
        <v>2</v>
      </c>
      <c r="M13" t="s">
        <v>408</v>
      </c>
      <c r="N13" t="s">
        <v>11</v>
      </c>
      <c r="O13" t="s">
        <v>408</v>
      </c>
      <c r="P13" t="s">
        <v>77</v>
      </c>
      <c r="Q13" t="s">
        <v>408</v>
      </c>
      <c r="R13" t="s">
        <v>439</v>
      </c>
      <c r="S13" t="s">
        <v>440</v>
      </c>
      <c r="T13" t="s">
        <v>11</v>
      </c>
      <c r="U13" t="s">
        <v>408</v>
      </c>
    </row>
    <row r="14" spans="1:21" x14ac:dyDescent="0.25">
      <c r="A14">
        <v>150564</v>
      </c>
      <c r="B14" t="s">
        <v>340</v>
      </c>
      <c r="C14" t="s">
        <v>26</v>
      </c>
      <c r="D14" t="s">
        <v>24</v>
      </c>
      <c r="E14" t="s">
        <v>696</v>
      </c>
      <c r="F14" t="s">
        <v>305</v>
      </c>
      <c r="G14" t="s">
        <v>369</v>
      </c>
      <c r="H14" t="s">
        <v>0</v>
      </c>
      <c r="I14" t="s">
        <v>436</v>
      </c>
      <c r="J14" t="s">
        <v>437</v>
      </c>
      <c r="K14" t="s">
        <v>438</v>
      </c>
      <c r="L14" t="s">
        <v>151</v>
      </c>
      <c r="M14" t="s">
        <v>408</v>
      </c>
      <c r="N14" t="s">
        <v>11</v>
      </c>
      <c r="O14" t="s">
        <v>408</v>
      </c>
      <c r="P14" t="s">
        <v>346</v>
      </c>
      <c r="Q14" t="s">
        <v>408</v>
      </c>
      <c r="R14" t="s">
        <v>439</v>
      </c>
      <c r="S14" t="s">
        <v>440</v>
      </c>
      <c r="T14" t="s">
        <v>11</v>
      </c>
      <c r="U14" t="s">
        <v>408</v>
      </c>
    </row>
    <row r="15" spans="1:21" x14ac:dyDescent="0.25">
      <c r="A15">
        <v>161892</v>
      </c>
      <c r="B15" t="s">
        <v>340</v>
      </c>
      <c r="C15" t="s">
        <v>26</v>
      </c>
      <c r="D15" t="s">
        <v>102</v>
      </c>
      <c r="E15" t="s">
        <v>697</v>
      </c>
      <c r="F15" t="s">
        <v>304</v>
      </c>
      <c r="G15" t="s">
        <v>369</v>
      </c>
      <c r="H15" t="s">
        <v>0</v>
      </c>
      <c r="I15" t="s">
        <v>436</v>
      </c>
      <c r="J15" t="s">
        <v>437</v>
      </c>
      <c r="K15" t="s">
        <v>438</v>
      </c>
      <c r="L15" t="s">
        <v>345</v>
      </c>
      <c r="M15" t="s">
        <v>408</v>
      </c>
      <c r="N15" t="s">
        <v>11</v>
      </c>
      <c r="O15" t="s">
        <v>11</v>
      </c>
      <c r="P15" t="s">
        <v>0</v>
      </c>
      <c r="Q15" t="s">
        <v>408</v>
      </c>
      <c r="R15" t="s">
        <v>439</v>
      </c>
      <c r="S15" t="s">
        <v>440</v>
      </c>
      <c r="T15" t="s">
        <v>11</v>
      </c>
      <c r="U15" t="s">
        <v>408</v>
      </c>
    </row>
    <row r="16" spans="1:21" x14ac:dyDescent="0.25">
      <c r="A16">
        <v>176301</v>
      </c>
      <c r="B16" t="s">
        <v>342</v>
      </c>
      <c r="C16" t="s">
        <v>38</v>
      </c>
      <c r="D16" t="s">
        <v>12</v>
      </c>
      <c r="E16" t="s">
        <v>695</v>
      </c>
      <c r="F16" t="s">
        <v>278</v>
      </c>
      <c r="G16" t="s">
        <v>369</v>
      </c>
      <c r="H16" t="s">
        <v>0</v>
      </c>
      <c r="I16" t="s">
        <v>436</v>
      </c>
      <c r="J16" t="s">
        <v>437</v>
      </c>
      <c r="K16" t="s">
        <v>438</v>
      </c>
      <c r="L16" t="s">
        <v>151</v>
      </c>
      <c r="M16" t="s">
        <v>408</v>
      </c>
      <c r="N16" t="s">
        <v>11</v>
      </c>
      <c r="O16" t="s">
        <v>11</v>
      </c>
      <c r="P16" t="s">
        <v>344</v>
      </c>
      <c r="Q16" t="s">
        <v>408</v>
      </c>
      <c r="R16" t="s">
        <v>439</v>
      </c>
      <c r="S16" t="s">
        <v>440</v>
      </c>
      <c r="T16" t="s">
        <v>11</v>
      </c>
      <c r="U16" t="s">
        <v>408</v>
      </c>
    </row>
    <row r="17" spans="1:21" x14ac:dyDescent="0.25">
      <c r="A17">
        <v>176307</v>
      </c>
      <c r="B17" t="s">
        <v>342</v>
      </c>
      <c r="C17" t="s">
        <v>38</v>
      </c>
      <c r="D17" t="s">
        <v>12</v>
      </c>
      <c r="E17" t="s">
        <v>695</v>
      </c>
      <c r="F17" t="s">
        <v>278</v>
      </c>
      <c r="G17" t="s">
        <v>369</v>
      </c>
      <c r="H17" t="s">
        <v>0</v>
      </c>
      <c r="I17" t="s">
        <v>436</v>
      </c>
      <c r="J17" t="s">
        <v>437</v>
      </c>
      <c r="K17" t="s">
        <v>438</v>
      </c>
      <c r="L17" t="s">
        <v>344</v>
      </c>
      <c r="M17" t="s">
        <v>408</v>
      </c>
      <c r="N17" t="s">
        <v>11</v>
      </c>
      <c r="O17" t="s">
        <v>11</v>
      </c>
      <c r="P17" t="s">
        <v>344</v>
      </c>
      <c r="Q17" t="s">
        <v>408</v>
      </c>
      <c r="R17" t="s">
        <v>439</v>
      </c>
      <c r="S17" t="s">
        <v>440</v>
      </c>
      <c r="T17" t="s">
        <v>11</v>
      </c>
      <c r="U17" t="s">
        <v>408</v>
      </c>
    </row>
    <row r="18" spans="1:21" x14ac:dyDescent="0.25">
      <c r="A18">
        <v>180512</v>
      </c>
      <c r="B18" t="s">
        <v>340</v>
      </c>
      <c r="C18" t="s">
        <v>26</v>
      </c>
      <c r="D18" t="s">
        <v>79</v>
      </c>
      <c r="E18" t="s">
        <v>695</v>
      </c>
      <c r="F18" t="s">
        <v>278</v>
      </c>
      <c r="G18" t="s">
        <v>369</v>
      </c>
      <c r="H18" t="s">
        <v>0</v>
      </c>
      <c r="I18" t="s">
        <v>436</v>
      </c>
      <c r="J18" t="s">
        <v>437</v>
      </c>
      <c r="K18" t="s">
        <v>438</v>
      </c>
      <c r="L18" t="s">
        <v>5</v>
      </c>
      <c r="M18" t="s">
        <v>408</v>
      </c>
      <c r="N18" t="s">
        <v>11</v>
      </c>
      <c r="O18" t="s">
        <v>11</v>
      </c>
      <c r="P18" t="s">
        <v>5</v>
      </c>
      <c r="Q18" t="s">
        <v>408</v>
      </c>
      <c r="R18" t="s">
        <v>439</v>
      </c>
      <c r="S18" t="s">
        <v>440</v>
      </c>
      <c r="T18" t="s">
        <v>11</v>
      </c>
      <c r="U18" t="s">
        <v>408</v>
      </c>
    </row>
    <row r="19" spans="1:21" x14ac:dyDescent="0.25">
      <c r="A19">
        <v>180524</v>
      </c>
      <c r="B19" t="s">
        <v>340</v>
      </c>
      <c r="C19" t="s">
        <v>26</v>
      </c>
      <c r="D19" t="s">
        <v>79</v>
      </c>
      <c r="E19" t="s">
        <v>695</v>
      </c>
      <c r="F19" t="s">
        <v>278</v>
      </c>
      <c r="G19" t="s">
        <v>369</v>
      </c>
      <c r="H19" t="s">
        <v>0</v>
      </c>
      <c r="I19" t="s">
        <v>436</v>
      </c>
      <c r="J19" t="s">
        <v>437</v>
      </c>
      <c r="K19" t="s">
        <v>438</v>
      </c>
      <c r="L19" t="s">
        <v>6</v>
      </c>
      <c r="M19" t="s">
        <v>408</v>
      </c>
      <c r="N19" t="s">
        <v>11</v>
      </c>
      <c r="O19" t="s">
        <v>11</v>
      </c>
      <c r="P19" t="s">
        <v>5</v>
      </c>
      <c r="Q19" t="s">
        <v>408</v>
      </c>
      <c r="R19" t="s">
        <v>439</v>
      </c>
      <c r="S19" t="s">
        <v>440</v>
      </c>
      <c r="T19" t="s">
        <v>11</v>
      </c>
      <c r="U19" t="s">
        <v>408</v>
      </c>
    </row>
    <row r="20" spans="1:21" x14ac:dyDescent="0.25">
      <c r="A20">
        <v>180528</v>
      </c>
      <c r="B20" t="s">
        <v>340</v>
      </c>
      <c r="C20" t="s">
        <v>26</v>
      </c>
      <c r="D20" t="s">
        <v>79</v>
      </c>
      <c r="E20" t="s">
        <v>695</v>
      </c>
      <c r="F20" t="s">
        <v>278</v>
      </c>
      <c r="G20" t="s">
        <v>369</v>
      </c>
      <c r="H20" t="s">
        <v>0</v>
      </c>
      <c r="I20" t="s">
        <v>436</v>
      </c>
      <c r="J20" t="s">
        <v>437</v>
      </c>
      <c r="K20" t="s">
        <v>438</v>
      </c>
      <c r="L20" t="s">
        <v>10</v>
      </c>
      <c r="M20" t="s">
        <v>408</v>
      </c>
      <c r="N20" t="s">
        <v>11</v>
      </c>
      <c r="O20" t="s">
        <v>11</v>
      </c>
      <c r="P20" t="s">
        <v>5</v>
      </c>
      <c r="Q20" t="s">
        <v>408</v>
      </c>
      <c r="R20" t="s">
        <v>439</v>
      </c>
      <c r="S20" t="s">
        <v>440</v>
      </c>
      <c r="T20" t="s">
        <v>11</v>
      </c>
      <c r="U20" t="s">
        <v>408</v>
      </c>
    </row>
    <row r="21" spans="1:21" x14ac:dyDescent="0.25">
      <c r="A21">
        <v>180529</v>
      </c>
      <c r="B21" t="s">
        <v>340</v>
      </c>
      <c r="C21" t="s">
        <v>26</v>
      </c>
      <c r="D21" t="s">
        <v>79</v>
      </c>
      <c r="E21" t="s">
        <v>596</v>
      </c>
      <c r="F21" t="s">
        <v>303</v>
      </c>
      <c r="G21" t="s">
        <v>369</v>
      </c>
      <c r="H21" t="s">
        <v>0</v>
      </c>
      <c r="I21" t="s">
        <v>436</v>
      </c>
      <c r="J21" t="s">
        <v>437</v>
      </c>
      <c r="K21" t="s">
        <v>438</v>
      </c>
      <c r="L21" t="s">
        <v>6</v>
      </c>
      <c r="M21" t="s">
        <v>408</v>
      </c>
      <c r="N21" t="s">
        <v>11</v>
      </c>
      <c r="O21" t="s">
        <v>11</v>
      </c>
      <c r="P21" t="s">
        <v>6</v>
      </c>
      <c r="Q21" t="s">
        <v>408</v>
      </c>
      <c r="R21" t="s">
        <v>439</v>
      </c>
      <c r="S21" t="s">
        <v>440</v>
      </c>
      <c r="T21" t="s">
        <v>11</v>
      </c>
      <c r="U21" t="s">
        <v>408</v>
      </c>
    </row>
    <row r="22" spans="1:21" x14ac:dyDescent="0.25">
      <c r="A22">
        <v>180560</v>
      </c>
      <c r="B22" t="s">
        <v>340</v>
      </c>
      <c r="C22" t="s">
        <v>26</v>
      </c>
      <c r="D22" t="s">
        <v>24</v>
      </c>
      <c r="E22" t="s">
        <v>695</v>
      </c>
      <c r="F22" t="s">
        <v>278</v>
      </c>
      <c r="G22" t="s">
        <v>369</v>
      </c>
      <c r="H22" t="s">
        <v>0</v>
      </c>
      <c r="I22" t="s">
        <v>436</v>
      </c>
      <c r="J22" t="s">
        <v>437</v>
      </c>
      <c r="K22" t="s">
        <v>438</v>
      </c>
      <c r="L22" t="s">
        <v>1</v>
      </c>
      <c r="M22" t="s">
        <v>408</v>
      </c>
      <c r="N22" t="s">
        <v>11</v>
      </c>
      <c r="O22" t="s">
        <v>408</v>
      </c>
      <c r="P22" t="s">
        <v>0</v>
      </c>
      <c r="Q22" t="s">
        <v>408</v>
      </c>
      <c r="R22" t="s">
        <v>439</v>
      </c>
      <c r="S22" t="s">
        <v>440</v>
      </c>
      <c r="T22" t="s">
        <v>11</v>
      </c>
      <c r="U22" t="s">
        <v>408</v>
      </c>
    </row>
    <row r="23" spans="1:21" x14ac:dyDescent="0.25">
      <c r="A23">
        <v>180572</v>
      </c>
      <c r="B23" t="s">
        <v>340</v>
      </c>
      <c r="C23" t="s">
        <v>26</v>
      </c>
      <c r="D23" t="s">
        <v>24</v>
      </c>
      <c r="E23" t="s">
        <v>695</v>
      </c>
      <c r="F23" t="s">
        <v>278</v>
      </c>
      <c r="G23" t="s">
        <v>369</v>
      </c>
      <c r="H23" t="s">
        <v>0</v>
      </c>
      <c r="I23" t="s">
        <v>436</v>
      </c>
      <c r="J23" t="s">
        <v>437</v>
      </c>
      <c r="K23" t="s">
        <v>438</v>
      </c>
      <c r="L23" t="s">
        <v>8</v>
      </c>
      <c r="M23" t="s">
        <v>408</v>
      </c>
      <c r="N23" t="s">
        <v>11</v>
      </c>
      <c r="O23" t="s">
        <v>11</v>
      </c>
      <c r="P23" t="s">
        <v>0</v>
      </c>
      <c r="Q23" t="s">
        <v>408</v>
      </c>
      <c r="R23" t="s">
        <v>439</v>
      </c>
      <c r="S23" t="s">
        <v>440</v>
      </c>
      <c r="T23" t="s">
        <v>11</v>
      </c>
      <c r="U23" t="s">
        <v>408</v>
      </c>
    </row>
    <row r="24" spans="1:21" x14ac:dyDescent="0.25">
      <c r="A24">
        <v>180592</v>
      </c>
      <c r="B24" t="s">
        <v>340</v>
      </c>
      <c r="C24" t="s">
        <v>26</v>
      </c>
      <c r="D24" t="s">
        <v>24</v>
      </c>
      <c r="E24" t="s">
        <v>695</v>
      </c>
      <c r="F24" t="s">
        <v>278</v>
      </c>
      <c r="G24" t="s">
        <v>369</v>
      </c>
      <c r="H24" t="s">
        <v>0</v>
      </c>
      <c r="I24" t="s">
        <v>436</v>
      </c>
      <c r="J24" t="s">
        <v>437</v>
      </c>
      <c r="K24" t="s">
        <v>438</v>
      </c>
      <c r="L24" t="s">
        <v>6</v>
      </c>
      <c r="M24" t="s">
        <v>408</v>
      </c>
      <c r="N24" t="s">
        <v>11</v>
      </c>
      <c r="O24" t="s">
        <v>11</v>
      </c>
      <c r="P24" t="s">
        <v>0</v>
      </c>
      <c r="Q24" t="s">
        <v>408</v>
      </c>
      <c r="R24" t="s">
        <v>439</v>
      </c>
      <c r="S24" t="s">
        <v>440</v>
      </c>
      <c r="T24" t="s">
        <v>11</v>
      </c>
      <c r="U24" t="s">
        <v>408</v>
      </c>
    </row>
    <row r="25" spans="1:21" x14ac:dyDescent="0.25">
      <c r="A25">
        <v>180666</v>
      </c>
      <c r="B25" t="s">
        <v>340</v>
      </c>
      <c r="C25" t="s">
        <v>26</v>
      </c>
      <c r="D25" t="s">
        <v>24</v>
      </c>
      <c r="E25" t="s">
        <v>596</v>
      </c>
      <c r="F25" t="s">
        <v>303</v>
      </c>
      <c r="G25" t="s">
        <v>369</v>
      </c>
      <c r="H25" t="s">
        <v>0</v>
      </c>
      <c r="I25" t="s">
        <v>436</v>
      </c>
      <c r="J25" t="s">
        <v>437</v>
      </c>
      <c r="K25" t="s">
        <v>438</v>
      </c>
      <c r="L25" t="s">
        <v>5</v>
      </c>
      <c r="M25" t="s">
        <v>408</v>
      </c>
      <c r="N25" t="s">
        <v>11</v>
      </c>
      <c r="O25" t="s">
        <v>11</v>
      </c>
      <c r="P25" t="s">
        <v>0</v>
      </c>
      <c r="Q25" t="s">
        <v>408</v>
      </c>
      <c r="R25" t="s">
        <v>439</v>
      </c>
      <c r="S25" t="s">
        <v>440</v>
      </c>
      <c r="T25" t="s">
        <v>11</v>
      </c>
      <c r="U25" t="s">
        <v>408</v>
      </c>
    </row>
    <row r="26" spans="1:21" x14ac:dyDescent="0.25">
      <c r="A26">
        <v>180700</v>
      </c>
      <c r="B26" t="s">
        <v>340</v>
      </c>
      <c r="C26" t="s">
        <v>26</v>
      </c>
      <c r="D26" t="s">
        <v>79</v>
      </c>
      <c r="E26" t="s">
        <v>698</v>
      </c>
      <c r="F26" t="s">
        <v>302</v>
      </c>
      <c r="G26" t="s">
        <v>369</v>
      </c>
      <c r="H26" t="s">
        <v>0</v>
      </c>
      <c r="I26" t="s">
        <v>436</v>
      </c>
      <c r="J26" t="s">
        <v>437</v>
      </c>
      <c r="K26" t="s">
        <v>438</v>
      </c>
      <c r="L26" t="s">
        <v>347</v>
      </c>
      <c r="M26" t="s">
        <v>408</v>
      </c>
      <c r="N26" t="s">
        <v>11</v>
      </c>
      <c r="O26" t="s">
        <v>11</v>
      </c>
      <c r="P26" t="s">
        <v>341</v>
      </c>
      <c r="Q26" t="s">
        <v>408</v>
      </c>
      <c r="R26" t="s">
        <v>439</v>
      </c>
      <c r="S26" t="s">
        <v>440</v>
      </c>
      <c r="T26" t="s">
        <v>11</v>
      </c>
      <c r="U26" t="s">
        <v>408</v>
      </c>
    </row>
    <row r="27" spans="1:21" x14ac:dyDescent="0.25">
      <c r="A27">
        <v>180705</v>
      </c>
      <c r="B27" t="s">
        <v>340</v>
      </c>
      <c r="C27" t="s">
        <v>26</v>
      </c>
      <c r="D27" t="s">
        <v>24</v>
      </c>
      <c r="E27" t="s">
        <v>698</v>
      </c>
      <c r="F27" t="s">
        <v>302</v>
      </c>
      <c r="G27" t="s">
        <v>369</v>
      </c>
      <c r="H27" t="s">
        <v>0</v>
      </c>
      <c r="I27" t="s">
        <v>436</v>
      </c>
      <c r="J27" t="s">
        <v>437</v>
      </c>
      <c r="K27" t="s">
        <v>438</v>
      </c>
      <c r="L27" t="s">
        <v>5</v>
      </c>
      <c r="M27" t="s">
        <v>408</v>
      </c>
      <c r="N27" t="s">
        <v>11</v>
      </c>
      <c r="O27" t="s">
        <v>11</v>
      </c>
      <c r="P27" t="s">
        <v>341</v>
      </c>
      <c r="Q27" t="s">
        <v>408</v>
      </c>
      <c r="R27" t="s">
        <v>439</v>
      </c>
      <c r="S27" t="s">
        <v>440</v>
      </c>
      <c r="T27" t="s">
        <v>11</v>
      </c>
      <c r="U27" t="s">
        <v>408</v>
      </c>
    </row>
    <row r="28" spans="1:21" x14ac:dyDescent="0.25">
      <c r="A28">
        <v>180717</v>
      </c>
      <c r="B28" t="s">
        <v>340</v>
      </c>
      <c r="C28" t="s">
        <v>26</v>
      </c>
      <c r="D28" t="s">
        <v>79</v>
      </c>
      <c r="E28" t="s">
        <v>695</v>
      </c>
      <c r="F28" t="s">
        <v>278</v>
      </c>
      <c r="G28" t="s">
        <v>369</v>
      </c>
      <c r="H28" t="s">
        <v>0</v>
      </c>
      <c r="I28" t="s">
        <v>436</v>
      </c>
      <c r="J28" t="s">
        <v>437</v>
      </c>
      <c r="K28" t="s">
        <v>438</v>
      </c>
      <c r="L28" t="s">
        <v>5</v>
      </c>
      <c r="M28" t="s">
        <v>408</v>
      </c>
      <c r="N28" t="s">
        <v>11</v>
      </c>
      <c r="O28" t="s">
        <v>11</v>
      </c>
      <c r="P28" t="s">
        <v>341</v>
      </c>
      <c r="Q28" t="s">
        <v>408</v>
      </c>
      <c r="R28" t="s">
        <v>439</v>
      </c>
      <c r="S28" t="s">
        <v>440</v>
      </c>
      <c r="T28" t="s">
        <v>11</v>
      </c>
      <c r="U28" t="s">
        <v>408</v>
      </c>
    </row>
    <row r="29" spans="1:21" x14ac:dyDescent="0.25">
      <c r="A29">
        <v>180721</v>
      </c>
      <c r="B29" t="s">
        <v>340</v>
      </c>
      <c r="C29" t="s">
        <v>26</v>
      </c>
      <c r="D29" t="s">
        <v>79</v>
      </c>
      <c r="E29" t="s">
        <v>695</v>
      </c>
      <c r="F29" t="s">
        <v>278</v>
      </c>
      <c r="G29" t="s">
        <v>369</v>
      </c>
      <c r="H29" t="s">
        <v>0</v>
      </c>
      <c r="I29" t="s">
        <v>436</v>
      </c>
      <c r="J29" t="s">
        <v>437</v>
      </c>
      <c r="K29" t="s">
        <v>438</v>
      </c>
      <c r="L29" t="s">
        <v>5</v>
      </c>
      <c r="M29" t="s">
        <v>408</v>
      </c>
      <c r="N29" t="s">
        <v>11</v>
      </c>
      <c r="O29" t="s">
        <v>11</v>
      </c>
      <c r="P29" t="s">
        <v>341</v>
      </c>
      <c r="Q29" t="s">
        <v>408</v>
      </c>
      <c r="R29" t="s">
        <v>439</v>
      </c>
      <c r="S29" t="s">
        <v>440</v>
      </c>
      <c r="T29" t="s">
        <v>11</v>
      </c>
      <c r="U29" t="s">
        <v>408</v>
      </c>
    </row>
    <row r="30" spans="1:21" x14ac:dyDescent="0.25">
      <c r="A30">
        <v>1316934</v>
      </c>
      <c r="B30" t="s">
        <v>342</v>
      </c>
      <c r="C30" t="s">
        <v>38</v>
      </c>
      <c r="D30" t="s">
        <v>12</v>
      </c>
      <c r="E30" t="s">
        <v>699</v>
      </c>
      <c r="F30" t="s">
        <v>300</v>
      </c>
      <c r="G30" t="s">
        <v>369</v>
      </c>
      <c r="H30" t="s">
        <v>0</v>
      </c>
      <c r="I30" t="s">
        <v>436</v>
      </c>
      <c r="J30" t="s">
        <v>437</v>
      </c>
      <c r="K30" t="s">
        <v>438</v>
      </c>
      <c r="L30" t="s">
        <v>344</v>
      </c>
      <c r="M30" t="s">
        <v>408</v>
      </c>
      <c r="N30" t="s">
        <v>11</v>
      </c>
      <c r="O30" t="s">
        <v>11</v>
      </c>
      <c r="P30" t="s">
        <v>344</v>
      </c>
      <c r="Q30" t="s">
        <v>408</v>
      </c>
      <c r="R30" t="s">
        <v>439</v>
      </c>
      <c r="S30" t="s">
        <v>440</v>
      </c>
      <c r="T30" t="s">
        <v>11</v>
      </c>
      <c r="U30" t="s">
        <v>408</v>
      </c>
    </row>
    <row r="31" spans="1:21" x14ac:dyDescent="0.25">
      <c r="A31">
        <v>1316953</v>
      </c>
      <c r="B31" t="s">
        <v>342</v>
      </c>
      <c r="C31" t="s">
        <v>38</v>
      </c>
      <c r="D31" t="s">
        <v>18</v>
      </c>
      <c r="E31" t="s">
        <v>598</v>
      </c>
      <c r="F31" t="s">
        <v>166</v>
      </c>
      <c r="G31" t="s">
        <v>369</v>
      </c>
      <c r="H31" t="s">
        <v>0</v>
      </c>
      <c r="I31" t="s">
        <v>436</v>
      </c>
      <c r="J31" t="s">
        <v>437</v>
      </c>
      <c r="K31" t="s">
        <v>438</v>
      </c>
      <c r="L31" t="s">
        <v>341</v>
      </c>
      <c r="M31" t="s">
        <v>408</v>
      </c>
      <c r="N31" t="s">
        <v>11</v>
      </c>
      <c r="O31" t="s">
        <v>11</v>
      </c>
      <c r="P31" t="s">
        <v>341</v>
      </c>
      <c r="Q31" t="s">
        <v>408</v>
      </c>
      <c r="R31" t="s">
        <v>439</v>
      </c>
      <c r="S31" t="s">
        <v>440</v>
      </c>
      <c r="T31" t="s">
        <v>11</v>
      </c>
      <c r="U31" t="s">
        <v>408</v>
      </c>
    </row>
    <row r="32" spans="1:21" x14ac:dyDescent="0.25">
      <c r="A32">
        <v>1316957</v>
      </c>
      <c r="B32" t="s">
        <v>340</v>
      </c>
      <c r="C32" t="s">
        <v>26</v>
      </c>
      <c r="D32" t="s">
        <v>24</v>
      </c>
      <c r="E32" t="s">
        <v>598</v>
      </c>
      <c r="F32" t="s">
        <v>166</v>
      </c>
      <c r="G32" t="s">
        <v>369</v>
      </c>
      <c r="H32" t="s">
        <v>0</v>
      </c>
      <c r="I32" t="s">
        <v>436</v>
      </c>
      <c r="J32" t="s">
        <v>437</v>
      </c>
      <c r="K32" t="s">
        <v>438</v>
      </c>
      <c r="L32" t="s">
        <v>8</v>
      </c>
      <c r="M32" t="s">
        <v>408</v>
      </c>
      <c r="N32" t="s">
        <v>11</v>
      </c>
      <c r="O32" t="s">
        <v>11</v>
      </c>
      <c r="P32" t="s">
        <v>341</v>
      </c>
      <c r="Q32" t="s">
        <v>408</v>
      </c>
      <c r="R32" t="s">
        <v>439</v>
      </c>
      <c r="S32" t="s">
        <v>440</v>
      </c>
      <c r="T32" t="s">
        <v>11</v>
      </c>
      <c r="U32" t="s">
        <v>408</v>
      </c>
    </row>
    <row r="33" spans="1:21" x14ac:dyDescent="0.25">
      <c r="A33">
        <v>1316967</v>
      </c>
      <c r="B33" t="s">
        <v>340</v>
      </c>
      <c r="C33" t="s">
        <v>26</v>
      </c>
      <c r="D33" t="s">
        <v>79</v>
      </c>
      <c r="E33" t="s">
        <v>597</v>
      </c>
      <c r="F33" t="s">
        <v>301</v>
      </c>
      <c r="G33" t="s">
        <v>369</v>
      </c>
      <c r="H33" t="s">
        <v>0</v>
      </c>
      <c r="I33" t="s">
        <v>436</v>
      </c>
      <c r="J33" t="s">
        <v>437</v>
      </c>
      <c r="K33" t="s">
        <v>438</v>
      </c>
      <c r="L33" t="s">
        <v>8</v>
      </c>
      <c r="M33" t="s">
        <v>408</v>
      </c>
      <c r="N33" t="s">
        <v>11</v>
      </c>
      <c r="O33" t="s">
        <v>11</v>
      </c>
      <c r="P33" t="s">
        <v>341</v>
      </c>
      <c r="Q33" t="s">
        <v>408</v>
      </c>
      <c r="R33" t="s">
        <v>439</v>
      </c>
      <c r="S33" t="s">
        <v>440</v>
      </c>
      <c r="T33" t="s">
        <v>11</v>
      </c>
      <c r="U33" t="s">
        <v>408</v>
      </c>
    </row>
    <row r="34" spans="1:21" x14ac:dyDescent="0.25">
      <c r="A34">
        <v>1318037</v>
      </c>
      <c r="B34" t="s">
        <v>340</v>
      </c>
      <c r="C34" t="s">
        <v>26</v>
      </c>
      <c r="D34" t="s">
        <v>24</v>
      </c>
      <c r="E34" t="s">
        <v>699</v>
      </c>
      <c r="F34" t="s">
        <v>300</v>
      </c>
      <c r="G34" t="s">
        <v>369</v>
      </c>
      <c r="H34" t="s">
        <v>0</v>
      </c>
      <c r="I34" t="s">
        <v>436</v>
      </c>
      <c r="J34" t="s">
        <v>437</v>
      </c>
      <c r="K34" t="s">
        <v>438</v>
      </c>
      <c r="L34" t="s">
        <v>8</v>
      </c>
      <c r="M34" t="s">
        <v>408</v>
      </c>
      <c r="N34" t="s">
        <v>11</v>
      </c>
      <c r="O34" t="s">
        <v>11</v>
      </c>
      <c r="P34" t="s">
        <v>0</v>
      </c>
      <c r="Q34" t="s">
        <v>408</v>
      </c>
      <c r="R34" t="s">
        <v>439</v>
      </c>
      <c r="S34" t="s">
        <v>440</v>
      </c>
      <c r="T34" t="s">
        <v>11</v>
      </c>
      <c r="U34" t="s">
        <v>408</v>
      </c>
    </row>
    <row r="35" spans="1:21" x14ac:dyDescent="0.25">
      <c r="A35">
        <v>1318058</v>
      </c>
      <c r="B35" t="s">
        <v>340</v>
      </c>
      <c r="C35" t="s">
        <v>26</v>
      </c>
      <c r="D35" t="s">
        <v>24</v>
      </c>
      <c r="E35" t="s">
        <v>699</v>
      </c>
      <c r="F35" t="s">
        <v>300</v>
      </c>
      <c r="G35" t="s">
        <v>369</v>
      </c>
      <c r="H35" t="s">
        <v>0</v>
      </c>
      <c r="I35" t="s">
        <v>436</v>
      </c>
      <c r="J35" t="s">
        <v>437</v>
      </c>
      <c r="K35" t="s">
        <v>438</v>
      </c>
      <c r="L35" t="s">
        <v>2</v>
      </c>
      <c r="M35" t="s">
        <v>408</v>
      </c>
      <c r="N35" t="s">
        <v>11</v>
      </c>
      <c r="O35" t="s">
        <v>11</v>
      </c>
      <c r="P35" t="s">
        <v>0</v>
      </c>
      <c r="Q35" t="s">
        <v>408</v>
      </c>
      <c r="R35" t="s">
        <v>439</v>
      </c>
      <c r="S35" t="s">
        <v>440</v>
      </c>
      <c r="T35" t="s">
        <v>11</v>
      </c>
      <c r="U35" t="s">
        <v>408</v>
      </c>
    </row>
    <row r="36" spans="1:21" x14ac:dyDescent="0.25">
      <c r="A36">
        <v>1318076</v>
      </c>
      <c r="B36" t="s">
        <v>340</v>
      </c>
      <c r="C36" t="s">
        <v>26</v>
      </c>
      <c r="D36" t="s">
        <v>18</v>
      </c>
      <c r="E36" t="s">
        <v>700</v>
      </c>
      <c r="F36" t="s">
        <v>298</v>
      </c>
      <c r="G36" t="s">
        <v>369</v>
      </c>
      <c r="H36" t="s">
        <v>0</v>
      </c>
      <c r="I36" t="s">
        <v>436</v>
      </c>
      <c r="J36" t="s">
        <v>437</v>
      </c>
      <c r="K36" t="s">
        <v>438</v>
      </c>
      <c r="L36" t="s">
        <v>345</v>
      </c>
      <c r="M36" t="s">
        <v>408</v>
      </c>
      <c r="N36" t="s">
        <v>11</v>
      </c>
      <c r="O36" t="s">
        <v>11</v>
      </c>
      <c r="P36" t="s">
        <v>0</v>
      </c>
      <c r="Q36" t="s">
        <v>408</v>
      </c>
      <c r="R36" t="s">
        <v>439</v>
      </c>
      <c r="S36" t="s">
        <v>440</v>
      </c>
      <c r="T36" t="s">
        <v>11</v>
      </c>
      <c r="U36" t="s">
        <v>408</v>
      </c>
    </row>
    <row r="37" spans="1:21" x14ac:dyDescent="0.25">
      <c r="A37">
        <v>1318087</v>
      </c>
      <c r="B37" t="s">
        <v>340</v>
      </c>
      <c r="C37" t="s">
        <v>26</v>
      </c>
      <c r="D37" t="s">
        <v>79</v>
      </c>
      <c r="E37" t="s">
        <v>699</v>
      </c>
      <c r="F37" t="s">
        <v>300</v>
      </c>
      <c r="G37" t="s">
        <v>369</v>
      </c>
      <c r="H37" t="s">
        <v>0</v>
      </c>
      <c r="I37" t="s">
        <v>436</v>
      </c>
      <c r="J37" t="s">
        <v>437</v>
      </c>
      <c r="K37" t="s">
        <v>438</v>
      </c>
      <c r="L37" t="s">
        <v>8</v>
      </c>
      <c r="M37" t="s">
        <v>408</v>
      </c>
      <c r="N37" t="s">
        <v>11</v>
      </c>
      <c r="O37" t="s">
        <v>11</v>
      </c>
      <c r="P37" t="s">
        <v>0</v>
      </c>
      <c r="Q37" t="s">
        <v>408</v>
      </c>
      <c r="R37" t="s">
        <v>439</v>
      </c>
      <c r="S37" t="s">
        <v>440</v>
      </c>
      <c r="T37" t="s">
        <v>11</v>
      </c>
      <c r="U37" t="s">
        <v>408</v>
      </c>
    </row>
    <row r="38" spans="1:21" x14ac:dyDescent="0.25">
      <c r="A38">
        <v>1318097</v>
      </c>
      <c r="B38" t="s">
        <v>340</v>
      </c>
      <c r="C38" t="s">
        <v>26</v>
      </c>
      <c r="D38" t="s">
        <v>79</v>
      </c>
      <c r="E38" t="s">
        <v>598</v>
      </c>
      <c r="F38" t="s">
        <v>299</v>
      </c>
      <c r="G38" t="s">
        <v>369</v>
      </c>
      <c r="H38" t="s">
        <v>0</v>
      </c>
      <c r="I38" t="s">
        <v>436</v>
      </c>
      <c r="J38" t="s">
        <v>437</v>
      </c>
      <c r="K38" t="s">
        <v>438</v>
      </c>
      <c r="L38" t="s">
        <v>8</v>
      </c>
      <c r="M38" t="s">
        <v>408</v>
      </c>
      <c r="N38" t="s">
        <v>11</v>
      </c>
      <c r="O38" t="s">
        <v>11</v>
      </c>
      <c r="P38" t="s">
        <v>0</v>
      </c>
      <c r="Q38" t="s">
        <v>408</v>
      </c>
      <c r="R38" t="s">
        <v>439</v>
      </c>
      <c r="S38" t="s">
        <v>440</v>
      </c>
      <c r="T38" t="s">
        <v>11</v>
      </c>
      <c r="U38" t="s">
        <v>408</v>
      </c>
    </row>
    <row r="39" spans="1:21" x14ac:dyDescent="0.25">
      <c r="A39">
        <v>1318106</v>
      </c>
      <c r="B39" t="s">
        <v>340</v>
      </c>
      <c r="C39" t="s">
        <v>26</v>
      </c>
      <c r="D39" t="s">
        <v>18</v>
      </c>
      <c r="E39" t="s">
        <v>598</v>
      </c>
      <c r="F39" t="s">
        <v>299</v>
      </c>
      <c r="G39" t="s">
        <v>369</v>
      </c>
      <c r="H39" t="s">
        <v>0</v>
      </c>
      <c r="I39" t="s">
        <v>436</v>
      </c>
      <c r="J39" t="s">
        <v>437</v>
      </c>
      <c r="K39" t="s">
        <v>438</v>
      </c>
      <c r="L39" t="s">
        <v>345</v>
      </c>
      <c r="M39" t="s">
        <v>408</v>
      </c>
      <c r="N39" t="s">
        <v>11</v>
      </c>
      <c r="O39" t="s">
        <v>11</v>
      </c>
      <c r="P39" t="s">
        <v>0</v>
      </c>
      <c r="Q39" t="s">
        <v>408</v>
      </c>
      <c r="R39" t="s">
        <v>439</v>
      </c>
      <c r="S39" t="s">
        <v>440</v>
      </c>
      <c r="T39" t="s">
        <v>11</v>
      </c>
      <c r="U39" t="s">
        <v>408</v>
      </c>
    </row>
    <row r="40" spans="1:21" x14ac:dyDescent="0.25">
      <c r="A40">
        <v>1318116</v>
      </c>
      <c r="B40" t="s">
        <v>340</v>
      </c>
      <c r="C40" t="s">
        <v>26</v>
      </c>
      <c r="D40" t="s">
        <v>79</v>
      </c>
      <c r="E40" t="s">
        <v>598</v>
      </c>
      <c r="F40" t="s">
        <v>299</v>
      </c>
      <c r="G40" t="s">
        <v>369</v>
      </c>
      <c r="H40" t="s">
        <v>0</v>
      </c>
      <c r="I40" t="s">
        <v>436</v>
      </c>
      <c r="J40" t="s">
        <v>437</v>
      </c>
      <c r="K40" t="s">
        <v>438</v>
      </c>
      <c r="L40" t="s">
        <v>8</v>
      </c>
      <c r="M40" t="s">
        <v>408</v>
      </c>
      <c r="N40" t="s">
        <v>11</v>
      </c>
      <c r="O40" t="s">
        <v>11</v>
      </c>
      <c r="P40" t="s">
        <v>0</v>
      </c>
      <c r="Q40" t="s">
        <v>408</v>
      </c>
      <c r="R40" t="s">
        <v>439</v>
      </c>
      <c r="S40" t="s">
        <v>440</v>
      </c>
      <c r="T40" t="s">
        <v>11</v>
      </c>
      <c r="U40" t="s">
        <v>408</v>
      </c>
    </row>
    <row r="41" spans="1:21" x14ac:dyDescent="0.25">
      <c r="A41">
        <v>1318121</v>
      </c>
      <c r="B41" t="s">
        <v>340</v>
      </c>
      <c r="C41" t="s">
        <v>26</v>
      </c>
      <c r="D41" t="s">
        <v>79</v>
      </c>
      <c r="E41" t="s">
        <v>598</v>
      </c>
      <c r="F41" t="s">
        <v>299</v>
      </c>
      <c r="G41" t="s">
        <v>369</v>
      </c>
      <c r="H41" t="s">
        <v>0</v>
      </c>
      <c r="I41" t="s">
        <v>436</v>
      </c>
      <c r="J41" t="s">
        <v>437</v>
      </c>
      <c r="K41" t="s">
        <v>438</v>
      </c>
      <c r="L41" t="s">
        <v>151</v>
      </c>
      <c r="M41" t="s">
        <v>408</v>
      </c>
      <c r="N41" t="s">
        <v>11</v>
      </c>
      <c r="O41" t="s">
        <v>11</v>
      </c>
      <c r="P41" t="s">
        <v>0</v>
      </c>
      <c r="Q41" t="s">
        <v>408</v>
      </c>
      <c r="R41" t="s">
        <v>439</v>
      </c>
      <c r="S41" t="s">
        <v>440</v>
      </c>
      <c r="T41" t="s">
        <v>11</v>
      </c>
      <c r="U41" t="s">
        <v>408</v>
      </c>
    </row>
    <row r="42" spans="1:21" x14ac:dyDescent="0.25">
      <c r="A42">
        <v>1318124</v>
      </c>
      <c r="B42" t="s">
        <v>340</v>
      </c>
      <c r="C42" t="s">
        <v>26</v>
      </c>
      <c r="D42" t="s">
        <v>24</v>
      </c>
      <c r="E42" t="s">
        <v>700</v>
      </c>
      <c r="F42" t="s">
        <v>298</v>
      </c>
      <c r="G42" t="s">
        <v>369</v>
      </c>
      <c r="H42" t="s">
        <v>0</v>
      </c>
      <c r="I42" t="s">
        <v>436</v>
      </c>
      <c r="J42" t="s">
        <v>437</v>
      </c>
      <c r="K42" t="s">
        <v>438</v>
      </c>
      <c r="L42" t="s">
        <v>8</v>
      </c>
      <c r="M42" t="s">
        <v>408</v>
      </c>
      <c r="N42" t="s">
        <v>11</v>
      </c>
      <c r="O42" t="s">
        <v>11</v>
      </c>
      <c r="P42" t="s">
        <v>0</v>
      </c>
      <c r="Q42" t="s">
        <v>408</v>
      </c>
      <c r="R42" t="s">
        <v>439</v>
      </c>
      <c r="S42" t="s">
        <v>440</v>
      </c>
      <c r="T42" t="s">
        <v>11</v>
      </c>
      <c r="U42" t="s">
        <v>408</v>
      </c>
    </row>
    <row r="43" spans="1:21" x14ac:dyDescent="0.25">
      <c r="A43">
        <v>1321994</v>
      </c>
      <c r="B43" t="s">
        <v>340</v>
      </c>
      <c r="C43" t="s">
        <v>26</v>
      </c>
      <c r="D43" t="s">
        <v>79</v>
      </c>
      <c r="E43" t="s">
        <v>598</v>
      </c>
      <c r="F43" t="s">
        <v>166</v>
      </c>
      <c r="G43" t="s">
        <v>369</v>
      </c>
      <c r="H43" t="s">
        <v>350</v>
      </c>
      <c r="I43" t="s">
        <v>436</v>
      </c>
      <c r="J43" t="s">
        <v>566</v>
      </c>
      <c r="K43" t="s">
        <v>701</v>
      </c>
      <c r="L43" t="s">
        <v>3</v>
      </c>
      <c r="M43" t="s">
        <v>408</v>
      </c>
      <c r="N43" t="s">
        <v>11</v>
      </c>
      <c r="O43" t="s">
        <v>11</v>
      </c>
      <c r="P43" t="s">
        <v>6</v>
      </c>
      <c r="Q43" t="s">
        <v>408</v>
      </c>
      <c r="R43" t="s">
        <v>439</v>
      </c>
      <c r="S43" t="s">
        <v>440</v>
      </c>
      <c r="T43" t="s">
        <v>11</v>
      </c>
      <c r="U43" t="s">
        <v>408</v>
      </c>
    </row>
    <row r="44" spans="1:21" x14ac:dyDescent="0.25">
      <c r="A44">
        <v>1347970</v>
      </c>
      <c r="B44" t="s">
        <v>342</v>
      </c>
      <c r="C44" t="s">
        <v>38</v>
      </c>
      <c r="D44" t="s">
        <v>24</v>
      </c>
      <c r="E44" t="s">
        <v>702</v>
      </c>
      <c r="F44" t="s">
        <v>297</v>
      </c>
      <c r="G44" t="s">
        <v>369</v>
      </c>
      <c r="H44" t="s">
        <v>0</v>
      </c>
      <c r="I44" t="s">
        <v>436</v>
      </c>
      <c r="J44" t="s">
        <v>437</v>
      </c>
      <c r="K44" t="s">
        <v>438</v>
      </c>
      <c r="L44" t="s">
        <v>6</v>
      </c>
      <c r="M44" t="s">
        <v>408</v>
      </c>
      <c r="N44" t="s">
        <v>11</v>
      </c>
      <c r="O44" t="s">
        <v>11</v>
      </c>
      <c r="P44" t="s">
        <v>6</v>
      </c>
      <c r="Q44" t="s">
        <v>408</v>
      </c>
      <c r="R44" t="s">
        <v>439</v>
      </c>
      <c r="S44" t="s">
        <v>440</v>
      </c>
      <c r="T44" t="s">
        <v>11</v>
      </c>
      <c r="U44" t="s">
        <v>408</v>
      </c>
    </row>
    <row r="45" spans="1:21" x14ac:dyDescent="0.25">
      <c r="A45">
        <v>1381760</v>
      </c>
      <c r="B45" t="s">
        <v>340</v>
      </c>
      <c r="C45" t="s">
        <v>26</v>
      </c>
      <c r="D45" t="s">
        <v>24</v>
      </c>
      <c r="E45" t="s">
        <v>703</v>
      </c>
      <c r="F45" t="s">
        <v>149</v>
      </c>
      <c r="G45" t="s">
        <v>369</v>
      </c>
      <c r="H45" t="s">
        <v>2</v>
      </c>
      <c r="I45" t="s">
        <v>436</v>
      </c>
      <c r="J45" t="s">
        <v>443</v>
      </c>
      <c r="K45" t="s">
        <v>444</v>
      </c>
      <c r="L45" t="s">
        <v>0</v>
      </c>
      <c r="M45" t="s">
        <v>408</v>
      </c>
      <c r="N45" t="s">
        <v>11</v>
      </c>
      <c r="O45" t="s">
        <v>11</v>
      </c>
      <c r="P45" t="s">
        <v>341</v>
      </c>
      <c r="Q45" t="s">
        <v>408</v>
      </c>
      <c r="R45" t="s">
        <v>439</v>
      </c>
      <c r="S45" t="s">
        <v>440</v>
      </c>
      <c r="T45" t="s">
        <v>11</v>
      </c>
      <c r="U45" t="s">
        <v>408</v>
      </c>
    </row>
    <row r="46" spans="1:21" x14ac:dyDescent="0.25">
      <c r="A46">
        <v>1381761</v>
      </c>
      <c r="B46" t="s">
        <v>340</v>
      </c>
      <c r="C46" t="s">
        <v>26</v>
      </c>
      <c r="D46" t="s">
        <v>79</v>
      </c>
      <c r="E46" t="s">
        <v>703</v>
      </c>
      <c r="F46" t="s">
        <v>149</v>
      </c>
      <c r="G46" t="s">
        <v>369</v>
      </c>
      <c r="H46" t="s">
        <v>0</v>
      </c>
      <c r="I46" t="s">
        <v>436</v>
      </c>
      <c r="J46" t="s">
        <v>437</v>
      </c>
      <c r="K46" t="s">
        <v>438</v>
      </c>
      <c r="L46" t="s">
        <v>341</v>
      </c>
      <c r="M46" t="s">
        <v>408</v>
      </c>
      <c r="N46" t="s">
        <v>11</v>
      </c>
      <c r="O46" t="s">
        <v>11</v>
      </c>
      <c r="P46" t="s">
        <v>341</v>
      </c>
      <c r="Q46" t="s">
        <v>408</v>
      </c>
      <c r="R46" t="s">
        <v>439</v>
      </c>
      <c r="S46" t="s">
        <v>440</v>
      </c>
      <c r="T46" t="s">
        <v>11</v>
      </c>
      <c r="U46" t="s">
        <v>408</v>
      </c>
    </row>
    <row r="47" spans="1:21" x14ac:dyDescent="0.25">
      <c r="A47">
        <v>1381763</v>
      </c>
      <c r="B47" t="s">
        <v>340</v>
      </c>
      <c r="C47" t="s">
        <v>26</v>
      </c>
      <c r="D47" t="s">
        <v>24</v>
      </c>
      <c r="E47" t="s">
        <v>703</v>
      </c>
      <c r="F47" t="s">
        <v>149</v>
      </c>
      <c r="G47" t="s">
        <v>369</v>
      </c>
      <c r="H47" t="s">
        <v>2</v>
      </c>
      <c r="I47" t="s">
        <v>436</v>
      </c>
      <c r="J47" t="s">
        <v>443</v>
      </c>
      <c r="K47" t="s">
        <v>444</v>
      </c>
      <c r="L47" t="s">
        <v>347</v>
      </c>
      <c r="M47" t="s">
        <v>408</v>
      </c>
      <c r="N47" t="s">
        <v>11</v>
      </c>
      <c r="O47" t="s">
        <v>11</v>
      </c>
      <c r="P47" t="s">
        <v>341</v>
      </c>
      <c r="Q47" t="s">
        <v>408</v>
      </c>
      <c r="R47" t="s">
        <v>439</v>
      </c>
      <c r="S47" t="s">
        <v>440</v>
      </c>
      <c r="T47" t="s">
        <v>11</v>
      </c>
      <c r="U47" t="s">
        <v>408</v>
      </c>
    </row>
    <row r="48" spans="1:21" x14ac:dyDescent="0.25">
      <c r="A48">
        <v>1381768</v>
      </c>
      <c r="B48" t="s">
        <v>340</v>
      </c>
      <c r="C48" t="s">
        <v>26</v>
      </c>
      <c r="D48" t="s">
        <v>24</v>
      </c>
      <c r="E48" t="s">
        <v>703</v>
      </c>
      <c r="F48" t="s">
        <v>149</v>
      </c>
      <c r="G48" t="s">
        <v>369</v>
      </c>
      <c r="H48" t="s">
        <v>0</v>
      </c>
      <c r="I48" t="s">
        <v>436</v>
      </c>
      <c r="J48" t="s">
        <v>437</v>
      </c>
      <c r="K48" t="s">
        <v>438</v>
      </c>
      <c r="L48" t="s">
        <v>341</v>
      </c>
      <c r="M48" t="s">
        <v>408</v>
      </c>
      <c r="N48" t="s">
        <v>11</v>
      </c>
      <c r="O48" t="s">
        <v>11</v>
      </c>
      <c r="P48" t="s">
        <v>341</v>
      </c>
      <c r="Q48" t="s">
        <v>408</v>
      </c>
      <c r="R48" t="s">
        <v>439</v>
      </c>
      <c r="S48" t="s">
        <v>440</v>
      </c>
      <c r="T48" t="s">
        <v>11</v>
      </c>
      <c r="U48" t="s">
        <v>408</v>
      </c>
    </row>
    <row r="49" spans="1:21" x14ac:dyDescent="0.25">
      <c r="A49">
        <v>1381782</v>
      </c>
      <c r="B49" t="s">
        <v>340</v>
      </c>
      <c r="C49" t="s">
        <v>26</v>
      </c>
      <c r="D49" t="s">
        <v>79</v>
      </c>
      <c r="E49" t="s">
        <v>599</v>
      </c>
      <c r="F49" t="s">
        <v>148</v>
      </c>
      <c r="G49" t="s">
        <v>369</v>
      </c>
      <c r="H49" t="s">
        <v>2</v>
      </c>
      <c r="I49" t="s">
        <v>436</v>
      </c>
      <c r="J49" t="s">
        <v>443</v>
      </c>
      <c r="K49" t="s">
        <v>444</v>
      </c>
      <c r="L49" t="s">
        <v>341</v>
      </c>
      <c r="M49" t="s">
        <v>408</v>
      </c>
      <c r="N49" t="s">
        <v>11</v>
      </c>
      <c r="O49" t="s">
        <v>11</v>
      </c>
      <c r="P49" t="s">
        <v>341</v>
      </c>
      <c r="Q49" t="s">
        <v>408</v>
      </c>
      <c r="R49" t="s">
        <v>439</v>
      </c>
      <c r="S49" t="s">
        <v>440</v>
      </c>
      <c r="T49" t="s">
        <v>11</v>
      </c>
      <c r="U49" t="s">
        <v>408</v>
      </c>
    </row>
    <row r="50" spans="1:21" x14ac:dyDescent="0.25">
      <c r="A50">
        <v>1381790</v>
      </c>
      <c r="B50" t="s">
        <v>342</v>
      </c>
      <c r="C50" t="s">
        <v>38</v>
      </c>
      <c r="D50" t="s">
        <v>12</v>
      </c>
      <c r="E50" t="s">
        <v>699</v>
      </c>
      <c r="F50" t="s">
        <v>296</v>
      </c>
      <c r="G50" t="s">
        <v>369</v>
      </c>
      <c r="H50" t="s">
        <v>0</v>
      </c>
      <c r="I50" t="s">
        <v>436</v>
      </c>
      <c r="J50" t="s">
        <v>437</v>
      </c>
      <c r="K50" t="s">
        <v>438</v>
      </c>
      <c r="L50" t="s">
        <v>341</v>
      </c>
      <c r="M50" t="s">
        <v>408</v>
      </c>
      <c r="N50" t="s">
        <v>11</v>
      </c>
      <c r="O50" t="s">
        <v>11</v>
      </c>
      <c r="P50" t="s">
        <v>341</v>
      </c>
      <c r="Q50" t="s">
        <v>408</v>
      </c>
      <c r="R50" t="s">
        <v>439</v>
      </c>
      <c r="S50" t="s">
        <v>440</v>
      </c>
      <c r="T50" t="s">
        <v>11</v>
      </c>
      <c r="U50" t="s">
        <v>408</v>
      </c>
    </row>
    <row r="51" spans="1:21" x14ac:dyDescent="0.25">
      <c r="A51">
        <v>1381820</v>
      </c>
      <c r="B51" t="s">
        <v>340</v>
      </c>
      <c r="C51" t="s">
        <v>26</v>
      </c>
      <c r="D51" t="s">
        <v>24</v>
      </c>
      <c r="E51" t="s">
        <v>704</v>
      </c>
      <c r="F51" t="s">
        <v>330</v>
      </c>
      <c r="G51" t="s">
        <v>369</v>
      </c>
      <c r="H51" t="s">
        <v>1</v>
      </c>
      <c r="I51" t="s">
        <v>469</v>
      </c>
      <c r="J51" t="s">
        <v>445</v>
      </c>
      <c r="K51" t="s">
        <v>438</v>
      </c>
      <c r="L51" t="s">
        <v>0</v>
      </c>
      <c r="M51" t="s">
        <v>408</v>
      </c>
      <c r="N51" t="s">
        <v>11</v>
      </c>
      <c r="O51" t="s">
        <v>11</v>
      </c>
      <c r="P51" t="s">
        <v>6</v>
      </c>
      <c r="Q51" t="s">
        <v>408</v>
      </c>
      <c r="R51" t="s">
        <v>439</v>
      </c>
      <c r="S51" t="s">
        <v>440</v>
      </c>
      <c r="T51" t="s">
        <v>11</v>
      </c>
      <c r="U51" t="s">
        <v>408</v>
      </c>
    </row>
    <row r="52" spans="1:21" x14ac:dyDescent="0.25">
      <c r="A52">
        <v>2053297</v>
      </c>
      <c r="B52" t="s">
        <v>340</v>
      </c>
      <c r="C52" t="s">
        <v>26</v>
      </c>
      <c r="D52" t="s">
        <v>12</v>
      </c>
      <c r="E52" t="s">
        <v>705</v>
      </c>
      <c r="F52" t="s">
        <v>165</v>
      </c>
      <c r="G52" t="s">
        <v>369</v>
      </c>
      <c r="H52" t="s">
        <v>350</v>
      </c>
      <c r="I52" t="s">
        <v>436</v>
      </c>
      <c r="J52" t="s">
        <v>566</v>
      </c>
      <c r="K52" t="s">
        <v>701</v>
      </c>
      <c r="L52" t="s">
        <v>3</v>
      </c>
      <c r="M52" t="s">
        <v>408</v>
      </c>
      <c r="N52" t="s">
        <v>11</v>
      </c>
      <c r="O52" t="s">
        <v>11</v>
      </c>
      <c r="P52" t="s">
        <v>0</v>
      </c>
      <c r="Q52" t="s">
        <v>408</v>
      </c>
      <c r="R52" t="s">
        <v>439</v>
      </c>
      <c r="S52" t="s">
        <v>440</v>
      </c>
      <c r="T52" t="s">
        <v>11</v>
      </c>
      <c r="U52" t="s">
        <v>408</v>
      </c>
    </row>
    <row r="53" spans="1:21" x14ac:dyDescent="0.25">
      <c r="A53">
        <v>2054864</v>
      </c>
      <c r="B53" t="s">
        <v>342</v>
      </c>
      <c r="C53" t="s">
        <v>38</v>
      </c>
      <c r="D53" t="s">
        <v>12</v>
      </c>
      <c r="E53" t="s">
        <v>703</v>
      </c>
      <c r="F53" t="s">
        <v>295</v>
      </c>
      <c r="G53" t="s">
        <v>369</v>
      </c>
      <c r="H53" t="s">
        <v>0</v>
      </c>
      <c r="I53" t="s">
        <v>436</v>
      </c>
      <c r="J53" t="s">
        <v>437</v>
      </c>
      <c r="K53" t="s">
        <v>438</v>
      </c>
      <c r="L53" t="s">
        <v>344</v>
      </c>
      <c r="M53" t="s">
        <v>408</v>
      </c>
      <c r="N53" t="s">
        <v>11</v>
      </c>
      <c r="O53" t="s">
        <v>11</v>
      </c>
      <c r="P53" t="s">
        <v>344</v>
      </c>
      <c r="Q53" t="s">
        <v>408</v>
      </c>
      <c r="R53" t="s">
        <v>439</v>
      </c>
      <c r="S53" t="s">
        <v>440</v>
      </c>
      <c r="T53" t="s">
        <v>11</v>
      </c>
      <c r="U53" t="s">
        <v>408</v>
      </c>
    </row>
    <row r="54" spans="1:21" x14ac:dyDescent="0.25">
      <c r="A54">
        <v>2058325</v>
      </c>
      <c r="B54" t="s">
        <v>342</v>
      </c>
      <c r="C54" t="s">
        <v>38</v>
      </c>
      <c r="D54" t="s">
        <v>12</v>
      </c>
      <c r="E54" t="s">
        <v>703</v>
      </c>
      <c r="F54" t="s">
        <v>295</v>
      </c>
      <c r="G54" t="s">
        <v>369</v>
      </c>
      <c r="H54" t="s">
        <v>0</v>
      </c>
      <c r="I54" t="s">
        <v>436</v>
      </c>
      <c r="J54" t="s">
        <v>437</v>
      </c>
      <c r="K54" t="s">
        <v>438</v>
      </c>
      <c r="L54" t="s">
        <v>151</v>
      </c>
      <c r="M54" t="s">
        <v>408</v>
      </c>
      <c r="N54" t="s">
        <v>11</v>
      </c>
      <c r="O54" t="s">
        <v>408</v>
      </c>
      <c r="P54" t="s">
        <v>150</v>
      </c>
      <c r="Q54" t="s">
        <v>408</v>
      </c>
      <c r="R54" t="s">
        <v>439</v>
      </c>
      <c r="S54" t="s">
        <v>440</v>
      </c>
      <c r="T54" t="s">
        <v>11</v>
      </c>
      <c r="U54" t="s">
        <v>408</v>
      </c>
    </row>
    <row r="55" spans="1:21" x14ac:dyDescent="0.25">
      <c r="A55">
        <v>2547912</v>
      </c>
      <c r="B55" t="s">
        <v>342</v>
      </c>
      <c r="C55" t="s">
        <v>33</v>
      </c>
      <c r="D55" t="s">
        <v>12</v>
      </c>
      <c r="E55" t="s">
        <v>706</v>
      </c>
      <c r="F55" t="s">
        <v>292</v>
      </c>
      <c r="G55" t="s">
        <v>369</v>
      </c>
      <c r="H55" t="s">
        <v>0</v>
      </c>
      <c r="I55" t="s">
        <v>436</v>
      </c>
      <c r="J55" t="s">
        <v>437</v>
      </c>
      <c r="K55" t="s">
        <v>438</v>
      </c>
      <c r="L55" t="s">
        <v>345</v>
      </c>
      <c r="M55" t="s">
        <v>408</v>
      </c>
      <c r="N55" t="s">
        <v>11</v>
      </c>
      <c r="O55" t="s">
        <v>11</v>
      </c>
      <c r="P55" t="s">
        <v>0</v>
      </c>
      <c r="Q55" t="s">
        <v>408</v>
      </c>
      <c r="R55" t="s">
        <v>439</v>
      </c>
      <c r="S55" t="s">
        <v>440</v>
      </c>
      <c r="T55" t="s">
        <v>11</v>
      </c>
      <c r="U55" t="s">
        <v>408</v>
      </c>
    </row>
    <row r="56" spans="1:21" x14ac:dyDescent="0.25">
      <c r="A56">
        <v>2547943</v>
      </c>
      <c r="B56" t="s">
        <v>340</v>
      </c>
      <c r="C56" t="s">
        <v>26</v>
      </c>
      <c r="D56" t="s">
        <v>79</v>
      </c>
      <c r="E56" t="s">
        <v>600</v>
      </c>
      <c r="F56" t="s">
        <v>294</v>
      </c>
      <c r="G56" t="s">
        <v>369</v>
      </c>
      <c r="H56" t="s">
        <v>0</v>
      </c>
      <c r="I56" t="s">
        <v>436</v>
      </c>
      <c r="J56" t="s">
        <v>437</v>
      </c>
      <c r="K56" t="s">
        <v>438</v>
      </c>
      <c r="L56" t="s">
        <v>5</v>
      </c>
      <c r="M56" t="s">
        <v>408</v>
      </c>
      <c r="N56" t="s">
        <v>11</v>
      </c>
      <c r="O56" t="s">
        <v>11</v>
      </c>
      <c r="P56" t="s">
        <v>0</v>
      </c>
      <c r="Q56" t="s">
        <v>408</v>
      </c>
      <c r="R56" t="s">
        <v>439</v>
      </c>
      <c r="S56" t="s">
        <v>440</v>
      </c>
      <c r="T56" t="s">
        <v>11</v>
      </c>
      <c r="U56" t="s">
        <v>408</v>
      </c>
    </row>
    <row r="57" spans="1:21" x14ac:dyDescent="0.25">
      <c r="A57">
        <v>2547949</v>
      </c>
      <c r="B57" t="s">
        <v>340</v>
      </c>
      <c r="C57" t="s">
        <v>26</v>
      </c>
      <c r="D57" t="s">
        <v>12</v>
      </c>
      <c r="E57" t="s">
        <v>600</v>
      </c>
      <c r="F57" t="s">
        <v>294</v>
      </c>
      <c r="G57" t="s">
        <v>369</v>
      </c>
      <c r="H57" t="s">
        <v>0</v>
      </c>
      <c r="I57" t="s">
        <v>436</v>
      </c>
      <c r="J57" t="s">
        <v>437</v>
      </c>
      <c r="K57" t="s">
        <v>438</v>
      </c>
      <c r="L57" t="s">
        <v>345</v>
      </c>
      <c r="M57" t="s">
        <v>408</v>
      </c>
      <c r="N57" t="s">
        <v>11</v>
      </c>
      <c r="O57" t="s">
        <v>11</v>
      </c>
      <c r="P57" t="s">
        <v>0</v>
      </c>
      <c r="Q57" t="s">
        <v>408</v>
      </c>
      <c r="R57" t="s">
        <v>439</v>
      </c>
      <c r="S57" t="s">
        <v>440</v>
      </c>
      <c r="T57" t="s">
        <v>11</v>
      </c>
      <c r="U57" t="s">
        <v>408</v>
      </c>
    </row>
    <row r="58" spans="1:21" x14ac:dyDescent="0.25">
      <c r="A58">
        <v>2547954</v>
      </c>
      <c r="B58" t="s">
        <v>340</v>
      </c>
      <c r="C58" t="s">
        <v>26</v>
      </c>
      <c r="D58" t="s">
        <v>79</v>
      </c>
      <c r="E58" t="s">
        <v>706</v>
      </c>
      <c r="F58" t="s">
        <v>292</v>
      </c>
      <c r="G58" t="s">
        <v>369</v>
      </c>
      <c r="H58" t="s">
        <v>0</v>
      </c>
      <c r="I58" t="s">
        <v>436</v>
      </c>
      <c r="J58" t="s">
        <v>437</v>
      </c>
      <c r="K58" t="s">
        <v>438</v>
      </c>
      <c r="L58" t="s">
        <v>151</v>
      </c>
      <c r="M58" t="s">
        <v>408</v>
      </c>
      <c r="N58" t="s">
        <v>11</v>
      </c>
      <c r="O58" t="s">
        <v>11</v>
      </c>
      <c r="P58" t="s">
        <v>0</v>
      </c>
      <c r="Q58" t="s">
        <v>408</v>
      </c>
      <c r="R58" t="s">
        <v>439</v>
      </c>
      <c r="S58" t="s">
        <v>440</v>
      </c>
      <c r="T58" t="s">
        <v>11</v>
      </c>
      <c r="U58" t="s">
        <v>408</v>
      </c>
    </row>
    <row r="59" spans="1:21" x14ac:dyDescent="0.25">
      <c r="A59">
        <v>2547991</v>
      </c>
      <c r="B59" t="s">
        <v>340</v>
      </c>
      <c r="C59" t="s">
        <v>26</v>
      </c>
      <c r="D59" t="s">
        <v>18</v>
      </c>
      <c r="E59" t="s">
        <v>540</v>
      </c>
      <c r="F59" t="s">
        <v>293</v>
      </c>
      <c r="G59" t="s">
        <v>369</v>
      </c>
      <c r="H59" t="s">
        <v>0</v>
      </c>
      <c r="I59" t="s">
        <v>436</v>
      </c>
      <c r="J59" t="s">
        <v>437</v>
      </c>
      <c r="K59" t="s">
        <v>438</v>
      </c>
      <c r="L59" t="s">
        <v>5</v>
      </c>
      <c r="M59" t="s">
        <v>408</v>
      </c>
      <c r="N59" t="s">
        <v>11</v>
      </c>
      <c r="O59" t="s">
        <v>11</v>
      </c>
      <c r="P59" t="s">
        <v>0</v>
      </c>
      <c r="Q59" t="s">
        <v>408</v>
      </c>
      <c r="R59" t="s">
        <v>439</v>
      </c>
      <c r="S59" t="s">
        <v>440</v>
      </c>
      <c r="T59" t="s">
        <v>11</v>
      </c>
      <c r="U59" t="s">
        <v>408</v>
      </c>
    </row>
    <row r="60" spans="1:21" x14ac:dyDescent="0.25">
      <c r="A60">
        <v>2548127</v>
      </c>
      <c r="B60" t="s">
        <v>340</v>
      </c>
      <c r="C60" t="s">
        <v>26</v>
      </c>
      <c r="D60" t="s">
        <v>12</v>
      </c>
      <c r="E60" t="s">
        <v>706</v>
      </c>
      <c r="F60" t="s">
        <v>292</v>
      </c>
      <c r="G60" t="s">
        <v>369</v>
      </c>
      <c r="H60" t="s">
        <v>0</v>
      </c>
      <c r="I60" t="s">
        <v>436</v>
      </c>
      <c r="J60" t="s">
        <v>437</v>
      </c>
      <c r="K60" t="s">
        <v>438</v>
      </c>
      <c r="L60" t="s">
        <v>1</v>
      </c>
      <c r="M60" t="s">
        <v>408</v>
      </c>
      <c r="N60" t="s">
        <v>11</v>
      </c>
      <c r="O60" t="s">
        <v>408</v>
      </c>
      <c r="P60" t="s">
        <v>6</v>
      </c>
      <c r="Q60" t="s">
        <v>408</v>
      </c>
      <c r="R60" t="s">
        <v>439</v>
      </c>
      <c r="S60" t="s">
        <v>440</v>
      </c>
      <c r="T60" t="s">
        <v>11</v>
      </c>
      <c r="U60" t="s">
        <v>408</v>
      </c>
    </row>
    <row r="61" spans="1:21" x14ac:dyDescent="0.25">
      <c r="A61">
        <v>2548143</v>
      </c>
      <c r="B61" t="s">
        <v>340</v>
      </c>
      <c r="C61" t="s">
        <v>26</v>
      </c>
      <c r="D61" t="s">
        <v>109</v>
      </c>
      <c r="E61" t="s">
        <v>707</v>
      </c>
      <c r="F61" t="s">
        <v>269</v>
      </c>
      <c r="G61" t="s">
        <v>369</v>
      </c>
      <c r="H61" t="s">
        <v>0</v>
      </c>
      <c r="I61" t="s">
        <v>436</v>
      </c>
      <c r="J61" t="s">
        <v>437</v>
      </c>
      <c r="K61" t="s">
        <v>438</v>
      </c>
      <c r="L61" t="s">
        <v>1</v>
      </c>
      <c r="M61" t="s">
        <v>408</v>
      </c>
      <c r="N61" t="s">
        <v>11</v>
      </c>
      <c r="O61" t="s">
        <v>11</v>
      </c>
      <c r="P61" t="s">
        <v>6</v>
      </c>
      <c r="Q61" t="s">
        <v>408</v>
      </c>
      <c r="R61" t="s">
        <v>439</v>
      </c>
      <c r="S61" t="s">
        <v>440</v>
      </c>
      <c r="T61" t="s">
        <v>11</v>
      </c>
      <c r="U61" t="s">
        <v>408</v>
      </c>
    </row>
    <row r="62" spans="1:21" x14ac:dyDescent="0.25">
      <c r="A62">
        <v>3583874</v>
      </c>
      <c r="B62" t="s">
        <v>342</v>
      </c>
      <c r="C62" t="s">
        <v>33</v>
      </c>
      <c r="D62" t="s">
        <v>12</v>
      </c>
      <c r="E62" t="s">
        <v>708</v>
      </c>
      <c r="F62" t="s">
        <v>147</v>
      </c>
      <c r="G62" t="s">
        <v>369</v>
      </c>
      <c r="H62" t="s">
        <v>5</v>
      </c>
      <c r="I62" t="s">
        <v>436</v>
      </c>
      <c r="J62" t="s">
        <v>446</v>
      </c>
      <c r="K62" t="s">
        <v>438</v>
      </c>
      <c r="L62" t="s">
        <v>2</v>
      </c>
      <c r="M62" t="s">
        <v>408</v>
      </c>
      <c r="N62" t="s">
        <v>11</v>
      </c>
      <c r="O62" t="s">
        <v>11</v>
      </c>
      <c r="P62" t="s">
        <v>77</v>
      </c>
      <c r="Q62" t="s">
        <v>408</v>
      </c>
      <c r="R62" t="s">
        <v>439</v>
      </c>
      <c r="S62" t="s">
        <v>440</v>
      </c>
      <c r="T62" t="s">
        <v>11</v>
      </c>
      <c r="U62" t="s">
        <v>408</v>
      </c>
    </row>
    <row r="63" spans="1:21" x14ac:dyDescent="0.25">
      <c r="A63">
        <v>6104909</v>
      </c>
      <c r="B63" t="s">
        <v>342</v>
      </c>
      <c r="C63" t="s">
        <v>33</v>
      </c>
      <c r="D63" t="s">
        <v>12</v>
      </c>
      <c r="E63" t="s">
        <v>709</v>
      </c>
      <c r="F63" t="s">
        <v>111</v>
      </c>
      <c r="G63" t="s">
        <v>369</v>
      </c>
      <c r="H63" t="s">
        <v>0</v>
      </c>
      <c r="I63" t="s">
        <v>436</v>
      </c>
      <c r="J63" t="s">
        <v>437</v>
      </c>
      <c r="K63" t="s">
        <v>438</v>
      </c>
      <c r="L63" t="s">
        <v>345</v>
      </c>
      <c r="M63" t="s">
        <v>408</v>
      </c>
      <c r="N63" t="s">
        <v>11</v>
      </c>
      <c r="O63" t="s">
        <v>11</v>
      </c>
      <c r="P63" t="s">
        <v>0</v>
      </c>
      <c r="Q63" t="s">
        <v>408</v>
      </c>
      <c r="R63" t="s">
        <v>439</v>
      </c>
      <c r="S63" t="s">
        <v>440</v>
      </c>
      <c r="T63" t="s">
        <v>11</v>
      </c>
      <c r="U63" t="s">
        <v>408</v>
      </c>
    </row>
    <row r="64" spans="1:21" x14ac:dyDescent="0.25">
      <c r="A64">
        <v>6104919</v>
      </c>
      <c r="B64" t="s">
        <v>342</v>
      </c>
      <c r="C64" t="s">
        <v>33</v>
      </c>
      <c r="D64" t="s">
        <v>125</v>
      </c>
      <c r="E64" t="s">
        <v>470</v>
      </c>
      <c r="F64" t="s">
        <v>291</v>
      </c>
      <c r="G64" t="s">
        <v>369</v>
      </c>
      <c r="H64" t="s">
        <v>0</v>
      </c>
      <c r="I64" t="s">
        <v>436</v>
      </c>
      <c r="J64" t="s">
        <v>437</v>
      </c>
      <c r="K64" t="s">
        <v>438</v>
      </c>
      <c r="L64" t="s">
        <v>345</v>
      </c>
      <c r="M64" t="s">
        <v>408</v>
      </c>
      <c r="N64" t="s">
        <v>11</v>
      </c>
      <c r="O64" t="s">
        <v>11</v>
      </c>
      <c r="P64" t="s">
        <v>0</v>
      </c>
      <c r="Q64" t="s">
        <v>408</v>
      </c>
      <c r="R64" t="s">
        <v>439</v>
      </c>
      <c r="S64" t="s">
        <v>440</v>
      </c>
      <c r="T64" t="s">
        <v>11</v>
      </c>
      <c r="U64" t="s">
        <v>408</v>
      </c>
    </row>
    <row r="65" spans="1:21" x14ac:dyDescent="0.25">
      <c r="A65">
        <v>6104921</v>
      </c>
      <c r="B65" t="s">
        <v>340</v>
      </c>
      <c r="C65" t="s">
        <v>26</v>
      </c>
      <c r="D65" t="s">
        <v>18</v>
      </c>
      <c r="E65" t="s">
        <v>466</v>
      </c>
      <c r="F65" t="s">
        <v>290</v>
      </c>
      <c r="G65" t="s">
        <v>369</v>
      </c>
      <c r="H65" t="s">
        <v>0</v>
      </c>
      <c r="I65" t="s">
        <v>436</v>
      </c>
      <c r="J65" t="s">
        <v>437</v>
      </c>
      <c r="K65" t="s">
        <v>438</v>
      </c>
      <c r="L65" t="s">
        <v>345</v>
      </c>
      <c r="M65" t="s">
        <v>408</v>
      </c>
      <c r="N65" t="s">
        <v>11</v>
      </c>
      <c r="O65" t="s">
        <v>11</v>
      </c>
      <c r="P65" t="s">
        <v>0</v>
      </c>
      <c r="Q65" t="s">
        <v>408</v>
      </c>
      <c r="R65" t="s">
        <v>439</v>
      </c>
      <c r="S65" t="s">
        <v>440</v>
      </c>
      <c r="T65" t="s">
        <v>11</v>
      </c>
      <c r="U65" t="s">
        <v>408</v>
      </c>
    </row>
    <row r="66" spans="1:21" x14ac:dyDescent="0.25">
      <c r="A66">
        <v>6104922</v>
      </c>
      <c r="B66" t="s">
        <v>340</v>
      </c>
      <c r="C66" t="s">
        <v>26</v>
      </c>
      <c r="D66" t="s">
        <v>109</v>
      </c>
      <c r="E66" t="s">
        <v>529</v>
      </c>
      <c r="F66" t="s">
        <v>288</v>
      </c>
      <c r="G66" t="s">
        <v>369</v>
      </c>
      <c r="H66" t="s">
        <v>0</v>
      </c>
      <c r="I66" t="s">
        <v>436</v>
      </c>
      <c r="J66" t="s">
        <v>437</v>
      </c>
      <c r="K66" t="s">
        <v>438</v>
      </c>
      <c r="L66" t="s">
        <v>345</v>
      </c>
      <c r="M66" t="s">
        <v>408</v>
      </c>
      <c r="N66" t="s">
        <v>11</v>
      </c>
      <c r="O66" t="s">
        <v>11</v>
      </c>
      <c r="P66" t="s">
        <v>0</v>
      </c>
      <c r="Q66" t="s">
        <v>408</v>
      </c>
      <c r="R66" t="s">
        <v>439</v>
      </c>
      <c r="S66" t="s">
        <v>440</v>
      </c>
      <c r="T66" t="s">
        <v>11</v>
      </c>
      <c r="U66" t="s">
        <v>408</v>
      </c>
    </row>
    <row r="67" spans="1:21" x14ac:dyDescent="0.25">
      <c r="A67">
        <v>6104945</v>
      </c>
      <c r="B67" t="s">
        <v>342</v>
      </c>
      <c r="C67" t="s">
        <v>33</v>
      </c>
      <c r="D67" t="s">
        <v>12</v>
      </c>
      <c r="E67" t="s">
        <v>516</v>
      </c>
      <c r="F67" t="s">
        <v>289</v>
      </c>
      <c r="G67" t="s">
        <v>369</v>
      </c>
      <c r="H67" t="s">
        <v>0</v>
      </c>
      <c r="I67" t="s">
        <v>436</v>
      </c>
      <c r="J67" t="s">
        <v>437</v>
      </c>
      <c r="K67" t="s">
        <v>438</v>
      </c>
      <c r="L67" t="s">
        <v>345</v>
      </c>
      <c r="M67" t="s">
        <v>408</v>
      </c>
      <c r="N67" t="s">
        <v>11</v>
      </c>
      <c r="O67" t="s">
        <v>11</v>
      </c>
      <c r="P67" t="s">
        <v>0</v>
      </c>
      <c r="Q67" t="s">
        <v>408</v>
      </c>
      <c r="R67" t="s">
        <v>439</v>
      </c>
      <c r="S67" t="s">
        <v>440</v>
      </c>
      <c r="T67" t="s">
        <v>11</v>
      </c>
      <c r="U67" t="s">
        <v>408</v>
      </c>
    </row>
    <row r="68" spans="1:21" x14ac:dyDescent="0.25">
      <c r="A68">
        <v>6104947</v>
      </c>
      <c r="B68" t="s">
        <v>342</v>
      </c>
      <c r="C68" t="s">
        <v>33</v>
      </c>
      <c r="D68" t="s">
        <v>79</v>
      </c>
      <c r="E68" t="s">
        <v>602</v>
      </c>
      <c r="F68" t="s">
        <v>219</v>
      </c>
      <c r="G68" t="s">
        <v>369</v>
      </c>
      <c r="H68" t="s">
        <v>0</v>
      </c>
      <c r="I68" t="s">
        <v>436</v>
      </c>
      <c r="J68" t="s">
        <v>437</v>
      </c>
      <c r="K68" t="s">
        <v>438</v>
      </c>
      <c r="L68" t="s">
        <v>151</v>
      </c>
      <c r="M68" t="s">
        <v>408</v>
      </c>
      <c r="N68" t="s">
        <v>11</v>
      </c>
      <c r="O68" t="s">
        <v>408</v>
      </c>
      <c r="P68" t="s">
        <v>0</v>
      </c>
      <c r="Q68" t="s">
        <v>408</v>
      </c>
      <c r="R68" t="s">
        <v>439</v>
      </c>
      <c r="S68" t="s">
        <v>440</v>
      </c>
      <c r="T68" t="s">
        <v>11</v>
      </c>
      <c r="U68" t="s">
        <v>408</v>
      </c>
    </row>
    <row r="69" spans="1:21" x14ac:dyDescent="0.25">
      <c r="A69">
        <v>6104948</v>
      </c>
      <c r="B69" t="s">
        <v>340</v>
      </c>
      <c r="C69" t="s">
        <v>26</v>
      </c>
      <c r="D69" t="s">
        <v>12</v>
      </c>
      <c r="E69" t="s">
        <v>602</v>
      </c>
      <c r="F69" t="s">
        <v>219</v>
      </c>
      <c r="G69" t="s">
        <v>369</v>
      </c>
      <c r="H69" t="s">
        <v>0</v>
      </c>
      <c r="I69" t="s">
        <v>436</v>
      </c>
      <c r="J69" t="s">
        <v>437</v>
      </c>
      <c r="K69" t="s">
        <v>438</v>
      </c>
      <c r="L69" t="s">
        <v>5</v>
      </c>
      <c r="M69" t="s">
        <v>408</v>
      </c>
      <c r="N69" t="s">
        <v>11</v>
      </c>
      <c r="O69" t="s">
        <v>11</v>
      </c>
      <c r="P69" t="s">
        <v>0</v>
      </c>
      <c r="Q69" t="s">
        <v>408</v>
      </c>
      <c r="R69" t="s">
        <v>439</v>
      </c>
      <c r="S69" t="s">
        <v>440</v>
      </c>
      <c r="T69" t="s">
        <v>11</v>
      </c>
      <c r="U69" t="s">
        <v>408</v>
      </c>
    </row>
    <row r="70" spans="1:21" x14ac:dyDescent="0.25">
      <c r="A70">
        <v>6104955</v>
      </c>
      <c r="B70" t="s">
        <v>340</v>
      </c>
      <c r="C70" t="s">
        <v>26</v>
      </c>
      <c r="D70" t="s">
        <v>18</v>
      </c>
      <c r="E70" t="s">
        <v>602</v>
      </c>
      <c r="F70" t="s">
        <v>219</v>
      </c>
      <c r="G70" t="s">
        <v>369</v>
      </c>
      <c r="H70" t="s">
        <v>0</v>
      </c>
      <c r="I70" t="s">
        <v>436</v>
      </c>
      <c r="J70" t="s">
        <v>437</v>
      </c>
      <c r="K70" t="s">
        <v>438</v>
      </c>
      <c r="L70" t="s">
        <v>1</v>
      </c>
      <c r="M70" t="s">
        <v>408</v>
      </c>
      <c r="N70" t="s">
        <v>11</v>
      </c>
      <c r="O70" t="s">
        <v>11</v>
      </c>
      <c r="P70" t="s">
        <v>0</v>
      </c>
      <c r="Q70" t="s">
        <v>408</v>
      </c>
      <c r="R70" t="s">
        <v>439</v>
      </c>
      <c r="S70" t="s">
        <v>440</v>
      </c>
      <c r="T70" t="s">
        <v>11</v>
      </c>
      <c r="U70" t="s">
        <v>408</v>
      </c>
    </row>
    <row r="71" spans="1:21" x14ac:dyDescent="0.25">
      <c r="A71">
        <v>6104967</v>
      </c>
      <c r="B71" t="s">
        <v>340</v>
      </c>
      <c r="C71" t="s">
        <v>26</v>
      </c>
      <c r="D71" t="s">
        <v>12</v>
      </c>
      <c r="E71" t="s">
        <v>602</v>
      </c>
      <c r="F71" t="s">
        <v>219</v>
      </c>
      <c r="G71" t="s">
        <v>369</v>
      </c>
      <c r="H71" t="s">
        <v>0</v>
      </c>
      <c r="I71" t="s">
        <v>436</v>
      </c>
      <c r="J71" t="s">
        <v>437</v>
      </c>
      <c r="K71" t="s">
        <v>438</v>
      </c>
      <c r="L71" t="s">
        <v>5</v>
      </c>
      <c r="M71" t="s">
        <v>408</v>
      </c>
      <c r="N71" t="s">
        <v>11</v>
      </c>
      <c r="O71" t="s">
        <v>11</v>
      </c>
      <c r="P71" t="s">
        <v>0</v>
      </c>
      <c r="Q71" t="s">
        <v>408</v>
      </c>
      <c r="R71" t="s">
        <v>439</v>
      </c>
      <c r="S71" t="s">
        <v>440</v>
      </c>
      <c r="T71" t="s">
        <v>11</v>
      </c>
      <c r="U71" t="s">
        <v>408</v>
      </c>
    </row>
    <row r="72" spans="1:21" x14ac:dyDescent="0.25">
      <c r="A72">
        <v>6104976</v>
      </c>
      <c r="B72" t="s">
        <v>340</v>
      </c>
      <c r="C72" t="s">
        <v>26</v>
      </c>
      <c r="D72" t="s">
        <v>12</v>
      </c>
      <c r="E72" t="s">
        <v>709</v>
      </c>
      <c r="F72" t="s">
        <v>111</v>
      </c>
      <c r="G72" t="s">
        <v>369</v>
      </c>
      <c r="H72" t="s">
        <v>0</v>
      </c>
      <c r="I72" t="s">
        <v>436</v>
      </c>
      <c r="J72" t="s">
        <v>437</v>
      </c>
      <c r="K72" t="s">
        <v>438</v>
      </c>
      <c r="L72" t="s">
        <v>1</v>
      </c>
      <c r="M72" t="s">
        <v>408</v>
      </c>
      <c r="N72" t="s">
        <v>11</v>
      </c>
      <c r="O72" t="s">
        <v>11</v>
      </c>
      <c r="P72" t="s">
        <v>0</v>
      </c>
      <c r="Q72" t="s">
        <v>408</v>
      </c>
      <c r="R72" t="s">
        <v>439</v>
      </c>
      <c r="S72" t="s">
        <v>440</v>
      </c>
      <c r="T72" t="s">
        <v>11</v>
      </c>
      <c r="U72" t="s">
        <v>408</v>
      </c>
    </row>
    <row r="73" spans="1:21" x14ac:dyDescent="0.25">
      <c r="A73">
        <v>6104981</v>
      </c>
      <c r="B73" t="s">
        <v>340</v>
      </c>
      <c r="C73" t="s">
        <v>26</v>
      </c>
      <c r="D73" t="s">
        <v>12</v>
      </c>
      <c r="E73" t="s">
        <v>709</v>
      </c>
      <c r="F73" t="s">
        <v>111</v>
      </c>
      <c r="G73" t="s">
        <v>369</v>
      </c>
      <c r="H73" t="s">
        <v>0</v>
      </c>
      <c r="I73" t="s">
        <v>436</v>
      </c>
      <c r="J73" t="s">
        <v>437</v>
      </c>
      <c r="K73" t="s">
        <v>438</v>
      </c>
      <c r="L73" t="s">
        <v>4</v>
      </c>
      <c r="M73" t="s">
        <v>408</v>
      </c>
      <c r="N73" t="s">
        <v>11</v>
      </c>
      <c r="O73" t="s">
        <v>11</v>
      </c>
      <c r="P73" t="s">
        <v>0</v>
      </c>
      <c r="Q73" t="s">
        <v>408</v>
      </c>
      <c r="R73" t="s">
        <v>439</v>
      </c>
      <c r="S73" t="s">
        <v>440</v>
      </c>
      <c r="T73" t="s">
        <v>11</v>
      </c>
      <c r="U73" t="s">
        <v>408</v>
      </c>
    </row>
    <row r="74" spans="1:21" x14ac:dyDescent="0.25">
      <c r="A74">
        <v>6105008</v>
      </c>
      <c r="B74" t="s">
        <v>340</v>
      </c>
      <c r="C74" t="s">
        <v>26</v>
      </c>
      <c r="D74" t="s">
        <v>18</v>
      </c>
      <c r="E74" t="s">
        <v>710</v>
      </c>
      <c r="F74" t="s">
        <v>206</v>
      </c>
      <c r="G74" t="s">
        <v>369</v>
      </c>
      <c r="H74" t="s">
        <v>0</v>
      </c>
      <c r="I74" t="s">
        <v>436</v>
      </c>
      <c r="J74" t="s">
        <v>437</v>
      </c>
      <c r="K74" t="s">
        <v>438</v>
      </c>
      <c r="L74" t="s">
        <v>5</v>
      </c>
      <c r="M74" t="s">
        <v>408</v>
      </c>
      <c r="N74" t="s">
        <v>11</v>
      </c>
      <c r="O74" t="s">
        <v>11</v>
      </c>
      <c r="P74" t="s">
        <v>0</v>
      </c>
      <c r="Q74" t="s">
        <v>408</v>
      </c>
      <c r="R74" t="s">
        <v>439</v>
      </c>
      <c r="S74" t="s">
        <v>440</v>
      </c>
      <c r="T74" t="s">
        <v>11</v>
      </c>
      <c r="U74" t="s">
        <v>408</v>
      </c>
    </row>
    <row r="75" spans="1:21" x14ac:dyDescent="0.25">
      <c r="A75">
        <v>6105013</v>
      </c>
      <c r="B75" t="s">
        <v>340</v>
      </c>
      <c r="C75" t="s">
        <v>26</v>
      </c>
      <c r="D75" t="s">
        <v>79</v>
      </c>
      <c r="E75" t="s">
        <v>710</v>
      </c>
      <c r="F75" t="s">
        <v>206</v>
      </c>
      <c r="G75" t="s">
        <v>369</v>
      </c>
      <c r="H75" t="s">
        <v>0</v>
      </c>
      <c r="I75" t="s">
        <v>436</v>
      </c>
      <c r="J75" t="s">
        <v>437</v>
      </c>
      <c r="K75" t="s">
        <v>438</v>
      </c>
      <c r="L75" t="s">
        <v>151</v>
      </c>
      <c r="M75" t="s">
        <v>408</v>
      </c>
      <c r="N75" t="s">
        <v>11</v>
      </c>
      <c r="O75" t="s">
        <v>11</v>
      </c>
      <c r="P75" t="s">
        <v>0</v>
      </c>
      <c r="Q75" t="s">
        <v>408</v>
      </c>
      <c r="R75" t="s">
        <v>439</v>
      </c>
      <c r="S75" t="s">
        <v>440</v>
      </c>
      <c r="T75" t="s">
        <v>11</v>
      </c>
      <c r="U75" t="s">
        <v>408</v>
      </c>
    </row>
    <row r="76" spans="1:21" x14ac:dyDescent="0.25">
      <c r="A76">
        <v>6105018</v>
      </c>
      <c r="B76" t="s">
        <v>340</v>
      </c>
      <c r="C76" t="s">
        <v>26</v>
      </c>
      <c r="D76" t="s">
        <v>18</v>
      </c>
      <c r="E76" t="s">
        <v>709</v>
      </c>
      <c r="F76" t="s">
        <v>111</v>
      </c>
      <c r="G76" t="s">
        <v>369</v>
      </c>
      <c r="H76" t="s">
        <v>0</v>
      </c>
      <c r="I76" t="s">
        <v>436</v>
      </c>
      <c r="J76" t="s">
        <v>437</v>
      </c>
      <c r="K76" t="s">
        <v>438</v>
      </c>
      <c r="L76" t="s">
        <v>5</v>
      </c>
      <c r="M76" t="s">
        <v>408</v>
      </c>
      <c r="N76" t="s">
        <v>11</v>
      </c>
      <c r="O76" t="s">
        <v>11</v>
      </c>
      <c r="P76" t="s">
        <v>0</v>
      </c>
      <c r="Q76" t="s">
        <v>408</v>
      </c>
      <c r="R76" t="s">
        <v>439</v>
      </c>
      <c r="S76" t="s">
        <v>440</v>
      </c>
      <c r="T76" t="s">
        <v>11</v>
      </c>
      <c r="U76" t="s">
        <v>408</v>
      </c>
    </row>
    <row r="77" spans="1:21" x14ac:dyDescent="0.25">
      <c r="A77">
        <v>6105060</v>
      </c>
      <c r="B77" t="s">
        <v>340</v>
      </c>
      <c r="C77" t="s">
        <v>26</v>
      </c>
      <c r="D77" t="s">
        <v>24</v>
      </c>
      <c r="E77" t="s">
        <v>529</v>
      </c>
      <c r="F77" t="s">
        <v>288</v>
      </c>
      <c r="G77" t="s">
        <v>369</v>
      </c>
      <c r="H77" t="s">
        <v>0</v>
      </c>
      <c r="I77" t="s">
        <v>436</v>
      </c>
      <c r="J77" t="s">
        <v>437</v>
      </c>
      <c r="K77" t="s">
        <v>438</v>
      </c>
      <c r="L77" t="s">
        <v>345</v>
      </c>
      <c r="M77" t="s">
        <v>408</v>
      </c>
      <c r="N77" t="s">
        <v>11</v>
      </c>
      <c r="O77" t="s">
        <v>11</v>
      </c>
      <c r="P77" t="s">
        <v>0</v>
      </c>
      <c r="Q77" t="s">
        <v>408</v>
      </c>
      <c r="R77" t="s">
        <v>439</v>
      </c>
      <c r="S77" t="s">
        <v>440</v>
      </c>
      <c r="T77" t="s">
        <v>11</v>
      </c>
      <c r="U77" t="s">
        <v>408</v>
      </c>
    </row>
    <row r="78" spans="1:21" x14ac:dyDescent="0.25">
      <c r="A78">
        <v>6105085</v>
      </c>
      <c r="B78" t="s">
        <v>340</v>
      </c>
      <c r="C78" t="s">
        <v>26</v>
      </c>
      <c r="D78" t="s">
        <v>12</v>
      </c>
      <c r="E78" t="s">
        <v>529</v>
      </c>
      <c r="F78" t="s">
        <v>288</v>
      </c>
      <c r="G78" t="s">
        <v>369</v>
      </c>
      <c r="H78" t="s">
        <v>0</v>
      </c>
      <c r="I78" t="s">
        <v>436</v>
      </c>
      <c r="J78" t="s">
        <v>437</v>
      </c>
      <c r="K78" t="s">
        <v>438</v>
      </c>
      <c r="L78" t="s">
        <v>5</v>
      </c>
      <c r="M78" t="s">
        <v>408</v>
      </c>
      <c r="N78" t="s">
        <v>11</v>
      </c>
      <c r="O78" t="s">
        <v>11</v>
      </c>
      <c r="P78" t="s">
        <v>0</v>
      </c>
      <c r="Q78" t="s">
        <v>408</v>
      </c>
      <c r="R78" t="s">
        <v>439</v>
      </c>
      <c r="S78" t="s">
        <v>440</v>
      </c>
      <c r="T78" t="s">
        <v>11</v>
      </c>
      <c r="U78" t="s">
        <v>408</v>
      </c>
    </row>
    <row r="79" spans="1:21" x14ac:dyDescent="0.25">
      <c r="A79">
        <v>6105098</v>
      </c>
      <c r="B79" t="s">
        <v>340</v>
      </c>
      <c r="C79" t="s">
        <v>26</v>
      </c>
      <c r="D79" t="s">
        <v>125</v>
      </c>
      <c r="E79" t="s">
        <v>602</v>
      </c>
      <c r="F79" t="s">
        <v>219</v>
      </c>
      <c r="G79" t="s">
        <v>369</v>
      </c>
      <c r="H79" t="s">
        <v>0</v>
      </c>
      <c r="I79" t="s">
        <v>436</v>
      </c>
      <c r="J79" t="s">
        <v>437</v>
      </c>
      <c r="K79" t="s">
        <v>438</v>
      </c>
      <c r="L79" t="s">
        <v>1</v>
      </c>
      <c r="M79" t="s">
        <v>408</v>
      </c>
      <c r="N79" t="s">
        <v>11</v>
      </c>
      <c r="O79" t="s">
        <v>408</v>
      </c>
      <c r="P79" t="s">
        <v>0</v>
      </c>
      <c r="Q79" t="s">
        <v>408</v>
      </c>
      <c r="R79" t="s">
        <v>439</v>
      </c>
      <c r="S79" t="s">
        <v>440</v>
      </c>
      <c r="T79" t="s">
        <v>11</v>
      </c>
      <c r="U79" t="s">
        <v>408</v>
      </c>
    </row>
    <row r="80" spans="1:21" x14ac:dyDescent="0.25">
      <c r="A80">
        <v>6105132</v>
      </c>
      <c r="B80" t="s">
        <v>342</v>
      </c>
      <c r="C80" t="s">
        <v>33</v>
      </c>
      <c r="D80" t="s">
        <v>79</v>
      </c>
      <c r="E80" t="s">
        <v>533</v>
      </c>
      <c r="F80" t="s">
        <v>287</v>
      </c>
      <c r="G80" t="s">
        <v>369</v>
      </c>
      <c r="H80" t="s">
        <v>0</v>
      </c>
      <c r="I80" t="s">
        <v>436</v>
      </c>
      <c r="J80" t="s">
        <v>437</v>
      </c>
      <c r="K80" t="s">
        <v>438</v>
      </c>
      <c r="L80" t="s">
        <v>345</v>
      </c>
      <c r="M80" t="s">
        <v>408</v>
      </c>
      <c r="N80" t="s">
        <v>11</v>
      </c>
      <c r="O80" t="s">
        <v>11</v>
      </c>
      <c r="P80" t="s">
        <v>0</v>
      </c>
      <c r="Q80" t="s">
        <v>408</v>
      </c>
      <c r="R80" t="s">
        <v>439</v>
      </c>
      <c r="S80" t="s">
        <v>440</v>
      </c>
      <c r="T80" t="s">
        <v>11</v>
      </c>
      <c r="U80" t="s">
        <v>408</v>
      </c>
    </row>
    <row r="81" spans="1:21" x14ac:dyDescent="0.25">
      <c r="A81">
        <v>6105154</v>
      </c>
      <c r="B81" t="s">
        <v>340</v>
      </c>
      <c r="C81" t="s">
        <v>26</v>
      </c>
      <c r="D81" t="s">
        <v>18</v>
      </c>
      <c r="E81" t="s">
        <v>466</v>
      </c>
      <c r="F81" t="s">
        <v>290</v>
      </c>
      <c r="G81" t="s">
        <v>369</v>
      </c>
      <c r="H81" t="s">
        <v>1</v>
      </c>
      <c r="I81" t="s">
        <v>469</v>
      </c>
      <c r="J81" t="s">
        <v>445</v>
      </c>
      <c r="K81" t="s">
        <v>438</v>
      </c>
      <c r="L81" t="s">
        <v>0</v>
      </c>
      <c r="M81" t="s">
        <v>408</v>
      </c>
      <c r="N81" t="s">
        <v>11</v>
      </c>
      <c r="O81" t="s">
        <v>11</v>
      </c>
      <c r="P81" t="s">
        <v>0</v>
      </c>
      <c r="Q81" t="s">
        <v>408</v>
      </c>
      <c r="R81" t="s">
        <v>439</v>
      </c>
      <c r="S81" t="s">
        <v>440</v>
      </c>
      <c r="T81" t="s">
        <v>11</v>
      </c>
      <c r="U81" t="s">
        <v>408</v>
      </c>
    </row>
    <row r="82" spans="1:21" x14ac:dyDescent="0.25">
      <c r="A82">
        <v>6105157</v>
      </c>
      <c r="B82" t="s">
        <v>340</v>
      </c>
      <c r="C82" t="s">
        <v>26</v>
      </c>
      <c r="D82" t="s">
        <v>125</v>
      </c>
      <c r="E82" t="s">
        <v>471</v>
      </c>
      <c r="F82" t="s">
        <v>286</v>
      </c>
      <c r="G82" t="s">
        <v>369</v>
      </c>
      <c r="H82" t="s">
        <v>0</v>
      </c>
      <c r="I82" t="s">
        <v>436</v>
      </c>
      <c r="J82" t="s">
        <v>437</v>
      </c>
      <c r="K82" t="s">
        <v>438</v>
      </c>
      <c r="L82" t="s">
        <v>345</v>
      </c>
      <c r="M82" t="s">
        <v>408</v>
      </c>
      <c r="N82" t="s">
        <v>11</v>
      </c>
      <c r="O82" t="s">
        <v>11</v>
      </c>
      <c r="P82" t="s">
        <v>0</v>
      </c>
      <c r="Q82" t="s">
        <v>408</v>
      </c>
      <c r="R82" t="s">
        <v>439</v>
      </c>
      <c r="S82" t="s">
        <v>440</v>
      </c>
      <c r="T82" t="s">
        <v>11</v>
      </c>
      <c r="U82" t="s">
        <v>408</v>
      </c>
    </row>
    <row r="83" spans="1:21" x14ac:dyDescent="0.25">
      <c r="A83">
        <v>6105228</v>
      </c>
      <c r="B83" t="s">
        <v>340</v>
      </c>
      <c r="C83" t="s">
        <v>26</v>
      </c>
      <c r="D83" t="s">
        <v>24</v>
      </c>
      <c r="E83" t="s">
        <v>710</v>
      </c>
      <c r="F83" t="s">
        <v>206</v>
      </c>
      <c r="G83" t="s">
        <v>369</v>
      </c>
      <c r="H83" t="s">
        <v>1</v>
      </c>
      <c r="I83" t="s">
        <v>469</v>
      </c>
      <c r="J83" t="s">
        <v>445</v>
      </c>
      <c r="K83" t="s">
        <v>438</v>
      </c>
      <c r="L83" t="s">
        <v>0</v>
      </c>
      <c r="M83" t="s">
        <v>408</v>
      </c>
      <c r="N83" t="s">
        <v>11</v>
      </c>
      <c r="O83" t="s">
        <v>11</v>
      </c>
      <c r="P83" t="s">
        <v>341</v>
      </c>
      <c r="Q83" t="s">
        <v>408</v>
      </c>
      <c r="R83" t="s">
        <v>439</v>
      </c>
      <c r="S83" t="s">
        <v>440</v>
      </c>
      <c r="T83" t="s">
        <v>11</v>
      </c>
      <c r="U83" t="s">
        <v>408</v>
      </c>
    </row>
    <row r="84" spans="1:21" x14ac:dyDescent="0.25">
      <c r="A84">
        <v>6105245</v>
      </c>
      <c r="B84" t="s">
        <v>340</v>
      </c>
      <c r="C84" t="s">
        <v>26</v>
      </c>
      <c r="D84" t="s">
        <v>109</v>
      </c>
      <c r="E84" t="s">
        <v>602</v>
      </c>
      <c r="F84" t="s">
        <v>219</v>
      </c>
      <c r="G84" t="s">
        <v>369</v>
      </c>
      <c r="H84" t="s">
        <v>0</v>
      </c>
      <c r="I84" t="s">
        <v>436</v>
      </c>
      <c r="J84" t="s">
        <v>437</v>
      </c>
      <c r="K84" t="s">
        <v>438</v>
      </c>
      <c r="L84" t="s">
        <v>345</v>
      </c>
      <c r="M84" t="s">
        <v>408</v>
      </c>
      <c r="N84" t="s">
        <v>11</v>
      </c>
      <c r="O84" t="s">
        <v>11</v>
      </c>
      <c r="P84" t="s">
        <v>0</v>
      </c>
      <c r="Q84" t="s">
        <v>408</v>
      </c>
      <c r="R84" t="s">
        <v>439</v>
      </c>
      <c r="S84" t="s">
        <v>440</v>
      </c>
      <c r="T84" t="s">
        <v>11</v>
      </c>
      <c r="U84" t="s">
        <v>408</v>
      </c>
    </row>
    <row r="85" spans="1:21" x14ac:dyDescent="0.25">
      <c r="A85">
        <v>6105250</v>
      </c>
      <c r="B85" t="s">
        <v>340</v>
      </c>
      <c r="C85" t="s">
        <v>26</v>
      </c>
      <c r="D85" t="s">
        <v>79</v>
      </c>
      <c r="E85" t="s">
        <v>595</v>
      </c>
      <c r="F85" t="s">
        <v>285</v>
      </c>
      <c r="G85" t="s">
        <v>369</v>
      </c>
      <c r="H85" t="s">
        <v>0</v>
      </c>
      <c r="I85" t="s">
        <v>436</v>
      </c>
      <c r="J85" t="s">
        <v>437</v>
      </c>
      <c r="K85" t="s">
        <v>438</v>
      </c>
      <c r="L85" t="s">
        <v>345</v>
      </c>
      <c r="M85" t="s">
        <v>408</v>
      </c>
      <c r="N85" t="s">
        <v>11</v>
      </c>
      <c r="O85" t="s">
        <v>11</v>
      </c>
      <c r="P85" t="s">
        <v>0</v>
      </c>
      <c r="Q85" t="s">
        <v>408</v>
      </c>
      <c r="R85" t="s">
        <v>439</v>
      </c>
      <c r="S85" t="s">
        <v>440</v>
      </c>
      <c r="T85" t="s">
        <v>11</v>
      </c>
      <c r="U85" t="s">
        <v>408</v>
      </c>
    </row>
    <row r="86" spans="1:21" x14ac:dyDescent="0.25">
      <c r="A86">
        <v>6105268</v>
      </c>
      <c r="B86" t="s">
        <v>340</v>
      </c>
      <c r="C86" t="s">
        <v>26</v>
      </c>
      <c r="D86" t="s">
        <v>102</v>
      </c>
      <c r="E86" t="s">
        <v>539</v>
      </c>
      <c r="F86" t="s">
        <v>284</v>
      </c>
      <c r="G86" t="s">
        <v>369</v>
      </c>
      <c r="H86" t="s">
        <v>0</v>
      </c>
      <c r="I86" t="s">
        <v>436</v>
      </c>
      <c r="J86" t="s">
        <v>437</v>
      </c>
      <c r="K86" t="s">
        <v>438</v>
      </c>
      <c r="L86" t="s">
        <v>0</v>
      </c>
      <c r="M86" t="s">
        <v>408</v>
      </c>
      <c r="N86" t="s">
        <v>11</v>
      </c>
      <c r="O86" t="s">
        <v>408</v>
      </c>
      <c r="P86" t="s">
        <v>5</v>
      </c>
      <c r="Q86" t="s">
        <v>408</v>
      </c>
      <c r="R86" t="s">
        <v>439</v>
      </c>
      <c r="S86" t="s">
        <v>440</v>
      </c>
      <c r="T86" t="s">
        <v>11</v>
      </c>
      <c r="U86" t="s">
        <v>408</v>
      </c>
    </row>
    <row r="87" spans="1:21" x14ac:dyDescent="0.25">
      <c r="A87">
        <v>6109946</v>
      </c>
      <c r="B87" t="s">
        <v>342</v>
      </c>
      <c r="C87" t="s">
        <v>33</v>
      </c>
      <c r="D87" t="s">
        <v>12</v>
      </c>
      <c r="E87" t="s">
        <v>709</v>
      </c>
      <c r="F87" t="s">
        <v>212</v>
      </c>
      <c r="G87" t="s">
        <v>369</v>
      </c>
      <c r="H87" t="s">
        <v>0</v>
      </c>
      <c r="I87" t="s">
        <v>436</v>
      </c>
      <c r="J87" t="s">
        <v>437</v>
      </c>
      <c r="K87" t="s">
        <v>438</v>
      </c>
      <c r="L87" t="s">
        <v>344</v>
      </c>
      <c r="M87" t="s">
        <v>408</v>
      </c>
      <c r="N87" t="s">
        <v>11</v>
      </c>
      <c r="O87" t="s">
        <v>11</v>
      </c>
      <c r="P87" t="s">
        <v>344</v>
      </c>
      <c r="Q87" t="s">
        <v>408</v>
      </c>
      <c r="R87" t="s">
        <v>439</v>
      </c>
      <c r="S87" t="s">
        <v>440</v>
      </c>
      <c r="T87" t="s">
        <v>11</v>
      </c>
      <c r="U87" t="s">
        <v>408</v>
      </c>
    </row>
    <row r="88" spans="1:21" x14ac:dyDescent="0.25">
      <c r="A88">
        <v>6154783</v>
      </c>
      <c r="B88" t="s">
        <v>340</v>
      </c>
      <c r="C88" t="s">
        <v>26</v>
      </c>
      <c r="D88" t="s">
        <v>79</v>
      </c>
      <c r="E88" t="s">
        <v>525</v>
      </c>
      <c r="F88" t="s">
        <v>146</v>
      </c>
      <c r="G88" t="s">
        <v>369</v>
      </c>
      <c r="H88" t="s">
        <v>2</v>
      </c>
      <c r="I88" t="s">
        <v>436</v>
      </c>
      <c r="J88" t="s">
        <v>443</v>
      </c>
      <c r="K88" t="s">
        <v>444</v>
      </c>
      <c r="L88" t="s">
        <v>341</v>
      </c>
      <c r="M88" t="s">
        <v>408</v>
      </c>
      <c r="N88" t="s">
        <v>11</v>
      </c>
      <c r="O88" t="s">
        <v>11</v>
      </c>
      <c r="P88" t="s">
        <v>0</v>
      </c>
      <c r="Q88" t="s">
        <v>408</v>
      </c>
      <c r="R88" t="s">
        <v>439</v>
      </c>
      <c r="S88" t="s">
        <v>440</v>
      </c>
      <c r="T88" t="s">
        <v>11</v>
      </c>
      <c r="U88" t="s">
        <v>408</v>
      </c>
    </row>
    <row r="89" spans="1:21" x14ac:dyDescent="0.25">
      <c r="A89">
        <v>6154853</v>
      </c>
      <c r="B89" t="s">
        <v>340</v>
      </c>
      <c r="C89" t="s">
        <v>26</v>
      </c>
      <c r="D89" t="s">
        <v>18</v>
      </c>
      <c r="E89" t="s">
        <v>711</v>
      </c>
      <c r="F89" t="s">
        <v>75</v>
      </c>
      <c r="G89" t="s">
        <v>369</v>
      </c>
      <c r="H89" t="s">
        <v>0</v>
      </c>
      <c r="I89" t="s">
        <v>436</v>
      </c>
      <c r="J89" t="s">
        <v>437</v>
      </c>
      <c r="K89" t="s">
        <v>438</v>
      </c>
      <c r="L89" t="s">
        <v>8</v>
      </c>
      <c r="M89" t="s">
        <v>408</v>
      </c>
      <c r="N89" t="s">
        <v>11</v>
      </c>
      <c r="O89" t="s">
        <v>11</v>
      </c>
      <c r="P89" t="s">
        <v>0</v>
      </c>
      <c r="Q89" t="s">
        <v>408</v>
      </c>
      <c r="R89" t="s">
        <v>439</v>
      </c>
      <c r="S89" t="s">
        <v>440</v>
      </c>
      <c r="T89" t="s">
        <v>11</v>
      </c>
      <c r="U89" t="s">
        <v>408</v>
      </c>
    </row>
    <row r="90" spans="1:21" x14ac:dyDescent="0.25">
      <c r="A90">
        <v>6154866</v>
      </c>
      <c r="B90" t="s">
        <v>340</v>
      </c>
      <c r="C90" t="s">
        <v>26</v>
      </c>
      <c r="D90" t="s">
        <v>12</v>
      </c>
      <c r="E90" t="s">
        <v>711</v>
      </c>
      <c r="F90" t="s">
        <v>75</v>
      </c>
      <c r="G90" t="s">
        <v>369</v>
      </c>
      <c r="H90" t="s">
        <v>1</v>
      </c>
      <c r="I90" t="s">
        <v>469</v>
      </c>
      <c r="J90" t="s">
        <v>445</v>
      </c>
      <c r="K90" t="s">
        <v>438</v>
      </c>
      <c r="L90" t="s">
        <v>2</v>
      </c>
      <c r="M90" t="s">
        <v>408</v>
      </c>
      <c r="N90" t="s">
        <v>11</v>
      </c>
      <c r="O90" t="s">
        <v>11</v>
      </c>
      <c r="P90" t="s">
        <v>0</v>
      </c>
      <c r="Q90" t="s">
        <v>408</v>
      </c>
      <c r="R90" t="s">
        <v>439</v>
      </c>
      <c r="S90" t="s">
        <v>440</v>
      </c>
      <c r="T90" t="s">
        <v>11</v>
      </c>
      <c r="U90" t="s">
        <v>408</v>
      </c>
    </row>
    <row r="91" spans="1:21" x14ac:dyDescent="0.25">
      <c r="A91">
        <v>6154874</v>
      </c>
      <c r="B91" t="s">
        <v>340</v>
      </c>
      <c r="C91" t="s">
        <v>26</v>
      </c>
      <c r="D91" t="s">
        <v>12</v>
      </c>
      <c r="E91" t="s">
        <v>624</v>
      </c>
      <c r="F91" t="s">
        <v>229</v>
      </c>
      <c r="G91" t="s">
        <v>369</v>
      </c>
      <c r="H91" t="s">
        <v>0</v>
      </c>
      <c r="I91" t="s">
        <v>436</v>
      </c>
      <c r="J91" t="s">
        <v>437</v>
      </c>
      <c r="K91" t="s">
        <v>438</v>
      </c>
      <c r="L91" t="s">
        <v>151</v>
      </c>
      <c r="M91" t="s">
        <v>408</v>
      </c>
      <c r="N91" t="s">
        <v>11</v>
      </c>
      <c r="O91" t="s">
        <v>11</v>
      </c>
      <c r="P91" t="s">
        <v>0</v>
      </c>
      <c r="Q91" t="s">
        <v>408</v>
      </c>
      <c r="R91" t="s">
        <v>439</v>
      </c>
      <c r="S91" t="s">
        <v>440</v>
      </c>
      <c r="T91" t="s">
        <v>11</v>
      </c>
      <c r="U91" t="s">
        <v>408</v>
      </c>
    </row>
    <row r="92" spans="1:21" x14ac:dyDescent="0.25">
      <c r="A92">
        <v>6154881</v>
      </c>
      <c r="B92" t="s">
        <v>340</v>
      </c>
      <c r="C92" t="s">
        <v>26</v>
      </c>
      <c r="D92" t="s">
        <v>12</v>
      </c>
      <c r="E92" t="s">
        <v>711</v>
      </c>
      <c r="F92" t="s">
        <v>75</v>
      </c>
      <c r="G92" t="s">
        <v>369</v>
      </c>
      <c r="H92" t="s">
        <v>1</v>
      </c>
      <c r="I92" t="s">
        <v>469</v>
      </c>
      <c r="J92" t="s">
        <v>445</v>
      </c>
      <c r="K92" t="s">
        <v>438</v>
      </c>
      <c r="L92" t="s">
        <v>0</v>
      </c>
      <c r="M92" t="s">
        <v>408</v>
      </c>
      <c r="N92" t="s">
        <v>11</v>
      </c>
      <c r="O92" t="s">
        <v>408</v>
      </c>
      <c r="P92" t="s">
        <v>0</v>
      </c>
      <c r="Q92" t="s">
        <v>408</v>
      </c>
      <c r="R92" t="s">
        <v>439</v>
      </c>
      <c r="S92" t="s">
        <v>440</v>
      </c>
      <c r="T92" t="s">
        <v>11</v>
      </c>
      <c r="U92" t="s">
        <v>408</v>
      </c>
    </row>
    <row r="93" spans="1:21" x14ac:dyDescent="0.25">
      <c r="A93">
        <v>6154893</v>
      </c>
      <c r="B93" t="s">
        <v>340</v>
      </c>
      <c r="C93" t="s">
        <v>26</v>
      </c>
      <c r="D93" t="s">
        <v>109</v>
      </c>
      <c r="E93" t="s">
        <v>532</v>
      </c>
      <c r="F93" t="s">
        <v>283</v>
      </c>
      <c r="G93" t="s">
        <v>369</v>
      </c>
      <c r="H93" t="s">
        <v>0</v>
      </c>
      <c r="I93" t="s">
        <v>436</v>
      </c>
      <c r="J93" t="s">
        <v>437</v>
      </c>
      <c r="K93" t="s">
        <v>438</v>
      </c>
      <c r="L93" t="s">
        <v>1</v>
      </c>
      <c r="M93" t="s">
        <v>408</v>
      </c>
      <c r="N93" t="s">
        <v>11</v>
      </c>
      <c r="O93" t="s">
        <v>11</v>
      </c>
      <c r="P93" t="s">
        <v>0</v>
      </c>
      <c r="Q93" t="s">
        <v>408</v>
      </c>
      <c r="R93" t="s">
        <v>439</v>
      </c>
      <c r="S93" t="s">
        <v>440</v>
      </c>
      <c r="T93" t="s">
        <v>11</v>
      </c>
      <c r="U93" t="s">
        <v>408</v>
      </c>
    </row>
    <row r="94" spans="1:21" x14ac:dyDescent="0.25">
      <c r="A94">
        <v>6154926</v>
      </c>
      <c r="B94" t="s">
        <v>342</v>
      </c>
      <c r="C94" t="s">
        <v>33</v>
      </c>
      <c r="D94" t="s">
        <v>24</v>
      </c>
      <c r="E94" t="s">
        <v>711</v>
      </c>
      <c r="F94" t="s">
        <v>75</v>
      </c>
      <c r="G94" t="s">
        <v>369</v>
      </c>
      <c r="H94" t="s">
        <v>1</v>
      </c>
      <c r="I94" t="s">
        <v>469</v>
      </c>
      <c r="J94" t="s">
        <v>445</v>
      </c>
      <c r="K94" t="s">
        <v>438</v>
      </c>
      <c r="L94" t="s">
        <v>0</v>
      </c>
      <c r="M94" t="s">
        <v>408</v>
      </c>
      <c r="N94" t="s">
        <v>11</v>
      </c>
      <c r="O94" t="s">
        <v>11</v>
      </c>
      <c r="P94" t="s">
        <v>0</v>
      </c>
      <c r="Q94" t="s">
        <v>408</v>
      </c>
      <c r="R94" t="s">
        <v>439</v>
      </c>
      <c r="S94" t="s">
        <v>440</v>
      </c>
      <c r="T94" t="s">
        <v>11</v>
      </c>
      <c r="U94" t="s">
        <v>408</v>
      </c>
    </row>
    <row r="95" spans="1:21" x14ac:dyDescent="0.25">
      <c r="A95">
        <v>6154936</v>
      </c>
      <c r="B95" t="s">
        <v>340</v>
      </c>
      <c r="C95" t="s">
        <v>26</v>
      </c>
      <c r="D95" t="s">
        <v>12</v>
      </c>
      <c r="E95" t="s">
        <v>624</v>
      </c>
      <c r="F95" t="s">
        <v>229</v>
      </c>
      <c r="G95" t="s">
        <v>369</v>
      </c>
      <c r="H95" t="s">
        <v>0</v>
      </c>
      <c r="I95" t="s">
        <v>436</v>
      </c>
      <c r="J95" t="s">
        <v>437</v>
      </c>
      <c r="K95" t="s">
        <v>438</v>
      </c>
      <c r="L95" t="s">
        <v>151</v>
      </c>
      <c r="M95" t="s">
        <v>408</v>
      </c>
      <c r="N95" t="s">
        <v>11</v>
      </c>
      <c r="O95" t="s">
        <v>11</v>
      </c>
      <c r="P95" t="s">
        <v>0</v>
      </c>
      <c r="Q95" t="s">
        <v>408</v>
      </c>
      <c r="R95" t="s">
        <v>439</v>
      </c>
      <c r="S95" t="s">
        <v>440</v>
      </c>
      <c r="T95" t="s">
        <v>11</v>
      </c>
      <c r="U95" t="s">
        <v>408</v>
      </c>
    </row>
    <row r="96" spans="1:21" x14ac:dyDescent="0.25">
      <c r="A96">
        <v>6154944</v>
      </c>
      <c r="B96" t="s">
        <v>340</v>
      </c>
      <c r="C96" t="s">
        <v>26</v>
      </c>
      <c r="D96" t="s">
        <v>12</v>
      </c>
      <c r="E96" t="s">
        <v>624</v>
      </c>
      <c r="F96" t="s">
        <v>229</v>
      </c>
      <c r="G96" t="s">
        <v>369</v>
      </c>
      <c r="H96" t="s">
        <v>0</v>
      </c>
      <c r="I96" t="s">
        <v>436</v>
      </c>
      <c r="J96" t="s">
        <v>437</v>
      </c>
      <c r="K96" t="s">
        <v>438</v>
      </c>
      <c r="L96" t="s">
        <v>151</v>
      </c>
      <c r="M96" t="s">
        <v>408</v>
      </c>
      <c r="N96" t="s">
        <v>11</v>
      </c>
      <c r="O96" t="s">
        <v>11</v>
      </c>
      <c r="P96" t="s">
        <v>0</v>
      </c>
      <c r="Q96" t="s">
        <v>408</v>
      </c>
      <c r="R96" t="s">
        <v>439</v>
      </c>
      <c r="S96" t="s">
        <v>440</v>
      </c>
      <c r="T96" t="s">
        <v>11</v>
      </c>
      <c r="U96" t="s">
        <v>408</v>
      </c>
    </row>
    <row r="97" spans="1:21" x14ac:dyDescent="0.25">
      <c r="A97">
        <v>6154954</v>
      </c>
      <c r="B97" t="s">
        <v>340</v>
      </c>
      <c r="C97" t="s">
        <v>26</v>
      </c>
      <c r="D97" t="s">
        <v>12</v>
      </c>
      <c r="E97" t="s">
        <v>624</v>
      </c>
      <c r="F97" t="s">
        <v>229</v>
      </c>
      <c r="G97" t="s">
        <v>369</v>
      </c>
      <c r="H97" t="s">
        <v>0</v>
      </c>
      <c r="I97" t="s">
        <v>436</v>
      </c>
      <c r="J97" t="s">
        <v>437</v>
      </c>
      <c r="K97" t="s">
        <v>438</v>
      </c>
      <c r="L97" t="s">
        <v>151</v>
      </c>
      <c r="M97" t="s">
        <v>408</v>
      </c>
      <c r="N97" t="s">
        <v>11</v>
      </c>
      <c r="O97" t="s">
        <v>408</v>
      </c>
      <c r="P97" t="s">
        <v>0</v>
      </c>
      <c r="Q97" t="s">
        <v>408</v>
      </c>
      <c r="R97" t="s">
        <v>439</v>
      </c>
      <c r="S97" t="s">
        <v>440</v>
      </c>
      <c r="T97" t="s">
        <v>11</v>
      </c>
      <c r="U97" t="s">
        <v>408</v>
      </c>
    </row>
    <row r="98" spans="1:21" x14ac:dyDescent="0.25">
      <c r="A98">
        <v>6154956</v>
      </c>
      <c r="B98" t="s">
        <v>340</v>
      </c>
      <c r="C98" t="s">
        <v>26</v>
      </c>
      <c r="D98" t="s">
        <v>12</v>
      </c>
      <c r="E98" t="s">
        <v>711</v>
      </c>
      <c r="F98" t="s">
        <v>75</v>
      </c>
      <c r="G98" t="s">
        <v>369</v>
      </c>
      <c r="H98" t="s">
        <v>1</v>
      </c>
      <c r="I98" t="s">
        <v>469</v>
      </c>
      <c r="J98" t="s">
        <v>445</v>
      </c>
      <c r="K98" t="s">
        <v>438</v>
      </c>
      <c r="L98" t="s">
        <v>0</v>
      </c>
      <c r="M98" t="s">
        <v>408</v>
      </c>
      <c r="N98" t="s">
        <v>11</v>
      </c>
      <c r="O98" t="s">
        <v>408</v>
      </c>
      <c r="P98" t="s">
        <v>0</v>
      </c>
      <c r="Q98" t="s">
        <v>408</v>
      </c>
      <c r="R98" t="s">
        <v>439</v>
      </c>
      <c r="S98" t="s">
        <v>440</v>
      </c>
      <c r="T98" t="s">
        <v>11</v>
      </c>
      <c r="U98" t="s">
        <v>408</v>
      </c>
    </row>
    <row r="99" spans="1:21" x14ac:dyDescent="0.25">
      <c r="A99">
        <v>6154964</v>
      </c>
      <c r="B99" t="s">
        <v>340</v>
      </c>
      <c r="C99" t="s">
        <v>26</v>
      </c>
      <c r="D99" t="s">
        <v>12</v>
      </c>
      <c r="E99" t="s">
        <v>711</v>
      </c>
      <c r="F99" t="s">
        <v>75</v>
      </c>
      <c r="G99" t="s">
        <v>369</v>
      </c>
      <c r="H99" t="s">
        <v>0</v>
      </c>
      <c r="I99" t="s">
        <v>436</v>
      </c>
      <c r="J99" t="s">
        <v>437</v>
      </c>
      <c r="K99" t="s">
        <v>438</v>
      </c>
      <c r="L99" t="s">
        <v>1</v>
      </c>
      <c r="M99" t="s">
        <v>408</v>
      </c>
      <c r="N99" t="s">
        <v>11</v>
      </c>
      <c r="O99" t="s">
        <v>408</v>
      </c>
      <c r="P99" t="s">
        <v>0</v>
      </c>
      <c r="Q99" t="s">
        <v>408</v>
      </c>
      <c r="R99" t="s">
        <v>439</v>
      </c>
      <c r="S99" t="s">
        <v>440</v>
      </c>
      <c r="T99" t="s">
        <v>11</v>
      </c>
      <c r="U99" t="s">
        <v>408</v>
      </c>
    </row>
    <row r="100" spans="1:21" x14ac:dyDescent="0.25">
      <c r="A100">
        <v>6154982</v>
      </c>
      <c r="B100" t="s">
        <v>340</v>
      </c>
      <c r="C100" t="s">
        <v>26</v>
      </c>
      <c r="D100" t="s">
        <v>109</v>
      </c>
      <c r="E100" t="s">
        <v>532</v>
      </c>
      <c r="F100" t="s">
        <v>283</v>
      </c>
      <c r="G100" t="s">
        <v>369</v>
      </c>
      <c r="H100" t="s">
        <v>1</v>
      </c>
      <c r="I100" t="s">
        <v>469</v>
      </c>
      <c r="J100" t="s">
        <v>445</v>
      </c>
      <c r="K100" t="s">
        <v>438</v>
      </c>
      <c r="L100" t="s">
        <v>8</v>
      </c>
      <c r="M100" t="s">
        <v>408</v>
      </c>
      <c r="N100" t="s">
        <v>11</v>
      </c>
      <c r="O100" t="s">
        <v>11</v>
      </c>
      <c r="P100" t="s">
        <v>0</v>
      </c>
      <c r="Q100" t="s">
        <v>408</v>
      </c>
      <c r="R100" t="s">
        <v>439</v>
      </c>
      <c r="S100" t="s">
        <v>440</v>
      </c>
      <c r="T100" t="s">
        <v>11</v>
      </c>
      <c r="U100" t="s">
        <v>408</v>
      </c>
    </row>
    <row r="101" spans="1:21" x14ac:dyDescent="0.25">
      <c r="A101">
        <v>6155010</v>
      </c>
      <c r="B101" t="s">
        <v>340</v>
      </c>
      <c r="C101" t="s">
        <v>26</v>
      </c>
      <c r="D101" t="s">
        <v>18</v>
      </c>
      <c r="E101" t="s">
        <v>711</v>
      </c>
      <c r="F101" t="s">
        <v>75</v>
      </c>
      <c r="G101" t="s">
        <v>369</v>
      </c>
      <c r="H101" t="s">
        <v>1</v>
      </c>
      <c r="I101" t="s">
        <v>469</v>
      </c>
      <c r="J101" t="s">
        <v>445</v>
      </c>
      <c r="K101" t="s">
        <v>438</v>
      </c>
      <c r="L101" t="s">
        <v>8</v>
      </c>
      <c r="M101" t="s">
        <v>408</v>
      </c>
      <c r="N101" t="s">
        <v>11</v>
      </c>
      <c r="O101" t="s">
        <v>11</v>
      </c>
      <c r="P101" t="s">
        <v>341</v>
      </c>
      <c r="Q101" t="s">
        <v>408</v>
      </c>
      <c r="R101" t="s">
        <v>439</v>
      </c>
      <c r="S101" t="s">
        <v>440</v>
      </c>
      <c r="T101" t="s">
        <v>11</v>
      </c>
      <c r="U101" t="s">
        <v>408</v>
      </c>
    </row>
    <row r="102" spans="1:21" x14ac:dyDescent="0.25">
      <c r="A102">
        <v>6155016</v>
      </c>
      <c r="B102" t="s">
        <v>340</v>
      </c>
      <c r="C102" t="s">
        <v>26</v>
      </c>
      <c r="D102" t="s">
        <v>79</v>
      </c>
      <c r="E102" t="s">
        <v>711</v>
      </c>
      <c r="F102" t="s">
        <v>75</v>
      </c>
      <c r="G102" t="s">
        <v>369</v>
      </c>
      <c r="H102" t="s">
        <v>2</v>
      </c>
      <c r="I102" t="s">
        <v>436</v>
      </c>
      <c r="J102" t="s">
        <v>443</v>
      </c>
      <c r="K102" t="s">
        <v>444</v>
      </c>
      <c r="L102" t="s">
        <v>0</v>
      </c>
      <c r="M102" t="s">
        <v>408</v>
      </c>
      <c r="N102" t="s">
        <v>11</v>
      </c>
      <c r="O102" t="s">
        <v>11</v>
      </c>
      <c r="P102" t="s">
        <v>341</v>
      </c>
      <c r="Q102" t="s">
        <v>408</v>
      </c>
      <c r="R102" t="s">
        <v>439</v>
      </c>
      <c r="S102" t="s">
        <v>440</v>
      </c>
      <c r="T102" t="s">
        <v>11</v>
      </c>
      <c r="U102" t="s">
        <v>408</v>
      </c>
    </row>
    <row r="103" spans="1:21" x14ac:dyDescent="0.25">
      <c r="A103">
        <v>6155019</v>
      </c>
      <c r="B103" t="s">
        <v>340</v>
      </c>
      <c r="C103" t="s">
        <v>26</v>
      </c>
      <c r="D103" t="s">
        <v>24</v>
      </c>
      <c r="E103" t="s">
        <v>711</v>
      </c>
      <c r="F103" t="s">
        <v>75</v>
      </c>
      <c r="G103" t="s">
        <v>369</v>
      </c>
      <c r="H103" t="s">
        <v>1</v>
      </c>
      <c r="I103" t="s">
        <v>469</v>
      </c>
      <c r="J103" t="s">
        <v>445</v>
      </c>
      <c r="K103" t="s">
        <v>438</v>
      </c>
      <c r="L103" t="s">
        <v>8</v>
      </c>
      <c r="M103" t="s">
        <v>408</v>
      </c>
      <c r="N103" t="s">
        <v>11</v>
      </c>
      <c r="O103" t="s">
        <v>11</v>
      </c>
      <c r="P103" t="s">
        <v>341</v>
      </c>
      <c r="Q103" t="s">
        <v>408</v>
      </c>
      <c r="R103" t="s">
        <v>439</v>
      </c>
      <c r="S103" t="s">
        <v>440</v>
      </c>
      <c r="T103" t="s">
        <v>11</v>
      </c>
      <c r="U103" t="s">
        <v>408</v>
      </c>
    </row>
    <row r="104" spans="1:21" x14ac:dyDescent="0.25">
      <c r="A104">
        <v>6155024</v>
      </c>
      <c r="B104" t="s">
        <v>340</v>
      </c>
      <c r="C104" t="s">
        <v>26</v>
      </c>
      <c r="D104" t="s">
        <v>24</v>
      </c>
      <c r="E104" t="s">
        <v>711</v>
      </c>
      <c r="F104" t="s">
        <v>75</v>
      </c>
      <c r="G104" t="s">
        <v>369</v>
      </c>
      <c r="H104" t="s">
        <v>1</v>
      </c>
      <c r="I104" t="s">
        <v>469</v>
      </c>
      <c r="J104" t="s">
        <v>445</v>
      </c>
      <c r="K104" t="s">
        <v>438</v>
      </c>
      <c r="L104" t="s">
        <v>8</v>
      </c>
      <c r="M104" t="s">
        <v>408</v>
      </c>
      <c r="N104" t="s">
        <v>11</v>
      </c>
      <c r="O104" t="s">
        <v>11</v>
      </c>
      <c r="P104" t="s">
        <v>341</v>
      </c>
      <c r="Q104" t="s">
        <v>408</v>
      </c>
      <c r="R104" t="s">
        <v>439</v>
      </c>
      <c r="S104" t="s">
        <v>440</v>
      </c>
      <c r="T104" t="s">
        <v>11</v>
      </c>
      <c r="U104" t="s">
        <v>408</v>
      </c>
    </row>
    <row r="105" spans="1:21" x14ac:dyDescent="0.25">
      <c r="A105">
        <v>6155029</v>
      </c>
      <c r="B105" t="s">
        <v>340</v>
      </c>
      <c r="C105" t="s">
        <v>26</v>
      </c>
      <c r="D105" t="s">
        <v>79</v>
      </c>
      <c r="E105" t="s">
        <v>525</v>
      </c>
      <c r="F105" t="s">
        <v>146</v>
      </c>
      <c r="G105" t="s">
        <v>369</v>
      </c>
      <c r="H105" t="s">
        <v>0</v>
      </c>
      <c r="I105" t="s">
        <v>436</v>
      </c>
      <c r="J105" t="s">
        <v>437</v>
      </c>
      <c r="K105" t="s">
        <v>438</v>
      </c>
      <c r="L105" t="s">
        <v>151</v>
      </c>
      <c r="M105" t="s">
        <v>408</v>
      </c>
      <c r="N105" t="s">
        <v>11</v>
      </c>
      <c r="O105" t="s">
        <v>11</v>
      </c>
      <c r="P105" t="s">
        <v>341</v>
      </c>
      <c r="Q105" t="s">
        <v>408</v>
      </c>
      <c r="R105" t="s">
        <v>439</v>
      </c>
      <c r="S105" t="s">
        <v>440</v>
      </c>
      <c r="T105" t="s">
        <v>11</v>
      </c>
      <c r="U105" t="s">
        <v>408</v>
      </c>
    </row>
    <row r="106" spans="1:21" x14ac:dyDescent="0.25">
      <c r="A106">
        <v>6155037</v>
      </c>
      <c r="B106" t="s">
        <v>340</v>
      </c>
      <c r="C106" t="s">
        <v>26</v>
      </c>
      <c r="D106" t="s">
        <v>24</v>
      </c>
      <c r="E106" t="s">
        <v>711</v>
      </c>
      <c r="F106" t="s">
        <v>75</v>
      </c>
      <c r="G106" t="s">
        <v>369</v>
      </c>
      <c r="H106" t="s">
        <v>0</v>
      </c>
      <c r="I106" t="s">
        <v>436</v>
      </c>
      <c r="J106" t="s">
        <v>437</v>
      </c>
      <c r="K106" t="s">
        <v>438</v>
      </c>
      <c r="L106" t="s">
        <v>2</v>
      </c>
      <c r="M106" t="s">
        <v>408</v>
      </c>
      <c r="N106" t="s">
        <v>11</v>
      </c>
      <c r="O106" t="s">
        <v>11</v>
      </c>
      <c r="P106" t="s">
        <v>341</v>
      </c>
      <c r="Q106" t="s">
        <v>408</v>
      </c>
      <c r="R106" t="s">
        <v>439</v>
      </c>
      <c r="S106" t="s">
        <v>440</v>
      </c>
      <c r="T106" t="s">
        <v>11</v>
      </c>
      <c r="U106" t="s">
        <v>408</v>
      </c>
    </row>
    <row r="107" spans="1:21" x14ac:dyDescent="0.25">
      <c r="A107">
        <v>6155038</v>
      </c>
      <c r="B107" t="s">
        <v>340</v>
      </c>
      <c r="C107" t="s">
        <v>26</v>
      </c>
      <c r="D107" t="s">
        <v>18</v>
      </c>
      <c r="E107" t="s">
        <v>711</v>
      </c>
      <c r="F107" t="s">
        <v>75</v>
      </c>
      <c r="G107" t="s">
        <v>369</v>
      </c>
      <c r="H107" t="s">
        <v>0</v>
      </c>
      <c r="I107" t="s">
        <v>436</v>
      </c>
      <c r="J107" t="s">
        <v>437</v>
      </c>
      <c r="K107" t="s">
        <v>438</v>
      </c>
      <c r="L107" t="s">
        <v>1</v>
      </c>
      <c r="M107" t="s">
        <v>408</v>
      </c>
      <c r="N107" t="s">
        <v>11</v>
      </c>
      <c r="O107" t="s">
        <v>11</v>
      </c>
      <c r="P107" t="s">
        <v>341</v>
      </c>
      <c r="Q107" t="s">
        <v>408</v>
      </c>
      <c r="R107" t="s">
        <v>439</v>
      </c>
      <c r="S107" t="s">
        <v>440</v>
      </c>
      <c r="T107" t="s">
        <v>11</v>
      </c>
      <c r="U107" t="s">
        <v>408</v>
      </c>
    </row>
    <row r="108" spans="1:21" x14ac:dyDescent="0.25">
      <c r="A108">
        <v>6155049</v>
      </c>
      <c r="B108" t="s">
        <v>340</v>
      </c>
      <c r="C108" t="s">
        <v>26</v>
      </c>
      <c r="D108" t="s">
        <v>79</v>
      </c>
      <c r="E108" t="s">
        <v>624</v>
      </c>
      <c r="F108" t="s">
        <v>229</v>
      </c>
      <c r="G108" t="s">
        <v>369</v>
      </c>
      <c r="H108" t="s">
        <v>1</v>
      </c>
      <c r="I108" t="s">
        <v>469</v>
      </c>
      <c r="J108" t="s">
        <v>445</v>
      </c>
      <c r="K108" t="s">
        <v>438</v>
      </c>
      <c r="L108" t="s">
        <v>8</v>
      </c>
      <c r="M108" t="s">
        <v>408</v>
      </c>
      <c r="N108" t="s">
        <v>11</v>
      </c>
      <c r="O108" t="s">
        <v>11</v>
      </c>
      <c r="P108" t="s">
        <v>341</v>
      </c>
      <c r="Q108" t="s">
        <v>408</v>
      </c>
      <c r="R108" t="s">
        <v>439</v>
      </c>
      <c r="S108" t="s">
        <v>440</v>
      </c>
      <c r="T108" t="s">
        <v>11</v>
      </c>
      <c r="U108" t="s">
        <v>408</v>
      </c>
    </row>
    <row r="109" spans="1:21" x14ac:dyDescent="0.25">
      <c r="A109">
        <v>6155050</v>
      </c>
      <c r="B109" t="s">
        <v>340</v>
      </c>
      <c r="C109" t="s">
        <v>26</v>
      </c>
      <c r="D109" t="s">
        <v>12</v>
      </c>
      <c r="E109" t="s">
        <v>624</v>
      </c>
      <c r="F109" t="s">
        <v>229</v>
      </c>
      <c r="G109" t="s">
        <v>369</v>
      </c>
      <c r="H109" t="s">
        <v>0</v>
      </c>
      <c r="I109" t="s">
        <v>436</v>
      </c>
      <c r="J109" t="s">
        <v>437</v>
      </c>
      <c r="K109" t="s">
        <v>438</v>
      </c>
      <c r="L109" t="s">
        <v>151</v>
      </c>
      <c r="M109" t="s">
        <v>408</v>
      </c>
      <c r="N109" t="s">
        <v>11</v>
      </c>
      <c r="O109" t="s">
        <v>408</v>
      </c>
      <c r="P109" t="s">
        <v>0</v>
      </c>
      <c r="Q109" t="s">
        <v>408</v>
      </c>
      <c r="R109" t="s">
        <v>439</v>
      </c>
      <c r="S109" t="s">
        <v>440</v>
      </c>
      <c r="T109" t="s">
        <v>11</v>
      </c>
      <c r="U109" t="s">
        <v>408</v>
      </c>
    </row>
    <row r="110" spans="1:21" x14ac:dyDescent="0.25">
      <c r="A110">
        <v>6155054</v>
      </c>
      <c r="B110" t="s">
        <v>342</v>
      </c>
      <c r="C110" t="s">
        <v>33</v>
      </c>
      <c r="D110" t="s">
        <v>12</v>
      </c>
      <c r="E110" t="s">
        <v>712</v>
      </c>
      <c r="F110" t="s">
        <v>282</v>
      </c>
      <c r="G110" t="s">
        <v>369</v>
      </c>
      <c r="H110" t="s">
        <v>0</v>
      </c>
      <c r="I110" t="s">
        <v>436</v>
      </c>
      <c r="J110" t="s">
        <v>437</v>
      </c>
      <c r="K110" t="s">
        <v>438</v>
      </c>
      <c r="L110" t="s">
        <v>345</v>
      </c>
      <c r="M110" t="s">
        <v>408</v>
      </c>
      <c r="N110" t="s">
        <v>11</v>
      </c>
      <c r="O110" t="s">
        <v>11</v>
      </c>
      <c r="P110" t="s">
        <v>0</v>
      </c>
      <c r="Q110" t="s">
        <v>408</v>
      </c>
      <c r="R110" t="s">
        <v>439</v>
      </c>
      <c r="S110" t="s">
        <v>440</v>
      </c>
      <c r="T110" t="s">
        <v>11</v>
      </c>
      <c r="U110" t="s">
        <v>408</v>
      </c>
    </row>
    <row r="111" spans="1:21" x14ac:dyDescent="0.25">
      <c r="A111">
        <v>6155061</v>
      </c>
      <c r="B111" t="s">
        <v>342</v>
      </c>
      <c r="C111" t="s">
        <v>33</v>
      </c>
      <c r="D111" t="s">
        <v>18</v>
      </c>
      <c r="E111" t="s">
        <v>712</v>
      </c>
      <c r="F111" t="s">
        <v>281</v>
      </c>
      <c r="G111" t="s">
        <v>369</v>
      </c>
      <c r="H111" t="s">
        <v>0</v>
      </c>
      <c r="I111" t="s">
        <v>436</v>
      </c>
      <c r="J111" t="s">
        <v>437</v>
      </c>
      <c r="K111" t="s">
        <v>438</v>
      </c>
      <c r="L111" t="s">
        <v>345</v>
      </c>
      <c r="M111" t="s">
        <v>408</v>
      </c>
      <c r="N111" t="s">
        <v>11</v>
      </c>
      <c r="O111" t="s">
        <v>11</v>
      </c>
      <c r="P111" t="s">
        <v>0</v>
      </c>
      <c r="Q111" t="s">
        <v>408</v>
      </c>
      <c r="R111" t="s">
        <v>439</v>
      </c>
      <c r="S111" t="s">
        <v>440</v>
      </c>
      <c r="T111" t="s">
        <v>11</v>
      </c>
      <c r="U111" t="s">
        <v>408</v>
      </c>
    </row>
    <row r="112" spans="1:21" x14ac:dyDescent="0.25">
      <c r="A112">
        <v>6155100</v>
      </c>
      <c r="B112" t="s">
        <v>340</v>
      </c>
      <c r="C112" t="s">
        <v>26</v>
      </c>
      <c r="D112" t="s">
        <v>12</v>
      </c>
      <c r="E112" t="s">
        <v>713</v>
      </c>
      <c r="F112" t="s">
        <v>240</v>
      </c>
      <c r="G112" t="s">
        <v>369</v>
      </c>
      <c r="H112" t="s">
        <v>0</v>
      </c>
      <c r="I112" t="s">
        <v>436</v>
      </c>
      <c r="J112" t="s">
        <v>437</v>
      </c>
      <c r="K112" t="s">
        <v>438</v>
      </c>
      <c r="L112" t="s">
        <v>8</v>
      </c>
      <c r="M112" t="s">
        <v>408</v>
      </c>
      <c r="N112" t="s">
        <v>11</v>
      </c>
      <c r="O112" t="s">
        <v>11</v>
      </c>
      <c r="P112" t="s">
        <v>0</v>
      </c>
      <c r="Q112" t="s">
        <v>408</v>
      </c>
      <c r="R112" t="s">
        <v>439</v>
      </c>
      <c r="S112" t="s">
        <v>440</v>
      </c>
      <c r="T112" t="s">
        <v>11</v>
      </c>
      <c r="U112" t="s">
        <v>408</v>
      </c>
    </row>
    <row r="113" spans="1:21" x14ac:dyDescent="0.25">
      <c r="A113">
        <v>6155107</v>
      </c>
      <c r="B113" t="s">
        <v>342</v>
      </c>
      <c r="C113" t="s">
        <v>33</v>
      </c>
      <c r="D113" t="s">
        <v>24</v>
      </c>
      <c r="E113" t="s">
        <v>713</v>
      </c>
      <c r="F113" t="s">
        <v>240</v>
      </c>
      <c r="G113" t="s">
        <v>369</v>
      </c>
      <c r="H113" t="s">
        <v>0</v>
      </c>
      <c r="I113" t="s">
        <v>436</v>
      </c>
      <c r="J113" t="s">
        <v>437</v>
      </c>
      <c r="K113" t="s">
        <v>438</v>
      </c>
      <c r="L113" t="s">
        <v>345</v>
      </c>
      <c r="M113" t="s">
        <v>408</v>
      </c>
      <c r="N113" t="s">
        <v>11</v>
      </c>
      <c r="O113" t="s">
        <v>11</v>
      </c>
      <c r="P113" t="s">
        <v>0</v>
      </c>
      <c r="Q113" t="s">
        <v>408</v>
      </c>
      <c r="R113" t="s">
        <v>439</v>
      </c>
      <c r="S113" t="s">
        <v>440</v>
      </c>
      <c r="T113" t="s">
        <v>11</v>
      </c>
      <c r="U113" t="s">
        <v>408</v>
      </c>
    </row>
    <row r="114" spans="1:21" x14ac:dyDescent="0.25">
      <c r="A114">
        <v>6155109</v>
      </c>
      <c r="B114" t="s">
        <v>340</v>
      </c>
      <c r="C114" t="s">
        <v>26</v>
      </c>
      <c r="D114" t="s">
        <v>24</v>
      </c>
      <c r="E114" t="s">
        <v>714</v>
      </c>
      <c r="F114" t="s">
        <v>216</v>
      </c>
      <c r="G114" t="s">
        <v>369</v>
      </c>
      <c r="H114" t="s">
        <v>0</v>
      </c>
      <c r="I114" t="s">
        <v>436</v>
      </c>
      <c r="J114" t="s">
        <v>437</v>
      </c>
      <c r="K114" t="s">
        <v>438</v>
      </c>
      <c r="L114" t="s">
        <v>8</v>
      </c>
      <c r="M114" t="s">
        <v>408</v>
      </c>
      <c r="N114" t="s">
        <v>11</v>
      </c>
      <c r="O114" t="s">
        <v>11</v>
      </c>
      <c r="P114" t="s">
        <v>0</v>
      </c>
      <c r="Q114" t="s">
        <v>408</v>
      </c>
      <c r="R114" t="s">
        <v>439</v>
      </c>
      <c r="S114" t="s">
        <v>440</v>
      </c>
      <c r="T114" t="s">
        <v>11</v>
      </c>
      <c r="U114" t="s">
        <v>408</v>
      </c>
    </row>
    <row r="115" spans="1:21" x14ac:dyDescent="0.25">
      <c r="A115">
        <v>6155115</v>
      </c>
      <c r="B115" t="s">
        <v>342</v>
      </c>
      <c r="C115" t="s">
        <v>33</v>
      </c>
      <c r="D115" t="s">
        <v>79</v>
      </c>
      <c r="E115" t="s">
        <v>714</v>
      </c>
      <c r="F115" t="s">
        <v>216</v>
      </c>
      <c r="G115" t="s">
        <v>369</v>
      </c>
      <c r="H115" t="s">
        <v>0</v>
      </c>
      <c r="I115" t="s">
        <v>436</v>
      </c>
      <c r="J115" t="s">
        <v>437</v>
      </c>
      <c r="K115" t="s">
        <v>438</v>
      </c>
      <c r="L115" t="s">
        <v>345</v>
      </c>
      <c r="M115" t="s">
        <v>408</v>
      </c>
      <c r="N115" t="s">
        <v>11</v>
      </c>
      <c r="O115" t="s">
        <v>11</v>
      </c>
      <c r="P115" t="s">
        <v>0</v>
      </c>
      <c r="Q115" t="s">
        <v>408</v>
      </c>
      <c r="R115" t="s">
        <v>439</v>
      </c>
      <c r="S115" t="s">
        <v>440</v>
      </c>
      <c r="T115" t="s">
        <v>11</v>
      </c>
      <c r="U115" t="s">
        <v>408</v>
      </c>
    </row>
    <row r="116" spans="1:21" x14ac:dyDescent="0.25">
      <c r="A116">
        <v>6155121</v>
      </c>
      <c r="B116" t="s">
        <v>340</v>
      </c>
      <c r="C116" t="s">
        <v>26</v>
      </c>
      <c r="D116" t="s">
        <v>12</v>
      </c>
      <c r="E116" t="s">
        <v>607</v>
      </c>
      <c r="F116" t="s">
        <v>180</v>
      </c>
      <c r="G116" t="s">
        <v>369</v>
      </c>
      <c r="H116" t="s">
        <v>0</v>
      </c>
      <c r="I116" t="s">
        <v>436</v>
      </c>
      <c r="J116" t="s">
        <v>437</v>
      </c>
      <c r="K116" t="s">
        <v>438</v>
      </c>
      <c r="L116" t="s">
        <v>1</v>
      </c>
      <c r="M116" t="s">
        <v>408</v>
      </c>
      <c r="N116" t="s">
        <v>11</v>
      </c>
      <c r="O116" t="s">
        <v>11</v>
      </c>
      <c r="P116" t="s">
        <v>0</v>
      </c>
      <c r="Q116" t="s">
        <v>408</v>
      </c>
      <c r="R116" t="s">
        <v>439</v>
      </c>
      <c r="S116" t="s">
        <v>440</v>
      </c>
      <c r="T116" t="s">
        <v>11</v>
      </c>
      <c r="U116" t="s">
        <v>408</v>
      </c>
    </row>
    <row r="117" spans="1:21" x14ac:dyDescent="0.25">
      <c r="A117">
        <v>6155127</v>
      </c>
      <c r="B117" t="s">
        <v>342</v>
      </c>
      <c r="C117" t="s">
        <v>33</v>
      </c>
      <c r="D117" t="s">
        <v>12</v>
      </c>
      <c r="E117" t="s">
        <v>607</v>
      </c>
      <c r="F117" t="s">
        <v>180</v>
      </c>
      <c r="G117" t="s">
        <v>369</v>
      </c>
      <c r="H117" t="s">
        <v>0</v>
      </c>
      <c r="I117" t="s">
        <v>436</v>
      </c>
      <c r="J117" t="s">
        <v>437</v>
      </c>
      <c r="K117" t="s">
        <v>438</v>
      </c>
      <c r="L117" t="s">
        <v>345</v>
      </c>
      <c r="M117" t="s">
        <v>408</v>
      </c>
      <c r="N117" t="s">
        <v>11</v>
      </c>
      <c r="O117" t="s">
        <v>11</v>
      </c>
      <c r="P117" t="s">
        <v>0</v>
      </c>
      <c r="Q117" t="s">
        <v>408</v>
      </c>
      <c r="R117" t="s">
        <v>439</v>
      </c>
      <c r="S117" t="s">
        <v>440</v>
      </c>
      <c r="T117" t="s">
        <v>11</v>
      </c>
      <c r="U117" t="s">
        <v>408</v>
      </c>
    </row>
    <row r="118" spans="1:21" x14ac:dyDescent="0.25">
      <c r="A118">
        <v>6155143</v>
      </c>
      <c r="B118" t="s">
        <v>340</v>
      </c>
      <c r="C118" t="s">
        <v>26</v>
      </c>
      <c r="D118" t="s">
        <v>12</v>
      </c>
      <c r="E118" t="s">
        <v>607</v>
      </c>
      <c r="F118" t="s">
        <v>180</v>
      </c>
      <c r="G118" t="s">
        <v>369</v>
      </c>
      <c r="H118" t="s">
        <v>0</v>
      </c>
      <c r="I118" t="s">
        <v>436</v>
      </c>
      <c r="J118" t="s">
        <v>437</v>
      </c>
      <c r="K118" t="s">
        <v>438</v>
      </c>
      <c r="L118" t="s">
        <v>8</v>
      </c>
      <c r="M118" t="s">
        <v>408</v>
      </c>
      <c r="N118" t="s">
        <v>11</v>
      </c>
      <c r="O118" t="s">
        <v>11</v>
      </c>
      <c r="P118" t="s">
        <v>0</v>
      </c>
      <c r="Q118" t="s">
        <v>408</v>
      </c>
      <c r="R118" t="s">
        <v>439</v>
      </c>
      <c r="S118" t="s">
        <v>440</v>
      </c>
      <c r="T118" t="s">
        <v>11</v>
      </c>
      <c r="U118" t="s">
        <v>408</v>
      </c>
    </row>
    <row r="119" spans="1:21" x14ac:dyDescent="0.25">
      <c r="A119">
        <v>6155146</v>
      </c>
      <c r="B119" t="s">
        <v>340</v>
      </c>
      <c r="C119" t="s">
        <v>26</v>
      </c>
      <c r="D119" t="s">
        <v>24</v>
      </c>
      <c r="E119" t="s">
        <v>607</v>
      </c>
      <c r="F119" t="s">
        <v>180</v>
      </c>
      <c r="G119" t="s">
        <v>369</v>
      </c>
      <c r="H119" t="s">
        <v>1</v>
      </c>
      <c r="I119" t="s">
        <v>469</v>
      </c>
      <c r="J119" t="s">
        <v>445</v>
      </c>
      <c r="K119" t="s">
        <v>438</v>
      </c>
      <c r="L119" t="s">
        <v>5</v>
      </c>
      <c r="M119" t="s">
        <v>408</v>
      </c>
      <c r="N119" t="s">
        <v>11</v>
      </c>
      <c r="O119" t="s">
        <v>11</v>
      </c>
      <c r="P119" t="s">
        <v>0</v>
      </c>
      <c r="Q119" t="s">
        <v>408</v>
      </c>
      <c r="R119" t="s">
        <v>439</v>
      </c>
      <c r="S119" t="s">
        <v>440</v>
      </c>
      <c r="T119" t="s">
        <v>11</v>
      </c>
      <c r="U119" t="s">
        <v>408</v>
      </c>
    </row>
    <row r="120" spans="1:21" x14ac:dyDescent="0.25">
      <c r="A120">
        <v>6155159</v>
      </c>
      <c r="B120" t="s">
        <v>342</v>
      </c>
      <c r="C120" t="s">
        <v>33</v>
      </c>
      <c r="D120" t="s">
        <v>12</v>
      </c>
      <c r="E120" t="s">
        <v>472</v>
      </c>
      <c r="F120" t="s">
        <v>145</v>
      </c>
      <c r="G120" t="s">
        <v>369</v>
      </c>
      <c r="H120" t="s">
        <v>0</v>
      </c>
      <c r="I120" t="s">
        <v>436</v>
      </c>
      <c r="J120" t="s">
        <v>437</v>
      </c>
      <c r="K120" t="s">
        <v>438</v>
      </c>
      <c r="L120" t="s">
        <v>151</v>
      </c>
      <c r="M120" t="s">
        <v>408</v>
      </c>
      <c r="N120" t="s">
        <v>11</v>
      </c>
      <c r="O120" t="s">
        <v>408</v>
      </c>
      <c r="P120" t="s">
        <v>0</v>
      </c>
      <c r="Q120" t="s">
        <v>408</v>
      </c>
      <c r="R120" t="s">
        <v>439</v>
      </c>
      <c r="S120" t="s">
        <v>440</v>
      </c>
      <c r="T120" t="s">
        <v>11</v>
      </c>
      <c r="U120" t="s">
        <v>408</v>
      </c>
    </row>
    <row r="121" spans="1:21" x14ac:dyDescent="0.25">
      <c r="A121">
        <v>6165836</v>
      </c>
      <c r="B121" t="s">
        <v>342</v>
      </c>
      <c r="C121" t="s">
        <v>33</v>
      </c>
      <c r="D121" t="s">
        <v>12</v>
      </c>
      <c r="E121" t="s">
        <v>711</v>
      </c>
      <c r="F121" t="s">
        <v>213</v>
      </c>
      <c r="G121" t="s">
        <v>369</v>
      </c>
      <c r="H121" t="s">
        <v>0</v>
      </c>
      <c r="I121" t="s">
        <v>436</v>
      </c>
      <c r="J121" t="s">
        <v>437</v>
      </c>
      <c r="K121" t="s">
        <v>438</v>
      </c>
      <c r="L121" t="s">
        <v>151</v>
      </c>
      <c r="M121" t="s">
        <v>408</v>
      </c>
      <c r="N121" t="s">
        <v>11</v>
      </c>
      <c r="O121" t="s">
        <v>11</v>
      </c>
      <c r="P121" t="s">
        <v>344</v>
      </c>
      <c r="Q121" t="s">
        <v>408</v>
      </c>
      <c r="R121" t="s">
        <v>439</v>
      </c>
      <c r="S121" t="s">
        <v>440</v>
      </c>
      <c r="T121" t="s">
        <v>11</v>
      </c>
      <c r="U121" t="s">
        <v>408</v>
      </c>
    </row>
    <row r="122" spans="1:21" x14ac:dyDescent="0.25">
      <c r="A122">
        <v>8092013</v>
      </c>
      <c r="B122" t="s">
        <v>340</v>
      </c>
      <c r="C122" t="s">
        <v>26</v>
      </c>
      <c r="D122" t="s">
        <v>24</v>
      </c>
      <c r="E122" t="s">
        <v>535</v>
      </c>
      <c r="F122" t="s">
        <v>217</v>
      </c>
      <c r="G122" t="s">
        <v>369</v>
      </c>
      <c r="H122" t="s">
        <v>1</v>
      </c>
      <c r="I122" t="s">
        <v>469</v>
      </c>
      <c r="J122" t="s">
        <v>445</v>
      </c>
      <c r="K122" t="s">
        <v>438</v>
      </c>
      <c r="L122" t="s">
        <v>5</v>
      </c>
      <c r="M122" t="s">
        <v>408</v>
      </c>
      <c r="N122" t="s">
        <v>11</v>
      </c>
      <c r="O122" t="s">
        <v>11</v>
      </c>
      <c r="P122" t="s">
        <v>0</v>
      </c>
      <c r="Q122" t="s">
        <v>408</v>
      </c>
      <c r="R122" t="s">
        <v>439</v>
      </c>
      <c r="S122" t="s">
        <v>440</v>
      </c>
      <c r="T122" t="s">
        <v>11</v>
      </c>
      <c r="U122" t="s">
        <v>408</v>
      </c>
    </row>
    <row r="123" spans="1:21" x14ac:dyDescent="0.25">
      <c r="A123">
        <v>8092016</v>
      </c>
      <c r="B123" t="s">
        <v>340</v>
      </c>
      <c r="C123" t="s">
        <v>26</v>
      </c>
      <c r="D123" t="s">
        <v>18</v>
      </c>
      <c r="E123" t="s">
        <v>535</v>
      </c>
      <c r="F123" t="s">
        <v>217</v>
      </c>
      <c r="G123" t="s">
        <v>369</v>
      </c>
      <c r="H123" t="s">
        <v>0</v>
      </c>
      <c r="I123" t="s">
        <v>436</v>
      </c>
      <c r="J123" t="s">
        <v>437</v>
      </c>
      <c r="K123" t="s">
        <v>438</v>
      </c>
      <c r="L123" t="s">
        <v>1</v>
      </c>
      <c r="M123" t="s">
        <v>408</v>
      </c>
      <c r="N123" t="s">
        <v>11</v>
      </c>
      <c r="O123" t="s">
        <v>408</v>
      </c>
      <c r="P123" t="s">
        <v>0</v>
      </c>
      <c r="Q123" t="s">
        <v>408</v>
      </c>
      <c r="R123" t="s">
        <v>439</v>
      </c>
      <c r="S123" t="s">
        <v>440</v>
      </c>
      <c r="T123" t="s">
        <v>11</v>
      </c>
      <c r="U123" t="s">
        <v>408</v>
      </c>
    </row>
    <row r="124" spans="1:21" x14ac:dyDescent="0.25">
      <c r="A124">
        <v>8092089</v>
      </c>
      <c r="B124" t="s">
        <v>340</v>
      </c>
      <c r="C124" t="s">
        <v>26</v>
      </c>
      <c r="D124" t="s">
        <v>12</v>
      </c>
      <c r="E124" t="s">
        <v>714</v>
      </c>
      <c r="F124" t="s">
        <v>216</v>
      </c>
      <c r="G124" t="s">
        <v>369</v>
      </c>
      <c r="H124" t="s">
        <v>0</v>
      </c>
      <c r="I124" t="s">
        <v>436</v>
      </c>
      <c r="J124" t="s">
        <v>437</v>
      </c>
      <c r="K124" t="s">
        <v>438</v>
      </c>
      <c r="L124" t="s">
        <v>8</v>
      </c>
      <c r="M124" t="s">
        <v>408</v>
      </c>
      <c r="N124" t="s">
        <v>11</v>
      </c>
      <c r="O124" t="s">
        <v>11</v>
      </c>
      <c r="P124" t="s">
        <v>0</v>
      </c>
      <c r="Q124" t="s">
        <v>408</v>
      </c>
      <c r="R124" t="s">
        <v>439</v>
      </c>
      <c r="S124" t="s">
        <v>440</v>
      </c>
      <c r="T124" t="s">
        <v>11</v>
      </c>
      <c r="U124" t="s">
        <v>408</v>
      </c>
    </row>
    <row r="125" spans="1:21" x14ac:dyDescent="0.25">
      <c r="A125">
        <v>8092094</v>
      </c>
      <c r="B125" t="s">
        <v>342</v>
      </c>
      <c r="C125" t="s">
        <v>33</v>
      </c>
      <c r="D125" t="s">
        <v>24</v>
      </c>
      <c r="E125" t="s">
        <v>409</v>
      </c>
      <c r="F125" t="s">
        <v>280</v>
      </c>
      <c r="G125" t="s">
        <v>369</v>
      </c>
      <c r="H125" t="s">
        <v>0</v>
      </c>
      <c r="I125" t="s">
        <v>436</v>
      </c>
      <c r="J125" t="s">
        <v>437</v>
      </c>
      <c r="K125" t="s">
        <v>438</v>
      </c>
      <c r="L125" t="s">
        <v>345</v>
      </c>
      <c r="M125" t="s">
        <v>408</v>
      </c>
      <c r="N125" t="s">
        <v>11</v>
      </c>
      <c r="O125" t="s">
        <v>11</v>
      </c>
      <c r="P125" t="s">
        <v>0</v>
      </c>
      <c r="Q125" t="s">
        <v>408</v>
      </c>
      <c r="R125" t="s">
        <v>439</v>
      </c>
      <c r="S125" t="s">
        <v>440</v>
      </c>
      <c r="T125" t="s">
        <v>11</v>
      </c>
      <c r="U125" t="s">
        <v>408</v>
      </c>
    </row>
    <row r="126" spans="1:21" x14ac:dyDescent="0.25">
      <c r="A126">
        <v>8092101</v>
      </c>
      <c r="B126" t="s">
        <v>340</v>
      </c>
      <c r="C126" t="s">
        <v>26</v>
      </c>
      <c r="D126" t="s">
        <v>12</v>
      </c>
      <c r="E126" t="s">
        <v>607</v>
      </c>
      <c r="F126" t="s">
        <v>180</v>
      </c>
      <c r="G126" t="s">
        <v>369</v>
      </c>
      <c r="H126" t="s">
        <v>0</v>
      </c>
      <c r="I126" t="s">
        <v>436</v>
      </c>
      <c r="J126" t="s">
        <v>437</v>
      </c>
      <c r="K126" t="s">
        <v>438</v>
      </c>
      <c r="L126" t="s">
        <v>1</v>
      </c>
      <c r="M126" t="s">
        <v>408</v>
      </c>
      <c r="N126" t="s">
        <v>11</v>
      </c>
      <c r="O126" t="s">
        <v>408</v>
      </c>
      <c r="P126" t="s">
        <v>0</v>
      </c>
      <c r="Q126" t="s">
        <v>408</v>
      </c>
      <c r="R126" t="s">
        <v>439</v>
      </c>
      <c r="S126" t="s">
        <v>440</v>
      </c>
      <c r="T126" t="s">
        <v>11</v>
      </c>
      <c r="U126" t="s">
        <v>408</v>
      </c>
    </row>
    <row r="127" spans="1:21" x14ac:dyDescent="0.25">
      <c r="A127">
        <v>8092107</v>
      </c>
      <c r="B127" t="s">
        <v>340</v>
      </c>
      <c r="C127" t="s">
        <v>26</v>
      </c>
      <c r="D127" t="s">
        <v>12</v>
      </c>
      <c r="E127" t="s">
        <v>714</v>
      </c>
      <c r="F127" t="s">
        <v>216</v>
      </c>
      <c r="G127" t="s">
        <v>369</v>
      </c>
      <c r="H127" t="s">
        <v>0</v>
      </c>
      <c r="I127" t="s">
        <v>436</v>
      </c>
      <c r="J127" t="s">
        <v>437</v>
      </c>
      <c r="K127" t="s">
        <v>438</v>
      </c>
      <c r="L127" t="s">
        <v>1</v>
      </c>
      <c r="M127" t="s">
        <v>408</v>
      </c>
      <c r="N127" t="s">
        <v>11</v>
      </c>
      <c r="O127" t="s">
        <v>11</v>
      </c>
      <c r="P127" t="s">
        <v>0</v>
      </c>
      <c r="Q127" t="s">
        <v>408</v>
      </c>
      <c r="R127" t="s">
        <v>439</v>
      </c>
      <c r="S127" t="s">
        <v>440</v>
      </c>
      <c r="T127" t="s">
        <v>11</v>
      </c>
      <c r="U127" t="s">
        <v>408</v>
      </c>
    </row>
    <row r="128" spans="1:21" x14ac:dyDescent="0.25">
      <c r="A128">
        <v>8092111</v>
      </c>
      <c r="B128" t="s">
        <v>340</v>
      </c>
      <c r="C128" t="s">
        <v>26</v>
      </c>
      <c r="D128" t="s">
        <v>18</v>
      </c>
      <c r="E128" t="s">
        <v>714</v>
      </c>
      <c r="F128" t="s">
        <v>216</v>
      </c>
      <c r="G128" t="s">
        <v>369</v>
      </c>
      <c r="H128" t="s">
        <v>1</v>
      </c>
      <c r="I128" t="s">
        <v>469</v>
      </c>
      <c r="J128" t="s">
        <v>445</v>
      </c>
      <c r="K128" t="s">
        <v>438</v>
      </c>
      <c r="L128" t="s">
        <v>5</v>
      </c>
      <c r="M128" t="s">
        <v>408</v>
      </c>
      <c r="N128" t="s">
        <v>11</v>
      </c>
      <c r="O128" t="s">
        <v>11</v>
      </c>
      <c r="P128" t="s">
        <v>0</v>
      </c>
      <c r="Q128" t="s">
        <v>408</v>
      </c>
      <c r="R128" t="s">
        <v>439</v>
      </c>
      <c r="S128" t="s">
        <v>440</v>
      </c>
      <c r="T128" t="s">
        <v>11</v>
      </c>
      <c r="U128" t="s">
        <v>408</v>
      </c>
    </row>
    <row r="129" spans="1:21" x14ac:dyDescent="0.25">
      <c r="A129">
        <v>8092113</v>
      </c>
      <c r="B129" t="s">
        <v>340</v>
      </c>
      <c r="C129" t="s">
        <v>26</v>
      </c>
      <c r="D129" t="s">
        <v>79</v>
      </c>
      <c r="E129" t="s">
        <v>607</v>
      </c>
      <c r="F129" t="s">
        <v>180</v>
      </c>
      <c r="G129" t="s">
        <v>369</v>
      </c>
      <c r="H129" t="s">
        <v>0</v>
      </c>
      <c r="I129" t="s">
        <v>436</v>
      </c>
      <c r="J129" t="s">
        <v>437</v>
      </c>
      <c r="K129" t="s">
        <v>438</v>
      </c>
      <c r="L129" t="s">
        <v>5</v>
      </c>
      <c r="M129" t="s">
        <v>408</v>
      </c>
      <c r="N129" t="s">
        <v>11</v>
      </c>
      <c r="O129" t="s">
        <v>11</v>
      </c>
      <c r="P129" t="s">
        <v>0</v>
      </c>
      <c r="Q129" t="s">
        <v>408</v>
      </c>
      <c r="R129" t="s">
        <v>439</v>
      </c>
      <c r="S129" t="s">
        <v>440</v>
      </c>
      <c r="T129" t="s">
        <v>11</v>
      </c>
      <c r="U129" t="s">
        <v>408</v>
      </c>
    </row>
    <row r="130" spans="1:21" x14ac:dyDescent="0.25">
      <c r="A130">
        <v>8092114</v>
      </c>
      <c r="B130" t="s">
        <v>340</v>
      </c>
      <c r="C130" t="s">
        <v>26</v>
      </c>
      <c r="D130" t="s">
        <v>12</v>
      </c>
      <c r="E130" t="s">
        <v>409</v>
      </c>
      <c r="F130" t="s">
        <v>280</v>
      </c>
      <c r="G130" t="s">
        <v>369</v>
      </c>
      <c r="H130" t="s">
        <v>1</v>
      </c>
      <c r="I130" t="s">
        <v>469</v>
      </c>
      <c r="J130" t="s">
        <v>445</v>
      </c>
      <c r="K130" t="s">
        <v>438</v>
      </c>
      <c r="L130" t="s">
        <v>5</v>
      </c>
      <c r="M130" t="s">
        <v>408</v>
      </c>
      <c r="N130" t="s">
        <v>11</v>
      </c>
      <c r="O130" t="s">
        <v>11</v>
      </c>
      <c r="P130" t="s">
        <v>0</v>
      </c>
      <c r="Q130" t="s">
        <v>408</v>
      </c>
      <c r="R130" t="s">
        <v>439</v>
      </c>
      <c r="S130" t="s">
        <v>440</v>
      </c>
      <c r="T130" t="s">
        <v>11</v>
      </c>
      <c r="U130" t="s">
        <v>408</v>
      </c>
    </row>
    <row r="131" spans="1:21" x14ac:dyDescent="0.25">
      <c r="A131">
        <v>8092115</v>
      </c>
      <c r="B131" t="s">
        <v>340</v>
      </c>
      <c r="C131" t="s">
        <v>26</v>
      </c>
      <c r="D131" t="s">
        <v>12</v>
      </c>
      <c r="E131" t="s">
        <v>714</v>
      </c>
      <c r="F131" t="s">
        <v>216</v>
      </c>
      <c r="G131" t="s">
        <v>369</v>
      </c>
      <c r="H131" t="s">
        <v>0</v>
      </c>
      <c r="I131" t="s">
        <v>436</v>
      </c>
      <c r="J131" t="s">
        <v>437</v>
      </c>
      <c r="K131" t="s">
        <v>438</v>
      </c>
      <c r="L131" t="s">
        <v>1</v>
      </c>
      <c r="M131" t="s">
        <v>408</v>
      </c>
      <c r="N131" t="s">
        <v>11</v>
      </c>
      <c r="O131" t="s">
        <v>11</v>
      </c>
      <c r="P131" t="s">
        <v>0</v>
      </c>
      <c r="Q131" t="s">
        <v>408</v>
      </c>
      <c r="R131" t="s">
        <v>439</v>
      </c>
      <c r="S131" t="s">
        <v>440</v>
      </c>
      <c r="T131" t="s">
        <v>11</v>
      </c>
      <c r="U131" t="s">
        <v>408</v>
      </c>
    </row>
    <row r="132" spans="1:21" x14ac:dyDescent="0.25">
      <c r="A132">
        <v>8092117</v>
      </c>
      <c r="B132" t="s">
        <v>340</v>
      </c>
      <c r="C132" t="s">
        <v>26</v>
      </c>
      <c r="D132" t="s">
        <v>12</v>
      </c>
      <c r="E132" t="s">
        <v>607</v>
      </c>
      <c r="F132" t="s">
        <v>180</v>
      </c>
      <c r="G132" t="s">
        <v>369</v>
      </c>
      <c r="H132" t="s">
        <v>3</v>
      </c>
      <c r="I132" t="s">
        <v>436</v>
      </c>
      <c r="J132" t="s">
        <v>441</v>
      </c>
      <c r="K132" t="s">
        <v>442</v>
      </c>
      <c r="L132" t="s">
        <v>0</v>
      </c>
      <c r="M132" t="s">
        <v>408</v>
      </c>
      <c r="N132" t="s">
        <v>11</v>
      </c>
      <c r="O132" t="s">
        <v>408</v>
      </c>
      <c r="P132" t="s">
        <v>0</v>
      </c>
      <c r="Q132" t="s">
        <v>408</v>
      </c>
      <c r="R132" t="s">
        <v>439</v>
      </c>
      <c r="S132" t="s">
        <v>440</v>
      </c>
      <c r="T132" t="s">
        <v>11</v>
      </c>
      <c r="U132" t="s">
        <v>408</v>
      </c>
    </row>
    <row r="133" spans="1:21" x14ac:dyDescent="0.25">
      <c r="A133">
        <v>8092128</v>
      </c>
      <c r="B133" t="s">
        <v>340</v>
      </c>
      <c r="C133" t="s">
        <v>26</v>
      </c>
      <c r="D133" t="s">
        <v>24</v>
      </c>
      <c r="E133" t="s">
        <v>607</v>
      </c>
      <c r="F133" t="s">
        <v>180</v>
      </c>
      <c r="G133" t="s">
        <v>369</v>
      </c>
      <c r="H133" t="s">
        <v>0</v>
      </c>
      <c r="I133" t="s">
        <v>436</v>
      </c>
      <c r="J133" t="s">
        <v>437</v>
      </c>
      <c r="K133" t="s">
        <v>438</v>
      </c>
      <c r="L133" t="s">
        <v>1</v>
      </c>
      <c r="M133" t="s">
        <v>408</v>
      </c>
      <c r="N133" t="s">
        <v>11</v>
      </c>
      <c r="O133" t="s">
        <v>11</v>
      </c>
      <c r="P133" t="s">
        <v>0</v>
      </c>
      <c r="Q133" t="s">
        <v>408</v>
      </c>
      <c r="R133" t="s">
        <v>439</v>
      </c>
      <c r="S133" t="s">
        <v>440</v>
      </c>
      <c r="T133" t="s">
        <v>11</v>
      </c>
      <c r="U133" t="s">
        <v>408</v>
      </c>
    </row>
    <row r="134" spans="1:21" x14ac:dyDescent="0.25">
      <c r="A134">
        <v>8092171</v>
      </c>
      <c r="B134" t="s">
        <v>340</v>
      </c>
      <c r="C134" t="s">
        <v>26</v>
      </c>
      <c r="D134" t="s">
        <v>24</v>
      </c>
      <c r="E134" t="s">
        <v>607</v>
      </c>
      <c r="F134" t="s">
        <v>180</v>
      </c>
      <c r="G134" t="s">
        <v>369</v>
      </c>
      <c r="H134" t="s">
        <v>0</v>
      </c>
      <c r="I134" t="s">
        <v>436</v>
      </c>
      <c r="J134" t="s">
        <v>437</v>
      </c>
      <c r="K134" t="s">
        <v>438</v>
      </c>
      <c r="L134" t="s">
        <v>8</v>
      </c>
      <c r="M134" t="s">
        <v>408</v>
      </c>
      <c r="N134" t="s">
        <v>11</v>
      </c>
      <c r="O134" t="s">
        <v>408</v>
      </c>
      <c r="P134" t="s">
        <v>0</v>
      </c>
      <c r="Q134" t="s">
        <v>408</v>
      </c>
      <c r="R134" t="s">
        <v>439</v>
      </c>
      <c r="S134" t="s">
        <v>440</v>
      </c>
      <c r="T134" t="s">
        <v>11</v>
      </c>
      <c r="U134" t="s">
        <v>408</v>
      </c>
    </row>
    <row r="135" spans="1:21" x14ac:dyDescent="0.25">
      <c r="A135">
        <v>8092178</v>
      </c>
      <c r="B135" t="s">
        <v>340</v>
      </c>
      <c r="C135" t="s">
        <v>26</v>
      </c>
      <c r="D135" t="s">
        <v>24</v>
      </c>
      <c r="E135" t="s">
        <v>536</v>
      </c>
      <c r="F135" t="s">
        <v>279</v>
      </c>
      <c r="G135" t="s">
        <v>369</v>
      </c>
      <c r="H135" t="s">
        <v>1</v>
      </c>
      <c r="I135" t="s">
        <v>469</v>
      </c>
      <c r="J135" t="s">
        <v>445</v>
      </c>
      <c r="K135" t="s">
        <v>438</v>
      </c>
      <c r="L135" t="s">
        <v>0</v>
      </c>
      <c r="M135" t="s">
        <v>408</v>
      </c>
      <c r="N135" t="s">
        <v>11</v>
      </c>
      <c r="O135" t="s">
        <v>11</v>
      </c>
      <c r="P135" t="s">
        <v>0</v>
      </c>
      <c r="Q135" t="s">
        <v>408</v>
      </c>
      <c r="R135" t="s">
        <v>439</v>
      </c>
      <c r="S135" t="s">
        <v>440</v>
      </c>
      <c r="T135" t="s">
        <v>11</v>
      </c>
      <c r="U135" t="s">
        <v>408</v>
      </c>
    </row>
    <row r="136" spans="1:21" x14ac:dyDescent="0.25">
      <c r="A136">
        <v>8092235</v>
      </c>
      <c r="B136" t="s">
        <v>340</v>
      </c>
      <c r="C136" t="s">
        <v>26</v>
      </c>
      <c r="D136" t="s">
        <v>79</v>
      </c>
      <c r="E136" t="s">
        <v>714</v>
      </c>
      <c r="F136" t="s">
        <v>216</v>
      </c>
      <c r="G136" t="s">
        <v>369</v>
      </c>
      <c r="H136" t="s">
        <v>0</v>
      </c>
      <c r="I136" t="s">
        <v>436</v>
      </c>
      <c r="J136" t="s">
        <v>437</v>
      </c>
      <c r="K136" t="s">
        <v>438</v>
      </c>
      <c r="L136" t="s">
        <v>4</v>
      </c>
      <c r="M136" t="s">
        <v>408</v>
      </c>
      <c r="N136" t="s">
        <v>11</v>
      </c>
      <c r="O136" t="s">
        <v>11</v>
      </c>
      <c r="P136" t="s">
        <v>341</v>
      </c>
      <c r="Q136" t="s">
        <v>408</v>
      </c>
      <c r="R136" t="s">
        <v>439</v>
      </c>
      <c r="S136" t="s">
        <v>440</v>
      </c>
      <c r="T136" t="s">
        <v>11</v>
      </c>
      <c r="U136" t="s">
        <v>408</v>
      </c>
    </row>
    <row r="137" spans="1:21" x14ac:dyDescent="0.25">
      <c r="A137">
        <v>8092237</v>
      </c>
      <c r="B137" t="s">
        <v>340</v>
      </c>
      <c r="C137" t="s">
        <v>26</v>
      </c>
      <c r="D137" t="s">
        <v>24</v>
      </c>
      <c r="E137" t="s">
        <v>714</v>
      </c>
      <c r="F137" t="s">
        <v>216</v>
      </c>
      <c r="G137" t="s">
        <v>369</v>
      </c>
      <c r="H137" t="s">
        <v>0</v>
      </c>
      <c r="I137" t="s">
        <v>436</v>
      </c>
      <c r="J137" t="s">
        <v>437</v>
      </c>
      <c r="K137" t="s">
        <v>438</v>
      </c>
      <c r="L137" t="s">
        <v>5</v>
      </c>
      <c r="M137" t="s">
        <v>408</v>
      </c>
      <c r="N137" t="s">
        <v>11</v>
      </c>
      <c r="O137" t="s">
        <v>11</v>
      </c>
      <c r="P137" t="s">
        <v>341</v>
      </c>
      <c r="Q137" t="s">
        <v>408</v>
      </c>
      <c r="R137" t="s">
        <v>439</v>
      </c>
      <c r="S137" t="s">
        <v>440</v>
      </c>
      <c r="T137" t="s">
        <v>11</v>
      </c>
      <c r="U137" t="s">
        <v>408</v>
      </c>
    </row>
    <row r="138" spans="1:21" x14ac:dyDescent="0.25">
      <c r="A138">
        <v>8092272</v>
      </c>
      <c r="B138" t="s">
        <v>342</v>
      </c>
      <c r="C138" t="s">
        <v>33</v>
      </c>
      <c r="D138" t="s">
        <v>24</v>
      </c>
      <c r="E138" t="s">
        <v>624</v>
      </c>
      <c r="F138" t="s">
        <v>229</v>
      </c>
      <c r="G138" t="s">
        <v>369</v>
      </c>
      <c r="H138" t="s">
        <v>0</v>
      </c>
      <c r="I138" t="s">
        <v>436</v>
      </c>
      <c r="J138" t="s">
        <v>437</v>
      </c>
      <c r="K138" t="s">
        <v>438</v>
      </c>
      <c r="L138" t="s">
        <v>347</v>
      </c>
      <c r="M138" t="s">
        <v>408</v>
      </c>
      <c r="N138" t="s">
        <v>11</v>
      </c>
      <c r="O138" t="s">
        <v>408</v>
      </c>
      <c r="P138" t="s">
        <v>0</v>
      </c>
      <c r="Q138" t="s">
        <v>408</v>
      </c>
      <c r="R138" t="s">
        <v>439</v>
      </c>
      <c r="S138" t="s">
        <v>440</v>
      </c>
      <c r="T138" t="s">
        <v>11</v>
      </c>
      <c r="U138" t="s">
        <v>408</v>
      </c>
    </row>
    <row r="139" spans="1:21" x14ac:dyDescent="0.25">
      <c r="A139">
        <v>8092273</v>
      </c>
      <c r="B139" t="s">
        <v>342</v>
      </c>
      <c r="C139" t="s">
        <v>33</v>
      </c>
      <c r="D139" t="s">
        <v>24</v>
      </c>
      <c r="E139" t="s">
        <v>624</v>
      </c>
      <c r="F139" t="s">
        <v>229</v>
      </c>
      <c r="G139" t="s">
        <v>369</v>
      </c>
      <c r="H139" t="s">
        <v>0</v>
      </c>
      <c r="I139" t="s">
        <v>436</v>
      </c>
      <c r="J139" t="s">
        <v>437</v>
      </c>
      <c r="K139" t="s">
        <v>438</v>
      </c>
      <c r="L139" t="s">
        <v>347</v>
      </c>
      <c r="M139" t="s">
        <v>408</v>
      </c>
      <c r="N139" t="s">
        <v>11</v>
      </c>
      <c r="O139" t="s">
        <v>408</v>
      </c>
      <c r="P139" t="s">
        <v>0</v>
      </c>
      <c r="Q139" t="s">
        <v>408</v>
      </c>
      <c r="R139" t="s">
        <v>439</v>
      </c>
      <c r="S139" t="s">
        <v>440</v>
      </c>
      <c r="T139" t="s">
        <v>11</v>
      </c>
      <c r="U139" t="s">
        <v>408</v>
      </c>
    </row>
    <row r="140" spans="1:21" x14ac:dyDescent="0.25">
      <c r="A140">
        <v>8092284</v>
      </c>
      <c r="B140" t="s">
        <v>340</v>
      </c>
      <c r="C140" t="s">
        <v>26</v>
      </c>
      <c r="D140" t="s">
        <v>18</v>
      </c>
      <c r="E140" t="s">
        <v>472</v>
      </c>
      <c r="F140" t="s">
        <v>145</v>
      </c>
      <c r="G140" t="s">
        <v>369</v>
      </c>
      <c r="H140" t="s">
        <v>0</v>
      </c>
      <c r="I140" t="s">
        <v>436</v>
      </c>
      <c r="J140" t="s">
        <v>437</v>
      </c>
      <c r="K140" t="s">
        <v>438</v>
      </c>
      <c r="L140" t="s">
        <v>1</v>
      </c>
      <c r="M140" t="s">
        <v>408</v>
      </c>
      <c r="N140" t="s">
        <v>11</v>
      </c>
      <c r="O140" t="s">
        <v>11</v>
      </c>
      <c r="P140" t="s">
        <v>0</v>
      </c>
      <c r="Q140" t="s">
        <v>408</v>
      </c>
      <c r="R140" t="s">
        <v>439</v>
      </c>
      <c r="S140" t="s">
        <v>440</v>
      </c>
      <c r="T140" t="s">
        <v>11</v>
      </c>
      <c r="U140" t="s">
        <v>408</v>
      </c>
    </row>
    <row r="141" spans="1:21" x14ac:dyDescent="0.25">
      <c r="A141">
        <v>8092285</v>
      </c>
      <c r="B141" t="s">
        <v>340</v>
      </c>
      <c r="C141" t="s">
        <v>26</v>
      </c>
      <c r="D141" t="s">
        <v>12</v>
      </c>
      <c r="E141" t="s">
        <v>472</v>
      </c>
      <c r="F141" t="s">
        <v>145</v>
      </c>
      <c r="G141" t="s">
        <v>369</v>
      </c>
      <c r="H141" t="s">
        <v>2</v>
      </c>
      <c r="I141" t="s">
        <v>436</v>
      </c>
      <c r="J141" t="s">
        <v>443</v>
      </c>
      <c r="K141" t="s">
        <v>444</v>
      </c>
      <c r="L141" t="s">
        <v>0</v>
      </c>
      <c r="M141" t="s">
        <v>408</v>
      </c>
      <c r="N141" t="s">
        <v>11</v>
      </c>
      <c r="O141" t="s">
        <v>11</v>
      </c>
      <c r="P141" t="s">
        <v>0</v>
      </c>
      <c r="Q141" t="s">
        <v>408</v>
      </c>
      <c r="R141" t="s">
        <v>439</v>
      </c>
      <c r="S141" t="s">
        <v>440</v>
      </c>
      <c r="T141" t="s">
        <v>11</v>
      </c>
      <c r="U141" t="s">
        <v>408</v>
      </c>
    </row>
    <row r="142" spans="1:21" x14ac:dyDescent="0.25">
      <c r="A142">
        <v>8092291</v>
      </c>
      <c r="B142" t="s">
        <v>340</v>
      </c>
      <c r="C142" t="s">
        <v>26</v>
      </c>
      <c r="D142" t="s">
        <v>24</v>
      </c>
      <c r="E142" t="s">
        <v>608</v>
      </c>
      <c r="F142" t="s">
        <v>329</v>
      </c>
      <c r="G142" t="s">
        <v>369</v>
      </c>
      <c r="H142" t="s">
        <v>1</v>
      </c>
      <c r="I142" t="s">
        <v>469</v>
      </c>
      <c r="J142" t="s">
        <v>445</v>
      </c>
      <c r="K142" t="s">
        <v>438</v>
      </c>
      <c r="L142" t="s">
        <v>0</v>
      </c>
      <c r="M142" t="s">
        <v>408</v>
      </c>
      <c r="N142" t="s">
        <v>11</v>
      </c>
      <c r="O142" t="s">
        <v>11</v>
      </c>
      <c r="P142" t="s">
        <v>0</v>
      </c>
      <c r="Q142" t="s">
        <v>408</v>
      </c>
      <c r="R142" t="s">
        <v>439</v>
      </c>
      <c r="S142" t="s">
        <v>440</v>
      </c>
      <c r="T142" t="s">
        <v>11</v>
      </c>
      <c r="U142" t="s">
        <v>408</v>
      </c>
    </row>
    <row r="143" spans="1:21" x14ac:dyDescent="0.25">
      <c r="A143">
        <v>8092294</v>
      </c>
      <c r="B143" t="s">
        <v>340</v>
      </c>
      <c r="C143" t="s">
        <v>26</v>
      </c>
      <c r="D143" t="s">
        <v>12</v>
      </c>
      <c r="E143" t="s">
        <v>536</v>
      </c>
      <c r="F143" t="s">
        <v>279</v>
      </c>
      <c r="G143" t="s">
        <v>369</v>
      </c>
      <c r="H143" t="s">
        <v>0</v>
      </c>
      <c r="I143" t="s">
        <v>436</v>
      </c>
      <c r="J143" t="s">
        <v>437</v>
      </c>
      <c r="K143" t="s">
        <v>438</v>
      </c>
      <c r="L143" t="s">
        <v>1</v>
      </c>
      <c r="M143" t="s">
        <v>408</v>
      </c>
      <c r="N143" t="s">
        <v>11</v>
      </c>
      <c r="O143" t="s">
        <v>11</v>
      </c>
      <c r="P143" t="s">
        <v>0</v>
      </c>
      <c r="Q143" t="s">
        <v>408</v>
      </c>
      <c r="R143" t="s">
        <v>439</v>
      </c>
      <c r="S143" t="s">
        <v>440</v>
      </c>
      <c r="T143" t="s">
        <v>11</v>
      </c>
      <c r="U143" t="s">
        <v>408</v>
      </c>
    </row>
    <row r="144" spans="1:21" x14ac:dyDescent="0.25">
      <c r="A144">
        <v>8092299</v>
      </c>
      <c r="B144" t="s">
        <v>342</v>
      </c>
      <c r="C144" t="s">
        <v>38</v>
      </c>
      <c r="D144" t="s">
        <v>12</v>
      </c>
      <c r="E144" t="s">
        <v>695</v>
      </c>
      <c r="F144" t="s">
        <v>278</v>
      </c>
      <c r="G144" t="s">
        <v>369</v>
      </c>
      <c r="H144" t="s">
        <v>0</v>
      </c>
      <c r="I144" t="s">
        <v>436</v>
      </c>
      <c r="J144" t="s">
        <v>437</v>
      </c>
      <c r="K144" t="s">
        <v>438</v>
      </c>
      <c r="L144" t="s">
        <v>347</v>
      </c>
      <c r="M144" t="s">
        <v>408</v>
      </c>
      <c r="N144" t="s">
        <v>11</v>
      </c>
      <c r="O144" t="s">
        <v>11</v>
      </c>
      <c r="P144" t="s">
        <v>344</v>
      </c>
      <c r="Q144" t="s">
        <v>408</v>
      </c>
      <c r="R144" t="s">
        <v>439</v>
      </c>
      <c r="S144" t="s">
        <v>440</v>
      </c>
      <c r="T144" t="s">
        <v>11</v>
      </c>
      <c r="U144" t="s">
        <v>408</v>
      </c>
    </row>
    <row r="145" spans="1:21" x14ac:dyDescent="0.25">
      <c r="A145">
        <v>8092302</v>
      </c>
      <c r="B145" t="s">
        <v>340</v>
      </c>
      <c r="C145" t="s">
        <v>26</v>
      </c>
      <c r="D145" t="s">
        <v>24</v>
      </c>
      <c r="E145" t="s">
        <v>607</v>
      </c>
      <c r="F145" t="s">
        <v>180</v>
      </c>
      <c r="G145" t="s">
        <v>369</v>
      </c>
      <c r="H145" t="s">
        <v>1</v>
      </c>
      <c r="I145" t="s">
        <v>469</v>
      </c>
      <c r="J145" t="s">
        <v>445</v>
      </c>
      <c r="K145" t="s">
        <v>438</v>
      </c>
      <c r="L145" t="s">
        <v>5</v>
      </c>
      <c r="M145" t="s">
        <v>408</v>
      </c>
      <c r="N145" t="s">
        <v>11</v>
      </c>
      <c r="O145" t="s">
        <v>408</v>
      </c>
      <c r="P145" t="s">
        <v>341</v>
      </c>
      <c r="Q145" t="s">
        <v>408</v>
      </c>
      <c r="R145" t="s">
        <v>439</v>
      </c>
      <c r="S145" t="s">
        <v>440</v>
      </c>
      <c r="T145" t="s">
        <v>11</v>
      </c>
      <c r="U145" t="s">
        <v>408</v>
      </c>
    </row>
    <row r="146" spans="1:21" x14ac:dyDescent="0.25">
      <c r="A146">
        <v>8092316</v>
      </c>
      <c r="B146" t="s">
        <v>340</v>
      </c>
      <c r="C146" t="s">
        <v>26</v>
      </c>
      <c r="D146" t="s">
        <v>24</v>
      </c>
      <c r="E146" t="s">
        <v>607</v>
      </c>
      <c r="F146" t="s">
        <v>180</v>
      </c>
      <c r="G146" t="s">
        <v>369</v>
      </c>
      <c r="H146" t="s">
        <v>1</v>
      </c>
      <c r="I146" t="s">
        <v>469</v>
      </c>
      <c r="J146" t="s">
        <v>445</v>
      </c>
      <c r="K146" t="s">
        <v>438</v>
      </c>
      <c r="L146" t="s">
        <v>5</v>
      </c>
      <c r="M146" t="s">
        <v>408</v>
      </c>
      <c r="N146" t="s">
        <v>11</v>
      </c>
      <c r="O146" t="s">
        <v>408</v>
      </c>
      <c r="P146" t="s">
        <v>0</v>
      </c>
      <c r="Q146" t="s">
        <v>408</v>
      </c>
      <c r="R146" t="s">
        <v>439</v>
      </c>
      <c r="S146" t="s">
        <v>440</v>
      </c>
      <c r="T146" t="s">
        <v>11</v>
      </c>
      <c r="U146" t="s">
        <v>408</v>
      </c>
    </row>
    <row r="147" spans="1:21" x14ac:dyDescent="0.25">
      <c r="A147">
        <v>8092320</v>
      </c>
      <c r="B147" t="s">
        <v>340</v>
      </c>
      <c r="C147" t="s">
        <v>26</v>
      </c>
      <c r="D147" t="s">
        <v>18</v>
      </c>
      <c r="E147" t="s">
        <v>607</v>
      </c>
      <c r="F147" t="s">
        <v>180</v>
      </c>
      <c r="G147" t="s">
        <v>369</v>
      </c>
      <c r="H147" t="s">
        <v>1</v>
      </c>
      <c r="I147" t="s">
        <v>469</v>
      </c>
      <c r="J147" t="s">
        <v>445</v>
      </c>
      <c r="K147" t="s">
        <v>438</v>
      </c>
      <c r="L147" t="s">
        <v>5</v>
      </c>
      <c r="M147" t="s">
        <v>408</v>
      </c>
      <c r="N147" t="s">
        <v>11</v>
      </c>
      <c r="O147" t="s">
        <v>408</v>
      </c>
      <c r="P147" t="s">
        <v>0</v>
      </c>
      <c r="Q147" t="s">
        <v>408</v>
      </c>
      <c r="R147" t="s">
        <v>439</v>
      </c>
      <c r="S147" t="s">
        <v>440</v>
      </c>
      <c r="T147" t="s">
        <v>11</v>
      </c>
      <c r="U147" t="s">
        <v>408</v>
      </c>
    </row>
    <row r="148" spans="1:21" x14ac:dyDescent="0.25">
      <c r="A148">
        <v>8092327</v>
      </c>
      <c r="B148" t="s">
        <v>340</v>
      </c>
      <c r="C148" t="s">
        <v>26</v>
      </c>
      <c r="D148" t="s">
        <v>12</v>
      </c>
      <c r="E148" t="s">
        <v>607</v>
      </c>
      <c r="F148" t="s">
        <v>180</v>
      </c>
      <c r="G148" t="s">
        <v>369</v>
      </c>
      <c r="H148" t="s">
        <v>1</v>
      </c>
      <c r="I148" t="s">
        <v>469</v>
      </c>
      <c r="J148" t="s">
        <v>445</v>
      </c>
      <c r="K148" t="s">
        <v>438</v>
      </c>
      <c r="L148" t="s">
        <v>5</v>
      </c>
      <c r="M148" t="s">
        <v>408</v>
      </c>
      <c r="N148" t="s">
        <v>11</v>
      </c>
      <c r="O148" t="s">
        <v>408</v>
      </c>
      <c r="P148" t="s">
        <v>0</v>
      </c>
      <c r="Q148" t="s">
        <v>408</v>
      </c>
      <c r="R148" t="s">
        <v>439</v>
      </c>
      <c r="S148" t="s">
        <v>440</v>
      </c>
      <c r="T148" t="s">
        <v>11</v>
      </c>
      <c r="U148" t="s">
        <v>408</v>
      </c>
    </row>
    <row r="149" spans="1:21" x14ac:dyDescent="0.25">
      <c r="A149">
        <v>8092334</v>
      </c>
      <c r="B149" t="s">
        <v>340</v>
      </c>
      <c r="C149" t="s">
        <v>26</v>
      </c>
      <c r="D149" t="s">
        <v>79</v>
      </c>
      <c r="E149" t="s">
        <v>714</v>
      </c>
      <c r="F149" t="s">
        <v>216</v>
      </c>
      <c r="G149" t="s">
        <v>369</v>
      </c>
      <c r="H149" t="s">
        <v>1</v>
      </c>
      <c r="I149" t="s">
        <v>469</v>
      </c>
      <c r="J149" t="s">
        <v>445</v>
      </c>
      <c r="K149" t="s">
        <v>438</v>
      </c>
      <c r="L149" t="s">
        <v>5</v>
      </c>
      <c r="M149" t="s">
        <v>408</v>
      </c>
      <c r="N149" t="s">
        <v>11</v>
      </c>
      <c r="O149" t="s">
        <v>408</v>
      </c>
      <c r="P149" t="s">
        <v>341</v>
      </c>
      <c r="Q149" t="s">
        <v>408</v>
      </c>
      <c r="R149" t="s">
        <v>439</v>
      </c>
      <c r="S149" t="s">
        <v>440</v>
      </c>
      <c r="T149" t="s">
        <v>11</v>
      </c>
      <c r="U149" t="s">
        <v>408</v>
      </c>
    </row>
    <row r="150" spans="1:21" x14ac:dyDescent="0.25">
      <c r="A150">
        <v>8092335</v>
      </c>
      <c r="B150" t="s">
        <v>340</v>
      </c>
      <c r="C150" t="s">
        <v>26</v>
      </c>
      <c r="D150" t="s">
        <v>79</v>
      </c>
      <c r="E150" t="s">
        <v>714</v>
      </c>
      <c r="F150" t="s">
        <v>216</v>
      </c>
      <c r="G150" t="s">
        <v>369</v>
      </c>
      <c r="H150" t="s">
        <v>1</v>
      </c>
      <c r="I150" t="s">
        <v>469</v>
      </c>
      <c r="J150" t="s">
        <v>445</v>
      </c>
      <c r="K150" t="s">
        <v>438</v>
      </c>
      <c r="L150" t="s">
        <v>5</v>
      </c>
      <c r="M150" t="s">
        <v>408</v>
      </c>
      <c r="N150" t="s">
        <v>11</v>
      </c>
      <c r="O150" t="s">
        <v>408</v>
      </c>
      <c r="P150" t="s">
        <v>0</v>
      </c>
      <c r="Q150" t="s">
        <v>408</v>
      </c>
      <c r="R150" t="s">
        <v>439</v>
      </c>
      <c r="S150" t="s">
        <v>440</v>
      </c>
      <c r="T150" t="s">
        <v>11</v>
      </c>
      <c r="U150" t="s">
        <v>408</v>
      </c>
    </row>
    <row r="151" spans="1:21" x14ac:dyDescent="0.25">
      <c r="A151">
        <v>8092336</v>
      </c>
      <c r="B151" t="s">
        <v>340</v>
      </c>
      <c r="C151" t="s">
        <v>26</v>
      </c>
      <c r="D151" t="s">
        <v>12</v>
      </c>
      <c r="E151" t="s">
        <v>714</v>
      </c>
      <c r="F151" t="s">
        <v>216</v>
      </c>
      <c r="G151" t="s">
        <v>369</v>
      </c>
      <c r="H151" t="s">
        <v>1</v>
      </c>
      <c r="I151" t="s">
        <v>469</v>
      </c>
      <c r="J151" t="s">
        <v>445</v>
      </c>
      <c r="K151" t="s">
        <v>438</v>
      </c>
      <c r="L151" t="s">
        <v>5</v>
      </c>
      <c r="M151" t="s">
        <v>408</v>
      </c>
      <c r="N151" t="s">
        <v>11</v>
      </c>
      <c r="O151" t="s">
        <v>408</v>
      </c>
      <c r="P151" t="s">
        <v>0</v>
      </c>
      <c r="Q151" t="s">
        <v>408</v>
      </c>
      <c r="R151" t="s">
        <v>439</v>
      </c>
      <c r="S151" t="s">
        <v>440</v>
      </c>
      <c r="T151" t="s">
        <v>11</v>
      </c>
      <c r="U151" t="s">
        <v>408</v>
      </c>
    </row>
    <row r="152" spans="1:21" x14ac:dyDescent="0.25">
      <c r="A152">
        <v>8092339</v>
      </c>
      <c r="B152" t="s">
        <v>340</v>
      </c>
      <c r="C152" t="s">
        <v>26</v>
      </c>
      <c r="D152" t="s">
        <v>12</v>
      </c>
      <c r="E152" t="s">
        <v>472</v>
      </c>
      <c r="F152" t="s">
        <v>145</v>
      </c>
      <c r="G152" t="s">
        <v>369</v>
      </c>
      <c r="H152" t="s">
        <v>1</v>
      </c>
      <c r="I152" t="s">
        <v>469</v>
      </c>
      <c r="J152" t="s">
        <v>445</v>
      </c>
      <c r="K152" t="s">
        <v>438</v>
      </c>
      <c r="L152" t="s">
        <v>5</v>
      </c>
      <c r="M152" t="s">
        <v>408</v>
      </c>
      <c r="N152" t="s">
        <v>11</v>
      </c>
      <c r="O152" t="s">
        <v>408</v>
      </c>
      <c r="P152" t="s">
        <v>0</v>
      </c>
      <c r="Q152" t="s">
        <v>408</v>
      </c>
      <c r="R152" t="s">
        <v>439</v>
      </c>
      <c r="S152" t="s">
        <v>440</v>
      </c>
      <c r="T152" t="s">
        <v>11</v>
      </c>
      <c r="U152" t="s">
        <v>408</v>
      </c>
    </row>
    <row r="153" spans="1:21" x14ac:dyDescent="0.25">
      <c r="A153">
        <v>8092345</v>
      </c>
      <c r="B153" t="s">
        <v>340</v>
      </c>
      <c r="C153" t="s">
        <v>26</v>
      </c>
      <c r="D153" t="s">
        <v>18</v>
      </c>
      <c r="E153" t="s">
        <v>607</v>
      </c>
      <c r="F153" t="s">
        <v>180</v>
      </c>
      <c r="G153" t="s">
        <v>369</v>
      </c>
      <c r="H153" t="s">
        <v>1</v>
      </c>
      <c r="I153" t="s">
        <v>469</v>
      </c>
      <c r="J153" t="s">
        <v>445</v>
      </c>
      <c r="K153" t="s">
        <v>438</v>
      </c>
      <c r="L153" t="s">
        <v>5</v>
      </c>
      <c r="M153" t="s">
        <v>408</v>
      </c>
      <c r="N153" t="s">
        <v>11</v>
      </c>
      <c r="O153" t="s">
        <v>408</v>
      </c>
      <c r="P153" t="s">
        <v>341</v>
      </c>
      <c r="Q153" t="s">
        <v>408</v>
      </c>
      <c r="R153" t="s">
        <v>439</v>
      </c>
      <c r="S153" t="s">
        <v>440</v>
      </c>
      <c r="T153" t="s">
        <v>11</v>
      </c>
      <c r="U153" t="s">
        <v>408</v>
      </c>
    </row>
    <row r="154" spans="1:21" x14ac:dyDescent="0.25">
      <c r="A154">
        <v>8092346</v>
      </c>
      <c r="B154" t="s">
        <v>340</v>
      </c>
      <c r="C154" t="s">
        <v>26</v>
      </c>
      <c r="D154" t="s">
        <v>12</v>
      </c>
      <c r="E154" t="s">
        <v>607</v>
      </c>
      <c r="F154" t="s">
        <v>180</v>
      </c>
      <c r="G154" t="s">
        <v>369</v>
      </c>
      <c r="H154" t="s">
        <v>715</v>
      </c>
      <c r="I154" t="s">
        <v>716</v>
      </c>
      <c r="J154" t="s">
        <v>717</v>
      </c>
      <c r="K154" t="s">
        <v>438</v>
      </c>
      <c r="L154" t="s">
        <v>0</v>
      </c>
      <c r="M154" t="s">
        <v>408</v>
      </c>
      <c r="N154" t="s">
        <v>11</v>
      </c>
      <c r="O154" t="s">
        <v>408</v>
      </c>
      <c r="P154" t="s">
        <v>0</v>
      </c>
      <c r="Q154" t="s">
        <v>408</v>
      </c>
      <c r="R154" t="s">
        <v>439</v>
      </c>
      <c r="S154" t="s">
        <v>440</v>
      </c>
      <c r="T154" t="s">
        <v>11</v>
      </c>
      <c r="U154" t="s">
        <v>408</v>
      </c>
    </row>
    <row r="155" spans="1:21" x14ac:dyDescent="0.25">
      <c r="A155">
        <v>8092354</v>
      </c>
      <c r="B155" t="s">
        <v>340</v>
      </c>
      <c r="C155" t="s">
        <v>26</v>
      </c>
      <c r="D155" t="s">
        <v>12</v>
      </c>
      <c r="E155" t="s">
        <v>714</v>
      </c>
      <c r="F155" t="s">
        <v>216</v>
      </c>
      <c r="G155" t="s">
        <v>369</v>
      </c>
      <c r="H155" t="s">
        <v>1</v>
      </c>
      <c r="I155" t="s">
        <v>469</v>
      </c>
      <c r="J155" t="s">
        <v>445</v>
      </c>
      <c r="K155" t="s">
        <v>438</v>
      </c>
      <c r="L155" t="s">
        <v>0</v>
      </c>
      <c r="M155" t="s">
        <v>408</v>
      </c>
      <c r="N155" t="s">
        <v>11</v>
      </c>
      <c r="O155" t="s">
        <v>11</v>
      </c>
      <c r="P155" t="s">
        <v>0</v>
      </c>
      <c r="Q155" t="s">
        <v>408</v>
      </c>
      <c r="R155" t="s">
        <v>439</v>
      </c>
      <c r="S155" t="s">
        <v>440</v>
      </c>
      <c r="T155" t="s">
        <v>11</v>
      </c>
      <c r="U155" t="s">
        <v>408</v>
      </c>
    </row>
    <row r="156" spans="1:21" x14ac:dyDescent="0.25">
      <c r="A156">
        <v>8092359</v>
      </c>
      <c r="B156" t="s">
        <v>340</v>
      </c>
      <c r="C156" t="s">
        <v>26</v>
      </c>
      <c r="D156" t="s">
        <v>12</v>
      </c>
      <c r="E156" t="s">
        <v>607</v>
      </c>
      <c r="F156" t="s">
        <v>180</v>
      </c>
      <c r="G156" t="s">
        <v>369</v>
      </c>
      <c r="H156" t="s">
        <v>0</v>
      </c>
      <c r="I156" t="s">
        <v>436</v>
      </c>
      <c r="J156" t="s">
        <v>437</v>
      </c>
      <c r="K156" t="s">
        <v>438</v>
      </c>
      <c r="L156" t="s">
        <v>4</v>
      </c>
      <c r="M156" t="s">
        <v>408</v>
      </c>
      <c r="N156" t="s">
        <v>11</v>
      </c>
      <c r="O156" t="s">
        <v>408</v>
      </c>
      <c r="P156" t="s">
        <v>0</v>
      </c>
      <c r="Q156" t="s">
        <v>408</v>
      </c>
      <c r="R156" t="s">
        <v>439</v>
      </c>
      <c r="S156" t="s">
        <v>440</v>
      </c>
      <c r="T156" t="s">
        <v>11</v>
      </c>
      <c r="U156" t="s">
        <v>408</v>
      </c>
    </row>
    <row r="157" spans="1:21" x14ac:dyDescent="0.25">
      <c r="A157">
        <v>8092361</v>
      </c>
      <c r="B157" t="s">
        <v>340</v>
      </c>
      <c r="C157" t="s">
        <v>26</v>
      </c>
      <c r="D157" t="s">
        <v>79</v>
      </c>
      <c r="E157" t="s">
        <v>607</v>
      </c>
      <c r="F157" t="s">
        <v>180</v>
      </c>
      <c r="G157" t="s">
        <v>369</v>
      </c>
      <c r="H157" t="s">
        <v>1</v>
      </c>
      <c r="I157" t="s">
        <v>469</v>
      </c>
      <c r="J157" t="s">
        <v>445</v>
      </c>
      <c r="K157" t="s">
        <v>438</v>
      </c>
      <c r="L157" t="s">
        <v>5</v>
      </c>
      <c r="M157" t="s">
        <v>408</v>
      </c>
      <c r="N157" t="s">
        <v>11</v>
      </c>
      <c r="O157" t="s">
        <v>408</v>
      </c>
      <c r="P157" t="s">
        <v>341</v>
      </c>
      <c r="Q157" t="s">
        <v>408</v>
      </c>
      <c r="R157" t="s">
        <v>439</v>
      </c>
      <c r="S157" t="s">
        <v>440</v>
      </c>
      <c r="T157" t="s">
        <v>11</v>
      </c>
      <c r="U157" t="s">
        <v>408</v>
      </c>
    </row>
    <row r="158" spans="1:21" x14ac:dyDescent="0.25">
      <c r="A158">
        <v>8092366</v>
      </c>
      <c r="B158" t="s">
        <v>340</v>
      </c>
      <c r="C158" t="s">
        <v>26</v>
      </c>
      <c r="D158" t="s">
        <v>18</v>
      </c>
      <c r="E158" t="s">
        <v>714</v>
      </c>
      <c r="F158" t="s">
        <v>216</v>
      </c>
      <c r="G158" t="s">
        <v>369</v>
      </c>
      <c r="H158" t="s">
        <v>1</v>
      </c>
      <c r="I158" t="s">
        <v>469</v>
      </c>
      <c r="J158" t="s">
        <v>445</v>
      </c>
      <c r="K158" t="s">
        <v>438</v>
      </c>
      <c r="L158" t="s">
        <v>5</v>
      </c>
      <c r="M158" t="s">
        <v>408</v>
      </c>
      <c r="N158" t="s">
        <v>11</v>
      </c>
      <c r="O158" t="s">
        <v>408</v>
      </c>
      <c r="P158" t="s">
        <v>341</v>
      </c>
      <c r="Q158" t="s">
        <v>408</v>
      </c>
      <c r="R158" t="s">
        <v>439</v>
      </c>
      <c r="S158" t="s">
        <v>440</v>
      </c>
      <c r="T158" t="s">
        <v>11</v>
      </c>
      <c r="U158" t="s">
        <v>408</v>
      </c>
    </row>
    <row r="159" spans="1:21" x14ac:dyDescent="0.25">
      <c r="A159">
        <v>8092367</v>
      </c>
      <c r="B159" t="s">
        <v>340</v>
      </c>
      <c r="C159" t="s">
        <v>26</v>
      </c>
      <c r="D159" t="s">
        <v>79</v>
      </c>
      <c r="E159" t="s">
        <v>714</v>
      </c>
      <c r="F159" t="s">
        <v>216</v>
      </c>
      <c r="G159" t="s">
        <v>369</v>
      </c>
      <c r="H159" t="s">
        <v>1</v>
      </c>
      <c r="I159" t="s">
        <v>469</v>
      </c>
      <c r="J159" t="s">
        <v>445</v>
      </c>
      <c r="K159" t="s">
        <v>438</v>
      </c>
      <c r="L159" t="s">
        <v>5</v>
      </c>
      <c r="M159" t="s">
        <v>408</v>
      </c>
      <c r="N159" t="s">
        <v>11</v>
      </c>
      <c r="O159" t="s">
        <v>408</v>
      </c>
      <c r="P159" t="s">
        <v>341</v>
      </c>
      <c r="Q159" t="s">
        <v>408</v>
      </c>
      <c r="R159" t="s">
        <v>439</v>
      </c>
      <c r="S159" t="s">
        <v>440</v>
      </c>
      <c r="T159" t="s">
        <v>11</v>
      </c>
      <c r="U159" t="s">
        <v>408</v>
      </c>
    </row>
    <row r="160" spans="1:21" x14ac:dyDescent="0.25">
      <c r="A160">
        <v>8092370</v>
      </c>
      <c r="B160" t="s">
        <v>340</v>
      </c>
      <c r="C160" t="s">
        <v>26</v>
      </c>
      <c r="D160" t="s">
        <v>18</v>
      </c>
      <c r="E160" t="s">
        <v>607</v>
      </c>
      <c r="F160" t="s">
        <v>180</v>
      </c>
      <c r="G160" t="s">
        <v>369</v>
      </c>
      <c r="H160" t="s">
        <v>1</v>
      </c>
      <c r="I160" t="s">
        <v>469</v>
      </c>
      <c r="J160" t="s">
        <v>445</v>
      </c>
      <c r="K160" t="s">
        <v>438</v>
      </c>
      <c r="L160" t="s">
        <v>5</v>
      </c>
      <c r="M160" t="s">
        <v>408</v>
      </c>
      <c r="N160" t="s">
        <v>11</v>
      </c>
      <c r="O160" t="s">
        <v>408</v>
      </c>
      <c r="P160" t="s">
        <v>341</v>
      </c>
      <c r="Q160" t="s">
        <v>408</v>
      </c>
      <c r="R160" t="s">
        <v>439</v>
      </c>
      <c r="S160" t="s">
        <v>440</v>
      </c>
      <c r="T160" t="s">
        <v>11</v>
      </c>
      <c r="U160" t="s">
        <v>408</v>
      </c>
    </row>
    <row r="161" spans="1:21" x14ac:dyDescent="0.25">
      <c r="A161">
        <v>8092373</v>
      </c>
      <c r="B161" t="s">
        <v>340</v>
      </c>
      <c r="C161" t="s">
        <v>26</v>
      </c>
      <c r="D161" t="s">
        <v>12</v>
      </c>
      <c r="E161" t="s">
        <v>607</v>
      </c>
      <c r="F161" t="s">
        <v>180</v>
      </c>
      <c r="G161" t="s">
        <v>369</v>
      </c>
      <c r="H161" t="s">
        <v>1</v>
      </c>
      <c r="I161" t="s">
        <v>469</v>
      </c>
      <c r="J161" t="s">
        <v>445</v>
      </c>
      <c r="K161" t="s">
        <v>438</v>
      </c>
      <c r="L161" t="s">
        <v>5</v>
      </c>
      <c r="M161" t="s">
        <v>408</v>
      </c>
      <c r="N161" t="s">
        <v>11</v>
      </c>
      <c r="O161" t="s">
        <v>408</v>
      </c>
      <c r="P161" t="s">
        <v>0</v>
      </c>
      <c r="Q161" t="s">
        <v>408</v>
      </c>
      <c r="R161" t="s">
        <v>439</v>
      </c>
      <c r="S161" t="s">
        <v>440</v>
      </c>
      <c r="T161" t="s">
        <v>11</v>
      </c>
      <c r="U161" t="s">
        <v>408</v>
      </c>
    </row>
    <row r="162" spans="1:21" x14ac:dyDescent="0.25">
      <c r="A162">
        <v>8092374</v>
      </c>
      <c r="B162" t="s">
        <v>340</v>
      </c>
      <c r="C162" t="s">
        <v>26</v>
      </c>
      <c r="D162" t="s">
        <v>12</v>
      </c>
      <c r="E162" t="s">
        <v>607</v>
      </c>
      <c r="F162" t="s">
        <v>180</v>
      </c>
      <c r="G162" t="s">
        <v>369</v>
      </c>
      <c r="H162" t="s">
        <v>0</v>
      </c>
      <c r="I162" t="s">
        <v>436</v>
      </c>
      <c r="J162" t="s">
        <v>437</v>
      </c>
      <c r="K162" t="s">
        <v>438</v>
      </c>
      <c r="L162" t="s">
        <v>8</v>
      </c>
      <c r="M162" t="s">
        <v>408</v>
      </c>
      <c r="N162" t="s">
        <v>11</v>
      </c>
      <c r="O162" t="s">
        <v>408</v>
      </c>
      <c r="P162" t="s">
        <v>0</v>
      </c>
      <c r="Q162" t="s">
        <v>408</v>
      </c>
      <c r="R162" t="s">
        <v>439</v>
      </c>
      <c r="S162" t="s">
        <v>440</v>
      </c>
      <c r="T162" t="s">
        <v>11</v>
      </c>
      <c r="U162" t="s">
        <v>408</v>
      </c>
    </row>
    <row r="163" spans="1:21" x14ac:dyDescent="0.25">
      <c r="A163">
        <v>8092375</v>
      </c>
      <c r="B163" t="s">
        <v>340</v>
      </c>
      <c r="C163" t="s">
        <v>26</v>
      </c>
      <c r="D163" t="s">
        <v>24</v>
      </c>
      <c r="E163" t="s">
        <v>714</v>
      </c>
      <c r="F163" t="s">
        <v>216</v>
      </c>
      <c r="G163" t="s">
        <v>369</v>
      </c>
      <c r="H163" t="s">
        <v>1</v>
      </c>
      <c r="I163" t="s">
        <v>469</v>
      </c>
      <c r="J163" t="s">
        <v>445</v>
      </c>
      <c r="K163" t="s">
        <v>438</v>
      </c>
      <c r="L163" t="s">
        <v>0</v>
      </c>
      <c r="M163" t="s">
        <v>408</v>
      </c>
      <c r="N163" t="s">
        <v>11</v>
      </c>
      <c r="O163" t="s">
        <v>408</v>
      </c>
      <c r="P163" t="s">
        <v>341</v>
      </c>
      <c r="Q163" t="s">
        <v>408</v>
      </c>
      <c r="R163" t="s">
        <v>439</v>
      </c>
      <c r="S163" t="s">
        <v>440</v>
      </c>
      <c r="T163" t="s">
        <v>11</v>
      </c>
      <c r="U163" t="s">
        <v>408</v>
      </c>
    </row>
    <row r="164" spans="1:21" x14ac:dyDescent="0.25">
      <c r="A164">
        <v>8092376</v>
      </c>
      <c r="B164" t="s">
        <v>340</v>
      </c>
      <c r="C164" t="s">
        <v>26</v>
      </c>
      <c r="D164" t="s">
        <v>12</v>
      </c>
      <c r="E164" t="s">
        <v>718</v>
      </c>
      <c r="F164" t="s">
        <v>167</v>
      </c>
      <c r="G164" t="s">
        <v>369</v>
      </c>
      <c r="H164" t="s">
        <v>1</v>
      </c>
      <c r="I164" t="s">
        <v>469</v>
      </c>
      <c r="J164" t="s">
        <v>445</v>
      </c>
      <c r="K164" t="s">
        <v>438</v>
      </c>
      <c r="L164" t="s">
        <v>341</v>
      </c>
      <c r="M164" t="s">
        <v>408</v>
      </c>
      <c r="N164" t="s">
        <v>11</v>
      </c>
      <c r="O164" t="s">
        <v>11</v>
      </c>
      <c r="P164" t="s">
        <v>341</v>
      </c>
      <c r="Q164" t="s">
        <v>408</v>
      </c>
      <c r="R164" t="s">
        <v>439</v>
      </c>
      <c r="S164" t="s">
        <v>440</v>
      </c>
      <c r="T164" t="s">
        <v>11</v>
      </c>
      <c r="U164" t="s">
        <v>408</v>
      </c>
    </row>
    <row r="165" spans="1:21" x14ac:dyDescent="0.25">
      <c r="A165">
        <v>8093565</v>
      </c>
      <c r="B165" t="s">
        <v>340</v>
      </c>
      <c r="C165" t="s">
        <v>26</v>
      </c>
      <c r="D165" t="s">
        <v>79</v>
      </c>
      <c r="E165" t="s">
        <v>607</v>
      </c>
      <c r="F165" t="s">
        <v>277</v>
      </c>
      <c r="G165" t="s">
        <v>369</v>
      </c>
      <c r="H165" t="s">
        <v>0</v>
      </c>
      <c r="I165" t="s">
        <v>436</v>
      </c>
      <c r="J165" t="s">
        <v>437</v>
      </c>
      <c r="K165" t="s">
        <v>438</v>
      </c>
      <c r="L165" t="s">
        <v>1</v>
      </c>
      <c r="M165" t="s">
        <v>408</v>
      </c>
      <c r="N165" t="s">
        <v>11</v>
      </c>
      <c r="O165" t="s">
        <v>408</v>
      </c>
      <c r="P165" t="s">
        <v>348</v>
      </c>
      <c r="Q165" t="s">
        <v>408</v>
      </c>
      <c r="R165" t="s">
        <v>439</v>
      </c>
      <c r="S165" t="s">
        <v>440</v>
      </c>
      <c r="T165" t="s">
        <v>11</v>
      </c>
      <c r="U165" t="s">
        <v>408</v>
      </c>
    </row>
    <row r="166" spans="1:21" x14ac:dyDescent="0.25">
      <c r="A166">
        <v>8161606</v>
      </c>
      <c r="B166" t="s">
        <v>342</v>
      </c>
      <c r="C166" t="s">
        <v>33</v>
      </c>
      <c r="D166" t="s">
        <v>12</v>
      </c>
      <c r="E166" t="s">
        <v>607</v>
      </c>
      <c r="F166" t="s">
        <v>276</v>
      </c>
      <c r="G166" t="s">
        <v>369</v>
      </c>
      <c r="H166" t="s">
        <v>1</v>
      </c>
      <c r="I166" t="s">
        <v>469</v>
      </c>
      <c r="J166" t="s">
        <v>445</v>
      </c>
      <c r="K166" t="s">
        <v>438</v>
      </c>
      <c r="L166" t="s">
        <v>151</v>
      </c>
      <c r="M166" t="s">
        <v>408</v>
      </c>
      <c r="N166" t="s">
        <v>11</v>
      </c>
      <c r="O166" t="s">
        <v>408</v>
      </c>
      <c r="P166" t="s">
        <v>344</v>
      </c>
      <c r="Q166" t="s">
        <v>408</v>
      </c>
      <c r="R166" t="s">
        <v>439</v>
      </c>
      <c r="S166" t="s">
        <v>440</v>
      </c>
      <c r="T166" t="s">
        <v>11</v>
      </c>
      <c r="U166" t="s">
        <v>408</v>
      </c>
    </row>
    <row r="167" spans="1:21" x14ac:dyDescent="0.25">
      <c r="A167">
        <v>8161641</v>
      </c>
      <c r="B167" t="s">
        <v>342</v>
      </c>
      <c r="C167" t="s">
        <v>33</v>
      </c>
      <c r="D167" t="s">
        <v>12</v>
      </c>
      <c r="E167" t="s">
        <v>607</v>
      </c>
      <c r="F167" t="s">
        <v>276</v>
      </c>
      <c r="G167" t="s">
        <v>369</v>
      </c>
      <c r="H167" t="s">
        <v>0</v>
      </c>
      <c r="I167" t="s">
        <v>436</v>
      </c>
      <c r="J167" t="s">
        <v>437</v>
      </c>
      <c r="K167" t="s">
        <v>438</v>
      </c>
      <c r="L167" t="s">
        <v>1</v>
      </c>
      <c r="M167" t="s">
        <v>408</v>
      </c>
      <c r="N167" t="s">
        <v>11</v>
      </c>
      <c r="O167" t="s">
        <v>408</v>
      </c>
      <c r="P167" t="s">
        <v>344</v>
      </c>
      <c r="Q167" t="s">
        <v>408</v>
      </c>
      <c r="R167" t="s">
        <v>439</v>
      </c>
      <c r="S167" t="s">
        <v>440</v>
      </c>
      <c r="T167" t="s">
        <v>11</v>
      </c>
      <c r="U167" t="s">
        <v>408</v>
      </c>
    </row>
    <row r="168" spans="1:21" x14ac:dyDescent="0.25">
      <c r="A168">
        <v>8199554</v>
      </c>
      <c r="B168" t="s">
        <v>340</v>
      </c>
      <c r="C168" t="s">
        <v>26</v>
      </c>
      <c r="D168" t="s">
        <v>12</v>
      </c>
      <c r="E168" t="s">
        <v>703</v>
      </c>
      <c r="F168" t="s">
        <v>295</v>
      </c>
      <c r="G168" t="s">
        <v>369</v>
      </c>
      <c r="H168" t="s">
        <v>1</v>
      </c>
      <c r="I168" t="s">
        <v>469</v>
      </c>
      <c r="J168" t="s">
        <v>445</v>
      </c>
      <c r="K168" t="s">
        <v>438</v>
      </c>
      <c r="L168" t="s">
        <v>0</v>
      </c>
      <c r="M168" t="s">
        <v>408</v>
      </c>
      <c r="N168" t="s">
        <v>11</v>
      </c>
      <c r="O168" t="s">
        <v>11</v>
      </c>
      <c r="P168" t="s">
        <v>341</v>
      </c>
      <c r="Q168" t="s">
        <v>408</v>
      </c>
      <c r="R168" t="s">
        <v>439</v>
      </c>
      <c r="S168" t="s">
        <v>440</v>
      </c>
      <c r="T168" t="s">
        <v>11</v>
      </c>
      <c r="U168" t="s">
        <v>408</v>
      </c>
    </row>
    <row r="169" spans="1:21" x14ac:dyDescent="0.25">
      <c r="A169">
        <v>8199979</v>
      </c>
      <c r="B169" t="s">
        <v>342</v>
      </c>
      <c r="C169" t="s">
        <v>33</v>
      </c>
      <c r="D169" t="s">
        <v>143</v>
      </c>
      <c r="E169" t="s">
        <v>719</v>
      </c>
      <c r="F169" t="s">
        <v>144</v>
      </c>
      <c r="G169" t="s">
        <v>369</v>
      </c>
      <c r="H169" t="s">
        <v>2</v>
      </c>
      <c r="I169" t="s">
        <v>436</v>
      </c>
      <c r="J169" t="s">
        <v>443</v>
      </c>
      <c r="K169" t="s">
        <v>444</v>
      </c>
      <c r="L169" t="s">
        <v>153</v>
      </c>
      <c r="M169" t="s">
        <v>408</v>
      </c>
      <c r="N169" t="s">
        <v>11</v>
      </c>
      <c r="O169" t="s">
        <v>11</v>
      </c>
      <c r="P169" t="s">
        <v>153</v>
      </c>
      <c r="Q169" t="s">
        <v>408</v>
      </c>
      <c r="R169" t="s">
        <v>439</v>
      </c>
      <c r="S169" t="s">
        <v>440</v>
      </c>
      <c r="T169" t="s">
        <v>11</v>
      </c>
      <c r="U169" t="s">
        <v>408</v>
      </c>
    </row>
    <row r="170" spans="1:21" x14ac:dyDescent="0.25">
      <c r="A170">
        <v>8202197</v>
      </c>
      <c r="B170" t="s">
        <v>340</v>
      </c>
      <c r="C170" t="s">
        <v>26</v>
      </c>
      <c r="D170" t="s">
        <v>12</v>
      </c>
      <c r="E170" t="s">
        <v>720</v>
      </c>
      <c r="F170" t="s">
        <v>91</v>
      </c>
      <c r="G170" t="s">
        <v>369</v>
      </c>
      <c r="H170" t="s">
        <v>370</v>
      </c>
      <c r="I170" t="s">
        <v>721</v>
      </c>
      <c r="J170" t="s">
        <v>455</v>
      </c>
      <c r="K170" t="s">
        <v>453</v>
      </c>
      <c r="L170" t="s">
        <v>367</v>
      </c>
      <c r="M170" t="s">
        <v>408</v>
      </c>
      <c r="N170" t="s">
        <v>11</v>
      </c>
      <c r="O170" t="s">
        <v>11</v>
      </c>
      <c r="P170" t="s">
        <v>2</v>
      </c>
      <c r="Q170" t="s">
        <v>408</v>
      </c>
      <c r="R170" t="s">
        <v>439</v>
      </c>
      <c r="S170" t="s">
        <v>451</v>
      </c>
      <c r="T170" t="s">
        <v>11</v>
      </c>
      <c r="U170" t="s">
        <v>408</v>
      </c>
    </row>
    <row r="171" spans="1:21" x14ac:dyDescent="0.25">
      <c r="A171">
        <v>8392413</v>
      </c>
      <c r="B171" t="s">
        <v>340</v>
      </c>
      <c r="C171" t="s">
        <v>26</v>
      </c>
      <c r="D171" t="s">
        <v>24</v>
      </c>
      <c r="E171" t="s">
        <v>718</v>
      </c>
      <c r="F171" t="s">
        <v>167</v>
      </c>
      <c r="G171" t="s">
        <v>369</v>
      </c>
      <c r="H171" t="s">
        <v>1</v>
      </c>
      <c r="I171" t="s">
        <v>469</v>
      </c>
      <c r="J171" t="s">
        <v>445</v>
      </c>
      <c r="K171" t="s">
        <v>438</v>
      </c>
      <c r="L171" t="s">
        <v>0</v>
      </c>
      <c r="M171" t="s">
        <v>408</v>
      </c>
      <c r="N171" t="s">
        <v>11</v>
      </c>
      <c r="O171" t="s">
        <v>408</v>
      </c>
      <c r="P171" t="s">
        <v>0</v>
      </c>
      <c r="Q171" t="s">
        <v>408</v>
      </c>
      <c r="R171" t="s">
        <v>439</v>
      </c>
      <c r="S171" t="s">
        <v>440</v>
      </c>
      <c r="T171" t="s">
        <v>11</v>
      </c>
      <c r="U171" t="s">
        <v>408</v>
      </c>
    </row>
    <row r="172" spans="1:21" x14ac:dyDescent="0.25">
      <c r="A172">
        <v>8392416</v>
      </c>
      <c r="B172" t="s">
        <v>340</v>
      </c>
      <c r="C172" t="s">
        <v>26</v>
      </c>
      <c r="D172" t="s">
        <v>24</v>
      </c>
      <c r="E172" t="s">
        <v>718</v>
      </c>
      <c r="F172" t="s">
        <v>142</v>
      </c>
      <c r="G172" t="s">
        <v>369</v>
      </c>
      <c r="H172" t="s">
        <v>0</v>
      </c>
      <c r="I172" t="s">
        <v>436</v>
      </c>
      <c r="J172" t="s">
        <v>437</v>
      </c>
      <c r="K172" t="s">
        <v>438</v>
      </c>
      <c r="L172" t="s">
        <v>2</v>
      </c>
      <c r="M172" t="s">
        <v>408</v>
      </c>
      <c r="N172" t="s">
        <v>11</v>
      </c>
      <c r="O172" t="s">
        <v>408</v>
      </c>
      <c r="P172" t="s">
        <v>0</v>
      </c>
      <c r="Q172" t="s">
        <v>408</v>
      </c>
      <c r="R172" t="s">
        <v>439</v>
      </c>
      <c r="S172" t="s">
        <v>440</v>
      </c>
      <c r="T172" t="s">
        <v>11</v>
      </c>
      <c r="U172" t="s">
        <v>408</v>
      </c>
    </row>
    <row r="173" spans="1:21" x14ac:dyDescent="0.25">
      <c r="A173">
        <v>8392468</v>
      </c>
      <c r="B173" t="s">
        <v>340</v>
      </c>
      <c r="C173" t="s">
        <v>26</v>
      </c>
      <c r="D173" t="s">
        <v>79</v>
      </c>
      <c r="E173" t="s">
        <v>718</v>
      </c>
      <c r="F173" t="s">
        <v>142</v>
      </c>
      <c r="G173" t="s">
        <v>369</v>
      </c>
      <c r="H173" t="s">
        <v>0</v>
      </c>
      <c r="I173" t="s">
        <v>436</v>
      </c>
      <c r="J173" t="s">
        <v>437</v>
      </c>
      <c r="K173" t="s">
        <v>438</v>
      </c>
      <c r="L173" t="s">
        <v>5</v>
      </c>
      <c r="M173" t="s">
        <v>408</v>
      </c>
      <c r="N173" t="s">
        <v>11</v>
      </c>
      <c r="O173" t="s">
        <v>11</v>
      </c>
      <c r="P173" t="s">
        <v>0</v>
      </c>
      <c r="Q173" t="s">
        <v>408</v>
      </c>
      <c r="R173" t="s">
        <v>439</v>
      </c>
      <c r="S173" t="s">
        <v>440</v>
      </c>
      <c r="T173" t="s">
        <v>11</v>
      </c>
      <c r="U173" t="s">
        <v>408</v>
      </c>
    </row>
    <row r="174" spans="1:21" x14ac:dyDescent="0.25">
      <c r="A174">
        <v>8392472</v>
      </c>
      <c r="B174" t="s">
        <v>342</v>
      </c>
      <c r="C174" t="s">
        <v>33</v>
      </c>
      <c r="D174" t="s">
        <v>79</v>
      </c>
      <c r="E174" t="s">
        <v>718</v>
      </c>
      <c r="F174" t="s">
        <v>142</v>
      </c>
      <c r="G174" t="s">
        <v>369</v>
      </c>
      <c r="H174" t="s">
        <v>0</v>
      </c>
      <c r="I174" t="s">
        <v>436</v>
      </c>
      <c r="J174" t="s">
        <v>437</v>
      </c>
      <c r="K174" t="s">
        <v>438</v>
      </c>
      <c r="L174" t="s">
        <v>345</v>
      </c>
      <c r="M174" t="s">
        <v>408</v>
      </c>
      <c r="N174" t="s">
        <v>11</v>
      </c>
      <c r="O174" t="s">
        <v>11</v>
      </c>
      <c r="P174" t="s">
        <v>0</v>
      </c>
      <c r="Q174" t="s">
        <v>408</v>
      </c>
      <c r="R174" t="s">
        <v>439</v>
      </c>
      <c r="S174" t="s">
        <v>440</v>
      </c>
      <c r="T174" t="s">
        <v>11</v>
      </c>
      <c r="U174" t="s">
        <v>408</v>
      </c>
    </row>
    <row r="175" spans="1:21" x14ac:dyDescent="0.25">
      <c r="A175">
        <v>8392476</v>
      </c>
      <c r="B175" t="s">
        <v>340</v>
      </c>
      <c r="C175" t="s">
        <v>26</v>
      </c>
      <c r="D175" t="s">
        <v>79</v>
      </c>
      <c r="E175" t="s">
        <v>609</v>
      </c>
      <c r="F175" t="s">
        <v>328</v>
      </c>
      <c r="G175" t="s">
        <v>369</v>
      </c>
      <c r="H175" t="s">
        <v>1</v>
      </c>
      <c r="I175" t="s">
        <v>469</v>
      </c>
      <c r="J175" t="s">
        <v>445</v>
      </c>
      <c r="K175" t="s">
        <v>438</v>
      </c>
      <c r="L175" t="s">
        <v>151</v>
      </c>
      <c r="M175" t="s">
        <v>408</v>
      </c>
      <c r="N175" t="s">
        <v>11</v>
      </c>
      <c r="O175" t="s">
        <v>408</v>
      </c>
      <c r="P175" t="s">
        <v>0</v>
      </c>
      <c r="Q175" t="s">
        <v>408</v>
      </c>
      <c r="R175" t="s">
        <v>439</v>
      </c>
      <c r="S175" t="s">
        <v>440</v>
      </c>
      <c r="T175" t="s">
        <v>11</v>
      </c>
      <c r="U175" t="s">
        <v>408</v>
      </c>
    </row>
    <row r="176" spans="1:21" x14ac:dyDescent="0.25">
      <c r="A176">
        <v>8392483</v>
      </c>
      <c r="B176" t="s">
        <v>340</v>
      </c>
      <c r="C176" t="s">
        <v>26</v>
      </c>
      <c r="D176" t="s">
        <v>24</v>
      </c>
      <c r="E176" t="s">
        <v>718</v>
      </c>
      <c r="F176" t="s">
        <v>142</v>
      </c>
      <c r="G176" t="s">
        <v>369</v>
      </c>
      <c r="H176" t="s">
        <v>2</v>
      </c>
      <c r="I176" t="s">
        <v>436</v>
      </c>
      <c r="J176" t="s">
        <v>443</v>
      </c>
      <c r="K176" t="s">
        <v>444</v>
      </c>
      <c r="L176" t="s">
        <v>4</v>
      </c>
      <c r="M176" t="s">
        <v>408</v>
      </c>
      <c r="N176" t="s">
        <v>11</v>
      </c>
      <c r="O176" t="s">
        <v>408</v>
      </c>
      <c r="P176" t="s">
        <v>0</v>
      </c>
      <c r="Q176" t="s">
        <v>408</v>
      </c>
      <c r="R176" t="s">
        <v>439</v>
      </c>
      <c r="S176" t="s">
        <v>440</v>
      </c>
      <c r="T176" t="s">
        <v>11</v>
      </c>
      <c r="U176" t="s">
        <v>408</v>
      </c>
    </row>
    <row r="177" spans="1:21" x14ac:dyDescent="0.25">
      <c r="A177">
        <v>8392498</v>
      </c>
      <c r="B177" t="s">
        <v>342</v>
      </c>
      <c r="C177" t="s">
        <v>33</v>
      </c>
      <c r="D177" t="s">
        <v>12</v>
      </c>
      <c r="E177" t="s">
        <v>718</v>
      </c>
      <c r="F177" t="s">
        <v>142</v>
      </c>
      <c r="G177" t="s">
        <v>369</v>
      </c>
      <c r="H177" t="s">
        <v>0</v>
      </c>
      <c r="I177" t="s">
        <v>436</v>
      </c>
      <c r="J177" t="s">
        <v>437</v>
      </c>
      <c r="K177" t="s">
        <v>438</v>
      </c>
      <c r="L177" t="s">
        <v>151</v>
      </c>
      <c r="M177" t="s">
        <v>408</v>
      </c>
      <c r="N177" t="s">
        <v>11</v>
      </c>
      <c r="O177" t="s">
        <v>408</v>
      </c>
      <c r="P177" t="s">
        <v>0</v>
      </c>
      <c r="Q177" t="s">
        <v>408</v>
      </c>
      <c r="R177" t="s">
        <v>439</v>
      </c>
      <c r="S177" t="s">
        <v>440</v>
      </c>
      <c r="T177" t="s">
        <v>11</v>
      </c>
      <c r="U177" t="s">
        <v>408</v>
      </c>
    </row>
    <row r="178" spans="1:21" x14ac:dyDescent="0.25">
      <c r="A178">
        <v>8392502</v>
      </c>
      <c r="B178" t="s">
        <v>340</v>
      </c>
      <c r="C178" t="s">
        <v>26</v>
      </c>
      <c r="D178" t="s">
        <v>12</v>
      </c>
      <c r="E178" t="s">
        <v>722</v>
      </c>
      <c r="F178" t="s">
        <v>275</v>
      </c>
      <c r="G178" t="s">
        <v>369</v>
      </c>
      <c r="H178" t="s">
        <v>3</v>
      </c>
      <c r="I178" t="s">
        <v>436</v>
      </c>
      <c r="J178" t="s">
        <v>441</v>
      </c>
      <c r="K178" t="s">
        <v>442</v>
      </c>
      <c r="L178" t="s">
        <v>0</v>
      </c>
      <c r="M178" t="s">
        <v>408</v>
      </c>
      <c r="N178" t="s">
        <v>11</v>
      </c>
      <c r="O178" t="s">
        <v>408</v>
      </c>
      <c r="P178" t="s">
        <v>0</v>
      </c>
      <c r="Q178" t="s">
        <v>408</v>
      </c>
      <c r="R178" t="s">
        <v>439</v>
      </c>
      <c r="S178" t="s">
        <v>440</v>
      </c>
      <c r="T178" t="s">
        <v>11</v>
      </c>
      <c r="U178" t="s">
        <v>408</v>
      </c>
    </row>
    <row r="179" spans="1:21" x14ac:dyDescent="0.25">
      <c r="A179">
        <v>8392507</v>
      </c>
      <c r="B179" t="s">
        <v>340</v>
      </c>
      <c r="C179" t="s">
        <v>26</v>
      </c>
      <c r="D179" t="s">
        <v>79</v>
      </c>
      <c r="E179" t="s">
        <v>722</v>
      </c>
      <c r="F179" t="s">
        <v>275</v>
      </c>
      <c r="G179" t="s">
        <v>369</v>
      </c>
      <c r="H179" t="s">
        <v>1</v>
      </c>
      <c r="I179" t="s">
        <v>469</v>
      </c>
      <c r="J179" t="s">
        <v>445</v>
      </c>
      <c r="K179" t="s">
        <v>438</v>
      </c>
      <c r="L179" t="s">
        <v>151</v>
      </c>
      <c r="M179" t="s">
        <v>408</v>
      </c>
      <c r="N179" t="s">
        <v>11</v>
      </c>
      <c r="O179" t="s">
        <v>408</v>
      </c>
      <c r="P179" t="s">
        <v>0</v>
      </c>
      <c r="Q179" t="s">
        <v>408</v>
      </c>
      <c r="R179" t="s">
        <v>439</v>
      </c>
      <c r="S179" t="s">
        <v>440</v>
      </c>
      <c r="T179" t="s">
        <v>11</v>
      </c>
      <c r="U179" t="s">
        <v>408</v>
      </c>
    </row>
    <row r="180" spans="1:21" x14ac:dyDescent="0.25">
      <c r="A180">
        <v>8392511</v>
      </c>
      <c r="B180" t="s">
        <v>340</v>
      </c>
      <c r="C180" t="s">
        <v>26</v>
      </c>
      <c r="D180" t="s">
        <v>12</v>
      </c>
      <c r="E180" t="s">
        <v>718</v>
      </c>
      <c r="F180" t="s">
        <v>142</v>
      </c>
      <c r="G180" t="s">
        <v>369</v>
      </c>
      <c r="H180" t="s">
        <v>1</v>
      </c>
      <c r="I180" t="s">
        <v>469</v>
      </c>
      <c r="J180" t="s">
        <v>445</v>
      </c>
      <c r="K180" t="s">
        <v>438</v>
      </c>
      <c r="L180" t="s">
        <v>0</v>
      </c>
      <c r="M180" t="s">
        <v>408</v>
      </c>
      <c r="N180" t="s">
        <v>11</v>
      </c>
      <c r="O180" t="s">
        <v>11</v>
      </c>
      <c r="P180" t="s">
        <v>0</v>
      </c>
      <c r="Q180" t="s">
        <v>408</v>
      </c>
      <c r="R180" t="s">
        <v>439</v>
      </c>
      <c r="S180" t="s">
        <v>440</v>
      </c>
      <c r="T180" t="s">
        <v>11</v>
      </c>
      <c r="U180" t="s">
        <v>408</v>
      </c>
    </row>
    <row r="181" spans="1:21" x14ac:dyDescent="0.25">
      <c r="A181">
        <v>8392525</v>
      </c>
      <c r="B181" t="s">
        <v>340</v>
      </c>
      <c r="C181" t="s">
        <v>26</v>
      </c>
      <c r="D181" t="s">
        <v>18</v>
      </c>
      <c r="E181" t="s">
        <v>722</v>
      </c>
      <c r="F181" t="s">
        <v>275</v>
      </c>
      <c r="G181" t="s">
        <v>369</v>
      </c>
      <c r="H181" t="s">
        <v>0</v>
      </c>
      <c r="I181" t="s">
        <v>436</v>
      </c>
      <c r="J181" t="s">
        <v>437</v>
      </c>
      <c r="K181" t="s">
        <v>438</v>
      </c>
      <c r="L181" t="s">
        <v>5</v>
      </c>
      <c r="M181" t="s">
        <v>408</v>
      </c>
      <c r="N181" t="s">
        <v>11</v>
      </c>
      <c r="O181" t="s">
        <v>11</v>
      </c>
      <c r="P181" t="s">
        <v>0</v>
      </c>
      <c r="Q181" t="s">
        <v>408</v>
      </c>
      <c r="R181" t="s">
        <v>439</v>
      </c>
      <c r="S181" t="s">
        <v>440</v>
      </c>
      <c r="T181" t="s">
        <v>11</v>
      </c>
      <c r="U181" t="s">
        <v>408</v>
      </c>
    </row>
    <row r="182" spans="1:21" x14ac:dyDescent="0.25">
      <c r="A182">
        <v>8392537</v>
      </c>
      <c r="B182" t="s">
        <v>340</v>
      </c>
      <c r="C182" t="s">
        <v>26</v>
      </c>
      <c r="D182" t="s">
        <v>12</v>
      </c>
      <c r="E182" t="s">
        <v>609</v>
      </c>
      <c r="F182" t="s">
        <v>141</v>
      </c>
      <c r="G182" t="s">
        <v>369</v>
      </c>
      <c r="H182" t="s">
        <v>0</v>
      </c>
      <c r="I182" t="s">
        <v>436</v>
      </c>
      <c r="J182" t="s">
        <v>437</v>
      </c>
      <c r="K182" t="s">
        <v>438</v>
      </c>
      <c r="L182" t="s">
        <v>1</v>
      </c>
      <c r="M182" t="s">
        <v>408</v>
      </c>
      <c r="N182" t="s">
        <v>11</v>
      </c>
      <c r="O182" t="s">
        <v>11</v>
      </c>
      <c r="P182" t="s">
        <v>0</v>
      </c>
      <c r="Q182" t="s">
        <v>408</v>
      </c>
      <c r="R182" t="s">
        <v>439</v>
      </c>
      <c r="S182" t="s">
        <v>440</v>
      </c>
      <c r="T182" t="s">
        <v>11</v>
      </c>
      <c r="U182" t="s">
        <v>408</v>
      </c>
    </row>
    <row r="183" spans="1:21" x14ac:dyDescent="0.25">
      <c r="A183">
        <v>8392540</v>
      </c>
      <c r="B183" t="s">
        <v>340</v>
      </c>
      <c r="C183" t="s">
        <v>26</v>
      </c>
      <c r="D183" t="s">
        <v>18</v>
      </c>
      <c r="E183" t="s">
        <v>609</v>
      </c>
      <c r="F183" t="s">
        <v>141</v>
      </c>
      <c r="G183" t="s">
        <v>369</v>
      </c>
      <c r="H183" t="s">
        <v>0</v>
      </c>
      <c r="I183" t="s">
        <v>436</v>
      </c>
      <c r="J183" t="s">
        <v>437</v>
      </c>
      <c r="K183" t="s">
        <v>438</v>
      </c>
      <c r="L183" t="s">
        <v>151</v>
      </c>
      <c r="M183" t="s">
        <v>408</v>
      </c>
      <c r="N183" t="s">
        <v>11</v>
      </c>
      <c r="O183" t="s">
        <v>408</v>
      </c>
      <c r="P183" t="s">
        <v>0</v>
      </c>
      <c r="Q183" t="s">
        <v>408</v>
      </c>
      <c r="R183" t="s">
        <v>439</v>
      </c>
      <c r="S183" t="s">
        <v>440</v>
      </c>
      <c r="T183" t="s">
        <v>11</v>
      </c>
      <c r="U183" t="s">
        <v>408</v>
      </c>
    </row>
    <row r="184" spans="1:21" x14ac:dyDescent="0.25">
      <c r="A184">
        <v>8392547</v>
      </c>
      <c r="B184" t="s">
        <v>340</v>
      </c>
      <c r="C184" t="s">
        <v>26</v>
      </c>
      <c r="D184" t="s">
        <v>12</v>
      </c>
      <c r="E184" t="s">
        <v>609</v>
      </c>
      <c r="F184" t="s">
        <v>328</v>
      </c>
      <c r="G184" t="s">
        <v>369</v>
      </c>
      <c r="H184" t="s">
        <v>1</v>
      </c>
      <c r="I184" t="s">
        <v>469</v>
      </c>
      <c r="J184" t="s">
        <v>445</v>
      </c>
      <c r="K184" t="s">
        <v>438</v>
      </c>
      <c r="L184" t="s">
        <v>151</v>
      </c>
      <c r="M184" t="s">
        <v>408</v>
      </c>
      <c r="N184" t="s">
        <v>11</v>
      </c>
      <c r="O184" t="s">
        <v>408</v>
      </c>
      <c r="P184" t="s">
        <v>0</v>
      </c>
      <c r="Q184" t="s">
        <v>408</v>
      </c>
      <c r="R184" t="s">
        <v>439</v>
      </c>
      <c r="S184" t="s">
        <v>440</v>
      </c>
      <c r="T184" t="s">
        <v>11</v>
      </c>
      <c r="U184" t="s">
        <v>408</v>
      </c>
    </row>
    <row r="185" spans="1:21" x14ac:dyDescent="0.25">
      <c r="A185">
        <v>8392549</v>
      </c>
      <c r="B185" t="s">
        <v>340</v>
      </c>
      <c r="C185" t="s">
        <v>26</v>
      </c>
      <c r="D185" t="s">
        <v>12</v>
      </c>
      <c r="E185" t="s">
        <v>609</v>
      </c>
      <c r="F185" t="s">
        <v>141</v>
      </c>
      <c r="G185" t="s">
        <v>369</v>
      </c>
      <c r="H185" t="s">
        <v>1</v>
      </c>
      <c r="I185" t="s">
        <v>469</v>
      </c>
      <c r="J185" t="s">
        <v>445</v>
      </c>
      <c r="K185" t="s">
        <v>438</v>
      </c>
      <c r="L185" t="s">
        <v>151</v>
      </c>
      <c r="M185" t="s">
        <v>408</v>
      </c>
      <c r="N185" t="s">
        <v>11</v>
      </c>
      <c r="O185" t="s">
        <v>408</v>
      </c>
      <c r="P185" t="s">
        <v>0</v>
      </c>
      <c r="Q185" t="s">
        <v>408</v>
      </c>
      <c r="R185" t="s">
        <v>439</v>
      </c>
      <c r="S185" t="s">
        <v>440</v>
      </c>
      <c r="T185" t="s">
        <v>11</v>
      </c>
      <c r="U185" t="s">
        <v>408</v>
      </c>
    </row>
    <row r="186" spans="1:21" x14ac:dyDescent="0.25">
      <c r="A186">
        <v>8392555</v>
      </c>
      <c r="B186" t="s">
        <v>340</v>
      </c>
      <c r="C186" t="s">
        <v>26</v>
      </c>
      <c r="D186" t="s">
        <v>79</v>
      </c>
      <c r="E186" t="s">
        <v>609</v>
      </c>
      <c r="F186" t="s">
        <v>141</v>
      </c>
      <c r="G186" t="s">
        <v>369</v>
      </c>
      <c r="H186" t="s">
        <v>0</v>
      </c>
      <c r="I186" t="s">
        <v>436</v>
      </c>
      <c r="J186" t="s">
        <v>437</v>
      </c>
      <c r="K186" t="s">
        <v>438</v>
      </c>
      <c r="L186" t="s">
        <v>5</v>
      </c>
      <c r="M186" t="s">
        <v>408</v>
      </c>
      <c r="N186" t="s">
        <v>11</v>
      </c>
      <c r="O186" t="s">
        <v>11</v>
      </c>
      <c r="P186" t="s">
        <v>0</v>
      </c>
      <c r="Q186" t="s">
        <v>408</v>
      </c>
      <c r="R186" t="s">
        <v>439</v>
      </c>
      <c r="S186" t="s">
        <v>440</v>
      </c>
      <c r="T186" t="s">
        <v>11</v>
      </c>
      <c r="U186" t="s">
        <v>408</v>
      </c>
    </row>
    <row r="187" spans="1:21" x14ac:dyDescent="0.25">
      <c r="A187">
        <v>8392581</v>
      </c>
      <c r="B187" t="s">
        <v>340</v>
      </c>
      <c r="C187" t="s">
        <v>26</v>
      </c>
      <c r="D187" t="s">
        <v>12</v>
      </c>
      <c r="E187" t="s">
        <v>718</v>
      </c>
      <c r="F187" t="s">
        <v>142</v>
      </c>
      <c r="G187" t="s">
        <v>369</v>
      </c>
      <c r="H187" t="s">
        <v>0</v>
      </c>
      <c r="I187" t="s">
        <v>436</v>
      </c>
      <c r="J187" t="s">
        <v>437</v>
      </c>
      <c r="K187" t="s">
        <v>438</v>
      </c>
      <c r="L187" t="s">
        <v>4</v>
      </c>
      <c r="M187" t="s">
        <v>408</v>
      </c>
      <c r="N187" t="s">
        <v>11</v>
      </c>
      <c r="O187" t="s">
        <v>408</v>
      </c>
      <c r="P187" t="s">
        <v>0</v>
      </c>
      <c r="Q187" t="s">
        <v>408</v>
      </c>
      <c r="R187" t="s">
        <v>439</v>
      </c>
      <c r="S187" t="s">
        <v>440</v>
      </c>
      <c r="T187" t="s">
        <v>11</v>
      </c>
      <c r="U187" t="s">
        <v>408</v>
      </c>
    </row>
    <row r="188" spans="1:21" x14ac:dyDescent="0.25">
      <c r="A188">
        <v>8392585</v>
      </c>
      <c r="B188" t="s">
        <v>342</v>
      </c>
      <c r="C188" t="s">
        <v>33</v>
      </c>
      <c r="D188" t="s">
        <v>12</v>
      </c>
      <c r="E188" t="s">
        <v>609</v>
      </c>
      <c r="F188" t="s">
        <v>141</v>
      </c>
      <c r="G188" t="s">
        <v>369</v>
      </c>
      <c r="H188" t="s">
        <v>1</v>
      </c>
      <c r="I188" t="s">
        <v>469</v>
      </c>
      <c r="J188" t="s">
        <v>445</v>
      </c>
      <c r="K188" t="s">
        <v>438</v>
      </c>
      <c r="L188" t="s">
        <v>0</v>
      </c>
      <c r="M188" t="s">
        <v>408</v>
      </c>
      <c r="N188" t="s">
        <v>11</v>
      </c>
      <c r="O188" t="s">
        <v>11</v>
      </c>
      <c r="P188" t="s">
        <v>0</v>
      </c>
      <c r="Q188" t="s">
        <v>408</v>
      </c>
      <c r="R188" t="s">
        <v>439</v>
      </c>
      <c r="S188" t="s">
        <v>440</v>
      </c>
      <c r="T188" t="s">
        <v>11</v>
      </c>
      <c r="U188" t="s">
        <v>408</v>
      </c>
    </row>
    <row r="189" spans="1:21" x14ac:dyDescent="0.25">
      <c r="A189">
        <v>8392591</v>
      </c>
      <c r="B189" t="s">
        <v>342</v>
      </c>
      <c r="C189" t="s">
        <v>33</v>
      </c>
      <c r="D189" t="s">
        <v>12</v>
      </c>
      <c r="E189" t="s">
        <v>609</v>
      </c>
      <c r="F189" t="s">
        <v>141</v>
      </c>
      <c r="G189" t="s">
        <v>369</v>
      </c>
      <c r="H189" t="s">
        <v>0</v>
      </c>
      <c r="I189" t="s">
        <v>436</v>
      </c>
      <c r="J189" t="s">
        <v>437</v>
      </c>
      <c r="K189" t="s">
        <v>438</v>
      </c>
      <c r="L189" t="s">
        <v>345</v>
      </c>
      <c r="M189" t="s">
        <v>408</v>
      </c>
      <c r="N189" t="s">
        <v>11</v>
      </c>
      <c r="O189" t="s">
        <v>11</v>
      </c>
      <c r="P189" t="s">
        <v>0</v>
      </c>
      <c r="Q189" t="s">
        <v>408</v>
      </c>
      <c r="R189" t="s">
        <v>439</v>
      </c>
      <c r="S189" t="s">
        <v>440</v>
      </c>
      <c r="T189" t="s">
        <v>11</v>
      </c>
      <c r="U189" t="s">
        <v>408</v>
      </c>
    </row>
    <row r="190" spans="1:21" x14ac:dyDescent="0.25">
      <c r="A190">
        <v>8392596</v>
      </c>
      <c r="B190" t="s">
        <v>340</v>
      </c>
      <c r="C190" t="s">
        <v>26</v>
      </c>
      <c r="D190" t="s">
        <v>18</v>
      </c>
      <c r="E190" t="s">
        <v>609</v>
      </c>
      <c r="F190" t="s">
        <v>141</v>
      </c>
      <c r="G190" t="s">
        <v>369</v>
      </c>
      <c r="H190" t="s">
        <v>0</v>
      </c>
      <c r="I190" t="s">
        <v>436</v>
      </c>
      <c r="J190" t="s">
        <v>437</v>
      </c>
      <c r="K190" t="s">
        <v>438</v>
      </c>
      <c r="L190" t="s">
        <v>5</v>
      </c>
      <c r="M190" t="s">
        <v>408</v>
      </c>
      <c r="N190" t="s">
        <v>11</v>
      </c>
      <c r="O190" t="s">
        <v>11</v>
      </c>
      <c r="P190" t="s">
        <v>0</v>
      </c>
      <c r="Q190" t="s">
        <v>408</v>
      </c>
      <c r="R190" t="s">
        <v>439</v>
      </c>
      <c r="S190" t="s">
        <v>440</v>
      </c>
      <c r="T190" t="s">
        <v>11</v>
      </c>
      <c r="U190" t="s">
        <v>408</v>
      </c>
    </row>
    <row r="191" spans="1:21" x14ac:dyDescent="0.25">
      <c r="A191">
        <v>8392641</v>
      </c>
      <c r="B191" t="s">
        <v>342</v>
      </c>
      <c r="C191" t="s">
        <v>33</v>
      </c>
      <c r="D191" t="s">
        <v>12</v>
      </c>
      <c r="E191" t="s">
        <v>523</v>
      </c>
      <c r="F191" t="s">
        <v>226</v>
      </c>
      <c r="G191" t="s">
        <v>369</v>
      </c>
      <c r="H191" t="s">
        <v>0</v>
      </c>
      <c r="I191" t="s">
        <v>436</v>
      </c>
      <c r="J191" t="s">
        <v>437</v>
      </c>
      <c r="K191" t="s">
        <v>438</v>
      </c>
      <c r="L191" t="s">
        <v>341</v>
      </c>
      <c r="M191" t="s">
        <v>408</v>
      </c>
      <c r="N191" t="s">
        <v>11</v>
      </c>
      <c r="O191" t="s">
        <v>11</v>
      </c>
      <c r="P191" t="s">
        <v>341</v>
      </c>
      <c r="Q191" t="s">
        <v>408</v>
      </c>
      <c r="R191" t="s">
        <v>439</v>
      </c>
      <c r="S191" t="s">
        <v>440</v>
      </c>
      <c r="T191" t="s">
        <v>11</v>
      </c>
      <c r="U191" t="s">
        <v>408</v>
      </c>
    </row>
    <row r="192" spans="1:21" x14ac:dyDescent="0.25">
      <c r="A192">
        <v>8392660</v>
      </c>
      <c r="B192" t="s">
        <v>342</v>
      </c>
      <c r="C192" t="s">
        <v>33</v>
      </c>
      <c r="D192" t="s">
        <v>24</v>
      </c>
      <c r="E192" t="s">
        <v>722</v>
      </c>
      <c r="F192" t="s">
        <v>275</v>
      </c>
      <c r="G192" t="s">
        <v>369</v>
      </c>
      <c r="H192" t="s">
        <v>0</v>
      </c>
      <c r="I192" t="s">
        <v>436</v>
      </c>
      <c r="J192" t="s">
        <v>437</v>
      </c>
      <c r="K192" t="s">
        <v>438</v>
      </c>
      <c r="L192" t="s">
        <v>341</v>
      </c>
      <c r="M192" t="s">
        <v>408</v>
      </c>
      <c r="N192" t="s">
        <v>11</v>
      </c>
      <c r="O192" t="s">
        <v>11</v>
      </c>
      <c r="P192" t="s">
        <v>341</v>
      </c>
      <c r="Q192" t="s">
        <v>408</v>
      </c>
      <c r="R192" t="s">
        <v>439</v>
      </c>
      <c r="S192" t="s">
        <v>440</v>
      </c>
      <c r="T192" t="s">
        <v>11</v>
      </c>
      <c r="U192" t="s">
        <v>408</v>
      </c>
    </row>
    <row r="193" spans="1:21" x14ac:dyDescent="0.25">
      <c r="A193">
        <v>8392739</v>
      </c>
      <c r="B193" t="s">
        <v>340</v>
      </c>
      <c r="C193" t="s">
        <v>26</v>
      </c>
      <c r="D193" t="s">
        <v>12</v>
      </c>
      <c r="E193" t="s">
        <v>515</v>
      </c>
      <c r="F193" t="s">
        <v>203</v>
      </c>
      <c r="G193" t="s">
        <v>369</v>
      </c>
      <c r="H193" t="s">
        <v>0</v>
      </c>
      <c r="I193" t="s">
        <v>436</v>
      </c>
      <c r="J193" t="s">
        <v>437</v>
      </c>
      <c r="K193" t="s">
        <v>438</v>
      </c>
      <c r="L193" t="s">
        <v>1</v>
      </c>
      <c r="M193" t="s">
        <v>408</v>
      </c>
      <c r="N193" t="s">
        <v>11</v>
      </c>
      <c r="O193" t="s">
        <v>11</v>
      </c>
      <c r="P193" t="s">
        <v>341</v>
      </c>
      <c r="Q193" t="s">
        <v>408</v>
      </c>
      <c r="R193" t="s">
        <v>439</v>
      </c>
      <c r="S193" t="s">
        <v>440</v>
      </c>
      <c r="T193" t="s">
        <v>11</v>
      </c>
      <c r="U193" t="s">
        <v>408</v>
      </c>
    </row>
    <row r="194" spans="1:21" x14ac:dyDescent="0.25">
      <c r="A194">
        <v>8392740</v>
      </c>
      <c r="B194" t="s">
        <v>340</v>
      </c>
      <c r="C194" t="s">
        <v>26</v>
      </c>
      <c r="D194" t="s">
        <v>18</v>
      </c>
      <c r="E194" t="s">
        <v>515</v>
      </c>
      <c r="F194" t="s">
        <v>203</v>
      </c>
      <c r="G194" t="s">
        <v>369</v>
      </c>
      <c r="H194" t="s">
        <v>0</v>
      </c>
      <c r="I194" t="s">
        <v>436</v>
      </c>
      <c r="J194" t="s">
        <v>437</v>
      </c>
      <c r="K194" t="s">
        <v>438</v>
      </c>
      <c r="L194" t="s">
        <v>1</v>
      </c>
      <c r="M194" t="s">
        <v>408</v>
      </c>
      <c r="N194" t="s">
        <v>11</v>
      </c>
      <c r="O194" t="s">
        <v>11</v>
      </c>
      <c r="P194" t="s">
        <v>341</v>
      </c>
      <c r="Q194" t="s">
        <v>408</v>
      </c>
      <c r="R194" t="s">
        <v>439</v>
      </c>
      <c r="S194" t="s">
        <v>440</v>
      </c>
      <c r="T194" t="s">
        <v>11</v>
      </c>
      <c r="U194" t="s">
        <v>408</v>
      </c>
    </row>
    <row r="195" spans="1:21" x14ac:dyDescent="0.25">
      <c r="A195">
        <v>8392762</v>
      </c>
      <c r="B195" t="s">
        <v>340</v>
      </c>
      <c r="C195" t="s">
        <v>26</v>
      </c>
      <c r="D195" t="s">
        <v>12</v>
      </c>
      <c r="E195" t="s">
        <v>515</v>
      </c>
      <c r="F195" t="s">
        <v>140</v>
      </c>
      <c r="G195" t="s">
        <v>369</v>
      </c>
      <c r="H195" t="s">
        <v>2</v>
      </c>
      <c r="I195" t="s">
        <v>436</v>
      </c>
      <c r="J195" t="s">
        <v>443</v>
      </c>
      <c r="K195" t="s">
        <v>444</v>
      </c>
      <c r="L195" t="s">
        <v>1</v>
      </c>
      <c r="M195" t="s">
        <v>408</v>
      </c>
      <c r="N195" t="s">
        <v>11</v>
      </c>
      <c r="O195" t="s">
        <v>11</v>
      </c>
      <c r="P195" t="s">
        <v>6</v>
      </c>
      <c r="Q195" t="s">
        <v>408</v>
      </c>
      <c r="R195" t="s">
        <v>439</v>
      </c>
      <c r="S195" t="s">
        <v>440</v>
      </c>
      <c r="T195" t="s">
        <v>11</v>
      </c>
      <c r="U195" t="s">
        <v>408</v>
      </c>
    </row>
    <row r="196" spans="1:21" x14ac:dyDescent="0.25">
      <c r="A196">
        <v>8392777</v>
      </c>
      <c r="B196" t="s">
        <v>340</v>
      </c>
      <c r="C196" t="s">
        <v>26</v>
      </c>
      <c r="D196" t="s">
        <v>12</v>
      </c>
      <c r="E196" t="s">
        <v>515</v>
      </c>
      <c r="F196" t="s">
        <v>140</v>
      </c>
      <c r="G196" t="s">
        <v>369</v>
      </c>
      <c r="H196" t="s">
        <v>1</v>
      </c>
      <c r="I196" t="s">
        <v>469</v>
      </c>
      <c r="J196" t="s">
        <v>445</v>
      </c>
      <c r="K196" t="s">
        <v>438</v>
      </c>
      <c r="L196" t="s">
        <v>5</v>
      </c>
      <c r="M196" t="s">
        <v>408</v>
      </c>
      <c r="N196" t="s">
        <v>11</v>
      </c>
      <c r="O196" t="s">
        <v>11</v>
      </c>
      <c r="P196" t="s">
        <v>6</v>
      </c>
      <c r="Q196" t="s">
        <v>408</v>
      </c>
      <c r="R196" t="s">
        <v>439</v>
      </c>
      <c r="S196" t="s">
        <v>440</v>
      </c>
      <c r="T196" t="s">
        <v>11</v>
      </c>
      <c r="U196" t="s">
        <v>408</v>
      </c>
    </row>
    <row r="197" spans="1:21" x14ac:dyDescent="0.25">
      <c r="A197">
        <v>8392789</v>
      </c>
      <c r="B197" t="s">
        <v>342</v>
      </c>
      <c r="C197" t="s">
        <v>33</v>
      </c>
      <c r="D197" t="s">
        <v>12</v>
      </c>
      <c r="E197" t="s">
        <v>515</v>
      </c>
      <c r="F197" t="s">
        <v>140</v>
      </c>
      <c r="G197" t="s">
        <v>369</v>
      </c>
      <c r="H197" t="s">
        <v>0</v>
      </c>
      <c r="I197" t="s">
        <v>436</v>
      </c>
      <c r="J197" t="s">
        <v>437</v>
      </c>
      <c r="K197" t="s">
        <v>438</v>
      </c>
      <c r="L197" t="s">
        <v>151</v>
      </c>
      <c r="M197" t="s">
        <v>408</v>
      </c>
      <c r="N197" t="s">
        <v>11</v>
      </c>
      <c r="O197" t="s">
        <v>11</v>
      </c>
      <c r="P197" t="s">
        <v>6</v>
      </c>
      <c r="Q197" t="s">
        <v>408</v>
      </c>
      <c r="R197" t="s">
        <v>439</v>
      </c>
      <c r="S197" t="s">
        <v>440</v>
      </c>
      <c r="T197" t="s">
        <v>11</v>
      </c>
      <c r="U197" t="s">
        <v>408</v>
      </c>
    </row>
    <row r="198" spans="1:21" x14ac:dyDescent="0.25">
      <c r="A198">
        <v>8392809</v>
      </c>
      <c r="B198" t="s">
        <v>340</v>
      </c>
      <c r="C198" t="s">
        <v>26</v>
      </c>
      <c r="D198" t="s">
        <v>18</v>
      </c>
      <c r="E198" t="s">
        <v>515</v>
      </c>
      <c r="F198" t="s">
        <v>140</v>
      </c>
      <c r="G198" t="s">
        <v>369</v>
      </c>
      <c r="H198" t="s">
        <v>0</v>
      </c>
      <c r="I198" t="s">
        <v>436</v>
      </c>
      <c r="J198" t="s">
        <v>437</v>
      </c>
      <c r="K198" t="s">
        <v>438</v>
      </c>
      <c r="L198" t="s">
        <v>1</v>
      </c>
      <c r="M198" t="s">
        <v>408</v>
      </c>
      <c r="N198" t="s">
        <v>11</v>
      </c>
      <c r="O198" t="s">
        <v>11</v>
      </c>
      <c r="P198" t="s">
        <v>6</v>
      </c>
      <c r="Q198" t="s">
        <v>408</v>
      </c>
      <c r="R198" t="s">
        <v>439</v>
      </c>
      <c r="S198" t="s">
        <v>440</v>
      </c>
      <c r="T198" t="s">
        <v>11</v>
      </c>
      <c r="U198" t="s">
        <v>408</v>
      </c>
    </row>
    <row r="199" spans="1:21" x14ac:dyDescent="0.25">
      <c r="A199">
        <v>8392824</v>
      </c>
      <c r="B199" t="s">
        <v>342</v>
      </c>
      <c r="C199" t="s">
        <v>33</v>
      </c>
      <c r="D199" t="s">
        <v>12</v>
      </c>
      <c r="E199" t="s">
        <v>515</v>
      </c>
      <c r="F199" t="s">
        <v>140</v>
      </c>
      <c r="G199" t="s">
        <v>369</v>
      </c>
      <c r="H199" t="s">
        <v>0</v>
      </c>
      <c r="I199" t="s">
        <v>436</v>
      </c>
      <c r="J199" t="s">
        <v>437</v>
      </c>
      <c r="K199" t="s">
        <v>438</v>
      </c>
      <c r="L199" t="s">
        <v>1</v>
      </c>
      <c r="M199" t="s">
        <v>408</v>
      </c>
      <c r="N199" t="s">
        <v>11</v>
      </c>
      <c r="O199" t="s">
        <v>408</v>
      </c>
      <c r="P199" t="s">
        <v>6</v>
      </c>
      <c r="Q199" t="s">
        <v>408</v>
      </c>
      <c r="R199" t="s">
        <v>439</v>
      </c>
      <c r="S199" t="s">
        <v>440</v>
      </c>
      <c r="T199" t="s">
        <v>11</v>
      </c>
      <c r="U199" t="s">
        <v>408</v>
      </c>
    </row>
    <row r="200" spans="1:21" x14ac:dyDescent="0.25">
      <c r="A200">
        <v>8392829</v>
      </c>
      <c r="B200" t="s">
        <v>340</v>
      </c>
      <c r="C200" t="s">
        <v>26</v>
      </c>
      <c r="D200" t="s">
        <v>109</v>
      </c>
      <c r="E200" t="s">
        <v>515</v>
      </c>
      <c r="F200" t="s">
        <v>140</v>
      </c>
      <c r="G200" t="s">
        <v>369</v>
      </c>
      <c r="H200" t="s">
        <v>0</v>
      </c>
      <c r="I200" t="s">
        <v>436</v>
      </c>
      <c r="J200" t="s">
        <v>437</v>
      </c>
      <c r="K200" t="s">
        <v>438</v>
      </c>
      <c r="L200" t="s">
        <v>5</v>
      </c>
      <c r="M200" t="s">
        <v>408</v>
      </c>
      <c r="N200" t="s">
        <v>11</v>
      </c>
      <c r="O200" t="s">
        <v>408</v>
      </c>
      <c r="P200" t="s">
        <v>6</v>
      </c>
      <c r="Q200" t="s">
        <v>408</v>
      </c>
      <c r="R200" t="s">
        <v>439</v>
      </c>
      <c r="S200" t="s">
        <v>440</v>
      </c>
      <c r="T200" t="s">
        <v>11</v>
      </c>
      <c r="U200" t="s">
        <v>408</v>
      </c>
    </row>
    <row r="201" spans="1:21" x14ac:dyDescent="0.25">
      <c r="A201">
        <v>8392844</v>
      </c>
      <c r="B201" t="s">
        <v>340</v>
      </c>
      <c r="C201" t="s">
        <v>26</v>
      </c>
      <c r="D201" t="s">
        <v>12</v>
      </c>
      <c r="E201" t="s">
        <v>515</v>
      </c>
      <c r="F201" t="s">
        <v>140</v>
      </c>
      <c r="G201" t="s">
        <v>369</v>
      </c>
      <c r="H201" t="s">
        <v>0</v>
      </c>
      <c r="I201" t="s">
        <v>436</v>
      </c>
      <c r="J201" t="s">
        <v>437</v>
      </c>
      <c r="K201" t="s">
        <v>438</v>
      </c>
      <c r="L201" t="s">
        <v>1</v>
      </c>
      <c r="M201" t="s">
        <v>408</v>
      </c>
      <c r="N201" t="s">
        <v>11</v>
      </c>
      <c r="O201" t="s">
        <v>408</v>
      </c>
      <c r="P201" t="s">
        <v>6</v>
      </c>
      <c r="Q201" t="s">
        <v>408</v>
      </c>
      <c r="R201" t="s">
        <v>439</v>
      </c>
      <c r="S201" t="s">
        <v>440</v>
      </c>
      <c r="T201" t="s">
        <v>11</v>
      </c>
      <c r="U201" t="s">
        <v>408</v>
      </c>
    </row>
    <row r="202" spans="1:21" x14ac:dyDescent="0.25">
      <c r="A202">
        <v>8392846</v>
      </c>
      <c r="B202" t="s">
        <v>340</v>
      </c>
      <c r="C202" t="s">
        <v>26</v>
      </c>
      <c r="D202" t="s">
        <v>18</v>
      </c>
      <c r="E202" t="s">
        <v>515</v>
      </c>
      <c r="F202" t="s">
        <v>140</v>
      </c>
      <c r="G202" t="s">
        <v>369</v>
      </c>
      <c r="H202" t="s">
        <v>0</v>
      </c>
      <c r="I202" t="s">
        <v>436</v>
      </c>
      <c r="J202" t="s">
        <v>437</v>
      </c>
      <c r="K202" t="s">
        <v>438</v>
      </c>
      <c r="L202" t="s">
        <v>5</v>
      </c>
      <c r="M202" t="s">
        <v>408</v>
      </c>
      <c r="N202" t="s">
        <v>11</v>
      </c>
      <c r="O202" t="s">
        <v>408</v>
      </c>
      <c r="P202" t="s">
        <v>6</v>
      </c>
      <c r="Q202" t="s">
        <v>408</v>
      </c>
      <c r="R202" t="s">
        <v>439</v>
      </c>
      <c r="S202" t="s">
        <v>440</v>
      </c>
      <c r="T202" t="s">
        <v>11</v>
      </c>
      <c r="U202" t="s">
        <v>408</v>
      </c>
    </row>
    <row r="203" spans="1:21" x14ac:dyDescent="0.25">
      <c r="A203">
        <v>8392850</v>
      </c>
      <c r="B203" t="s">
        <v>340</v>
      </c>
      <c r="C203" t="s">
        <v>26</v>
      </c>
      <c r="D203" t="s">
        <v>18</v>
      </c>
      <c r="E203" t="s">
        <v>515</v>
      </c>
      <c r="F203" t="s">
        <v>140</v>
      </c>
      <c r="G203" t="s">
        <v>369</v>
      </c>
      <c r="H203" t="s">
        <v>0</v>
      </c>
      <c r="I203" t="s">
        <v>436</v>
      </c>
      <c r="J203" t="s">
        <v>437</v>
      </c>
      <c r="K203" t="s">
        <v>438</v>
      </c>
      <c r="L203" t="s">
        <v>5</v>
      </c>
      <c r="M203" t="s">
        <v>408</v>
      </c>
      <c r="N203" t="s">
        <v>11</v>
      </c>
      <c r="O203" t="s">
        <v>408</v>
      </c>
      <c r="P203" t="s">
        <v>6</v>
      </c>
      <c r="Q203" t="s">
        <v>408</v>
      </c>
      <c r="R203" t="s">
        <v>439</v>
      </c>
      <c r="S203" t="s">
        <v>440</v>
      </c>
      <c r="T203" t="s">
        <v>11</v>
      </c>
      <c r="U203" t="s">
        <v>408</v>
      </c>
    </row>
    <row r="204" spans="1:21" x14ac:dyDescent="0.25">
      <c r="A204">
        <v>8392854</v>
      </c>
      <c r="B204" t="s">
        <v>340</v>
      </c>
      <c r="C204" t="s">
        <v>26</v>
      </c>
      <c r="D204" t="s">
        <v>79</v>
      </c>
      <c r="E204" t="s">
        <v>515</v>
      </c>
      <c r="F204" t="s">
        <v>140</v>
      </c>
      <c r="G204" t="s">
        <v>369</v>
      </c>
      <c r="H204" t="s">
        <v>0</v>
      </c>
      <c r="I204" t="s">
        <v>436</v>
      </c>
      <c r="J204" t="s">
        <v>437</v>
      </c>
      <c r="K204" t="s">
        <v>438</v>
      </c>
      <c r="L204" t="s">
        <v>5</v>
      </c>
      <c r="M204" t="s">
        <v>408</v>
      </c>
      <c r="N204" t="s">
        <v>11</v>
      </c>
      <c r="O204" t="s">
        <v>11</v>
      </c>
      <c r="P204" t="s">
        <v>6</v>
      </c>
      <c r="Q204" t="s">
        <v>408</v>
      </c>
      <c r="R204" t="s">
        <v>439</v>
      </c>
      <c r="S204" t="s">
        <v>440</v>
      </c>
      <c r="T204" t="s">
        <v>11</v>
      </c>
      <c r="U204" t="s">
        <v>408</v>
      </c>
    </row>
    <row r="205" spans="1:21" x14ac:dyDescent="0.25">
      <c r="A205">
        <v>8392857</v>
      </c>
      <c r="B205" t="s">
        <v>340</v>
      </c>
      <c r="C205" t="s">
        <v>26</v>
      </c>
      <c r="D205" t="s">
        <v>12</v>
      </c>
      <c r="E205" t="s">
        <v>515</v>
      </c>
      <c r="F205" t="s">
        <v>140</v>
      </c>
      <c r="G205" t="s">
        <v>369</v>
      </c>
      <c r="H205" t="s">
        <v>0</v>
      </c>
      <c r="I205" t="s">
        <v>436</v>
      </c>
      <c r="J205" t="s">
        <v>437</v>
      </c>
      <c r="K205" t="s">
        <v>438</v>
      </c>
      <c r="L205" t="s">
        <v>5</v>
      </c>
      <c r="M205" t="s">
        <v>408</v>
      </c>
      <c r="N205" t="s">
        <v>11</v>
      </c>
      <c r="O205" t="s">
        <v>408</v>
      </c>
      <c r="P205" t="s">
        <v>6</v>
      </c>
      <c r="Q205" t="s">
        <v>408</v>
      </c>
      <c r="R205" t="s">
        <v>439</v>
      </c>
      <c r="S205" t="s">
        <v>440</v>
      </c>
      <c r="T205" t="s">
        <v>11</v>
      </c>
      <c r="U205" t="s">
        <v>408</v>
      </c>
    </row>
    <row r="206" spans="1:21" x14ac:dyDescent="0.25">
      <c r="A206">
        <v>8392860</v>
      </c>
      <c r="B206" t="s">
        <v>340</v>
      </c>
      <c r="C206" t="s">
        <v>26</v>
      </c>
      <c r="D206" t="s">
        <v>79</v>
      </c>
      <c r="E206" t="s">
        <v>515</v>
      </c>
      <c r="F206" t="s">
        <v>140</v>
      </c>
      <c r="G206" t="s">
        <v>369</v>
      </c>
      <c r="H206" t="s">
        <v>0</v>
      </c>
      <c r="I206" t="s">
        <v>436</v>
      </c>
      <c r="J206" t="s">
        <v>437</v>
      </c>
      <c r="K206" t="s">
        <v>438</v>
      </c>
      <c r="L206" t="s">
        <v>5</v>
      </c>
      <c r="M206" t="s">
        <v>408</v>
      </c>
      <c r="N206" t="s">
        <v>11</v>
      </c>
      <c r="O206" t="s">
        <v>408</v>
      </c>
      <c r="P206" t="s">
        <v>6</v>
      </c>
      <c r="Q206" t="s">
        <v>408</v>
      </c>
      <c r="R206" t="s">
        <v>439</v>
      </c>
      <c r="S206" t="s">
        <v>440</v>
      </c>
      <c r="T206" t="s">
        <v>11</v>
      </c>
      <c r="U206" t="s">
        <v>408</v>
      </c>
    </row>
    <row r="207" spans="1:21" x14ac:dyDescent="0.25">
      <c r="A207">
        <v>8392906</v>
      </c>
      <c r="B207" t="s">
        <v>342</v>
      </c>
      <c r="C207" t="s">
        <v>33</v>
      </c>
      <c r="D207" t="s">
        <v>18</v>
      </c>
      <c r="E207" t="s">
        <v>719</v>
      </c>
      <c r="F207" t="s">
        <v>139</v>
      </c>
      <c r="G207" t="s">
        <v>369</v>
      </c>
      <c r="H207" t="s">
        <v>0</v>
      </c>
      <c r="I207" t="s">
        <v>436</v>
      </c>
      <c r="J207" t="s">
        <v>437</v>
      </c>
      <c r="K207" t="s">
        <v>438</v>
      </c>
      <c r="L207" t="s">
        <v>151</v>
      </c>
      <c r="M207" t="s">
        <v>408</v>
      </c>
      <c r="N207" t="s">
        <v>11</v>
      </c>
      <c r="O207" t="s">
        <v>408</v>
      </c>
      <c r="P207" t="s">
        <v>151</v>
      </c>
      <c r="Q207" t="s">
        <v>408</v>
      </c>
      <c r="R207" t="s">
        <v>439</v>
      </c>
      <c r="S207" t="s">
        <v>440</v>
      </c>
      <c r="T207" t="s">
        <v>11</v>
      </c>
      <c r="U207" t="s">
        <v>408</v>
      </c>
    </row>
    <row r="208" spans="1:21" x14ac:dyDescent="0.25">
      <c r="A208">
        <v>8392909</v>
      </c>
      <c r="B208" t="s">
        <v>340</v>
      </c>
      <c r="C208" t="s">
        <v>26</v>
      </c>
      <c r="D208" t="s">
        <v>79</v>
      </c>
      <c r="E208" t="s">
        <v>719</v>
      </c>
      <c r="F208" t="s">
        <v>139</v>
      </c>
      <c r="G208" t="s">
        <v>369</v>
      </c>
      <c r="H208" t="s">
        <v>0</v>
      </c>
      <c r="I208" t="s">
        <v>436</v>
      </c>
      <c r="J208" t="s">
        <v>437</v>
      </c>
      <c r="K208" t="s">
        <v>438</v>
      </c>
      <c r="L208" t="s">
        <v>1</v>
      </c>
      <c r="M208" t="s">
        <v>408</v>
      </c>
      <c r="N208" t="s">
        <v>11</v>
      </c>
      <c r="O208" t="s">
        <v>408</v>
      </c>
      <c r="P208" t="s">
        <v>151</v>
      </c>
      <c r="Q208" t="s">
        <v>408</v>
      </c>
      <c r="R208" t="s">
        <v>439</v>
      </c>
      <c r="S208" t="s">
        <v>440</v>
      </c>
      <c r="T208" t="s">
        <v>11</v>
      </c>
      <c r="U208" t="s">
        <v>408</v>
      </c>
    </row>
    <row r="209" spans="1:21" x14ac:dyDescent="0.25">
      <c r="A209">
        <v>8392912</v>
      </c>
      <c r="B209" t="s">
        <v>340</v>
      </c>
      <c r="C209" t="s">
        <v>26</v>
      </c>
      <c r="D209" t="s">
        <v>12</v>
      </c>
      <c r="E209" t="s">
        <v>719</v>
      </c>
      <c r="F209" t="s">
        <v>139</v>
      </c>
      <c r="G209" t="s">
        <v>369</v>
      </c>
      <c r="H209" t="s">
        <v>0</v>
      </c>
      <c r="I209" t="s">
        <v>436</v>
      </c>
      <c r="J209" t="s">
        <v>437</v>
      </c>
      <c r="K209" t="s">
        <v>438</v>
      </c>
      <c r="L209" t="s">
        <v>151</v>
      </c>
      <c r="M209" t="s">
        <v>408</v>
      </c>
      <c r="N209" t="s">
        <v>11</v>
      </c>
      <c r="O209" t="s">
        <v>408</v>
      </c>
      <c r="P209" t="s">
        <v>151</v>
      </c>
      <c r="Q209" t="s">
        <v>408</v>
      </c>
      <c r="R209" t="s">
        <v>439</v>
      </c>
      <c r="S209" t="s">
        <v>440</v>
      </c>
      <c r="T209" t="s">
        <v>11</v>
      </c>
      <c r="U209" t="s">
        <v>408</v>
      </c>
    </row>
    <row r="210" spans="1:21" x14ac:dyDescent="0.25">
      <c r="A210">
        <v>8392913</v>
      </c>
      <c r="B210" t="s">
        <v>340</v>
      </c>
      <c r="C210" t="s">
        <v>26</v>
      </c>
      <c r="D210" t="s">
        <v>12</v>
      </c>
      <c r="E210" t="s">
        <v>719</v>
      </c>
      <c r="F210" t="s">
        <v>139</v>
      </c>
      <c r="G210" t="s">
        <v>369</v>
      </c>
      <c r="H210" t="s">
        <v>0</v>
      </c>
      <c r="I210" t="s">
        <v>436</v>
      </c>
      <c r="J210" t="s">
        <v>437</v>
      </c>
      <c r="K210" t="s">
        <v>438</v>
      </c>
      <c r="L210" t="s">
        <v>0</v>
      </c>
      <c r="M210" t="s">
        <v>408</v>
      </c>
      <c r="N210" t="s">
        <v>11</v>
      </c>
      <c r="O210" t="s">
        <v>408</v>
      </c>
      <c r="P210" t="s">
        <v>151</v>
      </c>
      <c r="Q210" t="s">
        <v>408</v>
      </c>
      <c r="R210" t="s">
        <v>439</v>
      </c>
      <c r="S210" t="s">
        <v>440</v>
      </c>
      <c r="T210" t="s">
        <v>11</v>
      </c>
      <c r="U210" t="s">
        <v>408</v>
      </c>
    </row>
    <row r="211" spans="1:21" x14ac:dyDescent="0.25">
      <c r="A211">
        <v>8392914</v>
      </c>
      <c r="B211" t="s">
        <v>342</v>
      </c>
      <c r="C211" t="s">
        <v>33</v>
      </c>
      <c r="D211" t="s">
        <v>12</v>
      </c>
      <c r="E211" t="s">
        <v>719</v>
      </c>
      <c r="F211" t="s">
        <v>139</v>
      </c>
      <c r="G211" t="s">
        <v>369</v>
      </c>
      <c r="H211" t="s">
        <v>0</v>
      </c>
      <c r="I211" t="s">
        <v>436</v>
      </c>
      <c r="J211" t="s">
        <v>437</v>
      </c>
      <c r="K211" t="s">
        <v>438</v>
      </c>
      <c r="L211" t="s">
        <v>151</v>
      </c>
      <c r="M211" t="s">
        <v>408</v>
      </c>
      <c r="N211" t="s">
        <v>11</v>
      </c>
      <c r="O211" t="s">
        <v>408</v>
      </c>
      <c r="P211" t="s">
        <v>151</v>
      </c>
      <c r="Q211" t="s">
        <v>408</v>
      </c>
      <c r="R211" t="s">
        <v>439</v>
      </c>
      <c r="S211" t="s">
        <v>440</v>
      </c>
      <c r="T211" t="s">
        <v>11</v>
      </c>
      <c r="U211" t="s">
        <v>408</v>
      </c>
    </row>
    <row r="212" spans="1:21" x14ac:dyDescent="0.25">
      <c r="A212">
        <v>8392919</v>
      </c>
      <c r="B212" t="s">
        <v>342</v>
      </c>
      <c r="C212" t="s">
        <v>33</v>
      </c>
      <c r="D212" t="s">
        <v>12</v>
      </c>
      <c r="E212" t="s">
        <v>719</v>
      </c>
      <c r="F212" t="s">
        <v>139</v>
      </c>
      <c r="G212" t="s">
        <v>369</v>
      </c>
      <c r="H212" t="s">
        <v>0</v>
      </c>
      <c r="I212" t="s">
        <v>436</v>
      </c>
      <c r="J212" t="s">
        <v>437</v>
      </c>
      <c r="K212" t="s">
        <v>438</v>
      </c>
      <c r="L212" t="s">
        <v>151</v>
      </c>
      <c r="M212" t="s">
        <v>408</v>
      </c>
      <c r="N212" t="s">
        <v>11</v>
      </c>
      <c r="O212" t="s">
        <v>408</v>
      </c>
      <c r="P212" t="s">
        <v>151</v>
      </c>
      <c r="Q212" t="s">
        <v>408</v>
      </c>
      <c r="R212" t="s">
        <v>439</v>
      </c>
      <c r="S212" t="s">
        <v>440</v>
      </c>
      <c r="T212" t="s">
        <v>11</v>
      </c>
      <c r="U212" t="s">
        <v>408</v>
      </c>
    </row>
    <row r="213" spans="1:21" x14ac:dyDescent="0.25">
      <c r="A213">
        <v>8392921</v>
      </c>
      <c r="B213" t="s">
        <v>342</v>
      </c>
      <c r="C213" t="s">
        <v>33</v>
      </c>
      <c r="D213" t="s">
        <v>12</v>
      </c>
      <c r="E213" t="s">
        <v>719</v>
      </c>
      <c r="F213" t="s">
        <v>139</v>
      </c>
      <c r="G213" t="s">
        <v>369</v>
      </c>
      <c r="H213" t="s">
        <v>0</v>
      </c>
      <c r="I213" t="s">
        <v>436</v>
      </c>
      <c r="J213" t="s">
        <v>437</v>
      </c>
      <c r="K213" t="s">
        <v>438</v>
      </c>
      <c r="L213" t="s">
        <v>151</v>
      </c>
      <c r="M213" t="s">
        <v>408</v>
      </c>
      <c r="N213" t="s">
        <v>11</v>
      </c>
      <c r="O213" t="s">
        <v>408</v>
      </c>
      <c r="P213" t="s">
        <v>151</v>
      </c>
      <c r="Q213" t="s">
        <v>408</v>
      </c>
      <c r="R213" t="s">
        <v>439</v>
      </c>
      <c r="S213" t="s">
        <v>440</v>
      </c>
      <c r="T213" t="s">
        <v>11</v>
      </c>
      <c r="U213" t="s">
        <v>408</v>
      </c>
    </row>
    <row r="214" spans="1:21" x14ac:dyDescent="0.25">
      <c r="A214">
        <v>8392929</v>
      </c>
      <c r="B214" t="s">
        <v>342</v>
      </c>
      <c r="C214" t="s">
        <v>33</v>
      </c>
      <c r="D214" t="s">
        <v>18</v>
      </c>
      <c r="E214" t="s">
        <v>719</v>
      </c>
      <c r="F214" t="s">
        <v>139</v>
      </c>
      <c r="G214" t="s">
        <v>369</v>
      </c>
      <c r="H214" t="s">
        <v>0</v>
      </c>
      <c r="I214" t="s">
        <v>436</v>
      </c>
      <c r="J214" t="s">
        <v>437</v>
      </c>
      <c r="K214" t="s">
        <v>438</v>
      </c>
      <c r="L214" t="s">
        <v>151</v>
      </c>
      <c r="M214" t="s">
        <v>408</v>
      </c>
      <c r="N214" t="s">
        <v>11</v>
      </c>
      <c r="O214" t="s">
        <v>408</v>
      </c>
      <c r="P214" t="s">
        <v>151</v>
      </c>
      <c r="Q214" t="s">
        <v>408</v>
      </c>
      <c r="R214" t="s">
        <v>439</v>
      </c>
      <c r="S214" t="s">
        <v>440</v>
      </c>
      <c r="T214" t="s">
        <v>11</v>
      </c>
      <c r="U214" t="s">
        <v>408</v>
      </c>
    </row>
    <row r="215" spans="1:21" x14ac:dyDescent="0.25">
      <c r="A215">
        <v>8392930</v>
      </c>
      <c r="B215" t="s">
        <v>342</v>
      </c>
      <c r="C215" t="s">
        <v>33</v>
      </c>
      <c r="D215" t="s">
        <v>79</v>
      </c>
      <c r="E215" t="s">
        <v>719</v>
      </c>
      <c r="F215" t="s">
        <v>139</v>
      </c>
      <c r="G215" t="s">
        <v>369</v>
      </c>
      <c r="H215" t="s">
        <v>0</v>
      </c>
      <c r="I215" t="s">
        <v>436</v>
      </c>
      <c r="J215" t="s">
        <v>437</v>
      </c>
      <c r="K215" t="s">
        <v>438</v>
      </c>
      <c r="L215" t="s">
        <v>151</v>
      </c>
      <c r="M215" t="s">
        <v>408</v>
      </c>
      <c r="N215" t="s">
        <v>11</v>
      </c>
      <c r="O215" t="s">
        <v>408</v>
      </c>
      <c r="P215" t="s">
        <v>151</v>
      </c>
      <c r="Q215" t="s">
        <v>408</v>
      </c>
      <c r="R215" t="s">
        <v>439</v>
      </c>
      <c r="S215" t="s">
        <v>440</v>
      </c>
      <c r="T215" t="s">
        <v>11</v>
      </c>
      <c r="U215" t="s">
        <v>408</v>
      </c>
    </row>
    <row r="216" spans="1:21" x14ac:dyDescent="0.25">
      <c r="A216">
        <v>8392937</v>
      </c>
      <c r="B216" t="s">
        <v>342</v>
      </c>
      <c r="C216" t="s">
        <v>33</v>
      </c>
      <c r="D216" t="s">
        <v>79</v>
      </c>
      <c r="E216" t="s">
        <v>719</v>
      </c>
      <c r="F216" t="s">
        <v>139</v>
      </c>
      <c r="G216" t="s">
        <v>369</v>
      </c>
      <c r="H216" t="s">
        <v>0</v>
      </c>
      <c r="I216" t="s">
        <v>436</v>
      </c>
      <c r="J216" t="s">
        <v>437</v>
      </c>
      <c r="K216" t="s">
        <v>438</v>
      </c>
      <c r="L216" t="s">
        <v>151</v>
      </c>
      <c r="M216" t="s">
        <v>408</v>
      </c>
      <c r="N216" t="s">
        <v>11</v>
      </c>
      <c r="O216" t="s">
        <v>408</v>
      </c>
      <c r="P216" t="s">
        <v>151</v>
      </c>
      <c r="Q216" t="s">
        <v>408</v>
      </c>
      <c r="R216" t="s">
        <v>439</v>
      </c>
      <c r="S216" t="s">
        <v>440</v>
      </c>
      <c r="T216" t="s">
        <v>11</v>
      </c>
      <c r="U216" t="s">
        <v>408</v>
      </c>
    </row>
    <row r="217" spans="1:21" x14ac:dyDescent="0.25">
      <c r="A217">
        <v>8392939</v>
      </c>
      <c r="B217" t="s">
        <v>340</v>
      </c>
      <c r="C217" t="s">
        <v>26</v>
      </c>
      <c r="D217" t="s">
        <v>12</v>
      </c>
      <c r="E217" t="s">
        <v>719</v>
      </c>
      <c r="F217" t="s">
        <v>139</v>
      </c>
      <c r="G217" t="s">
        <v>369</v>
      </c>
      <c r="H217" t="s">
        <v>2</v>
      </c>
      <c r="I217" t="s">
        <v>436</v>
      </c>
      <c r="J217" t="s">
        <v>443</v>
      </c>
      <c r="K217" t="s">
        <v>444</v>
      </c>
      <c r="L217" t="s">
        <v>0</v>
      </c>
      <c r="M217" t="s">
        <v>408</v>
      </c>
      <c r="N217" t="s">
        <v>11</v>
      </c>
      <c r="O217" t="s">
        <v>408</v>
      </c>
      <c r="P217" t="s">
        <v>151</v>
      </c>
      <c r="Q217" t="s">
        <v>408</v>
      </c>
      <c r="R217" t="s">
        <v>439</v>
      </c>
      <c r="S217" t="s">
        <v>440</v>
      </c>
      <c r="T217" t="s">
        <v>11</v>
      </c>
      <c r="U217" t="s">
        <v>408</v>
      </c>
    </row>
    <row r="218" spans="1:21" x14ac:dyDescent="0.25">
      <c r="A218">
        <v>8392940</v>
      </c>
      <c r="B218" t="s">
        <v>340</v>
      </c>
      <c r="C218" t="s">
        <v>26</v>
      </c>
      <c r="D218" t="s">
        <v>12</v>
      </c>
      <c r="E218" t="s">
        <v>719</v>
      </c>
      <c r="F218" t="s">
        <v>139</v>
      </c>
      <c r="G218" t="s">
        <v>369</v>
      </c>
      <c r="H218" t="s">
        <v>0</v>
      </c>
      <c r="I218" t="s">
        <v>436</v>
      </c>
      <c r="J218" t="s">
        <v>437</v>
      </c>
      <c r="K218" t="s">
        <v>438</v>
      </c>
      <c r="L218" t="s">
        <v>0</v>
      </c>
      <c r="M218" t="s">
        <v>408</v>
      </c>
      <c r="N218" t="s">
        <v>11</v>
      </c>
      <c r="O218" t="s">
        <v>408</v>
      </c>
      <c r="P218" t="s">
        <v>151</v>
      </c>
      <c r="Q218" t="s">
        <v>408</v>
      </c>
      <c r="R218" t="s">
        <v>439</v>
      </c>
      <c r="S218" t="s">
        <v>440</v>
      </c>
      <c r="T218" t="s">
        <v>11</v>
      </c>
      <c r="U218" t="s">
        <v>408</v>
      </c>
    </row>
    <row r="219" spans="1:21" x14ac:dyDescent="0.25">
      <c r="A219">
        <v>8392941</v>
      </c>
      <c r="B219" t="s">
        <v>342</v>
      </c>
      <c r="C219" t="s">
        <v>33</v>
      </c>
      <c r="D219" t="s">
        <v>12</v>
      </c>
      <c r="E219" t="s">
        <v>719</v>
      </c>
      <c r="F219" t="s">
        <v>139</v>
      </c>
      <c r="G219" t="s">
        <v>369</v>
      </c>
      <c r="H219" t="s">
        <v>0</v>
      </c>
      <c r="I219" t="s">
        <v>436</v>
      </c>
      <c r="J219" t="s">
        <v>437</v>
      </c>
      <c r="K219" t="s">
        <v>438</v>
      </c>
      <c r="L219" t="s">
        <v>151</v>
      </c>
      <c r="M219" t="s">
        <v>408</v>
      </c>
      <c r="N219" t="s">
        <v>11</v>
      </c>
      <c r="O219" t="s">
        <v>408</v>
      </c>
      <c r="P219" t="s">
        <v>151</v>
      </c>
      <c r="Q219" t="s">
        <v>408</v>
      </c>
      <c r="R219" t="s">
        <v>439</v>
      </c>
      <c r="S219" t="s">
        <v>440</v>
      </c>
      <c r="T219" t="s">
        <v>11</v>
      </c>
      <c r="U219" t="s">
        <v>408</v>
      </c>
    </row>
    <row r="220" spans="1:21" x14ac:dyDescent="0.25">
      <c r="A220">
        <v>8392943</v>
      </c>
      <c r="B220" t="s">
        <v>342</v>
      </c>
      <c r="C220" t="s">
        <v>33</v>
      </c>
      <c r="D220" t="s">
        <v>18</v>
      </c>
      <c r="E220" t="s">
        <v>719</v>
      </c>
      <c r="F220" t="s">
        <v>139</v>
      </c>
      <c r="G220" t="s">
        <v>369</v>
      </c>
      <c r="H220" t="s">
        <v>0</v>
      </c>
      <c r="I220" t="s">
        <v>436</v>
      </c>
      <c r="J220" t="s">
        <v>437</v>
      </c>
      <c r="K220" t="s">
        <v>438</v>
      </c>
      <c r="L220" t="s">
        <v>151</v>
      </c>
      <c r="M220" t="s">
        <v>408</v>
      </c>
      <c r="N220" t="s">
        <v>11</v>
      </c>
      <c r="O220" t="s">
        <v>408</v>
      </c>
      <c r="P220" t="s">
        <v>151</v>
      </c>
      <c r="Q220" t="s">
        <v>408</v>
      </c>
      <c r="R220" t="s">
        <v>439</v>
      </c>
      <c r="S220" t="s">
        <v>440</v>
      </c>
      <c r="T220" t="s">
        <v>11</v>
      </c>
      <c r="U220" t="s">
        <v>408</v>
      </c>
    </row>
    <row r="221" spans="1:21" x14ac:dyDescent="0.25">
      <c r="A221">
        <v>8392944</v>
      </c>
      <c r="B221" t="s">
        <v>340</v>
      </c>
      <c r="C221" t="s">
        <v>26</v>
      </c>
      <c r="D221" t="s">
        <v>18</v>
      </c>
      <c r="E221" t="s">
        <v>719</v>
      </c>
      <c r="F221" t="s">
        <v>139</v>
      </c>
      <c r="G221" t="s">
        <v>369</v>
      </c>
      <c r="H221" t="s">
        <v>0</v>
      </c>
      <c r="I221" t="s">
        <v>436</v>
      </c>
      <c r="J221" t="s">
        <v>437</v>
      </c>
      <c r="K221" t="s">
        <v>438</v>
      </c>
      <c r="L221" t="s">
        <v>151</v>
      </c>
      <c r="M221" t="s">
        <v>408</v>
      </c>
      <c r="N221" t="s">
        <v>11</v>
      </c>
      <c r="O221" t="s">
        <v>408</v>
      </c>
      <c r="P221" t="s">
        <v>151</v>
      </c>
      <c r="Q221" t="s">
        <v>408</v>
      </c>
      <c r="R221" t="s">
        <v>439</v>
      </c>
      <c r="S221" t="s">
        <v>440</v>
      </c>
      <c r="T221" t="s">
        <v>11</v>
      </c>
      <c r="U221" t="s">
        <v>408</v>
      </c>
    </row>
    <row r="222" spans="1:21" x14ac:dyDescent="0.25">
      <c r="A222">
        <v>8392945</v>
      </c>
      <c r="B222" t="s">
        <v>340</v>
      </c>
      <c r="C222" t="s">
        <v>26</v>
      </c>
      <c r="D222" t="s">
        <v>12</v>
      </c>
      <c r="E222" t="s">
        <v>719</v>
      </c>
      <c r="F222" t="s">
        <v>139</v>
      </c>
      <c r="G222" t="s">
        <v>369</v>
      </c>
      <c r="H222" t="s">
        <v>0</v>
      </c>
      <c r="I222" t="s">
        <v>436</v>
      </c>
      <c r="J222" t="s">
        <v>437</v>
      </c>
      <c r="K222" t="s">
        <v>438</v>
      </c>
      <c r="L222" t="s">
        <v>0</v>
      </c>
      <c r="M222" t="s">
        <v>408</v>
      </c>
      <c r="N222" t="s">
        <v>11</v>
      </c>
      <c r="O222" t="s">
        <v>408</v>
      </c>
      <c r="P222" t="s">
        <v>151</v>
      </c>
      <c r="Q222" t="s">
        <v>408</v>
      </c>
      <c r="R222" t="s">
        <v>439</v>
      </c>
      <c r="S222" t="s">
        <v>440</v>
      </c>
      <c r="T222" t="s">
        <v>11</v>
      </c>
      <c r="U222" t="s">
        <v>408</v>
      </c>
    </row>
    <row r="223" spans="1:21" x14ac:dyDescent="0.25">
      <c r="A223">
        <v>8392946</v>
      </c>
      <c r="B223" t="s">
        <v>340</v>
      </c>
      <c r="C223" t="s">
        <v>26</v>
      </c>
      <c r="D223" t="s">
        <v>12</v>
      </c>
      <c r="E223" t="s">
        <v>719</v>
      </c>
      <c r="F223" t="s">
        <v>139</v>
      </c>
      <c r="G223" t="s">
        <v>369</v>
      </c>
      <c r="H223" t="s">
        <v>0</v>
      </c>
      <c r="I223" t="s">
        <v>436</v>
      </c>
      <c r="J223" t="s">
        <v>437</v>
      </c>
      <c r="K223" t="s">
        <v>438</v>
      </c>
      <c r="L223" t="s">
        <v>0</v>
      </c>
      <c r="M223" t="s">
        <v>408</v>
      </c>
      <c r="N223" t="s">
        <v>11</v>
      </c>
      <c r="O223" t="s">
        <v>408</v>
      </c>
      <c r="P223" t="s">
        <v>151</v>
      </c>
      <c r="Q223" t="s">
        <v>408</v>
      </c>
      <c r="R223" t="s">
        <v>439</v>
      </c>
      <c r="S223" t="s">
        <v>440</v>
      </c>
      <c r="T223" t="s">
        <v>11</v>
      </c>
      <c r="U223" t="s">
        <v>408</v>
      </c>
    </row>
    <row r="224" spans="1:21" x14ac:dyDescent="0.25">
      <c r="A224">
        <v>8392949</v>
      </c>
      <c r="B224" t="s">
        <v>340</v>
      </c>
      <c r="C224" t="s">
        <v>26</v>
      </c>
      <c r="D224" t="s">
        <v>79</v>
      </c>
      <c r="E224" t="s">
        <v>719</v>
      </c>
      <c r="F224" t="s">
        <v>139</v>
      </c>
      <c r="G224" t="s">
        <v>369</v>
      </c>
      <c r="H224" t="s">
        <v>0</v>
      </c>
      <c r="I224" t="s">
        <v>436</v>
      </c>
      <c r="J224" t="s">
        <v>437</v>
      </c>
      <c r="K224" t="s">
        <v>438</v>
      </c>
      <c r="L224" t="s">
        <v>151</v>
      </c>
      <c r="M224" t="s">
        <v>408</v>
      </c>
      <c r="N224" t="s">
        <v>11</v>
      </c>
      <c r="O224" t="s">
        <v>408</v>
      </c>
      <c r="P224" t="s">
        <v>151</v>
      </c>
      <c r="Q224" t="s">
        <v>408</v>
      </c>
      <c r="R224" t="s">
        <v>439</v>
      </c>
      <c r="S224" t="s">
        <v>440</v>
      </c>
      <c r="T224" t="s">
        <v>11</v>
      </c>
      <c r="U224" t="s">
        <v>408</v>
      </c>
    </row>
    <row r="225" spans="1:21" x14ac:dyDescent="0.25">
      <c r="A225">
        <v>8392956</v>
      </c>
      <c r="B225" t="s">
        <v>340</v>
      </c>
      <c r="C225" t="s">
        <v>26</v>
      </c>
      <c r="D225" t="s">
        <v>18</v>
      </c>
      <c r="E225" t="s">
        <v>719</v>
      </c>
      <c r="F225" t="s">
        <v>139</v>
      </c>
      <c r="G225" t="s">
        <v>369</v>
      </c>
      <c r="H225" t="s">
        <v>0</v>
      </c>
      <c r="I225" t="s">
        <v>436</v>
      </c>
      <c r="J225" t="s">
        <v>437</v>
      </c>
      <c r="K225" t="s">
        <v>438</v>
      </c>
      <c r="L225" t="s">
        <v>151</v>
      </c>
      <c r="M225" t="s">
        <v>408</v>
      </c>
      <c r="N225" t="s">
        <v>11</v>
      </c>
      <c r="O225" t="s">
        <v>408</v>
      </c>
      <c r="P225" t="s">
        <v>151</v>
      </c>
      <c r="Q225" t="s">
        <v>408</v>
      </c>
      <c r="R225" t="s">
        <v>439</v>
      </c>
      <c r="S225" t="s">
        <v>440</v>
      </c>
      <c r="T225" t="s">
        <v>11</v>
      </c>
      <c r="U225" t="s">
        <v>408</v>
      </c>
    </row>
    <row r="226" spans="1:21" x14ac:dyDescent="0.25">
      <c r="A226">
        <v>8392957</v>
      </c>
      <c r="B226" t="s">
        <v>342</v>
      </c>
      <c r="C226" t="s">
        <v>33</v>
      </c>
      <c r="D226" t="s">
        <v>79</v>
      </c>
      <c r="E226" t="s">
        <v>719</v>
      </c>
      <c r="F226" t="s">
        <v>139</v>
      </c>
      <c r="G226" t="s">
        <v>369</v>
      </c>
      <c r="H226" t="s">
        <v>0</v>
      </c>
      <c r="I226" t="s">
        <v>436</v>
      </c>
      <c r="J226" t="s">
        <v>437</v>
      </c>
      <c r="K226" t="s">
        <v>438</v>
      </c>
      <c r="L226" t="s">
        <v>151</v>
      </c>
      <c r="M226" t="s">
        <v>408</v>
      </c>
      <c r="N226" t="s">
        <v>11</v>
      </c>
      <c r="O226" t="s">
        <v>408</v>
      </c>
      <c r="P226" t="s">
        <v>151</v>
      </c>
      <c r="Q226" t="s">
        <v>408</v>
      </c>
      <c r="R226" t="s">
        <v>439</v>
      </c>
      <c r="S226" t="s">
        <v>440</v>
      </c>
      <c r="T226" t="s">
        <v>11</v>
      </c>
      <c r="U226" t="s">
        <v>408</v>
      </c>
    </row>
    <row r="227" spans="1:21" x14ac:dyDescent="0.25">
      <c r="A227">
        <v>8392960</v>
      </c>
      <c r="B227" t="s">
        <v>342</v>
      </c>
      <c r="C227" t="s">
        <v>33</v>
      </c>
      <c r="D227" t="s">
        <v>79</v>
      </c>
      <c r="E227" t="s">
        <v>719</v>
      </c>
      <c r="F227" t="s">
        <v>139</v>
      </c>
      <c r="G227" t="s">
        <v>369</v>
      </c>
      <c r="H227" t="s">
        <v>0</v>
      </c>
      <c r="I227" t="s">
        <v>436</v>
      </c>
      <c r="J227" t="s">
        <v>437</v>
      </c>
      <c r="K227" t="s">
        <v>438</v>
      </c>
      <c r="L227" t="s">
        <v>151</v>
      </c>
      <c r="M227" t="s">
        <v>408</v>
      </c>
      <c r="N227" t="s">
        <v>11</v>
      </c>
      <c r="O227" t="s">
        <v>408</v>
      </c>
      <c r="P227" t="s">
        <v>151</v>
      </c>
      <c r="Q227" t="s">
        <v>408</v>
      </c>
      <c r="R227" t="s">
        <v>439</v>
      </c>
      <c r="S227" t="s">
        <v>440</v>
      </c>
      <c r="T227" t="s">
        <v>11</v>
      </c>
      <c r="U227" t="s">
        <v>408</v>
      </c>
    </row>
    <row r="228" spans="1:21" x14ac:dyDescent="0.25">
      <c r="A228">
        <v>8392963</v>
      </c>
      <c r="B228" t="s">
        <v>340</v>
      </c>
      <c r="C228" t="s">
        <v>26</v>
      </c>
      <c r="D228" t="s">
        <v>12</v>
      </c>
      <c r="E228" t="s">
        <v>719</v>
      </c>
      <c r="F228" t="s">
        <v>139</v>
      </c>
      <c r="G228" t="s">
        <v>369</v>
      </c>
      <c r="H228" t="s">
        <v>2</v>
      </c>
      <c r="I228" t="s">
        <v>436</v>
      </c>
      <c r="J228" t="s">
        <v>443</v>
      </c>
      <c r="K228" t="s">
        <v>444</v>
      </c>
      <c r="L228" t="s">
        <v>0</v>
      </c>
      <c r="M228" t="s">
        <v>408</v>
      </c>
      <c r="N228" t="s">
        <v>11</v>
      </c>
      <c r="O228" t="s">
        <v>408</v>
      </c>
      <c r="P228" t="s">
        <v>151</v>
      </c>
      <c r="Q228" t="s">
        <v>408</v>
      </c>
      <c r="R228" t="s">
        <v>439</v>
      </c>
      <c r="S228" t="s">
        <v>440</v>
      </c>
      <c r="T228" t="s">
        <v>11</v>
      </c>
      <c r="U228" t="s">
        <v>408</v>
      </c>
    </row>
    <row r="229" spans="1:21" x14ac:dyDescent="0.25">
      <c r="A229">
        <v>8392964</v>
      </c>
      <c r="B229" t="s">
        <v>342</v>
      </c>
      <c r="C229" t="s">
        <v>33</v>
      </c>
      <c r="D229" t="s">
        <v>12</v>
      </c>
      <c r="E229" t="s">
        <v>719</v>
      </c>
      <c r="F229" t="s">
        <v>139</v>
      </c>
      <c r="G229" t="s">
        <v>369</v>
      </c>
      <c r="H229" t="s">
        <v>0</v>
      </c>
      <c r="I229" t="s">
        <v>436</v>
      </c>
      <c r="J229" t="s">
        <v>437</v>
      </c>
      <c r="K229" t="s">
        <v>438</v>
      </c>
      <c r="L229" t="s">
        <v>151</v>
      </c>
      <c r="M229" t="s">
        <v>408</v>
      </c>
      <c r="N229" t="s">
        <v>11</v>
      </c>
      <c r="O229" t="s">
        <v>408</v>
      </c>
      <c r="P229" t="s">
        <v>151</v>
      </c>
      <c r="Q229" t="s">
        <v>408</v>
      </c>
      <c r="R229" t="s">
        <v>439</v>
      </c>
      <c r="S229" t="s">
        <v>440</v>
      </c>
      <c r="T229" t="s">
        <v>11</v>
      </c>
      <c r="U229" t="s">
        <v>408</v>
      </c>
    </row>
    <row r="230" spans="1:21" x14ac:dyDescent="0.25">
      <c r="A230">
        <v>8392967</v>
      </c>
      <c r="B230" t="s">
        <v>342</v>
      </c>
      <c r="C230" t="s">
        <v>33</v>
      </c>
      <c r="D230" t="s">
        <v>79</v>
      </c>
      <c r="E230" t="s">
        <v>719</v>
      </c>
      <c r="F230" t="s">
        <v>139</v>
      </c>
      <c r="G230" t="s">
        <v>369</v>
      </c>
      <c r="H230" t="s">
        <v>0</v>
      </c>
      <c r="I230" t="s">
        <v>436</v>
      </c>
      <c r="J230" t="s">
        <v>437</v>
      </c>
      <c r="K230" t="s">
        <v>438</v>
      </c>
      <c r="L230" t="s">
        <v>151</v>
      </c>
      <c r="M230" t="s">
        <v>408</v>
      </c>
      <c r="N230" t="s">
        <v>11</v>
      </c>
      <c r="O230" t="s">
        <v>408</v>
      </c>
      <c r="P230" t="s">
        <v>151</v>
      </c>
      <c r="Q230" t="s">
        <v>408</v>
      </c>
      <c r="R230" t="s">
        <v>439</v>
      </c>
      <c r="S230" t="s">
        <v>440</v>
      </c>
      <c r="T230" t="s">
        <v>11</v>
      </c>
      <c r="U230" t="s">
        <v>408</v>
      </c>
    </row>
    <row r="231" spans="1:21" x14ac:dyDescent="0.25">
      <c r="A231">
        <v>8392991</v>
      </c>
      <c r="B231" t="s">
        <v>340</v>
      </c>
      <c r="C231" t="s">
        <v>26</v>
      </c>
      <c r="D231" t="s">
        <v>18</v>
      </c>
      <c r="E231" t="s">
        <v>719</v>
      </c>
      <c r="F231" t="s">
        <v>139</v>
      </c>
      <c r="G231" t="s">
        <v>369</v>
      </c>
      <c r="H231" t="s">
        <v>0</v>
      </c>
      <c r="I231" t="s">
        <v>436</v>
      </c>
      <c r="J231" t="s">
        <v>437</v>
      </c>
      <c r="K231" t="s">
        <v>438</v>
      </c>
      <c r="L231" t="s">
        <v>151</v>
      </c>
      <c r="M231" t="s">
        <v>408</v>
      </c>
      <c r="N231" t="s">
        <v>11</v>
      </c>
      <c r="O231" t="s">
        <v>408</v>
      </c>
      <c r="P231" t="s">
        <v>151</v>
      </c>
      <c r="Q231" t="s">
        <v>408</v>
      </c>
      <c r="R231" t="s">
        <v>439</v>
      </c>
      <c r="S231" t="s">
        <v>440</v>
      </c>
      <c r="T231" t="s">
        <v>11</v>
      </c>
      <c r="U231" t="s">
        <v>408</v>
      </c>
    </row>
    <row r="232" spans="1:21" x14ac:dyDescent="0.25">
      <c r="A232">
        <v>8392997</v>
      </c>
      <c r="B232" t="s">
        <v>340</v>
      </c>
      <c r="C232" t="s">
        <v>26</v>
      </c>
      <c r="D232" t="s">
        <v>18</v>
      </c>
      <c r="E232" t="s">
        <v>719</v>
      </c>
      <c r="F232" t="s">
        <v>139</v>
      </c>
      <c r="G232" t="s">
        <v>369</v>
      </c>
      <c r="H232" t="s">
        <v>0</v>
      </c>
      <c r="I232" t="s">
        <v>436</v>
      </c>
      <c r="J232" t="s">
        <v>437</v>
      </c>
      <c r="K232" t="s">
        <v>438</v>
      </c>
      <c r="L232" t="s">
        <v>1</v>
      </c>
      <c r="M232" t="s">
        <v>408</v>
      </c>
      <c r="N232" t="s">
        <v>11</v>
      </c>
      <c r="O232" t="s">
        <v>408</v>
      </c>
      <c r="P232" t="s">
        <v>151</v>
      </c>
      <c r="Q232" t="s">
        <v>408</v>
      </c>
      <c r="R232" t="s">
        <v>439</v>
      </c>
      <c r="S232" t="s">
        <v>440</v>
      </c>
      <c r="T232" t="s">
        <v>11</v>
      </c>
      <c r="U232" t="s">
        <v>408</v>
      </c>
    </row>
    <row r="233" spans="1:21" x14ac:dyDescent="0.25">
      <c r="A233">
        <v>8411976</v>
      </c>
      <c r="B233" t="s">
        <v>342</v>
      </c>
      <c r="C233" t="s">
        <v>33</v>
      </c>
      <c r="D233" t="s">
        <v>12</v>
      </c>
      <c r="E233" t="s">
        <v>609</v>
      </c>
      <c r="F233" t="s">
        <v>272</v>
      </c>
      <c r="G233" t="s">
        <v>369</v>
      </c>
      <c r="H233" t="s">
        <v>0</v>
      </c>
      <c r="I233" t="s">
        <v>436</v>
      </c>
      <c r="J233" t="s">
        <v>437</v>
      </c>
      <c r="K233" t="s">
        <v>438</v>
      </c>
      <c r="L233" t="s">
        <v>349</v>
      </c>
      <c r="M233" t="s">
        <v>408</v>
      </c>
      <c r="N233" t="s">
        <v>11</v>
      </c>
      <c r="O233" t="s">
        <v>11</v>
      </c>
      <c r="P233" t="s">
        <v>349</v>
      </c>
      <c r="Q233" t="s">
        <v>408</v>
      </c>
      <c r="R233" t="s">
        <v>439</v>
      </c>
      <c r="S233" t="s">
        <v>440</v>
      </c>
      <c r="T233" t="s">
        <v>11</v>
      </c>
      <c r="U233" t="s">
        <v>408</v>
      </c>
    </row>
    <row r="234" spans="1:21" x14ac:dyDescent="0.25">
      <c r="A234">
        <v>8411980</v>
      </c>
      <c r="B234" t="s">
        <v>342</v>
      </c>
      <c r="C234" t="s">
        <v>33</v>
      </c>
      <c r="D234" t="s">
        <v>12</v>
      </c>
      <c r="E234" t="s">
        <v>537</v>
      </c>
      <c r="F234" t="s">
        <v>274</v>
      </c>
      <c r="G234" t="s">
        <v>369</v>
      </c>
      <c r="H234" t="s">
        <v>0</v>
      </c>
      <c r="I234" t="s">
        <v>436</v>
      </c>
      <c r="J234" t="s">
        <v>437</v>
      </c>
      <c r="K234" t="s">
        <v>438</v>
      </c>
      <c r="L234" t="s">
        <v>349</v>
      </c>
      <c r="M234" t="s">
        <v>408</v>
      </c>
      <c r="N234" t="s">
        <v>11</v>
      </c>
      <c r="O234" t="s">
        <v>11</v>
      </c>
      <c r="P234" t="s">
        <v>349</v>
      </c>
      <c r="Q234" t="s">
        <v>408</v>
      </c>
      <c r="R234" t="s">
        <v>439</v>
      </c>
      <c r="S234" t="s">
        <v>440</v>
      </c>
      <c r="T234" t="s">
        <v>11</v>
      </c>
      <c r="U234" t="s">
        <v>408</v>
      </c>
    </row>
    <row r="235" spans="1:21" x14ac:dyDescent="0.25">
      <c r="A235">
        <v>8411986</v>
      </c>
      <c r="B235" t="s">
        <v>342</v>
      </c>
      <c r="C235" t="s">
        <v>33</v>
      </c>
      <c r="D235" t="s">
        <v>12</v>
      </c>
      <c r="E235" t="s">
        <v>609</v>
      </c>
      <c r="F235" t="s">
        <v>273</v>
      </c>
      <c r="G235" t="s">
        <v>369</v>
      </c>
      <c r="H235" t="s">
        <v>0</v>
      </c>
      <c r="I235" t="s">
        <v>436</v>
      </c>
      <c r="J235" t="s">
        <v>437</v>
      </c>
      <c r="K235" t="s">
        <v>438</v>
      </c>
      <c r="L235" t="s">
        <v>349</v>
      </c>
      <c r="M235" t="s">
        <v>408</v>
      </c>
      <c r="N235" t="s">
        <v>11</v>
      </c>
      <c r="O235" t="s">
        <v>11</v>
      </c>
      <c r="P235" t="s">
        <v>349</v>
      </c>
      <c r="Q235" t="s">
        <v>408</v>
      </c>
      <c r="R235" t="s">
        <v>439</v>
      </c>
      <c r="S235" t="s">
        <v>440</v>
      </c>
      <c r="T235" t="s">
        <v>11</v>
      </c>
      <c r="U235" t="s">
        <v>408</v>
      </c>
    </row>
    <row r="236" spans="1:21" x14ac:dyDescent="0.25">
      <c r="A236">
        <v>8411987</v>
      </c>
      <c r="B236" t="s">
        <v>342</v>
      </c>
      <c r="C236" t="s">
        <v>33</v>
      </c>
      <c r="D236" t="s">
        <v>12</v>
      </c>
      <c r="E236" t="s">
        <v>609</v>
      </c>
      <c r="F236" t="s">
        <v>272</v>
      </c>
      <c r="G236" t="s">
        <v>369</v>
      </c>
      <c r="H236" t="s">
        <v>0</v>
      </c>
      <c r="I236" t="s">
        <v>436</v>
      </c>
      <c r="J236" t="s">
        <v>437</v>
      </c>
      <c r="K236" t="s">
        <v>438</v>
      </c>
      <c r="L236" t="s">
        <v>1</v>
      </c>
      <c r="M236" t="s">
        <v>408</v>
      </c>
      <c r="N236" t="s">
        <v>11</v>
      </c>
      <c r="O236" t="s">
        <v>11</v>
      </c>
      <c r="P236" t="s">
        <v>349</v>
      </c>
      <c r="Q236" t="s">
        <v>408</v>
      </c>
      <c r="R236" t="s">
        <v>439</v>
      </c>
      <c r="S236" t="s">
        <v>440</v>
      </c>
      <c r="T236" t="s">
        <v>11</v>
      </c>
      <c r="U236" t="s">
        <v>408</v>
      </c>
    </row>
    <row r="237" spans="1:21" x14ac:dyDescent="0.25">
      <c r="A237">
        <v>8411989</v>
      </c>
      <c r="B237" t="s">
        <v>342</v>
      </c>
      <c r="C237" t="s">
        <v>33</v>
      </c>
      <c r="D237" t="s">
        <v>12</v>
      </c>
      <c r="E237" t="s">
        <v>609</v>
      </c>
      <c r="F237" t="s">
        <v>272</v>
      </c>
      <c r="G237" t="s">
        <v>369</v>
      </c>
      <c r="H237" t="s">
        <v>0</v>
      </c>
      <c r="I237" t="s">
        <v>436</v>
      </c>
      <c r="J237" t="s">
        <v>437</v>
      </c>
      <c r="K237" t="s">
        <v>438</v>
      </c>
      <c r="L237" t="s">
        <v>349</v>
      </c>
      <c r="M237" t="s">
        <v>408</v>
      </c>
      <c r="N237" t="s">
        <v>11</v>
      </c>
      <c r="O237" t="s">
        <v>11</v>
      </c>
      <c r="P237" t="s">
        <v>349</v>
      </c>
      <c r="Q237" t="s">
        <v>408</v>
      </c>
      <c r="R237" t="s">
        <v>439</v>
      </c>
      <c r="S237" t="s">
        <v>440</v>
      </c>
      <c r="T237" t="s">
        <v>11</v>
      </c>
      <c r="U237" t="s">
        <v>408</v>
      </c>
    </row>
    <row r="238" spans="1:21" x14ac:dyDescent="0.25">
      <c r="A238">
        <v>8411992</v>
      </c>
      <c r="B238" t="s">
        <v>342</v>
      </c>
      <c r="C238" t="s">
        <v>33</v>
      </c>
      <c r="D238" t="s">
        <v>12</v>
      </c>
      <c r="E238" t="s">
        <v>609</v>
      </c>
      <c r="F238" t="s">
        <v>272</v>
      </c>
      <c r="G238" t="s">
        <v>369</v>
      </c>
      <c r="H238" t="s">
        <v>0</v>
      </c>
      <c r="I238" t="s">
        <v>436</v>
      </c>
      <c r="J238" t="s">
        <v>437</v>
      </c>
      <c r="K238" t="s">
        <v>438</v>
      </c>
      <c r="L238" t="s">
        <v>349</v>
      </c>
      <c r="M238" t="s">
        <v>408</v>
      </c>
      <c r="N238" t="s">
        <v>11</v>
      </c>
      <c r="O238" t="s">
        <v>11</v>
      </c>
      <c r="P238" t="s">
        <v>349</v>
      </c>
      <c r="Q238" t="s">
        <v>408</v>
      </c>
      <c r="R238" t="s">
        <v>439</v>
      </c>
      <c r="S238" t="s">
        <v>440</v>
      </c>
      <c r="T238" t="s">
        <v>11</v>
      </c>
      <c r="U238" t="s">
        <v>408</v>
      </c>
    </row>
    <row r="239" spans="1:21" x14ac:dyDescent="0.25">
      <c r="A239">
        <v>8933118</v>
      </c>
      <c r="B239" t="s">
        <v>342</v>
      </c>
      <c r="C239" t="s">
        <v>33</v>
      </c>
      <c r="D239" t="s">
        <v>12</v>
      </c>
      <c r="E239" t="s">
        <v>723</v>
      </c>
      <c r="F239" t="s">
        <v>137</v>
      </c>
      <c r="G239" t="s">
        <v>369</v>
      </c>
      <c r="H239" t="s">
        <v>0</v>
      </c>
      <c r="I239" t="s">
        <v>436</v>
      </c>
      <c r="J239" t="s">
        <v>437</v>
      </c>
      <c r="K239" t="s">
        <v>438</v>
      </c>
      <c r="L239" t="s">
        <v>345</v>
      </c>
      <c r="M239" t="s">
        <v>408</v>
      </c>
      <c r="N239" t="s">
        <v>11</v>
      </c>
      <c r="O239" t="s">
        <v>11</v>
      </c>
      <c r="P239" t="s">
        <v>0</v>
      </c>
      <c r="Q239" t="s">
        <v>408</v>
      </c>
      <c r="R239" t="s">
        <v>439</v>
      </c>
      <c r="S239" t="s">
        <v>440</v>
      </c>
      <c r="T239" t="s">
        <v>11</v>
      </c>
      <c r="U239" t="s">
        <v>408</v>
      </c>
    </row>
    <row r="240" spans="1:21" x14ac:dyDescent="0.25">
      <c r="A240">
        <v>8933122</v>
      </c>
      <c r="B240" t="s">
        <v>342</v>
      </c>
      <c r="C240" t="s">
        <v>33</v>
      </c>
      <c r="D240" t="s">
        <v>12</v>
      </c>
      <c r="E240" t="s">
        <v>723</v>
      </c>
      <c r="F240" t="s">
        <v>137</v>
      </c>
      <c r="G240" t="s">
        <v>369</v>
      </c>
      <c r="H240" t="s">
        <v>0</v>
      </c>
      <c r="I240" t="s">
        <v>436</v>
      </c>
      <c r="J240" t="s">
        <v>437</v>
      </c>
      <c r="K240" t="s">
        <v>438</v>
      </c>
      <c r="L240" t="s">
        <v>345</v>
      </c>
      <c r="M240" t="s">
        <v>408</v>
      </c>
      <c r="N240" t="s">
        <v>11</v>
      </c>
      <c r="O240" t="s">
        <v>11</v>
      </c>
      <c r="P240" t="s">
        <v>0</v>
      </c>
      <c r="Q240" t="s">
        <v>408</v>
      </c>
      <c r="R240" t="s">
        <v>439</v>
      </c>
      <c r="S240" t="s">
        <v>440</v>
      </c>
      <c r="T240" t="s">
        <v>11</v>
      </c>
      <c r="U240" t="s">
        <v>408</v>
      </c>
    </row>
    <row r="241" spans="1:21" x14ac:dyDescent="0.25">
      <c r="A241">
        <v>8933125</v>
      </c>
      <c r="B241" t="s">
        <v>342</v>
      </c>
      <c r="C241" t="s">
        <v>33</v>
      </c>
      <c r="D241" t="s">
        <v>12</v>
      </c>
      <c r="E241" t="s">
        <v>723</v>
      </c>
      <c r="F241" t="s">
        <v>137</v>
      </c>
      <c r="G241" t="s">
        <v>369</v>
      </c>
      <c r="H241" t="s">
        <v>0</v>
      </c>
      <c r="I241" t="s">
        <v>436</v>
      </c>
      <c r="J241" t="s">
        <v>437</v>
      </c>
      <c r="K241" t="s">
        <v>438</v>
      </c>
      <c r="L241" t="s">
        <v>345</v>
      </c>
      <c r="M241" t="s">
        <v>408</v>
      </c>
      <c r="N241" t="s">
        <v>11</v>
      </c>
      <c r="O241" t="s">
        <v>11</v>
      </c>
      <c r="P241" t="s">
        <v>0</v>
      </c>
      <c r="Q241" t="s">
        <v>408</v>
      </c>
      <c r="R241" t="s">
        <v>439</v>
      </c>
      <c r="S241" t="s">
        <v>440</v>
      </c>
      <c r="T241" t="s">
        <v>11</v>
      </c>
      <c r="U241" t="s">
        <v>408</v>
      </c>
    </row>
    <row r="242" spans="1:21" x14ac:dyDescent="0.25">
      <c r="A242">
        <v>8933128</v>
      </c>
      <c r="B242" t="s">
        <v>342</v>
      </c>
      <c r="C242" t="s">
        <v>33</v>
      </c>
      <c r="D242" t="s">
        <v>18</v>
      </c>
      <c r="E242" t="s">
        <v>723</v>
      </c>
      <c r="F242" t="s">
        <v>137</v>
      </c>
      <c r="G242" t="s">
        <v>369</v>
      </c>
      <c r="H242" t="s">
        <v>0</v>
      </c>
      <c r="I242" t="s">
        <v>436</v>
      </c>
      <c r="J242" t="s">
        <v>437</v>
      </c>
      <c r="K242" t="s">
        <v>438</v>
      </c>
      <c r="L242" t="s">
        <v>345</v>
      </c>
      <c r="M242" t="s">
        <v>408</v>
      </c>
      <c r="N242" t="s">
        <v>11</v>
      </c>
      <c r="O242" t="s">
        <v>11</v>
      </c>
      <c r="P242" t="s">
        <v>0</v>
      </c>
      <c r="Q242" t="s">
        <v>408</v>
      </c>
      <c r="R242" t="s">
        <v>439</v>
      </c>
      <c r="S242" t="s">
        <v>440</v>
      </c>
      <c r="T242" t="s">
        <v>11</v>
      </c>
      <c r="U242" t="s">
        <v>408</v>
      </c>
    </row>
    <row r="243" spans="1:21" x14ac:dyDescent="0.25">
      <c r="A243">
        <v>8933129</v>
      </c>
      <c r="B243" t="s">
        <v>342</v>
      </c>
      <c r="C243" t="s">
        <v>33</v>
      </c>
      <c r="D243" t="s">
        <v>12</v>
      </c>
      <c r="E243" t="s">
        <v>723</v>
      </c>
      <c r="F243" t="s">
        <v>137</v>
      </c>
      <c r="G243" t="s">
        <v>369</v>
      </c>
      <c r="H243" t="s">
        <v>0</v>
      </c>
      <c r="I243" t="s">
        <v>436</v>
      </c>
      <c r="J243" t="s">
        <v>437</v>
      </c>
      <c r="K243" t="s">
        <v>438</v>
      </c>
      <c r="L243" t="s">
        <v>345</v>
      </c>
      <c r="M243" t="s">
        <v>408</v>
      </c>
      <c r="N243" t="s">
        <v>11</v>
      </c>
      <c r="O243" t="s">
        <v>11</v>
      </c>
      <c r="P243" t="s">
        <v>0</v>
      </c>
      <c r="Q243" t="s">
        <v>408</v>
      </c>
      <c r="R243" t="s">
        <v>439</v>
      </c>
      <c r="S243" t="s">
        <v>440</v>
      </c>
      <c r="T243" t="s">
        <v>11</v>
      </c>
      <c r="U243" t="s">
        <v>408</v>
      </c>
    </row>
    <row r="244" spans="1:21" x14ac:dyDescent="0.25">
      <c r="A244">
        <v>8933132</v>
      </c>
      <c r="B244" t="s">
        <v>342</v>
      </c>
      <c r="C244" t="s">
        <v>33</v>
      </c>
      <c r="D244" t="s">
        <v>18</v>
      </c>
      <c r="E244" t="s">
        <v>723</v>
      </c>
      <c r="F244" t="s">
        <v>137</v>
      </c>
      <c r="G244" t="s">
        <v>369</v>
      </c>
      <c r="H244" t="s">
        <v>0</v>
      </c>
      <c r="I244" t="s">
        <v>436</v>
      </c>
      <c r="J244" t="s">
        <v>437</v>
      </c>
      <c r="K244" t="s">
        <v>438</v>
      </c>
      <c r="L244" t="s">
        <v>345</v>
      </c>
      <c r="M244" t="s">
        <v>408</v>
      </c>
      <c r="N244" t="s">
        <v>11</v>
      </c>
      <c r="O244" t="s">
        <v>11</v>
      </c>
      <c r="P244" t="s">
        <v>0</v>
      </c>
      <c r="Q244" t="s">
        <v>408</v>
      </c>
      <c r="R244" t="s">
        <v>439</v>
      </c>
      <c r="S244" t="s">
        <v>440</v>
      </c>
      <c r="T244" t="s">
        <v>11</v>
      </c>
      <c r="U244" t="s">
        <v>408</v>
      </c>
    </row>
    <row r="245" spans="1:21" x14ac:dyDescent="0.25">
      <c r="A245">
        <v>8933139</v>
      </c>
      <c r="B245" t="s">
        <v>340</v>
      </c>
      <c r="C245" t="s">
        <v>26</v>
      </c>
      <c r="D245" t="s">
        <v>12</v>
      </c>
      <c r="E245" t="s">
        <v>723</v>
      </c>
      <c r="F245" t="s">
        <v>137</v>
      </c>
      <c r="G245" t="s">
        <v>369</v>
      </c>
      <c r="H245" t="s">
        <v>0</v>
      </c>
      <c r="I245" t="s">
        <v>436</v>
      </c>
      <c r="J245" t="s">
        <v>437</v>
      </c>
      <c r="K245" t="s">
        <v>438</v>
      </c>
      <c r="L245" t="s">
        <v>1</v>
      </c>
      <c r="M245" t="s">
        <v>408</v>
      </c>
      <c r="N245" t="s">
        <v>11</v>
      </c>
      <c r="O245" t="s">
        <v>11</v>
      </c>
      <c r="P245" t="s">
        <v>0</v>
      </c>
      <c r="Q245" t="s">
        <v>408</v>
      </c>
      <c r="R245" t="s">
        <v>439</v>
      </c>
      <c r="S245" t="s">
        <v>440</v>
      </c>
      <c r="T245" t="s">
        <v>11</v>
      </c>
      <c r="U245" t="s">
        <v>408</v>
      </c>
    </row>
    <row r="246" spans="1:21" x14ac:dyDescent="0.25">
      <c r="A246">
        <v>8933147</v>
      </c>
      <c r="B246" t="s">
        <v>340</v>
      </c>
      <c r="C246" t="s">
        <v>26</v>
      </c>
      <c r="D246" t="s">
        <v>79</v>
      </c>
      <c r="E246" t="s">
        <v>723</v>
      </c>
      <c r="F246" t="s">
        <v>137</v>
      </c>
      <c r="G246" t="s">
        <v>369</v>
      </c>
      <c r="H246" t="s">
        <v>0</v>
      </c>
      <c r="I246" t="s">
        <v>436</v>
      </c>
      <c r="J246" t="s">
        <v>437</v>
      </c>
      <c r="K246" t="s">
        <v>438</v>
      </c>
      <c r="L246" t="s">
        <v>151</v>
      </c>
      <c r="M246" t="s">
        <v>408</v>
      </c>
      <c r="N246" t="s">
        <v>11</v>
      </c>
      <c r="O246" t="s">
        <v>408</v>
      </c>
      <c r="P246" t="s">
        <v>0</v>
      </c>
      <c r="Q246" t="s">
        <v>408</v>
      </c>
      <c r="R246" t="s">
        <v>439</v>
      </c>
      <c r="S246" t="s">
        <v>440</v>
      </c>
      <c r="T246" t="s">
        <v>11</v>
      </c>
      <c r="U246" t="s">
        <v>408</v>
      </c>
    </row>
    <row r="247" spans="1:21" x14ac:dyDescent="0.25">
      <c r="A247">
        <v>8933151</v>
      </c>
      <c r="B247" t="s">
        <v>342</v>
      </c>
      <c r="C247" t="s">
        <v>33</v>
      </c>
      <c r="D247" t="s">
        <v>12</v>
      </c>
      <c r="E247" t="s">
        <v>723</v>
      </c>
      <c r="F247" t="s">
        <v>137</v>
      </c>
      <c r="G247" t="s">
        <v>369</v>
      </c>
      <c r="H247" t="s">
        <v>0</v>
      </c>
      <c r="I247" t="s">
        <v>436</v>
      </c>
      <c r="J247" t="s">
        <v>437</v>
      </c>
      <c r="K247" t="s">
        <v>438</v>
      </c>
      <c r="L247" t="s">
        <v>345</v>
      </c>
      <c r="M247" t="s">
        <v>408</v>
      </c>
      <c r="N247" t="s">
        <v>11</v>
      </c>
      <c r="O247" t="s">
        <v>11</v>
      </c>
      <c r="P247" t="s">
        <v>0</v>
      </c>
      <c r="Q247" t="s">
        <v>408</v>
      </c>
      <c r="R247" t="s">
        <v>439</v>
      </c>
      <c r="S247" t="s">
        <v>440</v>
      </c>
      <c r="T247" t="s">
        <v>11</v>
      </c>
      <c r="U247" t="s">
        <v>408</v>
      </c>
    </row>
    <row r="248" spans="1:21" x14ac:dyDescent="0.25">
      <c r="A248">
        <v>8933155</v>
      </c>
      <c r="B248" t="s">
        <v>342</v>
      </c>
      <c r="C248" t="s">
        <v>33</v>
      </c>
      <c r="D248" t="s">
        <v>12</v>
      </c>
      <c r="E248" t="s">
        <v>723</v>
      </c>
      <c r="F248" t="s">
        <v>137</v>
      </c>
      <c r="G248" t="s">
        <v>369</v>
      </c>
      <c r="H248" t="s">
        <v>0</v>
      </c>
      <c r="I248" t="s">
        <v>436</v>
      </c>
      <c r="J248" t="s">
        <v>437</v>
      </c>
      <c r="K248" t="s">
        <v>438</v>
      </c>
      <c r="L248" t="s">
        <v>345</v>
      </c>
      <c r="M248" t="s">
        <v>408</v>
      </c>
      <c r="N248" t="s">
        <v>11</v>
      </c>
      <c r="O248" t="s">
        <v>11</v>
      </c>
      <c r="P248" t="s">
        <v>0</v>
      </c>
      <c r="Q248" t="s">
        <v>408</v>
      </c>
      <c r="R248" t="s">
        <v>439</v>
      </c>
      <c r="S248" t="s">
        <v>440</v>
      </c>
      <c r="T248" t="s">
        <v>11</v>
      </c>
      <c r="U248" t="s">
        <v>408</v>
      </c>
    </row>
    <row r="249" spans="1:21" x14ac:dyDescent="0.25">
      <c r="A249">
        <v>8933158</v>
      </c>
      <c r="B249" t="s">
        <v>342</v>
      </c>
      <c r="C249" t="s">
        <v>33</v>
      </c>
      <c r="D249" t="s">
        <v>12</v>
      </c>
      <c r="E249" t="s">
        <v>723</v>
      </c>
      <c r="F249" t="s">
        <v>137</v>
      </c>
      <c r="G249" t="s">
        <v>369</v>
      </c>
      <c r="H249" t="s">
        <v>0</v>
      </c>
      <c r="I249" t="s">
        <v>436</v>
      </c>
      <c r="J249" t="s">
        <v>437</v>
      </c>
      <c r="K249" t="s">
        <v>438</v>
      </c>
      <c r="L249" t="s">
        <v>345</v>
      </c>
      <c r="M249" t="s">
        <v>408</v>
      </c>
      <c r="N249" t="s">
        <v>11</v>
      </c>
      <c r="O249" t="s">
        <v>11</v>
      </c>
      <c r="P249" t="s">
        <v>0</v>
      </c>
      <c r="Q249" t="s">
        <v>408</v>
      </c>
      <c r="R249" t="s">
        <v>439</v>
      </c>
      <c r="S249" t="s">
        <v>440</v>
      </c>
      <c r="T249" t="s">
        <v>11</v>
      </c>
      <c r="U249" t="s">
        <v>408</v>
      </c>
    </row>
    <row r="250" spans="1:21" x14ac:dyDescent="0.25">
      <c r="A250">
        <v>8933165</v>
      </c>
      <c r="B250" t="s">
        <v>342</v>
      </c>
      <c r="C250" t="s">
        <v>33</v>
      </c>
      <c r="D250" t="s">
        <v>109</v>
      </c>
      <c r="E250" t="s">
        <v>723</v>
      </c>
      <c r="F250" t="s">
        <v>137</v>
      </c>
      <c r="G250" t="s">
        <v>369</v>
      </c>
      <c r="H250" t="s">
        <v>0</v>
      </c>
      <c r="I250" t="s">
        <v>436</v>
      </c>
      <c r="J250" t="s">
        <v>437</v>
      </c>
      <c r="K250" t="s">
        <v>438</v>
      </c>
      <c r="L250" t="s">
        <v>345</v>
      </c>
      <c r="M250" t="s">
        <v>408</v>
      </c>
      <c r="N250" t="s">
        <v>11</v>
      </c>
      <c r="O250" t="s">
        <v>11</v>
      </c>
      <c r="P250" t="s">
        <v>0</v>
      </c>
      <c r="Q250" t="s">
        <v>408</v>
      </c>
      <c r="R250" t="s">
        <v>439</v>
      </c>
      <c r="S250" t="s">
        <v>440</v>
      </c>
      <c r="T250" t="s">
        <v>11</v>
      </c>
      <c r="U250" t="s">
        <v>408</v>
      </c>
    </row>
    <row r="251" spans="1:21" x14ac:dyDescent="0.25">
      <c r="A251">
        <v>8933166</v>
      </c>
      <c r="B251" t="s">
        <v>342</v>
      </c>
      <c r="C251" t="s">
        <v>33</v>
      </c>
      <c r="D251" t="s">
        <v>18</v>
      </c>
      <c r="E251" t="s">
        <v>723</v>
      </c>
      <c r="F251" t="s">
        <v>137</v>
      </c>
      <c r="G251" t="s">
        <v>369</v>
      </c>
      <c r="H251" t="s">
        <v>0</v>
      </c>
      <c r="I251" t="s">
        <v>436</v>
      </c>
      <c r="J251" t="s">
        <v>437</v>
      </c>
      <c r="K251" t="s">
        <v>438</v>
      </c>
      <c r="L251" t="s">
        <v>345</v>
      </c>
      <c r="M251" t="s">
        <v>408</v>
      </c>
      <c r="N251" t="s">
        <v>11</v>
      </c>
      <c r="O251" t="s">
        <v>11</v>
      </c>
      <c r="P251" t="s">
        <v>0</v>
      </c>
      <c r="Q251" t="s">
        <v>408</v>
      </c>
      <c r="R251" t="s">
        <v>439</v>
      </c>
      <c r="S251" t="s">
        <v>440</v>
      </c>
      <c r="T251" t="s">
        <v>11</v>
      </c>
      <c r="U251" t="s">
        <v>408</v>
      </c>
    </row>
    <row r="252" spans="1:21" x14ac:dyDescent="0.25">
      <c r="A252">
        <v>8933170</v>
      </c>
      <c r="B252" t="s">
        <v>342</v>
      </c>
      <c r="C252" t="s">
        <v>33</v>
      </c>
      <c r="D252" t="s">
        <v>79</v>
      </c>
      <c r="E252" t="s">
        <v>723</v>
      </c>
      <c r="F252" t="s">
        <v>137</v>
      </c>
      <c r="G252" t="s">
        <v>369</v>
      </c>
      <c r="H252" t="s">
        <v>0</v>
      </c>
      <c r="I252" t="s">
        <v>436</v>
      </c>
      <c r="J252" t="s">
        <v>437</v>
      </c>
      <c r="K252" t="s">
        <v>438</v>
      </c>
      <c r="L252" t="s">
        <v>345</v>
      </c>
      <c r="M252" t="s">
        <v>408</v>
      </c>
      <c r="N252" t="s">
        <v>11</v>
      </c>
      <c r="O252" t="s">
        <v>11</v>
      </c>
      <c r="P252" t="s">
        <v>0</v>
      </c>
      <c r="Q252" t="s">
        <v>408</v>
      </c>
      <c r="R252" t="s">
        <v>439</v>
      </c>
      <c r="S252" t="s">
        <v>440</v>
      </c>
      <c r="T252" t="s">
        <v>11</v>
      </c>
      <c r="U252" t="s">
        <v>408</v>
      </c>
    </row>
    <row r="253" spans="1:21" x14ac:dyDescent="0.25">
      <c r="A253">
        <v>8933172</v>
      </c>
      <c r="B253" t="s">
        <v>340</v>
      </c>
      <c r="C253" t="s">
        <v>26</v>
      </c>
      <c r="D253" t="s">
        <v>79</v>
      </c>
      <c r="E253" t="s">
        <v>723</v>
      </c>
      <c r="F253" t="s">
        <v>137</v>
      </c>
      <c r="G253" t="s">
        <v>369</v>
      </c>
      <c r="H253" t="s">
        <v>0</v>
      </c>
      <c r="I253" t="s">
        <v>436</v>
      </c>
      <c r="J253" t="s">
        <v>437</v>
      </c>
      <c r="K253" t="s">
        <v>438</v>
      </c>
      <c r="L253" t="s">
        <v>2</v>
      </c>
      <c r="M253" t="s">
        <v>408</v>
      </c>
      <c r="N253" t="s">
        <v>11</v>
      </c>
      <c r="O253" t="s">
        <v>408</v>
      </c>
      <c r="P253" t="s">
        <v>0</v>
      </c>
      <c r="Q253" t="s">
        <v>408</v>
      </c>
      <c r="R253" t="s">
        <v>439</v>
      </c>
      <c r="S253" t="s">
        <v>440</v>
      </c>
      <c r="T253" t="s">
        <v>11</v>
      </c>
      <c r="U253" t="s">
        <v>408</v>
      </c>
    </row>
    <row r="254" spans="1:21" x14ac:dyDescent="0.25">
      <c r="A254">
        <v>8933175</v>
      </c>
      <c r="B254" t="s">
        <v>342</v>
      </c>
      <c r="C254" t="s">
        <v>33</v>
      </c>
      <c r="D254" t="s">
        <v>79</v>
      </c>
      <c r="E254" t="s">
        <v>723</v>
      </c>
      <c r="F254" t="s">
        <v>137</v>
      </c>
      <c r="G254" t="s">
        <v>369</v>
      </c>
      <c r="H254" t="s">
        <v>0</v>
      </c>
      <c r="I254" t="s">
        <v>436</v>
      </c>
      <c r="J254" t="s">
        <v>437</v>
      </c>
      <c r="K254" t="s">
        <v>438</v>
      </c>
      <c r="L254" t="s">
        <v>345</v>
      </c>
      <c r="M254" t="s">
        <v>408</v>
      </c>
      <c r="N254" t="s">
        <v>11</v>
      </c>
      <c r="O254" t="s">
        <v>11</v>
      </c>
      <c r="P254" t="s">
        <v>0</v>
      </c>
      <c r="Q254" t="s">
        <v>408</v>
      </c>
      <c r="R254" t="s">
        <v>439</v>
      </c>
      <c r="S254" t="s">
        <v>440</v>
      </c>
      <c r="T254" t="s">
        <v>11</v>
      </c>
      <c r="U254" t="s">
        <v>408</v>
      </c>
    </row>
    <row r="255" spans="1:21" x14ac:dyDescent="0.25">
      <c r="A255">
        <v>8933177</v>
      </c>
      <c r="B255" t="s">
        <v>342</v>
      </c>
      <c r="C255" t="s">
        <v>33</v>
      </c>
      <c r="D255" t="s">
        <v>12</v>
      </c>
      <c r="E255" t="s">
        <v>723</v>
      </c>
      <c r="F255" t="s">
        <v>137</v>
      </c>
      <c r="G255" t="s">
        <v>369</v>
      </c>
      <c r="H255" t="s">
        <v>0</v>
      </c>
      <c r="I255" t="s">
        <v>436</v>
      </c>
      <c r="J255" t="s">
        <v>437</v>
      </c>
      <c r="K255" t="s">
        <v>438</v>
      </c>
      <c r="L255" t="s">
        <v>345</v>
      </c>
      <c r="M255" t="s">
        <v>408</v>
      </c>
      <c r="N255" t="s">
        <v>11</v>
      </c>
      <c r="O255" t="s">
        <v>11</v>
      </c>
      <c r="P255" t="s">
        <v>0</v>
      </c>
      <c r="Q255" t="s">
        <v>408</v>
      </c>
      <c r="R255" t="s">
        <v>439</v>
      </c>
      <c r="S255" t="s">
        <v>440</v>
      </c>
      <c r="T255" t="s">
        <v>11</v>
      </c>
      <c r="U255" t="s">
        <v>408</v>
      </c>
    </row>
    <row r="256" spans="1:21" x14ac:dyDescent="0.25">
      <c r="A256">
        <v>8933178</v>
      </c>
      <c r="B256" t="s">
        <v>340</v>
      </c>
      <c r="C256" t="s">
        <v>26</v>
      </c>
      <c r="D256" t="s">
        <v>12</v>
      </c>
      <c r="E256" t="s">
        <v>723</v>
      </c>
      <c r="F256" t="s">
        <v>137</v>
      </c>
      <c r="G256" t="s">
        <v>369</v>
      </c>
      <c r="H256" t="s">
        <v>0</v>
      </c>
      <c r="I256" t="s">
        <v>436</v>
      </c>
      <c r="J256" t="s">
        <v>437</v>
      </c>
      <c r="K256" t="s">
        <v>438</v>
      </c>
      <c r="L256" t="s">
        <v>151</v>
      </c>
      <c r="M256" t="s">
        <v>408</v>
      </c>
      <c r="N256" t="s">
        <v>11</v>
      </c>
      <c r="O256" t="s">
        <v>408</v>
      </c>
      <c r="P256" t="s">
        <v>0</v>
      </c>
      <c r="Q256" t="s">
        <v>408</v>
      </c>
      <c r="R256" t="s">
        <v>439</v>
      </c>
      <c r="S256" t="s">
        <v>440</v>
      </c>
      <c r="T256" t="s">
        <v>11</v>
      </c>
      <c r="U256" t="s">
        <v>408</v>
      </c>
    </row>
    <row r="257" spans="1:21" x14ac:dyDescent="0.25">
      <c r="A257">
        <v>8933193</v>
      </c>
      <c r="B257" t="s">
        <v>340</v>
      </c>
      <c r="C257" t="s">
        <v>26</v>
      </c>
      <c r="D257" t="s">
        <v>12</v>
      </c>
      <c r="E257" t="s">
        <v>610</v>
      </c>
      <c r="F257" t="s">
        <v>214</v>
      </c>
      <c r="G257" t="s">
        <v>369</v>
      </c>
      <c r="H257" t="s">
        <v>0</v>
      </c>
      <c r="I257" t="s">
        <v>436</v>
      </c>
      <c r="J257" t="s">
        <v>437</v>
      </c>
      <c r="K257" t="s">
        <v>438</v>
      </c>
      <c r="L257" t="s">
        <v>4</v>
      </c>
      <c r="M257" t="s">
        <v>408</v>
      </c>
      <c r="N257" t="s">
        <v>11</v>
      </c>
      <c r="O257" t="s">
        <v>408</v>
      </c>
      <c r="P257" t="s">
        <v>0</v>
      </c>
      <c r="Q257" t="s">
        <v>408</v>
      </c>
      <c r="R257" t="s">
        <v>439</v>
      </c>
      <c r="S257" t="s">
        <v>440</v>
      </c>
      <c r="T257" t="s">
        <v>11</v>
      </c>
      <c r="U257" t="s">
        <v>408</v>
      </c>
    </row>
    <row r="258" spans="1:21" x14ac:dyDescent="0.25">
      <c r="A258">
        <v>8933197</v>
      </c>
      <c r="B258" t="s">
        <v>340</v>
      </c>
      <c r="C258" t="s">
        <v>26</v>
      </c>
      <c r="D258" t="s">
        <v>18</v>
      </c>
      <c r="E258" t="s">
        <v>610</v>
      </c>
      <c r="F258" t="s">
        <v>214</v>
      </c>
      <c r="G258" t="s">
        <v>369</v>
      </c>
      <c r="H258" t="s">
        <v>0</v>
      </c>
      <c r="I258" t="s">
        <v>436</v>
      </c>
      <c r="J258" t="s">
        <v>437</v>
      </c>
      <c r="K258" t="s">
        <v>438</v>
      </c>
      <c r="L258" t="s">
        <v>2</v>
      </c>
      <c r="M258" t="s">
        <v>408</v>
      </c>
      <c r="N258" t="s">
        <v>11</v>
      </c>
      <c r="O258" t="s">
        <v>408</v>
      </c>
      <c r="P258" t="s">
        <v>0</v>
      </c>
      <c r="Q258" t="s">
        <v>408</v>
      </c>
      <c r="R258" t="s">
        <v>439</v>
      </c>
      <c r="S258" t="s">
        <v>440</v>
      </c>
      <c r="T258" t="s">
        <v>11</v>
      </c>
      <c r="U258" t="s">
        <v>408</v>
      </c>
    </row>
    <row r="259" spans="1:21" x14ac:dyDescent="0.25">
      <c r="A259">
        <v>8933200</v>
      </c>
      <c r="B259" t="s">
        <v>340</v>
      </c>
      <c r="C259" t="s">
        <v>26</v>
      </c>
      <c r="D259" t="s">
        <v>12</v>
      </c>
      <c r="E259" t="s">
        <v>522</v>
      </c>
      <c r="F259" t="s">
        <v>271</v>
      </c>
      <c r="G259" t="s">
        <v>369</v>
      </c>
      <c r="H259" t="s">
        <v>0</v>
      </c>
      <c r="I259" t="s">
        <v>436</v>
      </c>
      <c r="J259" t="s">
        <v>437</v>
      </c>
      <c r="K259" t="s">
        <v>438</v>
      </c>
      <c r="L259" t="s">
        <v>0</v>
      </c>
      <c r="M259" t="s">
        <v>408</v>
      </c>
      <c r="N259" t="s">
        <v>11</v>
      </c>
      <c r="O259" t="s">
        <v>408</v>
      </c>
      <c r="P259" t="s">
        <v>0</v>
      </c>
      <c r="Q259" t="s">
        <v>408</v>
      </c>
      <c r="R259" t="s">
        <v>439</v>
      </c>
      <c r="S259" t="s">
        <v>440</v>
      </c>
      <c r="T259" t="s">
        <v>11</v>
      </c>
      <c r="U259" t="s">
        <v>408</v>
      </c>
    </row>
    <row r="260" spans="1:21" x14ac:dyDescent="0.25">
      <c r="A260">
        <v>8933214</v>
      </c>
      <c r="B260" t="s">
        <v>340</v>
      </c>
      <c r="C260" t="s">
        <v>26</v>
      </c>
      <c r="D260" t="s">
        <v>12</v>
      </c>
      <c r="E260" t="s">
        <v>524</v>
      </c>
      <c r="F260" t="s">
        <v>204</v>
      </c>
      <c r="G260" t="s">
        <v>369</v>
      </c>
      <c r="H260" t="s">
        <v>0</v>
      </c>
      <c r="I260" t="s">
        <v>436</v>
      </c>
      <c r="J260" t="s">
        <v>437</v>
      </c>
      <c r="K260" t="s">
        <v>438</v>
      </c>
      <c r="L260" t="s">
        <v>0</v>
      </c>
      <c r="M260" t="s">
        <v>408</v>
      </c>
      <c r="N260" t="s">
        <v>11</v>
      </c>
      <c r="O260" t="s">
        <v>11</v>
      </c>
      <c r="P260" t="s">
        <v>0</v>
      </c>
      <c r="Q260" t="s">
        <v>408</v>
      </c>
      <c r="R260" t="s">
        <v>439</v>
      </c>
      <c r="S260" t="s">
        <v>440</v>
      </c>
      <c r="T260" t="s">
        <v>11</v>
      </c>
      <c r="U260" t="s">
        <v>408</v>
      </c>
    </row>
    <row r="261" spans="1:21" x14ac:dyDescent="0.25">
      <c r="A261">
        <v>8933222</v>
      </c>
      <c r="B261" t="s">
        <v>340</v>
      </c>
      <c r="C261" t="s">
        <v>26</v>
      </c>
      <c r="D261" t="s">
        <v>12</v>
      </c>
      <c r="E261" t="s">
        <v>524</v>
      </c>
      <c r="F261" t="s">
        <v>204</v>
      </c>
      <c r="G261" t="s">
        <v>369</v>
      </c>
      <c r="H261" t="s">
        <v>0</v>
      </c>
      <c r="I261" t="s">
        <v>436</v>
      </c>
      <c r="J261" t="s">
        <v>437</v>
      </c>
      <c r="K261" t="s">
        <v>438</v>
      </c>
      <c r="L261" t="s">
        <v>2</v>
      </c>
      <c r="M261" t="s">
        <v>408</v>
      </c>
      <c r="N261" t="s">
        <v>11</v>
      </c>
      <c r="O261" t="s">
        <v>408</v>
      </c>
      <c r="P261" t="s">
        <v>0</v>
      </c>
      <c r="Q261" t="s">
        <v>408</v>
      </c>
      <c r="R261" t="s">
        <v>439</v>
      </c>
      <c r="S261" t="s">
        <v>440</v>
      </c>
      <c r="T261" t="s">
        <v>11</v>
      </c>
      <c r="U261" t="s">
        <v>408</v>
      </c>
    </row>
    <row r="262" spans="1:21" x14ac:dyDescent="0.25">
      <c r="A262">
        <v>8933225</v>
      </c>
      <c r="B262" t="s">
        <v>340</v>
      </c>
      <c r="C262" t="s">
        <v>26</v>
      </c>
      <c r="D262" t="s">
        <v>12</v>
      </c>
      <c r="E262" t="s">
        <v>522</v>
      </c>
      <c r="F262" t="s">
        <v>136</v>
      </c>
      <c r="G262" t="s">
        <v>369</v>
      </c>
      <c r="H262" t="s">
        <v>0</v>
      </c>
      <c r="I262" t="s">
        <v>436</v>
      </c>
      <c r="J262" t="s">
        <v>437</v>
      </c>
      <c r="K262" t="s">
        <v>438</v>
      </c>
      <c r="L262" t="s">
        <v>0</v>
      </c>
      <c r="M262" t="s">
        <v>408</v>
      </c>
      <c r="N262" t="s">
        <v>11</v>
      </c>
      <c r="O262" t="s">
        <v>408</v>
      </c>
      <c r="P262" t="s">
        <v>0</v>
      </c>
      <c r="Q262" t="s">
        <v>408</v>
      </c>
      <c r="R262" t="s">
        <v>439</v>
      </c>
      <c r="S262" t="s">
        <v>440</v>
      </c>
      <c r="T262" t="s">
        <v>11</v>
      </c>
      <c r="U262" t="s">
        <v>408</v>
      </c>
    </row>
    <row r="263" spans="1:21" x14ac:dyDescent="0.25">
      <c r="A263">
        <v>8933228</v>
      </c>
      <c r="B263" t="s">
        <v>340</v>
      </c>
      <c r="C263" t="s">
        <v>26</v>
      </c>
      <c r="D263" t="s">
        <v>12</v>
      </c>
      <c r="E263" t="s">
        <v>524</v>
      </c>
      <c r="F263" t="s">
        <v>204</v>
      </c>
      <c r="G263" t="s">
        <v>369</v>
      </c>
      <c r="H263" t="s">
        <v>0</v>
      </c>
      <c r="I263" t="s">
        <v>436</v>
      </c>
      <c r="J263" t="s">
        <v>437</v>
      </c>
      <c r="K263" t="s">
        <v>438</v>
      </c>
      <c r="L263" t="s">
        <v>0</v>
      </c>
      <c r="M263" t="s">
        <v>408</v>
      </c>
      <c r="N263" t="s">
        <v>11</v>
      </c>
      <c r="O263" t="s">
        <v>11</v>
      </c>
      <c r="P263" t="s">
        <v>0</v>
      </c>
      <c r="Q263" t="s">
        <v>408</v>
      </c>
      <c r="R263" t="s">
        <v>439</v>
      </c>
      <c r="S263" t="s">
        <v>440</v>
      </c>
      <c r="T263" t="s">
        <v>11</v>
      </c>
      <c r="U263" t="s">
        <v>408</v>
      </c>
    </row>
    <row r="264" spans="1:21" x14ac:dyDescent="0.25">
      <c r="A264">
        <v>8933234</v>
      </c>
      <c r="B264" t="s">
        <v>342</v>
      </c>
      <c r="C264" t="s">
        <v>33</v>
      </c>
      <c r="D264" t="s">
        <v>79</v>
      </c>
      <c r="E264" t="s">
        <v>719</v>
      </c>
      <c r="F264" t="s">
        <v>110</v>
      </c>
      <c r="G264" t="s">
        <v>369</v>
      </c>
      <c r="H264" t="s">
        <v>0</v>
      </c>
      <c r="I264" t="s">
        <v>436</v>
      </c>
      <c r="J264" t="s">
        <v>437</v>
      </c>
      <c r="K264" t="s">
        <v>438</v>
      </c>
      <c r="L264" t="s">
        <v>345</v>
      </c>
      <c r="M264" t="s">
        <v>408</v>
      </c>
      <c r="N264" t="s">
        <v>11</v>
      </c>
      <c r="O264" t="s">
        <v>11</v>
      </c>
      <c r="P264" t="s">
        <v>0</v>
      </c>
      <c r="Q264" t="s">
        <v>408</v>
      </c>
      <c r="R264" t="s">
        <v>439</v>
      </c>
      <c r="S264" t="s">
        <v>440</v>
      </c>
      <c r="T264" t="s">
        <v>11</v>
      </c>
      <c r="U264" t="s">
        <v>408</v>
      </c>
    </row>
    <row r="265" spans="1:21" x14ac:dyDescent="0.25">
      <c r="A265">
        <v>8933236</v>
      </c>
      <c r="B265" t="s">
        <v>342</v>
      </c>
      <c r="C265" t="s">
        <v>33</v>
      </c>
      <c r="D265" t="s">
        <v>12</v>
      </c>
      <c r="E265" t="s">
        <v>719</v>
      </c>
      <c r="F265" t="s">
        <v>110</v>
      </c>
      <c r="G265" t="s">
        <v>369</v>
      </c>
      <c r="H265" t="s">
        <v>0</v>
      </c>
      <c r="I265" t="s">
        <v>436</v>
      </c>
      <c r="J265" t="s">
        <v>437</v>
      </c>
      <c r="K265" t="s">
        <v>438</v>
      </c>
      <c r="L265" t="s">
        <v>345</v>
      </c>
      <c r="M265" t="s">
        <v>408</v>
      </c>
      <c r="N265" t="s">
        <v>11</v>
      </c>
      <c r="O265" t="s">
        <v>11</v>
      </c>
      <c r="P265" t="s">
        <v>0</v>
      </c>
      <c r="Q265" t="s">
        <v>408</v>
      </c>
      <c r="R265" t="s">
        <v>439</v>
      </c>
      <c r="S265" t="s">
        <v>440</v>
      </c>
      <c r="T265" t="s">
        <v>11</v>
      </c>
      <c r="U265" t="s">
        <v>408</v>
      </c>
    </row>
    <row r="266" spans="1:21" x14ac:dyDescent="0.25">
      <c r="A266">
        <v>8933237</v>
      </c>
      <c r="B266" t="s">
        <v>342</v>
      </c>
      <c r="C266" t="s">
        <v>33</v>
      </c>
      <c r="D266" t="s">
        <v>12</v>
      </c>
      <c r="E266" t="s">
        <v>719</v>
      </c>
      <c r="F266" t="s">
        <v>110</v>
      </c>
      <c r="G266" t="s">
        <v>369</v>
      </c>
      <c r="H266" t="s">
        <v>0</v>
      </c>
      <c r="I266" t="s">
        <v>436</v>
      </c>
      <c r="J266" t="s">
        <v>437</v>
      </c>
      <c r="K266" t="s">
        <v>438</v>
      </c>
      <c r="L266" t="s">
        <v>345</v>
      </c>
      <c r="M266" t="s">
        <v>408</v>
      </c>
      <c r="N266" t="s">
        <v>11</v>
      </c>
      <c r="O266" t="s">
        <v>11</v>
      </c>
      <c r="P266" t="s">
        <v>0</v>
      </c>
      <c r="Q266" t="s">
        <v>408</v>
      </c>
      <c r="R266" t="s">
        <v>439</v>
      </c>
      <c r="S266" t="s">
        <v>440</v>
      </c>
      <c r="T266" t="s">
        <v>11</v>
      </c>
      <c r="U266" t="s">
        <v>408</v>
      </c>
    </row>
    <row r="267" spans="1:21" x14ac:dyDescent="0.25">
      <c r="A267">
        <v>8933240</v>
      </c>
      <c r="B267" t="s">
        <v>340</v>
      </c>
      <c r="C267" t="s">
        <v>26</v>
      </c>
      <c r="D267" t="s">
        <v>12</v>
      </c>
      <c r="E267" t="s">
        <v>524</v>
      </c>
      <c r="F267" t="s">
        <v>204</v>
      </c>
      <c r="G267" t="s">
        <v>369</v>
      </c>
      <c r="H267" t="s">
        <v>0</v>
      </c>
      <c r="I267" t="s">
        <v>436</v>
      </c>
      <c r="J267" t="s">
        <v>437</v>
      </c>
      <c r="K267" t="s">
        <v>438</v>
      </c>
      <c r="L267" t="s">
        <v>0</v>
      </c>
      <c r="M267" t="s">
        <v>408</v>
      </c>
      <c r="N267" t="s">
        <v>11</v>
      </c>
      <c r="O267" t="s">
        <v>408</v>
      </c>
      <c r="P267" t="s">
        <v>0</v>
      </c>
      <c r="Q267" t="s">
        <v>408</v>
      </c>
      <c r="R267" t="s">
        <v>439</v>
      </c>
      <c r="S267" t="s">
        <v>440</v>
      </c>
      <c r="T267" t="s">
        <v>11</v>
      </c>
      <c r="U267" t="s">
        <v>408</v>
      </c>
    </row>
    <row r="268" spans="1:21" x14ac:dyDescent="0.25">
      <c r="A268">
        <v>8933248</v>
      </c>
      <c r="B268" t="s">
        <v>342</v>
      </c>
      <c r="C268" t="s">
        <v>33</v>
      </c>
      <c r="D268" t="s">
        <v>12</v>
      </c>
      <c r="E268" t="s">
        <v>723</v>
      </c>
      <c r="F268" t="s">
        <v>270</v>
      </c>
      <c r="G268" t="s">
        <v>369</v>
      </c>
      <c r="H268" t="s">
        <v>0</v>
      </c>
      <c r="I268" t="s">
        <v>436</v>
      </c>
      <c r="J268" t="s">
        <v>437</v>
      </c>
      <c r="K268" t="s">
        <v>438</v>
      </c>
      <c r="L268" t="s">
        <v>345</v>
      </c>
      <c r="M268" t="s">
        <v>408</v>
      </c>
      <c r="N268" t="s">
        <v>11</v>
      </c>
      <c r="O268" t="s">
        <v>11</v>
      </c>
      <c r="P268" t="s">
        <v>0</v>
      </c>
      <c r="Q268" t="s">
        <v>408</v>
      </c>
      <c r="R268" t="s">
        <v>439</v>
      </c>
      <c r="S268" t="s">
        <v>440</v>
      </c>
      <c r="T268" t="s">
        <v>11</v>
      </c>
      <c r="U268" t="s">
        <v>408</v>
      </c>
    </row>
    <row r="269" spans="1:21" x14ac:dyDescent="0.25">
      <c r="A269">
        <v>8933249</v>
      </c>
      <c r="B269" t="s">
        <v>342</v>
      </c>
      <c r="C269" t="s">
        <v>33</v>
      </c>
      <c r="D269" t="s">
        <v>12</v>
      </c>
      <c r="E269" t="s">
        <v>723</v>
      </c>
      <c r="F269" t="s">
        <v>270</v>
      </c>
      <c r="G269" t="s">
        <v>369</v>
      </c>
      <c r="H269" t="s">
        <v>0</v>
      </c>
      <c r="I269" t="s">
        <v>436</v>
      </c>
      <c r="J269" t="s">
        <v>437</v>
      </c>
      <c r="K269" t="s">
        <v>438</v>
      </c>
      <c r="L269" t="s">
        <v>345</v>
      </c>
      <c r="M269" t="s">
        <v>408</v>
      </c>
      <c r="N269" t="s">
        <v>11</v>
      </c>
      <c r="O269" t="s">
        <v>11</v>
      </c>
      <c r="P269" t="s">
        <v>0</v>
      </c>
      <c r="Q269" t="s">
        <v>408</v>
      </c>
      <c r="R269" t="s">
        <v>439</v>
      </c>
      <c r="S269" t="s">
        <v>440</v>
      </c>
      <c r="T269" t="s">
        <v>11</v>
      </c>
      <c r="U269" t="s">
        <v>408</v>
      </c>
    </row>
    <row r="270" spans="1:21" x14ac:dyDescent="0.25">
      <c r="A270">
        <v>8933252</v>
      </c>
      <c r="B270" t="s">
        <v>342</v>
      </c>
      <c r="C270" t="s">
        <v>33</v>
      </c>
      <c r="D270" t="s">
        <v>12</v>
      </c>
      <c r="E270" t="s">
        <v>707</v>
      </c>
      <c r="F270" t="s">
        <v>269</v>
      </c>
      <c r="G270" t="s">
        <v>369</v>
      </c>
      <c r="H270" t="s">
        <v>0</v>
      </c>
      <c r="I270" t="s">
        <v>436</v>
      </c>
      <c r="J270" t="s">
        <v>437</v>
      </c>
      <c r="K270" t="s">
        <v>438</v>
      </c>
      <c r="L270" t="s">
        <v>2</v>
      </c>
      <c r="M270" t="s">
        <v>408</v>
      </c>
      <c r="N270" t="s">
        <v>11</v>
      </c>
      <c r="O270" t="s">
        <v>11</v>
      </c>
      <c r="P270" t="s">
        <v>0</v>
      </c>
      <c r="Q270" t="s">
        <v>408</v>
      </c>
      <c r="R270" t="s">
        <v>439</v>
      </c>
      <c r="S270" t="s">
        <v>440</v>
      </c>
      <c r="T270" t="s">
        <v>11</v>
      </c>
      <c r="U270" t="s">
        <v>408</v>
      </c>
    </row>
    <row r="271" spans="1:21" x14ac:dyDescent="0.25">
      <c r="A271">
        <v>8933253</v>
      </c>
      <c r="B271" t="s">
        <v>342</v>
      </c>
      <c r="C271" t="s">
        <v>33</v>
      </c>
      <c r="D271" t="s">
        <v>12</v>
      </c>
      <c r="E271" t="s">
        <v>711</v>
      </c>
      <c r="F271" t="s">
        <v>213</v>
      </c>
      <c r="G271" t="s">
        <v>369</v>
      </c>
      <c r="H271" t="s">
        <v>0</v>
      </c>
      <c r="I271" t="s">
        <v>436</v>
      </c>
      <c r="J271" t="s">
        <v>437</v>
      </c>
      <c r="K271" t="s">
        <v>438</v>
      </c>
      <c r="L271" t="s">
        <v>1</v>
      </c>
      <c r="M271" t="s">
        <v>408</v>
      </c>
      <c r="N271" t="s">
        <v>11</v>
      </c>
      <c r="O271" t="s">
        <v>408</v>
      </c>
      <c r="P271" t="s">
        <v>344</v>
      </c>
      <c r="Q271" t="s">
        <v>408</v>
      </c>
      <c r="R271" t="s">
        <v>439</v>
      </c>
      <c r="S271" t="s">
        <v>440</v>
      </c>
      <c r="T271" t="s">
        <v>11</v>
      </c>
      <c r="U271" t="s">
        <v>408</v>
      </c>
    </row>
    <row r="272" spans="1:21" x14ac:dyDescent="0.25">
      <c r="A272">
        <v>8933257</v>
      </c>
      <c r="B272" t="s">
        <v>342</v>
      </c>
      <c r="C272" t="s">
        <v>33</v>
      </c>
      <c r="D272" t="s">
        <v>12</v>
      </c>
      <c r="E272" t="s">
        <v>706</v>
      </c>
      <c r="F272" t="s">
        <v>268</v>
      </c>
      <c r="G272" t="s">
        <v>369</v>
      </c>
      <c r="H272" t="s">
        <v>0</v>
      </c>
      <c r="I272" t="s">
        <v>436</v>
      </c>
      <c r="J272" t="s">
        <v>437</v>
      </c>
      <c r="K272" t="s">
        <v>438</v>
      </c>
      <c r="L272" t="s">
        <v>2</v>
      </c>
      <c r="M272" t="s">
        <v>408</v>
      </c>
      <c r="N272" t="s">
        <v>11</v>
      </c>
      <c r="O272" t="s">
        <v>11</v>
      </c>
      <c r="P272" t="s">
        <v>344</v>
      </c>
      <c r="Q272" t="s">
        <v>408</v>
      </c>
      <c r="R272" t="s">
        <v>439</v>
      </c>
      <c r="S272" t="s">
        <v>440</v>
      </c>
      <c r="T272" t="s">
        <v>11</v>
      </c>
      <c r="U272" t="s">
        <v>408</v>
      </c>
    </row>
    <row r="273" spans="1:21" x14ac:dyDescent="0.25">
      <c r="A273">
        <v>8933260</v>
      </c>
      <c r="B273" t="s">
        <v>342</v>
      </c>
      <c r="C273" t="s">
        <v>33</v>
      </c>
      <c r="D273" t="s">
        <v>12</v>
      </c>
      <c r="E273" t="s">
        <v>709</v>
      </c>
      <c r="F273" t="s">
        <v>212</v>
      </c>
      <c r="G273" t="s">
        <v>369</v>
      </c>
      <c r="H273" t="s">
        <v>0</v>
      </c>
      <c r="I273" t="s">
        <v>436</v>
      </c>
      <c r="J273" t="s">
        <v>437</v>
      </c>
      <c r="K273" t="s">
        <v>438</v>
      </c>
      <c r="L273" t="s">
        <v>151</v>
      </c>
      <c r="M273" t="s">
        <v>408</v>
      </c>
      <c r="N273" t="s">
        <v>11</v>
      </c>
      <c r="O273" t="s">
        <v>408</v>
      </c>
      <c r="P273" t="s">
        <v>344</v>
      </c>
      <c r="Q273" t="s">
        <v>408</v>
      </c>
      <c r="R273" t="s">
        <v>439</v>
      </c>
      <c r="S273" t="s">
        <v>440</v>
      </c>
      <c r="T273" t="s">
        <v>11</v>
      </c>
      <c r="U273" t="s">
        <v>408</v>
      </c>
    </row>
    <row r="274" spans="1:21" x14ac:dyDescent="0.25">
      <c r="A274">
        <v>8933265</v>
      </c>
      <c r="B274" t="s">
        <v>342</v>
      </c>
      <c r="C274" t="s">
        <v>33</v>
      </c>
      <c r="D274" t="s">
        <v>12</v>
      </c>
      <c r="E274" t="s">
        <v>711</v>
      </c>
      <c r="F274" t="s">
        <v>213</v>
      </c>
      <c r="G274" t="s">
        <v>369</v>
      </c>
      <c r="H274" t="s">
        <v>1</v>
      </c>
      <c r="I274" t="s">
        <v>469</v>
      </c>
      <c r="J274" t="s">
        <v>445</v>
      </c>
      <c r="K274" t="s">
        <v>438</v>
      </c>
      <c r="L274" t="s">
        <v>0</v>
      </c>
      <c r="M274" t="s">
        <v>408</v>
      </c>
      <c r="N274" t="s">
        <v>11</v>
      </c>
      <c r="O274" t="s">
        <v>11</v>
      </c>
      <c r="P274" t="s">
        <v>344</v>
      </c>
      <c r="Q274" t="s">
        <v>408</v>
      </c>
      <c r="R274" t="s">
        <v>439</v>
      </c>
      <c r="S274" t="s">
        <v>440</v>
      </c>
      <c r="T274" t="s">
        <v>11</v>
      </c>
      <c r="U274" t="s">
        <v>408</v>
      </c>
    </row>
    <row r="275" spans="1:21" x14ac:dyDescent="0.25">
      <c r="A275">
        <v>8933278</v>
      </c>
      <c r="B275" t="s">
        <v>340</v>
      </c>
      <c r="C275" t="s">
        <v>26</v>
      </c>
      <c r="D275" t="s">
        <v>12</v>
      </c>
      <c r="E275" t="s">
        <v>615</v>
      </c>
      <c r="F275" t="s">
        <v>42</v>
      </c>
      <c r="G275" t="s">
        <v>369</v>
      </c>
      <c r="H275" t="s">
        <v>0</v>
      </c>
      <c r="I275" t="s">
        <v>436</v>
      </c>
      <c r="J275" t="s">
        <v>437</v>
      </c>
      <c r="K275" t="s">
        <v>438</v>
      </c>
      <c r="L275" t="s">
        <v>2</v>
      </c>
      <c r="M275" t="s">
        <v>408</v>
      </c>
      <c r="N275" t="s">
        <v>11</v>
      </c>
      <c r="O275" t="s">
        <v>11</v>
      </c>
      <c r="P275" t="s">
        <v>0</v>
      </c>
      <c r="Q275" t="s">
        <v>408</v>
      </c>
      <c r="R275" t="s">
        <v>439</v>
      </c>
      <c r="S275" t="s">
        <v>440</v>
      </c>
      <c r="T275" t="s">
        <v>11</v>
      </c>
      <c r="U275" t="s">
        <v>408</v>
      </c>
    </row>
    <row r="276" spans="1:21" x14ac:dyDescent="0.25">
      <c r="A276">
        <v>8933282</v>
      </c>
      <c r="B276" t="s">
        <v>340</v>
      </c>
      <c r="C276" t="s">
        <v>26</v>
      </c>
      <c r="D276" t="s">
        <v>12</v>
      </c>
      <c r="E276" t="s">
        <v>410</v>
      </c>
      <c r="F276" t="s">
        <v>74</v>
      </c>
      <c r="G276" t="s">
        <v>369</v>
      </c>
      <c r="H276" t="s">
        <v>1</v>
      </c>
      <c r="I276" t="s">
        <v>469</v>
      </c>
      <c r="J276" t="s">
        <v>445</v>
      </c>
      <c r="K276" t="s">
        <v>438</v>
      </c>
      <c r="L276" t="s">
        <v>2</v>
      </c>
      <c r="M276" t="s">
        <v>408</v>
      </c>
      <c r="N276" t="s">
        <v>11</v>
      </c>
      <c r="O276" t="s">
        <v>11</v>
      </c>
      <c r="P276" t="s">
        <v>0</v>
      </c>
      <c r="Q276" t="s">
        <v>408</v>
      </c>
      <c r="R276" t="s">
        <v>439</v>
      </c>
      <c r="S276" t="s">
        <v>440</v>
      </c>
      <c r="T276" t="s">
        <v>11</v>
      </c>
      <c r="U276" t="s">
        <v>408</v>
      </c>
    </row>
    <row r="277" spans="1:21" x14ac:dyDescent="0.25">
      <c r="A277">
        <v>8933285</v>
      </c>
      <c r="B277" t="s">
        <v>340</v>
      </c>
      <c r="C277" t="s">
        <v>26</v>
      </c>
      <c r="D277" t="s">
        <v>12</v>
      </c>
      <c r="E277" t="s">
        <v>615</v>
      </c>
      <c r="F277" t="s">
        <v>267</v>
      </c>
      <c r="G277" t="s">
        <v>369</v>
      </c>
      <c r="H277" t="s">
        <v>0</v>
      </c>
      <c r="I277" t="s">
        <v>436</v>
      </c>
      <c r="J277" t="s">
        <v>437</v>
      </c>
      <c r="K277" t="s">
        <v>438</v>
      </c>
      <c r="L277" t="s">
        <v>4</v>
      </c>
      <c r="M277" t="s">
        <v>408</v>
      </c>
      <c r="N277" t="s">
        <v>11</v>
      </c>
      <c r="O277" t="s">
        <v>11</v>
      </c>
      <c r="P277" t="s">
        <v>0</v>
      </c>
      <c r="Q277" t="s">
        <v>408</v>
      </c>
      <c r="R277" t="s">
        <v>439</v>
      </c>
      <c r="S277" t="s">
        <v>440</v>
      </c>
      <c r="T277" t="s">
        <v>11</v>
      </c>
      <c r="U277" t="s">
        <v>408</v>
      </c>
    </row>
    <row r="278" spans="1:21" x14ac:dyDescent="0.25">
      <c r="A278">
        <v>8933290</v>
      </c>
      <c r="B278" t="s">
        <v>340</v>
      </c>
      <c r="C278" t="s">
        <v>26</v>
      </c>
      <c r="D278" t="s">
        <v>12</v>
      </c>
      <c r="E278" t="s">
        <v>520</v>
      </c>
      <c r="F278" t="s">
        <v>253</v>
      </c>
      <c r="G278" t="s">
        <v>369</v>
      </c>
      <c r="H278" t="s">
        <v>370</v>
      </c>
      <c r="I278" t="s">
        <v>721</v>
      </c>
      <c r="J278" t="s">
        <v>455</v>
      </c>
      <c r="K278" t="s">
        <v>453</v>
      </c>
      <c r="L278" t="s">
        <v>367</v>
      </c>
      <c r="M278" t="s">
        <v>408</v>
      </c>
      <c r="N278" t="s">
        <v>11</v>
      </c>
      <c r="O278" t="s">
        <v>11</v>
      </c>
      <c r="P278" t="s">
        <v>0</v>
      </c>
      <c r="Q278" t="s">
        <v>408</v>
      </c>
      <c r="R278" t="s">
        <v>439</v>
      </c>
      <c r="S278" t="s">
        <v>451</v>
      </c>
      <c r="T278" t="s">
        <v>11</v>
      </c>
      <c r="U278" t="s">
        <v>408</v>
      </c>
    </row>
    <row r="279" spans="1:21" x14ac:dyDescent="0.25">
      <c r="A279">
        <v>8933295</v>
      </c>
      <c r="B279" t="s">
        <v>340</v>
      </c>
      <c r="C279" t="s">
        <v>26</v>
      </c>
      <c r="D279" t="s">
        <v>12</v>
      </c>
      <c r="E279" t="s">
        <v>514</v>
      </c>
      <c r="F279" t="s">
        <v>266</v>
      </c>
      <c r="G279" t="s">
        <v>369</v>
      </c>
      <c r="H279" t="s">
        <v>0</v>
      </c>
      <c r="I279" t="s">
        <v>436</v>
      </c>
      <c r="J279" t="s">
        <v>437</v>
      </c>
      <c r="K279" t="s">
        <v>438</v>
      </c>
      <c r="L279" t="s">
        <v>1</v>
      </c>
      <c r="M279" t="s">
        <v>408</v>
      </c>
      <c r="N279" t="s">
        <v>11</v>
      </c>
      <c r="O279" t="s">
        <v>11</v>
      </c>
      <c r="P279" t="s">
        <v>0</v>
      </c>
      <c r="Q279" t="s">
        <v>408</v>
      </c>
      <c r="R279" t="s">
        <v>439</v>
      </c>
      <c r="S279" t="s">
        <v>440</v>
      </c>
      <c r="T279" t="s">
        <v>11</v>
      </c>
      <c r="U279" t="s">
        <v>408</v>
      </c>
    </row>
    <row r="280" spans="1:21" x14ac:dyDescent="0.25">
      <c r="A280">
        <v>8933297</v>
      </c>
      <c r="B280" t="s">
        <v>340</v>
      </c>
      <c r="C280" t="s">
        <v>26</v>
      </c>
      <c r="D280" t="s">
        <v>12</v>
      </c>
      <c r="E280" t="s">
        <v>541</v>
      </c>
      <c r="F280" t="s">
        <v>258</v>
      </c>
      <c r="G280" t="s">
        <v>369</v>
      </c>
      <c r="H280" t="s">
        <v>0</v>
      </c>
      <c r="I280" t="s">
        <v>436</v>
      </c>
      <c r="J280" t="s">
        <v>437</v>
      </c>
      <c r="K280" t="s">
        <v>438</v>
      </c>
      <c r="L280" t="s">
        <v>2</v>
      </c>
      <c r="M280" t="s">
        <v>408</v>
      </c>
      <c r="N280" t="s">
        <v>11</v>
      </c>
      <c r="O280" t="s">
        <v>11</v>
      </c>
      <c r="P280" t="s">
        <v>0</v>
      </c>
      <c r="Q280" t="s">
        <v>408</v>
      </c>
      <c r="R280" t="s">
        <v>439</v>
      </c>
      <c r="S280" t="s">
        <v>440</v>
      </c>
      <c r="T280" t="s">
        <v>11</v>
      </c>
      <c r="U280" t="s">
        <v>408</v>
      </c>
    </row>
    <row r="281" spans="1:21" x14ac:dyDescent="0.25">
      <c r="A281">
        <v>8933312</v>
      </c>
      <c r="B281" t="s">
        <v>342</v>
      </c>
      <c r="C281" t="s">
        <v>33</v>
      </c>
      <c r="D281" t="s">
        <v>12</v>
      </c>
      <c r="E281" t="s">
        <v>612</v>
      </c>
      <c r="F281" t="s">
        <v>138</v>
      </c>
      <c r="G281" t="s">
        <v>369</v>
      </c>
      <c r="H281" t="s">
        <v>0</v>
      </c>
      <c r="I281" t="s">
        <v>436</v>
      </c>
      <c r="J281" t="s">
        <v>437</v>
      </c>
      <c r="K281" t="s">
        <v>438</v>
      </c>
      <c r="L281" t="s">
        <v>6</v>
      </c>
      <c r="M281" t="s">
        <v>408</v>
      </c>
      <c r="N281" t="s">
        <v>11</v>
      </c>
      <c r="O281" t="s">
        <v>11</v>
      </c>
      <c r="P281" t="s">
        <v>6</v>
      </c>
      <c r="Q281" t="s">
        <v>408</v>
      </c>
      <c r="R281" t="s">
        <v>439</v>
      </c>
      <c r="S281" t="s">
        <v>440</v>
      </c>
      <c r="T281" t="s">
        <v>11</v>
      </c>
      <c r="U281" t="s">
        <v>408</v>
      </c>
    </row>
    <row r="282" spans="1:21" x14ac:dyDescent="0.25">
      <c r="A282">
        <v>8933313</v>
      </c>
      <c r="B282" t="s">
        <v>340</v>
      </c>
      <c r="C282" t="s">
        <v>26</v>
      </c>
      <c r="D282" t="s">
        <v>12</v>
      </c>
      <c r="E282" t="s">
        <v>612</v>
      </c>
      <c r="F282" t="s">
        <v>138</v>
      </c>
      <c r="G282" t="s">
        <v>369</v>
      </c>
      <c r="H282" t="s">
        <v>2</v>
      </c>
      <c r="I282" t="s">
        <v>436</v>
      </c>
      <c r="J282" t="s">
        <v>443</v>
      </c>
      <c r="K282" t="s">
        <v>444</v>
      </c>
      <c r="L282" t="s">
        <v>347</v>
      </c>
      <c r="M282" t="s">
        <v>408</v>
      </c>
      <c r="N282" t="s">
        <v>11</v>
      </c>
      <c r="O282" t="s">
        <v>11</v>
      </c>
      <c r="P282" t="s">
        <v>6</v>
      </c>
      <c r="Q282" t="s">
        <v>408</v>
      </c>
      <c r="R282" t="s">
        <v>439</v>
      </c>
      <c r="S282" t="s">
        <v>440</v>
      </c>
      <c r="T282" t="s">
        <v>11</v>
      </c>
      <c r="U282" t="s">
        <v>408</v>
      </c>
    </row>
    <row r="283" spans="1:21" x14ac:dyDescent="0.25">
      <c r="A283">
        <v>8933327</v>
      </c>
      <c r="B283" t="s">
        <v>340</v>
      </c>
      <c r="C283" t="s">
        <v>26</v>
      </c>
      <c r="D283" t="s">
        <v>12</v>
      </c>
      <c r="E283" t="s">
        <v>615</v>
      </c>
      <c r="F283" t="s">
        <v>42</v>
      </c>
      <c r="G283" t="s">
        <v>369</v>
      </c>
      <c r="H283" t="s">
        <v>0</v>
      </c>
      <c r="I283" t="s">
        <v>436</v>
      </c>
      <c r="J283" t="s">
        <v>437</v>
      </c>
      <c r="K283" t="s">
        <v>438</v>
      </c>
      <c r="L283" t="s">
        <v>5</v>
      </c>
      <c r="M283" t="s">
        <v>408</v>
      </c>
      <c r="N283" t="s">
        <v>11</v>
      </c>
      <c r="O283" t="s">
        <v>11</v>
      </c>
      <c r="P283" t="s">
        <v>0</v>
      </c>
      <c r="Q283" t="s">
        <v>408</v>
      </c>
      <c r="R283" t="s">
        <v>439</v>
      </c>
      <c r="S283" t="s">
        <v>440</v>
      </c>
      <c r="T283" t="s">
        <v>11</v>
      </c>
      <c r="U283" t="s">
        <v>408</v>
      </c>
    </row>
    <row r="284" spans="1:21" x14ac:dyDescent="0.25">
      <c r="A284">
        <v>8933328</v>
      </c>
      <c r="B284" t="s">
        <v>340</v>
      </c>
      <c r="C284" t="s">
        <v>26</v>
      </c>
      <c r="D284" t="s">
        <v>18</v>
      </c>
      <c r="E284" t="s">
        <v>615</v>
      </c>
      <c r="F284" t="s">
        <v>42</v>
      </c>
      <c r="G284" t="s">
        <v>369</v>
      </c>
      <c r="H284" t="s">
        <v>0</v>
      </c>
      <c r="I284" t="s">
        <v>436</v>
      </c>
      <c r="J284" t="s">
        <v>437</v>
      </c>
      <c r="K284" t="s">
        <v>438</v>
      </c>
      <c r="L284" t="s">
        <v>4</v>
      </c>
      <c r="M284" t="s">
        <v>408</v>
      </c>
      <c r="N284" t="s">
        <v>11</v>
      </c>
      <c r="O284" t="s">
        <v>11</v>
      </c>
      <c r="P284" t="s">
        <v>0</v>
      </c>
      <c r="Q284" t="s">
        <v>408</v>
      </c>
      <c r="R284" t="s">
        <v>439</v>
      </c>
      <c r="S284" t="s">
        <v>440</v>
      </c>
      <c r="T284" t="s">
        <v>11</v>
      </c>
      <c r="U284" t="s">
        <v>408</v>
      </c>
    </row>
    <row r="285" spans="1:21" x14ac:dyDescent="0.25">
      <c r="A285">
        <v>8933336</v>
      </c>
      <c r="B285" t="s">
        <v>340</v>
      </c>
      <c r="C285" t="s">
        <v>26</v>
      </c>
      <c r="D285" t="s">
        <v>12</v>
      </c>
      <c r="E285" t="s">
        <v>502</v>
      </c>
      <c r="F285" t="s">
        <v>62</v>
      </c>
      <c r="G285" t="s">
        <v>369</v>
      </c>
      <c r="H285" t="s">
        <v>0</v>
      </c>
      <c r="I285" t="s">
        <v>436</v>
      </c>
      <c r="J285" t="s">
        <v>437</v>
      </c>
      <c r="K285" t="s">
        <v>438</v>
      </c>
      <c r="L285" t="s">
        <v>9</v>
      </c>
      <c r="M285" t="s">
        <v>408</v>
      </c>
      <c r="N285" t="s">
        <v>11</v>
      </c>
      <c r="O285" t="s">
        <v>408</v>
      </c>
      <c r="P285" t="s">
        <v>151</v>
      </c>
      <c r="Q285" t="s">
        <v>408</v>
      </c>
      <c r="R285" t="s">
        <v>439</v>
      </c>
      <c r="S285" t="s">
        <v>440</v>
      </c>
      <c r="T285" t="s">
        <v>11</v>
      </c>
      <c r="U285" t="s">
        <v>408</v>
      </c>
    </row>
    <row r="286" spans="1:21" x14ac:dyDescent="0.25">
      <c r="A286">
        <v>8933340</v>
      </c>
      <c r="B286" t="s">
        <v>340</v>
      </c>
      <c r="C286" t="s">
        <v>26</v>
      </c>
      <c r="D286" t="s">
        <v>12</v>
      </c>
      <c r="E286" t="s">
        <v>610</v>
      </c>
      <c r="F286" t="s">
        <v>265</v>
      </c>
      <c r="G286" t="s">
        <v>369</v>
      </c>
      <c r="H286" t="s">
        <v>0</v>
      </c>
      <c r="I286" t="s">
        <v>436</v>
      </c>
      <c r="J286" t="s">
        <v>437</v>
      </c>
      <c r="K286" t="s">
        <v>438</v>
      </c>
      <c r="L286" t="s">
        <v>8</v>
      </c>
      <c r="M286" t="s">
        <v>408</v>
      </c>
      <c r="N286" t="s">
        <v>11</v>
      </c>
      <c r="O286" t="s">
        <v>11</v>
      </c>
      <c r="P286" t="s">
        <v>151</v>
      </c>
      <c r="Q286" t="s">
        <v>408</v>
      </c>
      <c r="R286" t="s">
        <v>439</v>
      </c>
      <c r="S286" t="s">
        <v>440</v>
      </c>
      <c r="T286" t="s">
        <v>11</v>
      </c>
      <c r="U286" t="s">
        <v>408</v>
      </c>
    </row>
    <row r="287" spans="1:21" x14ac:dyDescent="0.25">
      <c r="A287">
        <v>8933347</v>
      </c>
      <c r="B287" t="s">
        <v>340</v>
      </c>
      <c r="C287" t="s">
        <v>26</v>
      </c>
      <c r="D287" t="s">
        <v>12</v>
      </c>
      <c r="E287" t="s">
        <v>502</v>
      </c>
      <c r="F287" t="s">
        <v>62</v>
      </c>
      <c r="G287" t="s">
        <v>369</v>
      </c>
      <c r="H287" t="s">
        <v>0</v>
      </c>
      <c r="I287" t="s">
        <v>436</v>
      </c>
      <c r="J287" t="s">
        <v>437</v>
      </c>
      <c r="K287" t="s">
        <v>438</v>
      </c>
      <c r="L287" t="s">
        <v>1</v>
      </c>
      <c r="M287" t="s">
        <v>408</v>
      </c>
      <c r="N287" t="s">
        <v>11</v>
      </c>
      <c r="O287" t="s">
        <v>408</v>
      </c>
      <c r="P287" t="s">
        <v>151</v>
      </c>
      <c r="Q287" t="s">
        <v>408</v>
      </c>
      <c r="R287" t="s">
        <v>439</v>
      </c>
      <c r="S287" t="s">
        <v>440</v>
      </c>
      <c r="T287" t="s">
        <v>11</v>
      </c>
      <c r="U287" t="s">
        <v>408</v>
      </c>
    </row>
    <row r="288" spans="1:21" x14ac:dyDescent="0.25">
      <c r="A288">
        <v>8933357</v>
      </c>
      <c r="B288" t="s">
        <v>342</v>
      </c>
      <c r="C288" t="s">
        <v>33</v>
      </c>
      <c r="D288" t="s">
        <v>79</v>
      </c>
      <c r="E288" t="s">
        <v>522</v>
      </c>
      <c r="F288" t="s">
        <v>136</v>
      </c>
      <c r="G288" t="s">
        <v>369</v>
      </c>
      <c r="H288" t="s">
        <v>0</v>
      </c>
      <c r="I288" t="s">
        <v>436</v>
      </c>
      <c r="J288" t="s">
        <v>437</v>
      </c>
      <c r="K288" t="s">
        <v>438</v>
      </c>
      <c r="L288" t="s">
        <v>0</v>
      </c>
      <c r="M288" t="s">
        <v>408</v>
      </c>
      <c r="N288" t="s">
        <v>11</v>
      </c>
      <c r="O288" t="s">
        <v>408</v>
      </c>
      <c r="P288" t="s">
        <v>151</v>
      </c>
      <c r="Q288" t="s">
        <v>408</v>
      </c>
      <c r="R288" t="s">
        <v>439</v>
      </c>
      <c r="S288" t="s">
        <v>440</v>
      </c>
      <c r="T288" t="s">
        <v>11</v>
      </c>
      <c r="U288" t="s">
        <v>408</v>
      </c>
    </row>
    <row r="289" spans="1:21" x14ac:dyDescent="0.25">
      <c r="A289">
        <v>8933367</v>
      </c>
      <c r="B289" t="s">
        <v>340</v>
      </c>
      <c r="C289" t="s">
        <v>26</v>
      </c>
      <c r="D289" t="s">
        <v>12</v>
      </c>
      <c r="E289" t="s">
        <v>610</v>
      </c>
      <c r="F289" t="s">
        <v>214</v>
      </c>
      <c r="G289" t="s">
        <v>369</v>
      </c>
      <c r="H289" t="s">
        <v>0</v>
      </c>
      <c r="I289" t="s">
        <v>436</v>
      </c>
      <c r="J289" t="s">
        <v>437</v>
      </c>
      <c r="K289" t="s">
        <v>438</v>
      </c>
      <c r="L289" t="s">
        <v>151</v>
      </c>
      <c r="M289" t="s">
        <v>408</v>
      </c>
      <c r="N289" t="s">
        <v>11</v>
      </c>
      <c r="O289" t="s">
        <v>408</v>
      </c>
      <c r="P289" t="s">
        <v>151</v>
      </c>
      <c r="Q289" t="s">
        <v>408</v>
      </c>
      <c r="R289" t="s">
        <v>439</v>
      </c>
      <c r="S289" t="s">
        <v>440</v>
      </c>
      <c r="T289" t="s">
        <v>11</v>
      </c>
      <c r="U289" t="s">
        <v>408</v>
      </c>
    </row>
    <row r="290" spans="1:21" x14ac:dyDescent="0.25">
      <c r="A290">
        <v>8933370</v>
      </c>
      <c r="B290" t="s">
        <v>340</v>
      </c>
      <c r="C290" t="s">
        <v>26</v>
      </c>
      <c r="D290" t="s">
        <v>18</v>
      </c>
      <c r="E290" t="s">
        <v>476</v>
      </c>
      <c r="F290" t="s">
        <v>327</v>
      </c>
      <c r="G290" t="s">
        <v>369</v>
      </c>
      <c r="H290" t="s">
        <v>1</v>
      </c>
      <c r="I290" t="s">
        <v>469</v>
      </c>
      <c r="J290" t="s">
        <v>445</v>
      </c>
      <c r="K290" t="s">
        <v>438</v>
      </c>
      <c r="L290" t="s">
        <v>151</v>
      </c>
      <c r="M290" t="s">
        <v>408</v>
      </c>
      <c r="N290" t="s">
        <v>11</v>
      </c>
      <c r="O290" t="s">
        <v>408</v>
      </c>
      <c r="P290" t="s">
        <v>151</v>
      </c>
      <c r="Q290" t="s">
        <v>408</v>
      </c>
      <c r="R290" t="s">
        <v>439</v>
      </c>
      <c r="S290" t="s">
        <v>440</v>
      </c>
      <c r="T290" t="s">
        <v>11</v>
      </c>
      <c r="U290" t="s">
        <v>408</v>
      </c>
    </row>
    <row r="291" spans="1:21" x14ac:dyDescent="0.25">
      <c r="A291">
        <v>8933372</v>
      </c>
      <c r="B291" t="s">
        <v>340</v>
      </c>
      <c r="C291" t="s">
        <v>26</v>
      </c>
      <c r="D291" t="s">
        <v>18</v>
      </c>
      <c r="E291" t="s">
        <v>719</v>
      </c>
      <c r="F291" t="s">
        <v>110</v>
      </c>
      <c r="G291" t="s">
        <v>369</v>
      </c>
      <c r="H291" t="s">
        <v>0</v>
      </c>
      <c r="I291" t="s">
        <v>436</v>
      </c>
      <c r="J291" t="s">
        <v>437</v>
      </c>
      <c r="K291" t="s">
        <v>438</v>
      </c>
      <c r="L291" t="s">
        <v>151</v>
      </c>
      <c r="M291" t="s">
        <v>408</v>
      </c>
      <c r="N291" t="s">
        <v>11</v>
      </c>
      <c r="O291" t="s">
        <v>408</v>
      </c>
      <c r="P291" t="s">
        <v>151</v>
      </c>
      <c r="Q291" t="s">
        <v>408</v>
      </c>
      <c r="R291" t="s">
        <v>439</v>
      </c>
      <c r="S291" t="s">
        <v>440</v>
      </c>
      <c r="T291" t="s">
        <v>11</v>
      </c>
      <c r="U291" t="s">
        <v>408</v>
      </c>
    </row>
    <row r="292" spans="1:21" x14ac:dyDescent="0.25">
      <c r="A292">
        <v>8933373</v>
      </c>
      <c r="B292" t="s">
        <v>340</v>
      </c>
      <c r="C292" t="s">
        <v>26</v>
      </c>
      <c r="D292" t="s">
        <v>18</v>
      </c>
      <c r="E292" t="s">
        <v>524</v>
      </c>
      <c r="F292" t="s">
        <v>204</v>
      </c>
      <c r="G292" t="s">
        <v>369</v>
      </c>
      <c r="H292" t="s">
        <v>0</v>
      </c>
      <c r="I292" t="s">
        <v>436</v>
      </c>
      <c r="J292" t="s">
        <v>437</v>
      </c>
      <c r="K292" t="s">
        <v>438</v>
      </c>
      <c r="L292" t="s">
        <v>0</v>
      </c>
      <c r="M292" t="s">
        <v>408</v>
      </c>
      <c r="N292" t="s">
        <v>11</v>
      </c>
      <c r="O292" t="s">
        <v>11</v>
      </c>
      <c r="P292" t="s">
        <v>151</v>
      </c>
      <c r="Q292" t="s">
        <v>408</v>
      </c>
      <c r="R292" t="s">
        <v>439</v>
      </c>
      <c r="S292" t="s">
        <v>440</v>
      </c>
      <c r="T292" t="s">
        <v>11</v>
      </c>
      <c r="U292" t="s">
        <v>408</v>
      </c>
    </row>
    <row r="293" spans="1:21" x14ac:dyDescent="0.25">
      <c r="A293">
        <v>8933386</v>
      </c>
      <c r="B293" t="s">
        <v>340</v>
      </c>
      <c r="C293" t="s">
        <v>26</v>
      </c>
      <c r="D293" t="s">
        <v>79</v>
      </c>
      <c r="E293" t="s">
        <v>522</v>
      </c>
      <c r="F293" t="s">
        <v>136</v>
      </c>
      <c r="G293" t="s">
        <v>369</v>
      </c>
      <c r="H293" t="s">
        <v>0</v>
      </c>
      <c r="I293" t="s">
        <v>436</v>
      </c>
      <c r="J293" t="s">
        <v>437</v>
      </c>
      <c r="K293" t="s">
        <v>438</v>
      </c>
      <c r="L293" t="s">
        <v>0</v>
      </c>
      <c r="M293" t="s">
        <v>408</v>
      </c>
      <c r="N293" t="s">
        <v>11</v>
      </c>
      <c r="O293" t="s">
        <v>408</v>
      </c>
      <c r="P293" t="s">
        <v>151</v>
      </c>
      <c r="Q293" t="s">
        <v>408</v>
      </c>
      <c r="R293" t="s">
        <v>439</v>
      </c>
      <c r="S293" t="s">
        <v>440</v>
      </c>
      <c r="T293" t="s">
        <v>11</v>
      </c>
      <c r="U293" t="s">
        <v>408</v>
      </c>
    </row>
    <row r="294" spans="1:21" x14ac:dyDescent="0.25">
      <c r="A294">
        <v>8933388</v>
      </c>
      <c r="B294" t="s">
        <v>340</v>
      </c>
      <c r="C294" t="s">
        <v>26</v>
      </c>
      <c r="D294" t="s">
        <v>125</v>
      </c>
      <c r="E294" t="s">
        <v>524</v>
      </c>
      <c r="F294" t="s">
        <v>204</v>
      </c>
      <c r="G294" t="s">
        <v>369</v>
      </c>
      <c r="H294" t="s">
        <v>0</v>
      </c>
      <c r="I294" t="s">
        <v>436</v>
      </c>
      <c r="J294" t="s">
        <v>437</v>
      </c>
      <c r="K294" t="s">
        <v>438</v>
      </c>
      <c r="L294" t="s">
        <v>0</v>
      </c>
      <c r="M294" t="s">
        <v>408</v>
      </c>
      <c r="N294" t="s">
        <v>11</v>
      </c>
      <c r="O294" t="s">
        <v>408</v>
      </c>
      <c r="P294" t="s">
        <v>151</v>
      </c>
      <c r="Q294" t="s">
        <v>408</v>
      </c>
      <c r="R294" t="s">
        <v>439</v>
      </c>
      <c r="S294" t="s">
        <v>440</v>
      </c>
      <c r="T294" t="s">
        <v>11</v>
      </c>
      <c r="U294" t="s">
        <v>408</v>
      </c>
    </row>
    <row r="295" spans="1:21" x14ac:dyDescent="0.25">
      <c r="A295">
        <v>8933397</v>
      </c>
      <c r="B295" t="s">
        <v>340</v>
      </c>
      <c r="C295" t="s">
        <v>26</v>
      </c>
      <c r="D295" t="s">
        <v>24</v>
      </c>
      <c r="E295" t="s">
        <v>475</v>
      </c>
      <c r="F295" t="s">
        <v>264</v>
      </c>
      <c r="G295" t="s">
        <v>369</v>
      </c>
      <c r="H295" t="s">
        <v>0</v>
      </c>
      <c r="I295" t="s">
        <v>436</v>
      </c>
      <c r="J295" t="s">
        <v>437</v>
      </c>
      <c r="K295" t="s">
        <v>438</v>
      </c>
      <c r="L295" t="s">
        <v>5</v>
      </c>
      <c r="M295" t="s">
        <v>408</v>
      </c>
      <c r="N295" t="s">
        <v>11</v>
      </c>
      <c r="O295" t="s">
        <v>408</v>
      </c>
      <c r="P295" t="s">
        <v>151</v>
      </c>
      <c r="Q295" t="s">
        <v>408</v>
      </c>
      <c r="R295" t="s">
        <v>439</v>
      </c>
      <c r="S295" t="s">
        <v>440</v>
      </c>
      <c r="T295" t="s">
        <v>11</v>
      </c>
      <c r="U295" t="s">
        <v>408</v>
      </c>
    </row>
    <row r="296" spans="1:21" x14ac:dyDescent="0.25">
      <c r="A296">
        <v>8933400</v>
      </c>
      <c r="B296" t="s">
        <v>342</v>
      </c>
      <c r="C296" t="s">
        <v>33</v>
      </c>
      <c r="D296" t="s">
        <v>12</v>
      </c>
      <c r="E296" t="s">
        <v>720</v>
      </c>
      <c r="F296" t="s">
        <v>54</v>
      </c>
      <c r="G296" t="s">
        <v>369</v>
      </c>
      <c r="H296" t="s">
        <v>0</v>
      </c>
      <c r="I296" t="s">
        <v>436</v>
      </c>
      <c r="J296" t="s">
        <v>437</v>
      </c>
      <c r="K296" t="s">
        <v>438</v>
      </c>
      <c r="L296" t="s">
        <v>151</v>
      </c>
      <c r="M296" t="s">
        <v>408</v>
      </c>
      <c r="N296" t="s">
        <v>11</v>
      </c>
      <c r="O296" t="s">
        <v>11</v>
      </c>
      <c r="P296" t="s">
        <v>151</v>
      </c>
      <c r="Q296" t="s">
        <v>408</v>
      </c>
      <c r="R296" t="s">
        <v>439</v>
      </c>
      <c r="S296" t="s">
        <v>440</v>
      </c>
      <c r="T296" t="s">
        <v>11</v>
      </c>
      <c r="U296" t="s">
        <v>408</v>
      </c>
    </row>
    <row r="297" spans="1:21" x14ac:dyDescent="0.25">
      <c r="A297">
        <v>8933402</v>
      </c>
      <c r="B297" t="s">
        <v>340</v>
      </c>
      <c r="C297" t="s">
        <v>26</v>
      </c>
      <c r="D297" t="s">
        <v>12</v>
      </c>
      <c r="E297" t="s">
        <v>720</v>
      </c>
      <c r="F297" t="s">
        <v>54</v>
      </c>
      <c r="G297" t="s">
        <v>369</v>
      </c>
      <c r="H297" t="s">
        <v>0</v>
      </c>
      <c r="I297" t="s">
        <v>436</v>
      </c>
      <c r="J297" t="s">
        <v>437</v>
      </c>
      <c r="K297" t="s">
        <v>438</v>
      </c>
      <c r="L297" t="s">
        <v>2</v>
      </c>
      <c r="M297" t="s">
        <v>408</v>
      </c>
      <c r="N297" t="s">
        <v>11</v>
      </c>
      <c r="O297" t="s">
        <v>11</v>
      </c>
      <c r="P297" t="s">
        <v>151</v>
      </c>
      <c r="Q297" t="s">
        <v>408</v>
      </c>
      <c r="R297" t="s">
        <v>439</v>
      </c>
      <c r="S297" t="s">
        <v>440</v>
      </c>
      <c r="T297" t="s">
        <v>11</v>
      </c>
      <c r="U297" t="s">
        <v>408</v>
      </c>
    </row>
    <row r="298" spans="1:21" x14ac:dyDescent="0.25">
      <c r="A298">
        <v>8933429</v>
      </c>
      <c r="B298" t="s">
        <v>340</v>
      </c>
      <c r="C298" t="s">
        <v>26</v>
      </c>
      <c r="D298" t="s">
        <v>12</v>
      </c>
      <c r="E298" t="s">
        <v>612</v>
      </c>
      <c r="F298" t="s">
        <v>72</v>
      </c>
      <c r="G298" t="s">
        <v>369</v>
      </c>
      <c r="H298" t="s">
        <v>2</v>
      </c>
      <c r="I298" t="s">
        <v>436</v>
      </c>
      <c r="J298" t="s">
        <v>443</v>
      </c>
      <c r="K298" t="s">
        <v>444</v>
      </c>
      <c r="L298" t="s">
        <v>347</v>
      </c>
      <c r="M298" t="s">
        <v>408</v>
      </c>
      <c r="N298" t="s">
        <v>11</v>
      </c>
      <c r="O298" t="s">
        <v>11</v>
      </c>
      <c r="P298" t="s">
        <v>151</v>
      </c>
      <c r="Q298" t="s">
        <v>408</v>
      </c>
      <c r="R298" t="s">
        <v>439</v>
      </c>
      <c r="S298" t="s">
        <v>440</v>
      </c>
      <c r="T298" t="s">
        <v>11</v>
      </c>
      <c r="U298" t="s">
        <v>408</v>
      </c>
    </row>
    <row r="299" spans="1:21" x14ac:dyDescent="0.25">
      <c r="A299">
        <v>8933434</v>
      </c>
      <c r="B299" t="s">
        <v>342</v>
      </c>
      <c r="C299" t="s">
        <v>33</v>
      </c>
      <c r="D299" t="s">
        <v>12</v>
      </c>
      <c r="E299" t="s">
        <v>612</v>
      </c>
      <c r="F299" t="s">
        <v>71</v>
      </c>
      <c r="G299" t="s">
        <v>369</v>
      </c>
      <c r="H299" t="s">
        <v>0</v>
      </c>
      <c r="I299" t="s">
        <v>436</v>
      </c>
      <c r="J299" t="s">
        <v>437</v>
      </c>
      <c r="K299" t="s">
        <v>438</v>
      </c>
      <c r="L299" t="s">
        <v>151</v>
      </c>
      <c r="M299" t="s">
        <v>408</v>
      </c>
      <c r="N299" t="s">
        <v>11</v>
      </c>
      <c r="O299" t="s">
        <v>11</v>
      </c>
      <c r="P299" t="s">
        <v>151</v>
      </c>
      <c r="Q299" t="s">
        <v>408</v>
      </c>
      <c r="R299" t="s">
        <v>439</v>
      </c>
      <c r="S299" t="s">
        <v>440</v>
      </c>
      <c r="T299" t="s">
        <v>11</v>
      </c>
      <c r="U299" t="s">
        <v>408</v>
      </c>
    </row>
    <row r="300" spans="1:21" x14ac:dyDescent="0.25">
      <c r="A300">
        <v>8933448</v>
      </c>
      <c r="B300" t="s">
        <v>340</v>
      </c>
      <c r="C300" t="s">
        <v>26</v>
      </c>
      <c r="D300" t="s">
        <v>12</v>
      </c>
      <c r="E300" t="s">
        <v>612</v>
      </c>
      <c r="F300" t="s">
        <v>71</v>
      </c>
      <c r="G300" t="s">
        <v>369</v>
      </c>
      <c r="H300" t="s">
        <v>2</v>
      </c>
      <c r="I300" t="s">
        <v>436</v>
      </c>
      <c r="J300" t="s">
        <v>443</v>
      </c>
      <c r="K300" t="s">
        <v>444</v>
      </c>
      <c r="L300" t="s">
        <v>0</v>
      </c>
      <c r="M300" t="s">
        <v>408</v>
      </c>
      <c r="N300" t="s">
        <v>11</v>
      </c>
      <c r="O300" t="s">
        <v>11</v>
      </c>
      <c r="P300" t="s">
        <v>151</v>
      </c>
      <c r="Q300" t="s">
        <v>408</v>
      </c>
      <c r="R300" t="s">
        <v>439</v>
      </c>
      <c r="S300" t="s">
        <v>440</v>
      </c>
      <c r="T300" t="s">
        <v>11</v>
      </c>
      <c r="U300" t="s">
        <v>408</v>
      </c>
    </row>
    <row r="301" spans="1:21" x14ac:dyDescent="0.25">
      <c r="A301">
        <v>8933449</v>
      </c>
      <c r="B301" t="s">
        <v>340</v>
      </c>
      <c r="C301" t="s">
        <v>26</v>
      </c>
      <c r="D301" t="s">
        <v>12</v>
      </c>
      <c r="E301" t="s">
        <v>720</v>
      </c>
      <c r="F301" t="s">
        <v>54</v>
      </c>
      <c r="G301" t="s">
        <v>369</v>
      </c>
      <c r="H301" t="s">
        <v>0</v>
      </c>
      <c r="I301" t="s">
        <v>436</v>
      </c>
      <c r="J301" t="s">
        <v>437</v>
      </c>
      <c r="K301" t="s">
        <v>438</v>
      </c>
      <c r="L301" t="s">
        <v>1</v>
      </c>
      <c r="M301" t="s">
        <v>408</v>
      </c>
      <c r="N301" t="s">
        <v>11</v>
      </c>
      <c r="O301" t="s">
        <v>11</v>
      </c>
      <c r="P301" t="s">
        <v>151</v>
      </c>
      <c r="Q301" t="s">
        <v>408</v>
      </c>
      <c r="R301" t="s">
        <v>439</v>
      </c>
      <c r="S301" t="s">
        <v>440</v>
      </c>
      <c r="T301" t="s">
        <v>11</v>
      </c>
      <c r="U301" t="s">
        <v>408</v>
      </c>
    </row>
    <row r="302" spans="1:21" x14ac:dyDescent="0.25">
      <c r="A302">
        <v>8933453</v>
      </c>
      <c r="B302" t="s">
        <v>340</v>
      </c>
      <c r="C302" t="s">
        <v>26</v>
      </c>
      <c r="D302" t="s">
        <v>12</v>
      </c>
      <c r="E302" t="s">
        <v>612</v>
      </c>
      <c r="F302" t="s">
        <v>72</v>
      </c>
      <c r="G302" t="s">
        <v>369</v>
      </c>
      <c r="H302" t="s">
        <v>0</v>
      </c>
      <c r="I302" t="s">
        <v>436</v>
      </c>
      <c r="J302" t="s">
        <v>437</v>
      </c>
      <c r="K302" t="s">
        <v>438</v>
      </c>
      <c r="L302" t="s">
        <v>5</v>
      </c>
      <c r="M302" t="s">
        <v>408</v>
      </c>
      <c r="N302" t="s">
        <v>11</v>
      </c>
      <c r="O302" t="s">
        <v>11</v>
      </c>
      <c r="P302" t="s">
        <v>151</v>
      </c>
      <c r="Q302" t="s">
        <v>408</v>
      </c>
      <c r="R302" t="s">
        <v>439</v>
      </c>
      <c r="S302" t="s">
        <v>440</v>
      </c>
      <c r="T302" t="s">
        <v>11</v>
      </c>
      <c r="U302" t="s">
        <v>408</v>
      </c>
    </row>
    <row r="303" spans="1:21" x14ac:dyDescent="0.25">
      <c r="A303">
        <v>8933454</v>
      </c>
      <c r="B303" t="s">
        <v>342</v>
      </c>
      <c r="C303" t="s">
        <v>33</v>
      </c>
      <c r="D303" t="s">
        <v>12</v>
      </c>
      <c r="E303" t="s">
        <v>612</v>
      </c>
      <c r="F303" t="s">
        <v>71</v>
      </c>
      <c r="G303" t="s">
        <v>369</v>
      </c>
      <c r="H303" t="s">
        <v>0</v>
      </c>
      <c r="I303" t="s">
        <v>436</v>
      </c>
      <c r="J303" t="s">
        <v>437</v>
      </c>
      <c r="K303" t="s">
        <v>438</v>
      </c>
      <c r="L303" t="s">
        <v>151</v>
      </c>
      <c r="M303" t="s">
        <v>408</v>
      </c>
      <c r="N303" t="s">
        <v>11</v>
      </c>
      <c r="O303" t="s">
        <v>11</v>
      </c>
      <c r="P303" t="s">
        <v>151</v>
      </c>
      <c r="Q303" t="s">
        <v>408</v>
      </c>
      <c r="R303" t="s">
        <v>439</v>
      </c>
      <c r="S303" t="s">
        <v>440</v>
      </c>
      <c r="T303" t="s">
        <v>11</v>
      </c>
      <c r="U303" t="s">
        <v>408</v>
      </c>
    </row>
    <row r="304" spans="1:21" x14ac:dyDescent="0.25">
      <c r="A304">
        <v>8933460</v>
      </c>
      <c r="B304" t="s">
        <v>340</v>
      </c>
      <c r="C304" t="s">
        <v>26</v>
      </c>
      <c r="D304" t="s">
        <v>12</v>
      </c>
      <c r="E304" t="s">
        <v>612</v>
      </c>
      <c r="F304" t="s">
        <v>71</v>
      </c>
      <c r="G304" t="s">
        <v>369</v>
      </c>
      <c r="H304" t="s">
        <v>2</v>
      </c>
      <c r="I304" t="s">
        <v>436</v>
      </c>
      <c r="J304" t="s">
        <v>443</v>
      </c>
      <c r="K304" t="s">
        <v>444</v>
      </c>
      <c r="L304" t="s">
        <v>5</v>
      </c>
      <c r="M304" t="s">
        <v>408</v>
      </c>
      <c r="N304" t="s">
        <v>11</v>
      </c>
      <c r="O304" t="s">
        <v>11</v>
      </c>
      <c r="P304" t="s">
        <v>151</v>
      </c>
      <c r="Q304" t="s">
        <v>408</v>
      </c>
      <c r="R304" t="s">
        <v>439</v>
      </c>
      <c r="S304" t="s">
        <v>440</v>
      </c>
      <c r="T304" t="s">
        <v>11</v>
      </c>
      <c r="U304" t="s">
        <v>408</v>
      </c>
    </row>
    <row r="305" spans="1:21" x14ac:dyDescent="0.25">
      <c r="A305">
        <v>8933485</v>
      </c>
      <c r="B305" t="s">
        <v>340</v>
      </c>
      <c r="C305" t="s">
        <v>26</v>
      </c>
      <c r="D305" t="s">
        <v>12</v>
      </c>
      <c r="E305" t="s">
        <v>720</v>
      </c>
      <c r="F305" t="s">
        <v>54</v>
      </c>
      <c r="G305" t="s">
        <v>369</v>
      </c>
      <c r="H305" t="s">
        <v>0</v>
      </c>
      <c r="I305" t="s">
        <v>436</v>
      </c>
      <c r="J305" t="s">
        <v>437</v>
      </c>
      <c r="K305" t="s">
        <v>438</v>
      </c>
      <c r="L305" t="s">
        <v>1</v>
      </c>
      <c r="M305" t="s">
        <v>408</v>
      </c>
      <c r="N305" t="s">
        <v>11</v>
      </c>
      <c r="O305" t="s">
        <v>11</v>
      </c>
      <c r="P305" t="s">
        <v>151</v>
      </c>
      <c r="Q305" t="s">
        <v>408</v>
      </c>
      <c r="R305" t="s">
        <v>439</v>
      </c>
      <c r="S305" t="s">
        <v>440</v>
      </c>
      <c r="T305" t="s">
        <v>11</v>
      </c>
      <c r="U305" t="s">
        <v>408</v>
      </c>
    </row>
    <row r="306" spans="1:21" x14ac:dyDescent="0.25">
      <c r="A306">
        <v>8933503</v>
      </c>
      <c r="B306" t="s">
        <v>340</v>
      </c>
      <c r="C306" t="s">
        <v>26</v>
      </c>
      <c r="D306" t="s">
        <v>12</v>
      </c>
      <c r="E306" t="s">
        <v>612</v>
      </c>
      <c r="F306" t="s">
        <v>71</v>
      </c>
      <c r="G306" t="s">
        <v>369</v>
      </c>
      <c r="H306" t="s">
        <v>2</v>
      </c>
      <c r="I306" t="s">
        <v>436</v>
      </c>
      <c r="J306" t="s">
        <v>443</v>
      </c>
      <c r="K306" t="s">
        <v>444</v>
      </c>
      <c r="L306" t="s">
        <v>5</v>
      </c>
      <c r="M306" t="s">
        <v>408</v>
      </c>
      <c r="N306" t="s">
        <v>11</v>
      </c>
      <c r="O306" t="s">
        <v>11</v>
      </c>
      <c r="P306" t="s">
        <v>151</v>
      </c>
      <c r="Q306" t="s">
        <v>408</v>
      </c>
      <c r="R306" t="s">
        <v>439</v>
      </c>
      <c r="S306" t="s">
        <v>440</v>
      </c>
      <c r="T306" t="s">
        <v>11</v>
      </c>
      <c r="U306" t="s">
        <v>408</v>
      </c>
    </row>
    <row r="307" spans="1:21" x14ac:dyDescent="0.25">
      <c r="A307">
        <v>8933506</v>
      </c>
      <c r="B307" t="s">
        <v>340</v>
      </c>
      <c r="C307" t="s">
        <v>26</v>
      </c>
      <c r="D307" t="s">
        <v>18</v>
      </c>
      <c r="E307" t="s">
        <v>720</v>
      </c>
      <c r="F307" t="s">
        <v>54</v>
      </c>
      <c r="G307" t="s">
        <v>369</v>
      </c>
      <c r="H307" t="s">
        <v>1</v>
      </c>
      <c r="I307" t="s">
        <v>469</v>
      </c>
      <c r="J307" t="s">
        <v>445</v>
      </c>
      <c r="K307" t="s">
        <v>438</v>
      </c>
      <c r="L307" t="s">
        <v>2</v>
      </c>
      <c r="M307" t="s">
        <v>408</v>
      </c>
      <c r="N307" t="s">
        <v>11</v>
      </c>
      <c r="O307" t="s">
        <v>11</v>
      </c>
      <c r="P307" t="s">
        <v>151</v>
      </c>
      <c r="Q307" t="s">
        <v>408</v>
      </c>
      <c r="R307" t="s">
        <v>439</v>
      </c>
      <c r="S307" t="s">
        <v>440</v>
      </c>
      <c r="T307" t="s">
        <v>11</v>
      </c>
      <c r="U307" t="s">
        <v>408</v>
      </c>
    </row>
    <row r="308" spans="1:21" x14ac:dyDescent="0.25">
      <c r="A308">
        <v>8933510</v>
      </c>
      <c r="B308" t="s">
        <v>342</v>
      </c>
      <c r="C308" t="s">
        <v>33</v>
      </c>
      <c r="D308" t="s">
        <v>12</v>
      </c>
      <c r="E308" t="s">
        <v>517</v>
      </c>
      <c r="F308" t="s">
        <v>73</v>
      </c>
      <c r="G308" t="s">
        <v>369</v>
      </c>
      <c r="H308" t="s">
        <v>0</v>
      </c>
      <c r="I308" t="s">
        <v>436</v>
      </c>
      <c r="J308" t="s">
        <v>437</v>
      </c>
      <c r="K308" t="s">
        <v>438</v>
      </c>
      <c r="L308" t="s">
        <v>151</v>
      </c>
      <c r="M308" t="s">
        <v>408</v>
      </c>
      <c r="N308" t="s">
        <v>11</v>
      </c>
      <c r="O308" t="s">
        <v>11</v>
      </c>
      <c r="P308" t="s">
        <v>151</v>
      </c>
      <c r="Q308" t="s">
        <v>408</v>
      </c>
      <c r="R308" t="s">
        <v>439</v>
      </c>
      <c r="S308" t="s">
        <v>440</v>
      </c>
      <c r="T308" t="s">
        <v>11</v>
      </c>
      <c r="U308" t="s">
        <v>408</v>
      </c>
    </row>
    <row r="309" spans="1:21" x14ac:dyDescent="0.25">
      <c r="A309">
        <v>8933511</v>
      </c>
      <c r="B309" t="s">
        <v>340</v>
      </c>
      <c r="C309" t="s">
        <v>26</v>
      </c>
      <c r="D309" t="s">
        <v>12</v>
      </c>
      <c r="E309" t="s">
        <v>517</v>
      </c>
      <c r="F309" t="s">
        <v>73</v>
      </c>
      <c r="G309" t="s">
        <v>369</v>
      </c>
      <c r="H309" t="s">
        <v>2</v>
      </c>
      <c r="I309" t="s">
        <v>436</v>
      </c>
      <c r="J309" t="s">
        <v>443</v>
      </c>
      <c r="K309" t="s">
        <v>444</v>
      </c>
      <c r="L309" t="s">
        <v>5</v>
      </c>
      <c r="M309" t="s">
        <v>408</v>
      </c>
      <c r="N309" t="s">
        <v>11</v>
      </c>
      <c r="O309" t="s">
        <v>408</v>
      </c>
      <c r="P309" t="s">
        <v>151</v>
      </c>
      <c r="Q309" t="s">
        <v>408</v>
      </c>
      <c r="R309" t="s">
        <v>439</v>
      </c>
      <c r="S309" t="s">
        <v>440</v>
      </c>
      <c r="T309" t="s">
        <v>11</v>
      </c>
      <c r="U309" t="s">
        <v>408</v>
      </c>
    </row>
    <row r="310" spans="1:21" x14ac:dyDescent="0.25">
      <c r="A310">
        <v>8933513</v>
      </c>
      <c r="B310" t="s">
        <v>342</v>
      </c>
      <c r="C310" t="s">
        <v>33</v>
      </c>
      <c r="D310" t="s">
        <v>12</v>
      </c>
      <c r="E310" t="s">
        <v>517</v>
      </c>
      <c r="F310" t="s">
        <v>73</v>
      </c>
      <c r="G310" t="s">
        <v>369</v>
      </c>
      <c r="H310" t="s">
        <v>0</v>
      </c>
      <c r="I310" t="s">
        <v>436</v>
      </c>
      <c r="J310" t="s">
        <v>437</v>
      </c>
      <c r="K310" t="s">
        <v>438</v>
      </c>
      <c r="L310" t="s">
        <v>151</v>
      </c>
      <c r="M310" t="s">
        <v>408</v>
      </c>
      <c r="N310" t="s">
        <v>11</v>
      </c>
      <c r="O310" t="s">
        <v>11</v>
      </c>
      <c r="P310" t="s">
        <v>151</v>
      </c>
      <c r="Q310" t="s">
        <v>408</v>
      </c>
      <c r="R310" t="s">
        <v>439</v>
      </c>
      <c r="S310" t="s">
        <v>440</v>
      </c>
      <c r="T310" t="s">
        <v>11</v>
      </c>
      <c r="U310" t="s">
        <v>408</v>
      </c>
    </row>
    <row r="311" spans="1:21" x14ac:dyDescent="0.25">
      <c r="A311">
        <v>8933515</v>
      </c>
      <c r="B311" t="s">
        <v>342</v>
      </c>
      <c r="C311" t="s">
        <v>33</v>
      </c>
      <c r="D311" t="s">
        <v>12</v>
      </c>
      <c r="E311" t="s">
        <v>517</v>
      </c>
      <c r="F311" t="s">
        <v>73</v>
      </c>
      <c r="G311" t="s">
        <v>369</v>
      </c>
      <c r="H311" t="s">
        <v>0</v>
      </c>
      <c r="I311" t="s">
        <v>436</v>
      </c>
      <c r="J311" t="s">
        <v>437</v>
      </c>
      <c r="K311" t="s">
        <v>438</v>
      </c>
      <c r="L311" t="s">
        <v>151</v>
      </c>
      <c r="M311" t="s">
        <v>408</v>
      </c>
      <c r="N311" t="s">
        <v>11</v>
      </c>
      <c r="O311" t="s">
        <v>11</v>
      </c>
      <c r="P311" t="s">
        <v>151</v>
      </c>
      <c r="Q311" t="s">
        <v>408</v>
      </c>
      <c r="R311" t="s">
        <v>439</v>
      </c>
      <c r="S311" t="s">
        <v>440</v>
      </c>
      <c r="T311" t="s">
        <v>11</v>
      </c>
      <c r="U311" t="s">
        <v>408</v>
      </c>
    </row>
    <row r="312" spans="1:21" x14ac:dyDescent="0.25">
      <c r="A312">
        <v>8933522</v>
      </c>
      <c r="B312" t="s">
        <v>342</v>
      </c>
      <c r="C312" t="s">
        <v>33</v>
      </c>
      <c r="D312" t="s">
        <v>12</v>
      </c>
      <c r="E312" t="s">
        <v>517</v>
      </c>
      <c r="F312" t="s">
        <v>73</v>
      </c>
      <c r="G312" t="s">
        <v>369</v>
      </c>
      <c r="H312" t="s">
        <v>0</v>
      </c>
      <c r="I312" t="s">
        <v>436</v>
      </c>
      <c r="J312" t="s">
        <v>437</v>
      </c>
      <c r="K312" t="s">
        <v>438</v>
      </c>
      <c r="L312" t="s">
        <v>151</v>
      </c>
      <c r="M312" t="s">
        <v>408</v>
      </c>
      <c r="N312" t="s">
        <v>11</v>
      </c>
      <c r="O312" t="s">
        <v>11</v>
      </c>
      <c r="P312" t="s">
        <v>151</v>
      </c>
      <c r="Q312" t="s">
        <v>408</v>
      </c>
      <c r="R312" t="s">
        <v>439</v>
      </c>
      <c r="S312" t="s">
        <v>440</v>
      </c>
      <c r="T312" t="s">
        <v>11</v>
      </c>
      <c r="U312" t="s">
        <v>408</v>
      </c>
    </row>
    <row r="313" spans="1:21" x14ac:dyDescent="0.25">
      <c r="A313">
        <v>8933525</v>
      </c>
      <c r="B313" t="s">
        <v>342</v>
      </c>
      <c r="C313" t="s">
        <v>33</v>
      </c>
      <c r="D313" t="s">
        <v>24</v>
      </c>
      <c r="E313" t="s">
        <v>613</v>
      </c>
      <c r="F313" t="s">
        <v>90</v>
      </c>
      <c r="G313" t="s">
        <v>369</v>
      </c>
      <c r="H313" t="s">
        <v>0</v>
      </c>
      <c r="I313" t="s">
        <v>436</v>
      </c>
      <c r="J313" t="s">
        <v>437</v>
      </c>
      <c r="K313" t="s">
        <v>438</v>
      </c>
      <c r="L313" t="s">
        <v>151</v>
      </c>
      <c r="M313" t="s">
        <v>408</v>
      </c>
      <c r="N313" t="s">
        <v>11</v>
      </c>
      <c r="O313" t="s">
        <v>408</v>
      </c>
      <c r="P313" t="s">
        <v>151</v>
      </c>
      <c r="Q313" t="s">
        <v>408</v>
      </c>
      <c r="R313" t="s">
        <v>439</v>
      </c>
      <c r="S313" t="s">
        <v>440</v>
      </c>
      <c r="T313" t="s">
        <v>11</v>
      </c>
      <c r="U313" t="s">
        <v>408</v>
      </c>
    </row>
    <row r="314" spans="1:21" x14ac:dyDescent="0.25">
      <c r="A314">
        <v>8933527</v>
      </c>
      <c r="B314" t="s">
        <v>342</v>
      </c>
      <c r="C314" t="s">
        <v>33</v>
      </c>
      <c r="D314" t="s">
        <v>12</v>
      </c>
      <c r="E314" t="s">
        <v>613</v>
      </c>
      <c r="F314" t="s">
        <v>90</v>
      </c>
      <c r="G314" t="s">
        <v>369</v>
      </c>
      <c r="H314" t="s">
        <v>0</v>
      </c>
      <c r="I314" t="s">
        <v>436</v>
      </c>
      <c r="J314" t="s">
        <v>437</v>
      </c>
      <c r="K314" t="s">
        <v>438</v>
      </c>
      <c r="L314" t="s">
        <v>151</v>
      </c>
      <c r="M314" t="s">
        <v>408</v>
      </c>
      <c r="N314" t="s">
        <v>11</v>
      </c>
      <c r="O314" t="s">
        <v>408</v>
      </c>
      <c r="P314" t="s">
        <v>151</v>
      </c>
      <c r="Q314" t="s">
        <v>408</v>
      </c>
      <c r="R314" t="s">
        <v>439</v>
      </c>
      <c r="S314" t="s">
        <v>440</v>
      </c>
      <c r="T314" t="s">
        <v>11</v>
      </c>
      <c r="U314" t="s">
        <v>408</v>
      </c>
    </row>
    <row r="315" spans="1:21" x14ac:dyDescent="0.25">
      <c r="A315">
        <v>8933533</v>
      </c>
      <c r="B315" t="s">
        <v>340</v>
      </c>
      <c r="C315" t="s">
        <v>26</v>
      </c>
      <c r="D315" t="s">
        <v>18</v>
      </c>
      <c r="E315" t="s">
        <v>724</v>
      </c>
      <c r="F315" t="s">
        <v>70</v>
      </c>
      <c r="G315" t="s">
        <v>369</v>
      </c>
      <c r="H315" t="s">
        <v>2</v>
      </c>
      <c r="I315" t="s">
        <v>436</v>
      </c>
      <c r="J315" t="s">
        <v>443</v>
      </c>
      <c r="K315" t="s">
        <v>444</v>
      </c>
      <c r="L315" t="s">
        <v>5</v>
      </c>
      <c r="M315" t="s">
        <v>408</v>
      </c>
      <c r="N315" t="s">
        <v>11</v>
      </c>
      <c r="O315" t="s">
        <v>408</v>
      </c>
      <c r="P315" t="s">
        <v>151</v>
      </c>
      <c r="Q315" t="s">
        <v>408</v>
      </c>
      <c r="R315" t="s">
        <v>439</v>
      </c>
      <c r="S315" t="s">
        <v>440</v>
      </c>
      <c r="T315" t="s">
        <v>11</v>
      </c>
      <c r="U315" t="s">
        <v>408</v>
      </c>
    </row>
    <row r="316" spans="1:21" x14ac:dyDescent="0.25">
      <c r="A316">
        <v>8933563</v>
      </c>
      <c r="B316" t="s">
        <v>342</v>
      </c>
      <c r="C316" t="s">
        <v>33</v>
      </c>
      <c r="D316" t="s">
        <v>12</v>
      </c>
      <c r="E316" t="s">
        <v>610</v>
      </c>
      <c r="F316" t="s">
        <v>214</v>
      </c>
      <c r="G316" t="s">
        <v>369</v>
      </c>
      <c r="H316" t="s">
        <v>0</v>
      </c>
      <c r="I316" t="s">
        <v>436</v>
      </c>
      <c r="J316" t="s">
        <v>437</v>
      </c>
      <c r="K316" t="s">
        <v>438</v>
      </c>
      <c r="L316" t="s">
        <v>1</v>
      </c>
      <c r="M316" t="s">
        <v>408</v>
      </c>
      <c r="N316" t="s">
        <v>11</v>
      </c>
      <c r="O316" t="s">
        <v>11</v>
      </c>
      <c r="P316" t="s">
        <v>1</v>
      </c>
      <c r="Q316" t="s">
        <v>408</v>
      </c>
      <c r="R316" t="s">
        <v>439</v>
      </c>
      <c r="S316" t="s">
        <v>440</v>
      </c>
      <c r="T316" t="s">
        <v>11</v>
      </c>
      <c r="U316" t="s">
        <v>408</v>
      </c>
    </row>
    <row r="317" spans="1:21" x14ac:dyDescent="0.25">
      <c r="A317">
        <v>8933566</v>
      </c>
      <c r="B317" t="s">
        <v>340</v>
      </c>
      <c r="C317" t="s">
        <v>26</v>
      </c>
      <c r="D317" t="s">
        <v>12</v>
      </c>
      <c r="E317" t="s">
        <v>610</v>
      </c>
      <c r="F317" t="s">
        <v>214</v>
      </c>
      <c r="G317" t="s">
        <v>369</v>
      </c>
      <c r="H317" t="s">
        <v>1</v>
      </c>
      <c r="I317" t="s">
        <v>469</v>
      </c>
      <c r="J317" t="s">
        <v>445</v>
      </c>
      <c r="K317" t="s">
        <v>438</v>
      </c>
      <c r="L317" t="s">
        <v>0</v>
      </c>
      <c r="M317" t="s">
        <v>408</v>
      </c>
      <c r="N317" t="s">
        <v>11</v>
      </c>
      <c r="O317" t="s">
        <v>408</v>
      </c>
      <c r="P317" t="s">
        <v>1</v>
      </c>
      <c r="Q317" t="s">
        <v>408</v>
      </c>
      <c r="R317" t="s">
        <v>439</v>
      </c>
      <c r="S317" t="s">
        <v>440</v>
      </c>
      <c r="T317" t="s">
        <v>11</v>
      </c>
      <c r="U317" t="s">
        <v>408</v>
      </c>
    </row>
    <row r="318" spans="1:21" x14ac:dyDescent="0.25">
      <c r="A318">
        <v>8933588</v>
      </c>
      <c r="B318" t="s">
        <v>340</v>
      </c>
      <c r="C318" t="s">
        <v>26</v>
      </c>
      <c r="D318" t="s">
        <v>109</v>
      </c>
      <c r="E318" t="s">
        <v>615</v>
      </c>
      <c r="F318" t="s">
        <v>42</v>
      </c>
      <c r="G318" t="s">
        <v>369</v>
      </c>
      <c r="H318" t="s">
        <v>1</v>
      </c>
      <c r="I318" t="s">
        <v>469</v>
      </c>
      <c r="J318" t="s">
        <v>445</v>
      </c>
      <c r="K318" t="s">
        <v>438</v>
      </c>
      <c r="L318" t="s">
        <v>0</v>
      </c>
      <c r="M318" t="s">
        <v>408</v>
      </c>
      <c r="N318" t="s">
        <v>11</v>
      </c>
      <c r="O318" t="s">
        <v>408</v>
      </c>
      <c r="P318" t="s">
        <v>0</v>
      </c>
      <c r="Q318" t="s">
        <v>408</v>
      </c>
      <c r="R318" t="s">
        <v>439</v>
      </c>
      <c r="S318" t="s">
        <v>440</v>
      </c>
      <c r="T318" t="s">
        <v>11</v>
      </c>
      <c r="U318" t="s">
        <v>408</v>
      </c>
    </row>
    <row r="319" spans="1:21" x14ac:dyDescent="0.25">
      <c r="A319">
        <v>8933589</v>
      </c>
      <c r="B319" t="s">
        <v>340</v>
      </c>
      <c r="C319" t="s">
        <v>26</v>
      </c>
      <c r="D319" t="s">
        <v>12</v>
      </c>
      <c r="E319" t="s">
        <v>615</v>
      </c>
      <c r="F319" t="s">
        <v>42</v>
      </c>
      <c r="G319" t="s">
        <v>369</v>
      </c>
      <c r="H319" t="s">
        <v>1</v>
      </c>
      <c r="I319" t="s">
        <v>469</v>
      </c>
      <c r="J319" t="s">
        <v>445</v>
      </c>
      <c r="K319" t="s">
        <v>438</v>
      </c>
      <c r="L319" t="s">
        <v>0</v>
      </c>
      <c r="M319" t="s">
        <v>408</v>
      </c>
      <c r="N319" t="s">
        <v>11</v>
      </c>
      <c r="O319" t="s">
        <v>11</v>
      </c>
      <c r="P319" t="s">
        <v>0</v>
      </c>
      <c r="Q319" t="s">
        <v>408</v>
      </c>
      <c r="R319" t="s">
        <v>439</v>
      </c>
      <c r="S319" t="s">
        <v>440</v>
      </c>
      <c r="T319" t="s">
        <v>11</v>
      </c>
      <c r="U319" t="s">
        <v>408</v>
      </c>
    </row>
    <row r="320" spans="1:21" x14ac:dyDescent="0.25">
      <c r="A320">
        <v>8933596</v>
      </c>
      <c r="B320" t="s">
        <v>340</v>
      </c>
      <c r="C320" t="s">
        <v>26</v>
      </c>
      <c r="D320" t="s">
        <v>12</v>
      </c>
      <c r="E320" t="s">
        <v>615</v>
      </c>
      <c r="F320" t="s">
        <v>42</v>
      </c>
      <c r="G320" t="s">
        <v>369</v>
      </c>
      <c r="H320" t="s">
        <v>0</v>
      </c>
      <c r="I320" t="s">
        <v>436</v>
      </c>
      <c r="J320" t="s">
        <v>437</v>
      </c>
      <c r="K320" t="s">
        <v>438</v>
      </c>
      <c r="L320" t="s">
        <v>1</v>
      </c>
      <c r="M320" t="s">
        <v>408</v>
      </c>
      <c r="N320" t="s">
        <v>11</v>
      </c>
      <c r="O320" t="s">
        <v>11</v>
      </c>
      <c r="P320" t="s">
        <v>0</v>
      </c>
      <c r="Q320" t="s">
        <v>408</v>
      </c>
      <c r="R320" t="s">
        <v>439</v>
      </c>
      <c r="S320" t="s">
        <v>440</v>
      </c>
      <c r="T320" t="s">
        <v>11</v>
      </c>
      <c r="U320" t="s">
        <v>408</v>
      </c>
    </row>
    <row r="321" spans="1:21" x14ac:dyDescent="0.25">
      <c r="A321">
        <v>8933599</v>
      </c>
      <c r="B321" t="s">
        <v>340</v>
      </c>
      <c r="C321" t="s">
        <v>26</v>
      </c>
      <c r="D321" t="s">
        <v>12</v>
      </c>
      <c r="E321" t="s">
        <v>615</v>
      </c>
      <c r="F321" t="s">
        <v>42</v>
      </c>
      <c r="G321" t="s">
        <v>369</v>
      </c>
      <c r="H321" t="s">
        <v>0</v>
      </c>
      <c r="I321" t="s">
        <v>436</v>
      </c>
      <c r="J321" t="s">
        <v>437</v>
      </c>
      <c r="K321" t="s">
        <v>438</v>
      </c>
      <c r="L321" t="s">
        <v>5</v>
      </c>
      <c r="M321" t="s">
        <v>408</v>
      </c>
      <c r="N321" t="s">
        <v>11</v>
      </c>
      <c r="O321" t="s">
        <v>11</v>
      </c>
      <c r="P321" t="s">
        <v>0</v>
      </c>
      <c r="Q321" t="s">
        <v>408</v>
      </c>
      <c r="R321" t="s">
        <v>439</v>
      </c>
      <c r="S321" t="s">
        <v>440</v>
      </c>
      <c r="T321" t="s">
        <v>11</v>
      </c>
      <c r="U321" t="s">
        <v>408</v>
      </c>
    </row>
    <row r="322" spans="1:21" x14ac:dyDescent="0.25">
      <c r="A322">
        <v>8935707</v>
      </c>
      <c r="B322" t="s">
        <v>340</v>
      </c>
      <c r="C322" t="s">
        <v>26</v>
      </c>
      <c r="D322" t="s">
        <v>12</v>
      </c>
      <c r="E322" t="s">
        <v>723</v>
      </c>
      <c r="F322" t="s">
        <v>137</v>
      </c>
      <c r="G322" t="s">
        <v>369</v>
      </c>
      <c r="H322" t="s">
        <v>9</v>
      </c>
      <c r="I322" t="s">
        <v>611</v>
      </c>
      <c r="J322" t="s">
        <v>452</v>
      </c>
      <c r="K322" t="s">
        <v>462</v>
      </c>
      <c r="L322" t="s">
        <v>0</v>
      </c>
      <c r="M322" t="s">
        <v>408</v>
      </c>
      <c r="N322" t="s">
        <v>11</v>
      </c>
      <c r="O322" t="s">
        <v>408</v>
      </c>
      <c r="P322" t="s">
        <v>341</v>
      </c>
      <c r="Q322" t="s">
        <v>408</v>
      </c>
      <c r="R322" t="s">
        <v>439</v>
      </c>
      <c r="S322" t="s">
        <v>451</v>
      </c>
      <c r="T322" t="s">
        <v>11</v>
      </c>
      <c r="U322" t="s">
        <v>408</v>
      </c>
    </row>
    <row r="323" spans="1:21" x14ac:dyDescent="0.25">
      <c r="A323">
        <v>8935710</v>
      </c>
      <c r="B323" t="s">
        <v>340</v>
      </c>
      <c r="C323" t="s">
        <v>26</v>
      </c>
      <c r="D323" t="s">
        <v>18</v>
      </c>
      <c r="E323" t="s">
        <v>719</v>
      </c>
      <c r="F323" t="s">
        <v>110</v>
      </c>
      <c r="G323" t="s">
        <v>369</v>
      </c>
      <c r="H323" t="s">
        <v>0</v>
      </c>
      <c r="I323" t="s">
        <v>436</v>
      </c>
      <c r="J323" t="s">
        <v>437</v>
      </c>
      <c r="K323" t="s">
        <v>438</v>
      </c>
      <c r="L323" t="s">
        <v>4</v>
      </c>
      <c r="M323" t="s">
        <v>408</v>
      </c>
      <c r="N323" t="s">
        <v>11</v>
      </c>
      <c r="O323" t="s">
        <v>11</v>
      </c>
      <c r="P323" t="s">
        <v>341</v>
      </c>
      <c r="Q323" t="s">
        <v>408</v>
      </c>
      <c r="R323" t="s">
        <v>439</v>
      </c>
      <c r="S323" t="s">
        <v>440</v>
      </c>
      <c r="T323" t="s">
        <v>11</v>
      </c>
      <c r="U323" t="s">
        <v>408</v>
      </c>
    </row>
    <row r="324" spans="1:21" x14ac:dyDescent="0.25">
      <c r="A324">
        <v>8935721</v>
      </c>
      <c r="B324" t="s">
        <v>340</v>
      </c>
      <c r="C324" t="s">
        <v>26</v>
      </c>
      <c r="D324" t="s">
        <v>12</v>
      </c>
      <c r="E324" t="s">
        <v>610</v>
      </c>
      <c r="F324" t="s">
        <v>214</v>
      </c>
      <c r="G324" t="s">
        <v>369</v>
      </c>
      <c r="H324" t="s">
        <v>0</v>
      </c>
      <c r="I324" t="s">
        <v>436</v>
      </c>
      <c r="J324" t="s">
        <v>437</v>
      </c>
      <c r="K324" t="s">
        <v>438</v>
      </c>
      <c r="L324" t="s">
        <v>1</v>
      </c>
      <c r="M324" t="s">
        <v>408</v>
      </c>
      <c r="N324" t="s">
        <v>11</v>
      </c>
      <c r="O324" t="s">
        <v>408</v>
      </c>
      <c r="P324" t="s">
        <v>341</v>
      </c>
      <c r="Q324" t="s">
        <v>408</v>
      </c>
      <c r="R324" t="s">
        <v>439</v>
      </c>
      <c r="S324" t="s">
        <v>440</v>
      </c>
      <c r="T324" t="s">
        <v>11</v>
      </c>
      <c r="U324" t="s">
        <v>408</v>
      </c>
    </row>
    <row r="325" spans="1:21" x14ac:dyDescent="0.25">
      <c r="A325">
        <v>8935725</v>
      </c>
      <c r="B325" t="s">
        <v>340</v>
      </c>
      <c r="C325" t="s">
        <v>26</v>
      </c>
      <c r="D325" t="s">
        <v>18</v>
      </c>
      <c r="E325" t="s">
        <v>610</v>
      </c>
      <c r="F325" t="s">
        <v>214</v>
      </c>
      <c r="G325" t="s">
        <v>369</v>
      </c>
      <c r="H325" t="s">
        <v>1</v>
      </c>
      <c r="I325" t="s">
        <v>469</v>
      </c>
      <c r="J325" t="s">
        <v>445</v>
      </c>
      <c r="K325" t="s">
        <v>438</v>
      </c>
      <c r="L325" t="s">
        <v>0</v>
      </c>
      <c r="M325" t="s">
        <v>408</v>
      </c>
      <c r="N325" t="s">
        <v>11</v>
      </c>
      <c r="O325" t="s">
        <v>408</v>
      </c>
      <c r="P325" t="s">
        <v>341</v>
      </c>
      <c r="Q325" t="s">
        <v>408</v>
      </c>
      <c r="R325" t="s">
        <v>439</v>
      </c>
      <c r="S325" t="s">
        <v>440</v>
      </c>
      <c r="T325" t="s">
        <v>11</v>
      </c>
      <c r="U325" t="s">
        <v>408</v>
      </c>
    </row>
    <row r="326" spans="1:21" x14ac:dyDescent="0.25">
      <c r="A326">
        <v>8935744</v>
      </c>
      <c r="B326" t="s">
        <v>340</v>
      </c>
      <c r="C326" t="s">
        <v>26</v>
      </c>
      <c r="D326" t="s">
        <v>18</v>
      </c>
      <c r="E326" t="s">
        <v>719</v>
      </c>
      <c r="F326" t="s">
        <v>110</v>
      </c>
      <c r="G326" t="s">
        <v>369</v>
      </c>
      <c r="H326" t="s">
        <v>0</v>
      </c>
      <c r="I326" t="s">
        <v>436</v>
      </c>
      <c r="J326" t="s">
        <v>437</v>
      </c>
      <c r="K326" t="s">
        <v>438</v>
      </c>
      <c r="L326" t="s">
        <v>2</v>
      </c>
      <c r="M326" t="s">
        <v>408</v>
      </c>
      <c r="N326" t="s">
        <v>11</v>
      </c>
      <c r="O326" t="s">
        <v>408</v>
      </c>
      <c r="P326" t="s">
        <v>341</v>
      </c>
      <c r="Q326" t="s">
        <v>408</v>
      </c>
      <c r="R326" t="s">
        <v>439</v>
      </c>
      <c r="S326" t="s">
        <v>440</v>
      </c>
      <c r="T326" t="s">
        <v>11</v>
      </c>
      <c r="U326" t="s">
        <v>408</v>
      </c>
    </row>
    <row r="327" spans="1:21" x14ac:dyDescent="0.25">
      <c r="A327">
        <v>8935754</v>
      </c>
      <c r="B327" t="s">
        <v>340</v>
      </c>
      <c r="C327" t="s">
        <v>26</v>
      </c>
      <c r="D327" t="s">
        <v>79</v>
      </c>
      <c r="E327" t="s">
        <v>719</v>
      </c>
      <c r="F327" t="s">
        <v>110</v>
      </c>
      <c r="G327" t="s">
        <v>369</v>
      </c>
      <c r="H327" t="s">
        <v>0</v>
      </c>
      <c r="I327" t="s">
        <v>436</v>
      </c>
      <c r="J327" t="s">
        <v>437</v>
      </c>
      <c r="K327" t="s">
        <v>438</v>
      </c>
      <c r="L327" t="s">
        <v>5</v>
      </c>
      <c r="M327" t="s">
        <v>408</v>
      </c>
      <c r="N327" t="s">
        <v>11</v>
      </c>
      <c r="O327" t="s">
        <v>11</v>
      </c>
      <c r="P327" t="s">
        <v>341</v>
      </c>
      <c r="Q327" t="s">
        <v>408</v>
      </c>
      <c r="R327" t="s">
        <v>439</v>
      </c>
      <c r="S327" t="s">
        <v>440</v>
      </c>
      <c r="T327" t="s">
        <v>11</v>
      </c>
      <c r="U327" t="s">
        <v>408</v>
      </c>
    </row>
    <row r="328" spans="1:21" x14ac:dyDescent="0.25">
      <c r="A328">
        <v>8935766</v>
      </c>
      <c r="B328" t="s">
        <v>340</v>
      </c>
      <c r="C328" t="s">
        <v>26</v>
      </c>
      <c r="D328" t="s">
        <v>79</v>
      </c>
      <c r="E328" t="s">
        <v>723</v>
      </c>
      <c r="F328" t="s">
        <v>137</v>
      </c>
      <c r="G328" t="s">
        <v>369</v>
      </c>
      <c r="H328" t="s">
        <v>2</v>
      </c>
      <c r="I328" t="s">
        <v>436</v>
      </c>
      <c r="J328" t="s">
        <v>443</v>
      </c>
      <c r="K328" t="s">
        <v>444</v>
      </c>
      <c r="L328" t="s">
        <v>5</v>
      </c>
      <c r="M328" t="s">
        <v>408</v>
      </c>
      <c r="N328" t="s">
        <v>11</v>
      </c>
      <c r="O328" t="s">
        <v>408</v>
      </c>
      <c r="P328" t="s">
        <v>341</v>
      </c>
      <c r="Q328" t="s">
        <v>408</v>
      </c>
      <c r="R328" t="s">
        <v>439</v>
      </c>
      <c r="S328" t="s">
        <v>440</v>
      </c>
      <c r="T328" t="s">
        <v>11</v>
      </c>
      <c r="U328" t="s">
        <v>408</v>
      </c>
    </row>
    <row r="329" spans="1:21" x14ac:dyDescent="0.25">
      <c r="A329">
        <v>8935771</v>
      </c>
      <c r="B329" t="s">
        <v>340</v>
      </c>
      <c r="C329" t="s">
        <v>26</v>
      </c>
      <c r="D329" t="s">
        <v>12</v>
      </c>
      <c r="E329" t="s">
        <v>610</v>
      </c>
      <c r="F329" t="s">
        <v>214</v>
      </c>
      <c r="G329" t="s">
        <v>369</v>
      </c>
      <c r="H329" t="s">
        <v>370</v>
      </c>
      <c r="I329" t="s">
        <v>721</v>
      </c>
      <c r="J329" t="s">
        <v>455</v>
      </c>
      <c r="K329" t="s">
        <v>453</v>
      </c>
      <c r="L329" t="s">
        <v>367</v>
      </c>
      <c r="M329" t="s">
        <v>408</v>
      </c>
      <c r="N329" t="s">
        <v>11</v>
      </c>
      <c r="O329" t="s">
        <v>11</v>
      </c>
      <c r="P329" t="s">
        <v>341</v>
      </c>
      <c r="Q329" t="s">
        <v>408</v>
      </c>
      <c r="R329" t="s">
        <v>439</v>
      </c>
      <c r="S329" t="s">
        <v>451</v>
      </c>
      <c r="T329" t="s">
        <v>11</v>
      </c>
      <c r="U329" t="s">
        <v>408</v>
      </c>
    </row>
    <row r="330" spans="1:21" x14ac:dyDescent="0.25">
      <c r="A330">
        <v>8935776</v>
      </c>
      <c r="B330" t="s">
        <v>340</v>
      </c>
      <c r="C330" t="s">
        <v>26</v>
      </c>
      <c r="D330" t="s">
        <v>79</v>
      </c>
      <c r="E330" t="s">
        <v>522</v>
      </c>
      <c r="F330" t="s">
        <v>136</v>
      </c>
      <c r="G330" t="s">
        <v>369</v>
      </c>
      <c r="H330" t="s">
        <v>2</v>
      </c>
      <c r="I330" t="s">
        <v>436</v>
      </c>
      <c r="J330" t="s">
        <v>443</v>
      </c>
      <c r="K330" t="s">
        <v>444</v>
      </c>
      <c r="L330" t="s">
        <v>341</v>
      </c>
      <c r="M330" t="s">
        <v>408</v>
      </c>
      <c r="N330" t="s">
        <v>11</v>
      </c>
      <c r="O330" t="s">
        <v>11</v>
      </c>
      <c r="P330" t="s">
        <v>341</v>
      </c>
      <c r="Q330" t="s">
        <v>408</v>
      </c>
      <c r="R330" t="s">
        <v>439</v>
      </c>
      <c r="S330" t="s">
        <v>440</v>
      </c>
      <c r="T330" t="s">
        <v>11</v>
      </c>
      <c r="U330" t="s">
        <v>408</v>
      </c>
    </row>
    <row r="331" spans="1:21" x14ac:dyDescent="0.25">
      <c r="A331">
        <v>8935783</v>
      </c>
      <c r="B331" t="s">
        <v>340</v>
      </c>
      <c r="C331" t="s">
        <v>26</v>
      </c>
      <c r="D331" t="s">
        <v>79</v>
      </c>
      <c r="E331" t="s">
        <v>610</v>
      </c>
      <c r="F331" t="s">
        <v>214</v>
      </c>
      <c r="G331" t="s">
        <v>369</v>
      </c>
      <c r="H331" t="s">
        <v>0</v>
      </c>
      <c r="I331" t="s">
        <v>436</v>
      </c>
      <c r="J331" t="s">
        <v>437</v>
      </c>
      <c r="K331" t="s">
        <v>438</v>
      </c>
      <c r="L331" t="s">
        <v>5</v>
      </c>
      <c r="M331" t="s">
        <v>408</v>
      </c>
      <c r="N331" t="s">
        <v>11</v>
      </c>
      <c r="O331" t="s">
        <v>11</v>
      </c>
      <c r="P331" t="s">
        <v>347</v>
      </c>
      <c r="Q331" t="s">
        <v>408</v>
      </c>
      <c r="R331" t="s">
        <v>439</v>
      </c>
      <c r="S331" t="s">
        <v>440</v>
      </c>
      <c r="T331" t="s">
        <v>11</v>
      </c>
      <c r="U331" t="s">
        <v>408</v>
      </c>
    </row>
    <row r="332" spans="1:21" x14ac:dyDescent="0.25">
      <c r="A332">
        <v>8935787</v>
      </c>
      <c r="B332" t="s">
        <v>340</v>
      </c>
      <c r="C332" t="s">
        <v>26</v>
      </c>
      <c r="D332" t="s">
        <v>79</v>
      </c>
      <c r="E332" t="s">
        <v>719</v>
      </c>
      <c r="F332" t="s">
        <v>110</v>
      </c>
      <c r="G332" t="s">
        <v>369</v>
      </c>
      <c r="H332" t="s">
        <v>1</v>
      </c>
      <c r="I332" t="s">
        <v>469</v>
      </c>
      <c r="J332" t="s">
        <v>445</v>
      </c>
      <c r="K332" t="s">
        <v>438</v>
      </c>
      <c r="L332" t="s">
        <v>2</v>
      </c>
      <c r="M332" t="s">
        <v>408</v>
      </c>
      <c r="N332" t="s">
        <v>11</v>
      </c>
      <c r="O332" t="s">
        <v>11</v>
      </c>
      <c r="P332" t="s">
        <v>347</v>
      </c>
      <c r="Q332" t="s">
        <v>408</v>
      </c>
      <c r="R332" t="s">
        <v>439</v>
      </c>
      <c r="S332" t="s">
        <v>440</v>
      </c>
      <c r="T332" t="s">
        <v>11</v>
      </c>
      <c r="U332" t="s">
        <v>408</v>
      </c>
    </row>
    <row r="333" spans="1:21" x14ac:dyDescent="0.25">
      <c r="A333">
        <v>8935792</v>
      </c>
      <c r="B333" t="s">
        <v>340</v>
      </c>
      <c r="C333" t="s">
        <v>26</v>
      </c>
      <c r="D333" t="s">
        <v>12</v>
      </c>
      <c r="E333" t="s">
        <v>719</v>
      </c>
      <c r="F333" t="s">
        <v>110</v>
      </c>
      <c r="G333" t="s">
        <v>369</v>
      </c>
      <c r="H333" t="s">
        <v>0</v>
      </c>
      <c r="I333" t="s">
        <v>436</v>
      </c>
      <c r="J333" t="s">
        <v>437</v>
      </c>
      <c r="K333" t="s">
        <v>438</v>
      </c>
      <c r="L333" t="s">
        <v>5</v>
      </c>
      <c r="M333" t="s">
        <v>408</v>
      </c>
      <c r="N333" t="s">
        <v>11</v>
      </c>
      <c r="O333" t="s">
        <v>11</v>
      </c>
      <c r="P333" t="s">
        <v>347</v>
      </c>
      <c r="Q333" t="s">
        <v>408</v>
      </c>
      <c r="R333" t="s">
        <v>439</v>
      </c>
      <c r="S333" t="s">
        <v>440</v>
      </c>
      <c r="T333" t="s">
        <v>11</v>
      </c>
      <c r="U333" t="s">
        <v>408</v>
      </c>
    </row>
    <row r="334" spans="1:21" x14ac:dyDescent="0.25">
      <c r="A334">
        <v>8935794</v>
      </c>
      <c r="B334" t="s">
        <v>340</v>
      </c>
      <c r="C334" t="s">
        <v>26</v>
      </c>
      <c r="D334" t="s">
        <v>12</v>
      </c>
      <c r="E334" t="s">
        <v>719</v>
      </c>
      <c r="F334" t="s">
        <v>110</v>
      </c>
      <c r="G334" t="s">
        <v>369</v>
      </c>
      <c r="H334" t="s">
        <v>0</v>
      </c>
      <c r="I334" t="s">
        <v>436</v>
      </c>
      <c r="J334" t="s">
        <v>437</v>
      </c>
      <c r="K334" t="s">
        <v>438</v>
      </c>
      <c r="L334" t="s">
        <v>1</v>
      </c>
      <c r="M334" t="s">
        <v>408</v>
      </c>
      <c r="N334" t="s">
        <v>11</v>
      </c>
      <c r="O334" t="s">
        <v>11</v>
      </c>
      <c r="P334" t="s">
        <v>347</v>
      </c>
      <c r="Q334" t="s">
        <v>408</v>
      </c>
      <c r="R334" t="s">
        <v>439</v>
      </c>
      <c r="S334" t="s">
        <v>440</v>
      </c>
      <c r="T334" t="s">
        <v>11</v>
      </c>
      <c r="U334" t="s">
        <v>408</v>
      </c>
    </row>
    <row r="335" spans="1:21" x14ac:dyDescent="0.25">
      <c r="A335">
        <v>8935817</v>
      </c>
      <c r="B335" t="s">
        <v>340</v>
      </c>
      <c r="C335" t="s">
        <v>26</v>
      </c>
      <c r="D335" t="s">
        <v>79</v>
      </c>
      <c r="E335" t="s">
        <v>719</v>
      </c>
      <c r="F335" t="s">
        <v>110</v>
      </c>
      <c r="G335" t="s">
        <v>369</v>
      </c>
      <c r="H335" t="s">
        <v>2</v>
      </c>
      <c r="I335" t="s">
        <v>436</v>
      </c>
      <c r="J335" t="s">
        <v>443</v>
      </c>
      <c r="K335" t="s">
        <v>444</v>
      </c>
      <c r="L335" t="s">
        <v>347</v>
      </c>
      <c r="M335" t="s">
        <v>408</v>
      </c>
      <c r="N335" t="s">
        <v>11</v>
      </c>
      <c r="O335" t="s">
        <v>11</v>
      </c>
      <c r="P335" t="s">
        <v>347</v>
      </c>
      <c r="Q335" t="s">
        <v>408</v>
      </c>
      <c r="R335" t="s">
        <v>439</v>
      </c>
      <c r="S335" t="s">
        <v>440</v>
      </c>
      <c r="T335" t="s">
        <v>11</v>
      </c>
      <c r="U335" t="s">
        <v>408</v>
      </c>
    </row>
    <row r="336" spans="1:21" x14ac:dyDescent="0.25">
      <c r="A336">
        <v>8935825</v>
      </c>
      <c r="B336" t="s">
        <v>340</v>
      </c>
      <c r="C336" t="s">
        <v>26</v>
      </c>
      <c r="D336" t="s">
        <v>12</v>
      </c>
      <c r="E336" t="s">
        <v>719</v>
      </c>
      <c r="F336" t="s">
        <v>110</v>
      </c>
      <c r="G336" t="s">
        <v>369</v>
      </c>
      <c r="H336" t="s">
        <v>2</v>
      </c>
      <c r="I336" t="s">
        <v>436</v>
      </c>
      <c r="J336" t="s">
        <v>443</v>
      </c>
      <c r="K336" t="s">
        <v>444</v>
      </c>
      <c r="L336" t="s">
        <v>347</v>
      </c>
      <c r="M336" t="s">
        <v>408</v>
      </c>
      <c r="N336" t="s">
        <v>11</v>
      </c>
      <c r="O336" t="s">
        <v>11</v>
      </c>
      <c r="P336" t="s">
        <v>347</v>
      </c>
      <c r="Q336" t="s">
        <v>408</v>
      </c>
      <c r="R336" t="s">
        <v>439</v>
      </c>
      <c r="S336" t="s">
        <v>440</v>
      </c>
      <c r="T336" t="s">
        <v>11</v>
      </c>
      <c r="U336" t="s">
        <v>408</v>
      </c>
    </row>
    <row r="337" spans="1:21" x14ac:dyDescent="0.25">
      <c r="A337">
        <v>8935853</v>
      </c>
      <c r="B337" t="s">
        <v>340</v>
      </c>
      <c r="C337" t="s">
        <v>26</v>
      </c>
      <c r="D337" t="s">
        <v>109</v>
      </c>
      <c r="E337" t="s">
        <v>522</v>
      </c>
      <c r="F337" t="s">
        <v>136</v>
      </c>
      <c r="G337" t="s">
        <v>369</v>
      </c>
      <c r="H337" t="s">
        <v>0</v>
      </c>
      <c r="I337" t="s">
        <v>436</v>
      </c>
      <c r="J337" t="s">
        <v>437</v>
      </c>
      <c r="K337" t="s">
        <v>438</v>
      </c>
      <c r="L337" t="s">
        <v>347</v>
      </c>
      <c r="M337" t="s">
        <v>408</v>
      </c>
      <c r="N337" t="s">
        <v>11</v>
      </c>
      <c r="O337" t="s">
        <v>11</v>
      </c>
      <c r="P337" t="s">
        <v>347</v>
      </c>
      <c r="Q337" t="s">
        <v>408</v>
      </c>
      <c r="R337" t="s">
        <v>439</v>
      </c>
      <c r="S337" t="s">
        <v>440</v>
      </c>
      <c r="T337" t="s">
        <v>11</v>
      </c>
      <c r="U337" t="s">
        <v>408</v>
      </c>
    </row>
    <row r="338" spans="1:21" x14ac:dyDescent="0.25">
      <c r="A338">
        <v>8935863</v>
      </c>
      <c r="B338" t="s">
        <v>340</v>
      </c>
      <c r="C338" t="s">
        <v>26</v>
      </c>
      <c r="D338" t="s">
        <v>18</v>
      </c>
      <c r="E338" t="s">
        <v>720</v>
      </c>
      <c r="F338" t="s">
        <v>54</v>
      </c>
      <c r="G338" t="s">
        <v>369</v>
      </c>
      <c r="H338" t="s">
        <v>2</v>
      </c>
      <c r="I338" t="s">
        <v>436</v>
      </c>
      <c r="J338" t="s">
        <v>443</v>
      </c>
      <c r="K338" t="s">
        <v>444</v>
      </c>
      <c r="L338" t="s">
        <v>0</v>
      </c>
      <c r="M338" t="s">
        <v>408</v>
      </c>
      <c r="N338" t="s">
        <v>11</v>
      </c>
      <c r="O338" t="s">
        <v>11</v>
      </c>
      <c r="P338" t="s">
        <v>347</v>
      </c>
      <c r="Q338" t="s">
        <v>408</v>
      </c>
      <c r="R338" t="s">
        <v>439</v>
      </c>
      <c r="S338" t="s">
        <v>440</v>
      </c>
      <c r="T338" t="s">
        <v>11</v>
      </c>
      <c r="U338" t="s">
        <v>408</v>
      </c>
    </row>
    <row r="339" spans="1:21" x14ac:dyDescent="0.25">
      <c r="A339">
        <v>8935869</v>
      </c>
      <c r="B339" t="s">
        <v>342</v>
      </c>
      <c r="C339" t="s">
        <v>33</v>
      </c>
      <c r="D339" t="s">
        <v>12</v>
      </c>
      <c r="E339" t="s">
        <v>612</v>
      </c>
      <c r="F339" t="s">
        <v>71</v>
      </c>
      <c r="G339" t="s">
        <v>369</v>
      </c>
      <c r="H339" t="s">
        <v>0</v>
      </c>
      <c r="I339" t="s">
        <v>436</v>
      </c>
      <c r="J339" t="s">
        <v>437</v>
      </c>
      <c r="K339" t="s">
        <v>438</v>
      </c>
      <c r="L339" t="s">
        <v>347</v>
      </c>
      <c r="M339" t="s">
        <v>408</v>
      </c>
      <c r="N339" t="s">
        <v>11</v>
      </c>
      <c r="O339" t="s">
        <v>11</v>
      </c>
      <c r="P339" t="s">
        <v>347</v>
      </c>
      <c r="Q339" t="s">
        <v>408</v>
      </c>
      <c r="R339" t="s">
        <v>439</v>
      </c>
      <c r="S339" t="s">
        <v>440</v>
      </c>
      <c r="T339" t="s">
        <v>11</v>
      </c>
      <c r="U339" t="s">
        <v>408</v>
      </c>
    </row>
    <row r="340" spans="1:21" x14ac:dyDescent="0.25">
      <c r="A340">
        <v>8937507</v>
      </c>
      <c r="B340" t="s">
        <v>340</v>
      </c>
      <c r="C340" t="s">
        <v>26</v>
      </c>
      <c r="D340" t="s">
        <v>12</v>
      </c>
      <c r="E340" t="s">
        <v>612</v>
      </c>
      <c r="F340" t="s">
        <v>72</v>
      </c>
      <c r="G340" t="s">
        <v>369</v>
      </c>
      <c r="H340" t="s">
        <v>5</v>
      </c>
      <c r="I340" t="s">
        <v>436</v>
      </c>
      <c r="J340" t="s">
        <v>446</v>
      </c>
      <c r="K340" t="s">
        <v>438</v>
      </c>
      <c r="L340" t="s">
        <v>2</v>
      </c>
      <c r="M340" t="s">
        <v>408</v>
      </c>
      <c r="N340" t="s">
        <v>11</v>
      </c>
      <c r="O340" t="s">
        <v>11</v>
      </c>
      <c r="P340" t="s">
        <v>350</v>
      </c>
      <c r="Q340" t="s">
        <v>408</v>
      </c>
      <c r="R340" t="s">
        <v>439</v>
      </c>
      <c r="S340" t="s">
        <v>440</v>
      </c>
      <c r="T340" t="s">
        <v>11</v>
      </c>
      <c r="U340" t="s">
        <v>408</v>
      </c>
    </row>
    <row r="341" spans="1:21" x14ac:dyDescent="0.25">
      <c r="A341">
        <v>8937521</v>
      </c>
      <c r="B341" t="s">
        <v>340</v>
      </c>
      <c r="C341" t="s">
        <v>26</v>
      </c>
      <c r="D341" t="s">
        <v>12</v>
      </c>
      <c r="E341" t="s">
        <v>720</v>
      </c>
      <c r="F341" t="s">
        <v>54</v>
      </c>
      <c r="G341" t="s">
        <v>369</v>
      </c>
      <c r="H341" t="s">
        <v>2</v>
      </c>
      <c r="I341" t="s">
        <v>436</v>
      </c>
      <c r="J341" t="s">
        <v>443</v>
      </c>
      <c r="K341" t="s">
        <v>444</v>
      </c>
      <c r="L341" t="s">
        <v>5</v>
      </c>
      <c r="M341" t="s">
        <v>408</v>
      </c>
      <c r="N341" t="s">
        <v>11</v>
      </c>
      <c r="O341" t="s">
        <v>408</v>
      </c>
      <c r="P341" t="s">
        <v>350</v>
      </c>
      <c r="Q341" t="s">
        <v>408</v>
      </c>
      <c r="R341" t="s">
        <v>439</v>
      </c>
      <c r="S341" t="s">
        <v>440</v>
      </c>
      <c r="T341" t="s">
        <v>11</v>
      </c>
      <c r="U341" t="s">
        <v>408</v>
      </c>
    </row>
    <row r="342" spans="1:21" x14ac:dyDescent="0.25">
      <c r="A342">
        <v>8937525</v>
      </c>
      <c r="B342" t="s">
        <v>340</v>
      </c>
      <c r="C342" t="s">
        <v>26</v>
      </c>
      <c r="D342" t="s">
        <v>18</v>
      </c>
      <c r="E342" t="s">
        <v>720</v>
      </c>
      <c r="F342" t="s">
        <v>54</v>
      </c>
      <c r="G342" t="s">
        <v>369</v>
      </c>
      <c r="H342" t="s">
        <v>0</v>
      </c>
      <c r="I342" t="s">
        <v>436</v>
      </c>
      <c r="J342" t="s">
        <v>437</v>
      </c>
      <c r="K342" t="s">
        <v>438</v>
      </c>
      <c r="L342" t="s">
        <v>0</v>
      </c>
      <c r="M342" t="s">
        <v>408</v>
      </c>
      <c r="N342" t="s">
        <v>11</v>
      </c>
      <c r="O342" t="s">
        <v>408</v>
      </c>
      <c r="P342" t="s">
        <v>350</v>
      </c>
      <c r="Q342" t="s">
        <v>408</v>
      </c>
      <c r="R342" t="s">
        <v>439</v>
      </c>
      <c r="S342" t="s">
        <v>440</v>
      </c>
      <c r="T342" t="s">
        <v>11</v>
      </c>
      <c r="U342" t="s">
        <v>408</v>
      </c>
    </row>
    <row r="343" spans="1:21" x14ac:dyDescent="0.25">
      <c r="A343">
        <v>8937526</v>
      </c>
      <c r="B343" t="s">
        <v>340</v>
      </c>
      <c r="C343" t="s">
        <v>26</v>
      </c>
      <c r="D343" t="s">
        <v>12</v>
      </c>
      <c r="E343" t="s">
        <v>612</v>
      </c>
      <c r="F343" t="s">
        <v>72</v>
      </c>
      <c r="G343" t="s">
        <v>369</v>
      </c>
      <c r="H343" t="s">
        <v>0</v>
      </c>
      <c r="I343" t="s">
        <v>436</v>
      </c>
      <c r="J343" t="s">
        <v>437</v>
      </c>
      <c r="K343" t="s">
        <v>438</v>
      </c>
      <c r="L343" t="s">
        <v>0</v>
      </c>
      <c r="M343" t="s">
        <v>408</v>
      </c>
      <c r="N343" t="s">
        <v>11</v>
      </c>
      <c r="O343" t="s">
        <v>408</v>
      </c>
      <c r="P343" t="s">
        <v>350</v>
      </c>
      <c r="Q343" t="s">
        <v>408</v>
      </c>
      <c r="R343" t="s">
        <v>439</v>
      </c>
      <c r="S343" t="s">
        <v>440</v>
      </c>
      <c r="T343" t="s">
        <v>11</v>
      </c>
      <c r="U343" t="s">
        <v>408</v>
      </c>
    </row>
    <row r="344" spans="1:21" x14ac:dyDescent="0.25">
      <c r="A344">
        <v>8937542</v>
      </c>
      <c r="B344" t="s">
        <v>340</v>
      </c>
      <c r="C344" t="s">
        <v>26</v>
      </c>
      <c r="D344" t="s">
        <v>12</v>
      </c>
      <c r="E344" t="s">
        <v>720</v>
      </c>
      <c r="F344" t="s">
        <v>54</v>
      </c>
      <c r="G344" t="s">
        <v>369</v>
      </c>
      <c r="H344" t="s">
        <v>0</v>
      </c>
      <c r="I344" t="s">
        <v>436</v>
      </c>
      <c r="J344" t="s">
        <v>437</v>
      </c>
      <c r="K344" t="s">
        <v>438</v>
      </c>
      <c r="L344" t="s">
        <v>2</v>
      </c>
      <c r="M344" t="s">
        <v>408</v>
      </c>
      <c r="N344" t="s">
        <v>11</v>
      </c>
      <c r="O344" t="s">
        <v>408</v>
      </c>
      <c r="P344" t="s">
        <v>350</v>
      </c>
      <c r="Q344" t="s">
        <v>408</v>
      </c>
      <c r="R344" t="s">
        <v>439</v>
      </c>
      <c r="S344" t="s">
        <v>440</v>
      </c>
      <c r="T344" t="s">
        <v>11</v>
      </c>
      <c r="U344" t="s">
        <v>408</v>
      </c>
    </row>
    <row r="345" spans="1:21" x14ac:dyDescent="0.25">
      <c r="A345">
        <v>8937548</v>
      </c>
      <c r="B345" t="s">
        <v>340</v>
      </c>
      <c r="C345" t="s">
        <v>26</v>
      </c>
      <c r="D345" t="s">
        <v>12</v>
      </c>
      <c r="E345" t="s">
        <v>720</v>
      </c>
      <c r="F345" t="s">
        <v>91</v>
      </c>
      <c r="G345" t="s">
        <v>369</v>
      </c>
      <c r="H345" t="s">
        <v>0</v>
      </c>
      <c r="I345" t="s">
        <v>436</v>
      </c>
      <c r="J345" t="s">
        <v>437</v>
      </c>
      <c r="K345" t="s">
        <v>438</v>
      </c>
      <c r="L345" t="s">
        <v>350</v>
      </c>
      <c r="M345" t="s">
        <v>408</v>
      </c>
      <c r="N345" t="s">
        <v>11</v>
      </c>
      <c r="O345" t="s">
        <v>11</v>
      </c>
      <c r="P345" t="s">
        <v>350</v>
      </c>
      <c r="Q345" t="s">
        <v>408</v>
      </c>
      <c r="R345" t="s">
        <v>439</v>
      </c>
      <c r="S345" t="s">
        <v>440</v>
      </c>
      <c r="T345" t="s">
        <v>11</v>
      </c>
      <c r="U345" t="s">
        <v>408</v>
      </c>
    </row>
    <row r="346" spans="1:21" x14ac:dyDescent="0.25">
      <c r="A346">
        <v>8937552</v>
      </c>
      <c r="B346" t="s">
        <v>342</v>
      </c>
      <c r="C346" t="s">
        <v>33</v>
      </c>
      <c r="D346" t="s">
        <v>12</v>
      </c>
      <c r="E346" t="s">
        <v>720</v>
      </c>
      <c r="F346" t="s">
        <v>54</v>
      </c>
      <c r="G346" t="s">
        <v>369</v>
      </c>
      <c r="H346" t="s">
        <v>0</v>
      </c>
      <c r="I346" t="s">
        <v>436</v>
      </c>
      <c r="J346" t="s">
        <v>437</v>
      </c>
      <c r="K346" t="s">
        <v>438</v>
      </c>
      <c r="L346" t="s">
        <v>350</v>
      </c>
      <c r="M346" t="s">
        <v>408</v>
      </c>
      <c r="N346" t="s">
        <v>11</v>
      </c>
      <c r="O346" t="s">
        <v>11</v>
      </c>
      <c r="P346" t="s">
        <v>350</v>
      </c>
      <c r="Q346" t="s">
        <v>408</v>
      </c>
      <c r="R346" t="s">
        <v>439</v>
      </c>
      <c r="S346" t="s">
        <v>440</v>
      </c>
      <c r="T346" t="s">
        <v>11</v>
      </c>
      <c r="U346" t="s">
        <v>408</v>
      </c>
    </row>
    <row r="347" spans="1:21" x14ac:dyDescent="0.25">
      <c r="A347">
        <v>8937560</v>
      </c>
      <c r="B347" t="s">
        <v>340</v>
      </c>
      <c r="C347" t="s">
        <v>26</v>
      </c>
      <c r="D347" t="s">
        <v>79</v>
      </c>
      <c r="E347" t="s">
        <v>725</v>
      </c>
      <c r="F347" t="s">
        <v>135</v>
      </c>
      <c r="G347" t="s">
        <v>369</v>
      </c>
      <c r="H347" t="s">
        <v>0</v>
      </c>
      <c r="I347" t="s">
        <v>436</v>
      </c>
      <c r="J347" t="s">
        <v>437</v>
      </c>
      <c r="K347" t="s">
        <v>438</v>
      </c>
      <c r="L347" t="s">
        <v>350</v>
      </c>
      <c r="M347" t="s">
        <v>408</v>
      </c>
      <c r="N347" t="s">
        <v>11</v>
      </c>
      <c r="O347" t="s">
        <v>11</v>
      </c>
      <c r="P347" t="s">
        <v>350</v>
      </c>
      <c r="Q347" t="s">
        <v>408</v>
      </c>
      <c r="R347" t="s">
        <v>439</v>
      </c>
      <c r="S347" t="s">
        <v>440</v>
      </c>
      <c r="T347" t="s">
        <v>11</v>
      </c>
      <c r="U347" t="s">
        <v>408</v>
      </c>
    </row>
    <row r="348" spans="1:21" x14ac:dyDescent="0.25">
      <c r="A348">
        <v>8937566</v>
      </c>
      <c r="B348" t="s">
        <v>340</v>
      </c>
      <c r="C348" t="s">
        <v>26</v>
      </c>
      <c r="D348" t="s">
        <v>12</v>
      </c>
      <c r="E348" t="s">
        <v>720</v>
      </c>
      <c r="F348" t="s">
        <v>54</v>
      </c>
      <c r="G348" t="s">
        <v>369</v>
      </c>
      <c r="H348" t="s">
        <v>2</v>
      </c>
      <c r="I348" t="s">
        <v>436</v>
      </c>
      <c r="J348" t="s">
        <v>443</v>
      </c>
      <c r="K348" t="s">
        <v>444</v>
      </c>
      <c r="L348" t="s">
        <v>0</v>
      </c>
      <c r="M348" t="s">
        <v>408</v>
      </c>
      <c r="N348" t="s">
        <v>11</v>
      </c>
      <c r="O348" t="s">
        <v>408</v>
      </c>
      <c r="P348" t="s">
        <v>350</v>
      </c>
      <c r="Q348" t="s">
        <v>408</v>
      </c>
      <c r="R348" t="s">
        <v>439</v>
      </c>
      <c r="S348" t="s">
        <v>440</v>
      </c>
      <c r="T348" t="s">
        <v>11</v>
      </c>
      <c r="U348" t="s">
        <v>408</v>
      </c>
    </row>
    <row r="349" spans="1:21" x14ac:dyDescent="0.25">
      <c r="A349">
        <v>8937567</v>
      </c>
      <c r="B349" t="s">
        <v>340</v>
      </c>
      <c r="C349" t="s">
        <v>26</v>
      </c>
      <c r="D349" t="s">
        <v>12</v>
      </c>
      <c r="E349" t="s">
        <v>725</v>
      </c>
      <c r="F349" t="s">
        <v>135</v>
      </c>
      <c r="G349" t="s">
        <v>369</v>
      </c>
      <c r="H349" t="s">
        <v>1</v>
      </c>
      <c r="I349" t="s">
        <v>469</v>
      </c>
      <c r="J349" t="s">
        <v>445</v>
      </c>
      <c r="K349" t="s">
        <v>438</v>
      </c>
      <c r="L349" t="s">
        <v>2</v>
      </c>
      <c r="M349" t="s">
        <v>408</v>
      </c>
      <c r="N349" t="s">
        <v>11</v>
      </c>
      <c r="O349" t="s">
        <v>408</v>
      </c>
      <c r="P349" t="s">
        <v>350</v>
      </c>
      <c r="Q349" t="s">
        <v>408</v>
      </c>
      <c r="R349" t="s">
        <v>439</v>
      </c>
      <c r="S349" t="s">
        <v>440</v>
      </c>
      <c r="T349" t="s">
        <v>11</v>
      </c>
      <c r="U349" t="s">
        <v>408</v>
      </c>
    </row>
    <row r="350" spans="1:21" x14ac:dyDescent="0.25">
      <c r="A350">
        <v>8937574</v>
      </c>
      <c r="B350" t="s">
        <v>342</v>
      </c>
      <c r="C350" t="s">
        <v>33</v>
      </c>
      <c r="D350" t="s">
        <v>12</v>
      </c>
      <c r="E350" t="s">
        <v>720</v>
      </c>
      <c r="F350" t="s">
        <v>91</v>
      </c>
      <c r="G350" t="s">
        <v>369</v>
      </c>
      <c r="H350" t="s">
        <v>0</v>
      </c>
      <c r="I350" t="s">
        <v>436</v>
      </c>
      <c r="J350" t="s">
        <v>437</v>
      </c>
      <c r="K350" t="s">
        <v>438</v>
      </c>
      <c r="L350" t="s">
        <v>350</v>
      </c>
      <c r="M350" t="s">
        <v>408</v>
      </c>
      <c r="N350" t="s">
        <v>11</v>
      </c>
      <c r="O350" t="s">
        <v>11</v>
      </c>
      <c r="P350" t="s">
        <v>350</v>
      </c>
      <c r="Q350" t="s">
        <v>408</v>
      </c>
      <c r="R350" t="s">
        <v>439</v>
      </c>
      <c r="S350" t="s">
        <v>440</v>
      </c>
      <c r="T350" t="s">
        <v>11</v>
      </c>
      <c r="U350" t="s">
        <v>408</v>
      </c>
    </row>
    <row r="351" spans="1:21" x14ac:dyDescent="0.25">
      <c r="A351">
        <v>8937575</v>
      </c>
      <c r="B351" t="s">
        <v>342</v>
      </c>
      <c r="C351" t="s">
        <v>33</v>
      </c>
      <c r="D351" t="s">
        <v>12</v>
      </c>
      <c r="E351" t="s">
        <v>725</v>
      </c>
      <c r="F351" t="s">
        <v>135</v>
      </c>
      <c r="G351" t="s">
        <v>369</v>
      </c>
      <c r="H351" t="s">
        <v>0</v>
      </c>
      <c r="I351" t="s">
        <v>436</v>
      </c>
      <c r="J351" t="s">
        <v>437</v>
      </c>
      <c r="K351" t="s">
        <v>438</v>
      </c>
      <c r="L351" t="s">
        <v>350</v>
      </c>
      <c r="M351" t="s">
        <v>408</v>
      </c>
      <c r="N351" t="s">
        <v>11</v>
      </c>
      <c r="O351" t="s">
        <v>11</v>
      </c>
      <c r="P351" t="s">
        <v>350</v>
      </c>
      <c r="Q351" t="s">
        <v>408</v>
      </c>
      <c r="R351" t="s">
        <v>439</v>
      </c>
      <c r="S351" t="s">
        <v>440</v>
      </c>
      <c r="T351" t="s">
        <v>11</v>
      </c>
      <c r="U351" t="s">
        <v>408</v>
      </c>
    </row>
    <row r="352" spans="1:21" x14ac:dyDescent="0.25">
      <c r="A352">
        <v>8937583</v>
      </c>
      <c r="B352" t="s">
        <v>340</v>
      </c>
      <c r="C352" t="s">
        <v>26</v>
      </c>
      <c r="D352" t="s">
        <v>12</v>
      </c>
      <c r="E352" t="s">
        <v>720</v>
      </c>
      <c r="F352" t="s">
        <v>54</v>
      </c>
      <c r="G352" t="s">
        <v>369</v>
      </c>
      <c r="H352" t="s">
        <v>0</v>
      </c>
      <c r="I352" t="s">
        <v>436</v>
      </c>
      <c r="J352" t="s">
        <v>437</v>
      </c>
      <c r="K352" t="s">
        <v>438</v>
      </c>
      <c r="L352" t="s">
        <v>1</v>
      </c>
      <c r="M352" t="s">
        <v>408</v>
      </c>
      <c r="N352" t="s">
        <v>11</v>
      </c>
      <c r="O352" t="s">
        <v>408</v>
      </c>
      <c r="P352" t="s">
        <v>350</v>
      </c>
      <c r="Q352" t="s">
        <v>408</v>
      </c>
      <c r="R352" t="s">
        <v>439</v>
      </c>
      <c r="S352" t="s">
        <v>440</v>
      </c>
      <c r="T352" t="s">
        <v>11</v>
      </c>
      <c r="U352" t="s">
        <v>408</v>
      </c>
    </row>
    <row r="353" spans="1:21" x14ac:dyDescent="0.25">
      <c r="A353">
        <v>8937587</v>
      </c>
      <c r="B353" t="s">
        <v>342</v>
      </c>
      <c r="C353" t="s">
        <v>33</v>
      </c>
      <c r="D353" t="s">
        <v>12</v>
      </c>
      <c r="E353" t="s">
        <v>612</v>
      </c>
      <c r="F353" t="s">
        <v>72</v>
      </c>
      <c r="G353" t="s">
        <v>369</v>
      </c>
      <c r="H353" t="s">
        <v>0</v>
      </c>
      <c r="I353" t="s">
        <v>436</v>
      </c>
      <c r="J353" t="s">
        <v>437</v>
      </c>
      <c r="K353" t="s">
        <v>438</v>
      </c>
      <c r="L353" t="s">
        <v>350</v>
      </c>
      <c r="M353" t="s">
        <v>408</v>
      </c>
      <c r="N353" t="s">
        <v>11</v>
      </c>
      <c r="O353" t="s">
        <v>11</v>
      </c>
      <c r="P353" t="s">
        <v>350</v>
      </c>
      <c r="Q353" t="s">
        <v>408</v>
      </c>
      <c r="R353" t="s">
        <v>439</v>
      </c>
      <c r="S353" t="s">
        <v>440</v>
      </c>
      <c r="T353" t="s">
        <v>11</v>
      </c>
      <c r="U353" t="s">
        <v>408</v>
      </c>
    </row>
    <row r="354" spans="1:21" x14ac:dyDescent="0.25">
      <c r="A354">
        <v>8937588</v>
      </c>
      <c r="B354" t="s">
        <v>340</v>
      </c>
      <c r="C354" t="s">
        <v>26</v>
      </c>
      <c r="D354" t="s">
        <v>12</v>
      </c>
      <c r="E354" t="s">
        <v>720</v>
      </c>
      <c r="F354" t="s">
        <v>91</v>
      </c>
      <c r="G354" t="s">
        <v>369</v>
      </c>
      <c r="H354" t="s">
        <v>2</v>
      </c>
      <c r="I354" t="s">
        <v>436</v>
      </c>
      <c r="J354" t="s">
        <v>443</v>
      </c>
      <c r="K354" t="s">
        <v>444</v>
      </c>
      <c r="L354" t="s">
        <v>5</v>
      </c>
      <c r="M354" t="s">
        <v>408</v>
      </c>
      <c r="N354" t="s">
        <v>11</v>
      </c>
      <c r="O354" t="s">
        <v>408</v>
      </c>
      <c r="P354" t="s">
        <v>350</v>
      </c>
      <c r="Q354" t="s">
        <v>408</v>
      </c>
      <c r="R354" t="s">
        <v>439</v>
      </c>
      <c r="S354" t="s">
        <v>440</v>
      </c>
      <c r="T354" t="s">
        <v>11</v>
      </c>
      <c r="U354" t="s">
        <v>408</v>
      </c>
    </row>
    <row r="355" spans="1:21" x14ac:dyDescent="0.25">
      <c r="A355">
        <v>8937600</v>
      </c>
      <c r="B355" t="s">
        <v>340</v>
      </c>
      <c r="C355" t="s">
        <v>26</v>
      </c>
      <c r="D355" t="s">
        <v>12</v>
      </c>
      <c r="E355" t="s">
        <v>725</v>
      </c>
      <c r="F355" t="s">
        <v>135</v>
      </c>
      <c r="G355" t="s">
        <v>369</v>
      </c>
      <c r="H355" t="s">
        <v>2</v>
      </c>
      <c r="I355" t="s">
        <v>436</v>
      </c>
      <c r="J355" t="s">
        <v>443</v>
      </c>
      <c r="K355" t="s">
        <v>444</v>
      </c>
      <c r="L355" t="s">
        <v>5</v>
      </c>
      <c r="M355" t="s">
        <v>408</v>
      </c>
      <c r="N355" t="s">
        <v>11</v>
      </c>
      <c r="O355" t="s">
        <v>408</v>
      </c>
      <c r="P355" t="s">
        <v>350</v>
      </c>
      <c r="Q355" t="s">
        <v>408</v>
      </c>
      <c r="R355" t="s">
        <v>439</v>
      </c>
      <c r="S355" t="s">
        <v>440</v>
      </c>
      <c r="T355" t="s">
        <v>11</v>
      </c>
      <c r="U355" t="s">
        <v>408</v>
      </c>
    </row>
    <row r="356" spans="1:21" x14ac:dyDescent="0.25">
      <c r="A356">
        <v>8937604</v>
      </c>
      <c r="B356" t="s">
        <v>340</v>
      </c>
      <c r="C356" t="s">
        <v>26</v>
      </c>
      <c r="D356" t="s">
        <v>18</v>
      </c>
      <c r="E356" t="s">
        <v>521</v>
      </c>
      <c r="F356" t="s">
        <v>263</v>
      </c>
      <c r="G356" t="s">
        <v>369</v>
      </c>
      <c r="H356" t="s">
        <v>0</v>
      </c>
      <c r="I356" t="s">
        <v>436</v>
      </c>
      <c r="J356" t="s">
        <v>437</v>
      </c>
      <c r="K356" t="s">
        <v>438</v>
      </c>
      <c r="L356" t="s">
        <v>350</v>
      </c>
      <c r="M356" t="s">
        <v>408</v>
      </c>
      <c r="N356" t="s">
        <v>11</v>
      </c>
      <c r="O356" t="s">
        <v>11</v>
      </c>
      <c r="P356" t="s">
        <v>350</v>
      </c>
      <c r="Q356" t="s">
        <v>408</v>
      </c>
      <c r="R356" t="s">
        <v>439</v>
      </c>
      <c r="S356" t="s">
        <v>440</v>
      </c>
      <c r="T356" t="s">
        <v>11</v>
      </c>
      <c r="U356" t="s">
        <v>408</v>
      </c>
    </row>
    <row r="357" spans="1:21" x14ac:dyDescent="0.25">
      <c r="A357">
        <v>8937608</v>
      </c>
      <c r="B357" t="s">
        <v>340</v>
      </c>
      <c r="C357" t="s">
        <v>26</v>
      </c>
      <c r="D357" t="s">
        <v>18</v>
      </c>
      <c r="E357" t="s">
        <v>521</v>
      </c>
      <c r="F357" t="s">
        <v>263</v>
      </c>
      <c r="G357" t="s">
        <v>369</v>
      </c>
      <c r="H357" t="s">
        <v>1</v>
      </c>
      <c r="I357" t="s">
        <v>469</v>
      </c>
      <c r="J357" t="s">
        <v>445</v>
      </c>
      <c r="K357" t="s">
        <v>438</v>
      </c>
      <c r="L357" t="s">
        <v>0</v>
      </c>
      <c r="M357" t="s">
        <v>408</v>
      </c>
      <c r="N357" t="s">
        <v>11</v>
      </c>
      <c r="O357" t="s">
        <v>408</v>
      </c>
      <c r="P357" t="s">
        <v>350</v>
      </c>
      <c r="Q357" t="s">
        <v>408</v>
      </c>
      <c r="R357" t="s">
        <v>439</v>
      </c>
      <c r="S357" t="s">
        <v>440</v>
      </c>
      <c r="T357" t="s">
        <v>11</v>
      </c>
      <c r="U357" t="s">
        <v>408</v>
      </c>
    </row>
    <row r="358" spans="1:21" x14ac:dyDescent="0.25">
      <c r="A358">
        <v>8937623</v>
      </c>
      <c r="B358" t="s">
        <v>342</v>
      </c>
      <c r="C358" t="s">
        <v>33</v>
      </c>
      <c r="D358" t="s">
        <v>109</v>
      </c>
      <c r="E358" t="s">
        <v>517</v>
      </c>
      <c r="F358" t="s">
        <v>73</v>
      </c>
      <c r="G358" t="s">
        <v>369</v>
      </c>
      <c r="H358" t="s">
        <v>0</v>
      </c>
      <c r="I358" t="s">
        <v>436</v>
      </c>
      <c r="J358" t="s">
        <v>437</v>
      </c>
      <c r="K358" t="s">
        <v>438</v>
      </c>
      <c r="L358" t="s">
        <v>350</v>
      </c>
      <c r="M358" t="s">
        <v>408</v>
      </c>
      <c r="N358" t="s">
        <v>11</v>
      </c>
      <c r="O358" t="s">
        <v>11</v>
      </c>
      <c r="P358" t="s">
        <v>350</v>
      </c>
      <c r="Q358" t="s">
        <v>408</v>
      </c>
      <c r="R358" t="s">
        <v>439</v>
      </c>
      <c r="S358" t="s">
        <v>440</v>
      </c>
      <c r="T358" t="s">
        <v>11</v>
      </c>
      <c r="U358" t="s">
        <v>408</v>
      </c>
    </row>
    <row r="359" spans="1:21" x14ac:dyDescent="0.25">
      <c r="A359">
        <v>8937624</v>
      </c>
      <c r="B359" t="s">
        <v>342</v>
      </c>
      <c r="C359" t="s">
        <v>33</v>
      </c>
      <c r="D359" t="s">
        <v>79</v>
      </c>
      <c r="E359" t="s">
        <v>613</v>
      </c>
      <c r="F359" t="s">
        <v>90</v>
      </c>
      <c r="G359" t="s">
        <v>369</v>
      </c>
      <c r="H359" t="s">
        <v>0</v>
      </c>
      <c r="I359" t="s">
        <v>436</v>
      </c>
      <c r="J359" t="s">
        <v>437</v>
      </c>
      <c r="K359" t="s">
        <v>438</v>
      </c>
      <c r="L359" t="s">
        <v>350</v>
      </c>
      <c r="M359" t="s">
        <v>408</v>
      </c>
      <c r="N359" t="s">
        <v>11</v>
      </c>
      <c r="O359" t="s">
        <v>11</v>
      </c>
      <c r="P359" t="s">
        <v>350</v>
      </c>
      <c r="Q359" t="s">
        <v>408</v>
      </c>
      <c r="R359" t="s">
        <v>439</v>
      </c>
      <c r="S359" t="s">
        <v>440</v>
      </c>
      <c r="T359" t="s">
        <v>11</v>
      </c>
      <c r="U359" t="s">
        <v>408</v>
      </c>
    </row>
    <row r="360" spans="1:21" x14ac:dyDescent="0.25">
      <c r="A360">
        <v>8937632</v>
      </c>
      <c r="B360" t="s">
        <v>342</v>
      </c>
      <c r="C360" t="s">
        <v>33</v>
      </c>
      <c r="D360" t="s">
        <v>109</v>
      </c>
      <c r="E360" t="s">
        <v>612</v>
      </c>
      <c r="F360" t="s">
        <v>262</v>
      </c>
      <c r="G360" t="s">
        <v>369</v>
      </c>
      <c r="H360" t="s">
        <v>0</v>
      </c>
      <c r="I360" t="s">
        <v>436</v>
      </c>
      <c r="J360" t="s">
        <v>437</v>
      </c>
      <c r="K360" t="s">
        <v>438</v>
      </c>
      <c r="L360" t="s">
        <v>350</v>
      </c>
      <c r="M360" t="s">
        <v>408</v>
      </c>
      <c r="N360" t="s">
        <v>11</v>
      </c>
      <c r="O360" t="s">
        <v>11</v>
      </c>
      <c r="P360" t="s">
        <v>350</v>
      </c>
      <c r="Q360" t="s">
        <v>408</v>
      </c>
      <c r="R360" t="s">
        <v>439</v>
      </c>
      <c r="S360" t="s">
        <v>440</v>
      </c>
      <c r="T360" t="s">
        <v>11</v>
      </c>
      <c r="U360" t="s">
        <v>408</v>
      </c>
    </row>
    <row r="361" spans="1:21" x14ac:dyDescent="0.25">
      <c r="A361">
        <v>8937642</v>
      </c>
      <c r="B361" t="s">
        <v>340</v>
      </c>
      <c r="C361" t="s">
        <v>26</v>
      </c>
      <c r="D361" t="s">
        <v>18</v>
      </c>
      <c r="E361" t="s">
        <v>726</v>
      </c>
      <c r="F361" t="s">
        <v>261</v>
      </c>
      <c r="G361" t="s">
        <v>369</v>
      </c>
      <c r="H361" t="s">
        <v>0</v>
      </c>
      <c r="I361" t="s">
        <v>436</v>
      </c>
      <c r="J361" t="s">
        <v>437</v>
      </c>
      <c r="K361" t="s">
        <v>438</v>
      </c>
      <c r="L361" t="s">
        <v>350</v>
      </c>
      <c r="M361" t="s">
        <v>408</v>
      </c>
      <c r="N361" t="s">
        <v>11</v>
      </c>
      <c r="O361" t="s">
        <v>11</v>
      </c>
      <c r="P361" t="s">
        <v>350</v>
      </c>
      <c r="Q361" t="s">
        <v>408</v>
      </c>
      <c r="R361" t="s">
        <v>439</v>
      </c>
      <c r="S361" t="s">
        <v>440</v>
      </c>
      <c r="T361" t="s">
        <v>11</v>
      </c>
      <c r="U361" t="s">
        <v>408</v>
      </c>
    </row>
    <row r="362" spans="1:21" x14ac:dyDescent="0.25">
      <c r="A362">
        <v>8937646</v>
      </c>
      <c r="B362" t="s">
        <v>340</v>
      </c>
      <c r="C362" t="s">
        <v>26</v>
      </c>
      <c r="D362" t="s">
        <v>12</v>
      </c>
      <c r="E362" t="s">
        <v>613</v>
      </c>
      <c r="F362" t="s">
        <v>90</v>
      </c>
      <c r="G362" t="s">
        <v>369</v>
      </c>
      <c r="H362" t="s">
        <v>370</v>
      </c>
      <c r="I362" t="s">
        <v>721</v>
      </c>
      <c r="J362" t="s">
        <v>455</v>
      </c>
      <c r="K362" t="s">
        <v>453</v>
      </c>
      <c r="L362" t="s">
        <v>367</v>
      </c>
      <c r="M362" t="s">
        <v>408</v>
      </c>
      <c r="N362" t="s">
        <v>11</v>
      </c>
      <c r="O362" t="s">
        <v>408</v>
      </c>
      <c r="P362" t="s">
        <v>350</v>
      </c>
      <c r="Q362" t="s">
        <v>408</v>
      </c>
      <c r="R362" t="s">
        <v>439</v>
      </c>
      <c r="S362" t="s">
        <v>451</v>
      </c>
      <c r="T362" t="s">
        <v>11</v>
      </c>
      <c r="U362" t="s">
        <v>408</v>
      </c>
    </row>
    <row r="363" spans="1:21" x14ac:dyDescent="0.25">
      <c r="A363">
        <v>8937647</v>
      </c>
      <c r="B363" t="s">
        <v>342</v>
      </c>
      <c r="C363" t="s">
        <v>33</v>
      </c>
      <c r="D363" t="s">
        <v>12</v>
      </c>
      <c r="E363" t="s">
        <v>521</v>
      </c>
      <c r="F363" t="s">
        <v>260</v>
      </c>
      <c r="G363" t="s">
        <v>369</v>
      </c>
      <c r="H363" t="s">
        <v>0</v>
      </c>
      <c r="I363" t="s">
        <v>436</v>
      </c>
      <c r="J363" t="s">
        <v>437</v>
      </c>
      <c r="K363" t="s">
        <v>438</v>
      </c>
      <c r="L363" t="s">
        <v>350</v>
      </c>
      <c r="M363" t="s">
        <v>408</v>
      </c>
      <c r="N363" t="s">
        <v>11</v>
      </c>
      <c r="O363" t="s">
        <v>11</v>
      </c>
      <c r="P363" t="s">
        <v>350</v>
      </c>
      <c r="Q363" t="s">
        <v>408</v>
      </c>
      <c r="R363" t="s">
        <v>439</v>
      </c>
      <c r="S363" t="s">
        <v>440</v>
      </c>
      <c r="T363" t="s">
        <v>11</v>
      </c>
      <c r="U363" t="s">
        <v>408</v>
      </c>
    </row>
    <row r="364" spans="1:21" x14ac:dyDescent="0.25">
      <c r="A364">
        <v>8937651</v>
      </c>
      <c r="B364" t="s">
        <v>340</v>
      </c>
      <c r="C364" t="s">
        <v>26</v>
      </c>
      <c r="D364" t="s">
        <v>24</v>
      </c>
      <c r="E364" t="s">
        <v>613</v>
      </c>
      <c r="F364" t="s">
        <v>90</v>
      </c>
      <c r="G364" t="s">
        <v>369</v>
      </c>
      <c r="H364" t="s">
        <v>0</v>
      </c>
      <c r="I364" t="s">
        <v>436</v>
      </c>
      <c r="J364" t="s">
        <v>437</v>
      </c>
      <c r="K364" t="s">
        <v>438</v>
      </c>
      <c r="L364" t="s">
        <v>1</v>
      </c>
      <c r="M364" t="s">
        <v>408</v>
      </c>
      <c r="N364" t="s">
        <v>11</v>
      </c>
      <c r="O364" t="s">
        <v>408</v>
      </c>
      <c r="P364" t="s">
        <v>350</v>
      </c>
      <c r="Q364" t="s">
        <v>408</v>
      </c>
      <c r="R364" t="s">
        <v>439</v>
      </c>
      <c r="S364" t="s">
        <v>440</v>
      </c>
      <c r="T364" t="s">
        <v>11</v>
      </c>
      <c r="U364" t="s">
        <v>408</v>
      </c>
    </row>
    <row r="365" spans="1:21" x14ac:dyDescent="0.25">
      <c r="A365">
        <v>8937674</v>
      </c>
      <c r="B365" t="s">
        <v>340</v>
      </c>
      <c r="C365" t="s">
        <v>26</v>
      </c>
      <c r="D365" t="s">
        <v>12</v>
      </c>
      <c r="E365" t="s">
        <v>724</v>
      </c>
      <c r="F365" t="s">
        <v>259</v>
      </c>
      <c r="G365" t="s">
        <v>369</v>
      </c>
      <c r="H365" t="s">
        <v>0</v>
      </c>
      <c r="I365" t="s">
        <v>436</v>
      </c>
      <c r="J365" t="s">
        <v>437</v>
      </c>
      <c r="K365" t="s">
        <v>438</v>
      </c>
      <c r="L365" t="s">
        <v>1</v>
      </c>
      <c r="M365" t="s">
        <v>408</v>
      </c>
      <c r="N365" t="s">
        <v>11</v>
      </c>
      <c r="O365" t="s">
        <v>11</v>
      </c>
      <c r="P365" t="s">
        <v>350</v>
      </c>
      <c r="Q365" t="s">
        <v>408</v>
      </c>
      <c r="R365" t="s">
        <v>439</v>
      </c>
      <c r="S365" t="s">
        <v>440</v>
      </c>
      <c r="T365" t="s">
        <v>11</v>
      </c>
      <c r="U365" t="s">
        <v>408</v>
      </c>
    </row>
    <row r="366" spans="1:21" x14ac:dyDescent="0.25">
      <c r="A366">
        <v>8937676</v>
      </c>
      <c r="B366" t="s">
        <v>340</v>
      </c>
      <c r="C366" t="s">
        <v>26</v>
      </c>
      <c r="D366" t="s">
        <v>12</v>
      </c>
      <c r="E366" t="s">
        <v>724</v>
      </c>
      <c r="F366" t="s">
        <v>70</v>
      </c>
      <c r="G366" t="s">
        <v>369</v>
      </c>
      <c r="H366" t="s">
        <v>0</v>
      </c>
      <c r="I366" t="s">
        <v>436</v>
      </c>
      <c r="J366" t="s">
        <v>437</v>
      </c>
      <c r="K366" t="s">
        <v>438</v>
      </c>
      <c r="L366" t="s">
        <v>5</v>
      </c>
      <c r="M366" t="s">
        <v>408</v>
      </c>
      <c r="N366" t="s">
        <v>11</v>
      </c>
      <c r="O366" t="s">
        <v>11</v>
      </c>
      <c r="P366" t="s">
        <v>350</v>
      </c>
      <c r="Q366" t="s">
        <v>408</v>
      </c>
      <c r="R366" t="s">
        <v>439</v>
      </c>
      <c r="S366" t="s">
        <v>440</v>
      </c>
      <c r="T366" t="s">
        <v>11</v>
      </c>
      <c r="U366" t="s">
        <v>408</v>
      </c>
    </row>
    <row r="367" spans="1:21" x14ac:dyDescent="0.25">
      <c r="A367">
        <v>8937682</v>
      </c>
      <c r="B367" t="s">
        <v>340</v>
      </c>
      <c r="C367" t="s">
        <v>26</v>
      </c>
      <c r="D367" t="s">
        <v>18</v>
      </c>
      <c r="E367" t="s">
        <v>724</v>
      </c>
      <c r="F367" t="s">
        <v>63</v>
      </c>
      <c r="G367" t="s">
        <v>369</v>
      </c>
      <c r="H367" t="s">
        <v>0</v>
      </c>
      <c r="I367" t="s">
        <v>436</v>
      </c>
      <c r="J367" t="s">
        <v>437</v>
      </c>
      <c r="K367" t="s">
        <v>438</v>
      </c>
      <c r="L367" t="s">
        <v>2</v>
      </c>
      <c r="M367" t="s">
        <v>408</v>
      </c>
      <c r="N367" t="s">
        <v>11</v>
      </c>
      <c r="O367" t="s">
        <v>11</v>
      </c>
      <c r="P367" t="s">
        <v>350</v>
      </c>
      <c r="Q367" t="s">
        <v>408</v>
      </c>
      <c r="R367" t="s">
        <v>439</v>
      </c>
      <c r="S367" t="s">
        <v>440</v>
      </c>
      <c r="T367" t="s">
        <v>11</v>
      </c>
      <c r="U367" t="s">
        <v>408</v>
      </c>
    </row>
    <row r="368" spans="1:21" x14ac:dyDescent="0.25">
      <c r="A368">
        <v>8937685</v>
      </c>
      <c r="B368" t="s">
        <v>342</v>
      </c>
      <c r="C368" t="s">
        <v>33</v>
      </c>
      <c r="D368" t="s">
        <v>12</v>
      </c>
      <c r="E368" t="s">
        <v>509</v>
      </c>
      <c r="F368" t="s">
        <v>252</v>
      </c>
      <c r="G368" t="s">
        <v>369</v>
      </c>
      <c r="H368" t="s">
        <v>0</v>
      </c>
      <c r="I368" t="s">
        <v>436</v>
      </c>
      <c r="J368" t="s">
        <v>437</v>
      </c>
      <c r="K368" t="s">
        <v>438</v>
      </c>
      <c r="L368" t="s">
        <v>350</v>
      </c>
      <c r="M368" t="s">
        <v>408</v>
      </c>
      <c r="N368" t="s">
        <v>11</v>
      </c>
      <c r="O368" t="s">
        <v>11</v>
      </c>
      <c r="P368" t="s">
        <v>350</v>
      </c>
      <c r="Q368" t="s">
        <v>408</v>
      </c>
      <c r="R368" t="s">
        <v>439</v>
      </c>
      <c r="S368" t="s">
        <v>440</v>
      </c>
      <c r="T368" t="s">
        <v>11</v>
      </c>
      <c r="U368" t="s">
        <v>408</v>
      </c>
    </row>
    <row r="369" spans="1:21" x14ac:dyDescent="0.25">
      <c r="A369">
        <v>8937691</v>
      </c>
      <c r="B369" t="s">
        <v>342</v>
      </c>
      <c r="C369" t="s">
        <v>33</v>
      </c>
      <c r="D369" t="s">
        <v>12</v>
      </c>
      <c r="E369" t="s">
        <v>724</v>
      </c>
      <c r="F369" t="s">
        <v>70</v>
      </c>
      <c r="G369" t="s">
        <v>369</v>
      </c>
      <c r="H369" t="s">
        <v>0</v>
      </c>
      <c r="I369" t="s">
        <v>436</v>
      </c>
      <c r="J369" t="s">
        <v>437</v>
      </c>
      <c r="K369" t="s">
        <v>438</v>
      </c>
      <c r="L369" t="s">
        <v>350</v>
      </c>
      <c r="M369" t="s">
        <v>408</v>
      </c>
      <c r="N369" t="s">
        <v>11</v>
      </c>
      <c r="O369" t="s">
        <v>11</v>
      </c>
      <c r="P369" t="s">
        <v>350</v>
      </c>
      <c r="Q369" t="s">
        <v>408</v>
      </c>
      <c r="R369" t="s">
        <v>439</v>
      </c>
      <c r="S369" t="s">
        <v>440</v>
      </c>
      <c r="T369" t="s">
        <v>11</v>
      </c>
      <c r="U369" t="s">
        <v>408</v>
      </c>
    </row>
    <row r="370" spans="1:21" x14ac:dyDescent="0.25">
      <c r="A370">
        <v>8937696</v>
      </c>
      <c r="B370" t="s">
        <v>340</v>
      </c>
      <c r="C370" t="s">
        <v>26</v>
      </c>
      <c r="D370" t="s">
        <v>12</v>
      </c>
      <c r="E370" t="s">
        <v>724</v>
      </c>
      <c r="F370" t="s">
        <v>70</v>
      </c>
      <c r="G370" t="s">
        <v>369</v>
      </c>
      <c r="H370" t="s">
        <v>0</v>
      </c>
      <c r="I370" t="s">
        <v>436</v>
      </c>
      <c r="J370" t="s">
        <v>437</v>
      </c>
      <c r="K370" t="s">
        <v>438</v>
      </c>
      <c r="L370" t="s">
        <v>350</v>
      </c>
      <c r="M370" t="s">
        <v>408</v>
      </c>
      <c r="N370" t="s">
        <v>11</v>
      </c>
      <c r="O370" t="s">
        <v>11</v>
      </c>
      <c r="P370" t="s">
        <v>350</v>
      </c>
      <c r="Q370" t="s">
        <v>408</v>
      </c>
      <c r="R370" t="s">
        <v>439</v>
      </c>
      <c r="S370" t="s">
        <v>440</v>
      </c>
      <c r="T370" t="s">
        <v>11</v>
      </c>
      <c r="U370" t="s">
        <v>408</v>
      </c>
    </row>
    <row r="371" spans="1:21" x14ac:dyDescent="0.25">
      <c r="A371">
        <v>8937718</v>
      </c>
      <c r="B371" t="s">
        <v>340</v>
      </c>
      <c r="C371" t="s">
        <v>26</v>
      </c>
      <c r="D371" t="s">
        <v>12</v>
      </c>
      <c r="E371" t="s">
        <v>724</v>
      </c>
      <c r="F371" t="s">
        <v>63</v>
      </c>
      <c r="G371" t="s">
        <v>369</v>
      </c>
      <c r="H371" t="s">
        <v>370</v>
      </c>
      <c r="I371" t="s">
        <v>721</v>
      </c>
      <c r="J371" t="s">
        <v>455</v>
      </c>
      <c r="K371" t="s">
        <v>453</v>
      </c>
      <c r="L371" t="s">
        <v>367</v>
      </c>
      <c r="M371" t="s">
        <v>408</v>
      </c>
      <c r="N371" t="s">
        <v>11</v>
      </c>
      <c r="O371" t="s">
        <v>11</v>
      </c>
      <c r="P371" t="s">
        <v>350</v>
      </c>
      <c r="Q371" t="s">
        <v>408</v>
      </c>
      <c r="R371" t="s">
        <v>439</v>
      </c>
      <c r="S371" t="s">
        <v>451</v>
      </c>
      <c r="T371" t="s">
        <v>11</v>
      </c>
      <c r="U371" t="s">
        <v>408</v>
      </c>
    </row>
    <row r="372" spans="1:21" x14ac:dyDescent="0.25">
      <c r="A372">
        <v>8937721</v>
      </c>
      <c r="B372" t="s">
        <v>340</v>
      </c>
      <c r="C372" t="s">
        <v>26</v>
      </c>
      <c r="D372" t="s">
        <v>12</v>
      </c>
      <c r="E372" t="s">
        <v>724</v>
      </c>
      <c r="F372" t="s">
        <v>70</v>
      </c>
      <c r="G372" t="s">
        <v>369</v>
      </c>
      <c r="H372" t="s">
        <v>1</v>
      </c>
      <c r="I372" t="s">
        <v>469</v>
      </c>
      <c r="J372" t="s">
        <v>445</v>
      </c>
      <c r="K372" t="s">
        <v>438</v>
      </c>
      <c r="L372" t="s">
        <v>0</v>
      </c>
      <c r="M372" t="s">
        <v>408</v>
      </c>
      <c r="N372" t="s">
        <v>11</v>
      </c>
      <c r="O372" t="s">
        <v>11</v>
      </c>
      <c r="P372" t="s">
        <v>350</v>
      </c>
      <c r="Q372" t="s">
        <v>408</v>
      </c>
      <c r="R372" t="s">
        <v>439</v>
      </c>
      <c r="S372" t="s">
        <v>440</v>
      </c>
      <c r="T372" t="s">
        <v>11</v>
      </c>
      <c r="U372" t="s">
        <v>408</v>
      </c>
    </row>
    <row r="373" spans="1:21" x14ac:dyDescent="0.25">
      <c r="A373">
        <v>8937759</v>
      </c>
      <c r="B373" t="s">
        <v>340</v>
      </c>
      <c r="C373" t="s">
        <v>26</v>
      </c>
      <c r="D373" t="s">
        <v>18</v>
      </c>
      <c r="E373" t="s">
        <v>410</v>
      </c>
      <c r="F373" t="s">
        <v>74</v>
      </c>
      <c r="G373" t="s">
        <v>369</v>
      </c>
      <c r="H373" t="s">
        <v>2</v>
      </c>
      <c r="I373" t="s">
        <v>436</v>
      </c>
      <c r="J373" t="s">
        <v>443</v>
      </c>
      <c r="K373" t="s">
        <v>444</v>
      </c>
      <c r="L373" t="s">
        <v>0</v>
      </c>
      <c r="M373" t="s">
        <v>408</v>
      </c>
      <c r="N373" t="s">
        <v>11</v>
      </c>
      <c r="O373" t="s">
        <v>11</v>
      </c>
      <c r="P373" t="s">
        <v>0</v>
      </c>
      <c r="Q373" t="s">
        <v>408</v>
      </c>
      <c r="R373" t="s">
        <v>439</v>
      </c>
      <c r="S373" t="s">
        <v>440</v>
      </c>
      <c r="T373" t="s">
        <v>11</v>
      </c>
      <c r="U373" t="s">
        <v>408</v>
      </c>
    </row>
    <row r="374" spans="1:21" x14ac:dyDescent="0.25">
      <c r="A374">
        <v>8937762</v>
      </c>
      <c r="B374" t="s">
        <v>340</v>
      </c>
      <c r="C374" t="s">
        <v>26</v>
      </c>
      <c r="D374" t="s">
        <v>12</v>
      </c>
      <c r="E374" t="s">
        <v>541</v>
      </c>
      <c r="F374" t="s">
        <v>258</v>
      </c>
      <c r="G374" t="s">
        <v>369</v>
      </c>
      <c r="H374" t="s">
        <v>0</v>
      </c>
      <c r="I374" t="s">
        <v>436</v>
      </c>
      <c r="J374" t="s">
        <v>437</v>
      </c>
      <c r="K374" t="s">
        <v>438</v>
      </c>
      <c r="L374" t="s">
        <v>2</v>
      </c>
      <c r="M374" t="s">
        <v>408</v>
      </c>
      <c r="N374" t="s">
        <v>11</v>
      </c>
      <c r="O374" t="s">
        <v>11</v>
      </c>
      <c r="P374" t="s">
        <v>0</v>
      </c>
      <c r="Q374" t="s">
        <v>408</v>
      </c>
      <c r="R374" t="s">
        <v>439</v>
      </c>
      <c r="S374" t="s">
        <v>440</v>
      </c>
      <c r="T374" t="s">
        <v>11</v>
      </c>
      <c r="U374" t="s">
        <v>408</v>
      </c>
    </row>
    <row r="375" spans="1:21" x14ac:dyDescent="0.25">
      <c r="A375">
        <v>9005323</v>
      </c>
      <c r="B375" t="s">
        <v>342</v>
      </c>
      <c r="C375" t="s">
        <v>33</v>
      </c>
      <c r="D375" t="s">
        <v>12</v>
      </c>
      <c r="E375" t="s">
        <v>723</v>
      </c>
      <c r="F375" t="s">
        <v>137</v>
      </c>
      <c r="G375" t="s">
        <v>369</v>
      </c>
      <c r="H375" t="s">
        <v>0</v>
      </c>
      <c r="I375" t="s">
        <v>436</v>
      </c>
      <c r="J375" t="s">
        <v>437</v>
      </c>
      <c r="K375" t="s">
        <v>438</v>
      </c>
      <c r="L375" t="s">
        <v>5</v>
      </c>
      <c r="M375" t="s">
        <v>408</v>
      </c>
      <c r="N375" t="s">
        <v>11</v>
      </c>
      <c r="O375" t="s">
        <v>408</v>
      </c>
      <c r="P375" t="s">
        <v>344</v>
      </c>
      <c r="Q375" t="s">
        <v>408</v>
      </c>
      <c r="R375" t="s">
        <v>439</v>
      </c>
      <c r="S375" t="s">
        <v>440</v>
      </c>
      <c r="T375" t="s">
        <v>11</v>
      </c>
      <c r="U375" t="s">
        <v>408</v>
      </c>
    </row>
    <row r="376" spans="1:21" x14ac:dyDescent="0.25">
      <c r="A376">
        <v>9005327</v>
      </c>
      <c r="B376" t="s">
        <v>342</v>
      </c>
      <c r="C376" t="s">
        <v>33</v>
      </c>
      <c r="D376" t="s">
        <v>12</v>
      </c>
      <c r="E376" t="s">
        <v>723</v>
      </c>
      <c r="F376" t="s">
        <v>137</v>
      </c>
      <c r="G376" t="s">
        <v>369</v>
      </c>
      <c r="H376" t="s">
        <v>0</v>
      </c>
      <c r="I376" t="s">
        <v>436</v>
      </c>
      <c r="J376" t="s">
        <v>437</v>
      </c>
      <c r="K376" t="s">
        <v>438</v>
      </c>
      <c r="L376" t="s">
        <v>151</v>
      </c>
      <c r="M376" t="s">
        <v>408</v>
      </c>
      <c r="N376" t="s">
        <v>11</v>
      </c>
      <c r="O376" t="s">
        <v>408</v>
      </c>
      <c r="P376" t="s">
        <v>344</v>
      </c>
      <c r="Q376" t="s">
        <v>408</v>
      </c>
      <c r="R376" t="s">
        <v>439</v>
      </c>
      <c r="S376" t="s">
        <v>440</v>
      </c>
      <c r="T376" t="s">
        <v>11</v>
      </c>
      <c r="U376" t="s">
        <v>408</v>
      </c>
    </row>
    <row r="377" spans="1:21" x14ac:dyDescent="0.25">
      <c r="A377">
        <v>9005331</v>
      </c>
      <c r="B377" t="s">
        <v>342</v>
      </c>
      <c r="C377" t="s">
        <v>33</v>
      </c>
      <c r="D377" t="s">
        <v>12</v>
      </c>
      <c r="E377" t="s">
        <v>723</v>
      </c>
      <c r="F377" t="s">
        <v>137</v>
      </c>
      <c r="G377" t="s">
        <v>369</v>
      </c>
      <c r="H377" t="s">
        <v>0</v>
      </c>
      <c r="I377" t="s">
        <v>436</v>
      </c>
      <c r="J377" t="s">
        <v>437</v>
      </c>
      <c r="K377" t="s">
        <v>438</v>
      </c>
      <c r="L377" t="s">
        <v>1</v>
      </c>
      <c r="M377" t="s">
        <v>408</v>
      </c>
      <c r="N377" t="s">
        <v>11</v>
      </c>
      <c r="O377" t="s">
        <v>408</v>
      </c>
      <c r="P377" t="s">
        <v>344</v>
      </c>
      <c r="Q377" t="s">
        <v>408</v>
      </c>
      <c r="R377" t="s">
        <v>439</v>
      </c>
      <c r="S377" t="s">
        <v>440</v>
      </c>
      <c r="T377" t="s">
        <v>11</v>
      </c>
      <c r="U377" t="s">
        <v>408</v>
      </c>
    </row>
    <row r="378" spans="1:21" x14ac:dyDescent="0.25">
      <c r="A378">
        <v>9005357</v>
      </c>
      <c r="B378" t="s">
        <v>342</v>
      </c>
      <c r="C378" t="s">
        <v>33</v>
      </c>
      <c r="D378" t="s">
        <v>12</v>
      </c>
      <c r="E378" t="s">
        <v>723</v>
      </c>
      <c r="F378" t="s">
        <v>137</v>
      </c>
      <c r="G378" t="s">
        <v>369</v>
      </c>
      <c r="H378" t="s">
        <v>0</v>
      </c>
      <c r="I378" t="s">
        <v>436</v>
      </c>
      <c r="J378" t="s">
        <v>437</v>
      </c>
      <c r="K378" t="s">
        <v>438</v>
      </c>
      <c r="L378" t="s">
        <v>2</v>
      </c>
      <c r="M378" t="s">
        <v>408</v>
      </c>
      <c r="N378" t="s">
        <v>11</v>
      </c>
      <c r="O378" t="s">
        <v>408</v>
      </c>
      <c r="P378" t="s">
        <v>344</v>
      </c>
      <c r="Q378" t="s">
        <v>408</v>
      </c>
      <c r="R378" t="s">
        <v>439</v>
      </c>
      <c r="S378" t="s">
        <v>440</v>
      </c>
      <c r="T378" t="s">
        <v>11</v>
      </c>
      <c r="U378" t="s">
        <v>408</v>
      </c>
    </row>
    <row r="379" spans="1:21" x14ac:dyDescent="0.25">
      <c r="A379">
        <v>9005364</v>
      </c>
      <c r="B379" t="s">
        <v>342</v>
      </c>
      <c r="C379" t="s">
        <v>33</v>
      </c>
      <c r="D379" t="s">
        <v>12</v>
      </c>
      <c r="E379" t="s">
        <v>723</v>
      </c>
      <c r="F379" t="s">
        <v>137</v>
      </c>
      <c r="G379" t="s">
        <v>369</v>
      </c>
      <c r="H379" t="s">
        <v>0</v>
      </c>
      <c r="I379" t="s">
        <v>436</v>
      </c>
      <c r="J379" t="s">
        <v>437</v>
      </c>
      <c r="K379" t="s">
        <v>438</v>
      </c>
      <c r="L379" t="s">
        <v>2</v>
      </c>
      <c r="M379" t="s">
        <v>408</v>
      </c>
      <c r="N379" t="s">
        <v>11</v>
      </c>
      <c r="O379" t="s">
        <v>408</v>
      </c>
      <c r="P379" t="s">
        <v>344</v>
      </c>
      <c r="Q379" t="s">
        <v>408</v>
      </c>
      <c r="R379" t="s">
        <v>439</v>
      </c>
      <c r="S379" t="s">
        <v>440</v>
      </c>
      <c r="T379" t="s">
        <v>11</v>
      </c>
      <c r="U379" t="s">
        <v>408</v>
      </c>
    </row>
    <row r="380" spans="1:21" x14ac:dyDescent="0.25">
      <c r="A380">
        <v>9005390</v>
      </c>
      <c r="B380" t="s">
        <v>342</v>
      </c>
      <c r="C380" t="s">
        <v>33</v>
      </c>
      <c r="D380" t="s">
        <v>12</v>
      </c>
      <c r="E380" t="s">
        <v>723</v>
      </c>
      <c r="F380" t="s">
        <v>137</v>
      </c>
      <c r="G380" t="s">
        <v>369</v>
      </c>
      <c r="H380" t="s">
        <v>0</v>
      </c>
      <c r="I380" t="s">
        <v>436</v>
      </c>
      <c r="J380" t="s">
        <v>437</v>
      </c>
      <c r="K380" t="s">
        <v>438</v>
      </c>
      <c r="L380" t="s">
        <v>5</v>
      </c>
      <c r="M380" t="s">
        <v>408</v>
      </c>
      <c r="N380" t="s">
        <v>11</v>
      </c>
      <c r="O380" t="s">
        <v>408</v>
      </c>
      <c r="P380" t="s">
        <v>344</v>
      </c>
      <c r="Q380" t="s">
        <v>408</v>
      </c>
      <c r="R380" t="s">
        <v>439</v>
      </c>
      <c r="S380" t="s">
        <v>440</v>
      </c>
      <c r="T380" t="s">
        <v>11</v>
      </c>
      <c r="U380" t="s">
        <v>408</v>
      </c>
    </row>
    <row r="381" spans="1:21" x14ac:dyDescent="0.25">
      <c r="A381">
        <v>9320756</v>
      </c>
      <c r="B381" t="s">
        <v>342</v>
      </c>
      <c r="C381" t="s">
        <v>33</v>
      </c>
      <c r="D381" t="s">
        <v>12</v>
      </c>
      <c r="E381" t="s">
        <v>720</v>
      </c>
      <c r="F381" t="s">
        <v>54</v>
      </c>
      <c r="G381" t="s">
        <v>369</v>
      </c>
      <c r="H381" t="s">
        <v>0</v>
      </c>
      <c r="I381" t="s">
        <v>436</v>
      </c>
      <c r="J381" t="s">
        <v>437</v>
      </c>
      <c r="K381" t="s">
        <v>438</v>
      </c>
      <c r="L381" t="s">
        <v>347</v>
      </c>
      <c r="M381" t="s">
        <v>408</v>
      </c>
      <c r="N381" t="s">
        <v>11</v>
      </c>
      <c r="O381" t="s">
        <v>11</v>
      </c>
      <c r="P381" t="s">
        <v>347</v>
      </c>
      <c r="Q381" t="s">
        <v>408</v>
      </c>
      <c r="R381" t="s">
        <v>439</v>
      </c>
      <c r="S381" t="s">
        <v>440</v>
      </c>
      <c r="T381" t="s">
        <v>11</v>
      </c>
      <c r="U381" t="s">
        <v>408</v>
      </c>
    </row>
    <row r="382" spans="1:21" x14ac:dyDescent="0.25">
      <c r="A382">
        <v>9320761</v>
      </c>
      <c r="B382" t="s">
        <v>340</v>
      </c>
      <c r="C382" t="s">
        <v>26</v>
      </c>
      <c r="D382" t="s">
        <v>12</v>
      </c>
      <c r="E382" t="s">
        <v>720</v>
      </c>
      <c r="F382" t="s">
        <v>54</v>
      </c>
      <c r="G382" t="s">
        <v>369</v>
      </c>
      <c r="H382" t="s">
        <v>0</v>
      </c>
      <c r="I382" t="s">
        <v>436</v>
      </c>
      <c r="J382" t="s">
        <v>437</v>
      </c>
      <c r="K382" t="s">
        <v>438</v>
      </c>
      <c r="L382" t="s">
        <v>1</v>
      </c>
      <c r="M382" t="s">
        <v>408</v>
      </c>
      <c r="N382" t="s">
        <v>11</v>
      </c>
      <c r="O382" t="s">
        <v>11</v>
      </c>
      <c r="P382" t="s">
        <v>347</v>
      </c>
      <c r="Q382" t="s">
        <v>408</v>
      </c>
      <c r="R382" t="s">
        <v>439</v>
      </c>
      <c r="S382" t="s">
        <v>440</v>
      </c>
      <c r="T382" t="s">
        <v>11</v>
      </c>
      <c r="U382" t="s">
        <v>408</v>
      </c>
    </row>
    <row r="383" spans="1:21" x14ac:dyDescent="0.25">
      <c r="A383">
        <v>9320774</v>
      </c>
      <c r="B383" t="s">
        <v>342</v>
      </c>
      <c r="C383" t="s">
        <v>33</v>
      </c>
      <c r="D383" t="s">
        <v>12</v>
      </c>
      <c r="E383" t="s">
        <v>473</v>
      </c>
      <c r="F383" t="s">
        <v>257</v>
      </c>
      <c r="G383" t="s">
        <v>369</v>
      </c>
      <c r="H383" t="s">
        <v>0</v>
      </c>
      <c r="I383" t="s">
        <v>436</v>
      </c>
      <c r="J383" t="s">
        <v>437</v>
      </c>
      <c r="K383" t="s">
        <v>438</v>
      </c>
      <c r="L383" t="s">
        <v>347</v>
      </c>
      <c r="M383" t="s">
        <v>408</v>
      </c>
      <c r="N383" t="s">
        <v>11</v>
      </c>
      <c r="O383" t="s">
        <v>11</v>
      </c>
      <c r="P383" t="s">
        <v>347</v>
      </c>
      <c r="Q383" t="s">
        <v>408</v>
      </c>
      <c r="R383" t="s">
        <v>439</v>
      </c>
      <c r="S383" t="s">
        <v>440</v>
      </c>
      <c r="T383" t="s">
        <v>11</v>
      </c>
      <c r="U383" t="s">
        <v>408</v>
      </c>
    </row>
    <row r="384" spans="1:21" x14ac:dyDescent="0.25">
      <c r="A384">
        <v>10281938</v>
      </c>
      <c r="B384" t="s">
        <v>340</v>
      </c>
      <c r="C384" t="s">
        <v>26</v>
      </c>
      <c r="D384" t="s">
        <v>12</v>
      </c>
      <c r="E384" t="s">
        <v>610</v>
      </c>
      <c r="F384" t="s">
        <v>256</v>
      </c>
      <c r="G384" t="s">
        <v>369</v>
      </c>
      <c r="H384" t="s">
        <v>0</v>
      </c>
      <c r="I384" t="s">
        <v>436</v>
      </c>
      <c r="J384" t="s">
        <v>437</v>
      </c>
      <c r="K384" t="s">
        <v>438</v>
      </c>
      <c r="L384" t="s">
        <v>1</v>
      </c>
      <c r="M384" t="s">
        <v>408</v>
      </c>
      <c r="N384" t="s">
        <v>11</v>
      </c>
      <c r="O384" t="s">
        <v>11</v>
      </c>
      <c r="P384" t="s">
        <v>351</v>
      </c>
      <c r="Q384" t="s">
        <v>408</v>
      </c>
      <c r="R384" t="s">
        <v>439</v>
      </c>
      <c r="S384" t="s">
        <v>440</v>
      </c>
      <c r="T384" t="s">
        <v>11</v>
      </c>
      <c r="U384" t="s">
        <v>408</v>
      </c>
    </row>
    <row r="385" spans="1:21" x14ac:dyDescent="0.25">
      <c r="A385">
        <v>10932004</v>
      </c>
      <c r="B385" t="s">
        <v>340</v>
      </c>
      <c r="C385" t="s">
        <v>26</v>
      </c>
      <c r="D385" t="s">
        <v>12</v>
      </c>
      <c r="E385" t="s">
        <v>720</v>
      </c>
      <c r="F385" t="s">
        <v>54</v>
      </c>
      <c r="G385" t="s">
        <v>369</v>
      </c>
      <c r="H385" t="s">
        <v>0</v>
      </c>
      <c r="I385" t="s">
        <v>436</v>
      </c>
      <c r="J385" t="s">
        <v>437</v>
      </c>
      <c r="K385" t="s">
        <v>438</v>
      </c>
      <c r="L385" t="s">
        <v>2</v>
      </c>
      <c r="M385" t="s">
        <v>408</v>
      </c>
      <c r="N385" t="s">
        <v>11</v>
      </c>
      <c r="O385" t="s">
        <v>11</v>
      </c>
      <c r="P385" t="s">
        <v>341</v>
      </c>
      <c r="Q385" t="s">
        <v>408</v>
      </c>
      <c r="R385" t="s">
        <v>439</v>
      </c>
      <c r="S385" t="s">
        <v>440</v>
      </c>
      <c r="T385" t="s">
        <v>11</v>
      </c>
      <c r="U385" t="s">
        <v>408</v>
      </c>
    </row>
    <row r="386" spans="1:21" x14ac:dyDescent="0.25">
      <c r="A386">
        <v>10932021</v>
      </c>
      <c r="B386" t="s">
        <v>340</v>
      </c>
      <c r="C386" t="s">
        <v>26</v>
      </c>
      <c r="D386" t="s">
        <v>12</v>
      </c>
      <c r="E386" t="s">
        <v>720</v>
      </c>
      <c r="F386" t="s">
        <v>54</v>
      </c>
      <c r="G386" t="s">
        <v>369</v>
      </c>
      <c r="H386" t="s">
        <v>0</v>
      </c>
      <c r="I386" t="s">
        <v>436</v>
      </c>
      <c r="J386" t="s">
        <v>437</v>
      </c>
      <c r="K386" t="s">
        <v>438</v>
      </c>
      <c r="L386" t="s">
        <v>2</v>
      </c>
      <c r="M386" t="s">
        <v>408</v>
      </c>
      <c r="N386" t="s">
        <v>11</v>
      </c>
      <c r="O386" t="s">
        <v>11</v>
      </c>
      <c r="P386" t="s">
        <v>341</v>
      </c>
      <c r="Q386" t="s">
        <v>408</v>
      </c>
      <c r="R386" t="s">
        <v>439</v>
      </c>
      <c r="S386" t="s">
        <v>440</v>
      </c>
      <c r="T386" t="s">
        <v>11</v>
      </c>
      <c r="U386" t="s">
        <v>408</v>
      </c>
    </row>
    <row r="387" spans="1:21" x14ac:dyDescent="0.25">
      <c r="A387">
        <v>10932028</v>
      </c>
      <c r="B387" t="s">
        <v>340</v>
      </c>
      <c r="C387" t="s">
        <v>26</v>
      </c>
      <c r="D387" t="s">
        <v>18</v>
      </c>
      <c r="E387" t="s">
        <v>720</v>
      </c>
      <c r="F387" t="s">
        <v>54</v>
      </c>
      <c r="G387" t="s">
        <v>369</v>
      </c>
      <c r="H387" t="s">
        <v>0</v>
      </c>
      <c r="I387" t="s">
        <v>436</v>
      </c>
      <c r="J387" t="s">
        <v>437</v>
      </c>
      <c r="K387" t="s">
        <v>438</v>
      </c>
      <c r="L387" t="s">
        <v>2</v>
      </c>
      <c r="M387" t="s">
        <v>408</v>
      </c>
      <c r="N387" t="s">
        <v>11</v>
      </c>
      <c r="O387" t="s">
        <v>11</v>
      </c>
      <c r="P387" t="s">
        <v>341</v>
      </c>
      <c r="Q387" t="s">
        <v>408</v>
      </c>
      <c r="R387" t="s">
        <v>439</v>
      </c>
      <c r="S387" t="s">
        <v>440</v>
      </c>
      <c r="T387" t="s">
        <v>11</v>
      </c>
      <c r="U387" t="s">
        <v>408</v>
      </c>
    </row>
    <row r="388" spans="1:21" x14ac:dyDescent="0.25">
      <c r="A388">
        <v>10932029</v>
      </c>
      <c r="B388" t="s">
        <v>342</v>
      </c>
      <c r="C388" t="s">
        <v>33</v>
      </c>
      <c r="D388" t="s">
        <v>12</v>
      </c>
      <c r="E388" t="s">
        <v>612</v>
      </c>
      <c r="F388" t="s">
        <v>72</v>
      </c>
      <c r="G388" t="s">
        <v>369</v>
      </c>
      <c r="H388" t="s">
        <v>0</v>
      </c>
      <c r="I388" t="s">
        <v>436</v>
      </c>
      <c r="J388" t="s">
        <v>437</v>
      </c>
      <c r="K388" t="s">
        <v>438</v>
      </c>
      <c r="L388" t="s">
        <v>341</v>
      </c>
      <c r="M388" t="s">
        <v>408</v>
      </c>
      <c r="N388" t="s">
        <v>11</v>
      </c>
      <c r="O388" t="s">
        <v>11</v>
      </c>
      <c r="P388" t="s">
        <v>341</v>
      </c>
      <c r="Q388" t="s">
        <v>408</v>
      </c>
      <c r="R388" t="s">
        <v>439</v>
      </c>
      <c r="S388" t="s">
        <v>440</v>
      </c>
      <c r="T388" t="s">
        <v>11</v>
      </c>
      <c r="U388" t="s">
        <v>408</v>
      </c>
    </row>
    <row r="389" spans="1:21" x14ac:dyDescent="0.25">
      <c r="A389">
        <v>10932035</v>
      </c>
      <c r="B389" t="s">
        <v>340</v>
      </c>
      <c r="C389" t="s">
        <v>26</v>
      </c>
      <c r="D389" t="s">
        <v>12</v>
      </c>
      <c r="E389" t="s">
        <v>612</v>
      </c>
      <c r="F389" t="s">
        <v>72</v>
      </c>
      <c r="G389" t="s">
        <v>369</v>
      </c>
      <c r="H389" t="s">
        <v>0</v>
      </c>
      <c r="I389" t="s">
        <v>436</v>
      </c>
      <c r="J389" t="s">
        <v>437</v>
      </c>
      <c r="K389" t="s">
        <v>438</v>
      </c>
      <c r="L389" t="s">
        <v>2</v>
      </c>
      <c r="M389" t="s">
        <v>408</v>
      </c>
      <c r="N389" t="s">
        <v>11</v>
      </c>
      <c r="O389" t="s">
        <v>11</v>
      </c>
      <c r="P389" t="s">
        <v>341</v>
      </c>
      <c r="Q389" t="s">
        <v>408</v>
      </c>
      <c r="R389" t="s">
        <v>439</v>
      </c>
      <c r="S389" t="s">
        <v>440</v>
      </c>
      <c r="T389" t="s">
        <v>11</v>
      </c>
      <c r="U389" t="s">
        <v>408</v>
      </c>
    </row>
    <row r="390" spans="1:21" x14ac:dyDescent="0.25">
      <c r="A390">
        <v>10932036</v>
      </c>
      <c r="B390" t="s">
        <v>340</v>
      </c>
      <c r="C390" t="s">
        <v>26</v>
      </c>
      <c r="D390" t="s">
        <v>18</v>
      </c>
      <c r="E390" t="s">
        <v>612</v>
      </c>
      <c r="F390" t="s">
        <v>72</v>
      </c>
      <c r="G390" t="s">
        <v>369</v>
      </c>
      <c r="H390" t="s">
        <v>0</v>
      </c>
      <c r="I390" t="s">
        <v>436</v>
      </c>
      <c r="J390" t="s">
        <v>437</v>
      </c>
      <c r="K390" t="s">
        <v>438</v>
      </c>
      <c r="L390" t="s">
        <v>2</v>
      </c>
      <c r="M390" t="s">
        <v>408</v>
      </c>
      <c r="N390" t="s">
        <v>11</v>
      </c>
      <c r="O390" t="s">
        <v>11</v>
      </c>
      <c r="P390" t="s">
        <v>341</v>
      </c>
      <c r="Q390" t="s">
        <v>408</v>
      </c>
      <c r="R390" t="s">
        <v>439</v>
      </c>
      <c r="S390" t="s">
        <v>440</v>
      </c>
      <c r="T390" t="s">
        <v>11</v>
      </c>
      <c r="U390" t="s">
        <v>408</v>
      </c>
    </row>
    <row r="391" spans="1:21" x14ac:dyDescent="0.25">
      <c r="A391">
        <v>10932041</v>
      </c>
      <c r="B391" t="s">
        <v>340</v>
      </c>
      <c r="C391" t="s">
        <v>26</v>
      </c>
      <c r="D391" t="s">
        <v>12</v>
      </c>
      <c r="E391" t="s">
        <v>720</v>
      </c>
      <c r="F391" t="s">
        <v>54</v>
      </c>
      <c r="G391" t="s">
        <v>369</v>
      </c>
      <c r="H391" t="s">
        <v>0</v>
      </c>
      <c r="I391" t="s">
        <v>436</v>
      </c>
      <c r="J391" t="s">
        <v>437</v>
      </c>
      <c r="K391" t="s">
        <v>438</v>
      </c>
      <c r="L391" t="s">
        <v>2</v>
      </c>
      <c r="M391" t="s">
        <v>408</v>
      </c>
      <c r="N391" t="s">
        <v>11</v>
      </c>
      <c r="O391" t="s">
        <v>11</v>
      </c>
      <c r="P391" t="s">
        <v>341</v>
      </c>
      <c r="Q391" t="s">
        <v>408</v>
      </c>
      <c r="R391" t="s">
        <v>439</v>
      </c>
      <c r="S391" t="s">
        <v>440</v>
      </c>
      <c r="T391" t="s">
        <v>11</v>
      </c>
      <c r="U391" t="s">
        <v>408</v>
      </c>
    </row>
    <row r="392" spans="1:21" x14ac:dyDescent="0.25">
      <c r="A392">
        <v>10932054</v>
      </c>
      <c r="B392" t="s">
        <v>340</v>
      </c>
      <c r="C392" t="s">
        <v>26</v>
      </c>
      <c r="D392" t="s">
        <v>12</v>
      </c>
      <c r="E392" t="s">
        <v>612</v>
      </c>
      <c r="F392" t="s">
        <v>72</v>
      </c>
      <c r="G392" t="s">
        <v>369</v>
      </c>
      <c r="H392" t="s">
        <v>0</v>
      </c>
      <c r="I392" t="s">
        <v>436</v>
      </c>
      <c r="J392" t="s">
        <v>437</v>
      </c>
      <c r="K392" t="s">
        <v>438</v>
      </c>
      <c r="L392" t="s">
        <v>2</v>
      </c>
      <c r="M392" t="s">
        <v>408</v>
      </c>
      <c r="N392" t="s">
        <v>11</v>
      </c>
      <c r="O392" t="s">
        <v>11</v>
      </c>
      <c r="P392" t="s">
        <v>341</v>
      </c>
      <c r="Q392" t="s">
        <v>408</v>
      </c>
      <c r="R392" t="s">
        <v>439</v>
      </c>
      <c r="S392" t="s">
        <v>440</v>
      </c>
      <c r="T392" t="s">
        <v>11</v>
      </c>
      <c r="U392" t="s">
        <v>408</v>
      </c>
    </row>
    <row r="393" spans="1:21" x14ac:dyDescent="0.25">
      <c r="A393">
        <v>10932055</v>
      </c>
      <c r="B393" t="s">
        <v>340</v>
      </c>
      <c r="C393" t="s">
        <v>26</v>
      </c>
      <c r="D393" t="s">
        <v>79</v>
      </c>
      <c r="E393" t="s">
        <v>612</v>
      </c>
      <c r="F393" t="s">
        <v>72</v>
      </c>
      <c r="G393" t="s">
        <v>369</v>
      </c>
      <c r="H393" t="s">
        <v>0</v>
      </c>
      <c r="I393" t="s">
        <v>436</v>
      </c>
      <c r="J393" t="s">
        <v>437</v>
      </c>
      <c r="K393" t="s">
        <v>438</v>
      </c>
      <c r="L393" t="s">
        <v>2</v>
      </c>
      <c r="M393" t="s">
        <v>408</v>
      </c>
      <c r="N393" t="s">
        <v>11</v>
      </c>
      <c r="O393" t="s">
        <v>11</v>
      </c>
      <c r="P393" t="s">
        <v>341</v>
      </c>
      <c r="Q393" t="s">
        <v>408</v>
      </c>
      <c r="R393" t="s">
        <v>439</v>
      </c>
      <c r="S393" t="s">
        <v>440</v>
      </c>
      <c r="T393" t="s">
        <v>11</v>
      </c>
      <c r="U393" t="s">
        <v>408</v>
      </c>
    </row>
    <row r="394" spans="1:21" x14ac:dyDescent="0.25">
      <c r="A394">
        <v>10932058</v>
      </c>
      <c r="B394" t="s">
        <v>342</v>
      </c>
      <c r="C394" t="s">
        <v>33</v>
      </c>
      <c r="D394" t="s">
        <v>12</v>
      </c>
      <c r="E394" t="s">
        <v>720</v>
      </c>
      <c r="F394" t="s">
        <v>54</v>
      </c>
      <c r="G394" t="s">
        <v>369</v>
      </c>
      <c r="H394" t="s">
        <v>2</v>
      </c>
      <c r="I394" t="s">
        <v>436</v>
      </c>
      <c r="J394" t="s">
        <v>443</v>
      </c>
      <c r="K394" t="s">
        <v>444</v>
      </c>
      <c r="L394" t="s">
        <v>341</v>
      </c>
      <c r="M394" t="s">
        <v>408</v>
      </c>
      <c r="N394" t="s">
        <v>11</v>
      </c>
      <c r="O394" t="s">
        <v>11</v>
      </c>
      <c r="P394" t="s">
        <v>341</v>
      </c>
      <c r="Q394" t="s">
        <v>408</v>
      </c>
      <c r="R394" t="s">
        <v>439</v>
      </c>
      <c r="S394" t="s">
        <v>440</v>
      </c>
      <c r="T394" t="s">
        <v>11</v>
      </c>
      <c r="U394" t="s">
        <v>408</v>
      </c>
    </row>
    <row r="395" spans="1:21" x14ac:dyDescent="0.25">
      <c r="A395">
        <v>10932060</v>
      </c>
      <c r="B395" t="s">
        <v>340</v>
      </c>
      <c r="C395" t="s">
        <v>26</v>
      </c>
      <c r="D395" t="s">
        <v>125</v>
      </c>
      <c r="E395" t="s">
        <v>720</v>
      </c>
      <c r="F395" t="s">
        <v>54</v>
      </c>
      <c r="G395" t="s">
        <v>369</v>
      </c>
      <c r="H395" t="s">
        <v>0</v>
      </c>
      <c r="I395" t="s">
        <v>436</v>
      </c>
      <c r="J395" t="s">
        <v>437</v>
      </c>
      <c r="K395" t="s">
        <v>438</v>
      </c>
      <c r="L395" t="s">
        <v>2</v>
      </c>
      <c r="M395" t="s">
        <v>408</v>
      </c>
      <c r="N395" t="s">
        <v>11</v>
      </c>
      <c r="O395" t="s">
        <v>11</v>
      </c>
      <c r="P395" t="s">
        <v>341</v>
      </c>
      <c r="Q395" t="s">
        <v>408</v>
      </c>
      <c r="R395" t="s">
        <v>439</v>
      </c>
      <c r="S395" t="s">
        <v>440</v>
      </c>
      <c r="T395" t="s">
        <v>11</v>
      </c>
      <c r="U395" t="s">
        <v>408</v>
      </c>
    </row>
    <row r="396" spans="1:21" x14ac:dyDescent="0.25">
      <c r="A396">
        <v>10932065</v>
      </c>
      <c r="B396" t="s">
        <v>340</v>
      </c>
      <c r="C396" t="s">
        <v>26</v>
      </c>
      <c r="D396" t="s">
        <v>12</v>
      </c>
      <c r="E396" t="s">
        <v>612</v>
      </c>
      <c r="F396" t="s">
        <v>72</v>
      </c>
      <c r="G396" t="s">
        <v>369</v>
      </c>
      <c r="H396" t="s">
        <v>3</v>
      </c>
      <c r="I396" t="s">
        <v>436</v>
      </c>
      <c r="J396" t="s">
        <v>441</v>
      </c>
      <c r="K396" t="s">
        <v>442</v>
      </c>
      <c r="L396" t="s">
        <v>0</v>
      </c>
      <c r="M396" t="s">
        <v>408</v>
      </c>
      <c r="N396" t="s">
        <v>11</v>
      </c>
      <c r="O396" t="s">
        <v>11</v>
      </c>
      <c r="P396" t="s">
        <v>341</v>
      </c>
      <c r="Q396" t="s">
        <v>408</v>
      </c>
      <c r="R396" t="s">
        <v>439</v>
      </c>
      <c r="S396" t="s">
        <v>440</v>
      </c>
      <c r="T396" t="s">
        <v>11</v>
      </c>
      <c r="U396" t="s">
        <v>408</v>
      </c>
    </row>
    <row r="397" spans="1:21" x14ac:dyDescent="0.25">
      <c r="A397">
        <v>10932067</v>
      </c>
      <c r="B397" t="s">
        <v>340</v>
      </c>
      <c r="C397" t="s">
        <v>26</v>
      </c>
      <c r="D397" t="s">
        <v>12</v>
      </c>
      <c r="E397" t="s">
        <v>720</v>
      </c>
      <c r="F397" t="s">
        <v>54</v>
      </c>
      <c r="G397" t="s">
        <v>369</v>
      </c>
      <c r="H397" t="s">
        <v>0</v>
      </c>
      <c r="I397" t="s">
        <v>436</v>
      </c>
      <c r="J397" t="s">
        <v>437</v>
      </c>
      <c r="K397" t="s">
        <v>438</v>
      </c>
      <c r="L397" t="s">
        <v>2</v>
      </c>
      <c r="M397" t="s">
        <v>408</v>
      </c>
      <c r="N397" t="s">
        <v>11</v>
      </c>
      <c r="O397" t="s">
        <v>11</v>
      </c>
      <c r="P397" t="s">
        <v>341</v>
      </c>
      <c r="Q397" t="s">
        <v>408</v>
      </c>
      <c r="R397" t="s">
        <v>439</v>
      </c>
      <c r="S397" t="s">
        <v>440</v>
      </c>
      <c r="T397" t="s">
        <v>11</v>
      </c>
      <c r="U397" t="s">
        <v>408</v>
      </c>
    </row>
    <row r="398" spans="1:21" x14ac:dyDescent="0.25">
      <c r="A398">
        <v>10932069</v>
      </c>
      <c r="B398" t="s">
        <v>340</v>
      </c>
      <c r="C398" t="s">
        <v>26</v>
      </c>
      <c r="D398" t="s">
        <v>18</v>
      </c>
      <c r="E398" t="s">
        <v>612</v>
      </c>
      <c r="F398" t="s">
        <v>72</v>
      </c>
      <c r="G398" t="s">
        <v>369</v>
      </c>
      <c r="H398" t="s">
        <v>0</v>
      </c>
      <c r="I398" t="s">
        <v>436</v>
      </c>
      <c r="J398" t="s">
        <v>437</v>
      </c>
      <c r="K398" t="s">
        <v>438</v>
      </c>
      <c r="L398" t="s">
        <v>2</v>
      </c>
      <c r="M398" t="s">
        <v>408</v>
      </c>
      <c r="N398" t="s">
        <v>11</v>
      </c>
      <c r="O398" t="s">
        <v>11</v>
      </c>
      <c r="P398" t="s">
        <v>341</v>
      </c>
      <c r="Q398" t="s">
        <v>408</v>
      </c>
      <c r="R398" t="s">
        <v>439</v>
      </c>
      <c r="S398" t="s">
        <v>440</v>
      </c>
      <c r="T398" t="s">
        <v>11</v>
      </c>
      <c r="U398" t="s">
        <v>408</v>
      </c>
    </row>
    <row r="399" spans="1:21" x14ac:dyDescent="0.25">
      <c r="A399">
        <v>10932070</v>
      </c>
      <c r="B399" t="s">
        <v>340</v>
      </c>
      <c r="C399" t="s">
        <v>26</v>
      </c>
      <c r="D399" t="s">
        <v>12</v>
      </c>
      <c r="E399" t="s">
        <v>720</v>
      </c>
      <c r="F399" t="s">
        <v>54</v>
      </c>
      <c r="G399" t="s">
        <v>369</v>
      </c>
      <c r="H399" t="s">
        <v>0</v>
      </c>
      <c r="I399" t="s">
        <v>436</v>
      </c>
      <c r="J399" t="s">
        <v>437</v>
      </c>
      <c r="K399" t="s">
        <v>438</v>
      </c>
      <c r="L399" t="s">
        <v>2</v>
      </c>
      <c r="M399" t="s">
        <v>408</v>
      </c>
      <c r="N399" t="s">
        <v>11</v>
      </c>
      <c r="O399" t="s">
        <v>11</v>
      </c>
      <c r="P399" t="s">
        <v>341</v>
      </c>
      <c r="Q399" t="s">
        <v>408</v>
      </c>
      <c r="R399" t="s">
        <v>439</v>
      </c>
      <c r="S399" t="s">
        <v>440</v>
      </c>
      <c r="T399" t="s">
        <v>11</v>
      </c>
      <c r="U399" t="s">
        <v>408</v>
      </c>
    </row>
    <row r="400" spans="1:21" x14ac:dyDescent="0.25">
      <c r="A400">
        <v>10932073</v>
      </c>
      <c r="B400" t="s">
        <v>340</v>
      </c>
      <c r="C400" t="s">
        <v>26</v>
      </c>
      <c r="D400" t="s">
        <v>12</v>
      </c>
      <c r="E400" t="s">
        <v>720</v>
      </c>
      <c r="F400" t="s">
        <v>54</v>
      </c>
      <c r="G400" t="s">
        <v>369</v>
      </c>
      <c r="H400" t="s">
        <v>0</v>
      </c>
      <c r="I400" t="s">
        <v>436</v>
      </c>
      <c r="J400" t="s">
        <v>437</v>
      </c>
      <c r="K400" t="s">
        <v>438</v>
      </c>
      <c r="L400" t="s">
        <v>2</v>
      </c>
      <c r="M400" t="s">
        <v>408</v>
      </c>
      <c r="N400" t="s">
        <v>11</v>
      </c>
      <c r="O400" t="s">
        <v>11</v>
      </c>
      <c r="P400" t="s">
        <v>341</v>
      </c>
      <c r="Q400" t="s">
        <v>408</v>
      </c>
      <c r="R400" t="s">
        <v>439</v>
      </c>
      <c r="S400" t="s">
        <v>440</v>
      </c>
      <c r="T400" t="s">
        <v>11</v>
      </c>
      <c r="U400" t="s">
        <v>408</v>
      </c>
    </row>
    <row r="401" spans="1:21" x14ac:dyDescent="0.25">
      <c r="A401">
        <v>10932074</v>
      </c>
      <c r="B401" t="s">
        <v>340</v>
      </c>
      <c r="C401" t="s">
        <v>26</v>
      </c>
      <c r="D401" t="s">
        <v>109</v>
      </c>
      <c r="E401" t="s">
        <v>725</v>
      </c>
      <c r="F401" t="s">
        <v>135</v>
      </c>
      <c r="G401" t="s">
        <v>369</v>
      </c>
      <c r="H401" t="s">
        <v>0</v>
      </c>
      <c r="I401" t="s">
        <v>436</v>
      </c>
      <c r="J401" t="s">
        <v>437</v>
      </c>
      <c r="K401" t="s">
        <v>438</v>
      </c>
      <c r="L401" t="s">
        <v>2</v>
      </c>
      <c r="M401" t="s">
        <v>408</v>
      </c>
      <c r="N401" t="s">
        <v>11</v>
      </c>
      <c r="O401" t="s">
        <v>11</v>
      </c>
      <c r="P401" t="s">
        <v>341</v>
      </c>
      <c r="Q401" t="s">
        <v>408</v>
      </c>
      <c r="R401" t="s">
        <v>439</v>
      </c>
      <c r="S401" t="s">
        <v>440</v>
      </c>
      <c r="T401" t="s">
        <v>11</v>
      </c>
      <c r="U401" t="s">
        <v>408</v>
      </c>
    </row>
    <row r="402" spans="1:21" x14ac:dyDescent="0.25">
      <c r="A402">
        <v>10932075</v>
      </c>
      <c r="B402" t="s">
        <v>340</v>
      </c>
      <c r="C402" t="s">
        <v>26</v>
      </c>
      <c r="D402" t="s">
        <v>18</v>
      </c>
      <c r="E402" t="s">
        <v>725</v>
      </c>
      <c r="F402" t="s">
        <v>135</v>
      </c>
      <c r="G402" t="s">
        <v>369</v>
      </c>
      <c r="H402" t="s">
        <v>0</v>
      </c>
      <c r="I402" t="s">
        <v>436</v>
      </c>
      <c r="J402" t="s">
        <v>437</v>
      </c>
      <c r="K402" t="s">
        <v>438</v>
      </c>
      <c r="L402" t="s">
        <v>2</v>
      </c>
      <c r="M402" t="s">
        <v>408</v>
      </c>
      <c r="N402" t="s">
        <v>11</v>
      </c>
      <c r="O402" t="s">
        <v>11</v>
      </c>
      <c r="P402" t="s">
        <v>341</v>
      </c>
      <c r="Q402" t="s">
        <v>408</v>
      </c>
      <c r="R402" t="s">
        <v>439</v>
      </c>
      <c r="S402" t="s">
        <v>440</v>
      </c>
      <c r="T402" t="s">
        <v>11</v>
      </c>
      <c r="U402" t="s">
        <v>408</v>
      </c>
    </row>
    <row r="403" spans="1:21" x14ac:dyDescent="0.25">
      <c r="A403">
        <v>10932083</v>
      </c>
      <c r="B403" t="s">
        <v>340</v>
      </c>
      <c r="C403" t="s">
        <v>26</v>
      </c>
      <c r="D403" t="s">
        <v>12</v>
      </c>
      <c r="E403" t="s">
        <v>725</v>
      </c>
      <c r="F403" t="s">
        <v>135</v>
      </c>
      <c r="G403" t="s">
        <v>369</v>
      </c>
      <c r="H403" t="s">
        <v>0</v>
      </c>
      <c r="I403" t="s">
        <v>436</v>
      </c>
      <c r="J403" t="s">
        <v>437</v>
      </c>
      <c r="K403" t="s">
        <v>438</v>
      </c>
      <c r="L403" t="s">
        <v>2</v>
      </c>
      <c r="M403" t="s">
        <v>408</v>
      </c>
      <c r="N403" t="s">
        <v>11</v>
      </c>
      <c r="O403" t="s">
        <v>11</v>
      </c>
      <c r="P403" t="s">
        <v>341</v>
      </c>
      <c r="Q403" t="s">
        <v>408</v>
      </c>
      <c r="R403" t="s">
        <v>439</v>
      </c>
      <c r="S403" t="s">
        <v>440</v>
      </c>
      <c r="T403" t="s">
        <v>11</v>
      </c>
      <c r="U403" t="s">
        <v>408</v>
      </c>
    </row>
    <row r="404" spans="1:21" x14ac:dyDescent="0.25">
      <c r="A404">
        <v>10932091</v>
      </c>
      <c r="B404" t="s">
        <v>340</v>
      </c>
      <c r="C404" t="s">
        <v>26</v>
      </c>
      <c r="D404" t="s">
        <v>12</v>
      </c>
      <c r="E404" t="s">
        <v>725</v>
      </c>
      <c r="F404" t="s">
        <v>135</v>
      </c>
      <c r="G404" t="s">
        <v>369</v>
      </c>
      <c r="H404" t="s">
        <v>0</v>
      </c>
      <c r="I404" t="s">
        <v>436</v>
      </c>
      <c r="J404" t="s">
        <v>437</v>
      </c>
      <c r="K404" t="s">
        <v>438</v>
      </c>
      <c r="L404" t="s">
        <v>2</v>
      </c>
      <c r="M404" t="s">
        <v>408</v>
      </c>
      <c r="N404" t="s">
        <v>11</v>
      </c>
      <c r="O404" t="s">
        <v>11</v>
      </c>
      <c r="P404" t="s">
        <v>341</v>
      </c>
      <c r="Q404" t="s">
        <v>408</v>
      </c>
      <c r="R404" t="s">
        <v>439</v>
      </c>
      <c r="S404" t="s">
        <v>440</v>
      </c>
      <c r="T404" t="s">
        <v>11</v>
      </c>
      <c r="U404" t="s">
        <v>408</v>
      </c>
    </row>
    <row r="405" spans="1:21" x14ac:dyDescent="0.25">
      <c r="A405">
        <v>10932092</v>
      </c>
      <c r="B405" t="s">
        <v>340</v>
      </c>
      <c r="C405" t="s">
        <v>26</v>
      </c>
      <c r="D405" t="s">
        <v>18</v>
      </c>
      <c r="E405" t="s">
        <v>725</v>
      </c>
      <c r="F405" t="s">
        <v>135</v>
      </c>
      <c r="G405" t="s">
        <v>369</v>
      </c>
      <c r="H405" t="s">
        <v>0</v>
      </c>
      <c r="I405" t="s">
        <v>436</v>
      </c>
      <c r="J405" t="s">
        <v>437</v>
      </c>
      <c r="K405" t="s">
        <v>438</v>
      </c>
      <c r="L405" t="s">
        <v>2</v>
      </c>
      <c r="M405" t="s">
        <v>408</v>
      </c>
      <c r="N405" t="s">
        <v>11</v>
      </c>
      <c r="O405" t="s">
        <v>11</v>
      </c>
      <c r="P405" t="s">
        <v>341</v>
      </c>
      <c r="Q405" t="s">
        <v>408</v>
      </c>
      <c r="R405" t="s">
        <v>439</v>
      </c>
      <c r="S405" t="s">
        <v>440</v>
      </c>
      <c r="T405" t="s">
        <v>11</v>
      </c>
      <c r="U405" t="s">
        <v>408</v>
      </c>
    </row>
    <row r="406" spans="1:21" x14ac:dyDescent="0.25">
      <c r="A406">
        <v>10932145</v>
      </c>
      <c r="B406" t="s">
        <v>340</v>
      </c>
      <c r="C406" t="s">
        <v>26</v>
      </c>
      <c r="D406" t="s">
        <v>79</v>
      </c>
      <c r="E406" t="s">
        <v>614</v>
      </c>
      <c r="F406" t="s">
        <v>134</v>
      </c>
      <c r="G406" t="s">
        <v>369</v>
      </c>
      <c r="H406" t="s">
        <v>0</v>
      </c>
      <c r="I406" t="s">
        <v>436</v>
      </c>
      <c r="J406" t="s">
        <v>437</v>
      </c>
      <c r="K406" t="s">
        <v>438</v>
      </c>
      <c r="L406" t="s">
        <v>2</v>
      </c>
      <c r="M406" t="s">
        <v>408</v>
      </c>
      <c r="N406" t="s">
        <v>11</v>
      </c>
      <c r="O406" t="s">
        <v>11</v>
      </c>
      <c r="P406" t="s">
        <v>2</v>
      </c>
      <c r="Q406" t="s">
        <v>408</v>
      </c>
      <c r="R406" t="s">
        <v>439</v>
      </c>
      <c r="S406" t="s">
        <v>440</v>
      </c>
      <c r="T406" t="s">
        <v>11</v>
      </c>
      <c r="U406" t="s">
        <v>408</v>
      </c>
    </row>
    <row r="407" spans="1:21" x14ac:dyDescent="0.25">
      <c r="A407">
        <v>10932161</v>
      </c>
      <c r="B407" t="s">
        <v>340</v>
      </c>
      <c r="C407" t="s">
        <v>26</v>
      </c>
      <c r="D407" t="s">
        <v>12</v>
      </c>
      <c r="E407" t="s">
        <v>720</v>
      </c>
      <c r="F407" t="s">
        <v>54</v>
      </c>
      <c r="G407" t="s">
        <v>369</v>
      </c>
      <c r="H407" t="s">
        <v>2</v>
      </c>
      <c r="I407" t="s">
        <v>436</v>
      </c>
      <c r="J407" t="s">
        <v>443</v>
      </c>
      <c r="K407" t="s">
        <v>444</v>
      </c>
      <c r="L407" t="s">
        <v>0</v>
      </c>
      <c r="M407" t="s">
        <v>408</v>
      </c>
      <c r="N407" t="s">
        <v>11</v>
      </c>
      <c r="O407" t="s">
        <v>408</v>
      </c>
      <c r="P407" t="s">
        <v>341</v>
      </c>
      <c r="Q407" t="s">
        <v>408</v>
      </c>
      <c r="R407" t="s">
        <v>439</v>
      </c>
      <c r="S407" t="s">
        <v>440</v>
      </c>
      <c r="T407" t="s">
        <v>11</v>
      </c>
      <c r="U407" t="s">
        <v>408</v>
      </c>
    </row>
    <row r="408" spans="1:21" x14ac:dyDescent="0.25">
      <c r="A408">
        <v>10943295</v>
      </c>
      <c r="B408" t="s">
        <v>340</v>
      </c>
      <c r="C408" t="s">
        <v>26</v>
      </c>
      <c r="D408" t="s">
        <v>12</v>
      </c>
      <c r="E408" t="s">
        <v>612</v>
      </c>
      <c r="F408" t="s">
        <v>71</v>
      </c>
      <c r="G408" t="s">
        <v>369</v>
      </c>
      <c r="H408" t="s">
        <v>715</v>
      </c>
      <c r="I408" t="s">
        <v>716</v>
      </c>
      <c r="J408" t="s">
        <v>717</v>
      </c>
      <c r="K408" t="s">
        <v>438</v>
      </c>
      <c r="L408" t="s">
        <v>0</v>
      </c>
      <c r="M408" t="s">
        <v>408</v>
      </c>
      <c r="N408" t="s">
        <v>11</v>
      </c>
      <c r="O408" t="s">
        <v>11</v>
      </c>
      <c r="P408" t="s">
        <v>1</v>
      </c>
      <c r="Q408" t="s">
        <v>408</v>
      </c>
      <c r="R408" t="s">
        <v>439</v>
      </c>
      <c r="S408" t="s">
        <v>440</v>
      </c>
      <c r="T408" t="s">
        <v>11</v>
      </c>
      <c r="U408" t="s">
        <v>408</v>
      </c>
    </row>
    <row r="409" spans="1:21" x14ac:dyDescent="0.25">
      <c r="A409">
        <v>10943299</v>
      </c>
      <c r="B409" t="s">
        <v>340</v>
      </c>
      <c r="C409" t="s">
        <v>26</v>
      </c>
      <c r="D409" t="s">
        <v>12</v>
      </c>
      <c r="E409" t="s">
        <v>612</v>
      </c>
      <c r="F409" t="s">
        <v>71</v>
      </c>
      <c r="G409" t="s">
        <v>369</v>
      </c>
      <c r="H409" t="s">
        <v>5</v>
      </c>
      <c r="I409" t="s">
        <v>436</v>
      </c>
      <c r="J409" t="s">
        <v>446</v>
      </c>
      <c r="K409" t="s">
        <v>438</v>
      </c>
      <c r="L409" t="s">
        <v>2</v>
      </c>
      <c r="M409" t="s">
        <v>408</v>
      </c>
      <c r="N409" t="s">
        <v>11</v>
      </c>
      <c r="O409" t="s">
        <v>11</v>
      </c>
      <c r="P409" t="s">
        <v>1</v>
      </c>
      <c r="Q409" t="s">
        <v>408</v>
      </c>
      <c r="R409" t="s">
        <v>439</v>
      </c>
      <c r="S409" t="s">
        <v>440</v>
      </c>
      <c r="T409" t="s">
        <v>11</v>
      </c>
      <c r="U409" t="s">
        <v>408</v>
      </c>
    </row>
    <row r="410" spans="1:21" x14ac:dyDescent="0.25">
      <c r="A410">
        <v>10943330</v>
      </c>
      <c r="B410" t="s">
        <v>342</v>
      </c>
      <c r="C410" t="s">
        <v>33</v>
      </c>
      <c r="D410" t="s">
        <v>12</v>
      </c>
      <c r="E410" t="s">
        <v>612</v>
      </c>
      <c r="F410" t="s">
        <v>71</v>
      </c>
      <c r="G410" t="s">
        <v>369</v>
      </c>
      <c r="H410" t="s">
        <v>0</v>
      </c>
      <c r="I410" t="s">
        <v>436</v>
      </c>
      <c r="J410" t="s">
        <v>437</v>
      </c>
      <c r="K410" t="s">
        <v>438</v>
      </c>
      <c r="L410" t="s">
        <v>1</v>
      </c>
      <c r="M410" t="s">
        <v>408</v>
      </c>
      <c r="N410" t="s">
        <v>11</v>
      </c>
      <c r="O410" t="s">
        <v>11</v>
      </c>
      <c r="P410" t="s">
        <v>1</v>
      </c>
      <c r="Q410" t="s">
        <v>408</v>
      </c>
      <c r="R410" t="s">
        <v>439</v>
      </c>
      <c r="S410" t="s">
        <v>440</v>
      </c>
      <c r="T410" t="s">
        <v>11</v>
      </c>
      <c r="U410" t="s">
        <v>408</v>
      </c>
    </row>
    <row r="411" spans="1:21" x14ac:dyDescent="0.25">
      <c r="A411">
        <v>10943339</v>
      </c>
      <c r="B411" t="s">
        <v>342</v>
      </c>
      <c r="C411" t="s">
        <v>33</v>
      </c>
      <c r="D411" t="s">
        <v>12</v>
      </c>
      <c r="E411" t="s">
        <v>612</v>
      </c>
      <c r="F411" t="s">
        <v>71</v>
      </c>
      <c r="G411" t="s">
        <v>369</v>
      </c>
      <c r="H411" t="s">
        <v>0</v>
      </c>
      <c r="I411" t="s">
        <v>436</v>
      </c>
      <c r="J411" t="s">
        <v>437</v>
      </c>
      <c r="K411" t="s">
        <v>438</v>
      </c>
      <c r="L411" t="s">
        <v>1</v>
      </c>
      <c r="M411" t="s">
        <v>408</v>
      </c>
      <c r="N411" t="s">
        <v>11</v>
      </c>
      <c r="O411" t="s">
        <v>11</v>
      </c>
      <c r="P411" t="s">
        <v>1</v>
      </c>
      <c r="Q411" t="s">
        <v>408</v>
      </c>
      <c r="R411" t="s">
        <v>439</v>
      </c>
      <c r="S411" t="s">
        <v>440</v>
      </c>
      <c r="T411" t="s">
        <v>11</v>
      </c>
      <c r="U411" t="s">
        <v>408</v>
      </c>
    </row>
    <row r="412" spans="1:21" x14ac:dyDescent="0.25">
      <c r="A412">
        <v>11184715</v>
      </c>
      <c r="B412" t="s">
        <v>342</v>
      </c>
      <c r="C412" t="s">
        <v>33</v>
      </c>
      <c r="D412" t="s">
        <v>12</v>
      </c>
      <c r="E412" t="s">
        <v>724</v>
      </c>
      <c r="F412" t="s">
        <v>70</v>
      </c>
      <c r="G412" t="s">
        <v>369</v>
      </c>
      <c r="H412" t="s">
        <v>0</v>
      </c>
      <c r="I412" t="s">
        <v>436</v>
      </c>
      <c r="J412" t="s">
        <v>437</v>
      </c>
      <c r="K412" t="s">
        <v>438</v>
      </c>
      <c r="L412" t="s">
        <v>5</v>
      </c>
      <c r="M412" t="s">
        <v>408</v>
      </c>
      <c r="N412" t="s">
        <v>11</v>
      </c>
      <c r="O412" t="s">
        <v>408</v>
      </c>
      <c r="P412" t="s">
        <v>344</v>
      </c>
      <c r="Q412" t="s">
        <v>408</v>
      </c>
      <c r="R412" t="s">
        <v>439</v>
      </c>
      <c r="S412" t="s">
        <v>440</v>
      </c>
      <c r="T412" t="s">
        <v>11</v>
      </c>
      <c r="U412" t="s">
        <v>408</v>
      </c>
    </row>
    <row r="413" spans="1:21" x14ac:dyDescent="0.25">
      <c r="A413">
        <v>11184758</v>
      </c>
      <c r="B413" t="s">
        <v>342</v>
      </c>
      <c r="C413" t="s">
        <v>33</v>
      </c>
      <c r="D413" t="s">
        <v>12</v>
      </c>
      <c r="E413" t="s">
        <v>724</v>
      </c>
      <c r="F413" t="s">
        <v>70</v>
      </c>
      <c r="G413" t="s">
        <v>369</v>
      </c>
      <c r="H413" t="s">
        <v>2</v>
      </c>
      <c r="I413" t="s">
        <v>436</v>
      </c>
      <c r="J413" t="s">
        <v>443</v>
      </c>
      <c r="K413" t="s">
        <v>444</v>
      </c>
      <c r="L413" t="s">
        <v>0</v>
      </c>
      <c r="M413" t="s">
        <v>408</v>
      </c>
      <c r="N413" t="s">
        <v>11</v>
      </c>
      <c r="O413" t="s">
        <v>408</v>
      </c>
      <c r="P413" t="s">
        <v>344</v>
      </c>
      <c r="Q413" t="s">
        <v>408</v>
      </c>
      <c r="R413" t="s">
        <v>439</v>
      </c>
      <c r="S413" t="s">
        <v>440</v>
      </c>
      <c r="T413" t="s">
        <v>11</v>
      </c>
      <c r="U413" t="s">
        <v>408</v>
      </c>
    </row>
    <row r="414" spans="1:21" x14ac:dyDescent="0.25">
      <c r="A414">
        <v>11189200</v>
      </c>
      <c r="B414" t="s">
        <v>342</v>
      </c>
      <c r="C414" t="s">
        <v>33</v>
      </c>
      <c r="D414" t="s">
        <v>12</v>
      </c>
      <c r="E414" t="s">
        <v>720</v>
      </c>
      <c r="F414" t="s">
        <v>91</v>
      </c>
      <c r="G414" t="s">
        <v>369</v>
      </c>
      <c r="H414" t="s">
        <v>2</v>
      </c>
      <c r="I414" t="s">
        <v>436</v>
      </c>
      <c r="J414" t="s">
        <v>443</v>
      </c>
      <c r="K414" t="s">
        <v>444</v>
      </c>
      <c r="L414" t="s">
        <v>0</v>
      </c>
      <c r="M414" t="s">
        <v>408</v>
      </c>
      <c r="N414" t="s">
        <v>11</v>
      </c>
      <c r="O414" t="s">
        <v>408</v>
      </c>
      <c r="P414" t="s">
        <v>344</v>
      </c>
      <c r="Q414" t="s">
        <v>408</v>
      </c>
      <c r="R414" t="s">
        <v>439</v>
      </c>
      <c r="S414" t="s">
        <v>440</v>
      </c>
      <c r="T414" t="s">
        <v>11</v>
      </c>
      <c r="U414" t="s">
        <v>408</v>
      </c>
    </row>
    <row r="415" spans="1:21" x14ac:dyDescent="0.25">
      <c r="A415">
        <v>11189268</v>
      </c>
      <c r="B415" t="s">
        <v>342</v>
      </c>
      <c r="C415" t="s">
        <v>33</v>
      </c>
      <c r="D415" t="s">
        <v>12</v>
      </c>
      <c r="E415" t="s">
        <v>720</v>
      </c>
      <c r="F415" t="s">
        <v>91</v>
      </c>
      <c r="G415" t="s">
        <v>369</v>
      </c>
      <c r="H415" t="s">
        <v>1</v>
      </c>
      <c r="I415" t="s">
        <v>469</v>
      </c>
      <c r="J415" t="s">
        <v>445</v>
      </c>
      <c r="K415" t="s">
        <v>438</v>
      </c>
      <c r="L415" t="s">
        <v>0</v>
      </c>
      <c r="M415" t="s">
        <v>408</v>
      </c>
      <c r="N415" t="s">
        <v>11</v>
      </c>
      <c r="O415" t="s">
        <v>408</v>
      </c>
      <c r="P415" t="s">
        <v>344</v>
      </c>
      <c r="Q415" t="s">
        <v>408</v>
      </c>
      <c r="R415" t="s">
        <v>439</v>
      </c>
      <c r="S415" t="s">
        <v>440</v>
      </c>
      <c r="T415" t="s">
        <v>11</v>
      </c>
      <c r="U415" t="s">
        <v>408</v>
      </c>
    </row>
    <row r="416" spans="1:21" x14ac:dyDescent="0.25">
      <c r="A416">
        <v>11793279</v>
      </c>
      <c r="B416" t="s">
        <v>340</v>
      </c>
      <c r="C416" t="s">
        <v>26</v>
      </c>
      <c r="D416" t="s">
        <v>18</v>
      </c>
      <c r="E416" t="s">
        <v>724</v>
      </c>
      <c r="F416" t="s">
        <v>36</v>
      </c>
      <c r="G416" t="s">
        <v>369</v>
      </c>
      <c r="H416" t="s">
        <v>0</v>
      </c>
      <c r="I416" t="s">
        <v>436</v>
      </c>
      <c r="J416" t="s">
        <v>437</v>
      </c>
      <c r="K416" t="s">
        <v>438</v>
      </c>
      <c r="L416" t="s">
        <v>5</v>
      </c>
      <c r="M416" t="s">
        <v>408</v>
      </c>
      <c r="N416" t="s">
        <v>11</v>
      </c>
      <c r="O416" t="s">
        <v>11</v>
      </c>
      <c r="P416" t="s">
        <v>2</v>
      </c>
      <c r="Q416" t="s">
        <v>408</v>
      </c>
      <c r="R416" t="s">
        <v>439</v>
      </c>
      <c r="S416" t="s">
        <v>440</v>
      </c>
      <c r="T416" t="s">
        <v>11</v>
      </c>
      <c r="U416" t="s">
        <v>408</v>
      </c>
    </row>
    <row r="417" spans="1:21" x14ac:dyDescent="0.25">
      <c r="A417">
        <v>11793298</v>
      </c>
      <c r="B417" t="s">
        <v>340</v>
      </c>
      <c r="C417" t="s">
        <v>26</v>
      </c>
      <c r="D417" t="s">
        <v>12</v>
      </c>
      <c r="E417" t="s">
        <v>614</v>
      </c>
      <c r="F417" t="s">
        <v>134</v>
      </c>
      <c r="G417" t="s">
        <v>369</v>
      </c>
      <c r="H417" t="s">
        <v>0</v>
      </c>
      <c r="I417" t="s">
        <v>436</v>
      </c>
      <c r="J417" t="s">
        <v>437</v>
      </c>
      <c r="K417" t="s">
        <v>438</v>
      </c>
      <c r="L417" t="s">
        <v>2</v>
      </c>
      <c r="M417" t="s">
        <v>408</v>
      </c>
      <c r="N417" t="s">
        <v>11</v>
      </c>
      <c r="O417" t="s">
        <v>11</v>
      </c>
      <c r="P417" t="s">
        <v>2</v>
      </c>
      <c r="Q417" t="s">
        <v>408</v>
      </c>
      <c r="R417" t="s">
        <v>439</v>
      </c>
      <c r="S417" t="s">
        <v>440</v>
      </c>
      <c r="T417" t="s">
        <v>11</v>
      </c>
      <c r="U417" t="s">
        <v>408</v>
      </c>
    </row>
    <row r="418" spans="1:21" x14ac:dyDescent="0.25">
      <c r="A418">
        <v>11793309</v>
      </c>
      <c r="B418" t="s">
        <v>340</v>
      </c>
      <c r="C418" t="s">
        <v>26</v>
      </c>
      <c r="D418" t="s">
        <v>18</v>
      </c>
      <c r="E418" t="s">
        <v>724</v>
      </c>
      <c r="F418" t="s">
        <v>36</v>
      </c>
      <c r="G418" t="s">
        <v>369</v>
      </c>
      <c r="H418" t="s">
        <v>0</v>
      </c>
      <c r="I418" t="s">
        <v>436</v>
      </c>
      <c r="J418" t="s">
        <v>437</v>
      </c>
      <c r="K418" t="s">
        <v>438</v>
      </c>
      <c r="L418" t="s">
        <v>2</v>
      </c>
      <c r="M418" t="s">
        <v>408</v>
      </c>
      <c r="N418" t="s">
        <v>11</v>
      </c>
      <c r="O418" t="s">
        <v>11</v>
      </c>
      <c r="P418" t="s">
        <v>2</v>
      </c>
      <c r="Q418" t="s">
        <v>408</v>
      </c>
      <c r="R418" t="s">
        <v>439</v>
      </c>
      <c r="S418" t="s">
        <v>440</v>
      </c>
      <c r="T418" t="s">
        <v>11</v>
      </c>
      <c r="U418" t="s">
        <v>408</v>
      </c>
    </row>
    <row r="419" spans="1:21" x14ac:dyDescent="0.25">
      <c r="A419">
        <v>11793314</v>
      </c>
      <c r="B419" t="s">
        <v>342</v>
      </c>
      <c r="C419" t="s">
        <v>33</v>
      </c>
      <c r="D419" t="s">
        <v>12</v>
      </c>
      <c r="E419" t="s">
        <v>614</v>
      </c>
      <c r="F419" t="s">
        <v>134</v>
      </c>
      <c r="G419" t="s">
        <v>369</v>
      </c>
      <c r="H419" t="s">
        <v>0</v>
      </c>
      <c r="I419" t="s">
        <v>436</v>
      </c>
      <c r="J419" t="s">
        <v>437</v>
      </c>
      <c r="K419" t="s">
        <v>438</v>
      </c>
      <c r="L419" t="s">
        <v>2</v>
      </c>
      <c r="M419" t="s">
        <v>408</v>
      </c>
      <c r="N419" t="s">
        <v>11</v>
      </c>
      <c r="O419" t="s">
        <v>11</v>
      </c>
      <c r="P419" t="s">
        <v>2</v>
      </c>
      <c r="Q419" t="s">
        <v>408</v>
      </c>
      <c r="R419" t="s">
        <v>439</v>
      </c>
      <c r="S419" t="s">
        <v>440</v>
      </c>
      <c r="T419" t="s">
        <v>11</v>
      </c>
      <c r="U419" t="s">
        <v>408</v>
      </c>
    </row>
    <row r="420" spans="1:21" x14ac:dyDescent="0.25">
      <c r="A420">
        <v>11793315</v>
      </c>
      <c r="B420" t="s">
        <v>340</v>
      </c>
      <c r="C420" t="s">
        <v>26</v>
      </c>
      <c r="D420" t="s">
        <v>12</v>
      </c>
      <c r="E420" t="s">
        <v>614</v>
      </c>
      <c r="F420" t="s">
        <v>134</v>
      </c>
      <c r="G420" t="s">
        <v>369</v>
      </c>
      <c r="H420" t="s">
        <v>0</v>
      </c>
      <c r="I420" t="s">
        <v>436</v>
      </c>
      <c r="J420" t="s">
        <v>437</v>
      </c>
      <c r="K420" t="s">
        <v>438</v>
      </c>
      <c r="L420" t="s">
        <v>4</v>
      </c>
      <c r="M420" t="s">
        <v>408</v>
      </c>
      <c r="N420" t="s">
        <v>11</v>
      </c>
      <c r="O420" t="s">
        <v>11</v>
      </c>
      <c r="P420" t="s">
        <v>2</v>
      </c>
      <c r="Q420" t="s">
        <v>408</v>
      </c>
      <c r="R420" t="s">
        <v>439</v>
      </c>
      <c r="S420" t="s">
        <v>440</v>
      </c>
      <c r="T420" t="s">
        <v>11</v>
      </c>
      <c r="U420" t="s">
        <v>408</v>
      </c>
    </row>
    <row r="421" spans="1:21" x14ac:dyDescent="0.25">
      <c r="A421">
        <v>11793318</v>
      </c>
      <c r="B421" t="s">
        <v>340</v>
      </c>
      <c r="C421" t="s">
        <v>26</v>
      </c>
      <c r="D421" t="s">
        <v>12</v>
      </c>
      <c r="E421" t="s">
        <v>724</v>
      </c>
      <c r="F421" t="s">
        <v>36</v>
      </c>
      <c r="G421" t="s">
        <v>369</v>
      </c>
      <c r="H421" t="s">
        <v>2</v>
      </c>
      <c r="I421" t="s">
        <v>436</v>
      </c>
      <c r="J421" t="s">
        <v>443</v>
      </c>
      <c r="K421" t="s">
        <v>444</v>
      </c>
      <c r="L421" t="s">
        <v>8</v>
      </c>
      <c r="M421" t="s">
        <v>408</v>
      </c>
      <c r="N421" t="s">
        <v>11</v>
      </c>
      <c r="O421" t="s">
        <v>11</v>
      </c>
      <c r="P421" t="s">
        <v>2</v>
      </c>
      <c r="Q421" t="s">
        <v>408</v>
      </c>
      <c r="R421" t="s">
        <v>439</v>
      </c>
      <c r="S421" t="s">
        <v>440</v>
      </c>
      <c r="T421" t="s">
        <v>11</v>
      </c>
      <c r="U421" t="s">
        <v>408</v>
      </c>
    </row>
    <row r="422" spans="1:21" x14ac:dyDescent="0.25">
      <c r="A422">
        <v>11793335</v>
      </c>
      <c r="B422" t="s">
        <v>342</v>
      </c>
      <c r="C422" t="s">
        <v>33</v>
      </c>
      <c r="D422" t="s">
        <v>12</v>
      </c>
      <c r="E422" t="s">
        <v>410</v>
      </c>
      <c r="F422" t="s">
        <v>74</v>
      </c>
      <c r="G422" t="s">
        <v>369</v>
      </c>
      <c r="H422" t="s">
        <v>2</v>
      </c>
      <c r="I422" t="s">
        <v>436</v>
      </c>
      <c r="J422" t="s">
        <v>443</v>
      </c>
      <c r="K422" t="s">
        <v>444</v>
      </c>
      <c r="L422" t="s">
        <v>345</v>
      </c>
      <c r="M422" t="s">
        <v>408</v>
      </c>
      <c r="N422" t="s">
        <v>11</v>
      </c>
      <c r="O422" t="s">
        <v>11</v>
      </c>
      <c r="P422" t="s">
        <v>2</v>
      </c>
      <c r="Q422" t="s">
        <v>408</v>
      </c>
      <c r="R422" t="s">
        <v>439</v>
      </c>
      <c r="S422" t="s">
        <v>440</v>
      </c>
      <c r="T422" t="s">
        <v>11</v>
      </c>
      <c r="U422" t="s">
        <v>408</v>
      </c>
    </row>
    <row r="423" spans="1:21" x14ac:dyDescent="0.25">
      <c r="A423">
        <v>12602008</v>
      </c>
      <c r="B423" t="s">
        <v>340</v>
      </c>
      <c r="C423" t="s">
        <v>26</v>
      </c>
      <c r="D423" t="s">
        <v>12</v>
      </c>
      <c r="E423" t="s">
        <v>724</v>
      </c>
      <c r="F423" t="s">
        <v>70</v>
      </c>
      <c r="G423" t="s">
        <v>369</v>
      </c>
      <c r="H423" t="s">
        <v>0</v>
      </c>
      <c r="I423" t="s">
        <v>436</v>
      </c>
      <c r="J423" t="s">
        <v>437</v>
      </c>
      <c r="K423" t="s">
        <v>438</v>
      </c>
      <c r="L423" t="s">
        <v>2</v>
      </c>
      <c r="M423" t="s">
        <v>408</v>
      </c>
      <c r="N423" t="s">
        <v>11</v>
      </c>
      <c r="O423" t="s">
        <v>11</v>
      </c>
      <c r="P423" t="s">
        <v>151</v>
      </c>
      <c r="Q423" t="s">
        <v>408</v>
      </c>
      <c r="R423" t="s">
        <v>439</v>
      </c>
      <c r="S423" t="s">
        <v>440</v>
      </c>
      <c r="T423" t="s">
        <v>11</v>
      </c>
      <c r="U423" t="s">
        <v>408</v>
      </c>
    </row>
    <row r="424" spans="1:21" x14ac:dyDescent="0.25">
      <c r="A424">
        <v>12602020</v>
      </c>
      <c r="B424" t="s">
        <v>340</v>
      </c>
      <c r="C424" t="s">
        <v>26</v>
      </c>
      <c r="D424" t="s">
        <v>18</v>
      </c>
      <c r="E424" t="s">
        <v>724</v>
      </c>
      <c r="F424" t="s">
        <v>70</v>
      </c>
      <c r="G424" t="s">
        <v>369</v>
      </c>
      <c r="H424" t="s">
        <v>0</v>
      </c>
      <c r="I424" t="s">
        <v>436</v>
      </c>
      <c r="J424" t="s">
        <v>437</v>
      </c>
      <c r="K424" t="s">
        <v>438</v>
      </c>
      <c r="L424" t="s">
        <v>5</v>
      </c>
      <c r="M424" t="s">
        <v>408</v>
      </c>
      <c r="N424" t="s">
        <v>11</v>
      </c>
      <c r="O424" t="s">
        <v>11</v>
      </c>
      <c r="P424" t="s">
        <v>151</v>
      </c>
      <c r="Q424" t="s">
        <v>408</v>
      </c>
      <c r="R424" t="s">
        <v>439</v>
      </c>
      <c r="S424" t="s">
        <v>440</v>
      </c>
      <c r="T424" t="s">
        <v>11</v>
      </c>
      <c r="U424" t="s">
        <v>408</v>
      </c>
    </row>
    <row r="425" spans="1:21" x14ac:dyDescent="0.25">
      <c r="A425">
        <v>12602027</v>
      </c>
      <c r="B425" t="s">
        <v>340</v>
      </c>
      <c r="C425" t="s">
        <v>26</v>
      </c>
      <c r="D425" t="s">
        <v>18</v>
      </c>
      <c r="E425" t="s">
        <v>724</v>
      </c>
      <c r="F425" t="s">
        <v>63</v>
      </c>
      <c r="G425" t="s">
        <v>369</v>
      </c>
      <c r="H425" t="s">
        <v>1</v>
      </c>
      <c r="I425" t="s">
        <v>469</v>
      </c>
      <c r="J425" t="s">
        <v>445</v>
      </c>
      <c r="K425" t="s">
        <v>438</v>
      </c>
      <c r="L425" t="s">
        <v>2</v>
      </c>
      <c r="M425" t="s">
        <v>408</v>
      </c>
      <c r="N425" t="s">
        <v>11</v>
      </c>
      <c r="O425" t="s">
        <v>11</v>
      </c>
      <c r="P425" t="s">
        <v>151</v>
      </c>
      <c r="Q425" t="s">
        <v>408</v>
      </c>
      <c r="R425" t="s">
        <v>439</v>
      </c>
      <c r="S425" t="s">
        <v>440</v>
      </c>
      <c r="T425" t="s">
        <v>11</v>
      </c>
      <c r="U425" t="s">
        <v>408</v>
      </c>
    </row>
    <row r="426" spans="1:21" x14ac:dyDescent="0.25">
      <c r="A426">
        <v>12602038</v>
      </c>
      <c r="B426" t="s">
        <v>340</v>
      </c>
      <c r="C426" t="s">
        <v>26</v>
      </c>
      <c r="D426" t="s">
        <v>109</v>
      </c>
      <c r="E426" t="s">
        <v>724</v>
      </c>
      <c r="F426" t="s">
        <v>70</v>
      </c>
      <c r="G426" t="s">
        <v>369</v>
      </c>
      <c r="H426" t="s">
        <v>0</v>
      </c>
      <c r="I426" t="s">
        <v>436</v>
      </c>
      <c r="J426" t="s">
        <v>437</v>
      </c>
      <c r="K426" t="s">
        <v>438</v>
      </c>
      <c r="L426" t="s">
        <v>1</v>
      </c>
      <c r="M426" t="s">
        <v>408</v>
      </c>
      <c r="N426" t="s">
        <v>11</v>
      </c>
      <c r="O426" t="s">
        <v>11</v>
      </c>
      <c r="P426" t="s">
        <v>151</v>
      </c>
      <c r="Q426" t="s">
        <v>408</v>
      </c>
      <c r="R426" t="s">
        <v>439</v>
      </c>
      <c r="S426" t="s">
        <v>440</v>
      </c>
      <c r="T426" t="s">
        <v>11</v>
      </c>
      <c r="U426" t="s">
        <v>408</v>
      </c>
    </row>
    <row r="427" spans="1:21" x14ac:dyDescent="0.25">
      <c r="A427">
        <v>12602039</v>
      </c>
      <c r="B427" t="s">
        <v>340</v>
      </c>
      <c r="C427" t="s">
        <v>26</v>
      </c>
      <c r="D427" t="s">
        <v>18</v>
      </c>
      <c r="E427" t="s">
        <v>724</v>
      </c>
      <c r="F427" t="s">
        <v>70</v>
      </c>
      <c r="G427" t="s">
        <v>369</v>
      </c>
      <c r="H427" t="s">
        <v>1</v>
      </c>
      <c r="I427" t="s">
        <v>469</v>
      </c>
      <c r="J427" t="s">
        <v>445</v>
      </c>
      <c r="K427" t="s">
        <v>438</v>
      </c>
      <c r="L427" t="s">
        <v>2</v>
      </c>
      <c r="M427" t="s">
        <v>408</v>
      </c>
      <c r="N427" t="s">
        <v>11</v>
      </c>
      <c r="O427" t="s">
        <v>11</v>
      </c>
      <c r="P427" t="s">
        <v>151</v>
      </c>
      <c r="Q427" t="s">
        <v>408</v>
      </c>
      <c r="R427" t="s">
        <v>439</v>
      </c>
      <c r="S427" t="s">
        <v>440</v>
      </c>
      <c r="T427" t="s">
        <v>11</v>
      </c>
      <c r="U427" t="s">
        <v>408</v>
      </c>
    </row>
    <row r="428" spans="1:21" x14ac:dyDescent="0.25">
      <c r="A428">
        <v>12602046</v>
      </c>
      <c r="B428" t="s">
        <v>340</v>
      </c>
      <c r="C428" t="s">
        <v>26</v>
      </c>
      <c r="D428" t="s">
        <v>12</v>
      </c>
      <c r="E428" t="s">
        <v>724</v>
      </c>
      <c r="F428" t="s">
        <v>70</v>
      </c>
      <c r="G428" t="s">
        <v>369</v>
      </c>
      <c r="H428" t="s">
        <v>0</v>
      </c>
      <c r="I428" t="s">
        <v>436</v>
      </c>
      <c r="J428" t="s">
        <v>437</v>
      </c>
      <c r="K428" t="s">
        <v>438</v>
      </c>
      <c r="L428" t="s">
        <v>1</v>
      </c>
      <c r="M428" t="s">
        <v>408</v>
      </c>
      <c r="N428" t="s">
        <v>11</v>
      </c>
      <c r="O428" t="s">
        <v>11</v>
      </c>
      <c r="P428" t="s">
        <v>151</v>
      </c>
      <c r="Q428" t="s">
        <v>408</v>
      </c>
      <c r="R428" t="s">
        <v>439</v>
      </c>
      <c r="S428" t="s">
        <v>440</v>
      </c>
      <c r="T428" t="s">
        <v>11</v>
      </c>
      <c r="U428" t="s">
        <v>408</v>
      </c>
    </row>
    <row r="429" spans="1:21" x14ac:dyDescent="0.25">
      <c r="A429">
        <v>12602053</v>
      </c>
      <c r="B429" t="s">
        <v>340</v>
      </c>
      <c r="C429" t="s">
        <v>26</v>
      </c>
      <c r="D429" t="s">
        <v>12</v>
      </c>
      <c r="E429" t="s">
        <v>724</v>
      </c>
      <c r="F429" t="s">
        <v>70</v>
      </c>
      <c r="G429" t="s">
        <v>369</v>
      </c>
      <c r="H429" t="s">
        <v>1</v>
      </c>
      <c r="I429" t="s">
        <v>469</v>
      </c>
      <c r="J429" t="s">
        <v>445</v>
      </c>
      <c r="K429" t="s">
        <v>438</v>
      </c>
      <c r="L429" t="s">
        <v>2</v>
      </c>
      <c r="M429" t="s">
        <v>408</v>
      </c>
      <c r="N429" t="s">
        <v>11</v>
      </c>
      <c r="O429" t="s">
        <v>11</v>
      </c>
      <c r="P429" t="s">
        <v>151</v>
      </c>
      <c r="Q429" t="s">
        <v>408</v>
      </c>
      <c r="R429" t="s">
        <v>439</v>
      </c>
      <c r="S429" t="s">
        <v>440</v>
      </c>
      <c r="T429" t="s">
        <v>11</v>
      </c>
      <c r="U429" t="s">
        <v>408</v>
      </c>
    </row>
    <row r="430" spans="1:21" x14ac:dyDescent="0.25">
      <c r="A430">
        <v>12602061</v>
      </c>
      <c r="B430" t="s">
        <v>340</v>
      </c>
      <c r="C430" t="s">
        <v>26</v>
      </c>
      <c r="D430" t="s">
        <v>12</v>
      </c>
      <c r="E430" t="s">
        <v>724</v>
      </c>
      <c r="F430" t="s">
        <v>70</v>
      </c>
      <c r="G430" t="s">
        <v>369</v>
      </c>
      <c r="H430" t="s">
        <v>0</v>
      </c>
      <c r="I430" t="s">
        <v>436</v>
      </c>
      <c r="J430" t="s">
        <v>437</v>
      </c>
      <c r="K430" t="s">
        <v>438</v>
      </c>
      <c r="L430" t="s">
        <v>2</v>
      </c>
      <c r="M430" t="s">
        <v>408</v>
      </c>
      <c r="N430" t="s">
        <v>11</v>
      </c>
      <c r="O430" t="s">
        <v>11</v>
      </c>
      <c r="P430" t="s">
        <v>151</v>
      </c>
      <c r="Q430" t="s">
        <v>408</v>
      </c>
      <c r="R430" t="s">
        <v>439</v>
      </c>
      <c r="S430" t="s">
        <v>440</v>
      </c>
      <c r="T430" t="s">
        <v>11</v>
      </c>
      <c r="U430" t="s">
        <v>408</v>
      </c>
    </row>
    <row r="431" spans="1:21" x14ac:dyDescent="0.25">
      <c r="A431">
        <v>12602064</v>
      </c>
      <c r="B431" t="s">
        <v>340</v>
      </c>
      <c r="C431" t="s">
        <v>26</v>
      </c>
      <c r="D431" t="s">
        <v>12</v>
      </c>
      <c r="E431" t="s">
        <v>724</v>
      </c>
      <c r="F431" t="s">
        <v>255</v>
      </c>
      <c r="G431" t="s">
        <v>369</v>
      </c>
      <c r="H431" t="s">
        <v>727</v>
      </c>
      <c r="I431" t="s">
        <v>728</v>
      </c>
      <c r="J431" t="s">
        <v>729</v>
      </c>
      <c r="K431" t="s">
        <v>450</v>
      </c>
      <c r="L431" t="s">
        <v>367</v>
      </c>
      <c r="M431" t="s">
        <v>408</v>
      </c>
      <c r="N431" t="s">
        <v>11</v>
      </c>
      <c r="O431" t="s">
        <v>11</v>
      </c>
      <c r="P431" t="s">
        <v>151</v>
      </c>
      <c r="Q431" t="s">
        <v>408</v>
      </c>
      <c r="R431" t="s">
        <v>439</v>
      </c>
      <c r="S431" t="s">
        <v>451</v>
      </c>
      <c r="T431" t="s">
        <v>11</v>
      </c>
      <c r="U431" t="s">
        <v>408</v>
      </c>
    </row>
    <row r="432" spans="1:21" x14ac:dyDescent="0.25">
      <c r="A432">
        <v>12602088</v>
      </c>
      <c r="B432" t="s">
        <v>340</v>
      </c>
      <c r="C432" t="s">
        <v>26</v>
      </c>
      <c r="D432" t="s">
        <v>12</v>
      </c>
      <c r="E432" t="s">
        <v>614</v>
      </c>
      <c r="F432" t="s">
        <v>134</v>
      </c>
      <c r="G432" t="s">
        <v>369</v>
      </c>
      <c r="H432" t="s">
        <v>1</v>
      </c>
      <c r="I432" t="s">
        <v>469</v>
      </c>
      <c r="J432" t="s">
        <v>445</v>
      </c>
      <c r="K432" t="s">
        <v>438</v>
      </c>
      <c r="L432" t="s">
        <v>2</v>
      </c>
      <c r="M432" t="s">
        <v>408</v>
      </c>
      <c r="N432" t="s">
        <v>11</v>
      </c>
      <c r="O432" t="s">
        <v>11</v>
      </c>
      <c r="P432" t="s">
        <v>151</v>
      </c>
      <c r="Q432" t="s">
        <v>408</v>
      </c>
      <c r="R432" t="s">
        <v>439</v>
      </c>
      <c r="S432" t="s">
        <v>440</v>
      </c>
      <c r="T432" t="s">
        <v>11</v>
      </c>
      <c r="U432" t="s">
        <v>408</v>
      </c>
    </row>
    <row r="433" spans="1:21" x14ac:dyDescent="0.25">
      <c r="A433">
        <v>12602095</v>
      </c>
      <c r="B433" t="s">
        <v>340</v>
      </c>
      <c r="C433" t="s">
        <v>26</v>
      </c>
      <c r="D433" t="s">
        <v>18</v>
      </c>
      <c r="E433" t="s">
        <v>724</v>
      </c>
      <c r="F433" t="s">
        <v>70</v>
      </c>
      <c r="G433" t="s">
        <v>369</v>
      </c>
      <c r="H433" t="s">
        <v>5</v>
      </c>
      <c r="I433" t="s">
        <v>436</v>
      </c>
      <c r="J433" t="s">
        <v>446</v>
      </c>
      <c r="K433" t="s">
        <v>438</v>
      </c>
      <c r="L433" t="s">
        <v>2</v>
      </c>
      <c r="M433" t="s">
        <v>408</v>
      </c>
      <c r="N433" t="s">
        <v>11</v>
      </c>
      <c r="O433" t="s">
        <v>11</v>
      </c>
      <c r="P433" t="s">
        <v>151</v>
      </c>
      <c r="Q433" t="s">
        <v>408</v>
      </c>
      <c r="R433" t="s">
        <v>439</v>
      </c>
      <c r="S433" t="s">
        <v>440</v>
      </c>
      <c r="T433" t="s">
        <v>11</v>
      </c>
      <c r="U433" t="s">
        <v>408</v>
      </c>
    </row>
    <row r="434" spans="1:21" x14ac:dyDescent="0.25">
      <c r="A434">
        <v>12602113</v>
      </c>
      <c r="B434" t="s">
        <v>340</v>
      </c>
      <c r="C434" t="s">
        <v>26</v>
      </c>
      <c r="D434" t="s">
        <v>12</v>
      </c>
      <c r="E434" t="s">
        <v>724</v>
      </c>
      <c r="F434" t="s">
        <v>36</v>
      </c>
      <c r="G434" t="s">
        <v>369</v>
      </c>
      <c r="H434" t="s">
        <v>5</v>
      </c>
      <c r="I434" t="s">
        <v>436</v>
      </c>
      <c r="J434" t="s">
        <v>446</v>
      </c>
      <c r="K434" t="s">
        <v>438</v>
      </c>
      <c r="L434" t="s">
        <v>2</v>
      </c>
      <c r="M434" t="s">
        <v>408</v>
      </c>
      <c r="N434" t="s">
        <v>11</v>
      </c>
      <c r="O434" t="s">
        <v>11</v>
      </c>
      <c r="P434" t="s">
        <v>347</v>
      </c>
      <c r="Q434" t="s">
        <v>408</v>
      </c>
      <c r="R434" t="s">
        <v>439</v>
      </c>
      <c r="S434" t="s">
        <v>440</v>
      </c>
      <c r="T434" t="s">
        <v>11</v>
      </c>
      <c r="U434" t="s">
        <v>408</v>
      </c>
    </row>
    <row r="435" spans="1:21" x14ac:dyDescent="0.25">
      <c r="A435">
        <v>12602144</v>
      </c>
      <c r="B435" t="s">
        <v>340</v>
      </c>
      <c r="C435" t="s">
        <v>26</v>
      </c>
      <c r="D435" t="s">
        <v>109</v>
      </c>
      <c r="E435" t="s">
        <v>615</v>
      </c>
      <c r="F435" t="s">
        <v>42</v>
      </c>
      <c r="G435" t="s">
        <v>369</v>
      </c>
      <c r="H435" t="s">
        <v>0</v>
      </c>
      <c r="I435" t="s">
        <v>436</v>
      </c>
      <c r="J435" t="s">
        <v>437</v>
      </c>
      <c r="K435" t="s">
        <v>438</v>
      </c>
      <c r="L435" t="s">
        <v>2</v>
      </c>
      <c r="M435" t="s">
        <v>408</v>
      </c>
      <c r="N435" t="s">
        <v>11</v>
      </c>
      <c r="O435" t="s">
        <v>11</v>
      </c>
      <c r="P435" t="s">
        <v>347</v>
      </c>
      <c r="Q435" t="s">
        <v>408</v>
      </c>
      <c r="R435" t="s">
        <v>439</v>
      </c>
      <c r="S435" t="s">
        <v>440</v>
      </c>
      <c r="T435" t="s">
        <v>11</v>
      </c>
      <c r="U435" t="s">
        <v>408</v>
      </c>
    </row>
    <row r="436" spans="1:21" x14ac:dyDescent="0.25">
      <c r="A436">
        <v>12602152</v>
      </c>
      <c r="B436" t="s">
        <v>340</v>
      </c>
      <c r="C436" t="s">
        <v>26</v>
      </c>
      <c r="D436" t="s">
        <v>109</v>
      </c>
      <c r="E436" t="s">
        <v>724</v>
      </c>
      <c r="F436" t="s">
        <v>70</v>
      </c>
      <c r="G436" t="s">
        <v>369</v>
      </c>
      <c r="H436" t="s">
        <v>727</v>
      </c>
      <c r="I436" t="s">
        <v>728</v>
      </c>
      <c r="J436" t="s">
        <v>729</v>
      </c>
      <c r="K436" t="s">
        <v>450</v>
      </c>
      <c r="L436" t="s">
        <v>367</v>
      </c>
      <c r="M436" t="s">
        <v>408</v>
      </c>
      <c r="N436" t="s">
        <v>11</v>
      </c>
      <c r="O436" t="s">
        <v>11</v>
      </c>
      <c r="P436" t="s">
        <v>347</v>
      </c>
      <c r="Q436" t="s">
        <v>408</v>
      </c>
      <c r="R436" t="s">
        <v>439</v>
      </c>
      <c r="S436" t="s">
        <v>451</v>
      </c>
      <c r="T436" t="s">
        <v>11</v>
      </c>
      <c r="U436" t="s">
        <v>408</v>
      </c>
    </row>
    <row r="437" spans="1:21" x14ac:dyDescent="0.25">
      <c r="A437">
        <v>12602155</v>
      </c>
      <c r="B437" t="s">
        <v>340</v>
      </c>
      <c r="C437" t="s">
        <v>26</v>
      </c>
      <c r="D437" t="s">
        <v>12</v>
      </c>
      <c r="E437" t="s">
        <v>724</v>
      </c>
      <c r="F437" t="s">
        <v>63</v>
      </c>
      <c r="G437" t="s">
        <v>369</v>
      </c>
      <c r="H437" t="s">
        <v>1</v>
      </c>
      <c r="I437" t="s">
        <v>469</v>
      </c>
      <c r="J437" t="s">
        <v>445</v>
      </c>
      <c r="K437" t="s">
        <v>438</v>
      </c>
      <c r="L437" t="s">
        <v>2</v>
      </c>
      <c r="M437" t="s">
        <v>408</v>
      </c>
      <c r="N437" t="s">
        <v>11</v>
      </c>
      <c r="O437" t="s">
        <v>11</v>
      </c>
      <c r="P437" t="s">
        <v>347</v>
      </c>
      <c r="Q437" t="s">
        <v>408</v>
      </c>
      <c r="R437" t="s">
        <v>439</v>
      </c>
      <c r="S437" t="s">
        <v>440</v>
      </c>
      <c r="T437" t="s">
        <v>11</v>
      </c>
      <c r="U437" t="s">
        <v>408</v>
      </c>
    </row>
    <row r="438" spans="1:21" x14ac:dyDescent="0.25">
      <c r="A438">
        <v>12602172</v>
      </c>
      <c r="B438" t="s">
        <v>340</v>
      </c>
      <c r="C438" t="s">
        <v>26</v>
      </c>
      <c r="D438" t="s">
        <v>12</v>
      </c>
      <c r="E438" t="s">
        <v>614</v>
      </c>
      <c r="F438" t="s">
        <v>134</v>
      </c>
      <c r="G438" t="s">
        <v>369</v>
      </c>
      <c r="H438" t="s">
        <v>0</v>
      </c>
      <c r="I438" t="s">
        <v>436</v>
      </c>
      <c r="J438" t="s">
        <v>437</v>
      </c>
      <c r="K438" t="s">
        <v>438</v>
      </c>
      <c r="L438" t="s">
        <v>5</v>
      </c>
      <c r="M438" t="s">
        <v>408</v>
      </c>
      <c r="N438" t="s">
        <v>11</v>
      </c>
      <c r="O438" t="s">
        <v>11</v>
      </c>
      <c r="P438" t="s">
        <v>1</v>
      </c>
      <c r="Q438" t="s">
        <v>408</v>
      </c>
      <c r="R438" t="s">
        <v>439</v>
      </c>
      <c r="S438" t="s">
        <v>440</v>
      </c>
      <c r="T438" t="s">
        <v>11</v>
      </c>
      <c r="U438" t="s">
        <v>408</v>
      </c>
    </row>
    <row r="439" spans="1:21" x14ac:dyDescent="0.25">
      <c r="A439">
        <v>12602174</v>
      </c>
      <c r="B439" t="s">
        <v>340</v>
      </c>
      <c r="C439" t="s">
        <v>26</v>
      </c>
      <c r="D439" t="s">
        <v>79</v>
      </c>
      <c r="E439" t="s">
        <v>615</v>
      </c>
      <c r="F439" t="s">
        <v>254</v>
      </c>
      <c r="G439" t="s">
        <v>369</v>
      </c>
      <c r="H439" t="s">
        <v>0</v>
      </c>
      <c r="I439" t="s">
        <v>436</v>
      </c>
      <c r="J439" t="s">
        <v>437</v>
      </c>
      <c r="K439" t="s">
        <v>438</v>
      </c>
      <c r="L439" t="s">
        <v>5</v>
      </c>
      <c r="M439" t="s">
        <v>408</v>
      </c>
      <c r="N439" t="s">
        <v>11</v>
      </c>
      <c r="O439" t="s">
        <v>11</v>
      </c>
      <c r="P439" t="s">
        <v>1</v>
      </c>
      <c r="Q439" t="s">
        <v>408</v>
      </c>
      <c r="R439" t="s">
        <v>439</v>
      </c>
      <c r="S439" t="s">
        <v>440</v>
      </c>
      <c r="T439" t="s">
        <v>11</v>
      </c>
      <c r="U439" t="s">
        <v>408</v>
      </c>
    </row>
    <row r="440" spans="1:21" x14ac:dyDescent="0.25">
      <c r="A440">
        <v>12602181</v>
      </c>
      <c r="B440" t="s">
        <v>340</v>
      </c>
      <c r="C440" t="s">
        <v>26</v>
      </c>
      <c r="D440" t="s">
        <v>12</v>
      </c>
      <c r="E440" t="s">
        <v>614</v>
      </c>
      <c r="F440" t="s">
        <v>69</v>
      </c>
      <c r="G440" t="s">
        <v>369</v>
      </c>
      <c r="H440" t="s">
        <v>0</v>
      </c>
      <c r="I440" t="s">
        <v>436</v>
      </c>
      <c r="J440" t="s">
        <v>437</v>
      </c>
      <c r="K440" t="s">
        <v>438</v>
      </c>
      <c r="L440" t="s">
        <v>1</v>
      </c>
      <c r="M440" t="s">
        <v>408</v>
      </c>
      <c r="N440" t="s">
        <v>11</v>
      </c>
      <c r="O440" t="s">
        <v>11</v>
      </c>
      <c r="P440" t="s">
        <v>1</v>
      </c>
      <c r="Q440" t="s">
        <v>408</v>
      </c>
      <c r="R440" t="s">
        <v>439</v>
      </c>
      <c r="S440" t="s">
        <v>440</v>
      </c>
      <c r="T440" t="s">
        <v>11</v>
      </c>
      <c r="U440" t="s">
        <v>408</v>
      </c>
    </row>
    <row r="441" spans="1:21" x14ac:dyDescent="0.25">
      <c r="A441">
        <v>12602190</v>
      </c>
      <c r="B441" t="s">
        <v>340</v>
      </c>
      <c r="C441" t="s">
        <v>26</v>
      </c>
      <c r="D441" t="s">
        <v>12</v>
      </c>
      <c r="E441" t="s">
        <v>614</v>
      </c>
      <c r="F441" t="s">
        <v>69</v>
      </c>
      <c r="G441" t="s">
        <v>369</v>
      </c>
      <c r="H441" t="s">
        <v>0</v>
      </c>
      <c r="I441" t="s">
        <v>436</v>
      </c>
      <c r="J441" t="s">
        <v>437</v>
      </c>
      <c r="K441" t="s">
        <v>438</v>
      </c>
      <c r="L441" t="s">
        <v>1</v>
      </c>
      <c r="M441" t="s">
        <v>408</v>
      </c>
      <c r="N441" t="s">
        <v>11</v>
      </c>
      <c r="O441" t="s">
        <v>11</v>
      </c>
      <c r="P441" t="s">
        <v>1</v>
      </c>
      <c r="Q441" t="s">
        <v>408</v>
      </c>
      <c r="R441" t="s">
        <v>439</v>
      </c>
      <c r="S441" t="s">
        <v>440</v>
      </c>
      <c r="T441" t="s">
        <v>11</v>
      </c>
      <c r="U441" t="s">
        <v>408</v>
      </c>
    </row>
    <row r="442" spans="1:21" x14ac:dyDescent="0.25">
      <c r="A442">
        <v>12602203</v>
      </c>
      <c r="B442" t="s">
        <v>340</v>
      </c>
      <c r="C442" t="s">
        <v>26</v>
      </c>
      <c r="D442" t="s">
        <v>12</v>
      </c>
      <c r="E442" t="s">
        <v>614</v>
      </c>
      <c r="F442" t="s">
        <v>134</v>
      </c>
      <c r="G442" t="s">
        <v>369</v>
      </c>
      <c r="H442" t="s">
        <v>0</v>
      </c>
      <c r="I442" t="s">
        <v>436</v>
      </c>
      <c r="J442" t="s">
        <v>437</v>
      </c>
      <c r="K442" t="s">
        <v>438</v>
      </c>
      <c r="L442" t="s">
        <v>1</v>
      </c>
      <c r="M442" t="s">
        <v>408</v>
      </c>
      <c r="N442" t="s">
        <v>11</v>
      </c>
      <c r="O442" t="s">
        <v>11</v>
      </c>
      <c r="P442" t="s">
        <v>1</v>
      </c>
      <c r="Q442" t="s">
        <v>408</v>
      </c>
      <c r="R442" t="s">
        <v>439</v>
      </c>
      <c r="S442" t="s">
        <v>440</v>
      </c>
      <c r="T442" t="s">
        <v>11</v>
      </c>
      <c r="U442" t="s">
        <v>408</v>
      </c>
    </row>
    <row r="443" spans="1:21" x14ac:dyDescent="0.25">
      <c r="A443">
        <v>12602210</v>
      </c>
      <c r="B443" t="s">
        <v>342</v>
      </c>
      <c r="C443" t="s">
        <v>33</v>
      </c>
      <c r="D443" t="s">
        <v>12</v>
      </c>
      <c r="E443" t="s">
        <v>724</v>
      </c>
      <c r="F443" t="s">
        <v>70</v>
      </c>
      <c r="G443" t="s">
        <v>369</v>
      </c>
      <c r="H443" t="s">
        <v>0</v>
      </c>
      <c r="I443" t="s">
        <v>436</v>
      </c>
      <c r="J443" t="s">
        <v>437</v>
      </c>
      <c r="K443" t="s">
        <v>438</v>
      </c>
      <c r="L443" t="s">
        <v>1</v>
      </c>
      <c r="M443" t="s">
        <v>408</v>
      </c>
      <c r="N443" t="s">
        <v>11</v>
      </c>
      <c r="O443" t="s">
        <v>11</v>
      </c>
      <c r="P443" t="s">
        <v>1</v>
      </c>
      <c r="Q443" t="s">
        <v>408</v>
      </c>
      <c r="R443" t="s">
        <v>439</v>
      </c>
      <c r="S443" t="s">
        <v>440</v>
      </c>
      <c r="T443" t="s">
        <v>11</v>
      </c>
      <c r="U443" t="s">
        <v>408</v>
      </c>
    </row>
    <row r="444" spans="1:21" x14ac:dyDescent="0.25">
      <c r="A444">
        <v>12602218</v>
      </c>
      <c r="B444" t="s">
        <v>340</v>
      </c>
      <c r="C444" t="s">
        <v>26</v>
      </c>
      <c r="D444" t="s">
        <v>12</v>
      </c>
      <c r="E444" t="s">
        <v>614</v>
      </c>
      <c r="F444" t="s">
        <v>69</v>
      </c>
      <c r="G444" t="s">
        <v>369</v>
      </c>
      <c r="H444" t="s">
        <v>1</v>
      </c>
      <c r="I444" t="s">
        <v>469</v>
      </c>
      <c r="J444" t="s">
        <v>445</v>
      </c>
      <c r="K444" t="s">
        <v>438</v>
      </c>
      <c r="L444" t="s">
        <v>345</v>
      </c>
      <c r="M444" t="s">
        <v>408</v>
      </c>
      <c r="N444" t="s">
        <v>11</v>
      </c>
      <c r="O444" t="s">
        <v>11</v>
      </c>
      <c r="P444" t="s">
        <v>1</v>
      </c>
      <c r="Q444" t="s">
        <v>408</v>
      </c>
      <c r="R444" t="s">
        <v>439</v>
      </c>
      <c r="S444" t="s">
        <v>440</v>
      </c>
      <c r="T444" t="s">
        <v>11</v>
      </c>
      <c r="U444" t="s">
        <v>408</v>
      </c>
    </row>
    <row r="445" spans="1:21" x14ac:dyDescent="0.25">
      <c r="A445">
        <v>12602228</v>
      </c>
      <c r="B445" t="s">
        <v>340</v>
      </c>
      <c r="C445" t="s">
        <v>26</v>
      </c>
      <c r="D445" t="s">
        <v>12</v>
      </c>
      <c r="E445" t="s">
        <v>614</v>
      </c>
      <c r="F445" t="s">
        <v>69</v>
      </c>
      <c r="G445" t="s">
        <v>369</v>
      </c>
      <c r="H445" t="s">
        <v>1</v>
      </c>
      <c r="I445" t="s">
        <v>469</v>
      </c>
      <c r="J445" t="s">
        <v>445</v>
      </c>
      <c r="K445" t="s">
        <v>438</v>
      </c>
      <c r="L445" t="s">
        <v>2</v>
      </c>
      <c r="M445" t="s">
        <v>408</v>
      </c>
      <c r="N445" t="s">
        <v>11</v>
      </c>
      <c r="O445" t="s">
        <v>11</v>
      </c>
      <c r="P445" t="s">
        <v>1</v>
      </c>
      <c r="Q445" t="s">
        <v>408</v>
      </c>
      <c r="R445" t="s">
        <v>439</v>
      </c>
      <c r="S445" t="s">
        <v>440</v>
      </c>
      <c r="T445" t="s">
        <v>11</v>
      </c>
      <c r="U445" t="s">
        <v>408</v>
      </c>
    </row>
    <row r="446" spans="1:21" x14ac:dyDescent="0.25">
      <c r="A446">
        <v>12602233</v>
      </c>
      <c r="B446" t="s">
        <v>342</v>
      </c>
      <c r="C446" t="s">
        <v>33</v>
      </c>
      <c r="D446" t="s">
        <v>12</v>
      </c>
      <c r="E446" t="s">
        <v>724</v>
      </c>
      <c r="F446" t="s">
        <v>70</v>
      </c>
      <c r="G446" t="s">
        <v>369</v>
      </c>
      <c r="H446" t="s">
        <v>0</v>
      </c>
      <c r="I446" t="s">
        <v>436</v>
      </c>
      <c r="J446" t="s">
        <v>437</v>
      </c>
      <c r="K446" t="s">
        <v>438</v>
      </c>
      <c r="L446" t="s">
        <v>1</v>
      </c>
      <c r="M446" t="s">
        <v>408</v>
      </c>
      <c r="N446" t="s">
        <v>11</v>
      </c>
      <c r="O446" t="s">
        <v>11</v>
      </c>
      <c r="P446" t="s">
        <v>1</v>
      </c>
      <c r="Q446" t="s">
        <v>408</v>
      </c>
      <c r="R446" t="s">
        <v>439</v>
      </c>
      <c r="S446" t="s">
        <v>440</v>
      </c>
      <c r="T446" t="s">
        <v>11</v>
      </c>
      <c r="U446" t="s">
        <v>408</v>
      </c>
    </row>
    <row r="447" spans="1:21" x14ac:dyDescent="0.25">
      <c r="A447">
        <v>12602236</v>
      </c>
      <c r="B447" t="s">
        <v>340</v>
      </c>
      <c r="C447" t="s">
        <v>26</v>
      </c>
      <c r="D447" t="s">
        <v>12</v>
      </c>
      <c r="E447" t="s">
        <v>720</v>
      </c>
      <c r="F447" t="s">
        <v>54</v>
      </c>
      <c r="G447" t="s">
        <v>369</v>
      </c>
      <c r="H447" t="s">
        <v>1</v>
      </c>
      <c r="I447" t="s">
        <v>469</v>
      </c>
      <c r="J447" t="s">
        <v>445</v>
      </c>
      <c r="K447" t="s">
        <v>438</v>
      </c>
      <c r="L447" t="s">
        <v>2</v>
      </c>
      <c r="M447" t="s">
        <v>408</v>
      </c>
      <c r="N447" t="s">
        <v>11</v>
      </c>
      <c r="O447" t="s">
        <v>11</v>
      </c>
      <c r="P447" t="s">
        <v>1</v>
      </c>
      <c r="Q447" t="s">
        <v>408</v>
      </c>
      <c r="R447" t="s">
        <v>439</v>
      </c>
      <c r="S447" t="s">
        <v>440</v>
      </c>
      <c r="T447" t="s">
        <v>11</v>
      </c>
      <c r="U447" t="s">
        <v>408</v>
      </c>
    </row>
    <row r="448" spans="1:21" x14ac:dyDescent="0.25">
      <c r="A448">
        <v>12602237</v>
      </c>
      <c r="B448" t="s">
        <v>340</v>
      </c>
      <c r="C448" t="s">
        <v>26</v>
      </c>
      <c r="D448" t="s">
        <v>12</v>
      </c>
      <c r="E448" t="s">
        <v>720</v>
      </c>
      <c r="F448" t="s">
        <v>54</v>
      </c>
      <c r="G448" t="s">
        <v>369</v>
      </c>
      <c r="H448" t="s">
        <v>0</v>
      </c>
      <c r="I448" t="s">
        <v>436</v>
      </c>
      <c r="J448" t="s">
        <v>437</v>
      </c>
      <c r="K448" t="s">
        <v>438</v>
      </c>
      <c r="L448" t="s">
        <v>1</v>
      </c>
      <c r="M448" t="s">
        <v>408</v>
      </c>
      <c r="N448" t="s">
        <v>11</v>
      </c>
      <c r="O448" t="s">
        <v>11</v>
      </c>
      <c r="P448" t="s">
        <v>5</v>
      </c>
      <c r="Q448" t="s">
        <v>408</v>
      </c>
      <c r="R448" t="s">
        <v>439</v>
      </c>
      <c r="S448" t="s">
        <v>440</v>
      </c>
      <c r="T448" t="s">
        <v>11</v>
      </c>
      <c r="U448" t="s">
        <v>408</v>
      </c>
    </row>
    <row r="449" spans="1:21" x14ac:dyDescent="0.25">
      <c r="A449">
        <v>12602247</v>
      </c>
      <c r="B449" t="s">
        <v>340</v>
      </c>
      <c r="C449" t="s">
        <v>26</v>
      </c>
      <c r="D449" t="s">
        <v>12</v>
      </c>
      <c r="E449" t="s">
        <v>615</v>
      </c>
      <c r="F449" t="s">
        <v>42</v>
      </c>
      <c r="G449" t="s">
        <v>369</v>
      </c>
      <c r="H449" t="s">
        <v>370</v>
      </c>
      <c r="I449" t="s">
        <v>721</v>
      </c>
      <c r="J449" t="s">
        <v>455</v>
      </c>
      <c r="K449" t="s">
        <v>453</v>
      </c>
      <c r="L449" t="s">
        <v>0</v>
      </c>
      <c r="M449" t="s">
        <v>408</v>
      </c>
      <c r="N449" t="s">
        <v>11</v>
      </c>
      <c r="O449" t="s">
        <v>408</v>
      </c>
      <c r="P449" t="s">
        <v>0</v>
      </c>
      <c r="Q449" t="s">
        <v>408</v>
      </c>
      <c r="R449" t="s">
        <v>439</v>
      </c>
      <c r="S449" t="s">
        <v>451</v>
      </c>
      <c r="T449" t="s">
        <v>11</v>
      </c>
      <c r="U449" t="s">
        <v>408</v>
      </c>
    </row>
    <row r="450" spans="1:21" x14ac:dyDescent="0.25">
      <c r="A450">
        <v>12602256</v>
      </c>
      <c r="B450" t="s">
        <v>342</v>
      </c>
      <c r="C450" t="s">
        <v>33</v>
      </c>
      <c r="D450" t="s">
        <v>12</v>
      </c>
      <c r="E450" t="s">
        <v>724</v>
      </c>
      <c r="F450" t="s">
        <v>70</v>
      </c>
      <c r="G450" t="s">
        <v>369</v>
      </c>
      <c r="H450" t="s">
        <v>0</v>
      </c>
      <c r="I450" t="s">
        <v>436</v>
      </c>
      <c r="J450" t="s">
        <v>437</v>
      </c>
      <c r="K450" t="s">
        <v>438</v>
      </c>
      <c r="L450" t="s">
        <v>345</v>
      </c>
      <c r="M450" t="s">
        <v>408</v>
      </c>
      <c r="N450" t="s">
        <v>11</v>
      </c>
      <c r="O450" t="s">
        <v>11</v>
      </c>
      <c r="P450" t="s">
        <v>0</v>
      </c>
      <c r="Q450" t="s">
        <v>408</v>
      </c>
      <c r="R450" t="s">
        <v>439</v>
      </c>
      <c r="S450" t="s">
        <v>440</v>
      </c>
      <c r="T450" t="s">
        <v>11</v>
      </c>
      <c r="U450" t="s">
        <v>408</v>
      </c>
    </row>
    <row r="451" spans="1:21" x14ac:dyDescent="0.25">
      <c r="A451">
        <v>12602264</v>
      </c>
      <c r="B451" t="s">
        <v>342</v>
      </c>
      <c r="C451" t="s">
        <v>33</v>
      </c>
      <c r="D451" t="s">
        <v>12</v>
      </c>
      <c r="E451" t="s">
        <v>520</v>
      </c>
      <c r="F451" t="s">
        <v>253</v>
      </c>
      <c r="G451" t="s">
        <v>369</v>
      </c>
      <c r="H451" t="s">
        <v>0</v>
      </c>
      <c r="I451" t="s">
        <v>436</v>
      </c>
      <c r="J451" t="s">
        <v>437</v>
      </c>
      <c r="K451" t="s">
        <v>438</v>
      </c>
      <c r="L451" t="s">
        <v>345</v>
      </c>
      <c r="M451" t="s">
        <v>408</v>
      </c>
      <c r="N451" t="s">
        <v>11</v>
      </c>
      <c r="O451" t="s">
        <v>11</v>
      </c>
      <c r="P451" t="s">
        <v>0</v>
      </c>
      <c r="Q451" t="s">
        <v>408</v>
      </c>
      <c r="R451" t="s">
        <v>439</v>
      </c>
      <c r="S451" t="s">
        <v>440</v>
      </c>
      <c r="T451" t="s">
        <v>11</v>
      </c>
      <c r="U451" t="s">
        <v>408</v>
      </c>
    </row>
    <row r="452" spans="1:21" x14ac:dyDescent="0.25">
      <c r="A452">
        <v>12602266</v>
      </c>
      <c r="B452" t="s">
        <v>342</v>
      </c>
      <c r="C452" t="s">
        <v>33</v>
      </c>
      <c r="D452" t="s">
        <v>109</v>
      </c>
      <c r="E452" t="s">
        <v>509</v>
      </c>
      <c r="F452" t="s">
        <v>252</v>
      </c>
      <c r="G452" t="s">
        <v>369</v>
      </c>
      <c r="H452" t="s">
        <v>0</v>
      </c>
      <c r="I452" t="s">
        <v>436</v>
      </c>
      <c r="J452" t="s">
        <v>437</v>
      </c>
      <c r="K452" t="s">
        <v>438</v>
      </c>
      <c r="L452" t="s">
        <v>345</v>
      </c>
      <c r="M452" t="s">
        <v>408</v>
      </c>
      <c r="N452" t="s">
        <v>11</v>
      </c>
      <c r="O452" t="s">
        <v>11</v>
      </c>
      <c r="P452" t="s">
        <v>0</v>
      </c>
      <c r="Q452" t="s">
        <v>408</v>
      </c>
      <c r="R452" t="s">
        <v>439</v>
      </c>
      <c r="S452" t="s">
        <v>440</v>
      </c>
      <c r="T452" t="s">
        <v>11</v>
      </c>
      <c r="U452" t="s">
        <v>408</v>
      </c>
    </row>
    <row r="453" spans="1:21" x14ac:dyDescent="0.25">
      <c r="A453">
        <v>12602273</v>
      </c>
      <c r="B453" t="s">
        <v>340</v>
      </c>
      <c r="C453" t="s">
        <v>26</v>
      </c>
      <c r="D453" t="s">
        <v>12</v>
      </c>
      <c r="E453" t="s">
        <v>615</v>
      </c>
      <c r="F453" t="s">
        <v>42</v>
      </c>
      <c r="G453" t="s">
        <v>369</v>
      </c>
      <c r="H453" t="s">
        <v>5</v>
      </c>
      <c r="I453" t="s">
        <v>436</v>
      </c>
      <c r="J453" t="s">
        <v>446</v>
      </c>
      <c r="K453" t="s">
        <v>438</v>
      </c>
      <c r="L453" t="s">
        <v>2</v>
      </c>
      <c r="M453" t="s">
        <v>408</v>
      </c>
      <c r="N453" t="s">
        <v>11</v>
      </c>
      <c r="O453" t="s">
        <v>11</v>
      </c>
      <c r="P453" t="s">
        <v>2</v>
      </c>
      <c r="Q453" t="s">
        <v>408</v>
      </c>
      <c r="R453" t="s">
        <v>439</v>
      </c>
      <c r="S453" t="s">
        <v>440</v>
      </c>
      <c r="T453" t="s">
        <v>11</v>
      </c>
      <c r="U453" t="s">
        <v>408</v>
      </c>
    </row>
    <row r="454" spans="1:21" x14ac:dyDescent="0.25">
      <c r="A454">
        <v>12602322</v>
      </c>
      <c r="B454" t="s">
        <v>340</v>
      </c>
      <c r="C454" t="s">
        <v>26</v>
      </c>
      <c r="D454" t="s">
        <v>12</v>
      </c>
      <c r="E454" t="s">
        <v>730</v>
      </c>
      <c r="F454" t="s">
        <v>41</v>
      </c>
      <c r="G454" t="s">
        <v>369</v>
      </c>
      <c r="H454" t="s">
        <v>5</v>
      </c>
      <c r="I454" t="s">
        <v>436</v>
      </c>
      <c r="J454" t="s">
        <v>446</v>
      </c>
      <c r="K454" t="s">
        <v>438</v>
      </c>
      <c r="L454" t="s">
        <v>2</v>
      </c>
      <c r="M454" t="s">
        <v>408</v>
      </c>
      <c r="N454" t="s">
        <v>11</v>
      </c>
      <c r="O454" t="s">
        <v>11</v>
      </c>
      <c r="P454" t="s">
        <v>0</v>
      </c>
      <c r="Q454" t="s">
        <v>408</v>
      </c>
      <c r="R454" t="s">
        <v>439</v>
      </c>
      <c r="S454" t="s">
        <v>440</v>
      </c>
      <c r="T454" t="s">
        <v>11</v>
      </c>
      <c r="U454" t="s">
        <v>408</v>
      </c>
    </row>
    <row r="455" spans="1:21" x14ac:dyDescent="0.25">
      <c r="A455">
        <v>12602337</v>
      </c>
      <c r="B455" t="s">
        <v>340</v>
      </c>
      <c r="C455" t="s">
        <v>26</v>
      </c>
      <c r="D455" t="s">
        <v>18</v>
      </c>
      <c r="E455" t="s">
        <v>730</v>
      </c>
      <c r="F455" t="s">
        <v>41</v>
      </c>
      <c r="G455" t="s">
        <v>369</v>
      </c>
      <c r="H455" t="s">
        <v>1</v>
      </c>
      <c r="I455" t="s">
        <v>469</v>
      </c>
      <c r="J455" t="s">
        <v>445</v>
      </c>
      <c r="K455" t="s">
        <v>438</v>
      </c>
      <c r="L455" t="s">
        <v>2</v>
      </c>
      <c r="M455" t="s">
        <v>408</v>
      </c>
      <c r="N455" t="s">
        <v>11</v>
      </c>
      <c r="O455" t="s">
        <v>11</v>
      </c>
      <c r="P455" t="s">
        <v>0</v>
      </c>
      <c r="Q455" t="s">
        <v>408</v>
      </c>
      <c r="R455" t="s">
        <v>439</v>
      </c>
      <c r="S455" t="s">
        <v>440</v>
      </c>
      <c r="T455" t="s">
        <v>11</v>
      </c>
      <c r="U455" t="s">
        <v>408</v>
      </c>
    </row>
    <row r="456" spans="1:21" x14ac:dyDescent="0.25">
      <c r="A456">
        <v>12602338</v>
      </c>
      <c r="B456" t="s">
        <v>340</v>
      </c>
      <c r="C456" t="s">
        <v>26</v>
      </c>
      <c r="D456" t="s">
        <v>12</v>
      </c>
      <c r="E456" t="s">
        <v>730</v>
      </c>
      <c r="F456" t="s">
        <v>41</v>
      </c>
      <c r="G456" t="s">
        <v>369</v>
      </c>
      <c r="H456" t="s">
        <v>1</v>
      </c>
      <c r="I456" t="s">
        <v>469</v>
      </c>
      <c r="J456" t="s">
        <v>445</v>
      </c>
      <c r="K456" t="s">
        <v>438</v>
      </c>
      <c r="L456" t="s">
        <v>2</v>
      </c>
      <c r="M456" t="s">
        <v>408</v>
      </c>
      <c r="N456" t="s">
        <v>11</v>
      </c>
      <c r="O456" t="s">
        <v>11</v>
      </c>
      <c r="P456" t="s">
        <v>0</v>
      </c>
      <c r="Q456" t="s">
        <v>408</v>
      </c>
      <c r="R456" t="s">
        <v>439</v>
      </c>
      <c r="S456" t="s">
        <v>440</v>
      </c>
      <c r="T456" t="s">
        <v>11</v>
      </c>
      <c r="U456" t="s">
        <v>408</v>
      </c>
    </row>
    <row r="457" spans="1:21" x14ac:dyDescent="0.25">
      <c r="A457">
        <v>12602339</v>
      </c>
      <c r="B457" t="s">
        <v>342</v>
      </c>
      <c r="C457" t="s">
        <v>33</v>
      </c>
      <c r="D457" t="s">
        <v>24</v>
      </c>
      <c r="E457" t="s">
        <v>730</v>
      </c>
      <c r="F457" t="s">
        <v>41</v>
      </c>
      <c r="G457" t="s">
        <v>369</v>
      </c>
      <c r="H457" t="s">
        <v>2</v>
      </c>
      <c r="I457" t="s">
        <v>436</v>
      </c>
      <c r="J457" t="s">
        <v>443</v>
      </c>
      <c r="K457" t="s">
        <v>444</v>
      </c>
      <c r="L457" t="s">
        <v>151</v>
      </c>
      <c r="M457" t="s">
        <v>408</v>
      </c>
      <c r="N457" t="s">
        <v>11</v>
      </c>
      <c r="O457" t="s">
        <v>11</v>
      </c>
      <c r="P457" t="s">
        <v>0</v>
      </c>
      <c r="Q457" t="s">
        <v>408</v>
      </c>
      <c r="R457" t="s">
        <v>439</v>
      </c>
      <c r="S457" t="s">
        <v>440</v>
      </c>
      <c r="T457" t="s">
        <v>11</v>
      </c>
      <c r="U457" t="s">
        <v>408</v>
      </c>
    </row>
    <row r="458" spans="1:21" x14ac:dyDescent="0.25">
      <c r="A458">
        <v>12602340</v>
      </c>
      <c r="B458" t="s">
        <v>340</v>
      </c>
      <c r="C458" t="s">
        <v>26</v>
      </c>
      <c r="D458" t="s">
        <v>12</v>
      </c>
      <c r="E458" t="s">
        <v>730</v>
      </c>
      <c r="F458" t="s">
        <v>41</v>
      </c>
      <c r="G458" t="s">
        <v>369</v>
      </c>
      <c r="H458" t="s">
        <v>1</v>
      </c>
      <c r="I458" t="s">
        <v>469</v>
      </c>
      <c r="J458" t="s">
        <v>445</v>
      </c>
      <c r="K458" t="s">
        <v>438</v>
      </c>
      <c r="L458" t="s">
        <v>2</v>
      </c>
      <c r="M458" t="s">
        <v>408</v>
      </c>
      <c r="N458" t="s">
        <v>11</v>
      </c>
      <c r="O458" t="s">
        <v>11</v>
      </c>
      <c r="P458" t="s">
        <v>0</v>
      </c>
      <c r="Q458" t="s">
        <v>408</v>
      </c>
      <c r="R458" t="s">
        <v>439</v>
      </c>
      <c r="S458" t="s">
        <v>440</v>
      </c>
      <c r="T458" t="s">
        <v>11</v>
      </c>
      <c r="U458" t="s">
        <v>408</v>
      </c>
    </row>
    <row r="459" spans="1:21" x14ac:dyDescent="0.25">
      <c r="A459">
        <v>12602350</v>
      </c>
      <c r="B459" t="s">
        <v>340</v>
      </c>
      <c r="C459" t="s">
        <v>26</v>
      </c>
      <c r="D459" t="s">
        <v>12</v>
      </c>
      <c r="E459" t="s">
        <v>730</v>
      </c>
      <c r="F459" t="s">
        <v>41</v>
      </c>
      <c r="G459" t="s">
        <v>369</v>
      </c>
      <c r="H459" t="s">
        <v>0</v>
      </c>
      <c r="I459" t="s">
        <v>436</v>
      </c>
      <c r="J459" t="s">
        <v>437</v>
      </c>
      <c r="K459" t="s">
        <v>438</v>
      </c>
      <c r="L459" t="s">
        <v>2</v>
      </c>
      <c r="M459" t="s">
        <v>408</v>
      </c>
      <c r="N459" t="s">
        <v>11</v>
      </c>
      <c r="O459" t="s">
        <v>11</v>
      </c>
      <c r="P459" t="s">
        <v>0</v>
      </c>
      <c r="Q459" t="s">
        <v>408</v>
      </c>
      <c r="R459" t="s">
        <v>439</v>
      </c>
      <c r="S459" t="s">
        <v>440</v>
      </c>
      <c r="T459" t="s">
        <v>11</v>
      </c>
      <c r="U459" t="s">
        <v>408</v>
      </c>
    </row>
    <row r="460" spans="1:21" x14ac:dyDescent="0.25">
      <c r="A460">
        <v>12602351</v>
      </c>
      <c r="B460" t="s">
        <v>340</v>
      </c>
      <c r="C460" t="s">
        <v>26</v>
      </c>
      <c r="D460" t="s">
        <v>12</v>
      </c>
      <c r="E460" t="s">
        <v>730</v>
      </c>
      <c r="F460" t="s">
        <v>41</v>
      </c>
      <c r="G460" t="s">
        <v>369</v>
      </c>
      <c r="H460" t="s">
        <v>0</v>
      </c>
      <c r="I460" t="s">
        <v>436</v>
      </c>
      <c r="J460" t="s">
        <v>437</v>
      </c>
      <c r="K460" t="s">
        <v>438</v>
      </c>
      <c r="L460" t="s">
        <v>5</v>
      </c>
      <c r="M460" t="s">
        <v>408</v>
      </c>
      <c r="N460" t="s">
        <v>11</v>
      </c>
      <c r="O460" t="s">
        <v>11</v>
      </c>
      <c r="P460" t="s">
        <v>0</v>
      </c>
      <c r="Q460" t="s">
        <v>408</v>
      </c>
      <c r="R460" t="s">
        <v>439</v>
      </c>
      <c r="S460" t="s">
        <v>440</v>
      </c>
      <c r="T460" t="s">
        <v>11</v>
      </c>
      <c r="U460" t="s">
        <v>408</v>
      </c>
    </row>
    <row r="461" spans="1:21" x14ac:dyDescent="0.25">
      <c r="A461">
        <v>12602352</v>
      </c>
      <c r="B461" t="s">
        <v>342</v>
      </c>
      <c r="C461" t="s">
        <v>33</v>
      </c>
      <c r="D461" t="s">
        <v>12</v>
      </c>
      <c r="E461" t="s">
        <v>730</v>
      </c>
      <c r="F461" t="s">
        <v>41</v>
      </c>
      <c r="G461" t="s">
        <v>369</v>
      </c>
      <c r="H461" t="s">
        <v>0</v>
      </c>
      <c r="I461" t="s">
        <v>436</v>
      </c>
      <c r="J461" t="s">
        <v>437</v>
      </c>
      <c r="K461" t="s">
        <v>438</v>
      </c>
      <c r="L461" t="s">
        <v>345</v>
      </c>
      <c r="M461" t="s">
        <v>408</v>
      </c>
      <c r="N461" t="s">
        <v>11</v>
      </c>
      <c r="O461" t="s">
        <v>11</v>
      </c>
      <c r="P461" t="s">
        <v>0</v>
      </c>
      <c r="Q461" t="s">
        <v>408</v>
      </c>
      <c r="R461" t="s">
        <v>439</v>
      </c>
      <c r="S461" t="s">
        <v>440</v>
      </c>
      <c r="T461" t="s">
        <v>11</v>
      </c>
      <c r="U461" t="s">
        <v>408</v>
      </c>
    </row>
    <row r="462" spans="1:21" x14ac:dyDescent="0.25">
      <c r="A462">
        <v>12602357</v>
      </c>
      <c r="B462" t="s">
        <v>342</v>
      </c>
      <c r="C462" t="s">
        <v>33</v>
      </c>
      <c r="D462" t="s">
        <v>12</v>
      </c>
      <c r="E462" t="s">
        <v>730</v>
      </c>
      <c r="F462" t="s">
        <v>41</v>
      </c>
      <c r="G462" t="s">
        <v>369</v>
      </c>
      <c r="H462" t="s">
        <v>0</v>
      </c>
      <c r="I462" t="s">
        <v>436</v>
      </c>
      <c r="J462" t="s">
        <v>437</v>
      </c>
      <c r="K462" t="s">
        <v>438</v>
      </c>
      <c r="L462" t="s">
        <v>345</v>
      </c>
      <c r="M462" t="s">
        <v>408</v>
      </c>
      <c r="N462" t="s">
        <v>11</v>
      </c>
      <c r="O462" t="s">
        <v>11</v>
      </c>
      <c r="P462" t="s">
        <v>0</v>
      </c>
      <c r="Q462" t="s">
        <v>408</v>
      </c>
      <c r="R462" t="s">
        <v>439</v>
      </c>
      <c r="S462" t="s">
        <v>440</v>
      </c>
      <c r="T462" t="s">
        <v>11</v>
      </c>
      <c r="U462" t="s">
        <v>408</v>
      </c>
    </row>
    <row r="463" spans="1:21" x14ac:dyDescent="0.25">
      <c r="A463">
        <v>12602362</v>
      </c>
      <c r="B463" t="s">
        <v>342</v>
      </c>
      <c r="C463" t="s">
        <v>33</v>
      </c>
      <c r="D463" t="s">
        <v>18</v>
      </c>
      <c r="E463" t="s">
        <v>730</v>
      </c>
      <c r="F463" t="s">
        <v>41</v>
      </c>
      <c r="G463" t="s">
        <v>369</v>
      </c>
      <c r="H463" t="s">
        <v>2</v>
      </c>
      <c r="I463" t="s">
        <v>436</v>
      </c>
      <c r="J463" t="s">
        <v>443</v>
      </c>
      <c r="K463" t="s">
        <v>444</v>
      </c>
      <c r="L463" t="s">
        <v>151</v>
      </c>
      <c r="M463" t="s">
        <v>408</v>
      </c>
      <c r="N463" t="s">
        <v>11</v>
      </c>
      <c r="O463" t="s">
        <v>11</v>
      </c>
      <c r="P463" t="s">
        <v>0</v>
      </c>
      <c r="Q463" t="s">
        <v>408</v>
      </c>
      <c r="R463" t="s">
        <v>439</v>
      </c>
      <c r="S463" t="s">
        <v>440</v>
      </c>
      <c r="T463" t="s">
        <v>11</v>
      </c>
      <c r="U463" t="s">
        <v>408</v>
      </c>
    </row>
    <row r="464" spans="1:21" x14ac:dyDescent="0.25">
      <c r="A464">
        <v>12602368</v>
      </c>
      <c r="B464" t="s">
        <v>340</v>
      </c>
      <c r="C464" t="s">
        <v>26</v>
      </c>
      <c r="D464" t="s">
        <v>12</v>
      </c>
      <c r="E464" t="s">
        <v>730</v>
      </c>
      <c r="F464" t="s">
        <v>41</v>
      </c>
      <c r="G464" t="s">
        <v>369</v>
      </c>
      <c r="H464" t="s">
        <v>0</v>
      </c>
      <c r="I464" t="s">
        <v>436</v>
      </c>
      <c r="J464" t="s">
        <v>437</v>
      </c>
      <c r="K464" t="s">
        <v>438</v>
      </c>
      <c r="L464" t="s">
        <v>2</v>
      </c>
      <c r="M464" t="s">
        <v>408</v>
      </c>
      <c r="N464" t="s">
        <v>11</v>
      </c>
      <c r="O464" t="s">
        <v>11</v>
      </c>
      <c r="P464" t="s">
        <v>0</v>
      </c>
      <c r="Q464" t="s">
        <v>408</v>
      </c>
      <c r="R464" t="s">
        <v>439</v>
      </c>
      <c r="S464" t="s">
        <v>440</v>
      </c>
      <c r="T464" t="s">
        <v>11</v>
      </c>
      <c r="U464" t="s">
        <v>408</v>
      </c>
    </row>
    <row r="465" spans="1:21" x14ac:dyDescent="0.25">
      <c r="A465">
        <v>12602387</v>
      </c>
      <c r="B465" t="s">
        <v>340</v>
      </c>
      <c r="C465" t="s">
        <v>26</v>
      </c>
      <c r="D465" t="s">
        <v>12</v>
      </c>
      <c r="E465" t="s">
        <v>730</v>
      </c>
      <c r="F465" t="s">
        <v>41</v>
      </c>
      <c r="G465" t="s">
        <v>369</v>
      </c>
      <c r="H465" t="s">
        <v>0</v>
      </c>
      <c r="I465" t="s">
        <v>436</v>
      </c>
      <c r="J465" t="s">
        <v>437</v>
      </c>
      <c r="K465" t="s">
        <v>438</v>
      </c>
      <c r="L465" t="s">
        <v>1</v>
      </c>
      <c r="M465" t="s">
        <v>408</v>
      </c>
      <c r="N465" t="s">
        <v>11</v>
      </c>
      <c r="O465" t="s">
        <v>11</v>
      </c>
      <c r="P465" t="s">
        <v>0</v>
      </c>
      <c r="Q465" t="s">
        <v>408</v>
      </c>
      <c r="R465" t="s">
        <v>439</v>
      </c>
      <c r="S465" t="s">
        <v>440</v>
      </c>
      <c r="T465" t="s">
        <v>11</v>
      </c>
      <c r="U465" t="s">
        <v>408</v>
      </c>
    </row>
    <row r="466" spans="1:21" x14ac:dyDescent="0.25">
      <c r="A466">
        <v>12602396</v>
      </c>
      <c r="B466" t="s">
        <v>342</v>
      </c>
      <c r="C466" t="s">
        <v>33</v>
      </c>
      <c r="D466" t="s">
        <v>12</v>
      </c>
      <c r="E466" t="s">
        <v>730</v>
      </c>
      <c r="F466" t="s">
        <v>41</v>
      </c>
      <c r="G466" t="s">
        <v>369</v>
      </c>
      <c r="H466" t="s">
        <v>0</v>
      </c>
      <c r="I466" t="s">
        <v>436</v>
      </c>
      <c r="J466" t="s">
        <v>437</v>
      </c>
      <c r="K466" t="s">
        <v>438</v>
      </c>
      <c r="L466" t="s">
        <v>345</v>
      </c>
      <c r="M466" t="s">
        <v>408</v>
      </c>
      <c r="N466" t="s">
        <v>11</v>
      </c>
      <c r="O466" t="s">
        <v>11</v>
      </c>
      <c r="P466" t="s">
        <v>0</v>
      </c>
      <c r="Q466" t="s">
        <v>408</v>
      </c>
      <c r="R466" t="s">
        <v>439</v>
      </c>
      <c r="S466" t="s">
        <v>440</v>
      </c>
      <c r="T466" t="s">
        <v>11</v>
      </c>
      <c r="U466" t="s">
        <v>408</v>
      </c>
    </row>
    <row r="467" spans="1:21" x14ac:dyDescent="0.25">
      <c r="A467">
        <v>14717713</v>
      </c>
      <c r="B467" t="s">
        <v>340</v>
      </c>
      <c r="C467" t="s">
        <v>26</v>
      </c>
      <c r="D467" t="s">
        <v>12</v>
      </c>
      <c r="E467" t="s">
        <v>730</v>
      </c>
      <c r="F467" t="s">
        <v>41</v>
      </c>
      <c r="G467" t="s">
        <v>369</v>
      </c>
      <c r="H467" t="s">
        <v>715</v>
      </c>
      <c r="I467" t="s">
        <v>716</v>
      </c>
      <c r="J467" t="s">
        <v>717</v>
      </c>
      <c r="K467" t="s">
        <v>438</v>
      </c>
      <c r="L467" t="s">
        <v>0</v>
      </c>
      <c r="M467" t="s">
        <v>408</v>
      </c>
      <c r="N467" t="s">
        <v>11</v>
      </c>
      <c r="O467" t="s">
        <v>11</v>
      </c>
      <c r="P467" t="s">
        <v>0</v>
      </c>
      <c r="Q467" t="s">
        <v>408</v>
      </c>
      <c r="R467" t="s">
        <v>439</v>
      </c>
      <c r="S467" t="s">
        <v>440</v>
      </c>
      <c r="T467" t="s">
        <v>11</v>
      </c>
      <c r="U467" t="s">
        <v>408</v>
      </c>
    </row>
    <row r="468" spans="1:21" x14ac:dyDescent="0.25">
      <c r="A468">
        <v>14717718</v>
      </c>
      <c r="B468" t="s">
        <v>340</v>
      </c>
      <c r="C468" t="s">
        <v>26</v>
      </c>
      <c r="D468" t="s">
        <v>18</v>
      </c>
      <c r="E468" t="s">
        <v>730</v>
      </c>
      <c r="F468" t="s">
        <v>41</v>
      </c>
      <c r="G468" t="s">
        <v>369</v>
      </c>
      <c r="H468" t="s">
        <v>0</v>
      </c>
      <c r="I468" t="s">
        <v>436</v>
      </c>
      <c r="J468" t="s">
        <v>437</v>
      </c>
      <c r="K468" t="s">
        <v>438</v>
      </c>
      <c r="L468" t="s">
        <v>345</v>
      </c>
      <c r="M468" t="s">
        <v>408</v>
      </c>
      <c r="N468" t="s">
        <v>11</v>
      </c>
      <c r="O468" t="s">
        <v>11</v>
      </c>
      <c r="P468" t="s">
        <v>0</v>
      </c>
      <c r="Q468" t="s">
        <v>408</v>
      </c>
      <c r="R468" t="s">
        <v>439</v>
      </c>
      <c r="S468" t="s">
        <v>440</v>
      </c>
      <c r="T468" t="s">
        <v>11</v>
      </c>
      <c r="U468" t="s">
        <v>408</v>
      </c>
    </row>
    <row r="469" spans="1:21" x14ac:dyDescent="0.25">
      <c r="A469">
        <v>14717723</v>
      </c>
      <c r="B469" t="s">
        <v>342</v>
      </c>
      <c r="C469" t="s">
        <v>33</v>
      </c>
      <c r="D469" t="s">
        <v>18</v>
      </c>
      <c r="E469" t="s">
        <v>730</v>
      </c>
      <c r="F469" t="s">
        <v>41</v>
      </c>
      <c r="G469" t="s">
        <v>369</v>
      </c>
      <c r="H469" t="s">
        <v>2</v>
      </c>
      <c r="I469" t="s">
        <v>436</v>
      </c>
      <c r="J469" t="s">
        <v>443</v>
      </c>
      <c r="K469" t="s">
        <v>444</v>
      </c>
      <c r="L469" t="s">
        <v>151</v>
      </c>
      <c r="M469" t="s">
        <v>408</v>
      </c>
      <c r="N469" t="s">
        <v>11</v>
      </c>
      <c r="O469" t="s">
        <v>11</v>
      </c>
      <c r="P469" t="s">
        <v>0</v>
      </c>
      <c r="Q469" t="s">
        <v>408</v>
      </c>
      <c r="R469" t="s">
        <v>439</v>
      </c>
      <c r="S469" t="s">
        <v>440</v>
      </c>
      <c r="T469" t="s">
        <v>11</v>
      </c>
      <c r="U469" t="s">
        <v>408</v>
      </c>
    </row>
    <row r="470" spans="1:21" x14ac:dyDescent="0.25">
      <c r="A470">
        <v>14717727</v>
      </c>
      <c r="B470" t="s">
        <v>340</v>
      </c>
      <c r="C470" t="s">
        <v>26</v>
      </c>
      <c r="D470" t="s">
        <v>12</v>
      </c>
      <c r="E470" t="s">
        <v>730</v>
      </c>
      <c r="F470" t="s">
        <v>41</v>
      </c>
      <c r="G470" t="s">
        <v>369</v>
      </c>
      <c r="H470" t="s">
        <v>1</v>
      </c>
      <c r="I470" t="s">
        <v>469</v>
      </c>
      <c r="J470" t="s">
        <v>445</v>
      </c>
      <c r="K470" t="s">
        <v>438</v>
      </c>
      <c r="L470" t="s">
        <v>2</v>
      </c>
      <c r="M470" t="s">
        <v>408</v>
      </c>
      <c r="N470" t="s">
        <v>11</v>
      </c>
      <c r="O470" t="s">
        <v>11</v>
      </c>
      <c r="P470" t="s">
        <v>0</v>
      </c>
      <c r="Q470" t="s">
        <v>408</v>
      </c>
      <c r="R470" t="s">
        <v>439</v>
      </c>
      <c r="S470" t="s">
        <v>440</v>
      </c>
      <c r="T470" t="s">
        <v>11</v>
      </c>
      <c r="U470" t="s">
        <v>408</v>
      </c>
    </row>
    <row r="471" spans="1:21" x14ac:dyDescent="0.25">
      <c r="A471">
        <v>14717733</v>
      </c>
      <c r="B471" t="s">
        <v>340</v>
      </c>
      <c r="C471" t="s">
        <v>26</v>
      </c>
      <c r="D471" t="s">
        <v>18</v>
      </c>
      <c r="E471" t="s">
        <v>730</v>
      </c>
      <c r="F471" t="s">
        <v>41</v>
      </c>
      <c r="G471" t="s">
        <v>369</v>
      </c>
      <c r="H471" t="s">
        <v>0</v>
      </c>
      <c r="I471" t="s">
        <v>436</v>
      </c>
      <c r="J471" t="s">
        <v>437</v>
      </c>
      <c r="K471" t="s">
        <v>438</v>
      </c>
      <c r="L471" t="s">
        <v>1</v>
      </c>
      <c r="M471" t="s">
        <v>408</v>
      </c>
      <c r="N471" t="s">
        <v>11</v>
      </c>
      <c r="O471" t="s">
        <v>11</v>
      </c>
      <c r="P471" t="s">
        <v>0</v>
      </c>
      <c r="Q471" t="s">
        <v>408</v>
      </c>
      <c r="R471" t="s">
        <v>439</v>
      </c>
      <c r="S471" t="s">
        <v>440</v>
      </c>
      <c r="T471" t="s">
        <v>11</v>
      </c>
      <c r="U471" t="s">
        <v>408</v>
      </c>
    </row>
    <row r="472" spans="1:21" x14ac:dyDescent="0.25">
      <c r="A472">
        <v>14717734</v>
      </c>
      <c r="B472" t="s">
        <v>340</v>
      </c>
      <c r="C472" t="s">
        <v>26</v>
      </c>
      <c r="D472" t="s">
        <v>12</v>
      </c>
      <c r="E472" t="s">
        <v>730</v>
      </c>
      <c r="F472" t="s">
        <v>41</v>
      </c>
      <c r="G472" t="s">
        <v>369</v>
      </c>
      <c r="H472" t="s">
        <v>0</v>
      </c>
      <c r="I472" t="s">
        <v>436</v>
      </c>
      <c r="J472" t="s">
        <v>437</v>
      </c>
      <c r="K472" t="s">
        <v>438</v>
      </c>
      <c r="L472" t="s">
        <v>1</v>
      </c>
      <c r="M472" t="s">
        <v>408</v>
      </c>
      <c r="N472" t="s">
        <v>11</v>
      </c>
      <c r="O472" t="s">
        <v>11</v>
      </c>
      <c r="P472" t="s">
        <v>0</v>
      </c>
      <c r="Q472" t="s">
        <v>408</v>
      </c>
      <c r="R472" t="s">
        <v>439</v>
      </c>
      <c r="S472" t="s">
        <v>440</v>
      </c>
      <c r="T472" t="s">
        <v>11</v>
      </c>
      <c r="U472" t="s">
        <v>408</v>
      </c>
    </row>
    <row r="473" spans="1:21" x14ac:dyDescent="0.25">
      <c r="A473">
        <v>14717738</v>
      </c>
      <c r="B473" t="s">
        <v>340</v>
      </c>
      <c r="C473" t="s">
        <v>26</v>
      </c>
      <c r="D473" t="s">
        <v>18</v>
      </c>
      <c r="E473" t="s">
        <v>730</v>
      </c>
      <c r="F473" t="s">
        <v>41</v>
      </c>
      <c r="G473" t="s">
        <v>369</v>
      </c>
      <c r="H473" t="s">
        <v>0</v>
      </c>
      <c r="I473" t="s">
        <v>436</v>
      </c>
      <c r="J473" t="s">
        <v>437</v>
      </c>
      <c r="K473" t="s">
        <v>438</v>
      </c>
      <c r="L473" t="s">
        <v>2</v>
      </c>
      <c r="M473" t="s">
        <v>408</v>
      </c>
      <c r="N473" t="s">
        <v>11</v>
      </c>
      <c r="O473" t="s">
        <v>11</v>
      </c>
      <c r="P473" t="s">
        <v>2</v>
      </c>
      <c r="Q473" t="s">
        <v>408</v>
      </c>
      <c r="R473" t="s">
        <v>439</v>
      </c>
      <c r="S473" t="s">
        <v>440</v>
      </c>
      <c r="T473" t="s">
        <v>11</v>
      </c>
      <c r="U473" t="s">
        <v>408</v>
      </c>
    </row>
    <row r="474" spans="1:21" x14ac:dyDescent="0.25">
      <c r="A474">
        <v>14717740</v>
      </c>
      <c r="B474" t="s">
        <v>340</v>
      </c>
      <c r="C474" t="s">
        <v>26</v>
      </c>
      <c r="D474" t="s">
        <v>12</v>
      </c>
      <c r="E474" t="s">
        <v>730</v>
      </c>
      <c r="F474" t="s">
        <v>41</v>
      </c>
      <c r="G474" t="s">
        <v>369</v>
      </c>
      <c r="H474" t="s">
        <v>1</v>
      </c>
      <c r="I474" t="s">
        <v>469</v>
      </c>
      <c r="J474" t="s">
        <v>445</v>
      </c>
      <c r="K474" t="s">
        <v>438</v>
      </c>
      <c r="L474" t="s">
        <v>2</v>
      </c>
      <c r="M474" t="s">
        <v>408</v>
      </c>
      <c r="N474" t="s">
        <v>11</v>
      </c>
      <c r="O474" t="s">
        <v>11</v>
      </c>
      <c r="P474" t="s">
        <v>2</v>
      </c>
      <c r="Q474" t="s">
        <v>408</v>
      </c>
      <c r="R474" t="s">
        <v>439</v>
      </c>
      <c r="S474" t="s">
        <v>440</v>
      </c>
      <c r="T474" t="s">
        <v>11</v>
      </c>
      <c r="U474" t="s">
        <v>408</v>
      </c>
    </row>
    <row r="475" spans="1:21" x14ac:dyDescent="0.25">
      <c r="A475">
        <v>14717745</v>
      </c>
      <c r="B475" t="s">
        <v>340</v>
      </c>
      <c r="C475" t="s">
        <v>26</v>
      </c>
      <c r="D475" t="s">
        <v>12</v>
      </c>
      <c r="E475" t="s">
        <v>730</v>
      </c>
      <c r="F475" t="s">
        <v>41</v>
      </c>
      <c r="G475" t="s">
        <v>369</v>
      </c>
      <c r="H475" t="s">
        <v>0</v>
      </c>
      <c r="I475" t="s">
        <v>436</v>
      </c>
      <c r="J475" t="s">
        <v>437</v>
      </c>
      <c r="K475" t="s">
        <v>438</v>
      </c>
      <c r="L475" t="s">
        <v>2</v>
      </c>
      <c r="M475" t="s">
        <v>408</v>
      </c>
      <c r="N475" t="s">
        <v>11</v>
      </c>
      <c r="O475" t="s">
        <v>11</v>
      </c>
      <c r="P475" t="s">
        <v>2</v>
      </c>
      <c r="Q475" t="s">
        <v>408</v>
      </c>
      <c r="R475" t="s">
        <v>439</v>
      </c>
      <c r="S475" t="s">
        <v>440</v>
      </c>
      <c r="T475" t="s">
        <v>11</v>
      </c>
      <c r="U475" t="s">
        <v>408</v>
      </c>
    </row>
    <row r="476" spans="1:21" x14ac:dyDescent="0.25">
      <c r="A476">
        <v>14717748</v>
      </c>
      <c r="B476" t="s">
        <v>340</v>
      </c>
      <c r="C476" t="s">
        <v>26</v>
      </c>
      <c r="D476" t="s">
        <v>12</v>
      </c>
      <c r="E476" t="s">
        <v>730</v>
      </c>
      <c r="F476" t="s">
        <v>41</v>
      </c>
      <c r="G476" t="s">
        <v>369</v>
      </c>
      <c r="H476" t="s">
        <v>370</v>
      </c>
      <c r="I476" t="s">
        <v>721</v>
      </c>
      <c r="J476" t="s">
        <v>455</v>
      </c>
      <c r="K476" t="s">
        <v>453</v>
      </c>
      <c r="L476" t="s">
        <v>367</v>
      </c>
      <c r="M476" t="s">
        <v>408</v>
      </c>
      <c r="N476" t="s">
        <v>11</v>
      </c>
      <c r="O476" t="s">
        <v>11</v>
      </c>
      <c r="P476" t="s">
        <v>2</v>
      </c>
      <c r="Q476" t="s">
        <v>408</v>
      </c>
      <c r="R476" t="s">
        <v>439</v>
      </c>
      <c r="S476" t="s">
        <v>451</v>
      </c>
      <c r="T476" t="s">
        <v>11</v>
      </c>
      <c r="U476" t="s">
        <v>408</v>
      </c>
    </row>
    <row r="477" spans="1:21" x14ac:dyDescent="0.25">
      <c r="A477">
        <v>14717778</v>
      </c>
      <c r="B477" t="s">
        <v>340</v>
      </c>
      <c r="C477" t="s">
        <v>26</v>
      </c>
      <c r="D477" t="s">
        <v>12</v>
      </c>
      <c r="E477" t="s">
        <v>730</v>
      </c>
      <c r="F477" t="s">
        <v>41</v>
      </c>
      <c r="G477" t="s">
        <v>369</v>
      </c>
      <c r="H477" t="s">
        <v>2</v>
      </c>
      <c r="I477" t="s">
        <v>436</v>
      </c>
      <c r="J477" t="s">
        <v>443</v>
      </c>
      <c r="K477" t="s">
        <v>444</v>
      </c>
      <c r="L477" t="s">
        <v>8</v>
      </c>
      <c r="M477" t="s">
        <v>408</v>
      </c>
      <c r="N477" t="s">
        <v>11</v>
      </c>
      <c r="O477" t="s">
        <v>11</v>
      </c>
      <c r="P477" t="s">
        <v>2</v>
      </c>
      <c r="Q477" t="s">
        <v>408</v>
      </c>
      <c r="R477" t="s">
        <v>439</v>
      </c>
      <c r="S477" t="s">
        <v>440</v>
      </c>
      <c r="T477" t="s">
        <v>11</v>
      </c>
      <c r="U477" t="s">
        <v>408</v>
      </c>
    </row>
    <row r="478" spans="1:21" x14ac:dyDescent="0.25">
      <c r="A478">
        <v>14717781</v>
      </c>
      <c r="B478" t="s">
        <v>340</v>
      </c>
      <c r="C478" t="s">
        <v>26</v>
      </c>
      <c r="D478" t="s">
        <v>12</v>
      </c>
      <c r="E478" t="s">
        <v>730</v>
      </c>
      <c r="F478" t="s">
        <v>41</v>
      </c>
      <c r="G478" t="s">
        <v>369</v>
      </c>
      <c r="H478" t="s">
        <v>1</v>
      </c>
      <c r="I478" t="s">
        <v>469</v>
      </c>
      <c r="J478" t="s">
        <v>445</v>
      </c>
      <c r="K478" t="s">
        <v>438</v>
      </c>
      <c r="L478" t="s">
        <v>0</v>
      </c>
      <c r="M478" t="s">
        <v>408</v>
      </c>
      <c r="N478" t="s">
        <v>11</v>
      </c>
      <c r="O478" t="s">
        <v>11</v>
      </c>
      <c r="P478" t="s">
        <v>2</v>
      </c>
      <c r="Q478" t="s">
        <v>408</v>
      </c>
      <c r="R478" t="s">
        <v>439</v>
      </c>
      <c r="S478" t="s">
        <v>440</v>
      </c>
      <c r="T478" t="s">
        <v>11</v>
      </c>
      <c r="U478" t="s">
        <v>408</v>
      </c>
    </row>
    <row r="479" spans="1:21" x14ac:dyDescent="0.25">
      <c r="A479">
        <v>14717796</v>
      </c>
      <c r="B479" t="s">
        <v>340</v>
      </c>
      <c r="C479" t="s">
        <v>26</v>
      </c>
      <c r="D479" t="s">
        <v>12</v>
      </c>
      <c r="E479" t="s">
        <v>730</v>
      </c>
      <c r="F479" t="s">
        <v>41</v>
      </c>
      <c r="G479" t="s">
        <v>369</v>
      </c>
      <c r="H479" t="s">
        <v>2</v>
      </c>
      <c r="I479" t="s">
        <v>436</v>
      </c>
      <c r="J479" t="s">
        <v>443</v>
      </c>
      <c r="K479" t="s">
        <v>444</v>
      </c>
      <c r="L479" t="s">
        <v>5</v>
      </c>
      <c r="M479" t="s">
        <v>408</v>
      </c>
      <c r="N479" t="s">
        <v>11</v>
      </c>
      <c r="O479" t="s">
        <v>11</v>
      </c>
      <c r="P479" t="s">
        <v>2</v>
      </c>
      <c r="Q479" t="s">
        <v>408</v>
      </c>
      <c r="R479" t="s">
        <v>439</v>
      </c>
      <c r="S479" t="s">
        <v>440</v>
      </c>
      <c r="T479" t="s">
        <v>11</v>
      </c>
      <c r="U479" t="s">
        <v>408</v>
      </c>
    </row>
    <row r="480" spans="1:21" x14ac:dyDescent="0.25">
      <c r="A480">
        <v>14717816</v>
      </c>
      <c r="B480" t="s">
        <v>340</v>
      </c>
      <c r="C480" t="s">
        <v>26</v>
      </c>
      <c r="D480" t="s">
        <v>12</v>
      </c>
      <c r="E480" t="s">
        <v>730</v>
      </c>
      <c r="F480" t="s">
        <v>41</v>
      </c>
      <c r="G480" t="s">
        <v>369</v>
      </c>
      <c r="H480" t="s">
        <v>0</v>
      </c>
      <c r="I480" t="s">
        <v>436</v>
      </c>
      <c r="J480" t="s">
        <v>437</v>
      </c>
      <c r="K480" t="s">
        <v>438</v>
      </c>
      <c r="L480" t="s">
        <v>8</v>
      </c>
      <c r="M480" t="s">
        <v>408</v>
      </c>
      <c r="N480" t="s">
        <v>11</v>
      </c>
      <c r="O480" t="s">
        <v>11</v>
      </c>
      <c r="P480" t="s">
        <v>2</v>
      </c>
      <c r="Q480" t="s">
        <v>408</v>
      </c>
      <c r="R480" t="s">
        <v>439</v>
      </c>
      <c r="S480" t="s">
        <v>440</v>
      </c>
      <c r="T480" t="s">
        <v>11</v>
      </c>
      <c r="U480" t="s">
        <v>408</v>
      </c>
    </row>
    <row r="481" spans="1:21" x14ac:dyDescent="0.25">
      <c r="A481">
        <v>14717820</v>
      </c>
      <c r="B481" t="s">
        <v>340</v>
      </c>
      <c r="C481" t="s">
        <v>26</v>
      </c>
      <c r="D481" t="s">
        <v>12</v>
      </c>
      <c r="E481" t="s">
        <v>730</v>
      </c>
      <c r="F481" t="s">
        <v>41</v>
      </c>
      <c r="G481" t="s">
        <v>369</v>
      </c>
      <c r="H481" t="s">
        <v>9</v>
      </c>
      <c r="I481" t="s">
        <v>611</v>
      </c>
      <c r="J481" t="s">
        <v>452</v>
      </c>
      <c r="K481" t="s">
        <v>462</v>
      </c>
      <c r="L481" t="s">
        <v>0</v>
      </c>
      <c r="M481" t="s">
        <v>408</v>
      </c>
      <c r="N481" t="s">
        <v>11</v>
      </c>
      <c r="O481" t="s">
        <v>11</v>
      </c>
      <c r="P481" t="s">
        <v>2</v>
      </c>
      <c r="Q481" t="s">
        <v>408</v>
      </c>
      <c r="R481" t="s">
        <v>439</v>
      </c>
      <c r="S481" t="s">
        <v>451</v>
      </c>
      <c r="T481" t="s">
        <v>11</v>
      </c>
      <c r="U481" t="s">
        <v>408</v>
      </c>
    </row>
    <row r="482" spans="1:21" x14ac:dyDescent="0.25">
      <c r="A482">
        <v>14717827</v>
      </c>
      <c r="B482" t="s">
        <v>340</v>
      </c>
      <c r="C482" t="s">
        <v>26</v>
      </c>
      <c r="D482" t="s">
        <v>12</v>
      </c>
      <c r="E482" t="s">
        <v>730</v>
      </c>
      <c r="F482" t="s">
        <v>41</v>
      </c>
      <c r="G482" t="s">
        <v>369</v>
      </c>
      <c r="H482" t="s">
        <v>1</v>
      </c>
      <c r="I482" t="s">
        <v>469</v>
      </c>
      <c r="J482" t="s">
        <v>445</v>
      </c>
      <c r="K482" t="s">
        <v>438</v>
      </c>
      <c r="L482" t="s">
        <v>0</v>
      </c>
      <c r="M482" t="s">
        <v>408</v>
      </c>
      <c r="N482" t="s">
        <v>11</v>
      </c>
      <c r="O482" t="s">
        <v>11</v>
      </c>
      <c r="P482" t="s">
        <v>2</v>
      </c>
      <c r="Q482" t="s">
        <v>408</v>
      </c>
      <c r="R482" t="s">
        <v>439</v>
      </c>
      <c r="S482" t="s">
        <v>440</v>
      </c>
      <c r="T482" t="s">
        <v>11</v>
      </c>
      <c r="U482" t="s">
        <v>408</v>
      </c>
    </row>
    <row r="483" spans="1:21" x14ac:dyDescent="0.25">
      <c r="A483">
        <v>14717834</v>
      </c>
      <c r="B483" t="s">
        <v>342</v>
      </c>
      <c r="C483" t="s">
        <v>33</v>
      </c>
      <c r="D483" t="s">
        <v>109</v>
      </c>
      <c r="E483" t="s">
        <v>730</v>
      </c>
      <c r="F483" t="s">
        <v>41</v>
      </c>
      <c r="G483" t="s">
        <v>369</v>
      </c>
      <c r="H483" t="s">
        <v>2</v>
      </c>
      <c r="I483" t="s">
        <v>436</v>
      </c>
      <c r="J483" t="s">
        <v>443</v>
      </c>
      <c r="K483" t="s">
        <v>444</v>
      </c>
      <c r="L483" t="s">
        <v>345</v>
      </c>
      <c r="M483" t="s">
        <v>408</v>
      </c>
      <c r="N483" t="s">
        <v>11</v>
      </c>
      <c r="O483" t="s">
        <v>11</v>
      </c>
      <c r="P483" t="s">
        <v>2</v>
      </c>
      <c r="Q483" t="s">
        <v>408</v>
      </c>
      <c r="R483" t="s">
        <v>439</v>
      </c>
      <c r="S483" t="s">
        <v>440</v>
      </c>
      <c r="T483" t="s">
        <v>11</v>
      </c>
      <c r="U483" t="s">
        <v>408</v>
      </c>
    </row>
    <row r="484" spans="1:21" x14ac:dyDescent="0.25">
      <c r="A484">
        <v>14717837</v>
      </c>
      <c r="B484" t="s">
        <v>340</v>
      </c>
      <c r="C484" t="s">
        <v>26</v>
      </c>
      <c r="D484" t="s">
        <v>12</v>
      </c>
      <c r="E484" t="s">
        <v>730</v>
      </c>
      <c r="F484" t="s">
        <v>41</v>
      </c>
      <c r="G484" t="s">
        <v>369</v>
      </c>
      <c r="H484" t="s">
        <v>2</v>
      </c>
      <c r="I484" t="s">
        <v>436</v>
      </c>
      <c r="J484" t="s">
        <v>443</v>
      </c>
      <c r="K484" t="s">
        <v>444</v>
      </c>
      <c r="L484" t="s">
        <v>8</v>
      </c>
      <c r="M484" t="s">
        <v>408</v>
      </c>
      <c r="N484" t="s">
        <v>11</v>
      </c>
      <c r="O484" t="s">
        <v>11</v>
      </c>
      <c r="P484" t="s">
        <v>2</v>
      </c>
      <c r="Q484" t="s">
        <v>408</v>
      </c>
      <c r="R484" t="s">
        <v>439</v>
      </c>
      <c r="S484" t="s">
        <v>440</v>
      </c>
      <c r="T484" t="s">
        <v>11</v>
      </c>
      <c r="U484" t="s">
        <v>408</v>
      </c>
    </row>
    <row r="485" spans="1:21" x14ac:dyDescent="0.25">
      <c r="A485">
        <v>14717843</v>
      </c>
      <c r="B485" t="s">
        <v>340</v>
      </c>
      <c r="C485" t="s">
        <v>26</v>
      </c>
      <c r="D485" t="s">
        <v>12</v>
      </c>
      <c r="E485" t="s">
        <v>730</v>
      </c>
      <c r="F485" t="s">
        <v>41</v>
      </c>
      <c r="G485" t="s">
        <v>369</v>
      </c>
      <c r="H485" t="s">
        <v>1</v>
      </c>
      <c r="I485" t="s">
        <v>469</v>
      </c>
      <c r="J485" t="s">
        <v>445</v>
      </c>
      <c r="K485" t="s">
        <v>438</v>
      </c>
      <c r="L485" t="s">
        <v>0</v>
      </c>
      <c r="M485" t="s">
        <v>408</v>
      </c>
      <c r="N485" t="s">
        <v>11</v>
      </c>
      <c r="O485" t="s">
        <v>11</v>
      </c>
      <c r="P485" t="s">
        <v>347</v>
      </c>
      <c r="Q485" t="s">
        <v>408</v>
      </c>
      <c r="R485" t="s">
        <v>439</v>
      </c>
      <c r="S485" t="s">
        <v>440</v>
      </c>
      <c r="T485" t="s">
        <v>11</v>
      </c>
      <c r="U485" t="s">
        <v>408</v>
      </c>
    </row>
    <row r="486" spans="1:21" x14ac:dyDescent="0.25">
      <c r="A486">
        <v>14717852</v>
      </c>
      <c r="B486" t="s">
        <v>340</v>
      </c>
      <c r="C486" t="s">
        <v>26</v>
      </c>
      <c r="D486" t="s">
        <v>12</v>
      </c>
      <c r="E486" t="s">
        <v>730</v>
      </c>
      <c r="F486" t="s">
        <v>41</v>
      </c>
      <c r="G486" t="s">
        <v>369</v>
      </c>
      <c r="H486" t="s">
        <v>2</v>
      </c>
      <c r="I486" t="s">
        <v>436</v>
      </c>
      <c r="J486" t="s">
        <v>443</v>
      </c>
      <c r="K486" t="s">
        <v>444</v>
      </c>
      <c r="L486" t="s">
        <v>347</v>
      </c>
      <c r="M486" t="s">
        <v>408</v>
      </c>
      <c r="N486" t="s">
        <v>11</v>
      </c>
      <c r="O486" t="s">
        <v>11</v>
      </c>
      <c r="P486" t="s">
        <v>347</v>
      </c>
      <c r="Q486" t="s">
        <v>408</v>
      </c>
      <c r="R486" t="s">
        <v>439</v>
      </c>
      <c r="S486" t="s">
        <v>440</v>
      </c>
      <c r="T486" t="s">
        <v>11</v>
      </c>
      <c r="U486" t="s">
        <v>408</v>
      </c>
    </row>
    <row r="487" spans="1:21" x14ac:dyDescent="0.25">
      <c r="A487">
        <v>14717855</v>
      </c>
      <c r="B487" t="s">
        <v>342</v>
      </c>
      <c r="C487" t="s">
        <v>33</v>
      </c>
      <c r="D487" t="s">
        <v>12</v>
      </c>
      <c r="E487" t="s">
        <v>730</v>
      </c>
      <c r="F487" t="s">
        <v>41</v>
      </c>
      <c r="G487" t="s">
        <v>369</v>
      </c>
      <c r="H487" t="s">
        <v>2</v>
      </c>
      <c r="I487" t="s">
        <v>436</v>
      </c>
      <c r="J487" t="s">
        <v>443</v>
      </c>
      <c r="K487" t="s">
        <v>444</v>
      </c>
      <c r="L487" t="s">
        <v>151</v>
      </c>
      <c r="M487" t="s">
        <v>408</v>
      </c>
      <c r="N487" t="s">
        <v>11</v>
      </c>
      <c r="O487" t="s">
        <v>11</v>
      </c>
      <c r="P487" t="s">
        <v>347</v>
      </c>
      <c r="Q487" t="s">
        <v>408</v>
      </c>
      <c r="R487" t="s">
        <v>439</v>
      </c>
      <c r="S487" t="s">
        <v>440</v>
      </c>
      <c r="T487" t="s">
        <v>11</v>
      </c>
      <c r="U487" t="s">
        <v>408</v>
      </c>
    </row>
    <row r="488" spans="1:21" x14ac:dyDescent="0.25">
      <c r="A488">
        <v>14717856</v>
      </c>
      <c r="B488" t="s">
        <v>342</v>
      </c>
      <c r="C488" t="s">
        <v>33</v>
      </c>
      <c r="D488" t="s">
        <v>125</v>
      </c>
      <c r="E488" t="s">
        <v>730</v>
      </c>
      <c r="F488" t="s">
        <v>41</v>
      </c>
      <c r="G488" t="s">
        <v>369</v>
      </c>
      <c r="H488" t="s">
        <v>2</v>
      </c>
      <c r="I488" t="s">
        <v>436</v>
      </c>
      <c r="J488" t="s">
        <v>443</v>
      </c>
      <c r="K488" t="s">
        <v>444</v>
      </c>
      <c r="L488" t="s">
        <v>347</v>
      </c>
      <c r="M488" t="s">
        <v>408</v>
      </c>
      <c r="N488" t="s">
        <v>11</v>
      </c>
      <c r="O488" t="s">
        <v>11</v>
      </c>
      <c r="P488" t="s">
        <v>347</v>
      </c>
      <c r="Q488" t="s">
        <v>408</v>
      </c>
      <c r="R488" t="s">
        <v>439</v>
      </c>
      <c r="S488" t="s">
        <v>440</v>
      </c>
      <c r="T488" t="s">
        <v>11</v>
      </c>
      <c r="U488" t="s">
        <v>408</v>
      </c>
    </row>
    <row r="489" spans="1:21" x14ac:dyDescent="0.25">
      <c r="A489">
        <v>14717858</v>
      </c>
      <c r="B489" t="s">
        <v>342</v>
      </c>
      <c r="C489" t="s">
        <v>33</v>
      </c>
      <c r="D489" t="s">
        <v>12</v>
      </c>
      <c r="E489" t="s">
        <v>730</v>
      </c>
      <c r="F489" t="s">
        <v>41</v>
      </c>
      <c r="G489" t="s">
        <v>369</v>
      </c>
      <c r="H489" t="s">
        <v>2</v>
      </c>
      <c r="I489" t="s">
        <v>436</v>
      </c>
      <c r="J489" t="s">
        <v>443</v>
      </c>
      <c r="K489" t="s">
        <v>444</v>
      </c>
      <c r="L489" t="s">
        <v>347</v>
      </c>
      <c r="M489" t="s">
        <v>408</v>
      </c>
      <c r="N489" t="s">
        <v>11</v>
      </c>
      <c r="O489" t="s">
        <v>11</v>
      </c>
      <c r="P489" t="s">
        <v>347</v>
      </c>
      <c r="Q489" t="s">
        <v>408</v>
      </c>
      <c r="R489" t="s">
        <v>439</v>
      </c>
      <c r="S489" t="s">
        <v>440</v>
      </c>
      <c r="T489" t="s">
        <v>11</v>
      </c>
      <c r="U489" t="s">
        <v>408</v>
      </c>
    </row>
    <row r="490" spans="1:21" x14ac:dyDescent="0.25">
      <c r="A490">
        <v>14717863</v>
      </c>
      <c r="B490" t="s">
        <v>342</v>
      </c>
      <c r="C490" t="s">
        <v>33</v>
      </c>
      <c r="D490" t="s">
        <v>18</v>
      </c>
      <c r="E490" t="s">
        <v>730</v>
      </c>
      <c r="F490" t="s">
        <v>41</v>
      </c>
      <c r="G490" t="s">
        <v>369</v>
      </c>
      <c r="H490" t="s">
        <v>0</v>
      </c>
      <c r="I490" t="s">
        <v>436</v>
      </c>
      <c r="J490" t="s">
        <v>437</v>
      </c>
      <c r="K490" t="s">
        <v>438</v>
      </c>
      <c r="L490" t="s">
        <v>0</v>
      </c>
      <c r="M490" t="s">
        <v>408</v>
      </c>
      <c r="N490" t="s">
        <v>11</v>
      </c>
      <c r="O490" t="s">
        <v>11</v>
      </c>
      <c r="P490" t="s">
        <v>347</v>
      </c>
      <c r="Q490" t="s">
        <v>408</v>
      </c>
      <c r="R490" t="s">
        <v>439</v>
      </c>
      <c r="S490" t="s">
        <v>440</v>
      </c>
      <c r="T490" t="s">
        <v>11</v>
      </c>
      <c r="U490" t="s">
        <v>408</v>
      </c>
    </row>
    <row r="491" spans="1:21" x14ac:dyDescent="0.25">
      <c r="A491">
        <v>14717865</v>
      </c>
      <c r="B491" t="s">
        <v>340</v>
      </c>
      <c r="C491" t="s">
        <v>26</v>
      </c>
      <c r="D491" t="s">
        <v>79</v>
      </c>
      <c r="E491" t="s">
        <v>730</v>
      </c>
      <c r="F491" t="s">
        <v>41</v>
      </c>
      <c r="G491" t="s">
        <v>369</v>
      </c>
      <c r="H491" t="s">
        <v>2</v>
      </c>
      <c r="I491" t="s">
        <v>436</v>
      </c>
      <c r="J491" t="s">
        <v>443</v>
      </c>
      <c r="K491" t="s">
        <v>444</v>
      </c>
      <c r="L491" t="s">
        <v>347</v>
      </c>
      <c r="M491" t="s">
        <v>408</v>
      </c>
      <c r="N491" t="s">
        <v>11</v>
      </c>
      <c r="O491" t="s">
        <v>11</v>
      </c>
      <c r="P491" t="s">
        <v>347</v>
      </c>
      <c r="Q491" t="s">
        <v>408</v>
      </c>
      <c r="R491" t="s">
        <v>439</v>
      </c>
      <c r="S491" t="s">
        <v>440</v>
      </c>
      <c r="T491" t="s">
        <v>11</v>
      </c>
      <c r="U491" t="s">
        <v>408</v>
      </c>
    </row>
    <row r="492" spans="1:21" x14ac:dyDescent="0.25">
      <c r="A492">
        <v>14717866</v>
      </c>
      <c r="B492" t="s">
        <v>340</v>
      </c>
      <c r="C492" t="s">
        <v>26</v>
      </c>
      <c r="D492" t="s">
        <v>12</v>
      </c>
      <c r="E492" t="s">
        <v>730</v>
      </c>
      <c r="F492" t="s">
        <v>41</v>
      </c>
      <c r="G492" t="s">
        <v>369</v>
      </c>
      <c r="H492" t="s">
        <v>2</v>
      </c>
      <c r="I492" t="s">
        <v>436</v>
      </c>
      <c r="J492" t="s">
        <v>443</v>
      </c>
      <c r="K492" t="s">
        <v>444</v>
      </c>
      <c r="L492" t="s">
        <v>151</v>
      </c>
      <c r="M492" t="s">
        <v>408</v>
      </c>
      <c r="N492" t="s">
        <v>11</v>
      </c>
      <c r="O492" t="s">
        <v>11</v>
      </c>
      <c r="P492" t="s">
        <v>347</v>
      </c>
      <c r="Q492" t="s">
        <v>408</v>
      </c>
      <c r="R492" t="s">
        <v>439</v>
      </c>
      <c r="S492" t="s">
        <v>440</v>
      </c>
      <c r="T492" t="s">
        <v>11</v>
      </c>
      <c r="U492" t="s">
        <v>408</v>
      </c>
    </row>
    <row r="493" spans="1:21" x14ac:dyDescent="0.25">
      <c r="A493">
        <v>14717901</v>
      </c>
      <c r="B493" t="s">
        <v>342</v>
      </c>
      <c r="C493" t="s">
        <v>33</v>
      </c>
      <c r="D493" t="s">
        <v>12</v>
      </c>
      <c r="E493" t="s">
        <v>730</v>
      </c>
      <c r="F493" t="s">
        <v>41</v>
      </c>
      <c r="G493" t="s">
        <v>369</v>
      </c>
      <c r="H493" t="s">
        <v>2</v>
      </c>
      <c r="I493" t="s">
        <v>436</v>
      </c>
      <c r="J493" t="s">
        <v>443</v>
      </c>
      <c r="K493" t="s">
        <v>444</v>
      </c>
      <c r="L493" t="s">
        <v>151</v>
      </c>
      <c r="M493" t="s">
        <v>408</v>
      </c>
      <c r="N493" t="s">
        <v>11</v>
      </c>
      <c r="O493" t="s">
        <v>11</v>
      </c>
      <c r="P493" t="s">
        <v>151</v>
      </c>
      <c r="Q493" t="s">
        <v>408</v>
      </c>
      <c r="R493" t="s">
        <v>439</v>
      </c>
      <c r="S493" t="s">
        <v>440</v>
      </c>
      <c r="T493" t="s">
        <v>11</v>
      </c>
      <c r="U493" t="s">
        <v>408</v>
      </c>
    </row>
    <row r="494" spans="1:21" x14ac:dyDescent="0.25">
      <c r="A494">
        <v>14717914</v>
      </c>
      <c r="B494" t="s">
        <v>342</v>
      </c>
      <c r="C494" t="s">
        <v>33</v>
      </c>
      <c r="D494" t="s">
        <v>12</v>
      </c>
      <c r="E494" t="s">
        <v>730</v>
      </c>
      <c r="F494" t="s">
        <v>41</v>
      </c>
      <c r="G494" t="s">
        <v>369</v>
      </c>
      <c r="H494" t="s">
        <v>2</v>
      </c>
      <c r="I494" t="s">
        <v>436</v>
      </c>
      <c r="J494" t="s">
        <v>443</v>
      </c>
      <c r="K494" t="s">
        <v>444</v>
      </c>
      <c r="L494" t="s">
        <v>151</v>
      </c>
      <c r="M494" t="s">
        <v>408</v>
      </c>
      <c r="N494" t="s">
        <v>11</v>
      </c>
      <c r="O494" t="s">
        <v>11</v>
      </c>
      <c r="P494" t="s">
        <v>151</v>
      </c>
      <c r="Q494" t="s">
        <v>408</v>
      </c>
      <c r="R494" t="s">
        <v>439</v>
      </c>
      <c r="S494" t="s">
        <v>440</v>
      </c>
      <c r="T494" t="s">
        <v>11</v>
      </c>
      <c r="U494" t="s">
        <v>408</v>
      </c>
    </row>
    <row r="495" spans="1:21" x14ac:dyDescent="0.25">
      <c r="A495">
        <v>14717941</v>
      </c>
      <c r="B495" t="s">
        <v>342</v>
      </c>
      <c r="C495" t="s">
        <v>33</v>
      </c>
      <c r="D495" t="s">
        <v>18</v>
      </c>
      <c r="E495" t="s">
        <v>730</v>
      </c>
      <c r="F495" t="s">
        <v>41</v>
      </c>
      <c r="G495" t="s">
        <v>369</v>
      </c>
      <c r="H495" t="s">
        <v>2</v>
      </c>
      <c r="I495" t="s">
        <v>436</v>
      </c>
      <c r="J495" t="s">
        <v>443</v>
      </c>
      <c r="K495" t="s">
        <v>444</v>
      </c>
      <c r="L495" t="s">
        <v>151</v>
      </c>
      <c r="M495" t="s">
        <v>408</v>
      </c>
      <c r="N495" t="s">
        <v>11</v>
      </c>
      <c r="O495" t="s">
        <v>11</v>
      </c>
      <c r="P495" t="s">
        <v>151</v>
      </c>
      <c r="Q495" t="s">
        <v>408</v>
      </c>
      <c r="R495" t="s">
        <v>439</v>
      </c>
      <c r="S495" t="s">
        <v>440</v>
      </c>
      <c r="T495" t="s">
        <v>11</v>
      </c>
      <c r="U495" t="s">
        <v>408</v>
      </c>
    </row>
    <row r="496" spans="1:21" x14ac:dyDescent="0.25">
      <c r="A496">
        <v>14717949</v>
      </c>
      <c r="B496" t="s">
        <v>340</v>
      </c>
      <c r="C496" t="s">
        <v>26</v>
      </c>
      <c r="D496" t="s">
        <v>18</v>
      </c>
      <c r="E496" t="s">
        <v>730</v>
      </c>
      <c r="F496" t="s">
        <v>41</v>
      </c>
      <c r="G496" t="s">
        <v>369</v>
      </c>
      <c r="H496" t="s">
        <v>0</v>
      </c>
      <c r="I496" t="s">
        <v>436</v>
      </c>
      <c r="J496" t="s">
        <v>437</v>
      </c>
      <c r="K496" t="s">
        <v>438</v>
      </c>
      <c r="L496" t="s">
        <v>5</v>
      </c>
      <c r="M496" t="s">
        <v>408</v>
      </c>
      <c r="N496" t="s">
        <v>11</v>
      </c>
      <c r="O496" t="s">
        <v>11</v>
      </c>
      <c r="P496" t="s">
        <v>151</v>
      </c>
      <c r="Q496" t="s">
        <v>408</v>
      </c>
      <c r="R496" t="s">
        <v>439</v>
      </c>
      <c r="S496" t="s">
        <v>440</v>
      </c>
      <c r="T496" t="s">
        <v>11</v>
      </c>
      <c r="U496" t="s">
        <v>408</v>
      </c>
    </row>
    <row r="497" spans="1:21" x14ac:dyDescent="0.25">
      <c r="A497">
        <v>14717951</v>
      </c>
      <c r="B497" t="s">
        <v>340</v>
      </c>
      <c r="C497" t="s">
        <v>26</v>
      </c>
      <c r="D497" t="s">
        <v>18</v>
      </c>
      <c r="E497" t="s">
        <v>730</v>
      </c>
      <c r="F497" t="s">
        <v>41</v>
      </c>
      <c r="G497" t="s">
        <v>369</v>
      </c>
      <c r="H497" t="s">
        <v>0</v>
      </c>
      <c r="I497" t="s">
        <v>436</v>
      </c>
      <c r="J497" t="s">
        <v>437</v>
      </c>
      <c r="K497" t="s">
        <v>438</v>
      </c>
      <c r="L497" t="s">
        <v>2</v>
      </c>
      <c r="M497" t="s">
        <v>408</v>
      </c>
      <c r="N497" t="s">
        <v>11</v>
      </c>
      <c r="O497" t="s">
        <v>11</v>
      </c>
      <c r="P497" t="s">
        <v>151</v>
      </c>
      <c r="Q497" t="s">
        <v>408</v>
      </c>
      <c r="R497" t="s">
        <v>439</v>
      </c>
      <c r="S497" t="s">
        <v>440</v>
      </c>
      <c r="T497" t="s">
        <v>11</v>
      </c>
      <c r="U497" t="s">
        <v>408</v>
      </c>
    </row>
    <row r="498" spans="1:21" x14ac:dyDescent="0.25">
      <c r="A498">
        <v>14717973</v>
      </c>
      <c r="B498" t="s">
        <v>342</v>
      </c>
      <c r="C498" t="s">
        <v>33</v>
      </c>
      <c r="D498" t="s">
        <v>12</v>
      </c>
      <c r="E498" t="s">
        <v>730</v>
      </c>
      <c r="F498" t="s">
        <v>41</v>
      </c>
      <c r="G498" t="s">
        <v>369</v>
      </c>
      <c r="H498" t="s">
        <v>2</v>
      </c>
      <c r="I498" t="s">
        <v>436</v>
      </c>
      <c r="J498" t="s">
        <v>443</v>
      </c>
      <c r="K498" t="s">
        <v>444</v>
      </c>
      <c r="L498" t="s">
        <v>151</v>
      </c>
      <c r="M498" t="s">
        <v>408</v>
      </c>
      <c r="N498" t="s">
        <v>11</v>
      </c>
      <c r="O498" t="s">
        <v>11</v>
      </c>
      <c r="P498" t="s">
        <v>151</v>
      </c>
      <c r="Q498" t="s">
        <v>408</v>
      </c>
      <c r="R498" t="s">
        <v>439</v>
      </c>
      <c r="S498" t="s">
        <v>440</v>
      </c>
      <c r="T498" t="s">
        <v>11</v>
      </c>
      <c r="U498" t="s">
        <v>408</v>
      </c>
    </row>
    <row r="499" spans="1:21" x14ac:dyDescent="0.25">
      <c r="A499">
        <v>14717997</v>
      </c>
      <c r="B499" t="s">
        <v>342</v>
      </c>
      <c r="C499" t="s">
        <v>33</v>
      </c>
      <c r="D499" t="s">
        <v>12</v>
      </c>
      <c r="E499" t="s">
        <v>730</v>
      </c>
      <c r="F499" t="s">
        <v>41</v>
      </c>
      <c r="G499" t="s">
        <v>369</v>
      </c>
      <c r="H499" t="s">
        <v>2</v>
      </c>
      <c r="I499" t="s">
        <v>436</v>
      </c>
      <c r="J499" t="s">
        <v>443</v>
      </c>
      <c r="K499" t="s">
        <v>444</v>
      </c>
      <c r="L499" t="s">
        <v>151</v>
      </c>
      <c r="M499" t="s">
        <v>408</v>
      </c>
      <c r="N499" t="s">
        <v>11</v>
      </c>
      <c r="O499" t="s">
        <v>11</v>
      </c>
      <c r="P499" t="s">
        <v>151</v>
      </c>
      <c r="Q499" t="s">
        <v>408</v>
      </c>
      <c r="R499" t="s">
        <v>439</v>
      </c>
      <c r="S499" t="s">
        <v>440</v>
      </c>
      <c r="T499" t="s">
        <v>11</v>
      </c>
      <c r="U499" t="s">
        <v>408</v>
      </c>
    </row>
    <row r="500" spans="1:21" x14ac:dyDescent="0.25">
      <c r="A500">
        <v>14718000</v>
      </c>
      <c r="B500" t="s">
        <v>340</v>
      </c>
      <c r="C500" t="s">
        <v>26</v>
      </c>
      <c r="D500" t="s">
        <v>12</v>
      </c>
      <c r="E500" t="s">
        <v>730</v>
      </c>
      <c r="F500" t="s">
        <v>41</v>
      </c>
      <c r="G500" t="s">
        <v>369</v>
      </c>
      <c r="H500" t="s">
        <v>0</v>
      </c>
      <c r="I500" t="s">
        <v>436</v>
      </c>
      <c r="J500" t="s">
        <v>437</v>
      </c>
      <c r="K500" t="s">
        <v>438</v>
      </c>
      <c r="L500" t="s">
        <v>9</v>
      </c>
      <c r="M500" t="s">
        <v>408</v>
      </c>
      <c r="N500" t="s">
        <v>11</v>
      </c>
      <c r="O500" t="s">
        <v>11</v>
      </c>
      <c r="P500" t="s">
        <v>151</v>
      </c>
      <c r="Q500" t="s">
        <v>408</v>
      </c>
      <c r="R500" t="s">
        <v>439</v>
      </c>
      <c r="S500" t="s">
        <v>440</v>
      </c>
      <c r="T500" t="s">
        <v>11</v>
      </c>
      <c r="U500" t="s">
        <v>408</v>
      </c>
    </row>
    <row r="501" spans="1:21" x14ac:dyDescent="0.25">
      <c r="A501">
        <v>14718009</v>
      </c>
      <c r="B501" t="s">
        <v>340</v>
      </c>
      <c r="C501" t="s">
        <v>26</v>
      </c>
      <c r="D501" t="s">
        <v>18</v>
      </c>
      <c r="E501" t="s">
        <v>730</v>
      </c>
      <c r="F501" t="s">
        <v>41</v>
      </c>
      <c r="G501" t="s">
        <v>369</v>
      </c>
      <c r="H501" t="s">
        <v>2</v>
      </c>
      <c r="I501" t="s">
        <v>436</v>
      </c>
      <c r="J501" t="s">
        <v>443</v>
      </c>
      <c r="K501" t="s">
        <v>444</v>
      </c>
      <c r="L501" t="s">
        <v>0</v>
      </c>
      <c r="M501" t="s">
        <v>408</v>
      </c>
      <c r="N501" t="s">
        <v>11</v>
      </c>
      <c r="O501" t="s">
        <v>11</v>
      </c>
      <c r="P501" t="s">
        <v>151</v>
      </c>
      <c r="Q501" t="s">
        <v>408</v>
      </c>
      <c r="R501" t="s">
        <v>439</v>
      </c>
      <c r="S501" t="s">
        <v>440</v>
      </c>
      <c r="T501" t="s">
        <v>11</v>
      </c>
      <c r="U501" t="s">
        <v>408</v>
      </c>
    </row>
    <row r="502" spans="1:21" x14ac:dyDescent="0.25">
      <c r="A502">
        <v>14718016</v>
      </c>
      <c r="B502" t="s">
        <v>342</v>
      </c>
      <c r="C502" t="s">
        <v>33</v>
      </c>
      <c r="D502" t="s">
        <v>12</v>
      </c>
      <c r="E502" t="s">
        <v>730</v>
      </c>
      <c r="F502" t="s">
        <v>41</v>
      </c>
      <c r="G502" t="s">
        <v>369</v>
      </c>
      <c r="H502" t="s">
        <v>2</v>
      </c>
      <c r="I502" t="s">
        <v>436</v>
      </c>
      <c r="J502" t="s">
        <v>443</v>
      </c>
      <c r="K502" t="s">
        <v>444</v>
      </c>
      <c r="L502" t="s">
        <v>151</v>
      </c>
      <c r="M502" t="s">
        <v>408</v>
      </c>
      <c r="N502" t="s">
        <v>11</v>
      </c>
      <c r="O502" t="s">
        <v>11</v>
      </c>
      <c r="P502" t="s">
        <v>151</v>
      </c>
      <c r="Q502" t="s">
        <v>408</v>
      </c>
      <c r="R502" t="s">
        <v>439</v>
      </c>
      <c r="S502" t="s">
        <v>440</v>
      </c>
      <c r="T502" t="s">
        <v>11</v>
      </c>
      <c r="U502" t="s">
        <v>408</v>
      </c>
    </row>
    <row r="503" spans="1:21" x14ac:dyDescent="0.25">
      <c r="A503">
        <v>14718030</v>
      </c>
      <c r="B503" t="s">
        <v>340</v>
      </c>
      <c r="C503" t="s">
        <v>26</v>
      </c>
      <c r="D503" t="s">
        <v>12</v>
      </c>
      <c r="E503" t="s">
        <v>730</v>
      </c>
      <c r="F503" t="s">
        <v>41</v>
      </c>
      <c r="G503" t="s">
        <v>369</v>
      </c>
      <c r="H503" t="s">
        <v>0</v>
      </c>
      <c r="I503" t="s">
        <v>436</v>
      </c>
      <c r="J503" t="s">
        <v>437</v>
      </c>
      <c r="K503" t="s">
        <v>438</v>
      </c>
      <c r="L503" t="s">
        <v>4</v>
      </c>
      <c r="M503" t="s">
        <v>408</v>
      </c>
      <c r="N503" t="s">
        <v>11</v>
      </c>
      <c r="O503" t="s">
        <v>11</v>
      </c>
      <c r="P503" t="s">
        <v>151</v>
      </c>
      <c r="Q503" t="s">
        <v>408</v>
      </c>
      <c r="R503" t="s">
        <v>439</v>
      </c>
      <c r="S503" t="s">
        <v>440</v>
      </c>
      <c r="T503" t="s">
        <v>11</v>
      </c>
      <c r="U503" t="s">
        <v>408</v>
      </c>
    </row>
    <row r="504" spans="1:21" x14ac:dyDescent="0.25">
      <c r="A504">
        <v>14718038</v>
      </c>
      <c r="B504" t="s">
        <v>342</v>
      </c>
      <c r="C504" t="s">
        <v>33</v>
      </c>
      <c r="D504" t="s">
        <v>12</v>
      </c>
      <c r="E504" t="s">
        <v>730</v>
      </c>
      <c r="F504" t="s">
        <v>41</v>
      </c>
      <c r="G504" t="s">
        <v>369</v>
      </c>
      <c r="H504" t="s">
        <v>2</v>
      </c>
      <c r="I504" t="s">
        <v>436</v>
      </c>
      <c r="J504" t="s">
        <v>443</v>
      </c>
      <c r="K504" t="s">
        <v>444</v>
      </c>
      <c r="L504" t="s">
        <v>151</v>
      </c>
      <c r="M504" t="s">
        <v>408</v>
      </c>
      <c r="N504" t="s">
        <v>11</v>
      </c>
      <c r="O504" t="s">
        <v>11</v>
      </c>
      <c r="P504" t="s">
        <v>151</v>
      </c>
      <c r="Q504" t="s">
        <v>408</v>
      </c>
      <c r="R504" t="s">
        <v>439</v>
      </c>
      <c r="S504" t="s">
        <v>440</v>
      </c>
      <c r="T504" t="s">
        <v>11</v>
      </c>
      <c r="U504" t="s">
        <v>408</v>
      </c>
    </row>
    <row r="505" spans="1:21" x14ac:dyDescent="0.25">
      <c r="A505">
        <v>14718044</v>
      </c>
      <c r="B505" t="s">
        <v>340</v>
      </c>
      <c r="C505" t="s">
        <v>26</v>
      </c>
      <c r="D505" t="s">
        <v>12</v>
      </c>
      <c r="E505" t="s">
        <v>730</v>
      </c>
      <c r="F505" t="s">
        <v>41</v>
      </c>
      <c r="G505" t="s">
        <v>369</v>
      </c>
      <c r="H505" t="s">
        <v>1</v>
      </c>
      <c r="I505" t="s">
        <v>469</v>
      </c>
      <c r="J505" t="s">
        <v>445</v>
      </c>
      <c r="K505" t="s">
        <v>438</v>
      </c>
      <c r="L505" t="s">
        <v>0</v>
      </c>
      <c r="M505" t="s">
        <v>408</v>
      </c>
      <c r="N505" t="s">
        <v>11</v>
      </c>
      <c r="O505" t="s">
        <v>11</v>
      </c>
      <c r="P505" t="s">
        <v>151</v>
      </c>
      <c r="Q505" t="s">
        <v>408</v>
      </c>
      <c r="R505" t="s">
        <v>439</v>
      </c>
      <c r="S505" t="s">
        <v>440</v>
      </c>
      <c r="T505" t="s">
        <v>11</v>
      </c>
      <c r="U505" t="s">
        <v>408</v>
      </c>
    </row>
    <row r="506" spans="1:21" x14ac:dyDescent="0.25">
      <c r="A506">
        <v>14718054</v>
      </c>
      <c r="B506" t="s">
        <v>342</v>
      </c>
      <c r="C506" t="s">
        <v>33</v>
      </c>
      <c r="D506" t="s">
        <v>12</v>
      </c>
      <c r="E506" t="s">
        <v>730</v>
      </c>
      <c r="F506" t="s">
        <v>41</v>
      </c>
      <c r="G506" t="s">
        <v>369</v>
      </c>
      <c r="H506" t="s">
        <v>2</v>
      </c>
      <c r="I506" t="s">
        <v>436</v>
      </c>
      <c r="J506" t="s">
        <v>443</v>
      </c>
      <c r="K506" t="s">
        <v>444</v>
      </c>
      <c r="L506" t="s">
        <v>151</v>
      </c>
      <c r="M506" t="s">
        <v>408</v>
      </c>
      <c r="N506" t="s">
        <v>11</v>
      </c>
      <c r="O506" t="s">
        <v>11</v>
      </c>
      <c r="P506" t="s">
        <v>1</v>
      </c>
      <c r="Q506" t="s">
        <v>408</v>
      </c>
      <c r="R506" t="s">
        <v>439</v>
      </c>
      <c r="S506" t="s">
        <v>440</v>
      </c>
      <c r="T506" t="s">
        <v>11</v>
      </c>
      <c r="U506" t="s">
        <v>408</v>
      </c>
    </row>
    <row r="507" spans="1:21" x14ac:dyDescent="0.25">
      <c r="A507">
        <v>14718055</v>
      </c>
      <c r="B507" t="s">
        <v>342</v>
      </c>
      <c r="C507" t="s">
        <v>33</v>
      </c>
      <c r="D507" t="s">
        <v>12</v>
      </c>
      <c r="E507" t="s">
        <v>730</v>
      </c>
      <c r="F507" t="s">
        <v>41</v>
      </c>
      <c r="G507" t="s">
        <v>369</v>
      </c>
      <c r="H507" t="s">
        <v>2</v>
      </c>
      <c r="I507" t="s">
        <v>436</v>
      </c>
      <c r="J507" t="s">
        <v>443</v>
      </c>
      <c r="K507" t="s">
        <v>444</v>
      </c>
      <c r="L507" t="s">
        <v>151</v>
      </c>
      <c r="M507" t="s">
        <v>408</v>
      </c>
      <c r="N507" t="s">
        <v>11</v>
      </c>
      <c r="O507" t="s">
        <v>11</v>
      </c>
      <c r="P507" t="s">
        <v>1</v>
      </c>
      <c r="Q507" t="s">
        <v>408</v>
      </c>
      <c r="R507" t="s">
        <v>439</v>
      </c>
      <c r="S507" t="s">
        <v>440</v>
      </c>
      <c r="T507" t="s">
        <v>11</v>
      </c>
      <c r="U507" t="s">
        <v>408</v>
      </c>
    </row>
    <row r="508" spans="1:21" x14ac:dyDescent="0.25">
      <c r="A508">
        <v>14718061</v>
      </c>
      <c r="B508" t="s">
        <v>340</v>
      </c>
      <c r="C508" t="s">
        <v>26</v>
      </c>
      <c r="D508" t="s">
        <v>12</v>
      </c>
      <c r="E508" t="s">
        <v>730</v>
      </c>
      <c r="F508" t="s">
        <v>41</v>
      </c>
      <c r="G508" t="s">
        <v>369</v>
      </c>
      <c r="H508" t="s">
        <v>2</v>
      </c>
      <c r="I508" t="s">
        <v>436</v>
      </c>
      <c r="J508" t="s">
        <v>443</v>
      </c>
      <c r="K508" t="s">
        <v>444</v>
      </c>
      <c r="L508" t="s">
        <v>0</v>
      </c>
      <c r="M508" t="s">
        <v>408</v>
      </c>
      <c r="N508" t="s">
        <v>11</v>
      </c>
      <c r="O508" t="s">
        <v>11</v>
      </c>
      <c r="P508" t="s">
        <v>1</v>
      </c>
      <c r="Q508" t="s">
        <v>408</v>
      </c>
      <c r="R508" t="s">
        <v>439</v>
      </c>
      <c r="S508" t="s">
        <v>440</v>
      </c>
      <c r="T508" t="s">
        <v>11</v>
      </c>
      <c r="U508" t="s">
        <v>408</v>
      </c>
    </row>
    <row r="509" spans="1:21" x14ac:dyDescent="0.25">
      <c r="A509">
        <v>14718062</v>
      </c>
      <c r="B509" t="s">
        <v>342</v>
      </c>
      <c r="C509" t="s">
        <v>33</v>
      </c>
      <c r="D509" t="s">
        <v>12</v>
      </c>
      <c r="E509" t="s">
        <v>730</v>
      </c>
      <c r="F509" t="s">
        <v>41</v>
      </c>
      <c r="G509" t="s">
        <v>369</v>
      </c>
      <c r="H509" t="s">
        <v>1</v>
      </c>
      <c r="I509" t="s">
        <v>469</v>
      </c>
      <c r="J509" t="s">
        <v>445</v>
      </c>
      <c r="K509" t="s">
        <v>438</v>
      </c>
      <c r="L509" t="s">
        <v>345</v>
      </c>
      <c r="M509" t="s">
        <v>408</v>
      </c>
      <c r="N509" t="s">
        <v>11</v>
      </c>
      <c r="O509" t="s">
        <v>11</v>
      </c>
      <c r="P509" t="s">
        <v>1</v>
      </c>
      <c r="Q509" t="s">
        <v>408</v>
      </c>
      <c r="R509" t="s">
        <v>439</v>
      </c>
      <c r="S509" t="s">
        <v>440</v>
      </c>
      <c r="T509" t="s">
        <v>11</v>
      </c>
      <c r="U509" t="s">
        <v>408</v>
      </c>
    </row>
    <row r="510" spans="1:21" x14ac:dyDescent="0.25">
      <c r="A510">
        <v>14718064</v>
      </c>
      <c r="B510" t="s">
        <v>342</v>
      </c>
      <c r="C510" t="s">
        <v>33</v>
      </c>
      <c r="D510" t="s">
        <v>12</v>
      </c>
      <c r="E510" t="s">
        <v>730</v>
      </c>
      <c r="F510" t="s">
        <v>41</v>
      </c>
      <c r="G510" t="s">
        <v>369</v>
      </c>
      <c r="H510" t="s">
        <v>2</v>
      </c>
      <c r="I510" t="s">
        <v>436</v>
      </c>
      <c r="J510" t="s">
        <v>443</v>
      </c>
      <c r="K510" t="s">
        <v>444</v>
      </c>
      <c r="L510" t="s">
        <v>151</v>
      </c>
      <c r="M510" t="s">
        <v>408</v>
      </c>
      <c r="N510" t="s">
        <v>11</v>
      </c>
      <c r="O510" t="s">
        <v>11</v>
      </c>
      <c r="P510" t="s">
        <v>1</v>
      </c>
      <c r="Q510" t="s">
        <v>408</v>
      </c>
      <c r="R510" t="s">
        <v>439</v>
      </c>
      <c r="S510" t="s">
        <v>440</v>
      </c>
      <c r="T510" t="s">
        <v>11</v>
      </c>
      <c r="U510" t="s">
        <v>408</v>
      </c>
    </row>
    <row r="511" spans="1:21" x14ac:dyDescent="0.25">
      <c r="A511">
        <v>14718071</v>
      </c>
      <c r="B511" t="s">
        <v>340</v>
      </c>
      <c r="C511" t="s">
        <v>26</v>
      </c>
      <c r="D511" t="s">
        <v>12</v>
      </c>
      <c r="E511" t="s">
        <v>730</v>
      </c>
      <c r="F511" t="s">
        <v>41</v>
      </c>
      <c r="G511" t="s">
        <v>369</v>
      </c>
      <c r="H511" t="s">
        <v>0</v>
      </c>
      <c r="I511" t="s">
        <v>436</v>
      </c>
      <c r="J511" t="s">
        <v>437</v>
      </c>
      <c r="K511" t="s">
        <v>438</v>
      </c>
      <c r="L511" t="s">
        <v>2</v>
      </c>
      <c r="M511" t="s">
        <v>408</v>
      </c>
      <c r="N511" t="s">
        <v>11</v>
      </c>
      <c r="O511" t="s">
        <v>11</v>
      </c>
      <c r="P511" t="s">
        <v>1</v>
      </c>
      <c r="Q511" t="s">
        <v>408</v>
      </c>
      <c r="R511" t="s">
        <v>439</v>
      </c>
      <c r="S511" t="s">
        <v>440</v>
      </c>
      <c r="T511" t="s">
        <v>11</v>
      </c>
      <c r="U511" t="s">
        <v>408</v>
      </c>
    </row>
    <row r="512" spans="1:21" x14ac:dyDescent="0.25">
      <c r="A512">
        <v>14718072</v>
      </c>
      <c r="B512" t="s">
        <v>342</v>
      </c>
      <c r="C512" t="s">
        <v>33</v>
      </c>
      <c r="D512" t="s">
        <v>12</v>
      </c>
      <c r="E512" t="s">
        <v>730</v>
      </c>
      <c r="F512" t="s">
        <v>41</v>
      </c>
      <c r="G512" t="s">
        <v>369</v>
      </c>
      <c r="H512" t="s">
        <v>2</v>
      </c>
      <c r="I512" t="s">
        <v>436</v>
      </c>
      <c r="J512" t="s">
        <v>443</v>
      </c>
      <c r="K512" t="s">
        <v>444</v>
      </c>
      <c r="L512" t="s">
        <v>151</v>
      </c>
      <c r="M512" t="s">
        <v>408</v>
      </c>
      <c r="N512" t="s">
        <v>11</v>
      </c>
      <c r="O512" t="s">
        <v>11</v>
      </c>
      <c r="P512" t="s">
        <v>1</v>
      </c>
      <c r="Q512" t="s">
        <v>408</v>
      </c>
      <c r="R512" t="s">
        <v>439</v>
      </c>
      <c r="S512" t="s">
        <v>440</v>
      </c>
      <c r="T512" t="s">
        <v>11</v>
      </c>
      <c r="U512" t="s">
        <v>408</v>
      </c>
    </row>
    <row r="513" spans="1:21" x14ac:dyDescent="0.25">
      <c r="A513">
        <v>14718076</v>
      </c>
      <c r="B513" t="s">
        <v>340</v>
      </c>
      <c r="C513" t="s">
        <v>26</v>
      </c>
      <c r="D513" t="s">
        <v>12</v>
      </c>
      <c r="E513" t="s">
        <v>730</v>
      </c>
      <c r="F513" t="s">
        <v>41</v>
      </c>
      <c r="G513" t="s">
        <v>369</v>
      </c>
      <c r="H513" t="s">
        <v>0</v>
      </c>
      <c r="I513" t="s">
        <v>436</v>
      </c>
      <c r="J513" t="s">
        <v>437</v>
      </c>
      <c r="K513" t="s">
        <v>438</v>
      </c>
      <c r="L513" t="s">
        <v>1</v>
      </c>
      <c r="M513" t="s">
        <v>408</v>
      </c>
      <c r="N513" t="s">
        <v>11</v>
      </c>
      <c r="O513" t="s">
        <v>11</v>
      </c>
      <c r="P513" t="s">
        <v>1</v>
      </c>
      <c r="Q513" t="s">
        <v>408</v>
      </c>
      <c r="R513" t="s">
        <v>439</v>
      </c>
      <c r="S513" t="s">
        <v>440</v>
      </c>
      <c r="T513" t="s">
        <v>11</v>
      </c>
      <c r="U513" t="s">
        <v>408</v>
      </c>
    </row>
    <row r="514" spans="1:21" x14ac:dyDescent="0.25">
      <c r="A514">
        <v>14718078</v>
      </c>
      <c r="B514" t="s">
        <v>342</v>
      </c>
      <c r="C514" t="s">
        <v>33</v>
      </c>
      <c r="D514" t="s">
        <v>12</v>
      </c>
      <c r="E514" t="s">
        <v>730</v>
      </c>
      <c r="F514" t="s">
        <v>41</v>
      </c>
      <c r="G514" t="s">
        <v>369</v>
      </c>
      <c r="H514" t="s">
        <v>2</v>
      </c>
      <c r="I514" t="s">
        <v>436</v>
      </c>
      <c r="J514" t="s">
        <v>443</v>
      </c>
      <c r="K514" t="s">
        <v>444</v>
      </c>
      <c r="L514" t="s">
        <v>151</v>
      </c>
      <c r="M514" t="s">
        <v>408</v>
      </c>
      <c r="N514" t="s">
        <v>11</v>
      </c>
      <c r="O514" t="s">
        <v>11</v>
      </c>
      <c r="P514" t="s">
        <v>1</v>
      </c>
      <c r="Q514" t="s">
        <v>408</v>
      </c>
      <c r="R514" t="s">
        <v>439</v>
      </c>
      <c r="S514" t="s">
        <v>440</v>
      </c>
      <c r="T514" t="s">
        <v>11</v>
      </c>
      <c r="U514" t="s">
        <v>408</v>
      </c>
    </row>
    <row r="515" spans="1:21" x14ac:dyDescent="0.25">
      <c r="A515">
        <v>14718081</v>
      </c>
      <c r="B515" t="s">
        <v>342</v>
      </c>
      <c r="C515" t="s">
        <v>33</v>
      </c>
      <c r="D515" t="s">
        <v>12</v>
      </c>
      <c r="E515" t="s">
        <v>730</v>
      </c>
      <c r="F515" t="s">
        <v>41</v>
      </c>
      <c r="G515" t="s">
        <v>369</v>
      </c>
      <c r="H515" t="s">
        <v>2</v>
      </c>
      <c r="I515" t="s">
        <v>436</v>
      </c>
      <c r="J515" t="s">
        <v>443</v>
      </c>
      <c r="K515" t="s">
        <v>444</v>
      </c>
      <c r="L515" t="s">
        <v>151</v>
      </c>
      <c r="M515" t="s">
        <v>408</v>
      </c>
      <c r="N515" t="s">
        <v>11</v>
      </c>
      <c r="O515" t="s">
        <v>11</v>
      </c>
      <c r="P515" t="s">
        <v>1</v>
      </c>
      <c r="Q515" t="s">
        <v>408</v>
      </c>
      <c r="R515" t="s">
        <v>439</v>
      </c>
      <c r="S515" t="s">
        <v>440</v>
      </c>
      <c r="T515" t="s">
        <v>11</v>
      </c>
      <c r="U515" t="s">
        <v>408</v>
      </c>
    </row>
    <row r="516" spans="1:21" x14ac:dyDescent="0.25">
      <c r="A516">
        <v>14718083</v>
      </c>
      <c r="B516" t="s">
        <v>340</v>
      </c>
      <c r="C516" t="s">
        <v>26</v>
      </c>
      <c r="D516" t="s">
        <v>12</v>
      </c>
      <c r="E516" t="s">
        <v>730</v>
      </c>
      <c r="F516" t="s">
        <v>41</v>
      </c>
      <c r="G516" t="s">
        <v>369</v>
      </c>
      <c r="H516" t="s">
        <v>0</v>
      </c>
      <c r="I516" t="s">
        <v>436</v>
      </c>
      <c r="J516" t="s">
        <v>437</v>
      </c>
      <c r="K516" t="s">
        <v>438</v>
      </c>
      <c r="L516" t="s">
        <v>9</v>
      </c>
      <c r="M516" t="s">
        <v>408</v>
      </c>
      <c r="N516" t="s">
        <v>11</v>
      </c>
      <c r="O516" t="s">
        <v>11</v>
      </c>
      <c r="P516" t="s">
        <v>1</v>
      </c>
      <c r="Q516" t="s">
        <v>408</v>
      </c>
      <c r="R516" t="s">
        <v>439</v>
      </c>
      <c r="S516" t="s">
        <v>440</v>
      </c>
      <c r="T516" t="s">
        <v>11</v>
      </c>
      <c r="U516" t="s">
        <v>408</v>
      </c>
    </row>
    <row r="517" spans="1:21" x14ac:dyDescent="0.25">
      <c r="A517">
        <v>14718086</v>
      </c>
      <c r="B517" t="s">
        <v>340</v>
      </c>
      <c r="C517" t="s">
        <v>26</v>
      </c>
      <c r="D517" t="s">
        <v>12</v>
      </c>
      <c r="E517" t="s">
        <v>730</v>
      </c>
      <c r="F517" t="s">
        <v>41</v>
      </c>
      <c r="G517" t="s">
        <v>369</v>
      </c>
      <c r="H517" t="s">
        <v>370</v>
      </c>
      <c r="I517" t="s">
        <v>721</v>
      </c>
      <c r="J517" t="s">
        <v>455</v>
      </c>
      <c r="K517" t="s">
        <v>453</v>
      </c>
      <c r="L517" t="s">
        <v>367</v>
      </c>
      <c r="M517" t="s">
        <v>408</v>
      </c>
      <c r="N517" t="s">
        <v>11</v>
      </c>
      <c r="O517" t="s">
        <v>11</v>
      </c>
      <c r="P517" t="s">
        <v>1</v>
      </c>
      <c r="Q517" t="s">
        <v>408</v>
      </c>
      <c r="R517" t="s">
        <v>439</v>
      </c>
      <c r="S517" t="s">
        <v>451</v>
      </c>
      <c r="T517" t="s">
        <v>11</v>
      </c>
      <c r="U517" t="s">
        <v>408</v>
      </c>
    </row>
    <row r="518" spans="1:21" x14ac:dyDescent="0.25">
      <c r="A518">
        <v>14718087</v>
      </c>
      <c r="B518" t="s">
        <v>342</v>
      </c>
      <c r="C518" t="s">
        <v>33</v>
      </c>
      <c r="D518" t="s">
        <v>12</v>
      </c>
      <c r="E518" t="s">
        <v>730</v>
      </c>
      <c r="F518" t="s">
        <v>41</v>
      </c>
      <c r="G518" t="s">
        <v>369</v>
      </c>
      <c r="H518" t="s">
        <v>2</v>
      </c>
      <c r="I518" t="s">
        <v>436</v>
      </c>
      <c r="J518" t="s">
        <v>443</v>
      </c>
      <c r="K518" t="s">
        <v>444</v>
      </c>
      <c r="L518" t="s">
        <v>1</v>
      </c>
      <c r="M518" t="s">
        <v>408</v>
      </c>
      <c r="N518" t="s">
        <v>11</v>
      </c>
      <c r="O518" t="s">
        <v>11</v>
      </c>
      <c r="P518" t="s">
        <v>1</v>
      </c>
      <c r="Q518" t="s">
        <v>408</v>
      </c>
      <c r="R518" t="s">
        <v>439</v>
      </c>
      <c r="S518" t="s">
        <v>440</v>
      </c>
      <c r="T518" t="s">
        <v>11</v>
      </c>
      <c r="U518" t="s">
        <v>408</v>
      </c>
    </row>
    <row r="519" spans="1:21" x14ac:dyDescent="0.25">
      <c r="A519">
        <v>14718092</v>
      </c>
      <c r="B519" t="s">
        <v>340</v>
      </c>
      <c r="C519" t="s">
        <v>26</v>
      </c>
      <c r="D519" t="s">
        <v>12</v>
      </c>
      <c r="E519" t="s">
        <v>730</v>
      </c>
      <c r="F519" t="s">
        <v>41</v>
      </c>
      <c r="G519" t="s">
        <v>369</v>
      </c>
      <c r="H519" t="s">
        <v>0</v>
      </c>
      <c r="I519" t="s">
        <v>436</v>
      </c>
      <c r="J519" t="s">
        <v>437</v>
      </c>
      <c r="K519" t="s">
        <v>438</v>
      </c>
      <c r="L519" t="s">
        <v>4</v>
      </c>
      <c r="M519" t="s">
        <v>408</v>
      </c>
      <c r="N519" t="s">
        <v>11</v>
      </c>
      <c r="O519" t="s">
        <v>11</v>
      </c>
      <c r="P519" t="s">
        <v>1</v>
      </c>
      <c r="Q519" t="s">
        <v>408</v>
      </c>
      <c r="R519" t="s">
        <v>439</v>
      </c>
      <c r="S519" t="s">
        <v>440</v>
      </c>
      <c r="T519" t="s">
        <v>11</v>
      </c>
      <c r="U519" t="s">
        <v>408</v>
      </c>
    </row>
    <row r="520" spans="1:21" x14ac:dyDescent="0.25">
      <c r="A520">
        <v>14718093</v>
      </c>
      <c r="B520" t="s">
        <v>342</v>
      </c>
      <c r="C520" t="s">
        <v>33</v>
      </c>
      <c r="D520" t="s">
        <v>12</v>
      </c>
      <c r="E520" t="s">
        <v>730</v>
      </c>
      <c r="F520" t="s">
        <v>41</v>
      </c>
      <c r="G520" t="s">
        <v>369</v>
      </c>
      <c r="H520" t="s">
        <v>2</v>
      </c>
      <c r="I520" t="s">
        <v>436</v>
      </c>
      <c r="J520" t="s">
        <v>443</v>
      </c>
      <c r="K520" t="s">
        <v>444</v>
      </c>
      <c r="L520" t="s">
        <v>151</v>
      </c>
      <c r="M520" t="s">
        <v>408</v>
      </c>
      <c r="N520" t="s">
        <v>11</v>
      </c>
      <c r="O520" t="s">
        <v>408</v>
      </c>
      <c r="P520" t="s">
        <v>1</v>
      </c>
      <c r="Q520" t="s">
        <v>408</v>
      </c>
      <c r="R520" t="s">
        <v>439</v>
      </c>
      <c r="S520" t="s">
        <v>440</v>
      </c>
      <c r="T520" t="s">
        <v>11</v>
      </c>
      <c r="U520" t="s">
        <v>408</v>
      </c>
    </row>
    <row r="521" spans="1:21" x14ac:dyDescent="0.25">
      <c r="A521">
        <v>14718103</v>
      </c>
      <c r="B521" t="s">
        <v>342</v>
      </c>
      <c r="C521" t="s">
        <v>33</v>
      </c>
      <c r="D521" t="s">
        <v>12</v>
      </c>
      <c r="E521" t="s">
        <v>730</v>
      </c>
      <c r="F521" t="s">
        <v>41</v>
      </c>
      <c r="G521" t="s">
        <v>369</v>
      </c>
      <c r="H521" t="s">
        <v>2</v>
      </c>
      <c r="I521" t="s">
        <v>436</v>
      </c>
      <c r="J521" t="s">
        <v>443</v>
      </c>
      <c r="K521" t="s">
        <v>444</v>
      </c>
      <c r="L521" t="s">
        <v>151</v>
      </c>
      <c r="M521" t="s">
        <v>408</v>
      </c>
      <c r="N521" t="s">
        <v>11</v>
      </c>
      <c r="O521" t="s">
        <v>408</v>
      </c>
      <c r="P521" t="s">
        <v>1</v>
      </c>
      <c r="Q521" t="s">
        <v>408</v>
      </c>
      <c r="R521" t="s">
        <v>439</v>
      </c>
      <c r="S521" t="s">
        <v>440</v>
      </c>
      <c r="T521" t="s">
        <v>11</v>
      </c>
      <c r="U521" t="s">
        <v>408</v>
      </c>
    </row>
    <row r="522" spans="1:21" x14ac:dyDescent="0.25">
      <c r="A522">
        <v>14718104</v>
      </c>
      <c r="B522" t="s">
        <v>342</v>
      </c>
      <c r="C522" t="s">
        <v>33</v>
      </c>
      <c r="D522" t="s">
        <v>12</v>
      </c>
      <c r="E522" t="s">
        <v>730</v>
      </c>
      <c r="F522" t="s">
        <v>41</v>
      </c>
      <c r="G522" t="s">
        <v>369</v>
      </c>
      <c r="H522" t="s">
        <v>2</v>
      </c>
      <c r="I522" t="s">
        <v>436</v>
      </c>
      <c r="J522" t="s">
        <v>443</v>
      </c>
      <c r="K522" t="s">
        <v>444</v>
      </c>
      <c r="L522" t="s">
        <v>151</v>
      </c>
      <c r="M522" t="s">
        <v>408</v>
      </c>
      <c r="N522" t="s">
        <v>11</v>
      </c>
      <c r="O522" t="s">
        <v>408</v>
      </c>
      <c r="P522" t="s">
        <v>1</v>
      </c>
      <c r="Q522" t="s">
        <v>408</v>
      </c>
      <c r="R522" t="s">
        <v>439</v>
      </c>
      <c r="S522" t="s">
        <v>440</v>
      </c>
      <c r="T522" t="s">
        <v>11</v>
      </c>
      <c r="U522" t="s">
        <v>408</v>
      </c>
    </row>
    <row r="523" spans="1:21" x14ac:dyDescent="0.25">
      <c r="A523">
        <v>14718109</v>
      </c>
      <c r="B523" t="s">
        <v>342</v>
      </c>
      <c r="C523" t="s">
        <v>33</v>
      </c>
      <c r="D523" t="s">
        <v>12</v>
      </c>
      <c r="E523" t="s">
        <v>730</v>
      </c>
      <c r="F523" t="s">
        <v>41</v>
      </c>
      <c r="G523" t="s">
        <v>369</v>
      </c>
      <c r="H523" t="s">
        <v>2</v>
      </c>
      <c r="I523" t="s">
        <v>436</v>
      </c>
      <c r="J523" t="s">
        <v>443</v>
      </c>
      <c r="K523" t="s">
        <v>444</v>
      </c>
      <c r="L523" t="s">
        <v>1</v>
      </c>
      <c r="M523" t="s">
        <v>408</v>
      </c>
      <c r="N523" t="s">
        <v>11</v>
      </c>
      <c r="O523" t="s">
        <v>11</v>
      </c>
      <c r="P523" t="s">
        <v>1</v>
      </c>
      <c r="Q523" t="s">
        <v>408</v>
      </c>
      <c r="R523" t="s">
        <v>439</v>
      </c>
      <c r="S523" t="s">
        <v>440</v>
      </c>
      <c r="T523" t="s">
        <v>11</v>
      </c>
      <c r="U523" t="s">
        <v>408</v>
      </c>
    </row>
    <row r="524" spans="1:21" x14ac:dyDescent="0.25">
      <c r="A524">
        <v>14718111</v>
      </c>
      <c r="B524" t="s">
        <v>342</v>
      </c>
      <c r="C524" t="s">
        <v>33</v>
      </c>
      <c r="D524" t="s">
        <v>12</v>
      </c>
      <c r="E524" t="s">
        <v>731</v>
      </c>
      <c r="F524" t="s">
        <v>123</v>
      </c>
      <c r="G524" t="s">
        <v>369</v>
      </c>
      <c r="H524" t="s">
        <v>2</v>
      </c>
      <c r="I524" t="s">
        <v>436</v>
      </c>
      <c r="J524" t="s">
        <v>443</v>
      </c>
      <c r="K524" t="s">
        <v>444</v>
      </c>
      <c r="L524" t="s">
        <v>151</v>
      </c>
      <c r="M524" t="s">
        <v>408</v>
      </c>
      <c r="N524" t="s">
        <v>11</v>
      </c>
      <c r="O524" t="s">
        <v>11</v>
      </c>
      <c r="P524" t="s">
        <v>151</v>
      </c>
      <c r="Q524" t="s">
        <v>408</v>
      </c>
      <c r="R524" t="s">
        <v>439</v>
      </c>
      <c r="S524" t="s">
        <v>440</v>
      </c>
      <c r="T524" t="s">
        <v>11</v>
      </c>
      <c r="U524" t="s">
        <v>408</v>
      </c>
    </row>
    <row r="525" spans="1:21" x14ac:dyDescent="0.25">
      <c r="A525">
        <v>14718118</v>
      </c>
      <c r="B525" t="s">
        <v>342</v>
      </c>
      <c r="C525" t="s">
        <v>33</v>
      </c>
      <c r="D525" t="s">
        <v>12</v>
      </c>
      <c r="E525" t="s">
        <v>731</v>
      </c>
      <c r="F525" t="s">
        <v>133</v>
      </c>
      <c r="G525" t="s">
        <v>369</v>
      </c>
      <c r="H525" t="s">
        <v>2</v>
      </c>
      <c r="I525" t="s">
        <v>436</v>
      </c>
      <c r="J525" t="s">
        <v>443</v>
      </c>
      <c r="K525" t="s">
        <v>444</v>
      </c>
      <c r="L525" t="s">
        <v>151</v>
      </c>
      <c r="M525" t="s">
        <v>408</v>
      </c>
      <c r="N525" t="s">
        <v>11</v>
      </c>
      <c r="O525" t="s">
        <v>408</v>
      </c>
      <c r="P525" t="s">
        <v>1</v>
      </c>
      <c r="Q525" t="s">
        <v>408</v>
      </c>
      <c r="R525" t="s">
        <v>439</v>
      </c>
      <c r="S525" t="s">
        <v>440</v>
      </c>
      <c r="T525" t="s">
        <v>11</v>
      </c>
      <c r="U525" t="s">
        <v>408</v>
      </c>
    </row>
    <row r="526" spans="1:21" x14ac:dyDescent="0.25">
      <c r="A526">
        <v>14718119</v>
      </c>
      <c r="B526" t="s">
        <v>342</v>
      </c>
      <c r="C526" t="s">
        <v>33</v>
      </c>
      <c r="D526" t="s">
        <v>12</v>
      </c>
      <c r="E526" t="s">
        <v>731</v>
      </c>
      <c r="F526" t="s">
        <v>132</v>
      </c>
      <c r="G526" t="s">
        <v>369</v>
      </c>
      <c r="H526" t="s">
        <v>2</v>
      </c>
      <c r="I526" t="s">
        <v>436</v>
      </c>
      <c r="J526" t="s">
        <v>443</v>
      </c>
      <c r="K526" t="s">
        <v>444</v>
      </c>
      <c r="L526" t="s">
        <v>151</v>
      </c>
      <c r="M526" t="s">
        <v>408</v>
      </c>
      <c r="N526" t="s">
        <v>11</v>
      </c>
      <c r="O526" t="s">
        <v>408</v>
      </c>
      <c r="P526" t="s">
        <v>1</v>
      </c>
      <c r="Q526" t="s">
        <v>408</v>
      </c>
      <c r="R526" t="s">
        <v>439</v>
      </c>
      <c r="S526" t="s">
        <v>440</v>
      </c>
      <c r="T526" t="s">
        <v>11</v>
      </c>
      <c r="U526" t="s">
        <v>408</v>
      </c>
    </row>
    <row r="527" spans="1:21" x14ac:dyDescent="0.25">
      <c r="A527">
        <v>14718121</v>
      </c>
      <c r="B527" t="s">
        <v>342</v>
      </c>
      <c r="C527" t="s">
        <v>33</v>
      </c>
      <c r="D527" t="s">
        <v>12</v>
      </c>
      <c r="E527" t="s">
        <v>616</v>
      </c>
      <c r="F527" t="s">
        <v>131</v>
      </c>
      <c r="G527" t="s">
        <v>369</v>
      </c>
      <c r="H527" t="s">
        <v>2</v>
      </c>
      <c r="I527" t="s">
        <v>436</v>
      </c>
      <c r="J527" t="s">
        <v>443</v>
      </c>
      <c r="K527" t="s">
        <v>444</v>
      </c>
      <c r="L527" t="s">
        <v>151</v>
      </c>
      <c r="M527" t="s">
        <v>408</v>
      </c>
      <c r="N527" t="s">
        <v>11</v>
      </c>
      <c r="O527" t="s">
        <v>408</v>
      </c>
      <c r="P527" t="s">
        <v>1</v>
      </c>
      <c r="Q527" t="s">
        <v>408</v>
      </c>
      <c r="R527" t="s">
        <v>439</v>
      </c>
      <c r="S527" t="s">
        <v>440</v>
      </c>
      <c r="T527" t="s">
        <v>11</v>
      </c>
      <c r="U527" t="s">
        <v>408</v>
      </c>
    </row>
    <row r="528" spans="1:21" x14ac:dyDescent="0.25">
      <c r="A528">
        <v>14718122</v>
      </c>
      <c r="B528" t="s">
        <v>342</v>
      </c>
      <c r="C528" t="s">
        <v>33</v>
      </c>
      <c r="D528" t="s">
        <v>12</v>
      </c>
      <c r="E528" t="s">
        <v>731</v>
      </c>
      <c r="F528" t="s">
        <v>130</v>
      </c>
      <c r="G528" t="s">
        <v>369</v>
      </c>
      <c r="H528" t="s">
        <v>2</v>
      </c>
      <c r="I528" t="s">
        <v>436</v>
      </c>
      <c r="J528" t="s">
        <v>443</v>
      </c>
      <c r="K528" t="s">
        <v>444</v>
      </c>
      <c r="L528" t="s">
        <v>151</v>
      </c>
      <c r="M528" t="s">
        <v>408</v>
      </c>
      <c r="N528" t="s">
        <v>11</v>
      </c>
      <c r="O528" t="s">
        <v>408</v>
      </c>
      <c r="P528" t="s">
        <v>1</v>
      </c>
      <c r="Q528" t="s">
        <v>408</v>
      </c>
      <c r="R528" t="s">
        <v>439</v>
      </c>
      <c r="S528" t="s">
        <v>440</v>
      </c>
      <c r="T528" t="s">
        <v>11</v>
      </c>
      <c r="U528" t="s">
        <v>408</v>
      </c>
    </row>
    <row r="529" spans="1:21" x14ac:dyDescent="0.25">
      <c r="A529">
        <v>14718141</v>
      </c>
      <c r="B529" t="s">
        <v>340</v>
      </c>
      <c r="C529" t="s">
        <v>26</v>
      </c>
      <c r="D529" t="s">
        <v>18</v>
      </c>
      <c r="E529" t="s">
        <v>504</v>
      </c>
      <c r="F529" t="s">
        <v>251</v>
      </c>
      <c r="G529" t="s">
        <v>369</v>
      </c>
      <c r="H529" t="s">
        <v>370</v>
      </c>
      <c r="I529" t="s">
        <v>721</v>
      </c>
      <c r="J529" t="s">
        <v>455</v>
      </c>
      <c r="K529" t="s">
        <v>453</v>
      </c>
      <c r="L529" t="s">
        <v>367</v>
      </c>
      <c r="M529" t="s">
        <v>408</v>
      </c>
      <c r="N529" t="s">
        <v>11</v>
      </c>
      <c r="O529" t="s">
        <v>408</v>
      </c>
      <c r="P529" t="s">
        <v>0</v>
      </c>
      <c r="Q529" t="s">
        <v>408</v>
      </c>
      <c r="R529" t="s">
        <v>439</v>
      </c>
      <c r="S529" t="s">
        <v>451</v>
      </c>
      <c r="T529" t="s">
        <v>11</v>
      </c>
      <c r="U529" t="s">
        <v>408</v>
      </c>
    </row>
    <row r="530" spans="1:21" x14ac:dyDescent="0.25">
      <c r="A530">
        <v>14718142</v>
      </c>
      <c r="B530" t="s">
        <v>342</v>
      </c>
      <c r="C530" t="s">
        <v>33</v>
      </c>
      <c r="D530" t="s">
        <v>12</v>
      </c>
      <c r="E530" t="s">
        <v>519</v>
      </c>
      <c r="F530" t="s">
        <v>118</v>
      </c>
      <c r="G530" t="s">
        <v>369</v>
      </c>
      <c r="H530" t="s">
        <v>0</v>
      </c>
      <c r="I530" t="s">
        <v>436</v>
      </c>
      <c r="J530" t="s">
        <v>437</v>
      </c>
      <c r="K530" t="s">
        <v>438</v>
      </c>
      <c r="L530" t="s">
        <v>4</v>
      </c>
      <c r="M530" t="s">
        <v>408</v>
      </c>
      <c r="N530" t="s">
        <v>11</v>
      </c>
      <c r="O530" t="s">
        <v>11</v>
      </c>
      <c r="P530" t="s">
        <v>0</v>
      </c>
      <c r="Q530" t="s">
        <v>408</v>
      </c>
      <c r="R530" t="s">
        <v>439</v>
      </c>
      <c r="S530" t="s">
        <v>440</v>
      </c>
      <c r="T530" t="s">
        <v>11</v>
      </c>
      <c r="U530" t="s">
        <v>408</v>
      </c>
    </row>
    <row r="531" spans="1:21" x14ac:dyDescent="0.25">
      <c r="A531">
        <v>14718147</v>
      </c>
      <c r="B531" t="s">
        <v>340</v>
      </c>
      <c r="C531" t="s">
        <v>26</v>
      </c>
      <c r="D531" t="s">
        <v>12</v>
      </c>
      <c r="E531" t="s">
        <v>504</v>
      </c>
      <c r="F531" t="s">
        <v>126</v>
      </c>
      <c r="G531" t="s">
        <v>369</v>
      </c>
      <c r="H531" t="s">
        <v>370</v>
      </c>
      <c r="I531" t="s">
        <v>721</v>
      </c>
      <c r="J531" t="s">
        <v>455</v>
      </c>
      <c r="K531" t="s">
        <v>453</v>
      </c>
      <c r="L531" t="s">
        <v>367</v>
      </c>
      <c r="M531" t="s">
        <v>408</v>
      </c>
      <c r="N531" t="s">
        <v>11</v>
      </c>
      <c r="O531" t="s">
        <v>11</v>
      </c>
      <c r="P531" t="s">
        <v>0</v>
      </c>
      <c r="Q531" t="s">
        <v>408</v>
      </c>
      <c r="R531" t="s">
        <v>439</v>
      </c>
      <c r="S531" t="s">
        <v>451</v>
      </c>
      <c r="T531" t="s">
        <v>11</v>
      </c>
      <c r="U531" t="s">
        <v>408</v>
      </c>
    </row>
    <row r="532" spans="1:21" x14ac:dyDescent="0.25">
      <c r="A532">
        <v>14718148</v>
      </c>
      <c r="B532" t="s">
        <v>342</v>
      </c>
      <c r="C532" t="s">
        <v>33</v>
      </c>
      <c r="D532" t="s">
        <v>12</v>
      </c>
      <c r="E532" t="s">
        <v>731</v>
      </c>
      <c r="F532" t="s">
        <v>127</v>
      </c>
      <c r="G532" t="s">
        <v>369</v>
      </c>
      <c r="H532" t="s">
        <v>2</v>
      </c>
      <c r="I532" t="s">
        <v>436</v>
      </c>
      <c r="J532" t="s">
        <v>443</v>
      </c>
      <c r="K532" t="s">
        <v>444</v>
      </c>
      <c r="L532" t="s">
        <v>151</v>
      </c>
      <c r="M532" t="s">
        <v>408</v>
      </c>
      <c r="N532" t="s">
        <v>11</v>
      </c>
      <c r="O532" t="s">
        <v>11</v>
      </c>
      <c r="P532" t="s">
        <v>0</v>
      </c>
      <c r="Q532" t="s">
        <v>408</v>
      </c>
      <c r="R532" t="s">
        <v>439</v>
      </c>
      <c r="S532" t="s">
        <v>440</v>
      </c>
      <c r="T532" t="s">
        <v>11</v>
      </c>
      <c r="U532" t="s">
        <v>408</v>
      </c>
    </row>
    <row r="533" spans="1:21" x14ac:dyDescent="0.25">
      <c r="A533">
        <v>14718149</v>
      </c>
      <c r="B533" t="s">
        <v>342</v>
      </c>
      <c r="C533" t="s">
        <v>33</v>
      </c>
      <c r="D533" t="s">
        <v>12</v>
      </c>
      <c r="E533" t="s">
        <v>731</v>
      </c>
      <c r="F533" t="s">
        <v>129</v>
      </c>
      <c r="G533" t="s">
        <v>369</v>
      </c>
      <c r="H533" t="s">
        <v>2</v>
      </c>
      <c r="I533" t="s">
        <v>436</v>
      </c>
      <c r="J533" t="s">
        <v>443</v>
      </c>
      <c r="K533" t="s">
        <v>444</v>
      </c>
      <c r="L533" t="s">
        <v>151</v>
      </c>
      <c r="M533" t="s">
        <v>408</v>
      </c>
      <c r="N533" t="s">
        <v>11</v>
      </c>
      <c r="O533" t="s">
        <v>11</v>
      </c>
      <c r="P533" t="s">
        <v>0</v>
      </c>
      <c r="Q533" t="s">
        <v>408</v>
      </c>
      <c r="R533" t="s">
        <v>439</v>
      </c>
      <c r="S533" t="s">
        <v>440</v>
      </c>
      <c r="T533" t="s">
        <v>11</v>
      </c>
      <c r="U533" t="s">
        <v>408</v>
      </c>
    </row>
    <row r="534" spans="1:21" x14ac:dyDescent="0.25">
      <c r="A534">
        <v>14718153</v>
      </c>
      <c r="B534" t="s">
        <v>342</v>
      </c>
      <c r="C534" t="s">
        <v>33</v>
      </c>
      <c r="D534" t="s">
        <v>12</v>
      </c>
      <c r="E534" t="s">
        <v>519</v>
      </c>
      <c r="F534" t="s">
        <v>128</v>
      </c>
      <c r="G534" t="s">
        <v>369</v>
      </c>
      <c r="H534" t="s">
        <v>2</v>
      </c>
      <c r="I534" t="s">
        <v>436</v>
      </c>
      <c r="J534" t="s">
        <v>443</v>
      </c>
      <c r="K534" t="s">
        <v>444</v>
      </c>
      <c r="L534" t="s">
        <v>0</v>
      </c>
      <c r="M534" t="s">
        <v>408</v>
      </c>
      <c r="N534" t="s">
        <v>11</v>
      </c>
      <c r="O534" t="s">
        <v>11</v>
      </c>
      <c r="P534" t="s">
        <v>0</v>
      </c>
      <c r="Q534" t="s">
        <v>408</v>
      </c>
      <c r="R534" t="s">
        <v>439</v>
      </c>
      <c r="S534" t="s">
        <v>440</v>
      </c>
      <c r="T534" t="s">
        <v>11</v>
      </c>
      <c r="U534" t="s">
        <v>408</v>
      </c>
    </row>
    <row r="535" spans="1:21" x14ac:dyDescent="0.25">
      <c r="A535">
        <v>14718156</v>
      </c>
      <c r="B535" t="s">
        <v>342</v>
      </c>
      <c r="C535" t="s">
        <v>33</v>
      </c>
      <c r="D535" t="s">
        <v>12</v>
      </c>
      <c r="E535" t="s">
        <v>731</v>
      </c>
      <c r="F535" t="s">
        <v>127</v>
      </c>
      <c r="G535" t="s">
        <v>369</v>
      </c>
      <c r="H535" t="s">
        <v>2</v>
      </c>
      <c r="I535" t="s">
        <v>436</v>
      </c>
      <c r="J535" t="s">
        <v>443</v>
      </c>
      <c r="K535" t="s">
        <v>444</v>
      </c>
      <c r="L535" t="s">
        <v>151</v>
      </c>
      <c r="M535" t="s">
        <v>408</v>
      </c>
      <c r="N535" t="s">
        <v>11</v>
      </c>
      <c r="O535" t="s">
        <v>11</v>
      </c>
      <c r="P535" t="s">
        <v>0</v>
      </c>
      <c r="Q535" t="s">
        <v>408</v>
      </c>
      <c r="R535" t="s">
        <v>439</v>
      </c>
      <c r="S535" t="s">
        <v>440</v>
      </c>
      <c r="T535" t="s">
        <v>11</v>
      </c>
      <c r="U535" t="s">
        <v>408</v>
      </c>
    </row>
    <row r="536" spans="1:21" x14ac:dyDescent="0.25">
      <c r="A536">
        <v>14718159</v>
      </c>
      <c r="B536" t="s">
        <v>342</v>
      </c>
      <c r="C536" t="s">
        <v>33</v>
      </c>
      <c r="D536" t="s">
        <v>12</v>
      </c>
      <c r="E536" t="s">
        <v>731</v>
      </c>
      <c r="F536" t="s">
        <v>127</v>
      </c>
      <c r="G536" t="s">
        <v>369</v>
      </c>
      <c r="H536" t="s">
        <v>2</v>
      </c>
      <c r="I536" t="s">
        <v>436</v>
      </c>
      <c r="J536" t="s">
        <v>443</v>
      </c>
      <c r="K536" t="s">
        <v>444</v>
      </c>
      <c r="L536" t="s">
        <v>151</v>
      </c>
      <c r="M536" t="s">
        <v>408</v>
      </c>
      <c r="N536" t="s">
        <v>11</v>
      </c>
      <c r="O536" t="s">
        <v>11</v>
      </c>
      <c r="P536" t="s">
        <v>0</v>
      </c>
      <c r="Q536" t="s">
        <v>408</v>
      </c>
      <c r="R536" t="s">
        <v>439</v>
      </c>
      <c r="S536" t="s">
        <v>440</v>
      </c>
      <c r="T536" t="s">
        <v>11</v>
      </c>
      <c r="U536" t="s">
        <v>408</v>
      </c>
    </row>
    <row r="537" spans="1:21" x14ac:dyDescent="0.25">
      <c r="A537">
        <v>14718163</v>
      </c>
      <c r="B537" t="s">
        <v>342</v>
      </c>
      <c r="C537" t="s">
        <v>33</v>
      </c>
      <c r="D537" t="s">
        <v>12</v>
      </c>
      <c r="E537" t="s">
        <v>616</v>
      </c>
      <c r="F537" t="s">
        <v>68</v>
      </c>
      <c r="G537" t="s">
        <v>369</v>
      </c>
      <c r="H537" t="s">
        <v>2</v>
      </c>
      <c r="I537" t="s">
        <v>436</v>
      </c>
      <c r="J537" t="s">
        <v>443</v>
      </c>
      <c r="K537" t="s">
        <v>444</v>
      </c>
      <c r="L537" t="s">
        <v>151</v>
      </c>
      <c r="M537" t="s">
        <v>408</v>
      </c>
      <c r="N537" t="s">
        <v>11</v>
      </c>
      <c r="O537" t="s">
        <v>11</v>
      </c>
      <c r="P537" t="s">
        <v>0</v>
      </c>
      <c r="Q537" t="s">
        <v>408</v>
      </c>
      <c r="R537" t="s">
        <v>439</v>
      </c>
      <c r="S537" t="s">
        <v>440</v>
      </c>
      <c r="T537" t="s">
        <v>11</v>
      </c>
      <c r="U537" t="s">
        <v>408</v>
      </c>
    </row>
    <row r="538" spans="1:21" x14ac:dyDescent="0.25">
      <c r="A538">
        <v>14718168</v>
      </c>
      <c r="B538" t="s">
        <v>340</v>
      </c>
      <c r="C538" t="s">
        <v>26</v>
      </c>
      <c r="D538" t="s">
        <v>12</v>
      </c>
      <c r="E538" t="s">
        <v>616</v>
      </c>
      <c r="F538" t="s">
        <v>68</v>
      </c>
      <c r="G538" t="s">
        <v>369</v>
      </c>
      <c r="H538" t="s">
        <v>1</v>
      </c>
      <c r="I538" t="s">
        <v>469</v>
      </c>
      <c r="J538" t="s">
        <v>445</v>
      </c>
      <c r="K538" t="s">
        <v>438</v>
      </c>
      <c r="L538" t="s">
        <v>2</v>
      </c>
      <c r="M538" t="s">
        <v>408</v>
      </c>
      <c r="N538" t="s">
        <v>11</v>
      </c>
      <c r="O538" t="s">
        <v>408</v>
      </c>
      <c r="P538" t="s">
        <v>2</v>
      </c>
      <c r="Q538" t="s">
        <v>408</v>
      </c>
      <c r="R538" t="s">
        <v>439</v>
      </c>
      <c r="S538" t="s">
        <v>440</v>
      </c>
      <c r="T538" t="s">
        <v>11</v>
      </c>
      <c r="U538" t="s">
        <v>408</v>
      </c>
    </row>
    <row r="539" spans="1:21" x14ac:dyDescent="0.25">
      <c r="A539">
        <v>14718169</v>
      </c>
      <c r="B539" t="s">
        <v>340</v>
      </c>
      <c r="C539" t="s">
        <v>26</v>
      </c>
      <c r="D539" t="s">
        <v>12</v>
      </c>
      <c r="E539" t="s">
        <v>731</v>
      </c>
      <c r="F539" t="s">
        <v>124</v>
      </c>
      <c r="G539" t="s">
        <v>369</v>
      </c>
      <c r="H539" t="s">
        <v>2</v>
      </c>
      <c r="I539" t="s">
        <v>436</v>
      </c>
      <c r="J539" t="s">
        <v>443</v>
      </c>
      <c r="K539" t="s">
        <v>444</v>
      </c>
      <c r="L539" t="s">
        <v>345</v>
      </c>
      <c r="M539" t="s">
        <v>408</v>
      </c>
      <c r="N539" t="s">
        <v>11</v>
      </c>
      <c r="O539" t="s">
        <v>11</v>
      </c>
      <c r="P539" t="s">
        <v>2</v>
      </c>
      <c r="Q539" t="s">
        <v>408</v>
      </c>
      <c r="R539" t="s">
        <v>439</v>
      </c>
      <c r="S539" t="s">
        <v>440</v>
      </c>
      <c r="T539" t="s">
        <v>11</v>
      </c>
      <c r="U539" t="s">
        <v>408</v>
      </c>
    </row>
    <row r="540" spans="1:21" x14ac:dyDescent="0.25">
      <c r="A540">
        <v>14718172</v>
      </c>
      <c r="B540" t="s">
        <v>342</v>
      </c>
      <c r="C540" t="s">
        <v>33</v>
      </c>
      <c r="D540" t="s">
        <v>125</v>
      </c>
      <c r="E540" t="s">
        <v>504</v>
      </c>
      <c r="F540" t="s">
        <v>126</v>
      </c>
      <c r="G540" t="s">
        <v>369</v>
      </c>
      <c r="H540" t="s">
        <v>2</v>
      </c>
      <c r="I540" t="s">
        <v>436</v>
      </c>
      <c r="J540" t="s">
        <v>443</v>
      </c>
      <c r="K540" t="s">
        <v>444</v>
      </c>
      <c r="L540" t="s">
        <v>347</v>
      </c>
      <c r="M540" t="s">
        <v>408</v>
      </c>
      <c r="N540" t="s">
        <v>11</v>
      </c>
      <c r="O540" t="s">
        <v>11</v>
      </c>
      <c r="P540" t="s">
        <v>347</v>
      </c>
      <c r="Q540" t="s">
        <v>408</v>
      </c>
      <c r="R540" t="s">
        <v>439</v>
      </c>
      <c r="S540" t="s">
        <v>440</v>
      </c>
      <c r="T540" t="s">
        <v>11</v>
      </c>
      <c r="U540" t="s">
        <v>408</v>
      </c>
    </row>
    <row r="541" spans="1:21" x14ac:dyDescent="0.25">
      <c r="A541">
        <v>14718173</v>
      </c>
      <c r="B541" t="s">
        <v>342</v>
      </c>
      <c r="C541" t="s">
        <v>33</v>
      </c>
      <c r="D541" t="s">
        <v>18</v>
      </c>
      <c r="E541" t="s">
        <v>731</v>
      </c>
      <c r="F541" t="s">
        <v>124</v>
      </c>
      <c r="G541" t="s">
        <v>369</v>
      </c>
      <c r="H541" t="s">
        <v>2</v>
      </c>
      <c r="I541" t="s">
        <v>436</v>
      </c>
      <c r="J541" t="s">
        <v>443</v>
      </c>
      <c r="K541" t="s">
        <v>444</v>
      </c>
      <c r="L541" t="s">
        <v>347</v>
      </c>
      <c r="M541" t="s">
        <v>408</v>
      </c>
      <c r="N541" t="s">
        <v>11</v>
      </c>
      <c r="O541" t="s">
        <v>11</v>
      </c>
      <c r="P541" t="s">
        <v>347</v>
      </c>
      <c r="Q541" t="s">
        <v>408</v>
      </c>
      <c r="R541" t="s">
        <v>439</v>
      </c>
      <c r="S541" t="s">
        <v>440</v>
      </c>
      <c r="T541" t="s">
        <v>11</v>
      </c>
      <c r="U541" t="s">
        <v>408</v>
      </c>
    </row>
    <row r="542" spans="1:21" x14ac:dyDescent="0.25">
      <c r="A542">
        <v>14718174</v>
      </c>
      <c r="B542" t="s">
        <v>342</v>
      </c>
      <c r="C542" t="s">
        <v>33</v>
      </c>
      <c r="D542" t="s">
        <v>12</v>
      </c>
      <c r="E542" t="s">
        <v>731</v>
      </c>
      <c r="F542" t="s">
        <v>124</v>
      </c>
      <c r="G542" t="s">
        <v>369</v>
      </c>
      <c r="H542" t="s">
        <v>2</v>
      </c>
      <c r="I542" t="s">
        <v>436</v>
      </c>
      <c r="J542" t="s">
        <v>443</v>
      </c>
      <c r="K542" t="s">
        <v>444</v>
      </c>
      <c r="L542" t="s">
        <v>347</v>
      </c>
      <c r="M542" t="s">
        <v>408</v>
      </c>
      <c r="N542" t="s">
        <v>11</v>
      </c>
      <c r="O542" t="s">
        <v>11</v>
      </c>
      <c r="P542" t="s">
        <v>347</v>
      </c>
      <c r="Q542" t="s">
        <v>408</v>
      </c>
      <c r="R542" t="s">
        <v>439</v>
      </c>
      <c r="S542" t="s">
        <v>440</v>
      </c>
      <c r="T542" t="s">
        <v>11</v>
      </c>
      <c r="U542" t="s">
        <v>408</v>
      </c>
    </row>
    <row r="543" spans="1:21" x14ac:dyDescent="0.25">
      <c r="A543">
        <v>14718175</v>
      </c>
      <c r="B543" t="s">
        <v>342</v>
      </c>
      <c r="C543" t="s">
        <v>33</v>
      </c>
      <c r="D543" t="s">
        <v>12</v>
      </c>
      <c r="E543" t="s">
        <v>731</v>
      </c>
      <c r="F543" t="s">
        <v>124</v>
      </c>
      <c r="G543" t="s">
        <v>369</v>
      </c>
      <c r="H543" t="s">
        <v>2</v>
      </c>
      <c r="I543" t="s">
        <v>436</v>
      </c>
      <c r="J543" t="s">
        <v>443</v>
      </c>
      <c r="K543" t="s">
        <v>444</v>
      </c>
      <c r="L543" t="s">
        <v>347</v>
      </c>
      <c r="M543" t="s">
        <v>408</v>
      </c>
      <c r="N543" t="s">
        <v>11</v>
      </c>
      <c r="O543" t="s">
        <v>11</v>
      </c>
      <c r="P543" t="s">
        <v>347</v>
      </c>
      <c r="Q543" t="s">
        <v>408</v>
      </c>
      <c r="R543" t="s">
        <v>439</v>
      </c>
      <c r="S543" t="s">
        <v>440</v>
      </c>
      <c r="T543" t="s">
        <v>11</v>
      </c>
      <c r="U543" t="s">
        <v>408</v>
      </c>
    </row>
    <row r="544" spans="1:21" x14ac:dyDescent="0.25">
      <c r="A544">
        <v>14718177</v>
      </c>
      <c r="B544" t="s">
        <v>342</v>
      </c>
      <c r="C544" t="s">
        <v>33</v>
      </c>
      <c r="D544" t="s">
        <v>18</v>
      </c>
      <c r="E544" t="s">
        <v>731</v>
      </c>
      <c r="F544" t="s">
        <v>123</v>
      </c>
      <c r="G544" t="s">
        <v>369</v>
      </c>
      <c r="H544" t="s">
        <v>2</v>
      </c>
      <c r="I544" t="s">
        <v>436</v>
      </c>
      <c r="J544" t="s">
        <v>443</v>
      </c>
      <c r="K544" t="s">
        <v>444</v>
      </c>
      <c r="L544" t="s">
        <v>345</v>
      </c>
      <c r="M544" t="s">
        <v>408</v>
      </c>
      <c r="N544" t="s">
        <v>11</v>
      </c>
      <c r="O544" t="s">
        <v>11</v>
      </c>
      <c r="P544" t="s">
        <v>2</v>
      </c>
      <c r="Q544" t="s">
        <v>408</v>
      </c>
      <c r="R544" t="s">
        <v>439</v>
      </c>
      <c r="S544" t="s">
        <v>440</v>
      </c>
      <c r="T544" t="s">
        <v>11</v>
      </c>
      <c r="U544" t="s">
        <v>408</v>
      </c>
    </row>
    <row r="545" spans="1:21" x14ac:dyDescent="0.25">
      <c r="A545">
        <v>14718185</v>
      </c>
      <c r="B545" t="s">
        <v>340</v>
      </c>
      <c r="C545" t="s">
        <v>26</v>
      </c>
      <c r="D545" t="s">
        <v>12</v>
      </c>
      <c r="E545" t="s">
        <v>732</v>
      </c>
      <c r="F545" t="s">
        <v>104</v>
      </c>
      <c r="G545" t="s">
        <v>369</v>
      </c>
      <c r="H545" t="s">
        <v>370</v>
      </c>
      <c r="I545" t="s">
        <v>721</v>
      </c>
      <c r="J545" t="s">
        <v>455</v>
      </c>
      <c r="K545" t="s">
        <v>453</v>
      </c>
      <c r="L545" t="s">
        <v>367</v>
      </c>
      <c r="M545" t="s">
        <v>408</v>
      </c>
      <c r="N545" t="s">
        <v>11</v>
      </c>
      <c r="O545" t="s">
        <v>11</v>
      </c>
      <c r="P545" t="s">
        <v>2</v>
      </c>
      <c r="Q545" t="s">
        <v>408</v>
      </c>
      <c r="R545" t="s">
        <v>439</v>
      </c>
      <c r="S545" t="s">
        <v>451</v>
      </c>
      <c r="T545" t="s">
        <v>11</v>
      </c>
      <c r="U545" t="s">
        <v>408</v>
      </c>
    </row>
    <row r="546" spans="1:21" x14ac:dyDescent="0.25">
      <c r="A546">
        <v>14718186</v>
      </c>
      <c r="B546" t="s">
        <v>340</v>
      </c>
      <c r="C546" t="s">
        <v>26</v>
      </c>
      <c r="D546" t="s">
        <v>12</v>
      </c>
      <c r="E546" t="s">
        <v>732</v>
      </c>
      <c r="F546" t="s">
        <v>250</v>
      </c>
      <c r="G546" t="s">
        <v>369</v>
      </c>
      <c r="H546" t="s">
        <v>0</v>
      </c>
      <c r="I546" t="s">
        <v>436</v>
      </c>
      <c r="J546" t="s">
        <v>437</v>
      </c>
      <c r="K546" t="s">
        <v>438</v>
      </c>
      <c r="L546" t="s">
        <v>1</v>
      </c>
      <c r="M546" t="s">
        <v>408</v>
      </c>
      <c r="N546" t="s">
        <v>11</v>
      </c>
      <c r="O546" t="s">
        <v>11</v>
      </c>
      <c r="P546" t="s">
        <v>2</v>
      </c>
      <c r="Q546" t="s">
        <v>408</v>
      </c>
      <c r="R546" t="s">
        <v>439</v>
      </c>
      <c r="S546" t="s">
        <v>440</v>
      </c>
      <c r="T546" t="s">
        <v>11</v>
      </c>
      <c r="U546" t="s">
        <v>408</v>
      </c>
    </row>
    <row r="547" spans="1:21" x14ac:dyDescent="0.25">
      <c r="A547">
        <v>14718190</v>
      </c>
      <c r="B547" t="s">
        <v>340</v>
      </c>
      <c r="C547" t="s">
        <v>26</v>
      </c>
      <c r="D547" t="s">
        <v>12</v>
      </c>
      <c r="E547" t="s">
        <v>732</v>
      </c>
      <c r="F547" t="s">
        <v>249</v>
      </c>
      <c r="G547" t="s">
        <v>369</v>
      </c>
      <c r="H547" t="s">
        <v>0</v>
      </c>
      <c r="I547" t="s">
        <v>436</v>
      </c>
      <c r="J547" t="s">
        <v>437</v>
      </c>
      <c r="K547" t="s">
        <v>438</v>
      </c>
      <c r="L547" t="s">
        <v>4</v>
      </c>
      <c r="M547" t="s">
        <v>408</v>
      </c>
      <c r="N547" t="s">
        <v>11</v>
      </c>
      <c r="O547" t="s">
        <v>11</v>
      </c>
      <c r="P547" t="s">
        <v>2</v>
      </c>
      <c r="Q547" t="s">
        <v>408</v>
      </c>
      <c r="R547" t="s">
        <v>439</v>
      </c>
      <c r="S547" t="s">
        <v>440</v>
      </c>
      <c r="T547" t="s">
        <v>11</v>
      </c>
      <c r="U547" t="s">
        <v>408</v>
      </c>
    </row>
    <row r="548" spans="1:21" x14ac:dyDescent="0.25">
      <c r="A548">
        <v>14718193</v>
      </c>
      <c r="B548" t="s">
        <v>340</v>
      </c>
      <c r="C548" t="s">
        <v>26</v>
      </c>
      <c r="D548" t="s">
        <v>12</v>
      </c>
      <c r="E548" t="s">
        <v>732</v>
      </c>
      <c r="F548" t="s">
        <v>67</v>
      </c>
      <c r="G548" t="s">
        <v>369</v>
      </c>
      <c r="H548" t="s">
        <v>5</v>
      </c>
      <c r="I548" t="s">
        <v>436</v>
      </c>
      <c r="J548" t="s">
        <v>446</v>
      </c>
      <c r="K548" t="s">
        <v>438</v>
      </c>
      <c r="L548" t="s">
        <v>2</v>
      </c>
      <c r="M548" t="s">
        <v>408</v>
      </c>
      <c r="N548" t="s">
        <v>11</v>
      </c>
      <c r="O548" t="s">
        <v>11</v>
      </c>
      <c r="P548" t="s">
        <v>2</v>
      </c>
      <c r="Q548" t="s">
        <v>408</v>
      </c>
      <c r="R548" t="s">
        <v>439</v>
      </c>
      <c r="S548" t="s">
        <v>440</v>
      </c>
      <c r="T548" t="s">
        <v>11</v>
      </c>
      <c r="U548" t="s">
        <v>408</v>
      </c>
    </row>
    <row r="549" spans="1:21" x14ac:dyDescent="0.25">
      <c r="A549">
        <v>14718201</v>
      </c>
      <c r="B549" t="s">
        <v>340</v>
      </c>
      <c r="C549" t="s">
        <v>26</v>
      </c>
      <c r="D549" t="s">
        <v>18</v>
      </c>
      <c r="E549" t="s">
        <v>732</v>
      </c>
      <c r="F549" t="s">
        <v>64</v>
      </c>
      <c r="G549" t="s">
        <v>369</v>
      </c>
      <c r="H549" t="s">
        <v>0</v>
      </c>
      <c r="I549" t="s">
        <v>436</v>
      </c>
      <c r="J549" t="s">
        <v>437</v>
      </c>
      <c r="K549" t="s">
        <v>438</v>
      </c>
      <c r="L549" t="s">
        <v>0</v>
      </c>
      <c r="M549" t="s">
        <v>408</v>
      </c>
      <c r="N549" t="s">
        <v>11</v>
      </c>
      <c r="O549" t="s">
        <v>408</v>
      </c>
      <c r="P549" t="s">
        <v>2</v>
      </c>
      <c r="Q549" t="s">
        <v>408</v>
      </c>
      <c r="R549" t="s">
        <v>439</v>
      </c>
      <c r="S549" t="s">
        <v>440</v>
      </c>
      <c r="T549" t="s">
        <v>11</v>
      </c>
      <c r="U549" t="s">
        <v>408</v>
      </c>
    </row>
    <row r="550" spans="1:21" x14ac:dyDescent="0.25">
      <c r="A550">
        <v>14718204</v>
      </c>
      <c r="B550" t="s">
        <v>340</v>
      </c>
      <c r="C550" t="s">
        <v>26</v>
      </c>
      <c r="D550" t="s">
        <v>12</v>
      </c>
      <c r="E550" t="s">
        <v>732</v>
      </c>
      <c r="F550" t="s">
        <v>247</v>
      </c>
      <c r="G550" t="s">
        <v>369</v>
      </c>
      <c r="H550" t="s">
        <v>0</v>
      </c>
      <c r="I550" t="s">
        <v>436</v>
      </c>
      <c r="J550" t="s">
        <v>437</v>
      </c>
      <c r="K550" t="s">
        <v>438</v>
      </c>
      <c r="L550" t="s">
        <v>4</v>
      </c>
      <c r="M550" t="s">
        <v>408</v>
      </c>
      <c r="N550" t="s">
        <v>11</v>
      </c>
      <c r="O550" t="s">
        <v>11</v>
      </c>
      <c r="P550" t="s">
        <v>2</v>
      </c>
      <c r="Q550" t="s">
        <v>408</v>
      </c>
      <c r="R550" t="s">
        <v>439</v>
      </c>
      <c r="S550" t="s">
        <v>440</v>
      </c>
      <c r="T550" t="s">
        <v>11</v>
      </c>
      <c r="U550" t="s">
        <v>408</v>
      </c>
    </row>
    <row r="551" spans="1:21" x14ac:dyDescent="0.25">
      <c r="A551">
        <v>14718206</v>
      </c>
      <c r="B551" t="s">
        <v>340</v>
      </c>
      <c r="C551" t="s">
        <v>26</v>
      </c>
      <c r="D551" t="s">
        <v>12</v>
      </c>
      <c r="E551" t="s">
        <v>732</v>
      </c>
      <c r="F551" t="s">
        <v>246</v>
      </c>
      <c r="G551" t="s">
        <v>369</v>
      </c>
      <c r="H551" t="s">
        <v>727</v>
      </c>
      <c r="I551" t="s">
        <v>728</v>
      </c>
      <c r="J551" t="s">
        <v>729</v>
      </c>
      <c r="K551" t="s">
        <v>450</v>
      </c>
      <c r="L551" t="s">
        <v>367</v>
      </c>
      <c r="M551" t="s">
        <v>408</v>
      </c>
      <c r="N551" t="s">
        <v>11</v>
      </c>
      <c r="O551" t="s">
        <v>11</v>
      </c>
      <c r="P551" t="s">
        <v>2</v>
      </c>
      <c r="Q551" t="s">
        <v>408</v>
      </c>
      <c r="R551" t="s">
        <v>439</v>
      </c>
      <c r="S551" t="s">
        <v>451</v>
      </c>
      <c r="T551" t="s">
        <v>11</v>
      </c>
      <c r="U551" t="s">
        <v>408</v>
      </c>
    </row>
    <row r="552" spans="1:21" x14ac:dyDescent="0.25">
      <c r="A552">
        <v>14718209</v>
      </c>
      <c r="B552" t="s">
        <v>340</v>
      </c>
      <c r="C552" t="s">
        <v>26</v>
      </c>
      <c r="D552" t="s">
        <v>12</v>
      </c>
      <c r="E552" t="s">
        <v>732</v>
      </c>
      <c r="F552" t="s">
        <v>326</v>
      </c>
      <c r="G552" t="s">
        <v>369</v>
      </c>
      <c r="H552" t="s">
        <v>1</v>
      </c>
      <c r="I552" t="s">
        <v>469</v>
      </c>
      <c r="J552" t="s">
        <v>445</v>
      </c>
      <c r="K552" t="s">
        <v>438</v>
      </c>
      <c r="L552" t="s">
        <v>2</v>
      </c>
      <c r="M552" t="s">
        <v>408</v>
      </c>
      <c r="N552" t="s">
        <v>11</v>
      </c>
      <c r="O552" t="s">
        <v>11</v>
      </c>
      <c r="P552" t="s">
        <v>2</v>
      </c>
      <c r="Q552" t="s">
        <v>408</v>
      </c>
      <c r="R552" t="s">
        <v>439</v>
      </c>
      <c r="S552" t="s">
        <v>440</v>
      </c>
      <c r="T552" t="s">
        <v>11</v>
      </c>
      <c r="U552" t="s">
        <v>408</v>
      </c>
    </row>
    <row r="553" spans="1:21" x14ac:dyDescent="0.25">
      <c r="A553">
        <v>14718218</v>
      </c>
      <c r="B553" t="s">
        <v>340</v>
      </c>
      <c r="C553" t="s">
        <v>26</v>
      </c>
      <c r="D553" t="s">
        <v>12</v>
      </c>
      <c r="E553" t="s">
        <v>732</v>
      </c>
      <c r="F553" t="s">
        <v>53</v>
      </c>
      <c r="G553" t="s">
        <v>369</v>
      </c>
      <c r="H553" t="s">
        <v>6</v>
      </c>
      <c r="I553" t="s">
        <v>436</v>
      </c>
      <c r="J553" t="s">
        <v>456</v>
      </c>
      <c r="K553" t="s">
        <v>438</v>
      </c>
      <c r="L553" t="s">
        <v>7</v>
      </c>
      <c r="M553" t="s">
        <v>408</v>
      </c>
      <c r="N553" t="s">
        <v>11</v>
      </c>
      <c r="O553" t="s">
        <v>11</v>
      </c>
      <c r="P553" t="s">
        <v>2</v>
      </c>
      <c r="Q553" t="s">
        <v>408</v>
      </c>
      <c r="R553" t="s">
        <v>439</v>
      </c>
      <c r="S553" t="s">
        <v>440</v>
      </c>
      <c r="T553" t="s">
        <v>11</v>
      </c>
      <c r="U553" t="s">
        <v>408</v>
      </c>
    </row>
    <row r="554" spans="1:21" x14ac:dyDescent="0.25">
      <c r="A554">
        <v>14718221</v>
      </c>
      <c r="B554" t="s">
        <v>340</v>
      </c>
      <c r="C554" t="s">
        <v>26</v>
      </c>
      <c r="D554" t="s">
        <v>12</v>
      </c>
      <c r="E554" t="s">
        <v>732</v>
      </c>
      <c r="F554" t="s">
        <v>325</v>
      </c>
      <c r="G554" t="s">
        <v>369</v>
      </c>
      <c r="H554" t="s">
        <v>370</v>
      </c>
      <c r="I554" t="s">
        <v>721</v>
      </c>
      <c r="J554" t="s">
        <v>455</v>
      </c>
      <c r="K554" t="s">
        <v>453</v>
      </c>
      <c r="L554" t="s">
        <v>367</v>
      </c>
      <c r="M554" t="s">
        <v>408</v>
      </c>
      <c r="N554" t="s">
        <v>11</v>
      </c>
      <c r="O554" t="s">
        <v>11</v>
      </c>
      <c r="P554" t="s">
        <v>2</v>
      </c>
      <c r="Q554" t="s">
        <v>408</v>
      </c>
      <c r="R554" t="s">
        <v>439</v>
      </c>
      <c r="S554" t="s">
        <v>451</v>
      </c>
      <c r="T554" t="s">
        <v>11</v>
      </c>
      <c r="U554" t="s">
        <v>408</v>
      </c>
    </row>
    <row r="555" spans="1:21" x14ac:dyDescent="0.25">
      <c r="A555">
        <v>14718223</v>
      </c>
      <c r="B555" t="s">
        <v>340</v>
      </c>
      <c r="C555" t="s">
        <v>26</v>
      </c>
      <c r="D555" t="s">
        <v>12</v>
      </c>
      <c r="E555" t="s">
        <v>732</v>
      </c>
      <c r="F555" t="s">
        <v>245</v>
      </c>
      <c r="G555" t="s">
        <v>369</v>
      </c>
      <c r="H555" t="s">
        <v>370</v>
      </c>
      <c r="I555" t="s">
        <v>721</v>
      </c>
      <c r="J555" t="s">
        <v>455</v>
      </c>
      <c r="K555" t="s">
        <v>453</v>
      </c>
      <c r="L555" t="s">
        <v>367</v>
      </c>
      <c r="M555" t="s">
        <v>408</v>
      </c>
      <c r="N555" t="s">
        <v>11</v>
      </c>
      <c r="O555" t="s">
        <v>408</v>
      </c>
      <c r="P555" t="s">
        <v>2</v>
      </c>
      <c r="Q555" t="s">
        <v>408</v>
      </c>
      <c r="R555" t="s">
        <v>439</v>
      </c>
      <c r="S555" t="s">
        <v>451</v>
      </c>
      <c r="T555" t="s">
        <v>11</v>
      </c>
      <c r="U555" t="s">
        <v>408</v>
      </c>
    </row>
    <row r="556" spans="1:21" x14ac:dyDescent="0.25">
      <c r="A556">
        <v>14718226</v>
      </c>
      <c r="B556" t="s">
        <v>340</v>
      </c>
      <c r="C556" t="s">
        <v>26</v>
      </c>
      <c r="D556" t="s">
        <v>18</v>
      </c>
      <c r="E556" t="s">
        <v>732</v>
      </c>
      <c r="F556" t="s">
        <v>39</v>
      </c>
      <c r="G556" t="s">
        <v>369</v>
      </c>
      <c r="H556" t="s">
        <v>350</v>
      </c>
      <c r="I556" t="s">
        <v>436</v>
      </c>
      <c r="J556" t="s">
        <v>566</v>
      </c>
      <c r="K556" t="s">
        <v>701</v>
      </c>
      <c r="L556" t="s">
        <v>3</v>
      </c>
      <c r="M556" t="s">
        <v>408</v>
      </c>
      <c r="N556" t="s">
        <v>11</v>
      </c>
      <c r="O556" t="s">
        <v>11</v>
      </c>
      <c r="P556" t="s">
        <v>2</v>
      </c>
      <c r="Q556" t="s">
        <v>408</v>
      </c>
      <c r="R556" t="s">
        <v>439</v>
      </c>
      <c r="S556" t="s">
        <v>440</v>
      </c>
      <c r="T556" t="s">
        <v>11</v>
      </c>
      <c r="U556" t="s">
        <v>408</v>
      </c>
    </row>
    <row r="557" spans="1:21" x14ac:dyDescent="0.25">
      <c r="A557">
        <v>14718228</v>
      </c>
      <c r="B557" t="s">
        <v>340</v>
      </c>
      <c r="C557" t="s">
        <v>26</v>
      </c>
      <c r="D557" t="s">
        <v>12</v>
      </c>
      <c r="E557" t="s">
        <v>732</v>
      </c>
      <c r="F557" t="s">
        <v>244</v>
      </c>
      <c r="G557" t="s">
        <v>369</v>
      </c>
      <c r="H557" t="s">
        <v>0</v>
      </c>
      <c r="I557" t="s">
        <v>436</v>
      </c>
      <c r="J557" t="s">
        <v>437</v>
      </c>
      <c r="K557" t="s">
        <v>438</v>
      </c>
      <c r="L557" t="s">
        <v>1</v>
      </c>
      <c r="M557" t="s">
        <v>408</v>
      </c>
      <c r="N557" t="s">
        <v>11</v>
      </c>
      <c r="O557" t="s">
        <v>408</v>
      </c>
      <c r="P557" t="s">
        <v>2</v>
      </c>
      <c r="Q557" t="s">
        <v>408</v>
      </c>
      <c r="R557" t="s">
        <v>439</v>
      </c>
      <c r="S557" t="s">
        <v>440</v>
      </c>
      <c r="T557" t="s">
        <v>11</v>
      </c>
      <c r="U557" t="s">
        <v>408</v>
      </c>
    </row>
    <row r="558" spans="1:21" x14ac:dyDescent="0.25">
      <c r="A558">
        <v>14718231</v>
      </c>
      <c r="B558" t="s">
        <v>340</v>
      </c>
      <c r="C558" t="s">
        <v>26</v>
      </c>
      <c r="D558" t="s">
        <v>18</v>
      </c>
      <c r="E558" t="s">
        <v>620</v>
      </c>
      <c r="F558" t="s">
        <v>324</v>
      </c>
      <c r="G558" t="s">
        <v>369</v>
      </c>
      <c r="H558" t="s">
        <v>0</v>
      </c>
      <c r="I558" t="s">
        <v>436</v>
      </c>
      <c r="J558" t="s">
        <v>437</v>
      </c>
      <c r="K558" t="s">
        <v>438</v>
      </c>
      <c r="L558" t="s">
        <v>1</v>
      </c>
      <c r="M558" t="s">
        <v>408</v>
      </c>
      <c r="N558" t="s">
        <v>11</v>
      </c>
      <c r="O558" t="s">
        <v>11</v>
      </c>
      <c r="P558" t="s">
        <v>2</v>
      </c>
      <c r="Q558" t="s">
        <v>408</v>
      </c>
      <c r="R558" t="s">
        <v>439</v>
      </c>
      <c r="S558" t="s">
        <v>440</v>
      </c>
      <c r="T558" t="s">
        <v>11</v>
      </c>
      <c r="U558" t="s">
        <v>408</v>
      </c>
    </row>
    <row r="559" spans="1:21" x14ac:dyDescent="0.25">
      <c r="A559">
        <v>14718237</v>
      </c>
      <c r="B559" t="s">
        <v>340</v>
      </c>
      <c r="C559" t="s">
        <v>26</v>
      </c>
      <c r="D559" t="s">
        <v>12</v>
      </c>
      <c r="E559" t="s">
        <v>620</v>
      </c>
      <c r="F559" t="s">
        <v>323</v>
      </c>
      <c r="G559" t="s">
        <v>369</v>
      </c>
      <c r="H559" t="s">
        <v>370</v>
      </c>
      <c r="I559" t="s">
        <v>721</v>
      </c>
      <c r="J559" t="s">
        <v>455</v>
      </c>
      <c r="K559" t="s">
        <v>453</v>
      </c>
      <c r="L559" t="s">
        <v>367</v>
      </c>
      <c r="M559" t="s">
        <v>408</v>
      </c>
      <c r="N559" t="s">
        <v>11</v>
      </c>
      <c r="O559" t="s">
        <v>11</v>
      </c>
      <c r="P559" t="s">
        <v>2</v>
      </c>
      <c r="Q559" t="s">
        <v>408</v>
      </c>
      <c r="R559" t="s">
        <v>439</v>
      </c>
      <c r="S559" t="s">
        <v>451</v>
      </c>
      <c r="T559" t="s">
        <v>11</v>
      </c>
      <c r="U559" t="s">
        <v>408</v>
      </c>
    </row>
    <row r="560" spans="1:21" x14ac:dyDescent="0.25">
      <c r="A560">
        <v>14718242</v>
      </c>
      <c r="B560" t="s">
        <v>340</v>
      </c>
      <c r="C560" t="s">
        <v>26</v>
      </c>
      <c r="D560" t="s">
        <v>12</v>
      </c>
      <c r="E560" t="s">
        <v>620</v>
      </c>
      <c r="F560" t="s">
        <v>243</v>
      </c>
      <c r="G560" t="s">
        <v>369</v>
      </c>
      <c r="H560" t="s">
        <v>0</v>
      </c>
      <c r="I560" t="s">
        <v>436</v>
      </c>
      <c r="J560" t="s">
        <v>437</v>
      </c>
      <c r="K560" t="s">
        <v>438</v>
      </c>
      <c r="L560" t="s">
        <v>1</v>
      </c>
      <c r="M560" t="s">
        <v>408</v>
      </c>
      <c r="N560" t="s">
        <v>11</v>
      </c>
      <c r="O560" t="s">
        <v>11</v>
      </c>
      <c r="P560" t="s">
        <v>2</v>
      </c>
      <c r="Q560" t="s">
        <v>408</v>
      </c>
      <c r="R560" t="s">
        <v>439</v>
      </c>
      <c r="S560" t="s">
        <v>440</v>
      </c>
      <c r="T560" t="s">
        <v>11</v>
      </c>
      <c r="U560" t="s">
        <v>408</v>
      </c>
    </row>
    <row r="561" spans="1:21" x14ac:dyDescent="0.25">
      <c r="A561">
        <v>14718247</v>
      </c>
      <c r="B561" t="s">
        <v>340</v>
      </c>
      <c r="C561" t="s">
        <v>26</v>
      </c>
      <c r="D561" t="s">
        <v>18</v>
      </c>
      <c r="E561" t="s">
        <v>620</v>
      </c>
      <c r="F561" t="s">
        <v>242</v>
      </c>
      <c r="G561" t="s">
        <v>369</v>
      </c>
      <c r="H561" t="s">
        <v>3</v>
      </c>
      <c r="I561" t="s">
        <v>436</v>
      </c>
      <c r="J561" t="s">
        <v>441</v>
      </c>
      <c r="K561" t="s">
        <v>442</v>
      </c>
      <c r="L561" t="s">
        <v>0</v>
      </c>
      <c r="M561" t="s">
        <v>408</v>
      </c>
      <c r="N561" t="s">
        <v>11</v>
      </c>
      <c r="O561" t="s">
        <v>11</v>
      </c>
      <c r="P561" t="s">
        <v>2</v>
      </c>
      <c r="Q561" t="s">
        <v>408</v>
      </c>
      <c r="R561" t="s">
        <v>439</v>
      </c>
      <c r="S561" t="s">
        <v>440</v>
      </c>
      <c r="T561" t="s">
        <v>11</v>
      </c>
      <c r="U561" t="s">
        <v>408</v>
      </c>
    </row>
    <row r="562" spans="1:21" x14ac:dyDescent="0.25">
      <c r="A562">
        <v>14718249</v>
      </c>
      <c r="B562" t="s">
        <v>340</v>
      </c>
      <c r="C562" t="s">
        <v>26</v>
      </c>
      <c r="D562" t="s">
        <v>12</v>
      </c>
      <c r="E562" t="s">
        <v>620</v>
      </c>
      <c r="F562" t="s">
        <v>228</v>
      </c>
      <c r="G562" t="s">
        <v>369</v>
      </c>
      <c r="H562" t="s">
        <v>0</v>
      </c>
      <c r="I562" t="s">
        <v>436</v>
      </c>
      <c r="J562" t="s">
        <v>437</v>
      </c>
      <c r="K562" t="s">
        <v>438</v>
      </c>
      <c r="L562" t="s">
        <v>4</v>
      </c>
      <c r="M562" t="s">
        <v>408</v>
      </c>
      <c r="N562" t="s">
        <v>11</v>
      </c>
      <c r="O562" t="s">
        <v>408</v>
      </c>
      <c r="P562" t="s">
        <v>2</v>
      </c>
      <c r="Q562" t="s">
        <v>408</v>
      </c>
      <c r="R562" t="s">
        <v>439</v>
      </c>
      <c r="S562" t="s">
        <v>440</v>
      </c>
      <c r="T562" t="s">
        <v>11</v>
      </c>
      <c r="U562" t="s">
        <v>408</v>
      </c>
    </row>
    <row r="563" spans="1:21" x14ac:dyDescent="0.25">
      <c r="A563">
        <v>14718267</v>
      </c>
      <c r="B563" t="s">
        <v>340</v>
      </c>
      <c r="C563" t="s">
        <v>26</v>
      </c>
      <c r="D563" t="s">
        <v>12</v>
      </c>
      <c r="E563" t="s">
        <v>730</v>
      </c>
      <c r="F563" t="s">
        <v>211</v>
      </c>
      <c r="G563" t="s">
        <v>369</v>
      </c>
      <c r="H563" t="s">
        <v>0</v>
      </c>
      <c r="I563" t="s">
        <v>436</v>
      </c>
      <c r="J563" t="s">
        <v>437</v>
      </c>
      <c r="K563" t="s">
        <v>438</v>
      </c>
      <c r="L563" t="s">
        <v>345</v>
      </c>
      <c r="M563" t="s">
        <v>408</v>
      </c>
      <c r="N563" t="s">
        <v>11</v>
      </c>
      <c r="O563" t="s">
        <v>11</v>
      </c>
      <c r="P563" t="s">
        <v>0</v>
      </c>
      <c r="Q563" t="s">
        <v>408</v>
      </c>
      <c r="R563" t="s">
        <v>439</v>
      </c>
      <c r="S563" t="s">
        <v>440</v>
      </c>
      <c r="T563" t="s">
        <v>11</v>
      </c>
      <c r="U563" t="s">
        <v>408</v>
      </c>
    </row>
    <row r="564" spans="1:21" x14ac:dyDescent="0.25">
      <c r="A564">
        <v>14718276</v>
      </c>
      <c r="B564" t="s">
        <v>340</v>
      </c>
      <c r="C564" t="s">
        <v>26</v>
      </c>
      <c r="D564" t="s">
        <v>12</v>
      </c>
      <c r="E564" t="s">
        <v>730</v>
      </c>
      <c r="F564" t="s">
        <v>211</v>
      </c>
      <c r="G564" t="s">
        <v>369</v>
      </c>
      <c r="H564" t="s">
        <v>370</v>
      </c>
      <c r="I564" t="s">
        <v>721</v>
      </c>
      <c r="J564" t="s">
        <v>455</v>
      </c>
      <c r="K564" t="s">
        <v>453</v>
      </c>
      <c r="L564" t="s">
        <v>367</v>
      </c>
      <c r="M564" t="s">
        <v>408</v>
      </c>
      <c r="N564" t="s">
        <v>11</v>
      </c>
      <c r="O564" t="s">
        <v>11</v>
      </c>
      <c r="P564" t="s">
        <v>0</v>
      </c>
      <c r="Q564" t="s">
        <v>408</v>
      </c>
      <c r="R564" t="s">
        <v>439</v>
      </c>
      <c r="S564" t="s">
        <v>451</v>
      </c>
      <c r="T564" t="s">
        <v>11</v>
      </c>
      <c r="U564" t="s">
        <v>408</v>
      </c>
    </row>
    <row r="565" spans="1:21" x14ac:dyDescent="0.25">
      <c r="A565">
        <v>14718282</v>
      </c>
      <c r="B565" t="s">
        <v>342</v>
      </c>
      <c r="C565" t="s">
        <v>38</v>
      </c>
      <c r="D565" t="s">
        <v>12</v>
      </c>
      <c r="E565" t="s">
        <v>723</v>
      </c>
      <c r="F565" t="s">
        <v>105</v>
      </c>
      <c r="G565" t="s">
        <v>369</v>
      </c>
      <c r="H565" t="s">
        <v>0</v>
      </c>
      <c r="I565" t="s">
        <v>436</v>
      </c>
      <c r="J565" t="s">
        <v>437</v>
      </c>
      <c r="K565" t="s">
        <v>438</v>
      </c>
      <c r="L565" t="s">
        <v>345</v>
      </c>
      <c r="M565" t="s">
        <v>408</v>
      </c>
      <c r="N565" t="s">
        <v>408</v>
      </c>
      <c r="O565" t="s">
        <v>11</v>
      </c>
      <c r="P565" t="s">
        <v>0</v>
      </c>
      <c r="Q565" t="s">
        <v>408</v>
      </c>
      <c r="R565" t="s">
        <v>439</v>
      </c>
      <c r="S565" t="s">
        <v>440</v>
      </c>
      <c r="T565" t="s">
        <v>408</v>
      </c>
      <c r="U565" t="s">
        <v>408</v>
      </c>
    </row>
    <row r="566" spans="1:21" x14ac:dyDescent="0.25">
      <c r="A566">
        <v>14718285</v>
      </c>
      <c r="B566" t="s">
        <v>342</v>
      </c>
      <c r="C566" t="s">
        <v>38</v>
      </c>
      <c r="D566" t="s">
        <v>12</v>
      </c>
      <c r="E566" t="s">
        <v>720</v>
      </c>
      <c r="F566" t="s">
        <v>241</v>
      </c>
      <c r="G566" t="s">
        <v>369</v>
      </c>
      <c r="H566" t="s">
        <v>370</v>
      </c>
      <c r="I566" t="s">
        <v>721</v>
      </c>
      <c r="J566" t="s">
        <v>455</v>
      </c>
      <c r="K566" t="s">
        <v>453</v>
      </c>
      <c r="L566" t="s">
        <v>367</v>
      </c>
      <c r="M566" t="s">
        <v>408</v>
      </c>
      <c r="N566" t="s">
        <v>408</v>
      </c>
      <c r="O566" t="s">
        <v>11</v>
      </c>
      <c r="P566" t="s">
        <v>2</v>
      </c>
      <c r="Q566" t="s">
        <v>408</v>
      </c>
      <c r="R566" t="s">
        <v>439</v>
      </c>
      <c r="S566" t="s">
        <v>451</v>
      </c>
      <c r="T566" t="s">
        <v>408</v>
      </c>
      <c r="U566" t="s">
        <v>408</v>
      </c>
    </row>
    <row r="567" spans="1:21" x14ac:dyDescent="0.25">
      <c r="A567">
        <v>14718287</v>
      </c>
      <c r="B567" t="s">
        <v>342</v>
      </c>
      <c r="C567" t="s">
        <v>38</v>
      </c>
      <c r="D567" t="s">
        <v>12</v>
      </c>
      <c r="E567" t="s">
        <v>720</v>
      </c>
      <c r="F567" t="s">
        <v>241</v>
      </c>
      <c r="G567" t="s">
        <v>369</v>
      </c>
      <c r="H567" t="s">
        <v>0</v>
      </c>
      <c r="I567" t="s">
        <v>436</v>
      </c>
      <c r="J567" t="s">
        <v>437</v>
      </c>
      <c r="K567" t="s">
        <v>438</v>
      </c>
      <c r="L567" t="s">
        <v>2</v>
      </c>
      <c r="M567" t="s">
        <v>408</v>
      </c>
      <c r="N567" t="s">
        <v>408</v>
      </c>
      <c r="O567" t="s">
        <v>11</v>
      </c>
      <c r="P567" t="s">
        <v>2</v>
      </c>
      <c r="Q567" t="s">
        <v>408</v>
      </c>
      <c r="R567" t="s">
        <v>439</v>
      </c>
      <c r="S567" t="s">
        <v>440</v>
      </c>
      <c r="T567" t="s">
        <v>408</v>
      </c>
      <c r="U567" t="s">
        <v>408</v>
      </c>
    </row>
    <row r="568" spans="1:21" x14ac:dyDescent="0.25">
      <c r="A568">
        <v>14718288</v>
      </c>
      <c r="B568" t="s">
        <v>342</v>
      </c>
      <c r="C568" t="s">
        <v>33</v>
      </c>
      <c r="D568" t="s">
        <v>12</v>
      </c>
      <c r="E568" t="s">
        <v>713</v>
      </c>
      <c r="F568" t="s">
        <v>240</v>
      </c>
      <c r="G568" t="s">
        <v>369</v>
      </c>
      <c r="H568" t="s">
        <v>0</v>
      </c>
      <c r="I568" t="s">
        <v>436</v>
      </c>
      <c r="J568" t="s">
        <v>437</v>
      </c>
      <c r="K568" t="s">
        <v>438</v>
      </c>
      <c r="L568" t="s">
        <v>2</v>
      </c>
      <c r="M568" t="s">
        <v>408</v>
      </c>
      <c r="N568" t="s">
        <v>11</v>
      </c>
      <c r="O568" t="s">
        <v>11</v>
      </c>
      <c r="P568" t="s">
        <v>0</v>
      </c>
      <c r="Q568" t="s">
        <v>408</v>
      </c>
      <c r="R568" t="s">
        <v>439</v>
      </c>
      <c r="S568" t="s">
        <v>440</v>
      </c>
      <c r="T568" t="s">
        <v>11</v>
      </c>
      <c r="U568" t="s">
        <v>408</v>
      </c>
    </row>
    <row r="569" spans="1:21" x14ac:dyDescent="0.25">
      <c r="A569">
        <v>15660945</v>
      </c>
      <c r="B569" t="s">
        <v>340</v>
      </c>
      <c r="C569" t="s">
        <v>26</v>
      </c>
      <c r="D569" t="s">
        <v>12</v>
      </c>
      <c r="E569" t="s">
        <v>733</v>
      </c>
      <c r="F569" t="s">
        <v>237</v>
      </c>
      <c r="G569" t="s">
        <v>369</v>
      </c>
      <c r="H569" t="s">
        <v>0</v>
      </c>
      <c r="I569" t="s">
        <v>436</v>
      </c>
      <c r="J569" t="s">
        <v>437</v>
      </c>
      <c r="K569" t="s">
        <v>438</v>
      </c>
      <c r="L569" t="s">
        <v>4</v>
      </c>
      <c r="M569" t="s">
        <v>408</v>
      </c>
      <c r="N569" t="s">
        <v>11</v>
      </c>
      <c r="O569" t="s">
        <v>11</v>
      </c>
      <c r="P569" t="s">
        <v>0</v>
      </c>
      <c r="Q569" t="s">
        <v>408</v>
      </c>
      <c r="R569" t="s">
        <v>439</v>
      </c>
      <c r="S569" t="s">
        <v>440</v>
      </c>
      <c r="T569" t="s">
        <v>11</v>
      </c>
      <c r="U569" t="s">
        <v>408</v>
      </c>
    </row>
    <row r="570" spans="1:21" x14ac:dyDescent="0.25">
      <c r="A570">
        <v>15660948</v>
      </c>
      <c r="B570" t="s">
        <v>340</v>
      </c>
      <c r="C570" t="s">
        <v>26</v>
      </c>
      <c r="D570" t="s">
        <v>12</v>
      </c>
      <c r="E570" t="s">
        <v>732</v>
      </c>
      <c r="F570" t="s">
        <v>64</v>
      </c>
      <c r="G570" t="s">
        <v>369</v>
      </c>
      <c r="H570" t="s">
        <v>0</v>
      </c>
      <c r="I570" t="s">
        <v>436</v>
      </c>
      <c r="J570" t="s">
        <v>437</v>
      </c>
      <c r="K570" t="s">
        <v>438</v>
      </c>
      <c r="L570" t="s">
        <v>0</v>
      </c>
      <c r="M570" t="s">
        <v>408</v>
      </c>
      <c r="N570" t="s">
        <v>11</v>
      </c>
      <c r="O570" t="s">
        <v>408</v>
      </c>
      <c r="P570" t="s">
        <v>0</v>
      </c>
      <c r="Q570" t="s">
        <v>408</v>
      </c>
      <c r="R570" t="s">
        <v>439</v>
      </c>
      <c r="S570" t="s">
        <v>440</v>
      </c>
      <c r="T570" t="s">
        <v>11</v>
      </c>
      <c r="U570" t="s">
        <v>408</v>
      </c>
    </row>
    <row r="571" spans="1:21" x14ac:dyDescent="0.25">
      <c r="A571">
        <v>15660951</v>
      </c>
      <c r="B571" t="s">
        <v>340</v>
      </c>
      <c r="C571" t="s">
        <v>26</v>
      </c>
      <c r="D571" t="s">
        <v>12</v>
      </c>
      <c r="E571" t="s">
        <v>733</v>
      </c>
      <c r="F571" t="s">
        <v>237</v>
      </c>
      <c r="G571" t="s">
        <v>369</v>
      </c>
      <c r="H571" t="s">
        <v>727</v>
      </c>
      <c r="I571" t="s">
        <v>728</v>
      </c>
      <c r="J571" t="s">
        <v>729</v>
      </c>
      <c r="K571" t="s">
        <v>450</v>
      </c>
      <c r="L571" t="s">
        <v>367</v>
      </c>
      <c r="M571" t="s">
        <v>408</v>
      </c>
      <c r="N571" t="s">
        <v>11</v>
      </c>
      <c r="O571" t="s">
        <v>11</v>
      </c>
      <c r="P571" t="s">
        <v>0</v>
      </c>
      <c r="Q571" t="s">
        <v>408</v>
      </c>
      <c r="R571" t="s">
        <v>439</v>
      </c>
      <c r="S571" t="s">
        <v>451</v>
      </c>
      <c r="T571" t="s">
        <v>11</v>
      </c>
      <c r="U571" t="s">
        <v>408</v>
      </c>
    </row>
    <row r="572" spans="1:21" x14ac:dyDescent="0.25">
      <c r="A572">
        <v>15660953</v>
      </c>
      <c r="B572" t="s">
        <v>340</v>
      </c>
      <c r="C572" t="s">
        <v>26</v>
      </c>
      <c r="D572" t="s">
        <v>12</v>
      </c>
      <c r="E572" t="s">
        <v>733</v>
      </c>
      <c r="F572" t="s">
        <v>168</v>
      </c>
      <c r="G572" t="s">
        <v>369</v>
      </c>
      <c r="H572" t="s">
        <v>0</v>
      </c>
      <c r="I572" t="s">
        <v>436</v>
      </c>
      <c r="J572" t="s">
        <v>437</v>
      </c>
      <c r="K572" t="s">
        <v>438</v>
      </c>
      <c r="L572" t="s">
        <v>345</v>
      </c>
      <c r="M572" t="s">
        <v>408</v>
      </c>
      <c r="N572" t="s">
        <v>11</v>
      </c>
      <c r="O572" t="s">
        <v>11</v>
      </c>
      <c r="P572" t="s">
        <v>0</v>
      </c>
      <c r="Q572" t="s">
        <v>408</v>
      </c>
      <c r="R572" t="s">
        <v>439</v>
      </c>
      <c r="S572" t="s">
        <v>440</v>
      </c>
      <c r="T572" t="s">
        <v>11</v>
      </c>
      <c r="U572" t="s">
        <v>408</v>
      </c>
    </row>
    <row r="573" spans="1:21" x14ac:dyDescent="0.25">
      <c r="A573">
        <v>15660954</v>
      </c>
      <c r="B573" t="s">
        <v>340</v>
      </c>
      <c r="C573" t="s">
        <v>26</v>
      </c>
      <c r="D573" t="s">
        <v>12</v>
      </c>
      <c r="E573" t="s">
        <v>733</v>
      </c>
      <c r="F573" t="s">
        <v>168</v>
      </c>
      <c r="G573" t="s">
        <v>369</v>
      </c>
      <c r="H573" t="s">
        <v>0</v>
      </c>
      <c r="I573" t="s">
        <v>436</v>
      </c>
      <c r="J573" t="s">
        <v>437</v>
      </c>
      <c r="K573" t="s">
        <v>438</v>
      </c>
      <c r="L573" t="s">
        <v>0</v>
      </c>
      <c r="M573" t="s">
        <v>408</v>
      </c>
      <c r="N573" t="s">
        <v>11</v>
      </c>
      <c r="O573" t="s">
        <v>408</v>
      </c>
      <c r="P573" t="s">
        <v>0</v>
      </c>
      <c r="Q573" t="s">
        <v>408</v>
      </c>
      <c r="R573" t="s">
        <v>439</v>
      </c>
      <c r="S573" t="s">
        <v>440</v>
      </c>
      <c r="T573" t="s">
        <v>11</v>
      </c>
      <c r="U573" t="s">
        <v>408</v>
      </c>
    </row>
    <row r="574" spans="1:21" x14ac:dyDescent="0.25">
      <c r="A574">
        <v>15660960</v>
      </c>
      <c r="B574" t="s">
        <v>340</v>
      </c>
      <c r="C574" t="s">
        <v>26</v>
      </c>
      <c r="D574" t="s">
        <v>12</v>
      </c>
      <c r="E574" t="s">
        <v>733</v>
      </c>
      <c r="F574" t="s">
        <v>237</v>
      </c>
      <c r="G574" t="s">
        <v>369</v>
      </c>
      <c r="H574" t="s">
        <v>0</v>
      </c>
      <c r="I574" t="s">
        <v>436</v>
      </c>
      <c r="J574" t="s">
        <v>437</v>
      </c>
      <c r="K574" t="s">
        <v>438</v>
      </c>
      <c r="L574" t="s">
        <v>345</v>
      </c>
      <c r="M574" t="s">
        <v>408</v>
      </c>
      <c r="N574" t="s">
        <v>11</v>
      </c>
      <c r="O574" t="s">
        <v>11</v>
      </c>
      <c r="P574" t="s">
        <v>0</v>
      </c>
      <c r="Q574" t="s">
        <v>408</v>
      </c>
      <c r="R574" t="s">
        <v>439</v>
      </c>
      <c r="S574" t="s">
        <v>440</v>
      </c>
      <c r="T574" t="s">
        <v>11</v>
      </c>
      <c r="U574" t="s">
        <v>408</v>
      </c>
    </row>
    <row r="575" spans="1:21" x14ac:dyDescent="0.25">
      <c r="A575">
        <v>15660962</v>
      </c>
      <c r="B575" t="s">
        <v>340</v>
      </c>
      <c r="C575" t="s">
        <v>26</v>
      </c>
      <c r="D575" t="s">
        <v>12</v>
      </c>
      <c r="E575" t="s">
        <v>733</v>
      </c>
      <c r="F575" t="s">
        <v>237</v>
      </c>
      <c r="G575" t="s">
        <v>369</v>
      </c>
      <c r="H575" t="s">
        <v>0</v>
      </c>
      <c r="I575" t="s">
        <v>436</v>
      </c>
      <c r="J575" t="s">
        <v>437</v>
      </c>
      <c r="K575" t="s">
        <v>438</v>
      </c>
      <c r="L575" t="s">
        <v>4</v>
      </c>
      <c r="M575" t="s">
        <v>408</v>
      </c>
      <c r="N575" t="s">
        <v>11</v>
      </c>
      <c r="O575" t="s">
        <v>11</v>
      </c>
      <c r="P575" t="s">
        <v>0</v>
      </c>
      <c r="Q575" t="s">
        <v>408</v>
      </c>
      <c r="R575" t="s">
        <v>439</v>
      </c>
      <c r="S575" t="s">
        <v>440</v>
      </c>
      <c r="T575" t="s">
        <v>11</v>
      </c>
      <c r="U575" t="s">
        <v>408</v>
      </c>
    </row>
    <row r="576" spans="1:21" x14ac:dyDescent="0.25">
      <c r="A576">
        <v>15660965</v>
      </c>
      <c r="B576" t="s">
        <v>340</v>
      </c>
      <c r="C576" t="s">
        <v>26</v>
      </c>
      <c r="D576" t="s">
        <v>12</v>
      </c>
      <c r="E576" t="s">
        <v>732</v>
      </c>
      <c r="F576" t="s">
        <v>39</v>
      </c>
      <c r="G576" t="s">
        <v>369</v>
      </c>
      <c r="H576" t="s">
        <v>370</v>
      </c>
      <c r="I576" t="s">
        <v>721</v>
      </c>
      <c r="J576" t="s">
        <v>455</v>
      </c>
      <c r="K576" t="s">
        <v>453</v>
      </c>
      <c r="L576" t="s">
        <v>0</v>
      </c>
      <c r="M576" t="s">
        <v>408</v>
      </c>
      <c r="N576" t="s">
        <v>11</v>
      </c>
      <c r="O576" t="s">
        <v>11</v>
      </c>
      <c r="P576" t="s">
        <v>0</v>
      </c>
      <c r="Q576" t="s">
        <v>408</v>
      </c>
      <c r="R576" t="s">
        <v>439</v>
      </c>
      <c r="S576" t="s">
        <v>451</v>
      </c>
      <c r="T576" t="s">
        <v>11</v>
      </c>
      <c r="U576" t="s">
        <v>408</v>
      </c>
    </row>
    <row r="577" spans="1:21" x14ac:dyDescent="0.25">
      <c r="A577">
        <v>15660967</v>
      </c>
      <c r="B577" t="s">
        <v>340</v>
      </c>
      <c r="C577" t="s">
        <v>26</v>
      </c>
      <c r="D577" t="s">
        <v>12</v>
      </c>
      <c r="E577" t="s">
        <v>732</v>
      </c>
      <c r="F577" t="s">
        <v>64</v>
      </c>
      <c r="G577" t="s">
        <v>369</v>
      </c>
      <c r="H577" t="s">
        <v>5</v>
      </c>
      <c r="I577" t="s">
        <v>436</v>
      </c>
      <c r="J577" t="s">
        <v>446</v>
      </c>
      <c r="K577" t="s">
        <v>438</v>
      </c>
      <c r="L577" t="s">
        <v>2</v>
      </c>
      <c r="M577" t="s">
        <v>408</v>
      </c>
      <c r="N577" t="s">
        <v>11</v>
      </c>
      <c r="O577" t="s">
        <v>11</v>
      </c>
      <c r="P577" t="s">
        <v>0</v>
      </c>
      <c r="Q577" t="s">
        <v>408</v>
      </c>
      <c r="R577" t="s">
        <v>439</v>
      </c>
      <c r="S577" t="s">
        <v>440</v>
      </c>
      <c r="T577" t="s">
        <v>11</v>
      </c>
      <c r="U577" t="s">
        <v>408</v>
      </c>
    </row>
    <row r="578" spans="1:21" x14ac:dyDescent="0.25">
      <c r="A578">
        <v>15660969</v>
      </c>
      <c r="B578" t="s">
        <v>340</v>
      </c>
      <c r="C578" t="s">
        <v>26</v>
      </c>
      <c r="D578" t="s">
        <v>12</v>
      </c>
      <c r="E578" t="s">
        <v>732</v>
      </c>
      <c r="F578" t="s">
        <v>64</v>
      </c>
      <c r="G578" t="s">
        <v>369</v>
      </c>
      <c r="H578" t="s">
        <v>370</v>
      </c>
      <c r="I578" t="s">
        <v>721</v>
      </c>
      <c r="J578" t="s">
        <v>455</v>
      </c>
      <c r="K578" t="s">
        <v>453</v>
      </c>
      <c r="L578" t="s">
        <v>367</v>
      </c>
      <c r="M578" t="s">
        <v>408</v>
      </c>
      <c r="N578" t="s">
        <v>11</v>
      </c>
      <c r="O578" t="s">
        <v>11</v>
      </c>
      <c r="P578" t="s">
        <v>0</v>
      </c>
      <c r="Q578" t="s">
        <v>408</v>
      </c>
      <c r="R578" t="s">
        <v>439</v>
      </c>
      <c r="S578" t="s">
        <v>451</v>
      </c>
      <c r="T578" t="s">
        <v>11</v>
      </c>
      <c r="U578" t="s">
        <v>408</v>
      </c>
    </row>
    <row r="579" spans="1:21" x14ac:dyDescent="0.25">
      <c r="A579">
        <v>15660971</v>
      </c>
      <c r="B579" t="s">
        <v>340</v>
      </c>
      <c r="C579" t="s">
        <v>26</v>
      </c>
      <c r="D579" t="s">
        <v>12</v>
      </c>
      <c r="E579" t="s">
        <v>732</v>
      </c>
      <c r="F579" t="s">
        <v>64</v>
      </c>
      <c r="G579" t="s">
        <v>369</v>
      </c>
      <c r="H579" t="s">
        <v>2</v>
      </c>
      <c r="I579" t="s">
        <v>436</v>
      </c>
      <c r="J579" t="s">
        <v>443</v>
      </c>
      <c r="K579" t="s">
        <v>444</v>
      </c>
      <c r="L579" t="s">
        <v>5</v>
      </c>
      <c r="M579" t="s">
        <v>408</v>
      </c>
      <c r="N579" t="s">
        <v>11</v>
      </c>
      <c r="O579" t="s">
        <v>11</v>
      </c>
      <c r="P579" t="s">
        <v>0</v>
      </c>
      <c r="Q579" t="s">
        <v>408</v>
      </c>
      <c r="R579" t="s">
        <v>439</v>
      </c>
      <c r="S579" t="s">
        <v>440</v>
      </c>
      <c r="T579" t="s">
        <v>11</v>
      </c>
      <c r="U579" t="s">
        <v>408</v>
      </c>
    </row>
    <row r="580" spans="1:21" x14ac:dyDescent="0.25">
      <c r="A580">
        <v>15660975</v>
      </c>
      <c r="B580" t="s">
        <v>340</v>
      </c>
      <c r="C580" t="s">
        <v>26</v>
      </c>
      <c r="D580" t="s">
        <v>12</v>
      </c>
      <c r="E580" t="s">
        <v>732</v>
      </c>
      <c r="F580" t="s">
        <v>122</v>
      </c>
      <c r="G580" t="s">
        <v>369</v>
      </c>
      <c r="H580" t="s">
        <v>1</v>
      </c>
      <c r="I580" t="s">
        <v>469</v>
      </c>
      <c r="J580" t="s">
        <v>445</v>
      </c>
      <c r="K580" t="s">
        <v>438</v>
      </c>
      <c r="L580" t="s">
        <v>2</v>
      </c>
      <c r="M580" t="s">
        <v>408</v>
      </c>
      <c r="N580" t="s">
        <v>11</v>
      </c>
      <c r="O580" t="s">
        <v>11</v>
      </c>
      <c r="P580" t="s">
        <v>0</v>
      </c>
      <c r="Q580" t="s">
        <v>408</v>
      </c>
      <c r="R580" t="s">
        <v>439</v>
      </c>
      <c r="S580" t="s">
        <v>440</v>
      </c>
      <c r="T580" t="s">
        <v>11</v>
      </c>
      <c r="U580" t="s">
        <v>408</v>
      </c>
    </row>
    <row r="581" spans="1:21" x14ac:dyDescent="0.25">
      <c r="A581">
        <v>15660977</v>
      </c>
      <c r="B581" t="s">
        <v>340</v>
      </c>
      <c r="C581" t="s">
        <v>26</v>
      </c>
      <c r="D581" t="s">
        <v>12</v>
      </c>
      <c r="E581" t="s">
        <v>732</v>
      </c>
      <c r="F581" t="s">
        <v>64</v>
      </c>
      <c r="G581" t="s">
        <v>369</v>
      </c>
      <c r="H581" t="s">
        <v>0</v>
      </c>
      <c r="I581" t="s">
        <v>436</v>
      </c>
      <c r="J581" t="s">
        <v>437</v>
      </c>
      <c r="K581" t="s">
        <v>438</v>
      </c>
      <c r="L581" t="s">
        <v>345</v>
      </c>
      <c r="M581" t="s">
        <v>408</v>
      </c>
      <c r="N581" t="s">
        <v>11</v>
      </c>
      <c r="O581" t="s">
        <v>11</v>
      </c>
      <c r="P581" t="s">
        <v>0</v>
      </c>
      <c r="Q581" t="s">
        <v>408</v>
      </c>
      <c r="R581" t="s">
        <v>439</v>
      </c>
      <c r="S581" t="s">
        <v>440</v>
      </c>
      <c r="T581" t="s">
        <v>11</v>
      </c>
      <c r="U581" t="s">
        <v>408</v>
      </c>
    </row>
    <row r="582" spans="1:21" x14ac:dyDescent="0.25">
      <c r="A582">
        <v>15660978</v>
      </c>
      <c r="B582" t="s">
        <v>340</v>
      </c>
      <c r="C582" t="s">
        <v>26</v>
      </c>
      <c r="D582" t="s">
        <v>12</v>
      </c>
      <c r="E582" t="s">
        <v>733</v>
      </c>
      <c r="F582" t="s">
        <v>237</v>
      </c>
      <c r="G582" t="s">
        <v>369</v>
      </c>
      <c r="H582" t="s">
        <v>1</v>
      </c>
      <c r="I582" t="s">
        <v>469</v>
      </c>
      <c r="J582" t="s">
        <v>445</v>
      </c>
      <c r="K582" t="s">
        <v>438</v>
      </c>
      <c r="L582" t="s">
        <v>0</v>
      </c>
      <c r="M582" t="s">
        <v>408</v>
      </c>
      <c r="N582" t="s">
        <v>11</v>
      </c>
      <c r="O582" t="s">
        <v>11</v>
      </c>
      <c r="P582" t="s">
        <v>0</v>
      </c>
      <c r="Q582" t="s">
        <v>408</v>
      </c>
      <c r="R582" t="s">
        <v>439</v>
      </c>
      <c r="S582" t="s">
        <v>440</v>
      </c>
      <c r="T582" t="s">
        <v>11</v>
      </c>
      <c r="U582" t="s">
        <v>408</v>
      </c>
    </row>
    <row r="583" spans="1:21" x14ac:dyDescent="0.25">
      <c r="A583">
        <v>15660979</v>
      </c>
      <c r="B583" t="s">
        <v>340</v>
      </c>
      <c r="C583" t="s">
        <v>26</v>
      </c>
      <c r="D583" t="s">
        <v>18</v>
      </c>
      <c r="E583" t="s">
        <v>620</v>
      </c>
      <c r="F583" t="s">
        <v>119</v>
      </c>
      <c r="G583" t="s">
        <v>369</v>
      </c>
      <c r="H583" t="s">
        <v>370</v>
      </c>
      <c r="I583" t="s">
        <v>721</v>
      </c>
      <c r="J583" t="s">
        <v>455</v>
      </c>
      <c r="K583" t="s">
        <v>453</v>
      </c>
      <c r="L583" t="s">
        <v>367</v>
      </c>
      <c r="M583" t="s">
        <v>408</v>
      </c>
      <c r="N583" t="s">
        <v>11</v>
      </c>
      <c r="O583" t="s">
        <v>11</v>
      </c>
      <c r="P583" t="s">
        <v>0</v>
      </c>
      <c r="Q583" t="s">
        <v>408</v>
      </c>
      <c r="R583" t="s">
        <v>439</v>
      </c>
      <c r="S583" t="s">
        <v>451</v>
      </c>
      <c r="T583" t="s">
        <v>11</v>
      </c>
      <c r="U583" t="s">
        <v>408</v>
      </c>
    </row>
    <row r="584" spans="1:21" x14ac:dyDescent="0.25">
      <c r="A584">
        <v>15660983</v>
      </c>
      <c r="B584" t="s">
        <v>340</v>
      </c>
      <c r="C584" t="s">
        <v>26</v>
      </c>
      <c r="D584" t="s">
        <v>12</v>
      </c>
      <c r="E584" t="s">
        <v>733</v>
      </c>
      <c r="F584" t="s">
        <v>239</v>
      </c>
      <c r="G584" t="s">
        <v>369</v>
      </c>
      <c r="H584" t="s">
        <v>0</v>
      </c>
      <c r="I584" t="s">
        <v>436</v>
      </c>
      <c r="J584" t="s">
        <v>437</v>
      </c>
      <c r="K584" t="s">
        <v>438</v>
      </c>
      <c r="L584" t="s">
        <v>1</v>
      </c>
      <c r="M584" t="s">
        <v>408</v>
      </c>
      <c r="N584" t="s">
        <v>11</v>
      </c>
      <c r="O584" t="s">
        <v>11</v>
      </c>
      <c r="P584" t="s">
        <v>0</v>
      </c>
      <c r="Q584" t="s">
        <v>408</v>
      </c>
      <c r="R584" t="s">
        <v>439</v>
      </c>
      <c r="S584" t="s">
        <v>440</v>
      </c>
      <c r="T584" t="s">
        <v>11</v>
      </c>
      <c r="U584" t="s">
        <v>408</v>
      </c>
    </row>
    <row r="585" spans="1:21" x14ac:dyDescent="0.25">
      <c r="A585">
        <v>15660986</v>
      </c>
      <c r="B585" t="s">
        <v>340</v>
      </c>
      <c r="C585" t="s">
        <v>26</v>
      </c>
      <c r="D585" t="s">
        <v>12</v>
      </c>
      <c r="E585" t="s">
        <v>733</v>
      </c>
      <c r="F585" t="s">
        <v>237</v>
      </c>
      <c r="G585" t="s">
        <v>369</v>
      </c>
      <c r="H585" t="s">
        <v>727</v>
      </c>
      <c r="I585" t="s">
        <v>728</v>
      </c>
      <c r="J585" t="s">
        <v>729</v>
      </c>
      <c r="K585" t="s">
        <v>450</v>
      </c>
      <c r="L585" t="s">
        <v>367</v>
      </c>
      <c r="M585" t="s">
        <v>408</v>
      </c>
      <c r="N585" t="s">
        <v>11</v>
      </c>
      <c r="O585" t="s">
        <v>11</v>
      </c>
      <c r="P585" t="s">
        <v>0</v>
      </c>
      <c r="Q585" t="s">
        <v>408</v>
      </c>
      <c r="R585" t="s">
        <v>439</v>
      </c>
      <c r="S585" t="s">
        <v>451</v>
      </c>
      <c r="T585" t="s">
        <v>11</v>
      </c>
      <c r="U585" t="s">
        <v>408</v>
      </c>
    </row>
    <row r="586" spans="1:21" x14ac:dyDescent="0.25">
      <c r="A586">
        <v>15660990</v>
      </c>
      <c r="B586" t="s">
        <v>340</v>
      </c>
      <c r="C586" t="s">
        <v>26</v>
      </c>
      <c r="D586" t="s">
        <v>18</v>
      </c>
      <c r="E586" t="s">
        <v>620</v>
      </c>
      <c r="F586" t="s">
        <v>119</v>
      </c>
      <c r="G586" t="s">
        <v>369</v>
      </c>
      <c r="H586" t="s">
        <v>2</v>
      </c>
      <c r="I586" t="s">
        <v>436</v>
      </c>
      <c r="J586" t="s">
        <v>443</v>
      </c>
      <c r="K586" t="s">
        <v>444</v>
      </c>
      <c r="L586" t="s">
        <v>345</v>
      </c>
      <c r="M586" t="s">
        <v>408</v>
      </c>
      <c r="N586" t="s">
        <v>11</v>
      </c>
      <c r="O586" t="s">
        <v>11</v>
      </c>
      <c r="P586" t="s">
        <v>347</v>
      </c>
      <c r="Q586" t="s">
        <v>408</v>
      </c>
      <c r="R586" t="s">
        <v>439</v>
      </c>
      <c r="S586" t="s">
        <v>440</v>
      </c>
      <c r="T586" t="s">
        <v>11</v>
      </c>
      <c r="U586" t="s">
        <v>408</v>
      </c>
    </row>
    <row r="587" spans="1:21" x14ac:dyDescent="0.25">
      <c r="A587">
        <v>15660994</v>
      </c>
      <c r="B587" t="s">
        <v>340</v>
      </c>
      <c r="C587" t="s">
        <v>26</v>
      </c>
      <c r="D587" t="s">
        <v>18</v>
      </c>
      <c r="E587" t="s">
        <v>620</v>
      </c>
      <c r="F587" t="s">
        <v>119</v>
      </c>
      <c r="G587" t="s">
        <v>369</v>
      </c>
      <c r="H587" t="s">
        <v>2</v>
      </c>
      <c r="I587" t="s">
        <v>436</v>
      </c>
      <c r="J587" t="s">
        <v>443</v>
      </c>
      <c r="K587" t="s">
        <v>444</v>
      </c>
      <c r="L587" t="s">
        <v>345</v>
      </c>
      <c r="M587" t="s">
        <v>408</v>
      </c>
      <c r="N587" t="s">
        <v>11</v>
      </c>
      <c r="O587" t="s">
        <v>11</v>
      </c>
      <c r="P587" t="s">
        <v>347</v>
      </c>
      <c r="Q587" t="s">
        <v>408</v>
      </c>
      <c r="R587" t="s">
        <v>439</v>
      </c>
      <c r="S587" t="s">
        <v>440</v>
      </c>
      <c r="T587" t="s">
        <v>11</v>
      </c>
      <c r="U587" t="s">
        <v>408</v>
      </c>
    </row>
    <row r="588" spans="1:21" x14ac:dyDescent="0.25">
      <c r="A588">
        <v>15660995</v>
      </c>
      <c r="B588" t="s">
        <v>340</v>
      </c>
      <c r="C588" t="s">
        <v>26</v>
      </c>
      <c r="D588" t="s">
        <v>12</v>
      </c>
      <c r="E588" t="s">
        <v>733</v>
      </c>
      <c r="F588" t="s">
        <v>237</v>
      </c>
      <c r="G588" t="s">
        <v>369</v>
      </c>
      <c r="H588" t="s">
        <v>0</v>
      </c>
      <c r="I588" t="s">
        <v>436</v>
      </c>
      <c r="J588" t="s">
        <v>437</v>
      </c>
      <c r="K588" t="s">
        <v>438</v>
      </c>
      <c r="L588" t="s">
        <v>1</v>
      </c>
      <c r="M588" t="s">
        <v>408</v>
      </c>
      <c r="N588" t="s">
        <v>11</v>
      </c>
      <c r="O588" t="s">
        <v>11</v>
      </c>
      <c r="P588" t="s">
        <v>347</v>
      </c>
      <c r="Q588" t="s">
        <v>408</v>
      </c>
      <c r="R588" t="s">
        <v>439</v>
      </c>
      <c r="S588" t="s">
        <v>440</v>
      </c>
      <c r="T588" t="s">
        <v>11</v>
      </c>
      <c r="U588" t="s">
        <v>408</v>
      </c>
    </row>
    <row r="589" spans="1:21" x14ac:dyDescent="0.25">
      <c r="A589">
        <v>15660998</v>
      </c>
      <c r="B589" t="s">
        <v>340</v>
      </c>
      <c r="C589" t="s">
        <v>26</v>
      </c>
      <c r="D589" t="s">
        <v>12</v>
      </c>
      <c r="E589" t="s">
        <v>733</v>
      </c>
      <c r="F589" t="s">
        <v>237</v>
      </c>
      <c r="G589" t="s">
        <v>369</v>
      </c>
      <c r="H589" t="s">
        <v>0</v>
      </c>
      <c r="I589" t="s">
        <v>436</v>
      </c>
      <c r="J589" t="s">
        <v>437</v>
      </c>
      <c r="K589" t="s">
        <v>438</v>
      </c>
      <c r="L589" t="s">
        <v>9</v>
      </c>
      <c r="M589" t="s">
        <v>408</v>
      </c>
      <c r="N589" t="s">
        <v>11</v>
      </c>
      <c r="O589" t="s">
        <v>11</v>
      </c>
      <c r="P589" t="s">
        <v>347</v>
      </c>
      <c r="Q589" t="s">
        <v>408</v>
      </c>
      <c r="R589" t="s">
        <v>439</v>
      </c>
      <c r="S589" t="s">
        <v>440</v>
      </c>
      <c r="T589" t="s">
        <v>11</v>
      </c>
      <c r="U589" t="s">
        <v>408</v>
      </c>
    </row>
    <row r="590" spans="1:21" x14ac:dyDescent="0.25">
      <c r="A590">
        <v>15661010</v>
      </c>
      <c r="B590" t="s">
        <v>340</v>
      </c>
      <c r="C590" t="s">
        <v>26</v>
      </c>
      <c r="D590" t="s">
        <v>12</v>
      </c>
      <c r="E590" t="s">
        <v>732</v>
      </c>
      <c r="F590" t="s">
        <v>122</v>
      </c>
      <c r="G590" t="s">
        <v>369</v>
      </c>
      <c r="H590" t="s">
        <v>1</v>
      </c>
      <c r="I590" t="s">
        <v>469</v>
      </c>
      <c r="J590" t="s">
        <v>445</v>
      </c>
      <c r="K590" t="s">
        <v>438</v>
      </c>
      <c r="L590" t="s">
        <v>2</v>
      </c>
      <c r="M590" t="s">
        <v>408</v>
      </c>
      <c r="N590" t="s">
        <v>11</v>
      </c>
      <c r="O590" t="s">
        <v>11</v>
      </c>
      <c r="P590" t="s">
        <v>347</v>
      </c>
      <c r="Q590" t="s">
        <v>408</v>
      </c>
      <c r="R590" t="s">
        <v>439</v>
      </c>
      <c r="S590" t="s">
        <v>440</v>
      </c>
      <c r="T590" t="s">
        <v>11</v>
      </c>
      <c r="U590" t="s">
        <v>408</v>
      </c>
    </row>
    <row r="591" spans="1:21" x14ac:dyDescent="0.25">
      <c r="A591">
        <v>15661014</v>
      </c>
      <c r="B591" t="s">
        <v>340</v>
      </c>
      <c r="C591" t="s">
        <v>26</v>
      </c>
      <c r="D591" t="s">
        <v>18</v>
      </c>
      <c r="E591" t="s">
        <v>733</v>
      </c>
      <c r="F591" t="s">
        <v>168</v>
      </c>
      <c r="G591" t="s">
        <v>369</v>
      </c>
      <c r="H591" t="s">
        <v>0</v>
      </c>
      <c r="I591" t="s">
        <v>436</v>
      </c>
      <c r="J591" t="s">
        <v>437</v>
      </c>
      <c r="K591" t="s">
        <v>438</v>
      </c>
      <c r="L591" t="s">
        <v>4</v>
      </c>
      <c r="M591" t="s">
        <v>408</v>
      </c>
      <c r="N591" t="s">
        <v>11</v>
      </c>
      <c r="O591" t="s">
        <v>11</v>
      </c>
      <c r="P591" t="s">
        <v>347</v>
      </c>
      <c r="Q591" t="s">
        <v>408</v>
      </c>
      <c r="R591" t="s">
        <v>439</v>
      </c>
      <c r="S591" t="s">
        <v>440</v>
      </c>
      <c r="T591" t="s">
        <v>11</v>
      </c>
      <c r="U591" t="s">
        <v>408</v>
      </c>
    </row>
    <row r="592" spans="1:21" x14ac:dyDescent="0.25">
      <c r="A592">
        <v>15661059</v>
      </c>
      <c r="B592" t="s">
        <v>340</v>
      </c>
      <c r="C592" t="s">
        <v>26</v>
      </c>
      <c r="D592" t="s">
        <v>12</v>
      </c>
      <c r="E592" t="s">
        <v>733</v>
      </c>
      <c r="F592" t="s">
        <v>237</v>
      </c>
      <c r="G592" t="s">
        <v>369</v>
      </c>
      <c r="H592" t="s">
        <v>0</v>
      </c>
      <c r="I592" t="s">
        <v>436</v>
      </c>
      <c r="J592" t="s">
        <v>437</v>
      </c>
      <c r="K592" t="s">
        <v>438</v>
      </c>
      <c r="L592" t="s">
        <v>4</v>
      </c>
      <c r="M592" t="s">
        <v>408</v>
      </c>
      <c r="N592" t="s">
        <v>11</v>
      </c>
      <c r="O592" t="s">
        <v>11</v>
      </c>
      <c r="P592" t="s">
        <v>0</v>
      </c>
      <c r="Q592" t="s">
        <v>408</v>
      </c>
      <c r="R592" t="s">
        <v>439</v>
      </c>
      <c r="S592" t="s">
        <v>440</v>
      </c>
      <c r="T592" t="s">
        <v>11</v>
      </c>
      <c r="U592" t="s">
        <v>408</v>
      </c>
    </row>
    <row r="593" spans="1:21" x14ac:dyDescent="0.25">
      <c r="A593">
        <v>15661060</v>
      </c>
      <c r="B593" t="s">
        <v>340</v>
      </c>
      <c r="C593" t="s">
        <v>26</v>
      </c>
      <c r="D593" t="s">
        <v>12</v>
      </c>
      <c r="E593" t="s">
        <v>620</v>
      </c>
      <c r="F593" t="s">
        <v>119</v>
      </c>
      <c r="G593" t="s">
        <v>369</v>
      </c>
      <c r="H593" t="s">
        <v>0</v>
      </c>
      <c r="I593" t="s">
        <v>436</v>
      </c>
      <c r="J593" t="s">
        <v>437</v>
      </c>
      <c r="K593" t="s">
        <v>438</v>
      </c>
      <c r="L593" t="s">
        <v>1</v>
      </c>
      <c r="M593" t="s">
        <v>408</v>
      </c>
      <c r="N593" t="s">
        <v>11</v>
      </c>
      <c r="O593" t="s">
        <v>11</v>
      </c>
      <c r="P593" t="s">
        <v>0</v>
      </c>
      <c r="Q593" t="s">
        <v>408</v>
      </c>
      <c r="R593" t="s">
        <v>439</v>
      </c>
      <c r="S593" t="s">
        <v>440</v>
      </c>
      <c r="T593" t="s">
        <v>11</v>
      </c>
      <c r="U593" t="s">
        <v>408</v>
      </c>
    </row>
    <row r="594" spans="1:21" x14ac:dyDescent="0.25">
      <c r="A594">
        <v>15661061</v>
      </c>
      <c r="B594" t="s">
        <v>340</v>
      </c>
      <c r="C594" t="s">
        <v>26</v>
      </c>
      <c r="D594" t="s">
        <v>12</v>
      </c>
      <c r="E594" t="s">
        <v>732</v>
      </c>
      <c r="F594" t="s">
        <v>120</v>
      </c>
      <c r="G594" t="s">
        <v>369</v>
      </c>
      <c r="H594" t="s">
        <v>5</v>
      </c>
      <c r="I594" t="s">
        <v>436</v>
      </c>
      <c r="J594" t="s">
        <v>446</v>
      </c>
      <c r="K594" t="s">
        <v>438</v>
      </c>
      <c r="L594" t="s">
        <v>2</v>
      </c>
      <c r="M594" t="s">
        <v>408</v>
      </c>
      <c r="N594" t="s">
        <v>11</v>
      </c>
      <c r="O594" t="s">
        <v>11</v>
      </c>
      <c r="P594" t="s">
        <v>0</v>
      </c>
      <c r="Q594" t="s">
        <v>408</v>
      </c>
      <c r="R594" t="s">
        <v>439</v>
      </c>
      <c r="S594" t="s">
        <v>440</v>
      </c>
      <c r="T594" t="s">
        <v>11</v>
      </c>
      <c r="U594" t="s">
        <v>408</v>
      </c>
    </row>
    <row r="595" spans="1:21" x14ac:dyDescent="0.25">
      <c r="A595">
        <v>15661063</v>
      </c>
      <c r="B595" t="s">
        <v>340</v>
      </c>
      <c r="C595" t="s">
        <v>26</v>
      </c>
      <c r="D595" t="s">
        <v>12</v>
      </c>
      <c r="E595" t="s">
        <v>732</v>
      </c>
      <c r="F595" t="s">
        <v>64</v>
      </c>
      <c r="G595" t="s">
        <v>369</v>
      </c>
      <c r="H595" t="s">
        <v>0</v>
      </c>
      <c r="I595" t="s">
        <v>436</v>
      </c>
      <c r="J595" t="s">
        <v>437</v>
      </c>
      <c r="K595" t="s">
        <v>438</v>
      </c>
      <c r="L595" t="s">
        <v>1</v>
      </c>
      <c r="M595" t="s">
        <v>408</v>
      </c>
      <c r="N595" t="s">
        <v>11</v>
      </c>
      <c r="O595" t="s">
        <v>408</v>
      </c>
      <c r="P595" t="s">
        <v>0</v>
      </c>
      <c r="Q595" t="s">
        <v>408</v>
      </c>
      <c r="R595" t="s">
        <v>439</v>
      </c>
      <c r="S595" t="s">
        <v>440</v>
      </c>
      <c r="T595" t="s">
        <v>11</v>
      </c>
      <c r="U595" t="s">
        <v>408</v>
      </c>
    </row>
    <row r="596" spans="1:21" x14ac:dyDescent="0.25">
      <c r="A596">
        <v>15661069</v>
      </c>
      <c r="B596" t="s">
        <v>340</v>
      </c>
      <c r="C596" t="s">
        <v>26</v>
      </c>
      <c r="D596" t="s">
        <v>12</v>
      </c>
      <c r="E596" t="s">
        <v>620</v>
      </c>
      <c r="F596" t="s">
        <v>121</v>
      </c>
      <c r="G596" t="s">
        <v>369</v>
      </c>
      <c r="H596" t="s">
        <v>0</v>
      </c>
      <c r="I596" t="s">
        <v>436</v>
      </c>
      <c r="J596" t="s">
        <v>437</v>
      </c>
      <c r="K596" t="s">
        <v>438</v>
      </c>
      <c r="L596" t="s">
        <v>345</v>
      </c>
      <c r="M596" t="s">
        <v>408</v>
      </c>
      <c r="N596" t="s">
        <v>11</v>
      </c>
      <c r="O596" t="s">
        <v>11</v>
      </c>
      <c r="P596" t="s">
        <v>0</v>
      </c>
      <c r="Q596" t="s">
        <v>408</v>
      </c>
      <c r="R596" t="s">
        <v>439</v>
      </c>
      <c r="S596" t="s">
        <v>440</v>
      </c>
      <c r="T596" t="s">
        <v>11</v>
      </c>
      <c r="U596" t="s">
        <v>408</v>
      </c>
    </row>
    <row r="597" spans="1:21" x14ac:dyDescent="0.25">
      <c r="A597">
        <v>15661072</v>
      </c>
      <c r="B597" t="s">
        <v>340</v>
      </c>
      <c r="C597" t="s">
        <v>26</v>
      </c>
      <c r="D597" t="s">
        <v>12</v>
      </c>
      <c r="E597" t="s">
        <v>620</v>
      </c>
      <c r="F597" t="s">
        <v>65</v>
      </c>
      <c r="G597" t="s">
        <v>369</v>
      </c>
      <c r="H597" t="s">
        <v>1</v>
      </c>
      <c r="I597" t="s">
        <v>469</v>
      </c>
      <c r="J597" t="s">
        <v>445</v>
      </c>
      <c r="K597" t="s">
        <v>438</v>
      </c>
      <c r="L597" t="s">
        <v>2</v>
      </c>
      <c r="M597" t="s">
        <v>408</v>
      </c>
      <c r="N597" t="s">
        <v>11</v>
      </c>
      <c r="O597" t="s">
        <v>11</v>
      </c>
      <c r="P597" t="s">
        <v>0</v>
      </c>
      <c r="Q597" t="s">
        <v>408</v>
      </c>
      <c r="R597" t="s">
        <v>439</v>
      </c>
      <c r="S597" t="s">
        <v>440</v>
      </c>
      <c r="T597" t="s">
        <v>11</v>
      </c>
      <c r="U597" t="s">
        <v>408</v>
      </c>
    </row>
    <row r="598" spans="1:21" x14ac:dyDescent="0.25">
      <c r="A598">
        <v>15661083</v>
      </c>
      <c r="B598" t="s">
        <v>340</v>
      </c>
      <c r="C598" t="s">
        <v>26</v>
      </c>
      <c r="D598" t="s">
        <v>12</v>
      </c>
      <c r="E598" t="s">
        <v>620</v>
      </c>
      <c r="F598" t="s">
        <v>119</v>
      </c>
      <c r="G598" t="s">
        <v>369</v>
      </c>
      <c r="H598" t="s">
        <v>0</v>
      </c>
      <c r="I598" t="s">
        <v>436</v>
      </c>
      <c r="J598" t="s">
        <v>437</v>
      </c>
      <c r="K598" t="s">
        <v>438</v>
      </c>
      <c r="L598" t="s">
        <v>4</v>
      </c>
      <c r="M598" t="s">
        <v>408</v>
      </c>
      <c r="N598" t="s">
        <v>11</v>
      </c>
      <c r="O598" t="s">
        <v>11</v>
      </c>
      <c r="P598" t="s">
        <v>0</v>
      </c>
      <c r="Q598" t="s">
        <v>408</v>
      </c>
      <c r="R598" t="s">
        <v>439</v>
      </c>
      <c r="S598" t="s">
        <v>440</v>
      </c>
      <c r="T598" t="s">
        <v>11</v>
      </c>
      <c r="U598" t="s">
        <v>408</v>
      </c>
    </row>
    <row r="599" spans="1:21" x14ac:dyDescent="0.25">
      <c r="A599">
        <v>15661090</v>
      </c>
      <c r="B599" t="s">
        <v>340</v>
      </c>
      <c r="C599" t="s">
        <v>26</v>
      </c>
      <c r="D599" t="s">
        <v>18</v>
      </c>
      <c r="E599" t="s">
        <v>732</v>
      </c>
      <c r="F599" t="s">
        <v>122</v>
      </c>
      <c r="G599" t="s">
        <v>369</v>
      </c>
      <c r="H599" t="s">
        <v>350</v>
      </c>
      <c r="I599" t="s">
        <v>436</v>
      </c>
      <c r="J599" t="s">
        <v>566</v>
      </c>
      <c r="K599" t="s">
        <v>701</v>
      </c>
      <c r="L599" t="s">
        <v>3</v>
      </c>
      <c r="M599" t="s">
        <v>408</v>
      </c>
      <c r="N599" t="s">
        <v>11</v>
      </c>
      <c r="O599" t="s">
        <v>11</v>
      </c>
      <c r="P599" t="s">
        <v>0</v>
      </c>
      <c r="Q599" t="s">
        <v>408</v>
      </c>
      <c r="R599" t="s">
        <v>439</v>
      </c>
      <c r="S599" t="s">
        <v>440</v>
      </c>
      <c r="T599" t="s">
        <v>11</v>
      </c>
      <c r="U599" t="s">
        <v>408</v>
      </c>
    </row>
    <row r="600" spans="1:21" x14ac:dyDescent="0.25">
      <c r="A600">
        <v>15661093</v>
      </c>
      <c r="B600" t="s">
        <v>340</v>
      </c>
      <c r="C600" t="s">
        <v>26</v>
      </c>
      <c r="D600" t="s">
        <v>12</v>
      </c>
      <c r="E600" t="s">
        <v>732</v>
      </c>
      <c r="F600" t="s">
        <v>64</v>
      </c>
      <c r="G600" t="s">
        <v>369</v>
      </c>
      <c r="H600" t="s">
        <v>0</v>
      </c>
      <c r="I600" t="s">
        <v>436</v>
      </c>
      <c r="J600" t="s">
        <v>437</v>
      </c>
      <c r="K600" t="s">
        <v>438</v>
      </c>
      <c r="L600" t="s">
        <v>4</v>
      </c>
      <c r="M600" t="s">
        <v>408</v>
      </c>
      <c r="N600" t="s">
        <v>11</v>
      </c>
      <c r="O600" t="s">
        <v>11</v>
      </c>
      <c r="P600" t="s">
        <v>0</v>
      </c>
      <c r="Q600" t="s">
        <v>408</v>
      </c>
      <c r="R600" t="s">
        <v>439</v>
      </c>
      <c r="S600" t="s">
        <v>440</v>
      </c>
      <c r="T600" t="s">
        <v>11</v>
      </c>
      <c r="U600" t="s">
        <v>408</v>
      </c>
    </row>
    <row r="601" spans="1:21" x14ac:dyDescent="0.25">
      <c r="A601">
        <v>15661098</v>
      </c>
      <c r="B601" t="s">
        <v>340</v>
      </c>
      <c r="C601" t="s">
        <v>26</v>
      </c>
      <c r="D601" t="s">
        <v>12</v>
      </c>
      <c r="E601" t="s">
        <v>732</v>
      </c>
      <c r="F601" t="s">
        <v>122</v>
      </c>
      <c r="G601" t="s">
        <v>369</v>
      </c>
      <c r="H601" t="s">
        <v>0</v>
      </c>
      <c r="I601" t="s">
        <v>436</v>
      </c>
      <c r="J601" t="s">
        <v>437</v>
      </c>
      <c r="K601" t="s">
        <v>438</v>
      </c>
      <c r="L601" t="s">
        <v>4</v>
      </c>
      <c r="M601" t="s">
        <v>408</v>
      </c>
      <c r="N601" t="s">
        <v>11</v>
      </c>
      <c r="O601" t="s">
        <v>408</v>
      </c>
      <c r="P601" t="s">
        <v>0</v>
      </c>
      <c r="Q601" t="s">
        <v>408</v>
      </c>
      <c r="R601" t="s">
        <v>439</v>
      </c>
      <c r="S601" t="s">
        <v>440</v>
      </c>
      <c r="T601" t="s">
        <v>11</v>
      </c>
      <c r="U601" t="s">
        <v>408</v>
      </c>
    </row>
    <row r="602" spans="1:21" x14ac:dyDescent="0.25">
      <c r="A602">
        <v>15661107</v>
      </c>
      <c r="B602" t="s">
        <v>340</v>
      </c>
      <c r="C602" t="s">
        <v>26</v>
      </c>
      <c r="D602" t="s">
        <v>18</v>
      </c>
      <c r="E602" t="s">
        <v>620</v>
      </c>
      <c r="F602" t="s">
        <v>121</v>
      </c>
      <c r="G602" t="s">
        <v>369</v>
      </c>
      <c r="H602" t="s">
        <v>1</v>
      </c>
      <c r="I602" t="s">
        <v>469</v>
      </c>
      <c r="J602" t="s">
        <v>445</v>
      </c>
      <c r="K602" t="s">
        <v>438</v>
      </c>
      <c r="L602" t="s">
        <v>2</v>
      </c>
      <c r="M602" t="s">
        <v>408</v>
      </c>
      <c r="N602" t="s">
        <v>11</v>
      </c>
      <c r="O602" t="s">
        <v>11</v>
      </c>
      <c r="P602" t="s">
        <v>0</v>
      </c>
      <c r="Q602" t="s">
        <v>408</v>
      </c>
      <c r="R602" t="s">
        <v>439</v>
      </c>
      <c r="S602" t="s">
        <v>440</v>
      </c>
      <c r="T602" t="s">
        <v>11</v>
      </c>
      <c r="U602" t="s">
        <v>408</v>
      </c>
    </row>
    <row r="603" spans="1:21" x14ac:dyDescent="0.25">
      <c r="A603">
        <v>15661116</v>
      </c>
      <c r="B603" t="s">
        <v>340</v>
      </c>
      <c r="C603" t="s">
        <v>26</v>
      </c>
      <c r="D603" t="s">
        <v>12</v>
      </c>
      <c r="E603" t="s">
        <v>620</v>
      </c>
      <c r="F603" t="s">
        <v>121</v>
      </c>
      <c r="G603" t="s">
        <v>369</v>
      </c>
      <c r="H603" t="s">
        <v>0</v>
      </c>
      <c r="I603" t="s">
        <v>436</v>
      </c>
      <c r="J603" t="s">
        <v>437</v>
      </c>
      <c r="K603" t="s">
        <v>438</v>
      </c>
      <c r="L603" t="s">
        <v>345</v>
      </c>
      <c r="M603" t="s">
        <v>408</v>
      </c>
      <c r="N603" t="s">
        <v>11</v>
      </c>
      <c r="O603" t="s">
        <v>11</v>
      </c>
      <c r="P603" t="s">
        <v>0</v>
      </c>
      <c r="Q603" t="s">
        <v>408</v>
      </c>
      <c r="R603" t="s">
        <v>439</v>
      </c>
      <c r="S603" t="s">
        <v>440</v>
      </c>
      <c r="T603" t="s">
        <v>11</v>
      </c>
      <c r="U603" t="s">
        <v>408</v>
      </c>
    </row>
    <row r="604" spans="1:21" x14ac:dyDescent="0.25">
      <c r="A604">
        <v>15661123</v>
      </c>
      <c r="B604" t="s">
        <v>340</v>
      </c>
      <c r="C604" t="s">
        <v>26</v>
      </c>
      <c r="D604" t="s">
        <v>12</v>
      </c>
      <c r="E604" t="s">
        <v>732</v>
      </c>
      <c r="F604" t="s">
        <v>39</v>
      </c>
      <c r="G604" t="s">
        <v>369</v>
      </c>
      <c r="H604" t="s">
        <v>2</v>
      </c>
      <c r="I604" t="s">
        <v>436</v>
      </c>
      <c r="J604" t="s">
        <v>443</v>
      </c>
      <c r="K604" t="s">
        <v>444</v>
      </c>
      <c r="L604" t="s">
        <v>8</v>
      </c>
      <c r="M604" t="s">
        <v>408</v>
      </c>
      <c r="N604" t="s">
        <v>11</v>
      </c>
      <c r="O604" t="s">
        <v>11</v>
      </c>
      <c r="P604" t="s">
        <v>0</v>
      </c>
      <c r="Q604" t="s">
        <v>408</v>
      </c>
      <c r="R604" t="s">
        <v>439</v>
      </c>
      <c r="S604" t="s">
        <v>440</v>
      </c>
      <c r="T604" t="s">
        <v>11</v>
      </c>
      <c r="U604" t="s">
        <v>408</v>
      </c>
    </row>
    <row r="605" spans="1:21" x14ac:dyDescent="0.25">
      <c r="A605">
        <v>15661131</v>
      </c>
      <c r="B605" t="s">
        <v>340</v>
      </c>
      <c r="C605" t="s">
        <v>26</v>
      </c>
      <c r="D605" t="s">
        <v>12</v>
      </c>
      <c r="E605" t="s">
        <v>732</v>
      </c>
      <c r="F605" t="s">
        <v>64</v>
      </c>
      <c r="G605" t="s">
        <v>369</v>
      </c>
      <c r="H605" t="s">
        <v>1</v>
      </c>
      <c r="I605" t="s">
        <v>469</v>
      </c>
      <c r="J605" t="s">
        <v>445</v>
      </c>
      <c r="K605" t="s">
        <v>438</v>
      </c>
      <c r="L605" t="s">
        <v>2</v>
      </c>
      <c r="M605" t="s">
        <v>408</v>
      </c>
      <c r="N605" t="s">
        <v>11</v>
      </c>
      <c r="O605" t="s">
        <v>11</v>
      </c>
      <c r="P605" t="s">
        <v>0</v>
      </c>
      <c r="Q605" t="s">
        <v>408</v>
      </c>
      <c r="R605" t="s">
        <v>439</v>
      </c>
      <c r="S605" t="s">
        <v>440</v>
      </c>
      <c r="T605" t="s">
        <v>11</v>
      </c>
      <c r="U605" t="s">
        <v>408</v>
      </c>
    </row>
    <row r="606" spans="1:21" x14ac:dyDescent="0.25">
      <c r="A606">
        <v>15661133</v>
      </c>
      <c r="B606" t="s">
        <v>340</v>
      </c>
      <c r="C606" t="s">
        <v>26</v>
      </c>
      <c r="D606" t="s">
        <v>12</v>
      </c>
      <c r="E606" t="s">
        <v>527</v>
      </c>
      <c r="F606" t="s">
        <v>238</v>
      </c>
      <c r="G606" t="s">
        <v>369</v>
      </c>
      <c r="H606" t="s">
        <v>0</v>
      </c>
      <c r="I606" t="s">
        <v>436</v>
      </c>
      <c r="J606" t="s">
        <v>437</v>
      </c>
      <c r="K606" t="s">
        <v>438</v>
      </c>
      <c r="L606" t="s">
        <v>345</v>
      </c>
      <c r="M606" t="s">
        <v>408</v>
      </c>
      <c r="N606" t="s">
        <v>11</v>
      </c>
      <c r="O606" t="s">
        <v>11</v>
      </c>
      <c r="P606" t="s">
        <v>0</v>
      </c>
      <c r="Q606" t="s">
        <v>408</v>
      </c>
      <c r="R606" t="s">
        <v>439</v>
      </c>
      <c r="S606" t="s">
        <v>440</v>
      </c>
      <c r="T606" t="s">
        <v>11</v>
      </c>
      <c r="U606" t="s">
        <v>408</v>
      </c>
    </row>
    <row r="607" spans="1:21" x14ac:dyDescent="0.25">
      <c r="A607">
        <v>15661158</v>
      </c>
      <c r="B607" t="s">
        <v>340</v>
      </c>
      <c r="C607" t="s">
        <v>26</v>
      </c>
      <c r="D607" t="s">
        <v>12</v>
      </c>
      <c r="E607" t="s">
        <v>732</v>
      </c>
      <c r="F607" t="s">
        <v>120</v>
      </c>
      <c r="G607" t="s">
        <v>369</v>
      </c>
      <c r="H607" t="s">
        <v>0</v>
      </c>
      <c r="I607" t="s">
        <v>436</v>
      </c>
      <c r="J607" t="s">
        <v>437</v>
      </c>
      <c r="K607" t="s">
        <v>438</v>
      </c>
      <c r="L607" t="s">
        <v>1</v>
      </c>
      <c r="M607" t="s">
        <v>408</v>
      </c>
      <c r="N607" t="s">
        <v>11</v>
      </c>
      <c r="O607" t="s">
        <v>11</v>
      </c>
      <c r="P607" t="s">
        <v>0</v>
      </c>
      <c r="Q607" t="s">
        <v>408</v>
      </c>
      <c r="R607" t="s">
        <v>439</v>
      </c>
      <c r="S607" t="s">
        <v>440</v>
      </c>
      <c r="T607" t="s">
        <v>11</v>
      </c>
      <c r="U607" t="s">
        <v>408</v>
      </c>
    </row>
    <row r="608" spans="1:21" x14ac:dyDescent="0.25">
      <c r="A608">
        <v>15661164</v>
      </c>
      <c r="B608" t="s">
        <v>340</v>
      </c>
      <c r="C608" t="s">
        <v>26</v>
      </c>
      <c r="D608" t="s">
        <v>12</v>
      </c>
      <c r="E608" t="s">
        <v>733</v>
      </c>
      <c r="F608" t="s">
        <v>237</v>
      </c>
      <c r="G608" t="s">
        <v>369</v>
      </c>
      <c r="H608" t="s">
        <v>0</v>
      </c>
      <c r="I608" t="s">
        <v>436</v>
      </c>
      <c r="J608" t="s">
        <v>437</v>
      </c>
      <c r="K608" t="s">
        <v>438</v>
      </c>
      <c r="L608" t="s">
        <v>1</v>
      </c>
      <c r="M608" t="s">
        <v>408</v>
      </c>
      <c r="N608" t="s">
        <v>11</v>
      </c>
      <c r="O608" t="s">
        <v>11</v>
      </c>
      <c r="P608" t="s">
        <v>0</v>
      </c>
      <c r="Q608" t="s">
        <v>408</v>
      </c>
      <c r="R608" t="s">
        <v>439</v>
      </c>
      <c r="S608" t="s">
        <v>440</v>
      </c>
      <c r="T608" t="s">
        <v>11</v>
      </c>
      <c r="U608" t="s">
        <v>408</v>
      </c>
    </row>
    <row r="609" spans="1:21" x14ac:dyDescent="0.25">
      <c r="A609">
        <v>15661169</v>
      </c>
      <c r="B609" t="s">
        <v>340</v>
      </c>
      <c r="C609" t="s">
        <v>26</v>
      </c>
      <c r="D609" t="s">
        <v>18</v>
      </c>
      <c r="E609" t="s">
        <v>518</v>
      </c>
      <c r="F609" t="s">
        <v>390</v>
      </c>
      <c r="G609" t="s">
        <v>369</v>
      </c>
      <c r="H609" t="s">
        <v>350</v>
      </c>
      <c r="I609" t="s">
        <v>436</v>
      </c>
      <c r="J609" t="s">
        <v>566</v>
      </c>
      <c r="K609" t="s">
        <v>701</v>
      </c>
      <c r="L609" t="s">
        <v>3</v>
      </c>
      <c r="M609" t="s">
        <v>408</v>
      </c>
      <c r="N609" t="s">
        <v>11</v>
      </c>
      <c r="O609" t="s">
        <v>11</v>
      </c>
      <c r="P609" t="s">
        <v>0</v>
      </c>
      <c r="Q609" t="s">
        <v>408</v>
      </c>
      <c r="R609" t="s">
        <v>439</v>
      </c>
      <c r="S609" t="s">
        <v>440</v>
      </c>
      <c r="T609" t="s">
        <v>11</v>
      </c>
      <c r="U609" t="s">
        <v>408</v>
      </c>
    </row>
    <row r="610" spans="1:21" x14ac:dyDescent="0.25">
      <c r="A610">
        <v>15661173</v>
      </c>
      <c r="B610" t="s">
        <v>340</v>
      </c>
      <c r="C610" t="s">
        <v>26</v>
      </c>
      <c r="D610" t="s">
        <v>12</v>
      </c>
      <c r="E610" t="s">
        <v>732</v>
      </c>
      <c r="F610" t="s">
        <v>120</v>
      </c>
      <c r="G610" t="s">
        <v>369</v>
      </c>
      <c r="H610" t="s">
        <v>1</v>
      </c>
      <c r="I610" t="s">
        <v>469</v>
      </c>
      <c r="J610" t="s">
        <v>445</v>
      </c>
      <c r="K610" t="s">
        <v>438</v>
      </c>
      <c r="L610" t="s">
        <v>2</v>
      </c>
      <c r="M610" t="s">
        <v>408</v>
      </c>
      <c r="N610" t="s">
        <v>11</v>
      </c>
      <c r="O610" t="s">
        <v>11</v>
      </c>
      <c r="P610" t="s">
        <v>0</v>
      </c>
      <c r="Q610" t="s">
        <v>408</v>
      </c>
      <c r="R610" t="s">
        <v>439</v>
      </c>
      <c r="S610" t="s">
        <v>440</v>
      </c>
      <c r="T610" t="s">
        <v>11</v>
      </c>
      <c r="U610" t="s">
        <v>408</v>
      </c>
    </row>
    <row r="611" spans="1:21" x14ac:dyDescent="0.25">
      <c r="A611">
        <v>15661174</v>
      </c>
      <c r="B611" t="s">
        <v>340</v>
      </c>
      <c r="C611" t="s">
        <v>26</v>
      </c>
      <c r="D611" t="s">
        <v>12</v>
      </c>
      <c r="E611" t="s">
        <v>732</v>
      </c>
      <c r="F611" t="s">
        <v>120</v>
      </c>
      <c r="G611" t="s">
        <v>369</v>
      </c>
      <c r="H611" t="s">
        <v>370</v>
      </c>
      <c r="I611" t="s">
        <v>721</v>
      </c>
      <c r="J611" t="s">
        <v>455</v>
      </c>
      <c r="K611" t="s">
        <v>453</v>
      </c>
      <c r="L611" t="s">
        <v>367</v>
      </c>
      <c r="M611" t="s">
        <v>408</v>
      </c>
      <c r="N611" t="s">
        <v>11</v>
      </c>
      <c r="O611" t="s">
        <v>11</v>
      </c>
      <c r="P611" t="s">
        <v>0</v>
      </c>
      <c r="Q611" t="s">
        <v>408</v>
      </c>
      <c r="R611" t="s">
        <v>439</v>
      </c>
      <c r="S611" t="s">
        <v>451</v>
      </c>
      <c r="T611" t="s">
        <v>11</v>
      </c>
      <c r="U611" t="s">
        <v>408</v>
      </c>
    </row>
    <row r="612" spans="1:21" x14ac:dyDescent="0.25">
      <c r="A612">
        <v>15661178</v>
      </c>
      <c r="B612" t="s">
        <v>340</v>
      </c>
      <c r="C612" t="s">
        <v>26</v>
      </c>
      <c r="D612" t="s">
        <v>12</v>
      </c>
      <c r="E612" t="s">
        <v>620</v>
      </c>
      <c r="F612" t="s">
        <v>119</v>
      </c>
      <c r="G612" t="s">
        <v>369</v>
      </c>
      <c r="H612" t="s">
        <v>1</v>
      </c>
      <c r="I612" t="s">
        <v>469</v>
      </c>
      <c r="J612" t="s">
        <v>445</v>
      </c>
      <c r="K612" t="s">
        <v>438</v>
      </c>
      <c r="L612" t="s">
        <v>2</v>
      </c>
      <c r="M612" t="s">
        <v>408</v>
      </c>
      <c r="N612" t="s">
        <v>11</v>
      </c>
      <c r="O612" t="s">
        <v>11</v>
      </c>
      <c r="P612" t="s">
        <v>0</v>
      </c>
      <c r="Q612" t="s">
        <v>408</v>
      </c>
      <c r="R612" t="s">
        <v>439</v>
      </c>
      <c r="S612" t="s">
        <v>440</v>
      </c>
      <c r="T612" t="s">
        <v>11</v>
      </c>
      <c r="U612" t="s">
        <v>408</v>
      </c>
    </row>
    <row r="613" spans="1:21" x14ac:dyDescent="0.25">
      <c r="A613">
        <v>15661297</v>
      </c>
      <c r="B613" t="s">
        <v>340</v>
      </c>
      <c r="C613" t="s">
        <v>26</v>
      </c>
      <c r="D613" t="s">
        <v>12</v>
      </c>
      <c r="E613" t="s">
        <v>732</v>
      </c>
      <c r="F613" t="s">
        <v>64</v>
      </c>
      <c r="G613" t="s">
        <v>369</v>
      </c>
      <c r="H613" t="s">
        <v>6</v>
      </c>
      <c r="I613" t="s">
        <v>436</v>
      </c>
      <c r="J613" t="s">
        <v>456</v>
      </c>
      <c r="K613" t="s">
        <v>438</v>
      </c>
      <c r="L613" t="s">
        <v>7</v>
      </c>
      <c r="M613" t="s">
        <v>408</v>
      </c>
      <c r="N613" t="s">
        <v>11</v>
      </c>
      <c r="O613" t="s">
        <v>11</v>
      </c>
      <c r="P613" t="s">
        <v>2</v>
      </c>
      <c r="Q613" t="s">
        <v>408</v>
      </c>
      <c r="R613" t="s">
        <v>439</v>
      </c>
      <c r="S613" t="s">
        <v>440</v>
      </c>
      <c r="T613" t="s">
        <v>11</v>
      </c>
      <c r="U613" t="s">
        <v>408</v>
      </c>
    </row>
    <row r="614" spans="1:21" x14ac:dyDescent="0.25">
      <c r="A614">
        <v>15661298</v>
      </c>
      <c r="B614" t="s">
        <v>340</v>
      </c>
      <c r="C614" t="s">
        <v>26</v>
      </c>
      <c r="D614" t="s">
        <v>12</v>
      </c>
      <c r="E614" t="s">
        <v>620</v>
      </c>
      <c r="F614" t="s">
        <v>119</v>
      </c>
      <c r="G614" t="s">
        <v>369</v>
      </c>
      <c r="H614" t="s">
        <v>370</v>
      </c>
      <c r="I614" t="s">
        <v>721</v>
      </c>
      <c r="J614" t="s">
        <v>455</v>
      </c>
      <c r="K614" t="s">
        <v>453</v>
      </c>
      <c r="L614" t="s">
        <v>367</v>
      </c>
      <c r="M614" t="s">
        <v>408</v>
      </c>
      <c r="N614" t="s">
        <v>11</v>
      </c>
      <c r="O614" t="s">
        <v>11</v>
      </c>
      <c r="P614" t="s">
        <v>2</v>
      </c>
      <c r="Q614" t="s">
        <v>408</v>
      </c>
      <c r="R614" t="s">
        <v>439</v>
      </c>
      <c r="S614" t="s">
        <v>451</v>
      </c>
      <c r="T614" t="s">
        <v>11</v>
      </c>
      <c r="U614" t="s">
        <v>408</v>
      </c>
    </row>
    <row r="615" spans="1:21" x14ac:dyDescent="0.25">
      <c r="A615">
        <v>15661310</v>
      </c>
      <c r="B615" t="s">
        <v>340</v>
      </c>
      <c r="C615" t="s">
        <v>26</v>
      </c>
      <c r="D615" t="s">
        <v>12</v>
      </c>
      <c r="E615" t="s">
        <v>732</v>
      </c>
      <c r="F615" t="s">
        <v>122</v>
      </c>
      <c r="G615" t="s">
        <v>369</v>
      </c>
      <c r="H615" t="s">
        <v>0</v>
      </c>
      <c r="I615" t="s">
        <v>436</v>
      </c>
      <c r="J615" t="s">
        <v>437</v>
      </c>
      <c r="K615" t="s">
        <v>438</v>
      </c>
      <c r="L615" t="s">
        <v>1</v>
      </c>
      <c r="M615" t="s">
        <v>408</v>
      </c>
      <c r="N615" t="s">
        <v>11</v>
      </c>
      <c r="O615" t="s">
        <v>11</v>
      </c>
      <c r="P615" t="s">
        <v>2</v>
      </c>
      <c r="Q615" t="s">
        <v>408</v>
      </c>
      <c r="R615" t="s">
        <v>439</v>
      </c>
      <c r="S615" t="s">
        <v>440</v>
      </c>
      <c r="T615" t="s">
        <v>11</v>
      </c>
      <c r="U615" t="s">
        <v>408</v>
      </c>
    </row>
    <row r="616" spans="1:21" x14ac:dyDescent="0.25">
      <c r="A616">
        <v>15661311</v>
      </c>
      <c r="B616" t="s">
        <v>340</v>
      </c>
      <c r="C616" t="s">
        <v>26</v>
      </c>
      <c r="D616" t="s">
        <v>12</v>
      </c>
      <c r="E616" t="s">
        <v>732</v>
      </c>
      <c r="F616" t="s">
        <v>64</v>
      </c>
      <c r="G616" t="s">
        <v>369</v>
      </c>
      <c r="H616" t="s">
        <v>715</v>
      </c>
      <c r="I616" t="s">
        <v>716</v>
      </c>
      <c r="J616" t="s">
        <v>717</v>
      </c>
      <c r="K616" t="s">
        <v>438</v>
      </c>
      <c r="L616" t="s">
        <v>0</v>
      </c>
      <c r="M616" t="s">
        <v>408</v>
      </c>
      <c r="N616" t="s">
        <v>11</v>
      </c>
      <c r="O616" t="s">
        <v>11</v>
      </c>
      <c r="P616" t="s">
        <v>2</v>
      </c>
      <c r="Q616" t="s">
        <v>408</v>
      </c>
      <c r="R616" t="s">
        <v>439</v>
      </c>
      <c r="S616" t="s">
        <v>440</v>
      </c>
      <c r="T616" t="s">
        <v>11</v>
      </c>
      <c r="U616" t="s">
        <v>408</v>
      </c>
    </row>
    <row r="617" spans="1:21" x14ac:dyDescent="0.25">
      <c r="A617">
        <v>15661313</v>
      </c>
      <c r="B617" t="s">
        <v>340</v>
      </c>
      <c r="C617" t="s">
        <v>26</v>
      </c>
      <c r="D617" t="s">
        <v>12</v>
      </c>
      <c r="E617" t="s">
        <v>732</v>
      </c>
      <c r="F617" t="s">
        <v>122</v>
      </c>
      <c r="G617" t="s">
        <v>369</v>
      </c>
      <c r="H617" t="s">
        <v>5</v>
      </c>
      <c r="I617" t="s">
        <v>436</v>
      </c>
      <c r="J617" t="s">
        <v>446</v>
      </c>
      <c r="K617" t="s">
        <v>438</v>
      </c>
      <c r="L617" t="s">
        <v>2</v>
      </c>
      <c r="M617" t="s">
        <v>408</v>
      </c>
      <c r="N617" t="s">
        <v>11</v>
      </c>
      <c r="O617" t="s">
        <v>11</v>
      </c>
      <c r="P617" t="s">
        <v>2</v>
      </c>
      <c r="Q617" t="s">
        <v>408</v>
      </c>
      <c r="R617" t="s">
        <v>439</v>
      </c>
      <c r="S617" t="s">
        <v>440</v>
      </c>
      <c r="T617" t="s">
        <v>11</v>
      </c>
      <c r="U617" t="s">
        <v>408</v>
      </c>
    </row>
    <row r="618" spans="1:21" x14ac:dyDescent="0.25">
      <c r="A618">
        <v>15661316</v>
      </c>
      <c r="B618" t="s">
        <v>340</v>
      </c>
      <c r="C618" t="s">
        <v>26</v>
      </c>
      <c r="D618" t="s">
        <v>12</v>
      </c>
      <c r="E618" t="s">
        <v>732</v>
      </c>
      <c r="F618" t="s">
        <v>64</v>
      </c>
      <c r="G618" t="s">
        <v>369</v>
      </c>
      <c r="H618" t="s">
        <v>5</v>
      </c>
      <c r="I618" t="s">
        <v>436</v>
      </c>
      <c r="J618" t="s">
        <v>446</v>
      </c>
      <c r="K618" t="s">
        <v>438</v>
      </c>
      <c r="L618" t="s">
        <v>2</v>
      </c>
      <c r="M618" t="s">
        <v>408</v>
      </c>
      <c r="N618" t="s">
        <v>11</v>
      </c>
      <c r="O618" t="s">
        <v>11</v>
      </c>
      <c r="P618" t="s">
        <v>2</v>
      </c>
      <c r="Q618" t="s">
        <v>408</v>
      </c>
      <c r="R618" t="s">
        <v>439</v>
      </c>
      <c r="S618" t="s">
        <v>440</v>
      </c>
      <c r="T618" t="s">
        <v>11</v>
      </c>
      <c r="U618" t="s">
        <v>408</v>
      </c>
    </row>
    <row r="619" spans="1:21" x14ac:dyDescent="0.25">
      <c r="A619">
        <v>15661317</v>
      </c>
      <c r="B619" t="s">
        <v>340</v>
      </c>
      <c r="C619" t="s">
        <v>26</v>
      </c>
      <c r="D619" t="s">
        <v>12</v>
      </c>
      <c r="E619" t="s">
        <v>620</v>
      </c>
      <c r="F619" t="s">
        <v>119</v>
      </c>
      <c r="G619" t="s">
        <v>369</v>
      </c>
      <c r="H619" t="s">
        <v>727</v>
      </c>
      <c r="I619" t="s">
        <v>728</v>
      </c>
      <c r="J619" t="s">
        <v>729</v>
      </c>
      <c r="K619" t="s">
        <v>450</v>
      </c>
      <c r="L619" t="s">
        <v>367</v>
      </c>
      <c r="M619" t="s">
        <v>408</v>
      </c>
      <c r="N619" t="s">
        <v>11</v>
      </c>
      <c r="O619" t="s">
        <v>11</v>
      </c>
      <c r="P619" t="s">
        <v>2</v>
      </c>
      <c r="Q619" t="s">
        <v>408</v>
      </c>
      <c r="R619" t="s">
        <v>439</v>
      </c>
      <c r="S619" t="s">
        <v>451</v>
      </c>
      <c r="T619" t="s">
        <v>11</v>
      </c>
      <c r="U619" t="s">
        <v>408</v>
      </c>
    </row>
    <row r="620" spans="1:21" x14ac:dyDescent="0.25">
      <c r="A620">
        <v>15661320</v>
      </c>
      <c r="B620" t="s">
        <v>340</v>
      </c>
      <c r="C620" t="s">
        <v>26</v>
      </c>
      <c r="D620" t="s">
        <v>12</v>
      </c>
      <c r="E620" t="s">
        <v>620</v>
      </c>
      <c r="F620" t="s">
        <v>65</v>
      </c>
      <c r="G620" t="s">
        <v>369</v>
      </c>
      <c r="H620" t="s">
        <v>0</v>
      </c>
      <c r="I620" t="s">
        <v>436</v>
      </c>
      <c r="J620" t="s">
        <v>437</v>
      </c>
      <c r="K620" t="s">
        <v>438</v>
      </c>
      <c r="L620" t="s">
        <v>1</v>
      </c>
      <c r="M620" t="s">
        <v>408</v>
      </c>
      <c r="N620" t="s">
        <v>11</v>
      </c>
      <c r="O620" t="s">
        <v>11</v>
      </c>
      <c r="P620" t="s">
        <v>2</v>
      </c>
      <c r="Q620" t="s">
        <v>408</v>
      </c>
      <c r="R620" t="s">
        <v>439</v>
      </c>
      <c r="S620" t="s">
        <v>440</v>
      </c>
      <c r="T620" t="s">
        <v>11</v>
      </c>
      <c r="U620" t="s">
        <v>408</v>
      </c>
    </row>
    <row r="621" spans="1:21" x14ac:dyDescent="0.25">
      <c r="A621">
        <v>15661321</v>
      </c>
      <c r="B621" t="s">
        <v>340</v>
      </c>
      <c r="C621" t="s">
        <v>26</v>
      </c>
      <c r="D621" t="s">
        <v>12</v>
      </c>
      <c r="E621" t="s">
        <v>620</v>
      </c>
      <c r="F621" t="s">
        <v>119</v>
      </c>
      <c r="G621" t="s">
        <v>369</v>
      </c>
      <c r="H621" t="s">
        <v>1</v>
      </c>
      <c r="I621" t="s">
        <v>469</v>
      </c>
      <c r="J621" t="s">
        <v>445</v>
      </c>
      <c r="K621" t="s">
        <v>438</v>
      </c>
      <c r="L621" t="s">
        <v>2</v>
      </c>
      <c r="M621" t="s">
        <v>408</v>
      </c>
      <c r="N621" t="s">
        <v>11</v>
      </c>
      <c r="O621" t="s">
        <v>11</v>
      </c>
      <c r="P621" t="s">
        <v>2</v>
      </c>
      <c r="Q621" t="s">
        <v>408</v>
      </c>
      <c r="R621" t="s">
        <v>439</v>
      </c>
      <c r="S621" t="s">
        <v>440</v>
      </c>
      <c r="T621" t="s">
        <v>11</v>
      </c>
      <c r="U621" t="s">
        <v>408</v>
      </c>
    </row>
    <row r="622" spans="1:21" x14ac:dyDescent="0.25">
      <c r="A622">
        <v>15661323</v>
      </c>
      <c r="B622" t="s">
        <v>340</v>
      </c>
      <c r="C622" t="s">
        <v>26</v>
      </c>
      <c r="D622" t="s">
        <v>12</v>
      </c>
      <c r="E622" t="s">
        <v>620</v>
      </c>
      <c r="F622" t="s">
        <v>119</v>
      </c>
      <c r="G622" t="s">
        <v>369</v>
      </c>
      <c r="H622" t="s">
        <v>1</v>
      </c>
      <c r="I622" t="s">
        <v>469</v>
      </c>
      <c r="J622" t="s">
        <v>445</v>
      </c>
      <c r="K622" t="s">
        <v>438</v>
      </c>
      <c r="L622" t="s">
        <v>2</v>
      </c>
      <c r="M622" t="s">
        <v>408</v>
      </c>
      <c r="N622" t="s">
        <v>11</v>
      </c>
      <c r="O622" t="s">
        <v>11</v>
      </c>
      <c r="P622" t="s">
        <v>2</v>
      </c>
      <c r="Q622" t="s">
        <v>408</v>
      </c>
      <c r="R622" t="s">
        <v>439</v>
      </c>
      <c r="S622" t="s">
        <v>440</v>
      </c>
      <c r="T622" t="s">
        <v>11</v>
      </c>
      <c r="U622" t="s">
        <v>408</v>
      </c>
    </row>
    <row r="623" spans="1:21" x14ac:dyDescent="0.25">
      <c r="A623">
        <v>15661324</v>
      </c>
      <c r="B623" t="s">
        <v>340</v>
      </c>
      <c r="C623" t="s">
        <v>26</v>
      </c>
      <c r="D623" t="s">
        <v>12</v>
      </c>
      <c r="E623" t="s">
        <v>732</v>
      </c>
      <c r="F623" t="s">
        <v>64</v>
      </c>
      <c r="G623" t="s">
        <v>369</v>
      </c>
      <c r="H623" t="s">
        <v>370</v>
      </c>
      <c r="I623" t="s">
        <v>721</v>
      </c>
      <c r="J623" t="s">
        <v>455</v>
      </c>
      <c r="K623" t="s">
        <v>453</v>
      </c>
      <c r="L623" t="s">
        <v>367</v>
      </c>
      <c r="M623" t="s">
        <v>408</v>
      </c>
      <c r="N623" t="s">
        <v>11</v>
      </c>
      <c r="O623" t="s">
        <v>11</v>
      </c>
      <c r="P623" t="s">
        <v>2</v>
      </c>
      <c r="Q623" t="s">
        <v>408</v>
      </c>
      <c r="R623" t="s">
        <v>439</v>
      </c>
      <c r="S623" t="s">
        <v>451</v>
      </c>
      <c r="T623" t="s">
        <v>11</v>
      </c>
      <c r="U623" t="s">
        <v>408</v>
      </c>
    </row>
    <row r="624" spans="1:21" x14ac:dyDescent="0.25">
      <c r="A624">
        <v>15661338</v>
      </c>
      <c r="B624" t="s">
        <v>340</v>
      </c>
      <c r="C624" t="s">
        <v>26</v>
      </c>
      <c r="D624" t="s">
        <v>12</v>
      </c>
      <c r="E624" t="s">
        <v>620</v>
      </c>
      <c r="F624" t="s">
        <v>119</v>
      </c>
      <c r="G624" t="s">
        <v>369</v>
      </c>
      <c r="H624" t="s">
        <v>1</v>
      </c>
      <c r="I624" t="s">
        <v>469</v>
      </c>
      <c r="J624" t="s">
        <v>445</v>
      </c>
      <c r="K624" t="s">
        <v>438</v>
      </c>
      <c r="L624" t="s">
        <v>2</v>
      </c>
      <c r="M624" t="s">
        <v>408</v>
      </c>
      <c r="N624" t="s">
        <v>11</v>
      </c>
      <c r="O624" t="s">
        <v>11</v>
      </c>
      <c r="P624" t="s">
        <v>2</v>
      </c>
      <c r="Q624" t="s">
        <v>408</v>
      </c>
      <c r="R624" t="s">
        <v>439</v>
      </c>
      <c r="S624" t="s">
        <v>440</v>
      </c>
      <c r="T624" t="s">
        <v>11</v>
      </c>
      <c r="U624" t="s">
        <v>408</v>
      </c>
    </row>
    <row r="625" spans="1:21" x14ac:dyDescent="0.25">
      <c r="A625">
        <v>15661350</v>
      </c>
      <c r="B625" t="s">
        <v>340</v>
      </c>
      <c r="C625" t="s">
        <v>26</v>
      </c>
      <c r="D625" t="s">
        <v>12</v>
      </c>
      <c r="E625" t="s">
        <v>714</v>
      </c>
      <c r="F625" t="s">
        <v>235</v>
      </c>
      <c r="G625" t="s">
        <v>369</v>
      </c>
      <c r="H625" t="s">
        <v>0</v>
      </c>
      <c r="I625" t="s">
        <v>436</v>
      </c>
      <c r="J625" t="s">
        <v>437</v>
      </c>
      <c r="K625" t="s">
        <v>438</v>
      </c>
      <c r="L625" t="s">
        <v>4</v>
      </c>
      <c r="M625" t="s">
        <v>408</v>
      </c>
      <c r="N625" t="s">
        <v>408</v>
      </c>
      <c r="O625" t="s">
        <v>11</v>
      </c>
      <c r="P625" t="s">
        <v>0</v>
      </c>
      <c r="Q625" t="s">
        <v>408</v>
      </c>
      <c r="R625" t="s">
        <v>439</v>
      </c>
      <c r="S625" t="s">
        <v>440</v>
      </c>
      <c r="T625" t="s">
        <v>408</v>
      </c>
      <c r="U625" t="s">
        <v>408</v>
      </c>
    </row>
    <row r="626" spans="1:21" x14ac:dyDescent="0.25">
      <c r="A626">
        <v>15661356</v>
      </c>
      <c r="B626" t="s">
        <v>340</v>
      </c>
      <c r="C626" t="s">
        <v>26</v>
      </c>
      <c r="D626" t="s">
        <v>12</v>
      </c>
      <c r="E626" t="s">
        <v>519</v>
      </c>
      <c r="F626" t="s">
        <v>118</v>
      </c>
      <c r="G626" t="s">
        <v>468</v>
      </c>
      <c r="H626" t="s">
        <v>447</v>
      </c>
      <c r="I626" t="s">
        <v>448</v>
      </c>
      <c r="J626" t="s">
        <v>449</v>
      </c>
      <c r="K626" t="s">
        <v>450</v>
      </c>
      <c r="L626" t="s">
        <v>367</v>
      </c>
      <c r="M626" t="s">
        <v>408</v>
      </c>
      <c r="N626" t="s">
        <v>408</v>
      </c>
      <c r="O626" t="s">
        <v>408</v>
      </c>
      <c r="P626" t="s">
        <v>0</v>
      </c>
      <c r="Q626" t="s">
        <v>408</v>
      </c>
      <c r="R626" t="s">
        <v>439</v>
      </c>
      <c r="S626" t="s">
        <v>451</v>
      </c>
      <c r="T626" t="s">
        <v>408</v>
      </c>
      <c r="U626" t="s">
        <v>408</v>
      </c>
    </row>
    <row r="627" spans="1:21" x14ac:dyDescent="0.25">
      <c r="A627">
        <v>15661366</v>
      </c>
      <c r="B627" t="s">
        <v>340</v>
      </c>
      <c r="C627" t="s">
        <v>26</v>
      </c>
      <c r="D627" t="s">
        <v>12</v>
      </c>
      <c r="E627" t="s">
        <v>733</v>
      </c>
      <c r="F627" t="s">
        <v>168</v>
      </c>
      <c r="G627" t="s">
        <v>369</v>
      </c>
      <c r="H627" t="s">
        <v>6</v>
      </c>
      <c r="I627" t="s">
        <v>436</v>
      </c>
      <c r="J627" t="s">
        <v>456</v>
      </c>
      <c r="K627" t="s">
        <v>438</v>
      </c>
      <c r="L627" t="s">
        <v>7</v>
      </c>
      <c r="M627" t="s">
        <v>408</v>
      </c>
      <c r="N627" t="s">
        <v>11</v>
      </c>
      <c r="O627" t="s">
        <v>11</v>
      </c>
      <c r="P627" t="s">
        <v>1</v>
      </c>
      <c r="Q627" t="s">
        <v>408</v>
      </c>
      <c r="R627" t="s">
        <v>439</v>
      </c>
      <c r="S627" t="s">
        <v>440</v>
      </c>
      <c r="T627" t="s">
        <v>11</v>
      </c>
      <c r="U627" t="s">
        <v>408</v>
      </c>
    </row>
    <row r="628" spans="1:21" x14ac:dyDescent="0.25">
      <c r="A628">
        <v>15661373</v>
      </c>
      <c r="B628" t="s">
        <v>340</v>
      </c>
      <c r="C628" t="s">
        <v>26</v>
      </c>
      <c r="D628" t="s">
        <v>12</v>
      </c>
      <c r="E628" t="s">
        <v>732</v>
      </c>
      <c r="F628" t="s">
        <v>122</v>
      </c>
      <c r="G628" t="s">
        <v>369</v>
      </c>
      <c r="H628" t="s">
        <v>370</v>
      </c>
      <c r="I628" t="s">
        <v>721</v>
      </c>
      <c r="J628" t="s">
        <v>455</v>
      </c>
      <c r="K628" t="s">
        <v>453</v>
      </c>
      <c r="L628" t="s">
        <v>367</v>
      </c>
      <c r="M628" t="s">
        <v>408</v>
      </c>
      <c r="N628" t="s">
        <v>11</v>
      </c>
      <c r="O628" t="s">
        <v>11</v>
      </c>
      <c r="P628" t="s">
        <v>1</v>
      </c>
      <c r="Q628" t="s">
        <v>408</v>
      </c>
      <c r="R628" t="s">
        <v>439</v>
      </c>
      <c r="S628" t="s">
        <v>451</v>
      </c>
      <c r="T628" t="s">
        <v>11</v>
      </c>
      <c r="U628" t="s">
        <v>408</v>
      </c>
    </row>
    <row r="629" spans="1:21" x14ac:dyDescent="0.25">
      <c r="A629">
        <v>15661375</v>
      </c>
      <c r="B629" t="s">
        <v>340</v>
      </c>
      <c r="C629" t="s">
        <v>26</v>
      </c>
      <c r="D629" t="s">
        <v>12</v>
      </c>
      <c r="E629" t="s">
        <v>518</v>
      </c>
      <c r="F629" t="s">
        <v>234</v>
      </c>
      <c r="G629" t="s">
        <v>369</v>
      </c>
      <c r="H629" t="s">
        <v>0</v>
      </c>
      <c r="I629" t="s">
        <v>436</v>
      </c>
      <c r="J629" t="s">
        <v>437</v>
      </c>
      <c r="K629" t="s">
        <v>438</v>
      </c>
      <c r="L629" t="s">
        <v>1</v>
      </c>
      <c r="M629" t="s">
        <v>408</v>
      </c>
      <c r="N629" t="s">
        <v>11</v>
      </c>
      <c r="O629" t="s">
        <v>11</v>
      </c>
      <c r="P629" t="s">
        <v>1</v>
      </c>
      <c r="Q629" t="s">
        <v>408</v>
      </c>
      <c r="R629" t="s">
        <v>439</v>
      </c>
      <c r="S629" t="s">
        <v>440</v>
      </c>
      <c r="T629" t="s">
        <v>11</v>
      </c>
      <c r="U629" t="s">
        <v>408</v>
      </c>
    </row>
    <row r="630" spans="1:21" x14ac:dyDescent="0.25">
      <c r="A630">
        <v>15661377</v>
      </c>
      <c r="B630" t="s">
        <v>340</v>
      </c>
      <c r="C630" t="s">
        <v>26</v>
      </c>
      <c r="D630" t="s">
        <v>18</v>
      </c>
      <c r="E630" t="s">
        <v>518</v>
      </c>
      <c r="F630" t="s">
        <v>233</v>
      </c>
      <c r="G630" t="s">
        <v>369</v>
      </c>
      <c r="H630" t="s">
        <v>0</v>
      </c>
      <c r="I630" t="s">
        <v>436</v>
      </c>
      <c r="J630" t="s">
        <v>437</v>
      </c>
      <c r="K630" t="s">
        <v>438</v>
      </c>
      <c r="L630" t="s">
        <v>1</v>
      </c>
      <c r="M630" t="s">
        <v>408</v>
      </c>
      <c r="N630" t="s">
        <v>11</v>
      </c>
      <c r="O630" t="s">
        <v>11</v>
      </c>
      <c r="P630" t="s">
        <v>1</v>
      </c>
      <c r="Q630" t="s">
        <v>408</v>
      </c>
      <c r="R630" t="s">
        <v>439</v>
      </c>
      <c r="S630" t="s">
        <v>440</v>
      </c>
      <c r="T630" t="s">
        <v>11</v>
      </c>
      <c r="U630" t="s">
        <v>408</v>
      </c>
    </row>
    <row r="631" spans="1:21" x14ac:dyDescent="0.25">
      <c r="A631">
        <v>15661378</v>
      </c>
      <c r="B631" t="s">
        <v>340</v>
      </c>
      <c r="C631" t="s">
        <v>26</v>
      </c>
      <c r="D631" t="s">
        <v>12</v>
      </c>
      <c r="E631" t="s">
        <v>478</v>
      </c>
      <c r="F631" t="s">
        <v>232</v>
      </c>
      <c r="G631" t="s">
        <v>369</v>
      </c>
      <c r="H631" t="s">
        <v>370</v>
      </c>
      <c r="I631" t="s">
        <v>721</v>
      </c>
      <c r="J631" t="s">
        <v>455</v>
      </c>
      <c r="K631" t="s">
        <v>453</v>
      </c>
      <c r="L631" t="s">
        <v>367</v>
      </c>
      <c r="M631" t="s">
        <v>408</v>
      </c>
      <c r="N631" t="s">
        <v>11</v>
      </c>
      <c r="O631" t="s">
        <v>11</v>
      </c>
      <c r="P631" t="s">
        <v>1</v>
      </c>
      <c r="Q631" t="s">
        <v>408</v>
      </c>
      <c r="R631" t="s">
        <v>439</v>
      </c>
      <c r="S631" t="s">
        <v>451</v>
      </c>
      <c r="T631" t="s">
        <v>11</v>
      </c>
      <c r="U631" t="s">
        <v>408</v>
      </c>
    </row>
    <row r="632" spans="1:21" x14ac:dyDescent="0.25">
      <c r="A632">
        <v>15661391</v>
      </c>
      <c r="B632" t="s">
        <v>340</v>
      </c>
      <c r="C632" t="s">
        <v>26</v>
      </c>
      <c r="D632" t="s">
        <v>12</v>
      </c>
      <c r="E632" t="s">
        <v>718</v>
      </c>
      <c r="F632" t="s">
        <v>198</v>
      </c>
      <c r="G632" t="s">
        <v>369</v>
      </c>
      <c r="H632" t="s">
        <v>0</v>
      </c>
      <c r="I632" t="s">
        <v>436</v>
      </c>
      <c r="J632" t="s">
        <v>437</v>
      </c>
      <c r="K632" t="s">
        <v>438</v>
      </c>
      <c r="L632" t="s">
        <v>2</v>
      </c>
      <c r="M632" t="s">
        <v>408</v>
      </c>
      <c r="N632" t="s">
        <v>408</v>
      </c>
      <c r="O632" t="s">
        <v>11</v>
      </c>
      <c r="P632" t="s">
        <v>2</v>
      </c>
      <c r="Q632" t="s">
        <v>408</v>
      </c>
      <c r="R632" t="s">
        <v>439</v>
      </c>
      <c r="S632" t="s">
        <v>440</v>
      </c>
      <c r="T632" t="s">
        <v>408</v>
      </c>
      <c r="U632" t="s">
        <v>408</v>
      </c>
    </row>
    <row r="633" spans="1:21" x14ac:dyDescent="0.25">
      <c r="A633">
        <v>15661393</v>
      </c>
      <c r="B633" t="s">
        <v>342</v>
      </c>
      <c r="C633" t="s">
        <v>33</v>
      </c>
      <c r="D633" t="s">
        <v>12</v>
      </c>
      <c r="E633" t="s">
        <v>732</v>
      </c>
      <c r="F633" t="s">
        <v>39</v>
      </c>
      <c r="G633" t="s">
        <v>369</v>
      </c>
      <c r="H633" t="s">
        <v>2</v>
      </c>
      <c r="I633" t="s">
        <v>436</v>
      </c>
      <c r="J633" t="s">
        <v>443</v>
      </c>
      <c r="K633" t="s">
        <v>444</v>
      </c>
      <c r="L633" t="s">
        <v>345</v>
      </c>
      <c r="M633" t="s">
        <v>408</v>
      </c>
      <c r="N633" t="s">
        <v>11</v>
      </c>
      <c r="O633" t="s">
        <v>11</v>
      </c>
      <c r="P633" t="s">
        <v>2</v>
      </c>
      <c r="Q633" t="s">
        <v>408</v>
      </c>
      <c r="R633" t="s">
        <v>439</v>
      </c>
      <c r="S633" t="s">
        <v>440</v>
      </c>
      <c r="T633" t="s">
        <v>11</v>
      </c>
      <c r="U633" t="s">
        <v>408</v>
      </c>
    </row>
    <row r="634" spans="1:21" x14ac:dyDescent="0.25">
      <c r="A634">
        <v>15661396</v>
      </c>
      <c r="B634" t="s">
        <v>340</v>
      </c>
      <c r="C634" t="s">
        <v>26</v>
      </c>
      <c r="D634" t="s">
        <v>12</v>
      </c>
      <c r="E634" t="s">
        <v>477</v>
      </c>
      <c r="F634" t="s">
        <v>231</v>
      </c>
      <c r="G634" t="s">
        <v>369</v>
      </c>
      <c r="H634" t="s">
        <v>0</v>
      </c>
      <c r="I634" t="s">
        <v>436</v>
      </c>
      <c r="J634" t="s">
        <v>437</v>
      </c>
      <c r="K634" t="s">
        <v>438</v>
      </c>
      <c r="L634" t="s">
        <v>1</v>
      </c>
      <c r="M634" t="s">
        <v>408</v>
      </c>
      <c r="N634" t="s">
        <v>11</v>
      </c>
      <c r="O634" t="s">
        <v>11</v>
      </c>
      <c r="P634" t="s">
        <v>1</v>
      </c>
      <c r="Q634" t="s">
        <v>408</v>
      </c>
      <c r="R634" t="s">
        <v>439</v>
      </c>
      <c r="S634" t="s">
        <v>440</v>
      </c>
      <c r="T634" t="s">
        <v>11</v>
      </c>
      <c r="U634" t="s">
        <v>408</v>
      </c>
    </row>
    <row r="635" spans="1:21" x14ac:dyDescent="0.25">
      <c r="A635">
        <v>15661432</v>
      </c>
      <c r="B635" t="s">
        <v>340</v>
      </c>
      <c r="C635" t="s">
        <v>26</v>
      </c>
      <c r="D635" t="s">
        <v>109</v>
      </c>
      <c r="E635" t="s">
        <v>734</v>
      </c>
      <c r="F635" t="s">
        <v>27</v>
      </c>
      <c r="G635" t="s">
        <v>369</v>
      </c>
      <c r="H635" t="s">
        <v>0</v>
      </c>
      <c r="I635" t="s">
        <v>436</v>
      </c>
      <c r="J635" t="s">
        <v>437</v>
      </c>
      <c r="K635" t="s">
        <v>438</v>
      </c>
      <c r="L635" t="s">
        <v>345</v>
      </c>
      <c r="M635" t="s">
        <v>408</v>
      </c>
      <c r="N635" t="s">
        <v>11</v>
      </c>
      <c r="O635" t="s">
        <v>11</v>
      </c>
      <c r="P635" t="s">
        <v>0</v>
      </c>
      <c r="Q635" t="s">
        <v>408</v>
      </c>
      <c r="R635" t="s">
        <v>439</v>
      </c>
      <c r="S635" t="s">
        <v>440</v>
      </c>
      <c r="T635" t="s">
        <v>11</v>
      </c>
      <c r="U635" t="s">
        <v>408</v>
      </c>
    </row>
    <row r="636" spans="1:21" x14ac:dyDescent="0.25">
      <c r="A636">
        <v>15661435</v>
      </c>
      <c r="B636" t="s">
        <v>340</v>
      </c>
      <c r="C636" t="s">
        <v>26</v>
      </c>
      <c r="D636" t="s">
        <v>12</v>
      </c>
      <c r="E636" t="s">
        <v>734</v>
      </c>
      <c r="F636" t="s">
        <v>27</v>
      </c>
      <c r="G636" t="s">
        <v>369</v>
      </c>
      <c r="H636" t="s">
        <v>715</v>
      </c>
      <c r="I636" t="s">
        <v>716</v>
      </c>
      <c r="J636" t="s">
        <v>717</v>
      </c>
      <c r="K636" t="s">
        <v>438</v>
      </c>
      <c r="L636" t="s">
        <v>2</v>
      </c>
      <c r="M636" t="s">
        <v>408</v>
      </c>
      <c r="N636" t="s">
        <v>11</v>
      </c>
      <c r="O636" t="s">
        <v>11</v>
      </c>
      <c r="P636" t="s">
        <v>0</v>
      </c>
      <c r="Q636" t="s">
        <v>408</v>
      </c>
      <c r="R636" t="s">
        <v>439</v>
      </c>
      <c r="S636" t="s">
        <v>440</v>
      </c>
      <c r="T636" t="s">
        <v>11</v>
      </c>
      <c r="U636" t="s">
        <v>408</v>
      </c>
    </row>
    <row r="637" spans="1:21" x14ac:dyDescent="0.25">
      <c r="A637">
        <v>15661436</v>
      </c>
      <c r="B637" t="s">
        <v>340</v>
      </c>
      <c r="C637" t="s">
        <v>26</v>
      </c>
      <c r="D637" t="s">
        <v>12</v>
      </c>
      <c r="E637" t="s">
        <v>734</v>
      </c>
      <c r="F637" t="s">
        <v>27</v>
      </c>
      <c r="G637" t="s">
        <v>369</v>
      </c>
      <c r="H637" t="s">
        <v>1</v>
      </c>
      <c r="I637" t="s">
        <v>469</v>
      </c>
      <c r="J637" t="s">
        <v>445</v>
      </c>
      <c r="K637" t="s">
        <v>438</v>
      </c>
      <c r="L637" t="s">
        <v>0</v>
      </c>
      <c r="M637" t="s">
        <v>408</v>
      </c>
      <c r="N637" t="s">
        <v>11</v>
      </c>
      <c r="O637" t="s">
        <v>11</v>
      </c>
      <c r="P637" t="s">
        <v>0</v>
      </c>
      <c r="Q637" t="s">
        <v>408</v>
      </c>
      <c r="R637" t="s">
        <v>439</v>
      </c>
      <c r="S637" t="s">
        <v>440</v>
      </c>
      <c r="T637" t="s">
        <v>11</v>
      </c>
      <c r="U637" t="s">
        <v>408</v>
      </c>
    </row>
    <row r="638" spans="1:21" x14ac:dyDescent="0.25">
      <c r="A638">
        <v>16190664</v>
      </c>
      <c r="B638" t="s">
        <v>342</v>
      </c>
      <c r="C638" t="s">
        <v>38</v>
      </c>
      <c r="D638" t="s">
        <v>12</v>
      </c>
      <c r="E638" t="s">
        <v>734</v>
      </c>
      <c r="F638" t="s">
        <v>230</v>
      </c>
      <c r="G638" t="s">
        <v>369</v>
      </c>
      <c r="H638" t="s">
        <v>0</v>
      </c>
      <c r="I638" t="s">
        <v>436</v>
      </c>
      <c r="J638" t="s">
        <v>437</v>
      </c>
      <c r="K638" t="s">
        <v>438</v>
      </c>
      <c r="L638" t="s">
        <v>78</v>
      </c>
      <c r="M638" t="s">
        <v>408</v>
      </c>
      <c r="N638" t="s">
        <v>408</v>
      </c>
      <c r="O638" t="s">
        <v>11</v>
      </c>
      <c r="P638" t="s">
        <v>349</v>
      </c>
      <c r="Q638" t="s">
        <v>408</v>
      </c>
      <c r="R638" t="s">
        <v>439</v>
      </c>
      <c r="S638" t="s">
        <v>440</v>
      </c>
      <c r="T638" t="s">
        <v>408</v>
      </c>
      <c r="U638" t="s">
        <v>408</v>
      </c>
    </row>
    <row r="639" spans="1:21" x14ac:dyDescent="0.25">
      <c r="A639">
        <v>16190671</v>
      </c>
      <c r="B639" t="s">
        <v>342</v>
      </c>
      <c r="C639" t="s">
        <v>33</v>
      </c>
      <c r="D639" t="s">
        <v>12</v>
      </c>
      <c r="E639" t="s">
        <v>601</v>
      </c>
      <c r="F639" t="s">
        <v>319</v>
      </c>
      <c r="G639" t="s">
        <v>369</v>
      </c>
      <c r="H639" t="s">
        <v>735</v>
      </c>
      <c r="I639" t="s">
        <v>736</v>
      </c>
      <c r="J639" t="s">
        <v>737</v>
      </c>
      <c r="K639" t="s">
        <v>738</v>
      </c>
      <c r="L639" t="s">
        <v>370</v>
      </c>
      <c r="M639" t="s">
        <v>408</v>
      </c>
      <c r="N639" t="s">
        <v>11</v>
      </c>
      <c r="O639" t="s">
        <v>11</v>
      </c>
      <c r="P639" t="s">
        <v>349</v>
      </c>
      <c r="Q639" t="s">
        <v>408</v>
      </c>
      <c r="R639" t="s">
        <v>439</v>
      </c>
      <c r="S639" t="s">
        <v>451</v>
      </c>
      <c r="T639" t="s">
        <v>11</v>
      </c>
      <c r="U639" t="s">
        <v>408</v>
      </c>
    </row>
    <row r="640" spans="1:21" x14ac:dyDescent="0.25">
      <c r="A640">
        <v>16390406</v>
      </c>
      <c r="B640" t="s">
        <v>340</v>
      </c>
      <c r="C640" t="s">
        <v>26</v>
      </c>
      <c r="D640" t="s">
        <v>12</v>
      </c>
      <c r="E640" t="s">
        <v>623</v>
      </c>
      <c r="F640" t="s">
        <v>35</v>
      </c>
      <c r="G640" t="s">
        <v>369</v>
      </c>
      <c r="H640" t="s">
        <v>0</v>
      </c>
      <c r="I640" t="s">
        <v>436</v>
      </c>
      <c r="J640" t="s">
        <v>437</v>
      </c>
      <c r="K640" t="s">
        <v>438</v>
      </c>
      <c r="L640" t="s">
        <v>4</v>
      </c>
      <c r="M640" t="s">
        <v>408</v>
      </c>
      <c r="N640" t="s">
        <v>11</v>
      </c>
      <c r="O640" t="s">
        <v>11</v>
      </c>
      <c r="P640" t="s">
        <v>2</v>
      </c>
      <c r="Q640" t="s">
        <v>408</v>
      </c>
      <c r="R640" t="s">
        <v>439</v>
      </c>
      <c r="S640" t="s">
        <v>440</v>
      </c>
      <c r="T640" t="s">
        <v>11</v>
      </c>
      <c r="U640" t="s">
        <v>408</v>
      </c>
    </row>
    <row r="641" spans="1:21" x14ac:dyDescent="0.25">
      <c r="A641">
        <v>16390415</v>
      </c>
      <c r="B641" t="s">
        <v>340</v>
      </c>
      <c r="C641" t="s">
        <v>26</v>
      </c>
      <c r="D641" t="s">
        <v>12</v>
      </c>
      <c r="E641" t="s">
        <v>623</v>
      </c>
      <c r="F641" t="s">
        <v>194</v>
      </c>
      <c r="G641" t="s">
        <v>369</v>
      </c>
      <c r="H641" t="s">
        <v>370</v>
      </c>
      <c r="I641" t="s">
        <v>721</v>
      </c>
      <c r="J641" t="s">
        <v>455</v>
      </c>
      <c r="K641" t="s">
        <v>453</v>
      </c>
      <c r="L641" t="s">
        <v>367</v>
      </c>
      <c r="M641" t="s">
        <v>408</v>
      </c>
      <c r="N641" t="s">
        <v>11</v>
      </c>
      <c r="O641" t="s">
        <v>11</v>
      </c>
      <c r="P641" t="s">
        <v>2</v>
      </c>
      <c r="Q641" t="s">
        <v>408</v>
      </c>
      <c r="R641" t="s">
        <v>439</v>
      </c>
      <c r="S641" t="s">
        <v>451</v>
      </c>
      <c r="T641" t="s">
        <v>11</v>
      </c>
      <c r="U641" t="s">
        <v>408</v>
      </c>
    </row>
    <row r="642" spans="1:21" x14ac:dyDescent="0.25">
      <c r="A642">
        <v>16390420</v>
      </c>
      <c r="B642" t="s">
        <v>340</v>
      </c>
      <c r="C642" t="s">
        <v>26</v>
      </c>
      <c r="D642" t="s">
        <v>12</v>
      </c>
      <c r="E642" t="s">
        <v>513</v>
      </c>
      <c r="F642" t="s">
        <v>594</v>
      </c>
      <c r="G642" t="s">
        <v>369</v>
      </c>
      <c r="H642" t="s">
        <v>350</v>
      </c>
      <c r="I642" t="s">
        <v>436</v>
      </c>
      <c r="J642" t="s">
        <v>566</v>
      </c>
      <c r="K642" t="s">
        <v>701</v>
      </c>
      <c r="L642" t="s">
        <v>8</v>
      </c>
      <c r="M642" t="s">
        <v>408</v>
      </c>
      <c r="N642" t="s">
        <v>11</v>
      </c>
      <c r="O642" t="s">
        <v>11</v>
      </c>
      <c r="P642" t="s">
        <v>2</v>
      </c>
      <c r="Q642" t="s">
        <v>408</v>
      </c>
      <c r="R642" t="s">
        <v>439</v>
      </c>
      <c r="S642" t="s">
        <v>440</v>
      </c>
      <c r="T642" t="s">
        <v>11</v>
      </c>
      <c r="U642" t="s">
        <v>408</v>
      </c>
    </row>
    <row r="643" spans="1:21" x14ac:dyDescent="0.25">
      <c r="A643">
        <v>16390423</v>
      </c>
      <c r="B643" t="s">
        <v>340</v>
      </c>
      <c r="C643" t="s">
        <v>26</v>
      </c>
      <c r="D643" t="s">
        <v>12</v>
      </c>
      <c r="E643" t="s">
        <v>623</v>
      </c>
      <c r="F643" t="s">
        <v>194</v>
      </c>
      <c r="G643" t="s">
        <v>369</v>
      </c>
      <c r="H643" t="s">
        <v>350</v>
      </c>
      <c r="I643" t="s">
        <v>436</v>
      </c>
      <c r="J643" t="s">
        <v>566</v>
      </c>
      <c r="K643" t="s">
        <v>701</v>
      </c>
      <c r="L643" t="s">
        <v>8</v>
      </c>
      <c r="M643" t="s">
        <v>408</v>
      </c>
      <c r="N643" t="s">
        <v>11</v>
      </c>
      <c r="O643" t="s">
        <v>11</v>
      </c>
      <c r="P643" t="s">
        <v>2</v>
      </c>
      <c r="Q643" t="s">
        <v>408</v>
      </c>
      <c r="R643" t="s">
        <v>439</v>
      </c>
      <c r="S643" t="s">
        <v>440</v>
      </c>
      <c r="T643" t="s">
        <v>11</v>
      </c>
      <c r="U643" t="s">
        <v>408</v>
      </c>
    </row>
    <row r="644" spans="1:21" x14ac:dyDescent="0.25">
      <c r="A644">
        <v>16390431</v>
      </c>
      <c r="B644" t="s">
        <v>340</v>
      </c>
      <c r="C644" t="s">
        <v>26</v>
      </c>
      <c r="D644" t="s">
        <v>12</v>
      </c>
      <c r="E644" t="s">
        <v>410</v>
      </c>
      <c r="F644" t="s">
        <v>74</v>
      </c>
      <c r="G644" t="s">
        <v>369</v>
      </c>
      <c r="H644" t="s">
        <v>370</v>
      </c>
      <c r="I644" t="s">
        <v>721</v>
      </c>
      <c r="J644" t="s">
        <v>455</v>
      </c>
      <c r="K644" t="s">
        <v>453</v>
      </c>
      <c r="L644" t="s">
        <v>367</v>
      </c>
      <c r="M644" t="s">
        <v>408</v>
      </c>
      <c r="N644" t="s">
        <v>408</v>
      </c>
      <c r="O644" t="s">
        <v>11</v>
      </c>
      <c r="P644" t="s">
        <v>0</v>
      </c>
      <c r="Q644" t="s">
        <v>408</v>
      </c>
      <c r="R644" t="s">
        <v>439</v>
      </c>
      <c r="S644" t="s">
        <v>451</v>
      </c>
      <c r="T644" t="s">
        <v>408</v>
      </c>
      <c r="U644" t="s">
        <v>408</v>
      </c>
    </row>
    <row r="645" spans="1:21" x14ac:dyDescent="0.25">
      <c r="A645">
        <v>16390435</v>
      </c>
      <c r="B645" t="s">
        <v>340</v>
      </c>
      <c r="C645" t="s">
        <v>26</v>
      </c>
      <c r="D645" t="s">
        <v>12</v>
      </c>
      <c r="E645" t="s">
        <v>410</v>
      </c>
      <c r="F645" t="s">
        <v>74</v>
      </c>
      <c r="G645" t="s">
        <v>369</v>
      </c>
      <c r="H645" t="s">
        <v>370</v>
      </c>
      <c r="I645" t="s">
        <v>721</v>
      </c>
      <c r="J645" t="s">
        <v>455</v>
      </c>
      <c r="K645" t="s">
        <v>453</v>
      </c>
      <c r="L645" t="s">
        <v>6</v>
      </c>
      <c r="M645" t="s">
        <v>408</v>
      </c>
      <c r="N645" t="s">
        <v>408</v>
      </c>
      <c r="O645" t="s">
        <v>11</v>
      </c>
      <c r="P645" t="s">
        <v>0</v>
      </c>
      <c r="Q645" t="s">
        <v>408</v>
      </c>
      <c r="R645" t="s">
        <v>439</v>
      </c>
      <c r="S645" t="s">
        <v>451</v>
      </c>
      <c r="T645" t="s">
        <v>408</v>
      </c>
      <c r="U645" t="s">
        <v>408</v>
      </c>
    </row>
    <row r="646" spans="1:21" x14ac:dyDescent="0.25">
      <c r="A646">
        <v>16390436</v>
      </c>
      <c r="B646" t="s">
        <v>340</v>
      </c>
      <c r="C646" t="s">
        <v>26</v>
      </c>
      <c r="D646" t="s">
        <v>18</v>
      </c>
      <c r="E646" t="s">
        <v>410</v>
      </c>
      <c r="F646" t="s">
        <v>74</v>
      </c>
      <c r="G646" t="s">
        <v>369</v>
      </c>
      <c r="H646" t="s">
        <v>3</v>
      </c>
      <c r="I646" t="s">
        <v>436</v>
      </c>
      <c r="J646" t="s">
        <v>441</v>
      </c>
      <c r="K646" t="s">
        <v>442</v>
      </c>
      <c r="L646" t="s">
        <v>0</v>
      </c>
      <c r="M646" t="s">
        <v>408</v>
      </c>
      <c r="N646" t="s">
        <v>408</v>
      </c>
      <c r="O646" t="s">
        <v>11</v>
      </c>
      <c r="P646" t="s">
        <v>0</v>
      </c>
      <c r="Q646" t="s">
        <v>408</v>
      </c>
      <c r="R646" t="s">
        <v>439</v>
      </c>
      <c r="S646" t="s">
        <v>440</v>
      </c>
      <c r="T646" t="s">
        <v>408</v>
      </c>
      <c r="U646" t="s">
        <v>408</v>
      </c>
    </row>
    <row r="647" spans="1:21" x14ac:dyDescent="0.25">
      <c r="A647">
        <v>16390444</v>
      </c>
      <c r="B647" t="s">
        <v>340</v>
      </c>
      <c r="C647" t="s">
        <v>26</v>
      </c>
      <c r="D647" t="s">
        <v>12</v>
      </c>
      <c r="E647" t="s">
        <v>739</v>
      </c>
      <c r="F647" t="s">
        <v>103</v>
      </c>
      <c r="G647" t="s">
        <v>369</v>
      </c>
      <c r="H647" t="s">
        <v>0</v>
      </c>
      <c r="I647" t="s">
        <v>436</v>
      </c>
      <c r="J647" t="s">
        <v>437</v>
      </c>
      <c r="K647" t="s">
        <v>438</v>
      </c>
      <c r="L647" t="s">
        <v>4</v>
      </c>
      <c r="M647" t="s">
        <v>408</v>
      </c>
      <c r="N647" t="s">
        <v>11</v>
      </c>
      <c r="O647" t="s">
        <v>11</v>
      </c>
      <c r="P647" t="s">
        <v>2</v>
      </c>
      <c r="Q647" t="s">
        <v>408</v>
      </c>
      <c r="R647" t="s">
        <v>439</v>
      </c>
      <c r="S647" t="s">
        <v>440</v>
      </c>
      <c r="T647" t="s">
        <v>11</v>
      </c>
      <c r="U647" t="s">
        <v>408</v>
      </c>
    </row>
    <row r="648" spans="1:21" x14ac:dyDescent="0.25">
      <c r="A648">
        <v>16390452</v>
      </c>
      <c r="B648" t="s">
        <v>340</v>
      </c>
      <c r="C648" t="s">
        <v>26</v>
      </c>
      <c r="D648" t="s">
        <v>18</v>
      </c>
      <c r="E648" t="s">
        <v>607</v>
      </c>
      <c r="F648" t="s">
        <v>180</v>
      </c>
      <c r="G648" t="s">
        <v>369</v>
      </c>
      <c r="H648" t="s">
        <v>0</v>
      </c>
      <c r="I648" t="s">
        <v>436</v>
      </c>
      <c r="J648" t="s">
        <v>437</v>
      </c>
      <c r="K648" t="s">
        <v>438</v>
      </c>
      <c r="L648" t="s">
        <v>1</v>
      </c>
      <c r="M648" t="s">
        <v>408</v>
      </c>
      <c r="N648" t="s">
        <v>11</v>
      </c>
      <c r="O648" t="s">
        <v>11</v>
      </c>
      <c r="P648" t="s">
        <v>0</v>
      </c>
      <c r="Q648" t="s">
        <v>408</v>
      </c>
      <c r="R648" t="s">
        <v>439</v>
      </c>
      <c r="S648" t="s">
        <v>440</v>
      </c>
      <c r="T648" t="s">
        <v>11</v>
      </c>
      <c r="U648" t="s">
        <v>408</v>
      </c>
    </row>
    <row r="649" spans="1:21" x14ac:dyDescent="0.25">
      <c r="A649">
        <v>16390453</v>
      </c>
      <c r="B649" t="s">
        <v>340</v>
      </c>
      <c r="C649" t="s">
        <v>26</v>
      </c>
      <c r="D649" t="s">
        <v>12</v>
      </c>
      <c r="E649" t="s">
        <v>725</v>
      </c>
      <c r="F649" t="s">
        <v>135</v>
      </c>
      <c r="G649" t="s">
        <v>369</v>
      </c>
      <c r="H649" t="s">
        <v>1</v>
      </c>
      <c r="I649" t="s">
        <v>469</v>
      </c>
      <c r="J649" t="s">
        <v>445</v>
      </c>
      <c r="K649" t="s">
        <v>438</v>
      </c>
      <c r="L649" t="s">
        <v>2</v>
      </c>
      <c r="M649" t="s">
        <v>408</v>
      </c>
      <c r="N649" t="s">
        <v>11</v>
      </c>
      <c r="O649" t="s">
        <v>408</v>
      </c>
      <c r="P649" t="s">
        <v>350</v>
      </c>
      <c r="Q649" t="s">
        <v>408</v>
      </c>
      <c r="R649" t="s">
        <v>439</v>
      </c>
      <c r="S649" t="s">
        <v>440</v>
      </c>
      <c r="T649" t="s">
        <v>11</v>
      </c>
      <c r="U649" t="s">
        <v>408</v>
      </c>
    </row>
    <row r="650" spans="1:21" x14ac:dyDescent="0.25">
      <c r="A650">
        <v>16390454</v>
      </c>
      <c r="B650" t="s">
        <v>342</v>
      </c>
      <c r="C650" t="s">
        <v>33</v>
      </c>
      <c r="D650" t="s">
        <v>12</v>
      </c>
      <c r="E650" t="s">
        <v>724</v>
      </c>
      <c r="F650" t="s">
        <v>70</v>
      </c>
      <c r="G650" t="s">
        <v>468</v>
      </c>
      <c r="H650" t="s">
        <v>447</v>
      </c>
      <c r="I650" t="s">
        <v>448</v>
      </c>
      <c r="J650" t="s">
        <v>449</v>
      </c>
      <c r="K650" t="s">
        <v>450</v>
      </c>
      <c r="L650" t="s">
        <v>370</v>
      </c>
      <c r="M650" t="s">
        <v>408</v>
      </c>
      <c r="N650" t="s">
        <v>11</v>
      </c>
      <c r="O650" t="s">
        <v>408</v>
      </c>
      <c r="P650" t="s">
        <v>344</v>
      </c>
      <c r="Q650" t="s">
        <v>408</v>
      </c>
      <c r="R650" t="s">
        <v>439</v>
      </c>
      <c r="S650" t="s">
        <v>451</v>
      </c>
      <c r="T650" t="s">
        <v>11</v>
      </c>
      <c r="U650" t="s">
        <v>408</v>
      </c>
    </row>
    <row r="651" spans="1:21" x14ac:dyDescent="0.25">
      <c r="A651">
        <v>16390458</v>
      </c>
      <c r="B651" t="s">
        <v>340</v>
      </c>
      <c r="C651" t="s">
        <v>26</v>
      </c>
      <c r="D651" t="s">
        <v>12</v>
      </c>
      <c r="E651" t="s">
        <v>623</v>
      </c>
      <c r="F651" t="s">
        <v>117</v>
      </c>
      <c r="G651" t="s">
        <v>369</v>
      </c>
      <c r="H651" t="s">
        <v>1</v>
      </c>
      <c r="I651" t="s">
        <v>469</v>
      </c>
      <c r="J651" t="s">
        <v>445</v>
      </c>
      <c r="K651" t="s">
        <v>438</v>
      </c>
      <c r="L651" t="s">
        <v>2</v>
      </c>
      <c r="M651" t="s">
        <v>408</v>
      </c>
      <c r="N651" t="s">
        <v>11</v>
      </c>
      <c r="O651" t="s">
        <v>11</v>
      </c>
      <c r="P651" t="s">
        <v>0</v>
      </c>
      <c r="Q651" t="s">
        <v>408</v>
      </c>
      <c r="R651" t="s">
        <v>439</v>
      </c>
      <c r="S651" t="s">
        <v>440</v>
      </c>
      <c r="T651" t="s">
        <v>11</v>
      </c>
      <c r="U651" t="s">
        <v>408</v>
      </c>
    </row>
    <row r="652" spans="1:21" x14ac:dyDescent="0.25">
      <c r="A652">
        <v>16390459</v>
      </c>
      <c r="B652" t="s">
        <v>340</v>
      </c>
      <c r="C652" t="s">
        <v>26</v>
      </c>
      <c r="D652" t="s">
        <v>12</v>
      </c>
      <c r="E652" t="s">
        <v>730</v>
      </c>
      <c r="F652" t="s">
        <v>41</v>
      </c>
      <c r="G652" t="s">
        <v>369</v>
      </c>
      <c r="H652" t="s">
        <v>0</v>
      </c>
      <c r="I652" t="s">
        <v>436</v>
      </c>
      <c r="J652" t="s">
        <v>437</v>
      </c>
      <c r="K652" t="s">
        <v>438</v>
      </c>
      <c r="L652" t="s">
        <v>9</v>
      </c>
      <c r="M652" t="s">
        <v>408</v>
      </c>
      <c r="N652" t="s">
        <v>11</v>
      </c>
      <c r="O652" t="s">
        <v>11</v>
      </c>
      <c r="P652" t="s">
        <v>2</v>
      </c>
      <c r="Q652" t="s">
        <v>408</v>
      </c>
      <c r="R652" t="s">
        <v>439</v>
      </c>
      <c r="S652" t="s">
        <v>440</v>
      </c>
      <c r="T652" t="s">
        <v>11</v>
      </c>
      <c r="U652" t="s">
        <v>408</v>
      </c>
    </row>
    <row r="653" spans="1:21" x14ac:dyDescent="0.25">
      <c r="A653">
        <v>16390462</v>
      </c>
      <c r="B653" t="s">
        <v>340</v>
      </c>
      <c r="C653" t="s">
        <v>26</v>
      </c>
      <c r="D653" t="s">
        <v>12</v>
      </c>
      <c r="E653" t="s">
        <v>615</v>
      </c>
      <c r="F653" t="s">
        <v>42</v>
      </c>
      <c r="G653" t="s">
        <v>369</v>
      </c>
      <c r="H653" t="s">
        <v>370</v>
      </c>
      <c r="I653" t="s">
        <v>721</v>
      </c>
      <c r="J653" t="s">
        <v>455</v>
      </c>
      <c r="K653" t="s">
        <v>453</v>
      </c>
      <c r="L653" t="s">
        <v>367</v>
      </c>
      <c r="M653" t="s">
        <v>408</v>
      </c>
      <c r="N653" t="s">
        <v>11</v>
      </c>
      <c r="O653" t="s">
        <v>11</v>
      </c>
      <c r="P653" t="s">
        <v>0</v>
      </c>
      <c r="Q653" t="s">
        <v>408</v>
      </c>
      <c r="R653" t="s">
        <v>439</v>
      </c>
      <c r="S653" t="s">
        <v>451</v>
      </c>
      <c r="T653" t="s">
        <v>11</v>
      </c>
      <c r="U653" t="s">
        <v>408</v>
      </c>
    </row>
    <row r="654" spans="1:21" x14ac:dyDescent="0.25">
      <c r="A654">
        <v>16390467</v>
      </c>
      <c r="B654" t="s">
        <v>340</v>
      </c>
      <c r="C654" t="s">
        <v>26</v>
      </c>
      <c r="D654" t="s">
        <v>12</v>
      </c>
      <c r="E654" t="s">
        <v>720</v>
      </c>
      <c r="F654" t="s">
        <v>54</v>
      </c>
      <c r="G654" t="s">
        <v>369</v>
      </c>
      <c r="H654" t="s">
        <v>0</v>
      </c>
      <c r="I654" t="s">
        <v>436</v>
      </c>
      <c r="J654" t="s">
        <v>437</v>
      </c>
      <c r="K654" t="s">
        <v>438</v>
      </c>
      <c r="L654" t="s">
        <v>1</v>
      </c>
      <c r="M654" t="s">
        <v>408</v>
      </c>
      <c r="N654" t="s">
        <v>11</v>
      </c>
      <c r="O654" t="s">
        <v>11</v>
      </c>
      <c r="P654" t="s">
        <v>151</v>
      </c>
      <c r="Q654" t="s">
        <v>408</v>
      </c>
      <c r="R654" t="s">
        <v>439</v>
      </c>
      <c r="S654" t="s">
        <v>440</v>
      </c>
      <c r="T654" t="s">
        <v>11</v>
      </c>
      <c r="U654" t="s">
        <v>408</v>
      </c>
    </row>
    <row r="655" spans="1:21" x14ac:dyDescent="0.25">
      <c r="A655">
        <v>16390471</v>
      </c>
      <c r="B655" t="s">
        <v>340</v>
      </c>
      <c r="C655" t="s">
        <v>26</v>
      </c>
      <c r="D655" t="s">
        <v>12</v>
      </c>
      <c r="E655" t="s">
        <v>724</v>
      </c>
      <c r="F655" t="s">
        <v>36</v>
      </c>
      <c r="G655" t="s">
        <v>369</v>
      </c>
      <c r="H655" t="s">
        <v>0</v>
      </c>
      <c r="I655" t="s">
        <v>436</v>
      </c>
      <c r="J655" t="s">
        <v>437</v>
      </c>
      <c r="K655" t="s">
        <v>438</v>
      </c>
      <c r="L655" t="s">
        <v>345</v>
      </c>
      <c r="M655" t="s">
        <v>408</v>
      </c>
      <c r="N655" t="s">
        <v>408</v>
      </c>
      <c r="O655" t="s">
        <v>11</v>
      </c>
      <c r="P655" t="s">
        <v>0</v>
      </c>
      <c r="Q655" t="s">
        <v>408</v>
      </c>
      <c r="R655" t="s">
        <v>439</v>
      </c>
      <c r="S655" t="s">
        <v>440</v>
      </c>
      <c r="T655" t="s">
        <v>408</v>
      </c>
      <c r="U655" t="s">
        <v>408</v>
      </c>
    </row>
    <row r="656" spans="1:21" x14ac:dyDescent="0.25">
      <c r="A656">
        <v>16390472</v>
      </c>
      <c r="B656" t="s">
        <v>340</v>
      </c>
      <c r="C656" t="s">
        <v>26</v>
      </c>
      <c r="D656" t="s">
        <v>12</v>
      </c>
      <c r="E656" t="s">
        <v>410</v>
      </c>
      <c r="F656" t="s">
        <v>74</v>
      </c>
      <c r="G656" t="s">
        <v>369</v>
      </c>
      <c r="H656" t="s">
        <v>0</v>
      </c>
      <c r="I656" t="s">
        <v>436</v>
      </c>
      <c r="J656" t="s">
        <v>437</v>
      </c>
      <c r="K656" t="s">
        <v>438</v>
      </c>
      <c r="L656" t="s">
        <v>1</v>
      </c>
      <c r="M656" t="s">
        <v>408</v>
      </c>
      <c r="N656" t="s">
        <v>408</v>
      </c>
      <c r="O656" t="s">
        <v>11</v>
      </c>
      <c r="P656" t="s">
        <v>0</v>
      </c>
      <c r="Q656" t="s">
        <v>408</v>
      </c>
      <c r="R656" t="s">
        <v>439</v>
      </c>
      <c r="S656" t="s">
        <v>440</v>
      </c>
      <c r="T656" t="s">
        <v>408</v>
      </c>
      <c r="U656" t="s">
        <v>408</v>
      </c>
    </row>
    <row r="657" spans="1:21" x14ac:dyDescent="0.25">
      <c r="A657">
        <v>16390473</v>
      </c>
      <c r="B657" t="s">
        <v>340</v>
      </c>
      <c r="C657" t="s">
        <v>26</v>
      </c>
      <c r="D657" t="s">
        <v>12</v>
      </c>
      <c r="E657" t="s">
        <v>724</v>
      </c>
      <c r="F657" t="s">
        <v>36</v>
      </c>
      <c r="G657" t="s">
        <v>369</v>
      </c>
      <c r="H657" t="s">
        <v>0</v>
      </c>
      <c r="I657" t="s">
        <v>436</v>
      </c>
      <c r="J657" t="s">
        <v>437</v>
      </c>
      <c r="K657" t="s">
        <v>438</v>
      </c>
      <c r="L657" t="s">
        <v>345</v>
      </c>
      <c r="M657" t="s">
        <v>408</v>
      </c>
      <c r="N657" t="s">
        <v>408</v>
      </c>
      <c r="O657" t="s">
        <v>11</v>
      </c>
      <c r="P657" t="s">
        <v>0</v>
      </c>
      <c r="Q657" t="s">
        <v>408</v>
      </c>
      <c r="R657" t="s">
        <v>439</v>
      </c>
      <c r="S657" t="s">
        <v>440</v>
      </c>
      <c r="T657" t="s">
        <v>408</v>
      </c>
      <c r="U657" t="s">
        <v>408</v>
      </c>
    </row>
    <row r="658" spans="1:21" x14ac:dyDescent="0.25">
      <c r="A658">
        <v>16390474</v>
      </c>
      <c r="B658" t="s">
        <v>340</v>
      </c>
      <c r="C658" t="s">
        <v>26</v>
      </c>
      <c r="D658" t="s">
        <v>12</v>
      </c>
      <c r="E658" t="s">
        <v>724</v>
      </c>
      <c r="F658" t="s">
        <v>36</v>
      </c>
      <c r="G658" t="s">
        <v>369</v>
      </c>
      <c r="H658" t="s">
        <v>370</v>
      </c>
      <c r="I658" t="s">
        <v>721</v>
      </c>
      <c r="J658" t="s">
        <v>455</v>
      </c>
      <c r="K658" t="s">
        <v>453</v>
      </c>
      <c r="L658" t="s">
        <v>367</v>
      </c>
      <c r="M658" t="s">
        <v>408</v>
      </c>
      <c r="N658" t="s">
        <v>408</v>
      </c>
      <c r="O658" t="s">
        <v>11</v>
      </c>
      <c r="P658" t="s">
        <v>0</v>
      </c>
      <c r="Q658" t="s">
        <v>408</v>
      </c>
      <c r="R658" t="s">
        <v>439</v>
      </c>
      <c r="S658" t="s">
        <v>451</v>
      </c>
      <c r="T658" t="s">
        <v>408</v>
      </c>
      <c r="U658" t="s">
        <v>408</v>
      </c>
    </row>
    <row r="659" spans="1:21" x14ac:dyDescent="0.25">
      <c r="A659">
        <v>16390480</v>
      </c>
      <c r="B659" t="s">
        <v>340</v>
      </c>
      <c r="C659" t="s">
        <v>26</v>
      </c>
      <c r="D659" t="s">
        <v>12</v>
      </c>
      <c r="E659" t="s">
        <v>724</v>
      </c>
      <c r="F659" t="s">
        <v>36</v>
      </c>
      <c r="G659" t="s">
        <v>369</v>
      </c>
      <c r="H659" t="s">
        <v>1</v>
      </c>
      <c r="I659" t="s">
        <v>469</v>
      </c>
      <c r="J659" t="s">
        <v>445</v>
      </c>
      <c r="K659" t="s">
        <v>438</v>
      </c>
      <c r="L659" t="s">
        <v>2</v>
      </c>
      <c r="M659" t="s">
        <v>408</v>
      </c>
      <c r="N659" t="s">
        <v>408</v>
      </c>
      <c r="O659" t="s">
        <v>11</v>
      </c>
      <c r="P659" t="s">
        <v>0</v>
      </c>
      <c r="Q659" t="s">
        <v>408</v>
      </c>
      <c r="R659" t="s">
        <v>439</v>
      </c>
      <c r="S659" t="s">
        <v>440</v>
      </c>
      <c r="T659" t="s">
        <v>408</v>
      </c>
      <c r="U659" t="s">
        <v>408</v>
      </c>
    </row>
    <row r="660" spans="1:21" x14ac:dyDescent="0.25">
      <c r="A660">
        <v>16390503</v>
      </c>
      <c r="B660" t="s">
        <v>340</v>
      </c>
      <c r="C660" t="s">
        <v>26</v>
      </c>
      <c r="D660" t="s">
        <v>12</v>
      </c>
      <c r="E660" t="s">
        <v>718</v>
      </c>
      <c r="F660" t="s">
        <v>167</v>
      </c>
      <c r="G660" t="s">
        <v>369</v>
      </c>
      <c r="H660" t="s">
        <v>6</v>
      </c>
      <c r="I660" t="s">
        <v>436</v>
      </c>
      <c r="J660" t="s">
        <v>456</v>
      </c>
      <c r="K660" t="s">
        <v>438</v>
      </c>
      <c r="L660" t="s">
        <v>7</v>
      </c>
      <c r="M660" t="s">
        <v>408</v>
      </c>
      <c r="N660" t="s">
        <v>408</v>
      </c>
      <c r="O660" t="s">
        <v>11</v>
      </c>
      <c r="P660" t="s">
        <v>3</v>
      </c>
      <c r="Q660" t="s">
        <v>408</v>
      </c>
      <c r="R660" t="s">
        <v>439</v>
      </c>
      <c r="S660" t="s">
        <v>440</v>
      </c>
      <c r="T660" t="s">
        <v>408</v>
      </c>
      <c r="U660" t="s">
        <v>408</v>
      </c>
    </row>
    <row r="661" spans="1:21" x14ac:dyDescent="0.25">
      <c r="A661">
        <v>16390516</v>
      </c>
      <c r="B661" t="s">
        <v>342</v>
      </c>
      <c r="C661" t="s">
        <v>33</v>
      </c>
      <c r="D661" t="s">
        <v>12</v>
      </c>
      <c r="E661" t="s">
        <v>711</v>
      </c>
      <c r="F661" t="s">
        <v>213</v>
      </c>
      <c r="G661" t="s">
        <v>369</v>
      </c>
      <c r="H661" t="s">
        <v>0</v>
      </c>
      <c r="I661" t="s">
        <v>436</v>
      </c>
      <c r="J661" t="s">
        <v>437</v>
      </c>
      <c r="K661" t="s">
        <v>438</v>
      </c>
      <c r="L661" t="s">
        <v>2</v>
      </c>
      <c r="M661" t="s">
        <v>408</v>
      </c>
      <c r="N661" t="s">
        <v>11</v>
      </c>
      <c r="O661" t="s">
        <v>11</v>
      </c>
      <c r="P661" t="s">
        <v>344</v>
      </c>
      <c r="Q661" t="s">
        <v>408</v>
      </c>
      <c r="R661" t="s">
        <v>439</v>
      </c>
      <c r="S661" t="s">
        <v>440</v>
      </c>
      <c r="T661" t="s">
        <v>11</v>
      </c>
      <c r="U661" t="s">
        <v>408</v>
      </c>
    </row>
    <row r="662" spans="1:21" x14ac:dyDescent="0.25">
      <c r="A662">
        <v>16390519</v>
      </c>
      <c r="B662" t="s">
        <v>342</v>
      </c>
      <c r="C662" t="s">
        <v>38</v>
      </c>
      <c r="D662" t="s">
        <v>12</v>
      </c>
      <c r="E662" t="s">
        <v>732</v>
      </c>
      <c r="F662" t="s">
        <v>39</v>
      </c>
      <c r="G662" t="s">
        <v>369</v>
      </c>
      <c r="H662" t="s">
        <v>0</v>
      </c>
      <c r="I662" t="s">
        <v>436</v>
      </c>
      <c r="J662" t="s">
        <v>437</v>
      </c>
      <c r="K662" t="s">
        <v>438</v>
      </c>
      <c r="L662" t="s">
        <v>345</v>
      </c>
      <c r="M662" t="s">
        <v>408</v>
      </c>
      <c r="N662" t="s">
        <v>408</v>
      </c>
      <c r="O662" t="s">
        <v>11</v>
      </c>
      <c r="P662" t="s">
        <v>0</v>
      </c>
      <c r="Q662" t="s">
        <v>408</v>
      </c>
      <c r="R662" t="s">
        <v>439</v>
      </c>
      <c r="S662" t="s">
        <v>440</v>
      </c>
      <c r="T662" t="s">
        <v>408</v>
      </c>
      <c r="U662" t="s">
        <v>408</v>
      </c>
    </row>
    <row r="663" spans="1:21" x14ac:dyDescent="0.25">
      <c r="A663">
        <v>16390520</v>
      </c>
      <c r="B663" t="s">
        <v>342</v>
      </c>
      <c r="C663" t="s">
        <v>38</v>
      </c>
      <c r="D663" t="s">
        <v>12</v>
      </c>
      <c r="E663" t="s">
        <v>732</v>
      </c>
      <c r="F663" t="s">
        <v>39</v>
      </c>
      <c r="G663" t="s">
        <v>369</v>
      </c>
      <c r="H663" t="s">
        <v>0</v>
      </c>
      <c r="I663" t="s">
        <v>436</v>
      </c>
      <c r="J663" t="s">
        <v>437</v>
      </c>
      <c r="K663" t="s">
        <v>438</v>
      </c>
      <c r="L663" t="s">
        <v>345</v>
      </c>
      <c r="M663" t="s">
        <v>408</v>
      </c>
      <c r="N663" t="s">
        <v>408</v>
      </c>
      <c r="O663" t="s">
        <v>11</v>
      </c>
      <c r="P663" t="s">
        <v>0</v>
      </c>
      <c r="Q663" t="s">
        <v>408</v>
      </c>
      <c r="R663" t="s">
        <v>439</v>
      </c>
      <c r="S663" t="s">
        <v>440</v>
      </c>
      <c r="T663" t="s">
        <v>408</v>
      </c>
      <c r="U663" t="s">
        <v>408</v>
      </c>
    </row>
    <row r="664" spans="1:21" x14ac:dyDescent="0.25">
      <c r="A664">
        <v>16390524</v>
      </c>
      <c r="B664" t="s">
        <v>340</v>
      </c>
      <c r="C664" t="s">
        <v>26</v>
      </c>
      <c r="D664" t="s">
        <v>12</v>
      </c>
      <c r="E664" t="s">
        <v>708</v>
      </c>
      <c r="F664" t="s">
        <v>49</v>
      </c>
      <c r="G664" t="s">
        <v>369</v>
      </c>
      <c r="H664" t="s">
        <v>5</v>
      </c>
      <c r="I664" t="s">
        <v>436</v>
      </c>
      <c r="J664" t="s">
        <v>446</v>
      </c>
      <c r="K664" t="s">
        <v>438</v>
      </c>
      <c r="L664" t="s">
        <v>2</v>
      </c>
      <c r="M664" t="s">
        <v>408</v>
      </c>
      <c r="N664" t="s">
        <v>11</v>
      </c>
      <c r="O664" t="s">
        <v>11</v>
      </c>
      <c r="P664" t="s">
        <v>2</v>
      </c>
      <c r="Q664" t="s">
        <v>408</v>
      </c>
      <c r="R664" t="s">
        <v>439</v>
      </c>
      <c r="S664" t="s">
        <v>440</v>
      </c>
      <c r="T664" t="s">
        <v>11</v>
      </c>
      <c r="U664" t="s">
        <v>408</v>
      </c>
    </row>
    <row r="665" spans="1:21" x14ac:dyDescent="0.25">
      <c r="A665">
        <v>16390525</v>
      </c>
      <c r="B665" t="s">
        <v>340</v>
      </c>
      <c r="C665" t="s">
        <v>26</v>
      </c>
      <c r="D665" t="s">
        <v>12</v>
      </c>
      <c r="E665" t="s">
        <v>730</v>
      </c>
      <c r="F665" t="s">
        <v>41</v>
      </c>
      <c r="G665" t="s">
        <v>369</v>
      </c>
      <c r="H665" t="s">
        <v>0</v>
      </c>
      <c r="I665" t="s">
        <v>436</v>
      </c>
      <c r="J665" t="s">
        <v>437</v>
      </c>
      <c r="K665" t="s">
        <v>438</v>
      </c>
      <c r="L665" t="s">
        <v>2</v>
      </c>
      <c r="M665" t="s">
        <v>408</v>
      </c>
      <c r="N665" t="s">
        <v>11</v>
      </c>
      <c r="O665" t="s">
        <v>11</v>
      </c>
      <c r="P665" t="s">
        <v>151</v>
      </c>
      <c r="Q665" t="s">
        <v>408</v>
      </c>
      <c r="R665" t="s">
        <v>439</v>
      </c>
      <c r="S665" t="s">
        <v>440</v>
      </c>
      <c r="T665" t="s">
        <v>11</v>
      </c>
      <c r="U665" t="s">
        <v>408</v>
      </c>
    </row>
    <row r="666" spans="1:21" x14ac:dyDescent="0.25">
      <c r="A666">
        <v>16390527</v>
      </c>
      <c r="B666" t="s">
        <v>340</v>
      </c>
      <c r="C666" t="s">
        <v>26</v>
      </c>
      <c r="D666" t="s">
        <v>12</v>
      </c>
      <c r="E666" t="s">
        <v>730</v>
      </c>
      <c r="F666" t="s">
        <v>211</v>
      </c>
      <c r="G666" t="s">
        <v>369</v>
      </c>
      <c r="H666" t="s">
        <v>1</v>
      </c>
      <c r="I666" t="s">
        <v>469</v>
      </c>
      <c r="J666" t="s">
        <v>445</v>
      </c>
      <c r="K666" t="s">
        <v>438</v>
      </c>
      <c r="L666" t="s">
        <v>2</v>
      </c>
      <c r="M666" t="s">
        <v>408</v>
      </c>
      <c r="N666" t="s">
        <v>11</v>
      </c>
      <c r="O666" t="s">
        <v>11</v>
      </c>
      <c r="P666" t="s">
        <v>5</v>
      </c>
      <c r="Q666" t="s">
        <v>408</v>
      </c>
      <c r="R666" t="s">
        <v>439</v>
      </c>
      <c r="S666" t="s">
        <v>440</v>
      </c>
      <c r="T666" t="s">
        <v>11</v>
      </c>
      <c r="U666" t="s">
        <v>408</v>
      </c>
    </row>
    <row r="667" spans="1:21" x14ac:dyDescent="0.25">
      <c r="A667">
        <v>16390531</v>
      </c>
      <c r="B667" t="s">
        <v>340</v>
      </c>
      <c r="C667" t="s">
        <v>26</v>
      </c>
      <c r="D667" t="s">
        <v>12</v>
      </c>
      <c r="E667" t="s">
        <v>724</v>
      </c>
      <c r="F667" t="s">
        <v>70</v>
      </c>
      <c r="G667" t="s">
        <v>369</v>
      </c>
      <c r="H667" t="s">
        <v>370</v>
      </c>
      <c r="I667" t="s">
        <v>721</v>
      </c>
      <c r="J667" t="s">
        <v>455</v>
      </c>
      <c r="K667" t="s">
        <v>453</v>
      </c>
      <c r="L667" t="s">
        <v>367</v>
      </c>
      <c r="M667" t="s">
        <v>408</v>
      </c>
      <c r="N667" t="s">
        <v>11</v>
      </c>
      <c r="O667" t="s">
        <v>408</v>
      </c>
      <c r="P667" t="s">
        <v>151</v>
      </c>
      <c r="Q667" t="s">
        <v>408</v>
      </c>
      <c r="R667" t="s">
        <v>439</v>
      </c>
      <c r="S667" t="s">
        <v>451</v>
      </c>
      <c r="T667" t="s">
        <v>11</v>
      </c>
      <c r="U667" t="s">
        <v>408</v>
      </c>
    </row>
    <row r="668" spans="1:21" x14ac:dyDescent="0.25">
      <c r="A668">
        <v>16390533</v>
      </c>
      <c r="B668" t="s">
        <v>340</v>
      </c>
      <c r="C668" t="s">
        <v>26</v>
      </c>
      <c r="D668" t="s">
        <v>18</v>
      </c>
      <c r="E668" t="s">
        <v>719</v>
      </c>
      <c r="F668" t="s">
        <v>110</v>
      </c>
      <c r="G668" t="s">
        <v>369</v>
      </c>
      <c r="H668" t="s">
        <v>370</v>
      </c>
      <c r="I668" t="s">
        <v>721</v>
      </c>
      <c r="J668" t="s">
        <v>455</v>
      </c>
      <c r="K668" t="s">
        <v>453</v>
      </c>
      <c r="L668" t="s">
        <v>367</v>
      </c>
      <c r="M668" t="s">
        <v>408</v>
      </c>
      <c r="N668" t="s">
        <v>11</v>
      </c>
      <c r="O668" t="s">
        <v>408</v>
      </c>
      <c r="P668" t="s">
        <v>341</v>
      </c>
      <c r="Q668" t="s">
        <v>408</v>
      </c>
      <c r="R668" t="s">
        <v>439</v>
      </c>
      <c r="S668" t="s">
        <v>451</v>
      </c>
      <c r="T668" t="s">
        <v>11</v>
      </c>
      <c r="U668" t="s">
        <v>408</v>
      </c>
    </row>
    <row r="669" spans="1:21" x14ac:dyDescent="0.25">
      <c r="A669">
        <v>16390534</v>
      </c>
      <c r="B669" t="s">
        <v>340</v>
      </c>
      <c r="C669" t="s">
        <v>26</v>
      </c>
      <c r="D669" t="s">
        <v>12</v>
      </c>
      <c r="E669" t="s">
        <v>724</v>
      </c>
      <c r="F669" t="s">
        <v>63</v>
      </c>
      <c r="G669" t="s">
        <v>369</v>
      </c>
      <c r="H669" t="s">
        <v>0</v>
      </c>
      <c r="I669" t="s">
        <v>436</v>
      </c>
      <c r="J669" t="s">
        <v>437</v>
      </c>
      <c r="K669" t="s">
        <v>438</v>
      </c>
      <c r="L669" t="s">
        <v>2</v>
      </c>
      <c r="M669" t="s">
        <v>408</v>
      </c>
      <c r="N669" t="s">
        <v>11</v>
      </c>
      <c r="O669" t="s">
        <v>11</v>
      </c>
      <c r="P669" t="s">
        <v>350</v>
      </c>
      <c r="Q669" t="s">
        <v>408</v>
      </c>
      <c r="R669" t="s">
        <v>439</v>
      </c>
      <c r="S669" t="s">
        <v>440</v>
      </c>
      <c r="T669" t="s">
        <v>11</v>
      </c>
      <c r="U669" t="s">
        <v>408</v>
      </c>
    </row>
    <row r="670" spans="1:21" x14ac:dyDescent="0.25">
      <c r="A670">
        <v>16390535</v>
      </c>
      <c r="B670" t="s">
        <v>340</v>
      </c>
      <c r="C670" t="s">
        <v>26</v>
      </c>
      <c r="D670" t="s">
        <v>12</v>
      </c>
      <c r="E670" t="s">
        <v>724</v>
      </c>
      <c r="F670" t="s">
        <v>63</v>
      </c>
      <c r="G670" t="s">
        <v>369</v>
      </c>
      <c r="H670" t="s">
        <v>1</v>
      </c>
      <c r="I670" t="s">
        <v>469</v>
      </c>
      <c r="J670" t="s">
        <v>445</v>
      </c>
      <c r="K670" t="s">
        <v>438</v>
      </c>
      <c r="L670" t="s">
        <v>2</v>
      </c>
      <c r="M670" t="s">
        <v>408</v>
      </c>
      <c r="N670" t="s">
        <v>11</v>
      </c>
      <c r="O670" t="s">
        <v>11</v>
      </c>
      <c r="P670" t="s">
        <v>151</v>
      </c>
      <c r="Q670" t="s">
        <v>408</v>
      </c>
      <c r="R670" t="s">
        <v>439</v>
      </c>
      <c r="S670" t="s">
        <v>440</v>
      </c>
      <c r="T670" t="s">
        <v>11</v>
      </c>
      <c r="U670" t="s">
        <v>408</v>
      </c>
    </row>
    <row r="671" spans="1:21" x14ac:dyDescent="0.25">
      <c r="A671">
        <v>16390536</v>
      </c>
      <c r="B671" t="s">
        <v>340</v>
      </c>
      <c r="C671" t="s">
        <v>26</v>
      </c>
      <c r="D671" t="s">
        <v>12</v>
      </c>
      <c r="E671" t="s">
        <v>724</v>
      </c>
      <c r="F671" t="s">
        <v>36</v>
      </c>
      <c r="G671" t="s">
        <v>369</v>
      </c>
      <c r="H671" t="s">
        <v>0</v>
      </c>
      <c r="I671" t="s">
        <v>436</v>
      </c>
      <c r="J671" t="s">
        <v>437</v>
      </c>
      <c r="K671" t="s">
        <v>438</v>
      </c>
      <c r="L671" t="s">
        <v>9</v>
      </c>
      <c r="M671" t="s">
        <v>408</v>
      </c>
      <c r="N671" t="s">
        <v>408</v>
      </c>
      <c r="O671" t="s">
        <v>11</v>
      </c>
      <c r="P671" t="s">
        <v>2</v>
      </c>
      <c r="Q671" t="s">
        <v>408</v>
      </c>
      <c r="R671" t="s">
        <v>439</v>
      </c>
      <c r="S671" t="s">
        <v>440</v>
      </c>
      <c r="T671" t="s">
        <v>408</v>
      </c>
      <c r="U671" t="s">
        <v>408</v>
      </c>
    </row>
    <row r="672" spans="1:21" x14ac:dyDescent="0.25">
      <c r="A672">
        <v>16390542</v>
      </c>
      <c r="B672" t="s">
        <v>340</v>
      </c>
      <c r="C672" t="s">
        <v>26</v>
      </c>
      <c r="D672" t="s">
        <v>12</v>
      </c>
      <c r="E672" t="s">
        <v>410</v>
      </c>
      <c r="F672" t="s">
        <v>74</v>
      </c>
      <c r="G672" t="s">
        <v>369</v>
      </c>
      <c r="H672" t="s">
        <v>0</v>
      </c>
      <c r="I672" t="s">
        <v>436</v>
      </c>
      <c r="J672" t="s">
        <v>437</v>
      </c>
      <c r="K672" t="s">
        <v>438</v>
      </c>
      <c r="L672" t="s">
        <v>345</v>
      </c>
      <c r="M672" t="s">
        <v>408</v>
      </c>
      <c r="N672" t="s">
        <v>408</v>
      </c>
      <c r="O672" t="s">
        <v>11</v>
      </c>
      <c r="P672" t="s">
        <v>0</v>
      </c>
      <c r="Q672" t="s">
        <v>408</v>
      </c>
      <c r="R672" t="s">
        <v>439</v>
      </c>
      <c r="S672" t="s">
        <v>440</v>
      </c>
      <c r="T672" t="s">
        <v>408</v>
      </c>
      <c r="U672" t="s">
        <v>408</v>
      </c>
    </row>
    <row r="673" spans="1:21" x14ac:dyDescent="0.25">
      <c r="A673">
        <v>16390546</v>
      </c>
      <c r="B673" t="s">
        <v>340</v>
      </c>
      <c r="C673" t="s">
        <v>26</v>
      </c>
      <c r="D673" t="s">
        <v>12</v>
      </c>
      <c r="E673" t="s">
        <v>730</v>
      </c>
      <c r="F673" t="s">
        <v>41</v>
      </c>
      <c r="G673" t="s">
        <v>369</v>
      </c>
      <c r="H673" t="s">
        <v>1</v>
      </c>
      <c r="I673" t="s">
        <v>469</v>
      </c>
      <c r="J673" t="s">
        <v>445</v>
      </c>
      <c r="K673" t="s">
        <v>438</v>
      </c>
      <c r="L673" t="s">
        <v>2</v>
      </c>
      <c r="M673" t="s">
        <v>408</v>
      </c>
      <c r="N673" t="s">
        <v>11</v>
      </c>
      <c r="O673" t="s">
        <v>11</v>
      </c>
      <c r="P673" t="s">
        <v>151</v>
      </c>
      <c r="Q673" t="s">
        <v>408</v>
      </c>
      <c r="R673" t="s">
        <v>439</v>
      </c>
      <c r="S673" t="s">
        <v>440</v>
      </c>
      <c r="T673" t="s">
        <v>11</v>
      </c>
      <c r="U673" t="s">
        <v>408</v>
      </c>
    </row>
    <row r="674" spans="1:21" x14ac:dyDescent="0.25">
      <c r="A674">
        <v>16390547</v>
      </c>
      <c r="B674" t="s">
        <v>340</v>
      </c>
      <c r="C674" t="s">
        <v>26</v>
      </c>
      <c r="D674" t="s">
        <v>12</v>
      </c>
      <c r="E674" t="s">
        <v>723</v>
      </c>
      <c r="F674" t="s">
        <v>137</v>
      </c>
      <c r="G674" t="s">
        <v>369</v>
      </c>
      <c r="H674" t="s">
        <v>0</v>
      </c>
      <c r="I674" t="s">
        <v>436</v>
      </c>
      <c r="J674" t="s">
        <v>437</v>
      </c>
      <c r="K674" t="s">
        <v>438</v>
      </c>
      <c r="L674" t="s">
        <v>5</v>
      </c>
      <c r="M674" t="s">
        <v>408</v>
      </c>
      <c r="N674" t="s">
        <v>11</v>
      </c>
      <c r="O674" t="s">
        <v>408</v>
      </c>
      <c r="P674" t="s">
        <v>0</v>
      </c>
      <c r="Q674" t="s">
        <v>408</v>
      </c>
      <c r="R674" t="s">
        <v>439</v>
      </c>
      <c r="S674" t="s">
        <v>440</v>
      </c>
      <c r="T674" t="s">
        <v>11</v>
      </c>
      <c r="U674" t="s">
        <v>408</v>
      </c>
    </row>
    <row r="675" spans="1:21" x14ac:dyDescent="0.25">
      <c r="A675">
        <v>16390548</v>
      </c>
      <c r="B675" t="s">
        <v>340</v>
      </c>
      <c r="C675" t="s">
        <v>26</v>
      </c>
      <c r="D675" t="s">
        <v>12</v>
      </c>
      <c r="E675" t="s">
        <v>522</v>
      </c>
      <c r="F675" t="s">
        <v>136</v>
      </c>
      <c r="G675" t="s">
        <v>369</v>
      </c>
      <c r="H675" t="s">
        <v>727</v>
      </c>
      <c r="I675" t="s">
        <v>728</v>
      </c>
      <c r="J675" t="s">
        <v>729</v>
      </c>
      <c r="K675" t="s">
        <v>450</v>
      </c>
      <c r="L675" t="s">
        <v>367</v>
      </c>
      <c r="M675" t="s">
        <v>408</v>
      </c>
      <c r="N675" t="s">
        <v>11</v>
      </c>
      <c r="O675" t="s">
        <v>408</v>
      </c>
      <c r="P675" t="s">
        <v>0</v>
      </c>
      <c r="Q675" t="s">
        <v>408</v>
      </c>
      <c r="R675" t="s">
        <v>439</v>
      </c>
      <c r="S675" t="s">
        <v>451</v>
      </c>
      <c r="T675" t="s">
        <v>11</v>
      </c>
      <c r="U675" t="s">
        <v>408</v>
      </c>
    </row>
    <row r="676" spans="1:21" x14ac:dyDescent="0.25">
      <c r="A676">
        <v>16390550</v>
      </c>
      <c r="B676" t="s">
        <v>340</v>
      </c>
      <c r="C676" t="s">
        <v>26</v>
      </c>
      <c r="D676" t="s">
        <v>12</v>
      </c>
      <c r="E676" t="s">
        <v>620</v>
      </c>
      <c r="F676" t="s">
        <v>228</v>
      </c>
      <c r="G676" t="s">
        <v>369</v>
      </c>
      <c r="H676" t="s">
        <v>370</v>
      </c>
      <c r="I676" t="s">
        <v>721</v>
      </c>
      <c r="J676" t="s">
        <v>455</v>
      </c>
      <c r="K676" t="s">
        <v>453</v>
      </c>
      <c r="L676" t="s">
        <v>367</v>
      </c>
      <c r="M676" t="s">
        <v>408</v>
      </c>
      <c r="N676" t="s">
        <v>11</v>
      </c>
      <c r="O676" t="s">
        <v>11</v>
      </c>
      <c r="P676" t="s">
        <v>2</v>
      </c>
      <c r="Q676" t="s">
        <v>408</v>
      </c>
      <c r="R676" t="s">
        <v>439</v>
      </c>
      <c r="S676" t="s">
        <v>451</v>
      </c>
      <c r="T676" t="s">
        <v>11</v>
      </c>
      <c r="U676" t="s">
        <v>408</v>
      </c>
    </row>
    <row r="677" spans="1:21" x14ac:dyDescent="0.25">
      <c r="A677">
        <v>16390551</v>
      </c>
      <c r="B677" t="s">
        <v>340</v>
      </c>
      <c r="C677" t="s">
        <v>26</v>
      </c>
      <c r="D677" t="s">
        <v>12</v>
      </c>
      <c r="E677" t="s">
        <v>719</v>
      </c>
      <c r="F677" t="s">
        <v>139</v>
      </c>
      <c r="G677" t="s">
        <v>369</v>
      </c>
      <c r="H677" t="s">
        <v>0</v>
      </c>
      <c r="I677" t="s">
        <v>436</v>
      </c>
      <c r="J677" t="s">
        <v>437</v>
      </c>
      <c r="K677" t="s">
        <v>438</v>
      </c>
      <c r="L677" t="s">
        <v>9</v>
      </c>
      <c r="M677" t="s">
        <v>408</v>
      </c>
      <c r="N677" t="s">
        <v>11</v>
      </c>
      <c r="O677" t="s">
        <v>408</v>
      </c>
      <c r="P677" t="s">
        <v>151</v>
      </c>
      <c r="Q677" t="s">
        <v>408</v>
      </c>
      <c r="R677" t="s">
        <v>439</v>
      </c>
      <c r="S677" t="s">
        <v>440</v>
      </c>
      <c r="T677" t="s">
        <v>11</v>
      </c>
      <c r="U677" t="s">
        <v>408</v>
      </c>
    </row>
    <row r="678" spans="1:21" x14ac:dyDescent="0.25">
      <c r="A678">
        <v>16390553</v>
      </c>
      <c r="B678" t="s">
        <v>340</v>
      </c>
      <c r="C678" t="s">
        <v>26</v>
      </c>
      <c r="D678" t="s">
        <v>12</v>
      </c>
      <c r="E678" t="s">
        <v>520</v>
      </c>
      <c r="F678" t="s">
        <v>227</v>
      </c>
      <c r="G678" t="s">
        <v>369</v>
      </c>
      <c r="H678" t="s">
        <v>370</v>
      </c>
      <c r="I678" t="s">
        <v>721</v>
      </c>
      <c r="J678" t="s">
        <v>455</v>
      </c>
      <c r="K678" t="s">
        <v>453</v>
      </c>
      <c r="L678" t="s">
        <v>367</v>
      </c>
      <c r="M678" t="s">
        <v>408</v>
      </c>
      <c r="N678" t="s">
        <v>408</v>
      </c>
      <c r="O678" t="s">
        <v>11</v>
      </c>
      <c r="P678" t="s">
        <v>0</v>
      </c>
      <c r="Q678" t="s">
        <v>408</v>
      </c>
      <c r="R678" t="s">
        <v>439</v>
      </c>
      <c r="S678" t="s">
        <v>451</v>
      </c>
      <c r="T678" t="s">
        <v>408</v>
      </c>
      <c r="U678" t="s">
        <v>408</v>
      </c>
    </row>
    <row r="679" spans="1:21" x14ac:dyDescent="0.25">
      <c r="A679">
        <v>16390554</v>
      </c>
      <c r="B679" t="s">
        <v>340</v>
      </c>
      <c r="C679" t="s">
        <v>26</v>
      </c>
      <c r="D679" t="s">
        <v>12</v>
      </c>
      <c r="E679" t="s">
        <v>740</v>
      </c>
      <c r="F679" t="s">
        <v>58</v>
      </c>
      <c r="G679" t="s">
        <v>369</v>
      </c>
      <c r="H679" t="s">
        <v>5</v>
      </c>
      <c r="I679" t="s">
        <v>436</v>
      </c>
      <c r="J679" t="s">
        <v>446</v>
      </c>
      <c r="K679" t="s">
        <v>438</v>
      </c>
      <c r="L679" t="s">
        <v>2</v>
      </c>
      <c r="M679" t="s">
        <v>408</v>
      </c>
      <c r="N679" t="s">
        <v>408</v>
      </c>
      <c r="O679" t="s">
        <v>11</v>
      </c>
      <c r="P679" t="s">
        <v>0</v>
      </c>
      <c r="Q679" t="s">
        <v>408</v>
      </c>
      <c r="R679" t="s">
        <v>439</v>
      </c>
      <c r="S679" t="s">
        <v>440</v>
      </c>
      <c r="T679" t="s">
        <v>408</v>
      </c>
      <c r="U679" t="s">
        <v>408</v>
      </c>
    </row>
    <row r="680" spans="1:21" x14ac:dyDescent="0.25">
      <c r="A680">
        <v>16390557</v>
      </c>
      <c r="B680" t="s">
        <v>342</v>
      </c>
      <c r="C680" t="s">
        <v>33</v>
      </c>
      <c r="D680" t="s">
        <v>12</v>
      </c>
      <c r="E680" t="s">
        <v>622</v>
      </c>
      <c r="F680" t="s">
        <v>221</v>
      </c>
      <c r="G680" t="s">
        <v>369</v>
      </c>
      <c r="H680" t="s">
        <v>370</v>
      </c>
      <c r="I680" t="s">
        <v>721</v>
      </c>
      <c r="J680" t="s">
        <v>455</v>
      </c>
      <c r="K680" t="s">
        <v>453</v>
      </c>
      <c r="L680" t="s">
        <v>367</v>
      </c>
      <c r="M680" t="s">
        <v>408</v>
      </c>
      <c r="N680" t="s">
        <v>408</v>
      </c>
      <c r="O680" t="s">
        <v>11</v>
      </c>
      <c r="P680" t="s">
        <v>2</v>
      </c>
      <c r="Q680" t="s">
        <v>408</v>
      </c>
      <c r="R680" t="s">
        <v>439</v>
      </c>
      <c r="S680" t="s">
        <v>451</v>
      </c>
      <c r="T680" t="s">
        <v>408</v>
      </c>
      <c r="U680" t="s">
        <v>408</v>
      </c>
    </row>
    <row r="681" spans="1:21" x14ac:dyDescent="0.25">
      <c r="A681">
        <v>16390558</v>
      </c>
      <c r="B681" t="s">
        <v>342</v>
      </c>
      <c r="C681" t="s">
        <v>38</v>
      </c>
      <c r="D681" t="s">
        <v>12</v>
      </c>
      <c r="E681" t="s">
        <v>622</v>
      </c>
      <c r="F681" t="s">
        <v>221</v>
      </c>
      <c r="G681" t="s">
        <v>369</v>
      </c>
      <c r="H681" t="s">
        <v>1</v>
      </c>
      <c r="I681" t="s">
        <v>469</v>
      </c>
      <c r="J681" t="s">
        <v>445</v>
      </c>
      <c r="K681" t="s">
        <v>438</v>
      </c>
      <c r="L681" t="s">
        <v>0</v>
      </c>
      <c r="M681" t="s">
        <v>408</v>
      </c>
      <c r="N681" t="s">
        <v>408</v>
      </c>
      <c r="O681" t="s">
        <v>11</v>
      </c>
      <c r="P681" t="s">
        <v>0</v>
      </c>
      <c r="Q681" t="s">
        <v>408</v>
      </c>
      <c r="R681" t="s">
        <v>439</v>
      </c>
      <c r="S681" t="s">
        <v>440</v>
      </c>
      <c r="T681" t="s">
        <v>408</v>
      </c>
      <c r="U681" t="s">
        <v>408</v>
      </c>
    </row>
    <row r="682" spans="1:21" x14ac:dyDescent="0.25">
      <c r="A682">
        <v>16390559</v>
      </c>
      <c r="B682" t="s">
        <v>342</v>
      </c>
      <c r="C682" t="s">
        <v>38</v>
      </c>
      <c r="D682" t="s">
        <v>12</v>
      </c>
      <c r="E682" t="s">
        <v>740</v>
      </c>
      <c r="F682" t="s">
        <v>58</v>
      </c>
      <c r="G682" t="s">
        <v>369</v>
      </c>
      <c r="H682" t="s">
        <v>5</v>
      </c>
      <c r="I682" t="s">
        <v>436</v>
      </c>
      <c r="J682" t="s">
        <v>446</v>
      </c>
      <c r="K682" t="s">
        <v>438</v>
      </c>
      <c r="L682" t="s">
        <v>2</v>
      </c>
      <c r="M682" t="s">
        <v>408</v>
      </c>
      <c r="N682" t="s">
        <v>408</v>
      </c>
      <c r="O682" t="s">
        <v>11</v>
      </c>
      <c r="P682" t="s">
        <v>0</v>
      </c>
      <c r="Q682" t="s">
        <v>408</v>
      </c>
      <c r="R682" t="s">
        <v>439</v>
      </c>
      <c r="S682" t="s">
        <v>440</v>
      </c>
      <c r="T682" t="s">
        <v>408</v>
      </c>
      <c r="U682" t="s">
        <v>408</v>
      </c>
    </row>
    <row r="683" spans="1:21" x14ac:dyDescent="0.25">
      <c r="A683">
        <v>16390560</v>
      </c>
      <c r="B683" t="s">
        <v>342</v>
      </c>
      <c r="C683" t="s">
        <v>38</v>
      </c>
      <c r="D683" t="s">
        <v>12</v>
      </c>
      <c r="E683" t="s">
        <v>622</v>
      </c>
      <c r="F683" t="s">
        <v>221</v>
      </c>
      <c r="G683" t="s">
        <v>369</v>
      </c>
      <c r="H683" t="s">
        <v>0</v>
      </c>
      <c r="I683" t="s">
        <v>436</v>
      </c>
      <c r="J683" t="s">
        <v>437</v>
      </c>
      <c r="K683" t="s">
        <v>438</v>
      </c>
      <c r="L683" t="s">
        <v>1</v>
      </c>
      <c r="M683" t="s">
        <v>408</v>
      </c>
      <c r="N683" t="s">
        <v>408</v>
      </c>
      <c r="O683" t="s">
        <v>11</v>
      </c>
      <c r="P683" t="s">
        <v>0</v>
      </c>
      <c r="Q683" t="s">
        <v>408</v>
      </c>
      <c r="R683" t="s">
        <v>439</v>
      </c>
      <c r="S683" t="s">
        <v>440</v>
      </c>
      <c r="T683" t="s">
        <v>408</v>
      </c>
      <c r="U683" t="s">
        <v>408</v>
      </c>
    </row>
    <row r="684" spans="1:21" x14ac:dyDescent="0.25">
      <c r="A684">
        <v>16390561</v>
      </c>
      <c r="B684" t="s">
        <v>342</v>
      </c>
      <c r="C684" t="s">
        <v>38</v>
      </c>
      <c r="D684" t="s">
        <v>12</v>
      </c>
      <c r="E684" t="s">
        <v>740</v>
      </c>
      <c r="F684" t="s">
        <v>58</v>
      </c>
      <c r="G684" t="s">
        <v>369</v>
      </c>
      <c r="H684" t="s">
        <v>1</v>
      </c>
      <c r="I684" t="s">
        <v>469</v>
      </c>
      <c r="J684" t="s">
        <v>445</v>
      </c>
      <c r="K684" t="s">
        <v>438</v>
      </c>
      <c r="L684" t="s">
        <v>0</v>
      </c>
      <c r="M684" t="s">
        <v>408</v>
      </c>
      <c r="N684" t="s">
        <v>408</v>
      </c>
      <c r="O684" t="s">
        <v>11</v>
      </c>
      <c r="P684" t="s">
        <v>0</v>
      </c>
      <c r="Q684" t="s">
        <v>408</v>
      </c>
      <c r="R684" t="s">
        <v>439</v>
      </c>
      <c r="S684" t="s">
        <v>440</v>
      </c>
      <c r="T684" t="s">
        <v>408</v>
      </c>
      <c r="U684" t="s">
        <v>408</v>
      </c>
    </row>
    <row r="685" spans="1:21" x14ac:dyDescent="0.25">
      <c r="A685">
        <v>16390562</v>
      </c>
      <c r="B685" t="s">
        <v>340</v>
      </c>
      <c r="C685" t="s">
        <v>26</v>
      </c>
      <c r="D685" t="s">
        <v>12</v>
      </c>
      <c r="E685" t="s">
        <v>730</v>
      </c>
      <c r="F685" t="s">
        <v>41</v>
      </c>
      <c r="G685" t="s">
        <v>369</v>
      </c>
      <c r="H685" t="s">
        <v>370</v>
      </c>
      <c r="I685" t="s">
        <v>721</v>
      </c>
      <c r="J685" t="s">
        <v>455</v>
      </c>
      <c r="K685" t="s">
        <v>453</v>
      </c>
      <c r="L685" t="s">
        <v>367</v>
      </c>
      <c r="M685" t="s">
        <v>408</v>
      </c>
      <c r="N685" t="s">
        <v>11</v>
      </c>
      <c r="O685" t="s">
        <v>11</v>
      </c>
      <c r="P685" t="s">
        <v>2</v>
      </c>
      <c r="Q685" t="s">
        <v>408</v>
      </c>
      <c r="R685" t="s">
        <v>439</v>
      </c>
      <c r="S685" t="s">
        <v>451</v>
      </c>
      <c r="T685" t="s">
        <v>11</v>
      </c>
      <c r="U685" t="s">
        <v>408</v>
      </c>
    </row>
    <row r="686" spans="1:21" x14ac:dyDescent="0.25">
      <c r="A686">
        <v>16390565</v>
      </c>
      <c r="B686" t="s">
        <v>342</v>
      </c>
      <c r="C686" t="s">
        <v>33</v>
      </c>
      <c r="D686" t="s">
        <v>12</v>
      </c>
      <c r="E686" t="s">
        <v>512</v>
      </c>
      <c r="F686" t="s">
        <v>115</v>
      </c>
      <c r="G686" t="s">
        <v>369</v>
      </c>
      <c r="H686" t="s">
        <v>2</v>
      </c>
      <c r="I686" t="s">
        <v>436</v>
      </c>
      <c r="J686" t="s">
        <v>443</v>
      </c>
      <c r="K686" t="s">
        <v>444</v>
      </c>
      <c r="L686" t="s">
        <v>4</v>
      </c>
      <c r="M686" t="s">
        <v>408</v>
      </c>
      <c r="N686" t="s">
        <v>11</v>
      </c>
      <c r="O686" t="s">
        <v>11</v>
      </c>
      <c r="P686" t="s">
        <v>2</v>
      </c>
      <c r="Q686" t="s">
        <v>408</v>
      </c>
      <c r="R686" t="s">
        <v>439</v>
      </c>
      <c r="S686" t="s">
        <v>440</v>
      </c>
      <c r="T686" t="s">
        <v>11</v>
      </c>
      <c r="U686" t="s">
        <v>408</v>
      </c>
    </row>
    <row r="687" spans="1:21" x14ac:dyDescent="0.25">
      <c r="A687">
        <v>16390566</v>
      </c>
      <c r="B687" t="s">
        <v>340</v>
      </c>
      <c r="C687" t="s">
        <v>26</v>
      </c>
      <c r="D687" t="s">
        <v>12</v>
      </c>
      <c r="E687" t="s">
        <v>512</v>
      </c>
      <c r="F687" t="s">
        <v>182</v>
      </c>
      <c r="G687" t="s">
        <v>369</v>
      </c>
      <c r="H687" t="s">
        <v>370</v>
      </c>
      <c r="I687" t="s">
        <v>721</v>
      </c>
      <c r="J687" t="s">
        <v>455</v>
      </c>
      <c r="K687" t="s">
        <v>453</v>
      </c>
      <c r="L687" t="s">
        <v>367</v>
      </c>
      <c r="M687" t="s">
        <v>408</v>
      </c>
      <c r="N687" t="s">
        <v>11</v>
      </c>
      <c r="O687" t="s">
        <v>11</v>
      </c>
      <c r="P687" t="s">
        <v>2</v>
      </c>
      <c r="Q687" t="s">
        <v>408</v>
      </c>
      <c r="R687" t="s">
        <v>439</v>
      </c>
      <c r="S687" t="s">
        <v>451</v>
      </c>
      <c r="T687" t="s">
        <v>11</v>
      </c>
      <c r="U687" t="s">
        <v>408</v>
      </c>
    </row>
    <row r="688" spans="1:21" x14ac:dyDescent="0.25">
      <c r="A688">
        <v>16390567</v>
      </c>
      <c r="B688" t="s">
        <v>340</v>
      </c>
      <c r="C688" t="s">
        <v>26</v>
      </c>
      <c r="D688" t="s">
        <v>12</v>
      </c>
      <c r="E688" t="s">
        <v>623</v>
      </c>
      <c r="F688" t="s">
        <v>35</v>
      </c>
      <c r="G688" t="s">
        <v>369</v>
      </c>
      <c r="H688" t="s">
        <v>0</v>
      </c>
      <c r="I688" t="s">
        <v>436</v>
      </c>
      <c r="J688" t="s">
        <v>437</v>
      </c>
      <c r="K688" t="s">
        <v>438</v>
      </c>
      <c r="L688" t="s">
        <v>4</v>
      </c>
      <c r="M688" t="s">
        <v>408</v>
      </c>
      <c r="N688" t="s">
        <v>11</v>
      </c>
      <c r="O688" t="s">
        <v>11</v>
      </c>
      <c r="P688" t="s">
        <v>2</v>
      </c>
      <c r="Q688" t="s">
        <v>408</v>
      </c>
      <c r="R688" t="s">
        <v>439</v>
      </c>
      <c r="S688" t="s">
        <v>440</v>
      </c>
      <c r="T688" t="s">
        <v>11</v>
      </c>
      <c r="U688" t="s">
        <v>408</v>
      </c>
    </row>
    <row r="689" spans="1:21" x14ac:dyDescent="0.25">
      <c r="A689">
        <v>16390579</v>
      </c>
      <c r="B689" t="s">
        <v>340</v>
      </c>
      <c r="C689" t="s">
        <v>26</v>
      </c>
      <c r="D689" t="s">
        <v>18</v>
      </c>
      <c r="E689" t="s">
        <v>502</v>
      </c>
      <c r="F689" t="s">
        <v>62</v>
      </c>
      <c r="G689" t="s">
        <v>369</v>
      </c>
      <c r="H689" t="s">
        <v>1</v>
      </c>
      <c r="I689" t="s">
        <v>469</v>
      </c>
      <c r="J689" t="s">
        <v>445</v>
      </c>
      <c r="K689" t="s">
        <v>438</v>
      </c>
      <c r="L689" t="s">
        <v>2</v>
      </c>
      <c r="M689" t="s">
        <v>408</v>
      </c>
      <c r="N689" t="s">
        <v>11</v>
      </c>
      <c r="O689" t="s">
        <v>408</v>
      </c>
      <c r="P689" t="s">
        <v>0</v>
      </c>
      <c r="Q689" t="s">
        <v>408</v>
      </c>
      <c r="R689" t="s">
        <v>439</v>
      </c>
      <c r="S689" t="s">
        <v>440</v>
      </c>
      <c r="T689" t="s">
        <v>11</v>
      </c>
      <c r="U689" t="s">
        <v>408</v>
      </c>
    </row>
    <row r="690" spans="1:21" x14ac:dyDescent="0.25">
      <c r="A690">
        <v>16390580</v>
      </c>
      <c r="B690" t="s">
        <v>340</v>
      </c>
      <c r="C690" t="s">
        <v>26</v>
      </c>
      <c r="D690" t="s">
        <v>12</v>
      </c>
      <c r="E690" t="s">
        <v>730</v>
      </c>
      <c r="F690" t="s">
        <v>41</v>
      </c>
      <c r="G690" t="s">
        <v>369</v>
      </c>
      <c r="H690" t="s">
        <v>0</v>
      </c>
      <c r="I690" t="s">
        <v>436</v>
      </c>
      <c r="J690" t="s">
        <v>437</v>
      </c>
      <c r="K690" t="s">
        <v>438</v>
      </c>
      <c r="L690" t="s">
        <v>1</v>
      </c>
      <c r="M690" t="s">
        <v>408</v>
      </c>
      <c r="N690" t="s">
        <v>11</v>
      </c>
      <c r="O690" t="s">
        <v>11</v>
      </c>
      <c r="P690" t="s">
        <v>347</v>
      </c>
      <c r="Q690" t="s">
        <v>408</v>
      </c>
      <c r="R690" t="s">
        <v>439</v>
      </c>
      <c r="S690" t="s">
        <v>440</v>
      </c>
      <c r="T690" t="s">
        <v>11</v>
      </c>
      <c r="U690" t="s">
        <v>408</v>
      </c>
    </row>
    <row r="691" spans="1:21" x14ac:dyDescent="0.25">
      <c r="A691">
        <v>16390584</v>
      </c>
      <c r="B691" t="s">
        <v>340</v>
      </c>
      <c r="C691" t="s">
        <v>26</v>
      </c>
      <c r="D691" t="s">
        <v>12</v>
      </c>
      <c r="E691" t="s">
        <v>730</v>
      </c>
      <c r="F691" t="s">
        <v>41</v>
      </c>
      <c r="G691" t="s">
        <v>369</v>
      </c>
      <c r="H691" t="s">
        <v>0</v>
      </c>
      <c r="I691" t="s">
        <v>436</v>
      </c>
      <c r="J691" t="s">
        <v>437</v>
      </c>
      <c r="K691" t="s">
        <v>438</v>
      </c>
      <c r="L691" t="s">
        <v>1</v>
      </c>
      <c r="M691" t="s">
        <v>408</v>
      </c>
      <c r="N691" t="s">
        <v>11</v>
      </c>
      <c r="O691" t="s">
        <v>11</v>
      </c>
      <c r="P691" t="s">
        <v>347</v>
      </c>
      <c r="Q691" t="s">
        <v>408</v>
      </c>
      <c r="R691" t="s">
        <v>439</v>
      </c>
      <c r="S691" t="s">
        <v>440</v>
      </c>
      <c r="T691" t="s">
        <v>11</v>
      </c>
      <c r="U691" t="s">
        <v>408</v>
      </c>
    </row>
    <row r="692" spans="1:21" x14ac:dyDescent="0.25">
      <c r="A692">
        <v>16390585</v>
      </c>
      <c r="B692" t="s">
        <v>340</v>
      </c>
      <c r="C692" t="s">
        <v>26</v>
      </c>
      <c r="D692" t="s">
        <v>12</v>
      </c>
      <c r="E692" t="s">
        <v>732</v>
      </c>
      <c r="F692" t="s">
        <v>64</v>
      </c>
      <c r="G692" t="s">
        <v>369</v>
      </c>
      <c r="H692" t="s">
        <v>370</v>
      </c>
      <c r="I692" t="s">
        <v>721</v>
      </c>
      <c r="J692" t="s">
        <v>455</v>
      </c>
      <c r="K692" t="s">
        <v>453</v>
      </c>
      <c r="L692" t="s">
        <v>367</v>
      </c>
      <c r="M692" t="s">
        <v>408</v>
      </c>
      <c r="N692" t="s">
        <v>11</v>
      </c>
      <c r="O692" t="s">
        <v>11</v>
      </c>
      <c r="P692" t="s">
        <v>0</v>
      </c>
      <c r="Q692" t="s">
        <v>408</v>
      </c>
      <c r="R692" t="s">
        <v>439</v>
      </c>
      <c r="S692" t="s">
        <v>451</v>
      </c>
      <c r="T692" t="s">
        <v>11</v>
      </c>
      <c r="U692" t="s">
        <v>408</v>
      </c>
    </row>
    <row r="693" spans="1:21" x14ac:dyDescent="0.25">
      <c r="A693">
        <v>16390589</v>
      </c>
      <c r="B693" t="s">
        <v>340</v>
      </c>
      <c r="C693" t="s">
        <v>26</v>
      </c>
      <c r="D693" t="s">
        <v>12</v>
      </c>
      <c r="E693" t="s">
        <v>719</v>
      </c>
      <c r="F693" t="s">
        <v>139</v>
      </c>
      <c r="G693" t="s">
        <v>369</v>
      </c>
      <c r="H693" t="s">
        <v>3</v>
      </c>
      <c r="I693" t="s">
        <v>436</v>
      </c>
      <c r="J693" t="s">
        <v>441</v>
      </c>
      <c r="K693" t="s">
        <v>442</v>
      </c>
      <c r="L693" t="s">
        <v>0</v>
      </c>
      <c r="M693" t="s">
        <v>408</v>
      </c>
      <c r="N693" t="s">
        <v>11</v>
      </c>
      <c r="O693" t="s">
        <v>408</v>
      </c>
      <c r="P693" t="s">
        <v>151</v>
      </c>
      <c r="Q693" t="s">
        <v>408</v>
      </c>
      <c r="R693" t="s">
        <v>439</v>
      </c>
      <c r="S693" t="s">
        <v>440</v>
      </c>
      <c r="T693" t="s">
        <v>11</v>
      </c>
      <c r="U693" t="s">
        <v>408</v>
      </c>
    </row>
    <row r="694" spans="1:21" x14ac:dyDescent="0.25">
      <c r="A694">
        <v>16390592</v>
      </c>
      <c r="B694" t="s">
        <v>342</v>
      </c>
      <c r="C694" t="s">
        <v>33</v>
      </c>
      <c r="D694" t="s">
        <v>12</v>
      </c>
      <c r="E694" t="s">
        <v>708</v>
      </c>
      <c r="F694" t="s">
        <v>61</v>
      </c>
      <c r="G694" t="s">
        <v>369</v>
      </c>
      <c r="H694" t="s">
        <v>5</v>
      </c>
      <c r="I694" t="s">
        <v>436</v>
      </c>
      <c r="J694" t="s">
        <v>446</v>
      </c>
      <c r="K694" t="s">
        <v>438</v>
      </c>
      <c r="L694" t="s">
        <v>2</v>
      </c>
      <c r="M694" t="s">
        <v>408</v>
      </c>
      <c r="N694" t="s">
        <v>11</v>
      </c>
      <c r="O694" t="s">
        <v>11</v>
      </c>
      <c r="P694" t="s">
        <v>77</v>
      </c>
      <c r="Q694" t="s">
        <v>408</v>
      </c>
      <c r="R694" t="s">
        <v>439</v>
      </c>
      <c r="S694" t="s">
        <v>440</v>
      </c>
      <c r="T694" t="s">
        <v>11</v>
      </c>
      <c r="U694" t="s">
        <v>408</v>
      </c>
    </row>
    <row r="695" spans="1:21" x14ac:dyDescent="0.25">
      <c r="A695">
        <v>16390593</v>
      </c>
      <c r="B695" t="s">
        <v>340</v>
      </c>
      <c r="C695" t="s">
        <v>26</v>
      </c>
      <c r="D695" t="s">
        <v>12</v>
      </c>
      <c r="E695" t="s">
        <v>730</v>
      </c>
      <c r="F695" t="s">
        <v>41</v>
      </c>
      <c r="G695" t="s">
        <v>369</v>
      </c>
      <c r="H695" t="s">
        <v>5</v>
      </c>
      <c r="I695" t="s">
        <v>436</v>
      </c>
      <c r="J695" t="s">
        <v>446</v>
      </c>
      <c r="K695" t="s">
        <v>438</v>
      </c>
      <c r="L695" t="s">
        <v>2</v>
      </c>
      <c r="M695" t="s">
        <v>408</v>
      </c>
      <c r="N695" t="s">
        <v>11</v>
      </c>
      <c r="O695" t="s">
        <v>11</v>
      </c>
      <c r="P695" t="s">
        <v>0</v>
      </c>
      <c r="Q695" t="s">
        <v>408</v>
      </c>
      <c r="R695" t="s">
        <v>439</v>
      </c>
      <c r="S695" t="s">
        <v>440</v>
      </c>
      <c r="T695" t="s">
        <v>11</v>
      </c>
      <c r="U695" t="s">
        <v>408</v>
      </c>
    </row>
    <row r="696" spans="1:21" x14ac:dyDescent="0.25">
      <c r="A696">
        <v>16390594</v>
      </c>
      <c r="B696" t="s">
        <v>340</v>
      </c>
      <c r="C696" t="s">
        <v>26</v>
      </c>
      <c r="D696" t="s">
        <v>18</v>
      </c>
      <c r="E696" t="s">
        <v>734</v>
      </c>
      <c r="F696" t="s">
        <v>32</v>
      </c>
      <c r="G696" t="s">
        <v>369</v>
      </c>
      <c r="H696" t="s">
        <v>1</v>
      </c>
      <c r="I696" t="s">
        <v>469</v>
      </c>
      <c r="J696" t="s">
        <v>445</v>
      </c>
      <c r="K696" t="s">
        <v>438</v>
      </c>
      <c r="L696" t="s">
        <v>2</v>
      </c>
      <c r="M696" t="s">
        <v>408</v>
      </c>
      <c r="N696" t="s">
        <v>11</v>
      </c>
      <c r="O696" t="s">
        <v>11</v>
      </c>
      <c r="P696" t="s">
        <v>0</v>
      </c>
      <c r="Q696" t="s">
        <v>408</v>
      </c>
      <c r="R696" t="s">
        <v>439</v>
      </c>
      <c r="S696" t="s">
        <v>440</v>
      </c>
      <c r="T696" t="s">
        <v>11</v>
      </c>
      <c r="U696" t="s">
        <v>408</v>
      </c>
    </row>
    <row r="697" spans="1:21" x14ac:dyDescent="0.25">
      <c r="A697">
        <v>16390596</v>
      </c>
      <c r="B697" t="s">
        <v>340</v>
      </c>
      <c r="C697" t="s">
        <v>26</v>
      </c>
      <c r="D697" t="s">
        <v>12</v>
      </c>
      <c r="E697" t="s">
        <v>708</v>
      </c>
      <c r="F697" t="s">
        <v>31</v>
      </c>
      <c r="G697" t="s">
        <v>369</v>
      </c>
      <c r="H697" t="s">
        <v>1</v>
      </c>
      <c r="I697" t="s">
        <v>469</v>
      </c>
      <c r="J697" t="s">
        <v>445</v>
      </c>
      <c r="K697" t="s">
        <v>438</v>
      </c>
      <c r="L697" t="s">
        <v>2</v>
      </c>
      <c r="M697" t="s">
        <v>408</v>
      </c>
      <c r="N697" t="s">
        <v>11</v>
      </c>
      <c r="O697" t="s">
        <v>11</v>
      </c>
      <c r="P697" t="s">
        <v>0</v>
      </c>
      <c r="Q697" t="s">
        <v>408</v>
      </c>
      <c r="R697" t="s">
        <v>439</v>
      </c>
      <c r="S697" t="s">
        <v>440</v>
      </c>
      <c r="T697" t="s">
        <v>11</v>
      </c>
      <c r="U697" t="s">
        <v>408</v>
      </c>
    </row>
    <row r="698" spans="1:21" x14ac:dyDescent="0.25">
      <c r="A698">
        <v>16390597</v>
      </c>
      <c r="B698" t="s">
        <v>340</v>
      </c>
      <c r="C698" t="s">
        <v>26</v>
      </c>
      <c r="D698" t="s">
        <v>12</v>
      </c>
      <c r="E698" t="s">
        <v>732</v>
      </c>
      <c r="F698" t="s">
        <v>64</v>
      </c>
      <c r="G698" t="s">
        <v>369</v>
      </c>
      <c r="H698" t="s">
        <v>5</v>
      </c>
      <c r="I698" t="s">
        <v>436</v>
      </c>
      <c r="J698" t="s">
        <v>446</v>
      </c>
      <c r="K698" t="s">
        <v>438</v>
      </c>
      <c r="L698" t="s">
        <v>2</v>
      </c>
      <c r="M698" t="s">
        <v>408</v>
      </c>
      <c r="N698" t="s">
        <v>11</v>
      </c>
      <c r="O698" t="s">
        <v>11</v>
      </c>
      <c r="P698" t="s">
        <v>0</v>
      </c>
      <c r="Q698" t="s">
        <v>408</v>
      </c>
      <c r="R698" t="s">
        <v>439</v>
      </c>
      <c r="S698" t="s">
        <v>440</v>
      </c>
      <c r="T698" t="s">
        <v>11</v>
      </c>
      <c r="U698" t="s">
        <v>408</v>
      </c>
    </row>
    <row r="699" spans="1:21" x14ac:dyDescent="0.25">
      <c r="A699">
        <v>16390599</v>
      </c>
      <c r="B699" t="s">
        <v>340</v>
      </c>
      <c r="C699" t="s">
        <v>26</v>
      </c>
      <c r="D699" t="s">
        <v>12</v>
      </c>
      <c r="E699" t="s">
        <v>739</v>
      </c>
      <c r="F699" t="s">
        <v>28</v>
      </c>
      <c r="G699" t="s">
        <v>369</v>
      </c>
      <c r="H699" t="s">
        <v>1</v>
      </c>
      <c r="I699" t="s">
        <v>469</v>
      </c>
      <c r="J699" t="s">
        <v>445</v>
      </c>
      <c r="K699" t="s">
        <v>438</v>
      </c>
      <c r="L699" t="s">
        <v>2</v>
      </c>
      <c r="M699" t="s">
        <v>408</v>
      </c>
      <c r="N699" t="s">
        <v>408</v>
      </c>
      <c r="O699" t="s">
        <v>11</v>
      </c>
      <c r="P699" t="s">
        <v>2</v>
      </c>
      <c r="Q699" t="s">
        <v>408</v>
      </c>
      <c r="R699" t="s">
        <v>439</v>
      </c>
      <c r="S699" t="s">
        <v>440</v>
      </c>
      <c r="T699" t="s">
        <v>408</v>
      </c>
      <c r="U699" t="s">
        <v>408</v>
      </c>
    </row>
    <row r="700" spans="1:21" x14ac:dyDescent="0.25">
      <c r="A700">
        <v>16705207</v>
      </c>
      <c r="B700" t="s">
        <v>340</v>
      </c>
      <c r="C700" t="s">
        <v>26</v>
      </c>
      <c r="D700" t="s">
        <v>12</v>
      </c>
      <c r="E700" t="s">
        <v>741</v>
      </c>
      <c r="F700" t="s">
        <v>224</v>
      </c>
      <c r="G700" t="s">
        <v>369</v>
      </c>
      <c r="H700" t="s">
        <v>715</v>
      </c>
      <c r="I700" t="s">
        <v>716</v>
      </c>
      <c r="J700" t="s">
        <v>717</v>
      </c>
      <c r="K700" t="s">
        <v>438</v>
      </c>
      <c r="L700" t="s">
        <v>0</v>
      </c>
      <c r="M700" t="s">
        <v>408</v>
      </c>
      <c r="N700" t="s">
        <v>11</v>
      </c>
      <c r="O700" t="s">
        <v>11</v>
      </c>
      <c r="P700" t="s">
        <v>0</v>
      </c>
      <c r="Q700" t="s">
        <v>408</v>
      </c>
      <c r="R700" t="s">
        <v>439</v>
      </c>
      <c r="S700" t="s">
        <v>440</v>
      </c>
      <c r="T700" t="s">
        <v>11</v>
      </c>
      <c r="U700" t="s">
        <v>408</v>
      </c>
    </row>
    <row r="701" spans="1:21" x14ac:dyDescent="0.25">
      <c r="A701">
        <v>16705216</v>
      </c>
      <c r="B701" t="s">
        <v>340</v>
      </c>
      <c r="C701" t="s">
        <v>26</v>
      </c>
      <c r="D701" t="s">
        <v>18</v>
      </c>
      <c r="E701" t="s">
        <v>740</v>
      </c>
      <c r="F701" t="s">
        <v>59</v>
      </c>
      <c r="G701" t="s">
        <v>369</v>
      </c>
      <c r="H701" t="s">
        <v>0</v>
      </c>
      <c r="I701" t="s">
        <v>436</v>
      </c>
      <c r="J701" t="s">
        <v>437</v>
      </c>
      <c r="K701" t="s">
        <v>438</v>
      </c>
      <c r="L701" t="s">
        <v>5</v>
      </c>
      <c r="M701" t="s">
        <v>408</v>
      </c>
      <c r="N701" t="s">
        <v>11</v>
      </c>
      <c r="O701" t="s">
        <v>11</v>
      </c>
      <c r="P701" t="s">
        <v>0</v>
      </c>
      <c r="Q701" t="s">
        <v>408</v>
      </c>
      <c r="R701" t="s">
        <v>439</v>
      </c>
      <c r="S701" t="s">
        <v>440</v>
      </c>
      <c r="T701" t="s">
        <v>11</v>
      </c>
      <c r="U701" t="s">
        <v>408</v>
      </c>
    </row>
    <row r="702" spans="1:21" x14ac:dyDescent="0.25">
      <c r="A702">
        <v>16705223</v>
      </c>
      <c r="B702" t="s">
        <v>340</v>
      </c>
      <c r="C702" t="s">
        <v>26</v>
      </c>
      <c r="D702" t="s">
        <v>12</v>
      </c>
      <c r="E702" t="s">
        <v>740</v>
      </c>
      <c r="F702" t="s">
        <v>59</v>
      </c>
      <c r="G702" t="s">
        <v>369</v>
      </c>
      <c r="H702" t="s">
        <v>0</v>
      </c>
      <c r="I702" t="s">
        <v>436</v>
      </c>
      <c r="J702" t="s">
        <v>437</v>
      </c>
      <c r="K702" t="s">
        <v>438</v>
      </c>
      <c r="L702" t="s">
        <v>5</v>
      </c>
      <c r="M702" t="s">
        <v>408</v>
      </c>
      <c r="N702" t="s">
        <v>11</v>
      </c>
      <c r="O702" t="s">
        <v>11</v>
      </c>
      <c r="P702" t="s">
        <v>0</v>
      </c>
      <c r="Q702" t="s">
        <v>408</v>
      </c>
      <c r="R702" t="s">
        <v>439</v>
      </c>
      <c r="S702" t="s">
        <v>440</v>
      </c>
      <c r="T702" t="s">
        <v>11</v>
      </c>
      <c r="U702" t="s">
        <v>408</v>
      </c>
    </row>
    <row r="703" spans="1:21" x14ac:dyDescent="0.25">
      <c r="A703">
        <v>16705224</v>
      </c>
      <c r="B703" t="s">
        <v>340</v>
      </c>
      <c r="C703" t="s">
        <v>26</v>
      </c>
      <c r="D703" t="s">
        <v>12</v>
      </c>
      <c r="E703" t="s">
        <v>740</v>
      </c>
      <c r="F703" t="s">
        <v>59</v>
      </c>
      <c r="G703" t="s">
        <v>369</v>
      </c>
      <c r="H703" t="s">
        <v>0</v>
      </c>
      <c r="I703" t="s">
        <v>436</v>
      </c>
      <c r="J703" t="s">
        <v>437</v>
      </c>
      <c r="K703" t="s">
        <v>438</v>
      </c>
      <c r="L703" t="s">
        <v>1</v>
      </c>
      <c r="M703" t="s">
        <v>408</v>
      </c>
      <c r="N703" t="s">
        <v>11</v>
      </c>
      <c r="O703" t="s">
        <v>11</v>
      </c>
      <c r="P703" t="s">
        <v>0</v>
      </c>
      <c r="Q703" t="s">
        <v>408</v>
      </c>
      <c r="R703" t="s">
        <v>439</v>
      </c>
      <c r="S703" t="s">
        <v>440</v>
      </c>
      <c r="T703" t="s">
        <v>11</v>
      </c>
      <c r="U703" t="s">
        <v>408</v>
      </c>
    </row>
    <row r="704" spans="1:21" x14ac:dyDescent="0.25">
      <c r="A704">
        <v>16705229</v>
      </c>
      <c r="B704" t="s">
        <v>340</v>
      </c>
      <c r="C704" t="s">
        <v>26</v>
      </c>
      <c r="D704" t="s">
        <v>12</v>
      </c>
      <c r="E704" t="s">
        <v>740</v>
      </c>
      <c r="F704" t="s">
        <v>59</v>
      </c>
      <c r="G704" t="s">
        <v>369</v>
      </c>
      <c r="H704" t="s">
        <v>715</v>
      </c>
      <c r="I704" t="s">
        <v>716</v>
      </c>
      <c r="J704" t="s">
        <v>717</v>
      </c>
      <c r="K704" t="s">
        <v>438</v>
      </c>
      <c r="L704" t="s">
        <v>2</v>
      </c>
      <c r="M704" t="s">
        <v>408</v>
      </c>
      <c r="N704" t="s">
        <v>11</v>
      </c>
      <c r="O704" t="s">
        <v>11</v>
      </c>
      <c r="P704" t="s">
        <v>0</v>
      </c>
      <c r="Q704" t="s">
        <v>408</v>
      </c>
      <c r="R704" t="s">
        <v>439</v>
      </c>
      <c r="S704" t="s">
        <v>440</v>
      </c>
      <c r="T704" t="s">
        <v>11</v>
      </c>
      <c r="U704" t="s">
        <v>408</v>
      </c>
    </row>
    <row r="705" spans="1:21" x14ac:dyDescent="0.25">
      <c r="A705">
        <v>16705231</v>
      </c>
      <c r="B705" t="s">
        <v>340</v>
      </c>
      <c r="C705" t="s">
        <v>26</v>
      </c>
      <c r="D705" t="s">
        <v>12</v>
      </c>
      <c r="E705" t="s">
        <v>740</v>
      </c>
      <c r="F705" t="s">
        <v>58</v>
      </c>
      <c r="G705" t="s">
        <v>369</v>
      </c>
      <c r="H705" t="s">
        <v>0</v>
      </c>
      <c r="I705" t="s">
        <v>436</v>
      </c>
      <c r="J705" t="s">
        <v>437</v>
      </c>
      <c r="K705" t="s">
        <v>438</v>
      </c>
      <c r="L705" t="s">
        <v>5</v>
      </c>
      <c r="M705" t="s">
        <v>408</v>
      </c>
      <c r="N705" t="s">
        <v>11</v>
      </c>
      <c r="O705" t="s">
        <v>11</v>
      </c>
      <c r="P705" t="s">
        <v>0</v>
      </c>
      <c r="Q705" t="s">
        <v>408</v>
      </c>
      <c r="R705" t="s">
        <v>439</v>
      </c>
      <c r="S705" t="s">
        <v>440</v>
      </c>
      <c r="T705" t="s">
        <v>11</v>
      </c>
      <c r="U705" t="s">
        <v>408</v>
      </c>
    </row>
    <row r="706" spans="1:21" x14ac:dyDescent="0.25">
      <c r="A706">
        <v>16705234</v>
      </c>
      <c r="B706" t="s">
        <v>340</v>
      </c>
      <c r="C706" t="s">
        <v>26</v>
      </c>
      <c r="D706" t="s">
        <v>12</v>
      </c>
      <c r="E706" t="s">
        <v>740</v>
      </c>
      <c r="F706" t="s">
        <v>59</v>
      </c>
      <c r="G706" t="s">
        <v>369</v>
      </c>
      <c r="H706" t="s">
        <v>1</v>
      </c>
      <c r="I706" t="s">
        <v>469</v>
      </c>
      <c r="J706" t="s">
        <v>445</v>
      </c>
      <c r="K706" t="s">
        <v>438</v>
      </c>
      <c r="L706" t="s">
        <v>2</v>
      </c>
      <c r="M706" t="s">
        <v>408</v>
      </c>
      <c r="N706" t="s">
        <v>11</v>
      </c>
      <c r="O706" t="s">
        <v>11</v>
      </c>
      <c r="P706" t="s">
        <v>0</v>
      </c>
      <c r="Q706" t="s">
        <v>408</v>
      </c>
      <c r="R706" t="s">
        <v>439</v>
      </c>
      <c r="S706" t="s">
        <v>440</v>
      </c>
      <c r="T706" t="s">
        <v>11</v>
      </c>
      <c r="U706" t="s">
        <v>408</v>
      </c>
    </row>
    <row r="707" spans="1:21" x14ac:dyDescent="0.25">
      <c r="A707">
        <v>16705235</v>
      </c>
      <c r="B707" t="s">
        <v>340</v>
      </c>
      <c r="C707" t="s">
        <v>26</v>
      </c>
      <c r="D707" t="s">
        <v>12</v>
      </c>
      <c r="E707" t="s">
        <v>740</v>
      </c>
      <c r="F707" t="s">
        <v>60</v>
      </c>
      <c r="G707" t="s">
        <v>369</v>
      </c>
      <c r="H707" t="s">
        <v>727</v>
      </c>
      <c r="I707" t="s">
        <v>728</v>
      </c>
      <c r="J707" t="s">
        <v>729</v>
      </c>
      <c r="K707" t="s">
        <v>450</v>
      </c>
      <c r="L707" t="s">
        <v>367</v>
      </c>
      <c r="M707" t="s">
        <v>408</v>
      </c>
      <c r="N707" t="s">
        <v>11</v>
      </c>
      <c r="O707" t="s">
        <v>408</v>
      </c>
      <c r="P707" t="s">
        <v>0</v>
      </c>
      <c r="Q707" t="s">
        <v>408</v>
      </c>
      <c r="R707" t="s">
        <v>439</v>
      </c>
      <c r="S707" t="s">
        <v>451</v>
      </c>
      <c r="T707" t="s">
        <v>11</v>
      </c>
      <c r="U707" t="s">
        <v>408</v>
      </c>
    </row>
    <row r="708" spans="1:21" x14ac:dyDescent="0.25">
      <c r="A708">
        <v>16705255</v>
      </c>
      <c r="B708" t="s">
        <v>340</v>
      </c>
      <c r="C708" t="s">
        <v>26</v>
      </c>
      <c r="D708" t="s">
        <v>12</v>
      </c>
      <c r="E708" t="s">
        <v>740</v>
      </c>
      <c r="F708" t="s">
        <v>59</v>
      </c>
      <c r="G708" t="s">
        <v>369</v>
      </c>
      <c r="H708" t="s">
        <v>1</v>
      </c>
      <c r="I708" t="s">
        <v>469</v>
      </c>
      <c r="J708" t="s">
        <v>445</v>
      </c>
      <c r="K708" t="s">
        <v>438</v>
      </c>
      <c r="L708" t="s">
        <v>2</v>
      </c>
      <c r="M708" t="s">
        <v>408</v>
      </c>
      <c r="N708" t="s">
        <v>11</v>
      </c>
      <c r="O708" t="s">
        <v>11</v>
      </c>
      <c r="P708" t="s">
        <v>0</v>
      </c>
      <c r="Q708" t="s">
        <v>408</v>
      </c>
      <c r="R708" t="s">
        <v>439</v>
      </c>
      <c r="S708" t="s">
        <v>440</v>
      </c>
      <c r="T708" t="s">
        <v>11</v>
      </c>
      <c r="U708" t="s">
        <v>408</v>
      </c>
    </row>
    <row r="709" spans="1:21" x14ac:dyDescent="0.25">
      <c r="A709">
        <v>16705256</v>
      </c>
      <c r="B709" t="s">
        <v>342</v>
      </c>
      <c r="C709" t="s">
        <v>33</v>
      </c>
      <c r="D709" t="s">
        <v>24</v>
      </c>
      <c r="E709" t="s">
        <v>622</v>
      </c>
      <c r="F709" t="s">
        <v>210</v>
      </c>
      <c r="G709" t="s">
        <v>369</v>
      </c>
      <c r="H709" t="s">
        <v>0</v>
      </c>
      <c r="I709" t="s">
        <v>436</v>
      </c>
      <c r="J709" t="s">
        <v>437</v>
      </c>
      <c r="K709" t="s">
        <v>438</v>
      </c>
      <c r="L709" t="s">
        <v>2</v>
      </c>
      <c r="M709" t="s">
        <v>408</v>
      </c>
      <c r="N709" t="s">
        <v>11</v>
      </c>
      <c r="O709" t="s">
        <v>11</v>
      </c>
      <c r="P709" t="s">
        <v>0</v>
      </c>
      <c r="Q709" t="s">
        <v>408</v>
      </c>
      <c r="R709" t="s">
        <v>439</v>
      </c>
      <c r="S709" t="s">
        <v>440</v>
      </c>
      <c r="T709" t="s">
        <v>11</v>
      </c>
      <c r="U709" t="s">
        <v>408</v>
      </c>
    </row>
    <row r="710" spans="1:21" x14ac:dyDescent="0.25">
      <c r="A710">
        <v>16705260</v>
      </c>
      <c r="B710" t="s">
        <v>340</v>
      </c>
      <c r="C710" t="s">
        <v>26</v>
      </c>
      <c r="D710" t="s">
        <v>12</v>
      </c>
      <c r="E710" t="s">
        <v>740</v>
      </c>
      <c r="F710" t="s">
        <v>59</v>
      </c>
      <c r="G710" t="s">
        <v>369</v>
      </c>
      <c r="H710" t="s">
        <v>0</v>
      </c>
      <c r="I710" t="s">
        <v>436</v>
      </c>
      <c r="J710" t="s">
        <v>437</v>
      </c>
      <c r="K710" t="s">
        <v>438</v>
      </c>
      <c r="L710" t="s">
        <v>9</v>
      </c>
      <c r="M710" t="s">
        <v>408</v>
      </c>
      <c r="N710" t="s">
        <v>11</v>
      </c>
      <c r="O710" t="s">
        <v>11</v>
      </c>
      <c r="P710" t="s">
        <v>0</v>
      </c>
      <c r="Q710" t="s">
        <v>408</v>
      </c>
      <c r="R710" t="s">
        <v>439</v>
      </c>
      <c r="S710" t="s">
        <v>440</v>
      </c>
      <c r="T710" t="s">
        <v>11</v>
      </c>
      <c r="U710" t="s">
        <v>408</v>
      </c>
    </row>
    <row r="711" spans="1:21" x14ac:dyDescent="0.25">
      <c r="A711">
        <v>16705261</v>
      </c>
      <c r="B711" t="s">
        <v>340</v>
      </c>
      <c r="C711" t="s">
        <v>26</v>
      </c>
      <c r="D711" t="s">
        <v>12</v>
      </c>
      <c r="E711" t="s">
        <v>741</v>
      </c>
      <c r="F711" t="s">
        <v>116</v>
      </c>
      <c r="G711" t="s">
        <v>369</v>
      </c>
      <c r="H711" t="s">
        <v>0</v>
      </c>
      <c r="I711" t="s">
        <v>436</v>
      </c>
      <c r="J711" t="s">
        <v>437</v>
      </c>
      <c r="K711" t="s">
        <v>438</v>
      </c>
      <c r="L711" t="s">
        <v>1</v>
      </c>
      <c r="M711" t="s">
        <v>408</v>
      </c>
      <c r="N711" t="s">
        <v>11</v>
      </c>
      <c r="O711" t="s">
        <v>11</v>
      </c>
      <c r="P711" t="s">
        <v>0</v>
      </c>
      <c r="Q711" t="s">
        <v>408</v>
      </c>
      <c r="R711" t="s">
        <v>439</v>
      </c>
      <c r="S711" t="s">
        <v>440</v>
      </c>
      <c r="T711" t="s">
        <v>11</v>
      </c>
      <c r="U711" t="s">
        <v>408</v>
      </c>
    </row>
    <row r="712" spans="1:21" x14ac:dyDescent="0.25">
      <c r="A712">
        <v>16705263</v>
      </c>
      <c r="B712" t="s">
        <v>340</v>
      </c>
      <c r="C712" t="s">
        <v>26</v>
      </c>
      <c r="D712" t="s">
        <v>12</v>
      </c>
      <c r="E712" t="s">
        <v>741</v>
      </c>
      <c r="F712" t="s">
        <v>224</v>
      </c>
      <c r="G712" t="s">
        <v>369</v>
      </c>
      <c r="H712" t="s">
        <v>0</v>
      </c>
      <c r="I712" t="s">
        <v>436</v>
      </c>
      <c r="J712" t="s">
        <v>437</v>
      </c>
      <c r="K712" t="s">
        <v>438</v>
      </c>
      <c r="L712" t="s">
        <v>5</v>
      </c>
      <c r="M712" t="s">
        <v>408</v>
      </c>
      <c r="N712" t="s">
        <v>11</v>
      </c>
      <c r="O712" t="s">
        <v>11</v>
      </c>
      <c r="P712" t="s">
        <v>0</v>
      </c>
      <c r="Q712" t="s">
        <v>408</v>
      </c>
      <c r="R712" t="s">
        <v>439</v>
      </c>
      <c r="S712" t="s">
        <v>440</v>
      </c>
      <c r="T712" t="s">
        <v>11</v>
      </c>
      <c r="U712" t="s">
        <v>408</v>
      </c>
    </row>
    <row r="713" spans="1:21" x14ac:dyDescent="0.25">
      <c r="A713">
        <v>16705265</v>
      </c>
      <c r="B713" t="s">
        <v>340</v>
      </c>
      <c r="C713" t="s">
        <v>26</v>
      </c>
      <c r="D713" t="s">
        <v>12</v>
      </c>
      <c r="E713" t="s">
        <v>740</v>
      </c>
      <c r="F713" t="s">
        <v>58</v>
      </c>
      <c r="G713" t="s">
        <v>369</v>
      </c>
      <c r="H713" t="s">
        <v>0</v>
      </c>
      <c r="I713" t="s">
        <v>436</v>
      </c>
      <c r="J713" t="s">
        <v>437</v>
      </c>
      <c r="K713" t="s">
        <v>438</v>
      </c>
      <c r="L713" t="s">
        <v>5</v>
      </c>
      <c r="M713" t="s">
        <v>408</v>
      </c>
      <c r="N713" t="s">
        <v>11</v>
      </c>
      <c r="O713" t="s">
        <v>11</v>
      </c>
      <c r="P713" t="s">
        <v>0</v>
      </c>
      <c r="Q713" t="s">
        <v>408</v>
      </c>
      <c r="R713" t="s">
        <v>439</v>
      </c>
      <c r="S713" t="s">
        <v>440</v>
      </c>
      <c r="T713" t="s">
        <v>11</v>
      </c>
      <c r="U713" t="s">
        <v>408</v>
      </c>
    </row>
    <row r="714" spans="1:21" x14ac:dyDescent="0.25">
      <c r="A714">
        <v>16705266</v>
      </c>
      <c r="B714" t="s">
        <v>340</v>
      </c>
      <c r="C714" t="s">
        <v>26</v>
      </c>
      <c r="D714" t="s">
        <v>12</v>
      </c>
      <c r="E714" t="s">
        <v>740</v>
      </c>
      <c r="F714" t="s">
        <v>58</v>
      </c>
      <c r="G714" t="s">
        <v>369</v>
      </c>
      <c r="H714" t="s">
        <v>370</v>
      </c>
      <c r="I714" t="s">
        <v>721</v>
      </c>
      <c r="J714" t="s">
        <v>455</v>
      </c>
      <c r="K714" t="s">
        <v>453</v>
      </c>
      <c r="L714" t="s">
        <v>367</v>
      </c>
      <c r="M714" t="s">
        <v>408</v>
      </c>
      <c r="N714" t="s">
        <v>11</v>
      </c>
      <c r="O714" t="s">
        <v>11</v>
      </c>
      <c r="P714" t="s">
        <v>0</v>
      </c>
      <c r="Q714" t="s">
        <v>408</v>
      </c>
      <c r="R714" t="s">
        <v>439</v>
      </c>
      <c r="S714" t="s">
        <v>451</v>
      </c>
      <c r="T714" t="s">
        <v>11</v>
      </c>
      <c r="U714" t="s">
        <v>408</v>
      </c>
    </row>
    <row r="715" spans="1:21" x14ac:dyDescent="0.25">
      <c r="A715">
        <v>16705271</v>
      </c>
      <c r="B715" t="s">
        <v>340</v>
      </c>
      <c r="C715" t="s">
        <v>26</v>
      </c>
      <c r="D715" t="s">
        <v>18</v>
      </c>
      <c r="E715" t="s">
        <v>741</v>
      </c>
      <c r="F715" t="s">
        <v>116</v>
      </c>
      <c r="G715" t="s">
        <v>369</v>
      </c>
      <c r="H715" t="s">
        <v>727</v>
      </c>
      <c r="I715" t="s">
        <v>728</v>
      </c>
      <c r="J715" t="s">
        <v>729</v>
      </c>
      <c r="K715" t="s">
        <v>450</v>
      </c>
      <c r="L715" t="s">
        <v>367</v>
      </c>
      <c r="M715" t="s">
        <v>408</v>
      </c>
      <c r="N715" t="s">
        <v>11</v>
      </c>
      <c r="O715" t="s">
        <v>11</v>
      </c>
      <c r="P715" t="s">
        <v>0</v>
      </c>
      <c r="Q715" t="s">
        <v>408</v>
      </c>
      <c r="R715" t="s">
        <v>439</v>
      </c>
      <c r="S715" t="s">
        <v>451</v>
      </c>
      <c r="T715" t="s">
        <v>11</v>
      </c>
      <c r="U715" t="s">
        <v>408</v>
      </c>
    </row>
    <row r="716" spans="1:21" x14ac:dyDescent="0.25">
      <c r="A716">
        <v>16705276</v>
      </c>
      <c r="B716" t="s">
        <v>340</v>
      </c>
      <c r="C716" t="s">
        <v>26</v>
      </c>
      <c r="D716" t="s">
        <v>12</v>
      </c>
      <c r="E716" t="s">
        <v>740</v>
      </c>
      <c r="F716" t="s">
        <v>59</v>
      </c>
      <c r="G716" t="s">
        <v>369</v>
      </c>
      <c r="H716" t="s">
        <v>5</v>
      </c>
      <c r="I716" t="s">
        <v>436</v>
      </c>
      <c r="J716" t="s">
        <v>446</v>
      </c>
      <c r="K716" t="s">
        <v>438</v>
      </c>
      <c r="L716" t="s">
        <v>2</v>
      </c>
      <c r="M716" t="s">
        <v>408</v>
      </c>
      <c r="N716" t="s">
        <v>11</v>
      </c>
      <c r="O716" t="s">
        <v>11</v>
      </c>
      <c r="P716" t="s">
        <v>0</v>
      </c>
      <c r="Q716" t="s">
        <v>408</v>
      </c>
      <c r="R716" t="s">
        <v>439</v>
      </c>
      <c r="S716" t="s">
        <v>440</v>
      </c>
      <c r="T716" t="s">
        <v>11</v>
      </c>
      <c r="U716" t="s">
        <v>408</v>
      </c>
    </row>
    <row r="717" spans="1:21" x14ac:dyDescent="0.25">
      <c r="A717">
        <v>16705277</v>
      </c>
      <c r="B717" t="s">
        <v>340</v>
      </c>
      <c r="C717" t="s">
        <v>26</v>
      </c>
      <c r="D717" t="s">
        <v>12</v>
      </c>
      <c r="E717" t="s">
        <v>741</v>
      </c>
      <c r="F717" t="s">
        <v>116</v>
      </c>
      <c r="G717" t="s">
        <v>369</v>
      </c>
      <c r="H717" t="s">
        <v>350</v>
      </c>
      <c r="I717" t="s">
        <v>436</v>
      </c>
      <c r="J717" t="s">
        <v>566</v>
      </c>
      <c r="K717" t="s">
        <v>701</v>
      </c>
      <c r="L717" t="s">
        <v>8</v>
      </c>
      <c r="M717" t="s">
        <v>408</v>
      </c>
      <c r="N717" t="s">
        <v>11</v>
      </c>
      <c r="O717" t="s">
        <v>11</v>
      </c>
      <c r="P717" t="s">
        <v>0</v>
      </c>
      <c r="Q717" t="s">
        <v>408</v>
      </c>
      <c r="R717" t="s">
        <v>439</v>
      </c>
      <c r="S717" t="s">
        <v>440</v>
      </c>
      <c r="T717" t="s">
        <v>11</v>
      </c>
      <c r="U717" t="s">
        <v>408</v>
      </c>
    </row>
    <row r="718" spans="1:21" x14ac:dyDescent="0.25">
      <c r="A718">
        <v>16705281</v>
      </c>
      <c r="B718" t="s">
        <v>340</v>
      </c>
      <c r="C718" t="s">
        <v>26</v>
      </c>
      <c r="D718" t="s">
        <v>12</v>
      </c>
      <c r="E718" t="s">
        <v>740</v>
      </c>
      <c r="F718" t="s">
        <v>60</v>
      </c>
      <c r="G718" t="s">
        <v>369</v>
      </c>
      <c r="H718" t="s">
        <v>0</v>
      </c>
      <c r="I718" t="s">
        <v>436</v>
      </c>
      <c r="J718" t="s">
        <v>437</v>
      </c>
      <c r="K718" t="s">
        <v>438</v>
      </c>
      <c r="L718" t="s">
        <v>5</v>
      </c>
      <c r="M718" t="s">
        <v>408</v>
      </c>
      <c r="N718" t="s">
        <v>11</v>
      </c>
      <c r="O718" t="s">
        <v>11</v>
      </c>
      <c r="P718" t="s">
        <v>0</v>
      </c>
      <c r="Q718" t="s">
        <v>408</v>
      </c>
      <c r="R718" t="s">
        <v>439</v>
      </c>
      <c r="S718" t="s">
        <v>440</v>
      </c>
      <c r="T718" t="s">
        <v>11</v>
      </c>
      <c r="U718" t="s">
        <v>408</v>
      </c>
    </row>
    <row r="719" spans="1:21" x14ac:dyDescent="0.25">
      <c r="A719">
        <v>16705284</v>
      </c>
      <c r="B719" t="s">
        <v>340</v>
      </c>
      <c r="C719" t="s">
        <v>26</v>
      </c>
      <c r="D719" t="s">
        <v>12</v>
      </c>
      <c r="E719" t="s">
        <v>740</v>
      </c>
      <c r="F719" t="s">
        <v>57</v>
      </c>
      <c r="G719" t="s">
        <v>369</v>
      </c>
      <c r="H719" t="s">
        <v>0</v>
      </c>
      <c r="I719" t="s">
        <v>436</v>
      </c>
      <c r="J719" t="s">
        <v>437</v>
      </c>
      <c r="K719" t="s">
        <v>438</v>
      </c>
      <c r="L719" t="s">
        <v>1</v>
      </c>
      <c r="M719" t="s">
        <v>408</v>
      </c>
      <c r="N719" t="s">
        <v>11</v>
      </c>
      <c r="O719" t="s">
        <v>11</v>
      </c>
      <c r="P719" t="s">
        <v>0</v>
      </c>
      <c r="Q719" t="s">
        <v>408</v>
      </c>
      <c r="R719" t="s">
        <v>439</v>
      </c>
      <c r="S719" t="s">
        <v>440</v>
      </c>
      <c r="T719" t="s">
        <v>11</v>
      </c>
      <c r="U719" t="s">
        <v>408</v>
      </c>
    </row>
    <row r="720" spans="1:21" x14ac:dyDescent="0.25">
      <c r="A720">
        <v>16705290</v>
      </c>
      <c r="B720" t="s">
        <v>340</v>
      </c>
      <c r="C720" t="s">
        <v>26</v>
      </c>
      <c r="D720" t="s">
        <v>12</v>
      </c>
      <c r="E720" t="s">
        <v>740</v>
      </c>
      <c r="F720" t="s">
        <v>58</v>
      </c>
      <c r="G720" t="s">
        <v>369</v>
      </c>
      <c r="H720" t="s">
        <v>1</v>
      </c>
      <c r="I720" t="s">
        <v>469</v>
      </c>
      <c r="J720" t="s">
        <v>445</v>
      </c>
      <c r="K720" t="s">
        <v>438</v>
      </c>
      <c r="L720" t="s">
        <v>2</v>
      </c>
      <c r="M720" t="s">
        <v>408</v>
      </c>
      <c r="N720" t="s">
        <v>11</v>
      </c>
      <c r="O720" t="s">
        <v>11</v>
      </c>
      <c r="P720" t="s">
        <v>0</v>
      </c>
      <c r="Q720" t="s">
        <v>408</v>
      </c>
      <c r="R720" t="s">
        <v>439</v>
      </c>
      <c r="S720" t="s">
        <v>440</v>
      </c>
      <c r="T720" t="s">
        <v>11</v>
      </c>
      <c r="U720" t="s">
        <v>408</v>
      </c>
    </row>
    <row r="721" spans="1:21" x14ac:dyDescent="0.25">
      <c r="A721">
        <v>16705293</v>
      </c>
      <c r="B721" t="s">
        <v>340</v>
      </c>
      <c r="C721" t="s">
        <v>26</v>
      </c>
      <c r="D721" t="s">
        <v>12</v>
      </c>
      <c r="E721" t="s">
        <v>740</v>
      </c>
      <c r="F721" t="s">
        <v>60</v>
      </c>
      <c r="G721" t="s">
        <v>369</v>
      </c>
      <c r="H721" t="s">
        <v>1</v>
      </c>
      <c r="I721" t="s">
        <v>469</v>
      </c>
      <c r="J721" t="s">
        <v>445</v>
      </c>
      <c r="K721" t="s">
        <v>438</v>
      </c>
      <c r="L721" t="s">
        <v>2</v>
      </c>
      <c r="M721" t="s">
        <v>408</v>
      </c>
      <c r="N721" t="s">
        <v>11</v>
      </c>
      <c r="O721" t="s">
        <v>11</v>
      </c>
      <c r="P721" t="s">
        <v>0</v>
      </c>
      <c r="Q721" t="s">
        <v>408</v>
      </c>
      <c r="R721" t="s">
        <v>439</v>
      </c>
      <c r="S721" t="s">
        <v>440</v>
      </c>
      <c r="T721" t="s">
        <v>11</v>
      </c>
      <c r="U721" t="s">
        <v>408</v>
      </c>
    </row>
    <row r="722" spans="1:21" x14ac:dyDescent="0.25">
      <c r="A722">
        <v>16705299</v>
      </c>
      <c r="B722" t="s">
        <v>340</v>
      </c>
      <c r="C722" t="s">
        <v>26</v>
      </c>
      <c r="D722" t="s">
        <v>18</v>
      </c>
      <c r="E722" t="s">
        <v>741</v>
      </c>
      <c r="F722" t="s">
        <v>116</v>
      </c>
      <c r="G722" t="s">
        <v>369</v>
      </c>
      <c r="H722" t="s">
        <v>0</v>
      </c>
      <c r="I722" t="s">
        <v>436</v>
      </c>
      <c r="J722" t="s">
        <v>437</v>
      </c>
      <c r="K722" t="s">
        <v>438</v>
      </c>
      <c r="L722" t="s">
        <v>345</v>
      </c>
      <c r="M722" t="s">
        <v>408</v>
      </c>
      <c r="N722" t="s">
        <v>11</v>
      </c>
      <c r="O722" t="s">
        <v>11</v>
      </c>
      <c r="P722" t="s">
        <v>0</v>
      </c>
      <c r="Q722" t="s">
        <v>408</v>
      </c>
      <c r="R722" t="s">
        <v>439</v>
      </c>
      <c r="S722" t="s">
        <v>440</v>
      </c>
      <c r="T722" t="s">
        <v>11</v>
      </c>
      <c r="U722" t="s">
        <v>408</v>
      </c>
    </row>
    <row r="723" spans="1:21" x14ac:dyDescent="0.25">
      <c r="A723">
        <v>16705303</v>
      </c>
      <c r="B723" t="s">
        <v>340</v>
      </c>
      <c r="C723" t="s">
        <v>26</v>
      </c>
      <c r="D723" t="s">
        <v>12</v>
      </c>
      <c r="E723" t="s">
        <v>740</v>
      </c>
      <c r="F723" t="s">
        <v>59</v>
      </c>
      <c r="G723" t="s">
        <v>369</v>
      </c>
      <c r="H723" t="s">
        <v>5</v>
      </c>
      <c r="I723" t="s">
        <v>436</v>
      </c>
      <c r="J723" t="s">
        <v>446</v>
      </c>
      <c r="K723" t="s">
        <v>438</v>
      </c>
      <c r="L723" t="s">
        <v>2</v>
      </c>
      <c r="M723" t="s">
        <v>408</v>
      </c>
      <c r="N723" t="s">
        <v>11</v>
      </c>
      <c r="O723" t="s">
        <v>11</v>
      </c>
      <c r="P723" t="s">
        <v>0</v>
      </c>
      <c r="Q723" t="s">
        <v>408</v>
      </c>
      <c r="R723" t="s">
        <v>439</v>
      </c>
      <c r="S723" t="s">
        <v>440</v>
      </c>
      <c r="T723" t="s">
        <v>11</v>
      </c>
      <c r="U723" t="s">
        <v>408</v>
      </c>
    </row>
    <row r="724" spans="1:21" x14ac:dyDescent="0.25">
      <c r="A724">
        <v>16705318</v>
      </c>
      <c r="B724" t="s">
        <v>340</v>
      </c>
      <c r="C724" t="s">
        <v>26</v>
      </c>
      <c r="D724" t="s">
        <v>12</v>
      </c>
      <c r="E724" t="s">
        <v>740</v>
      </c>
      <c r="F724" t="s">
        <v>58</v>
      </c>
      <c r="G724" t="s">
        <v>369</v>
      </c>
      <c r="H724" t="s">
        <v>370</v>
      </c>
      <c r="I724" t="s">
        <v>721</v>
      </c>
      <c r="J724" t="s">
        <v>455</v>
      </c>
      <c r="K724" t="s">
        <v>453</v>
      </c>
      <c r="L724" t="s">
        <v>367</v>
      </c>
      <c r="M724" t="s">
        <v>408</v>
      </c>
      <c r="N724" t="s">
        <v>11</v>
      </c>
      <c r="O724" t="s">
        <v>11</v>
      </c>
      <c r="P724" t="s">
        <v>0</v>
      </c>
      <c r="Q724" t="s">
        <v>408</v>
      </c>
      <c r="R724" t="s">
        <v>439</v>
      </c>
      <c r="S724" t="s">
        <v>451</v>
      </c>
      <c r="T724" t="s">
        <v>11</v>
      </c>
      <c r="U724" t="s">
        <v>408</v>
      </c>
    </row>
    <row r="725" spans="1:21" x14ac:dyDescent="0.25">
      <c r="A725">
        <v>16705322</v>
      </c>
      <c r="B725" t="s">
        <v>340</v>
      </c>
      <c r="C725" t="s">
        <v>26</v>
      </c>
      <c r="D725" t="s">
        <v>12</v>
      </c>
      <c r="E725" t="s">
        <v>740</v>
      </c>
      <c r="F725" t="s">
        <v>57</v>
      </c>
      <c r="G725" t="s">
        <v>369</v>
      </c>
      <c r="H725" t="s">
        <v>0</v>
      </c>
      <c r="I725" t="s">
        <v>436</v>
      </c>
      <c r="J725" t="s">
        <v>437</v>
      </c>
      <c r="K725" t="s">
        <v>438</v>
      </c>
      <c r="L725" t="s">
        <v>5</v>
      </c>
      <c r="M725" t="s">
        <v>408</v>
      </c>
      <c r="N725" t="s">
        <v>11</v>
      </c>
      <c r="O725" t="s">
        <v>11</v>
      </c>
      <c r="P725" t="s">
        <v>0</v>
      </c>
      <c r="Q725" t="s">
        <v>408</v>
      </c>
      <c r="R725" t="s">
        <v>439</v>
      </c>
      <c r="S725" t="s">
        <v>440</v>
      </c>
      <c r="T725" t="s">
        <v>11</v>
      </c>
      <c r="U725" t="s">
        <v>408</v>
      </c>
    </row>
    <row r="726" spans="1:21" x14ac:dyDescent="0.25">
      <c r="A726">
        <v>16705324</v>
      </c>
      <c r="B726" t="s">
        <v>340</v>
      </c>
      <c r="C726" t="s">
        <v>26</v>
      </c>
      <c r="D726" t="s">
        <v>12</v>
      </c>
      <c r="E726" t="s">
        <v>622</v>
      </c>
      <c r="F726" t="s">
        <v>222</v>
      </c>
      <c r="G726" t="s">
        <v>369</v>
      </c>
      <c r="H726" t="s">
        <v>0</v>
      </c>
      <c r="I726" t="s">
        <v>436</v>
      </c>
      <c r="J726" t="s">
        <v>437</v>
      </c>
      <c r="K726" t="s">
        <v>438</v>
      </c>
      <c r="L726" t="s">
        <v>1</v>
      </c>
      <c r="M726" t="s">
        <v>408</v>
      </c>
      <c r="N726" t="s">
        <v>11</v>
      </c>
      <c r="O726" t="s">
        <v>11</v>
      </c>
      <c r="P726" t="s">
        <v>0</v>
      </c>
      <c r="Q726" t="s">
        <v>408</v>
      </c>
      <c r="R726" t="s">
        <v>439</v>
      </c>
      <c r="S726" t="s">
        <v>440</v>
      </c>
      <c r="T726" t="s">
        <v>11</v>
      </c>
      <c r="U726" t="s">
        <v>408</v>
      </c>
    </row>
    <row r="727" spans="1:21" x14ac:dyDescent="0.25">
      <c r="A727">
        <v>16705325</v>
      </c>
      <c r="B727" t="s">
        <v>340</v>
      </c>
      <c r="C727" t="s">
        <v>26</v>
      </c>
      <c r="D727" t="s">
        <v>12</v>
      </c>
      <c r="E727" t="s">
        <v>622</v>
      </c>
      <c r="F727" t="s">
        <v>223</v>
      </c>
      <c r="G727" t="s">
        <v>369</v>
      </c>
      <c r="H727" t="s">
        <v>370</v>
      </c>
      <c r="I727" t="s">
        <v>721</v>
      </c>
      <c r="J727" t="s">
        <v>455</v>
      </c>
      <c r="K727" t="s">
        <v>453</v>
      </c>
      <c r="L727" t="s">
        <v>367</v>
      </c>
      <c r="M727" t="s">
        <v>408</v>
      </c>
      <c r="N727" t="s">
        <v>11</v>
      </c>
      <c r="O727" t="s">
        <v>11</v>
      </c>
      <c r="P727" t="s">
        <v>0</v>
      </c>
      <c r="Q727" t="s">
        <v>408</v>
      </c>
      <c r="R727" t="s">
        <v>439</v>
      </c>
      <c r="S727" t="s">
        <v>451</v>
      </c>
      <c r="T727" t="s">
        <v>11</v>
      </c>
      <c r="U727" t="s">
        <v>408</v>
      </c>
    </row>
    <row r="728" spans="1:21" x14ac:dyDescent="0.25">
      <c r="A728">
        <v>16705326</v>
      </c>
      <c r="B728" t="s">
        <v>340</v>
      </c>
      <c r="C728" t="s">
        <v>26</v>
      </c>
      <c r="D728" t="s">
        <v>12</v>
      </c>
      <c r="E728" t="s">
        <v>740</v>
      </c>
      <c r="F728" t="s">
        <v>58</v>
      </c>
      <c r="G728" t="s">
        <v>369</v>
      </c>
      <c r="H728" t="s">
        <v>727</v>
      </c>
      <c r="I728" t="s">
        <v>728</v>
      </c>
      <c r="J728" t="s">
        <v>729</v>
      </c>
      <c r="K728" t="s">
        <v>450</v>
      </c>
      <c r="L728" t="s">
        <v>367</v>
      </c>
      <c r="M728" t="s">
        <v>408</v>
      </c>
      <c r="N728" t="s">
        <v>11</v>
      </c>
      <c r="O728" t="s">
        <v>11</v>
      </c>
      <c r="P728" t="s">
        <v>0</v>
      </c>
      <c r="Q728" t="s">
        <v>408</v>
      </c>
      <c r="R728" t="s">
        <v>439</v>
      </c>
      <c r="S728" t="s">
        <v>451</v>
      </c>
      <c r="T728" t="s">
        <v>11</v>
      </c>
      <c r="U728" t="s">
        <v>408</v>
      </c>
    </row>
    <row r="729" spans="1:21" x14ac:dyDescent="0.25">
      <c r="A729">
        <v>16705327</v>
      </c>
      <c r="B729" t="s">
        <v>340</v>
      </c>
      <c r="C729" t="s">
        <v>26</v>
      </c>
      <c r="D729" t="s">
        <v>12</v>
      </c>
      <c r="E729" t="s">
        <v>740</v>
      </c>
      <c r="F729" t="s">
        <v>57</v>
      </c>
      <c r="G729" t="s">
        <v>369</v>
      </c>
      <c r="H729" t="s">
        <v>370</v>
      </c>
      <c r="I729" t="s">
        <v>721</v>
      </c>
      <c r="J729" t="s">
        <v>455</v>
      </c>
      <c r="K729" t="s">
        <v>453</v>
      </c>
      <c r="L729" t="s">
        <v>0</v>
      </c>
      <c r="M729" t="s">
        <v>408</v>
      </c>
      <c r="N729" t="s">
        <v>11</v>
      </c>
      <c r="O729" t="s">
        <v>11</v>
      </c>
      <c r="P729" t="s">
        <v>0</v>
      </c>
      <c r="Q729" t="s">
        <v>408</v>
      </c>
      <c r="R729" t="s">
        <v>439</v>
      </c>
      <c r="S729" t="s">
        <v>451</v>
      </c>
      <c r="T729" t="s">
        <v>11</v>
      </c>
      <c r="U729" t="s">
        <v>408</v>
      </c>
    </row>
    <row r="730" spans="1:21" x14ac:dyDescent="0.25">
      <c r="A730">
        <v>16705328</v>
      </c>
      <c r="B730" t="s">
        <v>340</v>
      </c>
      <c r="C730" t="s">
        <v>26</v>
      </c>
      <c r="D730" t="s">
        <v>12</v>
      </c>
      <c r="E730" t="s">
        <v>740</v>
      </c>
      <c r="F730" t="s">
        <v>114</v>
      </c>
      <c r="G730" t="s">
        <v>369</v>
      </c>
      <c r="H730" t="s">
        <v>5</v>
      </c>
      <c r="I730" t="s">
        <v>436</v>
      </c>
      <c r="J730" t="s">
        <v>446</v>
      </c>
      <c r="K730" t="s">
        <v>438</v>
      </c>
      <c r="L730" t="s">
        <v>2</v>
      </c>
      <c r="M730" t="s">
        <v>408</v>
      </c>
      <c r="N730" t="s">
        <v>11</v>
      </c>
      <c r="O730" t="s">
        <v>11</v>
      </c>
      <c r="P730" t="s">
        <v>0</v>
      </c>
      <c r="Q730" t="s">
        <v>408</v>
      </c>
      <c r="R730" t="s">
        <v>439</v>
      </c>
      <c r="S730" t="s">
        <v>440</v>
      </c>
      <c r="T730" t="s">
        <v>11</v>
      </c>
      <c r="U730" t="s">
        <v>408</v>
      </c>
    </row>
    <row r="731" spans="1:21" x14ac:dyDescent="0.25">
      <c r="A731">
        <v>16705331</v>
      </c>
      <c r="B731" t="s">
        <v>340</v>
      </c>
      <c r="C731" t="s">
        <v>26</v>
      </c>
      <c r="D731" t="s">
        <v>12</v>
      </c>
      <c r="E731" t="s">
        <v>622</v>
      </c>
      <c r="F731" t="s">
        <v>55</v>
      </c>
      <c r="G731" t="s">
        <v>369</v>
      </c>
      <c r="H731" t="s">
        <v>0</v>
      </c>
      <c r="I731" t="s">
        <v>436</v>
      </c>
      <c r="J731" t="s">
        <v>437</v>
      </c>
      <c r="K731" t="s">
        <v>438</v>
      </c>
      <c r="L731" t="s">
        <v>1</v>
      </c>
      <c r="M731" t="s">
        <v>408</v>
      </c>
      <c r="N731" t="s">
        <v>11</v>
      </c>
      <c r="O731" t="s">
        <v>11</v>
      </c>
      <c r="P731" t="s">
        <v>0</v>
      </c>
      <c r="Q731" t="s">
        <v>408</v>
      </c>
      <c r="R731" t="s">
        <v>439</v>
      </c>
      <c r="S731" t="s">
        <v>440</v>
      </c>
      <c r="T731" t="s">
        <v>11</v>
      </c>
      <c r="U731" t="s">
        <v>408</v>
      </c>
    </row>
    <row r="732" spans="1:21" x14ac:dyDescent="0.25">
      <c r="A732">
        <v>16705332</v>
      </c>
      <c r="B732" t="s">
        <v>340</v>
      </c>
      <c r="C732" t="s">
        <v>26</v>
      </c>
      <c r="D732" t="s">
        <v>18</v>
      </c>
      <c r="E732" t="s">
        <v>741</v>
      </c>
      <c r="F732" t="s">
        <v>224</v>
      </c>
      <c r="G732" t="s">
        <v>369</v>
      </c>
      <c r="H732" t="s">
        <v>1</v>
      </c>
      <c r="I732" t="s">
        <v>469</v>
      </c>
      <c r="J732" t="s">
        <v>445</v>
      </c>
      <c r="K732" t="s">
        <v>438</v>
      </c>
      <c r="L732" t="s">
        <v>0</v>
      </c>
      <c r="M732" t="s">
        <v>408</v>
      </c>
      <c r="N732" t="s">
        <v>11</v>
      </c>
      <c r="O732" t="s">
        <v>11</v>
      </c>
      <c r="P732" t="s">
        <v>0</v>
      </c>
      <c r="Q732" t="s">
        <v>408</v>
      </c>
      <c r="R732" t="s">
        <v>439</v>
      </c>
      <c r="S732" t="s">
        <v>440</v>
      </c>
      <c r="T732" t="s">
        <v>11</v>
      </c>
      <c r="U732" t="s">
        <v>408</v>
      </c>
    </row>
    <row r="733" spans="1:21" x14ac:dyDescent="0.25">
      <c r="A733">
        <v>16705333</v>
      </c>
      <c r="B733" t="s">
        <v>340</v>
      </c>
      <c r="C733" t="s">
        <v>26</v>
      </c>
      <c r="D733" t="s">
        <v>12</v>
      </c>
      <c r="E733" t="s">
        <v>740</v>
      </c>
      <c r="F733" t="s">
        <v>56</v>
      </c>
      <c r="G733" t="s">
        <v>369</v>
      </c>
      <c r="H733" t="s">
        <v>370</v>
      </c>
      <c r="I733" t="s">
        <v>721</v>
      </c>
      <c r="J733" t="s">
        <v>455</v>
      </c>
      <c r="K733" t="s">
        <v>453</v>
      </c>
      <c r="L733" t="s">
        <v>367</v>
      </c>
      <c r="M733" t="s">
        <v>408</v>
      </c>
      <c r="N733" t="s">
        <v>11</v>
      </c>
      <c r="O733" t="s">
        <v>11</v>
      </c>
      <c r="P733" t="s">
        <v>0</v>
      </c>
      <c r="Q733" t="s">
        <v>408</v>
      </c>
      <c r="R733" t="s">
        <v>439</v>
      </c>
      <c r="S733" t="s">
        <v>451</v>
      </c>
      <c r="T733" t="s">
        <v>11</v>
      </c>
      <c r="U733" t="s">
        <v>408</v>
      </c>
    </row>
    <row r="734" spans="1:21" x14ac:dyDescent="0.25">
      <c r="A734">
        <v>16705334</v>
      </c>
      <c r="B734" t="s">
        <v>340</v>
      </c>
      <c r="C734" t="s">
        <v>26</v>
      </c>
      <c r="D734" t="s">
        <v>12</v>
      </c>
      <c r="E734" t="s">
        <v>740</v>
      </c>
      <c r="F734" t="s">
        <v>57</v>
      </c>
      <c r="G734" t="s">
        <v>369</v>
      </c>
      <c r="H734" t="s">
        <v>370</v>
      </c>
      <c r="I734" t="s">
        <v>721</v>
      </c>
      <c r="J734" t="s">
        <v>455</v>
      </c>
      <c r="K734" t="s">
        <v>453</v>
      </c>
      <c r="L734" t="s">
        <v>367</v>
      </c>
      <c r="M734" t="s">
        <v>408</v>
      </c>
      <c r="N734" t="s">
        <v>11</v>
      </c>
      <c r="O734" t="s">
        <v>11</v>
      </c>
      <c r="P734" t="s">
        <v>0</v>
      </c>
      <c r="Q734" t="s">
        <v>408</v>
      </c>
      <c r="R734" t="s">
        <v>439</v>
      </c>
      <c r="S734" t="s">
        <v>451</v>
      </c>
      <c r="T734" t="s">
        <v>11</v>
      </c>
      <c r="U734" t="s">
        <v>408</v>
      </c>
    </row>
    <row r="735" spans="1:21" x14ac:dyDescent="0.25">
      <c r="A735">
        <v>16705345</v>
      </c>
      <c r="B735" t="s">
        <v>340</v>
      </c>
      <c r="C735" t="s">
        <v>26</v>
      </c>
      <c r="D735" t="s">
        <v>79</v>
      </c>
      <c r="E735" t="s">
        <v>622</v>
      </c>
      <c r="F735" t="s">
        <v>55</v>
      </c>
      <c r="G735" t="s">
        <v>369</v>
      </c>
      <c r="H735" t="s">
        <v>350</v>
      </c>
      <c r="I735" t="s">
        <v>436</v>
      </c>
      <c r="J735" t="s">
        <v>566</v>
      </c>
      <c r="K735" t="s">
        <v>701</v>
      </c>
      <c r="L735" t="s">
        <v>8</v>
      </c>
      <c r="M735" t="s">
        <v>408</v>
      </c>
      <c r="N735" t="s">
        <v>11</v>
      </c>
      <c r="O735" t="s">
        <v>11</v>
      </c>
      <c r="P735" t="s">
        <v>0</v>
      </c>
      <c r="Q735" t="s">
        <v>408</v>
      </c>
      <c r="R735" t="s">
        <v>439</v>
      </c>
      <c r="S735" t="s">
        <v>440</v>
      </c>
      <c r="T735" t="s">
        <v>11</v>
      </c>
      <c r="U735" t="s">
        <v>408</v>
      </c>
    </row>
    <row r="736" spans="1:21" x14ac:dyDescent="0.25">
      <c r="A736">
        <v>16705348</v>
      </c>
      <c r="B736" t="s">
        <v>340</v>
      </c>
      <c r="C736" t="s">
        <v>26</v>
      </c>
      <c r="D736" t="s">
        <v>12</v>
      </c>
      <c r="E736" t="s">
        <v>622</v>
      </c>
      <c r="F736" t="s">
        <v>222</v>
      </c>
      <c r="G736" t="s">
        <v>369</v>
      </c>
      <c r="H736" t="s">
        <v>370</v>
      </c>
      <c r="I736" t="s">
        <v>721</v>
      </c>
      <c r="J736" t="s">
        <v>455</v>
      </c>
      <c r="K736" t="s">
        <v>453</v>
      </c>
      <c r="L736" t="s">
        <v>367</v>
      </c>
      <c r="M736" t="s">
        <v>408</v>
      </c>
      <c r="N736" t="s">
        <v>11</v>
      </c>
      <c r="O736" t="s">
        <v>11</v>
      </c>
      <c r="P736" t="s">
        <v>0</v>
      </c>
      <c r="Q736" t="s">
        <v>408</v>
      </c>
      <c r="R736" t="s">
        <v>439</v>
      </c>
      <c r="S736" t="s">
        <v>451</v>
      </c>
      <c r="T736" t="s">
        <v>11</v>
      </c>
      <c r="U736" t="s">
        <v>408</v>
      </c>
    </row>
    <row r="737" spans="1:21" x14ac:dyDescent="0.25">
      <c r="A737">
        <v>16705349</v>
      </c>
      <c r="B737" t="s">
        <v>340</v>
      </c>
      <c r="C737" t="s">
        <v>26</v>
      </c>
      <c r="D737" t="s">
        <v>12</v>
      </c>
      <c r="E737" t="s">
        <v>622</v>
      </c>
      <c r="F737" t="s">
        <v>223</v>
      </c>
      <c r="G737" t="s">
        <v>369</v>
      </c>
      <c r="H737" t="s">
        <v>1</v>
      </c>
      <c r="I737" t="s">
        <v>469</v>
      </c>
      <c r="J737" t="s">
        <v>445</v>
      </c>
      <c r="K737" t="s">
        <v>438</v>
      </c>
      <c r="L737" t="s">
        <v>2</v>
      </c>
      <c r="M737" t="s">
        <v>408</v>
      </c>
      <c r="N737" t="s">
        <v>11</v>
      </c>
      <c r="O737" t="s">
        <v>11</v>
      </c>
      <c r="P737" t="s">
        <v>0</v>
      </c>
      <c r="Q737" t="s">
        <v>408</v>
      </c>
      <c r="R737" t="s">
        <v>439</v>
      </c>
      <c r="S737" t="s">
        <v>440</v>
      </c>
      <c r="T737" t="s">
        <v>11</v>
      </c>
      <c r="U737" t="s">
        <v>408</v>
      </c>
    </row>
    <row r="738" spans="1:21" x14ac:dyDescent="0.25">
      <c r="A738">
        <v>16705354</v>
      </c>
      <c r="B738" t="s">
        <v>340</v>
      </c>
      <c r="C738" t="s">
        <v>26</v>
      </c>
      <c r="D738" t="s">
        <v>12</v>
      </c>
      <c r="E738" t="s">
        <v>740</v>
      </c>
      <c r="F738" t="s">
        <v>57</v>
      </c>
      <c r="G738" t="s">
        <v>369</v>
      </c>
      <c r="H738" t="s">
        <v>0</v>
      </c>
      <c r="I738" t="s">
        <v>436</v>
      </c>
      <c r="J738" t="s">
        <v>437</v>
      </c>
      <c r="K738" t="s">
        <v>438</v>
      </c>
      <c r="L738" t="s">
        <v>1</v>
      </c>
      <c r="M738" t="s">
        <v>408</v>
      </c>
      <c r="N738" t="s">
        <v>11</v>
      </c>
      <c r="O738" t="s">
        <v>11</v>
      </c>
      <c r="P738" t="s">
        <v>0</v>
      </c>
      <c r="Q738" t="s">
        <v>408</v>
      </c>
      <c r="R738" t="s">
        <v>439</v>
      </c>
      <c r="S738" t="s">
        <v>440</v>
      </c>
      <c r="T738" t="s">
        <v>11</v>
      </c>
      <c r="U738" t="s">
        <v>408</v>
      </c>
    </row>
    <row r="739" spans="1:21" x14ac:dyDescent="0.25">
      <c r="A739">
        <v>16705359</v>
      </c>
      <c r="B739" t="s">
        <v>340</v>
      </c>
      <c r="C739" t="s">
        <v>26</v>
      </c>
      <c r="D739" t="s">
        <v>12</v>
      </c>
      <c r="E739" t="s">
        <v>499</v>
      </c>
      <c r="F739" t="s">
        <v>113</v>
      </c>
      <c r="G739" t="s">
        <v>369</v>
      </c>
      <c r="H739" t="s">
        <v>1</v>
      </c>
      <c r="I739" t="s">
        <v>469</v>
      </c>
      <c r="J739" t="s">
        <v>445</v>
      </c>
      <c r="K739" t="s">
        <v>438</v>
      </c>
      <c r="L739" t="s">
        <v>2</v>
      </c>
      <c r="M739" t="s">
        <v>408</v>
      </c>
      <c r="N739" t="s">
        <v>11</v>
      </c>
      <c r="O739" t="s">
        <v>11</v>
      </c>
      <c r="P739" t="s">
        <v>0</v>
      </c>
      <c r="Q739" t="s">
        <v>408</v>
      </c>
      <c r="R739" t="s">
        <v>439</v>
      </c>
      <c r="S739" t="s">
        <v>440</v>
      </c>
      <c r="T739" t="s">
        <v>11</v>
      </c>
      <c r="U739" t="s">
        <v>408</v>
      </c>
    </row>
    <row r="740" spans="1:21" x14ac:dyDescent="0.25">
      <c r="A740">
        <v>16705365</v>
      </c>
      <c r="B740" t="s">
        <v>340</v>
      </c>
      <c r="C740" t="s">
        <v>26</v>
      </c>
      <c r="D740" t="s">
        <v>12</v>
      </c>
      <c r="E740" t="s">
        <v>740</v>
      </c>
      <c r="F740" t="s">
        <v>58</v>
      </c>
      <c r="G740" t="s">
        <v>369</v>
      </c>
      <c r="H740" t="s">
        <v>370</v>
      </c>
      <c r="I740" t="s">
        <v>721</v>
      </c>
      <c r="J740" t="s">
        <v>455</v>
      </c>
      <c r="K740" t="s">
        <v>453</v>
      </c>
      <c r="L740" t="s">
        <v>2</v>
      </c>
      <c r="M740" t="s">
        <v>408</v>
      </c>
      <c r="N740" t="s">
        <v>11</v>
      </c>
      <c r="O740" t="s">
        <v>11</v>
      </c>
      <c r="P740" t="s">
        <v>2</v>
      </c>
      <c r="Q740" t="s">
        <v>408</v>
      </c>
      <c r="R740" t="s">
        <v>439</v>
      </c>
      <c r="S740" t="s">
        <v>451</v>
      </c>
      <c r="T740" t="s">
        <v>11</v>
      </c>
      <c r="U740" t="s">
        <v>408</v>
      </c>
    </row>
    <row r="741" spans="1:21" x14ac:dyDescent="0.25">
      <c r="A741">
        <v>16705368</v>
      </c>
      <c r="B741" t="s">
        <v>340</v>
      </c>
      <c r="C741" t="s">
        <v>26</v>
      </c>
      <c r="D741" t="s">
        <v>12</v>
      </c>
      <c r="E741" t="s">
        <v>622</v>
      </c>
      <c r="F741" t="s">
        <v>210</v>
      </c>
      <c r="G741" t="s">
        <v>369</v>
      </c>
      <c r="H741" t="s">
        <v>0</v>
      </c>
      <c r="I741" t="s">
        <v>436</v>
      </c>
      <c r="J741" t="s">
        <v>437</v>
      </c>
      <c r="K741" t="s">
        <v>438</v>
      </c>
      <c r="L741" t="s">
        <v>1</v>
      </c>
      <c r="M741" t="s">
        <v>408</v>
      </c>
      <c r="N741" t="s">
        <v>11</v>
      </c>
      <c r="O741" t="s">
        <v>11</v>
      </c>
      <c r="P741" t="s">
        <v>2</v>
      </c>
      <c r="Q741" t="s">
        <v>408</v>
      </c>
      <c r="R741" t="s">
        <v>439</v>
      </c>
      <c r="S741" t="s">
        <v>440</v>
      </c>
      <c r="T741" t="s">
        <v>11</v>
      </c>
      <c r="U741" t="s">
        <v>408</v>
      </c>
    </row>
    <row r="742" spans="1:21" x14ac:dyDescent="0.25">
      <c r="A742">
        <v>16705370</v>
      </c>
      <c r="B742" t="s">
        <v>340</v>
      </c>
      <c r="C742" t="s">
        <v>26</v>
      </c>
      <c r="D742" t="s">
        <v>12</v>
      </c>
      <c r="E742" t="s">
        <v>740</v>
      </c>
      <c r="F742" t="s">
        <v>58</v>
      </c>
      <c r="G742" t="s">
        <v>369</v>
      </c>
      <c r="H742" t="s">
        <v>1</v>
      </c>
      <c r="I742" t="s">
        <v>469</v>
      </c>
      <c r="J742" t="s">
        <v>445</v>
      </c>
      <c r="K742" t="s">
        <v>438</v>
      </c>
      <c r="L742" t="s">
        <v>2</v>
      </c>
      <c r="M742" t="s">
        <v>408</v>
      </c>
      <c r="N742" t="s">
        <v>11</v>
      </c>
      <c r="O742" t="s">
        <v>11</v>
      </c>
      <c r="P742" t="s">
        <v>2</v>
      </c>
      <c r="Q742" t="s">
        <v>408</v>
      </c>
      <c r="R742" t="s">
        <v>439</v>
      </c>
      <c r="S742" t="s">
        <v>440</v>
      </c>
      <c r="T742" t="s">
        <v>11</v>
      </c>
      <c r="U742" t="s">
        <v>408</v>
      </c>
    </row>
    <row r="743" spans="1:21" x14ac:dyDescent="0.25">
      <c r="A743">
        <v>16705386</v>
      </c>
      <c r="B743" t="s">
        <v>342</v>
      </c>
      <c r="C743" t="s">
        <v>33</v>
      </c>
      <c r="D743" t="s">
        <v>79</v>
      </c>
      <c r="E743" t="s">
        <v>740</v>
      </c>
      <c r="F743" t="s">
        <v>59</v>
      </c>
      <c r="G743" t="s">
        <v>369</v>
      </c>
      <c r="H743" t="s">
        <v>5</v>
      </c>
      <c r="I743" t="s">
        <v>436</v>
      </c>
      <c r="J743" t="s">
        <v>446</v>
      </c>
      <c r="K743" t="s">
        <v>438</v>
      </c>
      <c r="L743" t="s">
        <v>2</v>
      </c>
      <c r="M743" t="s">
        <v>408</v>
      </c>
      <c r="N743" t="s">
        <v>11</v>
      </c>
      <c r="O743" t="s">
        <v>11</v>
      </c>
      <c r="P743" t="s">
        <v>2</v>
      </c>
      <c r="Q743" t="s">
        <v>408</v>
      </c>
      <c r="R743" t="s">
        <v>439</v>
      </c>
      <c r="S743" t="s">
        <v>440</v>
      </c>
      <c r="T743" t="s">
        <v>11</v>
      </c>
      <c r="U743" t="s">
        <v>408</v>
      </c>
    </row>
    <row r="744" spans="1:21" x14ac:dyDescent="0.25">
      <c r="A744">
        <v>16705396</v>
      </c>
      <c r="B744" t="s">
        <v>340</v>
      </c>
      <c r="C744" t="s">
        <v>26</v>
      </c>
      <c r="D744" t="s">
        <v>12</v>
      </c>
      <c r="E744" t="s">
        <v>622</v>
      </c>
      <c r="F744" t="s">
        <v>210</v>
      </c>
      <c r="G744" t="s">
        <v>369</v>
      </c>
      <c r="H744" t="s">
        <v>370</v>
      </c>
      <c r="I744" t="s">
        <v>721</v>
      </c>
      <c r="J744" t="s">
        <v>455</v>
      </c>
      <c r="K744" t="s">
        <v>453</v>
      </c>
      <c r="L744" t="s">
        <v>367</v>
      </c>
      <c r="M744" t="s">
        <v>408</v>
      </c>
      <c r="N744" t="s">
        <v>11</v>
      </c>
      <c r="O744" t="s">
        <v>11</v>
      </c>
      <c r="P744" t="s">
        <v>2</v>
      </c>
      <c r="Q744" t="s">
        <v>408</v>
      </c>
      <c r="R744" t="s">
        <v>439</v>
      </c>
      <c r="S744" t="s">
        <v>451</v>
      </c>
      <c r="T744" t="s">
        <v>11</v>
      </c>
      <c r="U744" t="s">
        <v>408</v>
      </c>
    </row>
    <row r="745" spans="1:21" x14ac:dyDescent="0.25">
      <c r="A745">
        <v>16705400</v>
      </c>
      <c r="B745" t="s">
        <v>340</v>
      </c>
      <c r="C745" t="s">
        <v>26</v>
      </c>
      <c r="D745" t="s">
        <v>12</v>
      </c>
      <c r="E745" t="s">
        <v>740</v>
      </c>
      <c r="F745" t="s">
        <v>58</v>
      </c>
      <c r="G745" t="s">
        <v>369</v>
      </c>
      <c r="H745" t="s">
        <v>5</v>
      </c>
      <c r="I745" t="s">
        <v>436</v>
      </c>
      <c r="J745" t="s">
        <v>446</v>
      </c>
      <c r="K745" t="s">
        <v>438</v>
      </c>
      <c r="L745" t="s">
        <v>2</v>
      </c>
      <c r="M745" t="s">
        <v>408</v>
      </c>
      <c r="N745" t="s">
        <v>11</v>
      </c>
      <c r="O745" t="s">
        <v>11</v>
      </c>
      <c r="P745" t="s">
        <v>2</v>
      </c>
      <c r="Q745" t="s">
        <v>408</v>
      </c>
      <c r="R745" t="s">
        <v>439</v>
      </c>
      <c r="S745" t="s">
        <v>440</v>
      </c>
      <c r="T745" t="s">
        <v>11</v>
      </c>
      <c r="U745" t="s">
        <v>408</v>
      </c>
    </row>
    <row r="746" spans="1:21" x14ac:dyDescent="0.25">
      <c r="A746">
        <v>16705401</v>
      </c>
      <c r="B746" t="s">
        <v>340</v>
      </c>
      <c r="C746" t="s">
        <v>26</v>
      </c>
      <c r="D746" t="s">
        <v>12</v>
      </c>
      <c r="E746" t="s">
        <v>740</v>
      </c>
      <c r="F746" t="s">
        <v>58</v>
      </c>
      <c r="G746" t="s">
        <v>369</v>
      </c>
      <c r="H746" t="s">
        <v>5</v>
      </c>
      <c r="I746" t="s">
        <v>436</v>
      </c>
      <c r="J746" t="s">
        <v>446</v>
      </c>
      <c r="K746" t="s">
        <v>438</v>
      </c>
      <c r="L746" t="s">
        <v>2</v>
      </c>
      <c r="M746" t="s">
        <v>408</v>
      </c>
      <c r="N746" t="s">
        <v>11</v>
      </c>
      <c r="O746" t="s">
        <v>11</v>
      </c>
      <c r="P746" t="s">
        <v>2</v>
      </c>
      <c r="Q746" t="s">
        <v>408</v>
      </c>
      <c r="R746" t="s">
        <v>439</v>
      </c>
      <c r="S746" t="s">
        <v>440</v>
      </c>
      <c r="T746" t="s">
        <v>11</v>
      </c>
      <c r="U746" t="s">
        <v>408</v>
      </c>
    </row>
    <row r="747" spans="1:21" x14ac:dyDescent="0.25">
      <c r="A747">
        <v>16705402</v>
      </c>
      <c r="B747" t="s">
        <v>340</v>
      </c>
      <c r="C747" t="s">
        <v>26</v>
      </c>
      <c r="D747" t="s">
        <v>12</v>
      </c>
      <c r="E747" t="s">
        <v>740</v>
      </c>
      <c r="F747" t="s">
        <v>59</v>
      </c>
      <c r="G747" t="s">
        <v>369</v>
      </c>
      <c r="H747" t="s">
        <v>370</v>
      </c>
      <c r="I747" t="s">
        <v>721</v>
      </c>
      <c r="J747" t="s">
        <v>455</v>
      </c>
      <c r="K747" t="s">
        <v>453</v>
      </c>
      <c r="L747" t="s">
        <v>367</v>
      </c>
      <c r="M747" t="s">
        <v>408</v>
      </c>
      <c r="N747" t="s">
        <v>11</v>
      </c>
      <c r="O747" t="s">
        <v>11</v>
      </c>
      <c r="P747" t="s">
        <v>2</v>
      </c>
      <c r="Q747" t="s">
        <v>408</v>
      </c>
      <c r="R747" t="s">
        <v>439</v>
      </c>
      <c r="S747" t="s">
        <v>451</v>
      </c>
      <c r="T747" t="s">
        <v>11</v>
      </c>
      <c r="U747" t="s">
        <v>408</v>
      </c>
    </row>
    <row r="748" spans="1:21" x14ac:dyDescent="0.25">
      <c r="A748">
        <v>16705403</v>
      </c>
      <c r="B748" t="s">
        <v>340</v>
      </c>
      <c r="C748" t="s">
        <v>26</v>
      </c>
      <c r="D748" t="s">
        <v>12</v>
      </c>
      <c r="E748" t="s">
        <v>740</v>
      </c>
      <c r="F748" t="s">
        <v>58</v>
      </c>
      <c r="G748" t="s">
        <v>369</v>
      </c>
      <c r="H748" t="s">
        <v>5</v>
      </c>
      <c r="I748" t="s">
        <v>436</v>
      </c>
      <c r="J748" t="s">
        <v>446</v>
      </c>
      <c r="K748" t="s">
        <v>438</v>
      </c>
      <c r="L748" t="s">
        <v>2</v>
      </c>
      <c r="M748" t="s">
        <v>408</v>
      </c>
      <c r="N748" t="s">
        <v>11</v>
      </c>
      <c r="O748" t="s">
        <v>11</v>
      </c>
      <c r="P748" t="s">
        <v>2</v>
      </c>
      <c r="Q748" t="s">
        <v>408</v>
      </c>
      <c r="R748" t="s">
        <v>439</v>
      </c>
      <c r="S748" t="s">
        <v>440</v>
      </c>
      <c r="T748" t="s">
        <v>11</v>
      </c>
      <c r="U748" t="s">
        <v>408</v>
      </c>
    </row>
    <row r="749" spans="1:21" x14ac:dyDescent="0.25">
      <c r="A749">
        <v>16705406</v>
      </c>
      <c r="B749" t="s">
        <v>340</v>
      </c>
      <c r="C749" t="s">
        <v>26</v>
      </c>
      <c r="D749" t="s">
        <v>12</v>
      </c>
      <c r="E749" t="s">
        <v>740</v>
      </c>
      <c r="F749" t="s">
        <v>59</v>
      </c>
      <c r="G749" t="s">
        <v>369</v>
      </c>
      <c r="H749" t="s">
        <v>1</v>
      </c>
      <c r="I749" t="s">
        <v>469</v>
      </c>
      <c r="J749" t="s">
        <v>445</v>
      </c>
      <c r="K749" t="s">
        <v>438</v>
      </c>
      <c r="L749" t="s">
        <v>2</v>
      </c>
      <c r="M749" t="s">
        <v>408</v>
      </c>
      <c r="N749" t="s">
        <v>11</v>
      </c>
      <c r="O749" t="s">
        <v>11</v>
      </c>
      <c r="P749" t="s">
        <v>2</v>
      </c>
      <c r="Q749" t="s">
        <v>408</v>
      </c>
      <c r="R749" t="s">
        <v>439</v>
      </c>
      <c r="S749" t="s">
        <v>440</v>
      </c>
      <c r="T749" t="s">
        <v>11</v>
      </c>
      <c r="U749" t="s">
        <v>408</v>
      </c>
    </row>
    <row r="750" spans="1:21" x14ac:dyDescent="0.25">
      <c r="A750">
        <v>16705407</v>
      </c>
      <c r="B750" t="s">
        <v>340</v>
      </c>
      <c r="C750" t="s">
        <v>26</v>
      </c>
      <c r="D750" t="s">
        <v>12</v>
      </c>
      <c r="E750" t="s">
        <v>740</v>
      </c>
      <c r="F750" t="s">
        <v>58</v>
      </c>
      <c r="G750" t="s">
        <v>369</v>
      </c>
      <c r="H750" t="s">
        <v>715</v>
      </c>
      <c r="I750" t="s">
        <v>716</v>
      </c>
      <c r="J750" t="s">
        <v>717</v>
      </c>
      <c r="K750" t="s">
        <v>438</v>
      </c>
      <c r="L750" t="s">
        <v>2</v>
      </c>
      <c r="M750" t="s">
        <v>408</v>
      </c>
      <c r="N750" t="s">
        <v>11</v>
      </c>
      <c r="O750" t="s">
        <v>11</v>
      </c>
      <c r="P750" t="s">
        <v>2</v>
      </c>
      <c r="Q750" t="s">
        <v>408</v>
      </c>
      <c r="R750" t="s">
        <v>439</v>
      </c>
      <c r="S750" t="s">
        <v>440</v>
      </c>
      <c r="T750" t="s">
        <v>11</v>
      </c>
      <c r="U750" t="s">
        <v>408</v>
      </c>
    </row>
    <row r="751" spans="1:21" x14ac:dyDescent="0.25">
      <c r="A751">
        <v>16705410</v>
      </c>
      <c r="B751" t="s">
        <v>340</v>
      </c>
      <c r="C751" t="s">
        <v>26</v>
      </c>
      <c r="D751" t="s">
        <v>12</v>
      </c>
      <c r="E751" t="s">
        <v>740</v>
      </c>
      <c r="F751" t="s">
        <v>57</v>
      </c>
      <c r="G751" t="s">
        <v>369</v>
      </c>
      <c r="H751" t="s">
        <v>1</v>
      </c>
      <c r="I751" t="s">
        <v>469</v>
      </c>
      <c r="J751" t="s">
        <v>445</v>
      </c>
      <c r="K751" t="s">
        <v>438</v>
      </c>
      <c r="L751" t="s">
        <v>2</v>
      </c>
      <c r="M751" t="s">
        <v>408</v>
      </c>
      <c r="N751" t="s">
        <v>11</v>
      </c>
      <c r="O751" t="s">
        <v>11</v>
      </c>
      <c r="P751" t="s">
        <v>2</v>
      </c>
      <c r="Q751" t="s">
        <v>408</v>
      </c>
      <c r="R751" t="s">
        <v>439</v>
      </c>
      <c r="S751" t="s">
        <v>440</v>
      </c>
      <c r="T751" t="s">
        <v>11</v>
      </c>
      <c r="U751" t="s">
        <v>408</v>
      </c>
    </row>
    <row r="752" spans="1:21" x14ac:dyDescent="0.25">
      <c r="A752">
        <v>16705414</v>
      </c>
      <c r="B752" t="s">
        <v>340</v>
      </c>
      <c r="C752" t="s">
        <v>26</v>
      </c>
      <c r="D752" t="s">
        <v>12</v>
      </c>
      <c r="E752" t="s">
        <v>622</v>
      </c>
      <c r="F752" t="s">
        <v>55</v>
      </c>
      <c r="G752" t="s">
        <v>369</v>
      </c>
      <c r="H752" t="s">
        <v>0</v>
      </c>
      <c r="I752" t="s">
        <v>436</v>
      </c>
      <c r="J752" t="s">
        <v>437</v>
      </c>
      <c r="K752" t="s">
        <v>438</v>
      </c>
      <c r="L752" t="s">
        <v>1</v>
      </c>
      <c r="M752" t="s">
        <v>408</v>
      </c>
      <c r="N752" t="s">
        <v>11</v>
      </c>
      <c r="O752" t="s">
        <v>11</v>
      </c>
      <c r="P752" t="s">
        <v>2</v>
      </c>
      <c r="Q752" t="s">
        <v>408</v>
      </c>
      <c r="R752" t="s">
        <v>439</v>
      </c>
      <c r="S752" t="s">
        <v>440</v>
      </c>
      <c r="T752" t="s">
        <v>11</v>
      </c>
      <c r="U752" t="s">
        <v>408</v>
      </c>
    </row>
    <row r="753" spans="1:21" x14ac:dyDescent="0.25">
      <c r="A753">
        <v>16705416</v>
      </c>
      <c r="B753" t="s">
        <v>340</v>
      </c>
      <c r="C753" t="s">
        <v>26</v>
      </c>
      <c r="D753" t="s">
        <v>12</v>
      </c>
      <c r="E753" t="s">
        <v>740</v>
      </c>
      <c r="F753" t="s">
        <v>59</v>
      </c>
      <c r="G753" t="s">
        <v>369</v>
      </c>
      <c r="H753" t="s">
        <v>727</v>
      </c>
      <c r="I753" t="s">
        <v>728</v>
      </c>
      <c r="J753" t="s">
        <v>729</v>
      </c>
      <c r="K753" t="s">
        <v>450</v>
      </c>
      <c r="L753" t="s">
        <v>367</v>
      </c>
      <c r="M753" t="s">
        <v>408</v>
      </c>
      <c r="N753" t="s">
        <v>11</v>
      </c>
      <c r="O753" t="s">
        <v>11</v>
      </c>
      <c r="P753" t="s">
        <v>2</v>
      </c>
      <c r="Q753" t="s">
        <v>408</v>
      </c>
      <c r="R753" t="s">
        <v>439</v>
      </c>
      <c r="S753" t="s">
        <v>451</v>
      </c>
      <c r="T753" t="s">
        <v>11</v>
      </c>
      <c r="U753" t="s">
        <v>408</v>
      </c>
    </row>
    <row r="754" spans="1:21" x14ac:dyDescent="0.25">
      <c r="A754">
        <v>16705417</v>
      </c>
      <c r="B754" t="s">
        <v>340</v>
      </c>
      <c r="C754" t="s">
        <v>26</v>
      </c>
      <c r="D754" t="s">
        <v>18</v>
      </c>
      <c r="E754" t="s">
        <v>740</v>
      </c>
      <c r="F754" t="s">
        <v>59</v>
      </c>
      <c r="G754" t="s">
        <v>369</v>
      </c>
      <c r="H754" t="s">
        <v>715</v>
      </c>
      <c r="I754" t="s">
        <v>716</v>
      </c>
      <c r="J754" t="s">
        <v>717</v>
      </c>
      <c r="K754" t="s">
        <v>438</v>
      </c>
      <c r="L754" t="s">
        <v>0</v>
      </c>
      <c r="M754" t="s">
        <v>408</v>
      </c>
      <c r="N754" t="s">
        <v>11</v>
      </c>
      <c r="O754" t="s">
        <v>11</v>
      </c>
      <c r="P754" t="s">
        <v>2</v>
      </c>
      <c r="Q754" t="s">
        <v>408</v>
      </c>
      <c r="R754" t="s">
        <v>439</v>
      </c>
      <c r="S754" t="s">
        <v>440</v>
      </c>
      <c r="T754" t="s">
        <v>11</v>
      </c>
      <c r="U754" t="s">
        <v>408</v>
      </c>
    </row>
    <row r="755" spans="1:21" x14ac:dyDescent="0.25">
      <c r="A755">
        <v>16705419</v>
      </c>
      <c r="B755" t="s">
        <v>340</v>
      </c>
      <c r="C755" t="s">
        <v>26</v>
      </c>
      <c r="D755" t="s">
        <v>12</v>
      </c>
      <c r="E755" t="s">
        <v>740</v>
      </c>
      <c r="F755" t="s">
        <v>59</v>
      </c>
      <c r="G755" t="s">
        <v>369</v>
      </c>
      <c r="H755" t="s">
        <v>370</v>
      </c>
      <c r="I755" t="s">
        <v>721</v>
      </c>
      <c r="J755" t="s">
        <v>455</v>
      </c>
      <c r="K755" t="s">
        <v>453</v>
      </c>
      <c r="L755" t="s">
        <v>367</v>
      </c>
      <c r="M755" t="s">
        <v>408</v>
      </c>
      <c r="N755" t="s">
        <v>11</v>
      </c>
      <c r="O755" t="s">
        <v>408</v>
      </c>
      <c r="P755" t="s">
        <v>2</v>
      </c>
      <c r="Q755" t="s">
        <v>408</v>
      </c>
      <c r="R755" t="s">
        <v>439</v>
      </c>
      <c r="S755" t="s">
        <v>451</v>
      </c>
      <c r="T755" t="s">
        <v>11</v>
      </c>
      <c r="U755" t="s">
        <v>408</v>
      </c>
    </row>
    <row r="756" spans="1:21" x14ac:dyDescent="0.25">
      <c r="A756">
        <v>16705421</v>
      </c>
      <c r="B756" t="s">
        <v>340</v>
      </c>
      <c r="C756" t="s">
        <v>26</v>
      </c>
      <c r="D756" t="s">
        <v>12</v>
      </c>
      <c r="E756" t="s">
        <v>740</v>
      </c>
      <c r="F756" t="s">
        <v>58</v>
      </c>
      <c r="G756" t="s">
        <v>369</v>
      </c>
      <c r="H756" t="s">
        <v>0</v>
      </c>
      <c r="I756" t="s">
        <v>436</v>
      </c>
      <c r="J756" t="s">
        <v>437</v>
      </c>
      <c r="K756" t="s">
        <v>438</v>
      </c>
      <c r="L756" t="s">
        <v>5</v>
      </c>
      <c r="M756" t="s">
        <v>408</v>
      </c>
      <c r="N756" t="s">
        <v>11</v>
      </c>
      <c r="O756" t="s">
        <v>11</v>
      </c>
      <c r="P756" t="s">
        <v>2</v>
      </c>
      <c r="Q756" t="s">
        <v>408</v>
      </c>
      <c r="R756" t="s">
        <v>439</v>
      </c>
      <c r="S756" t="s">
        <v>440</v>
      </c>
      <c r="T756" t="s">
        <v>11</v>
      </c>
      <c r="U756" t="s">
        <v>408</v>
      </c>
    </row>
    <row r="757" spans="1:21" x14ac:dyDescent="0.25">
      <c r="A757">
        <v>16705422</v>
      </c>
      <c r="B757" t="s">
        <v>340</v>
      </c>
      <c r="C757" t="s">
        <v>26</v>
      </c>
      <c r="D757" t="s">
        <v>12</v>
      </c>
      <c r="E757" t="s">
        <v>740</v>
      </c>
      <c r="F757" t="s">
        <v>58</v>
      </c>
      <c r="G757" t="s">
        <v>369</v>
      </c>
      <c r="H757" t="s">
        <v>1</v>
      </c>
      <c r="I757" t="s">
        <v>469</v>
      </c>
      <c r="J757" t="s">
        <v>445</v>
      </c>
      <c r="K757" t="s">
        <v>438</v>
      </c>
      <c r="L757" t="s">
        <v>2</v>
      </c>
      <c r="M757" t="s">
        <v>408</v>
      </c>
      <c r="N757" t="s">
        <v>11</v>
      </c>
      <c r="O757" t="s">
        <v>11</v>
      </c>
      <c r="P757" t="s">
        <v>2</v>
      </c>
      <c r="Q757" t="s">
        <v>408</v>
      </c>
      <c r="R757" t="s">
        <v>439</v>
      </c>
      <c r="S757" t="s">
        <v>440</v>
      </c>
      <c r="T757" t="s">
        <v>11</v>
      </c>
      <c r="U757" t="s">
        <v>408</v>
      </c>
    </row>
    <row r="758" spans="1:21" x14ac:dyDescent="0.25">
      <c r="A758">
        <v>16705427</v>
      </c>
      <c r="B758" t="s">
        <v>340</v>
      </c>
      <c r="C758" t="s">
        <v>26</v>
      </c>
      <c r="D758" t="s">
        <v>12</v>
      </c>
      <c r="E758" t="s">
        <v>740</v>
      </c>
      <c r="F758" t="s">
        <v>59</v>
      </c>
      <c r="G758" t="s">
        <v>369</v>
      </c>
      <c r="H758" t="s">
        <v>715</v>
      </c>
      <c r="I758" t="s">
        <v>716</v>
      </c>
      <c r="J758" t="s">
        <v>717</v>
      </c>
      <c r="K758" t="s">
        <v>438</v>
      </c>
      <c r="L758" t="s">
        <v>2</v>
      </c>
      <c r="M758" t="s">
        <v>408</v>
      </c>
      <c r="N758" t="s">
        <v>11</v>
      </c>
      <c r="O758" t="s">
        <v>11</v>
      </c>
      <c r="P758" t="s">
        <v>2</v>
      </c>
      <c r="Q758" t="s">
        <v>408</v>
      </c>
      <c r="R758" t="s">
        <v>439</v>
      </c>
      <c r="S758" t="s">
        <v>440</v>
      </c>
      <c r="T758" t="s">
        <v>11</v>
      </c>
      <c r="U758" t="s">
        <v>408</v>
      </c>
    </row>
    <row r="759" spans="1:21" x14ac:dyDescent="0.25">
      <c r="A759">
        <v>16705429</v>
      </c>
      <c r="B759" t="s">
        <v>340</v>
      </c>
      <c r="C759" t="s">
        <v>26</v>
      </c>
      <c r="D759" t="s">
        <v>12</v>
      </c>
      <c r="E759" t="s">
        <v>740</v>
      </c>
      <c r="F759" t="s">
        <v>59</v>
      </c>
      <c r="G759" t="s">
        <v>369</v>
      </c>
      <c r="H759" t="s">
        <v>370</v>
      </c>
      <c r="I759" t="s">
        <v>721</v>
      </c>
      <c r="J759" t="s">
        <v>455</v>
      </c>
      <c r="K759" t="s">
        <v>453</v>
      </c>
      <c r="L759" t="s">
        <v>0</v>
      </c>
      <c r="M759" t="s">
        <v>408</v>
      </c>
      <c r="N759" t="s">
        <v>11</v>
      </c>
      <c r="O759" t="s">
        <v>11</v>
      </c>
      <c r="P759" t="s">
        <v>2</v>
      </c>
      <c r="Q759" t="s">
        <v>408</v>
      </c>
      <c r="R759" t="s">
        <v>439</v>
      </c>
      <c r="S759" t="s">
        <v>451</v>
      </c>
      <c r="T759" t="s">
        <v>11</v>
      </c>
      <c r="U759" t="s">
        <v>408</v>
      </c>
    </row>
    <row r="760" spans="1:21" x14ac:dyDescent="0.25">
      <c r="A760">
        <v>16705431</v>
      </c>
      <c r="B760" t="s">
        <v>340</v>
      </c>
      <c r="C760" t="s">
        <v>26</v>
      </c>
      <c r="D760" t="s">
        <v>12</v>
      </c>
      <c r="E760" t="s">
        <v>622</v>
      </c>
      <c r="F760" t="s">
        <v>55</v>
      </c>
      <c r="G760" t="s">
        <v>369</v>
      </c>
      <c r="H760" t="s">
        <v>715</v>
      </c>
      <c r="I760" t="s">
        <v>716</v>
      </c>
      <c r="J760" t="s">
        <v>717</v>
      </c>
      <c r="K760" t="s">
        <v>438</v>
      </c>
      <c r="L760" t="s">
        <v>0</v>
      </c>
      <c r="M760" t="s">
        <v>408</v>
      </c>
      <c r="N760" t="s">
        <v>11</v>
      </c>
      <c r="O760" t="s">
        <v>11</v>
      </c>
      <c r="P760" t="s">
        <v>2</v>
      </c>
      <c r="Q760" t="s">
        <v>408</v>
      </c>
      <c r="R760" t="s">
        <v>439</v>
      </c>
      <c r="S760" t="s">
        <v>440</v>
      </c>
      <c r="T760" t="s">
        <v>11</v>
      </c>
      <c r="U760" t="s">
        <v>408</v>
      </c>
    </row>
    <row r="761" spans="1:21" x14ac:dyDescent="0.25">
      <c r="A761">
        <v>16705435</v>
      </c>
      <c r="B761" t="s">
        <v>340</v>
      </c>
      <c r="C761" t="s">
        <v>26</v>
      </c>
      <c r="D761" t="s">
        <v>12</v>
      </c>
      <c r="E761" t="s">
        <v>741</v>
      </c>
      <c r="F761" t="s">
        <v>116</v>
      </c>
      <c r="G761" t="s">
        <v>369</v>
      </c>
      <c r="H761" t="s">
        <v>5</v>
      </c>
      <c r="I761" t="s">
        <v>436</v>
      </c>
      <c r="J761" t="s">
        <v>446</v>
      </c>
      <c r="K761" t="s">
        <v>438</v>
      </c>
      <c r="L761" t="s">
        <v>2</v>
      </c>
      <c r="M761" t="s">
        <v>408</v>
      </c>
      <c r="N761" t="s">
        <v>11</v>
      </c>
      <c r="O761" t="s">
        <v>11</v>
      </c>
      <c r="P761" t="s">
        <v>2</v>
      </c>
      <c r="Q761" t="s">
        <v>408</v>
      </c>
      <c r="R761" t="s">
        <v>439</v>
      </c>
      <c r="S761" t="s">
        <v>440</v>
      </c>
      <c r="T761" t="s">
        <v>11</v>
      </c>
      <c r="U761" t="s">
        <v>408</v>
      </c>
    </row>
    <row r="762" spans="1:21" x14ac:dyDescent="0.25">
      <c r="A762">
        <v>16705448</v>
      </c>
      <c r="B762" t="s">
        <v>340</v>
      </c>
      <c r="C762" t="s">
        <v>26</v>
      </c>
      <c r="D762" t="s">
        <v>12</v>
      </c>
      <c r="E762" t="s">
        <v>740</v>
      </c>
      <c r="F762" t="s">
        <v>58</v>
      </c>
      <c r="G762" t="s">
        <v>369</v>
      </c>
      <c r="H762" t="s">
        <v>1</v>
      </c>
      <c r="I762" t="s">
        <v>469</v>
      </c>
      <c r="J762" t="s">
        <v>445</v>
      </c>
      <c r="K762" t="s">
        <v>438</v>
      </c>
      <c r="L762" t="s">
        <v>2</v>
      </c>
      <c r="M762" t="s">
        <v>408</v>
      </c>
      <c r="N762" t="s">
        <v>11</v>
      </c>
      <c r="O762" t="s">
        <v>11</v>
      </c>
      <c r="P762" t="s">
        <v>2</v>
      </c>
      <c r="Q762" t="s">
        <v>408</v>
      </c>
      <c r="R762" t="s">
        <v>439</v>
      </c>
      <c r="S762" t="s">
        <v>440</v>
      </c>
      <c r="T762" t="s">
        <v>11</v>
      </c>
      <c r="U762" t="s">
        <v>408</v>
      </c>
    </row>
    <row r="763" spans="1:21" x14ac:dyDescent="0.25">
      <c r="A763">
        <v>16705449</v>
      </c>
      <c r="B763" t="s">
        <v>340</v>
      </c>
      <c r="C763" t="s">
        <v>26</v>
      </c>
      <c r="D763" t="s">
        <v>12</v>
      </c>
      <c r="E763" t="s">
        <v>740</v>
      </c>
      <c r="F763" t="s">
        <v>57</v>
      </c>
      <c r="G763" t="s">
        <v>369</v>
      </c>
      <c r="H763" t="s">
        <v>1</v>
      </c>
      <c r="I763" t="s">
        <v>469</v>
      </c>
      <c r="J763" t="s">
        <v>445</v>
      </c>
      <c r="K763" t="s">
        <v>438</v>
      </c>
      <c r="L763" t="s">
        <v>2</v>
      </c>
      <c r="M763" t="s">
        <v>408</v>
      </c>
      <c r="N763" t="s">
        <v>11</v>
      </c>
      <c r="O763" t="s">
        <v>11</v>
      </c>
      <c r="P763" t="s">
        <v>2</v>
      </c>
      <c r="Q763" t="s">
        <v>408</v>
      </c>
      <c r="R763" t="s">
        <v>439</v>
      </c>
      <c r="S763" t="s">
        <v>440</v>
      </c>
      <c r="T763" t="s">
        <v>11</v>
      </c>
      <c r="U763" t="s">
        <v>408</v>
      </c>
    </row>
    <row r="764" spans="1:21" x14ac:dyDescent="0.25">
      <c r="A764">
        <v>16705450</v>
      </c>
      <c r="B764" t="s">
        <v>340</v>
      </c>
      <c r="C764" t="s">
        <v>26</v>
      </c>
      <c r="D764" t="s">
        <v>12</v>
      </c>
      <c r="E764" t="s">
        <v>622</v>
      </c>
      <c r="F764" t="s">
        <v>55</v>
      </c>
      <c r="G764" t="s">
        <v>369</v>
      </c>
      <c r="H764" t="s">
        <v>370</v>
      </c>
      <c r="I764" t="s">
        <v>721</v>
      </c>
      <c r="J764" t="s">
        <v>455</v>
      </c>
      <c r="K764" t="s">
        <v>453</v>
      </c>
      <c r="L764" t="s">
        <v>367</v>
      </c>
      <c r="M764" t="s">
        <v>408</v>
      </c>
      <c r="N764" t="s">
        <v>11</v>
      </c>
      <c r="O764" t="s">
        <v>11</v>
      </c>
      <c r="P764" t="s">
        <v>2</v>
      </c>
      <c r="Q764" t="s">
        <v>408</v>
      </c>
      <c r="R764" t="s">
        <v>439</v>
      </c>
      <c r="S764" t="s">
        <v>451</v>
      </c>
      <c r="T764" t="s">
        <v>11</v>
      </c>
      <c r="U764" t="s">
        <v>408</v>
      </c>
    </row>
    <row r="765" spans="1:21" x14ac:dyDescent="0.25">
      <c r="A765">
        <v>16705452</v>
      </c>
      <c r="B765" t="s">
        <v>340</v>
      </c>
      <c r="C765" t="s">
        <v>26</v>
      </c>
      <c r="D765" t="s">
        <v>12</v>
      </c>
      <c r="E765" t="s">
        <v>622</v>
      </c>
      <c r="F765" t="s">
        <v>55</v>
      </c>
      <c r="G765" t="s">
        <v>369</v>
      </c>
      <c r="H765" t="s">
        <v>5</v>
      </c>
      <c r="I765" t="s">
        <v>436</v>
      </c>
      <c r="J765" t="s">
        <v>446</v>
      </c>
      <c r="K765" t="s">
        <v>438</v>
      </c>
      <c r="L765" t="s">
        <v>2</v>
      </c>
      <c r="M765" t="s">
        <v>408</v>
      </c>
      <c r="N765" t="s">
        <v>11</v>
      </c>
      <c r="O765" t="s">
        <v>11</v>
      </c>
      <c r="P765" t="s">
        <v>2</v>
      </c>
      <c r="Q765" t="s">
        <v>408</v>
      </c>
      <c r="R765" t="s">
        <v>439</v>
      </c>
      <c r="S765" t="s">
        <v>440</v>
      </c>
      <c r="T765" t="s">
        <v>11</v>
      </c>
      <c r="U765" t="s">
        <v>408</v>
      </c>
    </row>
    <row r="766" spans="1:21" x14ac:dyDescent="0.25">
      <c r="A766">
        <v>16705457</v>
      </c>
      <c r="B766" t="s">
        <v>340</v>
      </c>
      <c r="C766" t="s">
        <v>26</v>
      </c>
      <c r="D766" t="s">
        <v>12</v>
      </c>
      <c r="E766" t="s">
        <v>740</v>
      </c>
      <c r="F766" t="s">
        <v>225</v>
      </c>
      <c r="G766" t="s">
        <v>369</v>
      </c>
      <c r="H766" t="s">
        <v>1</v>
      </c>
      <c r="I766" t="s">
        <v>469</v>
      </c>
      <c r="J766" t="s">
        <v>445</v>
      </c>
      <c r="K766" t="s">
        <v>438</v>
      </c>
      <c r="L766" t="s">
        <v>2</v>
      </c>
      <c r="M766" t="s">
        <v>408</v>
      </c>
      <c r="N766" t="s">
        <v>11</v>
      </c>
      <c r="O766" t="s">
        <v>11</v>
      </c>
      <c r="P766" t="s">
        <v>2</v>
      </c>
      <c r="Q766" t="s">
        <v>408</v>
      </c>
      <c r="R766" t="s">
        <v>439</v>
      </c>
      <c r="S766" t="s">
        <v>440</v>
      </c>
      <c r="T766" t="s">
        <v>11</v>
      </c>
      <c r="U766" t="s">
        <v>408</v>
      </c>
    </row>
    <row r="767" spans="1:21" x14ac:dyDescent="0.25">
      <c r="A767">
        <v>16705460</v>
      </c>
      <c r="B767" t="s">
        <v>340</v>
      </c>
      <c r="C767" t="s">
        <v>26</v>
      </c>
      <c r="D767" t="s">
        <v>12</v>
      </c>
      <c r="E767" t="s">
        <v>740</v>
      </c>
      <c r="F767" t="s">
        <v>58</v>
      </c>
      <c r="G767" t="s">
        <v>369</v>
      </c>
      <c r="H767" t="s">
        <v>0</v>
      </c>
      <c r="I767" t="s">
        <v>436</v>
      </c>
      <c r="J767" t="s">
        <v>437</v>
      </c>
      <c r="K767" t="s">
        <v>438</v>
      </c>
      <c r="L767" t="s">
        <v>1</v>
      </c>
      <c r="M767" t="s">
        <v>408</v>
      </c>
      <c r="N767" t="s">
        <v>11</v>
      </c>
      <c r="O767" t="s">
        <v>11</v>
      </c>
      <c r="P767" t="s">
        <v>2</v>
      </c>
      <c r="Q767" t="s">
        <v>408</v>
      </c>
      <c r="R767" t="s">
        <v>439</v>
      </c>
      <c r="S767" t="s">
        <v>440</v>
      </c>
      <c r="T767" t="s">
        <v>11</v>
      </c>
      <c r="U767" t="s">
        <v>408</v>
      </c>
    </row>
    <row r="768" spans="1:21" x14ac:dyDescent="0.25">
      <c r="A768">
        <v>16705470</v>
      </c>
      <c r="B768" t="s">
        <v>340</v>
      </c>
      <c r="C768" t="s">
        <v>26</v>
      </c>
      <c r="D768" t="s">
        <v>12</v>
      </c>
      <c r="E768" t="s">
        <v>740</v>
      </c>
      <c r="F768" t="s">
        <v>59</v>
      </c>
      <c r="G768" t="s">
        <v>369</v>
      </c>
      <c r="H768" t="s">
        <v>5</v>
      </c>
      <c r="I768" t="s">
        <v>436</v>
      </c>
      <c r="J768" t="s">
        <v>446</v>
      </c>
      <c r="K768" t="s">
        <v>438</v>
      </c>
      <c r="L768" t="s">
        <v>2</v>
      </c>
      <c r="M768" t="s">
        <v>408</v>
      </c>
      <c r="N768" t="s">
        <v>11</v>
      </c>
      <c r="O768" t="s">
        <v>11</v>
      </c>
      <c r="P768" t="s">
        <v>2</v>
      </c>
      <c r="Q768" t="s">
        <v>408</v>
      </c>
      <c r="R768" t="s">
        <v>439</v>
      </c>
      <c r="S768" t="s">
        <v>440</v>
      </c>
      <c r="T768" t="s">
        <v>11</v>
      </c>
      <c r="U768" t="s">
        <v>408</v>
      </c>
    </row>
    <row r="769" spans="1:21" x14ac:dyDescent="0.25">
      <c r="A769">
        <v>16705478</v>
      </c>
      <c r="B769" t="s">
        <v>340</v>
      </c>
      <c r="C769" t="s">
        <v>26</v>
      </c>
      <c r="D769" t="s">
        <v>12</v>
      </c>
      <c r="E769" t="s">
        <v>622</v>
      </c>
      <c r="F769" t="s">
        <v>55</v>
      </c>
      <c r="G769" t="s">
        <v>369</v>
      </c>
      <c r="H769" t="s">
        <v>0</v>
      </c>
      <c r="I769" t="s">
        <v>436</v>
      </c>
      <c r="J769" t="s">
        <v>437</v>
      </c>
      <c r="K769" t="s">
        <v>438</v>
      </c>
      <c r="L769" t="s">
        <v>5</v>
      </c>
      <c r="M769" t="s">
        <v>408</v>
      </c>
      <c r="N769" t="s">
        <v>11</v>
      </c>
      <c r="O769" t="s">
        <v>11</v>
      </c>
      <c r="P769" t="s">
        <v>2</v>
      </c>
      <c r="Q769" t="s">
        <v>408</v>
      </c>
      <c r="R769" t="s">
        <v>439</v>
      </c>
      <c r="S769" t="s">
        <v>440</v>
      </c>
      <c r="T769" t="s">
        <v>11</v>
      </c>
      <c r="U769" t="s">
        <v>408</v>
      </c>
    </row>
    <row r="770" spans="1:21" x14ac:dyDescent="0.25">
      <c r="A770">
        <v>16705486</v>
      </c>
      <c r="B770" t="s">
        <v>340</v>
      </c>
      <c r="C770" t="s">
        <v>26</v>
      </c>
      <c r="D770" t="s">
        <v>12</v>
      </c>
      <c r="E770" t="s">
        <v>740</v>
      </c>
      <c r="F770" t="s">
        <v>59</v>
      </c>
      <c r="G770" t="s">
        <v>369</v>
      </c>
      <c r="H770" t="s">
        <v>5</v>
      </c>
      <c r="I770" t="s">
        <v>436</v>
      </c>
      <c r="J770" t="s">
        <v>446</v>
      </c>
      <c r="K770" t="s">
        <v>438</v>
      </c>
      <c r="L770" t="s">
        <v>2</v>
      </c>
      <c r="M770" t="s">
        <v>408</v>
      </c>
      <c r="N770" t="s">
        <v>11</v>
      </c>
      <c r="O770" t="s">
        <v>11</v>
      </c>
      <c r="P770" t="s">
        <v>2</v>
      </c>
      <c r="Q770" t="s">
        <v>408</v>
      </c>
      <c r="R770" t="s">
        <v>439</v>
      </c>
      <c r="S770" t="s">
        <v>440</v>
      </c>
      <c r="T770" t="s">
        <v>11</v>
      </c>
      <c r="U770" t="s">
        <v>408</v>
      </c>
    </row>
    <row r="771" spans="1:21" x14ac:dyDescent="0.25">
      <c r="A771">
        <v>16705493</v>
      </c>
      <c r="B771" t="s">
        <v>340</v>
      </c>
      <c r="C771" t="s">
        <v>26</v>
      </c>
      <c r="D771" t="s">
        <v>12</v>
      </c>
      <c r="E771" t="s">
        <v>740</v>
      </c>
      <c r="F771" t="s">
        <v>114</v>
      </c>
      <c r="G771" t="s">
        <v>369</v>
      </c>
      <c r="H771" t="s">
        <v>1</v>
      </c>
      <c r="I771" t="s">
        <v>469</v>
      </c>
      <c r="J771" t="s">
        <v>445</v>
      </c>
      <c r="K771" t="s">
        <v>438</v>
      </c>
      <c r="L771" t="s">
        <v>2</v>
      </c>
      <c r="M771" t="s">
        <v>408</v>
      </c>
      <c r="N771" t="s">
        <v>11</v>
      </c>
      <c r="O771" t="s">
        <v>11</v>
      </c>
      <c r="P771" t="s">
        <v>2</v>
      </c>
      <c r="Q771" t="s">
        <v>408</v>
      </c>
      <c r="R771" t="s">
        <v>439</v>
      </c>
      <c r="S771" t="s">
        <v>440</v>
      </c>
      <c r="T771" t="s">
        <v>11</v>
      </c>
      <c r="U771" t="s">
        <v>408</v>
      </c>
    </row>
    <row r="772" spans="1:21" x14ac:dyDescent="0.25">
      <c r="A772">
        <v>16705495</v>
      </c>
      <c r="B772" t="s">
        <v>340</v>
      </c>
      <c r="C772" t="s">
        <v>26</v>
      </c>
      <c r="D772" t="s">
        <v>12</v>
      </c>
      <c r="E772" t="s">
        <v>740</v>
      </c>
      <c r="F772" t="s">
        <v>58</v>
      </c>
      <c r="G772" t="s">
        <v>369</v>
      </c>
      <c r="H772" t="s">
        <v>0</v>
      </c>
      <c r="I772" t="s">
        <v>436</v>
      </c>
      <c r="J772" t="s">
        <v>437</v>
      </c>
      <c r="K772" t="s">
        <v>438</v>
      </c>
      <c r="L772" t="s">
        <v>1</v>
      </c>
      <c r="M772" t="s">
        <v>408</v>
      </c>
      <c r="N772" t="s">
        <v>11</v>
      </c>
      <c r="O772" t="s">
        <v>11</v>
      </c>
      <c r="P772" t="s">
        <v>2</v>
      </c>
      <c r="Q772" t="s">
        <v>408</v>
      </c>
      <c r="R772" t="s">
        <v>439</v>
      </c>
      <c r="S772" t="s">
        <v>440</v>
      </c>
      <c r="T772" t="s">
        <v>11</v>
      </c>
      <c r="U772" t="s">
        <v>408</v>
      </c>
    </row>
    <row r="773" spans="1:21" x14ac:dyDescent="0.25">
      <c r="A773">
        <v>16705497</v>
      </c>
      <c r="B773" t="s">
        <v>340</v>
      </c>
      <c r="C773" t="s">
        <v>26</v>
      </c>
      <c r="D773" t="s">
        <v>12</v>
      </c>
      <c r="E773" t="s">
        <v>740</v>
      </c>
      <c r="F773" t="s">
        <v>56</v>
      </c>
      <c r="G773" t="s">
        <v>369</v>
      </c>
      <c r="H773" t="s">
        <v>0</v>
      </c>
      <c r="I773" t="s">
        <v>436</v>
      </c>
      <c r="J773" t="s">
        <v>437</v>
      </c>
      <c r="K773" t="s">
        <v>438</v>
      </c>
      <c r="L773" t="s">
        <v>5</v>
      </c>
      <c r="M773" t="s">
        <v>408</v>
      </c>
      <c r="N773" t="s">
        <v>11</v>
      </c>
      <c r="O773" t="s">
        <v>11</v>
      </c>
      <c r="P773" t="s">
        <v>2</v>
      </c>
      <c r="Q773" t="s">
        <v>408</v>
      </c>
      <c r="R773" t="s">
        <v>439</v>
      </c>
      <c r="S773" t="s">
        <v>440</v>
      </c>
      <c r="T773" t="s">
        <v>11</v>
      </c>
      <c r="U773" t="s">
        <v>408</v>
      </c>
    </row>
    <row r="774" spans="1:21" x14ac:dyDescent="0.25">
      <c r="A774">
        <v>16705508</v>
      </c>
      <c r="B774" t="s">
        <v>340</v>
      </c>
      <c r="C774" t="s">
        <v>26</v>
      </c>
      <c r="D774" t="s">
        <v>12</v>
      </c>
      <c r="E774" t="s">
        <v>740</v>
      </c>
      <c r="F774" t="s">
        <v>58</v>
      </c>
      <c r="G774" t="s">
        <v>369</v>
      </c>
      <c r="H774" t="s">
        <v>0</v>
      </c>
      <c r="I774" t="s">
        <v>436</v>
      </c>
      <c r="J774" t="s">
        <v>437</v>
      </c>
      <c r="K774" t="s">
        <v>438</v>
      </c>
      <c r="L774" t="s">
        <v>5</v>
      </c>
      <c r="M774" t="s">
        <v>408</v>
      </c>
      <c r="N774" t="s">
        <v>11</v>
      </c>
      <c r="O774" t="s">
        <v>11</v>
      </c>
      <c r="P774" t="s">
        <v>2</v>
      </c>
      <c r="Q774" t="s">
        <v>408</v>
      </c>
      <c r="R774" t="s">
        <v>439</v>
      </c>
      <c r="S774" t="s">
        <v>440</v>
      </c>
      <c r="T774" t="s">
        <v>11</v>
      </c>
      <c r="U774" t="s">
        <v>408</v>
      </c>
    </row>
    <row r="775" spans="1:21" x14ac:dyDescent="0.25">
      <c r="A775">
        <v>16705510</v>
      </c>
      <c r="B775" t="s">
        <v>340</v>
      </c>
      <c r="C775" t="s">
        <v>26</v>
      </c>
      <c r="D775" t="s">
        <v>12</v>
      </c>
      <c r="E775" t="s">
        <v>740</v>
      </c>
      <c r="F775" t="s">
        <v>58</v>
      </c>
      <c r="G775" t="s">
        <v>369</v>
      </c>
      <c r="H775" t="s">
        <v>5</v>
      </c>
      <c r="I775" t="s">
        <v>436</v>
      </c>
      <c r="J775" t="s">
        <v>446</v>
      </c>
      <c r="K775" t="s">
        <v>438</v>
      </c>
      <c r="L775" t="s">
        <v>2</v>
      </c>
      <c r="M775" t="s">
        <v>408</v>
      </c>
      <c r="N775" t="s">
        <v>11</v>
      </c>
      <c r="O775" t="s">
        <v>11</v>
      </c>
      <c r="P775" t="s">
        <v>2</v>
      </c>
      <c r="Q775" t="s">
        <v>408</v>
      </c>
      <c r="R775" t="s">
        <v>439</v>
      </c>
      <c r="S775" t="s">
        <v>440</v>
      </c>
      <c r="T775" t="s">
        <v>11</v>
      </c>
      <c r="U775" t="s">
        <v>408</v>
      </c>
    </row>
    <row r="776" spans="1:21" x14ac:dyDescent="0.25">
      <c r="A776">
        <v>16705511</v>
      </c>
      <c r="B776" t="s">
        <v>340</v>
      </c>
      <c r="C776" t="s">
        <v>26</v>
      </c>
      <c r="D776" t="s">
        <v>12</v>
      </c>
      <c r="E776" t="s">
        <v>740</v>
      </c>
      <c r="F776" t="s">
        <v>56</v>
      </c>
      <c r="G776" t="s">
        <v>369</v>
      </c>
      <c r="H776" t="s">
        <v>5</v>
      </c>
      <c r="I776" t="s">
        <v>436</v>
      </c>
      <c r="J776" t="s">
        <v>446</v>
      </c>
      <c r="K776" t="s">
        <v>438</v>
      </c>
      <c r="L776" t="s">
        <v>2</v>
      </c>
      <c r="M776" t="s">
        <v>408</v>
      </c>
      <c r="N776" t="s">
        <v>11</v>
      </c>
      <c r="O776" t="s">
        <v>11</v>
      </c>
      <c r="P776" t="s">
        <v>2</v>
      </c>
      <c r="Q776" t="s">
        <v>408</v>
      </c>
      <c r="R776" t="s">
        <v>439</v>
      </c>
      <c r="S776" t="s">
        <v>440</v>
      </c>
      <c r="T776" t="s">
        <v>11</v>
      </c>
      <c r="U776" t="s">
        <v>408</v>
      </c>
    </row>
    <row r="777" spans="1:21" x14ac:dyDescent="0.25">
      <c r="A777">
        <v>16705512</v>
      </c>
      <c r="B777" t="s">
        <v>340</v>
      </c>
      <c r="C777" t="s">
        <v>26</v>
      </c>
      <c r="D777" t="s">
        <v>12</v>
      </c>
      <c r="E777" t="s">
        <v>740</v>
      </c>
      <c r="F777" t="s">
        <v>58</v>
      </c>
      <c r="G777" t="s">
        <v>369</v>
      </c>
      <c r="H777" t="s">
        <v>715</v>
      </c>
      <c r="I777" t="s">
        <v>716</v>
      </c>
      <c r="J777" t="s">
        <v>717</v>
      </c>
      <c r="K777" t="s">
        <v>438</v>
      </c>
      <c r="L777" t="s">
        <v>0</v>
      </c>
      <c r="M777" t="s">
        <v>408</v>
      </c>
      <c r="N777" t="s">
        <v>11</v>
      </c>
      <c r="O777" t="s">
        <v>11</v>
      </c>
      <c r="P777" t="s">
        <v>2</v>
      </c>
      <c r="Q777" t="s">
        <v>408</v>
      </c>
      <c r="R777" t="s">
        <v>439</v>
      </c>
      <c r="S777" t="s">
        <v>440</v>
      </c>
      <c r="T777" t="s">
        <v>11</v>
      </c>
      <c r="U777" t="s">
        <v>408</v>
      </c>
    </row>
    <row r="778" spans="1:21" x14ac:dyDescent="0.25">
      <c r="A778">
        <v>16705530</v>
      </c>
      <c r="B778" t="s">
        <v>340</v>
      </c>
      <c r="C778" t="s">
        <v>26</v>
      </c>
      <c r="D778" t="s">
        <v>12</v>
      </c>
      <c r="E778" t="s">
        <v>622</v>
      </c>
      <c r="F778" t="s">
        <v>223</v>
      </c>
      <c r="G778" t="s">
        <v>369</v>
      </c>
      <c r="H778" t="s">
        <v>370</v>
      </c>
      <c r="I778" t="s">
        <v>721</v>
      </c>
      <c r="J778" t="s">
        <v>455</v>
      </c>
      <c r="K778" t="s">
        <v>453</v>
      </c>
      <c r="L778" t="s">
        <v>2</v>
      </c>
      <c r="M778" t="s">
        <v>408</v>
      </c>
      <c r="N778" t="s">
        <v>11</v>
      </c>
      <c r="O778" t="s">
        <v>11</v>
      </c>
      <c r="P778" t="s">
        <v>2</v>
      </c>
      <c r="Q778" t="s">
        <v>408</v>
      </c>
      <c r="R778" t="s">
        <v>439</v>
      </c>
      <c r="S778" t="s">
        <v>451</v>
      </c>
      <c r="T778" t="s">
        <v>11</v>
      </c>
      <c r="U778" t="s">
        <v>408</v>
      </c>
    </row>
    <row r="779" spans="1:21" x14ac:dyDescent="0.25">
      <c r="A779">
        <v>16705534</v>
      </c>
      <c r="B779" t="s">
        <v>340</v>
      </c>
      <c r="C779" t="s">
        <v>26</v>
      </c>
      <c r="D779" t="s">
        <v>12</v>
      </c>
      <c r="E779" t="s">
        <v>622</v>
      </c>
      <c r="F779" t="s">
        <v>55</v>
      </c>
      <c r="G779" t="s">
        <v>369</v>
      </c>
      <c r="H779" t="s">
        <v>0</v>
      </c>
      <c r="I779" t="s">
        <v>436</v>
      </c>
      <c r="J779" t="s">
        <v>437</v>
      </c>
      <c r="K779" t="s">
        <v>438</v>
      </c>
      <c r="L779" t="s">
        <v>5</v>
      </c>
      <c r="M779" t="s">
        <v>408</v>
      </c>
      <c r="N779" t="s">
        <v>11</v>
      </c>
      <c r="O779" t="s">
        <v>11</v>
      </c>
      <c r="P779" t="s">
        <v>2</v>
      </c>
      <c r="Q779" t="s">
        <v>408</v>
      </c>
      <c r="R779" t="s">
        <v>439</v>
      </c>
      <c r="S779" t="s">
        <v>440</v>
      </c>
      <c r="T779" t="s">
        <v>11</v>
      </c>
      <c r="U779" t="s">
        <v>408</v>
      </c>
    </row>
    <row r="780" spans="1:21" x14ac:dyDescent="0.25">
      <c r="A780">
        <v>16705535</v>
      </c>
      <c r="B780" t="s">
        <v>340</v>
      </c>
      <c r="C780" t="s">
        <v>26</v>
      </c>
      <c r="D780" t="s">
        <v>12</v>
      </c>
      <c r="E780" t="s">
        <v>622</v>
      </c>
      <c r="F780" t="s">
        <v>222</v>
      </c>
      <c r="G780" t="s">
        <v>369</v>
      </c>
      <c r="H780" t="s">
        <v>0</v>
      </c>
      <c r="I780" t="s">
        <v>436</v>
      </c>
      <c r="J780" t="s">
        <v>437</v>
      </c>
      <c r="K780" t="s">
        <v>438</v>
      </c>
      <c r="L780" t="s">
        <v>5</v>
      </c>
      <c r="M780" t="s">
        <v>408</v>
      </c>
      <c r="N780" t="s">
        <v>11</v>
      </c>
      <c r="O780" t="s">
        <v>11</v>
      </c>
      <c r="P780" t="s">
        <v>2</v>
      </c>
      <c r="Q780" t="s">
        <v>408</v>
      </c>
      <c r="R780" t="s">
        <v>439</v>
      </c>
      <c r="S780" t="s">
        <v>440</v>
      </c>
      <c r="T780" t="s">
        <v>11</v>
      </c>
      <c r="U780" t="s">
        <v>408</v>
      </c>
    </row>
    <row r="781" spans="1:21" x14ac:dyDescent="0.25">
      <c r="A781">
        <v>16705537</v>
      </c>
      <c r="B781" t="s">
        <v>340</v>
      </c>
      <c r="C781" t="s">
        <v>26</v>
      </c>
      <c r="D781" t="s">
        <v>12</v>
      </c>
      <c r="E781" t="s">
        <v>740</v>
      </c>
      <c r="F781" t="s">
        <v>114</v>
      </c>
      <c r="G781" t="s">
        <v>369</v>
      </c>
      <c r="H781" t="s">
        <v>0</v>
      </c>
      <c r="I781" t="s">
        <v>436</v>
      </c>
      <c r="J781" t="s">
        <v>437</v>
      </c>
      <c r="K781" t="s">
        <v>438</v>
      </c>
      <c r="L781" t="s">
        <v>5</v>
      </c>
      <c r="M781" t="s">
        <v>408</v>
      </c>
      <c r="N781" t="s">
        <v>11</v>
      </c>
      <c r="O781" t="s">
        <v>11</v>
      </c>
      <c r="P781" t="s">
        <v>2</v>
      </c>
      <c r="Q781" t="s">
        <v>408</v>
      </c>
      <c r="R781" t="s">
        <v>439</v>
      </c>
      <c r="S781" t="s">
        <v>440</v>
      </c>
      <c r="T781" t="s">
        <v>11</v>
      </c>
      <c r="U781" t="s">
        <v>408</v>
      </c>
    </row>
    <row r="782" spans="1:21" x14ac:dyDescent="0.25">
      <c r="A782">
        <v>16705539</v>
      </c>
      <c r="B782" t="s">
        <v>340</v>
      </c>
      <c r="C782" t="s">
        <v>26</v>
      </c>
      <c r="D782" t="s">
        <v>12</v>
      </c>
      <c r="E782" t="s">
        <v>740</v>
      </c>
      <c r="F782" t="s">
        <v>59</v>
      </c>
      <c r="G782" t="s">
        <v>369</v>
      </c>
      <c r="H782" t="s">
        <v>370</v>
      </c>
      <c r="I782" t="s">
        <v>721</v>
      </c>
      <c r="J782" t="s">
        <v>455</v>
      </c>
      <c r="K782" t="s">
        <v>453</v>
      </c>
      <c r="L782" t="s">
        <v>367</v>
      </c>
      <c r="M782" t="s">
        <v>408</v>
      </c>
      <c r="N782" t="s">
        <v>11</v>
      </c>
      <c r="O782" t="s">
        <v>11</v>
      </c>
      <c r="P782" t="s">
        <v>2</v>
      </c>
      <c r="Q782" t="s">
        <v>408</v>
      </c>
      <c r="R782" t="s">
        <v>439</v>
      </c>
      <c r="S782" t="s">
        <v>451</v>
      </c>
      <c r="T782" t="s">
        <v>11</v>
      </c>
      <c r="U782" t="s">
        <v>408</v>
      </c>
    </row>
    <row r="783" spans="1:21" x14ac:dyDescent="0.25">
      <c r="A783">
        <v>16705543</v>
      </c>
      <c r="B783" t="s">
        <v>340</v>
      </c>
      <c r="C783" t="s">
        <v>26</v>
      </c>
      <c r="D783" t="s">
        <v>12</v>
      </c>
      <c r="E783" t="s">
        <v>740</v>
      </c>
      <c r="F783" t="s">
        <v>58</v>
      </c>
      <c r="G783" t="s">
        <v>369</v>
      </c>
      <c r="H783" t="s">
        <v>370</v>
      </c>
      <c r="I783" t="s">
        <v>721</v>
      </c>
      <c r="J783" t="s">
        <v>455</v>
      </c>
      <c r="K783" t="s">
        <v>453</v>
      </c>
      <c r="L783" t="s">
        <v>367</v>
      </c>
      <c r="M783" t="s">
        <v>408</v>
      </c>
      <c r="N783" t="s">
        <v>11</v>
      </c>
      <c r="O783" t="s">
        <v>11</v>
      </c>
      <c r="P783" t="s">
        <v>2</v>
      </c>
      <c r="Q783" t="s">
        <v>408</v>
      </c>
      <c r="R783" t="s">
        <v>439</v>
      </c>
      <c r="S783" t="s">
        <v>451</v>
      </c>
      <c r="T783" t="s">
        <v>11</v>
      </c>
      <c r="U783" t="s">
        <v>408</v>
      </c>
    </row>
    <row r="784" spans="1:21" x14ac:dyDescent="0.25">
      <c r="A784">
        <v>16705545</v>
      </c>
      <c r="B784" t="s">
        <v>340</v>
      </c>
      <c r="C784" t="s">
        <v>26</v>
      </c>
      <c r="D784" t="s">
        <v>18</v>
      </c>
      <c r="E784" t="s">
        <v>740</v>
      </c>
      <c r="F784" t="s">
        <v>58</v>
      </c>
      <c r="G784" t="s">
        <v>369</v>
      </c>
      <c r="H784" t="s">
        <v>0</v>
      </c>
      <c r="I784" t="s">
        <v>436</v>
      </c>
      <c r="J784" t="s">
        <v>437</v>
      </c>
      <c r="K784" t="s">
        <v>438</v>
      </c>
      <c r="L784" t="s">
        <v>8</v>
      </c>
      <c r="M784" t="s">
        <v>408</v>
      </c>
      <c r="N784" t="s">
        <v>11</v>
      </c>
      <c r="O784" t="s">
        <v>11</v>
      </c>
      <c r="P784" t="s">
        <v>2</v>
      </c>
      <c r="Q784" t="s">
        <v>408</v>
      </c>
      <c r="R784" t="s">
        <v>439</v>
      </c>
      <c r="S784" t="s">
        <v>440</v>
      </c>
      <c r="T784" t="s">
        <v>11</v>
      </c>
      <c r="U784" t="s">
        <v>408</v>
      </c>
    </row>
    <row r="785" spans="1:21" x14ac:dyDescent="0.25">
      <c r="A785">
        <v>16705549</v>
      </c>
      <c r="B785" t="s">
        <v>340</v>
      </c>
      <c r="C785" t="s">
        <v>26</v>
      </c>
      <c r="D785" t="s">
        <v>18</v>
      </c>
      <c r="E785" t="s">
        <v>740</v>
      </c>
      <c r="F785" t="s">
        <v>58</v>
      </c>
      <c r="G785" t="s">
        <v>369</v>
      </c>
      <c r="H785" t="s">
        <v>1</v>
      </c>
      <c r="I785" t="s">
        <v>469</v>
      </c>
      <c r="J785" t="s">
        <v>445</v>
      </c>
      <c r="K785" t="s">
        <v>438</v>
      </c>
      <c r="L785" t="s">
        <v>2</v>
      </c>
      <c r="M785" t="s">
        <v>408</v>
      </c>
      <c r="N785" t="s">
        <v>11</v>
      </c>
      <c r="O785" t="s">
        <v>11</v>
      </c>
      <c r="P785" t="s">
        <v>2</v>
      </c>
      <c r="Q785" t="s">
        <v>408</v>
      </c>
      <c r="R785" t="s">
        <v>439</v>
      </c>
      <c r="S785" t="s">
        <v>440</v>
      </c>
      <c r="T785" t="s">
        <v>11</v>
      </c>
      <c r="U785" t="s">
        <v>408</v>
      </c>
    </row>
    <row r="786" spans="1:21" x14ac:dyDescent="0.25">
      <c r="A786">
        <v>16705551</v>
      </c>
      <c r="B786" t="s">
        <v>340</v>
      </c>
      <c r="C786" t="s">
        <v>26</v>
      </c>
      <c r="D786" t="s">
        <v>12</v>
      </c>
      <c r="E786" t="s">
        <v>622</v>
      </c>
      <c r="F786" t="s">
        <v>55</v>
      </c>
      <c r="G786" t="s">
        <v>369</v>
      </c>
      <c r="H786" t="s">
        <v>5</v>
      </c>
      <c r="I786" t="s">
        <v>436</v>
      </c>
      <c r="J786" t="s">
        <v>446</v>
      </c>
      <c r="K786" t="s">
        <v>438</v>
      </c>
      <c r="L786" t="s">
        <v>2</v>
      </c>
      <c r="M786" t="s">
        <v>408</v>
      </c>
      <c r="N786" t="s">
        <v>11</v>
      </c>
      <c r="O786" t="s">
        <v>11</v>
      </c>
      <c r="P786" t="s">
        <v>2</v>
      </c>
      <c r="Q786" t="s">
        <v>408</v>
      </c>
      <c r="R786" t="s">
        <v>439</v>
      </c>
      <c r="S786" t="s">
        <v>440</v>
      </c>
      <c r="T786" t="s">
        <v>11</v>
      </c>
      <c r="U786" t="s">
        <v>408</v>
      </c>
    </row>
    <row r="787" spans="1:21" x14ac:dyDescent="0.25">
      <c r="A787">
        <v>16705555</v>
      </c>
      <c r="B787" t="s">
        <v>340</v>
      </c>
      <c r="C787" t="s">
        <v>26</v>
      </c>
      <c r="D787" t="s">
        <v>18</v>
      </c>
      <c r="E787" t="s">
        <v>740</v>
      </c>
      <c r="F787" t="s">
        <v>58</v>
      </c>
      <c r="G787" t="s">
        <v>369</v>
      </c>
      <c r="H787" t="s">
        <v>0</v>
      </c>
      <c r="I787" t="s">
        <v>436</v>
      </c>
      <c r="J787" t="s">
        <v>437</v>
      </c>
      <c r="K787" t="s">
        <v>438</v>
      </c>
      <c r="L787" t="s">
        <v>1</v>
      </c>
      <c r="M787" t="s">
        <v>408</v>
      </c>
      <c r="N787" t="s">
        <v>11</v>
      </c>
      <c r="O787" t="s">
        <v>11</v>
      </c>
      <c r="P787" t="s">
        <v>2</v>
      </c>
      <c r="Q787" t="s">
        <v>408</v>
      </c>
      <c r="R787" t="s">
        <v>439</v>
      </c>
      <c r="S787" t="s">
        <v>440</v>
      </c>
      <c r="T787" t="s">
        <v>11</v>
      </c>
      <c r="U787" t="s">
        <v>408</v>
      </c>
    </row>
    <row r="788" spans="1:21" x14ac:dyDescent="0.25">
      <c r="A788">
        <v>16705561</v>
      </c>
      <c r="B788" t="s">
        <v>340</v>
      </c>
      <c r="C788" t="s">
        <v>26</v>
      </c>
      <c r="D788" t="s">
        <v>12</v>
      </c>
      <c r="E788" t="s">
        <v>622</v>
      </c>
      <c r="F788" t="s">
        <v>210</v>
      </c>
      <c r="G788" t="s">
        <v>369</v>
      </c>
      <c r="H788" t="s">
        <v>715</v>
      </c>
      <c r="I788" t="s">
        <v>716</v>
      </c>
      <c r="J788" t="s">
        <v>717</v>
      </c>
      <c r="K788" t="s">
        <v>438</v>
      </c>
      <c r="L788" t="s">
        <v>0</v>
      </c>
      <c r="M788" t="s">
        <v>408</v>
      </c>
      <c r="N788" t="s">
        <v>11</v>
      </c>
      <c r="O788" t="s">
        <v>11</v>
      </c>
      <c r="P788" t="s">
        <v>2</v>
      </c>
      <c r="Q788" t="s">
        <v>408</v>
      </c>
      <c r="R788" t="s">
        <v>439</v>
      </c>
      <c r="S788" t="s">
        <v>440</v>
      </c>
      <c r="T788" t="s">
        <v>11</v>
      </c>
      <c r="U788" t="s">
        <v>408</v>
      </c>
    </row>
    <row r="789" spans="1:21" x14ac:dyDescent="0.25">
      <c r="A789">
        <v>16705564</v>
      </c>
      <c r="B789" t="s">
        <v>340</v>
      </c>
      <c r="C789" t="s">
        <v>26</v>
      </c>
      <c r="D789" t="s">
        <v>12</v>
      </c>
      <c r="E789" t="s">
        <v>740</v>
      </c>
      <c r="F789" t="s">
        <v>56</v>
      </c>
      <c r="G789" t="s">
        <v>369</v>
      </c>
      <c r="H789" t="s">
        <v>0</v>
      </c>
      <c r="I789" t="s">
        <v>436</v>
      </c>
      <c r="J789" t="s">
        <v>437</v>
      </c>
      <c r="K789" t="s">
        <v>438</v>
      </c>
      <c r="L789" t="s">
        <v>1</v>
      </c>
      <c r="M789" t="s">
        <v>408</v>
      </c>
      <c r="N789" t="s">
        <v>11</v>
      </c>
      <c r="O789" t="s">
        <v>11</v>
      </c>
      <c r="P789" t="s">
        <v>2</v>
      </c>
      <c r="Q789" t="s">
        <v>408</v>
      </c>
      <c r="R789" t="s">
        <v>439</v>
      </c>
      <c r="S789" t="s">
        <v>440</v>
      </c>
      <c r="T789" t="s">
        <v>11</v>
      </c>
      <c r="U789" t="s">
        <v>408</v>
      </c>
    </row>
    <row r="790" spans="1:21" x14ac:dyDescent="0.25">
      <c r="A790">
        <v>16705565</v>
      </c>
      <c r="B790" t="s">
        <v>340</v>
      </c>
      <c r="C790" t="s">
        <v>26</v>
      </c>
      <c r="D790" t="s">
        <v>12</v>
      </c>
      <c r="E790" t="s">
        <v>740</v>
      </c>
      <c r="F790" t="s">
        <v>56</v>
      </c>
      <c r="G790" t="s">
        <v>369</v>
      </c>
      <c r="H790" t="s">
        <v>370</v>
      </c>
      <c r="I790" t="s">
        <v>721</v>
      </c>
      <c r="J790" t="s">
        <v>455</v>
      </c>
      <c r="K790" t="s">
        <v>453</v>
      </c>
      <c r="L790" t="s">
        <v>367</v>
      </c>
      <c r="M790" t="s">
        <v>408</v>
      </c>
      <c r="N790" t="s">
        <v>11</v>
      </c>
      <c r="O790" t="s">
        <v>11</v>
      </c>
      <c r="P790" t="s">
        <v>2</v>
      </c>
      <c r="Q790" t="s">
        <v>408</v>
      </c>
      <c r="R790" t="s">
        <v>439</v>
      </c>
      <c r="S790" t="s">
        <v>451</v>
      </c>
      <c r="T790" t="s">
        <v>11</v>
      </c>
      <c r="U790" t="s">
        <v>408</v>
      </c>
    </row>
    <row r="791" spans="1:21" x14ac:dyDescent="0.25">
      <c r="A791">
        <v>16705568</v>
      </c>
      <c r="B791" t="s">
        <v>340</v>
      </c>
      <c r="C791" t="s">
        <v>26</v>
      </c>
      <c r="D791" t="s">
        <v>12</v>
      </c>
      <c r="E791" t="s">
        <v>740</v>
      </c>
      <c r="F791" t="s">
        <v>56</v>
      </c>
      <c r="G791" t="s">
        <v>369</v>
      </c>
      <c r="H791" t="s">
        <v>5</v>
      </c>
      <c r="I791" t="s">
        <v>436</v>
      </c>
      <c r="J791" t="s">
        <v>446</v>
      </c>
      <c r="K791" t="s">
        <v>438</v>
      </c>
      <c r="L791" t="s">
        <v>2</v>
      </c>
      <c r="M791" t="s">
        <v>408</v>
      </c>
      <c r="N791" t="s">
        <v>11</v>
      </c>
      <c r="O791" t="s">
        <v>11</v>
      </c>
      <c r="P791" t="s">
        <v>2</v>
      </c>
      <c r="Q791" t="s">
        <v>408</v>
      </c>
      <c r="R791" t="s">
        <v>439</v>
      </c>
      <c r="S791" t="s">
        <v>440</v>
      </c>
      <c r="T791" t="s">
        <v>11</v>
      </c>
      <c r="U791" t="s">
        <v>408</v>
      </c>
    </row>
    <row r="792" spans="1:21" x14ac:dyDescent="0.25">
      <c r="A792">
        <v>16705576</v>
      </c>
      <c r="B792" t="s">
        <v>340</v>
      </c>
      <c r="C792" t="s">
        <v>26</v>
      </c>
      <c r="D792" t="s">
        <v>12</v>
      </c>
      <c r="E792" t="s">
        <v>622</v>
      </c>
      <c r="F792" t="s">
        <v>210</v>
      </c>
      <c r="G792" t="s">
        <v>369</v>
      </c>
      <c r="H792" t="s">
        <v>0</v>
      </c>
      <c r="I792" t="s">
        <v>436</v>
      </c>
      <c r="J792" t="s">
        <v>437</v>
      </c>
      <c r="K792" t="s">
        <v>438</v>
      </c>
      <c r="L792" t="s">
        <v>1</v>
      </c>
      <c r="M792" t="s">
        <v>408</v>
      </c>
      <c r="N792" t="s">
        <v>11</v>
      </c>
      <c r="O792" t="s">
        <v>11</v>
      </c>
      <c r="P792" t="s">
        <v>2</v>
      </c>
      <c r="Q792" t="s">
        <v>408</v>
      </c>
      <c r="R792" t="s">
        <v>439</v>
      </c>
      <c r="S792" t="s">
        <v>440</v>
      </c>
      <c r="T792" t="s">
        <v>11</v>
      </c>
      <c r="U792" t="s">
        <v>408</v>
      </c>
    </row>
    <row r="793" spans="1:21" x14ac:dyDescent="0.25">
      <c r="A793">
        <v>16705585</v>
      </c>
      <c r="B793" t="s">
        <v>340</v>
      </c>
      <c r="C793" t="s">
        <v>26</v>
      </c>
      <c r="D793" t="s">
        <v>12</v>
      </c>
      <c r="E793" t="s">
        <v>740</v>
      </c>
      <c r="F793" t="s">
        <v>58</v>
      </c>
      <c r="G793" t="s">
        <v>369</v>
      </c>
      <c r="H793" t="s">
        <v>0</v>
      </c>
      <c r="I793" t="s">
        <v>436</v>
      </c>
      <c r="J793" t="s">
        <v>437</v>
      </c>
      <c r="K793" t="s">
        <v>438</v>
      </c>
      <c r="L793" t="s">
        <v>5</v>
      </c>
      <c r="M793" t="s">
        <v>408</v>
      </c>
      <c r="N793" t="s">
        <v>11</v>
      </c>
      <c r="O793" t="s">
        <v>11</v>
      </c>
      <c r="P793" t="s">
        <v>2</v>
      </c>
      <c r="Q793" t="s">
        <v>408</v>
      </c>
      <c r="R793" t="s">
        <v>439</v>
      </c>
      <c r="S793" t="s">
        <v>440</v>
      </c>
      <c r="T793" t="s">
        <v>11</v>
      </c>
      <c r="U793" t="s">
        <v>408</v>
      </c>
    </row>
    <row r="794" spans="1:21" x14ac:dyDescent="0.25">
      <c r="A794">
        <v>16705610</v>
      </c>
      <c r="B794" t="s">
        <v>342</v>
      </c>
      <c r="C794" t="s">
        <v>33</v>
      </c>
      <c r="D794" t="s">
        <v>12</v>
      </c>
      <c r="E794" t="s">
        <v>740</v>
      </c>
      <c r="F794" t="s">
        <v>59</v>
      </c>
      <c r="G794" t="s">
        <v>369</v>
      </c>
      <c r="H794" t="s">
        <v>0</v>
      </c>
      <c r="I794" t="s">
        <v>436</v>
      </c>
      <c r="J794" t="s">
        <v>437</v>
      </c>
      <c r="K794" t="s">
        <v>438</v>
      </c>
      <c r="L794" t="s">
        <v>345</v>
      </c>
      <c r="M794" t="s">
        <v>408</v>
      </c>
      <c r="N794" t="s">
        <v>11</v>
      </c>
      <c r="O794" t="s">
        <v>11</v>
      </c>
      <c r="P794" t="s">
        <v>0</v>
      </c>
      <c r="Q794" t="s">
        <v>408</v>
      </c>
      <c r="R794" t="s">
        <v>439</v>
      </c>
      <c r="S794" t="s">
        <v>440</v>
      </c>
      <c r="T794" t="s">
        <v>11</v>
      </c>
      <c r="U794" t="s">
        <v>408</v>
      </c>
    </row>
    <row r="795" spans="1:21" x14ac:dyDescent="0.25">
      <c r="A795">
        <v>16705616</v>
      </c>
      <c r="B795" t="s">
        <v>340</v>
      </c>
      <c r="C795" t="s">
        <v>26</v>
      </c>
      <c r="D795" t="s">
        <v>12</v>
      </c>
      <c r="E795" t="s">
        <v>740</v>
      </c>
      <c r="F795" t="s">
        <v>58</v>
      </c>
      <c r="G795" t="s">
        <v>369</v>
      </c>
      <c r="H795" t="s">
        <v>727</v>
      </c>
      <c r="I795" t="s">
        <v>728</v>
      </c>
      <c r="J795" t="s">
        <v>729</v>
      </c>
      <c r="K795" t="s">
        <v>450</v>
      </c>
      <c r="L795" t="s">
        <v>367</v>
      </c>
      <c r="M795" t="s">
        <v>408</v>
      </c>
      <c r="N795" t="s">
        <v>11</v>
      </c>
      <c r="O795" t="s">
        <v>11</v>
      </c>
      <c r="P795" t="s">
        <v>0</v>
      </c>
      <c r="Q795" t="s">
        <v>408</v>
      </c>
      <c r="R795" t="s">
        <v>439</v>
      </c>
      <c r="S795" t="s">
        <v>451</v>
      </c>
      <c r="T795" t="s">
        <v>11</v>
      </c>
      <c r="U795" t="s">
        <v>408</v>
      </c>
    </row>
    <row r="796" spans="1:21" x14ac:dyDescent="0.25">
      <c r="A796">
        <v>16705617</v>
      </c>
      <c r="B796" t="s">
        <v>340</v>
      </c>
      <c r="C796" t="s">
        <v>26</v>
      </c>
      <c r="D796" t="s">
        <v>12</v>
      </c>
      <c r="E796" t="s">
        <v>622</v>
      </c>
      <c r="F796" t="s">
        <v>222</v>
      </c>
      <c r="G796" t="s">
        <v>369</v>
      </c>
      <c r="H796" t="s">
        <v>5</v>
      </c>
      <c r="I796" t="s">
        <v>436</v>
      </c>
      <c r="J796" t="s">
        <v>446</v>
      </c>
      <c r="K796" t="s">
        <v>438</v>
      </c>
      <c r="L796" t="s">
        <v>2</v>
      </c>
      <c r="M796" t="s">
        <v>408</v>
      </c>
      <c r="N796" t="s">
        <v>11</v>
      </c>
      <c r="O796" t="s">
        <v>11</v>
      </c>
      <c r="P796" t="s">
        <v>0</v>
      </c>
      <c r="Q796" t="s">
        <v>408</v>
      </c>
      <c r="R796" t="s">
        <v>439</v>
      </c>
      <c r="S796" t="s">
        <v>440</v>
      </c>
      <c r="T796" t="s">
        <v>11</v>
      </c>
      <c r="U796" t="s">
        <v>408</v>
      </c>
    </row>
    <row r="797" spans="1:21" x14ac:dyDescent="0.25">
      <c r="A797">
        <v>16705620</v>
      </c>
      <c r="B797" t="s">
        <v>340</v>
      </c>
      <c r="C797" t="s">
        <v>26</v>
      </c>
      <c r="D797" t="s">
        <v>12</v>
      </c>
      <c r="E797" t="s">
        <v>740</v>
      </c>
      <c r="F797" t="s">
        <v>58</v>
      </c>
      <c r="G797" t="s">
        <v>369</v>
      </c>
      <c r="H797" t="s">
        <v>0</v>
      </c>
      <c r="I797" t="s">
        <v>436</v>
      </c>
      <c r="J797" t="s">
        <v>437</v>
      </c>
      <c r="K797" t="s">
        <v>438</v>
      </c>
      <c r="L797" t="s">
        <v>1</v>
      </c>
      <c r="M797" t="s">
        <v>408</v>
      </c>
      <c r="N797" t="s">
        <v>11</v>
      </c>
      <c r="O797" t="s">
        <v>11</v>
      </c>
      <c r="P797" t="s">
        <v>0</v>
      </c>
      <c r="Q797" t="s">
        <v>408</v>
      </c>
      <c r="R797" t="s">
        <v>439</v>
      </c>
      <c r="S797" t="s">
        <v>440</v>
      </c>
      <c r="T797" t="s">
        <v>11</v>
      </c>
      <c r="U797" t="s">
        <v>408</v>
      </c>
    </row>
    <row r="798" spans="1:21" x14ac:dyDescent="0.25">
      <c r="A798">
        <v>16705623</v>
      </c>
      <c r="B798" t="s">
        <v>340</v>
      </c>
      <c r="C798" t="s">
        <v>26</v>
      </c>
      <c r="D798" t="s">
        <v>12</v>
      </c>
      <c r="E798" t="s">
        <v>622</v>
      </c>
      <c r="F798" t="s">
        <v>112</v>
      </c>
      <c r="G798" t="s">
        <v>369</v>
      </c>
      <c r="H798" t="s">
        <v>2</v>
      </c>
      <c r="I798" t="s">
        <v>436</v>
      </c>
      <c r="J798" t="s">
        <v>443</v>
      </c>
      <c r="K798" t="s">
        <v>444</v>
      </c>
      <c r="L798" t="s">
        <v>0</v>
      </c>
      <c r="M798" t="s">
        <v>408</v>
      </c>
      <c r="N798" t="s">
        <v>11</v>
      </c>
      <c r="O798" t="s">
        <v>11</v>
      </c>
      <c r="P798" t="s">
        <v>0</v>
      </c>
      <c r="Q798" t="s">
        <v>408</v>
      </c>
      <c r="R798" t="s">
        <v>439</v>
      </c>
      <c r="S798" t="s">
        <v>440</v>
      </c>
      <c r="T798" t="s">
        <v>11</v>
      </c>
      <c r="U798" t="s">
        <v>408</v>
      </c>
    </row>
    <row r="799" spans="1:21" x14ac:dyDescent="0.25">
      <c r="A799">
        <v>16705647</v>
      </c>
      <c r="B799" t="s">
        <v>340</v>
      </c>
      <c r="C799" t="s">
        <v>26</v>
      </c>
      <c r="D799" t="s">
        <v>12</v>
      </c>
      <c r="E799" t="s">
        <v>740</v>
      </c>
      <c r="F799" t="s">
        <v>57</v>
      </c>
      <c r="G799" t="s">
        <v>369</v>
      </c>
      <c r="H799" t="s">
        <v>1</v>
      </c>
      <c r="I799" t="s">
        <v>469</v>
      </c>
      <c r="J799" t="s">
        <v>445</v>
      </c>
      <c r="K799" t="s">
        <v>438</v>
      </c>
      <c r="L799" t="s">
        <v>2</v>
      </c>
      <c r="M799" t="s">
        <v>408</v>
      </c>
      <c r="N799" t="s">
        <v>11</v>
      </c>
      <c r="O799" t="s">
        <v>11</v>
      </c>
      <c r="P799" t="s">
        <v>0</v>
      </c>
      <c r="Q799" t="s">
        <v>408</v>
      </c>
      <c r="R799" t="s">
        <v>439</v>
      </c>
      <c r="S799" t="s">
        <v>440</v>
      </c>
      <c r="T799" t="s">
        <v>11</v>
      </c>
      <c r="U799" t="s">
        <v>408</v>
      </c>
    </row>
    <row r="800" spans="1:21" x14ac:dyDescent="0.25">
      <c r="A800">
        <v>16705653</v>
      </c>
      <c r="B800" t="s">
        <v>340</v>
      </c>
      <c r="C800" t="s">
        <v>26</v>
      </c>
      <c r="D800" t="s">
        <v>12</v>
      </c>
      <c r="E800" t="s">
        <v>622</v>
      </c>
      <c r="F800" t="s">
        <v>55</v>
      </c>
      <c r="G800" t="s">
        <v>369</v>
      </c>
      <c r="H800" t="s">
        <v>0</v>
      </c>
      <c r="I800" t="s">
        <v>436</v>
      </c>
      <c r="J800" t="s">
        <v>437</v>
      </c>
      <c r="K800" t="s">
        <v>438</v>
      </c>
      <c r="L800" t="s">
        <v>345</v>
      </c>
      <c r="M800" t="s">
        <v>408</v>
      </c>
      <c r="N800" t="s">
        <v>11</v>
      </c>
      <c r="O800" t="s">
        <v>11</v>
      </c>
      <c r="P800" t="s">
        <v>0</v>
      </c>
      <c r="Q800" t="s">
        <v>408</v>
      </c>
      <c r="R800" t="s">
        <v>439</v>
      </c>
      <c r="S800" t="s">
        <v>440</v>
      </c>
      <c r="T800" t="s">
        <v>11</v>
      </c>
      <c r="U800" t="s">
        <v>408</v>
      </c>
    </row>
    <row r="801" spans="1:21" x14ac:dyDescent="0.25">
      <c r="A801">
        <v>16705654</v>
      </c>
      <c r="B801" t="s">
        <v>340</v>
      </c>
      <c r="C801" t="s">
        <v>26</v>
      </c>
      <c r="D801" t="s">
        <v>12</v>
      </c>
      <c r="E801" t="s">
        <v>622</v>
      </c>
      <c r="F801" t="s">
        <v>55</v>
      </c>
      <c r="G801" t="s">
        <v>369</v>
      </c>
      <c r="H801" t="s">
        <v>0</v>
      </c>
      <c r="I801" t="s">
        <v>436</v>
      </c>
      <c r="J801" t="s">
        <v>437</v>
      </c>
      <c r="K801" t="s">
        <v>438</v>
      </c>
      <c r="L801" t="s">
        <v>5</v>
      </c>
      <c r="M801" t="s">
        <v>408</v>
      </c>
      <c r="N801" t="s">
        <v>11</v>
      </c>
      <c r="O801" t="s">
        <v>11</v>
      </c>
      <c r="P801" t="s">
        <v>0</v>
      </c>
      <c r="Q801" t="s">
        <v>408</v>
      </c>
      <c r="R801" t="s">
        <v>439</v>
      </c>
      <c r="S801" t="s">
        <v>440</v>
      </c>
      <c r="T801" t="s">
        <v>11</v>
      </c>
      <c r="U801" t="s">
        <v>408</v>
      </c>
    </row>
    <row r="802" spans="1:21" x14ac:dyDescent="0.25">
      <c r="A802">
        <v>16705658</v>
      </c>
      <c r="B802" t="s">
        <v>340</v>
      </c>
      <c r="C802" t="s">
        <v>26</v>
      </c>
      <c r="D802" t="s">
        <v>12</v>
      </c>
      <c r="E802" t="s">
        <v>740</v>
      </c>
      <c r="F802" t="s">
        <v>58</v>
      </c>
      <c r="G802" t="s">
        <v>369</v>
      </c>
      <c r="H802" t="s">
        <v>370</v>
      </c>
      <c r="I802" t="s">
        <v>721</v>
      </c>
      <c r="J802" t="s">
        <v>455</v>
      </c>
      <c r="K802" t="s">
        <v>453</v>
      </c>
      <c r="L802" t="s">
        <v>2</v>
      </c>
      <c r="M802" t="s">
        <v>408</v>
      </c>
      <c r="N802" t="s">
        <v>11</v>
      </c>
      <c r="O802" t="s">
        <v>11</v>
      </c>
      <c r="P802" t="s">
        <v>1</v>
      </c>
      <c r="Q802" t="s">
        <v>408</v>
      </c>
      <c r="R802" t="s">
        <v>439</v>
      </c>
      <c r="S802" t="s">
        <v>451</v>
      </c>
      <c r="T802" t="s">
        <v>11</v>
      </c>
      <c r="U802" t="s">
        <v>408</v>
      </c>
    </row>
    <row r="803" spans="1:21" x14ac:dyDescent="0.25">
      <c r="A803">
        <v>16705665</v>
      </c>
      <c r="B803" t="s">
        <v>340</v>
      </c>
      <c r="C803" t="s">
        <v>26</v>
      </c>
      <c r="D803" t="s">
        <v>79</v>
      </c>
      <c r="E803" t="s">
        <v>740</v>
      </c>
      <c r="F803" t="s">
        <v>58</v>
      </c>
      <c r="G803" t="s">
        <v>369</v>
      </c>
      <c r="H803" t="s">
        <v>350</v>
      </c>
      <c r="I803" t="s">
        <v>436</v>
      </c>
      <c r="J803" t="s">
        <v>566</v>
      </c>
      <c r="K803" t="s">
        <v>701</v>
      </c>
      <c r="L803" t="s">
        <v>8</v>
      </c>
      <c r="M803" t="s">
        <v>408</v>
      </c>
      <c r="N803" t="s">
        <v>11</v>
      </c>
      <c r="O803" t="s">
        <v>11</v>
      </c>
      <c r="P803" t="s">
        <v>1</v>
      </c>
      <c r="Q803" t="s">
        <v>408</v>
      </c>
      <c r="R803" t="s">
        <v>439</v>
      </c>
      <c r="S803" t="s">
        <v>440</v>
      </c>
      <c r="T803" t="s">
        <v>11</v>
      </c>
      <c r="U803" t="s">
        <v>408</v>
      </c>
    </row>
    <row r="804" spans="1:21" x14ac:dyDescent="0.25">
      <c r="A804">
        <v>16705675</v>
      </c>
      <c r="B804" t="s">
        <v>340</v>
      </c>
      <c r="C804" t="s">
        <v>26</v>
      </c>
      <c r="D804" t="s">
        <v>12</v>
      </c>
      <c r="E804" t="s">
        <v>622</v>
      </c>
      <c r="F804" t="s">
        <v>210</v>
      </c>
      <c r="G804" t="s">
        <v>369</v>
      </c>
      <c r="H804" t="s">
        <v>0</v>
      </c>
      <c r="I804" t="s">
        <v>436</v>
      </c>
      <c r="J804" t="s">
        <v>437</v>
      </c>
      <c r="K804" t="s">
        <v>438</v>
      </c>
      <c r="L804" t="s">
        <v>1</v>
      </c>
      <c r="M804" t="s">
        <v>408</v>
      </c>
      <c r="N804" t="s">
        <v>11</v>
      </c>
      <c r="O804" t="s">
        <v>408</v>
      </c>
      <c r="P804" t="s">
        <v>1</v>
      </c>
      <c r="Q804" t="s">
        <v>408</v>
      </c>
      <c r="R804" t="s">
        <v>439</v>
      </c>
      <c r="S804" t="s">
        <v>440</v>
      </c>
      <c r="T804" t="s">
        <v>11</v>
      </c>
      <c r="U804" t="s">
        <v>408</v>
      </c>
    </row>
    <row r="805" spans="1:21" x14ac:dyDescent="0.25">
      <c r="A805">
        <v>16705676</v>
      </c>
      <c r="B805" t="s">
        <v>340</v>
      </c>
      <c r="C805" t="s">
        <v>26</v>
      </c>
      <c r="D805" t="s">
        <v>12</v>
      </c>
      <c r="E805" t="s">
        <v>740</v>
      </c>
      <c r="F805" t="s">
        <v>58</v>
      </c>
      <c r="G805" t="s">
        <v>369</v>
      </c>
      <c r="H805" t="s">
        <v>1</v>
      </c>
      <c r="I805" t="s">
        <v>469</v>
      </c>
      <c r="J805" t="s">
        <v>445</v>
      </c>
      <c r="K805" t="s">
        <v>438</v>
      </c>
      <c r="L805" t="s">
        <v>2</v>
      </c>
      <c r="M805" t="s">
        <v>408</v>
      </c>
      <c r="N805" t="s">
        <v>11</v>
      </c>
      <c r="O805" t="s">
        <v>11</v>
      </c>
      <c r="P805" t="s">
        <v>1</v>
      </c>
      <c r="Q805" t="s">
        <v>408</v>
      </c>
      <c r="R805" t="s">
        <v>439</v>
      </c>
      <c r="S805" t="s">
        <v>440</v>
      </c>
      <c r="T805" t="s">
        <v>11</v>
      </c>
      <c r="U805" t="s">
        <v>408</v>
      </c>
    </row>
    <row r="806" spans="1:21" x14ac:dyDescent="0.25">
      <c r="A806">
        <v>16705682</v>
      </c>
      <c r="B806" t="s">
        <v>340</v>
      </c>
      <c r="C806" t="s">
        <v>26</v>
      </c>
      <c r="D806" t="s">
        <v>12</v>
      </c>
      <c r="E806" t="s">
        <v>740</v>
      </c>
      <c r="F806" t="s">
        <v>58</v>
      </c>
      <c r="G806" t="s">
        <v>369</v>
      </c>
      <c r="H806" t="s">
        <v>727</v>
      </c>
      <c r="I806" t="s">
        <v>728</v>
      </c>
      <c r="J806" t="s">
        <v>729</v>
      </c>
      <c r="K806" t="s">
        <v>450</v>
      </c>
      <c r="L806" t="s">
        <v>367</v>
      </c>
      <c r="M806" t="s">
        <v>408</v>
      </c>
      <c r="N806" t="s">
        <v>11</v>
      </c>
      <c r="O806" t="s">
        <v>11</v>
      </c>
      <c r="P806" t="s">
        <v>1</v>
      </c>
      <c r="Q806" t="s">
        <v>408</v>
      </c>
      <c r="R806" t="s">
        <v>439</v>
      </c>
      <c r="S806" t="s">
        <v>451</v>
      </c>
      <c r="T806" t="s">
        <v>11</v>
      </c>
      <c r="U806" t="s">
        <v>408</v>
      </c>
    </row>
    <row r="807" spans="1:21" x14ac:dyDescent="0.25">
      <c r="A807">
        <v>16705691</v>
      </c>
      <c r="B807" t="s">
        <v>340</v>
      </c>
      <c r="C807" t="s">
        <v>26</v>
      </c>
      <c r="D807" t="s">
        <v>12</v>
      </c>
      <c r="E807" t="s">
        <v>740</v>
      </c>
      <c r="F807" t="s">
        <v>58</v>
      </c>
      <c r="G807" t="s">
        <v>369</v>
      </c>
      <c r="H807" t="s">
        <v>727</v>
      </c>
      <c r="I807" t="s">
        <v>728</v>
      </c>
      <c r="J807" t="s">
        <v>729</v>
      </c>
      <c r="K807" t="s">
        <v>450</v>
      </c>
      <c r="L807" t="s">
        <v>367</v>
      </c>
      <c r="M807" t="s">
        <v>408</v>
      </c>
      <c r="N807" t="s">
        <v>11</v>
      </c>
      <c r="O807" t="s">
        <v>11</v>
      </c>
      <c r="P807" t="s">
        <v>1</v>
      </c>
      <c r="Q807" t="s">
        <v>408</v>
      </c>
      <c r="R807" t="s">
        <v>439</v>
      </c>
      <c r="S807" t="s">
        <v>451</v>
      </c>
      <c r="T807" t="s">
        <v>11</v>
      </c>
      <c r="U807" t="s">
        <v>408</v>
      </c>
    </row>
    <row r="808" spans="1:21" x14ac:dyDescent="0.25">
      <c r="A808">
        <v>16705697</v>
      </c>
      <c r="B808" t="s">
        <v>340</v>
      </c>
      <c r="C808" t="s">
        <v>26</v>
      </c>
      <c r="D808" t="s">
        <v>12</v>
      </c>
      <c r="E808" t="s">
        <v>730</v>
      </c>
      <c r="F808" t="s">
        <v>211</v>
      </c>
      <c r="G808" t="s">
        <v>369</v>
      </c>
      <c r="H808" t="s">
        <v>0</v>
      </c>
      <c r="I808" t="s">
        <v>436</v>
      </c>
      <c r="J808" t="s">
        <v>437</v>
      </c>
      <c r="K808" t="s">
        <v>438</v>
      </c>
      <c r="L808" t="s">
        <v>1</v>
      </c>
      <c r="M808" t="s">
        <v>408</v>
      </c>
      <c r="N808" t="s">
        <v>11</v>
      </c>
      <c r="O808" t="s">
        <v>11</v>
      </c>
      <c r="P808" t="s">
        <v>5</v>
      </c>
      <c r="Q808" t="s">
        <v>408</v>
      </c>
      <c r="R808" t="s">
        <v>439</v>
      </c>
      <c r="S808" t="s">
        <v>440</v>
      </c>
      <c r="T808" t="s">
        <v>11</v>
      </c>
      <c r="U808" t="s">
        <v>408</v>
      </c>
    </row>
    <row r="809" spans="1:21" x14ac:dyDescent="0.25">
      <c r="A809">
        <v>16705699</v>
      </c>
      <c r="B809" t="s">
        <v>340</v>
      </c>
      <c r="C809" t="s">
        <v>26</v>
      </c>
      <c r="D809" t="s">
        <v>12</v>
      </c>
      <c r="E809" t="s">
        <v>730</v>
      </c>
      <c r="F809" t="s">
        <v>211</v>
      </c>
      <c r="G809" t="s">
        <v>369</v>
      </c>
      <c r="H809" t="s">
        <v>9</v>
      </c>
      <c r="I809" t="s">
        <v>611</v>
      </c>
      <c r="J809" t="s">
        <v>452</v>
      </c>
      <c r="K809" t="s">
        <v>462</v>
      </c>
      <c r="L809" t="s">
        <v>0</v>
      </c>
      <c r="M809" t="s">
        <v>408</v>
      </c>
      <c r="N809" t="s">
        <v>11</v>
      </c>
      <c r="O809" t="s">
        <v>11</v>
      </c>
      <c r="P809" t="s">
        <v>5</v>
      </c>
      <c r="Q809" t="s">
        <v>408</v>
      </c>
      <c r="R809" t="s">
        <v>439</v>
      </c>
      <c r="S809" t="s">
        <v>451</v>
      </c>
      <c r="T809" t="s">
        <v>11</v>
      </c>
      <c r="U809" t="s">
        <v>408</v>
      </c>
    </row>
    <row r="810" spans="1:21" x14ac:dyDescent="0.25">
      <c r="A810">
        <v>16705705</v>
      </c>
      <c r="B810" t="s">
        <v>340</v>
      </c>
      <c r="C810" t="s">
        <v>26</v>
      </c>
      <c r="D810" t="s">
        <v>12</v>
      </c>
      <c r="E810" t="s">
        <v>709</v>
      </c>
      <c r="F810" t="s">
        <v>111</v>
      </c>
      <c r="G810" t="s">
        <v>369</v>
      </c>
      <c r="H810" t="s">
        <v>0</v>
      </c>
      <c r="I810" t="s">
        <v>436</v>
      </c>
      <c r="J810" t="s">
        <v>437</v>
      </c>
      <c r="K810" t="s">
        <v>438</v>
      </c>
      <c r="L810" t="s">
        <v>1</v>
      </c>
      <c r="M810" t="s">
        <v>408</v>
      </c>
      <c r="N810" t="s">
        <v>11</v>
      </c>
      <c r="O810" t="s">
        <v>408</v>
      </c>
      <c r="P810" t="s">
        <v>0</v>
      </c>
      <c r="Q810" t="s">
        <v>408</v>
      </c>
      <c r="R810" t="s">
        <v>439</v>
      </c>
      <c r="S810" t="s">
        <v>440</v>
      </c>
      <c r="T810" t="s">
        <v>11</v>
      </c>
      <c r="U810" t="s">
        <v>408</v>
      </c>
    </row>
    <row r="811" spans="1:21" x14ac:dyDescent="0.25">
      <c r="A811">
        <v>16705710</v>
      </c>
      <c r="B811" t="s">
        <v>340</v>
      </c>
      <c r="C811" t="s">
        <v>26</v>
      </c>
      <c r="D811" t="s">
        <v>12</v>
      </c>
      <c r="E811" t="s">
        <v>733</v>
      </c>
      <c r="F811" t="s">
        <v>168</v>
      </c>
      <c r="G811" t="s">
        <v>369</v>
      </c>
      <c r="H811" t="s">
        <v>0</v>
      </c>
      <c r="I811" t="s">
        <v>436</v>
      </c>
      <c r="J811" t="s">
        <v>437</v>
      </c>
      <c r="K811" t="s">
        <v>438</v>
      </c>
      <c r="L811" t="s">
        <v>1</v>
      </c>
      <c r="M811" t="s">
        <v>408</v>
      </c>
      <c r="N811" t="s">
        <v>11</v>
      </c>
      <c r="O811" t="s">
        <v>408</v>
      </c>
      <c r="P811" t="s">
        <v>0</v>
      </c>
      <c r="Q811" t="s">
        <v>408</v>
      </c>
      <c r="R811" t="s">
        <v>439</v>
      </c>
      <c r="S811" t="s">
        <v>440</v>
      </c>
      <c r="T811" t="s">
        <v>11</v>
      </c>
      <c r="U811" t="s">
        <v>408</v>
      </c>
    </row>
    <row r="812" spans="1:21" x14ac:dyDescent="0.25">
      <c r="A812">
        <v>16705711</v>
      </c>
      <c r="B812" t="s">
        <v>340</v>
      </c>
      <c r="C812" t="s">
        <v>26</v>
      </c>
      <c r="D812" t="s">
        <v>12</v>
      </c>
      <c r="E812" t="s">
        <v>732</v>
      </c>
      <c r="F812" t="s">
        <v>64</v>
      </c>
      <c r="G812" t="s">
        <v>369</v>
      </c>
      <c r="H812" t="s">
        <v>0</v>
      </c>
      <c r="I812" t="s">
        <v>436</v>
      </c>
      <c r="J812" t="s">
        <v>437</v>
      </c>
      <c r="K812" t="s">
        <v>438</v>
      </c>
      <c r="L812" t="s">
        <v>1</v>
      </c>
      <c r="M812" t="s">
        <v>408</v>
      </c>
      <c r="N812" t="s">
        <v>11</v>
      </c>
      <c r="O812" t="s">
        <v>11</v>
      </c>
      <c r="P812" t="s">
        <v>347</v>
      </c>
      <c r="Q812" t="s">
        <v>408</v>
      </c>
      <c r="R812" t="s">
        <v>439</v>
      </c>
      <c r="S812" t="s">
        <v>440</v>
      </c>
      <c r="T812" t="s">
        <v>11</v>
      </c>
      <c r="U812" t="s">
        <v>408</v>
      </c>
    </row>
    <row r="813" spans="1:21" x14ac:dyDescent="0.25">
      <c r="A813">
        <v>16705714</v>
      </c>
      <c r="B813" t="s">
        <v>340</v>
      </c>
      <c r="C813" t="s">
        <v>26</v>
      </c>
      <c r="D813" t="s">
        <v>12</v>
      </c>
      <c r="E813" t="s">
        <v>607</v>
      </c>
      <c r="F813" t="s">
        <v>180</v>
      </c>
      <c r="G813" t="s">
        <v>369</v>
      </c>
      <c r="H813" t="s">
        <v>3</v>
      </c>
      <c r="I813" t="s">
        <v>436</v>
      </c>
      <c r="J813" t="s">
        <v>441</v>
      </c>
      <c r="K813" t="s">
        <v>442</v>
      </c>
      <c r="L813" t="s">
        <v>0</v>
      </c>
      <c r="M813" t="s">
        <v>408</v>
      </c>
      <c r="N813" t="s">
        <v>11</v>
      </c>
      <c r="O813" t="s">
        <v>408</v>
      </c>
      <c r="P813" t="s">
        <v>341</v>
      </c>
      <c r="Q813" t="s">
        <v>408</v>
      </c>
      <c r="R813" t="s">
        <v>439</v>
      </c>
      <c r="S813" t="s">
        <v>440</v>
      </c>
      <c r="T813" t="s">
        <v>11</v>
      </c>
      <c r="U813" t="s">
        <v>408</v>
      </c>
    </row>
    <row r="814" spans="1:21" x14ac:dyDescent="0.25">
      <c r="A814">
        <v>16705715</v>
      </c>
      <c r="B814" t="s">
        <v>340</v>
      </c>
      <c r="C814" t="s">
        <v>26</v>
      </c>
      <c r="D814" t="s">
        <v>12</v>
      </c>
      <c r="E814" t="s">
        <v>709</v>
      </c>
      <c r="F814" t="s">
        <v>111</v>
      </c>
      <c r="G814" t="s">
        <v>369</v>
      </c>
      <c r="H814" t="s">
        <v>5</v>
      </c>
      <c r="I814" t="s">
        <v>436</v>
      </c>
      <c r="J814" t="s">
        <v>446</v>
      </c>
      <c r="K814" t="s">
        <v>438</v>
      </c>
      <c r="L814" t="s">
        <v>2</v>
      </c>
      <c r="M814" t="s">
        <v>408</v>
      </c>
      <c r="N814" t="s">
        <v>11</v>
      </c>
      <c r="O814" t="s">
        <v>11</v>
      </c>
      <c r="P814" t="s">
        <v>0</v>
      </c>
      <c r="Q814" t="s">
        <v>408</v>
      </c>
      <c r="R814" t="s">
        <v>439</v>
      </c>
      <c r="S814" t="s">
        <v>440</v>
      </c>
      <c r="T814" t="s">
        <v>11</v>
      </c>
      <c r="U814" t="s">
        <v>408</v>
      </c>
    </row>
    <row r="815" spans="1:21" x14ac:dyDescent="0.25">
      <c r="A815">
        <v>16705719</v>
      </c>
      <c r="B815" t="s">
        <v>340</v>
      </c>
      <c r="C815" t="s">
        <v>26</v>
      </c>
      <c r="D815" t="s">
        <v>12</v>
      </c>
      <c r="E815" t="s">
        <v>472</v>
      </c>
      <c r="F815" t="s">
        <v>145</v>
      </c>
      <c r="G815" t="s">
        <v>369</v>
      </c>
      <c r="H815" t="s">
        <v>0</v>
      </c>
      <c r="I815" t="s">
        <v>436</v>
      </c>
      <c r="J815" t="s">
        <v>437</v>
      </c>
      <c r="K815" t="s">
        <v>438</v>
      </c>
      <c r="L815" t="s">
        <v>1</v>
      </c>
      <c r="M815" t="s">
        <v>408</v>
      </c>
      <c r="N815" t="s">
        <v>11</v>
      </c>
      <c r="O815" t="s">
        <v>11</v>
      </c>
      <c r="P815" t="s">
        <v>0</v>
      </c>
      <c r="Q815" t="s">
        <v>408</v>
      </c>
      <c r="R815" t="s">
        <v>439</v>
      </c>
      <c r="S815" t="s">
        <v>440</v>
      </c>
      <c r="T815" t="s">
        <v>11</v>
      </c>
      <c r="U815" t="s">
        <v>408</v>
      </c>
    </row>
    <row r="816" spans="1:21" x14ac:dyDescent="0.25">
      <c r="A816">
        <v>16705721</v>
      </c>
      <c r="B816" t="s">
        <v>340</v>
      </c>
      <c r="C816" t="s">
        <v>26</v>
      </c>
      <c r="D816" t="s">
        <v>12</v>
      </c>
      <c r="E816" t="s">
        <v>718</v>
      </c>
      <c r="F816" t="s">
        <v>167</v>
      </c>
      <c r="G816" t="s">
        <v>369</v>
      </c>
      <c r="H816" t="s">
        <v>1</v>
      </c>
      <c r="I816" t="s">
        <v>469</v>
      </c>
      <c r="J816" t="s">
        <v>445</v>
      </c>
      <c r="K816" t="s">
        <v>438</v>
      </c>
      <c r="L816" t="s">
        <v>2</v>
      </c>
      <c r="M816" t="s">
        <v>408</v>
      </c>
      <c r="N816" t="s">
        <v>11</v>
      </c>
      <c r="O816" t="s">
        <v>11</v>
      </c>
      <c r="P816" t="s">
        <v>375</v>
      </c>
      <c r="Q816" t="s">
        <v>408</v>
      </c>
      <c r="R816" t="s">
        <v>439</v>
      </c>
      <c r="S816" t="s">
        <v>440</v>
      </c>
      <c r="T816" t="s">
        <v>11</v>
      </c>
      <c r="U816" t="s">
        <v>408</v>
      </c>
    </row>
    <row r="817" spans="1:21" x14ac:dyDescent="0.25">
      <c r="A817">
        <v>16705722</v>
      </c>
      <c r="B817" t="s">
        <v>340</v>
      </c>
      <c r="C817" t="s">
        <v>26</v>
      </c>
      <c r="D817" t="s">
        <v>12</v>
      </c>
      <c r="E817" t="s">
        <v>732</v>
      </c>
      <c r="F817" t="s">
        <v>220</v>
      </c>
      <c r="G817" t="s">
        <v>369</v>
      </c>
      <c r="H817" t="s">
        <v>0</v>
      </c>
      <c r="I817" t="s">
        <v>436</v>
      </c>
      <c r="J817" t="s">
        <v>437</v>
      </c>
      <c r="K817" t="s">
        <v>438</v>
      </c>
      <c r="L817" t="s">
        <v>4</v>
      </c>
      <c r="M817" t="s">
        <v>408</v>
      </c>
      <c r="N817" t="s">
        <v>11</v>
      </c>
      <c r="O817" t="s">
        <v>11</v>
      </c>
      <c r="P817" t="s">
        <v>2</v>
      </c>
      <c r="Q817" t="s">
        <v>408</v>
      </c>
      <c r="R817" t="s">
        <v>439</v>
      </c>
      <c r="S817" t="s">
        <v>440</v>
      </c>
      <c r="T817" t="s">
        <v>11</v>
      </c>
      <c r="U817" t="s">
        <v>408</v>
      </c>
    </row>
    <row r="818" spans="1:21" x14ac:dyDescent="0.25">
      <c r="A818">
        <v>16705727</v>
      </c>
      <c r="B818" t="s">
        <v>340</v>
      </c>
      <c r="C818" t="s">
        <v>26</v>
      </c>
      <c r="D818" t="s">
        <v>12</v>
      </c>
      <c r="E818" t="s">
        <v>718</v>
      </c>
      <c r="F818" t="s">
        <v>142</v>
      </c>
      <c r="G818" t="s">
        <v>369</v>
      </c>
      <c r="H818" t="s">
        <v>0</v>
      </c>
      <c r="I818" t="s">
        <v>436</v>
      </c>
      <c r="J818" t="s">
        <v>437</v>
      </c>
      <c r="K818" t="s">
        <v>438</v>
      </c>
      <c r="L818" t="s">
        <v>1</v>
      </c>
      <c r="M818" t="s">
        <v>408</v>
      </c>
      <c r="N818" t="s">
        <v>11</v>
      </c>
      <c r="O818" t="s">
        <v>408</v>
      </c>
      <c r="P818" t="s">
        <v>0</v>
      </c>
      <c r="Q818" t="s">
        <v>408</v>
      </c>
      <c r="R818" t="s">
        <v>439</v>
      </c>
      <c r="S818" t="s">
        <v>440</v>
      </c>
      <c r="T818" t="s">
        <v>11</v>
      </c>
      <c r="U818" t="s">
        <v>408</v>
      </c>
    </row>
    <row r="819" spans="1:21" x14ac:dyDescent="0.25">
      <c r="A819">
        <v>16705731</v>
      </c>
      <c r="B819" t="s">
        <v>340</v>
      </c>
      <c r="C819" t="s">
        <v>26</v>
      </c>
      <c r="D819" t="s">
        <v>79</v>
      </c>
      <c r="E819" t="s">
        <v>719</v>
      </c>
      <c r="F819" t="s">
        <v>139</v>
      </c>
      <c r="G819" t="s">
        <v>369</v>
      </c>
      <c r="H819" t="s">
        <v>0</v>
      </c>
      <c r="I819" t="s">
        <v>436</v>
      </c>
      <c r="J819" t="s">
        <v>437</v>
      </c>
      <c r="K819" t="s">
        <v>438</v>
      </c>
      <c r="L819" t="s">
        <v>1</v>
      </c>
      <c r="M819" t="s">
        <v>408</v>
      </c>
      <c r="N819" t="s">
        <v>11</v>
      </c>
      <c r="O819" t="s">
        <v>408</v>
      </c>
      <c r="P819" t="s">
        <v>151</v>
      </c>
      <c r="Q819" t="s">
        <v>408</v>
      </c>
      <c r="R819" t="s">
        <v>439</v>
      </c>
      <c r="S819" t="s">
        <v>440</v>
      </c>
      <c r="T819" t="s">
        <v>11</v>
      </c>
      <c r="U819" t="s">
        <v>408</v>
      </c>
    </row>
    <row r="820" spans="1:21" x14ac:dyDescent="0.25">
      <c r="A820">
        <v>16705737</v>
      </c>
      <c r="B820" t="s">
        <v>340</v>
      </c>
      <c r="C820" t="s">
        <v>26</v>
      </c>
      <c r="D820" t="s">
        <v>12</v>
      </c>
      <c r="E820" t="s">
        <v>714</v>
      </c>
      <c r="F820" t="s">
        <v>216</v>
      </c>
      <c r="G820" t="s">
        <v>369</v>
      </c>
      <c r="H820" t="s">
        <v>0</v>
      </c>
      <c r="I820" t="s">
        <v>436</v>
      </c>
      <c r="J820" t="s">
        <v>437</v>
      </c>
      <c r="K820" t="s">
        <v>438</v>
      </c>
      <c r="L820" t="s">
        <v>1</v>
      </c>
      <c r="M820" t="s">
        <v>408</v>
      </c>
      <c r="N820" t="s">
        <v>11</v>
      </c>
      <c r="O820" t="s">
        <v>11</v>
      </c>
      <c r="P820" t="s">
        <v>341</v>
      </c>
      <c r="Q820" t="s">
        <v>408</v>
      </c>
      <c r="R820" t="s">
        <v>439</v>
      </c>
      <c r="S820" t="s">
        <v>440</v>
      </c>
      <c r="T820" t="s">
        <v>11</v>
      </c>
      <c r="U820" t="s">
        <v>408</v>
      </c>
    </row>
    <row r="821" spans="1:21" x14ac:dyDescent="0.25">
      <c r="A821">
        <v>16705739</v>
      </c>
      <c r="B821" t="s">
        <v>340</v>
      </c>
      <c r="C821" t="s">
        <v>26</v>
      </c>
      <c r="D821" t="s">
        <v>12</v>
      </c>
      <c r="E821" t="s">
        <v>515</v>
      </c>
      <c r="F821" t="s">
        <v>140</v>
      </c>
      <c r="G821" t="s">
        <v>369</v>
      </c>
      <c r="H821" t="s">
        <v>0</v>
      </c>
      <c r="I821" t="s">
        <v>436</v>
      </c>
      <c r="J821" t="s">
        <v>437</v>
      </c>
      <c r="K821" t="s">
        <v>438</v>
      </c>
      <c r="L821" t="s">
        <v>1</v>
      </c>
      <c r="M821" t="s">
        <v>408</v>
      </c>
      <c r="N821" t="s">
        <v>11</v>
      </c>
      <c r="O821" t="s">
        <v>11</v>
      </c>
      <c r="P821" t="s">
        <v>6</v>
      </c>
      <c r="Q821" t="s">
        <v>408</v>
      </c>
      <c r="R821" t="s">
        <v>439</v>
      </c>
      <c r="S821" t="s">
        <v>440</v>
      </c>
      <c r="T821" t="s">
        <v>11</v>
      </c>
      <c r="U821" t="s">
        <v>408</v>
      </c>
    </row>
    <row r="822" spans="1:21" x14ac:dyDescent="0.25">
      <c r="A822">
        <v>16705740</v>
      </c>
      <c r="B822" t="s">
        <v>340</v>
      </c>
      <c r="C822" t="s">
        <v>26</v>
      </c>
      <c r="D822" t="s">
        <v>12</v>
      </c>
      <c r="E822" t="s">
        <v>730</v>
      </c>
      <c r="F822" t="s">
        <v>41</v>
      </c>
      <c r="G822" t="s">
        <v>369</v>
      </c>
      <c r="H822" t="s">
        <v>715</v>
      </c>
      <c r="I822" t="s">
        <v>716</v>
      </c>
      <c r="J822" t="s">
        <v>717</v>
      </c>
      <c r="K822" t="s">
        <v>438</v>
      </c>
      <c r="L822" t="s">
        <v>0</v>
      </c>
      <c r="M822" t="s">
        <v>408</v>
      </c>
      <c r="N822" t="s">
        <v>11</v>
      </c>
      <c r="O822" t="s">
        <v>11</v>
      </c>
      <c r="P822" t="s">
        <v>151</v>
      </c>
      <c r="Q822" t="s">
        <v>408</v>
      </c>
      <c r="R822" t="s">
        <v>439</v>
      </c>
      <c r="S822" t="s">
        <v>440</v>
      </c>
      <c r="T822" t="s">
        <v>11</v>
      </c>
      <c r="U822" t="s">
        <v>408</v>
      </c>
    </row>
    <row r="823" spans="1:21" x14ac:dyDescent="0.25">
      <c r="A823">
        <v>16705742</v>
      </c>
      <c r="B823" t="s">
        <v>340</v>
      </c>
      <c r="C823" t="s">
        <v>26</v>
      </c>
      <c r="D823" t="s">
        <v>12</v>
      </c>
      <c r="E823" t="s">
        <v>711</v>
      </c>
      <c r="F823" t="s">
        <v>75</v>
      </c>
      <c r="G823" t="s">
        <v>369</v>
      </c>
      <c r="H823" t="s">
        <v>6</v>
      </c>
      <c r="I823" t="s">
        <v>436</v>
      </c>
      <c r="J823" t="s">
        <v>456</v>
      </c>
      <c r="K823" t="s">
        <v>438</v>
      </c>
      <c r="L823" t="s">
        <v>7</v>
      </c>
      <c r="M823" t="s">
        <v>408</v>
      </c>
      <c r="N823" t="s">
        <v>11</v>
      </c>
      <c r="O823" t="s">
        <v>11</v>
      </c>
      <c r="P823" t="s">
        <v>0</v>
      </c>
      <c r="Q823" t="s">
        <v>408</v>
      </c>
      <c r="R823" t="s">
        <v>439</v>
      </c>
      <c r="S823" t="s">
        <v>440</v>
      </c>
      <c r="T823" t="s">
        <v>11</v>
      </c>
      <c r="U823" t="s">
        <v>408</v>
      </c>
    </row>
    <row r="824" spans="1:21" x14ac:dyDescent="0.25">
      <c r="A824">
        <v>16705743</v>
      </c>
      <c r="B824" t="s">
        <v>340</v>
      </c>
      <c r="C824" t="s">
        <v>26</v>
      </c>
      <c r="D824" t="s">
        <v>12</v>
      </c>
      <c r="E824" t="s">
        <v>710</v>
      </c>
      <c r="F824" t="s">
        <v>206</v>
      </c>
      <c r="G824" t="s">
        <v>369</v>
      </c>
      <c r="H824" t="s">
        <v>727</v>
      </c>
      <c r="I824" t="s">
        <v>728</v>
      </c>
      <c r="J824" t="s">
        <v>729</v>
      </c>
      <c r="K824" t="s">
        <v>450</v>
      </c>
      <c r="L824" t="s">
        <v>367</v>
      </c>
      <c r="M824" t="s">
        <v>408</v>
      </c>
      <c r="N824" t="s">
        <v>11</v>
      </c>
      <c r="O824" t="s">
        <v>408</v>
      </c>
      <c r="P824" t="s">
        <v>0</v>
      </c>
      <c r="Q824" t="s">
        <v>408</v>
      </c>
      <c r="R824" t="s">
        <v>439</v>
      </c>
      <c r="S824" t="s">
        <v>451</v>
      </c>
      <c r="T824" t="s">
        <v>11</v>
      </c>
      <c r="U824" t="s">
        <v>408</v>
      </c>
    </row>
    <row r="825" spans="1:21" x14ac:dyDescent="0.25">
      <c r="A825">
        <v>16705744</v>
      </c>
      <c r="B825" t="s">
        <v>340</v>
      </c>
      <c r="C825" t="s">
        <v>26</v>
      </c>
      <c r="D825" t="s">
        <v>12</v>
      </c>
      <c r="E825" t="s">
        <v>730</v>
      </c>
      <c r="F825" t="s">
        <v>211</v>
      </c>
      <c r="G825" t="s">
        <v>369</v>
      </c>
      <c r="H825" t="s">
        <v>0</v>
      </c>
      <c r="I825" t="s">
        <v>436</v>
      </c>
      <c r="J825" t="s">
        <v>437</v>
      </c>
      <c r="K825" t="s">
        <v>438</v>
      </c>
      <c r="L825" t="s">
        <v>1</v>
      </c>
      <c r="M825" t="s">
        <v>408</v>
      </c>
      <c r="N825" t="s">
        <v>11</v>
      </c>
      <c r="O825" t="s">
        <v>11</v>
      </c>
      <c r="P825" t="s">
        <v>0</v>
      </c>
      <c r="Q825" t="s">
        <v>408</v>
      </c>
      <c r="R825" t="s">
        <v>439</v>
      </c>
      <c r="S825" t="s">
        <v>440</v>
      </c>
      <c r="T825" t="s">
        <v>11</v>
      </c>
      <c r="U825" t="s">
        <v>408</v>
      </c>
    </row>
    <row r="826" spans="1:21" x14ac:dyDescent="0.25">
      <c r="A826">
        <v>16705746</v>
      </c>
      <c r="B826" t="s">
        <v>340</v>
      </c>
      <c r="C826" t="s">
        <v>26</v>
      </c>
      <c r="D826" t="s">
        <v>12</v>
      </c>
      <c r="E826" t="s">
        <v>515</v>
      </c>
      <c r="F826" t="s">
        <v>140</v>
      </c>
      <c r="G826" t="s">
        <v>369</v>
      </c>
      <c r="H826" t="s">
        <v>0</v>
      </c>
      <c r="I826" t="s">
        <v>436</v>
      </c>
      <c r="J826" t="s">
        <v>437</v>
      </c>
      <c r="K826" t="s">
        <v>438</v>
      </c>
      <c r="L826" t="s">
        <v>1</v>
      </c>
      <c r="M826" t="s">
        <v>408</v>
      </c>
      <c r="N826" t="s">
        <v>11</v>
      </c>
      <c r="O826" t="s">
        <v>11</v>
      </c>
      <c r="P826" t="s">
        <v>6</v>
      </c>
      <c r="Q826" t="s">
        <v>408</v>
      </c>
      <c r="R826" t="s">
        <v>439</v>
      </c>
      <c r="S826" t="s">
        <v>440</v>
      </c>
      <c r="T826" t="s">
        <v>11</v>
      </c>
      <c r="U826" t="s">
        <v>408</v>
      </c>
    </row>
    <row r="827" spans="1:21" x14ac:dyDescent="0.25">
      <c r="A827">
        <v>16705747</v>
      </c>
      <c r="B827" t="s">
        <v>340</v>
      </c>
      <c r="C827" t="s">
        <v>26</v>
      </c>
      <c r="D827" t="s">
        <v>12</v>
      </c>
      <c r="E827" t="s">
        <v>720</v>
      </c>
      <c r="F827" t="s">
        <v>54</v>
      </c>
      <c r="G827" t="s">
        <v>369</v>
      </c>
      <c r="H827" t="s">
        <v>5</v>
      </c>
      <c r="I827" t="s">
        <v>436</v>
      </c>
      <c r="J827" t="s">
        <v>446</v>
      </c>
      <c r="K827" t="s">
        <v>438</v>
      </c>
      <c r="L827" t="s">
        <v>2</v>
      </c>
      <c r="M827" t="s">
        <v>408</v>
      </c>
      <c r="N827" t="s">
        <v>11</v>
      </c>
      <c r="O827" t="s">
        <v>408</v>
      </c>
      <c r="P827" t="s">
        <v>350</v>
      </c>
      <c r="Q827" t="s">
        <v>408</v>
      </c>
      <c r="R827" t="s">
        <v>439</v>
      </c>
      <c r="S827" t="s">
        <v>440</v>
      </c>
      <c r="T827" t="s">
        <v>11</v>
      </c>
      <c r="U827" t="s">
        <v>408</v>
      </c>
    </row>
    <row r="828" spans="1:21" x14ac:dyDescent="0.25">
      <c r="A828">
        <v>16705749</v>
      </c>
      <c r="B828" t="s">
        <v>340</v>
      </c>
      <c r="C828" t="s">
        <v>26</v>
      </c>
      <c r="D828" t="s">
        <v>12</v>
      </c>
      <c r="E828" t="s">
        <v>723</v>
      </c>
      <c r="F828" t="s">
        <v>137</v>
      </c>
      <c r="G828" t="s">
        <v>369</v>
      </c>
      <c r="H828" t="s">
        <v>3</v>
      </c>
      <c r="I828" t="s">
        <v>436</v>
      </c>
      <c r="J828" t="s">
        <v>441</v>
      </c>
      <c r="K828" t="s">
        <v>442</v>
      </c>
      <c r="L828" t="s">
        <v>0</v>
      </c>
      <c r="M828" t="s">
        <v>408</v>
      </c>
      <c r="N828" t="s">
        <v>11</v>
      </c>
      <c r="O828" t="s">
        <v>408</v>
      </c>
      <c r="P828" t="s">
        <v>341</v>
      </c>
      <c r="Q828" t="s">
        <v>408</v>
      </c>
      <c r="R828" t="s">
        <v>439</v>
      </c>
      <c r="S828" t="s">
        <v>440</v>
      </c>
      <c r="T828" t="s">
        <v>11</v>
      </c>
      <c r="U828" t="s">
        <v>408</v>
      </c>
    </row>
    <row r="829" spans="1:21" x14ac:dyDescent="0.25">
      <c r="A829">
        <v>16705750</v>
      </c>
      <c r="B829" t="s">
        <v>340</v>
      </c>
      <c r="C829" t="s">
        <v>26</v>
      </c>
      <c r="D829" t="s">
        <v>12</v>
      </c>
      <c r="E829" t="s">
        <v>535</v>
      </c>
      <c r="F829" t="s">
        <v>217</v>
      </c>
      <c r="G829" t="s">
        <v>369</v>
      </c>
      <c r="H829" t="s">
        <v>0</v>
      </c>
      <c r="I829" t="s">
        <v>436</v>
      </c>
      <c r="J829" t="s">
        <v>437</v>
      </c>
      <c r="K829" t="s">
        <v>438</v>
      </c>
      <c r="L829" t="s">
        <v>1</v>
      </c>
      <c r="M829" t="s">
        <v>408</v>
      </c>
      <c r="N829" t="s">
        <v>11</v>
      </c>
      <c r="O829" t="s">
        <v>11</v>
      </c>
      <c r="P829" t="s">
        <v>0</v>
      </c>
      <c r="Q829" t="s">
        <v>408</v>
      </c>
      <c r="R829" t="s">
        <v>439</v>
      </c>
      <c r="S829" t="s">
        <v>440</v>
      </c>
      <c r="T829" t="s">
        <v>11</v>
      </c>
      <c r="U829" t="s">
        <v>408</v>
      </c>
    </row>
    <row r="830" spans="1:21" x14ac:dyDescent="0.25">
      <c r="A830">
        <v>16705753</v>
      </c>
      <c r="B830" t="s">
        <v>340</v>
      </c>
      <c r="C830" t="s">
        <v>26</v>
      </c>
      <c r="D830" t="s">
        <v>12</v>
      </c>
      <c r="E830" t="s">
        <v>730</v>
      </c>
      <c r="F830" t="s">
        <v>41</v>
      </c>
      <c r="G830" t="s">
        <v>369</v>
      </c>
      <c r="H830" t="s">
        <v>1</v>
      </c>
      <c r="I830" t="s">
        <v>469</v>
      </c>
      <c r="J830" t="s">
        <v>445</v>
      </c>
      <c r="K830" t="s">
        <v>438</v>
      </c>
      <c r="L830" t="s">
        <v>2</v>
      </c>
      <c r="M830" t="s">
        <v>408</v>
      </c>
      <c r="N830" t="s">
        <v>11</v>
      </c>
      <c r="O830" t="s">
        <v>11</v>
      </c>
      <c r="P830" t="s">
        <v>0</v>
      </c>
      <c r="Q830" t="s">
        <v>408</v>
      </c>
      <c r="R830" t="s">
        <v>439</v>
      </c>
      <c r="S830" t="s">
        <v>440</v>
      </c>
      <c r="T830" t="s">
        <v>11</v>
      </c>
      <c r="U830" t="s">
        <v>408</v>
      </c>
    </row>
    <row r="831" spans="1:21" x14ac:dyDescent="0.25">
      <c r="A831">
        <v>16705755</v>
      </c>
      <c r="B831" t="s">
        <v>340</v>
      </c>
      <c r="C831" t="s">
        <v>26</v>
      </c>
      <c r="D831" t="s">
        <v>12</v>
      </c>
      <c r="E831" t="s">
        <v>725</v>
      </c>
      <c r="F831" t="s">
        <v>135</v>
      </c>
      <c r="G831" t="s">
        <v>369</v>
      </c>
      <c r="H831" t="s">
        <v>370</v>
      </c>
      <c r="I831" t="s">
        <v>721</v>
      </c>
      <c r="J831" t="s">
        <v>455</v>
      </c>
      <c r="K831" t="s">
        <v>453</v>
      </c>
      <c r="L831" t="s">
        <v>367</v>
      </c>
      <c r="M831" t="s">
        <v>408</v>
      </c>
      <c r="N831" t="s">
        <v>11</v>
      </c>
      <c r="O831" t="s">
        <v>408</v>
      </c>
      <c r="P831" t="s">
        <v>350</v>
      </c>
      <c r="Q831" t="s">
        <v>408</v>
      </c>
      <c r="R831" t="s">
        <v>439</v>
      </c>
      <c r="S831" t="s">
        <v>451</v>
      </c>
      <c r="T831" t="s">
        <v>11</v>
      </c>
      <c r="U831" t="s">
        <v>408</v>
      </c>
    </row>
    <row r="832" spans="1:21" x14ac:dyDescent="0.25">
      <c r="A832">
        <v>16705757</v>
      </c>
      <c r="B832" t="s">
        <v>340</v>
      </c>
      <c r="C832" t="s">
        <v>26</v>
      </c>
      <c r="D832" t="s">
        <v>12</v>
      </c>
      <c r="E832" t="s">
        <v>714</v>
      </c>
      <c r="F832" t="s">
        <v>352</v>
      </c>
      <c r="G832" t="s">
        <v>369</v>
      </c>
      <c r="H832" t="s">
        <v>370</v>
      </c>
      <c r="I832" t="s">
        <v>721</v>
      </c>
      <c r="J832" t="s">
        <v>455</v>
      </c>
      <c r="K832" t="s">
        <v>453</v>
      </c>
      <c r="L832" t="s">
        <v>0</v>
      </c>
      <c r="M832" t="s">
        <v>408</v>
      </c>
      <c r="N832" t="s">
        <v>11</v>
      </c>
      <c r="O832" t="s">
        <v>408</v>
      </c>
      <c r="P832" t="s">
        <v>0</v>
      </c>
      <c r="Q832" t="s">
        <v>408</v>
      </c>
      <c r="R832" t="s">
        <v>439</v>
      </c>
      <c r="S832" t="s">
        <v>451</v>
      </c>
      <c r="T832" t="s">
        <v>11</v>
      </c>
      <c r="U832" t="s">
        <v>408</v>
      </c>
    </row>
    <row r="833" spans="1:21" x14ac:dyDescent="0.25">
      <c r="A833">
        <v>16705760</v>
      </c>
      <c r="B833" t="s">
        <v>340</v>
      </c>
      <c r="C833" t="s">
        <v>26</v>
      </c>
      <c r="D833" t="s">
        <v>79</v>
      </c>
      <c r="E833" t="s">
        <v>537</v>
      </c>
      <c r="F833" t="s">
        <v>218</v>
      </c>
      <c r="G833" t="s">
        <v>369</v>
      </c>
      <c r="H833" t="s">
        <v>3</v>
      </c>
      <c r="I833" t="s">
        <v>436</v>
      </c>
      <c r="J833" t="s">
        <v>441</v>
      </c>
      <c r="K833" t="s">
        <v>442</v>
      </c>
      <c r="L833" t="s">
        <v>0</v>
      </c>
      <c r="M833" t="s">
        <v>408</v>
      </c>
      <c r="N833" t="s">
        <v>11</v>
      </c>
      <c r="O833" t="s">
        <v>11</v>
      </c>
      <c r="P833" t="s">
        <v>10</v>
      </c>
      <c r="Q833" t="s">
        <v>408</v>
      </c>
      <c r="R833" t="s">
        <v>439</v>
      </c>
      <c r="S833" t="s">
        <v>440</v>
      </c>
      <c r="T833" t="s">
        <v>11</v>
      </c>
      <c r="U833" t="s">
        <v>408</v>
      </c>
    </row>
    <row r="834" spans="1:21" x14ac:dyDescent="0.25">
      <c r="A834">
        <v>16705761</v>
      </c>
      <c r="B834" t="s">
        <v>340</v>
      </c>
      <c r="C834" t="s">
        <v>26</v>
      </c>
      <c r="D834" t="s">
        <v>18</v>
      </c>
      <c r="E834" t="s">
        <v>609</v>
      </c>
      <c r="F834" t="s">
        <v>141</v>
      </c>
      <c r="G834" t="s">
        <v>369</v>
      </c>
      <c r="H834" t="s">
        <v>1</v>
      </c>
      <c r="I834" t="s">
        <v>469</v>
      </c>
      <c r="J834" t="s">
        <v>445</v>
      </c>
      <c r="K834" t="s">
        <v>438</v>
      </c>
      <c r="L834" t="s">
        <v>0</v>
      </c>
      <c r="M834" t="s">
        <v>408</v>
      </c>
      <c r="N834" t="s">
        <v>11</v>
      </c>
      <c r="O834" t="s">
        <v>11</v>
      </c>
      <c r="P834" t="s">
        <v>0</v>
      </c>
      <c r="Q834" t="s">
        <v>408</v>
      </c>
      <c r="R834" t="s">
        <v>439</v>
      </c>
      <c r="S834" t="s">
        <v>440</v>
      </c>
      <c r="T834" t="s">
        <v>11</v>
      </c>
      <c r="U834" t="s">
        <v>408</v>
      </c>
    </row>
    <row r="835" spans="1:21" x14ac:dyDescent="0.25">
      <c r="A835">
        <v>16705763</v>
      </c>
      <c r="B835" t="s">
        <v>340</v>
      </c>
      <c r="C835" t="s">
        <v>26</v>
      </c>
      <c r="D835" t="s">
        <v>12</v>
      </c>
      <c r="E835" t="s">
        <v>535</v>
      </c>
      <c r="F835" t="s">
        <v>217</v>
      </c>
      <c r="G835" t="s">
        <v>369</v>
      </c>
      <c r="H835" t="s">
        <v>0</v>
      </c>
      <c r="I835" t="s">
        <v>436</v>
      </c>
      <c r="J835" t="s">
        <v>437</v>
      </c>
      <c r="K835" t="s">
        <v>438</v>
      </c>
      <c r="L835" t="s">
        <v>1</v>
      </c>
      <c r="M835" t="s">
        <v>408</v>
      </c>
      <c r="N835" t="s">
        <v>11</v>
      </c>
      <c r="O835" t="s">
        <v>11</v>
      </c>
      <c r="P835" t="s">
        <v>0</v>
      </c>
      <c r="Q835" t="s">
        <v>408</v>
      </c>
      <c r="R835" t="s">
        <v>439</v>
      </c>
      <c r="S835" t="s">
        <v>440</v>
      </c>
      <c r="T835" t="s">
        <v>11</v>
      </c>
      <c r="U835" t="s">
        <v>408</v>
      </c>
    </row>
    <row r="836" spans="1:21" x14ac:dyDescent="0.25">
      <c r="A836">
        <v>16705764</v>
      </c>
      <c r="B836" t="s">
        <v>340</v>
      </c>
      <c r="C836" t="s">
        <v>26</v>
      </c>
      <c r="D836" t="s">
        <v>12</v>
      </c>
      <c r="E836" t="s">
        <v>714</v>
      </c>
      <c r="F836" t="s">
        <v>216</v>
      </c>
      <c r="G836" t="s">
        <v>369</v>
      </c>
      <c r="H836" t="s">
        <v>0</v>
      </c>
      <c r="I836" t="s">
        <v>436</v>
      </c>
      <c r="J836" t="s">
        <v>437</v>
      </c>
      <c r="K836" t="s">
        <v>438</v>
      </c>
      <c r="L836" t="s">
        <v>8</v>
      </c>
      <c r="M836" t="s">
        <v>408</v>
      </c>
      <c r="N836" t="s">
        <v>11</v>
      </c>
      <c r="O836" t="s">
        <v>11</v>
      </c>
      <c r="P836" t="s">
        <v>341</v>
      </c>
      <c r="Q836" t="s">
        <v>408</v>
      </c>
      <c r="R836" t="s">
        <v>439</v>
      </c>
      <c r="S836" t="s">
        <v>440</v>
      </c>
      <c r="T836" t="s">
        <v>11</v>
      </c>
      <c r="U836" t="s">
        <v>408</v>
      </c>
    </row>
    <row r="837" spans="1:21" x14ac:dyDescent="0.25">
      <c r="A837">
        <v>16705767</v>
      </c>
      <c r="B837" t="s">
        <v>340</v>
      </c>
      <c r="C837" t="s">
        <v>26</v>
      </c>
      <c r="D837" t="s">
        <v>12</v>
      </c>
      <c r="E837" t="s">
        <v>500</v>
      </c>
      <c r="F837" t="s">
        <v>322</v>
      </c>
      <c r="G837" t="s">
        <v>369</v>
      </c>
      <c r="H837" t="s">
        <v>727</v>
      </c>
      <c r="I837" t="s">
        <v>728</v>
      </c>
      <c r="J837" t="s">
        <v>729</v>
      </c>
      <c r="K837" t="s">
        <v>450</v>
      </c>
      <c r="L837" t="s">
        <v>367</v>
      </c>
      <c r="M837" t="s">
        <v>408</v>
      </c>
      <c r="N837" t="s">
        <v>11</v>
      </c>
      <c r="O837" t="s">
        <v>11</v>
      </c>
      <c r="P837" t="s">
        <v>2</v>
      </c>
      <c r="Q837" t="s">
        <v>408</v>
      </c>
      <c r="R837" t="s">
        <v>439</v>
      </c>
      <c r="S837" t="s">
        <v>451</v>
      </c>
      <c r="T837" t="s">
        <v>11</v>
      </c>
      <c r="U837" t="s">
        <v>408</v>
      </c>
    </row>
    <row r="838" spans="1:21" x14ac:dyDescent="0.25">
      <c r="A838">
        <v>16705775</v>
      </c>
      <c r="B838" t="s">
        <v>340</v>
      </c>
      <c r="C838" t="s">
        <v>26</v>
      </c>
      <c r="D838" t="s">
        <v>18</v>
      </c>
      <c r="E838" t="s">
        <v>723</v>
      </c>
      <c r="F838" t="s">
        <v>137</v>
      </c>
      <c r="G838" t="s">
        <v>369</v>
      </c>
      <c r="H838" t="s">
        <v>0</v>
      </c>
      <c r="I838" t="s">
        <v>436</v>
      </c>
      <c r="J838" t="s">
        <v>437</v>
      </c>
      <c r="K838" t="s">
        <v>438</v>
      </c>
      <c r="L838" t="s">
        <v>1</v>
      </c>
      <c r="M838" t="s">
        <v>408</v>
      </c>
      <c r="N838" t="s">
        <v>11</v>
      </c>
      <c r="O838" t="s">
        <v>11</v>
      </c>
      <c r="P838" t="s">
        <v>347</v>
      </c>
      <c r="Q838" t="s">
        <v>408</v>
      </c>
      <c r="R838" t="s">
        <v>439</v>
      </c>
      <c r="S838" t="s">
        <v>440</v>
      </c>
      <c r="T838" t="s">
        <v>11</v>
      </c>
      <c r="U838" t="s">
        <v>408</v>
      </c>
    </row>
    <row r="839" spans="1:21" x14ac:dyDescent="0.25">
      <c r="A839">
        <v>16705776</v>
      </c>
      <c r="B839" t="s">
        <v>340</v>
      </c>
      <c r="C839" t="s">
        <v>26</v>
      </c>
      <c r="D839" t="s">
        <v>12</v>
      </c>
      <c r="E839" t="s">
        <v>515</v>
      </c>
      <c r="F839" t="s">
        <v>140</v>
      </c>
      <c r="G839" t="s">
        <v>369</v>
      </c>
      <c r="H839" t="s">
        <v>0</v>
      </c>
      <c r="I839" t="s">
        <v>436</v>
      </c>
      <c r="J839" t="s">
        <v>437</v>
      </c>
      <c r="K839" t="s">
        <v>438</v>
      </c>
      <c r="L839" t="s">
        <v>1</v>
      </c>
      <c r="M839" t="s">
        <v>408</v>
      </c>
      <c r="N839" t="s">
        <v>11</v>
      </c>
      <c r="O839" t="s">
        <v>11</v>
      </c>
      <c r="P839" t="s">
        <v>6</v>
      </c>
      <c r="Q839" t="s">
        <v>408</v>
      </c>
      <c r="R839" t="s">
        <v>439</v>
      </c>
      <c r="S839" t="s">
        <v>440</v>
      </c>
      <c r="T839" t="s">
        <v>11</v>
      </c>
      <c r="U839" t="s">
        <v>408</v>
      </c>
    </row>
    <row r="840" spans="1:21" x14ac:dyDescent="0.25">
      <c r="A840">
        <v>16705779</v>
      </c>
      <c r="B840" t="s">
        <v>340</v>
      </c>
      <c r="C840" t="s">
        <v>26</v>
      </c>
      <c r="D840" t="s">
        <v>12</v>
      </c>
      <c r="E840" t="s">
        <v>612</v>
      </c>
      <c r="F840" t="s">
        <v>72</v>
      </c>
      <c r="G840" t="s">
        <v>369</v>
      </c>
      <c r="H840" t="s">
        <v>727</v>
      </c>
      <c r="I840" t="s">
        <v>728</v>
      </c>
      <c r="J840" t="s">
        <v>729</v>
      </c>
      <c r="K840" t="s">
        <v>450</v>
      </c>
      <c r="L840" t="s">
        <v>367</v>
      </c>
      <c r="M840" t="s">
        <v>408</v>
      </c>
      <c r="N840" t="s">
        <v>11</v>
      </c>
      <c r="O840" t="s">
        <v>11</v>
      </c>
      <c r="P840" t="s">
        <v>151</v>
      </c>
      <c r="Q840" t="s">
        <v>408</v>
      </c>
      <c r="R840" t="s">
        <v>439</v>
      </c>
      <c r="S840" t="s">
        <v>451</v>
      </c>
      <c r="T840" t="s">
        <v>11</v>
      </c>
      <c r="U840" t="s">
        <v>408</v>
      </c>
    </row>
    <row r="841" spans="1:21" x14ac:dyDescent="0.25">
      <c r="A841">
        <v>16705780</v>
      </c>
      <c r="B841" t="s">
        <v>340</v>
      </c>
      <c r="C841" t="s">
        <v>26</v>
      </c>
      <c r="D841" t="s">
        <v>12</v>
      </c>
      <c r="E841" t="s">
        <v>724</v>
      </c>
      <c r="F841" t="s">
        <v>70</v>
      </c>
      <c r="G841" t="s">
        <v>369</v>
      </c>
      <c r="H841" t="s">
        <v>0</v>
      </c>
      <c r="I841" t="s">
        <v>436</v>
      </c>
      <c r="J841" t="s">
        <v>437</v>
      </c>
      <c r="K841" t="s">
        <v>438</v>
      </c>
      <c r="L841" t="s">
        <v>1</v>
      </c>
      <c r="M841" t="s">
        <v>408</v>
      </c>
      <c r="N841" t="s">
        <v>11</v>
      </c>
      <c r="O841" t="s">
        <v>11</v>
      </c>
      <c r="P841" t="s">
        <v>350</v>
      </c>
      <c r="Q841" t="s">
        <v>408</v>
      </c>
      <c r="R841" t="s">
        <v>439</v>
      </c>
      <c r="S841" t="s">
        <v>440</v>
      </c>
      <c r="T841" t="s">
        <v>11</v>
      </c>
      <c r="U841" t="s">
        <v>408</v>
      </c>
    </row>
    <row r="842" spans="1:21" x14ac:dyDescent="0.25">
      <c r="A842">
        <v>16705781</v>
      </c>
      <c r="B842" t="s">
        <v>340</v>
      </c>
      <c r="C842" t="s">
        <v>26</v>
      </c>
      <c r="D842" t="s">
        <v>12</v>
      </c>
      <c r="E842" t="s">
        <v>742</v>
      </c>
      <c r="F842" t="s">
        <v>215</v>
      </c>
      <c r="G842" t="s">
        <v>369</v>
      </c>
      <c r="H842" t="s">
        <v>0</v>
      </c>
      <c r="I842" t="s">
        <v>436</v>
      </c>
      <c r="J842" t="s">
        <v>437</v>
      </c>
      <c r="K842" t="s">
        <v>438</v>
      </c>
      <c r="L842" t="s">
        <v>2</v>
      </c>
      <c r="M842" t="s">
        <v>408</v>
      </c>
      <c r="N842" t="s">
        <v>11</v>
      </c>
      <c r="O842" t="s">
        <v>11</v>
      </c>
      <c r="P842" t="s">
        <v>0</v>
      </c>
      <c r="Q842" t="s">
        <v>408</v>
      </c>
      <c r="R842" t="s">
        <v>439</v>
      </c>
      <c r="S842" t="s">
        <v>440</v>
      </c>
      <c r="T842" t="s">
        <v>11</v>
      </c>
      <c r="U842" t="s">
        <v>408</v>
      </c>
    </row>
    <row r="843" spans="1:21" x14ac:dyDescent="0.25">
      <c r="A843">
        <v>16705791</v>
      </c>
      <c r="B843" t="s">
        <v>340</v>
      </c>
      <c r="C843" t="s">
        <v>26</v>
      </c>
      <c r="D843" t="s">
        <v>12</v>
      </c>
      <c r="E843" t="s">
        <v>501</v>
      </c>
      <c r="F843" t="s">
        <v>321</v>
      </c>
      <c r="G843" t="s">
        <v>369</v>
      </c>
      <c r="H843" t="s">
        <v>1</v>
      </c>
      <c r="I843" t="s">
        <v>469</v>
      </c>
      <c r="J843" t="s">
        <v>445</v>
      </c>
      <c r="K843" t="s">
        <v>438</v>
      </c>
      <c r="L843" t="s">
        <v>2</v>
      </c>
      <c r="M843" t="s">
        <v>408</v>
      </c>
      <c r="N843" t="s">
        <v>11</v>
      </c>
      <c r="O843" t="s">
        <v>11</v>
      </c>
      <c r="P843" t="s">
        <v>2</v>
      </c>
      <c r="Q843" t="s">
        <v>408</v>
      </c>
      <c r="R843" t="s">
        <v>439</v>
      </c>
      <c r="S843" t="s">
        <v>440</v>
      </c>
      <c r="T843" t="s">
        <v>11</v>
      </c>
      <c r="U843" t="s">
        <v>408</v>
      </c>
    </row>
    <row r="844" spans="1:21" x14ac:dyDescent="0.25">
      <c r="A844">
        <v>16705797</v>
      </c>
      <c r="B844" t="s">
        <v>340</v>
      </c>
      <c r="C844" t="s">
        <v>26</v>
      </c>
      <c r="D844" t="s">
        <v>18</v>
      </c>
      <c r="E844" t="s">
        <v>732</v>
      </c>
      <c r="F844" t="s">
        <v>120</v>
      </c>
      <c r="G844" t="s">
        <v>369</v>
      </c>
      <c r="H844" t="s">
        <v>370</v>
      </c>
      <c r="I844" t="s">
        <v>721</v>
      </c>
      <c r="J844" t="s">
        <v>455</v>
      </c>
      <c r="K844" t="s">
        <v>453</v>
      </c>
      <c r="L844" t="s">
        <v>367</v>
      </c>
      <c r="M844" t="s">
        <v>408</v>
      </c>
      <c r="N844" t="s">
        <v>11</v>
      </c>
      <c r="O844" t="s">
        <v>11</v>
      </c>
      <c r="P844" t="s">
        <v>0</v>
      </c>
      <c r="Q844" t="s">
        <v>408</v>
      </c>
      <c r="R844" t="s">
        <v>439</v>
      </c>
      <c r="S844" t="s">
        <v>451</v>
      </c>
      <c r="T844" t="s">
        <v>11</v>
      </c>
      <c r="U844" t="s">
        <v>408</v>
      </c>
    </row>
    <row r="845" spans="1:21" x14ac:dyDescent="0.25">
      <c r="A845">
        <v>16705798</v>
      </c>
      <c r="B845" t="s">
        <v>340</v>
      </c>
      <c r="C845" t="s">
        <v>26</v>
      </c>
      <c r="D845" t="s">
        <v>12</v>
      </c>
      <c r="E845" t="s">
        <v>732</v>
      </c>
      <c r="F845" t="s">
        <v>53</v>
      </c>
      <c r="G845" t="s">
        <v>369</v>
      </c>
      <c r="H845" t="s">
        <v>5</v>
      </c>
      <c r="I845" t="s">
        <v>436</v>
      </c>
      <c r="J845" t="s">
        <v>446</v>
      </c>
      <c r="K845" t="s">
        <v>438</v>
      </c>
      <c r="L845" t="s">
        <v>2</v>
      </c>
      <c r="M845" t="s">
        <v>408</v>
      </c>
      <c r="N845" t="s">
        <v>11</v>
      </c>
      <c r="O845" t="s">
        <v>11</v>
      </c>
      <c r="P845" t="s">
        <v>2</v>
      </c>
      <c r="Q845" t="s">
        <v>408</v>
      </c>
      <c r="R845" t="s">
        <v>439</v>
      </c>
      <c r="S845" t="s">
        <v>440</v>
      </c>
      <c r="T845" t="s">
        <v>11</v>
      </c>
      <c r="U845" t="s">
        <v>408</v>
      </c>
    </row>
    <row r="846" spans="1:21" x14ac:dyDescent="0.25">
      <c r="A846">
        <v>16705799</v>
      </c>
      <c r="B846" t="s">
        <v>340</v>
      </c>
      <c r="C846" t="s">
        <v>26</v>
      </c>
      <c r="D846" t="s">
        <v>12</v>
      </c>
      <c r="E846" t="s">
        <v>610</v>
      </c>
      <c r="F846" t="s">
        <v>214</v>
      </c>
      <c r="G846" t="s">
        <v>369</v>
      </c>
      <c r="H846" t="s">
        <v>715</v>
      </c>
      <c r="I846" t="s">
        <v>716</v>
      </c>
      <c r="J846" t="s">
        <v>717</v>
      </c>
      <c r="K846" t="s">
        <v>438</v>
      </c>
      <c r="L846" t="s">
        <v>0</v>
      </c>
      <c r="M846" t="s">
        <v>408</v>
      </c>
      <c r="N846" t="s">
        <v>11</v>
      </c>
      <c r="O846" t="s">
        <v>408</v>
      </c>
      <c r="P846" t="s">
        <v>151</v>
      </c>
      <c r="Q846" t="s">
        <v>408</v>
      </c>
      <c r="R846" t="s">
        <v>439</v>
      </c>
      <c r="S846" t="s">
        <v>440</v>
      </c>
      <c r="T846" t="s">
        <v>11</v>
      </c>
      <c r="U846" t="s">
        <v>408</v>
      </c>
    </row>
    <row r="847" spans="1:21" x14ac:dyDescent="0.25">
      <c r="A847">
        <v>16843001</v>
      </c>
      <c r="B847" t="s">
        <v>340</v>
      </c>
      <c r="C847" t="s">
        <v>26</v>
      </c>
      <c r="D847" t="s">
        <v>12</v>
      </c>
      <c r="E847" t="s">
        <v>734</v>
      </c>
      <c r="F847" t="s">
        <v>27</v>
      </c>
      <c r="G847" t="s">
        <v>369</v>
      </c>
      <c r="H847" t="s">
        <v>370</v>
      </c>
      <c r="I847" t="s">
        <v>721</v>
      </c>
      <c r="J847" t="s">
        <v>455</v>
      </c>
      <c r="K847" t="s">
        <v>453</v>
      </c>
      <c r="L847" t="s">
        <v>367</v>
      </c>
      <c r="M847" t="s">
        <v>408</v>
      </c>
      <c r="N847" t="s">
        <v>11</v>
      </c>
      <c r="O847" t="s">
        <v>11</v>
      </c>
      <c r="P847" t="s">
        <v>0</v>
      </c>
      <c r="Q847" t="s">
        <v>408</v>
      </c>
      <c r="R847" t="s">
        <v>439</v>
      </c>
      <c r="S847" t="s">
        <v>451</v>
      </c>
      <c r="T847" t="s">
        <v>11</v>
      </c>
      <c r="U847" t="s">
        <v>408</v>
      </c>
    </row>
    <row r="848" spans="1:21" x14ac:dyDescent="0.25">
      <c r="A848">
        <v>16843002</v>
      </c>
      <c r="B848" t="s">
        <v>340</v>
      </c>
      <c r="C848" t="s">
        <v>26</v>
      </c>
      <c r="D848" t="s">
        <v>79</v>
      </c>
      <c r="E848" t="s">
        <v>734</v>
      </c>
      <c r="F848" t="s">
        <v>27</v>
      </c>
      <c r="G848" t="s">
        <v>369</v>
      </c>
      <c r="H848" t="s">
        <v>0</v>
      </c>
      <c r="I848" t="s">
        <v>436</v>
      </c>
      <c r="J848" t="s">
        <v>437</v>
      </c>
      <c r="K848" t="s">
        <v>438</v>
      </c>
      <c r="L848" t="s">
        <v>1</v>
      </c>
      <c r="M848" t="s">
        <v>408</v>
      </c>
      <c r="N848" t="s">
        <v>11</v>
      </c>
      <c r="O848" t="s">
        <v>11</v>
      </c>
      <c r="P848" t="s">
        <v>0</v>
      </c>
      <c r="Q848" t="s">
        <v>408</v>
      </c>
      <c r="R848" t="s">
        <v>439</v>
      </c>
      <c r="S848" t="s">
        <v>440</v>
      </c>
      <c r="T848" t="s">
        <v>11</v>
      </c>
      <c r="U848" t="s">
        <v>408</v>
      </c>
    </row>
    <row r="849" spans="1:21" x14ac:dyDescent="0.25">
      <c r="A849">
        <v>16843009</v>
      </c>
      <c r="B849" t="s">
        <v>340</v>
      </c>
      <c r="C849" t="s">
        <v>26</v>
      </c>
      <c r="D849" t="s">
        <v>12</v>
      </c>
      <c r="E849" t="s">
        <v>734</v>
      </c>
      <c r="F849" t="s">
        <v>27</v>
      </c>
      <c r="G849" t="s">
        <v>369</v>
      </c>
      <c r="H849" t="s">
        <v>5</v>
      </c>
      <c r="I849" t="s">
        <v>436</v>
      </c>
      <c r="J849" t="s">
        <v>446</v>
      </c>
      <c r="K849" t="s">
        <v>438</v>
      </c>
      <c r="L849" t="s">
        <v>2</v>
      </c>
      <c r="M849" t="s">
        <v>408</v>
      </c>
      <c r="N849" t="s">
        <v>11</v>
      </c>
      <c r="O849" t="s">
        <v>11</v>
      </c>
      <c r="P849" t="s">
        <v>0</v>
      </c>
      <c r="Q849" t="s">
        <v>408</v>
      </c>
      <c r="R849" t="s">
        <v>439</v>
      </c>
      <c r="S849" t="s">
        <v>440</v>
      </c>
      <c r="T849" t="s">
        <v>11</v>
      </c>
      <c r="U849" t="s">
        <v>408</v>
      </c>
    </row>
    <row r="850" spans="1:21" x14ac:dyDescent="0.25">
      <c r="A850">
        <v>16843012</v>
      </c>
      <c r="B850" t="s">
        <v>340</v>
      </c>
      <c r="C850" t="s">
        <v>26</v>
      </c>
      <c r="D850" t="s">
        <v>12</v>
      </c>
      <c r="E850" t="s">
        <v>734</v>
      </c>
      <c r="F850" t="s">
        <v>27</v>
      </c>
      <c r="G850" t="s">
        <v>369</v>
      </c>
      <c r="H850" t="s">
        <v>1</v>
      </c>
      <c r="I850" t="s">
        <v>469</v>
      </c>
      <c r="J850" t="s">
        <v>445</v>
      </c>
      <c r="K850" t="s">
        <v>438</v>
      </c>
      <c r="L850" t="s">
        <v>2</v>
      </c>
      <c r="M850" t="s">
        <v>408</v>
      </c>
      <c r="N850" t="s">
        <v>11</v>
      </c>
      <c r="O850" t="s">
        <v>11</v>
      </c>
      <c r="P850" t="s">
        <v>0</v>
      </c>
      <c r="Q850" t="s">
        <v>408</v>
      </c>
      <c r="R850" t="s">
        <v>439</v>
      </c>
      <c r="S850" t="s">
        <v>440</v>
      </c>
      <c r="T850" t="s">
        <v>11</v>
      </c>
      <c r="U850" t="s">
        <v>408</v>
      </c>
    </row>
    <row r="851" spans="1:21" x14ac:dyDescent="0.25">
      <c r="A851">
        <v>16843017</v>
      </c>
      <c r="B851" t="s">
        <v>340</v>
      </c>
      <c r="C851" t="s">
        <v>26</v>
      </c>
      <c r="D851" t="s">
        <v>12</v>
      </c>
      <c r="E851" t="s">
        <v>734</v>
      </c>
      <c r="F851" t="s">
        <v>27</v>
      </c>
      <c r="G851" t="s">
        <v>369</v>
      </c>
      <c r="H851" t="s">
        <v>5</v>
      </c>
      <c r="I851" t="s">
        <v>436</v>
      </c>
      <c r="J851" t="s">
        <v>446</v>
      </c>
      <c r="K851" t="s">
        <v>438</v>
      </c>
      <c r="L851" t="s">
        <v>2</v>
      </c>
      <c r="M851" t="s">
        <v>408</v>
      </c>
      <c r="N851" t="s">
        <v>11</v>
      </c>
      <c r="O851" t="s">
        <v>11</v>
      </c>
      <c r="P851" t="s">
        <v>0</v>
      </c>
      <c r="Q851" t="s">
        <v>408</v>
      </c>
      <c r="R851" t="s">
        <v>439</v>
      </c>
      <c r="S851" t="s">
        <v>440</v>
      </c>
      <c r="T851" t="s">
        <v>11</v>
      </c>
      <c r="U851" t="s">
        <v>408</v>
      </c>
    </row>
    <row r="852" spans="1:21" x14ac:dyDescent="0.25">
      <c r="A852">
        <v>16843019</v>
      </c>
      <c r="B852" t="s">
        <v>340</v>
      </c>
      <c r="C852" t="s">
        <v>26</v>
      </c>
      <c r="D852" t="s">
        <v>109</v>
      </c>
      <c r="E852" t="s">
        <v>708</v>
      </c>
      <c r="F852" t="s">
        <v>31</v>
      </c>
      <c r="G852" t="s">
        <v>369</v>
      </c>
      <c r="H852" t="s">
        <v>2</v>
      </c>
      <c r="I852" t="s">
        <v>436</v>
      </c>
      <c r="J852" t="s">
        <v>443</v>
      </c>
      <c r="K852" t="s">
        <v>444</v>
      </c>
      <c r="L852" t="s">
        <v>8</v>
      </c>
      <c r="M852" t="s">
        <v>408</v>
      </c>
      <c r="N852" t="s">
        <v>11</v>
      </c>
      <c r="O852" t="s">
        <v>11</v>
      </c>
      <c r="P852" t="s">
        <v>0</v>
      </c>
      <c r="Q852" t="s">
        <v>408</v>
      </c>
      <c r="R852" t="s">
        <v>439</v>
      </c>
      <c r="S852" t="s">
        <v>440</v>
      </c>
      <c r="T852" t="s">
        <v>11</v>
      </c>
      <c r="U852" t="s">
        <v>408</v>
      </c>
    </row>
    <row r="853" spans="1:21" x14ac:dyDescent="0.25">
      <c r="A853">
        <v>16843020</v>
      </c>
      <c r="B853" t="s">
        <v>340</v>
      </c>
      <c r="C853" t="s">
        <v>26</v>
      </c>
      <c r="D853" t="s">
        <v>18</v>
      </c>
      <c r="E853" t="s">
        <v>734</v>
      </c>
      <c r="F853" t="s">
        <v>45</v>
      </c>
      <c r="G853" t="s">
        <v>369</v>
      </c>
      <c r="H853" t="s">
        <v>2</v>
      </c>
      <c r="I853" t="s">
        <v>436</v>
      </c>
      <c r="J853" t="s">
        <v>443</v>
      </c>
      <c r="K853" t="s">
        <v>444</v>
      </c>
      <c r="L853" t="s">
        <v>5</v>
      </c>
      <c r="M853" t="s">
        <v>408</v>
      </c>
      <c r="N853" t="s">
        <v>11</v>
      </c>
      <c r="O853" t="s">
        <v>11</v>
      </c>
      <c r="P853" t="s">
        <v>0</v>
      </c>
      <c r="Q853" t="s">
        <v>408</v>
      </c>
      <c r="R853" t="s">
        <v>439</v>
      </c>
      <c r="S853" t="s">
        <v>440</v>
      </c>
      <c r="T853" t="s">
        <v>11</v>
      </c>
      <c r="U853" t="s">
        <v>408</v>
      </c>
    </row>
    <row r="854" spans="1:21" x14ac:dyDescent="0.25">
      <c r="A854">
        <v>16843023</v>
      </c>
      <c r="B854" t="s">
        <v>340</v>
      </c>
      <c r="C854" t="s">
        <v>26</v>
      </c>
      <c r="D854" t="s">
        <v>12</v>
      </c>
      <c r="E854" t="s">
        <v>734</v>
      </c>
      <c r="F854" t="s">
        <v>27</v>
      </c>
      <c r="G854" t="s">
        <v>369</v>
      </c>
      <c r="H854" t="s">
        <v>1</v>
      </c>
      <c r="I854" t="s">
        <v>469</v>
      </c>
      <c r="J854" t="s">
        <v>445</v>
      </c>
      <c r="K854" t="s">
        <v>438</v>
      </c>
      <c r="L854" t="s">
        <v>2</v>
      </c>
      <c r="M854" t="s">
        <v>408</v>
      </c>
      <c r="N854" t="s">
        <v>11</v>
      </c>
      <c r="O854" t="s">
        <v>11</v>
      </c>
      <c r="P854" t="s">
        <v>0</v>
      </c>
      <c r="Q854" t="s">
        <v>408</v>
      </c>
      <c r="R854" t="s">
        <v>439</v>
      </c>
      <c r="S854" t="s">
        <v>440</v>
      </c>
      <c r="T854" t="s">
        <v>11</v>
      </c>
      <c r="U854" t="s">
        <v>408</v>
      </c>
    </row>
    <row r="855" spans="1:21" x14ac:dyDescent="0.25">
      <c r="A855">
        <v>16843024</v>
      </c>
      <c r="B855" t="s">
        <v>340</v>
      </c>
      <c r="C855" t="s">
        <v>26</v>
      </c>
      <c r="D855" t="s">
        <v>12</v>
      </c>
      <c r="E855" t="s">
        <v>734</v>
      </c>
      <c r="F855" t="s">
        <v>27</v>
      </c>
      <c r="G855" t="s">
        <v>369</v>
      </c>
      <c r="H855" t="s">
        <v>1</v>
      </c>
      <c r="I855" t="s">
        <v>469</v>
      </c>
      <c r="J855" t="s">
        <v>445</v>
      </c>
      <c r="K855" t="s">
        <v>438</v>
      </c>
      <c r="L855" t="s">
        <v>0</v>
      </c>
      <c r="M855" t="s">
        <v>408</v>
      </c>
      <c r="N855" t="s">
        <v>11</v>
      </c>
      <c r="O855" t="s">
        <v>11</v>
      </c>
      <c r="P855" t="s">
        <v>0</v>
      </c>
      <c r="Q855" t="s">
        <v>408</v>
      </c>
      <c r="R855" t="s">
        <v>439</v>
      </c>
      <c r="S855" t="s">
        <v>440</v>
      </c>
      <c r="T855" t="s">
        <v>11</v>
      </c>
      <c r="U855" t="s">
        <v>408</v>
      </c>
    </row>
    <row r="856" spans="1:21" x14ac:dyDescent="0.25">
      <c r="A856">
        <v>16843026</v>
      </c>
      <c r="B856" t="s">
        <v>340</v>
      </c>
      <c r="C856" t="s">
        <v>26</v>
      </c>
      <c r="D856" t="s">
        <v>12</v>
      </c>
      <c r="E856" t="s">
        <v>734</v>
      </c>
      <c r="F856" t="s">
        <v>27</v>
      </c>
      <c r="G856" t="s">
        <v>369</v>
      </c>
      <c r="H856" t="s">
        <v>1</v>
      </c>
      <c r="I856" t="s">
        <v>469</v>
      </c>
      <c r="J856" t="s">
        <v>445</v>
      </c>
      <c r="K856" t="s">
        <v>438</v>
      </c>
      <c r="L856" t="s">
        <v>0</v>
      </c>
      <c r="M856" t="s">
        <v>408</v>
      </c>
      <c r="N856" t="s">
        <v>11</v>
      </c>
      <c r="O856" t="s">
        <v>11</v>
      </c>
      <c r="P856" t="s">
        <v>0</v>
      </c>
      <c r="Q856" t="s">
        <v>408</v>
      </c>
      <c r="R856" t="s">
        <v>439</v>
      </c>
      <c r="S856" t="s">
        <v>440</v>
      </c>
      <c r="T856" t="s">
        <v>11</v>
      </c>
      <c r="U856" t="s">
        <v>408</v>
      </c>
    </row>
    <row r="857" spans="1:21" x14ac:dyDescent="0.25">
      <c r="A857">
        <v>16843027</v>
      </c>
      <c r="B857" t="s">
        <v>340</v>
      </c>
      <c r="C857" t="s">
        <v>26</v>
      </c>
      <c r="D857" t="s">
        <v>12</v>
      </c>
      <c r="E857" t="s">
        <v>734</v>
      </c>
      <c r="F857" t="s">
        <v>27</v>
      </c>
      <c r="G857" t="s">
        <v>369</v>
      </c>
      <c r="H857" t="s">
        <v>5</v>
      </c>
      <c r="I857" t="s">
        <v>436</v>
      </c>
      <c r="J857" t="s">
        <v>446</v>
      </c>
      <c r="K857" t="s">
        <v>438</v>
      </c>
      <c r="L857" t="s">
        <v>2</v>
      </c>
      <c r="M857" t="s">
        <v>408</v>
      </c>
      <c r="N857" t="s">
        <v>11</v>
      </c>
      <c r="O857" t="s">
        <v>11</v>
      </c>
      <c r="P857" t="s">
        <v>0</v>
      </c>
      <c r="Q857" t="s">
        <v>408</v>
      </c>
      <c r="R857" t="s">
        <v>439</v>
      </c>
      <c r="S857" t="s">
        <v>440</v>
      </c>
      <c r="T857" t="s">
        <v>11</v>
      </c>
      <c r="U857" t="s">
        <v>408</v>
      </c>
    </row>
    <row r="858" spans="1:21" x14ac:dyDescent="0.25">
      <c r="A858">
        <v>16843032</v>
      </c>
      <c r="B858" t="s">
        <v>340</v>
      </c>
      <c r="C858" t="s">
        <v>26</v>
      </c>
      <c r="D858" t="s">
        <v>12</v>
      </c>
      <c r="E858" t="s">
        <v>734</v>
      </c>
      <c r="F858" t="s">
        <v>45</v>
      </c>
      <c r="G858" t="s">
        <v>369</v>
      </c>
      <c r="H858" t="s">
        <v>5</v>
      </c>
      <c r="I858" t="s">
        <v>436</v>
      </c>
      <c r="J858" t="s">
        <v>446</v>
      </c>
      <c r="K858" t="s">
        <v>438</v>
      </c>
      <c r="L858" t="s">
        <v>2</v>
      </c>
      <c r="M858" t="s">
        <v>408</v>
      </c>
      <c r="N858" t="s">
        <v>11</v>
      </c>
      <c r="O858" t="s">
        <v>11</v>
      </c>
      <c r="P858" t="s">
        <v>0</v>
      </c>
      <c r="Q858" t="s">
        <v>408</v>
      </c>
      <c r="R858" t="s">
        <v>439</v>
      </c>
      <c r="S858" t="s">
        <v>440</v>
      </c>
      <c r="T858" t="s">
        <v>11</v>
      </c>
      <c r="U858" t="s">
        <v>408</v>
      </c>
    </row>
    <row r="859" spans="1:21" x14ac:dyDescent="0.25">
      <c r="A859">
        <v>16843034</v>
      </c>
      <c r="B859" t="s">
        <v>340</v>
      </c>
      <c r="C859" t="s">
        <v>26</v>
      </c>
      <c r="D859" t="s">
        <v>18</v>
      </c>
      <c r="E859" t="s">
        <v>734</v>
      </c>
      <c r="F859" t="s">
        <v>27</v>
      </c>
      <c r="G859" t="s">
        <v>369</v>
      </c>
      <c r="H859" t="s">
        <v>2</v>
      </c>
      <c r="I859" t="s">
        <v>436</v>
      </c>
      <c r="J859" t="s">
        <v>443</v>
      </c>
      <c r="K859" t="s">
        <v>444</v>
      </c>
      <c r="L859" t="s">
        <v>5</v>
      </c>
      <c r="M859" t="s">
        <v>408</v>
      </c>
      <c r="N859" t="s">
        <v>11</v>
      </c>
      <c r="O859" t="s">
        <v>11</v>
      </c>
      <c r="P859" t="s">
        <v>0</v>
      </c>
      <c r="Q859" t="s">
        <v>408</v>
      </c>
      <c r="R859" t="s">
        <v>439</v>
      </c>
      <c r="S859" t="s">
        <v>440</v>
      </c>
      <c r="T859" t="s">
        <v>11</v>
      </c>
      <c r="U859" t="s">
        <v>408</v>
      </c>
    </row>
    <row r="860" spans="1:21" x14ac:dyDescent="0.25">
      <c r="A860">
        <v>16843039</v>
      </c>
      <c r="B860" t="s">
        <v>340</v>
      </c>
      <c r="C860" t="s">
        <v>26</v>
      </c>
      <c r="D860" t="s">
        <v>12</v>
      </c>
      <c r="E860" t="s">
        <v>734</v>
      </c>
      <c r="F860" t="s">
        <v>27</v>
      </c>
      <c r="G860" t="s">
        <v>369</v>
      </c>
      <c r="H860" t="s">
        <v>715</v>
      </c>
      <c r="I860" t="s">
        <v>716</v>
      </c>
      <c r="J860" t="s">
        <v>717</v>
      </c>
      <c r="K860" t="s">
        <v>438</v>
      </c>
      <c r="L860" t="s">
        <v>2</v>
      </c>
      <c r="M860" t="s">
        <v>408</v>
      </c>
      <c r="N860" t="s">
        <v>11</v>
      </c>
      <c r="O860" t="s">
        <v>11</v>
      </c>
      <c r="P860" t="s">
        <v>0</v>
      </c>
      <c r="Q860" t="s">
        <v>408</v>
      </c>
      <c r="R860" t="s">
        <v>439</v>
      </c>
      <c r="S860" t="s">
        <v>440</v>
      </c>
      <c r="T860" t="s">
        <v>11</v>
      </c>
      <c r="U860" t="s">
        <v>408</v>
      </c>
    </row>
    <row r="861" spans="1:21" x14ac:dyDescent="0.25">
      <c r="A861">
        <v>16843040</v>
      </c>
      <c r="B861" t="s">
        <v>340</v>
      </c>
      <c r="C861" t="s">
        <v>26</v>
      </c>
      <c r="D861" t="s">
        <v>12</v>
      </c>
      <c r="E861" t="s">
        <v>708</v>
      </c>
      <c r="F861" t="s">
        <v>51</v>
      </c>
      <c r="G861" t="s">
        <v>369</v>
      </c>
      <c r="H861" t="s">
        <v>1</v>
      </c>
      <c r="I861" t="s">
        <v>469</v>
      </c>
      <c r="J861" t="s">
        <v>445</v>
      </c>
      <c r="K861" t="s">
        <v>438</v>
      </c>
      <c r="L861" t="s">
        <v>2</v>
      </c>
      <c r="M861" t="s">
        <v>408</v>
      </c>
      <c r="N861" t="s">
        <v>11</v>
      </c>
      <c r="O861" t="s">
        <v>11</v>
      </c>
      <c r="P861" t="s">
        <v>0</v>
      </c>
      <c r="Q861" t="s">
        <v>408</v>
      </c>
      <c r="R861" t="s">
        <v>439</v>
      </c>
      <c r="S861" t="s">
        <v>440</v>
      </c>
      <c r="T861" t="s">
        <v>11</v>
      </c>
      <c r="U861" t="s">
        <v>408</v>
      </c>
    </row>
    <row r="862" spans="1:21" x14ac:dyDescent="0.25">
      <c r="A862">
        <v>16843042</v>
      </c>
      <c r="B862" t="s">
        <v>340</v>
      </c>
      <c r="C862" t="s">
        <v>26</v>
      </c>
      <c r="D862" t="s">
        <v>12</v>
      </c>
      <c r="E862" t="s">
        <v>734</v>
      </c>
      <c r="F862" t="s">
        <v>27</v>
      </c>
      <c r="G862" t="s">
        <v>369</v>
      </c>
      <c r="H862" t="s">
        <v>715</v>
      </c>
      <c r="I862" t="s">
        <v>716</v>
      </c>
      <c r="J862" t="s">
        <v>717</v>
      </c>
      <c r="K862" t="s">
        <v>438</v>
      </c>
      <c r="L862" t="s">
        <v>2</v>
      </c>
      <c r="M862" t="s">
        <v>408</v>
      </c>
      <c r="N862" t="s">
        <v>11</v>
      </c>
      <c r="O862" t="s">
        <v>11</v>
      </c>
      <c r="P862" t="s">
        <v>0</v>
      </c>
      <c r="Q862" t="s">
        <v>408</v>
      </c>
      <c r="R862" t="s">
        <v>439</v>
      </c>
      <c r="S862" t="s">
        <v>440</v>
      </c>
      <c r="T862" t="s">
        <v>11</v>
      </c>
      <c r="U862" t="s">
        <v>408</v>
      </c>
    </row>
    <row r="863" spans="1:21" x14ac:dyDescent="0.25">
      <c r="A863">
        <v>16843048</v>
      </c>
      <c r="B863" t="s">
        <v>342</v>
      </c>
      <c r="C863" t="s">
        <v>33</v>
      </c>
      <c r="D863" t="s">
        <v>18</v>
      </c>
      <c r="E863" t="s">
        <v>734</v>
      </c>
      <c r="F863" t="s">
        <v>27</v>
      </c>
      <c r="G863" t="s">
        <v>369</v>
      </c>
      <c r="H863" t="s">
        <v>0</v>
      </c>
      <c r="I863" t="s">
        <v>436</v>
      </c>
      <c r="J863" t="s">
        <v>437</v>
      </c>
      <c r="K863" t="s">
        <v>438</v>
      </c>
      <c r="L863" t="s">
        <v>345</v>
      </c>
      <c r="M863" t="s">
        <v>408</v>
      </c>
      <c r="N863" t="s">
        <v>11</v>
      </c>
      <c r="O863" t="s">
        <v>11</v>
      </c>
      <c r="P863" t="s">
        <v>0</v>
      </c>
      <c r="Q863" t="s">
        <v>408</v>
      </c>
      <c r="R863" t="s">
        <v>439</v>
      </c>
      <c r="S863" t="s">
        <v>440</v>
      </c>
      <c r="T863" t="s">
        <v>11</v>
      </c>
      <c r="U863" t="s">
        <v>408</v>
      </c>
    </row>
    <row r="864" spans="1:21" x14ac:dyDescent="0.25">
      <c r="A864">
        <v>16843060</v>
      </c>
      <c r="B864" t="s">
        <v>340</v>
      </c>
      <c r="C864" t="s">
        <v>26</v>
      </c>
      <c r="D864" t="s">
        <v>12</v>
      </c>
      <c r="E864" t="s">
        <v>734</v>
      </c>
      <c r="F864" t="s">
        <v>52</v>
      </c>
      <c r="G864" t="s">
        <v>369</v>
      </c>
      <c r="H864" t="s">
        <v>2</v>
      </c>
      <c r="I864" t="s">
        <v>436</v>
      </c>
      <c r="J864" t="s">
        <v>443</v>
      </c>
      <c r="K864" t="s">
        <v>444</v>
      </c>
      <c r="L864" t="s">
        <v>5</v>
      </c>
      <c r="M864" t="s">
        <v>408</v>
      </c>
      <c r="N864" t="s">
        <v>11</v>
      </c>
      <c r="O864" t="s">
        <v>11</v>
      </c>
      <c r="P864" t="s">
        <v>0</v>
      </c>
      <c r="Q864" t="s">
        <v>408</v>
      </c>
      <c r="R864" t="s">
        <v>439</v>
      </c>
      <c r="S864" t="s">
        <v>440</v>
      </c>
      <c r="T864" t="s">
        <v>11</v>
      </c>
      <c r="U864" t="s">
        <v>408</v>
      </c>
    </row>
    <row r="865" spans="1:21" x14ac:dyDescent="0.25">
      <c r="A865">
        <v>16843116</v>
      </c>
      <c r="B865" t="s">
        <v>340</v>
      </c>
      <c r="C865" t="s">
        <v>26</v>
      </c>
      <c r="D865" t="s">
        <v>12</v>
      </c>
      <c r="E865" t="s">
        <v>734</v>
      </c>
      <c r="F865" t="s">
        <v>52</v>
      </c>
      <c r="G865" t="s">
        <v>369</v>
      </c>
      <c r="H865" t="s">
        <v>1</v>
      </c>
      <c r="I865" t="s">
        <v>469</v>
      </c>
      <c r="J865" t="s">
        <v>445</v>
      </c>
      <c r="K865" t="s">
        <v>438</v>
      </c>
      <c r="L865" t="s">
        <v>2</v>
      </c>
      <c r="M865" t="s">
        <v>408</v>
      </c>
      <c r="N865" t="s">
        <v>11</v>
      </c>
      <c r="O865" t="s">
        <v>11</v>
      </c>
      <c r="P865" t="s">
        <v>0</v>
      </c>
      <c r="Q865" t="s">
        <v>408</v>
      </c>
      <c r="R865" t="s">
        <v>439</v>
      </c>
      <c r="S865" t="s">
        <v>440</v>
      </c>
      <c r="T865" t="s">
        <v>11</v>
      </c>
      <c r="U865" t="s">
        <v>408</v>
      </c>
    </row>
    <row r="866" spans="1:21" x14ac:dyDescent="0.25">
      <c r="A866">
        <v>16843125</v>
      </c>
      <c r="B866" t="s">
        <v>342</v>
      </c>
      <c r="C866" t="s">
        <v>33</v>
      </c>
      <c r="D866" t="s">
        <v>12</v>
      </c>
      <c r="E866" t="s">
        <v>711</v>
      </c>
      <c r="F866" t="s">
        <v>213</v>
      </c>
      <c r="G866" t="s">
        <v>369</v>
      </c>
      <c r="H866" t="s">
        <v>0</v>
      </c>
      <c r="I866" t="s">
        <v>436</v>
      </c>
      <c r="J866" t="s">
        <v>437</v>
      </c>
      <c r="K866" t="s">
        <v>438</v>
      </c>
      <c r="L866" t="s">
        <v>2</v>
      </c>
      <c r="M866" t="s">
        <v>408</v>
      </c>
      <c r="N866" t="s">
        <v>11</v>
      </c>
      <c r="O866" t="s">
        <v>11</v>
      </c>
      <c r="P866" t="s">
        <v>344</v>
      </c>
      <c r="Q866" t="s">
        <v>408</v>
      </c>
      <c r="R866" t="s">
        <v>439</v>
      </c>
      <c r="S866" t="s">
        <v>440</v>
      </c>
      <c r="T866" t="s">
        <v>11</v>
      </c>
      <c r="U866" t="s">
        <v>408</v>
      </c>
    </row>
    <row r="867" spans="1:21" x14ac:dyDescent="0.25">
      <c r="A867">
        <v>16843126</v>
      </c>
      <c r="B867" t="s">
        <v>342</v>
      </c>
      <c r="C867" t="s">
        <v>33</v>
      </c>
      <c r="D867" t="s">
        <v>12</v>
      </c>
      <c r="E867" t="s">
        <v>724</v>
      </c>
      <c r="F867" t="s">
        <v>70</v>
      </c>
      <c r="G867" t="s">
        <v>369</v>
      </c>
      <c r="H867" t="s">
        <v>2</v>
      </c>
      <c r="I867" t="s">
        <v>436</v>
      </c>
      <c r="J867" t="s">
        <v>443</v>
      </c>
      <c r="K867" t="s">
        <v>444</v>
      </c>
      <c r="L867" t="s">
        <v>0</v>
      </c>
      <c r="M867" t="s">
        <v>408</v>
      </c>
      <c r="N867" t="s">
        <v>11</v>
      </c>
      <c r="O867" t="s">
        <v>408</v>
      </c>
      <c r="P867" t="s">
        <v>344</v>
      </c>
      <c r="Q867" t="s">
        <v>408</v>
      </c>
      <c r="R867" t="s">
        <v>439</v>
      </c>
      <c r="S867" t="s">
        <v>440</v>
      </c>
      <c r="T867" t="s">
        <v>11</v>
      </c>
      <c r="U867" t="s">
        <v>408</v>
      </c>
    </row>
    <row r="868" spans="1:21" x14ac:dyDescent="0.25">
      <c r="A868">
        <v>16843128</v>
      </c>
      <c r="B868" t="s">
        <v>342</v>
      </c>
      <c r="C868" t="s">
        <v>33</v>
      </c>
      <c r="D868" t="s">
        <v>12</v>
      </c>
      <c r="E868" t="s">
        <v>711</v>
      </c>
      <c r="F868" t="s">
        <v>213</v>
      </c>
      <c r="G868" t="s">
        <v>369</v>
      </c>
      <c r="H868" t="s">
        <v>0</v>
      </c>
      <c r="I868" t="s">
        <v>436</v>
      </c>
      <c r="J868" t="s">
        <v>437</v>
      </c>
      <c r="K868" t="s">
        <v>438</v>
      </c>
      <c r="L868" t="s">
        <v>2</v>
      </c>
      <c r="M868" t="s">
        <v>408</v>
      </c>
      <c r="N868" t="s">
        <v>11</v>
      </c>
      <c r="O868" t="s">
        <v>11</v>
      </c>
      <c r="P868" t="s">
        <v>344</v>
      </c>
      <c r="Q868" t="s">
        <v>408</v>
      </c>
      <c r="R868" t="s">
        <v>439</v>
      </c>
      <c r="S868" t="s">
        <v>440</v>
      </c>
      <c r="T868" t="s">
        <v>11</v>
      </c>
      <c r="U868" t="s">
        <v>408</v>
      </c>
    </row>
    <row r="869" spans="1:21" x14ac:dyDescent="0.25">
      <c r="A869">
        <v>16843129</v>
      </c>
      <c r="B869" t="s">
        <v>342</v>
      </c>
      <c r="C869" t="s">
        <v>33</v>
      </c>
      <c r="D869" t="s">
        <v>12</v>
      </c>
      <c r="E869" t="s">
        <v>709</v>
      </c>
      <c r="F869" t="s">
        <v>212</v>
      </c>
      <c r="G869" t="s">
        <v>369</v>
      </c>
      <c r="H869" t="s">
        <v>0</v>
      </c>
      <c r="I869" t="s">
        <v>436</v>
      </c>
      <c r="J869" t="s">
        <v>437</v>
      </c>
      <c r="K869" t="s">
        <v>438</v>
      </c>
      <c r="L869" t="s">
        <v>2</v>
      </c>
      <c r="M869" t="s">
        <v>408</v>
      </c>
      <c r="N869" t="s">
        <v>11</v>
      </c>
      <c r="O869" t="s">
        <v>11</v>
      </c>
      <c r="P869" t="s">
        <v>344</v>
      </c>
      <c r="Q869" t="s">
        <v>408</v>
      </c>
      <c r="R869" t="s">
        <v>439</v>
      </c>
      <c r="S869" t="s">
        <v>440</v>
      </c>
      <c r="T869" t="s">
        <v>11</v>
      </c>
      <c r="U869" t="s">
        <v>408</v>
      </c>
    </row>
    <row r="870" spans="1:21" x14ac:dyDescent="0.25">
      <c r="A870">
        <v>16843134</v>
      </c>
      <c r="B870" t="s">
        <v>342</v>
      </c>
      <c r="C870" t="s">
        <v>33</v>
      </c>
      <c r="D870" t="s">
        <v>12</v>
      </c>
      <c r="E870" t="s">
        <v>724</v>
      </c>
      <c r="F870" t="s">
        <v>70</v>
      </c>
      <c r="G870" t="s">
        <v>369</v>
      </c>
      <c r="H870" t="s">
        <v>1</v>
      </c>
      <c r="I870" t="s">
        <v>469</v>
      </c>
      <c r="J870" t="s">
        <v>445</v>
      </c>
      <c r="K870" t="s">
        <v>438</v>
      </c>
      <c r="L870" t="s">
        <v>0</v>
      </c>
      <c r="M870" t="s">
        <v>408</v>
      </c>
      <c r="N870" t="s">
        <v>11</v>
      </c>
      <c r="O870" t="s">
        <v>408</v>
      </c>
      <c r="P870" t="s">
        <v>344</v>
      </c>
      <c r="Q870" t="s">
        <v>408</v>
      </c>
      <c r="R870" t="s">
        <v>439</v>
      </c>
      <c r="S870" t="s">
        <v>440</v>
      </c>
      <c r="T870" t="s">
        <v>11</v>
      </c>
      <c r="U870" t="s">
        <v>408</v>
      </c>
    </row>
    <row r="871" spans="1:21" x14ac:dyDescent="0.25">
      <c r="A871">
        <v>16843140</v>
      </c>
      <c r="B871" t="s">
        <v>342</v>
      </c>
      <c r="C871" t="s">
        <v>38</v>
      </c>
      <c r="D871" t="s">
        <v>12</v>
      </c>
      <c r="E871" t="s">
        <v>723</v>
      </c>
      <c r="F871" t="s">
        <v>105</v>
      </c>
      <c r="G871" t="s">
        <v>369</v>
      </c>
      <c r="H871" t="s">
        <v>0</v>
      </c>
      <c r="I871" t="s">
        <v>436</v>
      </c>
      <c r="J871" t="s">
        <v>437</v>
      </c>
      <c r="K871" t="s">
        <v>438</v>
      </c>
      <c r="L871" t="s">
        <v>345</v>
      </c>
      <c r="M871" t="s">
        <v>408</v>
      </c>
      <c r="N871" t="s">
        <v>408</v>
      </c>
      <c r="O871" t="s">
        <v>11</v>
      </c>
      <c r="P871" t="s">
        <v>0</v>
      </c>
      <c r="Q871" t="s">
        <v>408</v>
      </c>
      <c r="R871" t="s">
        <v>439</v>
      </c>
      <c r="S871" t="s">
        <v>440</v>
      </c>
      <c r="T871" t="s">
        <v>408</v>
      </c>
      <c r="U871" t="s">
        <v>408</v>
      </c>
    </row>
    <row r="872" spans="1:21" x14ac:dyDescent="0.25">
      <c r="A872">
        <v>16843142</v>
      </c>
      <c r="B872" t="s">
        <v>340</v>
      </c>
      <c r="C872" t="s">
        <v>26</v>
      </c>
      <c r="D872" t="s">
        <v>12</v>
      </c>
      <c r="E872" t="s">
        <v>730</v>
      </c>
      <c r="F872" t="s">
        <v>211</v>
      </c>
      <c r="G872" t="s">
        <v>369</v>
      </c>
      <c r="H872" t="s">
        <v>0</v>
      </c>
      <c r="I872" t="s">
        <v>436</v>
      </c>
      <c r="J872" t="s">
        <v>437</v>
      </c>
      <c r="K872" t="s">
        <v>438</v>
      </c>
      <c r="L872" t="s">
        <v>345</v>
      </c>
      <c r="M872" t="s">
        <v>408</v>
      </c>
      <c r="N872" t="s">
        <v>11</v>
      </c>
      <c r="O872" t="s">
        <v>11</v>
      </c>
      <c r="P872" t="s">
        <v>0</v>
      </c>
      <c r="Q872" t="s">
        <v>408</v>
      </c>
      <c r="R872" t="s">
        <v>439</v>
      </c>
      <c r="S872" t="s">
        <v>440</v>
      </c>
      <c r="T872" t="s">
        <v>11</v>
      </c>
      <c r="U872" t="s">
        <v>408</v>
      </c>
    </row>
    <row r="873" spans="1:21" x14ac:dyDescent="0.25">
      <c r="A873">
        <v>16843146</v>
      </c>
      <c r="B873" t="s">
        <v>342</v>
      </c>
      <c r="C873" t="s">
        <v>33</v>
      </c>
      <c r="D873" t="s">
        <v>12</v>
      </c>
      <c r="E873" t="s">
        <v>708</v>
      </c>
      <c r="F873" t="s">
        <v>31</v>
      </c>
      <c r="G873" t="s">
        <v>369</v>
      </c>
      <c r="H873" t="s">
        <v>0</v>
      </c>
      <c r="I873" t="s">
        <v>436</v>
      </c>
      <c r="J873" t="s">
        <v>437</v>
      </c>
      <c r="K873" t="s">
        <v>438</v>
      </c>
      <c r="L873" t="s">
        <v>345</v>
      </c>
      <c r="M873" t="s">
        <v>408</v>
      </c>
      <c r="N873" t="s">
        <v>11</v>
      </c>
      <c r="O873" t="s">
        <v>11</v>
      </c>
      <c r="P873" t="s">
        <v>0</v>
      </c>
      <c r="Q873" t="s">
        <v>408</v>
      </c>
      <c r="R873" t="s">
        <v>439</v>
      </c>
      <c r="S873" t="s">
        <v>440</v>
      </c>
      <c r="T873" t="s">
        <v>11</v>
      </c>
      <c r="U873" t="s">
        <v>408</v>
      </c>
    </row>
    <row r="874" spans="1:21" x14ac:dyDescent="0.25">
      <c r="A874">
        <v>16843164</v>
      </c>
      <c r="B874" t="s">
        <v>340</v>
      </c>
      <c r="C874" t="s">
        <v>26</v>
      </c>
      <c r="D874" t="s">
        <v>12</v>
      </c>
      <c r="E874" t="s">
        <v>734</v>
      </c>
      <c r="F874" t="s">
        <v>27</v>
      </c>
      <c r="G874" t="s">
        <v>369</v>
      </c>
      <c r="H874" t="s">
        <v>2</v>
      </c>
      <c r="I874" t="s">
        <v>436</v>
      </c>
      <c r="J874" t="s">
        <v>443</v>
      </c>
      <c r="K874" t="s">
        <v>444</v>
      </c>
      <c r="L874" t="s">
        <v>8</v>
      </c>
      <c r="M874" t="s">
        <v>408</v>
      </c>
      <c r="N874" t="s">
        <v>11</v>
      </c>
      <c r="O874" t="s">
        <v>11</v>
      </c>
      <c r="P874" t="s">
        <v>0</v>
      </c>
      <c r="Q874" t="s">
        <v>408</v>
      </c>
      <c r="R874" t="s">
        <v>439</v>
      </c>
      <c r="S874" t="s">
        <v>440</v>
      </c>
      <c r="T874" t="s">
        <v>11</v>
      </c>
      <c r="U874" t="s">
        <v>408</v>
      </c>
    </row>
    <row r="875" spans="1:21" x14ac:dyDescent="0.25">
      <c r="A875">
        <v>16843179</v>
      </c>
      <c r="B875" t="s">
        <v>340</v>
      </c>
      <c r="C875" t="s">
        <v>26</v>
      </c>
      <c r="D875" t="s">
        <v>12</v>
      </c>
      <c r="E875" t="s">
        <v>734</v>
      </c>
      <c r="F875" t="s">
        <v>27</v>
      </c>
      <c r="G875" t="s">
        <v>369</v>
      </c>
      <c r="H875" t="s">
        <v>0</v>
      </c>
      <c r="I875" t="s">
        <v>436</v>
      </c>
      <c r="J875" t="s">
        <v>437</v>
      </c>
      <c r="K875" t="s">
        <v>438</v>
      </c>
      <c r="L875" t="s">
        <v>2</v>
      </c>
      <c r="M875" t="s">
        <v>408</v>
      </c>
      <c r="N875" t="s">
        <v>11</v>
      </c>
      <c r="O875" t="s">
        <v>408</v>
      </c>
      <c r="P875" t="s">
        <v>0</v>
      </c>
      <c r="Q875" t="s">
        <v>408</v>
      </c>
      <c r="R875" t="s">
        <v>439</v>
      </c>
      <c r="S875" t="s">
        <v>440</v>
      </c>
      <c r="T875" t="s">
        <v>11</v>
      </c>
      <c r="U875" t="s">
        <v>408</v>
      </c>
    </row>
    <row r="876" spans="1:21" x14ac:dyDescent="0.25">
      <c r="A876">
        <v>16843180</v>
      </c>
      <c r="B876" t="s">
        <v>340</v>
      </c>
      <c r="C876" t="s">
        <v>26</v>
      </c>
      <c r="D876" t="s">
        <v>12</v>
      </c>
      <c r="E876" t="s">
        <v>708</v>
      </c>
      <c r="F876" t="s">
        <v>49</v>
      </c>
      <c r="G876" t="s">
        <v>369</v>
      </c>
      <c r="H876" t="s">
        <v>2</v>
      </c>
      <c r="I876" t="s">
        <v>436</v>
      </c>
      <c r="J876" t="s">
        <v>443</v>
      </c>
      <c r="K876" t="s">
        <v>444</v>
      </c>
      <c r="L876" t="s">
        <v>5</v>
      </c>
      <c r="M876" t="s">
        <v>408</v>
      </c>
      <c r="N876" t="s">
        <v>11</v>
      </c>
      <c r="O876" t="s">
        <v>11</v>
      </c>
      <c r="P876" t="s">
        <v>0</v>
      </c>
      <c r="Q876" t="s">
        <v>408</v>
      </c>
      <c r="R876" t="s">
        <v>439</v>
      </c>
      <c r="S876" t="s">
        <v>440</v>
      </c>
      <c r="T876" t="s">
        <v>11</v>
      </c>
      <c r="U876" t="s">
        <v>408</v>
      </c>
    </row>
    <row r="877" spans="1:21" x14ac:dyDescent="0.25">
      <c r="A877">
        <v>16843181</v>
      </c>
      <c r="B877" t="s">
        <v>340</v>
      </c>
      <c r="C877" t="s">
        <v>26</v>
      </c>
      <c r="D877" t="s">
        <v>12</v>
      </c>
      <c r="E877" t="s">
        <v>734</v>
      </c>
      <c r="F877" t="s">
        <v>45</v>
      </c>
      <c r="G877" t="s">
        <v>369</v>
      </c>
      <c r="H877" t="s">
        <v>1</v>
      </c>
      <c r="I877" t="s">
        <v>469</v>
      </c>
      <c r="J877" t="s">
        <v>445</v>
      </c>
      <c r="K877" t="s">
        <v>438</v>
      </c>
      <c r="L877" t="s">
        <v>2</v>
      </c>
      <c r="M877" t="s">
        <v>408</v>
      </c>
      <c r="N877" t="s">
        <v>11</v>
      </c>
      <c r="O877" t="s">
        <v>11</v>
      </c>
      <c r="P877" t="s">
        <v>0</v>
      </c>
      <c r="Q877" t="s">
        <v>408</v>
      </c>
      <c r="R877" t="s">
        <v>439</v>
      </c>
      <c r="S877" t="s">
        <v>440</v>
      </c>
      <c r="T877" t="s">
        <v>11</v>
      </c>
      <c r="U877" t="s">
        <v>408</v>
      </c>
    </row>
    <row r="878" spans="1:21" x14ac:dyDescent="0.25">
      <c r="A878">
        <v>16843184</v>
      </c>
      <c r="B878" t="s">
        <v>340</v>
      </c>
      <c r="C878" t="s">
        <v>26</v>
      </c>
      <c r="D878" t="s">
        <v>12</v>
      </c>
      <c r="E878" t="s">
        <v>734</v>
      </c>
      <c r="F878" t="s">
        <v>45</v>
      </c>
      <c r="G878" t="s">
        <v>369</v>
      </c>
      <c r="H878" t="s">
        <v>1</v>
      </c>
      <c r="I878" t="s">
        <v>469</v>
      </c>
      <c r="J878" t="s">
        <v>445</v>
      </c>
      <c r="K878" t="s">
        <v>438</v>
      </c>
      <c r="L878" t="s">
        <v>2</v>
      </c>
      <c r="M878" t="s">
        <v>408</v>
      </c>
      <c r="N878" t="s">
        <v>11</v>
      </c>
      <c r="O878" t="s">
        <v>11</v>
      </c>
      <c r="P878" t="s">
        <v>0</v>
      </c>
      <c r="Q878" t="s">
        <v>408</v>
      </c>
      <c r="R878" t="s">
        <v>439</v>
      </c>
      <c r="S878" t="s">
        <v>440</v>
      </c>
      <c r="T878" t="s">
        <v>11</v>
      </c>
      <c r="U878" t="s">
        <v>408</v>
      </c>
    </row>
    <row r="879" spans="1:21" x14ac:dyDescent="0.25">
      <c r="A879">
        <v>16843192</v>
      </c>
      <c r="B879" t="s">
        <v>340</v>
      </c>
      <c r="C879" t="s">
        <v>26</v>
      </c>
      <c r="D879" t="s">
        <v>12</v>
      </c>
      <c r="E879" t="s">
        <v>734</v>
      </c>
      <c r="F879" t="s">
        <v>45</v>
      </c>
      <c r="G879" t="s">
        <v>369</v>
      </c>
      <c r="H879" t="s">
        <v>1</v>
      </c>
      <c r="I879" t="s">
        <v>469</v>
      </c>
      <c r="J879" t="s">
        <v>445</v>
      </c>
      <c r="K879" t="s">
        <v>438</v>
      </c>
      <c r="L879" t="s">
        <v>2</v>
      </c>
      <c r="M879" t="s">
        <v>408</v>
      </c>
      <c r="N879" t="s">
        <v>11</v>
      </c>
      <c r="O879" t="s">
        <v>11</v>
      </c>
      <c r="P879" t="s">
        <v>0</v>
      </c>
      <c r="Q879" t="s">
        <v>408</v>
      </c>
      <c r="R879" t="s">
        <v>439</v>
      </c>
      <c r="S879" t="s">
        <v>440</v>
      </c>
      <c r="T879" t="s">
        <v>11</v>
      </c>
      <c r="U879" t="s">
        <v>408</v>
      </c>
    </row>
    <row r="880" spans="1:21" x14ac:dyDescent="0.25">
      <c r="A880">
        <v>16843196</v>
      </c>
      <c r="B880" t="s">
        <v>340</v>
      </c>
      <c r="C880" t="s">
        <v>26</v>
      </c>
      <c r="D880" t="s">
        <v>12</v>
      </c>
      <c r="E880" t="s">
        <v>734</v>
      </c>
      <c r="F880" t="s">
        <v>52</v>
      </c>
      <c r="G880" t="s">
        <v>369</v>
      </c>
      <c r="H880" t="s">
        <v>715</v>
      </c>
      <c r="I880" t="s">
        <v>716</v>
      </c>
      <c r="J880" t="s">
        <v>717</v>
      </c>
      <c r="K880" t="s">
        <v>438</v>
      </c>
      <c r="L880" t="s">
        <v>2</v>
      </c>
      <c r="M880" t="s">
        <v>408</v>
      </c>
      <c r="N880" t="s">
        <v>11</v>
      </c>
      <c r="O880" t="s">
        <v>11</v>
      </c>
      <c r="P880" t="s">
        <v>0</v>
      </c>
      <c r="Q880" t="s">
        <v>408</v>
      </c>
      <c r="R880" t="s">
        <v>439</v>
      </c>
      <c r="S880" t="s">
        <v>440</v>
      </c>
      <c r="T880" t="s">
        <v>11</v>
      </c>
      <c r="U880" t="s">
        <v>408</v>
      </c>
    </row>
    <row r="881" spans="1:21" x14ac:dyDescent="0.25">
      <c r="A881">
        <v>16843206</v>
      </c>
      <c r="B881" t="s">
        <v>340</v>
      </c>
      <c r="C881" t="s">
        <v>26</v>
      </c>
      <c r="D881" t="s">
        <v>12</v>
      </c>
      <c r="E881" t="s">
        <v>734</v>
      </c>
      <c r="F881" t="s">
        <v>45</v>
      </c>
      <c r="G881" t="s">
        <v>369</v>
      </c>
      <c r="H881" t="s">
        <v>5</v>
      </c>
      <c r="I881" t="s">
        <v>436</v>
      </c>
      <c r="J881" t="s">
        <v>446</v>
      </c>
      <c r="K881" t="s">
        <v>438</v>
      </c>
      <c r="L881" t="s">
        <v>2</v>
      </c>
      <c r="M881" t="s">
        <v>408</v>
      </c>
      <c r="N881" t="s">
        <v>11</v>
      </c>
      <c r="O881" t="s">
        <v>11</v>
      </c>
      <c r="P881" t="s">
        <v>0</v>
      </c>
      <c r="Q881" t="s">
        <v>408</v>
      </c>
      <c r="R881" t="s">
        <v>439</v>
      </c>
      <c r="S881" t="s">
        <v>440</v>
      </c>
      <c r="T881" t="s">
        <v>11</v>
      </c>
      <c r="U881" t="s">
        <v>408</v>
      </c>
    </row>
    <row r="882" spans="1:21" x14ac:dyDescent="0.25">
      <c r="A882">
        <v>16843212</v>
      </c>
      <c r="B882" t="s">
        <v>340</v>
      </c>
      <c r="C882" t="s">
        <v>26</v>
      </c>
      <c r="D882" t="s">
        <v>12</v>
      </c>
      <c r="E882" t="s">
        <v>734</v>
      </c>
      <c r="F882" t="s">
        <v>45</v>
      </c>
      <c r="G882" t="s">
        <v>369</v>
      </c>
      <c r="H882" t="s">
        <v>1</v>
      </c>
      <c r="I882" t="s">
        <v>469</v>
      </c>
      <c r="J882" t="s">
        <v>445</v>
      </c>
      <c r="K882" t="s">
        <v>438</v>
      </c>
      <c r="L882" t="s">
        <v>0</v>
      </c>
      <c r="M882" t="s">
        <v>408</v>
      </c>
      <c r="N882" t="s">
        <v>11</v>
      </c>
      <c r="O882" t="s">
        <v>11</v>
      </c>
      <c r="P882" t="s">
        <v>0</v>
      </c>
      <c r="Q882" t="s">
        <v>408</v>
      </c>
      <c r="R882" t="s">
        <v>439</v>
      </c>
      <c r="S882" t="s">
        <v>440</v>
      </c>
      <c r="T882" t="s">
        <v>11</v>
      </c>
      <c r="U882" t="s">
        <v>408</v>
      </c>
    </row>
    <row r="883" spans="1:21" x14ac:dyDescent="0.25">
      <c r="A883">
        <v>16843223</v>
      </c>
      <c r="B883" t="s">
        <v>340</v>
      </c>
      <c r="C883" t="s">
        <v>26</v>
      </c>
      <c r="D883" t="s">
        <v>18</v>
      </c>
      <c r="E883" t="s">
        <v>708</v>
      </c>
      <c r="F883" t="s">
        <v>31</v>
      </c>
      <c r="G883" t="s">
        <v>369</v>
      </c>
      <c r="H883" t="s">
        <v>2</v>
      </c>
      <c r="I883" t="s">
        <v>436</v>
      </c>
      <c r="J883" t="s">
        <v>443</v>
      </c>
      <c r="K883" t="s">
        <v>444</v>
      </c>
      <c r="L883" t="s">
        <v>5</v>
      </c>
      <c r="M883" t="s">
        <v>408</v>
      </c>
      <c r="N883" t="s">
        <v>11</v>
      </c>
      <c r="O883" t="s">
        <v>11</v>
      </c>
      <c r="P883" t="s">
        <v>2</v>
      </c>
      <c r="Q883" t="s">
        <v>408</v>
      </c>
      <c r="R883" t="s">
        <v>439</v>
      </c>
      <c r="S883" t="s">
        <v>440</v>
      </c>
      <c r="T883" t="s">
        <v>11</v>
      </c>
      <c r="U883" t="s">
        <v>408</v>
      </c>
    </row>
    <row r="884" spans="1:21" x14ac:dyDescent="0.25">
      <c r="A884">
        <v>16843255</v>
      </c>
      <c r="B884" t="s">
        <v>342</v>
      </c>
      <c r="C884" t="s">
        <v>33</v>
      </c>
      <c r="D884" t="s">
        <v>12</v>
      </c>
      <c r="E884" t="s">
        <v>601</v>
      </c>
      <c r="F884" t="s">
        <v>108</v>
      </c>
      <c r="G884" t="s">
        <v>369</v>
      </c>
      <c r="H884" t="s">
        <v>2</v>
      </c>
      <c r="I884" t="s">
        <v>436</v>
      </c>
      <c r="J884" t="s">
        <v>443</v>
      </c>
      <c r="K884" t="s">
        <v>444</v>
      </c>
      <c r="L884" t="s">
        <v>345</v>
      </c>
      <c r="M884" t="s">
        <v>408</v>
      </c>
      <c r="N884" t="s">
        <v>11</v>
      </c>
      <c r="O884" t="s">
        <v>11</v>
      </c>
      <c r="P884" t="s">
        <v>2</v>
      </c>
      <c r="Q884" t="s">
        <v>408</v>
      </c>
      <c r="R884" t="s">
        <v>439</v>
      </c>
      <c r="S884" t="s">
        <v>440</v>
      </c>
      <c r="T884" t="s">
        <v>11</v>
      </c>
      <c r="U884" t="s">
        <v>408</v>
      </c>
    </row>
    <row r="885" spans="1:21" x14ac:dyDescent="0.25">
      <c r="A885">
        <v>16843258</v>
      </c>
      <c r="B885" t="s">
        <v>340</v>
      </c>
      <c r="C885" t="s">
        <v>26</v>
      </c>
      <c r="D885" t="s">
        <v>12</v>
      </c>
      <c r="E885" t="s">
        <v>734</v>
      </c>
      <c r="F885" t="s">
        <v>27</v>
      </c>
      <c r="G885" t="s">
        <v>369</v>
      </c>
      <c r="H885" t="s">
        <v>1</v>
      </c>
      <c r="I885" t="s">
        <v>469</v>
      </c>
      <c r="J885" t="s">
        <v>445</v>
      </c>
      <c r="K885" t="s">
        <v>438</v>
      </c>
      <c r="L885" t="s">
        <v>2</v>
      </c>
      <c r="M885" t="s">
        <v>408</v>
      </c>
      <c r="N885" t="s">
        <v>11</v>
      </c>
      <c r="O885" t="s">
        <v>11</v>
      </c>
      <c r="P885" t="s">
        <v>2</v>
      </c>
      <c r="Q885" t="s">
        <v>408</v>
      </c>
      <c r="R885" t="s">
        <v>439</v>
      </c>
      <c r="S885" t="s">
        <v>440</v>
      </c>
      <c r="T885" t="s">
        <v>11</v>
      </c>
      <c r="U885" t="s">
        <v>408</v>
      </c>
    </row>
    <row r="886" spans="1:21" x14ac:dyDescent="0.25">
      <c r="A886">
        <v>16843263</v>
      </c>
      <c r="B886" t="s">
        <v>342</v>
      </c>
      <c r="C886" t="s">
        <v>33</v>
      </c>
      <c r="D886" t="s">
        <v>12</v>
      </c>
      <c r="E886" t="s">
        <v>734</v>
      </c>
      <c r="F886" t="s">
        <v>52</v>
      </c>
      <c r="G886" t="s">
        <v>369</v>
      </c>
      <c r="H886" t="s">
        <v>2</v>
      </c>
      <c r="I886" t="s">
        <v>436</v>
      </c>
      <c r="J886" t="s">
        <v>443</v>
      </c>
      <c r="K886" t="s">
        <v>444</v>
      </c>
      <c r="L886" t="s">
        <v>345</v>
      </c>
      <c r="M886" t="s">
        <v>408</v>
      </c>
      <c r="N886" t="s">
        <v>11</v>
      </c>
      <c r="O886" t="s">
        <v>11</v>
      </c>
      <c r="P886" t="s">
        <v>2</v>
      </c>
      <c r="Q886" t="s">
        <v>408</v>
      </c>
      <c r="R886" t="s">
        <v>439</v>
      </c>
      <c r="S886" t="s">
        <v>440</v>
      </c>
      <c r="T886" t="s">
        <v>11</v>
      </c>
      <c r="U886" t="s">
        <v>408</v>
      </c>
    </row>
    <row r="887" spans="1:21" x14ac:dyDescent="0.25">
      <c r="A887">
        <v>16843267</v>
      </c>
      <c r="B887" t="s">
        <v>340</v>
      </c>
      <c r="C887" t="s">
        <v>26</v>
      </c>
      <c r="D887" t="s">
        <v>12</v>
      </c>
      <c r="E887" t="s">
        <v>708</v>
      </c>
      <c r="F887" t="s">
        <v>31</v>
      </c>
      <c r="G887" t="s">
        <v>369</v>
      </c>
      <c r="H887" t="s">
        <v>370</v>
      </c>
      <c r="I887" t="s">
        <v>721</v>
      </c>
      <c r="J887" t="s">
        <v>455</v>
      </c>
      <c r="K887" t="s">
        <v>453</v>
      </c>
      <c r="L887" t="s">
        <v>367</v>
      </c>
      <c r="M887" t="s">
        <v>408</v>
      </c>
      <c r="N887" t="s">
        <v>11</v>
      </c>
      <c r="O887" t="s">
        <v>11</v>
      </c>
      <c r="P887" t="s">
        <v>2</v>
      </c>
      <c r="Q887" t="s">
        <v>408</v>
      </c>
      <c r="R887" t="s">
        <v>439</v>
      </c>
      <c r="S887" t="s">
        <v>451</v>
      </c>
      <c r="T887" t="s">
        <v>11</v>
      </c>
      <c r="U887" t="s">
        <v>408</v>
      </c>
    </row>
    <row r="888" spans="1:21" x14ac:dyDescent="0.25">
      <c r="A888">
        <v>16843269</v>
      </c>
      <c r="B888" t="s">
        <v>340</v>
      </c>
      <c r="C888" t="s">
        <v>26</v>
      </c>
      <c r="D888" t="s">
        <v>12</v>
      </c>
      <c r="E888" t="s">
        <v>708</v>
      </c>
      <c r="F888" t="s">
        <v>51</v>
      </c>
      <c r="G888" t="s">
        <v>369</v>
      </c>
      <c r="H888" t="s">
        <v>2</v>
      </c>
      <c r="I888" t="s">
        <v>436</v>
      </c>
      <c r="J888" t="s">
        <v>443</v>
      </c>
      <c r="K888" t="s">
        <v>444</v>
      </c>
      <c r="L888" t="s">
        <v>5</v>
      </c>
      <c r="M888" t="s">
        <v>408</v>
      </c>
      <c r="N888" t="s">
        <v>11</v>
      </c>
      <c r="O888" t="s">
        <v>11</v>
      </c>
      <c r="P888" t="s">
        <v>2</v>
      </c>
      <c r="Q888" t="s">
        <v>408</v>
      </c>
      <c r="R888" t="s">
        <v>439</v>
      </c>
      <c r="S888" t="s">
        <v>440</v>
      </c>
      <c r="T888" t="s">
        <v>11</v>
      </c>
      <c r="U888" t="s">
        <v>408</v>
      </c>
    </row>
    <row r="889" spans="1:21" x14ac:dyDescent="0.25">
      <c r="A889">
        <v>16843272</v>
      </c>
      <c r="B889" t="s">
        <v>342</v>
      </c>
      <c r="C889" t="s">
        <v>33</v>
      </c>
      <c r="D889" t="s">
        <v>12</v>
      </c>
      <c r="E889" t="s">
        <v>708</v>
      </c>
      <c r="F889" t="s">
        <v>31</v>
      </c>
      <c r="G889" t="s">
        <v>369</v>
      </c>
      <c r="H889" t="s">
        <v>0</v>
      </c>
      <c r="I889" t="s">
        <v>436</v>
      </c>
      <c r="J889" t="s">
        <v>437</v>
      </c>
      <c r="K889" t="s">
        <v>438</v>
      </c>
      <c r="L889" t="s">
        <v>353</v>
      </c>
      <c r="M889" t="s">
        <v>408</v>
      </c>
      <c r="N889" t="s">
        <v>11</v>
      </c>
      <c r="O889" t="s">
        <v>11</v>
      </c>
      <c r="P889" t="s">
        <v>2</v>
      </c>
      <c r="Q889" t="s">
        <v>408</v>
      </c>
      <c r="R889" t="s">
        <v>439</v>
      </c>
      <c r="S889" t="s">
        <v>440</v>
      </c>
      <c r="T889" t="s">
        <v>11</v>
      </c>
      <c r="U889" t="s">
        <v>408</v>
      </c>
    </row>
    <row r="890" spans="1:21" x14ac:dyDescent="0.25">
      <c r="A890">
        <v>16843287</v>
      </c>
      <c r="B890" t="s">
        <v>340</v>
      </c>
      <c r="C890" t="s">
        <v>26</v>
      </c>
      <c r="D890" t="s">
        <v>12</v>
      </c>
      <c r="E890" t="s">
        <v>734</v>
      </c>
      <c r="F890" t="s">
        <v>27</v>
      </c>
      <c r="G890" t="s">
        <v>369</v>
      </c>
      <c r="H890" t="s">
        <v>0</v>
      </c>
      <c r="I890" t="s">
        <v>436</v>
      </c>
      <c r="J890" t="s">
        <v>437</v>
      </c>
      <c r="K890" t="s">
        <v>438</v>
      </c>
      <c r="L890" t="s">
        <v>1</v>
      </c>
      <c r="M890" t="s">
        <v>408</v>
      </c>
      <c r="N890" t="s">
        <v>11</v>
      </c>
      <c r="O890" t="s">
        <v>11</v>
      </c>
      <c r="P890" t="s">
        <v>2</v>
      </c>
      <c r="Q890" t="s">
        <v>408</v>
      </c>
      <c r="R890" t="s">
        <v>439</v>
      </c>
      <c r="S890" t="s">
        <v>440</v>
      </c>
      <c r="T890" t="s">
        <v>11</v>
      </c>
      <c r="U890" t="s">
        <v>408</v>
      </c>
    </row>
    <row r="891" spans="1:21" x14ac:dyDescent="0.25">
      <c r="A891">
        <v>16843288</v>
      </c>
      <c r="B891" t="s">
        <v>340</v>
      </c>
      <c r="C891" t="s">
        <v>26</v>
      </c>
      <c r="D891" t="s">
        <v>12</v>
      </c>
      <c r="E891" t="s">
        <v>734</v>
      </c>
      <c r="F891" t="s">
        <v>45</v>
      </c>
      <c r="G891" t="s">
        <v>369</v>
      </c>
      <c r="H891" t="s">
        <v>1</v>
      </c>
      <c r="I891" t="s">
        <v>469</v>
      </c>
      <c r="J891" t="s">
        <v>445</v>
      </c>
      <c r="K891" t="s">
        <v>438</v>
      </c>
      <c r="L891" t="s">
        <v>2</v>
      </c>
      <c r="M891" t="s">
        <v>408</v>
      </c>
      <c r="N891" t="s">
        <v>11</v>
      </c>
      <c r="O891" t="s">
        <v>11</v>
      </c>
      <c r="P891" t="s">
        <v>2</v>
      </c>
      <c r="Q891" t="s">
        <v>408</v>
      </c>
      <c r="R891" t="s">
        <v>439</v>
      </c>
      <c r="S891" t="s">
        <v>440</v>
      </c>
      <c r="T891" t="s">
        <v>11</v>
      </c>
      <c r="U891" t="s">
        <v>408</v>
      </c>
    </row>
    <row r="892" spans="1:21" x14ac:dyDescent="0.25">
      <c r="A892">
        <v>16843300</v>
      </c>
      <c r="B892" t="s">
        <v>340</v>
      </c>
      <c r="C892" t="s">
        <v>26</v>
      </c>
      <c r="D892" t="s">
        <v>12</v>
      </c>
      <c r="E892" t="s">
        <v>734</v>
      </c>
      <c r="F892" t="s">
        <v>45</v>
      </c>
      <c r="G892" t="s">
        <v>369</v>
      </c>
      <c r="H892" t="s">
        <v>1</v>
      </c>
      <c r="I892" t="s">
        <v>469</v>
      </c>
      <c r="J892" t="s">
        <v>445</v>
      </c>
      <c r="K892" t="s">
        <v>438</v>
      </c>
      <c r="L892" t="s">
        <v>2</v>
      </c>
      <c r="M892" t="s">
        <v>408</v>
      </c>
      <c r="N892" t="s">
        <v>11</v>
      </c>
      <c r="O892" t="s">
        <v>11</v>
      </c>
      <c r="P892" t="s">
        <v>2</v>
      </c>
      <c r="Q892" t="s">
        <v>408</v>
      </c>
      <c r="R892" t="s">
        <v>439</v>
      </c>
      <c r="S892" t="s">
        <v>440</v>
      </c>
      <c r="T892" t="s">
        <v>11</v>
      </c>
      <c r="U892" t="s">
        <v>408</v>
      </c>
    </row>
    <row r="893" spans="1:21" x14ac:dyDescent="0.25">
      <c r="A893">
        <v>16843303</v>
      </c>
      <c r="B893" t="s">
        <v>340</v>
      </c>
      <c r="C893" t="s">
        <v>26</v>
      </c>
      <c r="D893" t="s">
        <v>12</v>
      </c>
      <c r="E893" t="s">
        <v>601</v>
      </c>
      <c r="F893" t="s">
        <v>29</v>
      </c>
      <c r="G893" t="s">
        <v>369</v>
      </c>
      <c r="H893" t="s">
        <v>5</v>
      </c>
      <c r="I893" t="s">
        <v>436</v>
      </c>
      <c r="J893" t="s">
        <v>446</v>
      </c>
      <c r="K893" t="s">
        <v>438</v>
      </c>
      <c r="L893" t="s">
        <v>2</v>
      </c>
      <c r="M893" t="s">
        <v>408</v>
      </c>
      <c r="N893" t="s">
        <v>11</v>
      </c>
      <c r="O893" t="s">
        <v>11</v>
      </c>
      <c r="P893" t="s">
        <v>2</v>
      </c>
      <c r="Q893" t="s">
        <v>408</v>
      </c>
      <c r="R893" t="s">
        <v>439</v>
      </c>
      <c r="S893" t="s">
        <v>440</v>
      </c>
      <c r="T893" t="s">
        <v>11</v>
      </c>
      <c r="U893" t="s">
        <v>408</v>
      </c>
    </row>
    <row r="894" spans="1:21" x14ac:dyDescent="0.25">
      <c r="A894">
        <v>16843321</v>
      </c>
      <c r="B894" t="s">
        <v>340</v>
      </c>
      <c r="C894" t="s">
        <v>26</v>
      </c>
      <c r="D894" t="s">
        <v>12</v>
      </c>
      <c r="E894" t="s">
        <v>708</v>
      </c>
      <c r="F894" t="s">
        <v>49</v>
      </c>
      <c r="G894" t="s">
        <v>369</v>
      </c>
      <c r="H894" t="s">
        <v>1</v>
      </c>
      <c r="I894" t="s">
        <v>469</v>
      </c>
      <c r="J894" t="s">
        <v>445</v>
      </c>
      <c r="K894" t="s">
        <v>438</v>
      </c>
      <c r="L894" t="s">
        <v>2</v>
      </c>
      <c r="M894" t="s">
        <v>408</v>
      </c>
      <c r="N894" t="s">
        <v>11</v>
      </c>
      <c r="O894" t="s">
        <v>11</v>
      </c>
      <c r="P894" t="s">
        <v>2</v>
      </c>
      <c r="Q894" t="s">
        <v>408</v>
      </c>
      <c r="R894" t="s">
        <v>439</v>
      </c>
      <c r="S894" t="s">
        <v>440</v>
      </c>
      <c r="T894" t="s">
        <v>11</v>
      </c>
      <c r="U894" t="s">
        <v>408</v>
      </c>
    </row>
    <row r="895" spans="1:21" x14ac:dyDescent="0.25">
      <c r="A895">
        <v>16843337</v>
      </c>
      <c r="B895" t="s">
        <v>342</v>
      </c>
      <c r="C895" t="s">
        <v>33</v>
      </c>
      <c r="D895" t="s">
        <v>12</v>
      </c>
      <c r="E895" t="s">
        <v>734</v>
      </c>
      <c r="F895" t="s">
        <v>52</v>
      </c>
      <c r="G895" t="s">
        <v>369</v>
      </c>
      <c r="H895" t="s">
        <v>2</v>
      </c>
      <c r="I895" t="s">
        <v>436</v>
      </c>
      <c r="J895" t="s">
        <v>443</v>
      </c>
      <c r="K895" t="s">
        <v>444</v>
      </c>
      <c r="L895" t="s">
        <v>345</v>
      </c>
      <c r="M895" t="s">
        <v>408</v>
      </c>
      <c r="N895" t="s">
        <v>11</v>
      </c>
      <c r="O895" t="s">
        <v>11</v>
      </c>
      <c r="P895" t="s">
        <v>2</v>
      </c>
      <c r="Q895" t="s">
        <v>408</v>
      </c>
      <c r="R895" t="s">
        <v>439</v>
      </c>
      <c r="S895" t="s">
        <v>440</v>
      </c>
      <c r="T895" t="s">
        <v>11</v>
      </c>
      <c r="U895" t="s">
        <v>408</v>
      </c>
    </row>
    <row r="896" spans="1:21" x14ac:dyDescent="0.25">
      <c r="A896">
        <v>16843340</v>
      </c>
      <c r="B896" t="s">
        <v>340</v>
      </c>
      <c r="C896" t="s">
        <v>26</v>
      </c>
      <c r="D896" t="s">
        <v>18</v>
      </c>
      <c r="E896" t="s">
        <v>734</v>
      </c>
      <c r="F896" t="s">
        <v>45</v>
      </c>
      <c r="G896" t="s">
        <v>369</v>
      </c>
      <c r="H896" t="s">
        <v>1</v>
      </c>
      <c r="I896" t="s">
        <v>469</v>
      </c>
      <c r="J896" t="s">
        <v>445</v>
      </c>
      <c r="K896" t="s">
        <v>438</v>
      </c>
      <c r="L896" t="s">
        <v>2</v>
      </c>
      <c r="M896" t="s">
        <v>408</v>
      </c>
      <c r="N896" t="s">
        <v>11</v>
      </c>
      <c r="O896" t="s">
        <v>11</v>
      </c>
      <c r="P896" t="s">
        <v>2</v>
      </c>
      <c r="Q896" t="s">
        <v>408</v>
      </c>
      <c r="R896" t="s">
        <v>439</v>
      </c>
      <c r="S896" t="s">
        <v>440</v>
      </c>
      <c r="T896" t="s">
        <v>11</v>
      </c>
      <c r="U896" t="s">
        <v>408</v>
      </c>
    </row>
    <row r="897" spans="1:21" x14ac:dyDescent="0.25">
      <c r="A897">
        <v>16843342</v>
      </c>
      <c r="B897" t="s">
        <v>340</v>
      </c>
      <c r="C897" t="s">
        <v>26</v>
      </c>
      <c r="D897" t="s">
        <v>12</v>
      </c>
      <c r="E897" t="s">
        <v>734</v>
      </c>
      <c r="F897" t="s">
        <v>27</v>
      </c>
      <c r="G897" t="s">
        <v>369</v>
      </c>
      <c r="H897" t="s">
        <v>1</v>
      </c>
      <c r="I897" t="s">
        <v>469</v>
      </c>
      <c r="J897" t="s">
        <v>445</v>
      </c>
      <c r="K897" t="s">
        <v>438</v>
      </c>
      <c r="L897" t="s">
        <v>2</v>
      </c>
      <c r="M897" t="s">
        <v>408</v>
      </c>
      <c r="N897" t="s">
        <v>11</v>
      </c>
      <c r="O897" t="s">
        <v>11</v>
      </c>
      <c r="P897" t="s">
        <v>2</v>
      </c>
      <c r="Q897" t="s">
        <v>408</v>
      </c>
      <c r="R897" t="s">
        <v>439</v>
      </c>
      <c r="S897" t="s">
        <v>440</v>
      </c>
      <c r="T897" t="s">
        <v>11</v>
      </c>
      <c r="U897" t="s">
        <v>408</v>
      </c>
    </row>
    <row r="898" spans="1:21" x14ac:dyDescent="0.25">
      <c r="A898">
        <v>16843347</v>
      </c>
      <c r="B898" t="s">
        <v>340</v>
      </c>
      <c r="C898" t="s">
        <v>26</v>
      </c>
      <c r="D898" t="s">
        <v>12</v>
      </c>
      <c r="E898" t="s">
        <v>708</v>
      </c>
      <c r="F898" t="s">
        <v>51</v>
      </c>
      <c r="G898" t="s">
        <v>369</v>
      </c>
      <c r="H898" t="s">
        <v>5</v>
      </c>
      <c r="I898" t="s">
        <v>436</v>
      </c>
      <c r="J898" t="s">
        <v>446</v>
      </c>
      <c r="K898" t="s">
        <v>438</v>
      </c>
      <c r="L898" t="s">
        <v>2</v>
      </c>
      <c r="M898" t="s">
        <v>408</v>
      </c>
      <c r="N898" t="s">
        <v>11</v>
      </c>
      <c r="O898" t="s">
        <v>11</v>
      </c>
      <c r="P898" t="s">
        <v>2</v>
      </c>
      <c r="Q898" t="s">
        <v>408</v>
      </c>
      <c r="R898" t="s">
        <v>439</v>
      </c>
      <c r="S898" t="s">
        <v>440</v>
      </c>
      <c r="T898" t="s">
        <v>11</v>
      </c>
      <c r="U898" t="s">
        <v>408</v>
      </c>
    </row>
    <row r="899" spans="1:21" x14ac:dyDescent="0.25">
      <c r="A899">
        <v>16843348</v>
      </c>
      <c r="B899" t="s">
        <v>340</v>
      </c>
      <c r="C899" t="s">
        <v>26</v>
      </c>
      <c r="D899" t="s">
        <v>12</v>
      </c>
      <c r="E899" t="s">
        <v>734</v>
      </c>
      <c r="F899" t="s">
        <v>45</v>
      </c>
      <c r="G899" t="s">
        <v>369</v>
      </c>
      <c r="H899" t="s">
        <v>1</v>
      </c>
      <c r="I899" t="s">
        <v>469</v>
      </c>
      <c r="J899" t="s">
        <v>445</v>
      </c>
      <c r="K899" t="s">
        <v>438</v>
      </c>
      <c r="L899" t="s">
        <v>2</v>
      </c>
      <c r="M899" t="s">
        <v>408</v>
      </c>
      <c r="N899" t="s">
        <v>11</v>
      </c>
      <c r="O899" t="s">
        <v>11</v>
      </c>
      <c r="P899" t="s">
        <v>2</v>
      </c>
      <c r="Q899" t="s">
        <v>408</v>
      </c>
      <c r="R899" t="s">
        <v>439</v>
      </c>
      <c r="S899" t="s">
        <v>440</v>
      </c>
      <c r="T899" t="s">
        <v>11</v>
      </c>
      <c r="U899" t="s">
        <v>408</v>
      </c>
    </row>
    <row r="900" spans="1:21" x14ac:dyDescent="0.25">
      <c r="A900">
        <v>16843358</v>
      </c>
      <c r="B900" t="s">
        <v>340</v>
      </c>
      <c r="C900" t="s">
        <v>26</v>
      </c>
      <c r="D900" t="s">
        <v>12</v>
      </c>
      <c r="E900" t="s">
        <v>601</v>
      </c>
      <c r="F900" t="s">
        <v>29</v>
      </c>
      <c r="G900" t="s">
        <v>369</v>
      </c>
      <c r="H900" t="s">
        <v>2</v>
      </c>
      <c r="I900" t="s">
        <v>436</v>
      </c>
      <c r="J900" t="s">
        <v>443</v>
      </c>
      <c r="K900" t="s">
        <v>444</v>
      </c>
      <c r="L900" t="s">
        <v>345</v>
      </c>
      <c r="M900" t="s">
        <v>408</v>
      </c>
      <c r="N900" t="s">
        <v>11</v>
      </c>
      <c r="O900" t="s">
        <v>11</v>
      </c>
      <c r="P900" t="s">
        <v>2</v>
      </c>
      <c r="Q900" t="s">
        <v>408</v>
      </c>
      <c r="R900" t="s">
        <v>439</v>
      </c>
      <c r="S900" t="s">
        <v>440</v>
      </c>
      <c r="T900" t="s">
        <v>11</v>
      </c>
      <c r="U900" t="s">
        <v>408</v>
      </c>
    </row>
    <row r="901" spans="1:21" x14ac:dyDescent="0.25">
      <c r="A901">
        <v>16843372</v>
      </c>
      <c r="B901" t="s">
        <v>340</v>
      </c>
      <c r="C901" t="s">
        <v>26</v>
      </c>
      <c r="D901" t="s">
        <v>12</v>
      </c>
      <c r="E901" t="s">
        <v>708</v>
      </c>
      <c r="F901" t="s">
        <v>51</v>
      </c>
      <c r="G901" t="s">
        <v>369</v>
      </c>
      <c r="H901" t="s">
        <v>5</v>
      </c>
      <c r="I901" t="s">
        <v>436</v>
      </c>
      <c r="J901" t="s">
        <v>446</v>
      </c>
      <c r="K901" t="s">
        <v>438</v>
      </c>
      <c r="L901" t="s">
        <v>2</v>
      </c>
      <c r="M901" t="s">
        <v>408</v>
      </c>
      <c r="N901" t="s">
        <v>11</v>
      </c>
      <c r="O901" t="s">
        <v>11</v>
      </c>
      <c r="P901" t="s">
        <v>2</v>
      </c>
      <c r="Q901" t="s">
        <v>408</v>
      </c>
      <c r="R901" t="s">
        <v>439</v>
      </c>
      <c r="S901" t="s">
        <v>440</v>
      </c>
      <c r="T901" t="s">
        <v>11</v>
      </c>
      <c r="U901" t="s">
        <v>408</v>
      </c>
    </row>
    <row r="902" spans="1:21" x14ac:dyDescent="0.25">
      <c r="A902">
        <v>16843373</v>
      </c>
      <c r="B902" t="s">
        <v>340</v>
      </c>
      <c r="C902" t="s">
        <v>26</v>
      </c>
      <c r="D902" t="s">
        <v>12</v>
      </c>
      <c r="E902" t="s">
        <v>734</v>
      </c>
      <c r="F902" t="s">
        <v>27</v>
      </c>
      <c r="G902" t="s">
        <v>369</v>
      </c>
      <c r="H902" t="s">
        <v>5</v>
      </c>
      <c r="I902" t="s">
        <v>436</v>
      </c>
      <c r="J902" t="s">
        <v>446</v>
      </c>
      <c r="K902" t="s">
        <v>438</v>
      </c>
      <c r="L902" t="s">
        <v>2</v>
      </c>
      <c r="M902" t="s">
        <v>408</v>
      </c>
      <c r="N902" t="s">
        <v>11</v>
      </c>
      <c r="O902" t="s">
        <v>11</v>
      </c>
      <c r="P902" t="s">
        <v>2</v>
      </c>
      <c r="Q902" t="s">
        <v>408</v>
      </c>
      <c r="R902" t="s">
        <v>439</v>
      </c>
      <c r="S902" t="s">
        <v>440</v>
      </c>
      <c r="T902" t="s">
        <v>11</v>
      </c>
      <c r="U902" t="s">
        <v>408</v>
      </c>
    </row>
    <row r="903" spans="1:21" x14ac:dyDescent="0.25">
      <c r="A903">
        <v>16843376</v>
      </c>
      <c r="B903" t="s">
        <v>340</v>
      </c>
      <c r="C903" t="s">
        <v>26</v>
      </c>
      <c r="D903" t="s">
        <v>12</v>
      </c>
      <c r="E903" t="s">
        <v>734</v>
      </c>
      <c r="F903" t="s">
        <v>45</v>
      </c>
      <c r="G903" t="s">
        <v>369</v>
      </c>
      <c r="H903" t="s">
        <v>1</v>
      </c>
      <c r="I903" t="s">
        <v>469</v>
      </c>
      <c r="J903" t="s">
        <v>445</v>
      </c>
      <c r="K903" t="s">
        <v>438</v>
      </c>
      <c r="L903" t="s">
        <v>2</v>
      </c>
      <c r="M903" t="s">
        <v>408</v>
      </c>
      <c r="N903" t="s">
        <v>11</v>
      </c>
      <c r="O903" t="s">
        <v>11</v>
      </c>
      <c r="P903" t="s">
        <v>2</v>
      </c>
      <c r="Q903" t="s">
        <v>408</v>
      </c>
      <c r="R903" t="s">
        <v>439</v>
      </c>
      <c r="S903" t="s">
        <v>440</v>
      </c>
      <c r="T903" t="s">
        <v>11</v>
      </c>
      <c r="U903" t="s">
        <v>408</v>
      </c>
    </row>
    <row r="904" spans="1:21" x14ac:dyDescent="0.25">
      <c r="A904">
        <v>16843387</v>
      </c>
      <c r="B904" t="s">
        <v>340</v>
      </c>
      <c r="C904" t="s">
        <v>26</v>
      </c>
      <c r="D904" t="s">
        <v>12</v>
      </c>
      <c r="E904" t="s">
        <v>734</v>
      </c>
      <c r="F904" t="s">
        <v>45</v>
      </c>
      <c r="G904" t="s">
        <v>369</v>
      </c>
      <c r="H904" t="s">
        <v>5</v>
      </c>
      <c r="I904" t="s">
        <v>436</v>
      </c>
      <c r="J904" t="s">
        <v>446</v>
      </c>
      <c r="K904" t="s">
        <v>438</v>
      </c>
      <c r="L904" t="s">
        <v>2</v>
      </c>
      <c r="M904" t="s">
        <v>408</v>
      </c>
      <c r="N904" t="s">
        <v>11</v>
      </c>
      <c r="O904" t="s">
        <v>11</v>
      </c>
      <c r="P904" t="s">
        <v>2</v>
      </c>
      <c r="Q904" t="s">
        <v>408</v>
      </c>
      <c r="R904" t="s">
        <v>439</v>
      </c>
      <c r="S904" t="s">
        <v>440</v>
      </c>
      <c r="T904" t="s">
        <v>11</v>
      </c>
      <c r="U904" t="s">
        <v>408</v>
      </c>
    </row>
    <row r="905" spans="1:21" x14ac:dyDescent="0.25">
      <c r="A905">
        <v>16843391</v>
      </c>
      <c r="B905" t="s">
        <v>340</v>
      </c>
      <c r="C905" t="s">
        <v>26</v>
      </c>
      <c r="D905" t="s">
        <v>18</v>
      </c>
      <c r="E905" t="s">
        <v>734</v>
      </c>
      <c r="F905" t="s">
        <v>45</v>
      </c>
      <c r="G905" t="s">
        <v>369</v>
      </c>
      <c r="H905" t="s">
        <v>2</v>
      </c>
      <c r="I905" t="s">
        <v>436</v>
      </c>
      <c r="J905" t="s">
        <v>443</v>
      </c>
      <c r="K905" t="s">
        <v>444</v>
      </c>
      <c r="L905" t="s">
        <v>5</v>
      </c>
      <c r="M905" t="s">
        <v>408</v>
      </c>
      <c r="N905" t="s">
        <v>11</v>
      </c>
      <c r="O905" t="s">
        <v>11</v>
      </c>
      <c r="P905" t="s">
        <v>2</v>
      </c>
      <c r="Q905" t="s">
        <v>408</v>
      </c>
      <c r="R905" t="s">
        <v>439</v>
      </c>
      <c r="S905" t="s">
        <v>440</v>
      </c>
      <c r="T905" t="s">
        <v>11</v>
      </c>
      <c r="U905" t="s">
        <v>408</v>
      </c>
    </row>
    <row r="906" spans="1:21" x14ac:dyDescent="0.25">
      <c r="A906">
        <v>16843392</v>
      </c>
      <c r="B906" t="s">
        <v>340</v>
      </c>
      <c r="C906" t="s">
        <v>26</v>
      </c>
      <c r="D906" t="s">
        <v>12</v>
      </c>
      <c r="E906" t="s">
        <v>601</v>
      </c>
      <c r="F906" t="s">
        <v>47</v>
      </c>
      <c r="G906" t="s">
        <v>369</v>
      </c>
      <c r="H906" t="s">
        <v>2</v>
      </c>
      <c r="I906" t="s">
        <v>436</v>
      </c>
      <c r="J906" t="s">
        <v>443</v>
      </c>
      <c r="K906" t="s">
        <v>444</v>
      </c>
      <c r="L906" t="s">
        <v>5</v>
      </c>
      <c r="M906" t="s">
        <v>408</v>
      </c>
      <c r="N906" t="s">
        <v>11</v>
      </c>
      <c r="O906" t="s">
        <v>11</v>
      </c>
      <c r="P906" t="s">
        <v>2</v>
      </c>
      <c r="Q906" t="s">
        <v>408</v>
      </c>
      <c r="R906" t="s">
        <v>439</v>
      </c>
      <c r="S906" t="s">
        <v>440</v>
      </c>
      <c r="T906" t="s">
        <v>11</v>
      </c>
      <c r="U906" t="s">
        <v>408</v>
      </c>
    </row>
    <row r="907" spans="1:21" x14ac:dyDescent="0.25">
      <c r="A907">
        <v>16843394</v>
      </c>
      <c r="B907" t="s">
        <v>340</v>
      </c>
      <c r="C907" t="s">
        <v>26</v>
      </c>
      <c r="D907" t="s">
        <v>12</v>
      </c>
      <c r="E907" t="s">
        <v>734</v>
      </c>
      <c r="F907" t="s">
        <v>45</v>
      </c>
      <c r="G907" t="s">
        <v>369</v>
      </c>
      <c r="H907" t="s">
        <v>1</v>
      </c>
      <c r="I907" t="s">
        <v>469</v>
      </c>
      <c r="J907" t="s">
        <v>445</v>
      </c>
      <c r="K907" t="s">
        <v>438</v>
      </c>
      <c r="L907" t="s">
        <v>2</v>
      </c>
      <c r="M907" t="s">
        <v>408</v>
      </c>
      <c r="N907" t="s">
        <v>11</v>
      </c>
      <c r="O907" t="s">
        <v>11</v>
      </c>
      <c r="P907" t="s">
        <v>2</v>
      </c>
      <c r="Q907" t="s">
        <v>408</v>
      </c>
      <c r="R907" t="s">
        <v>439</v>
      </c>
      <c r="S907" t="s">
        <v>440</v>
      </c>
      <c r="T907" t="s">
        <v>11</v>
      </c>
      <c r="U907" t="s">
        <v>408</v>
      </c>
    </row>
    <row r="908" spans="1:21" x14ac:dyDescent="0.25">
      <c r="A908">
        <v>16843400</v>
      </c>
      <c r="B908" t="s">
        <v>340</v>
      </c>
      <c r="C908" t="s">
        <v>26</v>
      </c>
      <c r="D908" t="s">
        <v>12</v>
      </c>
      <c r="E908" t="s">
        <v>601</v>
      </c>
      <c r="F908" t="s">
        <v>29</v>
      </c>
      <c r="G908" t="s">
        <v>369</v>
      </c>
      <c r="H908" t="s">
        <v>1</v>
      </c>
      <c r="I908" t="s">
        <v>469</v>
      </c>
      <c r="J908" t="s">
        <v>445</v>
      </c>
      <c r="K908" t="s">
        <v>438</v>
      </c>
      <c r="L908" t="s">
        <v>2</v>
      </c>
      <c r="M908" t="s">
        <v>408</v>
      </c>
      <c r="N908" t="s">
        <v>11</v>
      </c>
      <c r="O908" t="s">
        <v>11</v>
      </c>
      <c r="P908" t="s">
        <v>2</v>
      </c>
      <c r="Q908" t="s">
        <v>408</v>
      </c>
      <c r="R908" t="s">
        <v>439</v>
      </c>
      <c r="S908" t="s">
        <v>440</v>
      </c>
      <c r="T908" t="s">
        <v>11</v>
      </c>
      <c r="U908" t="s">
        <v>408</v>
      </c>
    </row>
    <row r="909" spans="1:21" x14ac:dyDescent="0.25">
      <c r="A909">
        <v>16843405</v>
      </c>
      <c r="B909" t="s">
        <v>340</v>
      </c>
      <c r="C909" t="s">
        <v>26</v>
      </c>
      <c r="D909" t="s">
        <v>18</v>
      </c>
      <c r="E909" t="s">
        <v>734</v>
      </c>
      <c r="F909" t="s">
        <v>45</v>
      </c>
      <c r="G909" t="s">
        <v>369</v>
      </c>
      <c r="H909" t="s">
        <v>1</v>
      </c>
      <c r="I909" t="s">
        <v>469</v>
      </c>
      <c r="J909" t="s">
        <v>445</v>
      </c>
      <c r="K909" t="s">
        <v>438</v>
      </c>
      <c r="L909" t="s">
        <v>2</v>
      </c>
      <c r="M909" t="s">
        <v>408</v>
      </c>
      <c r="N909" t="s">
        <v>11</v>
      </c>
      <c r="O909" t="s">
        <v>11</v>
      </c>
      <c r="P909" t="s">
        <v>2</v>
      </c>
      <c r="Q909" t="s">
        <v>408</v>
      </c>
      <c r="R909" t="s">
        <v>439</v>
      </c>
      <c r="S909" t="s">
        <v>440</v>
      </c>
      <c r="T909" t="s">
        <v>11</v>
      </c>
      <c r="U909" t="s">
        <v>408</v>
      </c>
    </row>
    <row r="910" spans="1:21" x14ac:dyDescent="0.25">
      <c r="A910">
        <v>16843410</v>
      </c>
      <c r="B910" t="s">
        <v>340</v>
      </c>
      <c r="C910" t="s">
        <v>26</v>
      </c>
      <c r="D910" t="s">
        <v>12</v>
      </c>
      <c r="E910" t="s">
        <v>734</v>
      </c>
      <c r="F910" t="s">
        <v>45</v>
      </c>
      <c r="G910" t="s">
        <v>369</v>
      </c>
      <c r="H910" t="s">
        <v>1</v>
      </c>
      <c r="I910" t="s">
        <v>469</v>
      </c>
      <c r="J910" t="s">
        <v>445</v>
      </c>
      <c r="K910" t="s">
        <v>438</v>
      </c>
      <c r="L910" t="s">
        <v>2</v>
      </c>
      <c r="M910" t="s">
        <v>408</v>
      </c>
      <c r="N910" t="s">
        <v>11</v>
      </c>
      <c r="O910" t="s">
        <v>11</v>
      </c>
      <c r="P910" t="s">
        <v>2</v>
      </c>
      <c r="Q910" t="s">
        <v>408</v>
      </c>
      <c r="R910" t="s">
        <v>439</v>
      </c>
      <c r="S910" t="s">
        <v>440</v>
      </c>
      <c r="T910" t="s">
        <v>11</v>
      </c>
      <c r="U910" t="s">
        <v>408</v>
      </c>
    </row>
    <row r="911" spans="1:21" x14ac:dyDescent="0.25">
      <c r="A911">
        <v>16843416</v>
      </c>
      <c r="B911" t="s">
        <v>340</v>
      </c>
      <c r="C911" t="s">
        <v>26</v>
      </c>
      <c r="D911" t="s">
        <v>18</v>
      </c>
      <c r="E911" t="s">
        <v>601</v>
      </c>
      <c r="F911" t="s">
        <v>50</v>
      </c>
      <c r="G911" t="s">
        <v>369</v>
      </c>
      <c r="H911" t="s">
        <v>5</v>
      </c>
      <c r="I911" t="s">
        <v>436</v>
      </c>
      <c r="J911" t="s">
        <v>446</v>
      </c>
      <c r="K911" t="s">
        <v>438</v>
      </c>
      <c r="L911" t="s">
        <v>2</v>
      </c>
      <c r="M911" t="s">
        <v>408</v>
      </c>
      <c r="N911" t="s">
        <v>11</v>
      </c>
      <c r="O911" t="s">
        <v>11</v>
      </c>
      <c r="P911" t="s">
        <v>2</v>
      </c>
      <c r="Q911" t="s">
        <v>408</v>
      </c>
      <c r="R911" t="s">
        <v>439</v>
      </c>
      <c r="S911" t="s">
        <v>440</v>
      </c>
      <c r="T911" t="s">
        <v>11</v>
      </c>
      <c r="U911" t="s">
        <v>408</v>
      </c>
    </row>
    <row r="912" spans="1:21" x14ac:dyDescent="0.25">
      <c r="A912">
        <v>16843428</v>
      </c>
      <c r="B912" t="s">
        <v>340</v>
      </c>
      <c r="C912" t="s">
        <v>26</v>
      </c>
      <c r="D912" t="s">
        <v>12</v>
      </c>
      <c r="E912" t="s">
        <v>734</v>
      </c>
      <c r="F912" t="s">
        <v>27</v>
      </c>
      <c r="G912" t="s">
        <v>369</v>
      </c>
      <c r="H912" t="s">
        <v>1</v>
      </c>
      <c r="I912" t="s">
        <v>469</v>
      </c>
      <c r="J912" t="s">
        <v>445</v>
      </c>
      <c r="K912" t="s">
        <v>438</v>
      </c>
      <c r="L912" t="s">
        <v>2</v>
      </c>
      <c r="M912" t="s">
        <v>408</v>
      </c>
      <c r="N912" t="s">
        <v>11</v>
      </c>
      <c r="O912" t="s">
        <v>11</v>
      </c>
      <c r="P912" t="s">
        <v>2</v>
      </c>
      <c r="Q912" t="s">
        <v>408</v>
      </c>
      <c r="R912" t="s">
        <v>439</v>
      </c>
      <c r="S912" t="s">
        <v>440</v>
      </c>
      <c r="T912" t="s">
        <v>11</v>
      </c>
      <c r="U912" t="s">
        <v>408</v>
      </c>
    </row>
    <row r="913" spans="1:21" x14ac:dyDescent="0.25">
      <c r="A913">
        <v>16843435</v>
      </c>
      <c r="B913" t="s">
        <v>340</v>
      </c>
      <c r="C913" t="s">
        <v>26</v>
      </c>
      <c r="D913" t="s">
        <v>12</v>
      </c>
      <c r="E913" t="s">
        <v>734</v>
      </c>
      <c r="F913" t="s">
        <v>45</v>
      </c>
      <c r="G913" t="s">
        <v>369</v>
      </c>
      <c r="H913" t="s">
        <v>1</v>
      </c>
      <c r="I913" t="s">
        <v>469</v>
      </c>
      <c r="J913" t="s">
        <v>445</v>
      </c>
      <c r="K913" t="s">
        <v>438</v>
      </c>
      <c r="L913" t="s">
        <v>2</v>
      </c>
      <c r="M913" t="s">
        <v>408</v>
      </c>
      <c r="N913" t="s">
        <v>11</v>
      </c>
      <c r="O913" t="s">
        <v>11</v>
      </c>
      <c r="P913" t="s">
        <v>2</v>
      </c>
      <c r="Q913" t="s">
        <v>408</v>
      </c>
      <c r="R913" t="s">
        <v>439</v>
      </c>
      <c r="S913" t="s">
        <v>440</v>
      </c>
      <c r="T913" t="s">
        <v>11</v>
      </c>
      <c r="U913" t="s">
        <v>408</v>
      </c>
    </row>
    <row r="914" spans="1:21" x14ac:dyDescent="0.25">
      <c r="A914">
        <v>16843443</v>
      </c>
      <c r="B914" t="s">
        <v>340</v>
      </c>
      <c r="C914" t="s">
        <v>26</v>
      </c>
      <c r="D914" t="s">
        <v>12</v>
      </c>
      <c r="E914" t="s">
        <v>734</v>
      </c>
      <c r="F914" t="s">
        <v>27</v>
      </c>
      <c r="G914" t="s">
        <v>369</v>
      </c>
      <c r="H914" t="s">
        <v>2</v>
      </c>
      <c r="I914" t="s">
        <v>436</v>
      </c>
      <c r="J914" t="s">
        <v>443</v>
      </c>
      <c r="K914" t="s">
        <v>444</v>
      </c>
      <c r="L914" t="s">
        <v>345</v>
      </c>
      <c r="M914" t="s">
        <v>408</v>
      </c>
      <c r="N914" t="s">
        <v>11</v>
      </c>
      <c r="O914" t="s">
        <v>11</v>
      </c>
      <c r="P914" t="s">
        <v>2</v>
      </c>
      <c r="Q914" t="s">
        <v>408</v>
      </c>
      <c r="R914" t="s">
        <v>439</v>
      </c>
      <c r="S914" t="s">
        <v>440</v>
      </c>
      <c r="T914" t="s">
        <v>11</v>
      </c>
      <c r="U914" t="s">
        <v>408</v>
      </c>
    </row>
    <row r="915" spans="1:21" x14ac:dyDescent="0.25">
      <c r="A915">
        <v>16843449</v>
      </c>
      <c r="B915" t="s">
        <v>340</v>
      </c>
      <c r="C915" t="s">
        <v>26</v>
      </c>
      <c r="D915" t="s">
        <v>12</v>
      </c>
      <c r="E915" t="s">
        <v>734</v>
      </c>
      <c r="F915" t="s">
        <v>27</v>
      </c>
      <c r="G915" t="s">
        <v>369</v>
      </c>
      <c r="H915" t="s">
        <v>370</v>
      </c>
      <c r="I915" t="s">
        <v>721</v>
      </c>
      <c r="J915" t="s">
        <v>455</v>
      </c>
      <c r="K915" t="s">
        <v>453</v>
      </c>
      <c r="L915" t="s">
        <v>367</v>
      </c>
      <c r="M915" t="s">
        <v>408</v>
      </c>
      <c r="N915" t="s">
        <v>11</v>
      </c>
      <c r="O915" t="s">
        <v>11</v>
      </c>
      <c r="P915" t="s">
        <v>2</v>
      </c>
      <c r="Q915" t="s">
        <v>408</v>
      </c>
      <c r="R915" t="s">
        <v>439</v>
      </c>
      <c r="S915" t="s">
        <v>451</v>
      </c>
      <c r="T915" t="s">
        <v>11</v>
      </c>
      <c r="U915" t="s">
        <v>408</v>
      </c>
    </row>
    <row r="916" spans="1:21" x14ac:dyDescent="0.25">
      <c r="A916">
        <v>16843462</v>
      </c>
      <c r="B916" t="s">
        <v>340</v>
      </c>
      <c r="C916" t="s">
        <v>26</v>
      </c>
      <c r="D916" t="s">
        <v>12</v>
      </c>
      <c r="E916" t="s">
        <v>734</v>
      </c>
      <c r="F916" t="s">
        <v>27</v>
      </c>
      <c r="G916" t="s">
        <v>369</v>
      </c>
      <c r="H916" t="s">
        <v>2</v>
      </c>
      <c r="I916" t="s">
        <v>436</v>
      </c>
      <c r="J916" t="s">
        <v>443</v>
      </c>
      <c r="K916" t="s">
        <v>444</v>
      </c>
      <c r="L916" t="s">
        <v>5</v>
      </c>
      <c r="M916" t="s">
        <v>408</v>
      </c>
      <c r="N916" t="s">
        <v>11</v>
      </c>
      <c r="O916" t="s">
        <v>11</v>
      </c>
      <c r="P916" t="s">
        <v>2</v>
      </c>
      <c r="Q916" t="s">
        <v>408</v>
      </c>
      <c r="R916" t="s">
        <v>439</v>
      </c>
      <c r="S916" t="s">
        <v>440</v>
      </c>
      <c r="T916" t="s">
        <v>11</v>
      </c>
      <c r="U916" t="s">
        <v>408</v>
      </c>
    </row>
    <row r="917" spans="1:21" x14ac:dyDescent="0.25">
      <c r="A917">
        <v>16843463</v>
      </c>
      <c r="B917" t="s">
        <v>340</v>
      </c>
      <c r="C917" t="s">
        <v>26</v>
      </c>
      <c r="D917" t="s">
        <v>12</v>
      </c>
      <c r="E917" t="s">
        <v>734</v>
      </c>
      <c r="F917" t="s">
        <v>27</v>
      </c>
      <c r="G917" t="s">
        <v>369</v>
      </c>
      <c r="H917" t="s">
        <v>1</v>
      </c>
      <c r="I917" t="s">
        <v>469</v>
      </c>
      <c r="J917" t="s">
        <v>445</v>
      </c>
      <c r="K917" t="s">
        <v>438</v>
      </c>
      <c r="L917" t="s">
        <v>2</v>
      </c>
      <c r="M917" t="s">
        <v>408</v>
      </c>
      <c r="N917" t="s">
        <v>11</v>
      </c>
      <c r="O917" t="s">
        <v>11</v>
      </c>
      <c r="P917" t="s">
        <v>2</v>
      </c>
      <c r="Q917" t="s">
        <v>408</v>
      </c>
      <c r="R917" t="s">
        <v>439</v>
      </c>
      <c r="S917" t="s">
        <v>440</v>
      </c>
      <c r="T917" t="s">
        <v>11</v>
      </c>
      <c r="U917" t="s">
        <v>408</v>
      </c>
    </row>
    <row r="918" spans="1:21" x14ac:dyDescent="0.25">
      <c r="A918">
        <v>16843464</v>
      </c>
      <c r="B918" t="s">
        <v>340</v>
      </c>
      <c r="C918" t="s">
        <v>26</v>
      </c>
      <c r="D918" t="s">
        <v>18</v>
      </c>
      <c r="E918" t="s">
        <v>734</v>
      </c>
      <c r="F918" t="s">
        <v>27</v>
      </c>
      <c r="G918" t="s">
        <v>369</v>
      </c>
      <c r="H918" t="s">
        <v>5</v>
      </c>
      <c r="I918" t="s">
        <v>436</v>
      </c>
      <c r="J918" t="s">
        <v>446</v>
      </c>
      <c r="K918" t="s">
        <v>438</v>
      </c>
      <c r="L918" t="s">
        <v>2</v>
      </c>
      <c r="M918" t="s">
        <v>408</v>
      </c>
      <c r="N918" t="s">
        <v>11</v>
      </c>
      <c r="O918" t="s">
        <v>11</v>
      </c>
      <c r="P918" t="s">
        <v>2</v>
      </c>
      <c r="Q918" t="s">
        <v>408</v>
      </c>
      <c r="R918" t="s">
        <v>439</v>
      </c>
      <c r="S918" t="s">
        <v>440</v>
      </c>
      <c r="T918" t="s">
        <v>11</v>
      </c>
      <c r="U918" t="s">
        <v>408</v>
      </c>
    </row>
    <row r="919" spans="1:21" x14ac:dyDescent="0.25">
      <c r="A919">
        <v>16843465</v>
      </c>
      <c r="B919" t="s">
        <v>340</v>
      </c>
      <c r="C919" t="s">
        <v>26</v>
      </c>
      <c r="D919" t="s">
        <v>12</v>
      </c>
      <c r="E919" t="s">
        <v>734</v>
      </c>
      <c r="F919" t="s">
        <v>45</v>
      </c>
      <c r="G919" t="s">
        <v>369</v>
      </c>
      <c r="H919" t="s">
        <v>350</v>
      </c>
      <c r="I919" t="s">
        <v>436</v>
      </c>
      <c r="J919" t="s">
        <v>566</v>
      </c>
      <c r="K919" t="s">
        <v>701</v>
      </c>
      <c r="L919" t="s">
        <v>3</v>
      </c>
      <c r="M919" t="s">
        <v>408</v>
      </c>
      <c r="N919" t="s">
        <v>11</v>
      </c>
      <c r="O919" t="s">
        <v>11</v>
      </c>
      <c r="P919" t="s">
        <v>2</v>
      </c>
      <c r="Q919" t="s">
        <v>408</v>
      </c>
      <c r="R919" t="s">
        <v>439</v>
      </c>
      <c r="S919" t="s">
        <v>440</v>
      </c>
      <c r="T919" t="s">
        <v>11</v>
      </c>
      <c r="U919" t="s">
        <v>408</v>
      </c>
    </row>
    <row r="920" spans="1:21" x14ac:dyDescent="0.25">
      <c r="A920">
        <v>16843474</v>
      </c>
      <c r="B920" t="s">
        <v>340</v>
      </c>
      <c r="C920" t="s">
        <v>26</v>
      </c>
      <c r="D920" t="s">
        <v>12</v>
      </c>
      <c r="E920" t="s">
        <v>734</v>
      </c>
      <c r="F920" t="s">
        <v>27</v>
      </c>
      <c r="G920" t="s">
        <v>369</v>
      </c>
      <c r="H920" t="s">
        <v>1</v>
      </c>
      <c r="I920" t="s">
        <v>469</v>
      </c>
      <c r="J920" t="s">
        <v>445</v>
      </c>
      <c r="K920" t="s">
        <v>438</v>
      </c>
      <c r="L920" t="s">
        <v>2</v>
      </c>
      <c r="M920" t="s">
        <v>408</v>
      </c>
      <c r="N920" t="s">
        <v>11</v>
      </c>
      <c r="O920" t="s">
        <v>11</v>
      </c>
      <c r="P920" t="s">
        <v>2</v>
      </c>
      <c r="Q920" t="s">
        <v>408</v>
      </c>
      <c r="R920" t="s">
        <v>439</v>
      </c>
      <c r="S920" t="s">
        <v>440</v>
      </c>
      <c r="T920" t="s">
        <v>11</v>
      </c>
      <c r="U920" t="s">
        <v>408</v>
      </c>
    </row>
    <row r="921" spans="1:21" x14ac:dyDescent="0.25">
      <c r="A921">
        <v>16843481</v>
      </c>
      <c r="B921" t="s">
        <v>340</v>
      </c>
      <c r="C921" t="s">
        <v>26</v>
      </c>
      <c r="D921" t="s">
        <v>12</v>
      </c>
      <c r="E921" t="s">
        <v>734</v>
      </c>
      <c r="F921" t="s">
        <v>27</v>
      </c>
      <c r="G921" t="s">
        <v>369</v>
      </c>
      <c r="H921" t="s">
        <v>2</v>
      </c>
      <c r="I921" t="s">
        <v>436</v>
      </c>
      <c r="J921" t="s">
        <v>443</v>
      </c>
      <c r="K921" t="s">
        <v>444</v>
      </c>
      <c r="L921" t="s">
        <v>345</v>
      </c>
      <c r="M921" t="s">
        <v>408</v>
      </c>
      <c r="N921" t="s">
        <v>11</v>
      </c>
      <c r="O921" t="s">
        <v>11</v>
      </c>
      <c r="P921" t="s">
        <v>2</v>
      </c>
      <c r="Q921" t="s">
        <v>408</v>
      </c>
      <c r="R921" t="s">
        <v>439</v>
      </c>
      <c r="S921" t="s">
        <v>440</v>
      </c>
      <c r="T921" t="s">
        <v>11</v>
      </c>
      <c r="U921" t="s">
        <v>408</v>
      </c>
    </row>
    <row r="922" spans="1:21" x14ac:dyDescent="0.25">
      <c r="A922">
        <v>16843493</v>
      </c>
      <c r="B922" t="s">
        <v>340</v>
      </c>
      <c r="C922" t="s">
        <v>26</v>
      </c>
      <c r="D922" t="s">
        <v>12</v>
      </c>
      <c r="E922" t="s">
        <v>734</v>
      </c>
      <c r="F922" t="s">
        <v>45</v>
      </c>
      <c r="G922" t="s">
        <v>369</v>
      </c>
      <c r="H922" t="s">
        <v>1</v>
      </c>
      <c r="I922" t="s">
        <v>469</v>
      </c>
      <c r="J922" t="s">
        <v>445</v>
      </c>
      <c r="K922" t="s">
        <v>438</v>
      </c>
      <c r="L922" t="s">
        <v>2</v>
      </c>
      <c r="M922" t="s">
        <v>408</v>
      </c>
      <c r="N922" t="s">
        <v>11</v>
      </c>
      <c r="O922" t="s">
        <v>11</v>
      </c>
      <c r="P922" t="s">
        <v>2</v>
      </c>
      <c r="Q922" t="s">
        <v>408</v>
      </c>
      <c r="R922" t="s">
        <v>439</v>
      </c>
      <c r="S922" t="s">
        <v>440</v>
      </c>
      <c r="T922" t="s">
        <v>11</v>
      </c>
      <c r="U922" t="s">
        <v>408</v>
      </c>
    </row>
    <row r="923" spans="1:21" x14ac:dyDescent="0.25">
      <c r="A923">
        <v>16843504</v>
      </c>
      <c r="B923" t="s">
        <v>340</v>
      </c>
      <c r="C923" t="s">
        <v>26</v>
      </c>
      <c r="D923" t="s">
        <v>12</v>
      </c>
      <c r="E923" t="s">
        <v>601</v>
      </c>
      <c r="F923" t="s">
        <v>47</v>
      </c>
      <c r="G923" t="s">
        <v>369</v>
      </c>
      <c r="H923" t="s">
        <v>5</v>
      </c>
      <c r="I923" t="s">
        <v>436</v>
      </c>
      <c r="J923" t="s">
        <v>446</v>
      </c>
      <c r="K923" t="s">
        <v>438</v>
      </c>
      <c r="L923" t="s">
        <v>2</v>
      </c>
      <c r="M923" t="s">
        <v>408</v>
      </c>
      <c r="N923" t="s">
        <v>11</v>
      </c>
      <c r="O923" t="s">
        <v>408</v>
      </c>
      <c r="P923" t="s">
        <v>0</v>
      </c>
      <c r="Q923" t="s">
        <v>408</v>
      </c>
      <c r="R923" t="s">
        <v>439</v>
      </c>
      <c r="S923" t="s">
        <v>440</v>
      </c>
      <c r="T923" t="s">
        <v>11</v>
      </c>
      <c r="U923" t="s">
        <v>408</v>
      </c>
    </row>
    <row r="924" spans="1:21" x14ac:dyDescent="0.25">
      <c r="A924">
        <v>16843507</v>
      </c>
      <c r="B924" t="s">
        <v>340</v>
      </c>
      <c r="C924" t="s">
        <v>26</v>
      </c>
      <c r="D924" t="s">
        <v>12</v>
      </c>
      <c r="E924" t="s">
        <v>503</v>
      </c>
      <c r="F924" t="s">
        <v>48</v>
      </c>
      <c r="G924" t="s">
        <v>369</v>
      </c>
      <c r="H924" t="s">
        <v>5</v>
      </c>
      <c r="I924" t="s">
        <v>436</v>
      </c>
      <c r="J924" t="s">
        <v>446</v>
      </c>
      <c r="K924" t="s">
        <v>438</v>
      </c>
      <c r="L924" t="s">
        <v>2</v>
      </c>
      <c r="M924" t="s">
        <v>408</v>
      </c>
      <c r="N924" t="s">
        <v>11</v>
      </c>
      <c r="O924" t="s">
        <v>408</v>
      </c>
      <c r="P924" t="s">
        <v>0</v>
      </c>
      <c r="Q924" t="s">
        <v>408</v>
      </c>
      <c r="R924" t="s">
        <v>439</v>
      </c>
      <c r="S924" t="s">
        <v>440</v>
      </c>
      <c r="T924" t="s">
        <v>11</v>
      </c>
      <c r="U924" t="s">
        <v>408</v>
      </c>
    </row>
    <row r="925" spans="1:21" x14ac:dyDescent="0.25">
      <c r="A925">
        <v>16843508</v>
      </c>
      <c r="B925" t="s">
        <v>340</v>
      </c>
      <c r="C925" t="s">
        <v>26</v>
      </c>
      <c r="D925" t="s">
        <v>12</v>
      </c>
      <c r="E925" t="s">
        <v>601</v>
      </c>
      <c r="F925" t="s">
        <v>47</v>
      </c>
      <c r="G925" t="s">
        <v>369</v>
      </c>
      <c r="H925" t="s">
        <v>5</v>
      </c>
      <c r="I925" t="s">
        <v>436</v>
      </c>
      <c r="J925" t="s">
        <v>446</v>
      </c>
      <c r="K925" t="s">
        <v>438</v>
      </c>
      <c r="L925" t="s">
        <v>2</v>
      </c>
      <c r="M925" t="s">
        <v>408</v>
      </c>
      <c r="N925" t="s">
        <v>11</v>
      </c>
      <c r="O925" t="s">
        <v>408</v>
      </c>
      <c r="P925" t="s">
        <v>0</v>
      </c>
      <c r="Q925" t="s">
        <v>408</v>
      </c>
      <c r="R925" t="s">
        <v>439</v>
      </c>
      <c r="S925" t="s">
        <v>440</v>
      </c>
      <c r="T925" t="s">
        <v>11</v>
      </c>
      <c r="U925" t="s">
        <v>408</v>
      </c>
    </row>
    <row r="926" spans="1:21" x14ac:dyDescent="0.25">
      <c r="A926">
        <v>16843512</v>
      </c>
      <c r="B926" t="s">
        <v>340</v>
      </c>
      <c r="C926" t="s">
        <v>26</v>
      </c>
      <c r="D926" t="s">
        <v>12</v>
      </c>
      <c r="E926" t="s">
        <v>601</v>
      </c>
      <c r="F926" t="s">
        <v>108</v>
      </c>
      <c r="G926" t="s">
        <v>369</v>
      </c>
      <c r="H926" t="s">
        <v>2</v>
      </c>
      <c r="I926" t="s">
        <v>436</v>
      </c>
      <c r="J926" t="s">
        <v>443</v>
      </c>
      <c r="K926" t="s">
        <v>444</v>
      </c>
      <c r="L926" t="s">
        <v>345</v>
      </c>
      <c r="M926" t="s">
        <v>408</v>
      </c>
      <c r="N926" t="s">
        <v>408</v>
      </c>
      <c r="O926" t="s">
        <v>11</v>
      </c>
      <c r="P926" t="s">
        <v>2</v>
      </c>
      <c r="Q926" t="s">
        <v>408</v>
      </c>
      <c r="R926" t="s">
        <v>439</v>
      </c>
      <c r="S926" t="s">
        <v>440</v>
      </c>
      <c r="T926" t="s">
        <v>408</v>
      </c>
      <c r="U926" t="s">
        <v>408</v>
      </c>
    </row>
    <row r="927" spans="1:21" x14ac:dyDescent="0.25">
      <c r="A927">
        <v>16843524</v>
      </c>
      <c r="B927" t="s">
        <v>340</v>
      </c>
      <c r="C927" t="s">
        <v>26</v>
      </c>
      <c r="D927" t="s">
        <v>12</v>
      </c>
      <c r="E927" t="s">
        <v>743</v>
      </c>
      <c r="F927" t="s">
        <v>46</v>
      </c>
      <c r="G927" t="s">
        <v>369</v>
      </c>
      <c r="H927" t="s">
        <v>1</v>
      </c>
      <c r="I927" t="s">
        <v>469</v>
      </c>
      <c r="J927" t="s">
        <v>445</v>
      </c>
      <c r="K927" t="s">
        <v>438</v>
      </c>
      <c r="L927" t="s">
        <v>2</v>
      </c>
      <c r="M927" t="s">
        <v>408</v>
      </c>
      <c r="N927" t="s">
        <v>11</v>
      </c>
      <c r="O927" t="s">
        <v>11</v>
      </c>
      <c r="P927" t="s">
        <v>2</v>
      </c>
      <c r="Q927" t="s">
        <v>408</v>
      </c>
      <c r="R927" t="s">
        <v>439</v>
      </c>
      <c r="S927" t="s">
        <v>440</v>
      </c>
      <c r="T927" t="s">
        <v>11</v>
      </c>
      <c r="U927" t="s">
        <v>408</v>
      </c>
    </row>
    <row r="928" spans="1:21" x14ac:dyDescent="0.25">
      <c r="A928">
        <v>16843542</v>
      </c>
      <c r="B928" t="s">
        <v>340</v>
      </c>
      <c r="C928" t="s">
        <v>26</v>
      </c>
      <c r="D928" t="s">
        <v>12</v>
      </c>
      <c r="E928" t="s">
        <v>734</v>
      </c>
      <c r="F928" t="s">
        <v>45</v>
      </c>
      <c r="G928" t="s">
        <v>369</v>
      </c>
      <c r="H928" t="s">
        <v>744</v>
      </c>
      <c r="I928" t="s">
        <v>745</v>
      </c>
      <c r="J928" t="s">
        <v>746</v>
      </c>
      <c r="K928" t="s">
        <v>442</v>
      </c>
      <c r="L928" t="s">
        <v>2</v>
      </c>
      <c r="M928" t="s">
        <v>408</v>
      </c>
      <c r="N928" t="s">
        <v>408</v>
      </c>
      <c r="O928" t="s">
        <v>11</v>
      </c>
      <c r="P928" t="s">
        <v>2</v>
      </c>
      <c r="Q928" t="s">
        <v>408</v>
      </c>
      <c r="R928" t="s">
        <v>439</v>
      </c>
      <c r="S928" t="s">
        <v>440</v>
      </c>
      <c r="T928" t="s">
        <v>408</v>
      </c>
      <c r="U928" t="s">
        <v>408</v>
      </c>
    </row>
    <row r="929" spans="1:21" x14ac:dyDescent="0.25">
      <c r="A929">
        <v>16843552</v>
      </c>
      <c r="B929" t="s">
        <v>340</v>
      </c>
      <c r="C929" t="s">
        <v>26</v>
      </c>
      <c r="D929" t="s">
        <v>12</v>
      </c>
      <c r="E929" t="s">
        <v>734</v>
      </c>
      <c r="F929" t="s">
        <v>44</v>
      </c>
      <c r="G929" t="s">
        <v>369</v>
      </c>
      <c r="H929" t="s">
        <v>5</v>
      </c>
      <c r="I929" t="s">
        <v>436</v>
      </c>
      <c r="J929" t="s">
        <v>446</v>
      </c>
      <c r="K929" t="s">
        <v>438</v>
      </c>
      <c r="L929" t="s">
        <v>2</v>
      </c>
      <c r="M929" t="s">
        <v>408</v>
      </c>
      <c r="N929" t="s">
        <v>408</v>
      </c>
      <c r="O929" t="s">
        <v>11</v>
      </c>
      <c r="P929" t="s">
        <v>2</v>
      </c>
      <c r="Q929" t="s">
        <v>408</v>
      </c>
      <c r="R929" t="s">
        <v>439</v>
      </c>
      <c r="S929" t="s">
        <v>440</v>
      </c>
      <c r="T929" t="s">
        <v>408</v>
      </c>
      <c r="U929" t="s">
        <v>408</v>
      </c>
    </row>
    <row r="930" spans="1:21" x14ac:dyDescent="0.25">
      <c r="A930">
        <v>16843556</v>
      </c>
      <c r="B930" t="s">
        <v>340</v>
      </c>
      <c r="C930" t="s">
        <v>26</v>
      </c>
      <c r="D930" t="s">
        <v>12</v>
      </c>
      <c r="E930" t="s">
        <v>465</v>
      </c>
      <c r="F930" t="s">
        <v>43</v>
      </c>
      <c r="G930" t="s">
        <v>369</v>
      </c>
      <c r="H930" t="s">
        <v>5</v>
      </c>
      <c r="I930" t="s">
        <v>436</v>
      </c>
      <c r="J930" t="s">
        <v>446</v>
      </c>
      <c r="K930" t="s">
        <v>438</v>
      </c>
      <c r="L930" t="s">
        <v>2</v>
      </c>
      <c r="M930" t="s">
        <v>408</v>
      </c>
      <c r="N930" t="s">
        <v>11</v>
      </c>
      <c r="O930" t="s">
        <v>11</v>
      </c>
      <c r="P930" t="s">
        <v>2</v>
      </c>
      <c r="Q930" t="s">
        <v>408</v>
      </c>
      <c r="R930" t="s">
        <v>439</v>
      </c>
      <c r="S930" t="s">
        <v>440</v>
      </c>
      <c r="T930" t="s">
        <v>11</v>
      </c>
      <c r="U930" t="s">
        <v>408</v>
      </c>
    </row>
    <row r="931" spans="1:21" x14ac:dyDescent="0.25">
      <c r="A931">
        <v>16843618</v>
      </c>
      <c r="B931" t="s">
        <v>342</v>
      </c>
      <c r="C931" t="s">
        <v>33</v>
      </c>
      <c r="D931" t="s">
        <v>12</v>
      </c>
      <c r="E931" t="s">
        <v>740</v>
      </c>
      <c r="F931" t="s">
        <v>58</v>
      </c>
      <c r="G931" t="s">
        <v>369</v>
      </c>
      <c r="H931" t="s">
        <v>0</v>
      </c>
      <c r="I931" t="s">
        <v>436</v>
      </c>
      <c r="J931" t="s">
        <v>437</v>
      </c>
      <c r="K931" t="s">
        <v>438</v>
      </c>
      <c r="L931" t="s">
        <v>345</v>
      </c>
      <c r="M931" t="s">
        <v>408</v>
      </c>
      <c r="N931" t="s">
        <v>11</v>
      </c>
      <c r="O931" t="s">
        <v>11</v>
      </c>
      <c r="P931" t="s">
        <v>0</v>
      </c>
      <c r="Q931" t="s">
        <v>408</v>
      </c>
      <c r="R931" t="s">
        <v>439</v>
      </c>
      <c r="S931" t="s">
        <v>440</v>
      </c>
      <c r="T931" t="s">
        <v>11</v>
      </c>
      <c r="U931" t="s">
        <v>408</v>
      </c>
    </row>
    <row r="932" spans="1:21" x14ac:dyDescent="0.25">
      <c r="A932">
        <v>16843622</v>
      </c>
      <c r="B932" t="s">
        <v>342</v>
      </c>
      <c r="C932" t="s">
        <v>33</v>
      </c>
      <c r="D932" t="s">
        <v>12</v>
      </c>
      <c r="E932" t="s">
        <v>740</v>
      </c>
      <c r="F932" t="s">
        <v>59</v>
      </c>
      <c r="G932" t="s">
        <v>369</v>
      </c>
      <c r="H932" t="s">
        <v>0</v>
      </c>
      <c r="I932" t="s">
        <v>436</v>
      </c>
      <c r="J932" t="s">
        <v>437</v>
      </c>
      <c r="K932" t="s">
        <v>438</v>
      </c>
      <c r="L932" t="s">
        <v>345</v>
      </c>
      <c r="M932" t="s">
        <v>408</v>
      </c>
      <c r="N932" t="s">
        <v>11</v>
      </c>
      <c r="O932" t="s">
        <v>11</v>
      </c>
      <c r="P932" t="s">
        <v>0</v>
      </c>
      <c r="Q932" t="s">
        <v>408</v>
      </c>
      <c r="R932" t="s">
        <v>439</v>
      </c>
      <c r="S932" t="s">
        <v>440</v>
      </c>
      <c r="T932" t="s">
        <v>11</v>
      </c>
      <c r="U932" t="s">
        <v>408</v>
      </c>
    </row>
    <row r="933" spans="1:21" x14ac:dyDescent="0.25">
      <c r="A933">
        <v>16843635</v>
      </c>
      <c r="B933" t="s">
        <v>342</v>
      </c>
      <c r="C933" t="s">
        <v>33</v>
      </c>
      <c r="D933" t="s">
        <v>12</v>
      </c>
      <c r="E933" t="s">
        <v>622</v>
      </c>
      <c r="F933" t="s">
        <v>210</v>
      </c>
      <c r="G933" t="s">
        <v>369</v>
      </c>
      <c r="H933" t="s">
        <v>0</v>
      </c>
      <c r="I933" t="s">
        <v>436</v>
      </c>
      <c r="J933" t="s">
        <v>437</v>
      </c>
      <c r="K933" t="s">
        <v>438</v>
      </c>
      <c r="L933" t="s">
        <v>345</v>
      </c>
      <c r="M933" t="s">
        <v>408</v>
      </c>
      <c r="N933" t="s">
        <v>11</v>
      </c>
      <c r="O933" t="s">
        <v>11</v>
      </c>
      <c r="P933" t="s">
        <v>0</v>
      </c>
      <c r="Q933" t="s">
        <v>408</v>
      </c>
      <c r="R933" t="s">
        <v>439</v>
      </c>
      <c r="S933" t="s">
        <v>440</v>
      </c>
      <c r="T933" t="s">
        <v>11</v>
      </c>
      <c r="U933" t="s">
        <v>408</v>
      </c>
    </row>
    <row r="934" spans="1:21" x14ac:dyDescent="0.25">
      <c r="A934">
        <v>18071569</v>
      </c>
      <c r="B934" t="s">
        <v>342</v>
      </c>
      <c r="C934" t="s">
        <v>33</v>
      </c>
      <c r="D934" t="s">
        <v>12</v>
      </c>
      <c r="E934" t="s">
        <v>732</v>
      </c>
      <c r="F934" t="s">
        <v>248</v>
      </c>
      <c r="G934" t="s">
        <v>369</v>
      </c>
      <c r="H934" t="s">
        <v>1</v>
      </c>
      <c r="I934" t="s">
        <v>469</v>
      </c>
      <c r="J934" t="s">
        <v>445</v>
      </c>
      <c r="K934" t="s">
        <v>438</v>
      </c>
      <c r="L934" t="s">
        <v>0</v>
      </c>
      <c r="M934" t="s">
        <v>408</v>
      </c>
      <c r="N934" t="s">
        <v>11</v>
      </c>
      <c r="O934" t="s">
        <v>11</v>
      </c>
      <c r="P934" t="s">
        <v>77</v>
      </c>
      <c r="Q934" t="s">
        <v>408</v>
      </c>
      <c r="R934" t="s">
        <v>439</v>
      </c>
      <c r="S934" t="s">
        <v>440</v>
      </c>
      <c r="T934" t="s">
        <v>11</v>
      </c>
      <c r="U934" t="s">
        <v>408</v>
      </c>
    </row>
    <row r="935" spans="1:21" x14ac:dyDescent="0.25">
      <c r="A935">
        <v>18072802</v>
      </c>
      <c r="B935" t="s">
        <v>342</v>
      </c>
      <c r="C935" t="s">
        <v>33</v>
      </c>
      <c r="D935" t="s">
        <v>12</v>
      </c>
      <c r="E935" t="s">
        <v>538</v>
      </c>
      <c r="F935" t="s">
        <v>34</v>
      </c>
      <c r="G935" t="s">
        <v>369</v>
      </c>
      <c r="H935" t="s">
        <v>0</v>
      </c>
      <c r="I935" t="s">
        <v>436</v>
      </c>
      <c r="J935" t="s">
        <v>437</v>
      </c>
      <c r="K935" t="s">
        <v>438</v>
      </c>
      <c r="L935" t="s">
        <v>349</v>
      </c>
      <c r="M935" t="s">
        <v>408</v>
      </c>
      <c r="N935" t="s">
        <v>11</v>
      </c>
      <c r="O935" t="s">
        <v>11</v>
      </c>
      <c r="P935" t="s">
        <v>349</v>
      </c>
      <c r="Q935" t="s">
        <v>408</v>
      </c>
      <c r="R935" t="s">
        <v>439</v>
      </c>
      <c r="S935" t="s">
        <v>440</v>
      </c>
      <c r="T935" t="s">
        <v>11</v>
      </c>
      <c r="U935" t="s">
        <v>408</v>
      </c>
    </row>
    <row r="936" spans="1:21" x14ac:dyDescent="0.25">
      <c r="A936">
        <v>18072806</v>
      </c>
      <c r="B936" t="s">
        <v>342</v>
      </c>
      <c r="C936" t="s">
        <v>33</v>
      </c>
      <c r="D936" t="s">
        <v>12</v>
      </c>
      <c r="E936" t="s">
        <v>538</v>
      </c>
      <c r="F936" t="s">
        <v>34</v>
      </c>
      <c r="G936" t="s">
        <v>369</v>
      </c>
      <c r="H936" t="s">
        <v>0</v>
      </c>
      <c r="I936" t="s">
        <v>436</v>
      </c>
      <c r="J936" t="s">
        <v>437</v>
      </c>
      <c r="K936" t="s">
        <v>438</v>
      </c>
      <c r="L936" t="s">
        <v>4</v>
      </c>
      <c r="M936" t="s">
        <v>408</v>
      </c>
      <c r="N936" t="s">
        <v>11</v>
      </c>
      <c r="O936" t="s">
        <v>11</v>
      </c>
      <c r="P936" t="s">
        <v>349</v>
      </c>
      <c r="Q936" t="s">
        <v>408</v>
      </c>
      <c r="R936" t="s">
        <v>439</v>
      </c>
      <c r="S936" t="s">
        <v>440</v>
      </c>
      <c r="T936" t="s">
        <v>11</v>
      </c>
      <c r="U936" t="s">
        <v>408</v>
      </c>
    </row>
    <row r="937" spans="1:21" x14ac:dyDescent="0.25">
      <c r="A937">
        <v>18072813</v>
      </c>
      <c r="B937" t="s">
        <v>342</v>
      </c>
      <c r="C937" t="s">
        <v>33</v>
      </c>
      <c r="D937" t="s">
        <v>12</v>
      </c>
      <c r="E937" t="s">
        <v>538</v>
      </c>
      <c r="F937" t="s">
        <v>34</v>
      </c>
      <c r="G937" t="s">
        <v>369</v>
      </c>
      <c r="H937" t="s">
        <v>0</v>
      </c>
      <c r="I937" t="s">
        <v>436</v>
      </c>
      <c r="J937" t="s">
        <v>437</v>
      </c>
      <c r="K937" t="s">
        <v>438</v>
      </c>
      <c r="L937" t="s">
        <v>78</v>
      </c>
      <c r="M937" t="s">
        <v>408</v>
      </c>
      <c r="N937" t="s">
        <v>11</v>
      </c>
      <c r="O937" t="s">
        <v>11</v>
      </c>
      <c r="P937" t="s">
        <v>349</v>
      </c>
      <c r="Q937" t="s">
        <v>408</v>
      </c>
      <c r="R937" t="s">
        <v>439</v>
      </c>
      <c r="S937" t="s">
        <v>440</v>
      </c>
      <c r="T937" t="s">
        <v>11</v>
      </c>
      <c r="U937" t="s">
        <v>408</v>
      </c>
    </row>
    <row r="938" spans="1:21" x14ac:dyDescent="0.25">
      <c r="A938">
        <v>18072814</v>
      </c>
      <c r="B938" t="s">
        <v>340</v>
      </c>
      <c r="C938" t="s">
        <v>26</v>
      </c>
      <c r="D938" t="s">
        <v>12</v>
      </c>
      <c r="E938" t="s">
        <v>538</v>
      </c>
      <c r="F938" t="s">
        <v>34</v>
      </c>
      <c r="G938" t="s">
        <v>369</v>
      </c>
      <c r="H938" t="s">
        <v>0</v>
      </c>
      <c r="I938" t="s">
        <v>436</v>
      </c>
      <c r="J938" t="s">
        <v>437</v>
      </c>
      <c r="K938" t="s">
        <v>438</v>
      </c>
      <c r="L938" t="s">
        <v>78</v>
      </c>
      <c r="M938" t="s">
        <v>408</v>
      </c>
      <c r="N938" t="s">
        <v>11</v>
      </c>
      <c r="O938" t="s">
        <v>408</v>
      </c>
      <c r="P938" t="s">
        <v>349</v>
      </c>
      <c r="Q938" t="s">
        <v>408</v>
      </c>
      <c r="R938" t="s">
        <v>439</v>
      </c>
      <c r="S938" t="s">
        <v>440</v>
      </c>
      <c r="T938" t="s">
        <v>11</v>
      </c>
      <c r="U938" t="s">
        <v>408</v>
      </c>
    </row>
    <row r="939" spans="1:21" x14ac:dyDescent="0.25">
      <c r="A939">
        <v>18072820</v>
      </c>
      <c r="B939" t="s">
        <v>342</v>
      </c>
      <c r="C939" t="s">
        <v>33</v>
      </c>
      <c r="D939" t="s">
        <v>12</v>
      </c>
      <c r="E939" t="s">
        <v>538</v>
      </c>
      <c r="F939" t="s">
        <v>34</v>
      </c>
      <c r="G939" t="s">
        <v>369</v>
      </c>
      <c r="H939" t="s">
        <v>0</v>
      </c>
      <c r="I939" t="s">
        <v>436</v>
      </c>
      <c r="J939" t="s">
        <v>437</v>
      </c>
      <c r="K939" t="s">
        <v>438</v>
      </c>
      <c r="L939" t="s">
        <v>2</v>
      </c>
      <c r="M939" t="s">
        <v>408</v>
      </c>
      <c r="N939" t="s">
        <v>11</v>
      </c>
      <c r="O939" t="s">
        <v>11</v>
      </c>
      <c r="P939" t="s">
        <v>349</v>
      </c>
      <c r="Q939" t="s">
        <v>408</v>
      </c>
      <c r="R939" t="s">
        <v>439</v>
      </c>
      <c r="S939" t="s">
        <v>440</v>
      </c>
      <c r="T939" t="s">
        <v>11</v>
      </c>
      <c r="U939" t="s">
        <v>408</v>
      </c>
    </row>
    <row r="940" spans="1:21" x14ac:dyDescent="0.25">
      <c r="A940">
        <v>18072823</v>
      </c>
      <c r="B940" t="s">
        <v>342</v>
      </c>
      <c r="C940" t="s">
        <v>33</v>
      </c>
      <c r="D940" t="s">
        <v>12</v>
      </c>
      <c r="E940" t="s">
        <v>538</v>
      </c>
      <c r="F940" t="s">
        <v>34</v>
      </c>
      <c r="G940" t="s">
        <v>369</v>
      </c>
      <c r="H940" t="s">
        <v>0</v>
      </c>
      <c r="I940" t="s">
        <v>436</v>
      </c>
      <c r="J940" t="s">
        <v>437</v>
      </c>
      <c r="K940" t="s">
        <v>438</v>
      </c>
      <c r="L940" t="s">
        <v>349</v>
      </c>
      <c r="M940" t="s">
        <v>408</v>
      </c>
      <c r="N940" t="s">
        <v>11</v>
      </c>
      <c r="O940" t="s">
        <v>11</v>
      </c>
      <c r="P940" t="s">
        <v>349</v>
      </c>
      <c r="Q940" t="s">
        <v>408</v>
      </c>
      <c r="R940" t="s">
        <v>439</v>
      </c>
      <c r="S940" t="s">
        <v>440</v>
      </c>
      <c r="T940" t="s">
        <v>11</v>
      </c>
      <c r="U940" t="s">
        <v>408</v>
      </c>
    </row>
    <row r="941" spans="1:21" x14ac:dyDescent="0.25">
      <c r="A941">
        <v>18072830</v>
      </c>
      <c r="B941" t="s">
        <v>342</v>
      </c>
      <c r="C941" t="s">
        <v>33</v>
      </c>
      <c r="D941" t="s">
        <v>12</v>
      </c>
      <c r="E941" t="s">
        <v>538</v>
      </c>
      <c r="F941" t="s">
        <v>34</v>
      </c>
      <c r="G941" t="s">
        <v>369</v>
      </c>
      <c r="H941" t="s">
        <v>1</v>
      </c>
      <c r="I941" t="s">
        <v>469</v>
      </c>
      <c r="J941" t="s">
        <v>445</v>
      </c>
      <c r="K941" t="s">
        <v>438</v>
      </c>
      <c r="L941" t="s">
        <v>2</v>
      </c>
      <c r="M941" t="s">
        <v>408</v>
      </c>
      <c r="N941" t="s">
        <v>11</v>
      </c>
      <c r="O941" t="s">
        <v>11</v>
      </c>
      <c r="P941" t="s">
        <v>349</v>
      </c>
      <c r="Q941" t="s">
        <v>408</v>
      </c>
      <c r="R941" t="s">
        <v>439</v>
      </c>
      <c r="S941" t="s">
        <v>440</v>
      </c>
      <c r="T941" t="s">
        <v>11</v>
      </c>
      <c r="U941" t="s">
        <v>408</v>
      </c>
    </row>
    <row r="942" spans="1:21" x14ac:dyDescent="0.25">
      <c r="A942">
        <v>18943023</v>
      </c>
      <c r="B942" t="s">
        <v>340</v>
      </c>
      <c r="C942" t="s">
        <v>26</v>
      </c>
      <c r="D942" t="s">
        <v>12</v>
      </c>
      <c r="E942" t="s">
        <v>734</v>
      </c>
      <c r="F942" t="s">
        <v>27</v>
      </c>
      <c r="G942" t="s">
        <v>369</v>
      </c>
      <c r="H942" t="s">
        <v>1</v>
      </c>
      <c r="I942" t="s">
        <v>469</v>
      </c>
      <c r="J942" t="s">
        <v>445</v>
      </c>
      <c r="K942" t="s">
        <v>438</v>
      </c>
      <c r="L942" t="s">
        <v>2</v>
      </c>
      <c r="M942" t="s">
        <v>408</v>
      </c>
      <c r="N942" t="s">
        <v>11</v>
      </c>
      <c r="O942" t="s">
        <v>11</v>
      </c>
      <c r="P942" t="s">
        <v>0</v>
      </c>
      <c r="Q942" t="s">
        <v>408</v>
      </c>
      <c r="R942" t="s">
        <v>439</v>
      </c>
      <c r="S942" t="s">
        <v>440</v>
      </c>
      <c r="T942" t="s">
        <v>11</v>
      </c>
      <c r="U942" t="s">
        <v>408</v>
      </c>
    </row>
    <row r="943" spans="1:21" x14ac:dyDescent="0.25">
      <c r="A943">
        <v>18943028</v>
      </c>
      <c r="B943" t="s">
        <v>340</v>
      </c>
      <c r="C943" t="s">
        <v>26</v>
      </c>
      <c r="D943" t="s">
        <v>12</v>
      </c>
      <c r="E943" t="s">
        <v>724</v>
      </c>
      <c r="F943" t="s">
        <v>63</v>
      </c>
      <c r="G943" t="s">
        <v>369</v>
      </c>
      <c r="H943" t="s">
        <v>1</v>
      </c>
      <c r="I943" t="s">
        <v>469</v>
      </c>
      <c r="J943" t="s">
        <v>445</v>
      </c>
      <c r="K943" t="s">
        <v>438</v>
      </c>
      <c r="L943" t="s">
        <v>2</v>
      </c>
      <c r="M943" t="s">
        <v>408</v>
      </c>
      <c r="N943" t="s">
        <v>11</v>
      </c>
      <c r="O943" t="s">
        <v>11</v>
      </c>
      <c r="P943" t="s">
        <v>151</v>
      </c>
      <c r="Q943" t="s">
        <v>408</v>
      </c>
      <c r="R943" t="s">
        <v>439</v>
      </c>
      <c r="S943" t="s">
        <v>440</v>
      </c>
      <c r="T943" t="s">
        <v>11</v>
      </c>
      <c r="U943" t="s">
        <v>408</v>
      </c>
    </row>
    <row r="944" spans="1:21" x14ac:dyDescent="0.25">
      <c r="A944">
        <v>18943029</v>
      </c>
      <c r="B944" t="s">
        <v>340</v>
      </c>
      <c r="C944" t="s">
        <v>26</v>
      </c>
      <c r="D944" t="s">
        <v>12</v>
      </c>
      <c r="E944" t="s">
        <v>615</v>
      </c>
      <c r="F944" t="s">
        <v>42</v>
      </c>
      <c r="G944" t="s">
        <v>369</v>
      </c>
      <c r="H944" t="s">
        <v>1</v>
      </c>
      <c r="I944" t="s">
        <v>469</v>
      </c>
      <c r="J944" t="s">
        <v>445</v>
      </c>
      <c r="K944" t="s">
        <v>438</v>
      </c>
      <c r="L944" t="s">
        <v>2</v>
      </c>
      <c r="M944" t="s">
        <v>408</v>
      </c>
      <c r="N944" t="s">
        <v>11</v>
      </c>
      <c r="O944" t="s">
        <v>11</v>
      </c>
      <c r="P944" t="s">
        <v>0</v>
      </c>
      <c r="Q944" t="s">
        <v>408</v>
      </c>
      <c r="R944" t="s">
        <v>439</v>
      </c>
      <c r="S944" t="s">
        <v>440</v>
      </c>
      <c r="T944" t="s">
        <v>11</v>
      </c>
      <c r="U944" t="s">
        <v>408</v>
      </c>
    </row>
    <row r="945" spans="1:21" x14ac:dyDescent="0.25">
      <c r="A945">
        <v>18943032</v>
      </c>
      <c r="B945" t="s">
        <v>340</v>
      </c>
      <c r="C945" t="s">
        <v>26</v>
      </c>
      <c r="D945" t="s">
        <v>12</v>
      </c>
      <c r="E945" t="s">
        <v>730</v>
      </c>
      <c r="F945" t="s">
        <v>41</v>
      </c>
      <c r="G945" t="s">
        <v>369</v>
      </c>
      <c r="H945" t="s">
        <v>370</v>
      </c>
      <c r="I945" t="s">
        <v>721</v>
      </c>
      <c r="J945" t="s">
        <v>455</v>
      </c>
      <c r="K945" t="s">
        <v>453</v>
      </c>
      <c r="L945" t="s">
        <v>367</v>
      </c>
      <c r="M945" t="s">
        <v>408</v>
      </c>
      <c r="N945" t="s">
        <v>11</v>
      </c>
      <c r="O945" t="s">
        <v>11</v>
      </c>
      <c r="P945" t="s">
        <v>2</v>
      </c>
      <c r="Q945" t="s">
        <v>408</v>
      </c>
      <c r="R945" t="s">
        <v>439</v>
      </c>
      <c r="S945" t="s">
        <v>451</v>
      </c>
      <c r="T945" t="s">
        <v>11</v>
      </c>
      <c r="U945" t="s">
        <v>408</v>
      </c>
    </row>
    <row r="946" spans="1:21" x14ac:dyDescent="0.25">
      <c r="A946">
        <v>18943040</v>
      </c>
      <c r="B946" t="s">
        <v>340</v>
      </c>
      <c r="C946" t="s">
        <v>26</v>
      </c>
      <c r="D946" t="s">
        <v>12</v>
      </c>
      <c r="E946" t="s">
        <v>739</v>
      </c>
      <c r="F946" t="s">
        <v>106</v>
      </c>
      <c r="G946" t="s">
        <v>369</v>
      </c>
      <c r="H946" t="s">
        <v>370</v>
      </c>
      <c r="I946" t="s">
        <v>721</v>
      </c>
      <c r="J946" t="s">
        <v>455</v>
      </c>
      <c r="K946" t="s">
        <v>453</v>
      </c>
      <c r="L946" t="s">
        <v>367</v>
      </c>
      <c r="M946" t="s">
        <v>408</v>
      </c>
      <c r="N946" t="s">
        <v>11</v>
      </c>
      <c r="O946" t="s">
        <v>11</v>
      </c>
      <c r="P946" t="s">
        <v>2</v>
      </c>
      <c r="Q946" t="s">
        <v>408</v>
      </c>
      <c r="R946" t="s">
        <v>439</v>
      </c>
      <c r="S946" t="s">
        <v>451</v>
      </c>
      <c r="T946" t="s">
        <v>11</v>
      </c>
      <c r="U946" t="s">
        <v>408</v>
      </c>
    </row>
    <row r="947" spans="1:21" x14ac:dyDescent="0.25">
      <c r="A947">
        <v>18943041</v>
      </c>
      <c r="B947" t="s">
        <v>340</v>
      </c>
      <c r="C947" t="s">
        <v>26</v>
      </c>
      <c r="D947" t="s">
        <v>12</v>
      </c>
      <c r="E947" t="s">
        <v>739</v>
      </c>
      <c r="F947" t="s">
        <v>106</v>
      </c>
      <c r="G947" t="s">
        <v>369</v>
      </c>
      <c r="H947" t="s">
        <v>727</v>
      </c>
      <c r="I947" t="s">
        <v>728</v>
      </c>
      <c r="J947" t="s">
        <v>729</v>
      </c>
      <c r="K947" t="s">
        <v>450</v>
      </c>
      <c r="L947" t="s">
        <v>367</v>
      </c>
      <c r="M947" t="s">
        <v>408</v>
      </c>
      <c r="N947" t="s">
        <v>11</v>
      </c>
      <c r="O947" t="s">
        <v>11</v>
      </c>
      <c r="P947" t="s">
        <v>2</v>
      </c>
      <c r="Q947" t="s">
        <v>408</v>
      </c>
      <c r="R947" t="s">
        <v>439</v>
      </c>
      <c r="S947" t="s">
        <v>451</v>
      </c>
      <c r="T947" t="s">
        <v>11</v>
      </c>
      <c r="U947" t="s">
        <v>408</v>
      </c>
    </row>
    <row r="948" spans="1:21" x14ac:dyDescent="0.25">
      <c r="A948">
        <v>18943046</v>
      </c>
      <c r="B948" t="s">
        <v>340</v>
      </c>
      <c r="C948" t="s">
        <v>26</v>
      </c>
      <c r="D948" t="s">
        <v>12</v>
      </c>
      <c r="E948" t="s">
        <v>739</v>
      </c>
      <c r="F948" t="s">
        <v>103</v>
      </c>
      <c r="G948" t="s">
        <v>369</v>
      </c>
      <c r="H948" t="s">
        <v>0</v>
      </c>
      <c r="I948" t="s">
        <v>436</v>
      </c>
      <c r="J948" t="s">
        <v>437</v>
      </c>
      <c r="K948" t="s">
        <v>438</v>
      </c>
      <c r="L948" t="s">
        <v>1</v>
      </c>
      <c r="M948" t="s">
        <v>408</v>
      </c>
      <c r="N948" t="s">
        <v>11</v>
      </c>
      <c r="O948" t="s">
        <v>11</v>
      </c>
      <c r="P948" t="s">
        <v>2</v>
      </c>
      <c r="Q948" t="s">
        <v>408</v>
      </c>
      <c r="R948" t="s">
        <v>439</v>
      </c>
      <c r="S948" t="s">
        <v>440</v>
      </c>
      <c r="T948" t="s">
        <v>11</v>
      </c>
      <c r="U948" t="s">
        <v>408</v>
      </c>
    </row>
    <row r="949" spans="1:21" x14ac:dyDescent="0.25">
      <c r="A949">
        <v>18943047</v>
      </c>
      <c r="B949" t="s">
        <v>340</v>
      </c>
      <c r="C949" t="s">
        <v>26</v>
      </c>
      <c r="D949" t="s">
        <v>12</v>
      </c>
      <c r="E949" t="s">
        <v>739</v>
      </c>
      <c r="F949" t="s">
        <v>103</v>
      </c>
      <c r="G949" t="s">
        <v>369</v>
      </c>
      <c r="H949" t="s">
        <v>0</v>
      </c>
      <c r="I949" t="s">
        <v>436</v>
      </c>
      <c r="J949" t="s">
        <v>437</v>
      </c>
      <c r="K949" t="s">
        <v>438</v>
      </c>
      <c r="L949" t="s">
        <v>4</v>
      </c>
      <c r="M949" t="s">
        <v>408</v>
      </c>
      <c r="N949" t="s">
        <v>11</v>
      </c>
      <c r="O949" t="s">
        <v>11</v>
      </c>
      <c r="P949" t="s">
        <v>2</v>
      </c>
      <c r="Q949" t="s">
        <v>408</v>
      </c>
      <c r="R949" t="s">
        <v>439</v>
      </c>
      <c r="S949" t="s">
        <v>440</v>
      </c>
      <c r="T949" t="s">
        <v>11</v>
      </c>
      <c r="U949" t="s">
        <v>408</v>
      </c>
    </row>
    <row r="950" spans="1:21" x14ac:dyDescent="0.25">
      <c r="A950">
        <v>18943058</v>
      </c>
      <c r="B950" t="s">
        <v>340</v>
      </c>
      <c r="C950" t="s">
        <v>26</v>
      </c>
      <c r="D950" t="s">
        <v>12</v>
      </c>
      <c r="E950" t="s">
        <v>739</v>
      </c>
      <c r="F950" t="s">
        <v>106</v>
      </c>
      <c r="G950" t="s">
        <v>369</v>
      </c>
      <c r="H950" t="s">
        <v>3</v>
      </c>
      <c r="I950" t="s">
        <v>436</v>
      </c>
      <c r="J950" t="s">
        <v>441</v>
      </c>
      <c r="K950" t="s">
        <v>442</v>
      </c>
      <c r="L950" t="s">
        <v>0</v>
      </c>
      <c r="M950" t="s">
        <v>408</v>
      </c>
      <c r="N950" t="s">
        <v>11</v>
      </c>
      <c r="O950" t="s">
        <v>11</v>
      </c>
      <c r="P950" t="s">
        <v>2</v>
      </c>
      <c r="Q950" t="s">
        <v>408</v>
      </c>
      <c r="R950" t="s">
        <v>439</v>
      </c>
      <c r="S950" t="s">
        <v>440</v>
      </c>
      <c r="T950" t="s">
        <v>11</v>
      </c>
      <c r="U950" t="s">
        <v>408</v>
      </c>
    </row>
    <row r="951" spans="1:21" x14ac:dyDescent="0.25">
      <c r="A951">
        <v>18943063</v>
      </c>
      <c r="B951" t="s">
        <v>340</v>
      </c>
      <c r="C951" t="s">
        <v>26</v>
      </c>
      <c r="D951" t="s">
        <v>12</v>
      </c>
      <c r="E951" t="s">
        <v>739</v>
      </c>
      <c r="F951" t="s">
        <v>103</v>
      </c>
      <c r="G951" t="s">
        <v>369</v>
      </c>
      <c r="H951" t="s">
        <v>0</v>
      </c>
      <c r="I951" t="s">
        <v>436</v>
      </c>
      <c r="J951" t="s">
        <v>437</v>
      </c>
      <c r="K951" t="s">
        <v>438</v>
      </c>
      <c r="L951" t="s">
        <v>4</v>
      </c>
      <c r="M951" t="s">
        <v>408</v>
      </c>
      <c r="N951" t="s">
        <v>11</v>
      </c>
      <c r="O951" t="s">
        <v>11</v>
      </c>
      <c r="P951" t="s">
        <v>2</v>
      </c>
      <c r="Q951" t="s">
        <v>408</v>
      </c>
      <c r="R951" t="s">
        <v>439</v>
      </c>
      <c r="S951" t="s">
        <v>440</v>
      </c>
      <c r="T951" t="s">
        <v>11</v>
      </c>
      <c r="U951" t="s">
        <v>408</v>
      </c>
    </row>
    <row r="952" spans="1:21" x14ac:dyDescent="0.25">
      <c r="A952">
        <v>18943067</v>
      </c>
      <c r="B952" t="s">
        <v>340</v>
      </c>
      <c r="C952" t="s">
        <v>26</v>
      </c>
      <c r="D952" t="s">
        <v>12</v>
      </c>
      <c r="E952" t="s">
        <v>747</v>
      </c>
      <c r="F952" t="s">
        <v>197</v>
      </c>
      <c r="G952" t="s">
        <v>369</v>
      </c>
      <c r="H952" t="s">
        <v>370</v>
      </c>
      <c r="I952" t="s">
        <v>721</v>
      </c>
      <c r="J952" t="s">
        <v>455</v>
      </c>
      <c r="K952" t="s">
        <v>453</v>
      </c>
      <c r="L952" t="s">
        <v>367</v>
      </c>
      <c r="M952" t="s">
        <v>408</v>
      </c>
      <c r="N952" t="s">
        <v>11</v>
      </c>
      <c r="O952" t="s">
        <v>11</v>
      </c>
      <c r="P952" t="s">
        <v>2</v>
      </c>
      <c r="Q952" t="s">
        <v>408</v>
      </c>
      <c r="R952" t="s">
        <v>439</v>
      </c>
      <c r="S952" t="s">
        <v>451</v>
      </c>
      <c r="T952" t="s">
        <v>11</v>
      </c>
      <c r="U952" t="s">
        <v>408</v>
      </c>
    </row>
    <row r="953" spans="1:21" x14ac:dyDescent="0.25">
      <c r="A953">
        <v>18943069</v>
      </c>
      <c r="B953" t="s">
        <v>340</v>
      </c>
      <c r="C953" t="s">
        <v>26</v>
      </c>
      <c r="D953" t="s">
        <v>12</v>
      </c>
      <c r="E953" t="s">
        <v>747</v>
      </c>
      <c r="F953" t="s">
        <v>197</v>
      </c>
      <c r="G953" t="s">
        <v>369</v>
      </c>
      <c r="H953" t="s">
        <v>0</v>
      </c>
      <c r="I953" t="s">
        <v>436</v>
      </c>
      <c r="J953" t="s">
        <v>437</v>
      </c>
      <c r="K953" t="s">
        <v>438</v>
      </c>
      <c r="L953" t="s">
        <v>4</v>
      </c>
      <c r="M953" t="s">
        <v>408</v>
      </c>
      <c r="N953" t="s">
        <v>11</v>
      </c>
      <c r="O953" t="s">
        <v>11</v>
      </c>
      <c r="P953" t="s">
        <v>2</v>
      </c>
      <c r="Q953" t="s">
        <v>408</v>
      </c>
      <c r="R953" t="s">
        <v>439</v>
      </c>
      <c r="S953" t="s">
        <v>440</v>
      </c>
      <c r="T953" t="s">
        <v>11</v>
      </c>
      <c r="U953" t="s">
        <v>408</v>
      </c>
    </row>
    <row r="954" spans="1:21" x14ac:dyDescent="0.25">
      <c r="A954">
        <v>18943076</v>
      </c>
      <c r="B954" t="s">
        <v>340</v>
      </c>
      <c r="C954" t="s">
        <v>26</v>
      </c>
      <c r="D954" t="s">
        <v>12</v>
      </c>
      <c r="E954" t="s">
        <v>739</v>
      </c>
      <c r="F954" t="s">
        <v>103</v>
      </c>
      <c r="G954" t="s">
        <v>369</v>
      </c>
      <c r="H954" t="s">
        <v>715</v>
      </c>
      <c r="I954" t="s">
        <v>716</v>
      </c>
      <c r="J954" t="s">
        <v>717</v>
      </c>
      <c r="K954" t="s">
        <v>438</v>
      </c>
      <c r="L954" t="s">
        <v>0</v>
      </c>
      <c r="M954" t="s">
        <v>408</v>
      </c>
      <c r="N954" t="s">
        <v>11</v>
      </c>
      <c r="O954" t="s">
        <v>11</v>
      </c>
      <c r="P954" t="s">
        <v>2</v>
      </c>
      <c r="Q954" t="s">
        <v>408</v>
      </c>
      <c r="R954" t="s">
        <v>439</v>
      </c>
      <c r="S954" t="s">
        <v>440</v>
      </c>
      <c r="T954" t="s">
        <v>11</v>
      </c>
      <c r="U954" t="s">
        <v>408</v>
      </c>
    </row>
    <row r="955" spans="1:21" x14ac:dyDescent="0.25">
      <c r="A955">
        <v>18943077</v>
      </c>
      <c r="B955" t="s">
        <v>340</v>
      </c>
      <c r="C955" t="s">
        <v>26</v>
      </c>
      <c r="D955" t="s">
        <v>12</v>
      </c>
      <c r="E955" t="s">
        <v>739</v>
      </c>
      <c r="F955" t="s">
        <v>106</v>
      </c>
      <c r="G955" t="s">
        <v>369</v>
      </c>
      <c r="H955" t="s">
        <v>727</v>
      </c>
      <c r="I955" t="s">
        <v>728</v>
      </c>
      <c r="J955" t="s">
        <v>729</v>
      </c>
      <c r="K955" t="s">
        <v>450</v>
      </c>
      <c r="L955" t="s">
        <v>367</v>
      </c>
      <c r="M955" t="s">
        <v>408</v>
      </c>
      <c r="N955" t="s">
        <v>11</v>
      </c>
      <c r="O955" t="s">
        <v>11</v>
      </c>
      <c r="P955" t="s">
        <v>2</v>
      </c>
      <c r="Q955" t="s">
        <v>408</v>
      </c>
      <c r="R955" t="s">
        <v>439</v>
      </c>
      <c r="S955" t="s">
        <v>451</v>
      </c>
      <c r="T955" t="s">
        <v>11</v>
      </c>
      <c r="U955" t="s">
        <v>408</v>
      </c>
    </row>
    <row r="956" spans="1:21" x14ac:dyDescent="0.25">
      <c r="A956">
        <v>18943078</v>
      </c>
      <c r="B956" t="s">
        <v>340</v>
      </c>
      <c r="C956" t="s">
        <v>26</v>
      </c>
      <c r="D956" t="s">
        <v>12</v>
      </c>
      <c r="E956" t="s">
        <v>739</v>
      </c>
      <c r="F956" t="s">
        <v>103</v>
      </c>
      <c r="G956" t="s">
        <v>369</v>
      </c>
      <c r="H956" t="s">
        <v>0</v>
      </c>
      <c r="I956" t="s">
        <v>436</v>
      </c>
      <c r="J956" t="s">
        <v>437</v>
      </c>
      <c r="K956" t="s">
        <v>438</v>
      </c>
      <c r="L956" t="s">
        <v>4</v>
      </c>
      <c r="M956" t="s">
        <v>408</v>
      </c>
      <c r="N956" t="s">
        <v>11</v>
      </c>
      <c r="O956" t="s">
        <v>11</v>
      </c>
      <c r="P956" t="s">
        <v>2</v>
      </c>
      <c r="Q956" t="s">
        <v>408</v>
      </c>
      <c r="R956" t="s">
        <v>439</v>
      </c>
      <c r="S956" t="s">
        <v>440</v>
      </c>
      <c r="T956" t="s">
        <v>11</v>
      </c>
      <c r="U956" t="s">
        <v>408</v>
      </c>
    </row>
    <row r="957" spans="1:21" x14ac:dyDescent="0.25">
      <c r="A957">
        <v>18943082</v>
      </c>
      <c r="B957" t="s">
        <v>340</v>
      </c>
      <c r="C957" t="s">
        <v>26</v>
      </c>
      <c r="D957" t="s">
        <v>12</v>
      </c>
      <c r="E957" t="s">
        <v>739</v>
      </c>
      <c r="F957" t="s">
        <v>103</v>
      </c>
      <c r="G957" t="s">
        <v>369</v>
      </c>
      <c r="H957" t="s">
        <v>370</v>
      </c>
      <c r="I957" t="s">
        <v>721</v>
      </c>
      <c r="J957" t="s">
        <v>455</v>
      </c>
      <c r="K957" t="s">
        <v>453</v>
      </c>
      <c r="L957" t="s">
        <v>367</v>
      </c>
      <c r="M957" t="s">
        <v>408</v>
      </c>
      <c r="N957" t="s">
        <v>11</v>
      </c>
      <c r="O957" t="s">
        <v>11</v>
      </c>
      <c r="P957" t="s">
        <v>2</v>
      </c>
      <c r="Q957" t="s">
        <v>408</v>
      </c>
      <c r="R957" t="s">
        <v>439</v>
      </c>
      <c r="S957" t="s">
        <v>451</v>
      </c>
      <c r="T957" t="s">
        <v>11</v>
      </c>
      <c r="U957" t="s">
        <v>408</v>
      </c>
    </row>
    <row r="958" spans="1:21" x14ac:dyDescent="0.25">
      <c r="A958">
        <v>18943083</v>
      </c>
      <c r="B958" t="s">
        <v>340</v>
      </c>
      <c r="C958" t="s">
        <v>26</v>
      </c>
      <c r="D958" t="s">
        <v>12</v>
      </c>
      <c r="E958" t="s">
        <v>739</v>
      </c>
      <c r="F958" t="s">
        <v>106</v>
      </c>
      <c r="G958" t="s">
        <v>369</v>
      </c>
      <c r="H958" t="s">
        <v>350</v>
      </c>
      <c r="I958" t="s">
        <v>436</v>
      </c>
      <c r="J958" t="s">
        <v>566</v>
      </c>
      <c r="K958" t="s">
        <v>701</v>
      </c>
      <c r="L958" t="s">
        <v>8</v>
      </c>
      <c r="M958" t="s">
        <v>408</v>
      </c>
      <c r="N958" t="s">
        <v>11</v>
      </c>
      <c r="O958" t="s">
        <v>11</v>
      </c>
      <c r="P958" t="s">
        <v>2</v>
      </c>
      <c r="Q958" t="s">
        <v>408</v>
      </c>
      <c r="R958" t="s">
        <v>439</v>
      </c>
      <c r="S958" t="s">
        <v>440</v>
      </c>
      <c r="T958" t="s">
        <v>11</v>
      </c>
      <c r="U958" t="s">
        <v>408</v>
      </c>
    </row>
    <row r="959" spans="1:21" x14ac:dyDescent="0.25">
      <c r="A959">
        <v>18943086</v>
      </c>
      <c r="B959" t="s">
        <v>340</v>
      </c>
      <c r="C959" t="s">
        <v>26</v>
      </c>
      <c r="D959" t="s">
        <v>12</v>
      </c>
      <c r="E959" t="s">
        <v>739</v>
      </c>
      <c r="F959" t="s">
        <v>103</v>
      </c>
      <c r="G959" t="s">
        <v>369</v>
      </c>
      <c r="H959" t="s">
        <v>3</v>
      </c>
      <c r="I959" t="s">
        <v>436</v>
      </c>
      <c r="J959" t="s">
        <v>441</v>
      </c>
      <c r="K959" t="s">
        <v>442</v>
      </c>
      <c r="L959" t="s">
        <v>0</v>
      </c>
      <c r="M959" t="s">
        <v>408</v>
      </c>
      <c r="N959" t="s">
        <v>11</v>
      </c>
      <c r="O959" t="s">
        <v>11</v>
      </c>
      <c r="P959" t="s">
        <v>2</v>
      </c>
      <c r="Q959" t="s">
        <v>408</v>
      </c>
      <c r="R959" t="s">
        <v>439</v>
      </c>
      <c r="S959" t="s">
        <v>440</v>
      </c>
      <c r="T959" t="s">
        <v>11</v>
      </c>
      <c r="U959" t="s">
        <v>408</v>
      </c>
    </row>
    <row r="960" spans="1:21" x14ac:dyDescent="0.25">
      <c r="A960">
        <v>84465</v>
      </c>
      <c r="B960" t="s">
        <v>371</v>
      </c>
      <c r="C960" t="s">
        <v>371</v>
      </c>
      <c r="D960" t="s">
        <v>371</v>
      </c>
      <c r="E960" t="s">
        <v>371</v>
      </c>
      <c r="F960" t="s">
        <v>371</v>
      </c>
      <c r="G960" t="s">
        <v>371</v>
      </c>
      <c r="H960" t="s">
        <v>371</v>
      </c>
      <c r="I960" t="s">
        <v>371</v>
      </c>
      <c r="J960" t="s">
        <v>371</v>
      </c>
      <c r="K960" t="s">
        <v>371</v>
      </c>
      <c r="L960" t="s">
        <v>371</v>
      </c>
      <c r="M960" t="s">
        <v>371</v>
      </c>
      <c r="N960" t="s">
        <v>371</v>
      </c>
      <c r="O960" t="s">
        <v>371</v>
      </c>
      <c r="P960" t="s">
        <v>371</v>
      </c>
      <c r="Q960" t="s">
        <v>371</v>
      </c>
      <c r="R960" t="s">
        <v>371</v>
      </c>
      <c r="S960" t="s">
        <v>371</v>
      </c>
      <c r="T960" t="s">
        <v>371</v>
      </c>
      <c r="U960" t="s">
        <v>371</v>
      </c>
    </row>
    <row r="961" spans="1:21" x14ac:dyDescent="0.25">
      <c r="A961">
        <v>84494</v>
      </c>
      <c r="B961" t="s">
        <v>371</v>
      </c>
      <c r="C961" t="s">
        <v>371</v>
      </c>
      <c r="D961" t="s">
        <v>371</v>
      </c>
      <c r="E961" t="s">
        <v>371</v>
      </c>
      <c r="F961" t="s">
        <v>371</v>
      </c>
      <c r="G961" t="s">
        <v>371</v>
      </c>
      <c r="H961" t="s">
        <v>371</v>
      </c>
      <c r="I961" t="s">
        <v>371</v>
      </c>
      <c r="J961" t="s">
        <v>371</v>
      </c>
      <c r="K961" t="s">
        <v>371</v>
      </c>
      <c r="L961" t="s">
        <v>371</v>
      </c>
      <c r="M961" t="s">
        <v>371</v>
      </c>
      <c r="N961" t="s">
        <v>371</v>
      </c>
      <c r="O961" t="s">
        <v>371</v>
      </c>
      <c r="P961" t="s">
        <v>371</v>
      </c>
      <c r="Q961" t="s">
        <v>371</v>
      </c>
      <c r="R961" t="s">
        <v>371</v>
      </c>
      <c r="S961" t="s">
        <v>371</v>
      </c>
      <c r="T961" t="s">
        <v>371</v>
      </c>
      <c r="U961" t="s">
        <v>371</v>
      </c>
    </row>
    <row r="962" spans="1:21" x14ac:dyDescent="0.25">
      <c r="A962">
        <v>84634</v>
      </c>
      <c r="B962" t="s">
        <v>371</v>
      </c>
      <c r="C962" t="s">
        <v>371</v>
      </c>
      <c r="D962" t="s">
        <v>371</v>
      </c>
      <c r="E962" t="s">
        <v>371</v>
      </c>
      <c r="F962" t="s">
        <v>371</v>
      </c>
      <c r="G962" t="s">
        <v>371</v>
      </c>
      <c r="H962" t="s">
        <v>371</v>
      </c>
      <c r="I962" t="s">
        <v>371</v>
      </c>
      <c r="J962" t="s">
        <v>371</v>
      </c>
      <c r="K962" t="s">
        <v>371</v>
      </c>
      <c r="L962" t="s">
        <v>371</v>
      </c>
      <c r="M962" t="s">
        <v>371</v>
      </c>
      <c r="N962" t="s">
        <v>371</v>
      </c>
      <c r="O962" t="s">
        <v>371</v>
      </c>
      <c r="P962" t="s">
        <v>371</v>
      </c>
      <c r="Q962" t="s">
        <v>371</v>
      </c>
      <c r="R962" t="s">
        <v>371</v>
      </c>
      <c r="S962" t="s">
        <v>371</v>
      </c>
      <c r="T962" t="s">
        <v>371</v>
      </c>
      <c r="U962" t="s">
        <v>371</v>
      </c>
    </row>
    <row r="963" spans="1:21" x14ac:dyDescent="0.25">
      <c r="A963">
        <v>6705798</v>
      </c>
      <c r="B963" t="s">
        <v>371</v>
      </c>
      <c r="C963" t="s">
        <v>371</v>
      </c>
      <c r="D963" t="s">
        <v>371</v>
      </c>
      <c r="E963" t="s">
        <v>371</v>
      </c>
      <c r="F963" t="s">
        <v>371</v>
      </c>
      <c r="G963" t="s">
        <v>371</v>
      </c>
      <c r="H963" t="s">
        <v>371</v>
      </c>
      <c r="I963" t="s">
        <v>371</v>
      </c>
      <c r="J963" t="s">
        <v>371</v>
      </c>
      <c r="K963" t="s">
        <v>371</v>
      </c>
      <c r="L963" t="s">
        <v>371</v>
      </c>
      <c r="M963" t="s">
        <v>371</v>
      </c>
      <c r="N963" t="s">
        <v>371</v>
      </c>
      <c r="O963" t="s">
        <v>371</v>
      </c>
      <c r="P963" t="s">
        <v>371</v>
      </c>
      <c r="Q963" t="s">
        <v>371</v>
      </c>
      <c r="R963" t="s">
        <v>371</v>
      </c>
      <c r="S963" t="s">
        <v>371</v>
      </c>
      <c r="T963" t="s">
        <v>371</v>
      </c>
      <c r="U963" t="s">
        <v>371</v>
      </c>
    </row>
    <row r="964" spans="1:21" x14ac:dyDescent="0.25">
      <c r="A964">
        <v>8092295</v>
      </c>
      <c r="B964" t="s">
        <v>371</v>
      </c>
      <c r="C964" t="s">
        <v>371</v>
      </c>
      <c r="D964" t="s">
        <v>371</v>
      </c>
      <c r="E964" t="s">
        <v>371</v>
      </c>
      <c r="F964" t="s">
        <v>371</v>
      </c>
      <c r="G964" t="s">
        <v>371</v>
      </c>
      <c r="H964" t="s">
        <v>371</v>
      </c>
      <c r="I964" t="s">
        <v>371</v>
      </c>
      <c r="J964" t="s">
        <v>371</v>
      </c>
      <c r="K964" t="s">
        <v>371</v>
      </c>
      <c r="L964" t="s">
        <v>371</v>
      </c>
      <c r="M964" t="s">
        <v>371</v>
      </c>
      <c r="N964" t="s">
        <v>371</v>
      </c>
      <c r="O964" t="s">
        <v>371</v>
      </c>
      <c r="P964" t="s">
        <v>371</v>
      </c>
      <c r="Q964" t="s">
        <v>371</v>
      </c>
      <c r="R964" t="s">
        <v>371</v>
      </c>
      <c r="S964" t="s">
        <v>371</v>
      </c>
      <c r="T964" t="s">
        <v>371</v>
      </c>
      <c r="U964" t="s">
        <v>371</v>
      </c>
    </row>
    <row r="965" spans="1:21" x14ac:dyDescent="0.25">
      <c r="A965">
        <v>8092298</v>
      </c>
      <c r="B965" t="s">
        <v>371</v>
      </c>
      <c r="C965" t="s">
        <v>371</v>
      </c>
      <c r="D965" t="s">
        <v>371</v>
      </c>
      <c r="E965" t="s">
        <v>371</v>
      </c>
      <c r="F965" t="s">
        <v>371</v>
      </c>
      <c r="G965" t="s">
        <v>371</v>
      </c>
      <c r="H965" t="s">
        <v>371</v>
      </c>
      <c r="I965" t="s">
        <v>371</v>
      </c>
      <c r="J965" t="s">
        <v>371</v>
      </c>
      <c r="K965" t="s">
        <v>371</v>
      </c>
      <c r="L965" t="s">
        <v>371</v>
      </c>
      <c r="M965" t="s">
        <v>371</v>
      </c>
      <c r="N965" t="s">
        <v>371</v>
      </c>
      <c r="O965" t="s">
        <v>371</v>
      </c>
      <c r="P965" t="s">
        <v>371</v>
      </c>
      <c r="Q965" t="s">
        <v>371</v>
      </c>
      <c r="R965" t="s">
        <v>371</v>
      </c>
      <c r="S965" t="s">
        <v>371</v>
      </c>
      <c r="T965" t="s">
        <v>371</v>
      </c>
      <c r="U965" t="s">
        <v>371</v>
      </c>
    </row>
    <row r="966" spans="1:21" x14ac:dyDescent="0.25">
      <c r="A966">
        <v>8092384</v>
      </c>
      <c r="B966" t="s">
        <v>371</v>
      </c>
      <c r="C966" t="s">
        <v>371</v>
      </c>
      <c r="D966" t="s">
        <v>371</v>
      </c>
      <c r="E966" t="s">
        <v>371</v>
      </c>
      <c r="F966" t="s">
        <v>371</v>
      </c>
      <c r="G966" t="s">
        <v>371</v>
      </c>
      <c r="H966" t="s">
        <v>371</v>
      </c>
      <c r="I966" t="s">
        <v>371</v>
      </c>
      <c r="J966" t="s">
        <v>371</v>
      </c>
      <c r="K966" t="s">
        <v>371</v>
      </c>
      <c r="L966" t="s">
        <v>371</v>
      </c>
      <c r="M966" t="s">
        <v>371</v>
      </c>
      <c r="N966" t="s">
        <v>371</v>
      </c>
      <c r="O966" t="s">
        <v>371</v>
      </c>
      <c r="P966" t="s">
        <v>371</v>
      </c>
      <c r="Q966" t="s">
        <v>371</v>
      </c>
      <c r="R966" t="s">
        <v>371</v>
      </c>
      <c r="S966" t="s">
        <v>371</v>
      </c>
      <c r="T966" t="s">
        <v>371</v>
      </c>
      <c r="U966" t="s">
        <v>371</v>
      </c>
    </row>
    <row r="967" spans="1:21" x14ac:dyDescent="0.25">
      <c r="A967">
        <v>8392634</v>
      </c>
      <c r="B967" t="s">
        <v>371</v>
      </c>
      <c r="C967" t="s">
        <v>371</v>
      </c>
      <c r="D967" t="s">
        <v>371</v>
      </c>
      <c r="E967" t="s">
        <v>371</v>
      </c>
      <c r="F967" t="s">
        <v>371</v>
      </c>
      <c r="G967" t="s">
        <v>371</v>
      </c>
      <c r="H967" t="s">
        <v>371</v>
      </c>
      <c r="I967" t="s">
        <v>371</v>
      </c>
      <c r="J967" t="s">
        <v>371</v>
      </c>
      <c r="K967" t="s">
        <v>371</v>
      </c>
      <c r="L967" t="s">
        <v>371</v>
      </c>
      <c r="M967" t="s">
        <v>371</v>
      </c>
      <c r="N967" t="s">
        <v>371</v>
      </c>
      <c r="O967" t="s">
        <v>371</v>
      </c>
      <c r="P967" t="s">
        <v>371</v>
      </c>
      <c r="Q967" t="s">
        <v>371</v>
      </c>
      <c r="R967" t="s">
        <v>371</v>
      </c>
      <c r="S967" t="s">
        <v>371</v>
      </c>
      <c r="T967" t="s">
        <v>371</v>
      </c>
      <c r="U967" t="s">
        <v>371</v>
      </c>
    </row>
    <row r="968" spans="1:21" x14ac:dyDescent="0.25">
      <c r="A968">
        <v>8392652</v>
      </c>
      <c r="B968" t="s">
        <v>371</v>
      </c>
      <c r="C968" t="s">
        <v>371</v>
      </c>
      <c r="D968" t="s">
        <v>371</v>
      </c>
      <c r="E968" t="s">
        <v>371</v>
      </c>
      <c r="F968" t="s">
        <v>371</v>
      </c>
      <c r="G968" t="s">
        <v>371</v>
      </c>
      <c r="H968" t="s">
        <v>371</v>
      </c>
      <c r="I968" t="s">
        <v>371</v>
      </c>
      <c r="J968" t="s">
        <v>371</v>
      </c>
      <c r="K968" t="s">
        <v>371</v>
      </c>
      <c r="L968" t="s">
        <v>371</v>
      </c>
      <c r="M968" t="s">
        <v>371</v>
      </c>
      <c r="N968" t="s">
        <v>371</v>
      </c>
      <c r="O968" t="s">
        <v>371</v>
      </c>
      <c r="P968" t="s">
        <v>371</v>
      </c>
      <c r="Q968" t="s">
        <v>371</v>
      </c>
      <c r="R968" t="s">
        <v>371</v>
      </c>
      <c r="S968" t="s">
        <v>371</v>
      </c>
      <c r="T968" t="s">
        <v>371</v>
      </c>
      <c r="U968" t="s">
        <v>371</v>
      </c>
    </row>
    <row r="969" spans="1:21" x14ac:dyDescent="0.25">
      <c r="A969">
        <v>8392871</v>
      </c>
      <c r="B969" t="s">
        <v>371</v>
      </c>
      <c r="C969" t="s">
        <v>371</v>
      </c>
      <c r="D969" t="s">
        <v>371</v>
      </c>
      <c r="E969" t="s">
        <v>371</v>
      </c>
      <c r="F969" t="s">
        <v>371</v>
      </c>
      <c r="G969" t="s">
        <v>371</v>
      </c>
      <c r="H969" t="s">
        <v>371</v>
      </c>
      <c r="I969" t="s">
        <v>371</v>
      </c>
      <c r="J969" t="s">
        <v>371</v>
      </c>
      <c r="K969" t="s">
        <v>371</v>
      </c>
      <c r="L969" t="s">
        <v>371</v>
      </c>
      <c r="M969" t="s">
        <v>371</v>
      </c>
      <c r="N969" t="s">
        <v>371</v>
      </c>
      <c r="O969" t="s">
        <v>371</v>
      </c>
      <c r="P969" t="s">
        <v>371</v>
      </c>
      <c r="Q969" t="s">
        <v>371</v>
      </c>
      <c r="R969" t="s">
        <v>371</v>
      </c>
      <c r="S969" t="s">
        <v>371</v>
      </c>
      <c r="T969" t="s">
        <v>371</v>
      </c>
      <c r="U969" t="s">
        <v>371</v>
      </c>
    </row>
    <row r="970" spans="1:21" x14ac:dyDescent="0.25">
      <c r="A970">
        <v>8392927</v>
      </c>
      <c r="B970" t="s">
        <v>371</v>
      </c>
      <c r="C970" t="s">
        <v>371</v>
      </c>
      <c r="D970" t="s">
        <v>371</v>
      </c>
      <c r="E970" t="s">
        <v>371</v>
      </c>
      <c r="F970" t="s">
        <v>371</v>
      </c>
      <c r="G970" t="s">
        <v>371</v>
      </c>
      <c r="H970" t="s">
        <v>371</v>
      </c>
      <c r="I970" t="s">
        <v>371</v>
      </c>
      <c r="J970" t="s">
        <v>371</v>
      </c>
      <c r="K970" t="s">
        <v>371</v>
      </c>
      <c r="L970" t="s">
        <v>371</v>
      </c>
      <c r="M970" t="s">
        <v>371</v>
      </c>
      <c r="N970" t="s">
        <v>371</v>
      </c>
      <c r="O970" t="s">
        <v>371</v>
      </c>
      <c r="P970" t="s">
        <v>371</v>
      </c>
      <c r="Q970" t="s">
        <v>371</v>
      </c>
      <c r="R970" t="s">
        <v>371</v>
      </c>
      <c r="S970" t="s">
        <v>371</v>
      </c>
      <c r="T970" t="s">
        <v>371</v>
      </c>
      <c r="U970" t="s">
        <v>371</v>
      </c>
    </row>
    <row r="971" spans="1:21" x14ac:dyDescent="0.25">
      <c r="A971">
        <v>8933254</v>
      </c>
      <c r="B971" t="s">
        <v>371</v>
      </c>
      <c r="C971" t="s">
        <v>371</v>
      </c>
      <c r="D971" t="s">
        <v>371</v>
      </c>
      <c r="E971" t="s">
        <v>371</v>
      </c>
      <c r="F971" t="s">
        <v>371</v>
      </c>
      <c r="G971" t="s">
        <v>371</v>
      </c>
      <c r="H971" t="s">
        <v>371</v>
      </c>
      <c r="I971" t="s">
        <v>371</v>
      </c>
      <c r="J971" t="s">
        <v>371</v>
      </c>
      <c r="K971" t="s">
        <v>371</v>
      </c>
      <c r="L971" t="s">
        <v>371</v>
      </c>
      <c r="M971" t="s">
        <v>371</v>
      </c>
      <c r="N971" t="s">
        <v>371</v>
      </c>
      <c r="O971" t="s">
        <v>371</v>
      </c>
      <c r="P971" t="s">
        <v>371</v>
      </c>
      <c r="Q971" t="s">
        <v>371</v>
      </c>
      <c r="R971" t="s">
        <v>371</v>
      </c>
      <c r="S971" t="s">
        <v>371</v>
      </c>
      <c r="T971" t="s">
        <v>371</v>
      </c>
      <c r="U971" t="s">
        <v>371</v>
      </c>
    </row>
    <row r="972" spans="1:21" x14ac:dyDescent="0.25">
      <c r="A972">
        <v>8933262</v>
      </c>
      <c r="B972" t="s">
        <v>371</v>
      </c>
      <c r="C972" t="s">
        <v>371</v>
      </c>
      <c r="D972" t="s">
        <v>371</v>
      </c>
      <c r="E972" t="s">
        <v>371</v>
      </c>
      <c r="F972" t="s">
        <v>371</v>
      </c>
      <c r="G972" t="s">
        <v>371</v>
      </c>
      <c r="H972" t="s">
        <v>371</v>
      </c>
      <c r="I972" t="s">
        <v>371</v>
      </c>
      <c r="J972" t="s">
        <v>371</v>
      </c>
      <c r="K972" t="s">
        <v>371</v>
      </c>
      <c r="L972" t="s">
        <v>371</v>
      </c>
      <c r="M972" t="s">
        <v>371</v>
      </c>
      <c r="N972" t="s">
        <v>371</v>
      </c>
      <c r="O972" t="s">
        <v>371</v>
      </c>
      <c r="P972" t="s">
        <v>371</v>
      </c>
      <c r="Q972" t="s">
        <v>371</v>
      </c>
      <c r="R972" t="s">
        <v>371</v>
      </c>
      <c r="S972" t="s">
        <v>371</v>
      </c>
      <c r="T972" t="s">
        <v>371</v>
      </c>
      <c r="U972" t="s">
        <v>371</v>
      </c>
    </row>
    <row r="973" spans="1:21" x14ac:dyDescent="0.25">
      <c r="A973">
        <v>8933268</v>
      </c>
      <c r="B973" t="s">
        <v>371</v>
      </c>
      <c r="C973" t="s">
        <v>371</v>
      </c>
      <c r="D973" t="s">
        <v>371</v>
      </c>
      <c r="E973" t="s">
        <v>371</v>
      </c>
      <c r="F973" t="s">
        <v>371</v>
      </c>
      <c r="G973" t="s">
        <v>371</v>
      </c>
      <c r="H973" t="s">
        <v>371</v>
      </c>
      <c r="I973" t="s">
        <v>371</v>
      </c>
      <c r="J973" t="s">
        <v>371</v>
      </c>
      <c r="K973" t="s">
        <v>371</v>
      </c>
      <c r="L973" t="s">
        <v>371</v>
      </c>
      <c r="M973" t="s">
        <v>371</v>
      </c>
      <c r="N973" t="s">
        <v>371</v>
      </c>
      <c r="O973" t="s">
        <v>371</v>
      </c>
      <c r="P973" t="s">
        <v>371</v>
      </c>
      <c r="Q973" t="s">
        <v>371</v>
      </c>
      <c r="R973" t="s">
        <v>371</v>
      </c>
      <c r="S973" t="s">
        <v>371</v>
      </c>
      <c r="T973" t="s">
        <v>371</v>
      </c>
      <c r="U973" t="s">
        <v>371</v>
      </c>
    </row>
    <row r="974" spans="1:21" x14ac:dyDescent="0.25">
      <c r="A974">
        <v>8937776</v>
      </c>
      <c r="B974" t="s">
        <v>371</v>
      </c>
      <c r="C974" t="s">
        <v>371</v>
      </c>
      <c r="D974" t="s">
        <v>371</v>
      </c>
      <c r="E974" t="s">
        <v>371</v>
      </c>
      <c r="F974" t="s">
        <v>371</v>
      </c>
      <c r="G974" t="s">
        <v>371</v>
      </c>
      <c r="H974" t="s">
        <v>371</v>
      </c>
      <c r="I974" t="s">
        <v>371</v>
      </c>
      <c r="J974" t="s">
        <v>371</v>
      </c>
      <c r="K974" t="s">
        <v>371</v>
      </c>
      <c r="L974" t="s">
        <v>371</v>
      </c>
      <c r="M974" t="s">
        <v>371</v>
      </c>
      <c r="N974" t="s">
        <v>371</v>
      </c>
      <c r="O974" t="s">
        <v>371</v>
      </c>
      <c r="P974" t="s">
        <v>371</v>
      </c>
      <c r="Q974" t="s">
        <v>371</v>
      </c>
      <c r="R974" t="s">
        <v>371</v>
      </c>
      <c r="S974" t="s">
        <v>371</v>
      </c>
      <c r="T974" t="s">
        <v>371</v>
      </c>
      <c r="U974" t="s">
        <v>371</v>
      </c>
    </row>
    <row r="975" spans="1:21" x14ac:dyDescent="0.25">
      <c r="A975">
        <v>8937777</v>
      </c>
      <c r="B975" t="s">
        <v>371</v>
      </c>
      <c r="C975" t="s">
        <v>371</v>
      </c>
      <c r="D975" t="s">
        <v>371</v>
      </c>
      <c r="E975" t="s">
        <v>371</v>
      </c>
      <c r="F975" t="s">
        <v>371</v>
      </c>
      <c r="G975" t="s">
        <v>371</v>
      </c>
      <c r="H975" t="s">
        <v>371</v>
      </c>
      <c r="I975" t="s">
        <v>371</v>
      </c>
      <c r="J975" t="s">
        <v>371</v>
      </c>
      <c r="K975" t="s">
        <v>371</v>
      </c>
      <c r="L975" t="s">
        <v>371</v>
      </c>
      <c r="M975" t="s">
        <v>371</v>
      </c>
      <c r="N975" t="s">
        <v>371</v>
      </c>
      <c r="O975" t="s">
        <v>371</v>
      </c>
      <c r="P975" t="s">
        <v>371</v>
      </c>
      <c r="Q975" t="s">
        <v>371</v>
      </c>
      <c r="R975" t="s">
        <v>371</v>
      </c>
      <c r="S975" t="s">
        <v>371</v>
      </c>
      <c r="T975" t="s">
        <v>371</v>
      </c>
      <c r="U975" t="s">
        <v>371</v>
      </c>
    </row>
    <row r="976" spans="1:21" x14ac:dyDescent="0.25">
      <c r="A976">
        <v>9320778</v>
      </c>
      <c r="B976" t="s">
        <v>371</v>
      </c>
      <c r="C976" t="s">
        <v>371</v>
      </c>
      <c r="D976" t="s">
        <v>371</v>
      </c>
      <c r="E976" t="s">
        <v>371</v>
      </c>
      <c r="F976" t="s">
        <v>371</v>
      </c>
      <c r="G976" t="s">
        <v>371</v>
      </c>
      <c r="H976" t="s">
        <v>371</v>
      </c>
      <c r="I976" t="s">
        <v>371</v>
      </c>
      <c r="J976" t="s">
        <v>371</v>
      </c>
      <c r="K976" t="s">
        <v>371</v>
      </c>
      <c r="L976" t="s">
        <v>371</v>
      </c>
      <c r="M976" t="s">
        <v>371</v>
      </c>
      <c r="N976" t="s">
        <v>371</v>
      </c>
      <c r="O976" t="s">
        <v>371</v>
      </c>
      <c r="P976" t="s">
        <v>371</v>
      </c>
      <c r="Q976" t="s">
        <v>371</v>
      </c>
      <c r="R976" t="s">
        <v>371</v>
      </c>
      <c r="S976" t="s">
        <v>371</v>
      </c>
      <c r="T976" t="s">
        <v>371</v>
      </c>
      <c r="U976" t="s">
        <v>371</v>
      </c>
    </row>
    <row r="977" spans="1:21" x14ac:dyDescent="0.25">
      <c r="A977">
        <v>11185013</v>
      </c>
      <c r="B977" t="s">
        <v>371</v>
      </c>
      <c r="C977" t="s">
        <v>371</v>
      </c>
      <c r="D977" t="s">
        <v>371</v>
      </c>
      <c r="E977" t="s">
        <v>371</v>
      </c>
      <c r="F977" t="s">
        <v>371</v>
      </c>
      <c r="G977" t="s">
        <v>371</v>
      </c>
      <c r="H977" t="s">
        <v>371</v>
      </c>
      <c r="I977" t="s">
        <v>371</v>
      </c>
      <c r="J977" t="s">
        <v>371</v>
      </c>
      <c r="K977" t="s">
        <v>371</v>
      </c>
      <c r="L977" t="s">
        <v>371</v>
      </c>
      <c r="M977" t="s">
        <v>371</v>
      </c>
      <c r="N977" t="s">
        <v>371</v>
      </c>
      <c r="O977" t="s">
        <v>371</v>
      </c>
      <c r="P977" t="s">
        <v>371</v>
      </c>
      <c r="Q977" t="s">
        <v>371</v>
      </c>
      <c r="R977" t="s">
        <v>371</v>
      </c>
      <c r="S977" t="s">
        <v>371</v>
      </c>
      <c r="T977" t="s">
        <v>371</v>
      </c>
      <c r="U977" t="s">
        <v>371</v>
      </c>
    </row>
    <row r="978" spans="1:21" x14ac:dyDescent="0.25">
      <c r="A978">
        <v>12602239</v>
      </c>
      <c r="B978" t="s">
        <v>371</v>
      </c>
      <c r="C978" t="s">
        <v>371</v>
      </c>
      <c r="D978" t="s">
        <v>371</v>
      </c>
      <c r="E978" t="s">
        <v>371</v>
      </c>
      <c r="F978" t="s">
        <v>371</v>
      </c>
      <c r="G978" t="s">
        <v>371</v>
      </c>
      <c r="H978" t="s">
        <v>371</v>
      </c>
      <c r="I978" t="s">
        <v>371</v>
      </c>
      <c r="J978" t="s">
        <v>371</v>
      </c>
      <c r="K978" t="s">
        <v>371</v>
      </c>
      <c r="L978" t="s">
        <v>371</v>
      </c>
      <c r="M978" t="s">
        <v>371</v>
      </c>
      <c r="N978" t="s">
        <v>371</v>
      </c>
      <c r="O978" t="s">
        <v>371</v>
      </c>
      <c r="P978" t="s">
        <v>371</v>
      </c>
      <c r="Q978" t="s">
        <v>371</v>
      </c>
      <c r="R978" t="s">
        <v>371</v>
      </c>
      <c r="S978" t="s">
        <v>371</v>
      </c>
      <c r="T978" t="s">
        <v>371</v>
      </c>
      <c r="U978" t="s">
        <v>371</v>
      </c>
    </row>
    <row r="979" spans="1:21" x14ac:dyDescent="0.25">
      <c r="A979">
        <v>14717764</v>
      </c>
      <c r="B979" t="s">
        <v>371</v>
      </c>
      <c r="C979" t="s">
        <v>371</v>
      </c>
      <c r="D979" t="s">
        <v>371</v>
      </c>
      <c r="E979" t="s">
        <v>371</v>
      </c>
      <c r="F979" t="s">
        <v>371</v>
      </c>
      <c r="G979" t="s">
        <v>371</v>
      </c>
      <c r="H979" t="s">
        <v>371</v>
      </c>
      <c r="I979" t="s">
        <v>371</v>
      </c>
      <c r="J979" t="s">
        <v>371</v>
      </c>
      <c r="K979" t="s">
        <v>371</v>
      </c>
      <c r="L979" t="s">
        <v>371</v>
      </c>
      <c r="M979" t="s">
        <v>371</v>
      </c>
      <c r="N979" t="s">
        <v>371</v>
      </c>
      <c r="O979" t="s">
        <v>371</v>
      </c>
      <c r="P979" t="s">
        <v>371</v>
      </c>
      <c r="Q979" t="s">
        <v>371</v>
      </c>
      <c r="R979" t="s">
        <v>371</v>
      </c>
      <c r="S979" t="s">
        <v>371</v>
      </c>
      <c r="T979" t="s">
        <v>371</v>
      </c>
      <c r="U979" t="s">
        <v>371</v>
      </c>
    </row>
    <row r="980" spans="1:21" x14ac:dyDescent="0.25">
      <c r="A980">
        <v>14718157</v>
      </c>
      <c r="B980" t="s">
        <v>371</v>
      </c>
      <c r="C980" t="s">
        <v>371</v>
      </c>
      <c r="D980" t="s">
        <v>371</v>
      </c>
      <c r="E980" t="s">
        <v>371</v>
      </c>
      <c r="F980" t="s">
        <v>371</v>
      </c>
      <c r="G980" t="s">
        <v>371</v>
      </c>
      <c r="H980" t="s">
        <v>371</v>
      </c>
      <c r="I980" t="s">
        <v>371</v>
      </c>
      <c r="J980" t="s">
        <v>371</v>
      </c>
      <c r="K980" t="s">
        <v>371</v>
      </c>
      <c r="L980" t="s">
        <v>371</v>
      </c>
      <c r="M980" t="s">
        <v>371</v>
      </c>
      <c r="N980" t="s">
        <v>371</v>
      </c>
      <c r="O980" t="s">
        <v>371</v>
      </c>
      <c r="P980" t="s">
        <v>371</v>
      </c>
      <c r="Q980" t="s">
        <v>371</v>
      </c>
      <c r="R980" t="s">
        <v>371</v>
      </c>
      <c r="S980" t="s">
        <v>371</v>
      </c>
      <c r="T980" t="s">
        <v>371</v>
      </c>
      <c r="U980" t="s">
        <v>371</v>
      </c>
    </row>
    <row r="981" spans="1:21" x14ac:dyDescent="0.25">
      <c r="A981">
        <v>14718158</v>
      </c>
      <c r="B981" t="s">
        <v>371</v>
      </c>
      <c r="C981" t="s">
        <v>371</v>
      </c>
      <c r="D981" t="s">
        <v>371</v>
      </c>
      <c r="E981" t="s">
        <v>371</v>
      </c>
      <c r="F981" t="s">
        <v>371</v>
      </c>
      <c r="G981" t="s">
        <v>371</v>
      </c>
      <c r="H981" t="s">
        <v>371</v>
      </c>
      <c r="I981" t="s">
        <v>371</v>
      </c>
      <c r="J981" t="s">
        <v>371</v>
      </c>
      <c r="K981" t="s">
        <v>371</v>
      </c>
      <c r="L981" t="s">
        <v>371</v>
      </c>
      <c r="M981" t="s">
        <v>371</v>
      </c>
      <c r="N981" t="s">
        <v>371</v>
      </c>
      <c r="O981" t="s">
        <v>371</v>
      </c>
      <c r="P981" t="s">
        <v>371</v>
      </c>
      <c r="Q981" t="s">
        <v>371</v>
      </c>
      <c r="R981" t="s">
        <v>371</v>
      </c>
      <c r="S981" t="s">
        <v>371</v>
      </c>
      <c r="T981" t="s">
        <v>371</v>
      </c>
      <c r="U981" t="s">
        <v>371</v>
      </c>
    </row>
    <row r="982" spans="1:21" x14ac:dyDescent="0.25">
      <c r="A982">
        <v>14718294</v>
      </c>
      <c r="B982" t="s">
        <v>371</v>
      </c>
      <c r="C982" t="s">
        <v>371</v>
      </c>
      <c r="D982" t="s">
        <v>371</v>
      </c>
      <c r="E982" t="s">
        <v>371</v>
      </c>
      <c r="F982" t="s">
        <v>371</v>
      </c>
      <c r="G982" t="s">
        <v>371</v>
      </c>
      <c r="H982" t="s">
        <v>371</v>
      </c>
      <c r="I982" t="s">
        <v>371</v>
      </c>
      <c r="J982" t="s">
        <v>371</v>
      </c>
      <c r="K982" t="s">
        <v>371</v>
      </c>
      <c r="L982" t="s">
        <v>371</v>
      </c>
      <c r="M982" t="s">
        <v>371</v>
      </c>
      <c r="N982" t="s">
        <v>371</v>
      </c>
      <c r="O982" t="s">
        <v>371</v>
      </c>
      <c r="P982" t="s">
        <v>371</v>
      </c>
      <c r="Q982" t="s">
        <v>371</v>
      </c>
      <c r="R982" t="s">
        <v>371</v>
      </c>
      <c r="S982" t="s">
        <v>371</v>
      </c>
      <c r="T982" t="s">
        <v>371</v>
      </c>
      <c r="U982" t="s">
        <v>371</v>
      </c>
    </row>
    <row r="983" spans="1:21" x14ac:dyDescent="0.25">
      <c r="A983">
        <v>14718295</v>
      </c>
      <c r="B983" t="s">
        <v>371</v>
      </c>
      <c r="C983" t="s">
        <v>371</v>
      </c>
      <c r="D983" t="s">
        <v>371</v>
      </c>
      <c r="E983" t="s">
        <v>371</v>
      </c>
      <c r="F983" t="s">
        <v>371</v>
      </c>
      <c r="G983" t="s">
        <v>371</v>
      </c>
      <c r="H983" t="s">
        <v>371</v>
      </c>
      <c r="I983" t="s">
        <v>371</v>
      </c>
      <c r="J983" t="s">
        <v>371</v>
      </c>
      <c r="K983" t="s">
        <v>371</v>
      </c>
      <c r="L983" t="s">
        <v>371</v>
      </c>
      <c r="M983" t="s">
        <v>371</v>
      </c>
      <c r="N983" t="s">
        <v>371</v>
      </c>
      <c r="O983" t="s">
        <v>371</v>
      </c>
      <c r="P983" t="s">
        <v>371</v>
      </c>
      <c r="Q983" t="s">
        <v>371</v>
      </c>
      <c r="R983" t="s">
        <v>371</v>
      </c>
      <c r="S983" t="s">
        <v>371</v>
      </c>
      <c r="T983" t="s">
        <v>371</v>
      </c>
      <c r="U983" t="s">
        <v>371</v>
      </c>
    </row>
    <row r="984" spans="1:21" x14ac:dyDescent="0.25">
      <c r="A984">
        <v>14718300</v>
      </c>
      <c r="B984" t="s">
        <v>371</v>
      </c>
      <c r="C984" t="s">
        <v>371</v>
      </c>
      <c r="D984" t="s">
        <v>371</v>
      </c>
      <c r="E984" t="s">
        <v>371</v>
      </c>
      <c r="F984" t="s">
        <v>371</v>
      </c>
      <c r="G984" t="s">
        <v>371</v>
      </c>
      <c r="H984" t="s">
        <v>371</v>
      </c>
      <c r="I984" t="s">
        <v>371</v>
      </c>
      <c r="J984" t="s">
        <v>371</v>
      </c>
      <c r="K984" t="s">
        <v>371</v>
      </c>
      <c r="L984" t="s">
        <v>371</v>
      </c>
      <c r="M984" t="s">
        <v>371</v>
      </c>
      <c r="N984" t="s">
        <v>371</v>
      </c>
      <c r="O984" t="s">
        <v>371</v>
      </c>
      <c r="P984" t="s">
        <v>371</v>
      </c>
      <c r="Q984" t="s">
        <v>371</v>
      </c>
      <c r="R984" t="s">
        <v>371</v>
      </c>
      <c r="S984" t="s">
        <v>371</v>
      </c>
      <c r="T984" t="s">
        <v>371</v>
      </c>
      <c r="U984" t="s">
        <v>371</v>
      </c>
    </row>
    <row r="985" spans="1:21" x14ac:dyDescent="0.25">
      <c r="A985">
        <v>15660964</v>
      </c>
      <c r="B985" t="s">
        <v>371</v>
      </c>
      <c r="C985" t="s">
        <v>371</v>
      </c>
      <c r="D985" t="s">
        <v>371</v>
      </c>
      <c r="E985" t="s">
        <v>371</v>
      </c>
      <c r="F985" t="s">
        <v>371</v>
      </c>
      <c r="G985" t="s">
        <v>371</v>
      </c>
      <c r="H985" t="s">
        <v>371</v>
      </c>
      <c r="I985" t="s">
        <v>371</v>
      </c>
      <c r="J985" t="s">
        <v>371</v>
      </c>
      <c r="K985" t="s">
        <v>371</v>
      </c>
      <c r="L985" t="s">
        <v>371</v>
      </c>
      <c r="M985" t="s">
        <v>371</v>
      </c>
      <c r="N985" t="s">
        <v>371</v>
      </c>
      <c r="O985" t="s">
        <v>371</v>
      </c>
      <c r="P985" t="s">
        <v>371</v>
      </c>
      <c r="Q985" t="s">
        <v>371</v>
      </c>
      <c r="R985" t="s">
        <v>371</v>
      </c>
      <c r="S985" t="s">
        <v>371</v>
      </c>
      <c r="T985" t="s">
        <v>371</v>
      </c>
      <c r="U985" t="s">
        <v>371</v>
      </c>
    </row>
    <row r="986" spans="1:21" x14ac:dyDescent="0.25">
      <c r="A986">
        <v>15661286</v>
      </c>
      <c r="B986" t="s">
        <v>371</v>
      </c>
      <c r="C986" t="s">
        <v>371</v>
      </c>
      <c r="D986" t="s">
        <v>371</v>
      </c>
      <c r="E986" t="s">
        <v>371</v>
      </c>
      <c r="F986" t="s">
        <v>371</v>
      </c>
      <c r="G986" t="s">
        <v>371</v>
      </c>
      <c r="H986" t="s">
        <v>371</v>
      </c>
      <c r="I986" t="s">
        <v>371</v>
      </c>
      <c r="J986" t="s">
        <v>371</v>
      </c>
      <c r="K986" t="s">
        <v>371</v>
      </c>
      <c r="L986" t="s">
        <v>371</v>
      </c>
      <c r="M986" t="s">
        <v>371</v>
      </c>
      <c r="N986" t="s">
        <v>371</v>
      </c>
      <c r="O986" t="s">
        <v>371</v>
      </c>
      <c r="P986" t="s">
        <v>371</v>
      </c>
      <c r="Q986" t="s">
        <v>371</v>
      </c>
      <c r="R986" t="s">
        <v>371</v>
      </c>
      <c r="S986" t="s">
        <v>371</v>
      </c>
      <c r="T986" t="s">
        <v>371</v>
      </c>
      <c r="U986" t="s">
        <v>371</v>
      </c>
    </row>
    <row r="987" spans="1:21" x14ac:dyDescent="0.25">
      <c r="A987">
        <v>15661359</v>
      </c>
      <c r="B987" t="s">
        <v>371</v>
      </c>
      <c r="C987" t="s">
        <v>371</v>
      </c>
      <c r="D987" t="s">
        <v>371</v>
      </c>
      <c r="E987" t="s">
        <v>371</v>
      </c>
      <c r="F987" t="s">
        <v>371</v>
      </c>
      <c r="G987" t="s">
        <v>371</v>
      </c>
      <c r="H987" t="s">
        <v>371</v>
      </c>
      <c r="I987" t="s">
        <v>371</v>
      </c>
      <c r="J987" t="s">
        <v>371</v>
      </c>
      <c r="K987" t="s">
        <v>371</v>
      </c>
      <c r="L987" t="s">
        <v>371</v>
      </c>
      <c r="M987" t="s">
        <v>371</v>
      </c>
      <c r="N987" t="s">
        <v>371</v>
      </c>
      <c r="O987" t="s">
        <v>371</v>
      </c>
      <c r="P987" t="s">
        <v>371</v>
      </c>
      <c r="Q987" t="s">
        <v>371</v>
      </c>
      <c r="R987" t="s">
        <v>371</v>
      </c>
      <c r="S987" t="s">
        <v>371</v>
      </c>
      <c r="T987" t="s">
        <v>371</v>
      </c>
      <c r="U987" t="s">
        <v>371</v>
      </c>
    </row>
    <row r="988" spans="1:21" x14ac:dyDescent="0.25">
      <c r="A988">
        <v>16390491</v>
      </c>
      <c r="B988" t="s">
        <v>371</v>
      </c>
      <c r="C988" t="s">
        <v>371</v>
      </c>
      <c r="D988" t="s">
        <v>371</v>
      </c>
      <c r="E988" t="s">
        <v>371</v>
      </c>
      <c r="F988" t="s">
        <v>371</v>
      </c>
      <c r="G988" t="s">
        <v>371</v>
      </c>
      <c r="H988" t="s">
        <v>371</v>
      </c>
      <c r="I988" t="s">
        <v>371</v>
      </c>
      <c r="J988" t="s">
        <v>371</v>
      </c>
      <c r="K988" t="s">
        <v>371</v>
      </c>
      <c r="L988" t="s">
        <v>371</v>
      </c>
      <c r="M988" t="s">
        <v>371</v>
      </c>
      <c r="N988" t="s">
        <v>371</v>
      </c>
      <c r="O988" t="s">
        <v>371</v>
      </c>
      <c r="P988" t="s">
        <v>371</v>
      </c>
      <c r="Q988" t="s">
        <v>371</v>
      </c>
      <c r="R988" t="s">
        <v>371</v>
      </c>
      <c r="S988" t="s">
        <v>371</v>
      </c>
      <c r="T988" t="s">
        <v>371</v>
      </c>
      <c r="U988" t="s">
        <v>371</v>
      </c>
    </row>
    <row r="989" spans="1:21" x14ac:dyDescent="0.25">
      <c r="A989">
        <v>16843136</v>
      </c>
      <c r="B989" t="s">
        <v>371</v>
      </c>
      <c r="C989" t="s">
        <v>371</v>
      </c>
      <c r="D989" t="s">
        <v>371</v>
      </c>
      <c r="E989" t="s">
        <v>371</v>
      </c>
      <c r="F989" t="s">
        <v>371</v>
      </c>
      <c r="G989" t="s">
        <v>371</v>
      </c>
      <c r="H989" t="s">
        <v>371</v>
      </c>
      <c r="I989" t="s">
        <v>371</v>
      </c>
      <c r="J989" t="s">
        <v>371</v>
      </c>
      <c r="K989" t="s">
        <v>371</v>
      </c>
      <c r="L989" t="s">
        <v>371</v>
      </c>
      <c r="M989" t="s">
        <v>371</v>
      </c>
      <c r="N989" t="s">
        <v>371</v>
      </c>
      <c r="O989" t="s">
        <v>371</v>
      </c>
      <c r="P989" t="s">
        <v>371</v>
      </c>
      <c r="Q989" t="s">
        <v>371</v>
      </c>
      <c r="R989" t="s">
        <v>371</v>
      </c>
      <c r="S989" t="s">
        <v>371</v>
      </c>
      <c r="T989" t="s">
        <v>371</v>
      </c>
      <c r="U989" t="s">
        <v>371</v>
      </c>
    </row>
    <row r="990" spans="1:21" x14ac:dyDescent="0.25">
      <c r="A990">
        <v>16843139</v>
      </c>
      <c r="B990" t="s">
        <v>371</v>
      </c>
      <c r="C990" t="s">
        <v>371</v>
      </c>
      <c r="D990" t="s">
        <v>371</v>
      </c>
      <c r="E990" t="s">
        <v>371</v>
      </c>
      <c r="F990" t="s">
        <v>371</v>
      </c>
      <c r="G990" t="s">
        <v>371</v>
      </c>
      <c r="H990" t="s">
        <v>371</v>
      </c>
      <c r="I990" t="s">
        <v>371</v>
      </c>
      <c r="J990" t="s">
        <v>371</v>
      </c>
      <c r="K990" t="s">
        <v>371</v>
      </c>
      <c r="L990" t="s">
        <v>371</v>
      </c>
      <c r="M990" t="s">
        <v>371</v>
      </c>
      <c r="N990" t="s">
        <v>371</v>
      </c>
      <c r="O990" t="s">
        <v>371</v>
      </c>
      <c r="P990" t="s">
        <v>371</v>
      </c>
      <c r="Q990" t="s">
        <v>371</v>
      </c>
      <c r="R990" t="s">
        <v>371</v>
      </c>
      <c r="S990" t="s">
        <v>371</v>
      </c>
      <c r="T990" t="s">
        <v>371</v>
      </c>
      <c r="U990" t="s">
        <v>371</v>
      </c>
    </row>
    <row r="991" spans="1:21" x14ac:dyDescent="0.25">
      <c r="A991">
        <v>16843228</v>
      </c>
      <c r="B991" t="s">
        <v>371</v>
      </c>
      <c r="C991" t="s">
        <v>371</v>
      </c>
      <c r="D991" t="s">
        <v>371</v>
      </c>
      <c r="E991" t="s">
        <v>371</v>
      </c>
      <c r="F991" t="s">
        <v>371</v>
      </c>
      <c r="G991" t="s">
        <v>371</v>
      </c>
      <c r="H991" t="s">
        <v>371</v>
      </c>
      <c r="I991" t="s">
        <v>371</v>
      </c>
      <c r="J991" t="s">
        <v>371</v>
      </c>
      <c r="K991" t="s">
        <v>371</v>
      </c>
      <c r="L991" t="s">
        <v>371</v>
      </c>
      <c r="M991" t="s">
        <v>371</v>
      </c>
      <c r="N991" t="s">
        <v>371</v>
      </c>
      <c r="O991" t="s">
        <v>371</v>
      </c>
      <c r="P991" t="s">
        <v>371</v>
      </c>
      <c r="Q991" t="s">
        <v>371</v>
      </c>
      <c r="R991" t="s">
        <v>371</v>
      </c>
      <c r="S991" t="s">
        <v>371</v>
      </c>
      <c r="T991" t="s">
        <v>371</v>
      </c>
      <c r="U991" t="s">
        <v>371</v>
      </c>
    </row>
    <row r="992" spans="1:21" x14ac:dyDescent="0.25">
      <c r="A992">
        <v>16843229</v>
      </c>
      <c r="B992" t="s">
        <v>371</v>
      </c>
      <c r="C992" t="s">
        <v>371</v>
      </c>
      <c r="D992" t="s">
        <v>371</v>
      </c>
      <c r="E992" t="s">
        <v>371</v>
      </c>
      <c r="F992" t="s">
        <v>371</v>
      </c>
      <c r="G992" t="s">
        <v>371</v>
      </c>
      <c r="H992" t="s">
        <v>371</v>
      </c>
      <c r="I992" t="s">
        <v>371</v>
      </c>
      <c r="J992" t="s">
        <v>371</v>
      </c>
      <c r="K992" t="s">
        <v>371</v>
      </c>
      <c r="L992" t="s">
        <v>371</v>
      </c>
      <c r="M992" t="s">
        <v>371</v>
      </c>
      <c r="N992" t="s">
        <v>371</v>
      </c>
      <c r="O992" t="s">
        <v>371</v>
      </c>
      <c r="P992" t="s">
        <v>371</v>
      </c>
      <c r="Q992" t="s">
        <v>371</v>
      </c>
      <c r="R992" t="s">
        <v>371</v>
      </c>
      <c r="S992" t="s">
        <v>371</v>
      </c>
      <c r="T992" t="s">
        <v>371</v>
      </c>
      <c r="U992" t="s">
        <v>371</v>
      </c>
    </row>
    <row r="993" spans="1:21" x14ac:dyDescent="0.25">
      <c r="A993">
        <v>16843264</v>
      </c>
      <c r="B993" t="s">
        <v>371</v>
      </c>
      <c r="C993" t="s">
        <v>371</v>
      </c>
      <c r="D993" t="s">
        <v>371</v>
      </c>
      <c r="E993" t="s">
        <v>371</v>
      </c>
      <c r="F993" t="s">
        <v>371</v>
      </c>
      <c r="G993" t="s">
        <v>371</v>
      </c>
      <c r="H993" t="s">
        <v>371</v>
      </c>
      <c r="I993" t="s">
        <v>371</v>
      </c>
      <c r="J993" t="s">
        <v>371</v>
      </c>
      <c r="K993" t="s">
        <v>371</v>
      </c>
      <c r="L993" t="s">
        <v>371</v>
      </c>
      <c r="M993" t="s">
        <v>371</v>
      </c>
      <c r="N993" t="s">
        <v>371</v>
      </c>
      <c r="O993" t="s">
        <v>371</v>
      </c>
      <c r="P993" t="s">
        <v>371</v>
      </c>
      <c r="Q993" t="s">
        <v>371</v>
      </c>
      <c r="R993" t="s">
        <v>371</v>
      </c>
      <c r="S993" t="s">
        <v>371</v>
      </c>
      <c r="T993" t="s">
        <v>371</v>
      </c>
      <c r="U993" t="s">
        <v>371</v>
      </c>
    </row>
    <row r="994" spans="1:21" x14ac:dyDescent="0.25">
      <c r="A994">
        <v>16843403</v>
      </c>
      <c r="B994" t="s">
        <v>371</v>
      </c>
      <c r="C994" t="s">
        <v>371</v>
      </c>
      <c r="D994" t="s">
        <v>371</v>
      </c>
      <c r="E994" t="s">
        <v>371</v>
      </c>
      <c r="F994" t="s">
        <v>371</v>
      </c>
      <c r="G994" t="s">
        <v>371</v>
      </c>
      <c r="H994" t="s">
        <v>371</v>
      </c>
      <c r="I994" t="s">
        <v>371</v>
      </c>
      <c r="J994" t="s">
        <v>371</v>
      </c>
      <c r="K994" t="s">
        <v>371</v>
      </c>
      <c r="L994" t="s">
        <v>371</v>
      </c>
      <c r="M994" t="s">
        <v>371</v>
      </c>
      <c r="N994" t="s">
        <v>371</v>
      </c>
      <c r="O994" t="s">
        <v>371</v>
      </c>
      <c r="P994" t="s">
        <v>371</v>
      </c>
      <c r="Q994" t="s">
        <v>371</v>
      </c>
      <c r="R994" t="s">
        <v>371</v>
      </c>
      <c r="S994" t="s">
        <v>371</v>
      </c>
      <c r="T994" t="s">
        <v>371</v>
      </c>
      <c r="U994" t="s">
        <v>371</v>
      </c>
    </row>
    <row r="995" spans="1:21" x14ac:dyDescent="0.25">
      <c r="A995">
        <v>16843407</v>
      </c>
      <c r="B995" t="s">
        <v>371</v>
      </c>
      <c r="C995" t="s">
        <v>371</v>
      </c>
      <c r="D995" t="s">
        <v>371</v>
      </c>
      <c r="E995" t="s">
        <v>371</v>
      </c>
      <c r="F995" t="s">
        <v>371</v>
      </c>
      <c r="G995" t="s">
        <v>371</v>
      </c>
      <c r="H995" t="s">
        <v>371</v>
      </c>
      <c r="I995" t="s">
        <v>371</v>
      </c>
      <c r="J995" t="s">
        <v>371</v>
      </c>
      <c r="K995" t="s">
        <v>371</v>
      </c>
      <c r="L995" t="s">
        <v>371</v>
      </c>
      <c r="M995" t="s">
        <v>371</v>
      </c>
      <c r="N995" t="s">
        <v>371</v>
      </c>
      <c r="O995" t="s">
        <v>371</v>
      </c>
      <c r="P995" t="s">
        <v>371</v>
      </c>
      <c r="Q995" t="s">
        <v>371</v>
      </c>
      <c r="R995" t="s">
        <v>371</v>
      </c>
      <c r="S995" t="s">
        <v>371</v>
      </c>
      <c r="T995" t="s">
        <v>371</v>
      </c>
      <c r="U995" t="s">
        <v>371</v>
      </c>
    </row>
    <row r="996" spans="1:21" x14ac:dyDescent="0.25">
      <c r="A996">
        <v>16843434</v>
      </c>
      <c r="B996" t="s">
        <v>371</v>
      </c>
      <c r="C996" t="s">
        <v>371</v>
      </c>
      <c r="D996" t="s">
        <v>371</v>
      </c>
      <c r="E996" t="s">
        <v>371</v>
      </c>
      <c r="F996" t="s">
        <v>371</v>
      </c>
      <c r="G996" t="s">
        <v>371</v>
      </c>
      <c r="H996" t="s">
        <v>371</v>
      </c>
      <c r="I996" t="s">
        <v>371</v>
      </c>
      <c r="J996" t="s">
        <v>371</v>
      </c>
      <c r="K996" t="s">
        <v>371</v>
      </c>
      <c r="L996" t="s">
        <v>371</v>
      </c>
      <c r="M996" t="s">
        <v>371</v>
      </c>
      <c r="N996" t="s">
        <v>371</v>
      </c>
      <c r="O996" t="s">
        <v>371</v>
      </c>
      <c r="P996" t="s">
        <v>371</v>
      </c>
      <c r="Q996" t="s">
        <v>371</v>
      </c>
      <c r="R996" t="s">
        <v>371</v>
      </c>
      <c r="S996" t="s">
        <v>371</v>
      </c>
      <c r="T996" t="s">
        <v>371</v>
      </c>
      <c r="U996" t="s">
        <v>371</v>
      </c>
    </row>
    <row r="997" spans="1:21" x14ac:dyDescent="0.25">
      <c r="A997">
        <v>16843457</v>
      </c>
      <c r="B997" t="s">
        <v>371</v>
      </c>
      <c r="C997" t="s">
        <v>371</v>
      </c>
      <c r="D997" t="s">
        <v>371</v>
      </c>
      <c r="E997" t="s">
        <v>371</v>
      </c>
      <c r="F997" t="s">
        <v>371</v>
      </c>
      <c r="G997" t="s">
        <v>371</v>
      </c>
      <c r="H997" t="s">
        <v>371</v>
      </c>
      <c r="I997" t="s">
        <v>371</v>
      </c>
      <c r="J997" t="s">
        <v>371</v>
      </c>
      <c r="K997" t="s">
        <v>371</v>
      </c>
      <c r="L997" t="s">
        <v>371</v>
      </c>
      <c r="M997" t="s">
        <v>371</v>
      </c>
      <c r="N997" t="s">
        <v>371</v>
      </c>
      <c r="O997" t="s">
        <v>371</v>
      </c>
      <c r="P997" t="s">
        <v>371</v>
      </c>
      <c r="Q997" t="s">
        <v>371</v>
      </c>
      <c r="R997" t="s">
        <v>371</v>
      </c>
      <c r="S997" t="s">
        <v>371</v>
      </c>
      <c r="T997" t="s">
        <v>371</v>
      </c>
      <c r="U997" t="s">
        <v>371</v>
      </c>
    </row>
    <row r="998" spans="1:21" x14ac:dyDescent="0.25">
      <c r="A998">
        <v>16843537</v>
      </c>
      <c r="B998" t="s">
        <v>371</v>
      </c>
      <c r="C998" t="s">
        <v>371</v>
      </c>
      <c r="D998" t="s">
        <v>371</v>
      </c>
      <c r="E998" t="s">
        <v>371</v>
      </c>
      <c r="F998" t="s">
        <v>371</v>
      </c>
      <c r="G998" t="s">
        <v>371</v>
      </c>
      <c r="H998" t="s">
        <v>371</v>
      </c>
      <c r="I998" t="s">
        <v>371</v>
      </c>
      <c r="J998" t="s">
        <v>371</v>
      </c>
      <c r="K998" t="s">
        <v>371</v>
      </c>
      <c r="L998" t="s">
        <v>371</v>
      </c>
      <c r="M998" t="s">
        <v>371</v>
      </c>
      <c r="N998" t="s">
        <v>371</v>
      </c>
      <c r="O998" t="s">
        <v>371</v>
      </c>
      <c r="P998" t="s">
        <v>371</v>
      </c>
      <c r="Q998" t="s">
        <v>371</v>
      </c>
      <c r="R998" t="s">
        <v>371</v>
      </c>
      <c r="S998" t="s">
        <v>371</v>
      </c>
      <c r="T998" t="s">
        <v>371</v>
      </c>
      <c r="U998" t="s">
        <v>371</v>
      </c>
    </row>
    <row r="999" spans="1:21" x14ac:dyDescent="0.25">
      <c r="A999">
        <v>18943088</v>
      </c>
      <c r="B999" t="s">
        <v>340</v>
      </c>
      <c r="C999" t="s">
        <v>26</v>
      </c>
      <c r="D999" t="s">
        <v>79</v>
      </c>
      <c r="E999" t="s">
        <v>739</v>
      </c>
      <c r="F999" t="s">
        <v>103</v>
      </c>
      <c r="G999" t="s">
        <v>369</v>
      </c>
      <c r="H999" t="s">
        <v>2</v>
      </c>
      <c r="I999" t="s">
        <v>436</v>
      </c>
      <c r="J999" t="s">
        <v>443</v>
      </c>
      <c r="K999" t="s">
        <v>444</v>
      </c>
      <c r="L999" t="s">
        <v>345</v>
      </c>
      <c r="M999" t="s">
        <v>408</v>
      </c>
      <c r="N999" t="s">
        <v>11</v>
      </c>
      <c r="O999" t="s">
        <v>11</v>
      </c>
      <c r="P999" t="s">
        <v>2</v>
      </c>
      <c r="Q999" t="s">
        <v>408</v>
      </c>
      <c r="R999" t="s">
        <v>439</v>
      </c>
      <c r="S999" t="s">
        <v>440</v>
      </c>
      <c r="T999" t="s">
        <v>11</v>
      </c>
      <c r="U999" t="s">
        <v>408</v>
      </c>
    </row>
    <row r="1000" spans="1:21" x14ac:dyDescent="0.25">
      <c r="A1000">
        <v>18943091</v>
      </c>
      <c r="B1000" t="s">
        <v>340</v>
      </c>
      <c r="C1000" t="s">
        <v>26</v>
      </c>
      <c r="D1000" t="s">
        <v>12</v>
      </c>
      <c r="E1000" t="s">
        <v>623</v>
      </c>
      <c r="F1000" t="s">
        <v>209</v>
      </c>
      <c r="G1000" t="s">
        <v>369</v>
      </c>
      <c r="H1000" t="s">
        <v>370</v>
      </c>
      <c r="I1000" t="s">
        <v>721</v>
      </c>
      <c r="J1000" t="s">
        <v>455</v>
      </c>
      <c r="K1000" t="s">
        <v>453</v>
      </c>
      <c r="L1000" t="s">
        <v>367</v>
      </c>
      <c r="M1000" t="s">
        <v>408</v>
      </c>
      <c r="N1000" t="s">
        <v>11</v>
      </c>
      <c r="O1000" t="s">
        <v>11</v>
      </c>
      <c r="P1000" t="s">
        <v>2</v>
      </c>
      <c r="Q1000" t="s">
        <v>408</v>
      </c>
      <c r="R1000" t="s">
        <v>439</v>
      </c>
      <c r="S1000" t="s">
        <v>451</v>
      </c>
      <c r="T1000" t="s">
        <v>11</v>
      </c>
      <c r="U1000" t="s">
        <v>408</v>
      </c>
    </row>
    <row r="1001" spans="1:21" x14ac:dyDescent="0.25">
      <c r="A1001">
        <v>18943093</v>
      </c>
      <c r="B1001" t="s">
        <v>340</v>
      </c>
      <c r="C1001" t="s">
        <v>26</v>
      </c>
      <c r="D1001" t="s">
        <v>12</v>
      </c>
      <c r="E1001" t="s">
        <v>748</v>
      </c>
      <c r="F1001" t="s">
        <v>208</v>
      </c>
      <c r="G1001" t="s">
        <v>369</v>
      </c>
      <c r="H1001" t="s">
        <v>3</v>
      </c>
      <c r="I1001" t="s">
        <v>436</v>
      </c>
      <c r="J1001" t="s">
        <v>441</v>
      </c>
      <c r="K1001" t="s">
        <v>442</v>
      </c>
      <c r="L1001" t="s">
        <v>0</v>
      </c>
      <c r="M1001" t="s">
        <v>408</v>
      </c>
      <c r="N1001" t="s">
        <v>11</v>
      </c>
      <c r="O1001" t="s">
        <v>11</v>
      </c>
      <c r="P1001" t="s">
        <v>0</v>
      </c>
      <c r="Q1001" t="s">
        <v>408</v>
      </c>
      <c r="R1001" t="s">
        <v>439</v>
      </c>
      <c r="S1001" t="s">
        <v>440</v>
      </c>
      <c r="T1001" t="s">
        <v>11</v>
      </c>
      <c r="U1001" t="s">
        <v>408</v>
      </c>
    </row>
    <row r="1002" spans="1:21" x14ac:dyDescent="0.25">
      <c r="A1002">
        <v>18943094</v>
      </c>
      <c r="B1002" t="s">
        <v>340</v>
      </c>
      <c r="C1002" t="s">
        <v>26</v>
      </c>
      <c r="D1002" t="s">
        <v>12</v>
      </c>
      <c r="E1002" t="s">
        <v>723</v>
      </c>
      <c r="F1002" t="s">
        <v>137</v>
      </c>
      <c r="G1002" t="s">
        <v>369</v>
      </c>
      <c r="H1002" t="s">
        <v>0</v>
      </c>
      <c r="I1002" t="s">
        <v>436</v>
      </c>
      <c r="J1002" t="s">
        <v>437</v>
      </c>
      <c r="K1002" t="s">
        <v>438</v>
      </c>
      <c r="L1002" t="s">
        <v>1</v>
      </c>
      <c r="M1002" t="s">
        <v>408</v>
      </c>
      <c r="N1002" t="s">
        <v>11</v>
      </c>
      <c r="O1002" t="s">
        <v>408</v>
      </c>
      <c r="P1002" t="s">
        <v>0</v>
      </c>
      <c r="Q1002" t="s">
        <v>408</v>
      </c>
      <c r="R1002" t="s">
        <v>439</v>
      </c>
      <c r="S1002" t="s">
        <v>440</v>
      </c>
      <c r="T1002" t="s">
        <v>11</v>
      </c>
      <c r="U1002" t="s">
        <v>408</v>
      </c>
    </row>
    <row r="1003" spans="1:21" x14ac:dyDescent="0.25">
      <c r="A1003">
        <v>18943140</v>
      </c>
      <c r="B1003" t="s">
        <v>342</v>
      </c>
      <c r="C1003" t="s">
        <v>33</v>
      </c>
      <c r="D1003" t="s">
        <v>18</v>
      </c>
      <c r="E1003" t="s">
        <v>739</v>
      </c>
      <c r="F1003" t="s">
        <v>106</v>
      </c>
      <c r="G1003" t="s">
        <v>369</v>
      </c>
      <c r="H1003" t="s">
        <v>0</v>
      </c>
      <c r="I1003" t="s">
        <v>436</v>
      </c>
      <c r="J1003" t="s">
        <v>437</v>
      </c>
      <c r="K1003" t="s">
        <v>438</v>
      </c>
      <c r="L1003" t="s">
        <v>345</v>
      </c>
      <c r="M1003" t="s">
        <v>408</v>
      </c>
      <c r="N1003" t="s">
        <v>11</v>
      </c>
      <c r="O1003" t="s">
        <v>11</v>
      </c>
      <c r="P1003" t="s">
        <v>0</v>
      </c>
      <c r="Q1003" t="s">
        <v>408</v>
      </c>
      <c r="R1003" t="s">
        <v>439</v>
      </c>
      <c r="S1003" t="s">
        <v>440</v>
      </c>
      <c r="T1003" t="s">
        <v>11</v>
      </c>
      <c r="U1003" t="s">
        <v>408</v>
      </c>
    </row>
    <row r="1004" spans="1:21" x14ac:dyDescent="0.25">
      <c r="A1004">
        <v>18943171</v>
      </c>
      <c r="B1004" t="s">
        <v>340</v>
      </c>
      <c r="C1004" t="s">
        <v>26</v>
      </c>
      <c r="D1004" t="s">
        <v>12</v>
      </c>
      <c r="E1004" t="s">
        <v>720</v>
      </c>
      <c r="F1004" t="s">
        <v>54</v>
      </c>
      <c r="G1004" t="s">
        <v>369</v>
      </c>
      <c r="H1004" t="s">
        <v>370</v>
      </c>
      <c r="I1004" t="s">
        <v>721</v>
      </c>
      <c r="J1004" t="s">
        <v>455</v>
      </c>
      <c r="K1004" t="s">
        <v>453</v>
      </c>
      <c r="L1004" t="s">
        <v>367</v>
      </c>
      <c r="M1004" t="s">
        <v>408</v>
      </c>
      <c r="N1004" t="s">
        <v>11</v>
      </c>
      <c r="O1004" t="s">
        <v>11</v>
      </c>
      <c r="P1004" t="s">
        <v>341</v>
      </c>
      <c r="Q1004" t="s">
        <v>408</v>
      </c>
      <c r="R1004" t="s">
        <v>439</v>
      </c>
      <c r="S1004" t="s">
        <v>451</v>
      </c>
      <c r="T1004" t="s">
        <v>11</v>
      </c>
      <c r="U1004" t="s">
        <v>408</v>
      </c>
    </row>
    <row r="1005" spans="1:21" x14ac:dyDescent="0.25">
      <c r="A1005">
        <v>18943174</v>
      </c>
      <c r="B1005" t="s">
        <v>340</v>
      </c>
      <c r="C1005" t="s">
        <v>26</v>
      </c>
      <c r="D1005" t="s">
        <v>18</v>
      </c>
      <c r="E1005" t="s">
        <v>719</v>
      </c>
      <c r="F1005" t="s">
        <v>110</v>
      </c>
      <c r="G1005" t="s">
        <v>369</v>
      </c>
      <c r="H1005" t="s">
        <v>0</v>
      </c>
      <c r="I1005" t="s">
        <v>436</v>
      </c>
      <c r="J1005" t="s">
        <v>437</v>
      </c>
      <c r="K1005" t="s">
        <v>438</v>
      </c>
      <c r="L1005" t="s">
        <v>1</v>
      </c>
      <c r="M1005" t="s">
        <v>408</v>
      </c>
      <c r="N1005" t="s">
        <v>11</v>
      </c>
      <c r="O1005" t="s">
        <v>408</v>
      </c>
      <c r="P1005" t="s">
        <v>151</v>
      </c>
      <c r="Q1005" t="s">
        <v>408</v>
      </c>
      <c r="R1005" t="s">
        <v>439</v>
      </c>
      <c r="S1005" t="s">
        <v>440</v>
      </c>
      <c r="T1005" t="s">
        <v>11</v>
      </c>
      <c r="U1005" t="s">
        <v>408</v>
      </c>
    </row>
    <row r="1006" spans="1:21" x14ac:dyDescent="0.25">
      <c r="A1006">
        <v>18943175</v>
      </c>
      <c r="B1006" t="s">
        <v>340</v>
      </c>
      <c r="C1006" t="s">
        <v>26</v>
      </c>
      <c r="D1006" t="s">
        <v>18</v>
      </c>
      <c r="E1006" t="s">
        <v>749</v>
      </c>
      <c r="F1006" t="s">
        <v>207</v>
      </c>
      <c r="G1006" t="s">
        <v>369</v>
      </c>
      <c r="H1006" t="s">
        <v>0</v>
      </c>
      <c r="I1006" t="s">
        <v>436</v>
      </c>
      <c r="J1006" t="s">
        <v>437</v>
      </c>
      <c r="K1006" t="s">
        <v>438</v>
      </c>
      <c r="L1006" t="s">
        <v>1</v>
      </c>
      <c r="M1006" t="s">
        <v>408</v>
      </c>
      <c r="N1006" t="s">
        <v>11</v>
      </c>
      <c r="O1006" t="s">
        <v>11</v>
      </c>
      <c r="P1006" t="s">
        <v>0</v>
      </c>
      <c r="Q1006" t="s">
        <v>408</v>
      </c>
      <c r="R1006" t="s">
        <v>439</v>
      </c>
      <c r="S1006" t="s">
        <v>440</v>
      </c>
      <c r="T1006" t="s">
        <v>11</v>
      </c>
      <c r="U1006" t="s">
        <v>408</v>
      </c>
    </row>
    <row r="1007" spans="1:21" x14ac:dyDescent="0.25">
      <c r="A1007">
        <v>18943183</v>
      </c>
      <c r="B1007" t="s">
        <v>340</v>
      </c>
      <c r="C1007" t="s">
        <v>26</v>
      </c>
      <c r="D1007" t="s">
        <v>18</v>
      </c>
      <c r="E1007" t="s">
        <v>739</v>
      </c>
      <c r="F1007" t="s">
        <v>103</v>
      </c>
      <c r="G1007" t="s">
        <v>369</v>
      </c>
      <c r="H1007" t="s">
        <v>2</v>
      </c>
      <c r="I1007" t="s">
        <v>436</v>
      </c>
      <c r="J1007" t="s">
        <v>443</v>
      </c>
      <c r="K1007" t="s">
        <v>444</v>
      </c>
      <c r="L1007" t="s">
        <v>7</v>
      </c>
      <c r="M1007" t="s">
        <v>408</v>
      </c>
      <c r="N1007" t="s">
        <v>11</v>
      </c>
      <c r="O1007" t="s">
        <v>11</v>
      </c>
      <c r="P1007" t="s">
        <v>0</v>
      </c>
      <c r="Q1007" t="s">
        <v>408</v>
      </c>
      <c r="R1007" t="s">
        <v>439</v>
      </c>
      <c r="S1007" t="s">
        <v>440</v>
      </c>
      <c r="T1007" t="s">
        <v>11</v>
      </c>
      <c r="U1007" t="s">
        <v>408</v>
      </c>
    </row>
    <row r="1008" spans="1:21" x14ac:dyDescent="0.25">
      <c r="A1008">
        <v>18943185</v>
      </c>
      <c r="B1008" t="s">
        <v>340</v>
      </c>
      <c r="C1008" t="s">
        <v>26</v>
      </c>
      <c r="D1008" t="s">
        <v>12</v>
      </c>
      <c r="E1008" t="s">
        <v>739</v>
      </c>
      <c r="F1008" t="s">
        <v>202</v>
      </c>
      <c r="G1008" t="s">
        <v>369</v>
      </c>
      <c r="H1008" t="s">
        <v>350</v>
      </c>
      <c r="I1008" t="s">
        <v>436</v>
      </c>
      <c r="J1008" t="s">
        <v>566</v>
      </c>
      <c r="K1008" t="s">
        <v>701</v>
      </c>
      <c r="L1008" t="s">
        <v>8</v>
      </c>
      <c r="M1008" t="s">
        <v>408</v>
      </c>
      <c r="N1008" t="s">
        <v>11</v>
      </c>
      <c r="O1008" t="s">
        <v>11</v>
      </c>
      <c r="P1008" t="s">
        <v>0</v>
      </c>
      <c r="Q1008" t="s">
        <v>408</v>
      </c>
      <c r="R1008" t="s">
        <v>439</v>
      </c>
      <c r="S1008" t="s">
        <v>440</v>
      </c>
      <c r="T1008" t="s">
        <v>11</v>
      </c>
      <c r="U1008" t="s">
        <v>408</v>
      </c>
    </row>
    <row r="1009" spans="1:21" x14ac:dyDescent="0.25">
      <c r="A1009">
        <v>18943193</v>
      </c>
      <c r="B1009" t="s">
        <v>340</v>
      </c>
      <c r="C1009" t="s">
        <v>26</v>
      </c>
      <c r="D1009" t="s">
        <v>12</v>
      </c>
      <c r="E1009" t="s">
        <v>623</v>
      </c>
      <c r="F1009" t="s">
        <v>193</v>
      </c>
      <c r="G1009" t="s">
        <v>369</v>
      </c>
      <c r="H1009" t="s">
        <v>350</v>
      </c>
      <c r="I1009" t="s">
        <v>436</v>
      </c>
      <c r="J1009" t="s">
        <v>566</v>
      </c>
      <c r="K1009" t="s">
        <v>701</v>
      </c>
      <c r="L1009" t="s">
        <v>8</v>
      </c>
      <c r="M1009" t="s">
        <v>408</v>
      </c>
      <c r="N1009" t="s">
        <v>11</v>
      </c>
      <c r="O1009" t="s">
        <v>11</v>
      </c>
      <c r="P1009" t="s">
        <v>0</v>
      </c>
      <c r="Q1009" t="s">
        <v>408</v>
      </c>
      <c r="R1009" t="s">
        <v>439</v>
      </c>
      <c r="S1009" t="s">
        <v>440</v>
      </c>
      <c r="T1009" t="s">
        <v>11</v>
      </c>
      <c r="U1009" t="s">
        <v>408</v>
      </c>
    </row>
    <row r="1010" spans="1:21" x14ac:dyDescent="0.25">
      <c r="A1010">
        <v>18943197</v>
      </c>
      <c r="B1010" t="s">
        <v>340</v>
      </c>
      <c r="C1010" t="s">
        <v>26</v>
      </c>
      <c r="D1010" t="s">
        <v>12</v>
      </c>
      <c r="E1010" t="s">
        <v>623</v>
      </c>
      <c r="F1010" t="s">
        <v>205</v>
      </c>
      <c r="G1010" t="s">
        <v>369</v>
      </c>
      <c r="H1010" t="s">
        <v>0</v>
      </c>
      <c r="I1010" t="s">
        <v>436</v>
      </c>
      <c r="J1010" t="s">
        <v>437</v>
      </c>
      <c r="K1010" t="s">
        <v>438</v>
      </c>
      <c r="L1010" t="s">
        <v>1</v>
      </c>
      <c r="M1010" t="s">
        <v>408</v>
      </c>
      <c r="N1010" t="s">
        <v>11</v>
      </c>
      <c r="O1010" t="s">
        <v>11</v>
      </c>
      <c r="P1010" t="s">
        <v>0</v>
      </c>
      <c r="Q1010" t="s">
        <v>408</v>
      </c>
      <c r="R1010" t="s">
        <v>439</v>
      </c>
      <c r="S1010" t="s">
        <v>440</v>
      </c>
      <c r="T1010" t="s">
        <v>11</v>
      </c>
      <c r="U1010" t="s">
        <v>408</v>
      </c>
    </row>
    <row r="1011" spans="1:21" x14ac:dyDescent="0.25">
      <c r="A1011">
        <v>18943198</v>
      </c>
      <c r="B1011" t="s">
        <v>340</v>
      </c>
      <c r="C1011" t="s">
        <v>26</v>
      </c>
      <c r="D1011" t="s">
        <v>12</v>
      </c>
      <c r="E1011" t="s">
        <v>747</v>
      </c>
      <c r="F1011" t="s">
        <v>192</v>
      </c>
      <c r="G1011" t="s">
        <v>369</v>
      </c>
      <c r="H1011" t="s">
        <v>715</v>
      </c>
      <c r="I1011" t="s">
        <v>716</v>
      </c>
      <c r="J1011" t="s">
        <v>717</v>
      </c>
      <c r="K1011" t="s">
        <v>438</v>
      </c>
      <c r="L1011" t="s">
        <v>0</v>
      </c>
      <c r="M1011" t="s">
        <v>408</v>
      </c>
      <c r="N1011" t="s">
        <v>11</v>
      </c>
      <c r="O1011" t="s">
        <v>11</v>
      </c>
      <c r="P1011" t="s">
        <v>0</v>
      </c>
      <c r="Q1011" t="s">
        <v>408</v>
      </c>
      <c r="R1011" t="s">
        <v>439</v>
      </c>
      <c r="S1011" t="s">
        <v>440</v>
      </c>
      <c r="T1011" t="s">
        <v>11</v>
      </c>
      <c r="U1011" t="s">
        <v>408</v>
      </c>
    </row>
    <row r="1012" spans="1:21" x14ac:dyDescent="0.25">
      <c r="A1012">
        <v>19050004</v>
      </c>
      <c r="B1012" t="s">
        <v>340</v>
      </c>
      <c r="C1012" t="s">
        <v>26</v>
      </c>
      <c r="D1012" t="s">
        <v>12</v>
      </c>
      <c r="E1012" t="s">
        <v>623</v>
      </c>
      <c r="F1012" t="s">
        <v>193</v>
      </c>
      <c r="G1012" t="s">
        <v>369</v>
      </c>
      <c r="H1012" t="s">
        <v>1</v>
      </c>
      <c r="I1012" t="s">
        <v>469</v>
      </c>
      <c r="J1012" t="s">
        <v>445</v>
      </c>
      <c r="K1012" t="s">
        <v>438</v>
      </c>
      <c r="L1012" t="s">
        <v>0</v>
      </c>
      <c r="M1012" t="s">
        <v>408</v>
      </c>
      <c r="N1012" t="s">
        <v>11</v>
      </c>
      <c r="O1012" t="s">
        <v>11</v>
      </c>
      <c r="P1012" t="s">
        <v>0</v>
      </c>
      <c r="Q1012" t="s">
        <v>408</v>
      </c>
      <c r="R1012" t="s">
        <v>439</v>
      </c>
      <c r="S1012" t="s">
        <v>440</v>
      </c>
      <c r="T1012" t="s">
        <v>11</v>
      </c>
      <c r="U1012" t="s">
        <v>408</v>
      </c>
    </row>
    <row r="1013" spans="1:21" x14ac:dyDescent="0.25">
      <c r="A1013">
        <v>19050007</v>
      </c>
      <c r="B1013" t="s">
        <v>340</v>
      </c>
      <c r="C1013" t="s">
        <v>26</v>
      </c>
      <c r="D1013" t="s">
        <v>12</v>
      </c>
      <c r="E1013" t="s">
        <v>623</v>
      </c>
      <c r="F1013" t="s">
        <v>193</v>
      </c>
      <c r="G1013" t="s">
        <v>369</v>
      </c>
      <c r="H1013" t="s">
        <v>0</v>
      </c>
      <c r="I1013" t="s">
        <v>436</v>
      </c>
      <c r="J1013" t="s">
        <v>437</v>
      </c>
      <c r="K1013" t="s">
        <v>438</v>
      </c>
      <c r="L1013" t="s">
        <v>4</v>
      </c>
      <c r="M1013" t="s">
        <v>408</v>
      </c>
      <c r="N1013" t="s">
        <v>11</v>
      </c>
      <c r="O1013" t="s">
        <v>11</v>
      </c>
      <c r="P1013" t="s">
        <v>0</v>
      </c>
      <c r="Q1013" t="s">
        <v>408</v>
      </c>
      <c r="R1013" t="s">
        <v>439</v>
      </c>
      <c r="S1013" t="s">
        <v>440</v>
      </c>
      <c r="T1013" t="s">
        <v>11</v>
      </c>
      <c r="U1013" t="s">
        <v>408</v>
      </c>
    </row>
    <row r="1014" spans="1:21" x14ac:dyDescent="0.25">
      <c r="A1014">
        <v>19050011</v>
      </c>
      <c r="B1014" t="s">
        <v>340</v>
      </c>
      <c r="C1014" t="s">
        <v>26</v>
      </c>
      <c r="D1014" t="s">
        <v>12</v>
      </c>
      <c r="E1014" t="s">
        <v>739</v>
      </c>
      <c r="F1014" t="s">
        <v>106</v>
      </c>
      <c r="G1014" t="s">
        <v>369</v>
      </c>
      <c r="H1014" t="s">
        <v>370</v>
      </c>
      <c r="I1014" t="s">
        <v>721</v>
      </c>
      <c r="J1014" t="s">
        <v>455</v>
      </c>
      <c r="K1014" t="s">
        <v>453</v>
      </c>
      <c r="L1014" t="s">
        <v>367</v>
      </c>
      <c r="M1014" t="s">
        <v>408</v>
      </c>
      <c r="N1014" t="s">
        <v>11</v>
      </c>
      <c r="O1014" t="s">
        <v>11</v>
      </c>
      <c r="P1014" t="s">
        <v>0</v>
      </c>
      <c r="Q1014" t="s">
        <v>408</v>
      </c>
      <c r="R1014" t="s">
        <v>439</v>
      </c>
      <c r="S1014" t="s">
        <v>451</v>
      </c>
      <c r="T1014" t="s">
        <v>11</v>
      </c>
      <c r="U1014" t="s">
        <v>408</v>
      </c>
    </row>
    <row r="1015" spans="1:21" x14ac:dyDescent="0.25">
      <c r="A1015">
        <v>19050014</v>
      </c>
      <c r="B1015" t="s">
        <v>340</v>
      </c>
      <c r="C1015" t="s">
        <v>26</v>
      </c>
      <c r="D1015" t="s">
        <v>12</v>
      </c>
      <c r="E1015" t="s">
        <v>739</v>
      </c>
      <c r="F1015" t="s">
        <v>202</v>
      </c>
      <c r="G1015" t="s">
        <v>369</v>
      </c>
      <c r="H1015" t="s">
        <v>2</v>
      </c>
      <c r="I1015" t="s">
        <v>436</v>
      </c>
      <c r="J1015" t="s">
        <v>443</v>
      </c>
      <c r="K1015" t="s">
        <v>444</v>
      </c>
      <c r="L1015" t="s">
        <v>7</v>
      </c>
      <c r="M1015" t="s">
        <v>408</v>
      </c>
      <c r="N1015" t="s">
        <v>11</v>
      </c>
      <c r="O1015" t="s">
        <v>11</v>
      </c>
      <c r="P1015" t="s">
        <v>0</v>
      </c>
      <c r="Q1015" t="s">
        <v>408</v>
      </c>
      <c r="R1015" t="s">
        <v>439</v>
      </c>
      <c r="S1015" t="s">
        <v>440</v>
      </c>
      <c r="T1015" t="s">
        <v>11</v>
      </c>
      <c r="U1015" t="s">
        <v>408</v>
      </c>
    </row>
    <row r="1016" spans="1:21" x14ac:dyDescent="0.25">
      <c r="A1016">
        <v>19050016</v>
      </c>
      <c r="B1016" t="s">
        <v>340</v>
      </c>
      <c r="C1016" t="s">
        <v>26</v>
      </c>
      <c r="D1016" t="s">
        <v>12</v>
      </c>
      <c r="E1016" t="s">
        <v>739</v>
      </c>
      <c r="F1016" t="s">
        <v>106</v>
      </c>
      <c r="G1016" t="s">
        <v>369</v>
      </c>
      <c r="H1016" t="s">
        <v>0</v>
      </c>
      <c r="I1016" t="s">
        <v>436</v>
      </c>
      <c r="J1016" t="s">
        <v>437</v>
      </c>
      <c r="K1016" t="s">
        <v>438</v>
      </c>
      <c r="L1016" t="s">
        <v>1</v>
      </c>
      <c r="M1016" t="s">
        <v>408</v>
      </c>
      <c r="N1016" t="s">
        <v>11</v>
      </c>
      <c r="O1016" t="s">
        <v>11</v>
      </c>
      <c r="P1016" t="s">
        <v>0</v>
      </c>
      <c r="Q1016" t="s">
        <v>408</v>
      </c>
      <c r="R1016" t="s">
        <v>439</v>
      </c>
      <c r="S1016" t="s">
        <v>440</v>
      </c>
      <c r="T1016" t="s">
        <v>11</v>
      </c>
      <c r="U1016" t="s">
        <v>408</v>
      </c>
    </row>
    <row r="1017" spans="1:21" x14ac:dyDescent="0.25">
      <c r="A1017">
        <v>19050020</v>
      </c>
      <c r="B1017" t="s">
        <v>340</v>
      </c>
      <c r="C1017" t="s">
        <v>26</v>
      </c>
      <c r="D1017" t="s">
        <v>12</v>
      </c>
      <c r="E1017" t="s">
        <v>623</v>
      </c>
      <c r="F1017" t="s">
        <v>193</v>
      </c>
      <c r="G1017" t="s">
        <v>369</v>
      </c>
      <c r="H1017" t="s">
        <v>2</v>
      </c>
      <c r="I1017" t="s">
        <v>436</v>
      </c>
      <c r="J1017" t="s">
        <v>443</v>
      </c>
      <c r="K1017" t="s">
        <v>444</v>
      </c>
      <c r="L1017" t="s">
        <v>7</v>
      </c>
      <c r="M1017" t="s">
        <v>408</v>
      </c>
      <c r="N1017" t="s">
        <v>11</v>
      </c>
      <c r="O1017" t="s">
        <v>11</v>
      </c>
      <c r="P1017" t="s">
        <v>0</v>
      </c>
      <c r="Q1017" t="s">
        <v>408</v>
      </c>
      <c r="R1017" t="s">
        <v>439</v>
      </c>
      <c r="S1017" t="s">
        <v>440</v>
      </c>
      <c r="T1017" t="s">
        <v>11</v>
      </c>
      <c r="U1017" t="s">
        <v>408</v>
      </c>
    </row>
    <row r="1018" spans="1:21" x14ac:dyDescent="0.25">
      <c r="A1018">
        <v>19050026</v>
      </c>
      <c r="B1018" t="s">
        <v>340</v>
      </c>
      <c r="C1018" t="s">
        <v>26</v>
      </c>
      <c r="D1018" t="s">
        <v>12</v>
      </c>
      <c r="E1018" t="s">
        <v>739</v>
      </c>
      <c r="F1018" t="s">
        <v>202</v>
      </c>
      <c r="G1018" t="s">
        <v>369</v>
      </c>
      <c r="H1018" t="s">
        <v>715</v>
      </c>
      <c r="I1018" t="s">
        <v>716</v>
      </c>
      <c r="J1018" t="s">
        <v>717</v>
      </c>
      <c r="K1018" t="s">
        <v>438</v>
      </c>
      <c r="L1018" t="s">
        <v>0</v>
      </c>
      <c r="M1018" t="s">
        <v>408</v>
      </c>
      <c r="N1018" t="s">
        <v>11</v>
      </c>
      <c r="O1018" t="s">
        <v>11</v>
      </c>
      <c r="P1018" t="s">
        <v>0</v>
      </c>
      <c r="Q1018" t="s">
        <v>408</v>
      </c>
      <c r="R1018" t="s">
        <v>439</v>
      </c>
      <c r="S1018" t="s">
        <v>440</v>
      </c>
      <c r="T1018" t="s">
        <v>11</v>
      </c>
      <c r="U1018" t="s">
        <v>408</v>
      </c>
    </row>
    <row r="1019" spans="1:21" x14ac:dyDescent="0.25">
      <c r="A1019">
        <v>19050034</v>
      </c>
      <c r="B1019" t="s">
        <v>340</v>
      </c>
      <c r="C1019" t="s">
        <v>26</v>
      </c>
      <c r="D1019" t="s">
        <v>12</v>
      </c>
      <c r="E1019" t="s">
        <v>739</v>
      </c>
      <c r="F1019" t="s">
        <v>103</v>
      </c>
      <c r="G1019" t="s">
        <v>369</v>
      </c>
      <c r="H1019" t="s">
        <v>0</v>
      </c>
      <c r="I1019" t="s">
        <v>436</v>
      </c>
      <c r="J1019" t="s">
        <v>437</v>
      </c>
      <c r="K1019" t="s">
        <v>438</v>
      </c>
      <c r="L1019" t="s">
        <v>4</v>
      </c>
      <c r="M1019" t="s">
        <v>408</v>
      </c>
      <c r="N1019" t="s">
        <v>11</v>
      </c>
      <c r="O1019" t="s">
        <v>11</v>
      </c>
      <c r="P1019" t="s">
        <v>0</v>
      </c>
      <c r="Q1019" t="s">
        <v>408</v>
      </c>
      <c r="R1019" t="s">
        <v>439</v>
      </c>
      <c r="S1019" t="s">
        <v>440</v>
      </c>
      <c r="T1019" t="s">
        <v>11</v>
      </c>
      <c r="U1019" t="s">
        <v>408</v>
      </c>
    </row>
    <row r="1020" spans="1:21" x14ac:dyDescent="0.25">
      <c r="A1020">
        <v>19050035</v>
      </c>
      <c r="B1020" t="s">
        <v>340</v>
      </c>
      <c r="C1020" t="s">
        <v>26</v>
      </c>
      <c r="D1020" t="s">
        <v>12</v>
      </c>
      <c r="E1020" t="s">
        <v>623</v>
      </c>
      <c r="F1020" t="s">
        <v>593</v>
      </c>
      <c r="G1020" t="s">
        <v>369</v>
      </c>
      <c r="H1020" t="s">
        <v>350</v>
      </c>
      <c r="I1020" t="s">
        <v>436</v>
      </c>
      <c r="J1020" t="s">
        <v>566</v>
      </c>
      <c r="K1020" t="s">
        <v>701</v>
      </c>
      <c r="L1020" t="s">
        <v>8</v>
      </c>
      <c r="M1020" t="s">
        <v>408</v>
      </c>
      <c r="N1020" t="s">
        <v>11</v>
      </c>
      <c r="O1020" t="s">
        <v>11</v>
      </c>
      <c r="P1020" t="s">
        <v>0</v>
      </c>
      <c r="Q1020" t="s">
        <v>408</v>
      </c>
      <c r="R1020" t="s">
        <v>439</v>
      </c>
      <c r="S1020" t="s">
        <v>440</v>
      </c>
      <c r="T1020" t="s">
        <v>11</v>
      </c>
      <c r="U1020" t="s">
        <v>408</v>
      </c>
    </row>
    <row r="1021" spans="1:21" x14ac:dyDescent="0.25">
      <c r="A1021">
        <v>19050039</v>
      </c>
      <c r="B1021" t="s">
        <v>340</v>
      </c>
      <c r="C1021" t="s">
        <v>26</v>
      </c>
      <c r="D1021" t="s">
        <v>12</v>
      </c>
      <c r="E1021" t="s">
        <v>524</v>
      </c>
      <c r="F1021" t="s">
        <v>204</v>
      </c>
      <c r="G1021" t="s">
        <v>369</v>
      </c>
      <c r="H1021" t="s">
        <v>0</v>
      </c>
      <c r="I1021" t="s">
        <v>436</v>
      </c>
      <c r="J1021" t="s">
        <v>437</v>
      </c>
      <c r="K1021" t="s">
        <v>438</v>
      </c>
      <c r="L1021" t="s">
        <v>1</v>
      </c>
      <c r="M1021" t="s">
        <v>408</v>
      </c>
      <c r="N1021" t="s">
        <v>11</v>
      </c>
      <c r="O1021" t="s">
        <v>408</v>
      </c>
      <c r="P1021" t="s">
        <v>151</v>
      </c>
      <c r="Q1021" t="s">
        <v>408</v>
      </c>
      <c r="R1021" t="s">
        <v>439</v>
      </c>
      <c r="S1021" t="s">
        <v>440</v>
      </c>
      <c r="T1021" t="s">
        <v>11</v>
      </c>
      <c r="U1021" t="s">
        <v>408</v>
      </c>
    </row>
    <row r="1022" spans="1:21" x14ac:dyDescent="0.25">
      <c r="A1022">
        <v>19050040</v>
      </c>
      <c r="B1022" t="s">
        <v>340</v>
      </c>
      <c r="C1022" t="s">
        <v>26</v>
      </c>
      <c r="D1022" t="s">
        <v>18</v>
      </c>
      <c r="E1022" t="s">
        <v>515</v>
      </c>
      <c r="F1022" t="s">
        <v>203</v>
      </c>
      <c r="G1022" t="s">
        <v>369</v>
      </c>
      <c r="H1022" t="s">
        <v>0</v>
      </c>
      <c r="I1022" t="s">
        <v>436</v>
      </c>
      <c r="J1022" t="s">
        <v>437</v>
      </c>
      <c r="K1022" t="s">
        <v>438</v>
      </c>
      <c r="L1022" t="s">
        <v>1</v>
      </c>
      <c r="M1022" t="s">
        <v>408</v>
      </c>
      <c r="N1022" t="s">
        <v>11</v>
      </c>
      <c r="O1022" t="s">
        <v>408</v>
      </c>
      <c r="P1022" t="s">
        <v>341</v>
      </c>
      <c r="Q1022" t="s">
        <v>408</v>
      </c>
      <c r="R1022" t="s">
        <v>439</v>
      </c>
      <c r="S1022" t="s">
        <v>440</v>
      </c>
      <c r="T1022" t="s">
        <v>11</v>
      </c>
      <c r="U1022" t="s">
        <v>408</v>
      </c>
    </row>
    <row r="1023" spans="1:21" x14ac:dyDescent="0.25">
      <c r="A1023">
        <v>19050042</v>
      </c>
      <c r="B1023" t="s">
        <v>340</v>
      </c>
      <c r="C1023" t="s">
        <v>26</v>
      </c>
      <c r="D1023" t="s">
        <v>12</v>
      </c>
      <c r="E1023" t="s">
        <v>730</v>
      </c>
      <c r="F1023" t="s">
        <v>41</v>
      </c>
      <c r="G1023" t="s">
        <v>369</v>
      </c>
      <c r="H1023" t="s">
        <v>1</v>
      </c>
      <c r="I1023" t="s">
        <v>469</v>
      </c>
      <c r="J1023" t="s">
        <v>445</v>
      </c>
      <c r="K1023" t="s">
        <v>438</v>
      </c>
      <c r="L1023" t="s">
        <v>2</v>
      </c>
      <c r="M1023" t="s">
        <v>408</v>
      </c>
      <c r="N1023" t="s">
        <v>11</v>
      </c>
      <c r="O1023" t="s">
        <v>11</v>
      </c>
      <c r="P1023" t="s">
        <v>2</v>
      </c>
      <c r="Q1023" t="s">
        <v>408</v>
      </c>
      <c r="R1023" t="s">
        <v>439</v>
      </c>
      <c r="S1023" t="s">
        <v>440</v>
      </c>
      <c r="T1023" t="s">
        <v>11</v>
      </c>
      <c r="U1023" t="s">
        <v>408</v>
      </c>
    </row>
    <row r="1024" spans="1:21" x14ac:dyDescent="0.25">
      <c r="A1024">
        <v>19050045</v>
      </c>
      <c r="B1024" t="s">
        <v>340</v>
      </c>
      <c r="C1024" t="s">
        <v>26</v>
      </c>
      <c r="D1024" t="s">
        <v>12</v>
      </c>
      <c r="E1024" t="s">
        <v>474</v>
      </c>
      <c r="F1024" t="s">
        <v>320</v>
      </c>
      <c r="G1024" t="s">
        <v>369</v>
      </c>
      <c r="H1024" t="s">
        <v>0</v>
      </c>
      <c r="I1024" t="s">
        <v>436</v>
      </c>
      <c r="J1024" t="s">
        <v>437</v>
      </c>
      <c r="K1024" t="s">
        <v>438</v>
      </c>
      <c r="L1024" t="s">
        <v>1</v>
      </c>
      <c r="M1024" t="s">
        <v>408</v>
      </c>
      <c r="N1024" t="s">
        <v>11</v>
      </c>
      <c r="O1024" t="s">
        <v>408</v>
      </c>
      <c r="P1024" t="s">
        <v>6</v>
      </c>
      <c r="Q1024" t="s">
        <v>408</v>
      </c>
      <c r="R1024" t="s">
        <v>439</v>
      </c>
      <c r="S1024" t="s">
        <v>440</v>
      </c>
      <c r="T1024" t="s">
        <v>11</v>
      </c>
      <c r="U1024" t="s">
        <v>408</v>
      </c>
    </row>
    <row r="1025" spans="1:21" x14ac:dyDescent="0.25">
      <c r="A1025">
        <v>19050048</v>
      </c>
      <c r="B1025" t="s">
        <v>340</v>
      </c>
      <c r="C1025" t="s">
        <v>26</v>
      </c>
      <c r="D1025" t="s">
        <v>18</v>
      </c>
      <c r="E1025" t="s">
        <v>718</v>
      </c>
      <c r="F1025" t="s">
        <v>142</v>
      </c>
      <c r="G1025" t="s">
        <v>369</v>
      </c>
      <c r="H1025" t="s">
        <v>370</v>
      </c>
      <c r="I1025" t="s">
        <v>721</v>
      </c>
      <c r="J1025" t="s">
        <v>455</v>
      </c>
      <c r="K1025" t="s">
        <v>453</v>
      </c>
      <c r="L1025" t="s">
        <v>367</v>
      </c>
      <c r="M1025" t="s">
        <v>408</v>
      </c>
      <c r="N1025" t="s">
        <v>11</v>
      </c>
      <c r="O1025" t="s">
        <v>11</v>
      </c>
      <c r="P1025" t="s">
        <v>0</v>
      </c>
      <c r="Q1025" t="s">
        <v>408</v>
      </c>
      <c r="R1025" t="s">
        <v>439</v>
      </c>
      <c r="S1025" t="s">
        <v>451</v>
      </c>
      <c r="T1025" t="s">
        <v>11</v>
      </c>
      <c r="U1025" t="s">
        <v>408</v>
      </c>
    </row>
    <row r="1026" spans="1:21" x14ac:dyDescent="0.25">
      <c r="A1026">
        <v>19050051</v>
      </c>
      <c r="B1026" t="s">
        <v>340</v>
      </c>
      <c r="C1026" t="s">
        <v>26</v>
      </c>
      <c r="D1026" t="s">
        <v>12</v>
      </c>
      <c r="E1026" t="s">
        <v>609</v>
      </c>
      <c r="F1026" t="s">
        <v>141</v>
      </c>
      <c r="G1026" t="s">
        <v>369</v>
      </c>
      <c r="H1026" t="s">
        <v>0</v>
      </c>
      <c r="I1026" t="s">
        <v>436</v>
      </c>
      <c r="J1026" t="s">
        <v>437</v>
      </c>
      <c r="K1026" t="s">
        <v>438</v>
      </c>
      <c r="L1026" t="s">
        <v>1</v>
      </c>
      <c r="M1026" t="s">
        <v>408</v>
      </c>
      <c r="N1026" t="s">
        <v>11</v>
      </c>
      <c r="O1026" t="s">
        <v>11</v>
      </c>
      <c r="P1026" t="s">
        <v>0</v>
      </c>
      <c r="Q1026" t="s">
        <v>408</v>
      </c>
      <c r="R1026" t="s">
        <v>439</v>
      </c>
      <c r="S1026" t="s">
        <v>440</v>
      </c>
      <c r="T1026" t="s">
        <v>11</v>
      </c>
      <c r="U1026" t="s">
        <v>408</v>
      </c>
    </row>
    <row r="1027" spans="1:21" x14ac:dyDescent="0.25">
      <c r="A1027">
        <v>19050067</v>
      </c>
      <c r="B1027" t="s">
        <v>340</v>
      </c>
      <c r="C1027" t="s">
        <v>26</v>
      </c>
      <c r="D1027" t="s">
        <v>12</v>
      </c>
      <c r="E1027" t="s">
        <v>623</v>
      </c>
      <c r="F1027" t="s">
        <v>193</v>
      </c>
      <c r="G1027" t="s">
        <v>369</v>
      </c>
      <c r="H1027" t="s">
        <v>350</v>
      </c>
      <c r="I1027" t="s">
        <v>436</v>
      </c>
      <c r="J1027" t="s">
        <v>566</v>
      </c>
      <c r="K1027" t="s">
        <v>701</v>
      </c>
      <c r="L1027" t="s">
        <v>8</v>
      </c>
      <c r="M1027" t="s">
        <v>408</v>
      </c>
      <c r="N1027" t="s">
        <v>11</v>
      </c>
      <c r="O1027" t="s">
        <v>11</v>
      </c>
      <c r="P1027" t="s">
        <v>0</v>
      </c>
      <c r="Q1027" t="s">
        <v>408</v>
      </c>
      <c r="R1027" t="s">
        <v>439</v>
      </c>
      <c r="S1027" t="s">
        <v>440</v>
      </c>
      <c r="T1027" t="s">
        <v>11</v>
      </c>
      <c r="U1027" t="s">
        <v>408</v>
      </c>
    </row>
    <row r="1028" spans="1:21" x14ac:dyDescent="0.25">
      <c r="A1028">
        <v>19050068</v>
      </c>
      <c r="B1028" t="s">
        <v>340</v>
      </c>
      <c r="C1028" t="s">
        <v>26</v>
      </c>
      <c r="D1028" t="s">
        <v>12</v>
      </c>
      <c r="E1028" t="s">
        <v>739</v>
      </c>
      <c r="F1028" t="s">
        <v>103</v>
      </c>
      <c r="G1028" t="s">
        <v>369</v>
      </c>
      <c r="H1028" t="s">
        <v>2</v>
      </c>
      <c r="I1028" t="s">
        <v>436</v>
      </c>
      <c r="J1028" t="s">
        <v>443</v>
      </c>
      <c r="K1028" t="s">
        <v>444</v>
      </c>
      <c r="L1028" t="s">
        <v>7</v>
      </c>
      <c r="M1028" t="s">
        <v>408</v>
      </c>
      <c r="N1028" t="s">
        <v>11</v>
      </c>
      <c r="O1028" t="s">
        <v>11</v>
      </c>
      <c r="P1028" t="s">
        <v>0</v>
      </c>
      <c r="Q1028" t="s">
        <v>408</v>
      </c>
      <c r="R1028" t="s">
        <v>439</v>
      </c>
      <c r="S1028" t="s">
        <v>440</v>
      </c>
      <c r="T1028" t="s">
        <v>11</v>
      </c>
      <c r="U1028" t="s">
        <v>408</v>
      </c>
    </row>
    <row r="1029" spans="1:21" x14ac:dyDescent="0.25">
      <c r="A1029">
        <v>19050076</v>
      </c>
      <c r="B1029" t="s">
        <v>340</v>
      </c>
      <c r="C1029" t="s">
        <v>26</v>
      </c>
      <c r="D1029" t="s">
        <v>12</v>
      </c>
      <c r="E1029" t="s">
        <v>739</v>
      </c>
      <c r="F1029" t="s">
        <v>28</v>
      </c>
      <c r="G1029" t="s">
        <v>369</v>
      </c>
      <c r="H1029" t="s">
        <v>0</v>
      </c>
      <c r="I1029" t="s">
        <v>436</v>
      </c>
      <c r="J1029" t="s">
        <v>437</v>
      </c>
      <c r="K1029" t="s">
        <v>438</v>
      </c>
      <c r="L1029" t="s">
        <v>1</v>
      </c>
      <c r="M1029" t="s">
        <v>408</v>
      </c>
      <c r="N1029" t="s">
        <v>11</v>
      </c>
      <c r="O1029" t="s">
        <v>11</v>
      </c>
      <c r="P1029" t="s">
        <v>0</v>
      </c>
      <c r="Q1029" t="s">
        <v>408</v>
      </c>
      <c r="R1029" t="s">
        <v>439</v>
      </c>
      <c r="S1029" t="s">
        <v>440</v>
      </c>
      <c r="T1029" t="s">
        <v>11</v>
      </c>
      <c r="U1029" t="s">
        <v>408</v>
      </c>
    </row>
    <row r="1030" spans="1:21" x14ac:dyDescent="0.25">
      <c r="A1030">
        <v>19050078</v>
      </c>
      <c r="B1030" t="s">
        <v>340</v>
      </c>
      <c r="C1030" t="s">
        <v>26</v>
      </c>
      <c r="D1030" t="s">
        <v>12</v>
      </c>
      <c r="E1030" t="s">
        <v>739</v>
      </c>
      <c r="F1030" t="s">
        <v>202</v>
      </c>
      <c r="G1030" t="s">
        <v>369</v>
      </c>
      <c r="H1030" t="s">
        <v>350</v>
      </c>
      <c r="I1030" t="s">
        <v>436</v>
      </c>
      <c r="J1030" t="s">
        <v>566</v>
      </c>
      <c r="K1030" t="s">
        <v>701</v>
      </c>
      <c r="L1030" t="s">
        <v>8</v>
      </c>
      <c r="M1030" t="s">
        <v>408</v>
      </c>
      <c r="N1030" t="s">
        <v>11</v>
      </c>
      <c r="O1030" t="s">
        <v>11</v>
      </c>
      <c r="P1030" t="s">
        <v>0</v>
      </c>
      <c r="Q1030" t="s">
        <v>408</v>
      </c>
      <c r="R1030" t="s">
        <v>439</v>
      </c>
      <c r="S1030" t="s">
        <v>440</v>
      </c>
      <c r="T1030" t="s">
        <v>11</v>
      </c>
      <c r="U1030" t="s">
        <v>408</v>
      </c>
    </row>
    <row r="1031" spans="1:21" x14ac:dyDescent="0.25">
      <c r="A1031">
        <v>19050087</v>
      </c>
      <c r="B1031" t="s">
        <v>340</v>
      </c>
      <c r="C1031" t="s">
        <v>26</v>
      </c>
      <c r="D1031" t="s">
        <v>12</v>
      </c>
      <c r="E1031" t="s">
        <v>739</v>
      </c>
      <c r="F1031" t="s">
        <v>103</v>
      </c>
      <c r="G1031" t="s">
        <v>369</v>
      </c>
      <c r="H1031" t="s">
        <v>5</v>
      </c>
      <c r="I1031" t="s">
        <v>436</v>
      </c>
      <c r="J1031" t="s">
        <v>446</v>
      </c>
      <c r="K1031" t="s">
        <v>438</v>
      </c>
      <c r="L1031" t="s">
        <v>2</v>
      </c>
      <c r="M1031" t="s">
        <v>408</v>
      </c>
      <c r="N1031" t="s">
        <v>11</v>
      </c>
      <c r="O1031" t="s">
        <v>11</v>
      </c>
      <c r="P1031" t="s">
        <v>0</v>
      </c>
      <c r="Q1031" t="s">
        <v>408</v>
      </c>
      <c r="R1031" t="s">
        <v>439</v>
      </c>
      <c r="S1031" t="s">
        <v>440</v>
      </c>
      <c r="T1031" t="s">
        <v>11</v>
      </c>
      <c r="U1031" t="s">
        <v>408</v>
      </c>
    </row>
    <row r="1032" spans="1:21" x14ac:dyDescent="0.25">
      <c r="A1032">
        <v>19050088</v>
      </c>
      <c r="B1032" t="s">
        <v>340</v>
      </c>
      <c r="C1032" t="s">
        <v>26</v>
      </c>
      <c r="D1032" t="s">
        <v>12</v>
      </c>
      <c r="E1032" t="s">
        <v>739</v>
      </c>
      <c r="F1032" t="s">
        <v>103</v>
      </c>
      <c r="G1032" t="s">
        <v>369</v>
      </c>
      <c r="H1032" t="s">
        <v>0</v>
      </c>
      <c r="I1032" t="s">
        <v>436</v>
      </c>
      <c r="J1032" t="s">
        <v>437</v>
      </c>
      <c r="K1032" t="s">
        <v>438</v>
      </c>
      <c r="L1032" t="s">
        <v>4</v>
      </c>
      <c r="M1032" t="s">
        <v>408</v>
      </c>
      <c r="N1032" t="s">
        <v>11</v>
      </c>
      <c r="O1032" t="s">
        <v>11</v>
      </c>
      <c r="P1032" t="s">
        <v>0</v>
      </c>
      <c r="Q1032" t="s">
        <v>408</v>
      </c>
      <c r="R1032" t="s">
        <v>439</v>
      </c>
      <c r="S1032" t="s">
        <v>440</v>
      </c>
      <c r="T1032" t="s">
        <v>11</v>
      </c>
      <c r="U1032" t="s">
        <v>408</v>
      </c>
    </row>
    <row r="1033" spans="1:21" x14ac:dyDescent="0.25">
      <c r="A1033">
        <v>19050089</v>
      </c>
      <c r="B1033" t="s">
        <v>340</v>
      </c>
      <c r="C1033" t="s">
        <v>26</v>
      </c>
      <c r="D1033" t="s">
        <v>12</v>
      </c>
      <c r="E1033" t="s">
        <v>739</v>
      </c>
      <c r="F1033" t="s">
        <v>103</v>
      </c>
      <c r="G1033" t="s">
        <v>369</v>
      </c>
      <c r="H1033" t="s">
        <v>0</v>
      </c>
      <c r="I1033" t="s">
        <v>436</v>
      </c>
      <c r="J1033" t="s">
        <v>437</v>
      </c>
      <c r="K1033" t="s">
        <v>438</v>
      </c>
      <c r="L1033" t="s">
        <v>1</v>
      </c>
      <c r="M1033" t="s">
        <v>408</v>
      </c>
      <c r="N1033" t="s">
        <v>11</v>
      </c>
      <c r="O1033" t="s">
        <v>11</v>
      </c>
      <c r="P1033" t="s">
        <v>0</v>
      </c>
      <c r="Q1033" t="s">
        <v>408</v>
      </c>
      <c r="R1033" t="s">
        <v>439</v>
      </c>
      <c r="S1033" t="s">
        <v>440</v>
      </c>
      <c r="T1033" t="s">
        <v>11</v>
      </c>
      <c r="U1033" t="s">
        <v>408</v>
      </c>
    </row>
    <row r="1034" spans="1:21" x14ac:dyDescent="0.25">
      <c r="A1034">
        <v>19050092</v>
      </c>
      <c r="B1034" t="s">
        <v>340</v>
      </c>
      <c r="C1034" t="s">
        <v>26</v>
      </c>
      <c r="D1034" t="s">
        <v>12</v>
      </c>
      <c r="E1034" t="s">
        <v>747</v>
      </c>
      <c r="F1034" t="s">
        <v>197</v>
      </c>
      <c r="G1034" t="s">
        <v>369</v>
      </c>
      <c r="H1034" t="s">
        <v>2</v>
      </c>
      <c r="I1034" t="s">
        <v>436</v>
      </c>
      <c r="J1034" t="s">
        <v>443</v>
      </c>
      <c r="K1034" t="s">
        <v>444</v>
      </c>
      <c r="L1034" t="s">
        <v>7</v>
      </c>
      <c r="M1034" t="s">
        <v>408</v>
      </c>
      <c r="N1034" t="s">
        <v>11</v>
      </c>
      <c r="O1034" t="s">
        <v>11</v>
      </c>
      <c r="P1034" t="s">
        <v>0</v>
      </c>
      <c r="Q1034" t="s">
        <v>408</v>
      </c>
      <c r="R1034" t="s">
        <v>439</v>
      </c>
      <c r="S1034" t="s">
        <v>440</v>
      </c>
      <c r="T1034" t="s">
        <v>11</v>
      </c>
      <c r="U1034" t="s">
        <v>408</v>
      </c>
    </row>
    <row r="1035" spans="1:21" x14ac:dyDescent="0.25">
      <c r="A1035">
        <v>19050093</v>
      </c>
      <c r="B1035" t="s">
        <v>340</v>
      </c>
      <c r="C1035" t="s">
        <v>26</v>
      </c>
      <c r="D1035" t="s">
        <v>12</v>
      </c>
      <c r="E1035" t="s">
        <v>623</v>
      </c>
      <c r="F1035" t="s">
        <v>200</v>
      </c>
      <c r="G1035" t="s">
        <v>369</v>
      </c>
      <c r="H1035" t="s">
        <v>350</v>
      </c>
      <c r="I1035" t="s">
        <v>436</v>
      </c>
      <c r="J1035" t="s">
        <v>566</v>
      </c>
      <c r="K1035" t="s">
        <v>701</v>
      </c>
      <c r="L1035" t="s">
        <v>8</v>
      </c>
      <c r="M1035" t="s">
        <v>408</v>
      </c>
      <c r="N1035" t="s">
        <v>11</v>
      </c>
      <c r="O1035" t="s">
        <v>11</v>
      </c>
      <c r="P1035" t="s">
        <v>0</v>
      </c>
      <c r="Q1035" t="s">
        <v>408</v>
      </c>
      <c r="R1035" t="s">
        <v>439</v>
      </c>
      <c r="S1035" t="s">
        <v>440</v>
      </c>
      <c r="T1035" t="s">
        <v>11</v>
      </c>
      <c r="U1035" t="s">
        <v>408</v>
      </c>
    </row>
    <row r="1036" spans="1:21" x14ac:dyDescent="0.25">
      <c r="A1036">
        <v>19050094</v>
      </c>
      <c r="B1036" t="s">
        <v>340</v>
      </c>
      <c r="C1036" t="s">
        <v>26</v>
      </c>
      <c r="D1036" t="s">
        <v>12</v>
      </c>
      <c r="E1036" t="s">
        <v>739</v>
      </c>
      <c r="F1036" t="s">
        <v>202</v>
      </c>
      <c r="G1036" t="s">
        <v>369</v>
      </c>
      <c r="H1036" t="s">
        <v>727</v>
      </c>
      <c r="I1036" t="s">
        <v>728</v>
      </c>
      <c r="J1036" t="s">
        <v>729</v>
      </c>
      <c r="K1036" t="s">
        <v>450</v>
      </c>
      <c r="L1036" t="s">
        <v>367</v>
      </c>
      <c r="M1036" t="s">
        <v>408</v>
      </c>
      <c r="N1036" t="s">
        <v>11</v>
      </c>
      <c r="O1036" t="s">
        <v>11</v>
      </c>
      <c r="P1036" t="s">
        <v>0</v>
      </c>
      <c r="Q1036" t="s">
        <v>408</v>
      </c>
      <c r="R1036" t="s">
        <v>439</v>
      </c>
      <c r="S1036" t="s">
        <v>451</v>
      </c>
      <c r="T1036" t="s">
        <v>11</v>
      </c>
      <c r="U1036" t="s">
        <v>408</v>
      </c>
    </row>
    <row r="1037" spans="1:21" x14ac:dyDescent="0.25">
      <c r="A1037">
        <v>19050115</v>
      </c>
      <c r="B1037" t="s">
        <v>340</v>
      </c>
      <c r="C1037" t="s">
        <v>26</v>
      </c>
      <c r="D1037" t="s">
        <v>12</v>
      </c>
      <c r="E1037" t="s">
        <v>739</v>
      </c>
      <c r="F1037" t="s">
        <v>106</v>
      </c>
      <c r="G1037" t="s">
        <v>369</v>
      </c>
      <c r="H1037" t="s">
        <v>370</v>
      </c>
      <c r="I1037" t="s">
        <v>721</v>
      </c>
      <c r="J1037" t="s">
        <v>455</v>
      </c>
      <c r="K1037" t="s">
        <v>453</v>
      </c>
      <c r="L1037" t="s">
        <v>367</v>
      </c>
      <c r="M1037" t="s">
        <v>408</v>
      </c>
      <c r="N1037" t="s">
        <v>11</v>
      </c>
      <c r="O1037" t="s">
        <v>11</v>
      </c>
      <c r="P1037" t="s">
        <v>0</v>
      </c>
      <c r="Q1037" t="s">
        <v>408</v>
      </c>
      <c r="R1037" t="s">
        <v>439</v>
      </c>
      <c r="S1037" t="s">
        <v>451</v>
      </c>
      <c r="T1037" t="s">
        <v>11</v>
      </c>
      <c r="U1037" t="s">
        <v>408</v>
      </c>
    </row>
    <row r="1038" spans="1:21" x14ac:dyDescent="0.25">
      <c r="A1038">
        <v>19050127</v>
      </c>
      <c r="B1038" t="s">
        <v>340</v>
      </c>
      <c r="C1038" t="s">
        <v>26</v>
      </c>
      <c r="D1038" t="s">
        <v>12</v>
      </c>
      <c r="E1038" t="s">
        <v>730</v>
      </c>
      <c r="F1038" t="s">
        <v>41</v>
      </c>
      <c r="G1038" t="s">
        <v>369</v>
      </c>
      <c r="H1038" t="s">
        <v>370</v>
      </c>
      <c r="I1038" t="s">
        <v>721</v>
      </c>
      <c r="J1038" t="s">
        <v>455</v>
      </c>
      <c r="K1038" t="s">
        <v>453</v>
      </c>
      <c r="L1038" t="s">
        <v>367</v>
      </c>
      <c r="M1038" t="s">
        <v>408</v>
      </c>
      <c r="N1038" t="s">
        <v>11</v>
      </c>
      <c r="O1038" t="s">
        <v>11</v>
      </c>
      <c r="P1038" t="s">
        <v>347</v>
      </c>
      <c r="Q1038" t="s">
        <v>408</v>
      </c>
      <c r="R1038" t="s">
        <v>439</v>
      </c>
      <c r="S1038" t="s">
        <v>451</v>
      </c>
      <c r="T1038" t="s">
        <v>11</v>
      </c>
      <c r="U1038" t="s">
        <v>408</v>
      </c>
    </row>
    <row r="1039" spans="1:21" x14ac:dyDescent="0.25">
      <c r="A1039">
        <v>19050128</v>
      </c>
      <c r="B1039" t="s">
        <v>340</v>
      </c>
      <c r="C1039" t="s">
        <v>26</v>
      </c>
      <c r="D1039" t="s">
        <v>12</v>
      </c>
      <c r="E1039" t="s">
        <v>732</v>
      </c>
      <c r="F1039" t="s">
        <v>64</v>
      </c>
      <c r="G1039" t="s">
        <v>369</v>
      </c>
      <c r="H1039" t="s">
        <v>0</v>
      </c>
      <c r="I1039" t="s">
        <v>436</v>
      </c>
      <c r="J1039" t="s">
        <v>437</v>
      </c>
      <c r="K1039" t="s">
        <v>438</v>
      </c>
      <c r="L1039" t="s">
        <v>4</v>
      </c>
      <c r="M1039" t="s">
        <v>408</v>
      </c>
      <c r="N1039" t="s">
        <v>11</v>
      </c>
      <c r="O1039" t="s">
        <v>11</v>
      </c>
      <c r="P1039" t="s">
        <v>2</v>
      </c>
      <c r="Q1039" t="s">
        <v>408</v>
      </c>
      <c r="R1039" t="s">
        <v>439</v>
      </c>
      <c r="S1039" t="s">
        <v>440</v>
      </c>
      <c r="T1039" t="s">
        <v>11</v>
      </c>
      <c r="U1039" t="s">
        <v>408</v>
      </c>
    </row>
    <row r="1040" spans="1:21" x14ac:dyDescent="0.25">
      <c r="A1040">
        <v>19050129</v>
      </c>
      <c r="B1040" t="s">
        <v>340</v>
      </c>
      <c r="C1040" t="s">
        <v>26</v>
      </c>
      <c r="D1040" t="s">
        <v>12</v>
      </c>
      <c r="E1040" t="s">
        <v>719</v>
      </c>
      <c r="F1040" t="s">
        <v>110</v>
      </c>
      <c r="G1040" t="s">
        <v>369</v>
      </c>
      <c r="H1040" t="s">
        <v>370</v>
      </c>
      <c r="I1040" t="s">
        <v>721</v>
      </c>
      <c r="J1040" t="s">
        <v>455</v>
      </c>
      <c r="K1040" t="s">
        <v>453</v>
      </c>
      <c r="L1040" t="s">
        <v>367</v>
      </c>
      <c r="M1040" t="s">
        <v>408</v>
      </c>
      <c r="N1040" t="s">
        <v>11</v>
      </c>
      <c r="O1040" t="s">
        <v>11</v>
      </c>
      <c r="P1040" t="s">
        <v>347</v>
      </c>
      <c r="Q1040" t="s">
        <v>408</v>
      </c>
      <c r="R1040" t="s">
        <v>439</v>
      </c>
      <c r="S1040" t="s">
        <v>451</v>
      </c>
      <c r="T1040" t="s">
        <v>11</v>
      </c>
      <c r="U1040" t="s">
        <v>408</v>
      </c>
    </row>
    <row r="1041" spans="1:21" x14ac:dyDescent="0.25">
      <c r="A1041">
        <v>19050130</v>
      </c>
      <c r="B1041" t="s">
        <v>340</v>
      </c>
      <c r="C1041" t="s">
        <v>26</v>
      </c>
      <c r="D1041" t="s">
        <v>12</v>
      </c>
      <c r="E1041" t="s">
        <v>739</v>
      </c>
      <c r="F1041" t="s">
        <v>28</v>
      </c>
      <c r="G1041" t="s">
        <v>369</v>
      </c>
      <c r="H1041" t="s">
        <v>2</v>
      </c>
      <c r="I1041" t="s">
        <v>436</v>
      </c>
      <c r="J1041" t="s">
        <v>443</v>
      </c>
      <c r="K1041" t="s">
        <v>444</v>
      </c>
      <c r="L1041" t="s">
        <v>7</v>
      </c>
      <c r="M1041" t="s">
        <v>408</v>
      </c>
      <c r="N1041" t="s">
        <v>11</v>
      </c>
      <c r="O1041" t="s">
        <v>11</v>
      </c>
      <c r="P1041" t="s">
        <v>0</v>
      </c>
      <c r="Q1041" t="s">
        <v>408</v>
      </c>
      <c r="R1041" t="s">
        <v>439</v>
      </c>
      <c r="S1041" t="s">
        <v>440</v>
      </c>
      <c r="T1041" t="s">
        <v>11</v>
      </c>
      <c r="U1041" t="s">
        <v>408</v>
      </c>
    </row>
    <row r="1042" spans="1:21" x14ac:dyDescent="0.25">
      <c r="A1042">
        <v>19050135</v>
      </c>
      <c r="B1042" t="s">
        <v>340</v>
      </c>
      <c r="C1042" t="s">
        <v>26</v>
      </c>
      <c r="D1042" t="s">
        <v>12</v>
      </c>
      <c r="E1042" t="s">
        <v>623</v>
      </c>
      <c r="F1042" t="s">
        <v>35</v>
      </c>
      <c r="G1042" t="s">
        <v>369</v>
      </c>
      <c r="H1042" t="s">
        <v>0</v>
      </c>
      <c r="I1042" t="s">
        <v>436</v>
      </c>
      <c r="J1042" t="s">
        <v>437</v>
      </c>
      <c r="K1042" t="s">
        <v>438</v>
      </c>
      <c r="L1042" t="s">
        <v>1</v>
      </c>
      <c r="M1042" t="s">
        <v>408</v>
      </c>
      <c r="N1042" t="s">
        <v>11</v>
      </c>
      <c r="O1042" t="s">
        <v>11</v>
      </c>
      <c r="P1042" t="s">
        <v>0</v>
      </c>
      <c r="Q1042" t="s">
        <v>408</v>
      </c>
      <c r="R1042" t="s">
        <v>439</v>
      </c>
      <c r="S1042" t="s">
        <v>440</v>
      </c>
      <c r="T1042" t="s">
        <v>11</v>
      </c>
      <c r="U1042" t="s">
        <v>408</v>
      </c>
    </row>
    <row r="1043" spans="1:21" x14ac:dyDescent="0.25">
      <c r="A1043">
        <v>19050140</v>
      </c>
      <c r="B1043" t="s">
        <v>340</v>
      </c>
      <c r="C1043" t="s">
        <v>26</v>
      </c>
      <c r="D1043" t="s">
        <v>12</v>
      </c>
      <c r="E1043" t="s">
        <v>623</v>
      </c>
      <c r="F1043" t="s">
        <v>35</v>
      </c>
      <c r="G1043" t="s">
        <v>369</v>
      </c>
      <c r="H1043" t="s">
        <v>1</v>
      </c>
      <c r="I1043" t="s">
        <v>469</v>
      </c>
      <c r="J1043" t="s">
        <v>445</v>
      </c>
      <c r="K1043" t="s">
        <v>438</v>
      </c>
      <c r="L1043" t="s">
        <v>0</v>
      </c>
      <c r="M1043" t="s">
        <v>408</v>
      </c>
      <c r="N1043" t="s">
        <v>11</v>
      </c>
      <c r="O1043" t="s">
        <v>11</v>
      </c>
      <c r="P1043" t="s">
        <v>0</v>
      </c>
      <c r="Q1043" t="s">
        <v>408</v>
      </c>
      <c r="R1043" t="s">
        <v>439</v>
      </c>
      <c r="S1043" t="s">
        <v>440</v>
      </c>
      <c r="T1043" t="s">
        <v>11</v>
      </c>
      <c r="U1043" t="s">
        <v>408</v>
      </c>
    </row>
    <row r="1044" spans="1:21" x14ac:dyDescent="0.25">
      <c r="A1044">
        <v>19050146</v>
      </c>
      <c r="B1044" t="s">
        <v>340</v>
      </c>
      <c r="C1044" t="s">
        <v>26</v>
      </c>
      <c r="D1044" t="s">
        <v>12</v>
      </c>
      <c r="E1044" t="s">
        <v>747</v>
      </c>
      <c r="F1044" t="s">
        <v>197</v>
      </c>
      <c r="G1044" t="s">
        <v>369</v>
      </c>
      <c r="H1044" t="s">
        <v>0</v>
      </c>
      <c r="I1044" t="s">
        <v>436</v>
      </c>
      <c r="J1044" t="s">
        <v>437</v>
      </c>
      <c r="K1044" t="s">
        <v>438</v>
      </c>
      <c r="L1044" t="s">
        <v>4</v>
      </c>
      <c r="M1044" t="s">
        <v>408</v>
      </c>
      <c r="N1044" t="s">
        <v>11</v>
      </c>
      <c r="O1044" t="s">
        <v>11</v>
      </c>
      <c r="P1044" t="s">
        <v>0</v>
      </c>
      <c r="Q1044" t="s">
        <v>408</v>
      </c>
      <c r="R1044" t="s">
        <v>439</v>
      </c>
      <c r="S1044" t="s">
        <v>440</v>
      </c>
      <c r="T1044" t="s">
        <v>11</v>
      </c>
      <c r="U1044" t="s">
        <v>408</v>
      </c>
    </row>
    <row r="1045" spans="1:21" x14ac:dyDescent="0.25">
      <c r="A1045">
        <v>19050147</v>
      </c>
      <c r="B1045" t="s">
        <v>340</v>
      </c>
      <c r="C1045" t="s">
        <v>26</v>
      </c>
      <c r="D1045" t="s">
        <v>12</v>
      </c>
      <c r="E1045" t="s">
        <v>739</v>
      </c>
      <c r="F1045" t="s">
        <v>103</v>
      </c>
      <c r="G1045" t="s">
        <v>369</v>
      </c>
      <c r="H1045" t="s">
        <v>0</v>
      </c>
      <c r="I1045" t="s">
        <v>436</v>
      </c>
      <c r="J1045" t="s">
        <v>437</v>
      </c>
      <c r="K1045" t="s">
        <v>438</v>
      </c>
      <c r="L1045" t="s">
        <v>4</v>
      </c>
      <c r="M1045" t="s">
        <v>408</v>
      </c>
      <c r="N1045" t="s">
        <v>11</v>
      </c>
      <c r="O1045" t="s">
        <v>11</v>
      </c>
      <c r="P1045" t="s">
        <v>0</v>
      </c>
      <c r="Q1045" t="s">
        <v>408</v>
      </c>
      <c r="R1045" t="s">
        <v>439</v>
      </c>
      <c r="S1045" t="s">
        <v>440</v>
      </c>
      <c r="T1045" t="s">
        <v>11</v>
      </c>
      <c r="U1045" t="s">
        <v>408</v>
      </c>
    </row>
    <row r="1046" spans="1:21" x14ac:dyDescent="0.25">
      <c r="A1046">
        <v>19050149</v>
      </c>
      <c r="B1046" t="s">
        <v>340</v>
      </c>
      <c r="C1046" t="s">
        <v>26</v>
      </c>
      <c r="D1046" t="s">
        <v>12</v>
      </c>
      <c r="E1046" t="s">
        <v>747</v>
      </c>
      <c r="F1046" t="s">
        <v>192</v>
      </c>
      <c r="G1046" t="s">
        <v>369</v>
      </c>
      <c r="H1046" t="s">
        <v>370</v>
      </c>
      <c r="I1046" t="s">
        <v>721</v>
      </c>
      <c r="J1046" t="s">
        <v>455</v>
      </c>
      <c r="K1046" t="s">
        <v>453</v>
      </c>
      <c r="L1046" t="s">
        <v>367</v>
      </c>
      <c r="M1046" t="s">
        <v>408</v>
      </c>
      <c r="N1046" t="s">
        <v>11</v>
      </c>
      <c r="O1046" t="s">
        <v>11</v>
      </c>
      <c r="P1046" t="s">
        <v>0</v>
      </c>
      <c r="Q1046" t="s">
        <v>408</v>
      </c>
      <c r="R1046" t="s">
        <v>439</v>
      </c>
      <c r="S1046" t="s">
        <v>451</v>
      </c>
      <c r="T1046" t="s">
        <v>11</v>
      </c>
      <c r="U1046" t="s">
        <v>408</v>
      </c>
    </row>
    <row r="1047" spans="1:21" x14ac:dyDescent="0.25">
      <c r="A1047">
        <v>19050152</v>
      </c>
      <c r="B1047" t="s">
        <v>340</v>
      </c>
      <c r="C1047" t="s">
        <v>26</v>
      </c>
      <c r="D1047" t="s">
        <v>12</v>
      </c>
      <c r="E1047" t="s">
        <v>747</v>
      </c>
      <c r="F1047" t="s">
        <v>197</v>
      </c>
      <c r="G1047" t="s">
        <v>369</v>
      </c>
      <c r="H1047" t="s">
        <v>0</v>
      </c>
      <c r="I1047" t="s">
        <v>436</v>
      </c>
      <c r="J1047" t="s">
        <v>437</v>
      </c>
      <c r="K1047" t="s">
        <v>438</v>
      </c>
      <c r="L1047" t="s">
        <v>4</v>
      </c>
      <c r="M1047" t="s">
        <v>408</v>
      </c>
      <c r="N1047" t="s">
        <v>11</v>
      </c>
      <c r="O1047" t="s">
        <v>11</v>
      </c>
      <c r="P1047" t="s">
        <v>0</v>
      </c>
      <c r="Q1047" t="s">
        <v>408</v>
      </c>
      <c r="R1047" t="s">
        <v>439</v>
      </c>
      <c r="S1047" t="s">
        <v>440</v>
      </c>
      <c r="T1047" t="s">
        <v>11</v>
      </c>
      <c r="U1047" t="s">
        <v>408</v>
      </c>
    </row>
    <row r="1048" spans="1:21" x14ac:dyDescent="0.25">
      <c r="A1048">
        <v>19050154</v>
      </c>
      <c r="B1048" t="s">
        <v>340</v>
      </c>
      <c r="C1048" t="s">
        <v>26</v>
      </c>
      <c r="D1048" t="s">
        <v>12</v>
      </c>
      <c r="E1048" t="s">
        <v>747</v>
      </c>
      <c r="F1048" t="s">
        <v>192</v>
      </c>
      <c r="G1048" t="s">
        <v>369</v>
      </c>
      <c r="H1048" t="s">
        <v>2</v>
      </c>
      <c r="I1048" t="s">
        <v>436</v>
      </c>
      <c r="J1048" t="s">
        <v>443</v>
      </c>
      <c r="K1048" t="s">
        <v>444</v>
      </c>
      <c r="L1048" t="s">
        <v>7</v>
      </c>
      <c r="M1048" t="s">
        <v>408</v>
      </c>
      <c r="N1048" t="s">
        <v>11</v>
      </c>
      <c r="O1048" t="s">
        <v>11</v>
      </c>
      <c r="P1048" t="s">
        <v>0</v>
      </c>
      <c r="Q1048" t="s">
        <v>408</v>
      </c>
      <c r="R1048" t="s">
        <v>439</v>
      </c>
      <c r="S1048" t="s">
        <v>440</v>
      </c>
      <c r="T1048" t="s">
        <v>11</v>
      </c>
      <c r="U1048" t="s">
        <v>408</v>
      </c>
    </row>
    <row r="1049" spans="1:21" x14ac:dyDescent="0.25">
      <c r="A1049">
        <v>19050162</v>
      </c>
      <c r="B1049" t="s">
        <v>340</v>
      </c>
      <c r="C1049" t="s">
        <v>26</v>
      </c>
      <c r="D1049" t="s">
        <v>18</v>
      </c>
      <c r="E1049" t="s">
        <v>739</v>
      </c>
      <c r="F1049" t="s">
        <v>107</v>
      </c>
      <c r="G1049" t="s">
        <v>369</v>
      </c>
      <c r="H1049" t="s">
        <v>0</v>
      </c>
      <c r="I1049" t="s">
        <v>436</v>
      </c>
      <c r="J1049" t="s">
        <v>437</v>
      </c>
      <c r="K1049" t="s">
        <v>438</v>
      </c>
      <c r="L1049" t="s">
        <v>1</v>
      </c>
      <c r="M1049" t="s">
        <v>408</v>
      </c>
      <c r="N1049" t="s">
        <v>11</v>
      </c>
      <c r="O1049" t="s">
        <v>11</v>
      </c>
      <c r="P1049" t="s">
        <v>0</v>
      </c>
      <c r="Q1049" t="s">
        <v>408</v>
      </c>
      <c r="R1049" t="s">
        <v>439</v>
      </c>
      <c r="S1049" t="s">
        <v>440</v>
      </c>
      <c r="T1049" t="s">
        <v>11</v>
      </c>
      <c r="U1049" t="s">
        <v>408</v>
      </c>
    </row>
    <row r="1050" spans="1:21" x14ac:dyDescent="0.25">
      <c r="A1050">
        <v>19050165</v>
      </c>
      <c r="B1050" t="s">
        <v>340</v>
      </c>
      <c r="C1050" t="s">
        <v>26</v>
      </c>
      <c r="D1050" t="s">
        <v>12</v>
      </c>
      <c r="E1050" t="s">
        <v>739</v>
      </c>
      <c r="F1050" t="s">
        <v>201</v>
      </c>
      <c r="G1050" t="s">
        <v>369</v>
      </c>
      <c r="H1050" t="s">
        <v>370</v>
      </c>
      <c r="I1050" t="s">
        <v>721</v>
      </c>
      <c r="J1050" t="s">
        <v>455</v>
      </c>
      <c r="K1050" t="s">
        <v>453</v>
      </c>
      <c r="L1050" t="s">
        <v>367</v>
      </c>
      <c r="M1050" t="s">
        <v>408</v>
      </c>
      <c r="N1050" t="s">
        <v>11</v>
      </c>
      <c r="O1050" t="s">
        <v>11</v>
      </c>
      <c r="P1050" t="s">
        <v>0</v>
      </c>
      <c r="Q1050" t="s">
        <v>408</v>
      </c>
      <c r="R1050" t="s">
        <v>439</v>
      </c>
      <c r="S1050" t="s">
        <v>451</v>
      </c>
      <c r="T1050" t="s">
        <v>11</v>
      </c>
      <c r="U1050" t="s">
        <v>408</v>
      </c>
    </row>
    <row r="1051" spans="1:21" x14ac:dyDescent="0.25">
      <c r="A1051">
        <v>19050172</v>
      </c>
      <c r="B1051" t="s">
        <v>340</v>
      </c>
      <c r="C1051" t="s">
        <v>26</v>
      </c>
      <c r="D1051" t="s">
        <v>12</v>
      </c>
      <c r="E1051" t="s">
        <v>623</v>
      </c>
      <c r="F1051" t="s">
        <v>35</v>
      </c>
      <c r="G1051" t="s">
        <v>369</v>
      </c>
      <c r="H1051" t="s">
        <v>0</v>
      </c>
      <c r="I1051" t="s">
        <v>436</v>
      </c>
      <c r="J1051" t="s">
        <v>437</v>
      </c>
      <c r="K1051" t="s">
        <v>438</v>
      </c>
      <c r="L1051" t="s">
        <v>345</v>
      </c>
      <c r="M1051" t="s">
        <v>408</v>
      </c>
      <c r="N1051" t="s">
        <v>11</v>
      </c>
      <c r="O1051" t="s">
        <v>11</v>
      </c>
      <c r="P1051" t="s">
        <v>0</v>
      </c>
      <c r="Q1051" t="s">
        <v>408</v>
      </c>
      <c r="R1051" t="s">
        <v>439</v>
      </c>
      <c r="S1051" t="s">
        <v>440</v>
      </c>
      <c r="T1051" t="s">
        <v>11</v>
      </c>
      <c r="U1051" t="s">
        <v>408</v>
      </c>
    </row>
    <row r="1052" spans="1:21" x14ac:dyDescent="0.25">
      <c r="A1052">
        <v>19050173</v>
      </c>
      <c r="B1052" t="s">
        <v>340</v>
      </c>
      <c r="C1052" t="s">
        <v>26</v>
      </c>
      <c r="D1052" t="s">
        <v>12</v>
      </c>
      <c r="E1052" t="s">
        <v>739</v>
      </c>
      <c r="F1052" t="s">
        <v>103</v>
      </c>
      <c r="G1052" t="s">
        <v>369</v>
      </c>
      <c r="H1052" t="s">
        <v>1</v>
      </c>
      <c r="I1052" t="s">
        <v>469</v>
      </c>
      <c r="J1052" t="s">
        <v>445</v>
      </c>
      <c r="K1052" t="s">
        <v>438</v>
      </c>
      <c r="L1052" t="s">
        <v>0</v>
      </c>
      <c r="M1052" t="s">
        <v>408</v>
      </c>
      <c r="N1052" t="s">
        <v>11</v>
      </c>
      <c r="O1052" t="s">
        <v>11</v>
      </c>
      <c r="P1052" t="s">
        <v>0</v>
      </c>
      <c r="Q1052" t="s">
        <v>408</v>
      </c>
      <c r="R1052" t="s">
        <v>439</v>
      </c>
      <c r="S1052" t="s">
        <v>440</v>
      </c>
      <c r="T1052" t="s">
        <v>11</v>
      </c>
      <c r="U1052" t="s">
        <v>408</v>
      </c>
    </row>
    <row r="1053" spans="1:21" x14ac:dyDescent="0.25">
      <c r="A1053">
        <v>19050177</v>
      </c>
      <c r="B1053" t="s">
        <v>340</v>
      </c>
      <c r="C1053" t="s">
        <v>26</v>
      </c>
      <c r="D1053" t="s">
        <v>12</v>
      </c>
      <c r="E1053" t="s">
        <v>623</v>
      </c>
      <c r="F1053" t="s">
        <v>200</v>
      </c>
      <c r="G1053" t="s">
        <v>369</v>
      </c>
      <c r="H1053" t="s">
        <v>370</v>
      </c>
      <c r="I1053" t="s">
        <v>721</v>
      </c>
      <c r="J1053" t="s">
        <v>455</v>
      </c>
      <c r="K1053" t="s">
        <v>453</v>
      </c>
      <c r="L1053" t="s">
        <v>367</v>
      </c>
      <c r="M1053" t="s">
        <v>408</v>
      </c>
      <c r="N1053" t="s">
        <v>11</v>
      </c>
      <c r="O1053" t="s">
        <v>11</v>
      </c>
      <c r="P1053" t="s">
        <v>0</v>
      </c>
      <c r="Q1053" t="s">
        <v>408</v>
      </c>
      <c r="R1053" t="s">
        <v>439</v>
      </c>
      <c r="S1053" t="s">
        <v>451</v>
      </c>
      <c r="T1053" t="s">
        <v>11</v>
      </c>
      <c r="U1053" t="s">
        <v>408</v>
      </c>
    </row>
    <row r="1054" spans="1:21" x14ac:dyDescent="0.25">
      <c r="A1054">
        <v>19050183</v>
      </c>
      <c r="B1054" t="s">
        <v>340</v>
      </c>
      <c r="C1054" t="s">
        <v>26</v>
      </c>
      <c r="D1054" t="s">
        <v>12</v>
      </c>
      <c r="E1054" t="s">
        <v>623</v>
      </c>
      <c r="F1054" t="s">
        <v>193</v>
      </c>
      <c r="G1054" t="s">
        <v>369</v>
      </c>
      <c r="H1054" t="s">
        <v>2</v>
      </c>
      <c r="I1054" t="s">
        <v>436</v>
      </c>
      <c r="J1054" t="s">
        <v>443</v>
      </c>
      <c r="K1054" t="s">
        <v>444</v>
      </c>
      <c r="L1054" t="s">
        <v>7</v>
      </c>
      <c r="M1054" t="s">
        <v>408</v>
      </c>
      <c r="N1054" t="s">
        <v>11</v>
      </c>
      <c r="O1054" t="s">
        <v>11</v>
      </c>
      <c r="P1054" t="s">
        <v>0</v>
      </c>
      <c r="Q1054" t="s">
        <v>408</v>
      </c>
      <c r="R1054" t="s">
        <v>439</v>
      </c>
      <c r="S1054" t="s">
        <v>440</v>
      </c>
      <c r="T1054" t="s">
        <v>11</v>
      </c>
      <c r="U1054" t="s">
        <v>408</v>
      </c>
    </row>
    <row r="1055" spans="1:21" x14ac:dyDescent="0.25">
      <c r="A1055">
        <v>19050196</v>
      </c>
      <c r="B1055" t="s">
        <v>340</v>
      </c>
      <c r="C1055" t="s">
        <v>26</v>
      </c>
      <c r="D1055" t="s">
        <v>18</v>
      </c>
      <c r="E1055" t="s">
        <v>739</v>
      </c>
      <c r="F1055" t="s">
        <v>106</v>
      </c>
      <c r="G1055" t="s">
        <v>369</v>
      </c>
      <c r="H1055" t="s">
        <v>0</v>
      </c>
      <c r="I1055" t="s">
        <v>436</v>
      </c>
      <c r="J1055" t="s">
        <v>437</v>
      </c>
      <c r="K1055" t="s">
        <v>438</v>
      </c>
      <c r="L1055" t="s">
        <v>4</v>
      </c>
      <c r="M1055" t="s">
        <v>408</v>
      </c>
      <c r="N1055" t="s">
        <v>11</v>
      </c>
      <c r="O1055" t="s">
        <v>11</v>
      </c>
      <c r="P1055" t="s">
        <v>0</v>
      </c>
      <c r="Q1055" t="s">
        <v>408</v>
      </c>
      <c r="R1055" t="s">
        <v>439</v>
      </c>
      <c r="S1055" t="s">
        <v>440</v>
      </c>
      <c r="T1055" t="s">
        <v>11</v>
      </c>
      <c r="U1055" t="s">
        <v>408</v>
      </c>
    </row>
    <row r="1056" spans="1:21" x14ac:dyDescent="0.25">
      <c r="A1056">
        <v>19050200</v>
      </c>
      <c r="B1056" t="s">
        <v>340</v>
      </c>
      <c r="C1056" t="s">
        <v>26</v>
      </c>
      <c r="D1056" t="s">
        <v>12</v>
      </c>
      <c r="E1056" t="s">
        <v>739</v>
      </c>
      <c r="F1056" t="s">
        <v>103</v>
      </c>
      <c r="G1056" t="s">
        <v>369</v>
      </c>
      <c r="H1056" t="s">
        <v>370</v>
      </c>
      <c r="I1056" t="s">
        <v>721</v>
      </c>
      <c r="J1056" t="s">
        <v>455</v>
      </c>
      <c r="K1056" t="s">
        <v>453</v>
      </c>
      <c r="L1056" t="s">
        <v>367</v>
      </c>
      <c r="M1056" t="s">
        <v>408</v>
      </c>
      <c r="N1056" t="s">
        <v>11</v>
      </c>
      <c r="O1056" t="s">
        <v>11</v>
      </c>
      <c r="P1056" t="s">
        <v>0</v>
      </c>
      <c r="Q1056" t="s">
        <v>408</v>
      </c>
      <c r="R1056" t="s">
        <v>439</v>
      </c>
      <c r="S1056" t="s">
        <v>451</v>
      </c>
      <c r="T1056" t="s">
        <v>11</v>
      </c>
      <c r="U1056" t="s">
        <v>408</v>
      </c>
    </row>
    <row r="1057" spans="1:21" x14ac:dyDescent="0.25">
      <c r="A1057">
        <v>19050206</v>
      </c>
      <c r="B1057" t="s">
        <v>340</v>
      </c>
      <c r="C1057" t="s">
        <v>26</v>
      </c>
      <c r="D1057" t="s">
        <v>12</v>
      </c>
      <c r="E1057" t="s">
        <v>739</v>
      </c>
      <c r="F1057" t="s">
        <v>28</v>
      </c>
      <c r="G1057" t="s">
        <v>369</v>
      </c>
      <c r="H1057" t="s">
        <v>0</v>
      </c>
      <c r="I1057" t="s">
        <v>436</v>
      </c>
      <c r="J1057" t="s">
        <v>437</v>
      </c>
      <c r="K1057" t="s">
        <v>438</v>
      </c>
      <c r="L1057" t="s">
        <v>4</v>
      </c>
      <c r="M1057" t="s">
        <v>408</v>
      </c>
      <c r="N1057" t="s">
        <v>11</v>
      </c>
      <c r="O1057" t="s">
        <v>11</v>
      </c>
      <c r="P1057" t="s">
        <v>0</v>
      </c>
      <c r="Q1057" t="s">
        <v>408</v>
      </c>
      <c r="R1057" t="s">
        <v>439</v>
      </c>
      <c r="S1057" t="s">
        <v>440</v>
      </c>
      <c r="T1057" t="s">
        <v>11</v>
      </c>
      <c r="U1057" t="s">
        <v>408</v>
      </c>
    </row>
    <row r="1058" spans="1:21" x14ac:dyDescent="0.25">
      <c r="A1058">
        <v>19050207</v>
      </c>
      <c r="B1058" t="s">
        <v>340</v>
      </c>
      <c r="C1058" t="s">
        <v>26</v>
      </c>
      <c r="D1058" t="s">
        <v>12</v>
      </c>
      <c r="E1058" t="s">
        <v>623</v>
      </c>
      <c r="F1058" t="s">
        <v>193</v>
      </c>
      <c r="G1058" t="s">
        <v>369</v>
      </c>
      <c r="H1058" t="s">
        <v>0</v>
      </c>
      <c r="I1058" t="s">
        <v>436</v>
      </c>
      <c r="J1058" t="s">
        <v>437</v>
      </c>
      <c r="K1058" t="s">
        <v>438</v>
      </c>
      <c r="L1058" t="s">
        <v>4</v>
      </c>
      <c r="M1058" t="s">
        <v>408</v>
      </c>
      <c r="N1058" t="s">
        <v>11</v>
      </c>
      <c r="O1058" t="s">
        <v>11</v>
      </c>
      <c r="P1058" t="s">
        <v>0</v>
      </c>
      <c r="Q1058" t="s">
        <v>408</v>
      </c>
      <c r="R1058" t="s">
        <v>439</v>
      </c>
      <c r="S1058" t="s">
        <v>440</v>
      </c>
      <c r="T1058" t="s">
        <v>11</v>
      </c>
      <c r="U1058" t="s">
        <v>408</v>
      </c>
    </row>
    <row r="1059" spans="1:21" x14ac:dyDescent="0.25">
      <c r="A1059">
        <v>19050210</v>
      </c>
      <c r="B1059" t="s">
        <v>340</v>
      </c>
      <c r="C1059" t="s">
        <v>26</v>
      </c>
      <c r="D1059" t="s">
        <v>12</v>
      </c>
      <c r="E1059" t="s">
        <v>739</v>
      </c>
      <c r="F1059" t="s">
        <v>106</v>
      </c>
      <c r="G1059" t="s">
        <v>369</v>
      </c>
      <c r="H1059" t="s">
        <v>350</v>
      </c>
      <c r="I1059" t="s">
        <v>436</v>
      </c>
      <c r="J1059" t="s">
        <v>566</v>
      </c>
      <c r="K1059" t="s">
        <v>701</v>
      </c>
      <c r="L1059" t="s">
        <v>8</v>
      </c>
      <c r="M1059" t="s">
        <v>408</v>
      </c>
      <c r="N1059" t="s">
        <v>11</v>
      </c>
      <c r="O1059" t="s">
        <v>11</v>
      </c>
      <c r="P1059" t="s">
        <v>0</v>
      </c>
      <c r="Q1059" t="s">
        <v>408</v>
      </c>
      <c r="R1059" t="s">
        <v>439</v>
      </c>
      <c r="S1059" t="s">
        <v>440</v>
      </c>
      <c r="T1059" t="s">
        <v>11</v>
      </c>
      <c r="U1059" t="s">
        <v>408</v>
      </c>
    </row>
    <row r="1060" spans="1:21" x14ac:dyDescent="0.25">
      <c r="A1060">
        <v>19050213</v>
      </c>
      <c r="B1060" t="s">
        <v>340</v>
      </c>
      <c r="C1060" t="s">
        <v>26</v>
      </c>
      <c r="D1060" t="s">
        <v>12</v>
      </c>
      <c r="E1060" t="s">
        <v>623</v>
      </c>
      <c r="F1060" t="s">
        <v>35</v>
      </c>
      <c r="G1060" t="s">
        <v>369</v>
      </c>
      <c r="H1060" t="s">
        <v>0</v>
      </c>
      <c r="I1060" t="s">
        <v>436</v>
      </c>
      <c r="J1060" t="s">
        <v>437</v>
      </c>
      <c r="K1060" t="s">
        <v>438</v>
      </c>
      <c r="L1060" t="s">
        <v>345</v>
      </c>
      <c r="M1060" t="s">
        <v>408</v>
      </c>
      <c r="N1060" t="s">
        <v>11</v>
      </c>
      <c r="O1060" t="s">
        <v>11</v>
      </c>
      <c r="P1060" t="s">
        <v>0</v>
      </c>
      <c r="Q1060" t="s">
        <v>408</v>
      </c>
      <c r="R1060" t="s">
        <v>439</v>
      </c>
      <c r="S1060" t="s">
        <v>440</v>
      </c>
      <c r="T1060" t="s">
        <v>11</v>
      </c>
      <c r="U1060" t="s">
        <v>408</v>
      </c>
    </row>
    <row r="1061" spans="1:21" x14ac:dyDescent="0.25">
      <c r="A1061">
        <v>19050217</v>
      </c>
      <c r="B1061" t="s">
        <v>342</v>
      </c>
      <c r="C1061" t="s">
        <v>33</v>
      </c>
      <c r="D1061" t="s">
        <v>12</v>
      </c>
      <c r="E1061" t="s">
        <v>623</v>
      </c>
      <c r="F1061" t="s">
        <v>35</v>
      </c>
      <c r="G1061" t="s">
        <v>369</v>
      </c>
      <c r="H1061" t="s">
        <v>0</v>
      </c>
      <c r="I1061" t="s">
        <v>436</v>
      </c>
      <c r="J1061" t="s">
        <v>437</v>
      </c>
      <c r="K1061" t="s">
        <v>438</v>
      </c>
      <c r="L1061" t="s">
        <v>345</v>
      </c>
      <c r="M1061" t="s">
        <v>408</v>
      </c>
      <c r="N1061" t="s">
        <v>11</v>
      </c>
      <c r="O1061" t="s">
        <v>11</v>
      </c>
      <c r="P1061" t="s">
        <v>0</v>
      </c>
      <c r="Q1061" t="s">
        <v>408</v>
      </c>
      <c r="R1061" t="s">
        <v>439</v>
      </c>
      <c r="S1061" t="s">
        <v>440</v>
      </c>
      <c r="T1061" t="s">
        <v>11</v>
      </c>
      <c r="U1061" t="s">
        <v>408</v>
      </c>
    </row>
    <row r="1062" spans="1:21" x14ac:dyDescent="0.25">
      <c r="A1062">
        <v>19050218</v>
      </c>
      <c r="B1062" t="s">
        <v>340</v>
      </c>
      <c r="C1062" t="s">
        <v>26</v>
      </c>
      <c r="D1062" t="s">
        <v>12</v>
      </c>
      <c r="E1062" t="s">
        <v>623</v>
      </c>
      <c r="F1062" t="s">
        <v>35</v>
      </c>
      <c r="G1062" t="s">
        <v>369</v>
      </c>
      <c r="H1062" t="s">
        <v>350</v>
      </c>
      <c r="I1062" t="s">
        <v>436</v>
      </c>
      <c r="J1062" t="s">
        <v>566</v>
      </c>
      <c r="K1062" t="s">
        <v>701</v>
      </c>
      <c r="L1062" t="s">
        <v>3</v>
      </c>
      <c r="M1062" t="s">
        <v>408</v>
      </c>
      <c r="N1062" t="s">
        <v>11</v>
      </c>
      <c r="O1062" t="s">
        <v>11</v>
      </c>
      <c r="P1062" t="s">
        <v>0</v>
      </c>
      <c r="Q1062" t="s">
        <v>408</v>
      </c>
      <c r="R1062" t="s">
        <v>439</v>
      </c>
      <c r="S1062" t="s">
        <v>440</v>
      </c>
      <c r="T1062" t="s">
        <v>11</v>
      </c>
      <c r="U1062" t="s">
        <v>408</v>
      </c>
    </row>
    <row r="1063" spans="1:21" x14ac:dyDescent="0.25">
      <c r="A1063">
        <v>19050223</v>
      </c>
      <c r="B1063" t="s">
        <v>342</v>
      </c>
      <c r="C1063" t="s">
        <v>33</v>
      </c>
      <c r="D1063" t="s">
        <v>12</v>
      </c>
      <c r="E1063" t="s">
        <v>730</v>
      </c>
      <c r="F1063" t="s">
        <v>40</v>
      </c>
      <c r="G1063" t="s">
        <v>369</v>
      </c>
      <c r="H1063" t="s">
        <v>370</v>
      </c>
      <c r="I1063" t="s">
        <v>721</v>
      </c>
      <c r="J1063" t="s">
        <v>455</v>
      </c>
      <c r="K1063" t="s">
        <v>453</v>
      </c>
      <c r="L1063" t="s">
        <v>367</v>
      </c>
      <c r="M1063" t="s">
        <v>408</v>
      </c>
      <c r="N1063" t="s">
        <v>11</v>
      </c>
      <c r="O1063" t="s">
        <v>11</v>
      </c>
      <c r="P1063" t="s">
        <v>77</v>
      </c>
      <c r="Q1063" t="s">
        <v>408</v>
      </c>
      <c r="R1063" t="s">
        <v>439</v>
      </c>
      <c r="S1063" t="s">
        <v>451</v>
      </c>
      <c r="T1063" t="s">
        <v>11</v>
      </c>
      <c r="U1063" t="s">
        <v>408</v>
      </c>
    </row>
    <row r="1064" spans="1:21" x14ac:dyDescent="0.25">
      <c r="A1064">
        <v>19050228</v>
      </c>
      <c r="B1064" t="s">
        <v>342</v>
      </c>
      <c r="C1064" t="s">
        <v>38</v>
      </c>
      <c r="D1064" t="s">
        <v>12</v>
      </c>
      <c r="E1064" t="s">
        <v>732</v>
      </c>
      <c r="F1064" t="s">
        <v>39</v>
      </c>
      <c r="G1064" t="s">
        <v>369</v>
      </c>
      <c r="H1064" t="s">
        <v>0</v>
      </c>
      <c r="I1064" t="s">
        <v>436</v>
      </c>
      <c r="J1064" t="s">
        <v>437</v>
      </c>
      <c r="K1064" t="s">
        <v>438</v>
      </c>
      <c r="L1064" t="s">
        <v>1</v>
      </c>
      <c r="M1064" t="s">
        <v>408</v>
      </c>
      <c r="N1064" t="s">
        <v>408</v>
      </c>
      <c r="O1064" t="s">
        <v>11</v>
      </c>
      <c r="P1064" t="s">
        <v>0</v>
      </c>
      <c r="Q1064" t="s">
        <v>408</v>
      </c>
      <c r="R1064" t="s">
        <v>439</v>
      </c>
      <c r="S1064" t="s">
        <v>440</v>
      </c>
      <c r="T1064" t="s">
        <v>408</v>
      </c>
      <c r="U1064" t="s">
        <v>408</v>
      </c>
    </row>
    <row r="1065" spans="1:21" x14ac:dyDescent="0.25">
      <c r="A1065">
        <v>19050229</v>
      </c>
      <c r="B1065" t="s">
        <v>342</v>
      </c>
      <c r="C1065" t="s">
        <v>38</v>
      </c>
      <c r="D1065" t="s">
        <v>12</v>
      </c>
      <c r="E1065" t="s">
        <v>537</v>
      </c>
      <c r="F1065" t="s">
        <v>199</v>
      </c>
      <c r="G1065" t="s">
        <v>369</v>
      </c>
      <c r="H1065" t="s">
        <v>1</v>
      </c>
      <c r="I1065" t="s">
        <v>469</v>
      </c>
      <c r="J1065" t="s">
        <v>445</v>
      </c>
      <c r="K1065" t="s">
        <v>438</v>
      </c>
      <c r="L1065" t="s">
        <v>0</v>
      </c>
      <c r="M1065" t="s">
        <v>408</v>
      </c>
      <c r="N1065" t="s">
        <v>408</v>
      </c>
      <c r="O1065" t="s">
        <v>11</v>
      </c>
      <c r="P1065" t="s">
        <v>0</v>
      </c>
      <c r="Q1065" t="s">
        <v>408</v>
      </c>
      <c r="R1065" t="s">
        <v>439</v>
      </c>
      <c r="S1065" t="s">
        <v>440</v>
      </c>
      <c r="T1065" t="s">
        <v>408</v>
      </c>
      <c r="U1065" t="s">
        <v>408</v>
      </c>
    </row>
    <row r="1066" spans="1:21" x14ac:dyDescent="0.25">
      <c r="A1066">
        <v>19050230</v>
      </c>
      <c r="B1066" t="s">
        <v>342</v>
      </c>
      <c r="C1066" t="s">
        <v>38</v>
      </c>
      <c r="D1066" t="s">
        <v>12</v>
      </c>
      <c r="E1066" t="s">
        <v>718</v>
      </c>
      <c r="F1066" t="s">
        <v>198</v>
      </c>
      <c r="G1066" t="s">
        <v>369</v>
      </c>
      <c r="H1066" t="s">
        <v>735</v>
      </c>
      <c r="I1066" t="s">
        <v>736</v>
      </c>
      <c r="J1066" t="s">
        <v>737</v>
      </c>
      <c r="K1066" t="s">
        <v>738</v>
      </c>
      <c r="L1066" t="s">
        <v>370</v>
      </c>
      <c r="M1066" t="s">
        <v>408</v>
      </c>
      <c r="N1066" t="s">
        <v>408</v>
      </c>
      <c r="O1066" t="s">
        <v>11</v>
      </c>
      <c r="P1066" t="s">
        <v>2</v>
      </c>
      <c r="Q1066" t="s">
        <v>408</v>
      </c>
      <c r="R1066" t="s">
        <v>439</v>
      </c>
      <c r="S1066" t="s">
        <v>451</v>
      </c>
      <c r="T1066" t="s">
        <v>408</v>
      </c>
      <c r="U1066" t="s">
        <v>408</v>
      </c>
    </row>
    <row r="1067" spans="1:21" x14ac:dyDescent="0.25">
      <c r="A1067">
        <v>19050237</v>
      </c>
      <c r="B1067" t="s">
        <v>342</v>
      </c>
      <c r="C1067" t="s">
        <v>33</v>
      </c>
      <c r="D1067" t="s">
        <v>12</v>
      </c>
      <c r="E1067" t="s">
        <v>732</v>
      </c>
      <c r="F1067" t="s">
        <v>104</v>
      </c>
      <c r="G1067" t="s">
        <v>468</v>
      </c>
      <c r="H1067" t="s">
        <v>447</v>
      </c>
      <c r="I1067" t="s">
        <v>448</v>
      </c>
      <c r="J1067" t="s">
        <v>449</v>
      </c>
      <c r="K1067" t="s">
        <v>450</v>
      </c>
      <c r="L1067" t="s">
        <v>2</v>
      </c>
      <c r="M1067" t="s">
        <v>408</v>
      </c>
      <c r="N1067" t="s">
        <v>11</v>
      </c>
      <c r="O1067" t="s">
        <v>11</v>
      </c>
      <c r="P1067" t="s">
        <v>77</v>
      </c>
      <c r="Q1067" t="s">
        <v>408</v>
      </c>
      <c r="R1067" t="s">
        <v>439</v>
      </c>
      <c r="S1067" t="s">
        <v>451</v>
      </c>
      <c r="T1067" t="s">
        <v>11</v>
      </c>
      <c r="U1067" t="s">
        <v>408</v>
      </c>
    </row>
    <row r="1068" spans="1:21" x14ac:dyDescent="0.25">
      <c r="A1068">
        <v>19050240</v>
      </c>
      <c r="B1068" t="s">
        <v>342</v>
      </c>
      <c r="C1068" t="s">
        <v>33</v>
      </c>
      <c r="D1068" t="s">
        <v>12</v>
      </c>
      <c r="E1068" t="s">
        <v>601</v>
      </c>
      <c r="F1068" t="s">
        <v>37</v>
      </c>
      <c r="G1068" t="s">
        <v>369</v>
      </c>
      <c r="H1068" t="s">
        <v>5</v>
      </c>
      <c r="I1068" t="s">
        <v>436</v>
      </c>
      <c r="J1068" t="s">
        <v>446</v>
      </c>
      <c r="K1068" t="s">
        <v>438</v>
      </c>
      <c r="L1068" t="s">
        <v>2</v>
      </c>
      <c r="M1068" t="s">
        <v>408</v>
      </c>
      <c r="N1068" t="s">
        <v>11</v>
      </c>
      <c r="O1068" t="s">
        <v>11</v>
      </c>
      <c r="P1068" t="s">
        <v>349</v>
      </c>
      <c r="Q1068" t="s">
        <v>408</v>
      </c>
      <c r="R1068" t="s">
        <v>439</v>
      </c>
      <c r="S1068" t="s">
        <v>440</v>
      </c>
      <c r="T1068" t="s">
        <v>11</v>
      </c>
      <c r="U1068" t="s">
        <v>408</v>
      </c>
    </row>
    <row r="1069" spans="1:21" x14ac:dyDescent="0.25">
      <c r="A1069">
        <v>19050244</v>
      </c>
      <c r="B1069" t="s">
        <v>340</v>
      </c>
      <c r="C1069" t="s">
        <v>26</v>
      </c>
      <c r="D1069" t="s">
        <v>12</v>
      </c>
      <c r="E1069" t="s">
        <v>724</v>
      </c>
      <c r="F1069" t="s">
        <v>36</v>
      </c>
      <c r="G1069" t="s">
        <v>369</v>
      </c>
      <c r="H1069" t="s">
        <v>1</v>
      </c>
      <c r="I1069" t="s">
        <v>469</v>
      </c>
      <c r="J1069" t="s">
        <v>445</v>
      </c>
      <c r="K1069" t="s">
        <v>438</v>
      </c>
      <c r="L1069" t="s">
        <v>2</v>
      </c>
      <c r="M1069" t="s">
        <v>408</v>
      </c>
      <c r="N1069" t="s">
        <v>408</v>
      </c>
      <c r="O1069" t="s">
        <v>11</v>
      </c>
      <c r="P1069" t="s">
        <v>2</v>
      </c>
      <c r="Q1069" t="s">
        <v>408</v>
      </c>
      <c r="R1069" t="s">
        <v>439</v>
      </c>
      <c r="S1069" t="s">
        <v>440</v>
      </c>
      <c r="T1069" t="s">
        <v>408</v>
      </c>
      <c r="U1069" t="s">
        <v>408</v>
      </c>
    </row>
    <row r="1070" spans="1:21" x14ac:dyDescent="0.25">
      <c r="A1070">
        <v>19050254</v>
      </c>
      <c r="B1070" t="s">
        <v>340</v>
      </c>
      <c r="C1070" t="s">
        <v>26</v>
      </c>
      <c r="D1070" t="s">
        <v>12</v>
      </c>
      <c r="E1070" t="s">
        <v>739</v>
      </c>
      <c r="F1070" t="s">
        <v>103</v>
      </c>
      <c r="G1070" t="s">
        <v>369</v>
      </c>
      <c r="H1070" t="s">
        <v>0</v>
      </c>
      <c r="I1070" t="s">
        <v>436</v>
      </c>
      <c r="J1070" t="s">
        <v>437</v>
      </c>
      <c r="K1070" t="s">
        <v>438</v>
      </c>
      <c r="L1070" t="s">
        <v>1</v>
      </c>
      <c r="M1070" t="s">
        <v>408</v>
      </c>
      <c r="N1070" t="s">
        <v>11</v>
      </c>
      <c r="O1070" t="s">
        <v>11</v>
      </c>
      <c r="P1070" t="s">
        <v>2</v>
      </c>
      <c r="Q1070" t="s">
        <v>408</v>
      </c>
      <c r="R1070" t="s">
        <v>439</v>
      </c>
      <c r="S1070" t="s">
        <v>440</v>
      </c>
      <c r="T1070" t="s">
        <v>11</v>
      </c>
      <c r="U1070" t="s">
        <v>408</v>
      </c>
    </row>
    <row r="1071" spans="1:21" x14ac:dyDescent="0.25">
      <c r="A1071">
        <v>19050271</v>
      </c>
      <c r="B1071" t="s">
        <v>340</v>
      </c>
      <c r="C1071" t="s">
        <v>26</v>
      </c>
      <c r="D1071" t="s">
        <v>12</v>
      </c>
      <c r="E1071" t="s">
        <v>739</v>
      </c>
      <c r="F1071" t="s">
        <v>107</v>
      </c>
      <c r="G1071" t="s">
        <v>369</v>
      </c>
      <c r="H1071" t="s">
        <v>370</v>
      </c>
      <c r="I1071" t="s">
        <v>721</v>
      </c>
      <c r="J1071" t="s">
        <v>455</v>
      </c>
      <c r="K1071" t="s">
        <v>453</v>
      </c>
      <c r="L1071" t="s">
        <v>367</v>
      </c>
      <c r="M1071" t="s">
        <v>408</v>
      </c>
      <c r="N1071" t="s">
        <v>11</v>
      </c>
      <c r="O1071" t="s">
        <v>11</v>
      </c>
      <c r="P1071" t="s">
        <v>2</v>
      </c>
      <c r="Q1071" t="s">
        <v>408</v>
      </c>
      <c r="R1071" t="s">
        <v>439</v>
      </c>
      <c r="S1071" t="s">
        <v>451</v>
      </c>
      <c r="T1071" t="s">
        <v>11</v>
      </c>
      <c r="U1071" t="s">
        <v>408</v>
      </c>
    </row>
    <row r="1072" spans="1:21" x14ac:dyDescent="0.25">
      <c r="A1072">
        <v>19050272</v>
      </c>
      <c r="B1072" t="s">
        <v>340</v>
      </c>
      <c r="C1072" t="s">
        <v>26</v>
      </c>
      <c r="D1072" t="s">
        <v>12</v>
      </c>
      <c r="E1072" t="s">
        <v>739</v>
      </c>
      <c r="F1072" t="s">
        <v>103</v>
      </c>
      <c r="G1072" t="s">
        <v>369</v>
      </c>
      <c r="H1072" t="s">
        <v>0</v>
      </c>
      <c r="I1072" t="s">
        <v>436</v>
      </c>
      <c r="J1072" t="s">
        <v>437</v>
      </c>
      <c r="K1072" t="s">
        <v>438</v>
      </c>
      <c r="L1072" t="s">
        <v>4</v>
      </c>
      <c r="M1072" t="s">
        <v>408</v>
      </c>
      <c r="N1072" t="s">
        <v>11</v>
      </c>
      <c r="O1072" t="s">
        <v>11</v>
      </c>
      <c r="P1072" t="s">
        <v>2</v>
      </c>
      <c r="Q1072" t="s">
        <v>408</v>
      </c>
      <c r="R1072" t="s">
        <v>439</v>
      </c>
      <c r="S1072" t="s">
        <v>440</v>
      </c>
      <c r="T1072" t="s">
        <v>11</v>
      </c>
      <c r="U1072" t="s">
        <v>408</v>
      </c>
    </row>
    <row r="1073" spans="1:21" x14ac:dyDescent="0.25">
      <c r="A1073">
        <v>19050276</v>
      </c>
      <c r="B1073" t="s">
        <v>340</v>
      </c>
      <c r="C1073" t="s">
        <v>26</v>
      </c>
      <c r="D1073" t="s">
        <v>12</v>
      </c>
      <c r="E1073" t="s">
        <v>739</v>
      </c>
      <c r="F1073" t="s">
        <v>202</v>
      </c>
      <c r="G1073" t="s">
        <v>369</v>
      </c>
      <c r="H1073" t="s">
        <v>350</v>
      </c>
      <c r="I1073" t="s">
        <v>436</v>
      </c>
      <c r="J1073" t="s">
        <v>566</v>
      </c>
      <c r="K1073" t="s">
        <v>701</v>
      </c>
      <c r="L1073" t="s">
        <v>8</v>
      </c>
      <c r="M1073" t="s">
        <v>408</v>
      </c>
      <c r="N1073" t="s">
        <v>11</v>
      </c>
      <c r="O1073" t="s">
        <v>11</v>
      </c>
      <c r="P1073" t="s">
        <v>2</v>
      </c>
      <c r="Q1073" t="s">
        <v>408</v>
      </c>
      <c r="R1073" t="s">
        <v>439</v>
      </c>
      <c r="S1073" t="s">
        <v>440</v>
      </c>
      <c r="T1073" t="s">
        <v>11</v>
      </c>
      <c r="U1073" t="s">
        <v>408</v>
      </c>
    </row>
    <row r="1074" spans="1:21" x14ac:dyDescent="0.25">
      <c r="A1074">
        <v>19050283</v>
      </c>
      <c r="B1074" t="s">
        <v>340</v>
      </c>
      <c r="C1074" t="s">
        <v>26</v>
      </c>
      <c r="D1074" t="s">
        <v>12</v>
      </c>
      <c r="E1074" t="s">
        <v>739</v>
      </c>
      <c r="F1074" t="s">
        <v>107</v>
      </c>
      <c r="G1074" t="s">
        <v>369</v>
      </c>
      <c r="H1074" t="s">
        <v>0</v>
      </c>
      <c r="I1074" t="s">
        <v>436</v>
      </c>
      <c r="J1074" t="s">
        <v>437</v>
      </c>
      <c r="K1074" t="s">
        <v>438</v>
      </c>
      <c r="L1074" t="s">
        <v>4</v>
      </c>
      <c r="M1074" t="s">
        <v>408</v>
      </c>
      <c r="N1074" t="s">
        <v>11</v>
      </c>
      <c r="O1074" t="s">
        <v>11</v>
      </c>
      <c r="P1074" t="s">
        <v>2</v>
      </c>
      <c r="Q1074" t="s">
        <v>408</v>
      </c>
      <c r="R1074" t="s">
        <v>439</v>
      </c>
      <c r="S1074" t="s">
        <v>440</v>
      </c>
      <c r="T1074" t="s">
        <v>11</v>
      </c>
      <c r="U1074" t="s">
        <v>408</v>
      </c>
    </row>
    <row r="1075" spans="1:21" x14ac:dyDescent="0.25">
      <c r="A1075">
        <v>19050290</v>
      </c>
      <c r="B1075" t="s">
        <v>340</v>
      </c>
      <c r="C1075" t="s">
        <v>26</v>
      </c>
      <c r="D1075" t="s">
        <v>12</v>
      </c>
      <c r="E1075" t="s">
        <v>739</v>
      </c>
      <c r="F1075" t="s">
        <v>107</v>
      </c>
      <c r="G1075" t="s">
        <v>369</v>
      </c>
      <c r="H1075" t="s">
        <v>1</v>
      </c>
      <c r="I1075" t="s">
        <v>469</v>
      </c>
      <c r="J1075" t="s">
        <v>445</v>
      </c>
      <c r="K1075" t="s">
        <v>438</v>
      </c>
      <c r="L1075" t="s">
        <v>350</v>
      </c>
      <c r="M1075" t="s">
        <v>408</v>
      </c>
      <c r="N1075" t="s">
        <v>11</v>
      </c>
      <c r="O1075" t="s">
        <v>11</v>
      </c>
      <c r="P1075" t="s">
        <v>2</v>
      </c>
      <c r="Q1075" t="s">
        <v>408</v>
      </c>
      <c r="R1075" t="s">
        <v>439</v>
      </c>
      <c r="S1075" t="s">
        <v>440</v>
      </c>
      <c r="T1075" t="s">
        <v>11</v>
      </c>
      <c r="U1075" t="s">
        <v>408</v>
      </c>
    </row>
    <row r="1076" spans="1:21" x14ac:dyDescent="0.25">
      <c r="A1076">
        <v>19050292</v>
      </c>
      <c r="B1076" t="s">
        <v>340</v>
      </c>
      <c r="C1076" t="s">
        <v>26</v>
      </c>
      <c r="D1076" t="s">
        <v>12</v>
      </c>
      <c r="E1076" t="s">
        <v>739</v>
      </c>
      <c r="F1076" t="s">
        <v>107</v>
      </c>
      <c r="G1076" t="s">
        <v>369</v>
      </c>
      <c r="H1076" t="s">
        <v>0</v>
      </c>
      <c r="I1076" t="s">
        <v>436</v>
      </c>
      <c r="J1076" t="s">
        <v>437</v>
      </c>
      <c r="K1076" t="s">
        <v>438</v>
      </c>
      <c r="L1076" t="s">
        <v>1</v>
      </c>
      <c r="M1076" t="s">
        <v>408</v>
      </c>
      <c r="N1076" t="s">
        <v>11</v>
      </c>
      <c r="O1076" t="s">
        <v>11</v>
      </c>
      <c r="P1076" t="s">
        <v>2</v>
      </c>
      <c r="Q1076" t="s">
        <v>408</v>
      </c>
      <c r="R1076" t="s">
        <v>439</v>
      </c>
      <c r="S1076" t="s">
        <v>440</v>
      </c>
      <c r="T1076" t="s">
        <v>11</v>
      </c>
      <c r="U1076" t="s">
        <v>408</v>
      </c>
    </row>
    <row r="1077" spans="1:21" x14ac:dyDescent="0.25">
      <c r="A1077">
        <v>19050294</v>
      </c>
      <c r="B1077" t="s">
        <v>340</v>
      </c>
      <c r="C1077" t="s">
        <v>26</v>
      </c>
      <c r="D1077" t="s">
        <v>12</v>
      </c>
      <c r="E1077" t="s">
        <v>747</v>
      </c>
      <c r="F1077" t="s">
        <v>197</v>
      </c>
      <c r="G1077" t="s">
        <v>369</v>
      </c>
      <c r="H1077" t="s">
        <v>727</v>
      </c>
      <c r="I1077" t="s">
        <v>728</v>
      </c>
      <c r="J1077" t="s">
        <v>729</v>
      </c>
      <c r="K1077" t="s">
        <v>450</v>
      </c>
      <c r="L1077" t="s">
        <v>367</v>
      </c>
      <c r="M1077" t="s">
        <v>408</v>
      </c>
      <c r="N1077" t="s">
        <v>11</v>
      </c>
      <c r="O1077" t="s">
        <v>11</v>
      </c>
      <c r="P1077" t="s">
        <v>2</v>
      </c>
      <c r="Q1077" t="s">
        <v>408</v>
      </c>
      <c r="R1077" t="s">
        <v>439</v>
      </c>
      <c r="S1077" t="s">
        <v>451</v>
      </c>
      <c r="T1077" t="s">
        <v>11</v>
      </c>
      <c r="U1077" t="s">
        <v>408</v>
      </c>
    </row>
    <row r="1078" spans="1:21" x14ac:dyDescent="0.25">
      <c r="A1078">
        <v>19050296</v>
      </c>
      <c r="B1078" t="s">
        <v>340</v>
      </c>
      <c r="C1078" t="s">
        <v>26</v>
      </c>
      <c r="D1078" t="s">
        <v>12</v>
      </c>
      <c r="E1078" t="s">
        <v>739</v>
      </c>
      <c r="F1078" t="s">
        <v>103</v>
      </c>
      <c r="G1078" t="s">
        <v>369</v>
      </c>
      <c r="H1078" t="s">
        <v>0</v>
      </c>
      <c r="I1078" t="s">
        <v>436</v>
      </c>
      <c r="J1078" t="s">
        <v>437</v>
      </c>
      <c r="K1078" t="s">
        <v>438</v>
      </c>
      <c r="L1078" t="s">
        <v>4</v>
      </c>
      <c r="M1078" t="s">
        <v>408</v>
      </c>
      <c r="N1078" t="s">
        <v>11</v>
      </c>
      <c r="O1078" t="s">
        <v>11</v>
      </c>
      <c r="P1078" t="s">
        <v>2</v>
      </c>
      <c r="Q1078" t="s">
        <v>408</v>
      </c>
      <c r="R1078" t="s">
        <v>439</v>
      </c>
      <c r="S1078" t="s">
        <v>440</v>
      </c>
      <c r="T1078" t="s">
        <v>11</v>
      </c>
      <c r="U1078" t="s">
        <v>408</v>
      </c>
    </row>
    <row r="1079" spans="1:21" x14ac:dyDescent="0.25">
      <c r="A1079">
        <v>19050300</v>
      </c>
      <c r="B1079" t="s">
        <v>340</v>
      </c>
      <c r="C1079" t="s">
        <v>26</v>
      </c>
      <c r="D1079" t="s">
        <v>12</v>
      </c>
      <c r="E1079" t="s">
        <v>739</v>
      </c>
      <c r="F1079" t="s">
        <v>103</v>
      </c>
      <c r="G1079" t="s">
        <v>369</v>
      </c>
      <c r="H1079" t="s">
        <v>1</v>
      </c>
      <c r="I1079" t="s">
        <v>469</v>
      </c>
      <c r="J1079" t="s">
        <v>445</v>
      </c>
      <c r="K1079" t="s">
        <v>438</v>
      </c>
      <c r="L1079" t="s">
        <v>2</v>
      </c>
      <c r="M1079" t="s">
        <v>408</v>
      </c>
      <c r="N1079" t="s">
        <v>11</v>
      </c>
      <c r="O1079" t="s">
        <v>11</v>
      </c>
      <c r="P1079" t="s">
        <v>2</v>
      </c>
      <c r="Q1079" t="s">
        <v>408</v>
      </c>
      <c r="R1079" t="s">
        <v>439</v>
      </c>
      <c r="S1079" t="s">
        <v>440</v>
      </c>
      <c r="T1079" t="s">
        <v>11</v>
      </c>
      <c r="U1079" t="s">
        <v>408</v>
      </c>
    </row>
    <row r="1080" spans="1:21" x14ac:dyDescent="0.25">
      <c r="A1080">
        <v>19050304</v>
      </c>
      <c r="B1080" t="s">
        <v>340</v>
      </c>
      <c r="C1080" t="s">
        <v>26</v>
      </c>
      <c r="D1080" t="s">
        <v>12</v>
      </c>
      <c r="E1080" t="s">
        <v>739</v>
      </c>
      <c r="F1080" t="s">
        <v>103</v>
      </c>
      <c r="G1080" t="s">
        <v>369</v>
      </c>
      <c r="H1080" t="s">
        <v>370</v>
      </c>
      <c r="I1080" t="s">
        <v>721</v>
      </c>
      <c r="J1080" t="s">
        <v>455</v>
      </c>
      <c r="K1080" t="s">
        <v>453</v>
      </c>
      <c r="L1080" t="s">
        <v>367</v>
      </c>
      <c r="M1080" t="s">
        <v>408</v>
      </c>
      <c r="N1080" t="s">
        <v>11</v>
      </c>
      <c r="O1080" t="s">
        <v>11</v>
      </c>
      <c r="P1080" t="s">
        <v>2</v>
      </c>
      <c r="Q1080" t="s">
        <v>408</v>
      </c>
      <c r="R1080" t="s">
        <v>439</v>
      </c>
      <c r="S1080" t="s">
        <v>451</v>
      </c>
      <c r="T1080" t="s">
        <v>11</v>
      </c>
      <c r="U1080" t="s">
        <v>408</v>
      </c>
    </row>
    <row r="1081" spans="1:21" x14ac:dyDescent="0.25">
      <c r="A1081">
        <v>19050315</v>
      </c>
      <c r="B1081" t="s">
        <v>340</v>
      </c>
      <c r="C1081" t="s">
        <v>26</v>
      </c>
      <c r="D1081" t="s">
        <v>18</v>
      </c>
      <c r="E1081" t="s">
        <v>739</v>
      </c>
      <c r="F1081" t="s">
        <v>103</v>
      </c>
      <c r="G1081" t="s">
        <v>369</v>
      </c>
      <c r="H1081" t="s">
        <v>2</v>
      </c>
      <c r="I1081" t="s">
        <v>436</v>
      </c>
      <c r="J1081" t="s">
        <v>443</v>
      </c>
      <c r="K1081" t="s">
        <v>444</v>
      </c>
      <c r="L1081" t="s">
        <v>7</v>
      </c>
      <c r="M1081" t="s">
        <v>408</v>
      </c>
      <c r="N1081" t="s">
        <v>11</v>
      </c>
      <c r="O1081" t="s">
        <v>11</v>
      </c>
      <c r="P1081" t="s">
        <v>2</v>
      </c>
      <c r="Q1081" t="s">
        <v>408</v>
      </c>
      <c r="R1081" t="s">
        <v>439</v>
      </c>
      <c r="S1081" t="s">
        <v>440</v>
      </c>
      <c r="T1081" t="s">
        <v>11</v>
      </c>
      <c r="U1081" t="s">
        <v>408</v>
      </c>
    </row>
    <row r="1082" spans="1:21" x14ac:dyDescent="0.25">
      <c r="A1082">
        <v>19050333</v>
      </c>
      <c r="B1082" t="s">
        <v>340</v>
      </c>
      <c r="C1082" t="s">
        <v>26</v>
      </c>
      <c r="D1082" t="s">
        <v>12</v>
      </c>
      <c r="E1082" t="s">
        <v>623</v>
      </c>
      <c r="F1082" t="s">
        <v>35</v>
      </c>
      <c r="G1082" t="s">
        <v>369</v>
      </c>
      <c r="H1082" t="s">
        <v>2</v>
      </c>
      <c r="I1082" t="s">
        <v>436</v>
      </c>
      <c r="J1082" t="s">
        <v>443</v>
      </c>
      <c r="K1082" t="s">
        <v>444</v>
      </c>
      <c r="L1082" t="s">
        <v>7</v>
      </c>
      <c r="M1082" t="s">
        <v>408</v>
      </c>
      <c r="N1082" t="s">
        <v>11</v>
      </c>
      <c r="O1082" t="s">
        <v>11</v>
      </c>
      <c r="P1082" t="s">
        <v>0</v>
      </c>
      <c r="Q1082" t="s">
        <v>408</v>
      </c>
      <c r="R1082" t="s">
        <v>439</v>
      </c>
      <c r="S1082" t="s">
        <v>440</v>
      </c>
      <c r="T1082" t="s">
        <v>11</v>
      </c>
      <c r="U1082" t="s">
        <v>408</v>
      </c>
    </row>
    <row r="1083" spans="1:21" x14ac:dyDescent="0.25">
      <c r="A1083">
        <v>19050338</v>
      </c>
      <c r="B1083" t="s">
        <v>340</v>
      </c>
      <c r="C1083" t="s">
        <v>26</v>
      </c>
      <c r="D1083" t="s">
        <v>79</v>
      </c>
      <c r="E1083" t="s">
        <v>623</v>
      </c>
      <c r="F1083" t="s">
        <v>196</v>
      </c>
      <c r="G1083" t="s">
        <v>369</v>
      </c>
      <c r="H1083" t="s">
        <v>1</v>
      </c>
      <c r="I1083" t="s">
        <v>469</v>
      </c>
      <c r="J1083" t="s">
        <v>445</v>
      </c>
      <c r="K1083" t="s">
        <v>438</v>
      </c>
      <c r="L1083" t="s">
        <v>0</v>
      </c>
      <c r="M1083" t="s">
        <v>408</v>
      </c>
      <c r="N1083" t="s">
        <v>11</v>
      </c>
      <c r="O1083" t="s">
        <v>11</v>
      </c>
      <c r="P1083" t="s">
        <v>0</v>
      </c>
      <c r="Q1083" t="s">
        <v>408</v>
      </c>
      <c r="R1083" t="s">
        <v>439</v>
      </c>
      <c r="S1083" t="s">
        <v>440</v>
      </c>
      <c r="T1083" t="s">
        <v>11</v>
      </c>
      <c r="U1083" t="s">
        <v>408</v>
      </c>
    </row>
    <row r="1084" spans="1:21" x14ac:dyDescent="0.25">
      <c r="A1084">
        <v>19050339</v>
      </c>
      <c r="B1084" t="s">
        <v>340</v>
      </c>
      <c r="C1084" t="s">
        <v>26</v>
      </c>
      <c r="D1084" t="s">
        <v>12</v>
      </c>
      <c r="E1084" t="s">
        <v>623</v>
      </c>
      <c r="F1084" t="s">
        <v>35</v>
      </c>
      <c r="G1084" t="s">
        <v>369</v>
      </c>
      <c r="H1084" t="s">
        <v>1</v>
      </c>
      <c r="I1084" t="s">
        <v>469</v>
      </c>
      <c r="J1084" t="s">
        <v>445</v>
      </c>
      <c r="K1084" t="s">
        <v>438</v>
      </c>
      <c r="L1084" t="s">
        <v>0</v>
      </c>
      <c r="M1084" t="s">
        <v>408</v>
      </c>
      <c r="N1084" t="s">
        <v>11</v>
      </c>
      <c r="O1084" t="s">
        <v>11</v>
      </c>
      <c r="P1084" t="s">
        <v>0</v>
      </c>
      <c r="Q1084" t="s">
        <v>408</v>
      </c>
      <c r="R1084" t="s">
        <v>439</v>
      </c>
      <c r="S1084" t="s">
        <v>440</v>
      </c>
      <c r="T1084" t="s">
        <v>11</v>
      </c>
      <c r="U1084" t="s">
        <v>408</v>
      </c>
    </row>
    <row r="1085" spans="1:21" x14ac:dyDescent="0.25">
      <c r="A1085">
        <v>19050340</v>
      </c>
      <c r="B1085" t="s">
        <v>340</v>
      </c>
      <c r="C1085" t="s">
        <v>26</v>
      </c>
      <c r="D1085" t="s">
        <v>12</v>
      </c>
      <c r="E1085" t="s">
        <v>623</v>
      </c>
      <c r="F1085" t="s">
        <v>196</v>
      </c>
      <c r="G1085" t="s">
        <v>369</v>
      </c>
      <c r="H1085" t="s">
        <v>350</v>
      </c>
      <c r="I1085" t="s">
        <v>436</v>
      </c>
      <c r="J1085" t="s">
        <v>566</v>
      </c>
      <c r="K1085" t="s">
        <v>701</v>
      </c>
      <c r="L1085" t="s">
        <v>8</v>
      </c>
      <c r="M1085" t="s">
        <v>408</v>
      </c>
      <c r="N1085" t="s">
        <v>11</v>
      </c>
      <c r="O1085" t="s">
        <v>11</v>
      </c>
      <c r="P1085" t="s">
        <v>0</v>
      </c>
      <c r="Q1085" t="s">
        <v>408</v>
      </c>
      <c r="R1085" t="s">
        <v>439</v>
      </c>
      <c r="S1085" t="s">
        <v>440</v>
      </c>
      <c r="T1085" t="s">
        <v>11</v>
      </c>
      <c r="U1085" t="s">
        <v>408</v>
      </c>
    </row>
    <row r="1086" spans="1:21" x14ac:dyDescent="0.25">
      <c r="A1086">
        <v>19050343</v>
      </c>
      <c r="B1086" t="s">
        <v>340</v>
      </c>
      <c r="C1086" t="s">
        <v>26</v>
      </c>
      <c r="D1086" t="s">
        <v>12</v>
      </c>
      <c r="E1086" t="s">
        <v>623</v>
      </c>
      <c r="F1086" t="s">
        <v>194</v>
      </c>
      <c r="G1086" t="s">
        <v>369</v>
      </c>
      <c r="H1086" t="s">
        <v>350</v>
      </c>
      <c r="I1086" t="s">
        <v>436</v>
      </c>
      <c r="J1086" t="s">
        <v>566</v>
      </c>
      <c r="K1086" t="s">
        <v>701</v>
      </c>
      <c r="L1086" t="s">
        <v>8</v>
      </c>
      <c r="M1086" t="s">
        <v>408</v>
      </c>
      <c r="N1086" t="s">
        <v>11</v>
      </c>
      <c r="O1086" t="s">
        <v>11</v>
      </c>
      <c r="P1086" t="s">
        <v>0</v>
      </c>
      <c r="Q1086" t="s">
        <v>408</v>
      </c>
      <c r="R1086" t="s">
        <v>439</v>
      </c>
      <c r="S1086" t="s">
        <v>440</v>
      </c>
      <c r="T1086" t="s">
        <v>11</v>
      </c>
      <c r="U1086" t="s">
        <v>408</v>
      </c>
    </row>
    <row r="1087" spans="1:21" x14ac:dyDescent="0.25">
      <c r="A1087">
        <v>19050346</v>
      </c>
      <c r="B1087" t="s">
        <v>340</v>
      </c>
      <c r="C1087" t="s">
        <v>26</v>
      </c>
      <c r="D1087" t="s">
        <v>12</v>
      </c>
      <c r="E1087" t="s">
        <v>623</v>
      </c>
      <c r="F1087" t="s">
        <v>35</v>
      </c>
      <c r="G1087" t="s">
        <v>369</v>
      </c>
      <c r="H1087" t="s">
        <v>350</v>
      </c>
      <c r="I1087" t="s">
        <v>436</v>
      </c>
      <c r="J1087" t="s">
        <v>566</v>
      </c>
      <c r="K1087" t="s">
        <v>701</v>
      </c>
      <c r="L1087" t="s">
        <v>8</v>
      </c>
      <c r="M1087" t="s">
        <v>408</v>
      </c>
      <c r="N1087" t="s">
        <v>11</v>
      </c>
      <c r="O1087" t="s">
        <v>11</v>
      </c>
      <c r="P1087" t="s">
        <v>0</v>
      </c>
      <c r="Q1087" t="s">
        <v>408</v>
      </c>
      <c r="R1087" t="s">
        <v>439</v>
      </c>
      <c r="S1087" t="s">
        <v>440</v>
      </c>
      <c r="T1087" t="s">
        <v>11</v>
      </c>
      <c r="U1087" t="s">
        <v>408</v>
      </c>
    </row>
    <row r="1088" spans="1:21" x14ac:dyDescent="0.25">
      <c r="A1088">
        <v>19050349</v>
      </c>
      <c r="B1088" t="s">
        <v>340</v>
      </c>
      <c r="C1088" t="s">
        <v>26</v>
      </c>
      <c r="D1088" t="s">
        <v>12</v>
      </c>
      <c r="E1088" t="s">
        <v>623</v>
      </c>
      <c r="F1088" t="s">
        <v>196</v>
      </c>
      <c r="G1088" t="s">
        <v>369</v>
      </c>
      <c r="H1088" t="s">
        <v>0</v>
      </c>
      <c r="I1088" t="s">
        <v>436</v>
      </c>
      <c r="J1088" t="s">
        <v>437</v>
      </c>
      <c r="K1088" t="s">
        <v>438</v>
      </c>
      <c r="L1088" t="s">
        <v>4</v>
      </c>
      <c r="M1088" t="s">
        <v>408</v>
      </c>
      <c r="N1088" t="s">
        <v>11</v>
      </c>
      <c r="O1088" t="s">
        <v>11</v>
      </c>
      <c r="P1088" t="s">
        <v>0</v>
      </c>
      <c r="Q1088" t="s">
        <v>408</v>
      </c>
      <c r="R1088" t="s">
        <v>439</v>
      </c>
      <c r="S1088" t="s">
        <v>440</v>
      </c>
      <c r="T1088" t="s">
        <v>11</v>
      </c>
      <c r="U1088" t="s">
        <v>408</v>
      </c>
    </row>
    <row r="1089" spans="1:21" x14ac:dyDescent="0.25">
      <c r="A1089">
        <v>19050364</v>
      </c>
      <c r="B1089" t="s">
        <v>340</v>
      </c>
      <c r="C1089" t="s">
        <v>26</v>
      </c>
      <c r="D1089" t="s">
        <v>12</v>
      </c>
      <c r="E1089" t="s">
        <v>739</v>
      </c>
      <c r="F1089" t="s">
        <v>103</v>
      </c>
      <c r="G1089" t="s">
        <v>369</v>
      </c>
      <c r="H1089" t="s">
        <v>0</v>
      </c>
      <c r="I1089" t="s">
        <v>436</v>
      </c>
      <c r="J1089" t="s">
        <v>437</v>
      </c>
      <c r="K1089" t="s">
        <v>438</v>
      </c>
      <c r="L1089" t="s">
        <v>4</v>
      </c>
      <c r="M1089" t="s">
        <v>408</v>
      </c>
      <c r="N1089" t="s">
        <v>11</v>
      </c>
      <c r="O1089" t="s">
        <v>11</v>
      </c>
      <c r="P1089" t="s">
        <v>0</v>
      </c>
      <c r="Q1089" t="s">
        <v>408</v>
      </c>
      <c r="R1089" t="s">
        <v>439</v>
      </c>
      <c r="S1089" t="s">
        <v>440</v>
      </c>
      <c r="T1089" t="s">
        <v>11</v>
      </c>
      <c r="U1089" t="s">
        <v>408</v>
      </c>
    </row>
    <row r="1090" spans="1:21" x14ac:dyDescent="0.25">
      <c r="A1090">
        <v>19050383</v>
      </c>
      <c r="B1090" t="s">
        <v>340</v>
      </c>
      <c r="C1090" t="s">
        <v>26</v>
      </c>
      <c r="D1090" t="s">
        <v>12</v>
      </c>
      <c r="E1090" t="s">
        <v>621</v>
      </c>
      <c r="F1090" t="s">
        <v>318</v>
      </c>
      <c r="G1090" t="s">
        <v>369</v>
      </c>
      <c r="H1090" t="s">
        <v>0</v>
      </c>
      <c r="I1090" t="s">
        <v>436</v>
      </c>
      <c r="J1090" t="s">
        <v>437</v>
      </c>
      <c r="K1090" t="s">
        <v>438</v>
      </c>
      <c r="L1090" t="s">
        <v>1</v>
      </c>
      <c r="M1090" t="s">
        <v>408</v>
      </c>
      <c r="N1090" t="s">
        <v>11</v>
      </c>
      <c r="O1090" t="s">
        <v>11</v>
      </c>
      <c r="P1090" t="s">
        <v>2</v>
      </c>
      <c r="Q1090" t="s">
        <v>408</v>
      </c>
      <c r="R1090" t="s">
        <v>439</v>
      </c>
      <c r="S1090" t="s">
        <v>440</v>
      </c>
      <c r="T1090" t="s">
        <v>11</v>
      </c>
      <c r="U1090" t="s">
        <v>408</v>
      </c>
    </row>
    <row r="1091" spans="1:21" x14ac:dyDescent="0.25">
      <c r="A1091">
        <v>19050392</v>
      </c>
      <c r="B1091" t="s">
        <v>340</v>
      </c>
      <c r="C1091" t="s">
        <v>26</v>
      </c>
      <c r="D1091" t="s">
        <v>12</v>
      </c>
      <c r="E1091" t="s">
        <v>623</v>
      </c>
      <c r="F1091" t="s">
        <v>35</v>
      </c>
      <c r="G1091" t="s">
        <v>369</v>
      </c>
      <c r="H1091" t="s">
        <v>370</v>
      </c>
      <c r="I1091" t="s">
        <v>721</v>
      </c>
      <c r="J1091" t="s">
        <v>455</v>
      </c>
      <c r="K1091" t="s">
        <v>453</v>
      </c>
      <c r="L1091" t="s">
        <v>367</v>
      </c>
      <c r="M1091" t="s">
        <v>408</v>
      </c>
      <c r="N1091" t="s">
        <v>11</v>
      </c>
      <c r="O1091" t="s">
        <v>11</v>
      </c>
      <c r="P1091" t="s">
        <v>2</v>
      </c>
      <c r="Q1091" t="s">
        <v>408</v>
      </c>
      <c r="R1091" t="s">
        <v>439</v>
      </c>
      <c r="S1091" t="s">
        <v>451</v>
      </c>
      <c r="T1091" t="s">
        <v>11</v>
      </c>
      <c r="U1091" t="s">
        <v>408</v>
      </c>
    </row>
    <row r="1092" spans="1:21" x14ac:dyDescent="0.25">
      <c r="A1092">
        <v>19325277</v>
      </c>
      <c r="B1092" t="s">
        <v>340</v>
      </c>
      <c r="C1092" t="s">
        <v>26</v>
      </c>
      <c r="D1092" t="s">
        <v>102</v>
      </c>
      <c r="E1092" t="s">
        <v>740</v>
      </c>
      <c r="F1092" t="s">
        <v>60</v>
      </c>
      <c r="G1092" t="s">
        <v>369</v>
      </c>
      <c r="H1092" t="s">
        <v>2</v>
      </c>
      <c r="I1092" t="s">
        <v>436</v>
      </c>
      <c r="J1092" t="s">
        <v>443</v>
      </c>
      <c r="K1092" t="s">
        <v>444</v>
      </c>
      <c r="L1092" t="s">
        <v>360</v>
      </c>
      <c r="M1092" t="s">
        <v>408</v>
      </c>
      <c r="N1092" t="s">
        <v>11</v>
      </c>
      <c r="O1092" t="s">
        <v>11</v>
      </c>
      <c r="P1092" t="s">
        <v>360</v>
      </c>
      <c r="Q1092" t="s">
        <v>408</v>
      </c>
      <c r="R1092" t="s">
        <v>439</v>
      </c>
      <c r="S1092" t="s">
        <v>440</v>
      </c>
      <c r="T1092" t="s">
        <v>11</v>
      </c>
      <c r="U1092" t="s">
        <v>408</v>
      </c>
    </row>
    <row r="1093" spans="1:21" x14ac:dyDescent="0.25">
      <c r="A1093">
        <v>19327079</v>
      </c>
      <c r="B1093" t="s">
        <v>340</v>
      </c>
      <c r="C1093" t="s">
        <v>26</v>
      </c>
      <c r="D1093" t="s">
        <v>18</v>
      </c>
      <c r="E1093" t="s">
        <v>740</v>
      </c>
      <c r="F1093" t="s">
        <v>58</v>
      </c>
      <c r="G1093" t="s">
        <v>369</v>
      </c>
      <c r="H1093" t="s">
        <v>2</v>
      </c>
      <c r="I1093" t="s">
        <v>436</v>
      </c>
      <c r="J1093" t="s">
        <v>443</v>
      </c>
      <c r="K1093" t="s">
        <v>444</v>
      </c>
      <c r="L1093" t="s">
        <v>361</v>
      </c>
      <c r="M1093" t="s">
        <v>408</v>
      </c>
      <c r="N1093" t="s">
        <v>11</v>
      </c>
      <c r="O1093" t="s">
        <v>408</v>
      </c>
      <c r="P1093" t="s">
        <v>362</v>
      </c>
      <c r="Q1093" t="s">
        <v>408</v>
      </c>
      <c r="R1093" t="s">
        <v>439</v>
      </c>
      <c r="S1093" t="s">
        <v>440</v>
      </c>
      <c r="T1093" t="s">
        <v>11</v>
      </c>
      <c r="U1093" t="s">
        <v>408</v>
      </c>
    </row>
    <row r="1094" spans="1:21" x14ac:dyDescent="0.25">
      <c r="A1094">
        <v>19657235</v>
      </c>
      <c r="B1094" t="s">
        <v>340</v>
      </c>
      <c r="C1094" t="s">
        <v>26</v>
      </c>
      <c r="D1094" t="s">
        <v>12</v>
      </c>
      <c r="E1094" t="s">
        <v>739</v>
      </c>
      <c r="F1094" t="s">
        <v>28</v>
      </c>
      <c r="G1094" t="s">
        <v>369</v>
      </c>
      <c r="H1094" t="s">
        <v>0</v>
      </c>
      <c r="I1094" t="s">
        <v>436</v>
      </c>
      <c r="J1094" t="s">
        <v>437</v>
      </c>
      <c r="K1094" t="s">
        <v>438</v>
      </c>
      <c r="L1094" t="s">
        <v>4</v>
      </c>
      <c r="M1094" t="s">
        <v>408</v>
      </c>
      <c r="N1094" t="s">
        <v>11</v>
      </c>
      <c r="O1094" t="s">
        <v>11</v>
      </c>
      <c r="P1094" t="s">
        <v>354</v>
      </c>
      <c r="Q1094" t="s">
        <v>408</v>
      </c>
      <c r="R1094" t="s">
        <v>439</v>
      </c>
      <c r="S1094" t="s">
        <v>440</v>
      </c>
      <c r="T1094" t="s">
        <v>11</v>
      </c>
      <c r="U1094" t="s">
        <v>408</v>
      </c>
    </row>
    <row r="1095" spans="1:21" x14ac:dyDescent="0.25">
      <c r="A1095">
        <v>19664941</v>
      </c>
      <c r="B1095" t="s">
        <v>340</v>
      </c>
      <c r="C1095" t="s">
        <v>26</v>
      </c>
      <c r="D1095" t="s">
        <v>12</v>
      </c>
      <c r="E1095" t="s">
        <v>739</v>
      </c>
      <c r="F1095" t="s">
        <v>28</v>
      </c>
      <c r="G1095" t="s">
        <v>369</v>
      </c>
      <c r="H1095" t="s">
        <v>727</v>
      </c>
      <c r="I1095" t="s">
        <v>728</v>
      </c>
      <c r="J1095" t="s">
        <v>729</v>
      </c>
      <c r="K1095" t="s">
        <v>450</v>
      </c>
      <c r="L1095" t="s">
        <v>367</v>
      </c>
      <c r="M1095" t="s">
        <v>408</v>
      </c>
      <c r="N1095" t="s">
        <v>11</v>
      </c>
      <c r="O1095" t="s">
        <v>11</v>
      </c>
      <c r="P1095" t="s">
        <v>355</v>
      </c>
      <c r="Q1095" t="s">
        <v>408</v>
      </c>
      <c r="R1095" t="s">
        <v>439</v>
      </c>
      <c r="S1095" t="s">
        <v>451</v>
      </c>
      <c r="T1095" t="s">
        <v>11</v>
      </c>
      <c r="U1095" t="s">
        <v>408</v>
      </c>
    </row>
    <row r="1096" spans="1:21" x14ac:dyDescent="0.25">
      <c r="A1096">
        <v>19776768</v>
      </c>
      <c r="B1096" t="s">
        <v>342</v>
      </c>
      <c r="C1096" t="s">
        <v>33</v>
      </c>
      <c r="D1096" t="s">
        <v>12</v>
      </c>
      <c r="E1096" t="s">
        <v>623</v>
      </c>
      <c r="F1096" t="s">
        <v>193</v>
      </c>
      <c r="G1096" t="s">
        <v>369</v>
      </c>
      <c r="H1096" t="s">
        <v>0</v>
      </c>
      <c r="I1096" t="s">
        <v>436</v>
      </c>
      <c r="J1096" t="s">
        <v>437</v>
      </c>
      <c r="K1096" t="s">
        <v>438</v>
      </c>
      <c r="L1096" t="s">
        <v>4</v>
      </c>
      <c r="M1096" t="s">
        <v>408</v>
      </c>
      <c r="N1096" t="s">
        <v>11</v>
      </c>
      <c r="O1096" t="s">
        <v>11</v>
      </c>
      <c r="P1096" t="s">
        <v>349</v>
      </c>
      <c r="Q1096" t="s">
        <v>408</v>
      </c>
      <c r="R1096" t="s">
        <v>439</v>
      </c>
      <c r="S1096" t="s">
        <v>440</v>
      </c>
      <c r="T1096" t="s">
        <v>11</v>
      </c>
      <c r="U1096" t="s">
        <v>408</v>
      </c>
    </row>
    <row r="1097" spans="1:21" x14ac:dyDescent="0.25">
      <c r="A1097">
        <v>19776808</v>
      </c>
      <c r="B1097" t="s">
        <v>342</v>
      </c>
      <c r="C1097" t="s">
        <v>33</v>
      </c>
      <c r="D1097" t="s">
        <v>12</v>
      </c>
      <c r="E1097" t="s">
        <v>623</v>
      </c>
      <c r="F1097" t="s">
        <v>193</v>
      </c>
      <c r="G1097" t="s">
        <v>369</v>
      </c>
      <c r="H1097" t="s">
        <v>1</v>
      </c>
      <c r="I1097" t="s">
        <v>469</v>
      </c>
      <c r="J1097" t="s">
        <v>445</v>
      </c>
      <c r="K1097" t="s">
        <v>438</v>
      </c>
      <c r="L1097" t="s">
        <v>0</v>
      </c>
      <c r="M1097" t="s">
        <v>408</v>
      </c>
      <c r="N1097" t="s">
        <v>11</v>
      </c>
      <c r="O1097" t="s">
        <v>11</v>
      </c>
      <c r="P1097" t="s">
        <v>349</v>
      </c>
      <c r="Q1097" t="s">
        <v>408</v>
      </c>
      <c r="R1097" t="s">
        <v>439</v>
      </c>
      <c r="S1097" t="s">
        <v>440</v>
      </c>
      <c r="T1097" t="s">
        <v>11</v>
      </c>
      <c r="U1097" t="s">
        <v>408</v>
      </c>
    </row>
    <row r="1098" spans="1:21" x14ac:dyDescent="0.25">
      <c r="A1098">
        <v>19785423</v>
      </c>
      <c r="B1098" t="s">
        <v>340</v>
      </c>
      <c r="C1098" t="s">
        <v>26</v>
      </c>
      <c r="D1098" t="s">
        <v>18</v>
      </c>
      <c r="E1098" t="s">
        <v>739</v>
      </c>
      <c r="F1098" t="s">
        <v>103</v>
      </c>
      <c r="G1098" t="s">
        <v>369</v>
      </c>
      <c r="H1098" t="s">
        <v>0</v>
      </c>
      <c r="I1098" t="s">
        <v>436</v>
      </c>
      <c r="J1098" t="s">
        <v>437</v>
      </c>
      <c r="K1098" t="s">
        <v>438</v>
      </c>
      <c r="L1098" t="s">
        <v>4</v>
      </c>
      <c r="M1098" t="s">
        <v>408</v>
      </c>
      <c r="N1098" t="s">
        <v>11</v>
      </c>
      <c r="O1098" t="s">
        <v>11</v>
      </c>
      <c r="P1098" t="s">
        <v>152</v>
      </c>
      <c r="Q1098" t="s">
        <v>408</v>
      </c>
      <c r="R1098" t="s">
        <v>439</v>
      </c>
      <c r="S1098" t="s">
        <v>440</v>
      </c>
      <c r="T1098" t="s">
        <v>11</v>
      </c>
      <c r="U1098" t="s">
        <v>408</v>
      </c>
    </row>
    <row r="1099" spans="1:21" x14ac:dyDescent="0.25">
      <c r="A1099">
        <v>19785769</v>
      </c>
      <c r="B1099" t="s">
        <v>342</v>
      </c>
      <c r="C1099" t="s">
        <v>33</v>
      </c>
      <c r="D1099" t="s">
        <v>12</v>
      </c>
      <c r="E1099" t="s">
        <v>750</v>
      </c>
      <c r="F1099" t="s">
        <v>191</v>
      </c>
      <c r="G1099" t="s">
        <v>369</v>
      </c>
      <c r="H1099" t="s">
        <v>370</v>
      </c>
      <c r="I1099" t="s">
        <v>721</v>
      </c>
      <c r="J1099" t="s">
        <v>455</v>
      </c>
      <c r="K1099" t="s">
        <v>453</v>
      </c>
      <c r="L1099" t="s">
        <v>367</v>
      </c>
      <c r="M1099" t="s">
        <v>408</v>
      </c>
      <c r="N1099" t="s">
        <v>408</v>
      </c>
      <c r="O1099" t="s">
        <v>11</v>
      </c>
      <c r="P1099" t="s">
        <v>363</v>
      </c>
      <c r="Q1099" t="s">
        <v>408</v>
      </c>
      <c r="R1099" t="s">
        <v>439</v>
      </c>
      <c r="S1099" t="s">
        <v>451</v>
      </c>
      <c r="T1099" t="s">
        <v>408</v>
      </c>
      <c r="U1099" t="s">
        <v>408</v>
      </c>
    </row>
    <row r="1100" spans="1:21" x14ac:dyDescent="0.25">
      <c r="A1100">
        <v>19785784</v>
      </c>
      <c r="B1100" t="s">
        <v>342</v>
      </c>
      <c r="C1100" t="s">
        <v>33</v>
      </c>
      <c r="D1100" t="s">
        <v>12</v>
      </c>
      <c r="E1100" t="s">
        <v>750</v>
      </c>
      <c r="F1100" t="s">
        <v>191</v>
      </c>
      <c r="G1100" t="s">
        <v>369</v>
      </c>
      <c r="H1100" t="s">
        <v>0</v>
      </c>
      <c r="I1100" t="s">
        <v>436</v>
      </c>
      <c r="J1100" t="s">
        <v>437</v>
      </c>
      <c r="K1100" t="s">
        <v>438</v>
      </c>
      <c r="L1100" t="s">
        <v>363</v>
      </c>
      <c r="M1100" t="s">
        <v>408</v>
      </c>
      <c r="N1100" t="s">
        <v>408</v>
      </c>
      <c r="O1100" t="s">
        <v>11</v>
      </c>
      <c r="P1100" t="s">
        <v>363</v>
      </c>
      <c r="Q1100" t="s">
        <v>408</v>
      </c>
      <c r="R1100" t="s">
        <v>439</v>
      </c>
      <c r="S1100" t="s">
        <v>440</v>
      </c>
      <c r="T1100" t="s">
        <v>408</v>
      </c>
      <c r="U1100" t="s">
        <v>408</v>
      </c>
    </row>
    <row r="1101" spans="1:21" x14ac:dyDescent="0.25">
      <c r="A1101">
        <v>19785789</v>
      </c>
      <c r="B1101" t="s">
        <v>342</v>
      </c>
      <c r="C1101" t="s">
        <v>33</v>
      </c>
      <c r="D1101" t="s">
        <v>12</v>
      </c>
      <c r="E1101" t="s">
        <v>750</v>
      </c>
      <c r="F1101" t="s">
        <v>191</v>
      </c>
      <c r="G1101" t="s">
        <v>369</v>
      </c>
      <c r="H1101" t="s">
        <v>370</v>
      </c>
      <c r="I1101" t="s">
        <v>721</v>
      </c>
      <c r="J1101" t="s">
        <v>455</v>
      </c>
      <c r="K1101" t="s">
        <v>453</v>
      </c>
      <c r="L1101" t="s">
        <v>367</v>
      </c>
      <c r="M1101" t="s">
        <v>408</v>
      </c>
      <c r="N1101" t="s">
        <v>408</v>
      </c>
      <c r="O1101" t="s">
        <v>11</v>
      </c>
      <c r="P1101" t="s">
        <v>363</v>
      </c>
      <c r="Q1101" t="s">
        <v>408</v>
      </c>
      <c r="R1101" t="s">
        <v>439</v>
      </c>
      <c r="S1101" t="s">
        <v>451</v>
      </c>
      <c r="T1101" t="s">
        <v>408</v>
      </c>
      <c r="U1101" t="s">
        <v>408</v>
      </c>
    </row>
    <row r="1102" spans="1:21" x14ac:dyDescent="0.25">
      <c r="A1102">
        <v>19785804</v>
      </c>
      <c r="B1102" t="s">
        <v>342</v>
      </c>
      <c r="C1102" t="s">
        <v>33</v>
      </c>
      <c r="D1102" t="s">
        <v>12</v>
      </c>
      <c r="E1102" t="s">
        <v>658</v>
      </c>
      <c r="F1102" t="s">
        <v>569</v>
      </c>
      <c r="G1102" t="s">
        <v>369</v>
      </c>
      <c r="H1102" t="s">
        <v>4</v>
      </c>
      <c r="I1102" t="s">
        <v>464</v>
      </c>
      <c r="J1102" t="s">
        <v>463</v>
      </c>
      <c r="K1102" t="s">
        <v>462</v>
      </c>
      <c r="L1102" t="s">
        <v>2</v>
      </c>
      <c r="M1102" t="s">
        <v>408</v>
      </c>
      <c r="N1102" t="s">
        <v>408</v>
      </c>
      <c r="O1102" t="s">
        <v>11</v>
      </c>
      <c r="P1102" t="s">
        <v>363</v>
      </c>
      <c r="Q1102" t="s">
        <v>408</v>
      </c>
      <c r="R1102" t="s">
        <v>439</v>
      </c>
      <c r="S1102" t="s">
        <v>451</v>
      </c>
      <c r="T1102" t="s">
        <v>408</v>
      </c>
      <c r="U1102" t="s">
        <v>408</v>
      </c>
    </row>
    <row r="1103" spans="1:21" x14ac:dyDescent="0.25">
      <c r="A1103">
        <v>20005035</v>
      </c>
      <c r="B1103" t="s">
        <v>342</v>
      </c>
      <c r="C1103" t="s">
        <v>33</v>
      </c>
      <c r="D1103" t="s">
        <v>12</v>
      </c>
      <c r="E1103" t="s">
        <v>538</v>
      </c>
      <c r="F1103" t="s">
        <v>34</v>
      </c>
      <c r="G1103" t="s">
        <v>369</v>
      </c>
      <c r="H1103" t="s">
        <v>0</v>
      </c>
      <c r="I1103" t="s">
        <v>436</v>
      </c>
      <c r="J1103" t="s">
        <v>437</v>
      </c>
      <c r="K1103" t="s">
        <v>438</v>
      </c>
      <c r="L1103" t="s">
        <v>4</v>
      </c>
      <c r="M1103" t="s">
        <v>408</v>
      </c>
      <c r="N1103" t="s">
        <v>11</v>
      </c>
      <c r="O1103" t="s">
        <v>11</v>
      </c>
      <c r="P1103" t="s">
        <v>349</v>
      </c>
      <c r="Q1103" t="s">
        <v>408</v>
      </c>
      <c r="R1103" t="s">
        <v>439</v>
      </c>
      <c r="S1103" t="s">
        <v>440</v>
      </c>
      <c r="T1103" t="s">
        <v>11</v>
      </c>
      <c r="U1103" t="s">
        <v>408</v>
      </c>
    </row>
    <row r="1104" spans="1:21" x14ac:dyDescent="0.25">
      <c r="A1104">
        <v>20005435</v>
      </c>
      <c r="B1104" t="s">
        <v>342</v>
      </c>
      <c r="C1104" t="s">
        <v>33</v>
      </c>
      <c r="D1104" t="s">
        <v>18</v>
      </c>
      <c r="E1104" t="s">
        <v>751</v>
      </c>
      <c r="F1104" t="s">
        <v>190</v>
      </c>
      <c r="G1104" t="s">
        <v>369</v>
      </c>
      <c r="H1104" t="s">
        <v>0</v>
      </c>
      <c r="I1104" t="s">
        <v>436</v>
      </c>
      <c r="J1104" t="s">
        <v>437</v>
      </c>
      <c r="K1104" t="s">
        <v>438</v>
      </c>
      <c r="L1104" t="s">
        <v>78</v>
      </c>
      <c r="M1104" t="s">
        <v>408</v>
      </c>
      <c r="N1104" t="s">
        <v>11</v>
      </c>
      <c r="O1104" t="s">
        <v>408</v>
      </c>
      <c r="P1104" t="s">
        <v>364</v>
      </c>
      <c r="Q1104" t="s">
        <v>408</v>
      </c>
      <c r="R1104" t="s">
        <v>439</v>
      </c>
      <c r="S1104" t="s">
        <v>440</v>
      </c>
      <c r="T1104" t="s">
        <v>11</v>
      </c>
      <c r="U1104" t="s">
        <v>408</v>
      </c>
    </row>
    <row r="1105" spans="1:21" x14ac:dyDescent="0.25">
      <c r="A1105">
        <v>20910001</v>
      </c>
      <c r="B1105" t="s">
        <v>340</v>
      </c>
      <c r="C1105" t="s">
        <v>26</v>
      </c>
      <c r="D1105" t="s">
        <v>12</v>
      </c>
      <c r="E1105" t="s">
        <v>751</v>
      </c>
      <c r="F1105" t="s">
        <v>97</v>
      </c>
      <c r="G1105" t="s">
        <v>369</v>
      </c>
      <c r="H1105" t="s">
        <v>727</v>
      </c>
      <c r="I1105" t="s">
        <v>728</v>
      </c>
      <c r="J1105" t="s">
        <v>729</v>
      </c>
      <c r="K1105" t="s">
        <v>450</v>
      </c>
      <c r="L1105" t="s">
        <v>367</v>
      </c>
      <c r="M1105" t="s">
        <v>408</v>
      </c>
      <c r="N1105" t="s">
        <v>11</v>
      </c>
      <c r="O1105" t="s">
        <v>11</v>
      </c>
      <c r="P1105" t="s">
        <v>0</v>
      </c>
      <c r="Q1105" t="s">
        <v>408</v>
      </c>
      <c r="R1105" t="s">
        <v>439</v>
      </c>
      <c r="S1105" t="s">
        <v>451</v>
      </c>
      <c r="T1105" t="s">
        <v>11</v>
      </c>
      <c r="U1105" t="s">
        <v>408</v>
      </c>
    </row>
    <row r="1106" spans="1:21" x14ac:dyDescent="0.25">
      <c r="A1106">
        <v>20910003</v>
      </c>
      <c r="B1106" t="s">
        <v>342</v>
      </c>
      <c r="C1106" t="s">
        <v>33</v>
      </c>
      <c r="D1106" t="s">
        <v>79</v>
      </c>
      <c r="E1106" t="s">
        <v>751</v>
      </c>
      <c r="F1106" t="s">
        <v>97</v>
      </c>
      <c r="G1106" t="s">
        <v>369</v>
      </c>
      <c r="H1106" t="s">
        <v>0</v>
      </c>
      <c r="I1106" t="s">
        <v>436</v>
      </c>
      <c r="J1106" t="s">
        <v>437</v>
      </c>
      <c r="K1106" t="s">
        <v>438</v>
      </c>
      <c r="L1106" t="s">
        <v>345</v>
      </c>
      <c r="M1106" t="s">
        <v>408</v>
      </c>
      <c r="N1106" t="s">
        <v>11</v>
      </c>
      <c r="O1106" t="s">
        <v>11</v>
      </c>
      <c r="P1106" t="s">
        <v>0</v>
      </c>
      <c r="Q1106" t="s">
        <v>408</v>
      </c>
      <c r="R1106" t="s">
        <v>439</v>
      </c>
      <c r="S1106" t="s">
        <v>440</v>
      </c>
      <c r="T1106" t="s">
        <v>11</v>
      </c>
      <c r="U1106" t="s">
        <v>408</v>
      </c>
    </row>
    <row r="1107" spans="1:21" x14ac:dyDescent="0.25">
      <c r="A1107">
        <v>20910008</v>
      </c>
      <c r="B1107" t="s">
        <v>340</v>
      </c>
      <c r="C1107" t="s">
        <v>26</v>
      </c>
      <c r="D1107" t="s">
        <v>18</v>
      </c>
      <c r="E1107" t="s">
        <v>751</v>
      </c>
      <c r="F1107" t="s">
        <v>95</v>
      </c>
      <c r="G1107" t="s">
        <v>369</v>
      </c>
      <c r="H1107" t="s">
        <v>0</v>
      </c>
      <c r="I1107" t="s">
        <v>436</v>
      </c>
      <c r="J1107" t="s">
        <v>437</v>
      </c>
      <c r="K1107" t="s">
        <v>438</v>
      </c>
      <c r="L1107" t="s">
        <v>1</v>
      </c>
      <c r="M1107" t="s">
        <v>408</v>
      </c>
      <c r="N1107" t="s">
        <v>11</v>
      </c>
      <c r="O1107" t="s">
        <v>11</v>
      </c>
      <c r="P1107" t="s">
        <v>0</v>
      </c>
      <c r="Q1107" t="s">
        <v>408</v>
      </c>
      <c r="R1107" t="s">
        <v>439</v>
      </c>
      <c r="S1107" t="s">
        <v>440</v>
      </c>
      <c r="T1107" t="s">
        <v>11</v>
      </c>
      <c r="U1107" t="s">
        <v>408</v>
      </c>
    </row>
    <row r="1108" spans="1:21" x14ac:dyDescent="0.25">
      <c r="A1108">
        <v>20910012</v>
      </c>
      <c r="B1108" t="s">
        <v>340</v>
      </c>
      <c r="C1108" t="s">
        <v>26</v>
      </c>
      <c r="D1108" t="s">
        <v>12</v>
      </c>
      <c r="E1108" t="s">
        <v>751</v>
      </c>
      <c r="F1108" t="s">
        <v>97</v>
      </c>
      <c r="G1108" t="s">
        <v>369</v>
      </c>
      <c r="H1108" t="s">
        <v>350</v>
      </c>
      <c r="I1108" t="s">
        <v>436</v>
      </c>
      <c r="J1108" t="s">
        <v>566</v>
      </c>
      <c r="K1108" t="s">
        <v>701</v>
      </c>
      <c r="L1108" t="s">
        <v>8</v>
      </c>
      <c r="M1108" t="s">
        <v>408</v>
      </c>
      <c r="N1108" t="s">
        <v>11</v>
      </c>
      <c r="O1108" t="s">
        <v>11</v>
      </c>
      <c r="P1108" t="s">
        <v>0</v>
      </c>
      <c r="Q1108" t="s">
        <v>408</v>
      </c>
      <c r="R1108" t="s">
        <v>439</v>
      </c>
      <c r="S1108" t="s">
        <v>440</v>
      </c>
      <c r="T1108" t="s">
        <v>11</v>
      </c>
      <c r="U1108" t="s">
        <v>408</v>
      </c>
    </row>
    <row r="1109" spans="1:21" x14ac:dyDescent="0.25">
      <c r="A1109">
        <v>20910017</v>
      </c>
      <c r="B1109" t="s">
        <v>340</v>
      </c>
      <c r="C1109" t="s">
        <v>26</v>
      </c>
      <c r="D1109" t="s">
        <v>18</v>
      </c>
      <c r="E1109" t="s">
        <v>751</v>
      </c>
      <c r="F1109" t="s">
        <v>317</v>
      </c>
      <c r="G1109" t="s">
        <v>369</v>
      </c>
      <c r="H1109" t="s">
        <v>0</v>
      </c>
      <c r="I1109" t="s">
        <v>436</v>
      </c>
      <c r="J1109" t="s">
        <v>437</v>
      </c>
      <c r="K1109" t="s">
        <v>438</v>
      </c>
      <c r="L1109" t="s">
        <v>1</v>
      </c>
      <c r="M1109" t="s">
        <v>408</v>
      </c>
      <c r="N1109" t="s">
        <v>11</v>
      </c>
      <c r="O1109" t="s">
        <v>11</v>
      </c>
      <c r="P1109" t="s">
        <v>0</v>
      </c>
      <c r="Q1109" t="s">
        <v>408</v>
      </c>
      <c r="R1109" t="s">
        <v>439</v>
      </c>
      <c r="S1109" t="s">
        <v>440</v>
      </c>
      <c r="T1109" t="s">
        <v>11</v>
      </c>
      <c r="U1109" t="s">
        <v>408</v>
      </c>
    </row>
    <row r="1110" spans="1:21" x14ac:dyDescent="0.25">
      <c r="A1110">
        <v>20910018</v>
      </c>
      <c r="B1110" t="s">
        <v>340</v>
      </c>
      <c r="C1110" t="s">
        <v>26</v>
      </c>
      <c r="D1110" t="s">
        <v>18</v>
      </c>
      <c r="E1110" t="s">
        <v>751</v>
      </c>
      <c r="F1110" t="s">
        <v>97</v>
      </c>
      <c r="G1110" t="s">
        <v>369</v>
      </c>
      <c r="H1110" t="s">
        <v>5</v>
      </c>
      <c r="I1110" t="s">
        <v>436</v>
      </c>
      <c r="J1110" t="s">
        <v>446</v>
      </c>
      <c r="K1110" t="s">
        <v>438</v>
      </c>
      <c r="L1110" t="s">
        <v>2</v>
      </c>
      <c r="M1110" t="s">
        <v>408</v>
      </c>
      <c r="N1110" t="s">
        <v>11</v>
      </c>
      <c r="O1110" t="s">
        <v>11</v>
      </c>
      <c r="P1110" t="s">
        <v>0</v>
      </c>
      <c r="Q1110" t="s">
        <v>408</v>
      </c>
      <c r="R1110" t="s">
        <v>439</v>
      </c>
      <c r="S1110" t="s">
        <v>440</v>
      </c>
      <c r="T1110" t="s">
        <v>11</v>
      </c>
      <c r="U1110" t="s">
        <v>408</v>
      </c>
    </row>
    <row r="1111" spans="1:21" x14ac:dyDescent="0.25">
      <c r="A1111">
        <v>20910021</v>
      </c>
      <c r="B1111" t="s">
        <v>340</v>
      </c>
      <c r="C1111" t="s">
        <v>26</v>
      </c>
      <c r="D1111" t="s">
        <v>12</v>
      </c>
      <c r="E1111" t="s">
        <v>751</v>
      </c>
      <c r="F1111" t="s">
        <v>356</v>
      </c>
      <c r="G1111" t="s">
        <v>369</v>
      </c>
      <c r="H1111" t="s">
        <v>370</v>
      </c>
      <c r="I1111" t="s">
        <v>721</v>
      </c>
      <c r="J1111" t="s">
        <v>455</v>
      </c>
      <c r="K1111" t="s">
        <v>453</v>
      </c>
      <c r="L1111" t="s">
        <v>367</v>
      </c>
      <c r="M1111" t="s">
        <v>408</v>
      </c>
      <c r="N1111" t="s">
        <v>11</v>
      </c>
      <c r="O1111" t="s">
        <v>11</v>
      </c>
      <c r="P1111" t="s">
        <v>0</v>
      </c>
      <c r="Q1111" t="s">
        <v>408</v>
      </c>
      <c r="R1111" t="s">
        <v>439</v>
      </c>
      <c r="S1111" t="s">
        <v>451</v>
      </c>
      <c r="T1111" t="s">
        <v>11</v>
      </c>
      <c r="U1111" t="s">
        <v>408</v>
      </c>
    </row>
    <row r="1112" spans="1:21" x14ac:dyDescent="0.25">
      <c r="A1112">
        <v>20910026</v>
      </c>
      <c r="B1112" t="s">
        <v>340</v>
      </c>
      <c r="C1112" t="s">
        <v>26</v>
      </c>
      <c r="D1112" t="s">
        <v>18</v>
      </c>
      <c r="E1112" t="s">
        <v>751</v>
      </c>
      <c r="F1112" t="s">
        <v>101</v>
      </c>
      <c r="G1112" t="s">
        <v>369</v>
      </c>
      <c r="H1112" t="s">
        <v>2</v>
      </c>
      <c r="I1112" t="s">
        <v>436</v>
      </c>
      <c r="J1112" t="s">
        <v>443</v>
      </c>
      <c r="K1112" t="s">
        <v>444</v>
      </c>
      <c r="L1112" t="s">
        <v>0</v>
      </c>
      <c r="M1112" t="s">
        <v>408</v>
      </c>
      <c r="N1112" t="s">
        <v>11</v>
      </c>
      <c r="O1112" t="s">
        <v>11</v>
      </c>
      <c r="P1112" t="s">
        <v>0</v>
      </c>
      <c r="Q1112" t="s">
        <v>408</v>
      </c>
      <c r="R1112" t="s">
        <v>439</v>
      </c>
      <c r="S1112" t="s">
        <v>440</v>
      </c>
      <c r="T1112" t="s">
        <v>11</v>
      </c>
      <c r="U1112" t="s">
        <v>408</v>
      </c>
    </row>
    <row r="1113" spans="1:21" x14ac:dyDescent="0.25">
      <c r="A1113">
        <v>20910031</v>
      </c>
      <c r="B1113" t="s">
        <v>340</v>
      </c>
      <c r="C1113" t="s">
        <v>26</v>
      </c>
      <c r="D1113" t="s">
        <v>18</v>
      </c>
      <c r="E1113" t="s">
        <v>751</v>
      </c>
      <c r="F1113" t="s">
        <v>97</v>
      </c>
      <c r="G1113" t="s">
        <v>369</v>
      </c>
      <c r="H1113" t="s">
        <v>5</v>
      </c>
      <c r="I1113" t="s">
        <v>436</v>
      </c>
      <c r="J1113" t="s">
        <v>446</v>
      </c>
      <c r="K1113" t="s">
        <v>438</v>
      </c>
      <c r="L1113" t="s">
        <v>2</v>
      </c>
      <c r="M1113" t="s">
        <v>408</v>
      </c>
      <c r="N1113" t="s">
        <v>11</v>
      </c>
      <c r="O1113" t="s">
        <v>11</v>
      </c>
      <c r="P1113" t="s">
        <v>0</v>
      </c>
      <c r="Q1113" t="s">
        <v>408</v>
      </c>
      <c r="R1113" t="s">
        <v>439</v>
      </c>
      <c r="S1113" t="s">
        <v>440</v>
      </c>
      <c r="T1113" t="s">
        <v>11</v>
      </c>
      <c r="U1113" t="s">
        <v>408</v>
      </c>
    </row>
    <row r="1114" spans="1:21" x14ac:dyDescent="0.25">
      <c r="A1114">
        <v>20910039</v>
      </c>
      <c r="B1114" t="s">
        <v>340</v>
      </c>
      <c r="C1114" t="s">
        <v>26</v>
      </c>
      <c r="D1114" t="s">
        <v>12</v>
      </c>
      <c r="E1114" t="s">
        <v>751</v>
      </c>
      <c r="F1114" t="s">
        <v>97</v>
      </c>
      <c r="G1114" t="s">
        <v>369</v>
      </c>
      <c r="H1114" t="s">
        <v>0</v>
      </c>
      <c r="I1114" t="s">
        <v>436</v>
      </c>
      <c r="J1114" t="s">
        <v>437</v>
      </c>
      <c r="K1114" t="s">
        <v>438</v>
      </c>
      <c r="L1114" t="s">
        <v>4</v>
      </c>
      <c r="M1114" t="s">
        <v>408</v>
      </c>
      <c r="N1114" t="s">
        <v>11</v>
      </c>
      <c r="O1114" t="s">
        <v>11</v>
      </c>
      <c r="P1114" t="s">
        <v>0</v>
      </c>
      <c r="Q1114" t="s">
        <v>408</v>
      </c>
      <c r="R1114" t="s">
        <v>439</v>
      </c>
      <c r="S1114" t="s">
        <v>440</v>
      </c>
      <c r="T1114" t="s">
        <v>11</v>
      </c>
      <c r="U1114" t="s">
        <v>408</v>
      </c>
    </row>
    <row r="1115" spans="1:21" x14ac:dyDescent="0.25">
      <c r="A1115">
        <v>20910044</v>
      </c>
      <c r="B1115" t="s">
        <v>342</v>
      </c>
      <c r="C1115" t="s">
        <v>33</v>
      </c>
      <c r="D1115" t="s">
        <v>12</v>
      </c>
      <c r="E1115" t="s">
        <v>751</v>
      </c>
      <c r="F1115" t="s">
        <v>101</v>
      </c>
      <c r="G1115" t="s">
        <v>369</v>
      </c>
      <c r="H1115" t="s">
        <v>0</v>
      </c>
      <c r="I1115" t="s">
        <v>436</v>
      </c>
      <c r="J1115" t="s">
        <v>437</v>
      </c>
      <c r="K1115" t="s">
        <v>438</v>
      </c>
      <c r="L1115" t="s">
        <v>345</v>
      </c>
      <c r="M1115" t="s">
        <v>408</v>
      </c>
      <c r="N1115" t="s">
        <v>11</v>
      </c>
      <c r="O1115" t="s">
        <v>11</v>
      </c>
      <c r="P1115" t="s">
        <v>0</v>
      </c>
      <c r="Q1115" t="s">
        <v>408</v>
      </c>
      <c r="R1115" t="s">
        <v>439</v>
      </c>
      <c r="S1115" t="s">
        <v>440</v>
      </c>
      <c r="T1115" t="s">
        <v>11</v>
      </c>
      <c r="U1115" t="s">
        <v>408</v>
      </c>
    </row>
    <row r="1116" spans="1:21" x14ac:dyDescent="0.25">
      <c r="A1116">
        <v>20910049</v>
      </c>
      <c r="B1116" t="s">
        <v>340</v>
      </c>
      <c r="C1116" t="s">
        <v>26</v>
      </c>
      <c r="D1116" t="s">
        <v>12</v>
      </c>
      <c r="E1116" t="s">
        <v>751</v>
      </c>
      <c r="F1116" t="s">
        <v>95</v>
      </c>
      <c r="G1116" t="s">
        <v>369</v>
      </c>
      <c r="H1116" t="s">
        <v>0</v>
      </c>
      <c r="I1116" t="s">
        <v>436</v>
      </c>
      <c r="J1116" t="s">
        <v>437</v>
      </c>
      <c r="K1116" t="s">
        <v>438</v>
      </c>
      <c r="L1116" t="s">
        <v>4</v>
      </c>
      <c r="M1116" t="s">
        <v>408</v>
      </c>
      <c r="N1116" t="s">
        <v>11</v>
      </c>
      <c r="O1116" t="s">
        <v>11</v>
      </c>
      <c r="P1116" t="s">
        <v>0</v>
      </c>
      <c r="Q1116" t="s">
        <v>408</v>
      </c>
      <c r="R1116" t="s">
        <v>439</v>
      </c>
      <c r="S1116" t="s">
        <v>440</v>
      </c>
      <c r="T1116" t="s">
        <v>11</v>
      </c>
      <c r="U1116" t="s">
        <v>408</v>
      </c>
    </row>
    <row r="1117" spans="1:21" x14ac:dyDescent="0.25">
      <c r="A1117">
        <v>20910059</v>
      </c>
      <c r="B1117" t="s">
        <v>342</v>
      </c>
      <c r="C1117" t="s">
        <v>33</v>
      </c>
      <c r="D1117" t="s">
        <v>18</v>
      </c>
      <c r="E1117" t="s">
        <v>751</v>
      </c>
      <c r="F1117" t="s">
        <v>97</v>
      </c>
      <c r="G1117" t="s">
        <v>369</v>
      </c>
      <c r="H1117" t="s">
        <v>0</v>
      </c>
      <c r="I1117" t="s">
        <v>436</v>
      </c>
      <c r="J1117" t="s">
        <v>437</v>
      </c>
      <c r="K1117" t="s">
        <v>438</v>
      </c>
      <c r="L1117" t="s">
        <v>345</v>
      </c>
      <c r="M1117" t="s">
        <v>408</v>
      </c>
      <c r="N1117" t="s">
        <v>11</v>
      </c>
      <c r="O1117" t="s">
        <v>11</v>
      </c>
      <c r="P1117" t="s">
        <v>0</v>
      </c>
      <c r="Q1117" t="s">
        <v>408</v>
      </c>
      <c r="R1117" t="s">
        <v>439</v>
      </c>
      <c r="S1117" t="s">
        <v>440</v>
      </c>
      <c r="T1117" t="s">
        <v>11</v>
      </c>
      <c r="U1117" t="s">
        <v>408</v>
      </c>
    </row>
    <row r="1118" spans="1:21" x14ac:dyDescent="0.25">
      <c r="A1118">
        <v>20910062</v>
      </c>
      <c r="B1118" t="s">
        <v>340</v>
      </c>
      <c r="C1118" t="s">
        <v>26</v>
      </c>
      <c r="D1118" t="s">
        <v>12</v>
      </c>
      <c r="E1118" t="s">
        <v>751</v>
      </c>
      <c r="F1118" t="s">
        <v>100</v>
      </c>
      <c r="G1118" t="s">
        <v>369</v>
      </c>
      <c r="H1118" t="s">
        <v>2</v>
      </c>
      <c r="I1118" t="s">
        <v>436</v>
      </c>
      <c r="J1118" t="s">
        <v>443</v>
      </c>
      <c r="K1118" t="s">
        <v>444</v>
      </c>
      <c r="L1118" t="s">
        <v>0</v>
      </c>
      <c r="M1118" t="s">
        <v>408</v>
      </c>
      <c r="N1118" t="s">
        <v>11</v>
      </c>
      <c r="O1118" t="s">
        <v>11</v>
      </c>
      <c r="P1118" t="s">
        <v>0</v>
      </c>
      <c r="Q1118" t="s">
        <v>408</v>
      </c>
      <c r="R1118" t="s">
        <v>439</v>
      </c>
      <c r="S1118" t="s">
        <v>440</v>
      </c>
      <c r="T1118" t="s">
        <v>11</v>
      </c>
      <c r="U1118" t="s">
        <v>408</v>
      </c>
    </row>
    <row r="1119" spans="1:21" x14ac:dyDescent="0.25">
      <c r="A1119">
        <v>20910066</v>
      </c>
      <c r="B1119" t="s">
        <v>340</v>
      </c>
      <c r="C1119" t="s">
        <v>26</v>
      </c>
      <c r="D1119" t="s">
        <v>12</v>
      </c>
      <c r="E1119" t="s">
        <v>751</v>
      </c>
      <c r="F1119" t="s">
        <v>190</v>
      </c>
      <c r="G1119" t="s">
        <v>369</v>
      </c>
      <c r="H1119" t="s">
        <v>0</v>
      </c>
      <c r="I1119" t="s">
        <v>436</v>
      </c>
      <c r="J1119" t="s">
        <v>437</v>
      </c>
      <c r="K1119" t="s">
        <v>438</v>
      </c>
      <c r="L1119" t="s">
        <v>4</v>
      </c>
      <c r="M1119" t="s">
        <v>408</v>
      </c>
      <c r="N1119" t="s">
        <v>11</v>
      </c>
      <c r="O1119" t="s">
        <v>11</v>
      </c>
      <c r="P1119" t="s">
        <v>0</v>
      </c>
      <c r="Q1119" t="s">
        <v>408</v>
      </c>
      <c r="R1119" t="s">
        <v>439</v>
      </c>
      <c r="S1119" t="s">
        <v>440</v>
      </c>
      <c r="T1119" t="s">
        <v>11</v>
      </c>
      <c r="U1119" t="s">
        <v>408</v>
      </c>
    </row>
    <row r="1120" spans="1:21" x14ac:dyDescent="0.25">
      <c r="A1120">
        <v>20910072</v>
      </c>
      <c r="B1120" t="s">
        <v>340</v>
      </c>
      <c r="C1120" t="s">
        <v>26</v>
      </c>
      <c r="D1120" t="s">
        <v>12</v>
      </c>
      <c r="E1120" t="s">
        <v>751</v>
      </c>
      <c r="F1120" t="s">
        <v>95</v>
      </c>
      <c r="G1120" t="s">
        <v>369</v>
      </c>
      <c r="H1120" t="s">
        <v>0</v>
      </c>
      <c r="I1120" t="s">
        <v>436</v>
      </c>
      <c r="J1120" t="s">
        <v>437</v>
      </c>
      <c r="K1120" t="s">
        <v>438</v>
      </c>
      <c r="L1120" t="s">
        <v>1</v>
      </c>
      <c r="M1120" t="s">
        <v>408</v>
      </c>
      <c r="N1120" t="s">
        <v>11</v>
      </c>
      <c r="O1120" t="s">
        <v>11</v>
      </c>
      <c r="P1120" t="s">
        <v>0</v>
      </c>
      <c r="Q1120" t="s">
        <v>408</v>
      </c>
      <c r="R1120" t="s">
        <v>439</v>
      </c>
      <c r="S1120" t="s">
        <v>440</v>
      </c>
      <c r="T1120" t="s">
        <v>11</v>
      </c>
      <c r="U1120" t="s">
        <v>408</v>
      </c>
    </row>
    <row r="1121" spans="1:21" x14ac:dyDescent="0.25">
      <c r="A1121">
        <v>20910073</v>
      </c>
      <c r="B1121" t="s">
        <v>340</v>
      </c>
      <c r="C1121" t="s">
        <v>26</v>
      </c>
      <c r="D1121" t="s">
        <v>12</v>
      </c>
      <c r="E1121" t="s">
        <v>751</v>
      </c>
      <c r="F1121" t="s">
        <v>97</v>
      </c>
      <c r="G1121" t="s">
        <v>369</v>
      </c>
      <c r="H1121" t="s">
        <v>0</v>
      </c>
      <c r="I1121" t="s">
        <v>436</v>
      </c>
      <c r="J1121" t="s">
        <v>437</v>
      </c>
      <c r="K1121" t="s">
        <v>438</v>
      </c>
      <c r="L1121" t="s">
        <v>1</v>
      </c>
      <c r="M1121" t="s">
        <v>408</v>
      </c>
      <c r="N1121" t="s">
        <v>11</v>
      </c>
      <c r="O1121" t="s">
        <v>11</v>
      </c>
      <c r="P1121" t="s">
        <v>0</v>
      </c>
      <c r="Q1121" t="s">
        <v>408</v>
      </c>
      <c r="R1121" t="s">
        <v>439</v>
      </c>
      <c r="S1121" t="s">
        <v>440</v>
      </c>
      <c r="T1121" t="s">
        <v>11</v>
      </c>
      <c r="U1121" t="s">
        <v>408</v>
      </c>
    </row>
    <row r="1122" spans="1:21" x14ac:dyDescent="0.25">
      <c r="A1122">
        <v>20910074</v>
      </c>
      <c r="B1122" t="s">
        <v>340</v>
      </c>
      <c r="C1122" t="s">
        <v>26</v>
      </c>
      <c r="D1122" t="s">
        <v>12</v>
      </c>
      <c r="E1122" t="s">
        <v>751</v>
      </c>
      <c r="F1122" t="s">
        <v>97</v>
      </c>
      <c r="G1122" t="s">
        <v>369</v>
      </c>
      <c r="H1122" t="s">
        <v>0</v>
      </c>
      <c r="I1122" t="s">
        <v>436</v>
      </c>
      <c r="J1122" t="s">
        <v>437</v>
      </c>
      <c r="K1122" t="s">
        <v>438</v>
      </c>
      <c r="L1122" t="s">
        <v>1</v>
      </c>
      <c r="M1122" t="s">
        <v>408</v>
      </c>
      <c r="N1122" t="s">
        <v>11</v>
      </c>
      <c r="O1122" t="s">
        <v>11</v>
      </c>
      <c r="P1122" t="s">
        <v>0</v>
      </c>
      <c r="Q1122" t="s">
        <v>408</v>
      </c>
      <c r="R1122" t="s">
        <v>439</v>
      </c>
      <c r="S1122" t="s">
        <v>440</v>
      </c>
      <c r="T1122" t="s">
        <v>11</v>
      </c>
      <c r="U1122" t="s">
        <v>408</v>
      </c>
    </row>
    <row r="1123" spans="1:21" x14ac:dyDescent="0.25">
      <c r="A1123">
        <v>20910075</v>
      </c>
      <c r="B1123" t="s">
        <v>340</v>
      </c>
      <c r="C1123" t="s">
        <v>26</v>
      </c>
      <c r="D1123" t="s">
        <v>18</v>
      </c>
      <c r="E1123" t="s">
        <v>751</v>
      </c>
      <c r="F1123" t="s">
        <v>97</v>
      </c>
      <c r="G1123" t="s">
        <v>369</v>
      </c>
      <c r="H1123" t="s">
        <v>5</v>
      </c>
      <c r="I1123" t="s">
        <v>436</v>
      </c>
      <c r="J1123" t="s">
        <v>446</v>
      </c>
      <c r="K1123" t="s">
        <v>438</v>
      </c>
      <c r="L1123" t="s">
        <v>2</v>
      </c>
      <c r="M1123" t="s">
        <v>408</v>
      </c>
      <c r="N1123" t="s">
        <v>11</v>
      </c>
      <c r="O1123" t="s">
        <v>11</v>
      </c>
      <c r="P1123" t="s">
        <v>0</v>
      </c>
      <c r="Q1123" t="s">
        <v>408</v>
      </c>
      <c r="R1123" t="s">
        <v>439</v>
      </c>
      <c r="S1123" t="s">
        <v>440</v>
      </c>
      <c r="T1123" t="s">
        <v>11</v>
      </c>
      <c r="U1123" t="s">
        <v>408</v>
      </c>
    </row>
    <row r="1124" spans="1:21" x14ac:dyDescent="0.25">
      <c r="A1124">
        <v>20910076</v>
      </c>
      <c r="B1124" t="s">
        <v>340</v>
      </c>
      <c r="C1124" t="s">
        <v>26</v>
      </c>
      <c r="D1124" t="s">
        <v>18</v>
      </c>
      <c r="E1124" t="s">
        <v>751</v>
      </c>
      <c r="F1124" t="s">
        <v>190</v>
      </c>
      <c r="G1124" t="s">
        <v>369</v>
      </c>
      <c r="H1124" t="s">
        <v>0</v>
      </c>
      <c r="I1124" t="s">
        <v>436</v>
      </c>
      <c r="J1124" t="s">
        <v>437</v>
      </c>
      <c r="K1124" t="s">
        <v>438</v>
      </c>
      <c r="L1124" t="s">
        <v>1</v>
      </c>
      <c r="M1124" t="s">
        <v>408</v>
      </c>
      <c r="N1124" t="s">
        <v>11</v>
      </c>
      <c r="O1124" t="s">
        <v>11</v>
      </c>
      <c r="P1124" t="s">
        <v>0</v>
      </c>
      <c r="Q1124" t="s">
        <v>408</v>
      </c>
      <c r="R1124" t="s">
        <v>439</v>
      </c>
      <c r="S1124" t="s">
        <v>440</v>
      </c>
      <c r="T1124" t="s">
        <v>11</v>
      </c>
      <c r="U1124" t="s">
        <v>408</v>
      </c>
    </row>
    <row r="1125" spans="1:21" x14ac:dyDescent="0.25">
      <c r="A1125">
        <v>20910080</v>
      </c>
      <c r="B1125" t="s">
        <v>340</v>
      </c>
      <c r="C1125" t="s">
        <v>26</v>
      </c>
      <c r="D1125" t="s">
        <v>12</v>
      </c>
      <c r="E1125" t="s">
        <v>751</v>
      </c>
      <c r="F1125" t="s">
        <v>190</v>
      </c>
      <c r="G1125" t="s">
        <v>369</v>
      </c>
      <c r="H1125" t="s">
        <v>370</v>
      </c>
      <c r="I1125" t="s">
        <v>721</v>
      </c>
      <c r="J1125" t="s">
        <v>455</v>
      </c>
      <c r="K1125" t="s">
        <v>453</v>
      </c>
      <c r="L1125" t="s">
        <v>367</v>
      </c>
      <c r="M1125" t="s">
        <v>408</v>
      </c>
      <c r="N1125" t="s">
        <v>11</v>
      </c>
      <c r="O1125" t="s">
        <v>11</v>
      </c>
      <c r="P1125" t="s">
        <v>0</v>
      </c>
      <c r="Q1125" t="s">
        <v>408</v>
      </c>
      <c r="R1125" t="s">
        <v>439</v>
      </c>
      <c r="S1125" t="s">
        <v>451</v>
      </c>
      <c r="T1125" t="s">
        <v>11</v>
      </c>
      <c r="U1125" t="s">
        <v>408</v>
      </c>
    </row>
    <row r="1126" spans="1:21" x14ac:dyDescent="0.25">
      <c r="A1126">
        <v>20910125</v>
      </c>
      <c r="B1126" t="s">
        <v>340</v>
      </c>
      <c r="C1126" t="s">
        <v>26</v>
      </c>
      <c r="D1126" t="s">
        <v>12</v>
      </c>
      <c r="E1126" t="s">
        <v>751</v>
      </c>
      <c r="F1126" t="s">
        <v>95</v>
      </c>
      <c r="G1126" t="s">
        <v>369</v>
      </c>
      <c r="H1126" t="s">
        <v>0</v>
      </c>
      <c r="I1126" t="s">
        <v>436</v>
      </c>
      <c r="J1126" t="s">
        <v>437</v>
      </c>
      <c r="K1126" t="s">
        <v>438</v>
      </c>
      <c r="L1126" t="s">
        <v>1</v>
      </c>
      <c r="M1126" t="s">
        <v>408</v>
      </c>
      <c r="N1126" t="s">
        <v>11</v>
      </c>
      <c r="O1126" t="s">
        <v>11</v>
      </c>
      <c r="P1126" t="s">
        <v>2</v>
      </c>
      <c r="Q1126" t="s">
        <v>408</v>
      </c>
      <c r="R1126" t="s">
        <v>439</v>
      </c>
      <c r="S1126" t="s">
        <v>440</v>
      </c>
      <c r="T1126" t="s">
        <v>11</v>
      </c>
      <c r="U1126" t="s">
        <v>408</v>
      </c>
    </row>
    <row r="1127" spans="1:21" x14ac:dyDescent="0.25">
      <c r="A1127">
        <v>20910129</v>
      </c>
      <c r="B1127" t="s">
        <v>340</v>
      </c>
      <c r="C1127" t="s">
        <v>26</v>
      </c>
      <c r="D1127" t="s">
        <v>12</v>
      </c>
      <c r="E1127" t="s">
        <v>625</v>
      </c>
      <c r="F1127" t="s">
        <v>99</v>
      </c>
      <c r="G1127" t="s">
        <v>369</v>
      </c>
      <c r="H1127" t="s">
        <v>1</v>
      </c>
      <c r="I1127" t="s">
        <v>469</v>
      </c>
      <c r="J1127" t="s">
        <v>445</v>
      </c>
      <c r="K1127" t="s">
        <v>438</v>
      </c>
      <c r="L1127" t="s">
        <v>2</v>
      </c>
      <c r="M1127" t="s">
        <v>408</v>
      </c>
      <c r="N1127" t="s">
        <v>11</v>
      </c>
      <c r="O1127" t="s">
        <v>11</v>
      </c>
      <c r="P1127" t="s">
        <v>2</v>
      </c>
      <c r="Q1127" t="s">
        <v>408</v>
      </c>
      <c r="R1127" t="s">
        <v>439</v>
      </c>
      <c r="S1127" t="s">
        <v>440</v>
      </c>
      <c r="T1127" t="s">
        <v>11</v>
      </c>
      <c r="U1127" t="s">
        <v>408</v>
      </c>
    </row>
    <row r="1128" spans="1:21" x14ac:dyDescent="0.25">
      <c r="A1128">
        <v>20910131</v>
      </c>
      <c r="B1128" t="s">
        <v>340</v>
      </c>
      <c r="C1128" t="s">
        <v>26</v>
      </c>
      <c r="D1128" t="s">
        <v>12</v>
      </c>
      <c r="E1128" t="s">
        <v>751</v>
      </c>
      <c r="F1128" t="s">
        <v>97</v>
      </c>
      <c r="G1128" t="s">
        <v>369</v>
      </c>
      <c r="H1128" t="s">
        <v>727</v>
      </c>
      <c r="I1128" t="s">
        <v>728</v>
      </c>
      <c r="J1128" t="s">
        <v>729</v>
      </c>
      <c r="K1128" t="s">
        <v>450</v>
      </c>
      <c r="L1128" t="s">
        <v>367</v>
      </c>
      <c r="M1128" t="s">
        <v>408</v>
      </c>
      <c r="N1128" t="s">
        <v>11</v>
      </c>
      <c r="O1128" t="s">
        <v>11</v>
      </c>
      <c r="P1128" t="s">
        <v>2</v>
      </c>
      <c r="Q1128" t="s">
        <v>408</v>
      </c>
      <c r="R1128" t="s">
        <v>439</v>
      </c>
      <c r="S1128" t="s">
        <v>451</v>
      </c>
      <c r="T1128" t="s">
        <v>11</v>
      </c>
      <c r="U1128" t="s">
        <v>408</v>
      </c>
    </row>
    <row r="1129" spans="1:21" x14ac:dyDescent="0.25">
      <c r="A1129">
        <v>20910142</v>
      </c>
      <c r="B1129" t="s">
        <v>340</v>
      </c>
      <c r="C1129" t="s">
        <v>26</v>
      </c>
      <c r="D1129" t="s">
        <v>12</v>
      </c>
      <c r="E1129" t="s">
        <v>751</v>
      </c>
      <c r="F1129" t="s">
        <v>97</v>
      </c>
      <c r="G1129" t="s">
        <v>369</v>
      </c>
      <c r="H1129" t="s">
        <v>0</v>
      </c>
      <c r="I1129" t="s">
        <v>436</v>
      </c>
      <c r="J1129" t="s">
        <v>437</v>
      </c>
      <c r="K1129" t="s">
        <v>438</v>
      </c>
      <c r="L1129" t="s">
        <v>4</v>
      </c>
      <c r="M1129" t="s">
        <v>408</v>
      </c>
      <c r="N1129" t="s">
        <v>11</v>
      </c>
      <c r="O1129" t="s">
        <v>11</v>
      </c>
      <c r="P1129" t="s">
        <v>2</v>
      </c>
      <c r="Q1129" t="s">
        <v>408</v>
      </c>
      <c r="R1129" t="s">
        <v>439</v>
      </c>
      <c r="S1129" t="s">
        <v>440</v>
      </c>
      <c r="T1129" t="s">
        <v>11</v>
      </c>
      <c r="U1129" t="s">
        <v>408</v>
      </c>
    </row>
    <row r="1130" spans="1:21" x14ac:dyDescent="0.25">
      <c r="A1130">
        <v>20910148</v>
      </c>
      <c r="B1130" t="s">
        <v>340</v>
      </c>
      <c r="C1130" t="s">
        <v>26</v>
      </c>
      <c r="D1130" t="s">
        <v>12</v>
      </c>
      <c r="E1130" t="s">
        <v>751</v>
      </c>
      <c r="F1130" t="s">
        <v>97</v>
      </c>
      <c r="G1130" t="s">
        <v>369</v>
      </c>
      <c r="H1130" t="s">
        <v>0</v>
      </c>
      <c r="I1130" t="s">
        <v>436</v>
      </c>
      <c r="J1130" t="s">
        <v>437</v>
      </c>
      <c r="K1130" t="s">
        <v>438</v>
      </c>
      <c r="L1130" t="s">
        <v>4</v>
      </c>
      <c r="M1130" t="s">
        <v>408</v>
      </c>
      <c r="N1130" t="s">
        <v>11</v>
      </c>
      <c r="O1130" t="s">
        <v>11</v>
      </c>
      <c r="P1130" t="s">
        <v>2</v>
      </c>
      <c r="Q1130" t="s">
        <v>408</v>
      </c>
      <c r="R1130" t="s">
        <v>439</v>
      </c>
      <c r="S1130" t="s">
        <v>440</v>
      </c>
      <c r="T1130" t="s">
        <v>11</v>
      </c>
      <c r="U1130" t="s">
        <v>408</v>
      </c>
    </row>
    <row r="1131" spans="1:21" x14ac:dyDescent="0.25">
      <c r="A1131">
        <v>20910155</v>
      </c>
      <c r="B1131" t="s">
        <v>342</v>
      </c>
      <c r="C1131" t="s">
        <v>33</v>
      </c>
      <c r="D1131" t="s">
        <v>12</v>
      </c>
      <c r="E1131" t="s">
        <v>750</v>
      </c>
      <c r="F1131" t="s">
        <v>98</v>
      </c>
      <c r="G1131" t="s">
        <v>369</v>
      </c>
      <c r="H1131" t="s">
        <v>2</v>
      </c>
      <c r="I1131" t="s">
        <v>436</v>
      </c>
      <c r="J1131" t="s">
        <v>443</v>
      </c>
      <c r="K1131" t="s">
        <v>444</v>
      </c>
      <c r="L1131" t="s">
        <v>345</v>
      </c>
      <c r="M1131" t="s">
        <v>408</v>
      </c>
      <c r="N1131" t="s">
        <v>11</v>
      </c>
      <c r="O1131" t="s">
        <v>11</v>
      </c>
      <c r="P1131" t="s">
        <v>2</v>
      </c>
      <c r="Q1131" t="s">
        <v>408</v>
      </c>
      <c r="R1131" t="s">
        <v>439</v>
      </c>
      <c r="S1131" t="s">
        <v>440</v>
      </c>
      <c r="T1131" t="s">
        <v>11</v>
      </c>
      <c r="U1131" t="s">
        <v>408</v>
      </c>
    </row>
    <row r="1132" spans="1:21" x14ac:dyDescent="0.25">
      <c r="A1132">
        <v>20910163</v>
      </c>
      <c r="B1132" t="s">
        <v>342</v>
      </c>
      <c r="C1132" t="s">
        <v>33</v>
      </c>
      <c r="D1132" t="s">
        <v>12</v>
      </c>
      <c r="E1132" t="s">
        <v>751</v>
      </c>
      <c r="F1132" t="s">
        <v>97</v>
      </c>
      <c r="G1132" t="s">
        <v>369</v>
      </c>
      <c r="H1132" t="s">
        <v>2</v>
      </c>
      <c r="I1132" t="s">
        <v>436</v>
      </c>
      <c r="J1132" t="s">
        <v>443</v>
      </c>
      <c r="K1132" t="s">
        <v>444</v>
      </c>
      <c r="L1132" t="s">
        <v>345</v>
      </c>
      <c r="M1132" t="s">
        <v>408</v>
      </c>
      <c r="N1132" t="s">
        <v>11</v>
      </c>
      <c r="O1132" t="s">
        <v>11</v>
      </c>
      <c r="P1132" t="s">
        <v>2</v>
      </c>
      <c r="Q1132" t="s">
        <v>408</v>
      </c>
      <c r="R1132" t="s">
        <v>439</v>
      </c>
      <c r="S1132" t="s">
        <v>440</v>
      </c>
      <c r="T1132" t="s">
        <v>11</v>
      </c>
      <c r="U1132" t="s">
        <v>408</v>
      </c>
    </row>
    <row r="1133" spans="1:21" x14ac:dyDescent="0.25">
      <c r="A1133">
        <v>20910167</v>
      </c>
      <c r="B1133" t="s">
        <v>340</v>
      </c>
      <c r="C1133" t="s">
        <v>26</v>
      </c>
      <c r="D1133" t="s">
        <v>12</v>
      </c>
      <c r="E1133" t="s">
        <v>751</v>
      </c>
      <c r="F1133" t="s">
        <v>97</v>
      </c>
      <c r="G1133" t="s">
        <v>468</v>
      </c>
      <c r="H1133" t="s">
        <v>617</v>
      </c>
      <c r="I1133" t="s">
        <v>618</v>
      </c>
      <c r="J1133" t="s">
        <v>619</v>
      </c>
      <c r="K1133" t="s">
        <v>606</v>
      </c>
      <c r="L1133" t="s">
        <v>673</v>
      </c>
      <c r="M1133" t="s">
        <v>408</v>
      </c>
      <c r="N1133" t="s">
        <v>11</v>
      </c>
      <c r="O1133" t="s">
        <v>11</v>
      </c>
      <c r="P1133" t="s">
        <v>2</v>
      </c>
      <c r="Q1133" t="s">
        <v>408</v>
      </c>
      <c r="R1133" t="s">
        <v>439</v>
      </c>
      <c r="S1133" t="s">
        <v>451</v>
      </c>
      <c r="T1133" t="s">
        <v>11</v>
      </c>
      <c r="U1133" t="s">
        <v>408</v>
      </c>
    </row>
    <row r="1134" spans="1:21" x14ac:dyDescent="0.25">
      <c r="A1134">
        <v>20910172</v>
      </c>
      <c r="B1134" t="s">
        <v>340</v>
      </c>
      <c r="C1134" t="s">
        <v>26</v>
      </c>
      <c r="D1134" t="s">
        <v>12</v>
      </c>
      <c r="E1134" t="s">
        <v>751</v>
      </c>
      <c r="F1134" t="s">
        <v>95</v>
      </c>
      <c r="G1134" t="s">
        <v>369</v>
      </c>
      <c r="H1134" t="s">
        <v>2</v>
      </c>
      <c r="I1134" t="s">
        <v>436</v>
      </c>
      <c r="J1134" t="s">
        <v>443</v>
      </c>
      <c r="K1134" t="s">
        <v>444</v>
      </c>
      <c r="L1134" t="s">
        <v>345</v>
      </c>
      <c r="M1134" t="s">
        <v>408</v>
      </c>
      <c r="N1134" t="s">
        <v>11</v>
      </c>
      <c r="O1134" t="s">
        <v>11</v>
      </c>
      <c r="P1134" t="s">
        <v>2</v>
      </c>
      <c r="Q1134" t="s">
        <v>408</v>
      </c>
      <c r="R1134" t="s">
        <v>439</v>
      </c>
      <c r="S1134" t="s">
        <v>440</v>
      </c>
      <c r="T1134" t="s">
        <v>11</v>
      </c>
      <c r="U1134" t="s">
        <v>408</v>
      </c>
    </row>
    <row r="1135" spans="1:21" x14ac:dyDescent="0.25">
      <c r="A1135">
        <v>20910191</v>
      </c>
      <c r="B1135" t="s">
        <v>340</v>
      </c>
      <c r="C1135" t="s">
        <v>26</v>
      </c>
      <c r="D1135" t="s">
        <v>12</v>
      </c>
      <c r="E1135" t="s">
        <v>751</v>
      </c>
      <c r="F1135" t="s">
        <v>189</v>
      </c>
      <c r="G1135" t="s">
        <v>369</v>
      </c>
      <c r="H1135" t="s">
        <v>0</v>
      </c>
      <c r="I1135" t="s">
        <v>436</v>
      </c>
      <c r="J1135" t="s">
        <v>437</v>
      </c>
      <c r="K1135" t="s">
        <v>438</v>
      </c>
      <c r="L1135" t="s">
        <v>1</v>
      </c>
      <c r="M1135" t="s">
        <v>408</v>
      </c>
      <c r="N1135" t="s">
        <v>11</v>
      </c>
      <c r="O1135" t="s">
        <v>11</v>
      </c>
      <c r="P1135" t="s">
        <v>2</v>
      </c>
      <c r="Q1135" t="s">
        <v>408</v>
      </c>
      <c r="R1135" t="s">
        <v>439</v>
      </c>
      <c r="S1135" t="s">
        <v>440</v>
      </c>
      <c r="T1135" t="s">
        <v>11</v>
      </c>
      <c r="U1135" t="s">
        <v>408</v>
      </c>
    </row>
    <row r="1136" spans="1:21" x14ac:dyDescent="0.25">
      <c r="A1136">
        <v>20910193</v>
      </c>
      <c r="B1136" t="s">
        <v>340</v>
      </c>
      <c r="C1136" t="s">
        <v>26</v>
      </c>
      <c r="D1136" t="s">
        <v>12</v>
      </c>
      <c r="E1136" t="s">
        <v>751</v>
      </c>
      <c r="F1136" t="s">
        <v>189</v>
      </c>
      <c r="G1136" t="s">
        <v>369</v>
      </c>
      <c r="H1136" t="s">
        <v>0</v>
      </c>
      <c r="I1136" t="s">
        <v>436</v>
      </c>
      <c r="J1136" t="s">
        <v>437</v>
      </c>
      <c r="K1136" t="s">
        <v>438</v>
      </c>
      <c r="L1136" t="s">
        <v>4</v>
      </c>
      <c r="M1136" t="s">
        <v>408</v>
      </c>
      <c r="N1136" t="s">
        <v>11</v>
      </c>
      <c r="O1136" t="s">
        <v>11</v>
      </c>
      <c r="P1136" t="s">
        <v>2</v>
      </c>
      <c r="Q1136" t="s">
        <v>408</v>
      </c>
      <c r="R1136" t="s">
        <v>439</v>
      </c>
      <c r="S1136" t="s">
        <v>440</v>
      </c>
      <c r="T1136" t="s">
        <v>11</v>
      </c>
      <c r="U1136" t="s">
        <v>408</v>
      </c>
    </row>
    <row r="1137" spans="1:21" x14ac:dyDescent="0.25">
      <c r="A1137">
        <v>20910198</v>
      </c>
      <c r="B1137" t="s">
        <v>340</v>
      </c>
      <c r="C1137" t="s">
        <v>26</v>
      </c>
      <c r="D1137" t="s">
        <v>18</v>
      </c>
      <c r="E1137" t="s">
        <v>750</v>
      </c>
      <c r="F1137" t="s">
        <v>316</v>
      </c>
      <c r="G1137" t="s">
        <v>369</v>
      </c>
      <c r="H1137" t="s">
        <v>0</v>
      </c>
      <c r="I1137" t="s">
        <v>436</v>
      </c>
      <c r="J1137" t="s">
        <v>437</v>
      </c>
      <c r="K1137" t="s">
        <v>438</v>
      </c>
      <c r="L1137" t="s">
        <v>1</v>
      </c>
      <c r="M1137" t="s">
        <v>408</v>
      </c>
      <c r="N1137" t="s">
        <v>11</v>
      </c>
      <c r="O1137" t="s">
        <v>11</v>
      </c>
      <c r="P1137" t="s">
        <v>2</v>
      </c>
      <c r="Q1137" t="s">
        <v>408</v>
      </c>
      <c r="R1137" t="s">
        <v>439</v>
      </c>
      <c r="S1137" t="s">
        <v>440</v>
      </c>
      <c r="T1137" t="s">
        <v>11</v>
      </c>
      <c r="U1137" t="s">
        <v>408</v>
      </c>
    </row>
    <row r="1138" spans="1:21" x14ac:dyDescent="0.25">
      <c r="A1138">
        <v>20910201</v>
      </c>
      <c r="B1138" t="s">
        <v>340</v>
      </c>
      <c r="C1138" t="s">
        <v>26</v>
      </c>
      <c r="D1138" t="s">
        <v>12</v>
      </c>
      <c r="E1138" t="s">
        <v>750</v>
      </c>
      <c r="F1138" t="s">
        <v>98</v>
      </c>
      <c r="G1138" t="s">
        <v>369</v>
      </c>
      <c r="H1138" t="s">
        <v>0</v>
      </c>
      <c r="I1138" t="s">
        <v>436</v>
      </c>
      <c r="J1138" t="s">
        <v>437</v>
      </c>
      <c r="K1138" t="s">
        <v>438</v>
      </c>
      <c r="L1138" t="s">
        <v>4</v>
      </c>
      <c r="M1138" t="s">
        <v>408</v>
      </c>
      <c r="N1138" t="s">
        <v>11</v>
      </c>
      <c r="O1138" t="s">
        <v>11</v>
      </c>
      <c r="P1138" t="s">
        <v>2</v>
      </c>
      <c r="Q1138" t="s">
        <v>408</v>
      </c>
      <c r="R1138" t="s">
        <v>439</v>
      </c>
      <c r="S1138" t="s">
        <v>440</v>
      </c>
      <c r="T1138" t="s">
        <v>11</v>
      </c>
      <c r="U1138" t="s">
        <v>408</v>
      </c>
    </row>
    <row r="1139" spans="1:21" x14ac:dyDescent="0.25">
      <c r="A1139">
        <v>20910205</v>
      </c>
      <c r="B1139" t="s">
        <v>342</v>
      </c>
      <c r="C1139" t="s">
        <v>33</v>
      </c>
      <c r="D1139" t="s">
        <v>18</v>
      </c>
      <c r="E1139" t="s">
        <v>751</v>
      </c>
      <c r="F1139" t="s">
        <v>189</v>
      </c>
      <c r="G1139" t="s">
        <v>369</v>
      </c>
      <c r="H1139" t="s">
        <v>0</v>
      </c>
      <c r="I1139" t="s">
        <v>436</v>
      </c>
      <c r="J1139" t="s">
        <v>437</v>
      </c>
      <c r="K1139" t="s">
        <v>438</v>
      </c>
      <c r="L1139" t="s">
        <v>2</v>
      </c>
      <c r="M1139" t="s">
        <v>408</v>
      </c>
      <c r="N1139" t="s">
        <v>11</v>
      </c>
      <c r="O1139" t="s">
        <v>11</v>
      </c>
      <c r="P1139" t="s">
        <v>2</v>
      </c>
      <c r="Q1139" t="s">
        <v>408</v>
      </c>
      <c r="R1139" t="s">
        <v>439</v>
      </c>
      <c r="S1139" t="s">
        <v>440</v>
      </c>
      <c r="T1139" t="s">
        <v>11</v>
      </c>
      <c r="U1139" t="s">
        <v>408</v>
      </c>
    </row>
    <row r="1140" spans="1:21" x14ac:dyDescent="0.25">
      <c r="A1140">
        <v>20910206</v>
      </c>
      <c r="B1140" t="s">
        <v>340</v>
      </c>
      <c r="C1140" t="s">
        <v>26</v>
      </c>
      <c r="D1140" t="s">
        <v>12</v>
      </c>
      <c r="E1140" t="s">
        <v>751</v>
      </c>
      <c r="F1140" t="s">
        <v>357</v>
      </c>
      <c r="G1140" t="s">
        <v>369</v>
      </c>
      <c r="H1140" t="s">
        <v>0</v>
      </c>
      <c r="I1140" t="s">
        <v>436</v>
      </c>
      <c r="J1140" t="s">
        <v>437</v>
      </c>
      <c r="K1140" t="s">
        <v>438</v>
      </c>
      <c r="L1140" t="s">
        <v>1</v>
      </c>
      <c r="M1140" t="s">
        <v>408</v>
      </c>
      <c r="N1140" t="s">
        <v>11</v>
      </c>
      <c r="O1140" t="s">
        <v>11</v>
      </c>
      <c r="P1140" t="s">
        <v>2</v>
      </c>
      <c r="Q1140" t="s">
        <v>408</v>
      </c>
      <c r="R1140" t="s">
        <v>439</v>
      </c>
      <c r="S1140" t="s">
        <v>440</v>
      </c>
      <c r="T1140" t="s">
        <v>11</v>
      </c>
      <c r="U1140" t="s">
        <v>408</v>
      </c>
    </row>
    <row r="1141" spans="1:21" x14ac:dyDescent="0.25">
      <c r="A1141">
        <v>20910208</v>
      </c>
      <c r="B1141" t="s">
        <v>340</v>
      </c>
      <c r="C1141" t="s">
        <v>26</v>
      </c>
      <c r="D1141" t="s">
        <v>18</v>
      </c>
      <c r="E1141" t="s">
        <v>750</v>
      </c>
      <c r="F1141" t="s">
        <v>98</v>
      </c>
      <c r="G1141" t="s">
        <v>369</v>
      </c>
      <c r="H1141" t="s">
        <v>370</v>
      </c>
      <c r="I1141" t="s">
        <v>721</v>
      </c>
      <c r="J1141" t="s">
        <v>455</v>
      </c>
      <c r="K1141" t="s">
        <v>453</v>
      </c>
      <c r="L1141" t="s">
        <v>367</v>
      </c>
      <c r="M1141" t="s">
        <v>408</v>
      </c>
      <c r="N1141" t="s">
        <v>11</v>
      </c>
      <c r="O1141" t="s">
        <v>408</v>
      </c>
      <c r="P1141" t="s">
        <v>2</v>
      </c>
      <c r="Q1141" t="s">
        <v>408</v>
      </c>
      <c r="R1141" t="s">
        <v>439</v>
      </c>
      <c r="S1141" t="s">
        <v>451</v>
      </c>
      <c r="T1141" t="s">
        <v>11</v>
      </c>
      <c r="U1141" t="s">
        <v>408</v>
      </c>
    </row>
    <row r="1142" spans="1:21" x14ac:dyDescent="0.25">
      <c r="A1142">
        <v>20910210</v>
      </c>
      <c r="B1142" t="s">
        <v>340</v>
      </c>
      <c r="C1142" t="s">
        <v>26</v>
      </c>
      <c r="D1142" t="s">
        <v>12</v>
      </c>
      <c r="E1142" t="s">
        <v>751</v>
      </c>
      <c r="F1142" t="s">
        <v>97</v>
      </c>
      <c r="G1142" t="s">
        <v>369</v>
      </c>
      <c r="H1142" t="s">
        <v>0</v>
      </c>
      <c r="I1142" t="s">
        <v>436</v>
      </c>
      <c r="J1142" t="s">
        <v>437</v>
      </c>
      <c r="K1142" t="s">
        <v>438</v>
      </c>
      <c r="L1142" t="s">
        <v>4</v>
      </c>
      <c r="M1142" t="s">
        <v>408</v>
      </c>
      <c r="N1142" t="s">
        <v>11</v>
      </c>
      <c r="O1142" t="s">
        <v>11</v>
      </c>
      <c r="P1142" t="s">
        <v>2</v>
      </c>
      <c r="Q1142" t="s">
        <v>408</v>
      </c>
      <c r="R1142" t="s">
        <v>439</v>
      </c>
      <c r="S1142" t="s">
        <v>440</v>
      </c>
      <c r="T1142" t="s">
        <v>11</v>
      </c>
      <c r="U1142" t="s">
        <v>408</v>
      </c>
    </row>
    <row r="1143" spans="1:21" x14ac:dyDescent="0.25">
      <c r="A1143">
        <v>20910215</v>
      </c>
      <c r="B1143" t="s">
        <v>340</v>
      </c>
      <c r="C1143" t="s">
        <v>26</v>
      </c>
      <c r="D1143" t="s">
        <v>18</v>
      </c>
      <c r="E1143" t="s">
        <v>750</v>
      </c>
      <c r="F1143" t="s">
        <v>315</v>
      </c>
      <c r="G1143" t="s">
        <v>369</v>
      </c>
      <c r="H1143" t="s">
        <v>1</v>
      </c>
      <c r="I1143" t="s">
        <v>469</v>
      </c>
      <c r="J1143" t="s">
        <v>445</v>
      </c>
      <c r="K1143" t="s">
        <v>438</v>
      </c>
      <c r="L1143" t="s">
        <v>2</v>
      </c>
      <c r="M1143" t="s">
        <v>408</v>
      </c>
      <c r="N1143" t="s">
        <v>11</v>
      </c>
      <c r="O1143" t="s">
        <v>11</v>
      </c>
      <c r="P1143" t="s">
        <v>2</v>
      </c>
      <c r="Q1143" t="s">
        <v>408</v>
      </c>
      <c r="R1143" t="s">
        <v>439</v>
      </c>
      <c r="S1143" t="s">
        <v>440</v>
      </c>
      <c r="T1143" t="s">
        <v>11</v>
      </c>
      <c r="U1143" t="s">
        <v>408</v>
      </c>
    </row>
    <row r="1144" spans="1:21" x14ac:dyDescent="0.25">
      <c r="A1144">
        <v>20910217</v>
      </c>
      <c r="B1144" t="s">
        <v>340</v>
      </c>
      <c r="C1144" t="s">
        <v>26</v>
      </c>
      <c r="D1144" t="s">
        <v>12</v>
      </c>
      <c r="E1144" t="s">
        <v>750</v>
      </c>
      <c r="F1144" t="s">
        <v>191</v>
      </c>
      <c r="G1144" t="s">
        <v>369</v>
      </c>
      <c r="H1144" t="s">
        <v>0</v>
      </c>
      <c r="I1144" t="s">
        <v>436</v>
      </c>
      <c r="J1144" t="s">
        <v>437</v>
      </c>
      <c r="K1144" t="s">
        <v>438</v>
      </c>
      <c r="L1144" t="s">
        <v>4</v>
      </c>
      <c r="M1144" t="s">
        <v>408</v>
      </c>
      <c r="N1144" t="s">
        <v>11</v>
      </c>
      <c r="O1144" t="s">
        <v>11</v>
      </c>
      <c r="P1144" t="s">
        <v>2</v>
      </c>
      <c r="Q1144" t="s">
        <v>408</v>
      </c>
      <c r="R1144" t="s">
        <v>439</v>
      </c>
      <c r="S1144" t="s">
        <v>440</v>
      </c>
      <c r="T1144" t="s">
        <v>11</v>
      </c>
      <c r="U1144" t="s">
        <v>408</v>
      </c>
    </row>
    <row r="1145" spans="1:21" x14ac:dyDescent="0.25">
      <c r="A1145">
        <v>20910219</v>
      </c>
      <c r="B1145" t="s">
        <v>340</v>
      </c>
      <c r="C1145" t="s">
        <v>26</v>
      </c>
      <c r="D1145" t="s">
        <v>12</v>
      </c>
      <c r="E1145" t="s">
        <v>751</v>
      </c>
      <c r="F1145" t="s">
        <v>95</v>
      </c>
      <c r="G1145" t="s">
        <v>369</v>
      </c>
      <c r="H1145" t="s">
        <v>1</v>
      </c>
      <c r="I1145" t="s">
        <v>469</v>
      </c>
      <c r="J1145" t="s">
        <v>445</v>
      </c>
      <c r="K1145" t="s">
        <v>438</v>
      </c>
      <c r="L1145" t="s">
        <v>2</v>
      </c>
      <c r="M1145" t="s">
        <v>408</v>
      </c>
      <c r="N1145" t="s">
        <v>11</v>
      </c>
      <c r="O1145" t="s">
        <v>408</v>
      </c>
      <c r="P1145" t="s">
        <v>2</v>
      </c>
      <c r="Q1145" t="s">
        <v>408</v>
      </c>
      <c r="R1145" t="s">
        <v>439</v>
      </c>
      <c r="S1145" t="s">
        <v>440</v>
      </c>
      <c r="T1145" t="s">
        <v>11</v>
      </c>
      <c r="U1145" t="s">
        <v>408</v>
      </c>
    </row>
    <row r="1146" spans="1:21" x14ac:dyDescent="0.25">
      <c r="A1146">
        <v>20910223</v>
      </c>
      <c r="B1146" t="s">
        <v>340</v>
      </c>
      <c r="C1146" t="s">
        <v>26</v>
      </c>
      <c r="D1146" t="s">
        <v>24</v>
      </c>
      <c r="E1146" t="s">
        <v>751</v>
      </c>
      <c r="F1146" t="s">
        <v>95</v>
      </c>
      <c r="G1146" t="s">
        <v>369</v>
      </c>
      <c r="H1146" t="s">
        <v>2</v>
      </c>
      <c r="I1146" t="s">
        <v>436</v>
      </c>
      <c r="J1146" t="s">
        <v>443</v>
      </c>
      <c r="K1146" t="s">
        <v>444</v>
      </c>
      <c r="L1146" t="s">
        <v>345</v>
      </c>
      <c r="M1146" t="s">
        <v>408</v>
      </c>
      <c r="N1146" t="s">
        <v>11</v>
      </c>
      <c r="O1146" t="s">
        <v>11</v>
      </c>
      <c r="P1146" t="s">
        <v>2</v>
      </c>
      <c r="Q1146" t="s">
        <v>408</v>
      </c>
      <c r="R1146" t="s">
        <v>439</v>
      </c>
      <c r="S1146" t="s">
        <v>440</v>
      </c>
      <c r="T1146" t="s">
        <v>11</v>
      </c>
      <c r="U1146" t="s">
        <v>408</v>
      </c>
    </row>
    <row r="1147" spans="1:21" x14ac:dyDescent="0.25">
      <c r="A1147">
        <v>20910224</v>
      </c>
      <c r="B1147" t="s">
        <v>340</v>
      </c>
      <c r="C1147" t="s">
        <v>26</v>
      </c>
      <c r="D1147" t="s">
        <v>12</v>
      </c>
      <c r="E1147" t="s">
        <v>750</v>
      </c>
      <c r="F1147" t="s">
        <v>191</v>
      </c>
      <c r="G1147" t="s">
        <v>369</v>
      </c>
      <c r="H1147" t="s">
        <v>0</v>
      </c>
      <c r="I1147" t="s">
        <v>436</v>
      </c>
      <c r="J1147" t="s">
        <v>437</v>
      </c>
      <c r="K1147" t="s">
        <v>438</v>
      </c>
      <c r="L1147" t="s">
        <v>4</v>
      </c>
      <c r="M1147" t="s">
        <v>408</v>
      </c>
      <c r="N1147" t="s">
        <v>11</v>
      </c>
      <c r="O1147" t="s">
        <v>11</v>
      </c>
      <c r="P1147" t="s">
        <v>2</v>
      </c>
      <c r="Q1147" t="s">
        <v>408</v>
      </c>
      <c r="R1147" t="s">
        <v>439</v>
      </c>
      <c r="S1147" t="s">
        <v>440</v>
      </c>
      <c r="T1147" t="s">
        <v>11</v>
      </c>
      <c r="U1147" t="s">
        <v>408</v>
      </c>
    </row>
    <row r="1148" spans="1:21" x14ac:dyDescent="0.25">
      <c r="A1148">
        <v>20910226</v>
      </c>
      <c r="B1148" t="s">
        <v>340</v>
      </c>
      <c r="C1148" t="s">
        <v>26</v>
      </c>
      <c r="D1148" t="s">
        <v>18</v>
      </c>
      <c r="E1148" t="s">
        <v>751</v>
      </c>
      <c r="F1148" t="s">
        <v>95</v>
      </c>
      <c r="G1148" t="s">
        <v>369</v>
      </c>
      <c r="H1148" t="s">
        <v>0</v>
      </c>
      <c r="I1148" t="s">
        <v>436</v>
      </c>
      <c r="J1148" t="s">
        <v>437</v>
      </c>
      <c r="K1148" t="s">
        <v>438</v>
      </c>
      <c r="L1148" t="s">
        <v>1</v>
      </c>
      <c r="M1148" t="s">
        <v>408</v>
      </c>
      <c r="N1148" t="s">
        <v>11</v>
      </c>
      <c r="O1148" t="s">
        <v>11</v>
      </c>
      <c r="P1148" t="s">
        <v>2</v>
      </c>
      <c r="Q1148" t="s">
        <v>408</v>
      </c>
      <c r="R1148" t="s">
        <v>439</v>
      </c>
      <c r="S1148" t="s">
        <v>440</v>
      </c>
      <c r="T1148" t="s">
        <v>11</v>
      </c>
      <c r="U1148" t="s">
        <v>408</v>
      </c>
    </row>
    <row r="1149" spans="1:21" x14ac:dyDescent="0.25">
      <c r="A1149">
        <v>20910227</v>
      </c>
      <c r="B1149" t="s">
        <v>340</v>
      </c>
      <c r="C1149" t="s">
        <v>26</v>
      </c>
      <c r="D1149" t="s">
        <v>12</v>
      </c>
      <c r="E1149" t="s">
        <v>750</v>
      </c>
      <c r="F1149" t="s">
        <v>98</v>
      </c>
      <c r="G1149" t="s">
        <v>369</v>
      </c>
      <c r="H1149" t="s">
        <v>5</v>
      </c>
      <c r="I1149" t="s">
        <v>436</v>
      </c>
      <c r="J1149" t="s">
        <v>446</v>
      </c>
      <c r="K1149" t="s">
        <v>438</v>
      </c>
      <c r="L1149" t="s">
        <v>2</v>
      </c>
      <c r="M1149" t="s">
        <v>408</v>
      </c>
      <c r="N1149" t="s">
        <v>11</v>
      </c>
      <c r="O1149" t="s">
        <v>11</v>
      </c>
      <c r="P1149" t="s">
        <v>2</v>
      </c>
      <c r="Q1149" t="s">
        <v>408</v>
      </c>
      <c r="R1149" t="s">
        <v>439</v>
      </c>
      <c r="S1149" t="s">
        <v>440</v>
      </c>
      <c r="T1149" t="s">
        <v>11</v>
      </c>
      <c r="U1149" t="s">
        <v>408</v>
      </c>
    </row>
    <row r="1150" spans="1:21" x14ac:dyDescent="0.25">
      <c r="A1150">
        <v>20910228</v>
      </c>
      <c r="B1150" t="s">
        <v>340</v>
      </c>
      <c r="C1150" t="s">
        <v>26</v>
      </c>
      <c r="D1150" t="s">
        <v>12</v>
      </c>
      <c r="E1150" t="s">
        <v>750</v>
      </c>
      <c r="F1150" t="s">
        <v>98</v>
      </c>
      <c r="G1150" t="s">
        <v>369</v>
      </c>
      <c r="H1150" t="s">
        <v>0</v>
      </c>
      <c r="I1150" t="s">
        <v>436</v>
      </c>
      <c r="J1150" t="s">
        <v>437</v>
      </c>
      <c r="K1150" t="s">
        <v>438</v>
      </c>
      <c r="L1150" t="s">
        <v>1</v>
      </c>
      <c r="M1150" t="s">
        <v>408</v>
      </c>
      <c r="N1150" t="s">
        <v>11</v>
      </c>
      <c r="O1150" t="s">
        <v>11</v>
      </c>
      <c r="P1150" t="s">
        <v>2</v>
      </c>
      <c r="Q1150" t="s">
        <v>408</v>
      </c>
      <c r="R1150" t="s">
        <v>439</v>
      </c>
      <c r="S1150" t="s">
        <v>440</v>
      </c>
      <c r="T1150" t="s">
        <v>11</v>
      </c>
      <c r="U1150" t="s">
        <v>408</v>
      </c>
    </row>
    <row r="1151" spans="1:21" x14ac:dyDescent="0.25">
      <c r="A1151">
        <v>20910234</v>
      </c>
      <c r="B1151" t="s">
        <v>340</v>
      </c>
      <c r="C1151" t="s">
        <v>26</v>
      </c>
      <c r="D1151" t="s">
        <v>12</v>
      </c>
      <c r="E1151" t="s">
        <v>751</v>
      </c>
      <c r="F1151" t="s">
        <v>190</v>
      </c>
      <c r="G1151" t="s">
        <v>369</v>
      </c>
      <c r="H1151" t="s">
        <v>727</v>
      </c>
      <c r="I1151" t="s">
        <v>728</v>
      </c>
      <c r="J1151" t="s">
        <v>729</v>
      </c>
      <c r="K1151" t="s">
        <v>450</v>
      </c>
      <c r="L1151" t="s">
        <v>367</v>
      </c>
      <c r="M1151" t="s">
        <v>408</v>
      </c>
      <c r="N1151" t="s">
        <v>11</v>
      </c>
      <c r="O1151" t="s">
        <v>408</v>
      </c>
      <c r="P1151" t="s">
        <v>2</v>
      </c>
      <c r="Q1151" t="s">
        <v>408</v>
      </c>
      <c r="R1151" t="s">
        <v>439</v>
      </c>
      <c r="S1151" t="s">
        <v>451</v>
      </c>
      <c r="T1151" t="s">
        <v>11</v>
      </c>
      <c r="U1151" t="s">
        <v>408</v>
      </c>
    </row>
    <row r="1152" spans="1:21" x14ac:dyDescent="0.25">
      <c r="A1152">
        <v>20910235</v>
      </c>
      <c r="B1152" t="s">
        <v>340</v>
      </c>
      <c r="C1152" t="s">
        <v>26</v>
      </c>
      <c r="D1152" t="s">
        <v>12</v>
      </c>
      <c r="E1152" t="s">
        <v>751</v>
      </c>
      <c r="F1152" t="s">
        <v>97</v>
      </c>
      <c r="G1152" t="s">
        <v>369</v>
      </c>
      <c r="H1152" t="s">
        <v>370</v>
      </c>
      <c r="I1152" t="s">
        <v>721</v>
      </c>
      <c r="J1152" t="s">
        <v>455</v>
      </c>
      <c r="K1152" t="s">
        <v>453</v>
      </c>
      <c r="L1152" t="s">
        <v>367</v>
      </c>
      <c r="M1152" t="s">
        <v>408</v>
      </c>
      <c r="N1152" t="s">
        <v>11</v>
      </c>
      <c r="O1152" t="s">
        <v>11</v>
      </c>
      <c r="P1152" t="s">
        <v>2</v>
      </c>
      <c r="Q1152" t="s">
        <v>408</v>
      </c>
      <c r="R1152" t="s">
        <v>439</v>
      </c>
      <c r="S1152" t="s">
        <v>451</v>
      </c>
      <c r="T1152" t="s">
        <v>11</v>
      </c>
      <c r="U1152" t="s">
        <v>408</v>
      </c>
    </row>
    <row r="1153" spans="1:21" x14ac:dyDescent="0.25">
      <c r="A1153">
        <v>20910236</v>
      </c>
      <c r="B1153" t="s">
        <v>340</v>
      </c>
      <c r="C1153" t="s">
        <v>26</v>
      </c>
      <c r="D1153" t="s">
        <v>12</v>
      </c>
      <c r="E1153" t="s">
        <v>750</v>
      </c>
      <c r="F1153" t="s">
        <v>191</v>
      </c>
      <c r="G1153" t="s">
        <v>369</v>
      </c>
      <c r="H1153" t="s">
        <v>0</v>
      </c>
      <c r="I1153" t="s">
        <v>436</v>
      </c>
      <c r="J1153" t="s">
        <v>437</v>
      </c>
      <c r="K1153" t="s">
        <v>438</v>
      </c>
      <c r="L1153" t="s">
        <v>1</v>
      </c>
      <c r="M1153" t="s">
        <v>408</v>
      </c>
      <c r="N1153" t="s">
        <v>11</v>
      </c>
      <c r="O1153" t="s">
        <v>11</v>
      </c>
      <c r="P1153" t="s">
        <v>2</v>
      </c>
      <c r="Q1153" t="s">
        <v>408</v>
      </c>
      <c r="R1153" t="s">
        <v>439</v>
      </c>
      <c r="S1153" t="s">
        <v>440</v>
      </c>
      <c r="T1153" t="s">
        <v>11</v>
      </c>
      <c r="U1153" t="s">
        <v>408</v>
      </c>
    </row>
    <row r="1154" spans="1:21" x14ac:dyDescent="0.25">
      <c r="A1154">
        <v>20910238</v>
      </c>
      <c r="B1154" t="s">
        <v>340</v>
      </c>
      <c r="C1154" t="s">
        <v>26</v>
      </c>
      <c r="D1154" t="s">
        <v>12</v>
      </c>
      <c r="E1154" t="s">
        <v>751</v>
      </c>
      <c r="F1154" t="s">
        <v>97</v>
      </c>
      <c r="G1154" t="s">
        <v>369</v>
      </c>
      <c r="H1154" t="s">
        <v>370</v>
      </c>
      <c r="I1154" t="s">
        <v>721</v>
      </c>
      <c r="J1154" t="s">
        <v>455</v>
      </c>
      <c r="K1154" t="s">
        <v>453</v>
      </c>
      <c r="L1154" t="s">
        <v>367</v>
      </c>
      <c r="M1154" t="s">
        <v>408</v>
      </c>
      <c r="N1154" t="s">
        <v>11</v>
      </c>
      <c r="O1154" t="s">
        <v>11</v>
      </c>
      <c r="P1154" t="s">
        <v>2</v>
      </c>
      <c r="Q1154" t="s">
        <v>408</v>
      </c>
      <c r="R1154" t="s">
        <v>439</v>
      </c>
      <c r="S1154" t="s">
        <v>451</v>
      </c>
      <c r="T1154" t="s">
        <v>11</v>
      </c>
      <c r="U1154" t="s">
        <v>408</v>
      </c>
    </row>
    <row r="1155" spans="1:21" x14ac:dyDescent="0.25">
      <c r="A1155">
        <v>20910241</v>
      </c>
      <c r="B1155" t="s">
        <v>340</v>
      </c>
      <c r="C1155" t="s">
        <v>26</v>
      </c>
      <c r="D1155" t="s">
        <v>12</v>
      </c>
      <c r="E1155" t="s">
        <v>751</v>
      </c>
      <c r="F1155" t="s">
        <v>97</v>
      </c>
      <c r="G1155" t="s">
        <v>369</v>
      </c>
      <c r="H1155" t="s">
        <v>1</v>
      </c>
      <c r="I1155" t="s">
        <v>469</v>
      </c>
      <c r="J1155" t="s">
        <v>445</v>
      </c>
      <c r="K1155" t="s">
        <v>438</v>
      </c>
      <c r="L1155" t="s">
        <v>2</v>
      </c>
      <c r="M1155" t="s">
        <v>408</v>
      </c>
      <c r="N1155" t="s">
        <v>11</v>
      </c>
      <c r="O1155" t="s">
        <v>11</v>
      </c>
      <c r="P1155" t="s">
        <v>2</v>
      </c>
      <c r="Q1155" t="s">
        <v>408</v>
      </c>
      <c r="R1155" t="s">
        <v>439</v>
      </c>
      <c r="S1155" t="s">
        <v>440</v>
      </c>
      <c r="T1155" t="s">
        <v>11</v>
      </c>
      <c r="U1155" t="s">
        <v>408</v>
      </c>
    </row>
    <row r="1156" spans="1:21" x14ac:dyDescent="0.25">
      <c r="A1156">
        <v>20910242</v>
      </c>
      <c r="B1156" t="s">
        <v>340</v>
      </c>
      <c r="C1156" t="s">
        <v>26</v>
      </c>
      <c r="D1156" t="s">
        <v>12</v>
      </c>
      <c r="E1156" t="s">
        <v>751</v>
      </c>
      <c r="F1156" t="s">
        <v>97</v>
      </c>
      <c r="G1156" t="s">
        <v>369</v>
      </c>
      <c r="H1156" t="s">
        <v>727</v>
      </c>
      <c r="I1156" t="s">
        <v>728</v>
      </c>
      <c r="J1156" t="s">
        <v>729</v>
      </c>
      <c r="K1156" t="s">
        <v>450</v>
      </c>
      <c r="L1156" t="s">
        <v>367</v>
      </c>
      <c r="M1156" t="s">
        <v>408</v>
      </c>
      <c r="N1156" t="s">
        <v>11</v>
      </c>
      <c r="O1156" t="s">
        <v>11</v>
      </c>
      <c r="P1156" t="s">
        <v>2</v>
      </c>
      <c r="Q1156" t="s">
        <v>408</v>
      </c>
      <c r="R1156" t="s">
        <v>439</v>
      </c>
      <c r="S1156" t="s">
        <v>451</v>
      </c>
      <c r="T1156" t="s">
        <v>11</v>
      </c>
      <c r="U1156" t="s">
        <v>408</v>
      </c>
    </row>
    <row r="1157" spans="1:21" x14ac:dyDescent="0.25">
      <c r="A1157">
        <v>20910254</v>
      </c>
      <c r="B1157" t="s">
        <v>340</v>
      </c>
      <c r="C1157" t="s">
        <v>26</v>
      </c>
      <c r="D1157" t="s">
        <v>12</v>
      </c>
      <c r="E1157" t="s">
        <v>751</v>
      </c>
      <c r="F1157" t="s">
        <v>97</v>
      </c>
      <c r="G1157" t="s">
        <v>369</v>
      </c>
      <c r="H1157" t="s">
        <v>0</v>
      </c>
      <c r="I1157" t="s">
        <v>436</v>
      </c>
      <c r="J1157" t="s">
        <v>437</v>
      </c>
      <c r="K1157" t="s">
        <v>438</v>
      </c>
      <c r="L1157" t="s">
        <v>4</v>
      </c>
      <c r="M1157" t="s">
        <v>408</v>
      </c>
      <c r="N1157" t="s">
        <v>11</v>
      </c>
      <c r="O1157" t="s">
        <v>11</v>
      </c>
      <c r="P1157" t="s">
        <v>2</v>
      </c>
      <c r="Q1157" t="s">
        <v>408</v>
      </c>
      <c r="R1157" t="s">
        <v>439</v>
      </c>
      <c r="S1157" t="s">
        <v>440</v>
      </c>
      <c r="T1157" t="s">
        <v>11</v>
      </c>
      <c r="U1157" t="s">
        <v>408</v>
      </c>
    </row>
    <row r="1158" spans="1:21" x14ac:dyDescent="0.25">
      <c r="A1158">
        <v>20910255</v>
      </c>
      <c r="B1158" t="s">
        <v>340</v>
      </c>
      <c r="C1158" t="s">
        <v>26</v>
      </c>
      <c r="D1158" t="s">
        <v>12</v>
      </c>
      <c r="E1158" t="s">
        <v>751</v>
      </c>
      <c r="F1158" t="s">
        <v>97</v>
      </c>
      <c r="G1158" t="s">
        <v>369</v>
      </c>
      <c r="H1158" t="s">
        <v>370</v>
      </c>
      <c r="I1158" t="s">
        <v>721</v>
      </c>
      <c r="J1158" t="s">
        <v>455</v>
      </c>
      <c r="K1158" t="s">
        <v>453</v>
      </c>
      <c r="L1158" t="s">
        <v>367</v>
      </c>
      <c r="M1158" t="s">
        <v>408</v>
      </c>
      <c r="N1158" t="s">
        <v>11</v>
      </c>
      <c r="O1158" t="s">
        <v>11</v>
      </c>
      <c r="P1158" t="s">
        <v>2</v>
      </c>
      <c r="Q1158" t="s">
        <v>408</v>
      </c>
      <c r="R1158" t="s">
        <v>439</v>
      </c>
      <c r="S1158" t="s">
        <v>451</v>
      </c>
      <c r="T1158" t="s">
        <v>11</v>
      </c>
      <c r="U1158" t="s">
        <v>408</v>
      </c>
    </row>
    <row r="1159" spans="1:21" x14ac:dyDescent="0.25">
      <c r="A1159">
        <v>20910257</v>
      </c>
      <c r="B1159" t="s">
        <v>340</v>
      </c>
      <c r="C1159" t="s">
        <v>26</v>
      </c>
      <c r="D1159" t="s">
        <v>12</v>
      </c>
      <c r="E1159" t="s">
        <v>750</v>
      </c>
      <c r="F1159" t="s">
        <v>188</v>
      </c>
      <c r="G1159" t="s">
        <v>369</v>
      </c>
      <c r="H1159" t="s">
        <v>1</v>
      </c>
      <c r="I1159" t="s">
        <v>469</v>
      </c>
      <c r="J1159" t="s">
        <v>445</v>
      </c>
      <c r="K1159" t="s">
        <v>438</v>
      </c>
      <c r="L1159" t="s">
        <v>2</v>
      </c>
      <c r="M1159" t="s">
        <v>408</v>
      </c>
      <c r="N1159" t="s">
        <v>11</v>
      </c>
      <c r="O1159" t="s">
        <v>11</v>
      </c>
      <c r="P1159" t="s">
        <v>2</v>
      </c>
      <c r="Q1159" t="s">
        <v>408</v>
      </c>
      <c r="R1159" t="s">
        <v>439</v>
      </c>
      <c r="S1159" t="s">
        <v>440</v>
      </c>
      <c r="T1159" t="s">
        <v>11</v>
      </c>
      <c r="U1159" t="s">
        <v>408</v>
      </c>
    </row>
    <row r="1160" spans="1:21" x14ac:dyDescent="0.25">
      <c r="A1160">
        <v>20910258</v>
      </c>
      <c r="B1160" t="s">
        <v>340</v>
      </c>
      <c r="C1160" t="s">
        <v>26</v>
      </c>
      <c r="D1160" t="s">
        <v>12</v>
      </c>
      <c r="E1160" t="s">
        <v>750</v>
      </c>
      <c r="F1160" t="s">
        <v>188</v>
      </c>
      <c r="G1160" t="s">
        <v>369</v>
      </c>
      <c r="H1160" t="s">
        <v>0</v>
      </c>
      <c r="I1160" t="s">
        <v>436</v>
      </c>
      <c r="J1160" t="s">
        <v>437</v>
      </c>
      <c r="K1160" t="s">
        <v>438</v>
      </c>
      <c r="L1160" t="s">
        <v>4</v>
      </c>
      <c r="M1160" t="s">
        <v>408</v>
      </c>
      <c r="N1160" t="s">
        <v>11</v>
      </c>
      <c r="O1160" t="s">
        <v>11</v>
      </c>
      <c r="P1160" t="s">
        <v>2</v>
      </c>
      <c r="Q1160" t="s">
        <v>408</v>
      </c>
      <c r="R1160" t="s">
        <v>439</v>
      </c>
      <c r="S1160" t="s">
        <v>440</v>
      </c>
      <c r="T1160" t="s">
        <v>11</v>
      </c>
      <c r="U1160" t="s">
        <v>408</v>
      </c>
    </row>
    <row r="1161" spans="1:21" x14ac:dyDescent="0.25">
      <c r="A1161">
        <v>20910259</v>
      </c>
      <c r="B1161" t="s">
        <v>340</v>
      </c>
      <c r="C1161" t="s">
        <v>26</v>
      </c>
      <c r="D1161" t="s">
        <v>12</v>
      </c>
      <c r="E1161" t="s">
        <v>751</v>
      </c>
      <c r="F1161" t="s">
        <v>97</v>
      </c>
      <c r="G1161" t="s">
        <v>369</v>
      </c>
      <c r="H1161" t="s">
        <v>370</v>
      </c>
      <c r="I1161" t="s">
        <v>721</v>
      </c>
      <c r="J1161" t="s">
        <v>455</v>
      </c>
      <c r="K1161" t="s">
        <v>453</v>
      </c>
      <c r="L1161" t="s">
        <v>367</v>
      </c>
      <c r="M1161" t="s">
        <v>408</v>
      </c>
      <c r="N1161" t="s">
        <v>11</v>
      </c>
      <c r="O1161" t="s">
        <v>11</v>
      </c>
      <c r="P1161" t="s">
        <v>2</v>
      </c>
      <c r="Q1161" t="s">
        <v>408</v>
      </c>
      <c r="R1161" t="s">
        <v>439</v>
      </c>
      <c r="S1161" t="s">
        <v>451</v>
      </c>
      <c r="T1161" t="s">
        <v>11</v>
      </c>
      <c r="U1161" t="s">
        <v>408</v>
      </c>
    </row>
    <row r="1162" spans="1:21" x14ac:dyDescent="0.25">
      <c r="A1162">
        <v>20910260</v>
      </c>
      <c r="B1162" t="s">
        <v>340</v>
      </c>
      <c r="C1162" t="s">
        <v>26</v>
      </c>
      <c r="D1162" t="s">
        <v>79</v>
      </c>
      <c r="E1162" t="s">
        <v>750</v>
      </c>
      <c r="F1162" t="s">
        <v>188</v>
      </c>
      <c r="G1162" t="s">
        <v>369</v>
      </c>
      <c r="H1162" t="s">
        <v>0</v>
      </c>
      <c r="I1162" t="s">
        <v>436</v>
      </c>
      <c r="J1162" t="s">
        <v>437</v>
      </c>
      <c r="K1162" t="s">
        <v>438</v>
      </c>
      <c r="L1162" t="s">
        <v>4</v>
      </c>
      <c r="M1162" t="s">
        <v>408</v>
      </c>
      <c r="N1162" t="s">
        <v>11</v>
      </c>
      <c r="O1162" t="s">
        <v>11</v>
      </c>
      <c r="P1162" t="s">
        <v>2</v>
      </c>
      <c r="Q1162" t="s">
        <v>408</v>
      </c>
      <c r="R1162" t="s">
        <v>439</v>
      </c>
      <c r="S1162" t="s">
        <v>440</v>
      </c>
      <c r="T1162" t="s">
        <v>11</v>
      </c>
      <c r="U1162" t="s">
        <v>408</v>
      </c>
    </row>
    <row r="1163" spans="1:21" x14ac:dyDescent="0.25">
      <c r="A1163">
        <v>20910267</v>
      </c>
      <c r="B1163" t="s">
        <v>340</v>
      </c>
      <c r="C1163" t="s">
        <v>26</v>
      </c>
      <c r="D1163" t="s">
        <v>12</v>
      </c>
      <c r="E1163" t="s">
        <v>751</v>
      </c>
      <c r="F1163" t="s">
        <v>97</v>
      </c>
      <c r="G1163" t="s">
        <v>369</v>
      </c>
      <c r="H1163" t="s">
        <v>370</v>
      </c>
      <c r="I1163" t="s">
        <v>721</v>
      </c>
      <c r="J1163" t="s">
        <v>455</v>
      </c>
      <c r="K1163" t="s">
        <v>453</v>
      </c>
      <c r="L1163" t="s">
        <v>2</v>
      </c>
      <c r="M1163" t="s">
        <v>408</v>
      </c>
      <c r="N1163" t="s">
        <v>11</v>
      </c>
      <c r="O1163" t="s">
        <v>408</v>
      </c>
      <c r="P1163" t="s">
        <v>2</v>
      </c>
      <c r="Q1163" t="s">
        <v>408</v>
      </c>
      <c r="R1163" t="s">
        <v>439</v>
      </c>
      <c r="S1163" t="s">
        <v>451</v>
      </c>
      <c r="T1163" t="s">
        <v>11</v>
      </c>
      <c r="U1163" t="s">
        <v>408</v>
      </c>
    </row>
    <row r="1164" spans="1:21" x14ac:dyDescent="0.25">
      <c r="A1164">
        <v>20910271</v>
      </c>
      <c r="B1164" t="s">
        <v>342</v>
      </c>
      <c r="C1164" t="s">
        <v>33</v>
      </c>
      <c r="D1164" t="s">
        <v>12</v>
      </c>
      <c r="E1164" t="s">
        <v>625</v>
      </c>
      <c r="F1164" t="s">
        <v>184</v>
      </c>
      <c r="G1164" t="s">
        <v>369</v>
      </c>
      <c r="H1164" t="s">
        <v>370</v>
      </c>
      <c r="I1164" t="s">
        <v>721</v>
      </c>
      <c r="J1164" t="s">
        <v>455</v>
      </c>
      <c r="K1164" t="s">
        <v>453</v>
      </c>
      <c r="L1164" t="s">
        <v>367</v>
      </c>
      <c r="M1164" t="s">
        <v>408</v>
      </c>
      <c r="N1164" t="s">
        <v>11</v>
      </c>
      <c r="O1164" t="s">
        <v>408</v>
      </c>
      <c r="P1164" t="s">
        <v>2</v>
      </c>
      <c r="Q1164" t="s">
        <v>408</v>
      </c>
      <c r="R1164" t="s">
        <v>439</v>
      </c>
      <c r="S1164" t="s">
        <v>451</v>
      </c>
      <c r="T1164" t="s">
        <v>11</v>
      </c>
      <c r="U1164" t="s">
        <v>408</v>
      </c>
    </row>
    <row r="1165" spans="1:21" x14ac:dyDescent="0.25">
      <c r="A1165">
        <v>20910272</v>
      </c>
      <c r="B1165" t="s">
        <v>340</v>
      </c>
      <c r="C1165" t="s">
        <v>26</v>
      </c>
      <c r="D1165" t="s">
        <v>18</v>
      </c>
      <c r="E1165" t="s">
        <v>750</v>
      </c>
      <c r="F1165" t="s">
        <v>98</v>
      </c>
      <c r="G1165" t="s">
        <v>369</v>
      </c>
      <c r="H1165" t="s">
        <v>370</v>
      </c>
      <c r="I1165" t="s">
        <v>721</v>
      </c>
      <c r="J1165" t="s">
        <v>455</v>
      </c>
      <c r="K1165" t="s">
        <v>453</v>
      </c>
      <c r="L1165" t="s">
        <v>367</v>
      </c>
      <c r="M1165" t="s">
        <v>408</v>
      </c>
      <c r="N1165" t="s">
        <v>11</v>
      </c>
      <c r="O1165" t="s">
        <v>11</v>
      </c>
      <c r="P1165" t="s">
        <v>2</v>
      </c>
      <c r="Q1165" t="s">
        <v>408</v>
      </c>
      <c r="R1165" t="s">
        <v>439</v>
      </c>
      <c r="S1165" t="s">
        <v>451</v>
      </c>
      <c r="T1165" t="s">
        <v>11</v>
      </c>
      <c r="U1165" t="s">
        <v>408</v>
      </c>
    </row>
    <row r="1166" spans="1:21" x14ac:dyDescent="0.25">
      <c r="A1166">
        <v>20910276</v>
      </c>
      <c r="B1166" t="s">
        <v>340</v>
      </c>
      <c r="C1166" t="s">
        <v>26</v>
      </c>
      <c r="D1166" t="s">
        <v>12</v>
      </c>
      <c r="E1166" t="s">
        <v>751</v>
      </c>
      <c r="F1166" t="s">
        <v>97</v>
      </c>
      <c r="G1166" t="s">
        <v>369</v>
      </c>
      <c r="H1166" t="s">
        <v>0</v>
      </c>
      <c r="I1166" t="s">
        <v>436</v>
      </c>
      <c r="J1166" t="s">
        <v>437</v>
      </c>
      <c r="K1166" t="s">
        <v>438</v>
      </c>
      <c r="L1166" t="s">
        <v>4</v>
      </c>
      <c r="M1166" t="s">
        <v>408</v>
      </c>
      <c r="N1166" t="s">
        <v>11</v>
      </c>
      <c r="O1166" t="s">
        <v>11</v>
      </c>
      <c r="P1166" t="s">
        <v>2</v>
      </c>
      <c r="Q1166" t="s">
        <v>408</v>
      </c>
      <c r="R1166" t="s">
        <v>439</v>
      </c>
      <c r="S1166" t="s">
        <v>440</v>
      </c>
      <c r="T1166" t="s">
        <v>11</v>
      </c>
      <c r="U1166" t="s">
        <v>408</v>
      </c>
    </row>
    <row r="1167" spans="1:21" x14ac:dyDescent="0.25">
      <c r="A1167">
        <v>20910281</v>
      </c>
      <c r="B1167" t="s">
        <v>340</v>
      </c>
      <c r="C1167" t="s">
        <v>26</v>
      </c>
      <c r="D1167" t="s">
        <v>18</v>
      </c>
      <c r="E1167" t="s">
        <v>751</v>
      </c>
      <c r="F1167" t="s">
        <v>97</v>
      </c>
      <c r="G1167" t="s">
        <v>369</v>
      </c>
      <c r="H1167" t="s">
        <v>715</v>
      </c>
      <c r="I1167" t="s">
        <v>716</v>
      </c>
      <c r="J1167" t="s">
        <v>717</v>
      </c>
      <c r="K1167" t="s">
        <v>438</v>
      </c>
      <c r="L1167" t="s">
        <v>0</v>
      </c>
      <c r="M1167" t="s">
        <v>408</v>
      </c>
      <c r="N1167" t="s">
        <v>11</v>
      </c>
      <c r="O1167" t="s">
        <v>11</v>
      </c>
      <c r="P1167" t="s">
        <v>2</v>
      </c>
      <c r="Q1167" t="s">
        <v>408</v>
      </c>
      <c r="R1167" t="s">
        <v>439</v>
      </c>
      <c r="S1167" t="s">
        <v>440</v>
      </c>
      <c r="T1167" t="s">
        <v>11</v>
      </c>
      <c r="U1167" t="s">
        <v>408</v>
      </c>
    </row>
    <row r="1168" spans="1:21" x14ac:dyDescent="0.25">
      <c r="A1168">
        <v>20910288</v>
      </c>
      <c r="B1168" t="s">
        <v>340</v>
      </c>
      <c r="C1168" t="s">
        <v>26</v>
      </c>
      <c r="D1168" t="s">
        <v>12</v>
      </c>
      <c r="E1168" t="s">
        <v>750</v>
      </c>
      <c r="F1168" t="s">
        <v>188</v>
      </c>
      <c r="G1168" t="s">
        <v>369</v>
      </c>
      <c r="H1168" t="s">
        <v>0</v>
      </c>
      <c r="I1168" t="s">
        <v>436</v>
      </c>
      <c r="J1168" t="s">
        <v>437</v>
      </c>
      <c r="K1168" t="s">
        <v>438</v>
      </c>
      <c r="L1168" t="s">
        <v>4</v>
      </c>
      <c r="M1168" t="s">
        <v>408</v>
      </c>
      <c r="N1168" t="s">
        <v>11</v>
      </c>
      <c r="O1168" t="s">
        <v>11</v>
      </c>
      <c r="P1168" t="s">
        <v>2</v>
      </c>
      <c r="Q1168" t="s">
        <v>408</v>
      </c>
      <c r="R1168" t="s">
        <v>439</v>
      </c>
      <c r="S1168" t="s">
        <v>440</v>
      </c>
      <c r="T1168" t="s">
        <v>11</v>
      </c>
      <c r="U1168" t="s">
        <v>408</v>
      </c>
    </row>
    <row r="1169" spans="1:21" x14ac:dyDescent="0.25">
      <c r="A1169">
        <v>20910291</v>
      </c>
      <c r="B1169" t="s">
        <v>340</v>
      </c>
      <c r="C1169" t="s">
        <v>26</v>
      </c>
      <c r="D1169" t="s">
        <v>12</v>
      </c>
      <c r="E1169" t="s">
        <v>751</v>
      </c>
      <c r="F1169" t="s">
        <v>95</v>
      </c>
      <c r="G1169" t="s">
        <v>369</v>
      </c>
      <c r="H1169" t="s">
        <v>727</v>
      </c>
      <c r="I1169" t="s">
        <v>728</v>
      </c>
      <c r="J1169" t="s">
        <v>729</v>
      </c>
      <c r="K1169" t="s">
        <v>450</v>
      </c>
      <c r="L1169" t="s">
        <v>367</v>
      </c>
      <c r="M1169" t="s">
        <v>408</v>
      </c>
      <c r="N1169" t="s">
        <v>11</v>
      </c>
      <c r="O1169" t="s">
        <v>11</v>
      </c>
      <c r="P1169" t="s">
        <v>2</v>
      </c>
      <c r="Q1169" t="s">
        <v>408</v>
      </c>
      <c r="R1169" t="s">
        <v>439</v>
      </c>
      <c r="S1169" t="s">
        <v>451</v>
      </c>
      <c r="T1169" t="s">
        <v>11</v>
      </c>
      <c r="U1169" t="s">
        <v>408</v>
      </c>
    </row>
    <row r="1170" spans="1:21" x14ac:dyDescent="0.25">
      <c r="A1170">
        <v>20910302</v>
      </c>
      <c r="B1170" t="s">
        <v>340</v>
      </c>
      <c r="C1170" t="s">
        <v>26</v>
      </c>
      <c r="D1170" t="s">
        <v>18</v>
      </c>
      <c r="E1170" t="s">
        <v>751</v>
      </c>
      <c r="F1170" t="s">
        <v>97</v>
      </c>
      <c r="G1170" t="s">
        <v>369</v>
      </c>
      <c r="H1170" t="s">
        <v>0</v>
      </c>
      <c r="I1170" t="s">
        <v>436</v>
      </c>
      <c r="J1170" t="s">
        <v>437</v>
      </c>
      <c r="K1170" t="s">
        <v>438</v>
      </c>
      <c r="L1170" t="s">
        <v>1</v>
      </c>
      <c r="M1170" t="s">
        <v>408</v>
      </c>
      <c r="N1170" t="s">
        <v>11</v>
      </c>
      <c r="O1170" t="s">
        <v>408</v>
      </c>
      <c r="P1170" t="s">
        <v>2</v>
      </c>
      <c r="Q1170" t="s">
        <v>408</v>
      </c>
      <c r="R1170" t="s">
        <v>439</v>
      </c>
      <c r="S1170" t="s">
        <v>440</v>
      </c>
      <c r="T1170" t="s">
        <v>11</v>
      </c>
      <c r="U1170" t="s">
        <v>408</v>
      </c>
    </row>
    <row r="1171" spans="1:21" x14ac:dyDescent="0.25">
      <c r="A1171">
        <v>20910304</v>
      </c>
      <c r="B1171" t="s">
        <v>340</v>
      </c>
      <c r="C1171" t="s">
        <v>26</v>
      </c>
      <c r="D1171" t="s">
        <v>12</v>
      </c>
      <c r="E1171" t="s">
        <v>750</v>
      </c>
      <c r="F1171" t="s">
        <v>188</v>
      </c>
      <c r="G1171" t="s">
        <v>369</v>
      </c>
      <c r="H1171" t="s">
        <v>0</v>
      </c>
      <c r="I1171" t="s">
        <v>436</v>
      </c>
      <c r="J1171" t="s">
        <v>437</v>
      </c>
      <c r="K1171" t="s">
        <v>438</v>
      </c>
      <c r="L1171" t="s">
        <v>4</v>
      </c>
      <c r="M1171" t="s">
        <v>408</v>
      </c>
      <c r="N1171" t="s">
        <v>11</v>
      </c>
      <c r="O1171" t="s">
        <v>11</v>
      </c>
      <c r="P1171" t="s">
        <v>2</v>
      </c>
      <c r="Q1171" t="s">
        <v>408</v>
      </c>
      <c r="R1171" t="s">
        <v>439</v>
      </c>
      <c r="S1171" t="s">
        <v>440</v>
      </c>
      <c r="T1171" t="s">
        <v>11</v>
      </c>
      <c r="U1171" t="s">
        <v>408</v>
      </c>
    </row>
    <row r="1172" spans="1:21" x14ac:dyDescent="0.25">
      <c r="A1172">
        <v>20910307</v>
      </c>
      <c r="B1172" t="s">
        <v>340</v>
      </c>
      <c r="C1172" t="s">
        <v>26</v>
      </c>
      <c r="D1172" t="s">
        <v>12</v>
      </c>
      <c r="E1172" t="s">
        <v>751</v>
      </c>
      <c r="F1172" t="s">
        <v>97</v>
      </c>
      <c r="G1172" t="s">
        <v>369</v>
      </c>
      <c r="H1172" t="s">
        <v>370</v>
      </c>
      <c r="I1172" t="s">
        <v>721</v>
      </c>
      <c r="J1172" t="s">
        <v>455</v>
      </c>
      <c r="K1172" t="s">
        <v>453</v>
      </c>
      <c r="L1172" t="s">
        <v>367</v>
      </c>
      <c r="M1172" t="s">
        <v>408</v>
      </c>
      <c r="N1172" t="s">
        <v>11</v>
      </c>
      <c r="O1172" t="s">
        <v>11</v>
      </c>
      <c r="P1172" t="s">
        <v>2</v>
      </c>
      <c r="Q1172" t="s">
        <v>408</v>
      </c>
      <c r="R1172" t="s">
        <v>439</v>
      </c>
      <c r="S1172" t="s">
        <v>451</v>
      </c>
      <c r="T1172" t="s">
        <v>11</v>
      </c>
      <c r="U1172" t="s">
        <v>408</v>
      </c>
    </row>
    <row r="1173" spans="1:21" x14ac:dyDescent="0.25">
      <c r="A1173">
        <v>20910308</v>
      </c>
      <c r="B1173" t="s">
        <v>340</v>
      </c>
      <c r="C1173" t="s">
        <v>26</v>
      </c>
      <c r="D1173" t="s">
        <v>18</v>
      </c>
      <c r="E1173" t="s">
        <v>751</v>
      </c>
      <c r="F1173" t="s">
        <v>95</v>
      </c>
      <c r="G1173" t="s">
        <v>369</v>
      </c>
      <c r="H1173" t="s">
        <v>370</v>
      </c>
      <c r="I1173" t="s">
        <v>721</v>
      </c>
      <c r="J1173" t="s">
        <v>455</v>
      </c>
      <c r="K1173" t="s">
        <v>453</v>
      </c>
      <c r="L1173" t="s">
        <v>367</v>
      </c>
      <c r="M1173" t="s">
        <v>408</v>
      </c>
      <c r="N1173" t="s">
        <v>11</v>
      </c>
      <c r="O1173" t="s">
        <v>11</v>
      </c>
      <c r="P1173" t="s">
        <v>2</v>
      </c>
      <c r="Q1173" t="s">
        <v>408</v>
      </c>
      <c r="R1173" t="s">
        <v>439</v>
      </c>
      <c r="S1173" t="s">
        <v>451</v>
      </c>
      <c r="T1173" t="s">
        <v>11</v>
      </c>
      <c r="U1173" t="s">
        <v>408</v>
      </c>
    </row>
    <row r="1174" spans="1:21" x14ac:dyDescent="0.25">
      <c r="A1174">
        <v>20910311</v>
      </c>
      <c r="B1174" t="s">
        <v>340</v>
      </c>
      <c r="C1174" t="s">
        <v>26</v>
      </c>
      <c r="D1174" t="s">
        <v>12</v>
      </c>
      <c r="E1174" t="s">
        <v>751</v>
      </c>
      <c r="F1174" t="s">
        <v>97</v>
      </c>
      <c r="G1174" t="s">
        <v>369</v>
      </c>
      <c r="H1174" t="s">
        <v>727</v>
      </c>
      <c r="I1174" t="s">
        <v>728</v>
      </c>
      <c r="J1174" t="s">
        <v>729</v>
      </c>
      <c r="K1174" t="s">
        <v>450</v>
      </c>
      <c r="L1174" t="s">
        <v>367</v>
      </c>
      <c r="M1174" t="s">
        <v>408</v>
      </c>
      <c r="N1174" t="s">
        <v>11</v>
      </c>
      <c r="O1174" t="s">
        <v>11</v>
      </c>
      <c r="P1174" t="s">
        <v>2</v>
      </c>
      <c r="Q1174" t="s">
        <v>408</v>
      </c>
      <c r="R1174" t="s">
        <v>439</v>
      </c>
      <c r="S1174" t="s">
        <v>451</v>
      </c>
      <c r="T1174" t="s">
        <v>11</v>
      </c>
      <c r="U1174" t="s">
        <v>408</v>
      </c>
    </row>
    <row r="1175" spans="1:21" x14ac:dyDescent="0.25">
      <c r="A1175">
        <v>20910312</v>
      </c>
      <c r="B1175" t="s">
        <v>340</v>
      </c>
      <c r="C1175" t="s">
        <v>26</v>
      </c>
      <c r="D1175" t="s">
        <v>12</v>
      </c>
      <c r="E1175" t="s">
        <v>751</v>
      </c>
      <c r="F1175" t="s">
        <v>97</v>
      </c>
      <c r="G1175" t="s">
        <v>369</v>
      </c>
      <c r="H1175" t="s">
        <v>370</v>
      </c>
      <c r="I1175" t="s">
        <v>721</v>
      </c>
      <c r="J1175" t="s">
        <v>455</v>
      </c>
      <c r="K1175" t="s">
        <v>453</v>
      </c>
      <c r="L1175" t="s">
        <v>367</v>
      </c>
      <c r="M1175" t="s">
        <v>408</v>
      </c>
      <c r="N1175" t="s">
        <v>11</v>
      </c>
      <c r="O1175" t="s">
        <v>11</v>
      </c>
      <c r="P1175" t="s">
        <v>2</v>
      </c>
      <c r="Q1175" t="s">
        <v>408</v>
      </c>
      <c r="R1175" t="s">
        <v>439</v>
      </c>
      <c r="S1175" t="s">
        <v>451</v>
      </c>
      <c r="T1175" t="s">
        <v>11</v>
      </c>
      <c r="U1175" t="s">
        <v>408</v>
      </c>
    </row>
    <row r="1176" spans="1:21" x14ac:dyDescent="0.25">
      <c r="A1176">
        <v>20910315</v>
      </c>
      <c r="B1176" t="s">
        <v>340</v>
      </c>
      <c r="C1176" t="s">
        <v>26</v>
      </c>
      <c r="D1176" t="s">
        <v>12</v>
      </c>
      <c r="E1176" t="s">
        <v>751</v>
      </c>
      <c r="F1176" t="s">
        <v>97</v>
      </c>
      <c r="G1176" t="s">
        <v>369</v>
      </c>
      <c r="H1176" t="s">
        <v>0</v>
      </c>
      <c r="I1176" t="s">
        <v>436</v>
      </c>
      <c r="J1176" t="s">
        <v>437</v>
      </c>
      <c r="K1176" t="s">
        <v>438</v>
      </c>
      <c r="L1176" t="s">
        <v>4</v>
      </c>
      <c r="M1176" t="s">
        <v>408</v>
      </c>
      <c r="N1176" t="s">
        <v>11</v>
      </c>
      <c r="O1176" t="s">
        <v>11</v>
      </c>
      <c r="P1176" t="s">
        <v>2</v>
      </c>
      <c r="Q1176" t="s">
        <v>408</v>
      </c>
      <c r="R1176" t="s">
        <v>439</v>
      </c>
      <c r="S1176" t="s">
        <v>440</v>
      </c>
      <c r="T1176" t="s">
        <v>11</v>
      </c>
      <c r="U1176" t="s">
        <v>408</v>
      </c>
    </row>
    <row r="1177" spans="1:21" x14ac:dyDescent="0.25">
      <c r="A1177">
        <v>20910316</v>
      </c>
      <c r="B1177" t="s">
        <v>340</v>
      </c>
      <c r="C1177" t="s">
        <v>26</v>
      </c>
      <c r="D1177" t="s">
        <v>12</v>
      </c>
      <c r="E1177" t="s">
        <v>751</v>
      </c>
      <c r="F1177" t="s">
        <v>97</v>
      </c>
      <c r="G1177" t="s">
        <v>369</v>
      </c>
      <c r="H1177" t="s">
        <v>727</v>
      </c>
      <c r="I1177" t="s">
        <v>728</v>
      </c>
      <c r="J1177" t="s">
        <v>729</v>
      </c>
      <c r="K1177" t="s">
        <v>450</v>
      </c>
      <c r="L1177" t="s">
        <v>367</v>
      </c>
      <c r="M1177" t="s">
        <v>408</v>
      </c>
      <c r="N1177" t="s">
        <v>11</v>
      </c>
      <c r="O1177" t="s">
        <v>11</v>
      </c>
      <c r="P1177" t="s">
        <v>2</v>
      </c>
      <c r="Q1177" t="s">
        <v>408</v>
      </c>
      <c r="R1177" t="s">
        <v>439</v>
      </c>
      <c r="S1177" t="s">
        <v>451</v>
      </c>
      <c r="T1177" t="s">
        <v>11</v>
      </c>
      <c r="U1177" t="s">
        <v>408</v>
      </c>
    </row>
    <row r="1178" spans="1:21" x14ac:dyDescent="0.25">
      <c r="A1178">
        <v>20910321</v>
      </c>
      <c r="B1178" t="s">
        <v>340</v>
      </c>
      <c r="C1178" t="s">
        <v>26</v>
      </c>
      <c r="D1178" t="s">
        <v>12</v>
      </c>
      <c r="E1178" t="s">
        <v>751</v>
      </c>
      <c r="F1178" t="s">
        <v>96</v>
      </c>
      <c r="G1178" t="s">
        <v>369</v>
      </c>
      <c r="H1178" t="s">
        <v>370</v>
      </c>
      <c r="I1178" t="s">
        <v>721</v>
      </c>
      <c r="J1178" t="s">
        <v>455</v>
      </c>
      <c r="K1178" t="s">
        <v>453</v>
      </c>
      <c r="L1178" t="s">
        <v>367</v>
      </c>
      <c r="M1178" t="s">
        <v>408</v>
      </c>
      <c r="N1178" t="s">
        <v>11</v>
      </c>
      <c r="O1178" t="s">
        <v>408</v>
      </c>
      <c r="P1178" t="s">
        <v>2</v>
      </c>
      <c r="Q1178" t="s">
        <v>408</v>
      </c>
      <c r="R1178" t="s">
        <v>439</v>
      </c>
      <c r="S1178" t="s">
        <v>451</v>
      </c>
      <c r="T1178" t="s">
        <v>11</v>
      </c>
      <c r="U1178" t="s">
        <v>408</v>
      </c>
    </row>
    <row r="1179" spans="1:21" x14ac:dyDescent="0.25">
      <c r="A1179">
        <v>20910326</v>
      </c>
      <c r="B1179" t="s">
        <v>340</v>
      </c>
      <c r="C1179" t="s">
        <v>26</v>
      </c>
      <c r="D1179" t="s">
        <v>12</v>
      </c>
      <c r="E1179" t="s">
        <v>751</v>
      </c>
      <c r="F1179" t="s">
        <v>97</v>
      </c>
      <c r="G1179" t="s">
        <v>369</v>
      </c>
      <c r="H1179" t="s">
        <v>370</v>
      </c>
      <c r="I1179" t="s">
        <v>721</v>
      </c>
      <c r="J1179" t="s">
        <v>455</v>
      </c>
      <c r="K1179" t="s">
        <v>453</v>
      </c>
      <c r="L1179" t="s">
        <v>367</v>
      </c>
      <c r="M1179" t="s">
        <v>408</v>
      </c>
      <c r="N1179" t="s">
        <v>11</v>
      </c>
      <c r="O1179" t="s">
        <v>11</v>
      </c>
      <c r="P1179" t="s">
        <v>2</v>
      </c>
      <c r="Q1179" t="s">
        <v>408</v>
      </c>
      <c r="R1179" t="s">
        <v>439</v>
      </c>
      <c r="S1179" t="s">
        <v>451</v>
      </c>
      <c r="T1179" t="s">
        <v>11</v>
      </c>
      <c r="U1179" t="s">
        <v>408</v>
      </c>
    </row>
    <row r="1180" spans="1:21" x14ac:dyDescent="0.25">
      <c r="A1180">
        <v>20910331</v>
      </c>
      <c r="B1180" t="s">
        <v>340</v>
      </c>
      <c r="C1180" t="s">
        <v>26</v>
      </c>
      <c r="D1180" t="s">
        <v>12</v>
      </c>
      <c r="E1180" t="s">
        <v>751</v>
      </c>
      <c r="F1180" t="s">
        <v>97</v>
      </c>
      <c r="G1180" t="s">
        <v>369</v>
      </c>
      <c r="H1180" t="s">
        <v>0</v>
      </c>
      <c r="I1180" t="s">
        <v>436</v>
      </c>
      <c r="J1180" t="s">
        <v>437</v>
      </c>
      <c r="K1180" t="s">
        <v>438</v>
      </c>
      <c r="L1180" t="s">
        <v>1</v>
      </c>
      <c r="M1180" t="s">
        <v>408</v>
      </c>
      <c r="N1180" t="s">
        <v>11</v>
      </c>
      <c r="O1180" t="s">
        <v>11</v>
      </c>
      <c r="P1180" t="s">
        <v>2</v>
      </c>
      <c r="Q1180" t="s">
        <v>408</v>
      </c>
      <c r="R1180" t="s">
        <v>439</v>
      </c>
      <c r="S1180" t="s">
        <v>440</v>
      </c>
      <c r="T1180" t="s">
        <v>11</v>
      </c>
      <c r="U1180" t="s">
        <v>408</v>
      </c>
    </row>
    <row r="1181" spans="1:21" x14ac:dyDescent="0.25">
      <c r="A1181">
        <v>20910333</v>
      </c>
      <c r="B1181" t="s">
        <v>340</v>
      </c>
      <c r="C1181" t="s">
        <v>26</v>
      </c>
      <c r="D1181" t="s">
        <v>12</v>
      </c>
      <c r="E1181" t="s">
        <v>751</v>
      </c>
      <c r="F1181" t="s">
        <v>317</v>
      </c>
      <c r="G1181" t="s">
        <v>369</v>
      </c>
      <c r="H1181" t="s">
        <v>727</v>
      </c>
      <c r="I1181" t="s">
        <v>728</v>
      </c>
      <c r="J1181" t="s">
        <v>729</v>
      </c>
      <c r="K1181" t="s">
        <v>450</v>
      </c>
      <c r="L1181" t="s">
        <v>367</v>
      </c>
      <c r="M1181" t="s">
        <v>408</v>
      </c>
      <c r="N1181" t="s">
        <v>11</v>
      </c>
      <c r="O1181" t="s">
        <v>11</v>
      </c>
      <c r="P1181" t="s">
        <v>0</v>
      </c>
      <c r="Q1181" t="s">
        <v>408</v>
      </c>
      <c r="R1181" t="s">
        <v>439</v>
      </c>
      <c r="S1181" t="s">
        <v>451</v>
      </c>
      <c r="T1181" t="s">
        <v>11</v>
      </c>
      <c r="U1181" t="s">
        <v>408</v>
      </c>
    </row>
    <row r="1182" spans="1:21" x14ac:dyDescent="0.25">
      <c r="A1182">
        <v>20910334</v>
      </c>
      <c r="B1182" t="s">
        <v>340</v>
      </c>
      <c r="C1182" t="s">
        <v>26</v>
      </c>
      <c r="D1182" t="s">
        <v>12</v>
      </c>
      <c r="E1182" t="s">
        <v>751</v>
      </c>
      <c r="F1182" t="s">
        <v>97</v>
      </c>
      <c r="G1182" t="s">
        <v>369</v>
      </c>
      <c r="H1182" t="s">
        <v>370</v>
      </c>
      <c r="I1182" t="s">
        <v>721</v>
      </c>
      <c r="J1182" t="s">
        <v>455</v>
      </c>
      <c r="K1182" t="s">
        <v>453</v>
      </c>
      <c r="L1182" t="s">
        <v>367</v>
      </c>
      <c r="M1182" t="s">
        <v>408</v>
      </c>
      <c r="N1182" t="s">
        <v>11</v>
      </c>
      <c r="O1182" t="s">
        <v>11</v>
      </c>
      <c r="P1182" t="s">
        <v>0</v>
      </c>
      <c r="Q1182" t="s">
        <v>408</v>
      </c>
      <c r="R1182" t="s">
        <v>439</v>
      </c>
      <c r="S1182" t="s">
        <v>451</v>
      </c>
      <c r="T1182" t="s">
        <v>11</v>
      </c>
      <c r="U1182" t="s">
        <v>408</v>
      </c>
    </row>
    <row r="1183" spans="1:21" x14ac:dyDescent="0.25">
      <c r="A1183">
        <v>20910335</v>
      </c>
      <c r="B1183" t="s">
        <v>342</v>
      </c>
      <c r="C1183" t="s">
        <v>33</v>
      </c>
      <c r="D1183" t="s">
        <v>12</v>
      </c>
      <c r="E1183" t="s">
        <v>625</v>
      </c>
      <c r="F1183" t="s">
        <v>187</v>
      </c>
      <c r="G1183" t="s">
        <v>369</v>
      </c>
      <c r="H1183" t="s">
        <v>0</v>
      </c>
      <c r="I1183" t="s">
        <v>436</v>
      </c>
      <c r="J1183" t="s">
        <v>437</v>
      </c>
      <c r="K1183" t="s">
        <v>438</v>
      </c>
      <c r="L1183" t="s">
        <v>345</v>
      </c>
      <c r="M1183" t="s">
        <v>408</v>
      </c>
      <c r="N1183" t="s">
        <v>11</v>
      </c>
      <c r="O1183" t="s">
        <v>11</v>
      </c>
      <c r="P1183" t="s">
        <v>0</v>
      </c>
      <c r="Q1183" t="s">
        <v>408</v>
      </c>
      <c r="R1183" t="s">
        <v>439</v>
      </c>
      <c r="S1183" t="s">
        <v>440</v>
      </c>
      <c r="T1183" t="s">
        <v>11</v>
      </c>
      <c r="U1183" t="s">
        <v>408</v>
      </c>
    </row>
    <row r="1184" spans="1:21" x14ac:dyDescent="0.25">
      <c r="A1184">
        <v>20910337</v>
      </c>
      <c r="B1184" t="s">
        <v>340</v>
      </c>
      <c r="C1184" t="s">
        <v>26</v>
      </c>
      <c r="D1184" t="s">
        <v>18</v>
      </c>
      <c r="E1184" t="s">
        <v>625</v>
      </c>
      <c r="F1184" t="s">
        <v>186</v>
      </c>
      <c r="G1184" t="s">
        <v>369</v>
      </c>
      <c r="H1184" t="s">
        <v>0</v>
      </c>
      <c r="I1184" t="s">
        <v>436</v>
      </c>
      <c r="J1184" t="s">
        <v>437</v>
      </c>
      <c r="K1184" t="s">
        <v>438</v>
      </c>
      <c r="L1184" t="s">
        <v>345</v>
      </c>
      <c r="M1184" t="s">
        <v>408</v>
      </c>
      <c r="N1184" t="s">
        <v>11</v>
      </c>
      <c r="O1184" t="s">
        <v>11</v>
      </c>
      <c r="P1184" t="s">
        <v>0</v>
      </c>
      <c r="Q1184" t="s">
        <v>408</v>
      </c>
      <c r="R1184" t="s">
        <v>439</v>
      </c>
      <c r="S1184" t="s">
        <v>440</v>
      </c>
      <c r="T1184" t="s">
        <v>11</v>
      </c>
      <c r="U1184" t="s">
        <v>408</v>
      </c>
    </row>
    <row r="1185" spans="1:21" x14ac:dyDescent="0.25">
      <c r="A1185">
        <v>20910339</v>
      </c>
      <c r="B1185" t="s">
        <v>340</v>
      </c>
      <c r="C1185" t="s">
        <v>26</v>
      </c>
      <c r="D1185" t="s">
        <v>12</v>
      </c>
      <c r="E1185" t="s">
        <v>751</v>
      </c>
      <c r="F1185" t="s">
        <v>97</v>
      </c>
      <c r="G1185" t="s">
        <v>369</v>
      </c>
      <c r="H1185" t="s">
        <v>0</v>
      </c>
      <c r="I1185" t="s">
        <v>436</v>
      </c>
      <c r="J1185" t="s">
        <v>437</v>
      </c>
      <c r="K1185" t="s">
        <v>438</v>
      </c>
      <c r="L1185" t="s">
        <v>1</v>
      </c>
      <c r="M1185" t="s">
        <v>408</v>
      </c>
      <c r="N1185" t="s">
        <v>11</v>
      </c>
      <c r="O1185" t="s">
        <v>11</v>
      </c>
      <c r="P1185" t="s">
        <v>0</v>
      </c>
      <c r="Q1185" t="s">
        <v>408</v>
      </c>
      <c r="R1185" t="s">
        <v>439</v>
      </c>
      <c r="S1185" t="s">
        <v>440</v>
      </c>
      <c r="T1185" t="s">
        <v>11</v>
      </c>
      <c r="U1185" t="s">
        <v>408</v>
      </c>
    </row>
    <row r="1186" spans="1:21" x14ac:dyDescent="0.25">
      <c r="A1186">
        <v>20910343</v>
      </c>
      <c r="B1186" t="s">
        <v>340</v>
      </c>
      <c r="C1186" t="s">
        <v>26</v>
      </c>
      <c r="D1186" t="s">
        <v>12</v>
      </c>
      <c r="E1186" t="s">
        <v>750</v>
      </c>
      <c r="F1186" t="s">
        <v>188</v>
      </c>
      <c r="G1186" t="s">
        <v>369</v>
      </c>
      <c r="H1186" t="s">
        <v>0</v>
      </c>
      <c r="I1186" t="s">
        <v>436</v>
      </c>
      <c r="J1186" t="s">
        <v>437</v>
      </c>
      <c r="K1186" t="s">
        <v>438</v>
      </c>
      <c r="L1186" t="s">
        <v>1</v>
      </c>
      <c r="M1186" t="s">
        <v>408</v>
      </c>
      <c r="N1186" t="s">
        <v>11</v>
      </c>
      <c r="O1186" t="s">
        <v>11</v>
      </c>
      <c r="P1186" t="s">
        <v>0</v>
      </c>
      <c r="Q1186" t="s">
        <v>408</v>
      </c>
      <c r="R1186" t="s">
        <v>439</v>
      </c>
      <c r="S1186" t="s">
        <v>440</v>
      </c>
      <c r="T1186" t="s">
        <v>11</v>
      </c>
      <c r="U1186" t="s">
        <v>408</v>
      </c>
    </row>
    <row r="1187" spans="1:21" x14ac:dyDescent="0.25">
      <c r="A1187">
        <v>20910348</v>
      </c>
      <c r="B1187" t="s">
        <v>340</v>
      </c>
      <c r="C1187" t="s">
        <v>26</v>
      </c>
      <c r="D1187" t="s">
        <v>12</v>
      </c>
      <c r="E1187" t="s">
        <v>751</v>
      </c>
      <c r="F1187" t="s">
        <v>97</v>
      </c>
      <c r="G1187" t="s">
        <v>369</v>
      </c>
      <c r="H1187" t="s">
        <v>5</v>
      </c>
      <c r="I1187" t="s">
        <v>436</v>
      </c>
      <c r="J1187" t="s">
        <v>446</v>
      </c>
      <c r="K1187" t="s">
        <v>438</v>
      </c>
      <c r="L1187" t="s">
        <v>2</v>
      </c>
      <c r="M1187" t="s">
        <v>408</v>
      </c>
      <c r="N1187" t="s">
        <v>11</v>
      </c>
      <c r="O1187" t="s">
        <v>11</v>
      </c>
      <c r="P1187" t="s">
        <v>0</v>
      </c>
      <c r="Q1187" t="s">
        <v>408</v>
      </c>
      <c r="R1187" t="s">
        <v>439</v>
      </c>
      <c r="S1187" t="s">
        <v>440</v>
      </c>
      <c r="T1187" t="s">
        <v>11</v>
      </c>
      <c r="U1187" t="s">
        <v>408</v>
      </c>
    </row>
    <row r="1188" spans="1:21" x14ac:dyDescent="0.25">
      <c r="A1188">
        <v>20910350</v>
      </c>
      <c r="B1188" t="s">
        <v>340</v>
      </c>
      <c r="C1188" t="s">
        <v>26</v>
      </c>
      <c r="D1188" t="s">
        <v>12</v>
      </c>
      <c r="E1188" t="s">
        <v>751</v>
      </c>
      <c r="F1188" t="s">
        <v>97</v>
      </c>
      <c r="G1188" t="s">
        <v>369</v>
      </c>
      <c r="H1188" t="s">
        <v>1</v>
      </c>
      <c r="I1188" t="s">
        <v>469</v>
      </c>
      <c r="J1188" t="s">
        <v>445</v>
      </c>
      <c r="K1188" t="s">
        <v>438</v>
      </c>
      <c r="L1188" t="s">
        <v>0</v>
      </c>
      <c r="M1188" t="s">
        <v>408</v>
      </c>
      <c r="N1188" t="s">
        <v>11</v>
      </c>
      <c r="O1188" t="s">
        <v>11</v>
      </c>
      <c r="P1188" t="s">
        <v>0</v>
      </c>
      <c r="Q1188" t="s">
        <v>408</v>
      </c>
      <c r="R1188" t="s">
        <v>439</v>
      </c>
      <c r="S1188" t="s">
        <v>440</v>
      </c>
      <c r="T1188" t="s">
        <v>11</v>
      </c>
      <c r="U1188" t="s">
        <v>408</v>
      </c>
    </row>
    <row r="1189" spans="1:21" x14ac:dyDescent="0.25">
      <c r="A1189">
        <v>20910354</v>
      </c>
      <c r="B1189" t="s">
        <v>340</v>
      </c>
      <c r="C1189" t="s">
        <v>26</v>
      </c>
      <c r="D1189" t="s">
        <v>12</v>
      </c>
      <c r="E1189" t="s">
        <v>751</v>
      </c>
      <c r="F1189" t="s">
        <v>95</v>
      </c>
      <c r="G1189" t="s">
        <v>369</v>
      </c>
      <c r="H1189" t="s">
        <v>0</v>
      </c>
      <c r="I1189" t="s">
        <v>436</v>
      </c>
      <c r="J1189" t="s">
        <v>437</v>
      </c>
      <c r="K1189" t="s">
        <v>438</v>
      </c>
      <c r="L1189" t="s">
        <v>1</v>
      </c>
      <c r="M1189" t="s">
        <v>408</v>
      </c>
      <c r="N1189" t="s">
        <v>11</v>
      </c>
      <c r="O1189" t="s">
        <v>11</v>
      </c>
      <c r="P1189" t="s">
        <v>0</v>
      </c>
      <c r="Q1189" t="s">
        <v>408</v>
      </c>
      <c r="R1189" t="s">
        <v>439</v>
      </c>
      <c r="S1189" t="s">
        <v>440</v>
      </c>
      <c r="T1189" t="s">
        <v>11</v>
      </c>
      <c r="U1189" t="s">
        <v>408</v>
      </c>
    </row>
    <row r="1190" spans="1:21" x14ac:dyDescent="0.25">
      <c r="A1190">
        <v>20910356</v>
      </c>
      <c r="B1190" t="s">
        <v>340</v>
      </c>
      <c r="C1190" t="s">
        <v>26</v>
      </c>
      <c r="D1190" t="s">
        <v>12</v>
      </c>
      <c r="E1190" t="s">
        <v>751</v>
      </c>
      <c r="F1190" t="s">
        <v>97</v>
      </c>
      <c r="G1190" t="s">
        <v>369</v>
      </c>
      <c r="H1190" t="s">
        <v>0</v>
      </c>
      <c r="I1190" t="s">
        <v>436</v>
      </c>
      <c r="J1190" t="s">
        <v>437</v>
      </c>
      <c r="K1190" t="s">
        <v>438</v>
      </c>
      <c r="L1190" t="s">
        <v>4</v>
      </c>
      <c r="M1190" t="s">
        <v>408</v>
      </c>
      <c r="N1190" t="s">
        <v>11</v>
      </c>
      <c r="O1190" t="s">
        <v>11</v>
      </c>
      <c r="P1190" t="s">
        <v>0</v>
      </c>
      <c r="Q1190" t="s">
        <v>408</v>
      </c>
      <c r="R1190" t="s">
        <v>439</v>
      </c>
      <c r="S1190" t="s">
        <v>440</v>
      </c>
      <c r="T1190" t="s">
        <v>11</v>
      </c>
      <c r="U1190" t="s">
        <v>408</v>
      </c>
    </row>
    <row r="1191" spans="1:21" x14ac:dyDescent="0.25">
      <c r="A1191">
        <v>20910364</v>
      </c>
      <c r="B1191" t="s">
        <v>340</v>
      </c>
      <c r="C1191" t="s">
        <v>26</v>
      </c>
      <c r="D1191" t="s">
        <v>12</v>
      </c>
      <c r="E1191" t="s">
        <v>751</v>
      </c>
      <c r="F1191" t="s">
        <v>101</v>
      </c>
      <c r="G1191" t="s">
        <v>369</v>
      </c>
      <c r="H1191" t="s">
        <v>727</v>
      </c>
      <c r="I1191" t="s">
        <v>728</v>
      </c>
      <c r="J1191" t="s">
        <v>729</v>
      </c>
      <c r="K1191" t="s">
        <v>450</v>
      </c>
      <c r="L1191" t="s">
        <v>367</v>
      </c>
      <c r="M1191" t="s">
        <v>408</v>
      </c>
      <c r="N1191" t="s">
        <v>11</v>
      </c>
      <c r="O1191" t="s">
        <v>11</v>
      </c>
      <c r="P1191" t="s">
        <v>0</v>
      </c>
      <c r="Q1191" t="s">
        <v>408</v>
      </c>
      <c r="R1191" t="s">
        <v>439</v>
      </c>
      <c r="S1191" t="s">
        <v>451</v>
      </c>
      <c r="T1191" t="s">
        <v>11</v>
      </c>
      <c r="U1191" t="s">
        <v>408</v>
      </c>
    </row>
    <row r="1192" spans="1:21" x14ac:dyDescent="0.25">
      <c r="A1192">
        <v>20910365</v>
      </c>
      <c r="B1192" t="s">
        <v>340</v>
      </c>
      <c r="C1192" t="s">
        <v>26</v>
      </c>
      <c r="D1192" t="s">
        <v>18</v>
      </c>
      <c r="E1192" t="s">
        <v>625</v>
      </c>
      <c r="F1192" t="s">
        <v>314</v>
      </c>
      <c r="G1192" t="s">
        <v>369</v>
      </c>
      <c r="H1192" t="s">
        <v>0</v>
      </c>
      <c r="I1192" t="s">
        <v>436</v>
      </c>
      <c r="J1192" t="s">
        <v>437</v>
      </c>
      <c r="K1192" t="s">
        <v>438</v>
      </c>
      <c r="L1192" t="s">
        <v>1</v>
      </c>
      <c r="M1192" t="s">
        <v>408</v>
      </c>
      <c r="N1192" t="s">
        <v>11</v>
      </c>
      <c r="O1192" t="s">
        <v>11</v>
      </c>
      <c r="P1192" t="s">
        <v>0</v>
      </c>
      <c r="Q1192" t="s">
        <v>408</v>
      </c>
      <c r="R1192" t="s">
        <v>439</v>
      </c>
      <c r="S1192" t="s">
        <v>440</v>
      </c>
      <c r="T1192" t="s">
        <v>11</v>
      </c>
      <c r="U1192" t="s">
        <v>408</v>
      </c>
    </row>
    <row r="1193" spans="1:21" x14ac:dyDescent="0.25">
      <c r="A1193">
        <v>20910366</v>
      </c>
      <c r="B1193" t="s">
        <v>340</v>
      </c>
      <c r="C1193" t="s">
        <v>26</v>
      </c>
      <c r="D1193" t="s">
        <v>12</v>
      </c>
      <c r="E1193" t="s">
        <v>751</v>
      </c>
      <c r="F1193" t="s">
        <v>96</v>
      </c>
      <c r="G1193" t="s">
        <v>369</v>
      </c>
      <c r="H1193" t="s">
        <v>727</v>
      </c>
      <c r="I1193" t="s">
        <v>728</v>
      </c>
      <c r="J1193" t="s">
        <v>729</v>
      </c>
      <c r="K1193" t="s">
        <v>450</v>
      </c>
      <c r="L1193" t="s">
        <v>367</v>
      </c>
      <c r="M1193" t="s">
        <v>408</v>
      </c>
      <c r="N1193" t="s">
        <v>11</v>
      </c>
      <c r="O1193" t="s">
        <v>11</v>
      </c>
      <c r="P1193" t="s">
        <v>0</v>
      </c>
      <c r="Q1193" t="s">
        <v>408</v>
      </c>
      <c r="R1193" t="s">
        <v>439</v>
      </c>
      <c r="S1193" t="s">
        <v>451</v>
      </c>
      <c r="T1193" t="s">
        <v>11</v>
      </c>
      <c r="U1193" t="s">
        <v>408</v>
      </c>
    </row>
    <row r="1194" spans="1:21" x14ac:dyDescent="0.25">
      <c r="A1194">
        <v>20910367</v>
      </c>
      <c r="B1194" t="s">
        <v>340</v>
      </c>
      <c r="C1194" t="s">
        <v>26</v>
      </c>
      <c r="D1194" t="s">
        <v>18</v>
      </c>
      <c r="E1194" t="s">
        <v>751</v>
      </c>
      <c r="F1194" t="s">
        <v>97</v>
      </c>
      <c r="G1194" t="s">
        <v>369</v>
      </c>
      <c r="H1194" t="s">
        <v>0</v>
      </c>
      <c r="I1194" t="s">
        <v>436</v>
      </c>
      <c r="J1194" t="s">
        <v>437</v>
      </c>
      <c r="K1194" t="s">
        <v>438</v>
      </c>
      <c r="L1194" t="s">
        <v>1</v>
      </c>
      <c r="M1194" t="s">
        <v>408</v>
      </c>
      <c r="N1194" t="s">
        <v>11</v>
      </c>
      <c r="O1194" t="s">
        <v>11</v>
      </c>
      <c r="P1194" t="s">
        <v>0</v>
      </c>
      <c r="Q1194" t="s">
        <v>408</v>
      </c>
      <c r="R1194" t="s">
        <v>439</v>
      </c>
      <c r="S1194" t="s">
        <v>440</v>
      </c>
      <c r="T1194" t="s">
        <v>11</v>
      </c>
      <c r="U1194" t="s">
        <v>408</v>
      </c>
    </row>
    <row r="1195" spans="1:21" x14ac:dyDescent="0.25">
      <c r="A1195">
        <v>20910372</v>
      </c>
      <c r="B1195" t="s">
        <v>340</v>
      </c>
      <c r="C1195" t="s">
        <v>26</v>
      </c>
      <c r="D1195" t="s">
        <v>12</v>
      </c>
      <c r="E1195" t="s">
        <v>751</v>
      </c>
      <c r="F1195" t="s">
        <v>97</v>
      </c>
      <c r="G1195" t="s">
        <v>369</v>
      </c>
      <c r="H1195" t="s">
        <v>370</v>
      </c>
      <c r="I1195" t="s">
        <v>721</v>
      </c>
      <c r="J1195" t="s">
        <v>455</v>
      </c>
      <c r="K1195" t="s">
        <v>453</v>
      </c>
      <c r="L1195" t="s">
        <v>367</v>
      </c>
      <c r="M1195" t="s">
        <v>408</v>
      </c>
      <c r="N1195" t="s">
        <v>11</v>
      </c>
      <c r="O1195" t="s">
        <v>11</v>
      </c>
      <c r="P1195" t="s">
        <v>0</v>
      </c>
      <c r="Q1195" t="s">
        <v>408</v>
      </c>
      <c r="R1195" t="s">
        <v>439</v>
      </c>
      <c r="S1195" t="s">
        <v>451</v>
      </c>
      <c r="T1195" t="s">
        <v>11</v>
      </c>
      <c r="U1195" t="s">
        <v>408</v>
      </c>
    </row>
    <row r="1196" spans="1:21" x14ac:dyDescent="0.25">
      <c r="A1196">
        <v>20910373</v>
      </c>
      <c r="B1196" t="s">
        <v>340</v>
      </c>
      <c r="C1196" t="s">
        <v>26</v>
      </c>
      <c r="D1196" t="s">
        <v>12</v>
      </c>
      <c r="E1196" t="s">
        <v>751</v>
      </c>
      <c r="F1196" t="s">
        <v>95</v>
      </c>
      <c r="G1196" t="s">
        <v>369</v>
      </c>
      <c r="H1196" t="s">
        <v>370</v>
      </c>
      <c r="I1196" t="s">
        <v>721</v>
      </c>
      <c r="J1196" t="s">
        <v>455</v>
      </c>
      <c r="K1196" t="s">
        <v>453</v>
      </c>
      <c r="L1196" t="s">
        <v>367</v>
      </c>
      <c r="M1196" t="s">
        <v>408</v>
      </c>
      <c r="N1196" t="s">
        <v>11</v>
      </c>
      <c r="O1196" t="s">
        <v>11</v>
      </c>
      <c r="P1196" t="s">
        <v>0</v>
      </c>
      <c r="Q1196" t="s">
        <v>408</v>
      </c>
      <c r="R1196" t="s">
        <v>439</v>
      </c>
      <c r="S1196" t="s">
        <v>451</v>
      </c>
      <c r="T1196" t="s">
        <v>11</v>
      </c>
      <c r="U1196" t="s">
        <v>408</v>
      </c>
    </row>
    <row r="1197" spans="1:21" x14ac:dyDescent="0.25">
      <c r="A1197">
        <v>20910375</v>
      </c>
      <c r="B1197" t="s">
        <v>340</v>
      </c>
      <c r="C1197" t="s">
        <v>26</v>
      </c>
      <c r="D1197" t="s">
        <v>12</v>
      </c>
      <c r="E1197" t="s">
        <v>751</v>
      </c>
      <c r="F1197" t="s">
        <v>95</v>
      </c>
      <c r="G1197" t="s">
        <v>369</v>
      </c>
      <c r="H1197" t="s">
        <v>0</v>
      </c>
      <c r="I1197" t="s">
        <v>436</v>
      </c>
      <c r="J1197" t="s">
        <v>437</v>
      </c>
      <c r="K1197" t="s">
        <v>438</v>
      </c>
      <c r="L1197" t="s">
        <v>4</v>
      </c>
      <c r="M1197" t="s">
        <v>408</v>
      </c>
      <c r="N1197" t="s">
        <v>11</v>
      </c>
      <c r="O1197" t="s">
        <v>11</v>
      </c>
      <c r="P1197" t="s">
        <v>0</v>
      </c>
      <c r="Q1197" t="s">
        <v>408</v>
      </c>
      <c r="R1197" t="s">
        <v>439</v>
      </c>
      <c r="S1197" t="s">
        <v>440</v>
      </c>
      <c r="T1197" t="s">
        <v>11</v>
      </c>
      <c r="U1197" t="s">
        <v>408</v>
      </c>
    </row>
    <row r="1198" spans="1:21" x14ac:dyDescent="0.25">
      <c r="A1198">
        <v>20910376</v>
      </c>
      <c r="B1198" t="s">
        <v>340</v>
      </c>
      <c r="C1198" t="s">
        <v>26</v>
      </c>
      <c r="D1198" t="s">
        <v>12</v>
      </c>
      <c r="E1198" t="s">
        <v>625</v>
      </c>
      <c r="F1198" t="s">
        <v>184</v>
      </c>
      <c r="G1198" t="s">
        <v>369</v>
      </c>
      <c r="H1198" t="s">
        <v>0</v>
      </c>
      <c r="I1198" t="s">
        <v>436</v>
      </c>
      <c r="J1198" t="s">
        <v>437</v>
      </c>
      <c r="K1198" t="s">
        <v>438</v>
      </c>
      <c r="L1198" t="s">
        <v>1</v>
      </c>
      <c r="M1198" t="s">
        <v>408</v>
      </c>
      <c r="N1198" t="s">
        <v>11</v>
      </c>
      <c r="O1198" t="s">
        <v>11</v>
      </c>
      <c r="P1198" t="s">
        <v>0</v>
      </c>
      <c r="Q1198" t="s">
        <v>408</v>
      </c>
      <c r="R1198" t="s">
        <v>439</v>
      </c>
      <c r="S1198" t="s">
        <v>440</v>
      </c>
      <c r="T1198" t="s">
        <v>11</v>
      </c>
      <c r="U1198" t="s">
        <v>408</v>
      </c>
    </row>
    <row r="1199" spans="1:21" x14ac:dyDescent="0.25">
      <c r="A1199">
        <v>20910379</v>
      </c>
      <c r="B1199" t="s">
        <v>342</v>
      </c>
      <c r="C1199" t="s">
        <v>33</v>
      </c>
      <c r="D1199" t="s">
        <v>12</v>
      </c>
      <c r="E1199" t="s">
        <v>751</v>
      </c>
      <c r="F1199" t="s">
        <v>97</v>
      </c>
      <c r="G1199" t="s">
        <v>369</v>
      </c>
      <c r="H1199" t="s">
        <v>370</v>
      </c>
      <c r="I1199" t="s">
        <v>721</v>
      </c>
      <c r="J1199" t="s">
        <v>455</v>
      </c>
      <c r="K1199" t="s">
        <v>453</v>
      </c>
      <c r="L1199" t="s">
        <v>367</v>
      </c>
      <c r="M1199" t="s">
        <v>408</v>
      </c>
      <c r="N1199" t="s">
        <v>11</v>
      </c>
      <c r="O1199" t="s">
        <v>11</v>
      </c>
      <c r="P1199" t="s">
        <v>0</v>
      </c>
      <c r="Q1199" t="s">
        <v>408</v>
      </c>
      <c r="R1199" t="s">
        <v>439</v>
      </c>
      <c r="S1199" t="s">
        <v>451</v>
      </c>
      <c r="T1199" t="s">
        <v>11</v>
      </c>
      <c r="U1199" t="s">
        <v>408</v>
      </c>
    </row>
    <row r="1200" spans="1:21" x14ac:dyDescent="0.25">
      <c r="A1200">
        <v>20910380</v>
      </c>
      <c r="B1200" t="s">
        <v>342</v>
      </c>
      <c r="C1200" t="s">
        <v>33</v>
      </c>
      <c r="D1200" t="s">
        <v>12</v>
      </c>
      <c r="E1200" t="s">
        <v>751</v>
      </c>
      <c r="F1200" t="s">
        <v>97</v>
      </c>
      <c r="G1200" t="s">
        <v>369</v>
      </c>
      <c r="H1200" t="s">
        <v>0</v>
      </c>
      <c r="I1200" t="s">
        <v>436</v>
      </c>
      <c r="J1200" t="s">
        <v>437</v>
      </c>
      <c r="K1200" t="s">
        <v>438</v>
      </c>
      <c r="L1200" t="s">
        <v>345</v>
      </c>
      <c r="M1200" t="s">
        <v>408</v>
      </c>
      <c r="N1200" t="s">
        <v>11</v>
      </c>
      <c r="O1200" t="s">
        <v>11</v>
      </c>
      <c r="P1200" t="s">
        <v>0</v>
      </c>
      <c r="Q1200" t="s">
        <v>408</v>
      </c>
      <c r="R1200" t="s">
        <v>439</v>
      </c>
      <c r="S1200" t="s">
        <v>440</v>
      </c>
      <c r="T1200" t="s">
        <v>11</v>
      </c>
      <c r="U1200" t="s">
        <v>408</v>
      </c>
    </row>
    <row r="1201" spans="1:21" x14ac:dyDescent="0.25">
      <c r="A1201">
        <v>20910381</v>
      </c>
      <c r="B1201" t="s">
        <v>340</v>
      </c>
      <c r="C1201" t="s">
        <v>26</v>
      </c>
      <c r="D1201" t="s">
        <v>12</v>
      </c>
      <c r="E1201" t="s">
        <v>751</v>
      </c>
      <c r="F1201" t="s">
        <v>97</v>
      </c>
      <c r="G1201" t="s">
        <v>369</v>
      </c>
      <c r="H1201" t="s">
        <v>0</v>
      </c>
      <c r="I1201" t="s">
        <v>436</v>
      </c>
      <c r="J1201" t="s">
        <v>437</v>
      </c>
      <c r="K1201" t="s">
        <v>438</v>
      </c>
      <c r="L1201" t="s">
        <v>1</v>
      </c>
      <c r="M1201" t="s">
        <v>408</v>
      </c>
      <c r="N1201" t="s">
        <v>11</v>
      </c>
      <c r="O1201" t="s">
        <v>11</v>
      </c>
      <c r="P1201" t="s">
        <v>0</v>
      </c>
      <c r="Q1201" t="s">
        <v>408</v>
      </c>
      <c r="R1201" t="s">
        <v>439</v>
      </c>
      <c r="S1201" t="s">
        <v>440</v>
      </c>
      <c r="T1201" t="s">
        <v>11</v>
      </c>
      <c r="U1201" t="s">
        <v>408</v>
      </c>
    </row>
    <row r="1202" spans="1:21" x14ac:dyDescent="0.25">
      <c r="A1202">
        <v>20910385</v>
      </c>
      <c r="B1202" t="s">
        <v>340</v>
      </c>
      <c r="C1202" t="s">
        <v>26</v>
      </c>
      <c r="D1202" t="s">
        <v>12</v>
      </c>
      <c r="E1202" t="s">
        <v>751</v>
      </c>
      <c r="F1202" t="s">
        <v>95</v>
      </c>
      <c r="G1202" t="s">
        <v>369</v>
      </c>
      <c r="H1202" t="s">
        <v>1</v>
      </c>
      <c r="I1202" t="s">
        <v>469</v>
      </c>
      <c r="J1202" t="s">
        <v>445</v>
      </c>
      <c r="K1202" t="s">
        <v>438</v>
      </c>
      <c r="L1202" t="s">
        <v>2</v>
      </c>
      <c r="M1202" t="s">
        <v>408</v>
      </c>
      <c r="N1202" t="s">
        <v>11</v>
      </c>
      <c r="O1202" t="s">
        <v>11</v>
      </c>
      <c r="P1202" t="s">
        <v>0</v>
      </c>
      <c r="Q1202" t="s">
        <v>408</v>
      </c>
      <c r="R1202" t="s">
        <v>439</v>
      </c>
      <c r="S1202" t="s">
        <v>440</v>
      </c>
      <c r="T1202" t="s">
        <v>11</v>
      </c>
      <c r="U1202" t="s">
        <v>408</v>
      </c>
    </row>
    <row r="1203" spans="1:21" x14ac:dyDescent="0.25">
      <c r="A1203">
        <v>20910386</v>
      </c>
      <c r="B1203" t="s">
        <v>340</v>
      </c>
      <c r="C1203" t="s">
        <v>26</v>
      </c>
      <c r="D1203" t="s">
        <v>12</v>
      </c>
      <c r="E1203" t="s">
        <v>751</v>
      </c>
      <c r="F1203" t="s">
        <v>97</v>
      </c>
      <c r="G1203" t="s">
        <v>369</v>
      </c>
      <c r="H1203" t="s">
        <v>0</v>
      </c>
      <c r="I1203" t="s">
        <v>436</v>
      </c>
      <c r="J1203" t="s">
        <v>437</v>
      </c>
      <c r="K1203" t="s">
        <v>438</v>
      </c>
      <c r="L1203" t="s">
        <v>4</v>
      </c>
      <c r="M1203" t="s">
        <v>408</v>
      </c>
      <c r="N1203" t="s">
        <v>11</v>
      </c>
      <c r="O1203" t="s">
        <v>11</v>
      </c>
      <c r="P1203" t="s">
        <v>0</v>
      </c>
      <c r="Q1203" t="s">
        <v>408</v>
      </c>
      <c r="R1203" t="s">
        <v>439</v>
      </c>
      <c r="S1203" t="s">
        <v>440</v>
      </c>
      <c r="T1203" t="s">
        <v>11</v>
      </c>
      <c r="U1203" t="s">
        <v>408</v>
      </c>
    </row>
    <row r="1204" spans="1:21" x14ac:dyDescent="0.25">
      <c r="A1204">
        <v>20910387</v>
      </c>
      <c r="B1204" t="s">
        <v>340</v>
      </c>
      <c r="C1204" t="s">
        <v>26</v>
      </c>
      <c r="D1204" t="s">
        <v>12</v>
      </c>
      <c r="E1204" t="s">
        <v>625</v>
      </c>
      <c r="F1204" t="s">
        <v>184</v>
      </c>
      <c r="G1204" t="s">
        <v>369</v>
      </c>
      <c r="H1204" t="s">
        <v>0</v>
      </c>
      <c r="I1204" t="s">
        <v>436</v>
      </c>
      <c r="J1204" t="s">
        <v>437</v>
      </c>
      <c r="K1204" t="s">
        <v>438</v>
      </c>
      <c r="L1204" t="s">
        <v>1</v>
      </c>
      <c r="M1204" t="s">
        <v>408</v>
      </c>
      <c r="N1204" t="s">
        <v>11</v>
      </c>
      <c r="O1204" t="s">
        <v>11</v>
      </c>
      <c r="P1204" t="s">
        <v>0</v>
      </c>
      <c r="Q1204" t="s">
        <v>408</v>
      </c>
      <c r="R1204" t="s">
        <v>439</v>
      </c>
      <c r="S1204" t="s">
        <v>440</v>
      </c>
      <c r="T1204" t="s">
        <v>11</v>
      </c>
      <c r="U1204" t="s">
        <v>408</v>
      </c>
    </row>
    <row r="1205" spans="1:21" x14ac:dyDescent="0.25">
      <c r="A1205">
        <v>20910389</v>
      </c>
      <c r="B1205" t="s">
        <v>340</v>
      </c>
      <c r="C1205" t="s">
        <v>26</v>
      </c>
      <c r="D1205" t="s">
        <v>12</v>
      </c>
      <c r="E1205" t="s">
        <v>625</v>
      </c>
      <c r="F1205" t="s">
        <v>184</v>
      </c>
      <c r="G1205" t="s">
        <v>369</v>
      </c>
      <c r="H1205" t="s">
        <v>0</v>
      </c>
      <c r="I1205" t="s">
        <v>436</v>
      </c>
      <c r="J1205" t="s">
        <v>437</v>
      </c>
      <c r="K1205" t="s">
        <v>438</v>
      </c>
      <c r="L1205" t="s">
        <v>1</v>
      </c>
      <c r="M1205" t="s">
        <v>408</v>
      </c>
      <c r="N1205" t="s">
        <v>11</v>
      </c>
      <c r="O1205" t="s">
        <v>11</v>
      </c>
      <c r="P1205" t="s">
        <v>0</v>
      </c>
      <c r="Q1205" t="s">
        <v>408</v>
      </c>
      <c r="R1205" t="s">
        <v>439</v>
      </c>
      <c r="S1205" t="s">
        <v>440</v>
      </c>
      <c r="T1205" t="s">
        <v>11</v>
      </c>
      <c r="U1205" t="s">
        <v>408</v>
      </c>
    </row>
    <row r="1206" spans="1:21" x14ac:dyDescent="0.25">
      <c r="A1206">
        <v>20910390</v>
      </c>
      <c r="B1206" t="s">
        <v>340</v>
      </c>
      <c r="C1206" t="s">
        <v>26</v>
      </c>
      <c r="D1206" t="s">
        <v>12</v>
      </c>
      <c r="E1206" t="s">
        <v>751</v>
      </c>
      <c r="F1206" t="s">
        <v>95</v>
      </c>
      <c r="G1206" t="s">
        <v>369</v>
      </c>
      <c r="H1206" t="s">
        <v>0</v>
      </c>
      <c r="I1206" t="s">
        <v>436</v>
      </c>
      <c r="J1206" t="s">
        <v>437</v>
      </c>
      <c r="K1206" t="s">
        <v>438</v>
      </c>
      <c r="L1206" t="s">
        <v>1</v>
      </c>
      <c r="M1206" t="s">
        <v>408</v>
      </c>
      <c r="N1206" t="s">
        <v>11</v>
      </c>
      <c r="O1206" t="s">
        <v>11</v>
      </c>
      <c r="P1206" t="s">
        <v>0</v>
      </c>
      <c r="Q1206" t="s">
        <v>408</v>
      </c>
      <c r="R1206" t="s">
        <v>439</v>
      </c>
      <c r="S1206" t="s">
        <v>440</v>
      </c>
      <c r="T1206" t="s">
        <v>11</v>
      </c>
      <c r="U1206" t="s">
        <v>408</v>
      </c>
    </row>
    <row r="1207" spans="1:21" x14ac:dyDescent="0.25">
      <c r="A1207">
        <v>20910392</v>
      </c>
      <c r="B1207" t="s">
        <v>340</v>
      </c>
      <c r="C1207" t="s">
        <v>26</v>
      </c>
      <c r="D1207" t="s">
        <v>12</v>
      </c>
      <c r="E1207" t="s">
        <v>751</v>
      </c>
      <c r="F1207" t="s">
        <v>95</v>
      </c>
      <c r="G1207" t="s">
        <v>369</v>
      </c>
      <c r="H1207" t="s">
        <v>0</v>
      </c>
      <c r="I1207" t="s">
        <v>436</v>
      </c>
      <c r="J1207" t="s">
        <v>437</v>
      </c>
      <c r="K1207" t="s">
        <v>438</v>
      </c>
      <c r="L1207" t="s">
        <v>1</v>
      </c>
      <c r="M1207" t="s">
        <v>408</v>
      </c>
      <c r="N1207" t="s">
        <v>11</v>
      </c>
      <c r="O1207" t="s">
        <v>11</v>
      </c>
      <c r="P1207" t="s">
        <v>0</v>
      </c>
      <c r="Q1207" t="s">
        <v>408</v>
      </c>
      <c r="R1207" t="s">
        <v>439</v>
      </c>
      <c r="S1207" t="s">
        <v>440</v>
      </c>
      <c r="T1207" t="s">
        <v>11</v>
      </c>
      <c r="U1207" t="s">
        <v>408</v>
      </c>
    </row>
    <row r="1208" spans="1:21" x14ac:dyDescent="0.25">
      <c r="A1208">
        <v>20910393</v>
      </c>
      <c r="B1208" t="s">
        <v>340</v>
      </c>
      <c r="C1208" t="s">
        <v>26</v>
      </c>
      <c r="D1208" t="s">
        <v>12</v>
      </c>
      <c r="E1208" t="s">
        <v>625</v>
      </c>
      <c r="F1208" t="s">
        <v>185</v>
      </c>
      <c r="G1208" t="s">
        <v>369</v>
      </c>
      <c r="H1208" t="s">
        <v>0</v>
      </c>
      <c r="I1208" t="s">
        <v>436</v>
      </c>
      <c r="J1208" t="s">
        <v>437</v>
      </c>
      <c r="K1208" t="s">
        <v>438</v>
      </c>
      <c r="L1208" t="s">
        <v>345</v>
      </c>
      <c r="M1208" t="s">
        <v>408</v>
      </c>
      <c r="N1208" t="s">
        <v>11</v>
      </c>
      <c r="O1208" t="s">
        <v>11</v>
      </c>
      <c r="P1208" t="s">
        <v>0</v>
      </c>
      <c r="Q1208" t="s">
        <v>408</v>
      </c>
      <c r="R1208" t="s">
        <v>439</v>
      </c>
      <c r="S1208" t="s">
        <v>440</v>
      </c>
      <c r="T1208" t="s">
        <v>11</v>
      </c>
      <c r="U1208" t="s">
        <v>408</v>
      </c>
    </row>
    <row r="1209" spans="1:21" x14ac:dyDescent="0.25">
      <c r="A1209">
        <v>20910398</v>
      </c>
      <c r="B1209" t="s">
        <v>342</v>
      </c>
      <c r="C1209" t="s">
        <v>33</v>
      </c>
      <c r="D1209" t="s">
        <v>12</v>
      </c>
      <c r="E1209" t="s">
        <v>751</v>
      </c>
      <c r="F1209" t="s">
        <v>96</v>
      </c>
      <c r="G1209" t="s">
        <v>369</v>
      </c>
      <c r="H1209" t="s">
        <v>0</v>
      </c>
      <c r="I1209" t="s">
        <v>436</v>
      </c>
      <c r="J1209" t="s">
        <v>437</v>
      </c>
      <c r="K1209" t="s">
        <v>438</v>
      </c>
      <c r="L1209" t="s">
        <v>345</v>
      </c>
      <c r="M1209" t="s">
        <v>408</v>
      </c>
      <c r="N1209" t="s">
        <v>11</v>
      </c>
      <c r="O1209" t="s">
        <v>11</v>
      </c>
      <c r="P1209" t="s">
        <v>0</v>
      </c>
      <c r="Q1209" t="s">
        <v>408</v>
      </c>
      <c r="R1209" t="s">
        <v>439</v>
      </c>
      <c r="S1209" t="s">
        <v>440</v>
      </c>
      <c r="T1209" t="s">
        <v>11</v>
      </c>
      <c r="U1209" t="s">
        <v>408</v>
      </c>
    </row>
    <row r="1210" spans="1:21" x14ac:dyDescent="0.25">
      <c r="A1210">
        <v>20910404</v>
      </c>
      <c r="B1210" t="s">
        <v>340</v>
      </c>
      <c r="C1210" t="s">
        <v>26</v>
      </c>
      <c r="D1210" t="s">
        <v>12</v>
      </c>
      <c r="E1210" t="s">
        <v>625</v>
      </c>
      <c r="F1210" t="s">
        <v>184</v>
      </c>
      <c r="G1210" t="s">
        <v>369</v>
      </c>
      <c r="H1210" t="s">
        <v>0</v>
      </c>
      <c r="I1210" t="s">
        <v>436</v>
      </c>
      <c r="J1210" t="s">
        <v>437</v>
      </c>
      <c r="K1210" t="s">
        <v>438</v>
      </c>
      <c r="L1210" t="s">
        <v>4</v>
      </c>
      <c r="M1210" t="s">
        <v>408</v>
      </c>
      <c r="N1210" t="s">
        <v>11</v>
      </c>
      <c r="O1210" t="s">
        <v>11</v>
      </c>
      <c r="P1210" t="s">
        <v>0</v>
      </c>
      <c r="Q1210" t="s">
        <v>408</v>
      </c>
      <c r="R1210" t="s">
        <v>439</v>
      </c>
      <c r="S1210" t="s">
        <v>440</v>
      </c>
      <c r="T1210" t="s">
        <v>11</v>
      </c>
      <c r="U1210" t="s">
        <v>408</v>
      </c>
    </row>
    <row r="1211" spans="1:21" x14ac:dyDescent="0.25">
      <c r="A1211">
        <v>20910405</v>
      </c>
      <c r="B1211" t="s">
        <v>342</v>
      </c>
      <c r="C1211" t="s">
        <v>33</v>
      </c>
      <c r="D1211" t="s">
        <v>12</v>
      </c>
      <c r="E1211" t="s">
        <v>751</v>
      </c>
      <c r="F1211" t="s">
        <v>95</v>
      </c>
      <c r="G1211" t="s">
        <v>369</v>
      </c>
      <c r="H1211" t="s">
        <v>0</v>
      </c>
      <c r="I1211" t="s">
        <v>436</v>
      </c>
      <c r="J1211" t="s">
        <v>437</v>
      </c>
      <c r="K1211" t="s">
        <v>438</v>
      </c>
      <c r="L1211" t="s">
        <v>345</v>
      </c>
      <c r="M1211" t="s">
        <v>408</v>
      </c>
      <c r="N1211" t="s">
        <v>11</v>
      </c>
      <c r="O1211" t="s">
        <v>11</v>
      </c>
      <c r="P1211" t="s">
        <v>0</v>
      </c>
      <c r="Q1211" t="s">
        <v>408</v>
      </c>
      <c r="R1211" t="s">
        <v>439</v>
      </c>
      <c r="S1211" t="s">
        <v>440</v>
      </c>
      <c r="T1211" t="s">
        <v>11</v>
      </c>
      <c r="U1211" t="s">
        <v>408</v>
      </c>
    </row>
    <row r="1212" spans="1:21" x14ac:dyDescent="0.25">
      <c r="A1212">
        <v>20910410</v>
      </c>
      <c r="B1212" t="s">
        <v>340</v>
      </c>
      <c r="C1212" t="s">
        <v>26</v>
      </c>
      <c r="D1212" t="s">
        <v>18</v>
      </c>
      <c r="E1212" t="s">
        <v>625</v>
      </c>
      <c r="F1212" t="s">
        <v>185</v>
      </c>
      <c r="G1212" t="s">
        <v>369</v>
      </c>
      <c r="H1212" t="s">
        <v>0</v>
      </c>
      <c r="I1212" t="s">
        <v>436</v>
      </c>
      <c r="J1212" t="s">
        <v>437</v>
      </c>
      <c r="K1212" t="s">
        <v>438</v>
      </c>
      <c r="L1212" t="s">
        <v>345</v>
      </c>
      <c r="M1212" t="s">
        <v>408</v>
      </c>
      <c r="N1212" t="s">
        <v>11</v>
      </c>
      <c r="O1212" t="s">
        <v>11</v>
      </c>
      <c r="P1212" t="s">
        <v>0</v>
      </c>
      <c r="Q1212" t="s">
        <v>408</v>
      </c>
      <c r="R1212" t="s">
        <v>439</v>
      </c>
      <c r="S1212" t="s">
        <v>440</v>
      </c>
      <c r="T1212" t="s">
        <v>11</v>
      </c>
      <c r="U1212" t="s">
        <v>408</v>
      </c>
    </row>
    <row r="1213" spans="1:21" x14ac:dyDescent="0.25">
      <c r="A1213">
        <v>20910412</v>
      </c>
      <c r="B1213" t="s">
        <v>340</v>
      </c>
      <c r="C1213" t="s">
        <v>26</v>
      </c>
      <c r="D1213" t="s">
        <v>18</v>
      </c>
      <c r="E1213" t="s">
        <v>625</v>
      </c>
      <c r="F1213" t="s">
        <v>185</v>
      </c>
      <c r="G1213" t="s">
        <v>369</v>
      </c>
      <c r="H1213" t="s">
        <v>0</v>
      </c>
      <c r="I1213" t="s">
        <v>436</v>
      </c>
      <c r="J1213" t="s">
        <v>437</v>
      </c>
      <c r="K1213" t="s">
        <v>438</v>
      </c>
      <c r="L1213" t="s">
        <v>1</v>
      </c>
      <c r="M1213" t="s">
        <v>408</v>
      </c>
      <c r="N1213" t="s">
        <v>11</v>
      </c>
      <c r="O1213" t="s">
        <v>11</v>
      </c>
      <c r="P1213" t="s">
        <v>0</v>
      </c>
      <c r="Q1213" t="s">
        <v>408</v>
      </c>
      <c r="R1213" t="s">
        <v>439</v>
      </c>
      <c r="S1213" t="s">
        <v>440</v>
      </c>
      <c r="T1213" t="s">
        <v>11</v>
      </c>
      <c r="U1213" t="s">
        <v>408</v>
      </c>
    </row>
    <row r="1214" spans="1:21" x14ac:dyDescent="0.25">
      <c r="A1214">
        <v>20910420</v>
      </c>
      <c r="B1214" t="s">
        <v>340</v>
      </c>
      <c r="C1214" t="s">
        <v>26</v>
      </c>
      <c r="D1214" t="s">
        <v>12</v>
      </c>
      <c r="E1214" t="s">
        <v>625</v>
      </c>
      <c r="F1214" t="s">
        <v>184</v>
      </c>
      <c r="G1214" t="s">
        <v>369</v>
      </c>
      <c r="H1214" t="s">
        <v>370</v>
      </c>
      <c r="I1214" t="s">
        <v>721</v>
      </c>
      <c r="J1214" t="s">
        <v>455</v>
      </c>
      <c r="K1214" t="s">
        <v>453</v>
      </c>
      <c r="L1214" t="s">
        <v>367</v>
      </c>
      <c r="M1214" t="s">
        <v>408</v>
      </c>
      <c r="N1214" t="s">
        <v>11</v>
      </c>
      <c r="O1214" t="s">
        <v>11</v>
      </c>
      <c r="P1214" t="s">
        <v>0</v>
      </c>
      <c r="Q1214" t="s">
        <v>408</v>
      </c>
      <c r="R1214" t="s">
        <v>439</v>
      </c>
      <c r="S1214" t="s">
        <v>451</v>
      </c>
      <c r="T1214" t="s">
        <v>11</v>
      </c>
      <c r="U1214" t="s">
        <v>408</v>
      </c>
    </row>
    <row r="1215" spans="1:21" x14ac:dyDescent="0.25">
      <c r="A1215">
        <v>20910428</v>
      </c>
      <c r="B1215" t="s">
        <v>340</v>
      </c>
      <c r="C1215" t="s">
        <v>26</v>
      </c>
      <c r="D1215" t="s">
        <v>12</v>
      </c>
      <c r="E1215" t="s">
        <v>751</v>
      </c>
      <c r="F1215" t="s">
        <v>97</v>
      </c>
      <c r="G1215" t="s">
        <v>369</v>
      </c>
      <c r="H1215" t="s">
        <v>0</v>
      </c>
      <c r="I1215" t="s">
        <v>436</v>
      </c>
      <c r="J1215" t="s">
        <v>437</v>
      </c>
      <c r="K1215" t="s">
        <v>438</v>
      </c>
      <c r="L1215" t="s">
        <v>4</v>
      </c>
      <c r="M1215" t="s">
        <v>408</v>
      </c>
      <c r="N1215" t="s">
        <v>11</v>
      </c>
      <c r="O1215" t="s">
        <v>11</v>
      </c>
      <c r="P1215" t="s">
        <v>0</v>
      </c>
      <c r="Q1215" t="s">
        <v>408</v>
      </c>
      <c r="R1215" t="s">
        <v>439</v>
      </c>
      <c r="S1215" t="s">
        <v>440</v>
      </c>
      <c r="T1215" t="s">
        <v>11</v>
      </c>
      <c r="U1215" t="s">
        <v>408</v>
      </c>
    </row>
    <row r="1216" spans="1:21" x14ac:dyDescent="0.25">
      <c r="A1216">
        <v>20910429</v>
      </c>
      <c r="B1216" t="s">
        <v>340</v>
      </c>
      <c r="C1216" t="s">
        <v>26</v>
      </c>
      <c r="D1216" t="s">
        <v>12</v>
      </c>
      <c r="E1216" t="s">
        <v>751</v>
      </c>
      <c r="F1216" t="s">
        <v>95</v>
      </c>
      <c r="G1216" t="s">
        <v>369</v>
      </c>
      <c r="H1216" t="s">
        <v>370</v>
      </c>
      <c r="I1216" t="s">
        <v>721</v>
      </c>
      <c r="J1216" t="s">
        <v>455</v>
      </c>
      <c r="K1216" t="s">
        <v>453</v>
      </c>
      <c r="L1216" t="s">
        <v>367</v>
      </c>
      <c r="M1216" t="s">
        <v>408</v>
      </c>
      <c r="N1216" t="s">
        <v>11</v>
      </c>
      <c r="O1216" t="s">
        <v>11</v>
      </c>
      <c r="P1216" t="s">
        <v>0</v>
      </c>
      <c r="Q1216" t="s">
        <v>408</v>
      </c>
      <c r="R1216" t="s">
        <v>439</v>
      </c>
      <c r="S1216" t="s">
        <v>451</v>
      </c>
      <c r="T1216" t="s">
        <v>11</v>
      </c>
      <c r="U1216" t="s">
        <v>408</v>
      </c>
    </row>
    <row r="1217" spans="1:21" x14ac:dyDescent="0.25">
      <c r="A1217">
        <v>20910436</v>
      </c>
      <c r="B1217" t="s">
        <v>340</v>
      </c>
      <c r="C1217" t="s">
        <v>26</v>
      </c>
      <c r="D1217" t="s">
        <v>12</v>
      </c>
      <c r="E1217" t="s">
        <v>625</v>
      </c>
      <c r="F1217" t="s">
        <v>184</v>
      </c>
      <c r="G1217" t="s">
        <v>369</v>
      </c>
      <c r="H1217" t="s">
        <v>0</v>
      </c>
      <c r="I1217" t="s">
        <v>436</v>
      </c>
      <c r="J1217" t="s">
        <v>437</v>
      </c>
      <c r="K1217" t="s">
        <v>438</v>
      </c>
      <c r="L1217" t="s">
        <v>4</v>
      </c>
      <c r="M1217" t="s">
        <v>408</v>
      </c>
      <c r="N1217" t="s">
        <v>11</v>
      </c>
      <c r="O1217" t="s">
        <v>11</v>
      </c>
      <c r="P1217" t="s">
        <v>0</v>
      </c>
      <c r="Q1217" t="s">
        <v>408</v>
      </c>
      <c r="R1217" t="s">
        <v>439</v>
      </c>
      <c r="S1217" t="s">
        <v>440</v>
      </c>
      <c r="T1217" t="s">
        <v>11</v>
      </c>
      <c r="U1217" t="s">
        <v>408</v>
      </c>
    </row>
    <row r="1218" spans="1:21" x14ac:dyDescent="0.25">
      <c r="A1218">
        <v>20910439</v>
      </c>
      <c r="B1218" t="s">
        <v>340</v>
      </c>
      <c r="C1218" t="s">
        <v>26</v>
      </c>
      <c r="D1218" t="s">
        <v>79</v>
      </c>
      <c r="E1218" t="s">
        <v>625</v>
      </c>
      <c r="F1218" t="s">
        <v>184</v>
      </c>
      <c r="G1218" t="s">
        <v>369</v>
      </c>
      <c r="H1218" t="s">
        <v>0</v>
      </c>
      <c r="I1218" t="s">
        <v>436</v>
      </c>
      <c r="J1218" t="s">
        <v>437</v>
      </c>
      <c r="K1218" t="s">
        <v>438</v>
      </c>
      <c r="L1218" t="s">
        <v>345</v>
      </c>
      <c r="M1218" t="s">
        <v>408</v>
      </c>
      <c r="N1218" t="s">
        <v>11</v>
      </c>
      <c r="O1218" t="s">
        <v>11</v>
      </c>
      <c r="P1218" t="s">
        <v>0</v>
      </c>
      <c r="Q1218" t="s">
        <v>408</v>
      </c>
      <c r="R1218" t="s">
        <v>439</v>
      </c>
      <c r="S1218" t="s">
        <v>440</v>
      </c>
      <c r="T1218" t="s">
        <v>11</v>
      </c>
      <c r="U1218" t="s">
        <v>408</v>
      </c>
    </row>
    <row r="1219" spans="1:21" x14ac:dyDescent="0.25">
      <c r="A1219">
        <v>20910442</v>
      </c>
      <c r="B1219" t="s">
        <v>340</v>
      </c>
      <c r="C1219" t="s">
        <v>26</v>
      </c>
      <c r="D1219" t="s">
        <v>12</v>
      </c>
      <c r="E1219" t="s">
        <v>625</v>
      </c>
      <c r="F1219" t="s">
        <v>184</v>
      </c>
      <c r="G1219" t="s">
        <v>369</v>
      </c>
      <c r="H1219" t="s">
        <v>1</v>
      </c>
      <c r="I1219" t="s">
        <v>469</v>
      </c>
      <c r="J1219" t="s">
        <v>445</v>
      </c>
      <c r="K1219" t="s">
        <v>438</v>
      </c>
      <c r="L1219" t="s">
        <v>0</v>
      </c>
      <c r="M1219" t="s">
        <v>408</v>
      </c>
      <c r="N1219" t="s">
        <v>11</v>
      </c>
      <c r="O1219" t="s">
        <v>11</v>
      </c>
      <c r="P1219" t="s">
        <v>0</v>
      </c>
      <c r="Q1219" t="s">
        <v>408</v>
      </c>
      <c r="R1219" t="s">
        <v>439</v>
      </c>
      <c r="S1219" t="s">
        <v>440</v>
      </c>
      <c r="T1219" t="s">
        <v>11</v>
      </c>
      <c r="U1219" t="s">
        <v>408</v>
      </c>
    </row>
    <row r="1220" spans="1:21" x14ac:dyDescent="0.25">
      <c r="A1220">
        <v>20910443</v>
      </c>
      <c r="B1220" t="s">
        <v>340</v>
      </c>
      <c r="C1220" t="s">
        <v>26</v>
      </c>
      <c r="D1220" t="s">
        <v>12</v>
      </c>
      <c r="E1220" t="s">
        <v>751</v>
      </c>
      <c r="F1220" t="s">
        <v>96</v>
      </c>
      <c r="G1220" t="s">
        <v>369</v>
      </c>
      <c r="H1220" t="s">
        <v>1</v>
      </c>
      <c r="I1220" t="s">
        <v>469</v>
      </c>
      <c r="J1220" t="s">
        <v>445</v>
      </c>
      <c r="K1220" t="s">
        <v>438</v>
      </c>
      <c r="L1220" t="s">
        <v>2</v>
      </c>
      <c r="M1220" t="s">
        <v>408</v>
      </c>
      <c r="N1220" t="s">
        <v>11</v>
      </c>
      <c r="O1220" t="s">
        <v>11</v>
      </c>
      <c r="P1220" t="s">
        <v>0</v>
      </c>
      <c r="Q1220" t="s">
        <v>408</v>
      </c>
      <c r="R1220" t="s">
        <v>439</v>
      </c>
      <c r="S1220" t="s">
        <v>440</v>
      </c>
      <c r="T1220" t="s">
        <v>11</v>
      </c>
      <c r="U1220" t="s">
        <v>408</v>
      </c>
    </row>
    <row r="1221" spans="1:21" x14ac:dyDescent="0.25">
      <c r="A1221">
        <v>20910444</v>
      </c>
      <c r="B1221" t="s">
        <v>340</v>
      </c>
      <c r="C1221" t="s">
        <v>26</v>
      </c>
      <c r="D1221" t="s">
        <v>12</v>
      </c>
      <c r="E1221" t="s">
        <v>625</v>
      </c>
      <c r="F1221" t="s">
        <v>185</v>
      </c>
      <c r="G1221" t="s">
        <v>369</v>
      </c>
      <c r="H1221" t="s">
        <v>370</v>
      </c>
      <c r="I1221" t="s">
        <v>721</v>
      </c>
      <c r="J1221" t="s">
        <v>455</v>
      </c>
      <c r="K1221" t="s">
        <v>453</v>
      </c>
      <c r="L1221" t="s">
        <v>367</v>
      </c>
      <c r="M1221" t="s">
        <v>408</v>
      </c>
      <c r="N1221" t="s">
        <v>11</v>
      </c>
      <c r="O1221" t="s">
        <v>11</v>
      </c>
      <c r="P1221" t="s">
        <v>0</v>
      </c>
      <c r="Q1221" t="s">
        <v>408</v>
      </c>
      <c r="R1221" t="s">
        <v>439</v>
      </c>
      <c r="S1221" t="s">
        <v>451</v>
      </c>
      <c r="T1221" t="s">
        <v>11</v>
      </c>
      <c r="U1221" t="s">
        <v>408</v>
      </c>
    </row>
    <row r="1222" spans="1:21" x14ac:dyDescent="0.25">
      <c r="A1222">
        <v>20910446</v>
      </c>
      <c r="B1222" t="s">
        <v>340</v>
      </c>
      <c r="C1222" t="s">
        <v>26</v>
      </c>
      <c r="D1222" t="s">
        <v>12</v>
      </c>
      <c r="E1222" t="s">
        <v>751</v>
      </c>
      <c r="F1222" t="s">
        <v>97</v>
      </c>
      <c r="G1222" t="s">
        <v>369</v>
      </c>
      <c r="H1222" t="s">
        <v>0</v>
      </c>
      <c r="I1222" t="s">
        <v>436</v>
      </c>
      <c r="J1222" t="s">
        <v>437</v>
      </c>
      <c r="K1222" t="s">
        <v>438</v>
      </c>
      <c r="L1222" t="s">
        <v>1</v>
      </c>
      <c r="M1222" t="s">
        <v>408</v>
      </c>
      <c r="N1222" t="s">
        <v>11</v>
      </c>
      <c r="O1222" t="s">
        <v>11</v>
      </c>
      <c r="P1222" t="s">
        <v>0</v>
      </c>
      <c r="Q1222" t="s">
        <v>408</v>
      </c>
      <c r="R1222" t="s">
        <v>439</v>
      </c>
      <c r="S1222" t="s">
        <v>440</v>
      </c>
      <c r="T1222" t="s">
        <v>11</v>
      </c>
      <c r="U1222" t="s">
        <v>408</v>
      </c>
    </row>
    <row r="1223" spans="1:21" x14ac:dyDescent="0.25">
      <c r="A1223">
        <v>20910449</v>
      </c>
      <c r="B1223" t="s">
        <v>340</v>
      </c>
      <c r="C1223" t="s">
        <v>26</v>
      </c>
      <c r="D1223" t="s">
        <v>12</v>
      </c>
      <c r="E1223" t="s">
        <v>751</v>
      </c>
      <c r="F1223" t="s">
        <v>95</v>
      </c>
      <c r="G1223" t="s">
        <v>369</v>
      </c>
      <c r="H1223" t="s">
        <v>727</v>
      </c>
      <c r="I1223" t="s">
        <v>728</v>
      </c>
      <c r="J1223" t="s">
        <v>729</v>
      </c>
      <c r="K1223" t="s">
        <v>450</v>
      </c>
      <c r="L1223" t="s">
        <v>367</v>
      </c>
      <c r="M1223" t="s">
        <v>408</v>
      </c>
      <c r="N1223" t="s">
        <v>11</v>
      </c>
      <c r="O1223" t="s">
        <v>11</v>
      </c>
      <c r="P1223" t="s">
        <v>0</v>
      </c>
      <c r="Q1223" t="s">
        <v>408</v>
      </c>
      <c r="R1223" t="s">
        <v>439</v>
      </c>
      <c r="S1223" t="s">
        <v>451</v>
      </c>
      <c r="T1223" t="s">
        <v>11</v>
      </c>
      <c r="U1223" t="s">
        <v>408</v>
      </c>
    </row>
    <row r="1224" spans="1:21" x14ac:dyDescent="0.25">
      <c r="A1224">
        <v>20910467</v>
      </c>
      <c r="B1224" t="s">
        <v>340</v>
      </c>
      <c r="C1224" t="s">
        <v>26</v>
      </c>
      <c r="D1224" t="s">
        <v>12</v>
      </c>
      <c r="E1224" t="s">
        <v>751</v>
      </c>
      <c r="F1224" t="s">
        <v>96</v>
      </c>
      <c r="G1224" t="s">
        <v>369</v>
      </c>
      <c r="H1224" t="s">
        <v>727</v>
      </c>
      <c r="I1224" t="s">
        <v>728</v>
      </c>
      <c r="J1224" t="s">
        <v>729</v>
      </c>
      <c r="K1224" t="s">
        <v>450</v>
      </c>
      <c r="L1224" t="s">
        <v>367</v>
      </c>
      <c r="M1224" t="s">
        <v>408</v>
      </c>
      <c r="N1224" t="s">
        <v>11</v>
      </c>
      <c r="O1224" t="s">
        <v>11</v>
      </c>
      <c r="P1224" t="s">
        <v>0</v>
      </c>
      <c r="Q1224" t="s">
        <v>408</v>
      </c>
      <c r="R1224" t="s">
        <v>439</v>
      </c>
      <c r="S1224" t="s">
        <v>451</v>
      </c>
      <c r="T1224" t="s">
        <v>11</v>
      </c>
      <c r="U1224" t="s">
        <v>408</v>
      </c>
    </row>
    <row r="1225" spans="1:21" x14ac:dyDescent="0.25">
      <c r="A1225">
        <v>20910468</v>
      </c>
      <c r="B1225" t="s">
        <v>340</v>
      </c>
      <c r="C1225" t="s">
        <v>26</v>
      </c>
      <c r="D1225" t="s">
        <v>12</v>
      </c>
      <c r="E1225" t="s">
        <v>625</v>
      </c>
      <c r="F1225" t="s">
        <v>313</v>
      </c>
      <c r="G1225" t="s">
        <v>369</v>
      </c>
      <c r="H1225" t="s">
        <v>727</v>
      </c>
      <c r="I1225" t="s">
        <v>728</v>
      </c>
      <c r="J1225" t="s">
        <v>729</v>
      </c>
      <c r="K1225" t="s">
        <v>450</v>
      </c>
      <c r="L1225" t="s">
        <v>367</v>
      </c>
      <c r="M1225" t="s">
        <v>408</v>
      </c>
      <c r="N1225" t="s">
        <v>11</v>
      </c>
      <c r="O1225" t="s">
        <v>11</v>
      </c>
      <c r="P1225" t="s">
        <v>0</v>
      </c>
      <c r="Q1225" t="s">
        <v>408</v>
      </c>
      <c r="R1225" t="s">
        <v>439</v>
      </c>
      <c r="S1225" t="s">
        <v>451</v>
      </c>
      <c r="T1225" t="s">
        <v>11</v>
      </c>
      <c r="U1225" t="s">
        <v>408</v>
      </c>
    </row>
    <row r="1226" spans="1:21" x14ac:dyDescent="0.25">
      <c r="A1226">
        <v>20910469</v>
      </c>
      <c r="B1226" t="s">
        <v>340</v>
      </c>
      <c r="C1226" t="s">
        <v>26</v>
      </c>
      <c r="D1226" t="s">
        <v>12</v>
      </c>
      <c r="E1226" t="s">
        <v>625</v>
      </c>
      <c r="F1226" t="s">
        <v>184</v>
      </c>
      <c r="G1226" t="s">
        <v>369</v>
      </c>
      <c r="H1226" t="s">
        <v>727</v>
      </c>
      <c r="I1226" t="s">
        <v>728</v>
      </c>
      <c r="J1226" t="s">
        <v>729</v>
      </c>
      <c r="K1226" t="s">
        <v>450</v>
      </c>
      <c r="L1226" t="s">
        <v>367</v>
      </c>
      <c r="M1226" t="s">
        <v>408</v>
      </c>
      <c r="N1226" t="s">
        <v>11</v>
      </c>
      <c r="O1226" t="s">
        <v>11</v>
      </c>
      <c r="P1226" t="s">
        <v>0</v>
      </c>
      <c r="Q1226" t="s">
        <v>408</v>
      </c>
      <c r="R1226" t="s">
        <v>439</v>
      </c>
      <c r="S1226" t="s">
        <v>451</v>
      </c>
      <c r="T1226" t="s">
        <v>11</v>
      </c>
      <c r="U1226" t="s">
        <v>408</v>
      </c>
    </row>
    <row r="1227" spans="1:21" x14ac:dyDescent="0.25">
      <c r="A1227">
        <v>20910470</v>
      </c>
      <c r="B1227" t="s">
        <v>340</v>
      </c>
      <c r="C1227" t="s">
        <v>26</v>
      </c>
      <c r="D1227" t="s">
        <v>12</v>
      </c>
      <c r="E1227" t="s">
        <v>625</v>
      </c>
      <c r="F1227" t="s">
        <v>312</v>
      </c>
      <c r="G1227" t="s">
        <v>369</v>
      </c>
      <c r="H1227" t="s">
        <v>727</v>
      </c>
      <c r="I1227" t="s">
        <v>728</v>
      </c>
      <c r="J1227" t="s">
        <v>729</v>
      </c>
      <c r="K1227" t="s">
        <v>450</v>
      </c>
      <c r="L1227" t="s">
        <v>367</v>
      </c>
      <c r="M1227" t="s">
        <v>408</v>
      </c>
      <c r="N1227" t="s">
        <v>11</v>
      </c>
      <c r="O1227" t="s">
        <v>11</v>
      </c>
      <c r="P1227" t="s">
        <v>0</v>
      </c>
      <c r="Q1227" t="s">
        <v>408</v>
      </c>
      <c r="R1227" t="s">
        <v>439</v>
      </c>
      <c r="S1227" t="s">
        <v>451</v>
      </c>
      <c r="T1227" t="s">
        <v>11</v>
      </c>
      <c r="U1227" t="s">
        <v>408</v>
      </c>
    </row>
    <row r="1228" spans="1:21" x14ac:dyDescent="0.25">
      <c r="A1228">
        <v>20910471</v>
      </c>
      <c r="B1228" t="s">
        <v>340</v>
      </c>
      <c r="C1228" t="s">
        <v>26</v>
      </c>
      <c r="D1228" t="s">
        <v>79</v>
      </c>
      <c r="E1228" t="s">
        <v>751</v>
      </c>
      <c r="F1228" t="s">
        <v>95</v>
      </c>
      <c r="G1228" t="s">
        <v>369</v>
      </c>
      <c r="H1228" t="s">
        <v>2</v>
      </c>
      <c r="I1228" t="s">
        <v>436</v>
      </c>
      <c r="J1228" t="s">
        <v>443</v>
      </c>
      <c r="K1228" t="s">
        <v>444</v>
      </c>
      <c r="L1228" t="s">
        <v>0</v>
      </c>
      <c r="M1228" t="s">
        <v>408</v>
      </c>
      <c r="N1228" t="s">
        <v>11</v>
      </c>
      <c r="O1228" t="s">
        <v>11</v>
      </c>
      <c r="P1228" t="s">
        <v>0</v>
      </c>
      <c r="Q1228" t="s">
        <v>408</v>
      </c>
      <c r="R1228" t="s">
        <v>439</v>
      </c>
      <c r="S1228" t="s">
        <v>440</v>
      </c>
      <c r="T1228" t="s">
        <v>11</v>
      </c>
      <c r="U1228" t="s">
        <v>408</v>
      </c>
    </row>
    <row r="1229" spans="1:21" x14ac:dyDescent="0.25">
      <c r="A1229">
        <v>20910474</v>
      </c>
      <c r="B1229" t="s">
        <v>340</v>
      </c>
      <c r="C1229" t="s">
        <v>26</v>
      </c>
      <c r="D1229" t="s">
        <v>12</v>
      </c>
      <c r="E1229" t="s">
        <v>625</v>
      </c>
      <c r="F1229" t="s">
        <v>185</v>
      </c>
      <c r="G1229" t="s">
        <v>369</v>
      </c>
      <c r="H1229" t="s">
        <v>0</v>
      </c>
      <c r="I1229" t="s">
        <v>436</v>
      </c>
      <c r="J1229" t="s">
        <v>437</v>
      </c>
      <c r="K1229" t="s">
        <v>438</v>
      </c>
      <c r="L1229" t="s">
        <v>1</v>
      </c>
      <c r="M1229" t="s">
        <v>408</v>
      </c>
      <c r="N1229" t="s">
        <v>11</v>
      </c>
      <c r="O1229" t="s">
        <v>11</v>
      </c>
      <c r="P1229" t="s">
        <v>0</v>
      </c>
      <c r="Q1229" t="s">
        <v>408</v>
      </c>
      <c r="R1229" t="s">
        <v>439</v>
      </c>
      <c r="S1229" t="s">
        <v>440</v>
      </c>
      <c r="T1229" t="s">
        <v>11</v>
      </c>
      <c r="U1229" t="s">
        <v>408</v>
      </c>
    </row>
    <row r="1230" spans="1:21" x14ac:dyDescent="0.25">
      <c r="A1230">
        <v>20910475</v>
      </c>
      <c r="B1230" t="s">
        <v>340</v>
      </c>
      <c r="C1230" t="s">
        <v>26</v>
      </c>
      <c r="D1230" t="s">
        <v>12</v>
      </c>
      <c r="E1230" t="s">
        <v>751</v>
      </c>
      <c r="F1230" t="s">
        <v>97</v>
      </c>
      <c r="G1230" t="s">
        <v>369</v>
      </c>
      <c r="H1230" t="s">
        <v>727</v>
      </c>
      <c r="I1230" t="s">
        <v>728</v>
      </c>
      <c r="J1230" t="s">
        <v>729</v>
      </c>
      <c r="K1230" t="s">
        <v>450</v>
      </c>
      <c r="L1230" t="s">
        <v>367</v>
      </c>
      <c r="M1230" t="s">
        <v>408</v>
      </c>
      <c r="N1230" t="s">
        <v>11</v>
      </c>
      <c r="O1230" t="s">
        <v>11</v>
      </c>
      <c r="P1230" t="s">
        <v>0</v>
      </c>
      <c r="Q1230" t="s">
        <v>408</v>
      </c>
      <c r="R1230" t="s">
        <v>439</v>
      </c>
      <c r="S1230" t="s">
        <v>451</v>
      </c>
      <c r="T1230" t="s">
        <v>11</v>
      </c>
      <c r="U1230" t="s">
        <v>408</v>
      </c>
    </row>
    <row r="1231" spans="1:21" x14ac:dyDescent="0.25">
      <c r="A1231">
        <v>20910476</v>
      </c>
      <c r="B1231" t="s">
        <v>340</v>
      </c>
      <c r="C1231" t="s">
        <v>26</v>
      </c>
      <c r="D1231" t="s">
        <v>12</v>
      </c>
      <c r="E1231" t="s">
        <v>751</v>
      </c>
      <c r="F1231" t="s">
        <v>95</v>
      </c>
      <c r="G1231" t="s">
        <v>369</v>
      </c>
      <c r="H1231" t="s">
        <v>370</v>
      </c>
      <c r="I1231" t="s">
        <v>721</v>
      </c>
      <c r="J1231" t="s">
        <v>455</v>
      </c>
      <c r="K1231" t="s">
        <v>453</v>
      </c>
      <c r="L1231" t="s">
        <v>367</v>
      </c>
      <c r="M1231" t="s">
        <v>408</v>
      </c>
      <c r="N1231" t="s">
        <v>11</v>
      </c>
      <c r="O1231" t="s">
        <v>11</v>
      </c>
      <c r="P1231" t="s">
        <v>0</v>
      </c>
      <c r="Q1231" t="s">
        <v>408</v>
      </c>
      <c r="R1231" t="s">
        <v>439</v>
      </c>
      <c r="S1231" t="s">
        <v>451</v>
      </c>
      <c r="T1231" t="s">
        <v>11</v>
      </c>
      <c r="U1231" t="s">
        <v>408</v>
      </c>
    </row>
    <row r="1232" spans="1:21" x14ac:dyDescent="0.25">
      <c r="A1232">
        <v>20910478</v>
      </c>
      <c r="B1232" t="s">
        <v>340</v>
      </c>
      <c r="C1232" t="s">
        <v>26</v>
      </c>
      <c r="D1232" t="s">
        <v>12</v>
      </c>
      <c r="E1232" t="s">
        <v>751</v>
      </c>
      <c r="F1232" t="s">
        <v>97</v>
      </c>
      <c r="G1232" t="s">
        <v>369</v>
      </c>
      <c r="H1232" t="s">
        <v>0</v>
      </c>
      <c r="I1232" t="s">
        <v>436</v>
      </c>
      <c r="J1232" t="s">
        <v>437</v>
      </c>
      <c r="K1232" t="s">
        <v>438</v>
      </c>
      <c r="L1232" t="s">
        <v>1</v>
      </c>
      <c r="M1232" t="s">
        <v>408</v>
      </c>
      <c r="N1232" t="s">
        <v>11</v>
      </c>
      <c r="O1232" t="s">
        <v>11</v>
      </c>
      <c r="P1232" t="s">
        <v>0</v>
      </c>
      <c r="Q1232" t="s">
        <v>408</v>
      </c>
      <c r="R1232" t="s">
        <v>439</v>
      </c>
      <c r="S1232" t="s">
        <v>440</v>
      </c>
      <c r="T1232" t="s">
        <v>11</v>
      </c>
      <c r="U1232" t="s">
        <v>408</v>
      </c>
    </row>
    <row r="1233" spans="1:21" x14ac:dyDescent="0.25">
      <c r="A1233">
        <v>20910482</v>
      </c>
      <c r="B1233" t="s">
        <v>340</v>
      </c>
      <c r="C1233" t="s">
        <v>26</v>
      </c>
      <c r="D1233" t="s">
        <v>12</v>
      </c>
      <c r="E1233" t="s">
        <v>751</v>
      </c>
      <c r="F1233" t="s">
        <v>95</v>
      </c>
      <c r="G1233" t="s">
        <v>369</v>
      </c>
      <c r="H1233" t="s">
        <v>0</v>
      </c>
      <c r="I1233" t="s">
        <v>436</v>
      </c>
      <c r="J1233" t="s">
        <v>437</v>
      </c>
      <c r="K1233" t="s">
        <v>438</v>
      </c>
      <c r="L1233" t="s">
        <v>4</v>
      </c>
      <c r="M1233" t="s">
        <v>408</v>
      </c>
      <c r="N1233" t="s">
        <v>11</v>
      </c>
      <c r="O1233" t="s">
        <v>11</v>
      </c>
      <c r="P1233" t="s">
        <v>0</v>
      </c>
      <c r="Q1233" t="s">
        <v>408</v>
      </c>
      <c r="R1233" t="s">
        <v>439</v>
      </c>
      <c r="S1233" t="s">
        <v>440</v>
      </c>
      <c r="T1233" t="s">
        <v>11</v>
      </c>
      <c r="U1233" t="s">
        <v>408</v>
      </c>
    </row>
    <row r="1234" spans="1:21" x14ac:dyDescent="0.25">
      <c r="A1234">
        <v>20910484</v>
      </c>
      <c r="B1234" t="s">
        <v>340</v>
      </c>
      <c r="C1234" t="s">
        <v>26</v>
      </c>
      <c r="D1234" t="s">
        <v>12</v>
      </c>
      <c r="E1234" t="s">
        <v>751</v>
      </c>
      <c r="F1234" t="s">
        <v>95</v>
      </c>
      <c r="G1234" t="s">
        <v>369</v>
      </c>
      <c r="H1234" t="s">
        <v>0</v>
      </c>
      <c r="I1234" t="s">
        <v>436</v>
      </c>
      <c r="J1234" t="s">
        <v>437</v>
      </c>
      <c r="K1234" t="s">
        <v>438</v>
      </c>
      <c r="L1234" t="s">
        <v>4</v>
      </c>
      <c r="M1234" t="s">
        <v>408</v>
      </c>
      <c r="N1234" t="s">
        <v>11</v>
      </c>
      <c r="O1234" t="s">
        <v>11</v>
      </c>
      <c r="P1234" t="s">
        <v>0</v>
      </c>
      <c r="Q1234" t="s">
        <v>408</v>
      </c>
      <c r="R1234" t="s">
        <v>439</v>
      </c>
      <c r="S1234" t="s">
        <v>440</v>
      </c>
      <c r="T1234" t="s">
        <v>11</v>
      </c>
      <c r="U1234" t="s">
        <v>408</v>
      </c>
    </row>
    <row r="1235" spans="1:21" x14ac:dyDescent="0.25">
      <c r="A1235">
        <v>20910486</v>
      </c>
      <c r="B1235" t="s">
        <v>340</v>
      </c>
      <c r="C1235" t="s">
        <v>26</v>
      </c>
      <c r="D1235" t="s">
        <v>12</v>
      </c>
      <c r="E1235" t="s">
        <v>625</v>
      </c>
      <c r="F1235" t="s">
        <v>185</v>
      </c>
      <c r="G1235" t="s">
        <v>369</v>
      </c>
      <c r="H1235" t="s">
        <v>0</v>
      </c>
      <c r="I1235" t="s">
        <v>436</v>
      </c>
      <c r="J1235" t="s">
        <v>437</v>
      </c>
      <c r="K1235" t="s">
        <v>438</v>
      </c>
      <c r="L1235" t="s">
        <v>1</v>
      </c>
      <c r="M1235" t="s">
        <v>408</v>
      </c>
      <c r="N1235" t="s">
        <v>11</v>
      </c>
      <c r="O1235" t="s">
        <v>11</v>
      </c>
      <c r="P1235" t="s">
        <v>0</v>
      </c>
      <c r="Q1235" t="s">
        <v>408</v>
      </c>
      <c r="R1235" t="s">
        <v>439</v>
      </c>
      <c r="S1235" t="s">
        <v>440</v>
      </c>
      <c r="T1235" t="s">
        <v>11</v>
      </c>
      <c r="U1235" t="s">
        <v>408</v>
      </c>
    </row>
    <row r="1236" spans="1:21" x14ac:dyDescent="0.25">
      <c r="A1236">
        <v>20910490</v>
      </c>
      <c r="B1236" t="s">
        <v>340</v>
      </c>
      <c r="C1236" t="s">
        <v>26</v>
      </c>
      <c r="D1236" t="s">
        <v>12</v>
      </c>
      <c r="E1236" t="s">
        <v>751</v>
      </c>
      <c r="F1236" t="s">
        <v>95</v>
      </c>
      <c r="G1236" t="s">
        <v>369</v>
      </c>
      <c r="H1236" t="s">
        <v>0</v>
      </c>
      <c r="I1236" t="s">
        <v>436</v>
      </c>
      <c r="J1236" t="s">
        <v>437</v>
      </c>
      <c r="K1236" t="s">
        <v>438</v>
      </c>
      <c r="L1236" t="s">
        <v>4</v>
      </c>
      <c r="M1236" t="s">
        <v>408</v>
      </c>
      <c r="N1236" t="s">
        <v>11</v>
      </c>
      <c r="O1236" t="s">
        <v>11</v>
      </c>
      <c r="P1236" t="s">
        <v>0</v>
      </c>
      <c r="Q1236" t="s">
        <v>408</v>
      </c>
      <c r="R1236" t="s">
        <v>439</v>
      </c>
      <c r="S1236" t="s">
        <v>440</v>
      </c>
      <c r="T1236" t="s">
        <v>11</v>
      </c>
      <c r="U1236" t="s">
        <v>408</v>
      </c>
    </row>
    <row r="1237" spans="1:21" x14ac:dyDescent="0.25">
      <c r="A1237">
        <v>20910493</v>
      </c>
      <c r="B1237" t="s">
        <v>340</v>
      </c>
      <c r="C1237" t="s">
        <v>26</v>
      </c>
      <c r="D1237" t="s">
        <v>12</v>
      </c>
      <c r="E1237" t="s">
        <v>751</v>
      </c>
      <c r="F1237" t="s">
        <v>95</v>
      </c>
      <c r="G1237" t="s">
        <v>369</v>
      </c>
      <c r="H1237" t="s">
        <v>0</v>
      </c>
      <c r="I1237" t="s">
        <v>436</v>
      </c>
      <c r="J1237" t="s">
        <v>437</v>
      </c>
      <c r="K1237" t="s">
        <v>438</v>
      </c>
      <c r="L1237" t="s">
        <v>4</v>
      </c>
      <c r="M1237" t="s">
        <v>408</v>
      </c>
      <c r="N1237" t="s">
        <v>11</v>
      </c>
      <c r="O1237" t="s">
        <v>11</v>
      </c>
      <c r="P1237" t="s">
        <v>0</v>
      </c>
      <c r="Q1237" t="s">
        <v>408</v>
      </c>
      <c r="R1237" t="s">
        <v>439</v>
      </c>
      <c r="S1237" t="s">
        <v>440</v>
      </c>
      <c r="T1237" t="s">
        <v>11</v>
      </c>
      <c r="U1237" t="s">
        <v>408</v>
      </c>
    </row>
    <row r="1238" spans="1:21" x14ac:dyDescent="0.25">
      <c r="A1238">
        <v>20910496</v>
      </c>
      <c r="B1238" t="s">
        <v>340</v>
      </c>
      <c r="C1238" t="s">
        <v>26</v>
      </c>
      <c r="D1238" t="s">
        <v>12</v>
      </c>
      <c r="E1238" t="s">
        <v>625</v>
      </c>
      <c r="F1238" t="s">
        <v>184</v>
      </c>
      <c r="G1238" t="s">
        <v>369</v>
      </c>
      <c r="H1238" t="s">
        <v>727</v>
      </c>
      <c r="I1238" t="s">
        <v>728</v>
      </c>
      <c r="J1238" t="s">
        <v>729</v>
      </c>
      <c r="K1238" t="s">
        <v>450</v>
      </c>
      <c r="L1238" t="s">
        <v>367</v>
      </c>
      <c r="M1238" t="s">
        <v>408</v>
      </c>
      <c r="N1238" t="s">
        <v>11</v>
      </c>
      <c r="O1238" t="s">
        <v>11</v>
      </c>
      <c r="P1238" t="s">
        <v>0</v>
      </c>
      <c r="Q1238" t="s">
        <v>408</v>
      </c>
      <c r="R1238" t="s">
        <v>439</v>
      </c>
      <c r="S1238" t="s">
        <v>451</v>
      </c>
      <c r="T1238" t="s">
        <v>11</v>
      </c>
      <c r="U1238" t="s">
        <v>408</v>
      </c>
    </row>
    <row r="1239" spans="1:21" x14ac:dyDescent="0.25">
      <c r="A1239">
        <v>20910498</v>
      </c>
      <c r="B1239" t="s">
        <v>340</v>
      </c>
      <c r="C1239" t="s">
        <v>26</v>
      </c>
      <c r="D1239" t="s">
        <v>12</v>
      </c>
      <c r="E1239" t="s">
        <v>625</v>
      </c>
      <c r="F1239" t="s">
        <v>184</v>
      </c>
      <c r="G1239" t="s">
        <v>369</v>
      </c>
      <c r="H1239" t="s">
        <v>0</v>
      </c>
      <c r="I1239" t="s">
        <v>436</v>
      </c>
      <c r="J1239" t="s">
        <v>437</v>
      </c>
      <c r="K1239" t="s">
        <v>438</v>
      </c>
      <c r="L1239" t="s">
        <v>4</v>
      </c>
      <c r="M1239" t="s">
        <v>408</v>
      </c>
      <c r="N1239" t="s">
        <v>11</v>
      </c>
      <c r="O1239" t="s">
        <v>11</v>
      </c>
      <c r="P1239" t="s">
        <v>0</v>
      </c>
      <c r="Q1239" t="s">
        <v>408</v>
      </c>
      <c r="R1239" t="s">
        <v>439</v>
      </c>
      <c r="S1239" t="s">
        <v>440</v>
      </c>
      <c r="T1239" t="s">
        <v>11</v>
      </c>
      <c r="U1239" t="s">
        <v>408</v>
      </c>
    </row>
    <row r="1240" spans="1:21" x14ac:dyDescent="0.25">
      <c r="A1240">
        <v>20910500</v>
      </c>
      <c r="B1240" t="s">
        <v>340</v>
      </c>
      <c r="C1240" t="s">
        <v>26</v>
      </c>
      <c r="D1240" t="s">
        <v>12</v>
      </c>
      <c r="E1240" t="s">
        <v>751</v>
      </c>
      <c r="F1240" t="s">
        <v>95</v>
      </c>
      <c r="G1240" t="s">
        <v>369</v>
      </c>
      <c r="H1240" t="s">
        <v>0</v>
      </c>
      <c r="I1240" t="s">
        <v>436</v>
      </c>
      <c r="J1240" t="s">
        <v>437</v>
      </c>
      <c r="K1240" t="s">
        <v>438</v>
      </c>
      <c r="L1240" t="s">
        <v>4</v>
      </c>
      <c r="M1240" t="s">
        <v>408</v>
      </c>
      <c r="N1240" t="s">
        <v>11</v>
      </c>
      <c r="O1240" t="s">
        <v>11</v>
      </c>
      <c r="P1240" t="s">
        <v>0</v>
      </c>
      <c r="Q1240" t="s">
        <v>408</v>
      </c>
      <c r="R1240" t="s">
        <v>439</v>
      </c>
      <c r="S1240" t="s">
        <v>440</v>
      </c>
      <c r="T1240" t="s">
        <v>11</v>
      </c>
      <c r="U1240" t="s">
        <v>408</v>
      </c>
    </row>
    <row r="1241" spans="1:21" x14ac:dyDescent="0.25">
      <c r="A1241">
        <v>20910506</v>
      </c>
      <c r="B1241" t="s">
        <v>340</v>
      </c>
      <c r="C1241" t="s">
        <v>26</v>
      </c>
      <c r="D1241" t="s">
        <v>12</v>
      </c>
      <c r="E1241" t="s">
        <v>625</v>
      </c>
      <c r="F1241" t="s">
        <v>184</v>
      </c>
      <c r="G1241" t="s">
        <v>369</v>
      </c>
      <c r="H1241" t="s">
        <v>0</v>
      </c>
      <c r="I1241" t="s">
        <v>436</v>
      </c>
      <c r="J1241" t="s">
        <v>437</v>
      </c>
      <c r="K1241" t="s">
        <v>438</v>
      </c>
      <c r="L1241" t="s">
        <v>1</v>
      </c>
      <c r="M1241" t="s">
        <v>408</v>
      </c>
      <c r="N1241" t="s">
        <v>11</v>
      </c>
      <c r="O1241" t="s">
        <v>11</v>
      </c>
      <c r="P1241" t="s">
        <v>0</v>
      </c>
      <c r="Q1241" t="s">
        <v>408</v>
      </c>
      <c r="R1241" t="s">
        <v>439</v>
      </c>
      <c r="S1241" t="s">
        <v>440</v>
      </c>
      <c r="T1241" t="s">
        <v>11</v>
      </c>
      <c r="U1241" t="s">
        <v>408</v>
      </c>
    </row>
    <row r="1242" spans="1:21" x14ac:dyDescent="0.25">
      <c r="A1242">
        <v>20910511</v>
      </c>
      <c r="B1242" t="s">
        <v>340</v>
      </c>
      <c r="C1242" t="s">
        <v>26</v>
      </c>
      <c r="D1242" t="s">
        <v>18</v>
      </c>
      <c r="E1242" t="s">
        <v>625</v>
      </c>
      <c r="F1242" t="s">
        <v>358</v>
      </c>
      <c r="G1242" t="s">
        <v>369</v>
      </c>
      <c r="H1242" t="s">
        <v>370</v>
      </c>
      <c r="I1242" t="s">
        <v>721</v>
      </c>
      <c r="J1242" t="s">
        <v>455</v>
      </c>
      <c r="K1242" t="s">
        <v>453</v>
      </c>
      <c r="L1242" t="s">
        <v>367</v>
      </c>
      <c r="M1242" t="s">
        <v>408</v>
      </c>
      <c r="N1242" t="s">
        <v>11</v>
      </c>
      <c r="O1242" t="s">
        <v>11</v>
      </c>
      <c r="P1242" t="s">
        <v>0</v>
      </c>
      <c r="Q1242" t="s">
        <v>408</v>
      </c>
      <c r="R1242" t="s">
        <v>439</v>
      </c>
      <c r="S1242" t="s">
        <v>451</v>
      </c>
      <c r="T1242" t="s">
        <v>11</v>
      </c>
      <c r="U1242" t="s">
        <v>408</v>
      </c>
    </row>
    <row r="1243" spans="1:21" x14ac:dyDescent="0.25">
      <c r="A1243">
        <v>20910515</v>
      </c>
      <c r="B1243" t="s">
        <v>340</v>
      </c>
      <c r="C1243" t="s">
        <v>26</v>
      </c>
      <c r="D1243" t="s">
        <v>12</v>
      </c>
      <c r="E1243" t="s">
        <v>625</v>
      </c>
      <c r="F1243" t="s">
        <v>312</v>
      </c>
      <c r="G1243" t="s">
        <v>369</v>
      </c>
      <c r="H1243" t="s">
        <v>1</v>
      </c>
      <c r="I1243" t="s">
        <v>469</v>
      </c>
      <c r="J1243" t="s">
        <v>445</v>
      </c>
      <c r="K1243" t="s">
        <v>438</v>
      </c>
      <c r="L1243" t="s">
        <v>0</v>
      </c>
      <c r="M1243" t="s">
        <v>408</v>
      </c>
      <c r="N1243" t="s">
        <v>11</v>
      </c>
      <c r="O1243" t="s">
        <v>11</v>
      </c>
      <c r="P1243" t="s">
        <v>0</v>
      </c>
      <c r="Q1243" t="s">
        <v>408</v>
      </c>
      <c r="R1243" t="s">
        <v>439</v>
      </c>
      <c r="S1243" t="s">
        <v>440</v>
      </c>
      <c r="T1243" t="s">
        <v>11</v>
      </c>
      <c r="U1243" t="s">
        <v>408</v>
      </c>
    </row>
    <row r="1244" spans="1:21" x14ac:dyDescent="0.25">
      <c r="A1244">
        <v>20910516</v>
      </c>
      <c r="B1244" t="s">
        <v>340</v>
      </c>
      <c r="C1244" t="s">
        <v>26</v>
      </c>
      <c r="D1244" t="s">
        <v>12</v>
      </c>
      <c r="E1244" t="s">
        <v>625</v>
      </c>
      <c r="F1244" t="s">
        <v>358</v>
      </c>
      <c r="G1244" t="s">
        <v>369</v>
      </c>
      <c r="H1244" t="s">
        <v>370</v>
      </c>
      <c r="I1244" t="s">
        <v>721</v>
      </c>
      <c r="J1244" t="s">
        <v>455</v>
      </c>
      <c r="K1244" t="s">
        <v>453</v>
      </c>
      <c r="L1244" t="s">
        <v>367</v>
      </c>
      <c r="M1244" t="s">
        <v>408</v>
      </c>
      <c r="N1244" t="s">
        <v>11</v>
      </c>
      <c r="O1244" t="s">
        <v>11</v>
      </c>
      <c r="P1244" t="s">
        <v>0</v>
      </c>
      <c r="Q1244" t="s">
        <v>408</v>
      </c>
      <c r="R1244" t="s">
        <v>439</v>
      </c>
      <c r="S1244" t="s">
        <v>451</v>
      </c>
      <c r="T1244" t="s">
        <v>11</v>
      </c>
      <c r="U1244" t="s">
        <v>408</v>
      </c>
    </row>
    <row r="1245" spans="1:21" x14ac:dyDescent="0.25">
      <c r="A1245">
        <v>20910519</v>
      </c>
      <c r="B1245" t="s">
        <v>340</v>
      </c>
      <c r="C1245" t="s">
        <v>26</v>
      </c>
      <c r="D1245" t="s">
        <v>12</v>
      </c>
      <c r="E1245" t="s">
        <v>751</v>
      </c>
      <c r="F1245" t="s">
        <v>95</v>
      </c>
      <c r="G1245" t="s">
        <v>369</v>
      </c>
      <c r="H1245" t="s">
        <v>0</v>
      </c>
      <c r="I1245" t="s">
        <v>436</v>
      </c>
      <c r="J1245" t="s">
        <v>437</v>
      </c>
      <c r="K1245" t="s">
        <v>438</v>
      </c>
      <c r="L1245" t="s">
        <v>4</v>
      </c>
      <c r="M1245" t="s">
        <v>408</v>
      </c>
      <c r="N1245" t="s">
        <v>11</v>
      </c>
      <c r="O1245" t="s">
        <v>11</v>
      </c>
      <c r="P1245" t="s">
        <v>0</v>
      </c>
      <c r="Q1245" t="s">
        <v>408</v>
      </c>
      <c r="R1245" t="s">
        <v>439</v>
      </c>
      <c r="S1245" t="s">
        <v>440</v>
      </c>
      <c r="T1245" t="s">
        <v>11</v>
      </c>
      <c r="U1245" t="s">
        <v>408</v>
      </c>
    </row>
    <row r="1246" spans="1:21" x14ac:dyDescent="0.25">
      <c r="A1246">
        <v>20910527</v>
      </c>
      <c r="B1246" t="s">
        <v>340</v>
      </c>
      <c r="C1246" t="s">
        <v>26</v>
      </c>
      <c r="D1246" t="s">
        <v>12</v>
      </c>
      <c r="E1246" t="s">
        <v>512</v>
      </c>
      <c r="F1246" t="s">
        <v>183</v>
      </c>
      <c r="G1246" t="s">
        <v>369</v>
      </c>
      <c r="H1246" t="s">
        <v>0</v>
      </c>
      <c r="I1246" t="s">
        <v>436</v>
      </c>
      <c r="J1246" t="s">
        <v>437</v>
      </c>
      <c r="K1246" t="s">
        <v>438</v>
      </c>
      <c r="L1246" t="s">
        <v>2</v>
      </c>
      <c r="M1246" t="s">
        <v>408</v>
      </c>
      <c r="N1246" t="s">
        <v>11</v>
      </c>
      <c r="O1246" t="s">
        <v>11</v>
      </c>
      <c r="P1246" t="s">
        <v>2</v>
      </c>
      <c r="Q1246" t="s">
        <v>408</v>
      </c>
      <c r="R1246" t="s">
        <v>439</v>
      </c>
      <c r="S1246" t="s">
        <v>440</v>
      </c>
      <c r="T1246" t="s">
        <v>11</v>
      </c>
      <c r="U1246" t="s">
        <v>408</v>
      </c>
    </row>
    <row r="1247" spans="1:21" x14ac:dyDescent="0.25">
      <c r="A1247">
        <v>20910537</v>
      </c>
      <c r="B1247" t="s">
        <v>340</v>
      </c>
      <c r="C1247" t="s">
        <v>26</v>
      </c>
      <c r="D1247" t="s">
        <v>12</v>
      </c>
      <c r="E1247" t="s">
        <v>510</v>
      </c>
      <c r="F1247" t="s">
        <v>94</v>
      </c>
      <c r="G1247" t="s">
        <v>369</v>
      </c>
      <c r="H1247" t="s">
        <v>0</v>
      </c>
      <c r="I1247" t="s">
        <v>436</v>
      </c>
      <c r="J1247" t="s">
        <v>437</v>
      </c>
      <c r="K1247" t="s">
        <v>438</v>
      </c>
      <c r="L1247" t="s">
        <v>4</v>
      </c>
      <c r="M1247" t="s">
        <v>408</v>
      </c>
      <c r="N1247" t="s">
        <v>11</v>
      </c>
      <c r="O1247" t="s">
        <v>11</v>
      </c>
      <c r="P1247" t="s">
        <v>2</v>
      </c>
      <c r="Q1247" t="s">
        <v>408</v>
      </c>
      <c r="R1247" t="s">
        <v>439</v>
      </c>
      <c r="S1247" t="s">
        <v>440</v>
      </c>
      <c r="T1247" t="s">
        <v>11</v>
      </c>
      <c r="U1247" t="s">
        <v>408</v>
      </c>
    </row>
    <row r="1248" spans="1:21" x14ac:dyDescent="0.25">
      <c r="A1248">
        <v>20910563</v>
      </c>
      <c r="B1248" t="s">
        <v>340</v>
      </c>
      <c r="C1248" t="s">
        <v>26</v>
      </c>
      <c r="D1248" t="s">
        <v>79</v>
      </c>
      <c r="E1248" t="s">
        <v>510</v>
      </c>
      <c r="F1248" t="s">
        <v>94</v>
      </c>
      <c r="G1248" t="s">
        <v>369</v>
      </c>
      <c r="H1248" t="s">
        <v>2</v>
      </c>
      <c r="I1248" t="s">
        <v>436</v>
      </c>
      <c r="J1248" t="s">
        <v>443</v>
      </c>
      <c r="K1248" t="s">
        <v>444</v>
      </c>
      <c r="L1248" t="s">
        <v>3</v>
      </c>
      <c r="M1248" t="s">
        <v>408</v>
      </c>
      <c r="N1248" t="s">
        <v>11</v>
      </c>
      <c r="O1248" t="s">
        <v>11</v>
      </c>
      <c r="P1248" t="s">
        <v>3</v>
      </c>
      <c r="Q1248" t="s">
        <v>408</v>
      </c>
      <c r="R1248" t="s">
        <v>439</v>
      </c>
      <c r="S1248" t="s">
        <v>440</v>
      </c>
      <c r="T1248" t="s">
        <v>11</v>
      </c>
      <c r="U1248" t="s">
        <v>408</v>
      </c>
    </row>
    <row r="1249" spans="1:21" x14ac:dyDescent="0.25">
      <c r="A1249">
        <v>20910565</v>
      </c>
      <c r="B1249" t="s">
        <v>340</v>
      </c>
      <c r="C1249" t="s">
        <v>26</v>
      </c>
      <c r="D1249" t="s">
        <v>12</v>
      </c>
      <c r="E1249" t="s">
        <v>751</v>
      </c>
      <c r="F1249" t="s">
        <v>95</v>
      </c>
      <c r="G1249" t="s">
        <v>369</v>
      </c>
      <c r="H1249" t="s">
        <v>0</v>
      </c>
      <c r="I1249" t="s">
        <v>436</v>
      </c>
      <c r="J1249" t="s">
        <v>437</v>
      </c>
      <c r="K1249" t="s">
        <v>438</v>
      </c>
      <c r="L1249" t="s">
        <v>345</v>
      </c>
      <c r="M1249" t="s">
        <v>408</v>
      </c>
      <c r="N1249" t="s">
        <v>11</v>
      </c>
      <c r="O1249" t="s">
        <v>11</v>
      </c>
      <c r="P1249" t="s">
        <v>0</v>
      </c>
      <c r="Q1249" t="s">
        <v>408</v>
      </c>
      <c r="R1249" t="s">
        <v>439</v>
      </c>
      <c r="S1249" t="s">
        <v>440</v>
      </c>
      <c r="T1249" t="s">
        <v>11</v>
      </c>
      <c r="U1249" t="s">
        <v>408</v>
      </c>
    </row>
    <row r="1250" spans="1:21" x14ac:dyDescent="0.25">
      <c r="A1250">
        <v>20910568</v>
      </c>
      <c r="B1250" t="s">
        <v>342</v>
      </c>
      <c r="C1250" t="s">
        <v>33</v>
      </c>
      <c r="D1250" t="s">
        <v>79</v>
      </c>
      <c r="E1250" t="s">
        <v>512</v>
      </c>
      <c r="F1250" t="s">
        <v>182</v>
      </c>
      <c r="G1250" t="s">
        <v>369</v>
      </c>
      <c r="H1250" t="s">
        <v>0</v>
      </c>
      <c r="I1250" t="s">
        <v>436</v>
      </c>
      <c r="J1250" t="s">
        <v>437</v>
      </c>
      <c r="K1250" t="s">
        <v>438</v>
      </c>
      <c r="L1250" t="s">
        <v>345</v>
      </c>
      <c r="M1250" t="s">
        <v>408</v>
      </c>
      <c r="N1250" t="s">
        <v>11</v>
      </c>
      <c r="O1250" t="s">
        <v>11</v>
      </c>
      <c r="P1250" t="s">
        <v>0</v>
      </c>
      <c r="Q1250" t="s">
        <v>408</v>
      </c>
      <c r="R1250" t="s">
        <v>439</v>
      </c>
      <c r="S1250" t="s">
        <v>440</v>
      </c>
      <c r="T1250" t="s">
        <v>11</v>
      </c>
      <c r="U1250" t="s">
        <v>408</v>
      </c>
    </row>
    <row r="1251" spans="1:21" x14ac:dyDescent="0.25">
      <c r="A1251">
        <v>20910571</v>
      </c>
      <c r="B1251" t="s">
        <v>340</v>
      </c>
      <c r="C1251" t="s">
        <v>26</v>
      </c>
      <c r="D1251" t="s">
        <v>12</v>
      </c>
      <c r="E1251" t="s">
        <v>512</v>
      </c>
      <c r="F1251" t="s">
        <v>93</v>
      </c>
      <c r="G1251" t="s">
        <v>369</v>
      </c>
      <c r="H1251" t="s">
        <v>0</v>
      </c>
      <c r="I1251" t="s">
        <v>436</v>
      </c>
      <c r="J1251" t="s">
        <v>437</v>
      </c>
      <c r="K1251" t="s">
        <v>438</v>
      </c>
      <c r="L1251" t="s">
        <v>1</v>
      </c>
      <c r="M1251" t="s">
        <v>408</v>
      </c>
      <c r="N1251" t="s">
        <v>11</v>
      </c>
      <c r="O1251" t="s">
        <v>11</v>
      </c>
      <c r="P1251" t="s">
        <v>2</v>
      </c>
      <c r="Q1251" t="s">
        <v>408</v>
      </c>
      <c r="R1251" t="s">
        <v>439</v>
      </c>
      <c r="S1251" t="s">
        <v>440</v>
      </c>
      <c r="T1251" t="s">
        <v>11</v>
      </c>
      <c r="U1251" t="s">
        <v>408</v>
      </c>
    </row>
    <row r="1252" spans="1:21" x14ac:dyDescent="0.25">
      <c r="A1252">
        <v>20910572</v>
      </c>
      <c r="B1252" t="s">
        <v>340</v>
      </c>
      <c r="C1252" t="s">
        <v>26</v>
      </c>
      <c r="D1252" t="s">
        <v>12</v>
      </c>
      <c r="E1252" t="s">
        <v>512</v>
      </c>
      <c r="F1252" t="s">
        <v>93</v>
      </c>
      <c r="G1252" t="s">
        <v>369</v>
      </c>
      <c r="H1252" t="s">
        <v>0</v>
      </c>
      <c r="I1252" t="s">
        <v>436</v>
      </c>
      <c r="J1252" t="s">
        <v>437</v>
      </c>
      <c r="K1252" t="s">
        <v>438</v>
      </c>
      <c r="L1252" t="s">
        <v>4</v>
      </c>
      <c r="M1252" t="s">
        <v>408</v>
      </c>
      <c r="N1252" t="s">
        <v>11</v>
      </c>
      <c r="O1252" t="s">
        <v>11</v>
      </c>
      <c r="P1252" t="s">
        <v>2</v>
      </c>
      <c r="Q1252" t="s">
        <v>408</v>
      </c>
      <c r="R1252" t="s">
        <v>439</v>
      </c>
      <c r="S1252" t="s">
        <v>440</v>
      </c>
      <c r="T1252" t="s">
        <v>11</v>
      </c>
      <c r="U1252" t="s">
        <v>408</v>
      </c>
    </row>
    <row r="1253" spans="1:21" x14ac:dyDescent="0.25">
      <c r="A1253">
        <v>20910573</v>
      </c>
      <c r="B1253" t="s">
        <v>340</v>
      </c>
      <c r="C1253" t="s">
        <v>26</v>
      </c>
      <c r="D1253" t="s">
        <v>18</v>
      </c>
      <c r="E1253" t="s">
        <v>512</v>
      </c>
      <c r="F1253" t="s">
        <v>93</v>
      </c>
      <c r="G1253" t="s">
        <v>369</v>
      </c>
      <c r="H1253" t="s">
        <v>370</v>
      </c>
      <c r="I1253" t="s">
        <v>721</v>
      </c>
      <c r="J1253" t="s">
        <v>455</v>
      </c>
      <c r="K1253" t="s">
        <v>453</v>
      </c>
      <c r="L1253" t="s">
        <v>367</v>
      </c>
      <c r="M1253" t="s">
        <v>408</v>
      </c>
      <c r="N1253" t="s">
        <v>11</v>
      </c>
      <c r="O1253" t="s">
        <v>11</v>
      </c>
      <c r="P1253" t="s">
        <v>2</v>
      </c>
      <c r="Q1253" t="s">
        <v>408</v>
      </c>
      <c r="R1253" t="s">
        <v>439</v>
      </c>
      <c r="S1253" t="s">
        <v>451</v>
      </c>
      <c r="T1253" t="s">
        <v>11</v>
      </c>
      <c r="U1253" t="s">
        <v>408</v>
      </c>
    </row>
    <row r="1254" spans="1:21" x14ac:dyDescent="0.25">
      <c r="A1254">
        <v>20910576</v>
      </c>
      <c r="B1254" t="s">
        <v>340</v>
      </c>
      <c r="C1254" t="s">
        <v>26</v>
      </c>
      <c r="D1254" t="s">
        <v>12</v>
      </c>
      <c r="E1254" t="s">
        <v>512</v>
      </c>
      <c r="F1254" t="s">
        <v>93</v>
      </c>
      <c r="G1254" t="s">
        <v>369</v>
      </c>
      <c r="H1254" t="s">
        <v>370</v>
      </c>
      <c r="I1254" t="s">
        <v>721</v>
      </c>
      <c r="J1254" t="s">
        <v>455</v>
      </c>
      <c r="K1254" t="s">
        <v>453</v>
      </c>
      <c r="L1254" t="s">
        <v>367</v>
      </c>
      <c r="M1254" t="s">
        <v>408</v>
      </c>
      <c r="N1254" t="s">
        <v>11</v>
      </c>
      <c r="O1254" t="s">
        <v>11</v>
      </c>
      <c r="P1254" t="s">
        <v>2</v>
      </c>
      <c r="Q1254" t="s">
        <v>408</v>
      </c>
      <c r="R1254" t="s">
        <v>439</v>
      </c>
      <c r="S1254" t="s">
        <v>451</v>
      </c>
      <c r="T1254" t="s">
        <v>11</v>
      </c>
      <c r="U1254" t="s">
        <v>408</v>
      </c>
    </row>
    <row r="1255" spans="1:21" x14ac:dyDescent="0.25">
      <c r="A1255">
        <v>20910577</v>
      </c>
      <c r="B1255" t="s">
        <v>340</v>
      </c>
      <c r="C1255" t="s">
        <v>26</v>
      </c>
      <c r="D1255" t="s">
        <v>12</v>
      </c>
      <c r="E1255" t="s">
        <v>512</v>
      </c>
      <c r="F1255" t="s">
        <v>93</v>
      </c>
      <c r="G1255" t="s">
        <v>369</v>
      </c>
      <c r="H1255" t="s">
        <v>727</v>
      </c>
      <c r="I1255" t="s">
        <v>728</v>
      </c>
      <c r="J1255" t="s">
        <v>729</v>
      </c>
      <c r="K1255" t="s">
        <v>450</v>
      </c>
      <c r="L1255" t="s">
        <v>367</v>
      </c>
      <c r="M1255" t="s">
        <v>408</v>
      </c>
      <c r="N1255" t="s">
        <v>11</v>
      </c>
      <c r="O1255" t="s">
        <v>11</v>
      </c>
      <c r="P1255" t="s">
        <v>2</v>
      </c>
      <c r="Q1255" t="s">
        <v>408</v>
      </c>
      <c r="R1255" t="s">
        <v>439</v>
      </c>
      <c r="S1255" t="s">
        <v>451</v>
      </c>
      <c r="T1255" t="s">
        <v>11</v>
      </c>
      <c r="U1255" t="s">
        <v>408</v>
      </c>
    </row>
    <row r="1256" spans="1:21" x14ac:dyDescent="0.25">
      <c r="A1256">
        <v>20910579</v>
      </c>
      <c r="B1256" t="s">
        <v>340</v>
      </c>
      <c r="C1256" t="s">
        <v>26</v>
      </c>
      <c r="D1256" t="s">
        <v>12</v>
      </c>
      <c r="E1256" t="s">
        <v>512</v>
      </c>
      <c r="F1256" t="s">
        <v>93</v>
      </c>
      <c r="G1256" t="s">
        <v>369</v>
      </c>
      <c r="H1256" t="s">
        <v>0</v>
      </c>
      <c r="I1256" t="s">
        <v>436</v>
      </c>
      <c r="J1256" t="s">
        <v>437</v>
      </c>
      <c r="K1256" t="s">
        <v>438</v>
      </c>
      <c r="L1256" t="s">
        <v>4</v>
      </c>
      <c r="M1256" t="s">
        <v>408</v>
      </c>
      <c r="N1256" t="s">
        <v>11</v>
      </c>
      <c r="O1256" t="s">
        <v>11</v>
      </c>
      <c r="P1256" t="s">
        <v>2</v>
      </c>
      <c r="Q1256" t="s">
        <v>408</v>
      </c>
      <c r="R1256" t="s">
        <v>439</v>
      </c>
      <c r="S1256" t="s">
        <v>440</v>
      </c>
      <c r="T1256" t="s">
        <v>11</v>
      </c>
      <c r="U1256" t="s">
        <v>408</v>
      </c>
    </row>
    <row r="1257" spans="1:21" x14ac:dyDescent="0.25">
      <c r="A1257">
        <v>20910582</v>
      </c>
      <c r="B1257" t="s">
        <v>340</v>
      </c>
      <c r="C1257" t="s">
        <v>26</v>
      </c>
      <c r="D1257" t="s">
        <v>12</v>
      </c>
      <c r="E1257" t="s">
        <v>512</v>
      </c>
      <c r="F1257" t="s">
        <v>93</v>
      </c>
      <c r="G1257" t="s">
        <v>369</v>
      </c>
      <c r="H1257" t="s">
        <v>715</v>
      </c>
      <c r="I1257" t="s">
        <v>716</v>
      </c>
      <c r="J1257" t="s">
        <v>717</v>
      </c>
      <c r="K1257" t="s">
        <v>438</v>
      </c>
      <c r="L1257" t="s">
        <v>0</v>
      </c>
      <c r="M1257" t="s">
        <v>408</v>
      </c>
      <c r="N1257" t="s">
        <v>11</v>
      </c>
      <c r="O1257" t="s">
        <v>11</v>
      </c>
      <c r="P1257" t="s">
        <v>2</v>
      </c>
      <c r="Q1257" t="s">
        <v>408</v>
      </c>
      <c r="R1257" t="s">
        <v>439</v>
      </c>
      <c r="S1257" t="s">
        <v>440</v>
      </c>
      <c r="T1257" t="s">
        <v>11</v>
      </c>
      <c r="U1257" t="s">
        <v>408</v>
      </c>
    </row>
    <row r="1258" spans="1:21" x14ac:dyDescent="0.25">
      <c r="A1258">
        <v>20910584</v>
      </c>
      <c r="B1258" t="s">
        <v>340</v>
      </c>
      <c r="C1258" t="s">
        <v>26</v>
      </c>
      <c r="D1258" t="s">
        <v>12</v>
      </c>
      <c r="E1258" t="s">
        <v>512</v>
      </c>
      <c r="F1258" t="s">
        <v>93</v>
      </c>
      <c r="G1258" t="s">
        <v>369</v>
      </c>
      <c r="H1258" t="s">
        <v>0</v>
      </c>
      <c r="I1258" t="s">
        <v>436</v>
      </c>
      <c r="J1258" t="s">
        <v>437</v>
      </c>
      <c r="K1258" t="s">
        <v>438</v>
      </c>
      <c r="L1258" t="s">
        <v>1</v>
      </c>
      <c r="M1258" t="s">
        <v>408</v>
      </c>
      <c r="N1258" t="s">
        <v>11</v>
      </c>
      <c r="O1258" t="s">
        <v>11</v>
      </c>
      <c r="P1258" t="s">
        <v>2</v>
      </c>
      <c r="Q1258" t="s">
        <v>408</v>
      </c>
      <c r="R1258" t="s">
        <v>439</v>
      </c>
      <c r="S1258" t="s">
        <v>440</v>
      </c>
      <c r="T1258" t="s">
        <v>11</v>
      </c>
      <c r="U1258" t="s">
        <v>408</v>
      </c>
    </row>
    <row r="1259" spans="1:21" x14ac:dyDescent="0.25">
      <c r="A1259">
        <v>20910590</v>
      </c>
      <c r="B1259" t="s">
        <v>340</v>
      </c>
      <c r="C1259" t="s">
        <v>26</v>
      </c>
      <c r="D1259" t="s">
        <v>12</v>
      </c>
      <c r="E1259" t="s">
        <v>512</v>
      </c>
      <c r="F1259" t="s">
        <v>93</v>
      </c>
      <c r="G1259" t="s">
        <v>369</v>
      </c>
      <c r="H1259" t="s">
        <v>0</v>
      </c>
      <c r="I1259" t="s">
        <v>436</v>
      </c>
      <c r="J1259" t="s">
        <v>437</v>
      </c>
      <c r="K1259" t="s">
        <v>438</v>
      </c>
      <c r="L1259" t="s">
        <v>1</v>
      </c>
      <c r="M1259" t="s">
        <v>408</v>
      </c>
      <c r="N1259" t="s">
        <v>11</v>
      </c>
      <c r="O1259" t="s">
        <v>11</v>
      </c>
      <c r="P1259" t="s">
        <v>2</v>
      </c>
      <c r="Q1259" t="s">
        <v>408</v>
      </c>
      <c r="R1259" t="s">
        <v>439</v>
      </c>
      <c r="S1259" t="s">
        <v>440</v>
      </c>
      <c r="T1259" t="s">
        <v>11</v>
      </c>
      <c r="U1259" t="s">
        <v>408</v>
      </c>
    </row>
    <row r="1260" spans="1:21" x14ac:dyDescent="0.25">
      <c r="A1260">
        <v>20910591</v>
      </c>
      <c r="B1260" t="s">
        <v>340</v>
      </c>
      <c r="C1260" t="s">
        <v>26</v>
      </c>
      <c r="D1260" t="s">
        <v>18</v>
      </c>
      <c r="E1260" t="s">
        <v>512</v>
      </c>
      <c r="F1260" t="s">
        <v>93</v>
      </c>
      <c r="G1260" t="s">
        <v>369</v>
      </c>
      <c r="H1260" t="s">
        <v>370</v>
      </c>
      <c r="I1260" t="s">
        <v>721</v>
      </c>
      <c r="J1260" t="s">
        <v>455</v>
      </c>
      <c r="K1260" t="s">
        <v>453</v>
      </c>
      <c r="L1260" t="s">
        <v>2</v>
      </c>
      <c r="M1260" t="s">
        <v>408</v>
      </c>
      <c r="N1260" t="s">
        <v>11</v>
      </c>
      <c r="O1260" t="s">
        <v>11</v>
      </c>
      <c r="P1260" t="s">
        <v>2</v>
      </c>
      <c r="Q1260" t="s">
        <v>408</v>
      </c>
      <c r="R1260" t="s">
        <v>439</v>
      </c>
      <c r="S1260" t="s">
        <v>451</v>
      </c>
      <c r="T1260" t="s">
        <v>11</v>
      </c>
      <c r="U1260" t="s">
        <v>408</v>
      </c>
    </row>
    <row r="1261" spans="1:21" x14ac:dyDescent="0.25">
      <c r="A1261">
        <v>20910601</v>
      </c>
      <c r="B1261" t="s">
        <v>340</v>
      </c>
      <c r="C1261" t="s">
        <v>26</v>
      </c>
      <c r="D1261" t="s">
        <v>12</v>
      </c>
      <c r="E1261" t="s">
        <v>512</v>
      </c>
      <c r="F1261" t="s">
        <v>92</v>
      </c>
      <c r="G1261" t="s">
        <v>369</v>
      </c>
      <c r="H1261" t="s">
        <v>715</v>
      </c>
      <c r="I1261" t="s">
        <v>716</v>
      </c>
      <c r="J1261" t="s">
        <v>717</v>
      </c>
      <c r="K1261" t="s">
        <v>438</v>
      </c>
      <c r="L1261" t="s">
        <v>0</v>
      </c>
      <c r="M1261" t="s">
        <v>408</v>
      </c>
      <c r="N1261" t="s">
        <v>11</v>
      </c>
      <c r="O1261" t="s">
        <v>11</v>
      </c>
      <c r="P1261" t="s">
        <v>0</v>
      </c>
      <c r="Q1261" t="s">
        <v>408</v>
      </c>
      <c r="R1261" t="s">
        <v>439</v>
      </c>
      <c r="S1261" t="s">
        <v>440</v>
      </c>
      <c r="T1261" t="s">
        <v>11</v>
      </c>
      <c r="U1261" t="s">
        <v>408</v>
      </c>
    </row>
    <row r="1262" spans="1:21" x14ac:dyDescent="0.25">
      <c r="A1262">
        <v>20910604</v>
      </c>
      <c r="B1262" t="s">
        <v>340</v>
      </c>
      <c r="C1262" t="s">
        <v>26</v>
      </c>
      <c r="D1262" t="s">
        <v>12</v>
      </c>
      <c r="E1262" t="s">
        <v>512</v>
      </c>
      <c r="F1262" t="s">
        <v>92</v>
      </c>
      <c r="G1262" t="s">
        <v>369</v>
      </c>
      <c r="H1262" t="s">
        <v>0</v>
      </c>
      <c r="I1262" t="s">
        <v>436</v>
      </c>
      <c r="J1262" t="s">
        <v>437</v>
      </c>
      <c r="K1262" t="s">
        <v>438</v>
      </c>
      <c r="L1262" t="s">
        <v>4</v>
      </c>
      <c r="M1262" t="s">
        <v>408</v>
      </c>
      <c r="N1262" t="s">
        <v>11</v>
      </c>
      <c r="O1262" t="s">
        <v>11</v>
      </c>
      <c r="P1262" t="s">
        <v>0</v>
      </c>
      <c r="Q1262" t="s">
        <v>408</v>
      </c>
      <c r="R1262" t="s">
        <v>439</v>
      </c>
      <c r="S1262" t="s">
        <v>440</v>
      </c>
      <c r="T1262" t="s">
        <v>11</v>
      </c>
      <c r="U1262" t="s">
        <v>408</v>
      </c>
    </row>
    <row r="1263" spans="1:21" x14ac:dyDescent="0.25">
      <c r="A1263">
        <v>20910606</v>
      </c>
      <c r="B1263" t="s">
        <v>340</v>
      </c>
      <c r="C1263" t="s">
        <v>26</v>
      </c>
      <c r="D1263" t="s">
        <v>12</v>
      </c>
      <c r="E1263" t="s">
        <v>512</v>
      </c>
      <c r="F1263" t="s">
        <v>92</v>
      </c>
      <c r="G1263" t="s">
        <v>369</v>
      </c>
      <c r="H1263" t="s">
        <v>370</v>
      </c>
      <c r="I1263" t="s">
        <v>721</v>
      </c>
      <c r="J1263" t="s">
        <v>455</v>
      </c>
      <c r="K1263" t="s">
        <v>453</v>
      </c>
      <c r="L1263" t="s">
        <v>367</v>
      </c>
      <c r="M1263" t="s">
        <v>408</v>
      </c>
      <c r="N1263" t="s">
        <v>11</v>
      </c>
      <c r="O1263" t="s">
        <v>11</v>
      </c>
      <c r="P1263" t="s">
        <v>0</v>
      </c>
      <c r="Q1263" t="s">
        <v>408</v>
      </c>
      <c r="R1263" t="s">
        <v>439</v>
      </c>
      <c r="S1263" t="s">
        <v>451</v>
      </c>
      <c r="T1263" t="s">
        <v>11</v>
      </c>
      <c r="U1263" t="s">
        <v>408</v>
      </c>
    </row>
    <row r="1264" spans="1:21" x14ac:dyDescent="0.25">
      <c r="A1264">
        <v>20910607</v>
      </c>
      <c r="B1264" t="s">
        <v>340</v>
      </c>
      <c r="C1264" t="s">
        <v>26</v>
      </c>
      <c r="D1264" t="s">
        <v>12</v>
      </c>
      <c r="E1264" t="s">
        <v>512</v>
      </c>
      <c r="F1264" t="s">
        <v>92</v>
      </c>
      <c r="G1264" t="s">
        <v>369</v>
      </c>
      <c r="H1264" t="s">
        <v>5</v>
      </c>
      <c r="I1264" t="s">
        <v>436</v>
      </c>
      <c r="J1264" t="s">
        <v>446</v>
      </c>
      <c r="K1264" t="s">
        <v>438</v>
      </c>
      <c r="L1264" t="s">
        <v>2</v>
      </c>
      <c r="M1264" t="s">
        <v>408</v>
      </c>
      <c r="N1264" t="s">
        <v>11</v>
      </c>
      <c r="O1264" t="s">
        <v>11</v>
      </c>
      <c r="P1264" t="s">
        <v>0</v>
      </c>
      <c r="Q1264" t="s">
        <v>408</v>
      </c>
      <c r="R1264" t="s">
        <v>439</v>
      </c>
      <c r="S1264" t="s">
        <v>440</v>
      </c>
      <c r="T1264" t="s">
        <v>11</v>
      </c>
      <c r="U1264" t="s">
        <v>408</v>
      </c>
    </row>
    <row r="1265" spans="1:21" x14ac:dyDescent="0.25">
      <c r="A1265">
        <v>20910608</v>
      </c>
      <c r="B1265" t="s">
        <v>340</v>
      </c>
      <c r="C1265" t="s">
        <v>26</v>
      </c>
      <c r="D1265" t="s">
        <v>12</v>
      </c>
      <c r="E1265" t="s">
        <v>512</v>
      </c>
      <c r="F1265" t="s">
        <v>92</v>
      </c>
      <c r="G1265" t="s">
        <v>369</v>
      </c>
      <c r="H1265" t="s">
        <v>370</v>
      </c>
      <c r="I1265" t="s">
        <v>721</v>
      </c>
      <c r="J1265" t="s">
        <v>455</v>
      </c>
      <c r="K1265" t="s">
        <v>453</v>
      </c>
      <c r="L1265" t="s">
        <v>367</v>
      </c>
      <c r="M1265" t="s">
        <v>408</v>
      </c>
      <c r="N1265" t="s">
        <v>11</v>
      </c>
      <c r="O1265" t="s">
        <v>11</v>
      </c>
      <c r="P1265" t="s">
        <v>0</v>
      </c>
      <c r="Q1265" t="s">
        <v>408</v>
      </c>
      <c r="R1265" t="s">
        <v>439</v>
      </c>
      <c r="S1265" t="s">
        <v>451</v>
      </c>
      <c r="T1265" t="s">
        <v>11</v>
      </c>
      <c r="U1265" t="s">
        <v>408</v>
      </c>
    </row>
    <row r="1266" spans="1:21" x14ac:dyDescent="0.25">
      <c r="A1266">
        <v>20910610</v>
      </c>
      <c r="B1266" t="s">
        <v>340</v>
      </c>
      <c r="C1266" t="s">
        <v>26</v>
      </c>
      <c r="D1266" t="s">
        <v>12</v>
      </c>
      <c r="E1266" t="s">
        <v>512</v>
      </c>
      <c r="F1266" t="s">
        <v>92</v>
      </c>
      <c r="G1266" t="s">
        <v>369</v>
      </c>
      <c r="H1266" t="s">
        <v>727</v>
      </c>
      <c r="I1266" t="s">
        <v>728</v>
      </c>
      <c r="J1266" t="s">
        <v>729</v>
      </c>
      <c r="K1266" t="s">
        <v>450</v>
      </c>
      <c r="L1266" t="s">
        <v>367</v>
      </c>
      <c r="M1266" t="s">
        <v>408</v>
      </c>
      <c r="N1266" t="s">
        <v>11</v>
      </c>
      <c r="O1266" t="s">
        <v>11</v>
      </c>
      <c r="P1266" t="s">
        <v>0</v>
      </c>
      <c r="Q1266" t="s">
        <v>408</v>
      </c>
      <c r="R1266" t="s">
        <v>439</v>
      </c>
      <c r="S1266" t="s">
        <v>451</v>
      </c>
      <c r="T1266" t="s">
        <v>11</v>
      </c>
      <c r="U1266" t="s">
        <v>408</v>
      </c>
    </row>
    <row r="1267" spans="1:21" x14ac:dyDescent="0.25">
      <c r="A1267">
        <v>20910612</v>
      </c>
      <c r="B1267" t="s">
        <v>340</v>
      </c>
      <c r="C1267" t="s">
        <v>26</v>
      </c>
      <c r="D1267" t="s">
        <v>12</v>
      </c>
      <c r="E1267" t="s">
        <v>711</v>
      </c>
      <c r="F1267" t="s">
        <v>75</v>
      </c>
      <c r="G1267" t="s">
        <v>369</v>
      </c>
      <c r="H1267" t="s">
        <v>3</v>
      </c>
      <c r="I1267" t="s">
        <v>436</v>
      </c>
      <c r="J1267" t="s">
        <v>441</v>
      </c>
      <c r="K1267" t="s">
        <v>442</v>
      </c>
      <c r="L1267" t="s">
        <v>0</v>
      </c>
      <c r="M1267" t="s">
        <v>408</v>
      </c>
      <c r="N1267" t="s">
        <v>11</v>
      </c>
      <c r="O1267" t="s">
        <v>11</v>
      </c>
      <c r="P1267" t="s">
        <v>0</v>
      </c>
      <c r="Q1267" t="s">
        <v>408</v>
      </c>
      <c r="R1267" t="s">
        <v>439</v>
      </c>
      <c r="S1267" t="s">
        <v>440</v>
      </c>
      <c r="T1267" t="s">
        <v>11</v>
      </c>
      <c r="U1267" t="s">
        <v>408</v>
      </c>
    </row>
    <row r="1268" spans="1:21" x14ac:dyDescent="0.25">
      <c r="A1268">
        <v>20910613</v>
      </c>
      <c r="B1268" t="s">
        <v>340</v>
      </c>
      <c r="C1268" t="s">
        <v>26</v>
      </c>
      <c r="D1268" t="s">
        <v>12</v>
      </c>
      <c r="E1268" t="s">
        <v>534</v>
      </c>
      <c r="F1268" t="s">
        <v>181</v>
      </c>
      <c r="G1268" t="s">
        <v>369</v>
      </c>
      <c r="H1268" t="s">
        <v>0</v>
      </c>
      <c r="I1268" t="s">
        <v>436</v>
      </c>
      <c r="J1268" t="s">
        <v>437</v>
      </c>
      <c r="K1268" t="s">
        <v>438</v>
      </c>
      <c r="L1268" t="s">
        <v>1</v>
      </c>
      <c r="M1268" t="s">
        <v>408</v>
      </c>
      <c r="N1268" t="s">
        <v>11</v>
      </c>
      <c r="O1268" t="s">
        <v>11</v>
      </c>
      <c r="P1268" t="s">
        <v>0</v>
      </c>
      <c r="Q1268" t="s">
        <v>408</v>
      </c>
      <c r="R1268" t="s">
        <v>439</v>
      </c>
      <c r="S1268" t="s">
        <v>440</v>
      </c>
      <c r="T1268" t="s">
        <v>11</v>
      </c>
      <c r="U1268" t="s">
        <v>408</v>
      </c>
    </row>
    <row r="1269" spans="1:21" x14ac:dyDescent="0.25">
      <c r="A1269">
        <v>20910614</v>
      </c>
      <c r="B1269" t="s">
        <v>340</v>
      </c>
      <c r="C1269" t="s">
        <v>26</v>
      </c>
      <c r="D1269" t="s">
        <v>12</v>
      </c>
      <c r="E1269" t="s">
        <v>515</v>
      </c>
      <c r="F1269" t="s">
        <v>140</v>
      </c>
      <c r="G1269" t="s">
        <v>369</v>
      </c>
      <c r="H1269" t="s">
        <v>0</v>
      </c>
      <c r="I1269" t="s">
        <v>436</v>
      </c>
      <c r="J1269" t="s">
        <v>437</v>
      </c>
      <c r="K1269" t="s">
        <v>438</v>
      </c>
      <c r="L1269" t="s">
        <v>9</v>
      </c>
      <c r="M1269" t="s">
        <v>408</v>
      </c>
      <c r="N1269" t="s">
        <v>11</v>
      </c>
      <c r="O1269" t="s">
        <v>408</v>
      </c>
      <c r="P1269" t="s">
        <v>6</v>
      </c>
      <c r="Q1269" t="s">
        <v>408</v>
      </c>
      <c r="R1269" t="s">
        <v>439</v>
      </c>
      <c r="S1269" t="s">
        <v>440</v>
      </c>
      <c r="T1269" t="s">
        <v>11</v>
      </c>
      <c r="U1269" t="s">
        <v>408</v>
      </c>
    </row>
    <row r="1270" spans="1:21" x14ac:dyDescent="0.25">
      <c r="A1270">
        <v>20910620</v>
      </c>
      <c r="B1270" t="s">
        <v>340</v>
      </c>
      <c r="C1270" t="s">
        <v>26</v>
      </c>
      <c r="D1270" t="s">
        <v>109</v>
      </c>
      <c r="E1270" t="s">
        <v>510</v>
      </c>
      <c r="F1270" t="s">
        <v>359</v>
      </c>
      <c r="G1270" t="s">
        <v>369</v>
      </c>
      <c r="H1270" t="s">
        <v>0</v>
      </c>
      <c r="I1270" t="s">
        <v>436</v>
      </c>
      <c r="J1270" t="s">
        <v>437</v>
      </c>
      <c r="K1270" t="s">
        <v>438</v>
      </c>
      <c r="L1270" t="s">
        <v>4</v>
      </c>
      <c r="M1270" t="s">
        <v>408</v>
      </c>
      <c r="N1270" t="s">
        <v>11</v>
      </c>
      <c r="O1270" t="s">
        <v>408</v>
      </c>
      <c r="P1270" t="s">
        <v>0</v>
      </c>
      <c r="Q1270" t="s">
        <v>408</v>
      </c>
      <c r="R1270" t="s">
        <v>439</v>
      </c>
      <c r="S1270" t="s">
        <v>440</v>
      </c>
      <c r="T1270" t="s">
        <v>11</v>
      </c>
      <c r="U1270" t="s">
        <v>408</v>
      </c>
    </row>
    <row r="1271" spans="1:21" x14ac:dyDescent="0.25">
      <c r="A1271">
        <v>20910625</v>
      </c>
      <c r="B1271" t="s">
        <v>342</v>
      </c>
      <c r="C1271" t="s">
        <v>33</v>
      </c>
      <c r="D1271" t="s">
        <v>18</v>
      </c>
      <c r="E1271" t="s">
        <v>510</v>
      </c>
      <c r="F1271" t="s">
        <v>359</v>
      </c>
      <c r="G1271" t="s">
        <v>369</v>
      </c>
      <c r="H1271" t="s">
        <v>370</v>
      </c>
      <c r="I1271" t="s">
        <v>721</v>
      </c>
      <c r="J1271" t="s">
        <v>455</v>
      </c>
      <c r="K1271" t="s">
        <v>453</v>
      </c>
      <c r="L1271" t="s">
        <v>367</v>
      </c>
      <c r="M1271" t="s">
        <v>408</v>
      </c>
      <c r="N1271" t="s">
        <v>11</v>
      </c>
      <c r="O1271" t="s">
        <v>11</v>
      </c>
      <c r="P1271" t="s">
        <v>0</v>
      </c>
      <c r="Q1271" t="s">
        <v>408</v>
      </c>
      <c r="R1271" t="s">
        <v>439</v>
      </c>
      <c r="S1271" t="s">
        <v>451</v>
      </c>
      <c r="T1271" t="s">
        <v>11</v>
      </c>
      <c r="U1271" t="s">
        <v>408</v>
      </c>
    </row>
    <row r="1272" spans="1:21" x14ac:dyDescent="0.25">
      <c r="A1272">
        <v>20910636</v>
      </c>
      <c r="B1272" t="s">
        <v>340</v>
      </c>
      <c r="C1272" t="s">
        <v>26</v>
      </c>
      <c r="D1272" t="s">
        <v>12</v>
      </c>
      <c r="E1272" t="s">
        <v>730</v>
      </c>
      <c r="F1272" t="s">
        <v>41</v>
      </c>
      <c r="G1272" t="s">
        <v>369</v>
      </c>
      <c r="H1272" t="s">
        <v>0</v>
      </c>
      <c r="I1272" t="s">
        <v>436</v>
      </c>
      <c r="J1272" t="s">
        <v>437</v>
      </c>
      <c r="K1272" t="s">
        <v>438</v>
      </c>
      <c r="L1272" t="s">
        <v>1</v>
      </c>
      <c r="M1272" t="s">
        <v>408</v>
      </c>
      <c r="N1272" t="s">
        <v>11</v>
      </c>
      <c r="O1272" t="s">
        <v>11</v>
      </c>
      <c r="P1272" t="s">
        <v>2</v>
      </c>
      <c r="Q1272" t="s">
        <v>408</v>
      </c>
      <c r="R1272" t="s">
        <v>439</v>
      </c>
      <c r="S1272" t="s">
        <v>440</v>
      </c>
      <c r="T1272" t="s">
        <v>11</v>
      </c>
      <c r="U1272" t="s">
        <v>408</v>
      </c>
    </row>
    <row r="1273" spans="1:21" x14ac:dyDescent="0.25">
      <c r="A1273">
        <v>20910637</v>
      </c>
      <c r="B1273" t="s">
        <v>340</v>
      </c>
      <c r="C1273" t="s">
        <v>26</v>
      </c>
      <c r="D1273" t="s">
        <v>12</v>
      </c>
      <c r="E1273" t="s">
        <v>720</v>
      </c>
      <c r="F1273" t="s">
        <v>91</v>
      </c>
      <c r="G1273" t="s">
        <v>369</v>
      </c>
      <c r="H1273" t="s">
        <v>370</v>
      </c>
      <c r="I1273" t="s">
        <v>721</v>
      </c>
      <c r="J1273" t="s">
        <v>455</v>
      </c>
      <c r="K1273" t="s">
        <v>453</v>
      </c>
      <c r="L1273" t="s">
        <v>367</v>
      </c>
      <c r="M1273" t="s">
        <v>408</v>
      </c>
      <c r="N1273" t="s">
        <v>408</v>
      </c>
      <c r="O1273" t="s">
        <v>11</v>
      </c>
      <c r="P1273" t="s">
        <v>0</v>
      </c>
      <c r="Q1273" t="s">
        <v>408</v>
      </c>
      <c r="R1273" t="s">
        <v>439</v>
      </c>
      <c r="S1273" t="s">
        <v>451</v>
      </c>
      <c r="T1273" t="s">
        <v>408</v>
      </c>
      <c r="U1273" t="s">
        <v>408</v>
      </c>
    </row>
    <row r="1274" spans="1:21" x14ac:dyDescent="0.25">
      <c r="A1274">
        <v>20910638</v>
      </c>
      <c r="B1274" t="s">
        <v>340</v>
      </c>
      <c r="C1274" t="s">
        <v>26</v>
      </c>
      <c r="D1274" t="s">
        <v>12</v>
      </c>
      <c r="E1274" t="s">
        <v>472</v>
      </c>
      <c r="F1274" t="s">
        <v>145</v>
      </c>
      <c r="G1274" t="s">
        <v>369</v>
      </c>
      <c r="H1274" t="s">
        <v>727</v>
      </c>
      <c r="I1274" t="s">
        <v>728</v>
      </c>
      <c r="J1274" t="s">
        <v>729</v>
      </c>
      <c r="K1274" t="s">
        <v>450</v>
      </c>
      <c r="L1274" t="s">
        <v>367</v>
      </c>
      <c r="M1274" t="s">
        <v>408</v>
      </c>
      <c r="N1274" t="s">
        <v>11</v>
      </c>
      <c r="O1274" t="s">
        <v>11</v>
      </c>
      <c r="P1274" t="s">
        <v>0</v>
      </c>
      <c r="Q1274" t="s">
        <v>408</v>
      </c>
      <c r="R1274" t="s">
        <v>439</v>
      </c>
      <c r="S1274" t="s">
        <v>451</v>
      </c>
      <c r="T1274" t="s">
        <v>11</v>
      </c>
      <c r="U1274" t="s">
        <v>408</v>
      </c>
    </row>
    <row r="1275" spans="1:21" x14ac:dyDescent="0.25">
      <c r="A1275">
        <v>20910640</v>
      </c>
      <c r="B1275" t="s">
        <v>340</v>
      </c>
      <c r="C1275" t="s">
        <v>26</v>
      </c>
      <c r="D1275" t="s">
        <v>12</v>
      </c>
      <c r="E1275" t="s">
        <v>720</v>
      </c>
      <c r="F1275" t="s">
        <v>91</v>
      </c>
      <c r="G1275" t="s">
        <v>369</v>
      </c>
      <c r="H1275" t="s">
        <v>0</v>
      </c>
      <c r="I1275" t="s">
        <v>436</v>
      </c>
      <c r="J1275" t="s">
        <v>437</v>
      </c>
      <c r="K1275" t="s">
        <v>438</v>
      </c>
      <c r="L1275" t="s">
        <v>345</v>
      </c>
      <c r="M1275" t="s">
        <v>408</v>
      </c>
      <c r="N1275" t="s">
        <v>408</v>
      </c>
      <c r="O1275" t="s">
        <v>11</v>
      </c>
      <c r="P1275" t="s">
        <v>0</v>
      </c>
      <c r="Q1275" t="s">
        <v>408</v>
      </c>
      <c r="R1275" t="s">
        <v>439</v>
      </c>
      <c r="S1275" t="s">
        <v>440</v>
      </c>
      <c r="T1275" t="s">
        <v>408</v>
      </c>
      <c r="U1275" t="s">
        <v>408</v>
      </c>
    </row>
    <row r="1276" spans="1:21" x14ac:dyDescent="0.25">
      <c r="A1276">
        <v>20910641</v>
      </c>
      <c r="B1276" t="s">
        <v>340</v>
      </c>
      <c r="C1276" t="s">
        <v>26</v>
      </c>
      <c r="D1276" t="s">
        <v>12</v>
      </c>
      <c r="E1276" t="s">
        <v>609</v>
      </c>
      <c r="F1276" t="s">
        <v>141</v>
      </c>
      <c r="G1276" t="s">
        <v>369</v>
      </c>
      <c r="H1276" t="s">
        <v>0</v>
      </c>
      <c r="I1276" t="s">
        <v>436</v>
      </c>
      <c r="J1276" t="s">
        <v>437</v>
      </c>
      <c r="K1276" t="s">
        <v>438</v>
      </c>
      <c r="L1276" t="s">
        <v>1</v>
      </c>
      <c r="M1276" t="s">
        <v>408</v>
      </c>
      <c r="N1276" t="s">
        <v>11</v>
      </c>
      <c r="O1276" t="s">
        <v>408</v>
      </c>
      <c r="P1276" t="s">
        <v>0</v>
      </c>
      <c r="Q1276" t="s">
        <v>408</v>
      </c>
      <c r="R1276" t="s">
        <v>439</v>
      </c>
      <c r="S1276" t="s">
        <v>440</v>
      </c>
      <c r="T1276" t="s">
        <v>11</v>
      </c>
      <c r="U1276" t="s">
        <v>408</v>
      </c>
    </row>
    <row r="1277" spans="1:21" x14ac:dyDescent="0.25">
      <c r="A1277">
        <v>20910643</v>
      </c>
      <c r="B1277" t="s">
        <v>340</v>
      </c>
      <c r="C1277" t="s">
        <v>26</v>
      </c>
      <c r="D1277" t="s">
        <v>12</v>
      </c>
      <c r="E1277" t="s">
        <v>612</v>
      </c>
      <c r="F1277" t="s">
        <v>72</v>
      </c>
      <c r="G1277" t="s">
        <v>369</v>
      </c>
      <c r="H1277" t="s">
        <v>370</v>
      </c>
      <c r="I1277" t="s">
        <v>721</v>
      </c>
      <c r="J1277" t="s">
        <v>455</v>
      </c>
      <c r="K1277" t="s">
        <v>453</v>
      </c>
      <c r="L1277" t="s">
        <v>367</v>
      </c>
      <c r="M1277" t="s">
        <v>408</v>
      </c>
      <c r="N1277" t="s">
        <v>11</v>
      </c>
      <c r="O1277" t="s">
        <v>11</v>
      </c>
      <c r="P1277" t="s">
        <v>151</v>
      </c>
      <c r="Q1277" t="s">
        <v>408</v>
      </c>
      <c r="R1277" t="s">
        <v>439</v>
      </c>
      <c r="S1277" t="s">
        <v>451</v>
      </c>
      <c r="T1277" t="s">
        <v>11</v>
      </c>
      <c r="U1277" t="s">
        <v>408</v>
      </c>
    </row>
    <row r="1278" spans="1:21" x14ac:dyDescent="0.25">
      <c r="A1278">
        <v>20910650</v>
      </c>
      <c r="B1278" t="s">
        <v>342</v>
      </c>
      <c r="C1278" t="s">
        <v>33</v>
      </c>
      <c r="D1278" t="s">
        <v>12</v>
      </c>
      <c r="E1278" t="s">
        <v>530</v>
      </c>
      <c r="F1278" t="s">
        <v>157</v>
      </c>
      <c r="G1278" t="s">
        <v>369</v>
      </c>
      <c r="H1278" t="s">
        <v>370</v>
      </c>
      <c r="I1278" t="s">
        <v>721</v>
      </c>
      <c r="J1278" t="s">
        <v>455</v>
      </c>
      <c r="K1278" t="s">
        <v>453</v>
      </c>
      <c r="L1278" t="s">
        <v>396</v>
      </c>
      <c r="M1278" t="s">
        <v>408</v>
      </c>
      <c r="N1278" t="s">
        <v>11</v>
      </c>
      <c r="O1278" t="s">
        <v>408</v>
      </c>
      <c r="P1278" t="s">
        <v>0</v>
      </c>
      <c r="Q1278" t="s">
        <v>408</v>
      </c>
      <c r="R1278" t="s">
        <v>439</v>
      </c>
      <c r="S1278" t="s">
        <v>451</v>
      </c>
      <c r="T1278" t="s">
        <v>11</v>
      </c>
      <c r="U1278" t="s">
        <v>408</v>
      </c>
    </row>
    <row r="1279" spans="1:21" x14ac:dyDescent="0.25">
      <c r="A1279">
        <v>20910653</v>
      </c>
      <c r="B1279" t="s">
        <v>342</v>
      </c>
      <c r="C1279" t="s">
        <v>33</v>
      </c>
      <c r="D1279" t="s">
        <v>12</v>
      </c>
      <c r="E1279" t="s">
        <v>538</v>
      </c>
      <c r="F1279" t="s">
        <v>34</v>
      </c>
      <c r="G1279" t="s">
        <v>369</v>
      </c>
      <c r="H1279" t="s">
        <v>2</v>
      </c>
      <c r="I1279" t="s">
        <v>436</v>
      </c>
      <c r="J1279" t="s">
        <v>443</v>
      </c>
      <c r="K1279" t="s">
        <v>444</v>
      </c>
      <c r="L1279" t="s">
        <v>5</v>
      </c>
      <c r="M1279" t="s">
        <v>408</v>
      </c>
      <c r="N1279" t="s">
        <v>11</v>
      </c>
      <c r="O1279" t="s">
        <v>11</v>
      </c>
      <c r="P1279" t="s">
        <v>349</v>
      </c>
      <c r="Q1279" t="s">
        <v>408</v>
      </c>
      <c r="R1279" t="s">
        <v>439</v>
      </c>
      <c r="S1279" t="s">
        <v>440</v>
      </c>
      <c r="T1279" t="s">
        <v>11</v>
      </c>
      <c r="U1279" t="s">
        <v>408</v>
      </c>
    </row>
    <row r="1280" spans="1:21" x14ac:dyDescent="0.25">
      <c r="A1280">
        <v>20910654</v>
      </c>
      <c r="B1280" t="s">
        <v>342</v>
      </c>
      <c r="C1280" t="s">
        <v>33</v>
      </c>
      <c r="D1280" t="s">
        <v>12</v>
      </c>
      <c r="E1280" t="s">
        <v>601</v>
      </c>
      <c r="F1280" t="s">
        <v>179</v>
      </c>
      <c r="G1280" t="s">
        <v>369</v>
      </c>
      <c r="H1280" t="s">
        <v>0</v>
      </c>
      <c r="I1280" t="s">
        <v>436</v>
      </c>
      <c r="J1280" t="s">
        <v>437</v>
      </c>
      <c r="K1280" t="s">
        <v>438</v>
      </c>
      <c r="L1280" t="s">
        <v>1</v>
      </c>
      <c r="M1280" t="s">
        <v>408</v>
      </c>
      <c r="N1280" t="s">
        <v>11</v>
      </c>
      <c r="O1280" t="s">
        <v>11</v>
      </c>
      <c r="P1280" t="s">
        <v>349</v>
      </c>
      <c r="Q1280" t="s">
        <v>408</v>
      </c>
      <c r="R1280" t="s">
        <v>439</v>
      </c>
      <c r="S1280" t="s">
        <v>440</v>
      </c>
      <c r="T1280" t="s">
        <v>11</v>
      </c>
      <c r="U1280" t="s">
        <v>408</v>
      </c>
    </row>
    <row r="1281" spans="1:21" x14ac:dyDescent="0.25">
      <c r="A1281">
        <v>20910659</v>
      </c>
      <c r="B1281" t="s">
        <v>342</v>
      </c>
      <c r="C1281" t="s">
        <v>33</v>
      </c>
      <c r="D1281" t="s">
        <v>125</v>
      </c>
      <c r="E1281" t="s">
        <v>531</v>
      </c>
      <c r="F1281" t="s">
        <v>156</v>
      </c>
      <c r="G1281" t="s">
        <v>369</v>
      </c>
      <c r="H1281" t="s">
        <v>370</v>
      </c>
      <c r="I1281" t="s">
        <v>721</v>
      </c>
      <c r="J1281" t="s">
        <v>455</v>
      </c>
      <c r="K1281" t="s">
        <v>453</v>
      </c>
      <c r="L1281" t="s">
        <v>367</v>
      </c>
      <c r="M1281" t="s">
        <v>408</v>
      </c>
      <c r="N1281" t="s">
        <v>11</v>
      </c>
      <c r="O1281" t="s">
        <v>11</v>
      </c>
      <c r="P1281" t="s">
        <v>0</v>
      </c>
      <c r="Q1281" t="s">
        <v>408</v>
      </c>
      <c r="R1281" t="s">
        <v>439</v>
      </c>
      <c r="S1281" t="s">
        <v>451</v>
      </c>
      <c r="T1281" t="s">
        <v>11</v>
      </c>
      <c r="U1281" t="s">
        <v>408</v>
      </c>
    </row>
    <row r="1282" spans="1:21" x14ac:dyDescent="0.25">
      <c r="A1282">
        <v>20910665</v>
      </c>
      <c r="B1282" t="s">
        <v>340</v>
      </c>
      <c r="C1282" t="s">
        <v>86</v>
      </c>
      <c r="D1282" t="s">
        <v>12</v>
      </c>
      <c r="E1282" t="s">
        <v>628</v>
      </c>
      <c r="F1282" t="s">
        <v>85</v>
      </c>
      <c r="G1282" t="s">
        <v>369</v>
      </c>
      <c r="H1282" t="s">
        <v>370</v>
      </c>
      <c r="I1282" t="s">
        <v>721</v>
      </c>
      <c r="J1282" t="s">
        <v>455</v>
      </c>
      <c r="K1282" t="s">
        <v>453</v>
      </c>
      <c r="L1282" t="s">
        <v>367</v>
      </c>
      <c r="M1282" t="s">
        <v>408</v>
      </c>
      <c r="N1282" t="s">
        <v>11</v>
      </c>
      <c r="O1282" t="s">
        <v>11</v>
      </c>
      <c r="P1282" t="s">
        <v>0</v>
      </c>
      <c r="Q1282" t="s">
        <v>408</v>
      </c>
      <c r="R1282" t="s">
        <v>439</v>
      </c>
      <c r="S1282" t="s">
        <v>451</v>
      </c>
      <c r="T1282" t="s">
        <v>11</v>
      </c>
      <c r="U1282" t="s">
        <v>408</v>
      </c>
    </row>
    <row r="1283" spans="1:21" x14ac:dyDescent="0.25">
      <c r="A1283">
        <v>20910692</v>
      </c>
      <c r="B1283" t="s">
        <v>340</v>
      </c>
      <c r="C1283" t="s">
        <v>86</v>
      </c>
      <c r="D1283" t="s">
        <v>12</v>
      </c>
      <c r="E1283" t="s">
        <v>628</v>
      </c>
      <c r="F1283" t="s">
        <v>85</v>
      </c>
      <c r="G1283" t="s">
        <v>369</v>
      </c>
      <c r="H1283" t="s">
        <v>4</v>
      </c>
      <c r="I1283" t="s">
        <v>464</v>
      </c>
      <c r="J1283" t="s">
        <v>463</v>
      </c>
      <c r="K1283" t="s">
        <v>462</v>
      </c>
      <c r="L1283" t="s">
        <v>3</v>
      </c>
      <c r="M1283" t="s">
        <v>408</v>
      </c>
      <c r="N1283" t="s">
        <v>11</v>
      </c>
      <c r="O1283" t="s">
        <v>11</v>
      </c>
      <c r="P1283" t="s">
        <v>0</v>
      </c>
      <c r="Q1283" t="s">
        <v>408</v>
      </c>
      <c r="R1283" t="s">
        <v>439</v>
      </c>
      <c r="S1283" t="s">
        <v>451</v>
      </c>
      <c r="T1283" t="s">
        <v>11</v>
      </c>
      <c r="U1283" t="s">
        <v>408</v>
      </c>
    </row>
    <row r="1284" spans="1:21" x14ac:dyDescent="0.25">
      <c r="A1284">
        <v>20910699</v>
      </c>
      <c r="B1284" t="s">
        <v>342</v>
      </c>
      <c r="C1284" t="s">
        <v>89</v>
      </c>
      <c r="D1284" t="s">
        <v>18</v>
      </c>
      <c r="E1284" t="s">
        <v>628</v>
      </c>
      <c r="F1284" t="s">
        <v>85</v>
      </c>
      <c r="G1284" t="s">
        <v>369</v>
      </c>
      <c r="H1284" t="s">
        <v>0</v>
      </c>
      <c r="I1284" t="s">
        <v>436</v>
      </c>
      <c r="J1284" t="s">
        <v>437</v>
      </c>
      <c r="K1284" t="s">
        <v>438</v>
      </c>
      <c r="L1284" t="s">
        <v>345</v>
      </c>
      <c r="M1284" t="s">
        <v>408</v>
      </c>
      <c r="N1284" t="s">
        <v>11</v>
      </c>
      <c r="O1284" t="s">
        <v>11</v>
      </c>
      <c r="P1284" t="s">
        <v>0</v>
      </c>
      <c r="Q1284" t="s">
        <v>408</v>
      </c>
      <c r="R1284" t="s">
        <v>439</v>
      </c>
      <c r="S1284" t="s">
        <v>440</v>
      </c>
      <c r="T1284" t="s">
        <v>11</v>
      </c>
      <c r="U1284" t="s">
        <v>408</v>
      </c>
    </row>
    <row r="1285" spans="1:21" x14ac:dyDescent="0.25">
      <c r="A1285">
        <v>20910726</v>
      </c>
      <c r="B1285" t="s">
        <v>340</v>
      </c>
      <c r="C1285" t="s">
        <v>86</v>
      </c>
      <c r="D1285" t="s">
        <v>12</v>
      </c>
      <c r="E1285" t="s">
        <v>628</v>
      </c>
      <c r="F1285" t="s">
        <v>82</v>
      </c>
      <c r="G1285" t="s">
        <v>369</v>
      </c>
      <c r="H1285" t="s">
        <v>4</v>
      </c>
      <c r="I1285" t="s">
        <v>464</v>
      </c>
      <c r="J1285" t="s">
        <v>463</v>
      </c>
      <c r="K1285" t="s">
        <v>462</v>
      </c>
      <c r="L1285" t="s">
        <v>3</v>
      </c>
      <c r="M1285" t="s">
        <v>408</v>
      </c>
      <c r="N1285" t="s">
        <v>11</v>
      </c>
      <c r="O1285" t="s">
        <v>11</v>
      </c>
      <c r="P1285" t="s">
        <v>0</v>
      </c>
      <c r="Q1285" t="s">
        <v>408</v>
      </c>
      <c r="R1285" t="s">
        <v>439</v>
      </c>
      <c r="S1285" t="s">
        <v>451</v>
      </c>
      <c r="T1285" t="s">
        <v>11</v>
      </c>
      <c r="U1285" t="s">
        <v>408</v>
      </c>
    </row>
    <row r="1286" spans="1:21" x14ac:dyDescent="0.25">
      <c r="A1286">
        <v>20910733</v>
      </c>
      <c r="B1286" t="s">
        <v>340</v>
      </c>
      <c r="C1286" t="s">
        <v>86</v>
      </c>
      <c r="D1286" t="s">
        <v>12</v>
      </c>
      <c r="E1286" t="s">
        <v>628</v>
      </c>
      <c r="F1286" t="s">
        <v>85</v>
      </c>
      <c r="G1286" t="s">
        <v>369</v>
      </c>
      <c r="H1286" t="s">
        <v>370</v>
      </c>
      <c r="I1286" t="s">
        <v>721</v>
      </c>
      <c r="J1286" t="s">
        <v>455</v>
      </c>
      <c r="K1286" t="s">
        <v>453</v>
      </c>
      <c r="L1286" t="s">
        <v>367</v>
      </c>
      <c r="M1286" t="s">
        <v>408</v>
      </c>
      <c r="N1286" t="s">
        <v>11</v>
      </c>
      <c r="O1286" t="s">
        <v>11</v>
      </c>
      <c r="P1286" t="s">
        <v>0</v>
      </c>
      <c r="Q1286" t="s">
        <v>408</v>
      </c>
      <c r="R1286" t="s">
        <v>439</v>
      </c>
      <c r="S1286" t="s">
        <v>451</v>
      </c>
      <c r="T1286" t="s">
        <v>11</v>
      </c>
      <c r="U1286" t="s">
        <v>408</v>
      </c>
    </row>
    <row r="1287" spans="1:21" x14ac:dyDescent="0.25">
      <c r="A1287">
        <v>20910739</v>
      </c>
      <c r="B1287" t="s">
        <v>340</v>
      </c>
      <c r="C1287" t="s">
        <v>26</v>
      </c>
      <c r="D1287" t="s">
        <v>12</v>
      </c>
      <c r="E1287" t="s">
        <v>512</v>
      </c>
      <c r="F1287" t="s">
        <v>92</v>
      </c>
      <c r="G1287" t="s">
        <v>369</v>
      </c>
      <c r="H1287" t="s">
        <v>370</v>
      </c>
      <c r="I1287" t="s">
        <v>721</v>
      </c>
      <c r="J1287" t="s">
        <v>455</v>
      </c>
      <c r="K1287" t="s">
        <v>453</v>
      </c>
      <c r="L1287" t="s">
        <v>367</v>
      </c>
      <c r="M1287" t="s">
        <v>408</v>
      </c>
      <c r="N1287" t="s">
        <v>11</v>
      </c>
      <c r="O1287" t="s">
        <v>11</v>
      </c>
      <c r="P1287" t="s">
        <v>0</v>
      </c>
      <c r="Q1287" t="s">
        <v>408</v>
      </c>
      <c r="R1287" t="s">
        <v>439</v>
      </c>
      <c r="S1287" t="s">
        <v>451</v>
      </c>
      <c r="T1287" t="s">
        <v>11</v>
      </c>
      <c r="U1287" t="s">
        <v>408</v>
      </c>
    </row>
    <row r="1288" spans="1:21" x14ac:dyDescent="0.25">
      <c r="A1288">
        <v>20910740</v>
      </c>
      <c r="B1288" t="s">
        <v>340</v>
      </c>
      <c r="C1288" t="s">
        <v>26</v>
      </c>
      <c r="D1288" t="s">
        <v>12</v>
      </c>
      <c r="E1288" t="s">
        <v>720</v>
      </c>
      <c r="F1288" t="s">
        <v>54</v>
      </c>
      <c r="G1288" t="s">
        <v>369</v>
      </c>
      <c r="H1288" t="s">
        <v>0</v>
      </c>
      <c r="I1288" t="s">
        <v>436</v>
      </c>
      <c r="J1288" t="s">
        <v>437</v>
      </c>
      <c r="K1288" t="s">
        <v>438</v>
      </c>
      <c r="L1288" t="s">
        <v>1</v>
      </c>
      <c r="M1288" t="s">
        <v>408</v>
      </c>
      <c r="N1288" t="s">
        <v>11</v>
      </c>
      <c r="O1288" t="s">
        <v>408</v>
      </c>
      <c r="P1288" t="s">
        <v>350</v>
      </c>
      <c r="Q1288" t="s">
        <v>408</v>
      </c>
      <c r="R1288" t="s">
        <v>439</v>
      </c>
      <c r="S1288" t="s">
        <v>440</v>
      </c>
      <c r="T1288" t="s">
        <v>11</v>
      </c>
      <c r="U1288" t="s">
        <v>408</v>
      </c>
    </row>
    <row r="1289" spans="1:21" x14ac:dyDescent="0.25">
      <c r="A1289">
        <v>20910269</v>
      </c>
      <c r="B1289" t="s">
        <v>342</v>
      </c>
      <c r="C1289" t="s">
        <v>33</v>
      </c>
      <c r="D1289" t="s">
        <v>12</v>
      </c>
      <c r="E1289" t="s">
        <v>751</v>
      </c>
      <c r="F1289" t="s">
        <v>97</v>
      </c>
      <c r="G1289" t="s">
        <v>369</v>
      </c>
      <c r="H1289" t="s">
        <v>370</v>
      </c>
      <c r="I1289" t="s">
        <v>721</v>
      </c>
      <c r="J1289" t="s">
        <v>455</v>
      </c>
      <c r="K1289" t="s">
        <v>453</v>
      </c>
      <c r="L1289" t="s">
        <v>367</v>
      </c>
      <c r="M1289" t="s">
        <v>408</v>
      </c>
      <c r="N1289" t="s">
        <v>11</v>
      </c>
      <c r="O1289" t="s">
        <v>11</v>
      </c>
      <c r="P1289" t="s">
        <v>2</v>
      </c>
      <c r="Q1289" t="s">
        <v>408</v>
      </c>
      <c r="R1289" t="s">
        <v>439</v>
      </c>
      <c r="S1289" t="s">
        <v>451</v>
      </c>
      <c r="T1289" t="s">
        <v>11</v>
      </c>
      <c r="U1289" t="s">
        <v>408</v>
      </c>
    </row>
    <row r="1290" spans="1:21" x14ac:dyDescent="0.25">
      <c r="A1290">
        <v>20910744</v>
      </c>
      <c r="B1290" t="s">
        <v>340</v>
      </c>
      <c r="C1290" t="s">
        <v>26</v>
      </c>
      <c r="D1290" t="s">
        <v>18</v>
      </c>
      <c r="E1290" t="s">
        <v>720</v>
      </c>
      <c r="F1290" t="s">
        <v>54</v>
      </c>
      <c r="G1290" t="s">
        <v>369</v>
      </c>
      <c r="H1290" t="s">
        <v>715</v>
      </c>
      <c r="I1290" t="s">
        <v>716</v>
      </c>
      <c r="J1290" t="s">
        <v>717</v>
      </c>
      <c r="K1290" t="s">
        <v>438</v>
      </c>
      <c r="L1290" t="s">
        <v>2</v>
      </c>
      <c r="M1290" t="s">
        <v>408</v>
      </c>
      <c r="N1290" t="s">
        <v>11</v>
      </c>
      <c r="O1290" t="s">
        <v>11</v>
      </c>
      <c r="P1290" t="s">
        <v>347</v>
      </c>
      <c r="Q1290" t="s">
        <v>408</v>
      </c>
      <c r="R1290" t="s">
        <v>439</v>
      </c>
      <c r="S1290" t="s">
        <v>440</v>
      </c>
      <c r="T1290" t="s">
        <v>11</v>
      </c>
      <c r="U1290" t="s">
        <v>408</v>
      </c>
    </row>
    <row r="1291" spans="1:21" x14ac:dyDescent="0.25">
      <c r="A1291">
        <v>20910745</v>
      </c>
      <c r="B1291" t="s">
        <v>340</v>
      </c>
      <c r="C1291" t="s">
        <v>26</v>
      </c>
      <c r="D1291" t="s">
        <v>12</v>
      </c>
      <c r="E1291" t="s">
        <v>601</v>
      </c>
      <c r="F1291" t="s">
        <v>29</v>
      </c>
      <c r="G1291" t="s">
        <v>369</v>
      </c>
      <c r="H1291" t="s">
        <v>715</v>
      </c>
      <c r="I1291" t="s">
        <v>716</v>
      </c>
      <c r="J1291" t="s">
        <v>717</v>
      </c>
      <c r="K1291" t="s">
        <v>438</v>
      </c>
      <c r="L1291" t="s">
        <v>2</v>
      </c>
      <c r="M1291" t="s">
        <v>408</v>
      </c>
      <c r="N1291" t="s">
        <v>11</v>
      </c>
      <c r="O1291" t="s">
        <v>11</v>
      </c>
      <c r="P1291" t="s">
        <v>2</v>
      </c>
      <c r="Q1291" t="s">
        <v>408</v>
      </c>
      <c r="R1291" t="s">
        <v>439</v>
      </c>
      <c r="S1291" t="s">
        <v>440</v>
      </c>
      <c r="T1291" t="s">
        <v>11</v>
      </c>
      <c r="U1291" t="s">
        <v>408</v>
      </c>
    </row>
    <row r="1292" spans="1:21" x14ac:dyDescent="0.25">
      <c r="A1292">
        <v>20910747</v>
      </c>
      <c r="B1292" t="s">
        <v>340</v>
      </c>
      <c r="C1292" t="s">
        <v>26</v>
      </c>
      <c r="D1292" t="s">
        <v>79</v>
      </c>
      <c r="E1292" t="s">
        <v>613</v>
      </c>
      <c r="F1292" t="s">
        <v>90</v>
      </c>
      <c r="G1292" t="s">
        <v>369</v>
      </c>
      <c r="H1292" t="s">
        <v>1</v>
      </c>
      <c r="I1292" t="s">
        <v>469</v>
      </c>
      <c r="J1292" t="s">
        <v>445</v>
      </c>
      <c r="K1292" t="s">
        <v>438</v>
      </c>
      <c r="L1292" t="s">
        <v>2</v>
      </c>
      <c r="M1292" t="s">
        <v>408</v>
      </c>
      <c r="N1292" t="s">
        <v>11</v>
      </c>
      <c r="O1292" t="s">
        <v>11</v>
      </c>
      <c r="P1292" t="s">
        <v>350</v>
      </c>
      <c r="Q1292" t="s">
        <v>408</v>
      </c>
      <c r="R1292" t="s">
        <v>439</v>
      </c>
      <c r="S1292" t="s">
        <v>440</v>
      </c>
      <c r="T1292" t="s">
        <v>11</v>
      </c>
      <c r="U1292" t="s">
        <v>408</v>
      </c>
    </row>
    <row r="1293" spans="1:21" x14ac:dyDescent="0.25">
      <c r="A1293">
        <v>20910751</v>
      </c>
      <c r="B1293" t="s">
        <v>340</v>
      </c>
      <c r="C1293" t="s">
        <v>26</v>
      </c>
      <c r="D1293" t="s">
        <v>12</v>
      </c>
      <c r="E1293" t="s">
        <v>622</v>
      </c>
      <c r="F1293" t="s">
        <v>221</v>
      </c>
      <c r="G1293" t="s">
        <v>369</v>
      </c>
      <c r="H1293" t="s">
        <v>0</v>
      </c>
      <c r="I1293" t="s">
        <v>436</v>
      </c>
      <c r="J1293" t="s">
        <v>437</v>
      </c>
      <c r="K1293" t="s">
        <v>438</v>
      </c>
      <c r="L1293" t="s">
        <v>345</v>
      </c>
      <c r="M1293" t="s">
        <v>408</v>
      </c>
      <c r="N1293" t="s">
        <v>408</v>
      </c>
      <c r="O1293" t="s">
        <v>11</v>
      </c>
      <c r="P1293" t="s">
        <v>0</v>
      </c>
      <c r="Q1293" t="s">
        <v>408</v>
      </c>
      <c r="R1293" t="s">
        <v>439</v>
      </c>
      <c r="S1293" t="s">
        <v>440</v>
      </c>
      <c r="T1293" t="s">
        <v>408</v>
      </c>
      <c r="U1293" t="s">
        <v>408</v>
      </c>
    </row>
    <row r="1294" spans="1:21" x14ac:dyDescent="0.25">
      <c r="A1294">
        <v>20910752</v>
      </c>
      <c r="B1294" t="s">
        <v>340</v>
      </c>
      <c r="C1294" t="s">
        <v>26</v>
      </c>
      <c r="D1294" t="s">
        <v>12</v>
      </c>
      <c r="E1294" t="s">
        <v>623</v>
      </c>
      <c r="F1294" t="s">
        <v>30</v>
      </c>
      <c r="G1294" t="s">
        <v>369</v>
      </c>
      <c r="H1294" t="s">
        <v>1</v>
      </c>
      <c r="I1294" t="s">
        <v>469</v>
      </c>
      <c r="J1294" t="s">
        <v>445</v>
      </c>
      <c r="K1294" t="s">
        <v>438</v>
      </c>
      <c r="L1294" t="s">
        <v>2</v>
      </c>
      <c r="M1294" t="s">
        <v>408</v>
      </c>
      <c r="N1294" t="s">
        <v>408</v>
      </c>
      <c r="O1294" t="s">
        <v>11</v>
      </c>
      <c r="P1294" t="s">
        <v>2</v>
      </c>
      <c r="Q1294" t="s">
        <v>408</v>
      </c>
      <c r="R1294" t="s">
        <v>439</v>
      </c>
      <c r="S1294" t="s">
        <v>440</v>
      </c>
      <c r="T1294" t="s">
        <v>408</v>
      </c>
      <c r="U1294" t="s">
        <v>408</v>
      </c>
    </row>
    <row r="1295" spans="1:21" x14ac:dyDescent="0.25">
      <c r="A1295">
        <v>20910755</v>
      </c>
      <c r="B1295" t="s">
        <v>340</v>
      </c>
      <c r="C1295" t="s">
        <v>26</v>
      </c>
      <c r="D1295" t="s">
        <v>12</v>
      </c>
      <c r="E1295" t="s">
        <v>734</v>
      </c>
      <c r="F1295" t="s">
        <v>32</v>
      </c>
      <c r="G1295" t="s">
        <v>369</v>
      </c>
      <c r="H1295" t="s">
        <v>1</v>
      </c>
      <c r="I1295" t="s">
        <v>469</v>
      </c>
      <c r="J1295" t="s">
        <v>445</v>
      </c>
      <c r="K1295" t="s">
        <v>438</v>
      </c>
      <c r="L1295" t="s">
        <v>2</v>
      </c>
      <c r="M1295" t="s">
        <v>408</v>
      </c>
      <c r="N1295" t="s">
        <v>11</v>
      </c>
      <c r="O1295" t="s">
        <v>11</v>
      </c>
      <c r="P1295" t="s">
        <v>0</v>
      </c>
      <c r="Q1295" t="s">
        <v>408</v>
      </c>
      <c r="R1295" t="s">
        <v>439</v>
      </c>
      <c r="S1295" t="s">
        <v>440</v>
      </c>
      <c r="T1295" t="s">
        <v>11</v>
      </c>
      <c r="U1295" t="s">
        <v>408</v>
      </c>
    </row>
    <row r="1296" spans="1:21" x14ac:dyDescent="0.25">
      <c r="A1296">
        <v>20910756</v>
      </c>
      <c r="B1296" t="s">
        <v>340</v>
      </c>
      <c r="C1296" t="s">
        <v>26</v>
      </c>
      <c r="D1296" t="s">
        <v>18</v>
      </c>
      <c r="E1296" t="s">
        <v>623</v>
      </c>
      <c r="F1296" t="s">
        <v>30</v>
      </c>
      <c r="G1296" t="s">
        <v>369</v>
      </c>
      <c r="H1296" t="s">
        <v>744</v>
      </c>
      <c r="I1296" t="s">
        <v>745</v>
      </c>
      <c r="J1296" t="s">
        <v>746</v>
      </c>
      <c r="K1296" t="s">
        <v>442</v>
      </c>
      <c r="L1296" t="s">
        <v>2</v>
      </c>
      <c r="M1296" t="s">
        <v>408</v>
      </c>
      <c r="N1296" t="s">
        <v>408</v>
      </c>
      <c r="O1296" t="s">
        <v>11</v>
      </c>
      <c r="P1296" t="s">
        <v>2</v>
      </c>
      <c r="Q1296" t="s">
        <v>408</v>
      </c>
      <c r="R1296" t="s">
        <v>439</v>
      </c>
      <c r="S1296" t="s">
        <v>440</v>
      </c>
      <c r="T1296" t="s">
        <v>408</v>
      </c>
      <c r="U1296" t="s">
        <v>408</v>
      </c>
    </row>
    <row r="1297" spans="1:21" x14ac:dyDescent="0.25">
      <c r="A1297">
        <v>20910757</v>
      </c>
      <c r="B1297" t="s">
        <v>340</v>
      </c>
      <c r="C1297" t="s">
        <v>26</v>
      </c>
      <c r="D1297" t="s">
        <v>12</v>
      </c>
      <c r="E1297" t="s">
        <v>708</v>
      </c>
      <c r="F1297" t="s">
        <v>31</v>
      </c>
      <c r="G1297" t="s">
        <v>369</v>
      </c>
      <c r="H1297" t="s">
        <v>1</v>
      </c>
      <c r="I1297" t="s">
        <v>469</v>
      </c>
      <c r="J1297" t="s">
        <v>445</v>
      </c>
      <c r="K1297" t="s">
        <v>438</v>
      </c>
      <c r="L1297" t="s">
        <v>2</v>
      </c>
      <c r="M1297" t="s">
        <v>408</v>
      </c>
      <c r="N1297" t="s">
        <v>11</v>
      </c>
      <c r="O1297" t="s">
        <v>11</v>
      </c>
      <c r="P1297" t="s">
        <v>2</v>
      </c>
      <c r="Q1297" t="s">
        <v>408</v>
      </c>
      <c r="R1297" t="s">
        <v>439</v>
      </c>
      <c r="S1297" t="s">
        <v>440</v>
      </c>
      <c r="T1297" t="s">
        <v>11</v>
      </c>
      <c r="U1297" t="s">
        <v>408</v>
      </c>
    </row>
    <row r="1298" spans="1:21" x14ac:dyDescent="0.25">
      <c r="A1298">
        <v>20910758</v>
      </c>
      <c r="B1298" t="s">
        <v>340</v>
      </c>
      <c r="C1298" t="s">
        <v>26</v>
      </c>
      <c r="D1298" t="s">
        <v>18</v>
      </c>
      <c r="E1298" t="s">
        <v>623</v>
      </c>
      <c r="F1298" t="s">
        <v>30</v>
      </c>
      <c r="G1298" t="s">
        <v>369</v>
      </c>
      <c r="H1298" t="s">
        <v>5</v>
      </c>
      <c r="I1298" t="s">
        <v>436</v>
      </c>
      <c r="J1298" t="s">
        <v>446</v>
      </c>
      <c r="K1298" t="s">
        <v>438</v>
      </c>
      <c r="L1298" t="s">
        <v>2</v>
      </c>
      <c r="M1298" t="s">
        <v>408</v>
      </c>
      <c r="N1298" t="s">
        <v>408</v>
      </c>
      <c r="O1298" t="s">
        <v>11</v>
      </c>
      <c r="P1298" t="s">
        <v>2</v>
      </c>
      <c r="Q1298" t="s">
        <v>408</v>
      </c>
      <c r="R1298" t="s">
        <v>439</v>
      </c>
      <c r="S1298" t="s">
        <v>440</v>
      </c>
      <c r="T1298" t="s">
        <v>408</v>
      </c>
      <c r="U1298" t="s">
        <v>408</v>
      </c>
    </row>
    <row r="1299" spans="1:21" x14ac:dyDescent="0.25">
      <c r="A1299">
        <v>20910759</v>
      </c>
      <c r="B1299" t="s">
        <v>340</v>
      </c>
      <c r="C1299" t="s">
        <v>26</v>
      </c>
      <c r="D1299" t="s">
        <v>12</v>
      </c>
      <c r="E1299" t="s">
        <v>734</v>
      </c>
      <c r="F1299" t="s">
        <v>27</v>
      </c>
      <c r="G1299" t="s">
        <v>369</v>
      </c>
      <c r="H1299" t="s">
        <v>1</v>
      </c>
      <c r="I1299" t="s">
        <v>469</v>
      </c>
      <c r="J1299" t="s">
        <v>445</v>
      </c>
      <c r="K1299" t="s">
        <v>438</v>
      </c>
      <c r="L1299" t="s">
        <v>2</v>
      </c>
      <c r="M1299" t="s">
        <v>408</v>
      </c>
      <c r="N1299" t="s">
        <v>11</v>
      </c>
      <c r="O1299" t="s">
        <v>11</v>
      </c>
      <c r="P1299" t="s">
        <v>0</v>
      </c>
      <c r="Q1299" t="s">
        <v>408</v>
      </c>
      <c r="R1299" t="s">
        <v>439</v>
      </c>
      <c r="S1299" t="s">
        <v>440</v>
      </c>
      <c r="T1299" t="s">
        <v>11</v>
      </c>
      <c r="U1299" t="s">
        <v>408</v>
      </c>
    </row>
    <row r="1300" spans="1:21" x14ac:dyDescent="0.25">
      <c r="A1300">
        <v>20910760</v>
      </c>
      <c r="B1300" t="s">
        <v>340</v>
      </c>
      <c r="C1300" t="s">
        <v>26</v>
      </c>
      <c r="D1300" t="s">
        <v>12</v>
      </c>
      <c r="E1300" t="s">
        <v>734</v>
      </c>
      <c r="F1300" t="s">
        <v>27</v>
      </c>
      <c r="G1300" t="s">
        <v>369</v>
      </c>
      <c r="H1300" t="s">
        <v>1</v>
      </c>
      <c r="I1300" t="s">
        <v>469</v>
      </c>
      <c r="J1300" t="s">
        <v>445</v>
      </c>
      <c r="K1300" t="s">
        <v>438</v>
      </c>
      <c r="L1300" t="s">
        <v>2</v>
      </c>
      <c r="M1300" t="s">
        <v>408</v>
      </c>
      <c r="N1300" t="s">
        <v>11</v>
      </c>
      <c r="O1300" t="s">
        <v>11</v>
      </c>
      <c r="P1300" t="s">
        <v>0</v>
      </c>
      <c r="Q1300" t="s">
        <v>408</v>
      </c>
      <c r="R1300" t="s">
        <v>439</v>
      </c>
      <c r="S1300" t="s">
        <v>440</v>
      </c>
      <c r="T1300" t="s">
        <v>11</v>
      </c>
      <c r="U1300" t="s">
        <v>408</v>
      </c>
    </row>
    <row r="1301" spans="1:21" x14ac:dyDescent="0.25">
      <c r="A1301">
        <v>20910762</v>
      </c>
      <c r="B1301" t="s">
        <v>340</v>
      </c>
      <c r="C1301" t="s">
        <v>26</v>
      </c>
      <c r="D1301" t="s">
        <v>12</v>
      </c>
      <c r="E1301" t="s">
        <v>512</v>
      </c>
      <c r="F1301" t="s">
        <v>92</v>
      </c>
      <c r="G1301" t="s">
        <v>369</v>
      </c>
      <c r="H1301" t="s">
        <v>0</v>
      </c>
      <c r="I1301" t="s">
        <v>436</v>
      </c>
      <c r="J1301" t="s">
        <v>437</v>
      </c>
      <c r="K1301" t="s">
        <v>438</v>
      </c>
      <c r="L1301" t="s">
        <v>345</v>
      </c>
      <c r="M1301" t="s">
        <v>408</v>
      </c>
      <c r="N1301" t="s">
        <v>408</v>
      </c>
      <c r="O1301" t="s">
        <v>11</v>
      </c>
      <c r="P1301" t="s">
        <v>0</v>
      </c>
      <c r="Q1301" t="s">
        <v>408</v>
      </c>
      <c r="R1301" t="s">
        <v>439</v>
      </c>
      <c r="S1301" t="s">
        <v>440</v>
      </c>
      <c r="T1301" t="s">
        <v>408</v>
      </c>
      <c r="U1301" t="s">
        <v>408</v>
      </c>
    </row>
    <row r="1302" spans="1:21" x14ac:dyDescent="0.25">
      <c r="A1302">
        <v>20910763</v>
      </c>
      <c r="B1302" t="s">
        <v>340</v>
      </c>
      <c r="C1302" t="s">
        <v>26</v>
      </c>
      <c r="D1302" t="s">
        <v>12</v>
      </c>
      <c r="E1302" t="s">
        <v>740</v>
      </c>
      <c r="F1302" t="s">
        <v>225</v>
      </c>
      <c r="G1302" t="s">
        <v>369</v>
      </c>
      <c r="H1302" t="s">
        <v>3</v>
      </c>
      <c r="I1302" t="s">
        <v>436</v>
      </c>
      <c r="J1302" t="s">
        <v>441</v>
      </c>
      <c r="K1302" t="s">
        <v>442</v>
      </c>
      <c r="L1302" t="s">
        <v>0</v>
      </c>
      <c r="M1302" t="s">
        <v>408</v>
      </c>
      <c r="N1302" t="s">
        <v>408</v>
      </c>
      <c r="O1302" t="s">
        <v>11</v>
      </c>
      <c r="P1302" t="s">
        <v>0</v>
      </c>
      <c r="Q1302" t="s">
        <v>408</v>
      </c>
      <c r="R1302" t="s">
        <v>439</v>
      </c>
      <c r="S1302" t="s">
        <v>440</v>
      </c>
      <c r="T1302" t="s">
        <v>408</v>
      </c>
      <c r="U1302" t="s">
        <v>408</v>
      </c>
    </row>
    <row r="1303" spans="1:21" x14ac:dyDescent="0.25">
      <c r="A1303">
        <v>20910764</v>
      </c>
      <c r="B1303" t="s">
        <v>340</v>
      </c>
      <c r="C1303" t="s">
        <v>26</v>
      </c>
      <c r="D1303" t="s">
        <v>12</v>
      </c>
      <c r="E1303" t="s">
        <v>740</v>
      </c>
      <c r="F1303" t="s">
        <v>225</v>
      </c>
      <c r="G1303" t="s">
        <v>369</v>
      </c>
      <c r="H1303" t="s">
        <v>727</v>
      </c>
      <c r="I1303" t="s">
        <v>728</v>
      </c>
      <c r="J1303" t="s">
        <v>729</v>
      </c>
      <c r="K1303" t="s">
        <v>450</v>
      </c>
      <c r="L1303" t="s">
        <v>367</v>
      </c>
      <c r="M1303" t="s">
        <v>408</v>
      </c>
      <c r="N1303" t="s">
        <v>408</v>
      </c>
      <c r="O1303" t="s">
        <v>11</v>
      </c>
      <c r="P1303" t="s">
        <v>0</v>
      </c>
      <c r="Q1303" t="s">
        <v>408</v>
      </c>
      <c r="R1303" t="s">
        <v>439</v>
      </c>
      <c r="S1303" t="s">
        <v>451</v>
      </c>
      <c r="T1303" t="s">
        <v>408</v>
      </c>
      <c r="U1303" t="s">
        <v>408</v>
      </c>
    </row>
    <row r="1304" spans="1:21" x14ac:dyDescent="0.25">
      <c r="A1304">
        <v>20910766</v>
      </c>
      <c r="B1304" t="s">
        <v>342</v>
      </c>
      <c r="C1304" t="s">
        <v>33</v>
      </c>
      <c r="D1304" t="s">
        <v>12</v>
      </c>
      <c r="E1304" t="s">
        <v>601</v>
      </c>
      <c r="F1304" t="s">
        <v>319</v>
      </c>
      <c r="G1304" t="s">
        <v>369</v>
      </c>
      <c r="H1304" t="s">
        <v>1</v>
      </c>
      <c r="I1304" t="s">
        <v>469</v>
      </c>
      <c r="J1304" t="s">
        <v>445</v>
      </c>
      <c r="K1304" t="s">
        <v>438</v>
      </c>
      <c r="L1304" t="s">
        <v>0</v>
      </c>
      <c r="M1304" t="s">
        <v>408</v>
      </c>
      <c r="N1304" t="s">
        <v>11</v>
      </c>
      <c r="O1304" t="s">
        <v>11</v>
      </c>
      <c r="P1304" t="s">
        <v>349</v>
      </c>
      <c r="Q1304" t="s">
        <v>408</v>
      </c>
      <c r="R1304" t="s">
        <v>439</v>
      </c>
      <c r="S1304" t="s">
        <v>440</v>
      </c>
      <c r="T1304" t="s">
        <v>11</v>
      </c>
      <c r="U1304" t="s">
        <v>408</v>
      </c>
    </row>
    <row r="1305" spans="1:21" x14ac:dyDescent="0.25">
      <c r="A1305">
        <v>20910767</v>
      </c>
      <c r="B1305" t="s">
        <v>342</v>
      </c>
      <c r="C1305" t="s">
        <v>33</v>
      </c>
      <c r="D1305" t="s">
        <v>12</v>
      </c>
      <c r="E1305" t="s">
        <v>724</v>
      </c>
      <c r="F1305" t="s">
        <v>70</v>
      </c>
      <c r="G1305" t="s">
        <v>369</v>
      </c>
      <c r="H1305" t="s">
        <v>1</v>
      </c>
      <c r="I1305" t="s">
        <v>469</v>
      </c>
      <c r="J1305" t="s">
        <v>445</v>
      </c>
      <c r="K1305" t="s">
        <v>438</v>
      </c>
      <c r="L1305" t="s">
        <v>0</v>
      </c>
      <c r="M1305" t="s">
        <v>408</v>
      </c>
      <c r="N1305" t="s">
        <v>11</v>
      </c>
      <c r="O1305" t="s">
        <v>408</v>
      </c>
      <c r="P1305" t="s">
        <v>344</v>
      </c>
      <c r="Q1305" t="s">
        <v>408</v>
      </c>
      <c r="R1305" t="s">
        <v>439</v>
      </c>
      <c r="S1305" t="s">
        <v>440</v>
      </c>
      <c r="T1305" t="s">
        <v>11</v>
      </c>
      <c r="U1305" t="s">
        <v>408</v>
      </c>
    </row>
    <row r="1306" spans="1:21" x14ac:dyDescent="0.25">
      <c r="A1306">
        <v>20910768</v>
      </c>
      <c r="B1306" t="s">
        <v>342</v>
      </c>
      <c r="C1306" t="s">
        <v>89</v>
      </c>
      <c r="D1306" t="s">
        <v>12</v>
      </c>
      <c r="E1306" t="s">
        <v>485</v>
      </c>
      <c r="F1306" t="s">
        <v>585</v>
      </c>
      <c r="G1306" t="s">
        <v>369</v>
      </c>
      <c r="H1306" t="s">
        <v>370</v>
      </c>
      <c r="I1306" t="s">
        <v>721</v>
      </c>
      <c r="J1306" t="s">
        <v>455</v>
      </c>
      <c r="K1306" t="s">
        <v>453</v>
      </c>
      <c r="L1306" t="s">
        <v>367</v>
      </c>
      <c r="M1306" t="s">
        <v>408</v>
      </c>
      <c r="N1306" t="s">
        <v>11</v>
      </c>
      <c r="O1306" t="s">
        <v>11</v>
      </c>
      <c r="P1306" t="s">
        <v>0</v>
      </c>
      <c r="Q1306" t="s">
        <v>408</v>
      </c>
      <c r="R1306" t="s">
        <v>439</v>
      </c>
      <c r="S1306" t="s">
        <v>451</v>
      </c>
      <c r="T1306" t="s">
        <v>11</v>
      </c>
      <c r="U1306" t="s">
        <v>408</v>
      </c>
    </row>
    <row r="1307" spans="1:21" x14ac:dyDescent="0.25">
      <c r="A1307">
        <v>20910769</v>
      </c>
      <c r="B1307" t="s">
        <v>342</v>
      </c>
      <c r="C1307" t="s">
        <v>33</v>
      </c>
      <c r="D1307" t="s">
        <v>12</v>
      </c>
      <c r="E1307" t="s">
        <v>747</v>
      </c>
      <c r="F1307" t="s">
        <v>192</v>
      </c>
      <c r="G1307" t="s">
        <v>369</v>
      </c>
      <c r="H1307" t="s">
        <v>1</v>
      </c>
      <c r="I1307" t="s">
        <v>469</v>
      </c>
      <c r="J1307" t="s">
        <v>445</v>
      </c>
      <c r="K1307" t="s">
        <v>438</v>
      </c>
      <c r="L1307" t="s">
        <v>0</v>
      </c>
      <c r="M1307" t="s">
        <v>408</v>
      </c>
      <c r="N1307" t="s">
        <v>408</v>
      </c>
      <c r="O1307" t="s">
        <v>408</v>
      </c>
      <c r="P1307" t="s">
        <v>344</v>
      </c>
      <c r="Q1307" t="s">
        <v>408</v>
      </c>
      <c r="R1307" t="s">
        <v>439</v>
      </c>
      <c r="S1307" t="s">
        <v>440</v>
      </c>
      <c r="T1307" t="s">
        <v>408</v>
      </c>
      <c r="U1307" t="s">
        <v>408</v>
      </c>
    </row>
    <row r="1308" spans="1:21" x14ac:dyDescent="0.25">
      <c r="A1308">
        <v>20910770</v>
      </c>
      <c r="B1308" t="s">
        <v>340</v>
      </c>
      <c r="C1308" t="s">
        <v>26</v>
      </c>
      <c r="D1308" t="s">
        <v>12</v>
      </c>
      <c r="E1308" t="s">
        <v>622</v>
      </c>
      <c r="F1308" t="s">
        <v>221</v>
      </c>
      <c r="G1308" t="s">
        <v>369</v>
      </c>
      <c r="H1308" t="s">
        <v>370</v>
      </c>
      <c r="I1308" t="s">
        <v>721</v>
      </c>
      <c r="J1308" t="s">
        <v>455</v>
      </c>
      <c r="K1308" t="s">
        <v>453</v>
      </c>
      <c r="L1308" t="s">
        <v>367</v>
      </c>
      <c r="M1308" t="s">
        <v>408</v>
      </c>
      <c r="N1308" t="s">
        <v>408</v>
      </c>
      <c r="O1308" t="s">
        <v>11</v>
      </c>
      <c r="P1308" t="s">
        <v>0</v>
      </c>
      <c r="Q1308" t="s">
        <v>408</v>
      </c>
      <c r="R1308" t="s">
        <v>439</v>
      </c>
      <c r="S1308" t="s">
        <v>451</v>
      </c>
      <c r="T1308" t="s">
        <v>408</v>
      </c>
      <c r="U1308" t="s">
        <v>408</v>
      </c>
    </row>
    <row r="1309" spans="1:21" x14ac:dyDescent="0.25">
      <c r="A1309">
        <v>20910771</v>
      </c>
      <c r="B1309" t="s">
        <v>340</v>
      </c>
      <c r="C1309" t="s">
        <v>26</v>
      </c>
      <c r="D1309" t="s">
        <v>12</v>
      </c>
      <c r="E1309" t="s">
        <v>730</v>
      </c>
      <c r="F1309" t="s">
        <v>211</v>
      </c>
      <c r="G1309" t="s">
        <v>369</v>
      </c>
      <c r="H1309" t="s">
        <v>370</v>
      </c>
      <c r="I1309" t="s">
        <v>721</v>
      </c>
      <c r="J1309" t="s">
        <v>455</v>
      </c>
      <c r="K1309" t="s">
        <v>453</v>
      </c>
      <c r="L1309" t="s">
        <v>367</v>
      </c>
      <c r="M1309" t="s">
        <v>408</v>
      </c>
      <c r="N1309" t="s">
        <v>11</v>
      </c>
      <c r="O1309" t="s">
        <v>11</v>
      </c>
      <c r="P1309" t="s">
        <v>2</v>
      </c>
      <c r="Q1309" t="s">
        <v>408</v>
      </c>
      <c r="R1309" t="s">
        <v>439</v>
      </c>
      <c r="S1309" t="s">
        <v>451</v>
      </c>
      <c r="T1309" t="s">
        <v>11</v>
      </c>
      <c r="U1309" t="s">
        <v>408</v>
      </c>
    </row>
    <row r="1310" spans="1:21" x14ac:dyDescent="0.25">
      <c r="A1310">
        <v>20910773</v>
      </c>
      <c r="B1310" t="s">
        <v>340</v>
      </c>
      <c r="C1310" t="s">
        <v>26</v>
      </c>
      <c r="D1310" t="s">
        <v>12</v>
      </c>
      <c r="E1310" t="s">
        <v>734</v>
      </c>
      <c r="F1310" t="s">
        <v>45</v>
      </c>
      <c r="G1310" t="s">
        <v>369</v>
      </c>
      <c r="H1310" t="s">
        <v>1</v>
      </c>
      <c r="I1310" t="s">
        <v>469</v>
      </c>
      <c r="J1310" t="s">
        <v>445</v>
      </c>
      <c r="K1310" t="s">
        <v>438</v>
      </c>
      <c r="L1310" t="s">
        <v>2</v>
      </c>
      <c r="M1310" t="s">
        <v>408</v>
      </c>
      <c r="N1310" t="s">
        <v>11</v>
      </c>
      <c r="O1310" t="s">
        <v>11</v>
      </c>
      <c r="P1310" t="s">
        <v>2</v>
      </c>
      <c r="Q1310" t="s">
        <v>408</v>
      </c>
      <c r="R1310" t="s">
        <v>439</v>
      </c>
      <c r="S1310" t="s">
        <v>440</v>
      </c>
      <c r="T1310" t="s">
        <v>11</v>
      </c>
      <c r="U1310" t="s">
        <v>408</v>
      </c>
    </row>
    <row r="1311" spans="1:21" x14ac:dyDescent="0.25">
      <c r="A1311">
        <v>20910774</v>
      </c>
      <c r="B1311" t="s">
        <v>340</v>
      </c>
      <c r="C1311" t="s">
        <v>26</v>
      </c>
      <c r="D1311" t="s">
        <v>12</v>
      </c>
      <c r="E1311" t="s">
        <v>732</v>
      </c>
      <c r="F1311" t="s">
        <v>120</v>
      </c>
      <c r="G1311" t="s">
        <v>369</v>
      </c>
      <c r="H1311" t="s">
        <v>715</v>
      </c>
      <c r="I1311" t="s">
        <v>716</v>
      </c>
      <c r="J1311" t="s">
        <v>717</v>
      </c>
      <c r="K1311" t="s">
        <v>438</v>
      </c>
      <c r="L1311" t="s">
        <v>2</v>
      </c>
      <c r="M1311" t="s">
        <v>408</v>
      </c>
      <c r="N1311" t="s">
        <v>11</v>
      </c>
      <c r="O1311" t="s">
        <v>11</v>
      </c>
      <c r="P1311" t="s">
        <v>0</v>
      </c>
      <c r="Q1311" t="s">
        <v>408</v>
      </c>
      <c r="R1311" t="s">
        <v>439</v>
      </c>
      <c r="S1311" t="s">
        <v>440</v>
      </c>
      <c r="T1311" t="s">
        <v>11</v>
      </c>
      <c r="U1311" t="s">
        <v>408</v>
      </c>
    </row>
    <row r="1312" spans="1:21" x14ac:dyDescent="0.25">
      <c r="A1312">
        <v>20910775</v>
      </c>
      <c r="B1312" t="s">
        <v>340</v>
      </c>
      <c r="C1312" t="s">
        <v>26</v>
      </c>
      <c r="D1312" t="s">
        <v>109</v>
      </c>
      <c r="E1312" t="s">
        <v>730</v>
      </c>
      <c r="F1312" t="s">
        <v>41</v>
      </c>
      <c r="G1312" t="s">
        <v>369</v>
      </c>
      <c r="H1312" t="s">
        <v>2</v>
      </c>
      <c r="I1312" t="s">
        <v>436</v>
      </c>
      <c r="J1312" t="s">
        <v>443</v>
      </c>
      <c r="K1312" t="s">
        <v>444</v>
      </c>
      <c r="L1312" t="s">
        <v>151</v>
      </c>
      <c r="M1312" t="s">
        <v>408</v>
      </c>
      <c r="N1312" t="s">
        <v>11</v>
      </c>
      <c r="O1312" t="s">
        <v>11</v>
      </c>
      <c r="P1312" t="s">
        <v>151</v>
      </c>
      <c r="Q1312" t="s">
        <v>408</v>
      </c>
      <c r="R1312" t="s">
        <v>439</v>
      </c>
      <c r="S1312" t="s">
        <v>440</v>
      </c>
      <c r="T1312" t="s">
        <v>11</v>
      </c>
      <c r="U1312" t="s">
        <v>408</v>
      </c>
    </row>
    <row r="1313" spans="1:21" x14ac:dyDescent="0.25">
      <c r="A1313">
        <v>20910776</v>
      </c>
      <c r="B1313" t="s">
        <v>340</v>
      </c>
      <c r="C1313" t="s">
        <v>26</v>
      </c>
      <c r="D1313" t="s">
        <v>12</v>
      </c>
      <c r="E1313" t="s">
        <v>601</v>
      </c>
      <c r="F1313" t="s">
        <v>29</v>
      </c>
      <c r="G1313" t="s">
        <v>369</v>
      </c>
      <c r="H1313" t="s">
        <v>1</v>
      </c>
      <c r="I1313" t="s">
        <v>469</v>
      </c>
      <c r="J1313" t="s">
        <v>445</v>
      </c>
      <c r="K1313" t="s">
        <v>438</v>
      </c>
      <c r="L1313" t="s">
        <v>2</v>
      </c>
      <c r="M1313" t="s">
        <v>408</v>
      </c>
      <c r="N1313" t="s">
        <v>11</v>
      </c>
      <c r="O1313" t="s">
        <v>11</v>
      </c>
      <c r="P1313" t="s">
        <v>2</v>
      </c>
      <c r="Q1313" t="s">
        <v>408</v>
      </c>
      <c r="R1313" t="s">
        <v>439</v>
      </c>
      <c r="S1313" t="s">
        <v>440</v>
      </c>
      <c r="T1313" t="s">
        <v>11</v>
      </c>
      <c r="U1313" t="s">
        <v>408</v>
      </c>
    </row>
    <row r="1314" spans="1:21" x14ac:dyDescent="0.25">
      <c r="A1314">
        <v>20910777</v>
      </c>
      <c r="B1314" t="s">
        <v>340</v>
      </c>
      <c r="C1314" t="s">
        <v>26</v>
      </c>
      <c r="D1314" t="s">
        <v>12</v>
      </c>
      <c r="E1314" t="s">
        <v>708</v>
      </c>
      <c r="F1314" t="s">
        <v>31</v>
      </c>
      <c r="G1314" t="s">
        <v>369</v>
      </c>
      <c r="H1314" t="s">
        <v>5</v>
      </c>
      <c r="I1314" t="s">
        <v>436</v>
      </c>
      <c r="J1314" t="s">
        <v>446</v>
      </c>
      <c r="K1314" t="s">
        <v>438</v>
      </c>
      <c r="L1314" t="s">
        <v>2</v>
      </c>
      <c r="M1314" t="s">
        <v>408</v>
      </c>
      <c r="N1314" t="s">
        <v>11</v>
      </c>
      <c r="O1314" t="s">
        <v>11</v>
      </c>
      <c r="P1314" t="s">
        <v>2</v>
      </c>
      <c r="Q1314" t="s">
        <v>408</v>
      </c>
      <c r="R1314" t="s">
        <v>439</v>
      </c>
      <c r="S1314" t="s">
        <v>440</v>
      </c>
      <c r="T1314" t="s">
        <v>11</v>
      </c>
      <c r="U1314" t="s">
        <v>408</v>
      </c>
    </row>
    <row r="1315" spans="1:21" x14ac:dyDescent="0.25">
      <c r="A1315">
        <v>20910778</v>
      </c>
      <c r="B1315" t="s">
        <v>340</v>
      </c>
      <c r="C1315" t="s">
        <v>26</v>
      </c>
      <c r="D1315" t="s">
        <v>12</v>
      </c>
      <c r="E1315" t="s">
        <v>708</v>
      </c>
      <c r="F1315" t="s">
        <v>51</v>
      </c>
      <c r="G1315" t="s">
        <v>369</v>
      </c>
      <c r="H1315" t="s">
        <v>715</v>
      </c>
      <c r="I1315" t="s">
        <v>716</v>
      </c>
      <c r="J1315" t="s">
        <v>717</v>
      </c>
      <c r="K1315" t="s">
        <v>438</v>
      </c>
      <c r="L1315" t="s">
        <v>2</v>
      </c>
      <c r="M1315" t="s">
        <v>408</v>
      </c>
      <c r="N1315" t="s">
        <v>11</v>
      </c>
      <c r="O1315" t="s">
        <v>11</v>
      </c>
      <c r="P1315" t="s">
        <v>2</v>
      </c>
      <c r="Q1315" t="s">
        <v>408</v>
      </c>
      <c r="R1315" t="s">
        <v>439</v>
      </c>
      <c r="S1315" t="s">
        <v>440</v>
      </c>
      <c r="T1315" t="s">
        <v>11</v>
      </c>
      <c r="U1315" t="s">
        <v>408</v>
      </c>
    </row>
    <row r="1316" spans="1:21" x14ac:dyDescent="0.25">
      <c r="A1316">
        <v>20910779</v>
      </c>
      <c r="B1316" t="s">
        <v>340</v>
      </c>
      <c r="C1316" t="s">
        <v>26</v>
      </c>
      <c r="D1316" t="s">
        <v>12</v>
      </c>
      <c r="E1316" t="s">
        <v>708</v>
      </c>
      <c r="F1316" t="s">
        <v>31</v>
      </c>
      <c r="G1316" t="s">
        <v>369</v>
      </c>
      <c r="H1316" t="s">
        <v>1</v>
      </c>
      <c r="I1316" t="s">
        <v>469</v>
      </c>
      <c r="J1316" t="s">
        <v>445</v>
      </c>
      <c r="K1316" t="s">
        <v>438</v>
      </c>
      <c r="L1316" t="s">
        <v>2</v>
      </c>
      <c r="M1316" t="s">
        <v>408</v>
      </c>
      <c r="N1316" t="s">
        <v>11</v>
      </c>
      <c r="O1316" t="s">
        <v>11</v>
      </c>
      <c r="P1316" t="s">
        <v>2</v>
      </c>
      <c r="Q1316" t="s">
        <v>408</v>
      </c>
      <c r="R1316" t="s">
        <v>439</v>
      </c>
      <c r="S1316" t="s">
        <v>440</v>
      </c>
      <c r="T1316" t="s">
        <v>11</v>
      </c>
      <c r="U1316" t="s">
        <v>408</v>
      </c>
    </row>
    <row r="1317" spans="1:21" x14ac:dyDescent="0.25">
      <c r="A1317">
        <v>20910785</v>
      </c>
      <c r="B1317" t="s">
        <v>340</v>
      </c>
      <c r="C1317" t="s">
        <v>26</v>
      </c>
      <c r="D1317" t="s">
        <v>12</v>
      </c>
      <c r="E1317" t="s">
        <v>739</v>
      </c>
      <c r="F1317" t="s">
        <v>28</v>
      </c>
      <c r="G1317" t="s">
        <v>369</v>
      </c>
      <c r="H1317" t="s">
        <v>1</v>
      </c>
      <c r="I1317" t="s">
        <v>469</v>
      </c>
      <c r="J1317" t="s">
        <v>445</v>
      </c>
      <c r="K1317" t="s">
        <v>438</v>
      </c>
      <c r="L1317" t="s">
        <v>2</v>
      </c>
      <c r="M1317" t="s">
        <v>408</v>
      </c>
      <c r="N1317" t="s">
        <v>408</v>
      </c>
      <c r="O1317" t="s">
        <v>11</v>
      </c>
      <c r="P1317" t="s">
        <v>2</v>
      </c>
      <c r="Q1317" t="s">
        <v>408</v>
      </c>
      <c r="R1317" t="s">
        <v>439</v>
      </c>
      <c r="S1317" t="s">
        <v>440</v>
      </c>
      <c r="T1317" t="s">
        <v>408</v>
      </c>
      <c r="U1317" t="s">
        <v>408</v>
      </c>
    </row>
    <row r="1318" spans="1:21" x14ac:dyDescent="0.25">
      <c r="A1318">
        <v>20910786</v>
      </c>
      <c r="B1318" t="s">
        <v>340</v>
      </c>
      <c r="C1318" t="s">
        <v>26</v>
      </c>
      <c r="D1318" t="s">
        <v>12</v>
      </c>
      <c r="E1318" t="s">
        <v>739</v>
      </c>
      <c r="F1318" t="s">
        <v>28</v>
      </c>
      <c r="G1318" t="s">
        <v>369</v>
      </c>
      <c r="H1318" t="s">
        <v>370</v>
      </c>
      <c r="I1318" t="s">
        <v>721</v>
      </c>
      <c r="J1318" t="s">
        <v>455</v>
      </c>
      <c r="K1318" t="s">
        <v>453</v>
      </c>
      <c r="L1318" t="s">
        <v>2</v>
      </c>
      <c r="M1318" t="s">
        <v>408</v>
      </c>
      <c r="N1318" t="s">
        <v>408</v>
      </c>
      <c r="O1318" t="s">
        <v>11</v>
      </c>
      <c r="P1318" t="s">
        <v>2</v>
      </c>
      <c r="Q1318" t="s">
        <v>408</v>
      </c>
      <c r="R1318" t="s">
        <v>439</v>
      </c>
      <c r="S1318" t="s">
        <v>451</v>
      </c>
      <c r="T1318" t="s">
        <v>408</v>
      </c>
      <c r="U1318" t="s">
        <v>408</v>
      </c>
    </row>
    <row r="1319" spans="1:21" x14ac:dyDescent="0.25">
      <c r="A1319">
        <v>20910787</v>
      </c>
      <c r="B1319" t="s">
        <v>340</v>
      </c>
      <c r="C1319" t="s">
        <v>26</v>
      </c>
      <c r="D1319" t="s">
        <v>12</v>
      </c>
      <c r="E1319" t="s">
        <v>739</v>
      </c>
      <c r="F1319" t="s">
        <v>28</v>
      </c>
      <c r="G1319" t="s">
        <v>369</v>
      </c>
      <c r="H1319" t="s">
        <v>1</v>
      </c>
      <c r="I1319" t="s">
        <v>469</v>
      </c>
      <c r="J1319" t="s">
        <v>445</v>
      </c>
      <c r="K1319" t="s">
        <v>438</v>
      </c>
      <c r="L1319" t="s">
        <v>2</v>
      </c>
      <c r="M1319" t="s">
        <v>408</v>
      </c>
      <c r="N1319" t="s">
        <v>408</v>
      </c>
      <c r="O1319" t="s">
        <v>11</v>
      </c>
      <c r="P1319" t="s">
        <v>2</v>
      </c>
      <c r="Q1319" t="s">
        <v>408</v>
      </c>
      <c r="R1319" t="s">
        <v>439</v>
      </c>
      <c r="S1319" t="s">
        <v>440</v>
      </c>
      <c r="T1319" t="s">
        <v>408</v>
      </c>
      <c r="U1319" t="s">
        <v>408</v>
      </c>
    </row>
    <row r="1320" spans="1:21" x14ac:dyDescent="0.25">
      <c r="A1320">
        <v>20910788</v>
      </c>
      <c r="B1320" t="s">
        <v>340</v>
      </c>
      <c r="C1320" t="s">
        <v>26</v>
      </c>
      <c r="D1320" t="s">
        <v>12</v>
      </c>
      <c r="E1320" t="s">
        <v>739</v>
      </c>
      <c r="F1320" t="s">
        <v>28</v>
      </c>
      <c r="G1320" t="s">
        <v>369</v>
      </c>
      <c r="H1320" t="s">
        <v>1</v>
      </c>
      <c r="I1320" t="s">
        <v>469</v>
      </c>
      <c r="J1320" t="s">
        <v>445</v>
      </c>
      <c r="K1320" t="s">
        <v>438</v>
      </c>
      <c r="L1320" t="s">
        <v>2</v>
      </c>
      <c r="M1320" t="s">
        <v>408</v>
      </c>
      <c r="N1320" t="s">
        <v>408</v>
      </c>
      <c r="O1320" t="s">
        <v>11</v>
      </c>
      <c r="P1320" t="s">
        <v>2</v>
      </c>
      <c r="Q1320" t="s">
        <v>408</v>
      </c>
      <c r="R1320" t="s">
        <v>439</v>
      </c>
      <c r="S1320" t="s">
        <v>440</v>
      </c>
      <c r="T1320" t="s">
        <v>408</v>
      </c>
      <c r="U1320" t="s">
        <v>408</v>
      </c>
    </row>
    <row r="1321" spans="1:21" x14ac:dyDescent="0.25">
      <c r="A1321">
        <v>20910790</v>
      </c>
      <c r="B1321" t="s">
        <v>340</v>
      </c>
      <c r="C1321" t="s">
        <v>26</v>
      </c>
      <c r="D1321" t="s">
        <v>12</v>
      </c>
      <c r="E1321" t="s">
        <v>739</v>
      </c>
      <c r="F1321" t="s">
        <v>28</v>
      </c>
      <c r="G1321" t="s">
        <v>369</v>
      </c>
      <c r="H1321" t="s">
        <v>5</v>
      </c>
      <c r="I1321" t="s">
        <v>436</v>
      </c>
      <c r="J1321" t="s">
        <v>446</v>
      </c>
      <c r="K1321" t="s">
        <v>438</v>
      </c>
      <c r="L1321" t="s">
        <v>2</v>
      </c>
      <c r="M1321" t="s">
        <v>408</v>
      </c>
      <c r="N1321" t="s">
        <v>408</v>
      </c>
      <c r="O1321" t="s">
        <v>11</v>
      </c>
      <c r="P1321" t="s">
        <v>2</v>
      </c>
      <c r="Q1321" t="s">
        <v>408</v>
      </c>
      <c r="R1321" t="s">
        <v>439</v>
      </c>
      <c r="S1321" t="s">
        <v>440</v>
      </c>
      <c r="T1321" t="s">
        <v>408</v>
      </c>
      <c r="U1321" t="s">
        <v>408</v>
      </c>
    </row>
    <row r="1322" spans="1:21" x14ac:dyDescent="0.25">
      <c r="A1322">
        <v>20910791</v>
      </c>
      <c r="B1322" t="s">
        <v>340</v>
      </c>
      <c r="C1322" t="s">
        <v>26</v>
      </c>
      <c r="D1322" t="s">
        <v>12</v>
      </c>
      <c r="E1322" t="s">
        <v>739</v>
      </c>
      <c r="F1322" t="s">
        <v>28</v>
      </c>
      <c r="G1322" t="s">
        <v>369</v>
      </c>
      <c r="H1322" t="s">
        <v>1</v>
      </c>
      <c r="I1322" t="s">
        <v>469</v>
      </c>
      <c r="J1322" t="s">
        <v>445</v>
      </c>
      <c r="K1322" t="s">
        <v>438</v>
      </c>
      <c r="L1322" t="s">
        <v>2</v>
      </c>
      <c r="M1322" t="s">
        <v>408</v>
      </c>
      <c r="N1322" t="s">
        <v>408</v>
      </c>
      <c r="O1322" t="s">
        <v>11</v>
      </c>
      <c r="P1322" t="s">
        <v>2</v>
      </c>
      <c r="Q1322" t="s">
        <v>408</v>
      </c>
      <c r="R1322" t="s">
        <v>439</v>
      </c>
      <c r="S1322" t="s">
        <v>440</v>
      </c>
      <c r="T1322" t="s">
        <v>408</v>
      </c>
      <c r="U1322" t="s">
        <v>408</v>
      </c>
    </row>
    <row r="1323" spans="1:21" x14ac:dyDescent="0.25">
      <c r="A1323">
        <v>20910792</v>
      </c>
      <c r="B1323" t="s">
        <v>340</v>
      </c>
      <c r="C1323" t="s">
        <v>26</v>
      </c>
      <c r="D1323" t="s">
        <v>12</v>
      </c>
      <c r="E1323" t="s">
        <v>739</v>
      </c>
      <c r="F1323" t="s">
        <v>28</v>
      </c>
      <c r="G1323" t="s">
        <v>369</v>
      </c>
      <c r="H1323" t="s">
        <v>1</v>
      </c>
      <c r="I1323" t="s">
        <v>469</v>
      </c>
      <c r="J1323" t="s">
        <v>445</v>
      </c>
      <c r="K1323" t="s">
        <v>438</v>
      </c>
      <c r="L1323" t="s">
        <v>2</v>
      </c>
      <c r="M1323" t="s">
        <v>408</v>
      </c>
      <c r="N1323" t="s">
        <v>408</v>
      </c>
      <c r="O1323" t="s">
        <v>11</v>
      </c>
      <c r="P1323" t="s">
        <v>2</v>
      </c>
      <c r="Q1323" t="s">
        <v>408</v>
      </c>
      <c r="R1323" t="s">
        <v>439</v>
      </c>
      <c r="S1323" t="s">
        <v>440</v>
      </c>
      <c r="T1323" t="s">
        <v>408</v>
      </c>
      <c r="U1323" t="s">
        <v>408</v>
      </c>
    </row>
    <row r="1324" spans="1:21" x14ac:dyDescent="0.25">
      <c r="A1324">
        <v>20910793</v>
      </c>
      <c r="B1324" t="s">
        <v>340</v>
      </c>
      <c r="C1324" t="s">
        <v>26</v>
      </c>
      <c r="D1324" t="s">
        <v>12</v>
      </c>
      <c r="E1324" t="s">
        <v>739</v>
      </c>
      <c r="F1324" t="s">
        <v>28</v>
      </c>
      <c r="G1324" t="s">
        <v>369</v>
      </c>
      <c r="H1324" t="s">
        <v>5</v>
      </c>
      <c r="I1324" t="s">
        <v>436</v>
      </c>
      <c r="J1324" t="s">
        <v>446</v>
      </c>
      <c r="K1324" t="s">
        <v>438</v>
      </c>
      <c r="L1324" t="s">
        <v>2</v>
      </c>
      <c r="M1324" t="s">
        <v>408</v>
      </c>
      <c r="N1324" t="s">
        <v>408</v>
      </c>
      <c r="O1324" t="s">
        <v>11</v>
      </c>
      <c r="P1324" t="s">
        <v>2</v>
      </c>
      <c r="Q1324" t="s">
        <v>408</v>
      </c>
      <c r="R1324" t="s">
        <v>439</v>
      </c>
      <c r="S1324" t="s">
        <v>440</v>
      </c>
      <c r="T1324" t="s">
        <v>408</v>
      </c>
      <c r="U1324" t="s">
        <v>408</v>
      </c>
    </row>
    <row r="1325" spans="1:21" x14ac:dyDescent="0.25">
      <c r="A1325">
        <v>20910794</v>
      </c>
      <c r="B1325" t="s">
        <v>340</v>
      </c>
      <c r="C1325" t="s">
        <v>26</v>
      </c>
      <c r="D1325" t="s">
        <v>12</v>
      </c>
      <c r="E1325" t="s">
        <v>739</v>
      </c>
      <c r="F1325" t="s">
        <v>28</v>
      </c>
      <c r="G1325" t="s">
        <v>369</v>
      </c>
      <c r="H1325" t="s">
        <v>1</v>
      </c>
      <c r="I1325" t="s">
        <v>469</v>
      </c>
      <c r="J1325" t="s">
        <v>445</v>
      </c>
      <c r="K1325" t="s">
        <v>438</v>
      </c>
      <c r="L1325" t="s">
        <v>2</v>
      </c>
      <c r="M1325" t="s">
        <v>408</v>
      </c>
      <c r="N1325" t="s">
        <v>408</v>
      </c>
      <c r="O1325" t="s">
        <v>11</v>
      </c>
      <c r="P1325" t="s">
        <v>2</v>
      </c>
      <c r="Q1325" t="s">
        <v>408</v>
      </c>
      <c r="R1325" t="s">
        <v>439</v>
      </c>
      <c r="S1325" t="s">
        <v>440</v>
      </c>
      <c r="T1325" t="s">
        <v>408</v>
      </c>
      <c r="U1325" t="s">
        <v>408</v>
      </c>
    </row>
    <row r="1326" spans="1:21" x14ac:dyDescent="0.25">
      <c r="A1326">
        <v>20910796</v>
      </c>
      <c r="B1326" t="s">
        <v>340</v>
      </c>
      <c r="C1326" t="s">
        <v>26</v>
      </c>
      <c r="D1326" t="s">
        <v>18</v>
      </c>
      <c r="E1326" t="s">
        <v>720</v>
      </c>
      <c r="F1326" t="s">
        <v>54</v>
      </c>
      <c r="G1326" t="s">
        <v>369</v>
      </c>
      <c r="H1326" t="s">
        <v>0</v>
      </c>
      <c r="I1326" t="s">
        <v>436</v>
      </c>
      <c r="J1326" t="s">
        <v>437</v>
      </c>
      <c r="K1326" t="s">
        <v>438</v>
      </c>
      <c r="L1326" t="s">
        <v>1</v>
      </c>
      <c r="M1326" t="s">
        <v>408</v>
      </c>
      <c r="N1326" t="s">
        <v>11</v>
      </c>
      <c r="O1326" t="s">
        <v>408</v>
      </c>
      <c r="P1326" t="s">
        <v>350</v>
      </c>
      <c r="Q1326" t="s">
        <v>408</v>
      </c>
      <c r="R1326" t="s">
        <v>439</v>
      </c>
      <c r="S1326" t="s">
        <v>440</v>
      </c>
      <c r="T1326" t="s">
        <v>11</v>
      </c>
      <c r="U1326" t="s">
        <v>408</v>
      </c>
    </row>
    <row r="1327" spans="1:21" x14ac:dyDescent="0.25">
      <c r="A1327">
        <v>20910799</v>
      </c>
      <c r="B1327" t="s">
        <v>340</v>
      </c>
      <c r="C1327" t="s">
        <v>26</v>
      </c>
      <c r="D1327" t="s">
        <v>12</v>
      </c>
      <c r="E1327" t="s">
        <v>734</v>
      </c>
      <c r="F1327" t="s">
        <v>27</v>
      </c>
      <c r="G1327" t="s">
        <v>369</v>
      </c>
      <c r="H1327" t="s">
        <v>1</v>
      </c>
      <c r="I1327" t="s">
        <v>469</v>
      </c>
      <c r="J1327" t="s">
        <v>445</v>
      </c>
      <c r="K1327" t="s">
        <v>438</v>
      </c>
      <c r="L1327" t="s">
        <v>2</v>
      </c>
      <c r="M1327" t="s">
        <v>408</v>
      </c>
      <c r="N1327" t="s">
        <v>11</v>
      </c>
      <c r="O1327" t="s">
        <v>11</v>
      </c>
      <c r="P1327" t="s">
        <v>2</v>
      </c>
      <c r="Q1327" t="s">
        <v>408</v>
      </c>
      <c r="R1327" t="s">
        <v>439</v>
      </c>
      <c r="S1327" t="s">
        <v>440</v>
      </c>
      <c r="T1327" t="s">
        <v>11</v>
      </c>
      <c r="U1327" t="s">
        <v>408</v>
      </c>
    </row>
    <row r="1328" spans="1:21" x14ac:dyDescent="0.25">
      <c r="A1328">
        <v>20910800</v>
      </c>
      <c r="B1328" t="s">
        <v>340</v>
      </c>
      <c r="C1328" t="s">
        <v>26</v>
      </c>
      <c r="D1328" t="s">
        <v>12</v>
      </c>
      <c r="E1328" t="s">
        <v>734</v>
      </c>
      <c r="F1328" t="s">
        <v>27</v>
      </c>
      <c r="G1328" t="s">
        <v>369</v>
      </c>
      <c r="H1328" t="s">
        <v>1</v>
      </c>
      <c r="I1328" t="s">
        <v>469</v>
      </c>
      <c r="J1328" t="s">
        <v>445</v>
      </c>
      <c r="K1328" t="s">
        <v>438</v>
      </c>
      <c r="L1328" t="s">
        <v>2</v>
      </c>
      <c r="M1328" t="s">
        <v>408</v>
      </c>
      <c r="N1328" t="s">
        <v>11</v>
      </c>
      <c r="O1328" t="s">
        <v>11</v>
      </c>
      <c r="P1328" t="s">
        <v>0</v>
      </c>
      <c r="Q1328" t="s">
        <v>408</v>
      </c>
      <c r="R1328" t="s">
        <v>439</v>
      </c>
      <c r="S1328" t="s">
        <v>440</v>
      </c>
      <c r="T1328" t="s">
        <v>11</v>
      </c>
      <c r="U1328" t="s">
        <v>408</v>
      </c>
    </row>
    <row r="1329" spans="1:21" x14ac:dyDescent="0.25">
      <c r="A1329">
        <v>20916625</v>
      </c>
      <c r="B1329" t="s">
        <v>340</v>
      </c>
      <c r="C1329" t="s">
        <v>26</v>
      </c>
      <c r="D1329" t="s">
        <v>12</v>
      </c>
      <c r="E1329" t="s">
        <v>481</v>
      </c>
      <c r="F1329" t="s">
        <v>411</v>
      </c>
      <c r="G1329" t="s">
        <v>369</v>
      </c>
      <c r="H1329" t="s">
        <v>4</v>
      </c>
      <c r="I1329" t="s">
        <v>464</v>
      </c>
      <c r="J1329" t="s">
        <v>463</v>
      </c>
      <c r="K1329" t="s">
        <v>462</v>
      </c>
      <c r="L1329" t="s">
        <v>345</v>
      </c>
      <c r="M1329" t="s">
        <v>408</v>
      </c>
      <c r="N1329" t="s">
        <v>11</v>
      </c>
      <c r="O1329" t="s">
        <v>11</v>
      </c>
      <c r="P1329" t="s">
        <v>4</v>
      </c>
      <c r="Q1329" t="s">
        <v>408</v>
      </c>
      <c r="R1329" t="s">
        <v>439</v>
      </c>
      <c r="S1329" t="s">
        <v>451</v>
      </c>
      <c r="T1329" t="s">
        <v>11</v>
      </c>
      <c r="U1329" t="s">
        <v>408</v>
      </c>
    </row>
    <row r="1330" spans="1:21" x14ac:dyDescent="0.25">
      <c r="A1330">
        <v>20916627</v>
      </c>
      <c r="B1330" t="s">
        <v>340</v>
      </c>
      <c r="C1330" t="s">
        <v>26</v>
      </c>
      <c r="D1330" t="s">
        <v>12</v>
      </c>
      <c r="E1330" t="s">
        <v>511</v>
      </c>
      <c r="F1330" t="s">
        <v>412</v>
      </c>
      <c r="G1330" t="s">
        <v>369</v>
      </c>
      <c r="H1330" t="s">
        <v>4</v>
      </c>
      <c r="I1330" t="s">
        <v>464</v>
      </c>
      <c r="J1330" t="s">
        <v>463</v>
      </c>
      <c r="K1330" t="s">
        <v>462</v>
      </c>
      <c r="L1330" t="s">
        <v>345</v>
      </c>
      <c r="M1330" t="s">
        <v>408</v>
      </c>
      <c r="N1330" t="s">
        <v>11</v>
      </c>
      <c r="O1330" t="s">
        <v>11</v>
      </c>
      <c r="P1330" t="s">
        <v>4</v>
      </c>
      <c r="Q1330" t="s">
        <v>408</v>
      </c>
      <c r="R1330" t="s">
        <v>439</v>
      </c>
      <c r="S1330" t="s">
        <v>451</v>
      </c>
      <c r="T1330" t="s">
        <v>11</v>
      </c>
      <c r="U1330" t="s">
        <v>408</v>
      </c>
    </row>
    <row r="1331" spans="1:21" x14ac:dyDescent="0.25">
      <c r="A1331">
        <v>20916632</v>
      </c>
      <c r="B1331" t="s">
        <v>340</v>
      </c>
      <c r="C1331" t="s">
        <v>26</v>
      </c>
      <c r="D1331" t="s">
        <v>18</v>
      </c>
      <c r="E1331" t="s">
        <v>510</v>
      </c>
      <c r="F1331" t="s">
        <v>413</v>
      </c>
      <c r="G1331" t="s">
        <v>369</v>
      </c>
      <c r="H1331" t="s">
        <v>4</v>
      </c>
      <c r="I1331" t="s">
        <v>464</v>
      </c>
      <c r="J1331" t="s">
        <v>463</v>
      </c>
      <c r="K1331" t="s">
        <v>462</v>
      </c>
      <c r="L1331" t="s">
        <v>345</v>
      </c>
      <c r="M1331" t="s">
        <v>408</v>
      </c>
      <c r="N1331" t="s">
        <v>11</v>
      </c>
      <c r="O1331" t="s">
        <v>11</v>
      </c>
      <c r="P1331" t="s">
        <v>4</v>
      </c>
      <c r="Q1331" t="s">
        <v>408</v>
      </c>
      <c r="R1331" t="s">
        <v>439</v>
      </c>
      <c r="S1331" t="s">
        <v>451</v>
      </c>
      <c r="T1331" t="s">
        <v>11</v>
      </c>
      <c r="U1331" t="s">
        <v>408</v>
      </c>
    </row>
    <row r="1332" spans="1:21" x14ac:dyDescent="0.25">
      <c r="A1332">
        <v>20916635</v>
      </c>
      <c r="B1332" t="s">
        <v>340</v>
      </c>
      <c r="C1332" t="s">
        <v>26</v>
      </c>
      <c r="D1332" t="s">
        <v>18</v>
      </c>
      <c r="E1332" t="s">
        <v>510</v>
      </c>
      <c r="F1332" t="s">
        <v>413</v>
      </c>
      <c r="G1332" t="s">
        <v>369</v>
      </c>
      <c r="H1332" t="s">
        <v>4</v>
      </c>
      <c r="I1332" t="s">
        <v>464</v>
      </c>
      <c r="J1332" t="s">
        <v>463</v>
      </c>
      <c r="K1332" t="s">
        <v>462</v>
      </c>
      <c r="L1332" t="s">
        <v>345</v>
      </c>
      <c r="M1332" t="s">
        <v>408</v>
      </c>
      <c r="N1332" t="s">
        <v>11</v>
      </c>
      <c r="O1332" t="s">
        <v>11</v>
      </c>
      <c r="P1332" t="s">
        <v>4</v>
      </c>
      <c r="Q1332" t="s">
        <v>408</v>
      </c>
      <c r="R1332" t="s">
        <v>439</v>
      </c>
      <c r="S1332" t="s">
        <v>451</v>
      </c>
      <c r="T1332" t="s">
        <v>11</v>
      </c>
      <c r="U1332" t="s">
        <v>408</v>
      </c>
    </row>
    <row r="1333" spans="1:21" x14ac:dyDescent="0.25">
      <c r="A1333">
        <v>21070641</v>
      </c>
      <c r="B1333" t="s">
        <v>342</v>
      </c>
      <c r="C1333" t="s">
        <v>563</v>
      </c>
      <c r="D1333" t="s">
        <v>12</v>
      </c>
      <c r="E1333" t="s">
        <v>752</v>
      </c>
      <c r="F1333" t="s">
        <v>564</v>
      </c>
      <c r="G1333" t="s">
        <v>369</v>
      </c>
      <c r="H1333" t="s">
        <v>4</v>
      </c>
      <c r="I1333" t="s">
        <v>464</v>
      </c>
      <c r="J1333" t="s">
        <v>463</v>
      </c>
      <c r="K1333" t="s">
        <v>462</v>
      </c>
      <c r="L1333" t="s">
        <v>2</v>
      </c>
      <c r="M1333" t="s">
        <v>408</v>
      </c>
      <c r="N1333" t="s">
        <v>11</v>
      </c>
      <c r="O1333" t="s">
        <v>11</v>
      </c>
      <c r="P1333" t="s">
        <v>344</v>
      </c>
      <c r="Q1333" t="s">
        <v>408</v>
      </c>
      <c r="R1333" t="s">
        <v>439</v>
      </c>
      <c r="S1333" t="s">
        <v>451</v>
      </c>
      <c r="T1333" t="s">
        <v>11</v>
      </c>
      <c r="U1333" t="s">
        <v>408</v>
      </c>
    </row>
    <row r="1334" spans="1:21" x14ac:dyDescent="0.25">
      <c r="A1334">
        <v>22350004</v>
      </c>
      <c r="B1334" t="s">
        <v>340</v>
      </c>
      <c r="C1334" t="s">
        <v>26</v>
      </c>
      <c r="D1334" t="s">
        <v>12</v>
      </c>
      <c r="E1334" t="s">
        <v>658</v>
      </c>
      <c r="F1334" t="s">
        <v>155</v>
      </c>
      <c r="G1334" t="s">
        <v>369</v>
      </c>
      <c r="H1334" t="s">
        <v>5</v>
      </c>
      <c r="I1334" t="s">
        <v>436</v>
      </c>
      <c r="J1334" t="s">
        <v>446</v>
      </c>
      <c r="K1334" t="s">
        <v>438</v>
      </c>
      <c r="L1334" t="s">
        <v>2</v>
      </c>
      <c r="M1334" t="s">
        <v>408</v>
      </c>
      <c r="N1334" t="s">
        <v>11</v>
      </c>
      <c r="O1334" t="s">
        <v>11</v>
      </c>
      <c r="P1334" t="s">
        <v>0</v>
      </c>
      <c r="Q1334" t="s">
        <v>408</v>
      </c>
      <c r="R1334" t="s">
        <v>439</v>
      </c>
      <c r="S1334" t="s">
        <v>440</v>
      </c>
      <c r="T1334" t="s">
        <v>11</v>
      </c>
      <c r="U1334" t="s">
        <v>408</v>
      </c>
    </row>
    <row r="1335" spans="1:21" x14ac:dyDescent="0.25">
      <c r="A1335">
        <v>22350005</v>
      </c>
      <c r="B1335" t="s">
        <v>340</v>
      </c>
      <c r="C1335" t="s">
        <v>26</v>
      </c>
      <c r="D1335" t="s">
        <v>12</v>
      </c>
      <c r="E1335" t="s">
        <v>530</v>
      </c>
      <c r="F1335" t="s">
        <v>154</v>
      </c>
      <c r="G1335" t="s">
        <v>369</v>
      </c>
      <c r="H1335" t="s">
        <v>5</v>
      </c>
      <c r="I1335" t="s">
        <v>436</v>
      </c>
      <c r="J1335" t="s">
        <v>446</v>
      </c>
      <c r="K1335" t="s">
        <v>438</v>
      </c>
      <c r="L1335" t="s">
        <v>2</v>
      </c>
      <c r="M1335" t="s">
        <v>408</v>
      </c>
      <c r="N1335" t="s">
        <v>11</v>
      </c>
      <c r="O1335" t="s">
        <v>11</v>
      </c>
      <c r="P1335" t="s">
        <v>0</v>
      </c>
      <c r="Q1335" t="s">
        <v>408</v>
      </c>
      <c r="R1335" t="s">
        <v>439</v>
      </c>
      <c r="S1335" t="s">
        <v>440</v>
      </c>
      <c r="T1335" t="s">
        <v>11</v>
      </c>
      <c r="U1335" t="s">
        <v>408</v>
      </c>
    </row>
    <row r="1336" spans="1:21" x14ac:dyDescent="0.25">
      <c r="A1336">
        <v>22350007</v>
      </c>
      <c r="B1336" t="s">
        <v>340</v>
      </c>
      <c r="C1336" t="s">
        <v>26</v>
      </c>
      <c r="D1336" t="s">
        <v>12</v>
      </c>
      <c r="E1336" t="s">
        <v>658</v>
      </c>
      <c r="F1336" t="s">
        <v>155</v>
      </c>
      <c r="G1336" t="s">
        <v>369</v>
      </c>
      <c r="H1336" t="s">
        <v>5</v>
      </c>
      <c r="I1336" t="s">
        <v>436</v>
      </c>
      <c r="J1336" t="s">
        <v>446</v>
      </c>
      <c r="K1336" t="s">
        <v>438</v>
      </c>
      <c r="L1336" t="s">
        <v>2</v>
      </c>
      <c r="M1336" t="s">
        <v>408</v>
      </c>
      <c r="N1336" t="s">
        <v>11</v>
      </c>
      <c r="O1336" t="s">
        <v>11</v>
      </c>
      <c r="P1336" t="s">
        <v>0</v>
      </c>
      <c r="Q1336" t="s">
        <v>408</v>
      </c>
      <c r="R1336" t="s">
        <v>439</v>
      </c>
      <c r="S1336" t="s">
        <v>440</v>
      </c>
      <c r="T1336" t="s">
        <v>11</v>
      </c>
      <c r="U1336" t="s">
        <v>408</v>
      </c>
    </row>
    <row r="1337" spans="1:21" x14ac:dyDescent="0.25">
      <c r="A1337">
        <v>22350010</v>
      </c>
      <c r="B1337" t="s">
        <v>340</v>
      </c>
      <c r="C1337" t="s">
        <v>26</v>
      </c>
      <c r="D1337" t="s">
        <v>12</v>
      </c>
      <c r="E1337" t="s">
        <v>658</v>
      </c>
      <c r="F1337" t="s">
        <v>155</v>
      </c>
      <c r="G1337" t="s">
        <v>369</v>
      </c>
      <c r="H1337" t="s">
        <v>5</v>
      </c>
      <c r="I1337" t="s">
        <v>436</v>
      </c>
      <c r="J1337" t="s">
        <v>446</v>
      </c>
      <c r="K1337" t="s">
        <v>438</v>
      </c>
      <c r="L1337" t="s">
        <v>2</v>
      </c>
      <c r="M1337" t="s">
        <v>408</v>
      </c>
      <c r="N1337" t="s">
        <v>11</v>
      </c>
      <c r="O1337" t="s">
        <v>11</v>
      </c>
      <c r="P1337" t="s">
        <v>0</v>
      </c>
      <c r="Q1337" t="s">
        <v>408</v>
      </c>
      <c r="R1337" t="s">
        <v>439</v>
      </c>
      <c r="S1337" t="s">
        <v>440</v>
      </c>
      <c r="T1337" t="s">
        <v>11</v>
      </c>
      <c r="U1337" t="s">
        <v>408</v>
      </c>
    </row>
    <row r="1338" spans="1:21" x14ac:dyDescent="0.25">
      <c r="A1338">
        <v>22350017</v>
      </c>
      <c r="B1338" t="s">
        <v>340</v>
      </c>
      <c r="C1338" t="s">
        <v>26</v>
      </c>
      <c r="D1338" t="s">
        <v>12</v>
      </c>
      <c r="E1338" t="s">
        <v>658</v>
      </c>
      <c r="F1338" t="s">
        <v>164</v>
      </c>
      <c r="G1338" t="s">
        <v>369</v>
      </c>
      <c r="H1338" t="s">
        <v>5</v>
      </c>
      <c r="I1338" t="s">
        <v>436</v>
      </c>
      <c r="J1338" t="s">
        <v>446</v>
      </c>
      <c r="K1338" t="s">
        <v>438</v>
      </c>
      <c r="L1338" t="s">
        <v>2</v>
      </c>
      <c r="M1338" t="s">
        <v>408</v>
      </c>
      <c r="N1338" t="s">
        <v>11</v>
      </c>
      <c r="O1338" t="s">
        <v>11</v>
      </c>
      <c r="P1338" t="s">
        <v>0</v>
      </c>
      <c r="Q1338" t="s">
        <v>408</v>
      </c>
      <c r="R1338" t="s">
        <v>439</v>
      </c>
      <c r="S1338" t="s">
        <v>440</v>
      </c>
      <c r="T1338" t="s">
        <v>11</v>
      </c>
      <c r="U1338" t="s">
        <v>408</v>
      </c>
    </row>
    <row r="1339" spans="1:21" x14ac:dyDescent="0.25">
      <c r="A1339">
        <v>22350029</v>
      </c>
      <c r="B1339" t="s">
        <v>340</v>
      </c>
      <c r="C1339" t="s">
        <v>26</v>
      </c>
      <c r="D1339" t="s">
        <v>12</v>
      </c>
      <c r="E1339" t="s">
        <v>658</v>
      </c>
      <c r="F1339" t="s">
        <v>155</v>
      </c>
      <c r="G1339" t="s">
        <v>369</v>
      </c>
      <c r="H1339" t="s">
        <v>5</v>
      </c>
      <c r="I1339" t="s">
        <v>436</v>
      </c>
      <c r="J1339" t="s">
        <v>446</v>
      </c>
      <c r="K1339" t="s">
        <v>438</v>
      </c>
      <c r="L1339" t="s">
        <v>2</v>
      </c>
      <c r="M1339" t="s">
        <v>408</v>
      </c>
      <c r="N1339" t="s">
        <v>11</v>
      </c>
      <c r="O1339" t="s">
        <v>11</v>
      </c>
      <c r="P1339" t="s">
        <v>0</v>
      </c>
      <c r="Q1339" t="s">
        <v>408</v>
      </c>
      <c r="R1339" t="s">
        <v>439</v>
      </c>
      <c r="S1339" t="s">
        <v>440</v>
      </c>
      <c r="T1339" t="s">
        <v>11</v>
      </c>
      <c r="U1339" t="s">
        <v>408</v>
      </c>
    </row>
    <row r="1340" spans="1:21" x14ac:dyDescent="0.25">
      <c r="A1340">
        <v>22350033</v>
      </c>
      <c r="B1340" t="s">
        <v>340</v>
      </c>
      <c r="C1340" t="s">
        <v>26</v>
      </c>
      <c r="D1340" t="s">
        <v>12</v>
      </c>
      <c r="E1340" t="s">
        <v>530</v>
      </c>
      <c r="F1340" t="s">
        <v>154</v>
      </c>
      <c r="G1340" t="s">
        <v>369</v>
      </c>
      <c r="H1340" t="s">
        <v>5</v>
      </c>
      <c r="I1340" t="s">
        <v>436</v>
      </c>
      <c r="J1340" t="s">
        <v>446</v>
      </c>
      <c r="K1340" t="s">
        <v>438</v>
      </c>
      <c r="L1340" t="s">
        <v>2</v>
      </c>
      <c r="M1340" t="s">
        <v>408</v>
      </c>
      <c r="N1340" t="s">
        <v>11</v>
      </c>
      <c r="O1340" t="s">
        <v>11</v>
      </c>
      <c r="P1340" t="s">
        <v>0</v>
      </c>
      <c r="Q1340" t="s">
        <v>408</v>
      </c>
      <c r="R1340" t="s">
        <v>439</v>
      </c>
      <c r="S1340" t="s">
        <v>440</v>
      </c>
      <c r="T1340" t="s">
        <v>11</v>
      </c>
      <c r="U1340" t="s">
        <v>408</v>
      </c>
    </row>
    <row r="1341" spans="1:21" x14ac:dyDescent="0.25">
      <c r="A1341">
        <v>22350053</v>
      </c>
      <c r="B1341" t="s">
        <v>342</v>
      </c>
      <c r="C1341" t="s">
        <v>33</v>
      </c>
      <c r="D1341" t="s">
        <v>12</v>
      </c>
      <c r="E1341" t="s">
        <v>753</v>
      </c>
      <c r="F1341" t="s">
        <v>177</v>
      </c>
      <c r="G1341" t="s">
        <v>369</v>
      </c>
      <c r="H1341" t="s">
        <v>370</v>
      </c>
      <c r="I1341" t="s">
        <v>721</v>
      </c>
      <c r="J1341" t="s">
        <v>455</v>
      </c>
      <c r="K1341" t="s">
        <v>453</v>
      </c>
      <c r="L1341" t="s">
        <v>367</v>
      </c>
      <c r="M1341" t="s">
        <v>408</v>
      </c>
      <c r="N1341" t="s">
        <v>11</v>
      </c>
      <c r="O1341" t="s">
        <v>11</v>
      </c>
      <c r="P1341" t="s">
        <v>0</v>
      </c>
      <c r="Q1341" t="s">
        <v>408</v>
      </c>
      <c r="R1341" t="s">
        <v>439</v>
      </c>
      <c r="S1341" t="s">
        <v>451</v>
      </c>
      <c r="T1341" t="s">
        <v>11</v>
      </c>
      <c r="U1341" t="s">
        <v>408</v>
      </c>
    </row>
    <row r="1342" spans="1:21" x14ac:dyDescent="0.25">
      <c r="A1342">
        <v>22350056</v>
      </c>
      <c r="B1342" t="s">
        <v>340</v>
      </c>
      <c r="C1342" t="s">
        <v>26</v>
      </c>
      <c r="D1342" t="s">
        <v>12</v>
      </c>
      <c r="E1342" t="s">
        <v>658</v>
      </c>
      <c r="F1342" t="s">
        <v>155</v>
      </c>
      <c r="G1342" t="s">
        <v>369</v>
      </c>
      <c r="H1342" t="s">
        <v>5</v>
      </c>
      <c r="I1342" t="s">
        <v>436</v>
      </c>
      <c r="J1342" t="s">
        <v>446</v>
      </c>
      <c r="K1342" t="s">
        <v>438</v>
      </c>
      <c r="L1342" t="s">
        <v>2</v>
      </c>
      <c r="M1342" t="s">
        <v>408</v>
      </c>
      <c r="N1342" t="s">
        <v>11</v>
      </c>
      <c r="O1342" t="s">
        <v>11</v>
      </c>
      <c r="P1342" t="s">
        <v>0</v>
      </c>
      <c r="Q1342" t="s">
        <v>408</v>
      </c>
      <c r="R1342" t="s">
        <v>439</v>
      </c>
      <c r="S1342" t="s">
        <v>440</v>
      </c>
      <c r="T1342" t="s">
        <v>11</v>
      </c>
      <c r="U1342" t="s">
        <v>408</v>
      </c>
    </row>
    <row r="1343" spans="1:21" x14ac:dyDescent="0.25">
      <c r="A1343">
        <v>22350057</v>
      </c>
      <c r="B1343" t="s">
        <v>342</v>
      </c>
      <c r="C1343" t="s">
        <v>33</v>
      </c>
      <c r="D1343" t="s">
        <v>12</v>
      </c>
      <c r="E1343" t="s">
        <v>530</v>
      </c>
      <c r="F1343" t="s">
        <v>154</v>
      </c>
      <c r="G1343" t="s">
        <v>369</v>
      </c>
      <c r="H1343" t="s">
        <v>0</v>
      </c>
      <c r="I1343" t="s">
        <v>436</v>
      </c>
      <c r="J1343" t="s">
        <v>437</v>
      </c>
      <c r="K1343" t="s">
        <v>438</v>
      </c>
      <c r="L1343" t="s">
        <v>345</v>
      </c>
      <c r="M1343" t="s">
        <v>408</v>
      </c>
      <c r="N1343" t="s">
        <v>11</v>
      </c>
      <c r="O1343" t="s">
        <v>11</v>
      </c>
      <c r="P1343" t="s">
        <v>0</v>
      </c>
      <c r="Q1343" t="s">
        <v>408</v>
      </c>
      <c r="R1343" t="s">
        <v>439</v>
      </c>
      <c r="S1343" t="s">
        <v>440</v>
      </c>
      <c r="T1343" t="s">
        <v>11</v>
      </c>
      <c r="U1343" t="s">
        <v>408</v>
      </c>
    </row>
    <row r="1344" spans="1:21" x14ac:dyDescent="0.25">
      <c r="A1344">
        <v>22350059</v>
      </c>
      <c r="B1344" t="s">
        <v>340</v>
      </c>
      <c r="C1344" t="s">
        <v>26</v>
      </c>
      <c r="D1344" t="s">
        <v>18</v>
      </c>
      <c r="E1344" t="s">
        <v>530</v>
      </c>
      <c r="F1344" t="s">
        <v>161</v>
      </c>
      <c r="G1344" t="s">
        <v>369</v>
      </c>
      <c r="H1344" t="s">
        <v>0</v>
      </c>
      <c r="I1344" t="s">
        <v>436</v>
      </c>
      <c r="J1344" t="s">
        <v>437</v>
      </c>
      <c r="K1344" t="s">
        <v>438</v>
      </c>
      <c r="L1344" t="s">
        <v>345</v>
      </c>
      <c r="M1344" t="s">
        <v>408</v>
      </c>
      <c r="N1344" t="s">
        <v>11</v>
      </c>
      <c r="O1344" t="s">
        <v>11</v>
      </c>
      <c r="P1344" t="s">
        <v>0</v>
      </c>
      <c r="Q1344" t="s">
        <v>408</v>
      </c>
      <c r="R1344" t="s">
        <v>439</v>
      </c>
      <c r="S1344" t="s">
        <v>440</v>
      </c>
      <c r="T1344" t="s">
        <v>11</v>
      </c>
      <c r="U1344" t="s">
        <v>408</v>
      </c>
    </row>
    <row r="1345" spans="1:21" x14ac:dyDescent="0.25">
      <c r="A1345">
        <v>22350062</v>
      </c>
      <c r="B1345" t="s">
        <v>340</v>
      </c>
      <c r="C1345" t="s">
        <v>26</v>
      </c>
      <c r="D1345" t="s">
        <v>12</v>
      </c>
      <c r="E1345" t="s">
        <v>530</v>
      </c>
      <c r="F1345" t="s">
        <v>154</v>
      </c>
      <c r="G1345" t="s">
        <v>369</v>
      </c>
      <c r="H1345" t="s">
        <v>715</v>
      </c>
      <c r="I1345" t="s">
        <v>716</v>
      </c>
      <c r="J1345" t="s">
        <v>717</v>
      </c>
      <c r="K1345" t="s">
        <v>438</v>
      </c>
      <c r="L1345" t="s">
        <v>2</v>
      </c>
      <c r="M1345" t="s">
        <v>408</v>
      </c>
      <c r="N1345" t="s">
        <v>11</v>
      </c>
      <c r="O1345" t="s">
        <v>11</v>
      </c>
      <c r="P1345" t="s">
        <v>0</v>
      </c>
      <c r="Q1345" t="s">
        <v>408</v>
      </c>
      <c r="R1345" t="s">
        <v>439</v>
      </c>
      <c r="S1345" t="s">
        <v>440</v>
      </c>
      <c r="T1345" t="s">
        <v>11</v>
      </c>
      <c r="U1345" t="s">
        <v>408</v>
      </c>
    </row>
    <row r="1346" spans="1:21" x14ac:dyDescent="0.25">
      <c r="A1346">
        <v>22350063</v>
      </c>
      <c r="B1346" t="s">
        <v>340</v>
      </c>
      <c r="C1346" t="s">
        <v>26</v>
      </c>
      <c r="D1346" t="s">
        <v>12</v>
      </c>
      <c r="E1346" t="s">
        <v>658</v>
      </c>
      <c r="F1346" t="s">
        <v>155</v>
      </c>
      <c r="G1346" t="s">
        <v>369</v>
      </c>
      <c r="H1346" t="s">
        <v>350</v>
      </c>
      <c r="I1346" t="s">
        <v>436</v>
      </c>
      <c r="J1346" t="s">
        <v>566</v>
      </c>
      <c r="K1346" t="s">
        <v>701</v>
      </c>
      <c r="L1346" t="s">
        <v>8</v>
      </c>
      <c r="M1346" t="s">
        <v>408</v>
      </c>
      <c r="N1346" t="s">
        <v>11</v>
      </c>
      <c r="O1346" t="s">
        <v>11</v>
      </c>
      <c r="P1346" t="s">
        <v>0</v>
      </c>
      <c r="Q1346" t="s">
        <v>408</v>
      </c>
      <c r="R1346" t="s">
        <v>439</v>
      </c>
      <c r="S1346" t="s">
        <v>440</v>
      </c>
      <c r="T1346" t="s">
        <v>11</v>
      </c>
      <c r="U1346" t="s">
        <v>408</v>
      </c>
    </row>
    <row r="1347" spans="1:21" x14ac:dyDescent="0.25">
      <c r="A1347">
        <v>22350066</v>
      </c>
      <c r="B1347" t="s">
        <v>340</v>
      </c>
      <c r="C1347" t="s">
        <v>26</v>
      </c>
      <c r="D1347" t="s">
        <v>12</v>
      </c>
      <c r="E1347" t="s">
        <v>530</v>
      </c>
      <c r="F1347" t="s">
        <v>161</v>
      </c>
      <c r="G1347" t="s">
        <v>369</v>
      </c>
      <c r="H1347" t="s">
        <v>1</v>
      </c>
      <c r="I1347" t="s">
        <v>469</v>
      </c>
      <c r="J1347" t="s">
        <v>445</v>
      </c>
      <c r="K1347" t="s">
        <v>438</v>
      </c>
      <c r="L1347" t="s">
        <v>2</v>
      </c>
      <c r="M1347" t="s">
        <v>408</v>
      </c>
      <c r="N1347" t="s">
        <v>11</v>
      </c>
      <c r="O1347" t="s">
        <v>11</v>
      </c>
      <c r="P1347" t="s">
        <v>0</v>
      </c>
      <c r="Q1347" t="s">
        <v>408</v>
      </c>
      <c r="R1347" t="s">
        <v>439</v>
      </c>
      <c r="S1347" t="s">
        <v>440</v>
      </c>
      <c r="T1347" t="s">
        <v>11</v>
      </c>
      <c r="U1347" t="s">
        <v>408</v>
      </c>
    </row>
    <row r="1348" spans="1:21" x14ac:dyDescent="0.25">
      <c r="A1348">
        <v>22350068</v>
      </c>
      <c r="B1348" t="s">
        <v>340</v>
      </c>
      <c r="C1348" t="s">
        <v>26</v>
      </c>
      <c r="D1348" t="s">
        <v>12</v>
      </c>
      <c r="E1348" t="s">
        <v>530</v>
      </c>
      <c r="F1348" t="s">
        <v>161</v>
      </c>
      <c r="G1348" t="s">
        <v>369</v>
      </c>
      <c r="H1348" t="s">
        <v>370</v>
      </c>
      <c r="I1348" t="s">
        <v>721</v>
      </c>
      <c r="J1348" t="s">
        <v>455</v>
      </c>
      <c r="K1348" t="s">
        <v>453</v>
      </c>
      <c r="L1348" t="s">
        <v>367</v>
      </c>
      <c r="M1348" t="s">
        <v>408</v>
      </c>
      <c r="N1348" t="s">
        <v>11</v>
      </c>
      <c r="O1348" t="s">
        <v>11</v>
      </c>
      <c r="P1348" t="s">
        <v>0</v>
      </c>
      <c r="Q1348" t="s">
        <v>408</v>
      </c>
      <c r="R1348" t="s">
        <v>439</v>
      </c>
      <c r="S1348" t="s">
        <v>451</v>
      </c>
      <c r="T1348" t="s">
        <v>11</v>
      </c>
      <c r="U1348" t="s">
        <v>408</v>
      </c>
    </row>
    <row r="1349" spans="1:21" x14ac:dyDescent="0.25">
      <c r="A1349">
        <v>22350072</v>
      </c>
      <c r="B1349" t="s">
        <v>340</v>
      </c>
      <c r="C1349" t="s">
        <v>26</v>
      </c>
      <c r="D1349" t="s">
        <v>12</v>
      </c>
      <c r="E1349" t="s">
        <v>753</v>
      </c>
      <c r="F1349" t="s">
        <v>163</v>
      </c>
      <c r="G1349" t="s">
        <v>369</v>
      </c>
      <c r="H1349" t="s">
        <v>5</v>
      </c>
      <c r="I1349" t="s">
        <v>436</v>
      </c>
      <c r="J1349" t="s">
        <v>446</v>
      </c>
      <c r="K1349" t="s">
        <v>438</v>
      </c>
      <c r="L1349" t="s">
        <v>2</v>
      </c>
      <c r="M1349" t="s">
        <v>408</v>
      </c>
      <c r="N1349" t="s">
        <v>11</v>
      </c>
      <c r="O1349" t="s">
        <v>11</v>
      </c>
      <c r="P1349" t="s">
        <v>0</v>
      </c>
      <c r="Q1349" t="s">
        <v>408</v>
      </c>
      <c r="R1349" t="s">
        <v>439</v>
      </c>
      <c r="S1349" t="s">
        <v>440</v>
      </c>
      <c r="T1349" t="s">
        <v>11</v>
      </c>
      <c r="U1349" t="s">
        <v>408</v>
      </c>
    </row>
    <row r="1350" spans="1:21" x14ac:dyDescent="0.25">
      <c r="A1350">
        <v>22350081</v>
      </c>
      <c r="B1350" t="s">
        <v>340</v>
      </c>
      <c r="C1350" t="s">
        <v>26</v>
      </c>
      <c r="D1350" t="s">
        <v>12</v>
      </c>
      <c r="E1350" t="s">
        <v>658</v>
      </c>
      <c r="F1350" t="s">
        <v>155</v>
      </c>
      <c r="G1350" t="s">
        <v>369</v>
      </c>
      <c r="H1350" t="s">
        <v>1</v>
      </c>
      <c r="I1350" t="s">
        <v>469</v>
      </c>
      <c r="J1350" t="s">
        <v>445</v>
      </c>
      <c r="K1350" t="s">
        <v>438</v>
      </c>
      <c r="L1350" t="s">
        <v>0</v>
      </c>
      <c r="M1350" t="s">
        <v>408</v>
      </c>
      <c r="N1350" t="s">
        <v>11</v>
      </c>
      <c r="O1350" t="s">
        <v>11</v>
      </c>
      <c r="P1350" t="s">
        <v>0</v>
      </c>
      <c r="Q1350" t="s">
        <v>408</v>
      </c>
      <c r="R1350" t="s">
        <v>439</v>
      </c>
      <c r="S1350" t="s">
        <v>440</v>
      </c>
      <c r="T1350" t="s">
        <v>11</v>
      </c>
      <c r="U1350" t="s">
        <v>408</v>
      </c>
    </row>
    <row r="1351" spans="1:21" x14ac:dyDescent="0.25">
      <c r="A1351">
        <v>22350082</v>
      </c>
      <c r="B1351" t="s">
        <v>340</v>
      </c>
      <c r="C1351" t="s">
        <v>26</v>
      </c>
      <c r="D1351" t="s">
        <v>12</v>
      </c>
      <c r="E1351" t="s">
        <v>658</v>
      </c>
      <c r="F1351" t="s">
        <v>88</v>
      </c>
      <c r="G1351" t="s">
        <v>369</v>
      </c>
      <c r="H1351" t="s">
        <v>350</v>
      </c>
      <c r="I1351" t="s">
        <v>436</v>
      </c>
      <c r="J1351" t="s">
        <v>566</v>
      </c>
      <c r="K1351" t="s">
        <v>701</v>
      </c>
      <c r="L1351" t="s">
        <v>8</v>
      </c>
      <c r="M1351" t="s">
        <v>408</v>
      </c>
      <c r="N1351" t="s">
        <v>11</v>
      </c>
      <c r="O1351" t="s">
        <v>11</v>
      </c>
      <c r="P1351" t="s">
        <v>0</v>
      </c>
      <c r="Q1351" t="s">
        <v>408</v>
      </c>
      <c r="R1351" t="s">
        <v>439</v>
      </c>
      <c r="S1351" t="s">
        <v>440</v>
      </c>
      <c r="T1351" t="s">
        <v>11</v>
      </c>
      <c r="U1351" t="s">
        <v>408</v>
      </c>
    </row>
    <row r="1352" spans="1:21" x14ac:dyDescent="0.25">
      <c r="A1352">
        <v>22350085</v>
      </c>
      <c r="B1352" t="s">
        <v>340</v>
      </c>
      <c r="C1352" t="s">
        <v>26</v>
      </c>
      <c r="D1352" t="s">
        <v>18</v>
      </c>
      <c r="E1352" t="s">
        <v>530</v>
      </c>
      <c r="F1352" t="s">
        <v>154</v>
      </c>
      <c r="G1352" t="s">
        <v>369</v>
      </c>
      <c r="H1352" t="s">
        <v>0</v>
      </c>
      <c r="I1352" t="s">
        <v>436</v>
      </c>
      <c r="J1352" t="s">
        <v>437</v>
      </c>
      <c r="K1352" t="s">
        <v>438</v>
      </c>
      <c r="L1352" t="s">
        <v>345</v>
      </c>
      <c r="M1352" t="s">
        <v>408</v>
      </c>
      <c r="N1352" t="s">
        <v>11</v>
      </c>
      <c r="O1352" t="s">
        <v>11</v>
      </c>
      <c r="P1352" t="s">
        <v>0</v>
      </c>
      <c r="Q1352" t="s">
        <v>408</v>
      </c>
      <c r="R1352" t="s">
        <v>439</v>
      </c>
      <c r="S1352" t="s">
        <v>440</v>
      </c>
      <c r="T1352" t="s">
        <v>11</v>
      </c>
      <c r="U1352" t="s">
        <v>408</v>
      </c>
    </row>
    <row r="1353" spans="1:21" x14ac:dyDescent="0.25">
      <c r="A1353">
        <v>22350089</v>
      </c>
      <c r="B1353" t="s">
        <v>340</v>
      </c>
      <c r="C1353" t="s">
        <v>26</v>
      </c>
      <c r="D1353" t="s">
        <v>12</v>
      </c>
      <c r="E1353" t="s">
        <v>658</v>
      </c>
      <c r="F1353" t="s">
        <v>155</v>
      </c>
      <c r="G1353" t="s">
        <v>369</v>
      </c>
      <c r="H1353" t="s">
        <v>5</v>
      </c>
      <c r="I1353" t="s">
        <v>436</v>
      </c>
      <c r="J1353" t="s">
        <v>446</v>
      </c>
      <c r="K1353" t="s">
        <v>438</v>
      </c>
      <c r="L1353" t="s">
        <v>2</v>
      </c>
      <c r="M1353" t="s">
        <v>408</v>
      </c>
      <c r="N1353" t="s">
        <v>11</v>
      </c>
      <c r="O1353" t="s">
        <v>11</v>
      </c>
      <c r="P1353" t="s">
        <v>0</v>
      </c>
      <c r="Q1353" t="s">
        <v>408</v>
      </c>
      <c r="R1353" t="s">
        <v>439</v>
      </c>
      <c r="S1353" t="s">
        <v>440</v>
      </c>
      <c r="T1353" t="s">
        <v>11</v>
      </c>
      <c r="U1353" t="s">
        <v>408</v>
      </c>
    </row>
    <row r="1354" spans="1:21" x14ac:dyDescent="0.25">
      <c r="A1354">
        <v>22350090</v>
      </c>
      <c r="B1354" t="s">
        <v>340</v>
      </c>
      <c r="C1354" t="s">
        <v>26</v>
      </c>
      <c r="D1354" t="s">
        <v>12</v>
      </c>
      <c r="E1354" t="s">
        <v>658</v>
      </c>
      <c r="F1354" t="s">
        <v>155</v>
      </c>
      <c r="G1354" t="s">
        <v>369</v>
      </c>
      <c r="H1354" t="s">
        <v>2</v>
      </c>
      <c r="I1354" t="s">
        <v>436</v>
      </c>
      <c r="J1354" t="s">
        <v>443</v>
      </c>
      <c r="K1354" t="s">
        <v>444</v>
      </c>
      <c r="L1354" t="s">
        <v>4</v>
      </c>
      <c r="M1354" t="s">
        <v>408</v>
      </c>
      <c r="N1354" t="s">
        <v>11</v>
      </c>
      <c r="O1354" t="s">
        <v>11</v>
      </c>
      <c r="P1354" t="s">
        <v>0</v>
      </c>
      <c r="Q1354" t="s">
        <v>408</v>
      </c>
      <c r="R1354" t="s">
        <v>439</v>
      </c>
      <c r="S1354" t="s">
        <v>440</v>
      </c>
      <c r="T1354" t="s">
        <v>11</v>
      </c>
      <c r="U1354" t="s">
        <v>408</v>
      </c>
    </row>
    <row r="1355" spans="1:21" x14ac:dyDescent="0.25">
      <c r="A1355">
        <v>22350095</v>
      </c>
      <c r="B1355" t="s">
        <v>340</v>
      </c>
      <c r="C1355" t="s">
        <v>26</v>
      </c>
      <c r="D1355" t="s">
        <v>12</v>
      </c>
      <c r="E1355" t="s">
        <v>658</v>
      </c>
      <c r="F1355" t="s">
        <v>155</v>
      </c>
      <c r="G1355" t="s">
        <v>369</v>
      </c>
      <c r="H1355" t="s">
        <v>5</v>
      </c>
      <c r="I1355" t="s">
        <v>436</v>
      </c>
      <c r="J1355" t="s">
        <v>446</v>
      </c>
      <c r="K1355" t="s">
        <v>438</v>
      </c>
      <c r="L1355" t="s">
        <v>2</v>
      </c>
      <c r="M1355" t="s">
        <v>408</v>
      </c>
      <c r="N1355" t="s">
        <v>11</v>
      </c>
      <c r="O1355" t="s">
        <v>11</v>
      </c>
      <c r="P1355" t="s">
        <v>0</v>
      </c>
      <c r="Q1355" t="s">
        <v>408</v>
      </c>
      <c r="R1355" t="s">
        <v>439</v>
      </c>
      <c r="S1355" t="s">
        <v>440</v>
      </c>
      <c r="T1355" t="s">
        <v>11</v>
      </c>
      <c r="U1355" t="s">
        <v>408</v>
      </c>
    </row>
    <row r="1356" spans="1:21" x14ac:dyDescent="0.25">
      <c r="A1356">
        <v>22350096</v>
      </c>
      <c r="B1356" t="s">
        <v>340</v>
      </c>
      <c r="C1356" t="s">
        <v>26</v>
      </c>
      <c r="D1356" t="s">
        <v>12</v>
      </c>
      <c r="E1356" t="s">
        <v>530</v>
      </c>
      <c r="F1356" t="s">
        <v>154</v>
      </c>
      <c r="G1356" t="s">
        <v>369</v>
      </c>
      <c r="H1356" t="s">
        <v>5</v>
      </c>
      <c r="I1356" t="s">
        <v>436</v>
      </c>
      <c r="J1356" t="s">
        <v>446</v>
      </c>
      <c r="K1356" t="s">
        <v>438</v>
      </c>
      <c r="L1356" t="s">
        <v>2</v>
      </c>
      <c r="M1356" t="s">
        <v>408</v>
      </c>
      <c r="N1356" t="s">
        <v>11</v>
      </c>
      <c r="O1356" t="s">
        <v>11</v>
      </c>
      <c r="P1356" t="s">
        <v>0</v>
      </c>
      <c r="Q1356" t="s">
        <v>408</v>
      </c>
      <c r="R1356" t="s">
        <v>439</v>
      </c>
      <c r="S1356" t="s">
        <v>440</v>
      </c>
      <c r="T1356" t="s">
        <v>11</v>
      </c>
      <c r="U1356" t="s">
        <v>408</v>
      </c>
    </row>
    <row r="1357" spans="1:21" x14ac:dyDescent="0.25">
      <c r="A1357">
        <v>22350102</v>
      </c>
      <c r="B1357" t="s">
        <v>340</v>
      </c>
      <c r="C1357" t="s">
        <v>26</v>
      </c>
      <c r="D1357" t="s">
        <v>18</v>
      </c>
      <c r="E1357" t="s">
        <v>658</v>
      </c>
      <c r="F1357" t="s">
        <v>162</v>
      </c>
      <c r="G1357" t="s">
        <v>369</v>
      </c>
      <c r="H1357" t="s">
        <v>350</v>
      </c>
      <c r="I1357" t="s">
        <v>436</v>
      </c>
      <c r="J1357" t="s">
        <v>566</v>
      </c>
      <c r="K1357" t="s">
        <v>701</v>
      </c>
      <c r="L1357" t="s">
        <v>3</v>
      </c>
      <c r="M1357" t="s">
        <v>408</v>
      </c>
      <c r="N1357" t="s">
        <v>11</v>
      </c>
      <c r="O1357" t="s">
        <v>11</v>
      </c>
      <c r="P1357" t="s">
        <v>0</v>
      </c>
      <c r="Q1357" t="s">
        <v>408</v>
      </c>
      <c r="R1357" t="s">
        <v>439</v>
      </c>
      <c r="S1357" t="s">
        <v>440</v>
      </c>
      <c r="T1357" t="s">
        <v>11</v>
      </c>
      <c r="U1357" t="s">
        <v>408</v>
      </c>
    </row>
    <row r="1358" spans="1:21" x14ac:dyDescent="0.25">
      <c r="A1358">
        <v>22350106</v>
      </c>
      <c r="B1358" t="s">
        <v>340</v>
      </c>
      <c r="C1358" t="s">
        <v>26</v>
      </c>
      <c r="D1358" t="s">
        <v>12</v>
      </c>
      <c r="E1358" t="s">
        <v>530</v>
      </c>
      <c r="F1358" t="s">
        <v>154</v>
      </c>
      <c r="G1358" t="s">
        <v>369</v>
      </c>
      <c r="H1358" t="s">
        <v>0</v>
      </c>
      <c r="I1358" t="s">
        <v>436</v>
      </c>
      <c r="J1358" t="s">
        <v>437</v>
      </c>
      <c r="K1358" t="s">
        <v>438</v>
      </c>
      <c r="L1358" t="s">
        <v>345</v>
      </c>
      <c r="M1358" t="s">
        <v>408</v>
      </c>
      <c r="N1358" t="s">
        <v>11</v>
      </c>
      <c r="O1358" t="s">
        <v>11</v>
      </c>
      <c r="P1358" t="s">
        <v>0</v>
      </c>
      <c r="Q1358" t="s">
        <v>408</v>
      </c>
      <c r="R1358" t="s">
        <v>439</v>
      </c>
      <c r="S1358" t="s">
        <v>440</v>
      </c>
      <c r="T1358" t="s">
        <v>11</v>
      </c>
      <c r="U1358" t="s">
        <v>408</v>
      </c>
    </row>
    <row r="1359" spans="1:21" x14ac:dyDescent="0.25">
      <c r="A1359">
        <v>22350111</v>
      </c>
      <c r="B1359" t="s">
        <v>340</v>
      </c>
      <c r="C1359" t="s">
        <v>26</v>
      </c>
      <c r="D1359" t="s">
        <v>12</v>
      </c>
      <c r="E1359" t="s">
        <v>530</v>
      </c>
      <c r="F1359" t="s">
        <v>154</v>
      </c>
      <c r="G1359" t="s">
        <v>369</v>
      </c>
      <c r="H1359" t="s">
        <v>4</v>
      </c>
      <c r="I1359" t="s">
        <v>464</v>
      </c>
      <c r="J1359" t="s">
        <v>463</v>
      </c>
      <c r="K1359" t="s">
        <v>462</v>
      </c>
      <c r="L1359" t="s">
        <v>2</v>
      </c>
      <c r="M1359" t="s">
        <v>408</v>
      </c>
      <c r="N1359" t="s">
        <v>11</v>
      </c>
      <c r="O1359" t="s">
        <v>11</v>
      </c>
      <c r="P1359" t="s">
        <v>0</v>
      </c>
      <c r="Q1359" t="s">
        <v>408</v>
      </c>
      <c r="R1359" t="s">
        <v>439</v>
      </c>
      <c r="S1359" t="s">
        <v>451</v>
      </c>
      <c r="T1359" t="s">
        <v>11</v>
      </c>
      <c r="U1359" t="s">
        <v>408</v>
      </c>
    </row>
    <row r="1360" spans="1:21" x14ac:dyDescent="0.25">
      <c r="A1360">
        <v>22350119</v>
      </c>
      <c r="B1360" t="s">
        <v>340</v>
      </c>
      <c r="C1360" t="s">
        <v>26</v>
      </c>
      <c r="D1360" t="s">
        <v>18</v>
      </c>
      <c r="E1360" t="s">
        <v>658</v>
      </c>
      <c r="F1360" t="s">
        <v>155</v>
      </c>
      <c r="G1360" t="s">
        <v>369</v>
      </c>
      <c r="H1360" t="s">
        <v>5</v>
      </c>
      <c r="I1360" t="s">
        <v>436</v>
      </c>
      <c r="J1360" t="s">
        <v>446</v>
      </c>
      <c r="K1360" t="s">
        <v>438</v>
      </c>
      <c r="L1360" t="s">
        <v>2</v>
      </c>
      <c r="M1360" t="s">
        <v>408</v>
      </c>
      <c r="N1360" t="s">
        <v>11</v>
      </c>
      <c r="O1360" t="s">
        <v>11</v>
      </c>
      <c r="P1360" t="s">
        <v>0</v>
      </c>
      <c r="Q1360" t="s">
        <v>408</v>
      </c>
      <c r="R1360" t="s">
        <v>439</v>
      </c>
      <c r="S1360" t="s">
        <v>440</v>
      </c>
      <c r="T1360" t="s">
        <v>11</v>
      </c>
      <c r="U1360" t="s">
        <v>408</v>
      </c>
    </row>
    <row r="1361" spans="1:21" x14ac:dyDescent="0.25">
      <c r="A1361">
        <v>22350125</v>
      </c>
      <c r="B1361" t="s">
        <v>342</v>
      </c>
      <c r="C1361" t="s">
        <v>33</v>
      </c>
      <c r="D1361" t="s">
        <v>12</v>
      </c>
      <c r="E1361" t="s">
        <v>530</v>
      </c>
      <c r="F1361" t="s">
        <v>154</v>
      </c>
      <c r="G1361" t="s">
        <v>369</v>
      </c>
      <c r="H1361" t="s">
        <v>0</v>
      </c>
      <c r="I1361" t="s">
        <v>436</v>
      </c>
      <c r="J1361" t="s">
        <v>437</v>
      </c>
      <c r="K1361" t="s">
        <v>438</v>
      </c>
      <c r="L1361" t="s">
        <v>345</v>
      </c>
      <c r="M1361" t="s">
        <v>408</v>
      </c>
      <c r="N1361" t="s">
        <v>11</v>
      </c>
      <c r="O1361" t="s">
        <v>11</v>
      </c>
      <c r="P1361" t="s">
        <v>0</v>
      </c>
      <c r="Q1361" t="s">
        <v>408</v>
      </c>
      <c r="R1361" t="s">
        <v>439</v>
      </c>
      <c r="S1361" t="s">
        <v>440</v>
      </c>
      <c r="T1361" t="s">
        <v>11</v>
      </c>
      <c r="U1361" t="s">
        <v>408</v>
      </c>
    </row>
    <row r="1362" spans="1:21" x14ac:dyDescent="0.25">
      <c r="A1362">
        <v>22350126</v>
      </c>
      <c r="B1362" t="s">
        <v>342</v>
      </c>
      <c r="C1362" t="s">
        <v>33</v>
      </c>
      <c r="D1362" t="s">
        <v>18</v>
      </c>
      <c r="E1362" t="s">
        <v>530</v>
      </c>
      <c r="F1362" t="s">
        <v>159</v>
      </c>
      <c r="G1362" t="s">
        <v>369</v>
      </c>
      <c r="H1362" t="s">
        <v>370</v>
      </c>
      <c r="I1362" t="s">
        <v>721</v>
      </c>
      <c r="J1362" t="s">
        <v>455</v>
      </c>
      <c r="K1362" t="s">
        <v>453</v>
      </c>
      <c r="L1362" t="s">
        <v>367</v>
      </c>
      <c r="M1362" t="s">
        <v>408</v>
      </c>
      <c r="N1362" t="s">
        <v>11</v>
      </c>
      <c r="O1362" t="s">
        <v>11</v>
      </c>
      <c r="P1362" t="s">
        <v>0</v>
      </c>
      <c r="Q1362" t="s">
        <v>408</v>
      </c>
      <c r="R1362" t="s">
        <v>439</v>
      </c>
      <c r="S1362" t="s">
        <v>451</v>
      </c>
      <c r="T1362" t="s">
        <v>11</v>
      </c>
      <c r="U1362" t="s">
        <v>408</v>
      </c>
    </row>
    <row r="1363" spans="1:21" x14ac:dyDescent="0.25">
      <c r="A1363">
        <v>22350132</v>
      </c>
      <c r="B1363" t="s">
        <v>340</v>
      </c>
      <c r="C1363" t="s">
        <v>26</v>
      </c>
      <c r="D1363" t="s">
        <v>12</v>
      </c>
      <c r="E1363" t="s">
        <v>530</v>
      </c>
      <c r="F1363" t="s">
        <v>161</v>
      </c>
      <c r="G1363" t="s">
        <v>369</v>
      </c>
      <c r="H1363" t="s">
        <v>0</v>
      </c>
      <c r="I1363" t="s">
        <v>436</v>
      </c>
      <c r="J1363" t="s">
        <v>437</v>
      </c>
      <c r="K1363" t="s">
        <v>438</v>
      </c>
      <c r="L1363" t="s">
        <v>345</v>
      </c>
      <c r="M1363" t="s">
        <v>408</v>
      </c>
      <c r="N1363" t="s">
        <v>11</v>
      </c>
      <c r="O1363" t="s">
        <v>11</v>
      </c>
      <c r="P1363" t="s">
        <v>0</v>
      </c>
      <c r="Q1363" t="s">
        <v>408</v>
      </c>
      <c r="R1363" t="s">
        <v>439</v>
      </c>
      <c r="S1363" t="s">
        <v>440</v>
      </c>
      <c r="T1363" t="s">
        <v>11</v>
      </c>
      <c r="U1363" t="s">
        <v>408</v>
      </c>
    </row>
    <row r="1364" spans="1:21" x14ac:dyDescent="0.25">
      <c r="A1364">
        <v>22350144</v>
      </c>
      <c r="B1364" t="s">
        <v>340</v>
      </c>
      <c r="C1364" t="s">
        <v>26</v>
      </c>
      <c r="D1364" t="s">
        <v>18</v>
      </c>
      <c r="E1364" t="s">
        <v>658</v>
      </c>
      <c r="F1364" t="s">
        <v>155</v>
      </c>
      <c r="G1364" t="s">
        <v>369</v>
      </c>
      <c r="H1364" t="s">
        <v>5</v>
      </c>
      <c r="I1364" t="s">
        <v>436</v>
      </c>
      <c r="J1364" t="s">
        <v>446</v>
      </c>
      <c r="K1364" t="s">
        <v>438</v>
      </c>
      <c r="L1364" t="s">
        <v>2</v>
      </c>
      <c r="M1364" t="s">
        <v>408</v>
      </c>
      <c r="N1364" t="s">
        <v>11</v>
      </c>
      <c r="O1364" t="s">
        <v>11</v>
      </c>
      <c r="P1364" t="s">
        <v>0</v>
      </c>
      <c r="Q1364" t="s">
        <v>408</v>
      </c>
      <c r="R1364" t="s">
        <v>439</v>
      </c>
      <c r="S1364" t="s">
        <v>440</v>
      </c>
      <c r="T1364" t="s">
        <v>11</v>
      </c>
      <c r="U1364" t="s">
        <v>408</v>
      </c>
    </row>
    <row r="1365" spans="1:21" x14ac:dyDescent="0.25">
      <c r="A1365">
        <v>22350149</v>
      </c>
      <c r="B1365" t="s">
        <v>340</v>
      </c>
      <c r="C1365" t="s">
        <v>26</v>
      </c>
      <c r="D1365" t="s">
        <v>18</v>
      </c>
      <c r="E1365" t="s">
        <v>530</v>
      </c>
      <c r="F1365" t="s">
        <v>154</v>
      </c>
      <c r="G1365" t="s">
        <v>369</v>
      </c>
      <c r="H1365" t="s">
        <v>0</v>
      </c>
      <c r="I1365" t="s">
        <v>436</v>
      </c>
      <c r="J1365" t="s">
        <v>437</v>
      </c>
      <c r="K1365" t="s">
        <v>438</v>
      </c>
      <c r="L1365" t="s">
        <v>345</v>
      </c>
      <c r="M1365" t="s">
        <v>408</v>
      </c>
      <c r="N1365" t="s">
        <v>11</v>
      </c>
      <c r="O1365" t="s">
        <v>11</v>
      </c>
      <c r="P1365" t="s">
        <v>0</v>
      </c>
      <c r="Q1365" t="s">
        <v>408</v>
      </c>
      <c r="R1365" t="s">
        <v>439</v>
      </c>
      <c r="S1365" t="s">
        <v>440</v>
      </c>
      <c r="T1365" t="s">
        <v>11</v>
      </c>
      <c r="U1365" t="s">
        <v>408</v>
      </c>
    </row>
    <row r="1366" spans="1:21" x14ac:dyDescent="0.25">
      <c r="A1366">
        <v>22350151</v>
      </c>
      <c r="B1366" t="s">
        <v>340</v>
      </c>
      <c r="C1366" t="s">
        <v>26</v>
      </c>
      <c r="D1366" t="s">
        <v>18</v>
      </c>
      <c r="E1366" t="s">
        <v>658</v>
      </c>
      <c r="F1366" t="s">
        <v>155</v>
      </c>
      <c r="G1366" t="s">
        <v>369</v>
      </c>
      <c r="H1366" t="s">
        <v>0</v>
      </c>
      <c r="I1366" t="s">
        <v>436</v>
      </c>
      <c r="J1366" t="s">
        <v>437</v>
      </c>
      <c r="K1366" t="s">
        <v>438</v>
      </c>
      <c r="L1366" t="s">
        <v>345</v>
      </c>
      <c r="M1366" t="s">
        <v>408</v>
      </c>
      <c r="N1366" t="s">
        <v>11</v>
      </c>
      <c r="O1366" t="s">
        <v>11</v>
      </c>
      <c r="P1366" t="s">
        <v>0</v>
      </c>
      <c r="Q1366" t="s">
        <v>408</v>
      </c>
      <c r="R1366" t="s">
        <v>439</v>
      </c>
      <c r="S1366" t="s">
        <v>440</v>
      </c>
      <c r="T1366" t="s">
        <v>11</v>
      </c>
      <c r="U1366" t="s">
        <v>408</v>
      </c>
    </row>
    <row r="1367" spans="1:21" x14ac:dyDescent="0.25">
      <c r="A1367">
        <v>22350152</v>
      </c>
      <c r="B1367" t="s">
        <v>342</v>
      </c>
      <c r="C1367" t="s">
        <v>33</v>
      </c>
      <c r="D1367" t="s">
        <v>12</v>
      </c>
      <c r="E1367" t="s">
        <v>658</v>
      </c>
      <c r="F1367" t="s">
        <v>160</v>
      </c>
      <c r="G1367" t="s">
        <v>369</v>
      </c>
      <c r="H1367" t="s">
        <v>0</v>
      </c>
      <c r="I1367" t="s">
        <v>436</v>
      </c>
      <c r="J1367" t="s">
        <v>437</v>
      </c>
      <c r="K1367" t="s">
        <v>438</v>
      </c>
      <c r="L1367" t="s">
        <v>345</v>
      </c>
      <c r="M1367" t="s">
        <v>408</v>
      </c>
      <c r="N1367" t="s">
        <v>11</v>
      </c>
      <c r="O1367" t="s">
        <v>11</v>
      </c>
      <c r="P1367" t="s">
        <v>0</v>
      </c>
      <c r="Q1367" t="s">
        <v>408</v>
      </c>
      <c r="R1367" t="s">
        <v>439</v>
      </c>
      <c r="S1367" t="s">
        <v>440</v>
      </c>
      <c r="T1367" t="s">
        <v>11</v>
      </c>
      <c r="U1367" t="s">
        <v>408</v>
      </c>
    </row>
    <row r="1368" spans="1:21" x14ac:dyDescent="0.25">
      <c r="A1368">
        <v>22350153</v>
      </c>
      <c r="B1368" t="s">
        <v>340</v>
      </c>
      <c r="C1368" t="s">
        <v>26</v>
      </c>
      <c r="D1368" t="s">
        <v>12</v>
      </c>
      <c r="E1368" t="s">
        <v>658</v>
      </c>
      <c r="F1368" t="s">
        <v>155</v>
      </c>
      <c r="G1368" t="s">
        <v>369</v>
      </c>
      <c r="H1368" t="s">
        <v>5</v>
      </c>
      <c r="I1368" t="s">
        <v>436</v>
      </c>
      <c r="J1368" t="s">
        <v>446</v>
      </c>
      <c r="K1368" t="s">
        <v>438</v>
      </c>
      <c r="L1368" t="s">
        <v>2</v>
      </c>
      <c r="M1368" t="s">
        <v>408</v>
      </c>
      <c r="N1368" t="s">
        <v>11</v>
      </c>
      <c r="O1368" t="s">
        <v>11</v>
      </c>
      <c r="P1368" t="s">
        <v>0</v>
      </c>
      <c r="Q1368" t="s">
        <v>408</v>
      </c>
      <c r="R1368" t="s">
        <v>439</v>
      </c>
      <c r="S1368" t="s">
        <v>440</v>
      </c>
      <c r="T1368" t="s">
        <v>11</v>
      </c>
      <c r="U1368" t="s">
        <v>408</v>
      </c>
    </row>
    <row r="1369" spans="1:21" x14ac:dyDescent="0.25">
      <c r="A1369">
        <v>22350154</v>
      </c>
      <c r="B1369" t="s">
        <v>342</v>
      </c>
      <c r="C1369" t="s">
        <v>33</v>
      </c>
      <c r="D1369" t="s">
        <v>12</v>
      </c>
      <c r="E1369" t="s">
        <v>530</v>
      </c>
      <c r="F1369" t="s">
        <v>154</v>
      </c>
      <c r="G1369" t="s">
        <v>369</v>
      </c>
      <c r="H1369" t="s">
        <v>0</v>
      </c>
      <c r="I1369" t="s">
        <v>436</v>
      </c>
      <c r="J1369" t="s">
        <v>437</v>
      </c>
      <c r="K1369" t="s">
        <v>438</v>
      </c>
      <c r="L1369" t="s">
        <v>345</v>
      </c>
      <c r="M1369" t="s">
        <v>408</v>
      </c>
      <c r="N1369" t="s">
        <v>11</v>
      </c>
      <c r="O1369" t="s">
        <v>11</v>
      </c>
      <c r="P1369" t="s">
        <v>0</v>
      </c>
      <c r="Q1369" t="s">
        <v>408</v>
      </c>
      <c r="R1369" t="s">
        <v>439</v>
      </c>
      <c r="S1369" t="s">
        <v>440</v>
      </c>
      <c r="T1369" t="s">
        <v>11</v>
      </c>
      <c r="U1369" t="s">
        <v>408</v>
      </c>
    </row>
    <row r="1370" spans="1:21" x14ac:dyDescent="0.25">
      <c r="A1370">
        <v>22350159</v>
      </c>
      <c r="B1370" t="s">
        <v>340</v>
      </c>
      <c r="C1370" t="s">
        <v>26</v>
      </c>
      <c r="D1370" t="s">
        <v>12</v>
      </c>
      <c r="E1370" t="s">
        <v>658</v>
      </c>
      <c r="F1370" t="s">
        <v>155</v>
      </c>
      <c r="G1370" t="s">
        <v>369</v>
      </c>
      <c r="H1370" t="s">
        <v>0</v>
      </c>
      <c r="I1370" t="s">
        <v>436</v>
      </c>
      <c r="J1370" t="s">
        <v>437</v>
      </c>
      <c r="K1370" t="s">
        <v>438</v>
      </c>
      <c r="L1370" t="s">
        <v>345</v>
      </c>
      <c r="M1370" t="s">
        <v>408</v>
      </c>
      <c r="N1370" t="s">
        <v>11</v>
      </c>
      <c r="O1370" t="s">
        <v>11</v>
      </c>
      <c r="P1370" t="s">
        <v>0</v>
      </c>
      <c r="Q1370" t="s">
        <v>408</v>
      </c>
      <c r="R1370" t="s">
        <v>439</v>
      </c>
      <c r="S1370" t="s">
        <v>440</v>
      </c>
      <c r="T1370" t="s">
        <v>11</v>
      </c>
      <c r="U1370" t="s">
        <v>408</v>
      </c>
    </row>
    <row r="1371" spans="1:21" x14ac:dyDescent="0.25">
      <c r="A1371">
        <v>22350161</v>
      </c>
      <c r="B1371" t="s">
        <v>342</v>
      </c>
      <c r="C1371" t="s">
        <v>33</v>
      </c>
      <c r="D1371" t="s">
        <v>18</v>
      </c>
      <c r="E1371" t="s">
        <v>658</v>
      </c>
      <c r="F1371" t="s">
        <v>155</v>
      </c>
      <c r="G1371" t="s">
        <v>369</v>
      </c>
      <c r="H1371" t="s">
        <v>0</v>
      </c>
      <c r="I1371" t="s">
        <v>436</v>
      </c>
      <c r="J1371" t="s">
        <v>437</v>
      </c>
      <c r="K1371" t="s">
        <v>438</v>
      </c>
      <c r="L1371" t="s">
        <v>345</v>
      </c>
      <c r="M1371" t="s">
        <v>408</v>
      </c>
      <c r="N1371" t="s">
        <v>11</v>
      </c>
      <c r="O1371" t="s">
        <v>11</v>
      </c>
      <c r="P1371" t="s">
        <v>0</v>
      </c>
      <c r="Q1371" t="s">
        <v>408</v>
      </c>
      <c r="R1371" t="s">
        <v>439</v>
      </c>
      <c r="S1371" t="s">
        <v>440</v>
      </c>
      <c r="T1371" t="s">
        <v>11</v>
      </c>
      <c r="U1371" t="s">
        <v>408</v>
      </c>
    </row>
    <row r="1372" spans="1:21" x14ac:dyDescent="0.25">
      <c r="A1372">
        <v>22350162</v>
      </c>
      <c r="B1372" t="s">
        <v>340</v>
      </c>
      <c r="C1372" t="s">
        <v>26</v>
      </c>
      <c r="D1372" t="s">
        <v>12</v>
      </c>
      <c r="E1372" t="s">
        <v>658</v>
      </c>
      <c r="F1372" t="s">
        <v>155</v>
      </c>
      <c r="G1372" t="s">
        <v>369</v>
      </c>
      <c r="H1372" t="s">
        <v>1</v>
      </c>
      <c r="I1372" t="s">
        <v>469</v>
      </c>
      <c r="J1372" t="s">
        <v>445</v>
      </c>
      <c r="K1372" t="s">
        <v>438</v>
      </c>
      <c r="L1372" t="s">
        <v>0</v>
      </c>
      <c r="M1372" t="s">
        <v>408</v>
      </c>
      <c r="N1372" t="s">
        <v>11</v>
      </c>
      <c r="O1372" t="s">
        <v>11</v>
      </c>
      <c r="P1372" t="s">
        <v>0</v>
      </c>
      <c r="Q1372" t="s">
        <v>408</v>
      </c>
      <c r="R1372" t="s">
        <v>439</v>
      </c>
      <c r="S1372" t="s">
        <v>440</v>
      </c>
      <c r="T1372" t="s">
        <v>11</v>
      </c>
      <c r="U1372" t="s">
        <v>408</v>
      </c>
    </row>
    <row r="1373" spans="1:21" x14ac:dyDescent="0.25">
      <c r="A1373">
        <v>22350164</v>
      </c>
      <c r="B1373" t="s">
        <v>340</v>
      </c>
      <c r="C1373" t="s">
        <v>26</v>
      </c>
      <c r="D1373" t="s">
        <v>12</v>
      </c>
      <c r="E1373" t="s">
        <v>530</v>
      </c>
      <c r="F1373" t="s">
        <v>154</v>
      </c>
      <c r="G1373" t="s">
        <v>369</v>
      </c>
      <c r="H1373" t="s">
        <v>5</v>
      </c>
      <c r="I1373" t="s">
        <v>436</v>
      </c>
      <c r="J1373" t="s">
        <v>446</v>
      </c>
      <c r="K1373" t="s">
        <v>438</v>
      </c>
      <c r="L1373" t="s">
        <v>2</v>
      </c>
      <c r="M1373" t="s">
        <v>408</v>
      </c>
      <c r="N1373" t="s">
        <v>11</v>
      </c>
      <c r="O1373" t="s">
        <v>11</v>
      </c>
      <c r="P1373" t="s">
        <v>0</v>
      </c>
      <c r="Q1373" t="s">
        <v>408</v>
      </c>
      <c r="R1373" t="s">
        <v>439</v>
      </c>
      <c r="S1373" t="s">
        <v>440</v>
      </c>
      <c r="T1373" t="s">
        <v>11</v>
      </c>
      <c r="U1373" t="s">
        <v>408</v>
      </c>
    </row>
    <row r="1374" spans="1:21" x14ac:dyDescent="0.25">
      <c r="A1374">
        <v>22350170</v>
      </c>
      <c r="B1374" t="s">
        <v>340</v>
      </c>
      <c r="C1374" t="s">
        <v>26</v>
      </c>
      <c r="D1374" t="s">
        <v>12</v>
      </c>
      <c r="E1374" t="s">
        <v>658</v>
      </c>
      <c r="F1374" t="s">
        <v>160</v>
      </c>
      <c r="G1374" t="s">
        <v>369</v>
      </c>
      <c r="H1374" t="s">
        <v>5</v>
      </c>
      <c r="I1374" t="s">
        <v>436</v>
      </c>
      <c r="J1374" t="s">
        <v>446</v>
      </c>
      <c r="K1374" t="s">
        <v>438</v>
      </c>
      <c r="L1374" t="s">
        <v>2</v>
      </c>
      <c r="M1374" t="s">
        <v>408</v>
      </c>
      <c r="N1374" t="s">
        <v>11</v>
      </c>
      <c r="O1374" t="s">
        <v>11</v>
      </c>
      <c r="P1374" t="s">
        <v>0</v>
      </c>
      <c r="Q1374" t="s">
        <v>408</v>
      </c>
      <c r="R1374" t="s">
        <v>439</v>
      </c>
      <c r="S1374" t="s">
        <v>440</v>
      </c>
      <c r="T1374" t="s">
        <v>11</v>
      </c>
      <c r="U1374" t="s">
        <v>408</v>
      </c>
    </row>
    <row r="1375" spans="1:21" x14ac:dyDescent="0.25">
      <c r="A1375">
        <v>22350178</v>
      </c>
      <c r="B1375" t="s">
        <v>340</v>
      </c>
      <c r="C1375" t="s">
        <v>26</v>
      </c>
      <c r="D1375" t="s">
        <v>125</v>
      </c>
      <c r="E1375" t="s">
        <v>530</v>
      </c>
      <c r="F1375" t="s">
        <v>154</v>
      </c>
      <c r="G1375" t="s">
        <v>369</v>
      </c>
      <c r="H1375" t="s">
        <v>2</v>
      </c>
      <c r="I1375" t="s">
        <v>436</v>
      </c>
      <c r="J1375" t="s">
        <v>443</v>
      </c>
      <c r="K1375" t="s">
        <v>444</v>
      </c>
      <c r="L1375" t="s">
        <v>3</v>
      </c>
      <c r="M1375" t="s">
        <v>408</v>
      </c>
      <c r="N1375" t="s">
        <v>11</v>
      </c>
      <c r="O1375" t="s">
        <v>11</v>
      </c>
      <c r="P1375" t="s">
        <v>0</v>
      </c>
      <c r="Q1375" t="s">
        <v>408</v>
      </c>
      <c r="R1375" t="s">
        <v>439</v>
      </c>
      <c r="S1375" t="s">
        <v>440</v>
      </c>
      <c r="T1375" t="s">
        <v>11</v>
      </c>
      <c r="U1375" t="s">
        <v>408</v>
      </c>
    </row>
    <row r="1376" spans="1:21" x14ac:dyDescent="0.25">
      <c r="A1376">
        <v>22350179</v>
      </c>
      <c r="B1376" t="s">
        <v>340</v>
      </c>
      <c r="C1376" t="s">
        <v>26</v>
      </c>
      <c r="D1376" t="s">
        <v>12</v>
      </c>
      <c r="E1376" t="s">
        <v>658</v>
      </c>
      <c r="F1376" t="s">
        <v>160</v>
      </c>
      <c r="G1376" t="s">
        <v>369</v>
      </c>
      <c r="H1376" t="s">
        <v>0</v>
      </c>
      <c r="I1376" t="s">
        <v>436</v>
      </c>
      <c r="J1376" t="s">
        <v>437</v>
      </c>
      <c r="K1376" t="s">
        <v>438</v>
      </c>
      <c r="L1376" t="s">
        <v>345</v>
      </c>
      <c r="M1376" t="s">
        <v>408</v>
      </c>
      <c r="N1376" t="s">
        <v>11</v>
      </c>
      <c r="O1376" t="s">
        <v>11</v>
      </c>
      <c r="P1376" t="s">
        <v>0</v>
      </c>
      <c r="Q1376" t="s">
        <v>408</v>
      </c>
      <c r="R1376" t="s">
        <v>439</v>
      </c>
      <c r="S1376" t="s">
        <v>440</v>
      </c>
      <c r="T1376" t="s">
        <v>11</v>
      </c>
      <c r="U1376" t="s">
        <v>408</v>
      </c>
    </row>
    <row r="1377" spans="1:21" x14ac:dyDescent="0.25">
      <c r="A1377">
        <v>22350181</v>
      </c>
      <c r="B1377" t="s">
        <v>340</v>
      </c>
      <c r="C1377" t="s">
        <v>26</v>
      </c>
      <c r="D1377" t="s">
        <v>12</v>
      </c>
      <c r="E1377" t="s">
        <v>530</v>
      </c>
      <c r="F1377" t="s">
        <v>154</v>
      </c>
      <c r="G1377" t="s">
        <v>369</v>
      </c>
      <c r="H1377" t="s">
        <v>5</v>
      </c>
      <c r="I1377" t="s">
        <v>436</v>
      </c>
      <c r="J1377" t="s">
        <v>446</v>
      </c>
      <c r="K1377" t="s">
        <v>438</v>
      </c>
      <c r="L1377" t="s">
        <v>2</v>
      </c>
      <c r="M1377" t="s">
        <v>408</v>
      </c>
      <c r="N1377" t="s">
        <v>11</v>
      </c>
      <c r="O1377" t="s">
        <v>11</v>
      </c>
      <c r="P1377" t="s">
        <v>0</v>
      </c>
      <c r="Q1377" t="s">
        <v>408</v>
      </c>
      <c r="R1377" t="s">
        <v>439</v>
      </c>
      <c r="S1377" t="s">
        <v>440</v>
      </c>
      <c r="T1377" t="s">
        <v>11</v>
      </c>
      <c r="U1377" t="s">
        <v>408</v>
      </c>
    </row>
    <row r="1378" spans="1:21" x14ac:dyDescent="0.25">
      <c r="A1378">
        <v>22350184</v>
      </c>
      <c r="B1378" t="s">
        <v>340</v>
      </c>
      <c r="C1378" t="s">
        <v>26</v>
      </c>
      <c r="D1378" t="s">
        <v>12</v>
      </c>
      <c r="E1378" t="s">
        <v>658</v>
      </c>
      <c r="F1378" t="s">
        <v>155</v>
      </c>
      <c r="G1378" t="s">
        <v>369</v>
      </c>
      <c r="H1378" t="s">
        <v>5</v>
      </c>
      <c r="I1378" t="s">
        <v>436</v>
      </c>
      <c r="J1378" t="s">
        <v>446</v>
      </c>
      <c r="K1378" t="s">
        <v>438</v>
      </c>
      <c r="L1378" t="s">
        <v>2</v>
      </c>
      <c r="M1378" t="s">
        <v>408</v>
      </c>
      <c r="N1378" t="s">
        <v>11</v>
      </c>
      <c r="O1378" t="s">
        <v>11</v>
      </c>
      <c r="P1378" t="s">
        <v>0</v>
      </c>
      <c r="Q1378" t="s">
        <v>408</v>
      </c>
      <c r="R1378" t="s">
        <v>439</v>
      </c>
      <c r="S1378" t="s">
        <v>440</v>
      </c>
      <c r="T1378" t="s">
        <v>11</v>
      </c>
      <c r="U1378" t="s">
        <v>408</v>
      </c>
    </row>
    <row r="1379" spans="1:21" x14ac:dyDescent="0.25">
      <c r="A1379">
        <v>22350186</v>
      </c>
      <c r="B1379" t="s">
        <v>340</v>
      </c>
      <c r="C1379" t="s">
        <v>26</v>
      </c>
      <c r="D1379" t="s">
        <v>12</v>
      </c>
      <c r="E1379" t="s">
        <v>658</v>
      </c>
      <c r="F1379" t="s">
        <v>160</v>
      </c>
      <c r="G1379" t="s">
        <v>369</v>
      </c>
      <c r="H1379" t="s">
        <v>5</v>
      </c>
      <c r="I1379" t="s">
        <v>436</v>
      </c>
      <c r="J1379" t="s">
        <v>446</v>
      </c>
      <c r="K1379" t="s">
        <v>438</v>
      </c>
      <c r="L1379" t="s">
        <v>2</v>
      </c>
      <c r="M1379" t="s">
        <v>408</v>
      </c>
      <c r="N1379" t="s">
        <v>11</v>
      </c>
      <c r="O1379" t="s">
        <v>11</v>
      </c>
      <c r="P1379" t="s">
        <v>0</v>
      </c>
      <c r="Q1379" t="s">
        <v>408</v>
      </c>
      <c r="R1379" t="s">
        <v>439</v>
      </c>
      <c r="S1379" t="s">
        <v>440</v>
      </c>
      <c r="T1379" t="s">
        <v>11</v>
      </c>
      <c r="U1379" t="s">
        <v>408</v>
      </c>
    </row>
    <row r="1380" spans="1:21" x14ac:dyDescent="0.25">
      <c r="A1380">
        <v>22350189</v>
      </c>
      <c r="B1380" t="s">
        <v>340</v>
      </c>
      <c r="C1380" t="s">
        <v>26</v>
      </c>
      <c r="D1380" t="s">
        <v>12</v>
      </c>
      <c r="E1380" t="s">
        <v>658</v>
      </c>
      <c r="F1380" t="s">
        <v>160</v>
      </c>
      <c r="G1380" t="s">
        <v>369</v>
      </c>
      <c r="H1380" t="s">
        <v>4</v>
      </c>
      <c r="I1380" t="s">
        <v>464</v>
      </c>
      <c r="J1380" t="s">
        <v>463</v>
      </c>
      <c r="K1380" t="s">
        <v>462</v>
      </c>
      <c r="L1380" t="s">
        <v>3</v>
      </c>
      <c r="M1380" t="s">
        <v>408</v>
      </c>
      <c r="N1380" t="s">
        <v>11</v>
      </c>
      <c r="O1380" t="s">
        <v>11</v>
      </c>
      <c r="P1380" t="s">
        <v>0</v>
      </c>
      <c r="Q1380" t="s">
        <v>408</v>
      </c>
      <c r="R1380" t="s">
        <v>439</v>
      </c>
      <c r="S1380" t="s">
        <v>451</v>
      </c>
      <c r="T1380" t="s">
        <v>11</v>
      </c>
      <c r="U1380" t="s">
        <v>408</v>
      </c>
    </row>
    <row r="1381" spans="1:21" x14ac:dyDescent="0.25">
      <c r="A1381">
        <v>22350194</v>
      </c>
      <c r="B1381" t="s">
        <v>340</v>
      </c>
      <c r="C1381" t="s">
        <v>26</v>
      </c>
      <c r="D1381" t="s">
        <v>12</v>
      </c>
      <c r="E1381" t="s">
        <v>658</v>
      </c>
      <c r="F1381" t="s">
        <v>160</v>
      </c>
      <c r="G1381" t="s">
        <v>369</v>
      </c>
      <c r="H1381" t="s">
        <v>350</v>
      </c>
      <c r="I1381" t="s">
        <v>436</v>
      </c>
      <c r="J1381" t="s">
        <v>566</v>
      </c>
      <c r="K1381" t="s">
        <v>701</v>
      </c>
      <c r="L1381" t="s">
        <v>8</v>
      </c>
      <c r="M1381" t="s">
        <v>408</v>
      </c>
      <c r="N1381" t="s">
        <v>11</v>
      </c>
      <c r="O1381" t="s">
        <v>11</v>
      </c>
      <c r="P1381" t="s">
        <v>0</v>
      </c>
      <c r="Q1381" t="s">
        <v>408</v>
      </c>
      <c r="R1381" t="s">
        <v>439</v>
      </c>
      <c r="S1381" t="s">
        <v>440</v>
      </c>
      <c r="T1381" t="s">
        <v>11</v>
      </c>
      <c r="U1381" t="s">
        <v>408</v>
      </c>
    </row>
    <row r="1382" spans="1:21" x14ac:dyDescent="0.25">
      <c r="A1382">
        <v>22350200</v>
      </c>
      <c r="B1382" t="s">
        <v>342</v>
      </c>
      <c r="C1382" t="s">
        <v>33</v>
      </c>
      <c r="D1382" t="s">
        <v>12</v>
      </c>
      <c r="E1382" t="s">
        <v>753</v>
      </c>
      <c r="F1382" t="s">
        <v>177</v>
      </c>
      <c r="G1382" t="s">
        <v>369</v>
      </c>
      <c r="H1382" t="s">
        <v>0</v>
      </c>
      <c r="I1382" t="s">
        <v>436</v>
      </c>
      <c r="J1382" t="s">
        <v>437</v>
      </c>
      <c r="K1382" t="s">
        <v>438</v>
      </c>
      <c r="L1382" t="s">
        <v>345</v>
      </c>
      <c r="M1382" t="s">
        <v>408</v>
      </c>
      <c r="N1382" t="s">
        <v>11</v>
      </c>
      <c r="O1382" t="s">
        <v>11</v>
      </c>
      <c r="P1382" t="s">
        <v>0</v>
      </c>
      <c r="Q1382" t="s">
        <v>408</v>
      </c>
      <c r="R1382" t="s">
        <v>439</v>
      </c>
      <c r="S1382" t="s">
        <v>440</v>
      </c>
      <c r="T1382" t="s">
        <v>11</v>
      </c>
      <c r="U1382" t="s">
        <v>408</v>
      </c>
    </row>
    <row r="1383" spans="1:21" x14ac:dyDescent="0.25">
      <c r="A1383">
        <v>22350204</v>
      </c>
      <c r="B1383" t="s">
        <v>340</v>
      </c>
      <c r="C1383" t="s">
        <v>26</v>
      </c>
      <c r="D1383" t="s">
        <v>12</v>
      </c>
      <c r="E1383" t="s">
        <v>530</v>
      </c>
      <c r="F1383" t="s">
        <v>154</v>
      </c>
      <c r="G1383" t="s">
        <v>369</v>
      </c>
      <c r="H1383" t="s">
        <v>5</v>
      </c>
      <c r="I1383" t="s">
        <v>436</v>
      </c>
      <c r="J1383" t="s">
        <v>446</v>
      </c>
      <c r="K1383" t="s">
        <v>438</v>
      </c>
      <c r="L1383" t="s">
        <v>2</v>
      </c>
      <c r="M1383" t="s">
        <v>408</v>
      </c>
      <c r="N1383" t="s">
        <v>11</v>
      </c>
      <c r="O1383" t="s">
        <v>11</v>
      </c>
      <c r="P1383" t="s">
        <v>0</v>
      </c>
      <c r="Q1383" t="s">
        <v>408</v>
      </c>
      <c r="R1383" t="s">
        <v>439</v>
      </c>
      <c r="S1383" t="s">
        <v>440</v>
      </c>
      <c r="T1383" t="s">
        <v>11</v>
      </c>
      <c r="U1383" t="s">
        <v>408</v>
      </c>
    </row>
    <row r="1384" spans="1:21" x14ac:dyDescent="0.25">
      <c r="A1384">
        <v>22350215</v>
      </c>
      <c r="B1384" t="s">
        <v>340</v>
      </c>
      <c r="C1384" t="s">
        <v>26</v>
      </c>
      <c r="D1384" t="s">
        <v>12</v>
      </c>
      <c r="E1384" t="s">
        <v>658</v>
      </c>
      <c r="F1384" t="s">
        <v>155</v>
      </c>
      <c r="G1384" t="s">
        <v>369</v>
      </c>
      <c r="H1384" t="s">
        <v>5</v>
      </c>
      <c r="I1384" t="s">
        <v>436</v>
      </c>
      <c r="J1384" t="s">
        <v>446</v>
      </c>
      <c r="K1384" t="s">
        <v>438</v>
      </c>
      <c r="L1384" t="s">
        <v>2</v>
      </c>
      <c r="M1384" t="s">
        <v>408</v>
      </c>
      <c r="N1384" t="s">
        <v>11</v>
      </c>
      <c r="O1384" t="s">
        <v>11</v>
      </c>
      <c r="P1384" t="s">
        <v>0</v>
      </c>
      <c r="Q1384" t="s">
        <v>408</v>
      </c>
      <c r="R1384" t="s">
        <v>439</v>
      </c>
      <c r="S1384" t="s">
        <v>440</v>
      </c>
      <c r="T1384" t="s">
        <v>11</v>
      </c>
      <c r="U1384" t="s">
        <v>408</v>
      </c>
    </row>
    <row r="1385" spans="1:21" x14ac:dyDescent="0.25">
      <c r="A1385">
        <v>22350219</v>
      </c>
      <c r="B1385" t="s">
        <v>340</v>
      </c>
      <c r="C1385" t="s">
        <v>26</v>
      </c>
      <c r="D1385" t="s">
        <v>12</v>
      </c>
      <c r="E1385" t="s">
        <v>658</v>
      </c>
      <c r="F1385" t="s">
        <v>88</v>
      </c>
      <c r="G1385" t="s">
        <v>369</v>
      </c>
      <c r="H1385" t="s">
        <v>1</v>
      </c>
      <c r="I1385" t="s">
        <v>469</v>
      </c>
      <c r="J1385" t="s">
        <v>445</v>
      </c>
      <c r="K1385" t="s">
        <v>438</v>
      </c>
      <c r="L1385" t="s">
        <v>2</v>
      </c>
      <c r="M1385" t="s">
        <v>408</v>
      </c>
      <c r="N1385" t="s">
        <v>11</v>
      </c>
      <c r="O1385" t="s">
        <v>11</v>
      </c>
      <c r="P1385" t="s">
        <v>0</v>
      </c>
      <c r="Q1385" t="s">
        <v>408</v>
      </c>
      <c r="R1385" t="s">
        <v>439</v>
      </c>
      <c r="S1385" t="s">
        <v>440</v>
      </c>
      <c r="T1385" t="s">
        <v>11</v>
      </c>
      <c r="U1385" t="s">
        <v>408</v>
      </c>
    </row>
    <row r="1386" spans="1:21" x14ac:dyDescent="0.25">
      <c r="A1386">
        <v>22350225</v>
      </c>
      <c r="B1386" t="s">
        <v>340</v>
      </c>
      <c r="C1386" t="s">
        <v>26</v>
      </c>
      <c r="D1386" t="s">
        <v>12</v>
      </c>
      <c r="E1386" t="s">
        <v>658</v>
      </c>
      <c r="F1386" t="s">
        <v>160</v>
      </c>
      <c r="G1386" t="s">
        <v>369</v>
      </c>
      <c r="H1386" t="s">
        <v>5</v>
      </c>
      <c r="I1386" t="s">
        <v>436</v>
      </c>
      <c r="J1386" t="s">
        <v>446</v>
      </c>
      <c r="K1386" t="s">
        <v>438</v>
      </c>
      <c r="L1386" t="s">
        <v>2</v>
      </c>
      <c r="M1386" t="s">
        <v>408</v>
      </c>
      <c r="N1386" t="s">
        <v>11</v>
      </c>
      <c r="O1386" t="s">
        <v>11</v>
      </c>
      <c r="P1386" t="s">
        <v>0</v>
      </c>
      <c r="Q1386" t="s">
        <v>408</v>
      </c>
      <c r="R1386" t="s">
        <v>439</v>
      </c>
      <c r="S1386" t="s">
        <v>440</v>
      </c>
      <c r="T1386" t="s">
        <v>11</v>
      </c>
      <c r="U1386" t="s">
        <v>408</v>
      </c>
    </row>
    <row r="1387" spans="1:21" x14ac:dyDescent="0.25">
      <c r="A1387">
        <v>22350228</v>
      </c>
      <c r="B1387" t="s">
        <v>340</v>
      </c>
      <c r="C1387" t="s">
        <v>26</v>
      </c>
      <c r="D1387" t="s">
        <v>12</v>
      </c>
      <c r="E1387" t="s">
        <v>530</v>
      </c>
      <c r="F1387" t="s">
        <v>154</v>
      </c>
      <c r="G1387" t="s">
        <v>369</v>
      </c>
      <c r="H1387" t="s">
        <v>5</v>
      </c>
      <c r="I1387" t="s">
        <v>436</v>
      </c>
      <c r="J1387" t="s">
        <v>446</v>
      </c>
      <c r="K1387" t="s">
        <v>438</v>
      </c>
      <c r="L1387" t="s">
        <v>2</v>
      </c>
      <c r="M1387" t="s">
        <v>408</v>
      </c>
      <c r="N1387" t="s">
        <v>11</v>
      </c>
      <c r="O1387" t="s">
        <v>11</v>
      </c>
      <c r="P1387" t="s">
        <v>0</v>
      </c>
      <c r="Q1387" t="s">
        <v>408</v>
      </c>
      <c r="R1387" t="s">
        <v>439</v>
      </c>
      <c r="S1387" t="s">
        <v>440</v>
      </c>
      <c r="T1387" t="s">
        <v>11</v>
      </c>
      <c r="U1387" t="s">
        <v>408</v>
      </c>
    </row>
    <row r="1388" spans="1:21" x14ac:dyDescent="0.25">
      <c r="A1388">
        <v>22350230</v>
      </c>
      <c r="B1388" t="s">
        <v>340</v>
      </c>
      <c r="C1388" t="s">
        <v>26</v>
      </c>
      <c r="D1388" t="s">
        <v>12</v>
      </c>
      <c r="E1388" t="s">
        <v>658</v>
      </c>
      <c r="F1388" t="s">
        <v>160</v>
      </c>
      <c r="G1388" t="s">
        <v>369</v>
      </c>
      <c r="H1388" t="s">
        <v>5</v>
      </c>
      <c r="I1388" t="s">
        <v>436</v>
      </c>
      <c r="J1388" t="s">
        <v>446</v>
      </c>
      <c r="K1388" t="s">
        <v>438</v>
      </c>
      <c r="L1388" t="s">
        <v>2</v>
      </c>
      <c r="M1388" t="s">
        <v>408</v>
      </c>
      <c r="N1388" t="s">
        <v>11</v>
      </c>
      <c r="O1388" t="s">
        <v>11</v>
      </c>
      <c r="P1388" t="s">
        <v>0</v>
      </c>
      <c r="Q1388" t="s">
        <v>408</v>
      </c>
      <c r="R1388" t="s">
        <v>439</v>
      </c>
      <c r="S1388" t="s">
        <v>440</v>
      </c>
      <c r="T1388" t="s">
        <v>11</v>
      </c>
      <c r="U1388" t="s">
        <v>408</v>
      </c>
    </row>
    <row r="1389" spans="1:21" x14ac:dyDescent="0.25">
      <c r="A1389">
        <v>22350232</v>
      </c>
      <c r="B1389" t="s">
        <v>340</v>
      </c>
      <c r="C1389" t="s">
        <v>26</v>
      </c>
      <c r="D1389" t="s">
        <v>12</v>
      </c>
      <c r="E1389" t="s">
        <v>658</v>
      </c>
      <c r="F1389" t="s">
        <v>160</v>
      </c>
      <c r="G1389" t="s">
        <v>369</v>
      </c>
      <c r="H1389" t="s">
        <v>2</v>
      </c>
      <c r="I1389" t="s">
        <v>436</v>
      </c>
      <c r="J1389" t="s">
        <v>443</v>
      </c>
      <c r="K1389" t="s">
        <v>444</v>
      </c>
      <c r="L1389" t="s">
        <v>4</v>
      </c>
      <c r="M1389" t="s">
        <v>408</v>
      </c>
      <c r="N1389" t="s">
        <v>11</v>
      </c>
      <c r="O1389" t="s">
        <v>11</v>
      </c>
      <c r="P1389" t="s">
        <v>0</v>
      </c>
      <c r="Q1389" t="s">
        <v>408</v>
      </c>
      <c r="R1389" t="s">
        <v>439</v>
      </c>
      <c r="S1389" t="s">
        <v>440</v>
      </c>
      <c r="T1389" t="s">
        <v>11</v>
      </c>
      <c r="U1389" t="s">
        <v>408</v>
      </c>
    </row>
    <row r="1390" spans="1:21" x14ac:dyDescent="0.25">
      <c r="A1390">
        <v>22350233</v>
      </c>
      <c r="B1390" t="s">
        <v>340</v>
      </c>
      <c r="C1390" t="s">
        <v>26</v>
      </c>
      <c r="D1390" t="s">
        <v>12</v>
      </c>
      <c r="E1390" t="s">
        <v>530</v>
      </c>
      <c r="F1390" t="s">
        <v>161</v>
      </c>
      <c r="G1390" t="s">
        <v>369</v>
      </c>
      <c r="H1390" t="s">
        <v>5</v>
      </c>
      <c r="I1390" t="s">
        <v>436</v>
      </c>
      <c r="J1390" t="s">
        <v>446</v>
      </c>
      <c r="K1390" t="s">
        <v>438</v>
      </c>
      <c r="L1390" t="s">
        <v>2</v>
      </c>
      <c r="M1390" t="s">
        <v>408</v>
      </c>
      <c r="N1390" t="s">
        <v>11</v>
      </c>
      <c r="O1390" t="s">
        <v>11</v>
      </c>
      <c r="P1390" t="s">
        <v>0</v>
      </c>
      <c r="Q1390" t="s">
        <v>408</v>
      </c>
      <c r="R1390" t="s">
        <v>439</v>
      </c>
      <c r="S1390" t="s">
        <v>440</v>
      </c>
      <c r="T1390" t="s">
        <v>11</v>
      </c>
      <c r="U1390" t="s">
        <v>408</v>
      </c>
    </row>
    <row r="1391" spans="1:21" x14ac:dyDescent="0.25">
      <c r="A1391">
        <v>22350242</v>
      </c>
      <c r="B1391" t="s">
        <v>342</v>
      </c>
      <c r="C1391" t="s">
        <v>33</v>
      </c>
      <c r="D1391" t="s">
        <v>18</v>
      </c>
      <c r="E1391" t="s">
        <v>530</v>
      </c>
      <c r="F1391" t="s">
        <v>154</v>
      </c>
      <c r="G1391" t="s">
        <v>369</v>
      </c>
      <c r="H1391" t="s">
        <v>0</v>
      </c>
      <c r="I1391" t="s">
        <v>436</v>
      </c>
      <c r="J1391" t="s">
        <v>437</v>
      </c>
      <c r="K1391" t="s">
        <v>438</v>
      </c>
      <c r="L1391" t="s">
        <v>345</v>
      </c>
      <c r="M1391" t="s">
        <v>408</v>
      </c>
      <c r="N1391" t="s">
        <v>11</v>
      </c>
      <c r="O1391" t="s">
        <v>11</v>
      </c>
      <c r="P1391" t="s">
        <v>0</v>
      </c>
      <c r="Q1391" t="s">
        <v>408</v>
      </c>
      <c r="R1391" t="s">
        <v>439</v>
      </c>
      <c r="S1391" t="s">
        <v>440</v>
      </c>
      <c r="T1391" t="s">
        <v>11</v>
      </c>
      <c r="U1391" t="s">
        <v>408</v>
      </c>
    </row>
    <row r="1392" spans="1:21" x14ac:dyDescent="0.25">
      <c r="A1392">
        <v>22350252</v>
      </c>
      <c r="B1392" t="s">
        <v>340</v>
      </c>
      <c r="C1392" t="s">
        <v>26</v>
      </c>
      <c r="D1392" t="s">
        <v>12</v>
      </c>
      <c r="E1392" t="s">
        <v>658</v>
      </c>
      <c r="F1392" t="s">
        <v>160</v>
      </c>
      <c r="G1392" t="s">
        <v>369</v>
      </c>
      <c r="H1392" t="s">
        <v>715</v>
      </c>
      <c r="I1392" t="s">
        <v>716</v>
      </c>
      <c r="J1392" t="s">
        <v>717</v>
      </c>
      <c r="K1392" t="s">
        <v>438</v>
      </c>
      <c r="L1392" t="s">
        <v>0</v>
      </c>
      <c r="M1392" t="s">
        <v>408</v>
      </c>
      <c r="N1392" t="s">
        <v>11</v>
      </c>
      <c r="O1392" t="s">
        <v>11</v>
      </c>
      <c r="P1392" t="s">
        <v>0</v>
      </c>
      <c r="Q1392" t="s">
        <v>408</v>
      </c>
      <c r="R1392" t="s">
        <v>439</v>
      </c>
      <c r="S1392" t="s">
        <v>440</v>
      </c>
      <c r="T1392" t="s">
        <v>11</v>
      </c>
      <c r="U1392" t="s">
        <v>408</v>
      </c>
    </row>
    <row r="1393" spans="1:21" x14ac:dyDescent="0.25">
      <c r="A1393">
        <v>22350253</v>
      </c>
      <c r="B1393" t="s">
        <v>340</v>
      </c>
      <c r="C1393" t="s">
        <v>26</v>
      </c>
      <c r="D1393" t="s">
        <v>12</v>
      </c>
      <c r="E1393" t="s">
        <v>658</v>
      </c>
      <c r="F1393" t="s">
        <v>160</v>
      </c>
      <c r="G1393" t="s">
        <v>369</v>
      </c>
      <c r="H1393" t="s">
        <v>5</v>
      </c>
      <c r="I1393" t="s">
        <v>436</v>
      </c>
      <c r="J1393" t="s">
        <v>446</v>
      </c>
      <c r="K1393" t="s">
        <v>438</v>
      </c>
      <c r="L1393" t="s">
        <v>2</v>
      </c>
      <c r="M1393" t="s">
        <v>408</v>
      </c>
      <c r="N1393" t="s">
        <v>11</v>
      </c>
      <c r="O1393" t="s">
        <v>11</v>
      </c>
      <c r="P1393" t="s">
        <v>0</v>
      </c>
      <c r="Q1393" t="s">
        <v>408</v>
      </c>
      <c r="R1393" t="s">
        <v>439</v>
      </c>
      <c r="S1393" t="s">
        <v>440</v>
      </c>
      <c r="T1393" t="s">
        <v>11</v>
      </c>
      <c r="U1393" t="s">
        <v>408</v>
      </c>
    </row>
    <row r="1394" spans="1:21" x14ac:dyDescent="0.25">
      <c r="A1394">
        <v>22350266</v>
      </c>
      <c r="B1394" t="s">
        <v>340</v>
      </c>
      <c r="C1394" t="s">
        <v>26</v>
      </c>
      <c r="D1394" t="s">
        <v>18</v>
      </c>
      <c r="E1394" t="s">
        <v>530</v>
      </c>
      <c r="F1394" t="s">
        <v>158</v>
      </c>
      <c r="G1394" t="s">
        <v>369</v>
      </c>
      <c r="H1394" t="s">
        <v>0</v>
      </c>
      <c r="I1394" t="s">
        <v>436</v>
      </c>
      <c r="J1394" t="s">
        <v>437</v>
      </c>
      <c r="K1394" t="s">
        <v>438</v>
      </c>
      <c r="L1394" t="s">
        <v>345</v>
      </c>
      <c r="M1394" t="s">
        <v>408</v>
      </c>
      <c r="N1394" t="s">
        <v>11</v>
      </c>
      <c r="O1394" t="s">
        <v>11</v>
      </c>
      <c r="P1394" t="s">
        <v>0</v>
      </c>
      <c r="Q1394" t="s">
        <v>408</v>
      </c>
      <c r="R1394" t="s">
        <v>439</v>
      </c>
      <c r="S1394" t="s">
        <v>440</v>
      </c>
      <c r="T1394" t="s">
        <v>11</v>
      </c>
      <c r="U1394" t="s">
        <v>408</v>
      </c>
    </row>
    <row r="1395" spans="1:21" x14ac:dyDescent="0.25">
      <c r="A1395">
        <v>22350269</v>
      </c>
      <c r="B1395" t="s">
        <v>340</v>
      </c>
      <c r="C1395" t="s">
        <v>26</v>
      </c>
      <c r="D1395" t="s">
        <v>12</v>
      </c>
      <c r="E1395" t="s">
        <v>530</v>
      </c>
      <c r="F1395" t="s">
        <v>158</v>
      </c>
      <c r="G1395" t="s">
        <v>369</v>
      </c>
      <c r="H1395" t="s">
        <v>4</v>
      </c>
      <c r="I1395" t="s">
        <v>464</v>
      </c>
      <c r="J1395" t="s">
        <v>463</v>
      </c>
      <c r="K1395" t="s">
        <v>462</v>
      </c>
      <c r="L1395" t="s">
        <v>2</v>
      </c>
      <c r="M1395" t="s">
        <v>408</v>
      </c>
      <c r="N1395" t="s">
        <v>11</v>
      </c>
      <c r="O1395" t="s">
        <v>11</v>
      </c>
      <c r="P1395" t="s">
        <v>0</v>
      </c>
      <c r="Q1395" t="s">
        <v>408</v>
      </c>
      <c r="R1395" t="s">
        <v>439</v>
      </c>
      <c r="S1395" t="s">
        <v>451</v>
      </c>
      <c r="T1395" t="s">
        <v>11</v>
      </c>
      <c r="U1395" t="s">
        <v>408</v>
      </c>
    </row>
    <row r="1396" spans="1:21" x14ac:dyDescent="0.25">
      <c r="A1396">
        <v>22350289</v>
      </c>
      <c r="B1396" t="s">
        <v>340</v>
      </c>
      <c r="C1396" t="s">
        <v>26</v>
      </c>
      <c r="D1396" t="s">
        <v>12</v>
      </c>
      <c r="E1396" t="s">
        <v>530</v>
      </c>
      <c r="F1396" t="s">
        <v>157</v>
      </c>
      <c r="G1396" t="s">
        <v>369</v>
      </c>
      <c r="H1396" t="s">
        <v>5</v>
      </c>
      <c r="I1396" t="s">
        <v>436</v>
      </c>
      <c r="J1396" t="s">
        <v>446</v>
      </c>
      <c r="K1396" t="s">
        <v>438</v>
      </c>
      <c r="L1396" t="s">
        <v>2</v>
      </c>
      <c r="M1396" t="s">
        <v>408</v>
      </c>
      <c r="N1396" t="s">
        <v>11</v>
      </c>
      <c r="O1396" t="s">
        <v>11</v>
      </c>
      <c r="P1396" t="s">
        <v>0</v>
      </c>
      <c r="Q1396" t="s">
        <v>408</v>
      </c>
      <c r="R1396" t="s">
        <v>439</v>
      </c>
      <c r="S1396" t="s">
        <v>440</v>
      </c>
      <c r="T1396" t="s">
        <v>11</v>
      </c>
      <c r="U1396" t="s">
        <v>408</v>
      </c>
    </row>
    <row r="1397" spans="1:21" x14ac:dyDescent="0.25">
      <c r="A1397">
        <v>22350290</v>
      </c>
      <c r="B1397" t="s">
        <v>340</v>
      </c>
      <c r="C1397" t="s">
        <v>26</v>
      </c>
      <c r="D1397" t="s">
        <v>18</v>
      </c>
      <c r="E1397" t="s">
        <v>658</v>
      </c>
      <c r="F1397" t="s">
        <v>88</v>
      </c>
      <c r="G1397" t="s">
        <v>369</v>
      </c>
      <c r="H1397" t="s">
        <v>5</v>
      </c>
      <c r="I1397" t="s">
        <v>436</v>
      </c>
      <c r="J1397" t="s">
        <v>446</v>
      </c>
      <c r="K1397" t="s">
        <v>438</v>
      </c>
      <c r="L1397" t="s">
        <v>2</v>
      </c>
      <c r="M1397" t="s">
        <v>408</v>
      </c>
      <c r="N1397" t="s">
        <v>11</v>
      </c>
      <c r="O1397" t="s">
        <v>11</v>
      </c>
      <c r="P1397" t="s">
        <v>2</v>
      </c>
      <c r="Q1397" t="s">
        <v>408</v>
      </c>
      <c r="R1397" t="s">
        <v>439</v>
      </c>
      <c r="S1397" t="s">
        <v>440</v>
      </c>
      <c r="T1397" t="s">
        <v>11</v>
      </c>
      <c r="U1397" t="s">
        <v>408</v>
      </c>
    </row>
    <row r="1398" spans="1:21" x14ac:dyDescent="0.25">
      <c r="A1398">
        <v>22350291</v>
      </c>
      <c r="B1398" t="s">
        <v>340</v>
      </c>
      <c r="C1398" t="s">
        <v>26</v>
      </c>
      <c r="D1398" t="s">
        <v>12</v>
      </c>
      <c r="E1398" t="s">
        <v>658</v>
      </c>
      <c r="F1398" t="s">
        <v>88</v>
      </c>
      <c r="G1398" t="s">
        <v>369</v>
      </c>
      <c r="H1398" t="s">
        <v>350</v>
      </c>
      <c r="I1398" t="s">
        <v>436</v>
      </c>
      <c r="J1398" t="s">
        <v>566</v>
      </c>
      <c r="K1398" t="s">
        <v>701</v>
      </c>
      <c r="L1398" t="s">
        <v>3</v>
      </c>
      <c r="M1398" t="s">
        <v>408</v>
      </c>
      <c r="N1398" t="s">
        <v>11</v>
      </c>
      <c r="O1398" t="s">
        <v>11</v>
      </c>
      <c r="P1398" t="s">
        <v>2</v>
      </c>
      <c r="Q1398" t="s">
        <v>408</v>
      </c>
      <c r="R1398" t="s">
        <v>439</v>
      </c>
      <c r="S1398" t="s">
        <v>440</v>
      </c>
      <c r="T1398" t="s">
        <v>11</v>
      </c>
      <c r="U1398" t="s">
        <v>408</v>
      </c>
    </row>
    <row r="1399" spans="1:21" x14ac:dyDescent="0.25">
      <c r="A1399">
        <v>22350294</v>
      </c>
      <c r="B1399" t="s">
        <v>340</v>
      </c>
      <c r="C1399" t="s">
        <v>26</v>
      </c>
      <c r="D1399" t="s">
        <v>12</v>
      </c>
      <c r="E1399" t="s">
        <v>658</v>
      </c>
      <c r="F1399" t="s">
        <v>88</v>
      </c>
      <c r="G1399" t="s">
        <v>369</v>
      </c>
      <c r="H1399" t="s">
        <v>5</v>
      </c>
      <c r="I1399" t="s">
        <v>436</v>
      </c>
      <c r="J1399" t="s">
        <v>446</v>
      </c>
      <c r="K1399" t="s">
        <v>438</v>
      </c>
      <c r="L1399" t="s">
        <v>2</v>
      </c>
      <c r="M1399" t="s">
        <v>408</v>
      </c>
      <c r="N1399" t="s">
        <v>11</v>
      </c>
      <c r="O1399" t="s">
        <v>11</v>
      </c>
      <c r="P1399" t="s">
        <v>2</v>
      </c>
      <c r="Q1399" t="s">
        <v>408</v>
      </c>
      <c r="R1399" t="s">
        <v>439</v>
      </c>
      <c r="S1399" t="s">
        <v>440</v>
      </c>
      <c r="T1399" t="s">
        <v>11</v>
      </c>
      <c r="U1399" t="s">
        <v>408</v>
      </c>
    </row>
    <row r="1400" spans="1:21" x14ac:dyDescent="0.25">
      <c r="A1400">
        <v>22350297</v>
      </c>
      <c r="B1400" t="s">
        <v>340</v>
      </c>
      <c r="C1400" t="s">
        <v>26</v>
      </c>
      <c r="D1400" t="s">
        <v>12</v>
      </c>
      <c r="E1400" t="s">
        <v>658</v>
      </c>
      <c r="F1400" t="s">
        <v>88</v>
      </c>
      <c r="G1400" t="s">
        <v>369</v>
      </c>
      <c r="H1400" t="s">
        <v>5</v>
      </c>
      <c r="I1400" t="s">
        <v>436</v>
      </c>
      <c r="J1400" t="s">
        <v>446</v>
      </c>
      <c r="K1400" t="s">
        <v>438</v>
      </c>
      <c r="L1400" t="s">
        <v>2</v>
      </c>
      <c r="M1400" t="s">
        <v>408</v>
      </c>
      <c r="N1400" t="s">
        <v>11</v>
      </c>
      <c r="O1400" t="s">
        <v>11</v>
      </c>
      <c r="P1400" t="s">
        <v>2</v>
      </c>
      <c r="Q1400" t="s">
        <v>408</v>
      </c>
      <c r="R1400" t="s">
        <v>439</v>
      </c>
      <c r="S1400" t="s">
        <v>440</v>
      </c>
      <c r="T1400" t="s">
        <v>11</v>
      </c>
      <c r="U1400" t="s">
        <v>408</v>
      </c>
    </row>
    <row r="1401" spans="1:21" x14ac:dyDescent="0.25">
      <c r="A1401">
        <v>22350300</v>
      </c>
      <c r="B1401" t="s">
        <v>340</v>
      </c>
      <c r="C1401" t="s">
        <v>26</v>
      </c>
      <c r="D1401" t="s">
        <v>12</v>
      </c>
      <c r="E1401" t="s">
        <v>658</v>
      </c>
      <c r="F1401" t="s">
        <v>88</v>
      </c>
      <c r="G1401" t="s">
        <v>369</v>
      </c>
      <c r="H1401" t="s">
        <v>5</v>
      </c>
      <c r="I1401" t="s">
        <v>436</v>
      </c>
      <c r="J1401" t="s">
        <v>446</v>
      </c>
      <c r="K1401" t="s">
        <v>438</v>
      </c>
      <c r="L1401" t="s">
        <v>2</v>
      </c>
      <c r="M1401" t="s">
        <v>408</v>
      </c>
      <c r="N1401" t="s">
        <v>11</v>
      </c>
      <c r="O1401" t="s">
        <v>11</v>
      </c>
      <c r="P1401" t="s">
        <v>2</v>
      </c>
      <c r="Q1401" t="s">
        <v>408</v>
      </c>
      <c r="R1401" t="s">
        <v>439</v>
      </c>
      <c r="S1401" t="s">
        <v>440</v>
      </c>
      <c r="T1401" t="s">
        <v>11</v>
      </c>
      <c r="U1401" t="s">
        <v>408</v>
      </c>
    </row>
    <row r="1402" spans="1:21" x14ac:dyDescent="0.25">
      <c r="A1402">
        <v>22350304</v>
      </c>
      <c r="B1402" t="s">
        <v>340</v>
      </c>
      <c r="C1402" t="s">
        <v>26</v>
      </c>
      <c r="D1402" t="s">
        <v>12</v>
      </c>
      <c r="E1402" t="s">
        <v>658</v>
      </c>
      <c r="F1402" t="s">
        <v>88</v>
      </c>
      <c r="G1402" t="s">
        <v>369</v>
      </c>
      <c r="H1402" t="s">
        <v>5</v>
      </c>
      <c r="I1402" t="s">
        <v>436</v>
      </c>
      <c r="J1402" t="s">
        <v>446</v>
      </c>
      <c r="K1402" t="s">
        <v>438</v>
      </c>
      <c r="L1402" t="s">
        <v>2</v>
      </c>
      <c r="M1402" t="s">
        <v>408</v>
      </c>
      <c r="N1402" t="s">
        <v>11</v>
      </c>
      <c r="O1402" t="s">
        <v>11</v>
      </c>
      <c r="P1402" t="s">
        <v>2</v>
      </c>
      <c r="Q1402" t="s">
        <v>408</v>
      </c>
      <c r="R1402" t="s">
        <v>439</v>
      </c>
      <c r="S1402" t="s">
        <v>440</v>
      </c>
      <c r="T1402" t="s">
        <v>11</v>
      </c>
      <c r="U1402" t="s">
        <v>408</v>
      </c>
    </row>
    <row r="1403" spans="1:21" x14ac:dyDescent="0.25">
      <c r="A1403">
        <v>22350305</v>
      </c>
      <c r="B1403" t="s">
        <v>340</v>
      </c>
      <c r="C1403" t="s">
        <v>26</v>
      </c>
      <c r="D1403" t="s">
        <v>12</v>
      </c>
      <c r="E1403" t="s">
        <v>658</v>
      </c>
      <c r="F1403" t="s">
        <v>88</v>
      </c>
      <c r="G1403" t="s">
        <v>369</v>
      </c>
      <c r="H1403" t="s">
        <v>5</v>
      </c>
      <c r="I1403" t="s">
        <v>436</v>
      </c>
      <c r="J1403" t="s">
        <v>446</v>
      </c>
      <c r="K1403" t="s">
        <v>438</v>
      </c>
      <c r="L1403" t="s">
        <v>2</v>
      </c>
      <c r="M1403" t="s">
        <v>408</v>
      </c>
      <c r="N1403" t="s">
        <v>11</v>
      </c>
      <c r="O1403" t="s">
        <v>11</v>
      </c>
      <c r="P1403" t="s">
        <v>2</v>
      </c>
      <c r="Q1403" t="s">
        <v>408</v>
      </c>
      <c r="R1403" t="s">
        <v>439</v>
      </c>
      <c r="S1403" t="s">
        <v>440</v>
      </c>
      <c r="T1403" t="s">
        <v>11</v>
      </c>
      <c r="U1403" t="s">
        <v>408</v>
      </c>
    </row>
    <row r="1404" spans="1:21" x14ac:dyDescent="0.25">
      <c r="A1404">
        <v>22350306</v>
      </c>
      <c r="B1404" t="s">
        <v>340</v>
      </c>
      <c r="C1404" t="s">
        <v>26</v>
      </c>
      <c r="D1404" t="s">
        <v>12</v>
      </c>
      <c r="E1404" t="s">
        <v>658</v>
      </c>
      <c r="F1404" t="s">
        <v>88</v>
      </c>
      <c r="G1404" t="s">
        <v>369</v>
      </c>
      <c r="H1404" t="s">
        <v>5</v>
      </c>
      <c r="I1404" t="s">
        <v>436</v>
      </c>
      <c r="J1404" t="s">
        <v>446</v>
      </c>
      <c r="K1404" t="s">
        <v>438</v>
      </c>
      <c r="L1404" t="s">
        <v>2</v>
      </c>
      <c r="M1404" t="s">
        <v>408</v>
      </c>
      <c r="N1404" t="s">
        <v>11</v>
      </c>
      <c r="O1404" t="s">
        <v>11</v>
      </c>
      <c r="P1404" t="s">
        <v>2</v>
      </c>
      <c r="Q1404" t="s">
        <v>408</v>
      </c>
      <c r="R1404" t="s">
        <v>439</v>
      </c>
      <c r="S1404" t="s">
        <v>440</v>
      </c>
      <c r="T1404" t="s">
        <v>11</v>
      </c>
      <c r="U1404" t="s">
        <v>408</v>
      </c>
    </row>
    <row r="1405" spans="1:21" x14ac:dyDescent="0.25">
      <c r="A1405">
        <v>22350310</v>
      </c>
      <c r="B1405" t="s">
        <v>340</v>
      </c>
      <c r="C1405" t="s">
        <v>26</v>
      </c>
      <c r="D1405" t="s">
        <v>12</v>
      </c>
      <c r="E1405" t="s">
        <v>658</v>
      </c>
      <c r="F1405" t="s">
        <v>88</v>
      </c>
      <c r="G1405" t="s">
        <v>369</v>
      </c>
      <c r="H1405" t="s">
        <v>5</v>
      </c>
      <c r="I1405" t="s">
        <v>436</v>
      </c>
      <c r="J1405" t="s">
        <v>446</v>
      </c>
      <c r="K1405" t="s">
        <v>438</v>
      </c>
      <c r="L1405" t="s">
        <v>2</v>
      </c>
      <c r="M1405" t="s">
        <v>408</v>
      </c>
      <c r="N1405" t="s">
        <v>11</v>
      </c>
      <c r="O1405" t="s">
        <v>11</v>
      </c>
      <c r="P1405" t="s">
        <v>2</v>
      </c>
      <c r="Q1405" t="s">
        <v>408</v>
      </c>
      <c r="R1405" t="s">
        <v>439</v>
      </c>
      <c r="S1405" t="s">
        <v>440</v>
      </c>
      <c r="T1405" t="s">
        <v>11</v>
      </c>
      <c r="U1405" t="s">
        <v>408</v>
      </c>
    </row>
    <row r="1406" spans="1:21" x14ac:dyDescent="0.25">
      <c r="A1406">
        <v>22350312</v>
      </c>
      <c r="B1406" t="s">
        <v>340</v>
      </c>
      <c r="C1406" t="s">
        <v>26</v>
      </c>
      <c r="D1406" t="s">
        <v>12</v>
      </c>
      <c r="E1406" t="s">
        <v>658</v>
      </c>
      <c r="F1406" t="s">
        <v>88</v>
      </c>
      <c r="G1406" t="s">
        <v>369</v>
      </c>
      <c r="H1406" t="s">
        <v>5</v>
      </c>
      <c r="I1406" t="s">
        <v>436</v>
      </c>
      <c r="J1406" t="s">
        <v>446</v>
      </c>
      <c r="K1406" t="s">
        <v>438</v>
      </c>
      <c r="L1406" t="s">
        <v>2</v>
      </c>
      <c r="M1406" t="s">
        <v>408</v>
      </c>
      <c r="N1406" t="s">
        <v>11</v>
      </c>
      <c r="O1406" t="s">
        <v>11</v>
      </c>
      <c r="P1406" t="s">
        <v>2</v>
      </c>
      <c r="Q1406" t="s">
        <v>408</v>
      </c>
      <c r="R1406" t="s">
        <v>439</v>
      </c>
      <c r="S1406" t="s">
        <v>440</v>
      </c>
      <c r="T1406" t="s">
        <v>11</v>
      </c>
      <c r="U1406" t="s">
        <v>408</v>
      </c>
    </row>
    <row r="1407" spans="1:21" x14ac:dyDescent="0.25">
      <c r="A1407">
        <v>22350314</v>
      </c>
      <c r="B1407" t="s">
        <v>340</v>
      </c>
      <c r="C1407" t="s">
        <v>26</v>
      </c>
      <c r="D1407" t="s">
        <v>12</v>
      </c>
      <c r="E1407" t="s">
        <v>658</v>
      </c>
      <c r="F1407" t="s">
        <v>88</v>
      </c>
      <c r="G1407" t="s">
        <v>369</v>
      </c>
      <c r="H1407" t="s">
        <v>5</v>
      </c>
      <c r="I1407" t="s">
        <v>436</v>
      </c>
      <c r="J1407" t="s">
        <v>446</v>
      </c>
      <c r="K1407" t="s">
        <v>438</v>
      </c>
      <c r="L1407" t="s">
        <v>2</v>
      </c>
      <c r="M1407" t="s">
        <v>408</v>
      </c>
      <c r="N1407" t="s">
        <v>11</v>
      </c>
      <c r="O1407" t="s">
        <v>11</v>
      </c>
      <c r="P1407" t="s">
        <v>2</v>
      </c>
      <c r="Q1407" t="s">
        <v>408</v>
      </c>
      <c r="R1407" t="s">
        <v>439</v>
      </c>
      <c r="S1407" t="s">
        <v>440</v>
      </c>
      <c r="T1407" t="s">
        <v>11</v>
      </c>
      <c r="U1407" t="s">
        <v>408</v>
      </c>
    </row>
    <row r="1408" spans="1:21" x14ac:dyDescent="0.25">
      <c r="A1408">
        <v>22350320</v>
      </c>
      <c r="B1408" t="s">
        <v>340</v>
      </c>
      <c r="C1408" t="s">
        <v>26</v>
      </c>
      <c r="D1408" t="s">
        <v>12</v>
      </c>
      <c r="E1408" t="s">
        <v>658</v>
      </c>
      <c r="F1408" t="s">
        <v>88</v>
      </c>
      <c r="G1408" t="s">
        <v>369</v>
      </c>
      <c r="H1408" t="s">
        <v>5</v>
      </c>
      <c r="I1408" t="s">
        <v>436</v>
      </c>
      <c r="J1408" t="s">
        <v>446</v>
      </c>
      <c r="K1408" t="s">
        <v>438</v>
      </c>
      <c r="L1408" t="s">
        <v>2</v>
      </c>
      <c r="M1408" t="s">
        <v>408</v>
      </c>
      <c r="N1408" t="s">
        <v>11</v>
      </c>
      <c r="O1408" t="s">
        <v>11</v>
      </c>
      <c r="P1408" t="s">
        <v>2</v>
      </c>
      <c r="Q1408" t="s">
        <v>408</v>
      </c>
      <c r="R1408" t="s">
        <v>439</v>
      </c>
      <c r="S1408" t="s">
        <v>440</v>
      </c>
      <c r="T1408" t="s">
        <v>11</v>
      </c>
      <c r="U1408" t="s">
        <v>408</v>
      </c>
    </row>
    <row r="1409" spans="1:21" x14ac:dyDescent="0.25">
      <c r="A1409">
        <v>22350321</v>
      </c>
      <c r="B1409" t="s">
        <v>340</v>
      </c>
      <c r="C1409" t="s">
        <v>26</v>
      </c>
      <c r="D1409" t="s">
        <v>12</v>
      </c>
      <c r="E1409" t="s">
        <v>658</v>
      </c>
      <c r="F1409" t="s">
        <v>88</v>
      </c>
      <c r="G1409" t="s">
        <v>369</v>
      </c>
      <c r="H1409" t="s">
        <v>5</v>
      </c>
      <c r="I1409" t="s">
        <v>436</v>
      </c>
      <c r="J1409" t="s">
        <v>446</v>
      </c>
      <c r="K1409" t="s">
        <v>438</v>
      </c>
      <c r="L1409" t="s">
        <v>2</v>
      </c>
      <c r="M1409" t="s">
        <v>408</v>
      </c>
      <c r="N1409" t="s">
        <v>11</v>
      </c>
      <c r="O1409" t="s">
        <v>11</v>
      </c>
      <c r="P1409" t="s">
        <v>2</v>
      </c>
      <c r="Q1409" t="s">
        <v>408</v>
      </c>
      <c r="R1409" t="s">
        <v>439</v>
      </c>
      <c r="S1409" t="s">
        <v>440</v>
      </c>
      <c r="T1409" t="s">
        <v>11</v>
      </c>
      <c r="U1409" t="s">
        <v>408</v>
      </c>
    </row>
    <row r="1410" spans="1:21" x14ac:dyDescent="0.25">
      <c r="A1410">
        <v>22350323</v>
      </c>
      <c r="B1410" t="s">
        <v>340</v>
      </c>
      <c r="C1410" t="s">
        <v>26</v>
      </c>
      <c r="D1410" t="s">
        <v>12</v>
      </c>
      <c r="E1410" t="s">
        <v>658</v>
      </c>
      <c r="F1410" t="s">
        <v>88</v>
      </c>
      <c r="G1410" t="s">
        <v>369</v>
      </c>
      <c r="H1410" t="s">
        <v>4</v>
      </c>
      <c r="I1410" t="s">
        <v>464</v>
      </c>
      <c r="J1410" t="s">
        <v>463</v>
      </c>
      <c r="K1410" t="s">
        <v>462</v>
      </c>
      <c r="L1410" t="s">
        <v>2</v>
      </c>
      <c r="M1410" t="s">
        <v>408</v>
      </c>
      <c r="N1410" t="s">
        <v>11</v>
      </c>
      <c r="O1410" t="s">
        <v>11</v>
      </c>
      <c r="P1410" t="s">
        <v>2</v>
      </c>
      <c r="Q1410" t="s">
        <v>408</v>
      </c>
      <c r="R1410" t="s">
        <v>439</v>
      </c>
      <c r="S1410" t="s">
        <v>451</v>
      </c>
      <c r="T1410" t="s">
        <v>11</v>
      </c>
      <c r="U1410" t="s">
        <v>408</v>
      </c>
    </row>
    <row r="1411" spans="1:21" x14ac:dyDescent="0.25">
      <c r="A1411">
        <v>22350327</v>
      </c>
      <c r="B1411" t="s">
        <v>340</v>
      </c>
      <c r="C1411" t="s">
        <v>26</v>
      </c>
      <c r="D1411" t="s">
        <v>12</v>
      </c>
      <c r="E1411" t="s">
        <v>658</v>
      </c>
      <c r="F1411" t="s">
        <v>88</v>
      </c>
      <c r="G1411" t="s">
        <v>369</v>
      </c>
      <c r="H1411" t="s">
        <v>5</v>
      </c>
      <c r="I1411" t="s">
        <v>436</v>
      </c>
      <c r="J1411" t="s">
        <v>446</v>
      </c>
      <c r="K1411" t="s">
        <v>438</v>
      </c>
      <c r="L1411" t="s">
        <v>2</v>
      </c>
      <c r="M1411" t="s">
        <v>408</v>
      </c>
      <c r="N1411" t="s">
        <v>11</v>
      </c>
      <c r="O1411" t="s">
        <v>11</v>
      </c>
      <c r="P1411" t="s">
        <v>2</v>
      </c>
      <c r="Q1411" t="s">
        <v>408</v>
      </c>
      <c r="R1411" t="s">
        <v>439</v>
      </c>
      <c r="S1411" t="s">
        <v>440</v>
      </c>
      <c r="T1411" t="s">
        <v>11</v>
      </c>
      <c r="U1411" t="s">
        <v>408</v>
      </c>
    </row>
    <row r="1412" spans="1:21" x14ac:dyDescent="0.25">
      <c r="A1412">
        <v>22350330</v>
      </c>
      <c r="B1412" t="s">
        <v>340</v>
      </c>
      <c r="C1412" t="s">
        <v>26</v>
      </c>
      <c r="D1412" t="s">
        <v>12</v>
      </c>
      <c r="E1412" t="s">
        <v>658</v>
      </c>
      <c r="F1412" t="s">
        <v>88</v>
      </c>
      <c r="G1412" t="s">
        <v>369</v>
      </c>
      <c r="H1412" t="s">
        <v>5</v>
      </c>
      <c r="I1412" t="s">
        <v>436</v>
      </c>
      <c r="J1412" t="s">
        <v>446</v>
      </c>
      <c r="K1412" t="s">
        <v>438</v>
      </c>
      <c r="L1412" t="s">
        <v>2</v>
      </c>
      <c r="M1412" t="s">
        <v>408</v>
      </c>
      <c r="N1412" t="s">
        <v>11</v>
      </c>
      <c r="O1412" t="s">
        <v>11</v>
      </c>
      <c r="P1412" t="s">
        <v>2</v>
      </c>
      <c r="Q1412" t="s">
        <v>408</v>
      </c>
      <c r="R1412" t="s">
        <v>439</v>
      </c>
      <c r="S1412" t="s">
        <v>440</v>
      </c>
      <c r="T1412" t="s">
        <v>11</v>
      </c>
      <c r="U1412" t="s">
        <v>408</v>
      </c>
    </row>
    <row r="1413" spans="1:21" x14ac:dyDescent="0.25">
      <c r="A1413">
        <v>22350331</v>
      </c>
      <c r="B1413" t="s">
        <v>340</v>
      </c>
      <c r="C1413" t="s">
        <v>26</v>
      </c>
      <c r="D1413" t="s">
        <v>12</v>
      </c>
      <c r="E1413" t="s">
        <v>658</v>
      </c>
      <c r="F1413" t="s">
        <v>88</v>
      </c>
      <c r="G1413" t="s">
        <v>369</v>
      </c>
      <c r="H1413" t="s">
        <v>5</v>
      </c>
      <c r="I1413" t="s">
        <v>436</v>
      </c>
      <c r="J1413" t="s">
        <v>446</v>
      </c>
      <c r="K1413" t="s">
        <v>438</v>
      </c>
      <c r="L1413" t="s">
        <v>2</v>
      </c>
      <c r="M1413" t="s">
        <v>408</v>
      </c>
      <c r="N1413" t="s">
        <v>11</v>
      </c>
      <c r="O1413" t="s">
        <v>11</v>
      </c>
      <c r="P1413" t="s">
        <v>2</v>
      </c>
      <c r="Q1413" t="s">
        <v>408</v>
      </c>
      <c r="R1413" t="s">
        <v>439</v>
      </c>
      <c r="S1413" t="s">
        <v>440</v>
      </c>
      <c r="T1413" t="s">
        <v>11</v>
      </c>
      <c r="U1413" t="s">
        <v>408</v>
      </c>
    </row>
    <row r="1414" spans="1:21" x14ac:dyDescent="0.25">
      <c r="A1414">
        <v>22350334</v>
      </c>
      <c r="B1414" t="s">
        <v>340</v>
      </c>
      <c r="C1414" t="s">
        <v>26</v>
      </c>
      <c r="D1414" t="s">
        <v>12</v>
      </c>
      <c r="E1414" t="s">
        <v>658</v>
      </c>
      <c r="F1414" t="s">
        <v>88</v>
      </c>
      <c r="G1414" t="s">
        <v>369</v>
      </c>
      <c r="H1414" t="s">
        <v>4</v>
      </c>
      <c r="I1414" t="s">
        <v>464</v>
      </c>
      <c r="J1414" t="s">
        <v>463</v>
      </c>
      <c r="K1414" t="s">
        <v>462</v>
      </c>
      <c r="L1414" t="s">
        <v>2</v>
      </c>
      <c r="M1414" t="s">
        <v>408</v>
      </c>
      <c r="N1414" t="s">
        <v>11</v>
      </c>
      <c r="O1414" t="s">
        <v>11</v>
      </c>
      <c r="P1414" t="s">
        <v>2</v>
      </c>
      <c r="Q1414" t="s">
        <v>408</v>
      </c>
      <c r="R1414" t="s">
        <v>439</v>
      </c>
      <c r="S1414" t="s">
        <v>451</v>
      </c>
      <c r="T1414" t="s">
        <v>11</v>
      </c>
      <c r="U1414" t="s">
        <v>408</v>
      </c>
    </row>
    <row r="1415" spans="1:21" x14ac:dyDescent="0.25">
      <c r="A1415">
        <v>22350336</v>
      </c>
      <c r="B1415" t="s">
        <v>342</v>
      </c>
      <c r="C1415" t="s">
        <v>33</v>
      </c>
      <c r="D1415" t="s">
        <v>12</v>
      </c>
      <c r="E1415" t="s">
        <v>658</v>
      </c>
      <c r="F1415" t="s">
        <v>88</v>
      </c>
      <c r="G1415" t="s">
        <v>369</v>
      </c>
      <c r="H1415" t="s">
        <v>370</v>
      </c>
      <c r="I1415" t="s">
        <v>721</v>
      </c>
      <c r="J1415" t="s">
        <v>455</v>
      </c>
      <c r="K1415" t="s">
        <v>453</v>
      </c>
      <c r="L1415" t="s">
        <v>367</v>
      </c>
      <c r="M1415" t="s">
        <v>408</v>
      </c>
      <c r="N1415" t="s">
        <v>11</v>
      </c>
      <c r="O1415" t="s">
        <v>11</v>
      </c>
      <c r="P1415" t="s">
        <v>2</v>
      </c>
      <c r="Q1415" t="s">
        <v>408</v>
      </c>
      <c r="R1415" t="s">
        <v>439</v>
      </c>
      <c r="S1415" t="s">
        <v>451</v>
      </c>
      <c r="T1415" t="s">
        <v>11</v>
      </c>
      <c r="U1415" t="s">
        <v>408</v>
      </c>
    </row>
    <row r="1416" spans="1:21" x14ac:dyDescent="0.25">
      <c r="A1416">
        <v>22350341</v>
      </c>
      <c r="B1416" t="s">
        <v>340</v>
      </c>
      <c r="C1416" t="s">
        <v>26</v>
      </c>
      <c r="D1416" t="s">
        <v>12</v>
      </c>
      <c r="E1416" t="s">
        <v>658</v>
      </c>
      <c r="F1416" t="s">
        <v>88</v>
      </c>
      <c r="G1416" t="s">
        <v>369</v>
      </c>
      <c r="H1416" t="s">
        <v>5</v>
      </c>
      <c r="I1416" t="s">
        <v>436</v>
      </c>
      <c r="J1416" t="s">
        <v>446</v>
      </c>
      <c r="K1416" t="s">
        <v>438</v>
      </c>
      <c r="L1416" t="s">
        <v>2</v>
      </c>
      <c r="M1416" t="s">
        <v>408</v>
      </c>
      <c r="N1416" t="s">
        <v>11</v>
      </c>
      <c r="O1416" t="s">
        <v>11</v>
      </c>
      <c r="P1416" t="s">
        <v>2</v>
      </c>
      <c r="Q1416" t="s">
        <v>408</v>
      </c>
      <c r="R1416" t="s">
        <v>439</v>
      </c>
      <c r="S1416" t="s">
        <v>440</v>
      </c>
      <c r="T1416" t="s">
        <v>11</v>
      </c>
      <c r="U1416" t="s">
        <v>408</v>
      </c>
    </row>
    <row r="1417" spans="1:21" x14ac:dyDescent="0.25">
      <c r="A1417">
        <v>22350344</v>
      </c>
      <c r="B1417" t="s">
        <v>340</v>
      </c>
      <c r="C1417" t="s">
        <v>26</v>
      </c>
      <c r="D1417" t="s">
        <v>12</v>
      </c>
      <c r="E1417" t="s">
        <v>658</v>
      </c>
      <c r="F1417" t="s">
        <v>88</v>
      </c>
      <c r="G1417" t="s">
        <v>369</v>
      </c>
      <c r="H1417" t="s">
        <v>4</v>
      </c>
      <c r="I1417" t="s">
        <v>464</v>
      </c>
      <c r="J1417" t="s">
        <v>463</v>
      </c>
      <c r="K1417" t="s">
        <v>462</v>
      </c>
      <c r="L1417" t="s">
        <v>2</v>
      </c>
      <c r="M1417" t="s">
        <v>408</v>
      </c>
      <c r="N1417" t="s">
        <v>11</v>
      </c>
      <c r="O1417" t="s">
        <v>11</v>
      </c>
      <c r="P1417" t="s">
        <v>2</v>
      </c>
      <c r="Q1417" t="s">
        <v>408</v>
      </c>
      <c r="R1417" t="s">
        <v>439</v>
      </c>
      <c r="S1417" t="s">
        <v>451</v>
      </c>
      <c r="T1417" t="s">
        <v>11</v>
      </c>
      <c r="U1417" t="s">
        <v>408</v>
      </c>
    </row>
    <row r="1418" spans="1:21" x14ac:dyDescent="0.25">
      <c r="A1418">
        <v>22350346</v>
      </c>
      <c r="B1418" t="s">
        <v>340</v>
      </c>
      <c r="C1418" t="s">
        <v>26</v>
      </c>
      <c r="D1418" t="s">
        <v>12</v>
      </c>
      <c r="E1418" t="s">
        <v>658</v>
      </c>
      <c r="F1418" t="s">
        <v>88</v>
      </c>
      <c r="G1418" t="s">
        <v>369</v>
      </c>
      <c r="H1418" t="s">
        <v>5</v>
      </c>
      <c r="I1418" t="s">
        <v>436</v>
      </c>
      <c r="J1418" t="s">
        <v>446</v>
      </c>
      <c r="K1418" t="s">
        <v>438</v>
      </c>
      <c r="L1418" t="s">
        <v>2</v>
      </c>
      <c r="M1418" t="s">
        <v>408</v>
      </c>
      <c r="N1418" t="s">
        <v>11</v>
      </c>
      <c r="O1418" t="s">
        <v>11</v>
      </c>
      <c r="P1418" t="s">
        <v>2</v>
      </c>
      <c r="Q1418" t="s">
        <v>408</v>
      </c>
      <c r="R1418" t="s">
        <v>439</v>
      </c>
      <c r="S1418" t="s">
        <v>440</v>
      </c>
      <c r="T1418" t="s">
        <v>11</v>
      </c>
      <c r="U1418" t="s">
        <v>408</v>
      </c>
    </row>
    <row r="1419" spans="1:21" x14ac:dyDescent="0.25">
      <c r="A1419">
        <v>22350347</v>
      </c>
      <c r="B1419" t="s">
        <v>340</v>
      </c>
      <c r="C1419" t="s">
        <v>26</v>
      </c>
      <c r="D1419" t="s">
        <v>12</v>
      </c>
      <c r="E1419" t="s">
        <v>658</v>
      </c>
      <c r="F1419" t="s">
        <v>88</v>
      </c>
      <c r="G1419" t="s">
        <v>369</v>
      </c>
      <c r="H1419" t="s">
        <v>4</v>
      </c>
      <c r="I1419" t="s">
        <v>464</v>
      </c>
      <c r="J1419" t="s">
        <v>463</v>
      </c>
      <c r="K1419" t="s">
        <v>462</v>
      </c>
      <c r="L1419" t="s">
        <v>2</v>
      </c>
      <c r="M1419" t="s">
        <v>408</v>
      </c>
      <c r="N1419" t="s">
        <v>11</v>
      </c>
      <c r="O1419" t="s">
        <v>11</v>
      </c>
      <c r="P1419" t="s">
        <v>2</v>
      </c>
      <c r="Q1419" t="s">
        <v>408</v>
      </c>
      <c r="R1419" t="s">
        <v>439</v>
      </c>
      <c r="S1419" t="s">
        <v>451</v>
      </c>
      <c r="T1419" t="s">
        <v>11</v>
      </c>
      <c r="U1419" t="s">
        <v>408</v>
      </c>
    </row>
    <row r="1420" spans="1:21" x14ac:dyDescent="0.25">
      <c r="A1420">
        <v>22350349</v>
      </c>
      <c r="B1420" t="s">
        <v>340</v>
      </c>
      <c r="C1420" t="s">
        <v>26</v>
      </c>
      <c r="D1420" t="s">
        <v>12</v>
      </c>
      <c r="E1420" t="s">
        <v>658</v>
      </c>
      <c r="F1420" t="s">
        <v>88</v>
      </c>
      <c r="G1420" t="s">
        <v>369</v>
      </c>
      <c r="H1420" t="s">
        <v>5</v>
      </c>
      <c r="I1420" t="s">
        <v>436</v>
      </c>
      <c r="J1420" t="s">
        <v>446</v>
      </c>
      <c r="K1420" t="s">
        <v>438</v>
      </c>
      <c r="L1420" t="s">
        <v>2</v>
      </c>
      <c r="M1420" t="s">
        <v>408</v>
      </c>
      <c r="N1420" t="s">
        <v>11</v>
      </c>
      <c r="O1420" t="s">
        <v>11</v>
      </c>
      <c r="P1420" t="s">
        <v>2</v>
      </c>
      <c r="Q1420" t="s">
        <v>408</v>
      </c>
      <c r="R1420" t="s">
        <v>439</v>
      </c>
      <c r="S1420" t="s">
        <v>440</v>
      </c>
      <c r="T1420" t="s">
        <v>11</v>
      </c>
      <c r="U1420" t="s">
        <v>408</v>
      </c>
    </row>
    <row r="1421" spans="1:21" x14ac:dyDescent="0.25">
      <c r="A1421">
        <v>22350352</v>
      </c>
      <c r="B1421" t="s">
        <v>340</v>
      </c>
      <c r="C1421" t="s">
        <v>26</v>
      </c>
      <c r="D1421" t="s">
        <v>12</v>
      </c>
      <c r="E1421" t="s">
        <v>658</v>
      </c>
      <c r="F1421" t="s">
        <v>88</v>
      </c>
      <c r="G1421" t="s">
        <v>369</v>
      </c>
      <c r="H1421" t="s">
        <v>5</v>
      </c>
      <c r="I1421" t="s">
        <v>436</v>
      </c>
      <c r="J1421" t="s">
        <v>446</v>
      </c>
      <c r="K1421" t="s">
        <v>438</v>
      </c>
      <c r="L1421" t="s">
        <v>2</v>
      </c>
      <c r="M1421" t="s">
        <v>408</v>
      </c>
      <c r="N1421" t="s">
        <v>11</v>
      </c>
      <c r="O1421" t="s">
        <v>11</v>
      </c>
      <c r="P1421" t="s">
        <v>2</v>
      </c>
      <c r="Q1421" t="s">
        <v>408</v>
      </c>
      <c r="R1421" t="s">
        <v>439</v>
      </c>
      <c r="S1421" t="s">
        <v>440</v>
      </c>
      <c r="T1421" t="s">
        <v>11</v>
      </c>
      <c r="U1421" t="s">
        <v>408</v>
      </c>
    </row>
    <row r="1422" spans="1:21" x14ac:dyDescent="0.25">
      <c r="A1422">
        <v>22350354</v>
      </c>
      <c r="B1422" t="s">
        <v>340</v>
      </c>
      <c r="C1422" t="s">
        <v>26</v>
      </c>
      <c r="D1422" t="s">
        <v>12</v>
      </c>
      <c r="E1422" t="s">
        <v>658</v>
      </c>
      <c r="F1422" t="s">
        <v>88</v>
      </c>
      <c r="G1422" t="s">
        <v>369</v>
      </c>
      <c r="H1422" t="s">
        <v>5</v>
      </c>
      <c r="I1422" t="s">
        <v>436</v>
      </c>
      <c r="J1422" t="s">
        <v>446</v>
      </c>
      <c r="K1422" t="s">
        <v>438</v>
      </c>
      <c r="L1422" t="s">
        <v>2</v>
      </c>
      <c r="M1422" t="s">
        <v>408</v>
      </c>
      <c r="N1422" t="s">
        <v>11</v>
      </c>
      <c r="O1422" t="s">
        <v>11</v>
      </c>
      <c r="P1422" t="s">
        <v>2</v>
      </c>
      <c r="Q1422" t="s">
        <v>408</v>
      </c>
      <c r="R1422" t="s">
        <v>439</v>
      </c>
      <c r="S1422" t="s">
        <v>440</v>
      </c>
      <c r="T1422" t="s">
        <v>11</v>
      </c>
      <c r="U1422" t="s">
        <v>408</v>
      </c>
    </row>
    <row r="1423" spans="1:21" x14ac:dyDescent="0.25">
      <c r="A1423">
        <v>22350358</v>
      </c>
      <c r="B1423" t="s">
        <v>340</v>
      </c>
      <c r="C1423" t="s">
        <v>26</v>
      </c>
      <c r="D1423" t="s">
        <v>12</v>
      </c>
      <c r="E1423" t="s">
        <v>658</v>
      </c>
      <c r="F1423" t="s">
        <v>88</v>
      </c>
      <c r="G1423" t="s">
        <v>369</v>
      </c>
      <c r="H1423" t="s">
        <v>5</v>
      </c>
      <c r="I1423" t="s">
        <v>436</v>
      </c>
      <c r="J1423" t="s">
        <v>446</v>
      </c>
      <c r="K1423" t="s">
        <v>438</v>
      </c>
      <c r="L1423" t="s">
        <v>2</v>
      </c>
      <c r="M1423" t="s">
        <v>408</v>
      </c>
      <c r="N1423" t="s">
        <v>11</v>
      </c>
      <c r="O1423" t="s">
        <v>11</v>
      </c>
      <c r="P1423" t="s">
        <v>2</v>
      </c>
      <c r="Q1423" t="s">
        <v>408</v>
      </c>
      <c r="R1423" t="s">
        <v>439</v>
      </c>
      <c r="S1423" t="s">
        <v>440</v>
      </c>
      <c r="T1423" t="s">
        <v>11</v>
      </c>
      <c r="U1423" t="s">
        <v>408</v>
      </c>
    </row>
    <row r="1424" spans="1:21" x14ac:dyDescent="0.25">
      <c r="A1424">
        <v>22350362</v>
      </c>
      <c r="B1424" t="s">
        <v>340</v>
      </c>
      <c r="C1424" t="s">
        <v>26</v>
      </c>
      <c r="D1424" t="s">
        <v>12</v>
      </c>
      <c r="E1424" t="s">
        <v>658</v>
      </c>
      <c r="F1424" t="s">
        <v>88</v>
      </c>
      <c r="G1424" t="s">
        <v>369</v>
      </c>
      <c r="H1424" t="s">
        <v>5</v>
      </c>
      <c r="I1424" t="s">
        <v>436</v>
      </c>
      <c r="J1424" t="s">
        <v>446</v>
      </c>
      <c r="K1424" t="s">
        <v>438</v>
      </c>
      <c r="L1424" t="s">
        <v>2</v>
      </c>
      <c r="M1424" t="s">
        <v>408</v>
      </c>
      <c r="N1424" t="s">
        <v>11</v>
      </c>
      <c r="O1424" t="s">
        <v>11</v>
      </c>
      <c r="P1424" t="s">
        <v>2</v>
      </c>
      <c r="Q1424" t="s">
        <v>408</v>
      </c>
      <c r="R1424" t="s">
        <v>439</v>
      </c>
      <c r="S1424" t="s">
        <v>440</v>
      </c>
      <c r="T1424" t="s">
        <v>11</v>
      </c>
      <c r="U1424" t="s">
        <v>408</v>
      </c>
    </row>
    <row r="1425" spans="1:21" x14ac:dyDescent="0.25">
      <c r="A1425">
        <v>22350363</v>
      </c>
      <c r="B1425" t="s">
        <v>340</v>
      </c>
      <c r="C1425" t="s">
        <v>26</v>
      </c>
      <c r="D1425" t="s">
        <v>12</v>
      </c>
      <c r="E1425" t="s">
        <v>658</v>
      </c>
      <c r="F1425" t="s">
        <v>88</v>
      </c>
      <c r="G1425" t="s">
        <v>369</v>
      </c>
      <c r="H1425" t="s">
        <v>5</v>
      </c>
      <c r="I1425" t="s">
        <v>436</v>
      </c>
      <c r="J1425" t="s">
        <v>446</v>
      </c>
      <c r="K1425" t="s">
        <v>438</v>
      </c>
      <c r="L1425" t="s">
        <v>2</v>
      </c>
      <c r="M1425" t="s">
        <v>408</v>
      </c>
      <c r="N1425" t="s">
        <v>11</v>
      </c>
      <c r="O1425" t="s">
        <v>11</v>
      </c>
      <c r="P1425" t="s">
        <v>2</v>
      </c>
      <c r="Q1425" t="s">
        <v>408</v>
      </c>
      <c r="R1425" t="s">
        <v>439</v>
      </c>
      <c r="S1425" t="s">
        <v>440</v>
      </c>
      <c r="T1425" t="s">
        <v>11</v>
      </c>
      <c r="U1425" t="s">
        <v>408</v>
      </c>
    </row>
    <row r="1426" spans="1:21" x14ac:dyDescent="0.25">
      <c r="A1426">
        <v>22350364</v>
      </c>
      <c r="B1426" t="s">
        <v>340</v>
      </c>
      <c r="C1426" t="s">
        <v>26</v>
      </c>
      <c r="D1426" t="s">
        <v>12</v>
      </c>
      <c r="E1426" t="s">
        <v>658</v>
      </c>
      <c r="F1426" t="s">
        <v>88</v>
      </c>
      <c r="G1426" t="s">
        <v>369</v>
      </c>
      <c r="H1426" t="s">
        <v>1</v>
      </c>
      <c r="I1426" t="s">
        <v>469</v>
      </c>
      <c r="J1426" t="s">
        <v>445</v>
      </c>
      <c r="K1426" t="s">
        <v>438</v>
      </c>
      <c r="L1426" t="s">
        <v>2</v>
      </c>
      <c r="M1426" t="s">
        <v>408</v>
      </c>
      <c r="N1426" t="s">
        <v>11</v>
      </c>
      <c r="O1426" t="s">
        <v>11</v>
      </c>
      <c r="P1426" t="s">
        <v>2</v>
      </c>
      <c r="Q1426" t="s">
        <v>408</v>
      </c>
      <c r="R1426" t="s">
        <v>439</v>
      </c>
      <c r="S1426" t="s">
        <v>440</v>
      </c>
      <c r="T1426" t="s">
        <v>11</v>
      </c>
      <c r="U1426" t="s">
        <v>408</v>
      </c>
    </row>
    <row r="1427" spans="1:21" x14ac:dyDescent="0.25">
      <c r="A1427">
        <v>22350365</v>
      </c>
      <c r="B1427" t="s">
        <v>340</v>
      </c>
      <c r="C1427" t="s">
        <v>26</v>
      </c>
      <c r="D1427" t="s">
        <v>12</v>
      </c>
      <c r="E1427" t="s">
        <v>658</v>
      </c>
      <c r="F1427" t="s">
        <v>88</v>
      </c>
      <c r="G1427" t="s">
        <v>369</v>
      </c>
      <c r="H1427" t="s">
        <v>5</v>
      </c>
      <c r="I1427" t="s">
        <v>436</v>
      </c>
      <c r="J1427" t="s">
        <v>446</v>
      </c>
      <c r="K1427" t="s">
        <v>438</v>
      </c>
      <c r="L1427" t="s">
        <v>2</v>
      </c>
      <c r="M1427" t="s">
        <v>408</v>
      </c>
      <c r="N1427" t="s">
        <v>11</v>
      </c>
      <c r="O1427" t="s">
        <v>11</v>
      </c>
      <c r="P1427" t="s">
        <v>2</v>
      </c>
      <c r="Q1427" t="s">
        <v>408</v>
      </c>
      <c r="R1427" t="s">
        <v>439</v>
      </c>
      <c r="S1427" t="s">
        <v>440</v>
      </c>
      <c r="T1427" t="s">
        <v>11</v>
      </c>
      <c r="U1427" t="s">
        <v>408</v>
      </c>
    </row>
    <row r="1428" spans="1:21" x14ac:dyDescent="0.25">
      <c r="A1428">
        <v>22350368</v>
      </c>
      <c r="B1428" t="s">
        <v>340</v>
      </c>
      <c r="C1428" t="s">
        <v>26</v>
      </c>
      <c r="D1428" t="s">
        <v>12</v>
      </c>
      <c r="E1428" t="s">
        <v>658</v>
      </c>
      <c r="F1428" t="s">
        <v>88</v>
      </c>
      <c r="G1428" t="s">
        <v>369</v>
      </c>
      <c r="H1428" t="s">
        <v>5</v>
      </c>
      <c r="I1428" t="s">
        <v>436</v>
      </c>
      <c r="J1428" t="s">
        <v>446</v>
      </c>
      <c r="K1428" t="s">
        <v>438</v>
      </c>
      <c r="L1428" t="s">
        <v>2</v>
      </c>
      <c r="M1428" t="s">
        <v>408</v>
      </c>
      <c r="N1428" t="s">
        <v>11</v>
      </c>
      <c r="O1428" t="s">
        <v>11</v>
      </c>
      <c r="P1428" t="s">
        <v>2</v>
      </c>
      <c r="Q1428" t="s">
        <v>408</v>
      </c>
      <c r="R1428" t="s">
        <v>439</v>
      </c>
      <c r="S1428" t="s">
        <v>440</v>
      </c>
      <c r="T1428" t="s">
        <v>11</v>
      </c>
      <c r="U1428" t="s">
        <v>408</v>
      </c>
    </row>
    <row r="1429" spans="1:21" x14ac:dyDescent="0.25">
      <c r="A1429">
        <v>22350375</v>
      </c>
      <c r="B1429" t="s">
        <v>340</v>
      </c>
      <c r="C1429" t="s">
        <v>26</v>
      </c>
      <c r="D1429" t="s">
        <v>12</v>
      </c>
      <c r="E1429" t="s">
        <v>658</v>
      </c>
      <c r="F1429" t="s">
        <v>88</v>
      </c>
      <c r="G1429" t="s">
        <v>369</v>
      </c>
      <c r="H1429" t="s">
        <v>4</v>
      </c>
      <c r="I1429" t="s">
        <v>464</v>
      </c>
      <c r="J1429" t="s">
        <v>463</v>
      </c>
      <c r="K1429" t="s">
        <v>462</v>
      </c>
      <c r="L1429" t="s">
        <v>2</v>
      </c>
      <c r="M1429" t="s">
        <v>408</v>
      </c>
      <c r="N1429" t="s">
        <v>11</v>
      </c>
      <c r="O1429" t="s">
        <v>11</v>
      </c>
      <c r="P1429" t="s">
        <v>2</v>
      </c>
      <c r="Q1429" t="s">
        <v>408</v>
      </c>
      <c r="R1429" t="s">
        <v>439</v>
      </c>
      <c r="S1429" t="s">
        <v>451</v>
      </c>
      <c r="T1429" t="s">
        <v>11</v>
      </c>
      <c r="U1429" t="s">
        <v>408</v>
      </c>
    </row>
    <row r="1430" spans="1:21" x14ac:dyDescent="0.25">
      <c r="A1430">
        <v>22350377</v>
      </c>
      <c r="B1430" t="s">
        <v>340</v>
      </c>
      <c r="C1430" t="s">
        <v>26</v>
      </c>
      <c r="D1430" t="s">
        <v>12</v>
      </c>
      <c r="E1430" t="s">
        <v>658</v>
      </c>
      <c r="F1430" t="s">
        <v>88</v>
      </c>
      <c r="G1430" t="s">
        <v>369</v>
      </c>
      <c r="H1430" t="s">
        <v>5</v>
      </c>
      <c r="I1430" t="s">
        <v>436</v>
      </c>
      <c r="J1430" t="s">
        <v>446</v>
      </c>
      <c r="K1430" t="s">
        <v>438</v>
      </c>
      <c r="L1430" t="s">
        <v>2</v>
      </c>
      <c r="M1430" t="s">
        <v>408</v>
      </c>
      <c r="N1430" t="s">
        <v>11</v>
      </c>
      <c r="O1430" t="s">
        <v>11</v>
      </c>
      <c r="P1430" t="s">
        <v>2</v>
      </c>
      <c r="Q1430" t="s">
        <v>408</v>
      </c>
      <c r="R1430" t="s">
        <v>439</v>
      </c>
      <c r="S1430" t="s">
        <v>440</v>
      </c>
      <c r="T1430" t="s">
        <v>11</v>
      </c>
      <c r="U1430" t="s">
        <v>408</v>
      </c>
    </row>
    <row r="1431" spans="1:21" x14ac:dyDescent="0.25">
      <c r="A1431">
        <v>22350378</v>
      </c>
      <c r="B1431" t="s">
        <v>340</v>
      </c>
      <c r="C1431" t="s">
        <v>26</v>
      </c>
      <c r="D1431" t="s">
        <v>12</v>
      </c>
      <c r="E1431" t="s">
        <v>658</v>
      </c>
      <c r="F1431" t="s">
        <v>88</v>
      </c>
      <c r="G1431" t="s">
        <v>369</v>
      </c>
      <c r="H1431" t="s">
        <v>5</v>
      </c>
      <c r="I1431" t="s">
        <v>436</v>
      </c>
      <c r="J1431" t="s">
        <v>446</v>
      </c>
      <c r="K1431" t="s">
        <v>438</v>
      </c>
      <c r="L1431" t="s">
        <v>2</v>
      </c>
      <c r="M1431" t="s">
        <v>408</v>
      </c>
      <c r="N1431" t="s">
        <v>11</v>
      </c>
      <c r="O1431" t="s">
        <v>11</v>
      </c>
      <c r="P1431" t="s">
        <v>2</v>
      </c>
      <c r="Q1431" t="s">
        <v>408</v>
      </c>
      <c r="R1431" t="s">
        <v>439</v>
      </c>
      <c r="S1431" t="s">
        <v>440</v>
      </c>
      <c r="T1431" t="s">
        <v>11</v>
      </c>
      <c r="U1431" t="s">
        <v>408</v>
      </c>
    </row>
    <row r="1432" spans="1:21" x14ac:dyDescent="0.25">
      <c r="A1432">
        <v>22350380</v>
      </c>
      <c r="B1432" t="s">
        <v>340</v>
      </c>
      <c r="C1432" t="s">
        <v>26</v>
      </c>
      <c r="D1432" t="s">
        <v>12</v>
      </c>
      <c r="E1432" t="s">
        <v>658</v>
      </c>
      <c r="F1432" t="s">
        <v>88</v>
      </c>
      <c r="G1432" t="s">
        <v>369</v>
      </c>
      <c r="H1432" t="s">
        <v>5</v>
      </c>
      <c r="I1432" t="s">
        <v>436</v>
      </c>
      <c r="J1432" t="s">
        <v>446</v>
      </c>
      <c r="K1432" t="s">
        <v>438</v>
      </c>
      <c r="L1432" t="s">
        <v>2</v>
      </c>
      <c r="M1432" t="s">
        <v>408</v>
      </c>
      <c r="N1432" t="s">
        <v>11</v>
      </c>
      <c r="O1432" t="s">
        <v>11</v>
      </c>
      <c r="P1432" t="s">
        <v>2</v>
      </c>
      <c r="Q1432" t="s">
        <v>408</v>
      </c>
      <c r="R1432" t="s">
        <v>439</v>
      </c>
      <c r="S1432" t="s">
        <v>440</v>
      </c>
      <c r="T1432" t="s">
        <v>11</v>
      </c>
      <c r="U1432" t="s">
        <v>408</v>
      </c>
    </row>
    <row r="1433" spans="1:21" x14ac:dyDescent="0.25">
      <c r="A1433">
        <v>22350386</v>
      </c>
      <c r="B1433" t="s">
        <v>340</v>
      </c>
      <c r="C1433" t="s">
        <v>26</v>
      </c>
      <c r="D1433" t="s">
        <v>12</v>
      </c>
      <c r="E1433" t="s">
        <v>658</v>
      </c>
      <c r="F1433" t="s">
        <v>88</v>
      </c>
      <c r="G1433" t="s">
        <v>369</v>
      </c>
      <c r="H1433" t="s">
        <v>4</v>
      </c>
      <c r="I1433" t="s">
        <v>464</v>
      </c>
      <c r="J1433" t="s">
        <v>463</v>
      </c>
      <c r="K1433" t="s">
        <v>462</v>
      </c>
      <c r="L1433" t="s">
        <v>2</v>
      </c>
      <c r="M1433" t="s">
        <v>408</v>
      </c>
      <c r="N1433" t="s">
        <v>11</v>
      </c>
      <c r="O1433" t="s">
        <v>11</v>
      </c>
      <c r="P1433" t="s">
        <v>2</v>
      </c>
      <c r="Q1433" t="s">
        <v>408</v>
      </c>
      <c r="R1433" t="s">
        <v>439</v>
      </c>
      <c r="S1433" t="s">
        <v>451</v>
      </c>
      <c r="T1433" t="s">
        <v>11</v>
      </c>
      <c r="U1433" t="s">
        <v>408</v>
      </c>
    </row>
    <row r="1434" spans="1:21" x14ac:dyDescent="0.25">
      <c r="A1434">
        <v>22350390</v>
      </c>
      <c r="B1434" t="s">
        <v>340</v>
      </c>
      <c r="C1434" t="s">
        <v>26</v>
      </c>
      <c r="D1434" t="s">
        <v>18</v>
      </c>
      <c r="E1434" t="s">
        <v>658</v>
      </c>
      <c r="F1434" t="s">
        <v>88</v>
      </c>
      <c r="G1434" t="s">
        <v>369</v>
      </c>
      <c r="H1434" t="s">
        <v>5</v>
      </c>
      <c r="I1434" t="s">
        <v>436</v>
      </c>
      <c r="J1434" t="s">
        <v>446</v>
      </c>
      <c r="K1434" t="s">
        <v>438</v>
      </c>
      <c r="L1434" t="s">
        <v>2</v>
      </c>
      <c r="M1434" t="s">
        <v>408</v>
      </c>
      <c r="N1434" t="s">
        <v>11</v>
      </c>
      <c r="O1434" t="s">
        <v>11</v>
      </c>
      <c r="P1434" t="s">
        <v>2</v>
      </c>
      <c r="Q1434" t="s">
        <v>408</v>
      </c>
      <c r="R1434" t="s">
        <v>439</v>
      </c>
      <c r="S1434" t="s">
        <v>440</v>
      </c>
      <c r="T1434" t="s">
        <v>11</v>
      </c>
      <c r="U1434" t="s">
        <v>408</v>
      </c>
    </row>
    <row r="1435" spans="1:21" x14ac:dyDescent="0.25">
      <c r="A1435">
        <v>22350394</v>
      </c>
      <c r="B1435" t="s">
        <v>340</v>
      </c>
      <c r="C1435" t="s">
        <v>26</v>
      </c>
      <c r="D1435" t="s">
        <v>12</v>
      </c>
      <c r="E1435" t="s">
        <v>658</v>
      </c>
      <c r="F1435" t="s">
        <v>88</v>
      </c>
      <c r="G1435" t="s">
        <v>369</v>
      </c>
      <c r="H1435" t="s">
        <v>5</v>
      </c>
      <c r="I1435" t="s">
        <v>436</v>
      </c>
      <c r="J1435" t="s">
        <v>446</v>
      </c>
      <c r="K1435" t="s">
        <v>438</v>
      </c>
      <c r="L1435" t="s">
        <v>2</v>
      </c>
      <c r="M1435" t="s">
        <v>408</v>
      </c>
      <c r="N1435" t="s">
        <v>11</v>
      </c>
      <c r="O1435" t="s">
        <v>11</v>
      </c>
      <c r="P1435" t="s">
        <v>2</v>
      </c>
      <c r="Q1435" t="s">
        <v>408</v>
      </c>
      <c r="R1435" t="s">
        <v>439</v>
      </c>
      <c r="S1435" t="s">
        <v>440</v>
      </c>
      <c r="T1435" t="s">
        <v>11</v>
      </c>
      <c r="U1435" t="s">
        <v>408</v>
      </c>
    </row>
    <row r="1436" spans="1:21" x14ac:dyDescent="0.25">
      <c r="A1436">
        <v>22350396</v>
      </c>
      <c r="B1436" t="s">
        <v>340</v>
      </c>
      <c r="C1436" t="s">
        <v>26</v>
      </c>
      <c r="D1436" t="s">
        <v>12</v>
      </c>
      <c r="E1436" t="s">
        <v>658</v>
      </c>
      <c r="F1436" t="s">
        <v>88</v>
      </c>
      <c r="G1436" t="s">
        <v>369</v>
      </c>
      <c r="H1436" t="s">
        <v>5</v>
      </c>
      <c r="I1436" t="s">
        <v>436</v>
      </c>
      <c r="J1436" t="s">
        <v>446</v>
      </c>
      <c r="K1436" t="s">
        <v>438</v>
      </c>
      <c r="L1436" t="s">
        <v>2</v>
      </c>
      <c r="M1436" t="s">
        <v>408</v>
      </c>
      <c r="N1436" t="s">
        <v>11</v>
      </c>
      <c r="O1436" t="s">
        <v>11</v>
      </c>
      <c r="P1436" t="s">
        <v>2</v>
      </c>
      <c r="Q1436" t="s">
        <v>408</v>
      </c>
      <c r="R1436" t="s">
        <v>439</v>
      </c>
      <c r="S1436" t="s">
        <v>440</v>
      </c>
      <c r="T1436" t="s">
        <v>11</v>
      </c>
      <c r="U1436" t="s">
        <v>408</v>
      </c>
    </row>
    <row r="1437" spans="1:21" x14ac:dyDescent="0.25">
      <c r="A1437">
        <v>22350397</v>
      </c>
      <c r="B1437" t="s">
        <v>340</v>
      </c>
      <c r="C1437" t="s">
        <v>26</v>
      </c>
      <c r="D1437" t="s">
        <v>12</v>
      </c>
      <c r="E1437" t="s">
        <v>658</v>
      </c>
      <c r="F1437" t="s">
        <v>88</v>
      </c>
      <c r="G1437" t="s">
        <v>369</v>
      </c>
      <c r="H1437" t="s">
        <v>5</v>
      </c>
      <c r="I1437" t="s">
        <v>436</v>
      </c>
      <c r="J1437" t="s">
        <v>446</v>
      </c>
      <c r="K1437" t="s">
        <v>438</v>
      </c>
      <c r="L1437" t="s">
        <v>2</v>
      </c>
      <c r="M1437" t="s">
        <v>408</v>
      </c>
      <c r="N1437" t="s">
        <v>11</v>
      </c>
      <c r="O1437" t="s">
        <v>11</v>
      </c>
      <c r="P1437" t="s">
        <v>2</v>
      </c>
      <c r="Q1437" t="s">
        <v>408</v>
      </c>
      <c r="R1437" t="s">
        <v>439</v>
      </c>
      <c r="S1437" t="s">
        <v>440</v>
      </c>
      <c r="T1437" t="s">
        <v>11</v>
      </c>
      <c r="U1437" t="s">
        <v>408</v>
      </c>
    </row>
    <row r="1438" spans="1:21" x14ac:dyDescent="0.25">
      <c r="A1438">
        <v>22350399</v>
      </c>
      <c r="B1438" t="s">
        <v>340</v>
      </c>
      <c r="C1438" t="s">
        <v>26</v>
      </c>
      <c r="D1438" t="s">
        <v>12</v>
      </c>
      <c r="E1438" t="s">
        <v>658</v>
      </c>
      <c r="F1438" t="s">
        <v>88</v>
      </c>
      <c r="G1438" t="s">
        <v>369</v>
      </c>
      <c r="H1438" t="s">
        <v>5</v>
      </c>
      <c r="I1438" t="s">
        <v>436</v>
      </c>
      <c r="J1438" t="s">
        <v>446</v>
      </c>
      <c r="K1438" t="s">
        <v>438</v>
      </c>
      <c r="L1438" t="s">
        <v>2</v>
      </c>
      <c r="M1438" t="s">
        <v>408</v>
      </c>
      <c r="N1438" t="s">
        <v>11</v>
      </c>
      <c r="O1438" t="s">
        <v>11</v>
      </c>
      <c r="P1438" t="s">
        <v>2</v>
      </c>
      <c r="Q1438" t="s">
        <v>408</v>
      </c>
      <c r="R1438" t="s">
        <v>439</v>
      </c>
      <c r="S1438" t="s">
        <v>440</v>
      </c>
      <c r="T1438" t="s">
        <v>11</v>
      </c>
      <c r="U1438" t="s">
        <v>408</v>
      </c>
    </row>
    <row r="1439" spans="1:21" x14ac:dyDescent="0.25">
      <c r="A1439">
        <v>22350403</v>
      </c>
      <c r="B1439" t="s">
        <v>340</v>
      </c>
      <c r="C1439" t="s">
        <v>26</v>
      </c>
      <c r="D1439" t="s">
        <v>12</v>
      </c>
      <c r="E1439" t="s">
        <v>530</v>
      </c>
      <c r="F1439" t="s">
        <v>158</v>
      </c>
      <c r="G1439" t="s">
        <v>369</v>
      </c>
      <c r="H1439" t="s">
        <v>5</v>
      </c>
      <c r="I1439" t="s">
        <v>436</v>
      </c>
      <c r="J1439" t="s">
        <v>446</v>
      </c>
      <c r="K1439" t="s">
        <v>438</v>
      </c>
      <c r="L1439" t="s">
        <v>2</v>
      </c>
      <c r="M1439" t="s">
        <v>408</v>
      </c>
      <c r="N1439" t="s">
        <v>11</v>
      </c>
      <c r="O1439" t="s">
        <v>11</v>
      </c>
      <c r="P1439" t="s">
        <v>0</v>
      </c>
      <c r="Q1439" t="s">
        <v>408</v>
      </c>
      <c r="R1439" t="s">
        <v>439</v>
      </c>
      <c r="S1439" t="s">
        <v>440</v>
      </c>
      <c r="T1439" t="s">
        <v>11</v>
      </c>
      <c r="U1439" t="s">
        <v>408</v>
      </c>
    </row>
    <row r="1440" spans="1:21" x14ac:dyDescent="0.25">
      <c r="A1440">
        <v>22350405</v>
      </c>
      <c r="B1440" t="s">
        <v>340</v>
      </c>
      <c r="C1440" t="s">
        <v>26</v>
      </c>
      <c r="D1440" t="s">
        <v>12</v>
      </c>
      <c r="E1440" t="s">
        <v>530</v>
      </c>
      <c r="F1440" t="s">
        <v>158</v>
      </c>
      <c r="G1440" t="s">
        <v>369</v>
      </c>
      <c r="H1440" t="s">
        <v>727</v>
      </c>
      <c r="I1440" t="s">
        <v>728</v>
      </c>
      <c r="J1440" t="s">
        <v>729</v>
      </c>
      <c r="K1440" t="s">
        <v>450</v>
      </c>
      <c r="L1440" t="s">
        <v>367</v>
      </c>
      <c r="M1440" t="s">
        <v>408</v>
      </c>
      <c r="N1440" t="s">
        <v>11</v>
      </c>
      <c r="O1440" t="s">
        <v>11</v>
      </c>
      <c r="P1440" t="s">
        <v>0</v>
      </c>
      <c r="Q1440" t="s">
        <v>408</v>
      </c>
      <c r="R1440" t="s">
        <v>439</v>
      </c>
      <c r="S1440" t="s">
        <v>451</v>
      </c>
      <c r="T1440" t="s">
        <v>11</v>
      </c>
      <c r="U1440" t="s">
        <v>408</v>
      </c>
    </row>
    <row r="1441" spans="1:21" x14ac:dyDescent="0.25">
      <c r="A1441">
        <v>22350406</v>
      </c>
      <c r="B1441" t="s">
        <v>340</v>
      </c>
      <c r="C1441" t="s">
        <v>26</v>
      </c>
      <c r="D1441" t="s">
        <v>12</v>
      </c>
      <c r="E1441" t="s">
        <v>530</v>
      </c>
      <c r="F1441" t="s">
        <v>159</v>
      </c>
      <c r="G1441" t="s">
        <v>369</v>
      </c>
      <c r="H1441" t="s">
        <v>0</v>
      </c>
      <c r="I1441" t="s">
        <v>436</v>
      </c>
      <c r="J1441" t="s">
        <v>437</v>
      </c>
      <c r="K1441" t="s">
        <v>438</v>
      </c>
      <c r="L1441" t="s">
        <v>345</v>
      </c>
      <c r="M1441" t="s">
        <v>408</v>
      </c>
      <c r="N1441" t="s">
        <v>11</v>
      </c>
      <c r="O1441" t="s">
        <v>11</v>
      </c>
      <c r="P1441" t="s">
        <v>0</v>
      </c>
      <c r="Q1441" t="s">
        <v>408</v>
      </c>
      <c r="R1441" t="s">
        <v>439</v>
      </c>
      <c r="S1441" t="s">
        <v>440</v>
      </c>
      <c r="T1441" t="s">
        <v>11</v>
      </c>
      <c r="U1441" t="s">
        <v>408</v>
      </c>
    </row>
    <row r="1442" spans="1:21" x14ac:dyDescent="0.25">
      <c r="A1442">
        <v>22350408</v>
      </c>
      <c r="B1442" t="s">
        <v>340</v>
      </c>
      <c r="C1442" t="s">
        <v>26</v>
      </c>
      <c r="D1442" t="s">
        <v>12</v>
      </c>
      <c r="E1442" t="s">
        <v>530</v>
      </c>
      <c r="F1442" t="s">
        <v>158</v>
      </c>
      <c r="G1442" t="s">
        <v>369</v>
      </c>
      <c r="H1442" t="s">
        <v>4</v>
      </c>
      <c r="I1442" t="s">
        <v>464</v>
      </c>
      <c r="J1442" t="s">
        <v>463</v>
      </c>
      <c r="K1442" t="s">
        <v>462</v>
      </c>
      <c r="L1442" t="s">
        <v>3</v>
      </c>
      <c r="M1442" t="s">
        <v>408</v>
      </c>
      <c r="N1442" t="s">
        <v>11</v>
      </c>
      <c r="O1442" t="s">
        <v>11</v>
      </c>
      <c r="P1442" t="s">
        <v>0</v>
      </c>
      <c r="Q1442" t="s">
        <v>408</v>
      </c>
      <c r="R1442" t="s">
        <v>439</v>
      </c>
      <c r="S1442" t="s">
        <v>451</v>
      </c>
      <c r="T1442" t="s">
        <v>11</v>
      </c>
      <c r="U1442" t="s">
        <v>408</v>
      </c>
    </row>
    <row r="1443" spans="1:21" x14ac:dyDescent="0.25">
      <c r="A1443">
        <v>22350409</v>
      </c>
      <c r="B1443" t="s">
        <v>340</v>
      </c>
      <c r="C1443" t="s">
        <v>26</v>
      </c>
      <c r="D1443" t="s">
        <v>12</v>
      </c>
      <c r="E1443" t="s">
        <v>530</v>
      </c>
      <c r="F1443" t="s">
        <v>159</v>
      </c>
      <c r="G1443" t="s">
        <v>369</v>
      </c>
      <c r="H1443" t="s">
        <v>0</v>
      </c>
      <c r="I1443" t="s">
        <v>436</v>
      </c>
      <c r="J1443" t="s">
        <v>437</v>
      </c>
      <c r="K1443" t="s">
        <v>438</v>
      </c>
      <c r="L1443" t="s">
        <v>345</v>
      </c>
      <c r="M1443" t="s">
        <v>408</v>
      </c>
      <c r="N1443" t="s">
        <v>11</v>
      </c>
      <c r="O1443" t="s">
        <v>11</v>
      </c>
      <c r="P1443" t="s">
        <v>0</v>
      </c>
      <c r="Q1443" t="s">
        <v>408</v>
      </c>
      <c r="R1443" t="s">
        <v>439</v>
      </c>
      <c r="S1443" t="s">
        <v>440</v>
      </c>
      <c r="T1443" t="s">
        <v>11</v>
      </c>
      <c r="U1443" t="s">
        <v>408</v>
      </c>
    </row>
    <row r="1444" spans="1:21" x14ac:dyDescent="0.25">
      <c r="A1444">
        <v>22350411</v>
      </c>
      <c r="B1444" t="s">
        <v>340</v>
      </c>
      <c r="C1444" t="s">
        <v>26</v>
      </c>
      <c r="D1444" t="s">
        <v>12</v>
      </c>
      <c r="E1444" t="s">
        <v>531</v>
      </c>
      <c r="F1444" t="s">
        <v>87</v>
      </c>
      <c r="G1444" t="s">
        <v>369</v>
      </c>
      <c r="H1444" t="s">
        <v>5</v>
      </c>
      <c r="I1444" t="s">
        <v>436</v>
      </c>
      <c r="J1444" t="s">
        <v>446</v>
      </c>
      <c r="K1444" t="s">
        <v>438</v>
      </c>
      <c r="L1444" t="s">
        <v>2</v>
      </c>
      <c r="M1444" t="s">
        <v>408</v>
      </c>
      <c r="N1444" t="s">
        <v>11</v>
      </c>
      <c r="O1444" t="s">
        <v>11</v>
      </c>
      <c r="P1444" t="s">
        <v>2</v>
      </c>
      <c r="Q1444" t="s">
        <v>408</v>
      </c>
      <c r="R1444" t="s">
        <v>439</v>
      </c>
      <c r="S1444" t="s">
        <v>440</v>
      </c>
      <c r="T1444" t="s">
        <v>11</v>
      </c>
      <c r="U1444" t="s">
        <v>408</v>
      </c>
    </row>
    <row r="1445" spans="1:21" x14ac:dyDescent="0.25">
      <c r="A1445">
        <v>22350412</v>
      </c>
      <c r="B1445" t="s">
        <v>340</v>
      </c>
      <c r="C1445" t="s">
        <v>26</v>
      </c>
      <c r="D1445" t="s">
        <v>12</v>
      </c>
      <c r="E1445" t="s">
        <v>531</v>
      </c>
      <c r="F1445" t="s">
        <v>87</v>
      </c>
      <c r="G1445" t="s">
        <v>369</v>
      </c>
      <c r="H1445" t="s">
        <v>5</v>
      </c>
      <c r="I1445" t="s">
        <v>436</v>
      </c>
      <c r="J1445" t="s">
        <v>446</v>
      </c>
      <c r="K1445" t="s">
        <v>438</v>
      </c>
      <c r="L1445" t="s">
        <v>2</v>
      </c>
      <c r="M1445" t="s">
        <v>408</v>
      </c>
      <c r="N1445" t="s">
        <v>11</v>
      </c>
      <c r="O1445" t="s">
        <v>11</v>
      </c>
      <c r="P1445" t="s">
        <v>2</v>
      </c>
      <c r="Q1445" t="s">
        <v>408</v>
      </c>
      <c r="R1445" t="s">
        <v>439</v>
      </c>
      <c r="S1445" t="s">
        <v>440</v>
      </c>
      <c r="T1445" t="s">
        <v>11</v>
      </c>
      <c r="U1445" t="s">
        <v>408</v>
      </c>
    </row>
    <row r="1446" spans="1:21" x14ac:dyDescent="0.25">
      <c r="A1446">
        <v>22350419</v>
      </c>
      <c r="B1446" t="s">
        <v>340</v>
      </c>
      <c r="C1446" t="s">
        <v>26</v>
      </c>
      <c r="D1446" t="s">
        <v>12</v>
      </c>
      <c r="E1446" t="s">
        <v>531</v>
      </c>
      <c r="F1446" t="s">
        <v>156</v>
      </c>
      <c r="G1446" t="s">
        <v>369</v>
      </c>
      <c r="H1446" t="s">
        <v>370</v>
      </c>
      <c r="I1446" t="s">
        <v>721</v>
      </c>
      <c r="J1446" t="s">
        <v>455</v>
      </c>
      <c r="K1446" t="s">
        <v>453</v>
      </c>
      <c r="L1446" t="s">
        <v>2</v>
      </c>
      <c r="M1446" t="s">
        <v>408</v>
      </c>
      <c r="N1446" t="s">
        <v>11</v>
      </c>
      <c r="O1446" t="s">
        <v>11</v>
      </c>
      <c r="P1446" t="s">
        <v>0</v>
      </c>
      <c r="Q1446" t="s">
        <v>408</v>
      </c>
      <c r="R1446" t="s">
        <v>439</v>
      </c>
      <c r="S1446" t="s">
        <v>451</v>
      </c>
      <c r="T1446" t="s">
        <v>11</v>
      </c>
      <c r="U1446" t="s">
        <v>408</v>
      </c>
    </row>
    <row r="1447" spans="1:21" x14ac:dyDescent="0.25">
      <c r="A1447">
        <v>22350428</v>
      </c>
      <c r="B1447" t="s">
        <v>340</v>
      </c>
      <c r="C1447" t="s">
        <v>26</v>
      </c>
      <c r="D1447" t="s">
        <v>12</v>
      </c>
      <c r="E1447" t="s">
        <v>658</v>
      </c>
      <c r="F1447" t="s">
        <v>155</v>
      </c>
      <c r="G1447" t="s">
        <v>369</v>
      </c>
      <c r="H1447" t="s">
        <v>5</v>
      </c>
      <c r="I1447" t="s">
        <v>436</v>
      </c>
      <c r="J1447" t="s">
        <v>446</v>
      </c>
      <c r="K1447" t="s">
        <v>438</v>
      </c>
      <c r="L1447" t="s">
        <v>2</v>
      </c>
      <c r="M1447" t="s">
        <v>408</v>
      </c>
      <c r="N1447" t="s">
        <v>408</v>
      </c>
      <c r="O1447" t="s">
        <v>11</v>
      </c>
      <c r="P1447" t="s">
        <v>0</v>
      </c>
      <c r="Q1447" t="s">
        <v>408</v>
      </c>
      <c r="R1447" t="s">
        <v>439</v>
      </c>
      <c r="S1447" t="s">
        <v>440</v>
      </c>
      <c r="T1447" t="s">
        <v>408</v>
      </c>
      <c r="U1447" t="s">
        <v>408</v>
      </c>
    </row>
    <row r="1448" spans="1:21" x14ac:dyDescent="0.25">
      <c r="A1448">
        <v>22350436</v>
      </c>
      <c r="B1448" t="s">
        <v>340</v>
      </c>
      <c r="C1448" t="s">
        <v>26</v>
      </c>
      <c r="D1448" t="s">
        <v>12</v>
      </c>
      <c r="E1448" t="s">
        <v>739</v>
      </c>
      <c r="F1448" t="s">
        <v>103</v>
      </c>
      <c r="G1448" t="s">
        <v>369</v>
      </c>
      <c r="H1448" t="s">
        <v>0</v>
      </c>
      <c r="I1448" t="s">
        <v>436</v>
      </c>
      <c r="J1448" t="s">
        <v>437</v>
      </c>
      <c r="K1448" t="s">
        <v>438</v>
      </c>
      <c r="L1448" t="s">
        <v>4</v>
      </c>
      <c r="M1448" t="s">
        <v>408</v>
      </c>
      <c r="N1448" t="s">
        <v>11</v>
      </c>
      <c r="O1448" t="s">
        <v>11</v>
      </c>
      <c r="P1448" t="s">
        <v>2</v>
      </c>
      <c r="Q1448" t="s">
        <v>408</v>
      </c>
      <c r="R1448" t="s">
        <v>439</v>
      </c>
      <c r="S1448" t="s">
        <v>440</v>
      </c>
      <c r="T1448" t="s">
        <v>11</v>
      </c>
      <c r="U1448" t="s">
        <v>408</v>
      </c>
    </row>
    <row r="1449" spans="1:21" x14ac:dyDescent="0.25">
      <c r="A1449">
        <v>22350437</v>
      </c>
      <c r="B1449" t="s">
        <v>340</v>
      </c>
      <c r="C1449" t="s">
        <v>26</v>
      </c>
      <c r="D1449" t="s">
        <v>12</v>
      </c>
      <c r="E1449" t="s">
        <v>739</v>
      </c>
      <c r="F1449" t="s">
        <v>103</v>
      </c>
      <c r="G1449" t="s">
        <v>369</v>
      </c>
      <c r="H1449" t="s">
        <v>0</v>
      </c>
      <c r="I1449" t="s">
        <v>436</v>
      </c>
      <c r="J1449" t="s">
        <v>437</v>
      </c>
      <c r="K1449" t="s">
        <v>438</v>
      </c>
      <c r="L1449" t="s">
        <v>4</v>
      </c>
      <c r="M1449" t="s">
        <v>408</v>
      </c>
      <c r="N1449" t="s">
        <v>11</v>
      </c>
      <c r="O1449" t="s">
        <v>11</v>
      </c>
      <c r="P1449" t="s">
        <v>2</v>
      </c>
      <c r="Q1449" t="s">
        <v>408</v>
      </c>
      <c r="R1449" t="s">
        <v>439</v>
      </c>
      <c r="S1449" t="s">
        <v>440</v>
      </c>
      <c r="T1449" t="s">
        <v>11</v>
      </c>
      <c r="U1449" t="s">
        <v>408</v>
      </c>
    </row>
    <row r="1450" spans="1:21" x14ac:dyDescent="0.25">
      <c r="A1450">
        <v>22350439</v>
      </c>
      <c r="B1450" t="s">
        <v>340</v>
      </c>
      <c r="C1450" t="s">
        <v>26</v>
      </c>
      <c r="D1450" t="s">
        <v>12</v>
      </c>
      <c r="E1450" t="s">
        <v>530</v>
      </c>
      <c r="F1450" t="s">
        <v>159</v>
      </c>
      <c r="G1450" t="s">
        <v>369</v>
      </c>
      <c r="H1450" t="s">
        <v>5</v>
      </c>
      <c r="I1450" t="s">
        <v>436</v>
      </c>
      <c r="J1450" t="s">
        <v>446</v>
      </c>
      <c r="K1450" t="s">
        <v>438</v>
      </c>
      <c r="L1450" t="s">
        <v>2</v>
      </c>
      <c r="M1450" t="s">
        <v>408</v>
      </c>
      <c r="N1450" t="s">
        <v>11</v>
      </c>
      <c r="O1450" t="s">
        <v>11</v>
      </c>
      <c r="P1450" t="s">
        <v>0</v>
      </c>
      <c r="Q1450" t="s">
        <v>408</v>
      </c>
      <c r="R1450" t="s">
        <v>439</v>
      </c>
      <c r="S1450" t="s">
        <v>440</v>
      </c>
      <c r="T1450" t="s">
        <v>11</v>
      </c>
      <c r="U1450" t="s">
        <v>408</v>
      </c>
    </row>
    <row r="1451" spans="1:21" x14ac:dyDescent="0.25">
      <c r="A1451">
        <v>22350440</v>
      </c>
      <c r="B1451" t="s">
        <v>340</v>
      </c>
      <c r="C1451" t="s">
        <v>26</v>
      </c>
      <c r="D1451" t="s">
        <v>12</v>
      </c>
      <c r="E1451" t="s">
        <v>658</v>
      </c>
      <c r="F1451" t="s">
        <v>155</v>
      </c>
      <c r="G1451" t="s">
        <v>369</v>
      </c>
      <c r="H1451" t="s">
        <v>5</v>
      </c>
      <c r="I1451" t="s">
        <v>436</v>
      </c>
      <c r="J1451" t="s">
        <v>446</v>
      </c>
      <c r="K1451" t="s">
        <v>438</v>
      </c>
      <c r="L1451" t="s">
        <v>2</v>
      </c>
      <c r="M1451" t="s">
        <v>408</v>
      </c>
      <c r="N1451" t="s">
        <v>11</v>
      </c>
      <c r="O1451" t="s">
        <v>11</v>
      </c>
      <c r="P1451" t="s">
        <v>0</v>
      </c>
      <c r="Q1451" t="s">
        <v>408</v>
      </c>
      <c r="R1451" t="s">
        <v>439</v>
      </c>
      <c r="S1451" t="s">
        <v>440</v>
      </c>
      <c r="T1451" t="s">
        <v>11</v>
      </c>
      <c r="U1451" t="s">
        <v>408</v>
      </c>
    </row>
    <row r="1452" spans="1:21" x14ac:dyDescent="0.25">
      <c r="A1452">
        <v>22364297</v>
      </c>
      <c r="B1452" t="s">
        <v>342</v>
      </c>
      <c r="C1452" t="s">
        <v>89</v>
      </c>
      <c r="D1452" t="s">
        <v>12</v>
      </c>
      <c r="E1452" t="s">
        <v>752</v>
      </c>
      <c r="F1452" t="s">
        <v>562</v>
      </c>
      <c r="G1452" t="s">
        <v>369</v>
      </c>
      <c r="H1452" t="s">
        <v>4</v>
      </c>
      <c r="I1452" t="s">
        <v>464</v>
      </c>
      <c r="J1452" t="s">
        <v>463</v>
      </c>
      <c r="K1452" t="s">
        <v>462</v>
      </c>
      <c r="L1452" t="s">
        <v>2</v>
      </c>
      <c r="M1452" t="s">
        <v>408</v>
      </c>
      <c r="N1452" t="s">
        <v>408</v>
      </c>
      <c r="O1452" t="s">
        <v>11</v>
      </c>
      <c r="P1452" t="s">
        <v>363</v>
      </c>
      <c r="Q1452" t="s">
        <v>408</v>
      </c>
      <c r="R1452" t="s">
        <v>439</v>
      </c>
      <c r="S1452" t="s">
        <v>451</v>
      </c>
      <c r="T1452" t="s">
        <v>408</v>
      </c>
      <c r="U1452" t="s">
        <v>408</v>
      </c>
    </row>
    <row r="1453" spans="1:21" x14ac:dyDescent="0.25">
      <c r="A1453">
        <v>22364298</v>
      </c>
      <c r="B1453" t="s">
        <v>342</v>
      </c>
      <c r="C1453" t="s">
        <v>89</v>
      </c>
      <c r="D1453" t="s">
        <v>12</v>
      </c>
      <c r="E1453" t="s">
        <v>754</v>
      </c>
      <c r="F1453" t="s">
        <v>560</v>
      </c>
      <c r="G1453" t="s">
        <v>369</v>
      </c>
      <c r="H1453" t="s">
        <v>4</v>
      </c>
      <c r="I1453" t="s">
        <v>464</v>
      </c>
      <c r="J1453" t="s">
        <v>463</v>
      </c>
      <c r="K1453" t="s">
        <v>462</v>
      </c>
      <c r="L1453" t="s">
        <v>2</v>
      </c>
      <c r="M1453" t="s">
        <v>408</v>
      </c>
      <c r="N1453" t="s">
        <v>408</v>
      </c>
      <c r="O1453" t="s">
        <v>11</v>
      </c>
      <c r="P1453" t="s">
        <v>363</v>
      </c>
      <c r="Q1453" t="s">
        <v>408</v>
      </c>
      <c r="R1453" t="s">
        <v>439</v>
      </c>
      <c r="S1453" t="s">
        <v>451</v>
      </c>
      <c r="T1453" t="s">
        <v>408</v>
      </c>
      <c r="U1453" t="s">
        <v>408</v>
      </c>
    </row>
    <row r="1454" spans="1:21" x14ac:dyDescent="0.25">
      <c r="A1454">
        <v>23323211</v>
      </c>
      <c r="B1454" t="s">
        <v>340</v>
      </c>
      <c r="C1454" t="s">
        <v>86</v>
      </c>
      <c r="D1454" t="s">
        <v>125</v>
      </c>
      <c r="E1454" t="s">
        <v>628</v>
      </c>
      <c r="F1454" t="s">
        <v>25</v>
      </c>
      <c r="G1454" t="s">
        <v>369</v>
      </c>
      <c r="H1454" t="s">
        <v>350</v>
      </c>
      <c r="I1454" t="s">
        <v>436</v>
      </c>
      <c r="J1454" t="s">
        <v>566</v>
      </c>
      <c r="K1454" t="s">
        <v>701</v>
      </c>
      <c r="L1454" t="s">
        <v>3</v>
      </c>
      <c r="M1454" t="s">
        <v>408</v>
      </c>
      <c r="N1454" t="s">
        <v>11</v>
      </c>
      <c r="O1454" t="s">
        <v>11</v>
      </c>
      <c r="P1454" t="s">
        <v>0</v>
      </c>
      <c r="Q1454" t="s">
        <v>408</v>
      </c>
      <c r="R1454" t="s">
        <v>439</v>
      </c>
      <c r="S1454" t="s">
        <v>440</v>
      </c>
      <c r="T1454" t="s">
        <v>11</v>
      </c>
      <c r="U1454" t="s">
        <v>408</v>
      </c>
    </row>
    <row r="1455" spans="1:21" x14ac:dyDescent="0.25">
      <c r="A1455">
        <v>23323212</v>
      </c>
      <c r="B1455" t="s">
        <v>340</v>
      </c>
      <c r="C1455" t="s">
        <v>86</v>
      </c>
      <c r="D1455" t="s">
        <v>12</v>
      </c>
      <c r="E1455" t="s">
        <v>628</v>
      </c>
      <c r="F1455" t="s">
        <v>25</v>
      </c>
      <c r="G1455" t="s">
        <v>369</v>
      </c>
      <c r="H1455" t="s">
        <v>0</v>
      </c>
      <c r="I1455" t="s">
        <v>436</v>
      </c>
      <c r="J1455" t="s">
        <v>437</v>
      </c>
      <c r="K1455" t="s">
        <v>438</v>
      </c>
      <c r="L1455" t="s">
        <v>345</v>
      </c>
      <c r="M1455" t="s">
        <v>408</v>
      </c>
      <c r="N1455" t="s">
        <v>11</v>
      </c>
      <c r="O1455" t="s">
        <v>11</v>
      </c>
      <c r="P1455" t="s">
        <v>0</v>
      </c>
      <c r="Q1455" t="s">
        <v>408</v>
      </c>
      <c r="R1455" t="s">
        <v>439</v>
      </c>
      <c r="S1455" t="s">
        <v>440</v>
      </c>
      <c r="T1455" t="s">
        <v>11</v>
      </c>
      <c r="U1455" t="s">
        <v>408</v>
      </c>
    </row>
    <row r="1456" spans="1:21" x14ac:dyDescent="0.25">
      <c r="A1456">
        <v>23323219</v>
      </c>
      <c r="B1456" t="s">
        <v>340</v>
      </c>
      <c r="C1456" t="s">
        <v>86</v>
      </c>
      <c r="D1456" t="s">
        <v>12</v>
      </c>
      <c r="E1456" t="s">
        <v>628</v>
      </c>
      <c r="F1456" t="s">
        <v>25</v>
      </c>
      <c r="G1456" t="s">
        <v>369</v>
      </c>
      <c r="H1456" t="s">
        <v>4</v>
      </c>
      <c r="I1456" t="s">
        <v>464</v>
      </c>
      <c r="J1456" t="s">
        <v>463</v>
      </c>
      <c r="K1456" t="s">
        <v>462</v>
      </c>
      <c r="L1456" t="s">
        <v>3</v>
      </c>
      <c r="M1456" t="s">
        <v>408</v>
      </c>
      <c r="N1456" t="s">
        <v>11</v>
      </c>
      <c r="O1456" t="s">
        <v>11</v>
      </c>
      <c r="P1456" t="s">
        <v>0</v>
      </c>
      <c r="Q1456" t="s">
        <v>408</v>
      </c>
      <c r="R1456" t="s">
        <v>439</v>
      </c>
      <c r="S1456" t="s">
        <v>451</v>
      </c>
      <c r="T1456" t="s">
        <v>11</v>
      </c>
      <c r="U1456" t="s">
        <v>408</v>
      </c>
    </row>
    <row r="1457" spans="1:21" x14ac:dyDescent="0.25">
      <c r="A1457">
        <v>23323224</v>
      </c>
      <c r="B1457" t="s">
        <v>340</v>
      </c>
      <c r="C1457" t="s">
        <v>86</v>
      </c>
      <c r="D1457" t="s">
        <v>12</v>
      </c>
      <c r="E1457" t="s">
        <v>627</v>
      </c>
      <c r="F1457" t="s">
        <v>81</v>
      </c>
      <c r="G1457" t="s">
        <v>369</v>
      </c>
      <c r="H1457" t="s">
        <v>4</v>
      </c>
      <c r="I1457" t="s">
        <v>464</v>
      </c>
      <c r="J1457" t="s">
        <v>463</v>
      </c>
      <c r="K1457" t="s">
        <v>462</v>
      </c>
      <c r="L1457" t="s">
        <v>3</v>
      </c>
      <c r="M1457" t="s">
        <v>408</v>
      </c>
      <c r="N1457" t="s">
        <v>11</v>
      </c>
      <c r="O1457" t="s">
        <v>11</v>
      </c>
      <c r="P1457" t="s">
        <v>0</v>
      </c>
      <c r="Q1457" t="s">
        <v>408</v>
      </c>
      <c r="R1457" t="s">
        <v>439</v>
      </c>
      <c r="S1457" t="s">
        <v>451</v>
      </c>
      <c r="T1457" t="s">
        <v>11</v>
      </c>
      <c r="U1457" t="s">
        <v>408</v>
      </c>
    </row>
    <row r="1458" spans="1:21" x14ac:dyDescent="0.25">
      <c r="A1458">
        <v>23323226</v>
      </c>
      <c r="B1458" t="s">
        <v>340</v>
      </c>
      <c r="C1458" t="s">
        <v>86</v>
      </c>
      <c r="D1458" t="s">
        <v>12</v>
      </c>
      <c r="E1458" t="s">
        <v>627</v>
      </c>
      <c r="F1458" t="s">
        <v>81</v>
      </c>
      <c r="G1458" t="s">
        <v>369</v>
      </c>
      <c r="H1458" t="s">
        <v>4</v>
      </c>
      <c r="I1458" t="s">
        <v>464</v>
      </c>
      <c r="J1458" t="s">
        <v>463</v>
      </c>
      <c r="K1458" t="s">
        <v>462</v>
      </c>
      <c r="L1458" t="s">
        <v>3</v>
      </c>
      <c r="M1458" t="s">
        <v>408</v>
      </c>
      <c r="N1458" t="s">
        <v>11</v>
      </c>
      <c r="O1458" t="s">
        <v>11</v>
      </c>
      <c r="P1458" t="s">
        <v>0</v>
      </c>
      <c r="Q1458" t="s">
        <v>408</v>
      </c>
      <c r="R1458" t="s">
        <v>439</v>
      </c>
      <c r="S1458" t="s">
        <v>451</v>
      </c>
      <c r="T1458" t="s">
        <v>11</v>
      </c>
      <c r="U1458" t="s">
        <v>408</v>
      </c>
    </row>
    <row r="1459" spans="1:21" x14ac:dyDescent="0.25">
      <c r="A1459">
        <v>23323228</v>
      </c>
      <c r="B1459" t="s">
        <v>340</v>
      </c>
      <c r="C1459" t="s">
        <v>86</v>
      </c>
      <c r="D1459" t="s">
        <v>12</v>
      </c>
      <c r="E1459" t="s">
        <v>628</v>
      </c>
      <c r="F1459" t="s">
        <v>25</v>
      </c>
      <c r="G1459" t="s">
        <v>369</v>
      </c>
      <c r="H1459" t="s">
        <v>370</v>
      </c>
      <c r="I1459" t="s">
        <v>721</v>
      </c>
      <c r="J1459" t="s">
        <v>455</v>
      </c>
      <c r="K1459" t="s">
        <v>453</v>
      </c>
      <c r="L1459" t="s">
        <v>367</v>
      </c>
      <c r="M1459" t="s">
        <v>408</v>
      </c>
      <c r="N1459" t="s">
        <v>11</v>
      </c>
      <c r="O1459" t="s">
        <v>11</v>
      </c>
      <c r="P1459" t="s">
        <v>0</v>
      </c>
      <c r="Q1459" t="s">
        <v>408</v>
      </c>
      <c r="R1459" t="s">
        <v>439</v>
      </c>
      <c r="S1459" t="s">
        <v>451</v>
      </c>
      <c r="T1459" t="s">
        <v>11</v>
      </c>
      <c r="U1459" t="s">
        <v>408</v>
      </c>
    </row>
    <row r="1460" spans="1:21" x14ac:dyDescent="0.25">
      <c r="A1460">
        <v>23323239</v>
      </c>
      <c r="B1460" t="s">
        <v>340</v>
      </c>
      <c r="C1460" t="s">
        <v>86</v>
      </c>
      <c r="D1460" t="s">
        <v>12</v>
      </c>
      <c r="E1460" t="s">
        <v>628</v>
      </c>
      <c r="F1460" t="s">
        <v>25</v>
      </c>
      <c r="G1460" t="s">
        <v>369</v>
      </c>
      <c r="H1460" t="s">
        <v>4</v>
      </c>
      <c r="I1460" t="s">
        <v>464</v>
      </c>
      <c r="J1460" t="s">
        <v>463</v>
      </c>
      <c r="K1460" t="s">
        <v>462</v>
      </c>
      <c r="L1460" t="s">
        <v>3</v>
      </c>
      <c r="M1460" t="s">
        <v>408</v>
      </c>
      <c r="N1460" t="s">
        <v>11</v>
      </c>
      <c r="O1460" t="s">
        <v>11</v>
      </c>
      <c r="P1460" t="s">
        <v>0</v>
      </c>
      <c r="Q1460" t="s">
        <v>408</v>
      </c>
      <c r="R1460" t="s">
        <v>439</v>
      </c>
      <c r="S1460" t="s">
        <v>451</v>
      </c>
      <c r="T1460" t="s">
        <v>11</v>
      </c>
      <c r="U1460" t="s">
        <v>408</v>
      </c>
    </row>
    <row r="1461" spans="1:21" x14ac:dyDescent="0.25">
      <c r="A1461">
        <v>23323245</v>
      </c>
      <c r="B1461" t="s">
        <v>340</v>
      </c>
      <c r="C1461" t="s">
        <v>86</v>
      </c>
      <c r="D1461" t="s">
        <v>12</v>
      </c>
      <c r="E1461" t="s">
        <v>627</v>
      </c>
      <c r="F1461" t="s">
        <v>81</v>
      </c>
      <c r="G1461" t="s">
        <v>369</v>
      </c>
      <c r="H1461" t="s">
        <v>4</v>
      </c>
      <c r="I1461" t="s">
        <v>464</v>
      </c>
      <c r="J1461" t="s">
        <v>463</v>
      </c>
      <c r="K1461" t="s">
        <v>462</v>
      </c>
      <c r="L1461" t="s">
        <v>3</v>
      </c>
      <c r="M1461" t="s">
        <v>408</v>
      </c>
      <c r="N1461" t="s">
        <v>11</v>
      </c>
      <c r="O1461" t="s">
        <v>11</v>
      </c>
      <c r="P1461" t="s">
        <v>2</v>
      </c>
      <c r="Q1461" t="s">
        <v>408</v>
      </c>
      <c r="R1461" t="s">
        <v>439</v>
      </c>
      <c r="S1461" t="s">
        <v>451</v>
      </c>
      <c r="T1461" t="s">
        <v>11</v>
      </c>
      <c r="U1461" t="s">
        <v>408</v>
      </c>
    </row>
    <row r="1462" spans="1:21" x14ac:dyDescent="0.25">
      <c r="A1462">
        <v>23323247</v>
      </c>
      <c r="B1462" t="s">
        <v>342</v>
      </c>
      <c r="C1462" t="s">
        <v>89</v>
      </c>
      <c r="D1462" t="s">
        <v>12</v>
      </c>
      <c r="E1462" t="s">
        <v>628</v>
      </c>
      <c r="F1462" t="s">
        <v>85</v>
      </c>
      <c r="G1462" t="s">
        <v>369</v>
      </c>
      <c r="H1462" t="s">
        <v>2</v>
      </c>
      <c r="I1462" t="s">
        <v>436</v>
      </c>
      <c r="J1462" t="s">
        <v>443</v>
      </c>
      <c r="K1462" t="s">
        <v>444</v>
      </c>
      <c r="L1462" t="s">
        <v>345</v>
      </c>
      <c r="M1462" t="s">
        <v>408</v>
      </c>
      <c r="N1462" t="s">
        <v>11</v>
      </c>
      <c r="O1462" t="s">
        <v>11</v>
      </c>
      <c r="P1462" t="s">
        <v>2</v>
      </c>
      <c r="Q1462" t="s">
        <v>408</v>
      </c>
      <c r="R1462" t="s">
        <v>439</v>
      </c>
      <c r="S1462" t="s">
        <v>440</v>
      </c>
      <c r="T1462" t="s">
        <v>11</v>
      </c>
      <c r="U1462" t="s">
        <v>408</v>
      </c>
    </row>
    <row r="1463" spans="1:21" x14ac:dyDescent="0.25">
      <c r="A1463">
        <v>23323257</v>
      </c>
      <c r="B1463" t="s">
        <v>340</v>
      </c>
      <c r="C1463" t="s">
        <v>86</v>
      </c>
      <c r="D1463" t="s">
        <v>12</v>
      </c>
      <c r="E1463" t="s">
        <v>627</v>
      </c>
      <c r="F1463" t="s">
        <v>81</v>
      </c>
      <c r="G1463" t="s">
        <v>369</v>
      </c>
      <c r="H1463" t="s">
        <v>4</v>
      </c>
      <c r="I1463" t="s">
        <v>464</v>
      </c>
      <c r="J1463" t="s">
        <v>463</v>
      </c>
      <c r="K1463" t="s">
        <v>462</v>
      </c>
      <c r="L1463" t="s">
        <v>3</v>
      </c>
      <c r="M1463" t="s">
        <v>408</v>
      </c>
      <c r="N1463" t="s">
        <v>11</v>
      </c>
      <c r="O1463" t="s">
        <v>11</v>
      </c>
      <c r="P1463" t="s">
        <v>2</v>
      </c>
      <c r="Q1463" t="s">
        <v>408</v>
      </c>
      <c r="R1463" t="s">
        <v>439</v>
      </c>
      <c r="S1463" t="s">
        <v>451</v>
      </c>
      <c r="T1463" t="s">
        <v>11</v>
      </c>
      <c r="U1463" t="s">
        <v>408</v>
      </c>
    </row>
    <row r="1464" spans="1:21" x14ac:dyDescent="0.25">
      <c r="A1464">
        <v>23323260</v>
      </c>
      <c r="B1464" t="s">
        <v>340</v>
      </c>
      <c r="C1464" t="s">
        <v>86</v>
      </c>
      <c r="D1464" t="s">
        <v>12</v>
      </c>
      <c r="E1464" t="s">
        <v>627</v>
      </c>
      <c r="F1464" t="s">
        <v>81</v>
      </c>
      <c r="G1464" t="s">
        <v>369</v>
      </c>
      <c r="H1464" t="s">
        <v>4</v>
      </c>
      <c r="I1464" t="s">
        <v>464</v>
      </c>
      <c r="J1464" t="s">
        <v>463</v>
      </c>
      <c r="K1464" t="s">
        <v>462</v>
      </c>
      <c r="L1464" t="s">
        <v>3</v>
      </c>
      <c r="M1464" t="s">
        <v>408</v>
      </c>
      <c r="N1464" t="s">
        <v>11</v>
      </c>
      <c r="O1464" t="s">
        <v>11</v>
      </c>
      <c r="P1464" t="s">
        <v>2</v>
      </c>
      <c r="Q1464" t="s">
        <v>408</v>
      </c>
      <c r="R1464" t="s">
        <v>439</v>
      </c>
      <c r="S1464" t="s">
        <v>451</v>
      </c>
      <c r="T1464" t="s">
        <v>11</v>
      </c>
      <c r="U1464" t="s">
        <v>408</v>
      </c>
    </row>
    <row r="1465" spans="1:21" x14ac:dyDescent="0.25">
      <c r="A1465">
        <v>23323265</v>
      </c>
      <c r="B1465" t="s">
        <v>340</v>
      </c>
      <c r="C1465" t="s">
        <v>86</v>
      </c>
      <c r="D1465" t="s">
        <v>12</v>
      </c>
      <c r="E1465" t="s">
        <v>628</v>
      </c>
      <c r="F1465" t="s">
        <v>25</v>
      </c>
      <c r="G1465" t="s">
        <v>369</v>
      </c>
      <c r="H1465" t="s">
        <v>4</v>
      </c>
      <c r="I1465" t="s">
        <v>464</v>
      </c>
      <c r="J1465" t="s">
        <v>463</v>
      </c>
      <c r="K1465" t="s">
        <v>462</v>
      </c>
      <c r="L1465" t="s">
        <v>3</v>
      </c>
      <c r="M1465" t="s">
        <v>408</v>
      </c>
      <c r="N1465" t="s">
        <v>11</v>
      </c>
      <c r="O1465" t="s">
        <v>11</v>
      </c>
      <c r="P1465" t="s">
        <v>2</v>
      </c>
      <c r="Q1465" t="s">
        <v>408</v>
      </c>
      <c r="R1465" t="s">
        <v>439</v>
      </c>
      <c r="S1465" t="s">
        <v>451</v>
      </c>
      <c r="T1465" t="s">
        <v>11</v>
      </c>
      <c r="U1465" t="s">
        <v>408</v>
      </c>
    </row>
    <row r="1466" spans="1:21" x14ac:dyDescent="0.25">
      <c r="A1466">
        <v>23323267</v>
      </c>
      <c r="B1466" t="s">
        <v>340</v>
      </c>
      <c r="C1466" t="s">
        <v>86</v>
      </c>
      <c r="D1466" t="s">
        <v>12</v>
      </c>
      <c r="E1466" t="s">
        <v>628</v>
      </c>
      <c r="F1466" t="s">
        <v>25</v>
      </c>
      <c r="G1466" t="s">
        <v>369</v>
      </c>
      <c r="H1466" t="s">
        <v>4</v>
      </c>
      <c r="I1466" t="s">
        <v>464</v>
      </c>
      <c r="J1466" t="s">
        <v>463</v>
      </c>
      <c r="K1466" t="s">
        <v>462</v>
      </c>
      <c r="L1466" t="s">
        <v>3</v>
      </c>
      <c r="M1466" t="s">
        <v>408</v>
      </c>
      <c r="N1466" t="s">
        <v>11</v>
      </c>
      <c r="O1466" t="s">
        <v>11</v>
      </c>
      <c r="P1466" t="s">
        <v>2</v>
      </c>
      <c r="Q1466" t="s">
        <v>408</v>
      </c>
      <c r="R1466" t="s">
        <v>439</v>
      </c>
      <c r="S1466" t="s">
        <v>451</v>
      </c>
      <c r="T1466" t="s">
        <v>11</v>
      </c>
      <c r="U1466" t="s">
        <v>408</v>
      </c>
    </row>
    <row r="1467" spans="1:21" x14ac:dyDescent="0.25">
      <c r="A1467">
        <v>23323301</v>
      </c>
      <c r="B1467" t="s">
        <v>340</v>
      </c>
      <c r="C1467" t="s">
        <v>86</v>
      </c>
      <c r="D1467" t="s">
        <v>12</v>
      </c>
      <c r="E1467" t="s">
        <v>628</v>
      </c>
      <c r="F1467" t="s">
        <v>25</v>
      </c>
      <c r="G1467" t="s">
        <v>369</v>
      </c>
      <c r="H1467" t="s">
        <v>4</v>
      </c>
      <c r="I1467" t="s">
        <v>464</v>
      </c>
      <c r="J1467" t="s">
        <v>463</v>
      </c>
      <c r="K1467" t="s">
        <v>462</v>
      </c>
      <c r="L1467" t="s">
        <v>3</v>
      </c>
      <c r="M1467" t="s">
        <v>408</v>
      </c>
      <c r="N1467" t="s">
        <v>11</v>
      </c>
      <c r="O1467" t="s">
        <v>11</v>
      </c>
      <c r="P1467" t="s">
        <v>2</v>
      </c>
      <c r="Q1467" t="s">
        <v>408</v>
      </c>
      <c r="R1467" t="s">
        <v>439</v>
      </c>
      <c r="S1467" t="s">
        <v>451</v>
      </c>
      <c r="T1467" t="s">
        <v>11</v>
      </c>
      <c r="U1467" t="s">
        <v>408</v>
      </c>
    </row>
    <row r="1468" spans="1:21" x14ac:dyDescent="0.25">
      <c r="A1468">
        <v>23323314</v>
      </c>
      <c r="B1468" t="s">
        <v>340</v>
      </c>
      <c r="C1468" t="s">
        <v>86</v>
      </c>
      <c r="D1468" t="s">
        <v>12</v>
      </c>
      <c r="E1468" t="s">
        <v>627</v>
      </c>
      <c r="F1468" t="s">
        <v>81</v>
      </c>
      <c r="G1468" t="s">
        <v>369</v>
      </c>
      <c r="H1468" t="s">
        <v>4</v>
      </c>
      <c r="I1468" t="s">
        <v>464</v>
      </c>
      <c r="J1468" t="s">
        <v>463</v>
      </c>
      <c r="K1468" t="s">
        <v>462</v>
      </c>
      <c r="L1468" t="s">
        <v>3</v>
      </c>
      <c r="M1468" t="s">
        <v>408</v>
      </c>
      <c r="N1468" t="s">
        <v>11</v>
      </c>
      <c r="O1468" t="s">
        <v>11</v>
      </c>
      <c r="P1468" t="s">
        <v>2</v>
      </c>
      <c r="Q1468" t="s">
        <v>408</v>
      </c>
      <c r="R1468" t="s">
        <v>439</v>
      </c>
      <c r="S1468" t="s">
        <v>451</v>
      </c>
      <c r="T1468" t="s">
        <v>11</v>
      </c>
      <c r="U1468" t="s">
        <v>408</v>
      </c>
    </row>
    <row r="1469" spans="1:21" x14ac:dyDescent="0.25">
      <c r="A1469">
        <v>23323322</v>
      </c>
      <c r="B1469" t="s">
        <v>340</v>
      </c>
      <c r="C1469" t="s">
        <v>86</v>
      </c>
      <c r="D1469" t="s">
        <v>12</v>
      </c>
      <c r="E1469" t="s">
        <v>628</v>
      </c>
      <c r="F1469" t="s">
        <v>25</v>
      </c>
      <c r="G1469" t="s">
        <v>369</v>
      </c>
      <c r="H1469" t="s">
        <v>4</v>
      </c>
      <c r="I1469" t="s">
        <v>464</v>
      </c>
      <c r="J1469" t="s">
        <v>463</v>
      </c>
      <c r="K1469" t="s">
        <v>462</v>
      </c>
      <c r="L1469" t="s">
        <v>3</v>
      </c>
      <c r="M1469" t="s">
        <v>408</v>
      </c>
      <c r="N1469" t="s">
        <v>11</v>
      </c>
      <c r="O1469" t="s">
        <v>11</v>
      </c>
      <c r="P1469" t="s">
        <v>2</v>
      </c>
      <c r="Q1469" t="s">
        <v>408</v>
      </c>
      <c r="R1469" t="s">
        <v>439</v>
      </c>
      <c r="S1469" t="s">
        <v>451</v>
      </c>
      <c r="T1469" t="s">
        <v>11</v>
      </c>
      <c r="U1469" t="s">
        <v>408</v>
      </c>
    </row>
    <row r="1470" spans="1:21" x14ac:dyDescent="0.25">
      <c r="A1470">
        <v>23323326</v>
      </c>
      <c r="B1470" t="s">
        <v>340</v>
      </c>
      <c r="C1470" t="s">
        <v>86</v>
      </c>
      <c r="D1470" t="s">
        <v>84</v>
      </c>
      <c r="E1470" t="s">
        <v>627</v>
      </c>
      <c r="F1470" t="s">
        <v>22</v>
      </c>
      <c r="G1470" t="s">
        <v>369</v>
      </c>
      <c r="H1470" t="s">
        <v>370</v>
      </c>
      <c r="I1470" t="s">
        <v>721</v>
      </c>
      <c r="J1470" t="s">
        <v>455</v>
      </c>
      <c r="K1470" t="s">
        <v>453</v>
      </c>
      <c r="L1470" t="s">
        <v>367</v>
      </c>
      <c r="M1470" t="s">
        <v>408</v>
      </c>
      <c r="N1470" t="s">
        <v>11</v>
      </c>
      <c r="O1470" t="s">
        <v>11</v>
      </c>
      <c r="P1470" t="s">
        <v>0</v>
      </c>
      <c r="Q1470" t="s">
        <v>408</v>
      </c>
      <c r="R1470" t="s">
        <v>439</v>
      </c>
      <c r="S1470" t="s">
        <v>451</v>
      </c>
      <c r="T1470" t="s">
        <v>11</v>
      </c>
      <c r="U1470" t="s">
        <v>408</v>
      </c>
    </row>
    <row r="1471" spans="1:21" x14ac:dyDescent="0.25">
      <c r="A1471">
        <v>23323327</v>
      </c>
      <c r="B1471" t="s">
        <v>340</v>
      </c>
      <c r="C1471" t="s">
        <v>86</v>
      </c>
      <c r="D1471" t="s">
        <v>18</v>
      </c>
      <c r="E1471" t="s">
        <v>627</v>
      </c>
      <c r="F1471" t="s">
        <v>81</v>
      </c>
      <c r="G1471" t="s">
        <v>369</v>
      </c>
      <c r="H1471" t="s">
        <v>4</v>
      </c>
      <c r="I1471" t="s">
        <v>464</v>
      </c>
      <c r="J1471" t="s">
        <v>463</v>
      </c>
      <c r="K1471" t="s">
        <v>462</v>
      </c>
      <c r="L1471" t="s">
        <v>3</v>
      </c>
      <c r="M1471" t="s">
        <v>408</v>
      </c>
      <c r="N1471" t="s">
        <v>11</v>
      </c>
      <c r="O1471" t="s">
        <v>11</v>
      </c>
      <c r="P1471" t="s">
        <v>0</v>
      </c>
      <c r="Q1471" t="s">
        <v>408</v>
      </c>
      <c r="R1471" t="s">
        <v>439</v>
      </c>
      <c r="S1471" t="s">
        <v>451</v>
      </c>
      <c r="T1471" t="s">
        <v>11</v>
      </c>
      <c r="U1471" t="s">
        <v>408</v>
      </c>
    </row>
    <row r="1472" spans="1:21" x14ac:dyDescent="0.25">
      <c r="A1472">
        <v>23323342</v>
      </c>
      <c r="B1472" t="s">
        <v>340</v>
      </c>
      <c r="C1472" t="s">
        <v>86</v>
      </c>
      <c r="D1472" t="s">
        <v>12</v>
      </c>
      <c r="E1472" t="s">
        <v>626</v>
      </c>
      <c r="F1472" t="s">
        <v>23</v>
      </c>
      <c r="G1472" t="s">
        <v>369</v>
      </c>
      <c r="H1472" t="s">
        <v>370</v>
      </c>
      <c r="I1472" t="s">
        <v>721</v>
      </c>
      <c r="J1472" t="s">
        <v>455</v>
      </c>
      <c r="K1472" t="s">
        <v>453</v>
      </c>
      <c r="L1472" t="s">
        <v>367</v>
      </c>
      <c r="M1472" t="s">
        <v>408</v>
      </c>
      <c r="N1472" t="s">
        <v>11</v>
      </c>
      <c r="O1472" t="s">
        <v>11</v>
      </c>
      <c r="P1472" t="s">
        <v>0</v>
      </c>
      <c r="Q1472" t="s">
        <v>408</v>
      </c>
      <c r="R1472" t="s">
        <v>439</v>
      </c>
      <c r="S1472" t="s">
        <v>451</v>
      </c>
      <c r="T1472" t="s">
        <v>11</v>
      </c>
      <c r="U1472" t="s">
        <v>408</v>
      </c>
    </row>
    <row r="1473" spans="1:21" x14ac:dyDescent="0.25">
      <c r="A1473">
        <v>23323343</v>
      </c>
      <c r="B1473" t="s">
        <v>340</v>
      </c>
      <c r="C1473" t="s">
        <v>86</v>
      </c>
      <c r="D1473" t="s">
        <v>12</v>
      </c>
      <c r="E1473" t="s">
        <v>627</v>
      </c>
      <c r="F1473" t="s">
        <v>16</v>
      </c>
      <c r="G1473" t="s">
        <v>369</v>
      </c>
      <c r="H1473" t="s">
        <v>4</v>
      </c>
      <c r="I1473" t="s">
        <v>464</v>
      </c>
      <c r="J1473" t="s">
        <v>463</v>
      </c>
      <c r="K1473" t="s">
        <v>462</v>
      </c>
      <c r="L1473" t="s">
        <v>3</v>
      </c>
      <c r="M1473" t="s">
        <v>408</v>
      </c>
      <c r="N1473" t="s">
        <v>11</v>
      </c>
      <c r="O1473" t="s">
        <v>11</v>
      </c>
      <c r="P1473" t="s">
        <v>0</v>
      </c>
      <c r="Q1473" t="s">
        <v>408</v>
      </c>
      <c r="R1473" t="s">
        <v>439</v>
      </c>
      <c r="S1473" t="s">
        <v>451</v>
      </c>
      <c r="T1473" t="s">
        <v>11</v>
      </c>
      <c r="U1473" t="s">
        <v>408</v>
      </c>
    </row>
    <row r="1474" spans="1:21" x14ac:dyDescent="0.25">
      <c r="A1474">
        <v>23323344</v>
      </c>
      <c r="B1474" t="s">
        <v>340</v>
      </c>
      <c r="C1474" t="s">
        <v>86</v>
      </c>
      <c r="D1474" t="s">
        <v>12</v>
      </c>
      <c r="E1474" t="s">
        <v>627</v>
      </c>
      <c r="F1474" t="s">
        <v>16</v>
      </c>
      <c r="G1474" t="s">
        <v>369</v>
      </c>
      <c r="H1474" t="s">
        <v>4</v>
      </c>
      <c r="I1474" t="s">
        <v>464</v>
      </c>
      <c r="J1474" t="s">
        <v>463</v>
      </c>
      <c r="K1474" t="s">
        <v>462</v>
      </c>
      <c r="L1474" t="s">
        <v>3</v>
      </c>
      <c r="M1474" t="s">
        <v>408</v>
      </c>
      <c r="N1474" t="s">
        <v>11</v>
      </c>
      <c r="O1474" t="s">
        <v>11</v>
      </c>
      <c r="P1474" t="s">
        <v>0</v>
      </c>
      <c r="Q1474" t="s">
        <v>408</v>
      </c>
      <c r="R1474" t="s">
        <v>439</v>
      </c>
      <c r="S1474" t="s">
        <v>451</v>
      </c>
      <c r="T1474" t="s">
        <v>11</v>
      </c>
      <c r="U1474" t="s">
        <v>408</v>
      </c>
    </row>
    <row r="1475" spans="1:21" x14ac:dyDescent="0.25">
      <c r="A1475">
        <v>23323346</v>
      </c>
      <c r="B1475" t="s">
        <v>340</v>
      </c>
      <c r="C1475" t="s">
        <v>86</v>
      </c>
      <c r="D1475" t="s">
        <v>12</v>
      </c>
      <c r="E1475" t="s">
        <v>627</v>
      </c>
      <c r="F1475" t="s">
        <v>175</v>
      </c>
      <c r="G1475" t="s">
        <v>369</v>
      </c>
      <c r="H1475" t="s">
        <v>4</v>
      </c>
      <c r="I1475" t="s">
        <v>464</v>
      </c>
      <c r="J1475" t="s">
        <v>463</v>
      </c>
      <c r="K1475" t="s">
        <v>462</v>
      </c>
      <c r="L1475" t="s">
        <v>3</v>
      </c>
      <c r="M1475" t="s">
        <v>408</v>
      </c>
      <c r="N1475" t="s">
        <v>11</v>
      </c>
      <c r="O1475" t="s">
        <v>11</v>
      </c>
      <c r="P1475" t="s">
        <v>0</v>
      </c>
      <c r="Q1475" t="s">
        <v>408</v>
      </c>
      <c r="R1475" t="s">
        <v>439</v>
      </c>
      <c r="S1475" t="s">
        <v>451</v>
      </c>
      <c r="T1475" t="s">
        <v>11</v>
      </c>
      <c r="U1475" t="s">
        <v>408</v>
      </c>
    </row>
    <row r="1476" spans="1:21" x14ac:dyDescent="0.25">
      <c r="A1476">
        <v>23323348</v>
      </c>
      <c r="B1476" t="s">
        <v>340</v>
      </c>
      <c r="C1476" t="s">
        <v>86</v>
      </c>
      <c r="D1476" t="s">
        <v>12</v>
      </c>
      <c r="E1476" t="s">
        <v>627</v>
      </c>
      <c r="F1476" t="s">
        <v>16</v>
      </c>
      <c r="G1476" t="s">
        <v>369</v>
      </c>
      <c r="H1476" t="s">
        <v>4</v>
      </c>
      <c r="I1476" t="s">
        <v>464</v>
      </c>
      <c r="J1476" t="s">
        <v>463</v>
      </c>
      <c r="K1476" t="s">
        <v>462</v>
      </c>
      <c r="L1476" t="s">
        <v>3</v>
      </c>
      <c r="M1476" t="s">
        <v>408</v>
      </c>
      <c r="N1476" t="s">
        <v>11</v>
      </c>
      <c r="O1476" t="s">
        <v>11</v>
      </c>
      <c r="P1476" t="s">
        <v>0</v>
      </c>
      <c r="Q1476" t="s">
        <v>408</v>
      </c>
      <c r="R1476" t="s">
        <v>439</v>
      </c>
      <c r="S1476" t="s">
        <v>451</v>
      </c>
      <c r="T1476" t="s">
        <v>11</v>
      </c>
      <c r="U1476" t="s">
        <v>408</v>
      </c>
    </row>
    <row r="1477" spans="1:21" x14ac:dyDescent="0.25">
      <c r="A1477">
        <v>23323350</v>
      </c>
      <c r="B1477" t="s">
        <v>340</v>
      </c>
      <c r="C1477" t="s">
        <v>86</v>
      </c>
      <c r="D1477" t="s">
        <v>12</v>
      </c>
      <c r="E1477" t="s">
        <v>627</v>
      </c>
      <c r="F1477" t="s">
        <v>16</v>
      </c>
      <c r="G1477" t="s">
        <v>369</v>
      </c>
      <c r="H1477" t="s">
        <v>4</v>
      </c>
      <c r="I1477" t="s">
        <v>464</v>
      </c>
      <c r="J1477" t="s">
        <v>463</v>
      </c>
      <c r="K1477" t="s">
        <v>462</v>
      </c>
      <c r="L1477" t="s">
        <v>3</v>
      </c>
      <c r="M1477" t="s">
        <v>408</v>
      </c>
      <c r="N1477" t="s">
        <v>11</v>
      </c>
      <c r="O1477" t="s">
        <v>11</v>
      </c>
      <c r="P1477" t="s">
        <v>0</v>
      </c>
      <c r="Q1477" t="s">
        <v>408</v>
      </c>
      <c r="R1477" t="s">
        <v>439</v>
      </c>
      <c r="S1477" t="s">
        <v>451</v>
      </c>
      <c r="T1477" t="s">
        <v>11</v>
      </c>
      <c r="U1477" t="s">
        <v>408</v>
      </c>
    </row>
    <row r="1478" spans="1:21" x14ac:dyDescent="0.25">
      <c r="A1478">
        <v>23323354</v>
      </c>
      <c r="B1478" t="s">
        <v>340</v>
      </c>
      <c r="C1478" t="s">
        <v>86</v>
      </c>
      <c r="D1478" t="s">
        <v>12</v>
      </c>
      <c r="E1478" t="s">
        <v>627</v>
      </c>
      <c r="F1478" t="s">
        <v>22</v>
      </c>
      <c r="G1478" t="s">
        <v>369</v>
      </c>
      <c r="H1478" t="s">
        <v>4</v>
      </c>
      <c r="I1478" t="s">
        <v>464</v>
      </c>
      <c r="J1478" t="s">
        <v>463</v>
      </c>
      <c r="K1478" t="s">
        <v>462</v>
      </c>
      <c r="L1478" t="s">
        <v>3</v>
      </c>
      <c r="M1478" t="s">
        <v>408</v>
      </c>
      <c r="N1478" t="s">
        <v>11</v>
      </c>
      <c r="O1478" t="s">
        <v>11</v>
      </c>
      <c r="P1478" t="s">
        <v>0</v>
      </c>
      <c r="Q1478" t="s">
        <v>408</v>
      </c>
      <c r="R1478" t="s">
        <v>439</v>
      </c>
      <c r="S1478" t="s">
        <v>451</v>
      </c>
      <c r="T1478" t="s">
        <v>11</v>
      </c>
      <c r="U1478" t="s">
        <v>408</v>
      </c>
    </row>
    <row r="1479" spans="1:21" x14ac:dyDescent="0.25">
      <c r="A1479">
        <v>23323367</v>
      </c>
      <c r="B1479" t="s">
        <v>340</v>
      </c>
      <c r="C1479" t="s">
        <v>86</v>
      </c>
      <c r="D1479" t="s">
        <v>12</v>
      </c>
      <c r="E1479" t="s">
        <v>628</v>
      </c>
      <c r="F1479" t="s">
        <v>25</v>
      </c>
      <c r="G1479" t="s">
        <v>369</v>
      </c>
      <c r="H1479" t="s">
        <v>4</v>
      </c>
      <c r="I1479" t="s">
        <v>464</v>
      </c>
      <c r="J1479" t="s">
        <v>463</v>
      </c>
      <c r="K1479" t="s">
        <v>462</v>
      </c>
      <c r="L1479" t="s">
        <v>3</v>
      </c>
      <c r="M1479" t="s">
        <v>408</v>
      </c>
      <c r="N1479" t="s">
        <v>11</v>
      </c>
      <c r="O1479" t="s">
        <v>11</v>
      </c>
      <c r="P1479" t="s">
        <v>2</v>
      </c>
      <c r="Q1479" t="s">
        <v>408</v>
      </c>
      <c r="R1479" t="s">
        <v>439</v>
      </c>
      <c r="S1479" t="s">
        <v>451</v>
      </c>
      <c r="T1479" t="s">
        <v>11</v>
      </c>
      <c r="U1479" t="s">
        <v>408</v>
      </c>
    </row>
    <row r="1480" spans="1:21" x14ac:dyDescent="0.25">
      <c r="A1480">
        <v>23323376</v>
      </c>
      <c r="B1480" t="s">
        <v>340</v>
      </c>
      <c r="C1480" t="s">
        <v>86</v>
      </c>
      <c r="D1480" t="s">
        <v>12</v>
      </c>
      <c r="E1480" t="s">
        <v>628</v>
      </c>
      <c r="F1480" t="s">
        <v>25</v>
      </c>
      <c r="G1480" t="s">
        <v>369</v>
      </c>
      <c r="H1480" t="s">
        <v>4</v>
      </c>
      <c r="I1480" t="s">
        <v>464</v>
      </c>
      <c r="J1480" t="s">
        <v>463</v>
      </c>
      <c r="K1480" t="s">
        <v>462</v>
      </c>
      <c r="L1480" t="s">
        <v>3</v>
      </c>
      <c r="M1480" t="s">
        <v>408</v>
      </c>
      <c r="N1480" t="s">
        <v>11</v>
      </c>
      <c r="O1480" t="s">
        <v>11</v>
      </c>
      <c r="P1480" t="s">
        <v>2</v>
      </c>
      <c r="Q1480" t="s">
        <v>408</v>
      </c>
      <c r="R1480" t="s">
        <v>439</v>
      </c>
      <c r="S1480" t="s">
        <v>451</v>
      </c>
      <c r="T1480" t="s">
        <v>11</v>
      </c>
      <c r="U1480" t="s">
        <v>408</v>
      </c>
    </row>
    <row r="1481" spans="1:21" x14ac:dyDescent="0.25">
      <c r="A1481">
        <v>23323399</v>
      </c>
      <c r="B1481" t="s">
        <v>340</v>
      </c>
      <c r="C1481" t="s">
        <v>86</v>
      </c>
      <c r="D1481" t="s">
        <v>12</v>
      </c>
      <c r="E1481" t="s">
        <v>628</v>
      </c>
      <c r="F1481" t="s">
        <v>20</v>
      </c>
      <c r="G1481" t="s">
        <v>369</v>
      </c>
      <c r="H1481" t="s">
        <v>4</v>
      </c>
      <c r="I1481" t="s">
        <v>464</v>
      </c>
      <c r="J1481" t="s">
        <v>463</v>
      </c>
      <c r="K1481" t="s">
        <v>462</v>
      </c>
      <c r="L1481" t="s">
        <v>3</v>
      </c>
      <c r="M1481" t="s">
        <v>408</v>
      </c>
      <c r="N1481" t="s">
        <v>11</v>
      </c>
      <c r="O1481" t="s">
        <v>11</v>
      </c>
      <c r="P1481" t="s">
        <v>2</v>
      </c>
      <c r="Q1481" t="s">
        <v>408</v>
      </c>
      <c r="R1481" t="s">
        <v>439</v>
      </c>
      <c r="S1481" t="s">
        <v>451</v>
      </c>
      <c r="T1481" t="s">
        <v>11</v>
      </c>
      <c r="U1481" t="s">
        <v>408</v>
      </c>
    </row>
    <row r="1482" spans="1:21" x14ac:dyDescent="0.25">
      <c r="A1482">
        <v>23323408</v>
      </c>
      <c r="B1482" t="s">
        <v>340</v>
      </c>
      <c r="C1482" t="s">
        <v>86</v>
      </c>
      <c r="D1482" t="s">
        <v>18</v>
      </c>
      <c r="E1482" t="s">
        <v>628</v>
      </c>
      <c r="F1482" t="s">
        <v>20</v>
      </c>
      <c r="G1482" t="s">
        <v>369</v>
      </c>
      <c r="H1482" t="s">
        <v>4</v>
      </c>
      <c r="I1482" t="s">
        <v>464</v>
      </c>
      <c r="J1482" t="s">
        <v>463</v>
      </c>
      <c r="K1482" t="s">
        <v>462</v>
      </c>
      <c r="L1482" t="s">
        <v>3</v>
      </c>
      <c r="M1482" t="s">
        <v>408</v>
      </c>
      <c r="N1482" t="s">
        <v>11</v>
      </c>
      <c r="O1482" t="s">
        <v>11</v>
      </c>
      <c r="P1482" t="s">
        <v>2</v>
      </c>
      <c r="Q1482" t="s">
        <v>408</v>
      </c>
      <c r="R1482" t="s">
        <v>439</v>
      </c>
      <c r="S1482" t="s">
        <v>451</v>
      </c>
      <c r="T1482" t="s">
        <v>11</v>
      </c>
      <c r="U1482" t="s">
        <v>408</v>
      </c>
    </row>
    <row r="1483" spans="1:21" x14ac:dyDescent="0.25">
      <c r="A1483">
        <v>23323418</v>
      </c>
      <c r="B1483" t="s">
        <v>340</v>
      </c>
      <c r="C1483" t="s">
        <v>86</v>
      </c>
      <c r="D1483" t="s">
        <v>12</v>
      </c>
      <c r="E1483" t="s">
        <v>626</v>
      </c>
      <c r="F1483" t="s">
        <v>23</v>
      </c>
      <c r="G1483" t="s">
        <v>369</v>
      </c>
      <c r="H1483" t="s">
        <v>4</v>
      </c>
      <c r="I1483" t="s">
        <v>464</v>
      </c>
      <c r="J1483" t="s">
        <v>463</v>
      </c>
      <c r="K1483" t="s">
        <v>462</v>
      </c>
      <c r="L1483" t="s">
        <v>3</v>
      </c>
      <c r="M1483" t="s">
        <v>408</v>
      </c>
      <c r="N1483" t="s">
        <v>11</v>
      </c>
      <c r="O1483" t="s">
        <v>11</v>
      </c>
      <c r="P1483" t="s">
        <v>2</v>
      </c>
      <c r="Q1483" t="s">
        <v>408</v>
      </c>
      <c r="R1483" t="s">
        <v>439</v>
      </c>
      <c r="S1483" t="s">
        <v>451</v>
      </c>
      <c r="T1483" t="s">
        <v>11</v>
      </c>
      <c r="U1483" t="s">
        <v>408</v>
      </c>
    </row>
    <row r="1484" spans="1:21" x14ac:dyDescent="0.25">
      <c r="A1484">
        <v>23323421</v>
      </c>
      <c r="B1484" t="s">
        <v>340</v>
      </c>
      <c r="C1484" t="s">
        <v>86</v>
      </c>
      <c r="D1484" t="s">
        <v>18</v>
      </c>
      <c r="E1484" t="s">
        <v>628</v>
      </c>
      <c r="F1484" t="s">
        <v>25</v>
      </c>
      <c r="G1484" t="s">
        <v>369</v>
      </c>
      <c r="H1484" t="s">
        <v>4</v>
      </c>
      <c r="I1484" t="s">
        <v>464</v>
      </c>
      <c r="J1484" t="s">
        <v>463</v>
      </c>
      <c r="K1484" t="s">
        <v>462</v>
      </c>
      <c r="L1484" t="s">
        <v>3</v>
      </c>
      <c r="M1484" t="s">
        <v>408</v>
      </c>
      <c r="N1484" t="s">
        <v>11</v>
      </c>
      <c r="O1484" t="s">
        <v>11</v>
      </c>
      <c r="P1484" t="s">
        <v>2</v>
      </c>
      <c r="Q1484" t="s">
        <v>408</v>
      </c>
      <c r="R1484" t="s">
        <v>439</v>
      </c>
      <c r="S1484" t="s">
        <v>451</v>
      </c>
      <c r="T1484" t="s">
        <v>11</v>
      </c>
      <c r="U1484" t="s">
        <v>408</v>
      </c>
    </row>
    <row r="1485" spans="1:21" x14ac:dyDescent="0.25">
      <c r="A1485">
        <v>23323434</v>
      </c>
      <c r="B1485" t="s">
        <v>340</v>
      </c>
      <c r="C1485" t="s">
        <v>86</v>
      </c>
      <c r="D1485" t="s">
        <v>12</v>
      </c>
      <c r="E1485" t="s">
        <v>627</v>
      </c>
      <c r="F1485" t="s">
        <v>21</v>
      </c>
      <c r="G1485" t="s">
        <v>369</v>
      </c>
      <c r="H1485" t="s">
        <v>4</v>
      </c>
      <c r="I1485" t="s">
        <v>464</v>
      </c>
      <c r="J1485" t="s">
        <v>463</v>
      </c>
      <c r="K1485" t="s">
        <v>462</v>
      </c>
      <c r="L1485" t="s">
        <v>3</v>
      </c>
      <c r="M1485" t="s">
        <v>408</v>
      </c>
      <c r="N1485" t="s">
        <v>11</v>
      </c>
      <c r="O1485" t="s">
        <v>11</v>
      </c>
      <c r="P1485" t="s">
        <v>2</v>
      </c>
      <c r="Q1485" t="s">
        <v>408</v>
      </c>
      <c r="R1485" t="s">
        <v>439</v>
      </c>
      <c r="S1485" t="s">
        <v>451</v>
      </c>
      <c r="T1485" t="s">
        <v>11</v>
      </c>
      <c r="U1485" t="s">
        <v>408</v>
      </c>
    </row>
    <row r="1486" spans="1:21" x14ac:dyDescent="0.25">
      <c r="A1486">
        <v>23323438</v>
      </c>
      <c r="B1486" t="s">
        <v>340</v>
      </c>
      <c r="C1486" t="s">
        <v>86</v>
      </c>
      <c r="D1486" t="s">
        <v>12</v>
      </c>
      <c r="E1486" t="s">
        <v>627</v>
      </c>
      <c r="F1486" t="s">
        <v>21</v>
      </c>
      <c r="G1486" t="s">
        <v>369</v>
      </c>
      <c r="H1486" t="s">
        <v>4</v>
      </c>
      <c r="I1486" t="s">
        <v>464</v>
      </c>
      <c r="J1486" t="s">
        <v>463</v>
      </c>
      <c r="K1486" t="s">
        <v>462</v>
      </c>
      <c r="L1486" t="s">
        <v>3</v>
      </c>
      <c r="M1486" t="s">
        <v>408</v>
      </c>
      <c r="N1486" t="s">
        <v>11</v>
      </c>
      <c r="O1486" t="s">
        <v>11</v>
      </c>
      <c r="P1486" t="s">
        <v>2</v>
      </c>
      <c r="Q1486" t="s">
        <v>408</v>
      </c>
      <c r="R1486" t="s">
        <v>439</v>
      </c>
      <c r="S1486" t="s">
        <v>451</v>
      </c>
      <c r="T1486" t="s">
        <v>11</v>
      </c>
      <c r="U1486" t="s">
        <v>408</v>
      </c>
    </row>
    <row r="1487" spans="1:21" x14ac:dyDescent="0.25">
      <c r="A1487">
        <v>23323461</v>
      </c>
      <c r="B1487" t="s">
        <v>342</v>
      </c>
      <c r="C1487" t="s">
        <v>89</v>
      </c>
      <c r="D1487" t="s">
        <v>12</v>
      </c>
      <c r="E1487" t="s">
        <v>626</v>
      </c>
      <c r="F1487" t="s">
        <v>23</v>
      </c>
      <c r="G1487" t="s">
        <v>369</v>
      </c>
      <c r="H1487" t="s">
        <v>4</v>
      </c>
      <c r="I1487" t="s">
        <v>464</v>
      </c>
      <c r="J1487" t="s">
        <v>463</v>
      </c>
      <c r="K1487" t="s">
        <v>462</v>
      </c>
      <c r="L1487" t="s">
        <v>3</v>
      </c>
      <c r="M1487" t="s">
        <v>408</v>
      </c>
      <c r="N1487" t="s">
        <v>11</v>
      </c>
      <c r="O1487" t="s">
        <v>11</v>
      </c>
      <c r="P1487" t="s">
        <v>2</v>
      </c>
      <c r="Q1487" t="s">
        <v>408</v>
      </c>
      <c r="R1487" t="s">
        <v>439</v>
      </c>
      <c r="S1487" t="s">
        <v>451</v>
      </c>
      <c r="T1487" t="s">
        <v>11</v>
      </c>
      <c r="U1487" t="s">
        <v>408</v>
      </c>
    </row>
    <row r="1488" spans="1:21" x14ac:dyDescent="0.25">
      <c r="A1488">
        <v>23323466</v>
      </c>
      <c r="B1488" t="s">
        <v>340</v>
      </c>
      <c r="C1488" t="s">
        <v>86</v>
      </c>
      <c r="D1488" t="s">
        <v>12</v>
      </c>
      <c r="E1488" t="s">
        <v>627</v>
      </c>
      <c r="F1488" t="s">
        <v>22</v>
      </c>
      <c r="G1488" t="s">
        <v>369</v>
      </c>
      <c r="H1488" t="s">
        <v>4</v>
      </c>
      <c r="I1488" t="s">
        <v>464</v>
      </c>
      <c r="J1488" t="s">
        <v>463</v>
      </c>
      <c r="K1488" t="s">
        <v>462</v>
      </c>
      <c r="L1488" t="s">
        <v>3</v>
      </c>
      <c r="M1488" t="s">
        <v>408</v>
      </c>
      <c r="N1488" t="s">
        <v>11</v>
      </c>
      <c r="O1488" t="s">
        <v>11</v>
      </c>
      <c r="P1488" t="s">
        <v>2</v>
      </c>
      <c r="Q1488" t="s">
        <v>408</v>
      </c>
      <c r="R1488" t="s">
        <v>439</v>
      </c>
      <c r="S1488" t="s">
        <v>451</v>
      </c>
      <c r="T1488" t="s">
        <v>11</v>
      </c>
      <c r="U1488" t="s">
        <v>408</v>
      </c>
    </row>
    <row r="1489" spans="1:21" x14ac:dyDescent="0.25">
      <c r="A1489">
        <v>23323468</v>
      </c>
      <c r="B1489" t="s">
        <v>340</v>
      </c>
      <c r="C1489" t="s">
        <v>86</v>
      </c>
      <c r="D1489" t="s">
        <v>12</v>
      </c>
      <c r="E1489" t="s">
        <v>627</v>
      </c>
      <c r="F1489" t="s">
        <v>21</v>
      </c>
      <c r="G1489" t="s">
        <v>369</v>
      </c>
      <c r="H1489" t="s">
        <v>4</v>
      </c>
      <c r="I1489" t="s">
        <v>464</v>
      </c>
      <c r="J1489" t="s">
        <v>463</v>
      </c>
      <c r="K1489" t="s">
        <v>462</v>
      </c>
      <c r="L1489" t="s">
        <v>3</v>
      </c>
      <c r="M1489" t="s">
        <v>408</v>
      </c>
      <c r="N1489" t="s">
        <v>11</v>
      </c>
      <c r="O1489" t="s">
        <v>11</v>
      </c>
      <c r="P1489" t="s">
        <v>2</v>
      </c>
      <c r="Q1489" t="s">
        <v>408</v>
      </c>
      <c r="R1489" t="s">
        <v>439</v>
      </c>
      <c r="S1489" t="s">
        <v>451</v>
      </c>
      <c r="T1489" t="s">
        <v>11</v>
      </c>
      <c r="U1489" t="s">
        <v>408</v>
      </c>
    </row>
    <row r="1490" spans="1:21" x14ac:dyDescent="0.25">
      <c r="A1490">
        <v>23323480</v>
      </c>
      <c r="B1490" t="s">
        <v>340</v>
      </c>
      <c r="C1490" t="s">
        <v>86</v>
      </c>
      <c r="D1490" t="s">
        <v>12</v>
      </c>
      <c r="E1490" t="s">
        <v>626</v>
      </c>
      <c r="F1490" t="s">
        <v>174</v>
      </c>
      <c r="G1490" t="s">
        <v>369</v>
      </c>
      <c r="H1490" t="s">
        <v>370</v>
      </c>
      <c r="I1490" t="s">
        <v>721</v>
      </c>
      <c r="J1490" t="s">
        <v>455</v>
      </c>
      <c r="K1490" t="s">
        <v>453</v>
      </c>
      <c r="L1490" t="s">
        <v>367</v>
      </c>
      <c r="M1490" t="s">
        <v>408</v>
      </c>
      <c r="N1490" t="s">
        <v>11</v>
      </c>
      <c r="O1490" t="s">
        <v>11</v>
      </c>
      <c r="P1490" t="s">
        <v>0</v>
      </c>
      <c r="Q1490" t="s">
        <v>408</v>
      </c>
      <c r="R1490" t="s">
        <v>439</v>
      </c>
      <c r="S1490" t="s">
        <v>451</v>
      </c>
      <c r="T1490" t="s">
        <v>11</v>
      </c>
      <c r="U1490" t="s">
        <v>408</v>
      </c>
    </row>
    <row r="1491" spans="1:21" x14ac:dyDescent="0.25">
      <c r="A1491">
        <v>23323481</v>
      </c>
      <c r="B1491" t="s">
        <v>340</v>
      </c>
      <c r="C1491" t="s">
        <v>86</v>
      </c>
      <c r="D1491" t="s">
        <v>12</v>
      </c>
      <c r="E1491" t="s">
        <v>627</v>
      </c>
      <c r="F1491" t="s">
        <v>22</v>
      </c>
      <c r="G1491" t="s">
        <v>369</v>
      </c>
      <c r="H1491" t="s">
        <v>4</v>
      </c>
      <c r="I1491" t="s">
        <v>464</v>
      </c>
      <c r="J1491" t="s">
        <v>463</v>
      </c>
      <c r="K1491" t="s">
        <v>462</v>
      </c>
      <c r="L1491" t="s">
        <v>3</v>
      </c>
      <c r="M1491" t="s">
        <v>408</v>
      </c>
      <c r="N1491" t="s">
        <v>11</v>
      </c>
      <c r="O1491" t="s">
        <v>11</v>
      </c>
      <c r="P1491" t="s">
        <v>0</v>
      </c>
      <c r="Q1491" t="s">
        <v>408</v>
      </c>
      <c r="R1491" t="s">
        <v>439</v>
      </c>
      <c r="S1491" t="s">
        <v>451</v>
      </c>
      <c r="T1491" t="s">
        <v>11</v>
      </c>
      <c r="U1491" t="s">
        <v>408</v>
      </c>
    </row>
    <row r="1492" spans="1:21" x14ac:dyDescent="0.25">
      <c r="A1492">
        <v>23323490</v>
      </c>
      <c r="B1492" t="s">
        <v>340</v>
      </c>
      <c r="C1492" t="s">
        <v>86</v>
      </c>
      <c r="D1492" t="s">
        <v>12</v>
      </c>
      <c r="E1492" t="s">
        <v>626</v>
      </c>
      <c r="F1492" t="s">
        <v>173</v>
      </c>
      <c r="G1492" t="s">
        <v>369</v>
      </c>
      <c r="H1492" t="s">
        <v>4</v>
      </c>
      <c r="I1492" t="s">
        <v>464</v>
      </c>
      <c r="J1492" t="s">
        <v>463</v>
      </c>
      <c r="K1492" t="s">
        <v>462</v>
      </c>
      <c r="L1492" t="s">
        <v>3</v>
      </c>
      <c r="M1492" t="s">
        <v>408</v>
      </c>
      <c r="N1492" t="s">
        <v>11</v>
      </c>
      <c r="O1492" t="s">
        <v>11</v>
      </c>
      <c r="P1492" t="s">
        <v>0</v>
      </c>
      <c r="Q1492" t="s">
        <v>408</v>
      </c>
      <c r="R1492" t="s">
        <v>439</v>
      </c>
      <c r="S1492" t="s">
        <v>451</v>
      </c>
      <c r="T1492" t="s">
        <v>11</v>
      </c>
      <c r="U1492" t="s">
        <v>408</v>
      </c>
    </row>
    <row r="1493" spans="1:21" x14ac:dyDescent="0.25">
      <c r="A1493">
        <v>23323493</v>
      </c>
      <c r="B1493" t="s">
        <v>340</v>
      </c>
      <c r="C1493" t="s">
        <v>26</v>
      </c>
      <c r="D1493" t="s">
        <v>18</v>
      </c>
      <c r="E1493" t="s">
        <v>732</v>
      </c>
      <c r="F1493" t="s">
        <v>39</v>
      </c>
      <c r="G1493" t="s">
        <v>369</v>
      </c>
      <c r="H1493" t="s">
        <v>727</v>
      </c>
      <c r="I1493" t="s">
        <v>728</v>
      </c>
      <c r="J1493" t="s">
        <v>729</v>
      </c>
      <c r="K1493" t="s">
        <v>450</v>
      </c>
      <c r="L1493" t="s">
        <v>367</v>
      </c>
      <c r="M1493" t="s">
        <v>408</v>
      </c>
      <c r="N1493" t="s">
        <v>408</v>
      </c>
      <c r="O1493" t="s">
        <v>11</v>
      </c>
      <c r="P1493" t="s">
        <v>0</v>
      </c>
      <c r="Q1493" t="s">
        <v>408</v>
      </c>
      <c r="R1493" t="s">
        <v>439</v>
      </c>
      <c r="S1493" t="s">
        <v>451</v>
      </c>
      <c r="T1493" t="s">
        <v>408</v>
      </c>
      <c r="U1493" t="s">
        <v>408</v>
      </c>
    </row>
    <row r="1494" spans="1:21" x14ac:dyDescent="0.25">
      <c r="A1494">
        <v>23323494</v>
      </c>
      <c r="B1494" t="s">
        <v>340</v>
      </c>
      <c r="C1494" t="s">
        <v>26</v>
      </c>
      <c r="D1494" t="s">
        <v>18</v>
      </c>
      <c r="E1494" t="s">
        <v>732</v>
      </c>
      <c r="F1494" t="s">
        <v>39</v>
      </c>
      <c r="G1494" t="s">
        <v>369</v>
      </c>
      <c r="H1494" t="s">
        <v>0</v>
      </c>
      <c r="I1494" t="s">
        <v>436</v>
      </c>
      <c r="J1494" t="s">
        <v>437</v>
      </c>
      <c r="K1494" t="s">
        <v>438</v>
      </c>
      <c r="L1494" t="s">
        <v>345</v>
      </c>
      <c r="M1494" t="s">
        <v>408</v>
      </c>
      <c r="N1494" t="s">
        <v>408</v>
      </c>
      <c r="O1494" t="s">
        <v>11</v>
      </c>
      <c r="P1494" t="s">
        <v>0</v>
      </c>
      <c r="Q1494" t="s">
        <v>408</v>
      </c>
      <c r="R1494" t="s">
        <v>439</v>
      </c>
      <c r="S1494" t="s">
        <v>440</v>
      </c>
      <c r="T1494" t="s">
        <v>408</v>
      </c>
      <c r="U1494" t="s">
        <v>408</v>
      </c>
    </row>
    <row r="1495" spans="1:21" x14ac:dyDescent="0.25">
      <c r="A1495">
        <v>23323495</v>
      </c>
      <c r="B1495" t="s">
        <v>340</v>
      </c>
      <c r="C1495" t="s">
        <v>26</v>
      </c>
      <c r="D1495" t="s">
        <v>12</v>
      </c>
      <c r="E1495" t="s">
        <v>501</v>
      </c>
      <c r="F1495" t="s">
        <v>379</v>
      </c>
      <c r="G1495" t="s">
        <v>369</v>
      </c>
      <c r="H1495" t="s">
        <v>0</v>
      </c>
      <c r="I1495" t="s">
        <v>436</v>
      </c>
      <c r="J1495" t="s">
        <v>437</v>
      </c>
      <c r="K1495" t="s">
        <v>438</v>
      </c>
      <c r="L1495" t="s">
        <v>345</v>
      </c>
      <c r="M1495" t="s">
        <v>408</v>
      </c>
      <c r="N1495" t="s">
        <v>408</v>
      </c>
      <c r="O1495" t="s">
        <v>11</v>
      </c>
      <c r="P1495" t="s">
        <v>0</v>
      </c>
      <c r="Q1495" t="s">
        <v>408</v>
      </c>
      <c r="R1495" t="s">
        <v>439</v>
      </c>
      <c r="S1495" t="s">
        <v>440</v>
      </c>
      <c r="T1495" t="s">
        <v>408</v>
      </c>
      <c r="U1495" t="s">
        <v>408</v>
      </c>
    </row>
    <row r="1496" spans="1:21" x14ac:dyDescent="0.25">
      <c r="A1496">
        <v>23323496</v>
      </c>
      <c r="B1496" t="s">
        <v>340</v>
      </c>
      <c r="C1496" t="s">
        <v>26</v>
      </c>
      <c r="D1496" t="s">
        <v>12</v>
      </c>
      <c r="E1496" t="s">
        <v>622</v>
      </c>
      <c r="F1496" t="s">
        <v>221</v>
      </c>
      <c r="G1496" t="s">
        <v>369</v>
      </c>
      <c r="H1496" t="s">
        <v>0</v>
      </c>
      <c r="I1496" t="s">
        <v>436</v>
      </c>
      <c r="J1496" t="s">
        <v>437</v>
      </c>
      <c r="K1496" t="s">
        <v>438</v>
      </c>
      <c r="L1496" t="s">
        <v>345</v>
      </c>
      <c r="M1496" t="s">
        <v>408</v>
      </c>
      <c r="N1496" t="s">
        <v>408</v>
      </c>
      <c r="O1496" t="s">
        <v>11</v>
      </c>
      <c r="P1496" t="s">
        <v>0</v>
      </c>
      <c r="Q1496" t="s">
        <v>408</v>
      </c>
      <c r="R1496" t="s">
        <v>439</v>
      </c>
      <c r="S1496" t="s">
        <v>440</v>
      </c>
      <c r="T1496" t="s">
        <v>408</v>
      </c>
      <c r="U1496" t="s">
        <v>408</v>
      </c>
    </row>
    <row r="1497" spans="1:21" x14ac:dyDescent="0.25">
      <c r="A1497">
        <v>23323501</v>
      </c>
      <c r="B1497" t="s">
        <v>340</v>
      </c>
      <c r="C1497" t="s">
        <v>86</v>
      </c>
      <c r="D1497" t="s">
        <v>12</v>
      </c>
      <c r="E1497" t="s">
        <v>626</v>
      </c>
      <c r="F1497" t="s">
        <v>171</v>
      </c>
      <c r="G1497" t="s">
        <v>369</v>
      </c>
      <c r="H1497" t="s">
        <v>4</v>
      </c>
      <c r="I1497" t="s">
        <v>464</v>
      </c>
      <c r="J1497" t="s">
        <v>463</v>
      </c>
      <c r="K1497" t="s">
        <v>462</v>
      </c>
      <c r="L1497" t="s">
        <v>3</v>
      </c>
      <c r="M1497" t="s">
        <v>408</v>
      </c>
      <c r="N1497" t="s">
        <v>11</v>
      </c>
      <c r="O1497" t="s">
        <v>11</v>
      </c>
      <c r="P1497" t="s">
        <v>0</v>
      </c>
      <c r="Q1497" t="s">
        <v>408</v>
      </c>
      <c r="R1497" t="s">
        <v>439</v>
      </c>
      <c r="S1497" t="s">
        <v>451</v>
      </c>
      <c r="T1497" t="s">
        <v>11</v>
      </c>
      <c r="U1497" t="s">
        <v>408</v>
      </c>
    </row>
    <row r="1498" spans="1:21" x14ac:dyDescent="0.25">
      <c r="A1498">
        <v>23323507</v>
      </c>
      <c r="B1498" t="s">
        <v>340</v>
      </c>
      <c r="C1498" t="s">
        <v>86</v>
      </c>
      <c r="D1498" t="s">
        <v>18</v>
      </c>
      <c r="E1498" t="s">
        <v>628</v>
      </c>
      <c r="F1498" t="s">
        <v>82</v>
      </c>
      <c r="G1498" t="s">
        <v>369</v>
      </c>
      <c r="H1498" t="s">
        <v>4</v>
      </c>
      <c r="I1498" t="s">
        <v>464</v>
      </c>
      <c r="J1498" t="s">
        <v>463</v>
      </c>
      <c r="K1498" t="s">
        <v>462</v>
      </c>
      <c r="L1498" t="s">
        <v>3</v>
      </c>
      <c r="M1498" t="s">
        <v>408</v>
      </c>
      <c r="N1498" t="s">
        <v>11</v>
      </c>
      <c r="O1498" t="s">
        <v>11</v>
      </c>
      <c r="P1498" t="s">
        <v>0</v>
      </c>
      <c r="Q1498" t="s">
        <v>408</v>
      </c>
      <c r="R1498" t="s">
        <v>439</v>
      </c>
      <c r="S1498" t="s">
        <v>451</v>
      </c>
      <c r="T1498" t="s">
        <v>11</v>
      </c>
      <c r="U1498" t="s">
        <v>408</v>
      </c>
    </row>
    <row r="1499" spans="1:21" x14ac:dyDescent="0.25">
      <c r="A1499">
        <v>23323510</v>
      </c>
      <c r="B1499" t="s">
        <v>340</v>
      </c>
      <c r="C1499" t="s">
        <v>86</v>
      </c>
      <c r="D1499" t="s">
        <v>12</v>
      </c>
      <c r="E1499" t="s">
        <v>506</v>
      </c>
      <c r="F1499" t="s">
        <v>170</v>
      </c>
      <c r="G1499" t="s">
        <v>369</v>
      </c>
      <c r="H1499" t="s">
        <v>370</v>
      </c>
      <c r="I1499" t="s">
        <v>721</v>
      </c>
      <c r="J1499" t="s">
        <v>455</v>
      </c>
      <c r="K1499" t="s">
        <v>453</v>
      </c>
      <c r="L1499" t="s">
        <v>367</v>
      </c>
      <c r="M1499" t="s">
        <v>408</v>
      </c>
      <c r="N1499" t="s">
        <v>11</v>
      </c>
      <c r="O1499" t="s">
        <v>11</v>
      </c>
      <c r="P1499" t="s">
        <v>0</v>
      </c>
      <c r="Q1499" t="s">
        <v>408</v>
      </c>
      <c r="R1499" t="s">
        <v>439</v>
      </c>
      <c r="S1499" t="s">
        <v>451</v>
      </c>
      <c r="T1499" t="s">
        <v>11</v>
      </c>
      <c r="U1499" t="s">
        <v>408</v>
      </c>
    </row>
    <row r="1500" spans="1:21" x14ac:dyDescent="0.25">
      <c r="A1500">
        <v>23323515</v>
      </c>
      <c r="B1500" t="s">
        <v>340</v>
      </c>
      <c r="C1500" t="s">
        <v>86</v>
      </c>
      <c r="D1500" t="s">
        <v>12</v>
      </c>
      <c r="E1500" t="s">
        <v>626</v>
      </c>
      <c r="F1500" t="s">
        <v>14</v>
      </c>
      <c r="G1500" t="s">
        <v>369</v>
      </c>
      <c r="H1500" t="s">
        <v>4</v>
      </c>
      <c r="I1500" t="s">
        <v>464</v>
      </c>
      <c r="J1500" t="s">
        <v>463</v>
      </c>
      <c r="K1500" t="s">
        <v>462</v>
      </c>
      <c r="L1500" t="s">
        <v>3</v>
      </c>
      <c r="M1500" t="s">
        <v>408</v>
      </c>
      <c r="N1500" t="s">
        <v>11</v>
      </c>
      <c r="O1500" t="s">
        <v>11</v>
      </c>
      <c r="P1500" t="s">
        <v>0</v>
      </c>
      <c r="Q1500" t="s">
        <v>408</v>
      </c>
      <c r="R1500" t="s">
        <v>439</v>
      </c>
      <c r="S1500" t="s">
        <v>451</v>
      </c>
      <c r="T1500" t="s">
        <v>11</v>
      </c>
      <c r="U1500" t="s">
        <v>408</v>
      </c>
    </row>
    <row r="1501" spans="1:21" x14ac:dyDescent="0.25">
      <c r="A1501">
        <v>23323523</v>
      </c>
      <c r="B1501" t="s">
        <v>340</v>
      </c>
      <c r="C1501" t="s">
        <v>86</v>
      </c>
      <c r="D1501" t="s">
        <v>12</v>
      </c>
      <c r="E1501" t="s">
        <v>626</v>
      </c>
      <c r="F1501" t="s">
        <v>23</v>
      </c>
      <c r="G1501" t="s">
        <v>369</v>
      </c>
      <c r="H1501" t="s">
        <v>4</v>
      </c>
      <c r="I1501" t="s">
        <v>464</v>
      </c>
      <c r="J1501" t="s">
        <v>463</v>
      </c>
      <c r="K1501" t="s">
        <v>462</v>
      </c>
      <c r="L1501" t="s">
        <v>3</v>
      </c>
      <c r="M1501" t="s">
        <v>408</v>
      </c>
      <c r="N1501" t="s">
        <v>11</v>
      </c>
      <c r="O1501" t="s">
        <v>11</v>
      </c>
      <c r="P1501" t="s">
        <v>2</v>
      </c>
      <c r="Q1501" t="s">
        <v>408</v>
      </c>
      <c r="R1501" t="s">
        <v>439</v>
      </c>
      <c r="S1501" t="s">
        <v>451</v>
      </c>
      <c r="T1501" t="s">
        <v>11</v>
      </c>
      <c r="U1501" t="s">
        <v>408</v>
      </c>
    </row>
    <row r="1502" spans="1:21" x14ac:dyDescent="0.25">
      <c r="A1502">
        <v>23323525</v>
      </c>
      <c r="B1502" t="s">
        <v>340</v>
      </c>
      <c r="C1502" t="s">
        <v>86</v>
      </c>
      <c r="D1502" t="s">
        <v>12</v>
      </c>
      <c r="E1502" t="s">
        <v>627</v>
      </c>
      <c r="F1502" t="s">
        <v>16</v>
      </c>
      <c r="G1502" t="s">
        <v>369</v>
      </c>
      <c r="H1502" t="s">
        <v>4</v>
      </c>
      <c r="I1502" t="s">
        <v>464</v>
      </c>
      <c r="J1502" t="s">
        <v>463</v>
      </c>
      <c r="K1502" t="s">
        <v>462</v>
      </c>
      <c r="L1502" t="s">
        <v>3</v>
      </c>
      <c r="M1502" t="s">
        <v>408</v>
      </c>
      <c r="N1502" t="s">
        <v>11</v>
      </c>
      <c r="O1502" t="s">
        <v>11</v>
      </c>
      <c r="P1502" t="s">
        <v>2</v>
      </c>
      <c r="Q1502" t="s">
        <v>408</v>
      </c>
      <c r="R1502" t="s">
        <v>439</v>
      </c>
      <c r="S1502" t="s">
        <v>451</v>
      </c>
      <c r="T1502" t="s">
        <v>11</v>
      </c>
      <c r="U1502" t="s">
        <v>408</v>
      </c>
    </row>
    <row r="1503" spans="1:21" x14ac:dyDescent="0.25">
      <c r="A1503">
        <v>23323529</v>
      </c>
      <c r="B1503" t="s">
        <v>340</v>
      </c>
      <c r="C1503" t="s">
        <v>86</v>
      </c>
      <c r="D1503" t="s">
        <v>18</v>
      </c>
      <c r="E1503" t="s">
        <v>627</v>
      </c>
      <c r="F1503" t="s">
        <v>16</v>
      </c>
      <c r="G1503" t="s">
        <v>369</v>
      </c>
      <c r="H1503" t="s">
        <v>4</v>
      </c>
      <c r="I1503" t="s">
        <v>464</v>
      </c>
      <c r="J1503" t="s">
        <v>463</v>
      </c>
      <c r="K1503" t="s">
        <v>462</v>
      </c>
      <c r="L1503" t="s">
        <v>3</v>
      </c>
      <c r="M1503" t="s">
        <v>408</v>
      </c>
      <c r="N1503" t="s">
        <v>11</v>
      </c>
      <c r="O1503" t="s">
        <v>11</v>
      </c>
      <c r="P1503" t="s">
        <v>2</v>
      </c>
      <c r="Q1503" t="s">
        <v>408</v>
      </c>
      <c r="R1503" t="s">
        <v>439</v>
      </c>
      <c r="S1503" t="s">
        <v>451</v>
      </c>
      <c r="T1503" t="s">
        <v>11</v>
      </c>
      <c r="U1503" t="s">
        <v>408</v>
      </c>
    </row>
    <row r="1504" spans="1:21" x14ac:dyDescent="0.25">
      <c r="A1504">
        <v>23323530</v>
      </c>
      <c r="B1504" t="s">
        <v>340</v>
      </c>
      <c r="C1504" t="s">
        <v>86</v>
      </c>
      <c r="D1504" t="s">
        <v>12</v>
      </c>
      <c r="E1504" t="s">
        <v>627</v>
      </c>
      <c r="F1504" t="s">
        <v>16</v>
      </c>
      <c r="G1504" t="s">
        <v>369</v>
      </c>
      <c r="H1504" t="s">
        <v>4</v>
      </c>
      <c r="I1504" t="s">
        <v>464</v>
      </c>
      <c r="J1504" t="s">
        <v>463</v>
      </c>
      <c r="K1504" t="s">
        <v>462</v>
      </c>
      <c r="L1504" t="s">
        <v>3</v>
      </c>
      <c r="M1504" t="s">
        <v>408</v>
      </c>
      <c r="N1504" t="s">
        <v>11</v>
      </c>
      <c r="O1504" t="s">
        <v>11</v>
      </c>
      <c r="P1504" t="s">
        <v>2</v>
      </c>
      <c r="Q1504" t="s">
        <v>408</v>
      </c>
      <c r="R1504" t="s">
        <v>439</v>
      </c>
      <c r="S1504" t="s">
        <v>451</v>
      </c>
      <c r="T1504" t="s">
        <v>11</v>
      </c>
      <c r="U1504" t="s">
        <v>408</v>
      </c>
    </row>
    <row r="1505" spans="1:21" x14ac:dyDescent="0.25">
      <c r="A1505">
        <v>23323531</v>
      </c>
      <c r="B1505" t="s">
        <v>340</v>
      </c>
      <c r="C1505" t="s">
        <v>86</v>
      </c>
      <c r="D1505" t="s">
        <v>12</v>
      </c>
      <c r="E1505" t="s">
        <v>626</v>
      </c>
      <c r="F1505" t="s">
        <v>83</v>
      </c>
      <c r="G1505" t="s">
        <v>369</v>
      </c>
      <c r="H1505" t="s">
        <v>4</v>
      </c>
      <c r="I1505" t="s">
        <v>464</v>
      </c>
      <c r="J1505" t="s">
        <v>463</v>
      </c>
      <c r="K1505" t="s">
        <v>462</v>
      </c>
      <c r="L1505" t="s">
        <v>3</v>
      </c>
      <c r="M1505" t="s">
        <v>408</v>
      </c>
      <c r="N1505" t="s">
        <v>11</v>
      </c>
      <c r="O1505" t="s">
        <v>11</v>
      </c>
      <c r="P1505" t="s">
        <v>2</v>
      </c>
      <c r="Q1505" t="s">
        <v>408</v>
      </c>
      <c r="R1505" t="s">
        <v>439</v>
      </c>
      <c r="S1505" t="s">
        <v>451</v>
      </c>
      <c r="T1505" t="s">
        <v>11</v>
      </c>
      <c r="U1505" t="s">
        <v>408</v>
      </c>
    </row>
    <row r="1506" spans="1:21" x14ac:dyDescent="0.25">
      <c r="A1506">
        <v>23323534</v>
      </c>
      <c r="B1506" t="s">
        <v>340</v>
      </c>
      <c r="C1506" t="s">
        <v>86</v>
      </c>
      <c r="D1506" t="s">
        <v>12</v>
      </c>
      <c r="E1506" t="s">
        <v>628</v>
      </c>
      <c r="F1506" t="s">
        <v>82</v>
      </c>
      <c r="G1506" t="s">
        <v>369</v>
      </c>
      <c r="H1506" t="s">
        <v>4</v>
      </c>
      <c r="I1506" t="s">
        <v>464</v>
      </c>
      <c r="J1506" t="s">
        <v>463</v>
      </c>
      <c r="K1506" t="s">
        <v>462</v>
      </c>
      <c r="L1506" t="s">
        <v>3</v>
      </c>
      <c r="M1506" t="s">
        <v>408</v>
      </c>
      <c r="N1506" t="s">
        <v>11</v>
      </c>
      <c r="O1506" t="s">
        <v>11</v>
      </c>
      <c r="P1506" t="s">
        <v>2</v>
      </c>
      <c r="Q1506" t="s">
        <v>408</v>
      </c>
      <c r="R1506" t="s">
        <v>439</v>
      </c>
      <c r="S1506" t="s">
        <v>451</v>
      </c>
      <c r="T1506" t="s">
        <v>11</v>
      </c>
      <c r="U1506" t="s">
        <v>408</v>
      </c>
    </row>
    <row r="1507" spans="1:21" x14ac:dyDescent="0.25">
      <c r="A1507">
        <v>23323538</v>
      </c>
      <c r="B1507" t="s">
        <v>340</v>
      </c>
      <c r="C1507" t="s">
        <v>86</v>
      </c>
      <c r="D1507" t="s">
        <v>18</v>
      </c>
      <c r="E1507" t="s">
        <v>628</v>
      </c>
      <c r="F1507" t="s">
        <v>82</v>
      </c>
      <c r="G1507" t="s">
        <v>369</v>
      </c>
      <c r="H1507" t="s">
        <v>4</v>
      </c>
      <c r="I1507" t="s">
        <v>464</v>
      </c>
      <c r="J1507" t="s">
        <v>463</v>
      </c>
      <c r="K1507" t="s">
        <v>462</v>
      </c>
      <c r="L1507" t="s">
        <v>3</v>
      </c>
      <c r="M1507" t="s">
        <v>408</v>
      </c>
      <c r="N1507" t="s">
        <v>11</v>
      </c>
      <c r="O1507" t="s">
        <v>11</v>
      </c>
      <c r="P1507" t="s">
        <v>2</v>
      </c>
      <c r="Q1507" t="s">
        <v>408</v>
      </c>
      <c r="R1507" t="s">
        <v>439</v>
      </c>
      <c r="S1507" t="s">
        <v>451</v>
      </c>
      <c r="T1507" t="s">
        <v>11</v>
      </c>
      <c r="U1507" t="s">
        <v>408</v>
      </c>
    </row>
    <row r="1508" spans="1:21" x14ac:dyDescent="0.25">
      <c r="A1508">
        <v>23323539</v>
      </c>
      <c r="B1508" t="s">
        <v>340</v>
      </c>
      <c r="C1508" t="s">
        <v>86</v>
      </c>
      <c r="D1508" t="s">
        <v>12</v>
      </c>
      <c r="E1508" t="s">
        <v>626</v>
      </c>
      <c r="F1508" t="s">
        <v>19</v>
      </c>
      <c r="G1508" t="s">
        <v>369</v>
      </c>
      <c r="H1508" t="s">
        <v>4</v>
      </c>
      <c r="I1508" t="s">
        <v>464</v>
      </c>
      <c r="J1508" t="s">
        <v>463</v>
      </c>
      <c r="K1508" t="s">
        <v>462</v>
      </c>
      <c r="L1508" t="s">
        <v>3</v>
      </c>
      <c r="M1508" t="s">
        <v>408</v>
      </c>
      <c r="N1508" t="s">
        <v>11</v>
      </c>
      <c r="O1508" t="s">
        <v>11</v>
      </c>
      <c r="P1508" t="s">
        <v>2</v>
      </c>
      <c r="Q1508" t="s">
        <v>408</v>
      </c>
      <c r="R1508" t="s">
        <v>439</v>
      </c>
      <c r="S1508" t="s">
        <v>451</v>
      </c>
      <c r="T1508" t="s">
        <v>11</v>
      </c>
      <c r="U1508" t="s">
        <v>408</v>
      </c>
    </row>
    <row r="1509" spans="1:21" x14ac:dyDescent="0.25">
      <c r="A1509">
        <v>23323541</v>
      </c>
      <c r="B1509" t="s">
        <v>340</v>
      </c>
      <c r="C1509" t="s">
        <v>86</v>
      </c>
      <c r="D1509" t="s">
        <v>12</v>
      </c>
      <c r="E1509" t="s">
        <v>626</v>
      </c>
      <c r="F1509" t="s">
        <v>17</v>
      </c>
      <c r="G1509" t="s">
        <v>369</v>
      </c>
      <c r="H1509" t="s">
        <v>4</v>
      </c>
      <c r="I1509" t="s">
        <v>464</v>
      </c>
      <c r="J1509" t="s">
        <v>463</v>
      </c>
      <c r="K1509" t="s">
        <v>462</v>
      </c>
      <c r="L1509" t="s">
        <v>3</v>
      </c>
      <c r="M1509" t="s">
        <v>408</v>
      </c>
      <c r="N1509" t="s">
        <v>11</v>
      </c>
      <c r="O1509" t="s">
        <v>11</v>
      </c>
      <c r="P1509" t="s">
        <v>2</v>
      </c>
      <c r="Q1509" t="s">
        <v>408</v>
      </c>
      <c r="R1509" t="s">
        <v>439</v>
      </c>
      <c r="S1509" t="s">
        <v>451</v>
      </c>
      <c r="T1509" t="s">
        <v>11</v>
      </c>
      <c r="U1509" t="s">
        <v>408</v>
      </c>
    </row>
    <row r="1510" spans="1:21" x14ac:dyDescent="0.25">
      <c r="A1510">
        <v>23323542</v>
      </c>
      <c r="B1510" t="s">
        <v>340</v>
      </c>
      <c r="C1510" t="s">
        <v>86</v>
      </c>
      <c r="D1510" t="s">
        <v>18</v>
      </c>
      <c r="E1510" t="s">
        <v>626</v>
      </c>
      <c r="F1510" t="s">
        <v>14</v>
      </c>
      <c r="G1510" t="s">
        <v>369</v>
      </c>
      <c r="H1510" t="s">
        <v>4</v>
      </c>
      <c r="I1510" t="s">
        <v>464</v>
      </c>
      <c r="J1510" t="s">
        <v>463</v>
      </c>
      <c r="K1510" t="s">
        <v>462</v>
      </c>
      <c r="L1510" t="s">
        <v>3</v>
      </c>
      <c r="M1510" t="s">
        <v>408</v>
      </c>
      <c r="N1510" t="s">
        <v>11</v>
      </c>
      <c r="O1510" t="s">
        <v>11</v>
      </c>
      <c r="P1510" t="s">
        <v>2</v>
      </c>
      <c r="Q1510" t="s">
        <v>408</v>
      </c>
      <c r="R1510" t="s">
        <v>439</v>
      </c>
      <c r="S1510" t="s">
        <v>451</v>
      </c>
      <c r="T1510" t="s">
        <v>11</v>
      </c>
      <c r="U1510" t="s">
        <v>408</v>
      </c>
    </row>
    <row r="1511" spans="1:21" x14ac:dyDescent="0.25">
      <c r="A1511">
        <v>23323545</v>
      </c>
      <c r="B1511" t="s">
        <v>340</v>
      </c>
      <c r="C1511" t="s">
        <v>86</v>
      </c>
      <c r="D1511" t="s">
        <v>12</v>
      </c>
      <c r="E1511" t="s">
        <v>626</v>
      </c>
      <c r="F1511" t="s">
        <v>23</v>
      </c>
      <c r="G1511" t="s">
        <v>369</v>
      </c>
      <c r="H1511" t="s">
        <v>4</v>
      </c>
      <c r="I1511" t="s">
        <v>464</v>
      </c>
      <c r="J1511" t="s">
        <v>463</v>
      </c>
      <c r="K1511" t="s">
        <v>462</v>
      </c>
      <c r="L1511" t="s">
        <v>3</v>
      </c>
      <c r="M1511" t="s">
        <v>408</v>
      </c>
      <c r="N1511" t="s">
        <v>11</v>
      </c>
      <c r="O1511" t="s">
        <v>11</v>
      </c>
      <c r="P1511" t="s">
        <v>2</v>
      </c>
      <c r="Q1511" t="s">
        <v>408</v>
      </c>
      <c r="R1511" t="s">
        <v>439</v>
      </c>
      <c r="S1511" t="s">
        <v>451</v>
      </c>
      <c r="T1511" t="s">
        <v>11</v>
      </c>
      <c r="U1511" t="s">
        <v>408</v>
      </c>
    </row>
    <row r="1512" spans="1:21" x14ac:dyDescent="0.25">
      <c r="A1512">
        <v>23323546</v>
      </c>
      <c r="B1512" t="s">
        <v>340</v>
      </c>
      <c r="C1512" t="s">
        <v>86</v>
      </c>
      <c r="D1512" t="s">
        <v>12</v>
      </c>
      <c r="E1512" t="s">
        <v>627</v>
      </c>
      <c r="F1512" t="s">
        <v>16</v>
      </c>
      <c r="G1512" t="s">
        <v>369</v>
      </c>
      <c r="H1512" t="s">
        <v>4</v>
      </c>
      <c r="I1512" t="s">
        <v>464</v>
      </c>
      <c r="J1512" t="s">
        <v>463</v>
      </c>
      <c r="K1512" t="s">
        <v>462</v>
      </c>
      <c r="L1512" t="s">
        <v>3</v>
      </c>
      <c r="M1512" t="s">
        <v>408</v>
      </c>
      <c r="N1512" t="s">
        <v>11</v>
      </c>
      <c r="O1512" t="s">
        <v>11</v>
      </c>
      <c r="P1512" t="s">
        <v>2</v>
      </c>
      <c r="Q1512" t="s">
        <v>408</v>
      </c>
      <c r="R1512" t="s">
        <v>439</v>
      </c>
      <c r="S1512" t="s">
        <v>451</v>
      </c>
      <c r="T1512" t="s">
        <v>11</v>
      </c>
      <c r="U1512" t="s">
        <v>408</v>
      </c>
    </row>
    <row r="1513" spans="1:21" x14ac:dyDescent="0.25">
      <c r="A1513">
        <v>23323549</v>
      </c>
      <c r="B1513" t="s">
        <v>340</v>
      </c>
      <c r="C1513" t="s">
        <v>86</v>
      </c>
      <c r="D1513" t="s">
        <v>12</v>
      </c>
      <c r="E1513" t="s">
        <v>626</v>
      </c>
      <c r="F1513" t="s">
        <v>17</v>
      </c>
      <c r="G1513" t="s">
        <v>369</v>
      </c>
      <c r="H1513" t="s">
        <v>4</v>
      </c>
      <c r="I1513" t="s">
        <v>464</v>
      </c>
      <c r="J1513" t="s">
        <v>463</v>
      </c>
      <c r="K1513" t="s">
        <v>462</v>
      </c>
      <c r="L1513" t="s">
        <v>3</v>
      </c>
      <c r="M1513" t="s">
        <v>408</v>
      </c>
      <c r="N1513" t="s">
        <v>11</v>
      </c>
      <c r="O1513" t="s">
        <v>11</v>
      </c>
      <c r="P1513" t="s">
        <v>2</v>
      </c>
      <c r="Q1513" t="s">
        <v>408</v>
      </c>
      <c r="R1513" t="s">
        <v>439</v>
      </c>
      <c r="S1513" t="s">
        <v>451</v>
      </c>
      <c r="T1513" t="s">
        <v>11</v>
      </c>
      <c r="U1513" t="s">
        <v>408</v>
      </c>
    </row>
    <row r="1514" spans="1:21" x14ac:dyDescent="0.25">
      <c r="A1514">
        <v>23323552</v>
      </c>
      <c r="B1514" t="s">
        <v>340</v>
      </c>
      <c r="C1514" t="s">
        <v>86</v>
      </c>
      <c r="D1514" t="s">
        <v>12</v>
      </c>
      <c r="E1514" t="s">
        <v>626</v>
      </c>
      <c r="F1514" t="s">
        <v>17</v>
      </c>
      <c r="G1514" t="s">
        <v>369</v>
      </c>
      <c r="H1514" t="s">
        <v>4</v>
      </c>
      <c r="I1514" t="s">
        <v>464</v>
      </c>
      <c r="J1514" t="s">
        <v>463</v>
      </c>
      <c r="K1514" t="s">
        <v>462</v>
      </c>
      <c r="L1514" t="s">
        <v>3</v>
      </c>
      <c r="M1514" t="s">
        <v>408</v>
      </c>
      <c r="N1514" t="s">
        <v>11</v>
      </c>
      <c r="O1514" t="s">
        <v>11</v>
      </c>
      <c r="P1514" t="s">
        <v>2</v>
      </c>
      <c r="Q1514" t="s">
        <v>408</v>
      </c>
      <c r="R1514" t="s">
        <v>439</v>
      </c>
      <c r="S1514" t="s">
        <v>451</v>
      </c>
      <c r="T1514" t="s">
        <v>11</v>
      </c>
      <c r="U1514" t="s">
        <v>408</v>
      </c>
    </row>
    <row r="1515" spans="1:21" x14ac:dyDescent="0.25">
      <c r="A1515">
        <v>23323553</v>
      </c>
      <c r="B1515" t="s">
        <v>340</v>
      </c>
      <c r="C1515" t="s">
        <v>86</v>
      </c>
      <c r="D1515" t="s">
        <v>12</v>
      </c>
      <c r="E1515" t="s">
        <v>627</v>
      </c>
      <c r="F1515" t="s">
        <v>16</v>
      </c>
      <c r="G1515" t="s">
        <v>369</v>
      </c>
      <c r="H1515" t="s">
        <v>4</v>
      </c>
      <c r="I1515" t="s">
        <v>464</v>
      </c>
      <c r="J1515" t="s">
        <v>463</v>
      </c>
      <c r="K1515" t="s">
        <v>462</v>
      </c>
      <c r="L1515" t="s">
        <v>3</v>
      </c>
      <c r="M1515" t="s">
        <v>408</v>
      </c>
      <c r="N1515" t="s">
        <v>11</v>
      </c>
      <c r="O1515" t="s">
        <v>11</v>
      </c>
      <c r="P1515" t="s">
        <v>2</v>
      </c>
      <c r="Q1515" t="s">
        <v>408</v>
      </c>
      <c r="R1515" t="s">
        <v>439</v>
      </c>
      <c r="S1515" t="s">
        <v>451</v>
      </c>
      <c r="T1515" t="s">
        <v>11</v>
      </c>
      <c r="U1515" t="s">
        <v>408</v>
      </c>
    </row>
    <row r="1516" spans="1:21" x14ac:dyDescent="0.25">
      <c r="A1516">
        <v>23323555</v>
      </c>
      <c r="B1516" t="s">
        <v>340</v>
      </c>
      <c r="C1516" t="s">
        <v>86</v>
      </c>
      <c r="D1516" t="s">
        <v>12</v>
      </c>
      <c r="E1516" t="s">
        <v>506</v>
      </c>
      <c r="F1516" t="s">
        <v>80</v>
      </c>
      <c r="G1516" t="s">
        <v>369</v>
      </c>
      <c r="H1516" t="s">
        <v>4</v>
      </c>
      <c r="I1516" t="s">
        <v>464</v>
      </c>
      <c r="J1516" t="s">
        <v>463</v>
      </c>
      <c r="K1516" t="s">
        <v>462</v>
      </c>
      <c r="L1516" t="s">
        <v>3</v>
      </c>
      <c r="M1516" t="s">
        <v>408</v>
      </c>
      <c r="N1516" t="s">
        <v>11</v>
      </c>
      <c r="O1516" t="s">
        <v>11</v>
      </c>
      <c r="P1516" t="s">
        <v>0</v>
      </c>
      <c r="Q1516" t="s">
        <v>408</v>
      </c>
      <c r="R1516" t="s">
        <v>439</v>
      </c>
      <c r="S1516" t="s">
        <v>451</v>
      </c>
      <c r="T1516" t="s">
        <v>11</v>
      </c>
      <c r="U1516" t="s">
        <v>408</v>
      </c>
    </row>
    <row r="1517" spans="1:21" x14ac:dyDescent="0.25">
      <c r="A1517">
        <v>23323557</v>
      </c>
      <c r="B1517" t="s">
        <v>340</v>
      </c>
      <c r="C1517" t="s">
        <v>86</v>
      </c>
      <c r="D1517" t="s">
        <v>79</v>
      </c>
      <c r="E1517" t="s">
        <v>506</v>
      </c>
      <c r="F1517" t="s">
        <v>80</v>
      </c>
      <c r="G1517" t="s">
        <v>369</v>
      </c>
      <c r="H1517" t="s">
        <v>370</v>
      </c>
      <c r="I1517" t="s">
        <v>721</v>
      </c>
      <c r="J1517" t="s">
        <v>455</v>
      </c>
      <c r="K1517" t="s">
        <v>453</v>
      </c>
      <c r="L1517" t="s">
        <v>367</v>
      </c>
      <c r="M1517" t="s">
        <v>408</v>
      </c>
      <c r="N1517" t="s">
        <v>11</v>
      </c>
      <c r="O1517" t="s">
        <v>11</v>
      </c>
      <c r="P1517" t="s">
        <v>0</v>
      </c>
      <c r="Q1517" t="s">
        <v>408</v>
      </c>
      <c r="R1517" t="s">
        <v>439</v>
      </c>
      <c r="S1517" t="s">
        <v>451</v>
      </c>
      <c r="T1517" t="s">
        <v>11</v>
      </c>
      <c r="U1517" t="s">
        <v>408</v>
      </c>
    </row>
    <row r="1518" spans="1:21" x14ac:dyDescent="0.25">
      <c r="A1518">
        <v>23323558</v>
      </c>
      <c r="B1518" t="s">
        <v>340</v>
      </c>
      <c r="C1518" t="s">
        <v>86</v>
      </c>
      <c r="D1518" t="s">
        <v>12</v>
      </c>
      <c r="E1518" t="s">
        <v>506</v>
      </c>
      <c r="F1518" t="s">
        <v>169</v>
      </c>
      <c r="G1518" t="s">
        <v>369</v>
      </c>
      <c r="H1518" t="s">
        <v>4</v>
      </c>
      <c r="I1518" t="s">
        <v>464</v>
      </c>
      <c r="J1518" t="s">
        <v>463</v>
      </c>
      <c r="K1518" t="s">
        <v>462</v>
      </c>
      <c r="L1518" t="s">
        <v>3</v>
      </c>
      <c r="M1518" t="s">
        <v>408</v>
      </c>
      <c r="N1518" t="s">
        <v>11</v>
      </c>
      <c r="O1518" t="s">
        <v>11</v>
      </c>
      <c r="P1518" t="s">
        <v>0</v>
      </c>
      <c r="Q1518" t="s">
        <v>408</v>
      </c>
      <c r="R1518" t="s">
        <v>439</v>
      </c>
      <c r="S1518" t="s">
        <v>451</v>
      </c>
      <c r="T1518" t="s">
        <v>11</v>
      </c>
      <c r="U1518" t="s">
        <v>408</v>
      </c>
    </row>
    <row r="1519" spans="1:21" x14ac:dyDescent="0.25">
      <c r="A1519">
        <v>23323559</v>
      </c>
      <c r="B1519" t="s">
        <v>340</v>
      </c>
      <c r="C1519" t="s">
        <v>86</v>
      </c>
      <c r="D1519" t="s">
        <v>18</v>
      </c>
      <c r="E1519" t="s">
        <v>506</v>
      </c>
      <c r="F1519" t="s">
        <v>169</v>
      </c>
      <c r="G1519" t="s">
        <v>369</v>
      </c>
      <c r="H1519" t="s">
        <v>4</v>
      </c>
      <c r="I1519" t="s">
        <v>464</v>
      </c>
      <c r="J1519" t="s">
        <v>463</v>
      </c>
      <c r="K1519" t="s">
        <v>462</v>
      </c>
      <c r="L1519" t="s">
        <v>3</v>
      </c>
      <c r="M1519" t="s">
        <v>408</v>
      </c>
      <c r="N1519" t="s">
        <v>11</v>
      </c>
      <c r="O1519" t="s">
        <v>11</v>
      </c>
      <c r="P1519" t="s">
        <v>0</v>
      </c>
      <c r="Q1519" t="s">
        <v>408</v>
      </c>
      <c r="R1519" t="s">
        <v>439</v>
      </c>
      <c r="S1519" t="s">
        <v>451</v>
      </c>
      <c r="T1519" t="s">
        <v>11</v>
      </c>
      <c r="U1519" t="s">
        <v>408</v>
      </c>
    </row>
    <row r="1520" spans="1:21" x14ac:dyDescent="0.25">
      <c r="A1520">
        <v>23323561</v>
      </c>
      <c r="B1520" t="s">
        <v>340</v>
      </c>
      <c r="C1520" t="s">
        <v>86</v>
      </c>
      <c r="D1520" t="s">
        <v>79</v>
      </c>
      <c r="E1520" t="s">
        <v>506</v>
      </c>
      <c r="F1520" t="s">
        <v>80</v>
      </c>
      <c r="G1520" t="s">
        <v>369</v>
      </c>
      <c r="H1520" t="s">
        <v>350</v>
      </c>
      <c r="I1520" t="s">
        <v>436</v>
      </c>
      <c r="J1520" t="s">
        <v>566</v>
      </c>
      <c r="K1520" t="s">
        <v>701</v>
      </c>
      <c r="L1520" t="s">
        <v>3</v>
      </c>
      <c r="M1520" t="s">
        <v>408</v>
      </c>
      <c r="N1520" t="s">
        <v>11</v>
      </c>
      <c r="O1520" t="s">
        <v>11</v>
      </c>
      <c r="P1520" t="s">
        <v>0</v>
      </c>
      <c r="Q1520" t="s">
        <v>408</v>
      </c>
      <c r="R1520" t="s">
        <v>439</v>
      </c>
      <c r="S1520" t="s">
        <v>440</v>
      </c>
      <c r="T1520" t="s">
        <v>11</v>
      </c>
      <c r="U1520" t="s">
        <v>408</v>
      </c>
    </row>
    <row r="1521" spans="1:21" x14ac:dyDescent="0.25">
      <c r="A1521">
        <v>23323562</v>
      </c>
      <c r="B1521" t="s">
        <v>340</v>
      </c>
      <c r="C1521" t="s">
        <v>86</v>
      </c>
      <c r="D1521" t="s">
        <v>12</v>
      </c>
      <c r="E1521" t="s">
        <v>506</v>
      </c>
      <c r="F1521" t="s">
        <v>80</v>
      </c>
      <c r="G1521" t="s">
        <v>369</v>
      </c>
      <c r="H1521" t="s">
        <v>4</v>
      </c>
      <c r="I1521" t="s">
        <v>464</v>
      </c>
      <c r="J1521" t="s">
        <v>463</v>
      </c>
      <c r="K1521" t="s">
        <v>462</v>
      </c>
      <c r="L1521" t="s">
        <v>3</v>
      </c>
      <c r="M1521" t="s">
        <v>408</v>
      </c>
      <c r="N1521" t="s">
        <v>11</v>
      </c>
      <c r="O1521" t="s">
        <v>11</v>
      </c>
      <c r="P1521" t="s">
        <v>0</v>
      </c>
      <c r="Q1521" t="s">
        <v>408</v>
      </c>
      <c r="R1521" t="s">
        <v>439</v>
      </c>
      <c r="S1521" t="s">
        <v>451</v>
      </c>
      <c r="T1521" t="s">
        <v>11</v>
      </c>
      <c r="U1521" t="s">
        <v>408</v>
      </c>
    </row>
    <row r="1522" spans="1:21" x14ac:dyDescent="0.25">
      <c r="A1522">
        <v>23323563</v>
      </c>
      <c r="B1522" t="s">
        <v>340</v>
      </c>
      <c r="C1522" t="s">
        <v>86</v>
      </c>
      <c r="D1522" t="s">
        <v>12</v>
      </c>
      <c r="E1522" t="s">
        <v>506</v>
      </c>
      <c r="F1522" t="s">
        <v>169</v>
      </c>
      <c r="G1522" t="s">
        <v>369</v>
      </c>
      <c r="H1522" t="s">
        <v>4</v>
      </c>
      <c r="I1522" t="s">
        <v>464</v>
      </c>
      <c r="J1522" t="s">
        <v>463</v>
      </c>
      <c r="K1522" t="s">
        <v>462</v>
      </c>
      <c r="L1522" t="s">
        <v>3</v>
      </c>
      <c r="M1522" t="s">
        <v>408</v>
      </c>
      <c r="N1522" t="s">
        <v>11</v>
      </c>
      <c r="O1522" t="s">
        <v>11</v>
      </c>
      <c r="P1522" t="s">
        <v>0</v>
      </c>
      <c r="Q1522" t="s">
        <v>408</v>
      </c>
      <c r="R1522" t="s">
        <v>439</v>
      </c>
      <c r="S1522" t="s">
        <v>451</v>
      </c>
      <c r="T1522" t="s">
        <v>11</v>
      </c>
      <c r="U1522" t="s">
        <v>408</v>
      </c>
    </row>
    <row r="1523" spans="1:21" x14ac:dyDescent="0.25">
      <c r="A1523">
        <v>23323564</v>
      </c>
      <c r="B1523" t="s">
        <v>340</v>
      </c>
      <c r="C1523" t="s">
        <v>86</v>
      </c>
      <c r="D1523" t="s">
        <v>12</v>
      </c>
      <c r="E1523" t="s">
        <v>506</v>
      </c>
      <c r="F1523" t="s">
        <v>169</v>
      </c>
      <c r="G1523" t="s">
        <v>369</v>
      </c>
      <c r="H1523" t="s">
        <v>4</v>
      </c>
      <c r="I1523" t="s">
        <v>464</v>
      </c>
      <c r="J1523" t="s">
        <v>463</v>
      </c>
      <c r="K1523" t="s">
        <v>462</v>
      </c>
      <c r="L1523" t="s">
        <v>3</v>
      </c>
      <c r="M1523" t="s">
        <v>408</v>
      </c>
      <c r="N1523" t="s">
        <v>11</v>
      </c>
      <c r="O1523" t="s">
        <v>11</v>
      </c>
      <c r="P1523" t="s">
        <v>0</v>
      </c>
      <c r="Q1523" t="s">
        <v>408</v>
      </c>
      <c r="R1523" t="s">
        <v>439</v>
      </c>
      <c r="S1523" t="s">
        <v>451</v>
      </c>
      <c r="T1523" t="s">
        <v>11</v>
      </c>
      <c r="U1523" t="s">
        <v>408</v>
      </c>
    </row>
    <row r="1524" spans="1:21" x14ac:dyDescent="0.25">
      <c r="A1524">
        <v>23323566</v>
      </c>
      <c r="B1524" t="s">
        <v>340</v>
      </c>
      <c r="C1524" t="s">
        <v>86</v>
      </c>
      <c r="D1524" t="s">
        <v>12</v>
      </c>
      <c r="E1524" t="s">
        <v>506</v>
      </c>
      <c r="F1524" t="s">
        <v>169</v>
      </c>
      <c r="G1524" t="s">
        <v>369</v>
      </c>
      <c r="H1524" t="s">
        <v>4</v>
      </c>
      <c r="I1524" t="s">
        <v>464</v>
      </c>
      <c r="J1524" t="s">
        <v>463</v>
      </c>
      <c r="K1524" t="s">
        <v>462</v>
      </c>
      <c r="L1524" t="s">
        <v>3</v>
      </c>
      <c r="M1524" t="s">
        <v>408</v>
      </c>
      <c r="N1524" t="s">
        <v>11</v>
      </c>
      <c r="O1524" t="s">
        <v>11</v>
      </c>
      <c r="P1524" t="s">
        <v>0</v>
      </c>
      <c r="Q1524" t="s">
        <v>408</v>
      </c>
      <c r="R1524" t="s">
        <v>439</v>
      </c>
      <c r="S1524" t="s">
        <v>451</v>
      </c>
      <c r="T1524" t="s">
        <v>11</v>
      </c>
      <c r="U1524" t="s">
        <v>408</v>
      </c>
    </row>
    <row r="1525" spans="1:21" x14ac:dyDescent="0.25">
      <c r="A1525">
        <v>23323572</v>
      </c>
      <c r="B1525" t="s">
        <v>340</v>
      </c>
      <c r="C1525" t="s">
        <v>86</v>
      </c>
      <c r="D1525" t="s">
        <v>12</v>
      </c>
      <c r="E1525" t="s">
        <v>626</v>
      </c>
      <c r="F1525" t="s">
        <v>17</v>
      </c>
      <c r="G1525" t="s">
        <v>369</v>
      </c>
      <c r="H1525" t="s">
        <v>4</v>
      </c>
      <c r="I1525" t="s">
        <v>464</v>
      </c>
      <c r="J1525" t="s">
        <v>463</v>
      </c>
      <c r="K1525" t="s">
        <v>462</v>
      </c>
      <c r="L1525" t="s">
        <v>3</v>
      </c>
      <c r="M1525" t="s">
        <v>408</v>
      </c>
      <c r="N1525" t="s">
        <v>11</v>
      </c>
      <c r="O1525" t="s">
        <v>11</v>
      </c>
      <c r="P1525" t="s">
        <v>2</v>
      </c>
      <c r="Q1525" t="s">
        <v>408</v>
      </c>
      <c r="R1525" t="s">
        <v>439</v>
      </c>
      <c r="S1525" t="s">
        <v>451</v>
      </c>
      <c r="T1525" t="s">
        <v>11</v>
      </c>
      <c r="U1525" t="s">
        <v>408</v>
      </c>
    </row>
    <row r="1526" spans="1:21" x14ac:dyDescent="0.25">
      <c r="A1526">
        <v>23323574</v>
      </c>
      <c r="B1526" t="s">
        <v>340</v>
      </c>
      <c r="C1526" t="s">
        <v>86</v>
      </c>
      <c r="D1526" t="s">
        <v>12</v>
      </c>
      <c r="E1526" t="s">
        <v>506</v>
      </c>
      <c r="F1526" t="s">
        <v>80</v>
      </c>
      <c r="G1526" t="s">
        <v>369</v>
      </c>
      <c r="H1526" t="s">
        <v>4</v>
      </c>
      <c r="I1526" t="s">
        <v>464</v>
      </c>
      <c r="J1526" t="s">
        <v>463</v>
      </c>
      <c r="K1526" t="s">
        <v>462</v>
      </c>
      <c r="L1526" t="s">
        <v>3</v>
      </c>
      <c r="M1526" t="s">
        <v>408</v>
      </c>
      <c r="N1526" t="s">
        <v>11</v>
      </c>
      <c r="O1526" t="s">
        <v>11</v>
      </c>
      <c r="P1526" t="s">
        <v>2</v>
      </c>
      <c r="Q1526" t="s">
        <v>408</v>
      </c>
      <c r="R1526" t="s">
        <v>439</v>
      </c>
      <c r="S1526" t="s">
        <v>451</v>
      </c>
      <c r="T1526" t="s">
        <v>11</v>
      </c>
      <c r="U1526" t="s">
        <v>408</v>
      </c>
    </row>
    <row r="1527" spans="1:21" x14ac:dyDescent="0.25">
      <c r="A1527">
        <v>23323575</v>
      </c>
      <c r="B1527" t="s">
        <v>340</v>
      </c>
      <c r="C1527" t="s">
        <v>86</v>
      </c>
      <c r="D1527" t="s">
        <v>12</v>
      </c>
      <c r="E1527" t="s">
        <v>626</v>
      </c>
      <c r="F1527" t="s">
        <v>23</v>
      </c>
      <c r="G1527" t="s">
        <v>369</v>
      </c>
      <c r="H1527" t="s">
        <v>4</v>
      </c>
      <c r="I1527" t="s">
        <v>464</v>
      </c>
      <c r="J1527" t="s">
        <v>463</v>
      </c>
      <c r="K1527" t="s">
        <v>462</v>
      </c>
      <c r="L1527" t="s">
        <v>3</v>
      </c>
      <c r="M1527" t="s">
        <v>408</v>
      </c>
      <c r="N1527" t="s">
        <v>11</v>
      </c>
      <c r="O1527" t="s">
        <v>11</v>
      </c>
      <c r="P1527" t="s">
        <v>2</v>
      </c>
      <c r="Q1527" t="s">
        <v>408</v>
      </c>
      <c r="R1527" t="s">
        <v>439</v>
      </c>
      <c r="S1527" t="s">
        <v>451</v>
      </c>
      <c r="T1527" t="s">
        <v>11</v>
      </c>
      <c r="U1527" t="s">
        <v>408</v>
      </c>
    </row>
    <row r="1528" spans="1:21" x14ac:dyDescent="0.25">
      <c r="A1528">
        <v>23323576</v>
      </c>
      <c r="B1528" t="s">
        <v>340</v>
      </c>
      <c r="C1528" t="s">
        <v>86</v>
      </c>
      <c r="D1528" t="s">
        <v>18</v>
      </c>
      <c r="E1528" t="s">
        <v>626</v>
      </c>
      <c r="F1528" t="s">
        <v>17</v>
      </c>
      <c r="G1528" t="s">
        <v>369</v>
      </c>
      <c r="H1528" t="s">
        <v>2</v>
      </c>
      <c r="I1528" t="s">
        <v>436</v>
      </c>
      <c r="J1528" t="s">
        <v>443</v>
      </c>
      <c r="K1528" t="s">
        <v>444</v>
      </c>
      <c r="L1528" t="s">
        <v>345</v>
      </c>
      <c r="M1528" t="s">
        <v>408</v>
      </c>
      <c r="N1528" t="s">
        <v>11</v>
      </c>
      <c r="O1528" t="s">
        <v>11</v>
      </c>
      <c r="P1528" t="s">
        <v>2</v>
      </c>
      <c r="Q1528" t="s">
        <v>408</v>
      </c>
      <c r="R1528" t="s">
        <v>439</v>
      </c>
      <c r="S1528" t="s">
        <v>440</v>
      </c>
      <c r="T1528" t="s">
        <v>11</v>
      </c>
      <c r="U1528" t="s">
        <v>408</v>
      </c>
    </row>
    <row r="1529" spans="1:21" x14ac:dyDescent="0.25">
      <c r="A1529">
        <v>23323577</v>
      </c>
      <c r="B1529" t="s">
        <v>340</v>
      </c>
      <c r="C1529" t="s">
        <v>86</v>
      </c>
      <c r="D1529" t="s">
        <v>12</v>
      </c>
      <c r="E1529" t="s">
        <v>627</v>
      </c>
      <c r="F1529" t="s">
        <v>16</v>
      </c>
      <c r="G1529" t="s">
        <v>369</v>
      </c>
      <c r="H1529" t="s">
        <v>4</v>
      </c>
      <c r="I1529" t="s">
        <v>464</v>
      </c>
      <c r="J1529" t="s">
        <v>463</v>
      </c>
      <c r="K1529" t="s">
        <v>462</v>
      </c>
      <c r="L1529" t="s">
        <v>3</v>
      </c>
      <c r="M1529" t="s">
        <v>408</v>
      </c>
      <c r="N1529" t="s">
        <v>11</v>
      </c>
      <c r="O1529" t="s">
        <v>11</v>
      </c>
      <c r="P1529" t="s">
        <v>2</v>
      </c>
      <c r="Q1529" t="s">
        <v>408</v>
      </c>
      <c r="R1529" t="s">
        <v>439</v>
      </c>
      <c r="S1529" t="s">
        <v>451</v>
      </c>
      <c r="T1529" t="s">
        <v>11</v>
      </c>
      <c r="U1529" t="s">
        <v>408</v>
      </c>
    </row>
    <row r="1530" spans="1:21" x14ac:dyDescent="0.25">
      <c r="A1530">
        <v>23323584</v>
      </c>
      <c r="B1530" t="s">
        <v>340</v>
      </c>
      <c r="C1530" t="s">
        <v>86</v>
      </c>
      <c r="D1530" t="s">
        <v>12</v>
      </c>
      <c r="E1530" t="s">
        <v>626</v>
      </c>
      <c r="F1530" t="s">
        <v>17</v>
      </c>
      <c r="G1530" t="s">
        <v>369</v>
      </c>
      <c r="H1530" t="s">
        <v>4</v>
      </c>
      <c r="I1530" t="s">
        <v>464</v>
      </c>
      <c r="J1530" t="s">
        <v>463</v>
      </c>
      <c r="K1530" t="s">
        <v>462</v>
      </c>
      <c r="L1530" t="s">
        <v>3</v>
      </c>
      <c r="M1530" t="s">
        <v>408</v>
      </c>
      <c r="N1530" t="s">
        <v>11</v>
      </c>
      <c r="O1530" t="s">
        <v>11</v>
      </c>
      <c r="P1530" t="s">
        <v>2</v>
      </c>
      <c r="Q1530" t="s">
        <v>408</v>
      </c>
      <c r="R1530" t="s">
        <v>439</v>
      </c>
      <c r="S1530" t="s">
        <v>451</v>
      </c>
      <c r="T1530" t="s">
        <v>11</v>
      </c>
      <c r="U1530" t="s">
        <v>408</v>
      </c>
    </row>
    <row r="1531" spans="1:21" x14ac:dyDescent="0.25">
      <c r="A1531">
        <v>23323585</v>
      </c>
      <c r="B1531" t="s">
        <v>340</v>
      </c>
      <c r="C1531" t="s">
        <v>86</v>
      </c>
      <c r="D1531" t="s">
        <v>12</v>
      </c>
      <c r="E1531" t="s">
        <v>626</v>
      </c>
      <c r="F1531" t="s">
        <v>23</v>
      </c>
      <c r="G1531" t="s">
        <v>369</v>
      </c>
      <c r="H1531" t="s">
        <v>4</v>
      </c>
      <c r="I1531" t="s">
        <v>464</v>
      </c>
      <c r="J1531" t="s">
        <v>463</v>
      </c>
      <c r="K1531" t="s">
        <v>462</v>
      </c>
      <c r="L1531" t="s">
        <v>3</v>
      </c>
      <c r="M1531" t="s">
        <v>408</v>
      </c>
      <c r="N1531" t="s">
        <v>11</v>
      </c>
      <c r="O1531" t="s">
        <v>11</v>
      </c>
      <c r="P1531" t="s">
        <v>2</v>
      </c>
      <c r="Q1531" t="s">
        <v>408</v>
      </c>
      <c r="R1531" t="s">
        <v>439</v>
      </c>
      <c r="S1531" t="s">
        <v>451</v>
      </c>
      <c r="T1531" t="s">
        <v>11</v>
      </c>
      <c r="U1531" t="s">
        <v>408</v>
      </c>
    </row>
    <row r="1532" spans="1:21" x14ac:dyDescent="0.25">
      <c r="A1532">
        <v>23323589</v>
      </c>
      <c r="B1532" t="s">
        <v>340</v>
      </c>
      <c r="C1532" t="s">
        <v>86</v>
      </c>
      <c r="D1532" t="s">
        <v>18</v>
      </c>
      <c r="E1532" t="s">
        <v>627</v>
      </c>
      <c r="F1532" t="s">
        <v>22</v>
      </c>
      <c r="G1532" t="s">
        <v>369</v>
      </c>
      <c r="H1532" t="s">
        <v>4</v>
      </c>
      <c r="I1532" t="s">
        <v>464</v>
      </c>
      <c r="J1532" t="s">
        <v>463</v>
      </c>
      <c r="K1532" t="s">
        <v>462</v>
      </c>
      <c r="L1532" t="s">
        <v>3</v>
      </c>
      <c r="M1532" t="s">
        <v>408</v>
      </c>
      <c r="N1532" t="s">
        <v>11</v>
      </c>
      <c r="O1532" t="s">
        <v>11</v>
      </c>
      <c r="P1532" t="s">
        <v>2</v>
      </c>
      <c r="Q1532" t="s">
        <v>408</v>
      </c>
      <c r="R1532" t="s">
        <v>439</v>
      </c>
      <c r="S1532" t="s">
        <v>451</v>
      </c>
      <c r="T1532" t="s">
        <v>11</v>
      </c>
      <c r="U1532" t="s">
        <v>408</v>
      </c>
    </row>
    <row r="1533" spans="1:21" x14ac:dyDescent="0.25">
      <c r="A1533">
        <v>23323590</v>
      </c>
      <c r="B1533" t="s">
        <v>340</v>
      </c>
      <c r="C1533" t="s">
        <v>86</v>
      </c>
      <c r="D1533" t="s">
        <v>12</v>
      </c>
      <c r="E1533" t="s">
        <v>627</v>
      </c>
      <c r="F1533" t="s">
        <v>22</v>
      </c>
      <c r="G1533" t="s">
        <v>369</v>
      </c>
      <c r="H1533" t="s">
        <v>4</v>
      </c>
      <c r="I1533" t="s">
        <v>464</v>
      </c>
      <c r="J1533" t="s">
        <v>463</v>
      </c>
      <c r="K1533" t="s">
        <v>462</v>
      </c>
      <c r="L1533" t="s">
        <v>3</v>
      </c>
      <c r="M1533" t="s">
        <v>408</v>
      </c>
      <c r="N1533" t="s">
        <v>11</v>
      </c>
      <c r="O1533" t="s">
        <v>11</v>
      </c>
      <c r="P1533" t="s">
        <v>2</v>
      </c>
      <c r="Q1533" t="s">
        <v>408</v>
      </c>
      <c r="R1533" t="s">
        <v>439</v>
      </c>
      <c r="S1533" t="s">
        <v>451</v>
      </c>
      <c r="T1533" t="s">
        <v>11</v>
      </c>
      <c r="U1533" t="s">
        <v>408</v>
      </c>
    </row>
    <row r="1534" spans="1:21" x14ac:dyDescent="0.25">
      <c r="A1534">
        <v>23323593</v>
      </c>
      <c r="B1534" t="s">
        <v>340</v>
      </c>
      <c r="C1534" t="s">
        <v>86</v>
      </c>
      <c r="D1534" t="s">
        <v>12</v>
      </c>
      <c r="E1534" t="s">
        <v>505</v>
      </c>
      <c r="F1534" t="s">
        <v>378</v>
      </c>
      <c r="G1534" t="s">
        <v>369</v>
      </c>
      <c r="H1534" t="s">
        <v>4</v>
      </c>
      <c r="I1534" t="s">
        <v>464</v>
      </c>
      <c r="J1534" t="s">
        <v>463</v>
      </c>
      <c r="K1534" t="s">
        <v>462</v>
      </c>
      <c r="L1534" t="s">
        <v>3</v>
      </c>
      <c r="M1534" t="s">
        <v>408</v>
      </c>
      <c r="N1534" t="s">
        <v>11</v>
      </c>
      <c r="O1534" t="s">
        <v>11</v>
      </c>
      <c r="P1534" t="s">
        <v>0</v>
      </c>
      <c r="Q1534" t="s">
        <v>408</v>
      </c>
      <c r="R1534" t="s">
        <v>439</v>
      </c>
      <c r="S1534" t="s">
        <v>451</v>
      </c>
      <c r="T1534" t="s">
        <v>11</v>
      </c>
      <c r="U1534" t="s">
        <v>408</v>
      </c>
    </row>
    <row r="1535" spans="1:21" x14ac:dyDescent="0.25">
      <c r="A1535">
        <v>23323597</v>
      </c>
      <c r="B1535" t="s">
        <v>342</v>
      </c>
      <c r="C1535" t="s">
        <v>89</v>
      </c>
      <c r="D1535" t="s">
        <v>12</v>
      </c>
      <c r="E1535" t="s">
        <v>506</v>
      </c>
      <c r="F1535" t="s">
        <v>374</v>
      </c>
      <c r="G1535" t="s">
        <v>369</v>
      </c>
      <c r="H1535" t="s">
        <v>4</v>
      </c>
      <c r="I1535" t="s">
        <v>464</v>
      </c>
      <c r="J1535" t="s">
        <v>463</v>
      </c>
      <c r="K1535" t="s">
        <v>462</v>
      </c>
      <c r="L1535" t="s">
        <v>3</v>
      </c>
      <c r="M1535" t="s">
        <v>408</v>
      </c>
      <c r="N1535" t="s">
        <v>11</v>
      </c>
      <c r="O1535" t="s">
        <v>11</v>
      </c>
      <c r="P1535" t="s">
        <v>0</v>
      </c>
      <c r="Q1535" t="s">
        <v>408</v>
      </c>
      <c r="R1535" t="s">
        <v>439</v>
      </c>
      <c r="S1535" t="s">
        <v>451</v>
      </c>
      <c r="T1535" t="s">
        <v>11</v>
      </c>
      <c r="U1535" t="s">
        <v>408</v>
      </c>
    </row>
    <row r="1536" spans="1:21" x14ac:dyDescent="0.25">
      <c r="A1536">
        <v>23323598</v>
      </c>
      <c r="B1536" t="s">
        <v>340</v>
      </c>
      <c r="C1536" t="s">
        <v>86</v>
      </c>
      <c r="D1536" t="s">
        <v>12</v>
      </c>
      <c r="E1536" t="s">
        <v>506</v>
      </c>
      <c r="F1536" t="s">
        <v>374</v>
      </c>
      <c r="G1536" t="s">
        <v>369</v>
      </c>
      <c r="H1536" t="s">
        <v>4</v>
      </c>
      <c r="I1536" t="s">
        <v>464</v>
      </c>
      <c r="J1536" t="s">
        <v>463</v>
      </c>
      <c r="K1536" t="s">
        <v>462</v>
      </c>
      <c r="L1536" t="s">
        <v>3</v>
      </c>
      <c r="M1536" t="s">
        <v>408</v>
      </c>
      <c r="N1536" t="s">
        <v>11</v>
      </c>
      <c r="O1536" t="s">
        <v>11</v>
      </c>
      <c r="P1536" t="s">
        <v>0</v>
      </c>
      <c r="Q1536" t="s">
        <v>408</v>
      </c>
      <c r="R1536" t="s">
        <v>439</v>
      </c>
      <c r="S1536" t="s">
        <v>451</v>
      </c>
      <c r="T1536" t="s">
        <v>11</v>
      </c>
      <c r="U1536" t="s">
        <v>408</v>
      </c>
    </row>
    <row r="1537" spans="1:21" x14ac:dyDescent="0.25">
      <c r="A1537">
        <v>23323599</v>
      </c>
      <c r="B1537" t="s">
        <v>340</v>
      </c>
      <c r="C1537" t="s">
        <v>86</v>
      </c>
      <c r="D1537" t="s">
        <v>12</v>
      </c>
      <c r="E1537" t="s">
        <v>506</v>
      </c>
      <c r="F1537" t="s">
        <v>374</v>
      </c>
      <c r="G1537" t="s">
        <v>369</v>
      </c>
      <c r="H1537" t="s">
        <v>4</v>
      </c>
      <c r="I1537" t="s">
        <v>464</v>
      </c>
      <c r="J1537" t="s">
        <v>463</v>
      </c>
      <c r="K1537" t="s">
        <v>462</v>
      </c>
      <c r="L1537" t="s">
        <v>3</v>
      </c>
      <c r="M1537" t="s">
        <v>408</v>
      </c>
      <c r="N1537" t="s">
        <v>11</v>
      </c>
      <c r="O1537" t="s">
        <v>11</v>
      </c>
      <c r="P1537" t="s">
        <v>0</v>
      </c>
      <c r="Q1537" t="s">
        <v>408</v>
      </c>
      <c r="R1537" t="s">
        <v>439</v>
      </c>
      <c r="S1537" t="s">
        <v>451</v>
      </c>
      <c r="T1537" t="s">
        <v>11</v>
      </c>
      <c r="U1537" t="s">
        <v>408</v>
      </c>
    </row>
    <row r="1538" spans="1:21" x14ac:dyDescent="0.25">
      <c r="A1538">
        <v>23323602</v>
      </c>
      <c r="B1538" t="s">
        <v>340</v>
      </c>
      <c r="C1538" t="s">
        <v>86</v>
      </c>
      <c r="D1538" t="s">
        <v>18</v>
      </c>
      <c r="E1538" t="s">
        <v>626</v>
      </c>
      <c r="F1538" t="s">
        <v>17</v>
      </c>
      <c r="G1538" t="s">
        <v>369</v>
      </c>
      <c r="H1538" t="s">
        <v>4</v>
      </c>
      <c r="I1538" t="s">
        <v>464</v>
      </c>
      <c r="J1538" t="s">
        <v>463</v>
      </c>
      <c r="K1538" t="s">
        <v>462</v>
      </c>
      <c r="L1538" t="s">
        <v>3</v>
      </c>
      <c r="M1538" t="s">
        <v>408</v>
      </c>
      <c r="N1538" t="s">
        <v>11</v>
      </c>
      <c r="O1538" t="s">
        <v>11</v>
      </c>
      <c r="P1538" t="s">
        <v>0</v>
      </c>
      <c r="Q1538" t="s">
        <v>408</v>
      </c>
      <c r="R1538" t="s">
        <v>439</v>
      </c>
      <c r="S1538" t="s">
        <v>451</v>
      </c>
      <c r="T1538" t="s">
        <v>11</v>
      </c>
      <c r="U1538" t="s">
        <v>408</v>
      </c>
    </row>
    <row r="1539" spans="1:21" x14ac:dyDescent="0.25">
      <c r="A1539">
        <v>23323604</v>
      </c>
      <c r="B1539" t="s">
        <v>340</v>
      </c>
      <c r="C1539" t="s">
        <v>86</v>
      </c>
      <c r="D1539" t="s">
        <v>12</v>
      </c>
      <c r="E1539" t="s">
        <v>626</v>
      </c>
      <c r="F1539" t="s">
        <v>17</v>
      </c>
      <c r="G1539" t="s">
        <v>369</v>
      </c>
      <c r="H1539" t="s">
        <v>4</v>
      </c>
      <c r="I1539" t="s">
        <v>464</v>
      </c>
      <c r="J1539" t="s">
        <v>463</v>
      </c>
      <c r="K1539" t="s">
        <v>462</v>
      </c>
      <c r="L1539" t="s">
        <v>3</v>
      </c>
      <c r="M1539" t="s">
        <v>408</v>
      </c>
      <c r="N1539" t="s">
        <v>11</v>
      </c>
      <c r="O1539" t="s">
        <v>11</v>
      </c>
      <c r="P1539" t="s">
        <v>0</v>
      </c>
      <c r="Q1539" t="s">
        <v>408</v>
      </c>
      <c r="R1539" t="s">
        <v>439</v>
      </c>
      <c r="S1539" t="s">
        <v>451</v>
      </c>
      <c r="T1539" t="s">
        <v>11</v>
      </c>
      <c r="U1539" t="s">
        <v>408</v>
      </c>
    </row>
    <row r="1540" spans="1:21" x14ac:dyDescent="0.25">
      <c r="A1540">
        <v>23323606</v>
      </c>
      <c r="B1540" t="s">
        <v>340</v>
      </c>
      <c r="C1540" t="s">
        <v>86</v>
      </c>
      <c r="D1540" t="s">
        <v>12</v>
      </c>
      <c r="E1540" t="s">
        <v>506</v>
      </c>
      <c r="F1540" t="s">
        <v>374</v>
      </c>
      <c r="G1540" t="s">
        <v>369</v>
      </c>
      <c r="H1540" t="s">
        <v>4</v>
      </c>
      <c r="I1540" t="s">
        <v>464</v>
      </c>
      <c r="J1540" t="s">
        <v>463</v>
      </c>
      <c r="K1540" t="s">
        <v>462</v>
      </c>
      <c r="L1540" t="s">
        <v>3</v>
      </c>
      <c r="M1540" t="s">
        <v>408</v>
      </c>
      <c r="N1540" t="s">
        <v>11</v>
      </c>
      <c r="O1540" t="s">
        <v>11</v>
      </c>
      <c r="P1540" t="s">
        <v>0</v>
      </c>
      <c r="Q1540" t="s">
        <v>408</v>
      </c>
      <c r="R1540" t="s">
        <v>439</v>
      </c>
      <c r="S1540" t="s">
        <v>451</v>
      </c>
      <c r="T1540" t="s">
        <v>11</v>
      </c>
      <c r="U1540" t="s">
        <v>408</v>
      </c>
    </row>
    <row r="1541" spans="1:21" x14ac:dyDescent="0.25">
      <c r="A1541">
        <v>23323607</v>
      </c>
      <c r="B1541" t="s">
        <v>340</v>
      </c>
      <c r="C1541" t="s">
        <v>86</v>
      </c>
      <c r="D1541" t="s">
        <v>12</v>
      </c>
      <c r="E1541" t="s">
        <v>506</v>
      </c>
      <c r="F1541" t="s">
        <v>374</v>
      </c>
      <c r="G1541" t="s">
        <v>369</v>
      </c>
      <c r="H1541" t="s">
        <v>4</v>
      </c>
      <c r="I1541" t="s">
        <v>464</v>
      </c>
      <c r="J1541" t="s">
        <v>463</v>
      </c>
      <c r="K1541" t="s">
        <v>462</v>
      </c>
      <c r="L1541" t="s">
        <v>3</v>
      </c>
      <c r="M1541" t="s">
        <v>408</v>
      </c>
      <c r="N1541" t="s">
        <v>11</v>
      </c>
      <c r="O1541" t="s">
        <v>11</v>
      </c>
      <c r="P1541" t="s">
        <v>0</v>
      </c>
      <c r="Q1541" t="s">
        <v>408</v>
      </c>
      <c r="R1541" t="s">
        <v>439</v>
      </c>
      <c r="S1541" t="s">
        <v>451</v>
      </c>
      <c r="T1541" t="s">
        <v>11</v>
      </c>
      <c r="U1541" t="s">
        <v>408</v>
      </c>
    </row>
    <row r="1542" spans="1:21" x14ac:dyDescent="0.25">
      <c r="A1542">
        <v>23323611</v>
      </c>
      <c r="B1542" t="s">
        <v>340</v>
      </c>
      <c r="C1542" t="s">
        <v>86</v>
      </c>
      <c r="D1542" t="s">
        <v>18</v>
      </c>
      <c r="E1542" t="s">
        <v>506</v>
      </c>
      <c r="F1542" t="s">
        <v>169</v>
      </c>
      <c r="G1542" t="s">
        <v>369</v>
      </c>
      <c r="H1542" t="s">
        <v>4</v>
      </c>
      <c r="I1542" t="s">
        <v>464</v>
      </c>
      <c r="J1542" t="s">
        <v>463</v>
      </c>
      <c r="K1542" t="s">
        <v>462</v>
      </c>
      <c r="L1542" t="s">
        <v>3</v>
      </c>
      <c r="M1542" t="s">
        <v>408</v>
      </c>
      <c r="N1542" t="s">
        <v>11</v>
      </c>
      <c r="O1542" t="s">
        <v>11</v>
      </c>
      <c r="P1542" t="s">
        <v>0</v>
      </c>
      <c r="Q1542" t="s">
        <v>408</v>
      </c>
      <c r="R1542" t="s">
        <v>439</v>
      </c>
      <c r="S1542" t="s">
        <v>451</v>
      </c>
      <c r="T1542" t="s">
        <v>11</v>
      </c>
      <c r="U1542" t="s">
        <v>408</v>
      </c>
    </row>
    <row r="1543" spans="1:21" x14ac:dyDescent="0.25">
      <c r="A1543">
        <v>23323612</v>
      </c>
      <c r="B1543" t="s">
        <v>340</v>
      </c>
      <c r="C1543" t="s">
        <v>26</v>
      </c>
      <c r="D1543" t="s">
        <v>18</v>
      </c>
      <c r="E1543" t="s">
        <v>485</v>
      </c>
      <c r="F1543" t="s">
        <v>178</v>
      </c>
      <c r="G1543" t="s">
        <v>369</v>
      </c>
      <c r="H1543" t="s">
        <v>4</v>
      </c>
      <c r="I1543" t="s">
        <v>464</v>
      </c>
      <c r="J1543" t="s">
        <v>463</v>
      </c>
      <c r="K1543" t="s">
        <v>462</v>
      </c>
      <c r="L1543" t="s">
        <v>3</v>
      </c>
      <c r="M1543" t="s">
        <v>408</v>
      </c>
      <c r="N1543" t="s">
        <v>408</v>
      </c>
      <c r="O1543" t="s">
        <v>11</v>
      </c>
      <c r="P1543" t="s">
        <v>0</v>
      </c>
      <c r="Q1543" t="s">
        <v>408</v>
      </c>
      <c r="R1543" t="s">
        <v>439</v>
      </c>
      <c r="S1543" t="s">
        <v>451</v>
      </c>
      <c r="T1543" t="s">
        <v>408</v>
      </c>
      <c r="U1543" t="s">
        <v>408</v>
      </c>
    </row>
    <row r="1544" spans="1:21" x14ac:dyDescent="0.25">
      <c r="A1544">
        <v>23323614</v>
      </c>
      <c r="B1544" t="s">
        <v>340</v>
      </c>
      <c r="C1544" t="s">
        <v>86</v>
      </c>
      <c r="D1544" t="s">
        <v>12</v>
      </c>
      <c r="E1544" t="s">
        <v>526</v>
      </c>
      <c r="F1544" t="s">
        <v>373</v>
      </c>
      <c r="G1544" t="s">
        <v>369</v>
      </c>
      <c r="H1544" t="s">
        <v>4</v>
      </c>
      <c r="I1544" t="s">
        <v>464</v>
      </c>
      <c r="J1544" t="s">
        <v>463</v>
      </c>
      <c r="K1544" t="s">
        <v>462</v>
      </c>
      <c r="L1544" t="s">
        <v>3</v>
      </c>
      <c r="M1544" t="s">
        <v>408</v>
      </c>
      <c r="N1544" t="s">
        <v>11</v>
      </c>
      <c r="O1544" t="s">
        <v>11</v>
      </c>
      <c r="P1544" t="s">
        <v>0</v>
      </c>
      <c r="Q1544" t="s">
        <v>408</v>
      </c>
      <c r="R1544" t="s">
        <v>439</v>
      </c>
      <c r="S1544" t="s">
        <v>451</v>
      </c>
      <c r="T1544" t="s">
        <v>11</v>
      </c>
      <c r="U1544" t="s">
        <v>408</v>
      </c>
    </row>
    <row r="1545" spans="1:21" x14ac:dyDescent="0.25">
      <c r="A1545">
        <v>23323618</v>
      </c>
      <c r="B1545" t="s">
        <v>340</v>
      </c>
      <c r="C1545" t="s">
        <v>86</v>
      </c>
      <c r="D1545" t="s">
        <v>12</v>
      </c>
      <c r="E1545" t="s">
        <v>526</v>
      </c>
      <c r="F1545" t="s">
        <v>373</v>
      </c>
      <c r="G1545" t="s">
        <v>369</v>
      </c>
      <c r="H1545" t="s">
        <v>4</v>
      </c>
      <c r="I1545" t="s">
        <v>464</v>
      </c>
      <c r="J1545" t="s">
        <v>463</v>
      </c>
      <c r="K1545" t="s">
        <v>462</v>
      </c>
      <c r="L1545" t="s">
        <v>3</v>
      </c>
      <c r="M1545" t="s">
        <v>408</v>
      </c>
      <c r="N1545" t="s">
        <v>11</v>
      </c>
      <c r="O1545" t="s">
        <v>11</v>
      </c>
      <c r="P1545" t="s">
        <v>0</v>
      </c>
      <c r="Q1545" t="s">
        <v>408</v>
      </c>
      <c r="R1545" t="s">
        <v>439</v>
      </c>
      <c r="S1545" t="s">
        <v>451</v>
      </c>
      <c r="T1545" t="s">
        <v>11</v>
      </c>
      <c r="U1545" t="s">
        <v>408</v>
      </c>
    </row>
    <row r="1546" spans="1:21" x14ac:dyDescent="0.25">
      <c r="A1546">
        <v>23323619</v>
      </c>
      <c r="B1546" t="s">
        <v>340</v>
      </c>
      <c r="C1546" t="s">
        <v>86</v>
      </c>
      <c r="D1546" t="s">
        <v>12</v>
      </c>
      <c r="E1546" t="s">
        <v>505</v>
      </c>
      <c r="F1546" t="s">
        <v>378</v>
      </c>
      <c r="G1546" t="s">
        <v>369</v>
      </c>
      <c r="H1546" t="s">
        <v>0</v>
      </c>
      <c r="I1546" t="s">
        <v>436</v>
      </c>
      <c r="J1546" t="s">
        <v>437</v>
      </c>
      <c r="K1546" t="s">
        <v>438</v>
      </c>
      <c r="L1546" t="s">
        <v>345</v>
      </c>
      <c r="M1546" t="s">
        <v>408</v>
      </c>
      <c r="N1546" t="s">
        <v>11</v>
      </c>
      <c r="O1546" t="s">
        <v>11</v>
      </c>
      <c r="P1546" t="s">
        <v>0</v>
      </c>
      <c r="Q1546" t="s">
        <v>408</v>
      </c>
      <c r="R1546" t="s">
        <v>439</v>
      </c>
      <c r="S1546" t="s">
        <v>440</v>
      </c>
      <c r="T1546" t="s">
        <v>11</v>
      </c>
      <c r="U1546" t="s">
        <v>408</v>
      </c>
    </row>
    <row r="1547" spans="1:21" x14ac:dyDescent="0.25">
      <c r="A1547">
        <v>23323622</v>
      </c>
      <c r="B1547" t="s">
        <v>340</v>
      </c>
      <c r="C1547" t="s">
        <v>86</v>
      </c>
      <c r="D1547" t="s">
        <v>18</v>
      </c>
      <c r="E1547" t="s">
        <v>626</v>
      </c>
      <c r="F1547" t="s">
        <v>172</v>
      </c>
      <c r="G1547" t="s">
        <v>369</v>
      </c>
      <c r="H1547" t="s">
        <v>4</v>
      </c>
      <c r="I1547" t="s">
        <v>464</v>
      </c>
      <c r="J1547" t="s">
        <v>463</v>
      </c>
      <c r="K1547" t="s">
        <v>462</v>
      </c>
      <c r="L1547" t="s">
        <v>3</v>
      </c>
      <c r="M1547" t="s">
        <v>408</v>
      </c>
      <c r="N1547" t="s">
        <v>11</v>
      </c>
      <c r="O1547" t="s">
        <v>11</v>
      </c>
      <c r="P1547" t="s">
        <v>2</v>
      </c>
      <c r="Q1547" t="s">
        <v>408</v>
      </c>
      <c r="R1547" t="s">
        <v>439</v>
      </c>
      <c r="S1547" t="s">
        <v>451</v>
      </c>
      <c r="T1547" t="s">
        <v>11</v>
      </c>
      <c r="U1547" t="s">
        <v>408</v>
      </c>
    </row>
    <row r="1548" spans="1:21" x14ac:dyDescent="0.25">
      <c r="A1548">
        <v>23323625</v>
      </c>
      <c r="B1548" t="s">
        <v>340</v>
      </c>
      <c r="C1548" t="s">
        <v>86</v>
      </c>
      <c r="D1548" t="s">
        <v>12</v>
      </c>
      <c r="E1548" t="s">
        <v>626</v>
      </c>
      <c r="F1548" t="s">
        <v>172</v>
      </c>
      <c r="G1548" t="s">
        <v>369</v>
      </c>
      <c r="H1548" t="s">
        <v>4</v>
      </c>
      <c r="I1548" t="s">
        <v>464</v>
      </c>
      <c r="J1548" t="s">
        <v>463</v>
      </c>
      <c r="K1548" t="s">
        <v>462</v>
      </c>
      <c r="L1548" t="s">
        <v>3</v>
      </c>
      <c r="M1548" t="s">
        <v>408</v>
      </c>
      <c r="N1548" t="s">
        <v>11</v>
      </c>
      <c r="O1548" t="s">
        <v>11</v>
      </c>
      <c r="P1548" t="s">
        <v>2</v>
      </c>
      <c r="Q1548" t="s">
        <v>408</v>
      </c>
      <c r="R1548" t="s">
        <v>439</v>
      </c>
      <c r="S1548" t="s">
        <v>451</v>
      </c>
      <c r="T1548" t="s">
        <v>11</v>
      </c>
      <c r="U1548" t="s">
        <v>408</v>
      </c>
    </row>
    <row r="1549" spans="1:21" x14ac:dyDescent="0.25">
      <c r="A1549">
        <v>23323626</v>
      </c>
      <c r="B1549" t="s">
        <v>340</v>
      </c>
      <c r="C1549" t="s">
        <v>86</v>
      </c>
      <c r="D1549" t="s">
        <v>12</v>
      </c>
      <c r="E1549" t="s">
        <v>628</v>
      </c>
      <c r="F1549" t="s">
        <v>25</v>
      </c>
      <c r="G1549" t="s">
        <v>369</v>
      </c>
      <c r="H1549" t="s">
        <v>4</v>
      </c>
      <c r="I1549" t="s">
        <v>464</v>
      </c>
      <c r="J1549" t="s">
        <v>463</v>
      </c>
      <c r="K1549" t="s">
        <v>462</v>
      </c>
      <c r="L1549" t="s">
        <v>3</v>
      </c>
      <c r="M1549" t="s">
        <v>408</v>
      </c>
      <c r="N1549" t="s">
        <v>11</v>
      </c>
      <c r="O1549" t="s">
        <v>11</v>
      </c>
      <c r="P1549" t="s">
        <v>2</v>
      </c>
      <c r="Q1549" t="s">
        <v>408</v>
      </c>
      <c r="R1549" t="s">
        <v>439</v>
      </c>
      <c r="S1549" t="s">
        <v>451</v>
      </c>
      <c r="T1549" t="s">
        <v>11</v>
      </c>
      <c r="U1549" t="s">
        <v>408</v>
      </c>
    </row>
    <row r="1550" spans="1:21" x14ac:dyDescent="0.25">
      <c r="A1550">
        <v>23323627</v>
      </c>
      <c r="B1550" t="s">
        <v>340</v>
      </c>
      <c r="C1550" t="s">
        <v>26</v>
      </c>
      <c r="D1550" t="s">
        <v>12</v>
      </c>
      <c r="E1550" t="s">
        <v>507</v>
      </c>
      <c r="F1550" t="s">
        <v>377</v>
      </c>
      <c r="G1550" t="s">
        <v>369</v>
      </c>
      <c r="H1550" t="s">
        <v>4</v>
      </c>
      <c r="I1550" t="s">
        <v>464</v>
      </c>
      <c r="J1550" t="s">
        <v>463</v>
      </c>
      <c r="K1550" t="s">
        <v>462</v>
      </c>
      <c r="L1550" t="s">
        <v>3</v>
      </c>
      <c r="M1550" t="s">
        <v>408</v>
      </c>
      <c r="N1550" t="s">
        <v>408</v>
      </c>
      <c r="O1550" t="s">
        <v>11</v>
      </c>
      <c r="P1550" t="s">
        <v>0</v>
      </c>
      <c r="Q1550" t="s">
        <v>408</v>
      </c>
      <c r="R1550" t="s">
        <v>439</v>
      </c>
      <c r="S1550" t="s">
        <v>451</v>
      </c>
      <c r="T1550" t="s">
        <v>408</v>
      </c>
      <c r="U1550" t="s">
        <v>408</v>
      </c>
    </row>
    <row r="1551" spans="1:21" x14ac:dyDescent="0.25">
      <c r="A1551">
        <v>23323630</v>
      </c>
      <c r="B1551" t="s">
        <v>340</v>
      </c>
      <c r="C1551" t="s">
        <v>86</v>
      </c>
      <c r="D1551" t="s">
        <v>12</v>
      </c>
      <c r="E1551" t="s">
        <v>482</v>
      </c>
      <c r="F1551" t="s">
        <v>376</v>
      </c>
      <c r="G1551" t="s">
        <v>369</v>
      </c>
      <c r="H1551" t="s">
        <v>4</v>
      </c>
      <c r="I1551" t="s">
        <v>464</v>
      </c>
      <c r="J1551" t="s">
        <v>463</v>
      </c>
      <c r="K1551" t="s">
        <v>462</v>
      </c>
      <c r="L1551" t="s">
        <v>3</v>
      </c>
      <c r="M1551" t="s">
        <v>408</v>
      </c>
      <c r="N1551" t="s">
        <v>11</v>
      </c>
      <c r="O1551" t="s">
        <v>11</v>
      </c>
      <c r="P1551" t="s">
        <v>0</v>
      </c>
      <c r="Q1551" t="s">
        <v>408</v>
      </c>
      <c r="R1551" t="s">
        <v>439</v>
      </c>
      <c r="S1551" t="s">
        <v>451</v>
      </c>
      <c r="T1551" t="s">
        <v>11</v>
      </c>
      <c r="U1551" t="s">
        <v>408</v>
      </c>
    </row>
    <row r="1552" spans="1:21" x14ac:dyDescent="0.25">
      <c r="A1552">
        <v>23323631</v>
      </c>
      <c r="B1552" t="s">
        <v>340</v>
      </c>
      <c r="C1552" t="s">
        <v>86</v>
      </c>
      <c r="D1552" t="s">
        <v>12</v>
      </c>
      <c r="E1552" t="s">
        <v>482</v>
      </c>
      <c r="F1552" t="s">
        <v>376</v>
      </c>
      <c r="G1552" t="s">
        <v>369</v>
      </c>
      <c r="H1552" t="s">
        <v>4</v>
      </c>
      <c r="I1552" t="s">
        <v>464</v>
      </c>
      <c r="J1552" t="s">
        <v>463</v>
      </c>
      <c r="K1552" t="s">
        <v>462</v>
      </c>
      <c r="L1552" t="s">
        <v>3</v>
      </c>
      <c r="M1552" t="s">
        <v>408</v>
      </c>
      <c r="N1552" t="s">
        <v>11</v>
      </c>
      <c r="O1552" t="s">
        <v>11</v>
      </c>
      <c r="P1552" t="s">
        <v>0</v>
      </c>
      <c r="Q1552" t="s">
        <v>408</v>
      </c>
      <c r="R1552" t="s">
        <v>439</v>
      </c>
      <c r="S1552" t="s">
        <v>451</v>
      </c>
      <c r="T1552" t="s">
        <v>11</v>
      </c>
      <c r="U1552" t="s">
        <v>408</v>
      </c>
    </row>
    <row r="1553" spans="1:21" x14ac:dyDescent="0.25">
      <c r="A1553">
        <v>23323636</v>
      </c>
      <c r="B1553" t="s">
        <v>340</v>
      </c>
      <c r="C1553" t="s">
        <v>26</v>
      </c>
      <c r="D1553" t="s">
        <v>12</v>
      </c>
      <c r="E1553" t="s">
        <v>740</v>
      </c>
      <c r="F1553" t="s">
        <v>58</v>
      </c>
      <c r="G1553" t="s">
        <v>369</v>
      </c>
      <c r="H1553" t="s">
        <v>370</v>
      </c>
      <c r="I1553" t="s">
        <v>721</v>
      </c>
      <c r="J1553" t="s">
        <v>455</v>
      </c>
      <c r="K1553" t="s">
        <v>453</v>
      </c>
      <c r="L1553" t="s">
        <v>367</v>
      </c>
      <c r="M1553" t="s">
        <v>408</v>
      </c>
      <c r="N1553" t="s">
        <v>11</v>
      </c>
      <c r="O1553" t="s">
        <v>11</v>
      </c>
      <c r="P1553" t="s">
        <v>8</v>
      </c>
      <c r="Q1553" t="s">
        <v>408</v>
      </c>
      <c r="R1553" t="s">
        <v>439</v>
      </c>
      <c r="S1553" t="s">
        <v>451</v>
      </c>
      <c r="T1553" t="s">
        <v>11</v>
      </c>
      <c r="U1553" t="s">
        <v>408</v>
      </c>
    </row>
    <row r="1554" spans="1:21" x14ac:dyDescent="0.25">
      <c r="A1554">
        <v>23323637</v>
      </c>
      <c r="B1554" t="s">
        <v>340</v>
      </c>
      <c r="C1554" t="s">
        <v>26</v>
      </c>
      <c r="D1554" t="s">
        <v>12</v>
      </c>
      <c r="E1554" t="s">
        <v>512</v>
      </c>
      <c r="F1554" t="s">
        <v>92</v>
      </c>
      <c r="G1554" t="s">
        <v>369</v>
      </c>
      <c r="H1554" t="s">
        <v>370</v>
      </c>
      <c r="I1554" t="s">
        <v>721</v>
      </c>
      <c r="J1554" t="s">
        <v>455</v>
      </c>
      <c r="K1554" t="s">
        <v>453</v>
      </c>
      <c r="L1554" t="s">
        <v>367</v>
      </c>
      <c r="M1554" t="s">
        <v>408</v>
      </c>
      <c r="N1554" t="s">
        <v>408</v>
      </c>
      <c r="O1554" t="s">
        <v>11</v>
      </c>
      <c r="P1554" t="s">
        <v>0</v>
      </c>
      <c r="Q1554" t="s">
        <v>408</v>
      </c>
      <c r="R1554" t="s">
        <v>439</v>
      </c>
      <c r="S1554" t="s">
        <v>451</v>
      </c>
      <c r="T1554" t="s">
        <v>408</v>
      </c>
      <c r="U1554" t="s">
        <v>408</v>
      </c>
    </row>
    <row r="1555" spans="1:21" x14ac:dyDescent="0.25">
      <c r="A1555">
        <v>23323638</v>
      </c>
      <c r="B1555" t="s">
        <v>340</v>
      </c>
      <c r="C1555" t="s">
        <v>26</v>
      </c>
      <c r="D1555" t="s">
        <v>12</v>
      </c>
      <c r="E1555" t="s">
        <v>747</v>
      </c>
      <c r="F1555" t="s">
        <v>192</v>
      </c>
      <c r="G1555" t="s">
        <v>369</v>
      </c>
      <c r="H1555" t="s">
        <v>727</v>
      </c>
      <c r="I1555" t="s">
        <v>728</v>
      </c>
      <c r="J1555" t="s">
        <v>729</v>
      </c>
      <c r="K1555" t="s">
        <v>450</v>
      </c>
      <c r="L1555" t="s">
        <v>367</v>
      </c>
      <c r="M1555" t="s">
        <v>408</v>
      </c>
      <c r="N1555" t="s">
        <v>408</v>
      </c>
      <c r="O1555" t="s">
        <v>11</v>
      </c>
      <c r="P1555" t="s">
        <v>0</v>
      </c>
      <c r="Q1555" t="s">
        <v>408</v>
      </c>
      <c r="R1555" t="s">
        <v>439</v>
      </c>
      <c r="S1555" t="s">
        <v>451</v>
      </c>
      <c r="T1555" t="s">
        <v>408</v>
      </c>
      <c r="U1555" t="s">
        <v>408</v>
      </c>
    </row>
    <row r="1556" spans="1:21" x14ac:dyDescent="0.25">
      <c r="A1556">
        <v>23323639</v>
      </c>
      <c r="B1556" t="s">
        <v>340</v>
      </c>
      <c r="C1556" t="s">
        <v>26</v>
      </c>
      <c r="D1556" t="s">
        <v>12</v>
      </c>
      <c r="E1556" t="s">
        <v>730</v>
      </c>
      <c r="F1556" t="s">
        <v>41</v>
      </c>
      <c r="G1556" t="s">
        <v>369</v>
      </c>
      <c r="H1556" t="s">
        <v>727</v>
      </c>
      <c r="I1556" t="s">
        <v>728</v>
      </c>
      <c r="J1556" t="s">
        <v>729</v>
      </c>
      <c r="K1556" t="s">
        <v>450</v>
      </c>
      <c r="L1556" t="s">
        <v>367</v>
      </c>
      <c r="M1556" t="s">
        <v>408</v>
      </c>
      <c r="N1556" t="s">
        <v>11</v>
      </c>
      <c r="O1556" t="s">
        <v>11</v>
      </c>
      <c r="P1556" t="s">
        <v>2</v>
      </c>
      <c r="Q1556" t="s">
        <v>408</v>
      </c>
      <c r="R1556" t="s">
        <v>439</v>
      </c>
      <c r="S1556" t="s">
        <v>451</v>
      </c>
      <c r="T1556" t="s">
        <v>11</v>
      </c>
      <c r="U1556" t="s">
        <v>408</v>
      </c>
    </row>
    <row r="1557" spans="1:21" x14ac:dyDescent="0.25">
      <c r="A1557">
        <v>23323640</v>
      </c>
      <c r="B1557" t="s">
        <v>340</v>
      </c>
      <c r="C1557" t="s">
        <v>26</v>
      </c>
      <c r="D1557" t="s">
        <v>12</v>
      </c>
      <c r="E1557" t="s">
        <v>739</v>
      </c>
      <c r="F1557" t="s">
        <v>103</v>
      </c>
      <c r="G1557" t="s">
        <v>369</v>
      </c>
      <c r="H1557" t="s">
        <v>0</v>
      </c>
      <c r="I1557" t="s">
        <v>436</v>
      </c>
      <c r="J1557" t="s">
        <v>437</v>
      </c>
      <c r="K1557" t="s">
        <v>438</v>
      </c>
      <c r="L1557" t="s">
        <v>1</v>
      </c>
      <c r="M1557" t="s">
        <v>408</v>
      </c>
      <c r="N1557" t="s">
        <v>408</v>
      </c>
      <c r="O1557" t="s">
        <v>11</v>
      </c>
      <c r="P1557" t="s">
        <v>0</v>
      </c>
      <c r="Q1557" t="s">
        <v>408</v>
      </c>
      <c r="R1557" t="s">
        <v>439</v>
      </c>
      <c r="S1557" t="s">
        <v>440</v>
      </c>
      <c r="T1557" t="s">
        <v>408</v>
      </c>
      <c r="U1557" t="s">
        <v>408</v>
      </c>
    </row>
    <row r="1558" spans="1:21" x14ac:dyDescent="0.25">
      <c r="A1558">
        <v>23323641</v>
      </c>
      <c r="B1558" t="s">
        <v>340</v>
      </c>
      <c r="C1558" t="s">
        <v>26</v>
      </c>
      <c r="D1558" t="s">
        <v>12</v>
      </c>
      <c r="E1558" t="s">
        <v>730</v>
      </c>
      <c r="F1558" t="s">
        <v>41</v>
      </c>
      <c r="G1558" t="s">
        <v>369</v>
      </c>
      <c r="H1558" t="s">
        <v>370</v>
      </c>
      <c r="I1558" t="s">
        <v>721</v>
      </c>
      <c r="J1558" t="s">
        <v>455</v>
      </c>
      <c r="K1558" t="s">
        <v>453</v>
      </c>
      <c r="L1558" t="s">
        <v>367</v>
      </c>
      <c r="M1558" t="s">
        <v>408</v>
      </c>
      <c r="N1558" t="s">
        <v>11</v>
      </c>
      <c r="O1558" t="s">
        <v>11</v>
      </c>
      <c r="P1558" t="s">
        <v>347</v>
      </c>
      <c r="Q1558" t="s">
        <v>408</v>
      </c>
      <c r="R1558" t="s">
        <v>439</v>
      </c>
      <c r="S1558" t="s">
        <v>451</v>
      </c>
      <c r="T1558" t="s">
        <v>11</v>
      </c>
      <c r="U1558" t="s">
        <v>408</v>
      </c>
    </row>
    <row r="1559" spans="1:21" x14ac:dyDescent="0.25">
      <c r="A1559">
        <v>23323642</v>
      </c>
      <c r="B1559" t="s">
        <v>340</v>
      </c>
      <c r="C1559" t="s">
        <v>26</v>
      </c>
      <c r="D1559" t="s">
        <v>12</v>
      </c>
      <c r="E1559" t="s">
        <v>708</v>
      </c>
      <c r="F1559" t="s">
        <v>31</v>
      </c>
      <c r="G1559" t="s">
        <v>369</v>
      </c>
      <c r="H1559" t="s">
        <v>1</v>
      </c>
      <c r="I1559" t="s">
        <v>469</v>
      </c>
      <c r="J1559" t="s">
        <v>445</v>
      </c>
      <c r="K1559" t="s">
        <v>438</v>
      </c>
      <c r="L1559" t="s">
        <v>2</v>
      </c>
      <c r="M1559" t="s">
        <v>408</v>
      </c>
      <c r="N1559" t="s">
        <v>11</v>
      </c>
      <c r="O1559" t="s">
        <v>11</v>
      </c>
      <c r="P1559" t="s">
        <v>2</v>
      </c>
      <c r="Q1559" t="s">
        <v>408</v>
      </c>
      <c r="R1559" t="s">
        <v>439</v>
      </c>
      <c r="S1559" t="s">
        <v>440</v>
      </c>
      <c r="T1559" t="s">
        <v>11</v>
      </c>
      <c r="U1559" t="s">
        <v>408</v>
      </c>
    </row>
    <row r="1560" spans="1:21" x14ac:dyDescent="0.25">
      <c r="A1560">
        <v>23323643</v>
      </c>
      <c r="B1560" t="s">
        <v>340</v>
      </c>
      <c r="C1560" t="s">
        <v>26</v>
      </c>
      <c r="D1560" t="s">
        <v>12</v>
      </c>
      <c r="E1560" t="s">
        <v>734</v>
      </c>
      <c r="F1560" t="s">
        <v>45</v>
      </c>
      <c r="G1560" t="s">
        <v>369</v>
      </c>
      <c r="H1560" t="s">
        <v>5</v>
      </c>
      <c r="I1560" t="s">
        <v>436</v>
      </c>
      <c r="J1560" t="s">
        <v>446</v>
      </c>
      <c r="K1560" t="s">
        <v>438</v>
      </c>
      <c r="L1560" t="s">
        <v>2</v>
      </c>
      <c r="M1560" t="s">
        <v>408</v>
      </c>
      <c r="N1560" t="s">
        <v>11</v>
      </c>
      <c r="O1560" t="s">
        <v>11</v>
      </c>
      <c r="P1560" t="s">
        <v>2</v>
      </c>
      <c r="Q1560" t="s">
        <v>408</v>
      </c>
      <c r="R1560" t="s">
        <v>439</v>
      </c>
      <c r="S1560" t="s">
        <v>440</v>
      </c>
      <c r="T1560" t="s">
        <v>11</v>
      </c>
      <c r="U1560" t="s">
        <v>408</v>
      </c>
    </row>
    <row r="1561" spans="1:21" x14ac:dyDescent="0.25">
      <c r="A1561">
        <v>23323644</v>
      </c>
      <c r="B1561" t="s">
        <v>340</v>
      </c>
      <c r="C1561" t="s">
        <v>26</v>
      </c>
      <c r="D1561" t="s">
        <v>12</v>
      </c>
      <c r="E1561" t="s">
        <v>730</v>
      </c>
      <c r="F1561" t="s">
        <v>41</v>
      </c>
      <c r="G1561" t="s">
        <v>369</v>
      </c>
      <c r="H1561" t="s">
        <v>1</v>
      </c>
      <c r="I1561" t="s">
        <v>469</v>
      </c>
      <c r="J1561" t="s">
        <v>445</v>
      </c>
      <c r="K1561" t="s">
        <v>438</v>
      </c>
      <c r="L1561" t="s">
        <v>2</v>
      </c>
      <c r="M1561" t="s">
        <v>408</v>
      </c>
      <c r="N1561" t="s">
        <v>11</v>
      </c>
      <c r="O1561" t="s">
        <v>11</v>
      </c>
      <c r="P1561" t="s">
        <v>2</v>
      </c>
      <c r="Q1561" t="s">
        <v>408</v>
      </c>
      <c r="R1561" t="s">
        <v>439</v>
      </c>
      <c r="S1561" t="s">
        <v>440</v>
      </c>
      <c r="T1561" t="s">
        <v>11</v>
      </c>
      <c r="U1561" t="s">
        <v>408</v>
      </c>
    </row>
    <row r="1562" spans="1:21" x14ac:dyDescent="0.25">
      <c r="A1562">
        <v>23323645</v>
      </c>
      <c r="B1562" t="s">
        <v>342</v>
      </c>
      <c r="C1562" t="s">
        <v>33</v>
      </c>
      <c r="D1562" t="s">
        <v>12</v>
      </c>
      <c r="E1562" t="s">
        <v>708</v>
      </c>
      <c r="F1562" t="s">
        <v>31</v>
      </c>
      <c r="G1562" t="s">
        <v>369</v>
      </c>
      <c r="H1562" t="s">
        <v>5</v>
      </c>
      <c r="I1562" t="s">
        <v>436</v>
      </c>
      <c r="J1562" t="s">
        <v>446</v>
      </c>
      <c r="K1562" t="s">
        <v>438</v>
      </c>
      <c r="L1562" t="s">
        <v>2</v>
      </c>
      <c r="M1562" t="s">
        <v>408</v>
      </c>
      <c r="N1562" t="s">
        <v>11</v>
      </c>
      <c r="O1562" t="s">
        <v>11</v>
      </c>
      <c r="P1562" t="s">
        <v>2</v>
      </c>
      <c r="Q1562" t="s">
        <v>408</v>
      </c>
      <c r="R1562" t="s">
        <v>439</v>
      </c>
      <c r="S1562" t="s">
        <v>440</v>
      </c>
      <c r="T1562" t="s">
        <v>11</v>
      </c>
      <c r="U1562" t="s">
        <v>408</v>
      </c>
    </row>
    <row r="1563" spans="1:21" x14ac:dyDescent="0.25">
      <c r="A1563">
        <v>23323646</v>
      </c>
      <c r="B1563" t="s">
        <v>340</v>
      </c>
      <c r="C1563" t="s">
        <v>26</v>
      </c>
      <c r="D1563" t="s">
        <v>12</v>
      </c>
      <c r="E1563" t="s">
        <v>734</v>
      </c>
      <c r="F1563" t="s">
        <v>27</v>
      </c>
      <c r="G1563" t="s">
        <v>369</v>
      </c>
      <c r="H1563" t="s">
        <v>5</v>
      </c>
      <c r="I1563" t="s">
        <v>436</v>
      </c>
      <c r="J1563" t="s">
        <v>446</v>
      </c>
      <c r="K1563" t="s">
        <v>438</v>
      </c>
      <c r="L1563" t="s">
        <v>2</v>
      </c>
      <c r="M1563" t="s">
        <v>408</v>
      </c>
      <c r="N1563" t="s">
        <v>11</v>
      </c>
      <c r="O1563" t="s">
        <v>11</v>
      </c>
      <c r="P1563" t="s">
        <v>0</v>
      </c>
      <c r="Q1563" t="s">
        <v>408</v>
      </c>
      <c r="R1563" t="s">
        <v>439</v>
      </c>
      <c r="S1563" t="s">
        <v>440</v>
      </c>
      <c r="T1563" t="s">
        <v>11</v>
      </c>
      <c r="U1563" t="s">
        <v>408</v>
      </c>
    </row>
    <row r="1564" spans="1:21" x14ac:dyDescent="0.25">
      <c r="A1564">
        <v>23323648</v>
      </c>
      <c r="B1564" t="s">
        <v>342</v>
      </c>
      <c r="C1564" t="s">
        <v>38</v>
      </c>
      <c r="D1564" t="s">
        <v>12</v>
      </c>
      <c r="E1564" t="s">
        <v>622</v>
      </c>
      <c r="F1564" t="s">
        <v>221</v>
      </c>
      <c r="G1564" t="s">
        <v>369</v>
      </c>
      <c r="H1564" t="s">
        <v>370</v>
      </c>
      <c r="I1564" t="s">
        <v>721</v>
      </c>
      <c r="J1564" t="s">
        <v>455</v>
      </c>
      <c r="K1564" t="s">
        <v>453</v>
      </c>
      <c r="L1564" t="s">
        <v>367</v>
      </c>
      <c r="M1564" t="s">
        <v>408</v>
      </c>
      <c r="N1564" t="s">
        <v>408</v>
      </c>
      <c r="O1564" t="s">
        <v>11</v>
      </c>
      <c r="P1564" t="s">
        <v>2</v>
      </c>
      <c r="Q1564" t="s">
        <v>408</v>
      </c>
      <c r="R1564" t="s">
        <v>439</v>
      </c>
      <c r="S1564" t="s">
        <v>451</v>
      </c>
      <c r="T1564" t="s">
        <v>408</v>
      </c>
      <c r="U1564" t="s">
        <v>408</v>
      </c>
    </row>
    <row r="1565" spans="1:21" x14ac:dyDescent="0.25">
      <c r="A1565">
        <v>23323649</v>
      </c>
      <c r="B1565" t="s">
        <v>342</v>
      </c>
      <c r="C1565" t="s">
        <v>33</v>
      </c>
      <c r="D1565" t="s">
        <v>12</v>
      </c>
      <c r="E1565" t="s">
        <v>622</v>
      </c>
      <c r="F1565" t="s">
        <v>221</v>
      </c>
      <c r="G1565" t="s">
        <v>369</v>
      </c>
      <c r="H1565" t="s">
        <v>1</v>
      </c>
      <c r="I1565" t="s">
        <v>469</v>
      </c>
      <c r="J1565" t="s">
        <v>445</v>
      </c>
      <c r="K1565" t="s">
        <v>438</v>
      </c>
      <c r="L1565" t="s">
        <v>2</v>
      </c>
      <c r="M1565" t="s">
        <v>408</v>
      </c>
      <c r="N1565" t="s">
        <v>408</v>
      </c>
      <c r="O1565" t="s">
        <v>11</v>
      </c>
      <c r="P1565" t="s">
        <v>0</v>
      </c>
      <c r="Q1565" t="s">
        <v>408</v>
      </c>
      <c r="R1565" t="s">
        <v>439</v>
      </c>
      <c r="S1565" t="s">
        <v>440</v>
      </c>
      <c r="T1565" t="s">
        <v>408</v>
      </c>
      <c r="U1565" t="s">
        <v>408</v>
      </c>
    </row>
    <row r="1566" spans="1:21" x14ac:dyDescent="0.25">
      <c r="A1566">
        <v>23323650</v>
      </c>
      <c r="B1566" t="s">
        <v>342</v>
      </c>
      <c r="C1566" t="s">
        <v>33</v>
      </c>
      <c r="D1566" t="s">
        <v>12</v>
      </c>
      <c r="E1566" t="s">
        <v>620</v>
      </c>
      <c r="F1566" t="s">
        <v>66</v>
      </c>
      <c r="G1566" t="s">
        <v>369</v>
      </c>
      <c r="H1566" t="s">
        <v>370</v>
      </c>
      <c r="I1566" t="s">
        <v>721</v>
      </c>
      <c r="J1566" t="s">
        <v>455</v>
      </c>
      <c r="K1566" t="s">
        <v>453</v>
      </c>
      <c r="L1566" t="s">
        <v>367</v>
      </c>
      <c r="M1566" t="s">
        <v>408</v>
      </c>
      <c r="N1566" t="s">
        <v>11</v>
      </c>
      <c r="O1566" t="s">
        <v>11</v>
      </c>
      <c r="P1566" t="s">
        <v>349</v>
      </c>
      <c r="Q1566" t="s">
        <v>408</v>
      </c>
      <c r="R1566" t="s">
        <v>439</v>
      </c>
      <c r="S1566" t="s">
        <v>451</v>
      </c>
      <c r="T1566" t="s">
        <v>11</v>
      </c>
      <c r="U1566" t="s">
        <v>408</v>
      </c>
    </row>
    <row r="1567" spans="1:21" x14ac:dyDescent="0.25">
      <c r="A1567">
        <v>23323651</v>
      </c>
      <c r="B1567" t="s">
        <v>342</v>
      </c>
      <c r="C1567" t="s">
        <v>38</v>
      </c>
      <c r="D1567" t="s">
        <v>12</v>
      </c>
      <c r="E1567" t="s">
        <v>723</v>
      </c>
      <c r="F1567" t="s">
        <v>105</v>
      </c>
      <c r="G1567" t="s">
        <v>369</v>
      </c>
      <c r="H1567" t="s">
        <v>5</v>
      </c>
      <c r="I1567" t="s">
        <v>436</v>
      </c>
      <c r="J1567" t="s">
        <v>446</v>
      </c>
      <c r="K1567" t="s">
        <v>438</v>
      </c>
      <c r="L1567" t="s">
        <v>2</v>
      </c>
      <c r="M1567" t="s">
        <v>408</v>
      </c>
      <c r="N1567" t="s">
        <v>408</v>
      </c>
      <c r="O1567" t="s">
        <v>11</v>
      </c>
      <c r="P1567" t="s">
        <v>2</v>
      </c>
      <c r="Q1567" t="s">
        <v>408</v>
      </c>
      <c r="R1567" t="s">
        <v>439</v>
      </c>
      <c r="S1567" t="s">
        <v>440</v>
      </c>
      <c r="T1567" t="s">
        <v>408</v>
      </c>
      <c r="U1567" t="s">
        <v>408</v>
      </c>
    </row>
    <row r="1568" spans="1:21" x14ac:dyDescent="0.25">
      <c r="A1568">
        <v>23323652</v>
      </c>
      <c r="B1568" t="s">
        <v>340</v>
      </c>
      <c r="C1568" t="s">
        <v>26</v>
      </c>
      <c r="D1568" t="s">
        <v>12</v>
      </c>
      <c r="E1568" t="s">
        <v>620</v>
      </c>
      <c r="F1568" t="s">
        <v>119</v>
      </c>
      <c r="G1568" t="s">
        <v>369</v>
      </c>
      <c r="H1568" t="s">
        <v>727</v>
      </c>
      <c r="I1568" t="s">
        <v>728</v>
      </c>
      <c r="J1568" t="s">
        <v>729</v>
      </c>
      <c r="K1568" t="s">
        <v>450</v>
      </c>
      <c r="L1568" t="s">
        <v>367</v>
      </c>
      <c r="M1568" t="s">
        <v>408</v>
      </c>
      <c r="N1568" t="s">
        <v>11</v>
      </c>
      <c r="O1568" t="s">
        <v>11</v>
      </c>
      <c r="P1568" t="s">
        <v>2</v>
      </c>
      <c r="Q1568" t="s">
        <v>408</v>
      </c>
      <c r="R1568" t="s">
        <v>439</v>
      </c>
      <c r="S1568" t="s">
        <v>451</v>
      </c>
      <c r="T1568" t="s">
        <v>11</v>
      </c>
      <c r="U1568" t="s">
        <v>408</v>
      </c>
    </row>
    <row r="1569" spans="1:21" x14ac:dyDescent="0.25">
      <c r="A1569">
        <v>23323653</v>
      </c>
      <c r="B1569" t="s">
        <v>340</v>
      </c>
      <c r="C1569" t="s">
        <v>26</v>
      </c>
      <c r="D1569" t="s">
        <v>18</v>
      </c>
      <c r="E1569" t="s">
        <v>710</v>
      </c>
      <c r="F1569" t="s">
        <v>206</v>
      </c>
      <c r="G1569" t="s">
        <v>369</v>
      </c>
      <c r="H1569" t="s">
        <v>370</v>
      </c>
      <c r="I1569" t="s">
        <v>721</v>
      </c>
      <c r="J1569" t="s">
        <v>455</v>
      </c>
      <c r="K1569" t="s">
        <v>453</v>
      </c>
      <c r="L1569" t="s">
        <v>367</v>
      </c>
      <c r="M1569" t="s">
        <v>408</v>
      </c>
      <c r="N1569" t="s">
        <v>11</v>
      </c>
      <c r="O1569" t="s">
        <v>11</v>
      </c>
      <c r="P1569" t="s">
        <v>341</v>
      </c>
      <c r="Q1569" t="s">
        <v>408</v>
      </c>
      <c r="R1569" t="s">
        <v>439</v>
      </c>
      <c r="S1569" t="s">
        <v>451</v>
      </c>
      <c r="T1569" t="s">
        <v>11</v>
      </c>
      <c r="U1569" t="s">
        <v>408</v>
      </c>
    </row>
    <row r="1570" spans="1:21" x14ac:dyDescent="0.25">
      <c r="A1570">
        <v>23323654</v>
      </c>
      <c r="B1570" t="s">
        <v>340</v>
      </c>
      <c r="C1570" t="s">
        <v>26</v>
      </c>
      <c r="D1570" t="s">
        <v>12</v>
      </c>
      <c r="E1570" t="s">
        <v>730</v>
      </c>
      <c r="F1570" t="s">
        <v>41</v>
      </c>
      <c r="G1570" t="s">
        <v>369</v>
      </c>
      <c r="H1570" t="s">
        <v>727</v>
      </c>
      <c r="I1570" t="s">
        <v>728</v>
      </c>
      <c r="J1570" t="s">
        <v>729</v>
      </c>
      <c r="K1570" t="s">
        <v>450</v>
      </c>
      <c r="L1570" t="s">
        <v>367</v>
      </c>
      <c r="M1570" t="s">
        <v>408</v>
      </c>
      <c r="N1570" t="s">
        <v>11</v>
      </c>
      <c r="O1570" t="s">
        <v>11</v>
      </c>
      <c r="P1570" t="s">
        <v>1</v>
      </c>
      <c r="Q1570" t="s">
        <v>408</v>
      </c>
      <c r="R1570" t="s">
        <v>439</v>
      </c>
      <c r="S1570" t="s">
        <v>451</v>
      </c>
      <c r="T1570" t="s">
        <v>11</v>
      </c>
      <c r="U1570" t="s">
        <v>408</v>
      </c>
    </row>
    <row r="1571" spans="1:21" x14ac:dyDescent="0.25">
      <c r="A1571">
        <v>23323657</v>
      </c>
      <c r="B1571" t="s">
        <v>340</v>
      </c>
      <c r="C1571" t="s">
        <v>26</v>
      </c>
      <c r="D1571" t="s">
        <v>12</v>
      </c>
      <c r="E1571" t="s">
        <v>622</v>
      </c>
      <c r="F1571" t="s">
        <v>221</v>
      </c>
      <c r="G1571" t="s">
        <v>369</v>
      </c>
      <c r="H1571" t="s">
        <v>5</v>
      </c>
      <c r="I1571" t="s">
        <v>436</v>
      </c>
      <c r="J1571" t="s">
        <v>446</v>
      </c>
      <c r="K1571" t="s">
        <v>438</v>
      </c>
      <c r="L1571" t="s">
        <v>2</v>
      </c>
      <c r="M1571" t="s">
        <v>408</v>
      </c>
      <c r="N1571" t="s">
        <v>408</v>
      </c>
      <c r="O1571" t="s">
        <v>11</v>
      </c>
      <c r="P1571" t="s">
        <v>2</v>
      </c>
      <c r="Q1571" t="s">
        <v>408</v>
      </c>
      <c r="R1571" t="s">
        <v>439</v>
      </c>
      <c r="S1571" t="s">
        <v>440</v>
      </c>
      <c r="T1571" t="s">
        <v>408</v>
      </c>
      <c r="U1571" t="s">
        <v>408</v>
      </c>
    </row>
    <row r="1572" spans="1:21" x14ac:dyDescent="0.25">
      <c r="A1572">
        <v>23323658</v>
      </c>
      <c r="B1572" t="s">
        <v>340</v>
      </c>
      <c r="C1572" t="s">
        <v>26</v>
      </c>
      <c r="D1572" t="s">
        <v>12</v>
      </c>
      <c r="E1572" t="s">
        <v>622</v>
      </c>
      <c r="F1572" t="s">
        <v>221</v>
      </c>
      <c r="G1572" t="s">
        <v>369</v>
      </c>
      <c r="H1572" t="s">
        <v>5</v>
      </c>
      <c r="I1572" t="s">
        <v>436</v>
      </c>
      <c r="J1572" t="s">
        <v>446</v>
      </c>
      <c r="K1572" t="s">
        <v>438</v>
      </c>
      <c r="L1572" t="s">
        <v>2</v>
      </c>
      <c r="M1572" t="s">
        <v>408</v>
      </c>
      <c r="N1572" t="s">
        <v>408</v>
      </c>
      <c r="O1572" t="s">
        <v>11</v>
      </c>
      <c r="P1572" t="s">
        <v>2</v>
      </c>
      <c r="Q1572" t="s">
        <v>408</v>
      </c>
      <c r="R1572" t="s">
        <v>439</v>
      </c>
      <c r="S1572" t="s">
        <v>440</v>
      </c>
      <c r="T1572" t="s">
        <v>408</v>
      </c>
      <c r="U1572" t="s">
        <v>408</v>
      </c>
    </row>
    <row r="1573" spans="1:21" x14ac:dyDescent="0.25">
      <c r="A1573">
        <v>23323659</v>
      </c>
      <c r="B1573" t="s">
        <v>340</v>
      </c>
      <c r="C1573" t="s">
        <v>26</v>
      </c>
      <c r="D1573" t="s">
        <v>18</v>
      </c>
      <c r="E1573" t="s">
        <v>740</v>
      </c>
      <c r="F1573" t="s">
        <v>58</v>
      </c>
      <c r="G1573" t="s">
        <v>369</v>
      </c>
      <c r="H1573" t="s">
        <v>5</v>
      </c>
      <c r="I1573" t="s">
        <v>436</v>
      </c>
      <c r="J1573" t="s">
        <v>446</v>
      </c>
      <c r="K1573" t="s">
        <v>438</v>
      </c>
      <c r="L1573" t="s">
        <v>2</v>
      </c>
      <c r="M1573" t="s">
        <v>408</v>
      </c>
      <c r="N1573" t="s">
        <v>408</v>
      </c>
      <c r="O1573" t="s">
        <v>11</v>
      </c>
      <c r="P1573" t="s">
        <v>2</v>
      </c>
      <c r="Q1573" t="s">
        <v>408</v>
      </c>
      <c r="R1573" t="s">
        <v>439</v>
      </c>
      <c r="S1573" t="s">
        <v>440</v>
      </c>
      <c r="T1573" t="s">
        <v>408</v>
      </c>
      <c r="U1573" t="s">
        <v>408</v>
      </c>
    </row>
    <row r="1574" spans="1:21" x14ac:dyDescent="0.25">
      <c r="A1574">
        <v>23323661</v>
      </c>
      <c r="B1574" t="s">
        <v>340</v>
      </c>
      <c r="C1574" t="s">
        <v>26</v>
      </c>
      <c r="D1574" t="s">
        <v>12</v>
      </c>
      <c r="E1574" t="s">
        <v>622</v>
      </c>
      <c r="F1574" t="s">
        <v>210</v>
      </c>
      <c r="G1574" t="s">
        <v>369</v>
      </c>
      <c r="H1574" t="s">
        <v>1</v>
      </c>
      <c r="I1574" t="s">
        <v>469</v>
      </c>
      <c r="J1574" t="s">
        <v>445</v>
      </c>
      <c r="K1574" t="s">
        <v>438</v>
      </c>
      <c r="L1574" t="s">
        <v>2</v>
      </c>
      <c r="M1574" t="s">
        <v>408</v>
      </c>
      <c r="N1574" t="s">
        <v>408</v>
      </c>
      <c r="O1574" t="s">
        <v>11</v>
      </c>
      <c r="P1574" t="s">
        <v>2</v>
      </c>
      <c r="Q1574" t="s">
        <v>408</v>
      </c>
      <c r="R1574" t="s">
        <v>439</v>
      </c>
      <c r="S1574" t="s">
        <v>440</v>
      </c>
      <c r="T1574" t="s">
        <v>408</v>
      </c>
      <c r="U1574" t="s">
        <v>408</v>
      </c>
    </row>
    <row r="1575" spans="1:21" x14ac:dyDescent="0.25">
      <c r="A1575">
        <v>23323662</v>
      </c>
      <c r="B1575" t="s">
        <v>340</v>
      </c>
      <c r="C1575" t="s">
        <v>26</v>
      </c>
      <c r="D1575" t="s">
        <v>12</v>
      </c>
      <c r="E1575" t="s">
        <v>734</v>
      </c>
      <c r="F1575" t="s">
        <v>45</v>
      </c>
      <c r="G1575" t="s">
        <v>369</v>
      </c>
      <c r="H1575" t="s">
        <v>5</v>
      </c>
      <c r="I1575" t="s">
        <v>436</v>
      </c>
      <c r="J1575" t="s">
        <v>446</v>
      </c>
      <c r="K1575" t="s">
        <v>438</v>
      </c>
      <c r="L1575" t="s">
        <v>2</v>
      </c>
      <c r="M1575" t="s">
        <v>408</v>
      </c>
      <c r="N1575" t="s">
        <v>11</v>
      </c>
      <c r="O1575" t="s">
        <v>11</v>
      </c>
      <c r="P1575" t="s">
        <v>2</v>
      </c>
      <c r="Q1575" t="s">
        <v>408</v>
      </c>
      <c r="R1575" t="s">
        <v>439</v>
      </c>
      <c r="S1575" t="s">
        <v>440</v>
      </c>
      <c r="T1575" t="s">
        <v>11</v>
      </c>
      <c r="U1575" t="s">
        <v>408</v>
      </c>
    </row>
    <row r="1576" spans="1:21" x14ac:dyDescent="0.25">
      <c r="A1576">
        <v>23323663</v>
      </c>
      <c r="B1576" t="s">
        <v>340</v>
      </c>
      <c r="C1576" t="s">
        <v>26</v>
      </c>
      <c r="D1576" t="s">
        <v>12</v>
      </c>
      <c r="E1576" t="s">
        <v>708</v>
      </c>
      <c r="F1576" t="s">
        <v>49</v>
      </c>
      <c r="G1576" t="s">
        <v>369</v>
      </c>
      <c r="H1576" t="s">
        <v>5</v>
      </c>
      <c r="I1576" t="s">
        <v>436</v>
      </c>
      <c r="J1576" t="s">
        <v>446</v>
      </c>
      <c r="K1576" t="s">
        <v>438</v>
      </c>
      <c r="L1576" t="s">
        <v>2</v>
      </c>
      <c r="M1576" t="s">
        <v>408</v>
      </c>
      <c r="N1576" t="s">
        <v>11</v>
      </c>
      <c r="O1576" t="s">
        <v>11</v>
      </c>
      <c r="P1576" t="s">
        <v>2</v>
      </c>
      <c r="Q1576" t="s">
        <v>408</v>
      </c>
      <c r="R1576" t="s">
        <v>439</v>
      </c>
      <c r="S1576" t="s">
        <v>440</v>
      </c>
      <c r="T1576" t="s">
        <v>11</v>
      </c>
      <c r="U1576" t="s">
        <v>408</v>
      </c>
    </row>
    <row r="1577" spans="1:21" x14ac:dyDescent="0.25">
      <c r="A1577">
        <v>23323664</v>
      </c>
      <c r="B1577" t="s">
        <v>340</v>
      </c>
      <c r="C1577" t="s">
        <v>26</v>
      </c>
      <c r="D1577" t="s">
        <v>12</v>
      </c>
      <c r="E1577" t="s">
        <v>512</v>
      </c>
      <c r="F1577" t="s">
        <v>92</v>
      </c>
      <c r="G1577" t="s">
        <v>369</v>
      </c>
      <c r="H1577" t="s">
        <v>0</v>
      </c>
      <c r="I1577" t="s">
        <v>436</v>
      </c>
      <c r="J1577" t="s">
        <v>437</v>
      </c>
      <c r="K1577" t="s">
        <v>438</v>
      </c>
      <c r="L1577" t="s">
        <v>345</v>
      </c>
      <c r="M1577" t="s">
        <v>408</v>
      </c>
      <c r="N1577" t="s">
        <v>408</v>
      </c>
      <c r="O1577" t="s">
        <v>11</v>
      </c>
      <c r="P1577" t="s">
        <v>0</v>
      </c>
      <c r="Q1577" t="s">
        <v>408</v>
      </c>
      <c r="R1577" t="s">
        <v>439</v>
      </c>
      <c r="S1577" t="s">
        <v>440</v>
      </c>
      <c r="T1577" t="s">
        <v>408</v>
      </c>
      <c r="U1577" t="s">
        <v>408</v>
      </c>
    </row>
    <row r="1578" spans="1:21" x14ac:dyDescent="0.25">
      <c r="A1578">
        <v>23323665</v>
      </c>
      <c r="B1578" t="s">
        <v>340</v>
      </c>
      <c r="C1578" t="s">
        <v>26</v>
      </c>
      <c r="D1578" t="s">
        <v>12</v>
      </c>
      <c r="E1578" t="s">
        <v>512</v>
      </c>
      <c r="F1578" t="s">
        <v>92</v>
      </c>
      <c r="G1578" t="s">
        <v>468</v>
      </c>
      <c r="H1578" t="s">
        <v>447</v>
      </c>
      <c r="I1578" t="s">
        <v>448</v>
      </c>
      <c r="J1578" t="s">
        <v>449</v>
      </c>
      <c r="K1578" t="s">
        <v>450</v>
      </c>
      <c r="L1578" t="s">
        <v>367</v>
      </c>
      <c r="M1578" t="s">
        <v>408</v>
      </c>
      <c r="N1578" t="s">
        <v>408</v>
      </c>
      <c r="O1578" t="s">
        <v>11</v>
      </c>
      <c r="P1578" t="s">
        <v>0</v>
      </c>
      <c r="Q1578" t="s">
        <v>408</v>
      </c>
      <c r="R1578" t="s">
        <v>439</v>
      </c>
      <c r="S1578" t="s">
        <v>451</v>
      </c>
      <c r="T1578" t="s">
        <v>408</v>
      </c>
      <c r="U1578" t="s">
        <v>408</v>
      </c>
    </row>
    <row r="1579" spans="1:21" x14ac:dyDescent="0.25">
      <c r="A1579">
        <v>23323666</v>
      </c>
      <c r="B1579" t="s">
        <v>340</v>
      </c>
      <c r="C1579" t="s">
        <v>26</v>
      </c>
      <c r="D1579" t="s">
        <v>12</v>
      </c>
      <c r="E1579" t="s">
        <v>732</v>
      </c>
      <c r="F1579" t="s">
        <v>64</v>
      </c>
      <c r="G1579" t="s">
        <v>369</v>
      </c>
      <c r="H1579" t="s">
        <v>370</v>
      </c>
      <c r="I1579" t="s">
        <v>721</v>
      </c>
      <c r="J1579" t="s">
        <v>455</v>
      </c>
      <c r="K1579" t="s">
        <v>453</v>
      </c>
      <c r="L1579" t="s">
        <v>367</v>
      </c>
      <c r="M1579" t="s">
        <v>408</v>
      </c>
      <c r="N1579" t="s">
        <v>11</v>
      </c>
      <c r="O1579" t="s">
        <v>11</v>
      </c>
      <c r="P1579" t="s">
        <v>2</v>
      </c>
      <c r="Q1579" t="s">
        <v>408</v>
      </c>
      <c r="R1579" t="s">
        <v>439</v>
      </c>
      <c r="S1579" t="s">
        <v>451</v>
      </c>
      <c r="T1579" t="s">
        <v>11</v>
      </c>
      <c r="U1579" t="s">
        <v>408</v>
      </c>
    </row>
    <row r="1580" spans="1:21" x14ac:dyDescent="0.25">
      <c r="A1580">
        <v>23323667</v>
      </c>
      <c r="B1580" t="s">
        <v>340</v>
      </c>
      <c r="C1580" t="s">
        <v>26</v>
      </c>
      <c r="D1580" t="s">
        <v>18</v>
      </c>
      <c r="E1580" t="s">
        <v>751</v>
      </c>
      <c r="F1580" t="s">
        <v>189</v>
      </c>
      <c r="G1580" t="s">
        <v>369</v>
      </c>
      <c r="H1580" t="s">
        <v>0</v>
      </c>
      <c r="I1580" t="s">
        <v>436</v>
      </c>
      <c r="J1580" t="s">
        <v>437</v>
      </c>
      <c r="K1580" t="s">
        <v>438</v>
      </c>
      <c r="L1580" t="s">
        <v>1</v>
      </c>
      <c r="M1580" t="s">
        <v>408</v>
      </c>
      <c r="N1580" t="s">
        <v>11</v>
      </c>
      <c r="O1580" t="s">
        <v>11</v>
      </c>
      <c r="P1580" t="s">
        <v>0</v>
      </c>
      <c r="Q1580" t="s">
        <v>408</v>
      </c>
      <c r="R1580" t="s">
        <v>439</v>
      </c>
      <c r="S1580" t="s">
        <v>440</v>
      </c>
      <c r="T1580" t="s">
        <v>11</v>
      </c>
      <c r="U1580" t="s">
        <v>408</v>
      </c>
    </row>
    <row r="1581" spans="1:21" x14ac:dyDescent="0.25">
      <c r="A1581">
        <v>23323668</v>
      </c>
      <c r="B1581" t="s">
        <v>340</v>
      </c>
      <c r="C1581" t="s">
        <v>26</v>
      </c>
      <c r="D1581" t="s">
        <v>12</v>
      </c>
      <c r="E1581" t="s">
        <v>751</v>
      </c>
      <c r="F1581" t="s">
        <v>95</v>
      </c>
      <c r="G1581" t="s">
        <v>369</v>
      </c>
      <c r="H1581" t="s">
        <v>715</v>
      </c>
      <c r="I1581" t="s">
        <v>716</v>
      </c>
      <c r="J1581" t="s">
        <v>717</v>
      </c>
      <c r="K1581" t="s">
        <v>438</v>
      </c>
      <c r="L1581" t="s">
        <v>0</v>
      </c>
      <c r="M1581" t="s">
        <v>408</v>
      </c>
      <c r="N1581" t="s">
        <v>11</v>
      </c>
      <c r="O1581" t="s">
        <v>11</v>
      </c>
      <c r="P1581" t="s">
        <v>0</v>
      </c>
      <c r="Q1581" t="s">
        <v>408</v>
      </c>
      <c r="R1581" t="s">
        <v>439</v>
      </c>
      <c r="S1581" t="s">
        <v>440</v>
      </c>
      <c r="T1581" t="s">
        <v>11</v>
      </c>
      <c r="U1581" t="s">
        <v>408</v>
      </c>
    </row>
    <row r="1582" spans="1:21" x14ac:dyDescent="0.25">
      <c r="A1582">
        <v>23323670</v>
      </c>
      <c r="B1582" t="s">
        <v>340</v>
      </c>
      <c r="C1582" t="s">
        <v>86</v>
      </c>
      <c r="D1582" t="s">
        <v>18</v>
      </c>
      <c r="E1582" t="s">
        <v>755</v>
      </c>
      <c r="F1582" t="s">
        <v>380</v>
      </c>
      <c r="G1582" t="s">
        <v>369</v>
      </c>
      <c r="H1582" t="s">
        <v>370</v>
      </c>
      <c r="I1582" t="s">
        <v>721</v>
      </c>
      <c r="J1582" t="s">
        <v>455</v>
      </c>
      <c r="K1582" t="s">
        <v>453</v>
      </c>
      <c r="L1582" t="s">
        <v>367</v>
      </c>
      <c r="M1582" t="s">
        <v>408</v>
      </c>
      <c r="N1582" t="s">
        <v>11</v>
      </c>
      <c r="O1582" t="s">
        <v>11</v>
      </c>
      <c r="P1582" t="s">
        <v>2</v>
      </c>
      <c r="Q1582" t="s">
        <v>408</v>
      </c>
      <c r="R1582" t="s">
        <v>439</v>
      </c>
      <c r="S1582" t="s">
        <v>451</v>
      </c>
      <c r="T1582" t="s">
        <v>11</v>
      </c>
      <c r="U1582" t="s">
        <v>408</v>
      </c>
    </row>
    <row r="1583" spans="1:21" x14ac:dyDescent="0.25">
      <c r="A1583">
        <v>23323676</v>
      </c>
      <c r="B1583" t="s">
        <v>340</v>
      </c>
      <c r="C1583" t="s">
        <v>26</v>
      </c>
      <c r="D1583" t="s">
        <v>12</v>
      </c>
      <c r="E1583" t="s">
        <v>733</v>
      </c>
      <c r="F1583" t="s">
        <v>236</v>
      </c>
      <c r="G1583" t="s">
        <v>369</v>
      </c>
      <c r="H1583" t="s">
        <v>3</v>
      </c>
      <c r="I1583" t="s">
        <v>436</v>
      </c>
      <c r="J1583" t="s">
        <v>441</v>
      </c>
      <c r="K1583" t="s">
        <v>442</v>
      </c>
      <c r="L1583" t="s">
        <v>0</v>
      </c>
      <c r="M1583" t="s">
        <v>408</v>
      </c>
      <c r="N1583" t="s">
        <v>11</v>
      </c>
      <c r="O1583" t="s">
        <v>11</v>
      </c>
      <c r="P1583" t="s">
        <v>0</v>
      </c>
      <c r="Q1583" t="s">
        <v>408</v>
      </c>
      <c r="R1583" t="s">
        <v>439</v>
      </c>
      <c r="S1583" t="s">
        <v>440</v>
      </c>
      <c r="T1583" t="s">
        <v>11</v>
      </c>
      <c r="U1583" t="s">
        <v>408</v>
      </c>
    </row>
    <row r="1584" spans="1:21" x14ac:dyDescent="0.25">
      <c r="A1584">
        <v>23323677</v>
      </c>
      <c r="B1584" t="s">
        <v>342</v>
      </c>
      <c r="C1584" t="s">
        <v>89</v>
      </c>
      <c r="D1584" t="s">
        <v>12</v>
      </c>
      <c r="E1584" t="s">
        <v>628</v>
      </c>
      <c r="F1584" t="s">
        <v>85</v>
      </c>
      <c r="G1584" t="s">
        <v>369</v>
      </c>
      <c r="H1584" t="s">
        <v>727</v>
      </c>
      <c r="I1584" t="s">
        <v>728</v>
      </c>
      <c r="J1584" t="s">
        <v>729</v>
      </c>
      <c r="K1584" t="s">
        <v>450</v>
      </c>
      <c r="L1584" t="s">
        <v>367</v>
      </c>
      <c r="M1584" t="s">
        <v>408</v>
      </c>
      <c r="N1584" t="s">
        <v>11</v>
      </c>
      <c r="O1584" t="s">
        <v>11</v>
      </c>
      <c r="P1584" t="s">
        <v>0</v>
      </c>
      <c r="Q1584" t="s">
        <v>408</v>
      </c>
      <c r="R1584" t="s">
        <v>439</v>
      </c>
      <c r="S1584" t="s">
        <v>451</v>
      </c>
      <c r="T1584" t="s">
        <v>11</v>
      </c>
      <c r="U1584" t="s">
        <v>408</v>
      </c>
    </row>
    <row r="1585" spans="1:21" x14ac:dyDescent="0.25">
      <c r="A1585">
        <v>23323678</v>
      </c>
      <c r="B1585" t="s">
        <v>340</v>
      </c>
      <c r="C1585" t="s">
        <v>86</v>
      </c>
      <c r="D1585" t="s">
        <v>12</v>
      </c>
      <c r="E1585" t="s">
        <v>755</v>
      </c>
      <c r="F1585" t="s">
        <v>380</v>
      </c>
      <c r="G1585" t="s">
        <v>369</v>
      </c>
      <c r="H1585" t="s">
        <v>370</v>
      </c>
      <c r="I1585" t="s">
        <v>721</v>
      </c>
      <c r="J1585" t="s">
        <v>455</v>
      </c>
      <c r="K1585" t="s">
        <v>453</v>
      </c>
      <c r="L1585" t="s">
        <v>367</v>
      </c>
      <c r="M1585" t="s">
        <v>408</v>
      </c>
      <c r="N1585" t="s">
        <v>11</v>
      </c>
      <c r="O1585" t="s">
        <v>11</v>
      </c>
      <c r="P1585" t="s">
        <v>2</v>
      </c>
      <c r="Q1585" t="s">
        <v>408</v>
      </c>
      <c r="R1585" t="s">
        <v>439</v>
      </c>
      <c r="S1585" t="s">
        <v>451</v>
      </c>
      <c r="T1585" t="s">
        <v>11</v>
      </c>
      <c r="U1585" t="s">
        <v>408</v>
      </c>
    </row>
    <row r="1586" spans="1:21" x14ac:dyDescent="0.25">
      <c r="A1586">
        <v>23323679</v>
      </c>
      <c r="B1586" t="s">
        <v>340</v>
      </c>
      <c r="C1586" t="s">
        <v>26</v>
      </c>
      <c r="D1586" t="s">
        <v>12</v>
      </c>
      <c r="E1586" t="s">
        <v>739</v>
      </c>
      <c r="F1586" t="s">
        <v>103</v>
      </c>
      <c r="G1586" t="s">
        <v>369</v>
      </c>
      <c r="H1586" t="s">
        <v>370</v>
      </c>
      <c r="I1586" t="s">
        <v>721</v>
      </c>
      <c r="J1586" t="s">
        <v>455</v>
      </c>
      <c r="K1586" t="s">
        <v>453</v>
      </c>
      <c r="L1586" t="s">
        <v>367</v>
      </c>
      <c r="M1586" t="s">
        <v>408</v>
      </c>
      <c r="N1586" t="s">
        <v>11</v>
      </c>
      <c r="O1586" t="s">
        <v>11</v>
      </c>
      <c r="P1586" t="s">
        <v>2</v>
      </c>
      <c r="Q1586" t="s">
        <v>408</v>
      </c>
      <c r="R1586" t="s">
        <v>439</v>
      </c>
      <c r="S1586" t="s">
        <v>451</v>
      </c>
      <c r="T1586" t="s">
        <v>11</v>
      </c>
      <c r="U1586" t="s">
        <v>408</v>
      </c>
    </row>
    <row r="1587" spans="1:21" x14ac:dyDescent="0.25">
      <c r="A1587">
        <v>23323683</v>
      </c>
      <c r="B1587" t="s">
        <v>340</v>
      </c>
      <c r="C1587" t="s">
        <v>26</v>
      </c>
      <c r="D1587" t="s">
        <v>12</v>
      </c>
      <c r="E1587" t="s">
        <v>522</v>
      </c>
      <c r="F1587" t="s">
        <v>136</v>
      </c>
      <c r="G1587" t="s">
        <v>369</v>
      </c>
      <c r="H1587" t="s">
        <v>727</v>
      </c>
      <c r="I1587" t="s">
        <v>728</v>
      </c>
      <c r="J1587" t="s">
        <v>729</v>
      </c>
      <c r="K1587" t="s">
        <v>450</v>
      </c>
      <c r="L1587" t="s">
        <v>367</v>
      </c>
      <c r="M1587" t="s">
        <v>408</v>
      </c>
      <c r="N1587" t="s">
        <v>11</v>
      </c>
      <c r="O1587" t="s">
        <v>408</v>
      </c>
      <c r="P1587" t="s">
        <v>0</v>
      </c>
      <c r="Q1587" t="s">
        <v>408</v>
      </c>
      <c r="R1587" t="s">
        <v>439</v>
      </c>
      <c r="S1587" t="s">
        <v>451</v>
      </c>
      <c r="T1587" t="s">
        <v>11</v>
      </c>
      <c r="U1587" t="s">
        <v>408</v>
      </c>
    </row>
    <row r="1588" spans="1:21" x14ac:dyDescent="0.25">
      <c r="A1588">
        <v>23323684</v>
      </c>
      <c r="B1588" t="s">
        <v>340</v>
      </c>
      <c r="C1588" t="s">
        <v>26</v>
      </c>
      <c r="D1588" t="s">
        <v>12</v>
      </c>
      <c r="E1588" t="s">
        <v>740</v>
      </c>
      <c r="F1588" t="s">
        <v>114</v>
      </c>
      <c r="G1588" t="s">
        <v>369</v>
      </c>
      <c r="H1588" t="s">
        <v>727</v>
      </c>
      <c r="I1588" t="s">
        <v>728</v>
      </c>
      <c r="J1588" t="s">
        <v>729</v>
      </c>
      <c r="K1588" t="s">
        <v>450</v>
      </c>
      <c r="L1588" t="s">
        <v>367</v>
      </c>
      <c r="M1588" t="s">
        <v>408</v>
      </c>
      <c r="N1588" t="s">
        <v>11</v>
      </c>
      <c r="O1588" t="s">
        <v>11</v>
      </c>
      <c r="P1588" t="s">
        <v>0</v>
      </c>
      <c r="Q1588" t="s">
        <v>408</v>
      </c>
      <c r="R1588" t="s">
        <v>439</v>
      </c>
      <c r="S1588" t="s">
        <v>451</v>
      </c>
      <c r="T1588" t="s">
        <v>11</v>
      </c>
      <c r="U1588" t="s">
        <v>408</v>
      </c>
    </row>
    <row r="1589" spans="1:21" x14ac:dyDescent="0.25">
      <c r="A1589">
        <v>23323685</v>
      </c>
      <c r="B1589" t="s">
        <v>340</v>
      </c>
      <c r="C1589" t="s">
        <v>26</v>
      </c>
      <c r="D1589" t="s">
        <v>12</v>
      </c>
      <c r="E1589" t="s">
        <v>711</v>
      </c>
      <c r="F1589" t="s">
        <v>213</v>
      </c>
      <c r="G1589" t="s">
        <v>369</v>
      </c>
      <c r="H1589" t="s">
        <v>727</v>
      </c>
      <c r="I1589" t="s">
        <v>728</v>
      </c>
      <c r="J1589" t="s">
        <v>729</v>
      </c>
      <c r="K1589" t="s">
        <v>450</v>
      </c>
      <c r="L1589" t="s">
        <v>367</v>
      </c>
      <c r="M1589" t="s">
        <v>408</v>
      </c>
      <c r="N1589" t="s">
        <v>408</v>
      </c>
      <c r="O1589" t="s">
        <v>11</v>
      </c>
      <c r="P1589" t="s">
        <v>1</v>
      </c>
      <c r="Q1589" t="s">
        <v>408</v>
      </c>
      <c r="R1589" t="s">
        <v>439</v>
      </c>
      <c r="S1589" t="s">
        <v>451</v>
      </c>
      <c r="T1589" t="s">
        <v>408</v>
      </c>
      <c r="U1589" t="s">
        <v>408</v>
      </c>
    </row>
    <row r="1590" spans="1:21" x14ac:dyDescent="0.25">
      <c r="A1590">
        <v>24567015</v>
      </c>
      <c r="B1590" t="s">
        <v>340</v>
      </c>
      <c r="C1590" t="s">
        <v>86</v>
      </c>
      <c r="D1590" t="s">
        <v>18</v>
      </c>
      <c r="E1590" t="s">
        <v>755</v>
      </c>
      <c r="F1590" t="s">
        <v>380</v>
      </c>
      <c r="G1590" t="s">
        <v>369</v>
      </c>
      <c r="H1590" t="s">
        <v>0</v>
      </c>
      <c r="I1590" t="s">
        <v>436</v>
      </c>
      <c r="J1590" t="s">
        <v>437</v>
      </c>
      <c r="K1590" t="s">
        <v>438</v>
      </c>
      <c r="L1590" t="s">
        <v>1</v>
      </c>
      <c r="M1590" t="s">
        <v>408</v>
      </c>
      <c r="N1590" t="s">
        <v>11</v>
      </c>
      <c r="O1590" t="s">
        <v>11</v>
      </c>
      <c r="P1590" t="s">
        <v>0</v>
      </c>
      <c r="Q1590" t="s">
        <v>408</v>
      </c>
      <c r="R1590" t="s">
        <v>439</v>
      </c>
      <c r="S1590" t="s">
        <v>440</v>
      </c>
      <c r="T1590" t="s">
        <v>11</v>
      </c>
      <c r="U1590" t="s">
        <v>408</v>
      </c>
    </row>
    <row r="1591" spans="1:21" x14ac:dyDescent="0.25">
      <c r="A1591">
        <v>24567018</v>
      </c>
      <c r="B1591" t="s">
        <v>340</v>
      </c>
      <c r="C1591" t="s">
        <v>86</v>
      </c>
      <c r="D1591" t="s">
        <v>12</v>
      </c>
      <c r="E1591" t="s">
        <v>755</v>
      </c>
      <c r="F1591" t="s">
        <v>380</v>
      </c>
      <c r="G1591" t="s">
        <v>369</v>
      </c>
      <c r="H1591" t="s">
        <v>350</v>
      </c>
      <c r="I1591" t="s">
        <v>436</v>
      </c>
      <c r="J1591" t="s">
        <v>566</v>
      </c>
      <c r="K1591" t="s">
        <v>701</v>
      </c>
      <c r="L1591" t="s">
        <v>8</v>
      </c>
      <c r="M1591" t="s">
        <v>408</v>
      </c>
      <c r="N1591" t="s">
        <v>11</v>
      </c>
      <c r="O1591" t="s">
        <v>11</v>
      </c>
      <c r="P1591" t="s">
        <v>0</v>
      </c>
      <c r="Q1591" t="s">
        <v>408</v>
      </c>
      <c r="R1591" t="s">
        <v>439</v>
      </c>
      <c r="S1591" t="s">
        <v>440</v>
      </c>
      <c r="T1591" t="s">
        <v>11</v>
      </c>
      <c r="U1591" t="s">
        <v>408</v>
      </c>
    </row>
    <row r="1592" spans="1:21" x14ac:dyDescent="0.25">
      <c r="A1592">
        <v>24567021</v>
      </c>
      <c r="B1592" t="s">
        <v>340</v>
      </c>
      <c r="C1592" t="s">
        <v>86</v>
      </c>
      <c r="D1592" t="s">
        <v>12</v>
      </c>
      <c r="E1592" t="s">
        <v>755</v>
      </c>
      <c r="F1592" t="s">
        <v>380</v>
      </c>
      <c r="G1592" t="s">
        <v>369</v>
      </c>
      <c r="H1592" t="s">
        <v>3</v>
      </c>
      <c r="I1592" t="s">
        <v>436</v>
      </c>
      <c r="J1592" t="s">
        <v>441</v>
      </c>
      <c r="K1592" t="s">
        <v>442</v>
      </c>
      <c r="L1592" t="s">
        <v>8</v>
      </c>
      <c r="M1592" t="s">
        <v>408</v>
      </c>
      <c r="N1592" t="s">
        <v>11</v>
      </c>
      <c r="O1592" t="s">
        <v>11</v>
      </c>
      <c r="P1592" t="s">
        <v>0</v>
      </c>
      <c r="Q1592" t="s">
        <v>408</v>
      </c>
      <c r="R1592" t="s">
        <v>439</v>
      </c>
      <c r="S1592" t="s">
        <v>440</v>
      </c>
      <c r="T1592" t="s">
        <v>11</v>
      </c>
      <c r="U1592" t="s">
        <v>408</v>
      </c>
    </row>
    <row r="1593" spans="1:21" x14ac:dyDescent="0.25">
      <c r="A1593">
        <v>24567029</v>
      </c>
      <c r="B1593" t="s">
        <v>340</v>
      </c>
      <c r="C1593" t="s">
        <v>86</v>
      </c>
      <c r="D1593" t="s">
        <v>12</v>
      </c>
      <c r="E1593" t="s">
        <v>755</v>
      </c>
      <c r="F1593" t="s">
        <v>380</v>
      </c>
      <c r="G1593" t="s">
        <v>369</v>
      </c>
      <c r="H1593" t="s">
        <v>3</v>
      </c>
      <c r="I1593" t="s">
        <v>436</v>
      </c>
      <c r="J1593" t="s">
        <v>441</v>
      </c>
      <c r="K1593" t="s">
        <v>442</v>
      </c>
      <c r="L1593" t="s">
        <v>8</v>
      </c>
      <c r="M1593" t="s">
        <v>408</v>
      </c>
      <c r="N1593" t="s">
        <v>11</v>
      </c>
      <c r="O1593" t="s">
        <v>11</v>
      </c>
      <c r="P1593" t="s">
        <v>0</v>
      </c>
      <c r="Q1593" t="s">
        <v>408</v>
      </c>
      <c r="R1593" t="s">
        <v>439</v>
      </c>
      <c r="S1593" t="s">
        <v>440</v>
      </c>
      <c r="T1593" t="s">
        <v>11</v>
      </c>
      <c r="U1593" t="s">
        <v>408</v>
      </c>
    </row>
    <row r="1594" spans="1:21" x14ac:dyDescent="0.25">
      <c r="A1594">
        <v>24567032</v>
      </c>
      <c r="B1594" t="s">
        <v>340</v>
      </c>
      <c r="C1594" t="s">
        <v>86</v>
      </c>
      <c r="D1594" t="s">
        <v>12</v>
      </c>
      <c r="E1594" t="s">
        <v>755</v>
      </c>
      <c r="F1594" t="s">
        <v>380</v>
      </c>
      <c r="G1594" t="s">
        <v>369</v>
      </c>
      <c r="H1594" t="s">
        <v>3</v>
      </c>
      <c r="I1594" t="s">
        <v>436</v>
      </c>
      <c r="J1594" t="s">
        <v>441</v>
      </c>
      <c r="K1594" t="s">
        <v>442</v>
      </c>
      <c r="L1594" t="s">
        <v>8</v>
      </c>
      <c r="M1594" t="s">
        <v>408</v>
      </c>
      <c r="N1594" t="s">
        <v>11</v>
      </c>
      <c r="O1594" t="s">
        <v>11</v>
      </c>
      <c r="P1594" t="s">
        <v>0</v>
      </c>
      <c r="Q1594" t="s">
        <v>408</v>
      </c>
      <c r="R1594" t="s">
        <v>439</v>
      </c>
      <c r="S1594" t="s">
        <v>440</v>
      </c>
      <c r="T1594" t="s">
        <v>11</v>
      </c>
      <c r="U1594" t="s">
        <v>408</v>
      </c>
    </row>
    <row r="1595" spans="1:21" x14ac:dyDescent="0.25">
      <c r="A1595">
        <v>24567038</v>
      </c>
      <c r="B1595" t="s">
        <v>340</v>
      </c>
      <c r="C1595" t="s">
        <v>86</v>
      </c>
      <c r="D1595" t="s">
        <v>12</v>
      </c>
      <c r="E1595" t="s">
        <v>755</v>
      </c>
      <c r="F1595" t="s">
        <v>380</v>
      </c>
      <c r="G1595" t="s">
        <v>369</v>
      </c>
      <c r="H1595" t="s">
        <v>0</v>
      </c>
      <c r="I1595" t="s">
        <v>436</v>
      </c>
      <c r="J1595" t="s">
        <v>437</v>
      </c>
      <c r="K1595" t="s">
        <v>438</v>
      </c>
      <c r="L1595" t="s">
        <v>1</v>
      </c>
      <c r="M1595" t="s">
        <v>408</v>
      </c>
      <c r="N1595" t="s">
        <v>11</v>
      </c>
      <c r="O1595" t="s">
        <v>11</v>
      </c>
      <c r="P1595" t="s">
        <v>0</v>
      </c>
      <c r="Q1595" t="s">
        <v>408</v>
      </c>
      <c r="R1595" t="s">
        <v>439</v>
      </c>
      <c r="S1595" t="s">
        <v>440</v>
      </c>
      <c r="T1595" t="s">
        <v>11</v>
      </c>
      <c r="U1595" t="s">
        <v>408</v>
      </c>
    </row>
    <row r="1596" spans="1:21" x14ac:dyDescent="0.25">
      <c r="A1596">
        <v>24567039</v>
      </c>
      <c r="B1596" t="s">
        <v>340</v>
      </c>
      <c r="C1596" t="s">
        <v>86</v>
      </c>
      <c r="D1596" t="s">
        <v>12</v>
      </c>
      <c r="E1596" t="s">
        <v>755</v>
      </c>
      <c r="F1596" t="s">
        <v>380</v>
      </c>
      <c r="G1596" t="s">
        <v>369</v>
      </c>
      <c r="H1596" t="s">
        <v>3</v>
      </c>
      <c r="I1596" t="s">
        <v>436</v>
      </c>
      <c r="J1596" t="s">
        <v>441</v>
      </c>
      <c r="K1596" t="s">
        <v>442</v>
      </c>
      <c r="L1596" t="s">
        <v>8</v>
      </c>
      <c r="M1596" t="s">
        <v>408</v>
      </c>
      <c r="N1596" t="s">
        <v>11</v>
      </c>
      <c r="O1596" t="s">
        <v>11</v>
      </c>
      <c r="P1596" t="s">
        <v>0</v>
      </c>
      <c r="Q1596" t="s">
        <v>408</v>
      </c>
      <c r="R1596" t="s">
        <v>439</v>
      </c>
      <c r="S1596" t="s">
        <v>440</v>
      </c>
      <c r="T1596" t="s">
        <v>11</v>
      </c>
      <c r="U1596" t="s">
        <v>408</v>
      </c>
    </row>
    <row r="1597" spans="1:21" x14ac:dyDescent="0.25">
      <c r="A1597">
        <v>24567044</v>
      </c>
      <c r="B1597" t="s">
        <v>342</v>
      </c>
      <c r="C1597" t="s">
        <v>89</v>
      </c>
      <c r="D1597" t="s">
        <v>12</v>
      </c>
      <c r="E1597" t="s">
        <v>755</v>
      </c>
      <c r="F1597" t="s">
        <v>380</v>
      </c>
      <c r="G1597" t="s">
        <v>369</v>
      </c>
      <c r="H1597" t="s">
        <v>0</v>
      </c>
      <c r="I1597" t="s">
        <v>436</v>
      </c>
      <c r="J1597" t="s">
        <v>437</v>
      </c>
      <c r="K1597" t="s">
        <v>438</v>
      </c>
      <c r="L1597" t="s">
        <v>345</v>
      </c>
      <c r="M1597" t="s">
        <v>408</v>
      </c>
      <c r="N1597" t="s">
        <v>11</v>
      </c>
      <c r="O1597" t="s">
        <v>11</v>
      </c>
      <c r="P1597" t="s">
        <v>0</v>
      </c>
      <c r="Q1597" t="s">
        <v>408</v>
      </c>
      <c r="R1597" t="s">
        <v>439</v>
      </c>
      <c r="S1597" t="s">
        <v>440</v>
      </c>
      <c r="T1597" t="s">
        <v>11</v>
      </c>
      <c r="U1597" t="s">
        <v>408</v>
      </c>
    </row>
    <row r="1598" spans="1:21" x14ac:dyDescent="0.25">
      <c r="A1598">
        <v>24567046</v>
      </c>
      <c r="B1598" t="s">
        <v>340</v>
      </c>
      <c r="C1598" t="s">
        <v>86</v>
      </c>
      <c r="D1598" t="s">
        <v>12</v>
      </c>
      <c r="E1598" t="s">
        <v>755</v>
      </c>
      <c r="F1598" t="s">
        <v>380</v>
      </c>
      <c r="G1598" t="s">
        <v>369</v>
      </c>
      <c r="H1598" t="s">
        <v>3</v>
      </c>
      <c r="I1598" t="s">
        <v>436</v>
      </c>
      <c r="J1598" t="s">
        <v>441</v>
      </c>
      <c r="K1598" t="s">
        <v>442</v>
      </c>
      <c r="L1598" t="s">
        <v>8</v>
      </c>
      <c r="M1598" t="s">
        <v>408</v>
      </c>
      <c r="N1598" t="s">
        <v>11</v>
      </c>
      <c r="O1598" t="s">
        <v>11</v>
      </c>
      <c r="P1598" t="s">
        <v>0</v>
      </c>
      <c r="Q1598" t="s">
        <v>408</v>
      </c>
      <c r="R1598" t="s">
        <v>439</v>
      </c>
      <c r="S1598" t="s">
        <v>440</v>
      </c>
      <c r="T1598" t="s">
        <v>11</v>
      </c>
      <c r="U1598" t="s">
        <v>408</v>
      </c>
    </row>
    <row r="1599" spans="1:21" x14ac:dyDescent="0.25">
      <c r="A1599">
        <v>24567047</v>
      </c>
      <c r="B1599" t="s">
        <v>340</v>
      </c>
      <c r="C1599" t="s">
        <v>86</v>
      </c>
      <c r="D1599" t="s">
        <v>12</v>
      </c>
      <c r="E1599" t="s">
        <v>755</v>
      </c>
      <c r="F1599" t="s">
        <v>380</v>
      </c>
      <c r="G1599" t="s">
        <v>369</v>
      </c>
      <c r="H1599" t="s">
        <v>3</v>
      </c>
      <c r="I1599" t="s">
        <v>436</v>
      </c>
      <c r="J1599" t="s">
        <v>441</v>
      </c>
      <c r="K1599" t="s">
        <v>442</v>
      </c>
      <c r="L1599" t="s">
        <v>8</v>
      </c>
      <c r="M1599" t="s">
        <v>408</v>
      </c>
      <c r="N1599" t="s">
        <v>11</v>
      </c>
      <c r="O1599" t="s">
        <v>11</v>
      </c>
      <c r="P1599" t="s">
        <v>0</v>
      </c>
      <c r="Q1599" t="s">
        <v>408</v>
      </c>
      <c r="R1599" t="s">
        <v>439</v>
      </c>
      <c r="S1599" t="s">
        <v>440</v>
      </c>
      <c r="T1599" t="s">
        <v>11</v>
      </c>
      <c r="U1599" t="s">
        <v>408</v>
      </c>
    </row>
    <row r="1600" spans="1:21" x14ac:dyDescent="0.25">
      <c r="A1600">
        <v>24567052</v>
      </c>
      <c r="B1600" t="s">
        <v>342</v>
      </c>
      <c r="C1600" t="s">
        <v>89</v>
      </c>
      <c r="D1600" t="s">
        <v>12</v>
      </c>
      <c r="E1600" t="s">
        <v>755</v>
      </c>
      <c r="F1600" t="s">
        <v>380</v>
      </c>
      <c r="G1600" t="s">
        <v>369</v>
      </c>
      <c r="H1600" t="s">
        <v>0</v>
      </c>
      <c r="I1600" t="s">
        <v>436</v>
      </c>
      <c r="J1600" t="s">
        <v>437</v>
      </c>
      <c r="K1600" t="s">
        <v>438</v>
      </c>
      <c r="L1600" t="s">
        <v>345</v>
      </c>
      <c r="M1600" t="s">
        <v>408</v>
      </c>
      <c r="N1600" t="s">
        <v>11</v>
      </c>
      <c r="O1600" t="s">
        <v>11</v>
      </c>
      <c r="P1600" t="s">
        <v>0</v>
      </c>
      <c r="Q1600" t="s">
        <v>408</v>
      </c>
      <c r="R1600" t="s">
        <v>439</v>
      </c>
      <c r="S1600" t="s">
        <v>440</v>
      </c>
      <c r="T1600" t="s">
        <v>11</v>
      </c>
      <c r="U1600" t="s">
        <v>408</v>
      </c>
    </row>
    <row r="1601" spans="1:21" x14ac:dyDescent="0.25">
      <c r="A1601">
        <v>24567054</v>
      </c>
      <c r="B1601" t="s">
        <v>340</v>
      </c>
      <c r="C1601" t="s">
        <v>86</v>
      </c>
      <c r="D1601" t="s">
        <v>12</v>
      </c>
      <c r="E1601" t="s">
        <v>755</v>
      </c>
      <c r="F1601" t="s">
        <v>380</v>
      </c>
      <c r="G1601" t="s">
        <v>369</v>
      </c>
      <c r="H1601" t="s">
        <v>0</v>
      </c>
      <c r="I1601" t="s">
        <v>436</v>
      </c>
      <c r="J1601" t="s">
        <v>437</v>
      </c>
      <c r="K1601" t="s">
        <v>438</v>
      </c>
      <c r="L1601" t="s">
        <v>345</v>
      </c>
      <c r="M1601" t="s">
        <v>408</v>
      </c>
      <c r="N1601" t="s">
        <v>11</v>
      </c>
      <c r="O1601" t="s">
        <v>11</v>
      </c>
      <c r="P1601" t="s">
        <v>0</v>
      </c>
      <c r="Q1601" t="s">
        <v>408</v>
      </c>
      <c r="R1601" t="s">
        <v>439</v>
      </c>
      <c r="S1601" t="s">
        <v>440</v>
      </c>
      <c r="T1601" t="s">
        <v>11</v>
      </c>
      <c r="U1601" t="s">
        <v>408</v>
      </c>
    </row>
    <row r="1602" spans="1:21" x14ac:dyDescent="0.25">
      <c r="A1602">
        <v>24567064</v>
      </c>
      <c r="B1602" t="s">
        <v>340</v>
      </c>
      <c r="C1602" t="s">
        <v>86</v>
      </c>
      <c r="D1602" t="s">
        <v>12</v>
      </c>
      <c r="E1602" t="s">
        <v>756</v>
      </c>
      <c r="F1602" t="s">
        <v>488</v>
      </c>
      <c r="G1602" t="s">
        <v>369</v>
      </c>
      <c r="H1602" t="s">
        <v>3</v>
      </c>
      <c r="I1602" t="s">
        <v>436</v>
      </c>
      <c r="J1602" t="s">
        <v>441</v>
      </c>
      <c r="K1602" t="s">
        <v>442</v>
      </c>
      <c r="L1602" t="s">
        <v>8</v>
      </c>
      <c r="M1602" t="s">
        <v>408</v>
      </c>
      <c r="N1602" t="s">
        <v>11</v>
      </c>
      <c r="O1602" t="s">
        <v>11</v>
      </c>
      <c r="P1602" t="s">
        <v>0</v>
      </c>
      <c r="Q1602" t="s">
        <v>408</v>
      </c>
      <c r="R1602" t="s">
        <v>439</v>
      </c>
      <c r="S1602" t="s">
        <v>440</v>
      </c>
      <c r="T1602" t="s">
        <v>11</v>
      </c>
      <c r="U1602" t="s">
        <v>408</v>
      </c>
    </row>
    <row r="1603" spans="1:21" x14ac:dyDescent="0.25">
      <c r="A1603">
        <v>24567065</v>
      </c>
      <c r="B1603" t="s">
        <v>340</v>
      </c>
      <c r="C1603" t="s">
        <v>86</v>
      </c>
      <c r="D1603" t="s">
        <v>18</v>
      </c>
      <c r="E1603" t="s">
        <v>755</v>
      </c>
      <c r="F1603" t="s">
        <v>380</v>
      </c>
      <c r="G1603" t="s">
        <v>369</v>
      </c>
      <c r="H1603" t="s">
        <v>0</v>
      </c>
      <c r="I1603" t="s">
        <v>436</v>
      </c>
      <c r="J1603" t="s">
        <v>437</v>
      </c>
      <c r="K1603" t="s">
        <v>438</v>
      </c>
      <c r="L1603" t="s">
        <v>1</v>
      </c>
      <c r="M1603" t="s">
        <v>408</v>
      </c>
      <c r="N1603" t="s">
        <v>11</v>
      </c>
      <c r="O1603" t="s">
        <v>11</v>
      </c>
      <c r="P1603" t="s">
        <v>0</v>
      </c>
      <c r="Q1603" t="s">
        <v>408</v>
      </c>
      <c r="R1603" t="s">
        <v>439</v>
      </c>
      <c r="S1603" t="s">
        <v>440</v>
      </c>
      <c r="T1603" t="s">
        <v>11</v>
      </c>
      <c r="U1603" t="s">
        <v>408</v>
      </c>
    </row>
    <row r="1604" spans="1:21" x14ac:dyDescent="0.25">
      <c r="A1604">
        <v>24567068</v>
      </c>
      <c r="B1604" t="s">
        <v>340</v>
      </c>
      <c r="C1604" t="s">
        <v>86</v>
      </c>
      <c r="D1604" t="s">
        <v>12</v>
      </c>
      <c r="E1604" t="s">
        <v>755</v>
      </c>
      <c r="F1604" t="s">
        <v>380</v>
      </c>
      <c r="G1604" t="s">
        <v>369</v>
      </c>
      <c r="H1604" t="s">
        <v>0</v>
      </c>
      <c r="I1604" t="s">
        <v>436</v>
      </c>
      <c r="J1604" t="s">
        <v>437</v>
      </c>
      <c r="K1604" t="s">
        <v>438</v>
      </c>
      <c r="L1604" t="s">
        <v>1</v>
      </c>
      <c r="M1604" t="s">
        <v>408</v>
      </c>
      <c r="N1604" t="s">
        <v>11</v>
      </c>
      <c r="O1604" t="s">
        <v>11</v>
      </c>
      <c r="P1604" t="s">
        <v>0</v>
      </c>
      <c r="Q1604" t="s">
        <v>408</v>
      </c>
      <c r="R1604" t="s">
        <v>439</v>
      </c>
      <c r="S1604" t="s">
        <v>440</v>
      </c>
      <c r="T1604" t="s">
        <v>11</v>
      </c>
      <c r="U1604" t="s">
        <v>408</v>
      </c>
    </row>
    <row r="1605" spans="1:21" x14ac:dyDescent="0.25">
      <c r="A1605">
        <v>24567070</v>
      </c>
      <c r="B1605" t="s">
        <v>340</v>
      </c>
      <c r="C1605" t="s">
        <v>86</v>
      </c>
      <c r="D1605" t="s">
        <v>18</v>
      </c>
      <c r="E1605" t="s">
        <v>755</v>
      </c>
      <c r="F1605" t="s">
        <v>380</v>
      </c>
      <c r="G1605" t="s">
        <v>369</v>
      </c>
      <c r="H1605" t="s">
        <v>3</v>
      </c>
      <c r="I1605" t="s">
        <v>436</v>
      </c>
      <c r="J1605" t="s">
        <v>441</v>
      </c>
      <c r="K1605" t="s">
        <v>442</v>
      </c>
      <c r="L1605" t="s">
        <v>8</v>
      </c>
      <c r="M1605" t="s">
        <v>408</v>
      </c>
      <c r="N1605" t="s">
        <v>11</v>
      </c>
      <c r="O1605" t="s">
        <v>11</v>
      </c>
      <c r="P1605" t="s">
        <v>0</v>
      </c>
      <c r="Q1605" t="s">
        <v>408</v>
      </c>
      <c r="R1605" t="s">
        <v>439</v>
      </c>
      <c r="S1605" t="s">
        <v>440</v>
      </c>
      <c r="T1605" t="s">
        <v>11</v>
      </c>
      <c r="U1605" t="s">
        <v>408</v>
      </c>
    </row>
    <row r="1606" spans="1:21" x14ac:dyDescent="0.25">
      <c r="A1606">
        <v>24567074</v>
      </c>
      <c r="B1606" t="s">
        <v>340</v>
      </c>
      <c r="C1606" t="s">
        <v>86</v>
      </c>
      <c r="D1606" t="s">
        <v>12</v>
      </c>
      <c r="E1606" t="s">
        <v>630</v>
      </c>
      <c r="F1606" t="s">
        <v>489</v>
      </c>
      <c r="G1606" t="s">
        <v>369</v>
      </c>
      <c r="H1606" t="s">
        <v>0</v>
      </c>
      <c r="I1606" t="s">
        <v>436</v>
      </c>
      <c r="J1606" t="s">
        <v>437</v>
      </c>
      <c r="K1606" t="s">
        <v>438</v>
      </c>
      <c r="L1606" t="s">
        <v>1</v>
      </c>
      <c r="M1606" t="s">
        <v>408</v>
      </c>
      <c r="N1606" t="s">
        <v>11</v>
      </c>
      <c r="O1606" t="s">
        <v>11</v>
      </c>
      <c r="P1606" t="s">
        <v>0</v>
      </c>
      <c r="Q1606" t="s">
        <v>408</v>
      </c>
      <c r="R1606" t="s">
        <v>439</v>
      </c>
      <c r="S1606" t="s">
        <v>440</v>
      </c>
      <c r="T1606" t="s">
        <v>11</v>
      </c>
      <c r="U1606" t="s">
        <v>408</v>
      </c>
    </row>
    <row r="1607" spans="1:21" x14ac:dyDescent="0.25">
      <c r="A1607">
        <v>24567077</v>
      </c>
      <c r="B1607" t="s">
        <v>340</v>
      </c>
      <c r="C1607" t="s">
        <v>86</v>
      </c>
      <c r="D1607" t="s">
        <v>12</v>
      </c>
      <c r="E1607" t="s">
        <v>755</v>
      </c>
      <c r="F1607" t="s">
        <v>380</v>
      </c>
      <c r="G1607" t="s">
        <v>369</v>
      </c>
      <c r="H1607" t="s">
        <v>0</v>
      </c>
      <c r="I1607" t="s">
        <v>436</v>
      </c>
      <c r="J1607" t="s">
        <v>437</v>
      </c>
      <c r="K1607" t="s">
        <v>438</v>
      </c>
      <c r="L1607" t="s">
        <v>1</v>
      </c>
      <c r="M1607" t="s">
        <v>408</v>
      </c>
      <c r="N1607" t="s">
        <v>11</v>
      </c>
      <c r="O1607" t="s">
        <v>11</v>
      </c>
      <c r="P1607" t="s">
        <v>0</v>
      </c>
      <c r="Q1607" t="s">
        <v>408</v>
      </c>
      <c r="R1607" t="s">
        <v>439</v>
      </c>
      <c r="S1607" t="s">
        <v>440</v>
      </c>
      <c r="T1607" t="s">
        <v>11</v>
      </c>
      <c r="U1607" t="s">
        <v>408</v>
      </c>
    </row>
    <row r="1608" spans="1:21" x14ac:dyDescent="0.25">
      <c r="A1608">
        <v>24567078</v>
      </c>
      <c r="B1608" t="s">
        <v>340</v>
      </c>
      <c r="C1608" t="s">
        <v>86</v>
      </c>
      <c r="D1608" t="s">
        <v>12</v>
      </c>
      <c r="E1608" t="s">
        <v>755</v>
      </c>
      <c r="F1608" t="s">
        <v>380</v>
      </c>
      <c r="G1608" t="s">
        <v>369</v>
      </c>
      <c r="H1608" t="s">
        <v>3</v>
      </c>
      <c r="I1608" t="s">
        <v>436</v>
      </c>
      <c r="J1608" t="s">
        <v>441</v>
      </c>
      <c r="K1608" t="s">
        <v>442</v>
      </c>
      <c r="L1608" t="s">
        <v>8</v>
      </c>
      <c r="M1608" t="s">
        <v>408</v>
      </c>
      <c r="N1608" t="s">
        <v>11</v>
      </c>
      <c r="O1608" t="s">
        <v>11</v>
      </c>
      <c r="P1608" t="s">
        <v>0</v>
      </c>
      <c r="Q1608" t="s">
        <v>408</v>
      </c>
      <c r="R1608" t="s">
        <v>439</v>
      </c>
      <c r="S1608" t="s">
        <v>440</v>
      </c>
      <c r="T1608" t="s">
        <v>11</v>
      </c>
      <c r="U1608" t="s">
        <v>408</v>
      </c>
    </row>
    <row r="1609" spans="1:21" x14ac:dyDescent="0.25">
      <c r="A1609">
        <v>24567083</v>
      </c>
      <c r="B1609" t="s">
        <v>340</v>
      </c>
      <c r="C1609" t="s">
        <v>86</v>
      </c>
      <c r="D1609" t="s">
        <v>18</v>
      </c>
      <c r="E1609" t="s">
        <v>755</v>
      </c>
      <c r="F1609" t="s">
        <v>380</v>
      </c>
      <c r="G1609" t="s">
        <v>369</v>
      </c>
      <c r="H1609" t="s">
        <v>0</v>
      </c>
      <c r="I1609" t="s">
        <v>436</v>
      </c>
      <c r="J1609" t="s">
        <v>437</v>
      </c>
      <c r="K1609" t="s">
        <v>438</v>
      </c>
      <c r="L1609" t="s">
        <v>1</v>
      </c>
      <c r="M1609" t="s">
        <v>408</v>
      </c>
      <c r="N1609" t="s">
        <v>11</v>
      </c>
      <c r="O1609" t="s">
        <v>11</v>
      </c>
      <c r="P1609" t="s">
        <v>0</v>
      </c>
      <c r="Q1609" t="s">
        <v>408</v>
      </c>
      <c r="R1609" t="s">
        <v>439</v>
      </c>
      <c r="S1609" t="s">
        <v>440</v>
      </c>
      <c r="T1609" t="s">
        <v>11</v>
      </c>
      <c r="U1609" t="s">
        <v>408</v>
      </c>
    </row>
    <row r="1610" spans="1:21" x14ac:dyDescent="0.25">
      <c r="A1610">
        <v>24567085</v>
      </c>
      <c r="B1610" t="s">
        <v>340</v>
      </c>
      <c r="C1610" t="s">
        <v>86</v>
      </c>
      <c r="D1610" t="s">
        <v>12</v>
      </c>
      <c r="E1610" t="s">
        <v>755</v>
      </c>
      <c r="F1610" t="s">
        <v>380</v>
      </c>
      <c r="G1610" t="s">
        <v>369</v>
      </c>
      <c r="H1610" t="s">
        <v>3</v>
      </c>
      <c r="I1610" t="s">
        <v>436</v>
      </c>
      <c r="J1610" t="s">
        <v>441</v>
      </c>
      <c r="K1610" t="s">
        <v>442</v>
      </c>
      <c r="L1610" t="s">
        <v>8</v>
      </c>
      <c r="M1610" t="s">
        <v>408</v>
      </c>
      <c r="N1610" t="s">
        <v>11</v>
      </c>
      <c r="O1610" t="s">
        <v>11</v>
      </c>
      <c r="P1610" t="s">
        <v>0</v>
      </c>
      <c r="Q1610" t="s">
        <v>408</v>
      </c>
      <c r="R1610" t="s">
        <v>439</v>
      </c>
      <c r="S1610" t="s">
        <v>440</v>
      </c>
      <c r="T1610" t="s">
        <v>11</v>
      </c>
      <c r="U1610" t="s">
        <v>408</v>
      </c>
    </row>
    <row r="1611" spans="1:21" x14ac:dyDescent="0.25">
      <c r="A1611">
        <v>24567089</v>
      </c>
      <c r="B1611" t="s">
        <v>340</v>
      </c>
      <c r="C1611" t="s">
        <v>86</v>
      </c>
      <c r="D1611" t="s">
        <v>12</v>
      </c>
      <c r="E1611" t="s">
        <v>755</v>
      </c>
      <c r="F1611" t="s">
        <v>380</v>
      </c>
      <c r="G1611" t="s">
        <v>369</v>
      </c>
      <c r="H1611" t="s">
        <v>0</v>
      </c>
      <c r="I1611" t="s">
        <v>436</v>
      </c>
      <c r="J1611" t="s">
        <v>437</v>
      </c>
      <c r="K1611" t="s">
        <v>438</v>
      </c>
      <c r="L1611" t="s">
        <v>345</v>
      </c>
      <c r="M1611" t="s">
        <v>408</v>
      </c>
      <c r="N1611" t="s">
        <v>11</v>
      </c>
      <c r="O1611" t="s">
        <v>11</v>
      </c>
      <c r="P1611" t="s">
        <v>0</v>
      </c>
      <c r="Q1611" t="s">
        <v>408</v>
      </c>
      <c r="R1611" t="s">
        <v>439</v>
      </c>
      <c r="S1611" t="s">
        <v>440</v>
      </c>
      <c r="T1611" t="s">
        <v>11</v>
      </c>
      <c r="U1611" t="s">
        <v>408</v>
      </c>
    </row>
    <row r="1612" spans="1:21" x14ac:dyDescent="0.25">
      <c r="A1612">
        <v>24567095</v>
      </c>
      <c r="B1612" t="s">
        <v>340</v>
      </c>
      <c r="C1612" t="s">
        <v>86</v>
      </c>
      <c r="D1612" t="s">
        <v>12</v>
      </c>
      <c r="E1612" t="s">
        <v>755</v>
      </c>
      <c r="F1612" t="s">
        <v>380</v>
      </c>
      <c r="G1612" t="s">
        <v>369</v>
      </c>
      <c r="H1612" t="s">
        <v>0</v>
      </c>
      <c r="I1612" t="s">
        <v>436</v>
      </c>
      <c r="J1612" t="s">
        <v>437</v>
      </c>
      <c r="K1612" t="s">
        <v>438</v>
      </c>
      <c r="L1612" t="s">
        <v>345</v>
      </c>
      <c r="M1612" t="s">
        <v>408</v>
      </c>
      <c r="N1612" t="s">
        <v>11</v>
      </c>
      <c r="O1612" t="s">
        <v>11</v>
      </c>
      <c r="P1612" t="s">
        <v>0</v>
      </c>
      <c r="Q1612" t="s">
        <v>408</v>
      </c>
      <c r="R1612" t="s">
        <v>439</v>
      </c>
      <c r="S1612" t="s">
        <v>440</v>
      </c>
      <c r="T1612" t="s">
        <v>11</v>
      </c>
      <c r="U1612" t="s">
        <v>408</v>
      </c>
    </row>
    <row r="1613" spans="1:21" x14ac:dyDescent="0.25">
      <c r="A1613">
        <v>24567102</v>
      </c>
      <c r="B1613" t="s">
        <v>342</v>
      </c>
      <c r="C1613" t="s">
        <v>89</v>
      </c>
      <c r="D1613" t="s">
        <v>18</v>
      </c>
      <c r="E1613" t="s">
        <v>755</v>
      </c>
      <c r="F1613" t="s">
        <v>380</v>
      </c>
      <c r="G1613" t="s">
        <v>369</v>
      </c>
      <c r="H1613" t="s">
        <v>0</v>
      </c>
      <c r="I1613" t="s">
        <v>436</v>
      </c>
      <c r="J1613" t="s">
        <v>437</v>
      </c>
      <c r="K1613" t="s">
        <v>438</v>
      </c>
      <c r="L1613" t="s">
        <v>345</v>
      </c>
      <c r="M1613" t="s">
        <v>408</v>
      </c>
      <c r="N1613" t="s">
        <v>11</v>
      </c>
      <c r="O1613" t="s">
        <v>11</v>
      </c>
      <c r="P1613" t="s">
        <v>0</v>
      </c>
      <c r="Q1613" t="s">
        <v>408</v>
      </c>
      <c r="R1613" t="s">
        <v>439</v>
      </c>
      <c r="S1613" t="s">
        <v>440</v>
      </c>
      <c r="T1613" t="s">
        <v>11</v>
      </c>
      <c r="U1613" t="s">
        <v>408</v>
      </c>
    </row>
    <row r="1614" spans="1:21" x14ac:dyDescent="0.25">
      <c r="A1614">
        <v>24567105</v>
      </c>
      <c r="B1614" t="s">
        <v>340</v>
      </c>
      <c r="C1614" t="s">
        <v>86</v>
      </c>
      <c r="D1614" t="s">
        <v>12</v>
      </c>
      <c r="E1614" t="s">
        <v>755</v>
      </c>
      <c r="F1614" t="s">
        <v>380</v>
      </c>
      <c r="G1614" t="s">
        <v>369</v>
      </c>
      <c r="H1614" t="s">
        <v>3</v>
      </c>
      <c r="I1614" t="s">
        <v>436</v>
      </c>
      <c r="J1614" t="s">
        <v>441</v>
      </c>
      <c r="K1614" t="s">
        <v>442</v>
      </c>
      <c r="L1614" t="s">
        <v>8</v>
      </c>
      <c r="M1614" t="s">
        <v>408</v>
      </c>
      <c r="N1614" t="s">
        <v>11</v>
      </c>
      <c r="O1614" t="s">
        <v>11</v>
      </c>
      <c r="P1614" t="s">
        <v>0</v>
      </c>
      <c r="Q1614" t="s">
        <v>408</v>
      </c>
      <c r="R1614" t="s">
        <v>439</v>
      </c>
      <c r="S1614" t="s">
        <v>440</v>
      </c>
      <c r="T1614" t="s">
        <v>11</v>
      </c>
      <c r="U1614" t="s">
        <v>408</v>
      </c>
    </row>
    <row r="1615" spans="1:21" x14ac:dyDescent="0.25">
      <c r="A1615">
        <v>24567110</v>
      </c>
      <c r="B1615" t="s">
        <v>340</v>
      </c>
      <c r="C1615" t="s">
        <v>86</v>
      </c>
      <c r="D1615" t="s">
        <v>12</v>
      </c>
      <c r="E1615" t="s">
        <v>755</v>
      </c>
      <c r="F1615" t="s">
        <v>380</v>
      </c>
      <c r="G1615" t="s">
        <v>369</v>
      </c>
      <c r="H1615" t="s">
        <v>3</v>
      </c>
      <c r="I1615" t="s">
        <v>436</v>
      </c>
      <c r="J1615" t="s">
        <v>441</v>
      </c>
      <c r="K1615" t="s">
        <v>442</v>
      </c>
      <c r="L1615" t="s">
        <v>8</v>
      </c>
      <c r="M1615" t="s">
        <v>408</v>
      </c>
      <c r="N1615" t="s">
        <v>11</v>
      </c>
      <c r="O1615" t="s">
        <v>11</v>
      </c>
      <c r="P1615" t="s">
        <v>0</v>
      </c>
      <c r="Q1615" t="s">
        <v>408</v>
      </c>
      <c r="R1615" t="s">
        <v>439</v>
      </c>
      <c r="S1615" t="s">
        <v>440</v>
      </c>
      <c r="T1615" t="s">
        <v>11</v>
      </c>
      <c r="U1615" t="s">
        <v>408</v>
      </c>
    </row>
    <row r="1616" spans="1:21" x14ac:dyDescent="0.25">
      <c r="A1616">
        <v>24567112</v>
      </c>
      <c r="B1616" t="s">
        <v>340</v>
      </c>
      <c r="C1616" t="s">
        <v>86</v>
      </c>
      <c r="D1616" t="s">
        <v>12</v>
      </c>
      <c r="E1616" t="s">
        <v>755</v>
      </c>
      <c r="F1616" t="s">
        <v>380</v>
      </c>
      <c r="G1616" t="s">
        <v>369</v>
      </c>
      <c r="H1616" t="s">
        <v>0</v>
      </c>
      <c r="I1616" t="s">
        <v>436</v>
      </c>
      <c r="J1616" t="s">
        <v>437</v>
      </c>
      <c r="K1616" t="s">
        <v>438</v>
      </c>
      <c r="L1616" t="s">
        <v>1</v>
      </c>
      <c r="M1616" t="s">
        <v>408</v>
      </c>
      <c r="N1616" t="s">
        <v>11</v>
      </c>
      <c r="O1616" t="s">
        <v>11</v>
      </c>
      <c r="P1616" t="s">
        <v>0</v>
      </c>
      <c r="Q1616" t="s">
        <v>408</v>
      </c>
      <c r="R1616" t="s">
        <v>439</v>
      </c>
      <c r="S1616" t="s">
        <v>440</v>
      </c>
      <c r="T1616" t="s">
        <v>11</v>
      </c>
      <c r="U1616" t="s">
        <v>408</v>
      </c>
    </row>
    <row r="1617" spans="1:21" x14ac:dyDescent="0.25">
      <c r="A1617">
        <v>24567116</v>
      </c>
      <c r="B1617" t="s">
        <v>340</v>
      </c>
      <c r="C1617" t="s">
        <v>86</v>
      </c>
      <c r="D1617" t="s">
        <v>12</v>
      </c>
      <c r="E1617" t="s">
        <v>755</v>
      </c>
      <c r="F1617" t="s">
        <v>380</v>
      </c>
      <c r="G1617" t="s">
        <v>369</v>
      </c>
      <c r="H1617" t="s">
        <v>0</v>
      </c>
      <c r="I1617" t="s">
        <v>436</v>
      </c>
      <c r="J1617" t="s">
        <v>437</v>
      </c>
      <c r="K1617" t="s">
        <v>438</v>
      </c>
      <c r="L1617" t="s">
        <v>345</v>
      </c>
      <c r="M1617" t="s">
        <v>408</v>
      </c>
      <c r="N1617" t="s">
        <v>11</v>
      </c>
      <c r="O1617" t="s">
        <v>11</v>
      </c>
      <c r="P1617" t="s">
        <v>0</v>
      </c>
      <c r="Q1617" t="s">
        <v>408</v>
      </c>
      <c r="R1617" t="s">
        <v>439</v>
      </c>
      <c r="S1617" t="s">
        <v>440</v>
      </c>
      <c r="T1617" t="s">
        <v>11</v>
      </c>
      <c r="U1617" t="s">
        <v>408</v>
      </c>
    </row>
    <row r="1618" spans="1:21" x14ac:dyDescent="0.25">
      <c r="A1618">
        <v>24567117</v>
      </c>
      <c r="B1618" t="s">
        <v>340</v>
      </c>
      <c r="C1618" t="s">
        <v>86</v>
      </c>
      <c r="D1618" t="s">
        <v>12</v>
      </c>
      <c r="E1618" t="s">
        <v>755</v>
      </c>
      <c r="F1618" t="s">
        <v>380</v>
      </c>
      <c r="G1618" t="s">
        <v>369</v>
      </c>
      <c r="H1618" t="s">
        <v>3</v>
      </c>
      <c r="I1618" t="s">
        <v>436</v>
      </c>
      <c r="J1618" t="s">
        <v>441</v>
      </c>
      <c r="K1618" t="s">
        <v>442</v>
      </c>
      <c r="L1618" t="s">
        <v>8</v>
      </c>
      <c r="M1618" t="s">
        <v>408</v>
      </c>
      <c r="N1618" t="s">
        <v>11</v>
      </c>
      <c r="O1618" t="s">
        <v>11</v>
      </c>
      <c r="P1618" t="s">
        <v>0</v>
      </c>
      <c r="Q1618" t="s">
        <v>408</v>
      </c>
      <c r="R1618" t="s">
        <v>439</v>
      </c>
      <c r="S1618" t="s">
        <v>440</v>
      </c>
      <c r="T1618" t="s">
        <v>11</v>
      </c>
      <c r="U1618" t="s">
        <v>408</v>
      </c>
    </row>
    <row r="1619" spans="1:21" x14ac:dyDescent="0.25">
      <c r="A1619">
        <v>24567131</v>
      </c>
      <c r="B1619" t="s">
        <v>340</v>
      </c>
      <c r="C1619" t="s">
        <v>86</v>
      </c>
      <c r="D1619" t="s">
        <v>12</v>
      </c>
      <c r="E1619" t="s">
        <v>755</v>
      </c>
      <c r="F1619" t="s">
        <v>380</v>
      </c>
      <c r="G1619" t="s">
        <v>369</v>
      </c>
      <c r="H1619" t="s">
        <v>3</v>
      </c>
      <c r="I1619" t="s">
        <v>436</v>
      </c>
      <c r="J1619" t="s">
        <v>441</v>
      </c>
      <c r="K1619" t="s">
        <v>442</v>
      </c>
      <c r="L1619" t="s">
        <v>8</v>
      </c>
      <c r="M1619" t="s">
        <v>408</v>
      </c>
      <c r="N1619" t="s">
        <v>11</v>
      </c>
      <c r="O1619" t="s">
        <v>11</v>
      </c>
      <c r="P1619" t="s">
        <v>0</v>
      </c>
      <c r="Q1619" t="s">
        <v>408</v>
      </c>
      <c r="R1619" t="s">
        <v>439</v>
      </c>
      <c r="S1619" t="s">
        <v>440</v>
      </c>
      <c r="T1619" t="s">
        <v>11</v>
      </c>
      <c r="U1619" t="s">
        <v>408</v>
      </c>
    </row>
    <row r="1620" spans="1:21" x14ac:dyDescent="0.25">
      <c r="A1620">
        <v>24567144</v>
      </c>
      <c r="B1620" t="s">
        <v>340</v>
      </c>
      <c r="C1620" t="s">
        <v>86</v>
      </c>
      <c r="D1620" t="s">
        <v>12</v>
      </c>
      <c r="E1620" t="s">
        <v>755</v>
      </c>
      <c r="F1620" t="s">
        <v>380</v>
      </c>
      <c r="G1620" t="s">
        <v>369</v>
      </c>
      <c r="H1620" t="s">
        <v>1</v>
      </c>
      <c r="I1620" t="s">
        <v>469</v>
      </c>
      <c r="J1620" t="s">
        <v>445</v>
      </c>
      <c r="K1620" t="s">
        <v>438</v>
      </c>
      <c r="L1620" t="s">
        <v>0</v>
      </c>
      <c r="M1620" t="s">
        <v>408</v>
      </c>
      <c r="N1620" t="s">
        <v>11</v>
      </c>
      <c r="O1620" t="s">
        <v>11</v>
      </c>
      <c r="P1620" t="s">
        <v>0</v>
      </c>
      <c r="Q1620" t="s">
        <v>408</v>
      </c>
      <c r="R1620" t="s">
        <v>439</v>
      </c>
      <c r="S1620" t="s">
        <v>440</v>
      </c>
      <c r="T1620" t="s">
        <v>11</v>
      </c>
      <c r="U1620" t="s">
        <v>408</v>
      </c>
    </row>
    <row r="1621" spans="1:21" x14ac:dyDescent="0.25">
      <c r="A1621">
        <v>24567148</v>
      </c>
      <c r="B1621" t="s">
        <v>340</v>
      </c>
      <c r="C1621" t="s">
        <v>86</v>
      </c>
      <c r="D1621" t="s">
        <v>12</v>
      </c>
      <c r="E1621" t="s">
        <v>755</v>
      </c>
      <c r="F1621" t="s">
        <v>380</v>
      </c>
      <c r="G1621" t="s">
        <v>369</v>
      </c>
      <c r="H1621" t="s">
        <v>3</v>
      </c>
      <c r="I1621" t="s">
        <v>436</v>
      </c>
      <c r="J1621" t="s">
        <v>441</v>
      </c>
      <c r="K1621" t="s">
        <v>442</v>
      </c>
      <c r="L1621" t="s">
        <v>8</v>
      </c>
      <c r="M1621" t="s">
        <v>408</v>
      </c>
      <c r="N1621" t="s">
        <v>11</v>
      </c>
      <c r="O1621" t="s">
        <v>11</v>
      </c>
      <c r="P1621" t="s">
        <v>0</v>
      </c>
      <c r="Q1621" t="s">
        <v>408</v>
      </c>
      <c r="R1621" t="s">
        <v>439</v>
      </c>
      <c r="S1621" t="s">
        <v>440</v>
      </c>
      <c r="T1621" t="s">
        <v>11</v>
      </c>
      <c r="U1621" t="s">
        <v>408</v>
      </c>
    </row>
    <row r="1622" spans="1:21" x14ac:dyDescent="0.25">
      <c r="A1622">
        <v>24567150</v>
      </c>
      <c r="B1622" t="s">
        <v>340</v>
      </c>
      <c r="C1622" t="s">
        <v>86</v>
      </c>
      <c r="D1622" t="s">
        <v>12</v>
      </c>
      <c r="E1622" t="s">
        <v>755</v>
      </c>
      <c r="F1622" t="s">
        <v>380</v>
      </c>
      <c r="G1622" t="s">
        <v>369</v>
      </c>
      <c r="H1622" t="s">
        <v>3</v>
      </c>
      <c r="I1622" t="s">
        <v>436</v>
      </c>
      <c r="J1622" t="s">
        <v>441</v>
      </c>
      <c r="K1622" t="s">
        <v>442</v>
      </c>
      <c r="L1622" t="s">
        <v>8</v>
      </c>
      <c r="M1622" t="s">
        <v>408</v>
      </c>
      <c r="N1622" t="s">
        <v>11</v>
      </c>
      <c r="O1622" t="s">
        <v>11</v>
      </c>
      <c r="P1622" t="s">
        <v>0</v>
      </c>
      <c r="Q1622" t="s">
        <v>408</v>
      </c>
      <c r="R1622" t="s">
        <v>439</v>
      </c>
      <c r="S1622" t="s">
        <v>440</v>
      </c>
      <c r="T1622" t="s">
        <v>11</v>
      </c>
      <c r="U1622" t="s">
        <v>408</v>
      </c>
    </row>
    <row r="1623" spans="1:21" x14ac:dyDescent="0.25">
      <c r="A1623">
        <v>24567151</v>
      </c>
      <c r="B1623" t="s">
        <v>340</v>
      </c>
      <c r="C1623" t="s">
        <v>86</v>
      </c>
      <c r="D1623" t="s">
        <v>12</v>
      </c>
      <c r="E1623" t="s">
        <v>755</v>
      </c>
      <c r="F1623" t="s">
        <v>380</v>
      </c>
      <c r="G1623" t="s">
        <v>369</v>
      </c>
      <c r="H1623" t="s">
        <v>3</v>
      </c>
      <c r="I1623" t="s">
        <v>436</v>
      </c>
      <c r="J1623" t="s">
        <v>441</v>
      </c>
      <c r="K1623" t="s">
        <v>442</v>
      </c>
      <c r="L1623" t="s">
        <v>8</v>
      </c>
      <c r="M1623" t="s">
        <v>408</v>
      </c>
      <c r="N1623" t="s">
        <v>11</v>
      </c>
      <c r="O1623" t="s">
        <v>11</v>
      </c>
      <c r="P1623" t="s">
        <v>0</v>
      </c>
      <c r="Q1623" t="s">
        <v>408</v>
      </c>
      <c r="R1623" t="s">
        <v>439</v>
      </c>
      <c r="S1623" t="s">
        <v>440</v>
      </c>
      <c r="T1623" t="s">
        <v>11</v>
      </c>
      <c r="U1623" t="s">
        <v>408</v>
      </c>
    </row>
    <row r="1624" spans="1:21" x14ac:dyDescent="0.25">
      <c r="A1624">
        <v>24567155</v>
      </c>
      <c r="B1624" t="s">
        <v>340</v>
      </c>
      <c r="C1624" t="s">
        <v>86</v>
      </c>
      <c r="D1624" t="s">
        <v>12</v>
      </c>
      <c r="E1624" t="s">
        <v>755</v>
      </c>
      <c r="F1624" t="s">
        <v>380</v>
      </c>
      <c r="G1624" t="s">
        <v>369</v>
      </c>
      <c r="H1624" t="s">
        <v>3</v>
      </c>
      <c r="I1624" t="s">
        <v>436</v>
      </c>
      <c r="J1624" t="s">
        <v>441</v>
      </c>
      <c r="K1624" t="s">
        <v>442</v>
      </c>
      <c r="L1624" t="s">
        <v>8</v>
      </c>
      <c r="M1624" t="s">
        <v>408</v>
      </c>
      <c r="N1624" t="s">
        <v>11</v>
      </c>
      <c r="O1624" t="s">
        <v>11</v>
      </c>
      <c r="P1624" t="s">
        <v>0</v>
      </c>
      <c r="Q1624" t="s">
        <v>408</v>
      </c>
      <c r="R1624" t="s">
        <v>439</v>
      </c>
      <c r="S1624" t="s">
        <v>440</v>
      </c>
      <c r="T1624" t="s">
        <v>11</v>
      </c>
      <c r="U1624" t="s">
        <v>408</v>
      </c>
    </row>
    <row r="1625" spans="1:21" x14ac:dyDescent="0.25">
      <c r="A1625">
        <v>24567156</v>
      </c>
      <c r="B1625" t="s">
        <v>340</v>
      </c>
      <c r="C1625" t="s">
        <v>86</v>
      </c>
      <c r="D1625" t="s">
        <v>12</v>
      </c>
      <c r="E1625" t="s">
        <v>630</v>
      </c>
      <c r="F1625" t="s">
        <v>381</v>
      </c>
      <c r="G1625" t="s">
        <v>369</v>
      </c>
      <c r="H1625" t="s">
        <v>3</v>
      </c>
      <c r="I1625" t="s">
        <v>436</v>
      </c>
      <c r="J1625" t="s">
        <v>441</v>
      </c>
      <c r="K1625" t="s">
        <v>442</v>
      </c>
      <c r="L1625" t="s">
        <v>8</v>
      </c>
      <c r="M1625" t="s">
        <v>408</v>
      </c>
      <c r="N1625" t="s">
        <v>11</v>
      </c>
      <c r="O1625" t="s">
        <v>11</v>
      </c>
      <c r="P1625" t="s">
        <v>0</v>
      </c>
      <c r="Q1625" t="s">
        <v>408</v>
      </c>
      <c r="R1625" t="s">
        <v>439</v>
      </c>
      <c r="S1625" t="s">
        <v>440</v>
      </c>
      <c r="T1625" t="s">
        <v>11</v>
      </c>
      <c r="U1625" t="s">
        <v>408</v>
      </c>
    </row>
    <row r="1626" spans="1:21" x14ac:dyDescent="0.25">
      <c r="A1626">
        <v>24567160</v>
      </c>
      <c r="B1626" t="s">
        <v>340</v>
      </c>
      <c r="C1626" t="s">
        <v>86</v>
      </c>
      <c r="D1626" t="s">
        <v>12</v>
      </c>
      <c r="E1626" t="s">
        <v>630</v>
      </c>
      <c r="F1626" t="s">
        <v>382</v>
      </c>
      <c r="G1626" t="s">
        <v>369</v>
      </c>
      <c r="H1626" t="s">
        <v>3</v>
      </c>
      <c r="I1626" t="s">
        <v>436</v>
      </c>
      <c r="J1626" t="s">
        <v>441</v>
      </c>
      <c r="K1626" t="s">
        <v>442</v>
      </c>
      <c r="L1626" t="s">
        <v>8</v>
      </c>
      <c r="M1626" t="s">
        <v>408</v>
      </c>
      <c r="N1626" t="s">
        <v>11</v>
      </c>
      <c r="O1626" t="s">
        <v>11</v>
      </c>
      <c r="P1626" t="s">
        <v>0</v>
      </c>
      <c r="Q1626" t="s">
        <v>408</v>
      </c>
      <c r="R1626" t="s">
        <v>439</v>
      </c>
      <c r="S1626" t="s">
        <v>440</v>
      </c>
      <c r="T1626" t="s">
        <v>11</v>
      </c>
      <c r="U1626" t="s">
        <v>408</v>
      </c>
    </row>
    <row r="1627" spans="1:21" x14ac:dyDescent="0.25">
      <c r="A1627">
        <v>24567161</v>
      </c>
      <c r="B1627" t="s">
        <v>340</v>
      </c>
      <c r="C1627" t="s">
        <v>86</v>
      </c>
      <c r="D1627" t="s">
        <v>12</v>
      </c>
      <c r="E1627" t="s">
        <v>630</v>
      </c>
      <c r="F1627" t="s">
        <v>381</v>
      </c>
      <c r="G1627" t="s">
        <v>369</v>
      </c>
      <c r="H1627" t="s">
        <v>3</v>
      </c>
      <c r="I1627" t="s">
        <v>436</v>
      </c>
      <c r="J1627" t="s">
        <v>441</v>
      </c>
      <c r="K1627" t="s">
        <v>442</v>
      </c>
      <c r="L1627" t="s">
        <v>8</v>
      </c>
      <c r="M1627" t="s">
        <v>408</v>
      </c>
      <c r="N1627" t="s">
        <v>11</v>
      </c>
      <c r="O1627" t="s">
        <v>11</v>
      </c>
      <c r="P1627" t="s">
        <v>0</v>
      </c>
      <c r="Q1627" t="s">
        <v>408</v>
      </c>
      <c r="R1627" t="s">
        <v>439</v>
      </c>
      <c r="S1627" t="s">
        <v>440</v>
      </c>
      <c r="T1627" t="s">
        <v>11</v>
      </c>
      <c r="U1627" t="s">
        <v>408</v>
      </c>
    </row>
    <row r="1628" spans="1:21" x14ac:dyDescent="0.25">
      <c r="A1628">
        <v>24567166</v>
      </c>
      <c r="B1628" t="s">
        <v>340</v>
      </c>
      <c r="C1628" t="s">
        <v>86</v>
      </c>
      <c r="D1628" t="s">
        <v>18</v>
      </c>
      <c r="E1628" t="s">
        <v>630</v>
      </c>
      <c r="F1628" t="s">
        <v>382</v>
      </c>
      <c r="G1628" t="s">
        <v>369</v>
      </c>
      <c r="H1628" t="s">
        <v>3</v>
      </c>
      <c r="I1628" t="s">
        <v>436</v>
      </c>
      <c r="J1628" t="s">
        <v>441</v>
      </c>
      <c r="K1628" t="s">
        <v>442</v>
      </c>
      <c r="L1628" t="s">
        <v>8</v>
      </c>
      <c r="M1628" t="s">
        <v>408</v>
      </c>
      <c r="N1628" t="s">
        <v>11</v>
      </c>
      <c r="O1628" t="s">
        <v>11</v>
      </c>
      <c r="P1628" t="s">
        <v>0</v>
      </c>
      <c r="Q1628" t="s">
        <v>408</v>
      </c>
      <c r="R1628" t="s">
        <v>439</v>
      </c>
      <c r="S1628" t="s">
        <v>440</v>
      </c>
      <c r="T1628" t="s">
        <v>11</v>
      </c>
      <c r="U1628" t="s">
        <v>408</v>
      </c>
    </row>
    <row r="1629" spans="1:21" x14ac:dyDescent="0.25">
      <c r="A1629">
        <v>24567167</v>
      </c>
      <c r="B1629" t="s">
        <v>340</v>
      </c>
      <c r="C1629" t="s">
        <v>86</v>
      </c>
      <c r="D1629" t="s">
        <v>12</v>
      </c>
      <c r="E1629" t="s">
        <v>630</v>
      </c>
      <c r="F1629" t="s">
        <v>382</v>
      </c>
      <c r="G1629" t="s">
        <v>369</v>
      </c>
      <c r="H1629" t="s">
        <v>3</v>
      </c>
      <c r="I1629" t="s">
        <v>436</v>
      </c>
      <c r="J1629" t="s">
        <v>441</v>
      </c>
      <c r="K1629" t="s">
        <v>442</v>
      </c>
      <c r="L1629" t="s">
        <v>8</v>
      </c>
      <c r="M1629" t="s">
        <v>408</v>
      </c>
      <c r="N1629" t="s">
        <v>11</v>
      </c>
      <c r="O1629" t="s">
        <v>11</v>
      </c>
      <c r="P1629" t="s">
        <v>0</v>
      </c>
      <c r="Q1629" t="s">
        <v>408</v>
      </c>
      <c r="R1629" t="s">
        <v>439</v>
      </c>
      <c r="S1629" t="s">
        <v>440</v>
      </c>
      <c r="T1629" t="s">
        <v>11</v>
      </c>
      <c r="U1629" t="s">
        <v>408</v>
      </c>
    </row>
    <row r="1630" spans="1:21" x14ac:dyDescent="0.25">
      <c r="A1630">
        <v>24567173</v>
      </c>
      <c r="B1630" t="s">
        <v>340</v>
      </c>
      <c r="C1630" t="s">
        <v>86</v>
      </c>
      <c r="D1630" t="s">
        <v>18</v>
      </c>
      <c r="E1630" t="s">
        <v>630</v>
      </c>
      <c r="F1630" t="s">
        <v>381</v>
      </c>
      <c r="G1630" t="s">
        <v>369</v>
      </c>
      <c r="H1630" t="s">
        <v>3</v>
      </c>
      <c r="I1630" t="s">
        <v>436</v>
      </c>
      <c r="J1630" t="s">
        <v>441</v>
      </c>
      <c r="K1630" t="s">
        <v>442</v>
      </c>
      <c r="L1630" t="s">
        <v>8</v>
      </c>
      <c r="M1630" t="s">
        <v>408</v>
      </c>
      <c r="N1630" t="s">
        <v>11</v>
      </c>
      <c r="O1630" t="s">
        <v>11</v>
      </c>
      <c r="P1630" t="s">
        <v>0</v>
      </c>
      <c r="Q1630" t="s">
        <v>408</v>
      </c>
      <c r="R1630" t="s">
        <v>439</v>
      </c>
      <c r="S1630" t="s">
        <v>440</v>
      </c>
      <c r="T1630" t="s">
        <v>11</v>
      </c>
      <c r="U1630" t="s">
        <v>408</v>
      </c>
    </row>
    <row r="1631" spans="1:21" x14ac:dyDescent="0.25">
      <c r="A1631">
        <v>24567175</v>
      </c>
      <c r="B1631" t="s">
        <v>340</v>
      </c>
      <c r="C1631" t="s">
        <v>86</v>
      </c>
      <c r="D1631" t="s">
        <v>12</v>
      </c>
      <c r="E1631" t="s">
        <v>630</v>
      </c>
      <c r="F1631" t="s">
        <v>382</v>
      </c>
      <c r="G1631" t="s">
        <v>369</v>
      </c>
      <c r="H1631" t="s">
        <v>3</v>
      </c>
      <c r="I1631" t="s">
        <v>436</v>
      </c>
      <c r="J1631" t="s">
        <v>441</v>
      </c>
      <c r="K1631" t="s">
        <v>442</v>
      </c>
      <c r="L1631" t="s">
        <v>8</v>
      </c>
      <c r="M1631" t="s">
        <v>408</v>
      </c>
      <c r="N1631" t="s">
        <v>11</v>
      </c>
      <c r="O1631" t="s">
        <v>11</v>
      </c>
      <c r="P1631" t="s">
        <v>0</v>
      </c>
      <c r="Q1631" t="s">
        <v>408</v>
      </c>
      <c r="R1631" t="s">
        <v>439</v>
      </c>
      <c r="S1631" t="s">
        <v>440</v>
      </c>
      <c r="T1631" t="s">
        <v>11</v>
      </c>
      <c r="U1631" t="s">
        <v>408</v>
      </c>
    </row>
    <row r="1632" spans="1:21" x14ac:dyDescent="0.25">
      <c r="A1632">
        <v>24567184</v>
      </c>
      <c r="B1632" t="s">
        <v>340</v>
      </c>
      <c r="C1632" t="s">
        <v>86</v>
      </c>
      <c r="D1632" t="s">
        <v>12</v>
      </c>
      <c r="E1632" t="s">
        <v>630</v>
      </c>
      <c r="F1632" t="s">
        <v>384</v>
      </c>
      <c r="G1632" t="s">
        <v>369</v>
      </c>
      <c r="H1632" t="s">
        <v>3</v>
      </c>
      <c r="I1632" t="s">
        <v>436</v>
      </c>
      <c r="J1632" t="s">
        <v>441</v>
      </c>
      <c r="K1632" t="s">
        <v>442</v>
      </c>
      <c r="L1632" t="s">
        <v>8</v>
      </c>
      <c r="M1632" t="s">
        <v>408</v>
      </c>
      <c r="N1632" t="s">
        <v>11</v>
      </c>
      <c r="O1632" t="s">
        <v>11</v>
      </c>
      <c r="P1632" t="s">
        <v>0</v>
      </c>
      <c r="Q1632" t="s">
        <v>408</v>
      </c>
      <c r="R1632" t="s">
        <v>439</v>
      </c>
      <c r="S1632" t="s">
        <v>440</v>
      </c>
      <c r="T1632" t="s">
        <v>11</v>
      </c>
      <c r="U1632" t="s">
        <v>408</v>
      </c>
    </row>
    <row r="1633" spans="1:21" x14ac:dyDescent="0.25">
      <c r="A1633">
        <v>24567186</v>
      </c>
      <c r="B1633" t="s">
        <v>340</v>
      </c>
      <c r="C1633" t="s">
        <v>86</v>
      </c>
      <c r="D1633" t="s">
        <v>12</v>
      </c>
      <c r="E1633" t="s">
        <v>630</v>
      </c>
      <c r="F1633" t="s">
        <v>382</v>
      </c>
      <c r="G1633" t="s">
        <v>369</v>
      </c>
      <c r="H1633" t="s">
        <v>0</v>
      </c>
      <c r="I1633" t="s">
        <v>436</v>
      </c>
      <c r="J1633" t="s">
        <v>437</v>
      </c>
      <c r="K1633" t="s">
        <v>438</v>
      </c>
      <c r="L1633" t="s">
        <v>345</v>
      </c>
      <c r="M1633" t="s">
        <v>408</v>
      </c>
      <c r="N1633" t="s">
        <v>11</v>
      </c>
      <c r="O1633" t="s">
        <v>11</v>
      </c>
      <c r="P1633" t="s">
        <v>0</v>
      </c>
      <c r="Q1633" t="s">
        <v>408</v>
      </c>
      <c r="R1633" t="s">
        <v>439</v>
      </c>
      <c r="S1633" t="s">
        <v>440</v>
      </c>
      <c r="T1633" t="s">
        <v>11</v>
      </c>
      <c r="U1633" t="s">
        <v>408</v>
      </c>
    </row>
    <row r="1634" spans="1:21" x14ac:dyDescent="0.25">
      <c r="A1634">
        <v>24567188</v>
      </c>
      <c r="B1634" t="s">
        <v>342</v>
      </c>
      <c r="C1634" t="s">
        <v>89</v>
      </c>
      <c r="D1634" t="s">
        <v>12</v>
      </c>
      <c r="E1634" t="s">
        <v>630</v>
      </c>
      <c r="F1634" t="s">
        <v>382</v>
      </c>
      <c r="G1634" t="s">
        <v>369</v>
      </c>
      <c r="H1634" t="s">
        <v>0</v>
      </c>
      <c r="I1634" t="s">
        <v>436</v>
      </c>
      <c r="J1634" t="s">
        <v>437</v>
      </c>
      <c r="K1634" t="s">
        <v>438</v>
      </c>
      <c r="L1634" t="s">
        <v>345</v>
      </c>
      <c r="M1634" t="s">
        <v>408</v>
      </c>
      <c r="N1634" t="s">
        <v>11</v>
      </c>
      <c r="O1634" t="s">
        <v>11</v>
      </c>
      <c r="P1634" t="s">
        <v>0</v>
      </c>
      <c r="Q1634" t="s">
        <v>408</v>
      </c>
      <c r="R1634" t="s">
        <v>439</v>
      </c>
      <c r="S1634" t="s">
        <v>440</v>
      </c>
      <c r="T1634" t="s">
        <v>11</v>
      </c>
      <c r="U1634" t="s">
        <v>408</v>
      </c>
    </row>
    <row r="1635" spans="1:21" x14ac:dyDescent="0.25">
      <c r="A1635">
        <v>24567190</v>
      </c>
      <c r="B1635" t="s">
        <v>340</v>
      </c>
      <c r="C1635" t="s">
        <v>86</v>
      </c>
      <c r="D1635" t="s">
        <v>12</v>
      </c>
      <c r="E1635" t="s">
        <v>630</v>
      </c>
      <c r="F1635" t="s">
        <v>382</v>
      </c>
      <c r="G1635" t="s">
        <v>369</v>
      </c>
      <c r="H1635" t="s">
        <v>3</v>
      </c>
      <c r="I1635" t="s">
        <v>436</v>
      </c>
      <c r="J1635" t="s">
        <v>441</v>
      </c>
      <c r="K1635" t="s">
        <v>442</v>
      </c>
      <c r="L1635" t="s">
        <v>8</v>
      </c>
      <c r="M1635" t="s">
        <v>408</v>
      </c>
      <c r="N1635" t="s">
        <v>11</v>
      </c>
      <c r="O1635" t="s">
        <v>11</v>
      </c>
      <c r="P1635" t="s">
        <v>0</v>
      </c>
      <c r="Q1635" t="s">
        <v>408</v>
      </c>
      <c r="R1635" t="s">
        <v>439</v>
      </c>
      <c r="S1635" t="s">
        <v>440</v>
      </c>
      <c r="T1635" t="s">
        <v>11</v>
      </c>
      <c r="U1635" t="s">
        <v>408</v>
      </c>
    </row>
    <row r="1636" spans="1:21" x14ac:dyDescent="0.25">
      <c r="A1636">
        <v>24567192</v>
      </c>
      <c r="B1636" t="s">
        <v>340</v>
      </c>
      <c r="C1636" t="s">
        <v>86</v>
      </c>
      <c r="D1636" t="s">
        <v>12</v>
      </c>
      <c r="E1636" t="s">
        <v>630</v>
      </c>
      <c r="F1636" t="s">
        <v>382</v>
      </c>
      <c r="G1636" t="s">
        <v>369</v>
      </c>
      <c r="H1636" t="s">
        <v>3</v>
      </c>
      <c r="I1636" t="s">
        <v>436</v>
      </c>
      <c r="J1636" t="s">
        <v>441</v>
      </c>
      <c r="K1636" t="s">
        <v>442</v>
      </c>
      <c r="L1636" t="s">
        <v>8</v>
      </c>
      <c r="M1636" t="s">
        <v>408</v>
      </c>
      <c r="N1636" t="s">
        <v>11</v>
      </c>
      <c r="O1636" t="s">
        <v>11</v>
      </c>
      <c r="P1636" t="s">
        <v>0</v>
      </c>
      <c r="Q1636" t="s">
        <v>408</v>
      </c>
      <c r="R1636" t="s">
        <v>439</v>
      </c>
      <c r="S1636" t="s">
        <v>440</v>
      </c>
      <c r="T1636" t="s">
        <v>11</v>
      </c>
      <c r="U1636" t="s">
        <v>408</v>
      </c>
    </row>
    <row r="1637" spans="1:21" x14ac:dyDescent="0.25">
      <c r="A1637">
        <v>24567194</v>
      </c>
      <c r="B1637" t="s">
        <v>340</v>
      </c>
      <c r="C1637" t="s">
        <v>86</v>
      </c>
      <c r="D1637" t="s">
        <v>12</v>
      </c>
      <c r="E1637" t="s">
        <v>630</v>
      </c>
      <c r="F1637" t="s">
        <v>382</v>
      </c>
      <c r="G1637" t="s">
        <v>369</v>
      </c>
      <c r="H1637" t="s">
        <v>3</v>
      </c>
      <c r="I1637" t="s">
        <v>436</v>
      </c>
      <c r="J1637" t="s">
        <v>441</v>
      </c>
      <c r="K1637" t="s">
        <v>442</v>
      </c>
      <c r="L1637" t="s">
        <v>8</v>
      </c>
      <c r="M1637" t="s">
        <v>408</v>
      </c>
      <c r="N1637" t="s">
        <v>11</v>
      </c>
      <c r="O1637" t="s">
        <v>11</v>
      </c>
      <c r="P1637" t="s">
        <v>0</v>
      </c>
      <c r="Q1637" t="s">
        <v>408</v>
      </c>
      <c r="R1637" t="s">
        <v>439</v>
      </c>
      <c r="S1637" t="s">
        <v>440</v>
      </c>
      <c r="T1637" t="s">
        <v>11</v>
      </c>
      <c r="U1637" t="s">
        <v>408</v>
      </c>
    </row>
    <row r="1638" spans="1:21" x14ac:dyDescent="0.25">
      <c r="A1638">
        <v>24567198</v>
      </c>
      <c r="B1638" t="s">
        <v>340</v>
      </c>
      <c r="C1638" t="s">
        <v>86</v>
      </c>
      <c r="D1638" t="s">
        <v>12</v>
      </c>
      <c r="E1638" t="s">
        <v>630</v>
      </c>
      <c r="F1638" t="s">
        <v>382</v>
      </c>
      <c r="G1638" t="s">
        <v>369</v>
      </c>
      <c r="H1638" t="s">
        <v>3</v>
      </c>
      <c r="I1638" t="s">
        <v>436</v>
      </c>
      <c r="J1638" t="s">
        <v>441</v>
      </c>
      <c r="K1638" t="s">
        <v>442</v>
      </c>
      <c r="L1638" t="s">
        <v>8</v>
      </c>
      <c r="M1638" t="s">
        <v>408</v>
      </c>
      <c r="N1638" t="s">
        <v>11</v>
      </c>
      <c r="O1638" t="s">
        <v>11</v>
      </c>
      <c r="P1638" t="s">
        <v>0</v>
      </c>
      <c r="Q1638" t="s">
        <v>408</v>
      </c>
      <c r="R1638" t="s">
        <v>439</v>
      </c>
      <c r="S1638" t="s">
        <v>440</v>
      </c>
      <c r="T1638" t="s">
        <v>11</v>
      </c>
      <c r="U1638" t="s">
        <v>408</v>
      </c>
    </row>
    <row r="1639" spans="1:21" x14ac:dyDescent="0.25">
      <c r="A1639">
        <v>24567202</v>
      </c>
      <c r="B1639" t="s">
        <v>340</v>
      </c>
      <c r="C1639" t="s">
        <v>86</v>
      </c>
      <c r="D1639" t="s">
        <v>12</v>
      </c>
      <c r="E1639" t="s">
        <v>630</v>
      </c>
      <c r="F1639" t="s">
        <v>382</v>
      </c>
      <c r="G1639" t="s">
        <v>369</v>
      </c>
      <c r="H1639" t="s">
        <v>3</v>
      </c>
      <c r="I1639" t="s">
        <v>436</v>
      </c>
      <c r="J1639" t="s">
        <v>441</v>
      </c>
      <c r="K1639" t="s">
        <v>442</v>
      </c>
      <c r="L1639" t="s">
        <v>8</v>
      </c>
      <c r="M1639" t="s">
        <v>408</v>
      </c>
      <c r="N1639" t="s">
        <v>11</v>
      </c>
      <c r="O1639" t="s">
        <v>11</v>
      </c>
      <c r="P1639" t="s">
        <v>0</v>
      </c>
      <c r="Q1639" t="s">
        <v>408</v>
      </c>
      <c r="R1639" t="s">
        <v>439</v>
      </c>
      <c r="S1639" t="s">
        <v>440</v>
      </c>
      <c r="T1639" t="s">
        <v>11</v>
      </c>
      <c r="U1639" t="s">
        <v>408</v>
      </c>
    </row>
    <row r="1640" spans="1:21" x14ac:dyDescent="0.25">
      <c r="A1640">
        <v>24567204</v>
      </c>
      <c r="B1640" t="s">
        <v>340</v>
      </c>
      <c r="C1640" t="s">
        <v>86</v>
      </c>
      <c r="D1640" t="s">
        <v>12</v>
      </c>
      <c r="E1640" t="s">
        <v>630</v>
      </c>
      <c r="F1640" t="s">
        <v>382</v>
      </c>
      <c r="G1640" t="s">
        <v>369</v>
      </c>
      <c r="H1640" t="s">
        <v>3</v>
      </c>
      <c r="I1640" t="s">
        <v>436</v>
      </c>
      <c r="J1640" t="s">
        <v>441</v>
      </c>
      <c r="K1640" t="s">
        <v>442</v>
      </c>
      <c r="L1640" t="s">
        <v>8</v>
      </c>
      <c r="M1640" t="s">
        <v>408</v>
      </c>
      <c r="N1640" t="s">
        <v>11</v>
      </c>
      <c r="O1640" t="s">
        <v>11</v>
      </c>
      <c r="P1640" t="s">
        <v>0</v>
      </c>
      <c r="Q1640" t="s">
        <v>408</v>
      </c>
      <c r="R1640" t="s">
        <v>439</v>
      </c>
      <c r="S1640" t="s">
        <v>440</v>
      </c>
      <c r="T1640" t="s">
        <v>11</v>
      </c>
      <c r="U1640" t="s">
        <v>408</v>
      </c>
    </row>
    <row r="1641" spans="1:21" x14ac:dyDescent="0.25">
      <c r="A1641">
        <v>24567210</v>
      </c>
      <c r="B1641" t="s">
        <v>342</v>
      </c>
      <c r="C1641" t="s">
        <v>89</v>
      </c>
      <c r="D1641" t="s">
        <v>12</v>
      </c>
      <c r="E1641" t="s">
        <v>630</v>
      </c>
      <c r="F1641" t="s">
        <v>382</v>
      </c>
      <c r="G1641" t="s">
        <v>369</v>
      </c>
      <c r="H1641" t="s">
        <v>3</v>
      </c>
      <c r="I1641" t="s">
        <v>436</v>
      </c>
      <c r="J1641" t="s">
        <v>441</v>
      </c>
      <c r="K1641" t="s">
        <v>442</v>
      </c>
      <c r="L1641" t="s">
        <v>8</v>
      </c>
      <c r="M1641" t="s">
        <v>408</v>
      </c>
      <c r="N1641" t="s">
        <v>11</v>
      </c>
      <c r="O1641" t="s">
        <v>11</v>
      </c>
      <c r="P1641" t="s">
        <v>0</v>
      </c>
      <c r="Q1641" t="s">
        <v>408</v>
      </c>
      <c r="R1641" t="s">
        <v>439</v>
      </c>
      <c r="S1641" t="s">
        <v>440</v>
      </c>
      <c r="T1641" t="s">
        <v>11</v>
      </c>
      <c r="U1641" t="s">
        <v>408</v>
      </c>
    </row>
    <row r="1642" spans="1:21" x14ac:dyDescent="0.25">
      <c r="A1642">
        <v>24567214</v>
      </c>
      <c r="B1642" t="s">
        <v>342</v>
      </c>
      <c r="C1642" t="s">
        <v>89</v>
      </c>
      <c r="D1642" t="s">
        <v>12</v>
      </c>
      <c r="E1642" t="s">
        <v>630</v>
      </c>
      <c r="F1642" t="s">
        <v>382</v>
      </c>
      <c r="G1642" t="s">
        <v>369</v>
      </c>
      <c r="H1642" t="s">
        <v>0</v>
      </c>
      <c r="I1642" t="s">
        <v>436</v>
      </c>
      <c r="J1642" t="s">
        <v>437</v>
      </c>
      <c r="K1642" t="s">
        <v>438</v>
      </c>
      <c r="L1642" t="s">
        <v>345</v>
      </c>
      <c r="M1642" t="s">
        <v>408</v>
      </c>
      <c r="N1642" t="s">
        <v>11</v>
      </c>
      <c r="O1642" t="s">
        <v>11</v>
      </c>
      <c r="P1642" t="s">
        <v>0</v>
      </c>
      <c r="Q1642" t="s">
        <v>408</v>
      </c>
      <c r="R1642" t="s">
        <v>439</v>
      </c>
      <c r="S1642" t="s">
        <v>440</v>
      </c>
      <c r="T1642" t="s">
        <v>11</v>
      </c>
      <c r="U1642" t="s">
        <v>408</v>
      </c>
    </row>
    <row r="1643" spans="1:21" x14ac:dyDescent="0.25">
      <c r="A1643">
        <v>24567215</v>
      </c>
      <c r="B1643" t="s">
        <v>340</v>
      </c>
      <c r="C1643" t="s">
        <v>86</v>
      </c>
      <c r="D1643" t="s">
        <v>12</v>
      </c>
      <c r="E1643" t="s">
        <v>630</v>
      </c>
      <c r="F1643" t="s">
        <v>382</v>
      </c>
      <c r="G1643" t="s">
        <v>369</v>
      </c>
      <c r="H1643" t="s">
        <v>3</v>
      </c>
      <c r="I1643" t="s">
        <v>436</v>
      </c>
      <c r="J1643" t="s">
        <v>441</v>
      </c>
      <c r="K1643" t="s">
        <v>442</v>
      </c>
      <c r="L1643" t="s">
        <v>8</v>
      </c>
      <c r="M1643" t="s">
        <v>408</v>
      </c>
      <c r="N1643" t="s">
        <v>11</v>
      </c>
      <c r="O1643" t="s">
        <v>11</v>
      </c>
      <c r="P1643" t="s">
        <v>0</v>
      </c>
      <c r="Q1643" t="s">
        <v>408</v>
      </c>
      <c r="R1643" t="s">
        <v>439</v>
      </c>
      <c r="S1643" t="s">
        <v>440</v>
      </c>
      <c r="T1643" t="s">
        <v>11</v>
      </c>
      <c r="U1643" t="s">
        <v>408</v>
      </c>
    </row>
    <row r="1644" spans="1:21" x14ac:dyDescent="0.25">
      <c r="A1644">
        <v>24567219</v>
      </c>
      <c r="B1644" t="s">
        <v>340</v>
      </c>
      <c r="C1644" t="s">
        <v>86</v>
      </c>
      <c r="D1644" t="s">
        <v>12</v>
      </c>
      <c r="E1644" t="s">
        <v>630</v>
      </c>
      <c r="F1644" t="s">
        <v>382</v>
      </c>
      <c r="G1644" t="s">
        <v>369</v>
      </c>
      <c r="H1644" t="s">
        <v>3</v>
      </c>
      <c r="I1644" t="s">
        <v>436</v>
      </c>
      <c r="J1644" t="s">
        <v>441</v>
      </c>
      <c r="K1644" t="s">
        <v>442</v>
      </c>
      <c r="L1644" t="s">
        <v>8</v>
      </c>
      <c r="M1644" t="s">
        <v>408</v>
      </c>
      <c r="N1644" t="s">
        <v>11</v>
      </c>
      <c r="O1644" t="s">
        <v>11</v>
      </c>
      <c r="P1644" t="s">
        <v>0</v>
      </c>
      <c r="Q1644" t="s">
        <v>408</v>
      </c>
      <c r="R1644" t="s">
        <v>439</v>
      </c>
      <c r="S1644" t="s">
        <v>440</v>
      </c>
      <c r="T1644" t="s">
        <v>11</v>
      </c>
      <c r="U1644" t="s">
        <v>408</v>
      </c>
    </row>
    <row r="1645" spans="1:21" x14ac:dyDescent="0.25">
      <c r="A1645">
        <v>24567220</v>
      </c>
      <c r="B1645" t="s">
        <v>340</v>
      </c>
      <c r="C1645" t="s">
        <v>86</v>
      </c>
      <c r="D1645" t="s">
        <v>12</v>
      </c>
      <c r="E1645" t="s">
        <v>630</v>
      </c>
      <c r="F1645" t="s">
        <v>382</v>
      </c>
      <c r="G1645" t="s">
        <v>369</v>
      </c>
      <c r="H1645" t="s">
        <v>3</v>
      </c>
      <c r="I1645" t="s">
        <v>436</v>
      </c>
      <c r="J1645" t="s">
        <v>441</v>
      </c>
      <c r="K1645" t="s">
        <v>442</v>
      </c>
      <c r="L1645" t="s">
        <v>8</v>
      </c>
      <c r="M1645" t="s">
        <v>408</v>
      </c>
      <c r="N1645" t="s">
        <v>11</v>
      </c>
      <c r="O1645" t="s">
        <v>11</v>
      </c>
      <c r="P1645" t="s">
        <v>0</v>
      </c>
      <c r="Q1645" t="s">
        <v>408</v>
      </c>
      <c r="R1645" t="s">
        <v>439</v>
      </c>
      <c r="S1645" t="s">
        <v>440</v>
      </c>
      <c r="T1645" t="s">
        <v>11</v>
      </c>
      <c r="U1645" t="s">
        <v>408</v>
      </c>
    </row>
    <row r="1646" spans="1:21" x14ac:dyDescent="0.25">
      <c r="A1646">
        <v>24567221</v>
      </c>
      <c r="B1646" t="s">
        <v>340</v>
      </c>
      <c r="C1646" t="s">
        <v>86</v>
      </c>
      <c r="D1646" t="s">
        <v>12</v>
      </c>
      <c r="E1646" t="s">
        <v>629</v>
      </c>
      <c r="F1646" t="s">
        <v>385</v>
      </c>
      <c r="G1646" t="s">
        <v>369</v>
      </c>
      <c r="H1646" t="s">
        <v>3</v>
      </c>
      <c r="I1646" t="s">
        <v>436</v>
      </c>
      <c r="J1646" t="s">
        <v>441</v>
      </c>
      <c r="K1646" t="s">
        <v>442</v>
      </c>
      <c r="L1646" t="s">
        <v>8</v>
      </c>
      <c r="M1646" t="s">
        <v>408</v>
      </c>
      <c r="N1646" t="s">
        <v>11</v>
      </c>
      <c r="O1646" t="s">
        <v>11</v>
      </c>
      <c r="P1646" t="s">
        <v>0</v>
      </c>
      <c r="Q1646" t="s">
        <v>408</v>
      </c>
      <c r="R1646" t="s">
        <v>439</v>
      </c>
      <c r="S1646" t="s">
        <v>440</v>
      </c>
      <c r="T1646" t="s">
        <v>11</v>
      </c>
      <c r="U1646" t="s">
        <v>408</v>
      </c>
    </row>
    <row r="1647" spans="1:21" x14ac:dyDescent="0.25">
      <c r="A1647">
        <v>24567224</v>
      </c>
      <c r="B1647" t="s">
        <v>340</v>
      </c>
      <c r="C1647" t="s">
        <v>86</v>
      </c>
      <c r="D1647" t="s">
        <v>12</v>
      </c>
      <c r="E1647" t="s">
        <v>630</v>
      </c>
      <c r="F1647" t="s">
        <v>382</v>
      </c>
      <c r="G1647" t="s">
        <v>369</v>
      </c>
      <c r="H1647" t="s">
        <v>3</v>
      </c>
      <c r="I1647" t="s">
        <v>436</v>
      </c>
      <c r="J1647" t="s">
        <v>441</v>
      </c>
      <c r="K1647" t="s">
        <v>442</v>
      </c>
      <c r="L1647" t="s">
        <v>8</v>
      </c>
      <c r="M1647" t="s">
        <v>408</v>
      </c>
      <c r="N1647" t="s">
        <v>11</v>
      </c>
      <c r="O1647" t="s">
        <v>11</v>
      </c>
      <c r="P1647" t="s">
        <v>0</v>
      </c>
      <c r="Q1647" t="s">
        <v>408</v>
      </c>
      <c r="R1647" t="s">
        <v>439</v>
      </c>
      <c r="S1647" t="s">
        <v>440</v>
      </c>
      <c r="T1647" t="s">
        <v>11</v>
      </c>
      <c r="U1647" t="s">
        <v>408</v>
      </c>
    </row>
    <row r="1648" spans="1:21" x14ac:dyDescent="0.25">
      <c r="A1648">
        <v>24567226</v>
      </c>
      <c r="B1648" t="s">
        <v>340</v>
      </c>
      <c r="C1648" t="s">
        <v>86</v>
      </c>
      <c r="D1648" t="s">
        <v>12</v>
      </c>
      <c r="E1648" t="s">
        <v>630</v>
      </c>
      <c r="F1648" t="s">
        <v>382</v>
      </c>
      <c r="G1648" t="s">
        <v>369</v>
      </c>
      <c r="H1648" t="s">
        <v>3</v>
      </c>
      <c r="I1648" t="s">
        <v>436</v>
      </c>
      <c r="J1648" t="s">
        <v>441</v>
      </c>
      <c r="K1648" t="s">
        <v>442</v>
      </c>
      <c r="L1648" t="s">
        <v>8</v>
      </c>
      <c r="M1648" t="s">
        <v>408</v>
      </c>
      <c r="N1648" t="s">
        <v>11</v>
      </c>
      <c r="O1648" t="s">
        <v>11</v>
      </c>
      <c r="P1648" t="s">
        <v>0</v>
      </c>
      <c r="Q1648" t="s">
        <v>408</v>
      </c>
      <c r="R1648" t="s">
        <v>439</v>
      </c>
      <c r="S1648" t="s">
        <v>440</v>
      </c>
      <c r="T1648" t="s">
        <v>11</v>
      </c>
      <c r="U1648" t="s">
        <v>408</v>
      </c>
    </row>
    <row r="1649" spans="1:21" x14ac:dyDescent="0.25">
      <c r="A1649">
        <v>24567229</v>
      </c>
      <c r="B1649" t="s">
        <v>340</v>
      </c>
      <c r="C1649" t="s">
        <v>86</v>
      </c>
      <c r="D1649" t="s">
        <v>12</v>
      </c>
      <c r="E1649" t="s">
        <v>630</v>
      </c>
      <c r="F1649" t="s">
        <v>382</v>
      </c>
      <c r="G1649" t="s">
        <v>369</v>
      </c>
      <c r="H1649" t="s">
        <v>3</v>
      </c>
      <c r="I1649" t="s">
        <v>436</v>
      </c>
      <c r="J1649" t="s">
        <v>441</v>
      </c>
      <c r="K1649" t="s">
        <v>442</v>
      </c>
      <c r="L1649" t="s">
        <v>8</v>
      </c>
      <c r="M1649" t="s">
        <v>408</v>
      </c>
      <c r="N1649" t="s">
        <v>11</v>
      </c>
      <c r="O1649" t="s">
        <v>11</v>
      </c>
      <c r="P1649" t="s">
        <v>0</v>
      </c>
      <c r="Q1649" t="s">
        <v>408</v>
      </c>
      <c r="R1649" t="s">
        <v>439</v>
      </c>
      <c r="S1649" t="s">
        <v>440</v>
      </c>
      <c r="T1649" t="s">
        <v>11</v>
      </c>
      <c r="U1649" t="s">
        <v>408</v>
      </c>
    </row>
    <row r="1650" spans="1:21" x14ac:dyDescent="0.25">
      <c r="A1650">
        <v>24567231</v>
      </c>
      <c r="B1650" t="s">
        <v>340</v>
      </c>
      <c r="C1650" t="s">
        <v>86</v>
      </c>
      <c r="D1650" t="s">
        <v>12</v>
      </c>
      <c r="E1650" t="s">
        <v>630</v>
      </c>
      <c r="F1650" t="s">
        <v>382</v>
      </c>
      <c r="G1650" t="s">
        <v>369</v>
      </c>
      <c r="H1650" t="s">
        <v>0</v>
      </c>
      <c r="I1650" t="s">
        <v>436</v>
      </c>
      <c r="J1650" t="s">
        <v>437</v>
      </c>
      <c r="K1650" t="s">
        <v>438</v>
      </c>
      <c r="L1650" t="s">
        <v>345</v>
      </c>
      <c r="M1650" t="s">
        <v>408</v>
      </c>
      <c r="N1650" t="s">
        <v>11</v>
      </c>
      <c r="O1650" t="s">
        <v>11</v>
      </c>
      <c r="P1650" t="s">
        <v>0</v>
      </c>
      <c r="Q1650" t="s">
        <v>408</v>
      </c>
      <c r="R1650" t="s">
        <v>439</v>
      </c>
      <c r="S1650" t="s">
        <v>440</v>
      </c>
      <c r="T1650" t="s">
        <v>11</v>
      </c>
      <c r="U1650" t="s">
        <v>408</v>
      </c>
    </row>
    <row r="1651" spans="1:21" x14ac:dyDescent="0.25">
      <c r="A1651">
        <v>24567232</v>
      </c>
      <c r="B1651" t="s">
        <v>340</v>
      </c>
      <c r="C1651" t="s">
        <v>86</v>
      </c>
      <c r="D1651" t="s">
        <v>12</v>
      </c>
      <c r="E1651" t="s">
        <v>630</v>
      </c>
      <c r="F1651" t="s">
        <v>382</v>
      </c>
      <c r="G1651" t="s">
        <v>369</v>
      </c>
      <c r="H1651" t="s">
        <v>3</v>
      </c>
      <c r="I1651" t="s">
        <v>436</v>
      </c>
      <c r="J1651" t="s">
        <v>441</v>
      </c>
      <c r="K1651" t="s">
        <v>442</v>
      </c>
      <c r="L1651" t="s">
        <v>8</v>
      </c>
      <c r="M1651" t="s">
        <v>408</v>
      </c>
      <c r="N1651" t="s">
        <v>11</v>
      </c>
      <c r="O1651" t="s">
        <v>11</v>
      </c>
      <c r="P1651" t="s">
        <v>0</v>
      </c>
      <c r="Q1651" t="s">
        <v>408</v>
      </c>
      <c r="R1651" t="s">
        <v>439</v>
      </c>
      <c r="S1651" t="s">
        <v>440</v>
      </c>
      <c r="T1651" t="s">
        <v>11</v>
      </c>
      <c r="U1651" t="s">
        <v>408</v>
      </c>
    </row>
    <row r="1652" spans="1:21" x14ac:dyDescent="0.25">
      <c r="A1652">
        <v>24567242</v>
      </c>
      <c r="B1652" t="s">
        <v>340</v>
      </c>
      <c r="C1652" t="s">
        <v>86</v>
      </c>
      <c r="D1652" t="s">
        <v>12</v>
      </c>
      <c r="E1652" t="s">
        <v>629</v>
      </c>
      <c r="F1652" t="s">
        <v>391</v>
      </c>
      <c r="G1652" t="s">
        <v>369</v>
      </c>
      <c r="H1652" t="s">
        <v>3</v>
      </c>
      <c r="I1652" t="s">
        <v>436</v>
      </c>
      <c r="J1652" t="s">
        <v>441</v>
      </c>
      <c r="K1652" t="s">
        <v>442</v>
      </c>
      <c r="L1652" t="s">
        <v>8</v>
      </c>
      <c r="M1652" t="s">
        <v>408</v>
      </c>
      <c r="N1652" t="s">
        <v>11</v>
      </c>
      <c r="O1652" t="s">
        <v>11</v>
      </c>
      <c r="P1652" t="s">
        <v>0</v>
      </c>
      <c r="Q1652" t="s">
        <v>408</v>
      </c>
      <c r="R1652" t="s">
        <v>439</v>
      </c>
      <c r="S1652" t="s">
        <v>440</v>
      </c>
      <c r="T1652" t="s">
        <v>11</v>
      </c>
      <c r="U1652" t="s">
        <v>408</v>
      </c>
    </row>
    <row r="1653" spans="1:21" x14ac:dyDescent="0.25">
      <c r="A1653">
        <v>24567244</v>
      </c>
      <c r="B1653" t="s">
        <v>340</v>
      </c>
      <c r="C1653" t="s">
        <v>86</v>
      </c>
      <c r="D1653" t="s">
        <v>12</v>
      </c>
      <c r="E1653" t="s">
        <v>629</v>
      </c>
      <c r="F1653" t="s">
        <v>391</v>
      </c>
      <c r="G1653" t="s">
        <v>369</v>
      </c>
      <c r="H1653" t="s">
        <v>0</v>
      </c>
      <c r="I1653" t="s">
        <v>436</v>
      </c>
      <c r="J1653" t="s">
        <v>437</v>
      </c>
      <c r="K1653" t="s">
        <v>438</v>
      </c>
      <c r="L1653" t="s">
        <v>345</v>
      </c>
      <c r="M1653" t="s">
        <v>408</v>
      </c>
      <c r="N1653" t="s">
        <v>11</v>
      </c>
      <c r="O1653" t="s">
        <v>11</v>
      </c>
      <c r="P1653" t="s">
        <v>0</v>
      </c>
      <c r="Q1653" t="s">
        <v>408</v>
      </c>
      <c r="R1653" t="s">
        <v>439</v>
      </c>
      <c r="S1653" t="s">
        <v>440</v>
      </c>
      <c r="T1653" t="s">
        <v>11</v>
      </c>
      <c r="U1653" t="s">
        <v>408</v>
      </c>
    </row>
    <row r="1654" spans="1:21" x14ac:dyDescent="0.25">
      <c r="A1654">
        <v>24567251</v>
      </c>
      <c r="B1654" t="s">
        <v>340</v>
      </c>
      <c r="C1654" t="s">
        <v>86</v>
      </c>
      <c r="D1654" t="s">
        <v>12</v>
      </c>
      <c r="E1654" t="s">
        <v>630</v>
      </c>
      <c r="F1654" t="s">
        <v>382</v>
      </c>
      <c r="G1654" t="s">
        <v>369</v>
      </c>
      <c r="H1654" t="s">
        <v>3</v>
      </c>
      <c r="I1654" t="s">
        <v>436</v>
      </c>
      <c r="J1654" t="s">
        <v>441</v>
      </c>
      <c r="K1654" t="s">
        <v>442</v>
      </c>
      <c r="L1654" t="s">
        <v>8</v>
      </c>
      <c r="M1654" t="s">
        <v>408</v>
      </c>
      <c r="N1654" t="s">
        <v>11</v>
      </c>
      <c r="O1654" t="s">
        <v>11</v>
      </c>
      <c r="P1654" t="s">
        <v>0</v>
      </c>
      <c r="Q1654" t="s">
        <v>408</v>
      </c>
      <c r="R1654" t="s">
        <v>439</v>
      </c>
      <c r="S1654" t="s">
        <v>440</v>
      </c>
      <c r="T1654" t="s">
        <v>11</v>
      </c>
      <c r="U1654" t="s">
        <v>408</v>
      </c>
    </row>
    <row r="1655" spans="1:21" x14ac:dyDescent="0.25">
      <c r="A1655">
        <v>24567254</v>
      </c>
      <c r="B1655" t="s">
        <v>340</v>
      </c>
      <c r="C1655" t="s">
        <v>86</v>
      </c>
      <c r="D1655" t="s">
        <v>12</v>
      </c>
      <c r="E1655" t="s">
        <v>630</v>
      </c>
      <c r="F1655" t="s">
        <v>383</v>
      </c>
      <c r="G1655" t="s">
        <v>369</v>
      </c>
      <c r="H1655" t="s">
        <v>3</v>
      </c>
      <c r="I1655" t="s">
        <v>436</v>
      </c>
      <c r="J1655" t="s">
        <v>441</v>
      </c>
      <c r="K1655" t="s">
        <v>442</v>
      </c>
      <c r="L1655" t="s">
        <v>8</v>
      </c>
      <c r="M1655" t="s">
        <v>408</v>
      </c>
      <c r="N1655" t="s">
        <v>11</v>
      </c>
      <c r="O1655" t="s">
        <v>11</v>
      </c>
      <c r="P1655" t="s">
        <v>0</v>
      </c>
      <c r="Q1655" t="s">
        <v>408</v>
      </c>
      <c r="R1655" t="s">
        <v>439</v>
      </c>
      <c r="S1655" t="s">
        <v>440</v>
      </c>
      <c r="T1655" t="s">
        <v>11</v>
      </c>
      <c r="U1655" t="s">
        <v>408</v>
      </c>
    </row>
    <row r="1656" spans="1:21" x14ac:dyDescent="0.25">
      <c r="A1656">
        <v>24567255</v>
      </c>
      <c r="B1656" t="s">
        <v>340</v>
      </c>
      <c r="C1656" t="s">
        <v>86</v>
      </c>
      <c r="D1656" t="s">
        <v>12</v>
      </c>
      <c r="E1656" t="s">
        <v>629</v>
      </c>
      <c r="F1656" t="s">
        <v>392</v>
      </c>
      <c r="G1656" t="s">
        <v>369</v>
      </c>
      <c r="H1656" t="s">
        <v>0</v>
      </c>
      <c r="I1656" t="s">
        <v>436</v>
      </c>
      <c r="J1656" t="s">
        <v>437</v>
      </c>
      <c r="K1656" t="s">
        <v>438</v>
      </c>
      <c r="L1656" t="s">
        <v>1</v>
      </c>
      <c r="M1656" t="s">
        <v>408</v>
      </c>
      <c r="N1656" t="s">
        <v>11</v>
      </c>
      <c r="O1656" t="s">
        <v>11</v>
      </c>
      <c r="P1656" t="s">
        <v>0</v>
      </c>
      <c r="Q1656" t="s">
        <v>408</v>
      </c>
      <c r="R1656" t="s">
        <v>439</v>
      </c>
      <c r="S1656" t="s">
        <v>440</v>
      </c>
      <c r="T1656" t="s">
        <v>11</v>
      </c>
      <c r="U1656" t="s">
        <v>408</v>
      </c>
    </row>
    <row r="1657" spans="1:21" x14ac:dyDescent="0.25">
      <c r="A1657">
        <v>24567256</v>
      </c>
      <c r="B1657" t="s">
        <v>340</v>
      </c>
      <c r="C1657" t="s">
        <v>86</v>
      </c>
      <c r="D1657" t="s">
        <v>12</v>
      </c>
      <c r="E1657" t="s">
        <v>630</v>
      </c>
      <c r="F1657" t="s">
        <v>383</v>
      </c>
      <c r="G1657" t="s">
        <v>369</v>
      </c>
      <c r="H1657" t="s">
        <v>3</v>
      </c>
      <c r="I1657" t="s">
        <v>436</v>
      </c>
      <c r="J1657" t="s">
        <v>441</v>
      </c>
      <c r="K1657" t="s">
        <v>442</v>
      </c>
      <c r="L1657" t="s">
        <v>8</v>
      </c>
      <c r="M1657" t="s">
        <v>408</v>
      </c>
      <c r="N1657" t="s">
        <v>11</v>
      </c>
      <c r="O1657" t="s">
        <v>11</v>
      </c>
      <c r="P1657" t="s">
        <v>0</v>
      </c>
      <c r="Q1657" t="s">
        <v>408</v>
      </c>
      <c r="R1657" t="s">
        <v>439</v>
      </c>
      <c r="S1657" t="s">
        <v>440</v>
      </c>
      <c r="T1657" t="s">
        <v>11</v>
      </c>
      <c r="U1657" t="s">
        <v>408</v>
      </c>
    </row>
    <row r="1658" spans="1:21" x14ac:dyDescent="0.25">
      <c r="A1658">
        <v>24567258</v>
      </c>
      <c r="B1658" t="s">
        <v>340</v>
      </c>
      <c r="C1658" t="s">
        <v>86</v>
      </c>
      <c r="D1658" t="s">
        <v>12</v>
      </c>
      <c r="E1658" t="s">
        <v>630</v>
      </c>
      <c r="F1658" t="s">
        <v>383</v>
      </c>
      <c r="G1658" t="s">
        <v>369</v>
      </c>
      <c r="H1658" t="s">
        <v>0</v>
      </c>
      <c r="I1658" t="s">
        <v>436</v>
      </c>
      <c r="J1658" t="s">
        <v>437</v>
      </c>
      <c r="K1658" t="s">
        <v>438</v>
      </c>
      <c r="L1658" t="s">
        <v>1</v>
      </c>
      <c r="M1658" t="s">
        <v>408</v>
      </c>
      <c r="N1658" t="s">
        <v>11</v>
      </c>
      <c r="O1658" t="s">
        <v>11</v>
      </c>
      <c r="P1658" t="s">
        <v>0</v>
      </c>
      <c r="Q1658" t="s">
        <v>408</v>
      </c>
      <c r="R1658" t="s">
        <v>439</v>
      </c>
      <c r="S1658" t="s">
        <v>440</v>
      </c>
      <c r="T1658" t="s">
        <v>11</v>
      </c>
      <c r="U1658" t="s">
        <v>408</v>
      </c>
    </row>
    <row r="1659" spans="1:21" x14ac:dyDescent="0.25">
      <c r="A1659">
        <v>24567259</v>
      </c>
      <c r="B1659" t="s">
        <v>340</v>
      </c>
      <c r="C1659" t="s">
        <v>86</v>
      </c>
      <c r="D1659" t="s">
        <v>12</v>
      </c>
      <c r="E1659" t="s">
        <v>630</v>
      </c>
      <c r="F1659" t="s">
        <v>383</v>
      </c>
      <c r="G1659" t="s">
        <v>369</v>
      </c>
      <c r="H1659" t="s">
        <v>3</v>
      </c>
      <c r="I1659" t="s">
        <v>436</v>
      </c>
      <c r="J1659" t="s">
        <v>441</v>
      </c>
      <c r="K1659" t="s">
        <v>442</v>
      </c>
      <c r="L1659" t="s">
        <v>8</v>
      </c>
      <c r="M1659" t="s">
        <v>408</v>
      </c>
      <c r="N1659" t="s">
        <v>11</v>
      </c>
      <c r="O1659" t="s">
        <v>11</v>
      </c>
      <c r="P1659" t="s">
        <v>0</v>
      </c>
      <c r="Q1659" t="s">
        <v>408</v>
      </c>
      <c r="R1659" t="s">
        <v>439</v>
      </c>
      <c r="S1659" t="s">
        <v>440</v>
      </c>
      <c r="T1659" t="s">
        <v>11</v>
      </c>
      <c r="U1659" t="s">
        <v>408</v>
      </c>
    </row>
    <row r="1660" spans="1:21" x14ac:dyDescent="0.25">
      <c r="A1660">
        <v>24567260</v>
      </c>
      <c r="B1660" t="s">
        <v>340</v>
      </c>
      <c r="C1660" t="s">
        <v>86</v>
      </c>
      <c r="D1660" t="s">
        <v>12</v>
      </c>
      <c r="E1660" t="s">
        <v>630</v>
      </c>
      <c r="F1660" t="s">
        <v>383</v>
      </c>
      <c r="G1660" t="s">
        <v>369</v>
      </c>
      <c r="H1660" t="s">
        <v>3</v>
      </c>
      <c r="I1660" t="s">
        <v>436</v>
      </c>
      <c r="J1660" t="s">
        <v>441</v>
      </c>
      <c r="K1660" t="s">
        <v>442</v>
      </c>
      <c r="L1660" t="s">
        <v>8</v>
      </c>
      <c r="M1660" t="s">
        <v>408</v>
      </c>
      <c r="N1660" t="s">
        <v>11</v>
      </c>
      <c r="O1660" t="s">
        <v>11</v>
      </c>
      <c r="P1660" t="s">
        <v>0</v>
      </c>
      <c r="Q1660" t="s">
        <v>408</v>
      </c>
      <c r="R1660" t="s">
        <v>439</v>
      </c>
      <c r="S1660" t="s">
        <v>440</v>
      </c>
      <c r="T1660" t="s">
        <v>11</v>
      </c>
      <c r="U1660" t="s">
        <v>408</v>
      </c>
    </row>
    <row r="1661" spans="1:21" x14ac:dyDescent="0.25">
      <c r="A1661">
        <v>24567261</v>
      </c>
      <c r="B1661" t="s">
        <v>340</v>
      </c>
      <c r="C1661" t="s">
        <v>86</v>
      </c>
      <c r="D1661" t="s">
        <v>12</v>
      </c>
      <c r="E1661" t="s">
        <v>629</v>
      </c>
      <c r="F1661" t="s">
        <v>393</v>
      </c>
      <c r="G1661" t="s">
        <v>369</v>
      </c>
      <c r="H1661" t="s">
        <v>3</v>
      </c>
      <c r="I1661" t="s">
        <v>436</v>
      </c>
      <c r="J1661" t="s">
        <v>441</v>
      </c>
      <c r="K1661" t="s">
        <v>442</v>
      </c>
      <c r="L1661" t="s">
        <v>8</v>
      </c>
      <c r="M1661" t="s">
        <v>408</v>
      </c>
      <c r="N1661" t="s">
        <v>11</v>
      </c>
      <c r="O1661" t="s">
        <v>11</v>
      </c>
      <c r="P1661" t="s">
        <v>0</v>
      </c>
      <c r="Q1661" t="s">
        <v>408</v>
      </c>
      <c r="R1661" t="s">
        <v>439</v>
      </c>
      <c r="S1661" t="s">
        <v>440</v>
      </c>
      <c r="T1661" t="s">
        <v>11</v>
      </c>
      <c r="U1661" t="s">
        <v>408</v>
      </c>
    </row>
    <row r="1662" spans="1:21" x14ac:dyDescent="0.25">
      <c r="A1662">
        <v>24567262</v>
      </c>
      <c r="B1662" t="s">
        <v>340</v>
      </c>
      <c r="C1662" t="s">
        <v>86</v>
      </c>
      <c r="D1662" t="s">
        <v>12</v>
      </c>
      <c r="E1662" t="s">
        <v>629</v>
      </c>
      <c r="F1662" t="s">
        <v>393</v>
      </c>
      <c r="G1662" t="s">
        <v>369</v>
      </c>
      <c r="H1662" t="s">
        <v>3</v>
      </c>
      <c r="I1662" t="s">
        <v>436</v>
      </c>
      <c r="J1662" t="s">
        <v>441</v>
      </c>
      <c r="K1662" t="s">
        <v>442</v>
      </c>
      <c r="L1662" t="s">
        <v>8</v>
      </c>
      <c r="M1662" t="s">
        <v>408</v>
      </c>
      <c r="N1662" t="s">
        <v>11</v>
      </c>
      <c r="O1662" t="s">
        <v>11</v>
      </c>
      <c r="P1662" t="s">
        <v>0</v>
      </c>
      <c r="Q1662" t="s">
        <v>408</v>
      </c>
      <c r="R1662" t="s">
        <v>439</v>
      </c>
      <c r="S1662" t="s">
        <v>440</v>
      </c>
      <c r="T1662" t="s">
        <v>11</v>
      </c>
      <c r="U1662" t="s">
        <v>408</v>
      </c>
    </row>
    <row r="1663" spans="1:21" x14ac:dyDescent="0.25">
      <c r="A1663">
        <v>24567264</v>
      </c>
      <c r="B1663" t="s">
        <v>340</v>
      </c>
      <c r="C1663" t="s">
        <v>86</v>
      </c>
      <c r="D1663" t="s">
        <v>12</v>
      </c>
      <c r="E1663" t="s">
        <v>629</v>
      </c>
      <c r="F1663" t="s">
        <v>392</v>
      </c>
      <c r="G1663" t="s">
        <v>369</v>
      </c>
      <c r="H1663" t="s">
        <v>3</v>
      </c>
      <c r="I1663" t="s">
        <v>436</v>
      </c>
      <c r="J1663" t="s">
        <v>441</v>
      </c>
      <c r="K1663" t="s">
        <v>442</v>
      </c>
      <c r="L1663" t="s">
        <v>8</v>
      </c>
      <c r="M1663" t="s">
        <v>408</v>
      </c>
      <c r="N1663" t="s">
        <v>11</v>
      </c>
      <c r="O1663" t="s">
        <v>11</v>
      </c>
      <c r="P1663" t="s">
        <v>0</v>
      </c>
      <c r="Q1663" t="s">
        <v>408</v>
      </c>
      <c r="R1663" t="s">
        <v>439</v>
      </c>
      <c r="S1663" t="s">
        <v>440</v>
      </c>
      <c r="T1663" t="s">
        <v>11</v>
      </c>
      <c r="U1663" t="s">
        <v>408</v>
      </c>
    </row>
    <row r="1664" spans="1:21" x14ac:dyDescent="0.25">
      <c r="A1664">
        <v>24567265</v>
      </c>
      <c r="B1664" t="s">
        <v>340</v>
      </c>
      <c r="C1664" t="s">
        <v>86</v>
      </c>
      <c r="D1664" t="s">
        <v>12</v>
      </c>
      <c r="E1664" t="s">
        <v>629</v>
      </c>
      <c r="F1664" t="s">
        <v>392</v>
      </c>
      <c r="G1664" t="s">
        <v>369</v>
      </c>
      <c r="H1664" t="s">
        <v>0</v>
      </c>
      <c r="I1664" t="s">
        <v>436</v>
      </c>
      <c r="J1664" t="s">
        <v>437</v>
      </c>
      <c r="K1664" t="s">
        <v>438</v>
      </c>
      <c r="L1664" t="s">
        <v>1</v>
      </c>
      <c r="M1664" t="s">
        <v>408</v>
      </c>
      <c r="N1664" t="s">
        <v>11</v>
      </c>
      <c r="O1664" t="s">
        <v>11</v>
      </c>
      <c r="P1664" t="s">
        <v>0</v>
      </c>
      <c r="Q1664" t="s">
        <v>408</v>
      </c>
      <c r="R1664" t="s">
        <v>439</v>
      </c>
      <c r="S1664" t="s">
        <v>440</v>
      </c>
      <c r="T1664" t="s">
        <v>11</v>
      </c>
      <c r="U1664" t="s">
        <v>408</v>
      </c>
    </row>
    <row r="1665" spans="1:21" x14ac:dyDescent="0.25">
      <c r="A1665">
        <v>24567267</v>
      </c>
      <c r="B1665" t="s">
        <v>340</v>
      </c>
      <c r="C1665" t="s">
        <v>86</v>
      </c>
      <c r="D1665" t="s">
        <v>12</v>
      </c>
      <c r="E1665" t="s">
        <v>629</v>
      </c>
      <c r="F1665" t="s">
        <v>392</v>
      </c>
      <c r="G1665" t="s">
        <v>369</v>
      </c>
      <c r="H1665" t="s">
        <v>3</v>
      </c>
      <c r="I1665" t="s">
        <v>436</v>
      </c>
      <c r="J1665" t="s">
        <v>441</v>
      </c>
      <c r="K1665" t="s">
        <v>442</v>
      </c>
      <c r="L1665" t="s">
        <v>8</v>
      </c>
      <c r="M1665" t="s">
        <v>408</v>
      </c>
      <c r="N1665" t="s">
        <v>11</v>
      </c>
      <c r="O1665" t="s">
        <v>11</v>
      </c>
      <c r="P1665" t="s">
        <v>0</v>
      </c>
      <c r="Q1665" t="s">
        <v>408</v>
      </c>
      <c r="R1665" t="s">
        <v>439</v>
      </c>
      <c r="S1665" t="s">
        <v>440</v>
      </c>
      <c r="T1665" t="s">
        <v>11</v>
      </c>
      <c r="U1665" t="s">
        <v>408</v>
      </c>
    </row>
    <row r="1666" spans="1:21" x14ac:dyDescent="0.25">
      <c r="A1666">
        <v>24567276</v>
      </c>
      <c r="B1666" t="s">
        <v>340</v>
      </c>
      <c r="C1666" t="s">
        <v>86</v>
      </c>
      <c r="D1666" t="s">
        <v>12</v>
      </c>
      <c r="E1666" t="s">
        <v>629</v>
      </c>
      <c r="F1666" t="s">
        <v>395</v>
      </c>
      <c r="G1666" t="s">
        <v>369</v>
      </c>
      <c r="H1666" t="s">
        <v>3</v>
      </c>
      <c r="I1666" t="s">
        <v>436</v>
      </c>
      <c r="J1666" t="s">
        <v>441</v>
      </c>
      <c r="K1666" t="s">
        <v>442</v>
      </c>
      <c r="L1666" t="s">
        <v>8</v>
      </c>
      <c r="M1666" t="s">
        <v>408</v>
      </c>
      <c r="N1666" t="s">
        <v>11</v>
      </c>
      <c r="O1666" t="s">
        <v>11</v>
      </c>
      <c r="P1666" t="s">
        <v>0</v>
      </c>
      <c r="Q1666" t="s">
        <v>408</v>
      </c>
      <c r="R1666" t="s">
        <v>439</v>
      </c>
      <c r="S1666" t="s">
        <v>440</v>
      </c>
      <c r="T1666" t="s">
        <v>11</v>
      </c>
      <c r="U1666" t="s">
        <v>408</v>
      </c>
    </row>
    <row r="1667" spans="1:21" x14ac:dyDescent="0.25">
      <c r="A1667">
        <v>24567281</v>
      </c>
      <c r="B1667" t="s">
        <v>340</v>
      </c>
      <c r="C1667" t="s">
        <v>86</v>
      </c>
      <c r="D1667" t="s">
        <v>12</v>
      </c>
      <c r="E1667" t="s">
        <v>629</v>
      </c>
      <c r="F1667" t="s">
        <v>393</v>
      </c>
      <c r="G1667" t="s">
        <v>369</v>
      </c>
      <c r="H1667" t="s">
        <v>350</v>
      </c>
      <c r="I1667" t="s">
        <v>436</v>
      </c>
      <c r="J1667" t="s">
        <v>566</v>
      </c>
      <c r="K1667" t="s">
        <v>701</v>
      </c>
      <c r="L1667" t="s">
        <v>8</v>
      </c>
      <c r="M1667" t="s">
        <v>408</v>
      </c>
      <c r="N1667" t="s">
        <v>11</v>
      </c>
      <c r="O1667" t="s">
        <v>11</v>
      </c>
      <c r="P1667" t="s">
        <v>0</v>
      </c>
      <c r="Q1667" t="s">
        <v>408</v>
      </c>
      <c r="R1667" t="s">
        <v>439</v>
      </c>
      <c r="S1667" t="s">
        <v>440</v>
      </c>
      <c r="T1667" t="s">
        <v>11</v>
      </c>
      <c r="U1667" t="s">
        <v>408</v>
      </c>
    </row>
    <row r="1668" spans="1:21" x14ac:dyDescent="0.25">
      <c r="A1668">
        <v>24567288</v>
      </c>
      <c r="B1668" t="s">
        <v>340</v>
      </c>
      <c r="C1668" t="s">
        <v>86</v>
      </c>
      <c r="D1668" t="s">
        <v>12</v>
      </c>
      <c r="E1668" t="s">
        <v>629</v>
      </c>
      <c r="F1668" t="s">
        <v>393</v>
      </c>
      <c r="G1668" t="s">
        <v>369</v>
      </c>
      <c r="H1668" t="s">
        <v>3</v>
      </c>
      <c r="I1668" t="s">
        <v>436</v>
      </c>
      <c r="J1668" t="s">
        <v>441</v>
      </c>
      <c r="K1668" t="s">
        <v>442</v>
      </c>
      <c r="L1668" t="s">
        <v>8</v>
      </c>
      <c r="M1668" t="s">
        <v>408</v>
      </c>
      <c r="N1668" t="s">
        <v>11</v>
      </c>
      <c r="O1668" t="s">
        <v>11</v>
      </c>
      <c r="P1668" t="s">
        <v>0</v>
      </c>
      <c r="Q1668" t="s">
        <v>408</v>
      </c>
      <c r="R1668" t="s">
        <v>439</v>
      </c>
      <c r="S1668" t="s">
        <v>440</v>
      </c>
      <c r="T1668" t="s">
        <v>11</v>
      </c>
      <c r="U1668" t="s">
        <v>408</v>
      </c>
    </row>
    <row r="1669" spans="1:21" x14ac:dyDescent="0.25">
      <c r="A1669">
        <v>24567289</v>
      </c>
      <c r="B1669" t="s">
        <v>340</v>
      </c>
      <c r="C1669" t="s">
        <v>86</v>
      </c>
      <c r="D1669" t="s">
        <v>12</v>
      </c>
      <c r="E1669" t="s">
        <v>629</v>
      </c>
      <c r="F1669" t="s">
        <v>393</v>
      </c>
      <c r="G1669" t="s">
        <v>369</v>
      </c>
      <c r="H1669" t="s">
        <v>3</v>
      </c>
      <c r="I1669" t="s">
        <v>436</v>
      </c>
      <c r="J1669" t="s">
        <v>441</v>
      </c>
      <c r="K1669" t="s">
        <v>442</v>
      </c>
      <c r="L1669" t="s">
        <v>8</v>
      </c>
      <c r="M1669" t="s">
        <v>408</v>
      </c>
      <c r="N1669" t="s">
        <v>11</v>
      </c>
      <c r="O1669" t="s">
        <v>11</v>
      </c>
      <c r="P1669" t="s">
        <v>0</v>
      </c>
      <c r="Q1669" t="s">
        <v>408</v>
      </c>
      <c r="R1669" t="s">
        <v>439</v>
      </c>
      <c r="S1669" t="s">
        <v>440</v>
      </c>
      <c r="T1669" t="s">
        <v>11</v>
      </c>
      <c r="U1669" t="s">
        <v>408</v>
      </c>
    </row>
    <row r="1670" spans="1:21" x14ac:dyDescent="0.25">
      <c r="A1670">
        <v>24567291</v>
      </c>
      <c r="B1670" t="s">
        <v>342</v>
      </c>
      <c r="C1670" t="s">
        <v>89</v>
      </c>
      <c r="D1670" t="s">
        <v>12</v>
      </c>
      <c r="E1670" t="s">
        <v>629</v>
      </c>
      <c r="F1670" t="s">
        <v>393</v>
      </c>
      <c r="G1670" t="s">
        <v>369</v>
      </c>
      <c r="H1670" t="s">
        <v>0</v>
      </c>
      <c r="I1670" t="s">
        <v>436</v>
      </c>
      <c r="J1670" t="s">
        <v>437</v>
      </c>
      <c r="K1670" t="s">
        <v>438</v>
      </c>
      <c r="L1670" t="s">
        <v>345</v>
      </c>
      <c r="M1670" t="s">
        <v>408</v>
      </c>
      <c r="N1670" t="s">
        <v>11</v>
      </c>
      <c r="O1670" t="s">
        <v>11</v>
      </c>
      <c r="P1670" t="s">
        <v>0</v>
      </c>
      <c r="Q1670" t="s">
        <v>408</v>
      </c>
      <c r="R1670" t="s">
        <v>439</v>
      </c>
      <c r="S1670" t="s">
        <v>440</v>
      </c>
      <c r="T1670" t="s">
        <v>11</v>
      </c>
      <c r="U1670" t="s">
        <v>408</v>
      </c>
    </row>
    <row r="1671" spans="1:21" x14ac:dyDescent="0.25">
      <c r="A1671">
        <v>24567293</v>
      </c>
      <c r="B1671" t="s">
        <v>340</v>
      </c>
      <c r="C1671" t="s">
        <v>86</v>
      </c>
      <c r="D1671" t="s">
        <v>12</v>
      </c>
      <c r="E1671" t="s">
        <v>629</v>
      </c>
      <c r="F1671" t="s">
        <v>393</v>
      </c>
      <c r="G1671" t="s">
        <v>369</v>
      </c>
      <c r="H1671" t="s">
        <v>3</v>
      </c>
      <c r="I1671" t="s">
        <v>436</v>
      </c>
      <c r="J1671" t="s">
        <v>441</v>
      </c>
      <c r="K1671" t="s">
        <v>442</v>
      </c>
      <c r="L1671" t="s">
        <v>8</v>
      </c>
      <c r="M1671" t="s">
        <v>408</v>
      </c>
      <c r="N1671" t="s">
        <v>11</v>
      </c>
      <c r="O1671" t="s">
        <v>11</v>
      </c>
      <c r="P1671" t="s">
        <v>0</v>
      </c>
      <c r="Q1671" t="s">
        <v>408</v>
      </c>
      <c r="R1671" t="s">
        <v>439</v>
      </c>
      <c r="S1671" t="s">
        <v>440</v>
      </c>
      <c r="T1671" t="s">
        <v>11</v>
      </c>
      <c r="U1671" t="s">
        <v>408</v>
      </c>
    </row>
    <row r="1672" spans="1:21" x14ac:dyDescent="0.25">
      <c r="A1672">
        <v>24567294</v>
      </c>
      <c r="B1672" t="s">
        <v>340</v>
      </c>
      <c r="C1672" t="s">
        <v>86</v>
      </c>
      <c r="D1672" t="s">
        <v>12</v>
      </c>
      <c r="E1672" t="s">
        <v>629</v>
      </c>
      <c r="F1672" t="s">
        <v>393</v>
      </c>
      <c r="G1672" t="s">
        <v>369</v>
      </c>
      <c r="H1672" t="s">
        <v>3</v>
      </c>
      <c r="I1672" t="s">
        <v>436</v>
      </c>
      <c r="J1672" t="s">
        <v>441</v>
      </c>
      <c r="K1672" t="s">
        <v>442</v>
      </c>
      <c r="L1672" t="s">
        <v>8</v>
      </c>
      <c r="M1672" t="s">
        <v>408</v>
      </c>
      <c r="N1672" t="s">
        <v>11</v>
      </c>
      <c r="O1672" t="s">
        <v>11</v>
      </c>
      <c r="P1672" t="s">
        <v>0</v>
      </c>
      <c r="Q1672" t="s">
        <v>408</v>
      </c>
      <c r="R1672" t="s">
        <v>439</v>
      </c>
      <c r="S1672" t="s">
        <v>440</v>
      </c>
      <c r="T1672" t="s">
        <v>11</v>
      </c>
      <c r="U1672" t="s">
        <v>408</v>
      </c>
    </row>
    <row r="1673" spans="1:21" x14ac:dyDescent="0.25">
      <c r="A1673">
        <v>24567300</v>
      </c>
      <c r="B1673" t="s">
        <v>340</v>
      </c>
      <c r="C1673" t="s">
        <v>86</v>
      </c>
      <c r="D1673" t="s">
        <v>12</v>
      </c>
      <c r="E1673" t="s">
        <v>630</v>
      </c>
      <c r="F1673" t="s">
        <v>381</v>
      </c>
      <c r="G1673" t="s">
        <v>369</v>
      </c>
      <c r="H1673" t="s">
        <v>3</v>
      </c>
      <c r="I1673" t="s">
        <v>436</v>
      </c>
      <c r="J1673" t="s">
        <v>441</v>
      </c>
      <c r="K1673" t="s">
        <v>442</v>
      </c>
      <c r="L1673" t="s">
        <v>8</v>
      </c>
      <c r="M1673" t="s">
        <v>408</v>
      </c>
      <c r="N1673" t="s">
        <v>11</v>
      </c>
      <c r="O1673" t="s">
        <v>11</v>
      </c>
      <c r="P1673" t="s">
        <v>0</v>
      </c>
      <c r="Q1673" t="s">
        <v>408</v>
      </c>
      <c r="R1673" t="s">
        <v>439</v>
      </c>
      <c r="S1673" t="s">
        <v>440</v>
      </c>
      <c r="T1673" t="s">
        <v>11</v>
      </c>
      <c r="U1673" t="s">
        <v>408</v>
      </c>
    </row>
    <row r="1674" spans="1:21" x14ac:dyDescent="0.25">
      <c r="A1674">
        <v>24567302</v>
      </c>
      <c r="B1674" t="s">
        <v>340</v>
      </c>
      <c r="C1674" t="s">
        <v>86</v>
      </c>
      <c r="D1674" t="s">
        <v>12</v>
      </c>
      <c r="E1674" t="s">
        <v>630</v>
      </c>
      <c r="F1674" t="s">
        <v>382</v>
      </c>
      <c r="G1674" t="s">
        <v>369</v>
      </c>
      <c r="H1674" t="s">
        <v>3</v>
      </c>
      <c r="I1674" t="s">
        <v>436</v>
      </c>
      <c r="J1674" t="s">
        <v>441</v>
      </c>
      <c r="K1674" t="s">
        <v>442</v>
      </c>
      <c r="L1674" t="s">
        <v>8</v>
      </c>
      <c r="M1674" t="s">
        <v>408</v>
      </c>
      <c r="N1674" t="s">
        <v>11</v>
      </c>
      <c r="O1674" t="s">
        <v>11</v>
      </c>
      <c r="P1674" t="s">
        <v>0</v>
      </c>
      <c r="Q1674" t="s">
        <v>408</v>
      </c>
      <c r="R1674" t="s">
        <v>439</v>
      </c>
      <c r="S1674" t="s">
        <v>440</v>
      </c>
      <c r="T1674" t="s">
        <v>11</v>
      </c>
      <c r="U1674" t="s">
        <v>408</v>
      </c>
    </row>
    <row r="1675" spans="1:21" x14ac:dyDescent="0.25">
      <c r="A1675">
        <v>24567304</v>
      </c>
      <c r="B1675" t="s">
        <v>340</v>
      </c>
      <c r="C1675" t="s">
        <v>86</v>
      </c>
      <c r="D1675" t="s">
        <v>12</v>
      </c>
      <c r="E1675" t="s">
        <v>630</v>
      </c>
      <c r="F1675" t="s">
        <v>382</v>
      </c>
      <c r="G1675" t="s">
        <v>369</v>
      </c>
      <c r="H1675" t="s">
        <v>3</v>
      </c>
      <c r="I1675" t="s">
        <v>436</v>
      </c>
      <c r="J1675" t="s">
        <v>441</v>
      </c>
      <c r="K1675" t="s">
        <v>442</v>
      </c>
      <c r="L1675" t="s">
        <v>8</v>
      </c>
      <c r="M1675" t="s">
        <v>408</v>
      </c>
      <c r="N1675" t="s">
        <v>11</v>
      </c>
      <c r="O1675" t="s">
        <v>11</v>
      </c>
      <c r="P1675" t="s">
        <v>0</v>
      </c>
      <c r="Q1675" t="s">
        <v>408</v>
      </c>
      <c r="R1675" t="s">
        <v>439</v>
      </c>
      <c r="S1675" t="s">
        <v>440</v>
      </c>
      <c r="T1675" t="s">
        <v>11</v>
      </c>
      <c r="U1675" t="s">
        <v>408</v>
      </c>
    </row>
    <row r="1676" spans="1:21" x14ac:dyDescent="0.25">
      <c r="A1676">
        <v>24567305</v>
      </c>
      <c r="B1676" t="s">
        <v>340</v>
      </c>
      <c r="C1676" t="s">
        <v>86</v>
      </c>
      <c r="D1676" t="s">
        <v>12</v>
      </c>
      <c r="E1676" t="s">
        <v>630</v>
      </c>
      <c r="F1676" t="s">
        <v>382</v>
      </c>
      <c r="G1676" t="s">
        <v>369</v>
      </c>
      <c r="H1676" t="s">
        <v>3</v>
      </c>
      <c r="I1676" t="s">
        <v>436</v>
      </c>
      <c r="J1676" t="s">
        <v>441</v>
      </c>
      <c r="K1676" t="s">
        <v>442</v>
      </c>
      <c r="L1676" t="s">
        <v>8</v>
      </c>
      <c r="M1676" t="s">
        <v>408</v>
      </c>
      <c r="N1676" t="s">
        <v>11</v>
      </c>
      <c r="O1676" t="s">
        <v>11</v>
      </c>
      <c r="P1676" t="s">
        <v>0</v>
      </c>
      <c r="Q1676" t="s">
        <v>408</v>
      </c>
      <c r="R1676" t="s">
        <v>439</v>
      </c>
      <c r="S1676" t="s">
        <v>440</v>
      </c>
      <c r="T1676" t="s">
        <v>11</v>
      </c>
      <c r="U1676" t="s">
        <v>408</v>
      </c>
    </row>
    <row r="1677" spans="1:21" x14ac:dyDescent="0.25">
      <c r="A1677">
        <v>24567342</v>
      </c>
      <c r="B1677" t="s">
        <v>340</v>
      </c>
      <c r="C1677" t="s">
        <v>86</v>
      </c>
      <c r="D1677" t="s">
        <v>18</v>
      </c>
      <c r="E1677" t="s">
        <v>755</v>
      </c>
      <c r="F1677" t="s">
        <v>380</v>
      </c>
      <c r="G1677" t="s">
        <v>369</v>
      </c>
      <c r="H1677" t="s">
        <v>3</v>
      </c>
      <c r="I1677" t="s">
        <v>436</v>
      </c>
      <c r="J1677" t="s">
        <v>441</v>
      </c>
      <c r="K1677" t="s">
        <v>442</v>
      </c>
      <c r="L1677" t="s">
        <v>2</v>
      </c>
      <c r="M1677" t="s">
        <v>408</v>
      </c>
      <c r="N1677" t="s">
        <v>11</v>
      </c>
      <c r="O1677" t="s">
        <v>11</v>
      </c>
      <c r="P1677" t="s">
        <v>2</v>
      </c>
      <c r="Q1677" t="s">
        <v>408</v>
      </c>
      <c r="R1677" t="s">
        <v>439</v>
      </c>
      <c r="S1677" t="s">
        <v>440</v>
      </c>
      <c r="T1677" t="s">
        <v>11</v>
      </c>
      <c r="U1677" t="s">
        <v>408</v>
      </c>
    </row>
    <row r="1678" spans="1:21" x14ac:dyDescent="0.25">
      <c r="A1678">
        <v>24567347</v>
      </c>
      <c r="B1678" t="s">
        <v>340</v>
      </c>
      <c r="C1678" t="s">
        <v>86</v>
      </c>
      <c r="D1678" t="s">
        <v>12</v>
      </c>
      <c r="E1678" t="s">
        <v>755</v>
      </c>
      <c r="F1678" t="s">
        <v>380</v>
      </c>
      <c r="G1678" t="s">
        <v>369</v>
      </c>
      <c r="H1678" t="s">
        <v>2</v>
      </c>
      <c r="I1678" t="s">
        <v>436</v>
      </c>
      <c r="J1678" t="s">
        <v>443</v>
      </c>
      <c r="K1678" t="s">
        <v>444</v>
      </c>
      <c r="L1678" t="s">
        <v>5</v>
      </c>
      <c r="M1678" t="s">
        <v>408</v>
      </c>
      <c r="N1678" t="s">
        <v>11</v>
      </c>
      <c r="O1678" t="s">
        <v>11</v>
      </c>
      <c r="P1678" t="s">
        <v>2</v>
      </c>
      <c r="Q1678" t="s">
        <v>408</v>
      </c>
      <c r="R1678" t="s">
        <v>439</v>
      </c>
      <c r="S1678" t="s">
        <v>440</v>
      </c>
      <c r="T1678" t="s">
        <v>11</v>
      </c>
      <c r="U1678" t="s">
        <v>408</v>
      </c>
    </row>
    <row r="1679" spans="1:21" x14ac:dyDescent="0.25">
      <c r="A1679">
        <v>24567386</v>
      </c>
      <c r="B1679" t="s">
        <v>342</v>
      </c>
      <c r="C1679" t="s">
        <v>89</v>
      </c>
      <c r="D1679" t="s">
        <v>12</v>
      </c>
      <c r="E1679" t="s">
        <v>483</v>
      </c>
      <c r="F1679" t="s">
        <v>414</v>
      </c>
      <c r="G1679" t="s">
        <v>369</v>
      </c>
      <c r="H1679" t="s">
        <v>370</v>
      </c>
      <c r="I1679" t="s">
        <v>721</v>
      </c>
      <c r="J1679" t="s">
        <v>455</v>
      </c>
      <c r="K1679" t="s">
        <v>453</v>
      </c>
      <c r="L1679" t="s">
        <v>367</v>
      </c>
      <c r="M1679" t="s">
        <v>408</v>
      </c>
      <c r="N1679" t="s">
        <v>11</v>
      </c>
      <c r="O1679" t="s">
        <v>11</v>
      </c>
      <c r="P1679" t="s">
        <v>0</v>
      </c>
      <c r="Q1679" t="s">
        <v>408</v>
      </c>
      <c r="R1679" t="s">
        <v>439</v>
      </c>
      <c r="S1679" t="s">
        <v>451</v>
      </c>
      <c r="T1679" t="s">
        <v>11</v>
      </c>
      <c r="U1679" t="s">
        <v>408</v>
      </c>
    </row>
    <row r="1680" spans="1:21" x14ac:dyDescent="0.25">
      <c r="A1680">
        <v>24567399</v>
      </c>
      <c r="B1680" t="s">
        <v>340</v>
      </c>
      <c r="C1680" t="s">
        <v>86</v>
      </c>
      <c r="D1680" t="s">
        <v>12</v>
      </c>
      <c r="E1680" t="s">
        <v>483</v>
      </c>
      <c r="F1680" t="s">
        <v>414</v>
      </c>
      <c r="G1680" t="s">
        <v>369</v>
      </c>
      <c r="H1680" t="s">
        <v>370</v>
      </c>
      <c r="I1680" t="s">
        <v>721</v>
      </c>
      <c r="J1680" t="s">
        <v>455</v>
      </c>
      <c r="K1680" t="s">
        <v>453</v>
      </c>
      <c r="L1680" t="s">
        <v>367</v>
      </c>
      <c r="M1680" t="s">
        <v>408</v>
      </c>
      <c r="N1680" t="s">
        <v>11</v>
      </c>
      <c r="O1680" t="s">
        <v>11</v>
      </c>
      <c r="P1680" t="s">
        <v>0</v>
      </c>
      <c r="Q1680" t="s">
        <v>408</v>
      </c>
      <c r="R1680" t="s">
        <v>439</v>
      </c>
      <c r="S1680" t="s">
        <v>451</v>
      </c>
      <c r="T1680" t="s">
        <v>11</v>
      </c>
      <c r="U1680" t="s">
        <v>408</v>
      </c>
    </row>
    <row r="1681" spans="1:21" x14ac:dyDescent="0.25">
      <c r="A1681">
        <v>24567400</v>
      </c>
      <c r="B1681" t="s">
        <v>340</v>
      </c>
      <c r="C1681" t="s">
        <v>86</v>
      </c>
      <c r="D1681" t="s">
        <v>12</v>
      </c>
      <c r="E1681" t="s">
        <v>483</v>
      </c>
      <c r="F1681" t="s">
        <v>414</v>
      </c>
      <c r="G1681" t="s">
        <v>369</v>
      </c>
      <c r="H1681" t="s">
        <v>370</v>
      </c>
      <c r="I1681" t="s">
        <v>721</v>
      </c>
      <c r="J1681" t="s">
        <v>455</v>
      </c>
      <c r="K1681" t="s">
        <v>453</v>
      </c>
      <c r="L1681" t="s">
        <v>367</v>
      </c>
      <c r="M1681" t="s">
        <v>408</v>
      </c>
      <c r="N1681" t="s">
        <v>11</v>
      </c>
      <c r="O1681" t="s">
        <v>11</v>
      </c>
      <c r="P1681" t="s">
        <v>0</v>
      </c>
      <c r="Q1681" t="s">
        <v>408</v>
      </c>
      <c r="R1681" t="s">
        <v>439</v>
      </c>
      <c r="S1681" t="s">
        <v>451</v>
      </c>
      <c r="T1681" t="s">
        <v>11</v>
      </c>
      <c r="U1681" t="s">
        <v>408</v>
      </c>
    </row>
    <row r="1682" spans="1:21" x14ac:dyDescent="0.25">
      <c r="A1682">
        <v>24567401</v>
      </c>
      <c r="B1682" t="s">
        <v>340</v>
      </c>
      <c r="C1682" t="s">
        <v>86</v>
      </c>
      <c r="D1682" t="s">
        <v>12</v>
      </c>
      <c r="E1682" t="s">
        <v>483</v>
      </c>
      <c r="F1682" t="s">
        <v>414</v>
      </c>
      <c r="G1682" t="s">
        <v>369</v>
      </c>
      <c r="H1682" t="s">
        <v>370</v>
      </c>
      <c r="I1682" t="s">
        <v>721</v>
      </c>
      <c r="J1682" t="s">
        <v>455</v>
      </c>
      <c r="K1682" t="s">
        <v>453</v>
      </c>
      <c r="L1682" t="s">
        <v>367</v>
      </c>
      <c r="M1682" t="s">
        <v>408</v>
      </c>
      <c r="N1682" t="s">
        <v>11</v>
      </c>
      <c r="O1682" t="s">
        <v>11</v>
      </c>
      <c r="P1682" t="s">
        <v>0</v>
      </c>
      <c r="Q1682" t="s">
        <v>408</v>
      </c>
      <c r="R1682" t="s">
        <v>439</v>
      </c>
      <c r="S1682" t="s">
        <v>451</v>
      </c>
      <c r="T1682" t="s">
        <v>11</v>
      </c>
      <c r="U1682" t="s">
        <v>408</v>
      </c>
    </row>
    <row r="1683" spans="1:21" x14ac:dyDescent="0.25">
      <c r="A1683">
        <v>24567402</v>
      </c>
      <c r="B1683" t="s">
        <v>340</v>
      </c>
      <c r="C1683" t="s">
        <v>86</v>
      </c>
      <c r="D1683" t="s">
        <v>12</v>
      </c>
      <c r="E1683" t="s">
        <v>483</v>
      </c>
      <c r="F1683" t="s">
        <v>414</v>
      </c>
      <c r="G1683" t="s">
        <v>369</v>
      </c>
      <c r="H1683" t="s">
        <v>370</v>
      </c>
      <c r="I1683" t="s">
        <v>721</v>
      </c>
      <c r="J1683" t="s">
        <v>455</v>
      </c>
      <c r="K1683" t="s">
        <v>453</v>
      </c>
      <c r="L1683" t="s">
        <v>367</v>
      </c>
      <c r="M1683" t="s">
        <v>408</v>
      </c>
      <c r="N1683" t="s">
        <v>11</v>
      </c>
      <c r="O1683" t="s">
        <v>11</v>
      </c>
      <c r="P1683" t="s">
        <v>0</v>
      </c>
      <c r="Q1683" t="s">
        <v>408</v>
      </c>
      <c r="R1683" t="s">
        <v>439</v>
      </c>
      <c r="S1683" t="s">
        <v>451</v>
      </c>
      <c r="T1683" t="s">
        <v>11</v>
      </c>
      <c r="U1683" t="s">
        <v>408</v>
      </c>
    </row>
    <row r="1684" spans="1:21" x14ac:dyDescent="0.25">
      <c r="A1684">
        <v>24567403</v>
      </c>
      <c r="B1684" t="s">
        <v>340</v>
      </c>
      <c r="C1684" t="s">
        <v>86</v>
      </c>
      <c r="D1684" t="s">
        <v>12</v>
      </c>
      <c r="E1684" t="s">
        <v>483</v>
      </c>
      <c r="F1684" t="s">
        <v>414</v>
      </c>
      <c r="G1684" t="s">
        <v>369</v>
      </c>
      <c r="H1684" t="s">
        <v>370</v>
      </c>
      <c r="I1684" t="s">
        <v>721</v>
      </c>
      <c r="J1684" t="s">
        <v>455</v>
      </c>
      <c r="K1684" t="s">
        <v>453</v>
      </c>
      <c r="L1684" t="s">
        <v>367</v>
      </c>
      <c r="M1684" t="s">
        <v>408</v>
      </c>
      <c r="N1684" t="s">
        <v>11</v>
      </c>
      <c r="O1684" t="s">
        <v>11</v>
      </c>
      <c r="P1684" t="s">
        <v>0</v>
      </c>
      <c r="Q1684" t="s">
        <v>408</v>
      </c>
      <c r="R1684" t="s">
        <v>439</v>
      </c>
      <c r="S1684" t="s">
        <v>451</v>
      </c>
      <c r="T1684" t="s">
        <v>11</v>
      </c>
      <c r="U1684" t="s">
        <v>408</v>
      </c>
    </row>
    <row r="1685" spans="1:21" x14ac:dyDescent="0.25">
      <c r="A1685">
        <v>24567404</v>
      </c>
      <c r="B1685" t="s">
        <v>340</v>
      </c>
      <c r="C1685" t="s">
        <v>86</v>
      </c>
      <c r="D1685" t="s">
        <v>12</v>
      </c>
      <c r="E1685" t="s">
        <v>483</v>
      </c>
      <c r="F1685" t="s">
        <v>414</v>
      </c>
      <c r="G1685" t="s">
        <v>369</v>
      </c>
      <c r="H1685" t="s">
        <v>370</v>
      </c>
      <c r="I1685" t="s">
        <v>721</v>
      </c>
      <c r="J1685" t="s">
        <v>455</v>
      </c>
      <c r="K1685" t="s">
        <v>453</v>
      </c>
      <c r="L1685" t="s">
        <v>367</v>
      </c>
      <c r="M1685" t="s">
        <v>408</v>
      </c>
      <c r="N1685" t="s">
        <v>11</v>
      </c>
      <c r="O1685" t="s">
        <v>11</v>
      </c>
      <c r="P1685" t="s">
        <v>0</v>
      </c>
      <c r="Q1685" t="s">
        <v>408</v>
      </c>
      <c r="R1685" t="s">
        <v>439</v>
      </c>
      <c r="S1685" t="s">
        <v>451</v>
      </c>
      <c r="T1685" t="s">
        <v>11</v>
      </c>
      <c r="U1685" t="s">
        <v>408</v>
      </c>
    </row>
    <row r="1686" spans="1:21" x14ac:dyDescent="0.25">
      <c r="A1686">
        <v>24567405</v>
      </c>
      <c r="B1686" t="s">
        <v>340</v>
      </c>
      <c r="C1686" t="s">
        <v>86</v>
      </c>
      <c r="D1686" t="s">
        <v>12</v>
      </c>
      <c r="E1686" t="s">
        <v>483</v>
      </c>
      <c r="F1686" t="s">
        <v>414</v>
      </c>
      <c r="G1686" t="s">
        <v>369</v>
      </c>
      <c r="H1686" t="s">
        <v>370</v>
      </c>
      <c r="I1686" t="s">
        <v>721</v>
      </c>
      <c r="J1686" t="s">
        <v>455</v>
      </c>
      <c r="K1686" t="s">
        <v>453</v>
      </c>
      <c r="L1686" t="s">
        <v>367</v>
      </c>
      <c r="M1686" t="s">
        <v>408</v>
      </c>
      <c r="N1686" t="s">
        <v>11</v>
      </c>
      <c r="O1686" t="s">
        <v>11</v>
      </c>
      <c r="P1686" t="s">
        <v>0</v>
      </c>
      <c r="Q1686" t="s">
        <v>408</v>
      </c>
      <c r="R1686" t="s">
        <v>439</v>
      </c>
      <c r="S1686" t="s">
        <v>451</v>
      </c>
      <c r="T1686" t="s">
        <v>11</v>
      </c>
      <c r="U1686" t="s">
        <v>408</v>
      </c>
    </row>
    <row r="1687" spans="1:21" x14ac:dyDescent="0.25">
      <c r="A1687">
        <v>24567406</v>
      </c>
      <c r="B1687" t="s">
        <v>340</v>
      </c>
      <c r="C1687" t="s">
        <v>86</v>
      </c>
      <c r="D1687" t="s">
        <v>12</v>
      </c>
      <c r="E1687" t="s">
        <v>483</v>
      </c>
      <c r="F1687" t="s">
        <v>414</v>
      </c>
      <c r="G1687" t="s">
        <v>369</v>
      </c>
      <c r="H1687" t="s">
        <v>370</v>
      </c>
      <c r="I1687" t="s">
        <v>721</v>
      </c>
      <c r="J1687" t="s">
        <v>455</v>
      </c>
      <c r="K1687" t="s">
        <v>453</v>
      </c>
      <c r="L1687" t="s">
        <v>367</v>
      </c>
      <c r="M1687" t="s">
        <v>408</v>
      </c>
      <c r="N1687" t="s">
        <v>11</v>
      </c>
      <c r="O1687" t="s">
        <v>11</v>
      </c>
      <c r="P1687" t="s">
        <v>0</v>
      </c>
      <c r="Q1687" t="s">
        <v>408</v>
      </c>
      <c r="R1687" t="s">
        <v>439</v>
      </c>
      <c r="S1687" t="s">
        <v>451</v>
      </c>
      <c r="T1687" t="s">
        <v>11</v>
      </c>
      <c r="U1687" t="s">
        <v>408</v>
      </c>
    </row>
    <row r="1688" spans="1:21" x14ac:dyDescent="0.25">
      <c r="A1688">
        <v>24567407</v>
      </c>
      <c r="B1688" t="s">
        <v>340</v>
      </c>
      <c r="C1688" t="s">
        <v>86</v>
      </c>
      <c r="D1688" t="s">
        <v>12</v>
      </c>
      <c r="E1688" t="s">
        <v>483</v>
      </c>
      <c r="F1688" t="s">
        <v>414</v>
      </c>
      <c r="G1688" t="s">
        <v>369</v>
      </c>
      <c r="H1688" t="s">
        <v>370</v>
      </c>
      <c r="I1688" t="s">
        <v>721</v>
      </c>
      <c r="J1688" t="s">
        <v>455</v>
      </c>
      <c r="K1688" t="s">
        <v>453</v>
      </c>
      <c r="L1688" t="s">
        <v>367</v>
      </c>
      <c r="M1688" t="s">
        <v>408</v>
      </c>
      <c r="N1688" t="s">
        <v>11</v>
      </c>
      <c r="O1688" t="s">
        <v>11</v>
      </c>
      <c r="P1688" t="s">
        <v>0</v>
      </c>
      <c r="Q1688" t="s">
        <v>408</v>
      </c>
      <c r="R1688" t="s">
        <v>439</v>
      </c>
      <c r="S1688" t="s">
        <v>451</v>
      </c>
      <c r="T1688" t="s">
        <v>11</v>
      </c>
      <c r="U1688" t="s">
        <v>408</v>
      </c>
    </row>
    <row r="1689" spans="1:21" x14ac:dyDescent="0.25">
      <c r="A1689">
        <v>24567408</v>
      </c>
      <c r="B1689" t="s">
        <v>340</v>
      </c>
      <c r="C1689" t="s">
        <v>86</v>
      </c>
      <c r="D1689" t="s">
        <v>12</v>
      </c>
      <c r="E1689" t="s">
        <v>483</v>
      </c>
      <c r="F1689" t="s">
        <v>414</v>
      </c>
      <c r="G1689" t="s">
        <v>369</v>
      </c>
      <c r="H1689" t="s">
        <v>370</v>
      </c>
      <c r="I1689" t="s">
        <v>721</v>
      </c>
      <c r="J1689" t="s">
        <v>455</v>
      </c>
      <c r="K1689" t="s">
        <v>453</v>
      </c>
      <c r="L1689" t="s">
        <v>367</v>
      </c>
      <c r="M1689" t="s">
        <v>408</v>
      </c>
      <c r="N1689" t="s">
        <v>11</v>
      </c>
      <c r="O1689" t="s">
        <v>11</v>
      </c>
      <c r="P1689" t="s">
        <v>0</v>
      </c>
      <c r="Q1689" t="s">
        <v>408</v>
      </c>
      <c r="R1689" t="s">
        <v>439</v>
      </c>
      <c r="S1689" t="s">
        <v>451</v>
      </c>
      <c r="T1689" t="s">
        <v>11</v>
      </c>
      <c r="U1689" t="s">
        <v>408</v>
      </c>
    </row>
    <row r="1690" spans="1:21" x14ac:dyDescent="0.25">
      <c r="A1690">
        <v>24567409</v>
      </c>
      <c r="B1690" t="s">
        <v>340</v>
      </c>
      <c r="C1690" t="s">
        <v>86</v>
      </c>
      <c r="D1690" t="s">
        <v>12</v>
      </c>
      <c r="E1690" t="s">
        <v>630</v>
      </c>
      <c r="F1690" t="s">
        <v>382</v>
      </c>
      <c r="G1690" t="s">
        <v>369</v>
      </c>
      <c r="H1690" t="s">
        <v>3</v>
      </c>
      <c r="I1690" t="s">
        <v>436</v>
      </c>
      <c r="J1690" t="s">
        <v>441</v>
      </c>
      <c r="K1690" t="s">
        <v>442</v>
      </c>
      <c r="L1690" t="s">
        <v>8</v>
      </c>
      <c r="M1690" t="s">
        <v>408</v>
      </c>
      <c r="N1690" t="s">
        <v>11</v>
      </c>
      <c r="O1690" t="s">
        <v>11</v>
      </c>
      <c r="P1690" t="s">
        <v>0</v>
      </c>
      <c r="Q1690" t="s">
        <v>408</v>
      </c>
      <c r="R1690" t="s">
        <v>439</v>
      </c>
      <c r="S1690" t="s">
        <v>440</v>
      </c>
      <c r="T1690" t="s">
        <v>11</v>
      </c>
      <c r="U1690" t="s">
        <v>408</v>
      </c>
    </row>
    <row r="1691" spans="1:21" x14ac:dyDescent="0.25">
      <c r="A1691">
        <v>24567410</v>
      </c>
      <c r="B1691" t="s">
        <v>340</v>
      </c>
      <c r="C1691" t="s">
        <v>86</v>
      </c>
      <c r="D1691" t="s">
        <v>12</v>
      </c>
      <c r="E1691" t="s">
        <v>629</v>
      </c>
      <c r="F1691" t="s">
        <v>393</v>
      </c>
      <c r="G1691" t="s">
        <v>369</v>
      </c>
      <c r="H1691" t="s">
        <v>3</v>
      </c>
      <c r="I1691" t="s">
        <v>436</v>
      </c>
      <c r="J1691" t="s">
        <v>441</v>
      </c>
      <c r="K1691" t="s">
        <v>442</v>
      </c>
      <c r="L1691" t="s">
        <v>8</v>
      </c>
      <c r="M1691" t="s">
        <v>408</v>
      </c>
      <c r="N1691" t="s">
        <v>11</v>
      </c>
      <c r="O1691" t="s">
        <v>11</v>
      </c>
      <c r="P1691" t="s">
        <v>0</v>
      </c>
      <c r="Q1691" t="s">
        <v>408</v>
      </c>
      <c r="R1691" t="s">
        <v>439</v>
      </c>
      <c r="S1691" t="s">
        <v>440</v>
      </c>
      <c r="T1691" t="s">
        <v>11</v>
      </c>
      <c r="U1691" t="s">
        <v>408</v>
      </c>
    </row>
    <row r="1692" spans="1:21" x14ac:dyDescent="0.25">
      <c r="A1692">
        <v>24567411</v>
      </c>
      <c r="B1692" t="s">
        <v>340</v>
      </c>
      <c r="C1692" t="s">
        <v>86</v>
      </c>
      <c r="D1692" t="s">
        <v>12</v>
      </c>
      <c r="E1692" t="s">
        <v>629</v>
      </c>
      <c r="F1692" t="s">
        <v>393</v>
      </c>
      <c r="G1692" t="s">
        <v>369</v>
      </c>
      <c r="H1692" t="s">
        <v>3</v>
      </c>
      <c r="I1692" t="s">
        <v>436</v>
      </c>
      <c r="J1692" t="s">
        <v>441</v>
      </c>
      <c r="K1692" t="s">
        <v>442</v>
      </c>
      <c r="L1692" t="s">
        <v>8</v>
      </c>
      <c r="M1692" t="s">
        <v>408</v>
      </c>
      <c r="N1692" t="s">
        <v>11</v>
      </c>
      <c r="O1692" t="s">
        <v>11</v>
      </c>
      <c r="P1692" t="s">
        <v>0</v>
      </c>
      <c r="Q1692" t="s">
        <v>408</v>
      </c>
      <c r="R1692" t="s">
        <v>439</v>
      </c>
      <c r="S1692" t="s">
        <v>440</v>
      </c>
      <c r="T1692" t="s">
        <v>11</v>
      </c>
      <c r="U1692" t="s">
        <v>408</v>
      </c>
    </row>
    <row r="1693" spans="1:21" x14ac:dyDescent="0.25">
      <c r="A1693">
        <v>24567412</v>
      </c>
      <c r="B1693" t="s">
        <v>340</v>
      </c>
      <c r="C1693" t="s">
        <v>86</v>
      </c>
      <c r="D1693" t="s">
        <v>12</v>
      </c>
      <c r="E1693" t="s">
        <v>630</v>
      </c>
      <c r="F1693" t="s">
        <v>382</v>
      </c>
      <c r="G1693" t="s">
        <v>369</v>
      </c>
      <c r="H1693" t="s">
        <v>3</v>
      </c>
      <c r="I1693" t="s">
        <v>436</v>
      </c>
      <c r="J1693" t="s">
        <v>441</v>
      </c>
      <c r="K1693" t="s">
        <v>442</v>
      </c>
      <c r="L1693" t="s">
        <v>8</v>
      </c>
      <c r="M1693" t="s">
        <v>408</v>
      </c>
      <c r="N1693" t="s">
        <v>11</v>
      </c>
      <c r="O1693" t="s">
        <v>11</v>
      </c>
      <c r="P1693" t="s">
        <v>0</v>
      </c>
      <c r="Q1693" t="s">
        <v>408</v>
      </c>
      <c r="R1693" t="s">
        <v>439</v>
      </c>
      <c r="S1693" t="s">
        <v>440</v>
      </c>
      <c r="T1693" t="s">
        <v>11</v>
      </c>
      <c r="U1693" t="s">
        <v>408</v>
      </c>
    </row>
    <row r="1694" spans="1:21" x14ac:dyDescent="0.25">
      <c r="A1694">
        <v>24567413</v>
      </c>
      <c r="B1694" t="s">
        <v>340</v>
      </c>
      <c r="C1694" t="s">
        <v>86</v>
      </c>
      <c r="D1694" t="s">
        <v>12</v>
      </c>
      <c r="E1694" t="s">
        <v>629</v>
      </c>
      <c r="F1694" t="s">
        <v>393</v>
      </c>
      <c r="G1694" t="s">
        <v>369</v>
      </c>
      <c r="H1694" t="s">
        <v>3</v>
      </c>
      <c r="I1694" t="s">
        <v>436</v>
      </c>
      <c r="J1694" t="s">
        <v>441</v>
      </c>
      <c r="K1694" t="s">
        <v>442</v>
      </c>
      <c r="L1694" t="s">
        <v>8</v>
      </c>
      <c r="M1694" t="s">
        <v>408</v>
      </c>
      <c r="N1694" t="s">
        <v>11</v>
      </c>
      <c r="O1694" t="s">
        <v>11</v>
      </c>
      <c r="P1694" t="s">
        <v>0</v>
      </c>
      <c r="Q1694" t="s">
        <v>408</v>
      </c>
      <c r="R1694" t="s">
        <v>439</v>
      </c>
      <c r="S1694" t="s">
        <v>440</v>
      </c>
      <c r="T1694" t="s">
        <v>11</v>
      </c>
      <c r="U1694" t="s">
        <v>408</v>
      </c>
    </row>
    <row r="1695" spans="1:21" x14ac:dyDescent="0.25">
      <c r="A1695">
        <v>24567414</v>
      </c>
      <c r="B1695" t="s">
        <v>340</v>
      </c>
      <c r="C1695" t="s">
        <v>86</v>
      </c>
      <c r="D1695" t="s">
        <v>12</v>
      </c>
      <c r="E1695" t="s">
        <v>629</v>
      </c>
      <c r="F1695" t="s">
        <v>395</v>
      </c>
      <c r="G1695" t="s">
        <v>369</v>
      </c>
      <c r="H1695" t="s">
        <v>3</v>
      </c>
      <c r="I1695" t="s">
        <v>436</v>
      </c>
      <c r="J1695" t="s">
        <v>441</v>
      </c>
      <c r="K1695" t="s">
        <v>442</v>
      </c>
      <c r="L1695" t="s">
        <v>8</v>
      </c>
      <c r="M1695" t="s">
        <v>408</v>
      </c>
      <c r="N1695" t="s">
        <v>11</v>
      </c>
      <c r="O1695" t="s">
        <v>11</v>
      </c>
      <c r="P1695" t="s">
        <v>0</v>
      </c>
      <c r="Q1695" t="s">
        <v>408</v>
      </c>
      <c r="R1695" t="s">
        <v>439</v>
      </c>
      <c r="S1695" t="s">
        <v>440</v>
      </c>
      <c r="T1695" t="s">
        <v>11</v>
      </c>
      <c r="U1695" t="s">
        <v>408</v>
      </c>
    </row>
    <row r="1696" spans="1:21" x14ac:dyDescent="0.25">
      <c r="A1696">
        <v>24567415</v>
      </c>
      <c r="B1696" t="s">
        <v>340</v>
      </c>
      <c r="C1696" t="s">
        <v>86</v>
      </c>
      <c r="D1696" t="s">
        <v>12</v>
      </c>
      <c r="E1696" t="s">
        <v>629</v>
      </c>
      <c r="F1696" t="s">
        <v>393</v>
      </c>
      <c r="G1696" t="s">
        <v>369</v>
      </c>
      <c r="H1696" t="s">
        <v>3</v>
      </c>
      <c r="I1696" t="s">
        <v>436</v>
      </c>
      <c r="J1696" t="s">
        <v>441</v>
      </c>
      <c r="K1696" t="s">
        <v>442</v>
      </c>
      <c r="L1696" t="s">
        <v>8</v>
      </c>
      <c r="M1696" t="s">
        <v>408</v>
      </c>
      <c r="N1696" t="s">
        <v>11</v>
      </c>
      <c r="O1696" t="s">
        <v>11</v>
      </c>
      <c r="P1696" t="s">
        <v>0</v>
      </c>
      <c r="Q1696" t="s">
        <v>408</v>
      </c>
      <c r="R1696" t="s">
        <v>439</v>
      </c>
      <c r="S1696" t="s">
        <v>440</v>
      </c>
      <c r="T1696" t="s">
        <v>11</v>
      </c>
      <c r="U1696" t="s">
        <v>408</v>
      </c>
    </row>
    <row r="1697" spans="1:21" x14ac:dyDescent="0.25">
      <c r="A1697">
        <v>24567416</v>
      </c>
      <c r="B1697" t="s">
        <v>340</v>
      </c>
      <c r="C1697" t="s">
        <v>86</v>
      </c>
      <c r="D1697" t="s">
        <v>12</v>
      </c>
      <c r="E1697" t="s">
        <v>629</v>
      </c>
      <c r="F1697" t="s">
        <v>393</v>
      </c>
      <c r="G1697" t="s">
        <v>369</v>
      </c>
      <c r="H1697" t="s">
        <v>3</v>
      </c>
      <c r="I1697" t="s">
        <v>436</v>
      </c>
      <c r="J1697" t="s">
        <v>441</v>
      </c>
      <c r="K1697" t="s">
        <v>442</v>
      </c>
      <c r="L1697" t="s">
        <v>8</v>
      </c>
      <c r="M1697" t="s">
        <v>408</v>
      </c>
      <c r="N1697" t="s">
        <v>11</v>
      </c>
      <c r="O1697" t="s">
        <v>11</v>
      </c>
      <c r="P1697" t="s">
        <v>0</v>
      </c>
      <c r="Q1697" t="s">
        <v>408</v>
      </c>
      <c r="R1697" t="s">
        <v>439</v>
      </c>
      <c r="S1697" t="s">
        <v>440</v>
      </c>
      <c r="T1697" t="s">
        <v>11</v>
      </c>
      <c r="U1697" t="s">
        <v>408</v>
      </c>
    </row>
    <row r="1698" spans="1:21" x14ac:dyDescent="0.25">
      <c r="A1698">
        <v>24567417</v>
      </c>
      <c r="B1698" t="s">
        <v>340</v>
      </c>
      <c r="C1698" t="s">
        <v>86</v>
      </c>
      <c r="D1698" t="s">
        <v>12</v>
      </c>
      <c r="E1698" t="s">
        <v>629</v>
      </c>
      <c r="F1698" t="s">
        <v>393</v>
      </c>
      <c r="G1698" t="s">
        <v>369</v>
      </c>
      <c r="H1698" t="s">
        <v>3</v>
      </c>
      <c r="I1698" t="s">
        <v>436</v>
      </c>
      <c r="J1698" t="s">
        <v>441</v>
      </c>
      <c r="K1698" t="s">
        <v>442</v>
      </c>
      <c r="L1698" t="s">
        <v>8</v>
      </c>
      <c r="M1698" t="s">
        <v>408</v>
      </c>
      <c r="N1698" t="s">
        <v>11</v>
      </c>
      <c r="O1698" t="s">
        <v>11</v>
      </c>
      <c r="P1698" t="s">
        <v>0</v>
      </c>
      <c r="Q1698" t="s">
        <v>408</v>
      </c>
      <c r="R1698" t="s">
        <v>439</v>
      </c>
      <c r="S1698" t="s">
        <v>440</v>
      </c>
      <c r="T1698" t="s">
        <v>11</v>
      </c>
      <c r="U1698" t="s">
        <v>408</v>
      </c>
    </row>
    <row r="1699" spans="1:21" x14ac:dyDescent="0.25">
      <c r="A1699">
        <v>24567418</v>
      </c>
      <c r="B1699" t="s">
        <v>340</v>
      </c>
      <c r="C1699" t="s">
        <v>86</v>
      </c>
      <c r="D1699" t="s">
        <v>12</v>
      </c>
      <c r="E1699" t="s">
        <v>629</v>
      </c>
      <c r="F1699" t="s">
        <v>393</v>
      </c>
      <c r="G1699" t="s">
        <v>369</v>
      </c>
      <c r="H1699" t="s">
        <v>0</v>
      </c>
      <c r="I1699" t="s">
        <v>436</v>
      </c>
      <c r="J1699" t="s">
        <v>437</v>
      </c>
      <c r="K1699" t="s">
        <v>438</v>
      </c>
      <c r="L1699" t="s">
        <v>1</v>
      </c>
      <c r="M1699" t="s">
        <v>408</v>
      </c>
      <c r="N1699" t="s">
        <v>11</v>
      </c>
      <c r="O1699" t="s">
        <v>11</v>
      </c>
      <c r="P1699" t="s">
        <v>0</v>
      </c>
      <c r="Q1699" t="s">
        <v>408</v>
      </c>
      <c r="R1699" t="s">
        <v>439</v>
      </c>
      <c r="S1699" t="s">
        <v>440</v>
      </c>
      <c r="T1699" t="s">
        <v>11</v>
      </c>
      <c r="U1699" t="s">
        <v>408</v>
      </c>
    </row>
    <row r="1700" spans="1:21" x14ac:dyDescent="0.25">
      <c r="A1700">
        <v>24567419</v>
      </c>
      <c r="B1700" t="s">
        <v>340</v>
      </c>
      <c r="C1700" t="s">
        <v>86</v>
      </c>
      <c r="D1700" t="s">
        <v>12</v>
      </c>
      <c r="E1700" t="s">
        <v>630</v>
      </c>
      <c r="F1700" t="s">
        <v>381</v>
      </c>
      <c r="G1700" t="s">
        <v>369</v>
      </c>
      <c r="H1700" t="s">
        <v>3</v>
      </c>
      <c r="I1700" t="s">
        <v>436</v>
      </c>
      <c r="J1700" t="s">
        <v>441</v>
      </c>
      <c r="K1700" t="s">
        <v>442</v>
      </c>
      <c r="L1700" t="s">
        <v>8</v>
      </c>
      <c r="M1700" t="s">
        <v>408</v>
      </c>
      <c r="N1700" t="s">
        <v>11</v>
      </c>
      <c r="O1700" t="s">
        <v>11</v>
      </c>
      <c r="P1700" t="s">
        <v>0</v>
      </c>
      <c r="Q1700" t="s">
        <v>408</v>
      </c>
      <c r="R1700" t="s">
        <v>439</v>
      </c>
      <c r="S1700" t="s">
        <v>440</v>
      </c>
      <c r="T1700" t="s">
        <v>11</v>
      </c>
      <c r="U1700" t="s">
        <v>408</v>
      </c>
    </row>
    <row r="1701" spans="1:21" x14ac:dyDescent="0.25">
      <c r="A1701">
        <v>24567420</v>
      </c>
      <c r="B1701" t="s">
        <v>340</v>
      </c>
      <c r="C1701" t="s">
        <v>86</v>
      </c>
      <c r="D1701" t="s">
        <v>18</v>
      </c>
      <c r="E1701" t="s">
        <v>629</v>
      </c>
      <c r="F1701" t="s">
        <v>393</v>
      </c>
      <c r="G1701" t="s">
        <v>369</v>
      </c>
      <c r="H1701" t="s">
        <v>3</v>
      </c>
      <c r="I1701" t="s">
        <v>436</v>
      </c>
      <c r="J1701" t="s">
        <v>441</v>
      </c>
      <c r="K1701" t="s">
        <v>442</v>
      </c>
      <c r="L1701" t="s">
        <v>8</v>
      </c>
      <c r="M1701" t="s">
        <v>408</v>
      </c>
      <c r="N1701" t="s">
        <v>11</v>
      </c>
      <c r="O1701" t="s">
        <v>11</v>
      </c>
      <c r="P1701" t="s">
        <v>0</v>
      </c>
      <c r="Q1701" t="s">
        <v>408</v>
      </c>
      <c r="R1701" t="s">
        <v>439</v>
      </c>
      <c r="S1701" t="s">
        <v>440</v>
      </c>
      <c r="T1701" t="s">
        <v>11</v>
      </c>
      <c r="U1701" t="s">
        <v>408</v>
      </c>
    </row>
    <row r="1702" spans="1:21" x14ac:dyDescent="0.25">
      <c r="A1702">
        <v>24567421</v>
      </c>
      <c r="B1702" t="s">
        <v>340</v>
      </c>
      <c r="C1702" t="s">
        <v>86</v>
      </c>
      <c r="D1702" t="s">
        <v>12</v>
      </c>
      <c r="E1702" t="s">
        <v>755</v>
      </c>
      <c r="F1702" t="s">
        <v>380</v>
      </c>
      <c r="G1702" t="s">
        <v>369</v>
      </c>
      <c r="H1702" t="s">
        <v>0</v>
      </c>
      <c r="I1702" t="s">
        <v>436</v>
      </c>
      <c r="J1702" t="s">
        <v>437</v>
      </c>
      <c r="K1702" t="s">
        <v>438</v>
      </c>
      <c r="L1702" t="s">
        <v>1</v>
      </c>
      <c r="M1702" t="s">
        <v>408</v>
      </c>
      <c r="N1702" t="s">
        <v>11</v>
      </c>
      <c r="O1702" t="s">
        <v>11</v>
      </c>
      <c r="P1702" t="s">
        <v>0</v>
      </c>
      <c r="Q1702" t="s">
        <v>408</v>
      </c>
      <c r="R1702" t="s">
        <v>439</v>
      </c>
      <c r="S1702" t="s">
        <v>440</v>
      </c>
      <c r="T1702" t="s">
        <v>11</v>
      </c>
      <c r="U1702" t="s">
        <v>408</v>
      </c>
    </row>
    <row r="1703" spans="1:21" x14ac:dyDescent="0.25">
      <c r="A1703">
        <v>24567432</v>
      </c>
      <c r="B1703" t="s">
        <v>340</v>
      </c>
      <c r="C1703" t="s">
        <v>86</v>
      </c>
      <c r="D1703" t="s">
        <v>18</v>
      </c>
      <c r="E1703" t="s">
        <v>487</v>
      </c>
      <c r="F1703" t="s">
        <v>388</v>
      </c>
      <c r="G1703" t="s">
        <v>369</v>
      </c>
      <c r="H1703" t="s">
        <v>3</v>
      </c>
      <c r="I1703" t="s">
        <v>436</v>
      </c>
      <c r="J1703" t="s">
        <v>441</v>
      </c>
      <c r="K1703" t="s">
        <v>442</v>
      </c>
      <c r="L1703" t="s">
        <v>2</v>
      </c>
      <c r="M1703" t="s">
        <v>408</v>
      </c>
      <c r="N1703" t="s">
        <v>11</v>
      </c>
      <c r="O1703" t="s">
        <v>11</v>
      </c>
      <c r="P1703" t="s">
        <v>2</v>
      </c>
      <c r="Q1703" t="s">
        <v>408</v>
      </c>
      <c r="R1703" t="s">
        <v>439</v>
      </c>
      <c r="S1703" t="s">
        <v>440</v>
      </c>
      <c r="T1703" t="s">
        <v>11</v>
      </c>
      <c r="U1703" t="s">
        <v>408</v>
      </c>
    </row>
    <row r="1704" spans="1:21" x14ac:dyDescent="0.25">
      <c r="A1704">
        <v>24567443</v>
      </c>
      <c r="B1704" t="s">
        <v>340</v>
      </c>
      <c r="C1704" t="s">
        <v>86</v>
      </c>
      <c r="D1704" t="s">
        <v>12</v>
      </c>
      <c r="E1704" t="s">
        <v>487</v>
      </c>
      <c r="F1704" t="s">
        <v>388</v>
      </c>
      <c r="G1704" t="s">
        <v>369</v>
      </c>
      <c r="H1704" t="s">
        <v>3</v>
      </c>
      <c r="I1704" t="s">
        <v>436</v>
      </c>
      <c r="J1704" t="s">
        <v>441</v>
      </c>
      <c r="K1704" t="s">
        <v>442</v>
      </c>
      <c r="L1704" t="s">
        <v>2</v>
      </c>
      <c r="M1704" t="s">
        <v>408</v>
      </c>
      <c r="N1704" t="s">
        <v>11</v>
      </c>
      <c r="O1704" t="s">
        <v>11</v>
      </c>
      <c r="P1704" t="s">
        <v>2</v>
      </c>
      <c r="Q1704" t="s">
        <v>408</v>
      </c>
      <c r="R1704" t="s">
        <v>439</v>
      </c>
      <c r="S1704" t="s">
        <v>440</v>
      </c>
      <c r="T1704" t="s">
        <v>11</v>
      </c>
      <c r="U1704" t="s">
        <v>408</v>
      </c>
    </row>
    <row r="1705" spans="1:21" x14ac:dyDescent="0.25">
      <c r="A1705">
        <v>24567455</v>
      </c>
      <c r="B1705" t="s">
        <v>340</v>
      </c>
      <c r="C1705" t="s">
        <v>86</v>
      </c>
      <c r="D1705" t="s">
        <v>12</v>
      </c>
      <c r="E1705" t="s">
        <v>487</v>
      </c>
      <c r="F1705" t="s">
        <v>388</v>
      </c>
      <c r="G1705" t="s">
        <v>369</v>
      </c>
      <c r="H1705" t="s">
        <v>3</v>
      </c>
      <c r="I1705" t="s">
        <v>436</v>
      </c>
      <c r="J1705" t="s">
        <v>441</v>
      </c>
      <c r="K1705" t="s">
        <v>442</v>
      </c>
      <c r="L1705" t="s">
        <v>2</v>
      </c>
      <c r="M1705" t="s">
        <v>408</v>
      </c>
      <c r="N1705" t="s">
        <v>11</v>
      </c>
      <c r="O1705" t="s">
        <v>11</v>
      </c>
      <c r="P1705" t="s">
        <v>2</v>
      </c>
      <c r="Q1705" t="s">
        <v>408</v>
      </c>
      <c r="R1705" t="s">
        <v>439</v>
      </c>
      <c r="S1705" t="s">
        <v>440</v>
      </c>
      <c r="T1705" t="s">
        <v>11</v>
      </c>
      <c r="U1705" t="s">
        <v>408</v>
      </c>
    </row>
    <row r="1706" spans="1:21" x14ac:dyDescent="0.25">
      <c r="A1706">
        <v>24567458</v>
      </c>
      <c r="B1706" t="s">
        <v>340</v>
      </c>
      <c r="C1706" t="s">
        <v>86</v>
      </c>
      <c r="D1706" t="s">
        <v>12</v>
      </c>
      <c r="E1706" t="s">
        <v>487</v>
      </c>
      <c r="F1706" t="s">
        <v>388</v>
      </c>
      <c r="G1706" t="s">
        <v>369</v>
      </c>
      <c r="H1706" t="s">
        <v>3</v>
      </c>
      <c r="I1706" t="s">
        <v>436</v>
      </c>
      <c r="J1706" t="s">
        <v>441</v>
      </c>
      <c r="K1706" t="s">
        <v>442</v>
      </c>
      <c r="L1706" t="s">
        <v>2</v>
      </c>
      <c r="M1706" t="s">
        <v>408</v>
      </c>
      <c r="N1706" t="s">
        <v>11</v>
      </c>
      <c r="O1706" t="s">
        <v>11</v>
      </c>
      <c r="P1706" t="s">
        <v>2</v>
      </c>
      <c r="Q1706" t="s">
        <v>408</v>
      </c>
      <c r="R1706" t="s">
        <v>439</v>
      </c>
      <c r="S1706" t="s">
        <v>440</v>
      </c>
      <c r="T1706" t="s">
        <v>11</v>
      </c>
      <c r="U1706" t="s">
        <v>408</v>
      </c>
    </row>
    <row r="1707" spans="1:21" x14ac:dyDescent="0.25">
      <c r="A1707">
        <v>24567461</v>
      </c>
      <c r="B1707" t="s">
        <v>340</v>
      </c>
      <c r="C1707" t="s">
        <v>86</v>
      </c>
      <c r="D1707" t="s">
        <v>12</v>
      </c>
      <c r="E1707" t="s">
        <v>487</v>
      </c>
      <c r="F1707" t="s">
        <v>415</v>
      </c>
      <c r="G1707" t="s">
        <v>369</v>
      </c>
      <c r="H1707" t="s">
        <v>3</v>
      </c>
      <c r="I1707" t="s">
        <v>436</v>
      </c>
      <c r="J1707" t="s">
        <v>441</v>
      </c>
      <c r="K1707" t="s">
        <v>442</v>
      </c>
      <c r="L1707" t="s">
        <v>8</v>
      </c>
      <c r="M1707" t="s">
        <v>408</v>
      </c>
      <c r="N1707" t="s">
        <v>11</v>
      </c>
      <c r="O1707" t="s">
        <v>11</v>
      </c>
      <c r="P1707" t="s">
        <v>0</v>
      </c>
      <c r="Q1707" t="s">
        <v>408</v>
      </c>
      <c r="R1707" t="s">
        <v>439</v>
      </c>
      <c r="S1707" t="s">
        <v>440</v>
      </c>
      <c r="T1707" t="s">
        <v>11</v>
      </c>
      <c r="U1707" t="s">
        <v>408</v>
      </c>
    </row>
    <row r="1708" spans="1:21" x14ac:dyDescent="0.25">
      <c r="A1708">
        <v>24567464</v>
      </c>
      <c r="B1708" t="s">
        <v>340</v>
      </c>
      <c r="C1708" t="s">
        <v>86</v>
      </c>
      <c r="D1708" t="s">
        <v>12</v>
      </c>
      <c r="E1708" t="s">
        <v>487</v>
      </c>
      <c r="F1708" t="s">
        <v>415</v>
      </c>
      <c r="G1708" t="s">
        <v>369</v>
      </c>
      <c r="H1708" t="s">
        <v>3</v>
      </c>
      <c r="I1708" t="s">
        <v>436</v>
      </c>
      <c r="J1708" t="s">
        <v>441</v>
      </c>
      <c r="K1708" t="s">
        <v>442</v>
      </c>
      <c r="L1708" t="s">
        <v>8</v>
      </c>
      <c r="M1708" t="s">
        <v>408</v>
      </c>
      <c r="N1708" t="s">
        <v>11</v>
      </c>
      <c r="O1708" t="s">
        <v>11</v>
      </c>
      <c r="P1708" t="s">
        <v>0</v>
      </c>
      <c r="Q1708" t="s">
        <v>408</v>
      </c>
      <c r="R1708" t="s">
        <v>439</v>
      </c>
      <c r="S1708" t="s">
        <v>440</v>
      </c>
      <c r="T1708" t="s">
        <v>11</v>
      </c>
      <c r="U1708" t="s">
        <v>408</v>
      </c>
    </row>
    <row r="1709" spans="1:21" x14ac:dyDescent="0.25">
      <c r="A1709">
        <v>24567465</v>
      </c>
      <c r="B1709" t="s">
        <v>340</v>
      </c>
      <c r="C1709" t="s">
        <v>86</v>
      </c>
      <c r="D1709" t="s">
        <v>12</v>
      </c>
      <c r="E1709" t="s">
        <v>487</v>
      </c>
      <c r="F1709" t="s">
        <v>415</v>
      </c>
      <c r="G1709" t="s">
        <v>369</v>
      </c>
      <c r="H1709" t="s">
        <v>3</v>
      </c>
      <c r="I1709" t="s">
        <v>436</v>
      </c>
      <c r="J1709" t="s">
        <v>441</v>
      </c>
      <c r="K1709" t="s">
        <v>442</v>
      </c>
      <c r="L1709" t="s">
        <v>8</v>
      </c>
      <c r="M1709" t="s">
        <v>408</v>
      </c>
      <c r="N1709" t="s">
        <v>11</v>
      </c>
      <c r="O1709" t="s">
        <v>11</v>
      </c>
      <c r="P1709" t="s">
        <v>0</v>
      </c>
      <c r="Q1709" t="s">
        <v>408</v>
      </c>
      <c r="R1709" t="s">
        <v>439</v>
      </c>
      <c r="S1709" t="s">
        <v>440</v>
      </c>
      <c r="T1709" t="s">
        <v>11</v>
      </c>
      <c r="U1709" t="s">
        <v>408</v>
      </c>
    </row>
    <row r="1710" spans="1:21" x14ac:dyDescent="0.25">
      <c r="A1710">
        <v>24567467</v>
      </c>
      <c r="B1710" t="s">
        <v>340</v>
      </c>
      <c r="C1710" t="s">
        <v>86</v>
      </c>
      <c r="D1710" t="s">
        <v>12</v>
      </c>
      <c r="E1710" t="s">
        <v>487</v>
      </c>
      <c r="F1710" t="s">
        <v>415</v>
      </c>
      <c r="G1710" t="s">
        <v>369</v>
      </c>
      <c r="H1710" t="s">
        <v>3</v>
      </c>
      <c r="I1710" t="s">
        <v>436</v>
      </c>
      <c r="J1710" t="s">
        <v>441</v>
      </c>
      <c r="K1710" t="s">
        <v>442</v>
      </c>
      <c r="L1710" t="s">
        <v>8</v>
      </c>
      <c r="M1710" t="s">
        <v>408</v>
      </c>
      <c r="N1710" t="s">
        <v>11</v>
      </c>
      <c r="O1710" t="s">
        <v>11</v>
      </c>
      <c r="P1710" t="s">
        <v>0</v>
      </c>
      <c r="Q1710" t="s">
        <v>408</v>
      </c>
      <c r="R1710" t="s">
        <v>439</v>
      </c>
      <c r="S1710" t="s">
        <v>440</v>
      </c>
      <c r="T1710" t="s">
        <v>11</v>
      </c>
      <c r="U1710" t="s">
        <v>408</v>
      </c>
    </row>
    <row r="1711" spans="1:21" x14ac:dyDescent="0.25">
      <c r="A1711">
        <v>24567469</v>
      </c>
      <c r="B1711" t="s">
        <v>340</v>
      </c>
      <c r="C1711" t="s">
        <v>86</v>
      </c>
      <c r="D1711" t="s">
        <v>18</v>
      </c>
      <c r="E1711" t="s">
        <v>487</v>
      </c>
      <c r="F1711" t="s">
        <v>415</v>
      </c>
      <c r="G1711" t="s">
        <v>369</v>
      </c>
      <c r="H1711" t="s">
        <v>3</v>
      </c>
      <c r="I1711" t="s">
        <v>436</v>
      </c>
      <c r="J1711" t="s">
        <v>441</v>
      </c>
      <c r="K1711" t="s">
        <v>442</v>
      </c>
      <c r="L1711" t="s">
        <v>8</v>
      </c>
      <c r="M1711" t="s">
        <v>408</v>
      </c>
      <c r="N1711" t="s">
        <v>11</v>
      </c>
      <c r="O1711" t="s">
        <v>11</v>
      </c>
      <c r="P1711" t="s">
        <v>0</v>
      </c>
      <c r="Q1711" t="s">
        <v>408</v>
      </c>
      <c r="R1711" t="s">
        <v>439</v>
      </c>
      <c r="S1711" t="s">
        <v>440</v>
      </c>
      <c r="T1711" t="s">
        <v>11</v>
      </c>
      <c r="U1711" t="s">
        <v>408</v>
      </c>
    </row>
    <row r="1712" spans="1:21" x14ac:dyDescent="0.25">
      <c r="A1712">
        <v>24567471</v>
      </c>
      <c r="B1712" t="s">
        <v>340</v>
      </c>
      <c r="C1712" t="s">
        <v>86</v>
      </c>
      <c r="D1712" t="s">
        <v>18</v>
      </c>
      <c r="E1712" t="s">
        <v>487</v>
      </c>
      <c r="F1712" t="s">
        <v>415</v>
      </c>
      <c r="G1712" t="s">
        <v>369</v>
      </c>
      <c r="H1712" t="s">
        <v>3</v>
      </c>
      <c r="I1712" t="s">
        <v>436</v>
      </c>
      <c r="J1712" t="s">
        <v>441</v>
      </c>
      <c r="K1712" t="s">
        <v>442</v>
      </c>
      <c r="L1712" t="s">
        <v>8</v>
      </c>
      <c r="M1712" t="s">
        <v>408</v>
      </c>
      <c r="N1712" t="s">
        <v>11</v>
      </c>
      <c r="O1712" t="s">
        <v>11</v>
      </c>
      <c r="P1712" t="s">
        <v>0</v>
      </c>
      <c r="Q1712" t="s">
        <v>408</v>
      </c>
      <c r="R1712" t="s">
        <v>439</v>
      </c>
      <c r="S1712" t="s">
        <v>440</v>
      </c>
      <c r="T1712" t="s">
        <v>11</v>
      </c>
      <c r="U1712" t="s">
        <v>408</v>
      </c>
    </row>
    <row r="1713" spans="1:21" x14ac:dyDescent="0.25">
      <c r="A1713">
        <v>24567472</v>
      </c>
      <c r="B1713" t="s">
        <v>340</v>
      </c>
      <c r="C1713" t="s">
        <v>86</v>
      </c>
      <c r="D1713" t="s">
        <v>18</v>
      </c>
      <c r="E1713" t="s">
        <v>487</v>
      </c>
      <c r="F1713" t="s">
        <v>415</v>
      </c>
      <c r="G1713" t="s">
        <v>369</v>
      </c>
      <c r="H1713" t="s">
        <v>3</v>
      </c>
      <c r="I1713" t="s">
        <v>436</v>
      </c>
      <c r="J1713" t="s">
        <v>441</v>
      </c>
      <c r="K1713" t="s">
        <v>442</v>
      </c>
      <c r="L1713" t="s">
        <v>8</v>
      </c>
      <c r="M1713" t="s">
        <v>408</v>
      </c>
      <c r="N1713" t="s">
        <v>11</v>
      </c>
      <c r="O1713" t="s">
        <v>11</v>
      </c>
      <c r="P1713" t="s">
        <v>0</v>
      </c>
      <c r="Q1713" t="s">
        <v>408</v>
      </c>
      <c r="R1713" t="s">
        <v>439</v>
      </c>
      <c r="S1713" t="s">
        <v>440</v>
      </c>
      <c r="T1713" t="s">
        <v>11</v>
      </c>
      <c r="U1713" t="s">
        <v>408</v>
      </c>
    </row>
    <row r="1714" spans="1:21" x14ac:dyDescent="0.25">
      <c r="A1714">
        <v>24567474</v>
      </c>
      <c r="B1714" t="s">
        <v>342</v>
      </c>
      <c r="C1714" t="s">
        <v>89</v>
      </c>
      <c r="D1714" t="s">
        <v>12</v>
      </c>
      <c r="E1714" t="s">
        <v>629</v>
      </c>
      <c r="F1714" t="s">
        <v>393</v>
      </c>
      <c r="G1714" t="s">
        <v>369</v>
      </c>
      <c r="H1714" t="s">
        <v>370</v>
      </c>
      <c r="I1714" t="s">
        <v>721</v>
      </c>
      <c r="J1714" t="s">
        <v>455</v>
      </c>
      <c r="K1714" t="s">
        <v>453</v>
      </c>
      <c r="L1714" t="s">
        <v>367</v>
      </c>
      <c r="M1714" t="s">
        <v>408</v>
      </c>
      <c r="N1714" t="s">
        <v>11</v>
      </c>
      <c r="O1714" t="s">
        <v>11</v>
      </c>
      <c r="P1714" t="s">
        <v>0</v>
      </c>
      <c r="Q1714" t="s">
        <v>408</v>
      </c>
      <c r="R1714" t="s">
        <v>439</v>
      </c>
      <c r="S1714" t="s">
        <v>451</v>
      </c>
      <c r="T1714" t="s">
        <v>11</v>
      </c>
      <c r="U1714" t="s">
        <v>408</v>
      </c>
    </row>
    <row r="1715" spans="1:21" x14ac:dyDescent="0.25">
      <c r="A1715">
        <v>24567475</v>
      </c>
      <c r="B1715" t="s">
        <v>340</v>
      </c>
      <c r="C1715" t="s">
        <v>86</v>
      </c>
      <c r="D1715" t="s">
        <v>12</v>
      </c>
      <c r="E1715" t="s">
        <v>487</v>
      </c>
      <c r="F1715" t="s">
        <v>388</v>
      </c>
      <c r="G1715" t="s">
        <v>369</v>
      </c>
      <c r="H1715" t="s">
        <v>3</v>
      </c>
      <c r="I1715" t="s">
        <v>436</v>
      </c>
      <c r="J1715" t="s">
        <v>441</v>
      </c>
      <c r="K1715" t="s">
        <v>442</v>
      </c>
      <c r="L1715" t="s">
        <v>8</v>
      </c>
      <c r="M1715" t="s">
        <v>408</v>
      </c>
      <c r="N1715" t="s">
        <v>11</v>
      </c>
      <c r="O1715" t="s">
        <v>11</v>
      </c>
      <c r="P1715" t="s">
        <v>0</v>
      </c>
      <c r="Q1715" t="s">
        <v>408</v>
      </c>
      <c r="R1715" t="s">
        <v>439</v>
      </c>
      <c r="S1715" t="s">
        <v>440</v>
      </c>
      <c r="T1715" t="s">
        <v>11</v>
      </c>
      <c r="U1715" t="s">
        <v>408</v>
      </c>
    </row>
    <row r="1716" spans="1:21" x14ac:dyDescent="0.25">
      <c r="A1716">
        <v>24567477</v>
      </c>
      <c r="B1716" t="s">
        <v>340</v>
      </c>
      <c r="C1716" t="s">
        <v>86</v>
      </c>
      <c r="D1716" t="s">
        <v>12</v>
      </c>
      <c r="E1716" t="s">
        <v>498</v>
      </c>
      <c r="F1716" t="s">
        <v>416</v>
      </c>
      <c r="G1716" t="s">
        <v>369</v>
      </c>
      <c r="H1716" t="s">
        <v>0</v>
      </c>
      <c r="I1716" t="s">
        <v>436</v>
      </c>
      <c r="J1716" t="s">
        <v>437</v>
      </c>
      <c r="K1716" t="s">
        <v>438</v>
      </c>
      <c r="L1716" t="s">
        <v>345</v>
      </c>
      <c r="M1716" t="s">
        <v>408</v>
      </c>
      <c r="N1716" t="s">
        <v>11</v>
      </c>
      <c r="O1716" t="s">
        <v>11</v>
      </c>
      <c r="P1716" t="s">
        <v>0</v>
      </c>
      <c r="Q1716" t="s">
        <v>408</v>
      </c>
      <c r="R1716" t="s">
        <v>439</v>
      </c>
      <c r="S1716" t="s">
        <v>440</v>
      </c>
      <c r="T1716" t="s">
        <v>11</v>
      </c>
      <c r="U1716" t="s">
        <v>408</v>
      </c>
    </row>
    <row r="1717" spans="1:21" x14ac:dyDescent="0.25">
      <c r="A1717">
        <v>24567479</v>
      </c>
      <c r="B1717" t="s">
        <v>340</v>
      </c>
      <c r="C1717" t="s">
        <v>86</v>
      </c>
      <c r="D1717" t="s">
        <v>12</v>
      </c>
      <c r="E1717" t="s">
        <v>487</v>
      </c>
      <c r="F1717" t="s">
        <v>388</v>
      </c>
      <c r="G1717" t="s">
        <v>369</v>
      </c>
      <c r="H1717" t="s">
        <v>370</v>
      </c>
      <c r="I1717" t="s">
        <v>721</v>
      </c>
      <c r="J1717" t="s">
        <v>455</v>
      </c>
      <c r="K1717" t="s">
        <v>453</v>
      </c>
      <c r="L1717" t="s">
        <v>367</v>
      </c>
      <c r="M1717" t="s">
        <v>408</v>
      </c>
      <c r="N1717" t="s">
        <v>11</v>
      </c>
      <c r="O1717" t="s">
        <v>11</v>
      </c>
      <c r="P1717" t="s">
        <v>0</v>
      </c>
      <c r="Q1717" t="s">
        <v>408</v>
      </c>
      <c r="R1717" t="s">
        <v>439</v>
      </c>
      <c r="S1717" t="s">
        <v>451</v>
      </c>
      <c r="T1717" t="s">
        <v>11</v>
      </c>
      <c r="U1717" t="s">
        <v>408</v>
      </c>
    </row>
    <row r="1718" spans="1:21" x14ac:dyDescent="0.25">
      <c r="A1718">
        <v>24567481</v>
      </c>
      <c r="B1718" t="s">
        <v>340</v>
      </c>
      <c r="C1718" t="s">
        <v>86</v>
      </c>
      <c r="D1718" t="s">
        <v>12</v>
      </c>
      <c r="E1718" t="s">
        <v>487</v>
      </c>
      <c r="F1718" t="s">
        <v>388</v>
      </c>
      <c r="G1718" t="s">
        <v>369</v>
      </c>
      <c r="H1718" t="s">
        <v>3</v>
      </c>
      <c r="I1718" t="s">
        <v>436</v>
      </c>
      <c r="J1718" t="s">
        <v>441</v>
      </c>
      <c r="K1718" t="s">
        <v>442</v>
      </c>
      <c r="L1718" t="s">
        <v>8</v>
      </c>
      <c r="M1718" t="s">
        <v>408</v>
      </c>
      <c r="N1718" t="s">
        <v>11</v>
      </c>
      <c r="O1718" t="s">
        <v>11</v>
      </c>
      <c r="P1718" t="s">
        <v>0</v>
      </c>
      <c r="Q1718" t="s">
        <v>408</v>
      </c>
      <c r="R1718" t="s">
        <v>439</v>
      </c>
      <c r="S1718" t="s">
        <v>440</v>
      </c>
      <c r="T1718" t="s">
        <v>11</v>
      </c>
      <c r="U1718" t="s">
        <v>408</v>
      </c>
    </row>
    <row r="1719" spans="1:21" x14ac:dyDescent="0.25">
      <c r="A1719">
        <v>24567486</v>
      </c>
      <c r="B1719" t="s">
        <v>340</v>
      </c>
      <c r="C1719" t="s">
        <v>86</v>
      </c>
      <c r="D1719" t="s">
        <v>12</v>
      </c>
      <c r="E1719" t="s">
        <v>487</v>
      </c>
      <c r="F1719" t="s">
        <v>415</v>
      </c>
      <c r="G1719" t="s">
        <v>369</v>
      </c>
      <c r="H1719" t="s">
        <v>3</v>
      </c>
      <c r="I1719" t="s">
        <v>436</v>
      </c>
      <c r="J1719" t="s">
        <v>441</v>
      </c>
      <c r="K1719" t="s">
        <v>442</v>
      </c>
      <c r="L1719" t="s">
        <v>8</v>
      </c>
      <c r="M1719" t="s">
        <v>408</v>
      </c>
      <c r="N1719" t="s">
        <v>11</v>
      </c>
      <c r="O1719" t="s">
        <v>11</v>
      </c>
      <c r="P1719" t="s">
        <v>0</v>
      </c>
      <c r="Q1719" t="s">
        <v>408</v>
      </c>
      <c r="R1719" t="s">
        <v>439</v>
      </c>
      <c r="S1719" t="s">
        <v>440</v>
      </c>
      <c r="T1719" t="s">
        <v>11</v>
      </c>
      <c r="U1719" t="s">
        <v>408</v>
      </c>
    </row>
    <row r="1720" spans="1:21" x14ac:dyDescent="0.25">
      <c r="A1720">
        <v>24567490</v>
      </c>
      <c r="B1720" t="s">
        <v>340</v>
      </c>
      <c r="C1720" t="s">
        <v>86</v>
      </c>
      <c r="D1720" t="s">
        <v>12</v>
      </c>
      <c r="E1720" t="s">
        <v>487</v>
      </c>
      <c r="F1720" t="s">
        <v>415</v>
      </c>
      <c r="G1720" t="s">
        <v>369</v>
      </c>
      <c r="H1720" t="s">
        <v>3</v>
      </c>
      <c r="I1720" t="s">
        <v>436</v>
      </c>
      <c r="J1720" t="s">
        <v>441</v>
      </c>
      <c r="K1720" t="s">
        <v>442</v>
      </c>
      <c r="L1720" t="s">
        <v>8</v>
      </c>
      <c r="M1720" t="s">
        <v>408</v>
      </c>
      <c r="N1720" t="s">
        <v>11</v>
      </c>
      <c r="O1720" t="s">
        <v>11</v>
      </c>
      <c r="P1720" t="s">
        <v>0</v>
      </c>
      <c r="Q1720" t="s">
        <v>408</v>
      </c>
      <c r="R1720" t="s">
        <v>439</v>
      </c>
      <c r="S1720" t="s">
        <v>440</v>
      </c>
      <c r="T1720" t="s">
        <v>11</v>
      </c>
      <c r="U1720" t="s">
        <v>408</v>
      </c>
    </row>
    <row r="1721" spans="1:21" x14ac:dyDescent="0.25">
      <c r="A1721">
        <v>24567495</v>
      </c>
      <c r="B1721" t="s">
        <v>340</v>
      </c>
      <c r="C1721" t="s">
        <v>86</v>
      </c>
      <c r="D1721" t="s">
        <v>12</v>
      </c>
      <c r="E1721" t="s">
        <v>755</v>
      </c>
      <c r="F1721" t="s">
        <v>380</v>
      </c>
      <c r="G1721" t="s">
        <v>369</v>
      </c>
      <c r="H1721" t="s">
        <v>3</v>
      </c>
      <c r="I1721" t="s">
        <v>436</v>
      </c>
      <c r="J1721" t="s">
        <v>441</v>
      </c>
      <c r="K1721" t="s">
        <v>442</v>
      </c>
      <c r="L1721" t="s">
        <v>2</v>
      </c>
      <c r="M1721" t="s">
        <v>408</v>
      </c>
      <c r="N1721" t="s">
        <v>11</v>
      </c>
      <c r="O1721" t="s">
        <v>11</v>
      </c>
      <c r="P1721" t="s">
        <v>2</v>
      </c>
      <c r="Q1721" t="s">
        <v>408</v>
      </c>
      <c r="R1721" t="s">
        <v>439</v>
      </c>
      <c r="S1721" t="s">
        <v>440</v>
      </c>
      <c r="T1721" t="s">
        <v>11</v>
      </c>
      <c r="U1721" t="s">
        <v>408</v>
      </c>
    </row>
    <row r="1722" spans="1:21" x14ac:dyDescent="0.25">
      <c r="A1722">
        <v>24567496</v>
      </c>
      <c r="B1722" t="s">
        <v>340</v>
      </c>
      <c r="C1722" t="s">
        <v>86</v>
      </c>
      <c r="D1722" t="s">
        <v>12</v>
      </c>
      <c r="E1722" t="s">
        <v>755</v>
      </c>
      <c r="F1722" t="s">
        <v>380</v>
      </c>
      <c r="G1722" t="s">
        <v>369</v>
      </c>
      <c r="H1722" t="s">
        <v>3</v>
      </c>
      <c r="I1722" t="s">
        <v>436</v>
      </c>
      <c r="J1722" t="s">
        <v>441</v>
      </c>
      <c r="K1722" t="s">
        <v>442</v>
      </c>
      <c r="L1722" t="s">
        <v>2</v>
      </c>
      <c r="M1722" t="s">
        <v>408</v>
      </c>
      <c r="N1722" t="s">
        <v>11</v>
      </c>
      <c r="O1722" t="s">
        <v>11</v>
      </c>
      <c r="P1722" t="s">
        <v>2</v>
      </c>
      <c r="Q1722" t="s">
        <v>408</v>
      </c>
      <c r="R1722" t="s">
        <v>439</v>
      </c>
      <c r="S1722" t="s">
        <v>440</v>
      </c>
      <c r="T1722" t="s">
        <v>11</v>
      </c>
      <c r="U1722" t="s">
        <v>408</v>
      </c>
    </row>
    <row r="1723" spans="1:21" x14ac:dyDescent="0.25">
      <c r="A1723">
        <v>24567500</v>
      </c>
      <c r="B1723" t="s">
        <v>340</v>
      </c>
      <c r="C1723" t="s">
        <v>86</v>
      </c>
      <c r="D1723" t="s">
        <v>12</v>
      </c>
      <c r="E1723" t="s">
        <v>755</v>
      </c>
      <c r="F1723" t="s">
        <v>380</v>
      </c>
      <c r="G1723" t="s">
        <v>369</v>
      </c>
      <c r="H1723" t="s">
        <v>3</v>
      </c>
      <c r="I1723" t="s">
        <v>436</v>
      </c>
      <c r="J1723" t="s">
        <v>441</v>
      </c>
      <c r="K1723" t="s">
        <v>442</v>
      </c>
      <c r="L1723" t="s">
        <v>2</v>
      </c>
      <c r="M1723" t="s">
        <v>408</v>
      </c>
      <c r="N1723" t="s">
        <v>11</v>
      </c>
      <c r="O1723" t="s">
        <v>11</v>
      </c>
      <c r="P1723" t="s">
        <v>2</v>
      </c>
      <c r="Q1723" t="s">
        <v>408</v>
      </c>
      <c r="R1723" t="s">
        <v>439</v>
      </c>
      <c r="S1723" t="s">
        <v>440</v>
      </c>
      <c r="T1723" t="s">
        <v>11</v>
      </c>
      <c r="U1723" t="s">
        <v>408</v>
      </c>
    </row>
    <row r="1724" spans="1:21" x14ac:dyDescent="0.25">
      <c r="A1724">
        <v>24567502</v>
      </c>
      <c r="B1724" t="s">
        <v>340</v>
      </c>
      <c r="C1724" t="s">
        <v>86</v>
      </c>
      <c r="D1724" t="s">
        <v>12</v>
      </c>
      <c r="E1724" t="s">
        <v>755</v>
      </c>
      <c r="F1724" t="s">
        <v>380</v>
      </c>
      <c r="G1724" t="s">
        <v>369</v>
      </c>
      <c r="H1724" t="s">
        <v>3</v>
      </c>
      <c r="I1724" t="s">
        <v>436</v>
      </c>
      <c r="J1724" t="s">
        <v>441</v>
      </c>
      <c r="K1724" t="s">
        <v>442</v>
      </c>
      <c r="L1724" t="s">
        <v>2</v>
      </c>
      <c r="M1724" t="s">
        <v>408</v>
      </c>
      <c r="N1724" t="s">
        <v>11</v>
      </c>
      <c r="O1724" t="s">
        <v>11</v>
      </c>
      <c r="P1724" t="s">
        <v>2</v>
      </c>
      <c r="Q1724" t="s">
        <v>408</v>
      </c>
      <c r="R1724" t="s">
        <v>439</v>
      </c>
      <c r="S1724" t="s">
        <v>440</v>
      </c>
      <c r="T1724" t="s">
        <v>11</v>
      </c>
      <c r="U1724" t="s">
        <v>408</v>
      </c>
    </row>
    <row r="1725" spans="1:21" x14ac:dyDescent="0.25">
      <c r="A1725">
        <v>24567504</v>
      </c>
      <c r="B1725" t="s">
        <v>340</v>
      </c>
      <c r="C1725" t="s">
        <v>86</v>
      </c>
      <c r="D1725" t="s">
        <v>12</v>
      </c>
      <c r="E1725" t="s">
        <v>755</v>
      </c>
      <c r="F1725" t="s">
        <v>380</v>
      </c>
      <c r="G1725" t="s">
        <v>369</v>
      </c>
      <c r="H1725" t="s">
        <v>3</v>
      </c>
      <c r="I1725" t="s">
        <v>436</v>
      </c>
      <c r="J1725" t="s">
        <v>441</v>
      </c>
      <c r="K1725" t="s">
        <v>442</v>
      </c>
      <c r="L1725" t="s">
        <v>2</v>
      </c>
      <c r="M1725" t="s">
        <v>408</v>
      </c>
      <c r="N1725" t="s">
        <v>11</v>
      </c>
      <c r="O1725" t="s">
        <v>11</v>
      </c>
      <c r="P1725" t="s">
        <v>2</v>
      </c>
      <c r="Q1725" t="s">
        <v>408</v>
      </c>
      <c r="R1725" t="s">
        <v>439</v>
      </c>
      <c r="S1725" t="s">
        <v>440</v>
      </c>
      <c r="T1725" t="s">
        <v>11</v>
      </c>
      <c r="U1725" t="s">
        <v>408</v>
      </c>
    </row>
    <row r="1726" spans="1:21" x14ac:dyDescent="0.25">
      <c r="A1726">
        <v>24567507</v>
      </c>
      <c r="B1726" t="s">
        <v>340</v>
      </c>
      <c r="C1726" t="s">
        <v>86</v>
      </c>
      <c r="D1726" t="s">
        <v>12</v>
      </c>
      <c r="E1726" t="s">
        <v>755</v>
      </c>
      <c r="F1726" t="s">
        <v>380</v>
      </c>
      <c r="G1726" t="s">
        <v>369</v>
      </c>
      <c r="H1726" t="s">
        <v>3</v>
      </c>
      <c r="I1726" t="s">
        <v>436</v>
      </c>
      <c r="J1726" t="s">
        <v>441</v>
      </c>
      <c r="K1726" t="s">
        <v>442</v>
      </c>
      <c r="L1726" t="s">
        <v>2</v>
      </c>
      <c r="M1726" t="s">
        <v>408</v>
      </c>
      <c r="N1726" t="s">
        <v>11</v>
      </c>
      <c r="O1726" t="s">
        <v>11</v>
      </c>
      <c r="P1726" t="s">
        <v>2</v>
      </c>
      <c r="Q1726" t="s">
        <v>408</v>
      </c>
      <c r="R1726" t="s">
        <v>439</v>
      </c>
      <c r="S1726" t="s">
        <v>440</v>
      </c>
      <c r="T1726" t="s">
        <v>11</v>
      </c>
      <c r="U1726" t="s">
        <v>408</v>
      </c>
    </row>
    <row r="1727" spans="1:21" x14ac:dyDescent="0.25">
      <c r="A1727">
        <v>24567509</v>
      </c>
      <c r="B1727" t="s">
        <v>340</v>
      </c>
      <c r="C1727" t="s">
        <v>86</v>
      </c>
      <c r="D1727" t="s">
        <v>12</v>
      </c>
      <c r="E1727" t="s">
        <v>755</v>
      </c>
      <c r="F1727" t="s">
        <v>380</v>
      </c>
      <c r="G1727" t="s">
        <v>369</v>
      </c>
      <c r="H1727" t="s">
        <v>3</v>
      </c>
      <c r="I1727" t="s">
        <v>436</v>
      </c>
      <c r="J1727" t="s">
        <v>441</v>
      </c>
      <c r="K1727" t="s">
        <v>442</v>
      </c>
      <c r="L1727" t="s">
        <v>2</v>
      </c>
      <c r="M1727" t="s">
        <v>408</v>
      </c>
      <c r="N1727" t="s">
        <v>11</v>
      </c>
      <c r="O1727" t="s">
        <v>11</v>
      </c>
      <c r="P1727" t="s">
        <v>2</v>
      </c>
      <c r="Q1727" t="s">
        <v>408</v>
      </c>
      <c r="R1727" t="s">
        <v>439</v>
      </c>
      <c r="S1727" t="s">
        <v>440</v>
      </c>
      <c r="T1727" t="s">
        <v>11</v>
      </c>
      <c r="U1727" t="s">
        <v>408</v>
      </c>
    </row>
    <row r="1728" spans="1:21" x14ac:dyDescent="0.25">
      <c r="A1728">
        <v>24567510</v>
      </c>
      <c r="B1728" t="s">
        <v>340</v>
      </c>
      <c r="C1728" t="s">
        <v>86</v>
      </c>
      <c r="D1728" t="s">
        <v>12</v>
      </c>
      <c r="E1728" t="s">
        <v>755</v>
      </c>
      <c r="F1728" t="s">
        <v>380</v>
      </c>
      <c r="G1728" t="s">
        <v>369</v>
      </c>
      <c r="H1728" t="s">
        <v>3</v>
      </c>
      <c r="I1728" t="s">
        <v>436</v>
      </c>
      <c r="J1728" t="s">
        <v>441</v>
      </c>
      <c r="K1728" t="s">
        <v>442</v>
      </c>
      <c r="L1728" t="s">
        <v>2</v>
      </c>
      <c r="M1728" t="s">
        <v>408</v>
      </c>
      <c r="N1728" t="s">
        <v>11</v>
      </c>
      <c r="O1728" t="s">
        <v>11</v>
      </c>
      <c r="P1728" t="s">
        <v>2</v>
      </c>
      <c r="Q1728" t="s">
        <v>408</v>
      </c>
      <c r="R1728" t="s">
        <v>439</v>
      </c>
      <c r="S1728" t="s">
        <v>440</v>
      </c>
      <c r="T1728" t="s">
        <v>11</v>
      </c>
      <c r="U1728" t="s">
        <v>408</v>
      </c>
    </row>
    <row r="1729" spans="1:21" x14ac:dyDescent="0.25">
      <c r="A1729">
        <v>24567511</v>
      </c>
      <c r="B1729" t="s">
        <v>340</v>
      </c>
      <c r="C1729" t="s">
        <v>86</v>
      </c>
      <c r="D1729" t="s">
        <v>12</v>
      </c>
      <c r="E1729" t="s">
        <v>755</v>
      </c>
      <c r="F1729" t="s">
        <v>380</v>
      </c>
      <c r="G1729" t="s">
        <v>369</v>
      </c>
      <c r="H1729" t="s">
        <v>3</v>
      </c>
      <c r="I1729" t="s">
        <v>436</v>
      </c>
      <c r="J1729" t="s">
        <v>441</v>
      </c>
      <c r="K1729" t="s">
        <v>442</v>
      </c>
      <c r="L1729" t="s">
        <v>2</v>
      </c>
      <c r="M1729" t="s">
        <v>408</v>
      </c>
      <c r="N1729" t="s">
        <v>11</v>
      </c>
      <c r="O1729" t="s">
        <v>11</v>
      </c>
      <c r="P1729" t="s">
        <v>2</v>
      </c>
      <c r="Q1729" t="s">
        <v>408</v>
      </c>
      <c r="R1729" t="s">
        <v>439</v>
      </c>
      <c r="S1729" t="s">
        <v>440</v>
      </c>
      <c r="T1729" t="s">
        <v>11</v>
      </c>
      <c r="U1729" t="s">
        <v>408</v>
      </c>
    </row>
    <row r="1730" spans="1:21" x14ac:dyDescent="0.25">
      <c r="A1730">
        <v>24567514</v>
      </c>
      <c r="B1730" t="s">
        <v>340</v>
      </c>
      <c r="C1730" t="s">
        <v>86</v>
      </c>
      <c r="D1730" t="s">
        <v>12</v>
      </c>
      <c r="E1730" t="s">
        <v>755</v>
      </c>
      <c r="F1730" t="s">
        <v>380</v>
      </c>
      <c r="G1730" t="s">
        <v>369</v>
      </c>
      <c r="H1730" t="s">
        <v>3</v>
      </c>
      <c r="I1730" t="s">
        <v>436</v>
      </c>
      <c r="J1730" t="s">
        <v>441</v>
      </c>
      <c r="K1730" t="s">
        <v>442</v>
      </c>
      <c r="L1730" t="s">
        <v>2</v>
      </c>
      <c r="M1730" t="s">
        <v>408</v>
      </c>
      <c r="N1730" t="s">
        <v>11</v>
      </c>
      <c r="O1730" t="s">
        <v>11</v>
      </c>
      <c r="P1730" t="s">
        <v>2</v>
      </c>
      <c r="Q1730" t="s">
        <v>408</v>
      </c>
      <c r="R1730" t="s">
        <v>439</v>
      </c>
      <c r="S1730" t="s">
        <v>440</v>
      </c>
      <c r="T1730" t="s">
        <v>11</v>
      </c>
      <c r="U1730" t="s">
        <v>408</v>
      </c>
    </row>
    <row r="1731" spans="1:21" x14ac:dyDescent="0.25">
      <c r="A1731">
        <v>24567516</v>
      </c>
      <c r="B1731" t="s">
        <v>340</v>
      </c>
      <c r="C1731" t="s">
        <v>86</v>
      </c>
      <c r="D1731" t="s">
        <v>12</v>
      </c>
      <c r="E1731" t="s">
        <v>755</v>
      </c>
      <c r="F1731" t="s">
        <v>380</v>
      </c>
      <c r="G1731" t="s">
        <v>369</v>
      </c>
      <c r="H1731" t="s">
        <v>3</v>
      </c>
      <c r="I1731" t="s">
        <v>436</v>
      </c>
      <c r="J1731" t="s">
        <v>441</v>
      </c>
      <c r="K1731" t="s">
        <v>442</v>
      </c>
      <c r="L1731" t="s">
        <v>2</v>
      </c>
      <c r="M1731" t="s">
        <v>408</v>
      </c>
      <c r="N1731" t="s">
        <v>11</v>
      </c>
      <c r="O1731" t="s">
        <v>11</v>
      </c>
      <c r="P1731" t="s">
        <v>2</v>
      </c>
      <c r="Q1731" t="s">
        <v>408</v>
      </c>
      <c r="R1731" t="s">
        <v>439</v>
      </c>
      <c r="S1731" t="s">
        <v>440</v>
      </c>
      <c r="T1731" t="s">
        <v>11</v>
      </c>
      <c r="U1731" t="s">
        <v>408</v>
      </c>
    </row>
    <row r="1732" spans="1:21" x14ac:dyDescent="0.25">
      <c r="A1732">
        <v>24567518</v>
      </c>
      <c r="B1732" t="s">
        <v>340</v>
      </c>
      <c r="C1732" t="s">
        <v>86</v>
      </c>
      <c r="D1732" t="s">
        <v>12</v>
      </c>
      <c r="E1732" t="s">
        <v>755</v>
      </c>
      <c r="F1732" t="s">
        <v>380</v>
      </c>
      <c r="G1732" t="s">
        <v>369</v>
      </c>
      <c r="H1732" t="s">
        <v>3</v>
      </c>
      <c r="I1732" t="s">
        <v>436</v>
      </c>
      <c r="J1732" t="s">
        <v>441</v>
      </c>
      <c r="K1732" t="s">
        <v>442</v>
      </c>
      <c r="L1732" t="s">
        <v>2</v>
      </c>
      <c r="M1732" t="s">
        <v>408</v>
      </c>
      <c r="N1732" t="s">
        <v>11</v>
      </c>
      <c r="O1732" t="s">
        <v>11</v>
      </c>
      <c r="P1732" t="s">
        <v>2</v>
      </c>
      <c r="Q1732" t="s">
        <v>408</v>
      </c>
      <c r="R1732" t="s">
        <v>439</v>
      </c>
      <c r="S1732" t="s">
        <v>440</v>
      </c>
      <c r="T1732" t="s">
        <v>11</v>
      </c>
      <c r="U1732" t="s">
        <v>408</v>
      </c>
    </row>
    <row r="1733" spans="1:21" x14ac:dyDescent="0.25">
      <c r="A1733">
        <v>24567521</v>
      </c>
      <c r="B1733" t="s">
        <v>340</v>
      </c>
      <c r="C1733" t="s">
        <v>86</v>
      </c>
      <c r="D1733" t="s">
        <v>12</v>
      </c>
      <c r="E1733" t="s">
        <v>755</v>
      </c>
      <c r="F1733" t="s">
        <v>380</v>
      </c>
      <c r="G1733" t="s">
        <v>369</v>
      </c>
      <c r="H1733" t="s">
        <v>3</v>
      </c>
      <c r="I1733" t="s">
        <v>436</v>
      </c>
      <c r="J1733" t="s">
        <v>441</v>
      </c>
      <c r="K1733" t="s">
        <v>442</v>
      </c>
      <c r="L1733" t="s">
        <v>2</v>
      </c>
      <c r="M1733" t="s">
        <v>408</v>
      </c>
      <c r="N1733" t="s">
        <v>11</v>
      </c>
      <c r="O1733" t="s">
        <v>11</v>
      </c>
      <c r="P1733" t="s">
        <v>2</v>
      </c>
      <c r="Q1733" t="s">
        <v>408</v>
      </c>
      <c r="R1733" t="s">
        <v>439</v>
      </c>
      <c r="S1733" t="s">
        <v>440</v>
      </c>
      <c r="T1733" t="s">
        <v>11</v>
      </c>
      <c r="U1733" t="s">
        <v>408</v>
      </c>
    </row>
    <row r="1734" spans="1:21" x14ac:dyDescent="0.25">
      <c r="A1734">
        <v>24567523</v>
      </c>
      <c r="B1734" t="s">
        <v>340</v>
      </c>
      <c r="C1734" t="s">
        <v>86</v>
      </c>
      <c r="D1734" t="s">
        <v>18</v>
      </c>
      <c r="E1734" t="s">
        <v>755</v>
      </c>
      <c r="F1734" t="s">
        <v>380</v>
      </c>
      <c r="G1734" t="s">
        <v>369</v>
      </c>
      <c r="H1734" t="s">
        <v>3</v>
      </c>
      <c r="I1734" t="s">
        <v>436</v>
      </c>
      <c r="J1734" t="s">
        <v>441</v>
      </c>
      <c r="K1734" t="s">
        <v>442</v>
      </c>
      <c r="L1734" t="s">
        <v>2</v>
      </c>
      <c r="M1734" t="s">
        <v>408</v>
      </c>
      <c r="N1734" t="s">
        <v>11</v>
      </c>
      <c r="O1734" t="s">
        <v>11</v>
      </c>
      <c r="P1734" t="s">
        <v>2</v>
      </c>
      <c r="Q1734" t="s">
        <v>408</v>
      </c>
      <c r="R1734" t="s">
        <v>439</v>
      </c>
      <c r="S1734" t="s">
        <v>440</v>
      </c>
      <c r="T1734" t="s">
        <v>11</v>
      </c>
      <c r="U1734" t="s">
        <v>408</v>
      </c>
    </row>
    <row r="1735" spans="1:21" x14ac:dyDescent="0.25">
      <c r="A1735">
        <v>24567524</v>
      </c>
      <c r="B1735" t="s">
        <v>340</v>
      </c>
      <c r="C1735" t="s">
        <v>86</v>
      </c>
      <c r="D1735" t="s">
        <v>12</v>
      </c>
      <c r="E1735" t="s">
        <v>755</v>
      </c>
      <c r="F1735" t="s">
        <v>380</v>
      </c>
      <c r="G1735" t="s">
        <v>369</v>
      </c>
      <c r="H1735" t="s">
        <v>3</v>
      </c>
      <c r="I1735" t="s">
        <v>436</v>
      </c>
      <c r="J1735" t="s">
        <v>441</v>
      </c>
      <c r="K1735" t="s">
        <v>442</v>
      </c>
      <c r="L1735" t="s">
        <v>2</v>
      </c>
      <c r="M1735" t="s">
        <v>408</v>
      </c>
      <c r="N1735" t="s">
        <v>11</v>
      </c>
      <c r="O1735" t="s">
        <v>11</v>
      </c>
      <c r="P1735" t="s">
        <v>2</v>
      </c>
      <c r="Q1735" t="s">
        <v>408</v>
      </c>
      <c r="R1735" t="s">
        <v>439</v>
      </c>
      <c r="S1735" t="s">
        <v>440</v>
      </c>
      <c r="T1735" t="s">
        <v>11</v>
      </c>
      <c r="U1735" t="s">
        <v>408</v>
      </c>
    </row>
    <row r="1736" spans="1:21" x14ac:dyDescent="0.25">
      <c r="A1736">
        <v>24567525</v>
      </c>
      <c r="B1736" t="s">
        <v>340</v>
      </c>
      <c r="C1736" t="s">
        <v>86</v>
      </c>
      <c r="D1736" t="s">
        <v>12</v>
      </c>
      <c r="E1736" t="s">
        <v>755</v>
      </c>
      <c r="F1736" t="s">
        <v>380</v>
      </c>
      <c r="G1736" t="s">
        <v>369</v>
      </c>
      <c r="H1736" t="s">
        <v>3</v>
      </c>
      <c r="I1736" t="s">
        <v>436</v>
      </c>
      <c r="J1736" t="s">
        <v>441</v>
      </c>
      <c r="K1736" t="s">
        <v>442</v>
      </c>
      <c r="L1736" t="s">
        <v>2</v>
      </c>
      <c r="M1736" t="s">
        <v>408</v>
      </c>
      <c r="N1736" t="s">
        <v>11</v>
      </c>
      <c r="O1736" t="s">
        <v>11</v>
      </c>
      <c r="P1736" t="s">
        <v>2</v>
      </c>
      <c r="Q1736" t="s">
        <v>408</v>
      </c>
      <c r="R1736" t="s">
        <v>439</v>
      </c>
      <c r="S1736" t="s">
        <v>440</v>
      </c>
      <c r="T1736" t="s">
        <v>11</v>
      </c>
      <c r="U1736" t="s">
        <v>408</v>
      </c>
    </row>
    <row r="1737" spans="1:21" x14ac:dyDescent="0.25">
      <c r="A1737">
        <v>24567526</v>
      </c>
      <c r="B1737" t="s">
        <v>340</v>
      </c>
      <c r="C1737" t="s">
        <v>86</v>
      </c>
      <c r="D1737" t="s">
        <v>12</v>
      </c>
      <c r="E1737" t="s">
        <v>755</v>
      </c>
      <c r="F1737" t="s">
        <v>380</v>
      </c>
      <c r="G1737" t="s">
        <v>369</v>
      </c>
      <c r="H1737" t="s">
        <v>3</v>
      </c>
      <c r="I1737" t="s">
        <v>436</v>
      </c>
      <c r="J1737" t="s">
        <v>441</v>
      </c>
      <c r="K1737" t="s">
        <v>442</v>
      </c>
      <c r="L1737" t="s">
        <v>2</v>
      </c>
      <c r="M1737" t="s">
        <v>408</v>
      </c>
      <c r="N1737" t="s">
        <v>11</v>
      </c>
      <c r="O1737" t="s">
        <v>11</v>
      </c>
      <c r="P1737" t="s">
        <v>2</v>
      </c>
      <c r="Q1737" t="s">
        <v>408</v>
      </c>
      <c r="R1737" t="s">
        <v>439</v>
      </c>
      <c r="S1737" t="s">
        <v>440</v>
      </c>
      <c r="T1737" t="s">
        <v>11</v>
      </c>
      <c r="U1737" t="s">
        <v>408</v>
      </c>
    </row>
    <row r="1738" spans="1:21" x14ac:dyDescent="0.25">
      <c r="A1738">
        <v>24567528</v>
      </c>
      <c r="B1738" t="s">
        <v>340</v>
      </c>
      <c r="C1738" t="s">
        <v>86</v>
      </c>
      <c r="D1738" t="s">
        <v>12</v>
      </c>
      <c r="E1738" t="s">
        <v>755</v>
      </c>
      <c r="F1738" t="s">
        <v>380</v>
      </c>
      <c r="G1738" t="s">
        <v>369</v>
      </c>
      <c r="H1738" t="s">
        <v>3</v>
      </c>
      <c r="I1738" t="s">
        <v>436</v>
      </c>
      <c r="J1738" t="s">
        <v>441</v>
      </c>
      <c r="K1738" t="s">
        <v>442</v>
      </c>
      <c r="L1738" t="s">
        <v>2</v>
      </c>
      <c r="M1738" t="s">
        <v>408</v>
      </c>
      <c r="N1738" t="s">
        <v>11</v>
      </c>
      <c r="O1738" t="s">
        <v>11</v>
      </c>
      <c r="P1738" t="s">
        <v>2</v>
      </c>
      <c r="Q1738" t="s">
        <v>408</v>
      </c>
      <c r="R1738" t="s">
        <v>439</v>
      </c>
      <c r="S1738" t="s">
        <v>440</v>
      </c>
      <c r="T1738" t="s">
        <v>11</v>
      </c>
      <c r="U1738" t="s">
        <v>408</v>
      </c>
    </row>
    <row r="1739" spans="1:21" x14ac:dyDescent="0.25">
      <c r="A1739">
        <v>24567529</v>
      </c>
      <c r="B1739" t="s">
        <v>340</v>
      </c>
      <c r="C1739" t="s">
        <v>86</v>
      </c>
      <c r="D1739" t="s">
        <v>18</v>
      </c>
      <c r="E1739" t="s">
        <v>755</v>
      </c>
      <c r="F1739" t="s">
        <v>380</v>
      </c>
      <c r="G1739" t="s">
        <v>369</v>
      </c>
      <c r="H1739" t="s">
        <v>3</v>
      </c>
      <c r="I1739" t="s">
        <v>436</v>
      </c>
      <c r="J1739" t="s">
        <v>441</v>
      </c>
      <c r="K1739" t="s">
        <v>442</v>
      </c>
      <c r="L1739" t="s">
        <v>2</v>
      </c>
      <c r="M1739" t="s">
        <v>408</v>
      </c>
      <c r="N1739" t="s">
        <v>11</v>
      </c>
      <c r="O1739" t="s">
        <v>11</v>
      </c>
      <c r="P1739" t="s">
        <v>2</v>
      </c>
      <c r="Q1739" t="s">
        <v>408</v>
      </c>
      <c r="R1739" t="s">
        <v>439</v>
      </c>
      <c r="S1739" t="s">
        <v>440</v>
      </c>
      <c r="T1739" t="s">
        <v>11</v>
      </c>
      <c r="U1739" t="s">
        <v>408</v>
      </c>
    </row>
    <row r="1740" spans="1:21" x14ac:dyDescent="0.25">
      <c r="A1740">
        <v>24567531</v>
      </c>
      <c r="B1740" t="s">
        <v>340</v>
      </c>
      <c r="C1740" t="s">
        <v>86</v>
      </c>
      <c r="D1740" t="s">
        <v>18</v>
      </c>
      <c r="E1740" t="s">
        <v>755</v>
      </c>
      <c r="F1740" t="s">
        <v>380</v>
      </c>
      <c r="G1740" t="s">
        <v>369</v>
      </c>
      <c r="H1740" t="s">
        <v>3</v>
      </c>
      <c r="I1740" t="s">
        <v>436</v>
      </c>
      <c r="J1740" t="s">
        <v>441</v>
      </c>
      <c r="K1740" t="s">
        <v>442</v>
      </c>
      <c r="L1740" t="s">
        <v>2</v>
      </c>
      <c r="M1740" t="s">
        <v>408</v>
      </c>
      <c r="N1740" t="s">
        <v>11</v>
      </c>
      <c r="O1740" t="s">
        <v>11</v>
      </c>
      <c r="P1740" t="s">
        <v>2</v>
      </c>
      <c r="Q1740" t="s">
        <v>408</v>
      </c>
      <c r="R1740" t="s">
        <v>439</v>
      </c>
      <c r="S1740" t="s">
        <v>440</v>
      </c>
      <c r="T1740" t="s">
        <v>11</v>
      </c>
      <c r="U1740" t="s">
        <v>408</v>
      </c>
    </row>
    <row r="1741" spans="1:21" x14ac:dyDescent="0.25">
      <c r="A1741">
        <v>24567532</v>
      </c>
      <c r="B1741" t="s">
        <v>340</v>
      </c>
      <c r="C1741" t="s">
        <v>86</v>
      </c>
      <c r="D1741" t="s">
        <v>12</v>
      </c>
      <c r="E1741" t="s">
        <v>755</v>
      </c>
      <c r="F1741" t="s">
        <v>380</v>
      </c>
      <c r="G1741" t="s">
        <v>369</v>
      </c>
      <c r="H1741" t="s">
        <v>3</v>
      </c>
      <c r="I1741" t="s">
        <v>436</v>
      </c>
      <c r="J1741" t="s">
        <v>441</v>
      </c>
      <c r="K1741" t="s">
        <v>442</v>
      </c>
      <c r="L1741" t="s">
        <v>2</v>
      </c>
      <c r="M1741" t="s">
        <v>408</v>
      </c>
      <c r="N1741" t="s">
        <v>11</v>
      </c>
      <c r="O1741" t="s">
        <v>11</v>
      </c>
      <c r="P1741" t="s">
        <v>2</v>
      </c>
      <c r="Q1741" t="s">
        <v>408</v>
      </c>
      <c r="R1741" t="s">
        <v>439</v>
      </c>
      <c r="S1741" t="s">
        <v>440</v>
      </c>
      <c r="T1741" t="s">
        <v>11</v>
      </c>
      <c r="U1741" t="s">
        <v>408</v>
      </c>
    </row>
    <row r="1742" spans="1:21" x14ac:dyDescent="0.25">
      <c r="A1742">
        <v>24567533</v>
      </c>
      <c r="B1742" t="s">
        <v>340</v>
      </c>
      <c r="C1742" t="s">
        <v>86</v>
      </c>
      <c r="D1742" t="s">
        <v>12</v>
      </c>
      <c r="E1742" t="s">
        <v>755</v>
      </c>
      <c r="F1742" t="s">
        <v>380</v>
      </c>
      <c r="G1742" t="s">
        <v>369</v>
      </c>
      <c r="H1742" t="s">
        <v>3</v>
      </c>
      <c r="I1742" t="s">
        <v>436</v>
      </c>
      <c r="J1742" t="s">
        <v>441</v>
      </c>
      <c r="K1742" t="s">
        <v>442</v>
      </c>
      <c r="L1742" t="s">
        <v>2</v>
      </c>
      <c r="M1742" t="s">
        <v>408</v>
      </c>
      <c r="N1742" t="s">
        <v>11</v>
      </c>
      <c r="O1742" t="s">
        <v>11</v>
      </c>
      <c r="P1742" t="s">
        <v>2</v>
      </c>
      <c r="Q1742" t="s">
        <v>408</v>
      </c>
      <c r="R1742" t="s">
        <v>439</v>
      </c>
      <c r="S1742" t="s">
        <v>440</v>
      </c>
      <c r="T1742" t="s">
        <v>11</v>
      </c>
      <c r="U1742" t="s">
        <v>408</v>
      </c>
    </row>
    <row r="1743" spans="1:21" x14ac:dyDescent="0.25">
      <c r="A1743">
        <v>24567536</v>
      </c>
      <c r="B1743" t="s">
        <v>340</v>
      </c>
      <c r="C1743" t="s">
        <v>86</v>
      </c>
      <c r="D1743" t="s">
        <v>12</v>
      </c>
      <c r="E1743" t="s">
        <v>755</v>
      </c>
      <c r="F1743" t="s">
        <v>380</v>
      </c>
      <c r="G1743" t="s">
        <v>369</v>
      </c>
      <c r="H1743" t="s">
        <v>3</v>
      </c>
      <c r="I1743" t="s">
        <v>436</v>
      </c>
      <c r="J1743" t="s">
        <v>441</v>
      </c>
      <c r="K1743" t="s">
        <v>442</v>
      </c>
      <c r="L1743" t="s">
        <v>2</v>
      </c>
      <c r="M1743" t="s">
        <v>408</v>
      </c>
      <c r="N1743" t="s">
        <v>11</v>
      </c>
      <c r="O1743" t="s">
        <v>11</v>
      </c>
      <c r="P1743" t="s">
        <v>2</v>
      </c>
      <c r="Q1743" t="s">
        <v>408</v>
      </c>
      <c r="R1743" t="s">
        <v>439</v>
      </c>
      <c r="S1743" t="s">
        <v>440</v>
      </c>
      <c r="T1743" t="s">
        <v>11</v>
      </c>
      <c r="U1743" t="s">
        <v>408</v>
      </c>
    </row>
    <row r="1744" spans="1:21" x14ac:dyDescent="0.25">
      <c r="A1744">
        <v>24567539</v>
      </c>
      <c r="B1744" t="s">
        <v>340</v>
      </c>
      <c r="C1744" t="s">
        <v>86</v>
      </c>
      <c r="D1744" t="s">
        <v>109</v>
      </c>
      <c r="E1744" t="s">
        <v>755</v>
      </c>
      <c r="F1744" t="s">
        <v>380</v>
      </c>
      <c r="G1744" t="s">
        <v>369</v>
      </c>
      <c r="H1744" t="s">
        <v>2</v>
      </c>
      <c r="I1744" t="s">
        <v>436</v>
      </c>
      <c r="J1744" t="s">
        <v>443</v>
      </c>
      <c r="K1744" t="s">
        <v>444</v>
      </c>
      <c r="L1744" t="s">
        <v>345</v>
      </c>
      <c r="M1744" t="s">
        <v>408</v>
      </c>
      <c r="N1744" t="s">
        <v>11</v>
      </c>
      <c r="O1744" t="s">
        <v>11</v>
      </c>
      <c r="P1744" t="s">
        <v>2</v>
      </c>
      <c r="Q1744" t="s">
        <v>408</v>
      </c>
      <c r="R1744" t="s">
        <v>439</v>
      </c>
      <c r="S1744" t="s">
        <v>440</v>
      </c>
      <c r="T1744" t="s">
        <v>11</v>
      </c>
      <c r="U1744" t="s">
        <v>408</v>
      </c>
    </row>
    <row r="1745" spans="1:21" x14ac:dyDescent="0.25">
      <c r="A1745">
        <v>24567541</v>
      </c>
      <c r="B1745" t="s">
        <v>340</v>
      </c>
      <c r="C1745" t="s">
        <v>86</v>
      </c>
      <c r="D1745" t="s">
        <v>12</v>
      </c>
      <c r="E1745" t="s">
        <v>755</v>
      </c>
      <c r="F1745" t="s">
        <v>380</v>
      </c>
      <c r="G1745" t="s">
        <v>369</v>
      </c>
      <c r="H1745" t="s">
        <v>3</v>
      </c>
      <c r="I1745" t="s">
        <v>436</v>
      </c>
      <c r="J1745" t="s">
        <v>441</v>
      </c>
      <c r="K1745" t="s">
        <v>442</v>
      </c>
      <c r="L1745" t="s">
        <v>2</v>
      </c>
      <c r="M1745" t="s">
        <v>408</v>
      </c>
      <c r="N1745" t="s">
        <v>11</v>
      </c>
      <c r="O1745" t="s">
        <v>11</v>
      </c>
      <c r="P1745" t="s">
        <v>2</v>
      </c>
      <c r="Q1745" t="s">
        <v>408</v>
      </c>
      <c r="R1745" t="s">
        <v>439</v>
      </c>
      <c r="S1745" t="s">
        <v>440</v>
      </c>
      <c r="T1745" t="s">
        <v>11</v>
      </c>
      <c r="U1745" t="s">
        <v>408</v>
      </c>
    </row>
    <row r="1746" spans="1:21" x14ac:dyDescent="0.25">
      <c r="A1746">
        <v>24567542</v>
      </c>
      <c r="B1746" t="s">
        <v>340</v>
      </c>
      <c r="C1746" t="s">
        <v>86</v>
      </c>
      <c r="D1746" t="s">
        <v>12</v>
      </c>
      <c r="E1746" t="s">
        <v>755</v>
      </c>
      <c r="F1746" t="s">
        <v>380</v>
      </c>
      <c r="G1746" t="s">
        <v>369</v>
      </c>
      <c r="H1746" t="s">
        <v>0</v>
      </c>
      <c r="I1746" t="s">
        <v>436</v>
      </c>
      <c r="J1746" t="s">
        <v>437</v>
      </c>
      <c r="K1746" t="s">
        <v>438</v>
      </c>
      <c r="L1746" t="s">
        <v>2</v>
      </c>
      <c r="M1746" t="s">
        <v>408</v>
      </c>
      <c r="N1746" t="s">
        <v>11</v>
      </c>
      <c r="O1746" t="s">
        <v>11</v>
      </c>
      <c r="P1746" t="s">
        <v>2</v>
      </c>
      <c r="Q1746" t="s">
        <v>408</v>
      </c>
      <c r="R1746" t="s">
        <v>439</v>
      </c>
      <c r="S1746" t="s">
        <v>440</v>
      </c>
      <c r="T1746" t="s">
        <v>11</v>
      </c>
      <c r="U1746" t="s">
        <v>408</v>
      </c>
    </row>
    <row r="1747" spans="1:21" x14ac:dyDescent="0.25">
      <c r="A1747">
        <v>24567543</v>
      </c>
      <c r="B1747" t="s">
        <v>340</v>
      </c>
      <c r="C1747" t="s">
        <v>86</v>
      </c>
      <c r="D1747" t="s">
        <v>12</v>
      </c>
      <c r="E1747" t="s">
        <v>755</v>
      </c>
      <c r="F1747" t="s">
        <v>380</v>
      </c>
      <c r="G1747" t="s">
        <v>369</v>
      </c>
      <c r="H1747" t="s">
        <v>3</v>
      </c>
      <c r="I1747" t="s">
        <v>436</v>
      </c>
      <c r="J1747" t="s">
        <v>441</v>
      </c>
      <c r="K1747" t="s">
        <v>442</v>
      </c>
      <c r="L1747" t="s">
        <v>2</v>
      </c>
      <c r="M1747" t="s">
        <v>408</v>
      </c>
      <c r="N1747" t="s">
        <v>11</v>
      </c>
      <c r="O1747" t="s">
        <v>11</v>
      </c>
      <c r="P1747" t="s">
        <v>2</v>
      </c>
      <c r="Q1747" t="s">
        <v>408</v>
      </c>
      <c r="R1747" t="s">
        <v>439</v>
      </c>
      <c r="S1747" t="s">
        <v>440</v>
      </c>
      <c r="T1747" t="s">
        <v>11</v>
      </c>
      <c r="U1747" t="s">
        <v>408</v>
      </c>
    </row>
    <row r="1748" spans="1:21" x14ac:dyDescent="0.25">
      <c r="A1748">
        <v>24567545</v>
      </c>
      <c r="B1748" t="s">
        <v>340</v>
      </c>
      <c r="C1748" t="s">
        <v>86</v>
      </c>
      <c r="D1748" t="s">
        <v>12</v>
      </c>
      <c r="E1748" t="s">
        <v>755</v>
      </c>
      <c r="F1748" t="s">
        <v>380</v>
      </c>
      <c r="G1748" t="s">
        <v>369</v>
      </c>
      <c r="H1748" t="s">
        <v>3</v>
      </c>
      <c r="I1748" t="s">
        <v>436</v>
      </c>
      <c r="J1748" t="s">
        <v>441</v>
      </c>
      <c r="K1748" t="s">
        <v>442</v>
      </c>
      <c r="L1748" t="s">
        <v>2</v>
      </c>
      <c r="M1748" t="s">
        <v>408</v>
      </c>
      <c r="N1748" t="s">
        <v>11</v>
      </c>
      <c r="O1748" t="s">
        <v>11</v>
      </c>
      <c r="P1748" t="s">
        <v>2</v>
      </c>
      <c r="Q1748" t="s">
        <v>408</v>
      </c>
      <c r="R1748" t="s">
        <v>439</v>
      </c>
      <c r="S1748" t="s">
        <v>440</v>
      </c>
      <c r="T1748" t="s">
        <v>11</v>
      </c>
      <c r="U1748" t="s">
        <v>408</v>
      </c>
    </row>
    <row r="1749" spans="1:21" x14ac:dyDescent="0.25">
      <c r="A1749">
        <v>24567551</v>
      </c>
      <c r="B1749" t="s">
        <v>340</v>
      </c>
      <c r="C1749" t="s">
        <v>86</v>
      </c>
      <c r="D1749" t="s">
        <v>12</v>
      </c>
      <c r="E1749" t="s">
        <v>755</v>
      </c>
      <c r="F1749" t="s">
        <v>380</v>
      </c>
      <c r="G1749" t="s">
        <v>369</v>
      </c>
      <c r="H1749" t="s">
        <v>3</v>
      </c>
      <c r="I1749" t="s">
        <v>436</v>
      </c>
      <c r="J1749" t="s">
        <v>441</v>
      </c>
      <c r="K1749" t="s">
        <v>442</v>
      </c>
      <c r="L1749" t="s">
        <v>2</v>
      </c>
      <c r="M1749" t="s">
        <v>408</v>
      </c>
      <c r="N1749" t="s">
        <v>11</v>
      </c>
      <c r="O1749" t="s">
        <v>11</v>
      </c>
      <c r="P1749" t="s">
        <v>2</v>
      </c>
      <c r="Q1749" t="s">
        <v>408</v>
      </c>
      <c r="R1749" t="s">
        <v>439</v>
      </c>
      <c r="S1749" t="s">
        <v>440</v>
      </c>
      <c r="T1749" t="s">
        <v>11</v>
      </c>
      <c r="U1749" t="s">
        <v>408</v>
      </c>
    </row>
    <row r="1750" spans="1:21" x14ac:dyDescent="0.25">
      <c r="A1750">
        <v>24567553</v>
      </c>
      <c r="B1750" t="s">
        <v>340</v>
      </c>
      <c r="C1750" t="s">
        <v>86</v>
      </c>
      <c r="D1750" t="s">
        <v>12</v>
      </c>
      <c r="E1750" t="s">
        <v>755</v>
      </c>
      <c r="F1750" t="s">
        <v>380</v>
      </c>
      <c r="G1750" t="s">
        <v>369</v>
      </c>
      <c r="H1750" t="s">
        <v>0</v>
      </c>
      <c r="I1750" t="s">
        <v>436</v>
      </c>
      <c r="J1750" t="s">
        <v>437</v>
      </c>
      <c r="K1750" t="s">
        <v>438</v>
      </c>
      <c r="L1750" t="s">
        <v>2</v>
      </c>
      <c r="M1750" t="s">
        <v>408</v>
      </c>
      <c r="N1750" t="s">
        <v>11</v>
      </c>
      <c r="O1750" t="s">
        <v>11</v>
      </c>
      <c r="P1750" t="s">
        <v>2</v>
      </c>
      <c r="Q1750" t="s">
        <v>408</v>
      </c>
      <c r="R1750" t="s">
        <v>439</v>
      </c>
      <c r="S1750" t="s">
        <v>440</v>
      </c>
      <c r="T1750" t="s">
        <v>11</v>
      </c>
      <c r="U1750" t="s">
        <v>408</v>
      </c>
    </row>
    <row r="1751" spans="1:21" x14ac:dyDescent="0.25">
      <c r="A1751">
        <v>24567555</v>
      </c>
      <c r="B1751" t="s">
        <v>340</v>
      </c>
      <c r="C1751" t="s">
        <v>86</v>
      </c>
      <c r="D1751" t="s">
        <v>12</v>
      </c>
      <c r="E1751" t="s">
        <v>755</v>
      </c>
      <c r="F1751" t="s">
        <v>380</v>
      </c>
      <c r="G1751" t="s">
        <v>369</v>
      </c>
      <c r="H1751" t="s">
        <v>3</v>
      </c>
      <c r="I1751" t="s">
        <v>436</v>
      </c>
      <c r="J1751" t="s">
        <v>441</v>
      </c>
      <c r="K1751" t="s">
        <v>442</v>
      </c>
      <c r="L1751" t="s">
        <v>2</v>
      </c>
      <c r="M1751" t="s">
        <v>408</v>
      </c>
      <c r="N1751" t="s">
        <v>11</v>
      </c>
      <c r="O1751" t="s">
        <v>11</v>
      </c>
      <c r="P1751" t="s">
        <v>2</v>
      </c>
      <c r="Q1751" t="s">
        <v>408</v>
      </c>
      <c r="R1751" t="s">
        <v>439</v>
      </c>
      <c r="S1751" t="s">
        <v>440</v>
      </c>
      <c r="T1751" t="s">
        <v>11</v>
      </c>
      <c r="U1751" t="s">
        <v>408</v>
      </c>
    </row>
    <row r="1752" spans="1:21" x14ac:dyDescent="0.25">
      <c r="A1752">
        <v>24567556</v>
      </c>
      <c r="B1752" t="s">
        <v>340</v>
      </c>
      <c r="C1752" t="s">
        <v>86</v>
      </c>
      <c r="D1752" t="s">
        <v>12</v>
      </c>
      <c r="E1752" t="s">
        <v>755</v>
      </c>
      <c r="F1752" t="s">
        <v>380</v>
      </c>
      <c r="G1752" t="s">
        <v>369</v>
      </c>
      <c r="H1752" t="s">
        <v>3</v>
      </c>
      <c r="I1752" t="s">
        <v>436</v>
      </c>
      <c r="J1752" t="s">
        <v>441</v>
      </c>
      <c r="K1752" t="s">
        <v>442</v>
      </c>
      <c r="L1752" t="s">
        <v>2</v>
      </c>
      <c r="M1752" t="s">
        <v>408</v>
      </c>
      <c r="N1752" t="s">
        <v>11</v>
      </c>
      <c r="O1752" t="s">
        <v>11</v>
      </c>
      <c r="P1752" t="s">
        <v>2</v>
      </c>
      <c r="Q1752" t="s">
        <v>408</v>
      </c>
      <c r="R1752" t="s">
        <v>439</v>
      </c>
      <c r="S1752" t="s">
        <v>440</v>
      </c>
      <c r="T1752" t="s">
        <v>11</v>
      </c>
      <c r="U1752" t="s">
        <v>408</v>
      </c>
    </row>
    <row r="1753" spans="1:21" x14ac:dyDescent="0.25">
      <c r="A1753">
        <v>24567557</v>
      </c>
      <c r="B1753" t="s">
        <v>340</v>
      </c>
      <c r="C1753" t="s">
        <v>86</v>
      </c>
      <c r="D1753" t="s">
        <v>12</v>
      </c>
      <c r="E1753" t="s">
        <v>755</v>
      </c>
      <c r="F1753" t="s">
        <v>380</v>
      </c>
      <c r="G1753" t="s">
        <v>369</v>
      </c>
      <c r="H1753" t="s">
        <v>3</v>
      </c>
      <c r="I1753" t="s">
        <v>436</v>
      </c>
      <c r="J1753" t="s">
        <v>441</v>
      </c>
      <c r="K1753" t="s">
        <v>442</v>
      </c>
      <c r="L1753" t="s">
        <v>2</v>
      </c>
      <c r="M1753" t="s">
        <v>408</v>
      </c>
      <c r="N1753" t="s">
        <v>11</v>
      </c>
      <c r="O1753" t="s">
        <v>11</v>
      </c>
      <c r="P1753" t="s">
        <v>2</v>
      </c>
      <c r="Q1753" t="s">
        <v>408</v>
      </c>
      <c r="R1753" t="s">
        <v>439</v>
      </c>
      <c r="S1753" t="s">
        <v>440</v>
      </c>
      <c r="T1753" t="s">
        <v>11</v>
      </c>
      <c r="U1753" t="s">
        <v>408</v>
      </c>
    </row>
    <row r="1754" spans="1:21" x14ac:dyDescent="0.25">
      <c r="A1754">
        <v>24567562</v>
      </c>
      <c r="B1754" t="s">
        <v>340</v>
      </c>
      <c r="C1754" t="s">
        <v>86</v>
      </c>
      <c r="D1754" t="s">
        <v>12</v>
      </c>
      <c r="E1754" t="s">
        <v>755</v>
      </c>
      <c r="F1754" t="s">
        <v>380</v>
      </c>
      <c r="G1754" t="s">
        <v>369</v>
      </c>
      <c r="H1754" t="s">
        <v>3</v>
      </c>
      <c r="I1754" t="s">
        <v>436</v>
      </c>
      <c r="J1754" t="s">
        <v>441</v>
      </c>
      <c r="K1754" t="s">
        <v>442</v>
      </c>
      <c r="L1754" t="s">
        <v>2</v>
      </c>
      <c r="M1754" t="s">
        <v>408</v>
      </c>
      <c r="N1754" t="s">
        <v>11</v>
      </c>
      <c r="O1754" t="s">
        <v>11</v>
      </c>
      <c r="P1754" t="s">
        <v>2</v>
      </c>
      <c r="Q1754" t="s">
        <v>408</v>
      </c>
      <c r="R1754" t="s">
        <v>439</v>
      </c>
      <c r="S1754" t="s">
        <v>440</v>
      </c>
      <c r="T1754" t="s">
        <v>11</v>
      </c>
      <c r="U1754" t="s">
        <v>408</v>
      </c>
    </row>
    <row r="1755" spans="1:21" x14ac:dyDescent="0.25">
      <c r="A1755">
        <v>24567563</v>
      </c>
      <c r="B1755" t="s">
        <v>340</v>
      </c>
      <c r="C1755" t="s">
        <v>86</v>
      </c>
      <c r="D1755" t="s">
        <v>12</v>
      </c>
      <c r="E1755" t="s">
        <v>755</v>
      </c>
      <c r="F1755" t="s">
        <v>380</v>
      </c>
      <c r="G1755" t="s">
        <v>369</v>
      </c>
      <c r="H1755" t="s">
        <v>3</v>
      </c>
      <c r="I1755" t="s">
        <v>436</v>
      </c>
      <c r="J1755" t="s">
        <v>441</v>
      </c>
      <c r="K1755" t="s">
        <v>442</v>
      </c>
      <c r="L1755" t="s">
        <v>2</v>
      </c>
      <c r="M1755" t="s">
        <v>408</v>
      </c>
      <c r="N1755" t="s">
        <v>11</v>
      </c>
      <c r="O1755" t="s">
        <v>11</v>
      </c>
      <c r="P1755" t="s">
        <v>2</v>
      </c>
      <c r="Q1755" t="s">
        <v>408</v>
      </c>
      <c r="R1755" t="s">
        <v>439</v>
      </c>
      <c r="S1755" t="s">
        <v>440</v>
      </c>
      <c r="T1755" t="s">
        <v>11</v>
      </c>
      <c r="U1755" t="s">
        <v>408</v>
      </c>
    </row>
    <row r="1756" spans="1:21" x14ac:dyDescent="0.25">
      <c r="A1756">
        <v>24567565</v>
      </c>
      <c r="B1756" t="s">
        <v>340</v>
      </c>
      <c r="C1756" t="s">
        <v>86</v>
      </c>
      <c r="D1756" t="s">
        <v>12</v>
      </c>
      <c r="E1756" t="s">
        <v>755</v>
      </c>
      <c r="F1756" t="s">
        <v>380</v>
      </c>
      <c r="G1756" t="s">
        <v>369</v>
      </c>
      <c r="H1756" t="s">
        <v>3</v>
      </c>
      <c r="I1756" t="s">
        <v>436</v>
      </c>
      <c r="J1756" t="s">
        <v>441</v>
      </c>
      <c r="K1756" t="s">
        <v>442</v>
      </c>
      <c r="L1756" t="s">
        <v>2</v>
      </c>
      <c r="M1756" t="s">
        <v>408</v>
      </c>
      <c r="N1756" t="s">
        <v>11</v>
      </c>
      <c r="O1756" t="s">
        <v>11</v>
      </c>
      <c r="P1756" t="s">
        <v>2</v>
      </c>
      <c r="Q1756" t="s">
        <v>408</v>
      </c>
      <c r="R1756" t="s">
        <v>439</v>
      </c>
      <c r="S1756" t="s">
        <v>440</v>
      </c>
      <c r="T1756" t="s">
        <v>11</v>
      </c>
      <c r="U1756" t="s">
        <v>408</v>
      </c>
    </row>
    <row r="1757" spans="1:21" x14ac:dyDescent="0.25">
      <c r="A1757">
        <v>24567566</v>
      </c>
      <c r="B1757" t="s">
        <v>342</v>
      </c>
      <c r="C1757" t="s">
        <v>89</v>
      </c>
      <c r="D1757" t="s">
        <v>12</v>
      </c>
      <c r="E1757" t="s">
        <v>755</v>
      </c>
      <c r="F1757" t="s">
        <v>380</v>
      </c>
      <c r="G1757" t="s">
        <v>369</v>
      </c>
      <c r="H1757" t="s">
        <v>3</v>
      </c>
      <c r="I1757" t="s">
        <v>436</v>
      </c>
      <c r="J1757" t="s">
        <v>441</v>
      </c>
      <c r="K1757" t="s">
        <v>442</v>
      </c>
      <c r="L1757" t="s">
        <v>2</v>
      </c>
      <c r="M1757" t="s">
        <v>408</v>
      </c>
      <c r="N1757" t="s">
        <v>11</v>
      </c>
      <c r="O1757" t="s">
        <v>11</v>
      </c>
      <c r="P1757" t="s">
        <v>2</v>
      </c>
      <c r="Q1757" t="s">
        <v>408</v>
      </c>
      <c r="R1757" t="s">
        <v>439</v>
      </c>
      <c r="S1757" t="s">
        <v>440</v>
      </c>
      <c r="T1757" t="s">
        <v>11</v>
      </c>
      <c r="U1757" t="s">
        <v>408</v>
      </c>
    </row>
    <row r="1758" spans="1:21" x14ac:dyDescent="0.25">
      <c r="A1758">
        <v>24567569</v>
      </c>
      <c r="B1758" t="s">
        <v>340</v>
      </c>
      <c r="C1758" t="s">
        <v>86</v>
      </c>
      <c r="D1758" t="s">
        <v>12</v>
      </c>
      <c r="E1758" t="s">
        <v>755</v>
      </c>
      <c r="F1758" t="s">
        <v>380</v>
      </c>
      <c r="G1758" t="s">
        <v>369</v>
      </c>
      <c r="H1758" t="s">
        <v>3</v>
      </c>
      <c r="I1758" t="s">
        <v>436</v>
      </c>
      <c r="J1758" t="s">
        <v>441</v>
      </c>
      <c r="K1758" t="s">
        <v>442</v>
      </c>
      <c r="L1758" t="s">
        <v>2</v>
      </c>
      <c r="M1758" t="s">
        <v>408</v>
      </c>
      <c r="N1758" t="s">
        <v>11</v>
      </c>
      <c r="O1758" t="s">
        <v>11</v>
      </c>
      <c r="P1758" t="s">
        <v>2</v>
      </c>
      <c r="Q1758" t="s">
        <v>408</v>
      </c>
      <c r="R1758" t="s">
        <v>439</v>
      </c>
      <c r="S1758" t="s">
        <v>440</v>
      </c>
      <c r="T1758" t="s">
        <v>11</v>
      </c>
      <c r="U1758" t="s">
        <v>408</v>
      </c>
    </row>
    <row r="1759" spans="1:21" x14ac:dyDescent="0.25">
      <c r="A1759">
        <v>24567571</v>
      </c>
      <c r="B1759" t="s">
        <v>340</v>
      </c>
      <c r="C1759" t="s">
        <v>86</v>
      </c>
      <c r="D1759" t="s">
        <v>12</v>
      </c>
      <c r="E1759" t="s">
        <v>755</v>
      </c>
      <c r="F1759" t="s">
        <v>380</v>
      </c>
      <c r="G1759" t="s">
        <v>369</v>
      </c>
      <c r="H1759" t="s">
        <v>3</v>
      </c>
      <c r="I1759" t="s">
        <v>436</v>
      </c>
      <c r="J1759" t="s">
        <v>441</v>
      </c>
      <c r="K1759" t="s">
        <v>442</v>
      </c>
      <c r="L1759" t="s">
        <v>2</v>
      </c>
      <c r="M1759" t="s">
        <v>408</v>
      </c>
      <c r="N1759" t="s">
        <v>11</v>
      </c>
      <c r="O1759" t="s">
        <v>11</v>
      </c>
      <c r="P1759" t="s">
        <v>2</v>
      </c>
      <c r="Q1759" t="s">
        <v>408</v>
      </c>
      <c r="R1759" t="s">
        <v>439</v>
      </c>
      <c r="S1759" t="s">
        <v>440</v>
      </c>
      <c r="T1759" t="s">
        <v>11</v>
      </c>
      <c r="U1759" t="s">
        <v>408</v>
      </c>
    </row>
    <row r="1760" spans="1:21" x14ac:dyDescent="0.25">
      <c r="A1760">
        <v>24567573</v>
      </c>
      <c r="B1760" t="s">
        <v>342</v>
      </c>
      <c r="C1760" t="s">
        <v>89</v>
      </c>
      <c r="D1760" t="s">
        <v>12</v>
      </c>
      <c r="E1760" t="s">
        <v>755</v>
      </c>
      <c r="F1760" t="s">
        <v>380</v>
      </c>
      <c r="G1760" t="s">
        <v>369</v>
      </c>
      <c r="H1760" t="s">
        <v>3</v>
      </c>
      <c r="I1760" t="s">
        <v>436</v>
      </c>
      <c r="J1760" t="s">
        <v>441</v>
      </c>
      <c r="K1760" t="s">
        <v>442</v>
      </c>
      <c r="L1760" t="s">
        <v>2</v>
      </c>
      <c r="M1760" t="s">
        <v>408</v>
      </c>
      <c r="N1760" t="s">
        <v>11</v>
      </c>
      <c r="O1760" t="s">
        <v>11</v>
      </c>
      <c r="P1760" t="s">
        <v>2</v>
      </c>
      <c r="Q1760" t="s">
        <v>408</v>
      </c>
      <c r="R1760" t="s">
        <v>439</v>
      </c>
      <c r="S1760" t="s">
        <v>440</v>
      </c>
      <c r="T1760" t="s">
        <v>11</v>
      </c>
      <c r="U1760" t="s">
        <v>408</v>
      </c>
    </row>
    <row r="1761" spans="1:21" x14ac:dyDescent="0.25">
      <c r="A1761">
        <v>24567575</v>
      </c>
      <c r="B1761" t="s">
        <v>340</v>
      </c>
      <c r="C1761" t="s">
        <v>86</v>
      </c>
      <c r="D1761" t="s">
        <v>12</v>
      </c>
      <c r="E1761" t="s">
        <v>755</v>
      </c>
      <c r="F1761" t="s">
        <v>380</v>
      </c>
      <c r="G1761" t="s">
        <v>369</v>
      </c>
      <c r="H1761" t="s">
        <v>3</v>
      </c>
      <c r="I1761" t="s">
        <v>436</v>
      </c>
      <c r="J1761" t="s">
        <v>441</v>
      </c>
      <c r="K1761" t="s">
        <v>442</v>
      </c>
      <c r="L1761" t="s">
        <v>2</v>
      </c>
      <c r="M1761" t="s">
        <v>408</v>
      </c>
      <c r="N1761" t="s">
        <v>11</v>
      </c>
      <c r="O1761" t="s">
        <v>11</v>
      </c>
      <c r="P1761" t="s">
        <v>2</v>
      </c>
      <c r="Q1761" t="s">
        <v>408</v>
      </c>
      <c r="R1761" t="s">
        <v>439</v>
      </c>
      <c r="S1761" t="s">
        <v>440</v>
      </c>
      <c r="T1761" t="s">
        <v>11</v>
      </c>
      <c r="U1761" t="s">
        <v>408</v>
      </c>
    </row>
    <row r="1762" spans="1:21" x14ac:dyDescent="0.25">
      <c r="A1762">
        <v>24567576</v>
      </c>
      <c r="B1762" t="s">
        <v>340</v>
      </c>
      <c r="C1762" t="s">
        <v>86</v>
      </c>
      <c r="D1762" t="s">
        <v>12</v>
      </c>
      <c r="E1762" t="s">
        <v>755</v>
      </c>
      <c r="F1762" t="s">
        <v>380</v>
      </c>
      <c r="G1762" t="s">
        <v>369</v>
      </c>
      <c r="H1762" t="s">
        <v>3</v>
      </c>
      <c r="I1762" t="s">
        <v>436</v>
      </c>
      <c r="J1762" t="s">
        <v>441</v>
      </c>
      <c r="K1762" t="s">
        <v>442</v>
      </c>
      <c r="L1762" t="s">
        <v>2</v>
      </c>
      <c r="M1762" t="s">
        <v>408</v>
      </c>
      <c r="N1762" t="s">
        <v>11</v>
      </c>
      <c r="O1762" t="s">
        <v>11</v>
      </c>
      <c r="P1762" t="s">
        <v>2</v>
      </c>
      <c r="Q1762" t="s">
        <v>408</v>
      </c>
      <c r="R1762" t="s">
        <v>439</v>
      </c>
      <c r="S1762" t="s">
        <v>440</v>
      </c>
      <c r="T1762" t="s">
        <v>11</v>
      </c>
      <c r="U1762" t="s">
        <v>408</v>
      </c>
    </row>
    <row r="1763" spans="1:21" x14ac:dyDescent="0.25">
      <c r="A1763">
        <v>24567577</v>
      </c>
      <c r="B1763" t="s">
        <v>340</v>
      </c>
      <c r="C1763" t="s">
        <v>86</v>
      </c>
      <c r="D1763" t="s">
        <v>12</v>
      </c>
      <c r="E1763" t="s">
        <v>755</v>
      </c>
      <c r="F1763" t="s">
        <v>380</v>
      </c>
      <c r="G1763" t="s">
        <v>369</v>
      </c>
      <c r="H1763" t="s">
        <v>3</v>
      </c>
      <c r="I1763" t="s">
        <v>436</v>
      </c>
      <c r="J1763" t="s">
        <v>441</v>
      </c>
      <c r="K1763" t="s">
        <v>442</v>
      </c>
      <c r="L1763" t="s">
        <v>2</v>
      </c>
      <c r="M1763" t="s">
        <v>408</v>
      </c>
      <c r="N1763" t="s">
        <v>11</v>
      </c>
      <c r="O1763" t="s">
        <v>11</v>
      </c>
      <c r="P1763" t="s">
        <v>2</v>
      </c>
      <c r="Q1763" t="s">
        <v>408</v>
      </c>
      <c r="R1763" t="s">
        <v>439</v>
      </c>
      <c r="S1763" t="s">
        <v>440</v>
      </c>
      <c r="T1763" t="s">
        <v>11</v>
      </c>
      <c r="U1763" t="s">
        <v>408</v>
      </c>
    </row>
    <row r="1764" spans="1:21" x14ac:dyDescent="0.25">
      <c r="A1764">
        <v>24567581</v>
      </c>
      <c r="B1764" t="s">
        <v>340</v>
      </c>
      <c r="C1764" t="s">
        <v>86</v>
      </c>
      <c r="D1764" t="s">
        <v>12</v>
      </c>
      <c r="E1764" t="s">
        <v>755</v>
      </c>
      <c r="F1764" t="s">
        <v>380</v>
      </c>
      <c r="G1764" t="s">
        <v>369</v>
      </c>
      <c r="H1764" t="s">
        <v>3</v>
      </c>
      <c r="I1764" t="s">
        <v>436</v>
      </c>
      <c r="J1764" t="s">
        <v>441</v>
      </c>
      <c r="K1764" t="s">
        <v>442</v>
      </c>
      <c r="L1764" t="s">
        <v>2</v>
      </c>
      <c r="M1764" t="s">
        <v>408</v>
      </c>
      <c r="N1764" t="s">
        <v>11</v>
      </c>
      <c r="O1764" t="s">
        <v>11</v>
      </c>
      <c r="P1764" t="s">
        <v>2</v>
      </c>
      <c r="Q1764" t="s">
        <v>408</v>
      </c>
      <c r="R1764" t="s">
        <v>439</v>
      </c>
      <c r="S1764" t="s">
        <v>440</v>
      </c>
      <c r="T1764" t="s">
        <v>11</v>
      </c>
      <c r="U1764" t="s">
        <v>408</v>
      </c>
    </row>
    <row r="1765" spans="1:21" x14ac:dyDescent="0.25">
      <c r="A1765">
        <v>24567591</v>
      </c>
      <c r="B1765" t="s">
        <v>340</v>
      </c>
      <c r="C1765" t="s">
        <v>15</v>
      </c>
      <c r="D1765" t="s">
        <v>18</v>
      </c>
      <c r="E1765" t="s">
        <v>372</v>
      </c>
      <c r="F1765" t="s">
        <v>492</v>
      </c>
      <c r="G1765" t="s">
        <v>369</v>
      </c>
      <c r="H1765" t="s">
        <v>727</v>
      </c>
      <c r="I1765" t="s">
        <v>728</v>
      </c>
      <c r="J1765" t="s">
        <v>729</v>
      </c>
      <c r="K1765" t="s">
        <v>450</v>
      </c>
      <c r="L1765" t="s">
        <v>367</v>
      </c>
      <c r="M1765" t="s">
        <v>408</v>
      </c>
      <c r="N1765" t="s">
        <v>11</v>
      </c>
      <c r="O1765" t="s">
        <v>11</v>
      </c>
      <c r="P1765" t="s">
        <v>0</v>
      </c>
      <c r="Q1765" t="s">
        <v>408</v>
      </c>
      <c r="R1765" t="s">
        <v>439</v>
      </c>
      <c r="S1765" t="s">
        <v>451</v>
      </c>
      <c r="T1765" t="s">
        <v>11</v>
      </c>
      <c r="U1765" t="s">
        <v>408</v>
      </c>
    </row>
    <row r="1766" spans="1:21" x14ac:dyDescent="0.25">
      <c r="A1766">
        <v>24567592</v>
      </c>
      <c r="B1766" t="s">
        <v>342</v>
      </c>
      <c r="C1766" t="s">
        <v>13</v>
      </c>
      <c r="D1766" t="s">
        <v>18</v>
      </c>
      <c r="E1766" t="s">
        <v>528</v>
      </c>
      <c r="F1766" t="s">
        <v>493</v>
      </c>
      <c r="G1766" t="s">
        <v>369</v>
      </c>
      <c r="H1766" t="s">
        <v>0</v>
      </c>
      <c r="I1766" t="s">
        <v>436</v>
      </c>
      <c r="J1766" t="s">
        <v>437</v>
      </c>
      <c r="K1766" t="s">
        <v>438</v>
      </c>
      <c r="L1766" t="s">
        <v>345</v>
      </c>
      <c r="M1766" t="s">
        <v>408</v>
      </c>
      <c r="N1766" t="s">
        <v>11</v>
      </c>
      <c r="O1766" t="s">
        <v>11</v>
      </c>
      <c r="P1766" t="s">
        <v>0</v>
      </c>
      <c r="Q1766" t="s">
        <v>408</v>
      </c>
      <c r="R1766" t="s">
        <v>439</v>
      </c>
      <c r="S1766" t="s">
        <v>440</v>
      </c>
      <c r="T1766" t="s">
        <v>11</v>
      </c>
      <c r="U1766" t="s">
        <v>408</v>
      </c>
    </row>
    <row r="1767" spans="1:21" x14ac:dyDescent="0.25">
      <c r="A1767">
        <v>24567593</v>
      </c>
      <c r="B1767" t="s">
        <v>340</v>
      </c>
      <c r="C1767" t="s">
        <v>15</v>
      </c>
      <c r="D1767" t="s">
        <v>18</v>
      </c>
      <c r="E1767" t="s">
        <v>486</v>
      </c>
      <c r="F1767" t="s">
        <v>494</v>
      </c>
      <c r="G1767" t="s">
        <v>369</v>
      </c>
      <c r="H1767" t="s">
        <v>370</v>
      </c>
      <c r="I1767" t="s">
        <v>721</v>
      </c>
      <c r="J1767" t="s">
        <v>455</v>
      </c>
      <c r="K1767" t="s">
        <v>453</v>
      </c>
      <c r="L1767" t="s">
        <v>367</v>
      </c>
      <c r="M1767" t="s">
        <v>408</v>
      </c>
      <c r="N1767" t="s">
        <v>11</v>
      </c>
      <c r="O1767" t="s">
        <v>11</v>
      </c>
      <c r="P1767" t="s">
        <v>0</v>
      </c>
      <c r="Q1767" t="s">
        <v>408</v>
      </c>
      <c r="R1767" t="s">
        <v>439</v>
      </c>
      <c r="S1767" t="s">
        <v>451</v>
      </c>
      <c r="T1767" t="s">
        <v>11</v>
      </c>
      <c r="U1767" t="s">
        <v>408</v>
      </c>
    </row>
    <row r="1768" spans="1:21" x14ac:dyDescent="0.25">
      <c r="A1768">
        <v>24567594</v>
      </c>
      <c r="B1768" t="s">
        <v>340</v>
      </c>
      <c r="C1768" t="s">
        <v>86</v>
      </c>
      <c r="D1768" t="s">
        <v>12</v>
      </c>
      <c r="E1768" t="s">
        <v>487</v>
      </c>
      <c r="F1768" t="s">
        <v>388</v>
      </c>
      <c r="G1768" t="s">
        <v>369</v>
      </c>
      <c r="H1768" t="s">
        <v>0</v>
      </c>
      <c r="I1768" t="s">
        <v>436</v>
      </c>
      <c r="J1768" t="s">
        <v>437</v>
      </c>
      <c r="K1768" t="s">
        <v>438</v>
      </c>
      <c r="L1768" t="s">
        <v>345</v>
      </c>
      <c r="M1768" t="s">
        <v>408</v>
      </c>
      <c r="N1768" t="s">
        <v>11</v>
      </c>
      <c r="O1768" t="s">
        <v>11</v>
      </c>
      <c r="P1768" t="s">
        <v>0</v>
      </c>
      <c r="Q1768" t="s">
        <v>408</v>
      </c>
      <c r="R1768" t="s">
        <v>439</v>
      </c>
      <c r="S1768" t="s">
        <v>440</v>
      </c>
      <c r="T1768" t="s">
        <v>11</v>
      </c>
      <c r="U1768" t="s">
        <v>408</v>
      </c>
    </row>
    <row r="1769" spans="1:21" x14ac:dyDescent="0.25">
      <c r="A1769">
        <v>24567595</v>
      </c>
      <c r="B1769" t="s">
        <v>340</v>
      </c>
      <c r="C1769" t="s">
        <v>15</v>
      </c>
      <c r="D1769" t="s">
        <v>12</v>
      </c>
      <c r="E1769" t="s">
        <v>486</v>
      </c>
      <c r="F1769" t="s">
        <v>495</v>
      </c>
      <c r="G1769" t="s">
        <v>369</v>
      </c>
      <c r="H1769" t="s">
        <v>370</v>
      </c>
      <c r="I1769" t="s">
        <v>721</v>
      </c>
      <c r="J1769" t="s">
        <v>455</v>
      </c>
      <c r="K1769" t="s">
        <v>453</v>
      </c>
      <c r="L1769" t="s">
        <v>367</v>
      </c>
      <c r="M1769" t="s">
        <v>408</v>
      </c>
      <c r="N1769" t="s">
        <v>11</v>
      </c>
      <c r="O1769" t="s">
        <v>11</v>
      </c>
      <c r="P1769" t="s">
        <v>0</v>
      </c>
      <c r="Q1769" t="s">
        <v>408</v>
      </c>
      <c r="R1769" t="s">
        <v>439</v>
      </c>
      <c r="S1769" t="s">
        <v>451</v>
      </c>
      <c r="T1769" t="s">
        <v>11</v>
      </c>
      <c r="U1769" t="s">
        <v>408</v>
      </c>
    </row>
    <row r="1770" spans="1:21" x14ac:dyDescent="0.25">
      <c r="A1770">
        <v>24567596</v>
      </c>
      <c r="B1770" t="s">
        <v>340</v>
      </c>
      <c r="C1770" t="s">
        <v>15</v>
      </c>
      <c r="D1770" t="s">
        <v>12</v>
      </c>
      <c r="E1770" t="s">
        <v>486</v>
      </c>
      <c r="F1770" t="s">
        <v>495</v>
      </c>
      <c r="G1770" t="s">
        <v>369</v>
      </c>
      <c r="H1770" t="s">
        <v>370</v>
      </c>
      <c r="I1770" t="s">
        <v>721</v>
      </c>
      <c r="J1770" t="s">
        <v>455</v>
      </c>
      <c r="K1770" t="s">
        <v>453</v>
      </c>
      <c r="L1770" t="s">
        <v>367</v>
      </c>
      <c r="M1770" t="s">
        <v>408</v>
      </c>
      <c r="N1770" t="s">
        <v>11</v>
      </c>
      <c r="O1770" t="s">
        <v>11</v>
      </c>
      <c r="P1770" t="s">
        <v>0</v>
      </c>
      <c r="Q1770" t="s">
        <v>408</v>
      </c>
      <c r="R1770" t="s">
        <v>439</v>
      </c>
      <c r="S1770" t="s">
        <v>451</v>
      </c>
      <c r="T1770" t="s">
        <v>11</v>
      </c>
      <c r="U1770" t="s">
        <v>408</v>
      </c>
    </row>
    <row r="1771" spans="1:21" x14ac:dyDescent="0.25">
      <c r="A1771">
        <v>24567597</v>
      </c>
      <c r="B1771" t="s">
        <v>342</v>
      </c>
      <c r="C1771" t="s">
        <v>13</v>
      </c>
      <c r="D1771" t="s">
        <v>79</v>
      </c>
      <c r="E1771" t="s">
        <v>486</v>
      </c>
      <c r="F1771" t="s">
        <v>496</v>
      </c>
      <c r="G1771" t="s">
        <v>369</v>
      </c>
      <c r="H1771" t="s">
        <v>3</v>
      </c>
      <c r="I1771" t="s">
        <v>436</v>
      </c>
      <c r="J1771" t="s">
        <v>441</v>
      </c>
      <c r="K1771" t="s">
        <v>442</v>
      </c>
      <c r="L1771" t="s">
        <v>0</v>
      </c>
      <c r="M1771" t="s">
        <v>408</v>
      </c>
      <c r="N1771" t="s">
        <v>11</v>
      </c>
      <c r="O1771" t="s">
        <v>11</v>
      </c>
      <c r="P1771" t="s">
        <v>0</v>
      </c>
      <c r="Q1771" t="s">
        <v>408</v>
      </c>
      <c r="R1771" t="s">
        <v>439</v>
      </c>
      <c r="S1771" t="s">
        <v>440</v>
      </c>
      <c r="T1771" t="s">
        <v>11</v>
      </c>
      <c r="U1771" t="s">
        <v>408</v>
      </c>
    </row>
    <row r="1772" spans="1:21" x14ac:dyDescent="0.25">
      <c r="A1772">
        <v>24567598</v>
      </c>
      <c r="B1772" t="s">
        <v>340</v>
      </c>
      <c r="C1772" t="s">
        <v>15</v>
      </c>
      <c r="D1772" t="s">
        <v>18</v>
      </c>
      <c r="E1772" t="s">
        <v>372</v>
      </c>
      <c r="F1772" t="s">
        <v>497</v>
      </c>
      <c r="G1772" t="s">
        <v>369</v>
      </c>
      <c r="H1772" t="s">
        <v>0</v>
      </c>
      <c r="I1772" t="s">
        <v>436</v>
      </c>
      <c r="J1772" t="s">
        <v>437</v>
      </c>
      <c r="K1772" t="s">
        <v>438</v>
      </c>
      <c r="L1772" t="s">
        <v>345</v>
      </c>
      <c r="M1772" t="s">
        <v>408</v>
      </c>
      <c r="N1772" t="s">
        <v>11</v>
      </c>
      <c r="O1772" t="s">
        <v>11</v>
      </c>
      <c r="P1772" t="s">
        <v>0</v>
      </c>
      <c r="Q1772" t="s">
        <v>408</v>
      </c>
      <c r="R1772" t="s">
        <v>439</v>
      </c>
      <c r="S1772" t="s">
        <v>440</v>
      </c>
      <c r="T1772" t="s">
        <v>11</v>
      </c>
      <c r="U1772" t="s">
        <v>408</v>
      </c>
    </row>
    <row r="1773" spans="1:21" x14ac:dyDescent="0.25">
      <c r="A1773">
        <v>24567599</v>
      </c>
      <c r="B1773" t="s">
        <v>340</v>
      </c>
      <c r="C1773" t="s">
        <v>15</v>
      </c>
      <c r="D1773" t="s">
        <v>18</v>
      </c>
      <c r="E1773" t="s">
        <v>372</v>
      </c>
      <c r="F1773" t="s">
        <v>497</v>
      </c>
      <c r="G1773" t="s">
        <v>369</v>
      </c>
      <c r="H1773" t="s">
        <v>0</v>
      </c>
      <c r="I1773" t="s">
        <v>436</v>
      </c>
      <c r="J1773" t="s">
        <v>437</v>
      </c>
      <c r="K1773" t="s">
        <v>438</v>
      </c>
      <c r="L1773" t="s">
        <v>345</v>
      </c>
      <c r="M1773" t="s">
        <v>408</v>
      </c>
      <c r="N1773" t="s">
        <v>11</v>
      </c>
      <c r="O1773" t="s">
        <v>11</v>
      </c>
      <c r="P1773" t="s">
        <v>0</v>
      </c>
      <c r="Q1773" t="s">
        <v>408</v>
      </c>
      <c r="R1773" t="s">
        <v>439</v>
      </c>
      <c r="S1773" t="s">
        <v>440</v>
      </c>
      <c r="T1773" t="s">
        <v>11</v>
      </c>
      <c r="U1773" t="s">
        <v>408</v>
      </c>
    </row>
    <row r="1774" spans="1:21" x14ac:dyDescent="0.25">
      <c r="A1774">
        <v>24567600</v>
      </c>
      <c r="B1774" t="s">
        <v>340</v>
      </c>
      <c r="C1774" t="s">
        <v>86</v>
      </c>
      <c r="D1774" t="s">
        <v>12</v>
      </c>
      <c r="E1774" t="s">
        <v>487</v>
      </c>
      <c r="F1774" t="s">
        <v>388</v>
      </c>
      <c r="G1774" t="s">
        <v>369</v>
      </c>
      <c r="H1774" t="s">
        <v>3</v>
      </c>
      <c r="I1774" t="s">
        <v>436</v>
      </c>
      <c r="J1774" t="s">
        <v>441</v>
      </c>
      <c r="K1774" t="s">
        <v>442</v>
      </c>
      <c r="L1774" t="s">
        <v>8</v>
      </c>
      <c r="M1774" t="s">
        <v>408</v>
      </c>
      <c r="N1774" t="s">
        <v>11</v>
      </c>
      <c r="O1774" t="s">
        <v>11</v>
      </c>
      <c r="P1774" t="s">
        <v>0</v>
      </c>
      <c r="Q1774" t="s">
        <v>408</v>
      </c>
      <c r="R1774" t="s">
        <v>439</v>
      </c>
      <c r="S1774" t="s">
        <v>440</v>
      </c>
      <c r="T1774" t="s">
        <v>11</v>
      </c>
      <c r="U1774" t="s">
        <v>408</v>
      </c>
    </row>
    <row r="1775" spans="1:21" x14ac:dyDescent="0.25">
      <c r="A1775">
        <v>24567601</v>
      </c>
      <c r="B1775" t="s">
        <v>340</v>
      </c>
      <c r="C1775" t="s">
        <v>86</v>
      </c>
      <c r="D1775" t="s">
        <v>12</v>
      </c>
      <c r="E1775" t="s">
        <v>629</v>
      </c>
      <c r="F1775" t="s">
        <v>392</v>
      </c>
      <c r="G1775" t="s">
        <v>369</v>
      </c>
      <c r="H1775" t="s">
        <v>3</v>
      </c>
      <c r="I1775" t="s">
        <v>436</v>
      </c>
      <c r="J1775" t="s">
        <v>441</v>
      </c>
      <c r="K1775" t="s">
        <v>442</v>
      </c>
      <c r="L1775" t="s">
        <v>8</v>
      </c>
      <c r="M1775" t="s">
        <v>408</v>
      </c>
      <c r="N1775" t="s">
        <v>11</v>
      </c>
      <c r="O1775" t="s">
        <v>11</v>
      </c>
      <c r="P1775" t="s">
        <v>0</v>
      </c>
      <c r="Q1775" t="s">
        <v>408</v>
      </c>
      <c r="R1775" t="s">
        <v>439</v>
      </c>
      <c r="S1775" t="s">
        <v>440</v>
      </c>
      <c r="T1775" t="s">
        <v>11</v>
      </c>
      <c r="U1775" t="s">
        <v>408</v>
      </c>
    </row>
    <row r="1776" spans="1:21" x14ac:dyDescent="0.25">
      <c r="A1776">
        <v>24567602</v>
      </c>
      <c r="B1776" t="s">
        <v>340</v>
      </c>
      <c r="C1776" t="s">
        <v>86</v>
      </c>
      <c r="D1776" t="s">
        <v>12</v>
      </c>
      <c r="E1776" t="s">
        <v>498</v>
      </c>
      <c r="F1776" t="s">
        <v>490</v>
      </c>
      <c r="G1776" t="s">
        <v>369</v>
      </c>
      <c r="H1776" t="s">
        <v>0</v>
      </c>
      <c r="I1776" t="s">
        <v>436</v>
      </c>
      <c r="J1776" t="s">
        <v>437</v>
      </c>
      <c r="K1776" t="s">
        <v>438</v>
      </c>
      <c r="L1776" t="s">
        <v>345</v>
      </c>
      <c r="M1776" t="s">
        <v>408</v>
      </c>
      <c r="N1776" t="s">
        <v>11</v>
      </c>
      <c r="O1776" t="s">
        <v>11</v>
      </c>
      <c r="P1776" t="s">
        <v>0</v>
      </c>
      <c r="Q1776" t="s">
        <v>408</v>
      </c>
      <c r="R1776" t="s">
        <v>439</v>
      </c>
      <c r="S1776" t="s">
        <v>440</v>
      </c>
      <c r="T1776" t="s">
        <v>11</v>
      </c>
      <c r="U1776" t="s">
        <v>408</v>
      </c>
    </row>
    <row r="1777" spans="1:21" x14ac:dyDescent="0.25">
      <c r="A1777">
        <v>24567603</v>
      </c>
      <c r="B1777" t="s">
        <v>340</v>
      </c>
      <c r="C1777" t="s">
        <v>86</v>
      </c>
      <c r="D1777" t="s">
        <v>12</v>
      </c>
      <c r="E1777" t="s">
        <v>498</v>
      </c>
      <c r="F1777" t="s">
        <v>490</v>
      </c>
      <c r="G1777" t="s">
        <v>369</v>
      </c>
      <c r="H1777" t="s">
        <v>370</v>
      </c>
      <c r="I1777" t="s">
        <v>721</v>
      </c>
      <c r="J1777" t="s">
        <v>455</v>
      </c>
      <c r="K1777" t="s">
        <v>453</v>
      </c>
      <c r="L1777" t="s">
        <v>367</v>
      </c>
      <c r="M1777" t="s">
        <v>408</v>
      </c>
      <c r="N1777" t="s">
        <v>11</v>
      </c>
      <c r="O1777" t="s">
        <v>11</v>
      </c>
      <c r="P1777" t="s">
        <v>0</v>
      </c>
      <c r="Q1777" t="s">
        <v>408</v>
      </c>
      <c r="R1777" t="s">
        <v>439</v>
      </c>
      <c r="S1777" t="s">
        <v>451</v>
      </c>
      <c r="T1777" t="s">
        <v>11</v>
      </c>
      <c r="U1777" t="s">
        <v>408</v>
      </c>
    </row>
    <row r="1778" spans="1:21" x14ac:dyDescent="0.25">
      <c r="A1778">
        <v>24567604</v>
      </c>
      <c r="B1778" t="s">
        <v>340</v>
      </c>
      <c r="C1778" t="s">
        <v>86</v>
      </c>
      <c r="D1778" t="s">
        <v>12</v>
      </c>
      <c r="E1778" t="s">
        <v>498</v>
      </c>
      <c r="F1778" t="s">
        <v>490</v>
      </c>
      <c r="G1778" t="s">
        <v>369</v>
      </c>
      <c r="H1778" t="s">
        <v>0</v>
      </c>
      <c r="I1778" t="s">
        <v>436</v>
      </c>
      <c r="J1778" t="s">
        <v>437</v>
      </c>
      <c r="K1778" t="s">
        <v>438</v>
      </c>
      <c r="L1778" t="s">
        <v>345</v>
      </c>
      <c r="M1778" t="s">
        <v>408</v>
      </c>
      <c r="N1778" t="s">
        <v>11</v>
      </c>
      <c r="O1778" t="s">
        <v>11</v>
      </c>
      <c r="P1778" t="s">
        <v>0</v>
      </c>
      <c r="Q1778" t="s">
        <v>408</v>
      </c>
      <c r="R1778" t="s">
        <v>439</v>
      </c>
      <c r="S1778" t="s">
        <v>440</v>
      </c>
      <c r="T1778" t="s">
        <v>11</v>
      </c>
      <c r="U1778" t="s">
        <v>408</v>
      </c>
    </row>
    <row r="1779" spans="1:21" x14ac:dyDescent="0.25">
      <c r="A1779">
        <v>24567607</v>
      </c>
      <c r="B1779" t="s">
        <v>340</v>
      </c>
      <c r="C1779" t="s">
        <v>26</v>
      </c>
      <c r="D1779" t="s">
        <v>12</v>
      </c>
      <c r="E1779" t="s">
        <v>741</v>
      </c>
      <c r="F1779" t="s">
        <v>116</v>
      </c>
      <c r="G1779" t="s">
        <v>369</v>
      </c>
      <c r="H1779" t="s">
        <v>370</v>
      </c>
      <c r="I1779" t="s">
        <v>721</v>
      </c>
      <c r="J1779" t="s">
        <v>455</v>
      </c>
      <c r="K1779" t="s">
        <v>453</v>
      </c>
      <c r="L1779" t="s">
        <v>367</v>
      </c>
      <c r="M1779" t="s">
        <v>408</v>
      </c>
      <c r="N1779" t="s">
        <v>11</v>
      </c>
      <c r="O1779" t="s">
        <v>11</v>
      </c>
      <c r="P1779" t="s">
        <v>0</v>
      </c>
      <c r="Q1779" t="s">
        <v>408</v>
      </c>
      <c r="R1779" t="s">
        <v>439</v>
      </c>
      <c r="S1779" t="s">
        <v>451</v>
      </c>
      <c r="T1779" t="s">
        <v>11</v>
      </c>
      <c r="U1779" t="s">
        <v>408</v>
      </c>
    </row>
    <row r="1780" spans="1:21" x14ac:dyDescent="0.25">
      <c r="A1780">
        <v>24567609</v>
      </c>
      <c r="B1780" t="s">
        <v>340</v>
      </c>
      <c r="C1780" t="s">
        <v>86</v>
      </c>
      <c r="D1780" t="s">
        <v>18</v>
      </c>
      <c r="E1780" t="s">
        <v>755</v>
      </c>
      <c r="F1780" t="s">
        <v>380</v>
      </c>
      <c r="G1780" t="s">
        <v>369</v>
      </c>
      <c r="H1780" t="s">
        <v>3</v>
      </c>
      <c r="I1780" t="s">
        <v>436</v>
      </c>
      <c r="J1780" t="s">
        <v>441</v>
      </c>
      <c r="K1780" t="s">
        <v>442</v>
      </c>
      <c r="L1780" t="s">
        <v>8</v>
      </c>
      <c r="M1780" t="s">
        <v>408</v>
      </c>
      <c r="N1780" t="s">
        <v>11</v>
      </c>
      <c r="O1780" t="s">
        <v>11</v>
      </c>
      <c r="P1780" t="s">
        <v>0</v>
      </c>
      <c r="Q1780" t="s">
        <v>408</v>
      </c>
      <c r="R1780" t="s">
        <v>439</v>
      </c>
      <c r="S1780" t="s">
        <v>440</v>
      </c>
      <c r="T1780" t="s">
        <v>11</v>
      </c>
      <c r="U1780" t="s">
        <v>408</v>
      </c>
    </row>
    <row r="1781" spans="1:21" x14ac:dyDescent="0.25">
      <c r="A1781">
        <v>26126980</v>
      </c>
      <c r="B1781" t="s">
        <v>340</v>
      </c>
      <c r="C1781" t="s">
        <v>86</v>
      </c>
      <c r="D1781" t="s">
        <v>12</v>
      </c>
      <c r="E1781" t="s">
        <v>628</v>
      </c>
      <c r="F1781" t="s">
        <v>85</v>
      </c>
      <c r="G1781" t="s">
        <v>369</v>
      </c>
      <c r="H1781" t="s">
        <v>370</v>
      </c>
      <c r="I1781" t="s">
        <v>721</v>
      </c>
      <c r="J1781" t="s">
        <v>455</v>
      </c>
      <c r="K1781" t="s">
        <v>453</v>
      </c>
      <c r="L1781" t="s">
        <v>367</v>
      </c>
      <c r="M1781" t="s">
        <v>408</v>
      </c>
      <c r="N1781" t="s">
        <v>11</v>
      </c>
      <c r="O1781" t="s">
        <v>11</v>
      </c>
      <c r="P1781" t="s">
        <v>0</v>
      </c>
      <c r="Q1781" t="s">
        <v>408</v>
      </c>
      <c r="R1781" t="s">
        <v>439</v>
      </c>
      <c r="S1781" t="s">
        <v>451</v>
      </c>
      <c r="T1781" t="s">
        <v>11</v>
      </c>
      <c r="U1781" t="s">
        <v>408</v>
      </c>
    </row>
    <row r="1782" spans="1:21" x14ac:dyDescent="0.25">
      <c r="A1782">
        <v>26126981</v>
      </c>
      <c r="B1782" t="s">
        <v>342</v>
      </c>
      <c r="C1782" t="s">
        <v>33</v>
      </c>
      <c r="D1782" t="s">
        <v>12</v>
      </c>
      <c r="E1782" t="s">
        <v>757</v>
      </c>
      <c r="F1782" t="s">
        <v>176</v>
      </c>
      <c r="G1782" t="s">
        <v>369</v>
      </c>
      <c r="H1782" t="s">
        <v>370</v>
      </c>
      <c r="I1782" t="s">
        <v>721</v>
      </c>
      <c r="J1782" t="s">
        <v>455</v>
      </c>
      <c r="K1782" t="s">
        <v>453</v>
      </c>
      <c r="L1782" t="s">
        <v>367</v>
      </c>
      <c r="M1782" t="s">
        <v>408</v>
      </c>
      <c r="N1782" t="s">
        <v>11</v>
      </c>
      <c r="O1782" t="s">
        <v>11</v>
      </c>
      <c r="P1782" t="s">
        <v>2</v>
      </c>
      <c r="Q1782" t="s">
        <v>408</v>
      </c>
      <c r="R1782" t="s">
        <v>439</v>
      </c>
      <c r="S1782" t="s">
        <v>451</v>
      </c>
      <c r="T1782" t="s">
        <v>11</v>
      </c>
      <c r="U1782" t="s">
        <v>408</v>
      </c>
    </row>
    <row r="1783" spans="1:21" x14ac:dyDescent="0.25">
      <c r="A1783">
        <v>26126982</v>
      </c>
      <c r="B1783" t="s">
        <v>340</v>
      </c>
      <c r="C1783" t="s">
        <v>26</v>
      </c>
      <c r="D1783" t="s">
        <v>12</v>
      </c>
      <c r="E1783" t="s">
        <v>520</v>
      </c>
      <c r="F1783" t="s">
        <v>253</v>
      </c>
      <c r="G1783" t="s">
        <v>369</v>
      </c>
      <c r="H1783" t="s">
        <v>370</v>
      </c>
      <c r="I1783" t="s">
        <v>721</v>
      </c>
      <c r="J1783" t="s">
        <v>455</v>
      </c>
      <c r="K1783" t="s">
        <v>453</v>
      </c>
      <c r="L1783" t="s">
        <v>367</v>
      </c>
      <c r="M1783" t="s">
        <v>408</v>
      </c>
      <c r="N1783" t="s">
        <v>11</v>
      </c>
      <c r="O1783" t="s">
        <v>11</v>
      </c>
      <c r="P1783" t="s">
        <v>0</v>
      </c>
      <c r="Q1783" t="s">
        <v>408</v>
      </c>
      <c r="R1783" t="s">
        <v>439</v>
      </c>
      <c r="S1783" t="s">
        <v>451</v>
      </c>
      <c r="T1783" t="s">
        <v>11</v>
      </c>
      <c r="U1783" t="s">
        <v>408</v>
      </c>
    </row>
    <row r="1784" spans="1:21" x14ac:dyDescent="0.25">
      <c r="A1784">
        <v>26126983</v>
      </c>
      <c r="B1784" t="s">
        <v>340</v>
      </c>
      <c r="C1784" t="s">
        <v>86</v>
      </c>
      <c r="D1784" t="s">
        <v>12</v>
      </c>
      <c r="E1784" t="s">
        <v>626</v>
      </c>
      <c r="F1784" t="s">
        <v>23</v>
      </c>
      <c r="G1784" t="s">
        <v>369</v>
      </c>
      <c r="H1784" t="s">
        <v>370</v>
      </c>
      <c r="I1784" t="s">
        <v>721</v>
      </c>
      <c r="J1784" t="s">
        <v>455</v>
      </c>
      <c r="K1784" t="s">
        <v>453</v>
      </c>
      <c r="L1784" t="s">
        <v>367</v>
      </c>
      <c r="M1784" t="s">
        <v>408</v>
      </c>
      <c r="N1784" t="s">
        <v>11</v>
      </c>
      <c r="O1784" t="s">
        <v>11</v>
      </c>
      <c r="P1784" t="s">
        <v>0</v>
      </c>
      <c r="Q1784" t="s">
        <v>408</v>
      </c>
      <c r="R1784" t="s">
        <v>439</v>
      </c>
      <c r="S1784" t="s">
        <v>451</v>
      </c>
      <c r="T1784" t="s">
        <v>11</v>
      </c>
      <c r="U1784" t="s">
        <v>408</v>
      </c>
    </row>
    <row r="1785" spans="1:21" x14ac:dyDescent="0.25">
      <c r="A1785">
        <v>26234001</v>
      </c>
      <c r="B1785" t="s">
        <v>340</v>
      </c>
      <c r="C1785" t="s">
        <v>15</v>
      </c>
      <c r="D1785" t="s">
        <v>12</v>
      </c>
      <c r="E1785" t="s">
        <v>638</v>
      </c>
      <c r="F1785" t="s">
        <v>584</v>
      </c>
      <c r="G1785" t="s">
        <v>369</v>
      </c>
      <c r="H1785" t="s">
        <v>370</v>
      </c>
      <c r="I1785" t="s">
        <v>721</v>
      </c>
      <c r="J1785" t="s">
        <v>455</v>
      </c>
      <c r="K1785" t="s">
        <v>453</v>
      </c>
      <c r="L1785" t="s">
        <v>367</v>
      </c>
      <c r="M1785" t="s">
        <v>408</v>
      </c>
      <c r="N1785" t="s">
        <v>11</v>
      </c>
      <c r="O1785" t="s">
        <v>11</v>
      </c>
      <c r="P1785" t="s">
        <v>0</v>
      </c>
      <c r="Q1785" t="s">
        <v>408</v>
      </c>
      <c r="R1785" t="s">
        <v>439</v>
      </c>
      <c r="S1785" t="s">
        <v>451</v>
      </c>
      <c r="T1785" t="s">
        <v>11</v>
      </c>
      <c r="U1785" t="s">
        <v>408</v>
      </c>
    </row>
    <row r="1786" spans="1:21" x14ac:dyDescent="0.25">
      <c r="A1786">
        <v>26234002</v>
      </c>
      <c r="B1786" t="s">
        <v>340</v>
      </c>
      <c r="C1786" t="s">
        <v>15</v>
      </c>
      <c r="D1786" t="s">
        <v>12</v>
      </c>
      <c r="E1786" t="s">
        <v>638</v>
      </c>
      <c r="F1786" t="s">
        <v>577</v>
      </c>
      <c r="G1786" t="s">
        <v>369</v>
      </c>
      <c r="H1786" t="s">
        <v>370</v>
      </c>
      <c r="I1786" t="s">
        <v>721</v>
      </c>
      <c r="J1786" t="s">
        <v>455</v>
      </c>
      <c r="K1786" t="s">
        <v>453</v>
      </c>
      <c r="L1786" t="s">
        <v>367</v>
      </c>
      <c r="M1786" t="s">
        <v>408</v>
      </c>
      <c r="N1786" t="s">
        <v>11</v>
      </c>
      <c r="O1786" t="s">
        <v>11</v>
      </c>
      <c r="P1786" t="s">
        <v>0</v>
      </c>
      <c r="Q1786" t="s">
        <v>408</v>
      </c>
      <c r="R1786" t="s">
        <v>439</v>
      </c>
      <c r="S1786" t="s">
        <v>451</v>
      </c>
      <c r="T1786" t="s">
        <v>11</v>
      </c>
      <c r="U1786" t="s">
        <v>408</v>
      </c>
    </row>
    <row r="1787" spans="1:21" x14ac:dyDescent="0.25">
      <c r="A1787">
        <v>26234012</v>
      </c>
      <c r="B1787" t="s">
        <v>340</v>
      </c>
      <c r="C1787" t="s">
        <v>15</v>
      </c>
      <c r="D1787" t="s">
        <v>12</v>
      </c>
      <c r="E1787" t="s">
        <v>638</v>
      </c>
      <c r="F1787" t="s">
        <v>577</v>
      </c>
      <c r="G1787" t="s">
        <v>369</v>
      </c>
      <c r="H1787" t="s">
        <v>370</v>
      </c>
      <c r="I1787" t="s">
        <v>721</v>
      </c>
      <c r="J1787" t="s">
        <v>455</v>
      </c>
      <c r="K1787" t="s">
        <v>453</v>
      </c>
      <c r="L1787" t="s">
        <v>367</v>
      </c>
      <c r="M1787" t="s">
        <v>408</v>
      </c>
      <c r="N1787" t="s">
        <v>11</v>
      </c>
      <c r="O1787" t="s">
        <v>11</v>
      </c>
      <c r="P1787" t="s">
        <v>0</v>
      </c>
      <c r="Q1787" t="s">
        <v>408</v>
      </c>
      <c r="R1787" t="s">
        <v>439</v>
      </c>
      <c r="S1787" t="s">
        <v>451</v>
      </c>
      <c r="T1787" t="s">
        <v>11</v>
      </c>
      <c r="U1787" t="s">
        <v>408</v>
      </c>
    </row>
    <row r="1788" spans="1:21" x14ac:dyDescent="0.25">
      <c r="A1788">
        <v>26234013</v>
      </c>
      <c r="B1788" t="s">
        <v>340</v>
      </c>
      <c r="C1788" t="s">
        <v>15</v>
      </c>
      <c r="D1788" t="s">
        <v>12</v>
      </c>
      <c r="E1788" t="s">
        <v>639</v>
      </c>
      <c r="F1788" t="s">
        <v>583</v>
      </c>
      <c r="G1788" t="s">
        <v>369</v>
      </c>
      <c r="H1788" t="s">
        <v>370</v>
      </c>
      <c r="I1788" t="s">
        <v>721</v>
      </c>
      <c r="J1788" t="s">
        <v>455</v>
      </c>
      <c r="K1788" t="s">
        <v>453</v>
      </c>
      <c r="L1788" t="s">
        <v>367</v>
      </c>
      <c r="M1788" t="s">
        <v>408</v>
      </c>
      <c r="N1788" t="s">
        <v>11</v>
      </c>
      <c r="O1788" t="s">
        <v>11</v>
      </c>
      <c r="P1788" t="s">
        <v>0</v>
      </c>
      <c r="Q1788" t="s">
        <v>408</v>
      </c>
      <c r="R1788" t="s">
        <v>439</v>
      </c>
      <c r="S1788" t="s">
        <v>451</v>
      </c>
      <c r="T1788" t="s">
        <v>11</v>
      </c>
      <c r="U1788" t="s">
        <v>408</v>
      </c>
    </row>
    <row r="1789" spans="1:21" x14ac:dyDescent="0.25">
      <c r="A1789">
        <v>26234014</v>
      </c>
      <c r="B1789" t="s">
        <v>340</v>
      </c>
      <c r="C1789" t="s">
        <v>15</v>
      </c>
      <c r="D1789" t="s">
        <v>12</v>
      </c>
      <c r="E1789" t="s">
        <v>638</v>
      </c>
      <c r="F1789" t="s">
        <v>577</v>
      </c>
      <c r="G1789" t="s">
        <v>369</v>
      </c>
      <c r="H1789" t="s">
        <v>370</v>
      </c>
      <c r="I1789" t="s">
        <v>721</v>
      </c>
      <c r="J1789" t="s">
        <v>455</v>
      </c>
      <c r="K1789" t="s">
        <v>453</v>
      </c>
      <c r="L1789" t="s">
        <v>367</v>
      </c>
      <c r="M1789" t="s">
        <v>408</v>
      </c>
      <c r="N1789" t="s">
        <v>11</v>
      </c>
      <c r="O1789" t="s">
        <v>11</v>
      </c>
      <c r="P1789" t="s">
        <v>0</v>
      </c>
      <c r="Q1789" t="s">
        <v>408</v>
      </c>
      <c r="R1789" t="s">
        <v>439</v>
      </c>
      <c r="S1789" t="s">
        <v>451</v>
      </c>
      <c r="T1789" t="s">
        <v>11</v>
      </c>
      <c r="U1789" t="s">
        <v>408</v>
      </c>
    </row>
    <row r="1790" spans="1:21" x14ac:dyDescent="0.25">
      <c r="A1790">
        <v>26234015</v>
      </c>
      <c r="B1790" t="s">
        <v>340</v>
      </c>
      <c r="C1790" t="s">
        <v>15</v>
      </c>
      <c r="D1790" t="s">
        <v>12</v>
      </c>
      <c r="E1790" t="s">
        <v>639</v>
      </c>
      <c r="F1790" t="s">
        <v>583</v>
      </c>
      <c r="G1790" t="s">
        <v>369</v>
      </c>
      <c r="H1790" t="s">
        <v>370</v>
      </c>
      <c r="I1790" t="s">
        <v>721</v>
      </c>
      <c r="J1790" t="s">
        <v>455</v>
      </c>
      <c r="K1790" t="s">
        <v>453</v>
      </c>
      <c r="L1790" t="s">
        <v>367</v>
      </c>
      <c r="M1790" t="s">
        <v>408</v>
      </c>
      <c r="N1790" t="s">
        <v>11</v>
      </c>
      <c r="O1790" t="s">
        <v>11</v>
      </c>
      <c r="P1790" t="s">
        <v>0</v>
      </c>
      <c r="Q1790" t="s">
        <v>408</v>
      </c>
      <c r="R1790" t="s">
        <v>439</v>
      </c>
      <c r="S1790" t="s">
        <v>451</v>
      </c>
      <c r="T1790" t="s">
        <v>11</v>
      </c>
      <c r="U1790" t="s">
        <v>408</v>
      </c>
    </row>
    <row r="1791" spans="1:21" x14ac:dyDescent="0.25">
      <c r="A1791">
        <v>26234016</v>
      </c>
      <c r="B1791" t="s">
        <v>340</v>
      </c>
      <c r="C1791" t="s">
        <v>15</v>
      </c>
      <c r="D1791" t="s">
        <v>79</v>
      </c>
      <c r="E1791" t="s">
        <v>639</v>
      </c>
      <c r="F1791" t="s">
        <v>583</v>
      </c>
      <c r="G1791" t="s">
        <v>369</v>
      </c>
      <c r="H1791" t="s">
        <v>370</v>
      </c>
      <c r="I1791" t="s">
        <v>721</v>
      </c>
      <c r="J1791" t="s">
        <v>455</v>
      </c>
      <c r="K1791" t="s">
        <v>453</v>
      </c>
      <c r="L1791" t="s">
        <v>367</v>
      </c>
      <c r="M1791" t="s">
        <v>408</v>
      </c>
      <c r="N1791" t="s">
        <v>11</v>
      </c>
      <c r="O1791" t="s">
        <v>11</v>
      </c>
      <c r="P1791" t="s">
        <v>0</v>
      </c>
      <c r="Q1791" t="s">
        <v>408</v>
      </c>
      <c r="R1791" t="s">
        <v>439</v>
      </c>
      <c r="S1791" t="s">
        <v>451</v>
      </c>
      <c r="T1791" t="s">
        <v>11</v>
      </c>
      <c r="U1791" t="s">
        <v>408</v>
      </c>
    </row>
    <row r="1792" spans="1:21" x14ac:dyDescent="0.25">
      <c r="A1792">
        <v>26234019</v>
      </c>
      <c r="B1792" t="s">
        <v>340</v>
      </c>
      <c r="C1792" t="s">
        <v>15</v>
      </c>
      <c r="D1792" t="s">
        <v>12</v>
      </c>
      <c r="E1792" t="s">
        <v>638</v>
      </c>
      <c r="F1792" t="s">
        <v>577</v>
      </c>
      <c r="G1792" t="s">
        <v>369</v>
      </c>
      <c r="H1792" t="s">
        <v>370</v>
      </c>
      <c r="I1792" t="s">
        <v>721</v>
      </c>
      <c r="J1792" t="s">
        <v>455</v>
      </c>
      <c r="K1792" t="s">
        <v>453</v>
      </c>
      <c r="L1792" t="s">
        <v>367</v>
      </c>
      <c r="M1792" t="s">
        <v>408</v>
      </c>
      <c r="N1792" t="s">
        <v>11</v>
      </c>
      <c r="O1792" t="s">
        <v>11</v>
      </c>
      <c r="P1792" t="s">
        <v>0</v>
      </c>
      <c r="Q1792" t="s">
        <v>408</v>
      </c>
      <c r="R1792" t="s">
        <v>439</v>
      </c>
      <c r="S1792" t="s">
        <v>451</v>
      </c>
      <c r="T1792" t="s">
        <v>11</v>
      </c>
      <c r="U1792" t="s">
        <v>408</v>
      </c>
    </row>
    <row r="1793" spans="1:21" x14ac:dyDescent="0.25">
      <c r="A1793">
        <v>26234021</v>
      </c>
      <c r="B1793" t="s">
        <v>340</v>
      </c>
      <c r="C1793" t="s">
        <v>15</v>
      </c>
      <c r="D1793" t="s">
        <v>12</v>
      </c>
      <c r="E1793" t="s">
        <v>639</v>
      </c>
      <c r="F1793" t="s">
        <v>583</v>
      </c>
      <c r="G1793" t="s">
        <v>369</v>
      </c>
      <c r="H1793" t="s">
        <v>370</v>
      </c>
      <c r="I1793" t="s">
        <v>721</v>
      </c>
      <c r="J1793" t="s">
        <v>455</v>
      </c>
      <c r="K1793" t="s">
        <v>453</v>
      </c>
      <c r="L1793" t="s">
        <v>367</v>
      </c>
      <c r="M1793" t="s">
        <v>408</v>
      </c>
      <c r="N1793" t="s">
        <v>11</v>
      </c>
      <c r="O1793" t="s">
        <v>11</v>
      </c>
      <c r="P1793" t="s">
        <v>0</v>
      </c>
      <c r="Q1793" t="s">
        <v>408</v>
      </c>
      <c r="R1793" t="s">
        <v>439</v>
      </c>
      <c r="S1793" t="s">
        <v>451</v>
      </c>
      <c r="T1793" t="s">
        <v>11</v>
      </c>
      <c r="U1793" t="s">
        <v>408</v>
      </c>
    </row>
    <row r="1794" spans="1:21" x14ac:dyDescent="0.25">
      <c r="A1794">
        <v>26234024</v>
      </c>
      <c r="B1794" t="s">
        <v>340</v>
      </c>
      <c r="C1794" t="s">
        <v>15</v>
      </c>
      <c r="D1794" t="s">
        <v>12</v>
      </c>
      <c r="E1794" t="s">
        <v>638</v>
      </c>
      <c r="F1794" t="s">
        <v>577</v>
      </c>
      <c r="G1794" t="s">
        <v>369</v>
      </c>
      <c r="H1794" t="s">
        <v>370</v>
      </c>
      <c r="I1794" t="s">
        <v>721</v>
      </c>
      <c r="J1794" t="s">
        <v>455</v>
      </c>
      <c r="K1794" t="s">
        <v>453</v>
      </c>
      <c r="L1794" t="s">
        <v>367</v>
      </c>
      <c r="M1794" t="s">
        <v>408</v>
      </c>
      <c r="N1794" t="s">
        <v>11</v>
      </c>
      <c r="O1794" t="s">
        <v>11</v>
      </c>
      <c r="P1794" t="s">
        <v>0</v>
      </c>
      <c r="Q1794" t="s">
        <v>408</v>
      </c>
      <c r="R1794" t="s">
        <v>439</v>
      </c>
      <c r="S1794" t="s">
        <v>451</v>
      </c>
      <c r="T1794" t="s">
        <v>11</v>
      </c>
      <c r="U1794" t="s">
        <v>408</v>
      </c>
    </row>
    <row r="1795" spans="1:21" x14ac:dyDescent="0.25">
      <c r="A1795">
        <v>26234026</v>
      </c>
      <c r="B1795" t="s">
        <v>340</v>
      </c>
      <c r="C1795" t="s">
        <v>15</v>
      </c>
      <c r="D1795" t="s">
        <v>12</v>
      </c>
      <c r="E1795" t="s">
        <v>638</v>
      </c>
      <c r="F1795" t="s">
        <v>577</v>
      </c>
      <c r="G1795" t="s">
        <v>369</v>
      </c>
      <c r="H1795" t="s">
        <v>370</v>
      </c>
      <c r="I1795" t="s">
        <v>721</v>
      </c>
      <c r="J1795" t="s">
        <v>455</v>
      </c>
      <c r="K1795" t="s">
        <v>453</v>
      </c>
      <c r="L1795" t="s">
        <v>367</v>
      </c>
      <c r="M1795" t="s">
        <v>408</v>
      </c>
      <c r="N1795" t="s">
        <v>11</v>
      </c>
      <c r="O1795" t="s">
        <v>11</v>
      </c>
      <c r="P1795" t="s">
        <v>0</v>
      </c>
      <c r="Q1795" t="s">
        <v>408</v>
      </c>
      <c r="R1795" t="s">
        <v>439</v>
      </c>
      <c r="S1795" t="s">
        <v>451</v>
      </c>
      <c r="T1795" t="s">
        <v>11</v>
      </c>
      <c r="U1795" t="s">
        <v>408</v>
      </c>
    </row>
    <row r="1796" spans="1:21" x14ac:dyDescent="0.25">
      <c r="A1796">
        <v>26234028</v>
      </c>
      <c r="B1796" t="s">
        <v>340</v>
      </c>
      <c r="C1796" t="s">
        <v>15</v>
      </c>
      <c r="D1796" t="s">
        <v>12</v>
      </c>
      <c r="E1796" t="s">
        <v>638</v>
      </c>
      <c r="F1796" t="s">
        <v>577</v>
      </c>
      <c r="G1796" t="s">
        <v>369</v>
      </c>
      <c r="H1796" t="s">
        <v>370</v>
      </c>
      <c r="I1796" t="s">
        <v>721</v>
      </c>
      <c r="J1796" t="s">
        <v>455</v>
      </c>
      <c r="K1796" t="s">
        <v>453</v>
      </c>
      <c r="L1796" t="s">
        <v>367</v>
      </c>
      <c r="M1796" t="s">
        <v>408</v>
      </c>
      <c r="N1796" t="s">
        <v>11</v>
      </c>
      <c r="O1796" t="s">
        <v>11</v>
      </c>
      <c r="P1796" t="s">
        <v>0</v>
      </c>
      <c r="Q1796" t="s">
        <v>408</v>
      </c>
      <c r="R1796" t="s">
        <v>439</v>
      </c>
      <c r="S1796" t="s">
        <v>451</v>
      </c>
      <c r="T1796" t="s">
        <v>11</v>
      </c>
      <c r="U1796" t="s">
        <v>408</v>
      </c>
    </row>
    <row r="1797" spans="1:21" x14ac:dyDescent="0.25">
      <c r="A1797">
        <v>26234030</v>
      </c>
      <c r="B1797" t="s">
        <v>340</v>
      </c>
      <c r="C1797" t="s">
        <v>15</v>
      </c>
      <c r="D1797" t="s">
        <v>12</v>
      </c>
      <c r="E1797" t="s">
        <v>638</v>
      </c>
      <c r="F1797" t="s">
        <v>577</v>
      </c>
      <c r="G1797" t="s">
        <v>369</v>
      </c>
      <c r="H1797" t="s">
        <v>370</v>
      </c>
      <c r="I1797" t="s">
        <v>721</v>
      </c>
      <c r="J1797" t="s">
        <v>455</v>
      </c>
      <c r="K1797" t="s">
        <v>453</v>
      </c>
      <c r="L1797" t="s">
        <v>367</v>
      </c>
      <c r="M1797" t="s">
        <v>408</v>
      </c>
      <c r="N1797" t="s">
        <v>11</v>
      </c>
      <c r="O1797" t="s">
        <v>11</v>
      </c>
      <c r="P1797" t="s">
        <v>0</v>
      </c>
      <c r="Q1797" t="s">
        <v>408</v>
      </c>
      <c r="R1797" t="s">
        <v>439</v>
      </c>
      <c r="S1797" t="s">
        <v>451</v>
      </c>
      <c r="T1797" t="s">
        <v>11</v>
      </c>
      <c r="U1797" t="s">
        <v>408</v>
      </c>
    </row>
    <row r="1798" spans="1:21" x14ac:dyDescent="0.25">
      <c r="A1798">
        <v>26234031</v>
      </c>
      <c r="B1798" t="s">
        <v>340</v>
      </c>
      <c r="C1798" t="s">
        <v>15</v>
      </c>
      <c r="D1798" t="s">
        <v>12</v>
      </c>
      <c r="E1798" t="s">
        <v>638</v>
      </c>
      <c r="F1798" t="s">
        <v>577</v>
      </c>
      <c r="G1798" t="s">
        <v>369</v>
      </c>
      <c r="H1798" t="s">
        <v>370</v>
      </c>
      <c r="I1798" t="s">
        <v>721</v>
      </c>
      <c r="J1798" t="s">
        <v>455</v>
      </c>
      <c r="K1798" t="s">
        <v>453</v>
      </c>
      <c r="L1798" t="s">
        <v>367</v>
      </c>
      <c r="M1798" t="s">
        <v>408</v>
      </c>
      <c r="N1798" t="s">
        <v>11</v>
      </c>
      <c r="O1798" t="s">
        <v>11</v>
      </c>
      <c r="P1798" t="s">
        <v>0</v>
      </c>
      <c r="Q1798" t="s">
        <v>408</v>
      </c>
      <c r="R1798" t="s">
        <v>439</v>
      </c>
      <c r="S1798" t="s">
        <v>451</v>
      </c>
      <c r="T1798" t="s">
        <v>11</v>
      </c>
      <c r="U1798" t="s">
        <v>408</v>
      </c>
    </row>
    <row r="1799" spans="1:21" x14ac:dyDescent="0.25">
      <c r="A1799">
        <v>26234033</v>
      </c>
      <c r="B1799" t="s">
        <v>342</v>
      </c>
      <c r="C1799" t="s">
        <v>13</v>
      </c>
      <c r="D1799" t="s">
        <v>79</v>
      </c>
      <c r="E1799" t="s">
        <v>638</v>
      </c>
      <c r="F1799" t="s">
        <v>577</v>
      </c>
      <c r="G1799" t="s">
        <v>369</v>
      </c>
      <c r="H1799" t="s">
        <v>0</v>
      </c>
      <c r="I1799" t="s">
        <v>436</v>
      </c>
      <c r="J1799" t="s">
        <v>437</v>
      </c>
      <c r="K1799" t="s">
        <v>438</v>
      </c>
      <c r="L1799" t="s">
        <v>345</v>
      </c>
      <c r="M1799" t="s">
        <v>408</v>
      </c>
      <c r="N1799" t="s">
        <v>11</v>
      </c>
      <c r="O1799" t="s">
        <v>11</v>
      </c>
      <c r="P1799" t="s">
        <v>0</v>
      </c>
      <c r="Q1799" t="s">
        <v>408</v>
      </c>
      <c r="R1799" t="s">
        <v>439</v>
      </c>
      <c r="S1799" t="s">
        <v>440</v>
      </c>
      <c r="T1799" t="s">
        <v>11</v>
      </c>
      <c r="U1799" t="s">
        <v>408</v>
      </c>
    </row>
    <row r="1800" spans="1:21" x14ac:dyDescent="0.25">
      <c r="A1800">
        <v>26234034</v>
      </c>
      <c r="B1800" t="s">
        <v>340</v>
      </c>
      <c r="C1800" t="s">
        <v>15</v>
      </c>
      <c r="D1800" t="s">
        <v>12</v>
      </c>
      <c r="E1800" t="s">
        <v>638</v>
      </c>
      <c r="F1800" t="s">
        <v>577</v>
      </c>
      <c r="G1800" t="s">
        <v>369</v>
      </c>
      <c r="H1800" t="s">
        <v>370</v>
      </c>
      <c r="I1800" t="s">
        <v>721</v>
      </c>
      <c r="J1800" t="s">
        <v>455</v>
      </c>
      <c r="K1800" t="s">
        <v>453</v>
      </c>
      <c r="L1800" t="s">
        <v>367</v>
      </c>
      <c r="M1800" t="s">
        <v>408</v>
      </c>
      <c r="N1800" t="s">
        <v>11</v>
      </c>
      <c r="O1800" t="s">
        <v>11</v>
      </c>
      <c r="P1800" t="s">
        <v>0</v>
      </c>
      <c r="Q1800" t="s">
        <v>408</v>
      </c>
      <c r="R1800" t="s">
        <v>439</v>
      </c>
      <c r="S1800" t="s">
        <v>451</v>
      </c>
      <c r="T1800" t="s">
        <v>11</v>
      </c>
      <c r="U1800" t="s">
        <v>408</v>
      </c>
    </row>
    <row r="1801" spans="1:21" x14ac:dyDescent="0.25">
      <c r="A1801">
        <v>26234035</v>
      </c>
      <c r="B1801" t="s">
        <v>340</v>
      </c>
      <c r="C1801" t="s">
        <v>15</v>
      </c>
      <c r="D1801" t="s">
        <v>12</v>
      </c>
      <c r="E1801" t="s">
        <v>638</v>
      </c>
      <c r="F1801" t="s">
        <v>577</v>
      </c>
      <c r="G1801" t="s">
        <v>369</v>
      </c>
      <c r="H1801" t="s">
        <v>370</v>
      </c>
      <c r="I1801" t="s">
        <v>721</v>
      </c>
      <c r="J1801" t="s">
        <v>455</v>
      </c>
      <c r="K1801" t="s">
        <v>453</v>
      </c>
      <c r="L1801" t="s">
        <v>367</v>
      </c>
      <c r="M1801" t="s">
        <v>408</v>
      </c>
      <c r="N1801" t="s">
        <v>11</v>
      </c>
      <c r="O1801" t="s">
        <v>11</v>
      </c>
      <c r="P1801" t="s">
        <v>0</v>
      </c>
      <c r="Q1801" t="s">
        <v>408</v>
      </c>
      <c r="R1801" t="s">
        <v>439</v>
      </c>
      <c r="S1801" t="s">
        <v>451</v>
      </c>
      <c r="T1801" t="s">
        <v>11</v>
      </c>
      <c r="U1801" t="s">
        <v>408</v>
      </c>
    </row>
    <row r="1802" spans="1:21" x14ac:dyDescent="0.25">
      <c r="A1802">
        <v>26234037</v>
      </c>
      <c r="B1802" t="s">
        <v>340</v>
      </c>
      <c r="C1802" t="s">
        <v>15</v>
      </c>
      <c r="D1802" t="s">
        <v>12</v>
      </c>
      <c r="E1802" t="s">
        <v>638</v>
      </c>
      <c r="F1802" t="s">
        <v>577</v>
      </c>
      <c r="G1802" t="s">
        <v>369</v>
      </c>
      <c r="H1802" t="s">
        <v>370</v>
      </c>
      <c r="I1802" t="s">
        <v>721</v>
      </c>
      <c r="J1802" t="s">
        <v>455</v>
      </c>
      <c r="K1802" t="s">
        <v>453</v>
      </c>
      <c r="L1802" t="s">
        <v>367</v>
      </c>
      <c r="M1802" t="s">
        <v>408</v>
      </c>
      <c r="N1802" t="s">
        <v>11</v>
      </c>
      <c r="O1802" t="s">
        <v>11</v>
      </c>
      <c r="P1802" t="s">
        <v>0</v>
      </c>
      <c r="Q1802" t="s">
        <v>408</v>
      </c>
      <c r="R1802" t="s">
        <v>439</v>
      </c>
      <c r="S1802" t="s">
        <v>451</v>
      </c>
      <c r="T1802" t="s">
        <v>11</v>
      </c>
      <c r="U1802" t="s">
        <v>408</v>
      </c>
    </row>
    <row r="1803" spans="1:21" x14ac:dyDescent="0.25">
      <c r="A1803">
        <v>26234039</v>
      </c>
      <c r="B1803" t="s">
        <v>340</v>
      </c>
      <c r="C1803" t="s">
        <v>15</v>
      </c>
      <c r="D1803" t="s">
        <v>12</v>
      </c>
      <c r="E1803" t="s">
        <v>638</v>
      </c>
      <c r="F1803" t="s">
        <v>577</v>
      </c>
      <c r="G1803" t="s">
        <v>369</v>
      </c>
      <c r="H1803" t="s">
        <v>370</v>
      </c>
      <c r="I1803" t="s">
        <v>721</v>
      </c>
      <c r="J1803" t="s">
        <v>455</v>
      </c>
      <c r="K1803" t="s">
        <v>453</v>
      </c>
      <c r="L1803" t="s">
        <v>367</v>
      </c>
      <c r="M1803" t="s">
        <v>408</v>
      </c>
      <c r="N1803" t="s">
        <v>11</v>
      </c>
      <c r="O1803" t="s">
        <v>11</v>
      </c>
      <c r="P1803" t="s">
        <v>0</v>
      </c>
      <c r="Q1803" t="s">
        <v>408</v>
      </c>
      <c r="R1803" t="s">
        <v>439</v>
      </c>
      <c r="S1803" t="s">
        <v>451</v>
      </c>
      <c r="T1803" t="s">
        <v>11</v>
      </c>
      <c r="U1803" t="s">
        <v>408</v>
      </c>
    </row>
    <row r="1804" spans="1:21" x14ac:dyDescent="0.25">
      <c r="A1804">
        <v>26234040</v>
      </c>
      <c r="B1804" t="s">
        <v>340</v>
      </c>
      <c r="C1804" t="s">
        <v>15</v>
      </c>
      <c r="D1804" t="s">
        <v>18</v>
      </c>
      <c r="E1804" t="s">
        <v>638</v>
      </c>
      <c r="F1804" t="s">
        <v>577</v>
      </c>
      <c r="G1804" t="s">
        <v>369</v>
      </c>
      <c r="H1804" t="s">
        <v>370</v>
      </c>
      <c r="I1804" t="s">
        <v>721</v>
      </c>
      <c r="J1804" t="s">
        <v>455</v>
      </c>
      <c r="K1804" t="s">
        <v>453</v>
      </c>
      <c r="L1804" t="s">
        <v>367</v>
      </c>
      <c r="M1804" t="s">
        <v>408</v>
      </c>
      <c r="N1804" t="s">
        <v>11</v>
      </c>
      <c r="O1804" t="s">
        <v>11</v>
      </c>
      <c r="P1804" t="s">
        <v>0</v>
      </c>
      <c r="Q1804" t="s">
        <v>408</v>
      </c>
      <c r="R1804" t="s">
        <v>439</v>
      </c>
      <c r="S1804" t="s">
        <v>451</v>
      </c>
      <c r="T1804" t="s">
        <v>11</v>
      </c>
      <c r="U1804" t="s">
        <v>408</v>
      </c>
    </row>
    <row r="1805" spans="1:21" x14ac:dyDescent="0.25">
      <c r="A1805">
        <v>26234041</v>
      </c>
      <c r="B1805" t="s">
        <v>340</v>
      </c>
      <c r="C1805" t="s">
        <v>15</v>
      </c>
      <c r="D1805" t="s">
        <v>12</v>
      </c>
      <c r="E1805" t="s">
        <v>638</v>
      </c>
      <c r="F1805" t="s">
        <v>577</v>
      </c>
      <c r="G1805" t="s">
        <v>369</v>
      </c>
      <c r="H1805" t="s">
        <v>370</v>
      </c>
      <c r="I1805" t="s">
        <v>721</v>
      </c>
      <c r="J1805" t="s">
        <v>455</v>
      </c>
      <c r="K1805" t="s">
        <v>453</v>
      </c>
      <c r="L1805" t="s">
        <v>367</v>
      </c>
      <c r="M1805" t="s">
        <v>408</v>
      </c>
      <c r="N1805" t="s">
        <v>11</v>
      </c>
      <c r="O1805" t="s">
        <v>11</v>
      </c>
      <c r="P1805" t="s">
        <v>0</v>
      </c>
      <c r="Q1805" t="s">
        <v>408</v>
      </c>
      <c r="R1805" t="s">
        <v>439</v>
      </c>
      <c r="S1805" t="s">
        <v>451</v>
      </c>
      <c r="T1805" t="s">
        <v>11</v>
      </c>
      <c r="U1805" t="s">
        <v>408</v>
      </c>
    </row>
    <row r="1806" spans="1:21" x14ac:dyDescent="0.25">
      <c r="A1806">
        <v>26234042</v>
      </c>
      <c r="B1806" t="s">
        <v>340</v>
      </c>
      <c r="C1806" t="s">
        <v>15</v>
      </c>
      <c r="D1806" t="s">
        <v>12</v>
      </c>
      <c r="E1806" t="s">
        <v>638</v>
      </c>
      <c r="F1806" t="s">
        <v>577</v>
      </c>
      <c r="G1806" t="s">
        <v>369</v>
      </c>
      <c r="H1806" t="s">
        <v>370</v>
      </c>
      <c r="I1806" t="s">
        <v>721</v>
      </c>
      <c r="J1806" t="s">
        <v>455</v>
      </c>
      <c r="K1806" t="s">
        <v>453</v>
      </c>
      <c r="L1806" t="s">
        <v>367</v>
      </c>
      <c r="M1806" t="s">
        <v>408</v>
      </c>
      <c r="N1806" t="s">
        <v>11</v>
      </c>
      <c r="O1806" t="s">
        <v>11</v>
      </c>
      <c r="P1806" t="s">
        <v>0</v>
      </c>
      <c r="Q1806" t="s">
        <v>408</v>
      </c>
      <c r="R1806" t="s">
        <v>439</v>
      </c>
      <c r="S1806" t="s">
        <v>451</v>
      </c>
      <c r="T1806" t="s">
        <v>11</v>
      </c>
      <c r="U1806" t="s">
        <v>408</v>
      </c>
    </row>
    <row r="1807" spans="1:21" x14ac:dyDescent="0.25">
      <c r="A1807">
        <v>26234046</v>
      </c>
      <c r="B1807" t="s">
        <v>340</v>
      </c>
      <c r="C1807" t="s">
        <v>15</v>
      </c>
      <c r="D1807" t="s">
        <v>18</v>
      </c>
      <c r="E1807" t="s">
        <v>638</v>
      </c>
      <c r="F1807" t="s">
        <v>577</v>
      </c>
      <c r="G1807" t="s">
        <v>369</v>
      </c>
      <c r="H1807" t="s">
        <v>370</v>
      </c>
      <c r="I1807" t="s">
        <v>721</v>
      </c>
      <c r="J1807" t="s">
        <v>455</v>
      </c>
      <c r="K1807" t="s">
        <v>453</v>
      </c>
      <c r="L1807" t="s">
        <v>367</v>
      </c>
      <c r="M1807" t="s">
        <v>408</v>
      </c>
      <c r="N1807" t="s">
        <v>11</v>
      </c>
      <c r="O1807" t="s">
        <v>11</v>
      </c>
      <c r="P1807" t="s">
        <v>0</v>
      </c>
      <c r="Q1807" t="s">
        <v>408</v>
      </c>
      <c r="R1807" t="s">
        <v>439</v>
      </c>
      <c r="S1807" t="s">
        <v>451</v>
      </c>
      <c r="T1807" t="s">
        <v>11</v>
      </c>
      <c r="U1807" t="s">
        <v>408</v>
      </c>
    </row>
    <row r="1808" spans="1:21" x14ac:dyDescent="0.25">
      <c r="A1808">
        <v>26234047</v>
      </c>
      <c r="B1808" t="s">
        <v>340</v>
      </c>
      <c r="C1808" t="s">
        <v>15</v>
      </c>
      <c r="D1808" t="s">
        <v>12</v>
      </c>
      <c r="E1808" t="s">
        <v>638</v>
      </c>
      <c r="F1808" t="s">
        <v>577</v>
      </c>
      <c r="G1808" t="s">
        <v>369</v>
      </c>
      <c r="H1808" t="s">
        <v>3</v>
      </c>
      <c r="I1808" t="s">
        <v>436</v>
      </c>
      <c r="J1808" t="s">
        <v>441</v>
      </c>
      <c r="K1808" t="s">
        <v>442</v>
      </c>
      <c r="L1808" t="s">
        <v>0</v>
      </c>
      <c r="M1808" t="s">
        <v>408</v>
      </c>
      <c r="N1808" t="s">
        <v>11</v>
      </c>
      <c r="O1808" t="s">
        <v>11</v>
      </c>
      <c r="P1808" t="s">
        <v>0</v>
      </c>
      <c r="Q1808" t="s">
        <v>408</v>
      </c>
      <c r="R1808" t="s">
        <v>439</v>
      </c>
      <c r="S1808" t="s">
        <v>440</v>
      </c>
      <c r="T1808" t="s">
        <v>11</v>
      </c>
      <c r="U1808" t="s">
        <v>408</v>
      </c>
    </row>
    <row r="1809" spans="1:21" x14ac:dyDescent="0.25">
      <c r="A1809">
        <v>26234049</v>
      </c>
      <c r="B1809" t="s">
        <v>340</v>
      </c>
      <c r="C1809" t="s">
        <v>15</v>
      </c>
      <c r="D1809" t="s">
        <v>18</v>
      </c>
      <c r="E1809" t="s">
        <v>638</v>
      </c>
      <c r="F1809" t="s">
        <v>577</v>
      </c>
      <c r="G1809" t="s">
        <v>369</v>
      </c>
      <c r="H1809" t="s">
        <v>370</v>
      </c>
      <c r="I1809" t="s">
        <v>721</v>
      </c>
      <c r="J1809" t="s">
        <v>455</v>
      </c>
      <c r="K1809" t="s">
        <v>453</v>
      </c>
      <c r="L1809" t="s">
        <v>367</v>
      </c>
      <c r="M1809" t="s">
        <v>408</v>
      </c>
      <c r="N1809" t="s">
        <v>11</v>
      </c>
      <c r="O1809" t="s">
        <v>11</v>
      </c>
      <c r="P1809" t="s">
        <v>0</v>
      </c>
      <c r="Q1809" t="s">
        <v>408</v>
      </c>
      <c r="R1809" t="s">
        <v>439</v>
      </c>
      <c r="S1809" t="s">
        <v>451</v>
      </c>
      <c r="T1809" t="s">
        <v>11</v>
      </c>
      <c r="U1809" t="s">
        <v>408</v>
      </c>
    </row>
    <row r="1810" spans="1:21" x14ac:dyDescent="0.25">
      <c r="A1810">
        <v>26234050</v>
      </c>
      <c r="B1810" t="s">
        <v>340</v>
      </c>
      <c r="C1810" t="s">
        <v>15</v>
      </c>
      <c r="D1810" t="s">
        <v>18</v>
      </c>
      <c r="E1810" t="s">
        <v>638</v>
      </c>
      <c r="F1810" t="s">
        <v>577</v>
      </c>
      <c r="G1810" t="s">
        <v>369</v>
      </c>
      <c r="H1810" t="s">
        <v>370</v>
      </c>
      <c r="I1810" t="s">
        <v>721</v>
      </c>
      <c r="J1810" t="s">
        <v>455</v>
      </c>
      <c r="K1810" t="s">
        <v>453</v>
      </c>
      <c r="L1810" t="s">
        <v>367</v>
      </c>
      <c r="M1810" t="s">
        <v>408</v>
      </c>
      <c r="N1810" t="s">
        <v>11</v>
      </c>
      <c r="O1810" t="s">
        <v>11</v>
      </c>
      <c r="P1810" t="s">
        <v>0</v>
      </c>
      <c r="Q1810" t="s">
        <v>408</v>
      </c>
      <c r="R1810" t="s">
        <v>439</v>
      </c>
      <c r="S1810" t="s">
        <v>451</v>
      </c>
      <c r="T1810" t="s">
        <v>11</v>
      </c>
      <c r="U1810" t="s">
        <v>408</v>
      </c>
    </row>
    <row r="1811" spans="1:21" x14ac:dyDescent="0.25">
      <c r="A1811">
        <v>26234052</v>
      </c>
      <c r="B1811" t="s">
        <v>340</v>
      </c>
      <c r="C1811" t="s">
        <v>15</v>
      </c>
      <c r="D1811" t="s">
        <v>12</v>
      </c>
      <c r="E1811" t="s">
        <v>638</v>
      </c>
      <c r="F1811" t="s">
        <v>577</v>
      </c>
      <c r="G1811" t="s">
        <v>369</v>
      </c>
      <c r="H1811" t="s">
        <v>370</v>
      </c>
      <c r="I1811" t="s">
        <v>721</v>
      </c>
      <c r="J1811" t="s">
        <v>455</v>
      </c>
      <c r="K1811" t="s">
        <v>453</v>
      </c>
      <c r="L1811" t="s">
        <v>367</v>
      </c>
      <c r="M1811" t="s">
        <v>408</v>
      </c>
      <c r="N1811" t="s">
        <v>11</v>
      </c>
      <c r="O1811" t="s">
        <v>11</v>
      </c>
      <c r="P1811" t="s">
        <v>0</v>
      </c>
      <c r="Q1811" t="s">
        <v>408</v>
      </c>
      <c r="R1811" t="s">
        <v>439</v>
      </c>
      <c r="S1811" t="s">
        <v>451</v>
      </c>
      <c r="T1811" t="s">
        <v>11</v>
      </c>
      <c r="U1811" t="s">
        <v>408</v>
      </c>
    </row>
    <row r="1812" spans="1:21" x14ac:dyDescent="0.25">
      <c r="A1812">
        <v>26234053</v>
      </c>
      <c r="B1812" t="s">
        <v>340</v>
      </c>
      <c r="C1812" t="s">
        <v>15</v>
      </c>
      <c r="D1812" t="s">
        <v>12</v>
      </c>
      <c r="E1812" t="s">
        <v>638</v>
      </c>
      <c r="F1812" t="s">
        <v>577</v>
      </c>
      <c r="G1812" t="s">
        <v>369</v>
      </c>
      <c r="H1812" t="s">
        <v>370</v>
      </c>
      <c r="I1812" t="s">
        <v>721</v>
      </c>
      <c r="J1812" t="s">
        <v>455</v>
      </c>
      <c r="K1812" t="s">
        <v>453</v>
      </c>
      <c r="L1812" t="s">
        <v>367</v>
      </c>
      <c r="M1812" t="s">
        <v>408</v>
      </c>
      <c r="N1812" t="s">
        <v>11</v>
      </c>
      <c r="O1812" t="s">
        <v>11</v>
      </c>
      <c r="P1812" t="s">
        <v>0</v>
      </c>
      <c r="Q1812" t="s">
        <v>408</v>
      </c>
      <c r="R1812" t="s">
        <v>439</v>
      </c>
      <c r="S1812" t="s">
        <v>451</v>
      </c>
      <c r="T1812" t="s">
        <v>11</v>
      </c>
      <c r="U1812" t="s">
        <v>408</v>
      </c>
    </row>
    <row r="1813" spans="1:21" x14ac:dyDescent="0.25">
      <c r="A1813">
        <v>26234055</v>
      </c>
      <c r="B1813" t="s">
        <v>342</v>
      </c>
      <c r="C1813" t="s">
        <v>13</v>
      </c>
      <c r="D1813" t="s">
        <v>12</v>
      </c>
      <c r="E1813" t="s">
        <v>638</v>
      </c>
      <c r="F1813" t="s">
        <v>577</v>
      </c>
      <c r="G1813" t="s">
        <v>369</v>
      </c>
      <c r="H1813" t="s">
        <v>370</v>
      </c>
      <c r="I1813" t="s">
        <v>721</v>
      </c>
      <c r="J1813" t="s">
        <v>455</v>
      </c>
      <c r="K1813" t="s">
        <v>453</v>
      </c>
      <c r="L1813" t="s">
        <v>367</v>
      </c>
      <c r="M1813" t="s">
        <v>408</v>
      </c>
      <c r="N1813" t="s">
        <v>11</v>
      </c>
      <c r="O1813" t="s">
        <v>11</v>
      </c>
      <c r="P1813" t="s">
        <v>0</v>
      </c>
      <c r="Q1813" t="s">
        <v>408</v>
      </c>
      <c r="R1813" t="s">
        <v>439</v>
      </c>
      <c r="S1813" t="s">
        <v>451</v>
      </c>
      <c r="T1813" t="s">
        <v>11</v>
      </c>
      <c r="U1813" t="s">
        <v>408</v>
      </c>
    </row>
    <row r="1814" spans="1:21" x14ac:dyDescent="0.25">
      <c r="A1814">
        <v>26234056</v>
      </c>
      <c r="B1814" t="s">
        <v>340</v>
      </c>
      <c r="C1814" t="s">
        <v>15</v>
      </c>
      <c r="D1814" t="s">
        <v>18</v>
      </c>
      <c r="E1814" t="s">
        <v>638</v>
      </c>
      <c r="F1814" t="s">
        <v>577</v>
      </c>
      <c r="G1814" t="s">
        <v>369</v>
      </c>
      <c r="H1814" t="s">
        <v>370</v>
      </c>
      <c r="I1814" t="s">
        <v>721</v>
      </c>
      <c r="J1814" t="s">
        <v>455</v>
      </c>
      <c r="K1814" t="s">
        <v>453</v>
      </c>
      <c r="L1814" t="s">
        <v>367</v>
      </c>
      <c r="M1814" t="s">
        <v>408</v>
      </c>
      <c r="N1814" t="s">
        <v>11</v>
      </c>
      <c r="O1814" t="s">
        <v>11</v>
      </c>
      <c r="P1814" t="s">
        <v>0</v>
      </c>
      <c r="Q1814" t="s">
        <v>408</v>
      </c>
      <c r="R1814" t="s">
        <v>439</v>
      </c>
      <c r="S1814" t="s">
        <v>451</v>
      </c>
      <c r="T1814" t="s">
        <v>11</v>
      </c>
      <c r="U1814" t="s">
        <v>408</v>
      </c>
    </row>
    <row r="1815" spans="1:21" x14ac:dyDescent="0.25">
      <c r="A1815">
        <v>26234057</v>
      </c>
      <c r="B1815" t="s">
        <v>340</v>
      </c>
      <c r="C1815" t="s">
        <v>15</v>
      </c>
      <c r="D1815" t="s">
        <v>18</v>
      </c>
      <c r="E1815" t="s">
        <v>638</v>
      </c>
      <c r="F1815" t="s">
        <v>577</v>
      </c>
      <c r="G1815" t="s">
        <v>369</v>
      </c>
      <c r="H1815" t="s">
        <v>370</v>
      </c>
      <c r="I1815" t="s">
        <v>721</v>
      </c>
      <c r="J1815" t="s">
        <v>455</v>
      </c>
      <c r="K1815" t="s">
        <v>453</v>
      </c>
      <c r="L1815" t="s">
        <v>367</v>
      </c>
      <c r="M1815" t="s">
        <v>408</v>
      </c>
      <c r="N1815" t="s">
        <v>11</v>
      </c>
      <c r="O1815" t="s">
        <v>11</v>
      </c>
      <c r="P1815" t="s">
        <v>0</v>
      </c>
      <c r="Q1815" t="s">
        <v>408</v>
      </c>
      <c r="R1815" t="s">
        <v>439</v>
      </c>
      <c r="S1815" t="s">
        <v>451</v>
      </c>
      <c r="T1815" t="s">
        <v>11</v>
      </c>
      <c r="U1815" t="s">
        <v>408</v>
      </c>
    </row>
    <row r="1816" spans="1:21" x14ac:dyDescent="0.25">
      <c r="A1816">
        <v>26234061</v>
      </c>
      <c r="B1816" t="s">
        <v>340</v>
      </c>
      <c r="C1816" t="s">
        <v>15</v>
      </c>
      <c r="D1816" t="s">
        <v>12</v>
      </c>
      <c r="E1816" t="s">
        <v>638</v>
      </c>
      <c r="F1816" t="s">
        <v>577</v>
      </c>
      <c r="G1816" t="s">
        <v>369</v>
      </c>
      <c r="H1816" t="s">
        <v>370</v>
      </c>
      <c r="I1816" t="s">
        <v>721</v>
      </c>
      <c r="J1816" t="s">
        <v>455</v>
      </c>
      <c r="K1816" t="s">
        <v>453</v>
      </c>
      <c r="L1816" t="s">
        <v>367</v>
      </c>
      <c r="M1816" t="s">
        <v>408</v>
      </c>
      <c r="N1816" t="s">
        <v>11</v>
      </c>
      <c r="O1816" t="s">
        <v>11</v>
      </c>
      <c r="P1816" t="s">
        <v>0</v>
      </c>
      <c r="Q1816" t="s">
        <v>408</v>
      </c>
      <c r="R1816" t="s">
        <v>439</v>
      </c>
      <c r="S1816" t="s">
        <v>451</v>
      </c>
      <c r="T1816" t="s">
        <v>11</v>
      </c>
      <c r="U1816" t="s">
        <v>408</v>
      </c>
    </row>
    <row r="1817" spans="1:21" x14ac:dyDescent="0.25">
      <c r="A1817">
        <v>26234062</v>
      </c>
      <c r="B1817" t="s">
        <v>340</v>
      </c>
      <c r="C1817" t="s">
        <v>15</v>
      </c>
      <c r="D1817" t="s">
        <v>12</v>
      </c>
      <c r="E1817" t="s">
        <v>638</v>
      </c>
      <c r="F1817" t="s">
        <v>577</v>
      </c>
      <c r="G1817" t="s">
        <v>369</v>
      </c>
      <c r="H1817" t="s">
        <v>370</v>
      </c>
      <c r="I1817" t="s">
        <v>721</v>
      </c>
      <c r="J1817" t="s">
        <v>455</v>
      </c>
      <c r="K1817" t="s">
        <v>453</v>
      </c>
      <c r="L1817" t="s">
        <v>367</v>
      </c>
      <c r="M1817" t="s">
        <v>408</v>
      </c>
      <c r="N1817" t="s">
        <v>11</v>
      </c>
      <c r="O1817" t="s">
        <v>11</v>
      </c>
      <c r="P1817" t="s">
        <v>0</v>
      </c>
      <c r="Q1817" t="s">
        <v>408</v>
      </c>
      <c r="R1817" t="s">
        <v>439</v>
      </c>
      <c r="S1817" t="s">
        <v>451</v>
      </c>
      <c r="T1817" t="s">
        <v>11</v>
      </c>
      <c r="U1817" t="s">
        <v>408</v>
      </c>
    </row>
    <row r="1818" spans="1:21" x14ac:dyDescent="0.25">
      <c r="A1818">
        <v>26234064</v>
      </c>
      <c r="B1818" t="s">
        <v>340</v>
      </c>
      <c r="C1818" t="s">
        <v>15</v>
      </c>
      <c r="D1818" t="s">
        <v>18</v>
      </c>
      <c r="E1818" t="s">
        <v>758</v>
      </c>
      <c r="F1818" t="s">
        <v>582</v>
      </c>
      <c r="G1818" t="s">
        <v>369</v>
      </c>
      <c r="H1818" t="s">
        <v>370</v>
      </c>
      <c r="I1818" t="s">
        <v>721</v>
      </c>
      <c r="J1818" t="s">
        <v>455</v>
      </c>
      <c r="K1818" t="s">
        <v>453</v>
      </c>
      <c r="L1818" t="s">
        <v>367</v>
      </c>
      <c r="M1818" t="s">
        <v>408</v>
      </c>
      <c r="N1818" t="s">
        <v>11</v>
      </c>
      <c r="O1818" t="s">
        <v>11</v>
      </c>
      <c r="P1818" t="s">
        <v>0</v>
      </c>
      <c r="Q1818" t="s">
        <v>408</v>
      </c>
      <c r="R1818" t="s">
        <v>439</v>
      </c>
      <c r="S1818" t="s">
        <v>451</v>
      </c>
      <c r="T1818" t="s">
        <v>11</v>
      </c>
      <c r="U1818" t="s">
        <v>408</v>
      </c>
    </row>
    <row r="1819" spans="1:21" x14ac:dyDescent="0.25">
      <c r="A1819">
        <v>26234065</v>
      </c>
      <c r="B1819" t="s">
        <v>340</v>
      </c>
      <c r="C1819" t="s">
        <v>15</v>
      </c>
      <c r="D1819" t="s">
        <v>12</v>
      </c>
      <c r="E1819" t="s">
        <v>638</v>
      </c>
      <c r="F1819" t="s">
        <v>577</v>
      </c>
      <c r="G1819" t="s">
        <v>369</v>
      </c>
      <c r="H1819" t="s">
        <v>370</v>
      </c>
      <c r="I1819" t="s">
        <v>721</v>
      </c>
      <c r="J1819" t="s">
        <v>455</v>
      </c>
      <c r="K1819" t="s">
        <v>453</v>
      </c>
      <c r="L1819" t="s">
        <v>367</v>
      </c>
      <c r="M1819" t="s">
        <v>408</v>
      </c>
      <c r="N1819" t="s">
        <v>11</v>
      </c>
      <c r="O1819" t="s">
        <v>11</v>
      </c>
      <c r="P1819" t="s">
        <v>0</v>
      </c>
      <c r="Q1819" t="s">
        <v>408</v>
      </c>
      <c r="R1819" t="s">
        <v>439</v>
      </c>
      <c r="S1819" t="s">
        <v>451</v>
      </c>
      <c r="T1819" t="s">
        <v>11</v>
      </c>
      <c r="U1819" t="s">
        <v>408</v>
      </c>
    </row>
    <row r="1820" spans="1:21" x14ac:dyDescent="0.25">
      <c r="A1820">
        <v>26234067</v>
      </c>
      <c r="B1820" t="s">
        <v>340</v>
      </c>
      <c r="C1820" t="s">
        <v>15</v>
      </c>
      <c r="D1820" t="s">
        <v>12</v>
      </c>
      <c r="E1820" t="s">
        <v>638</v>
      </c>
      <c r="F1820" t="s">
        <v>577</v>
      </c>
      <c r="G1820" t="s">
        <v>369</v>
      </c>
      <c r="H1820" t="s">
        <v>370</v>
      </c>
      <c r="I1820" t="s">
        <v>721</v>
      </c>
      <c r="J1820" t="s">
        <v>455</v>
      </c>
      <c r="K1820" t="s">
        <v>453</v>
      </c>
      <c r="L1820" t="s">
        <v>367</v>
      </c>
      <c r="M1820" t="s">
        <v>408</v>
      </c>
      <c r="N1820" t="s">
        <v>11</v>
      </c>
      <c r="O1820" t="s">
        <v>11</v>
      </c>
      <c r="P1820" t="s">
        <v>0</v>
      </c>
      <c r="Q1820" t="s">
        <v>408</v>
      </c>
      <c r="R1820" t="s">
        <v>439</v>
      </c>
      <c r="S1820" t="s">
        <v>451</v>
      </c>
      <c r="T1820" t="s">
        <v>11</v>
      </c>
      <c r="U1820" t="s">
        <v>408</v>
      </c>
    </row>
    <row r="1821" spans="1:21" x14ac:dyDescent="0.25">
      <c r="A1821">
        <v>26234068</v>
      </c>
      <c r="B1821" t="s">
        <v>340</v>
      </c>
      <c r="C1821" t="s">
        <v>15</v>
      </c>
      <c r="D1821" t="s">
        <v>12</v>
      </c>
      <c r="E1821" t="s">
        <v>638</v>
      </c>
      <c r="F1821" t="s">
        <v>577</v>
      </c>
      <c r="G1821" t="s">
        <v>369</v>
      </c>
      <c r="H1821" t="s">
        <v>370</v>
      </c>
      <c r="I1821" t="s">
        <v>721</v>
      </c>
      <c r="J1821" t="s">
        <v>455</v>
      </c>
      <c r="K1821" t="s">
        <v>453</v>
      </c>
      <c r="L1821" t="s">
        <v>367</v>
      </c>
      <c r="M1821" t="s">
        <v>408</v>
      </c>
      <c r="N1821" t="s">
        <v>11</v>
      </c>
      <c r="O1821" t="s">
        <v>11</v>
      </c>
      <c r="P1821" t="s">
        <v>0</v>
      </c>
      <c r="Q1821" t="s">
        <v>408</v>
      </c>
      <c r="R1821" t="s">
        <v>439</v>
      </c>
      <c r="S1821" t="s">
        <v>451</v>
      </c>
      <c r="T1821" t="s">
        <v>11</v>
      </c>
      <c r="U1821" t="s">
        <v>408</v>
      </c>
    </row>
    <row r="1822" spans="1:21" x14ac:dyDescent="0.25">
      <c r="A1822">
        <v>26234070</v>
      </c>
      <c r="B1822" t="s">
        <v>340</v>
      </c>
      <c r="C1822" t="s">
        <v>15</v>
      </c>
      <c r="D1822" t="s">
        <v>12</v>
      </c>
      <c r="E1822" t="s">
        <v>638</v>
      </c>
      <c r="F1822" t="s">
        <v>577</v>
      </c>
      <c r="G1822" t="s">
        <v>369</v>
      </c>
      <c r="H1822" t="s">
        <v>370</v>
      </c>
      <c r="I1822" t="s">
        <v>721</v>
      </c>
      <c r="J1822" t="s">
        <v>455</v>
      </c>
      <c r="K1822" t="s">
        <v>453</v>
      </c>
      <c r="L1822" t="s">
        <v>367</v>
      </c>
      <c r="M1822" t="s">
        <v>408</v>
      </c>
      <c r="N1822" t="s">
        <v>11</v>
      </c>
      <c r="O1822" t="s">
        <v>11</v>
      </c>
      <c r="P1822" t="s">
        <v>0</v>
      </c>
      <c r="Q1822" t="s">
        <v>408</v>
      </c>
      <c r="R1822" t="s">
        <v>439</v>
      </c>
      <c r="S1822" t="s">
        <v>451</v>
      </c>
      <c r="T1822" t="s">
        <v>11</v>
      </c>
      <c r="U1822" t="s">
        <v>408</v>
      </c>
    </row>
    <row r="1823" spans="1:21" x14ac:dyDescent="0.25">
      <c r="A1823">
        <v>26234071</v>
      </c>
      <c r="B1823" t="s">
        <v>340</v>
      </c>
      <c r="C1823" t="s">
        <v>15</v>
      </c>
      <c r="D1823" t="s">
        <v>12</v>
      </c>
      <c r="E1823" t="s">
        <v>759</v>
      </c>
      <c r="F1823" t="s">
        <v>581</v>
      </c>
      <c r="G1823" t="s">
        <v>369</v>
      </c>
      <c r="H1823" t="s">
        <v>370</v>
      </c>
      <c r="I1823" t="s">
        <v>721</v>
      </c>
      <c r="J1823" t="s">
        <v>455</v>
      </c>
      <c r="K1823" t="s">
        <v>453</v>
      </c>
      <c r="L1823" t="s">
        <v>367</v>
      </c>
      <c r="M1823" t="s">
        <v>408</v>
      </c>
      <c r="N1823" t="s">
        <v>11</v>
      </c>
      <c r="O1823" t="s">
        <v>11</v>
      </c>
      <c r="P1823" t="s">
        <v>0</v>
      </c>
      <c r="Q1823" t="s">
        <v>408</v>
      </c>
      <c r="R1823" t="s">
        <v>439</v>
      </c>
      <c r="S1823" t="s">
        <v>451</v>
      </c>
      <c r="T1823" t="s">
        <v>11</v>
      </c>
      <c r="U1823" t="s">
        <v>408</v>
      </c>
    </row>
    <row r="1824" spans="1:21" x14ac:dyDescent="0.25">
      <c r="A1824">
        <v>26234072</v>
      </c>
      <c r="B1824" t="s">
        <v>340</v>
      </c>
      <c r="C1824" t="s">
        <v>15</v>
      </c>
      <c r="D1824" t="s">
        <v>12</v>
      </c>
      <c r="E1824" t="s">
        <v>638</v>
      </c>
      <c r="F1824" t="s">
        <v>577</v>
      </c>
      <c r="G1824" t="s">
        <v>369</v>
      </c>
      <c r="H1824" t="s">
        <v>370</v>
      </c>
      <c r="I1824" t="s">
        <v>721</v>
      </c>
      <c r="J1824" t="s">
        <v>455</v>
      </c>
      <c r="K1824" t="s">
        <v>453</v>
      </c>
      <c r="L1824" t="s">
        <v>367</v>
      </c>
      <c r="M1824" t="s">
        <v>408</v>
      </c>
      <c r="N1824" t="s">
        <v>11</v>
      </c>
      <c r="O1824" t="s">
        <v>11</v>
      </c>
      <c r="P1824" t="s">
        <v>0</v>
      </c>
      <c r="Q1824" t="s">
        <v>408</v>
      </c>
      <c r="R1824" t="s">
        <v>439</v>
      </c>
      <c r="S1824" t="s">
        <v>451</v>
      </c>
      <c r="T1824" t="s">
        <v>11</v>
      </c>
      <c r="U1824" t="s">
        <v>408</v>
      </c>
    </row>
    <row r="1825" spans="1:21" x14ac:dyDescent="0.25">
      <c r="A1825">
        <v>26234073</v>
      </c>
      <c r="B1825" t="s">
        <v>340</v>
      </c>
      <c r="C1825" t="s">
        <v>15</v>
      </c>
      <c r="D1825" t="s">
        <v>18</v>
      </c>
      <c r="E1825" t="s">
        <v>638</v>
      </c>
      <c r="F1825" t="s">
        <v>577</v>
      </c>
      <c r="G1825" t="s">
        <v>369</v>
      </c>
      <c r="H1825" t="s">
        <v>370</v>
      </c>
      <c r="I1825" t="s">
        <v>721</v>
      </c>
      <c r="J1825" t="s">
        <v>455</v>
      </c>
      <c r="K1825" t="s">
        <v>453</v>
      </c>
      <c r="L1825" t="s">
        <v>367</v>
      </c>
      <c r="M1825" t="s">
        <v>408</v>
      </c>
      <c r="N1825" t="s">
        <v>11</v>
      </c>
      <c r="O1825" t="s">
        <v>11</v>
      </c>
      <c r="P1825" t="s">
        <v>0</v>
      </c>
      <c r="Q1825" t="s">
        <v>408</v>
      </c>
      <c r="R1825" t="s">
        <v>439</v>
      </c>
      <c r="S1825" t="s">
        <v>451</v>
      </c>
      <c r="T1825" t="s">
        <v>11</v>
      </c>
      <c r="U1825" t="s">
        <v>408</v>
      </c>
    </row>
    <row r="1826" spans="1:21" x14ac:dyDescent="0.25">
      <c r="A1826">
        <v>26234074</v>
      </c>
      <c r="B1826" t="s">
        <v>340</v>
      </c>
      <c r="C1826" t="s">
        <v>15</v>
      </c>
      <c r="D1826" t="s">
        <v>12</v>
      </c>
      <c r="E1826" t="s">
        <v>638</v>
      </c>
      <c r="F1826" t="s">
        <v>577</v>
      </c>
      <c r="G1826" t="s">
        <v>369</v>
      </c>
      <c r="H1826" t="s">
        <v>370</v>
      </c>
      <c r="I1826" t="s">
        <v>721</v>
      </c>
      <c r="J1826" t="s">
        <v>455</v>
      </c>
      <c r="K1826" t="s">
        <v>453</v>
      </c>
      <c r="L1826" t="s">
        <v>367</v>
      </c>
      <c r="M1826" t="s">
        <v>408</v>
      </c>
      <c r="N1826" t="s">
        <v>11</v>
      </c>
      <c r="O1826" t="s">
        <v>11</v>
      </c>
      <c r="P1826" t="s">
        <v>0</v>
      </c>
      <c r="Q1826" t="s">
        <v>408</v>
      </c>
      <c r="R1826" t="s">
        <v>439</v>
      </c>
      <c r="S1826" t="s">
        <v>451</v>
      </c>
      <c r="T1826" t="s">
        <v>11</v>
      </c>
      <c r="U1826" t="s">
        <v>408</v>
      </c>
    </row>
    <row r="1827" spans="1:21" x14ac:dyDescent="0.25">
      <c r="A1827">
        <v>26234075</v>
      </c>
      <c r="B1827" t="s">
        <v>340</v>
      </c>
      <c r="C1827" t="s">
        <v>15</v>
      </c>
      <c r="D1827" t="s">
        <v>12</v>
      </c>
      <c r="E1827" t="s">
        <v>638</v>
      </c>
      <c r="F1827" t="s">
        <v>577</v>
      </c>
      <c r="G1827" t="s">
        <v>369</v>
      </c>
      <c r="H1827" t="s">
        <v>370</v>
      </c>
      <c r="I1827" t="s">
        <v>721</v>
      </c>
      <c r="J1827" t="s">
        <v>455</v>
      </c>
      <c r="K1827" t="s">
        <v>453</v>
      </c>
      <c r="L1827" t="s">
        <v>367</v>
      </c>
      <c r="M1827" t="s">
        <v>408</v>
      </c>
      <c r="N1827" t="s">
        <v>11</v>
      </c>
      <c r="O1827" t="s">
        <v>11</v>
      </c>
      <c r="P1827" t="s">
        <v>0</v>
      </c>
      <c r="Q1827" t="s">
        <v>408</v>
      </c>
      <c r="R1827" t="s">
        <v>439</v>
      </c>
      <c r="S1827" t="s">
        <v>451</v>
      </c>
      <c r="T1827" t="s">
        <v>11</v>
      </c>
      <c r="U1827" t="s">
        <v>408</v>
      </c>
    </row>
    <row r="1828" spans="1:21" x14ac:dyDescent="0.25">
      <c r="A1828">
        <v>26234076</v>
      </c>
      <c r="B1828" t="s">
        <v>340</v>
      </c>
      <c r="C1828" t="s">
        <v>15</v>
      </c>
      <c r="D1828" t="s">
        <v>12</v>
      </c>
      <c r="E1828" t="s">
        <v>638</v>
      </c>
      <c r="F1828" t="s">
        <v>580</v>
      </c>
      <c r="G1828" t="s">
        <v>369</v>
      </c>
      <c r="H1828" t="s">
        <v>370</v>
      </c>
      <c r="I1828" t="s">
        <v>721</v>
      </c>
      <c r="J1828" t="s">
        <v>455</v>
      </c>
      <c r="K1828" t="s">
        <v>453</v>
      </c>
      <c r="L1828" t="s">
        <v>367</v>
      </c>
      <c r="M1828" t="s">
        <v>408</v>
      </c>
      <c r="N1828" t="s">
        <v>11</v>
      </c>
      <c r="O1828" t="s">
        <v>11</v>
      </c>
      <c r="P1828" t="s">
        <v>0</v>
      </c>
      <c r="Q1828" t="s">
        <v>408</v>
      </c>
      <c r="R1828" t="s">
        <v>439</v>
      </c>
      <c r="S1828" t="s">
        <v>451</v>
      </c>
      <c r="T1828" t="s">
        <v>11</v>
      </c>
      <c r="U1828" t="s">
        <v>408</v>
      </c>
    </row>
    <row r="1829" spans="1:21" x14ac:dyDescent="0.25">
      <c r="A1829">
        <v>26234077</v>
      </c>
      <c r="B1829" t="s">
        <v>340</v>
      </c>
      <c r="C1829" t="s">
        <v>15</v>
      </c>
      <c r="D1829" t="s">
        <v>12</v>
      </c>
      <c r="E1829" t="s">
        <v>759</v>
      </c>
      <c r="F1829" t="s">
        <v>579</v>
      </c>
      <c r="G1829" t="s">
        <v>369</v>
      </c>
      <c r="H1829" t="s">
        <v>370</v>
      </c>
      <c r="I1829" t="s">
        <v>721</v>
      </c>
      <c r="J1829" t="s">
        <v>455</v>
      </c>
      <c r="K1829" t="s">
        <v>453</v>
      </c>
      <c r="L1829" t="s">
        <v>367</v>
      </c>
      <c r="M1829" t="s">
        <v>408</v>
      </c>
      <c r="N1829" t="s">
        <v>11</v>
      </c>
      <c r="O1829" t="s">
        <v>11</v>
      </c>
      <c r="P1829" t="s">
        <v>0</v>
      </c>
      <c r="Q1829" t="s">
        <v>408</v>
      </c>
      <c r="R1829" t="s">
        <v>439</v>
      </c>
      <c r="S1829" t="s">
        <v>451</v>
      </c>
      <c r="T1829" t="s">
        <v>11</v>
      </c>
      <c r="U1829" t="s">
        <v>408</v>
      </c>
    </row>
    <row r="1830" spans="1:21" x14ac:dyDescent="0.25">
      <c r="A1830">
        <v>26234078</v>
      </c>
      <c r="B1830" t="s">
        <v>340</v>
      </c>
      <c r="C1830" t="s">
        <v>15</v>
      </c>
      <c r="D1830" t="s">
        <v>12</v>
      </c>
      <c r="E1830" t="s">
        <v>638</v>
      </c>
      <c r="F1830" t="s">
        <v>577</v>
      </c>
      <c r="G1830" t="s">
        <v>369</v>
      </c>
      <c r="H1830" t="s">
        <v>370</v>
      </c>
      <c r="I1830" t="s">
        <v>721</v>
      </c>
      <c r="J1830" t="s">
        <v>455</v>
      </c>
      <c r="K1830" t="s">
        <v>453</v>
      </c>
      <c r="L1830" t="s">
        <v>367</v>
      </c>
      <c r="M1830" t="s">
        <v>408</v>
      </c>
      <c r="N1830" t="s">
        <v>11</v>
      </c>
      <c r="O1830" t="s">
        <v>11</v>
      </c>
      <c r="P1830" t="s">
        <v>0</v>
      </c>
      <c r="Q1830" t="s">
        <v>408</v>
      </c>
      <c r="R1830" t="s">
        <v>439</v>
      </c>
      <c r="S1830" t="s">
        <v>451</v>
      </c>
      <c r="T1830" t="s">
        <v>11</v>
      </c>
      <c r="U1830" t="s">
        <v>408</v>
      </c>
    </row>
    <row r="1831" spans="1:21" x14ac:dyDescent="0.25">
      <c r="A1831">
        <v>26234079</v>
      </c>
      <c r="B1831" t="s">
        <v>340</v>
      </c>
      <c r="C1831" t="s">
        <v>15</v>
      </c>
      <c r="D1831" t="s">
        <v>12</v>
      </c>
      <c r="E1831" t="s">
        <v>638</v>
      </c>
      <c r="F1831" t="s">
        <v>577</v>
      </c>
      <c r="G1831" t="s">
        <v>369</v>
      </c>
      <c r="H1831" t="s">
        <v>370</v>
      </c>
      <c r="I1831" t="s">
        <v>721</v>
      </c>
      <c r="J1831" t="s">
        <v>455</v>
      </c>
      <c r="K1831" t="s">
        <v>453</v>
      </c>
      <c r="L1831" t="s">
        <v>367</v>
      </c>
      <c r="M1831" t="s">
        <v>408</v>
      </c>
      <c r="N1831" t="s">
        <v>11</v>
      </c>
      <c r="O1831" t="s">
        <v>11</v>
      </c>
      <c r="P1831" t="s">
        <v>0</v>
      </c>
      <c r="Q1831" t="s">
        <v>408</v>
      </c>
      <c r="R1831" t="s">
        <v>439</v>
      </c>
      <c r="S1831" t="s">
        <v>451</v>
      </c>
      <c r="T1831" t="s">
        <v>11</v>
      </c>
      <c r="U1831" t="s">
        <v>408</v>
      </c>
    </row>
    <row r="1832" spans="1:21" x14ac:dyDescent="0.25">
      <c r="A1832">
        <v>26234081</v>
      </c>
      <c r="B1832" t="s">
        <v>340</v>
      </c>
      <c r="C1832" t="s">
        <v>15</v>
      </c>
      <c r="D1832" t="s">
        <v>18</v>
      </c>
      <c r="E1832" t="s">
        <v>638</v>
      </c>
      <c r="F1832" t="s">
        <v>577</v>
      </c>
      <c r="G1832" t="s">
        <v>369</v>
      </c>
      <c r="H1832" t="s">
        <v>0</v>
      </c>
      <c r="I1832" t="s">
        <v>436</v>
      </c>
      <c r="J1832" t="s">
        <v>437</v>
      </c>
      <c r="K1832" t="s">
        <v>438</v>
      </c>
      <c r="L1832" t="s">
        <v>345</v>
      </c>
      <c r="M1832" t="s">
        <v>408</v>
      </c>
      <c r="N1832" t="s">
        <v>11</v>
      </c>
      <c r="O1832" t="s">
        <v>11</v>
      </c>
      <c r="P1832" t="s">
        <v>0</v>
      </c>
      <c r="Q1832" t="s">
        <v>408</v>
      </c>
      <c r="R1832" t="s">
        <v>439</v>
      </c>
      <c r="S1832" t="s">
        <v>440</v>
      </c>
      <c r="T1832" t="s">
        <v>11</v>
      </c>
      <c r="U1832" t="s">
        <v>408</v>
      </c>
    </row>
    <row r="1833" spans="1:21" x14ac:dyDescent="0.25">
      <c r="A1833">
        <v>26234085</v>
      </c>
      <c r="B1833" t="s">
        <v>340</v>
      </c>
      <c r="C1833" t="s">
        <v>15</v>
      </c>
      <c r="D1833" t="s">
        <v>12</v>
      </c>
      <c r="E1833" t="s">
        <v>758</v>
      </c>
      <c r="F1833" t="s">
        <v>578</v>
      </c>
      <c r="G1833" t="s">
        <v>369</v>
      </c>
      <c r="H1833" t="s">
        <v>370</v>
      </c>
      <c r="I1833" t="s">
        <v>721</v>
      </c>
      <c r="J1833" t="s">
        <v>455</v>
      </c>
      <c r="K1833" t="s">
        <v>453</v>
      </c>
      <c r="L1833" t="s">
        <v>367</v>
      </c>
      <c r="M1833" t="s">
        <v>408</v>
      </c>
      <c r="N1833" t="s">
        <v>11</v>
      </c>
      <c r="O1833" t="s">
        <v>11</v>
      </c>
      <c r="P1833" t="s">
        <v>0</v>
      </c>
      <c r="Q1833" t="s">
        <v>408</v>
      </c>
      <c r="R1833" t="s">
        <v>439</v>
      </c>
      <c r="S1833" t="s">
        <v>451</v>
      </c>
      <c r="T1833" t="s">
        <v>11</v>
      </c>
      <c r="U1833" t="s">
        <v>408</v>
      </c>
    </row>
    <row r="1834" spans="1:21" x14ac:dyDescent="0.25">
      <c r="A1834">
        <v>26234087</v>
      </c>
      <c r="B1834" t="s">
        <v>340</v>
      </c>
      <c r="C1834" t="s">
        <v>15</v>
      </c>
      <c r="D1834" t="s">
        <v>12</v>
      </c>
      <c r="E1834" t="s">
        <v>638</v>
      </c>
      <c r="F1834" t="s">
        <v>577</v>
      </c>
      <c r="G1834" t="s">
        <v>369</v>
      </c>
      <c r="H1834" t="s">
        <v>370</v>
      </c>
      <c r="I1834" t="s">
        <v>721</v>
      </c>
      <c r="J1834" t="s">
        <v>455</v>
      </c>
      <c r="K1834" t="s">
        <v>453</v>
      </c>
      <c r="L1834" t="s">
        <v>367</v>
      </c>
      <c r="M1834" t="s">
        <v>408</v>
      </c>
      <c r="N1834" t="s">
        <v>11</v>
      </c>
      <c r="O1834" t="s">
        <v>11</v>
      </c>
      <c r="P1834" t="s">
        <v>0</v>
      </c>
      <c r="Q1834" t="s">
        <v>408</v>
      </c>
      <c r="R1834" t="s">
        <v>439</v>
      </c>
      <c r="S1834" t="s">
        <v>451</v>
      </c>
      <c r="T1834" t="s">
        <v>11</v>
      </c>
      <c r="U1834" t="s">
        <v>408</v>
      </c>
    </row>
    <row r="1835" spans="1:21" x14ac:dyDescent="0.25">
      <c r="A1835">
        <v>26234091</v>
      </c>
      <c r="B1835" t="s">
        <v>340</v>
      </c>
      <c r="C1835" t="s">
        <v>15</v>
      </c>
      <c r="D1835" t="s">
        <v>18</v>
      </c>
      <c r="E1835" t="s">
        <v>758</v>
      </c>
      <c r="F1835" t="s">
        <v>578</v>
      </c>
      <c r="G1835" t="s">
        <v>369</v>
      </c>
      <c r="H1835" t="s">
        <v>370</v>
      </c>
      <c r="I1835" t="s">
        <v>721</v>
      </c>
      <c r="J1835" t="s">
        <v>455</v>
      </c>
      <c r="K1835" t="s">
        <v>453</v>
      </c>
      <c r="L1835" t="s">
        <v>367</v>
      </c>
      <c r="M1835" t="s">
        <v>408</v>
      </c>
      <c r="N1835" t="s">
        <v>11</v>
      </c>
      <c r="O1835" t="s">
        <v>11</v>
      </c>
      <c r="P1835" t="s">
        <v>0</v>
      </c>
      <c r="Q1835" t="s">
        <v>408</v>
      </c>
      <c r="R1835" t="s">
        <v>439</v>
      </c>
      <c r="S1835" t="s">
        <v>451</v>
      </c>
      <c r="T1835" t="s">
        <v>11</v>
      </c>
      <c r="U1835" t="s">
        <v>408</v>
      </c>
    </row>
    <row r="1836" spans="1:21" x14ac:dyDescent="0.25">
      <c r="A1836">
        <v>26234092</v>
      </c>
      <c r="B1836" t="s">
        <v>340</v>
      </c>
      <c r="C1836" t="s">
        <v>15</v>
      </c>
      <c r="D1836" t="s">
        <v>12</v>
      </c>
      <c r="E1836" t="s">
        <v>638</v>
      </c>
      <c r="F1836" t="s">
        <v>577</v>
      </c>
      <c r="G1836" t="s">
        <v>369</v>
      </c>
      <c r="H1836" t="s">
        <v>370</v>
      </c>
      <c r="I1836" t="s">
        <v>721</v>
      </c>
      <c r="J1836" t="s">
        <v>455</v>
      </c>
      <c r="K1836" t="s">
        <v>453</v>
      </c>
      <c r="L1836" t="s">
        <v>367</v>
      </c>
      <c r="M1836" t="s">
        <v>408</v>
      </c>
      <c r="N1836" t="s">
        <v>11</v>
      </c>
      <c r="O1836" t="s">
        <v>11</v>
      </c>
      <c r="P1836" t="s">
        <v>0</v>
      </c>
      <c r="Q1836" t="s">
        <v>408</v>
      </c>
      <c r="R1836" t="s">
        <v>439</v>
      </c>
      <c r="S1836" t="s">
        <v>451</v>
      </c>
      <c r="T1836" t="s">
        <v>11</v>
      </c>
      <c r="U1836" t="s">
        <v>408</v>
      </c>
    </row>
    <row r="1837" spans="1:21" x14ac:dyDescent="0.25">
      <c r="A1837">
        <v>26234094</v>
      </c>
      <c r="B1837" t="s">
        <v>340</v>
      </c>
      <c r="C1837" t="s">
        <v>15</v>
      </c>
      <c r="D1837" t="s">
        <v>12</v>
      </c>
      <c r="E1837" t="s">
        <v>637</v>
      </c>
      <c r="F1837" t="s">
        <v>576</v>
      </c>
      <c r="G1837" t="s">
        <v>369</v>
      </c>
      <c r="H1837" t="s">
        <v>370</v>
      </c>
      <c r="I1837" t="s">
        <v>721</v>
      </c>
      <c r="J1837" t="s">
        <v>455</v>
      </c>
      <c r="K1837" t="s">
        <v>453</v>
      </c>
      <c r="L1837" t="s">
        <v>367</v>
      </c>
      <c r="M1837" t="s">
        <v>408</v>
      </c>
      <c r="N1837" t="s">
        <v>11</v>
      </c>
      <c r="O1837" t="s">
        <v>11</v>
      </c>
      <c r="P1837" t="s">
        <v>0</v>
      </c>
      <c r="Q1837" t="s">
        <v>408</v>
      </c>
      <c r="R1837" t="s">
        <v>439</v>
      </c>
      <c r="S1837" t="s">
        <v>451</v>
      </c>
      <c r="T1837" t="s">
        <v>11</v>
      </c>
      <c r="U1837" t="s">
        <v>408</v>
      </c>
    </row>
    <row r="1838" spans="1:21" x14ac:dyDescent="0.25">
      <c r="A1838">
        <v>18943034</v>
      </c>
      <c r="B1838" t="s">
        <v>340</v>
      </c>
      <c r="C1838" t="s">
        <v>86</v>
      </c>
      <c r="D1838" t="s">
        <v>79</v>
      </c>
      <c r="E1838" t="s">
        <v>623</v>
      </c>
      <c r="F1838" t="s">
        <v>760</v>
      </c>
      <c r="G1838" t="s">
        <v>468</v>
      </c>
      <c r="H1838" t="s">
        <v>715</v>
      </c>
      <c r="I1838" t="s">
        <v>716</v>
      </c>
      <c r="J1838" t="s">
        <v>717</v>
      </c>
      <c r="K1838" t="s">
        <v>438</v>
      </c>
      <c r="L1838" t="s">
        <v>6</v>
      </c>
      <c r="M1838" t="s">
        <v>408</v>
      </c>
      <c r="N1838" t="s">
        <v>11</v>
      </c>
      <c r="O1838" t="s">
        <v>11</v>
      </c>
      <c r="P1838" t="s">
        <v>2</v>
      </c>
      <c r="Q1838" t="s">
        <v>408</v>
      </c>
      <c r="R1838" t="s">
        <v>439</v>
      </c>
      <c r="S1838" t="s">
        <v>440</v>
      </c>
      <c r="T1838" t="s">
        <v>11</v>
      </c>
      <c r="U1838" t="s">
        <v>408</v>
      </c>
    </row>
    <row r="1839" spans="1:21" x14ac:dyDescent="0.25">
      <c r="A1839">
        <v>19050242</v>
      </c>
      <c r="B1839" t="s">
        <v>340</v>
      </c>
      <c r="C1839" t="s">
        <v>26</v>
      </c>
      <c r="D1839" t="s">
        <v>12</v>
      </c>
      <c r="E1839" t="s">
        <v>724</v>
      </c>
      <c r="F1839" t="s">
        <v>36</v>
      </c>
      <c r="G1839" t="s">
        <v>468</v>
      </c>
      <c r="H1839" t="s">
        <v>761</v>
      </c>
      <c r="I1839" t="s">
        <v>762</v>
      </c>
      <c r="J1839" t="s">
        <v>763</v>
      </c>
      <c r="K1839" t="s">
        <v>764</v>
      </c>
      <c r="L1839" t="s">
        <v>375</v>
      </c>
      <c r="M1839" t="s">
        <v>408</v>
      </c>
      <c r="N1839" t="s">
        <v>11</v>
      </c>
      <c r="O1839" t="s">
        <v>11</v>
      </c>
      <c r="P1839" t="s">
        <v>2</v>
      </c>
      <c r="Q1839" t="s">
        <v>408</v>
      </c>
      <c r="R1839" t="s">
        <v>439</v>
      </c>
      <c r="S1839" t="s">
        <v>440</v>
      </c>
      <c r="T1839" t="s">
        <v>11</v>
      </c>
      <c r="U1839" t="s">
        <v>408</v>
      </c>
    </row>
    <row r="1840" spans="1:21" x14ac:dyDescent="0.25">
      <c r="A1840">
        <v>19050373</v>
      </c>
      <c r="B1840" t="s">
        <v>342</v>
      </c>
      <c r="C1840" t="s">
        <v>89</v>
      </c>
      <c r="D1840" t="s">
        <v>12</v>
      </c>
      <c r="E1840" t="s">
        <v>621</v>
      </c>
      <c r="F1840" t="s">
        <v>195</v>
      </c>
      <c r="G1840" t="s">
        <v>468</v>
      </c>
      <c r="H1840" t="s">
        <v>765</v>
      </c>
      <c r="I1840" t="s">
        <v>766</v>
      </c>
      <c r="J1840" t="s">
        <v>767</v>
      </c>
      <c r="K1840" t="s">
        <v>444</v>
      </c>
      <c r="L1840" t="s">
        <v>675</v>
      </c>
      <c r="M1840" t="s">
        <v>408</v>
      </c>
      <c r="N1840" t="s">
        <v>11</v>
      </c>
      <c r="O1840" t="s">
        <v>11</v>
      </c>
      <c r="P1840" t="s">
        <v>2</v>
      </c>
      <c r="Q1840" t="s">
        <v>408</v>
      </c>
      <c r="R1840" t="s">
        <v>439</v>
      </c>
      <c r="S1840" t="s">
        <v>451</v>
      </c>
      <c r="T1840" t="s">
        <v>11</v>
      </c>
      <c r="U1840" t="s">
        <v>408</v>
      </c>
    </row>
    <row r="1841" spans="1:21" x14ac:dyDescent="0.25">
      <c r="A1841">
        <v>19050374</v>
      </c>
      <c r="B1841" t="s">
        <v>340</v>
      </c>
      <c r="C1841" t="s">
        <v>26</v>
      </c>
      <c r="D1841" t="s">
        <v>18</v>
      </c>
      <c r="E1841" t="s">
        <v>621</v>
      </c>
      <c r="F1841" t="s">
        <v>195</v>
      </c>
      <c r="G1841" t="s">
        <v>468</v>
      </c>
      <c r="H1841" t="s">
        <v>617</v>
      </c>
      <c r="I1841" t="s">
        <v>618</v>
      </c>
      <c r="J1841" t="s">
        <v>619</v>
      </c>
      <c r="K1841" t="s">
        <v>606</v>
      </c>
      <c r="L1841" t="s">
        <v>2</v>
      </c>
      <c r="M1841" t="s">
        <v>408</v>
      </c>
      <c r="N1841" t="s">
        <v>11</v>
      </c>
      <c r="O1841" t="s">
        <v>11</v>
      </c>
      <c r="P1841" t="s">
        <v>2</v>
      </c>
      <c r="Q1841" t="s">
        <v>408</v>
      </c>
      <c r="R1841" t="s">
        <v>439</v>
      </c>
      <c r="S1841" t="s">
        <v>451</v>
      </c>
      <c r="T1841" t="s">
        <v>11</v>
      </c>
      <c r="U1841" t="s">
        <v>408</v>
      </c>
    </row>
    <row r="1842" spans="1:21" x14ac:dyDescent="0.25">
      <c r="A1842">
        <v>19050375</v>
      </c>
      <c r="B1842" t="s">
        <v>340</v>
      </c>
      <c r="C1842" t="s">
        <v>26</v>
      </c>
      <c r="D1842" t="s">
        <v>79</v>
      </c>
      <c r="E1842" t="s">
        <v>621</v>
      </c>
      <c r="F1842" t="s">
        <v>195</v>
      </c>
      <c r="G1842" t="s">
        <v>468</v>
      </c>
      <c r="H1842" t="s">
        <v>2</v>
      </c>
      <c r="I1842" t="s">
        <v>436</v>
      </c>
      <c r="J1842" t="s">
        <v>443</v>
      </c>
      <c r="K1842" t="s">
        <v>444</v>
      </c>
      <c r="L1842" t="s">
        <v>3</v>
      </c>
      <c r="M1842" t="s">
        <v>408</v>
      </c>
      <c r="N1842" t="s">
        <v>11</v>
      </c>
      <c r="O1842" t="s">
        <v>11</v>
      </c>
      <c r="P1842" t="s">
        <v>2</v>
      </c>
      <c r="Q1842" t="s">
        <v>408</v>
      </c>
      <c r="R1842" t="s">
        <v>439</v>
      </c>
      <c r="S1842" t="s">
        <v>440</v>
      </c>
      <c r="T1842" t="s">
        <v>11</v>
      </c>
      <c r="U1842" t="s">
        <v>408</v>
      </c>
    </row>
    <row r="1843" spans="1:21" x14ac:dyDescent="0.25">
      <c r="A1843">
        <v>19050376</v>
      </c>
      <c r="B1843" t="s">
        <v>342</v>
      </c>
      <c r="C1843" t="s">
        <v>89</v>
      </c>
      <c r="D1843" t="s">
        <v>12</v>
      </c>
      <c r="E1843" t="s">
        <v>621</v>
      </c>
      <c r="F1843" t="s">
        <v>195</v>
      </c>
      <c r="G1843" t="s">
        <v>468</v>
      </c>
      <c r="H1843" t="s">
        <v>765</v>
      </c>
      <c r="I1843" t="s">
        <v>766</v>
      </c>
      <c r="J1843" t="s">
        <v>767</v>
      </c>
      <c r="K1843" t="s">
        <v>444</v>
      </c>
      <c r="L1843" t="s">
        <v>675</v>
      </c>
      <c r="M1843" t="s">
        <v>408</v>
      </c>
      <c r="N1843" t="s">
        <v>11</v>
      </c>
      <c r="O1843" t="s">
        <v>11</v>
      </c>
      <c r="P1843" t="s">
        <v>2</v>
      </c>
      <c r="Q1843" t="s">
        <v>408</v>
      </c>
      <c r="R1843" t="s">
        <v>439</v>
      </c>
      <c r="S1843" t="s">
        <v>451</v>
      </c>
      <c r="T1843" t="s">
        <v>11</v>
      </c>
      <c r="U1843" t="s">
        <v>408</v>
      </c>
    </row>
    <row r="1844" spans="1:21" x14ac:dyDescent="0.25">
      <c r="A1844">
        <v>19050377</v>
      </c>
      <c r="B1844" t="s">
        <v>342</v>
      </c>
      <c r="C1844" t="s">
        <v>89</v>
      </c>
      <c r="D1844" t="s">
        <v>12</v>
      </c>
      <c r="E1844" t="s">
        <v>621</v>
      </c>
      <c r="F1844" t="s">
        <v>318</v>
      </c>
      <c r="G1844" t="s">
        <v>468</v>
      </c>
      <c r="H1844" t="s">
        <v>617</v>
      </c>
      <c r="I1844" t="s">
        <v>618</v>
      </c>
      <c r="J1844" t="s">
        <v>619</v>
      </c>
      <c r="K1844" t="s">
        <v>606</v>
      </c>
      <c r="L1844" t="s">
        <v>768</v>
      </c>
      <c r="M1844" t="s">
        <v>408</v>
      </c>
      <c r="N1844" t="s">
        <v>11</v>
      </c>
      <c r="O1844" t="s">
        <v>11</v>
      </c>
      <c r="P1844" t="s">
        <v>2</v>
      </c>
      <c r="Q1844" t="s">
        <v>408</v>
      </c>
      <c r="R1844" t="s">
        <v>439</v>
      </c>
      <c r="S1844" t="s">
        <v>451</v>
      </c>
      <c r="T1844" t="s">
        <v>11</v>
      </c>
      <c r="U1844" t="s">
        <v>408</v>
      </c>
    </row>
    <row r="1845" spans="1:21" x14ac:dyDescent="0.25">
      <c r="A1845">
        <v>19050378</v>
      </c>
      <c r="B1845" t="s">
        <v>342</v>
      </c>
      <c r="C1845" t="s">
        <v>89</v>
      </c>
      <c r="D1845" t="s">
        <v>18</v>
      </c>
      <c r="E1845" t="s">
        <v>621</v>
      </c>
      <c r="F1845" t="s">
        <v>195</v>
      </c>
      <c r="G1845" t="s">
        <v>468</v>
      </c>
      <c r="H1845" t="s">
        <v>765</v>
      </c>
      <c r="I1845" t="s">
        <v>766</v>
      </c>
      <c r="J1845" t="s">
        <v>767</v>
      </c>
      <c r="K1845" t="s">
        <v>444</v>
      </c>
      <c r="L1845" t="s">
        <v>675</v>
      </c>
      <c r="M1845" t="s">
        <v>408</v>
      </c>
      <c r="N1845" t="s">
        <v>11</v>
      </c>
      <c r="O1845" t="s">
        <v>11</v>
      </c>
      <c r="P1845" t="s">
        <v>2</v>
      </c>
      <c r="Q1845" t="s">
        <v>408</v>
      </c>
      <c r="R1845" t="s">
        <v>439</v>
      </c>
      <c r="S1845" t="s">
        <v>451</v>
      </c>
      <c r="T1845" t="s">
        <v>11</v>
      </c>
      <c r="U1845" t="s">
        <v>408</v>
      </c>
    </row>
    <row r="1846" spans="1:21" x14ac:dyDescent="0.25">
      <c r="A1846">
        <v>19050379</v>
      </c>
      <c r="B1846" t="s">
        <v>342</v>
      </c>
      <c r="C1846" t="s">
        <v>89</v>
      </c>
      <c r="D1846" t="s">
        <v>12</v>
      </c>
      <c r="E1846" t="s">
        <v>621</v>
      </c>
      <c r="F1846" t="s">
        <v>769</v>
      </c>
      <c r="G1846" t="s">
        <v>468</v>
      </c>
      <c r="H1846" t="s">
        <v>765</v>
      </c>
      <c r="I1846" t="s">
        <v>766</v>
      </c>
      <c r="J1846" t="s">
        <v>767</v>
      </c>
      <c r="K1846" t="s">
        <v>444</v>
      </c>
      <c r="L1846" t="s">
        <v>675</v>
      </c>
      <c r="M1846" t="s">
        <v>408</v>
      </c>
      <c r="N1846" t="s">
        <v>11</v>
      </c>
      <c r="O1846" t="s">
        <v>11</v>
      </c>
      <c r="P1846" t="s">
        <v>2</v>
      </c>
      <c r="Q1846" t="s">
        <v>408</v>
      </c>
      <c r="R1846" t="s">
        <v>439</v>
      </c>
      <c r="S1846" t="s">
        <v>451</v>
      </c>
      <c r="T1846" t="s">
        <v>11</v>
      </c>
      <c r="U1846" t="s">
        <v>408</v>
      </c>
    </row>
    <row r="1847" spans="1:21" x14ac:dyDescent="0.25">
      <c r="A1847">
        <v>19050380</v>
      </c>
      <c r="B1847" t="s">
        <v>340</v>
      </c>
      <c r="C1847" t="s">
        <v>26</v>
      </c>
      <c r="D1847" t="s">
        <v>18</v>
      </c>
      <c r="E1847" t="s">
        <v>621</v>
      </c>
      <c r="F1847" t="s">
        <v>769</v>
      </c>
      <c r="G1847" t="s">
        <v>468</v>
      </c>
      <c r="H1847" t="s">
        <v>447</v>
      </c>
      <c r="I1847" t="s">
        <v>448</v>
      </c>
      <c r="J1847" t="s">
        <v>449</v>
      </c>
      <c r="K1847" t="s">
        <v>450</v>
      </c>
      <c r="L1847" t="s">
        <v>367</v>
      </c>
      <c r="M1847" t="s">
        <v>408</v>
      </c>
      <c r="N1847" t="s">
        <v>11</v>
      </c>
      <c r="O1847" t="s">
        <v>11</v>
      </c>
      <c r="P1847" t="s">
        <v>2</v>
      </c>
      <c r="Q1847" t="s">
        <v>408</v>
      </c>
      <c r="R1847" t="s">
        <v>439</v>
      </c>
      <c r="S1847" t="s">
        <v>451</v>
      </c>
      <c r="T1847" t="s">
        <v>11</v>
      </c>
      <c r="U1847" t="s">
        <v>408</v>
      </c>
    </row>
    <row r="1848" spans="1:21" x14ac:dyDescent="0.25">
      <c r="A1848">
        <v>19050381</v>
      </c>
      <c r="B1848" t="s">
        <v>340</v>
      </c>
      <c r="C1848" t="s">
        <v>86</v>
      </c>
      <c r="D1848" t="s">
        <v>18</v>
      </c>
      <c r="E1848" t="s">
        <v>621</v>
      </c>
      <c r="F1848" t="s">
        <v>770</v>
      </c>
      <c r="G1848" t="s">
        <v>468</v>
      </c>
      <c r="H1848" t="s">
        <v>617</v>
      </c>
      <c r="I1848" t="s">
        <v>618</v>
      </c>
      <c r="J1848" t="s">
        <v>619</v>
      </c>
      <c r="K1848" t="s">
        <v>606</v>
      </c>
      <c r="L1848" t="s">
        <v>2</v>
      </c>
      <c r="M1848" t="s">
        <v>408</v>
      </c>
      <c r="N1848" t="s">
        <v>11</v>
      </c>
      <c r="O1848" t="s">
        <v>11</v>
      </c>
      <c r="P1848" t="s">
        <v>2</v>
      </c>
      <c r="Q1848" t="s">
        <v>408</v>
      </c>
      <c r="R1848" t="s">
        <v>439</v>
      </c>
      <c r="S1848" t="s">
        <v>451</v>
      </c>
      <c r="T1848" t="s">
        <v>11</v>
      </c>
      <c r="U1848" t="s">
        <v>408</v>
      </c>
    </row>
    <row r="1849" spans="1:21" x14ac:dyDescent="0.25">
      <c r="A1849">
        <v>19050382</v>
      </c>
      <c r="B1849" t="s">
        <v>342</v>
      </c>
      <c r="C1849" t="s">
        <v>89</v>
      </c>
      <c r="D1849" t="s">
        <v>12</v>
      </c>
      <c r="E1849" t="s">
        <v>621</v>
      </c>
      <c r="F1849" t="s">
        <v>195</v>
      </c>
      <c r="G1849" t="s">
        <v>468</v>
      </c>
      <c r="H1849" t="s">
        <v>765</v>
      </c>
      <c r="I1849" t="s">
        <v>766</v>
      </c>
      <c r="J1849" t="s">
        <v>767</v>
      </c>
      <c r="K1849" t="s">
        <v>444</v>
      </c>
      <c r="L1849" t="s">
        <v>675</v>
      </c>
      <c r="M1849" t="s">
        <v>408</v>
      </c>
      <c r="N1849" t="s">
        <v>11</v>
      </c>
      <c r="O1849" t="s">
        <v>11</v>
      </c>
      <c r="P1849" t="s">
        <v>2</v>
      </c>
      <c r="Q1849" t="s">
        <v>408</v>
      </c>
      <c r="R1849" t="s">
        <v>439</v>
      </c>
      <c r="S1849" t="s">
        <v>451</v>
      </c>
      <c r="T1849" t="s">
        <v>11</v>
      </c>
      <c r="U1849" t="s">
        <v>408</v>
      </c>
    </row>
    <row r="1850" spans="1:21" x14ac:dyDescent="0.25">
      <c r="A1850">
        <v>19050371</v>
      </c>
      <c r="B1850" t="s">
        <v>340</v>
      </c>
      <c r="C1850" t="s">
        <v>26</v>
      </c>
      <c r="D1850" t="s">
        <v>12</v>
      </c>
      <c r="E1850" t="s">
        <v>711</v>
      </c>
      <c r="F1850" t="s">
        <v>771</v>
      </c>
      <c r="G1850" t="s">
        <v>468</v>
      </c>
      <c r="H1850" t="s">
        <v>617</v>
      </c>
      <c r="I1850" t="s">
        <v>618</v>
      </c>
      <c r="J1850" t="s">
        <v>619</v>
      </c>
      <c r="K1850" t="s">
        <v>606</v>
      </c>
      <c r="L1850" t="s">
        <v>3</v>
      </c>
      <c r="M1850" t="s">
        <v>408</v>
      </c>
      <c r="N1850" t="s">
        <v>408</v>
      </c>
      <c r="O1850" t="s">
        <v>11</v>
      </c>
      <c r="P1850" t="s">
        <v>2</v>
      </c>
      <c r="Q1850" t="s">
        <v>408</v>
      </c>
      <c r="R1850" t="s">
        <v>439</v>
      </c>
      <c r="S1850" t="s">
        <v>451</v>
      </c>
      <c r="T1850" t="s">
        <v>408</v>
      </c>
      <c r="U1850" t="s">
        <v>408</v>
      </c>
    </row>
    <row r="1851" spans="1:21" x14ac:dyDescent="0.25">
      <c r="A1851">
        <v>16390401</v>
      </c>
      <c r="B1851" t="s">
        <v>342</v>
      </c>
      <c r="C1851" t="s">
        <v>89</v>
      </c>
      <c r="D1851" t="s">
        <v>12</v>
      </c>
      <c r="E1851" t="s">
        <v>739</v>
      </c>
      <c r="F1851" t="s">
        <v>106</v>
      </c>
      <c r="G1851" t="s">
        <v>468</v>
      </c>
      <c r="H1851" t="s">
        <v>765</v>
      </c>
      <c r="I1851" t="s">
        <v>766</v>
      </c>
      <c r="J1851" t="s">
        <v>767</v>
      </c>
      <c r="K1851" t="s">
        <v>444</v>
      </c>
      <c r="L1851" t="s">
        <v>772</v>
      </c>
      <c r="M1851" t="s">
        <v>11</v>
      </c>
      <c r="N1851" t="s">
        <v>11</v>
      </c>
      <c r="O1851" t="s">
        <v>11</v>
      </c>
      <c r="P1851" t="s">
        <v>2</v>
      </c>
      <c r="Q1851" t="s">
        <v>408</v>
      </c>
      <c r="R1851" t="s">
        <v>439</v>
      </c>
      <c r="S1851" t="s">
        <v>451</v>
      </c>
      <c r="T1851" t="s">
        <v>408</v>
      </c>
      <c r="U1851" t="s">
        <v>408</v>
      </c>
    </row>
    <row r="1852" spans="1:21" x14ac:dyDescent="0.25">
      <c r="A1852">
        <v>16390402</v>
      </c>
      <c r="B1852" t="s">
        <v>342</v>
      </c>
      <c r="C1852" t="s">
        <v>89</v>
      </c>
      <c r="D1852" t="s">
        <v>18</v>
      </c>
      <c r="E1852" t="s">
        <v>513</v>
      </c>
      <c r="F1852" t="s">
        <v>594</v>
      </c>
      <c r="G1852" t="s">
        <v>468</v>
      </c>
      <c r="H1852" t="s">
        <v>765</v>
      </c>
      <c r="I1852" t="s">
        <v>766</v>
      </c>
      <c r="J1852" t="s">
        <v>767</v>
      </c>
      <c r="K1852" t="s">
        <v>444</v>
      </c>
      <c r="L1852" t="s">
        <v>675</v>
      </c>
      <c r="M1852" t="s">
        <v>408</v>
      </c>
      <c r="N1852" t="s">
        <v>11</v>
      </c>
      <c r="O1852" t="s">
        <v>11</v>
      </c>
      <c r="P1852" t="s">
        <v>2</v>
      </c>
      <c r="Q1852" t="s">
        <v>408</v>
      </c>
      <c r="R1852" t="s">
        <v>439</v>
      </c>
      <c r="S1852" t="s">
        <v>451</v>
      </c>
      <c r="T1852" t="s">
        <v>11</v>
      </c>
      <c r="U1852" t="s">
        <v>408</v>
      </c>
    </row>
    <row r="1853" spans="1:21" x14ac:dyDescent="0.25">
      <c r="A1853">
        <v>16390403</v>
      </c>
      <c r="B1853" t="s">
        <v>342</v>
      </c>
      <c r="C1853" t="s">
        <v>89</v>
      </c>
      <c r="D1853" t="s">
        <v>12</v>
      </c>
      <c r="E1853" t="s">
        <v>739</v>
      </c>
      <c r="F1853" t="s">
        <v>106</v>
      </c>
      <c r="G1853" t="s">
        <v>468</v>
      </c>
      <c r="H1853" t="s">
        <v>765</v>
      </c>
      <c r="I1853" t="s">
        <v>766</v>
      </c>
      <c r="J1853" t="s">
        <v>767</v>
      </c>
      <c r="K1853" t="s">
        <v>444</v>
      </c>
      <c r="L1853" t="s">
        <v>772</v>
      </c>
      <c r="M1853" t="s">
        <v>11</v>
      </c>
      <c r="N1853" t="s">
        <v>11</v>
      </c>
      <c r="O1853" t="s">
        <v>11</v>
      </c>
      <c r="P1853" t="s">
        <v>2</v>
      </c>
      <c r="Q1853" t="s">
        <v>408</v>
      </c>
      <c r="R1853" t="s">
        <v>439</v>
      </c>
      <c r="S1853" t="s">
        <v>451</v>
      </c>
      <c r="T1853" t="s">
        <v>408</v>
      </c>
      <c r="U1853" t="s">
        <v>408</v>
      </c>
    </row>
    <row r="1854" spans="1:21" x14ac:dyDescent="0.25">
      <c r="A1854">
        <v>16390404</v>
      </c>
      <c r="B1854" t="s">
        <v>340</v>
      </c>
      <c r="C1854" t="s">
        <v>86</v>
      </c>
      <c r="D1854" t="s">
        <v>18</v>
      </c>
      <c r="E1854" t="s">
        <v>739</v>
      </c>
      <c r="F1854" t="s">
        <v>106</v>
      </c>
      <c r="G1854" t="s">
        <v>468</v>
      </c>
      <c r="H1854" t="s">
        <v>8</v>
      </c>
      <c r="I1854" t="s">
        <v>436</v>
      </c>
      <c r="J1854" t="s">
        <v>458</v>
      </c>
      <c r="K1854" t="s">
        <v>438</v>
      </c>
      <c r="L1854" t="s">
        <v>2</v>
      </c>
      <c r="M1854" t="s">
        <v>408</v>
      </c>
      <c r="N1854" t="s">
        <v>11</v>
      </c>
      <c r="O1854" t="s">
        <v>11</v>
      </c>
      <c r="P1854" t="s">
        <v>2</v>
      </c>
      <c r="Q1854" t="s">
        <v>408</v>
      </c>
      <c r="R1854" t="s">
        <v>439</v>
      </c>
      <c r="S1854" t="s">
        <v>440</v>
      </c>
      <c r="T1854" t="s">
        <v>11</v>
      </c>
      <c r="U1854" t="s">
        <v>408</v>
      </c>
    </row>
    <row r="1855" spans="1:21" x14ac:dyDescent="0.25">
      <c r="A1855">
        <v>16390405</v>
      </c>
      <c r="B1855" t="s">
        <v>342</v>
      </c>
      <c r="C1855" t="s">
        <v>89</v>
      </c>
      <c r="D1855" t="s">
        <v>12</v>
      </c>
      <c r="E1855" t="s">
        <v>623</v>
      </c>
      <c r="F1855" t="s">
        <v>35</v>
      </c>
      <c r="G1855" t="s">
        <v>468</v>
      </c>
      <c r="H1855" t="s">
        <v>715</v>
      </c>
      <c r="I1855" t="s">
        <v>716</v>
      </c>
      <c r="J1855" t="s">
        <v>717</v>
      </c>
      <c r="K1855" t="s">
        <v>438</v>
      </c>
      <c r="L1855" t="s">
        <v>772</v>
      </c>
      <c r="M1855" t="s">
        <v>11</v>
      </c>
      <c r="N1855" t="s">
        <v>11</v>
      </c>
      <c r="O1855" t="s">
        <v>11</v>
      </c>
      <c r="P1855" t="s">
        <v>2</v>
      </c>
      <c r="Q1855" t="s">
        <v>408</v>
      </c>
      <c r="R1855" t="s">
        <v>439</v>
      </c>
      <c r="S1855" t="s">
        <v>440</v>
      </c>
      <c r="T1855" t="s">
        <v>408</v>
      </c>
      <c r="U1855" t="s">
        <v>408</v>
      </c>
    </row>
    <row r="1856" spans="1:21" x14ac:dyDescent="0.25">
      <c r="A1856">
        <v>16390407</v>
      </c>
      <c r="B1856" t="s">
        <v>342</v>
      </c>
      <c r="C1856" t="s">
        <v>89</v>
      </c>
      <c r="D1856" t="s">
        <v>12</v>
      </c>
      <c r="E1856" t="s">
        <v>508</v>
      </c>
      <c r="F1856" t="s">
        <v>773</v>
      </c>
      <c r="G1856" t="s">
        <v>468</v>
      </c>
      <c r="H1856" t="s">
        <v>765</v>
      </c>
      <c r="I1856" t="s">
        <v>766</v>
      </c>
      <c r="J1856" t="s">
        <v>767</v>
      </c>
      <c r="K1856" t="s">
        <v>444</v>
      </c>
      <c r="L1856" t="s">
        <v>675</v>
      </c>
      <c r="M1856" t="s">
        <v>408</v>
      </c>
      <c r="N1856" t="s">
        <v>11</v>
      </c>
      <c r="O1856" t="s">
        <v>11</v>
      </c>
      <c r="P1856" t="s">
        <v>2</v>
      </c>
      <c r="Q1856" t="s">
        <v>408</v>
      </c>
      <c r="R1856" t="s">
        <v>439</v>
      </c>
      <c r="S1856" t="s">
        <v>451</v>
      </c>
      <c r="T1856" t="s">
        <v>11</v>
      </c>
      <c r="U1856" t="s">
        <v>408</v>
      </c>
    </row>
    <row r="1857" spans="1:21" x14ac:dyDescent="0.25">
      <c r="A1857">
        <v>16390408</v>
      </c>
      <c r="B1857" t="s">
        <v>342</v>
      </c>
      <c r="C1857" t="s">
        <v>89</v>
      </c>
      <c r="D1857" t="s">
        <v>12</v>
      </c>
      <c r="E1857" t="s">
        <v>623</v>
      </c>
      <c r="F1857" t="s">
        <v>35</v>
      </c>
      <c r="G1857" t="s">
        <v>468</v>
      </c>
      <c r="H1857" t="s">
        <v>765</v>
      </c>
      <c r="I1857" t="s">
        <v>766</v>
      </c>
      <c r="J1857" t="s">
        <v>767</v>
      </c>
      <c r="K1857" t="s">
        <v>444</v>
      </c>
      <c r="L1857" t="s">
        <v>772</v>
      </c>
      <c r="M1857" t="s">
        <v>11</v>
      </c>
      <c r="N1857" t="s">
        <v>11</v>
      </c>
      <c r="O1857" t="s">
        <v>11</v>
      </c>
      <c r="P1857" t="s">
        <v>2</v>
      </c>
      <c r="Q1857" t="s">
        <v>408</v>
      </c>
      <c r="R1857" t="s">
        <v>439</v>
      </c>
      <c r="S1857" t="s">
        <v>451</v>
      </c>
      <c r="T1857" t="s">
        <v>408</v>
      </c>
      <c r="U1857" t="s">
        <v>408</v>
      </c>
    </row>
    <row r="1858" spans="1:21" x14ac:dyDescent="0.25">
      <c r="A1858">
        <v>16390409</v>
      </c>
      <c r="B1858" t="s">
        <v>342</v>
      </c>
      <c r="C1858" t="s">
        <v>89</v>
      </c>
      <c r="D1858" t="s">
        <v>12</v>
      </c>
      <c r="E1858" t="s">
        <v>513</v>
      </c>
      <c r="F1858" t="s">
        <v>594</v>
      </c>
      <c r="G1858" t="s">
        <v>468</v>
      </c>
      <c r="H1858" t="s">
        <v>765</v>
      </c>
      <c r="I1858" t="s">
        <v>766</v>
      </c>
      <c r="J1858" t="s">
        <v>767</v>
      </c>
      <c r="K1858" t="s">
        <v>444</v>
      </c>
      <c r="L1858" t="s">
        <v>675</v>
      </c>
      <c r="M1858" t="s">
        <v>408</v>
      </c>
      <c r="N1858" t="s">
        <v>11</v>
      </c>
      <c r="O1858" t="s">
        <v>408</v>
      </c>
      <c r="P1858" t="s">
        <v>2</v>
      </c>
      <c r="Q1858" t="s">
        <v>408</v>
      </c>
      <c r="R1858" t="s">
        <v>439</v>
      </c>
      <c r="S1858" t="s">
        <v>451</v>
      </c>
      <c r="T1858" t="s">
        <v>11</v>
      </c>
      <c r="U1858" t="s">
        <v>408</v>
      </c>
    </row>
    <row r="1859" spans="1:21" x14ac:dyDescent="0.25">
      <c r="A1859">
        <v>16390410</v>
      </c>
      <c r="B1859" t="s">
        <v>342</v>
      </c>
      <c r="C1859" t="s">
        <v>89</v>
      </c>
      <c r="D1859" t="s">
        <v>12</v>
      </c>
      <c r="E1859" t="s">
        <v>621</v>
      </c>
      <c r="F1859" t="s">
        <v>195</v>
      </c>
      <c r="G1859" t="s">
        <v>468</v>
      </c>
      <c r="H1859" t="s">
        <v>765</v>
      </c>
      <c r="I1859" t="s">
        <v>766</v>
      </c>
      <c r="J1859" t="s">
        <v>767</v>
      </c>
      <c r="K1859" t="s">
        <v>444</v>
      </c>
      <c r="L1859" t="s">
        <v>774</v>
      </c>
      <c r="M1859" t="s">
        <v>408</v>
      </c>
      <c r="N1859" t="s">
        <v>11</v>
      </c>
      <c r="O1859" t="s">
        <v>11</v>
      </c>
      <c r="P1859" t="s">
        <v>2</v>
      </c>
      <c r="Q1859" t="s">
        <v>408</v>
      </c>
      <c r="R1859" t="s">
        <v>439</v>
      </c>
      <c r="S1859" t="s">
        <v>451</v>
      </c>
      <c r="T1859" t="s">
        <v>11</v>
      </c>
      <c r="U1859" t="s">
        <v>408</v>
      </c>
    </row>
    <row r="1860" spans="1:21" x14ac:dyDescent="0.25">
      <c r="A1860">
        <v>16390411</v>
      </c>
      <c r="B1860" t="s">
        <v>340</v>
      </c>
      <c r="C1860" t="s">
        <v>26</v>
      </c>
      <c r="D1860" t="s">
        <v>12</v>
      </c>
      <c r="E1860" t="s">
        <v>623</v>
      </c>
      <c r="F1860" t="s">
        <v>35</v>
      </c>
      <c r="G1860" t="s">
        <v>468</v>
      </c>
      <c r="H1860" t="s">
        <v>603</v>
      </c>
      <c r="I1860" t="s">
        <v>604</v>
      </c>
      <c r="J1860" t="s">
        <v>605</v>
      </c>
      <c r="K1860" t="s">
        <v>606</v>
      </c>
      <c r="L1860" t="s">
        <v>367</v>
      </c>
      <c r="M1860" t="s">
        <v>408</v>
      </c>
      <c r="N1860" t="s">
        <v>11</v>
      </c>
      <c r="O1860" t="s">
        <v>11</v>
      </c>
      <c r="P1860" t="s">
        <v>2</v>
      </c>
      <c r="Q1860" t="s">
        <v>408</v>
      </c>
      <c r="R1860" t="s">
        <v>439</v>
      </c>
      <c r="S1860" t="s">
        <v>451</v>
      </c>
      <c r="T1860" t="s">
        <v>11</v>
      </c>
      <c r="U1860" t="s">
        <v>408</v>
      </c>
    </row>
    <row r="1861" spans="1:21" x14ac:dyDescent="0.25">
      <c r="A1861">
        <v>16390412</v>
      </c>
      <c r="B1861" t="s">
        <v>342</v>
      </c>
      <c r="C1861" t="s">
        <v>89</v>
      </c>
      <c r="D1861" t="s">
        <v>12</v>
      </c>
      <c r="E1861" t="s">
        <v>623</v>
      </c>
      <c r="F1861" t="s">
        <v>35</v>
      </c>
      <c r="G1861" t="s">
        <v>468</v>
      </c>
      <c r="H1861" t="s">
        <v>765</v>
      </c>
      <c r="I1861" t="s">
        <v>766</v>
      </c>
      <c r="J1861" t="s">
        <v>767</v>
      </c>
      <c r="K1861" t="s">
        <v>444</v>
      </c>
      <c r="L1861" t="s">
        <v>772</v>
      </c>
      <c r="M1861" t="s">
        <v>11</v>
      </c>
      <c r="N1861" t="s">
        <v>11</v>
      </c>
      <c r="O1861" t="s">
        <v>11</v>
      </c>
      <c r="P1861" t="s">
        <v>2</v>
      </c>
      <c r="Q1861" t="s">
        <v>408</v>
      </c>
      <c r="R1861" t="s">
        <v>439</v>
      </c>
      <c r="S1861" t="s">
        <v>451</v>
      </c>
      <c r="T1861" t="s">
        <v>408</v>
      </c>
      <c r="U1861" t="s">
        <v>408</v>
      </c>
    </row>
    <row r="1862" spans="1:21" x14ac:dyDescent="0.25">
      <c r="A1862">
        <v>16390413</v>
      </c>
      <c r="B1862" t="s">
        <v>340</v>
      </c>
      <c r="C1862" t="s">
        <v>86</v>
      </c>
      <c r="D1862" t="s">
        <v>12</v>
      </c>
      <c r="E1862" t="s">
        <v>623</v>
      </c>
      <c r="F1862" t="s">
        <v>35</v>
      </c>
      <c r="G1862" t="s">
        <v>468</v>
      </c>
      <c r="H1862" t="s">
        <v>775</v>
      </c>
      <c r="I1862" t="s">
        <v>776</v>
      </c>
      <c r="J1862" t="s">
        <v>776</v>
      </c>
      <c r="K1862" t="s">
        <v>450</v>
      </c>
      <c r="L1862" t="s">
        <v>777</v>
      </c>
      <c r="M1862" t="s">
        <v>408</v>
      </c>
      <c r="N1862" t="s">
        <v>11</v>
      </c>
      <c r="O1862" t="s">
        <v>11</v>
      </c>
      <c r="P1862" t="s">
        <v>2</v>
      </c>
      <c r="Q1862" t="s">
        <v>408</v>
      </c>
      <c r="R1862" t="s">
        <v>439</v>
      </c>
      <c r="S1862" t="s">
        <v>451</v>
      </c>
      <c r="T1862" t="s">
        <v>11</v>
      </c>
      <c r="U1862" t="s">
        <v>408</v>
      </c>
    </row>
    <row r="1863" spans="1:21" x14ac:dyDescent="0.25">
      <c r="A1863">
        <v>16390414</v>
      </c>
      <c r="B1863" t="s">
        <v>342</v>
      </c>
      <c r="C1863" t="s">
        <v>89</v>
      </c>
      <c r="D1863" t="s">
        <v>12</v>
      </c>
      <c r="E1863" t="s">
        <v>623</v>
      </c>
      <c r="F1863" t="s">
        <v>35</v>
      </c>
      <c r="G1863" t="s">
        <v>468</v>
      </c>
      <c r="H1863" t="s">
        <v>715</v>
      </c>
      <c r="I1863" t="s">
        <v>716</v>
      </c>
      <c r="J1863" t="s">
        <v>717</v>
      </c>
      <c r="K1863" t="s">
        <v>438</v>
      </c>
      <c r="L1863" t="s">
        <v>777</v>
      </c>
      <c r="M1863" t="s">
        <v>408</v>
      </c>
      <c r="N1863" t="s">
        <v>11</v>
      </c>
      <c r="O1863" t="s">
        <v>11</v>
      </c>
      <c r="P1863" t="s">
        <v>2</v>
      </c>
      <c r="Q1863" t="s">
        <v>408</v>
      </c>
      <c r="R1863" t="s">
        <v>439</v>
      </c>
      <c r="S1863" t="s">
        <v>440</v>
      </c>
      <c r="T1863" t="s">
        <v>11</v>
      </c>
      <c r="U1863" t="s">
        <v>408</v>
      </c>
    </row>
    <row r="1864" spans="1:21" x14ac:dyDescent="0.25">
      <c r="A1864">
        <v>16390416</v>
      </c>
      <c r="B1864" t="s">
        <v>342</v>
      </c>
      <c r="C1864" t="s">
        <v>89</v>
      </c>
      <c r="D1864" t="s">
        <v>12</v>
      </c>
      <c r="E1864" t="s">
        <v>623</v>
      </c>
      <c r="F1864" t="s">
        <v>35</v>
      </c>
      <c r="G1864" t="s">
        <v>468</v>
      </c>
      <c r="H1864" t="s">
        <v>765</v>
      </c>
      <c r="I1864" t="s">
        <v>766</v>
      </c>
      <c r="J1864" t="s">
        <v>767</v>
      </c>
      <c r="K1864" t="s">
        <v>444</v>
      </c>
      <c r="L1864" t="s">
        <v>774</v>
      </c>
      <c r="M1864" t="s">
        <v>408</v>
      </c>
      <c r="N1864" t="s">
        <v>11</v>
      </c>
      <c r="O1864" t="s">
        <v>11</v>
      </c>
      <c r="P1864" t="s">
        <v>2</v>
      </c>
      <c r="Q1864" t="s">
        <v>408</v>
      </c>
      <c r="R1864" t="s">
        <v>439</v>
      </c>
      <c r="S1864" t="s">
        <v>451</v>
      </c>
      <c r="T1864" t="s">
        <v>11</v>
      </c>
      <c r="U1864" t="s">
        <v>408</v>
      </c>
    </row>
    <row r="1865" spans="1:21" x14ac:dyDescent="0.25">
      <c r="A1865">
        <v>16390417</v>
      </c>
      <c r="B1865" t="s">
        <v>342</v>
      </c>
      <c r="C1865" t="s">
        <v>89</v>
      </c>
      <c r="D1865" t="s">
        <v>12</v>
      </c>
      <c r="E1865" t="s">
        <v>621</v>
      </c>
      <c r="F1865" t="s">
        <v>195</v>
      </c>
      <c r="G1865" t="s">
        <v>468</v>
      </c>
      <c r="H1865" t="s">
        <v>765</v>
      </c>
      <c r="I1865" t="s">
        <v>766</v>
      </c>
      <c r="J1865" t="s">
        <v>767</v>
      </c>
      <c r="K1865" t="s">
        <v>444</v>
      </c>
      <c r="L1865" t="s">
        <v>675</v>
      </c>
      <c r="M1865" t="s">
        <v>408</v>
      </c>
      <c r="N1865" t="s">
        <v>11</v>
      </c>
      <c r="O1865" t="s">
        <v>408</v>
      </c>
      <c r="P1865" t="s">
        <v>2</v>
      </c>
      <c r="Q1865" t="s">
        <v>408</v>
      </c>
      <c r="R1865" t="s">
        <v>439</v>
      </c>
      <c r="S1865" t="s">
        <v>451</v>
      </c>
      <c r="T1865" t="s">
        <v>11</v>
      </c>
      <c r="U1865" t="s">
        <v>408</v>
      </c>
    </row>
    <row r="1866" spans="1:21" x14ac:dyDescent="0.25">
      <c r="A1866">
        <v>16390418</v>
      </c>
      <c r="B1866" t="s">
        <v>340</v>
      </c>
      <c r="C1866" t="s">
        <v>86</v>
      </c>
      <c r="D1866" t="s">
        <v>12</v>
      </c>
      <c r="E1866" t="s">
        <v>623</v>
      </c>
      <c r="F1866" t="s">
        <v>35</v>
      </c>
      <c r="G1866" t="s">
        <v>468</v>
      </c>
      <c r="H1866" t="s">
        <v>8</v>
      </c>
      <c r="I1866" t="s">
        <v>436</v>
      </c>
      <c r="J1866" t="s">
        <v>458</v>
      </c>
      <c r="K1866" t="s">
        <v>438</v>
      </c>
      <c r="L1866" t="s">
        <v>2</v>
      </c>
      <c r="M1866" t="s">
        <v>408</v>
      </c>
      <c r="N1866" t="s">
        <v>11</v>
      </c>
      <c r="O1866" t="s">
        <v>11</v>
      </c>
      <c r="P1866" t="s">
        <v>2</v>
      </c>
      <c r="Q1866" t="s">
        <v>408</v>
      </c>
      <c r="R1866" t="s">
        <v>439</v>
      </c>
      <c r="S1866" t="s">
        <v>440</v>
      </c>
      <c r="T1866" t="s">
        <v>11</v>
      </c>
      <c r="U1866" t="s">
        <v>408</v>
      </c>
    </row>
    <row r="1867" spans="1:21" x14ac:dyDescent="0.25">
      <c r="A1867">
        <v>16390419</v>
      </c>
      <c r="B1867" t="s">
        <v>342</v>
      </c>
      <c r="C1867" t="s">
        <v>89</v>
      </c>
      <c r="D1867" t="s">
        <v>12</v>
      </c>
      <c r="E1867" t="s">
        <v>621</v>
      </c>
      <c r="F1867" t="s">
        <v>195</v>
      </c>
      <c r="G1867" t="s">
        <v>468</v>
      </c>
      <c r="H1867" t="s">
        <v>765</v>
      </c>
      <c r="I1867" t="s">
        <v>766</v>
      </c>
      <c r="J1867" t="s">
        <v>767</v>
      </c>
      <c r="K1867" t="s">
        <v>444</v>
      </c>
      <c r="L1867" t="s">
        <v>772</v>
      </c>
      <c r="M1867" t="s">
        <v>11</v>
      </c>
      <c r="N1867" t="s">
        <v>11</v>
      </c>
      <c r="O1867" t="s">
        <v>11</v>
      </c>
      <c r="P1867" t="s">
        <v>2</v>
      </c>
      <c r="Q1867" t="s">
        <v>408</v>
      </c>
      <c r="R1867" t="s">
        <v>439</v>
      </c>
      <c r="S1867" t="s">
        <v>451</v>
      </c>
      <c r="T1867" t="s">
        <v>408</v>
      </c>
      <c r="U1867" t="s">
        <v>408</v>
      </c>
    </row>
    <row r="1868" spans="1:21" x14ac:dyDescent="0.25">
      <c r="A1868">
        <v>16390421</v>
      </c>
      <c r="B1868" t="s">
        <v>340</v>
      </c>
      <c r="C1868" t="s">
        <v>86</v>
      </c>
      <c r="D1868" t="s">
        <v>12</v>
      </c>
      <c r="E1868" t="s">
        <v>621</v>
      </c>
      <c r="F1868" t="s">
        <v>195</v>
      </c>
      <c r="G1868" t="s">
        <v>468</v>
      </c>
      <c r="H1868" t="s">
        <v>715</v>
      </c>
      <c r="I1868" t="s">
        <v>716</v>
      </c>
      <c r="J1868" t="s">
        <v>717</v>
      </c>
      <c r="K1868" t="s">
        <v>438</v>
      </c>
      <c r="L1868" t="s">
        <v>777</v>
      </c>
      <c r="M1868" t="s">
        <v>408</v>
      </c>
      <c r="N1868" t="s">
        <v>11</v>
      </c>
      <c r="O1868" t="s">
        <v>11</v>
      </c>
      <c r="P1868" t="s">
        <v>2</v>
      </c>
      <c r="Q1868" t="s">
        <v>408</v>
      </c>
      <c r="R1868" t="s">
        <v>439</v>
      </c>
      <c r="S1868" t="s">
        <v>440</v>
      </c>
      <c r="T1868" t="s">
        <v>11</v>
      </c>
      <c r="U1868" t="s">
        <v>408</v>
      </c>
    </row>
    <row r="1869" spans="1:21" x14ac:dyDescent="0.25">
      <c r="A1869">
        <v>16390422</v>
      </c>
      <c r="B1869" t="s">
        <v>342</v>
      </c>
      <c r="C1869" t="s">
        <v>89</v>
      </c>
      <c r="D1869" t="s">
        <v>18</v>
      </c>
      <c r="E1869" t="s">
        <v>623</v>
      </c>
      <c r="F1869" t="s">
        <v>35</v>
      </c>
      <c r="G1869" t="s">
        <v>468</v>
      </c>
      <c r="H1869" t="s">
        <v>765</v>
      </c>
      <c r="I1869" t="s">
        <v>766</v>
      </c>
      <c r="J1869" t="s">
        <v>767</v>
      </c>
      <c r="K1869" t="s">
        <v>444</v>
      </c>
      <c r="L1869" t="s">
        <v>778</v>
      </c>
      <c r="M1869" t="s">
        <v>11</v>
      </c>
      <c r="N1869" t="s">
        <v>11</v>
      </c>
      <c r="O1869" t="s">
        <v>11</v>
      </c>
      <c r="P1869" t="s">
        <v>2</v>
      </c>
      <c r="Q1869" t="s">
        <v>408</v>
      </c>
      <c r="R1869" t="s">
        <v>439</v>
      </c>
      <c r="S1869" t="s">
        <v>451</v>
      </c>
      <c r="T1869" t="s">
        <v>408</v>
      </c>
      <c r="U1869" t="s">
        <v>408</v>
      </c>
    </row>
    <row r="1870" spans="1:21" x14ac:dyDescent="0.25">
      <c r="A1870">
        <v>16390424</v>
      </c>
      <c r="B1870" t="s">
        <v>340</v>
      </c>
      <c r="C1870" t="s">
        <v>86</v>
      </c>
      <c r="D1870" t="s">
        <v>18</v>
      </c>
      <c r="E1870" t="s">
        <v>513</v>
      </c>
      <c r="F1870" t="s">
        <v>594</v>
      </c>
      <c r="G1870" t="s">
        <v>468</v>
      </c>
      <c r="H1870" t="s">
        <v>775</v>
      </c>
      <c r="I1870" t="s">
        <v>776</v>
      </c>
      <c r="J1870" t="s">
        <v>776</v>
      </c>
      <c r="K1870" t="s">
        <v>450</v>
      </c>
      <c r="L1870" t="s">
        <v>777</v>
      </c>
      <c r="M1870" t="s">
        <v>408</v>
      </c>
      <c r="N1870" t="s">
        <v>11</v>
      </c>
      <c r="O1870" t="s">
        <v>11</v>
      </c>
      <c r="P1870" t="s">
        <v>2</v>
      </c>
      <c r="Q1870" t="s">
        <v>408</v>
      </c>
      <c r="R1870" t="s">
        <v>439</v>
      </c>
      <c r="S1870" t="s">
        <v>451</v>
      </c>
      <c r="T1870" t="s">
        <v>11</v>
      </c>
      <c r="U1870" t="s">
        <v>408</v>
      </c>
    </row>
    <row r="1871" spans="1:21" x14ac:dyDescent="0.25">
      <c r="A1871">
        <v>16390425</v>
      </c>
      <c r="B1871" t="s">
        <v>340</v>
      </c>
      <c r="C1871" t="s">
        <v>86</v>
      </c>
      <c r="D1871" t="s">
        <v>18</v>
      </c>
      <c r="E1871" t="s">
        <v>621</v>
      </c>
      <c r="F1871" t="s">
        <v>195</v>
      </c>
      <c r="G1871" t="s">
        <v>468</v>
      </c>
      <c r="H1871" t="s">
        <v>715</v>
      </c>
      <c r="I1871" t="s">
        <v>716</v>
      </c>
      <c r="J1871" t="s">
        <v>717</v>
      </c>
      <c r="K1871" t="s">
        <v>438</v>
      </c>
      <c r="L1871" t="s">
        <v>777</v>
      </c>
      <c r="M1871" t="s">
        <v>408</v>
      </c>
      <c r="N1871" t="s">
        <v>11</v>
      </c>
      <c r="O1871" t="s">
        <v>11</v>
      </c>
      <c r="P1871" t="s">
        <v>2</v>
      </c>
      <c r="Q1871" t="s">
        <v>408</v>
      </c>
      <c r="R1871" t="s">
        <v>439</v>
      </c>
      <c r="S1871" t="s">
        <v>440</v>
      </c>
      <c r="T1871" t="s">
        <v>11</v>
      </c>
      <c r="U1871" t="s">
        <v>408</v>
      </c>
    </row>
    <row r="1872" spans="1:21" x14ac:dyDescent="0.25">
      <c r="A1872">
        <v>16390426</v>
      </c>
      <c r="B1872" t="s">
        <v>340</v>
      </c>
      <c r="C1872" t="s">
        <v>86</v>
      </c>
      <c r="D1872" t="s">
        <v>79</v>
      </c>
      <c r="E1872" t="s">
        <v>621</v>
      </c>
      <c r="F1872" t="s">
        <v>195</v>
      </c>
      <c r="G1872" t="s">
        <v>468</v>
      </c>
      <c r="H1872" t="s">
        <v>715</v>
      </c>
      <c r="I1872" t="s">
        <v>716</v>
      </c>
      <c r="J1872" t="s">
        <v>717</v>
      </c>
      <c r="K1872" t="s">
        <v>438</v>
      </c>
      <c r="L1872" t="s">
        <v>777</v>
      </c>
      <c r="M1872" t="s">
        <v>408</v>
      </c>
      <c r="N1872" t="s">
        <v>11</v>
      </c>
      <c r="O1872" t="s">
        <v>11</v>
      </c>
      <c r="P1872" t="s">
        <v>2</v>
      </c>
      <c r="Q1872" t="s">
        <v>408</v>
      </c>
      <c r="R1872" t="s">
        <v>439</v>
      </c>
      <c r="S1872" t="s">
        <v>440</v>
      </c>
      <c r="T1872" t="s">
        <v>11</v>
      </c>
      <c r="U1872" t="s">
        <v>408</v>
      </c>
    </row>
    <row r="1873" spans="1:21" x14ac:dyDescent="0.25">
      <c r="A1873">
        <v>16390427</v>
      </c>
      <c r="B1873" t="s">
        <v>340</v>
      </c>
      <c r="C1873" t="s">
        <v>86</v>
      </c>
      <c r="D1873" t="s">
        <v>12</v>
      </c>
      <c r="E1873" t="s">
        <v>621</v>
      </c>
      <c r="F1873" t="s">
        <v>195</v>
      </c>
      <c r="G1873" t="s">
        <v>468</v>
      </c>
      <c r="H1873" t="s">
        <v>779</v>
      </c>
      <c r="I1873" t="s">
        <v>780</v>
      </c>
      <c r="J1873" t="s">
        <v>781</v>
      </c>
      <c r="K1873" t="s">
        <v>450</v>
      </c>
      <c r="L1873" t="s">
        <v>777</v>
      </c>
      <c r="M1873" t="s">
        <v>408</v>
      </c>
      <c r="N1873" t="s">
        <v>11</v>
      </c>
      <c r="O1873" t="s">
        <v>11</v>
      </c>
      <c r="P1873" t="s">
        <v>2</v>
      </c>
      <c r="Q1873" t="s">
        <v>408</v>
      </c>
      <c r="R1873" t="s">
        <v>439</v>
      </c>
      <c r="S1873" t="s">
        <v>451</v>
      </c>
      <c r="T1873" t="s">
        <v>11</v>
      </c>
      <c r="U1873" t="s">
        <v>408</v>
      </c>
    </row>
    <row r="1874" spans="1:21" x14ac:dyDescent="0.25">
      <c r="A1874">
        <v>16390428</v>
      </c>
      <c r="B1874" t="s">
        <v>342</v>
      </c>
      <c r="C1874" t="s">
        <v>89</v>
      </c>
      <c r="D1874" t="s">
        <v>79</v>
      </c>
      <c r="E1874" t="s">
        <v>623</v>
      </c>
      <c r="F1874" t="s">
        <v>196</v>
      </c>
      <c r="G1874" t="s">
        <v>468</v>
      </c>
      <c r="H1874" t="s">
        <v>715</v>
      </c>
      <c r="I1874" t="s">
        <v>716</v>
      </c>
      <c r="J1874" t="s">
        <v>717</v>
      </c>
      <c r="K1874" t="s">
        <v>438</v>
      </c>
      <c r="L1874" t="s">
        <v>777</v>
      </c>
      <c r="M1874" t="s">
        <v>408</v>
      </c>
      <c r="N1874" t="s">
        <v>11</v>
      </c>
      <c r="O1874" t="s">
        <v>11</v>
      </c>
      <c r="P1874" t="s">
        <v>2</v>
      </c>
      <c r="Q1874" t="s">
        <v>408</v>
      </c>
      <c r="R1874" t="s">
        <v>439</v>
      </c>
      <c r="S1874" t="s">
        <v>440</v>
      </c>
      <c r="T1874" t="s">
        <v>11</v>
      </c>
      <c r="U1874" t="s">
        <v>408</v>
      </c>
    </row>
    <row r="1875" spans="1:21" x14ac:dyDescent="0.25">
      <c r="A1875">
        <v>16390429</v>
      </c>
      <c r="B1875" t="s">
        <v>340</v>
      </c>
      <c r="C1875" t="s">
        <v>86</v>
      </c>
      <c r="D1875" t="s">
        <v>12</v>
      </c>
      <c r="E1875" t="s">
        <v>621</v>
      </c>
      <c r="F1875" t="s">
        <v>195</v>
      </c>
      <c r="G1875" t="s">
        <v>468</v>
      </c>
      <c r="H1875" t="s">
        <v>779</v>
      </c>
      <c r="I1875" t="s">
        <v>780</v>
      </c>
      <c r="J1875" t="s">
        <v>781</v>
      </c>
      <c r="K1875" t="s">
        <v>450</v>
      </c>
      <c r="L1875" t="s">
        <v>777</v>
      </c>
      <c r="M1875" t="s">
        <v>408</v>
      </c>
      <c r="N1875" t="s">
        <v>11</v>
      </c>
      <c r="O1875" t="s">
        <v>11</v>
      </c>
      <c r="P1875" t="s">
        <v>2</v>
      </c>
      <c r="Q1875" t="s">
        <v>408</v>
      </c>
      <c r="R1875" t="s">
        <v>439</v>
      </c>
      <c r="S1875" t="s">
        <v>451</v>
      </c>
      <c r="T1875" t="s">
        <v>11</v>
      </c>
      <c r="U1875" t="s">
        <v>408</v>
      </c>
    </row>
    <row r="1876" spans="1:21" x14ac:dyDescent="0.25">
      <c r="A1876">
        <v>16390430</v>
      </c>
      <c r="B1876" t="s">
        <v>340</v>
      </c>
      <c r="C1876" t="s">
        <v>26</v>
      </c>
      <c r="D1876" t="s">
        <v>125</v>
      </c>
      <c r="E1876" t="s">
        <v>513</v>
      </c>
      <c r="F1876" t="s">
        <v>594</v>
      </c>
      <c r="G1876" t="s">
        <v>468</v>
      </c>
      <c r="H1876" t="s">
        <v>447</v>
      </c>
      <c r="I1876" t="s">
        <v>448</v>
      </c>
      <c r="J1876" t="s">
        <v>449</v>
      </c>
      <c r="K1876" t="s">
        <v>450</v>
      </c>
      <c r="L1876" t="s">
        <v>2</v>
      </c>
      <c r="M1876" t="s">
        <v>408</v>
      </c>
      <c r="N1876" t="s">
        <v>11</v>
      </c>
      <c r="O1876" t="s">
        <v>11</v>
      </c>
      <c r="P1876" t="s">
        <v>2</v>
      </c>
      <c r="Q1876" t="s">
        <v>408</v>
      </c>
      <c r="R1876" t="s">
        <v>439</v>
      </c>
      <c r="S1876" t="s">
        <v>451</v>
      </c>
      <c r="T1876" t="s">
        <v>11</v>
      </c>
      <c r="U1876" t="s">
        <v>408</v>
      </c>
    </row>
    <row r="1877" spans="1:21" x14ac:dyDescent="0.25">
      <c r="A1877">
        <v>19050384</v>
      </c>
      <c r="B1877" t="s">
        <v>340</v>
      </c>
      <c r="C1877" t="s">
        <v>86</v>
      </c>
      <c r="D1877" t="s">
        <v>12</v>
      </c>
      <c r="E1877" t="s">
        <v>623</v>
      </c>
      <c r="F1877" t="s">
        <v>35</v>
      </c>
      <c r="G1877" t="s">
        <v>468</v>
      </c>
      <c r="H1877" t="s">
        <v>8</v>
      </c>
      <c r="I1877" t="s">
        <v>436</v>
      </c>
      <c r="J1877" t="s">
        <v>458</v>
      </c>
      <c r="K1877" t="s">
        <v>438</v>
      </c>
      <c r="L1877" t="s">
        <v>2</v>
      </c>
      <c r="M1877" t="s">
        <v>408</v>
      </c>
      <c r="N1877" t="s">
        <v>11</v>
      </c>
      <c r="O1877" t="s">
        <v>11</v>
      </c>
      <c r="P1877" t="s">
        <v>2</v>
      </c>
      <c r="Q1877" t="s">
        <v>408</v>
      </c>
      <c r="R1877" t="s">
        <v>439</v>
      </c>
      <c r="S1877" t="s">
        <v>440</v>
      </c>
      <c r="T1877" t="s">
        <v>11</v>
      </c>
      <c r="U1877" t="s">
        <v>408</v>
      </c>
    </row>
    <row r="1878" spans="1:21" x14ac:dyDescent="0.25">
      <c r="A1878">
        <v>19050385</v>
      </c>
      <c r="B1878" t="s">
        <v>340</v>
      </c>
      <c r="C1878" t="s">
        <v>86</v>
      </c>
      <c r="D1878" t="s">
        <v>12</v>
      </c>
      <c r="E1878" t="s">
        <v>623</v>
      </c>
      <c r="F1878" t="s">
        <v>35</v>
      </c>
      <c r="G1878" t="s">
        <v>468</v>
      </c>
      <c r="H1878" t="s">
        <v>8</v>
      </c>
      <c r="I1878" t="s">
        <v>436</v>
      </c>
      <c r="J1878" t="s">
        <v>458</v>
      </c>
      <c r="K1878" t="s">
        <v>438</v>
      </c>
      <c r="L1878" t="s">
        <v>2</v>
      </c>
      <c r="M1878" t="s">
        <v>408</v>
      </c>
      <c r="N1878" t="s">
        <v>11</v>
      </c>
      <c r="O1878" t="s">
        <v>11</v>
      </c>
      <c r="P1878" t="s">
        <v>2</v>
      </c>
      <c r="Q1878" t="s">
        <v>408</v>
      </c>
      <c r="R1878" t="s">
        <v>439</v>
      </c>
      <c r="S1878" t="s">
        <v>440</v>
      </c>
      <c r="T1878" t="s">
        <v>11</v>
      </c>
      <c r="U1878" t="s">
        <v>408</v>
      </c>
    </row>
    <row r="1879" spans="1:21" x14ac:dyDescent="0.25">
      <c r="A1879">
        <v>19050386</v>
      </c>
      <c r="B1879" t="s">
        <v>342</v>
      </c>
      <c r="C1879" t="s">
        <v>33</v>
      </c>
      <c r="D1879" t="s">
        <v>18</v>
      </c>
      <c r="E1879" t="s">
        <v>623</v>
      </c>
      <c r="F1879" t="s">
        <v>35</v>
      </c>
      <c r="G1879" t="s">
        <v>468</v>
      </c>
      <c r="H1879" t="s">
        <v>782</v>
      </c>
      <c r="I1879" t="s">
        <v>783</v>
      </c>
      <c r="J1879" t="s">
        <v>784</v>
      </c>
      <c r="K1879" t="s">
        <v>438</v>
      </c>
      <c r="L1879" t="s">
        <v>785</v>
      </c>
      <c r="M1879" t="s">
        <v>11</v>
      </c>
      <c r="N1879" t="s">
        <v>11</v>
      </c>
      <c r="O1879" t="s">
        <v>408</v>
      </c>
      <c r="P1879" t="s">
        <v>2</v>
      </c>
      <c r="Q1879" t="s">
        <v>408</v>
      </c>
      <c r="R1879" t="s">
        <v>439</v>
      </c>
      <c r="S1879" t="s">
        <v>451</v>
      </c>
      <c r="T1879" t="s">
        <v>408</v>
      </c>
      <c r="U1879" t="s">
        <v>408</v>
      </c>
    </row>
    <row r="1880" spans="1:21" x14ac:dyDescent="0.25">
      <c r="A1880">
        <v>19050387</v>
      </c>
      <c r="B1880" t="s">
        <v>342</v>
      </c>
      <c r="C1880" t="s">
        <v>33</v>
      </c>
      <c r="D1880" t="s">
        <v>12</v>
      </c>
      <c r="E1880" t="s">
        <v>739</v>
      </c>
      <c r="F1880" t="s">
        <v>106</v>
      </c>
      <c r="G1880" t="s">
        <v>369</v>
      </c>
      <c r="H1880" t="s">
        <v>786</v>
      </c>
      <c r="I1880" t="s">
        <v>787</v>
      </c>
      <c r="J1880" t="s">
        <v>788</v>
      </c>
      <c r="K1880" t="s">
        <v>789</v>
      </c>
      <c r="L1880" t="s">
        <v>790</v>
      </c>
      <c r="M1880" t="s">
        <v>11</v>
      </c>
      <c r="N1880" t="s">
        <v>11</v>
      </c>
      <c r="O1880" t="s">
        <v>11</v>
      </c>
      <c r="P1880" t="s">
        <v>2</v>
      </c>
      <c r="Q1880" t="s">
        <v>408</v>
      </c>
      <c r="R1880" t="s">
        <v>439</v>
      </c>
      <c r="S1880" t="s">
        <v>440</v>
      </c>
      <c r="T1880" t="s">
        <v>408</v>
      </c>
      <c r="U1880" t="s">
        <v>408</v>
      </c>
    </row>
    <row r="1881" spans="1:21" x14ac:dyDescent="0.25">
      <c r="A1881">
        <v>19050388</v>
      </c>
      <c r="B1881" t="s">
        <v>342</v>
      </c>
      <c r="C1881" t="s">
        <v>89</v>
      </c>
      <c r="D1881" t="s">
        <v>12</v>
      </c>
      <c r="E1881" t="s">
        <v>623</v>
      </c>
      <c r="F1881" t="s">
        <v>35</v>
      </c>
      <c r="G1881" t="s">
        <v>468</v>
      </c>
      <c r="H1881" t="s">
        <v>765</v>
      </c>
      <c r="I1881" t="s">
        <v>766</v>
      </c>
      <c r="J1881" t="s">
        <v>767</v>
      </c>
      <c r="K1881" t="s">
        <v>444</v>
      </c>
      <c r="L1881" t="s">
        <v>772</v>
      </c>
      <c r="M1881" t="s">
        <v>11</v>
      </c>
      <c r="N1881" t="s">
        <v>11</v>
      </c>
      <c r="O1881" t="s">
        <v>11</v>
      </c>
      <c r="P1881" t="s">
        <v>2</v>
      </c>
      <c r="Q1881" t="s">
        <v>408</v>
      </c>
      <c r="R1881" t="s">
        <v>439</v>
      </c>
      <c r="S1881" t="s">
        <v>451</v>
      </c>
      <c r="T1881" t="s">
        <v>408</v>
      </c>
      <c r="U1881" t="s">
        <v>408</v>
      </c>
    </row>
    <row r="1882" spans="1:21" x14ac:dyDescent="0.25">
      <c r="A1882">
        <v>19050389</v>
      </c>
      <c r="B1882" t="s">
        <v>340</v>
      </c>
      <c r="C1882" t="s">
        <v>86</v>
      </c>
      <c r="D1882" t="s">
        <v>12</v>
      </c>
      <c r="E1882" t="s">
        <v>623</v>
      </c>
      <c r="F1882" t="s">
        <v>194</v>
      </c>
      <c r="G1882" t="s">
        <v>468</v>
      </c>
      <c r="H1882" t="s">
        <v>775</v>
      </c>
      <c r="I1882" t="s">
        <v>776</v>
      </c>
      <c r="J1882" t="s">
        <v>776</v>
      </c>
      <c r="K1882" t="s">
        <v>450</v>
      </c>
      <c r="L1882" t="s">
        <v>777</v>
      </c>
      <c r="M1882" t="s">
        <v>408</v>
      </c>
      <c r="N1882" t="s">
        <v>11</v>
      </c>
      <c r="O1882" t="s">
        <v>11</v>
      </c>
      <c r="P1882" t="s">
        <v>2</v>
      </c>
      <c r="Q1882" t="s">
        <v>408</v>
      </c>
      <c r="R1882" t="s">
        <v>439</v>
      </c>
      <c r="S1882" t="s">
        <v>451</v>
      </c>
      <c r="T1882" t="s">
        <v>11</v>
      </c>
      <c r="U1882" t="s">
        <v>408</v>
      </c>
    </row>
    <row r="1883" spans="1:21" x14ac:dyDescent="0.25">
      <c r="A1883">
        <v>19050390</v>
      </c>
      <c r="B1883" t="s">
        <v>340</v>
      </c>
      <c r="C1883" t="s">
        <v>26</v>
      </c>
      <c r="D1883" t="s">
        <v>12</v>
      </c>
      <c r="E1883" t="s">
        <v>623</v>
      </c>
      <c r="F1883" t="s">
        <v>35</v>
      </c>
      <c r="G1883" t="s">
        <v>468</v>
      </c>
      <c r="H1883" t="s">
        <v>603</v>
      </c>
      <c r="I1883" t="s">
        <v>604</v>
      </c>
      <c r="J1883" t="s">
        <v>605</v>
      </c>
      <c r="K1883" t="s">
        <v>606</v>
      </c>
      <c r="L1883" t="s">
        <v>367</v>
      </c>
      <c r="M1883" t="s">
        <v>408</v>
      </c>
      <c r="N1883" t="s">
        <v>11</v>
      </c>
      <c r="O1883" t="s">
        <v>11</v>
      </c>
      <c r="P1883" t="s">
        <v>2</v>
      </c>
      <c r="Q1883" t="s">
        <v>408</v>
      </c>
      <c r="R1883" t="s">
        <v>439</v>
      </c>
      <c r="S1883" t="s">
        <v>451</v>
      </c>
      <c r="T1883" t="s">
        <v>11</v>
      </c>
      <c r="U1883" t="s">
        <v>408</v>
      </c>
    </row>
    <row r="1884" spans="1:21" x14ac:dyDescent="0.25">
      <c r="A1884">
        <v>19050391</v>
      </c>
      <c r="B1884" t="s">
        <v>342</v>
      </c>
      <c r="C1884" t="s">
        <v>89</v>
      </c>
      <c r="D1884" t="s">
        <v>12</v>
      </c>
      <c r="E1884" t="s">
        <v>623</v>
      </c>
      <c r="F1884" t="s">
        <v>35</v>
      </c>
      <c r="G1884" t="s">
        <v>468</v>
      </c>
      <c r="H1884" t="s">
        <v>765</v>
      </c>
      <c r="I1884" t="s">
        <v>766</v>
      </c>
      <c r="J1884" t="s">
        <v>767</v>
      </c>
      <c r="K1884" t="s">
        <v>444</v>
      </c>
      <c r="L1884" t="s">
        <v>774</v>
      </c>
      <c r="M1884" t="s">
        <v>408</v>
      </c>
      <c r="N1884" t="s">
        <v>11</v>
      </c>
      <c r="O1884" t="s">
        <v>11</v>
      </c>
      <c r="P1884" t="s">
        <v>2</v>
      </c>
      <c r="Q1884" t="s">
        <v>408</v>
      </c>
      <c r="R1884" t="s">
        <v>439</v>
      </c>
      <c r="S1884" t="s">
        <v>451</v>
      </c>
      <c r="T1884" t="s">
        <v>11</v>
      </c>
      <c r="U1884" t="s">
        <v>408</v>
      </c>
    </row>
    <row r="1885" spans="1:21" x14ac:dyDescent="0.25">
      <c r="A1885">
        <v>19050393</v>
      </c>
      <c r="B1885" t="s">
        <v>340</v>
      </c>
      <c r="C1885" t="s">
        <v>26</v>
      </c>
      <c r="D1885" t="s">
        <v>12</v>
      </c>
      <c r="E1885" t="s">
        <v>623</v>
      </c>
      <c r="F1885" t="s">
        <v>35</v>
      </c>
      <c r="G1885" t="s">
        <v>468</v>
      </c>
      <c r="H1885" t="s">
        <v>447</v>
      </c>
      <c r="I1885" t="s">
        <v>448</v>
      </c>
      <c r="J1885" t="s">
        <v>449</v>
      </c>
      <c r="K1885" t="s">
        <v>450</v>
      </c>
      <c r="L1885" t="s">
        <v>367</v>
      </c>
      <c r="M1885" t="s">
        <v>408</v>
      </c>
      <c r="N1885" t="s">
        <v>11</v>
      </c>
      <c r="O1885" t="s">
        <v>11</v>
      </c>
      <c r="P1885" t="s">
        <v>2</v>
      </c>
      <c r="Q1885" t="s">
        <v>408</v>
      </c>
      <c r="R1885" t="s">
        <v>439</v>
      </c>
      <c r="S1885" t="s">
        <v>451</v>
      </c>
      <c r="T1885" t="s">
        <v>11</v>
      </c>
      <c r="U1885" t="s">
        <v>408</v>
      </c>
    </row>
    <row r="1886" spans="1:21" x14ac:dyDescent="0.25">
      <c r="A1886">
        <v>19050394</v>
      </c>
      <c r="B1886" t="s">
        <v>340</v>
      </c>
      <c r="C1886" t="s">
        <v>86</v>
      </c>
      <c r="D1886" t="s">
        <v>18</v>
      </c>
      <c r="E1886" t="s">
        <v>513</v>
      </c>
      <c r="F1886" t="s">
        <v>791</v>
      </c>
      <c r="G1886" t="s">
        <v>468</v>
      </c>
      <c r="H1886" t="s">
        <v>603</v>
      </c>
      <c r="I1886" t="s">
        <v>604</v>
      </c>
      <c r="J1886" t="s">
        <v>605</v>
      </c>
      <c r="K1886" t="s">
        <v>606</v>
      </c>
      <c r="L1886" t="s">
        <v>777</v>
      </c>
      <c r="M1886" t="s">
        <v>408</v>
      </c>
      <c r="N1886" t="s">
        <v>11</v>
      </c>
      <c r="O1886" t="s">
        <v>11</v>
      </c>
      <c r="P1886" t="s">
        <v>2</v>
      </c>
      <c r="Q1886" t="s">
        <v>408</v>
      </c>
      <c r="R1886" t="s">
        <v>439</v>
      </c>
      <c r="S1886" t="s">
        <v>451</v>
      </c>
      <c r="T1886" t="s">
        <v>11</v>
      </c>
      <c r="U1886" t="s">
        <v>408</v>
      </c>
    </row>
    <row r="1887" spans="1:21" x14ac:dyDescent="0.25">
      <c r="A1887">
        <v>19050395</v>
      </c>
      <c r="B1887" t="s">
        <v>340</v>
      </c>
      <c r="C1887" t="s">
        <v>26</v>
      </c>
      <c r="D1887" t="s">
        <v>12</v>
      </c>
      <c r="E1887" t="s">
        <v>621</v>
      </c>
      <c r="F1887" t="s">
        <v>195</v>
      </c>
      <c r="G1887" t="s">
        <v>468</v>
      </c>
      <c r="H1887" t="s">
        <v>447</v>
      </c>
      <c r="I1887" t="s">
        <v>448</v>
      </c>
      <c r="J1887" t="s">
        <v>449</v>
      </c>
      <c r="K1887" t="s">
        <v>450</v>
      </c>
      <c r="L1887" t="s">
        <v>370</v>
      </c>
      <c r="M1887" t="s">
        <v>408</v>
      </c>
      <c r="N1887" t="s">
        <v>11</v>
      </c>
      <c r="O1887" t="s">
        <v>408</v>
      </c>
      <c r="P1887" t="s">
        <v>2</v>
      </c>
      <c r="Q1887" t="s">
        <v>408</v>
      </c>
      <c r="R1887" t="s">
        <v>439</v>
      </c>
      <c r="S1887" t="s">
        <v>451</v>
      </c>
      <c r="T1887" t="s">
        <v>11</v>
      </c>
      <c r="U1887" t="s">
        <v>408</v>
      </c>
    </row>
    <row r="1888" spans="1:21" x14ac:dyDescent="0.25">
      <c r="A1888">
        <v>19050396</v>
      </c>
      <c r="B1888" t="s">
        <v>342</v>
      </c>
      <c r="C1888" t="s">
        <v>89</v>
      </c>
      <c r="D1888" t="s">
        <v>12</v>
      </c>
      <c r="E1888" t="s">
        <v>623</v>
      </c>
      <c r="F1888" t="s">
        <v>35</v>
      </c>
      <c r="G1888" t="s">
        <v>468</v>
      </c>
      <c r="H1888" t="s">
        <v>765</v>
      </c>
      <c r="I1888" t="s">
        <v>766</v>
      </c>
      <c r="J1888" t="s">
        <v>767</v>
      </c>
      <c r="K1888" t="s">
        <v>444</v>
      </c>
      <c r="L1888" t="s">
        <v>772</v>
      </c>
      <c r="M1888" t="s">
        <v>11</v>
      </c>
      <c r="N1888" t="s">
        <v>11</v>
      </c>
      <c r="O1888" t="s">
        <v>11</v>
      </c>
      <c r="P1888" t="s">
        <v>2</v>
      </c>
      <c r="Q1888" t="s">
        <v>408</v>
      </c>
      <c r="R1888" t="s">
        <v>439</v>
      </c>
      <c r="S1888" t="s">
        <v>451</v>
      </c>
      <c r="T1888" t="s">
        <v>408</v>
      </c>
      <c r="U1888" t="s">
        <v>408</v>
      </c>
    </row>
    <row r="1889" spans="1:21" x14ac:dyDescent="0.25">
      <c r="A1889">
        <v>19050397</v>
      </c>
      <c r="B1889" t="s">
        <v>342</v>
      </c>
      <c r="C1889" t="s">
        <v>89</v>
      </c>
      <c r="D1889" t="s">
        <v>12</v>
      </c>
      <c r="E1889" t="s">
        <v>513</v>
      </c>
      <c r="F1889" t="s">
        <v>594</v>
      </c>
      <c r="G1889" t="s">
        <v>468</v>
      </c>
      <c r="H1889" t="s">
        <v>765</v>
      </c>
      <c r="I1889" t="s">
        <v>766</v>
      </c>
      <c r="J1889" t="s">
        <v>767</v>
      </c>
      <c r="K1889" t="s">
        <v>444</v>
      </c>
      <c r="L1889" t="s">
        <v>774</v>
      </c>
      <c r="M1889" t="s">
        <v>408</v>
      </c>
      <c r="N1889" t="s">
        <v>11</v>
      </c>
      <c r="O1889" t="s">
        <v>11</v>
      </c>
      <c r="P1889" t="s">
        <v>2</v>
      </c>
      <c r="Q1889" t="s">
        <v>408</v>
      </c>
      <c r="R1889" t="s">
        <v>439</v>
      </c>
      <c r="S1889" t="s">
        <v>451</v>
      </c>
      <c r="T1889" t="s">
        <v>11</v>
      </c>
      <c r="U1889" t="s">
        <v>408</v>
      </c>
    </row>
    <row r="1890" spans="1:21" x14ac:dyDescent="0.25">
      <c r="A1890">
        <v>19050398</v>
      </c>
      <c r="B1890" t="s">
        <v>340</v>
      </c>
      <c r="C1890" t="s">
        <v>26</v>
      </c>
      <c r="D1890" t="s">
        <v>12</v>
      </c>
      <c r="E1890" t="s">
        <v>623</v>
      </c>
      <c r="F1890" t="s">
        <v>35</v>
      </c>
      <c r="G1890" t="s">
        <v>468</v>
      </c>
      <c r="H1890" t="s">
        <v>603</v>
      </c>
      <c r="I1890" t="s">
        <v>604</v>
      </c>
      <c r="J1890" t="s">
        <v>605</v>
      </c>
      <c r="K1890" t="s">
        <v>606</v>
      </c>
      <c r="L1890" t="s">
        <v>367</v>
      </c>
      <c r="M1890" t="s">
        <v>408</v>
      </c>
      <c r="N1890" t="s">
        <v>11</v>
      </c>
      <c r="O1890" t="s">
        <v>11</v>
      </c>
      <c r="P1890" t="s">
        <v>2</v>
      </c>
      <c r="Q1890" t="s">
        <v>408</v>
      </c>
      <c r="R1890" t="s">
        <v>439</v>
      </c>
      <c r="S1890" t="s">
        <v>451</v>
      </c>
      <c r="T1890" t="s">
        <v>11</v>
      </c>
      <c r="U1890" t="s">
        <v>408</v>
      </c>
    </row>
    <row r="1891" spans="1:21" x14ac:dyDescent="0.25">
      <c r="A1891">
        <v>19050399</v>
      </c>
      <c r="B1891" t="s">
        <v>340</v>
      </c>
      <c r="C1891" t="s">
        <v>26</v>
      </c>
      <c r="D1891" t="s">
        <v>12</v>
      </c>
      <c r="E1891" t="s">
        <v>623</v>
      </c>
      <c r="F1891" t="s">
        <v>194</v>
      </c>
      <c r="G1891" t="s">
        <v>468</v>
      </c>
      <c r="H1891" t="s">
        <v>603</v>
      </c>
      <c r="I1891" t="s">
        <v>604</v>
      </c>
      <c r="J1891" t="s">
        <v>605</v>
      </c>
      <c r="K1891" t="s">
        <v>606</v>
      </c>
      <c r="L1891" t="s">
        <v>367</v>
      </c>
      <c r="M1891" t="s">
        <v>408</v>
      </c>
      <c r="N1891" t="s">
        <v>11</v>
      </c>
      <c r="O1891" t="s">
        <v>11</v>
      </c>
      <c r="P1891" t="s">
        <v>2</v>
      </c>
      <c r="Q1891" t="s">
        <v>408</v>
      </c>
      <c r="R1891" t="s">
        <v>439</v>
      </c>
      <c r="S1891" t="s">
        <v>451</v>
      </c>
      <c r="T1891" t="s">
        <v>11</v>
      </c>
      <c r="U1891" t="s">
        <v>408</v>
      </c>
    </row>
    <row r="1892" spans="1:21" x14ac:dyDescent="0.25">
      <c r="A1892">
        <v>16390432</v>
      </c>
      <c r="B1892" t="s">
        <v>340</v>
      </c>
      <c r="C1892" t="s">
        <v>26</v>
      </c>
      <c r="D1892" t="s">
        <v>79</v>
      </c>
      <c r="E1892" t="s">
        <v>410</v>
      </c>
      <c r="F1892" t="s">
        <v>74</v>
      </c>
      <c r="G1892" t="s">
        <v>369</v>
      </c>
      <c r="H1892" t="s">
        <v>715</v>
      </c>
      <c r="I1892" t="s">
        <v>716</v>
      </c>
      <c r="J1892" t="s">
        <v>717</v>
      </c>
      <c r="K1892" t="s">
        <v>438</v>
      </c>
      <c r="L1892" t="s">
        <v>792</v>
      </c>
      <c r="M1892" t="s">
        <v>408</v>
      </c>
      <c r="N1892" t="s">
        <v>408</v>
      </c>
      <c r="O1892" t="s">
        <v>11</v>
      </c>
      <c r="P1892" t="s">
        <v>0</v>
      </c>
      <c r="Q1892" t="s">
        <v>408</v>
      </c>
      <c r="R1892" t="s">
        <v>439</v>
      </c>
      <c r="S1892" t="s">
        <v>440</v>
      </c>
      <c r="T1892" t="s">
        <v>408</v>
      </c>
      <c r="U1892" t="s">
        <v>408</v>
      </c>
    </row>
    <row r="1893" spans="1:21" x14ac:dyDescent="0.25">
      <c r="A1893">
        <v>16390433</v>
      </c>
      <c r="B1893" t="s">
        <v>340</v>
      </c>
      <c r="C1893" t="s">
        <v>26</v>
      </c>
      <c r="D1893" t="s">
        <v>24</v>
      </c>
      <c r="E1893" t="s">
        <v>410</v>
      </c>
      <c r="F1893" t="s">
        <v>74</v>
      </c>
      <c r="G1893" t="s">
        <v>468</v>
      </c>
      <c r="H1893" t="s">
        <v>715</v>
      </c>
      <c r="I1893" t="s">
        <v>716</v>
      </c>
      <c r="J1893" t="s">
        <v>717</v>
      </c>
      <c r="K1893" t="s">
        <v>438</v>
      </c>
      <c r="L1893" t="s">
        <v>375</v>
      </c>
      <c r="M1893" t="s">
        <v>408</v>
      </c>
      <c r="N1893" t="s">
        <v>11</v>
      </c>
      <c r="O1893" t="s">
        <v>11</v>
      </c>
      <c r="P1893" t="s">
        <v>0</v>
      </c>
      <c r="Q1893" t="s">
        <v>408</v>
      </c>
      <c r="R1893" t="s">
        <v>439</v>
      </c>
      <c r="S1893" t="s">
        <v>440</v>
      </c>
      <c r="T1893" t="s">
        <v>11</v>
      </c>
      <c r="U1893" t="s">
        <v>408</v>
      </c>
    </row>
    <row r="1894" spans="1:21" x14ac:dyDescent="0.25">
      <c r="A1894">
        <v>16390434</v>
      </c>
      <c r="B1894" t="s">
        <v>340</v>
      </c>
      <c r="C1894" t="s">
        <v>26</v>
      </c>
      <c r="D1894" t="s">
        <v>12</v>
      </c>
      <c r="E1894" t="s">
        <v>410</v>
      </c>
      <c r="F1894" t="s">
        <v>74</v>
      </c>
      <c r="G1894" t="s">
        <v>468</v>
      </c>
      <c r="H1894" t="s">
        <v>447</v>
      </c>
      <c r="I1894" t="s">
        <v>448</v>
      </c>
      <c r="J1894" t="s">
        <v>449</v>
      </c>
      <c r="K1894" t="s">
        <v>450</v>
      </c>
      <c r="L1894" t="s">
        <v>367</v>
      </c>
      <c r="M1894" t="s">
        <v>408</v>
      </c>
      <c r="N1894" t="s">
        <v>408</v>
      </c>
      <c r="O1894" t="s">
        <v>11</v>
      </c>
      <c r="P1894" t="s">
        <v>0</v>
      </c>
      <c r="Q1894" t="s">
        <v>408</v>
      </c>
      <c r="R1894" t="s">
        <v>439</v>
      </c>
      <c r="S1894" t="s">
        <v>451</v>
      </c>
      <c r="T1894" t="s">
        <v>408</v>
      </c>
      <c r="U1894" t="s">
        <v>408</v>
      </c>
    </row>
    <row r="1895" spans="1:21" x14ac:dyDescent="0.25">
      <c r="A1895">
        <v>16390437</v>
      </c>
      <c r="B1895" t="s">
        <v>340</v>
      </c>
      <c r="C1895" t="s">
        <v>26</v>
      </c>
      <c r="D1895" t="s">
        <v>18</v>
      </c>
      <c r="E1895" t="s">
        <v>601</v>
      </c>
      <c r="F1895" t="s">
        <v>47</v>
      </c>
      <c r="G1895" t="s">
        <v>468</v>
      </c>
      <c r="H1895" t="s">
        <v>447</v>
      </c>
      <c r="I1895" t="s">
        <v>448</v>
      </c>
      <c r="J1895" t="s">
        <v>449</v>
      </c>
      <c r="K1895" t="s">
        <v>450</v>
      </c>
      <c r="L1895" t="s">
        <v>367</v>
      </c>
      <c r="M1895" t="s">
        <v>408</v>
      </c>
      <c r="N1895" t="s">
        <v>408</v>
      </c>
      <c r="O1895" t="s">
        <v>11</v>
      </c>
      <c r="P1895" t="s">
        <v>0</v>
      </c>
      <c r="Q1895" t="s">
        <v>408</v>
      </c>
      <c r="R1895" t="s">
        <v>439</v>
      </c>
      <c r="S1895" t="s">
        <v>451</v>
      </c>
      <c r="T1895" t="s">
        <v>408</v>
      </c>
      <c r="U1895" t="s">
        <v>408</v>
      </c>
    </row>
    <row r="1896" spans="1:21" x14ac:dyDescent="0.25">
      <c r="A1896">
        <v>16390438</v>
      </c>
      <c r="B1896" t="s">
        <v>342</v>
      </c>
      <c r="C1896" t="s">
        <v>89</v>
      </c>
      <c r="D1896" t="s">
        <v>12</v>
      </c>
      <c r="E1896" t="s">
        <v>623</v>
      </c>
      <c r="F1896" t="s">
        <v>196</v>
      </c>
      <c r="G1896" t="s">
        <v>468</v>
      </c>
      <c r="H1896" t="s">
        <v>779</v>
      </c>
      <c r="I1896" t="s">
        <v>780</v>
      </c>
      <c r="J1896" t="s">
        <v>781</v>
      </c>
      <c r="K1896" t="s">
        <v>450</v>
      </c>
      <c r="L1896" t="s">
        <v>777</v>
      </c>
      <c r="M1896" t="s">
        <v>408</v>
      </c>
      <c r="N1896" t="s">
        <v>11</v>
      </c>
      <c r="O1896" t="s">
        <v>11</v>
      </c>
      <c r="P1896" t="s">
        <v>0</v>
      </c>
      <c r="Q1896" t="s">
        <v>408</v>
      </c>
      <c r="R1896" t="s">
        <v>439</v>
      </c>
      <c r="S1896" t="s">
        <v>451</v>
      </c>
      <c r="T1896" t="s">
        <v>11</v>
      </c>
      <c r="U1896" t="s">
        <v>408</v>
      </c>
    </row>
    <row r="1897" spans="1:21" x14ac:dyDescent="0.25">
      <c r="A1897">
        <v>16390439</v>
      </c>
      <c r="B1897" t="s">
        <v>340</v>
      </c>
      <c r="C1897" t="s">
        <v>26</v>
      </c>
      <c r="D1897" t="s">
        <v>18</v>
      </c>
      <c r="E1897" t="s">
        <v>739</v>
      </c>
      <c r="F1897" t="s">
        <v>107</v>
      </c>
      <c r="G1897" t="s">
        <v>369</v>
      </c>
      <c r="H1897" t="s">
        <v>793</v>
      </c>
      <c r="I1897" t="s">
        <v>794</v>
      </c>
      <c r="J1897" t="s">
        <v>795</v>
      </c>
      <c r="K1897" t="s">
        <v>796</v>
      </c>
      <c r="L1897" t="s">
        <v>0</v>
      </c>
      <c r="M1897" t="s">
        <v>11</v>
      </c>
      <c r="N1897" t="s">
        <v>11</v>
      </c>
      <c r="O1897" t="s">
        <v>11</v>
      </c>
      <c r="P1897" t="s">
        <v>0</v>
      </c>
      <c r="Q1897" t="s">
        <v>408</v>
      </c>
      <c r="R1897" t="s">
        <v>439</v>
      </c>
      <c r="S1897" t="s">
        <v>440</v>
      </c>
      <c r="T1897" t="s">
        <v>408</v>
      </c>
      <c r="U1897" t="s">
        <v>408</v>
      </c>
    </row>
    <row r="1898" spans="1:21" x14ac:dyDescent="0.25">
      <c r="A1898">
        <v>16390440</v>
      </c>
      <c r="B1898" t="s">
        <v>340</v>
      </c>
      <c r="C1898" t="s">
        <v>86</v>
      </c>
      <c r="D1898" t="s">
        <v>18</v>
      </c>
      <c r="E1898" t="s">
        <v>739</v>
      </c>
      <c r="F1898" t="s">
        <v>107</v>
      </c>
      <c r="G1898" t="s">
        <v>468</v>
      </c>
      <c r="H1898" t="s">
        <v>603</v>
      </c>
      <c r="I1898" t="s">
        <v>604</v>
      </c>
      <c r="J1898" t="s">
        <v>605</v>
      </c>
      <c r="K1898" t="s">
        <v>606</v>
      </c>
      <c r="L1898" t="s">
        <v>793</v>
      </c>
      <c r="M1898" t="s">
        <v>11</v>
      </c>
      <c r="N1898" t="s">
        <v>11</v>
      </c>
      <c r="O1898" t="s">
        <v>11</v>
      </c>
      <c r="P1898" t="s">
        <v>0</v>
      </c>
      <c r="Q1898" t="s">
        <v>408</v>
      </c>
      <c r="R1898" t="s">
        <v>439</v>
      </c>
      <c r="S1898" t="s">
        <v>451</v>
      </c>
      <c r="T1898" t="s">
        <v>408</v>
      </c>
      <c r="U1898" t="s">
        <v>408</v>
      </c>
    </row>
    <row r="1899" spans="1:21" x14ac:dyDescent="0.25">
      <c r="A1899">
        <v>16390441</v>
      </c>
      <c r="B1899" t="s">
        <v>340</v>
      </c>
      <c r="C1899" t="s">
        <v>86</v>
      </c>
      <c r="D1899" t="s">
        <v>12</v>
      </c>
      <c r="E1899" t="s">
        <v>739</v>
      </c>
      <c r="F1899" t="s">
        <v>107</v>
      </c>
      <c r="G1899" t="s">
        <v>468</v>
      </c>
      <c r="H1899" t="s">
        <v>793</v>
      </c>
      <c r="I1899" t="s">
        <v>794</v>
      </c>
      <c r="J1899" t="s">
        <v>795</v>
      </c>
      <c r="K1899" t="s">
        <v>796</v>
      </c>
      <c r="L1899" t="s">
        <v>0</v>
      </c>
      <c r="M1899" t="s">
        <v>11</v>
      </c>
      <c r="N1899" t="s">
        <v>11</v>
      </c>
      <c r="O1899" t="s">
        <v>11</v>
      </c>
      <c r="P1899" t="s">
        <v>0</v>
      </c>
      <c r="Q1899" t="s">
        <v>408</v>
      </c>
      <c r="R1899" t="s">
        <v>439</v>
      </c>
      <c r="S1899" t="s">
        <v>440</v>
      </c>
      <c r="T1899" t="s">
        <v>408</v>
      </c>
      <c r="U1899" t="s">
        <v>408</v>
      </c>
    </row>
    <row r="1900" spans="1:21" x14ac:dyDescent="0.25">
      <c r="A1900">
        <v>16390442</v>
      </c>
      <c r="B1900" t="s">
        <v>340</v>
      </c>
      <c r="C1900" t="s">
        <v>86</v>
      </c>
      <c r="D1900" t="s">
        <v>12</v>
      </c>
      <c r="E1900" t="s">
        <v>739</v>
      </c>
      <c r="F1900" t="s">
        <v>107</v>
      </c>
      <c r="G1900" t="s">
        <v>468</v>
      </c>
      <c r="H1900" t="s">
        <v>603</v>
      </c>
      <c r="I1900" t="s">
        <v>604</v>
      </c>
      <c r="J1900" t="s">
        <v>605</v>
      </c>
      <c r="K1900" t="s">
        <v>606</v>
      </c>
      <c r="L1900" t="s">
        <v>793</v>
      </c>
      <c r="M1900" t="s">
        <v>11</v>
      </c>
      <c r="N1900" t="s">
        <v>11</v>
      </c>
      <c r="O1900" t="s">
        <v>11</v>
      </c>
      <c r="P1900" t="s">
        <v>0</v>
      </c>
      <c r="Q1900" t="s">
        <v>408</v>
      </c>
      <c r="R1900" t="s">
        <v>439</v>
      </c>
      <c r="S1900" t="s">
        <v>451</v>
      </c>
      <c r="T1900" t="s">
        <v>408</v>
      </c>
      <c r="U1900" t="s">
        <v>408</v>
      </c>
    </row>
    <row r="1901" spans="1:21" x14ac:dyDescent="0.25">
      <c r="A1901">
        <v>16390443</v>
      </c>
      <c r="B1901" t="s">
        <v>340</v>
      </c>
      <c r="C1901" t="s">
        <v>26</v>
      </c>
      <c r="D1901" t="s">
        <v>12</v>
      </c>
      <c r="E1901" t="s">
        <v>621</v>
      </c>
      <c r="F1901" t="s">
        <v>797</v>
      </c>
      <c r="G1901" t="s">
        <v>468</v>
      </c>
      <c r="H1901" t="s">
        <v>798</v>
      </c>
      <c r="I1901" t="s">
        <v>799</v>
      </c>
      <c r="J1901" t="s">
        <v>800</v>
      </c>
      <c r="K1901" t="s">
        <v>453</v>
      </c>
      <c r="L1901" t="s">
        <v>801</v>
      </c>
      <c r="M1901" t="s">
        <v>11</v>
      </c>
      <c r="N1901" t="s">
        <v>11</v>
      </c>
      <c r="O1901" t="s">
        <v>11</v>
      </c>
      <c r="P1901" t="s">
        <v>0</v>
      </c>
      <c r="Q1901" t="s">
        <v>408</v>
      </c>
      <c r="R1901" t="s">
        <v>439</v>
      </c>
      <c r="S1901" t="s">
        <v>451</v>
      </c>
      <c r="T1901" t="s">
        <v>408</v>
      </c>
      <c r="U1901" t="s">
        <v>408</v>
      </c>
    </row>
    <row r="1902" spans="1:21" x14ac:dyDescent="0.25">
      <c r="A1902">
        <v>16390445</v>
      </c>
      <c r="B1902" t="s">
        <v>342</v>
      </c>
      <c r="C1902" t="s">
        <v>89</v>
      </c>
      <c r="D1902" t="s">
        <v>24</v>
      </c>
      <c r="E1902" t="s">
        <v>621</v>
      </c>
      <c r="F1902" t="s">
        <v>318</v>
      </c>
      <c r="G1902" t="s">
        <v>468</v>
      </c>
      <c r="H1902" t="s">
        <v>715</v>
      </c>
      <c r="I1902" t="s">
        <v>716</v>
      </c>
      <c r="J1902" t="s">
        <v>717</v>
      </c>
      <c r="K1902" t="s">
        <v>438</v>
      </c>
      <c r="L1902" t="s">
        <v>777</v>
      </c>
      <c r="M1902" t="s">
        <v>408</v>
      </c>
      <c r="N1902" t="s">
        <v>11</v>
      </c>
      <c r="O1902" t="s">
        <v>11</v>
      </c>
      <c r="P1902" t="s">
        <v>0</v>
      </c>
      <c r="Q1902" t="s">
        <v>408</v>
      </c>
      <c r="R1902" t="s">
        <v>439</v>
      </c>
      <c r="S1902" t="s">
        <v>440</v>
      </c>
      <c r="T1902" t="s">
        <v>11</v>
      </c>
      <c r="U1902" t="s">
        <v>408</v>
      </c>
    </row>
    <row r="1903" spans="1:21" x14ac:dyDescent="0.25">
      <c r="A1903">
        <v>16390446</v>
      </c>
      <c r="B1903" t="s">
        <v>342</v>
      </c>
      <c r="C1903" t="s">
        <v>89</v>
      </c>
      <c r="D1903" t="s">
        <v>12</v>
      </c>
      <c r="E1903" t="s">
        <v>621</v>
      </c>
      <c r="F1903" t="s">
        <v>195</v>
      </c>
      <c r="G1903" t="s">
        <v>468</v>
      </c>
      <c r="H1903" t="s">
        <v>765</v>
      </c>
      <c r="I1903" t="s">
        <v>766</v>
      </c>
      <c r="J1903" t="s">
        <v>767</v>
      </c>
      <c r="K1903" t="s">
        <v>444</v>
      </c>
      <c r="L1903" t="s">
        <v>675</v>
      </c>
      <c r="M1903" t="s">
        <v>408</v>
      </c>
      <c r="N1903" t="s">
        <v>11</v>
      </c>
      <c r="O1903" t="s">
        <v>408</v>
      </c>
      <c r="P1903" t="s">
        <v>5</v>
      </c>
      <c r="Q1903" t="s">
        <v>408</v>
      </c>
      <c r="R1903" t="s">
        <v>439</v>
      </c>
      <c r="S1903" t="s">
        <v>451</v>
      </c>
      <c r="T1903" t="s">
        <v>11</v>
      </c>
      <c r="U1903" t="s">
        <v>408</v>
      </c>
    </row>
    <row r="1904" spans="1:21" x14ac:dyDescent="0.25">
      <c r="A1904">
        <v>16390447</v>
      </c>
      <c r="B1904" t="s">
        <v>340</v>
      </c>
      <c r="C1904" t="s">
        <v>26</v>
      </c>
      <c r="D1904" t="s">
        <v>12</v>
      </c>
      <c r="E1904" t="s">
        <v>513</v>
      </c>
      <c r="F1904" t="s">
        <v>802</v>
      </c>
      <c r="G1904" t="s">
        <v>468</v>
      </c>
      <c r="H1904" t="s">
        <v>765</v>
      </c>
      <c r="I1904" t="s">
        <v>766</v>
      </c>
      <c r="J1904" t="s">
        <v>767</v>
      </c>
      <c r="K1904" t="s">
        <v>444</v>
      </c>
      <c r="L1904" t="s">
        <v>675</v>
      </c>
      <c r="M1904" t="s">
        <v>408</v>
      </c>
      <c r="N1904" t="s">
        <v>11</v>
      </c>
      <c r="O1904" t="s">
        <v>11</v>
      </c>
      <c r="P1904" t="s">
        <v>5</v>
      </c>
      <c r="Q1904" t="s">
        <v>408</v>
      </c>
      <c r="R1904" t="s">
        <v>439</v>
      </c>
      <c r="S1904" t="s">
        <v>451</v>
      </c>
      <c r="T1904" t="s">
        <v>11</v>
      </c>
      <c r="U1904" t="s">
        <v>408</v>
      </c>
    </row>
    <row r="1905" spans="1:21" x14ac:dyDescent="0.25">
      <c r="A1905">
        <v>16390448</v>
      </c>
      <c r="B1905" t="s">
        <v>340</v>
      </c>
      <c r="C1905" t="s">
        <v>86</v>
      </c>
      <c r="D1905" t="s">
        <v>12</v>
      </c>
      <c r="E1905" t="s">
        <v>513</v>
      </c>
      <c r="F1905" t="s">
        <v>803</v>
      </c>
      <c r="G1905" t="s">
        <v>468</v>
      </c>
      <c r="H1905" t="s">
        <v>779</v>
      </c>
      <c r="I1905" t="s">
        <v>780</v>
      </c>
      <c r="J1905" t="s">
        <v>781</v>
      </c>
      <c r="K1905" t="s">
        <v>450</v>
      </c>
      <c r="L1905" t="s">
        <v>777</v>
      </c>
      <c r="M1905" t="s">
        <v>408</v>
      </c>
      <c r="N1905" t="s">
        <v>11</v>
      </c>
      <c r="O1905" t="s">
        <v>11</v>
      </c>
      <c r="P1905" t="s">
        <v>5</v>
      </c>
      <c r="Q1905" t="s">
        <v>408</v>
      </c>
      <c r="R1905" t="s">
        <v>439</v>
      </c>
      <c r="S1905" t="s">
        <v>451</v>
      </c>
      <c r="T1905" t="s">
        <v>11</v>
      </c>
      <c r="U1905" t="s">
        <v>408</v>
      </c>
    </row>
    <row r="1906" spans="1:21" x14ac:dyDescent="0.25">
      <c r="A1906">
        <v>16390449</v>
      </c>
      <c r="B1906" t="s">
        <v>342</v>
      </c>
      <c r="C1906" t="s">
        <v>89</v>
      </c>
      <c r="D1906" t="s">
        <v>12</v>
      </c>
      <c r="E1906" t="s">
        <v>513</v>
      </c>
      <c r="F1906" t="s">
        <v>803</v>
      </c>
      <c r="G1906" t="s">
        <v>468</v>
      </c>
      <c r="H1906" t="s">
        <v>617</v>
      </c>
      <c r="I1906" t="s">
        <v>618</v>
      </c>
      <c r="J1906" t="s">
        <v>619</v>
      </c>
      <c r="K1906" t="s">
        <v>606</v>
      </c>
      <c r="L1906" t="s">
        <v>768</v>
      </c>
      <c r="M1906" t="s">
        <v>408</v>
      </c>
      <c r="N1906" t="s">
        <v>11</v>
      </c>
      <c r="O1906" t="s">
        <v>11</v>
      </c>
      <c r="P1906" t="s">
        <v>5</v>
      </c>
      <c r="Q1906" t="s">
        <v>408</v>
      </c>
      <c r="R1906" t="s">
        <v>439</v>
      </c>
      <c r="S1906" t="s">
        <v>451</v>
      </c>
      <c r="T1906" t="s">
        <v>11</v>
      </c>
      <c r="U1906" t="s">
        <v>408</v>
      </c>
    </row>
    <row r="1907" spans="1:21" x14ac:dyDescent="0.25">
      <c r="A1907">
        <v>16390450</v>
      </c>
      <c r="B1907" t="s">
        <v>342</v>
      </c>
      <c r="C1907" t="s">
        <v>89</v>
      </c>
      <c r="D1907" t="s">
        <v>12</v>
      </c>
      <c r="E1907" t="s">
        <v>739</v>
      </c>
      <c r="F1907" t="s">
        <v>103</v>
      </c>
      <c r="G1907" t="s">
        <v>468</v>
      </c>
      <c r="H1907" t="s">
        <v>715</v>
      </c>
      <c r="I1907" t="s">
        <v>716</v>
      </c>
      <c r="J1907" t="s">
        <v>717</v>
      </c>
      <c r="K1907" t="s">
        <v>438</v>
      </c>
      <c r="L1907" t="s">
        <v>804</v>
      </c>
      <c r="M1907" t="s">
        <v>408</v>
      </c>
      <c r="N1907" t="s">
        <v>11</v>
      </c>
      <c r="O1907" t="s">
        <v>11</v>
      </c>
      <c r="P1907" t="s">
        <v>0</v>
      </c>
      <c r="Q1907" t="s">
        <v>408</v>
      </c>
      <c r="R1907" t="s">
        <v>439</v>
      </c>
      <c r="S1907" t="s">
        <v>440</v>
      </c>
      <c r="T1907" t="s">
        <v>11</v>
      </c>
      <c r="U1907" t="s">
        <v>408</v>
      </c>
    </row>
    <row r="1908" spans="1:21" x14ac:dyDescent="0.25">
      <c r="A1908">
        <v>16390457</v>
      </c>
      <c r="B1908" t="s">
        <v>340</v>
      </c>
      <c r="C1908" t="s">
        <v>86</v>
      </c>
      <c r="D1908" t="s">
        <v>12</v>
      </c>
      <c r="E1908" t="s">
        <v>623</v>
      </c>
      <c r="F1908" t="s">
        <v>196</v>
      </c>
      <c r="G1908" t="s">
        <v>468</v>
      </c>
      <c r="H1908" t="s">
        <v>8</v>
      </c>
      <c r="I1908" t="s">
        <v>436</v>
      </c>
      <c r="J1908" t="s">
        <v>458</v>
      </c>
      <c r="K1908" t="s">
        <v>438</v>
      </c>
      <c r="L1908" t="s">
        <v>1</v>
      </c>
      <c r="M1908" t="s">
        <v>408</v>
      </c>
      <c r="N1908" t="s">
        <v>11</v>
      </c>
      <c r="O1908" t="s">
        <v>408</v>
      </c>
      <c r="P1908" t="s">
        <v>1</v>
      </c>
      <c r="Q1908" t="s">
        <v>408</v>
      </c>
      <c r="R1908" t="s">
        <v>439</v>
      </c>
      <c r="S1908" t="s">
        <v>440</v>
      </c>
      <c r="T1908" t="s">
        <v>11</v>
      </c>
      <c r="U1908" t="s">
        <v>408</v>
      </c>
    </row>
    <row r="1909" spans="1:21" x14ac:dyDescent="0.25">
      <c r="A1909">
        <v>16390482</v>
      </c>
      <c r="B1909" t="s">
        <v>342</v>
      </c>
      <c r="C1909" t="s">
        <v>33</v>
      </c>
      <c r="D1909" t="s">
        <v>12</v>
      </c>
      <c r="E1909" t="s">
        <v>621</v>
      </c>
      <c r="F1909" t="s">
        <v>770</v>
      </c>
      <c r="G1909" t="s">
        <v>369</v>
      </c>
      <c r="H1909" t="s">
        <v>805</v>
      </c>
      <c r="I1909" t="s">
        <v>806</v>
      </c>
      <c r="J1909" t="s">
        <v>807</v>
      </c>
      <c r="K1909" t="s">
        <v>453</v>
      </c>
      <c r="L1909" t="s">
        <v>676</v>
      </c>
      <c r="M1909" t="s">
        <v>408</v>
      </c>
      <c r="N1909" t="s">
        <v>11</v>
      </c>
      <c r="O1909" t="s">
        <v>11</v>
      </c>
      <c r="P1909" t="s">
        <v>0</v>
      </c>
      <c r="Q1909" t="s">
        <v>408</v>
      </c>
      <c r="R1909" t="s">
        <v>439</v>
      </c>
      <c r="S1909" t="s">
        <v>451</v>
      </c>
      <c r="T1909" t="s">
        <v>11</v>
      </c>
      <c r="U1909" t="s">
        <v>408</v>
      </c>
    </row>
    <row r="1910" spans="1:21" x14ac:dyDescent="0.25">
      <c r="A1910">
        <v>16390483</v>
      </c>
      <c r="B1910" t="s">
        <v>342</v>
      </c>
      <c r="C1910" t="s">
        <v>89</v>
      </c>
      <c r="D1910" t="s">
        <v>18</v>
      </c>
      <c r="E1910" t="s">
        <v>623</v>
      </c>
      <c r="F1910" t="s">
        <v>808</v>
      </c>
      <c r="G1910" t="s">
        <v>468</v>
      </c>
      <c r="H1910" t="s">
        <v>676</v>
      </c>
      <c r="I1910" t="s">
        <v>809</v>
      </c>
      <c r="J1910" t="s">
        <v>810</v>
      </c>
      <c r="K1910" t="s">
        <v>444</v>
      </c>
      <c r="L1910" t="s">
        <v>0</v>
      </c>
      <c r="M1910" t="s">
        <v>408</v>
      </c>
      <c r="N1910" t="s">
        <v>11</v>
      </c>
      <c r="O1910" t="s">
        <v>11</v>
      </c>
      <c r="P1910" t="s">
        <v>0</v>
      </c>
      <c r="Q1910" t="s">
        <v>408</v>
      </c>
      <c r="R1910" t="s">
        <v>439</v>
      </c>
      <c r="S1910" t="s">
        <v>451</v>
      </c>
      <c r="T1910" t="s">
        <v>11</v>
      </c>
      <c r="U1910" t="s">
        <v>408</v>
      </c>
    </row>
    <row r="1911" spans="1:21" x14ac:dyDescent="0.25">
      <c r="A1911">
        <v>16390484</v>
      </c>
      <c r="B1911" t="s">
        <v>342</v>
      </c>
      <c r="C1911" t="s">
        <v>33</v>
      </c>
      <c r="D1911" t="s">
        <v>12</v>
      </c>
      <c r="E1911" t="s">
        <v>621</v>
      </c>
      <c r="F1911" t="s">
        <v>811</v>
      </c>
      <c r="G1911" t="s">
        <v>468</v>
      </c>
      <c r="H1911" t="s">
        <v>812</v>
      </c>
      <c r="I1911" t="s">
        <v>813</v>
      </c>
      <c r="J1911" t="s">
        <v>814</v>
      </c>
      <c r="K1911" t="s">
        <v>438</v>
      </c>
      <c r="L1911" t="s">
        <v>815</v>
      </c>
      <c r="M1911" t="s">
        <v>11</v>
      </c>
      <c r="N1911" t="s">
        <v>11</v>
      </c>
      <c r="O1911" t="s">
        <v>408</v>
      </c>
      <c r="P1911" t="s">
        <v>0</v>
      </c>
      <c r="Q1911" t="s">
        <v>408</v>
      </c>
      <c r="R1911" t="s">
        <v>439</v>
      </c>
      <c r="S1911" t="s">
        <v>451</v>
      </c>
      <c r="T1911" t="s">
        <v>408</v>
      </c>
      <c r="U1911" t="s">
        <v>408</v>
      </c>
    </row>
    <row r="1912" spans="1:21" x14ac:dyDescent="0.25">
      <c r="A1912">
        <v>16390485</v>
      </c>
      <c r="B1912" t="s">
        <v>340</v>
      </c>
      <c r="C1912" t="s">
        <v>26</v>
      </c>
      <c r="D1912" t="s">
        <v>12</v>
      </c>
      <c r="E1912" t="s">
        <v>621</v>
      </c>
      <c r="F1912" t="s">
        <v>811</v>
      </c>
      <c r="G1912" t="s">
        <v>369</v>
      </c>
      <c r="H1912" t="s">
        <v>617</v>
      </c>
      <c r="I1912" t="s">
        <v>618</v>
      </c>
      <c r="J1912" t="s">
        <v>619</v>
      </c>
      <c r="K1912" t="s">
        <v>606</v>
      </c>
      <c r="L1912" t="s">
        <v>375</v>
      </c>
      <c r="M1912" t="s">
        <v>408</v>
      </c>
      <c r="N1912" t="s">
        <v>11</v>
      </c>
      <c r="O1912" t="s">
        <v>11</v>
      </c>
      <c r="P1912" t="s">
        <v>0</v>
      </c>
      <c r="Q1912" t="s">
        <v>408</v>
      </c>
      <c r="R1912" t="s">
        <v>439</v>
      </c>
      <c r="S1912" t="s">
        <v>451</v>
      </c>
      <c r="T1912" t="s">
        <v>11</v>
      </c>
      <c r="U1912" t="s">
        <v>408</v>
      </c>
    </row>
    <row r="1913" spans="1:21" x14ac:dyDescent="0.25">
      <c r="A1913">
        <v>16390486</v>
      </c>
      <c r="B1913" t="s">
        <v>340</v>
      </c>
      <c r="C1913" t="s">
        <v>86</v>
      </c>
      <c r="D1913" t="s">
        <v>12</v>
      </c>
      <c r="E1913" t="s">
        <v>621</v>
      </c>
      <c r="F1913" t="s">
        <v>195</v>
      </c>
      <c r="G1913" t="s">
        <v>468</v>
      </c>
      <c r="H1913" t="s">
        <v>617</v>
      </c>
      <c r="I1913" t="s">
        <v>618</v>
      </c>
      <c r="J1913" t="s">
        <v>619</v>
      </c>
      <c r="K1913" t="s">
        <v>606</v>
      </c>
      <c r="L1913" t="s">
        <v>78</v>
      </c>
      <c r="M1913" t="s">
        <v>408</v>
      </c>
      <c r="N1913" t="s">
        <v>11</v>
      </c>
      <c r="O1913" t="s">
        <v>11</v>
      </c>
      <c r="P1913" t="s">
        <v>0</v>
      </c>
      <c r="Q1913" t="s">
        <v>408</v>
      </c>
      <c r="R1913" t="s">
        <v>439</v>
      </c>
      <c r="S1913" t="s">
        <v>451</v>
      </c>
      <c r="T1913" t="s">
        <v>11</v>
      </c>
      <c r="U1913" t="s">
        <v>408</v>
      </c>
    </row>
    <row r="1914" spans="1:21" x14ac:dyDescent="0.25">
      <c r="A1914">
        <v>16390487</v>
      </c>
      <c r="B1914" t="s">
        <v>342</v>
      </c>
      <c r="C1914" t="s">
        <v>89</v>
      </c>
      <c r="D1914" t="s">
        <v>79</v>
      </c>
      <c r="E1914" t="s">
        <v>621</v>
      </c>
      <c r="F1914" t="s">
        <v>195</v>
      </c>
      <c r="G1914" t="s">
        <v>468</v>
      </c>
      <c r="H1914" t="s">
        <v>798</v>
      </c>
      <c r="I1914" t="s">
        <v>799</v>
      </c>
      <c r="J1914" t="s">
        <v>800</v>
      </c>
      <c r="K1914" t="s">
        <v>453</v>
      </c>
      <c r="L1914" t="s">
        <v>801</v>
      </c>
      <c r="M1914" t="s">
        <v>408</v>
      </c>
      <c r="N1914" t="s">
        <v>11</v>
      </c>
      <c r="O1914" t="s">
        <v>11</v>
      </c>
      <c r="P1914" t="s">
        <v>0</v>
      </c>
      <c r="Q1914" t="s">
        <v>408</v>
      </c>
      <c r="R1914" t="s">
        <v>439</v>
      </c>
      <c r="S1914" t="s">
        <v>451</v>
      </c>
      <c r="T1914" t="s">
        <v>11</v>
      </c>
      <c r="U1914" t="s">
        <v>408</v>
      </c>
    </row>
    <row r="1915" spans="1:21" x14ac:dyDescent="0.25">
      <c r="A1915">
        <v>16390488</v>
      </c>
      <c r="B1915" t="s">
        <v>342</v>
      </c>
      <c r="C1915" t="s">
        <v>33</v>
      </c>
      <c r="D1915" t="s">
        <v>24</v>
      </c>
      <c r="E1915" t="s">
        <v>621</v>
      </c>
      <c r="F1915" t="s">
        <v>195</v>
      </c>
      <c r="G1915" t="s">
        <v>369</v>
      </c>
      <c r="H1915" t="s">
        <v>805</v>
      </c>
      <c r="I1915" t="s">
        <v>806</v>
      </c>
      <c r="J1915" t="s">
        <v>807</v>
      </c>
      <c r="K1915" t="s">
        <v>453</v>
      </c>
      <c r="L1915" t="s">
        <v>676</v>
      </c>
      <c r="M1915" t="s">
        <v>408</v>
      </c>
      <c r="N1915" t="s">
        <v>11</v>
      </c>
      <c r="O1915" t="s">
        <v>11</v>
      </c>
      <c r="P1915" t="s">
        <v>0</v>
      </c>
      <c r="Q1915" t="s">
        <v>408</v>
      </c>
      <c r="R1915" t="s">
        <v>439</v>
      </c>
      <c r="S1915" t="s">
        <v>451</v>
      </c>
      <c r="T1915" t="s">
        <v>11</v>
      </c>
      <c r="U1915" t="s">
        <v>408</v>
      </c>
    </row>
    <row r="1916" spans="1:21" x14ac:dyDescent="0.25">
      <c r="A1916">
        <v>16390490</v>
      </c>
      <c r="B1916" t="s">
        <v>342</v>
      </c>
      <c r="C1916" t="s">
        <v>33</v>
      </c>
      <c r="D1916" t="s">
        <v>12</v>
      </c>
      <c r="E1916" t="s">
        <v>621</v>
      </c>
      <c r="F1916" t="s">
        <v>195</v>
      </c>
      <c r="G1916" t="s">
        <v>468</v>
      </c>
      <c r="H1916" t="s">
        <v>812</v>
      </c>
      <c r="I1916" t="s">
        <v>813</v>
      </c>
      <c r="J1916" t="s">
        <v>814</v>
      </c>
      <c r="K1916" t="s">
        <v>438</v>
      </c>
      <c r="L1916" t="s">
        <v>815</v>
      </c>
      <c r="M1916" t="s">
        <v>11</v>
      </c>
      <c r="N1916" t="s">
        <v>11</v>
      </c>
      <c r="O1916" t="s">
        <v>11</v>
      </c>
      <c r="P1916" t="s">
        <v>0</v>
      </c>
      <c r="Q1916" t="s">
        <v>408</v>
      </c>
      <c r="R1916" t="s">
        <v>439</v>
      </c>
      <c r="S1916" t="s">
        <v>451</v>
      </c>
      <c r="T1916" t="s">
        <v>408</v>
      </c>
      <c r="U1916" t="s">
        <v>408</v>
      </c>
    </row>
    <row r="1917" spans="1:21" x14ac:dyDescent="0.25">
      <c r="A1917">
        <v>16390492</v>
      </c>
      <c r="B1917" t="s">
        <v>342</v>
      </c>
      <c r="C1917" t="s">
        <v>33</v>
      </c>
      <c r="D1917" t="s">
        <v>79</v>
      </c>
      <c r="E1917" t="s">
        <v>508</v>
      </c>
      <c r="F1917" t="s">
        <v>773</v>
      </c>
      <c r="G1917" t="s">
        <v>468</v>
      </c>
      <c r="H1917" t="s">
        <v>816</v>
      </c>
      <c r="I1917" t="s">
        <v>817</v>
      </c>
      <c r="J1917" t="s">
        <v>818</v>
      </c>
      <c r="K1917" t="s">
        <v>764</v>
      </c>
      <c r="L1917" t="s">
        <v>819</v>
      </c>
      <c r="M1917" t="s">
        <v>408</v>
      </c>
      <c r="N1917" t="s">
        <v>11</v>
      </c>
      <c r="O1917" t="s">
        <v>11</v>
      </c>
      <c r="P1917" t="s">
        <v>0</v>
      </c>
      <c r="Q1917" t="s">
        <v>408</v>
      </c>
      <c r="R1917" t="s">
        <v>439</v>
      </c>
      <c r="S1917" t="s">
        <v>451</v>
      </c>
      <c r="T1917" t="s">
        <v>11</v>
      </c>
      <c r="U1917" t="s">
        <v>408</v>
      </c>
    </row>
    <row r="1918" spans="1:21" x14ac:dyDescent="0.25">
      <c r="A1918">
        <v>16390493</v>
      </c>
      <c r="B1918" t="s">
        <v>342</v>
      </c>
      <c r="C1918" t="s">
        <v>89</v>
      </c>
      <c r="D1918" t="s">
        <v>12</v>
      </c>
      <c r="E1918" t="s">
        <v>513</v>
      </c>
      <c r="F1918" t="s">
        <v>594</v>
      </c>
      <c r="G1918" t="s">
        <v>468</v>
      </c>
      <c r="H1918" t="s">
        <v>798</v>
      </c>
      <c r="I1918" t="s">
        <v>799</v>
      </c>
      <c r="J1918" t="s">
        <v>800</v>
      </c>
      <c r="K1918" t="s">
        <v>453</v>
      </c>
      <c r="L1918" t="s">
        <v>801</v>
      </c>
      <c r="M1918" t="s">
        <v>408</v>
      </c>
      <c r="N1918" t="s">
        <v>11</v>
      </c>
      <c r="O1918" t="s">
        <v>11</v>
      </c>
      <c r="P1918" t="s">
        <v>0</v>
      </c>
      <c r="Q1918" t="s">
        <v>408</v>
      </c>
      <c r="R1918" t="s">
        <v>439</v>
      </c>
      <c r="S1918" t="s">
        <v>451</v>
      </c>
      <c r="T1918" t="s">
        <v>11</v>
      </c>
      <c r="U1918" t="s">
        <v>408</v>
      </c>
    </row>
    <row r="1919" spans="1:21" x14ac:dyDescent="0.25">
      <c r="A1919">
        <v>16390494</v>
      </c>
      <c r="B1919" t="s">
        <v>342</v>
      </c>
      <c r="C1919" t="s">
        <v>33</v>
      </c>
      <c r="D1919" t="s">
        <v>12</v>
      </c>
      <c r="E1919" t="s">
        <v>513</v>
      </c>
      <c r="F1919" t="s">
        <v>594</v>
      </c>
      <c r="G1919" t="s">
        <v>369</v>
      </c>
      <c r="H1919" t="s">
        <v>805</v>
      </c>
      <c r="I1919" t="s">
        <v>806</v>
      </c>
      <c r="J1919" t="s">
        <v>807</v>
      </c>
      <c r="K1919" t="s">
        <v>453</v>
      </c>
      <c r="L1919" t="s">
        <v>676</v>
      </c>
      <c r="M1919" t="s">
        <v>408</v>
      </c>
      <c r="N1919" t="s">
        <v>11</v>
      </c>
      <c r="O1919" t="s">
        <v>11</v>
      </c>
      <c r="P1919" t="s">
        <v>0</v>
      </c>
      <c r="Q1919" t="s">
        <v>408</v>
      </c>
      <c r="R1919" t="s">
        <v>439</v>
      </c>
      <c r="S1919" t="s">
        <v>451</v>
      </c>
      <c r="T1919" t="s">
        <v>11</v>
      </c>
      <c r="U1919" t="s">
        <v>408</v>
      </c>
    </row>
    <row r="1920" spans="1:21" x14ac:dyDescent="0.25">
      <c r="A1920">
        <v>16390496</v>
      </c>
      <c r="B1920" t="s">
        <v>340</v>
      </c>
      <c r="C1920" t="s">
        <v>86</v>
      </c>
      <c r="D1920" t="s">
        <v>12</v>
      </c>
      <c r="E1920" t="s">
        <v>513</v>
      </c>
      <c r="F1920" t="s">
        <v>594</v>
      </c>
      <c r="G1920" t="s">
        <v>468</v>
      </c>
      <c r="H1920" t="s">
        <v>617</v>
      </c>
      <c r="I1920" t="s">
        <v>618</v>
      </c>
      <c r="J1920" t="s">
        <v>619</v>
      </c>
      <c r="K1920" t="s">
        <v>606</v>
      </c>
      <c r="L1920" t="s">
        <v>78</v>
      </c>
      <c r="M1920" t="s">
        <v>408</v>
      </c>
      <c r="N1920" t="s">
        <v>11</v>
      </c>
      <c r="O1920" t="s">
        <v>11</v>
      </c>
      <c r="P1920" t="s">
        <v>0</v>
      </c>
      <c r="Q1920" t="s">
        <v>408</v>
      </c>
      <c r="R1920" t="s">
        <v>439</v>
      </c>
      <c r="S1920" t="s">
        <v>451</v>
      </c>
      <c r="T1920" t="s">
        <v>11</v>
      </c>
      <c r="U1920" t="s">
        <v>408</v>
      </c>
    </row>
    <row r="1921" spans="1:21" x14ac:dyDescent="0.25">
      <c r="A1921">
        <v>16390497</v>
      </c>
      <c r="B1921" t="s">
        <v>342</v>
      </c>
      <c r="C1921" t="s">
        <v>89</v>
      </c>
      <c r="D1921" t="s">
        <v>12</v>
      </c>
      <c r="E1921" t="s">
        <v>513</v>
      </c>
      <c r="F1921" t="s">
        <v>594</v>
      </c>
      <c r="G1921" t="s">
        <v>468</v>
      </c>
      <c r="H1921" t="s">
        <v>820</v>
      </c>
      <c r="I1921" t="s">
        <v>821</v>
      </c>
      <c r="J1921" t="s">
        <v>822</v>
      </c>
      <c r="K1921" t="s">
        <v>701</v>
      </c>
      <c r="L1921" t="s">
        <v>793</v>
      </c>
      <c r="M1921" t="s">
        <v>11</v>
      </c>
      <c r="N1921" t="s">
        <v>11</v>
      </c>
      <c r="O1921" t="s">
        <v>11</v>
      </c>
      <c r="P1921" t="s">
        <v>0</v>
      </c>
      <c r="Q1921" t="s">
        <v>408</v>
      </c>
      <c r="R1921" t="s">
        <v>439</v>
      </c>
      <c r="S1921" t="s">
        <v>451</v>
      </c>
      <c r="T1921" t="s">
        <v>408</v>
      </c>
      <c r="U1921" t="s">
        <v>408</v>
      </c>
    </row>
    <row r="1922" spans="1:21" x14ac:dyDescent="0.25">
      <c r="A1922">
        <v>16390498</v>
      </c>
      <c r="B1922" t="s">
        <v>340</v>
      </c>
      <c r="C1922" t="s">
        <v>26</v>
      </c>
      <c r="D1922" t="s">
        <v>18</v>
      </c>
      <c r="E1922" t="s">
        <v>621</v>
      </c>
      <c r="F1922" t="s">
        <v>318</v>
      </c>
      <c r="G1922" t="s">
        <v>468</v>
      </c>
      <c r="H1922" t="s">
        <v>775</v>
      </c>
      <c r="I1922" t="s">
        <v>776</v>
      </c>
      <c r="J1922" t="s">
        <v>776</v>
      </c>
      <c r="K1922" t="s">
        <v>450</v>
      </c>
      <c r="L1922" t="s">
        <v>823</v>
      </c>
      <c r="M1922" t="s">
        <v>11</v>
      </c>
      <c r="N1922" t="s">
        <v>11</v>
      </c>
      <c r="O1922" t="s">
        <v>11</v>
      </c>
      <c r="P1922" t="s">
        <v>0</v>
      </c>
      <c r="Q1922" t="s">
        <v>408</v>
      </c>
      <c r="R1922" t="s">
        <v>439</v>
      </c>
      <c r="S1922" t="s">
        <v>451</v>
      </c>
      <c r="T1922" t="s">
        <v>408</v>
      </c>
      <c r="U1922" t="s">
        <v>408</v>
      </c>
    </row>
    <row r="1923" spans="1:21" x14ac:dyDescent="0.25">
      <c r="A1923">
        <v>16390499</v>
      </c>
      <c r="B1923" t="s">
        <v>342</v>
      </c>
      <c r="C1923" t="s">
        <v>33</v>
      </c>
      <c r="D1923" t="s">
        <v>18</v>
      </c>
      <c r="E1923" t="s">
        <v>513</v>
      </c>
      <c r="F1923" t="s">
        <v>824</v>
      </c>
      <c r="G1923" t="s">
        <v>369</v>
      </c>
      <c r="H1923" t="s">
        <v>805</v>
      </c>
      <c r="I1923" t="s">
        <v>806</v>
      </c>
      <c r="J1923" t="s">
        <v>807</v>
      </c>
      <c r="K1923" t="s">
        <v>453</v>
      </c>
      <c r="L1923" t="s">
        <v>676</v>
      </c>
      <c r="M1923" t="s">
        <v>408</v>
      </c>
      <c r="N1923" t="s">
        <v>11</v>
      </c>
      <c r="O1923" t="s">
        <v>11</v>
      </c>
      <c r="P1923" t="s">
        <v>0</v>
      </c>
      <c r="Q1923" t="s">
        <v>408</v>
      </c>
      <c r="R1923" t="s">
        <v>439</v>
      </c>
      <c r="S1923" t="s">
        <v>451</v>
      </c>
      <c r="T1923" t="s">
        <v>11</v>
      </c>
      <c r="U1923" t="s">
        <v>408</v>
      </c>
    </row>
    <row r="1924" spans="1:21" x14ac:dyDescent="0.25">
      <c r="A1924">
        <v>16390500</v>
      </c>
      <c r="B1924" t="s">
        <v>342</v>
      </c>
      <c r="C1924" t="s">
        <v>89</v>
      </c>
      <c r="D1924" t="s">
        <v>12</v>
      </c>
      <c r="E1924" t="s">
        <v>513</v>
      </c>
      <c r="F1924" t="s">
        <v>594</v>
      </c>
      <c r="G1924" t="s">
        <v>468</v>
      </c>
      <c r="H1924" t="s">
        <v>812</v>
      </c>
      <c r="I1924" t="s">
        <v>813</v>
      </c>
      <c r="J1924" t="s">
        <v>814</v>
      </c>
      <c r="K1924" t="s">
        <v>438</v>
      </c>
      <c r="L1924" t="s">
        <v>805</v>
      </c>
      <c r="M1924" t="s">
        <v>408</v>
      </c>
      <c r="N1924" t="s">
        <v>11</v>
      </c>
      <c r="O1924" t="s">
        <v>11</v>
      </c>
      <c r="P1924" t="s">
        <v>0</v>
      </c>
      <c r="Q1924" t="s">
        <v>408</v>
      </c>
      <c r="R1924" t="s">
        <v>439</v>
      </c>
      <c r="S1924" t="s">
        <v>451</v>
      </c>
      <c r="T1924" t="s">
        <v>11</v>
      </c>
      <c r="U1924" t="s">
        <v>408</v>
      </c>
    </row>
    <row r="1925" spans="1:21" x14ac:dyDescent="0.25">
      <c r="A1925">
        <v>16390501</v>
      </c>
      <c r="B1925" t="s">
        <v>340</v>
      </c>
      <c r="C1925" t="s">
        <v>86</v>
      </c>
      <c r="D1925" t="s">
        <v>12</v>
      </c>
      <c r="E1925" t="s">
        <v>513</v>
      </c>
      <c r="F1925" t="s">
        <v>824</v>
      </c>
      <c r="G1925" t="s">
        <v>468</v>
      </c>
      <c r="H1925" t="s">
        <v>617</v>
      </c>
      <c r="I1925" t="s">
        <v>618</v>
      </c>
      <c r="J1925" t="s">
        <v>619</v>
      </c>
      <c r="K1925" t="s">
        <v>606</v>
      </c>
      <c r="L1925" t="s">
        <v>78</v>
      </c>
      <c r="M1925" t="s">
        <v>408</v>
      </c>
      <c r="N1925" t="s">
        <v>11</v>
      </c>
      <c r="O1925" t="s">
        <v>11</v>
      </c>
      <c r="P1925" t="s">
        <v>0</v>
      </c>
      <c r="Q1925" t="s">
        <v>408</v>
      </c>
      <c r="R1925" t="s">
        <v>439</v>
      </c>
      <c r="S1925" t="s">
        <v>451</v>
      </c>
      <c r="T1925" t="s">
        <v>11</v>
      </c>
      <c r="U1925" t="s">
        <v>408</v>
      </c>
    </row>
    <row r="1926" spans="1:21" x14ac:dyDescent="0.25">
      <c r="A1926">
        <v>16390502</v>
      </c>
      <c r="B1926" t="s">
        <v>340</v>
      </c>
      <c r="C1926" t="s">
        <v>26</v>
      </c>
      <c r="D1926" t="s">
        <v>12</v>
      </c>
      <c r="E1926" t="s">
        <v>513</v>
      </c>
      <c r="F1926" t="s">
        <v>824</v>
      </c>
      <c r="G1926" t="s">
        <v>468</v>
      </c>
      <c r="H1926" t="s">
        <v>820</v>
      </c>
      <c r="I1926" t="s">
        <v>821</v>
      </c>
      <c r="J1926" t="s">
        <v>822</v>
      </c>
      <c r="K1926" t="s">
        <v>701</v>
      </c>
      <c r="L1926" t="s">
        <v>823</v>
      </c>
      <c r="M1926" t="s">
        <v>11</v>
      </c>
      <c r="N1926" t="s">
        <v>11</v>
      </c>
      <c r="O1926" t="s">
        <v>11</v>
      </c>
      <c r="P1926" t="s">
        <v>0</v>
      </c>
      <c r="Q1926" t="s">
        <v>408</v>
      </c>
      <c r="R1926" t="s">
        <v>439</v>
      </c>
      <c r="S1926" t="s">
        <v>451</v>
      </c>
      <c r="T1926" t="s">
        <v>408</v>
      </c>
      <c r="U1926" t="s">
        <v>408</v>
      </c>
    </row>
    <row r="1927" spans="1:21" x14ac:dyDescent="0.25">
      <c r="A1927">
        <v>16390504</v>
      </c>
      <c r="B1927" t="s">
        <v>340</v>
      </c>
      <c r="C1927" t="s">
        <v>26</v>
      </c>
      <c r="D1927" t="s">
        <v>12</v>
      </c>
      <c r="E1927" t="s">
        <v>718</v>
      </c>
      <c r="F1927" t="s">
        <v>167</v>
      </c>
      <c r="G1927" t="s">
        <v>468</v>
      </c>
      <c r="H1927" t="s">
        <v>715</v>
      </c>
      <c r="I1927" t="s">
        <v>716</v>
      </c>
      <c r="J1927" t="s">
        <v>717</v>
      </c>
      <c r="K1927" t="s">
        <v>438</v>
      </c>
      <c r="L1927" t="s">
        <v>6</v>
      </c>
      <c r="M1927" t="s">
        <v>408</v>
      </c>
      <c r="N1927" t="s">
        <v>408</v>
      </c>
      <c r="O1927" t="s">
        <v>11</v>
      </c>
      <c r="P1927" t="s">
        <v>3</v>
      </c>
      <c r="Q1927" t="s">
        <v>408</v>
      </c>
      <c r="R1927" t="s">
        <v>439</v>
      </c>
      <c r="S1927" t="s">
        <v>440</v>
      </c>
      <c r="T1927" t="s">
        <v>408</v>
      </c>
      <c r="U1927" t="s">
        <v>408</v>
      </c>
    </row>
    <row r="1928" spans="1:21" x14ac:dyDescent="0.25">
      <c r="A1928">
        <v>16390505</v>
      </c>
      <c r="B1928" t="s">
        <v>340</v>
      </c>
      <c r="C1928" t="s">
        <v>86</v>
      </c>
      <c r="D1928" t="s">
        <v>12</v>
      </c>
      <c r="E1928" t="s">
        <v>513</v>
      </c>
      <c r="F1928" t="s">
        <v>594</v>
      </c>
      <c r="G1928" t="s">
        <v>468</v>
      </c>
      <c r="H1928" t="s">
        <v>617</v>
      </c>
      <c r="I1928" t="s">
        <v>618</v>
      </c>
      <c r="J1928" t="s">
        <v>619</v>
      </c>
      <c r="K1928" t="s">
        <v>606</v>
      </c>
      <c r="L1928" t="s">
        <v>825</v>
      </c>
      <c r="M1928" t="s">
        <v>408</v>
      </c>
      <c r="N1928" t="s">
        <v>11</v>
      </c>
      <c r="O1928" t="s">
        <v>11</v>
      </c>
      <c r="P1928" t="s">
        <v>2</v>
      </c>
      <c r="Q1928" t="s">
        <v>408</v>
      </c>
      <c r="R1928" t="s">
        <v>439</v>
      </c>
      <c r="S1928" t="s">
        <v>451</v>
      </c>
      <c r="T1928" t="s">
        <v>11</v>
      </c>
      <c r="U1928" t="s">
        <v>408</v>
      </c>
    </row>
    <row r="1929" spans="1:21" x14ac:dyDescent="0.25">
      <c r="A1929">
        <v>16390506</v>
      </c>
      <c r="B1929" t="s">
        <v>340</v>
      </c>
      <c r="C1929" t="s">
        <v>26</v>
      </c>
      <c r="D1929" t="s">
        <v>12</v>
      </c>
      <c r="E1929" t="s">
        <v>513</v>
      </c>
      <c r="F1929" t="s">
        <v>594</v>
      </c>
      <c r="G1929" t="s">
        <v>468</v>
      </c>
      <c r="H1929" t="s">
        <v>617</v>
      </c>
      <c r="I1929" t="s">
        <v>618</v>
      </c>
      <c r="J1929" t="s">
        <v>619</v>
      </c>
      <c r="K1929" t="s">
        <v>606</v>
      </c>
      <c r="L1929" t="s">
        <v>671</v>
      </c>
      <c r="M1929" t="s">
        <v>408</v>
      </c>
      <c r="N1929" t="s">
        <v>11</v>
      </c>
      <c r="O1929" t="s">
        <v>11</v>
      </c>
      <c r="P1929" t="s">
        <v>2</v>
      </c>
      <c r="Q1929" t="s">
        <v>408</v>
      </c>
      <c r="R1929" t="s">
        <v>439</v>
      </c>
      <c r="S1929" t="s">
        <v>451</v>
      </c>
      <c r="T1929" t="s">
        <v>11</v>
      </c>
      <c r="U1929" t="s">
        <v>408</v>
      </c>
    </row>
    <row r="1930" spans="1:21" x14ac:dyDescent="0.25">
      <c r="A1930">
        <v>16390507</v>
      </c>
      <c r="B1930" t="s">
        <v>340</v>
      </c>
      <c r="C1930" t="s">
        <v>86</v>
      </c>
      <c r="D1930" t="s">
        <v>12</v>
      </c>
      <c r="E1930" t="s">
        <v>513</v>
      </c>
      <c r="F1930" t="s">
        <v>594</v>
      </c>
      <c r="G1930" t="s">
        <v>468</v>
      </c>
      <c r="H1930" t="s">
        <v>779</v>
      </c>
      <c r="I1930" t="s">
        <v>780</v>
      </c>
      <c r="J1930" t="s">
        <v>781</v>
      </c>
      <c r="K1930" t="s">
        <v>450</v>
      </c>
      <c r="L1930" t="s">
        <v>777</v>
      </c>
      <c r="M1930" t="s">
        <v>408</v>
      </c>
      <c r="N1930" t="s">
        <v>11</v>
      </c>
      <c r="O1930" t="s">
        <v>11</v>
      </c>
      <c r="P1930" t="s">
        <v>2</v>
      </c>
      <c r="Q1930" t="s">
        <v>408</v>
      </c>
      <c r="R1930" t="s">
        <v>439</v>
      </c>
      <c r="S1930" t="s">
        <v>451</v>
      </c>
      <c r="T1930" t="s">
        <v>11</v>
      </c>
      <c r="U1930" t="s">
        <v>408</v>
      </c>
    </row>
    <row r="1931" spans="1:21" x14ac:dyDescent="0.25">
      <c r="A1931">
        <v>16390508</v>
      </c>
      <c r="B1931" t="s">
        <v>340</v>
      </c>
      <c r="C1931" t="s">
        <v>86</v>
      </c>
      <c r="D1931" t="s">
        <v>24</v>
      </c>
      <c r="E1931" t="s">
        <v>513</v>
      </c>
      <c r="F1931" t="s">
        <v>594</v>
      </c>
      <c r="G1931" t="s">
        <v>468</v>
      </c>
      <c r="H1931" t="s">
        <v>775</v>
      </c>
      <c r="I1931" t="s">
        <v>776</v>
      </c>
      <c r="J1931" t="s">
        <v>776</v>
      </c>
      <c r="K1931" t="s">
        <v>450</v>
      </c>
      <c r="L1931" t="s">
        <v>777</v>
      </c>
      <c r="M1931" t="s">
        <v>408</v>
      </c>
      <c r="N1931" t="s">
        <v>11</v>
      </c>
      <c r="O1931" t="s">
        <v>11</v>
      </c>
      <c r="P1931" t="s">
        <v>2</v>
      </c>
      <c r="Q1931" t="s">
        <v>408</v>
      </c>
      <c r="R1931" t="s">
        <v>439</v>
      </c>
      <c r="S1931" t="s">
        <v>451</v>
      </c>
      <c r="T1931" t="s">
        <v>11</v>
      </c>
      <c r="U1931" t="s">
        <v>408</v>
      </c>
    </row>
    <row r="1932" spans="1:21" x14ac:dyDescent="0.25">
      <c r="A1932">
        <v>16390509</v>
      </c>
      <c r="B1932" t="s">
        <v>342</v>
      </c>
      <c r="C1932" t="s">
        <v>89</v>
      </c>
      <c r="D1932" t="s">
        <v>18</v>
      </c>
      <c r="E1932" t="s">
        <v>513</v>
      </c>
      <c r="F1932" t="s">
        <v>594</v>
      </c>
      <c r="G1932" t="s">
        <v>468</v>
      </c>
      <c r="H1932" t="s">
        <v>765</v>
      </c>
      <c r="I1932" t="s">
        <v>766</v>
      </c>
      <c r="J1932" t="s">
        <v>767</v>
      </c>
      <c r="K1932" t="s">
        <v>444</v>
      </c>
      <c r="L1932" t="s">
        <v>774</v>
      </c>
      <c r="M1932" t="s">
        <v>408</v>
      </c>
      <c r="N1932" t="s">
        <v>11</v>
      </c>
      <c r="O1932" t="s">
        <v>11</v>
      </c>
      <c r="P1932" t="s">
        <v>2</v>
      </c>
      <c r="Q1932" t="s">
        <v>408</v>
      </c>
      <c r="R1932" t="s">
        <v>439</v>
      </c>
      <c r="S1932" t="s">
        <v>451</v>
      </c>
      <c r="T1932" t="s">
        <v>11</v>
      </c>
      <c r="U1932" t="s">
        <v>408</v>
      </c>
    </row>
    <row r="1933" spans="1:21" x14ac:dyDescent="0.25">
      <c r="A1933">
        <v>16390510</v>
      </c>
      <c r="B1933" t="s">
        <v>340</v>
      </c>
      <c r="C1933" t="s">
        <v>86</v>
      </c>
      <c r="D1933" t="s">
        <v>79</v>
      </c>
      <c r="E1933" t="s">
        <v>513</v>
      </c>
      <c r="F1933" t="s">
        <v>594</v>
      </c>
      <c r="G1933" t="s">
        <v>468</v>
      </c>
      <c r="H1933" t="s">
        <v>617</v>
      </c>
      <c r="I1933" t="s">
        <v>618</v>
      </c>
      <c r="J1933" t="s">
        <v>619</v>
      </c>
      <c r="K1933" t="s">
        <v>606</v>
      </c>
      <c r="L1933" t="s">
        <v>2</v>
      </c>
      <c r="M1933" t="s">
        <v>408</v>
      </c>
      <c r="N1933" t="s">
        <v>11</v>
      </c>
      <c r="O1933" t="s">
        <v>11</v>
      </c>
      <c r="P1933" t="s">
        <v>2</v>
      </c>
      <c r="Q1933" t="s">
        <v>408</v>
      </c>
      <c r="R1933" t="s">
        <v>439</v>
      </c>
      <c r="S1933" t="s">
        <v>451</v>
      </c>
      <c r="T1933" t="s">
        <v>11</v>
      </c>
      <c r="U1933" t="s">
        <v>408</v>
      </c>
    </row>
    <row r="1934" spans="1:21" x14ac:dyDescent="0.25">
      <c r="A1934">
        <v>16390511</v>
      </c>
      <c r="B1934" t="s">
        <v>342</v>
      </c>
      <c r="C1934" t="s">
        <v>89</v>
      </c>
      <c r="D1934" t="s">
        <v>12</v>
      </c>
      <c r="E1934" t="s">
        <v>513</v>
      </c>
      <c r="F1934" t="s">
        <v>594</v>
      </c>
      <c r="G1934" t="s">
        <v>468</v>
      </c>
      <c r="H1934" t="s">
        <v>765</v>
      </c>
      <c r="I1934" t="s">
        <v>766</v>
      </c>
      <c r="J1934" t="s">
        <v>767</v>
      </c>
      <c r="K1934" t="s">
        <v>444</v>
      </c>
      <c r="L1934" t="s">
        <v>675</v>
      </c>
      <c r="M1934" t="s">
        <v>408</v>
      </c>
      <c r="N1934" t="s">
        <v>11</v>
      </c>
      <c r="O1934" t="s">
        <v>408</v>
      </c>
      <c r="P1934" t="s">
        <v>2</v>
      </c>
      <c r="Q1934" t="s">
        <v>408</v>
      </c>
      <c r="R1934" t="s">
        <v>439</v>
      </c>
      <c r="S1934" t="s">
        <v>451</v>
      </c>
      <c r="T1934" t="s">
        <v>11</v>
      </c>
      <c r="U1934" t="s">
        <v>408</v>
      </c>
    </row>
    <row r="1935" spans="1:21" x14ac:dyDescent="0.25">
      <c r="A1935">
        <v>16390512</v>
      </c>
      <c r="B1935" t="s">
        <v>342</v>
      </c>
      <c r="C1935" t="s">
        <v>89</v>
      </c>
      <c r="D1935" t="s">
        <v>12</v>
      </c>
      <c r="E1935" t="s">
        <v>513</v>
      </c>
      <c r="F1935" t="s">
        <v>594</v>
      </c>
      <c r="G1935" t="s">
        <v>468</v>
      </c>
      <c r="H1935" t="s">
        <v>765</v>
      </c>
      <c r="I1935" t="s">
        <v>766</v>
      </c>
      <c r="J1935" t="s">
        <v>767</v>
      </c>
      <c r="K1935" t="s">
        <v>444</v>
      </c>
      <c r="L1935" t="s">
        <v>675</v>
      </c>
      <c r="M1935" t="s">
        <v>408</v>
      </c>
      <c r="N1935" t="s">
        <v>11</v>
      </c>
      <c r="O1935" t="s">
        <v>11</v>
      </c>
      <c r="P1935" t="s">
        <v>2</v>
      </c>
      <c r="Q1935" t="s">
        <v>408</v>
      </c>
      <c r="R1935" t="s">
        <v>439</v>
      </c>
      <c r="S1935" t="s">
        <v>451</v>
      </c>
      <c r="T1935" t="s">
        <v>11</v>
      </c>
      <c r="U1935" t="s">
        <v>408</v>
      </c>
    </row>
    <row r="1936" spans="1:21" x14ac:dyDescent="0.25">
      <c r="A1936">
        <v>16390513</v>
      </c>
      <c r="B1936" t="s">
        <v>340</v>
      </c>
      <c r="C1936" t="s">
        <v>86</v>
      </c>
      <c r="D1936" t="s">
        <v>12</v>
      </c>
      <c r="E1936" t="s">
        <v>513</v>
      </c>
      <c r="F1936" t="s">
        <v>594</v>
      </c>
      <c r="G1936" t="s">
        <v>468</v>
      </c>
      <c r="H1936" t="s">
        <v>603</v>
      </c>
      <c r="I1936" t="s">
        <v>604</v>
      </c>
      <c r="J1936" t="s">
        <v>605</v>
      </c>
      <c r="K1936" t="s">
        <v>606</v>
      </c>
      <c r="L1936" t="s">
        <v>777</v>
      </c>
      <c r="M1936" t="s">
        <v>408</v>
      </c>
      <c r="N1936" t="s">
        <v>11</v>
      </c>
      <c r="O1936" t="s">
        <v>11</v>
      </c>
      <c r="P1936" t="s">
        <v>2</v>
      </c>
      <c r="Q1936" t="s">
        <v>408</v>
      </c>
      <c r="R1936" t="s">
        <v>439</v>
      </c>
      <c r="S1936" t="s">
        <v>451</v>
      </c>
      <c r="T1936" t="s">
        <v>11</v>
      </c>
      <c r="U1936" t="s">
        <v>408</v>
      </c>
    </row>
    <row r="1937" spans="1:21" x14ac:dyDescent="0.25">
      <c r="A1937">
        <v>16390514</v>
      </c>
      <c r="B1937" t="s">
        <v>342</v>
      </c>
      <c r="C1937" t="s">
        <v>89</v>
      </c>
      <c r="D1937" t="s">
        <v>12</v>
      </c>
      <c r="E1937" t="s">
        <v>513</v>
      </c>
      <c r="F1937" t="s">
        <v>594</v>
      </c>
      <c r="G1937" t="s">
        <v>468</v>
      </c>
      <c r="H1937" t="s">
        <v>765</v>
      </c>
      <c r="I1937" t="s">
        <v>766</v>
      </c>
      <c r="J1937" t="s">
        <v>767</v>
      </c>
      <c r="K1937" t="s">
        <v>444</v>
      </c>
      <c r="L1937" t="s">
        <v>675</v>
      </c>
      <c r="M1937" t="s">
        <v>408</v>
      </c>
      <c r="N1937" t="s">
        <v>11</v>
      </c>
      <c r="O1937" t="s">
        <v>11</v>
      </c>
      <c r="P1937" t="s">
        <v>2</v>
      </c>
      <c r="Q1937" t="s">
        <v>408</v>
      </c>
      <c r="R1937" t="s">
        <v>439</v>
      </c>
      <c r="S1937" t="s">
        <v>451</v>
      </c>
      <c r="T1937" t="s">
        <v>11</v>
      </c>
      <c r="U1937" t="s">
        <v>408</v>
      </c>
    </row>
    <row r="1938" spans="1:21" x14ac:dyDescent="0.25">
      <c r="A1938">
        <v>16390515</v>
      </c>
      <c r="B1938" t="s">
        <v>342</v>
      </c>
      <c r="C1938" t="s">
        <v>33</v>
      </c>
      <c r="D1938" t="s">
        <v>79</v>
      </c>
      <c r="E1938" t="s">
        <v>513</v>
      </c>
      <c r="F1938" t="s">
        <v>594</v>
      </c>
      <c r="G1938" t="s">
        <v>369</v>
      </c>
      <c r="H1938" t="s">
        <v>675</v>
      </c>
      <c r="I1938" t="s">
        <v>826</v>
      </c>
      <c r="J1938" t="s">
        <v>827</v>
      </c>
      <c r="K1938" t="s">
        <v>444</v>
      </c>
      <c r="L1938" t="s">
        <v>2</v>
      </c>
      <c r="M1938" t="s">
        <v>408</v>
      </c>
      <c r="N1938" t="s">
        <v>11</v>
      </c>
      <c r="O1938" t="s">
        <v>11</v>
      </c>
      <c r="P1938" t="s">
        <v>2</v>
      </c>
      <c r="Q1938" t="s">
        <v>408</v>
      </c>
      <c r="R1938" t="s">
        <v>439</v>
      </c>
      <c r="S1938" t="s">
        <v>451</v>
      </c>
      <c r="T1938" t="s">
        <v>11</v>
      </c>
      <c r="U1938" t="s">
        <v>408</v>
      </c>
    </row>
    <row r="1939" spans="1:21" x14ac:dyDescent="0.25">
      <c r="A1939">
        <v>16390517</v>
      </c>
      <c r="B1939" t="s">
        <v>342</v>
      </c>
      <c r="C1939" t="s">
        <v>38</v>
      </c>
      <c r="D1939" t="s">
        <v>12</v>
      </c>
      <c r="E1939" t="s">
        <v>732</v>
      </c>
      <c r="F1939" t="s">
        <v>39</v>
      </c>
      <c r="G1939" t="s">
        <v>468</v>
      </c>
      <c r="H1939" t="s">
        <v>828</v>
      </c>
      <c r="I1939" t="s">
        <v>829</v>
      </c>
      <c r="J1939" t="s">
        <v>830</v>
      </c>
      <c r="K1939" t="s">
        <v>606</v>
      </c>
      <c r="L1939" t="s">
        <v>831</v>
      </c>
      <c r="M1939" t="s">
        <v>408</v>
      </c>
      <c r="N1939" t="s">
        <v>408</v>
      </c>
      <c r="O1939" t="s">
        <v>408</v>
      </c>
      <c r="P1939" t="s">
        <v>0</v>
      </c>
      <c r="Q1939" t="s">
        <v>408</v>
      </c>
      <c r="R1939" t="s">
        <v>439</v>
      </c>
      <c r="S1939" t="s">
        <v>451</v>
      </c>
      <c r="T1939" t="s">
        <v>408</v>
      </c>
      <c r="U1939" t="s">
        <v>408</v>
      </c>
    </row>
    <row r="1940" spans="1:21" x14ac:dyDescent="0.25">
      <c r="A1940">
        <v>20910002</v>
      </c>
      <c r="B1940" t="s">
        <v>342</v>
      </c>
      <c r="C1940" t="s">
        <v>33</v>
      </c>
      <c r="D1940" t="s">
        <v>12</v>
      </c>
      <c r="E1940" t="s">
        <v>750</v>
      </c>
      <c r="F1940" t="s">
        <v>832</v>
      </c>
      <c r="G1940" t="s">
        <v>369</v>
      </c>
      <c r="H1940" t="s">
        <v>675</v>
      </c>
      <c r="I1940" t="s">
        <v>826</v>
      </c>
      <c r="J1940" t="s">
        <v>827</v>
      </c>
      <c r="K1940" t="s">
        <v>444</v>
      </c>
      <c r="L1940" t="s">
        <v>0</v>
      </c>
      <c r="M1940" t="s">
        <v>408</v>
      </c>
      <c r="N1940" t="s">
        <v>11</v>
      </c>
      <c r="O1940" t="s">
        <v>11</v>
      </c>
      <c r="P1940" t="s">
        <v>0</v>
      </c>
      <c r="Q1940" t="s">
        <v>408</v>
      </c>
      <c r="R1940" t="s">
        <v>439</v>
      </c>
      <c r="S1940" t="s">
        <v>451</v>
      </c>
      <c r="T1940" t="s">
        <v>11</v>
      </c>
      <c r="U1940" t="s">
        <v>408</v>
      </c>
    </row>
    <row r="1941" spans="1:21" x14ac:dyDescent="0.25">
      <c r="A1941">
        <v>20910004</v>
      </c>
      <c r="B1941" t="s">
        <v>342</v>
      </c>
      <c r="C1941" t="s">
        <v>89</v>
      </c>
      <c r="D1941" t="s">
        <v>12</v>
      </c>
      <c r="E1941" t="s">
        <v>751</v>
      </c>
      <c r="F1941" t="s">
        <v>97</v>
      </c>
      <c r="G1941" t="s">
        <v>468</v>
      </c>
      <c r="H1941" t="s">
        <v>765</v>
      </c>
      <c r="I1941" t="s">
        <v>766</v>
      </c>
      <c r="J1941" t="s">
        <v>767</v>
      </c>
      <c r="K1941" t="s">
        <v>444</v>
      </c>
      <c r="L1941" t="s">
        <v>675</v>
      </c>
      <c r="M1941" t="s">
        <v>408</v>
      </c>
      <c r="N1941" t="s">
        <v>11</v>
      </c>
      <c r="O1941" t="s">
        <v>11</v>
      </c>
      <c r="P1941" t="s">
        <v>0</v>
      </c>
      <c r="Q1941" t="s">
        <v>408</v>
      </c>
      <c r="R1941" t="s">
        <v>439</v>
      </c>
      <c r="S1941" t="s">
        <v>451</v>
      </c>
      <c r="T1941" t="s">
        <v>11</v>
      </c>
      <c r="U1941" t="s">
        <v>408</v>
      </c>
    </row>
    <row r="1942" spans="1:21" x14ac:dyDescent="0.25">
      <c r="A1942">
        <v>20910005</v>
      </c>
      <c r="B1942" t="s">
        <v>340</v>
      </c>
      <c r="C1942" t="s">
        <v>26</v>
      </c>
      <c r="D1942" t="s">
        <v>12</v>
      </c>
      <c r="E1942" t="s">
        <v>833</v>
      </c>
      <c r="F1942" t="s">
        <v>834</v>
      </c>
      <c r="G1942" t="s">
        <v>468</v>
      </c>
      <c r="H1942" t="s">
        <v>8</v>
      </c>
      <c r="I1942" t="s">
        <v>436</v>
      </c>
      <c r="J1942" t="s">
        <v>458</v>
      </c>
      <c r="K1942" t="s">
        <v>438</v>
      </c>
      <c r="L1942" t="s">
        <v>1</v>
      </c>
      <c r="M1942" t="s">
        <v>408</v>
      </c>
      <c r="N1942" t="s">
        <v>11</v>
      </c>
      <c r="O1942" t="s">
        <v>11</v>
      </c>
      <c r="P1942" t="s">
        <v>0</v>
      </c>
      <c r="Q1942" t="s">
        <v>408</v>
      </c>
      <c r="R1942" t="s">
        <v>439</v>
      </c>
      <c r="S1942" t="s">
        <v>440</v>
      </c>
      <c r="T1942" t="s">
        <v>11</v>
      </c>
      <c r="U1942" t="s">
        <v>408</v>
      </c>
    </row>
    <row r="1943" spans="1:21" x14ac:dyDescent="0.25">
      <c r="A1943">
        <v>20910006</v>
      </c>
      <c r="B1943" t="s">
        <v>342</v>
      </c>
      <c r="C1943" t="s">
        <v>89</v>
      </c>
      <c r="D1943" t="s">
        <v>12</v>
      </c>
      <c r="E1943" t="s">
        <v>751</v>
      </c>
      <c r="F1943" t="s">
        <v>97</v>
      </c>
      <c r="G1943" t="s">
        <v>468</v>
      </c>
      <c r="H1943" t="s">
        <v>765</v>
      </c>
      <c r="I1943" t="s">
        <v>766</v>
      </c>
      <c r="J1943" t="s">
        <v>767</v>
      </c>
      <c r="K1943" t="s">
        <v>444</v>
      </c>
      <c r="L1943" t="s">
        <v>678</v>
      </c>
      <c r="M1943" t="s">
        <v>11</v>
      </c>
      <c r="N1943" t="s">
        <v>11</v>
      </c>
      <c r="O1943" t="s">
        <v>11</v>
      </c>
      <c r="P1943" t="s">
        <v>0</v>
      </c>
      <c r="Q1943" t="s">
        <v>408</v>
      </c>
      <c r="R1943" t="s">
        <v>439</v>
      </c>
      <c r="S1943" t="s">
        <v>451</v>
      </c>
      <c r="T1943" t="s">
        <v>408</v>
      </c>
      <c r="U1943" t="s">
        <v>408</v>
      </c>
    </row>
    <row r="1944" spans="1:21" x14ac:dyDescent="0.25">
      <c r="A1944">
        <v>20910007</v>
      </c>
      <c r="B1944" t="s">
        <v>340</v>
      </c>
      <c r="C1944" t="s">
        <v>26</v>
      </c>
      <c r="D1944" t="s">
        <v>12</v>
      </c>
      <c r="E1944" t="s">
        <v>751</v>
      </c>
      <c r="F1944" t="s">
        <v>190</v>
      </c>
      <c r="G1944" t="s">
        <v>468</v>
      </c>
      <c r="H1944" t="s">
        <v>617</v>
      </c>
      <c r="I1944" t="s">
        <v>618</v>
      </c>
      <c r="J1944" t="s">
        <v>619</v>
      </c>
      <c r="K1944" t="s">
        <v>606</v>
      </c>
      <c r="L1944" t="s">
        <v>375</v>
      </c>
      <c r="M1944" t="s">
        <v>408</v>
      </c>
      <c r="N1944" t="s">
        <v>11</v>
      </c>
      <c r="O1944" t="s">
        <v>11</v>
      </c>
      <c r="P1944" t="s">
        <v>0</v>
      </c>
      <c r="Q1944" t="s">
        <v>408</v>
      </c>
      <c r="R1944" t="s">
        <v>439</v>
      </c>
      <c r="S1944" t="s">
        <v>451</v>
      </c>
      <c r="T1944" t="s">
        <v>11</v>
      </c>
      <c r="U1944" t="s">
        <v>408</v>
      </c>
    </row>
    <row r="1945" spans="1:21" x14ac:dyDescent="0.25">
      <c r="A1945">
        <v>20910009</v>
      </c>
      <c r="B1945" t="s">
        <v>342</v>
      </c>
      <c r="C1945" t="s">
        <v>89</v>
      </c>
      <c r="D1945" t="s">
        <v>12</v>
      </c>
      <c r="E1945" t="s">
        <v>751</v>
      </c>
      <c r="F1945" t="s">
        <v>95</v>
      </c>
      <c r="G1945" t="s">
        <v>468</v>
      </c>
      <c r="H1945" t="s">
        <v>765</v>
      </c>
      <c r="I1945" t="s">
        <v>766</v>
      </c>
      <c r="J1945" t="s">
        <v>767</v>
      </c>
      <c r="K1945" t="s">
        <v>444</v>
      </c>
      <c r="L1945" t="s">
        <v>678</v>
      </c>
      <c r="M1945" t="s">
        <v>11</v>
      </c>
      <c r="N1945" t="s">
        <v>11</v>
      </c>
      <c r="O1945" t="s">
        <v>11</v>
      </c>
      <c r="P1945" t="s">
        <v>0</v>
      </c>
      <c r="Q1945" t="s">
        <v>408</v>
      </c>
      <c r="R1945" t="s">
        <v>439</v>
      </c>
      <c r="S1945" t="s">
        <v>451</v>
      </c>
      <c r="T1945" t="s">
        <v>408</v>
      </c>
      <c r="U1945" t="s">
        <v>408</v>
      </c>
    </row>
    <row r="1946" spans="1:21" x14ac:dyDescent="0.25">
      <c r="A1946">
        <v>20910011</v>
      </c>
      <c r="B1946" t="s">
        <v>342</v>
      </c>
      <c r="C1946" t="s">
        <v>89</v>
      </c>
      <c r="D1946" t="s">
        <v>12</v>
      </c>
      <c r="E1946" t="s">
        <v>751</v>
      </c>
      <c r="F1946" t="s">
        <v>97</v>
      </c>
      <c r="G1946" t="s">
        <v>468</v>
      </c>
      <c r="H1946" t="s">
        <v>765</v>
      </c>
      <c r="I1946" t="s">
        <v>766</v>
      </c>
      <c r="J1946" t="s">
        <v>767</v>
      </c>
      <c r="K1946" t="s">
        <v>444</v>
      </c>
      <c r="L1946" t="s">
        <v>678</v>
      </c>
      <c r="M1946" t="s">
        <v>11</v>
      </c>
      <c r="N1946" t="s">
        <v>11</v>
      </c>
      <c r="O1946" t="s">
        <v>11</v>
      </c>
      <c r="P1946" t="s">
        <v>0</v>
      </c>
      <c r="Q1946" t="s">
        <v>408</v>
      </c>
      <c r="R1946" t="s">
        <v>439</v>
      </c>
      <c r="S1946" t="s">
        <v>451</v>
      </c>
      <c r="T1946" t="s">
        <v>408</v>
      </c>
      <c r="U1946" t="s">
        <v>408</v>
      </c>
    </row>
    <row r="1947" spans="1:21" x14ac:dyDescent="0.25">
      <c r="A1947">
        <v>20910013</v>
      </c>
      <c r="B1947" t="s">
        <v>342</v>
      </c>
      <c r="C1947" t="s">
        <v>13</v>
      </c>
      <c r="D1947" t="s">
        <v>18</v>
      </c>
      <c r="E1947" t="s">
        <v>751</v>
      </c>
      <c r="F1947" t="s">
        <v>97</v>
      </c>
      <c r="G1947" t="s">
        <v>468</v>
      </c>
      <c r="H1947" t="s">
        <v>677</v>
      </c>
      <c r="I1947" t="s">
        <v>835</v>
      </c>
      <c r="J1947" t="s">
        <v>836</v>
      </c>
      <c r="K1947" t="s">
        <v>442</v>
      </c>
      <c r="L1947" t="s">
        <v>0</v>
      </c>
      <c r="M1947" t="s">
        <v>11</v>
      </c>
      <c r="N1947" t="s">
        <v>11</v>
      </c>
      <c r="O1947" t="s">
        <v>11</v>
      </c>
      <c r="P1947" t="s">
        <v>0</v>
      </c>
      <c r="Q1947" t="s">
        <v>408</v>
      </c>
      <c r="R1947" t="s">
        <v>439</v>
      </c>
      <c r="S1947" t="s">
        <v>440</v>
      </c>
      <c r="T1947" t="s">
        <v>408</v>
      </c>
      <c r="U1947" t="s">
        <v>408</v>
      </c>
    </row>
    <row r="1948" spans="1:21" x14ac:dyDescent="0.25">
      <c r="A1948">
        <v>20910014</v>
      </c>
      <c r="B1948" t="s">
        <v>340</v>
      </c>
      <c r="C1948" t="s">
        <v>86</v>
      </c>
      <c r="D1948" t="s">
        <v>18</v>
      </c>
      <c r="E1948" t="s">
        <v>751</v>
      </c>
      <c r="F1948" t="s">
        <v>97</v>
      </c>
      <c r="G1948" t="s">
        <v>468</v>
      </c>
      <c r="H1948" t="s">
        <v>447</v>
      </c>
      <c r="I1948" t="s">
        <v>448</v>
      </c>
      <c r="J1948" t="s">
        <v>449</v>
      </c>
      <c r="K1948" t="s">
        <v>450</v>
      </c>
      <c r="L1948" t="s">
        <v>375</v>
      </c>
      <c r="M1948" t="s">
        <v>408</v>
      </c>
      <c r="N1948" t="s">
        <v>11</v>
      </c>
      <c r="O1948" t="s">
        <v>11</v>
      </c>
      <c r="P1948" t="s">
        <v>0</v>
      </c>
      <c r="Q1948" t="s">
        <v>408</v>
      </c>
      <c r="R1948" t="s">
        <v>439</v>
      </c>
      <c r="S1948" t="s">
        <v>451</v>
      </c>
      <c r="T1948" t="s">
        <v>11</v>
      </c>
      <c r="U1948" t="s">
        <v>408</v>
      </c>
    </row>
    <row r="1949" spans="1:21" x14ac:dyDescent="0.25">
      <c r="A1949">
        <v>20910015</v>
      </c>
      <c r="B1949" t="s">
        <v>340</v>
      </c>
      <c r="C1949" t="s">
        <v>26</v>
      </c>
      <c r="D1949" t="s">
        <v>12</v>
      </c>
      <c r="E1949" t="s">
        <v>751</v>
      </c>
      <c r="F1949" t="s">
        <v>317</v>
      </c>
      <c r="G1949" t="s">
        <v>468</v>
      </c>
      <c r="H1949" t="s">
        <v>617</v>
      </c>
      <c r="I1949" t="s">
        <v>618</v>
      </c>
      <c r="J1949" t="s">
        <v>619</v>
      </c>
      <c r="K1949" t="s">
        <v>606</v>
      </c>
      <c r="L1949" t="s">
        <v>375</v>
      </c>
      <c r="M1949" t="s">
        <v>408</v>
      </c>
      <c r="N1949" t="s">
        <v>11</v>
      </c>
      <c r="O1949" t="s">
        <v>11</v>
      </c>
      <c r="P1949" t="s">
        <v>0</v>
      </c>
      <c r="Q1949" t="s">
        <v>408</v>
      </c>
      <c r="R1949" t="s">
        <v>439</v>
      </c>
      <c r="S1949" t="s">
        <v>451</v>
      </c>
      <c r="T1949" t="s">
        <v>11</v>
      </c>
      <c r="U1949" t="s">
        <v>408</v>
      </c>
    </row>
    <row r="1950" spans="1:21" x14ac:dyDescent="0.25">
      <c r="A1950">
        <v>20910016</v>
      </c>
      <c r="B1950" t="s">
        <v>340</v>
      </c>
      <c r="C1950" t="s">
        <v>15</v>
      </c>
      <c r="D1950" t="s">
        <v>18</v>
      </c>
      <c r="E1950" t="s">
        <v>751</v>
      </c>
      <c r="F1950" t="s">
        <v>190</v>
      </c>
      <c r="G1950" t="s">
        <v>468</v>
      </c>
      <c r="H1950" t="s">
        <v>0</v>
      </c>
      <c r="I1950" t="s">
        <v>436</v>
      </c>
      <c r="J1950" t="s">
        <v>437</v>
      </c>
      <c r="K1950" t="s">
        <v>438</v>
      </c>
      <c r="L1950" t="s">
        <v>345</v>
      </c>
      <c r="M1950" t="s">
        <v>408</v>
      </c>
      <c r="N1950" t="s">
        <v>11</v>
      </c>
      <c r="O1950" t="s">
        <v>11</v>
      </c>
      <c r="P1950" t="s">
        <v>0</v>
      </c>
      <c r="Q1950" t="s">
        <v>408</v>
      </c>
      <c r="R1950" t="s">
        <v>439</v>
      </c>
      <c r="S1950" t="s">
        <v>440</v>
      </c>
      <c r="T1950" t="s">
        <v>11</v>
      </c>
      <c r="U1950" t="s">
        <v>408</v>
      </c>
    </row>
    <row r="1951" spans="1:21" x14ac:dyDescent="0.25">
      <c r="A1951">
        <v>20910019</v>
      </c>
      <c r="B1951" t="s">
        <v>342</v>
      </c>
      <c r="C1951" t="s">
        <v>89</v>
      </c>
      <c r="D1951" t="s">
        <v>12</v>
      </c>
      <c r="E1951" t="s">
        <v>751</v>
      </c>
      <c r="F1951" t="s">
        <v>97</v>
      </c>
      <c r="G1951" t="s">
        <v>468</v>
      </c>
      <c r="H1951" t="s">
        <v>765</v>
      </c>
      <c r="I1951" t="s">
        <v>766</v>
      </c>
      <c r="J1951" t="s">
        <v>767</v>
      </c>
      <c r="K1951" t="s">
        <v>444</v>
      </c>
      <c r="L1951" t="s">
        <v>678</v>
      </c>
      <c r="M1951" t="s">
        <v>11</v>
      </c>
      <c r="N1951" t="s">
        <v>11</v>
      </c>
      <c r="O1951" t="s">
        <v>11</v>
      </c>
      <c r="P1951" t="s">
        <v>0</v>
      </c>
      <c r="Q1951" t="s">
        <v>408</v>
      </c>
      <c r="R1951" t="s">
        <v>439</v>
      </c>
      <c r="S1951" t="s">
        <v>451</v>
      </c>
      <c r="T1951" t="s">
        <v>408</v>
      </c>
      <c r="U1951" t="s">
        <v>408</v>
      </c>
    </row>
    <row r="1952" spans="1:21" x14ac:dyDescent="0.25">
      <c r="A1952">
        <v>20910020</v>
      </c>
      <c r="B1952" t="s">
        <v>342</v>
      </c>
      <c r="C1952" t="s">
        <v>89</v>
      </c>
      <c r="D1952" t="s">
        <v>12</v>
      </c>
      <c r="E1952" t="s">
        <v>751</v>
      </c>
      <c r="F1952" t="s">
        <v>97</v>
      </c>
      <c r="G1952" t="s">
        <v>468</v>
      </c>
      <c r="H1952" t="s">
        <v>761</v>
      </c>
      <c r="I1952" t="s">
        <v>762</v>
      </c>
      <c r="J1952" t="s">
        <v>763</v>
      </c>
      <c r="K1952" t="s">
        <v>764</v>
      </c>
      <c r="L1952" t="s">
        <v>837</v>
      </c>
      <c r="M1952" t="s">
        <v>408</v>
      </c>
      <c r="N1952" t="s">
        <v>11</v>
      </c>
      <c r="O1952" t="s">
        <v>11</v>
      </c>
      <c r="P1952" t="s">
        <v>0</v>
      </c>
      <c r="Q1952" t="s">
        <v>408</v>
      </c>
      <c r="R1952" t="s">
        <v>439</v>
      </c>
      <c r="S1952" t="s">
        <v>440</v>
      </c>
      <c r="T1952" t="s">
        <v>11</v>
      </c>
      <c r="U1952" t="s">
        <v>408</v>
      </c>
    </row>
    <row r="1953" spans="1:21" x14ac:dyDescent="0.25">
      <c r="A1953">
        <v>20910022</v>
      </c>
      <c r="B1953" t="s">
        <v>342</v>
      </c>
      <c r="C1953" t="s">
        <v>89</v>
      </c>
      <c r="D1953" t="s">
        <v>12</v>
      </c>
      <c r="E1953" t="s">
        <v>751</v>
      </c>
      <c r="F1953" t="s">
        <v>97</v>
      </c>
      <c r="G1953" t="s">
        <v>468</v>
      </c>
      <c r="H1953" t="s">
        <v>765</v>
      </c>
      <c r="I1953" t="s">
        <v>766</v>
      </c>
      <c r="J1953" t="s">
        <v>767</v>
      </c>
      <c r="K1953" t="s">
        <v>444</v>
      </c>
      <c r="L1953" t="s">
        <v>678</v>
      </c>
      <c r="M1953" t="s">
        <v>11</v>
      </c>
      <c r="N1953" t="s">
        <v>11</v>
      </c>
      <c r="O1953" t="s">
        <v>11</v>
      </c>
      <c r="P1953" t="s">
        <v>0</v>
      </c>
      <c r="Q1953" t="s">
        <v>408</v>
      </c>
      <c r="R1953" t="s">
        <v>439</v>
      </c>
      <c r="S1953" t="s">
        <v>451</v>
      </c>
      <c r="T1953" t="s">
        <v>408</v>
      </c>
      <c r="U1953" t="s">
        <v>408</v>
      </c>
    </row>
    <row r="1954" spans="1:21" x14ac:dyDescent="0.25">
      <c r="A1954">
        <v>20910023</v>
      </c>
      <c r="B1954" t="s">
        <v>342</v>
      </c>
      <c r="C1954" t="s">
        <v>33</v>
      </c>
      <c r="D1954" t="s">
        <v>18</v>
      </c>
      <c r="E1954" t="s">
        <v>751</v>
      </c>
      <c r="F1954" t="s">
        <v>97</v>
      </c>
      <c r="G1954" t="s">
        <v>468</v>
      </c>
      <c r="H1954" t="s">
        <v>838</v>
      </c>
      <c r="I1954" t="s">
        <v>839</v>
      </c>
      <c r="J1954" t="s">
        <v>839</v>
      </c>
      <c r="K1954" t="s">
        <v>450</v>
      </c>
      <c r="L1954" t="s">
        <v>840</v>
      </c>
      <c r="M1954" t="s">
        <v>11</v>
      </c>
      <c r="N1954" t="s">
        <v>11</v>
      </c>
      <c r="O1954" t="s">
        <v>11</v>
      </c>
      <c r="P1954" t="s">
        <v>0</v>
      </c>
      <c r="Q1954" t="s">
        <v>408</v>
      </c>
      <c r="R1954" t="s">
        <v>439</v>
      </c>
      <c r="S1954" t="s">
        <v>451</v>
      </c>
      <c r="T1954" t="s">
        <v>408</v>
      </c>
      <c r="U1954" t="s">
        <v>408</v>
      </c>
    </row>
    <row r="1955" spans="1:21" x14ac:dyDescent="0.25">
      <c r="A1955">
        <v>20910024</v>
      </c>
      <c r="B1955" t="s">
        <v>342</v>
      </c>
      <c r="C1955" t="s">
        <v>33</v>
      </c>
      <c r="D1955" t="s">
        <v>12</v>
      </c>
      <c r="E1955" t="s">
        <v>751</v>
      </c>
      <c r="F1955" t="s">
        <v>101</v>
      </c>
      <c r="G1955" t="s">
        <v>468</v>
      </c>
      <c r="H1955" t="s">
        <v>838</v>
      </c>
      <c r="I1955" t="s">
        <v>839</v>
      </c>
      <c r="J1955" t="s">
        <v>839</v>
      </c>
      <c r="K1955" t="s">
        <v>450</v>
      </c>
      <c r="L1955" t="s">
        <v>840</v>
      </c>
      <c r="M1955" t="s">
        <v>11</v>
      </c>
      <c r="N1955" t="s">
        <v>11</v>
      </c>
      <c r="O1955" t="s">
        <v>408</v>
      </c>
      <c r="P1955" t="s">
        <v>0</v>
      </c>
      <c r="Q1955" t="s">
        <v>408</v>
      </c>
      <c r="R1955" t="s">
        <v>439</v>
      </c>
      <c r="S1955" t="s">
        <v>451</v>
      </c>
      <c r="T1955" t="s">
        <v>408</v>
      </c>
      <c r="U1955" t="s">
        <v>408</v>
      </c>
    </row>
    <row r="1956" spans="1:21" x14ac:dyDescent="0.25">
      <c r="A1956">
        <v>20910025</v>
      </c>
      <c r="B1956" t="s">
        <v>342</v>
      </c>
      <c r="C1956" t="s">
        <v>89</v>
      </c>
      <c r="D1956" t="s">
        <v>12</v>
      </c>
      <c r="E1956" t="s">
        <v>751</v>
      </c>
      <c r="F1956" t="s">
        <v>95</v>
      </c>
      <c r="G1956" t="s">
        <v>468</v>
      </c>
      <c r="H1956" t="s">
        <v>765</v>
      </c>
      <c r="I1956" t="s">
        <v>766</v>
      </c>
      <c r="J1956" t="s">
        <v>767</v>
      </c>
      <c r="K1956" t="s">
        <v>444</v>
      </c>
      <c r="L1956" t="s">
        <v>675</v>
      </c>
      <c r="M1956" t="s">
        <v>408</v>
      </c>
      <c r="N1956" t="s">
        <v>11</v>
      </c>
      <c r="O1956" t="s">
        <v>11</v>
      </c>
      <c r="P1956" t="s">
        <v>0</v>
      </c>
      <c r="Q1956" t="s">
        <v>408</v>
      </c>
      <c r="R1956" t="s">
        <v>439</v>
      </c>
      <c r="S1956" t="s">
        <v>451</v>
      </c>
      <c r="T1956" t="s">
        <v>11</v>
      </c>
      <c r="U1956" t="s">
        <v>408</v>
      </c>
    </row>
    <row r="1957" spans="1:21" x14ac:dyDescent="0.25">
      <c r="A1957">
        <v>20910027</v>
      </c>
      <c r="B1957" t="s">
        <v>342</v>
      </c>
      <c r="C1957" t="s">
        <v>89</v>
      </c>
      <c r="D1957" t="s">
        <v>18</v>
      </c>
      <c r="E1957" t="s">
        <v>751</v>
      </c>
      <c r="F1957" t="s">
        <v>190</v>
      </c>
      <c r="G1957" t="s">
        <v>468</v>
      </c>
      <c r="H1957" t="s">
        <v>765</v>
      </c>
      <c r="I1957" t="s">
        <v>766</v>
      </c>
      <c r="J1957" t="s">
        <v>767</v>
      </c>
      <c r="K1957" t="s">
        <v>444</v>
      </c>
      <c r="L1957" t="s">
        <v>678</v>
      </c>
      <c r="M1957" t="s">
        <v>11</v>
      </c>
      <c r="N1957" t="s">
        <v>11</v>
      </c>
      <c r="O1957" t="s">
        <v>11</v>
      </c>
      <c r="P1957" t="s">
        <v>0</v>
      </c>
      <c r="Q1957" t="s">
        <v>408</v>
      </c>
      <c r="R1957" t="s">
        <v>439</v>
      </c>
      <c r="S1957" t="s">
        <v>451</v>
      </c>
      <c r="T1957" t="s">
        <v>408</v>
      </c>
      <c r="U1957" t="s">
        <v>408</v>
      </c>
    </row>
    <row r="1958" spans="1:21" x14ac:dyDescent="0.25">
      <c r="A1958">
        <v>20910028</v>
      </c>
      <c r="B1958" t="s">
        <v>340</v>
      </c>
      <c r="C1958" t="s">
        <v>26</v>
      </c>
      <c r="D1958" t="s">
        <v>12</v>
      </c>
      <c r="E1958" t="s">
        <v>751</v>
      </c>
      <c r="F1958" t="s">
        <v>95</v>
      </c>
      <c r="G1958" t="s">
        <v>369</v>
      </c>
      <c r="H1958" t="s">
        <v>841</v>
      </c>
      <c r="I1958" t="s">
        <v>842</v>
      </c>
      <c r="J1958" t="s">
        <v>843</v>
      </c>
      <c r="K1958" t="s">
        <v>606</v>
      </c>
      <c r="L1958" t="s">
        <v>4</v>
      </c>
      <c r="M1958" t="s">
        <v>408</v>
      </c>
      <c r="N1958" t="s">
        <v>11</v>
      </c>
      <c r="O1958" t="s">
        <v>11</v>
      </c>
      <c r="P1958" t="s">
        <v>0</v>
      </c>
      <c r="Q1958" t="s">
        <v>408</v>
      </c>
      <c r="R1958" t="s">
        <v>439</v>
      </c>
      <c r="S1958" t="s">
        <v>451</v>
      </c>
      <c r="T1958" t="s">
        <v>11</v>
      </c>
      <c r="U1958" t="s">
        <v>408</v>
      </c>
    </row>
    <row r="1959" spans="1:21" x14ac:dyDescent="0.25">
      <c r="A1959">
        <v>20910029</v>
      </c>
      <c r="B1959" t="s">
        <v>342</v>
      </c>
      <c r="C1959" t="s">
        <v>33</v>
      </c>
      <c r="D1959" t="s">
        <v>18</v>
      </c>
      <c r="E1959" t="s">
        <v>751</v>
      </c>
      <c r="F1959" t="s">
        <v>95</v>
      </c>
      <c r="G1959" t="s">
        <v>369</v>
      </c>
      <c r="H1959" t="s">
        <v>675</v>
      </c>
      <c r="I1959" t="s">
        <v>826</v>
      </c>
      <c r="J1959" t="s">
        <v>827</v>
      </c>
      <c r="K1959" t="s">
        <v>444</v>
      </c>
      <c r="L1959" t="s">
        <v>0</v>
      </c>
      <c r="M1959" t="s">
        <v>408</v>
      </c>
      <c r="N1959" t="s">
        <v>11</v>
      </c>
      <c r="O1959" t="s">
        <v>11</v>
      </c>
      <c r="P1959" t="s">
        <v>0</v>
      </c>
      <c r="Q1959" t="s">
        <v>408</v>
      </c>
      <c r="R1959" t="s">
        <v>439</v>
      </c>
      <c r="S1959" t="s">
        <v>451</v>
      </c>
      <c r="T1959" t="s">
        <v>11</v>
      </c>
      <c r="U1959" t="s">
        <v>408</v>
      </c>
    </row>
    <row r="1960" spans="1:21" x14ac:dyDescent="0.25">
      <c r="A1960">
        <v>20910030</v>
      </c>
      <c r="B1960" t="s">
        <v>342</v>
      </c>
      <c r="C1960" t="s">
        <v>89</v>
      </c>
      <c r="D1960" t="s">
        <v>12</v>
      </c>
      <c r="E1960" t="s">
        <v>751</v>
      </c>
      <c r="F1960" t="s">
        <v>97</v>
      </c>
      <c r="G1960" t="s">
        <v>468</v>
      </c>
      <c r="H1960" t="s">
        <v>765</v>
      </c>
      <c r="I1960" t="s">
        <v>766</v>
      </c>
      <c r="J1960" t="s">
        <v>767</v>
      </c>
      <c r="K1960" t="s">
        <v>444</v>
      </c>
      <c r="L1960" t="s">
        <v>680</v>
      </c>
      <c r="M1960" t="s">
        <v>11</v>
      </c>
      <c r="N1960" t="s">
        <v>11</v>
      </c>
      <c r="O1960" t="s">
        <v>408</v>
      </c>
      <c r="P1960" t="s">
        <v>0</v>
      </c>
      <c r="Q1960" t="s">
        <v>408</v>
      </c>
      <c r="R1960" t="s">
        <v>439</v>
      </c>
      <c r="S1960" t="s">
        <v>451</v>
      </c>
      <c r="T1960" t="s">
        <v>408</v>
      </c>
      <c r="U1960" t="s">
        <v>408</v>
      </c>
    </row>
    <row r="1961" spans="1:21" x14ac:dyDescent="0.25">
      <c r="A1961">
        <v>20910032</v>
      </c>
      <c r="B1961" t="s">
        <v>342</v>
      </c>
      <c r="C1961" t="s">
        <v>89</v>
      </c>
      <c r="D1961" t="s">
        <v>12</v>
      </c>
      <c r="E1961" t="s">
        <v>751</v>
      </c>
      <c r="F1961" t="s">
        <v>95</v>
      </c>
      <c r="G1961" t="s">
        <v>468</v>
      </c>
      <c r="H1961" t="s">
        <v>765</v>
      </c>
      <c r="I1961" t="s">
        <v>766</v>
      </c>
      <c r="J1961" t="s">
        <v>767</v>
      </c>
      <c r="K1961" t="s">
        <v>444</v>
      </c>
      <c r="L1961" t="s">
        <v>680</v>
      </c>
      <c r="M1961" t="s">
        <v>11</v>
      </c>
      <c r="N1961" t="s">
        <v>11</v>
      </c>
      <c r="O1961" t="s">
        <v>408</v>
      </c>
      <c r="P1961" t="s">
        <v>0</v>
      </c>
      <c r="Q1961" t="s">
        <v>408</v>
      </c>
      <c r="R1961" t="s">
        <v>439</v>
      </c>
      <c r="S1961" t="s">
        <v>451</v>
      </c>
      <c r="T1961" t="s">
        <v>408</v>
      </c>
      <c r="U1961" t="s">
        <v>408</v>
      </c>
    </row>
    <row r="1962" spans="1:21" x14ac:dyDescent="0.25">
      <c r="A1962">
        <v>20910033</v>
      </c>
      <c r="B1962" t="s">
        <v>342</v>
      </c>
      <c r="C1962" t="s">
        <v>89</v>
      </c>
      <c r="D1962" t="s">
        <v>12</v>
      </c>
      <c r="E1962" t="s">
        <v>751</v>
      </c>
      <c r="F1962" t="s">
        <v>95</v>
      </c>
      <c r="G1962" t="s">
        <v>468</v>
      </c>
      <c r="H1962" t="s">
        <v>765</v>
      </c>
      <c r="I1962" t="s">
        <v>766</v>
      </c>
      <c r="J1962" t="s">
        <v>767</v>
      </c>
      <c r="K1962" t="s">
        <v>444</v>
      </c>
      <c r="L1962" t="s">
        <v>678</v>
      </c>
      <c r="M1962" t="s">
        <v>11</v>
      </c>
      <c r="N1962" t="s">
        <v>11</v>
      </c>
      <c r="O1962" t="s">
        <v>11</v>
      </c>
      <c r="P1962" t="s">
        <v>0</v>
      </c>
      <c r="Q1962" t="s">
        <v>408</v>
      </c>
      <c r="R1962" t="s">
        <v>439</v>
      </c>
      <c r="S1962" t="s">
        <v>451</v>
      </c>
      <c r="T1962" t="s">
        <v>408</v>
      </c>
      <c r="U1962" t="s">
        <v>408</v>
      </c>
    </row>
    <row r="1963" spans="1:21" x14ac:dyDescent="0.25">
      <c r="A1963">
        <v>20910034</v>
      </c>
      <c r="B1963" t="s">
        <v>342</v>
      </c>
      <c r="C1963" t="s">
        <v>89</v>
      </c>
      <c r="D1963" t="s">
        <v>12</v>
      </c>
      <c r="E1963" t="s">
        <v>751</v>
      </c>
      <c r="F1963" t="s">
        <v>97</v>
      </c>
      <c r="G1963" t="s">
        <v>468</v>
      </c>
      <c r="H1963" t="s">
        <v>761</v>
      </c>
      <c r="I1963" t="s">
        <v>762</v>
      </c>
      <c r="J1963" t="s">
        <v>763</v>
      </c>
      <c r="K1963" t="s">
        <v>764</v>
      </c>
      <c r="L1963" t="s">
        <v>837</v>
      </c>
      <c r="M1963" t="s">
        <v>408</v>
      </c>
      <c r="N1963" t="s">
        <v>11</v>
      </c>
      <c r="O1963" t="s">
        <v>11</v>
      </c>
      <c r="P1963" t="s">
        <v>0</v>
      </c>
      <c r="Q1963" t="s">
        <v>408</v>
      </c>
      <c r="R1963" t="s">
        <v>439</v>
      </c>
      <c r="S1963" t="s">
        <v>440</v>
      </c>
      <c r="T1963" t="s">
        <v>11</v>
      </c>
      <c r="U1963" t="s">
        <v>408</v>
      </c>
    </row>
    <row r="1964" spans="1:21" x14ac:dyDescent="0.25">
      <c r="A1964">
        <v>20910035</v>
      </c>
      <c r="B1964" t="s">
        <v>342</v>
      </c>
      <c r="C1964" t="s">
        <v>89</v>
      </c>
      <c r="D1964" t="s">
        <v>12</v>
      </c>
      <c r="E1964" t="s">
        <v>751</v>
      </c>
      <c r="F1964" t="s">
        <v>101</v>
      </c>
      <c r="G1964" t="s">
        <v>468</v>
      </c>
      <c r="H1964" t="s">
        <v>765</v>
      </c>
      <c r="I1964" t="s">
        <v>766</v>
      </c>
      <c r="J1964" t="s">
        <v>767</v>
      </c>
      <c r="K1964" t="s">
        <v>444</v>
      </c>
      <c r="L1964" t="s">
        <v>678</v>
      </c>
      <c r="M1964" t="s">
        <v>11</v>
      </c>
      <c r="N1964" t="s">
        <v>11</v>
      </c>
      <c r="O1964" t="s">
        <v>408</v>
      </c>
      <c r="P1964" t="s">
        <v>0</v>
      </c>
      <c r="Q1964" t="s">
        <v>408</v>
      </c>
      <c r="R1964" t="s">
        <v>439</v>
      </c>
      <c r="S1964" t="s">
        <v>451</v>
      </c>
      <c r="T1964" t="s">
        <v>408</v>
      </c>
      <c r="U1964" t="s">
        <v>408</v>
      </c>
    </row>
    <row r="1965" spans="1:21" x14ac:dyDescent="0.25">
      <c r="A1965">
        <v>20910036</v>
      </c>
      <c r="B1965" t="s">
        <v>340</v>
      </c>
      <c r="C1965" t="s">
        <v>26</v>
      </c>
      <c r="D1965" t="s">
        <v>12</v>
      </c>
      <c r="E1965" t="s">
        <v>751</v>
      </c>
      <c r="F1965" t="s">
        <v>95</v>
      </c>
      <c r="G1965" t="s">
        <v>468</v>
      </c>
      <c r="H1965" t="s">
        <v>447</v>
      </c>
      <c r="I1965" t="s">
        <v>448</v>
      </c>
      <c r="J1965" t="s">
        <v>449</v>
      </c>
      <c r="K1965" t="s">
        <v>450</v>
      </c>
      <c r="L1965" t="s">
        <v>367</v>
      </c>
      <c r="M1965" t="s">
        <v>408</v>
      </c>
      <c r="N1965" t="s">
        <v>11</v>
      </c>
      <c r="O1965" t="s">
        <v>11</v>
      </c>
      <c r="P1965" t="s">
        <v>0</v>
      </c>
      <c r="Q1965" t="s">
        <v>408</v>
      </c>
      <c r="R1965" t="s">
        <v>439</v>
      </c>
      <c r="S1965" t="s">
        <v>451</v>
      </c>
      <c r="T1965" t="s">
        <v>11</v>
      </c>
      <c r="U1965" t="s">
        <v>408</v>
      </c>
    </row>
    <row r="1966" spans="1:21" x14ac:dyDescent="0.25">
      <c r="A1966">
        <v>20910037</v>
      </c>
      <c r="B1966" t="s">
        <v>340</v>
      </c>
      <c r="C1966" t="s">
        <v>26</v>
      </c>
      <c r="D1966" t="s">
        <v>12</v>
      </c>
      <c r="E1966" t="s">
        <v>751</v>
      </c>
      <c r="F1966" t="s">
        <v>100</v>
      </c>
      <c r="G1966" t="s">
        <v>468</v>
      </c>
      <c r="H1966" t="s">
        <v>447</v>
      </c>
      <c r="I1966" t="s">
        <v>448</v>
      </c>
      <c r="J1966" t="s">
        <v>449</v>
      </c>
      <c r="K1966" t="s">
        <v>450</v>
      </c>
      <c r="L1966" t="s">
        <v>375</v>
      </c>
      <c r="M1966" t="s">
        <v>408</v>
      </c>
      <c r="N1966" t="s">
        <v>11</v>
      </c>
      <c r="O1966" t="s">
        <v>11</v>
      </c>
      <c r="P1966" t="s">
        <v>0</v>
      </c>
      <c r="Q1966" t="s">
        <v>408</v>
      </c>
      <c r="R1966" t="s">
        <v>439</v>
      </c>
      <c r="S1966" t="s">
        <v>451</v>
      </c>
      <c r="T1966" t="s">
        <v>11</v>
      </c>
      <c r="U1966" t="s">
        <v>408</v>
      </c>
    </row>
    <row r="1967" spans="1:21" x14ac:dyDescent="0.25">
      <c r="A1967">
        <v>20910038</v>
      </c>
      <c r="B1967" t="s">
        <v>340</v>
      </c>
      <c r="C1967" t="s">
        <v>26</v>
      </c>
      <c r="D1967" t="s">
        <v>12</v>
      </c>
      <c r="E1967" t="s">
        <v>751</v>
      </c>
      <c r="F1967" t="s">
        <v>844</v>
      </c>
      <c r="G1967" t="s">
        <v>468</v>
      </c>
      <c r="H1967" t="s">
        <v>0</v>
      </c>
      <c r="I1967" t="s">
        <v>436</v>
      </c>
      <c r="J1967" t="s">
        <v>437</v>
      </c>
      <c r="K1967" t="s">
        <v>438</v>
      </c>
      <c r="L1967" t="s">
        <v>1</v>
      </c>
      <c r="M1967" t="s">
        <v>408</v>
      </c>
      <c r="N1967" t="s">
        <v>11</v>
      </c>
      <c r="O1967" t="s">
        <v>11</v>
      </c>
      <c r="P1967" t="s">
        <v>0</v>
      </c>
      <c r="Q1967" t="s">
        <v>408</v>
      </c>
      <c r="R1967" t="s">
        <v>439</v>
      </c>
      <c r="S1967" t="s">
        <v>440</v>
      </c>
      <c r="T1967" t="s">
        <v>11</v>
      </c>
      <c r="U1967" t="s">
        <v>408</v>
      </c>
    </row>
    <row r="1968" spans="1:21" x14ac:dyDescent="0.25">
      <c r="A1968">
        <v>20910040</v>
      </c>
      <c r="B1968" t="s">
        <v>342</v>
      </c>
      <c r="C1968" t="s">
        <v>89</v>
      </c>
      <c r="D1968" t="s">
        <v>12</v>
      </c>
      <c r="E1968" t="s">
        <v>751</v>
      </c>
      <c r="F1968" t="s">
        <v>317</v>
      </c>
      <c r="G1968" t="s">
        <v>468</v>
      </c>
      <c r="H1968" t="s">
        <v>765</v>
      </c>
      <c r="I1968" t="s">
        <v>766</v>
      </c>
      <c r="J1968" t="s">
        <v>767</v>
      </c>
      <c r="K1968" t="s">
        <v>444</v>
      </c>
      <c r="L1968" t="s">
        <v>675</v>
      </c>
      <c r="M1968" t="s">
        <v>408</v>
      </c>
      <c r="N1968" t="s">
        <v>11</v>
      </c>
      <c r="O1968" t="s">
        <v>11</v>
      </c>
      <c r="P1968" t="s">
        <v>0</v>
      </c>
      <c r="Q1968" t="s">
        <v>408</v>
      </c>
      <c r="R1968" t="s">
        <v>439</v>
      </c>
      <c r="S1968" t="s">
        <v>451</v>
      </c>
      <c r="T1968" t="s">
        <v>11</v>
      </c>
      <c r="U1968" t="s">
        <v>408</v>
      </c>
    </row>
    <row r="1969" spans="1:21" x14ac:dyDescent="0.25">
      <c r="A1969">
        <v>20910041</v>
      </c>
      <c r="B1969" t="s">
        <v>342</v>
      </c>
      <c r="C1969" t="s">
        <v>89</v>
      </c>
      <c r="D1969" t="s">
        <v>12</v>
      </c>
      <c r="E1969" t="s">
        <v>751</v>
      </c>
      <c r="F1969" t="s">
        <v>97</v>
      </c>
      <c r="G1969" t="s">
        <v>468</v>
      </c>
      <c r="H1969" t="s">
        <v>761</v>
      </c>
      <c r="I1969" t="s">
        <v>762</v>
      </c>
      <c r="J1969" t="s">
        <v>763</v>
      </c>
      <c r="K1969" t="s">
        <v>764</v>
      </c>
      <c r="L1969" t="s">
        <v>837</v>
      </c>
      <c r="M1969" t="s">
        <v>408</v>
      </c>
      <c r="N1969" t="s">
        <v>11</v>
      </c>
      <c r="O1969" t="s">
        <v>11</v>
      </c>
      <c r="P1969" t="s">
        <v>0</v>
      </c>
      <c r="Q1969" t="s">
        <v>408</v>
      </c>
      <c r="R1969" t="s">
        <v>439</v>
      </c>
      <c r="S1969" t="s">
        <v>440</v>
      </c>
      <c r="T1969" t="s">
        <v>11</v>
      </c>
      <c r="U1969" t="s">
        <v>408</v>
      </c>
    </row>
    <row r="1970" spans="1:21" x14ac:dyDescent="0.25">
      <c r="A1970">
        <v>20910042</v>
      </c>
      <c r="B1970" t="s">
        <v>342</v>
      </c>
      <c r="C1970" t="s">
        <v>89</v>
      </c>
      <c r="D1970" t="s">
        <v>12</v>
      </c>
      <c r="E1970" t="s">
        <v>751</v>
      </c>
      <c r="F1970" t="s">
        <v>95</v>
      </c>
      <c r="G1970" t="s">
        <v>468</v>
      </c>
      <c r="H1970" t="s">
        <v>765</v>
      </c>
      <c r="I1970" t="s">
        <v>766</v>
      </c>
      <c r="J1970" t="s">
        <v>767</v>
      </c>
      <c r="K1970" t="s">
        <v>444</v>
      </c>
      <c r="L1970" t="s">
        <v>678</v>
      </c>
      <c r="M1970" t="s">
        <v>11</v>
      </c>
      <c r="N1970" t="s">
        <v>11</v>
      </c>
      <c r="O1970" t="s">
        <v>11</v>
      </c>
      <c r="P1970" t="s">
        <v>0</v>
      </c>
      <c r="Q1970" t="s">
        <v>408</v>
      </c>
      <c r="R1970" t="s">
        <v>439</v>
      </c>
      <c r="S1970" t="s">
        <v>451</v>
      </c>
      <c r="T1970" t="s">
        <v>408</v>
      </c>
      <c r="U1970" t="s">
        <v>408</v>
      </c>
    </row>
    <row r="1971" spans="1:21" x14ac:dyDescent="0.25">
      <c r="A1971">
        <v>20910045</v>
      </c>
      <c r="B1971" t="s">
        <v>342</v>
      </c>
      <c r="C1971" t="s">
        <v>89</v>
      </c>
      <c r="D1971" t="s">
        <v>18</v>
      </c>
      <c r="E1971" t="s">
        <v>751</v>
      </c>
      <c r="F1971" t="s">
        <v>95</v>
      </c>
      <c r="G1971" t="s">
        <v>468</v>
      </c>
      <c r="H1971" t="s">
        <v>765</v>
      </c>
      <c r="I1971" t="s">
        <v>766</v>
      </c>
      <c r="J1971" t="s">
        <v>767</v>
      </c>
      <c r="K1971" t="s">
        <v>444</v>
      </c>
      <c r="L1971" t="s">
        <v>678</v>
      </c>
      <c r="M1971" t="s">
        <v>11</v>
      </c>
      <c r="N1971" t="s">
        <v>11</v>
      </c>
      <c r="O1971" t="s">
        <v>11</v>
      </c>
      <c r="P1971" t="s">
        <v>0</v>
      </c>
      <c r="Q1971" t="s">
        <v>408</v>
      </c>
      <c r="R1971" t="s">
        <v>439</v>
      </c>
      <c r="S1971" t="s">
        <v>451</v>
      </c>
      <c r="T1971" t="s">
        <v>408</v>
      </c>
      <c r="U1971" t="s">
        <v>408</v>
      </c>
    </row>
    <row r="1972" spans="1:21" x14ac:dyDescent="0.25">
      <c r="A1972">
        <v>20910046</v>
      </c>
      <c r="B1972" t="s">
        <v>340</v>
      </c>
      <c r="C1972" t="s">
        <v>86</v>
      </c>
      <c r="D1972" t="s">
        <v>18</v>
      </c>
      <c r="E1972" t="s">
        <v>751</v>
      </c>
      <c r="F1972" t="s">
        <v>95</v>
      </c>
      <c r="G1972" t="s">
        <v>468</v>
      </c>
      <c r="H1972" t="s">
        <v>447</v>
      </c>
      <c r="I1972" t="s">
        <v>448</v>
      </c>
      <c r="J1972" t="s">
        <v>449</v>
      </c>
      <c r="K1972" t="s">
        <v>450</v>
      </c>
      <c r="L1972" t="s">
        <v>375</v>
      </c>
      <c r="M1972" t="s">
        <v>408</v>
      </c>
      <c r="N1972" t="s">
        <v>11</v>
      </c>
      <c r="O1972" t="s">
        <v>11</v>
      </c>
      <c r="P1972" t="s">
        <v>0</v>
      </c>
      <c r="Q1972" t="s">
        <v>408</v>
      </c>
      <c r="R1972" t="s">
        <v>439</v>
      </c>
      <c r="S1972" t="s">
        <v>451</v>
      </c>
      <c r="T1972" t="s">
        <v>11</v>
      </c>
      <c r="U1972" t="s">
        <v>408</v>
      </c>
    </row>
    <row r="1973" spans="1:21" x14ac:dyDescent="0.25">
      <c r="A1973">
        <v>20910047</v>
      </c>
      <c r="B1973" t="s">
        <v>342</v>
      </c>
      <c r="C1973" t="s">
        <v>89</v>
      </c>
      <c r="D1973" t="s">
        <v>12</v>
      </c>
      <c r="E1973" t="s">
        <v>751</v>
      </c>
      <c r="F1973" t="s">
        <v>95</v>
      </c>
      <c r="G1973" t="s">
        <v>468</v>
      </c>
      <c r="H1973" t="s">
        <v>765</v>
      </c>
      <c r="I1973" t="s">
        <v>766</v>
      </c>
      <c r="J1973" t="s">
        <v>767</v>
      </c>
      <c r="K1973" t="s">
        <v>444</v>
      </c>
      <c r="L1973" t="s">
        <v>678</v>
      </c>
      <c r="M1973" t="s">
        <v>11</v>
      </c>
      <c r="N1973" t="s">
        <v>11</v>
      </c>
      <c r="O1973" t="s">
        <v>11</v>
      </c>
      <c r="P1973" t="s">
        <v>0</v>
      </c>
      <c r="Q1973" t="s">
        <v>408</v>
      </c>
      <c r="R1973" t="s">
        <v>439</v>
      </c>
      <c r="S1973" t="s">
        <v>451</v>
      </c>
      <c r="T1973" t="s">
        <v>408</v>
      </c>
      <c r="U1973" t="s">
        <v>408</v>
      </c>
    </row>
    <row r="1974" spans="1:21" x14ac:dyDescent="0.25">
      <c r="A1974">
        <v>20910048</v>
      </c>
      <c r="B1974" t="s">
        <v>342</v>
      </c>
      <c r="C1974" t="s">
        <v>33</v>
      </c>
      <c r="D1974" t="s">
        <v>12</v>
      </c>
      <c r="E1974" t="s">
        <v>751</v>
      </c>
      <c r="F1974" t="s">
        <v>97</v>
      </c>
      <c r="G1974" t="s">
        <v>468</v>
      </c>
      <c r="H1974" t="s">
        <v>838</v>
      </c>
      <c r="I1974" t="s">
        <v>839</v>
      </c>
      <c r="J1974" t="s">
        <v>839</v>
      </c>
      <c r="K1974" t="s">
        <v>450</v>
      </c>
      <c r="L1974" t="s">
        <v>840</v>
      </c>
      <c r="M1974" t="s">
        <v>11</v>
      </c>
      <c r="N1974" t="s">
        <v>11</v>
      </c>
      <c r="O1974" t="s">
        <v>11</v>
      </c>
      <c r="P1974" t="s">
        <v>0</v>
      </c>
      <c r="Q1974" t="s">
        <v>408</v>
      </c>
      <c r="R1974" t="s">
        <v>439</v>
      </c>
      <c r="S1974" t="s">
        <v>451</v>
      </c>
      <c r="T1974" t="s">
        <v>408</v>
      </c>
      <c r="U1974" t="s">
        <v>408</v>
      </c>
    </row>
    <row r="1975" spans="1:21" x14ac:dyDescent="0.25">
      <c r="A1975">
        <v>20910050</v>
      </c>
      <c r="B1975" t="s">
        <v>342</v>
      </c>
      <c r="C1975" t="s">
        <v>89</v>
      </c>
      <c r="D1975" t="s">
        <v>12</v>
      </c>
      <c r="E1975" t="s">
        <v>751</v>
      </c>
      <c r="F1975" t="s">
        <v>95</v>
      </c>
      <c r="G1975" t="s">
        <v>468</v>
      </c>
      <c r="H1975" t="s">
        <v>765</v>
      </c>
      <c r="I1975" t="s">
        <v>766</v>
      </c>
      <c r="J1975" t="s">
        <v>767</v>
      </c>
      <c r="K1975" t="s">
        <v>444</v>
      </c>
      <c r="L1975" t="s">
        <v>678</v>
      </c>
      <c r="M1975" t="s">
        <v>11</v>
      </c>
      <c r="N1975" t="s">
        <v>11</v>
      </c>
      <c r="O1975" t="s">
        <v>11</v>
      </c>
      <c r="P1975" t="s">
        <v>0</v>
      </c>
      <c r="Q1975" t="s">
        <v>408</v>
      </c>
      <c r="R1975" t="s">
        <v>439</v>
      </c>
      <c r="S1975" t="s">
        <v>451</v>
      </c>
      <c r="T1975" t="s">
        <v>408</v>
      </c>
      <c r="U1975" t="s">
        <v>408</v>
      </c>
    </row>
    <row r="1976" spans="1:21" x14ac:dyDescent="0.25">
      <c r="A1976">
        <v>20910081</v>
      </c>
      <c r="B1976" t="s">
        <v>342</v>
      </c>
      <c r="C1976" t="s">
        <v>89</v>
      </c>
      <c r="D1976" t="s">
        <v>12</v>
      </c>
      <c r="E1976" t="s">
        <v>751</v>
      </c>
      <c r="F1976" t="s">
        <v>97</v>
      </c>
      <c r="G1976" t="s">
        <v>468</v>
      </c>
      <c r="H1976" t="s">
        <v>838</v>
      </c>
      <c r="I1976" t="s">
        <v>839</v>
      </c>
      <c r="J1976" t="s">
        <v>839</v>
      </c>
      <c r="K1976" t="s">
        <v>450</v>
      </c>
      <c r="L1976" t="s">
        <v>845</v>
      </c>
      <c r="M1976" t="s">
        <v>408</v>
      </c>
      <c r="N1976" t="s">
        <v>11</v>
      </c>
      <c r="O1976" t="s">
        <v>408</v>
      </c>
      <c r="P1976" t="s">
        <v>2</v>
      </c>
      <c r="Q1976" t="s">
        <v>408</v>
      </c>
      <c r="R1976" t="s">
        <v>439</v>
      </c>
      <c r="S1976" t="s">
        <v>451</v>
      </c>
      <c r="T1976" t="s">
        <v>11</v>
      </c>
      <c r="U1976" t="s">
        <v>408</v>
      </c>
    </row>
    <row r="1977" spans="1:21" x14ac:dyDescent="0.25">
      <c r="A1977">
        <v>20910083</v>
      </c>
      <c r="B1977" t="s">
        <v>340</v>
      </c>
      <c r="C1977" t="s">
        <v>86</v>
      </c>
      <c r="D1977" t="s">
        <v>12</v>
      </c>
      <c r="E1977" t="s">
        <v>751</v>
      </c>
      <c r="F1977" t="s">
        <v>97</v>
      </c>
      <c r="G1977" t="s">
        <v>468</v>
      </c>
      <c r="H1977" t="s">
        <v>715</v>
      </c>
      <c r="I1977" t="s">
        <v>716</v>
      </c>
      <c r="J1977" t="s">
        <v>717</v>
      </c>
      <c r="K1977" t="s">
        <v>438</v>
      </c>
      <c r="L1977" t="s">
        <v>846</v>
      </c>
      <c r="M1977" t="s">
        <v>408</v>
      </c>
      <c r="N1977" t="s">
        <v>11</v>
      </c>
      <c r="O1977" t="s">
        <v>11</v>
      </c>
      <c r="P1977" t="s">
        <v>2</v>
      </c>
      <c r="Q1977" t="s">
        <v>408</v>
      </c>
      <c r="R1977" t="s">
        <v>439</v>
      </c>
      <c r="S1977" t="s">
        <v>440</v>
      </c>
      <c r="T1977" t="s">
        <v>11</v>
      </c>
      <c r="U1977" t="s">
        <v>408</v>
      </c>
    </row>
    <row r="1978" spans="1:21" x14ac:dyDescent="0.25">
      <c r="A1978">
        <v>20910084</v>
      </c>
      <c r="B1978" t="s">
        <v>340</v>
      </c>
      <c r="C1978" t="s">
        <v>86</v>
      </c>
      <c r="D1978" t="s">
        <v>12</v>
      </c>
      <c r="E1978" t="s">
        <v>751</v>
      </c>
      <c r="F1978" t="s">
        <v>95</v>
      </c>
      <c r="G1978" t="s">
        <v>468</v>
      </c>
      <c r="H1978" t="s">
        <v>761</v>
      </c>
      <c r="I1978" t="s">
        <v>762</v>
      </c>
      <c r="J1978" t="s">
        <v>763</v>
      </c>
      <c r="K1978" t="s">
        <v>764</v>
      </c>
      <c r="L1978" t="s">
        <v>846</v>
      </c>
      <c r="M1978" t="s">
        <v>408</v>
      </c>
      <c r="N1978" t="s">
        <v>11</v>
      </c>
      <c r="O1978" t="s">
        <v>11</v>
      </c>
      <c r="P1978" t="s">
        <v>2</v>
      </c>
      <c r="Q1978" t="s">
        <v>408</v>
      </c>
      <c r="R1978" t="s">
        <v>439</v>
      </c>
      <c r="S1978" t="s">
        <v>440</v>
      </c>
      <c r="T1978" t="s">
        <v>11</v>
      </c>
      <c r="U1978" t="s">
        <v>408</v>
      </c>
    </row>
    <row r="1979" spans="1:21" x14ac:dyDescent="0.25">
      <c r="A1979">
        <v>20910085</v>
      </c>
      <c r="B1979" t="s">
        <v>342</v>
      </c>
      <c r="C1979" t="s">
        <v>89</v>
      </c>
      <c r="D1979" t="s">
        <v>12</v>
      </c>
      <c r="E1979" t="s">
        <v>751</v>
      </c>
      <c r="F1979" t="s">
        <v>190</v>
      </c>
      <c r="G1979" t="s">
        <v>468</v>
      </c>
      <c r="H1979" t="s">
        <v>765</v>
      </c>
      <c r="I1979" t="s">
        <v>766</v>
      </c>
      <c r="J1979" t="s">
        <v>767</v>
      </c>
      <c r="K1979" t="s">
        <v>444</v>
      </c>
      <c r="L1979" t="s">
        <v>840</v>
      </c>
      <c r="M1979" t="s">
        <v>11</v>
      </c>
      <c r="N1979" t="s">
        <v>11</v>
      </c>
      <c r="O1979" t="s">
        <v>11</v>
      </c>
      <c r="P1979" t="s">
        <v>2</v>
      </c>
      <c r="Q1979" t="s">
        <v>408</v>
      </c>
      <c r="R1979" t="s">
        <v>439</v>
      </c>
      <c r="S1979" t="s">
        <v>451</v>
      </c>
      <c r="T1979" t="s">
        <v>408</v>
      </c>
      <c r="U1979" t="s">
        <v>408</v>
      </c>
    </row>
    <row r="1980" spans="1:21" x14ac:dyDescent="0.25">
      <c r="A1980">
        <v>20910086</v>
      </c>
      <c r="B1980" t="s">
        <v>340</v>
      </c>
      <c r="C1980" t="s">
        <v>86</v>
      </c>
      <c r="D1980" t="s">
        <v>12</v>
      </c>
      <c r="E1980" t="s">
        <v>751</v>
      </c>
      <c r="F1980" t="s">
        <v>97</v>
      </c>
      <c r="G1980" t="s">
        <v>468</v>
      </c>
      <c r="H1980" t="s">
        <v>617</v>
      </c>
      <c r="I1980" t="s">
        <v>618</v>
      </c>
      <c r="J1980" t="s">
        <v>619</v>
      </c>
      <c r="K1980" t="s">
        <v>606</v>
      </c>
      <c r="L1980" t="s">
        <v>847</v>
      </c>
      <c r="M1980" t="s">
        <v>408</v>
      </c>
      <c r="N1980" t="s">
        <v>11</v>
      </c>
      <c r="O1980" t="s">
        <v>11</v>
      </c>
      <c r="P1980" t="s">
        <v>2</v>
      </c>
      <c r="Q1980" t="s">
        <v>408</v>
      </c>
      <c r="R1980" t="s">
        <v>439</v>
      </c>
      <c r="S1980" t="s">
        <v>451</v>
      </c>
      <c r="T1980" t="s">
        <v>11</v>
      </c>
      <c r="U1980" t="s">
        <v>408</v>
      </c>
    </row>
    <row r="1981" spans="1:21" x14ac:dyDescent="0.25">
      <c r="A1981">
        <v>20910088</v>
      </c>
      <c r="B1981" t="s">
        <v>342</v>
      </c>
      <c r="C1981" t="s">
        <v>89</v>
      </c>
      <c r="D1981" t="s">
        <v>12</v>
      </c>
      <c r="E1981" t="s">
        <v>751</v>
      </c>
      <c r="F1981" t="s">
        <v>97</v>
      </c>
      <c r="G1981" t="s">
        <v>468</v>
      </c>
      <c r="H1981" t="s">
        <v>838</v>
      </c>
      <c r="I1981" t="s">
        <v>839</v>
      </c>
      <c r="J1981" t="s">
        <v>839</v>
      </c>
      <c r="K1981" t="s">
        <v>450</v>
      </c>
      <c r="L1981" t="s">
        <v>675</v>
      </c>
      <c r="M1981" t="s">
        <v>408</v>
      </c>
      <c r="N1981" t="s">
        <v>11</v>
      </c>
      <c r="O1981" t="s">
        <v>11</v>
      </c>
      <c r="P1981" t="s">
        <v>2</v>
      </c>
      <c r="Q1981" t="s">
        <v>408</v>
      </c>
      <c r="R1981" t="s">
        <v>439</v>
      </c>
      <c r="S1981" t="s">
        <v>451</v>
      </c>
      <c r="T1981" t="s">
        <v>11</v>
      </c>
      <c r="U1981" t="s">
        <v>408</v>
      </c>
    </row>
    <row r="1982" spans="1:21" x14ac:dyDescent="0.25">
      <c r="A1982">
        <v>20910089</v>
      </c>
      <c r="B1982" t="s">
        <v>340</v>
      </c>
      <c r="C1982" t="s">
        <v>86</v>
      </c>
      <c r="D1982" t="s">
        <v>18</v>
      </c>
      <c r="E1982" t="s">
        <v>751</v>
      </c>
      <c r="F1982" t="s">
        <v>97</v>
      </c>
      <c r="G1982" t="s">
        <v>468</v>
      </c>
      <c r="H1982" t="s">
        <v>765</v>
      </c>
      <c r="I1982" t="s">
        <v>766</v>
      </c>
      <c r="J1982" t="s">
        <v>767</v>
      </c>
      <c r="K1982" t="s">
        <v>444</v>
      </c>
      <c r="L1982" t="s">
        <v>846</v>
      </c>
      <c r="M1982" t="s">
        <v>408</v>
      </c>
      <c r="N1982" t="s">
        <v>11</v>
      </c>
      <c r="O1982" t="s">
        <v>11</v>
      </c>
      <c r="P1982" t="s">
        <v>2</v>
      </c>
      <c r="Q1982" t="s">
        <v>408</v>
      </c>
      <c r="R1982" t="s">
        <v>439</v>
      </c>
      <c r="S1982" t="s">
        <v>451</v>
      </c>
      <c r="T1982" t="s">
        <v>11</v>
      </c>
      <c r="U1982" t="s">
        <v>408</v>
      </c>
    </row>
    <row r="1983" spans="1:21" x14ac:dyDescent="0.25">
      <c r="A1983">
        <v>20910090</v>
      </c>
      <c r="B1983" t="s">
        <v>340</v>
      </c>
      <c r="C1983" t="s">
        <v>86</v>
      </c>
      <c r="D1983" t="s">
        <v>12</v>
      </c>
      <c r="E1983" t="s">
        <v>751</v>
      </c>
      <c r="F1983" t="s">
        <v>97</v>
      </c>
      <c r="G1983" t="s">
        <v>468</v>
      </c>
      <c r="H1983" t="s">
        <v>715</v>
      </c>
      <c r="I1983" t="s">
        <v>716</v>
      </c>
      <c r="J1983" t="s">
        <v>717</v>
      </c>
      <c r="K1983" t="s">
        <v>438</v>
      </c>
      <c r="L1983" t="s">
        <v>846</v>
      </c>
      <c r="M1983" t="s">
        <v>408</v>
      </c>
      <c r="N1983" t="s">
        <v>11</v>
      </c>
      <c r="O1983" t="s">
        <v>11</v>
      </c>
      <c r="P1983" t="s">
        <v>2</v>
      </c>
      <c r="Q1983" t="s">
        <v>408</v>
      </c>
      <c r="R1983" t="s">
        <v>439</v>
      </c>
      <c r="S1983" t="s">
        <v>440</v>
      </c>
      <c r="T1983" t="s">
        <v>11</v>
      </c>
      <c r="U1983" t="s">
        <v>408</v>
      </c>
    </row>
    <row r="1984" spans="1:21" x14ac:dyDescent="0.25">
      <c r="A1984">
        <v>20910091</v>
      </c>
      <c r="B1984" t="s">
        <v>340</v>
      </c>
      <c r="C1984" t="s">
        <v>86</v>
      </c>
      <c r="D1984" t="s">
        <v>12</v>
      </c>
      <c r="E1984" t="s">
        <v>751</v>
      </c>
      <c r="F1984" t="s">
        <v>97</v>
      </c>
      <c r="G1984" t="s">
        <v>468</v>
      </c>
      <c r="H1984" t="s">
        <v>761</v>
      </c>
      <c r="I1984" t="s">
        <v>762</v>
      </c>
      <c r="J1984" t="s">
        <v>763</v>
      </c>
      <c r="K1984" t="s">
        <v>764</v>
      </c>
      <c r="L1984" t="s">
        <v>846</v>
      </c>
      <c r="M1984" t="s">
        <v>408</v>
      </c>
      <c r="N1984" t="s">
        <v>11</v>
      </c>
      <c r="O1984" t="s">
        <v>11</v>
      </c>
      <c r="P1984" t="s">
        <v>2</v>
      </c>
      <c r="Q1984" t="s">
        <v>408</v>
      </c>
      <c r="R1984" t="s">
        <v>439</v>
      </c>
      <c r="S1984" t="s">
        <v>440</v>
      </c>
      <c r="T1984" t="s">
        <v>11</v>
      </c>
      <c r="U1984" t="s">
        <v>408</v>
      </c>
    </row>
    <row r="1985" spans="1:21" x14ac:dyDescent="0.25">
      <c r="A1985">
        <v>20910092</v>
      </c>
      <c r="B1985" t="s">
        <v>340</v>
      </c>
      <c r="C1985" t="s">
        <v>86</v>
      </c>
      <c r="D1985" t="s">
        <v>12</v>
      </c>
      <c r="E1985" t="s">
        <v>751</v>
      </c>
      <c r="F1985" t="s">
        <v>97</v>
      </c>
      <c r="G1985" t="s">
        <v>468</v>
      </c>
      <c r="H1985" t="s">
        <v>715</v>
      </c>
      <c r="I1985" t="s">
        <v>716</v>
      </c>
      <c r="J1985" t="s">
        <v>717</v>
      </c>
      <c r="K1985" t="s">
        <v>438</v>
      </c>
      <c r="L1985" t="s">
        <v>846</v>
      </c>
      <c r="M1985" t="s">
        <v>408</v>
      </c>
      <c r="N1985" t="s">
        <v>11</v>
      </c>
      <c r="O1985" t="s">
        <v>11</v>
      </c>
      <c r="P1985" t="s">
        <v>2</v>
      </c>
      <c r="Q1985" t="s">
        <v>408</v>
      </c>
      <c r="R1985" t="s">
        <v>439</v>
      </c>
      <c r="S1985" t="s">
        <v>440</v>
      </c>
      <c r="T1985" t="s">
        <v>11</v>
      </c>
      <c r="U1985" t="s">
        <v>408</v>
      </c>
    </row>
    <row r="1986" spans="1:21" x14ac:dyDescent="0.25">
      <c r="A1986">
        <v>20910190</v>
      </c>
      <c r="B1986" t="s">
        <v>371</v>
      </c>
      <c r="C1986" t="s">
        <v>371</v>
      </c>
      <c r="D1986" t="s">
        <v>371</v>
      </c>
      <c r="E1986" t="s">
        <v>371</v>
      </c>
      <c r="F1986" t="s">
        <v>371</v>
      </c>
      <c r="G1986" t="s">
        <v>371</v>
      </c>
      <c r="H1986" t="s">
        <v>371</v>
      </c>
      <c r="I1986" t="s">
        <v>371</v>
      </c>
      <c r="J1986" t="s">
        <v>371</v>
      </c>
      <c r="K1986" t="s">
        <v>371</v>
      </c>
      <c r="L1986" t="s">
        <v>371</v>
      </c>
      <c r="M1986" t="s">
        <v>371</v>
      </c>
      <c r="N1986" t="s">
        <v>371</v>
      </c>
      <c r="O1986" t="s">
        <v>371</v>
      </c>
      <c r="P1986" t="s">
        <v>371</v>
      </c>
      <c r="Q1986" t="s">
        <v>371</v>
      </c>
      <c r="R1986" t="s">
        <v>371</v>
      </c>
      <c r="S1986" t="s">
        <v>371</v>
      </c>
      <c r="T1986" t="s">
        <v>371</v>
      </c>
      <c r="U1986" t="s">
        <v>371</v>
      </c>
    </row>
    <row r="1987" spans="1:21" x14ac:dyDescent="0.25">
      <c r="A1987">
        <v>20910784</v>
      </c>
      <c r="B1987" t="s">
        <v>371</v>
      </c>
      <c r="C1987" t="s">
        <v>371</v>
      </c>
      <c r="D1987" t="s">
        <v>371</v>
      </c>
      <c r="E1987" t="s">
        <v>371</v>
      </c>
      <c r="F1987" t="s">
        <v>371</v>
      </c>
      <c r="G1987" t="s">
        <v>371</v>
      </c>
      <c r="H1987" t="s">
        <v>371</v>
      </c>
      <c r="I1987" t="s">
        <v>371</v>
      </c>
      <c r="J1987" t="s">
        <v>371</v>
      </c>
      <c r="K1987" t="s">
        <v>371</v>
      </c>
      <c r="L1987" t="s">
        <v>371</v>
      </c>
      <c r="M1987" t="s">
        <v>371</v>
      </c>
      <c r="N1987" t="s">
        <v>371</v>
      </c>
      <c r="O1987" t="s">
        <v>371</v>
      </c>
      <c r="P1987" t="s">
        <v>371</v>
      </c>
      <c r="Q1987" t="s">
        <v>371</v>
      </c>
      <c r="R1987" t="s">
        <v>371</v>
      </c>
      <c r="S1987" t="s">
        <v>371</v>
      </c>
      <c r="T1987" t="s">
        <v>371</v>
      </c>
      <c r="U1987" t="s">
        <v>371</v>
      </c>
    </row>
    <row r="1988" spans="1:21" x14ac:dyDescent="0.25">
      <c r="A1988">
        <v>24567508</v>
      </c>
      <c r="B1988" t="s">
        <v>371</v>
      </c>
      <c r="C1988" t="s">
        <v>371</v>
      </c>
      <c r="D1988" t="s">
        <v>371</v>
      </c>
      <c r="E1988" t="s">
        <v>371</v>
      </c>
      <c r="F1988" t="s">
        <v>371</v>
      </c>
      <c r="G1988" t="s">
        <v>371</v>
      </c>
      <c r="H1988" t="s">
        <v>371</v>
      </c>
      <c r="I1988" t="s">
        <v>371</v>
      </c>
      <c r="J1988" t="s">
        <v>371</v>
      </c>
      <c r="K1988" t="s">
        <v>371</v>
      </c>
      <c r="L1988" t="s">
        <v>371</v>
      </c>
      <c r="M1988" t="s">
        <v>371</v>
      </c>
      <c r="N1988" t="s">
        <v>371</v>
      </c>
      <c r="O1988" t="s">
        <v>371</v>
      </c>
      <c r="P1988" t="s">
        <v>371</v>
      </c>
      <c r="Q1988" t="s">
        <v>371</v>
      </c>
      <c r="R1988" t="s">
        <v>371</v>
      </c>
      <c r="S1988" t="s">
        <v>371</v>
      </c>
      <c r="T1988" t="s">
        <v>371</v>
      </c>
      <c r="U1988" t="s">
        <v>371</v>
      </c>
    </row>
    <row r="1989" spans="1:21" x14ac:dyDescent="0.25">
      <c r="A1989">
        <v>19050400</v>
      </c>
      <c r="B1989" t="s">
        <v>371</v>
      </c>
      <c r="C1989" t="s">
        <v>371</v>
      </c>
      <c r="D1989" t="s">
        <v>371</v>
      </c>
      <c r="E1989" t="s">
        <v>371</v>
      </c>
      <c r="F1989" t="s">
        <v>371</v>
      </c>
      <c r="G1989" t="s">
        <v>371</v>
      </c>
      <c r="H1989" t="s">
        <v>371</v>
      </c>
      <c r="I1989" t="s">
        <v>371</v>
      </c>
      <c r="J1989" t="s">
        <v>371</v>
      </c>
      <c r="K1989" t="s">
        <v>371</v>
      </c>
      <c r="L1989" t="s">
        <v>371</v>
      </c>
      <c r="M1989" t="s">
        <v>371</v>
      </c>
      <c r="N1989" t="s">
        <v>371</v>
      </c>
      <c r="O1989" t="s">
        <v>371</v>
      </c>
      <c r="P1989" t="s">
        <v>371</v>
      </c>
      <c r="Q1989" t="s">
        <v>371</v>
      </c>
      <c r="R1989" t="s">
        <v>371</v>
      </c>
      <c r="S1989" t="s">
        <v>371</v>
      </c>
      <c r="T1989" t="s">
        <v>371</v>
      </c>
      <c r="U1989" t="s">
        <v>371</v>
      </c>
    </row>
    <row r="1990" spans="1:21" x14ac:dyDescent="0.25">
      <c r="A1990">
        <v>16390489</v>
      </c>
      <c r="B1990" t="s">
        <v>371</v>
      </c>
      <c r="C1990" t="s">
        <v>371</v>
      </c>
      <c r="D1990" t="s">
        <v>371</v>
      </c>
      <c r="E1990" t="s">
        <v>371</v>
      </c>
      <c r="F1990" t="s">
        <v>371</v>
      </c>
      <c r="G1990" t="s">
        <v>371</v>
      </c>
      <c r="H1990" t="s">
        <v>371</v>
      </c>
      <c r="I1990" t="s">
        <v>371</v>
      </c>
      <c r="J1990" t="s">
        <v>371</v>
      </c>
      <c r="K1990" t="s">
        <v>371</v>
      </c>
      <c r="L1990" t="s">
        <v>371</v>
      </c>
      <c r="M1990" t="s">
        <v>371</v>
      </c>
      <c r="N1990" t="s">
        <v>371</v>
      </c>
      <c r="O1990" t="s">
        <v>371</v>
      </c>
      <c r="P1990" t="s">
        <v>371</v>
      </c>
      <c r="Q1990" t="s">
        <v>371</v>
      </c>
      <c r="R1990" t="s">
        <v>371</v>
      </c>
      <c r="S1990" t="s">
        <v>371</v>
      </c>
      <c r="T1990" t="s">
        <v>371</v>
      </c>
      <c r="U1990" t="s">
        <v>371</v>
      </c>
    </row>
    <row r="1991" spans="1:21" x14ac:dyDescent="0.25">
      <c r="A1991">
        <v>16390495</v>
      </c>
      <c r="B1991" t="s">
        <v>371</v>
      </c>
      <c r="C1991" t="s">
        <v>371</v>
      </c>
      <c r="D1991" t="s">
        <v>371</v>
      </c>
      <c r="E1991" t="s">
        <v>371</v>
      </c>
      <c r="F1991" t="s">
        <v>371</v>
      </c>
      <c r="G1991" t="s">
        <v>371</v>
      </c>
      <c r="H1991" t="s">
        <v>371</v>
      </c>
      <c r="I1991" t="s">
        <v>371</v>
      </c>
      <c r="J1991" t="s">
        <v>371</v>
      </c>
      <c r="K1991" t="s">
        <v>371</v>
      </c>
      <c r="L1991" t="s">
        <v>371</v>
      </c>
      <c r="M1991" t="s">
        <v>371</v>
      </c>
      <c r="N1991" t="s">
        <v>371</v>
      </c>
      <c r="O1991" t="s">
        <v>371</v>
      </c>
      <c r="P1991" t="s">
        <v>371</v>
      </c>
      <c r="Q1991" t="s">
        <v>371</v>
      </c>
      <c r="R1991" t="s">
        <v>371</v>
      </c>
      <c r="S1991" t="s">
        <v>371</v>
      </c>
      <c r="T1991" t="s">
        <v>371</v>
      </c>
      <c r="U1991" t="s">
        <v>371</v>
      </c>
    </row>
    <row r="1992" spans="1:21" x14ac:dyDescent="0.25">
      <c r="A1992">
        <v>20910010</v>
      </c>
      <c r="B1992" t="s">
        <v>371</v>
      </c>
      <c r="C1992" t="s">
        <v>371</v>
      </c>
      <c r="D1992" t="s">
        <v>371</v>
      </c>
      <c r="E1992" t="s">
        <v>371</v>
      </c>
      <c r="F1992" t="s">
        <v>371</v>
      </c>
      <c r="G1992" t="s">
        <v>371</v>
      </c>
      <c r="H1992" t="s">
        <v>371</v>
      </c>
      <c r="I1992" t="s">
        <v>371</v>
      </c>
      <c r="J1992" t="s">
        <v>371</v>
      </c>
      <c r="K1992" t="s">
        <v>371</v>
      </c>
      <c r="L1992" t="s">
        <v>371</v>
      </c>
      <c r="M1992" t="s">
        <v>371</v>
      </c>
      <c r="N1992" t="s">
        <v>371</v>
      </c>
      <c r="O1992" t="s">
        <v>371</v>
      </c>
      <c r="P1992" t="s">
        <v>371</v>
      </c>
      <c r="Q1992" t="s">
        <v>371</v>
      </c>
      <c r="R1992" t="s">
        <v>371</v>
      </c>
      <c r="S1992" t="s">
        <v>371</v>
      </c>
      <c r="T1992" t="s">
        <v>371</v>
      </c>
      <c r="U1992" t="s">
        <v>371</v>
      </c>
    </row>
    <row r="1993" spans="1:21" x14ac:dyDescent="0.25">
      <c r="A1993">
        <v>20910043</v>
      </c>
      <c r="B1993" t="s">
        <v>371</v>
      </c>
      <c r="C1993" t="s">
        <v>371</v>
      </c>
      <c r="D1993" t="s">
        <v>371</v>
      </c>
      <c r="E1993" t="s">
        <v>371</v>
      </c>
      <c r="F1993" t="s">
        <v>371</v>
      </c>
      <c r="G1993" t="s">
        <v>371</v>
      </c>
      <c r="H1993" t="s">
        <v>371</v>
      </c>
      <c r="I1993" t="s">
        <v>371</v>
      </c>
      <c r="J1993" t="s">
        <v>371</v>
      </c>
      <c r="K1993" t="s">
        <v>371</v>
      </c>
      <c r="L1993" t="s">
        <v>371</v>
      </c>
      <c r="M1993" t="s">
        <v>371</v>
      </c>
      <c r="N1993" t="s">
        <v>371</v>
      </c>
      <c r="O1993" t="s">
        <v>371</v>
      </c>
      <c r="P1993" t="s">
        <v>371</v>
      </c>
      <c r="Q1993" t="s">
        <v>371</v>
      </c>
      <c r="R1993" t="s">
        <v>371</v>
      </c>
      <c r="S1993" t="s">
        <v>371</v>
      </c>
      <c r="T1993" t="s">
        <v>371</v>
      </c>
      <c r="U1993" t="s">
        <v>371</v>
      </c>
    </row>
    <row r="1994" spans="1:21" x14ac:dyDescent="0.25">
      <c r="A1994">
        <v>20910082</v>
      </c>
      <c r="B1994" t="s">
        <v>371</v>
      </c>
      <c r="C1994" t="s">
        <v>371</v>
      </c>
      <c r="D1994" t="s">
        <v>371</v>
      </c>
      <c r="E1994" t="s">
        <v>371</v>
      </c>
      <c r="F1994" t="s">
        <v>371</v>
      </c>
      <c r="G1994" t="s">
        <v>371</v>
      </c>
      <c r="H1994" t="s">
        <v>371</v>
      </c>
      <c r="I1994" t="s">
        <v>371</v>
      </c>
      <c r="J1994" t="s">
        <v>371</v>
      </c>
      <c r="K1994" t="s">
        <v>371</v>
      </c>
      <c r="L1994" t="s">
        <v>371</v>
      </c>
      <c r="M1994" t="s">
        <v>371</v>
      </c>
      <c r="N1994" t="s">
        <v>371</v>
      </c>
      <c r="O1994" t="s">
        <v>371</v>
      </c>
      <c r="P1994" t="s">
        <v>371</v>
      </c>
      <c r="Q1994" t="s">
        <v>371</v>
      </c>
      <c r="R1994" t="s">
        <v>371</v>
      </c>
      <c r="S1994" t="s">
        <v>371</v>
      </c>
      <c r="T1994" t="s">
        <v>371</v>
      </c>
      <c r="U1994" t="s">
        <v>371</v>
      </c>
    </row>
    <row r="1995" spans="1:21" x14ac:dyDescent="0.25">
      <c r="A1995">
        <v>20910087</v>
      </c>
      <c r="B1995" t="s">
        <v>371</v>
      </c>
      <c r="C1995" t="s">
        <v>371</v>
      </c>
      <c r="D1995" t="s">
        <v>371</v>
      </c>
      <c r="E1995" t="s">
        <v>371</v>
      </c>
      <c r="F1995" t="s">
        <v>371</v>
      </c>
      <c r="G1995" t="s">
        <v>371</v>
      </c>
      <c r="H1995" t="s">
        <v>371</v>
      </c>
      <c r="I1995" t="s">
        <v>371</v>
      </c>
      <c r="J1995" t="s">
        <v>371</v>
      </c>
      <c r="K1995" t="s">
        <v>371</v>
      </c>
      <c r="L1995" t="s">
        <v>371</v>
      </c>
      <c r="M1995" t="s">
        <v>371</v>
      </c>
      <c r="N1995" t="s">
        <v>371</v>
      </c>
      <c r="O1995" t="s">
        <v>371</v>
      </c>
      <c r="P1995" t="s">
        <v>371</v>
      </c>
      <c r="Q1995" t="s">
        <v>371</v>
      </c>
      <c r="R1995" t="s">
        <v>371</v>
      </c>
      <c r="S1995" t="s">
        <v>371</v>
      </c>
      <c r="T1995" t="s">
        <v>371</v>
      </c>
      <c r="U1995" t="s">
        <v>371</v>
      </c>
    </row>
    <row r="1996" spans="1:21" x14ac:dyDescent="0.25">
      <c r="A1996">
        <v>20910093</v>
      </c>
      <c r="B1996" t="s">
        <v>340</v>
      </c>
      <c r="C1996" t="s">
        <v>86</v>
      </c>
      <c r="D1996" t="s">
        <v>12</v>
      </c>
      <c r="E1996" t="s">
        <v>751</v>
      </c>
      <c r="F1996" t="s">
        <v>97</v>
      </c>
      <c r="G1996" t="s">
        <v>468</v>
      </c>
      <c r="H1996" t="s">
        <v>715</v>
      </c>
      <c r="I1996" t="s">
        <v>716</v>
      </c>
      <c r="J1996" t="s">
        <v>717</v>
      </c>
      <c r="K1996" t="s">
        <v>438</v>
      </c>
      <c r="L1996" t="s">
        <v>846</v>
      </c>
      <c r="M1996" t="s">
        <v>408</v>
      </c>
      <c r="N1996" t="s">
        <v>11</v>
      </c>
      <c r="O1996" t="s">
        <v>11</v>
      </c>
      <c r="P1996" t="s">
        <v>2</v>
      </c>
      <c r="Q1996" t="s">
        <v>408</v>
      </c>
      <c r="R1996" t="s">
        <v>439</v>
      </c>
      <c r="S1996" t="s">
        <v>440</v>
      </c>
      <c r="T1996" t="s">
        <v>11</v>
      </c>
      <c r="U1996" t="s">
        <v>408</v>
      </c>
    </row>
    <row r="1997" spans="1:21" x14ac:dyDescent="0.25">
      <c r="A1997">
        <v>20910094</v>
      </c>
      <c r="B1997" t="s">
        <v>342</v>
      </c>
      <c r="C1997" t="s">
        <v>89</v>
      </c>
      <c r="D1997" t="s">
        <v>12</v>
      </c>
      <c r="E1997" t="s">
        <v>751</v>
      </c>
      <c r="F1997" t="s">
        <v>97</v>
      </c>
      <c r="G1997" t="s">
        <v>468</v>
      </c>
      <c r="H1997" t="s">
        <v>765</v>
      </c>
      <c r="I1997" t="s">
        <v>766</v>
      </c>
      <c r="J1997" t="s">
        <v>767</v>
      </c>
      <c r="K1997" t="s">
        <v>444</v>
      </c>
      <c r="L1997" t="s">
        <v>675</v>
      </c>
      <c r="M1997" t="s">
        <v>408</v>
      </c>
      <c r="N1997" t="s">
        <v>11</v>
      </c>
      <c r="O1997" t="s">
        <v>11</v>
      </c>
      <c r="P1997" t="s">
        <v>2</v>
      </c>
      <c r="Q1997" t="s">
        <v>408</v>
      </c>
      <c r="R1997" t="s">
        <v>439</v>
      </c>
      <c r="S1997" t="s">
        <v>451</v>
      </c>
      <c r="T1997" t="s">
        <v>11</v>
      </c>
      <c r="U1997" t="s">
        <v>408</v>
      </c>
    </row>
    <row r="1998" spans="1:21" x14ac:dyDescent="0.25">
      <c r="A1998">
        <v>20910095</v>
      </c>
      <c r="B1998" t="s">
        <v>342</v>
      </c>
      <c r="C1998" t="s">
        <v>33</v>
      </c>
      <c r="D1998" t="s">
        <v>18</v>
      </c>
      <c r="E1998" t="s">
        <v>751</v>
      </c>
      <c r="F1998" t="s">
        <v>97</v>
      </c>
      <c r="G1998" t="s">
        <v>468</v>
      </c>
      <c r="H1998" t="s">
        <v>838</v>
      </c>
      <c r="I1998" t="s">
        <v>839</v>
      </c>
      <c r="J1998" t="s">
        <v>839</v>
      </c>
      <c r="K1998" t="s">
        <v>450</v>
      </c>
      <c r="L1998" t="s">
        <v>840</v>
      </c>
      <c r="M1998" t="s">
        <v>11</v>
      </c>
      <c r="N1998" t="s">
        <v>11</v>
      </c>
      <c r="O1998" t="s">
        <v>11</v>
      </c>
      <c r="P1998" t="s">
        <v>2</v>
      </c>
      <c r="Q1998" t="s">
        <v>408</v>
      </c>
      <c r="R1998" t="s">
        <v>439</v>
      </c>
      <c r="S1998" t="s">
        <v>451</v>
      </c>
      <c r="T1998" t="s">
        <v>408</v>
      </c>
      <c r="U1998" t="s">
        <v>408</v>
      </c>
    </row>
    <row r="1999" spans="1:21" x14ac:dyDescent="0.25">
      <c r="A1999">
        <v>20910096</v>
      </c>
      <c r="B1999" t="s">
        <v>340</v>
      </c>
      <c r="C1999" t="s">
        <v>86</v>
      </c>
      <c r="D1999" t="s">
        <v>18</v>
      </c>
      <c r="E1999" t="s">
        <v>751</v>
      </c>
      <c r="F1999" t="s">
        <v>190</v>
      </c>
      <c r="G1999" t="s">
        <v>468</v>
      </c>
      <c r="H1999" t="s">
        <v>765</v>
      </c>
      <c r="I1999" t="s">
        <v>766</v>
      </c>
      <c r="J1999" t="s">
        <v>767</v>
      </c>
      <c r="K1999" t="s">
        <v>444</v>
      </c>
      <c r="L1999" t="s">
        <v>846</v>
      </c>
      <c r="M1999" t="s">
        <v>408</v>
      </c>
      <c r="N1999" t="s">
        <v>11</v>
      </c>
      <c r="O1999" t="s">
        <v>11</v>
      </c>
      <c r="P1999" t="s">
        <v>2</v>
      </c>
      <c r="Q1999" t="s">
        <v>408</v>
      </c>
      <c r="R1999" t="s">
        <v>439</v>
      </c>
      <c r="S1999" t="s">
        <v>451</v>
      </c>
      <c r="T1999" t="s">
        <v>11</v>
      </c>
      <c r="U1999" t="s">
        <v>408</v>
      </c>
    </row>
    <row r="2000" spans="1:21" x14ac:dyDescent="0.25">
      <c r="A2000">
        <v>20910097</v>
      </c>
      <c r="B2000" t="s">
        <v>340</v>
      </c>
      <c r="C2000" t="s">
        <v>86</v>
      </c>
      <c r="D2000" t="s">
        <v>12</v>
      </c>
      <c r="E2000" t="s">
        <v>751</v>
      </c>
      <c r="F2000" t="s">
        <v>95</v>
      </c>
      <c r="G2000" t="s">
        <v>468</v>
      </c>
      <c r="H2000" t="s">
        <v>2</v>
      </c>
      <c r="I2000" t="s">
        <v>436</v>
      </c>
      <c r="J2000" t="s">
        <v>443</v>
      </c>
      <c r="K2000" t="s">
        <v>444</v>
      </c>
      <c r="L2000" t="s">
        <v>345</v>
      </c>
      <c r="M2000" t="s">
        <v>408</v>
      </c>
      <c r="N2000" t="s">
        <v>11</v>
      </c>
      <c r="O2000" t="s">
        <v>11</v>
      </c>
      <c r="P2000" t="s">
        <v>2</v>
      </c>
      <c r="Q2000" t="s">
        <v>408</v>
      </c>
      <c r="R2000" t="s">
        <v>439</v>
      </c>
      <c r="S2000" t="s">
        <v>440</v>
      </c>
      <c r="T2000" t="s">
        <v>11</v>
      </c>
      <c r="U2000" t="s">
        <v>408</v>
      </c>
    </row>
    <row r="2001" spans="1:21" x14ac:dyDescent="0.25">
      <c r="A2001">
        <v>20910098</v>
      </c>
      <c r="B2001" t="s">
        <v>340</v>
      </c>
      <c r="C2001" t="s">
        <v>86</v>
      </c>
      <c r="D2001" t="s">
        <v>12</v>
      </c>
      <c r="E2001" t="s">
        <v>751</v>
      </c>
      <c r="F2001" t="s">
        <v>97</v>
      </c>
      <c r="G2001" t="s">
        <v>468</v>
      </c>
      <c r="H2001" t="s">
        <v>2</v>
      </c>
      <c r="I2001" t="s">
        <v>436</v>
      </c>
      <c r="J2001" t="s">
        <v>443</v>
      </c>
      <c r="K2001" t="s">
        <v>444</v>
      </c>
      <c r="L2001" t="s">
        <v>345</v>
      </c>
      <c r="M2001" t="s">
        <v>408</v>
      </c>
      <c r="N2001" t="s">
        <v>11</v>
      </c>
      <c r="O2001" t="s">
        <v>11</v>
      </c>
      <c r="P2001" t="s">
        <v>2</v>
      </c>
      <c r="Q2001" t="s">
        <v>408</v>
      </c>
      <c r="R2001" t="s">
        <v>439</v>
      </c>
      <c r="S2001" t="s">
        <v>440</v>
      </c>
      <c r="T2001" t="s">
        <v>11</v>
      </c>
      <c r="U2001" t="s">
        <v>408</v>
      </c>
    </row>
    <row r="2002" spans="1:21" x14ac:dyDescent="0.25">
      <c r="A2002">
        <v>20910099</v>
      </c>
      <c r="B2002" t="s">
        <v>340</v>
      </c>
      <c r="C2002" t="s">
        <v>86</v>
      </c>
      <c r="D2002" t="s">
        <v>12</v>
      </c>
      <c r="E2002" t="s">
        <v>751</v>
      </c>
      <c r="F2002" t="s">
        <v>97</v>
      </c>
      <c r="G2002" t="s">
        <v>468</v>
      </c>
      <c r="H2002" t="s">
        <v>715</v>
      </c>
      <c r="I2002" t="s">
        <v>716</v>
      </c>
      <c r="J2002" t="s">
        <v>717</v>
      </c>
      <c r="K2002" t="s">
        <v>438</v>
      </c>
      <c r="L2002" t="s">
        <v>846</v>
      </c>
      <c r="M2002" t="s">
        <v>408</v>
      </c>
      <c r="N2002" t="s">
        <v>11</v>
      </c>
      <c r="O2002" t="s">
        <v>11</v>
      </c>
      <c r="P2002" t="s">
        <v>2</v>
      </c>
      <c r="Q2002" t="s">
        <v>408</v>
      </c>
      <c r="R2002" t="s">
        <v>439</v>
      </c>
      <c r="S2002" t="s">
        <v>440</v>
      </c>
      <c r="T2002" t="s">
        <v>11</v>
      </c>
      <c r="U2002" t="s">
        <v>408</v>
      </c>
    </row>
    <row r="2003" spans="1:21" x14ac:dyDescent="0.25">
      <c r="A2003">
        <v>20910100</v>
      </c>
      <c r="B2003" t="s">
        <v>340</v>
      </c>
      <c r="C2003" t="s">
        <v>86</v>
      </c>
      <c r="D2003" t="s">
        <v>12</v>
      </c>
      <c r="E2003" t="s">
        <v>751</v>
      </c>
      <c r="F2003" t="s">
        <v>97</v>
      </c>
      <c r="G2003" t="s">
        <v>468</v>
      </c>
      <c r="H2003" t="s">
        <v>715</v>
      </c>
      <c r="I2003" t="s">
        <v>716</v>
      </c>
      <c r="J2003" t="s">
        <v>717</v>
      </c>
      <c r="K2003" t="s">
        <v>438</v>
      </c>
      <c r="L2003" t="s">
        <v>846</v>
      </c>
      <c r="M2003" t="s">
        <v>408</v>
      </c>
      <c r="N2003" t="s">
        <v>11</v>
      </c>
      <c r="O2003" t="s">
        <v>11</v>
      </c>
      <c r="P2003" t="s">
        <v>2</v>
      </c>
      <c r="Q2003" t="s">
        <v>408</v>
      </c>
      <c r="R2003" t="s">
        <v>439</v>
      </c>
      <c r="S2003" t="s">
        <v>440</v>
      </c>
      <c r="T2003" t="s">
        <v>11</v>
      </c>
      <c r="U2003" t="s">
        <v>408</v>
      </c>
    </row>
    <row r="2004" spans="1:21" x14ac:dyDescent="0.25">
      <c r="A2004">
        <v>20910101</v>
      </c>
      <c r="B2004" t="s">
        <v>342</v>
      </c>
      <c r="C2004" t="s">
        <v>33</v>
      </c>
      <c r="D2004" t="s">
        <v>12</v>
      </c>
      <c r="E2004" t="s">
        <v>751</v>
      </c>
      <c r="F2004" t="s">
        <v>97</v>
      </c>
      <c r="G2004" t="s">
        <v>468</v>
      </c>
      <c r="H2004" t="s">
        <v>603</v>
      </c>
      <c r="I2004" t="s">
        <v>604</v>
      </c>
      <c r="J2004" t="s">
        <v>605</v>
      </c>
      <c r="K2004" t="s">
        <v>606</v>
      </c>
      <c r="L2004" t="s">
        <v>840</v>
      </c>
      <c r="M2004" t="s">
        <v>11</v>
      </c>
      <c r="N2004" t="s">
        <v>11</v>
      </c>
      <c r="O2004" t="s">
        <v>11</v>
      </c>
      <c r="P2004" t="s">
        <v>2</v>
      </c>
      <c r="Q2004" t="s">
        <v>408</v>
      </c>
      <c r="R2004" t="s">
        <v>439</v>
      </c>
      <c r="S2004" t="s">
        <v>451</v>
      </c>
      <c r="T2004" t="s">
        <v>408</v>
      </c>
      <c r="U2004" t="s">
        <v>408</v>
      </c>
    </row>
    <row r="2005" spans="1:21" x14ac:dyDescent="0.25">
      <c r="A2005">
        <v>20910102</v>
      </c>
      <c r="B2005" t="s">
        <v>342</v>
      </c>
      <c r="C2005" t="s">
        <v>89</v>
      </c>
      <c r="D2005" t="s">
        <v>12</v>
      </c>
      <c r="E2005" t="s">
        <v>751</v>
      </c>
      <c r="F2005" t="s">
        <v>97</v>
      </c>
      <c r="G2005" t="s">
        <v>468</v>
      </c>
      <c r="H2005" t="s">
        <v>447</v>
      </c>
      <c r="I2005" t="s">
        <v>448</v>
      </c>
      <c r="J2005" t="s">
        <v>449</v>
      </c>
      <c r="K2005" t="s">
        <v>450</v>
      </c>
      <c r="L2005" t="s">
        <v>675</v>
      </c>
      <c r="M2005" t="s">
        <v>408</v>
      </c>
      <c r="N2005" t="s">
        <v>11</v>
      </c>
      <c r="O2005" t="s">
        <v>408</v>
      </c>
      <c r="P2005" t="s">
        <v>2</v>
      </c>
      <c r="Q2005" t="s">
        <v>408</v>
      </c>
      <c r="R2005" t="s">
        <v>439</v>
      </c>
      <c r="S2005" t="s">
        <v>451</v>
      </c>
      <c r="T2005" t="s">
        <v>11</v>
      </c>
      <c r="U2005" t="s">
        <v>408</v>
      </c>
    </row>
    <row r="2006" spans="1:21" x14ac:dyDescent="0.25">
      <c r="A2006">
        <v>20910103</v>
      </c>
      <c r="B2006" t="s">
        <v>340</v>
      </c>
      <c r="C2006" t="s">
        <v>26</v>
      </c>
      <c r="D2006" t="s">
        <v>18</v>
      </c>
      <c r="E2006" t="s">
        <v>751</v>
      </c>
      <c r="F2006" t="s">
        <v>97</v>
      </c>
      <c r="G2006" t="s">
        <v>468</v>
      </c>
      <c r="H2006" t="s">
        <v>816</v>
      </c>
      <c r="I2006" t="s">
        <v>817</v>
      </c>
      <c r="J2006" t="s">
        <v>818</v>
      </c>
      <c r="K2006" t="s">
        <v>764</v>
      </c>
      <c r="L2006" t="s">
        <v>1090</v>
      </c>
      <c r="M2006" t="s">
        <v>408</v>
      </c>
      <c r="N2006" t="s">
        <v>11</v>
      </c>
      <c r="O2006" t="s">
        <v>11</v>
      </c>
      <c r="P2006" t="s">
        <v>2</v>
      </c>
      <c r="Q2006" t="s">
        <v>408</v>
      </c>
      <c r="R2006" t="s">
        <v>439</v>
      </c>
      <c r="S2006" t="s">
        <v>451</v>
      </c>
      <c r="T2006" t="s">
        <v>11</v>
      </c>
      <c r="U2006" t="s">
        <v>408</v>
      </c>
    </row>
    <row r="2007" spans="1:21" x14ac:dyDescent="0.25">
      <c r="A2007">
        <v>20910104</v>
      </c>
      <c r="B2007" t="s">
        <v>342</v>
      </c>
      <c r="C2007" t="s">
        <v>89</v>
      </c>
      <c r="D2007" t="s">
        <v>12</v>
      </c>
      <c r="E2007" t="s">
        <v>751</v>
      </c>
      <c r="F2007" t="s">
        <v>97</v>
      </c>
      <c r="G2007" t="s">
        <v>468</v>
      </c>
      <c r="H2007" t="s">
        <v>838</v>
      </c>
      <c r="I2007" t="s">
        <v>839</v>
      </c>
      <c r="J2007" t="s">
        <v>839</v>
      </c>
      <c r="K2007" t="s">
        <v>450</v>
      </c>
      <c r="L2007" t="s">
        <v>675</v>
      </c>
      <c r="M2007" t="s">
        <v>408</v>
      </c>
      <c r="N2007" t="s">
        <v>11</v>
      </c>
      <c r="O2007" t="s">
        <v>11</v>
      </c>
      <c r="P2007" t="s">
        <v>2</v>
      </c>
      <c r="Q2007" t="s">
        <v>408</v>
      </c>
      <c r="R2007" t="s">
        <v>439</v>
      </c>
      <c r="S2007" t="s">
        <v>451</v>
      </c>
      <c r="T2007" t="s">
        <v>11</v>
      </c>
      <c r="U2007" t="s">
        <v>408</v>
      </c>
    </row>
    <row r="2008" spans="1:21" x14ac:dyDescent="0.25">
      <c r="A2008">
        <v>20910105</v>
      </c>
      <c r="B2008" t="s">
        <v>342</v>
      </c>
      <c r="C2008" t="s">
        <v>89</v>
      </c>
      <c r="D2008" t="s">
        <v>12</v>
      </c>
      <c r="E2008" t="s">
        <v>751</v>
      </c>
      <c r="F2008" t="s">
        <v>97</v>
      </c>
      <c r="G2008" t="s">
        <v>468</v>
      </c>
      <c r="H2008" t="s">
        <v>765</v>
      </c>
      <c r="I2008" t="s">
        <v>766</v>
      </c>
      <c r="J2008" t="s">
        <v>767</v>
      </c>
      <c r="K2008" t="s">
        <v>444</v>
      </c>
      <c r="L2008" t="s">
        <v>675</v>
      </c>
      <c r="M2008" t="s">
        <v>408</v>
      </c>
      <c r="N2008" t="s">
        <v>11</v>
      </c>
      <c r="O2008" t="s">
        <v>11</v>
      </c>
      <c r="P2008" t="s">
        <v>2</v>
      </c>
      <c r="Q2008" t="s">
        <v>408</v>
      </c>
      <c r="R2008" t="s">
        <v>439</v>
      </c>
      <c r="S2008" t="s">
        <v>451</v>
      </c>
      <c r="T2008" t="s">
        <v>11</v>
      </c>
      <c r="U2008" t="s">
        <v>408</v>
      </c>
    </row>
    <row r="2009" spans="1:21" x14ac:dyDescent="0.25">
      <c r="A2009">
        <v>20910106</v>
      </c>
      <c r="B2009" t="s">
        <v>340</v>
      </c>
      <c r="C2009" t="s">
        <v>86</v>
      </c>
      <c r="D2009" t="s">
        <v>12</v>
      </c>
      <c r="E2009" t="s">
        <v>751</v>
      </c>
      <c r="F2009" t="s">
        <v>95</v>
      </c>
      <c r="G2009" t="s">
        <v>468</v>
      </c>
      <c r="H2009" t="s">
        <v>761</v>
      </c>
      <c r="I2009" t="s">
        <v>762</v>
      </c>
      <c r="J2009" t="s">
        <v>763</v>
      </c>
      <c r="K2009" t="s">
        <v>764</v>
      </c>
      <c r="L2009" t="s">
        <v>846</v>
      </c>
      <c r="M2009" t="s">
        <v>408</v>
      </c>
      <c r="N2009" t="s">
        <v>11</v>
      </c>
      <c r="O2009" t="s">
        <v>11</v>
      </c>
      <c r="P2009" t="s">
        <v>2</v>
      </c>
      <c r="Q2009" t="s">
        <v>408</v>
      </c>
      <c r="R2009" t="s">
        <v>439</v>
      </c>
      <c r="S2009" t="s">
        <v>440</v>
      </c>
      <c r="T2009" t="s">
        <v>11</v>
      </c>
      <c r="U2009" t="s">
        <v>408</v>
      </c>
    </row>
    <row r="2010" spans="1:21" x14ac:dyDescent="0.25">
      <c r="A2010">
        <v>20910107</v>
      </c>
      <c r="B2010" t="s">
        <v>340</v>
      </c>
      <c r="C2010" t="s">
        <v>86</v>
      </c>
      <c r="D2010" t="s">
        <v>18</v>
      </c>
      <c r="E2010" t="s">
        <v>751</v>
      </c>
      <c r="F2010" t="s">
        <v>95</v>
      </c>
      <c r="G2010" t="s">
        <v>468</v>
      </c>
      <c r="H2010" t="s">
        <v>617</v>
      </c>
      <c r="I2010" t="s">
        <v>618</v>
      </c>
      <c r="J2010" t="s">
        <v>619</v>
      </c>
      <c r="K2010" t="s">
        <v>606</v>
      </c>
      <c r="L2010" t="s">
        <v>847</v>
      </c>
      <c r="M2010" t="s">
        <v>408</v>
      </c>
      <c r="N2010" t="s">
        <v>11</v>
      </c>
      <c r="O2010" t="s">
        <v>11</v>
      </c>
      <c r="P2010" t="s">
        <v>2</v>
      </c>
      <c r="Q2010" t="s">
        <v>408</v>
      </c>
      <c r="R2010" t="s">
        <v>439</v>
      </c>
      <c r="S2010" t="s">
        <v>451</v>
      </c>
      <c r="T2010" t="s">
        <v>11</v>
      </c>
      <c r="U2010" t="s">
        <v>408</v>
      </c>
    </row>
    <row r="2011" spans="1:21" x14ac:dyDescent="0.25">
      <c r="A2011">
        <v>20910108</v>
      </c>
      <c r="B2011" t="s">
        <v>342</v>
      </c>
      <c r="C2011" t="s">
        <v>89</v>
      </c>
      <c r="D2011" t="s">
        <v>12</v>
      </c>
      <c r="E2011" t="s">
        <v>751</v>
      </c>
      <c r="F2011" t="s">
        <v>95</v>
      </c>
      <c r="G2011" t="s">
        <v>468</v>
      </c>
      <c r="H2011" t="s">
        <v>603</v>
      </c>
      <c r="I2011" t="s">
        <v>604</v>
      </c>
      <c r="J2011" t="s">
        <v>605</v>
      </c>
      <c r="K2011" t="s">
        <v>606</v>
      </c>
      <c r="L2011" t="s">
        <v>675</v>
      </c>
      <c r="M2011" t="s">
        <v>408</v>
      </c>
      <c r="N2011" t="s">
        <v>11</v>
      </c>
      <c r="O2011" t="s">
        <v>11</v>
      </c>
      <c r="P2011" t="s">
        <v>2</v>
      </c>
      <c r="Q2011" t="s">
        <v>408</v>
      </c>
      <c r="R2011" t="s">
        <v>439</v>
      </c>
      <c r="S2011" t="s">
        <v>451</v>
      </c>
      <c r="T2011" t="s">
        <v>11</v>
      </c>
      <c r="U2011" t="s">
        <v>408</v>
      </c>
    </row>
    <row r="2012" spans="1:21" x14ac:dyDescent="0.25">
      <c r="A2012">
        <v>20910109</v>
      </c>
      <c r="B2012" t="s">
        <v>340</v>
      </c>
      <c r="C2012" t="s">
        <v>26</v>
      </c>
      <c r="D2012" t="s">
        <v>12</v>
      </c>
      <c r="E2012" t="s">
        <v>751</v>
      </c>
      <c r="F2012" t="s">
        <v>97</v>
      </c>
      <c r="G2012" t="s">
        <v>468</v>
      </c>
      <c r="H2012" t="s">
        <v>816</v>
      </c>
      <c r="I2012" t="s">
        <v>817</v>
      </c>
      <c r="J2012" t="s">
        <v>818</v>
      </c>
      <c r="K2012" t="s">
        <v>764</v>
      </c>
      <c r="L2012" t="s">
        <v>1090</v>
      </c>
      <c r="M2012" t="s">
        <v>408</v>
      </c>
      <c r="N2012" t="s">
        <v>11</v>
      </c>
      <c r="O2012" t="s">
        <v>11</v>
      </c>
      <c r="P2012" t="s">
        <v>2</v>
      </c>
      <c r="Q2012" t="s">
        <v>408</v>
      </c>
      <c r="R2012" t="s">
        <v>439</v>
      </c>
      <c r="S2012" t="s">
        <v>451</v>
      </c>
      <c r="T2012" t="s">
        <v>11</v>
      </c>
      <c r="U2012" t="s">
        <v>408</v>
      </c>
    </row>
    <row r="2013" spans="1:21" x14ac:dyDescent="0.25">
      <c r="A2013">
        <v>20910110</v>
      </c>
      <c r="B2013" t="s">
        <v>342</v>
      </c>
      <c r="C2013" t="s">
        <v>89</v>
      </c>
      <c r="D2013" t="s">
        <v>12</v>
      </c>
      <c r="E2013" t="s">
        <v>751</v>
      </c>
      <c r="F2013" t="s">
        <v>95</v>
      </c>
      <c r="G2013" t="s">
        <v>468</v>
      </c>
      <c r="H2013" t="s">
        <v>782</v>
      </c>
      <c r="I2013" t="s">
        <v>783</v>
      </c>
      <c r="J2013" t="s">
        <v>784</v>
      </c>
      <c r="K2013" t="s">
        <v>438</v>
      </c>
      <c r="L2013" t="s">
        <v>675</v>
      </c>
      <c r="M2013" t="s">
        <v>408</v>
      </c>
      <c r="N2013" t="s">
        <v>11</v>
      </c>
      <c r="O2013" t="s">
        <v>11</v>
      </c>
      <c r="P2013" t="s">
        <v>2</v>
      </c>
      <c r="Q2013" t="s">
        <v>408</v>
      </c>
      <c r="R2013" t="s">
        <v>439</v>
      </c>
      <c r="S2013" t="s">
        <v>451</v>
      </c>
      <c r="T2013" t="s">
        <v>11</v>
      </c>
      <c r="U2013" t="s">
        <v>408</v>
      </c>
    </row>
    <row r="2014" spans="1:21" x14ac:dyDescent="0.25">
      <c r="A2014">
        <v>20910111</v>
      </c>
      <c r="B2014" t="s">
        <v>340</v>
      </c>
      <c r="C2014" t="s">
        <v>86</v>
      </c>
      <c r="D2014" t="s">
        <v>12</v>
      </c>
      <c r="E2014" t="s">
        <v>751</v>
      </c>
      <c r="F2014" t="s">
        <v>97</v>
      </c>
      <c r="G2014" t="s">
        <v>468</v>
      </c>
      <c r="H2014" t="s">
        <v>765</v>
      </c>
      <c r="I2014" t="s">
        <v>766</v>
      </c>
      <c r="J2014" t="s">
        <v>767</v>
      </c>
      <c r="K2014" t="s">
        <v>444</v>
      </c>
      <c r="L2014" t="s">
        <v>846</v>
      </c>
      <c r="M2014" t="s">
        <v>408</v>
      </c>
      <c r="N2014" t="s">
        <v>11</v>
      </c>
      <c r="O2014" t="s">
        <v>11</v>
      </c>
      <c r="P2014" t="s">
        <v>2</v>
      </c>
      <c r="Q2014" t="s">
        <v>408</v>
      </c>
      <c r="R2014" t="s">
        <v>439</v>
      </c>
      <c r="S2014" t="s">
        <v>451</v>
      </c>
      <c r="T2014" t="s">
        <v>11</v>
      </c>
      <c r="U2014" t="s">
        <v>408</v>
      </c>
    </row>
    <row r="2015" spans="1:21" x14ac:dyDescent="0.25">
      <c r="A2015">
        <v>20910112</v>
      </c>
      <c r="B2015" t="s">
        <v>342</v>
      </c>
      <c r="C2015" t="s">
        <v>89</v>
      </c>
      <c r="D2015" t="s">
        <v>12</v>
      </c>
      <c r="E2015" t="s">
        <v>750</v>
      </c>
      <c r="F2015" t="s">
        <v>188</v>
      </c>
      <c r="G2015" t="s">
        <v>468</v>
      </c>
      <c r="H2015" t="s">
        <v>838</v>
      </c>
      <c r="I2015" t="s">
        <v>839</v>
      </c>
      <c r="J2015" t="s">
        <v>839</v>
      </c>
      <c r="K2015" t="s">
        <v>450</v>
      </c>
      <c r="L2015" t="s">
        <v>675</v>
      </c>
      <c r="M2015" t="s">
        <v>408</v>
      </c>
      <c r="N2015" t="s">
        <v>11</v>
      </c>
      <c r="O2015" t="s">
        <v>11</v>
      </c>
      <c r="P2015" t="s">
        <v>2</v>
      </c>
      <c r="Q2015" t="s">
        <v>408</v>
      </c>
      <c r="R2015" t="s">
        <v>439</v>
      </c>
      <c r="S2015" t="s">
        <v>451</v>
      </c>
      <c r="T2015" t="s">
        <v>11</v>
      </c>
      <c r="U2015" t="s">
        <v>408</v>
      </c>
    </row>
    <row r="2016" spans="1:21" x14ac:dyDescent="0.25">
      <c r="A2016">
        <v>20910113</v>
      </c>
      <c r="B2016" t="s">
        <v>342</v>
      </c>
      <c r="C2016" t="s">
        <v>89</v>
      </c>
      <c r="D2016" t="s">
        <v>12</v>
      </c>
      <c r="E2016" t="s">
        <v>751</v>
      </c>
      <c r="F2016" t="s">
        <v>97</v>
      </c>
      <c r="G2016" t="s">
        <v>468</v>
      </c>
      <c r="H2016" t="s">
        <v>765</v>
      </c>
      <c r="I2016" t="s">
        <v>766</v>
      </c>
      <c r="J2016" t="s">
        <v>767</v>
      </c>
      <c r="K2016" t="s">
        <v>444</v>
      </c>
      <c r="L2016" t="s">
        <v>675</v>
      </c>
      <c r="M2016" t="s">
        <v>408</v>
      </c>
      <c r="N2016" t="s">
        <v>11</v>
      </c>
      <c r="O2016" t="s">
        <v>11</v>
      </c>
      <c r="P2016" t="s">
        <v>2</v>
      </c>
      <c r="Q2016" t="s">
        <v>408</v>
      </c>
      <c r="R2016" t="s">
        <v>439</v>
      </c>
      <c r="S2016" t="s">
        <v>451</v>
      </c>
      <c r="T2016" t="s">
        <v>11</v>
      </c>
      <c r="U2016" t="s">
        <v>408</v>
      </c>
    </row>
    <row r="2017" spans="1:21" x14ac:dyDescent="0.25">
      <c r="A2017">
        <v>20910114</v>
      </c>
      <c r="B2017" t="s">
        <v>342</v>
      </c>
      <c r="C2017" t="s">
        <v>89</v>
      </c>
      <c r="D2017" t="s">
        <v>12</v>
      </c>
      <c r="E2017" t="s">
        <v>751</v>
      </c>
      <c r="F2017" t="s">
        <v>97</v>
      </c>
      <c r="G2017" t="s">
        <v>468</v>
      </c>
      <c r="H2017" t="s">
        <v>603</v>
      </c>
      <c r="I2017" t="s">
        <v>604</v>
      </c>
      <c r="J2017" t="s">
        <v>605</v>
      </c>
      <c r="K2017" t="s">
        <v>606</v>
      </c>
      <c r="L2017" t="s">
        <v>840</v>
      </c>
      <c r="M2017" t="s">
        <v>11</v>
      </c>
      <c r="N2017" t="s">
        <v>11</v>
      </c>
      <c r="O2017" t="s">
        <v>11</v>
      </c>
      <c r="P2017" t="s">
        <v>2</v>
      </c>
      <c r="Q2017" t="s">
        <v>408</v>
      </c>
      <c r="R2017" t="s">
        <v>439</v>
      </c>
      <c r="S2017" t="s">
        <v>451</v>
      </c>
      <c r="T2017" t="s">
        <v>408</v>
      </c>
      <c r="U2017" t="s">
        <v>408</v>
      </c>
    </row>
    <row r="2018" spans="1:21" x14ac:dyDescent="0.25">
      <c r="A2018">
        <v>20910115</v>
      </c>
      <c r="B2018" t="s">
        <v>340</v>
      </c>
      <c r="C2018" t="s">
        <v>26</v>
      </c>
      <c r="D2018" t="s">
        <v>12</v>
      </c>
      <c r="E2018" t="s">
        <v>751</v>
      </c>
      <c r="F2018" t="s">
        <v>97</v>
      </c>
      <c r="G2018" t="s">
        <v>468</v>
      </c>
      <c r="H2018" t="s">
        <v>816</v>
      </c>
      <c r="I2018" t="s">
        <v>817</v>
      </c>
      <c r="J2018" t="s">
        <v>818</v>
      </c>
      <c r="K2018" t="s">
        <v>764</v>
      </c>
      <c r="L2018" t="s">
        <v>1090</v>
      </c>
      <c r="M2018" t="s">
        <v>408</v>
      </c>
      <c r="N2018" t="s">
        <v>11</v>
      </c>
      <c r="O2018" t="s">
        <v>11</v>
      </c>
      <c r="P2018" t="s">
        <v>2</v>
      </c>
      <c r="Q2018" t="s">
        <v>408</v>
      </c>
      <c r="R2018" t="s">
        <v>439</v>
      </c>
      <c r="S2018" t="s">
        <v>451</v>
      </c>
      <c r="T2018" t="s">
        <v>11</v>
      </c>
      <c r="U2018" t="s">
        <v>408</v>
      </c>
    </row>
    <row r="2019" spans="1:21" x14ac:dyDescent="0.25">
      <c r="A2019">
        <v>20910116</v>
      </c>
      <c r="B2019" t="s">
        <v>340</v>
      </c>
      <c r="C2019" t="s">
        <v>86</v>
      </c>
      <c r="D2019" t="s">
        <v>12</v>
      </c>
      <c r="E2019" t="s">
        <v>751</v>
      </c>
      <c r="F2019" t="s">
        <v>97</v>
      </c>
      <c r="G2019" t="s">
        <v>468</v>
      </c>
      <c r="H2019" t="s">
        <v>761</v>
      </c>
      <c r="I2019" t="s">
        <v>762</v>
      </c>
      <c r="J2019" t="s">
        <v>763</v>
      </c>
      <c r="K2019" t="s">
        <v>764</v>
      </c>
      <c r="L2019" t="s">
        <v>846</v>
      </c>
      <c r="M2019" t="s">
        <v>408</v>
      </c>
      <c r="N2019" t="s">
        <v>11</v>
      </c>
      <c r="O2019" t="s">
        <v>11</v>
      </c>
      <c r="P2019" t="s">
        <v>2</v>
      </c>
      <c r="Q2019" t="s">
        <v>408</v>
      </c>
      <c r="R2019" t="s">
        <v>439</v>
      </c>
      <c r="S2019" t="s">
        <v>440</v>
      </c>
      <c r="T2019" t="s">
        <v>11</v>
      </c>
      <c r="U2019" t="s">
        <v>408</v>
      </c>
    </row>
    <row r="2020" spans="1:21" x14ac:dyDescent="0.25">
      <c r="A2020">
        <v>20910117</v>
      </c>
      <c r="B2020" t="s">
        <v>340</v>
      </c>
      <c r="C2020" t="s">
        <v>86</v>
      </c>
      <c r="D2020" t="s">
        <v>12</v>
      </c>
      <c r="E2020" t="s">
        <v>751</v>
      </c>
      <c r="F2020" t="s">
        <v>97</v>
      </c>
      <c r="G2020" t="s">
        <v>468</v>
      </c>
      <c r="H2020" t="s">
        <v>715</v>
      </c>
      <c r="I2020" t="s">
        <v>716</v>
      </c>
      <c r="J2020" t="s">
        <v>717</v>
      </c>
      <c r="K2020" t="s">
        <v>438</v>
      </c>
      <c r="L2020" t="s">
        <v>847</v>
      </c>
      <c r="M2020" t="s">
        <v>408</v>
      </c>
      <c r="N2020" t="s">
        <v>11</v>
      </c>
      <c r="O2020" t="s">
        <v>11</v>
      </c>
      <c r="P2020" t="s">
        <v>2</v>
      </c>
      <c r="Q2020" t="s">
        <v>408</v>
      </c>
      <c r="R2020" t="s">
        <v>439</v>
      </c>
      <c r="S2020" t="s">
        <v>440</v>
      </c>
      <c r="T2020" t="s">
        <v>11</v>
      </c>
      <c r="U2020" t="s">
        <v>408</v>
      </c>
    </row>
    <row r="2021" spans="1:21" x14ac:dyDescent="0.25">
      <c r="A2021">
        <v>20910118</v>
      </c>
      <c r="B2021" t="s">
        <v>340</v>
      </c>
      <c r="C2021" t="s">
        <v>26</v>
      </c>
      <c r="D2021" t="s">
        <v>12</v>
      </c>
      <c r="E2021" t="s">
        <v>751</v>
      </c>
      <c r="F2021" t="s">
        <v>97</v>
      </c>
      <c r="G2021" t="s">
        <v>468</v>
      </c>
      <c r="H2021" t="s">
        <v>816</v>
      </c>
      <c r="I2021" t="s">
        <v>817</v>
      </c>
      <c r="J2021" t="s">
        <v>818</v>
      </c>
      <c r="K2021" t="s">
        <v>764</v>
      </c>
      <c r="L2021" t="s">
        <v>1090</v>
      </c>
      <c r="M2021" t="s">
        <v>408</v>
      </c>
      <c r="N2021" t="s">
        <v>11</v>
      </c>
      <c r="O2021" t="s">
        <v>11</v>
      </c>
      <c r="P2021" t="s">
        <v>2</v>
      </c>
      <c r="Q2021" t="s">
        <v>408</v>
      </c>
      <c r="R2021" t="s">
        <v>439</v>
      </c>
      <c r="S2021" t="s">
        <v>451</v>
      </c>
      <c r="T2021" t="s">
        <v>11</v>
      </c>
      <c r="U2021" t="s">
        <v>408</v>
      </c>
    </row>
    <row r="2022" spans="1:21" x14ac:dyDescent="0.25">
      <c r="A2022">
        <v>20910119</v>
      </c>
      <c r="B2022" t="s">
        <v>342</v>
      </c>
      <c r="C2022" t="s">
        <v>89</v>
      </c>
      <c r="D2022" t="s">
        <v>12</v>
      </c>
      <c r="E2022" t="s">
        <v>751</v>
      </c>
      <c r="F2022" t="s">
        <v>97</v>
      </c>
      <c r="G2022" t="s">
        <v>468</v>
      </c>
      <c r="H2022" t="s">
        <v>765</v>
      </c>
      <c r="I2022" t="s">
        <v>766</v>
      </c>
      <c r="J2022" t="s">
        <v>767</v>
      </c>
      <c r="K2022" t="s">
        <v>444</v>
      </c>
      <c r="L2022" t="s">
        <v>675</v>
      </c>
      <c r="M2022" t="s">
        <v>408</v>
      </c>
      <c r="N2022" t="s">
        <v>11</v>
      </c>
      <c r="O2022" t="s">
        <v>11</v>
      </c>
      <c r="P2022" t="s">
        <v>2</v>
      </c>
      <c r="Q2022" t="s">
        <v>408</v>
      </c>
      <c r="R2022" t="s">
        <v>439</v>
      </c>
      <c r="S2022" t="s">
        <v>451</v>
      </c>
      <c r="T2022" t="s">
        <v>11</v>
      </c>
      <c r="U2022" t="s">
        <v>408</v>
      </c>
    </row>
    <row r="2023" spans="1:21" x14ac:dyDescent="0.25">
      <c r="A2023">
        <v>20910120</v>
      </c>
      <c r="B2023" t="s">
        <v>342</v>
      </c>
      <c r="C2023" t="s">
        <v>89</v>
      </c>
      <c r="D2023" t="s">
        <v>12</v>
      </c>
      <c r="E2023" t="s">
        <v>751</v>
      </c>
      <c r="F2023" t="s">
        <v>101</v>
      </c>
      <c r="G2023" t="s">
        <v>468</v>
      </c>
      <c r="H2023" t="s">
        <v>765</v>
      </c>
      <c r="I2023" t="s">
        <v>766</v>
      </c>
      <c r="J2023" t="s">
        <v>767</v>
      </c>
      <c r="K2023" t="s">
        <v>444</v>
      </c>
      <c r="L2023" t="s">
        <v>675</v>
      </c>
      <c r="M2023" t="s">
        <v>408</v>
      </c>
      <c r="N2023" t="s">
        <v>11</v>
      </c>
      <c r="O2023" t="s">
        <v>11</v>
      </c>
      <c r="P2023" t="s">
        <v>2</v>
      </c>
      <c r="Q2023" t="s">
        <v>408</v>
      </c>
      <c r="R2023" t="s">
        <v>439</v>
      </c>
      <c r="S2023" t="s">
        <v>451</v>
      </c>
      <c r="T2023" t="s">
        <v>11</v>
      </c>
      <c r="U2023" t="s">
        <v>408</v>
      </c>
    </row>
    <row r="2024" spans="1:21" x14ac:dyDescent="0.25">
      <c r="A2024">
        <v>20910121</v>
      </c>
      <c r="B2024" t="s">
        <v>342</v>
      </c>
      <c r="C2024" t="s">
        <v>89</v>
      </c>
      <c r="D2024" t="s">
        <v>12</v>
      </c>
      <c r="E2024" t="s">
        <v>750</v>
      </c>
      <c r="F2024" t="s">
        <v>188</v>
      </c>
      <c r="G2024" t="s">
        <v>468</v>
      </c>
      <c r="H2024" t="s">
        <v>765</v>
      </c>
      <c r="I2024" t="s">
        <v>766</v>
      </c>
      <c r="J2024" t="s">
        <v>767</v>
      </c>
      <c r="K2024" t="s">
        <v>444</v>
      </c>
      <c r="L2024" t="s">
        <v>675</v>
      </c>
      <c r="M2024" t="s">
        <v>408</v>
      </c>
      <c r="N2024" t="s">
        <v>11</v>
      </c>
      <c r="O2024" t="s">
        <v>11</v>
      </c>
      <c r="P2024" t="s">
        <v>2</v>
      </c>
      <c r="Q2024" t="s">
        <v>408</v>
      </c>
      <c r="R2024" t="s">
        <v>439</v>
      </c>
      <c r="S2024" t="s">
        <v>451</v>
      </c>
      <c r="T2024" t="s">
        <v>11</v>
      </c>
      <c r="U2024" t="s">
        <v>408</v>
      </c>
    </row>
    <row r="2025" spans="1:21" x14ac:dyDescent="0.25">
      <c r="A2025">
        <v>20910122</v>
      </c>
      <c r="B2025" t="s">
        <v>342</v>
      </c>
      <c r="C2025" t="s">
        <v>89</v>
      </c>
      <c r="D2025" t="s">
        <v>12</v>
      </c>
      <c r="E2025" t="s">
        <v>751</v>
      </c>
      <c r="F2025" t="s">
        <v>101</v>
      </c>
      <c r="G2025" t="s">
        <v>468</v>
      </c>
      <c r="H2025" t="s">
        <v>765</v>
      </c>
      <c r="I2025" t="s">
        <v>766</v>
      </c>
      <c r="J2025" t="s">
        <v>767</v>
      </c>
      <c r="K2025" t="s">
        <v>444</v>
      </c>
      <c r="L2025" t="s">
        <v>675</v>
      </c>
      <c r="M2025" t="s">
        <v>408</v>
      </c>
      <c r="N2025" t="s">
        <v>11</v>
      </c>
      <c r="O2025" t="s">
        <v>11</v>
      </c>
      <c r="P2025" t="s">
        <v>2</v>
      </c>
      <c r="Q2025" t="s">
        <v>408</v>
      </c>
      <c r="R2025" t="s">
        <v>439</v>
      </c>
      <c r="S2025" t="s">
        <v>451</v>
      </c>
      <c r="T2025" t="s">
        <v>11</v>
      </c>
      <c r="U2025" t="s">
        <v>408</v>
      </c>
    </row>
    <row r="2026" spans="1:21" x14ac:dyDescent="0.25">
      <c r="A2026">
        <v>20910123</v>
      </c>
      <c r="B2026" t="s">
        <v>342</v>
      </c>
      <c r="C2026" t="s">
        <v>89</v>
      </c>
      <c r="D2026" t="s">
        <v>12</v>
      </c>
      <c r="E2026" t="s">
        <v>751</v>
      </c>
      <c r="F2026" t="s">
        <v>101</v>
      </c>
      <c r="G2026" t="s">
        <v>468</v>
      </c>
      <c r="H2026" t="s">
        <v>715</v>
      </c>
      <c r="I2026" t="s">
        <v>716</v>
      </c>
      <c r="J2026" t="s">
        <v>717</v>
      </c>
      <c r="K2026" t="s">
        <v>438</v>
      </c>
      <c r="L2026" t="s">
        <v>840</v>
      </c>
      <c r="M2026" t="s">
        <v>11</v>
      </c>
      <c r="N2026" t="s">
        <v>11</v>
      </c>
      <c r="O2026" t="s">
        <v>11</v>
      </c>
      <c r="P2026" t="s">
        <v>2</v>
      </c>
      <c r="Q2026" t="s">
        <v>408</v>
      </c>
      <c r="R2026" t="s">
        <v>439</v>
      </c>
      <c r="S2026" t="s">
        <v>440</v>
      </c>
      <c r="T2026" t="s">
        <v>408</v>
      </c>
      <c r="U2026" t="s">
        <v>408</v>
      </c>
    </row>
    <row r="2027" spans="1:21" x14ac:dyDescent="0.25">
      <c r="A2027">
        <v>20910124</v>
      </c>
      <c r="B2027" t="s">
        <v>340</v>
      </c>
      <c r="C2027" t="s">
        <v>86</v>
      </c>
      <c r="D2027" t="s">
        <v>12</v>
      </c>
      <c r="E2027" t="s">
        <v>751</v>
      </c>
      <c r="F2027" t="s">
        <v>97</v>
      </c>
      <c r="G2027" t="s">
        <v>468</v>
      </c>
      <c r="H2027" t="s">
        <v>715</v>
      </c>
      <c r="I2027" t="s">
        <v>716</v>
      </c>
      <c r="J2027" t="s">
        <v>717</v>
      </c>
      <c r="K2027" t="s">
        <v>438</v>
      </c>
      <c r="L2027" t="s">
        <v>847</v>
      </c>
      <c r="M2027" t="s">
        <v>408</v>
      </c>
      <c r="N2027" t="s">
        <v>11</v>
      </c>
      <c r="O2027" t="s">
        <v>11</v>
      </c>
      <c r="P2027" t="s">
        <v>2</v>
      </c>
      <c r="Q2027" t="s">
        <v>408</v>
      </c>
      <c r="R2027" t="s">
        <v>439</v>
      </c>
      <c r="S2027" t="s">
        <v>440</v>
      </c>
      <c r="T2027" t="s">
        <v>11</v>
      </c>
      <c r="U2027" t="s">
        <v>408</v>
      </c>
    </row>
    <row r="2028" spans="1:21" x14ac:dyDescent="0.25">
      <c r="A2028">
        <v>20910126</v>
      </c>
      <c r="B2028" t="s">
        <v>342</v>
      </c>
      <c r="C2028" t="s">
        <v>89</v>
      </c>
      <c r="D2028" t="s">
        <v>12</v>
      </c>
      <c r="E2028" t="s">
        <v>751</v>
      </c>
      <c r="F2028" t="s">
        <v>97</v>
      </c>
      <c r="G2028" t="s">
        <v>468</v>
      </c>
      <c r="H2028" t="s">
        <v>765</v>
      </c>
      <c r="I2028" t="s">
        <v>766</v>
      </c>
      <c r="J2028" t="s">
        <v>767</v>
      </c>
      <c r="K2028" t="s">
        <v>444</v>
      </c>
      <c r="L2028" t="s">
        <v>840</v>
      </c>
      <c r="M2028" t="s">
        <v>11</v>
      </c>
      <c r="N2028" t="s">
        <v>11</v>
      </c>
      <c r="O2028" t="s">
        <v>11</v>
      </c>
      <c r="P2028" t="s">
        <v>2</v>
      </c>
      <c r="Q2028" t="s">
        <v>408</v>
      </c>
      <c r="R2028" t="s">
        <v>439</v>
      </c>
      <c r="S2028" t="s">
        <v>451</v>
      </c>
      <c r="T2028" t="s">
        <v>408</v>
      </c>
      <c r="U2028" t="s">
        <v>408</v>
      </c>
    </row>
    <row r="2029" spans="1:21" x14ac:dyDescent="0.25">
      <c r="A2029">
        <v>20910127</v>
      </c>
      <c r="B2029" t="s">
        <v>340</v>
      </c>
      <c r="C2029" t="s">
        <v>86</v>
      </c>
      <c r="D2029" t="s">
        <v>12</v>
      </c>
      <c r="E2029" t="s">
        <v>751</v>
      </c>
      <c r="F2029" t="s">
        <v>97</v>
      </c>
      <c r="G2029" t="s">
        <v>468</v>
      </c>
      <c r="H2029" t="s">
        <v>715</v>
      </c>
      <c r="I2029" t="s">
        <v>716</v>
      </c>
      <c r="J2029" t="s">
        <v>717</v>
      </c>
      <c r="K2029" t="s">
        <v>438</v>
      </c>
      <c r="L2029" t="s">
        <v>847</v>
      </c>
      <c r="M2029" t="s">
        <v>408</v>
      </c>
      <c r="N2029" t="s">
        <v>11</v>
      </c>
      <c r="O2029" t="s">
        <v>11</v>
      </c>
      <c r="P2029" t="s">
        <v>2</v>
      </c>
      <c r="Q2029" t="s">
        <v>408</v>
      </c>
      <c r="R2029" t="s">
        <v>439</v>
      </c>
      <c r="S2029" t="s">
        <v>440</v>
      </c>
      <c r="T2029" t="s">
        <v>11</v>
      </c>
      <c r="U2029" t="s">
        <v>408</v>
      </c>
    </row>
    <row r="2030" spans="1:21" x14ac:dyDescent="0.25">
      <c r="A2030">
        <v>20910128</v>
      </c>
      <c r="B2030" t="s">
        <v>340</v>
      </c>
      <c r="C2030" t="s">
        <v>86</v>
      </c>
      <c r="D2030" t="s">
        <v>12</v>
      </c>
      <c r="E2030" t="s">
        <v>751</v>
      </c>
      <c r="F2030" t="s">
        <v>95</v>
      </c>
      <c r="G2030" t="s">
        <v>468</v>
      </c>
      <c r="H2030" t="s">
        <v>715</v>
      </c>
      <c r="I2030" t="s">
        <v>716</v>
      </c>
      <c r="J2030" t="s">
        <v>717</v>
      </c>
      <c r="K2030" t="s">
        <v>438</v>
      </c>
      <c r="L2030" t="s">
        <v>846</v>
      </c>
      <c r="M2030" t="s">
        <v>408</v>
      </c>
      <c r="N2030" t="s">
        <v>11</v>
      </c>
      <c r="O2030" t="s">
        <v>11</v>
      </c>
      <c r="P2030" t="s">
        <v>2</v>
      </c>
      <c r="Q2030" t="s">
        <v>408</v>
      </c>
      <c r="R2030" t="s">
        <v>439</v>
      </c>
      <c r="S2030" t="s">
        <v>440</v>
      </c>
      <c r="T2030" t="s">
        <v>11</v>
      </c>
      <c r="U2030" t="s">
        <v>408</v>
      </c>
    </row>
    <row r="2031" spans="1:21" x14ac:dyDescent="0.25">
      <c r="A2031">
        <v>20910130</v>
      </c>
      <c r="B2031" t="s">
        <v>340</v>
      </c>
      <c r="C2031" t="s">
        <v>86</v>
      </c>
      <c r="D2031" t="s">
        <v>12</v>
      </c>
      <c r="E2031" t="s">
        <v>751</v>
      </c>
      <c r="F2031" t="s">
        <v>95</v>
      </c>
      <c r="G2031" t="s">
        <v>468</v>
      </c>
      <c r="H2031" t="s">
        <v>715</v>
      </c>
      <c r="I2031" t="s">
        <v>716</v>
      </c>
      <c r="J2031" t="s">
        <v>717</v>
      </c>
      <c r="K2031" t="s">
        <v>438</v>
      </c>
      <c r="L2031" t="s">
        <v>846</v>
      </c>
      <c r="M2031" t="s">
        <v>408</v>
      </c>
      <c r="N2031" t="s">
        <v>11</v>
      </c>
      <c r="O2031" t="s">
        <v>11</v>
      </c>
      <c r="P2031" t="s">
        <v>2</v>
      </c>
      <c r="Q2031" t="s">
        <v>408</v>
      </c>
      <c r="R2031" t="s">
        <v>439</v>
      </c>
      <c r="S2031" t="s">
        <v>440</v>
      </c>
      <c r="T2031" t="s">
        <v>11</v>
      </c>
      <c r="U2031" t="s">
        <v>408</v>
      </c>
    </row>
    <row r="2032" spans="1:21" x14ac:dyDescent="0.25">
      <c r="A2032">
        <v>20910132</v>
      </c>
      <c r="B2032" t="s">
        <v>342</v>
      </c>
      <c r="C2032" t="s">
        <v>89</v>
      </c>
      <c r="D2032" t="s">
        <v>12</v>
      </c>
      <c r="E2032" t="s">
        <v>751</v>
      </c>
      <c r="F2032" t="s">
        <v>97</v>
      </c>
      <c r="G2032" t="s">
        <v>468</v>
      </c>
      <c r="H2032" t="s">
        <v>765</v>
      </c>
      <c r="I2032" t="s">
        <v>766</v>
      </c>
      <c r="J2032" t="s">
        <v>767</v>
      </c>
      <c r="K2032" t="s">
        <v>444</v>
      </c>
      <c r="L2032" t="s">
        <v>675</v>
      </c>
      <c r="M2032" t="s">
        <v>408</v>
      </c>
      <c r="N2032" t="s">
        <v>11</v>
      </c>
      <c r="O2032" t="s">
        <v>11</v>
      </c>
      <c r="P2032" t="s">
        <v>2</v>
      </c>
      <c r="Q2032" t="s">
        <v>408</v>
      </c>
      <c r="R2032" t="s">
        <v>439</v>
      </c>
      <c r="S2032" t="s">
        <v>451</v>
      </c>
      <c r="T2032" t="s">
        <v>11</v>
      </c>
      <c r="U2032" t="s">
        <v>408</v>
      </c>
    </row>
    <row r="2033" spans="1:21" x14ac:dyDescent="0.25">
      <c r="A2033">
        <v>20910133</v>
      </c>
      <c r="B2033" t="s">
        <v>342</v>
      </c>
      <c r="C2033" t="s">
        <v>33</v>
      </c>
      <c r="D2033" t="s">
        <v>12</v>
      </c>
      <c r="E2033" t="s">
        <v>751</v>
      </c>
      <c r="F2033" t="s">
        <v>97</v>
      </c>
      <c r="G2033" t="s">
        <v>468</v>
      </c>
      <c r="H2033" t="s">
        <v>761</v>
      </c>
      <c r="I2033" t="s">
        <v>762</v>
      </c>
      <c r="J2033" t="s">
        <v>763</v>
      </c>
      <c r="K2033" t="s">
        <v>764</v>
      </c>
      <c r="L2033" t="s">
        <v>819</v>
      </c>
      <c r="M2033" t="s">
        <v>408</v>
      </c>
      <c r="N2033" t="s">
        <v>11</v>
      </c>
      <c r="O2033" t="s">
        <v>11</v>
      </c>
      <c r="P2033" t="s">
        <v>2</v>
      </c>
      <c r="Q2033" t="s">
        <v>408</v>
      </c>
      <c r="R2033" t="s">
        <v>439</v>
      </c>
      <c r="S2033" t="s">
        <v>440</v>
      </c>
      <c r="T2033" t="s">
        <v>11</v>
      </c>
      <c r="U2033" t="s">
        <v>408</v>
      </c>
    </row>
    <row r="2034" spans="1:21" x14ac:dyDescent="0.25">
      <c r="A2034">
        <v>20910134</v>
      </c>
      <c r="B2034" t="s">
        <v>342</v>
      </c>
      <c r="C2034" t="s">
        <v>89</v>
      </c>
      <c r="D2034" t="s">
        <v>18</v>
      </c>
      <c r="E2034" t="s">
        <v>751</v>
      </c>
      <c r="F2034" t="s">
        <v>97</v>
      </c>
      <c r="G2034" t="s">
        <v>468</v>
      </c>
      <c r="H2034" t="s">
        <v>765</v>
      </c>
      <c r="I2034" t="s">
        <v>766</v>
      </c>
      <c r="J2034" t="s">
        <v>767</v>
      </c>
      <c r="K2034" t="s">
        <v>444</v>
      </c>
      <c r="L2034" t="s">
        <v>675</v>
      </c>
      <c r="M2034" t="s">
        <v>408</v>
      </c>
      <c r="N2034" t="s">
        <v>11</v>
      </c>
      <c r="O2034" t="s">
        <v>11</v>
      </c>
      <c r="P2034" t="s">
        <v>2</v>
      </c>
      <c r="Q2034" t="s">
        <v>408</v>
      </c>
      <c r="R2034" t="s">
        <v>439</v>
      </c>
      <c r="S2034" t="s">
        <v>451</v>
      </c>
      <c r="T2034" t="s">
        <v>11</v>
      </c>
      <c r="U2034" t="s">
        <v>408</v>
      </c>
    </row>
    <row r="2035" spans="1:21" x14ac:dyDescent="0.25">
      <c r="A2035">
        <v>20910135</v>
      </c>
      <c r="B2035" t="s">
        <v>342</v>
      </c>
      <c r="C2035" t="s">
        <v>89</v>
      </c>
      <c r="D2035" t="s">
        <v>12</v>
      </c>
      <c r="E2035" t="s">
        <v>751</v>
      </c>
      <c r="F2035" t="s">
        <v>97</v>
      </c>
      <c r="G2035" t="s">
        <v>468</v>
      </c>
      <c r="H2035" t="s">
        <v>816</v>
      </c>
      <c r="I2035" t="s">
        <v>817</v>
      </c>
      <c r="J2035" t="s">
        <v>818</v>
      </c>
      <c r="K2035" t="s">
        <v>764</v>
      </c>
      <c r="L2035" t="s">
        <v>675</v>
      </c>
      <c r="M2035" t="s">
        <v>408</v>
      </c>
      <c r="N2035" t="s">
        <v>11</v>
      </c>
      <c r="O2035" t="s">
        <v>11</v>
      </c>
      <c r="P2035" t="s">
        <v>2</v>
      </c>
      <c r="Q2035" t="s">
        <v>408</v>
      </c>
      <c r="R2035" t="s">
        <v>439</v>
      </c>
      <c r="S2035" t="s">
        <v>451</v>
      </c>
      <c r="T2035" t="s">
        <v>11</v>
      </c>
      <c r="U2035" t="s">
        <v>408</v>
      </c>
    </row>
    <row r="2036" spans="1:21" x14ac:dyDescent="0.25">
      <c r="A2036">
        <v>20910136</v>
      </c>
      <c r="B2036" t="s">
        <v>342</v>
      </c>
      <c r="C2036" t="s">
        <v>89</v>
      </c>
      <c r="D2036" t="s">
        <v>12</v>
      </c>
      <c r="E2036" t="s">
        <v>751</v>
      </c>
      <c r="F2036" t="s">
        <v>97</v>
      </c>
      <c r="G2036" t="s">
        <v>468</v>
      </c>
      <c r="H2036" t="s">
        <v>765</v>
      </c>
      <c r="I2036" t="s">
        <v>766</v>
      </c>
      <c r="J2036" t="s">
        <v>767</v>
      </c>
      <c r="K2036" t="s">
        <v>444</v>
      </c>
      <c r="L2036" t="s">
        <v>675</v>
      </c>
      <c r="M2036" t="s">
        <v>408</v>
      </c>
      <c r="N2036" t="s">
        <v>11</v>
      </c>
      <c r="O2036" t="s">
        <v>11</v>
      </c>
      <c r="P2036" t="s">
        <v>2</v>
      </c>
      <c r="Q2036" t="s">
        <v>408</v>
      </c>
      <c r="R2036" t="s">
        <v>439</v>
      </c>
      <c r="S2036" t="s">
        <v>451</v>
      </c>
      <c r="T2036" t="s">
        <v>11</v>
      </c>
      <c r="U2036" t="s">
        <v>408</v>
      </c>
    </row>
    <row r="2037" spans="1:21" x14ac:dyDescent="0.25">
      <c r="A2037">
        <v>20910137</v>
      </c>
      <c r="B2037" t="s">
        <v>340</v>
      </c>
      <c r="C2037" t="s">
        <v>86</v>
      </c>
      <c r="D2037" t="s">
        <v>12</v>
      </c>
      <c r="E2037" t="s">
        <v>751</v>
      </c>
      <c r="F2037" t="s">
        <v>97</v>
      </c>
      <c r="G2037" t="s">
        <v>468</v>
      </c>
      <c r="H2037" t="s">
        <v>715</v>
      </c>
      <c r="I2037" t="s">
        <v>716</v>
      </c>
      <c r="J2037" t="s">
        <v>717</v>
      </c>
      <c r="K2037" t="s">
        <v>438</v>
      </c>
      <c r="L2037" t="s">
        <v>846</v>
      </c>
      <c r="M2037" t="s">
        <v>408</v>
      </c>
      <c r="N2037" t="s">
        <v>11</v>
      </c>
      <c r="O2037" t="s">
        <v>11</v>
      </c>
      <c r="P2037" t="s">
        <v>2</v>
      </c>
      <c r="Q2037" t="s">
        <v>408</v>
      </c>
      <c r="R2037" t="s">
        <v>439</v>
      </c>
      <c r="S2037" t="s">
        <v>440</v>
      </c>
      <c r="T2037" t="s">
        <v>11</v>
      </c>
      <c r="U2037" t="s">
        <v>408</v>
      </c>
    </row>
    <row r="2038" spans="1:21" x14ac:dyDescent="0.25">
      <c r="A2038">
        <v>20910138</v>
      </c>
      <c r="B2038" t="s">
        <v>342</v>
      </c>
      <c r="C2038" t="s">
        <v>89</v>
      </c>
      <c r="D2038" t="s">
        <v>12</v>
      </c>
      <c r="E2038" t="s">
        <v>751</v>
      </c>
      <c r="F2038" t="s">
        <v>97</v>
      </c>
      <c r="G2038" t="s">
        <v>468</v>
      </c>
      <c r="H2038" t="s">
        <v>765</v>
      </c>
      <c r="I2038" t="s">
        <v>766</v>
      </c>
      <c r="J2038" t="s">
        <v>767</v>
      </c>
      <c r="K2038" t="s">
        <v>444</v>
      </c>
      <c r="L2038" t="s">
        <v>675</v>
      </c>
      <c r="M2038" t="s">
        <v>408</v>
      </c>
      <c r="N2038" t="s">
        <v>11</v>
      </c>
      <c r="O2038" t="s">
        <v>11</v>
      </c>
      <c r="P2038" t="s">
        <v>2</v>
      </c>
      <c r="Q2038" t="s">
        <v>408</v>
      </c>
      <c r="R2038" t="s">
        <v>439</v>
      </c>
      <c r="S2038" t="s">
        <v>451</v>
      </c>
      <c r="T2038" t="s">
        <v>11</v>
      </c>
      <c r="U2038" t="s">
        <v>408</v>
      </c>
    </row>
    <row r="2039" spans="1:21" x14ac:dyDescent="0.25">
      <c r="A2039">
        <v>20910139</v>
      </c>
      <c r="B2039" t="s">
        <v>340</v>
      </c>
      <c r="C2039" t="s">
        <v>86</v>
      </c>
      <c r="D2039" t="s">
        <v>12</v>
      </c>
      <c r="E2039" t="s">
        <v>751</v>
      </c>
      <c r="F2039" t="s">
        <v>97</v>
      </c>
      <c r="G2039" t="s">
        <v>468</v>
      </c>
      <c r="H2039" t="s">
        <v>765</v>
      </c>
      <c r="I2039" t="s">
        <v>766</v>
      </c>
      <c r="J2039" t="s">
        <v>767</v>
      </c>
      <c r="K2039" t="s">
        <v>444</v>
      </c>
      <c r="L2039" t="s">
        <v>846</v>
      </c>
      <c r="M2039" t="s">
        <v>408</v>
      </c>
      <c r="N2039" t="s">
        <v>11</v>
      </c>
      <c r="O2039" t="s">
        <v>11</v>
      </c>
      <c r="P2039" t="s">
        <v>2</v>
      </c>
      <c r="Q2039" t="s">
        <v>408</v>
      </c>
      <c r="R2039" t="s">
        <v>439</v>
      </c>
      <c r="S2039" t="s">
        <v>451</v>
      </c>
      <c r="T2039" t="s">
        <v>11</v>
      </c>
      <c r="U2039" t="s">
        <v>408</v>
      </c>
    </row>
    <row r="2040" spans="1:21" x14ac:dyDescent="0.25">
      <c r="A2040">
        <v>20910140</v>
      </c>
      <c r="B2040" t="s">
        <v>342</v>
      </c>
      <c r="C2040" t="s">
        <v>89</v>
      </c>
      <c r="D2040" t="s">
        <v>12</v>
      </c>
      <c r="E2040" t="s">
        <v>751</v>
      </c>
      <c r="F2040" t="s">
        <v>97</v>
      </c>
      <c r="G2040" t="s">
        <v>468</v>
      </c>
      <c r="H2040" t="s">
        <v>765</v>
      </c>
      <c r="I2040" t="s">
        <v>766</v>
      </c>
      <c r="J2040" t="s">
        <v>767</v>
      </c>
      <c r="K2040" t="s">
        <v>444</v>
      </c>
      <c r="L2040" t="s">
        <v>840</v>
      </c>
      <c r="M2040" t="s">
        <v>11</v>
      </c>
      <c r="N2040" t="s">
        <v>11</v>
      </c>
      <c r="O2040" t="s">
        <v>11</v>
      </c>
      <c r="P2040" t="s">
        <v>2</v>
      </c>
      <c r="Q2040" t="s">
        <v>408</v>
      </c>
      <c r="R2040" t="s">
        <v>439</v>
      </c>
      <c r="S2040" t="s">
        <v>451</v>
      </c>
      <c r="T2040" t="s">
        <v>408</v>
      </c>
      <c r="U2040" t="s">
        <v>408</v>
      </c>
    </row>
    <row r="2041" spans="1:21" x14ac:dyDescent="0.25">
      <c r="A2041">
        <v>20910141</v>
      </c>
      <c r="B2041" t="s">
        <v>342</v>
      </c>
      <c r="C2041" t="s">
        <v>89</v>
      </c>
      <c r="D2041" t="s">
        <v>12</v>
      </c>
      <c r="E2041" t="s">
        <v>751</v>
      </c>
      <c r="F2041" t="s">
        <v>97</v>
      </c>
      <c r="G2041" t="s">
        <v>468</v>
      </c>
      <c r="H2041" t="s">
        <v>765</v>
      </c>
      <c r="I2041" t="s">
        <v>766</v>
      </c>
      <c r="J2041" t="s">
        <v>767</v>
      </c>
      <c r="K2041" t="s">
        <v>444</v>
      </c>
      <c r="L2041" t="s">
        <v>675</v>
      </c>
      <c r="M2041" t="s">
        <v>408</v>
      </c>
      <c r="N2041" t="s">
        <v>11</v>
      </c>
      <c r="O2041" t="s">
        <v>11</v>
      </c>
      <c r="P2041" t="s">
        <v>2</v>
      </c>
      <c r="Q2041" t="s">
        <v>408</v>
      </c>
      <c r="R2041" t="s">
        <v>439</v>
      </c>
      <c r="S2041" t="s">
        <v>451</v>
      </c>
      <c r="T2041" t="s">
        <v>11</v>
      </c>
      <c r="U2041" t="s">
        <v>408</v>
      </c>
    </row>
    <row r="2042" spans="1:21" x14ac:dyDescent="0.25">
      <c r="A2042">
        <v>20910143</v>
      </c>
      <c r="B2042" t="s">
        <v>342</v>
      </c>
      <c r="C2042" t="s">
        <v>89</v>
      </c>
      <c r="D2042" t="s">
        <v>12</v>
      </c>
      <c r="E2042" t="s">
        <v>751</v>
      </c>
      <c r="F2042" t="s">
        <v>97</v>
      </c>
      <c r="G2042" t="s">
        <v>468</v>
      </c>
      <c r="H2042" t="s">
        <v>765</v>
      </c>
      <c r="I2042" t="s">
        <v>766</v>
      </c>
      <c r="J2042" t="s">
        <v>767</v>
      </c>
      <c r="K2042" t="s">
        <v>444</v>
      </c>
      <c r="L2042" t="s">
        <v>675</v>
      </c>
      <c r="M2042" t="s">
        <v>408</v>
      </c>
      <c r="N2042" t="s">
        <v>11</v>
      </c>
      <c r="O2042" t="s">
        <v>408</v>
      </c>
      <c r="P2042" t="s">
        <v>2</v>
      </c>
      <c r="Q2042" t="s">
        <v>408</v>
      </c>
      <c r="R2042" t="s">
        <v>439</v>
      </c>
      <c r="S2042" t="s">
        <v>451</v>
      </c>
      <c r="T2042" t="s">
        <v>11</v>
      </c>
      <c r="U2042" t="s">
        <v>408</v>
      </c>
    </row>
    <row r="2043" spans="1:21" x14ac:dyDescent="0.25">
      <c r="A2043">
        <v>20910144</v>
      </c>
      <c r="B2043" t="s">
        <v>342</v>
      </c>
      <c r="C2043" t="s">
        <v>89</v>
      </c>
      <c r="D2043" t="s">
        <v>12</v>
      </c>
      <c r="E2043" t="s">
        <v>751</v>
      </c>
      <c r="F2043" t="s">
        <v>97</v>
      </c>
      <c r="G2043" t="s">
        <v>468</v>
      </c>
      <c r="H2043" t="s">
        <v>765</v>
      </c>
      <c r="I2043" t="s">
        <v>766</v>
      </c>
      <c r="J2043" t="s">
        <v>767</v>
      </c>
      <c r="K2043" t="s">
        <v>444</v>
      </c>
      <c r="L2043" t="s">
        <v>675</v>
      </c>
      <c r="M2043" t="s">
        <v>408</v>
      </c>
      <c r="N2043" t="s">
        <v>11</v>
      </c>
      <c r="O2043" t="s">
        <v>408</v>
      </c>
      <c r="P2043" t="s">
        <v>2</v>
      </c>
      <c r="Q2043" t="s">
        <v>408</v>
      </c>
      <c r="R2043" t="s">
        <v>439</v>
      </c>
      <c r="S2043" t="s">
        <v>451</v>
      </c>
      <c r="T2043" t="s">
        <v>11</v>
      </c>
      <c r="U2043" t="s">
        <v>408</v>
      </c>
    </row>
    <row r="2044" spans="1:21" x14ac:dyDescent="0.25">
      <c r="A2044">
        <v>20910145</v>
      </c>
      <c r="B2044" t="s">
        <v>342</v>
      </c>
      <c r="C2044" t="s">
        <v>33</v>
      </c>
      <c r="D2044" t="s">
        <v>12</v>
      </c>
      <c r="E2044" t="s">
        <v>751</v>
      </c>
      <c r="F2044" t="s">
        <v>97</v>
      </c>
      <c r="G2044" t="s">
        <v>369</v>
      </c>
      <c r="H2044" t="s">
        <v>675</v>
      </c>
      <c r="I2044" t="s">
        <v>826</v>
      </c>
      <c r="J2044" t="s">
        <v>827</v>
      </c>
      <c r="K2044" t="s">
        <v>444</v>
      </c>
      <c r="L2044" t="s">
        <v>2</v>
      </c>
      <c r="M2044" t="s">
        <v>408</v>
      </c>
      <c r="N2044" t="s">
        <v>11</v>
      </c>
      <c r="O2044" t="s">
        <v>11</v>
      </c>
      <c r="P2044" t="s">
        <v>2</v>
      </c>
      <c r="Q2044" t="s">
        <v>408</v>
      </c>
      <c r="R2044" t="s">
        <v>439</v>
      </c>
      <c r="S2044" t="s">
        <v>451</v>
      </c>
      <c r="T2044" t="s">
        <v>11</v>
      </c>
      <c r="U2044" t="s">
        <v>408</v>
      </c>
    </row>
    <row r="2045" spans="1:21" x14ac:dyDescent="0.25">
      <c r="A2045">
        <v>20910146</v>
      </c>
      <c r="B2045" t="s">
        <v>342</v>
      </c>
      <c r="C2045" t="s">
        <v>89</v>
      </c>
      <c r="D2045" t="s">
        <v>12</v>
      </c>
      <c r="E2045" t="s">
        <v>751</v>
      </c>
      <c r="F2045" t="s">
        <v>97</v>
      </c>
      <c r="G2045" t="s">
        <v>468</v>
      </c>
      <c r="H2045" t="s">
        <v>765</v>
      </c>
      <c r="I2045" t="s">
        <v>766</v>
      </c>
      <c r="J2045" t="s">
        <v>767</v>
      </c>
      <c r="K2045" t="s">
        <v>444</v>
      </c>
      <c r="L2045" t="s">
        <v>675</v>
      </c>
      <c r="M2045" t="s">
        <v>408</v>
      </c>
      <c r="N2045" t="s">
        <v>11</v>
      </c>
      <c r="O2045" t="s">
        <v>11</v>
      </c>
      <c r="P2045" t="s">
        <v>2</v>
      </c>
      <c r="Q2045" t="s">
        <v>408</v>
      </c>
      <c r="R2045" t="s">
        <v>439</v>
      </c>
      <c r="S2045" t="s">
        <v>451</v>
      </c>
      <c r="T2045" t="s">
        <v>11</v>
      </c>
      <c r="U2045" t="s">
        <v>408</v>
      </c>
    </row>
    <row r="2046" spans="1:21" x14ac:dyDescent="0.25">
      <c r="A2046">
        <v>20910147</v>
      </c>
      <c r="B2046" t="s">
        <v>342</v>
      </c>
      <c r="C2046" t="s">
        <v>89</v>
      </c>
      <c r="D2046" t="s">
        <v>12</v>
      </c>
      <c r="E2046" t="s">
        <v>751</v>
      </c>
      <c r="F2046" t="s">
        <v>97</v>
      </c>
      <c r="G2046" t="s">
        <v>468</v>
      </c>
      <c r="H2046" t="s">
        <v>603</v>
      </c>
      <c r="I2046" t="s">
        <v>604</v>
      </c>
      <c r="J2046" t="s">
        <v>605</v>
      </c>
      <c r="K2046" t="s">
        <v>606</v>
      </c>
      <c r="L2046" t="s">
        <v>840</v>
      </c>
      <c r="M2046" t="s">
        <v>11</v>
      </c>
      <c r="N2046" t="s">
        <v>11</v>
      </c>
      <c r="O2046" t="s">
        <v>11</v>
      </c>
      <c r="P2046" t="s">
        <v>2</v>
      </c>
      <c r="Q2046" t="s">
        <v>408</v>
      </c>
      <c r="R2046" t="s">
        <v>439</v>
      </c>
      <c r="S2046" t="s">
        <v>451</v>
      </c>
      <c r="T2046" t="s">
        <v>408</v>
      </c>
      <c r="U2046" t="s">
        <v>408</v>
      </c>
    </row>
    <row r="2047" spans="1:21" x14ac:dyDescent="0.25">
      <c r="A2047">
        <v>20910149</v>
      </c>
      <c r="B2047" t="s">
        <v>340</v>
      </c>
      <c r="C2047" t="s">
        <v>86</v>
      </c>
      <c r="D2047" t="s">
        <v>12</v>
      </c>
      <c r="E2047" t="s">
        <v>751</v>
      </c>
      <c r="F2047" t="s">
        <v>97</v>
      </c>
      <c r="G2047" t="s">
        <v>468</v>
      </c>
      <c r="H2047" t="s">
        <v>765</v>
      </c>
      <c r="I2047" t="s">
        <v>766</v>
      </c>
      <c r="J2047" t="s">
        <v>767</v>
      </c>
      <c r="K2047" t="s">
        <v>444</v>
      </c>
      <c r="L2047" t="s">
        <v>846</v>
      </c>
      <c r="M2047" t="s">
        <v>408</v>
      </c>
      <c r="N2047" t="s">
        <v>11</v>
      </c>
      <c r="O2047" t="s">
        <v>11</v>
      </c>
      <c r="P2047" t="s">
        <v>2</v>
      </c>
      <c r="Q2047" t="s">
        <v>408</v>
      </c>
      <c r="R2047" t="s">
        <v>439</v>
      </c>
      <c r="S2047" t="s">
        <v>451</v>
      </c>
      <c r="T2047" t="s">
        <v>11</v>
      </c>
      <c r="U2047" t="s">
        <v>408</v>
      </c>
    </row>
    <row r="2048" spans="1:21" x14ac:dyDescent="0.25">
      <c r="A2048">
        <v>20910150</v>
      </c>
      <c r="B2048" t="s">
        <v>342</v>
      </c>
      <c r="C2048" t="s">
        <v>89</v>
      </c>
      <c r="D2048" t="s">
        <v>12</v>
      </c>
      <c r="E2048" t="s">
        <v>751</v>
      </c>
      <c r="F2048" t="s">
        <v>95</v>
      </c>
      <c r="G2048" t="s">
        <v>468</v>
      </c>
      <c r="H2048" t="s">
        <v>765</v>
      </c>
      <c r="I2048" t="s">
        <v>766</v>
      </c>
      <c r="J2048" t="s">
        <v>767</v>
      </c>
      <c r="K2048" t="s">
        <v>444</v>
      </c>
      <c r="L2048" t="s">
        <v>675</v>
      </c>
      <c r="M2048" t="s">
        <v>408</v>
      </c>
      <c r="N2048" t="s">
        <v>11</v>
      </c>
      <c r="O2048" t="s">
        <v>11</v>
      </c>
      <c r="P2048" t="s">
        <v>2</v>
      </c>
      <c r="Q2048" t="s">
        <v>408</v>
      </c>
      <c r="R2048" t="s">
        <v>439</v>
      </c>
      <c r="S2048" t="s">
        <v>451</v>
      </c>
      <c r="T2048" t="s">
        <v>11</v>
      </c>
      <c r="U2048" t="s">
        <v>408</v>
      </c>
    </row>
    <row r="2049" spans="1:21" x14ac:dyDescent="0.25">
      <c r="A2049">
        <v>20910151</v>
      </c>
      <c r="B2049" t="s">
        <v>342</v>
      </c>
      <c r="C2049" t="s">
        <v>33</v>
      </c>
      <c r="D2049" t="s">
        <v>12</v>
      </c>
      <c r="E2049" t="s">
        <v>751</v>
      </c>
      <c r="F2049" t="s">
        <v>97</v>
      </c>
      <c r="G2049" t="s">
        <v>468</v>
      </c>
      <c r="H2049" t="s">
        <v>945</v>
      </c>
      <c r="I2049" t="s">
        <v>944</v>
      </c>
      <c r="J2049" t="s">
        <v>943</v>
      </c>
      <c r="K2049" t="s">
        <v>764</v>
      </c>
      <c r="L2049" t="s">
        <v>735</v>
      </c>
      <c r="M2049" t="s">
        <v>408</v>
      </c>
      <c r="N2049" t="s">
        <v>11</v>
      </c>
      <c r="O2049" t="s">
        <v>408</v>
      </c>
      <c r="P2049" t="s">
        <v>2</v>
      </c>
      <c r="Q2049" t="s">
        <v>408</v>
      </c>
      <c r="R2049" t="s">
        <v>439</v>
      </c>
      <c r="S2049" t="s">
        <v>451</v>
      </c>
      <c r="T2049" t="s">
        <v>11</v>
      </c>
      <c r="U2049" t="s">
        <v>408</v>
      </c>
    </row>
    <row r="2050" spans="1:21" x14ac:dyDescent="0.25">
      <c r="A2050">
        <v>20910152</v>
      </c>
      <c r="B2050" t="s">
        <v>340</v>
      </c>
      <c r="C2050" t="s">
        <v>86</v>
      </c>
      <c r="D2050" t="s">
        <v>12</v>
      </c>
      <c r="E2050" t="s">
        <v>751</v>
      </c>
      <c r="F2050" t="s">
        <v>95</v>
      </c>
      <c r="G2050" t="s">
        <v>468</v>
      </c>
      <c r="H2050" t="s">
        <v>617</v>
      </c>
      <c r="I2050" t="s">
        <v>618</v>
      </c>
      <c r="J2050" t="s">
        <v>619</v>
      </c>
      <c r="K2050" t="s">
        <v>606</v>
      </c>
      <c r="L2050" t="s">
        <v>847</v>
      </c>
      <c r="M2050" t="s">
        <v>408</v>
      </c>
      <c r="N2050" t="s">
        <v>11</v>
      </c>
      <c r="O2050" t="s">
        <v>11</v>
      </c>
      <c r="P2050" t="s">
        <v>2</v>
      </c>
      <c r="Q2050" t="s">
        <v>408</v>
      </c>
      <c r="R2050" t="s">
        <v>439</v>
      </c>
      <c r="S2050" t="s">
        <v>451</v>
      </c>
      <c r="T2050" t="s">
        <v>11</v>
      </c>
      <c r="U2050" t="s">
        <v>408</v>
      </c>
    </row>
    <row r="2051" spans="1:21" x14ac:dyDescent="0.25">
      <c r="A2051">
        <v>20910153</v>
      </c>
      <c r="B2051" t="s">
        <v>342</v>
      </c>
      <c r="C2051" t="s">
        <v>89</v>
      </c>
      <c r="D2051" t="s">
        <v>12</v>
      </c>
      <c r="E2051" t="s">
        <v>750</v>
      </c>
      <c r="F2051" t="s">
        <v>188</v>
      </c>
      <c r="G2051" t="s">
        <v>468</v>
      </c>
      <c r="H2051" t="s">
        <v>603</v>
      </c>
      <c r="I2051" t="s">
        <v>604</v>
      </c>
      <c r="J2051" t="s">
        <v>605</v>
      </c>
      <c r="K2051" t="s">
        <v>606</v>
      </c>
      <c r="L2051" t="s">
        <v>840</v>
      </c>
      <c r="M2051" t="s">
        <v>11</v>
      </c>
      <c r="N2051" t="s">
        <v>11</v>
      </c>
      <c r="O2051" t="s">
        <v>11</v>
      </c>
      <c r="P2051" t="s">
        <v>2</v>
      </c>
      <c r="Q2051" t="s">
        <v>408</v>
      </c>
      <c r="R2051" t="s">
        <v>439</v>
      </c>
      <c r="S2051" t="s">
        <v>451</v>
      </c>
      <c r="T2051" t="s">
        <v>408</v>
      </c>
      <c r="U2051" t="s">
        <v>408</v>
      </c>
    </row>
    <row r="2052" spans="1:21" x14ac:dyDescent="0.25">
      <c r="A2052">
        <v>20910154</v>
      </c>
      <c r="B2052" t="s">
        <v>340</v>
      </c>
      <c r="C2052" t="s">
        <v>86</v>
      </c>
      <c r="D2052" t="s">
        <v>12</v>
      </c>
      <c r="E2052" t="s">
        <v>751</v>
      </c>
      <c r="F2052" t="s">
        <v>97</v>
      </c>
      <c r="G2052" t="s">
        <v>468</v>
      </c>
      <c r="H2052" t="s">
        <v>617</v>
      </c>
      <c r="I2052" t="s">
        <v>618</v>
      </c>
      <c r="J2052" t="s">
        <v>619</v>
      </c>
      <c r="K2052" t="s">
        <v>606</v>
      </c>
      <c r="L2052" t="s">
        <v>847</v>
      </c>
      <c r="M2052" t="s">
        <v>408</v>
      </c>
      <c r="N2052" t="s">
        <v>11</v>
      </c>
      <c r="O2052" t="s">
        <v>11</v>
      </c>
      <c r="P2052" t="s">
        <v>2</v>
      </c>
      <c r="Q2052" t="s">
        <v>408</v>
      </c>
      <c r="R2052" t="s">
        <v>439</v>
      </c>
      <c r="S2052" t="s">
        <v>451</v>
      </c>
      <c r="T2052" t="s">
        <v>11</v>
      </c>
      <c r="U2052" t="s">
        <v>408</v>
      </c>
    </row>
    <row r="2053" spans="1:21" x14ac:dyDescent="0.25">
      <c r="A2053">
        <v>20910156</v>
      </c>
      <c r="B2053" t="s">
        <v>340</v>
      </c>
      <c r="C2053" t="s">
        <v>86</v>
      </c>
      <c r="D2053" t="s">
        <v>12</v>
      </c>
      <c r="E2053" t="s">
        <v>751</v>
      </c>
      <c r="F2053" t="s">
        <v>97</v>
      </c>
      <c r="G2053" t="s">
        <v>468</v>
      </c>
      <c r="H2053" t="s">
        <v>715</v>
      </c>
      <c r="I2053" t="s">
        <v>716</v>
      </c>
      <c r="J2053" t="s">
        <v>717</v>
      </c>
      <c r="K2053" t="s">
        <v>438</v>
      </c>
      <c r="L2053" t="s">
        <v>846</v>
      </c>
      <c r="M2053" t="s">
        <v>408</v>
      </c>
      <c r="N2053" t="s">
        <v>11</v>
      </c>
      <c r="O2053" t="s">
        <v>11</v>
      </c>
      <c r="P2053" t="s">
        <v>2</v>
      </c>
      <c r="Q2053" t="s">
        <v>408</v>
      </c>
      <c r="R2053" t="s">
        <v>439</v>
      </c>
      <c r="S2053" t="s">
        <v>440</v>
      </c>
      <c r="T2053" t="s">
        <v>11</v>
      </c>
      <c r="U2053" t="s">
        <v>408</v>
      </c>
    </row>
    <row r="2054" spans="1:21" x14ac:dyDescent="0.25">
      <c r="A2054">
        <v>20910157</v>
      </c>
      <c r="B2054" t="s">
        <v>342</v>
      </c>
      <c r="C2054" t="s">
        <v>89</v>
      </c>
      <c r="D2054" t="s">
        <v>12</v>
      </c>
      <c r="E2054" t="s">
        <v>750</v>
      </c>
      <c r="F2054" t="s">
        <v>98</v>
      </c>
      <c r="G2054" t="s">
        <v>468</v>
      </c>
      <c r="H2054" t="s">
        <v>765</v>
      </c>
      <c r="I2054" t="s">
        <v>766</v>
      </c>
      <c r="J2054" t="s">
        <v>767</v>
      </c>
      <c r="K2054" t="s">
        <v>444</v>
      </c>
      <c r="L2054" t="s">
        <v>840</v>
      </c>
      <c r="M2054" t="s">
        <v>11</v>
      </c>
      <c r="N2054" t="s">
        <v>11</v>
      </c>
      <c r="O2054" t="s">
        <v>11</v>
      </c>
      <c r="P2054" t="s">
        <v>2</v>
      </c>
      <c r="Q2054" t="s">
        <v>408</v>
      </c>
      <c r="R2054" t="s">
        <v>439</v>
      </c>
      <c r="S2054" t="s">
        <v>451</v>
      </c>
      <c r="T2054" t="s">
        <v>408</v>
      </c>
      <c r="U2054" t="s">
        <v>408</v>
      </c>
    </row>
    <row r="2055" spans="1:21" x14ac:dyDescent="0.25">
      <c r="A2055">
        <v>20910158</v>
      </c>
      <c r="B2055" t="s">
        <v>342</v>
      </c>
      <c r="C2055" t="s">
        <v>89</v>
      </c>
      <c r="D2055" t="s">
        <v>12</v>
      </c>
      <c r="E2055" t="s">
        <v>751</v>
      </c>
      <c r="F2055" t="s">
        <v>101</v>
      </c>
      <c r="G2055" t="s">
        <v>468</v>
      </c>
      <c r="H2055" t="s">
        <v>765</v>
      </c>
      <c r="I2055" t="s">
        <v>766</v>
      </c>
      <c r="J2055" t="s">
        <v>767</v>
      </c>
      <c r="K2055" t="s">
        <v>444</v>
      </c>
      <c r="L2055" t="s">
        <v>840</v>
      </c>
      <c r="M2055" t="s">
        <v>11</v>
      </c>
      <c r="N2055" t="s">
        <v>11</v>
      </c>
      <c r="O2055" t="s">
        <v>11</v>
      </c>
      <c r="P2055" t="s">
        <v>2</v>
      </c>
      <c r="Q2055" t="s">
        <v>408</v>
      </c>
      <c r="R2055" t="s">
        <v>439</v>
      </c>
      <c r="S2055" t="s">
        <v>451</v>
      </c>
      <c r="T2055" t="s">
        <v>408</v>
      </c>
      <c r="U2055" t="s">
        <v>408</v>
      </c>
    </row>
    <row r="2056" spans="1:21" x14ac:dyDescent="0.25">
      <c r="A2056">
        <v>20910159</v>
      </c>
      <c r="B2056" t="s">
        <v>340</v>
      </c>
      <c r="C2056" t="s">
        <v>86</v>
      </c>
      <c r="D2056" t="s">
        <v>12</v>
      </c>
      <c r="E2056" t="s">
        <v>751</v>
      </c>
      <c r="F2056" t="s">
        <v>95</v>
      </c>
      <c r="G2056" t="s">
        <v>468</v>
      </c>
      <c r="H2056" t="s">
        <v>715</v>
      </c>
      <c r="I2056" t="s">
        <v>716</v>
      </c>
      <c r="J2056" t="s">
        <v>717</v>
      </c>
      <c r="K2056" t="s">
        <v>438</v>
      </c>
      <c r="L2056" t="s">
        <v>846</v>
      </c>
      <c r="M2056" t="s">
        <v>408</v>
      </c>
      <c r="N2056" t="s">
        <v>11</v>
      </c>
      <c r="O2056" t="s">
        <v>11</v>
      </c>
      <c r="P2056" t="s">
        <v>2</v>
      </c>
      <c r="Q2056" t="s">
        <v>408</v>
      </c>
      <c r="R2056" t="s">
        <v>439</v>
      </c>
      <c r="S2056" t="s">
        <v>440</v>
      </c>
      <c r="T2056" t="s">
        <v>11</v>
      </c>
      <c r="U2056" t="s">
        <v>408</v>
      </c>
    </row>
    <row r="2057" spans="1:21" x14ac:dyDescent="0.25">
      <c r="A2057">
        <v>20910160</v>
      </c>
      <c r="B2057" t="s">
        <v>342</v>
      </c>
      <c r="C2057" t="s">
        <v>89</v>
      </c>
      <c r="D2057" t="s">
        <v>12</v>
      </c>
      <c r="E2057" t="s">
        <v>751</v>
      </c>
      <c r="F2057" t="s">
        <v>95</v>
      </c>
      <c r="G2057" t="s">
        <v>468</v>
      </c>
      <c r="H2057" t="s">
        <v>765</v>
      </c>
      <c r="I2057" t="s">
        <v>766</v>
      </c>
      <c r="J2057" t="s">
        <v>767</v>
      </c>
      <c r="K2057" t="s">
        <v>444</v>
      </c>
      <c r="L2057" t="s">
        <v>675</v>
      </c>
      <c r="M2057" t="s">
        <v>408</v>
      </c>
      <c r="N2057" t="s">
        <v>11</v>
      </c>
      <c r="O2057" t="s">
        <v>11</v>
      </c>
      <c r="P2057" t="s">
        <v>2</v>
      </c>
      <c r="Q2057" t="s">
        <v>408</v>
      </c>
      <c r="R2057" t="s">
        <v>439</v>
      </c>
      <c r="S2057" t="s">
        <v>451</v>
      </c>
      <c r="T2057" t="s">
        <v>11</v>
      </c>
      <c r="U2057" t="s">
        <v>408</v>
      </c>
    </row>
    <row r="2058" spans="1:21" x14ac:dyDescent="0.25">
      <c r="A2058">
        <v>20910161</v>
      </c>
      <c r="B2058" t="s">
        <v>340</v>
      </c>
      <c r="C2058" t="s">
        <v>86</v>
      </c>
      <c r="D2058" t="s">
        <v>12</v>
      </c>
      <c r="E2058" t="s">
        <v>751</v>
      </c>
      <c r="F2058" t="s">
        <v>101</v>
      </c>
      <c r="G2058" t="s">
        <v>468</v>
      </c>
      <c r="H2058" t="s">
        <v>715</v>
      </c>
      <c r="I2058" t="s">
        <v>716</v>
      </c>
      <c r="J2058" t="s">
        <v>717</v>
      </c>
      <c r="K2058" t="s">
        <v>438</v>
      </c>
      <c r="L2058" t="s">
        <v>847</v>
      </c>
      <c r="M2058" t="s">
        <v>408</v>
      </c>
      <c r="N2058" t="s">
        <v>11</v>
      </c>
      <c r="O2058" t="s">
        <v>11</v>
      </c>
      <c r="P2058" t="s">
        <v>2</v>
      </c>
      <c r="Q2058" t="s">
        <v>408</v>
      </c>
      <c r="R2058" t="s">
        <v>439</v>
      </c>
      <c r="S2058" t="s">
        <v>440</v>
      </c>
      <c r="T2058" t="s">
        <v>11</v>
      </c>
      <c r="U2058" t="s">
        <v>408</v>
      </c>
    </row>
    <row r="2059" spans="1:21" x14ac:dyDescent="0.25">
      <c r="A2059">
        <v>20910162</v>
      </c>
      <c r="B2059" t="s">
        <v>342</v>
      </c>
      <c r="C2059" t="s">
        <v>89</v>
      </c>
      <c r="D2059" t="s">
        <v>12</v>
      </c>
      <c r="E2059" t="s">
        <v>751</v>
      </c>
      <c r="F2059" t="s">
        <v>101</v>
      </c>
      <c r="G2059" t="s">
        <v>468</v>
      </c>
      <c r="H2059" t="s">
        <v>765</v>
      </c>
      <c r="I2059" t="s">
        <v>766</v>
      </c>
      <c r="J2059" t="s">
        <v>767</v>
      </c>
      <c r="K2059" t="s">
        <v>444</v>
      </c>
      <c r="L2059" t="s">
        <v>675</v>
      </c>
      <c r="M2059" t="s">
        <v>408</v>
      </c>
      <c r="N2059" t="s">
        <v>11</v>
      </c>
      <c r="O2059" t="s">
        <v>11</v>
      </c>
      <c r="P2059" t="s">
        <v>2</v>
      </c>
      <c r="Q2059" t="s">
        <v>408</v>
      </c>
      <c r="R2059" t="s">
        <v>439</v>
      </c>
      <c r="S2059" t="s">
        <v>451</v>
      </c>
      <c r="T2059" t="s">
        <v>11</v>
      </c>
      <c r="U2059" t="s">
        <v>408</v>
      </c>
    </row>
    <row r="2060" spans="1:21" x14ac:dyDescent="0.25">
      <c r="A2060">
        <v>20910164</v>
      </c>
      <c r="B2060" t="s">
        <v>342</v>
      </c>
      <c r="C2060" t="s">
        <v>89</v>
      </c>
      <c r="D2060" t="s">
        <v>12</v>
      </c>
      <c r="E2060" t="s">
        <v>750</v>
      </c>
      <c r="F2060" t="s">
        <v>98</v>
      </c>
      <c r="G2060" t="s">
        <v>468</v>
      </c>
      <c r="H2060" t="s">
        <v>765</v>
      </c>
      <c r="I2060" t="s">
        <v>766</v>
      </c>
      <c r="J2060" t="s">
        <v>767</v>
      </c>
      <c r="K2060" t="s">
        <v>444</v>
      </c>
      <c r="L2060" t="s">
        <v>675</v>
      </c>
      <c r="M2060" t="s">
        <v>408</v>
      </c>
      <c r="N2060" t="s">
        <v>11</v>
      </c>
      <c r="O2060" t="s">
        <v>11</v>
      </c>
      <c r="P2060" t="s">
        <v>2</v>
      </c>
      <c r="Q2060" t="s">
        <v>408</v>
      </c>
      <c r="R2060" t="s">
        <v>439</v>
      </c>
      <c r="S2060" t="s">
        <v>451</v>
      </c>
      <c r="T2060" t="s">
        <v>11</v>
      </c>
      <c r="U2060" t="s">
        <v>408</v>
      </c>
    </row>
    <row r="2061" spans="1:21" x14ac:dyDescent="0.25">
      <c r="A2061">
        <v>20910165</v>
      </c>
      <c r="B2061" t="s">
        <v>342</v>
      </c>
      <c r="C2061" t="s">
        <v>89</v>
      </c>
      <c r="D2061" t="s">
        <v>12</v>
      </c>
      <c r="E2061" t="s">
        <v>751</v>
      </c>
      <c r="F2061" t="s">
        <v>101</v>
      </c>
      <c r="G2061" t="s">
        <v>468</v>
      </c>
      <c r="H2061" t="s">
        <v>603</v>
      </c>
      <c r="I2061" t="s">
        <v>604</v>
      </c>
      <c r="J2061" t="s">
        <v>605</v>
      </c>
      <c r="K2061" t="s">
        <v>606</v>
      </c>
      <c r="L2061" t="s">
        <v>840</v>
      </c>
      <c r="M2061" t="s">
        <v>11</v>
      </c>
      <c r="N2061" t="s">
        <v>11</v>
      </c>
      <c r="O2061" t="s">
        <v>11</v>
      </c>
      <c r="P2061" t="s">
        <v>2</v>
      </c>
      <c r="Q2061" t="s">
        <v>408</v>
      </c>
      <c r="R2061" t="s">
        <v>439</v>
      </c>
      <c r="S2061" t="s">
        <v>451</v>
      </c>
      <c r="T2061" t="s">
        <v>408</v>
      </c>
      <c r="U2061" t="s">
        <v>408</v>
      </c>
    </row>
    <row r="2062" spans="1:21" x14ac:dyDescent="0.25">
      <c r="A2062">
        <v>20910166</v>
      </c>
      <c r="B2062" t="s">
        <v>340</v>
      </c>
      <c r="C2062" t="s">
        <v>26</v>
      </c>
      <c r="D2062" t="s">
        <v>12</v>
      </c>
      <c r="E2062" t="s">
        <v>751</v>
      </c>
      <c r="F2062" t="s">
        <v>97</v>
      </c>
      <c r="G2062" t="s">
        <v>468</v>
      </c>
      <c r="H2062" t="s">
        <v>816</v>
      </c>
      <c r="I2062" t="s">
        <v>817</v>
      </c>
      <c r="J2062" t="s">
        <v>818</v>
      </c>
      <c r="K2062" t="s">
        <v>764</v>
      </c>
      <c r="L2062" t="s">
        <v>1090</v>
      </c>
      <c r="M2062" t="s">
        <v>408</v>
      </c>
      <c r="N2062" t="s">
        <v>11</v>
      </c>
      <c r="O2062" t="s">
        <v>11</v>
      </c>
      <c r="P2062" t="s">
        <v>2</v>
      </c>
      <c r="Q2062" t="s">
        <v>408</v>
      </c>
      <c r="R2062" t="s">
        <v>439</v>
      </c>
      <c r="S2062" t="s">
        <v>451</v>
      </c>
      <c r="T2062" t="s">
        <v>11</v>
      </c>
      <c r="U2062" t="s">
        <v>408</v>
      </c>
    </row>
    <row r="2063" spans="1:21" x14ac:dyDescent="0.25">
      <c r="A2063">
        <v>20910168</v>
      </c>
      <c r="B2063" t="s">
        <v>340</v>
      </c>
      <c r="C2063" t="s">
        <v>86</v>
      </c>
      <c r="D2063" t="s">
        <v>12</v>
      </c>
      <c r="E2063" t="s">
        <v>751</v>
      </c>
      <c r="F2063" t="s">
        <v>101</v>
      </c>
      <c r="G2063" t="s">
        <v>468</v>
      </c>
      <c r="H2063" t="s">
        <v>765</v>
      </c>
      <c r="I2063" t="s">
        <v>766</v>
      </c>
      <c r="J2063" t="s">
        <v>767</v>
      </c>
      <c r="K2063" t="s">
        <v>444</v>
      </c>
      <c r="L2063" t="s">
        <v>846</v>
      </c>
      <c r="M2063" t="s">
        <v>408</v>
      </c>
      <c r="N2063" t="s">
        <v>11</v>
      </c>
      <c r="O2063" t="s">
        <v>11</v>
      </c>
      <c r="P2063" t="s">
        <v>2</v>
      </c>
      <c r="Q2063" t="s">
        <v>408</v>
      </c>
      <c r="R2063" t="s">
        <v>439</v>
      </c>
      <c r="S2063" t="s">
        <v>451</v>
      </c>
      <c r="T2063" t="s">
        <v>11</v>
      </c>
      <c r="U2063" t="s">
        <v>408</v>
      </c>
    </row>
    <row r="2064" spans="1:21" x14ac:dyDescent="0.25">
      <c r="A2064">
        <v>20910169</v>
      </c>
      <c r="B2064" t="s">
        <v>340</v>
      </c>
      <c r="C2064" t="s">
        <v>86</v>
      </c>
      <c r="D2064" t="s">
        <v>12</v>
      </c>
      <c r="E2064" t="s">
        <v>751</v>
      </c>
      <c r="F2064" t="s">
        <v>95</v>
      </c>
      <c r="G2064" t="s">
        <v>468</v>
      </c>
      <c r="H2064" t="s">
        <v>715</v>
      </c>
      <c r="I2064" t="s">
        <v>716</v>
      </c>
      <c r="J2064" t="s">
        <v>717</v>
      </c>
      <c r="K2064" t="s">
        <v>438</v>
      </c>
      <c r="L2064" t="s">
        <v>847</v>
      </c>
      <c r="M2064" t="s">
        <v>408</v>
      </c>
      <c r="N2064" t="s">
        <v>11</v>
      </c>
      <c r="O2064" t="s">
        <v>11</v>
      </c>
      <c r="P2064" t="s">
        <v>2</v>
      </c>
      <c r="Q2064" t="s">
        <v>408</v>
      </c>
      <c r="R2064" t="s">
        <v>439</v>
      </c>
      <c r="S2064" t="s">
        <v>440</v>
      </c>
      <c r="T2064" t="s">
        <v>11</v>
      </c>
      <c r="U2064" t="s">
        <v>408</v>
      </c>
    </row>
    <row r="2065" spans="1:21" x14ac:dyDescent="0.25">
      <c r="A2065">
        <v>20910170</v>
      </c>
      <c r="B2065" t="s">
        <v>340</v>
      </c>
      <c r="C2065" t="s">
        <v>86</v>
      </c>
      <c r="D2065" t="s">
        <v>12</v>
      </c>
      <c r="E2065" t="s">
        <v>750</v>
      </c>
      <c r="F2065" t="s">
        <v>188</v>
      </c>
      <c r="G2065" t="s">
        <v>468</v>
      </c>
      <c r="H2065" t="s">
        <v>715</v>
      </c>
      <c r="I2065" t="s">
        <v>716</v>
      </c>
      <c r="J2065" t="s">
        <v>717</v>
      </c>
      <c r="K2065" t="s">
        <v>438</v>
      </c>
      <c r="L2065" t="s">
        <v>846</v>
      </c>
      <c r="M2065" t="s">
        <v>408</v>
      </c>
      <c r="N2065" t="s">
        <v>11</v>
      </c>
      <c r="O2065" t="s">
        <v>11</v>
      </c>
      <c r="P2065" t="s">
        <v>2</v>
      </c>
      <c r="Q2065" t="s">
        <v>408</v>
      </c>
      <c r="R2065" t="s">
        <v>439</v>
      </c>
      <c r="S2065" t="s">
        <v>440</v>
      </c>
      <c r="T2065" t="s">
        <v>11</v>
      </c>
      <c r="U2065" t="s">
        <v>408</v>
      </c>
    </row>
    <row r="2066" spans="1:21" x14ac:dyDescent="0.25">
      <c r="A2066">
        <v>20910171</v>
      </c>
      <c r="B2066" t="s">
        <v>340</v>
      </c>
      <c r="C2066" t="s">
        <v>86</v>
      </c>
      <c r="D2066" t="s">
        <v>12</v>
      </c>
      <c r="E2066" t="s">
        <v>751</v>
      </c>
      <c r="F2066" t="s">
        <v>96</v>
      </c>
      <c r="G2066" t="s">
        <v>468</v>
      </c>
      <c r="H2066" t="s">
        <v>715</v>
      </c>
      <c r="I2066" t="s">
        <v>716</v>
      </c>
      <c r="J2066" t="s">
        <v>717</v>
      </c>
      <c r="K2066" t="s">
        <v>438</v>
      </c>
      <c r="L2066" t="s">
        <v>846</v>
      </c>
      <c r="M2066" t="s">
        <v>408</v>
      </c>
      <c r="N2066" t="s">
        <v>11</v>
      </c>
      <c r="O2066" t="s">
        <v>11</v>
      </c>
      <c r="P2066" t="s">
        <v>2</v>
      </c>
      <c r="Q2066" t="s">
        <v>408</v>
      </c>
      <c r="R2066" t="s">
        <v>439</v>
      </c>
      <c r="S2066" t="s">
        <v>440</v>
      </c>
      <c r="T2066" t="s">
        <v>11</v>
      </c>
      <c r="U2066" t="s">
        <v>408</v>
      </c>
    </row>
    <row r="2067" spans="1:21" x14ac:dyDescent="0.25">
      <c r="A2067">
        <v>20910173</v>
      </c>
      <c r="B2067" t="s">
        <v>342</v>
      </c>
      <c r="C2067" t="s">
        <v>89</v>
      </c>
      <c r="D2067" t="s">
        <v>12</v>
      </c>
      <c r="E2067" t="s">
        <v>751</v>
      </c>
      <c r="F2067" t="s">
        <v>95</v>
      </c>
      <c r="G2067" t="s">
        <v>468</v>
      </c>
      <c r="H2067" t="s">
        <v>765</v>
      </c>
      <c r="I2067" t="s">
        <v>766</v>
      </c>
      <c r="J2067" t="s">
        <v>767</v>
      </c>
      <c r="K2067" t="s">
        <v>444</v>
      </c>
      <c r="L2067" t="s">
        <v>840</v>
      </c>
      <c r="M2067" t="s">
        <v>11</v>
      </c>
      <c r="N2067" t="s">
        <v>11</v>
      </c>
      <c r="O2067" t="s">
        <v>11</v>
      </c>
      <c r="P2067" t="s">
        <v>2</v>
      </c>
      <c r="Q2067" t="s">
        <v>408</v>
      </c>
      <c r="R2067" t="s">
        <v>439</v>
      </c>
      <c r="S2067" t="s">
        <v>451</v>
      </c>
      <c r="T2067" t="s">
        <v>408</v>
      </c>
      <c r="U2067" t="s">
        <v>408</v>
      </c>
    </row>
    <row r="2068" spans="1:21" x14ac:dyDescent="0.25">
      <c r="A2068">
        <v>20910174</v>
      </c>
      <c r="B2068" t="s">
        <v>342</v>
      </c>
      <c r="C2068" t="s">
        <v>89</v>
      </c>
      <c r="D2068" t="s">
        <v>12</v>
      </c>
      <c r="E2068" t="s">
        <v>750</v>
      </c>
      <c r="F2068" t="s">
        <v>1092</v>
      </c>
      <c r="G2068" t="s">
        <v>468</v>
      </c>
      <c r="H2068" t="s">
        <v>765</v>
      </c>
      <c r="I2068" t="s">
        <v>766</v>
      </c>
      <c r="J2068" t="s">
        <v>767</v>
      </c>
      <c r="K2068" t="s">
        <v>444</v>
      </c>
      <c r="L2068" t="s">
        <v>675</v>
      </c>
      <c r="M2068" t="s">
        <v>408</v>
      </c>
      <c r="N2068" t="s">
        <v>11</v>
      </c>
      <c r="O2068" t="s">
        <v>408</v>
      </c>
      <c r="P2068" t="s">
        <v>2</v>
      </c>
      <c r="Q2068" t="s">
        <v>408</v>
      </c>
      <c r="R2068" t="s">
        <v>439</v>
      </c>
      <c r="S2068" t="s">
        <v>451</v>
      </c>
      <c r="T2068" t="s">
        <v>11</v>
      </c>
      <c r="U2068" t="s">
        <v>408</v>
      </c>
    </row>
    <row r="2069" spans="1:21" x14ac:dyDescent="0.25">
      <c r="A2069">
        <v>20910175</v>
      </c>
      <c r="B2069" t="s">
        <v>340</v>
      </c>
      <c r="C2069" t="s">
        <v>86</v>
      </c>
      <c r="D2069" t="s">
        <v>12</v>
      </c>
      <c r="E2069" t="s">
        <v>751</v>
      </c>
      <c r="F2069" t="s">
        <v>97</v>
      </c>
      <c r="G2069" t="s">
        <v>468</v>
      </c>
      <c r="H2069" t="s">
        <v>715</v>
      </c>
      <c r="I2069" t="s">
        <v>716</v>
      </c>
      <c r="J2069" t="s">
        <v>717</v>
      </c>
      <c r="K2069" t="s">
        <v>438</v>
      </c>
      <c r="L2069" t="s">
        <v>846</v>
      </c>
      <c r="M2069" t="s">
        <v>408</v>
      </c>
      <c r="N2069" t="s">
        <v>11</v>
      </c>
      <c r="O2069" t="s">
        <v>11</v>
      </c>
      <c r="P2069" t="s">
        <v>2</v>
      </c>
      <c r="Q2069" t="s">
        <v>408</v>
      </c>
      <c r="R2069" t="s">
        <v>439</v>
      </c>
      <c r="S2069" t="s">
        <v>440</v>
      </c>
      <c r="T2069" t="s">
        <v>11</v>
      </c>
      <c r="U2069" t="s">
        <v>408</v>
      </c>
    </row>
    <row r="2070" spans="1:21" x14ac:dyDescent="0.25">
      <c r="A2070">
        <v>20910176</v>
      </c>
      <c r="B2070" t="s">
        <v>342</v>
      </c>
      <c r="C2070" t="s">
        <v>89</v>
      </c>
      <c r="D2070" t="s">
        <v>12</v>
      </c>
      <c r="E2070" t="s">
        <v>751</v>
      </c>
      <c r="F2070" t="s">
        <v>97</v>
      </c>
      <c r="G2070" t="s">
        <v>468</v>
      </c>
      <c r="H2070" t="s">
        <v>603</v>
      </c>
      <c r="I2070" t="s">
        <v>604</v>
      </c>
      <c r="J2070" t="s">
        <v>605</v>
      </c>
      <c r="K2070" t="s">
        <v>606</v>
      </c>
      <c r="L2070" t="s">
        <v>840</v>
      </c>
      <c r="M2070" t="s">
        <v>11</v>
      </c>
      <c r="N2070" t="s">
        <v>11</v>
      </c>
      <c r="O2070" t="s">
        <v>408</v>
      </c>
      <c r="P2070" t="s">
        <v>2</v>
      </c>
      <c r="Q2070" t="s">
        <v>408</v>
      </c>
      <c r="R2070" t="s">
        <v>439</v>
      </c>
      <c r="S2070" t="s">
        <v>451</v>
      </c>
      <c r="T2070" t="s">
        <v>408</v>
      </c>
      <c r="U2070" t="s">
        <v>408</v>
      </c>
    </row>
    <row r="2071" spans="1:21" x14ac:dyDescent="0.25">
      <c r="A2071">
        <v>20910177</v>
      </c>
      <c r="B2071" t="s">
        <v>340</v>
      </c>
      <c r="C2071" t="s">
        <v>26</v>
      </c>
      <c r="D2071" t="s">
        <v>12</v>
      </c>
      <c r="E2071" t="s">
        <v>751</v>
      </c>
      <c r="F2071" t="s">
        <v>96</v>
      </c>
      <c r="G2071" t="s">
        <v>468</v>
      </c>
      <c r="H2071" t="s">
        <v>816</v>
      </c>
      <c r="I2071" t="s">
        <v>817</v>
      </c>
      <c r="J2071" t="s">
        <v>818</v>
      </c>
      <c r="K2071" t="s">
        <v>764</v>
      </c>
      <c r="L2071" t="s">
        <v>819</v>
      </c>
      <c r="M2071" t="s">
        <v>408</v>
      </c>
      <c r="N2071" t="s">
        <v>11</v>
      </c>
      <c r="O2071" t="s">
        <v>11</v>
      </c>
      <c r="P2071" t="s">
        <v>2</v>
      </c>
      <c r="Q2071" t="s">
        <v>408</v>
      </c>
      <c r="R2071" t="s">
        <v>439</v>
      </c>
      <c r="S2071" t="s">
        <v>451</v>
      </c>
      <c r="T2071" t="s">
        <v>11</v>
      </c>
      <c r="U2071" t="s">
        <v>408</v>
      </c>
    </row>
    <row r="2072" spans="1:21" x14ac:dyDescent="0.25">
      <c r="A2072">
        <v>20910178</v>
      </c>
      <c r="B2072" t="s">
        <v>340</v>
      </c>
      <c r="C2072" t="s">
        <v>26</v>
      </c>
      <c r="D2072" t="s">
        <v>12</v>
      </c>
      <c r="E2072" t="s">
        <v>751</v>
      </c>
      <c r="F2072" t="s">
        <v>97</v>
      </c>
      <c r="G2072" t="s">
        <v>468</v>
      </c>
      <c r="H2072" t="s">
        <v>816</v>
      </c>
      <c r="I2072" t="s">
        <v>817</v>
      </c>
      <c r="J2072" t="s">
        <v>818</v>
      </c>
      <c r="K2072" t="s">
        <v>764</v>
      </c>
      <c r="L2072" t="s">
        <v>1093</v>
      </c>
      <c r="M2072" t="s">
        <v>11</v>
      </c>
      <c r="N2072" t="s">
        <v>11</v>
      </c>
      <c r="O2072" t="s">
        <v>11</v>
      </c>
      <c r="P2072" t="s">
        <v>2</v>
      </c>
      <c r="Q2072" t="s">
        <v>408</v>
      </c>
      <c r="R2072" t="s">
        <v>439</v>
      </c>
      <c r="S2072" t="s">
        <v>451</v>
      </c>
      <c r="T2072" t="s">
        <v>408</v>
      </c>
      <c r="U2072" t="s">
        <v>408</v>
      </c>
    </row>
    <row r="2073" spans="1:21" x14ac:dyDescent="0.25">
      <c r="A2073">
        <v>20910179</v>
      </c>
      <c r="B2073" t="s">
        <v>342</v>
      </c>
      <c r="C2073" t="s">
        <v>89</v>
      </c>
      <c r="D2073" t="s">
        <v>12</v>
      </c>
      <c r="E2073" t="s">
        <v>751</v>
      </c>
      <c r="F2073" t="s">
        <v>97</v>
      </c>
      <c r="G2073" t="s">
        <v>468</v>
      </c>
      <c r="H2073" t="s">
        <v>765</v>
      </c>
      <c r="I2073" t="s">
        <v>766</v>
      </c>
      <c r="J2073" t="s">
        <v>767</v>
      </c>
      <c r="K2073" t="s">
        <v>444</v>
      </c>
      <c r="L2073" t="s">
        <v>675</v>
      </c>
      <c r="M2073" t="s">
        <v>408</v>
      </c>
      <c r="N2073" t="s">
        <v>11</v>
      </c>
      <c r="O2073" t="s">
        <v>11</v>
      </c>
      <c r="P2073" t="s">
        <v>2</v>
      </c>
      <c r="Q2073" t="s">
        <v>408</v>
      </c>
      <c r="R2073" t="s">
        <v>439</v>
      </c>
      <c r="S2073" t="s">
        <v>451</v>
      </c>
      <c r="T2073" t="s">
        <v>11</v>
      </c>
      <c r="U2073" t="s">
        <v>408</v>
      </c>
    </row>
    <row r="2074" spans="1:21" x14ac:dyDescent="0.25">
      <c r="A2074">
        <v>20910180</v>
      </c>
      <c r="B2074" t="s">
        <v>340</v>
      </c>
      <c r="C2074" t="s">
        <v>86</v>
      </c>
      <c r="D2074" t="s">
        <v>12</v>
      </c>
      <c r="E2074" t="s">
        <v>751</v>
      </c>
      <c r="F2074" t="s">
        <v>97</v>
      </c>
      <c r="G2074" t="s">
        <v>468</v>
      </c>
      <c r="H2074" t="s">
        <v>765</v>
      </c>
      <c r="I2074" t="s">
        <v>766</v>
      </c>
      <c r="J2074" t="s">
        <v>767</v>
      </c>
      <c r="K2074" t="s">
        <v>444</v>
      </c>
      <c r="L2074" t="s">
        <v>846</v>
      </c>
      <c r="M2074" t="s">
        <v>408</v>
      </c>
      <c r="N2074" t="s">
        <v>11</v>
      </c>
      <c r="O2074" t="s">
        <v>11</v>
      </c>
      <c r="P2074" t="s">
        <v>2</v>
      </c>
      <c r="Q2074" t="s">
        <v>408</v>
      </c>
      <c r="R2074" t="s">
        <v>439</v>
      </c>
      <c r="S2074" t="s">
        <v>451</v>
      </c>
      <c r="T2074" t="s">
        <v>11</v>
      </c>
      <c r="U2074" t="s">
        <v>408</v>
      </c>
    </row>
    <row r="2075" spans="1:21" x14ac:dyDescent="0.25">
      <c r="A2075">
        <v>20910181</v>
      </c>
      <c r="B2075" t="s">
        <v>342</v>
      </c>
      <c r="C2075" t="s">
        <v>33</v>
      </c>
      <c r="D2075" t="s">
        <v>12</v>
      </c>
      <c r="E2075" t="s">
        <v>751</v>
      </c>
      <c r="F2075" t="s">
        <v>96</v>
      </c>
      <c r="G2075" t="s">
        <v>369</v>
      </c>
      <c r="H2075" t="s">
        <v>675</v>
      </c>
      <c r="I2075" t="s">
        <v>826</v>
      </c>
      <c r="J2075" t="s">
        <v>827</v>
      </c>
      <c r="K2075" t="s">
        <v>444</v>
      </c>
      <c r="L2075" t="s">
        <v>2</v>
      </c>
      <c r="M2075" t="s">
        <v>408</v>
      </c>
      <c r="N2075" t="s">
        <v>11</v>
      </c>
      <c r="O2075" t="s">
        <v>11</v>
      </c>
      <c r="P2075" t="s">
        <v>2</v>
      </c>
      <c r="Q2075" t="s">
        <v>408</v>
      </c>
      <c r="R2075" t="s">
        <v>439</v>
      </c>
      <c r="S2075" t="s">
        <v>451</v>
      </c>
      <c r="T2075" t="s">
        <v>11</v>
      </c>
      <c r="U2075" t="s">
        <v>408</v>
      </c>
    </row>
    <row r="2076" spans="1:21" x14ac:dyDescent="0.25">
      <c r="A2076">
        <v>20910182</v>
      </c>
      <c r="B2076" t="s">
        <v>342</v>
      </c>
      <c r="C2076" t="s">
        <v>89</v>
      </c>
      <c r="D2076" t="s">
        <v>12</v>
      </c>
      <c r="E2076" t="s">
        <v>751</v>
      </c>
      <c r="F2076" t="s">
        <v>97</v>
      </c>
      <c r="G2076" t="s">
        <v>468</v>
      </c>
      <c r="H2076" t="s">
        <v>765</v>
      </c>
      <c r="I2076" t="s">
        <v>766</v>
      </c>
      <c r="J2076" t="s">
        <v>767</v>
      </c>
      <c r="K2076" t="s">
        <v>444</v>
      </c>
      <c r="L2076" t="s">
        <v>675</v>
      </c>
      <c r="M2076" t="s">
        <v>408</v>
      </c>
      <c r="N2076" t="s">
        <v>11</v>
      </c>
      <c r="O2076" t="s">
        <v>11</v>
      </c>
      <c r="P2076" t="s">
        <v>2</v>
      </c>
      <c r="Q2076" t="s">
        <v>408</v>
      </c>
      <c r="R2076" t="s">
        <v>439</v>
      </c>
      <c r="S2076" t="s">
        <v>451</v>
      </c>
      <c r="T2076" t="s">
        <v>11</v>
      </c>
      <c r="U2076" t="s">
        <v>408</v>
      </c>
    </row>
    <row r="2077" spans="1:21" x14ac:dyDescent="0.25">
      <c r="A2077">
        <v>20910183</v>
      </c>
      <c r="B2077" t="s">
        <v>342</v>
      </c>
      <c r="C2077" t="s">
        <v>89</v>
      </c>
      <c r="D2077" t="s">
        <v>12</v>
      </c>
      <c r="E2077" t="s">
        <v>751</v>
      </c>
      <c r="F2077" t="s">
        <v>95</v>
      </c>
      <c r="G2077" t="s">
        <v>468</v>
      </c>
      <c r="H2077" t="s">
        <v>761</v>
      </c>
      <c r="I2077" t="s">
        <v>762</v>
      </c>
      <c r="J2077" t="s">
        <v>763</v>
      </c>
      <c r="K2077" t="s">
        <v>764</v>
      </c>
      <c r="L2077" t="s">
        <v>1008</v>
      </c>
      <c r="M2077" t="s">
        <v>408</v>
      </c>
      <c r="N2077" t="s">
        <v>11</v>
      </c>
      <c r="O2077" t="s">
        <v>408</v>
      </c>
      <c r="P2077" t="s">
        <v>2</v>
      </c>
      <c r="Q2077" t="s">
        <v>408</v>
      </c>
      <c r="R2077" t="s">
        <v>439</v>
      </c>
      <c r="S2077" t="s">
        <v>440</v>
      </c>
      <c r="T2077" t="s">
        <v>11</v>
      </c>
      <c r="U2077" t="s">
        <v>408</v>
      </c>
    </row>
    <row r="2078" spans="1:21" x14ac:dyDescent="0.25">
      <c r="A2078">
        <v>20910184</v>
      </c>
      <c r="B2078" t="s">
        <v>340</v>
      </c>
      <c r="C2078" t="s">
        <v>86</v>
      </c>
      <c r="D2078" t="s">
        <v>12</v>
      </c>
      <c r="E2078" t="s">
        <v>751</v>
      </c>
      <c r="F2078" t="s">
        <v>97</v>
      </c>
      <c r="G2078" t="s">
        <v>468</v>
      </c>
      <c r="H2078" t="s">
        <v>765</v>
      </c>
      <c r="I2078" t="s">
        <v>766</v>
      </c>
      <c r="J2078" t="s">
        <v>767</v>
      </c>
      <c r="K2078" t="s">
        <v>444</v>
      </c>
      <c r="L2078" t="s">
        <v>846</v>
      </c>
      <c r="M2078" t="s">
        <v>408</v>
      </c>
      <c r="N2078" t="s">
        <v>11</v>
      </c>
      <c r="O2078" t="s">
        <v>11</v>
      </c>
      <c r="P2078" t="s">
        <v>2</v>
      </c>
      <c r="Q2078" t="s">
        <v>408</v>
      </c>
      <c r="R2078" t="s">
        <v>439</v>
      </c>
      <c r="S2078" t="s">
        <v>451</v>
      </c>
      <c r="T2078" t="s">
        <v>11</v>
      </c>
      <c r="U2078" t="s">
        <v>408</v>
      </c>
    </row>
    <row r="2079" spans="1:21" x14ac:dyDescent="0.25">
      <c r="A2079">
        <v>20910185</v>
      </c>
      <c r="B2079" t="s">
        <v>342</v>
      </c>
      <c r="C2079" t="s">
        <v>89</v>
      </c>
      <c r="D2079" t="s">
        <v>12</v>
      </c>
      <c r="E2079" t="s">
        <v>751</v>
      </c>
      <c r="F2079" t="s">
        <v>95</v>
      </c>
      <c r="G2079" t="s">
        <v>468</v>
      </c>
      <c r="H2079" t="s">
        <v>765</v>
      </c>
      <c r="I2079" t="s">
        <v>766</v>
      </c>
      <c r="J2079" t="s">
        <v>767</v>
      </c>
      <c r="K2079" t="s">
        <v>444</v>
      </c>
      <c r="L2079" t="s">
        <v>675</v>
      </c>
      <c r="M2079" t="s">
        <v>408</v>
      </c>
      <c r="N2079" t="s">
        <v>11</v>
      </c>
      <c r="O2079" t="s">
        <v>11</v>
      </c>
      <c r="P2079" t="s">
        <v>2</v>
      </c>
      <c r="Q2079" t="s">
        <v>408</v>
      </c>
      <c r="R2079" t="s">
        <v>439</v>
      </c>
      <c r="S2079" t="s">
        <v>451</v>
      </c>
      <c r="T2079" t="s">
        <v>11</v>
      </c>
      <c r="U2079" t="s">
        <v>408</v>
      </c>
    </row>
    <row r="2080" spans="1:21" x14ac:dyDescent="0.25">
      <c r="A2080">
        <v>20910186</v>
      </c>
      <c r="B2080" t="s">
        <v>340</v>
      </c>
      <c r="C2080" t="s">
        <v>86</v>
      </c>
      <c r="D2080" t="s">
        <v>12</v>
      </c>
      <c r="E2080" t="s">
        <v>751</v>
      </c>
      <c r="F2080" t="s">
        <v>97</v>
      </c>
      <c r="G2080" t="s">
        <v>468</v>
      </c>
      <c r="H2080" t="s">
        <v>715</v>
      </c>
      <c r="I2080" t="s">
        <v>716</v>
      </c>
      <c r="J2080" t="s">
        <v>717</v>
      </c>
      <c r="K2080" t="s">
        <v>438</v>
      </c>
      <c r="L2080" t="s">
        <v>846</v>
      </c>
      <c r="M2080" t="s">
        <v>408</v>
      </c>
      <c r="N2080" t="s">
        <v>11</v>
      </c>
      <c r="O2080" t="s">
        <v>11</v>
      </c>
      <c r="P2080" t="s">
        <v>2</v>
      </c>
      <c r="Q2080" t="s">
        <v>408</v>
      </c>
      <c r="R2080" t="s">
        <v>439</v>
      </c>
      <c r="S2080" t="s">
        <v>440</v>
      </c>
      <c r="T2080" t="s">
        <v>11</v>
      </c>
      <c r="U2080" t="s">
        <v>408</v>
      </c>
    </row>
    <row r="2081" spans="1:21" x14ac:dyDescent="0.25">
      <c r="A2081">
        <v>20910187</v>
      </c>
      <c r="B2081" t="s">
        <v>342</v>
      </c>
      <c r="C2081" t="s">
        <v>89</v>
      </c>
      <c r="D2081" t="s">
        <v>12</v>
      </c>
      <c r="E2081" t="s">
        <v>751</v>
      </c>
      <c r="F2081" t="s">
        <v>189</v>
      </c>
      <c r="G2081" t="s">
        <v>468</v>
      </c>
      <c r="H2081" t="s">
        <v>603</v>
      </c>
      <c r="I2081" t="s">
        <v>604</v>
      </c>
      <c r="J2081" t="s">
        <v>605</v>
      </c>
      <c r="K2081" t="s">
        <v>606</v>
      </c>
      <c r="L2081" t="s">
        <v>675</v>
      </c>
      <c r="M2081" t="s">
        <v>408</v>
      </c>
      <c r="N2081" t="s">
        <v>11</v>
      </c>
      <c r="O2081" t="s">
        <v>11</v>
      </c>
      <c r="P2081" t="s">
        <v>2</v>
      </c>
      <c r="Q2081" t="s">
        <v>408</v>
      </c>
      <c r="R2081" t="s">
        <v>439</v>
      </c>
      <c r="S2081" t="s">
        <v>451</v>
      </c>
      <c r="T2081" t="s">
        <v>11</v>
      </c>
      <c r="U2081" t="s">
        <v>408</v>
      </c>
    </row>
    <row r="2082" spans="1:21" x14ac:dyDescent="0.25">
      <c r="A2082">
        <v>20910188</v>
      </c>
      <c r="B2082" t="s">
        <v>342</v>
      </c>
      <c r="C2082" t="s">
        <v>33</v>
      </c>
      <c r="D2082" t="s">
        <v>12</v>
      </c>
      <c r="E2082" t="s">
        <v>751</v>
      </c>
      <c r="F2082" t="s">
        <v>189</v>
      </c>
      <c r="G2082" t="s">
        <v>468</v>
      </c>
      <c r="H2082" t="s">
        <v>816</v>
      </c>
      <c r="I2082" t="s">
        <v>817</v>
      </c>
      <c r="J2082" t="s">
        <v>818</v>
      </c>
      <c r="K2082" t="s">
        <v>764</v>
      </c>
      <c r="L2082" t="s">
        <v>819</v>
      </c>
      <c r="M2082" t="s">
        <v>408</v>
      </c>
      <c r="N2082" t="s">
        <v>11</v>
      </c>
      <c r="O2082" t="s">
        <v>11</v>
      </c>
      <c r="P2082" t="s">
        <v>2</v>
      </c>
      <c r="Q2082" t="s">
        <v>408</v>
      </c>
      <c r="R2082" t="s">
        <v>439</v>
      </c>
      <c r="S2082" t="s">
        <v>451</v>
      </c>
      <c r="T2082" t="s">
        <v>11</v>
      </c>
      <c r="U2082" t="s">
        <v>408</v>
      </c>
    </row>
    <row r="2083" spans="1:21" x14ac:dyDescent="0.25">
      <c r="A2083">
        <v>20910189</v>
      </c>
      <c r="B2083" t="s">
        <v>342</v>
      </c>
      <c r="C2083" t="s">
        <v>89</v>
      </c>
      <c r="D2083" t="s">
        <v>12</v>
      </c>
      <c r="E2083" t="s">
        <v>751</v>
      </c>
      <c r="F2083" t="s">
        <v>189</v>
      </c>
      <c r="G2083" t="s">
        <v>468</v>
      </c>
      <c r="H2083" t="s">
        <v>765</v>
      </c>
      <c r="I2083" t="s">
        <v>766</v>
      </c>
      <c r="J2083" t="s">
        <v>767</v>
      </c>
      <c r="K2083" t="s">
        <v>444</v>
      </c>
      <c r="L2083" t="s">
        <v>675</v>
      </c>
      <c r="M2083" t="s">
        <v>408</v>
      </c>
      <c r="N2083" t="s">
        <v>11</v>
      </c>
      <c r="O2083" t="s">
        <v>11</v>
      </c>
      <c r="P2083" t="s">
        <v>2</v>
      </c>
      <c r="Q2083" t="s">
        <v>408</v>
      </c>
      <c r="R2083" t="s">
        <v>439</v>
      </c>
      <c r="S2083" t="s">
        <v>451</v>
      </c>
      <c r="T2083" t="s">
        <v>11</v>
      </c>
      <c r="U2083" t="s">
        <v>408</v>
      </c>
    </row>
    <row r="2084" spans="1:21" x14ac:dyDescent="0.25">
      <c r="A2084">
        <v>20910192</v>
      </c>
      <c r="B2084" t="s">
        <v>342</v>
      </c>
      <c r="C2084" t="s">
        <v>89</v>
      </c>
      <c r="D2084" t="s">
        <v>12</v>
      </c>
      <c r="E2084" t="s">
        <v>751</v>
      </c>
      <c r="F2084" t="s">
        <v>189</v>
      </c>
      <c r="G2084" t="s">
        <v>468</v>
      </c>
      <c r="H2084" t="s">
        <v>765</v>
      </c>
      <c r="I2084" t="s">
        <v>766</v>
      </c>
      <c r="J2084" t="s">
        <v>767</v>
      </c>
      <c r="K2084" t="s">
        <v>444</v>
      </c>
      <c r="L2084" t="s">
        <v>675</v>
      </c>
      <c r="M2084" t="s">
        <v>408</v>
      </c>
      <c r="N2084" t="s">
        <v>11</v>
      </c>
      <c r="O2084" t="s">
        <v>11</v>
      </c>
      <c r="P2084" t="s">
        <v>2</v>
      </c>
      <c r="Q2084" t="s">
        <v>408</v>
      </c>
      <c r="R2084" t="s">
        <v>439</v>
      </c>
      <c r="S2084" t="s">
        <v>451</v>
      </c>
      <c r="T2084" t="s">
        <v>11</v>
      </c>
      <c r="U2084" t="s">
        <v>408</v>
      </c>
    </row>
    <row r="2085" spans="1:21" x14ac:dyDescent="0.25">
      <c r="A2085">
        <v>20910194</v>
      </c>
      <c r="B2085" t="s">
        <v>342</v>
      </c>
      <c r="C2085" t="s">
        <v>89</v>
      </c>
      <c r="D2085" t="s">
        <v>12</v>
      </c>
      <c r="E2085" t="s">
        <v>750</v>
      </c>
      <c r="F2085" t="s">
        <v>1092</v>
      </c>
      <c r="G2085" t="s">
        <v>468</v>
      </c>
      <c r="H2085" t="s">
        <v>765</v>
      </c>
      <c r="I2085" t="s">
        <v>766</v>
      </c>
      <c r="J2085" t="s">
        <v>767</v>
      </c>
      <c r="K2085" t="s">
        <v>444</v>
      </c>
      <c r="L2085" t="s">
        <v>675</v>
      </c>
      <c r="M2085" t="s">
        <v>408</v>
      </c>
      <c r="N2085" t="s">
        <v>11</v>
      </c>
      <c r="O2085" t="s">
        <v>11</v>
      </c>
      <c r="P2085" t="s">
        <v>2</v>
      </c>
      <c r="Q2085" t="s">
        <v>408</v>
      </c>
      <c r="R2085" t="s">
        <v>439</v>
      </c>
      <c r="S2085" t="s">
        <v>451</v>
      </c>
      <c r="T2085" t="s">
        <v>11</v>
      </c>
      <c r="U2085" t="s">
        <v>408</v>
      </c>
    </row>
    <row r="2086" spans="1:21" x14ac:dyDescent="0.25">
      <c r="A2086">
        <v>20910195</v>
      </c>
      <c r="B2086" t="s">
        <v>342</v>
      </c>
      <c r="C2086" t="s">
        <v>33</v>
      </c>
      <c r="D2086" t="s">
        <v>12</v>
      </c>
      <c r="E2086" t="s">
        <v>751</v>
      </c>
      <c r="F2086" t="s">
        <v>95</v>
      </c>
      <c r="G2086" t="s">
        <v>468</v>
      </c>
      <c r="H2086" t="s">
        <v>603</v>
      </c>
      <c r="I2086" t="s">
        <v>604</v>
      </c>
      <c r="J2086" t="s">
        <v>605</v>
      </c>
      <c r="K2086" t="s">
        <v>606</v>
      </c>
      <c r="L2086" t="s">
        <v>840</v>
      </c>
      <c r="M2086" t="s">
        <v>11</v>
      </c>
      <c r="N2086" t="s">
        <v>11</v>
      </c>
      <c r="O2086" t="s">
        <v>11</v>
      </c>
      <c r="P2086" t="s">
        <v>2</v>
      </c>
      <c r="Q2086" t="s">
        <v>408</v>
      </c>
      <c r="R2086" t="s">
        <v>439</v>
      </c>
      <c r="S2086" t="s">
        <v>451</v>
      </c>
      <c r="T2086" t="s">
        <v>408</v>
      </c>
      <c r="U2086" t="s">
        <v>408</v>
      </c>
    </row>
    <row r="2087" spans="1:21" x14ac:dyDescent="0.25">
      <c r="A2087">
        <v>20910196</v>
      </c>
      <c r="B2087" t="s">
        <v>342</v>
      </c>
      <c r="C2087" t="s">
        <v>89</v>
      </c>
      <c r="D2087" t="s">
        <v>12</v>
      </c>
      <c r="E2087" t="s">
        <v>751</v>
      </c>
      <c r="F2087" t="s">
        <v>1091</v>
      </c>
      <c r="G2087" t="s">
        <v>468</v>
      </c>
      <c r="H2087" t="s">
        <v>761</v>
      </c>
      <c r="I2087" t="s">
        <v>762</v>
      </c>
      <c r="J2087" t="s">
        <v>763</v>
      </c>
      <c r="K2087" t="s">
        <v>764</v>
      </c>
      <c r="L2087" t="s">
        <v>837</v>
      </c>
      <c r="M2087" t="s">
        <v>408</v>
      </c>
      <c r="N2087" t="s">
        <v>11</v>
      </c>
      <c r="O2087" t="s">
        <v>11</v>
      </c>
      <c r="P2087" t="s">
        <v>2</v>
      </c>
      <c r="Q2087" t="s">
        <v>408</v>
      </c>
      <c r="R2087" t="s">
        <v>439</v>
      </c>
      <c r="S2087" t="s">
        <v>440</v>
      </c>
      <c r="T2087" t="s">
        <v>11</v>
      </c>
      <c r="U2087" t="s">
        <v>408</v>
      </c>
    </row>
    <row r="2088" spans="1:21" x14ac:dyDescent="0.25">
      <c r="A2088">
        <v>20910197</v>
      </c>
      <c r="B2088" t="s">
        <v>342</v>
      </c>
      <c r="C2088" t="s">
        <v>33</v>
      </c>
      <c r="D2088" t="s">
        <v>12</v>
      </c>
      <c r="E2088" t="s">
        <v>750</v>
      </c>
      <c r="F2088" t="s">
        <v>98</v>
      </c>
      <c r="G2088" t="s">
        <v>468</v>
      </c>
      <c r="H2088" t="s">
        <v>603</v>
      </c>
      <c r="I2088" t="s">
        <v>604</v>
      </c>
      <c r="J2088" t="s">
        <v>605</v>
      </c>
      <c r="K2088" t="s">
        <v>606</v>
      </c>
      <c r="L2088" t="s">
        <v>840</v>
      </c>
      <c r="M2088" t="s">
        <v>11</v>
      </c>
      <c r="N2088" t="s">
        <v>11</v>
      </c>
      <c r="O2088" t="s">
        <v>11</v>
      </c>
      <c r="P2088" t="s">
        <v>2</v>
      </c>
      <c r="Q2088" t="s">
        <v>408</v>
      </c>
      <c r="R2088" t="s">
        <v>439</v>
      </c>
      <c r="S2088" t="s">
        <v>451</v>
      </c>
      <c r="T2088" t="s">
        <v>408</v>
      </c>
      <c r="U2088" t="s">
        <v>408</v>
      </c>
    </row>
    <row r="2089" spans="1:21" x14ac:dyDescent="0.25">
      <c r="A2089">
        <v>20910199</v>
      </c>
      <c r="B2089" t="s">
        <v>340</v>
      </c>
      <c r="C2089" t="s">
        <v>86</v>
      </c>
      <c r="D2089" t="s">
        <v>79</v>
      </c>
      <c r="E2089" t="s">
        <v>751</v>
      </c>
      <c r="F2089" t="s">
        <v>357</v>
      </c>
      <c r="G2089" t="s">
        <v>468</v>
      </c>
      <c r="H2089" t="s">
        <v>715</v>
      </c>
      <c r="I2089" t="s">
        <v>716</v>
      </c>
      <c r="J2089" t="s">
        <v>717</v>
      </c>
      <c r="K2089" t="s">
        <v>438</v>
      </c>
      <c r="L2089" t="s">
        <v>847</v>
      </c>
      <c r="M2089" t="s">
        <v>408</v>
      </c>
      <c r="N2089" t="s">
        <v>11</v>
      </c>
      <c r="O2089" t="s">
        <v>11</v>
      </c>
      <c r="P2089" t="s">
        <v>2</v>
      </c>
      <c r="Q2089" t="s">
        <v>408</v>
      </c>
      <c r="R2089" t="s">
        <v>439</v>
      </c>
      <c r="S2089" t="s">
        <v>440</v>
      </c>
      <c r="T2089" t="s">
        <v>11</v>
      </c>
      <c r="U2089" t="s">
        <v>408</v>
      </c>
    </row>
    <row r="2090" spans="1:21" x14ac:dyDescent="0.25">
      <c r="A2090">
        <v>20910200</v>
      </c>
      <c r="B2090" t="s">
        <v>342</v>
      </c>
      <c r="C2090" t="s">
        <v>33</v>
      </c>
      <c r="D2090" t="s">
        <v>12</v>
      </c>
      <c r="E2090" t="s">
        <v>751</v>
      </c>
      <c r="F2090" t="s">
        <v>357</v>
      </c>
      <c r="G2090" t="s">
        <v>468</v>
      </c>
      <c r="H2090" t="s">
        <v>816</v>
      </c>
      <c r="I2090" t="s">
        <v>817</v>
      </c>
      <c r="J2090" t="s">
        <v>818</v>
      </c>
      <c r="K2090" t="s">
        <v>764</v>
      </c>
      <c r="L2090" t="s">
        <v>819</v>
      </c>
      <c r="M2090" t="s">
        <v>408</v>
      </c>
      <c r="N2090" t="s">
        <v>11</v>
      </c>
      <c r="O2090" t="s">
        <v>11</v>
      </c>
      <c r="P2090" t="s">
        <v>2</v>
      </c>
      <c r="Q2090" t="s">
        <v>408</v>
      </c>
      <c r="R2090" t="s">
        <v>439</v>
      </c>
      <c r="S2090" t="s">
        <v>451</v>
      </c>
      <c r="T2090" t="s">
        <v>11</v>
      </c>
      <c r="U2090" t="s">
        <v>408</v>
      </c>
    </row>
    <row r="2091" spans="1:21" x14ac:dyDescent="0.25">
      <c r="A2091">
        <v>20910202</v>
      </c>
      <c r="B2091" t="s">
        <v>342</v>
      </c>
      <c r="C2091" t="s">
        <v>89</v>
      </c>
      <c r="D2091" t="s">
        <v>18</v>
      </c>
      <c r="E2091" t="s">
        <v>751</v>
      </c>
      <c r="F2091" t="s">
        <v>357</v>
      </c>
      <c r="G2091" t="s">
        <v>468</v>
      </c>
      <c r="H2091" t="s">
        <v>765</v>
      </c>
      <c r="I2091" t="s">
        <v>766</v>
      </c>
      <c r="J2091" t="s">
        <v>767</v>
      </c>
      <c r="K2091" t="s">
        <v>444</v>
      </c>
      <c r="L2091" t="s">
        <v>675</v>
      </c>
      <c r="M2091" t="s">
        <v>408</v>
      </c>
      <c r="N2091" t="s">
        <v>11</v>
      </c>
      <c r="O2091" t="s">
        <v>11</v>
      </c>
      <c r="P2091" t="s">
        <v>2</v>
      </c>
      <c r="Q2091" t="s">
        <v>408</v>
      </c>
      <c r="R2091" t="s">
        <v>439</v>
      </c>
      <c r="S2091" t="s">
        <v>451</v>
      </c>
      <c r="T2091" t="s">
        <v>11</v>
      </c>
      <c r="U2091" t="s">
        <v>408</v>
      </c>
    </row>
    <row r="2092" spans="1:21" x14ac:dyDescent="0.25">
      <c r="A2092">
        <v>20910203</v>
      </c>
      <c r="B2092" t="s">
        <v>342</v>
      </c>
      <c r="C2092" t="s">
        <v>89</v>
      </c>
      <c r="D2092" t="s">
        <v>79</v>
      </c>
      <c r="E2092" t="s">
        <v>751</v>
      </c>
      <c r="F2092" t="s">
        <v>357</v>
      </c>
      <c r="G2092" t="s">
        <v>468</v>
      </c>
      <c r="H2092" t="s">
        <v>761</v>
      </c>
      <c r="I2092" t="s">
        <v>762</v>
      </c>
      <c r="J2092" t="s">
        <v>763</v>
      </c>
      <c r="K2092" t="s">
        <v>764</v>
      </c>
      <c r="L2092" t="s">
        <v>837</v>
      </c>
      <c r="M2092" t="s">
        <v>408</v>
      </c>
      <c r="N2092" t="s">
        <v>11</v>
      </c>
      <c r="O2092" t="s">
        <v>11</v>
      </c>
      <c r="P2092" t="s">
        <v>2</v>
      </c>
      <c r="Q2092" t="s">
        <v>408</v>
      </c>
      <c r="R2092" t="s">
        <v>439</v>
      </c>
      <c r="S2092" t="s">
        <v>440</v>
      </c>
      <c r="T2092" t="s">
        <v>11</v>
      </c>
      <c r="U2092" t="s">
        <v>408</v>
      </c>
    </row>
    <row r="2093" spans="1:21" x14ac:dyDescent="0.25">
      <c r="A2093">
        <v>20910204</v>
      </c>
      <c r="B2093" t="s">
        <v>342</v>
      </c>
      <c r="C2093" t="s">
        <v>89</v>
      </c>
      <c r="D2093" t="s">
        <v>79</v>
      </c>
      <c r="E2093" t="s">
        <v>750</v>
      </c>
      <c r="F2093" t="s">
        <v>316</v>
      </c>
      <c r="G2093" t="s">
        <v>468</v>
      </c>
      <c r="H2093" t="s">
        <v>603</v>
      </c>
      <c r="I2093" t="s">
        <v>604</v>
      </c>
      <c r="J2093" t="s">
        <v>605</v>
      </c>
      <c r="K2093" t="s">
        <v>606</v>
      </c>
      <c r="L2093" t="s">
        <v>840</v>
      </c>
      <c r="M2093" t="s">
        <v>11</v>
      </c>
      <c r="N2093" t="s">
        <v>11</v>
      </c>
      <c r="O2093" t="s">
        <v>11</v>
      </c>
      <c r="P2093" t="s">
        <v>2</v>
      </c>
      <c r="Q2093" t="s">
        <v>408</v>
      </c>
      <c r="R2093" t="s">
        <v>439</v>
      </c>
      <c r="S2093" t="s">
        <v>451</v>
      </c>
      <c r="T2093" t="s">
        <v>408</v>
      </c>
      <c r="U2093" t="s">
        <v>408</v>
      </c>
    </row>
    <row r="2094" spans="1:21" x14ac:dyDescent="0.25">
      <c r="A2094">
        <v>20910207</v>
      </c>
      <c r="B2094" t="s">
        <v>340</v>
      </c>
      <c r="C2094" t="s">
        <v>86</v>
      </c>
      <c r="D2094" t="s">
        <v>24</v>
      </c>
      <c r="E2094" t="s">
        <v>751</v>
      </c>
      <c r="F2094" t="s">
        <v>189</v>
      </c>
      <c r="G2094" t="s">
        <v>468</v>
      </c>
      <c r="H2094" t="s">
        <v>617</v>
      </c>
      <c r="I2094" t="s">
        <v>618</v>
      </c>
      <c r="J2094" t="s">
        <v>619</v>
      </c>
      <c r="K2094" t="s">
        <v>606</v>
      </c>
      <c r="L2094" t="s">
        <v>375</v>
      </c>
      <c r="M2094" t="s">
        <v>408</v>
      </c>
      <c r="N2094" t="s">
        <v>11</v>
      </c>
      <c r="O2094" t="s">
        <v>11</v>
      </c>
      <c r="P2094" t="s">
        <v>2</v>
      </c>
      <c r="Q2094" t="s">
        <v>408</v>
      </c>
      <c r="R2094" t="s">
        <v>439</v>
      </c>
      <c r="S2094" t="s">
        <v>451</v>
      </c>
      <c r="T2094" t="s">
        <v>11</v>
      </c>
      <c r="U2094" t="s">
        <v>408</v>
      </c>
    </row>
    <row r="2095" spans="1:21" x14ac:dyDescent="0.25">
      <c r="A2095">
        <v>20910209</v>
      </c>
      <c r="B2095" t="s">
        <v>342</v>
      </c>
      <c r="C2095" t="s">
        <v>33</v>
      </c>
      <c r="D2095" t="s">
        <v>18</v>
      </c>
      <c r="E2095" t="s">
        <v>750</v>
      </c>
      <c r="F2095" t="s">
        <v>191</v>
      </c>
      <c r="G2095" t="s">
        <v>468</v>
      </c>
      <c r="H2095" t="s">
        <v>603</v>
      </c>
      <c r="I2095" t="s">
        <v>604</v>
      </c>
      <c r="J2095" t="s">
        <v>605</v>
      </c>
      <c r="K2095" t="s">
        <v>606</v>
      </c>
      <c r="L2095" t="s">
        <v>840</v>
      </c>
      <c r="M2095" t="s">
        <v>11</v>
      </c>
      <c r="N2095" t="s">
        <v>11</v>
      </c>
      <c r="O2095" t="s">
        <v>11</v>
      </c>
      <c r="P2095" t="s">
        <v>2</v>
      </c>
      <c r="Q2095" t="s">
        <v>408</v>
      </c>
      <c r="R2095" t="s">
        <v>439</v>
      </c>
      <c r="S2095" t="s">
        <v>451</v>
      </c>
      <c r="T2095" t="s">
        <v>408</v>
      </c>
      <c r="U2095" t="s">
        <v>408</v>
      </c>
    </row>
    <row r="2096" spans="1:21" x14ac:dyDescent="0.25">
      <c r="A2096">
        <v>20910211</v>
      </c>
      <c r="B2096" t="s">
        <v>340</v>
      </c>
      <c r="C2096" t="s">
        <v>26</v>
      </c>
      <c r="D2096" t="s">
        <v>12</v>
      </c>
      <c r="E2096" t="s">
        <v>750</v>
      </c>
      <c r="F2096" t="s">
        <v>98</v>
      </c>
      <c r="G2096" t="s">
        <v>369</v>
      </c>
      <c r="H2096" t="s">
        <v>675</v>
      </c>
      <c r="I2096" t="s">
        <v>826</v>
      </c>
      <c r="J2096" t="s">
        <v>827</v>
      </c>
      <c r="K2096" t="s">
        <v>444</v>
      </c>
      <c r="L2096" t="s">
        <v>0</v>
      </c>
      <c r="M2096" t="s">
        <v>408</v>
      </c>
      <c r="N2096" t="s">
        <v>11</v>
      </c>
      <c r="O2096" t="s">
        <v>11</v>
      </c>
      <c r="P2096" t="s">
        <v>2</v>
      </c>
      <c r="Q2096" t="s">
        <v>408</v>
      </c>
      <c r="R2096" t="s">
        <v>439</v>
      </c>
      <c r="S2096" t="s">
        <v>451</v>
      </c>
      <c r="T2096" t="s">
        <v>11</v>
      </c>
      <c r="U2096" t="s">
        <v>408</v>
      </c>
    </row>
    <row r="2097" spans="1:21" x14ac:dyDescent="0.25">
      <c r="A2097">
        <v>20910212</v>
      </c>
      <c r="B2097" t="s">
        <v>342</v>
      </c>
      <c r="C2097" t="s">
        <v>89</v>
      </c>
      <c r="D2097" t="s">
        <v>109</v>
      </c>
      <c r="E2097" t="s">
        <v>750</v>
      </c>
      <c r="F2097" t="s">
        <v>98</v>
      </c>
      <c r="G2097" t="s">
        <v>468</v>
      </c>
      <c r="H2097" t="s">
        <v>761</v>
      </c>
      <c r="I2097" t="s">
        <v>762</v>
      </c>
      <c r="J2097" t="s">
        <v>763</v>
      </c>
      <c r="K2097" t="s">
        <v>764</v>
      </c>
      <c r="L2097" t="s">
        <v>837</v>
      </c>
      <c r="M2097" t="s">
        <v>408</v>
      </c>
      <c r="N2097" t="s">
        <v>11</v>
      </c>
      <c r="O2097" t="s">
        <v>11</v>
      </c>
      <c r="P2097" t="s">
        <v>2</v>
      </c>
      <c r="Q2097" t="s">
        <v>408</v>
      </c>
      <c r="R2097" t="s">
        <v>439</v>
      </c>
      <c r="S2097" t="s">
        <v>440</v>
      </c>
      <c r="T2097" t="s">
        <v>11</v>
      </c>
      <c r="U2097" t="s">
        <v>408</v>
      </c>
    </row>
    <row r="2098" spans="1:21" x14ac:dyDescent="0.25">
      <c r="A2098">
        <v>20910213</v>
      </c>
      <c r="B2098" t="s">
        <v>340</v>
      </c>
      <c r="C2098" t="s">
        <v>26</v>
      </c>
      <c r="D2098" t="s">
        <v>12</v>
      </c>
      <c r="E2098" t="s">
        <v>750</v>
      </c>
      <c r="F2098" t="s">
        <v>98</v>
      </c>
      <c r="G2098" t="s">
        <v>468</v>
      </c>
      <c r="H2098" t="s">
        <v>816</v>
      </c>
      <c r="I2098" t="s">
        <v>817</v>
      </c>
      <c r="J2098" t="s">
        <v>818</v>
      </c>
      <c r="K2098" t="s">
        <v>764</v>
      </c>
      <c r="L2098" t="s">
        <v>1090</v>
      </c>
      <c r="M2098" t="s">
        <v>408</v>
      </c>
      <c r="N2098" t="s">
        <v>11</v>
      </c>
      <c r="O2098" t="s">
        <v>11</v>
      </c>
      <c r="P2098" t="s">
        <v>2</v>
      </c>
      <c r="Q2098" t="s">
        <v>408</v>
      </c>
      <c r="R2098" t="s">
        <v>439</v>
      </c>
      <c r="S2098" t="s">
        <v>451</v>
      </c>
      <c r="T2098" t="s">
        <v>11</v>
      </c>
      <c r="U2098" t="s">
        <v>408</v>
      </c>
    </row>
    <row r="2099" spans="1:21" x14ac:dyDescent="0.25">
      <c r="A2099">
        <v>20910214</v>
      </c>
      <c r="B2099" t="s">
        <v>340</v>
      </c>
      <c r="C2099" t="s">
        <v>26</v>
      </c>
      <c r="D2099" t="s">
        <v>79</v>
      </c>
      <c r="E2099" t="s">
        <v>750</v>
      </c>
      <c r="F2099" t="s">
        <v>191</v>
      </c>
      <c r="G2099" t="s">
        <v>468</v>
      </c>
      <c r="H2099" t="s">
        <v>617</v>
      </c>
      <c r="I2099" t="s">
        <v>618</v>
      </c>
      <c r="J2099" t="s">
        <v>619</v>
      </c>
      <c r="K2099" t="s">
        <v>606</v>
      </c>
      <c r="L2099" t="s">
        <v>375</v>
      </c>
      <c r="M2099" t="s">
        <v>408</v>
      </c>
      <c r="N2099" t="s">
        <v>11</v>
      </c>
      <c r="O2099" t="s">
        <v>11</v>
      </c>
      <c r="P2099" t="s">
        <v>2</v>
      </c>
      <c r="Q2099" t="s">
        <v>408</v>
      </c>
      <c r="R2099" t="s">
        <v>439</v>
      </c>
      <c r="S2099" t="s">
        <v>451</v>
      </c>
      <c r="T2099" t="s">
        <v>11</v>
      </c>
      <c r="U2099" t="s">
        <v>408</v>
      </c>
    </row>
    <row r="2100" spans="1:21" x14ac:dyDescent="0.25">
      <c r="A2100">
        <v>20910216</v>
      </c>
      <c r="B2100" t="s">
        <v>340</v>
      </c>
      <c r="C2100" t="s">
        <v>26</v>
      </c>
      <c r="D2100" t="s">
        <v>12</v>
      </c>
      <c r="E2100" t="s">
        <v>625</v>
      </c>
      <c r="F2100" t="s">
        <v>186</v>
      </c>
      <c r="G2100" t="s">
        <v>468</v>
      </c>
      <c r="H2100" t="s">
        <v>447</v>
      </c>
      <c r="I2100" t="s">
        <v>448</v>
      </c>
      <c r="J2100" t="s">
        <v>449</v>
      </c>
      <c r="K2100" t="s">
        <v>450</v>
      </c>
      <c r="L2100" t="s">
        <v>370</v>
      </c>
      <c r="M2100" t="s">
        <v>408</v>
      </c>
      <c r="N2100" t="s">
        <v>11</v>
      </c>
      <c r="O2100" t="s">
        <v>408</v>
      </c>
      <c r="P2100" t="s">
        <v>2</v>
      </c>
      <c r="Q2100" t="s">
        <v>408</v>
      </c>
      <c r="R2100" t="s">
        <v>439</v>
      </c>
      <c r="S2100" t="s">
        <v>451</v>
      </c>
      <c r="T2100" t="s">
        <v>11</v>
      </c>
      <c r="U2100" t="s">
        <v>408</v>
      </c>
    </row>
    <row r="2101" spans="1:21" x14ac:dyDescent="0.25">
      <c r="A2101">
        <v>20910218</v>
      </c>
      <c r="B2101" t="s">
        <v>342</v>
      </c>
      <c r="C2101" t="s">
        <v>33</v>
      </c>
      <c r="D2101" t="s">
        <v>79</v>
      </c>
      <c r="E2101" t="s">
        <v>750</v>
      </c>
      <c r="F2101" t="s">
        <v>191</v>
      </c>
      <c r="G2101" t="s">
        <v>369</v>
      </c>
      <c r="H2101" t="s">
        <v>837</v>
      </c>
      <c r="I2101" t="s">
        <v>1089</v>
      </c>
      <c r="J2101" t="s">
        <v>1088</v>
      </c>
      <c r="K2101" t="s">
        <v>856</v>
      </c>
      <c r="L2101" t="s">
        <v>4</v>
      </c>
      <c r="M2101" t="s">
        <v>408</v>
      </c>
      <c r="N2101" t="s">
        <v>11</v>
      </c>
      <c r="O2101" t="s">
        <v>11</v>
      </c>
      <c r="P2101" t="s">
        <v>2</v>
      </c>
      <c r="Q2101" t="s">
        <v>408</v>
      </c>
      <c r="R2101" t="s">
        <v>439</v>
      </c>
      <c r="S2101" t="s">
        <v>440</v>
      </c>
      <c r="T2101" t="s">
        <v>11</v>
      </c>
      <c r="U2101" t="s">
        <v>408</v>
      </c>
    </row>
    <row r="2102" spans="1:21" x14ac:dyDescent="0.25">
      <c r="A2102">
        <v>20910220</v>
      </c>
      <c r="B2102" t="s">
        <v>340</v>
      </c>
      <c r="C2102" t="s">
        <v>26</v>
      </c>
      <c r="D2102" t="s">
        <v>12</v>
      </c>
      <c r="E2102" t="s">
        <v>750</v>
      </c>
      <c r="F2102" t="s">
        <v>191</v>
      </c>
      <c r="G2102" t="s">
        <v>468</v>
      </c>
      <c r="H2102" t="s">
        <v>8</v>
      </c>
      <c r="I2102" t="s">
        <v>436</v>
      </c>
      <c r="J2102" t="s">
        <v>458</v>
      </c>
      <c r="K2102" t="s">
        <v>438</v>
      </c>
      <c r="L2102" t="s">
        <v>1</v>
      </c>
      <c r="M2102" t="s">
        <v>408</v>
      </c>
      <c r="N2102" t="s">
        <v>11</v>
      </c>
      <c r="O2102" t="s">
        <v>11</v>
      </c>
      <c r="P2102" t="s">
        <v>2</v>
      </c>
      <c r="Q2102" t="s">
        <v>408</v>
      </c>
      <c r="R2102" t="s">
        <v>439</v>
      </c>
      <c r="S2102" t="s">
        <v>440</v>
      </c>
      <c r="T2102" t="s">
        <v>11</v>
      </c>
      <c r="U2102" t="s">
        <v>408</v>
      </c>
    </row>
    <row r="2103" spans="1:21" x14ac:dyDescent="0.25">
      <c r="A2103">
        <v>20910221</v>
      </c>
      <c r="B2103" t="s">
        <v>342</v>
      </c>
      <c r="C2103" t="s">
        <v>89</v>
      </c>
      <c r="D2103" t="s">
        <v>12</v>
      </c>
      <c r="E2103" t="s">
        <v>750</v>
      </c>
      <c r="F2103" t="s">
        <v>191</v>
      </c>
      <c r="G2103" t="s">
        <v>468</v>
      </c>
      <c r="H2103" t="s">
        <v>603</v>
      </c>
      <c r="I2103" t="s">
        <v>604</v>
      </c>
      <c r="J2103" t="s">
        <v>605</v>
      </c>
      <c r="K2103" t="s">
        <v>606</v>
      </c>
      <c r="L2103" t="s">
        <v>837</v>
      </c>
      <c r="M2103" t="s">
        <v>408</v>
      </c>
      <c r="N2103" t="s">
        <v>11</v>
      </c>
      <c r="O2103" t="s">
        <v>11</v>
      </c>
      <c r="P2103" t="s">
        <v>2</v>
      </c>
      <c r="Q2103" t="s">
        <v>408</v>
      </c>
      <c r="R2103" t="s">
        <v>439</v>
      </c>
      <c r="S2103" t="s">
        <v>451</v>
      </c>
      <c r="T2103" t="s">
        <v>11</v>
      </c>
      <c r="U2103" t="s">
        <v>408</v>
      </c>
    </row>
    <row r="2104" spans="1:21" x14ac:dyDescent="0.25">
      <c r="A2104">
        <v>20910222</v>
      </c>
      <c r="B2104" t="s">
        <v>342</v>
      </c>
      <c r="C2104" t="s">
        <v>89</v>
      </c>
      <c r="D2104" t="s">
        <v>18</v>
      </c>
      <c r="E2104" t="s">
        <v>750</v>
      </c>
      <c r="F2104" t="s">
        <v>191</v>
      </c>
      <c r="G2104" t="s">
        <v>468</v>
      </c>
      <c r="H2104" t="s">
        <v>603</v>
      </c>
      <c r="I2104" t="s">
        <v>604</v>
      </c>
      <c r="J2104" t="s">
        <v>605</v>
      </c>
      <c r="K2104" t="s">
        <v>606</v>
      </c>
      <c r="L2104" t="s">
        <v>837</v>
      </c>
      <c r="M2104" t="s">
        <v>408</v>
      </c>
      <c r="N2104" t="s">
        <v>11</v>
      </c>
      <c r="O2104" t="s">
        <v>11</v>
      </c>
      <c r="P2104" t="s">
        <v>2</v>
      </c>
      <c r="Q2104" t="s">
        <v>408</v>
      </c>
      <c r="R2104" t="s">
        <v>439</v>
      </c>
      <c r="S2104" t="s">
        <v>451</v>
      </c>
      <c r="T2104" t="s">
        <v>11</v>
      </c>
      <c r="U2104" t="s">
        <v>408</v>
      </c>
    </row>
    <row r="2105" spans="1:21" x14ac:dyDescent="0.25">
      <c r="A2105">
        <v>20910225</v>
      </c>
      <c r="B2105" t="s">
        <v>342</v>
      </c>
      <c r="C2105" t="s">
        <v>89</v>
      </c>
      <c r="D2105" t="s">
        <v>12</v>
      </c>
      <c r="E2105" t="s">
        <v>750</v>
      </c>
      <c r="F2105" t="s">
        <v>191</v>
      </c>
      <c r="G2105" t="s">
        <v>468</v>
      </c>
      <c r="H2105" t="s">
        <v>761</v>
      </c>
      <c r="I2105" t="s">
        <v>762</v>
      </c>
      <c r="J2105" t="s">
        <v>763</v>
      </c>
      <c r="K2105" t="s">
        <v>764</v>
      </c>
      <c r="L2105" t="s">
        <v>1065</v>
      </c>
      <c r="M2105" t="s">
        <v>408</v>
      </c>
      <c r="N2105" t="s">
        <v>11</v>
      </c>
      <c r="O2105" t="s">
        <v>408</v>
      </c>
      <c r="P2105" t="s">
        <v>2</v>
      </c>
      <c r="Q2105" t="s">
        <v>408</v>
      </c>
      <c r="R2105" t="s">
        <v>439</v>
      </c>
      <c r="S2105" t="s">
        <v>440</v>
      </c>
      <c r="T2105" t="s">
        <v>11</v>
      </c>
      <c r="U2105" t="s">
        <v>408</v>
      </c>
    </row>
    <row r="2106" spans="1:21" x14ac:dyDescent="0.25">
      <c r="A2106">
        <v>20910229</v>
      </c>
      <c r="B2106" t="s">
        <v>342</v>
      </c>
      <c r="C2106" t="s">
        <v>89</v>
      </c>
      <c r="D2106" t="s">
        <v>12</v>
      </c>
      <c r="E2106" t="s">
        <v>751</v>
      </c>
      <c r="F2106" t="s">
        <v>97</v>
      </c>
      <c r="G2106" t="s">
        <v>468</v>
      </c>
      <c r="H2106" t="s">
        <v>761</v>
      </c>
      <c r="I2106" t="s">
        <v>762</v>
      </c>
      <c r="J2106" t="s">
        <v>763</v>
      </c>
      <c r="K2106" t="s">
        <v>764</v>
      </c>
      <c r="L2106" t="s">
        <v>837</v>
      </c>
      <c r="M2106" t="s">
        <v>408</v>
      </c>
      <c r="N2106" t="s">
        <v>11</v>
      </c>
      <c r="O2106" t="s">
        <v>11</v>
      </c>
      <c r="P2106" t="s">
        <v>2</v>
      </c>
      <c r="Q2106" t="s">
        <v>408</v>
      </c>
      <c r="R2106" t="s">
        <v>439</v>
      </c>
      <c r="S2106" t="s">
        <v>440</v>
      </c>
      <c r="T2106" t="s">
        <v>11</v>
      </c>
      <c r="U2106" t="s">
        <v>408</v>
      </c>
    </row>
    <row r="2107" spans="1:21" x14ac:dyDescent="0.25">
      <c r="A2107">
        <v>20910230</v>
      </c>
      <c r="B2107" t="s">
        <v>340</v>
      </c>
      <c r="C2107" t="s">
        <v>26</v>
      </c>
      <c r="D2107" t="s">
        <v>12</v>
      </c>
      <c r="E2107" t="s">
        <v>750</v>
      </c>
      <c r="F2107" t="s">
        <v>98</v>
      </c>
      <c r="G2107" t="s">
        <v>468</v>
      </c>
      <c r="H2107" t="s">
        <v>447</v>
      </c>
      <c r="I2107" t="s">
        <v>448</v>
      </c>
      <c r="J2107" t="s">
        <v>449</v>
      </c>
      <c r="K2107" t="s">
        <v>450</v>
      </c>
      <c r="L2107" t="s">
        <v>370</v>
      </c>
      <c r="M2107" t="s">
        <v>408</v>
      </c>
      <c r="N2107" t="s">
        <v>11</v>
      </c>
      <c r="O2107" t="s">
        <v>408</v>
      </c>
      <c r="P2107" t="s">
        <v>2</v>
      </c>
      <c r="Q2107" t="s">
        <v>408</v>
      </c>
      <c r="R2107" t="s">
        <v>439</v>
      </c>
      <c r="S2107" t="s">
        <v>451</v>
      </c>
      <c r="T2107" t="s">
        <v>11</v>
      </c>
      <c r="U2107" t="s">
        <v>408</v>
      </c>
    </row>
    <row r="2108" spans="1:21" x14ac:dyDescent="0.25">
      <c r="A2108">
        <v>20910231</v>
      </c>
      <c r="B2108" t="s">
        <v>340</v>
      </c>
      <c r="C2108" t="s">
        <v>26</v>
      </c>
      <c r="D2108" t="s">
        <v>18</v>
      </c>
      <c r="E2108" t="s">
        <v>750</v>
      </c>
      <c r="F2108" t="s">
        <v>98</v>
      </c>
      <c r="G2108" t="s">
        <v>468</v>
      </c>
      <c r="H2108" t="s">
        <v>617</v>
      </c>
      <c r="I2108" t="s">
        <v>618</v>
      </c>
      <c r="J2108" t="s">
        <v>619</v>
      </c>
      <c r="K2108" t="s">
        <v>606</v>
      </c>
      <c r="L2108" t="s">
        <v>375</v>
      </c>
      <c r="M2108" t="s">
        <v>408</v>
      </c>
      <c r="N2108" t="s">
        <v>11</v>
      </c>
      <c r="O2108" t="s">
        <v>11</v>
      </c>
      <c r="P2108" t="s">
        <v>2</v>
      </c>
      <c r="Q2108" t="s">
        <v>408</v>
      </c>
      <c r="R2108" t="s">
        <v>439</v>
      </c>
      <c r="S2108" t="s">
        <v>451</v>
      </c>
      <c r="T2108" t="s">
        <v>11</v>
      </c>
      <c r="U2108" t="s">
        <v>408</v>
      </c>
    </row>
    <row r="2109" spans="1:21" x14ac:dyDescent="0.25">
      <c r="A2109">
        <v>20910232</v>
      </c>
      <c r="B2109" t="s">
        <v>342</v>
      </c>
      <c r="C2109" t="s">
        <v>33</v>
      </c>
      <c r="D2109" t="s">
        <v>12</v>
      </c>
      <c r="E2109" t="s">
        <v>750</v>
      </c>
      <c r="F2109" t="s">
        <v>98</v>
      </c>
      <c r="G2109" t="s">
        <v>468</v>
      </c>
      <c r="H2109" t="s">
        <v>838</v>
      </c>
      <c r="I2109" t="s">
        <v>839</v>
      </c>
      <c r="J2109" t="s">
        <v>839</v>
      </c>
      <c r="K2109" t="s">
        <v>450</v>
      </c>
      <c r="L2109" t="s">
        <v>840</v>
      </c>
      <c r="M2109" t="s">
        <v>11</v>
      </c>
      <c r="N2109" t="s">
        <v>11</v>
      </c>
      <c r="O2109" t="s">
        <v>11</v>
      </c>
      <c r="P2109" t="s">
        <v>2</v>
      </c>
      <c r="Q2109" t="s">
        <v>408</v>
      </c>
      <c r="R2109" t="s">
        <v>439</v>
      </c>
      <c r="S2109" t="s">
        <v>451</v>
      </c>
      <c r="T2109" t="s">
        <v>408</v>
      </c>
      <c r="U2109" t="s">
        <v>408</v>
      </c>
    </row>
    <row r="2110" spans="1:21" x14ac:dyDescent="0.25">
      <c r="A2110">
        <v>20910233</v>
      </c>
      <c r="B2110" t="s">
        <v>340</v>
      </c>
      <c r="C2110" t="s">
        <v>86</v>
      </c>
      <c r="D2110" t="s">
        <v>12</v>
      </c>
      <c r="E2110" t="s">
        <v>751</v>
      </c>
      <c r="F2110" t="s">
        <v>96</v>
      </c>
      <c r="G2110" t="s">
        <v>468</v>
      </c>
      <c r="H2110" t="s">
        <v>617</v>
      </c>
      <c r="I2110" t="s">
        <v>618</v>
      </c>
      <c r="J2110" t="s">
        <v>619</v>
      </c>
      <c r="K2110" t="s">
        <v>606</v>
      </c>
      <c r="L2110" t="s">
        <v>375</v>
      </c>
      <c r="M2110" t="s">
        <v>408</v>
      </c>
      <c r="N2110" t="s">
        <v>11</v>
      </c>
      <c r="O2110" t="s">
        <v>11</v>
      </c>
      <c r="P2110" t="s">
        <v>2</v>
      </c>
      <c r="Q2110" t="s">
        <v>408</v>
      </c>
      <c r="R2110" t="s">
        <v>439</v>
      </c>
      <c r="S2110" t="s">
        <v>451</v>
      </c>
      <c r="T2110" t="s">
        <v>11</v>
      </c>
      <c r="U2110" t="s">
        <v>408</v>
      </c>
    </row>
    <row r="2111" spans="1:21" x14ac:dyDescent="0.25">
      <c r="A2111">
        <v>20910237</v>
      </c>
      <c r="B2111" t="s">
        <v>342</v>
      </c>
      <c r="C2111" t="s">
        <v>89</v>
      </c>
      <c r="D2111" t="s">
        <v>12</v>
      </c>
      <c r="E2111" t="s">
        <v>750</v>
      </c>
      <c r="F2111" t="s">
        <v>191</v>
      </c>
      <c r="G2111" t="s">
        <v>468</v>
      </c>
      <c r="H2111" t="s">
        <v>603</v>
      </c>
      <c r="I2111" t="s">
        <v>604</v>
      </c>
      <c r="J2111" t="s">
        <v>605</v>
      </c>
      <c r="K2111" t="s">
        <v>606</v>
      </c>
      <c r="L2111" t="s">
        <v>840</v>
      </c>
      <c r="M2111" t="s">
        <v>11</v>
      </c>
      <c r="N2111" t="s">
        <v>11</v>
      </c>
      <c r="O2111" t="s">
        <v>11</v>
      </c>
      <c r="P2111" t="s">
        <v>2</v>
      </c>
      <c r="Q2111" t="s">
        <v>408</v>
      </c>
      <c r="R2111" t="s">
        <v>439</v>
      </c>
      <c r="S2111" t="s">
        <v>451</v>
      </c>
      <c r="T2111" t="s">
        <v>408</v>
      </c>
      <c r="U2111" t="s">
        <v>408</v>
      </c>
    </row>
    <row r="2112" spans="1:21" x14ac:dyDescent="0.25">
      <c r="A2112">
        <v>20910239</v>
      </c>
      <c r="B2112" t="s">
        <v>340</v>
      </c>
      <c r="C2112" t="s">
        <v>86</v>
      </c>
      <c r="D2112" t="s">
        <v>12</v>
      </c>
      <c r="E2112" t="s">
        <v>751</v>
      </c>
      <c r="F2112" t="s">
        <v>97</v>
      </c>
      <c r="G2112" t="s">
        <v>468</v>
      </c>
      <c r="H2112" t="s">
        <v>765</v>
      </c>
      <c r="I2112" t="s">
        <v>766</v>
      </c>
      <c r="J2112" t="s">
        <v>767</v>
      </c>
      <c r="K2112" t="s">
        <v>444</v>
      </c>
      <c r="L2112" t="s">
        <v>846</v>
      </c>
      <c r="M2112" t="s">
        <v>408</v>
      </c>
      <c r="N2112" t="s">
        <v>11</v>
      </c>
      <c r="O2112" t="s">
        <v>11</v>
      </c>
      <c r="P2112" t="s">
        <v>2</v>
      </c>
      <c r="Q2112" t="s">
        <v>408</v>
      </c>
      <c r="R2112" t="s">
        <v>439</v>
      </c>
      <c r="S2112" t="s">
        <v>451</v>
      </c>
      <c r="T2112" t="s">
        <v>11</v>
      </c>
      <c r="U2112" t="s">
        <v>408</v>
      </c>
    </row>
    <row r="2113" spans="1:21" x14ac:dyDescent="0.25">
      <c r="A2113">
        <v>20910240</v>
      </c>
      <c r="B2113" t="s">
        <v>340</v>
      </c>
      <c r="C2113" t="s">
        <v>26</v>
      </c>
      <c r="D2113" t="s">
        <v>12</v>
      </c>
      <c r="E2113" t="s">
        <v>751</v>
      </c>
      <c r="F2113" t="s">
        <v>97</v>
      </c>
      <c r="G2113" t="s">
        <v>468</v>
      </c>
      <c r="H2113" t="s">
        <v>447</v>
      </c>
      <c r="I2113" t="s">
        <v>448</v>
      </c>
      <c r="J2113" t="s">
        <v>449</v>
      </c>
      <c r="K2113" t="s">
        <v>450</v>
      </c>
      <c r="L2113" t="s">
        <v>367</v>
      </c>
      <c r="M2113" t="s">
        <v>408</v>
      </c>
      <c r="N2113" t="s">
        <v>11</v>
      </c>
      <c r="O2113" t="s">
        <v>11</v>
      </c>
      <c r="P2113" t="s">
        <v>2</v>
      </c>
      <c r="Q2113" t="s">
        <v>408</v>
      </c>
      <c r="R2113" t="s">
        <v>439</v>
      </c>
      <c r="S2113" t="s">
        <v>451</v>
      </c>
      <c r="T2113" t="s">
        <v>11</v>
      </c>
      <c r="U2113" t="s">
        <v>408</v>
      </c>
    </row>
    <row r="2114" spans="1:21" x14ac:dyDescent="0.25">
      <c r="A2114">
        <v>20910243</v>
      </c>
      <c r="B2114" t="s">
        <v>342</v>
      </c>
      <c r="C2114" t="s">
        <v>89</v>
      </c>
      <c r="D2114" t="s">
        <v>12</v>
      </c>
      <c r="E2114" t="s">
        <v>751</v>
      </c>
      <c r="F2114" t="s">
        <v>95</v>
      </c>
      <c r="G2114" t="s">
        <v>468</v>
      </c>
      <c r="H2114" t="s">
        <v>765</v>
      </c>
      <c r="I2114" t="s">
        <v>766</v>
      </c>
      <c r="J2114" t="s">
        <v>767</v>
      </c>
      <c r="K2114" t="s">
        <v>444</v>
      </c>
      <c r="L2114" t="s">
        <v>675</v>
      </c>
      <c r="M2114" t="s">
        <v>408</v>
      </c>
      <c r="N2114" t="s">
        <v>11</v>
      </c>
      <c r="O2114" t="s">
        <v>11</v>
      </c>
      <c r="P2114" t="s">
        <v>2</v>
      </c>
      <c r="Q2114" t="s">
        <v>408</v>
      </c>
      <c r="R2114" t="s">
        <v>439</v>
      </c>
      <c r="S2114" t="s">
        <v>451</v>
      </c>
      <c r="T2114" t="s">
        <v>11</v>
      </c>
      <c r="U2114" t="s">
        <v>408</v>
      </c>
    </row>
    <row r="2115" spans="1:21" x14ac:dyDescent="0.25">
      <c r="A2115">
        <v>20910244</v>
      </c>
      <c r="B2115" t="s">
        <v>342</v>
      </c>
      <c r="C2115" t="s">
        <v>13</v>
      </c>
      <c r="D2115" t="s">
        <v>12</v>
      </c>
      <c r="E2115" t="s">
        <v>751</v>
      </c>
      <c r="F2115" t="s">
        <v>95</v>
      </c>
      <c r="G2115" t="s">
        <v>468</v>
      </c>
      <c r="H2115" t="s">
        <v>0</v>
      </c>
      <c r="I2115" t="s">
        <v>436</v>
      </c>
      <c r="J2115" t="s">
        <v>437</v>
      </c>
      <c r="K2115" t="s">
        <v>438</v>
      </c>
      <c r="L2115" t="s">
        <v>2</v>
      </c>
      <c r="M2115" t="s">
        <v>408</v>
      </c>
      <c r="N2115" t="s">
        <v>11</v>
      </c>
      <c r="O2115" t="s">
        <v>11</v>
      </c>
      <c r="P2115" t="s">
        <v>2</v>
      </c>
      <c r="Q2115" t="s">
        <v>408</v>
      </c>
      <c r="R2115" t="s">
        <v>439</v>
      </c>
      <c r="S2115" t="s">
        <v>440</v>
      </c>
      <c r="T2115" t="s">
        <v>11</v>
      </c>
      <c r="U2115" t="s">
        <v>408</v>
      </c>
    </row>
    <row r="2116" spans="1:21" x14ac:dyDescent="0.25">
      <c r="A2116">
        <v>20910245</v>
      </c>
      <c r="B2116" t="s">
        <v>342</v>
      </c>
      <c r="C2116" t="s">
        <v>33</v>
      </c>
      <c r="D2116" t="s">
        <v>18</v>
      </c>
      <c r="E2116" t="s">
        <v>750</v>
      </c>
      <c r="F2116" t="s">
        <v>191</v>
      </c>
      <c r="G2116" t="s">
        <v>468</v>
      </c>
      <c r="H2116" t="s">
        <v>603</v>
      </c>
      <c r="I2116" t="s">
        <v>604</v>
      </c>
      <c r="J2116" t="s">
        <v>605</v>
      </c>
      <c r="K2116" t="s">
        <v>606</v>
      </c>
      <c r="L2116" t="s">
        <v>840</v>
      </c>
      <c r="M2116" t="s">
        <v>11</v>
      </c>
      <c r="N2116" t="s">
        <v>11</v>
      </c>
      <c r="O2116" t="s">
        <v>11</v>
      </c>
      <c r="P2116" t="s">
        <v>2</v>
      </c>
      <c r="Q2116" t="s">
        <v>408</v>
      </c>
      <c r="R2116" t="s">
        <v>439</v>
      </c>
      <c r="S2116" t="s">
        <v>451</v>
      </c>
      <c r="T2116" t="s">
        <v>408</v>
      </c>
      <c r="U2116" t="s">
        <v>408</v>
      </c>
    </row>
    <row r="2117" spans="1:21" x14ac:dyDescent="0.25">
      <c r="A2117">
        <v>20910246</v>
      </c>
      <c r="B2117" t="s">
        <v>342</v>
      </c>
      <c r="C2117" t="s">
        <v>89</v>
      </c>
      <c r="D2117" t="s">
        <v>18</v>
      </c>
      <c r="E2117" t="s">
        <v>750</v>
      </c>
      <c r="F2117" t="s">
        <v>191</v>
      </c>
      <c r="G2117" t="s">
        <v>468</v>
      </c>
      <c r="H2117" t="s">
        <v>816</v>
      </c>
      <c r="I2117" t="s">
        <v>817</v>
      </c>
      <c r="J2117" t="s">
        <v>818</v>
      </c>
      <c r="K2117" t="s">
        <v>764</v>
      </c>
      <c r="L2117" t="s">
        <v>675</v>
      </c>
      <c r="M2117" t="s">
        <v>408</v>
      </c>
      <c r="N2117" t="s">
        <v>11</v>
      </c>
      <c r="O2117" t="s">
        <v>11</v>
      </c>
      <c r="P2117" t="s">
        <v>2</v>
      </c>
      <c r="Q2117" t="s">
        <v>408</v>
      </c>
      <c r="R2117" t="s">
        <v>439</v>
      </c>
      <c r="S2117" t="s">
        <v>451</v>
      </c>
      <c r="T2117" t="s">
        <v>11</v>
      </c>
      <c r="U2117" t="s">
        <v>408</v>
      </c>
    </row>
    <row r="2118" spans="1:21" x14ac:dyDescent="0.25">
      <c r="A2118">
        <v>20910247</v>
      </c>
      <c r="B2118" t="s">
        <v>340</v>
      </c>
      <c r="C2118" t="s">
        <v>26</v>
      </c>
      <c r="D2118" t="s">
        <v>79</v>
      </c>
      <c r="E2118" t="s">
        <v>751</v>
      </c>
      <c r="F2118" t="s">
        <v>97</v>
      </c>
      <c r="G2118" t="s">
        <v>468</v>
      </c>
      <c r="H2118" t="s">
        <v>617</v>
      </c>
      <c r="I2118" t="s">
        <v>618</v>
      </c>
      <c r="J2118" t="s">
        <v>619</v>
      </c>
      <c r="K2118" t="s">
        <v>606</v>
      </c>
      <c r="L2118" t="s">
        <v>375</v>
      </c>
      <c r="M2118" t="s">
        <v>408</v>
      </c>
      <c r="N2118" t="s">
        <v>11</v>
      </c>
      <c r="O2118" t="s">
        <v>11</v>
      </c>
      <c r="P2118" t="s">
        <v>2</v>
      </c>
      <c r="Q2118" t="s">
        <v>408</v>
      </c>
      <c r="R2118" t="s">
        <v>439</v>
      </c>
      <c r="S2118" t="s">
        <v>451</v>
      </c>
      <c r="T2118" t="s">
        <v>11</v>
      </c>
      <c r="U2118" t="s">
        <v>408</v>
      </c>
    </row>
    <row r="2119" spans="1:21" x14ac:dyDescent="0.25">
      <c r="A2119">
        <v>20910248</v>
      </c>
      <c r="B2119" t="s">
        <v>342</v>
      </c>
      <c r="C2119" t="s">
        <v>89</v>
      </c>
      <c r="D2119" t="s">
        <v>18</v>
      </c>
      <c r="E2119" t="s">
        <v>750</v>
      </c>
      <c r="F2119" t="s">
        <v>191</v>
      </c>
      <c r="G2119" t="s">
        <v>468</v>
      </c>
      <c r="H2119" t="s">
        <v>765</v>
      </c>
      <c r="I2119" t="s">
        <v>766</v>
      </c>
      <c r="J2119" t="s">
        <v>767</v>
      </c>
      <c r="K2119" t="s">
        <v>444</v>
      </c>
      <c r="L2119" t="s">
        <v>840</v>
      </c>
      <c r="M2119" t="s">
        <v>11</v>
      </c>
      <c r="N2119" t="s">
        <v>11</v>
      </c>
      <c r="O2119" t="s">
        <v>11</v>
      </c>
      <c r="P2119" t="s">
        <v>2</v>
      </c>
      <c r="Q2119" t="s">
        <v>408</v>
      </c>
      <c r="R2119" t="s">
        <v>439</v>
      </c>
      <c r="S2119" t="s">
        <v>451</v>
      </c>
      <c r="T2119" t="s">
        <v>408</v>
      </c>
      <c r="U2119" t="s">
        <v>408</v>
      </c>
    </row>
    <row r="2120" spans="1:21" x14ac:dyDescent="0.25">
      <c r="A2120">
        <v>20910249</v>
      </c>
      <c r="B2120" t="s">
        <v>342</v>
      </c>
      <c r="C2120" t="s">
        <v>89</v>
      </c>
      <c r="D2120" t="s">
        <v>12</v>
      </c>
      <c r="E2120" t="s">
        <v>750</v>
      </c>
      <c r="F2120" t="s">
        <v>188</v>
      </c>
      <c r="G2120" t="s">
        <v>468</v>
      </c>
      <c r="H2120" t="s">
        <v>765</v>
      </c>
      <c r="I2120" t="s">
        <v>766</v>
      </c>
      <c r="J2120" t="s">
        <v>767</v>
      </c>
      <c r="K2120" t="s">
        <v>444</v>
      </c>
      <c r="L2120" t="s">
        <v>675</v>
      </c>
      <c r="M2120" t="s">
        <v>408</v>
      </c>
      <c r="N2120" t="s">
        <v>11</v>
      </c>
      <c r="O2120" t="s">
        <v>11</v>
      </c>
      <c r="P2120" t="s">
        <v>2</v>
      </c>
      <c r="Q2120" t="s">
        <v>408</v>
      </c>
      <c r="R2120" t="s">
        <v>439</v>
      </c>
      <c r="S2120" t="s">
        <v>451</v>
      </c>
      <c r="T2120" t="s">
        <v>11</v>
      </c>
      <c r="U2120" t="s">
        <v>408</v>
      </c>
    </row>
    <row r="2121" spans="1:21" x14ac:dyDescent="0.25">
      <c r="A2121">
        <v>20910250</v>
      </c>
      <c r="B2121" t="s">
        <v>340</v>
      </c>
      <c r="C2121" t="s">
        <v>26</v>
      </c>
      <c r="D2121" t="s">
        <v>12</v>
      </c>
      <c r="E2121" t="s">
        <v>750</v>
      </c>
      <c r="F2121" t="s">
        <v>191</v>
      </c>
      <c r="G2121" t="s">
        <v>468</v>
      </c>
      <c r="H2121" t="s">
        <v>447</v>
      </c>
      <c r="I2121" t="s">
        <v>448</v>
      </c>
      <c r="J2121" t="s">
        <v>449</v>
      </c>
      <c r="K2121" t="s">
        <v>450</v>
      </c>
      <c r="L2121" t="s">
        <v>367</v>
      </c>
      <c r="M2121" t="s">
        <v>408</v>
      </c>
      <c r="N2121" t="s">
        <v>11</v>
      </c>
      <c r="O2121" t="s">
        <v>408</v>
      </c>
      <c r="P2121" t="s">
        <v>2</v>
      </c>
      <c r="Q2121" t="s">
        <v>408</v>
      </c>
      <c r="R2121" t="s">
        <v>439</v>
      </c>
      <c r="S2121" t="s">
        <v>451</v>
      </c>
      <c r="T2121" t="s">
        <v>11</v>
      </c>
      <c r="U2121" t="s">
        <v>408</v>
      </c>
    </row>
    <row r="2122" spans="1:21" x14ac:dyDescent="0.25">
      <c r="A2122">
        <v>20910251</v>
      </c>
      <c r="B2122" t="s">
        <v>342</v>
      </c>
      <c r="C2122" t="s">
        <v>89</v>
      </c>
      <c r="D2122" t="s">
        <v>12</v>
      </c>
      <c r="E2122" t="s">
        <v>751</v>
      </c>
      <c r="F2122" t="s">
        <v>97</v>
      </c>
      <c r="G2122" t="s">
        <v>468</v>
      </c>
      <c r="H2122" t="s">
        <v>715</v>
      </c>
      <c r="I2122" t="s">
        <v>716</v>
      </c>
      <c r="J2122" t="s">
        <v>717</v>
      </c>
      <c r="K2122" t="s">
        <v>438</v>
      </c>
      <c r="L2122" t="s">
        <v>840</v>
      </c>
      <c r="M2122" t="s">
        <v>11</v>
      </c>
      <c r="N2122" t="s">
        <v>11</v>
      </c>
      <c r="O2122" t="s">
        <v>11</v>
      </c>
      <c r="P2122" t="s">
        <v>2</v>
      </c>
      <c r="Q2122" t="s">
        <v>408</v>
      </c>
      <c r="R2122" t="s">
        <v>439</v>
      </c>
      <c r="S2122" t="s">
        <v>440</v>
      </c>
      <c r="T2122" t="s">
        <v>408</v>
      </c>
      <c r="U2122" t="s">
        <v>408</v>
      </c>
    </row>
    <row r="2123" spans="1:21" x14ac:dyDescent="0.25">
      <c r="A2123">
        <v>20910252</v>
      </c>
      <c r="B2123" t="s">
        <v>342</v>
      </c>
      <c r="C2123" t="s">
        <v>89</v>
      </c>
      <c r="D2123" t="s">
        <v>12</v>
      </c>
      <c r="E2123" t="s">
        <v>750</v>
      </c>
      <c r="F2123" t="s">
        <v>191</v>
      </c>
      <c r="G2123" t="s">
        <v>468</v>
      </c>
      <c r="H2123" t="s">
        <v>761</v>
      </c>
      <c r="I2123" t="s">
        <v>762</v>
      </c>
      <c r="J2123" t="s">
        <v>763</v>
      </c>
      <c r="K2123" t="s">
        <v>764</v>
      </c>
      <c r="L2123" t="s">
        <v>837</v>
      </c>
      <c r="M2123" t="s">
        <v>408</v>
      </c>
      <c r="N2123" t="s">
        <v>11</v>
      </c>
      <c r="O2123" t="s">
        <v>11</v>
      </c>
      <c r="P2123" t="s">
        <v>2</v>
      </c>
      <c r="Q2123" t="s">
        <v>408</v>
      </c>
      <c r="R2123" t="s">
        <v>439</v>
      </c>
      <c r="S2123" t="s">
        <v>440</v>
      </c>
      <c r="T2123" t="s">
        <v>11</v>
      </c>
      <c r="U2123" t="s">
        <v>408</v>
      </c>
    </row>
    <row r="2124" spans="1:21" x14ac:dyDescent="0.25">
      <c r="A2124">
        <v>20910253</v>
      </c>
      <c r="B2124" t="s">
        <v>342</v>
      </c>
      <c r="C2124" t="s">
        <v>89</v>
      </c>
      <c r="D2124" t="s">
        <v>12</v>
      </c>
      <c r="E2124" t="s">
        <v>751</v>
      </c>
      <c r="F2124" t="s">
        <v>97</v>
      </c>
      <c r="G2124" t="s">
        <v>468</v>
      </c>
      <c r="H2124" t="s">
        <v>765</v>
      </c>
      <c r="I2124" t="s">
        <v>766</v>
      </c>
      <c r="J2124" t="s">
        <v>767</v>
      </c>
      <c r="K2124" t="s">
        <v>444</v>
      </c>
      <c r="L2124" t="s">
        <v>678</v>
      </c>
      <c r="M2124" t="s">
        <v>11</v>
      </c>
      <c r="N2124" t="s">
        <v>11</v>
      </c>
      <c r="O2124" t="s">
        <v>11</v>
      </c>
      <c r="P2124" t="s">
        <v>2</v>
      </c>
      <c r="Q2124" t="s">
        <v>408</v>
      </c>
      <c r="R2124" t="s">
        <v>439</v>
      </c>
      <c r="S2124" t="s">
        <v>451</v>
      </c>
      <c r="T2124" t="s">
        <v>408</v>
      </c>
      <c r="U2124" t="s">
        <v>408</v>
      </c>
    </row>
    <row r="2125" spans="1:21" x14ac:dyDescent="0.25">
      <c r="A2125">
        <v>20910256</v>
      </c>
      <c r="B2125" t="s">
        <v>340</v>
      </c>
      <c r="C2125" t="s">
        <v>86</v>
      </c>
      <c r="D2125" t="s">
        <v>12</v>
      </c>
      <c r="E2125" t="s">
        <v>751</v>
      </c>
      <c r="F2125" t="s">
        <v>97</v>
      </c>
      <c r="G2125" t="s">
        <v>468</v>
      </c>
      <c r="H2125" t="s">
        <v>617</v>
      </c>
      <c r="I2125" t="s">
        <v>618</v>
      </c>
      <c r="J2125" t="s">
        <v>619</v>
      </c>
      <c r="K2125" t="s">
        <v>606</v>
      </c>
      <c r="L2125" t="s">
        <v>2</v>
      </c>
      <c r="M2125" t="s">
        <v>408</v>
      </c>
      <c r="N2125" t="s">
        <v>11</v>
      </c>
      <c r="O2125" t="s">
        <v>11</v>
      </c>
      <c r="P2125" t="s">
        <v>2</v>
      </c>
      <c r="Q2125" t="s">
        <v>408</v>
      </c>
      <c r="R2125" t="s">
        <v>439</v>
      </c>
      <c r="S2125" t="s">
        <v>451</v>
      </c>
      <c r="T2125" t="s">
        <v>11</v>
      </c>
      <c r="U2125" t="s">
        <v>408</v>
      </c>
    </row>
    <row r="2126" spans="1:21" x14ac:dyDescent="0.25">
      <c r="A2126">
        <v>16390552</v>
      </c>
      <c r="B2126" t="s">
        <v>340</v>
      </c>
      <c r="C2126" t="s">
        <v>26</v>
      </c>
      <c r="D2126" t="s">
        <v>12</v>
      </c>
      <c r="E2126" t="s">
        <v>720</v>
      </c>
      <c r="F2126" t="s">
        <v>54</v>
      </c>
      <c r="G2126" t="s">
        <v>468</v>
      </c>
      <c r="H2126" t="s">
        <v>715</v>
      </c>
      <c r="I2126" t="s">
        <v>716</v>
      </c>
      <c r="J2126" t="s">
        <v>717</v>
      </c>
      <c r="K2126" t="s">
        <v>438</v>
      </c>
      <c r="L2126" t="s">
        <v>0</v>
      </c>
      <c r="M2126" t="s">
        <v>408</v>
      </c>
      <c r="N2126" t="s">
        <v>11</v>
      </c>
      <c r="O2126" t="s">
        <v>11</v>
      </c>
      <c r="P2126" t="s">
        <v>0</v>
      </c>
      <c r="Q2126" t="s">
        <v>408</v>
      </c>
      <c r="R2126" t="s">
        <v>439</v>
      </c>
      <c r="S2126" t="s">
        <v>440</v>
      </c>
      <c r="T2126" t="s">
        <v>11</v>
      </c>
      <c r="U2126" t="s">
        <v>408</v>
      </c>
    </row>
    <row r="2127" spans="1:21" x14ac:dyDescent="0.25">
      <c r="A2127">
        <v>18943172</v>
      </c>
      <c r="B2127" t="s">
        <v>340</v>
      </c>
      <c r="C2127" t="s">
        <v>26</v>
      </c>
      <c r="D2127" t="s">
        <v>12</v>
      </c>
      <c r="E2127" t="s">
        <v>720</v>
      </c>
      <c r="F2127" t="s">
        <v>54</v>
      </c>
      <c r="G2127" t="s">
        <v>468</v>
      </c>
      <c r="H2127" t="s">
        <v>715</v>
      </c>
      <c r="I2127" t="s">
        <v>716</v>
      </c>
      <c r="J2127" t="s">
        <v>717</v>
      </c>
      <c r="K2127" t="s">
        <v>438</v>
      </c>
      <c r="L2127" t="s">
        <v>937</v>
      </c>
      <c r="M2127" t="s">
        <v>408</v>
      </c>
      <c r="N2127" t="s">
        <v>408</v>
      </c>
      <c r="O2127" t="s">
        <v>11</v>
      </c>
      <c r="P2127" t="s">
        <v>0</v>
      </c>
      <c r="Q2127" t="s">
        <v>408</v>
      </c>
      <c r="R2127" t="s">
        <v>439</v>
      </c>
      <c r="S2127" t="s">
        <v>440</v>
      </c>
      <c r="T2127" t="s">
        <v>408</v>
      </c>
      <c r="U2127" t="s">
        <v>408</v>
      </c>
    </row>
    <row r="2128" spans="1:21" x14ac:dyDescent="0.25">
      <c r="A2128">
        <v>20910526</v>
      </c>
      <c r="B2128" t="s">
        <v>342</v>
      </c>
      <c r="C2128" t="s">
        <v>89</v>
      </c>
      <c r="D2128" t="s">
        <v>79</v>
      </c>
      <c r="E2128" t="s">
        <v>625</v>
      </c>
      <c r="F2128" t="s">
        <v>358</v>
      </c>
      <c r="G2128" t="s">
        <v>468</v>
      </c>
      <c r="H2128" t="s">
        <v>765</v>
      </c>
      <c r="I2128" t="s">
        <v>766</v>
      </c>
      <c r="J2128" t="s">
        <v>767</v>
      </c>
      <c r="K2128" t="s">
        <v>444</v>
      </c>
      <c r="L2128" t="s">
        <v>675</v>
      </c>
      <c r="M2128" t="s">
        <v>408</v>
      </c>
      <c r="N2128" t="s">
        <v>11</v>
      </c>
      <c r="O2128" t="s">
        <v>11</v>
      </c>
      <c r="P2128" t="s">
        <v>2</v>
      </c>
      <c r="Q2128" t="s">
        <v>408</v>
      </c>
      <c r="R2128" t="s">
        <v>439</v>
      </c>
      <c r="S2128" t="s">
        <v>451</v>
      </c>
      <c r="T2128" t="s">
        <v>11</v>
      </c>
      <c r="U2128" t="s">
        <v>408</v>
      </c>
    </row>
    <row r="2129" spans="1:21" x14ac:dyDescent="0.25">
      <c r="A2129">
        <v>20910528</v>
      </c>
      <c r="B2129" t="s">
        <v>340</v>
      </c>
      <c r="C2129" t="s">
        <v>86</v>
      </c>
      <c r="D2129" t="s">
        <v>79</v>
      </c>
      <c r="E2129" t="s">
        <v>512</v>
      </c>
      <c r="F2129" t="s">
        <v>182</v>
      </c>
      <c r="G2129" t="s">
        <v>468</v>
      </c>
      <c r="H2129" t="s">
        <v>617</v>
      </c>
      <c r="I2129" t="s">
        <v>618</v>
      </c>
      <c r="J2129" t="s">
        <v>619</v>
      </c>
      <c r="K2129" t="s">
        <v>606</v>
      </c>
      <c r="L2129" t="s">
        <v>375</v>
      </c>
      <c r="M2129" t="s">
        <v>408</v>
      </c>
      <c r="N2129" t="s">
        <v>11</v>
      </c>
      <c r="O2129" t="s">
        <v>11</v>
      </c>
      <c r="P2129" t="s">
        <v>2</v>
      </c>
      <c r="Q2129" t="s">
        <v>408</v>
      </c>
      <c r="R2129" t="s">
        <v>439</v>
      </c>
      <c r="S2129" t="s">
        <v>451</v>
      </c>
      <c r="T2129" t="s">
        <v>11</v>
      </c>
      <c r="U2129" t="s">
        <v>408</v>
      </c>
    </row>
    <row r="2130" spans="1:21" x14ac:dyDescent="0.25">
      <c r="A2130">
        <v>20910529</v>
      </c>
      <c r="B2130" t="s">
        <v>342</v>
      </c>
      <c r="C2130" t="s">
        <v>89</v>
      </c>
      <c r="D2130" t="s">
        <v>18</v>
      </c>
      <c r="E2130" t="s">
        <v>512</v>
      </c>
      <c r="F2130" t="s">
        <v>183</v>
      </c>
      <c r="G2130" t="s">
        <v>468</v>
      </c>
      <c r="H2130" t="s">
        <v>761</v>
      </c>
      <c r="I2130" t="s">
        <v>762</v>
      </c>
      <c r="J2130" t="s">
        <v>763</v>
      </c>
      <c r="K2130" t="s">
        <v>764</v>
      </c>
      <c r="L2130" t="s">
        <v>837</v>
      </c>
      <c r="M2130" t="s">
        <v>408</v>
      </c>
      <c r="N2130" t="s">
        <v>11</v>
      </c>
      <c r="O2130" t="s">
        <v>11</v>
      </c>
      <c r="P2130" t="s">
        <v>2</v>
      </c>
      <c r="Q2130" t="s">
        <v>408</v>
      </c>
      <c r="R2130" t="s">
        <v>439</v>
      </c>
      <c r="S2130" t="s">
        <v>440</v>
      </c>
      <c r="T2130" t="s">
        <v>11</v>
      </c>
      <c r="U2130" t="s">
        <v>408</v>
      </c>
    </row>
    <row r="2131" spans="1:21" x14ac:dyDescent="0.25">
      <c r="A2131">
        <v>20910530</v>
      </c>
      <c r="B2131" t="s">
        <v>342</v>
      </c>
      <c r="C2131" t="s">
        <v>89</v>
      </c>
      <c r="D2131" t="s">
        <v>12</v>
      </c>
      <c r="E2131" t="s">
        <v>512</v>
      </c>
      <c r="F2131" t="s">
        <v>1087</v>
      </c>
      <c r="G2131" t="s">
        <v>468</v>
      </c>
      <c r="H2131" t="s">
        <v>603</v>
      </c>
      <c r="I2131" t="s">
        <v>604</v>
      </c>
      <c r="J2131" t="s">
        <v>605</v>
      </c>
      <c r="K2131" t="s">
        <v>606</v>
      </c>
      <c r="L2131" t="s">
        <v>837</v>
      </c>
      <c r="M2131" t="s">
        <v>408</v>
      </c>
      <c r="N2131" t="s">
        <v>11</v>
      </c>
      <c r="O2131" t="s">
        <v>11</v>
      </c>
      <c r="P2131" t="s">
        <v>2</v>
      </c>
      <c r="Q2131" t="s">
        <v>408</v>
      </c>
      <c r="R2131" t="s">
        <v>439</v>
      </c>
      <c r="S2131" t="s">
        <v>451</v>
      </c>
      <c r="T2131" t="s">
        <v>11</v>
      </c>
      <c r="U2131" t="s">
        <v>408</v>
      </c>
    </row>
    <row r="2132" spans="1:21" x14ac:dyDescent="0.25">
      <c r="A2132">
        <v>20910531</v>
      </c>
      <c r="B2132" t="s">
        <v>342</v>
      </c>
      <c r="C2132" t="s">
        <v>33</v>
      </c>
      <c r="D2132" t="s">
        <v>12</v>
      </c>
      <c r="E2132" t="s">
        <v>512</v>
      </c>
      <c r="F2132" t="s">
        <v>92</v>
      </c>
      <c r="G2132" t="s">
        <v>468</v>
      </c>
      <c r="H2132" t="s">
        <v>812</v>
      </c>
      <c r="I2132" t="s">
        <v>813</v>
      </c>
      <c r="J2132" t="s">
        <v>814</v>
      </c>
      <c r="K2132" t="s">
        <v>438</v>
      </c>
      <c r="L2132" t="s">
        <v>876</v>
      </c>
      <c r="M2132" t="s">
        <v>11</v>
      </c>
      <c r="N2132" t="s">
        <v>11</v>
      </c>
      <c r="O2132" t="s">
        <v>408</v>
      </c>
      <c r="P2132" t="s">
        <v>2</v>
      </c>
      <c r="Q2132" t="s">
        <v>408</v>
      </c>
      <c r="R2132" t="s">
        <v>439</v>
      </c>
      <c r="S2132" t="s">
        <v>451</v>
      </c>
      <c r="T2132" t="s">
        <v>408</v>
      </c>
      <c r="U2132" t="s">
        <v>408</v>
      </c>
    </row>
    <row r="2133" spans="1:21" x14ac:dyDescent="0.25">
      <c r="A2133">
        <v>20910532</v>
      </c>
      <c r="B2133" t="s">
        <v>342</v>
      </c>
      <c r="C2133" t="s">
        <v>89</v>
      </c>
      <c r="D2133" t="s">
        <v>12</v>
      </c>
      <c r="E2133" t="s">
        <v>510</v>
      </c>
      <c r="F2133" t="s">
        <v>359</v>
      </c>
      <c r="G2133" t="s">
        <v>468</v>
      </c>
      <c r="H2133" t="s">
        <v>816</v>
      </c>
      <c r="I2133" t="s">
        <v>817</v>
      </c>
      <c r="J2133" t="s">
        <v>818</v>
      </c>
      <c r="K2133" t="s">
        <v>764</v>
      </c>
      <c r="L2133" t="s">
        <v>819</v>
      </c>
      <c r="M2133" t="s">
        <v>408</v>
      </c>
      <c r="N2133" t="s">
        <v>11</v>
      </c>
      <c r="O2133" t="s">
        <v>11</v>
      </c>
      <c r="P2133" t="s">
        <v>2</v>
      </c>
      <c r="Q2133" t="s">
        <v>408</v>
      </c>
      <c r="R2133" t="s">
        <v>439</v>
      </c>
      <c r="S2133" t="s">
        <v>451</v>
      </c>
      <c r="T2133" t="s">
        <v>11</v>
      </c>
      <c r="U2133" t="s">
        <v>408</v>
      </c>
    </row>
    <row r="2134" spans="1:21" x14ac:dyDescent="0.25">
      <c r="A2134">
        <v>20910533</v>
      </c>
      <c r="B2134" t="s">
        <v>340</v>
      </c>
      <c r="C2134" t="s">
        <v>86</v>
      </c>
      <c r="D2134" t="s">
        <v>12</v>
      </c>
      <c r="E2134" t="s">
        <v>510</v>
      </c>
      <c r="F2134" t="s">
        <v>1086</v>
      </c>
      <c r="G2134" t="s">
        <v>468</v>
      </c>
      <c r="H2134" t="s">
        <v>447</v>
      </c>
      <c r="I2134" t="s">
        <v>448</v>
      </c>
      <c r="J2134" t="s">
        <v>449</v>
      </c>
      <c r="K2134" t="s">
        <v>450</v>
      </c>
      <c r="L2134" t="s">
        <v>375</v>
      </c>
      <c r="M2134" t="s">
        <v>408</v>
      </c>
      <c r="N2134" t="s">
        <v>11</v>
      </c>
      <c r="O2134" t="s">
        <v>11</v>
      </c>
      <c r="P2134" t="s">
        <v>2</v>
      </c>
      <c r="Q2134" t="s">
        <v>408</v>
      </c>
      <c r="R2134" t="s">
        <v>439</v>
      </c>
      <c r="S2134" t="s">
        <v>451</v>
      </c>
      <c r="T2134" t="s">
        <v>11</v>
      </c>
      <c r="U2134" t="s">
        <v>408</v>
      </c>
    </row>
    <row r="2135" spans="1:21" x14ac:dyDescent="0.25">
      <c r="A2135">
        <v>20910534</v>
      </c>
      <c r="B2135" t="s">
        <v>340</v>
      </c>
      <c r="C2135" t="s">
        <v>86</v>
      </c>
      <c r="D2135" t="s">
        <v>18</v>
      </c>
      <c r="E2135" t="s">
        <v>510</v>
      </c>
      <c r="F2135" t="s">
        <v>1085</v>
      </c>
      <c r="G2135" t="s">
        <v>468</v>
      </c>
      <c r="H2135" t="s">
        <v>447</v>
      </c>
      <c r="I2135" t="s">
        <v>448</v>
      </c>
      <c r="J2135" t="s">
        <v>449</v>
      </c>
      <c r="K2135" t="s">
        <v>450</v>
      </c>
      <c r="L2135" t="s">
        <v>375</v>
      </c>
      <c r="M2135" t="s">
        <v>408</v>
      </c>
      <c r="N2135" t="s">
        <v>11</v>
      </c>
      <c r="O2135" t="s">
        <v>11</v>
      </c>
      <c r="P2135" t="s">
        <v>2</v>
      </c>
      <c r="Q2135" t="s">
        <v>408</v>
      </c>
      <c r="R2135" t="s">
        <v>439</v>
      </c>
      <c r="S2135" t="s">
        <v>451</v>
      </c>
      <c r="T2135" t="s">
        <v>11</v>
      </c>
      <c r="U2135" t="s">
        <v>408</v>
      </c>
    </row>
    <row r="2136" spans="1:21" x14ac:dyDescent="0.25">
      <c r="A2136">
        <v>20910535</v>
      </c>
      <c r="B2136" t="s">
        <v>340</v>
      </c>
      <c r="C2136" t="s">
        <v>86</v>
      </c>
      <c r="D2136" t="s">
        <v>12</v>
      </c>
      <c r="E2136" t="s">
        <v>510</v>
      </c>
      <c r="F2136" t="s">
        <v>1085</v>
      </c>
      <c r="G2136" t="s">
        <v>468</v>
      </c>
      <c r="H2136" t="s">
        <v>617</v>
      </c>
      <c r="I2136" t="s">
        <v>618</v>
      </c>
      <c r="J2136" t="s">
        <v>619</v>
      </c>
      <c r="K2136" t="s">
        <v>606</v>
      </c>
      <c r="L2136" t="s">
        <v>375</v>
      </c>
      <c r="M2136" t="s">
        <v>408</v>
      </c>
      <c r="N2136" t="s">
        <v>11</v>
      </c>
      <c r="O2136" t="s">
        <v>11</v>
      </c>
      <c r="P2136" t="s">
        <v>2</v>
      </c>
      <c r="Q2136" t="s">
        <v>408</v>
      </c>
      <c r="R2136" t="s">
        <v>439</v>
      </c>
      <c r="S2136" t="s">
        <v>451</v>
      </c>
      <c r="T2136" t="s">
        <v>11</v>
      </c>
      <c r="U2136" t="s">
        <v>408</v>
      </c>
    </row>
    <row r="2137" spans="1:21" x14ac:dyDescent="0.25">
      <c r="A2137">
        <v>20910536</v>
      </c>
      <c r="B2137" t="s">
        <v>342</v>
      </c>
      <c r="C2137" t="s">
        <v>89</v>
      </c>
      <c r="D2137" t="s">
        <v>12</v>
      </c>
      <c r="E2137" t="s">
        <v>625</v>
      </c>
      <c r="F2137" t="s">
        <v>358</v>
      </c>
      <c r="G2137" t="s">
        <v>468</v>
      </c>
      <c r="H2137" t="s">
        <v>603</v>
      </c>
      <c r="I2137" t="s">
        <v>604</v>
      </c>
      <c r="J2137" t="s">
        <v>605</v>
      </c>
      <c r="K2137" t="s">
        <v>606</v>
      </c>
      <c r="L2137" t="s">
        <v>837</v>
      </c>
      <c r="M2137" t="s">
        <v>408</v>
      </c>
      <c r="N2137" t="s">
        <v>11</v>
      </c>
      <c r="O2137" t="s">
        <v>11</v>
      </c>
      <c r="P2137" t="s">
        <v>2</v>
      </c>
      <c r="Q2137" t="s">
        <v>408</v>
      </c>
      <c r="R2137" t="s">
        <v>439</v>
      </c>
      <c r="S2137" t="s">
        <v>451</v>
      </c>
      <c r="T2137" t="s">
        <v>11</v>
      </c>
      <c r="U2137" t="s">
        <v>408</v>
      </c>
    </row>
    <row r="2138" spans="1:21" x14ac:dyDescent="0.25">
      <c r="A2138">
        <v>20910538</v>
      </c>
      <c r="B2138" t="s">
        <v>342</v>
      </c>
      <c r="C2138" t="s">
        <v>33</v>
      </c>
      <c r="D2138" t="s">
        <v>79</v>
      </c>
      <c r="E2138" t="s">
        <v>625</v>
      </c>
      <c r="F2138" t="s">
        <v>358</v>
      </c>
      <c r="G2138" t="s">
        <v>369</v>
      </c>
      <c r="H2138" t="s">
        <v>1068</v>
      </c>
      <c r="I2138" t="s">
        <v>1067</v>
      </c>
      <c r="J2138" t="s">
        <v>1066</v>
      </c>
      <c r="K2138" t="s">
        <v>701</v>
      </c>
      <c r="L2138" t="s">
        <v>819</v>
      </c>
      <c r="M2138" t="s">
        <v>408</v>
      </c>
      <c r="N2138" t="s">
        <v>11</v>
      </c>
      <c r="O2138" t="s">
        <v>11</v>
      </c>
      <c r="P2138" t="s">
        <v>2</v>
      </c>
      <c r="Q2138" t="s">
        <v>408</v>
      </c>
      <c r="R2138" t="s">
        <v>439</v>
      </c>
      <c r="S2138" t="s">
        <v>451</v>
      </c>
      <c r="T2138" t="s">
        <v>11</v>
      </c>
      <c r="U2138" t="s">
        <v>408</v>
      </c>
    </row>
    <row r="2139" spans="1:21" x14ac:dyDescent="0.25">
      <c r="A2139">
        <v>20910539</v>
      </c>
      <c r="B2139" t="s">
        <v>342</v>
      </c>
      <c r="C2139" t="s">
        <v>89</v>
      </c>
      <c r="D2139" t="s">
        <v>12</v>
      </c>
      <c r="E2139" t="s">
        <v>510</v>
      </c>
      <c r="F2139" t="s">
        <v>1084</v>
      </c>
      <c r="G2139" t="s">
        <v>468</v>
      </c>
      <c r="H2139" t="s">
        <v>884</v>
      </c>
      <c r="I2139" t="s">
        <v>883</v>
      </c>
      <c r="J2139" t="s">
        <v>882</v>
      </c>
      <c r="K2139" t="s">
        <v>450</v>
      </c>
      <c r="L2139" t="s">
        <v>837</v>
      </c>
      <c r="M2139" t="s">
        <v>408</v>
      </c>
      <c r="N2139" t="s">
        <v>11</v>
      </c>
      <c r="O2139" t="s">
        <v>11</v>
      </c>
      <c r="P2139" t="s">
        <v>2</v>
      </c>
      <c r="Q2139" t="s">
        <v>408</v>
      </c>
      <c r="R2139" t="s">
        <v>439</v>
      </c>
      <c r="S2139" t="s">
        <v>451</v>
      </c>
      <c r="T2139" t="s">
        <v>11</v>
      </c>
      <c r="U2139" t="s">
        <v>408</v>
      </c>
    </row>
    <row r="2140" spans="1:21" x14ac:dyDescent="0.25">
      <c r="A2140">
        <v>20910540</v>
      </c>
      <c r="B2140" t="s">
        <v>342</v>
      </c>
      <c r="C2140" t="s">
        <v>89</v>
      </c>
      <c r="D2140" t="s">
        <v>12</v>
      </c>
      <c r="E2140" t="s">
        <v>512</v>
      </c>
      <c r="F2140" t="s">
        <v>183</v>
      </c>
      <c r="G2140" t="s">
        <v>468</v>
      </c>
      <c r="H2140" t="s">
        <v>603</v>
      </c>
      <c r="I2140" t="s">
        <v>604</v>
      </c>
      <c r="J2140" t="s">
        <v>605</v>
      </c>
      <c r="K2140" t="s">
        <v>606</v>
      </c>
      <c r="L2140" t="s">
        <v>837</v>
      </c>
      <c r="M2140" t="s">
        <v>408</v>
      </c>
      <c r="N2140" t="s">
        <v>11</v>
      </c>
      <c r="O2140" t="s">
        <v>11</v>
      </c>
      <c r="P2140" t="s">
        <v>2</v>
      </c>
      <c r="Q2140" t="s">
        <v>408</v>
      </c>
      <c r="R2140" t="s">
        <v>439</v>
      </c>
      <c r="S2140" t="s">
        <v>451</v>
      </c>
      <c r="T2140" t="s">
        <v>11</v>
      </c>
      <c r="U2140" t="s">
        <v>408</v>
      </c>
    </row>
    <row r="2141" spans="1:21" x14ac:dyDescent="0.25">
      <c r="A2141">
        <v>20910541</v>
      </c>
      <c r="B2141" t="s">
        <v>342</v>
      </c>
      <c r="C2141" t="s">
        <v>89</v>
      </c>
      <c r="D2141" t="s">
        <v>12</v>
      </c>
      <c r="E2141" t="s">
        <v>512</v>
      </c>
      <c r="F2141" t="s">
        <v>1083</v>
      </c>
      <c r="G2141" t="s">
        <v>468</v>
      </c>
      <c r="H2141" t="s">
        <v>761</v>
      </c>
      <c r="I2141" t="s">
        <v>762</v>
      </c>
      <c r="J2141" t="s">
        <v>763</v>
      </c>
      <c r="K2141" t="s">
        <v>764</v>
      </c>
      <c r="L2141" t="s">
        <v>837</v>
      </c>
      <c r="M2141" t="s">
        <v>408</v>
      </c>
      <c r="N2141" t="s">
        <v>11</v>
      </c>
      <c r="O2141" t="s">
        <v>11</v>
      </c>
      <c r="P2141" t="s">
        <v>2</v>
      </c>
      <c r="Q2141" t="s">
        <v>408</v>
      </c>
      <c r="R2141" t="s">
        <v>439</v>
      </c>
      <c r="S2141" t="s">
        <v>440</v>
      </c>
      <c r="T2141" t="s">
        <v>11</v>
      </c>
      <c r="U2141" t="s">
        <v>408</v>
      </c>
    </row>
    <row r="2142" spans="1:21" x14ac:dyDescent="0.25">
      <c r="A2142">
        <v>20910542</v>
      </c>
      <c r="B2142" t="s">
        <v>340</v>
      </c>
      <c r="C2142" t="s">
        <v>26</v>
      </c>
      <c r="D2142" t="s">
        <v>12</v>
      </c>
      <c r="E2142" t="s">
        <v>512</v>
      </c>
      <c r="F2142" t="s">
        <v>1083</v>
      </c>
      <c r="G2142" t="s">
        <v>468</v>
      </c>
      <c r="H2142" t="s">
        <v>447</v>
      </c>
      <c r="I2142" t="s">
        <v>448</v>
      </c>
      <c r="J2142" t="s">
        <v>449</v>
      </c>
      <c r="K2142" t="s">
        <v>450</v>
      </c>
      <c r="L2142" t="s">
        <v>370</v>
      </c>
      <c r="M2142" t="s">
        <v>408</v>
      </c>
      <c r="N2142" t="s">
        <v>11</v>
      </c>
      <c r="O2142" t="s">
        <v>408</v>
      </c>
      <c r="P2142" t="s">
        <v>2</v>
      </c>
      <c r="Q2142" t="s">
        <v>408</v>
      </c>
      <c r="R2142" t="s">
        <v>439</v>
      </c>
      <c r="S2142" t="s">
        <v>451</v>
      </c>
      <c r="T2142" t="s">
        <v>11</v>
      </c>
      <c r="U2142" t="s">
        <v>408</v>
      </c>
    </row>
    <row r="2143" spans="1:21" x14ac:dyDescent="0.25">
      <c r="A2143">
        <v>20910543</v>
      </c>
      <c r="B2143" t="s">
        <v>342</v>
      </c>
      <c r="C2143" t="s">
        <v>89</v>
      </c>
      <c r="D2143" t="s">
        <v>12</v>
      </c>
      <c r="E2143" t="s">
        <v>625</v>
      </c>
      <c r="F2143" t="s">
        <v>358</v>
      </c>
      <c r="G2143" t="s">
        <v>468</v>
      </c>
      <c r="H2143" t="s">
        <v>765</v>
      </c>
      <c r="I2143" t="s">
        <v>766</v>
      </c>
      <c r="J2143" t="s">
        <v>767</v>
      </c>
      <c r="K2143" t="s">
        <v>444</v>
      </c>
      <c r="L2143" t="s">
        <v>675</v>
      </c>
      <c r="M2143" t="s">
        <v>408</v>
      </c>
      <c r="N2143" t="s">
        <v>11</v>
      </c>
      <c r="O2143" t="s">
        <v>11</v>
      </c>
      <c r="P2143" t="s">
        <v>2</v>
      </c>
      <c r="Q2143" t="s">
        <v>408</v>
      </c>
      <c r="R2143" t="s">
        <v>439</v>
      </c>
      <c r="S2143" t="s">
        <v>451</v>
      </c>
      <c r="T2143" t="s">
        <v>11</v>
      </c>
      <c r="U2143" t="s">
        <v>408</v>
      </c>
    </row>
    <row r="2144" spans="1:21" x14ac:dyDescent="0.25">
      <c r="A2144">
        <v>20910544</v>
      </c>
      <c r="B2144" t="s">
        <v>340</v>
      </c>
      <c r="C2144" t="s">
        <v>26</v>
      </c>
      <c r="D2144" t="s">
        <v>12</v>
      </c>
      <c r="E2144" t="s">
        <v>512</v>
      </c>
      <c r="F2144" t="s">
        <v>1083</v>
      </c>
      <c r="G2144" t="s">
        <v>468</v>
      </c>
      <c r="H2144" t="s">
        <v>447</v>
      </c>
      <c r="I2144" t="s">
        <v>448</v>
      </c>
      <c r="J2144" t="s">
        <v>449</v>
      </c>
      <c r="K2144" t="s">
        <v>450</v>
      </c>
      <c r="L2144" t="s">
        <v>370</v>
      </c>
      <c r="M2144" t="s">
        <v>408</v>
      </c>
      <c r="N2144" t="s">
        <v>11</v>
      </c>
      <c r="O2144" t="s">
        <v>408</v>
      </c>
      <c r="P2144" t="s">
        <v>2</v>
      </c>
      <c r="Q2144" t="s">
        <v>408</v>
      </c>
      <c r="R2144" t="s">
        <v>439</v>
      </c>
      <c r="S2144" t="s">
        <v>451</v>
      </c>
      <c r="T2144" t="s">
        <v>11</v>
      </c>
      <c r="U2144" t="s">
        <v>408</v>
      </c>
    </row>
    <row r="2145" spans="1:21" x14ac:dyDescent="0.25">
      <c r="A2145">
        <v>20910545</v>
      </c>
      <c r="B2145" t="s">
        <v>340</v>
      </c>
      <c r="C2145" t="s">
        <v>26</v>
      </c>
      <c r="D2145" t="s">
        <v>12</v>
      </c>
      <c r="E2145" t="s">
        <v>510</v>
      </c>
      <c r="F2145" t="s">
        <v>1063</v>
      </c>
      <c r="G2145" t="s">
        <v>468</v>
      </c>
      <c r="H2145" t="s">
        <v>447</v>
      </c>
      <c r="I2145" t="s">
        <v>448</v>
      </c>
      <c r="J2145" t="s">
        <v>449</v>
      </c>
      <c r="K2145" t="s">
        <v>450</v>
      </c>
      <c r="L2145" t="s">
        <v>375</v>
      </c>
      <c r="M2145" t="s">
        <v>408</v>
      </c>
      <c r="N2145" t="s">
        <v>11</v>
      </c>
      <c r="O2145" t="s">
        <v>11</v>
      </c>
      <c r="P2145" t="s">
        <v>2</v>
      </c>
      <c r="Q2145" t="s">
        <v>408</v>
      </c>
      <c r="R2145" t="s">
        <v>439</v>
      </c>
      <c r="S2145" t="s">
        <v>451</v>
      </c>
      <c r="T2145" t="s">
        <v>11</v>
      </c>
      <c r="U2145" t="s">
        <v>408</v>
      </c>
    </row>
    <row r="2146" spans="1:21" x14ac:dyDescent="0.25">
      <c r="A2146">
        <v>20910546</v>
      </c>
      <c r="B2146" t="s">
        <v>342</v>
      </c>
      <c r="C2146" t="s">
        <v>89</v>
      </c>
      <c r="D2146" t="s">
        <v>12</v>
      </c>
      <c r="E2146" t="s">
        <v>625</v>
      </c>
      <c r="F2146" t="s">
        <v>312</v>
      </c>
      <c r="G2146" t="s">
        <v>468</v>
      </c>
      <c r="H2146" t="s">
        <v>765</v>
      </c>
      <c r="I2146" t="s">
        <v>766</v>
      </c>
      <c r="J2146" t="s">
        <v>767</v>
      </c>
      <c r="K2146" t="s">
        <v>444</v>
      </c>
      <c r="L2146" t="s">
        <v>675</v>
      </c>
      <c r="M2146" t="s">
        <v>408</v>
      </c>
      <c r="N2146" t="s">
        <v>11</v>
      </c>
      <c r="O2146" t="s">
        <v>11</v>
      </c>
      <c r="P2146" t="s">
        <v>2</v>
      </c>
      <c r="Q2146" t="s">
        <v>408</v>
      </c>
      <c r="R2146" t="s">
        <v>439</v>
      </c>
      <c r="S2146" t="s">
        <v>451</v>
      </c>
      <c r="T2146" t="s">
        <v>11</v>
      </c>
      <c r="U2146" t="s">
        <v>408</v>
      </c>
    </row>
    <row r="2147" spans="1:21" x14ac:dyDescent="0.25">
      <c r="A2147">
        <v>20910547</v>
      </c>
      <c r="B2147" t="s">
        <v>342</v>
      </c>
      <c r="C2147" t="s">
        <v>89</v>
      </c>
      <c r="D2147" t="s">
        <v>12</v>
      </c>
      <c r="E2147" t="s">
        <v>512</v>
      </c>
      <c r="F2147" t="s">
        <v>183</v>
      </c>
      <c r="G2147" t="s">
        <v>468</v>
      </c>
      <c r="H2147" t="s">
        <v>603</v>
      </c>
      <c r="I2147" t="s">
        <v>604</v>
      </c>
      <c r="J2147" t="s">
        <v>605</v>
      </c>
      <c r="K2147" t="s">
        <v>606</v>
      </c>
      <c r="L2147" t="s">
        <v>837</v>
      </c>
      <c r="M2147" t="s">
        <v>408</v>
      </c>
      <c r="N2147" t="s">
        <v>11</v>
      </c>
      <c r="O2147" t="s">
        <v>11</v>
      </c>
      <c r="P2147" t="s">
        <v>2</v>
      </c>
      <c r="Q2147" t="s">
        <v>408</v>
      </c>
      <c r="R2147" t="s">
        <v>439</v>
      </c>
      <c r="S2147" t="s">
        <v>451</v>
      </c>
      <c r="T2147" t="s">
        <v>11</v>
      </c>
      <c r="U2147" t="s">
        <v>408</v>
      </c>
    </row>
    <row r="2148" spans="1:21" x14ac:dyDescent="0.25">
      <c r="A2148">
        <v>20910548</v>
      </c>
      <c r="B2148" t="s">
        <v>340</v>
      </c>
      <c r="C2148" t="s">
        <v>86</v>
      </c>
      <c r="D2148" t="s">
        <v>12</v>
      </c>
      <c r="E2148" t="s">
        <v>512</v>
      </c>
      <c r="F2148" t="s">
        <v>182</v>
      </c>
      <c r="G2148" t="s">
        <v>468</v>
      </c>
      <c r="H2148" t="s">
        <v>617</v>
      </c>
      <c r="I2148" t="s">
        <v>618</v>
      </c>
      <c r="J2148" t="s">
        <v>619</v>
      </c>
      <c r="K2148" t="s">
        <v>606</v>
      </c>
      <c r="L2148" t="s">
        <v>375</v>
      </c>
      <c r="M2148" t="s">
        <v>408</v>
      </c>
      <c r="N2148" t="s">
        <v>11</v>
      </c>
      <c r="O2148" t="s">
        <v>11</v>
      </c>
      <c r="P2148" t="s">
        <v>2</v>
      </c>
      <c r="Q2148" t="s">
        <v>408</v>
      </c>
      <c r="R2148" t="s">
        <v>439</v>
      </c>
      <c r="S2148" t="s">
        <v>451</v>
      </c>
      <c r="T2148" t="s">
        <v>11</v>
      </c>
      <c r="U2148" t="s">
        <v>408</v>
      </c>
    </row>
    <row r="2149" spans="1:21" x14ac:dyDescent="0.25">
      <c r="A2149">
        <v>20910549</v>
      </c>
      <c r="B2149" t="s">
        <v>342</v>
      </c>
      <c r="C2149" t="s">
        <v>89</v>
      </c>
      <c r="D2149" t="s">
        <v>12</v>
      </c>
      <c r="E2149" t="s">
        <v>512</v>
      </c>
      <c r="F2149" t="s">
        <v>182</v>
      </c>
      <c r="G2149" t="s">
        <v>468</v>
      </c>
      <c r="H2149" t="s">
        <v>761</v>
      </c>
      <c r="I2149" t="s">
        <v>762</v>
      </c>
      <c r="J2149" t="s">
        <v>763</v>
      </c>
      <c r="K2149" t="s">
        <v>764</v>
      </c>
      <c r="L2149" t="s">
        <v>837</v>
      </c>
      <c r="M2149" t="s">
        <v>408</v>
      </c>
      <c r="N2149" t="s">
        <v>11</v>
      </c>
      <c r="O2149" t="s">
        <v>11</v>
      </c>
      <c r="P2149" t="s">
        <v>2</v>
      </c>
      <c r="Q2149" t="s">
        <v>408</v>
      </c>
      <c r="R2149" t="s">
        <v>439</v>
      </c>
      <c r="S2149" t="s">
        <v>440</v>
      </c>
      <c r="T2149" t="s">
        <v>11</v>
      </c>
      <c r="U2149" t="s">
        <v>408</v>
      </c>
    </row>
    <row r="2150" spans="1:21" x14ac:dyDescent="0.25">
      <c r="A2150">
        <v>20910550</v>
      </c>
      <c r="B2150" t="s">
        <v>342</v>
      </c>
      <c r="C2150" t="s">
        <v>33</v>
      </c>
      <c r="D2150" t="s">
        <v>12</v>
      </c>
      <c r="E2150" t="s">
        <v>511</v>
      </c>
      <c r="F2150" t="s">
        <v>1082</v>
      </c>
      <c r="G2150" t="s">
        <v>369</v>
      </c>
      <c r="H2150" t="s">
        <v>820</v>
      </c>
      <c r="I2150" t="s">
        <v>821</v>
      </c>
      <c r="J2150" t="s">
        <v>822</v>
      </c>
      <c r="K2150" t="s">
        <v>701</v>
      </c>
      <c r="L2150" t="s">
        <v>997</v>
      </c>
      <c r="M2150" t="s">
        <v>11</v>
      </c>
      <c r="N2150" t="s">
        <v>11</v>
      </c>
      <c r="O2150" t="s">
        <v>408</v>
      </c>
      <c r="P2150" t="s">
        <v>0</v>
      </c>
      <c r="Q2150" t="s">
        <v>408</v>
      </c>
      <c r="R2150" t="s">
        <v>439</v>
      </c>
      <c r="S2150" t="s">
        <v>451</v>
      </c>
      <c r="T2150" t="s">
        <v>408</v>
      </c>
      <c r="U2150" t="s">
        <v>408</v>
      </c>
    </row>
    <row r="2151" spans="1:21" x14ac:dyDescent="0.25">
      <c r="A2151">
        <v>20910551</v>
      </c>
      <c r="B2151" t="s">
        <v>342</v>
      </c>
      <c r="C2151" t="s">
        <v>89</v>
      </c>
      <c r="D2151" t="s">
        <v>12</v>
      </c>
      <c r="E2151" t="s">
        <v>510</v>
      </c>
      <c r="F2151" t="s">
        <v>359</v>
      </c>
      <c r="G2151" t="s">
        <v>468</v>
      </c>
      <c r="H2151" t="s">
        <v>761</v>
      </c>
      <c r="I2151" t="s">
        <v>762</v>
      </c>
      <c r="J2151" t="s">
        <v>763</v>
      </c>
      <c r="K2151" t="s">
        <v>764</v>
      </c>
      <c r="L2151" t="s">
        <v>837</v>
      </c>
      <c r="M2151" t="s">
        <v>408</v>
      </c>
      <c r="N2151" t="s">
        <v>11</v>
      </c>
      <c r="O2151" t="s">
        <v>11</v>
      </c>
      <c r="P2151" t="s">
        <v>0</v>
      </c>
      <c r="Q2151" t="s">
        <v>408</v>
      </c>
      <c r="R2151" t="s">
        <v>439</v>
      </c>
      <c r="S2151" t="s">
        <v>440</v>
      </c>
      <c r="T2151" t="s">
        <v>11</v>
      </c>
      <c r="U2151" t="s">
        <v>408</v>
      </c>
    </row>
    <row r="2152" spans="1:21" x14ac:dyDescent="0.25">
      <c r="A2152">
        <v>20910552</v>
      </c>
      <c r="B2152" t="s">
        <v>342</v>
      </c>
      <c r="C2152" t="s">
        <v>89</v>
      </c>
      <c r="D2152" t="s">
        <v>12</v>
      </c>
      <c r="E2152" t="s">
        <v>510</v>
      </c>
      <c r="F2152" t="s">
        <v>359</v>
      </c>
      <c r="G2152" t="s">
        <v>468</v>
      </c>
      <c r="H2152" t="s">
        <v>603</v>
      </c>
      <c r="I2152" t="s">
        <v>604</v>
      </c>
      <c r="J2152" t="s">
        <v>605</v>
      </c>
      <c r="K2152" t="s">
        <v>606</v>
      </c>
      <c r="L2152" t="s">
        <v>837</v>
      </c>
      <c r="M2152" t="s">
        <v>408</v>
      </c>
      <c r="N2152" t="s">
        <v>11</v>
      </c>
      <c r="O2152" t="s">
        <v>11</v>
      </c>
      <c r="P2152" t="s">
        <v>0</v>
      </c>
      <c r="Q2152" t="s">
        <v>408</v>
      </c>
      <c r="R2152" t="s">
        <v>439</v>
      </c>
      <c r="S2152" t="s">
        <v>451</v>
      </c>
      <c r="T2152" t="s">
        <v>11</v>
      </c>
      <c r="U2152" t="s">
        <v>408</v>
      </c>
    </row>
    <row r="2153" spans="1:21" x14ac:dyDescent="0.25">
      <c r="A2153">
        <v>20910553</v>
      </c>
      <c r="B2153" t="s">
        <v>340</v>
      </c>
      <c r="C2153" t="s">
        <v>26</v>
      </c>
      <c r="D2153" t="s">
        <v>12</v>
      </c>
      <c r="E2153" t="s">
        <v>510</v>
      </c>
      <c r="F2153" t="s">
        <v>359</v>
      </c>
      <c r="G2153" t="s">
        <v>468</v>
      </c>
      <c r="H2153" t="s">
        <v>617</v>
      </c>
      <c r="I2153" t="s">
        <v>618</v>
      </c>
      <c r="J2153" t="s">
        <v>619</v>
      </c>
      <c r="K2153" t="s">
        <v>606</v>
      </c>
      <c r="L2153" t="s">
        <v>4</v>
      </c>
      <c r="M2153" t="s">
        <v>408</v>
      </c>
      <c r="N2153" t="s">
        <v>11</v>
      </c>
      <c r="O2153" t="s">
        <v>11</v>
      </c>
      <c r="P2153" t="s">
        <v>0</v>
      </c>
      <c r="Q2153" t="s">
        <v>408</v>
      </c>
      <c r="R2153" t="s">
        <v>439</v>
      </c>
      <c r="S2153" t="s">
        <v>451</v>
      </c>
      <c r="T2153" t="s">
        <v>11</v>
      </c>
      <c r="U2153" t="s">
        <v>408</v>
      </c>
    </row>
    <row r="2154" spans="1:21" x14ac:dyDescent="0.25">
      <c r="A2154">
        <v>20910554</v>
      </c>
      <c r="B2154" t="s">
        <v>342</v>
      </c>
      <c r="C2154" t="s">
        <v>89</v>
      </c>
      <c r="D2154" t="s">
        <v>12</v>
      </c>
      <c r="E2154" t="s">
        <v>510</v>
      </c>
      <c r="F2154" t="s">
        <v>359</v>
      </c>
      <c r="G2154" t="s">
        <v>468</v>
      </c>
      <c r="H2154" t="s">
        <v>677</v>
      </c>
      <c r="I2154" t="s">
        <v>835</v>
      </c>
      <c r="J2154" t="s">
        <v>836</v>
      </c>
      <c r="K2154" t="s">
        <v>442</v>
      </c>
      <c r="L2154" t="s">
        <v>0</v>
      </c>
      <c r="M2154" t="s">
        <v>11</v>
      </c>
      <c r="N2154" t="s">
        <v>11</v>
      </c>
      <c r="O2154" t="s">
        <v>11</v>
      </c>
      <c r="P2154" t="s">
        <v>0</v>
      </c>
      <c r="Q2154" t="s">
        <v>408</v>
      </c>
      <c r="R2154" t="s">
        <v>439</v>
      </c>
      <c r="S2154" t="s">
        <v>440</v>
      </c>
      <c r="T2154" t="s">
        <v>408</v>
      </c>
      <c r="U2154" t="s">
        <v>408</v>
      </c>
    </row>
    <row r="2155" spans="1:21" x14ac:dyDescent="0.25">
      <c r="A2155">
        <v>20910555</v>
      </c>
      <c r="B2155" t="s">
        <v>342</v>
      </c>
      <c r="C2155" t="s">
        <v>89</v>
      </c>
      <c r="D2155" t="s">
        <v>12</v>
      </c>
      <c r="E2155" t="s">
        <v>510</v>
      </c>
      <c r="F2155" t="s">
        <v>359</v>
      </c>
      <c r="G2155" t="s">
        <v>468</v>
      </c>
      <c r="H2155" t="s">
        <v>761</v>
      </c>
      <c r="I2155" t="s">
        <v>762</v>
      </c>
      <c r="J2155" t="s">
        <v>763</v>
      </c>
      <c r="K2155" t="s">
        <v>764</v>
      </c>
      <c r="L2155" t="s">
        <v>837</v>
      </c>
      <c r="M2155" t="s">
        <v>408</v>
      </c>
      <c r="N2155" t="s">
        <v>11</v>
      </c>
      <c r="O2155" t="s">
        <v>11</v>
      </c>
      <c r="P2155" t="s">
        <v>0</v>
      </c>
      <c r="Q2155" t="s">
        <v>408</v>
      </c>
      <c r="R2155" t="s">
        <v>439</v>
      </c>
      <c r="S2155" t="s">
        <v>440</v>
      </c>
      <c r="T2155" t="s">
        <v>11</v>
      </c>
      <c r="U2155" t="s">
        <v>408</v>
      </c>
    </row>
    <row r="2156" spans="1:21" x14ac:dyDescent="0.25">
      <c r="A2156">
        <v>20910556</v>
      </c>
      <c r="B2156" t="s">
        <v>342</v>
      </c>
      <c r="C2156" t="s">
        <v>89</v>
      </c>
      <c r="D2156" t="s">
        <v>12</v>
      </c>
      <c r="E2156" t="s">
        <v>1081</v>
      </c>
      <c r="F2156" t="s">
        <v>1080</v>
      </c>
      <c r="G2156" t="s">
        <v>468</v>
      </c>
      <c r="H2156" t="s">
        <v>838</v>
      </c>
      <c r="I2156" t="s">
        <v>839</v>
      </c>
      <c r="J2156" t="s">
        <v>839</v>
      </c>
      <c r="K2156" t="s">
        <v>450</v>
      </c>
      <c r="L2156" t="s">
        <v>675</v>
      </c>
      <c r="M2156" t="s">
        <v>408</v>
      </c>
      <c r="N2156" t="s">
        <v>11</v>
      </c>
      <c r="O2156" t="s">
        <v>11</v>
      </c>
      <c r="P2156" t="s">
        <v>3</v>
      </c>
      <c r="Q2156" t="s">
        <v>408</v>
      </c>
      <c r="R2156" t="s">
        <v>439</v>
      </c>
      <c r="S2156" t="s">
        <v>451</v>
      </c>
      <c r="T2156" t="s">
        <v>11</v>
      </c>
      <c r="U2156" t="s">
        <v>408</v>
      </c>
    </row>
    <row r="2157" spans="1:21" x14ac:dyDescent="0.25">
      <c r="A2157">
        <v>20910557</v>
      </c>
      <c r="B2157" t="s">
        <v>342</v>
      </c>
      <c r="C2157" t="s">
        <v>89</v>
      </c>
      <c r="D2157" t="s">
        <v>18</v>
      </c>
      <c r="E2157" t="s">
        <v>751</v>
      </c>
      <c r="F2157" t="s">
        <v>190</v>
      </c>
      <c r="G2157" t="s">
        <v>468</v>
      </c>
      <c r="H2157" t="s">
        <v>603</v>
      </c>
      <c r="I2157" t="s">
        <v>604</v>
      </c>
      <c r="J2157" t="s">
        <v>605</v>
      </c>
      <c r="K2157" t="s">
        <v>606</v>
      </c>
      <c r="L2157" t="s">
        <v>675</v>
      </c>
      <c r="M2157" t="s">
        <v>408</v>
      </c>
      <c r="N2157" t="s">
        <v>11</v>
      </c>
      <c r="O2157" t="s">
        <v>11</v>
      </c>
      <c r="P2157" t="s">
        <v>3</v>
      </c>
      <c r="Q2157" t="s">
        <v>408</v>
      </c>
      <c r="R2157" t="s">
        <v>439</v>
      </c>
      <c r="S2157" t="s">
        <v>451</v>
      </c>
      <c r="T2157" t="s">
        <v>11</v>
      </c>
      <c r="U2157" t="s">
        <v>408</v>
      </c>
    </row>
    <row r="2158" spans="1:21" x14ac:dyDescent="0.25">
      <c r="A2158">
        <v>20910558</v>
      </c>
      <c r="B2158" t="s">
        <v>342</v>
      </c>
      <c r="C2158" t="s">
        <v>89</v>
      </c>
      <c r="D2158" t="s">
        <v>12</v>
      </c>
      <c r="E2158" t="s">
        <v>625</v>
      </c>
      <c r="F2158" t="s">
        <v>312</v>
      </c>
      <c r="G2158" t="s">
        <v>468</v>
      </c>
      <c r="H2158" t="s">
        <v>617</v>
      </c>
      <c r="I2158" t="s">
        <v>618</v>
      </c>
      <c r="J2158" t="s">
        <v>619</v>
      </c>
      <c r="K2158" t="s">
        <v>606</v>
      </c>
      <c r="L2158" t="s">
        <v>847</v>
      </c>
      <c r="M2158" t="s">
        <v>408</v>
      </c>
      <c r="N2158" t="s">
        <v>11</v>
      </c>
      <c r="O2158" t="s">
        <v>11</v>
      </c>
      <c r="P2158" t="s">
        <v>3</v>
      </c>
      <c r="Q2158" t="s">
        <v>408</v>
      </c>
      <c r="R2158" t="s">
        <v>439</v>
      </c>
      <c r="S2158" t="s">
        <v>451</v>
      </c>
      <c r="T2158" t="s">
        <v>11</v>
      </c>
      <c r="U2158" t="s">
        <v>408</v>
      </c>
    </row>
    <row r="2159" spans="1:21" x14ac:dyDescent="0.25">
      <c r="A2159">
        <v>20910559</v>
      </c>
      <c r="B2159" t="s">
        <v>340</v>
      </c>
      <c r="C2159" t="s">
        <v>26</v>
      </c>
      <c r="D2159" t="s">
        <v>18</v>
      </c>
      <c r="E2159" t="s">
        <v>625</v>
      </c>
      <c r="F2159" t="s">
        <v>312</v>
      </c>
      <c r="G2159" t="s">
        <v>468</v>
      </c>
      <c r="H2159" t="s">
        <v>617</v>
      </c>
      <c r="I2159" t="s">
        <v>618</v>
      </c>
      <c r="J2159" t="s">
        <v>619</v>
      </c>
      <c r="K2159" t="s">
        <v>606</v>
      </c>
      <c r="L2159" t="s">
        <v>841</v>
      </c>
      <c r="M2159" t="s">
        <v>408</v>
      </c>
      <c r="N2159" t="s">
        <v>11</v>
      </c>
      <c r="O2159" t="s">
        <v>408</v>
      </c>
      <c r="P2159" t="s">
        <v>3</v>
      </c>
      <c r="Q2159" t="s">
        <v>408</v>
      </c>
      <c r="R2159" t="s">
        <v>439</v>
      </c>
      <c r="S2159" t="s">
        <v>451</v>
      </c>
      <c r="T2159" t="s">
        <v>11</v>
      </c>
      <c r="U2159" t="s">
        <v>408</v>
      </c>
    </row>
    <row r="2160" spans="1:21" x14ac:dyDescent="0.25">
      <c r="A2160">
        <v>20910560</v>
      </c>
      <c r="B2160" t="s">
        <v>342</v>
      </c>
      <c r="C2160" t="s">
        <v>89</v>
      </c>
      <c r="D2160" t="s">
        <v>12</v>
      </c>
      <c r="E2160" t="s">
        <v>625</v>
      </c>
      <c r="F2160" t="s">
        <v>312</v>
      </c>
      <c r="G2160" t="s">
        <v>468</v>
      </c>
      <c r="H2160" t="s">
        <v>447</v>
      </c>
      <c r="I2160" t="s">
        <v>448</v>
      </c>
      <c r="J2160" t="s">
        <v>449</v>
      </c>
      <c r="K2160" t="s">
        <v>450</v>
      </c>
      <c r="L2160" t="s">
        <v>367</v>
      </c>
      <c r="M2160" t="s">
        <v>408</v>
      </c>
      <c r="N2160" t="s">
        <v>11</v>
      </c>
      <c r="O2160" t="s">
        <v>408</v>
      </c>
      <c r="P2160" t="s">
        <v>3</v>
      </c>
      <c r="Q2160" t="s">
        <v>408</v>
      </c>
      <c r="R2160" t="s">
        <v>439</v>
      </c>
      <c r="S2160" t="s">
        <v>451</v>
      </c>
      <c r="T2160" t="s">
        <v>11</v>
      </c>
      <c r="U2160" t="s">
        <v>408</v>
      </c>
    </row>
    <row r="2161" spans="1:21" x14ac:dyDescent="0.25">
      <c r="A2161">
        <v>20910561</v>
      </c>
      <c r="B2161" t="s">
        <v>342</v>
      </c>
      <c r="C2161" t="s">
        <v>89</v>
      </c>
      <c r="D2161" t="s">
        <v>12</v>
      </c>
      <c r="E2161" t="s">
        <v>512</v>
      </c>
      <c r="F2161" t="s">
        <v>1079</v>
      </c>
      <c r="G2161" t="s">
        <v>468</v>
      </c>
      <c r="H2161" t="s">
        <v>1078</v>
      </c>
      <c r="I2161" t="s">
        <v>1077</v>
      </c>
      <c r="J2161" t="s">
        <v>1076</v>
      </c>
      <c r="K2161" t="s">
        <v>450</v>
      </c>
      <c r="L2161" t="s">
        <v>1075</v>
      </c>
      <c r="M2161" t="s">
        <v>11</v>
      </c>
      <c r="N2161" t="s">
        <v>11</v>
      </c>
      <c r="O2161" t="s">
        <v>408</v>
      </c>
      <c r="P2161" t="s">
        <v>3</v>
      </c>
      <c r="Q2161" t="s">
        <v>408</v>
      </c>
      <c r="R2161" t="s">
        <v>439</v>
      </c>
      <c r="S2161" t="s">
        <v>451</v>
      </c>
      <c r="T2161" t="s">
        <v>408</v>
      </c>
      <c r="U2161" t="s">
        <v>408</v>
      </c>
    </row>
    <row r="2162" spans="1:21" x14ac:dyDescent="0.25">
      <c r="A2162">
        <v>20910562</v>
      </c>
      <c r="B2162" t="s">
        <v>342</v>
      </c>
      <c r="C2162" t="s">
        <v>89</v>
      </c>
      <c r="D2162" t="s">
        <v>18</v>
      </c>
      <c r="E2162" t="s">
        <v>512</v>
      </c>
      <c r="F2162" t="s">
        <v>182</v>
      </c>
      <c r="G2162" t="s">
        <v>468</v>
      </c>
      <c r="H2162" t="s">
        <v>816</v>
      </c>
      <c r="I2162" t="s">
        <v>817</v>
      </c>
      <c r="J2162" t="s">
        <v>818</v>
      </c>
      <c r="K2162" t="s">
        <v>764</v>
      </c>
      <c r="L2162" t="s">
        <v>847</v>
      </c>
      <c r="M2162" t="s">
        <v>408</v>
      </c>
      <c r="N2162" t="s">
        <v>11</v>
      </c>
      <c r="O2162" t="s">
        <v>11</v>
      </c>
      <c r="P2162" t="s">
        <v>3</v>
      </c>
      <c r="Q2162" t="s">
        <v>408</v>
      </c>
      <c r="R2162" t="s">
        <v>439</v>
      </c>
      <c r="S2162" t="s">
        <v>451</v>
      </c>
      <c r="T2162" t="s">
        <v>11</v>
      </c>
      <c r="U2162" t="s">
        <v>408</v>
      </c>
    </row>
    <row r="2163" spans="1:21" x14ac:dyDescent="0.25">
      <c r="A2163">
        <v>20916626</v>
      </c>
      <c r="B2163" t="s">
        <v>340</v>
      </c>
      <c r="C2163" t="s">
        <v>26</v>
      </c>
      <c r="D2163" t="s">
        <v>79</v>
      </c>
      <c r="E2163" t="s">
        <v>511</v>
      </c>
      <c r="F2163" t="s">
        <v>412</v>
      </c>
      <c r="G2163" t="s">
        <v>369</v>
      </c>
      <c r="H2163" t="s">
        <v>689</v>
      </c>
      <c r="I2163" t="s">
        <v>1074</v>
      </c>
      <c r="J2163" t="s">
        <v>1073</v>
      </c>
      <c r="K2163" t="s">
        <v>701</v>
      </c>
      <c r="L2163" t="s">
        <v>671</v>
      </c>
      <c r="M2163" t="s">
        <v>408</v>
      </c>
      <c r="N2163" t="s">
        <v>11</v>
      </c>
      <c r="O2163" t="s">
        <v>11</v>
      </c>
      <c r="P2163" t="s">
        <v>4</v>
      </c>
      <c r="Q2163" t="s">
        <v>408</v>
      </c>
      <c r="R2163" t="s">
        <v>439</v>
      </c>
      <c r="S2163" t="s">
        <v>451</v>
      </c>
      <c r="T2163" t="s">
        <v>11</v>
      </c>
      <c r="U2163" t="s">
        <v>408</v>
      </c>
    </row>
    <row r="2164" spans="1:21" x14ac:dyDescent="0.25">
      <c r="A2164">
        <v>20916628</v>
      </c>
      <c r="B2164" t="s">
        <v>342</v>
      </c>
      <c r="C2164" t="s">
        <v>89</v>
      </c>
      <c r="D2164" t="s">
        <v>12</v>
      </c>
      <c r="E2164" t="s">
        <v>510</v>
      </c>
      <c r="F2164" t="s">
        <v>413</v>
      </c>
      <c r="G2164" t="s">
        <v>468</v>
      </c>
      <c r="H2164" t="s">
        <v>447</v>
      </c>
      <c r="I2164" t="s">
        <v>448</v>
      </c>
      <c r="J2164" t="s">
        <v>449</v>
      </c>
      <c r="K2164" t="s">
        <v>450</v>
      </c>
      <c r="L2164" t="s">
        <v>4</v>
      </c>
      <c r="M2164" t="s">
        <v>408</v>
      </c>
      <c r="N2164" t="s">
        <v>11</v>
      </c>
      <c r="O2164" t="s">
        <v>11</v>
      </c>
      <c r="P2164" t="s">
        <v>4</v>
      </c>
      <c r="Q2164" t="s">
        <v>408</v>
      </c>
      <c r="R2164" t="s">
        <v>439</v>
      </c>
      <c r="S2164" t="s">
        <v>451</v>
      </c>
      <c r="T2164" t="s">
        <v>11</v>
      </c>
      <c r="U2164" t="s">
        <v>408</v>
      </c>
    </row>
    <row r="2165" spans="1:21" x14ac:dyDescent="0.25">
      <c r="A2165">
        <v>20916629</v>
      </c>
      <c r="B2165" t="s">
        <v>340</v>
      </c>
      <c r="C2165" t="s">
        <v>26</v>
      </c>
      <c r="D2165" t="s">
        <v>12</v>
      </c>
      <c r="E2165" t="s">
        <v>481</v>
      </c>
      <c r="F2165" t="s">
        <v>411</v>
      </c>
      <c r="G2165" t="s">
        <v>369</v>
      </c>
      <c r="H2165" t="s">
        <v>782</v>
      </c>
      <c r="I2165" t="s">
        <v>783</v>
      </c>
      <c r="J2165" t="s">
        <v>784</v>
      </c>
      <c r="K2165" t="s">
        <v>438</v>
      </c>
      <c r="L2165" t="s">
        <v>1015</v>
      </c>
      <c r="M2165" t="s">
        <v>11</v>
      </c>
      <c r="N2165" t="s">
        <v>11</v>
      </c>
      <c r="O2165" t="s">
        <v>11</v>
      </c>
      <c r="P2165" t="s">
        <v>4</v>
      </c>
      <c r="Q2165" t="s">
        <v>408</v>
      </c>
      <c r="R2165" t="s">
        <v>439</v>
      </c>
      <c r="S2165" t="s">
        <v>451</v>
      </c>
      <c r="T2165" t="s">
        <v>408</v>
      </c>
      <c r="U2165" t="s">
        <v>408</v>
      </c>
    </row>
    <row r="2166" spans="1:21" x14ac:dyDescent="0.25">
      <c r="A2166">
        <v>20916630</v>
      </c>
      <c r="B2166" t="s">
        <v>342</v>
      </c>
      <c r="C2166" t="s">
        <v>89</v>
      </c>
      <c r="D2166" t="s">
        <v>406</v>
      </c>
      <c r="E2166" t="s">
        <v>510</v>
      </c>
      <c r="F2166" t="s">
        <v>413</v>
      </c>
      <c r="G2166" t="s">
        <v>468</v>
      </c>
      <c r="H2166" t="s">
        <v>775</v>
      </c>
      <c r="I2166" t="s">
        <v>776</v>
      </c>
      <c r="J2166" t="s">
        <v>776</v>
      </c>
      <c r="K2166" t="s">
        <v>450</v>
      </c>
      <c r="L2166" t="s">
        <v>1009</v>
      </c>
      <c r="M2166" t="s">
        <v>11</v>
      </c>
      <c r="N2166" t="s">
        <v>11</v>
      </c>
      <c r="O2166" t="s">
        <v>11</v>
      </c>
      <c r="P2166" t="s">
        <v>4</v>
      </c>
      <c r="Q2166" t="s">
        <v>408</v>
      </c>
      <c r="R2166" t="s">
        <v>439</v>
      </c>
      <c r="S2166" t="s">
        <v>451</v>
      </c>
      <c r="T2166" t="s">
        <v>408</v>
      </c>
      <c r="U2166" t="s">
        <v>408</v>
      </c>
    </row>
    <row r="2167" spans="1:21" x14ac:dyDescent="0.25">
      <c r="A2167">
        <v>20916631</v>
      </c>
      <c r="B2167" t="s">
        <v>342</v>
      </c>
      <c r="C2167" t="s">
        <v>33</v>
      </c>
      <c r="D2167" t="s">
        <v>12</v>
      </c>
      <c r="E2167" t="s">
        <v>512</v>
      </c>
      <c r="F2167" t="s">
        <v>92</v>
      </c>
      <c r="G2167" t="s">
        <v>369</v>
      </c>
      <c r="H2167" t="s">
        <v>820</v>
      </c>
      <c r="I2167" t="s">
        <v>821</v>
      </c>
      <c r="J2167" t="s">
        <v>822</v>
      </c>
      <c r="K2167" t="s">
        <v>701</v>
      </c>
      <c r="L2167" t="s">
        <v>876</v>
      </c>
      <c r="M2167" t="s">
        <v>11</v>
      </c>
      <c r="N2167" t="s">
        <v>11</v>
      </c>
      <c r="O2167" t="s">
        <v>11</v>
      </c>
      <c r="P2167" t="s">
        <v>4</v>
      </c>
      <c r="Q2167" t="s">
        <v>408</v>
      </c>
      <c r="R2167" t="s">
        <v>439</v>
      </c>
      <c r="S2167" t="s">
        <v>451</v>
      </c>
      <c r="T2167" t="s">
        <v>408</v>
      </c>
      <c r="U2167" t="s">
        <v>408</v>
      </c>
    </row>
    <row r="2168" spans="1:21" x14ac:dyDescent="0.25">
      <c r="A2168">
        <v>20916633</v>
      </c>
      <c r="B2168" t="s">
        <v>342</v>
      </c>
      <c r="C2168" t="s">
        <v>89</v>
      </c>
      <c r="D2168" t="s">
        <v>24</v>
      </c>
      <c r="E2168" t="s">
        <v>510</v>
      </c>
      <c r="F2168" t="s">
        <v>413</v>
      </c>
      <c r="G2168" t="s">
        <v>468</v>
      </c>
      <c r="H2168" t="s">
        <v>715</v>
      </c>
      <c r="I2168" t="s">
        <v>716</v>
      </c>
      <c r="J2168" t="s">
        <v>717</v>
      </c>
      <c r="K2168" t="s">
        <v>438</v>
      </c>
      <c r="L2168" t="s">
        <v>1009</v>
      </c>
      <c r="M2168" t="s">
        <v>11</v>
      </c>
      <c r="N2168" t="s">
        <v>11</v>
      </c>
      <c r="O2168" t="s">
        <v>11</v>
      </c>
      <c r="P2168" t="s">
        <v>4</v>
      </c>
      <c r="Q2168" t="s">
        <v>408</v>
      </c>
      <c r="R2168" t="s">
        <v>439</v>
      </c>
      <c r="S2168" t="s">
        <v>440</v>
      </c>
      <c r="T2168" t="s">
        <v>408</v>
      </c>
      <c r="U2168" t="s">
        <v>408</v>
      </c>
    </row>
    <row r="2169" spans="1:21" x14ac:dyDescent="0.25">
      <c r="A2169">
        <v>20916634</v>
      </c>
      <c r="B2169" t="s">
        <v>342</v>
      </c>
      <c r="C2169" t="s">
        <v>89</v>
      </c>
      <c r="D2169" t="s">
        <v>12</v>
      </c>
      <c r="E2169" t="s">
        <v>510</v>
      </c>
      <c r="F2169" t="s">
        <v>413</v>
      </c>
      <c r="G2169" t="s">
        <v>468</v>
      </c>
      <c r="H2169" t="s">
        <v>820</v>
      </c>
      <c r="I2169" t="s">
        <v>821</v>
      </c>
      <c r="J2169" t="s">
        <v>822</v>
      </c>
      <c r="K2169" t="s">
        <v>701</v>
      </c>
      <c r="L2169" t="s">
        <v>1014</v>
      </c>
      <c r="M2169" t="s">
        <v>11</v>
      </c>
      <c r="N2169" t="s">
        <v>11</v>
      </c>
      <c r="O2169" t="s">
        <v>11</v>
      </c>
      <c r="P2169" t="s">
        <v>4</v>
      </c>
      <c r="Q2169" t="s">
        <v>408</v>
      </c>
      <c r="R2169" t="s">
        <v>439</v>
      </c>
      <c r="S2169" t="s">
        <v>451</v>
      </c>
      <c r="T2169" t="s">
        <v>408</v>
      </c>
      <c r="U2169" t="s">
        <v>408</v>
      </c>
    </row>
    <row r="2170" spans="1:21" x14ac:dyDescent="0.25">
      <c r="A2170">
        <v>20916636</v>
      </c>
      <c r="B2170" t="s">
        <v>340</v>
      </c>
      <c r="C2170" t="s">
        <v>26</v>
      </c>
      <c r="D2170" t="s">
        <v>24</v>
      </c>
      <c r="E2170" t="s">
        <v>718</v>
      </c>
      <c r="F2170" t="s">
        <v>167</v>
      </c>
      <c r="G2170" t="s">
        <v>468</v>
      </c>
      <c r="H2170" t="s">
        <v>715</v>
      </c>
      <c r="I2170" t="s">
        <v>716</v>
      </c>
      <c r="J2170" t="s">
        <v>717</v>
      </c>
      <c r="K2170" t="s">
        <v>438</v>
      </c>
      <c r="L2170" t="s">
        <v>4</v>
      </c>
      <c r="M2170" t="s">
        <v>408</v>
      </c>
      <c r="N2170" t="s">
        <v>408</v>
      </c>
      <c r="O2170" t="s">
        <v>11</v>
      </c>
      <c r="P2170" t="s">
        <v>4</v>
      </c>
      <c r="Q2170" t="s">
        <v>408</v>
      </c>
      <c r="R2170" t="s">
        <v>439</v>
      </c>
      <c r="S2170" t="s">
        <v>440</v>
      </c>
      <c r="T2170" t="s">
        <v>408</v>
      </c>
      <c r="U2170" t="s">
        <v>408</v>
      </c>
    </row>
    <row r="2171" spans="1:21" x14ac:dyDescent="0.25">
      <c r="A2171">
        <v>20910564</v>
      </c>
      <c r="B2171" t="s">
        <v>342</v>
      </c>
      <c r="C2171" t="s">
        <v>89</v>
      </c>
      <c r="D2171" t="s">
        <v>12</v>
      </c>
      <c r="E2171" t="s">
        <v>625</v>
      </c>
      <c r="F2171" t="s">
        <v>312</v>
      </c>
      <c r="G2171" t="s">
        <v>468</v>
      </c>
      <c r="H2171" t="s">
        <v>765</v>
      </c>
      <c r="I2171" t="s">
        <v>766</v>
      </c>
      <c r="J2171" t="s">
        <v>767</v>
      </c>
      <c r="K2171" t="s">
        <v>444</v>
      </c>
      <c r="L2171" t="s">
        <v>678</v>
      </c>
      <c r="M2171" t="s">
        <v>11</v>
      </c>
      <c r="N2171" t="s">
        <v>11</v>
      </c>
      <c r="O2171" t="s">
        <v>11</v>
      </c>
      <c r="P2171" t="s">
        <v>0</v>
      </c>
      <c r="Q2171" t="s">
        <v>408</v>
      </c>
      <c r="R2171" t="s">
        <v>439</v>
      </c>
      <c r="S2171" t="s">
        <v>451</v>
      </c>
      <c r="T2171" t="s">
        <v>408</v>
      </c>
      <c r="U2171" t="s">
        <v>408</v>
      </c>
    </row>
    <row r="2172" spans="1:21" x14ac:dyDescent="0.25">
      <c r="A2172">
        <v>20910566</v>
      </c>
      <c r="B2172" t="s">
        <v>340</v>
      </c>
      <c r="C2172" t="s">
        <v>86</v>
      </c>
      <c r="D2172" t="s">
        <v>12</v>
      </c>
      <c r="E2172" t="s">
        <v>512</v>
      </c>
      <c r="F2172" t="s">
        <v>182</v>
      </c>
      <c r="G2172" t="s">
        <v>468</v>
      </c>
      <c r="H2172" t="s">
        <v>2</v>
      </c>
      <c r="I2172" t="s">
        <v>436</v>
      </c>
      <c r="J2172" t="s">
        <v>443</v>
      </c>
      <c r="K2172" t="s">
        <v>444</v>
      </c>
      <c r="L2172" t="s">
        <v>0</v>
      </c>
      <c r="M2172" t="s">
        <v>408</v>
      </c>
      <c r="N2172" t="s">
        <v>11</v>
      </c>
      <c r="O2172" t="s">
        <v>11</v>
      </c>
      <c r="P2172" t="s">
        <v>0</v>
      </c>
      <c r="Q2172" t="s">
        <v>408</v>
      </c>
      <c r="R2172" t="s">
        <v>439</v>
      </c>
      <c r="S2172" t="s">
        <v>440</v>
      </c>
      <c r="T2172" t="s">
        <v>11</v>
      </c>
      <c r="U2172" t="s">
        <v>408</v>
      </c>
    </row>
    <row r="2173" spans="1:21" x14ac:dyDescent="0.25">
      <c r="A2173">
        <v>20910567</v>
      </c>
      <c r="B2173" t="s">
        <v>342</v>
      </c>
      <c r="C2173" t="s">
        <v>89</v>
      </c>
      <c r="D2173" t="s">
        <v>18</v>
      </c>
      <c r="E2173" t="s">
        <v>512</v>
      </c>
      <c r="F2173" t="s">
        <v>182</v>
      </c>
      <c r="G2173" t="s">
        <v>468</v>
      </c>
      <c r="H2173" t="s">
        <v>715</v>
      </c>
      <c r="I2173" t="s">
        <v>716</v>
      </c>
      <c r="J2173" t="s">
        <v>717</v>
      </c>
      <c r="K2173" t="s">
        <v>438</v>
      </c>
      <c r="L2173" t="s">
        <v>1061</v>
      </c>
      <c r="M2173" t="s">
        <v>408</v>
      </c>
      <c r="N2173" t="s">
        <v>11</v>
      </c>
      <c r="O2173" t="s">
        <v>11</v>
      </c>
      <c r="P2173" t="s">
        <v>0</v>
      </c>
      <c r="Q2173" t="s">
        <v>408</v>
      </c>
      <c r="R2173" t="s">
        <v>439</v>
      </c>
      <c r="S2173" t="s">
        <v>440</v>
      </c>
      <c r="T2173" t="s">
        <v>11</v>
      </c>
      <c r="U2173" t="s">
        <v>408</v>
      </c>
    </row>
    <row r="2174" spans="1:21" x14ac:dyDescent="0.25">
      <c r="A2174">
        <v>20910569</v>
      </c>
      <c r="B2174" t="s">
        <v>342</v>
      </c>
      <c r="C2174" t="s">
        <v>33</v>
      </c>
      <c r="D2174" t="s">
        <v>12</v>
      </c>
      <c r="E2174" t="s">
        <v>512</v>
      </c>
      <c r="F2174" t="s">
        <v>93</v>
      </c>
      <c r="G2174" t="s">
        <v>369</v>
      </c>
      <c r="H2174" t="s">
        <v>1068</v>
      </c>
      <c r="I2174" t="s">
        <v>1067</v>
      </c>
      <c r="J2174" t="s">
        <v>1066</v>
      </c>
      <c r="K2174" t="s">
        <v>701</v>
      </c>
      <c r="L2174" t="s">
        <v>819</v>
      </c>
      <c r="M2174" t="s">
        <v>408</v>
      </c>
      <c r="N2174" t="s">
        <v>11</v>
      </c>
      <c r="O2174" t="s">
        <v>11</v>
      </c>
      <c r="P2174" t="s">
        <v>2</v>
      </c>
      <c r="Q2174" t="s">
        <v>408</v>
      </c>
      <c r="R2174" t="s">
        <v>439</v>
      </c>
      <c r="S2174" t="s">
        <v>451</v>
      </c>
      <c r="T2174" t="s">
        <v>11</v>
      </c>
      <c r="U2174" t="s">
        <v>408</v>
      </c>
    </row>
    <row r="2175" spans="1:21" x14ac:dyDescent="0.25">
      <c r="A2175">
        <v>20910570</v>
      </c>
      <c r="B2175" t="s">
        <v>342</v>
      </c>
      <c r="C2175" t="s">
        <v>89</v>
      </c>
      <c r="D2175" t="s">
        <v>12</v>
      </c>
      <c r="E2175" t="s">
        <v>512</v>
      </c>
      <c r="F2175" t="s">
        <v>93</v>
      </c>
      <c r="G2175" t="s">
        <v>468</v>
      </c>
      <c r="H2175" t="s">
        <v>761</v>
      </c>
      <c r="I2175" t="s">
        <v>762</v>
      </c>
      <c r="J2175" t="s">
        <v>763</v>
      </c>
      <c r="K2175" t="s">
        <v>764</v>
      </c>
      <c r="L2175" t="s">
        <v>819</v>
      </c>
      <c r="M2175" t="s">
        <v>408</v>
      </c>
      <c r="N2175" t="s">
        <v>11</v>
      </c>
      <c r="O2175" t="s">
        <v>11</v>
      </c>
      <c r="P2175" t="s">
        <v>2</v>
      </c>
      <c r="Q2175" t="s">
        <v>408</v>
      </c>
      <c r="R2175" t="s">
        <v>439</v>
      </c>
      <c r="S2175" t="s">
        <v>440</v>
      </c>
      <c r="T2175" t="s">
        <v>11</v>
      </c>
      <c r="U2175" t="s">
        <v>408</v>
      </c>
    </row>
    <row r="2176" spans="1:21" x14ac:dyDescent="0.25">
      <c r="A2176">
        <v>20910574</v>
      </c>
      <c r="B2176" t="s">
        <v>342</v>
      </c>
      <c r="C2176" t="s">
        <v>89</v>
      </c>
      <c r="D2176" t="s">
        <v>12</v>
      </c>
      <c r="E2176" t="s">
        <v>512</v>
      </c>
      <c r="F2176" t="s">
        <v>93</v>
      </c>
      <c r="G2176" t="s">
        <v>468</v>
      </c>
      <c r="H2176" t="s">
        <v>765</v>
      </c>
      <c r="I2176" t="s">
        <v>766</v>
      </c>
      <c r="J2176" t="s">
        <v>767</v>
      </c>
      <c r="K2176" t="s">
        <v>444</v>
      </c>
      <c r="L2176" t="s">
        <v>819</v>
      </c>
      <c r="M2176" t="s">
        <v>408</v>
      </c>
      <c r="N2176" t="s">
        <v>11</v>
      </c>
      <c r="O2176" t="s">
        <v>11</v>
      </c>
      <c r="P2176" t="s">
        <v>2</v>
      </c>
      <c r="Q2176" t="s">
        <v>408</v>
      </c>
      <c r="R2176" t="s">
        <v>439</v>
      </c>
      <c r="S2176" t="s">
        <v>451</v>
      </c>
      <c r="T2176" t="s">
        <v>11</v>
      </c>
      <c r="U2176" t="s">
        <v>408</v>
      </c>
    </row>
    <row r="2177" spans="1:21" x14ac:dyDescent="0.25">
      <c r="A2177">
        <v>20910575</v>
      </c>
      <c r="B2177" t="s">
        <v>340</v>
      </c>
      <c r="C2177" t="s">
        <v>26</v>
      </c>
      <c r="D2177" t="s">
        <v>12</v>
      </c>
      <c r="E2177" t="s">
        <v>512</v>
      </c>
      <c r="F2177" t="s">
        <v>93</v>
      </c>
      <c r="G2177" t="s">
        <v>468</v>
      </c>
      <c r="H2177" t="s">
        <v>617</v>
      </c>
      <c r="I2177" t="s">
        <v>618</v>
      </c>
      <c r="J2177" t="s">
        <v>619</v>
      </c>
      <c r="K2177" t="s">
        <v>606</v>
      </c>
      <c r="L2177" t="s">
        <v>4</v>
      </c>
      <c r="M2177" t="s">
        <v>408</v>
      </c>
      <c r="N2177" t="s">
        <v>11</v>
      </c>
      <c r="O2177" t="s">
        <v>11</v>
      </c>
      <c r="P2177" t="s">
        <v>2</v>
      </c>
      <c r="Q2177" t="s">
        <v>408</v>
      </c>
      <c r="R2177" t="s">
        <v>439</v>
      </c>
      <c r="S2177" t="s">
        <v>451</v>
      </c>
      <c r="T2177" t="s">
        <v>11</v>
      </c>
      <c r="U2177" t="s">
        <v>408</v>
      </c>
    </row>
    <row r="2178" spans="1:21" x14ac:dyDescent="0.25">
      <c r="A2178">
        <v>20910578</v>
      </c>
      <c r="B2178" t="s">
        <v>342</v>
      </c>
      <c r="C2178" t="s">
        <v>89</v>
      </c>
      <c r="D2178" t="s">
        <v>12</v>
      </c>
      <c r="E2178" t="s">
        <v>512</v>
      </c>
      <c r="F2178" t="s">
        <v>93</v>
      </c>
      <c r="G2178" t="s">
        <v>468</v>
      </c>
      <c r="H2178" t="s">
        <v>816</v>
      </c>
      <c r="I2178" t="s">
        <v>817</v>
      </c>
      <c r="J2178" t="s">
        <v>818</v>
      </c>
      <c r="K2178" t="s">
        <v>764</v>
      </c>
      <c r="L2178" t="s">
        <v>819</v>
      </c>
      <c r="M2178" t="s">
        <v>11</v>
      </c>
      <c r="N2178" t="s">
        <v>11</v>
      </c>
      <c r="O2178" t="s">
        <v>11</v>
      </c>
      <c r="P2178" t="s">
        <v>2</v>
      </c>
      <c r="Q2178" t="s">
        <v>408</v>
      </c>
      <c r="R2178" t="s">
        <v>439</v>
      </c>
      <c r="S2178" t="s">
        <v>451</v>
      </c>
      <c r="T2178" t="s">
        <v>408</v>
      </c>
      <c r="U2178" t="s">
        <v>408</v>
      </c>
    </row>
    <row r="2179" spans="1:21" x14ac:dyDescent="0.25">
      <c r="A2179">
        <v>20910580</v>
      </c>
      <c r="B2179" t="s">
        <v>340</v>
      </c>
      <c r="C2179" t="s">
        <v>86</v>
      </c>
      <c r="D2179" t="s">
        <v>18</v>
      </c>
      <c r="E2179" t="s">
        <v>512</v>
      </c>
      <c r="F2179" t="s">
        <v>93</v>
      </c>
      <c r="G2179" t="s">
        <v>468</v>
      </c>
      <c r="H2179" t="s">
        <v>2</v>
      </c>
      <c r="I2179" t="s">
        <v>436</v>
      </c>
      <c r="J2179" t="s">
        <v>443</v>
      </c>
      <c r="K2179" t="s">
        <v>444</v>
      </c>
      <c r="L2179" t="s">
        <v>345</v>
      </c>
      <c r="M2179" t="s">
        <v>408</v>
      </c>
      <c r="N2179" t="s">
        <v>11</v>
      </c>
      <c r="O2179" t="s">
        <v>11</v>
      </c>
      <c r="P2179" t="s">
        <v>2</v>
      </c>
      <c r="Q2179" t="s">
        <v>408</v>
      </c>
      <c r="R2179" t="s">
        <v>439</v>
      </c>
      <c r="S2179" t="s">
        <v>440</v>
      </c>
      <c r="T2179" t="s">
        <v>11</v>
      </c>
      <c r="U2179" t="s">
        <v>408</v>
      </c>
    </row>
    <row r="2180" spans="1:21" x14ac:dyDescent="0.25">
      <c r="A2180">
        <v>20910581</v>
      </c>
      <c r="B2180" t="s">
        <v>342</v>
      </c>
      <c r="C2180" t="s">
        <v>89</v>
      </c>
      <c r="D2180" t="s">
        <v>12</v>
      </c>
      <c r="E2180" t="s">
        <v>512</v>
      </c>
      <c r="F2180" t="s">
        <v>93</v>
      </c>
      <c r="G2180" t="s">
        <v>468</v>
      </c>
      <c r="H2180" t="s">
        <v>761</v>
      </c>
      <c r="I2180" t="s">
        <v>762</v>
      </c>
      <c r="J2180" t="s">
        <v>763</v>
      </c>
      <c r="K2180" t="s">
        <v>764</v>
      </c>
      <c r="L2180" t="s">
        <v>819</v>
      </c>
      <c r="M2180" t="s">
        <v>11</v>
      </c>
      <c r="N2180" t="s">
        <v>11</v>
      </c>
      <c r="O2180" t="s">
        <v>11</v>
      </c>
      <c r="P2180" t="s">
        <v>2</v>
      </c>
      <c r="Q2180" t="s">
        <v>408</v>
      </c>
      <c r="R2180" t="s">
        <v>439</v>
      </c>
      <c r="S2180" t="s">
        <v>440</v>
      </c>
      <c r="T2180" t="s">
        <v>408</v>
      </c>
      <c r="U2180" t="s">
        <v>408</v>
      </c>
    </row>
    <row r="2181" spans="1:21" x14ac:dyDescent="0.25">
      <c r="A2181">
        <v>20910583</v>
      </c>
      <c r="B2181" t="s">
        <v>342</v>
      </c>
      <c r="C2181" t="s">
        <v>89</v>
      </c>
      <c r="D2181" t="s">
        <v>12</v>
      </c>
      <c r="E2181" t="s">
        <v>512</v>
      </c>
      <c r="F2181" t="s">
        <v>93</v>
      </c>
      <c r="G2181" t="s">
        <v>468</v>
      </c>
      <c r="H2181" t="s">
        <v>765</v>
      </c>
      <c r="I2181" t="s">
        <v>766</v>
      </c>
      <c r="J2181" t="s">
        <v>767</v>
      </c>
      <c r="K2181" t="s">
        <v>444</v>
      </c>
      <c r="L2181" t="s">
        <v>819</v>
      </c>
      <c r="M2181" t="s">
        <v>408</v>
      </c>
      <c r="N2181" t="s">
        <v>11</v>
      </c>
      <c r="O2181" t="s">
        <v>11</v>
      </c>
      <c r="P2181" t="s">
        <v>2</v>
      </c>
      <c r="Q2181" t="s">
        <v>408</v>
      </c>
      <c r="R2181" t="s">
        <v>439</v>
      </c>
      <c r="S2181" t="s">
        <v>451</v>
      </c>
      <c r="T2181" t="s">
        <v>11</v>
      </c>
      <c r="U2181" t="s">
        <v>408</v>
      </c>
    </row>
    <row r="2182" spans="1:21" x14ac:dyDescent="0.25">
      <c r="A2182">
        <v>20910585</v>
      </c>
      <c r="B2182" t="s">
        <v>340</v>
      </c>
      <c r="C2182" t="s">
        <v>86</v>
      </c>
      <c r="D2182" t="s">
        <v>18</v>
      </c>
      <c r="E2182" t="s">
        <v>512</v>
      </c>
      <c r="F2182" t="s">
        <v>93</v>
      </c>
      <c r="G2182" t="s">
        <v>468</v>
      </c>
      <c r="H2182" t="s">
        <v>617</v>
      </c>
      <c r="I2182" t="s">
        <v>618</v>
      </c>
      <c r="J2182" t="s">
        <v>619</v>
      </c>
      <c r="K2182" t="s">
        <v>606</v>
      </c>
      <c r="L2182" t="s">
        <v>375</v>
      </c>
      <c r="M2182" t="s">
        <v>408</v>
      </c>
      <c r="N2182" t="s">
        <v>11</v>
      </c>
      <c r="O2182" t="s">
        <v>11</v>
      </c>
      <c r="P2182" t="s">
        <v>2</v>
      </c>
      <c r="Q2182" t="s">
        <v>408</v>
      </c>
      <c r="R2182" t="s">
        <v>439</v>
      </c>
      <c r="S2182" t="s">
        <v>451</v>
      </c>
      <c r="T2182" t="s">
        <v>11</v>
      </c>
      <c r="U2182" t="s">
        <v>408</v>
      </c>
    </row>
    <row r="2183" spans="1:21" x14ac:dyDescent="0.25">
      <c r="A2183">
        <v>20910586</v>
      </c>
      <c r="B2183" t="s">
        <v>342</v>
      </c>
      <c r="C2183" t="s">
        <v>33</v>
      </c>
      <c r="D2183" t="s">
        <v>12</v>
      </c>
      <c r="E2183" t="s">
        <v>512</v>
      </c>
      <c r="F2183" t="s">
        <v>93</v>
      </c>
      <c r="G2183" t="s">
        <v>369</v>
      </c>
      <c r="H2183" t="s">
        <v>1068</v>
      </c>
      <c r="I2183" t="s">
        <v>1067</v>
      </c>
      <c r="J2183" t="s">
        <v>1066</v>
      </c>
      <c r="K2183" t="s">
        <v>701</v>
      </c>
      <c r="L2183" t="s">
        <v>819</v>
      </c>
      <c r="M2183" t="s">
        <v>408</v>
      </c>
      <c r="N2183" t="s">
        <v>11</v>
      </c>
      <c r="O2183" t="s">
        <v>11</v>
      </c>
      <c r="P2183" t="s">
        <v>2</v>
      </c>
      <c r="Q2183" t="s">
        <v>408</v>
      </c>
      <c r="R2183" t="s">
        <v>439</v>
      </c>
      <c r="S2183" t="s">
        <v>451</v>
      </c>
      <c r="T2183" t="s">
        <v>11</v>
      </c>
      <c r="U2183" t="s">
        <v>408</v>
      </c>
    </row>
    <row r="2184" spans="1:21" x14ac:dyDescent="0.25">
      <c r="A2184">
        <v>20910587</v>
      </c>
      <c r="B2184" t="s">
        <v>342</v>
      </c>
      <c r="C2184" t="s">
        <v>89</v>
      </c>
      <c r="D2184" t="s">
        <v>12</v>
      </c>
      <c r="E2184" t="s">
        <v>512</v>
      </c>
      <c r="F2184" t="s">
        <v>93</v>
      </c>
      <c r="G2184" t="s">
        <v>468</v>
      </c>
      <c r="H2184" t="s">
        <v>816</v>
      </c>
      <c r="I2184" t="s">
        <v>817</v>
      </c>
      <c r="J2184" t="s">
        <v>818</v>
      </c>
      <c r="K2184" t="s">
        <v>764</v>
      </c>
      <c r="L2184" t="s">
        <v>819</v>
      </c>
      <c r="M2184" t="s">
        <v>11</v>
      </c>
      <c r="N2184" t="s">
        <v>11</v>
      </c>
      <c r="O2184" t="s">
        <v>11</v>
      </c>
      <c r="P2184" t="s">
        <v>2</v>
      </c>
      <c r="Q2184" t="s">
        <v>408</v>
      </c>
      <c r="R2184" t="s">
        <v>439</v>
      </c>
      <c r="S2184" t="s">
        <v>451</v>
      </c>
      <c r="T2184" t="s">
        <v>408</v>
      </c>
      <c r="U2184" t="s">
        <v>408</v>
      </c>
    </row>
    <row r="2185" spans="1:21" x14ac:dyDescent="0.25">
      <c r="A2185">
        <v>20910588</v>
      </c>
      <c r="B2185" t="s">
        <v>342</v>
      </c>
      <c r="C2185" t="s">
        <v>89</v>
      </c>
      <c r="D2185" t="s">
        <v>12</v>
      </c>
      <c r="E2185" t="s">
        <v>512</v>
      </c>
      <c r="F2185" t="s">
        <v>93</v>
      </c>
      <c r="G2185" t="s">
        <v>468</v>
      </c>
      <c r="H2185" t="s">
        <v>761</v>
      </c>
      <c r="I2185" t="s">
        <v>762</v>
      </c>
      <c r="J2185" t="s">
        <v>763</v>
      </c>
      <c r="K2185" t="s">
        <v>764</v>
      </c>
      <c r="L2185" t="s">
        <v>819</v>
      </c>
      <c r="M2185" t="s">
        <v>408</v>
      </c>
      <c r="N2185" t="s">
        <v>11</v>
      </c>
      <c r="O2185" t="s">
        <v>11</v>
      </c>
      <c r="P2185" t="s">
        <v>2</v>
      </c>
      <c r="Q2185" t="s">
        <v>408</v>
      </c>
      <c r="R2185" t="s">
        <v>439</v>
      </c>
      <c r="S2185" t="s">
        <v>440</v>
      </c>
      <c r="T2185" t="s">
        <v>11</v>
      </c>
      <c r="U2185" t="s">
        <v>408</v>
      </c>
    </row>
    <row r="2186" spans="1:21" x14ac:dyDescent="0.25">
      <c r="A2186">
        <v>20910589</v>
      </c>
      <c r="B2186" t="s">
        <v>342</v>
      </c>
      <c r="C2186" t="s">
        <v>33</v>
      </c>
      <c r="D2186" t="s">
        <v>12</v>
      </c>
      <c r="E2186" t="s">
        <v>512</v>
      </c>
      <c r="F2186" t="s">
        <v>93</v>
      </c>
      <c r="G2186" t="s">
        <v>369</v>
      </c>
      <c r="H2186" t="s">
        <v>1068</v>
      </c>
      <c r="I2186" t="s">
        <v>1067</v>
      </c>
      <c r="J2186" t="s">
        <v>1066</v>
      </c>
      <c r="K2186" t="s">
        <v>701</v>
      </c>
      <c r="L2186" t="s">
        <v>819</v>
      </c>
      <c r="M2186" t="s">
        <v>408</v>
      </c>
      <c r="N2186" t="s">
        <v>11</v>
      </c>
      <c r="O2186" t="s">
        <v>11</v>
      </c>
      <c r="P2186" t="s">
        <v>2</v>
      </c>
      <c r="Q2186" t="s">
        <v>408</v>
      </c>
      <c r="R2186" t="s">
        <v>439</v>
      </c>
      <c r="S2186" t="s">
        <v>451</v>
      </c>
      <c r="T2186" t="s">
        <v>11</v>
      </c>
      <c r="U2186" t="s">
        <v>408</v>
      </c>
    </row>
    <row r="2187" spans="1:21" x14ac:dyDescent="0.25">
      <c r="A2187">
        <v>20910592</v>
      </c>
      <c r="B2187" t="s">
        <v>340</v>
      </c>
      <c r="C2187" t="s">
        <v>86</v>
      </c>
      <c r="D2187" t="s">
        <v>12</v>
      </c>
      <c r="E2187" t="s">
        <v>512</v>
      </c>
      <c r="F2187" t="s">
        <v>93</v>
      </c>
      <c r="G2187" t="s">
        <v>468</v>
      </c>
      <c r="H2187" t="s">
        <v>617</v>
      </c>
      <c r="I2187" t="s">
        <v>618</v>
      </c>
      <c r="J2187" t="s">
        <v>619</v>
      </c>
      <c r="K2187" t="s">
        <v>606</v>
      </c>
      <c r="L2187" t="s">
        <v>375</v>
      </c>
      <c r="M2187" t="s">
        <v>408</v>
      </c>
      <c r="N2187" t="s">
        <v>11</v>
      </c>
      <c r="O2187" t="s">
        <v>11</v>
      </c>
      <c r="P2187" t="s">
        <v>2</v>
      </c>
      <c r="Q2187" t="s">
        <v>408</v>
      </c>
      <c r="R2187" t="s">
        <v>439</v>
      </c>
      <c r="S2187" t="s">
        <v>451</v>
      </c>
      <c r="T2187" t="s">
        <v>11</v>
      </c>
      <c r="U2187" t="s">
        <v>408</v>
      </c>
    </row>
    <row r="2188" spans="1:21" x14ac:dyDescent="0.25">
      <c r="A2188">
        <v>20910593</v>
      </c>
      <c r="B2188" t="s">
        <v>342</v>
      </c>
      <c r="C2188" t="s">
        <v>89</v>
      </c>
      <c r="D2188" t="s">
        <v>12</v>
      </c>
      <c r="E2188" t="s">
        <v>512</v>
      </c>
      <c r="F2188" t="s">
        <v>93</v>
      </c>
      <c r="G2188" t="s">
        <v>468</v>
      </c>
      <c r="H2188" t="s">
        <v>765</v>
      </c>
      <c r="I2188" t="s">
        <v>766</v>
      </c>
      <c r="J2188" t="s">
        <v>767</v>
      </c>
      <c r="K2188" t="s">
        <v>444</v>
      </c>
      <c r="L2188" t="s">
        <v>819</v>
      </c>
      <c r="M2188" t="s">
        <v>408</v>
      </c>
      <c r="N2188" t="s">
        <v>11</v>
      </c>
      <c r="O2188" t="s">
        <v>11</v>
      </c>
      <c r="P2188" t="s">
        <v>2</v>
      </c>
      <c r="Q2188" t="s">
        <v>408</v>
      </c>
      <c r="R2188" t="s">
        <v>439</v>
      </c>
      <c r="S2188" t="s">
        <v>451</v>
      </c>
      <c r="T2188" t="s">
        <v>11</v>
      </c>
      <c r="U2188" t="s">
        <v>408</v>
      </c>
    </row>
    <row r="2189" spans="1:21" x14ac:dyDescent="0.25">
      <c r="A2189">
        <v>20910603</v>
      </c>
      <c r="B2189" t="s">
        <v>340</v>
      </c>
      <c r="C2189" t="s">
        <v>86</v>
      </c>
      <c r="D2189" t="s">
        <v>12</v>
      </c>
      <c r="E2189" t="s">
        <v>512</v>
      </c>
      <c r="F2189" t="s">
        <v>92</v>
      </c>
      <c r="G2189" t="s">
        <v>468</v>
      </c>
      <c r="H2189" t="s">
        <v>617</v>
      </c>
      <c r="I2189" t="s">
        <v>618</v>
      </c>
      <c r="J2189" t="s">
        <v>619</v>
      </c>
      <c r="K2189" t="s">
        <v>606</v>
      </c>
      <c r="L2189" t="s">
        <v>375</v>
      </c>
      <c r="M2189" t="s">
        <v>408</v>
      </c>
      <c r="N2189" t="s">
        <v>11</v>
      </c>
      <c r="O2189" t="s">
        <v>11</v>
      </c>
      <c r="P2189" t="s">
        <v>0</v>
      </c>
      <c r="Q2189" t="s">
        <v>408</v>
      </c>
      <c r="R2189" t="s">
        <v>439</v>
      </c>
      <c r="S2189" t="s">
        <v>451</v>
      </c>
      <c r="T2189" t="s">
        <v>11</v>
      </c>
      <c r="U2189" t="s">
        <v>408</v>
      </c>
    </row>
    <row r="2190" spans="1:21" x14ac:dyDescent="0.25">
      <c r="A2190">
        <v>20910605</v>
      </c>
      <c r="B2190" t="s">
        <v>340</v>
      </c>
      <c r="C2190" t="s">
        <v>26</v>
      </c>
      <c r="D2190" t="s">
        <v>18</v>
      </c>
      <c r="E2190" t="s">
        <v>512</v>
      </c>
      <c r="F2190" t="s">
        <v>92</v>
      </c>
      <c r="G2190" t="s">
        <v>468</v>
      </c>
      <c r="H2190" t="s">
        <v>447</v>
      </c>
      <c r="I2190" t="s">
        <v>448</v>
      </c>
      <c r="J2190" t="s">
        <v>449</v>
      </c>
      <c r="K2190" t="s">
        <v>450</v>
      </c>
      <c r="L2190" t="s">
        <v>367</v>
      </c>
      <c r="M2190" t="s">
        <v>408</v>
      </c>
      <c r="N2190" t="s">
        <v>11</v>
      </c>
      <c r="O2190" t="s">
        <v>11</v>
      </c>
      <c r="P2190" t="s">
        <v>0</v>
      </c>
      <c r="Q2190" t="s">
        <v>408</v>
      </c>
      <c r="R2190" t="s">
        <v>439</v>
      </c>
      <c r="S2190" t="s">
        <v>451</v>
      </c>
      <c r="T2190" t="s">
        <v>11</v>
      </c>
      <c r="U2190" t="s">
        <v>408</v>
      </c>
    </row>
    <row r="2191" spans="1:21" x14ac:dyDescent="0.25">
      <c r="A2191">
        <v>20910609</v>
      </c>
      <c r="B2191" t="s">
        <v>340</v>
      </c>
      <c r="C2191" t="s">
        <v>26</v>
      </c>
      <c r="D2191" t="s">
        <v>12</v>
      </c>
      <c r="E2191" t="s">
        <v>512</v>
      </c>
      <c r="F2191" t="s">
        <v>92</v>
      </c>
      <c r="G2191" t="s">
        <v>468</v>
      </c>
      <c r="H2191" t="s">
        <v>447</v>
      </c>
      <c r="I2191" t="s">
        <v>448</v>
      </c>
      <c r="J2191" t="s">
        <v>449</v>
      </c>
      <c r="K2191" t="s">
        <v>450</v>
      </c>
      <c r="L2191" t="s">
        <v>367</v>
      </c>
      <c r="M2191" t="s">
        <v>408</v>
      </c>
      <c r="N2191" t="s">
        <v>11</v>
      </c>
      <c r="O2191" t="s">
        <v>11</v>
      </c>
      <c r="P2191" t="s">
        <v>0</v>
      </c>
      <c r="Q2191" t="s">
        <v>408</v>
      </c>
      <c r="R2191" t="s">
        <v>439</v>
      </c>
      <c r="S2191" t="s">
        <v>451</v>
      </c>
      <c r="T2191" t="s">
        <v>11</v>
      </c>
      <c r="U2191" t="s">
        <v>408</v>
      </c>
    </row>
    <row r="2192" spans="1:21" x14ac:dyDescent="0.25">
      <c r="A2192">
        <v>20910611</v>
      </c>
      <c r="B2192" t="s">
        <v>340</v>
      </c>
      <c r="C2192" t="s">
        <v>86</v>
      </c>
      <c r="D2192" t="s">
        <v>12</v>
      </c>
      <c r="E2192" t="s">
        <v>512</v>
      </c>
      <c r="F2192" t="s">
        <v>92</v>
      </c>
      <c r="G2192" t="s">
        <v>468</v>
      </c>
      <c r="H2192" t="s">
        <v>2</v>
      </c>
      <c r="I2192" t="s">
        <v>436</v>
      </c>
      <c r="J2192" t="s">
        <v>443</v>
      </c>
      <c r="K2192" t="s">
        <v>444</v>
      </c>
      <c r="L2192" t="s">
        <v>0</v>
      </c>
      <c r="M2192" t="s">
        <v>408</v>
      </c>
      <c r="N2192" t="s">
        <v>11</v>
      </c>
      <c r="O2192" t="s">
        <v>11</v>
      </c>
      <c r="P2192" t="s">
        <v>0</v>
      </c>
      <c r="Q2192" t="s">
        <v>408</v>
      </c>
      <c r="R2192" t="s">
        <v>439</v>
      </c>
      <c r="S2192" t="s">
        <v>440</v>
      </c>
      <c r="T2192" t="s">
        <v>11</v>
      </c>
      <c r="U2192" t="s">
        <v>408</v>
      </c>
    </row>
    <row r="2193" spans="1:21" x14ac:dyDescent="0.25">
      <c r="A2193">
        <v>20910594</v>
      </c>
      <c r="B2193" t="s">
        <v>342</v>
      </c>
      <c r="C2193" t="s">
        <v>89</v>
      </c>
      <c r="D2193" t="s">
        <v>12</v>
      </c>
      <c r="E2193" t="s">
        <v>512</v>
      </c>
      <c r="F2193" t="s">
        <v>182</v>
      </c>
      <c r="G2193" t="s">
        <v>468</v>
      </c>
      <c r="H2193" t="s">
        <v>715</v>
      </c>
      <c r="I2193" t="s">
        <v>716</v>
      </c>
      <c r="J2193" t="s">
        <v>717</v>
      </c>
      <c r="K2193" t="s">
        <v>438</v>
      </c>
      <c r="L2193" t="s">
        <v>1062</v>
      </c>
      <c r="M2193" t="s">
        <v>11</v>
      </c>
      <c r="N2193" t="s">
        <v>11</v>
      </c>
      <c r="O2193" t="s">
        <v>11</v>
      </c>
      <c r="P2193" t="s">
        <v>0</v>
      </c>
      <c r="Q2193" t="s">
        <v>408</v>
      </c>
      <c r="R2193" t="s">
        <v>439</v>
      </c>
      <c r="S2193" t="s">
        <v>440</v>
      </c>
      <c r="T2193" t="s">
        <v>408</v>
      </c>
      <c r="U2193" t="s">
        <v>408</v>
      </c>
    </row>
    <row r="2194" spans="1:21" x14ac:dyDescent="0.25">
      <c r="A2194">
        <v>20910595</v>
      </c>
      <c r="B2194" t="s">
        <v>342</v>
      </c>
      <c r="C2194" t="s">
        <v>89</v>
      </c>
      <c r="D2194" t="s">
        <v>12</v>
      </c>
      <c r="E2194" t="s">
        <v>512</v>
      </c>
      <c r="F2194" t="s">
        <v>182</v>
      </c>
      <c r="G2194" t="s">
        <v>468</v>
      </c>
      <c r="H2194" t="s">
        <v>1072</v>
      </c>
      <c r="I2194" t="s">
        <v>1071</v>
      </c>
      <c r="J2194" t="s">
        <v>1070</v>
      </c>
      <c r="K2194" t="s">
        <v>450</v>
      </c>
      <c r="L2194" t="s">
        <v>1069</v>
      </c>
      <c r="M2194" t="s">
        <v>408</v>
      </c>
      <c r="N2194" t="s">
        <v>11</v>
      </c>
      <c r="O2194" t="s">
        <v>11</v>
      </c>
      <c r="P2194" t="s">
        <v>0</v>
      </c>
      <c r="Q2194" t="s">
        <v>408</v>
      </c>
      <c r="R2194" t="s">
        <v>439</v>
      </c>
      <c r="S2194" t="s">
        <v>451</v>
      </c>
      <c r="T2194" t="s">
        <v>11</v>
      </c>
      <c r="U2194" t="s">
        <v>408</v>
      </c>
    </row>
    <row r="2195" spans="1:21" x14ac:dyDescent="0.25">
      <c r="A2195">
        <v>20910596</v>
      </c>
      <c r="B2195" t="s">
        <v>342</v>
      </c>
      <c r="C2195" t="s">
        <v>33</v>
      </c>
      <c r="D2195" t="s">
        <v>12</v>
      </c>
      <c r="E2195" t="s">
        <v>512</v>
      </c>
      <c r="F2195" t="s">
        <v>182</v>
      </c>
      <c r="G2195" t="s">
        <v>369</v>
      </c>
      <c r="H2195" t="s">
        <v>1068</v>
      </c>
      <c r="I2195" t="s">
        <v>1067</v>
      </c>
      <c r="J2195" t="s">
        <v>1066</v>
      </c>
      <c r="K2195" t="s">
        <v>701</v>
      </c>
      <c r="L2195" t="s">
        <v>819</v>
      </c>
      <c r="M2195" t="s">
        <v>408</v>
      </c>
      <c r="N2195" t="s">
        <v>11</v>
      </c>
      <c r="O2195" t="s">
        <v>11</v>
      </c>
      <c r="P2195" t="s">
        <v>0</v>
      </c>
      <c r="Q2195" t="s">
        <v>408</v>
      </c>
      <c r="R2195" t="s">
        <v>439</v>
      </c>
      <c r="S2195" t="s">
        <v>451</v>
      </c>
      <c r="T2195" t="s">
        <v>11</v>
      </c>
      <c r="U2195" t="s">
        <v>408</v>
      </c>
    </row>
    <row r="2196" spans="1:21" x14ac:dyDescent="0.25">
      <c r="A2196">
        <v>20910597</v>
      </c>
      <c r="B2196" t="s">
        <v>342</v>
      </c>
      <c r="C2196" t="s">
        <v>89</v>
      </c>
      <c r="D2196" t="s">
        <v>12</v>
      </c>
      <c r="E2196" t="s">
        <v>512</v>
      </c>
      <c r="F2196" t="s">
        <v>182</v>
      </c>
      <c r="G2196" t="s">
        <v>468</v>
      </c>
      <c r="H2196" t="s">
        <v>761</v>
      </c>
      <c r="I2196" t="s">
        <v>762</v>
      </c>
      <c r="J2196" t="s">
        <v>763</v>
      </c>
      <c r="K2196" t="s">
        <v>764</v>
      </c>
      <c r="L2196" t="s">
        <v>1065</v>
      </c>
      <c r="M2196" t="s">
        <v>408</v>
      </c>
      <c r="N2196" t="s">
        <v>11</v>
      </c>
      <c r="O2196" t="s">
        <v>408</v>
      </c>
      <c r="P2196" t="s">
        <v>0</v>
      </c>
      <c r="Q2196" t="s">
        <v>408</v>
      </c>
      <c r="R2196" t="s">
        <v>439</v>
      </c>
      <c r="S2196" t="s">
        <v>440</v>
      </c>
      <c r="T2196" t="s">
        <v>11</v>
      </c>
      <c r="U2196" t="s">
        <v>408</v>
      </c>
    </row>
    <row r="2197" spans="1:21" x14ac:dyDescent="0.25">
      <c r="A2197">
        <v>20910598</v>
      </c>
      <c r="B2197" t="s">
        <v>342</v>
      </c>
      <c r="C2197" t="s">
        <v>89</v>
      </c>
      <c r="D2197" t="s">
        <v>12</v>
      </c>
      <c r="E2197" t="s">
        <v>512</v>
      </c>
      <c r="F2197" t="s">
        <v>182</v>
      </c>
      <c r="G2197" t="s">
        <v>468</v>
      </c>
      <c r="H2197" t="s">
        <v>603</v>
      </c>
      <c r="I2197" t="s">
        <v>604</v>
      </c>
      <c r="J2197" t="s">
        <v>605</v>
      </c>
      <c r="K2197" t="s">
        <v>606</v>
      </c>
      <c r="L2197" t="s">
        <v>837</v>
      </c>
      <c r="M2197" t="s">
        <v>408</v>
      </c>
      <c r="N2197" t="s">
        <v>11</v>
      </c>
      <c r="O2197" t="s">
        <v>11</v>
      </c>
      <c r="P2197" t="s">
        <v>0</v>
      </c>
      <c r="Q2197" t="s">
        <v>408</v>
      </c>
      <c r="R2197" t="s">
        <v>439</v>
      </c>
      <c r="S2197" t="s">
        <v>451</v>
      </c>
      <c r="T2197" t="s">
        <v>11</v>
      </c>
      <c r="U2197" t="s">
        <v>408</v>
      </c>
    </row>
    <row r="2198" spans="1:21" x14ac:dyDescent="0.25">
      <c r="A2198">
        <v>20910599</v>
      </c>
      <c r="B2198" t="s">
        <v>342</v>
      </c>
      <c r="C2198" t="s">
        <v>89</v>
      </c>
      <c r="D2198" t="s">
        <v>12</v>
      </c>
      <c r="E2198" t="s">
        <v>512</v>
      </c>
      <c r="F2198" t="s">
        <v>182</v>
      </c>
      <c r="G2198" t="s">
        <v>468</v>
      </c>
      <c r="H2198" t="s">
        <v>761</v>
      </c>
      <c r="I2198" t="s">
        <v>762</v>
      </c>
      <c r="J2198" t="s">
        <v>763</v>
      </c>
      <c r="K2198" t="s">
        <v>764</v>
      </c>
      <c r="L2198" t="s">
        <v>819</v>
      </c>
      <c r="M2198" t="s">
        <v>11</v>
      </c>
      <c r="N2198" t="s">
        <v>11</v>
      </c>
      <c r="O2198" t="s">
        <v>11</v>
      </c>
      <c r="P2198" t="s">
        <v>0</v>
      </c>
      <c r="Q2198" t="s">
        <v>408</v>
      </c>
      <c r="R2198" t="s">
        <v>439</v>
      </c>
      <c r="S2198" t="s">
        <v>440</v>
      </c>
      <c r="T2198" t="s">
        <v>408</v>
      </c>
      <c r="U2198" t="s">
        <v>408</v>
      </c>
    </row>
    <row r="2199" spans="1:21" x14ac:dyDescent="0.25">
      <c r="A2199">
        <v>20910600</v>
      </c>
      <c r="B2199" t="s">
        <v>342</v>
      </c>
      <c r="C2199" t="s">
        <v>89</v>
      </c>
      <c r="D2199" t="s">
        <v>12</v>
      </c>
      <c r="E2199" t="s">
        <v>512</v>
      </c>
      <c r="F2199" t="s">
        <v>182</v>
      </c>
      <c r="G2199" t="s">
        <v>468</v>
      </c>
      <c r="H2199" t="s">
        <v>447</v>
      </c>
      <c r="I2199" t="s">
        <v>448</v>
      </c>
      <c r="J2199" t="s">
        <v>449</v>
      </c>
      <c r="K2199" t="s">
        <v>450</v>
      </c>
      <c r="L2199" t="s">
        <v>1064</v>
      </c>
      <c r="M2199" t="s">
        <v>408</v>
      </c>
      <c r="N2199" t="s">
        <v>11</v>
      </c>
      <c r="O2199" t="s">
        <v>408</v>
      </c>
      <c r="P2199" t="s">
        <v>0</v>
      </c>
      <c r="Q2199" t="s">
        <v>408</v>
      </c>
      <c r="R2199" t="s">
        <v>439</v>
      </c>
      <c r="S2199" t="s">
        <v>451</v>
      </c>
      <c r="T2199" t="s">
        <v>11</v>
      </c>
      <c r="U2199" t="s">
        <v>408</v>
      </c>
    </row>
    <row r="2200" spans="1:21" x14ac:dyDescent="0.25">
      <c r="A2200">
        <v>16390468</v>
      </c>
      <c r="B2200" t="s">
        <v>340</v>
      </c>
      <c r="C2200" t="s">
        <v>26</v>
      </c>
      <c r="D2200" t="s">
        <v>12</v>
      </c>
      <c r="E2200" t="s">
        <v>520</v>
      </c>
      <c r="F2200" t="s">
        <v>227</v>
      </c>
      <c r="G2200" t="s">
        <v>468</v>
      </c>
      <c r="H2200" t="s">
        <v>447</v>
      </c>
      <c r="I2200" t="s">
        <v>448</v>
      </c>
      <c r="J2200" t="s">
        <v>449</v>
      </c>
      <c r="K2200" t="s">
        <v>450</v>
      </c>
      <c r="L2200" t="s">
        <v>367</v>
      </c>
      <c r="M2200" t="s">
        <v>408</v>
      </c>
      <c r="N2200" t="s">
        <v>408</v>
      </c>
      <c r="O2200" t="s">
        <v>11</v>
      </c>
      <c r="P2200" t="s">
        <v>0</v>
      </c>
      <c r="Q2200" t="s">
        <v>408</v>
      </c>
      <c r="R2200" t="s">
        <v>439</v>
      </c>
      <c r="S2200" t="s">
        <v>451</v>
      </c>
      <c r="T2200" t="s">
        <v>408</v>
      </c>
      <c r="U2200" t="s">
        <v>408</v>
      </c>
    </row>
    <row r="2201" spans="1:21" x14ac:dyDescent="0.25">
      <c r="A2201">
        <v>20910616</v>
      </c>
      <c r="B2201" t="s">
        <v>342</v>
      </c>
      <c r="C2201" t="s">
        <v>89</v>
      </c>
      <c r="D2201" t="s">
        <v>18</v>
      </c>
      <c r="E2201" t="s">
        <v>511</v>
      </c>
      <c r="F2201" t="s">
        <v>1045</v>
      </c>
      <c r="G2201" t="s">
        <v>468</v>
      </c>
      <c r="H2201" t="s">
        <v>447</v>
      </c>
      <c r="I2201" t="s">
        <v>448</v>
      </c>
      <c r="J2201" t="s">
        <v>449</v>
      </c>
      <c r="K2201" t="s">
        <v>450</v>
      </c>
      <c r="L2201" t="s">
        <v>370</v>
      </c>
      <c r="M2201" t="s">
        <v>408</v>
      </c>
      <c r="N2201" t="s">
        <v>11</v>
      </c>
      <c r="O2201" t="s">
        <v>408</v>
      </c>
      <c r="P2201" t="s">
        <v>0</v>
      </c>
      <c r="Q2201" t="s">
        <v>408</v>
      </c>
      <c r="R2201" t="s">
        <v>439</v>
      </c>
      <c r="S2201" t="s">
        <v>451</v>
      </c>
      <c r="T2201" t="s">
        <v>11</v>
      </c>
      <c r="U2201" t="s">
        <v>408</v>
      </c>
    </row>
    <row r="2202" spans="1:21" x14ac:dyDescent="0.25">
      <c r="A2202">
        <v>20910617</v>
      </c>
      <c r="B2202" t="s">
        <v>342</v>
      </c>
      <c r="C2202" t="s">
        <v>89</v>
      </c>
      <c r="D2202" t="s">
        <v>12</v>
      </c>
      <c r="E2202" t="s">
        <v>510</v>
      </c>
      <c r="F2202" t="s">
        <v>1063</v>
      </c>
      <c r="G2202" t="s">
        <v>468</v>
      </c>
      <c r="H2202" t="s">
        <v>715</v>
      </c>
      <c r="I2202" t="s">
        <v>716</v>
      </c>
      <c r="J2202" t="s">
        <v>717</v>
      </c>
      <c r="K2202" t="s">
        <v>438</v>
      </c>
      <c r="L2202" t="s">
        <v>1062</v>
      </c>
      <c r="M2202" t="s">
        <v>11</v>
      </c>
      <c r="N2202" t="s">
        <v>11</v>
      </c>
      <c r="O2202" t="s">
        <v>11</v>
      </c>
      <c r="P2202" t="s">
        <v>0</v>
      </c>
      <c r="Q2202" t="s">
        <v>408</v>
      </c>
      <c r="R2202" t="s">
        <v>439</v>
      </c>
      <c r="S2202" t="s">
        <v>440</v>
      </c>
      <c r="T2202" t="s">
        <v>408</v>
      </c>
      <c r="U2202" t="s">
        <v>408</v>
      </c>
    </row>
    <row r="2203" spans="1:21" x14ac:dyDescent="0.25">
      <c r="A2203">
        <v>20910618</v>
      </c>
      <c r="B2203" t="s">
        <v>342</v>
      </c>
      <c r="C2203" t="s">
        <v>89</v>
      </c>
      <c r="D2203" t="s">
        <v>12</v>
      </c>
      <c r="E2203" t="s">
        <v>512</v>
      </c>
      <c r="F2203" t="s">
        <v>182</v>
      </c>
      <c r="G2203" t="s">
        <v>468</v>
      </c>
      <c r="H2203" t="s">
        <v>715</v>
      </c>
      <c r="I2203" t="s">
        <v>716</v>
      </c>
      <c r="J2203" t="s">
        <v>717</v>
      </c>
      <c r="K2203" t="s">
        <v>438</v>
      </c>
      <c r="L2203" t="s">
        <v>1061</v>
      </c>
      <c r="M2203" t="s">
        <v>408</v>
      </c>
      <c r="N2203" t="s">
        <v>11</v>
      </c>
      <c r="O2203" t="s">
        <v>11</v>
      </c>
      <c r="P2203" t="s">
        <v>0</v>
      </c>
      <c r="Q2203" t="s">
        <v>408</v>
      </c>
      <c r="R2203" t="s">
        <v>439</v>
      </c>
      <c r="S2203" t="s">
        <v>440</v>
      </c>
      <c r="T2203" t="s">
        <v>11</v>
      </c>
      <c r="U2203" t="s">
        <v>408</v>
      </c>
    </row>
    <row r="2204" spans="1:21" x14ac:dyDescent="0.25">
      <c r="A2204">
        <v>20910619</v>
      </c>
      <c r="B2204" t="s">
        <v>342</v>
      </c>
      <c r="C2204" t="s">
        <v>89</v>
      </c>
      <c r="D2204" t="s">
        <v>79</v>
      </c>
      <c r="E2204" t="s">
        <v>512</v>
      </c>
      <c r="F2204" t="s">
        <v>182</v>
      </c>
      <c r="G2204" t="s">
        <v>468</v>
      </c>
      <c r="H2204" t="s">
        <v>715</v>
      </c>
      <c r="I2204" t="s">
        <v>716</v>
      </c>
      <c r="J2204" t="s">
        <v>717</v>
      </c>
      <c r="K2204" t="s">
        <v>438</v>
      </c>
      <c r="L2204" t="s">
        <v>1060</v>
      </c>
      <c r="M2204" t="s">
        <v>408</v>
      </c>
      <c r="N2204" t="s">
        <v>11</v>
      </c>
      <c r="O2204" t="s">
        <v>11</v>
      </c>
      <c r="P2204" t="s">
        <v>0</v>
      </c>
      <c r="Q2204" t="s">
        <v>408</v>
      </c>
      <c r="R2204" t="s">
        <v>439</v>
      </c>
      <c r="S2204" t="s">
        <v>440</v>
      </c>
      <c r="T2204" t="s">
        <v>11</v>
      </c>
      <c r="U2204" t="s">
        <v>408</v>
      </c>
    </row>
    <row r="2205" spans="1:21" x14ac:dyDescent="0.25">
      <c r="A2205">
        <v>20910621</v>
      </c>
      <c r="B2205" t="s">
        <v>342</v>
      </c>
      <c r="C2205" t="s">
        <v>89</v>
      </c>
      <c r="D2205" t="s">
        <v>12</v>
      </c>
      <c r="E2205" t="s">
        <v>510</v>
      </c>
      <c r="F2205" t="s">
        <v>359</v>
      </c>
      <c r="G2205" t="s">
        <v>468</v>
      </c>
      <c r="H2205" t="s">
        <v>447</v>
      </c>
      <c r="I2205" t="s">
        <v>448</v>
      </c>
      <c r="J2205" t="s">
        <v>449</v>
      </c>
      <c r="K2205" t="s">
        <v>450</v>
      </c>
      <c r="L2205" t="s">
        <v>367</v>
      </c>
      <c r="M2205" t="s">
        <v>408</v>
      </c>
      <c r="N2205" t="s">
        <v>11</v>
      </c>
      <c r="O2205" t="s">
        <v>11</v>
      </c>
      <c r="P2205" t="s">
        <v>0</v>
      </c>
      <c r="Q2205" t="s">
        <v>408</v>
      </c>
      <c r="R2205" t="s">
        <v>439</v>
      </c>
      <c r="S2205" t="s">
        <v>451</v>
      </c>
      <c r="T2205" t="s">
        <v>11</v>
      </c>
      <c r="U2205" t="s">
        <v>408</v>
      </c>
    </row>
    <row r="2206" spans="1:21" x14ac:dyDescent="0.25">
      <c r="A2206">
        <v>20910622</v>
      </c>
      <c r="B2206" t="s">
        <v>342</v>
      </c>
      <c r="C2206" t="s">
        <v>33</v>
      </c>
      <c r="D2206" t="s">
        <v>12</v>
      </c>
      <c r="E2206" t="s">
        <v>625</v>
      </c>
      <c r="F2206" t="s">
        <v>184</v>
      </c>
      <c r="G2206" t="s">
        <v>369</v>
      </c>
      <c r="H2206" t="s">
        <v>820</v>
      </c>
      <c r="I2206" t="s">
        <v>821</v>
      </c>
      <c r="J2206" t="s">
        <v>822</v>
      </c>
      <c r="K2206" t="s">
        <v>701</v>
      </c>
      <c r="L2206" t="s">
        <v>1009</v>
      </c>
      <c r="M2206" t="s">
        <v>11</v>
      </c>
      <c r="N2206" t="s">
        <v>11</v>
      </c>
      <c r="O2206" t="s">
        <v>408</v>
      </c>
      <c r="P2206" t="s">
        <v>0</v>
      </c>
      <c r="Q2206" t="s">
        <v>408</v>
      </c>
      <c r="R2206" t="s">
        <v>439</v>
      </c>
      <c r="S2206" t="s">
        <v>451</v>
      </c>
      <c r="T2206" t="s">
        <v>408</v>
      </c>
      <c r="U2206" t="s">
        <v>408</v>
      </c>
    </row>
    <row r="2207" spans="1:21" x14ac:dyDescent="0.25">
      <c r="A2207">
        <v>20910623</v>
      </c>
      <c r="B2207" t="s">
        <v>342</v>
      </c>
      <c r="C2207" t="s">
        <v>33</v>
      </c>
      <c r="D2207" t="s">
        <v>12</v>
      </c>
      <c r="E2207" t="s">
        <v>510</v>
      </c>
      <c r="F2207" t="s">
        <v>359</v>
      </c>
      <c r="G2207" t="s">
        <v>369</v>
      </c>
      <c r="H2207" t="s">
        <v>820</v>
      </c>
      <c r="I2207" t="s">
        <v>821</v>
      </c>
      <c r="J2207" t="s">
        <v>822</v>
      </c>
      <c r="K2207" t="s">
        <v>701</v>
      </c>
      <c r="L2207" t="s">
        <v>997</v>
      </c>
      <c r="M2207" t="s">
        <v>11</v>
      </c>
      <c r="N2207" t="s">
        <v>11</v>
      </c>
      <c r="O2207" t="s">
        <v>408</v>
      </c>
      <c r="P2207" t="s">
        <v>0</v>
      </c>
      <c r="Q2207" t="s">
        <v>408</v>
      </c>
      <c r="R2207" t="s">
        <v>439</v>
      </c>
      <c r="S2207" t="s">
        <v>451</v>
      </c>
      <c r="T2207" t="s">
        <v>408</v>
      </c>
      <c r="U2207" t="s">
        <v>408</v>
      </c>
    </row>
    <row r="2208" spans="1:21" x14ac:dyDescent="0.25">
      <c r="A2208">
        <v>20910624</v>
      </c>
      <c r="B2208" t="s">
        <v>342</v>
      </c>
      <c r="C2208" t="s">
        <v>33</v>
      </c>
      <c r="D2208" t="s">
        <v>12</v>
      </c>
      <c r="E2208" t="s">
        <v>510</v>
      </c>
      <c r="F2208" t="s">
        <v>359</v>
      </c>
      <c r="G2208" t="s">
        <v>468</v>
      </c>
      <c r="H2208" t="s">
        <v>765</v>
      </c>
      <c r="I2208" t="s">
        <v>766</v>
      </c>
      <c r="J2208" t="s">
        <v>767</v>
      </c>
      <c r="K2208" t="s">
        <v>444</v>
      </c>
      <c r="L2208" t="s">
        <v>678</v>
      </c>
      <c r="M2208" t="s">
        <v>11</v>
      </c>
      <c r="N2208" t="s">
        <v>11</v>
      </c>
      <c r="O2208" t="s">
        <v>408</v>
      </c>
      <c r="P2208" t="s">
        <v>0</v>
      </c>
      <c r="Q2208" t="s">
        <v>408</v>
      </c>
      <c r="R2208" t="s">
        <v>439</v>
      </c>
      <c r="S2208" t="s">
        <v>451</v>
      </c>
      <c r="T2208" t="s">
        <v>408</v>
      </c>
      <c r="U2208" t="s">
        <v>408</v>
      </c>
    </row>
    <row r="2209" spans="1:21" x14ac:dyDescent="0.25">
      <c r="A2209">
        <v>16390555</v>
      </c>
      <c r="B2209" t="s">
        <v>340</v>
      </c>
      <c r="C2209" t="s">
        <v>26</v>
      </c>
      <c r="D2209" t="s">
        <v>24</v>
      </c>
      <c r="E2209" t="s">
        <v>741</v>
      </c>
      <c r="F2209" t="s">
        <v>116</v>
      </c>
      <c r="G2209" t="s">
        <v>468</v>
      </c>
      <c r="H2209" t="s">
        <v>761</v>
      </c>
      <c r="I2209" t="s">
        <v>762</v>
      </c>
      <c r="J2209" t="s">
        <v>763</v>
      </c>
      <c r="K2209" t="s">
        <v>764</v>
      </c>
      <c r="L2209" t="s">
        <v>1059</v>
      </c>
      <c r="M2209" t="s">
        <v>408</v>
      </c>
      <c r="N2209" t="s">
        <v>408</v>
      </c>
      <c r="O2209" t="s">
        <v>408</v>
      </c>
      <c r="P2209" t="s">
        <v>0</v>
      </c>
      <c r="Q2209" t="s">
        <v>408</v>
      </c>
      <c r="R2209" t="s">
        <v>439</v>
      </c>
      <c r="S2209" t="s">
        <v>440</v>
      </c>
      <c r="T2209" t="s">
        <v>408</v>
      </c>
      <c r="U2209" t="s">
        <v>408</v>
      </c>
    </row>
    <row r="2210" spans="1:21" x14ac:dyDescent="0.25">
      <c r="A2210">
        <v>16390573</v>
      </c>
      <c r="B2210" t="s">
        <v>340</v>
      </c>
      <c r="C2210" t="s">
        <v>26</v>
      </c>
      <c r="D2210" t="s">
        <v>24</v>
      </c>
      <c r="E2210" t="s">
        <v>741</v>
      </c>
      <c r="F2210" t="s">
        <v>116</v>
      </c>
      <c r="G2210" t="s">
        <v>468</v>
      </c>
      <c r="H2210" t="s">
        <v>715</v>
      </c>
      <c r="I2210" t="s">
        <v>716</v>
      </c>
      <c r="J2210" t="s">
        <v>717</v>
      </c>
      <c r="K2210" t="s">
        <v>438</v>
      </c>
      <c r="L2210" t="s">
        <v>0</v>
      </c>
      <c r="M2210" t="s">
        <v>408</v>
      </c>
      <c r="N2210" t="s">
        <v>408</v>
      </c>
      <c r="O2210" t="s">
        <v>11</v>
      </c>
      <c r="P2210" t="s">
        <v>0</v>
      </c>
      <c r="Q2210" t="s">
        <v>408</v>
      </c>
      <c r="R2210" t="s">
        <v>439</v>
      </c>
      <c r="S2210" t="s">
        <v>440</v>
      </c>
      <c r="T2210" t="s">
        <v>408</v>
      </c>
      <c r="U2210" t="s">
        <v>408</v>
      </c>
    </row>
    <row r="2211" spans="1:21" x14ac:dyDescent="0.25">
      <c r="A2211">
        <v>16390574</v>
      </c>
      <c r="B2211" t="s">
        <v>340</v>
      </c>
      <c r="C2211" t="s">
        <v>26</v>
      </c>
      <c r="D2211" t="s">
        <v>12</v>
      </c>
      <c r="E2211" t="s">
        <v>740</v>
      </c>
      <c r="F2211" t="s">
        <v>225</v>
      </c>
      <c r="G2211" t="s">
        <v>468</v>
      </c>
      <c r="H2211" t="s">
        <v>447</v>
      </c>
      <c r="I2211" t="s">
        <v>448</v>
      </c>
      <c r="J2211" t="s">
        <v>449</v>
      </c>
      <c r="K2211" t="s">
        <v>450</v>
      </c>
      <c r="L2211" t="s">
        <v>2</v>
      </c>
      <c r="M2211" t="s">
        <v>408</v>
      </c>
      <c r="N2211" t="s">
        <v>408</v>
      </c>
      <c r="O2211" t="s">
        <v>11</v>
      </c>
      <c r="P2211" t="s">
        <v>0</v>
      </c>
      <c r="Q2211" t="s">
        <v>408</v>
      </c>
      <c r="R2211" t="s">
        <v>439</v>
      </c>
      <c r="S2211" t="s">
        <v>451</v>
      </c>
      <c r="T2211" t="s">
        <v>408</v>
      </c>
      <c r="U2211" t="s">
        <v>408</v>
      </c>
    </row>
    <row r="2212" spans="1:21" x14ac:dyDescent="0.25">
      <c r="A2212">
        <v>20910626</v>
      </c>
      <c r="B2212" t="s">
        <v>342</v>
      </c>
      <c r="C2212" t="s">
        <v>89</v>
      </c>
      <c r="D2212" t="s">
        <v>12</v>
      </c>
      <c r="E2212" t="s">
        <v>625</v>
      </c>
      <c r="F2212" t="s">
        <v>1058</v>
      </c>
      <c r="G2212" t="s">
        <v>468</v>
      </c>
      <c r="H2212" t="s">
        <v>447</v>
      </c>
      <c r="I2212" t="s">
        <v>448</v>
      </c>
      <c r="J2212" t="s">
        <v>449</v>
      </c>
      <c r="K2212" t="s">
        <v>450</v>
      </c>
      <c r="L2212" t="s">
        <v>370</v>
      </c>
      <c r="M2212" t="s">
        <v>408</v>
      </c>
      <c r="N2212" t="s">
        <v>11</v>
      </c>
      <c r="O2212" t="s">
        <v>408</v>
      </c>
      <c r="P2212" t="s">
        <v>0</v>
      </c>
      <c r="Q2212" t="s">
        <v>408</v>
      </c>
      <c r="R2212" t="s">
        <v>439</v>
      </c>
      <c r="S2212" t="s">
        <v>451</v>
      </c>
      <c r="T2212" t="s">
        <v>11</v>
      </c>
      <c r="U2212" t="s">
        <v>408</v>
      </c>
    </row>
    <row r="2213" spans="1:21" x14ac:dyDescent="0.25">
      <c r="A2213">
        <v>16390575</v>
      </c>
      <c r="B2213" t="s">
        <v>340</v>
      </c>
      <c r="C2213" t="s">
        <v>26</v>
      </c>
      <c r="D2213" t="s">
        <v>79</v>
      </c>
      <c r="E2213" t="s">
        <v>719</v>
      </c>
      <c r="F2213" t="s">
        <v>110</v>
      </c>
      <c r="G2213" t="s">
        <v>369</v>
      </c>
      <c r="H2213" t="s">
        <v>761</v>
      </c>
      <c r="I2213" t="s">
        <v>762</v>
      </c>
      <c r="J2213" t="s">
        <v>763</v>
      </c>
      <c r="K2213" t="s">
        <v>764</v>
      </c>
      <c r="L2213" t="s">
        <v>375</v>
      </c>
      <c r="M2213" t="s">
        <v>408</v>
      </c>
      <c r="N2213" t="s">
        <v>11</v>
      </c>
      <c r="O2213" t="s">
        <v>11</v>
      </c>
      <c r="P2213" t="s">
        <v>0</v>
      </c>
      <c r="Q2213" t="s">
        <v>408</v>
      </c>
      <c r="R2213" t="s">
        <v>439</v>
      </c>
      <c r="S2213" t="s">
        <v>440</v>
      </c>
      <c r="T2213" t="s">
        <v>11</v>
      </c>
      <c r="U2213" t="s">
        <v>408</v>
      </c>
    </row>
    <row r="2214" spans="1:21" x14ac:dyDescent="0.25">
      <c r="A2214">
        <v>22350002</v>
      </c>
      <c r="B2214" t="s">
        <v>342</v>
      </c>
      <c r="C2214" t="s">
        <v>33</v>
      </c>
      <c r="D2214" t="s">
        <v>12</v>
      </c>
      <c r="E2214" t="s">
        <v>658</v>
      </c>
      <c r="F2214" t="s">
        <v>155</v>
      </c>
      <c r="G2214" t="s">
        <v>369</v>
      </c>
      <c r="H2214" t="s">
        <v>820</v>
      </c>
      <c r="I2214" t="s">
        <v>821</v>
      </c>
      <c r="J2214" t="s">
        <v>822</v>
      </c>
      <c r="K2214" t="s">
        <v>701</v>
      </c>
      <c r="L2214" t="s">
        <v>1014</v>
      </c>
      <c r="M2214" t="s">
        <v>11</v>
      </c>
      <c r="N2214" t="s">
        <v>11</v>
      </c>
      <c r="O2214" t="s">
        <v>11</v>
      </c>
      <c r="P2214" t="s">
        <v>0</v>
      </c>
      <c r="Q2214" t="s">
        <v>408</v>
      </c>
      <c r="R2214" t="s">
        <v>439</v>
      </c>
      <c r="S2214" t="s">
        <v>451</v>
      </c>
      <c r="T2214" t="s">
        <v>408</v>
      </c>
      <c r="U2214" t="s">
        <v>408</v>
      </c>
    </row>
    <row r="2215" spans="1:21" x14ac:dyDescent="0.25">
      <c r="A2215">
        <v>22350003</v>
      </c>
      <c r="B2215" t="s">
        <v>342</v>
      </c>
      <c r="C2215" t="s">
        <v>33</v>
      </c>
      <c r="D2215" t="s">
        <v>12</v>
      </c>
      <c r="E2215" t="s">
        <v>658</v>
      </c>
      <c r="F2215" t="s">
        <v>155</v>
      </c>
      <c r="G2215" t="s">
        <v>369</v>
      </c>
      <c r="H2215" t="s">
        <v>820</v>
      </c>
      <c r="I2215" t="s">
        <v>821</v>
      </c>
      <c r="J2215" t="s">
        <v>822</v>
      </c>
      <c r="K2215" t="s">
        <v>701</v>
      </c>
      <c r="L2215" t="s">
        <v>1057</v>
      </c>
      <c r="M2215" t="s">
        <v>11</v>
      </c>
      <c r="N2215" t="s">
        <v>11</v>
      </c>
      <c r="O2215" t="s">
        <v>11</v>
      </c>
      <c r="P2215" t="s">
        <v>0</v>
      </c>
      <c r="Q2215" t="s">
        <v>408</v>
      </c>
      <c r="R2215" t="s">
        <v>439</v>
      </c>
      <c r="S2215" t="s">
        <v>451</v>
      </c>
      <c r="T2215" t="s">
        <v>408</v>
      </c>
      <c r="U2215" t="s">
        <v>408</v>
      </c>
    </row>
    <row r="2216" spans="1:21" x14ac:dyDescent="0.25">
      <c r="A2216">
        <v>22350006</v>
      </c>
      <c r="B2216" t="s">
        <v>340</v>
      </c>
      <c r="C2216" t="s">
        <v>86</v>
      </c>
      <c r="D2216" t="s">
        <v>12</v>
      </c>
      <c r="E2216" t="s">
        <v>530</v>
      </c>
      <c r="F2216" t="s">
        <v>154</v>
      </c>
      <c r="G2216" t="s">
        <v>468</v>
      </c>
      <c r="H2216" t="s">
        <v>617</v>
      </c>
      <c r="I2216" t="s">
        <v>618</v>
      </c>
      <c r="J2216" t="s">
        <v>619</v>
      </c>
      <c r="K2216" t="s">
        <v>606</v>
      </c>
      <c r="L2216" t="s">
        <v>375</v>
      </c>
      <c r="M2216" t="s">
        <v>408</v>
      </c>
      <c r="N2216" t="s">
        <v>11</v>
      </c>
      <c r="O2216" t="s">
        <v>11</v>
      </c>
      <c r="P2216" t="s">
        <v>0</v>
      </c>
      <c r="Q2216" t="s">
        <v>408</v>
      </c>
      <c r="R2216" t="s">
        <v>439</v>
      </c>
      <c r="S2216" t="s">
        <v>451</v>
      </c>
      <c r="T2216" t="s">
        <v>11</v>
      </c>
      <c r="U2216" t="s">
        <v>408</v>
      </c>
    </row>
    <row r="2217" spans="1:21" x14ac:dyDescent="0.25">
      <c r="A2217">
        <v>22350008</v>
      </c>
      <c r="B2217" t="s">
        <v>342</v>
      </c>
      <c r="C2217" t="s">
        <v>89</v>
      </c>
      <c r="D2217" t="s">
        <v>12</v>
      </c>
      <c r="E2217" t="s">
        <v>658</v>
      </c>
      <c r="F2217" t="s">
        <v>160</v>
      </c>
      <c r="G2217" t="s">
        <v>468</v>
      </c>
      <c r="H2217" t="s">
        <v>884</v>
      </c>
      <c r="I2217" t="s">
        <v>883</v>
      </c>
      <c r="J2217" t="s">
        <v>882</v>
      </c>
      <c r="K2217" t="s">
        <v>450</v>
      </c>
      <c r="L2217" t="s">
        <v>993</v>
      </c>
      <c r="M2217" t="s">
        <v>11</v>
      </c>
      <c r="N2217" t="s">
        <v>11</v>
      </c>
      <c r="O2217" t="s">
        <v>11</v>
      </c>
      <c r="P2217" t="s">
        <v>0</v>
      </c>
      <c r="Q2217" t="s">
        <v>408</v>
      </c>
      <c r="R2217" t="s">
        <v>439</v>
      </c>
      <c r="S2217" t="s">
        <v>451</v>
      </c>
      <c r="T2217" t="s">
        <v>408</v>
      </c>
      <c r="U2217" t="s">
        <v>408</v>
      </c>
    </row>
    <row r="2218" spans="1:21" x14ac:dyDescent="0.25">
      <c r="A2218">
        <v>22350009</v>
      </c>
      <c r="B2218" t="s">
        <v>340</v>
      </c>
      <c r="C2218" t="s">
        <v>86</v>
      </c>
      <c r="D2218" t="s">
        <v>12</v>
      </c>
      <c r="E2218" t="s">
        <v>530</v>
      </c>
      <c r="F2218" t="s">
        <v>154</v>
      </c>
      <c r="G2218" t="s">
        <v>468</v>
      </c>
      <c r="H2218" t="s">
        <v>617</v>
      </c>
      <c r="I2218" t="s">
        <v>618</v>
      </c>
      <c r="J2218" t="s">
        <v>619</v>
      </c>
      <c r="K2218" t="s">
        <v>606</v>
      </c>
      <c r="L2218" t="s">
        <v>375</v>
      </c>
      <c r="M2218" t="s">
        <v>408</v>
      </c>
      <c r="N2218" t="s">
        <v>11</v>
      </c>
      <c r="O2218" t="s">
        <v>11</v>
      </c>
      <c r="P2218" t="s">
        <v>0</v>
      </c>
      <c r="Q2218" t="s">
        <v>408</v>
      </c>
      <c r="R2218" t="s">
        <v>439</v>
      </c>
      <c r="S2218" t="s">
        <v>451</v>
      </c>
      <c r="T2218" t="s">
        <v>11</v>
      </c>
      <c r="U2218" t="s">
        <v>408</v>
      </c>
    </row>
    <row r="2219" spans="1:21" x14ac:dyDescent="0.25">
      <c r="A2219">
        <v>22350013</v>
      </c>
      <c r="B2219" t="s">
        <v>342</v>
      </c>
      <c r="C2219" t="s">
        <v>33</v>
      </c>
      <c r="D2219" t="s">
        <v>12</v>
      </c>
      <c r="E2219" t="s">
        <v>530</v>
      </c>
      <c r="F2219" t="s">
        <v>154</v>
      </c>
      <c r="G2219" t="s">
        <v>369</v>
      </c>
      <c r="H2219" t="s">
        <v>1025</v>
      </c>
      <c r="I2219" t="s">
        <v>1024</v>
      </c>
      <c r="J2219" t="s">
        <v>1023</v>
      </c>
      <c r="K2219" t="s">
        <v>910</v>
      </c>
      <c r="L2219" t="s">
        <v>0</v>
      </c>
      <c r="M2219" t="s">
        <v>408</v>
      </c>
      <c r="N2219" t="s">
        <v>11</v>
      </c>
      <c r="O2219" t="s">
        <v>11</v>
      </c>
      <c r="P2219" t="s">
        <v>0</v>
      </c>
      <c r="Q2219" t="s">
        <v>408</v>
      </c>
      <c r="R2219" t="s">
        <v>439</v>
      </c>
      <c r="S2219" t="s">
        <v>451</v>
      </c>
      <c r="T2219" t="s">
        <v>11</v>
      </c>
      <c r="U2219" t="s">
        <v>408</v>
      </c>
    </row>
    <row r="2220" spans="1:21" x14ac:dyDescent="0.25">
      <c r="A2220">
        <v>22350014</v>
      </c>
      <c r="B2220" t="s">
        <v>342</v>
      </c>
      <c r="C2220" t="s">
        <v>33</v>
      </c>
      <c r="D2220" t="s">
        <v>12</v>
      </c>
      <c r="E2220" t="s">
        <v>530</v>
      </c>
      <c r="F2220" t="s">
        <v>154</v>
      </c>
      <c r="G2220" t="s">
        <v>369</v>
      </c>
      <c r="H2220" t="s">
        <v>820</v>
      </c>
      <c r="I2220" t="s">
        <v>821</v>
      </c>
      <c r="J2220" t="s">
        <v>822</v>
      </c>
      <c r="K2220" t="s">
        <v>701</v>
      </c>
      <c r="L2220" t="s">
        <v>1014</v>
      </c>
      <c r="M2220" t="s">
        <v>11</v>
      </c>
      <c r="N2220" t="s">
        <v>11</v>
      </c>
      <c r="O2220" t="s">
        <v>11</v>
      </c>
      <c r="P2220" t="s">
        <v>0</v>
      </c>
      <c r="Q2220" t="s">
        <v>408</v>
      </c>
      <c r="R2220" t="s">
        <v>439</v>
      </c>
      <c r="S2220" t="s">
        <v>451</v>
      </c>
      <c r="T2220" t="s">
        <v>408</v>
      </c>
      <c r="U2220" t="s">
        <v>408</v>
      </c>
    </row>
    <row r="2221" spans="1:21" x14ac:dyDescent="0.25">
      <c r="A2221">
        <v>22350015</v>
      </c>
      <c r="B2221" t="s">
        <v>340</v>
      </c>
      <c r="C2221" t="s">
        <v>86</v>
      </c>
      <c r="D2221" t="s">
        <v>12</v>
      </c>
      <c r="E2221" t="s">
        <v>530</v>
      </c>
      <c r="F2221" t="s">
        <v>154</v>
      </c>
      <c r="G2221" t="s">
        <v>468</v>
      </c>
      <c r="H2221" t="s">
        <v>838</v>
      </c>
      <c r="I2221" t="s">
        <v>839</v>
      </c>
      <c r="J2221" t="s">
        <v>839</v>
      </c>
      <c r="K2221" t="s">
        <v>450</v>
      </c>
      <c r="L2221" t="s">
        <v>978</v>
      </c>
      <c r="M2221" t="s">
        <v>11</v>
      </c>
      <c r="N2221" t="s">
        <v>11</v>
      </c>
      <c r="O2221" t="s">
        <v>408</v>
      </c>
      <c r="P2221" t="s">
        <v>0</v>
      </c>
      <c r="Q2221" t="s">
        <v>408</v>
      </c>
      <c r="R2221" t="s">
        <v>439</v>
      </c>
      <c r="S2221" t="s">
        <v>451</v>
      </c>
      <c r="T2221" t="s">
        <v>408</v>
      </c>
      <c r="U2221" t="s">
        <v>408</v>
      </c>
    </row>
    <row r="2222" spans="1:21" x14ac:dyDescent="0.25">
      <c r="A2222">
        <v>22350016</v>
      </c>
      <c r="B2222" t="s">
        <v>342</v>
      </c>
      <c r="C2222" t="s">
        <v>89</v>
      </c>
      <c r="D2222" t="s">
        <v>12</v>
      </c>
      <c r="E2222" t="s">
        <v>530</v>
      </c>
      <c r="F2222" t="s">
        <v>154</v>
      </c>
      <c r="G2222" t="s">
        <v>468</v>
      </c>
      <c r="H2222" t="s">
        <v>820</v>
      </c>
      <c r="I2222" t="s">
        <v>821</v>
      </c>
      <c r="J2222" t="s">
        <v>822</v>
      </c>
      <c r="K2222" t="s">
        <v>701</v>
      </c>
      <c r="L2222" t="s">
        <v>993</v>
      </c>
      <c r="M2222" t="s">
        <v>11</v>
      </c>
      <c r="N2222" t="s">
        <v>11</v>
      </c>
      <c r="O2222" t="s">
        <v>11</v>
      </c>
      <c r="P2222" t="s">
        <v>0</v>
      </c>
      <c r="Q2222" t="s">
        <v>408</v>
      </c>
      <c r="R2222" t="s">
        <v>439</v>
      </c>
      <c r="S2222" t="s">
        <v>451</v>
      </c>
      <c r="T2222" t="s">
        <v>408</v>
      </c>
      <c r="U2222" t="s">
        <v>408</v>
      </c>
    </row>
    <row r="2223" spans="1:21" x14ac:dyDescent="0.25">
      <c r="A2223">
        <v>22350018</v>
      </c>
      <c r="B2223" t="s">
        <v>342</v>
      </c>
      <c r="C2223" t="s">
        <v>33</v>
      </c>
      <c r="D2223" t="s">
        <v>12</v>
      </c>
      <c r="E2223" t="s">
        <v>530</v>
      </c>
      <c r="F2223" t="s">
        <v>154</v>
      </c>
      <c r="G2223" t="s">
        <v>369</v>
      </c>
      <c r="H2223" t="s">
        <v>820</v>
      </c>
      <c r="I2223" t="s">
        <v>821</v>
      </c>
      <c r="J2223" t="s">
        <v>822</v>
      </c>
      <c r="K2223" t="s">
        <v>701</v>
      </c>
      <c r="L2223" t="s">
        <v>1014</v>
      </c>
      <c r="M2223" t="s">
        <v>11</v>
      </c>
      <c r="N2223" t="s">
        <v>11</v>
      </c>
      <c r="O2223" t="s">
        <v>11</v>
      </c>
      <c r="P2223" t="s">
        <v>0</v>
      </c>
      <c r="Q2223" t="s">
        <v>408</v>
      </c>
      <c r="R2223" t="s">
        <v>439</v>
      </c>
      <c r="S2223" t="s">
        <v>451</v>
      </c>
      <c r="T2223" t="s">
        <v>408</v>
      </c>
      <c r="U2223" t="s">
        <v>408</v>
      </c>
    </row>
    <row r="2224" spans="1:21" x14ac:dyDescent="0.25">
      <c r="A2224">
        <v>22350019</v>
      </c>
      <c r="B2224" t="s">
        <v>340</v>
      </c>
      <c r="C2224" t="s">
        <v>86</v>
      </c>
      <c r="D2224" t="s">
        <v>12</v>
      </c>
      <c r="E2224" t="s">
        <v>658</v>
      </c>
      <c r="F2224" t="s">
        <v>155</v>
      </c>
      <c r="G2224" t="s">
        <v>468</v>
      </c>
      <c r="H2224" t="s">
        <v>900</v>
      </c>
      <c r="I2224" t="s">
        <v>899</v>
      </c>
      <c r="J2224" t="s">
        <v>898</v>
      </c>
      <c r="K2224" t="s">
        <v>453</v>
      </c>
      <c r="L2224" t="s">
        <v>979</v>
      </c>
      <c r="M2224" t="s">
        <v>408</v>
      </c>
      <c r="N2224" t="s">
        <v>11</v>
      </c>
      <c r="O2224" t="s">
        <v>408</v>
      </c>
      <c r="P2224" t="s">
        <v>0</v>
      </c>
      <c r="Q2224" t="s">
        <v>408</v>
      </c>
      <c r="R2224" t="s">
        <v>439</v>
      </c>
      <c r="S2224" t="s">
        <v>451</v>
      </c>
      <c r="T2224" t="s">
        <v>11</v>
      </c>
      <c r="U2224" t="s">
        <v>408</v>
      </c>
    </row>
    <row r="2225" spans="1:21" x14ac:dyDescent="0.25">
      <c r="A2225">
        <v>22350020</v>
      </c>
      <c r="B2225" t="s">
        <v>342</v>
      </c>
      <c r="C2225" t="s">
        <v>89</v>
      </c>
      <c r="D2225" t="s">
        <v>12</v>
      </c>
      <c r="E2225" t="s">
        <v>530</v>
      </c>
      <c r="F2225" t="s">
        <v>154</v>
      </c>
      <c r="G2225" t="s">
        <v>468</v>
      </c>
      <c r="H2225" t="s">
        <v>765</v>
      </c>
      <c r="I2225" t="s">
        <v>766</v>
      </c>
      <c r="J2225" t="s">
        <v>767</v>
      </c>
      <c r="K2225" t="s">
        <v>444</v>
      </c>
      <c r="L2225" t="s">
        <v>993</v>
      </c>
      <c r="M2225" t="s">
        <v>11</v>
      </c>
      <c r="N2225" t="s">
        <v>11</v>
      </c>
      <c r="O2225" t="s">
        <v>11</v>
      </c>
      <c r="P2225" t="s">
        <v>0</v>
      </c>
      <c r="Q2225" t="s">
        <v>408</v>
      </c>
      <c r="R2225" t="s">
        <v>439</v>
      </c>
      <c r="S2225" t="s">
        <v>451</v>
      </c>
      <c r="T2225" t="s">
        <v>408</v>
      </c>
      <c r="U2225" t="s">
        <v>408</v>
      </c>
    </row>
    <row r="2226" spans="1:21" x14ac:dyDescent="0.25">
      <c r="A2226">
        <v>22350021</v>
      </c>
      <c r="B2226" t="s">
        <v>342</v>
      </c>
      <c r="C2226" t="s">
        <v>89</v>
      </c>
      <c r="D2226" t="s">
        <v>12</v>
      </c>
      <c r="E2226" t="s">
        <v>658</v>
      </c>
      <c r="F2226" t="s">
        <v>155</v>
      </c>
      <c r="G2226" t="s">
        <v>468</v>
      </c>
      <c r="H2226" t="s">
        <v>765</v>
      </c>
      <c r="I2226" t="s">
        <v>766</v>
      </c>
      <c r="J2226" t="s">
        <v>767</v>
      </c>
      <c r="K2226" t="s">
        <v>444</v>
      </c>
      <c r="L2226" t="s">
        <v>1014</v>
      </c>
      <c r="M2226" t="s">
        <v>11</v>
      </c>
      <c r="N2226" t="s">
        <v>11</v>
      </c>
      <c r="O2226" t="s">
        <v>11</v>
      </c>
      <c r="P2226" t="s">
        <v>0</v>
      </c>
      <c r="Q2226" t="s">
        <v>408</v>
      </c>
      <c r="R2226" t="s">
        <v>439</v>
      </c>
      <c r="S2226" t="s">
        <v>451</v>
      </c>
      <c r="T2226" t="s">
        <v>408</v>
      </c>
      <c r="U2226" t="s">
        <v>408</v>
      </c>
    </row>
    <row r="2227" spans="1:21" x14ac:dyDescent="0.25">
      <c r="A2227">
        <v>22350024</v>
      </c>
      <c r="B2227" t="s">
        <v>342</v>
      </c>
      <c r="C2227" t="s">
        <v>33</v>
      </c>
      <c r="D2227" t="s">
        <v>18</v>
      </c>
      <c r="E2227" t="s">
        <v>658</v>
      </c>
      <c r="F2227" t="s">
        <v>155</v>
      </c>
      <c r="G2227" t="s">
        <v>369</v>
      </c>
      <c r="H2227" t="s">
        <v>820</v>
      </c>
      <c r="I2227" t="s">
        <v>821</v>
      </c>
      <c r="J2227" t="s">
        <v>822</v>
      </c>
      <c r="K2227" t="s">
        <v>701</v>
      </c>
      <c r="L2227" t="s">
        <v>993</v>
      </c>
      <c r="M2227" t="s">
        <v>11</v>
      </c>
      <c r="N2227" t="s">
        <v>11</v>
      </c>
      <c r="O2227" t="s">
        <v>11</v>
      </c>
      <c r="P2227" t="s">
        <v>0</v>
      </c>
      <c r="Q2227" t="s">
        <v>408</v>
      </c>
      <c r="R2227" t="s">
        <v>439</v>
      </c>
      <c r="S2227" t="s">
        <v>451</v>
      </c>
      <c r="T2227" t="s">
        <v>408</v>
      </c>
      <c r="U2227" t="s">
        <v>408</v>
      </c>
    </row>
    <row r="2228" spans="1:21" x14ac:dyDescent="0.25">
      <c r="A2228">
        <v>22350025</v>
      </c>
      <c r="B2228" t="s">
        <v>342</v>
      </c>
      <c r="C2228" t="s">
        <v>89</v>
      </c>
      <c r="D2228" t="s">
        <v>12</v>
      </c>
      <c r="E2228" t="s">
        <v>658</v>
      </c>
      <c r="F2228" t="s">
        <v>569</v>
      </c>
      <c r="G2228" t="s">
        <v>468</v>
      </c>
      <c r="H2228" t="s">
        <v>765</v>
      </c>
      <c r="I2228" t="s">
        <v>766</v>
      </c>
      <c r="J2228" t="s">
        <v>767</v>
      </c>
      <c r="K2228" t="s">
        <v>444</v>
      </c>
      <c r="L2228" t="s">
        <v>1014</v>
      </c>
      <c r="M2228" t="s">
        <v>11</v>
      </c>
      <c r="N2228" t="s">
        <v>11</v>
      </c>
      <c r="O2228" t="s">
        <v>11</v>
      </c>
      <c r="P2228" t="s">
        <v>0</v>
      </c>
      <c r="Q2228" t="s">
        <v>408</v>
      </c>
      <c r="R2228" t="s">
        <v>439</v>
      </c>
      <c r="S2228" t="s">
        <v>451</v>
      </c>
      <c r="T2228" t="s">
        <v>408</v>
      </c>
      <c r="U2228" t="s">
        <v>408</v>
      </c>
    </row>
    <row r="2229" spans="1:21" x14ac:dyDescent="0.25">
      <c r="A2229">
        <v>22350026</v>
      </c>
      <c r="B2229" t="s">
        <v>342</v>
      </c>
      <c r="C2229" t="s">
        <v>89</v>
      </c>
      <c r="D2229" t="s">
        <v>12</v>
      </c>
      <c r="E2229" t="s">
        <v>658</v>
      </c>
      <c r="F2229" t="s">
        <v>160</v>
      </c>
      <c r="G2229" t="s">
        <v>468</v>
      </c>
      <c r="H2229" t="s">
        <v>884</v>
      </c>
      <c r="I2229" t="s">
        <v>883</v>
      </c>
      <c r="J2229" t="s">
        <v>882</v>
      </c>
      <c r="K2229" t="s">
        <v>450</v>
      </c>
      <c r="L2229" t="s">
        <v>1015</v>
      </c>
      <c r="M2229" t="s">
        <v>11</v>
      </c>
      <c r="N2229" t="s">
        <v>11</v>
      </c>
      <c r="O2229" t="s">
        <v>408</v>
      </c>
      <c r="P2229" t="s">
        <v>0</v>
      </c>
      <c r="Q2229" t="s">
        <v>408</v>
      </c>
      <c r="R2229" t="s">
        <v>439</v>
      </c>
      <c r="S2229" t="s">
        <v>451</v>
      </c>
      <c r="T2229" t="s">
        <v>408</v>
      </c>
      <c r="U2229" t="s">
        <v>408</v>
      </c>
    </row>
    <row r="2230" spans="1:21" x14ac:dyDescent="0.25">
      <c r="A2230">
        <v>22350028</v>
      </c>
      <c r="B2230" t="s">
        <v>342</v>
      </c>
      <c r="C2230" t="s">
        <v>89</v>
      </c>
      <c r="D2230" t="s">
        <v>12</v>
      </c>
      <c r="E2230" t="s">
        <v>530</v>
      </c>
      <c r="F2230" t="s">
        <v>154</v>
      </c>
      <c r="G2230" t="s">
        <v>468</v>
      </c>
      <c r="H2230" t="s">
        <v>820</v>
      </c>
      <c r="I2230" t="s">
        <v>821</v>
      </c>
      <c r="J2230" t="s">
        <v>822</v>
      </c>
      <c r="K2230" t="s">
        <v>701</v>
      </c>
      <c r="L2230" t="s">
        <v>819</v>
      </c>
      <c r="M2230" t="s">
        <v>408</v>
      </c>
      <c r="N2230" t="s">
        <v>11</v>
      </c>
      <c r="O2230" t="s">
        <v>408</v>
      </c>
      <c r="P2230" t="s">
        <v>0</v>
      </c>
      <c r="Q2230" t="s">
        <v>408</v>
      </c>
      <c r="R2230" t="s">
        <v>439</v>
      </c>
      <c r="S2230" t="s">
        <v>451</v>
      </c>
      <c r="T2230" t="s">
        <v>11</v>
      </c>
      <c r="U2230" t="s">
        <v>408</v>
      </c>
    </row>
    <row r="2231" spans="1:21" x14ac:dyDescent="0.25">
      <c r="A2231">
        <v>22350030</v>
      </c>
      <c r="B2231" t="s">
        <v>342</v>
      </c>
      <c r="C2231" t="s">
        <v>33</v>
      </c>
      <c r="D2231" t="s">
        <v>125</v>
      </c>
      <c r="E2231" t="s">
        <v>658</v>
      </c>
      <c r="F2231" t="s">
        <v>155</v>
      </c>
      <c r="G2231" t="s">
        <v>369</v>
      </c>
      <c r="H2231" t="s">
        <v>812</v>
      </c>
      <c r="I2231" t="s">
        <v>813</v>
      </c>
      <c r="J2231" t="s">
        <v>814</v>
      </c>
      <c r="K2231" t="s">
        <v>438</v>
      </c>
      <c r="L2231" t="s">
        <v>805</v>
      </c>
      <c r="M2231" t="s">
        <v>408</v>
      </c>
      <c r="N2231" t="s">
        <v>11</v>
      </c>
      <c r="O2231" t="s">
        <v>408</v>
      </c>
      <c r="P2231" t="s">
        <v>0</v>
      </c>
      <c r="Q2231" t="s">
        <v>408</v>
      </c>
      <c r="R2231" t="s">
        <v>439</v>
      </c>
      <c r="S2231" t="s">
        <v>451</v>
      </c>
      <c r="T2231" t="s">
        <v>11</v>
      </c>
      <c r="U2231" t="s">
        <v>408</v>
      </c>
    </row>
    <row r="2232" spans="1:21" x14ac:dyDescent="0.25">
      <c r="A2232">
        <v>22350031</v>
      </c>
      <c r="B2232" t="s">
        <v>340</v>
      </c>
      <c r="C2232" t="s">
        <v>86</v>
      </c>
      <c r="D2232" t="s">
        <v>12</v>
      </c>
      <c r="E2232" t="s">
        <v>658</v>
      </c>
      <c r="F2232" t="s">
        <v>160</v>
      </c>
      <c r="G2232" t="s">
        <v>468</v>
      </c>
      <c r="H2232" t="s">
        <v>617</v>
      </c>
      <c r="I2232" t="s">
        <v>618</v>
      </c>
      <c r="J2232" t="s">
        <v>619</v>
      </c>
      <c r="K2232" t="s">
        <v>606</v>
      </c>
      <c r="L2232" t="s">
        <v>861</v>
      </c>
      <c r="M2232" t="s">
        <v>408</v>
      </c>
      <c r="N2232" t="s">
        <v>11</v>
      </c>
      <c r="O2232" t="s">
        <v>11</v>
      </c>
      <c r="P2232" t="s">
        <v>0</v>
      </c>
      <c r="Q2232" t="s">
        <v>408</v>
      </c>
      <c r="R2232" t="s">
        <v>439</v>
      </c>
      <c r="S2232" t="s">
        <v>451</v>
      </c>
      <c r="T2232" t="s">
        <v>11</v>
      </c>
      <c r="U2232" t="s">
        <v>408</v>
      </c>
    </row>
    <row r="2233" spans="1:21" x14ac:dyDescent="0.25">
      <c r="A2233">
        <v>22350032</v>
      </c>
      <c r="B2233" t="s">
        <v>342</v>
      </c>
      <c r="C2233" t="s">
        <v>33</v>
      </c>
      <c r="D2233" t="s">
        <v>12</v>
      </c>
      <c r="E2233" t="s">
        <v>658</v>
      </c>
      <c r="F2233" t="s">
        <v>160</v>
      </c>
      <c r="G2233" t="s">
        <v>468</v>
      </c>
      <c r="H2233" t="s">
        <v>820</v>
      </c>
      <c r="I2233" t="s">
        <v>821</v>
      </c>
      <c r="J2233" t="s">
        <v>822</v>
      </c>
      <c r="K2233" t="s">
        <v>701</v>
      </c>
      <c r="L2233" t="s">
        <v>1022</v>
      </c>
      <c r="M2233" t="s">
        <v>11</v>
      </c>
      <c r="N2233" t="s">
        <v>11</v>
      </c>
      <c r="O2233" t="s">
        <v>11</v>
      </c>
      <c r="P2233" t="s">
        <v>0</v>
      </c>
      <c r="Q2233" t="s">
        <v>408</v>
      </c>
      <c r="R2233" t="s">
        <v>439</v>
      </c>
      <c r="S2233" t="s">
        <v>451</v>
      </c>
      <c r="T2233" t="s">
        <v>408</v>
      </c>
      <c r="U2233" t="s">
        <v>408</v>
      </c>
    </row>
    <row r="2234" spans="1:21" x14ac:dyDescent="0.25">
      <c r="A2234">
        <v>22350034</v>
      </c>
      <c r="B2234" t="s">
        <v>340</v>
      </c>
      <c r="C2234" t="s">
        <v>86</v>
      </c>
      <c r="D2234" t="s">
        <v>18</v>
      </c>
      <c r="E2234" t="s">
        <v>530</v>
      </c>
      <c r="F2234" t="s">
        <v>154</v>
      </c>
      <c r="G2234" t="s">
        <v>468</v>
      </c>
      <c r="H2234" t="s">
        <v>617</v>
      </c>
      <c r="I2234" t="s">
        <v>618</v>
      </c>
      <c r="J2234" t="s">
        <v>619</v>
      </c>
      <c r="K2234" t="s">
        <v>606</v>
      </c>
      <c r="L2234" t="s">
        <v>861</v>
      </c>
      <c r="M2234" t="s">
        <v>408</v>
      </c>
      <c r="N2234" t="s">
        <v>11</v>
      </c>
      <c r="O2234" t="s">
        <v>11</v>
      </c>
      <c r="P2234" t="s">
        <v>0</v>
      </c>
      <c r="Q2234" t="s">
        <v>408</v>
      </c>
      <c r="R2234" t="s">
        <v>439</v>
      </c>
      <c r="S2234" t="s">
        <v>451</v>
      </c>
      <c r="T2234" t="s">
        <v>11</v>
      </c>
      <c r="U2234" t="s">
        <v>408</v>
      </c>
    </row>
    <row r="2235" spans="1:21" x14ac:dyDescent="0.25">
      <c r="A2235">
        <v>22350035</v>
      </c>
      <c r="B2235" t="s">
        <v>342</v>
      </c>
      <c r="C2235" t="s">
        <v>33</v>
      </c>
      <c r="D2235" t="s">
        <v>12</v>
      </c>
      <c r="E2235" t="s">
        <v>658</v>
      </c>
      <c r="F2235" t="s">
        <v>569</v>
      </c>
      <c r="G2235" t="s">
        <v>369</v>
      </c>
      <c r="H2235" t="s">
        <v>820</v>
      </c>
      <c r="I2235" t="s">
        <v>821</v>
      </c>
      <c r="J2235" t="s">
        <v>822</v>
      </c>
      <c r="K2235" t="s">
        <v>701</v>
      </c>
      <c r="L2235" t="s">
        <v>993</v>
      </c>
      <c r="M2235" t="s">
        <v>11</v>
      </c>
      <c r="N2235" t="s">
        <v>11</v>
      </c>
      <c r="O2235" t="s">
        <v>11</v>
      </c>
      <c r="P2235" t="s">
        <v>0</v>
      </c>
      <c r="Q2235" t="s">
        <v>408</v>
      </c>
      <c r="R2235" t="s">
        <v>439</v>
      </c>
      <c r="S2235" t="s">
        <v>451</v>
      </c>
      <c r="T2235" t="s">
        <v>408</v>
      </c>
      <c r="U2235" t="s">
        <v>408</v>
      </c>
    </row>
    <row r="2236" spans="1:21" x14ac:dyDescent="0.25">
      <c r="A2236">
        <v>22350036</v>
      </c>
      <c r="B2236" t="s">
        <v>342</v>
      </c>
      <c r="C2236" t="s">
        <v>89</v>
      </c>
      <c r="D2236" t="s">
        <v>18</v>
      </c>
      <c r="E2236" t="s">
        <v>658</v>
      </c>
      <c r="F2236" t="s">
        <v>155</v>
      </c>
      <c r="G2236" t="s">
        <v>468</v>
      </c>
      <c r="H2236" t="s">
        <v>447</v>
      </c>
      <c r="I2236" t="s">
        <v>448</v>
      </c>
      <c r="J2236" t="s">
        <v>449</v>
      </c>
      <c r="K2236" t="s">
        <v>450</v>
      </c>
      <c r="L2236" t="s">
        <v>370</v>
      </c>
      <c r="M2236" t="s">
        <v>408</v>
      </c>
      <c r="N2236" t="s">
        <v>11</v>
      </c>
      <c r="O2236" t="s">
        <v>408</v>
      </c>
      <c r="P2236" t="s">
        <v>0</v>
      </c>
      <c r="Q2236" t="s">
        <v>408</v>
      </c>
      <c r="R2236" t="s">
        <v>439</v>
      </c>
      <c r="S2236" t="s">
        <v>451</v>
      </c>
      <c r="T2236" t="s">
        <v>11</v>
      </c>
      <c r="U2236" t="s">
        <v>408</v>
      </c>
    </row>
    <row r="2237" spans="1:21" x14ac:dyDescent="0.25">
      <c r="A2237">
        <v>22350039</v>
      </c>
      <c r="B2237" t="s">
        <v>342</v>
      </c>
      <c r="C2237" t="s">
        <v>33</v>
      </c>
      <c r="D2237" t="s">
        <v>18</v>
      </c>
      <c r="E2237" t="s">
        <v>658</v>
      </c>
      <c r="F2237" t="s">
        <v>155</v>
      </c>
      <c r="G2237" t="s">
        <v>369</v>
      </c>
      <c r="H2237" t="s">
        <v>820</v>
      </c>
      <c r="I2237" t="s">
        <v>821</v>
      </c>
      <c r="J2237" t="s">
        <v>822</v>
      </c>
      <c r="K2237" t="s">
        <v>701</v>
      </c>
      <c r="L2237" t="s">
        <v>1014</v>
      </c>
      <c r="M2237" t="s">
        <v>11</v>
      </c>
      <c r="N2237" t="s">
        <v>11</v>
      </c>
      <c r="O2237" t="s">
        <v>11</v>
      </c>
      <c r="P2237" t="s">
        <v>0</v>
      </c>
      <c r="Q2237" t="s">
        <v>408</v>
      </c>
      <c r="R2237" t="s">
        <v>439</v>
      </c>
      <c r="S2237" t="s">
        <v>451</v>
      </c>
      <c r="T2237" t="s">
        <v>408</v>
      </c>
      <c r="U2237" t="s">
        <v>408</v>
      </c>
    </row>
    <row r="2238" spans="1:21" x14ac:dyDescent="0.25">
      <c r="A2238">
        <v>22350040</v>
      </c>
      <c r="B2238" t="s">
        <v>342</v>
      </c>
      <c r="C2238" t="s">
        <v>89</v>
      </c>
      <c r="D2238" t="s">
        <v>12</v>
      </c>
      <c r="E2238" t="s">
        <v>658</v>
      </c>
      <c r="F2238" t="s">
        <v>155</v>
      </c>
      <c r="G2238" t="s">
        <v>468</v>
      </c>
      <c r="H2238" t="s">
        <v>884</v>
      </c>
      <c r="I2238" t="s">
        <v>883</v>
      </c>
      <c r="J2238" t="s">
        <v>882</v>
      </c>
      <c r="K2238" t="s">
        <v>450</v>
      </c>
      <c r="L2238" t="s">
        <v>993</v>
      </c>
      <c r="M2238" t="s">
        <v>11</v>
      </c>
      <c r="N2238" t="s">
        <v>11</v>
      </c>
      <c r="O2238" t="s">
        <v>11</v>
      </c>
      <c r="P2238" t="s">
        <v>0</v>
      </c>
      <c r="Q2238" t="s">
        <v>408</v>
      </c>
      <c r="R2238" t="s">
        <v>439</v>
      </c>
      <c r="S2238" t="s">
        <v>451</v>
      </c>
      <c r="T2238" t="s">
        <v>408</v>
      </c>
      <c r="U2238" t="s">
        <v>408</v>
      </c>
    </row>
    <row r="2239" spans="1:21" x14ac:dyDescent="0.25">
      <c r="A2239">
        <v>22350041</v>
      </c>
      <c r="B2239" t="s">
        <v>342</v>
      </c>
      <c r="C2239" t="s">
        <v>89</v>
      </c>
      <c r="D2239" t="s">
        <v>12</v>
      </c>
      <c r="E2239" t="s">
        <v>658</v>
      </c>
      <c r="F2239" t="s">
        <v>88</v>
      </c>
      <c r="G2239" t="s">
        <v>468</v>
      </c>
      <c r="H2239" t="s">
        <v>603</v>
      </c>
      <c r="I2239" t="s">
        <v>604</v>
      </c>
      <c r="J2239" t="s">
        <v>605</v>
      </c>
      <c r="K2239" t="s">
        <v>606</v>
      </c>
      <c r="L2239" t="s">
        <v>1022</v>
      </c>
      <c r="M2239" t="s">
        <v>11</v>
      </c>
      <c r="N2239" t="s">
        <v>11</v>
      </c>
      <c r="O2239" t="s">
        <v>11</v>
      </c>
      <c r="P2239" t="s">
        <v>0</v>
      </c>
      <c r="Q2239" t="s">
        <v>408</v>
      </c>
      <c r="R2239" t="s">
        <v>439</v>
      </c>
      <c r="S2239" t="s">
        <v>451</v>
      </c>
      <c r="T2239" t="s">
        <v>408</v>
      </c>
      <c r="U2239" t="s">
        <v>408</v>
      </c>
    </row>
    <row r="2240" spans="1:21" x14ac:dyDescent="0.25">
      <c r="A2240">
        <v>22350042</v>
      </c>
      <c r="B2240" t="s">
        <v>342</v>
      </c>
      <c r="C2240" t="s">
        <v>33</v>
      </c>
      <c r="D2240" t="s">
        <v>12</v>
      </c>
      <c r="E2240" t="s">
        <v>530</v>
      </c>
      <c r="F2240" t="s">
        <v>154</v>
      </c>
      <c r="G2240" t="s">
        <v>468</v>
      </c>
      <c r="H2240" t="s">
        <v>820</v>
      </c>
      <c r="I2240" t="s">
        <v>821</v>
      </c>
      <c r="J2240" t="s">
        <v>822</v>
      </c>
      <c r="K2240" t="s">
        <v>701</v>
      </c>
      <c r="L2240" t="s">
        <v>991</v>
      </c>
      <c r="M2240" t="s">
        <v>11</v>
      </c>
      <c r="N2240" t="s">
        <v>11</v>
      </c>
      <c r="O2240" t="s">
        <v>11</v>
      </c>
      <c r="P2240" t="s">
        <v>0</v>
      </c>
      <c r="Q2240" t="s">
        <v>408</v>
      </c>
      <c r="R2240" t="s">
        <v>439</v>
      </c>
      <c r="S2240" t="s">
        <v>451</v>
      </c>
      <c r="T2240" t="s">
        <v>408</v>
      </c>
      <c r="U2240" t="s">
        <v>408</v>
      </c>
    </row>
    <row r="2241" spans="1:21" x14ac:dyDescent="0.25">
      <c r="A2241">
        <v>22350043</v>
      </c>
      <c r="B2241" t="s">
        <v>342</v>
      </c>
      <c r="C2241" t="s">
        <v>33</v>
      </c>
      <c r="D2241" t="s">
        <v>12</v>
      </c>
      <c r="E2241" t="s">
        <v>530</v>
      </c>
      <c r="F2241" t="s">
        <v>161</v>
      </c>
      <c r="G2241" t="s">
        <v>369</v>
      </c>
      <c r="H2241" t="s">
        <v>1025</v>
      </c>
      <c r="I2241" t="s">
        <v>1024</v>
      </c>
      <c r="J2241" t="s">
        <v>1023</v>
      </c>
      <c r="K2241" t="s">
        <v>910</v>
      </c>
      <c r="L2241" t="s">
        <v>0</v>
      </c>
      <c r="M2241" t="s">
        <v>408</v>
      </c>
      <c r="N2241" t="s">
        <v>11</v>
      </c>
      <c r="O2241" t="s">
        <v>11</v>
      </c>
      <c r="P2241" t="s">
        <v>0</v>
      </c>
      <c r="Q2241" t="s">
        <v>408</v>
      </c>
      <c r="R2241" t="s">
        <v>439</v>
      </c>
      <c r="S2241" t="s">
        <v>451</v>
      </c>
      <c r="T2241" t="s">
        <v>11</v>
      </c>
      <c r="U2241" t="s">
        <v>408</v>
      </c>
    </row>
    <row r="2242" spans="1:21" x14ac:dyDescent="0.25">
      <c r="A2242">
        <v>22350044</v>
      </c>
      <c r="B2242" t="s">
        <v>340</v>
      </c>
      <c r="C2242" t="s">
        <v>26</v>
      </c>
      <c r="D2242" t="s">
        <v>12</v>
      </c>
      <c r="E2242" t="s">
        <v>658</v>
      </c>
      <c r="F2242" t="s">
        <v>88</v>
      </c>
      <c r="G2242" t="s">
        <v>468</v>
      </c>
      <c r="H2242" t="s">
        <v>838</v>
      </c>
      <c r="I2242" t="s">
        <v>839</v>
      </c>
      <c r="J2242" t="s">
        <v>839</v>
      </c>
      <c r="K2242" t="s">
        <v>450</v>
      </c>
      <c r="L2242" t="s">
        <v>913</v>
      </c>
      <c r="M2242" t="s">
        <v>11</v>
      </c>
      <c r="N2242" t="s">
        <v>11</v>
      </c>
      <c r="O2242" t="s">
        <v>408</v>
      </c>
      <c r="P2242" t="s">
        <v>0</v>
      </c>
      <c r="Q2242" t="s">
        <v>408</v>
      </c>
      <c r="R2242" t="s">
        <v>439</v>
      </c>
      <c r="S2242" t="s">
        <v>451</v>
      </c>
      <c r="T2242" t="s">
        <v>408</v>
      </c>
      <c r="U2242" t="s">
        <v>408</v>
      </c>
    </row>
    <row r="2243" spans="1:21" x14ac:dyDescent="0.25">
      <c r="A2243">
        <v>22350045</v>
      </c>
      <c r="B2243" t="s">
        <v>342</v>
      </c>
      <c r="C2243" t="s">
        <v>33</v>
      </c>
      <c r="D2243" t="s">
        <v>12</v>
      </c>
      <c r="E2243" t="s">
        <v>530</v>
      </c>
      <c r="F2243" t="s">
        <v>161</v>
      </c>
      <c r="G2243" t="s">
        <v>369</v>
      </c>
      <c r="H2243" t="s">
        <v>820</v>
      </c>
      <c r="I2243" t="s">
        <v>821</v>
      </c>
      <c r="J2243" t="s">
        <v>822</v>
      </c>
      <c r="K2243" t="s">
        <v>701</v>
      </c>
      <c r="L2243" t="s">
        <v>1022</v>
      </c>
      <c r="M2243" t="s">
        <v>11</v>
      </c>
      <c r="N2243" t="s">
        <v>11</v>
      </c>
      <c r="O2243" t="s">
        <v>11</v>
      </c>
      <c r="P2243" t="s">
        <v>0</v>
      </c>
      <c r="Q2243" t="s">
        <v>408</v>
      </c>
      <c r="R2243" t="s">
        <v>439</v>
      </c>
      <c r="S2243" t="s">
        <v>451</v>
      </c>
      <c r="T2243" t="s">
        <v>408</v>
      </c>
      <c r="U2243" t="s">
        <v>408</v>
      </c>
    </row>
    <row r="2244" spans="1:21" x14ac:dyDescent="0.25">
      <c r="A2244">
        <v>22350047</v>
      </c>
      <c r="B2244" t="s">
        <v>340</v>
      </c>
      <c r="C2244" t="s">
        <v>15</v>
      </c>
      <c r="D2244" t="s">
        <v>18</v>
      </c>
      <c r="E2244" t="s">
        <v>530</v>
      </c>
      <c r="F2244" t="s">
        <v>154</v>
      </c>
      <c r="G2244" t="s">
        <v>468</v>
      </c>
      <c r="H2244" t="s">
        <v>0</v>
      </c>
      <c r="I2244" t="s">
        <v>436</v>
      </c>
      <c r="J2244" t="s">
        <v>437</v>
      </c>
      <c r="K2244" t="s">
        <v>438</v>
      </c>
      <c r="L2244" t="s">
        <v>345</v>
      </c>
      <c r="M2244" t="s">
        <v>408</v>
      </c>
      <c r="N2244" t="s">
        <v>11</v>
      </c>
      <c r="O2244" t="s">
        <v>11</v>
      </c>
      <c r="P2244" t="s">
        <v>0</v>
      </c>
      <c r="Q2244" t="s">
        <v>408</v>
      </c>
      <c r="R2244" t="s">
        <v>439</v>
      </c>
      <c r="S2244" t="s">
        <v>440</v>
      </c>
      <c r="T2244" t="s">
        <v>11</v>
      </c>
      <c r="U2244" t="s">
        <v>408</v>
      </c>
    </row>
    <row r="2245" spans="1:21" x14ac:dyDescent="0.25">
      <c r="A2245">
        <v>22350048</v>
      </c>
      <c r="B2245" t="s">
        <v>340</v>
      </c>
      <c r="C2245" t="s">
        <v>86</v>
      </c>
      <c r="D2245" t="s">
        <v>12</v>
      </c>
      <c r="E2245" t="s">
        <v>530</v>
      </c>
      <c r="F2245" t="s">
        <v>154</v>
      </c>
      <c r="G2245" t="s">
        <v>468</v>
      </c>
      <c r="H2245" t="s">
        <v>900</v>
      </c>
      <c r="I2245" t="s">
        <v>899</v>
      </c>
      <c r="J2245" t="s">
        <v>898</v>
      </c>
      <c r="K2245" t="s">
        <v>453</v>
      </c>
      <c r="L2245" t="s">
        <v>979</v>
      </c>
      <c r="M2245" t="s">
        <v>408</v>
      </c>
      <c r="N2245" t="s">
        <v>11</v>
      </c>
      <c r="O2245" t="s">
        <v>408</v>
      </c>
      <c r="P2245" t="s">
        <v>0</v>
      </c>
      <c r="Q2245" t="s">
        <v>408</v>
      </c>
      <c r="R2245" t="s">
        <v>439</v>
      </c>
      <c r="S2245" t="s">
        <v>451</v>
      </c>
      <c r="T2245" t="s">
        <v>11</v>
      </c>
      <c r="U2245" t="s">
        <v>408</v>
      </c>
    </row>
    <row r="2246" spans="1:21" x14ac:dyDescent="0.25">
      <c r="A2246">
        <v>22350049</v>
      </c>
      <c r="B2246" t="s">
        <v>342</v>
      </c>
      <c r="C2246" t="s">
        <v>89</v>
      </c>
      <c r="D2246" t="s">
        <v>12</v>
      </c>
      <c r="E2246" t="s">
        <v>658</v>
      </c>
      <c r="F2246" t="s">
        <v>160</v>
      </c>
      <c r="G2246" t="s">
        <v>468</v>
      </c>
      <c r="H2246" t="s">
        <v>447</v>
      </c>
      <c r="I2246" t="s">
        <v>448</v>
      </c>
      <c r="J2246" t="s">
        <v>449</v>
      </c>
      <c r="K2246" t="s">
        <v>450</v>
      </c>
      <c r="L2246" t="s">
        <v>370</v>
      </c>
      <c r="M2246" t="s">
        <v>408</v>
      </c>
      <c r="N2246" t="s">
        <v>11</v>
      </c>
      <c r="O2246" t="s">
        <v>408</v>
      </c>
      <c r="P2246" t="s">
        <v>0</v>
      </c>
      <c r="Q2246" t="s">
        <v>408</v>
      </c>
      <c r="R2246" t="s">
        <v>439</v>
      </c>
      <c r="S2246" t="s">
        <v>451</v>
      </c>
      <c r="T2246" t="s">
        <v>11</v>
      </c>
      <c r="U2246" t="s">
        <v>408</v>
      </c>
    </row>
    <row r="2247" spans="1:21" x14ac:dyDescent="0.25">
      <c r="A2247">
        <v>22350051</v>
      </c>
      <c r="B2247" t="s">
        <v>340</v>
      </c>
      <c r="C2247" t="s">
        <v>86</v>
      </c>
      <c r="D2247" t="s">
        <v>12</v>
      </c>
      <c r="E2247" t="s">
        <v>530</v>
      </c>
      <c r="F2247" t="s">
        <v>154</v>
      </c>
      <c r="G2247" t="s">
        <v>468</v>
      </c>
      <c r="H2247" t="s">
        <v>447</v>
      </c>
      <c r="I2247" t="s">
        <v>448</v>
      </c>
      <c r="J2247" t="s">
        <v>449</v>
      </c>
      <c r="K2247" t="s">
        <v>450</v>
      </c>
      <c r="L2247" t="s">
        <v>861</v>
      </c>
      <c r="M2247" t="s">
        <v>408</v>
      </c>
      <c r="N2247" t="s">
        <v>11</v>
      </c>
      <c r="O2247" t="s">
        <v>11</v>
      </c>
      <c r="P2247" t="s">
        <v>0</v>
      </c>
      <c r="Q2247" t="s">
        <v>408</v>
      </c>
      <c r="R2247" t="s">
        <v>439</v>
      </c>
      <c r="S2247" t="s">
        <v>451</v>
      </c>
      <c r="T2247" t="s">
        <v>11</v>
      </c>
      <c r="U2247" t="s">
        <v>408</v>
      </c>
    </row>
    <row r="2248" spans="1:21" x14ac:dyDescent="0.25">
      <c r="A2248">
        <v>22350054</v>
      </c>
      <c r="B2248" t="s">
        <v>342</v>
      </c>
      <c r="C2248" t="s">
        <v>33</v>
      </c>
      <c r="D2248" t="s">
        <v>12</v>
      </c>
      <c r="E2248" t="s">
        <v>753</v>
      </c>
      <c r="F2248" t="s">
        <v>163</v>
      </c>
      <c r="G2248" t="s">
        <v>369</v>
      </c>
      <c r="H2248" t="s">
        <v>820</v>
      </c>
      <c r="I2248" t="s">
        <v>821</v>
      </c>
      <c r="J2248" t="s">
        <v>822</v>
      </c>
      <c r="K2248" t="s">
        <v>701</v>
      </c>
      <c r="L2248" t="s">
        <v>1014</v>
      </c>
      <c r="M2248" t="s">
        <v>11</v>
      </c>
      <c r="N2248" t="s">
        <v>11</v>
      </c>
      <c r="O2248" t="s">
        <v>11</v>
      </c>
      <c r="P2248" t="s">
        <v>0</v>
      </c>
      <c r="Q2248" t="s">
        <v>408</v>
      </c>
      <c r="R2248" t="s">
        <v>439</v>
      </c>
      <c r="S2248" t="s">
        <v>451</v>
      </c>
      <c r="T2248" t="s">
        <v>408</v>
      </c>
      <c r="U2248" t="s">
        <v>408</v>
      </c>
    </row>
    <row r="2249" spans="1:21" x14ac:dyDescent="0.25">
      <c r="A2249">
        <v>22350055</v>
      </c>
      <c r="B2249" t="s">
        <v>342</v>
      </c>
      <c r="C2249" t="s">
        <v>33</v>
      </c>
      <c r="D2249" t="s">
        <v>18</v>
      </c>
      <c r="E2249" t="s">
        <v>530</v>
      </c>
      <c r="F2249" t="s">
        <v>154</v>
      </c>
      <c r="G2249" t="s">
        <v>369</v>
      </c>
      <c r="H2249" t="s">
        <v>820</v>
      </c>
      <c r="I2249" t="s">
        <v>821</v>
      </c>
      <c r="J2249" t="s">
        <v>822</v>
      </c>
      <c r="K2249" t="s">
        <v>701</v>
      </c>
      <c r="L2249" t="s">
        <v>993</v>
      </c>
      <c r="M2249" t="s">
        <v>11</v>
      </c>
      <c r="N2249" t="s">
        <v>11</v>
      </c>
      <c r="O2249" t="s">
        <v>11</v>
      </c>
      <c r="P2249" t="s">
        <v>0</v>
      </c>
      <c r="Q2249" t="s">
        <v>408</v>
      </c>
      <c r="R2249" t="s">
        <v>439</v>
      </c>
      <c r="S2249" t="s">
        <v>451</v>
      </c>
      <c r="T2249" t="s">
        <v>408</v>
      </c>
      <c r="U2249" t="s">
        <v>408</v>
      </c>
    </row>
    <row r="2250" spans="1:21" x14ac:dyDescent="0.25">
      <c r="A2250">
        <v>22350058</v>
      </c>
      <c r="B2250" t="s">
        <v>340</v>
      </c>
      <c r="C2250" t="s">
        <v>86</v>
      </c>
      <c r="D2250" t="s">
        <v>18</v>
      </c>
      <c r="E2250" t="s">
        <v>530</v>
      </c>
      <c r="F2250" t="s">
        <v>154</v>
      </c>
      <c r="G2250" t="s">
        <v>468</v>
      </c>
      <c r="H2250" t="s">
        <v>447</v>
      </c>
      <c r="I2250" t="s">
        <v>448</v>
      </c>
      <c r="J2250" t="s">
        <v>449</v>
      </c>
      <c r="K2250" t="s">
        <v>450</v>
      </c>
      <c r="L2250" t="s">
        <v>375</v>
      </c>
      <c r="M2250" t="s">
        <v>408</v>
      </c>
      <c r="N2250" t="s">
        <v>11</v>
      </c>
      <c r="O2250" t="s">
        <v>11</v>
      </c>
      <c r="P2250" t="s">
        <v>0</v>
      </c>
      <c r="Q2250" t="s">
        <v>408</v>
      </c>
      <c r="R2250" t="s">
        <v>439</v>
      </c>
      <c r="S2250" t="s">
        <v>451</v>
      </c>
      <c r="T2250" t="s">
        <v>11</v>
      </c>
      <c r="U2250" t="s">
        <v>408</v>
      </c>
    </row>
    <row r="2251" spans="1:21" x14ac:dyDescent="0.25">
      <c r="A2251">
        <v>22350060</v>
      </c>
      <c r="B2251" t="s">
        <v>342</v>
      </c>
      <c r="C2251" t="s">
        <v>33</v>
      </c>
      <c r="D2251" t="s">
        <v>12</v>
      </c>
      <c r="E2251" t="s">
        <v>658</v>
      </c>
      <c r="F2251" t="s">
        <v>88</v>
      </c>
      <c r="G2251" t="s">
        <v>369</v>
      </c>
      <c r="H2251" t="s">
        <v>1025</v>
      </c>
      <c r="I2251" t="s">
        <v>1024</v>
      </c>
      <c r="J2251" t="s">
        <v>1023</v>
      </c>
      <c r="K2251" t="s">
        <v>910</v>
      </c>
      <c r="L2251" t="s">
        <v>0</v>
      </c>
      <c r="M2251" t="s">
        <v>408</v>
      </c>
      <c r="N2251" t="s">
        <v>11</v>
      </c>
      <c r="O2251" t="s">
        <v>11</v>
      </c>
      <c r="P2251" t="s">
        <v>0</v>
      </c>
      <c r="Q2251" t="s">
        <v>408</v>
      </c>
      <c r="R2251" t="s">
        <v>439</v>
      </c>
      <c r="S2251" t="s">
        <v>451</v>
      </c>
      <c r="T2251" t="s">
        <v>11</v>
      </c>
      <c r="U2251" t="s">
        <v>408</v>
      </c>
    </row>
    <row r="2252" spans="1:21" x14ac:dyDescent="0.25">
      <c r="A2252">
        <v>22350061</v>
      </c>
      <c r="B2252" t="s">
        <v>342</v>
      </c>
      <c r="C2252" t="s">
        <v>33</v>
      </c>
      <c r="D2252" t="s">
        <v>12</v>
      </c>
      <c r="E2252" t="s">
        <v>658</v>
      </c>
      <c r="F2252" t="s">
        <v>155</v>
      </c>
      <c r="G2252" t="s">
        <v>468</v>
      </c>
      <c r="H2252" t="s">
        <v>761</v>
      </c>
      <c r="I2252" t="s">
        <v>762</v>
      </c>
      <c r="J2252" t="s">
        <v>763</v>
      </c>
      <c r="K2252" t="s">
        <v>764</v>
      </c>
      <c r="L2252" t="s">
        <v>858</v>
      </c>
      <c r="M2252" t="s">
        <v>408</v>
      </c>
      <c r="N2252" t="s">
        <v>11</v>
      </c>
      <c r="O2252" t="s">
        <v>11</v>
      </c>
      <c r="P2252" t="s">
        <v>0</v>
      </c>
      <c r="Q2252" t="s">
        <v>11</v>
      </c>
      <c r="R2252" t="s">
        <v>439</v>
      </c>
      <c r="S2252" t="s">
        <v>440</v>
      </c>
      <c r="T2252" t="s">
        <v>11</v>
      </c>
      <c r="U2252" t="s">
        <v>11</v>
      </c>
    </row>
    <row r="2253" spans="1:21" x14ac:dyDescent="0.25">
      <c r="A2253">
        <v>22350064</v>
      </c>
      <c r="B2253" t="s">
        <v>340</v>
      </c>
      <c r="C2253" t="s">
        <v>86</v>
      </c>
      <c r="D2253" t="s">
        <v>18</v>
      </c>
      <c r="E2253" t="s">
        <v>530</v>
      </c>
      <c r="F2253" t="s">
        <v>154</v>
      </c>
      <c r="G2253" t="s">
        <v>468</v>
      </c>
      <c r="H2253" t="s">
        <v>617</v>
      </c>
      <c r="I2253" t="s">
        <v>618</v>
      </c>
      <c r="J2253" t="s">
        <v>619</v>
      </c>
      <c r="K2253" t="s">
        <v>606</v>
      </c>
      <c r="L2253" t="s">
        <v>861</v>
      </c>
      <c r="M2253" t="s">
        <v>408</v>
      </c>
      <c r="N2253" t="s">
        <v>11</v>
      </c>
      <c r="O2253" t="s">
        <v>11</v>
      </c>
      <c r="P2253" t="s">
        <v>0</v>
      </c>
      <c r="Q2253" t="s">
        <v>408</v>
      </c>
      <c r="R2253" t="s">
        <v>439</v>
      </c>
      <c r="S2253" t="s">
        <v>451</v>
      </c>
      <c r="T2253" t="s">
        <v>11</v>
      </c>
      <c r="U2253" t="s">
        <v>408</v>
      </c>
    </row>
    <row r="2254" spans="1:21" x14ac:dyDescent="0.25">
      <c r="A2254">
        <v>22350065</v>
      </c>
      <c r="B2254" t="s">
        <v>340</v>
      </c>
      <c r="C2254" t="s">
        <v>26</v>
      </c>
      <c r="D2254" t="s">
        <v>12</v>
      </c>
      <c r="E2254" t="s">
        <v>753</v>
      </c>
      <c r="F2254" t="s">
        <v>1056</v>
      </c>
      <c r="G2254" t="s">
        <v>468</v>
      </c>
      <c r="H2254" t="s">
        <v>4</v>
      </c>
      <c r="I2254" t="s">
        <v>464</v>
      </c>
      <c r="J2254" t="s">
        <v>463</v>
      </c>
      <c r="K2254" t="s">
        <v>462</v>
      </c>
      <c r="L2254" t="s">
        <v>3</v>
      </c>
      <c r="M2254" t="s">
        <v>408</v>
      </c>
      <c r="N2254" t="s">
        <v>11</v>
      </c>
      <c r="O2254" t="s">
        <v>11</v>
      </c>
      <c r="P2254" t="s">
        <v>0</v>
      </c>
      <c r="Q2254" t="s">
        <v>408</v>
      </c>
      <c r="R2254" t="s">
        <v>439</v>
      </c>
      <c r="S2254" t="s">
        <v>451</v>
      </c>
      <c r="T2254" t="s">
        <v>11</v>
      </c>
      <c r="U2254" t="s">
        <v>408</v>
      </c>
    </row>
    <row r="2255" spans="1:21" x14ac:dyDescent="0.25">
      <c r="A2255">
        <v>22350069</v>
      </c>
      <c r="B2255" t="s">
        <v>342</v>
      </c>
      <c r="C2255" t="s">
        <v>33</v>
      </c>
      <c r="D2255" t="s">
        <v>12</v>
      </c>
      <c r="E2255" t="s">
        <v>658</v>
      </c>
      <c r="F2255" t="s">
        <v>155</v>
      </c>
      <c r="G2255" t="s">
        <v>369</v>
      </c>
      <c r="H2255" t="s">
        <v>820</v>
      </c>
      <c r="I2255" t="s">
        <v>821</v>
      </c>
      <c r="J2255" t="s">
        <v>822</v>
      </c>
      <c r="K2255" t="s">
        <v>701</v>
      </c>
      <c r="L2255" t="s">
        <v>1014</v>
      </c>
      <c r="M2255" t="s">
        <v>11</v>
      </c>
      <c r="N2255" t="s">
        <v>11</v>
      </c>
      <c r="O2255" t="s">
        <v>11</v>
      </c>
      <c r="P2255" t="s">
        <v>0</v>
      </c>
      <c r="Q2255" t="s">
        <v>408</v>
      </c>
      <c r="R2255" t="s">
        <v>439</v>
      </c>
      <c r="S2255" t="s">
        <v>451</v>
      </c>
      <c r="T2255" t="s">
        <v>408</v>
      </c>
      <c r="U2255" t="s">
        <v>408</v>
      </c>
    </row>
    <row r="2256" spans="1:21" x14ac:dyDescent="0.25">
      <c r="A2256">
        <v>22350070</v>
      </c>
      <c r="B2256" t="s">
        <v>342</v>
      </c>
      <c r="C2256" t="s">
        <v>89</v>
      </c>
      <c r="D2256" t="s">
        <v>12</v>
      </c>
      <c r="E2256" t="s">
        <v>658</v>
      </c>
      <c r="F2256" t="s">
        <v>88</v>
      </c>
      <c r="G2256" t="s">
        <v>468</v>
      </c>
      <c r="H2256" t="s">
        <v>884</v>
      </c>
      <c r="I2256" t="s">
        <v>883</v>
      </c>
      <c r="J2256" t="s">
        <v>882</v>
      </c>
      <c r="K2256" t="s">
        <v>450</v>
      </c>
      <c r="L2256" t="s">
        <v>1015</v>
      </c>
      <c r="M2256" t="s">
        <v>11</v>
      </c>
      <c r="N2256" t="s">
        <v>11</v>
      </c>
      <c r="O2256" t="s">
        <v>408</v>
      </c>
      <c r="P2256" t="s">
        <v>0</v>
      </c>
      <c r="Q2256" t="s">
        <v>408</v>
      </c>
      <c r="R2256" t="s">
        <v>439</v>
      </c>
      <c r="S2256" t="s">
        <v>451</v>
      </c>
      <c r="T2256" t="s">
        <v>408</v>
      </c>
      <c r="U2256" t="s">
        <v>408</v>
      </c>
    </row>
    <row r="2257" spans="1:21" x14ac:dyDescent="0.25">
      <c r="A2257">
        <v>22350071</v>
      </c>
      <c r="B2257" t="s">
        <v>342</v>
      </c>
      <c r="C2257" t="s">
        <v>33</v>
      </c>
      <c r="D2257" t="s">
        <v>12</v>
      </c>
      <c r="E2257" t="s">
        <v>658</v>
      </c>
      <c r="F2257" t="s">
        <v>155</v>
      </c>
      <c r="G2257" t="s">
        <v>369</v>
      </c>
      <c r="H2257" t="s">
        <v>820</v>
      </c>
      <c r="I2257" t="s">
        <v>821</v>
      </c>
      <c r="J2257" t="s">
        <v>822</v>
      </c>
      <c r="K2257" t="s">
        <v>701</v>
      </c>
      <c r="L2257" t="s">
        <v>1014</v>
      </c>
      <c r="M2257" t="s">
        <v>11</v>
      </c>
      <c r="N2257" t="s">
        <v>11</v>
      </c>
      <c r="O2257" t="s">
        <v>11</v>
      </c>
      <c r="P2257" t="s">
        <v>0</v>
      </c>
      <c r="Q2257" t="s">
        <v>408</v>
      </c>
      <c r="R2257" t="s">
        <v>439</v>
      </c>
      <c r="S2257" t="s">
        <v>451</v>
      </c>
      <c r="T2257" t="s">
        <v>408</v>
      </c>
      <c r="U2257" t="s">
        <v>408</v>
      </c>
    </row>
    <row r="2258" spans="1:21" x14ac:dyDescent="0.25">
      <c r="A2258">
        <v>22350073</v>
      </c>
      <c r="B2258" t="s">
        <v>340</v>
      </c>
      <c r="C2258" t="s">
        <v>86</v>
      </c>
      <c r="D2258" t="s">
        <v>12</v>
      </c>
      <c r="E2258" t="s">
        <v>658</v>
      </c>
      <c r="F2258" t="s">
        <v>160</v>
      </c>
      <c r="G2258" t="s">
        <v>468</v>
      </c>
      <c r="H2258" t="s">
        <v>900</v>
      </c>
      <c r="I2258" t="s">
        <v>899</v>
      </c>
      <c r="J2258" t="s">
        <v>898</v>
      </c>
      <c r="K2258" t="s">
        <v>453</v>
      </c>
      <c r="L2258" t="s">
        <v>979</v>
      </c>
      <c r="M2258" t="s">
        <v>408</v>
      </c>
      <c r="N2258" t="s">
        <v>11</v>
      </c>
      <c r="O2258" t="s">
        <v>408</v>
      </c>
      <c r="P2258" t="s">
        <v>0</v>
      </c>
      <c r="Q2258" t="s">
        <v>408</v>
      </c>
      <c r="R2258" t="s">
        <v>439</v>
      </c>
      <c r="S2258" t="s">
        <v>451</v>
      </c>
      <c r="T2258" t="s">
        <v>11</v>
      </c>
      <c r="U2258" t="s">
        <v>408</v>
      </c>
    </row>
    <row r="2259" spans="1:21" x14ac:dyDescent="0.25">
      <c r="A2259">
        <v>22350075</v>
      </c>
      <c r="B2259" t="s">
        <v>342</v>
      </c>
      <c r="C2259" t="s">
        <v>33</v>
      </c>
      <c r="D2259" t="s">
        <v>12</v>
      </c>
      <c r="E2259" t="s">
        <v>658</v>
      </c>
      <c r="F2259" t="s">
        <v>155</v>
      </c>
      <c r="G2259" t="s">
        <v>369</v>
      </c>
      <c r="H2259" t="s">
        <v>1025</v>
      </c>
      <c r="I2259" t="s">
        <v>1024</v>
      </c>
      <c r="J2259" t="s">
        <v>1023</v>
      </c>
      <c r="K2259" t="s">
        <v>910</v>
      </c>
      <c r="L2259" t="s">
        <v>1025</v>
      </c>
      <c r="M2259" t="s">
        <v>408</v>
      </c>
      <c r="N2259" t="s">
        <v>11</v>
      </c>
      <c r="O2259" t="s">
        <v>11</v>
      </c>
      <c r="P2259" t="s">
        <v>0</v>
      </c>
      <c r="Q2259" t="s">
        <v>408</v>
      </c>
      <c r="R2259" t="s">
        <v>439</v>
      </c>
      <c r="S2259" t="s">
        <v>451</v>
      </c>
      <c r="T2259" t="s">
        <v>11</v>
      </c>
      <c r="U2259" t="s">
        <v>408</v>
      </c>
    </row>
    <row r="2260" spans="1:21" x14ac:dyDescent="0.25">
      <c r="A2260">
        <v>22350076</v>
      </c>
      <c r="B2260" t="s">
        <v>340</v>
      </c>
      <c r="C2260" t="s">
        <v>86</v>
      </c>
      <c r="D2260" t="s">
        <v>18</v>
      </c>
      <c r="E2260" t="s">
        <v>658</v>
      </c>
      <c r="F2260" t="s">
        <v>88</v>
      </c>
      <c r="G2260" t="s">
        <v>468</v>
      </c>
      <c r="H2260" t="s">
        <v>447</v>
      </c>
      <c r="I2260" t="s">
        <v>448</v>
      </c>
      <c r="J2260" t="s">
        <v>449</v>
      </c>
      <c r="K2260" t="s">
        <v>450</v>
      </c>
      <c r="L2260" t="s">
        <v>375</v>
      </c>
      <c r="M2260" t="s">
        <v>408</v>
      </c>
      <c r="N2260" t="s">
        <v>11</v>
      </c>
      <c r="O2260" t="s">
        <v>11</v>
      </c>
      <c r="P2260" t="s">
        <v>0</v>
      </c>
      <c r="Q2260" t="s">
        <v>408</v>
      </c>
      <c r="R2260" t="s">
        <v>439</v>
      </c>
      <c r="S2260" t="s">
        <v>451</v>
      </c>
      <c r="T2260" t="s">
        <v>11</v>
      </c>
      <c r="U2260" t="s">
        <v>408</v>
      </c>
    </row>
    <row r="2261" spans="1:21" x14ac:dyDescent="0.25">
      <c r="A2261">
        <v>22350078</v>
      </c>
      <c r="B2261" t="s">
        <v>342</v>
      </c>
      <c r="C2261" t="s">
        <v>13</v>
      </c>
      <c r="D2261" t="s">
        <v>12</v>
      </c>
      <c r="E2261" t="s">
        <v>658</v>
      </c>
      <c r="F2261" t="s">
        <v>88</v>
      </c>
      <c r="G2261" t="s">
        <v>468</v>
      </c>
      <c r="H2261" t="s">
        <v>0</v>
      </c>
      <c r="I2261" t="s">
        <v>436</v>
      </c>
      <c r="J2261" t="s">
        <v>437</v>
      </c>
      <c r="K2261" t="s">
        <v>438</v>
      </c>
      <c r="L2261" t="s">
        <v>345</v>
      </c>
      <c r="M2261" t="s">
        <v>408</v>
      </c>
      <c r="N2261" t="s">
        <v>11</v>
      </c>
      <c r="O2261" t="s">
        <v>11</v>
      </c>
      <c r="P2261" t="s">
        <v>0</v>
      </c>
      <c r="Q2261" t="s">
        <v>408</v>
      </c>
      <c r="R2261" t="s">
        <v>439</v>
      </c>
      <c r="S2261" t="s">
        <v>440</v>
      </c>
      <c r="T2261" t="s">
        <v>11</v>
      </c>
      <c r="U2261" t="s">
        <v>408</v>
      </c>
    </row>
    <row r="2262" spans="1:21" x14ac:dyDescent="0.25">
      <c r="A2262">
        <v>22350079</v>
      </c>
      <c r="B2262" t="s">
        <v>342</v>
      </c>
      <c r="C2262" t="s">
        <v>89</v>
      </c>
      <c r="D2262" t="s">
        <v>12</v>
      </c>
      <c r="E2262" t="s">
        <v>658</v>
      </c>
      <c r="F2262" t="s">
        <v>88</v>
      </c>
      <c r="G2262" t="s">
        <v>468</v>
      </c>
      <c r="H2262" t="s">
        <v>603</v>
      </c>
      <c r="I2262" t="s">
        <v>604</v>
      </c>
      <c r="J2262" t="s">
        <v>605</v>
      </c>
      <c r="K2262" t="s">
        <v>606</v>
      </c>
      <c r="L2262" t="s">
        <v>1022</v>
      </c>
      <c r="M2262" t="s">
        <v>11</v>
      </c>
      <c r="N2262" t="s">
        <v>11</v>
      </c>
      <c r="O2262" t="s">
        <v>11</v>
      </c>
      <c r="P2262" t="s">
        <v>0</v>
      </c>
      <c r="Q2262" t="s">
        <v>408</v>
      </c>
      <c r="R2262" t="s">
        <v>439</v>
      </c>
      <c r="S2262" t="s">
        <v>451</v>
      </c>
      <c r="T2262" t="s">
        <v>408</v>
      </c>
      <c r="U2262" t="s">
        <v>408</v>
      </c>
    </row>
    <row r="2263" spans="1:21" x14ac:dyDescent="0.25">
      <c r="A2263">
        <v>22350080</v>
      </c>
      <c r="B2263" t="s">
        <v>342</v>
      </c>
      <c r="C2263" t="s">
        <v>33</v>
      </c>
      <c r="D2263" t="s">
        <v>18</v>
      </c>
      <c r="E2263" t="s">
        <v>658</v>
      </c>
      <c r="F2263" t="s">
        <v>155</v>
      </c>
      <c r="G2263" t="s">
        <v>369</v>
      </c>
      <c r="H2263" t="s">
        <v>820</v>
      </c>
      <c r="I2263" t="s">
        <v>821</v>
      </c>
      <c r="J2263" t="s">
        <v>822</v>
      </c>
      <c r="K2263" t="s">
        <v>701</v>
      </c>
      <c r="L2263" t="s">
        <v>1014</v>
      </c>
      <c r="M2263" t="s">
        <v>11</v>
      </c>
      <c r="N2263" t="s">
        <v>11</v>
      </c>
      <c r="O2263" t="s">
        <v>11</v>
      </c>
      <c r="P2263" t="s">
        <v>0</v>
      </c>
      <c r="Q2263" t="s">
        <v>408</v>
      </c>
      <c r="R2263" t="s">
        <v>439</v>
      </c>
      <c r="S2263" t="s">
        <v>451</v>
      </c>
      <c r="T2263" t="s">
        <v>408</v>
      </c>
      <c r="U2263" t="s">
        <v>408</v>
      </c>
    </row>
    <row r="2264" spans="1:21" x14ac:dyDescent="0.25">
      <c r="A2264">
        <v>22350083</v>
      </c>
      <c r="B2264" t="s">
        <v>342</v>
      </c>
      <c r="C2264" t="s">
        <v>89</v>
      </c>
      <c r="D2264" t="s">
        <v>12</v>
      </c>
      <c r="E2264" t="s">
        <v>530</v>
      </c>
      <c r="F2264" t="s">
        <v>154</v>
      </c>
      <c r="G2264" t="s">
        <v>468</v>
      </c>
      <c r="H2264" t="s">
        <v>812</v>
      </c>
      <c r="I2264" t="s">
        <v>813</v>
      </c>
      <c r="J2264" t="s">
        <v>814</v>
      </c>
      <c r="K2264" t="s">
        <v>438</v>
      </c>
      <c r="L2264" t="s">
        <v>805</v>
      </c>
      <c r="M2264" t="s">
        <v>408</v>
      </c>
      <c r="N2264" t="s">
        <v>11</v>
      </c>
      <c r="O2264" t="s">
        <v>408</v>
      </c>
      <c r="P2264" t="s">
        <v>0</v>
      </c>
      <c r="Q2264" t="s">
        <v>408</v>
      </c>
      <c r="R2264" t="s">
        <v>439</v>
      </c>
      <c r="S2264" t="s">
        <v>451</v>
      </c>
      <c r="T2264" t="s">
        <v>11</v>
      </c>
      <c r="U2264" t="s">
        <v>408</v>
      </c>
    </row>
    <row r="2265" spans="1:21" x14ac:dyDescent="0.25">
      <c r="A2265">
        <v>22350086</v>
      </c>
      <c r="B2265" t="s">
        <v>342</v>
      </c>
      <c r="C2265" t="s">
        <v>89</v>
      </c>
      <c r="D2265" t="s">
        <v>125</v>
      </c>
      <c r="E2265" t="s">
        <v>530</v>
      </c>
      <c r="F2265" t="s">
        <v>154</v>
      </c>
      <c r="G2265" t="s">
        <v>468</v>
      </c>
      <c r="H2265" t="s">
        <v>812</v>
      </c>
      <c r="I2265" t="s">
        <v>813</v>
      </c>
      <c r="J2265" t="s">
        <v>814</v>
      </c>
      <c r="K2265" t="s">
        <v>438</v>
      </c>
      <c r="L2265" t="s">
        <v>805</v>
      </c>
      <c r="M2265" t="s">
        <v>408</v>
      </c>
      <c r="N2265" t="s">
        <v>11</v>
      </c>
      <c r="O2265" t="s">
        <v>408</v>
      </c>
      <c r="P2265" t="s">
        <v>0</v>
      </c>
      <c r="Q2265" t="s">
        <v>408</v>
      </c>
      <c r="R2265" t="s">
        <v>439</v>
      </c>
      <c r="S2265" t="s">
        <v>451</v>
      </c>
      <c r="T2265" t="s">
        <v>11</v>
      </c>
      <c r="U2265" t="s">
        <v>408</v>
      </c>
    </row>
    <row r="2266" spans="1:21" x14ac:dyDescent="0.25">
      <c r="A2266">
        <v>22350087</v>
      </c>
      <c r="B2266" t="s">
        <v>342</v>
      </c>
      <c r="C2266" t="s">
        <v>33</v>
      </c>
      <c r="D2266" t="s">
        <v>12</v>
      </c>
      <c r="E2266" t="s">
        <v>530</v>
      </c>
      <c r="F2266" t="s">
        <v>154</v>
      </c>
      <c r="G2266" t="s">
        <v>369</v>
      </c>
      <c r="H2266" t="s">
        <v>820</v>
      </c>
      <c r="I2266" t="s">
        <v>821</v>
      </c>
      <c r="J2266" t="s">
        <v>822</v>
      </c>
      <c r="K2266" t="s">
        <v>701</v>
      </c>
      <c r="L2266" t="s">
        <v>993</v>
      </c>
      <c r="M2266" t="s">
        <v>11</v>
      </c>
      <c r="N2266" t="s">
        <v>11</v>
      </c>
      <c r="O2266" t="s">
        <v>11</v>
      </c>
      <c r="P2266" t="s">
        <v>0</v>
      </c>
      <c r="Q2266" t="s">
        <v>408</v>
      </c>
      <c r="R2266" t="s">
        <v>439</v>
      </c>
      <c r="S2266" t="s">
        <v>451</v>
      </c>
      <c r="T2266" t="s">
        <v>408</v>
      </c>
      <c r="U2266" t="s">
        <v>408</v>
      </c>
    </row>
    <row r="2267" spans="1:21" x14ac:dyDescent="0.25">
      <c r="A2267">
        <v>22350088</v>
      </c>
      <c r="B2267" t="s">
        <v>342</v>
      </c>
      <c r="C2267" t="s">
        <v>13</v>
      </c>
      <c r="D2267" t="s">
        <v>12</v>
      </c>
      <c r="E2267" t="s">
        <v>530</v>
      </c>
      <c r="F2267" t="s">
        <v>154</v>
      </c>
      <c r="G2267" t="s">
        <v>468</v>
      </c>
      <c r="H2267" t="s">
        <v>367</v>
      </c>
      <c r="I2267" t="s">
        <v>454</v>
      </c>
      <c r="J2267" t="s">
        <v>457</v>
      </c>
      <c r="K2267" t="s">
        <v>453</v>
      </c>
      <c r="L2267" t="s">
        <v>2</v>
      </c>
      <c r="M2267" t="s">
        <v>408</v>
      </c>
      <c r="N2267" t="s">
        <v>11</v>
      </c>
      <c r="O2267" t="s">
        <v>11</v>
      </c>
      <c r="P2267" t="s">
        <v>0</v>
      </c>
      <c r="Q2267" t="s">
        <v>408</v>
      </c>
      <c r="R2267" t="s">
        <v>439</v>
      </c>
      <c r="S2267" t="s">
        <v>440</v>
      </c>
      <c r="T2267" t="s">
        <v>11</v>
      </c>
      <c r="U2267" t="s">
        <v>408</v>
      </c>
    </row>
    <row r="2268" spans="1:21" x14ac:dyDescent="0.25">
      <c r="A2268">
        <v>22350091</v>
      </c>
      <c r="B2268" t="s">
        <v>342</v>
      </c>
      <c r="C2268" t="s">
        <v>33</v>
      </c>
      <c r="D2268" t="s">
        <v>12</v>
      </c>
      <c r="E2268" t="s">
        <v>658</v>
      </c>
      <c r="F2268" t="s">
        <v>155</v>
      </c>
      <c r="G2268" t="s">
        <v>369</v>
      </c>
      <c r="H2268" t="s">
        <v>997</v>
      </c>
      <c r="I2268" t="s">
        <v>1055</v>
      </c>
      <c r="J2268" t="s">
        <v>1054</v>
      </c>
      <c r="K2268" t="s">
        <v>453</v>
      </c>
      <c r="L2268" t="s">
        <v>1025</v>
      </c>
      <c r="M2268" t="s">
        <v>11</v>
      </c>
      <c r="N2268" t="s">
        <v>11</v>
      </c>
      <c r="O2268" t="s">
        <v>408</v>
      </c>
      <c r="P2268" t="s">
        <v>0</v>
      </c>
      <c r="Q2268" t="s">
        <v>408</v>
      </c>
      <c r="R2268" t="s">
        <v>439</v>
      </c>
      <c r="S2268" t="s">
        <v>440</v>
      </c>
      <c r="T2268" t="s">
        <v>408</v>
      </c>
      <c r="U2268" t="s">
        <v>408</v>
      </c>
    </row>
    <row r="2269" spans="1:21" x14ac:dyDescent="0.25">
      <c r="A2269">
        <v>22350092</v>
      </c>
      <c r="B2269" t="s">
        <v>342</v>
      </c>
      <c r="C2269" t="s">
        <v>13</v>
      </c>
      <c r="D2269" t="s">
        <v>12</v>
      </c>
      <c r="E2269" t="s">
        <v>658</v>
      </c>
      <c r="F2269" t="s">
        <v>155</v>
      </c>
      <c r="G2269" t="s">
        <v>468</v>
      </c>
      <c r="H2269" t="s">
        <v>367</v>
      </c>
      <c r="I2269" t="s">
        <v>454</v>
      </c>
      <c r="J2269" t="s">
        <v>457</v>
      </c>
      <c r="K2269" t="s">
        <v>453</v>
      </c>
      <c r="L2269" t="s">
        <v>2</v>
      </c>
      <c r="M2269" t="s">
        <v>408</v>
      </c>
      <c r="N2269" t="s">
        <v>11</v>
      </c>
      <c r="O2269" t="s">
        <v>11</v>
      </c>
      <c r="P2269" t="s">
        <v>0</v>
      </c>
      <c r="Q2269" t="s">
        <v>408</v>
      </c>
      <c r="R2269" t="s">
        <v>439</v>
      </c>
      <c r="S2269" t="s">
        <v>440</v>
      </c>
      <c r="T2269" t="s">
        <v>11</v>
      </c>
      <c r="U2269" t="s">
        <v>408</v>
      </c>
    </row>
    <row r="2270" spans="1:21" x14ac:dyDescent="0.25">
      <c r="A2270">
        <v>22350093</v>
      </c>
      <c r="B2270" t="s">
        <v>342</v>
      </c>
      <c r="C2270" t="s">
        <v>33</v>
      </c>
      <c r="D2270" t="s">
        <v>12</v>
      </c>
      <c r="E2270" t="s">
        <v>658</v>
      </c>
      <c r="F2270" t="s">
        <v>155</v>
      </c>
      <c r="G2270" t="s">
        <v>369</v>
      </c>
      <c r="H2270" t="s">
        <v>820</v>
      </c>
      <c r="I2270" t="s">
        <v>821</v>
      </c>
      <c r="J2270" t="s">
        <v>822</v>
      </c>
      <c r="K2270" t="s">
        <v>701</v>
      </c>
      <c r="L2270" t="s">
        <v>997</v>
      </c>
      <c r="M2270" t="s">
        <v>11</v>
      </c>
      <c r="N2270" t="s">
        <v>11</v>
      </c>
      <c r="O2270" t="s">
        <v>408</v>
      </c>
      <c r="P2270" t="s">
        <v>0</v>
      </c>
      <c r="Q2270" t="s">
        <v>408</v>
      </c>
      <c r="R2270" t="s">
        <v>439</v>
      </c>
      <c r="S2270" t="s">
        <v>451</v>
      </c>
      <c r="T2270" t="s">
        <v>408</v>
      </c>
      <c r="U2270" t="s">
        <v>408</v>
      </c>
    </row>
    <row r="2271" spans="1:21" x14ac:dyDescent="0.25">
      <c r="A2271">
        <v>22350097</v>
      </c>
      <c r="B2271" t="s">
        <v>342</v>
      </c>
      <c r="C2271" t="s">
        <v>89</v>
      </c>
      <c r="D2271" t="s">
        <v>18</v>
      </c>
      <c r="E2271" t="s">
        <v>658</v>
      </c>
      <c r="F2271" t="s">
        <v>155</v>
      </c>
      <c r="G2271" t="s">
        <v>468</v>
      </c>
      <c r="H2271" t="s">
        <v>966</v>
      </c>
      <c r="I2271" t="s">
        <v>965</v>
      </c>
      <c r="J2271" t="s">
        <v>964</v>
      </c>
      <c r="K2271" t="s">
        <v>701</v>
      </c>
      <c r="L2271" t="s">
        <v>1028</v>
      </c>
      <c r="M2271" t="s">
        <v>11</v>
      </c>
      <c r="N2271" t="s">
        <v>11</v>
      </c>
      <c r="O2271" t="s">
        <v>408</v>
      </c>
      <c r="P2271" t="s">
        <v>0</v>
      </c>
      <c r="Q2271" t="s">
        <v>408</v>
      </c>
      <c r="R2271" t="s">
        <v>439</v>
      </c>
      <c r="S2271" t="s">
        <v>451</v>
      </c>
      <c r="T2271" t="s">
        <v>408</v>
      </c>
      <c r="U2271" t="s">
        <v>408</v>
      </c>
    </row>
    <row r="2272" spans="1:21" x14ac:dyDescent="0.25">
      <c r="A2272">
        <v>22350098</v>
      </c>
      <c r="B2272" t="s">
        <v>340</v>
      </c>
      <c r="C2272" t="s">
        <v>86</v>
      </c>
      <c r="D2272" t="s">
        <v>12</v>
      </c>
      <c r="E2272" t="s">
        <v>658</v>
      </c>
      <c r="F2272" t="s">
        <v>162</v>
      </c>
      <c r="G2272" t="s">
        <v>468</v>
      </c>
      <c r="H2272" t="s">
        <v>838</v>
      </c>
      <c r="I2272" t="s">
        <v>839</v>
      </c>
      <c r="J2272" t="s">
        <v>839</v>
      </c>
      <c r="K2272" t="s">
        <v>450</v>
      </c>
      <c r="L2272" t="s">
        <v>978</v>
      </c>
      <c r="M2272" t="s">
        <v>11</v>
      </c>
      <c r="N2272" t="s">
        <v>11</v>
      </c>
      <c r="O2272" t="s">
        <v>408</v>
      </c>
      <c r="P2272" t="s">
        <v>0</v>
      </c>
      <c r="Q2272" t="s">
        <v>408</v>
      </c>
      <c r="R2272" t="s">
        <v>439</v>
      </c>
      <c r="S2272" t="s">
        <v>451</v>
      </c>
      <c r="T2272" t="s">
        <v>408</v>
      </c>
      <c r="U2272" t="s">
        <v>408</v>
      </c>
    </row>
    <row r="2273" spans="1:21" x14ac:dyDescent="0.25">
      <c r="A2273">
        <v>22350099</v>
      </c>
      <c r="B2273" t="s">
        <v>342</v>
      </c>
      <c r="C2273" t="s">
        <v>89</v>
      </c>
      <c r="D2273" t="s">
        <v>18</v>
      </c>
      <c r="E2273" t="s">
        <v>658</v>
      </c>
      <c r="F2273" t="s">
        <v>155</v>
      </c>
      <c r="G2273" t="s">
        <v>468</v>
      </c>
      <c r="H2273" t="s">
        <v>447</v>
      </c>
      <c r="I2273" t="s">
        <v>448</v>
      </c>
      <c r="J2273" t="s">
        <v>449</v>
      </c>
      <c r="K2273" t="s">
        <v>450</v>
      </c>
      <c r="L2273" t="s">
        <v>370</v>
      </c>
      <c r="M2273" t="s">
        <v>408</v>
      </c>
      <c r="N2273" t="s">
        <v>11</v>
      </c>
      <c r="O2273" t="s">
        <v>408</v>
      </c>
      <c r="P2273" t="s">
        <v>0</v>
      </c>
      <c r="Q2273" t="s">
        <v>408</v>
      </c>
      <c r="R2273" t="s">
        <v>439</v>
      </c>
      <c r="S2273" t="s">
        <v>451</v>
      </c>
      <c r="T2273" t="s">
        <v>11</v>
      </c>
      <c r="U2273" t="s">
        <v>408</v>
      </c>
    </row>
    <row r="2274" spans="1:21" x14ac:dyDescent="0.25">
      <c r="A2274">
        <v>22350100</v>
      </c>
      <c r="B2274" t="s">
        <v>342</v>
      </c>
      <c r="C2274" t="s">
        <v>33</v>
      </c>
      <c r="D2274" t="s">
        <v>12</v>
      </c>
      <c r="E2274" t="s">
        <v>530</v>
      </c>
      <c r="F2274" t="s">
        <v>154</v>
      </c>
      <c r="G2274" t="s">
        <v>369</v>
      </c>
      <c r="H2274" t="s">
        <v>820</v>
      </c>
      <c r="I2274" t="s">
        <v>821</v>
      </c>
      <c r="J2274" t="s">
        <v>822</v>
      </c>
      <c r="K2274" t="s">
        <v>701</v>
      </c>
      <c r="L2274" t="s">
        <v>993</v>
      </c>
      <c r="M2274" t="s">
        <v>11</v>
      </c>
      <c r="N2274" t="s">
        <v>11</v>
      </c>
      <c r="O2274" t="s">
        <v>11</v>
      </c>
      <c r="P2274" t="s">
        <v>0</v>
      </c>
      <c r="Q2274" t="s">
        <v>408</v>
      </c>
      <c r="R2274" t="s">
        <v>439</v>
      </c>
      <c r="S2274" t="s">
        <v>451</v>
      </c>
      <c r="T2274" t="s">
        <v>408</v>
      </c>
      <c r="U2274" t="s">
        <v>408</v>
      </c>
    </row>
    <row r="2275" spans="1:21" x14ac:dyDescent="0.25">
      <c r="A2275">
        <v>22350101</v>
      </c>
      <c r="B2275" t="s">
        <v>342</v>
      </c>
      <c r="C2275" t="s">
        <v>33</v>
      </c>
      <c r="D2275" t="s">
        <v>12</v>
      </c>
      <c r="E2275" t="s">
        <v>530</v>
      </c>
      <c r="F2275" t="s">
        <v>154</v>
      </c>
      <c r="G2275" t="s">
        <v>369</v>
      </c>
      <c r="H2275" t="s">
        <v>820</v>
      </c>
      <c r="I2275" t="s">
        <v>821</v>
      </c>
      <c r="J2275" t="s">
        <v>822</v>
      </c>
      <c r="K2275" t="s">
        <v>701</v>
      </c>
      <c r="L2275" t="s">
        <v>1022</v>
      </c>
      <c r="M2275" t="s">
        <v>11</v>
      </c>
      <c r="N2275" t="s">
        <v>11</v>
      </c>
      <c r="O2275" t="s">
        <v>11</v>
      </c>
      <c r="P2275" t="s">
        <v>0</v>
      </c>
      <c r="Q2275" t="s">
        <v>408</v>
      </c>
      <c r="R2275" t="s">
        <v>439</v>
      </c>
      <c r="S2275" t="s">
        <v>451</v>
      </c>
      <c r="T2275" t="s">
        <v>408</v>
      </c>
      <c r="U2275" t="s">
        <v>408</v>
      </c>
    </row>
    <row r="2276" spans="1:21" x14ac:dyDescent="0.25">
      <c r="A2276">
        <v>22350103</v>
      </c>
      <c r="B2276" t="s">
        <v>342</v>
      </c>
      <c r="C2276" t="s">
        <v>33</v>
      </c>
      <c r="D2276" t="s">
        <v>12</v>
      </c>
      <c r="E2276" t="s">
        <v>530</v>
      </c>
      <c r="F2276" t="s">
        <v>154</v>
      </c>
      <c r="G2276" t="s">
        <v>468</v>
      </c>
      <c r="H2276" t="s">
        <v>820</v>
      </c>
      <c r="I2276" t="s">
        <v>821</v>
      </c>
      <c r="J2276" t="s">
        <v>822</v>
      </c>
      <c r="K2276" t="s">
        <v>701</v>
      </c>
      <c r="L2276" t="s">
        <v>1022</v>
      </c>
      <c r="M2276" t="s">
        <v>11</v>
      </c>
      <c r="N2276" t="s">
        <v>11</v>
      </c>
      <c r="O2276" t="s">
        <v>11</v>
      </c>
      <c r="P2276" t="s">
        <v>0</v>
      </c>
      <c r="Q2276" t="s">
        <v>408</v>
      </c>
      <c r="R2276" t="s">
        <v>439</v>
      </c>
      <c r="S2276" t="s">
        <v>451</v>
      </c>
      <c r="T2276" t="s">
        <v>408</v>
      </c>
      <c r="U2276" t="s">
        <v>408</v>
      </c>
    </row>
    <row r="2277" spans="1:21" x14ac:dyDescent="0.25">
      <c r="A2277">
        <v>22350104</v>
      </c>
      <c r="B2277" t="s">
        <v>340</v>
      </c>
      <c r="C2277" t="s">
        <v>15</v>
      </c>
      <c r="D2277" t="s">
        <v>12</v>
      </c>
      <c r="E2277" t="s">
        <v>530</v>
      </c>
      <c r="F2277" t="s">
        <v>154</v>
      </c>
      <c r="G2277" t="s">
        <v>468</v>
      </c>
      <c r="H2277" t="s">
        <v>0</v>
      </c>
      <c r="I2277" t="s">
        <v>436</v>
      </c>
      <c r="J2277" t="s">
        <v>437</v>
      </c>
      <c r="K2277" t="s">
        <v>438</v>
      </c>
      <c r="L2277" t="s">
        <v>345</v>
      </c>
      <c r="M2277" t="s">
        <v>408</v>
      </c>
      <c r="N2277" t="s">
        <v>11</v>
      </c>
      <c r="O2277" t="s">
        <v>11</v>
      </c>
      <c r="P2277" t="s">
        <v>0</v>
      </c>
      <c r="Q2277" t="s">
        <v>408</v>
      </c>
      <c r="R2277" t="s">
        <v>439</v>
      </c>
      <c r="S2277" t="s">
        <v>440</v>
      </c>
      <c r="T2277" t="s">
        <v>11</v>
      </c>
      <c r="U2277" t="s">
        <v>408</v>
      </c>
    </row>
    <row r="2278" spans="1:21" x14ac:dyDescent="0.25">
      <c r="A2278">
        <v>22350105</v>
      </c>
      <c r="B2278" t="s">
        <v>342</v>
      </c>
      <c r="C2278" t="s">
        <v>89</v>
      </c>
      <c r="D2278" t="s">
        <v>12</v>
      </c>
      <c r="E2278" t="s">
        <v>530</v>
      </c>
      <c r="F2278" t="s">
        <v>154</v>
      </c>
      <c r="G2278" t="s">
        <v>468</v>
      </c>
      <c r="H2278" t="s">
        <v>996</v>
      </c>
      <c r="I2278" t="s">
        <v>995</v>
      </c>
      <c r="J2278" t="s">
        <v>994</v>
      </c>
      <c r="K2278" t="s">
        <v>438</v>
      </c>
      <c r="L2278" t="s">
        <v>993</v>
      </c>
      <c r="M2278" t="s">
        <v>11</v>
      </c>
      <c r="N2278" t="s">
        <v>11</v>
      </c>
      <c r="O2278" t="s">
        <v>11</v>
      </c>
      <c r="P2278" t="s">
        <v>0</v>
      </c>
      <c r="Q2278" t="s">
        <v>408</v>
      </c>
      <c r="R2278" t="s">
        <v>439</v>
      </c>
      <c r="S2278" t="s">
        <v>451</v>
      </c>
      <c r="T2278" t="s">
        <v>408</v>
      </c>
      <c r="U2278" t="s">
        <v>408</v>
      </c>
    </row>
    <row r="2279" spans="1:21" x14ac:dyDescent="0.25">
      <c r="A2279">
        <v>22350107</v>
      </c>
      <c r="B2279" t="s">
        <v>340</v>
      </c>
      <c r="C2279" t="s">
        <v>86</v>
      </c>
      <c r="D2279" t="s">
        <v>12</v>
      </c>
      <c r="E2279" t="s">
        <v>530</v>
      </c>
      <c r="F2279" t="s">
        <v>154</v>
      </c>
      <c r="G2279" t="s">
        <v>468</v>
      </c>
      <c r="H2279" t="s">
        <v>1</v>
      </c>
      <c r="I2279" t="s">
        <v>469</v>
      </c>
      <c r="J2279" t="s">
        <v>445</v>
      </c>
      <c r="K2279" t="s">
        <v>438</v>
      </c>
      <c r="L2279" t="s">
        <v>0</v>
      </c>
      <c r="M2279" t="s">
        <v>408</v>
      </c>
      <c r="N2279" t="s">
        <v>11</v>
      </c>
      <c r="O2279" t="s">
        <v>11</v>
      </c>
      <c r="P2279" t="s">
        <v>0</v>
      </c>
      <c r="Q2279" t="s">
        <v>408</v>
      </c>
      <c r="R2279" t="s">
        <v>439</v>
      </c>
      <c r="S2279" t="s">
        <v>440</v>
      </c>
      <c r="T2279" t="s">
        <v>11</v>
      </c>
      <c r="U2279" t="s">
        <v>408</v>
      </c>
    </row>
    <row r="2280" spans="1:21" x14ac:dyDescent="0.25">
      <c r="A2280">
        <v>22350108</v>
      </c>
      <c r="B2280" t="s">
        <v>342</v>
      </c>
      <c r="C2280" t="s">
        <v>33</v>
      </c>
      <c r="D2280" t="s">
        <v>12</v>
      </c>
      <c r="E2280" t="s">
        <v>658</v>
      </c>
      <c r="F2280" t="s">
        <v>155</v>
      </c>
      <c r="G2280" t="s">
        <v>369</v>
      </c>
      <c r="H2280" t="s">
        <v>820</v>
      </c>
      <c r="I2280" t="s">
        <v>821</v>
      </c>
      <c r="J2280" t="s">
        <v>822</v>
      </c>
      <c r="K2280" t="s">
        <v>701</v>
      </c>
      <c r="L2280" t="s">
        <v>1014</v>
      </c>
      <c r="M2280" t="s">
        <v>11</v>
      </c>
      <c r="N2280" t="s">
        <v>11</v>
      </c>
      <c r="O2280" t="s">
        <v>11</v>
      </c>
      <c r="P2280" t="s">
        <v>0</v>
      </c>
      <c r="Q2280" t="s">
        <v>408</v>
      </c>
      <c r="R2280" t="s">
        <v>439</v>
      </c>
      <c r="S2280" t="s">
        <v>451</v>
      </c>
      <c r="T2280" t="s">
        <v>408</v>
      </c>
      <c r="U2280" t="s">
        <v>408</v>
      </c>
    </row>
    <row r="2281" spans="1:21" x14ac:dyDescent="0.25">
      <c r="A2281">
        <v>22350109</v>
      </c>
      <c r="B2281" t="s">
        <v>340</v>
      </c>
      <c r="C2281" t="s">
        <v>15</v>
      </c>
      <c r="D2281" t="s">
        <v>125</v>
      </c>
      <c r="E2281" t="s">
        <v>530</v>
      </c>
      <c r="F2281" t="s">
        <v>154</v>
      </c>
      <c r="G2281" t="s">
        <v>468</v>
      </c>
      <c r="H2281" t="s">
        <v>0</v>
      </c>
      <c r="I2281" t="s">
        <v>436</v>
      </c>
      <c r="J2281" t="s">
        <v>437</v>
      </c>
      <c r="K2281" t="s">
        <v>438</v>
      </c>
      <c r="L2281" t="s">
        <v>1</v>
      </c>
      <c r="M2281" t="s">
        <v>408</v>
      </c>
      <c r="N2281" t="s">
        <v>11</v>
      </c>
      <c r="O2281" t="s">
        <v>11</v>
      </c>
      <c r="P2281" t="s">
        <v>0</v>
      </c>
      <c r="Q2281" t="s">
        <v>408</v>
      </c>
      <c r="R2281" t="s">
        <v>439</v>
      </c>
      <c r="S2281" t="s">
        <v>440</v>
      </c>
      <c r="T2281" t="s">
        <v>11</v>
      </c>
      <c r="U2281" t="s">
        <v>408</v>
      </c>
    </row>
    <row r="2282" spans="1:21" x14ac:dyDescent="0.25">
      <c r="A2282">
        <v>22350110</v>
      </c>
      <c r="B2282" t="s">
        <v>342</v>
      </c>
      <c r="C2282" t="s">
        <v>33</v>
      </c>
      <c r="D2282" t="s">
        <v>12</v>
      </c>
      <c r="E2282" t="s">
        <v>530</v>
      </c>
      <c r="F2282" t="s">
        <v>154</v>
      </c>
      <c r="G2282" t="s">
        <v>468</v>
      </c>
      <c r="H2282" t="s">
        <v>820</v>
      </c>
      <c r="I2282" t="s">
        <v>821</v>
      </c>
      <c r="J2282" t="s">
        <v>822</v>
      </c>
      <c r="K2282" t="s">
        <v>701</v>
      </c>
      <c r="L2282" t="s">
        <v>1014</v>
      </c>
      <c r="M2282" t="s">
        <v>11</v>
      </c>
      <c r="N2282" t="s">
        <v>11</v>
      </c>
      <c r="O2282" t="s">
        <v>11</v>
      </c>
      <c r="P2282" t="s">
        <v>0</v>
      </c>
      <c r="Q2282" t="s">
        <v>408</v>
      </c>
      <c r="R2282" t="s">
        <v>439</v>
      </c>
      <c r="S2282" t="s">
        <v>451</v>
      </c>
      <c r="T2282" t="s">
        <v>408</v>
      </c>
      <c r="U2282" t="s">
        <v>408</v>
      </c>
    </row>
    <row r="2283" spans="1:21" x14ac:dyDescent="0.25">
      <c r="A2283">
        <v>22350112</v>
      </c>
      <c r="B2283" t="s">
        <v>342</v>
      </c>
      <c r="C2283" t="s">
        <v>33</v>
      </c>
      <c r="D2283" t="s">
        <v>12</v>
      </c>
      <c r="E2283" t="s">
        <v>658</v>
      </c>
      <c r="F2283" t="s">
        <v>155</v>
      </c>
      <c r="G2283" t="s">
        <v>468</v>
      </c>
      <c r="H2283" t="s">
        <v>820</v>
      </c>
      <c r="I2283" t="s">
        <v>821</v>
      </c>
      <c r="J2283" t="s">
        <v>822</v>
      </c>
      <c r="K2283" t="s">
        <v>701</v>
      </c>
      <c r="L2283" t="s">
        <v>1014</v>
      </c>
      <c r="M2283" t="s">
        <v>11</v>
      </c>
      <c r="N2283" t="s">
        <v>11</v>
      </c>
      <c r="O2283" t="s">
        <v>11</v>
      </c>
      <c r="P2283" t="s">
        <v>0</v>
      </c>
      <c r="Q2283" t="s">
        <v>408</v>
      </c>
      <c r="R2283" t="s">
        <v>439</v>
      </c>
      <c r="S2283" t="s">
        <v>451</v>
      </c>
      <c r="T2283" t="s">
        <v>408</v>
      </c>
      <c r="U2283" t="s">
        <v>408</v>
      </c>
    </row>
    <row r="2284" spans="1:21" x14ac:dyDescent="0.25">
      <c r="A2284">
        <v>22350113</v>
      </c>
      <c r="B2284" t="s">
        <v>342</v>
      </c>
      <c r="C2284" t="s">
        <v>33</v>
      </c>
      <c r="D2284" t="s">
        <v>125</v>
      </c>
      <c r="E2284" t="s">
        <v>658</v>
      </c>
      <c r="F2284" t="s">
        <v>160</v>
      </c>
      <c r="G2284" t="s">
        <v>369</v>
      </c>
      <c r="H2284" t="s">
        <v>820</v>
      </c>
      <c r="I2284" t="s">
        <v>821</v>
      </c>
      <c r="J2284" t="s">
        <v>822</v>
      </c>
      <c r="K2284" t="s">
        <v>701</v>
      </c>
      <c r="L2284" t="s">
        <v>993</v>
      </c>
      <c r="M2284" t="s">
        <v>11</v>
      </c>
      <c r="N2284" t="s">
        <v>11</v>
      </c>
      <c r="O2284" t="s">
        <v>11</v>
      </c>
      <c r="P2284" t="s">
        <v>0</v>
      </c>
      <c r="Q2284" t="s">
        <v>408</v>
      </c>
      <c r="R2284" t="s">
        <v>439</v>
      </c>
      <c r="S2284" t="s">
        <v>451</v>
      </c>
      <c r="T2284" t="s">
        <v>408</v>
      </c>
      <c r="U2284" t="s">
        <v>408</v>
      </c>
    </row>
    <row r="2285" spans="1:21" x14ac:dyDescent="0.25">
      <c r="A2285">
        <v>22350114</v>
      </c>
      <c r="B2285" t="s">
        <v>340</v>
      </c>
      <c r="C2285" t="s">
        <v>86</v>
      </c>
      <c r="D2285" t="s">
        <v>12</v>
      </c>
      <c r="E2285" t="s">
        <v>658</v>
      </c>
      <c r="F2285" t="s">
        <v>160</v>
      </c>
      <c r="G2285" t="s">
        <v>468</v>
      </c>
      <c r="H2285" t="s">
        <v>447</v>
      </c>
      <c r="I2285" t="s">
        <v>448</v>
      </c>
      <c r="J2285" t="s">
        <v>449</v>
      </c>
      <c r="K2285" t="s">
        <v>450</v>
      </c>
      <c r="L2285" t="s">
        <v>375</v>
      </c>
      <c r="M2285" t="s">
        <v>408</v>
      </c>
      <c r="N2285" t="s">
        <v>11</v>
      </c>
      <c r="O2285" t="s">
        <v>11</v>
      </c>
      <c r="P2285" t="s">
        <v>0</v>
      </c>
      <c r="Q2285" t="s">
        <v>408</v>
      </c>
      <c r="R2285" t="s">
        <v>439</v>
      </c>
      <c r="S2285" t="s">
        <v>451</v>
      </c>
      <c r="T2285" t="s">
        <v>11</v>
      </c>
      <c r="U2285" t="s">
        <v>408</v>
      </c>
    </row>
    <row r="2286" spans="1:21" x14ac:dyDescent="0.25">
      <c r="A2286">
        <v>22350115</v>
      </c>
      <c r="B2286" t="s">
        <v>342</v>
      </c>
      <c r="C2286" t="s">
        <v>33</v>
      </c>
      <c r="D2286" t="s">
        <v>12</v>
      </c>
      <c r="E2286" t="s">
        <v>658</v>
      </c>
      <c r="F2286" t="s">
        <v>155</v>
      </c>
      <c r="G2286" t="s">
        <v>369</v>
      </c>
      <c r="H2286" t="s">
        <v>820</v>
      </c>
      <c r="I2286" t="s">
        <v>821</v>
      </c>
      <c r="J2286" t="s">
        <v>822</v>
      </c>
      <c r="K2286" t="s">
        <v>701</v>
      </c>
      <c r="L2286" t="s">
        <v>1014</v>
      </c>
      <c r="M2286" t="s">
        <v>11</v>
      </c>
      <c r="N2286" t="s">
        <v>11</v>
      </c>
      <c r="O2286" t="s">
        <v>11</v>
      </c>
      <c r="P2286" t="s">
        <v>0</v>
      </c>
      <c r="Q2286" t="s">
        <v>408</v>
      </c>
      <c r="R2286" t="s">
        <v>439</v>
      </c>
      <c r="S2286" t="s">
        <v>451</v>
      </c>
      <c r="T2286" t="s">
        <v>408</v>
      </c>
      <c r="U2286" t="s">
        <v>408</v>
      </c>
    </row>
    <row r="2287" spans="1:21" x14ac:dyDescent="0.25">
      <c r="A2287">
        <v>22350116</v>
      </c>
      <c r="B2287" t="s">
        <v>340</v>
      </c>
      <c r="C2287" t="s">
        <v>86</v>
      </c>
      <c r="D2287" t="s">
        <v>12</v>
      </c>
      <c r="E2287" t="s">
        <v>530</v>
      </c>
      <c r="F2287" t="s">
        <v>154</v>
      </c>
      <c r="G2287" t="s">
        <v>468</v>
      </c>
      <c r="H2287" t="s">
        <v>447</v>
      </c>
      <c r="I2287" t="s">
        <v>448</v>
      </c>
      <c r="J2287" t="s">
        <v>449</v>
      </c>
      <c r="K2287" t="s">
        <v>450</v>
      </c>
      <c r="L2287" t="s">
        <v>2</v>
      </c>
      <c r="M2287" t="s">
        <v>408</v>
      </c>
      <c r="N2287" t="s">
        <v>11</v>
      </c>
      <c r="O2287" t="s">
        <v>11</v>
      </c>
      <c r="P2287" t="s">
        <v>0</v>
      </c>
      <c r="Q2287" t="s">
        <v>408</v>
      </c>
      <c r="R2287" t="s">
        <v>439</v>
      </c>
      <c r="S2287" t="s">
        <v>451</v>
      </c>
      <c r="T2287" t="s">
        <v>11</v>
      </c>
      <c r="U2287" t="s">
        <v>408</v>
      </c>
    </row>
    <row r="2288" spans="1:21" x14ac:dyDescent="0.25">
      <c r="A2288">
        <v>22350118</v>
      </c>
      <c r="B2288" t="s">
        <v>340</v>
      </c>
      <c r="C2288" t="s">
        <v>86</v>
      </c>
      <c r="D2288" t="s">
        <v>12</v>
      </c>
      <c r="E2288" t="s">
        <v>530</v>
      </c>
      <c r="F2288" t="s">
        <v>154</v>
      </c>
      <c r="G2288" t="s">
        <v>468</v>
      </c>
      <c r="H2288" t="s">
        <v>447</v>
      </c>
      <c r="I2288" t="s">
        <v>448</v>
      </c>
      <c r="J2288" t="s">
        <v>449</v>
      </c>
      <c r="K2288" t="s">
        <v>450</v>
      </c>
      <c r="L2288" t="s">
        <v>375</v>
      </c>
      <c r="M2288" t="s">
        <v>408</v>
      </c>
      <c r="N2288" t="s">
        <v>11</v>
      </c>
      <c r="O2288" t="s">
        <v>11</v>
      </c>
      <c r="P2288" t="s">
        <v>0</v>
      </c>
      <c r="Q2288" t="s">
        <v>408</v>
      </c>
      <c r="R2288" t="s">
        <v>439</v>
      </c>
      <c r="S2288" t="s">
        <v>451</v>
      </c>
      <c r="T2288" t="s">
        <v>11</v>
      </c>
      <c r="U2288" t="s">
        <v>408</v>
      </c>
    </row>
    <row r="2289" spans="1:21" x14ac:dyDescent="0.25">
      <c r="A2289">
        <v>22350120</v>
      </c>
      <c r="B2289" t="s">
        <v>342</v>
      </c>
      <c r="C2289" t="s">
        <v>33</v>
      </c>
      <c r="D2289" t="s">
        <v>12</v>
      </c>
      <c r="E2289" t="s">
        <v>530</v>
      </c>
      <c r="F2289" t="s">
        <v>154</v>
      </c>
      <c r="G2289" t="s">
        <v>369</v>
      </c>
      <c r="H2289" t="s">
        <v>1025</v>
      </c>
      <c r="I2289" t="s">
        <v>1024</v>
      </c>
      <c r="J2289" t="s">
        <v>1023</v>
      </c>
      <c r="K2289" t="s">
        <v>910</v>
      </c>
      <c r="L2289" t="s">
        <v>0</v>
      </c>
      <c r="M2289" t="s">
        <v>408</v>
      </c>
      <c r="N2289" t="s">
        <v>11</v>
      </c>
      <c r="O2289" t="s">
        <v>11</v>
      </c>
      <c r="P2289" t="s">
        <v>0</v>
      </c>
      <c r="Q2289" t="s">
        <v>408</v>
      </c>
      <c r="R2289" t="s">
        <v>439</v>
      </c>
      <c r="S2289" t="s">
        <v>451</v>
      </c>
      <c r="T2289" t="s">
        <v>11</v>
      </c>
      <c r="U2289" t="s">
        <v>408</v>
      </c>
    </row>
    <row r="2290" spans="1:21" x14ac:dyDescent="0.25">
      <c r="A2290">
        <v>22350121</v>
      </c>
      <c r="B2290" t="s">
        <v>342</v>
      </c>
      <c r="C2290" t="s">
        <v>89</v>
      </c>
      <c r="D2290" t="s">
        <v>18</v>
      </c>
      <c r="E2290" t="s">
        <v>530</v>
      </c>
      <c r="F2290" t="s">
        <v>154</v>
      </c>
      <c r="G2290" t="s">
        <v>468</v>
      </c>
      <c r="H2290" t="s">
        <v>838</v>
      </c>
      <c r="I2290" t="s">
        <v>839</v>
      </c>
      <c r="J2290" t="s">
        <v>839</v>
      </c>
      <c r="K2290" t="s">
        <v>450</v>
      </c>
      <c r="L2290" t="s">
        <v>993</v>
      </c>
      <c r="M2290" t="s">
        <v>11</v>
      </c>
      <c r="N2290" t="s">
        <v>11</v>
      </c>
      <c r="O2290" t="s">
        <v>11</v>
      </c>
      <c r="P2290" t="s">
        <v>0</v>
      </c>
      <c r="Q2290" t="s">
        <v>408</v>
      </c>
      <c r="R2290" t="s">
        <v>439</v>
      </c>
      <c r="S2290" t="s">
        <v>451</v>
      </c>
      <c r="T2290" t="s">
        <v>408</v>
      </c>
      <c r="U2290" t="s">
        <v>408</v>
      </c>
    </row>
    <row r="2291" spans="1:21" x14ac:dyDescent="0.25">
      <c r="A2291">
        <v>22350122</v>
      </c>
      <c r="B2291" t="s">
        <v>342</v>
      </c>
      <c r="C2291" t="s">
        <v>89</v>
      </c>
      <c r="D2291" t="s">
        <v>18</v>
      </c>
      <c r="E2291" t="s">
        <v>753</v>
      </c>
      <c r="F2291" t="s">
        <v>177</v>
      </c>
      <c r="G2291" t="s">
        <v>468</v>
      </c>
      <c r="H2291" t="s">
        <v>765</v>
      </c>
      <c r="I2291" t="s">
        <v>766</v>
      </c>
      <c r="J2291" t="s">
        <v>767</v>
      </c>
      <c r="K2291" t="s">
        <v>444</v>
      </c>
      <c r="L2291" t="s">
        <v>1014</v>
      </c>
      <c r="M2291" t="s">
        <v>11</v>
      </c>
      <c r="N2291" t="s">
        <v>11</v>
      </c>
      <c r="O2291" t="s">
        <v>11</v>
      </c>
      <c r="P2291" t="s">
        <v>0</v>
      </c>
      <c r="Q2291" t="s">
        <v>408</v>
      </c>
      <c r="R2291" t="s">
        <v>439</v>
      </c>
      <c r="S2291" t="s">
        <v>451</v>
      </c>
      <c r="T2291" t="s">
        <v>408</v>
      </c>
      <c r="U2291" t="s">
        <v>408</v>
      </c>
    </row>
    <row r="2292" spans="1:21" x14ac:dyDescent="0.25">
      <c r="A2292">
        <v>22350123</v>
      </c>
      <c r="B2292" t="s">
        <v>342</v>
      </c>
      <c r="C2292" t="s">
        <v>89</v>
      </c>
      <c r="D2292" t="s">
        <v>18</v>
      </c>
      <c r="E2292" t="s">
        <v>658</v>
      </c>
      <c r="F2292" t="s">
        <v>155</v>
      </c>
      <c r="G2292" t="s">
        <v>468</v>
      </c>
      <c r="H2292" t="s">
        <v>1053</v>
      </c>
      <c r="I2292" t="s">
        <v>1052</v>
      </c>
      <c r="J2292" t="s">
        <v>1051</v>
      </c>
      <c r="K2292" t="s">
        <v>450</v>
      </c>
      <c r="L2292" t="s">
        <v>1028</v>
      </c>
      <c r="M2292" t="s">
        <v>11</v>
      </c>
      <c r="N2292" t="s">
        <v>11</v>
      </c>
      <c r="O2292" t="s">
        <v>408</v>
      </c>
      <c r="P2292" t="s">
        <v>0</v>
      </c>
      <c r="Q2292" t="s">
        <v>408</v>
      </c>
      <c r="R2292" t="s">
        <v>439</v>
      </c>
      <c r="S2292" t="s">
        <v>451</v>
      </c>
      <c r="T2292" t="s">
        <v>408</v>
      </c>
      <c r="U2292" t="s">
        <v>408</v>
      </c>
    </row>
    <row r="2293" spans="1:21" x14ac:dyDescent="0.25">
      <c r="A2293">
        <v>22350124</v>
      </c>
      <c r="B2293" t="s">
        <v>342</v>
      </c>
      <c r="C2293" t="s">
        <v>33</v>
      </c>
      <c r="D2293" t="s">
        <v>12</v>
      </c>
      <c r="E2293" t="s">
        <v>530</v>
      </c>
      <c r="F2293" t="s">
        <v>154</v>
      </c>
      <c r="G2293" t="s">
        <v>369</v>
      </c>
      <c r="H2293" t="s">
        <v>820</v>
      </c>
      <c r="I2293" t="s">
        <v>821</v>
      </c>
      <c r="J2293" t="s">
        <v>822</v>
      </c>
      <c r="K2293" t="s">
        <v>701</v>
      </c>
      <c r="L2293" t="s">
        <v>1014</v>
      </c>
      <c r="M2293" t="s">
        <v>11</v>
      </c>
      <c r="N2293" t="s">
        <v>11</v>
      </c>
      <c r="O2293" t="s">
        <v>11</v>
      </c>
      <c r="P2293" t="s">
        <v>0</v>
      </c>
      <c r="Q2293" t="s">
        <v>408</v>
      </c>
      <c r="R2293" t="s">
        <v>439</v>
      </c>
      <c r="S2293" t="s">
        <v>451</v>
      </c>
      <c r="T2293" t="s">
        <v>408</v>
      </c>
      <c r="U2293" t="s">
        <v>408</v>
      </c>
    </row>
    <row r="2294" spans="1:21" x14ac:dyDescent="0.25">
      <c r="A2294">
        <v>22350127</v>
      </c>
      <c r="B2294" t="s">
        <v>342</v>
      </c>
      <c r="C2294" t="s">
        <v>33</v>
      </c>
      <c r="D2294" t="s">
        <v>12</v>
      </c>
      <c r="E2294" t="s">
        <v>530</v>
      </c>
      <c r="F2294" t="s">
        <v>154</v>
      </c>
      <c r="G2294" t="s">
        <v>369</v>
      </c>
      <c r="H2294" t="s">
        <v>820</v>
      </c>
      <c r="I2294" t="s">
        <v>821</v>
      </c>
      <c r="J2294" t="s">
        <v>822</v>
      </c>
      <c r="K2294" t="s">
        <v>701</v>
      </c>
      <c r="L2294" t="s">
        <v>1014</v>
      </c>
      <c r="M2294" t="s">
        <v>11</v>
      </c>
      <c r="N2294" t="s">
        <v>11</v>
      </c>
      <c r="O2294" t="s">
        <v>11</v>
      </c>
      <c r="P2294" t="s">
        <v>0</v>
      </c>
      <c r="Q2294" t="s">
        <v>408</v>
      </c>
      <c r="R2294" t="s">
        <v>439</v>
      </c>
      <c r="S2294" t="s">
        <v>451</v>
      </c>
      <c r="T2294" t="s">
        <v>408</v>
      </c>
      <c r="U2294" t="s">
        <v>408</v>
      </c>
    </row>
    <row r="2295" spans="1:21" x14ac:dyDescent="0.25">
      <c r="A2295">
        <v>22350128</v>
      </c>
      <c r="B2295" t="s">
        <v>342</v>
      </c>
      <c r="C2295" t="s">
        <v>89</v>
      </c>
      <c r="D2295" t="s">
        <v>24</v>
      </c>
      <c r="E2295" t="s">
        <v>1050</v>
      </c>
      <c r="F2295" t="s">
        <v>1049</v>
      </c>
      <c r="G2295" t="s">
        <v>468</v>
      </c>
      <c r="H2295" t="s">
        <v>447</v>
      </c>
      <c r="I2295" t="s">
        <v>448</v>
      </c>
      <c r="J2295" t="s">
        <v>449</v>
      </c>
      <c r="K2295" t="s">
        <v>450</v>
      </c>
      <c r="L2295" t="s">
        <v>370</v>
      </c>
      <c r="M2295" t="s">
        <v>408</v>
      </c>
      <c r="N2295" t="s">
        <v>11</v>
      </c>
      <c r="O2295" t="s">
        <v>408</v>
      </c>
      <c r="P2295" t="s">
        <v>0</v>
      </c>
      <c r="Q2295" t="s">
        <v>408</v>
      </c>
      <c r="R2295" t="s">
        <v>439</v>
      </c>
      <c r="S2295" t="s">
        <v>451</v>
      </c>
      <c r="T2295" t="s">
        <v>11</v>
      </c>
      <c r="U2295" t="s">
        <v>408</v>
      </c>
    </row>
    <row r="2296" spans="1:21" x14ac:dyDescent="0.25">
      <c r="A2296">
        <v>22350129</v>
      </c>
      <c r="B2296" t="s">
        <v>340</v>
      </c>
      <c r="C2296" t="s">
        <v>86</v>
      </c>
      <c r="D2296" t="s">
        <v>12</v>
      </c>
      <c r="E2296" t="s">
        <v>658</v>
      </c>
      <c r="F2296" t="s">
        <v>155</v>
      </c>
      <c r="G2296" t="s">
        <v>468</v>
      </c>
      <c r="H2296" t="s">
        <v>617</v>
      </c>
      <c r="I2296" t="s">
        <v>618</v>
      </c>
      <c r="J2296" t="s">
        <v>619</v>
      </c>
      <c r="K2296" t="s">
        <v>606</v>
      </c>
      <c r="L2296" t="s">
        <v>375</v>
      </c>
      <c r="M2296" t="s">
        <v>408</v>
      </c>
      <c r="N2296" t="s">
        <v>11</v>
      </c>
      <c r="O2296" t="s">
        <v>11</v>
      </c>
      <c r="P2296" t="s">
        <v>0</v>
      </c>
      <c r="Q2296" t="s">
        <v>408</v>
      </c>
      <c r="R2296" t="s">
        <v>439</v>
      </c>
      <c r="S2296" t="s">
        <v>451</v>
      </c>
      <c r="T2296" t="s">
        <v>11</v>
      </c>
      <c r="U2296" t="s">
        <v>408</v>
      </c>
    </row>
    <row r="2297" spans="1:21" x14ac:dyDescent="0.25">
      <c r="A2297">
        <v>22350130</v>
      </c>
      <c r="B2297" t="s">
        <v>342</v>
      </c>
      <c r="C2297" t="s">
        <v>33</v>
      </c>
      <c r="D2297" t="s">
        <v>12</v>
      </c>
      <c r="E2297" t="s">
        <v>658</v>
      </c>
      <c r="F2297" t="s">
        <v>155</v>
      </c>
      <c r="G2297" t="s">
        <v>369</v>
      </c>
      <c r="H2297" t="s">
        <v>820</v>
      </c>
      <c r="I2297" t="s">
        <v>821</v>
      </c>
      <c r="J2297" t="s">
        <v>822</v>
      </c>
      <c r="K2297" t="s">
        <v>701</v>
      </c>
      <c r="L2297" t="s">
        <v>1014</v>
      </c>
      <c r="M2297" t="s">
        <v>11</v>
      </c>
      <c r="N2297" t="s">
        <v>11</v>
      </c>
      <c r="O2297" t="s">
        <v>11</v>
      </c>
      <c r="P2297" t="s">
        <v>0</v>
      </c>
      <c r="Q2297" t="s">
        <v>408</v>
      </c>
      <c r="R2297" t="s">
        <v>439</v>
      </c>
      <c r="S2297" t="s">
        <v>451</v>
      </c>
      <c r="T2297" t="s">
        <v>408</v>
      </c>
      <c r="U2297" t="s">
        <v>408</v>
      </c>
    </row>
    <row r="2298" spans="1:21" x14ac:dyDescent="0.25">
      <c r="A2298">
        <v>22350131</v>
      </c>
      <c r="B2298" t="s">
        <v>340</v>
      </c>
      <c r="C2298" t="s">
        <v>26</v>
      </c>
      <c r="D2298" t="s">
        <v>12</v>
      </c>
      <c r="E2298" t="s">
        <v>530</v>
      </c>
      <c r="F2298" t="s">
        <v>161</v>
      </c>
      <c r="G2298" t="s">
        <v>369</v>
      </c>
      <c r="H2298" t="s">
        <v>978</v>
      </c>
      <c r="I2298" t="s">
        <v>1035</v>
      </c>
      <c r="J2298" t="s">
        <v>1034</v>
      </c>
      <c r="K2298" t="s">
        <v>462</v>
      </c>
      <c r="L2298" t="s">
        <v>1033</v>
      </c>
      <c r="M2298" t="s">
        <v>11</v>
      </c>
      <c r="N2298" t="s">
        <v>11</v>
      </c>
      <c r="O2298" t="s">
        <v>408</v>
      </c>
      <c r="P2298" t="s">
        <v>0</v>
      </c>
      <c r="Q2298" t="s">
        <v>408</v>
      </c>
      <c r="R2298" t="s">
        <v>439</v>
      </c>
      <c r="S2298" t="s">
        <v>440</v>
      </c>
      <c r="T2298" t="s">
        <v>408</v>
      </c>
      <c r="U2298" t="s">
        <v>408</v>
      </c>
    </row>
    <row r="2299" spans="1:21" x14ac:dyDescent="0.25">
      <c r="A2299">
        <v>22350133</v>
      </c>
      <c r="B2299" t="s">
        <v>342</v>
      </c>
      <c r="C2299" t="s">
        <v>89</v>
      </c>
      <c r="D2299" t="s">
        <v>12</v>
      </c>
      <c r="E2299" t="s">
        <v>530</v>
      </c>
      <c r="F2299" t="s">
        <v>154</v>
      </c>
      <c r="G2299" t="s">
        <v>468</v>
      </c>
      <c r="H2299" t="s">
        <v>447</v>
      </c>
      <c r="I2299" t="s">
        <v>448</v>
      </c>
      <c r="J2299" t="s">
        <v>449</v>
      </c>
      <c r="K2299" t="s">
        <v>450</v>
      </c>
      <c r="L2299" t="s">
        <v>370</v>
      </c>
      <c r="M2299" t="s">
        <v>408</v>
      </c>
      <c r="N2299" t="s">
        <v>11</v>
      </c>
      <c r="O2299" t="s">
        <v>408</v>
      </c>
      <c r="P2299" t="s">
        <v>0</v>
      </c>
      <c r="Q2299" t="s">
        <v>408</v>
      </c>
      <c r="R2299" t="s">
        <v>439</v>
      </c>
      <c r="S2299" t="s">
        <v>451</v>
      </c>
      <c r="T2299" t="s">
        <v>11</v>
      </c>
      <c r="U2299" t="s">
        <v>408</v>
      </c>
    </row>
    <row r="2300" spans="1:21" x14ac:dyDescent="0.25">
      <c r="A2300">
        <v>22350135</v>
      </c>
      <c r="B2300" t="s">
        <v>340</v>
      </c>
      <c r="C2300" t="s">
        <v>86</v>
      </c>
      <c r="D2300" t="s">
        <v>12</v>
      </c>
      <c r="E2300" t="s">
        <v>530</v>
      </c>
      <c r="F2300" t="s">
        <v>154</v>
      </c>
      <c r="G2300" t="s">
        <v>468</v>
      </c>
      <c r="H2300" t="s">
        <v>447</v>
      </c>
      <c r="I2300" t="s">
        <v>448</v>
      </c>
      <c r="J2300" t="s">
        <v>449</v>
      </c>
      <c r="K2300" t="s">
        <v>450</v>
      </c>
      <c r="L2300" t="s">
        <v>375</v>
      </c>
      <c r="M2300" t="s">
        <v>408</v>
      </c>
      <c r="N2300" t="s">
        <v>11</v>
      </c>
      <c r="O2300" t="s">
        <v>11</v>
      </c>
      <c r="P2300" t="s">
        <v>0</v>
      </c>
      <c r="Q2300" t="s">
        <v>408</v>
      </c>
      <c r="R2300" t="s">
        <v>439</v>
      </c>
      <c r="S2300" t="s">
        <v>451</v>
      </c>
      <c r="T2300" t="s">
        <v>11</v>
      </c>
      <c r="U2300" t="s">
        <v>408</v>
      </c>
    </row>
    <row r="2301" spans="1:21" x14ac:dyDescent="0.25">
      <c r="A2301">
        <v>22350137</v>
      </c>
      <c r="B2301" t="s">
        <v>342</v>
      </c>
      <c r="C2301" t="s">
        <v>33</v>
      </c>
      <c r="D2301" t="s">
        <v>12</v>
      </c>
      <c r="E2301" t="s">
        <v>658</v>
      </c>
      <c r="F2301" t="s">
        <v>160</v>
      </c>
      <c r="G2301" t="s">
        <v>369</v>
      </c>
      <c r="H2301" t="s">
        <v>1025</v>
      </c>
      <c r="I2301" t="s">
        <v>1024</v>
      </c>
      <c r="J2301" t="s">
        <v>1023</v>
      </c>
      <c r="K2301" t="s">
        <v>910</v>
      </c>
      <c r="L2301" t="s">
        <v>0</v>
      </c>
      <c r="M2301" t="s">
        <v>408</v>
      </c>
      <c r="N2301" t="s">
        <v>11</v>
      </c>
      <c r="O2301" t="s">
        <v>11</v>
      </c>
      <c r="P2301" t="s">
        <v>0</v>
      </c>
      <c r="Q2301" t="s">
        <v>408</v>
      </c>
      <c r="R2301" t="s">
        <v>439</v>
      </c>
      <c r="S2301" t="s">
        <v>451</v>
      </c>
      <c r="T2301" t="s">
        <v>11</v>
      </c>
      <c r="U2301" t="s">
        <v>408</v>
      </c>
    </row>
    <row r="2302" spans="1:21" x14ac:dyDescent="0.25">
      <c r="A2302">
        <v>22350138</v>
      </c>
      <c r="B2302" t="s">
        <v>340</v>
      </c>
      <c r="C2302" t="s">
        <v>86</v>
      </c>
      <c r="D2302" t="s">
        <v>12</v>
      </c>
      <c r="E2302" t="s">
        <v>530</v>
      </c>
      <c r="F2302" t="s">
        <v>154</v>
      </c>
      <c r="G2302" t="s">
        <v>468</v>
      </c>
      <c r="H2302" t="s">
        <v>779</v>
      </c>
      <c r="I2302" t="s">
        <v>780</v>
      </c>
      <c r="J2302" t="s">
        <v>781</v>
      </c>
      <c r="K2302" t="s">
        <v>450</v>
      </c>
      <c r="L2302" t="s">
        <v>978</v>
      </c>
      <c r="M2302" t="s">
        <v>11</v>
      </c>
      <c r="N2302" t="s">
        <v>11</v>
      </c>
      <c r="O2302" t="s">
        <v>408</v>
      </c>
      <c r="P2302" t="s">
        <v>0</v>
      </c>
      <c r="Q2302" t="s">
        <v>408</v>
      </c>
      <c r="R2302" t="s">
        <v>439</v>
      </c>
      <c r="S2302" t="s">
        <v>451</v>
      </c>
      <c r="T2302" t="s">
        <v>408</v>
      </c>
      <c r="U2302" t="s">
        <v>408</v>
      </c>
    </row>
    <row r="2303" spans="1:21" x14ac:dyDescent="0.25">
      <c r="A2303">
        <v>22350139</v>
      </c>
      <c r="B2303" t="s">
        <v>342</v>
      </c>
      <c r="C2303" t="s">
        <v>33</v>
      </c>
      <c r="D2303" t="s">
        <v>12</v>
      </c>
      <c r="E2303" t="s">
        <v>530</v>
      </c>
      <c r="F2303" t="s">
        <v>154</v>
      </c>
      <c r="G2303" t="s">
        <v>369</v>
      </c>
      <c r="H2303" t="s">
        <v>1025</v>
      </c>
      <c r="I2303" t="s">
        <v>1024</v>
      </c>
      <c r="J2303" t="s">
        <v>1023</v>
      </c>
      <c r="K2303" t="s">
        <v>910</v>
      </c>
      <c r="L2303" t="s">
        <v>0</v>
      </c>
      <c r="M2303" t="s">
        <v>408</v>
      </c>
      <c r="N2303" t="s">
        <v>11</v>
      </c>
      <c r="O2303" t="s">
        <v>11</v>
      </c>
      <c r="P2303" t="s">
        <v>0</v>
      </c>
      <c r="Q2303" t="s">
        <v>408</v>
      </c>
      <c r="R2303" t="s">
        <v>439</v>
      </c>
      <c r="S2303" t="s">
        <v>451</v>
      </c>
      <c r="T2303" t="s">
        <v>11</v>
      </c>
      <c r="U2303" t="s">
        <v>408</v>
      </c>
    </row>
    <row r="2304" spans="1:21" x14ac:dyDescent="0.25">
      <c r="A2304">
        <v>22350140</v>
      </c>
      <c r="B2304" t="s">
        <v>342</v>
      </c>
      <c r="C2304" t="s">
        <v>89</v>
      </c>
      <c r="D2304" t="s">
        <v>12</v>
      </c>
      <c r="E2304" t="s">
        <v>530</v>
      </c>
      <c r="F2304" t="s">
        <v>154</v>
      </c>
      <c r="G2304" t="s">
        <v>468</v>
      </c>
      <c r="H2304" t="s">
        <v>447</v>
      </c>
      <c r="I2304" t="s">
        <v>448</v>
      </c>
      <c r="J2304" t="s">
        <v>449</v>
      </c>
      <c r="K2304" t="s">
        <v>450</v>
      </c>
      <c r="L2304" t="s">
        <v>370</v>
      </c>
      <c r="M2304" t="s">
        <v>408</v>
      </c>
      <c r="N2304" t="s">
        <v>11</v>
      </c>
      <c r="O2304" t="s">
        <v>408</v>
      </c>
      <c r="P2304" t="s">
        <v>0</v>
      </c>
      <c r="Q2304" t="s">
        <v>408</v>
      </c>
      <c r="R2304" t="s">
        <v>439</v>
      </c>
      <c r="S2304" t="s">
        <v>451</v>
      </c>
      <c r="T2304" t="s">
        <v>11</v>
      </c>
      <c r="U2304" t="s">
        <v>408</v>
      </c>
    </row>
    <row r="2305" spans="1:21" x14ac:dyDescent="0.25">
      <c r="A2305">
        <v>22350141</v>
      </c>
      <c r="B2305" t="s">
        <v>342</v>
      </c>
      <c r="C2305" t="s">
        <v>89</v>
      </c>
      <c r="D2305" t="s">
        <v>18</v>
      </c>
      <c r="E2305" t="s">
        <v>530</v>
      </c>
      <c r="F2305" t="s">
        <v>154</v>
      </c>
      <c r="G2305" t="s">
        <v>468</v>
      </c>
      <c r="H2305" t="s">
        <v>761</v>
      </c>
      <c r="I2305" t="s">
        <v>762</v>
      </c>
      <c r="J2305" t="s">
        <v>763</v>
      </c>
      <c r="K2305" t="s">
        <v>764</v>
      </c>
      <c r="L2305" t="s">
        <v>1009</v>
      </c>
      <c r="M2305" t="s">
        <v>11</v>
      </c>
      <c r="N2305" t="s">
        <v>11</v>
      </c>
      <c r="O2305" t="s">
        <v>408</v>
      </c>
      <c r="P2305" t="s">
        <v>0</v>
      </c>
      <c r="Q2305" t="s">
        <v>408</v>
      </c>
      <c r="R2305" t="s">
        <v>439</v>
      </c>
      <c r="S2305" t="s">
        <v>440</v>
      </c>
      <c r="T2305" t="s">
        <v>408</v>
      </c>
      <c r="U2305" t="s">
        <v>408</v>
      </c>
    </row>
    <row r="2306" spans="1:21" x14ac:dyDescent="0.25">
      <c r="A2306">
        <v>22350142</v>
      </c>
      <c r="B2306" t="s">
        <v>340</v>
      </c>
      <c r="C2306" t="s">
        <v>86</v>
      </c>
      <c r="D2306" t="s">
        <v>18</v>
      </c>
      <c r="E2306" t="s">
        <v>658</v>
      </c>
      <c r="F2306" t="s">
        <v>160</v>
      </c>
      <c r="G2306" t="s">
        <v>468</v>
      </c>
      <c r="H2306" t="s">
        <v>617</v>
      </c>
      <c r="I2306" t="s">
        <v>618</v>
      </c>
      <c r="J2306" t="s">
        <v>619</v>
      </c>
      <c r="K2306" t="s">
        <v>606</v>
      </c>
      <c r="L2306" t="s">
        <v>861</v>
      </c>
      <c r="M2306" t="s">
        <v>408</v>
      </c>
      <c r="N2306" t="s">
        <v>11</v>
      </c>
      <c r="O2306" t="s">
        <v>11</v>
      </c>
      <c r="P2306" t="s">
        <v>0</v>
      </c>
      <c r="Q2306" t="s">
        <v>408</v>
      </c>
      <c r="R2306" t="s">
        <v>439</v>
      </c>
      <c r="S2306" t="s">
        <v>451</v>
      </c>
      <c r="T2306" t="s">
        <v>11</v>
      </c>
      <c r="U2306" t="s">
        <v>408</v>
      </c>
    </row>
    <row r="2307" spans="1:21" x14ac:dyDescent="0.25">
      <c r="A2307">
        <v>22350143</v>
      </c>
      <c r="B2307" t="s">
        <v>340</v>
      </c>
      <c r="C2307" t="s">
        <v>15</v>
      </c>
      <c r="D2307" t="s">
        <v>12</v>
      </c>
      <c r="E2307" t="s">
        <v>658</v>
      </c>
      <c r="F2307" t="s">
        <v>155</v>
      </c>
      <c r="G2307" t="s">
        <v>468</v>
      </c>
      <c r="H2307" t="s">
        <v>367</v>
      </c>
      <c r="I2307" t="s">
        <v>454</v>
      </c>
      <c r="J2307" t="s">
        <v>457</v>
      </c>
      <c r="K2307" t="s">
        <v>453</v>
      </c>
      <c r="L2307" t="s">
        <v>2</v>
      </c>
      <c r="M2307" t="s">
        <v>408</v>
      </c>
      <c r="N2307" t="s">
        <v>11</v>
      </c>
      <c r="O2307" t="s">
        <v>11</v>
      </c>
      <c r="P2307" t="s">
        <v>0</v>
      </c>
      <c r="Q2307" t="s">
        <v>408</v>
      </c>
      <c r="R2307" t="s">
        <v>439</v>
      </c>
      <c r="S2307" t="s">
        <v>440</v>
      </c>
      <c r="T2307" t="s">
        <v>11</v>
      </c>
      <c r="U2307" t="s">
        <v>408</v>
      </c>
    </row>
    <row r="2308" spans="1:21" x14ac:dyDescent="0.25">
      <c r="A2308">
        <v>22350145</v>
      </c>
      <c r="B2308" t="s">
        <v>340</v>
      </c>
      <c r="C2308" t="s">
        <v>86</v>
      </c>
      <c r="D2308" t="s">
        <v>12</v>
      </c>
      <c r="E2308" t="s">
        <v>658</v>
      </c>
      <c r="F2308" t="s">
        <v>160</v>
      </c>
      <c r="G2308" t="s">
        <v>468</v>
      </c>
      <c r="H2308" t="s">
        <v>447</v>
      </c>
      <c r="I2308" t="s">
        <v>448</v>
      </c>
      <c r="J2308" t="s">
        <v>449</v>
      </c>
      <c r="K2308" t="s">
        <v>450</v>
      </c>
      <c r="L2308" t="s">
        <v>375</v>
      </c>
      <c r="M2308" t="s">
        <v>408</v>
      </c>
      <c r="N2308" t="s">
        <v>11</v>
      </c>
      <c r="O2308" t="s">
        <v>11</v>
      </c>
      <c r="P2308" t="s">
        <v>0</v>
      </c>
      <c r="Q2308" t="s">
        <v>408</v>
      </c>
      <c r="R2308" t="s">
        <v>439</v>
      </c>
      <c r="S2308" t="s">
        <v>451</v>
      </c>
      <c r="T2308" t="s">
        <v>11</v>
      </c>
      <c r="U2308" t="s">
        <v>408</v>
      </c>
    </row>
    <row r="2309" spans="1:21" x14ac:dyDescent="0.25">
      <c r="A2309">
        <v>22350146</v>
      </c>
      <c r="B2309" t="s">
        <v>342</v>
      </c>
      <c r="C2309" t="s">
        <v>33</v>
      </c>
      <c r="D2309" t="s">
        <v>18</v>
      </c>
      <c r="E2309" t="s">
        <v>658</v>
      </c>
      <c r="F2309" t="s">
        <v>160</v>
      </c>
      <c r="G2309" t="s">
        <v>369</v>
      </c>
      <c r="H2309" t="s">
        <v>820</v>
      </c>
      <c r="I2309" t="s">
        <v>821</v>
      </c>
      <c r="J2309" t="s">
        <v>822</v>
      </c>
      <c r="K2309" t="s">
        <v>701</v>
      </c>
      <c r="L2309" t="s">
        <v>993</v>
      </c>
      <c r="M2309" t="s">
        <v>11</v>
      </c>
      <c r="N2309" t="s">
        <v>11</v>
      </c>
      <c r="O2309" t="s">
        <v>11</v>
      </c>
      <c r="P2309" t="s">
        <v>0</v>
      </c>
      <c r="Q2309" t="s">
        <v>408</v>
      </c>
      <c r="R2309" t="s">
        <v>439</v>
      </c>
      <c r="S2309" t="s">
        <v>451</v>
      </c>
      <c r="T2309" t="s">
        <v>408</v>
      </c>
      <c r="U2309" t="s">
        <v>408</v>
      </c>
    </row>
    <row r="2310" spans="1:21" x14ac:dyDescent="0.25">
      <c r="A2310">
        <v>22350147</v>
      </c>
      <c r="B2310" t="s">
        <v>342</v>
      </c>
      <c r="C2310" t="s">
        <v>89</v>
      </c>
      <c r="D2310" t="s">
        <v>12</v>
      </c>
      <c r="E2310" t="s">
        <v>530</v>
      </c>
      <c r="F2310" t="s">
        <v>154</v>
      </c>
      <c r="G2310" t="s">
        <v>468</v>
      </c>
      <c r="H2310" t="s">
        <v>884</v>
      </c>
      <c r="I2310" t="s">
        <v>883</v>
      </c>
      <c r="J2310" t="s">
        <v>882</v>
      </c>
      <c r="K2310" t="s">
        <v>450</v>
      </c>
      <c r="L2310" t="s">
        <v>993</v>
      </c>
      <c r="M2310" t="s">
        <v>11</v>
      </c>
      <c r="N2310" t="s">
        <v>11</v>
      </c>
      <c r="O2310" t="s">
        <v>11</v>
      </c>
      <c r="P2310" t="s">
        <v>0</v>
      </c>
      <c r="Q2310" t="s">
        <v>408</v>
      </c>
      <c r="R2310" t="s">
        <v>439</v>
      </c>
      <c r="S2310" t="s">
        <v>451</v>
      </c>
      <c r="T2310" t="s">
        <v>408</v>
      </c>
      <c r="U2310" t="s">
        <v>408</v>
      </c>
    </row>
    <row r="2311" spans="1:21" x14ac:dyDescent="0.25">
      <c r="A2311">
        <v>22350148</v>
      </c>
      <c r="B2311" t="s">
        <v>342</v>
      </c>
      <c r="C2311" t="s">
        <v>33</v>
      </c>
      <c r="D2311" t="s">
        <v>18</v>
      </c>
      <c r="E2311" t="s">
        <v>658</v>
      </c>
      <c r="F2311" t="s">
        <v>160</v>
      </c>
      <c r="G2311" t="s">
        <v>369</v>
      </c>
      <c r="H2311" t="s">
        <v>820</v>
      </c>
      <c r="I2311" t="s">
        <v>821</v>
      </c>
      <c r="J2311" t="s">
        <v>822</v>
      </c>
      <c r="K2311" t="s">
        <v>701</v>
      </c>
      <c r="L2311" t="s">
        <v>1014</v>
      </c>
      <c r="M2311" t="s">
        <v>11</v>
      </c>
      <c r="N2311" t="s">
        <v>11</v>
      </c>
      <c r="O2311" t="s">
        <v>11</v>
      </c>
      <c r="P2311" t="s">
        <v>0</v>
      </c>
      <c r="Q2311" t="s">
        <v>408</v>
      </c>
      <c r="R2311" t="s">
        <v>439</v>
      </c>
      <c r="S2311" t="s">
        <v>451</v>
      </c>
      <c r="T2311" t="s">
        <v>408</v>
      </c>
      <c r="U2311" t="s">
        <v>408</v>
      </c>
    </row>
    <row r="2312" spans="1:21" x14ac:dyDescent="0.25">
      <c r="A2312">
        <v>22350155</v>
      </c>
      <c r="B2312" t="s">
        <v>342</v>
      </c>
      <c r="C2312" t="s">
        <v>33</v>
      </c>
      <c r="D2312" t="s">
        <v>18</v>
      </c>
      <c r="E2312" t="s">
        <v>658</v>
      </c>
      <c r="F2312" t="s">
        <v>160</v>
      </c>
      <c r="G2312" t="s">
        <v>369</v>
      </c>
      <c r="H2312" t="s">
        <v>820</v>
      </c>
      <c r="I2312" t="s">
        <v>821</v>
      </c>
      <c r="J2312" t="s">
        <v>822</v>
      </c>
      <c r="K2312" t="s">
        <v>701</v>
      </c>
      <c r="L2312" t="s">
        <v>993</v>
      </c>
      <c r="M2312" t="s">
        <v>11</v>
      </c>
      <c r="N2312" t="s">
        <v>11</v>
      </c>
      <c r="O2312" t="s">
        <v>11</v>
      </c>
      <c r="P2312" t="s">
        <v>0</v>
      </c>
      <c r="Q2312" t="s">
        <v>408</v>
      </c>
      <c r="R2312" t="s">
        <v>439</v>
      </c>
      <c r="S2312" t="s">
        <v>451</v>
      </c>
      <c r="T2312" t="s">
        <v>408</v>
      </c>
      <c r="U2312" t="s">
        <v>408</v>
      </c>
    </row>
    <row r="2313" spans="1:21" x14ac:dyDescent="0.25">
      <c r="A2313">
        <v>22350156</v>
      </c>
      <c r="B2313" t="s">
        <v>340</v>
      </c>
      <c r="C2313" t="s">
        <v>15</v>
      </c>
      <c r="D2313" t="s">
        <v>12</v>
      </c>
      <c r="E2313" t="s">
        <v>530</v>
      </c>
      <c r="F2313" t="s">
        <v>161</v>
      </c>
      <c r="G2313" t="s">
        <v>468</v>
      </c>
      <c r="H2313" t="s">
        <v>0</v>
      </c>
      <c r="I2313" t="s">
        <v>436</v>
      </c>
      <c r="J2313" t="s">
        <v>437</v>
      </c>
      <c r="K2313" t="s">
        <v>438</v>
      </c>
      <c r="L2313" t="s">
        <v>345</v>
      </c>
      <c r="M2313" t="s">
        <v>408</v>
      </c>
      <c r="N2313" t="s">
        <v>11</v>
      </c>
      <c r="O2313" t="s">
        <v>11</v>
      </c>
      <c r="P2313" t="s">
        <v>0</v>
      </c>
      <c r="Q2313" t="s">
        <v>408</v>
      </c>
      <c r="R2313" t="s">
        <v>439</v>
      </c>
      <c r="S2313" t="s">
        <v>440</v>
      </c>
      <c r="T2313" t="s">
        <v>11</v>
      </c>
      <c r="U2313" t="s">
        <v>408</v>
      </c>
    </row>
    <row r="2314" spans="1:21" x14ac:dyDescent="0.25">
      <c r="A2314">
        <v>22350157</v>
      </c>
      <c r="B2314" t="s">
        <v>342</v>
      </c>
      <c r="C2314" t="s">
        <v>89</v>
      </c>
      <c r="D2314" t="s">
        <v>12</v>
      </c>
      <c r="E2314" t="s">
        <v>658</v>
      </c>
      <c r="F2314" t="s">
        <v>155</v>
      </c>
      <c r="G2314" t="s">
        <v>468</v>
      </c>
      <c r="H2314" t="s">
        <v>765</v>
      </c>
      <c r="I2314" t="s">
        <v>766</v>
      </c>
      <c r="J2314" t="s">
        <v>767</v>
      </c>
      <c r="K2314" t="s">
        <v>444</v>
      </c>
      <c r="L2314" t="s">
        <v>1014</v>
      </c>
      <c r="M2314" t="s">
        <v>11</v>
      </c>
      <c r="N2314" t="s">
        <v>11</v>
      </c>
      <c r="O2314" t="s">
        <v>11</v>
      </c>
      <c r="P2314" t="s">
        <v>0</v>
      </c>
      <c r="Q2314" t="s">
        <v>408</v>
      </c>
      <c r="R2314" t="s">
        <v>439</v>
      </c>
      <c r="S2314" t="s">
        <v>451</v>
      </c>
      <c r="T2314" t="s">
        <v>408</v>
      </c>
      <c r="U2314" t="s">
        <v>408</v>
      </c>
    </row>
    <row r="2315" spans="1:21" x14ac:dyDescent="0.25">
      <c r="A2315">
        <v>22350158</v>
      </c>
      <c r="B2315" t="s">
        <v>342</v>
      </c>
      <c r="C2315" t="s">
        <v>33</v>
      </c>
      <c r="D2315" t="s">
        <v>12</v>
      </c>
      <c r="E2315" t="s">
        <v>530</v>
      </c>
      <c r="F2315" t="s">
        <v>154</v>
      </c>
      <c r="G2315" t="s">
        <v>369</v>
      </c>
      <c r="H2315" t="s">
        <v>1025</v>
      </c>
      <c r="I2315" t="s">
        <v>1024</v>
      </c>
      <c r="J2315" t="s">
        <v>1023</v>
      </c>
      <c r="K2315" t="s">
        <v>910</v>
      </c>
      <c r="L2315" t="s">
        <v>0</v>
      </c>
      <c r="M2315" t="s">
        <v>408</v>
      </c>
      <c r="N2315" t="s">
        <v>11</v>
      </c>
      <c r="O2315" t="s">
        <v>11</v>
      </c>
      <c r="P2315" t="s">
        <v>0</v>
      </c>
      <c r="Q2315" t="s">
        <v>408</v>
      </c>
      <c r="R2315" t="s">
        <v>439</v>
      </c>
      <c r="S2315" t="s">
        <v>451</v>
      </c>
      <c r="T2315" t="s">
        <v>11</v>
      </c>
      <c r="U2315" t="s">
        <v>408</v>
      </c>
    </row>
    <row r="2316" spans="1:21" x14ac:dyDescent="0.25">
      <c r="A2316">
        <v>22350160</v>
      </c>
      <c r="B2316" t="s">
        <v>342</v>
      </c>
      <c r="C2316" t="s">
        <v>33</v>
      </c>
      <c r="D2316" t="s">
        <v>12</v>
      </c>
      <c r="E2316" t="s">
        <v>530</v>
      </c>
      <c r="F2316" t="s">
        <v>161</v>
      </c>
      <c r="G2316" t="s">
        <v>369</v>
      </c>
      <c r="H2316" t="s">
        <v>1025</v>
      </c>
      <c r="I2316" t="s">
        <v>1024</v>
      </c>
      <c r="J2316" t="s">
        <v>1023</v>
      </c>
      <c r="K2316" t="s">
        <v>910</v>
      </c>
      <c r="L2316" t="s">
        <v>0</v>
      </c>
      <c r="M2316" t="s">
        <v>408</v>
      </c>
      <c r="N2316" t="s">
        <v>11</v>
      </c>
      <c r="O2316" t="s">
        <v>11</v>
      </c>
      <c r="P2316" t="s">
        <v>0</v>
      </c>
      <c r="Q2316" t="s">
        <v>408</v>
      </c>
      <c r="R2316" t="s">
        <v>439</v>
      </c>
      <c r="S2316" t="s">
        <v>451</v>
      </c>
      <c r="T2316" t="s">
        <v>11</v>
      </c>
      <c r="U2316" t="s">
        <v>408</v>
      </c>
    </row>
    <row r="2317" spans="1:21" x14ac:dyDescent="0.25">
      <c r="A2317">
        <v>22350163</v>
      </c>
      <c r="B2317" t="s">
        <v>340</v>
      </c>
      <c r="C2317" t="s">
        <v>86</v>
      </c>
      <c r="D2317" t="s">
        <v>12</v>
      </c>
      <c r="E2317" t="s">
        <v>530</v>
      </c>
      <c r="F2317" t="s">
        <v>154</v>
      </c>
      <c r="G2317" t="s">
        <v>468</v>
      </c>
      <c r="H2317" t="s">
        <v>447</v>
      </c>
      <c r="I2317" t="s">
        <v>448</v>
      </c>
      <c r="J2317" t="s">
        <v>449</v>
      </c>
      <c r="K2317" t="s">
        <v>450</v>
      </c>
      <c r="L2317" t="s">
        <v>375</v>
      </c>
      <c r="M2317" t="s">
        <v>408</v>
      </c>
      <c r="N2317" t="s">
        <v>11</v>
      </c>
      <c r="O2317" t="s">
        <v>11</v>
      </c>
      <c r="P2317" t="s">
        <v>0</v>
      </c>
      <c r="Q2317" t="s">
        <v>408</v>
      </c>
      <c r="R2317" t="s">
        <v>439</v>
      </c>
      <c r="S2317" t="s">
        <v>451</v>
      </c>
      <c r="T2317" t="s">
        <v>11</v>
      </c>
      <c r="U2317" t="s">
        <v>408</v>
      </c>
    </row>
    <row r="2318" spans="1:21" x14ac:dyDescent="0.25">
      <c r="A2318">
        <v>22350165</v>
      </c>
      <c r="B2318" t="s">
        <v>342</v>
      </c>
      <c r="C2318" t="s">
        <v>33</v>
      </c>
      <c r="D2318" t="s">
        <v>12</v>
      </c>
      <c r="E2318" t="s">
        <v>658</v>
      </c>
      <c r="F2318" t="s">
        <v>155</v>
      </c>
      <c r="G2318" t="s">
        <v>369</v>
      </c>
      <c r="H2318" t="s">
        <v>820</v>
      </c>
      <c r="I2318" t="s">
        <v>821</v>
      </c>
      <c r="J2318" t="s">
        <v>822</v>
      </c>
      <c r="K2318" t="s">
        <v>701</v>
      </c>
      <c r="L2318" t="s">
        <v>1022</v>
      </c>
      <c r="M2318" t="s">
        <v>11</v>
      </c>
      <c r="N2318" t="s">
        <v>11</v>
      </c>
      <c r="O2318" t="s">
        <v>11</v>
      </c>
      <c r="P2318" t="s">
        <v>0</v>
      </c>
      <c r="Q2318" t="s">
        <v>408</v>
      </c>
      <c r="R2318" t="s">
        <v>439</v>
      </c>
      <c r="S2318" t="s">
        <v>451</v>
      </c>
      <c r="T2318" t="s">
        <v>408</v>
      </c>
      <c r="U2318" t="s">
        <v>408</v>
      </c>
    </row>
    <row r="2319" spans="1:21" x14ac:dyDescent="0.25">
      <c r="A2319">
        <v>22350166</v>
      </c>
      <c r="B2319" t="s">
        <v>340</v>
      </c>
      <c r="C2319" t="s">
        <v>86</v>
      </c>
      <c r="D2319" t="s">
        <v>12</v>
      </c>
      <c r="E2319" t="s">
        <v>530</v>
      </c>
      <c r="F2319" t="s">
        <v>154</v>
      </c>
      <c r="G2319" t="s">
        <v>468</v>
      </c>
      <c r="H2319" t="s">
        <v>3</v>
      </c>
      <c r="I2319" t="s">
        <v>436</v>
      </c>
      <c r="J2319" t="s">
        <v>441</v>
      </c>
      <c r="K2319" t="s">
        <v>442</v>
      </c>
      <c r="L2319" t="s">
        <v>0</v>
      </c>
      <c r="M2319" t="s">
        <v>408</v>
      </c>
      <c r="N2319" t="s">
        <v>11</v>
      </c>
      <c r="O2319" t="s">
        <v>11</v>
      </c>
      <c r="P2319" t="s">
        <v>0</v>
      </c>
      <c r="Q2319" t="s">
        <v>408</v>
      </c>
      <c r="R2319" t="s">
        <v>439</v>
      </c>
      <c r="S2319" t="s">
        <v>440</v>
      </c>
      <c r="T2319" t="s">
        <v>11</v>
      </c>
      <c r="U2319" t="s">
        <v>408</v>
      </c>
    </row>
    <row r="2320" spans="1:21" x14ac:dyDescent="0.25">
      <c r="A2320">
        <v>22350167</v>
      </c>
      <c r="B2320" t="s">
        <v>342</v>
      </c>
      <c r="C2320" t="s">
        <v>89</v>
      </c>
      <c r="D2320" t="s">
        <v>12</v>
      </c>
      <c r="E2320" t="s">
        <v>658</v>
      </c>
      <c r="F2320" t="s">
        <v>160</v>
      </c>
      <c r="G2320" t="s">
        <v>468</v>
      </c>
      <c r="H2320" t="s">
        <v>765</v>
      </c>
      <c r="I2320" t="s">
        <v>766</v>
      </c>
      <c r="J2320" t="s">
        <v>767</v>
      </c>
      <c r="K2320" t="s">
        <v>444</v>
      </c>
      <c r="L2320" t="s">
        <v>1014</v>
      </c>
      <c r="M2320" t="s">
        <v>11</v>
      </c>
      <c r="N2320" t="s">
        <v>11</v>
      </c>
      <c r="O2320" t="s">
        <v>11</v>
      </c>
      <c r="P2320" t="s">
        <v>0</v>
      </c>
      <c r="Q2320" t="s">
        <v>408</v>
      </c>
      <c r="R2320" t="s">
        <v>439</v>
      </c>
      <c r="S2320" t="s">
        <v>451</v>
      </c>
      <c r="T2320" t="s">
        <v>408</v>
      </c>
      <c r="U2320" t="s">
        <v>408</v>
      </c>
    </row>
    <row r="2321" spans="1:21" x14ac:dyDescent="0.25">
      <c r="A2321">
        <v>22350168</v>
      </c>
      <c r="B2321" t="s">
        <v>340</v>
      </c>
      <c r="C2321" t="s">
        <v>86</v>
      </c>
      <c r="D2321" t="s">
        <v>12</v>
      </c>
      <c r="E2321" t="s">
        <v>658</v>
      </c>
      <c r="F2321" t="s">
        <v>1048</v>
      </c>
      <c r="G2321" t="s">
        <v>468</v>
      </c>
      <c r="H2321" t="s">
        <v>447</v>
      </c>
      <c r="I2321" t="s">
        <v>448</v>
      </c>
      <c r="J2321" t="s">
        <v>449</v>
      </c>
      <c r="K2321" t="s">
        <v>450</v>
      </c>
      <c r="L2321" t="s">
        <v>375</v>
      </c>
      <c r="M2321" t="s">
        <v>408</v>
      </c>
      <c r="N2321" t="s">
        <v>11</v>
      </c>
      <c r="O2321" t="s">
        <v>11</v>
      </c>
      <c r="P2321" t="s">
        <v>0</v>
      </c>
      <c r="Q2321" t="s">
        <v>408</v>
      </c>
      <c r="R2321" t="s">
        <v>439</v>
      </c>
      <c r="S2321" t="s">
        <v>451</v>
      </c>
      <c r="T2321" t="s">
        <v>11</v>
      </c>
      <c r="U2321" t="s">
        <v>408</v>
      </c>
    </row>
    <row r="2322" spans="1:21" x14ac:dyDescent="0.25">
      <c r="A2322">
        <v>22350171</v>
      </c>
      <c r="B2322" t="s">
        <v>340</v>
      </c>
      <c r="C2322" t="s">
        <v>26</v>
      </c>
      <c r="D2322" t="s">
        <v>12</v>
      </c>
      <c r="E2322" t="s">
        <v>530</v>
      </c>
      <c r="F2322" t="s">
        <v>161</v>
      </c>
      <c r="G2322" t="s">
        <v>369</v>
      </c>
      <c r="H2322" t="s">
        <v>786</v>
      </c>
      <c r="I2322" t="s">
        <v>787</v>
      </c>
      <c r="J2322" t="s">
        <v>788</v>
      </c>
      <c r="K2322" t="s">
        <v>789</v>
      </c>
      <c r="L2322" t="s">
        <v>979</v>
      </c>
      <c r="M2322" t="s">
        <v>408</v>
      </c>
      <c r="N2322" t="s">
        <v>11</v>
      </c>
      <c r="O2322" t="s">
        <v>408</v>
      </c>
      <c r="P2322" t="s">
        <v>0</v>
      </c>
      <c r="Q2322" t="s">
        <v>408</v>
      </c>
      <c r="R2322" t="s">
        <v>439</v>
      </c>
      <c r="S2322" t="s">
        <v>440</v>
      </c>
      <c r="T2322" t="s">
        <v>11</v>
      </c>
      <c r="U2322" t="s">
        <v>408</v>
      </c>
    </row>
    <row r="2323" spans="1:21" x14ac:dyDescent="0.25">
      <c r="A2323">
        <v>22350172</v>
      </c>
      <c r="B2323" t="s">
        <v>340</v>
      </c>
      <c r="C2323" t="s">
        <v>86</v>
      </c>
      <c r="D2323" t="s">
        <v>12</v>
      </c>
      <c r="E2323" t="s">
        <v>530</v>
      </c>
      <c r="F2323" t="s">
        <v>161</v>
      </c>
      <c r="G2323" t="s">
        <v>468</v>
      </c>
      <c r="H2323" t="s">
        <v>617</v>
      </c>
      <c r="I2323" t="s">
        <v>618</v>
      </c>
      <c r="J2323" t="s">
        <v>619</v>
      </c>
      <c r="K2323" t="s">
        <v>606</v>
      </c>
      <c r="L2323" t="s">
        <v>375</v>
      </c>
      <c r="M2323" t="s">
        <v>408</v>
      </c>
      <c r="N2323" t="s">
        <v>11</v>
      </c>
      <c r="O2323" t="s">
        <v>11</v>
      </c>
      <c r="P2323" t="s">
        <v>0</v>
      </c>
      <c r="Q2323" t="s">
        <v>408</v>
      </c>
      <c r="R2323" t="s">
        <v>439</v>
      </c>
      <c r="S2323" t="s">
        <v>451</v>
      </c>
      <c r="T2323" t="s">
        <v>11</v>
      </c>
      <c r="U2323" t="s">
        <v>408</v>
      </c>
    </row>
    <row r="2324" spans="1:21" x14ac:dyDescent="0.25">
      <c r="A2324">
        <v>22350173</v>
      </c>
      <c r="B2324" t="s">
        <v>342</v>
      </c>
      <c r="C2324" t="s">
        <v>33</v>
      </c>
      <c r="D2324" t="s">
        <v>18</v>
      </c>
      <c r="E2324" t="s">
        <v>530</v>
      </c>
      <c r="F2324" t="s">
        <v>1047</v>
      </c>
      <c r="G2324" t="s">
        <v>369</v>
      </c>
      <c r="H2324" t="s">
        <v>820</v>
      </c>
      <c r="I2324" t="s">
        <v>821</v>
      </c>
      <c r="J2324" t="s">
        <v>822</v>
      </c>
      <c r="K2324" t="s">
        <v>701</v>
      </c>
      <c r="L2324" t="s">
        <v>993</v>
      </c>
      <c r="M2324" t="s">
        <v>11</v>
      </c>
      <c r="N2324" t="s">
        <v>11</v>
      </c>
      <c r="O2324" t="s">
        <v>11</v>
      </c>
      <c r="P2324" t="s">
        <v>0</v>
      </c>
      <c r="Q2324" t="s">
        <v>408</v>
      </c>
      <c r="R2324" t="s">
        <v>439</v>
      </c>
      <c r="S2324" t="s">
        <v>451</v>
      </c>
      <c r="T2324" t="s">
        <v>408</v>
      </c>
      <c r="U2324" t="s">
        <v>408</v>
      </c>
    </row>
    <row r="2325" spans="1:21" x14ac:dyDescent="0.25">
      <c r="A2325">
        <v>22350174</v>
      </c>
      <c r="B2325" t="s">
        <v>342</v>
      </c>
      <c r="C2325" t="s">
        <v>89</v>
      </c>
      <c r="D2325" t="s">
        <v>12</v>
      </c>
      <c r="E2325" t="s">
        <v>530</v>
      </c>
      <c r="F2325" t="s">
        <v>154</v>
      </c>
      <c r="G2325" t="s">
        <v>468</v>
      </c>
      <c r="H2325" t="s">
        <v>447</v>
      </c>
      <c r="I2325" t="s">
        <v>448</v>
      </c>
      <c r="J2325" t="s">
        <v>449</v>
      </c>
      <c r="K2325" t="s">
        <v>450</v>
      </c>
      <c r="L2325" t="s">
        <v>370</v>
      </c>
      <c r="M2325" t="s">
        <v>408</v>
      </c>
      <c r="N2325" t="s">
        <v>11</v>
      </c>
      <c r="O2325" t="s">
        <v>408</v>
      </c>
      <c r="P2325" t="s">
        <v>0</v>
      </c>
      <c r="Q2325" t="s">
        <v>408</v>
      </c>
      <c r="R2325" t="s">
        <v>439</v>
      </c>
      <c r="S2325" t="s">
        <v>451</v>
      </c>
      <c r="T2325" t="s">
        <v>11</v>
      </c>
      <c r="U2325" t="s">
        <v>408</v>
      </c>
    </row>
    <row r="2326" spans="1:21" x14ac:dyDescent="0.25">
      <c r="A2326">
        <v>22350175</v>
      </c>
      <c r="B2326" t="s">
        <v>340</v>
      </c>
      <c r="C2326" t="s">
        <v>86</v>
      </c>
      <c r="D2326" t="s">
        <v>12</v>
      </c>
      <c r="E2326" t="s">
        <v>530</v>
      </c>
      <c r="F2326" t="s">
        <v>154</v>
      </c>
      <c r="G2326" t="s">
        <v>468</v>
      </c>
      <c r="H2326" t="s">
        <v>838</v>
      </c>
      <c r="I2326" t="s">
        <v>839</v>
      </c>
      <c r="J2326" t="s">
        <v>839</v>
      </c>
      <c r="K2326" t="s">
        <v>450</v>
      </c>
      <c r="L2326" t="s">
        <v>978</v>
      </c>
      <c r="M2326" t="s">
        <v>11</v>
      </c>
      <c r="N2326" t="s">
        <v>11</v>
      </c>
      <c r="O2326" t="s">
        <v>408</v>
      </c>
      <c r="P2326" t="s">
        <v>0</v>
      </c>
      <c r="Q2326" t="s">
        <v>408</v>
      </c>
      <c r="R2326" t="s">
        <v>439</v>
      </c>
      <c r="S2326" t="s">
        <v>451</v>
      </c>
      <c r="T2326" t="s">
        <v>408</v>
      </c>
      <c r="U2326" t="s">
        <v>408</v>
      </c>
    </row>
    <row r="2327" spans="1:21" x14ac:dyDescent="0.25">
      <c r="A2327">
        <v>22350176</v>
      </c>
      <c r="B2327" t="s">
        <v>342</v>
      </c>
      <c r="C2327" t="s">
        <v>89</v>
      </c>
      <c r="D2327" t="s">
        <v>12</v>
      </c>
      <c r="E2327" t="s">
        <v>658</v>
      </c>
      <c r="F2327" t="s">
        <v>88</v>
      </c>
      <c r="G2327" t="s">
        <v>468</v>
      </c>
      <c r="H2327" t="s">
        <v>715</v>
      </c>
      <c r="I2327" t="s">
        <v>716</v>
      </c>
      <c r="J2327" t="s">
        <v>717</v>
      </c>
      <c r="K2327" t="s">
        <v>438</v>
      </c>
      <c r="L2327" t="s">
        <v>1046</v>
      </c>
      <c r="M2327" t="s">
        <v>11</v>
      </c>
      <c r="N2327" t="s">
        <v>11</v>
      </c>
      <c r="O2327" t="s">
        <v>11</v>
      </c>
      <c r="P2327" t="s">
        <v>0</v>
      </c>
      <c r="Q2327" t="s">
        <v>408</v>
      </c>
      <c r="R2327" t="s">
        <v>439</v>
      </c>
      <c r="S2327" t="s">
        <v>440</v>
      </c>
      <c r="T2327" t="s">
        <v>408</v>
      </c>
      <c r="U2327" t="s">
        <v>408</v>
      </c>
    </row>
    <row r="2328" spans="1:21" x14ac:dyDescent="0.25">
      <c r="A2328">
        <v>22350177</v>
      </c>
      <c r="B2328" t="s">
        <v>342</v>
      </c>
      <c r="C2328" t="s">
        <v>89</v>
      </c>
      <c r="D2328" t="s">
        <v>12</v>
      </c>
      <c r="E2328" t="s">
        <v>658</v>
      </c>
      <c r="F2328" t="s">
        <v>88</v>
      </c>
      <c r="G2328" t="s">
        <v>468</v>
      </c>
      <c r="H2328" t="s">
        <v>765</v>
      </c>
      <c r="I2328" t="s">
        <v>766</v>
      </c>
      <c r="J2328" t="s">
        <v>767</v>
      </c>
      <c r="K2328" t="s">
        <v>444</v>
      </c>
      <c r="L2328" t="s">
        <v>993</v>
      </c>
      <c r="M2328" t="s">
        <v>11</v>
      </c>
      <c r="N2328" t="s">
        <v>11</v>
      </c>
      <c r="O2328" t="s">
        <v>11</v>
      </c>
      <c r="P2328" t="s">
        <v>0</v>
      </c>
      <c r="Q2328" t="s">
        <v>408</v>
      </c>
      <c r="R2328" t="s">
        <v>439</v>
      </c>
      <c r="S2328" t="s">
        <v>451</v>
      </c>
      <c r="T2328" t="s">
        <v>408</v>
      </c>
      <c r="U2328" t="s">
        <v>408</v>
      </c>
    </row>
    <row r="2329" spans="1:21" x14ac:dyDescent="0.25">
      <c r="A2329">
        <v>22350180</v>
      </c>
      <c r="B2329" t="s">
        <v>342</v>
      </c>
      <c r="C2329" t="s">
        <v>89</v>
      </c>
      <c r="D2329" t="s">
        <v>12</v>
      </c>
      <c r="E2329" t="s">
        <v>530</v>
      </c>
      <c r="F2329" t="s">
        <v>154</v>
      </c>
      <c r="G2329" t="s">
        <v>468</v>
      </c>
      <c r="H2329" t="s">
        <v>782</v>
      </c>
      <c r="I2329" t="s">
        <v>783</v>
      </c>
      <c r="J2329" t="s">
        <v>784</v>
      </c>
      <c r="K2329" t="s">
        <v>438</v>
      </c>
      <c r="L2329" t="s">
        <v>993</v>
      </c>
      <c r="M2329" t="s">
        <v>11</v>
      </c>
      <c r="N2329" t="s">
        <v>11</v>
      </c>
      <c r="O2329" t="s">
        <v>11</v>
      </c>
      <c r="P2329" t="s">
        <v>0</v>
      </c>
      <c r="Q2329" t="s">
        <v>408</v>
      </c>
      <c r="R2329" t="s">
        <v>439</v>
      </c>
      <c r="S2329" t="s">
        <v>451</v>
      </c>
      <c r="T2329" t="s">
        <v>408</v>
      </c>
      <c r="U2329" t="s">
        <v>408</v>
      </c>
    </row>
    <row r="2330" spans="1:21" x14ac:dyDescent="0.25">
      <c r="A2330">
        <v>20910627</v>
      </c>
      <c r="B2330" t="s">
        <v>340</v>
      </c>
      <c r="C2330" t="s">
        <v>26</v>
      </c>
      <c r="D2330" t="s">
        <v>12</v>
      </c>
      <c r="E2330" t="s">
        <v>511</v>
      </c>
      <c r="F2330" t="s">
        <v>1045</v>
      </c>
      <c r="G2330" t="s">
        <v>468</v>
      </c>
      <c r="H2330" t="s">
        <v>447</v>
      </c>
      <c r="I2330" t="s">
        <v>448</v>
      </c>
      <c r="J2330" t="s">
        <v>449</v>
      </c>
      <c r="K2330" t="s">
        <v>450</v>
      </c>
      <c r="L2330" t="s">
        <v>367</v>
      </c>
      <c r="M2330" t="s">
        <v>408</v>
      </c>
      <c r="N2330" t="s">
        <v>11</v>
      </c>
      <c r="O2330" t="s">
        <v>11</v>
      </c>
      <c r="P2330" t="s">
        <v>0</v>
      </c>
      <c r="Q2330" t="s">
        <v>408</v>
      </c>
      <c r="R2330" t="s">
        <v>439</v>
      </c>
      <c r="S2330" t="s">
        <v>451</v>
      </c>
      <c r="T2330" t="s">
        <v>11</v>
      </c>
      <c r="U2330" t="s">
        <v>408</v>
      </c>
    </row>
    <row r="2331" spans="1:21" x14ac:dyDescent="0.25">
      <c r="A2331">
        <v>20910628</v>
      </c>
      <c r="B2331" t="s">
        <v>342</v>
      </c>
      <c r="C2331" t="s">
        <v>89</v>
      </c>
      <c r="D2331" t="s">
        <v>12</v>
      </c>
      <c r="E2331" t="s">
        <v>751</v>
      </c>
      <c r="F2331" t="s">
        <v>97</v>
      </c>
      <c r="G2331" t="s">
        <v>468</v>
      </c>
      <c r="H2331" t="s">
        <v>447</v>
      </c>
      <c r="I2331" t="s">
        <v>448</v>
      </c>
      <c r="J2331" t="s">
        <v>449</v>
      </c>
      <c r="K2331" t="s">
        <v>450</v>
      </c>
      <c r="L2331" t="s">
        <v>367</v>
      </c>
      <c r="M2331" t="s">
        <v>408</v>
      </c>
      <c r="N2331" t="s">
        <v>408</v>
      </c>
      <c r="O2331" t="s">
        <v>11</v>
      </c>
      <c r="P2331" t="s">
        <v>0</v>
      </c>
      <c r="Q2331" t="s">
        <v>408</v>
      </c>
      <c r="R2331" t="s">
        <v>439</v>
      </c>
      <c r="S2331" t="s">
        <v>451</v>
      </c>
      <c r="T2331" t="s">
        <v>408</v>
      </c>
      <c r="U2331" t="s">
        <v>408</v>
      </c>
    </row>
    <row r="2332" spans="1:21" x14ac:dyDescent="0.25">
      <c r="A2332">
        <v>20910629</v>
      </c>
      <c r="B2332" t="s">
        <v>342</v>
      </c>
      <c r="C2332" t="s">
        <v>33</v>
      </c>
      <c r="D2332" t="s">
        <v>24</v>
      </c>
      <c r="E2332" t="s">
        <v>751</v>
      </c>
      <c r="F2332" t="s">
        <v>97</v>
      </c>
      <c r="G2332" t="s">
        <v>369</v>
      </c>
      <c r="H2332" t="s">
        <v>968</v>
      </c>
      <c r="I2332" t="s">
        <v>1044</v>
      </c>
      <c r="J2332" t="s">
        <v>1043</v>
      </c>
      <c r="K2332" t="s">
        <v>701</v>
      </c>
      <c r="L2332" t="s">
        <v>968</v>
      </c>
      <c r="M2332" t="s">
        <v>408</v>
      </c>
      <c r="N2332" t="s">
        <v>408</v>
      </c>
      <c r="O2332" t="s">
        <v>11</v>
      </c>
      <c r="P2332" t="s">
        <v>0</v>
      </c>
      <c r="Q2332" t="s">
        <v>408</v>
      </c>
      <c r="R2332" t="s">
        <v>439</v>
      </c>
      <c r="S2332" t="s">
        <v>451</v>
      </c>
      <c r="T2332" t="s">
        <v>408</v>
      </c>
      <c r="U2332" t="s">
        <v>408</v>
      </c>
    </row>
    <row r="2333" spans="1:21" x14ac:dyDescent="0.25">
      <c r="A2333">
        <v>22350011</v>
      </c>
      <c r="B2333" t="s">
        <v>340</v>
      </c>
      <c r="C2333" t="s">
        <v>86</v>
      </c>
      <c r="D2333" t="s">
        <v>12</v>
      </c>
      <c r="E2333" t="s">
        <v>658</v>
      </c>
      <c r="F2333" t="s">
        <v>160</v>
      </c>
      <c r="G2333" t="s">
        <v>468</v>
      </c>
      <c r="H2333" t="s">
        <v>617</v>
      </c>
      <c r="I2333" t="s">
        <v>618</v>
      </c>
      <c r="J2333" t="s">
        <v>619</v>
      </c>
      <c r="K2333" t="s">
        <v>606</v>
      </c>
      <c r="L2333" t="s">
        <v>861</v>
      </c>
      <c r="M2333" t="s">
        <v>408</v>
      </c>
      <c r="N2333" t="s">
        <v>11</v>
      </c>
      <c r="O2333" t="s">
        <v>11</v>
      </c>
      <c r="P2333" t="s">
        <v>0</v>
      </c>
      <c r="Q2333" t="s">
        <v>408</v>
      </c>
      <c r="R2333" t="s">
        <v>439</v>
      </c>
      <c r="S2333" t="s">
        <v>451</v>
      </c>
      <c r="T2333" t="s">
        <v>11</v>
      </c>
      <c r="U2333" t="s">
        <v>408</v>
      </c>
    </row>
    <row r="2334" spans="1:21" x14ac:dyDescent="0.25">
      <c r="A2334">
        <v>22350012</v>
      </c>
      <c r="B2334" t="s">
        <v>340</v>
      </c>
      <c r="C2334" t="s">
        <v>86</v>
      </c>
      <c r="D2334" t="s">
        <v>12</v>
      </c>
      <c r="E2334" t="s">
        <v>658</v>
      </c>
      <c r="F2334" t="s">
        <v>155</v>
      </c>
      <c r="G2334" t="s">
        <v>468</v>
      </c>
      <c r="H2334" t="s">
        <v>447</v>
      </c>
      <c r="I2334" t="s">
        <v>448</v>
      </c>
      <c r="J2334" t="s">
        <v>449</v>
      </c>
      <c r="K2334" t="s">
        <v>450</v>
      </c>
      <c r="L2334" t="s">
        <v>375</v>
      </c>
      <c r="M2334" t="s">
        <v>408</v>
      </c>
      <c r="N2334" t="s">
        <v>11</v>
      </c>
      <c r="O2334" t="s">
        <v>11</v>
      </c>
      <c r="P2334" t="s">
        <v>0</v>
      </c>
      <c r="Q2334" t="s">
        <v>408</v>
      </c>
      <c r="R2334" t="s">
        <v>439</v>
      </c>
      <c r="S2334" t="s">
        <v>451</v>
      </c>
      <c r="T2334" t="s">
        <v>11</v>
      </c>
      <c r="U2334" t="s">
        <v>408</v>
      </c>
    </row>
    <row r="2335" spans="1:21" x14ac:dyDescent="0.25">
      <c r="A2335">
        <v>22350022</v>
      </c>
      <c r="B2335" t="s">
        <v>340</v>
      </c>
      <c r="C2335" t="s">
        <v>86</v>
      </c>
      <c r="D2335" t="s">
        <v>18</v>
      </c>
      <c r="E2335" t="s">
        <v>658</v>
      </c>
      <c r="F2335" t="s">
        <v>155</v>
      </c>
      <c r="G2335" t="s">
        <v>468</v>
      </c>
      <c r="H2335" t="s">
        <v>447</v>
      </c>
      <c r="I2335" t="s">
        <v>448</v>
      </c>
      <c r="J2335" t="s">
        <v>449</v>
      </c>
      <c r="K2335" t="s">
        <v>450</v>
      </c>
      <c r="L2335" t="s">
        <v>861</v>
      </c>
      <c r="M2335" t="s">
        <v>408</v>
      </c>
      <c r="N2335" t="s">
        <v>11</v>
      </c>
      <c r="O2335" t="s">
        <v>11</v>
      </c>
      <c r="P2335" t="s">
        <v>0</v>
      </c>
      <c r="Q2335" t="s">
        <v>408</v>
      </c>
      <c r="R2335" t="s">
        <v>439</v>
      </c>
      <c r="S2335" t="s">
        <v>451</v>
      </c>
      <c r="T2335" t="s">
        <v>11</v>
      </c>
      <c r="U2335" t="s">
        <v>408</v>
      </c>
    </row>
    <row r="2336" spans="1:21" x14ac:dyDescent="0.25">
      <c r="A2336">
        <v>22350023</v>
      </c>
      <c r="B2336" t="s">
        <v>340</v>
      </c>
      <c r="C2336" t="s">
        <v>86</v>
      </c>
      <c r="D2336" t="s">
        <v>18</v>
      </c>
      <c r="E2336" t="s">
        <v>658</v>
      </c>
      <c r="F2336" t="s">
        <v>155</v>
      </c>
      <c r="G2336" t="s">
        <v>468</v>
      </c>
      <c r="H2336" t="s">
        <v>617</v>
      </c>
      <c r="I2336" t="s">
        <v>618</v>
      </c>
      <c r="J2336" t="s">
        <v>619</v>
      </c>
      <c r="K2336" t="s">
        <v>606</v>
      </c>
      <c r="L2336" t="s">
        <v>375</v>
      </c>
      <c r="M2336" t="s">
        <v>408</v>
      </c>
      <c r="N2336" t="s">
        <v>11</v>
      </c>
      <c r="O2336" t="s">
        <v>11</v>
      </c>
      <c r="P2336" t="s">
        <v>0</v>
      </c>
      <c r="Q2336" t="s">
        <v>408</v>
      </c>
      <c r="R2336" t="s">
        <v>439</v>
      </c>
      <c r="S2336" t="s">
        <v>451</v>
      </c>
      <c r="T2336" t="s">
        <v>11</v>
      </c>
      <c r="U2336" t="s">
        <v>408</v>
      </c>
    </row>
    <row r="2337" spans="1:21" x14ac:dyDescent="0.25">
      <c r="A2337">
        <v>22350027</v>
      </c>
      <c r="B2337" t="s">
        <v>340</v>
      </c>
      <c r="C2337" t="s">
        <v>26</v>
      </c>
      <c r="D2337" t="s">
        <v>18</v>
      </c>
      <c r="E2337" t="s">
        <v>658</v>
      </c>
      <c r="F2337" t="s">
        <v>155</v>
      </c>
      <c r="G2337" t="s">
        <v>369</v>
      </c>
      <c r="H2337" t="s">
        <v>447</v>
      </c>
      <c r="I2337" t="s">
        <v>448</v>
      </c>
      <c r="J2337" t="s">
        <v>449</v>
      </c>
      <c r="K2337" t="s">
        <v>450</v>
      </c>
      <c r="L2337" t="s">
        <v>3</v>
      </c>
      <c r="M2337" t="s">
        <v>408</v>
      </c>
      <c r="N2337" t="s">
        <v>11</v>
      </c>
      <c r="O2337" t="s">
        <v>11</v>
      </c>
      <c r="P2337" t="s">
        <v>0</v>
      </c>
      <c r="Q2337" t="s">
        <v>408</v>
      </c>
      <c r="R2337" t="s">
        <v>439</v>
      </c>
      <c r="S2337" t="s">
        <v>451</v>
      </c>
      <c r="T2337" t="s">
        <v>11</v>
      </c>
      <c r="U2337" t="s">
        <v>408</v>
      </c>
    </row>
    <row r="2338" spans="1:21" x14ac:dyDescent="0.25">
      <c r="A2338">
        <v>22350037</v>
      </c>
      <c r="B2338" t="s">
        <v>340</v>
      </c>
      <c r="C2338" t="s">
        <v>86</v>
      </c>
      <c r="D2338" t="s">
        <v>12</v>
      </c>
      <c r="E2338" t="s">
        <v>658</v>
      </c>
      <c r="F2338" t="s">
        <v>155</v>
      </c>
      <c r="G2338" t="s">
        <v>468</v>
      </c>
      <c r="H2338" t="s">
        <v>617</v>
      </c>
      <c r="I2338" t="s">
        <v>618</v>
      </c>
      <c r="J2338" t="s">
        <v>619</v>
      </c>
      <c r="K2338" t="s">
        <v>606</v>
      </c>
      <c r="L2338" t="s">
        <v>861</v>
      </c>
      <c r="M2338" t="s">
        <v>408</v>
      </c>
      <c r="N2338" t="s">
        <v>11</v>
      </c>
      <c r="O2338" t="s">
        <v>11</v>
      </c>
      <c r="P2338" t="s">
        <v>0</v>
      </c>
      <c r="Q2338" t="s">
        <v>408</v>
      </c>
      <c r="R2338" t="s">
        <v>439</v>
      </c>
      <c r="S2338" t="s">
        <v>451</v>
      </c>
      <c r="T2338" t="s">
        <v>11</v>
      </c>
      <c r="U2338" t="s">
        <v>408</v>
      </c>
    </row>
    <row r="2339" spans="1:21" x14ac:dyDescent="0.25">
      <c r="A2339">
        <v>22350038</v>
      </c>
      <c r="B2339" t="s">
        <v>340</v>
      </c>
      <c r="C2339" t="s">
        <v>26</v>
      </c>
      <c r="D2339" t="s">
        <v>12</v>
      </c>
      <c r="E2339" t="s">
        <v>658</v>
      </c>
      <c r="F2339" t="s">
        <v>155</v>
      </c>
      <c r="G2339" t="s">
        <v>468</v>
      </c>
      <c r="H2339" t="s">
        <v>447</v>
      </c>
      <c r="I2339" t="s">
        <v>448</v>
      </c>
      <c r="J2339" t="s">
        <v>449</v>
      </c>
      <c r="K2339" t="s">
        <v>450</v>
      </c>
      <c r="L2339" t="s">
        <v>370</v>
      </c>
      <c r="M2339" t="s">
        <v>408</v>
      </c>
      <c r="N2339" t="s">
        <v>11</v>
      </c>
      <c r="O2339" t="s">
        <v>408</v>
      </c>
      <c r="P2339" t="s">
        <v>0</v>
      </c>
      <c r="Q2339" t="s">
        <v>408</v>
      </c>
      <c r="R2339" t="s">
        <v>439</v>
      </c>
      <c r="S2339" t="s">
        <v>451</v>
      </c>
      <c r="T2339" t="s">
        <v>11</v>
      </c>
      <c r="U2339" t="s">
        <v>408</v>
      </c>
    </row>
    <row r="2340" spans="1:21" x14ac:dyDescent="0.25">
      <c r="A2340">
        <v>22350052</v>
      </c>
      <c r="B2340" t="s">
        <v>340</v>
      </c>
      <c r="C2340" t="s">
        <v>86</v>
      </c>
      <c r="D2340" t="s">
        <v>18</v>
      </c>
      <c r="E2340" t="s">
        <v>658</v>
      </c>
      <c r="F2340" t="s">
        <v>155</v>
      </c>
      <c r="G2340" t="s">
        <v>468</v>
      </c>
      <c r="H2340" t="s">
        <v>617</v>
      </c>
      <c r="I2340" t="s">
        <v>618</v>
      </c>
      <c r="J2340" t="s">
        <v>619</v>
      </c>
      <c r="K2340" t="s">
        <v>606</v>
      </c>
      <c r="L2340" t="s">
        <v>861</v>
      </c>
      <c r="M2340" t="s">
        <v>408</v>
      </c>
      <c r="N2340" t="s">
        <v>11</v>
      </c>
      <c r="O2340" t="s">
        <v>11</v>
      </c>
      <c r="P2340" t="s">
        <v>0</v>
      </c>
      <c r="Q2340" t="s">
        <v>408</v>
      </c>
      <c r="R2340" t="s">
        <v>439</v>
      </c>
      <c r="S2340" t="s">
        <v>451</v>
      </c>
      <c r="T2340" t="s">
        <v>11</v>
      </c>
      <c r="U2340" t="s">
        <v>408</v>
      </c>
    </row>
    <row r="2341" spans="1:21" x14ac:dyDescent="0.25">
      <c r="A2341">
        <v>22350067</v>
      </c>
      <c r="B2341" t="s">
        <v>340</v>
      </c>
      <c r="C2341" t="s">
        <v>86</v>
      </c>
      <c r="D2341" t="s">
        <v>12</v>
      </c>
      <c r="E2341" t="s">
        <v>658</v>
      </c>
      <c r="F2341" t="s">
        <v>155</v>
      </c>
      <c r="G2341" t="s">
        <v>468</v>
      </c>
      <c r="H2341" t="s">
        <v>617</v>
      </c>
      <c r="I2341" t="s">
        <v>618</v>
      </c>
      <c r="J2341" t="s">
        <v>619</v>
      </c>
      <c r="K2341" t="s">
        <v>606</v>
      </c>
      <c r="L2341" t="s">
        <v>861</v>
      </c>
      <c r="M2341" t="s">
        <v>408</v>
      </c>
      <c r="N2341" t="s">
        <v>11</v>
      </c>
      <c r="O2341" t="s">
        <v>11</v>
      </c>
      <c r="P2341" t="s">
        <v>0</v>
      </c>
      <c r="Q2341" t="s">
        <v>408</v>
      </c>
      <c r="R2341" t="s">
        <v>439</v>
      </c>
      <c r="S2341" t="s">
        <v>451</v>
      </c>
      <c r="T2341" t="s">
        <v>11</v>
      </c>
      <c r="U2341" t="s">
        <v>408</v>
      </c>
    </row>
    <row r="2342" spans="1:21" x14ac:dyDescent="0.25">
      <c r="A2342">
        <v>22350074</v>
      </c>
      <c r="B2342" t="s">
        <v>340</v>
      </c>
      <c r="C2342" t="s">
        <v>86</v>
      </c>
      <c r="D2342" t="s">
        <v>12</v>
      </c>
      <c r="E2342" t="s">
        <v>658</v>
      </c>
      <c r="F2342" t="s">
        <v>155</v>
      </c>
      <c r="G2342" t="s">
        <v>468</v>
      </c>
      <c r="H2342" t="s">
        <v>447</v>
      </c>
      <c r="I2342" t="s">
        <v>448</v>
      </c>
      <c r="J2342" t="s">
        <v>449</v>
      </c>
      <c r="K2342" t="s">
        <v>450</v>
      </c>
      <c r="L2342" t="s">
        <v>861</v>
      </c>
      <c r="M2342" t="s">
        <v>408</v>
      </c>
      <c r="N2342" t="s">
        <v>11</v>
      </c>
      <c r="O2342" t="s">
        <v>11</v>
      </c>
      <c r="P2342" t="s">
        <v>0</v>
      </c>
      <c r="Q2342" t="s">
        <v>408</v>
      </c>
      <c r="R2342" t="s">
        <v>439</v>
      </c>
      <c r="S2342" t="s">
        <v>451</v>
      </c>
      <c r="T2342" t="s">
        <v>11</v>
      </c>
      <c r="U2342" t="s">
        <v>408</v>
      </c>
    </row>
    <row r="2343" spans="1:21" x14ac:dyDescent="0.25">
      <c r="A2343">
        <v>22350077</v>
      </c>
      <c r="B2343" t="s">
        <v>340</v>
      </c>
      <c r="C2343" t="s">
        <v>86</v>
      </c>
      <c r="D2343" t="s">
        <v>12</v>
      </c>
      <c r="E2343" t="s">
        <v>658</v>
      </c>
      <c r="F2343" t="s">
        <v>155</v>
      </c>
      <c r="G2343" t="s">
        <v>468</v>
      </c>
      <c r="H2343" t="s">
        <v>617</v>
      </c>
      <c r="I2343" t="s">
        <v>618</v>
      </c>
      <c r="J2343" t="s">
        <v>619</v>
      </c>
      <c r="K2343" t="s">
        <v>606</v>
      </c>
      <c r="L2343" t="s">
        <v>861</v>
      </c>
      <c r="M2343" t="s">
        <v>408</v>
      </c>
      <c r="N2343" t="s">
        <v>11</v>
      </c>
      <c r="O2343" t="s">
        <v>11</v>
      </c>
      <c r="P2343" t="s">
        <v>0</v>
      </c>
      <c r="Q2343" t="s">
        <v>408</v>
      </c>
      <c r="R2343" t="s">
        <v>439</v>
      </c>
      <c r="S2343" t="s">
        <v>451</v>
      </c>
      <c r="T2343" t="s">
        <v>11</v>
      </c>
      <c r="U2343" t="s">
        <v>408</v>
      </c>
    </row>
    <row r="2344" spans="1:21" x14ac:dyDescent="0.25">
      <c r="A2344">
        <v>22350084</v>
      </c>
      <c r="B2344" t="s">
        <v>340</v>
      </c>
      <c r="C2344" t="s">
        <v>26</v>
      </c>
      <c r="D2344" t="s">
        <v>12</v>
      </c>
      <c r="E2344" t="s">
        <v>658</v>
      </c>
      <c r="F2344" t="s">
        <v>155</v>
      </c>
      <c r="G2344" t="s">
        <v>369</v>
      </c>
      <c r="H2344" t="s">
        <v>861</v>
      </c>
      <c r="I2344" t="s">
        <v>860</v>
      </c>
      <c r="J2344" t="s">
        <v>859</v>
      </c>
      <c r="K2344" t="s">
        <v>450</v>
      </c>
      <c r="L2344" t="s">
        <v>8</v>
      </c>
      <c r="M2344" t="s">
        <v>408</v>
      </c>
      <c r="N2344" t="s">
        <v>11</v>
      </c>
      <c r="O2344" t="s">
        <v>11</v>
      </c>
      <c r="P2344" t="s">
        <v>0</v>
      </c>
      <c r="Q2344" t="s">
        <v>408</v>
      </c>
      <c r="R2344" t="s">
        <v>439</v>
      </c>
      <c r="S2344" t="s">
        <v>440</v>
      </c>
      <c r="T2344" t="s">
        <v>11</v>
      </c>
      <c r="U2344" t="s">
        <v>408</v>
      </c>
    </row>
    <row r="2345" spans="1:21" x14ac:dyDescent="0.25">
      <c r="A2345">
        <v>22350094</v>
      </c>
      <c r="B2345" t="s">
        <v>340</v>
      </c>
      <c r="C2345" t="s">
        <v>86</v>
      </c>
      <c r="D2345" t="s">
        <v>12</v>
      </c>
      <c r="E2345" t="s">
        <v>658</v>
      </c>
      <c r="F2345" t="s">
        <v>155</v>
      </c>
      <c r="G2345" t="s">
        <v>468</v>
      </c>
      <c r="H2345" t="s">
        <v>447</v>
      </c>
      <c r="I2345" t="s">
        <v>448</v>
      </c>
      <c r="J2345" t="s">
        <v>449</v>
      </c>
      <c r="K2345" t="s">
        <v>450</v>
      </c>
      <c r="L2345" t="s">
        <v>861</v>
      </c>
      <c r="M2345" t="s">
        <v>408</v>
      </c>
      <c r="N2345" t="s">
        <v>11</v>
      </c>
      <c r="O2345" t="s">
        <v>11</v>
      </c>
      <c r="P2345" t="s">
        <v>0</v>
      </c>
      <c r="Q2345" t="s">
        <v>408</v>
      </c>
      <c r="R2345" t="s">
        <v>439</v>
      </c>
      <c r="S2345" t="s">
        <v>451</v>
      </c>
      <c r="T2345" t="s">
        <v>11</v>
      </c>
      <c r="U2345" t="s">
        <v>408</v>
      </c>
    </row>
    <row r="2346" spans="1:21" x14ac:dyDescent="0.25">
      <c r="A2346">
        <v>22350117</v>
      </c>
      <c r="B2346" t="s">
        <v>340</v>
      </c>
      <c r="C2346" t="s">
        <v>86</v>
      </c>
      <c r="D2346" t="s">
        <v>18</v>
      </c>
      <c r="E2346" t="s">
        <v>658</v>
      </c>
      <c r="F2346" t="s">
        <v>155</v>
      </c>
      <c r="G2346" t="s">
        <v>468</v>
      </c>
      <c r="H2346" t="s">
        <v>838</v>
      </c>
      <c r="I2346" t="s">
        <v>839</v>
      </c>
      <c r="J2346" t="s">
        <v>839</v>
      </c>
      <c r="K2346" t="s">
        <v>450</v>
      </c>
      <c r="L2346" t="s">
        <v>978</v>
      </c>
      <c r="M2346" t="s">
        <v>11</v>
      </c>
      <c r="N2346" t="s">
        <v>11</v>
      </c>
      <c r="O2346" t="s">
        <v>408</v>
      </c>
      <c r="P2346" t="s">
        <v>0</v>
      </c>
      <c r="Q2346" t="s">
        <v>408</v>
      </c>
      <c r="R2346" t="s">
        <v>439</v>
      </c>
      <c r="S2346" t="s">
        <v>451</v>
      </c>
      <c r="T2346" t="s">
        <v>408</v>
      </c>
      <c r="U2346" t="s">
        <v>408</v>
      </c>
    </row>
    <row r="2347" spans="1:21" x14ac:dyDescent="0.25">
      <c r="A2347">
        <v>22350136</v>
      </c>
      <c r="B2347" t="s">
        <v>340</v>
      </c>
      <c r="C2347" t="s">
        <v>86</v>
      </c>
      <c r="D2347" t="s">
        <v>18</v>
      </c>
      <c r="E2347" t="s">
        <v>658</v>
      </c>
      <c r="F2347" t="s">
        <v>155</v>
      </c>
      <c r="G2347" t="s">
        <v>468</v>
      </c>
      <c r="H2347" t="s">
        <v>900</v>
      </c>
      <c r="I2347" t="s">
        <v>899</v>
      </c>
      <c r="J2347" t="s">
        <v>898</v>
      </c>
      <c r="K2347" t="s">
        <v>453</v>
      </c>
      <c r="L2347" t="s">
        <v>979</v>
      </c>
      <c r="M2347" t="s">
        <v>408</v>
      </c>
      <c r="N2347" t="s">
        <v>11</v>
      </c>
      <c r="O2347" t="s">
        <v>408</v>
      </c>
      <c r="P2347" t="s">
        <v>0</v>
      </c>
      <c r="Q2347" t="s">
        <v>408</v>
      </c>
      <c r="R2347" t="s">
        <v>439</v>
      </c>
      <c r="S2347" t="s">
        <v>451</v>
      </c>
      <c r="T2347" t="s">
        <v>11</v>
      </c>
      <c r="U2347" t="s">
        <v>408</v>
      </c>
    </row>
    <row r="2348" spans="1:21" x14ac:dyDescent="0.25">
      <c r="A2348">
        <v>22350150</v>
      </c>
      <c r="B2348" t="s">
        <v>340</v>
      </c>
      <c r="C2348" t="s">
        <v>86</v>
      </c>
      <c r="D2348" t="s">
        <v>18</v>
      </c>
      <c r="E2348" t="s">
        <v>658</v>
      </c>
      <c r="F2348" t="s">
        <v>155</v>
      </c>
      <c r="G2348" t="s">
        <v>468</v>
      </c>
      <c r="H2348" t="s">
        <v>447</v>
      </c>
      <c r="I2348" t="s">
        <v>448</v>
      </c>
      <c r="J2348" t="s">
        <v>449</v>
      </c>
      <c r="K2348" t="s">
        <v>450</v>
      </c>
      <c r="L2348" t="s">
        <v>375</v>
      </c>
      <c r="M2348" t="s">
        <v>408</v>
      </c>
      <c r="N2348" t="s">
        <v>11</v>
      </c>
      <c r="O2348" t="s">
        <v>11</v>
      </c>
      <c r="P2348" t="s">
        <v>0</v>
      </c>
      <c r="Q2348" t="s">
        <v>408</v>
      </c>
      <c r="R2348" t="s">
        <v>439</v>
      </c>
      <c r="S2348" t="s">
        <v>451</v>
      </c>
      <c r="T2348" t="s">
        <v>11</v>
      </c>
      <c r="U2348" t="s">
        <v>408</v>
      </c>
    </row>
    <row r="2349" spans="1:21" x14ac:dyDescent="0.25">
      <c r="A2349">
        <v>22350169</v>
      </c>
      <c r="B2349" t="s">
        <v>340</v>
      </c>
      <c r="C2349" t="s">
        <v>86</v>
      </c>
      <c r="D2349" t="s">
        <v>12</v>
      </c>
      <c r="E2349" t="s">
        <v>658</v>
      </c>
      <c r="F2349" t="s">
        <v>155</v>
      </c>
      <c r="G2349" t="s">
        <v>468</v>
      </c>
      <c r="H2349" t="s">
        <v>8</v>
      </c>
      <c r="I2349" t="s">
        <v>436</v>
      </c>
      <c r="J2349" t="s">
        <v>458</v>
      </c>
      <c r="K2349" t="s">
        <v>438</v>
      </c>
      <c r="L2349" t="s">
        <v>1</v>
      </c>
      <c r="M2349" t="s">
        <v>408</v>
      </c>
      <c r="N2349" t="s">
        <v>11</v>
      </c>
      <c r="O2349" t="s">
        <v>11</v>
      </c>
      <c r="P2349" t="s">
        <v>0</v>
      </c>
      <c r="Q2349" t="s">
        <v>408</v>
      </c>
      <c r="R2349" t="s">
        <v>439</v>
      </c>
      <c r="S2349" t="s">
        <v>440</v>
      </c>
      <c r="T2349" t="s">
        <v>11</v>
      </c>
      <c r="U2349" t="s">
        <v>408</v>
      </c>
    </row>
    <row r="2350" spans="1:21" x14ac:dyDescent="0.25">
      <c r="A2350">
        <v>22350182</v>
      </c>
      <c r="B2350" t="s">
        <v>340</v>
      </c>
      <c r="C2350" t="s">
        <v>86</v>
      </c>
      <c r="D2350" t="s">
        <v>12</v>
      </c>
      <c r="E2350" t="s">
        <v>658</v>
      </c>
      <c r="F2350" t="s">
        <v>155</v>
      </c>
      <c r="G2350" t="s">
        <v>468</v>
      </c>
      <c r="H2350" t="s">
        <v>617</v>
      </c>
      <c r="I2350" t="s">
        <v>618</v>
      </c>
      <c r="J2350" t="s">
        <v>619</v>
      </c>
      <c r="K2350" t="s">
        <v>606</v>
      </c>
      <c r="L2350" t="s">
        <v>375</v>
      </c>
      <c r="M2350" t="s">
        <v>408</v>
      </c>
      <c r="N2350" t="s">
        <v>11</v>
      </c>
      <c r="O2350" t="s">
        <v>11</v>
      </c>
      <c r="P2350" t="s">
        <v>0</v>
      </c>
      <c r="Q2350" t="s">
        <v>408</v>
      </c>
      <c r="R2350" t="s">
        <v>439</v>
      </c>
      <c r="S2350" t="s">
        <v>451</v>
      </c>
      <c r="T2350" t="s">
        <v>11</v>
      </c>
      <c r="U2350" t="s">
        <v>408</v>
      </c>
    </row>
    <row r="2351" spans="1:21" x14ac:dyDescent="0.25">
      <c r="A2351">
        <v>22350183</v>
      </c>
      <c r="B2351" t="s">
        <v>340</v>
      </c>
      <c r="C2351" t="s">
        <v>86</v>
      </c>
      <c r="D2351" t="s">
        <v>12</v>
      </c>
      <c r="E2351" t="s">
        <v>658</v>
      </c>
      <c r="F2351" t="s">
        <v>155</v>
      </c>
      <c r="G2351" t="s">
        <v>468</v>
      </c>
      <c r="H2351" t="s">
        <v>447</v>
      </c>
      <c r="I2351" t="s">
        <v>448</v>
      </c>
      <c r="J2351" t="s">
        <v>449</v>
      </c>
      <c r="K2351" t="s">
        <v>450</v>
      </c>
      <c r="L2351" t="s">
        <v>861</v>
      </c>
      <c r="M2351" t="s">
        <v>408</v>
      </c>
      <c r="N2351" t="s">
        <v>11</v>
      </c>
      <c r="O2351" t="s">
        <v>11</v>
      </c>
      <c r="P2351" t="s">
        <v>0</v>
      </c>
      <c r="Q2351" t="s">
        <v>408</v>
      </c>
      <c r="R2351" t="s">
        <v>439</v>
      </c>
      <c r="S2351" t="s">
        <v>451</v>
      </c>
      <c r="T2351" t="s">
        <v>11</v>
      </c>
      <c r="U2351" t="s">
        <v>408</v>
      </c>
    </row>
    <row r="2352" spans="1:21" x14ac:dyDescent="0.25">
      <c r="A2352">
        <v>22350185</v>
      </c>
      <c r="B2352" t="s">
        <v>340</v>
      </c>
      <c r="C2352" t="s">
        <v>86</v>
      </c>
      <c r="D2352" t="s">
        <v>12</v>
      </c>
      <c r="E2352" t="s">
        <v>658</v>
      </c>
      <c r="F2352" t="s">
        <v>160</v>
      </c>
      <c r="G2352" t="s">
        <v>468</v>
      </c>
      <c r="H2352" t="s">
        <v>447</v>
      </c>
      <c r="I2352" t="s">
        <v>448</v>
      </c>
      <c r="J2352" t="s">
        <v>449</v>
      </c>
      <c r="K2352" t="s">
        <v>450</v>
      </c>
      <c r="L2352" t="s">
        <v>375</v>
      </c>
      <c r="M2352" t="s">
        <v>408</v>
      </c>
      <c r="N2352" t="s">
        <v>11</v>
      </c>
      <c r="O2352" t="s">
        <v>11</v>
      </c>
      <c r="P2352" t="s">
        <v>0</v>
      </c>
      <c r="Q2352" t="s">
        <v>408</v>
      </c>
      <c r="R2352" t="s">
        <v>439</v>
      </c>
      <c r="S2352" t="s">
        <v>451</v>
      </c>
      <c r="T2352" t="s">
        <v>11</v>
      </c>
      <c r="U2352" t="s">
        <v>408</v>
      </c>
    </row>
    <row r="2353" spans="1:21" x14ac:dyDescent="0.25">
      <c r="A2353">
        <v>22350187</v>
      </c>
      <c r="B2353" t="s">
        <v>340</v>
      </c>
      <c r="C2353" t="s">
        <v>86</v>
      </c>
      <c r="D2353" t="s">
        <v>12</v>
      </c>
      <c r="E2353" t="s">
        <v>658</v>
      </c>
      <c r="F2353" t="s">
        <v>160</v>
      </c>
      <c r="G2353" t="s">
        <v>468</v>
      </c>
      <c r="H2353" t="s">
        <v>447</v>
      </c>
      <c r="I2353" t="s">
        <v>448</v>
      </c>
      <c r="J2353" t="s">
        <v>449</v>
      </c>
      <c r="K2353" t="s">
        <v>450</v>
      </c>
      <c r="L2353" t="s">
        <v>861</v>
      </c>
      <c r="M2353" t="s">
        <v>408</v>
      </c>
      <c r="N2353" t="s">
        <v>11</v>
      </c>
      <c r="O2353" t="s">
        <v>11</v>
      </c>
      <c r="P2353" t="s">
        <v>0</v>
      </c>
      <c r="Q2353" t="s">
        <v>408</v>
      </c>
      <c r="R2353" t="s">
        <v>439</v>
      </c>
      <c r="S2353" t="s">
        <v>451</v>
      </c>
      <c r="T2353" t="s">
        <v>11</v>
      </c>
      <c r="U2353" t="s">
        <v>408</v>
      </c>
    </row>
    <row r="2354" spans="1:21" x14ac:dyDescent="0.25">
      <c r="A2354">
        <v>22350188</v>
      </c>
      <c r="B2354" t="s">
        <v>340</v>
      </c>
      <c r="C2354" t="s">
        <v>26</v>
      </c>
      <c r="D2354" t="s">
        <v>12</v>
      </c>
      <c r="E2354" t="s">
        <v>530</v>
      </c>
      <c r="F2354" t="s">
        <v>154</v>
      </c>
      <c r="G2354" t="s">
        <v>468</v>
      </c>
      <c r="H2354" t="s">
        <v>617</v>
      </c>
      <c r="I2354" t="s">
        <v>618</v>
      </c>
      <c r="J2354" t="s">
        <v>619</v>
      </c>
      <c r="K2354" t="s">
        <v>606</v>
      </c>
      <c r="L2354" t="s">
        <v>673</v>
      </c>
      <c r="M2354" t="s">
        <v>408</v>
      </c>
      <c r="N2354" t="s">
        <v>11</v>
      </c>
      <c r="O2354" t="s">
        <v>11</v>
      </c>
      <c r="P2354" t="s">
        <v>0</v>
      </c>
      <c r="Q2354" t="s">
        <v>408</v>
      </c>
      <c r="R2354" t="s">
        <v>439</v>
      </c>
      <c r="S2354" t="s">
        <v>451</v>
      </c>
      <c r="T2354" t="s">
        <v>11</v>
      </c>
      <c r="U2354" t="s">
        <v>408</v>
      </c>
    </row>
    <row r="2355" spans="1:21" x14ac:dyDescent="0.25">
      <c r="A2355">
        <v>22350190</v>
      </c>
      <c r="B2355" t="s">
        <v>342</v>
      </c>
      <c r="C2355" t="s">
        <v>33</v>
      </c>
      <c r="D2355" t="s">
        <v>12</v>
      </c>
      <c r="E2355" t="s">
        <v>658</v>
      </c>
      <c r="F2355" t="s">
        <v>160</v>
      </c>
      <c r="G2355" t="s">
        <v>369</v>
      </c>
      <c r="H2355" t="s">
        <v>1042</v>
      </c>
      <c r="I2355" t="s">
        <v>1041</v>
      </c>
      <c r="J2355" t="s">
        <v>1040</v>
      </c>
      <c r="K2355" t="s">
        <v>462</v>
      </c>
      <c r="L2355" t="s">
        <v>1039</v>
      </c>
      <c r="M2355" t="s">
        <v>408</v>
      </c>
      <c r="N2355" t="s">
        <v>11</v>
      </c>
      <c r="O2355" t="s">
        <v>11</v>
      </c>
      <c r="P2355" t="s">
        <v>0</v>
      </c>
      <c r="Q2355" t="s">
        <v>408</v>
      </c>
      <c r="R2355" t="s">
        <v>439</v>
      </c>
      <c r="S2355" t="s">
        <v>451</v>
      </c>
      <c r="T2355" t="s">
        <v>11</v>
      </c>
      <c r="U2355" t="s">
        <v>408</v>
      </c>
    </row>
    <row r="2356" spans="1:21" x14ac:dyDescent="0.25">
      <c r="A2356">
        <v>22350191</v>
      </c>
      <c r="B2356" t="s">
        <v>342</v>
      </c>
      <c r="C2356" t="s">
        <v>89</v>
      </c>
      <c r="D2356" t="s">
        <v>18</v>
      </c>
      <c r="E2356" t="s">
        <v>658</v>
      </c>
      <c r="F2356" t="s">
        <v>160</v>
      </c>
      <c r="G2356" t="s">
        <v>468</v>
      </c>
      <c r="H2356" t="s">
        <v>996</v>
      </c>
      <c r="I2356" t="s">
        <v>995</v>
      </c>
      <c r="J2356" t="s">
        <v>994</v>
      </c>
      <c r="K2356" t="s">
        <v>438</v>
      </c>
      <c r="L2356" t="s">
        <v>993</v>
      </c>
      <c r="M2356" t="s">
        <v>11</v>
      </c>
      <c r="N2356" t="s">
        <v>11</v>
      </c>
      <c r="O2356" t="s">
        <v>11</v>
      </c>
      <c r="P2356" t="s">
        <v>0</v>
      </c>
      <c r="Q2356" t="s">
        <v>408</v>
      </c>
      <c r="R2356" t="s">
        <v>439</v>
      </c>
      <c r="S2356" t="s">
        <v>451</v>
      </c>
      <c r="T2356" t="s">
        <v>408</v>
      </c>
      <c r="U2356" t="s">
        <v>408</v>
      </c>
    </row>
    <row r="2357" spans="1:21" x14ac:dyDescent="0.25">
      <c r="A2357">
        <v>22350192</v>
      </c>
      <c r="B2357" t="s">
        <v>340</v>
      </c>
      <c r="C2357" t="s">
        <v>86</v>
      </c>
      <c r="D2357" t="s">
        <v>12</v>
      </c>
      <c r="E2357" t="s">
        <v>658</v>
      </c>
      <c r="F2357" t="s">
        <v>160</v>
      </c>
      <c r="G2357" t="s">
        <v>468</v>
      </c>
      <c r="H2357" t="s">
        <v>447</v>
      </c>
      <c r="I2357" t="s">
        <v>448</v>
      </c>
      <c r="J2357" t="s">
        <v>449</v>
      </c>
      <c r="K2357" t="s">
        <v>450</v>
      </c>
      <c r="L2357" t="s">
        <v>375</v>
      </c>
      <c r="M2357" t="s">
        <v>408</v>
      </c>
      <c r="N2357" t="s">
        <v>11</v>
      </c>
      <c r="O2357" t="s">
        <v>11</v>
      </c>
      <c r="P2357" t="s">
        <v>0</v>
      </c>
      <c r="Q2357" t="s">
        <v>408</v>
      </c>
      <c r="R2357" t="s">
        <v>439</v>
      </c>
      <c r="S2357" t="s">
        <v>451</v>
      </c>
      <c r="T2357" t="s">
        <v>11</v>
      </c>
      <c r="U2357" t="s">
        <v>408</v>
      </c>
    </row>
    <row r="2358" spans="1:21" x14ac:dyDescent="0.25">
      <c r="A2358">
        <v>22350193</v>
      </c>
      <c r="B2358" t="s">
        <v>340</v>
      </c>
      <c r="C2358" t="s">
        <v>86</v>
      </c>
      <c r="D2358" t="s">
        <v>12</v>
      </c>
      <c r="E2358" t="s">
        <v>658</v>
      </c>
      <c r="F2358" t="s">
        <v>160</v>
      </c>
      <c r="G2358" t="s">
        <v>468</v>
      </c>
      <c r="H2358" t="s">
        <v>838</v>
      </c>
      <c r="I2358" t="s">
        <v>839</v>
      </c>
      <c r="J2358" t="s">
        <v>839</v>
      </c>
      <c r="K2358" t="s">
        <v>450</v>
      </c>
      <c r="L2358" t="s">
        <v>978</v>
      </c>
      <c r="M2358" t="s">
        <v>11</v>
      </c>
      <c r="N2358" t="s">
        <v>11</v>
      </c>
      <c r="O2358" t="s">
        <v>408</v>
      </c>
      <c r="P2358" t="s">
        <v>0</v>
      </c>
      <c r="Q2358" t="s">
        <v>408</v>
      </c>
      <c r="R2358" t="s">
        <v>439</v>
      </c>
      <c r="S2358" t="s">
        <v>451</v>
      </c>
      <c r="T2358" t="s">
        <v>408</v>
      </c>
      <c r="U2358" t="s">
        <v>408</v>
      </c>
    </row>
    <row r="2359" spans="1:21" x14ac:dyDescent="0.25">
      <c r="A2359">
        <v>22350195</v>
      </c>
      <c r="B2359" t="s">
        <v>340</v>
      </c>
      <c r="C2359" t="s">
        <v>86</v>
      </c>
      <c r="D2359" t="s">
        <v>18</v>
      </c>
      <c r="E2359" t="s">
        <v>658</v>
      </c>
      <c r="F2359" t="s">
        <v>155</v>
      </c>
      <c r="G2359" t="s">
        <v>468</v>
      </c>
      <c r="H2359" t="s">
        <v>447</v>
      </c>
      <c r="I2359" t="s">
        <v>448</v>
      </c>
      <c r="J2359" t="s">
        <v>449</v>
      </c>
      <c r="K2359" t="s">
        <v>450</v>
      </c>
      <c r="L2359" t="s">
        <v>861</v>
      </c>
      <c r="M2359" t="s">
        <v>408</v>
      </c>
      <c r="N2359" t="s">
        <v>11</v>
      </c>
      <c r="O2359" t="s">
        <v>11</v>
      </c>
      <c r="P2359" t="s">
        <v>0</v>
      </c>
      <c r="Q2359" t="s">
        <v>408</v>
      </c>
      <c r="R2359" t="s">
        <v>439</v>
      </c>
      <c r="S2359" t="s">
        <v>451</v>
      </c>
      <c r="T2359" t="s">
        <v>11</v>
      </c>
      <c r="U2359" t="s">
        <v>408</v>
      </c>
    </row>
    <row r="2360" spans="1:21" x14ac:dyDescent="0.25">
      <c r="A2360">
        <v>22350196</v>
      </c>
      <c r="B2360" t="s">
        <v>340</v>
      </c>
      <c r="C2360" t="s">
        <v>86</v>
      </c>
      <c r="D2360" t="s">
        <v>12</v>
      </c>
      <c r="E2360" t="s">
        <v>658</v>
      </c>
      <c r="F2360" t="s">
        <v>160</v>
      </c>
      <c r="G2360" t="s">
        <v>468</v>
      </c>
      <c r="H2360" t="s">
        <v>900</v>
      </c>
      <c r="I2360" t="s">
        <v>899</v>
      </c>
      <c r="J2360" t="s">
        <v>898</v>
      </c>
      <c r="K2360" t="s">
        <v>453</v>
      </c>
      <c r="L2360" t="s">
        <v>979</v>
      </c>
      <c r="M2360" t="s">
        <v>408</v>
      </c>
      <c r="N2360" t="s">
        <v>11</v>
      </c>
      <c r="O2360" t="s">
        <v>408</v>
      </c>
      <c r="P2360" t="s">
        <v>0</v>
      </c>
      <c r="Q2360" t="s">
        <v>408</v>
      </c>
      <c r="R2360" t="s">
        <v>439</v>
      </c>
      <c r="S2360" t="s">
        <v>451</v>
      </c>
      <c r="T2360" t="s">
        <v>11</v>
      </c>
      <c r="U2360" t="s">
        <v>408</v>
      </c>
    </row>
    <row r="2361" spans="1:21" x14ac:dyDescent="0.25">
      <c r="A2361">
        <v>22350197</v>
      </c>
      <c r="B2361" t="s">
        <v>342</v>
      </c>
      <c r="C2361" t="s">
        <v>89</v>
      </c>
      <c r="D2361" t="s">
        <v>12</v>
      </c>
      <c r="E2361" t="s">
        <v>658</v>
      </c>
      <c r="F2361" t="s">
        <v>155</v>
      </c>
      <c r="G2361" t="s">
        <v>468</v>
      </c>
      <c r="H2361" t="s">
        <v>884</v>
      </c>
      <c r="I2361" t="s">
        <v>883</v>
      </c>
      <c r="J2361" t="s">
        <v>882</v>
      </c>
      <c r="K2361" t="s">
        <v>450</v>
      </c>
      <c r="L2361" t="s">
        <v>993</v>
      </c>
      <c r="M2361" t="s">
        <v>11</v>
      </c>
      <c r="N2361" t="s">
        <v>11</v>
      </c>
      <c r="O2361" t="s">
        <v>11</v>
      </c>
      <c r="P2361" t="s">
        <v>0</v>
      </c>
      <c r="Q2361" t="s">
        <v>408</v>
      </c>
      <c r="R2361" t="s">
        <v>439</v>
      </c>
      <c r="S2361" t="s">
        <v>451</v>
      </c>
      <c r="T2361" t="s">
        <v>408</v>
      </c>
      <c r="U2361" t="s">
        <v>408</v>
      </c>
    </row>
    <row r="2362" spans="1:21" x14ac:dyDescent="0.25">
      <c r="A2362">
        <v>22350198</v>
      </c>
      <c r="B2362" t="s">
        <v>342</v>
      </c>
      <c r="C2362" t="s">
        <v>13</v>
      </c>
      <c r="D2362" t="s">
        <v>12</v>
      </c>
      <c r="E2362" t="s">
        <v>658</v>
      </c>
      <c r="F2362" t="s">
        <v>155</v>
      </c>
      <c r="G2362" t="s">
        <v>468</v>
      </c>
      <c r="H2362" t="s">
        <v>0</v>
      </c>
      <c r="I2362" t="s">
        <v>436</v>
      </c>
      <c r="J2362" t="s">
        <v>437</v>
      </c>
      <c r="K2362" t="s">
        <v>438</v>
      </c>
      <c r="L2362" t="s">
        <v>345</v>
      </c>
      <c r="M2362" t="s">
        <v>408</v>
      </c>
      <c r="N2362" t="s">
        <v>11</v>
      </c>
      <c r="O2362" t="s">
        <v>11</v>
      </c>
      <c r="P2362" t="s">
        <v>0</v>
      </c>
      <c r="Q2362" t="s">
        <v>408</v>
      </c>
      <c r="R2362" t="s">
        <v>439</v>
      </c>
      <c r="S2362" t="s">
        <v>440</v>
      </c>
      <c r="T2362" t="s">
        <v>11</v>
      </c>
      <c r="U2362" t="s">
        <v>408</v>
      </c>
    </row>
    <row r="2363" spans="1:21" x14ac:dyDescent="0.25">
      <c r="A2363">
        <v>22350199</v>
      </c>
      <c r="B2363" t="s">
        <v>342</v>
      </c>
      <c r="C2363" t="s">
        <v>33</v>
      </c>
      <c r="D2363" t="s">
        <v>18</v>
      </c>
      <c r="E2363" t="s">
        <v>658</v>
      </c>
      <c r="F2363" t="s">
        <v>155</v>
      </c>
      <c r="G2363" t="s">
        <v>369</v>
      </c>
      <c r="H2363" t="s">
        <v>820</v>
      </c>
      <c r="I2363" t="s">
        <v>821</v>
      </c>
      <c r="J2363" t="s">
        <v>822</v>
      </c>
      <c r="K2363" t="s">
        <v>701</v>
      </c>
      <c r="L2363" t="s">
        <v>993</v>
      </c>
      <c r="M2363" t="s">
        <v>11</v>
      </c>
      <c r="N2363" t="s">
        <v>11</v>
      </c>
      <c r="O2363" t="s">
        <v>11</v>
      </c>
      <c r="P2363" t="s">
        <v>0</v>
      </c>
      <c r="Q2363" t="s">
        <v>408</v>
      </c>
      <c r="R2363" t="s">
        <v>439</v>
      </c>
      <c r="S2363" t="s">
        <v>451</v>
      </c>
      <c r="T2363" t="s">
        <v>408</v>
      </c>
      <c r="U2363" t="s">
        <v>408</v>
      </c>
    </row>
    <row r="2364" spans="1:21" x14ac:dyDescent="0.25">
      <c r="A2364">
        <v>22350202</v>
      </c>
      <c r="B2364" t="s">
        <v>342</v>
      </c>
      <c r="C2364" t="s">
        <v>89</v>
      </c>
      <c r="D2364" t="s">
        <v>12</v>
      </c>
      <c r="E2364" t="s">
        <v>658</v>
      </c>
      <c r="F2364" t="s">
        <v>155</v>
      </c>
      <c r="G2364" t="s">
        <v>468</v>
      </c>
      <c r="H2364" t="s">
        <v>603</v>
      </c>
      <c r="I2364" t="s">
        <v>604</v>
      </c>
      <c r="J2364" t="s">
        <v>605</v>
      </c>
      <c r="K2364" t="s">
        <v>606</v>
      </c>
      <c r="L2364" t="s">
        <v>1022</v>
      </c>
      <c r="M2364" t="s">
        <v>11</v>
      </c>
      <c r="N2364" t="s">
        <v>11</v>
      </c>
      <c r="O2364" t="s">
        <v>11</v>
      </c>
      <c r="P2364" t="s">
        <v>0</v>
      </c>
      <c r="Q2364" t="s">
        <v>408</v>
      </c>
      <c r="R2364" t="s">
        <v>439</v>
      </c>
      <c r="S2364" t="s">
        <v>451</v>
      </c>
      <c r="T2364" t="s">
        <v>408</v>
      </c>
      <c r="U2364" t="s">
        <v>408</v>
      </c>
    </row>
    <row r="2365" spans="1:21" x14ac:dyDescent="0.25">
      <c r="A2365">
        <v>22350203</v>
      </c>
      <c r="B2365" t="s">
        <v>342</v>
      </c>
      <c r="C2365" t="s">
        <v>89</v>
      </c>
      <c r="D2365" t="s">
        <v>12</v>
      </c>
      <c r="E2365" t="s">
        <v>658</v>
      </c>
      <c r="F2365" t="s">
        <v>88</v>
      </c>
      <c r="G2365" t="s">
        <v>468</v>
      </c>
      <c r="H2365" t="s">
        <v>1038</v>
      </c>
      <c r="I2365" t="s">
        <v>1037</v>
      </c>
      <c r="J2365" t="s">
        <v>1036</v>
      </c>
      <c r="K2365" t="s">
        <v>606</v>
      </c>
      <c r="L2365" t="s">
        <v>987</v>
      </c>
      <c r="M2365" t="s">
        <v>11</v>
      </c>
      <c r="N2365" t="s">
        <v>11</v>
      </c>
      <c r="O2365" t="s">
        <v>11</v>
      </c>
      <c r="P2365" t="s">
        <v>0</v>
      </c>
      <c r="Q2365" t="s">
        <v>408</v>
      </c>
      <c r="R2365" t="s">
        <v>439</v>
      </c>
      <c r="S2365" t="s">
        <v>451</v>
      </c>
      <c r="T2365" t="s">
        <v>408</v>
      </c>
      <c r="U2365" t="s">
        <v>408</v>
      </c>
    </row>
    <row r="2366" spans="1:21" x14ac:dyDescent="0.25">
      <c r="A2366">
        <v>22350205</v>
      </c>
      <c r="B2366" t="s">
        <v>340</v>
      </c>
      <c r="C2366" t="s">
        <v>26</v>
      </c>
      <c r="D2366" t="s">
        <v>12</v>
      </c>
      <c r="E2366" t="s">
        <v>530</v>
      </c>
      <c r="F2366" t="s">
        <v>154</v>
      </c>
      <c r="G2366" t="s">
        <v>369</v>
      </c>
      <c r="H2366" t="s">
        <v>978</v>
      </c>
      <c r="I2366" t="s">
        <v>1035</v>
      </c>
      <c r="J2366" t="s">
        <v>1034</v>
      </c>
      <c r="K2366" t="s">
        <v>462</v>
      </c>
      <c r="L2366" t="s">
        <v>1033</v>
      </c>
      <c r="M2366" t="s">
        <v>11</v>
      </c>
      <c r="N2366" t="s">
        <v>11</v>
      </c>
      <c r="O2366" t="s">
        <v>408</v>
      </c>
      <c r="P2366" t="s">
        <v>0</v>
      </c>
      <c r="Q2366" t="s">
        <v>408</v>
      </c>
      <c r="R2366" t="s">
        <v>439</v>
      </c>
      <c r="S2366" t="s">
        <v>440</v>
      </c>
      <c r="T2366" t="s">
        <v>408</v>
      </c>
      <c r="U2366" t="s">
        <v>408</v>
      </c>
    </row>
    <row r="2367" spans="1:21" x14ac:dyDescent="0.25">
      <c r="A2367">
        <v>22350206</v>
      </c>
      <c r="B2367" t="s">
        <v>342</v>
      </c>
      <c r="C2367" t="s">
        <v>13</v>
      </c>
      <c r="D2367" t="s">
        <v>12</v>
      </c>
      <c r="E2367" t="s">
        <v>530</v>
      </c>
      <c r="F2367" t="s">
        <v>154</v>
      </c>
      <c r="G2367" t="s">
        <v>468</v>
      </c>
      <c r="H2367" t="s">
        <v>0</v>
      </c>
      <c r="I2367" t="s">
        <v>436</v>
      </c>
      <c r="J2367" t="s">
        <v>437</v>
      </c>
      <c r="K2367" t="s">
        <v>438</v>
      </c>
      <c r="L2367" t="s">
        <v>345</v>
      </c>
      <c r="M2367" t="s">
        <v>408</v>
      </c>
      <c r="N2367" t="s">
        <v>11</v>
      </c>
      <c r="O2367" t="s">
        <v>11</v>
      </c>
      <c r="P2367" t="s">
        <v>0</v>
      </c>
      <c r="Q2367" t="s">
        <v>408</v>
      </c>
      <c r="R2367" t="s">
        <v>439</v>
      </c>
      <c r="S2367" t="s">
        <v>440</v>
      </c>
      <c r="T2367" t="s">
        <v>11</v>
      </c>
      <c r="U2367" t="s">
        <v>408</v>
      </c>
    </row>
    <row r="2368" spans="1:21" x14ac:dyDescent="0.25">
      <c r="A2368">
        <v>22350207</v>
      </c>
      <c r="B2368" t="s">
        <v>342</v>
      </c>
      <c r="C2368" t="s">
        <v>33</v>
      </c>
      <c r="D2368" t="s">
        <v>12</v>
      </c>
      <c r="E2368" t="s">
        <v>658</v>
      </c>
      <c r="F2368" t="s">
        <v>88</v>
      </c>
      <c r="G2368" t="s">
        <v>369</v>
      </c>
      <c r="H2368" t="s">
        <v>782</v>
      </c>
      <c r="I2368" t="s">
        <v>783</v>
      </c>
      <c r="J2368" t="s">
        <v>784</v>
      </c>
      <c r="K2368" t="s">
        <v>438</v>
      </c>
      <c r="L2368" t="s">
        <v>993</v>
      </c>
      <c r="M2368" t="s">
        <v>11</v>
      </c>
      <c r="N2368" t="s">
        <v>11</v>
      </c>
      <c r="O2368" t="s">
        <v>11</v>
      </c>
      <c r="P2368" t="s">
        <v>0</v>
      </c>
      <c r="Q2368" t="s">
        <v>408</v>
      </c>
      <c r="R2368" t="s">
        <v>439</v>
      </c>
      <c r="S2368" t="s">
        <v>451</v>
      </c>
      <c r="T2368" t="s">
        <v>408</v>
      </c>
      <c r="U2368" t="s">
        <v>408</v>
      </c>
    </row>
    <row r="2369" spans="1:21" x14ac:dyDescent="0.25">
      <c r="A2369">
        <v>22350208</v>
      </c>
      <c r="B2369" t="s">
        <v>342</v>
      </c>
      <c r="C2369" t="s">
        <v>89</v>
      </c>
      <c r="D2369" t="s">
        <v>12</v>
      </c>
      <c r="E2369" t="s">
        <v>658</v>
      </c>
      <c r="F2369" t="s">
        <v>88</v>
      </c>
      <c r="G2369" t="s">
        <v>468</v>
      </c>
      <c r="H2369" t="s">
        <v>447</v>
      </c>
      <c r="I2369" t="s">
        <v>448</v>
      </c>
      <c r="J2369" t="s">
        <v>449</v>
      </c>
      <c r="K2369" t="s">
        <v>450</v>
      </c>
      <c r="L2369" t="s">
        <v>367</v>
      </c>
      <c r="M2369" t="s">
        <v>408</v>
      </c>
      <c r="N2369" t="s">
        <v>11</v>
      </c>
      <c r="O2369" t="s">
        <v>408</v>
      </c>
      <c r="P2369" t="s">
        <v>0</v>
      </c>
      <c r="Q2369" t="s">
        <v>408</v>
      </c>
      <c r="R2369" t="s">
        <v>439</v>
      </c>
      <c r="S2369" t="s">
        <v>451</v>
      </c>
      <c r="T2369" t="s">
        <v>11</v>
      </c>
      <c r="U2369" t="s">
        <v>408</v>
      </c>
    </row>
    <row r="2370" spans="1:21" x14ac:dyDescent="0.25">
      <c r="A2370">
        <v>22350209</v>
      </c>
      <c r="B2370" t="s">
        <v>342</v>
      </c>
      <c r="C2370" t="s">
        <v>33</v>
      </c>
      <c r="D2370" t="s">
        <v>12</v>
      </c>
      <c r="E2370" t="s">
        <v>658</v>
      </c>
      <c r="F2370" t="s">
        <v>88</v>
      </c>
      <c r="G2370" t="s">
        <v>369</v>
      </c>
      <c r="H2370" t="s">
        <v>820</v>
      </c>
      <c r="I2370" t="s">
        <v>821</v>
      </c>
      <c r="J2370" t="s">
        <v>822</v>
      </c>
      <c r="K2370" t="s">
        <v>701</v>
      </c>
      <c r="L2370" t="s">
        <v>993</v>
      </c>
      <c r="M2370" t="s">
        <v>11</v>
      </c>
      <c r="N2370" t="s">
        <v>11</v>
      </c>
      <c r="O2370" t="s">
        <v>11</v>
      </c>
      <c r="P2370" t="s">
        <v>0</v>
      </c>
      <c r="Q2370" t="s">
        <v>408</v>
      </c>
      <c r="R2370" t="s">
        <v>439</v>
      </c>
      <c r="S2370" t="s">
        <v>451</v>
      </c>
      <c r="T2370" t="s">
        <v>408</v>
      </c>
      <c r="U2370" t="s">
        <v>408</v>
      </c>
    </row>
    <row r="2371" spans="1:21" x14ac:dyDescent="0.25">
      <c r="A2371">
        <v>22350210</v>
      </c>
      <c r="B2371" t="s">
        <v>340</v>
      </c>
      <c r="C2371" t="s">
        <v>86</v>
      </c>
      <c r="D2371" t="s">
        <v>12</v>
      </c>
      <c r="E2371" t="s">
        <v>658</v>
      </c>
      <c r="F2371" t="s">
        <v>160</v>
      </c>
      <c r="G2371" t="s">
        <v>468</v>
      </c>
      <c r="H2371" t="s">
        <v>0</v>
      </c>
      <c r="I2371" t="s">
        <v>436</v>
      </c>
      <c r="J2371" t="s">
        <v>437</v>
      </c>
      <c r="K2371" t="s">
        <v>438</v>
      </c>
      <c r="L2371" t="s">
        <v>1</v>
      </c>
      <c r="M2371" t="s">
        <v>408</v>
      </c>
      <c r="N2371" t="s">
        <v>11</v>
      </c>
      <c r="O2371" t="s">
        <v>11</v>
      </c>
      <c r="P2371" t="s">
        <v>0</v>
      </c>
      <c r="Q2371" t="s">
        <v>408</v>
      </c>
      <c r="R2371" t="s">
        <v>439</v>
      </c>
      <c r="S2371" t="s">
        <v>440</v>
      </c>
      <c r="T2371" t="s">
        <v>11</v>
      </c>
      <c r="U2371" t="s">
        <v>408</v>
      </c>
    </row>
    <row r="2372" spans="1:21" x14ac:dyDescent="0.25">
      <c r="A2372">
        <v>22350211</v>
      </c>
      <c r="B2372" t="s">
        <v>342</v>
      </c>
      <c r="C2372" t="s">
        <v>89</v>
      </c>
      <c r="D2372" t="s">
        <v>12</v>
      </c>
      <c r="E2372" t="s">
        <v>658</v>
      </c>
      <c r="F2372" t="s">
        <v>160</v>
      </c>
      <c r="G2372" t="s">
        <v>468</v>
      </c>
      <c r="H2372" t="s">
        <v>782</v>
      </c>
      <c r="I2372" t="s">
        <v>783</v>
      </c>
      <c r="J2372" t="s">
        <v>784</v>
      </c>
      <c r="K2372" t="s">
        <v>438</v>
      </c>
      <c r="L2372" t="s">
        <v>993</v>
      </c>
      <c r="M2372" t="s">
        <v>11</v>
      </c>
      <c r="N2372" t="s">
        <v>11</v>
      </c>
      <c r="O2372" t="s">
        <v>11</v>
      </c>
      <c r="P2372" t="s">
        <v>0</v>
      </c>
      <c r="Q2372" t="s">
        <v>408</v>
      </c>
      <c r="R2372" t="s">
        <v>439</v>
      </c>
      <c r="S2372" t="s">
        <v>451</v>
      </c>
      <c r="T2372" t="s">
        <v>408</v>
      </c>
      <c r="U2372" t="s">
        <v>408</v>
      </c>
    </row>
    <row r="2373" spans="1:21" x14ac:dyDescent="0.25">
      <c r="A2373">
        <v>22350212</v>
      </c>
      <c r="B2373" t="s">
        <v>342</v>
      </c>
      <c r="C2373" t="s">
        <v>33</v>
      </c>
      <c r="D2373" t="s">
        <v>12</v>
      </c>
      <c r="E2373" t="s">
        <v>658</v>
      </c>
      <c r="F2373" t="s">
        <v>160</v>
      </c>
      <c r="G2373" t="s">
        <v>369</v>
      </c>
      <c r="H2373" t="s">
        <v>820</v>
      </c>
      <c r="I2373" t="s">
        <v>821</v>
      </c>
      <c r="J2373" t="s">
        <v>822</v>
      </c>
      <c r="K2373" t="s">
        <v>701</v>
      </c>
      <c r="L2373" t="s">
        <v>993</v>
      </c>
      <c r="M2373" t="s">
        <v>11</v>
      </c>
      <c r="N2373" t="s">
        <v>11</v>
      </c>
      <c r="O2373" t="s">
        <v>11</v>
      </c>
      <c r="P2373" t="s">
        <v>0</v>
      </c>
      <c r="Q2373" t="s">
        <v>408</v>
      </c>
      <c r="R2373" t="s">
        <v>439</v>
      </c>
      <c r="S2373" t="s">
        <v>451</v>
      </c>
      <c r="T2373" t="s">
        <v>408</v>
      </c>
      <c r="U2373" t="s">
        <v>408</v>
      </c>
    </row>
    <row r="2374" spans="1:21" x14ac:dyDescent="0.25">
      <c r="A2374">
        <v>22350213</v>
      </c>
      <c r="B2374" t="s">
        <v>342</v>
      </c>
      <c r="C2374" t="s">
        <v>33</v>
      </c>
      <c r="D2374" t="s">
        <v>18</v>
      </c>
      <c r="E2374" t="s">
        <v>658</v>
      </c>
      <c r="F2374" t="s">
        <v>160</v>
      </c>
      <c r="G2374" t="s">
        <v>369</v>
      </c>
      <c r="H2374" t="s">
        <v>820</v>
      </c>
      <c r="I2374" t="s">
        <v>821</v>
      </c>
      <c r="J2374" t="s">
        <v>822</v>
      </c>
      <c r="K2374" t="s">
        <v>701</v>
      </c>
      <c r="L2374" t="s">
        <v>993</v>
      </c>
      <c r="M2374" t="s">
        <v>11</v>
      </c>
      <c r="N2374" t="s">
        <v>11</v>
      </c>
      <c r="O2374" t="s">
        <v>11</v>
      </c>
      <c r="P2374" t="s">
        <v>0</v>
      </c>
      <c r="Q2374" t="s">
        <v>408</v>
      </c>
      <c r="R2374" t="s">
        <v>439</v>
      </c>
      <c r="S2374" t="s">
        <v>451</v>
      </c>
      <c r="T2374" t="s">
        <v>408</v>
      </c>
      <c r="U2374" t="s">
        <v>408</v>
      </c>
    </row>
    <row r="2375" spans="1:21" x14ac:dyDescent="0.25">
      <c r="A2375">
        <v>22350214</v>
      </c>
      <c r="B2375" t="s">
        <v>340</v>
      </c>
      <c r="C2375" t="s">
        <v>26</v>
      </c>
      <c r="D2375" t="s">
        <v>12</v>
      </c>
      <c r="E2375" t="s">
        <v>530</v>
      </c>
      <c r="F2375" t="s">
        <v>161</v>
      </c>
      <c r="G2375" t="s">
        <v>369</v>
      </c>
      <c r="H2375" t="s">
        <v>786</v>
      </c>
      <c r="I2375" t="s">
        <v>787</v>
      </c>
      <c r="J2375" t="s">
        <v>788</v>
      </c>
      <c r="K2375" t="s">
        <v>789</v>
      </c>
      <c r="L2375" t="s">
        <v>979</v>
      </c>
      <c r="M2375" t="s">
        <v>408</v>
      </c>
      <c r="N2375" t="s">
        <v>11</v>
      </c>
      <c r="O2375" t="s">
        <v>408</v>
      </c>
      <c r="P2375" t="s">
        <v>0</v>
      </c>
      <c r="Q2375" t="s">
        <v>408</v>
      </c>
      <c r="R2375" t="s">
        <v>439</v>
      </c>
      <c r="S2375" t="s">
        <v>440</v>
      </c>
      <c r="T2375" t="s">
        <v>11</v>
      </c>
      <c r="U2375" t="s">
        <v>408</v>
      </c>
    </row>
    <row r="2376" spans="1:21" x14ac:dyDescent="0.25">
      <c r="A2376">
        <v>22350216</v>
      </c>
      <c r="B2376" t="s">
        <v>342</v>
      </c>
      <c r="C2376" t="s">
        <v>33</v>
      </c>
      <c r="D2376" t="s">
        <v>12</v>
      </c>
      <c r="E2376" t="s">
        <v>658</v>
      </c>
      <c r="F2376" t="s">
        <v>155</v>
      </c>
      <c r="G2376" t="s">
        <v>369</v>
      </c>
      <c r="H2376" t="s">
        <v>1025</v>
      </c>
      <c r="I2376" t="s">
        <v>1024</v>
      </c>
      <c r="J2376" t="s">
        <v>1023</v>
      </c>
      <c r="K2376" t="s">
        <v>910</v>
      </c>
      <c r="L2376" t="s">
        <v>0</v>
      </c>
      <c r="M2376" t="s">
        <v>408</v>
      </c>
      <c r="N2376" t="s">
        <v>11</v>
      </c>
      <c r="O2376" t="s">
        <v>11</v>
      </c>
      <c r="P2376" t="s">
        <v>0</v>
      </c>
      <c r="Q2376" t="s">
        <v>408</v>
      </c>
      <c r="R2376" t="s">
        <v>439</v>
      </c>
      <c r="S2376" t="s">
        <v>451</v>
      </c>
      <c r="T2376" t="s">
        <v>11</v>
      </c>
      <c r="U2376" t="s">
        <v>408</v>
      </c>
    </row>
    <row r="2377" spans="1:21" x14ac:dyDescent="0.25">
      <c r="A2377">
        <v>22350217</v>
      </c>
      <c r="B2377" t="s">
        <v>340</v>
      </c>
      <c r="C2377" t="s">
        <v>86</v>
      </c>
      <c r="D2377" t="s">
        <v>12</v>
      </c>
      <c r="E2377" t="s">
        <v>530</v>
      </c>
      <c r="F2377" t="s">
        <v>161</v>
      </c>
      <c r="G2377" t="s">
        <v>468</v>
      </c>
      <c r="H2377" t="s">
        <v>900</v>
      </c>
      <c r="I2377" t="s">
        <v>899</v>
      </c>
      <c r="J2377" t="s">
        <v>898</v>
      </c>
      <c r="K2377" t="s">
        <v>453</v>
      </c>
      <c r="L2377" t="s">
        <v>979</v>
      </c>
      <c r="M2377" t="s">
        <v>408</v>
      </c>
      <c r="N2377" t="s">
        <v>11</v>
      </c>
      <c r="O2377" t="s">
        <v>408</v>
      </c>
      <c r="P2377" t="s">
        <v>0</v>
      </c>
      <c r="Q2377" t="s">
        <v>408</v>
      </c>
      <c r="R2377" t="s">
        <v>439</v>
      </c>
      <c r="S2377" t="s">
        <v>451</v>
      </c>
      <c r="T2377" t="s">
        <v>11</v>
      </c>
      <c r="U2377" t="s">
        <v>408</v>
      </c>
    </row>
    <row r="2378" spans="1:21" x14ac:dyDescent="0.25">
      <c r="A2378">
        <v>22350218</v>
      </c>
      <c r="B2378" t="s">
        <v>342</v>
      </c>
      <c r="C2378" t="s">
        <v>89</v>
      </c>
      <c r="D2378" t="s">
        <v>12</v>
      </c>
      <c r="E2378" t="s">
        <v>658</v>
      </c>
      <c r="F2378" t="s">
        <v>155</v>
      </c>
      <c r="G2378" t="s">
        <v>468</v>
      </c>
      <c r="H2378" t="s">
        <v>765</v>
      </c>
      <c r="I2378" t="s">
        <v>766</v>
      </c>
      <c r="J2378" t="s">
        <v>767</v>
      </c>
      <c r="K2378" t="s">
        <v>444</v>
      </c>
      <c r="L2378" t="s">
        <v>993</v>
      </c>
      <c r="M2378" t="s">
        <v>11</v>
      </c>
      <c r="N2378" t="s">
        <v>11</v>
      </c>
      <c r="O2378" t="s">
        <v>11</v>
      </c>
      <c r="P2378" t="s">
        <v>0</v>
      </c>
      <c r="Q2378" t="s">
        <v>408</v>
      </c>
      <c r="R2378" t="s">
        <v>439</v>
      </c>
      <c r="S2378" t="s">
        <v>451</v>
      </c>
      <c r="T2378" t="s">
        <v>408</v>
      </c>
      <c r="U2378" t="s">
        <v>408</v>
      </c>
    </row>
    <row r="2379" spans="1:21" x14ac:dyDescent="0.25">
      <c r="A2379">
        <v>22350220</v>
      </c>
      <c r="B2379" t="s">
        <v>340</v>
      </c>
      <c r="C2379" t="s">
        <v>86</v>
      </c>
      <c r="D2379" t="s">
        <v>12</v>
      </c>
      <c r="E2379" t="s">
        <v>530</v>
      </c>
      <c r="F2379" t="s">
        <v>154</v>
      </c>
      <c r="G2379" t="s">
        <v>468</v>
      </c>
      <c r="H2379" t="s">
        <v>900</v>
      </c>
      <c r="I2379" t="s">
        <v>899</v>
      </c>
      <c r="J2379" t="s">
        <v>898</v>
      </c>
      <c r="K2379" t="s">
        <v>453</v>
      </c>
      <c r="L2379" t="s">
        <v>979</v>
      </c>
      <c r="M2379" t="s">
        <v>408</v>
      </c>
      <c r="N2379" t="s">
        <v>11</v>
      </c>
      <c r="O2379" t="s">
        <v>408</v>
      </c>
      <c r="P2379" t="s">
        <v>0</v>
      </c>
      <c r="Q2379" t="s">
        <v>408</v>
      </c>
      <c r="R2379" t="s">
        <v>439</v>
      </c>
      <c r="S2379" t="s">
        <v>451</v>
      </c>
      <c r="T2379" t="s">
        <v>11</v>
      </c>
      <c r="U2379" t="s">
        <v>408</v>
      </c>
    </row>
    <row r="2380" spans="1:21" x14ac:dyDescent="0.25">
      <c r="A2380">
        <v>22350221</v>
      </c>
      <c r="B2380" t="s">
        <v>342</v>
      </c>
      <c r="C2380" t="s">
        <v>89</v>
      </c>
      <c r="D2380" t="s">
        <v>12</v>
      </c>
      <c r="E2380" t="s">
        <v>658</v>
      </c>
      <c r="F2380" t="s">
        <v>160</v>
      </c>
      <c r="G2380" t="s">
        <v>468</v>
      </c>
      <c r="H2380" t="s">
        <v>996</v>
      </c>
      <c r="I2380" t="s">
        <v>995</v>
      </c>
      <c r="J2380" t="s">
        <v>994</v>
      </c>
      <c r="K2380" t="s">
        <v>438</v>
      </c>
      <c r="L2380" t="s">
        <v>993</v>
      </c>
      <c r="M2380" t="s">
        <v>11</v>
      </c>
      <c r="N2380" t="s">
        <v>11</v>
      </c>
      <c r="O2380" t="s">
        <v>11</v>
      </c>
      <c r="P2380" t="s">
        <v>0</v>
      </c>
      <c r="Q2380" t="s">
        <v>408</v>
      </c>
      <c r="R2380" t="s">
        <v>439</v>
      </c>
      <c r="S2380" t="s">
        <v>451</v>
      </c>
      <c r="T2380" t="s">
        <v>408</v>
      </c>
      <c r="U2380" t="s">
        <v>408</v>
      </c>
    </row>
    <row r="2381" spans="1:21" x14ac:dyDescent="0.25">
      <c r="A2381">
        <v>22350222</v>
      </c>
      <c r="B2381" t="s">
        <v>340</v>
      </c>
      <c r="C2381" t="s">
        <v>86</v>
      </c>
      <c r="D2381" t="s">
        <v>12</v>
      </c>
      <c r="E2381" t="s">
        <v>658</v>
      </c>
      <c r="F2381" t="s">
        <v>160</v>
      </c>
      <c r="G2381" t="s">
        <v>468</v>
      </c>
      <c r="H2381" t="s">
        <v>617</v>
      </c>
      <c r="I2381" t="s">
        <v>618</v>
      </c>
      <c r="J2381" t="s">
        <v>619</v>
      </c>
      <c r="K2381" t="s">
        <v>606</v>
      </c>
      <c r="L2381" t="s">
        <v>375</v>
      </c>
      <c r="M2381" t="s">
        <v>408</v>
      </c>
      <c r="N2381" t="s">
        <v>11</v>
      </c>
      <c r="O2381" t="s">
        <v>11</v>
      </c>
      <c r="P2381" t="s">
        <v>0</v>
      </c>
      <c r="Q2381" t="s">
        <v>408</v>
      </c>
      <c r="R2381" t="s">
        <v>439</v>
      </c>
      <c r="S2381" t="s">
        <v>451</v>
      </c>
      <c r="T2381" t="s">
        <v>11</v>
      </c>
      <c r="U2381" t="s">
        <v>408</v>
      </c>
    </row>
    <row r="2382" spans="1:21" x14ac:dyDescent="0.25">
      <c r="A2382">
        <v>22350223</v>
      </c>
      <c r="B2382" t="s">
        <v>342</v>
      </c>
      <c r="C2382" t="s">
        <v>89</v>
      </c>
      <c r="D2382" t="s">
        <v>12</v>
      </c>
      <c r="E2382" t="s">
        <v>658</v>
      </c>
      <c r="F2382" t="s">
        <v>160</v>
      </c>
      <c r="G2382" t="s">
        <v>468</v>
      </c>
      <c r="H2382" t="s">
        <v>0</v>
      </c>
      <c r="I2382" t="s">
        <v>436</v>
      </c>
      <c r="J2382" t="s">
        <v>437</v>
      </c>
      <c r="K2382" t="s">
        <v>438</v>
      </c>
      <c r="L2382" t="s">
        <v>345</v>
      </c>
      <c r="M2382" t="s">
        <v>408</v>
      </c>
      <c r="N2382" t="s">
        <v>11</v>
      </c>
      <c r="O2382" t="s">
        <v>11</v>
      </c>
      <c r="P2382" t="s">
        <v>0</v>
      </c>
      <c r="Q2382" t="s">
        <v>408</v>
      </c>
      <c r="R2382" t="s">
        <v>439</v>
      </c>
      <c r="S2382" t="s">
        <v>440</v>
      </c>
      <c r="T2382" t="s">
        <v>11</v>
      </c>
      <c r="U2382" t="s">
        <v>408</v>
      </c>
    </row>
    <row r="2383" spans="1:21" x14ac:dyDescent="0.25">
      <c r="A2383">
        <v>22350224</v>
      </c>
      <c r="B2383" t="s">
        <v>340</v>
      </c>
      <c r="C2383" t="s">
        <v>86</v>
      </c>
      <c r="D2383" t="s">
        <v>12</v>
      </c>
      <c r="E2383" t="s">
        <v>658</v>
      </c>
      <c r="F2383" t="s">
        <v>160</v>
      </c>
      <c r="G2383" t="s">
        <v>468</v>
      </c>
      <c r="H2383" t="s">
        <v>1032</v>
      </c>
      <c r="I2383" t="s">
        <v>1031</v>
      </c>
      <c r="J2383" t="s">
        <v>1030</v>
      </c>
      <c r="K2383" t="s">
        <v>701</v>
      </c>
      <c r="L2383" t="s">
        <v>1029</v>
      </c>
      <c r="M2383" t="s">
        <v>408</v>
      </c>
      <c r="N2383" t="s">
        <v>11</v>
      </c>
      <c r="O2383" t="s">
        <v>408</v>
      </c>
      <c r="P2383" t="s">
        <v>0</v>
      </c>
      <c r="Q2383" t="s">
        <v>408</v>
      </c>
      <c r="R2383" t="s">
        <v>439</v>
      </c>
      <c r="S2383" t="s">
        <v>451</v>
      </c>
      <c r="T2383" t="s">
        <v>11</v>
      </c>
      <c r="U2383" t="s">
        <v>408</v>
      </c>
    </row>
    <row r="2384" spans="1:21" x14ac:dyDescent="0.25">
      <c r="A2384">
        <v>22350226</v>
      </c>
      <c r="B2384" t="s">
        <v>342</v>
      </c>
      <c r="C2384" t="s">
        <v>89</v>
      </c>
      <c r="D2384" t="s">
        <v>12</v>
      </c>
      <c r="E2384" t="s">
        <v>530</v>
      </c>
      <c r="F2384" t="s">
        <v>154</v>
      </c>
      <c r="G2384" t="s">
        <v>468</v>
      </c>
      <c r="H2384" t="s">
        <v>838</v>
      </c>
      <c r="I2384" t="s">
        <v>839</v>
      </c>
      <c r="J2384" t="s">
        <v>839</v>
      </c>
      <c r="K2384" t="s">
        <v>450</v>
      </c>
      <c r="L2384" t="s">
        <v>819</v>
      </c>
      <c r="M2384" t="s">
        <v>408</v>
      </c>
      <c r="N2384" t="s">
        <v>11</v>
      </c>
      <c r="O2384" t="s">
        <v>11</v>
      </c>
      <c r="P2384" t="s">
        <v>0</v>
      </c>
      <c r="Q2384" t="s">
        <v>11</v>
      </c>
      <c r="R2384" t="s">
        <v>439</v>
      </c>
      <c r="S2384" t="s">
        <v>451</v>
      </c>
      <c r="T2384" t="s">
        <v>11</v>
      </c>
      <c r="U2384" t="s">
        <v>11</v>
      </c>
    </row>
    <row r="2385" spans="1:21" x14ac:dyDescent="0.25">
      <c r="A2385">
        <v>22350227</v>
      </c>
      <c r="B2385" t="s">
        <v>342</v>
      </c>
      <c r="C2385" t="s">
        <v>89</v>
      </c>
      <c r="D2385" t="s">
        <v>12</v>
      </c>
      <c r="E2385" t="s">
        <v>658</v>
      </c>
      <c r="F2385" t="s">
        <v>160</v>
      </c>
      <c r="G2385" t="s">
        <v>468</v>
      </c>
      <c r="H2385" t="s">
        <v>812</v>
      </c>
      <c r="I2385" t="s">
        <v>813</v>
      </c>
      <c r="J2385" t="s">
        <v>814</v>
      </c>
      <c r="K2385" t="s">
        <v>438</v>
      </c>
      <c r="L2385" t="s">
        <v>805</v>
      </c>
      <c r="M2385" t="s">
        <v>408</v>
      </c>
      <c r="N2385" t="s">
        <v>11</v>
      </c>
      <c r="O2385" t="s">
        <v>408</v>
      </c>
      <c r="P2385" t="s">
        <v>0</v>
      </c>
      <c r="Q2385" t="s">
        <v>408</v>
      </c>
      <c r="R2385" t="s">
        <v>439</v>
      </c>
      <c r="S2385" t="s">
        <v>451</v>
      </c>
      <c r="T2385" t="s">
        <v>11</v>
      </c>
      <c r="U2385" t="s">
        <v>408</v>
      </c>
    </row>
    <row r="2386" spans="1:21" x14ac:dyDescent="0.25">
      <c r="A2386">
        <v>22350229</v>
      </c>
      <c r="B2386" t="s">
        <v>342</v>
      </c>
      <c r="C2386" t="s">
        <v>33</v>
      </c>
      <c r="D2386" t="s">
        <v>18</v>
      </c>
      <c r="E2386" t="s">
        <v>658</v>
      </c>
      <c r="F2386" t="s">
        <v>160</v>
      </c>
      <c r="G2386" t="s">
        <v>369</v>
      </c>
      <c r="H2386" t="s">
        <v>1025</v>
      </c>
      <c r="I2386" t="s">
        <v>1024</v>
      </c>
      <c r="J2386" t="s">
        <v>1023</v>
      </c>
      <c r="K2386" t="s">
        <v>910</v>
      </c>
      <c r="L2386" t="s">
        <v>0</v>
      </c>
      <c r="M2386" t="s">
        <v>408</v>
      </c>
      <c r="N2386" t="s">
        <v>11</v>
      </c>
      <c r="O2386" t="s">
        <v>11</v>
      </c>
      <c r="P2386" t="s">
        <v>0</v>
      </c>
      <c r="Q2386" t="s">
        <v>408</v>
      </c>
      <c r="R2386" t="s">
        <v>439</v>
      </c>
      <c r="S2386" t="s">
        <v>451</v>
      </c>
      <c r="T2386" t="s">
        <v>11</v>
      </c>
      <c r="U2386" t="s">
        <v>408</v>
      </c>
    </row>
    <row r="2387" spans="1:21" x14ac:dyDescent="0.25">
      <c r="A2387">
        <v>22350231</v>
      </c>
      <c r="B2387" t="s">
        <v>342</v>
      </c>
      <c r="C2387" t="s">
        <v>89</v>
      </c>
      <c r="D2387" t="s">
        <v>12</v>
      </c>
      <c r="E2387" t="s">
        <v>658</v>
      </c>
      <c r="F2387" t="s">
        <v>88</v>
      </c>
      <c r="G2387" t="s">
        <v>468</v>
      </c>
      <c r="H2387" t="s">
        <v>765</v>
      </c>
      <c r="I2387" t="s">
        <v>766</v>
      </c>
      <c r="J2387" t="s">
        <v>767</v>
      </c>
      <c r="K2387" t="s">
        <v>444</v>
      </c>
      <c r="L2387" t="s">
        <v>1014</v>
      </c>
      <c r="M2387" t="s">
        <v>11</v>
      </c>
      <c r="N2387" t="s">
        <v>11</v>
      </c>
      <c r="O2387" t="s">
        <v>11</v>
      </c>
      <c r="P2387" t="s">
        <v>0</v>
      </c>
      <c r="Q2387" t="s">
        <v>408</v>
      </c>
      <c r="R2387" t="s">
        <v>439</v>
      </c>
      <c r="S2387" t="s">
        <v>451</v>
      </c>
      <c r="T2387" t="s">
        <v>408</v>
      </c>
      <c r="U2387" t="s">
        <v>408</v>
      </c>
    </row>
    <row r="2388" spans="1:21" x14ac:dyDescent="0.25">
      <c r="A2388">
        <v>22350234</v>
      </c>
      <c r="B2388" t="s">
        <v>342</v>
      </c>
      <c r="C2388" t="s">
        <v>89</v>
      </c>
      <c r="D2388" t="s">
        <v>18</v>
      </c>
      <c r="E2388" t="s">
        <v>658</v>
      </c>
      <c r="F2388" t="s">
        <v>160</v>
      </c>
      <c r="G2388" t="s">
        <v>468</v>
      </c>
      <c r="H2388" t="s">
        <v>765</v>
      </c>
      <c r="I2388" t="s">
        <v>766</v>
      </c>
      <c r="J2388" t="s">
        <v>767</v>
      </c>
      <c r="K2388" t="s">
        <v>444</v>
      </c>
      <c r="L2388" t="s">
        <v>1014</v>
      </c>
      <c r="M2388" t="s">
        <v>11</v>
      </c>
      <c r="N2388" t="s">
        <v>11</v>
      </c>
      <c r="O2388" t="s">
        <v>11</v>
      </c>
      <c r="P2388" t="s">
        <v>0</v>
      </c>
      <c r="Q2388" t="s">
        <v>408</v>
      </c>
      <c r="R2388" t="s">
        <v>439</v>
      </c>
      <c r="S2388" t="s">
        <v>451</v>
      </c>
      <c r="T2388" t="s">
        <v>408</v>
      </c>
      <c r="U2388" t="s">
        <v>408</v>
      </c>
    </row>
    <row r="2389" spans="1:21" x14ac:dyDescent="0.25">
      <c r="A2389">
        <v>22350235</v>
      </c>
      <c r="B2389" t="s">
        <v>342</v>
      </c>
      <c r="C2389" t="s">
        <v>89</v>
      </c>
      <c r="D2389" t="s">
        <v>12</v>
      </c>
      <c r="E2389" t="s">
        <v>658</v>
      </c>
      <c r="F2389" t="s">
        <v>569</v>
      </c>
      <c r="G2389" t="s">
        <v>468</v>
      </c>
      <c r="H2389" t="s">
        <v>765</v>
      </c>
      <c r="I2389" t="s">
        <v>766</v>
      </c>
      <c r="J2389" t="s">
        <v>767</v>
      </c>
      <c r="K2389" t="s">
        <v>444</v>
      </c>
      <c r="L2389" t="s">
        <v>678</v>
      </c>
      <c r="M2389" t="s">
        <v>11</v>
      </c>
      <c r="N2389" t="s">
        <v>11</v>
      </c>
      <c r="O2389" t="s">
        <v>11</v>
      </c>
      <c r="P2389" t="s">
        <v>0</v>
      </c>
      <c r="Q2389" t="s">
        <v>408</v>
      </c>
      <c r="R2389" t="s">
        <v>439</v>
      </c>
      <c r="S2389" t="s">
        <v>451</v>
      </c>
      <c r="T2389" t="s">
        <v>408</v>
      </c>
      <c r="U2389" t="s">
        <v>408</v>
      </c>
    </row>
    <row r="2390" spans="1:21" x14ac:dyDescent="0.25">
      <c r="A2390">
        <v>22350236</v>
      </c>
      <c r="B2390" t="s">
        <v>342</v>
      </c>
      <c r="C2390" t="s">
        <v>33</v>
      </c>
      <c r="D2390" t="s">
        <v>24</v>
      </c>
      <c r="E2390" t="s">
        <v>530</v>
      </c>
      <c r="F2390" t="s">
        <v>154</v>
      </c>
      <c r="G2390" t="s">
        <v>369</v>
      </c>
      <c r="H2390" t="s">
        <v>820</v>
      </c>
      <c r="I2390" t="s">
        <v>821</v>
      </c>
      <c r="J2390" t="s">
        <v>822</v>
      </c>
      <c r="K2390" t="s">
        <v>701</v>
      </c>
      <c r="L2390" t="s">
        <v>993</v>
      </c>
      <c r="M2390" t="s">
        <v>11</v>
      </c>
      <c r="N2390" t="s">
        <v>11</v>
      </c>
      <c r="O2390" t="s">
        <v>11</v>
      </c>
      <c r="P2390" t="s">
        <v>0</v>
      </c>
      <c r="Q2390" t="s">
        <v>408</v>
      </c>
      <c r="R2390" t="s">
        <v>439</v>
      </c>
      <c r="S2390" t="s">
        <v>451</v>
      </c>
      <c r="T2390" t="s">
        <v>408</v>
      </c>
      <c r="U2390" t="s">
        <v>408</v>
      </c>
    </row>
    <row r="2391" spans="1:21" x14ac:dyDescent="0.25">
      <c r="A2391">
        <v>22350237</v>
      </c>
      <c r="B2391" t="s">
        <v>342</v>
      </c>
      <c r="C2391" t="s">
        <v>89</v>
      </c>
      <c r="D2391" t="s">
        <v>12</v>
      </c>
      <c r="E2391" t="s">
        <v>530</v>
      </c>
      <c r="F2391" t="s">
        <v>154</v>
      </c>
      <c r="G2391" t="s">
        <v>468</v>
      </c>
      <c r="H2391" t="s">
        <v>765</v>
      </c>
      <c r="I2391" t="s">
        <v>766</v>
      </c>
      <c r="J2391" t="s">
        <v>767</v>
      </c>
      <c r="K2391" t="s">
        <v>444</v>
      </c>
      <c r="L2391" t="s">
        <v>993</v>
      </c>
      <c r="M2391" t="s">
        <v>11</v>
      </c>
      <c r="N2391" t="s">
        <v>11</v>
      </c>
      <c r="O2391" t="s">
        <v>11</v>
      </c>
      <c r="P2391" t="s">
        <v>0</v>
      </c>
      <c r="Q2391" t="s">
        <v>408</v>
      </c>
      <c r="R2391" t="s">
        <v>439</v>
      </c>
      <c r="S2391" t="s">
        <v>451</v>
      </c>
      <c r="T2391" t="s">
        <v>408</v>
      </c>
      <c r="U2391" t="s">
        <v>408</v>
      </c>
    </row>
    <row r="2392" spans="1:21" x14ac:dyDescent="0.25">
      <c r="A2392">
        <v>22350238</v>
      </c>
      <c r="B2392" t="s">
        <v>342</v>
      </c>
      <c r="C2392" t="s">
        <v>33</v>
      </c>
      <c r="D2392" t="s">
        <v>18</v>
      </c>
      <c r="E2392" t="s">
        <v>658</v>
      </c>
      <c r="F2392" t="s">
        <v>88</v>
      </c>
      <c r="G2392" t="s">
        <v>369</v>
      </c>
      <c r="H2392" t="s">
        <v>820</v>
      </c>
      <c r="I2392" t="s">
        <v>821</v>
      </c>
      <c r="J2392" t="s">
        <v>822</v>
      </c>
      <c r="K2392" t="s">
        <v>701</v>
      </c>
      <c r="L2392" t="s">
        <v>1014</v>
      </c>
      <c r="M2392" t="s">
        <v>11</v>
      </c>
      <c r="N2392" t="s">
        <v>11</v>
      </c>
      <c r="O2392" t="s">
        <v>11</v>
      </c>
      <c r="P2392" t="s">
        <v>0</v>
      </c>
      <c r="Q2392" t="s">
        <v>408</v>
      </c>
      <c r="R2392" t="s">
        <v>439</v>
      </c>
      <c r="S2392" t="s">
        <v>451</v>
      </c>
      <c r="T2392" t="s">
        <v>408</v>
      </c>
      <c r="U2392" t="s">
        <v>408</v>
      </c>
    </row>
    <row r="2393" spans="1:21" x14ac:dyDescent="0.25">
      <c r="A2393">
        <v>22350239</v>
      </c>
      <c r="B2393" t="s">
        <v>340</v>
      </c>
      <c r="C2393" t="s">
        <v>86</v>
      </c>
      <c r="D2393" t="s">
        <v>12</v>
      </c>
      <c r="E2393" t="s">
        <v>658</v>
      </c>
      <c r="F2393" t="s">
        <v>160</v>
      </c>
      <c r="G2393" t="s">
        <v>468</v>
      </c>
      <c r="H2393" t="s">
        <v>447</v>
      </c>
      <c r="I2393" t="s">
        <v>448</v>
      </c>
      <c r="J2393" t="s">
        <v>449</v>
      </c>
      <c r="K2393" t="s">
        <v>450</v>
      </c>
      <c r="L2393" t="s">
        <v>375</v>
      </c>
      <c r="M2393" t="s">
        <v>408</v>
      </c>
      <c r="N2393" t="s">
        <v>11</v>
      </c>
      <c r="O2393" t="s">
        <v>11</v>
      </c>
      <c r="P2393" t="s">
        <v>0</v>
      </c>
      <c r="Q2393" t="s">
        <v>408</v>
      </c>
      <c r="R2393" t="s">
        <v>439</v>
      </c>
      <c r="S2393" t="s">
        <v>451</v>
      </c>
      <c r="T2393" t="s">
        <v>11</v>
      </c>
      <c r="U2393" t="s">
        <v>408</v>
      </c>
    </row>
    <row r="2394" spans="1:21" x14ac:dyDescent="0.25">
      <c r="A2394">
        <v>22350240</v>
      </c>
      <c r="B2394" t="s">
        <v>342</v>
      </c>
      <c r="C2394" t="s">
        <v>33</v>
      </c>
      <c r="D2394" t="s">
        <v>12</v>
      </c>
      <c r="E2394" t="s">
        <v>658</v>
      </c>
      <c r="F2394" t="s">
        <v>160</v>
      </c>
      <c r="G2394" t="s">
        <v>369</v>
      </c>
      <c r="H2394" t="s">
        <v>1025</v>
      </c>
      <c r="I2394" t="s">
        <v>1024</v>
      </c>
      <c r="J2394" t="s">
        <v>1023</v>
      </c>
      <c r="K2394" t="s">
        <v>910</v>
      </c>
      <c r="L2394" t="s">
        <v>0</v>
      </c>
      <c r="M2394" t="s">
        <v>408</v>
      </c>
      <c r="N2394" t="s">
        <v>11</v>
      </c>
      <c r="O2394" t="s">
        <v>11</v>
      </c>
      <c r="P2394" t="s">
        <v>0</v>
      </c>
      <c r="Q2394" t="s">
        <v>408</v>
      </c>
      <c r="R2394" t="s">
        <v>439</v>
      </c>
      <c r="S2394" t="s">
        <v>451</v>
      </c>
      <c r="T2394" t="s">
        <v>11</v>
      </c>
      <c r="U2394" t="s">
        <v>408</v>
      </c>
    </row>
    <row r="2395" spans="1:21" x14ac:dyDescent="0.25">
      <c r="A2395">
        <v>22350241</v>
      </c>
      <c r="B2395" t="s">
        <v>342</v>
      </c>
      <c r="C2395" t="s">
        <v>89</v>
      </c>
      <c r="D2395" t="s">
        <v>12</v>
      </c>
      <c r="E2395" t="s">
        <v>658</v>
      </c>
      <c r="F2395" t="s">
        <v>155</v>
      </c>
      <c r="G2395" t="s">
        <v>468</v>
      </c>
      <c r="H2395" t="s">
        <v>884</v>
      </c>
      <c r="I2395" t="s">
        <v>883</v>
      </c>
      <c r="J2395" t="s">
        <v>882</v>
      </c>
      <c r="K2395" t="s">
        <v>450</v>
      </c>
      <c r="L2395" t="s">
        <v>993</v>
      </c>
      <c r="M2395" t="s">
        <v>11</v>
      </c>
      <c r="N2395" t="s">
        <v>11</v>
      </c>
      <c r="O2395" t="s">
        <v>11</v>
      </c>
      <c r="P2395" t="s">
        <v>0</v>
      </c>
      <c r="Q2395" t="s">
        <v>408</v>
      </c>
      <c r="R2395" t="s">
        <v>439</v>
      </c>
      <c r="S2395" t="s">
        <v>451</v>
      </c>
      <c r="T2395" t="s">
        <v>408</v>
      </c>
      <c r="U2395" t="s">
        <v>408</v>
      </c>
    </row>
    <row r="2396" spans="1:21" x14ac:dyDescent="0.25">
      <c r="A2396">
        <v>22350244</v>
      </c>
      <c r="B2396" t="s">
        <v>342</v>
      </c>
      <c r="C2396" t="s">
        <v>33</v>
      </c>
      <c r="D2396" t="s">
        <v>12</v>
      </c>
      <c r="E2396" t="s">
        <v>658</v>
      </c>
      <c r="F2396" t="s">
        <v>88</v>
      </c>
      <c r="G2396" t="s">
        <v>468</v>
      </c>
      <c r="H2396" t="s">
        <v>820</v>
      </c>
      <c r="I2396" t="s">
        <v>821</v>
      </c>
      <c r="J2396" t="s">
        <v>822</v>
      </c>
      <c r="K2396" t="s">
        <v>701</v>
      </c>
      <c r="L2396" t="s">
        <v>1028</v>
      </c>
      <c r="M2396" t="s">
        <v>11</v>
      </c>
      <c r="N2396" t="s">
        <v>11</v>
      </c>
      <c r="O2396" t="s">
        <v>408</v>
      </c>
      <c r="P2396" t="s">
        <v>0</v>
      </c>
      <c r="Q2396" t="s">
        <v>408</v>
      </c>
      <c r="R2396" t="s">
        <v>439</v>
      </c>
      <c r="S2396" t="s">
        <v>451</v>
      </c>
      <c r="T2396" t="s">
        <v>408</v>
      </c>
      <c r="U2396" t="s">
        <v>408</v>
      </c>
    </row>
    <row r="2397" spans="1:21" x14ac:dyDescent="0.25">
      <c r="A2397">
        <v>22350245</v>
      </c>
      <c r="B2397" t="s">
        <v>342</v>
      </c>
      <c r="C2397" t="s">
        <v>89</v>
      </c>
      <c r="D2397" t="s">
        <v>12</v>
      </c>
      <c r="E2397" t="s">
        <v>658</v>
      </c>
      <c r="F2397" t="s">
        <v>160</v>
      </c>
      <c r="G2397" t="s">
        <v>468</v>
      </c>
      <c r="H2397" t="s">
        <v>884</v>
      </c>
      <c r="I2397" t="s">
        <v>883</v>
      </c>
      <c r="J2397" t="s">
        <v>882</v>
      </c>
      <c r="K2397" t="s">
        <v>450</v>
      </c>
      <c r="L2397" t="s">
        <v>993</v>
      </c>
      <c r="M2397" t="s">
        <v>11</v>
      </c>
      <c r="N2397" t="s">
        <v>11</v>
      </c>
      <c r="O2397" t="s">
        <v>11</v>
      </c>
      <c r="P2397" t="s">
        <v>0</v>
      </c>
      <c r="Q2397" t="s">
        <v>408</v>
      </c>
      <c r="R2397" t="s">
        <v>439</v>
      </c>
      <c r="S2397" t="s">
        <v>451</v>
      </c>
      <c r="T2397" t="s">
        <v>408</v>
      </c>
      <c r="U2397" t="s">
        <v>408</v>
      </c>
    </row>
    <row r="2398" spans="1:21" x14ac:dyDescent="0.25">
      <c r="A2398">
        <v>16390587</v>
      </c>
      <c r="B2398" t="s">
        <v>340</v>
      </c>
      <c r="C2398" t="s">
        <v>26</v>
      </c>
      <c r="D2398" t="s">
        <v>12</v>
      </c>
      <c r="E2398" t="s">
        <v>740</v>
      </c>
      <c r="F2398" t="s">
        <v>58</v>
      </c>
      <c r="G2398" t="s">
        <v>468</v>
      </c>
      <c r="H2398" t="s">
        <v>447</v>
      </c>
      <c r="I2398" t="s">
        <v>448</v>
      </c>
      <c r="J2398" t="s">
        <v>449</v>
      </c>
      <c r="K2398" t="s">
        <v>450</v>
      </c>
      <c r="L2398" t="s">
        <v>370</v>
      </c>
      <c r="M2398" t="s">
        <v>408</v>
      </c>
      <c r="N2398" t="s">
        <v>408</v>
      </c>
      <c r="O2398" t="s">
        <v>11</v>
      </c>
      <c r="P2398" t="s">
        <v>0</v>
      </c>
      <c r="Q2398" t="s">
        <v>408</v>
      </c>
      <c r="R2398" t="s">
        <v>439</v>
      </c>
      <c r="S2398" t="s">
        <v>451</v>
      </c>
      <c r="T2398" t="s">
        <v>408</v>
      </c>
      <c r="U2398" t="s">
        <v>408</v>
      </c>
    </row>
    <row r="2399" spans="1:21" x14ac:dyDescent="0.25">
      <c r="A2399">
        <v>22350246</v>
      </c>
      <c r="B2399" t="s">
        <v>340</v>
      </c>
      <c r="C2399" t="s">
        <v>86</v>
      </c>
      <c r="D2399" t="s">
        <v>12</v>
      </c>
      <c r="E2399" t="s">
        <v>658</v>
      </c>
      <c r="F2399" t="s">
        <v>160</v>
      </c>
      <c r="G2399" t="s">
        <v>468</v>
      </c>
      <c r="H2399" t="s">
        <v>617</v>
      </c>
      <c r="I2399" t="s">
        <v>618</v>
      </c>
      <c r="J2399" t="s">
        <v>619</v>
      </c>
      <c r="K2399" t="s">
        <v>606</v>
      </c>
      <c r="L2399" t="s">
        <v>861</v>
      </c>
      <c r="M2399" t="s">
        <v>408</v>
      </c>
      <c r="N2399" t="s">
        <v>11</v>
      </c>
      <c r="O2399" t="s">
        <v>11</v>
      </c>
      <c r="P2399" t="s">
        <v>0</v>
      </c>
      <c r="Q2399" t="s">
        <v>408</v>
      </c>
      <c r="R2399" t="s">
        <v>439</v>
      </c>
      <c r="S2399" t="s">
        <v>451</v>
      </c>
      <c r="T2399" t="s">
        <v>11</v>
      </c>
      <c r="U2399" t="s">
        <v>408</v>
      </c>
    </row>
    <row r="2400" spans="1:21" x14ac:dyDescent="0.25">
      <c r="A2400">
        <v>22350247</v>
      </c>
      <c r="B2400" t="s">
        <v>340</v>
      </c>
      <c r="C2400" t="s">
        <v>86</v>
      </c>
      <c r="D2400" t="s">
        <v>12</v>
      </c>
      <c r="E2400" t="s">
        <v>658</v>
      </c>
      <c r="F2400" t="s">
        <v>160</v>
      </c>
      <c r="G2400" t="s">
        <v>468</v>
      </c>
      <c r="H2400" t="s">
        <v>447</v>
      </c>
      <c r="I2400" t="s">
        <v>448</v>
      </c>
      <c r="J2400" t="s">
        <v>449</v>
      </c>
      <c r="K2400" t="s">
        <v>450</v>
      </c>
      <c r="L2400" t="s">
        <v>861</v>
      </c>
      <c r="M2400" t="s">
        <v>408</v>
      </c>
      <c r="N2400" t="s">
        <v>11</v>
      </c>
      <c r="O2400" t="s">
        <v>11</v>
      </c>
      <c r="P2400" t="s">
        <v>0</v>
      </c>
      <c r="Q2400" t="s">
        <v>408</v>
      </c>
      <c r="R2400" t="s">
        <v>439</v>
      </c>
      <c r="S2400" t="s">
        <v>451</v>
      </c>
      <c r="T2400" t="s">
        <v>11</v>
      </c>
      <c r="U2400" t="s">
        <v>408</v>
      </c>
    </row>
    <row r="2401" spans="1:21" x14ac:dyDescent="0.25">
      <c r="A2401">
        <v>22350248</v>
      </c>
      <c r="B2401" t="s">
        <v>340</v>
      </c>
      <c r="C2401" t="s">
        <v>26</v>
      </c>
      <c r="D2401" t="s">
        <v>12</v>
      </c>
      <c r="E2401" t="s">
        <v>658</v>
      </c>
      <c r="F2401" t="s">
        <v>160</v>
      </c>
      <c r="G2401" t="s">
        <v>369</v>
      </c>
      <c r="H2401" t="s">
        <v>447</v>
      </c>
      <c r="I2401" t="s">
        <v>448</v>
      </c>
      <c r="J2401" t="s">
        <v>449</v>
      </c>
      <c r="K2401" t="s">
        <v>450</v>
      </c>
      <c r="L2401" t="s">
        <v>375</v>
      </c>
      <c r="M2401" t="s">
        <v>408</v>
      </c>
      <c r="N2401" t="s">
        <v>11</v>
      </c>
      <c r="O2401" t="s">
        <v>11</v>
      </c>
      <c r="P2401" t="s">
        <v>0</v>
      </c>
      <c r="Q2401" t="s">
        <v>408</v>
      </c>
      <c r="R2401" t="s">
        <v>439</v>
      </c>
      <c r="S2401" t="s">
        <v>451</v>
      </c>
      <c r="T2401" t="s">
        <v>11</v>
      </c>
      <c r="U2401" t="s">
        <v>408</v>
      </c>
    </row>
    <row r="2402" spans="1:21" x14ac:dyDescent="0.25">
      <c r="A2402">
        <v>22350249</v>
      </c>
      <c r="B2402" t="s">
        <v>340</v>
      </c>
      <c r="C2402" t="s">
        <v>86</v>
      </c>
      <c r="D2402" t="s">
        <v>12</v>
      </c>
      <c r="E2402" t="s">
        <v>658</v>
      </c>
      <c r="F2402" t="s">
        <v>160</v>
      </c>
      <c r="G2402" t="s">
        <v>468</v>
      </c>
      <c r="H2402" t="s">
        <v>447</v>
      </c>
      <c r="I2402" t="s">
        <v>448</v>
      </c>
      <c r="J2402" t="s">
        <v>449</v>
      </c>
      <c r="K2402" t="s">
        <v>450</v>
      </c>
      <c r="L2402" t="s">
        <v>375</v>
      </c>
      <c r="M2402" t="s">
        <v>408</v>
      </c>
      <c r="N2402" t="s">
        <v>11</v>
      </c>
      <c r="O2402" t="s">
        <v>11</v>
      </c>
      <c r="P2402" t="s">
        <v>0</v>
      </c>
      <c r="Q2402" t="s">
        <v>408</v>
      </c>
      <c r="R2402" t="s">
        <v>439</v>
      </c>
      <c r="S2402" t="s">
        <v>451</v>
      </c>
      <c r="T2402" t="s">
        <v>11</v>
      </c>
      <c r="U2402" t="s">
        <v>408</v>
      </c>
    </row>
    <row r="2403" spans="1:21" x14ac:dyDescent="0.25">
      <c r="A2403">
        <v>22350250</v>
      </c>
      <c r="B2403" t="s">
        <v>340</v>
      </c>
      <c r="C2403" t="s">
        <v>86</v>
      </c>
      <c r="D2403" t="s">
        <v>12</v>
      </c>
      <c r="E2403" t="s">
        <v>658</v>
      </c>
      <c r="F2403" t="s">
        <v>160</v>
      </c>
      <c r="G2403" t="s">
        <v>468</v>
      </c>
      <c r="H2403" t="s">
        <v>617</v>
      </c>
      <c r="I2403" t="s">
        <v>618</v>
      </c>
      <c r="J2403" t="s">
        <v>619</v>
      </c>
      <c r="K2403" t="s">
        <v>606</v>
      </c>
      <c r="L2403" t="s">
        <v>861</v>
      </c>
      <c r="M2403" t="s">
        <v>408</v>
      </c>
      <c r="N2403" t="s">
        <v>11</v>
      </c>
      <c r="O2403" t="s">
        <v>11</v>
      </c>
      <c r="P2403" t="s">
        <v>0</v>
      </c>
      <c r="Q2403" t="s">
        <v>408</v>
      </c>
      <c r="R2403" t="s">
        <v>439</v>
      </c>
      <c r="S2403" t="s">
        <v>451</v>
      </c>
      <c r="T2403" t="s">
        <v>11</v>
      </c>
      <c r="U2403" t="s">
        <v>408</v>
      </c>
    </row>
    <row r="2404" spans="1:21" x14ac:dyDescent="0.25">
      <c r="A2404">
        <v>22350251</v>
      </c>
      <c r="B2404" t="s">
        <v>340</v>
      </c>
      <c r="C2404" t="s">
        <v>86</v>
      </c>
      <c r="D2404" t="s">
        <v>12</v>
      </c>
      <c r="E2404" t="s">
        <v>658</v>
      </c>
      <c r="F2404" t="s">
        <v>160</v>
      </c>
      <c r="G2404" t="s">
        <v>468</v>
      </c>
      <c r="H2404" t="s">
        <v>1</v>
      </c>
      <c r="I2404" t="s">
        <v>469</v>
      </c>
      <c r="J2404" t="s">
        <v>445</v>
      </c>
      <c r="K2404" t="s">
        <v>438</v>
      </c>
      <c r="L2404" t="s">
        <v>0</v>
      </c>
      <c r="M2404" t="s">
        <v>408</v>
      </c>
      <c r="N2404" t="s">
        <v>11</v>
      </c>
      <c r="O2404" t="s">
        <v>11</v>
      </c>
      <c r="P2404" t="s">
        <v>0</v>
      </c>
      <c r="Q2404" t="s">
        <v>408</v>
      </c>
      <c r="R2404" t="s">
        <v>439</v>
      </c>
      <c r="S2404" t="s">
        <v>440</v>
      </c>
      <c r="T2404" t="s">
        <v>11</v>
      </c>
      <c r="U2404" t="s">
        <v>408</v>
      </c>
    </row>
    <row r="2405" spans="1:21" x14ac:dyDescent="0.25">
      <c r="A2405">
        <v>22350254</v>
      </c>
      <c r="B2405" t="s">
        <v>340</v>
      </c>
      <c r="C2405" t="s">
        <v>86</v>
      </c>
      <c r="D2405" t="s">
        <v>12</v>
      </c>
      <c r="E2405" t="s">
        <v>658</v>
      </c>
      <c r="F2405" t="s">
        <v>160</v>
      </c>
      <c r="G2405" t="s">
        <v>468</v>
      </c>
      <c r="H2405" t="s">
        <v>447</v>
      </c>
      <c r="I2405" t="s">
        <v>448</v>
      </c>
      <c r="J2405" t="s">
        <v>449</v>
      </c>
      <c r="K2405" t="s">
        <v>450</v>
      </c>
      <c r="L2405" t="s">
        <v>861</v>
      </c>
      <c r="M2405" t="s">
        <v>408</v>
      </c>
      <c r="N2405" t="s">
        <v>11</v>
      </c>
      <c r="O2405" t="s">
        <v>11</v>
      </c>
      <c r="P2405" t="s">
        <v>0</v>
      </c>
      <c r="Q2405" t="s">
        <v>408</v>
      </c>
      <c r="R2405" t="s">
        <v>439</v>
      </c>
      <c r="S2405" t="s">
        <v>451</v>
      </c>
      <c r="T2405" t="s">
        <v>11</v>
      </c>
      <c r="U2405" t="s">
        <v>408</v>
      </c>
    </row>
    <row r="2406" spans="1:21" x14ac:dyDescent="0.25">
      <c r="A2406">
        <v>16390586</v>
      </c>
      <c r="B2406" t="s">
        <v>340</v>
      </c>
      <c r="C2406" t="s">
        <v>26</v>
      </c>
      <c r="D2406" t="s">
        <v>12</v>
      </c>
      <c r="E2406" t="s">
        <v>739</v>
      </c>
      <c r="F2406" t="s">
        <v>28</v>
      </c>
      <c r="G2406" t="s">
        <v>468</v>
      </c>
      <c r="H2406" t="s">
        <v>447</v>
      </c>
      <c r="I2406" t="s">
        <v>448</v>
      </c>
      <c r="J2406" t="s">
        <v>449</v>
      </c>
      <c r="K2406" t="s">
        <v>450</v>
      </c>
      <c r="L2406" t="s">
        <v>367</v>
      </c>
      <c r="M2406" t="s">
        <v>408</v>
      </c>
      <c r="N2406" t="s">
        <v>408</v>
      </c>
      <c r="O2406" t="s">
        <v>11</v>
      </c>
      <c r="P2406" t="s">
        <v>0</v>
      </c>
      <c r="Q2406" t="s">
        <v>408</v>
      </c>
      <c r="R2406" t="s">
        <v>439</v>
      </c>
      <c r="S2406" t="s">
        <v>451</v>
      </c>
      <c r="T2406" t="s">
        <v>408</v>
      </c>
      <c r="U2406" t="s">
        <v>408</v>
      </c>
    </row>
    <row r="2407" spans="1:21" x14ac:dyDescent="0.25">
      <c r="A2407">
        <v>22350255</v>
      </c>
      <c r="B2407" t="s">
        <v>342</v>
      </c>
      <c r="C2407" t="s">
        <v>33</v>
      </c>
      <c r="D2407" t="s">
        <v>12</v>
      </c>
      <c r="E2407" t="s">
        <v>658</v>
      </c>
      <c r="F2407" t="s">
        <v>160</v>
      </c>
      <c r="G2407" t="s">
        <v>369</v>
      </c>
      <c r="H2407" t="s">
        <v>820</v>
      </c>
      <c r="I2407" t="s">
        <v>821</v>
      </c>
      <c r="J2407" t="s">
        <v>822</v>
      </c>
      <c r="K2407" t="s">
        <v>701</v>
      </c>
      <c r="L2407" t="s">
        <v>1014</v>
      </c>
      <c r="M2407" t="s">
        <v>11</v>
      </c>
      <c r="N2407" t="s">
        <v>11</v>
      </c>
      <c r="O2407" t="s">
        <v>11</v>
      </c>
      <c r="P2407" t="s">
        <v>0</v>
      </c>
      <c r="Q2407" t="s">
        <v>408</v>
      </c>
      <c r="R2407" t="s">
        <v>439</v>
      </c>
      <c r="S2407" t="s">
        <v>451</v>
      </c>
      <c r="T2407" t="s">
        <v>408</v>
      </c>
      <c r="U2407" t="s">
        <v>408</v>
      </c>
    </row>
    <row r="2408" spans="1:21" x14ac:dyDescent="0.25">
      <c r="A2408">
        <v>22350256</v>
      </c>
      <c r="B2408" t="s">
        <v>342</v>
      </c>
      <c r="C2408" t="s">
        <v>33</v>
      </c>
      <c r="D2408" t="s">
        <v>12</v>
      </c>
      <c r="E2408" t="s">
        <v>658</v>
      </c>
      <c r="F2408" t="s">
        <v>160</v>
      </c>
      <c r="G2408" t="s">
        <v>369</v>
      </c>
      <c r="H2408" t="s">
        <v>1022</v>
      </c>
      <c r="I2408" t="s">
        <v>1027</v>
      </c>
      <c r="J2408" t="s">
        <v>1026</v>
      </c>
      <c r="K2408" t="s">
        <v>460</v>
      </c>
      <c r="L2408" t="s">
        <v>1025</v>
      </c>
      <c r="M2408" t="s">
        <v>11</v>
      </c>
      <c r="N2408" t="s">
        <v>11</v>
      </c>
      <c r="O2408" t="s">
        <v>11</v>
      </c>
      <c r="P2408" t="s">
        <v>0</v>
      </c>
      <c r="Q2408" t="s">
        <v>408</v>
      </c>
      <c r="R2408" t="s">
        <v>439</v>
      </c>
      <c r="S2408" t="s">
        <v>440</v>
      </c>
      <c r="T2408" t="s">
        <v>408</v>
      </c>
      <c r="U2408" t="s">
        <v>408</v>
      </c>
    </row>
    <row r="2409" spans="1:21" x14ac:dyDescent="0.25">
      <c r="A2409">
        <v>22350257</v>
      </c>
      <c r="B2409" t="s">
        <v>342</v>
      </c>
      <c r="C2409" t="s">
        <v>33</v>
      </c>
      <c r="D2409" t="s">
        <v>18</v>
      </c>
      <c r="E2409" t="s">
        <v>658</v>
      </c>
      <c r="F2409" t="s">
        <v>160</v>
      </c>
      <c r="G2409" t="s">
        <v>369</v>
      </c>
      <c r="H2409" t="s">
        <v>820</v>
      </c>
      <c r="I2409" t="s">
        <v>821</v>
      </c>
      <c r="J2409" t="s">
        <v>822</v>
      </c>
      <c r="K2409" t="s">
        <v>701</v>
      </c>
      <c r="L2409" t="s">
        <v>993</v>
      </c>
      <c r="M2409" t="s">
        <v>11</v>
      </c>
      <c r="N2409" t="s">
        <v>11</v>
      </c>
      <c r="O2409" t="s">
        <v>11</v>
      </c>
      <c r="P2409" t="s">
        <v>0</v>
      </c>
      <c r="Q2409" t="s">
        <v>408</v>
      </c>
      <c r="R2409" t="s">
        <v>439</v>
      </c>
      <c r="S2409" t="s">
        <v>451</v>
      </c>
      <c r="T2409" t="s">
        <v>408</v>
      </c>
      <c r="U2409" t="s">
        <v>408</v>
      </c>
    </row>
    <row r="2410" spans="1:21" x14ac:dyDescent="0.25">
      <c r="A2410">
        <v>22350258</v>
      </c>
      <c r="B2410" t="s">
        <v>342</v>
      </c>
      <c r="C2410" t="s">
        <v>33</v>
      </c>
      <c r="D2410" t="s">
        <v>18</v>
      </c>
      <c r="E2410" t="s">
        <v>530</v>
      </c>
      <c r="F2410" t="s">
        <v>154</v>
      </c>
      <c r="G2410" t="s">
        <v>369</v>
      </c>
      <c r="H2410" t="s">
        <v>820</v>
      </c>
      <c r="I2410" t="s">
        <v>821</v>
      </c>
      <c r="J2410" t="s">
        <v>822</v>
      </c>
      <c r="K2410" t="s">
        <v>701</v>
      </c>
      <c r="L2410" t="s">
        <v>993</v>
      </c>
      <c r="M2410" t="s">
        <v>11</v>
      </c>
      <c r="N2410" t="s">
        <v>11</v>
      </c>
      <c r="O2410" t="s">
        <v>11</v>
      </c>
      <c r="P2410" t="s">
        <v>0</v>
      </c>
      <c r="Q2410" t="s">
        <v>408</v>
      </c>
      <c r="R2410" t="s">
        <v>439</v>
      </c>
      <c r="S2410" t="s">
        <v>451</v>
      </c>
      <c r="T2410" t="s">
        <v>408</v>
      </c>
      <c r="U2410" t="s">
        <v>408</v>
      </c>
    </row>
    <row r="2411" spans="1:21" x14ac:dyDescent="0.25">
      <c r="A2411">
        <v>22350259</v>
      </c>
      <c r="B2411" t="s">
        <v>340</v>
      </c>
      <c r="C2411" t="s">
        <v>86</v>
      </c>
      <c r="D2411" t="s">
        <v>12</v>
      </c>
      <c r="E2411" t="s">
        <v>658</v>
      </c>
      <c r="F2411" t="s">
        <v>88</v>
      </c>
      <c r="G2411" t="s">
        <v>468</v>
      </c>
      <c r="H2411" t="s">
        <v>1</v>
      </c>
      <c r="I2411" t="s">
        <v>469</v>
      </c>
      <c r="J2411" t="s">
        <v>445</v>
      </c>
      <c r="K2411" t="s">
        <v>438</v>
      </c>
      <c r="L2411" t="s">
        <v>0</v>
      </c>
      <c r="M2411" t="s">
        <v>408</v>
      </c>
      <c r="N2411" t="s">
        <v>11</v>
      </c>
      <c r="O2411" t="s">
        <v>11</v>
      </c>
      <c r="P2411" t="s">
        <v>0</v>
      </c>
      <c r="Q2411" t="s">
        <v>408</v>
      </c>
      <c r="R2411" t="s">
        <v>439</v>
      </c>
      <c r="S2411" t="s">
        <v>440</v>
      </c>
      <c r="T2411" t="s">
        <v>11</v>
      </c>
      <c r="U2411" t="s">
        <v>408</v>
      </c>
    </row>
    <row r="2412" spans="1:21" x14ac:dyDescent="0.25">
      <c r="A2412">
        <v>22350260</v>
      </c>
      <c r="B2412" t="s">
        <v>342</v>
      </c>
      <c r="C2412" t="s">
        <v>33</v>
      </c>
      <c r="D2412" t="s">
        <v>109</v>
      </c>
      <c r="E2412" t="s">
        <v>530</v>
      </c>
      <c r="F2412" t="s">
        <v>161</v>
      </c>
      <c r="G2412" t="s">
        <v>369</v>
      </c>
      <c r="H2412" t="s">
        <v>820</v>
      </c>
      <c r="I2412" t="s">
        <v>821</v>
      </c>
      <c r="J2412" t="s">
        <v>822</v>
      </c>
      <c r="K2412" t="s">
        <v>701</v>
      </c>
      <c r="L2412" t="s">
        <v>1022</v>
      </c>
      <c r="M2412" t="s">
        <v>11</v>
      </c>
      <c r="N2412" t="s">
        <v>11</v>
      </c>
      <c r="O2412" t="s">
        <v>11</v>
      </c>
      <c r="P2412" t="s">
        <v>0</v>
      </c>
      <c r="Q2412" t="s">
        <v>408</v>
      </c>
      <c r="R2412" t="s">
        <v>439</v>
      </c>
      <c r="S2412" t="s">
        <v>451</v>
      </c>
      <c r="T2412" t="s">
        <v>408</v>
      </c>
      <c r="U2412" t="s">
        <v>408</v>
      </c>
    </row>
    <row r="2413" spans="1:21" x14ac:dyDescent="0.25">
      <c r="A2413">
        <v>22350261</v>
      </c>
      <c r="B2413" t="s">
        <v>342</v>
      </c>
      <c r="C2413" t="s">
        <v>89</v>
      </c>
      <c r="D2413" t="s">
        <v>18</v>
      </c>
      <c r="E2413" t="s">
        <v>530</v>
      </c>
      <c r="F2413" t="s">
        <v>158</v>
      </c>
      <c r="G2413" t="s">
        <v>468</v>
      </c>
      <c r="H2413" t="s">
        <v>812</v>
      </c>
      <c r="I2413" t="s">
        <v>813</v>
      </c>
      <c r="J2413" t="s">
        <v>814</v>
      </c>
      <c r="K2413" t="s">
        <v>438</v>
      </c>
      <c r="L2413" t="s">
        <v>805</v>
      </c>
      <c r="M2413" t="s">
        <v>408</v>
      </c>
      <c r="N2413" t="s">
        <v>11</v>
      </c>
      <c r="O2413" t="s">
        <v>408</v>
      </c>
      <c r="P2413" t="s">
        <v>0</v>
      </c>
      <c r="Q2413" t="s">
        <v>408</v>
      </c>
      <c r="R2413" t="s">
        <v>439</v>
      </c>
      <c r="S2413" t="s">
        <v>451</v>
      </c>
      <c r="T2413" t="s">
        <v>11</v>
      </c>
      <c r="U2413" t="s">
        <v>408</v>
      </c>
    </row>
    <row r="2414" spans="1:21" x14ac:dyDescent="0.25">
      <c r="A2414">
        <v>22350262</v>
      </c>
      <c r="B2414" t="s">
        <v>340</v>
      </c>
      <c r="C2414" t="s">
        <v>86</v>
      </c>
      <c r="D2414" t="s">
        <v>12</v>
      </c>
      <c r="E2414" t="s">
        <v>530</v>
      </c>
      <c r="F2414" t="s">
        <v>158</v>
      </c>
      <c r="G2414" t="s">
        <v>468</v>
      </c>
      <c r="H2414" t="s">
        <v>617</v>
      </c>
      <c r="I2414" t="s">
        <v>618</v>
      </c>
      <c r="J2414" t="s">
        <v>619</v>
      </c>
      <c r="K2414" t="s">
        <v>606</v>
      </c>
      <c r="L2414" t="s">
        <v>375</v>
      </c>
      <c r="M2414" t="s">
        <v>408</v>
      </c>
      <c r="N2414" t="s">
        <v>11</v>
      </c>
      <c r="O2414" t="s">
        <v>11</v>
      </c>
      <c r="P2414" t="s">
        <v>0</v>
      </c>
      <c r="Q2414" t="s">
        <v>408</v>
      </c>
      <c r="R2414" t="s">
        <v>439</v>
      </c>
      <c r="S2414" t="s">
        <v>451</v>
      </c>
      <c r="T2414" t="s">
        <v>11</v>
      </c>
      <c r="U2414" t="s">
        <v>408</v>
      </c>
    </row>
    <row r="2415" spans="1:21" x14ac:dyDescent="0.25">
      <c r="A2415">
        <v>22350264</v>
      </c>
      <c r="B2415" t="s">
        <v>342</v>
      </c>
      <c r="C2415" t="s">
        <v>33</v>
      </c>
      <c r="D2415" t="s">
        <v>18</v>
      </c>
      <c r="E2415" t="s">
        <v>530</v>
      </c>
      <c r="F2415" t="s">
        <v>159</v>
      </c>
      <c r="G2415" t="s">
        <v>369</v>
      </c>
      <c r="H2415" t="s">
        <v>1025</v>
      </c>
      <c r="I2415" t="s">
        <v>1024</v>
      </c>
      <c r="J2415" t="s">
        <v>1023</v>
      </c>
      <c r="K2415" t="s">
        <v>910</v>
      </c>
      <c r="L2415" t="s">
        <v>0</v>
      </c>
      <c r="M2415" t="s">
        <v>408</v>
      </c>
      <c r="N2415" t="s">
        <v>11</v>
      </c>
      <c r="O2415" t="s">
        <v>11</v>
      </c>
      <c r="P2415" t="s">
        <v>0</v>
      </c>
      <c r="Q2415" t="s">
        <v>408</v>
      </c>
      <c r="R2415" t="s">
        <v>439</v>
      </c>
      <c r="S2415" t="s">
        <v>451</v>
      </c>
      <c r="T2415" t="s">
        <v>11</v>
      </c>
      <c r="U2415" t="s">
        <v>408</v>
      </c>
    </row>
    <row r="2416" spans="1:21" x14ac:dyDescent="0.25">
      <c r="A2416">
        <v>22350265</v>
      </c>
      <c r="B2416" t="s">
        <v>340</v>
      </c>
      <c r="C2416" t="s">
        <v>86</v>
      </c>
      <c r="D2416" t="s">
        <v>18</v>
      </c>
      <c r="E2416" t="s">
        <v>530</v>
      </c>
      <c r="F2416" t="s">
        <v>159</v>
      </c>
      <c r="G2416" t="s">
        <v>468</v>
      </c>
      <c r="H2416" t="s">
        <v>617</v>
      </c>
      <c r="I2416" t="s">
        <v>618</v>
      </c>
      <c r="J2416" t="s">
        <v>619</v>
      </c>
      <c r="K2416" t="s">
        <v>606</v>
      </c>
      <c r="L2416" t="s">
        <v>861</v>
      </c>
      <c r="M2416" t="s">
        <v>408</v>
      </c>
      <c r="N2416" t="s">
        <v>11</v>
      </c>
      <c r="O2416" t="s">
        <v>11</v>
      </c>
      <c r="P2416" t="s">
        <v>0</v>
      </c>
      <c r="Q2416" t="s">
        <v>408</v>
      </c>
      <c r="R2416" t="s">
        <v>439</v>
      </c>
      <c r="S2416" t="s">
        <v>451</v>
      </c>
      <c r="T2416" t="s">
        <v>11</v>
      </c>
      <c r="U2416" t="s">
        <v>408</v>
      </c>
    </row>
    <row r="2417" spans="1:21" x14ac:dyDescent="0.25">
      <c r="A2417">
        <v>22350267</v>
      </c>
      <c r="B2417" t="s">
        <v>340</v>
      </c>
      <c r="C2417" t="s">
        <v>86</v>
      </c>
      <c r="D2417" t="s">
        <v>12</v>
      </c>
      <c r="E2417" t="s">
        <v>658</v>
      </c>
      <c r="F2417" t="s">
        <v>155</v>
      </c>
      <c r="G2417" t="s">
        <v>468</v>
      </c>
      <c r="H2417" t="s">
        <v>617</v>
      </c>
      <c r="I2417" t="s">
        <v>618</v>
      </c>
      <c r="J2417" t="s">
        <v>619</v>
      </c>
      <c r="K2417" t="s">
        <v>606</v>
      </c>
      <c r="L2417" t="s">
        <v>375</v>
      </c>
      <c r="M2417" t="s">
        <v>408</v>
      </c>
      <c r="N2417" t="s">
        <v>11</v>
      </c>
      <c r="O2417" t="s">
        <v>11</v>
      </c>
      <c r="P2417" t="s">
        <v>0</v>
      </c>
      <c r="Q2417" t="s">
        <v>408</v>
      </c>
      <c r="R2417" t="s">
        <v>439</v>
      </c>
      <c r="S2417" t="s">
        <v>451</v>
      </c>
      <c r="T2417" t="s">
        <v>11</v>
      </c>
      <c r="U2417" t="s">
        <v>408</v>
      </c>
    </row>
    <row r="2418" spans="1:21" x14ac:dyDescent="0.25">
      <c r="A2418">
        <v>22350268</v>
      </c>
      <c r="B2418" t="s">
        <v>340</v>
      </c>
      <c r="C2418" t="s">
        <v>86</v>
      </c>
      <c r="D2418" t="s">
        <v>18</v>
      </c>
      <c r="E2418" t="s">
        <v>530</v>
      </c>
      <c r="F2418" t="s">
        <v>158</v>
      </c>
      <c r="G2418" t="s">
        <v>468</v>
      </c>
      <c r="H2418" t="s">
        <v>447</v>
      </c>
      <c r="I2418" t="s">
        <v>448</v>
      </c>
      <c r="J2418" t="s">
        <v>449</v>
      </c>
      <c r="K2418" t="s">
        <v>450</v>
      </c>
      <c r="L2418" t="s">
        <v>375</v>
      </c>
      <c r="M2418" t="s">
        <v>408</v>
      </c>
      <c r="N2418" t="s">
        <v>11</v>
      </c>
      <c r="O2418" t="s">
        <v>11</v>
      </c>
      <c r="P2418" t="s">
        <v>0</v>
      </c>
      <c r="Q2418" t="s">
        <v>408</v>
      </c>
      <c r="R2418" t="s">
        <v>439</v>
      </c>
      <c r="S2418" t="s">
        <v>451</v>
      </c>
      <c r="T2418" t="s">
        <v>11</v>
      </c>
      <c r="U2418" t="s">
        <v>408</v>
      </c>
    </row>
    <row r="2419" spans="1:21" x14ac:dyDescent="0.25">
      <c r="A2419">
        <v>22350270</v>
      </c>
      <c r="B2419" t="s">
        <v>342</v>
      </c>
      <c r="C2419" t="s">
        <v>89</v>
      </c>
      <c r="D2419" t="s">
        <v>12</v>
      </c>
      <c r="E2419" t="s">
        <v>530</v>
      </c>
      <c r="F2419" t="s">
        <v>158</v>
      </c>
      <c r="G2419" t="s">
        <v>468</v>
      </c>
      <c r="H2419" t="s">
        <v>996</v>
      </c>
      <c r="I2419" t="s">
        <v>995</v>
      </c>
      <c r="J2419" t="s">
        <v>994</v>
      </c>
      <c r="K2419" t="s">
        <v>438</v>
      </c>
      <c r="L2419" t="s">
        <v>993</v>
      </c>
      <c r="M2419" t="s">
        <v>11</v>
      </c>
      <c r="N2419" t="s">
        <v>11</v>
      </c>
      <c r="O2419" t="s">
        <v>11</v>
      </c>
      <c r="P2419" t="s">
        <v>0</v>
      </c>
      <c r="Q2419" t="s">
        <v>408</v>
      </c>
      <c r="R2419" t="s">
        <v>439</v>
      </c>
      <c r="S2419" t="s">
        <v>451</v>
      </c>
      <c r="T2419" t="s">
        <v>408</v>
      </c>
      <c r="U2419" t="s">
        <v>408</v>
      </c>
    </row>
    <row r="2420" spans="1:21" x14ac:dyDescent="0.25">
      <c r="A2420">
        <v>22350271</v>
      </c>
      <c r="B2420" t="s">
        <v>342</v>
      </c>
      <c r="C2420" t="s">
        <v>89</v>
      </c>
      <c r="D2420" t="s">
        <v>12</v>
      </c>
      <c r="E2420" t="s">
        <v>530</v>
      </c>
      <c r="F2420" t="s">
        <v>158</v>
      </c>
      <c r="G2420" t="s">
        <v>468</v>
      </c>
      <c r="H2420" t="s">
        <v>447</v>
      </c>
      <c r="I2420" t="s">
        <v>448</v>
      </c>
      <c r="J2420" t="s">
        <v>449</v>
      </c>
      <c r="K2420" t="s">
        <v>450</v>
      </c>
      <c r="L2420" t="s">
        <v>367</v>
      </c>
      <c r="M2420" t="s">
        <v>408</v>
      </c>
      <c r="N2420" t="s">
        <v>11</v>
      </c>
      <c r="O2420" t="s">
        <v>11</v>
      </c>
      <c r="P2420" t="s">
        <v>0</v>
      </c>
      <c r="Q2420" t="s">
        <v>408</v>
      </c>
      <c r="R2420" t="s">
        <v>439</v>
      </c>
      <c r="S2420" t="s">
        <v>451</v>
      </c>
      <c r="T2420" t="s">
        <v>11</v>
      </c>
      <c r="U2420" t="s">
        <v>408</v>
      </c>
    </row>
    <row r="2421" spans="1:21" x14ac:dyDescent="0.25">
      <c r="A2421">
        <v>22350272</v>
      </c>
      <c r="B2421" t="s">
        <v>342</v>
      </c>
      <c r="C2421" t="s">
        <v>33</v>
      </c>
      <c r="D2421" t="s">
        <v>18</v>
      </c>
      <c r="E2421" t="s">
        <v>530</v>
      </c>
      <c r="F2421" t="s">
        <v>159</v>
      </c>
      <c r="G2421" t="s">
        <v>468</v>
      </c>
      <c r="H2421" t="s">
        <v>820</v>
      </c>
      <c r="I2421" t="s">
        <v>821</v>
      </c>
      <c r="J2421" t="s">
        <v>822</v>
      </c>
      <c r="K2421" t="s">
        <v>701</v>
      </c>
      <c r="L2421" t="s">
        <v>1022</v>
      </c>
      <c r="M2421" t="s">
        <v>11</v>
      </c>
      <c r="N2421" t="s">
        <v>11</v>
      </c>
      <c r="O2421" t="s">
        <v>11</v>
      </c>
      <c r="P2421" t="s">
        <v>0</v>
      </c>
      <c r="Q2421" t="s">
        <v>408</v>
      </c>
      <c r="R2421" t="s">
        <v>439</v>
      </c>
      <c r="S2421" t="s">
        <v>451</v>
      </c>
      <c r="T2421" t="s">
        <v>408</v>
      </c>
      <c r="U2421" t="s">
        <v>408</v>
      </c>
    </row>
    <row r="2422" spans="1:21" x14ac:dyDescent="0.25">
      <c r="A2422">
        <v>22350273</v>
      </c>
      <c r="B2422" t="s">
        <v>342</v>
      </c>
      <c r="C2422" t="s">
        <v>33</v>
      </c>
      <c r="D2422" t="s">
        <v>12</v>
      </c>
      <c r="E2422" t="s">
        <v>530</v>
      </c>
      <c r="F2422" t="s">
        <v>159</v>
      </c>
      <c r="G2422" t="s">
        <v>369</v>
      </c>
      <c r="H2422" t="s">
        <v>820</v>
      </c>
      <c r="I2422" t="s">
        <v>821</v>
      </c>
      <c r="J2422" t="s">
        <v>822</v>
      </c>
      <c r="K2422" t="s">
        <v>701</v>
      </c>
      <c r="L2422" t="s">
        <v>993</v>
      </c>
      <c r="M2422" t="s">
        <v>11</v>
      </c>
      <c r="N2422" t="s">
        <v>11</v>
      </c>
      <c r="O2422" t="s">
        <v>11</v>
      </c>
      <c r="P2422" t="s">
        <v>0</v>
      </c>
      <c r="Q2422" t="s">
        <v>408</v>
      </c>
      <c r="R2422" t="s">
        <v>439</v>
      </c>
      <c r="S2422" t="s">
        <v>451</v>
      </c>
      <c r="T2422" t="s">
        <v>408</v>
      </c>
      <c r="U2422" t="s">
        <v>408</v>
      </c>
    </row>
    <row r="2423" spans="1:21" x14ac:dyDescent="0.25">
      <c r="A2423">
        <v>22350274</v>
      </c>
      <c r="B2423" t="s">
        <v>342</v>
      </c>
      <c r="C2423" t="s">
        <v>89</v>
      </c>
      <c r="D2423" t="s">
        <v>18</v>
      </c>
      <c r="E2423" t="s">
        <v>531</v>
      </c>
      <c r="F2423" t="s">
        <v>87</v>
      </c>
      <c r="G2423" t="s">
        <v>468</v>
      </c>
      <c r="H2423" t="s">
        <v>775</v>
      </c>
      <c r="I2423" t="s">
        <v>776</v>
      </c>
      <c r="J2423" t="s">
        <v>776</v>
      </c>
      <c r="K2423" t="s">
        <v>450</v>
      </c>
      <c r="L2423" t="s">
        <v>1021</v>
      </c>
      <c r="M2423" t="s">
        <v>408</v>
      </c>
      <c r="N2423" t="s">
        <v>11</v>
      </c>
      <c r="O2423" t="s">
        <v>11</v>
      </c>
      <c r="P2423" t="s">
        <v>0</v>
      </c>
      <c r="Q2423" t="s">
        <v>408</v>
      </c>
      <c r="R2423" t="s">
        <v>439</v>
      </c>
      <c r="S2423" t="s">
        <v>451</v>
      </c>
      <c r="T2423" t="s">
        <v>11</v>
      </c>
      <c r="U2423" t="s">
        <v>408</v>
      </c>
    </row>
    <row r="2424" spans="1:21" x14ac:dyDescent="0.25">
      <c r="A2424">
        <v>22350275</v>
      </c>
      <c r="B2424" t="s">
        <v>340</v>
      </c>
      <c r="C2424" t="s">
        <v>86</v>
      </c>
      <c r="D2424" t="s">
        <v>12</v>
      </c>
      <c r="E2424" t="s">
        <v>530</v>
      </c>
      <c r="F2424" t="s">
        <v>158</v>
      </c>
      <c r="G2424" t="s">
        <v>468</v>
      </c>
      <c r="H2424" t="s">
        <v>8</v>
      </c>
      <c r="I2424" t="s">
        <v>436</v>
      </c>
      <c r="J2424" t="s">
        <v>458</v>
      </c>
      <c r="K2424" t="s">
        <v>438</v>
      </c>
      <c r="L2424" t="s">
        <v>1</v>
      </c>
      <c r="M2424" t="s">
        <v>408</v>
      </c>
      <c r="N2424" t="s">
        <v>11</v>
      </c>
      <c r="O2424" t="s">
        <v>11</v>
      </c>
      <c r="P2424" t="s">
        <v>0</v>
      </c>
      <c r="Q2424" t="s">
        <v>408</v>
      </c>
      <c r="R2424" t="s">
        <v>439</v>
      </c>
      <c r="S2424" t="s">
        <v>440</v>
      </c>
      <c r="T2424" t="s">
        <v>11</v>
      </c>
      <c r="U2424" t="s">
        <v>408</v>
      </c>
    </row>
    <row r="2425" spans="1:21" x14ac:dyDescent="0.25">
      <c r="A2425">
        <v>22350276</v>
      </c>
      <c r="B2425" t="s">
        <v>340</v>
      </c>
      <c r="C2425" t="s">
        <v>86</v>
      </c>
      <c r="D2425" t="s">
        <v>12</v>
      </c>
      <c r="E2425" t="s">
        <v>531</v>
      </c>
      <c r="F2425" t="s">
        <v>992</v>
      </c>
      <c r="G2425" t="s">
        <v>468</v>
      </c>
      <c r="H2425" t="s">
        <v>900</v>
      </c>
      <c r="I2425" t="s">
        <v>899</v>
      </c>
      <c r="J2425" t="s">
        <v>898</v>
      </c>
      <c r="K2425" t="s">
        <v>453</v>
      </c>
      <c r="L2425" t="s">
        <v>979</v>
      </c>
      <c r="M2425" t="s">
        <v>408</v>
      </c>
      <c r="N2425" t="s">
        <v>11</v>
      </c>
      <c r="O2425" t="s">
        <v>408</v>
      </c>
      <c r="P2425" t="s">
        <v>0</v>
      </c>
      <c r="Q2425" t="s">
        <v>408</v>
      </c>
      <c r="R2425" t="s">
        <v>439</v>
      </c>
      <c r="S2425" t="s">
        <v>451</v>
      </c>
      <c r="T2425" t="s">
        <v>11</v>
      </c>
      <c r="U2425" t="s">
        <v>408</v>
      </c>
    </row>
    <row r="2426" spans="1:21" x14ac:dyDescent="0.25">
      <c r="A2426">
        <v>22350277</v>
      </c>
      <c r="B2426" t="s">
        <v>342</v>
      </c>
      <c r="C2426" t="s">
        <v>89</v>
      </c>
      <c r="D2426" t="s">
        <v>12</v>
      </c>
      <c r="E2426" t="s">
        <v>530</v>
      </c>
      <c r="F2426" t="s">
        <v>158</v>
      </c>
      <c r="G2426" t="s">
        <v>468</v>
      </c>
      <c r="H2426" t="s">
        <v>1020</v>
      </c>
      <c r="I2426" t="s">
        <v>1019</v>
      </c>
      <c r="J2426" t="s">
        <v>1018</v>
      </c>
      <c r="K2426" t="s">
        <v>606</v>
      </c>
      <c r="L2426" t="s">
        <v>1017</v>
      </c>
      <c r="M2426" t="s">
        <v>11</v>
      </c>
      <c r="N2426" t="s">
        <v>11</v>
      </c>
      <c r="O2426" t="s">
        <v>408</v>
      </c>
      <c r="P2426" t="s">
        <v>0</v>
      </c>
      <c r="Q2426" t="s">
        <v>408</v>
      </c>
      <c r="R2426" t="s">
        <v>439</v>
      </c>
      <c r="S2426" t="s">
        <v>451</v>
      </c>
      <c r="T2426" t="s">
        <v>408</v>
      </c>
      <c r="U2426" t="s">
        <v>408</v>
      </c>
    </row>
    <row r="2427" spans="1:21" x14ac:dyDescent="0.25">
      <c r="A2427">
        <v>22350278</v>
      </c>
      <c r="B2427" t="s">
        <v>342</v>
      </c>
      <c r="C2427" t="s">
        <v>89</v>
      </c>
      <c r="D2427" t="s">
        <v>12</v>
      </c>
      <c r="E2427" t="s">
        <v>531</v>
      </c>
      <c r="F2427" t="s">
        <v>1016</v>
      </c>
      <c r="G2427" t="s">
        <v>468</v>
      </c>
      <c r="H2427" t="s">
        <v>820</v>
      </c>
      <c r="I2427" t="s">
        <v>821</v>
      </c>
      <c r="J2427" t="s">
        <v>822</v>
      </c>
      <c r="K2427" t="s">
        <v>701</v>
      </c>
      <c r="L2427" t="s">
        <v>819</v>
      </c>
      <c r="M2427" t="s">
        <v>408</v>
      </c>
      <c r="N2427" t="s">
        <v>11</v>
      </c>
      <c r="O2427" t="s">
        <v>408</v>
      </c>
      <c r="P2427" t="s">
        <v>0</v>
      </c>
      <c r="Q2427" t="s">
        <v>408</v>
      </c>
      <c r="R2427" t="s">
        <v>439</v>
      </c>
      <c r="S2427" t="s">
        <v>451</v>
      </c>
      <c r="T2427" t="s">
        <v>11</v>
      </c>
      <c r="U2427" t="s">
        <v>408</v>
      </c>
    </row>
    <row r="2428" spans="1:21" x14ac:dyDescent="0.25">
      <c r="A2428">
        <v>22350279</v>
      </c>
      <c r="B2428" t="s">
        <v>342</v>
      </c>
      <c r="C2428" t="s">
        <v>33</v>
      </c>
      <c r="D2428" t="s">
        <v>18</v>
      </c>
      <c r="E2428" t="s">
        <v>530</v>
      </c>
      <c r="F2428" t="s">
        <v>159</v>
      </c>
      <c r="G2428" t="s">
        <v>369</v>
      </c>
      <c r="H2428" t="s">
        <v>820</v>
      </c>
      <c r="I2428" t="s">
        <v>821</v>
      </c>
      <c r="J2428" t="s">
        <v>822</v>
      </c>
      <c r="K2428" t="s">
        <v>701</v>
      </c>
      <c r="L2428" t="s">
        <v>993</v>
      </c>
      <c r="M2428" t="s">
        <v>11</v>
      </c>
      <c r="N2428" t="s">
        <v>11</v>
      </c>
      <c r="O2428" t="s">
        <v>11</v>
      </c>
      <c r="P2428" t="s">
        <v>0</v>
      </c>
      <c r="Q2428" t="s">
        <v>408</v>
      </c>
      <c r="R2428" t="s">
        <v>439</v>
      </c>
      <c r="S2428" t="s">
        <v>451</v>
      </c>
      <c r="T2428" t="s">
        <v>408</v>
      </c>
      <c r="U2428" t="s">
        <v>408</v>
      </c>
    </row>
    <row r="2429" spans="1:21" x14ac:dyDescent="0.25">
      <c r="A2429">
        <v>22350280</v>
      </c>
      <c r="B2429" t="s">
        <v>340</v>
      </c>
      <c r="C2429" t="s">
        <v>86</v>
      </c>
      <c r="D2429" t="s">
        <v>12</v>
      </c>
      <c r="E2429" t="s">
        <v>530</v>
      </c>
      <c r="F2429" t="s">
        <v>158</v>
      </c>
      <c r="G2429" t="s">
        <v>468</v>
      </c>
      <c r="H2429" t="s">
        <v>447</v>
      </c>
      <c r="I2429" t="s">
        <v>448</v>
      </c>
      <c r="J2429" t="s">
        <v>449</v>
      </c>
      <c r="K2429" t="s">
        <v>450</v>
      </c>
      <c r="L2429" t="s">
        <v>375</v>
      </c>
      <c r="M2429" t="s">
        <v>408</v>
      </c>
      <c r="N2429" t="s">
        <v>11</v>
      </c>
      <c r="O2429" t="s">
        <v>11</v>
      </c>
      <c r="P2429" t="s">
        <v>0</v>
      </c>
      <c r="Q2429" t="s">
        <v>408</v>
      </c>
      <c r="R2429" t="s">
        <v>439</v>
      </c>
      <c r="S2429" t="s">
        <v>451</v>
      </c>
      <c r="T2429" t="s">
        <v>11</v>
      </c>
      <c r="U2429" t="s">
        <v>408</v>
      </c>
    </row>
    <row r="2430" spans="1:21" x14ac:dyDescent="0.25">
      <c r="A2430">
        <v>22350281</v>
      </c>
      <c r="B2430" t="s">
        <v>340</v>
      </c>
      <c r="C2430" t="s">
        <v>86</v>
      </c>
      <c r="D2430" t="s">
        <v>12</v>
      </c>
      <c r="E2430" t="s">
        <v>530</v>
      </c>
      <c r="F2430" t="s">
        <v>158</v>
      </c>
      <c r="G2430" t="s">
        <v>468</v>
      </c>
      <c r="H2430" t="s">
        <v>838</v>
      </c>
      <c r="I2430" t="s">
        <v>839</v>
      </c>
      <c r="J2430" t="s">
        <v>839</v>
      </c>
      <c r="K2430" t="s">
        <v>450</v>
      </c>
      <c r="L2430" t="s">
        <v>978</v>
      </c>
      <c r="M2430" t="s">
        <v>11</v>
      </c>
      <c r="N2430" t="s">
        <v>11</v>
      </c>
      <c r="O2430" t="s">
        <v>408</v>
      </c>
      <c r="P2430" t="s">
        <v>0</v>
      </c>
      <c r="Q2430" t="s">
        <v>408</v>
      </c>
      <c r="R2430" t="s">
        <v>439</v>
      </c>
      <c r="S2430" t="s">
        <v>451</v>
      </c>
      <c r="T2430" t="s">
        <v>408</v>
      </c>
      <c r="U2430" t="s">
        <v>408</v>
      </c>
    </row>
    <row r="2431" spans="1:21" x14ac:dyDescent="0.25">
      <c r="A2431">
        <v>22350282</v>
      </c>
      <c r="B2431" t="s">
        <v>342</v>
      </c>
      <c r="C2431" t="s">
        <v>89</v>
      </c>
      <c r="D2431" t="s">
        <v>18</v>
      </c>
      <c r="E2431" t="s">
        <v>530</v>
      </c>
      <c r="F2431" t="s">
        <v>158</v>
      </c>
      <c r="G2431" t="s">
        <v>468</v>
      </c>
      <c r="H2431" t="s">
        <v>715</v>
      </c>
      <c r="I2431" t="s">
        <v>716</v>
      </c>
      <c r="J2431" t="s">
        <v>717</v>
      </c>
      <c r="K2431" t="s">
        <v>438</v>
      </c>
      <c r="L2431" t="s">
        <v>1009</v>
      </c>
      <c r="M2431" t="s">
        <v>11</v>
      </c>
      <c r="N2431" t="s">
        <v>11</v>
      </c>
      <c r="O2431" t="s">
        <v>408</v>
      </c>
      <c r="P2431" t="s">
        <v>0</v>
      </c>
      <c r="Q2431" t="s">
        <v>408</v>
      </c>
      <c r="R2431" t="s">
        <v>439</v>
      </c>
      <c r="S2431" t="s">
        <v>440</v>
      </c>
      <c r="T2431" t="s">
        <v>408</v>
      </c>
      <c r="U2431" t="s">
        <v>408</v>
      </c>
    </row>
    <row r="2432" spans="1:21" x14ac:dyDescent="0.25">
      <c r="A2432">
        <v>22350283</v>
      </c>
      <c r="B2432" t="s">
        <v>342</v>
      </c>
      <c r="C2432" t="s">
        <v>33</v>
      </c>
      <c r="D2432" t="s">
        <v>12</v>
      </c>
      <c r="E2432" t="s">
        <v>531</v>
      </c>
      <c r="F2432" t="s">
        <v>1016</v>
      </c>
      <c r="G2432" t="s">
        <v>369</v>
      </c>
      <c r="H2432" t="s">
        <v>945</v>
      </c>
      <c r="I2432" t="s">
        <v>944</v>
      </c>
      <c r="J2432" t="s">
        <v>943</v>
      </c>
      <c r="K2432" t="s">
        <v>764</v>
      </c>
      <c r="L2432" t="s">
        <v>735</v>
      </c>
      <c r="M2432" t="s">
        <v>408</v>
      </c>
      <c r="N2432" t="s">
        <v>11</v>
      </c>
      <c r="O2432" t="s">
        <v>408</v>
      </c>
      <c r="P2432" t="s">
        <v>0</v>
      </c>
      <c r="Q2432" t="s">
        <v>408</v>
      </c>
      <c r="R2432" t="s">
        <v>439</v>
      </c>
      <c r="S2432" t="s">
        <v>451</v>
      </c>
      <c r="T2432" t="s">
        <v>11</v>
      </c>
      <c r="U2432" t="s">
        <v>408</v>
      </c>
    </row>
    <row r="2433" spans="1:21" x14ac:dyDescent="0.25">
      <c r="A2433">
        <v>22350284</v>
      </c>
      <c r="B2433" t="s">
        <v>340</v>
      </c>
      <c r="C2433" t="s">
        <v>86</v>
      </c>
      <c r="D2433" t="s">
        <v>18</v>
      </c>
      <c r="E2433" t="s">
        <v>531</v>
      </c>
      <c r="F2433" t="s">
        <v>1016</v>
      </c>
      <c r="G2433" t="s">
        <v>468</v>
      </c>
      <c r="H2433" t="s">
        <v>617</v>
      </c>
      <c r="I2433" t="s">
        <v>618</v>
      </c>
      <c r="J2433" t="s">
        <v>619</v>
      </c>
      <c r="K2433" t="s">
        <v>606</v>
      </c>
      <c r="L2433" t="s">
        <v>861</v>
      </c>
      <c r="M2433" t="s">
        <v>408</v>
      </c>
      <c r="N2433" t="s">
        <v>11</v>
      </c>
      <c r="O2433" t="s">
        <v>11</v>
      </c>
      <c r="P2433" t="s">
        <v>0</v>
      </c>
      <c r="Q2433" t="s">
        <v>408</v>
      </c>
      <c r="R2433" t="s">
        <v>439</v>
      </c>
      <c r="S2433" t="s">
        <v>451</v>
      </c>
      <c r="T2433" t="s">
        <v>11</v>
      </c>
      <c r="U2433" t="s">
        <v>408</v>
      </c>
    </row>
    <row r="2434" spans="1:21" x14ac:dyDescent="0.25">
      <c r="A2434">
        <v>22350285</v>
      </c>
      <c r="B2434" t="s">
        <v>342</v>
      </c>
      <c r="C2434" t="s">
        <v>89</v>
      </c>
      <c r="D2434" t="s">
        <v>12</v>
      </c>
      <c r="E2434" t="s">
        <v>531</v>
      </c>
      <c r="F2434" t="s">
        <v>1016</v>
      </c>
      <c r="G2434" t="s">
        <v>468</v>
      </c>
      <c r="H2434" t="s">
        <v>884</v>
      </c>
      <c r="I2434" t="s">
        <v>883</v>
      </c>
      <c r="J2434" t="s">
        <v>882</v>
      </c>
      <c r="K2434" t="s">
        <v>450</v>
      </c>
      <c r="L2434" t="s">
        <v>1015</v>
      </c>
      <c r="M2434" t="s">
        <v>11</v>
      </c>
      <c r="N2434" t="s">
        <v>11</v>
      </c>
      <c r="O2434" t="s">
        <v>408</v>
      </c>
      <c r="P2434" t="s">
        <v>0</v>
      </c>
      <c r="Q2434" t="s">
        <v>408</v>
      </c>
      <c r="R2434" t="s">
        <v>439</v>
      </c>
      <c r="S2434" t="s">
        <v>451</v>
      </c>
      <c r="T2434" t="s">
        <v>408</v>
      </c>
      <c r="U2434" t="s">
        <v>408</v>
      </c>
    </row>
    <row r="2435" spans="1:21" x14ac:dyDescent="0.25">
      <c r="A2435">
        <v>22350286</v>
      </c>
      <c r="B2435" t="s">
        <v>340</v>
      </c>
      <c r="C2435" t="s">
        <v>86</v>
      </c>
      <c r="D2435" t="s">
        <v>24</v>
      </c>
      <c r="E2435" t="s">
        <v>531</v>
      </c>
      <c r="F2435" t="s">
        <v>992</v>
      </c>
      <c r="G2435" t="s">
        <v>468</v>
      </c>
      <c r="H2435" t="s">
        <v>447</v>
      </c>
      <c r="I2435" t="s">
        <v>448</v>
      </c>
      <c r="J2435" t="s">
        <v>449</v>
      </c>
      <c r="K2435" t="s">
        <v>450</v>
      </c>
      <c r="L2435" t="s">
        <v>375</v>
      </c>
      <c r="M2435" t="s">
        <v>408</v>
      </c>
      <c r="N2435" t="s">
        <v>11</v>
      </c>
      <c r="O2435" t="s">
        <v>11</v>
      </c>
      <c r="P2435" t="s">
        <v>0</v>
      </c>
      <c r="Q2435" t="s">
        <v>408</v>
      </c>
      <c r="R2435" t="s">
        <v>439</v>
      </c>
      <c r="S2435" t="s">
        <v>451</v>
      </c>
      <c r="T2435" t="s">
        <v>11</v>
      </c>
      <c r="U2435" t="s">
        <v>408</v>
      </c>
    </row>
    <row r="2436" spans="1:21" x14ac:dyDescent="0.25">
      <c r="A2436">
        <v>22350287</v>
      </c>
      <c r="B2436" t="s">
        <v>342</v>
      </c>
      <c r="C2436" t="s">
        <v>33</v>
      </c>
      <c r="D2436" t="s">
        <v>12</v>
      </c>
      <c r="E2436" t="s">
        <v>530</v>
      </c>
      <c r="F2436" t="s">
        <v>159</v>
      </c>
      <c r="G2436" t="s">
        <v>369</v>
      </c>
      <c r="H2436" t="s">
        <v>820</v>
      </c>
      <c r="I2436" t="s">
        <v>821</v>
      </c>
      <c r="J2436" t="s">
        <v>822</v>
      </c>
      <c r="K2436" t="s">
        <v>701</v>
      </c>
      <c r="L2436" t="s">
        <v>993</v>
      </c>
      <c r="M2436" t="s">
        <v>11</v>
      </c>
      <c r="N2436" t="s">
        <v>11</v>
      </c>
      <c r="O2436" t="s">
        <v>11</v>
      </c>
      <c r="P2436" t="s">
        <v>0</v>
      </c>
      <c r="Q2436" t="s">
        <v>408</v>
      </c>
      <c r="R2436" t="s">
        <v>439</v>
      </c>
      <c r="S2436" t="s">
        <v>451</v>
      </c>
      <c r="T2436" t="s">
        <v>408</v>
      </c>
      <c r="U2436" t="s">
        <v>408</v>
      </c>
    </row>
    <row r="2437" spans="1:21" x14ac:dyDescent="0.25">
      <c r="A2437">
        <v>22350288</v>
      </c>
      <c r="B2437" t="s">
        <v>342</v>
      </c>
      <c r="C2437" t="s">
        <v>33</v>
      </c>
      <c r="D2437" t="s">
        <v>12</v>
      </c>
      <c r="E2437" t="s">
        <v>658</v>
      </c>
      <c r="F2437" t="s">
        <v>155</v>
      </c>
      <c r="G2437" t="s">
        <v>369</v>
      </c>
      <c r="H2437" t="s">
        <v>820</v>
      </c>
      <c r="I2437" t="s">
        <v>821</v>
      </c>
      <c r="J2437" t="s">
        <v>822</v>
      </c>
      <c r="K2437" t="s">
        <v>701</v>
      </c>
      <c r="L2437" t="s">
        <v>1014</v>
      </c>
      <c r="M2437" t="s">
        <v>11</v>
      </c>
      <c r="N2437" t="s">
        <v>11</v>
      </c>
      <c r="O2437" t="s">
        <v>11</v>
      </c>
      <c r="P2437" t="s">
        <v>0</v>
      </c>
      <c r="Q2437" t="s">
        <v>408</v>
      </c>
      <c r="R2437" t="s">
        <v>439</v>
      </c>
      <c r="S2437" t="s">
        <v>451</v>
      </c>
      <c r="T2437" t="s">
        <v>408</v>
      </c>
      <c r="U2437" t="s">
        <v>408</v>
      </c>
    </row>
    <row r="2438" spans="1:21" x14ac:dyDescent="0.25">
      <c r="A2438">
        <v>22350292</v>
      </c>
      <c r="B2438" t="s">
        <v>342</v>
      </c>
      <c r="C2438" t="s">
        <v>33</v>
      </c>
      <c r="D2438" t="s">
        <v>12</v>
      </c>
      <c r="E2438" t="s">
        <v>658</v>
      </c>
      <c r="F2438" t="s">
        <v>88</v>
      </c>
      <c r="G2438" t="s">
        <v>369</v>
      </c>
      <c r="H2438" t="s">
        <v>1001</v>
      </c>
      <c r="I2438" t="s">
        <v>1007</v>
      </c>
      <c r="J2438" t="s">
        <v>1006</v>
      </c>
      <c r="K2438" t="s">
        <v>606</v>
      </c>
      <c r="L2438" t="s">
        <v>1005</v>
      </c>
      <c r="M2438" t="s">
        <v>408</v>
      </c>
      <c r="N2438" t="s">
        <v>11</v>
      </c>
      <c r="O2438" t="s">
        <v>408</v>
      </c>
      <c r="P2438" t="s">
        <v>2</v>
      </c>
      <c r="Q2438" t="s">
        <v>408</v>
      </c>
      <c r="R2438" t="s">
        <v>439</v>
      </c>
      <c r="S2438" t="s">
        <v>451</v>
      </c>
      <c r="T2438" t="s">
        <v>11</v>
      </c>
      <c r="U2438" t="s">
        <v>408</v>
      </c>
    </row>
    <row r="2439" spans="1:21" x14ac:dyDescent="0.25">
      <c r="A2439">
        <v>22350293</v>
      </c>
      <c r="B2439" t="s">
        <v>342</v>
      </c>
      <c r="C2439" t="s">
        <v>89</v>
      </c>
      <c r="D2439" t="s">
        <v>12</v>
      </c>
      <c r="E2439" t="s">
        <v>658</v>
      </c>
      <c r="F2439" t="s">
        <v>88</v>
      </c>
      <c r="G2439" t="s">
        <v>468</v>
      </c>
      <c r="H2439" t="s">
        <v>447</v>
      </c>
      <c r="I2439" t="s">
        <v>448</v>
      </c>
      <c r="J2439" t="s">
        <v>449</v>
      </c>
      <c r="K2439" t="s">
        <v>450</v>
      </c>
      <c r="L2439" t="s">
        <v>370</v>
      </c>
      <c r="M2439" t="s">
        <v>408</v>
      </c>
      <c r="N2439" t="s">
        <v>11</v>
      </c>
      <c r="O2439" t="s">
        <v>408</v>
      </c>
      <c r="P2439" t="s">
        <v>2</v>
      </c>
      <c r="Q2439" t="s">
        <v>408</v>
      </c>
      <c r="R2439" t="s">
        <v>439</v>
      </c>
      <c r="S2439" t="s">
        <v>451</v>
      </c>
      <c r="T2439" t="s">
        <v>11</v>
      </c>
      <c r="U2439" t="s">
        <v>408</v>
      </c>
    </row>
    <row r="2440" spans="1:21" x14ac:dyDescent="0.25">
      <c r="A2440">
        <v>22350295</v>
      </c>
      <c r="B2440" t="s">
        <v>342</v>
      </c>
      <c r="C2440" t="s">
        <v>33</v>
      </c>
      <c r="D2440" t="s">
        <v>12</v>
      </c>
      <c r="E2440" t="s">
        <v>658</v>
      </c>
      <c r="F2440" t="s">
        <v>88</v>
      </c>
      <c r="G2440" t="s">
        <v>369</v>
      </c>
      <c r="H2440" t="s">
        <v>686</v>
      </c>
      <c r="I2440" t="s">
        <v>1000</v>
      </c>
      <c r="J2440" t="s">
        <v>999</v>
      </c>
      <c r="K2440" t="s">
        <v>462</v>
      </c>
      <c r="L2440" t="s">
        <v>2</v>
      </c>
      <c r="M2440" t="s">
        <v>408</v>
      </c>
      <c r="N2440" t="s">
        <v>11</v>
      </c>
      <c r="O2440" t="s">
        <v>11</v>
      </c>
      <c r="P2440" t="s">
        <v>2</v>
      </c>
      <c r="Q2440" t="s">
        <v>408</v>
      </c>
      <c r="R2440" t="s">
        <v>439</v>
      </c>
      <c r="S2440" t="s">
        <v>451</v>
      </c>
      <c r="T2440" t="s">
        <v>11</v>
      </c>
      <c r="U2440" t="s">
        <v>408</v>
      </c>
    </row>
    <row r="2441" spans="1:21" x14ac:dyDescent="0.25">
      <c r="A2441">
        <v>22350296</v>
      </c>
      <c r="B2441" t="s">
        <v>342</v>
      </c>
      <c r="C2441" t="s">
        <v>89</v>
      </c>
      <c r="D2441" t="s">
        <v>12</v>
      </c>
      <c r="E2441" t="s">
        <v>658</v>
      </c>
      <c r="F2441" t="s">
        <v>88</v>
      </c>
      <c r="G2441" t="s">
        <v>468</v>
      </c>
      <c r="H2441" t="s">
        <v>447</v>
      </c>
      <c r="I2441" t="s">
        <v>448</v>
      </c>
      <c r="J2441" t="s">
        <v>449</v>
      </c>
      <c r="K2441" t="s">
        <v>450</v>
      </c>
      <c r="L2441" t="s">
        <v>367</v>
      </c>
      <c r="M2441" t="s">
        <v>408</v>
      </c>
      <c r="N2441" t="s">
        <v>11</v>
      </c>
      <c r="O2441" t="s">
        <v>408</v>
      </c>
      <c r="P2441" t="s">
        <v>2</v>
      </c>
      <c r="Q2441" t="s">
        <v>408</v>
      </c>
      <c r="R2441" t="s">
        <v>439</v>
      </c>
      <c r="S2441" t="s">
        <v>451</v>
      </c>
      <c r="T2441" t="s">
        <v>11</v>
      </c>
      <c r="U2441" t="s">
        <v>408</v>
      </c>
    </row>
    <row r="2442" spans="1:21" x14ac:dyDescent="0.25">
      <c r="A2442">
        <v>22350298</v>
      </c>
      <c r="B2442" t="s">
        <v>342</v>
      </c>
      <c r="C2442" t="s">
        <v>89</v>
      </c>
      <c r="D2442" t="s">
        <v>18</v>
      </c>
      <c r="E2442" t="s">
        <v>658</v>
      </c>
      <c r="F2442" t="s">
        <v>88</v>
      </c>
      <c r="G2442" t="s">
        <v>468</v>
      </c>
      <c r="H2442" t="s">
        <v>617</v>
      </c>
      <c r="I2442" t="s">
        <v>618</v>
      </c>
      <c r="J2442" t="s">
        <v>619</v>
      </c>
      <c r="K2442" t="s">
        <v>606</v>
      </c>
      <c r="L2442" t="s">
        <v>375</v>
      </c>
      <c r="M2442" t="s">
        <v>408</v>
      </c>
      <c r="N2442" t="s">
        <v>11</v>
      </c>
      <c r="O2442" t="s">
        <v>11</v>
      </c>
      <c r="P2442" t="s">
        <v>2</v>
      </c>
      <c r="Q2442" t="s">
        <v>408</v>
      </c>
      <c r="R2442" t="s">
        <v>439</v>
      </c>
      <c r="S2442" t="s">
        <v>451</v>
      </c>
      <c r="T2442" t="s">
        <v>11</v>
      </c>
      <c r="U2442" t="s">
        <v>408</v>
      </c>
    </row>
    <row r="2443" spans="1:21" x14ac:dyDescent="0.25">
      <c r="A2443">
        <v>22350299</v>
      </c>
      <c r="B2443" t="s">
        <v>342</v>
      </c>
      <c r="C2443" t="s">
        <v>33</v>
      </c>
      <c r="D2443" t="s">
        <v>12</v>
      </c>
      <c r="E2443" t="s">
        <v>658</v>
      </c>
      <c r="F2443" t="s">
        <v>88</v>
      </c>
      <c r="G2443" t="s">
        <v>369</v>
      </c>
      <c r="H2443" t="s">
        <v>447</v>
      </c>
      <c r="I2443" t="s">
        <v>448</v>
      </c>
      <c r="J2443" t="s">
        <v>449</v>
      </c>
      <c r="K2443" t="s">
        <v>450</v>
      </c>
      <c r="L2443" t="s">
        <v>367</v>
      </c>
      <c r="M2443" t="s">
        <v>408</v>
      </c>
      <c r="N2443" t="s">
        <v>11</v>
      </c>
      <c r="O2443" t="s">
        <v>11</v>
      </c>
      <c r="P2443" t="s">
        <v>2</v>
      </c>
      <c r="Q2443" t="s">
        <v>408</v>
      </c>
      <c r="R2443" t="s">
        <v>439</v>
      </c>
      <c r="S2443" t="s">
        <v>451</v>
      </c>
      <c r="T2443" t="s">
        <v>11</v>
      </c>
      <c r="U2443" t="s">
        <v>408</v>
      </c>
    </row>
    <row r="2444" spans="1:21" x14ac:dyDescent="0.25">
      <c r="A2444">
        <v>22350301</v>
      </c>
      <c r="B2444" t="s">
        <v>342</v>
      </c>
      <c r="C2444" t="s">
        <v>89</v>
      </c>
      <c r="D2444" t="s">
        <v>12</v>
      </c>
      <c r="E2444" t="s">
        <v>658</v>
      </c>
      <c r="F2444" t="s">
        <v>88</v>
      </c>
      <c r="G2444" t="s">
        <v>468</v>
      </c>
      <c r="H2444" t="s">
        <v>761</v>
      </c>
      <c r="I2444" t="s">
        <v>762</v>
      </c>
      <c r="J2444" t="s">
        <v>763</v>
      </c>
      <c r="K2444" t="s">
        <v>764</v>
      </c>
      <c r="L2444" t="s">
        <v>998</v>
      </c>
      <c r="M2444" t="s">
        <v>11</v>
      </c>
      <c r="N2444" t="s">
        <v>11</v>
      </c>
      <c r="O2444" t="s">
        <v>408</v>
      </c>
      <c r="P2444" t="s">
        <v>2</v>
      </c>
      <c r="Q2444" t="s">
        <v>408</v>
      </c>
      <c r="R2444" t="s">
        <v>439</v>
      </c>
      <c r="S2444" t="s">
        <v>440</v>
      </c>
      <c r="T2444" t="s">
        <v>408</v>
      </c>
      <c r="U2444" t="s">
        <v>408</v>
      </c>
    </row>
    <row r="2445" spans="1:21" x14ac:dyDescent="0.25">
      <c r="A2445">
        <v>22350302</v>
      </c>
      <c r="B2445" t="s">
        <v>342</v>
      </c>
      <c r="C2445" t="s">
        <v>89</v>
      </c>
      <c r="D2445" t="s">
        <v>12</v>
      </c>
      <c r="E2445" t="s">
        <v>658</v>
      </c>
      <c r="F2445" t="s">
        <v>88</v>
      </c>
      <c r="G2445" t="s">
        <v>468</v>
      </c>
      <c r="H2445" t="s">
        <v>761</v>
      </c>
      <c r="I2445" t="s">
        <v>762</v>
      </c>
      <c r="J2445" t="s">
        <v>763</v>
      </c>
      <c r="K2445" t="s">
        <v>764</v>
      </c>
      <c r="L2445" t="s">
        <v>998</v>
      </c>
      <c r="M2445" t="s">
        <v>11</v>
      </c>
      <c r="N2445" t="s">
        <v>11</v>
      </c>
      <c r="O2445" t="s">
        <v>408</v>
      </c>
      <c r="P2445" t="s">
        <v>2</v>
      </c>
      <c r="Q2445" t="s">
        <v>408</v>
      </c>
      <c r="R2445" t="s">
        <v>439</v>
      </c>
      <c r="S2445" t="s">
        <v>440</v>
      </c>
      <c r="T2445" t="s">
        <v>408</v>
      </c>
      <c r="U2445" t="s">
        <v>408</v>
      </c>
    </row>
    <row r="2446" spans="1:21" x14ac:dyDescent="0.25">
      <c r="A2446">
        <v>22350303</v>
      </c>
      <c r="B2446" t="s">
        <v>342</v>
      </c>
      <c r="C2446" t="s">
        <v>33</v>
      </c>
      <c r="D2446" t="s">
        <v>12</v>
      </c>
      <c r="E2446" t="s">
        <v>658</v>
      </c>
      <c r="F2446" t="s">
        <v>88</v>
      </c>
      <c r="G2446" t="s">
        <v>369</v>
      </c>
      <c r="H2446" t="s">
        <v>1001</v>
      </c>
      <c r="I2446" t="s">
        <v>1007</v>
      </c>
      <c r="J2446" t="s">
        <v>1006</v>
      </c>
      <c r="K2446" t="s">
        <v>606</v>
      </c>
      <c r="L2446" t="s">
        <v>1005</v>
      </c>
      <c r="M2446" t="s">
        <v>408</v>
      </c>
      <c r="N2446" t="s">
        <v>11</v>
      </c>
      <c r="O2446" t="s">
        <v>408</v>
      </c>
      <c r="P2446" t="s">
        <v>2</v>
      </c>
      <c r="Q2446" t="s">
        <v>408</v>
      </c>
      <c r="R2446" t="s">
        <v>439</v>
      </c>
      <c r="S2446" t="s">
        <v>451</v>
      </c>
      <c r="T2446" t="s">
        <v>11</v>
      </c>
      <c r="U2446" t="s">
        <v>408</v>
      </c>
    </row>
    <row r="2447" spans="1:21" x14ac:dyDescent="0.25">
      <c r="A2447">
        <v>22350307</v>
      </c>
      <c r="B2447" t="s">
        <v>342</v>
      </c>
      <c r="C2447" t="s">
        <v>89</v>
      </c>
      <c r="D2447" t="s">
        <v>12</v>
      </c>
      <c r="E2447" t="s">
        <v>658</v>
      </c>
      <c r="F2447" t="s">
        <v>88</v>
      </c>
      <c r="G2447" t="s">
        <v>468</v>
      </c>
      <c r="H2447" t="s">
        <v>715</v>
      </c>
      <c r="I2447" t="s">
        <v>716</v>
      </c>
      <c r="J2447" t="s">
        <v>717</v>
      </c>
      <c r="K2447" t="s">
        <v>438</v>
      </c>
      <c r="L2447" t="s">
        <v>1009</v>
      </c>
      <c r="M2447" t="s">
        <v>11</v>
      </c>
      <c r="N2447" t="s">
        <v>11</v>
      </c>
      <c r="O2447" t="s">
        <v>408</v>
      </c>
      <c r="P2447" t="s">
        <v>2</v>
      </c>
      <c r="Q2447" t="s">
        <v>408</v>
      </c>
      <c r="R2447" t="s">
        <v>439</v>
      </c>
      <c r="S2447" t="s">
        <v>440</v>
      </c>
      <c r="T2447" t="s">
        <v>408</v>
      </c>
      <c r="U2447" t="s">
        <v>408</v>
      </c>
    </row>
    <row r="2448" spans="1:21" x14ac:dyDescent="0.25">
      <c r="A2448">
        <v>22350308</v>
      </c>
      <c r="B2448" t="s">
        <v>342</v>
      </c>
      <c r="C2448" t="s">
        <v>33</v>
      </c>
      <c r="D2448" t="s">
        <v>12</v>
      </c>
      <c r="E2448" t="s">
        <v>658</v>
      </c>
      <c r="F2448" t="s">
        <v>88</v>
      </c>
      <c r="G2448" t="s">
        <v>369</v>
      </c>
      <c r="H2448" t="s">
        <v>686</v>
      </c>
      <c r="I2448" t="s">
        <v>1000</v>
      </c>
      <c r="J2448" t="s">
        <v>999</v>
      </c>
      <c r="K2448" t="s">
        <v>462</v>
      </c>
      <c r="L2448" t="s">
        <v>2</v>
      </c>
      <c r="M2448" t="s">
        <v>408</v>
      </c>
      <c r="N2448" t="s">
        <v>11</v>
      </c>
      <c r="O2448" t="s">
        <v>11</v>
      </c>
      <c r="P2448" t="s">
        <v>2</v>
      </c>
      <c r="Q2448" t="s">
        <v>408</v>
      </c>
      <c r="R2448" t="s">
        <v>439</v>
      </c>
      <c r="S2448" t="s">
        <v>451</v>
      </c>
      <c r="T2448" t="s">
        <v>11</v>
      </c>
      <c r="U2448" t="s">
        <v>408</v>
      </c>
    </row>
    <row r="2449" spans="1:21" x14ac:dyDescent="0.25">
      <c r="A2449">
        <v>22350309</v>
      </c>
      <c r="B2449" t="s">
        <v>340</v>
      </c>
      <c r="C2449" t="s">
        <v>86</v>
      </c>
      <c r="D2449" t="s">
        <v>12</v>
      </c>
      <c r="E2449" t="s">
        <v>531</v>
      </c>
      <c r="F2449" t="s">
        <v>1013</v>
      </c>
      <c r="G2449" t="s">
        <v>468</v>
      </c>
      <c r="H2449" t="s">
        <v>447</v>
      </c>
      <c r="I2449" t="s">
        <v>448</v>
      </c>
      <c r="J2449" t="s">
        <v>449</v>
      </c>
      <c r="K2449" t="s">
        <v>450</v>
      </c>
      <c r="L2449" t="s">
        <v>375</v>
      </c>
      <c r="M2449" t="s">
        <v>408</v>
      </c>
      <c r="N2449" t="s">
        <v>11</v>
      </c>
      <c r="O2449" t="s">
        <v>11</v>
      </c>
      <c r="P2449" t="s">
        <v>2</v>
      </c>
      <c r="Q2449" t="s">
        <v>408</v>
      </c>
      <c r="R2449" t="s">
        <v>439</v>
      </c>
      <c r="S2449" t="s">
        <v>451</v>
      </c>
      <c r="T2449" t="s">
        <v>11</v>
      </c>
      <c r="U2449" t="s">
        <v>408</v>
      </c>
    </row>
    <row r="2450" spans="1:21" x14ac:dyDescent="0.25">
      <c r="A2450">
        <v>22350311</v>
      </c>
      <c r="B2450" t="s">
        <v>342</v>
      </c>
      <c r="C2450" t="s">
        <v>89</v>
      </c>
      <c r="D2450" t="s">
        <v>12</v>
      </c>
      <c r="E2450" t="s">
        <v>658</v>
      </c>
      <c r="F2450" t="s">
        <v>88</v>
      </c>
      <c r="G2450" t="s">
        <v>468</v>
      </c>
      <c r="H2450" t="s">
        <v>812</v>
      </c>
      <c r="I2450" t="s">
        <v>813</v>
      </c>
      <c r="J2450" t="s">
        <v>814</v>
      </c>
      <c r="K2450" t="s">
        <v>438</v>
      </c>
      <c r="L2450" t="s">
        <v>805</v>
      </c>
      <c r="M2450" t="s">
        <v>408</v>
      </c>
      <c r="N2450" t="s">
        <v>11</v>
      </c>
      <c r="O2450" t="s">
        <v>408</v>
      </c>
      <c r="P2450" t="s">
        <v>2</v>
      </c>
      <c r="Q2450" t="s">
        <v>408</v>
      </c>
      <c r="R2450" t="s">
        <v>439</v>
      </c>
      <c r="S2450" t="s">
        <v>451</v>
      </c>
      <c r="T2450" t="s">
        <v>11</v>
      </c>
      <c r="U2450" t="s">
        <v>408</v>
      </c>
    </row>
    <row r="2451" spans="1:21" x14ac:dyDescent="0.25">
      <c r="A2451">
        <v>22350313</v>
      </c>
      <c r="B2451" t="s">
        <v>342</v>
      </c>
      <c r="C2451" t="s">
        <v>33</v>
      </c>
      <c r="D2451" t="s">
        <v>18</v>
      </c>
      <c r="E2451" t="s">
        <v>658</v>
      </c>
      <c r="F2451" t="s">
        <v>88</v>
      </c>
      <c r="G2451" t="s">
        <v>468</v>
      </c>
      <c r="H2451" t="s">
        <v>1004</v>
      </c>
      <c r="I2451" t="s">
        <v>1003</v>
      </c>
      <c r="J2451" t="s">
        <v>1002</v>
      </c>
      <c r="K2451" t="s">
        <v>444</v>
      </c>
      <c r="L2451" t="s">
        <v>1005</v>
      </c>
      <c r="M2451" t="s">
        <v>11</v>
      </c>
      <c r="N2451" t="s">
        <v>11</v>
      </c>
      <c r="O2451" t="s">
        <v>408</v>
      </c>
      <c r="P2451" t="s">
        <v>2</v>
      </c>
      <c r="Q2451" t="s">
        <v>408</v>
      </c>
      <c r="R2451" t="s">
        <v>439</v>
      </c>
      <c r="S2451" t="s">
        <v>451</v>
      </c>
      <c r="T2451" t="s">
        <v>408</v>
      </c>
      <c r="U2451" t="s">
        <v>408</v>
      </c>
    </row>
    <row r="2452" spans="1:21" x14ac:dyDescent="0.25">
      <c r="A2452">
        <v>22350315</v>
      </c>
      <c r="B2452" t="s">
        <v>342</v>
      </c>
      <c r="C2452" t="s">
        <v>33</v>
      </c>
      <c r="D2452" t="s">
        <v>12</v>
      </c>
      <c r="E2452" t="s">
        <v>658</v>
      </c>
      <c r="F2452" t="s">
        <v>88</v>
      </c>
      <c r="G2452" t="s">
        <v>369</v>
      </c>
      <c r="H2452" t="s">
        <v>686</v>
      </c>
      <c r="I2452" t="s">
        <v>1000</v>
      </c>
      <c r="J2452" t="s">
        <v>999</v>
      </c>
      <c r="K2452" t="s">
        <v>462</v>
      </c>
      <c r="L2452" t="s">
        <v>2</v>
      </c>
      <c r="M2452" t="s">
        <v>408</v>
      </c>
      <c r="N2452" t="s">
        <v>11</v>
      </c>
      <c r="O2452" t="s">
        <v>11</v>
      </c>
      <c r="P2452" t="s">
        <v>2</v>
      </c>
      <c r="Q2452" t="s">
        <v>408</v>
      </c>
      <c r="R2452" t="s">
        <v>439</v>
      </c>
      <c r="S2452" t="s">
        <v>451</v>
      </c>
      <c r="T2452" t="s">
        <v>11</v>
      </c>
      <c r="U2452" t="s">
        <v>408</v>
      </c>
    </row>
    <row r="2453" spans="1:21" x14ac:dyDescent="0.25">
      <c r="A2453">
        <v>22350316</v>
      </c>
      <c r="B2453" t="s">
        <v>340</v>
      </c>
      <c r="C2453" t="s">
        <v>86</v>
      </c>
      <c r="D2453" t="s">
        <v>12</v>
      </c>
      <c r="E2453" t="s">
        <v>658</v>
      </c>
      <c r="F2453" t="s">
        <v>88</v>
      </c>
      <c r="G2453" t="s">
        <v>468</v>
      </c>
      <c r="H2453" t="s">
        <v>3</v>
      </c>
      <c r="I2453" t="s">
        <v>436</v>
      </c>
      <c r="J2453" t="s">
        <v>441</v>
      </c>
      <c r="K2453" t="s">
        <v>442</v>
      </c>
      <c r="L2453" t="s">
        <v>2</v>
      </c>
      <c r="M2453" t="s">
        <v>408</v>
      </c>
      <c r="N2453" t="s">
        <v>11</v>
      </c>
      <c r="O2453" t="s">
        <v>11</v>
      </c>
      <c r="P2453" t="s">
        <v>2</v>
      </c>
      <c r="Q2453" t="s">
        <v>408</v>
      </c>
      <c r="R2453" t="s">
        <v>439</v>
      </c>
      <c r="S2453" t="s">
        <v>440</v>
      </c>
      <c r="T2453" t="s">
        <v>11</v>
      </c>
      <c r="U2453" t="s">
        <v>408</v>
      </c>
    </row>
    <row r="2454" spans="1:21" x14ac:dyDescent="0.25">
      <c r="A2454">
        <v>22350317</v>
      </c>
      <c r="B2454" t="s">
        <v>342</v>
      </c>
      <c r="C2454" t="s">
        <v>33</v>
      </c>
      <c r="D2454" t="s">
        <v>12</v>
      </c>
      <c r="E2454" t="s">
        <v>658</v>
      </c>
      <c r="F2454" t="s">
        <v>88</v>
      </c>
      <c r="G2454" t="s">
        <v>369</v>
      </c>
      <c r="H2454" t="s">
        <v>786</v>
      </c>
      <c r="I2454" t="s">
        <v>787</v>
      </c>
      <c r="J2454" t="s">
        <v>788</v>
      </c>
      <c r="K2454" t="s">
        <v>789</v>
      </c>
      <c r="L2454" t="s">
        <v>1001</v>
      </c>
      <c r="M2454" t="s">
        <v>11</v>
      </c>
      <c r="N2454" t="s">
        <v>11</v>
      </c>
      <c r="O2454" t="s">
        <v>11</v>
      </c>
      <c r="P2454" t="s">
        <v>2</v>
      </c>
      <c r="Q2454" t="s">
        <v>408</v>
      </c>
      <c r="R2454" t="s">
        <v>439</v>
      </c>
      <c r="S2454" t="s">
        <v>440</v>
      </c>
      <c r="T2454" t="s">
        <v>408</v>
      </c>
      <c r="U2454" t="s">
        <v>408</v>
      </c>
    </row>
    <row r="2455" spans="1:21" x14ac:dyDescent="0.25">
      <c r="A2455">
        <v>22350318</v>
      </c>
      <c r="B2455" t="s">
        <v>342</v>
      </c>
      <c r="C2455" t="s">
        <v>89</v>
      </c>
      <c r="D2455" t="s">
        <v>12</v>
      </c>
      <c r="E2455" t="s">
        <v>531</v>
      </c>
      <c r="F2455" t="s">
        <v>992</v>
      </c>
      <c r="G2455" t="s">
        <v>468</v>
      </c>
      <c r="H2455" t="s">
        <v>447</v>
      </c>
      <c r="I2455" t="s">
        <v>448</v>
      </c>
      <c r="J2455" t="s">
        <v>449</v>
      </c>
      <c r="K2455" t="s">
        <v>450</v>
      </c>
      <c r="L2455" t="s">
        <v>367</v>
      </c>
      <c r="M2455" t="s">
        <v>408</v>
      </c>
      <c r="N2455" t="s">
        <v>11</v>
      </c>
      <c r="O2455" t="s">
        <v>11</v>
      </c>
      <c r="P2455" t="s">
        <v>2</v>
      </c>
      <c r="Q2455" t="s">
        <v>408</v>
      </c>
      <c r="R2455" t="s">
        <v>439</v>
      </c>
      <c r="S2455" t="s">
        <v>451</v>
      </c>
      <c r="T2455" t="s">
        <v>11</v>
      </c>
      <c r="U2455" t="s">
        <v>408</v>
      </c>
    </row>
    <row r="2456" spans="1:21" x14ac:dyDescent="0.25">
      <c r="A2456">
        <v>22350319</v>
      </c>
      <c r="B2456" t="s">
        <v>342</v>
      </c>
      <c r="C2456" t="s">
        <v>33</v>
      </c>
      <c r="D2456" t="s">
        <v>12</v>
      </c>
      <c r="E2456" t="s">
        <v>658</v>
      </c>
      <c r="F2456" t="s">
        <v>88</v>
      </c>
      <c r="G2456" t="s">
        <v>369</v>
      </c>
      <c r="H2456" t="s">
        <v>1001</v>
      </c>
      <c r="I2456" t="s">
        <v>1007</v>
      </c>
      <c r="J2456" t="s">
        <v>1006</v>
      </c>
      <c r="K2456" t="s">
        <v>606</v>
      </c>
      <c r="L2456" t="s">
        <v>1005</v>
      </c>
      <c r="M2456" t="s">
        <v>408</v>
      </c>
      <c r="N2456" t="s">
        <v>11</v>
      </c>
      <c r="O2456" t="s">
        <v>408</v>
      </c>
      <c r="P2456" t="s">
        <v>2</v>
      </c>
      <c r="Q2456" t="s">
        <v>408</v>
      </c>
      <c r="R2456" t="s">
        <v>439</v>
      </c>
      <c r="S2456" t="s">
        <v>451</v>
      </c>
      <c r="T2456" t="s">
        <v>11</v>
      </c>
      <c r="U2456" t="s">
        <v>408</v>
      </c>
    </row>
    <row r="2457" spans="1:21" x14ac:dyDescent="0.25">
      <c r="A2457">
        <v>22350322</v>
      </c>
      <c r="B2457" t="s">
        <v>340</v>
      </c>
      <c r="C2457" t="s">
        <v>86</v>
      </c>
      <c r="D2457" t="s">
        <v>18</v>
      </c>
      <c r="E2457" t="s">
        <v>658</v>
      </c>
      <c r="F2457" t="s">
        <v>88</v>
      </c>
      <c r="G2457" t="s">
        <v>468</v>
      </c>
      <c r="H2457" t="s">
        <v>447</v>
      </c>
      <c r="I2457" t="s">
        <v>448</v>
      </c>
      <c r="J2457" t="s">
        <v>449</v>
      </c>
      <c r="K2457" t="s">
        <v>450</v>
      </c>
      <c r="L2457" t="s">
        <v>375</v>
      </c>
      <c r="M2457" t="s">
        <v>408</v>
      </c>
      <c r="N2457" t="s">
        <v>11</v>
      </c>
      <c r="O2457" t="s">
        <v>11</v>
      </c>
      <c r="P2457" t="s">
        <v>2</v>
      </c>
      <c r="Q2457" t="s">
        <v>408</v>
      </c>
      <c r="R2457" t="s">
        <v>439</v>
      </c>
      <c r="S2457" t="s">
        <v>451</v>
      </c>
      <c r="T2457" t="s">
        <v>11</v>
      </c>
      <c r="U2457" t="s">
        <v>408</v>
      </c>
    </row>
    <row r="2458" spans="1:21" x14ac:dyDescent="0.25">
      <c r="A2458">
        <v>22350324</v>
      </c>
      <c r="B2458" t="s">
        <v>342</v>
      </c>
      <c r="C2458" t="s">
        <v>89</v>
      </c>
      <c r="D2458" t="s">
        <v>18</v>
      </c>
      <c r="E2458" t="s">
        <v>658</v>
      </c>
      <c r="F2458" t="s">
        <v>88</v>
      </c>
      <c r="G2458" t="s">
        <v>468</v>
      </c>
      <c r="H2458" t="s">
        <v>761</v>
      </c>
      <c r="I2458" t="s">
        <v>762</v>
      </c>
      <c r="J2458" t="s">
        <v>763</v>
      </c>
      <c r="K2458" t="s">
        <v>764</v>
      </c>
      <c r="L2458" t="s">
        <v>1009</v>
      </c>
      <c r="M2458" t="s">
        <v>11</v>
      </c>
      <c r="N2458" t="s">
        <v>11</v>
      </c>
      <c r="O2458" t="s">
        <v>408</v>
      </c>
      <c r="P2458" t="s">
        <v>2</v>
      </c>
      <c r="Q2458" t="s">
        <v>408</v>
      </c>
      <c r="R2458" t="s">
        <v>439</v>
      </c>
      <c r="S2458" t="s">
        <v>440</v>
      </c>
      <c r="T2458" t="s">
        <v>408</v>
      </c>
      <c r="U2458" t="s">
        <v>408</v>
      </c>
    </row>
    <row r="2459" spans="1:21" x14ac:dyDescent="0.25">
      <c r="A2459">
        <v>22350325</v>
      </c>
      <c r="B2459" t="s">
        <v>340</v>
      </c>
      <c r="C2459" t="s">
        <v>26</v>
      </c>
      <c r="D2459" t="s">
        <v>12</v>
      </c>
      <c r="E2459" t="s">
        <v>658</v>
      </c>
      <c r="F2459" t="s">
        <v>88</v>
      </c>
      <c r="G2459" t="s">
        <v>369</v>
      </c>
      <c r="H2459" t="s">
        <v>447</v>
      </c>
      <c r="I2459" t="s">
        <v>448</v>
      </c>
      <c r="J2459" t="s">
        <v>449</v>
      </c>
      <c r="K2459" t="s">
        <v>450</v>
      </c>
      <c r="L2459" t="s">
        <v>375</v>
      </c>
      <c r="M2459" t="s">
        <v>408</v>
      </c>
      <c r="N2459" t="s">
        <v>11</v>
      </c>
      <c r="O2459" t="s">
        <v>11</v>
      </c>
      <c r="P2459" t="s">
        <v>2</v>
      </c>
      <c r="Q2459" t="s">
        <v>408</v>
      </c>
      <c r="R2459" t="s">
        <v>439</v>
      </c>
      <c r="S2459" t="s">
        <v>451</v>
      </c>
      <c r="T2459" t="s">
        <v>11</v>
      </c>
      <c r="U2459" t="s">
        <v>408</v>
      </c>
    </row>
    <row r="2460" spans="1:21" x14ac:dyDescent="0.25">
      <c r="A2460">
        <v>22350326</v>
      </c>
      <c r="B2460" t="s">
        <v>342</v>
      </c>
      <c r="C2460" t="s">
        <v>33</v>
      </c>
      <c r="D2460" t="s">
        <v>12</v>
      </c>
      <c r="E2460" t="s">
        <v>658</v>
      </c>
      <c r="F2460" t="s">
        <v>88</v>
      </c>
      <c r="G2460" t="s">
        <v>369</v>
      </c>
      <c r="H2460" t="s">
        <v>815</v>
      </c>
      <c r="I2460" t="s">
        <v>1012</v>
      </c>
      <c r="J2460" t="s">
        <v>1011</v>
      </c>
      <c r="K2460" t="s">
        <v>442</v>
      </c>
      <c r="L2460" t="s">
        <v>801</v>
      </c>
      <c r="M2460" t="s">
        <v>11</v>
      </c>
      <c r="N2460" t="s">
        <v>11</v>
      </c>
      <c r="O2460" t="s">
        <v>408</v>
      </c>
      <c r="P2460" t="s">
        <v>2</v>
      </c>
      <c r="Q2460" t="s">
        <v>408</v>
      </c>
      <c r="R2460" t="s">
        <v>439</v>
      </c>
      <c r="S2460" t="s">
        <v>451</v>
      </c>
      <c r="T2460" t="s">
        <v>408</v>
      </c>
      <c r="U2460" t="s">
        <v>408</v>
      </c>
    </row>
    <row r="2461" spans="1:21" x14ac:dyDescent="0.25">
      <c r="A2461">
        <v>22350328</v>
      </c>
      <c r="B2461" t="s">
        <v>342</v>
      </c>
      <c r="C2461" t="s">
        <v>89</v>
      </c>
      <c r="D2461" t="s">
        <v>12</v>
      </c>
      <c r="E2461" t="s">
        <v>658</v>
      </c>
      <c r="F2461" t="s">
        <v>88</v>
      </c>
      <c r="G2461" t="s">
        <v>468</v>
      </c>
      <c r="H2461" t="s">
        <v>603</v>
      </c>
      <c r="I2461" t="s">
        <v>604</v>
      </c>
      <c r="J2461" t="s">
        <v>605</v>
      </c>
      <c r="K2461" t="s">
        <v>606</v>
      </c>
      <c r="L2461" t="s">
        <v>998</v>
      </c>
      <c r="M2461" t="s">
        <v>11</v>
      </c>
      <c r="N2461" t="s">
        <v>11</v>
      </c>
      <c r="O2461" t="s">
        <v>408</v>
      </c>
      <c r="P2461" t="s">
        <v>2</v>
      </c>
      <c r="Q2461" t="s">
        <v>408</v>
      </c>
      <c r="R2461" t="s">
        <v>439</v>
      </c>
      <c r="S2461" t="s">
        <v>451</v>
      </c>
      <c r="T2461" t="s">
        <v>408</v>
      </c>
      <c r="U2461" t="s">
        <v>408</v>
      </c>
    </row>
    <row r="2462" spans="1:21" x14ac:dyDescent="0.25">
      <c r="A2462">
        <v>22350329</v>
      </c>
      <c r="B2462" t="s">
        <v>342</v>
      </c>
      <c r="C2462" t="s">
        <v>89</v>
      </c>
      <c r="D2462" t="s">
        <v>12</v>
      </c>
      <c r="E2462" t="s">
        <v>658</v>
      </c>
      <c r="F2462" t="s">
        <v>88</v>
      </c>
      <c r="G2462" t="s">
        <v>468</v>
      </c>
      <c r="H2462" t="s">
        <v>884</v>
      </c>
      <c r="I2462" t="s">
        <v>883</v>
      </c>
      <c r="J2462" t="s">
        <v>882</v>
      </c>
      <c r="K2462" t="s">
        <v>450</v>
      </c>
      <c r="L2462" t="s">
        <v>998</v>
      </c>
      <c r="M2462" t="s">
        <v>11</v>
      </c>
      <c r="N2462" t="s">
        <v>11</v>
      </c>
      <c r="O2462" t="s">
        <v>408</v>
      </c>
      <c r="P2462" t="s">
        <v>2</v>
      </c>
      <c r="Q2462" t="s">
        <v>408</v>
      </c>
      <c r="R2462" t="s">
        <v>439</v>
      </c>
      <c r="S2462" t="s">
        <v>451</v>
      </c>
      <c r="T2462" t="s">
        <v>408</v>
      </c>
      <c r="U2462" t="s">
        <v>408</v>
      </c>
    </row>
    <row r="2463" spans="1:21" x14ac:dyDescent="0.25">
      <c r="A2463">
        <v>22350332</v>
      </c>
      <c r="B2463" t="s">
        <v>342</v>
      </c>
      <c r="C2463" t="s">
        <v>33</v>
      </c>
      <c r="D2463" t="s">
        <v>12</v>
      </c>
      <c r="E2463" t="s">
        <v>658</v>
      </c>
      <c r="F2463" t="s">
        <v>88</v>
      </c>
      <c r="G2463" t="s">
        <v>369</v>
      </c>
      <c r="H2463" t="s">
        <v>686</v>
      </c>
      <c r="I2463" t="s">
        <v>1000</v>
      </c>
      <c r="J2463" t="s">
        <v>999</v>
      </c>
      <c r="K2463" t="s">
        <v>462</v>
      </c>
      <c r="L2463" t="s">
        <v>2</v>
      </c>
      <c r="M2463" t="s">
        <v>408</v>
      </c>
      <c r="N2463" t="s">
        <v>11</v>
      </c>
      <c r="O2463" t="s">
        <v>11</v>
      </c>
      <c r="P2463" t="s">
        <v>2</v>
      </c>
      <c r="Q2463" t="s">
        <v>408</v>
      </c>
      <c r="R2463" t="s">
        <v>439</v>
      </c>
      <c r="S2463" t="s">
        <v>451</v>
      </c>
      <c r="T2463" t="s">
        <v>11</v>
      </c>
      <c r="U2463" t="s">
        <v>408</v>
      </c>
    </row>
    <row r="2464" spans="1:21" x14ac:dyDescent="0.25">
      <c r="A2464">
        <v>22350333</v>
      </c>
      <c r="B2464" t="s">
        <v>342</v>
      </c>
      <c r="C2464" t="s">
        <v>33</v>
      </c>
      <c r="D2464" t="s">
        <v>12</v>
      </c>
      <c r="E2464" t="s">
        <v>658</v>
      </c>
      <c r="F2464" t="s">
        <v>88</v>
      </c>
      <c r="G2464" t="s">
        <v>369</v>
      </c>
      <c r="H2464" t="s">
        <v>686</v>
      </c>
      <c r="I2464" t="s">
        <v>1000</v>
      </c>
      <c r="J2464" t="s">
        <v>999</v>
      </c>
      <c r="K2464" t="s">
        <v>462</v>
      </c>
      <c r="L2464" t="s">
        <v>2</v>
      </c>
      <c r="M2464" t="s">
        <v>408</v>
      </c>
      <c r="N2464" t="s">
        <v>11</v>
      </c>
      <c r="O2464" t="s">
        <v>11</v>
      </c>
      <c r="P2464" t="s">
        <v>2</v>
      </c>
      <c r="Q2464" t="s">
        <v>408</v>
      </c>
      <c r="R2464" t="s">
        <v>439</v>
      </c>
      <c r="S2464" t="s">
        <v>451</v>
      </c>
      <c r="T2464" t="s">
        <v>11</v>
      </c>
      <c r="U2464" t="s">
        <v>408</v>
      </c>
    </row>
    <row r="2465" spans="1:21" x14ac:dyDescent="0.25">
      <c r="A2465">
        <v>22350335</v>
      </c>
      <c r="B2465" t="s">
        <v>342</v>
      </c>
      <c r="C2465" t="s">
        <v>89</v>
      </c>
      <c r="D2465" t="s">
        <v>12</v>
      </c>
      <c r="E2465" t="s">
        <v>658</v>
      </c>
      <c r="F2465" t="s">
        <v>88</v>
      </c>
      <c r="G2465" t="s">
        <v>468</v>
      </c>
      <c r="H2465" t="s">
        <v>884</v>
      </c>
      <c r="I2465" t="s">
        <v>883</v>
      </c>
      <c r="J2465" t="s">
        <v>882</v>
      </c>
      <c r="K2465" t="s">
        <v>450</v>
      </c>
      <c r="L2465" t="s">
        <v>998</v>
      </c>
      <c r="M2465" t="s">
        <v>11</v>
      </c>
      <c r="N2465" t="s">
        <v>11</v>
      </c>
      <c r="O2465" t="s">
        <v>408</v>
      </c>
      <c r="P2465" t="s">
        <v>2</v>
      </c>
      <c r="Q2465" t="s">
        <v>408</v>
      </c>
      <c r="R2465" t="s">
        <v>439</v>
      </c>
      <c r="S2465" t="s">
        <v>451</v>
      </c>
      <c r="T2465" t="s">
        <v>408</v>
      </c>
      <c r="U2465" t="s">
        <v>408</v>
      </c>
    </row>
    <row r="2466" spans="1:21" x14ac:dyDescent="0.25">
      <c r="A2466">
        <v>22350337</v>
      </c>
      <c r="B2466" t="s">
        <v>342</v>
      </c>
      <c r="C2466" t="s">
        <v>33</v>
      </c>
      <c r="D2466" t="s">
        <v>12</v>
      </c>
      <c r="E2466" t="s">
        <v>658</v>
      </c>
      <c r="F2466" t="s">
        <v>88</v>
      </c>
      <c r="G2466" t="s">
        <v>369</v>
      </c>
      <c r="H2466" t="s">
        <v>686</v>
      </c>
      <c r="I2466" t="s">
        <v>1000</v>
      </c>
      <c r="J2466" t="s">
        <v>999</v>
      </c>
      <c r="K2466" t="s">
        <v>462</v>
      </c>
      <c r="L2466" t="s">
        <v>2</v>
      </c>
      <c r="M2466" t="s">
        <v>408</v>
      </c>
      <c r="N2466" t="s">
        <v>11</v>
      </c>
      <c r="O2466" t="s">
        <v>11</v>
      </c>
      <c r="P2466" t="s">
        <v>2</v>
      </c>
      <c r="Q2466" t="s">
        <v>408</v>
      </c>
      <c r="R2466" t="s">
        <v>439</v>
      </c>
      <c r="S2466" t="s">
        <v>451</v>
      </c>
      <c r="T2466" t="s">
        <v>11</v>
      </c>
      <c r="U2466" t="s">
        <v>408</v>
      </c>
    </row>
    <row r="2467" spans="1:21" x14ac:dyDescent="0.25">
      <c r="A2467">
        <v>22350338</v>
      </c>
      <c r="B2467" t="s">
        <v>340</v>
      </c>
      <c r="C2467" t="s">
        <v>26</v>
      </c>
      <c r="D2467" t="s">
        <v>12</v>
      </c>
      <c r="E2467" t="s">
        <v>658</v>
      </c>
      <c r="F2467" t="s">
        <v>88</v>
      </c>
      <c r="G2467" t="s">
        <v>468</v>
      </c>
      <c r="H2467" t="s">
        <v>820</v>
      </c>
      <c r="I2467" t="s">
        <v>821</v>
      </c>
      <c r="J2467" t="s">
        <v>822</v>
      </c>
      <c r="K2467" t="s">
        <v>701</v>
      </c>
      <c r="L2467" t="s">
        <v>1009</v>
      </c>
      <c r="M2467" t="s">
        <v>11</v>
      </c>
      <c r="N2467" t="s">
        <v>11</v>
      </c>
      <c r="O2467" t="s">
        <v>408</v>
      </c>
      <c r="P2467" t="s">
        <v>2</v>
      </c>
      <c r="Q2467" t="s">
        <v>408</v>
      </c>
      <c r="R2467" t="s">
        <v>439</v>
      </c>
      <c r="S2467" t="s">
        <v>451</v>
      </c>
      <c r="T2467" t="s">
        <v>408</v>
      </c>
      <c r="U2467" t="s">
        <v>408</v>
      </c>
    </row>
    <row r="2468" spans="1:21" x14ac:dyDescent="0.25">
      <c r="A2468">
        <v>22350339</v>
      </c>
      <c r="B2468" t="s">
        <v>340</v>
      </c>
      <c r="C2468" t="s">
        <v>86</v>
      </c>
      <c r="D2468" t="s">
        <v>12</v>
      </c>
      <c r="E2468" t="s">
        <v>658</v>
      </c>
      <c r="F2468" t="s">
        <v>88</v>
      </c>
      <c r="G2468" t="s">
        <v>468</v>
      </c>
      <c r="H2468" t="s">
        <v>447</v>
      </c>
      <c r="I2468" t="s">
        <v>448</v>
      </c>
      <c r="J2468" t="s">
        <v>449</v>
      </c>
      <c r="K2468" t="s">
        <v>450</v>
      </c>
      <c r="L2468" t="s">
        <v>375</v>
      </c>
      <c r="M2468" t="s">
        <v>408</v>
      </c>
      <c r="N2468" t="s">
        <v>11</v>
      </c>
      <c r="O2468" t="s">
        <v>11</v>
      </c>
      <c r="P2468" t="s">
        <v>2</v>
      </c>
      <c r="Q2468" t="s">
        <v>408</v>
      </c>
      <c r="R2468" t="s">
        <v>439</v>
      </c>
      <c r="S2468" t="s">
        <v>451</v>
      </c>
      <c r="T2468" t="s">
        <v>11</v>
      </c>
      <c r="U2468" t="s">
        <v>408</v>
      </c>
    </row>
    <row r="2469" spans="1:21" x14ac:dyDescent="0.25">
      <c r="A2469">
        <v>22350340</v>
      </c>
      <c r="B2469" t="s">
        <v>342</v>
      </c>
      <c r="C2469" t="s">
        <v>33</v>
      </c>
      <c r="D2469" t="s">
        <v>12</v>
      </c>
      <c r="E2469" t="s">
        <v>658</v>
      </c>
      <c r="F2469" t="s">
        <v>88</v>
      </c>
      <c r="G2469" t="s">
        <v>369</v>
      </c>
      <c r="H2469" t="s">
        <v>686</v>
      </c>
      <c r="I2469" t="s">
        <v>1000</v>
      </c>
      <c r="J2469" t="s">
        <v>999</v>
      </c>
      <c r="K2469" t="s">
        <v>462</v>
      </c>
      <c r="L2469" t="s">
        <v>2</v>
      </c>
      <c r="M2469" t="s">
        <v>408</v>
      </c>
      <c r="N2469" t="s">
        <v>11</v>
      </c>
      <c r="O2469" t="s">
        <v>11</v>
      </c>
      <c r="P2469" t="s">
        <v>2</v>
      </c>
      <c r="Q2469" t="s">
        <v>408</v>
      </c>
      <c r="R2469" t="s">
        <v>439</v>
      </c>
      <c r="S2469" t="s">
        <v>451</v>
      </c>
      <c r="T2469" t="s">
        <v>11</v>
      </c>
      <c r="U2469" t="s">
        <v>408</v>
      </c>
    </row>
    <row r="2470" spans="1:21" x14ac:dyDescent="0.25">
      <c r="A2470">
        <v>22350342</v>
      </c>
      <c r="B2470" t="s">
        <v>342</v>
      </c>
      <c r="C2470" t="s">
        <v>89</v>
      </c>
      <c r="D2470" t="s">
        <v>18</v>
      </c>
      <c r="E2470" t="s">
        <v>658</v>
      </c>
      <c r="F2470" t="s">
        <v>88</v>
      </c>
      <c r="G2470" t="s">
        <v>468</v>
      </c>
      <c r="H2470" t="s">
        <v>447</v>
      </c>
      <c r="I2470" t="s">
        <v>448</v>
      </c>
      <c r="J2470" t="s">
        <v>449</v>
      </c>
      <c r="K2470" t="s">
        <v>450</v>
      </c>
      <c r="L2470" t="s">
        <v>370</v>
      </c>
      <c r="M2470" t="s">
        <v>408</v>
      </c>
      <c r="N2470" t="s">
        <v>11</v>
      </c>
      <c r="O2470" t="s">
        <v>408</v>
      </c>
      <c r="P2470" t="s">
        <v>2</v>
      </c>
      <c r="Q2470" t="s">
        <v>408</v>
      </c>
      <c r="R2470" t="s">
        <v>439</v>
      </c>
      <c r="S2470" t="s">
        <v>451</v>
      </c>
      <c r="T2470" t="s">
        <v>11</v>
      </c>
      <c r="U2470" t="s">
        <v>408</v>
      </c>
    </row>
    <row r="2471" spans="1:21" x14ac:dyDescent="0.25">
      <c r="A2471">
        <v>22350343</v>
      </c>
      <c r="B2471" t="s">
        <v>342</v>
      </c>
      <c r="C2471" t="s">
        <v>33</v>
      </c>
      <c r="D2471" t="s">
        <v>12</v>
      </c>
      <c r="E2471" t="s">
        <v>658</v>
      </c>
      <c r="F2471" t="s">
        <v>88</v>
      </c>
      <c r="G2471" t="s">
        <v>468</v>
      </c>
      <c r="H2471" t="s">
        <v>820</v>
      </c>
      <c r="I2471" t="s">
        <v>821</v>
      </c>
      <c r="J2471" t="s">
        <v>822</v>
      </c>
      <c r="K2471" t="s">
        <v>701</v>
      </c>
      <c r="L2471" t="s">
        <v>998</v>
      </c>
      <c r="M2471" t="s">
        <v>11</v>
      </c>
      <c r="N2471" t="s">
        <v>11</v>
      </c>
      <c r="O2471" t="s">
        <v>408</v>
      </c>
      <c r="P2471" t="s">
        <v>2</v>
      </c>
      <c r="Q2471" t="s">
        <v>408</v>
      </c>
      <c r="R2471" t="s">
        <v>439</v>
      </c>
      <c r="S2471" t="s">
        <v>451</v>
      </c>
      <c r="T2471" t="s">
        <v>408</v>
      </c>
      <c r="U2471" t="s">
        <v>408</v>
      </c>
    </row>
    <row r="2472" spans="1:21" x14ac:dyDescent="0.25">
      <c r="A2472">
        <v>22350345</v>
      </c>
      <c r="B2472" t="s">
        <v>342</v>
      </c>
      <c r="C2472" t="s">
        <v>33</v>
      </c>
      <c r="D2472" t="s">
        <v>12</v>
      </c>
      <c r="E2472" t="s">
        <v>658</v>
      </c>
      <c r="F2472" t="s">
        <v>88</v>
      </c>
      <c r="G2472" t="s">
        <v>369</v>
      </c>
      <c r="H2472" t="s">
        <v>686</v>
      </c>
      <c r="I2472" t="s">
        <v>1000</v>
      </c>
      <c r="J2472" t="s">
        <v>999</v>
      </c>
      <c r="K2472" t="s">
        <v>462</v>
      </c>
      <c r="L2472" t="s">
        <v>2</v>
      </c>
      <c r="M2472" t="s">
        <v>408</v>
      </c>
      <c r="N2472" t="s">
        <v>11</v>
      </c>
      <c r="O2472" t="s">
        <v>11</v>
      </c>
      <c r="P2472" t="s">
        <v>2</v>
      </c>
      <c r="Q2472" t="s">
        <v>408</v>
      </c>
      <c r="R2472" t="s">
        <v>439</v>
      </c>
      <c r="S2472" t="s">
        <v>451</v>
      </c>
      <c r="T2472" t="s">
        <v>11</v>
      </c>
      <c r="U2472" t="s">
        <v>408</v>
      </c>
    </row>
    <row r="2473" spans="1:21" x14ac:dyDescent="0.25">
      <c r="A2473">
        <v>22350348</v>
      </c>
      <c r="B2473" t="s">
        <v>342</v>
      </c>
      <c r="C2473" t="s">
        <v>33</v>
      </c>
      <c r="D2473" t="s">
        <v>12</v>
      </c>
      <c r="E2473" t="s">
        <v>658</v>
      </c>
      <c r="F2473" t="s">
        <v>88</v>
      </c>
      <c r="G2473" t="s">
        <v>369</v>
      </c>
      <c r="H2473" t="s">
        <v>686</v>
      </c>
      <c r="I2473" t="s">
        <v>1000</v>
      </c>
      <c r="J2473" t="s">
        <v>999</v>
      </c>
      <c r="K2473" t="s">
        <v>462</v>
      </c>
      <c r="L2473" t="s">
        <v>2</v>
      </c>
      <c r="M2473" t="s">
        <v>408</v>
      </c>
      <c r="N2473" t="s">
        <v>11</v>
      </c>
      <c r="O2473" t="s">
        <v>11</v>
      </c>
      <c r="P2473" t="s">
        <v>2</v>
      </c>
      <c r="Q2473" t="s">
        <v>408</v>
      </c>
      <c r="R2473" t="s">
        <v>439</v>
      </c>
      <c r="S2473" t="s">
        <v>451</v>
      </c>
      <c r="T2473" t="s">
        <v>11</v>
      </c>
      <c r="U2473" t="s">
        <v>408</v>
      </c>
    </row>
    <row r="2474" spans="1:21" x14ac:dyDescent="0.25">
      <c r="A2474">
        <v>22350350</v>
      </c>
      <c r="B2474" t="s">
        <v>342</v>
      </c>
      <c r="C2474" t="s">
        <v>33</v>
      </c>
      <c r="D2474" t="s">
        <v>12</v>
      </c>
      <c r="E2474" t="s">
        <v>658</v>
      </c>
      <c r="F2474" t="s">
        <v>88</v>
      </c>
      <c r="G2474" t="s">
        <v>369</v>
      </c>
      <c r="H2474" t="s">
        <v>686</v>
      </c>
      <c r="I2474" t="s">
        <v>1000</v>
      </c>
      <c r="J2474" t="s">
        <v>999</v>
      </c>
      <c r="K2474" t="s">
        <v>462</v>
      </c>
      <c r="L2474" t="s">
        <v>2</v>
      </c>
      <c r="M2474" t="s">
        <v>408</v>
      </c>
      <c r="N2474" t="s">
        <v>11</v>
      </c>
      <c r="O2474" t="s">
        <v>11</v>
      </c>
      <c r="P2474" t="s">
        <v>2</v>
      </c>
      <c r="Q2474" t="s">
        <v>408</v>
      </c>
      <c r="R2474" t="s">
        <v>439</v>
      </c>
      <c r="S2474" t="s">
        <v>451</v>
      </c>
      <c r="T2474" t="s">
        <v>11</v>
      </c>
      <c r="U2474" t="s">
        <v>408</v>
      </c>
    </row>
    <row r="2475" spans="1:21" x14ac:dyDescent="0.25">
      <c r="A2475">
        <v>22350351</v>
      </c>
      <c r="B2475" t="s">
        <v>342</v>
      </c>
      <c r="C2475" t="s">
        <v>89</v>
      </c>
      <c r="D2475" t="s">
        <v>12</v>
      </c>
      <c r="E2475" t="s">
        <v>531</v>
      </c>
      <c r="F2475" t="s">
        <v>1010</v>
      </c>
      <c r="G2475" t="s">
        <v>468</v>
      </c>
      <c r="H2475" t="s">
        <v>447</v>
      </c>
      <c r="I2475" t="s">
        <v>448</v>
      </c>
      <c r="J2475" t="s">
        <v>449</v>
      </c>
      <c r="K2475" t="s">
        <v>450</v>
      </c>
      <c r="L2475" t="s">
        <v>370</v>
      </c>
      <c r="M2475" t="s">
        <v>408</v>
      </c>
      <c r="N2475" t="s">
        <v>11</v>
      </c>
      <c r="O2475" t="s">
        <v>408</v>
      </c>
      <c r="P2475" t="s">
        <v>2</v>
      </c>
      <c r="Q2475" t="s">
        <v>408</v>
      </c>
      <c r="R2475" t="s">
        <v>439</v>
      </c>
      <c r="S2475" t="s">
        <v>451</v>
      </c>
      <c r="T2475" t="s">
        <v>11</v>
      </c>
      <c r="U2475" t="s">
        <v>408</v>
      </c>
    </row>
    <row r="2476" spans="1:21" x14ac:dyDescent="0.25">
      <c r="A2476">
        <v>22350353</v>
      </c>
      <c r="B2476" t="s">
        <v>340</v>
      </c>
      <c r="C2476" t="s">
        <v>86</v>
      </c>
      <c r="D2476" t="s">
        <v>12</v>
      </c>
      <c r="E2476" t="s">
        <v>658</v>
      </c>
      <c r="F2476" t="s">
        <v>88</v>
      </c>
      <c r="G2476" t="s">
        <v>468</v>
      </c>
      <c r="H2476" t="s">
        <v>447</v>
      </c>
      <c r="I2476" t="s">
        <v>448</v>
      </c>
      <c r="J2476" t="s">
        <v>449</v>
      </c>
      <c r="K2476" t="s">
        <v>450</v>
      </c>
      <c r="L2476" t="s">
        <v>375</v>
      </c>
      <c r="M2476" t="s">
        <v>408</v>
      </c>
      <c r="N2476" t="s">
        <v>11</v>
      </c>
      <c r="O2476" t="s">
        <v>11</v>
      </c>
      <c r="P2476" t="s">
        <v>2</v>
      </c>
      <c r="Q2476" t="s">
        <v>408</v>
      </c>
      <c r="R2476" t="s">
        <v>439</v>
      </c>
      <c r="S2476" t="s">
        <v>451</v>
      </c>
      <c r="T2476" t="s">
        <v>11</v>
      </c>
      <c r="U2476" t="s">
        <v>408</v>
      </c>
    </row>
    <row r="2477" spans="1:21" x14ac:dyDescent="0.25">
      <c r="A2477">
        <v>22350355</v>
      </c>
      <c r="B2477" t="s">
        <v>342</v>
      </c>
      <c r="C2477" t="s">
        <v>33</v>
      </c>
      <c r="D2477" t="s">
        <v>12</v>
      </c>
      <c r="E2477" t="s">
        <v>658</v>
      </c>
      <c r="F2477" t="s">
        <v>88</v>
      </c>
      <c r="G2477" t="s">
        <v>369</v>
      </c>
      <c r="H2477" t="s">
        <v>786</v>
      </c>
      <c r="I2477" t="s">
        <v>787</v>
      </c>
      <c r="J2477" t="s">
        <v>788</v>
      </c>
      <c r="K2477" t="s">
        <v>789</v>
      </c>
      <c r="L2477" t="s">
        <v>1005</v>
      </c>
      <c r="M2477" t="s">
        <v>11</v>
      </c>
      <c r="N2477" t="s">
        <v>11</v>
      </c>
      <c r="O2477" t="s">
        <v>408</v>
      </c>
      <c r="P2477" t="s">
        <v>2</v>
      </c>
      <c r="Q2477" t="s">
        <v>408</v>
      </c>
      <c r="R2477" t="s">
        <v>439</v>
      </c>
      <c r="S2477" t="s">
        <v>440</v>
      </c>
      <c r="T2477" t="s">
        <v>408</v>
      </c>
      <c r="U2477" t="s">
        <v>408</v>
      </c>
    </row>
    <row r="2478" spans="1:21" x14ac:dyDescent="0.25">
      <c r="A2478">
        <v>22350356</v>
      </c>
      <c r="B2478" t="s">
        <v>342</v>
      </c>
      <c r="C2478" t="s">
        <v>33</v>
      </c>
      <c r="D2478" t="s">
        <v>12</v>
      </c>
      <c r="E2478" t="s">
        <v>658</v>
      </c>
      <c r="F2478" t="s">
        <v>88</v>
      </c>
      <c r="G2478" t="s">
        <v>468</v>
      </c>
      <c r="H2478" t="s">
        <v>820</v>
      </c>
      <c r="I2478" t="s">
        <v>821</v>
      </c>
      <c r="J2478" t="s">
        <v>822</v>
      </c>
      <c r="K2478" t="s">
        <v>701</v>
      </c>
      <c r="L2478" t="s">
        <v>998</v>
      </c>
      <c r="M2478" t="s">
        <v>11</v>
      </c>
      <c r="N2478" t="s">
        <v>11</v>
      </c>
      <c r="O2478" t="s">
        <v>408</v>
      </c>
      <c r="P2478" t="s">
        <v>2</v>
      </c>
      <c r="Q2478" t="s">
        <v>408</v>
      </c>
      <c r="R2478" t="s">
        <v>439</v>
      </c>
      <c r="S2478" t="s">
        <v>451</v>
      </c>
      <c r="T2478" t="s">
        <v>408</v>
      </c>
      <c r="U2478" t="s">
        <v>408</v>
      </c>
    </row>
    <row r="2479" spans="1:21" x14ac:dyDescent="0.25">
      <c r="A2479">
        <v>22350357</v>
      </c>
      <c r="B2479" t="s">
        <v>342</v>
      </c>
      <c r="C2479" t="s">
        <v>33</v>
      </c>
      <c r="D2479" t="s">
        <v>12</v>
      </c>
      <c r="E2479" t="s">
        <v>658</v>
      </c>
      <c r="F2479" t="s">
        <v>88</v>
      </c>
      <c r="G2479" t="s">
        <v>468</v>
      </c>
      <c r="H2479" t="s">
        <v>820</v>
      </c>
      <c r="I2479" t="s">
        <v>821</v>
      </c>
      <c r="J2479" t="s">
        <v>822</v>
      </c>
      <c r="K2479" t="s">
        <v>701</v>
      </c>
      <c r="L2479" t="s">
        <v>1009</v>
      </c>
      <c r="M2479" t="s">
        <v>11</v>
      </c>
      <c r="N2479" t="s">
        <v>11</v>
      </c>
      <c r="O2479" t="s">
        <v>408</v>
      </c>
      <c r="P2479" t="s">
        <v>2</v>
      </c>
      <c r="Q2479" t="s">
        <v>408</v>
      </c>
      <c r="R2479" t="s">
        <v>439</v>
      </c>
      <c r="S2479" t="s">
        <v>451</v>
      </c>
      <c r="T2479" t="s">
        <v>408</v>
      </c>
      <c r="U2479" t="s">
        <v>408</v>
      </c>
    </row>
    <row r="2480" spans="1:21" x14ac:dyDescent="0.25">
      <c r="A2480">
        <v>22350359</v>
      </c>
      <c r="B2480" t="s">
        <v>342</v>
      </c>
      <c r="C2480" t="s">
        <v>89</v>
      </c>
      <c r="D2480" t="s">
        <v>12</v>
      </c>
      <c r="E2480" t="s">
        <v>658</v>
      </c>
      <c r="F2480" t="s">
        <v>88</v>
      </c>
      <c r="G2480" t="s">
        <v>468</v>
      </c>
      <c r="H2480" t="s">
        <v>775</v>
      </c>
      <c r="I2480" t="s">
        <v>776</v>
      </c>
      <c r="J2480" t="s">
        <v>776</v>
      </c>
      <c r="K2480" t="s">
        <v>450</v>
      </c>
      <c r="L2480" t="s">
        <v>998</v>
      </c>
      <c r="M2480" t="s">
        <v>11</v>
      </c>
      <c r="N2480" t="s">
        <v>11</v>
      </c>
      <c r="O2480" t="s">
        <v>408</v>
      </c>
      <c r="P2480" t="s">
        <v>2</v>
      </c>
      <c r="Q2480" t="s">
        <v>408</v>
      </c>
      <c r="R2480" t="s">
        <v>439</v>
      </c>
      <c r="S2480" t="s">
        <v>451</v>
      </c>
      <c r="T2480" t="s">
        <v>408</v>
      </c>
      <c r="U2480" t="s">
        <v>408</v>
      </c>
    </row>
    <row r="2481" spans="1:21" x14ac:dyDescent="0.25">
      <c r="A2481">
        <v>22350360</v>
      </c>
      <c r="B2481" t="s">
        <v>342</v>
      </c>
      <c r="C2481" t="s">
        <v>89</v>
      </c>
      <c r="D2481" t="s">
        <v>12</v>
      </c>
      <c r="E2481" t="s">
        <v>658</v>
      </c>
      <c r="F2481" t="s">
        <v>88</v>
      </c>
      <c r="G2481" t="s">
        <v>468</v>
      </c>
      <c r="H2481" t="s">
        <v>761</v>
      </c>
      <c r="I2481" t="s">
        <v>762</v>
      </c>
      <c r="J2481" t="s">
        <v>763</v>
      </c>
      <c r="K2481" t="s">
        <v>764</v>
      </c>
      <c r="L2481" t="s">
        <v>998</v>
      </c>
      <c r="M2481" t="s">
        <v>11</v>
      </c>
      <c r="N2481" t="s">
        <v>11</v>
      </c>
      <c r="O2481" t="s">
        <v>408</v>
      </c>
      <c r="P2481" t="s">
        <v>2</v>
      </c>
      <c r="Q2481" t="s">
        <v>408</v>
      </c>
      <c r="R2481" t="s">
        <v>439</v>
      </c>
      <c r="S2481" t="s">
        <v>440</v>
      </c>
      <c r="T2481" t="s">
        <v>408</v>
      </c>
      <c r="U2481" t="s">
        <v>408</v>
      </c>
    </row>
    <row r="2482" spans="1:21" x14ac:dyDescent="0.25">
      <c r="A2482">
        <v>22350361</v>
      </c>
      <c r="B2482" t="s">
        <v>340</v>
      </c>
      <c r="C2482" t="s">
        <v>86</v>
      </c>
      <c r="D2482" t="s">
        <v>12</v>
      </c>
      <c r="E2482" t="s">
        <v>658</v>
      </c>
      <c r="F2482" t="s">
        <v>88</v>
      </c>
      <c r="G2482" t="s">
        <v>468</v>
      </c>
      <c r="H2482" t="s">
        <v>617</v>
      </c>
      <c r="I2482" t="s">
        <v>618</v>
      </c>
      <c r="J2482" t="s">
        <v>619</v>
      </c>
      <c r="K2482" t="s">
        <v>606</v>
      </c>
      <c r="L2482" t="s">
        <v>375</v>
      </c>
      <c r="M2482" t="s">
        <v>408</v>
      </c>
      <c r="N2482" t="s">
        <v>11</v>
      </c>
      <c r="O2482" t="s">
        <v>11</v>
      </c>
      <c r="P2482" t="s">
        <v>2</v>
      </c>
      <c r="Q2482" t="s">
        <v>408</v>
      </c>
      <c r="R2482" t="s">
        <v>439</v>
      </c>
      <c r="S2482" t="s">
        <v>451</v>
      </c>
      <c r="T2482" t="s">
        <v>11</v>
      </c>
      <c r="U2482" t="s">
        <v>408</v>
      </c>
    </row>
    <row r="2483" spans="1:21" x14ac:dyDescent="0.25">
      <c r="A2483">
        <v>22350366</v>
      </c>
      <c r="B2483" t="s">
        <v>342</v>
      </c>
      <c r="C2483" t="s">
        <v>33</v>
      </c>
      <c r="D2483" t="s">
        <v>12</v>
      </c>
      <c r="E2483" t="s">
        <v>658</v>
      </c>
      <c r="F2483" t="s">
        <v>88</v>
      </c>
      <c r="G2483" t="s">
        <v>369</v>
      </c>
      <c r="H2483" t="s">
        <v>686</v>
      </c>
      <c r="I2483" t="s">
        <v>1000</v>
      </c>
      <c r="J2483" t="s">
        <v>999</v>
      </c>
      <c r="K2483" t="s">
        <v>462</v>
      </c>
      <c r="L2483" t="s">
        <v>2</v>
      </c>
      <c r="M2483" t="s">
        <v>408</v>
      </c>
      <c r="N2483" t="s">
        <v>11</v>
      </c>
      <c r="O2483" t="s">
        <v>11</v>
      </c>
      <c r="P2483" t="s">
        <v>2</v>
      </c>
      <c r="Q2483" t="s">
        <v>408</v>
      </c>
      <c r="R2483" t="s">
        <v>439</v>
      </c>
      <c r="S2483" t="s">
        <v>451</v>
      </c>
      <c r="T2483" t="s">
        <v>11</v>
      </c>
      <c r="U2483" t="s">
        <v>408</v>
      </c>
    </row>
    <row r="2484" spans="1:21" x14ac:dyDescent="0.25">
      <c r="A2484">
        <v>22350367</v>
      </c>
      <c r="B2484" t="s">
        <v>340</v>
      </c>
      <c r="C2484" t="s">
        <v>86</v>
      </c>
      <c r="D2484" t="s">
        <v>18</v>
      </c>
      <c r="E2484" t="s">
        <v>658</v>
      </c>
      <c r="F2484" t="s">
        <v>88</v>
      </c>
      <c r="G2484" t="s">
        <v>468</v>
      </c>
      <c r="H2484" t="s">
        <v>447</v>
      </c>
      <c r="I2484" t="s">
        <v>448</v>
      </c>
      <c r="J2484" t="s">
        <v>449</v>
      </c>
      <c r="K2484" t="s">
        <v>450</v>
      </c>
      <c r="L2484" t="s">
        <v>375</v>
      </c>
      <c r="M2484" t="s">
        <v>408</v>
      </c>
      <c r="N2484" t="s">
        <v>11</v>
      </c>
      <c r="O2484" t="s">
        <v>11</v>
      </c>
      <c r="P2484" t="s">
        <v>2</v>
      </c>
      <c r="Q2484" t="s">
        <v>408</v>
      </c>
      <c r="R2484" t="s">
        <v>439</v>
      </c>
      <c r="S2484" t="s">
        <v>451</v>
      </c>
      <c r="T2484" t="s">
        <v>11</v>
      </c>
      <c r="U2484" t="s">
        <v>408</v>
      </c>
    </row>
    <row r="2485" spans="1:21" x14ac:dyDescent="0.25">
      <c r="A2485">
        <v>22350369</v>
      </c>
      <c r="B2485" t="s">
        <v>342</v>
      </c>
      <c r="C2485" t="s">
        <v>89</v>
      </c>
      <c r="D2485" t="s">
        <v>12</v>
      </c>
      <c r="E2485" t="s">
        <v>658</v>
      </c>
      <c r="F2485" t="s">
        <v>88</v>
      </c>
      <c r="G2485" t="s">
        <v>468</v>
      </c>
      <c r="H2485" t="s">
        <v>603</v>
      </c>
      <c r="I2485" t="s">
        <v>604</v>
      </c>
      <c r="J2485" t="s">
        <v>605</v>
      </c>
      <c r="K2485" t="s">
        <v>606</v>
      </c>
      <c r="L2485" t="s">
        <v>998</v>
      </c>
      <c r="M2485" t="s">
        <v>11</v>
      </c>
      <c r="N2485" t="s">
        <v>11</v>
      </c>
      <c r="O2485" t="s">
        <v>408</v>
      </c>
      <c r="P2485" t="s">
        <v>2</v>
      </c>
      <c r="Q2485" t="s">
        <v>408</v>
      </c>
      <c r="R2485" t="s">
        <v>439</v>
      </c>
      <c r="S2485" t="s">
        <v>451</v>
      </c>
      <c r="T2485" t="s">
        <v>408</v>
      </c>
      <c r="U2485" t="s">
        <v>408</v>
      </c>
    </row>
    <row r="2486" spans="1:21" x14ac:dyDescent="0.25">
      <c r="A2486">
        <v>22350370</v>
      </c>
      <c r="B2486" t="s">
        <v>340</v>
      </c>
      <c r="C2486" t="s">
        <v>26</v>
      </c>
      <c r="D2486" t="s">
        <v>12</v>
      </c>
      <c r="E2486" t="s">
        <v>658</v>
      </c>
      <c r="F2486" t="s">
        <v>88</v>
      </c>
      <c r="G2486" t="s">
        <v>369</v>
      </c>
      <c r="H2486" t="s">
        <v>447</v>
      </c>
      <c r="I2486" t="s">
        <v>448</v>
      </c>
      <c r="J2486" t="s">
        <v>449</v>
      </c>
      <c r="K2486" t="s">
        <v>450</v>
      </c>
      <c r="L2486" t="s">
        <v>375</v>
      </c>
      <c r="M2486" t="s">
        <v>408</v>
      </c>
      <c r="N2486" t="s">
        <v>11</v>
      </c>
      <c r="O2486" t="s">
        <v>11</v>
      </c>
      <c r="P2486" t="s">
        <v>2</v>
      </c>
      <c r="Q2486" t="s">
        <v>408</v>
      </c>
      <c r="R2486" t="s">
        <v>439</v>
      </c>
      <c r="S2486" t="s">
        <v>451</v>
      </c>
      <c r="T2486" t="s">
        <v>11</v>
      </c>
      <c r="U2486" t="s">
        <v>408</v>
      </c>
    </row>
    <row r="2487" spans="1:21" x14ac:dyDescent="0.25">
      <c r="A2487">
        <v>22350371</v>
      </c>
      <c r="B2487" t="s">
        <v>342</v>
      </c>
      <c r="C2487" t="s">
        <v>33</v>
      </c>
      <c r="D2487" t="s">
        <v>18</v>
      </c>
      <c r="E2487" t="s">
        <v>658</v>
      </c>
      <c r="F2487" t="s">
        <v>88</v>
      </c>
      <c r="G2487" t="s">
        <v>468</v>
      </c>
      <c r="H2487" t="s">
        <v>1004</v>
      </c>
      <c r="I2487" t="s">
        <v>1003</v>
      </c>
      <c r="J2487" t="s">
        <v>1002</v>
      </c>
      <c r="K2487" t="s">
        <v>444</v>
      </c>
      <c r="L2487" t="s">
        <v>1005</v>
      </c>
      <c r="M2487" t="s">
        <v>11</v>
      </c>
      <c r="N2487" t="s">
        <v>11</v>
      </c>
      <c r="O2487" t="s">
        <v>408</v>
      </c>
      <c r="P2487" t="s">
        <v>2</v>
      </c>
      <c r="Q2487" t="s">
        <v>408</v>
      </c>
      <c r="R2487" t="s">
        <v>439</v>
      </c>
      <c r="S2487" t="s">
        <v>451</v>
      </c>
      <c r="T2487" t="s">
        <v>408</v>
      </c>
      <c r="U2487" t="s">
        <v>408</v>
      </c>
    </row>
    <row r="2488" spans="1:21" x14ac:dyDescent="0.25">
      <c r="A2488">
        <v>22350372</v>
      </c>
      <c r="B2488" t="s">
        <v>342</v>
      </c>
      <c r="C2488" t="s">
        <v>89</v>
      </c>
      <c r="D2488" t="s">
        <v>12</v>
      </c>
      <c r="E2488" t="s">
        <v>658</v>
      </c>
      <c r="F2488" t="s">
        <v>88</v>
      </c>
      <c r="G2488" t="s">
        <v>468</v>
      </c>
      <c r="H2488" t="s">
        <v>775</v>
      </c>
      <c r="I2488" t="s">
        <v>776</v>
      </c>
      <c r="J2488" t="s">
        <v>776</v>
      </c>
      <c r="K2488" t="s">
        <v>450</v>
      </c>
      <c r="L2488" t="s">
        <v>998</v>
      </c>
      <c r="M2488" t="s">
        <v>11</v>
      </c>
      <c r="N2488" t="s">
        <v>11</v>
      </c>
      <c r="O2488" t="s">
        <v>408</v>
      </c>
      <c r="P2488" t="s">
        <v>2</v>
      </c>
      <c r="Q2488" t="s">
        <v>408</v>
      </c>
      <c r="R2488" t="s">
        <v>439</v>
      </c>
      <c r="S2488" t="s">
        <v>451</v>
      </c>
      <c r="T2488" t="s">
        <v>408</v>
      </c>
      <c r="U2488" t="s">
        <v>408</v>
      </c>
    </row>
    <row r="2489" spans="1:21" x14ac:dyDescent="0.25">
      <c r="A2489">
        <v>22350373</v>
      </c>
      <c r="B2489" t="s">
        <v>342</v>
      </c>
      <c r="C2489" t="s">
        <v>89</v>
      </c>
      <c r="D2489" t="s">
        <v>12</v>
      </c>
      <c r="E2489" t="s">
        <v>658</v>
      </c>
      <c r="F2489" t="s">
        <v>88</v>
      </c>
      <c r="G2489" t="s">
        <v>468</v>
      </c>
      <c r="H2489" t="s">
        <v>761</v>
      </c>
      <c r="I2489" t="s">
        <v>762</v>
      </c>
      <c r="J2489" t="s">
        <v>763</v>
      </c>
      <c r="K2489" t="s">
        <v>764</v>
      </c>
      <c r="L2489" t="s">
        <v>998</v>
      </c>
      <c r="M2489" t="s">
        <v>11</v>
      </c>
      <c r="N2489" t="s">
        <v>11</v>
      </c>
      <c r="O2489" t="s">
        <v>408</v>
      </c>
      <c r="P2489" t="s">
        <v>2</v>
      </c>
      <c r="Q2489" t="s">
        <v>408</v>
      </c>
      <c r="R2489" t="s">
        <v>439</v>
      </c>
      <c r="S2489" t="s">
        <v>440</v>
      </c>
      <c r="T2489" t="s">
        <v>408</v>
      </c>
      <c r="U2489" t="s">
        <v>408</v>
      </c>
    </row>
    <row r="2490" spans="1:21" x14ac:dyDescent="0.25">
      <c r="A2490">
        <v>22350374</v>
      </c>
      <c r="B2490" t="s">
        <v>342</v>
      </c>
      <c r="C2490" t="s">
        <v>89</v>
      </c>
      <c r="D2490" t="s">
        <v>12</v>
      </c>
      <c r="E2490" t="s">
        <v>658</v>
      </c>
      <c r="F2490" t="s">
        <v>88</v>
      </c>
      <c r="G2490" t="s">
        <v>468</v>
      </c>
      <c r="H2490" t="s">
        <v>761</v>
      </c>
      <c r="I2490" t="s">
        <v>762</v>
      </c>
      <c r="J2490" t="s">
        <v>763</v>
      </c>
      <c r="K2490" t="s">
        <v>764</v>
      </c>
      <c r="L2490" t="s">
        <v>998</v>
      </c>
      <c r="M2490" t="s">
        <v>11</v>
      </c>
      <c r="N2490" t="s">
        <v>11</v>
      </c>
      <c r="O2490" t="s">
        <v>408</v>
      </c>
      <c r="P2490" t="s">
        <v>2</v>
      </c>
      <c r="Q2490" t="s">
        <v>408</v>
      </c>
      <c r="R2490" t="s">
        <v>439</v>
      </c>
      <c r="S2490" t="s">
        <v>440</v>
      </c>
      <c r="T2490" t="s">
        <v>408</v>
      </c>
      <c r="U2490" t="s">
        <v>408</v>
      </c>
    </row>
    <row r="2491" spans="1:21" x14ac:dyDescent="0.25">
      <c r="A2491">
        <v>22350376</v>
      </c>
      <c r="B2491" t="s">
        <v>342</v>
      </c>
      <c r="C2491" t="s">
        <v>89</v>
      </c>
      <c r="D2491" t="s">
        <v>12</v>
      </c>
      <c r="E2491" t="s">
        <v>658</v>
      </c>
      <c r="F2491" t="s">
        <v>88</v>
      </c>
      <c r="G2491" t="s">
        <v>468</v>
      </c>
      <c r="H2491" t="s">
        <v>761</v>
      </c>
      <c r="I2491" t="s">
        <v>762</v>
      </c>
      <c r="J2491" t="s">
        <v>763</v>
      </c>
      <c r="K2491" t="s">
        <v>764</v>
      </c>
      <c r="L2491" t="s">
        <v>1008</v>
      </c>
      <c r="M2491" t="s">
        <v>408</v>
      </c>
      <c r="N2491" t="s">
        <v>11</v>
      </c>
      <c r="O2491" t="s">
        <v>408</v>
      </c>
      <c r="P2491" t="s">
        <v>2</v>
      </c>
      <c r="Q2491" t="s">
        <v>408</v>
      </c>
      <c r="R2491" t="s">
        <v>439</v>
      </c>
      <c r="S2491" t="s">
        <v>440</v>
      </c>
      <c r="T2491" t="s">
        <v>11</v>
      </c>
      <c r="U2491" t="s">
        <v>408</v>
      </c>
    </row>
    <row r="2492" spans="1:21" x14ac:dyDescent="0.25">
      <c r="A2492">
        <v>22350381</v>
      </c>
      <c r="B2492" t="s">
        <v>342</v>
      </c>
      <c r="C2492" t="s">
        <v>33</v>
      </c>
      <c r="D2492" t="s">
        <v>12</v>
      </c>
      <c r="E2492" t="s">
        <v>658</v>
      </c>
      <c r="F2492" t="s">
        <v>88</v>
      </c>
      <c r="G2492" t="s">
        <v>369</v>
      </c>
      <c r="H2492" t="s">
        <v>686</v>
      </c>
      <c r="I2492" t="s">
        <v>1000</v>
      </c>
      <c r="J2492" t="s">
        <v>999</v>
      </c>
      <c r="K2492" t="s">
        <v>462</v>
      </c>
      <c r="L2492" t="s">
        <v>2</v>
      </c>
      <c r="M2492" t="s">
        <v>408</v>
      </c>
      <c r="N2492" t="s">
        <v>11</v>
      </c>
      <c r="O2492" t="s">
        <v>11</v>
      </c>
      <c r="P2492" t="s">
        <v>2</v>
      </c>
      <c r="Q2492" t="s">
        <v>408</v>
      </c>
      <c r="R2492" t="s">
        <v>439</v>
      </c>
      <c r="S2492" t="s">
        <v>451</v>
      </c>
      <c r="T2492" t="s">
        <v>11</v>
      </c>
      <c r="U2492" t="s">
        <v>408</v>
      </c>
    </row>
    <row r="2493" spans="1:21" x14ac:dyDescent="0.25">
      <c r="A2493">
        <v>22350382</v>
      </c>
      <c r="B2493" t="s">
        <v>340</v>
      </c>
      <c r="C2493" t="s">
        <v>86</v>
      </c>
      <c r="D2493" t="s">
        <v>12</v>
      </c>
      <c r="E2493" t="s">
        <v>658</v>
      </c>
      <c r="F2493" t="s">
        <v>88</v>
      </c>
      <c r="G2493" t="s">
        <v>468</v>
      </c>
      <c r="H2493" t="s">
        <v>617</v>
      </c>
      <c r="I2493" t="s">
        <v>618</v>
      </c>
      <c r="J2493" t="s">
        <v>619</v>
      </c>
      <c r="K2493" t="s">
        <v>606</v>
      </c>
      <c r="L2493" t="s">
        <v>375</v>
      </c>
      <c r="M2493" t="s">
        <v>408</v>
      </c>
      <c r="N2493" t="s">
        <v>11</v>
      </c>
      <c r="O2493" t="s">
        <v>11</v>
      </c>
      <c r="P2493" t="s">
        <v>2</v>
      </c>
      <c r="Q2493" t="s">
        <v>408</v>
      </c>
      <c r="R2493" t="s">
        <v>439</v>
      </c>
      <c r="S2493" t="s">
        <v>451</v>
      </c>
      <c r="T2493" t="s">
        <v>11</v>
      </c>
      <c r="U2493" t="s">
        <v>408</v>
      </c>
    </row>
    <row r="2494" spans="1:21" x14ac:dyDescent="0.25">
      <c r="A2494">
        <v>22350383</v>
      </c>
      <c r="B2494" t="s">
        <v>342</v>
      </c>
      <c r="C2494" t="s">
        <v>33</v>
      </c>
      <c r="D2494" t="s">
        <v>12</v>
      </c>
      <c r="E2494" t="s">
        <v>658</v>
      </c>
      <c r="F2494" t="s">
        <v>88</v>
      </c>
      <c r="G2494" t="s">
        <v>369</v>
      </c>
      <c r="H2494" t="s">
        <v>1001</v>
      </c>
      <c r="I2494" t="s">
        <v>1007</v>
      </c>
      <c r="J2494" t="s">
        <v>1006</v>
      </c>
      <c r="K2494" t="s">
        <v>606</v>
      </c>
      <c r="L2494" t="s">
        <v>1005</v>
      </c>
      <c r="M2494" t="s">
        <v>408</v>
      </c>
      <c r="N2494" t="s">
        <v>11</v>
      </c>
      <c r="O2494" t="s">
        <v>408</v>
      </c>
      <c r="P2494" t="s">
        <v>2</v>
      </c>
      <c r="Q2494" t="s">
        <v>408</v>
      </c>
      <c r="R2494" t="s">
        <v>439</v>
      </c>
      <c r="S2494" t="s">
        <v>451</v>
      </c>
      <c r="T2494" t="s">
        <v>11</v>
      </c>
      <c r="U2494" t="s">
        <v>408</v>
      </c>
    </row>
    <row r="2495" spans="1:21" x14ac:dyDescent="0.25">
      <c r="A2495">
        <v>22350384</v>
      </c>
      <c r="B2495" t="s">
        <v>342</v>
      </c>
      <c r="C2495" t="s">
        <v>33</v>
      </c>
      <c r="D2495" t="s">
        <v>18</v>
      </c>
      <c r="E2495" t="s">
        <v>658</v>
      </c>
      <c r="F2495" t="s">
        <v>88</v>
      </c>
      <c r="G2495" t="s">
        <v>369</v>
      </c>
      <c r="H2495" t="s">
        <v>686</v>
      </c>
      <c r="I2495" t="s">
        <v>1000</v>
      </c>
      <c r="J2495" t="s">
        <v>999</v>
      </c>
      <c r="K2495" t="s">
        <v>462</v>
      </c>
      <c r="L2495" t="s">
        <v>2</v>
      </c>
      <c r="M2495" t="s">
        <v>408</v>
      </c>
      <c r="N2495" t="s">
        <v>11</v>
      </c>
      <c r="O2495" t="s">
        <v>11</v>
      </c>
      <c r="P2495" t="s">
        <v>2</v>
      </c>
      <c r="Q2495" t="s">
        <v>408</v>
      </c>
      <c r="R2495" t="s">
        <v>439</v>
      </c>
      <c r="S2495" t="s">
        <v>451</v>
      </c>
      <c r="T2495" t="s">
        <v>11</v>
      </c>
      <c r="U2495" t="s">
        <v>408</v>
      </c>
    </row>
    <row r="2496" spans="1:21" x14ac:dyDescent="0.25">
      <c r="A2496">
        <v>22350385</v>
      </c>
      <c r="B2496" t="s">
        <v>340</v>
      </c>
      <c r="C2496" t="s">
        <v>86</v>
      </c>
      <c r="D2496" t="s">
        <v>12</v>
      </c>
      <c r="E2496" t="s">
        <v>658</v>
      </c>
      <c r="F2496" t="s">
        <v>88</v>
      </c>
      <c r="G2496" t="s">
        <v>468</v>
      </c>
      <c r="H2496" t="s">
        <v>447</v>
      </c>
      <c r="I2496" t="s">
        <v>448</v>
      </c>
      <c r="J2496" t="s">
        <v>449</v>
      </c>
      <c r="K2496" t="s">
        <v>450</v>
      </c>
      <c r="L2496" t="s">
        <v>375</v>
      </c>
      <c r="M2496" t="s">
        <v>408</v>
      </c>
      <c r="N2496" t="s">
        <v>11</v>
      </c>
      <c r="O2496" t="s">
        <v>11</v>
      </c>
      <c r="P2496" t="s">
        <v>2</v>
      </c>
      <c r="Q2496" t="s">
        <v>408</v>
      </c>
      <c r="R2496" t="s">
        <v>439</v>
      </c>
      <c r="S2496" t="s">
        <v>451</v>
      </c>
      <c r="T2496" t="s">
        <v>11</v>
      </c>
      <c r="U2496" t="s">
        <v>408</v>
      </c>
    </row>
    <row r="2497" spans="1:21" x14ac:dyDescent="0.25">
      <c r="A2497">
        <v>22350387</v>
      </c>
      <c r="B2497" t="s">
        <v>342</v>
      </c>
      <c r="C2497" t="s">
        <v>33</v>
      </c>
      <c r="D2497" t="s">
        <v>12</v>
      </c>
      <c r="E2497" t="s">
        <v>658</v>
      </c>
      <c r="F2497" t="s">
        <v>88</v>
      </c>
      <c r="G2497" t="s">
        <v>369</v>
      </c>
      <c r="H2497" t="s">
        <v>686</v>
      </c>
      <c r="I2497" t="s">
        <v>1000</v>
      </c>
      <c r="J2497" t="s">
        <v>999</v>
      </c>
      <c r="K2497" t="s">
        <v>462</v>
      </c>
      <c r="L2497" t="s">
        <v>2</v>
      </c>
      <c r="M2497" t="s">
        <v>408</v>
      </c>
      <c r="N2497" t="s">
        <v>11</v>
      </c>
      <c r="O2497" t="s">
        <v>11</v>
      </c>
      <c r="P2497" t="s">
        <v>2</v>
      </c>
      <c r="Q2497" t="s">
        <v>408</v>
      </c>
      <c r="R2497" t="s">
        <v>439</v>
      </c>
      <c r="S2497" t="s">
        <v>451</v>
      </c>
      <c r="T2497" t="s">
        <v>11</v>
      </c>
      <c r="U2497" t="s">
        <v>408</v>
      </c>
    </row>
    <row r="2498" spans="1:21" x14ac:dyDescent="0.25">
      <c r="A2498">
        <v>22350388</v>
      </c>
      <c r="B2498" t="s">
        <v>340</v>
      </c>
      <c r="C2498" t="s">
        <v>26</v>
      </c>
      <c r="D2498" t="s">
        <v>12</v>
      </c>
      <c r="E2498" t="s">
        <v>658</v>
      </c>
      <c r="F2498" t="s">
        <v>88</v>
      </c>
      <c r="G2498" t="s">
        <v>468</v>
      </c>
      <c r="H2498" t="s">
        <v>447</v>
      </c>
      <c r="I2498" t="s">
        <v>448</v>
      </c>
      <c r="J2498" t="s">
        <v>449</v>
      </c>
      <c r="K2498" t="s">
        <v>450</v>
      </c>
      <c r="L2498" t="s">
        <v>367</v>
      </c>
      <c r="M2498" t="s">
        <v>408</v>
      </c>
      <c r="N2498" t="s">
        <v>11</v>
      </c>
      <c r="O2498" t="s">
        <v>11</v>
      </c>
      <c r="P2498" t="s">
        <v>2</v>
      </c>
      <c r="Q2498" t="s">
        <v>408</v>
      </c>
      <c r="R2498" t="s">
        <v>439</v>
      </c>
      <c r="S2498" t="s">
        <v>451</v>
      </c>
      <c r="T2498" t="s">
        <v>11</v>
      </c>
      <c r="U2498" t="s">
        <v>408</v>
      </c>
    </row>
    <row r="2499" spans="1:21" x14ac:dyDescent="0.25">
      <c r="A2499">
        <v>22350389</v>
      </c>
      <c r="B2499" t="s">
        <v>342</v>
      </c>
      <c r="C2499" t="s">
        <v>33</v>
      </c>
      <c r="D2499" t="s">
        <v>12</v>
      </c>
      <c r="E2499" t="s">
        <v>658</v>
      </c>
      <c r="F2499" t="s">
        <v>88</v>
      </c>
      <c r="G2499" t="s">
        <v>369</v>
      </c>
      <c r="H2499" t="s">
        <v>686</v>
      </c>
      <c r="I2499" t="s">
        <v>1000</v>
      </c>
      <c r="J2499" t="s">
        <v>999</v>
      </c>
      <c r="K2499" t="s">
        <v>462</v>
      </c>
      <c r="L2499" t="s">
        <v>2</v>
      </c>
      <c r="M2499" t="s">
        <v>408</v>
      </c>
      <c r="N2499" t="s">
        <v>11</v>
      </c>
      <c r="O2499" t="s">
        <v>11</v>
      </c>
      <c r="P2499" t="s">
        <v>2</v>
      </c>
      <c r="Q2499" t="s">
        <v>408</v>
      </c>
      <c r="R2499" t="s">
        <v>439</v>
      </c>
      <c r="S2499" t="s">
        <v>451</v>
      </c>
      <c r="T2499" t="s">
        <v>11</v>
      </c>
      <c r="U2499" t="s">
        <v>408</v>
      </c>
    </row>
    <row r="2500" spans="1:21" x14ac:dyDescent="0.25">
      <c r="A2500">
        <v>22350391</v>
      </c>
      <c r="B2500" t="s">
        <v>342</v>
      </c>
      <c r="C2500" t="s">
        <v>33</v>
      </c>
      <c r="D2500" t="s">
        <v>18</v>
      </c>
      <c r="E2500" t="s">
        <v>658</v>
      </c>
      <c r="F2500" t="s">
        <v>88</v>
      </c>
      <c r="G2500" t="s">
        <v>468</v>
      </c>
      <c r="H2500" t="s">
        <v>1004</v>
      </c>
      <c r="I2500" t="s">
        <v>1003</v>
      </c>
      <c r="J2500" t="s">
        <v>1002</v>
      </c>
      <c r="K2500" t="s">
        <v>444</v>
      </c>
      <c r="L2500" t="s">
        <v>1001</v>
      </c>
      <c r="M2500" t="s">
        <v>11</v>
      </c>
      <c r="N2500" t="s">
        <v>11</v>
      </c>
      <c r="O2500" t="s">
        <v>11</v>
      </c>
      <c r="P2500" t="s">
        <v>2</v>
      </c>
      <c r="Q2500" t="s">
        <v>408</v>
      </c>
      <c r="R2500" t="s">
        <v>439</v>
      </c>
      <c r="S2500" t="s">
        <v>451</v>
      </c>
      <c r="T2500" t="s">
        <v>408</v>
      </c>
      <c r="U2500" t="s">
        <v>408</v>
      </c>
    </row>
    <row r="2501" spans="1:21" x14ac:dyDescent="0.25">
      <c r="A2501">
        <v>22350392</v>
      </c>
      <c r="B2501" t="s">
        <v>342</v>
      </c>
      <c r="C2501" t="s">
        <v>89</v>
      </c>
      <c r="D2501" t="s">
        <v>12</v>
      </c>
      <c r="E2501" t="s">
        <v>658</v>
      </c>
      <c r="F2501" t="s">
        <v>88</v>
      </c>
      <c r="G2501" t="s">
        <v>468</v>
      </c>
      <c r="H2501" t="s">
        <v>884</v>
      </c>
      <c r="I2501" t="s">
        <v>883</v>
      </c>
      <c r="J2501" t="s">
        <v>882</v>
      </c>
      <c r="K2501" t="s">
        <v>450</v>
      </c>
      <c r="L2501" t="s">
        <v>998</v>
      </c>
      <c r="M2501" t="s">
        <v>11</v>
      </c>
      <c r="N2501" t="s">
        <v>11</v>
      </c>
      <c r="O2501" t="s">
        <v>408</v>
      </c>
      <c r="P2501" t="s">
        <v>2</v>
      </c>
      <c r="Q2501" t="s">
        <v>408</v>
      </c>
      <c r="R2501" t="s">
        <v>439</v>
      </c>
      <c r="S2501" t="s">
        <v>451</v>
      </c>
      <c r="T2501" t="s">
        <v>408</v>
      </c>
      <c r="U2501" t="s">
        <v>408</v>
      </c>
    </row>
    <row r="2502" spans="1:21" x14ac:dyDescent="0.25">
      <c r="A2502">
        <v>22350393</v>
      </c>
      <c r="B2502" t="s">
        <v>342</v>
      </c>
      <c r="C2502" t="s">
        <v>33</v>
      </c>
      <c r="D2502" t="s">
        <v>12</v>
      </c>
      <c r="E2502" t="s">
        <v>658</v>
      </c>
      <c r="F2502" t="s">
        <v>88</v>
      </c>
      <c r="G2502" t="s">
        <v>369</v>
      </c>
      <c r="H2502" t="s">
        <v>686</v>
      </c>
      <c r="I2502" t="s">
        <v>1000</v>
      </c>
      <c r="J2502" t="s">
        <v>999</v>
      </c>
      <c r="K2502" t="s">
        <v>462</v>
      </c>
      <c r="L2502" t="s">
        <v>2</v>
      </c>
      <c r="M2502" t="s">
        <v>408</v>
      </c>
      <c r="N2502" t="s">
        <v>11</v>
      </c>
      <c r="O2502" t="s">
        <v>11</v>
      </c>
      <c r="P2502" t="s">
        <v>2</v>
      </c>
      <c r="Q2502" t="s">
        <v>408</v>
      </c>
      <c r="R2502" t="s">
        <v>439</v>
      </c>
      <c r="S2502" t="s">
        <v>451</v>
      </c>
      <c r="T2502" t="s">
        <v>11</v>
      </c>
      <c r="U2502" t="s">
        <v>408</v>
      </c>
    </row>
    <row r="2503" spans="1:21" x14ac:dyDescent="0.25">
      <c r="A2503">
        <v>22350395</v>
      </c>
      <c r="B2503" t="s">
        <v>342</v>
      </c>
      <c r="C2503" t="s">
        <v>33</v>
      </c>
      <c r="D2503" t="s">
        <v>12</v>
      </c>
      <c r="E2503" t="s">
        <v>658</v>
      </c>
      <c r="F2503" t="s">
        <v>88</v>
      </c>
      <c r="G2503" t="s">
        <v>369</v>
      </c>
      <c r="H2503" t="s">
        <v>686</v>
      </c>
      <c r="I2503" t="s">
        <v>1000</v>
      </c>
      <c r="J2503" t="s">
        <v>999</v>
      </c>
      <c r="K2503" t="s">
        <v>462</v>
      </c>
      <c r="L2503" t="s">
        <v>2</v>
      </c>
      <c r="M2503" t="s">
        <v>408</v>
      </c>
      <c r="N2503" t="s">
        <v>11</v>
      </c>
      <c r="O2503" t="s">
        <v>11</v>
      </c>
      <c r="P2503" t="s">
        <v>2</v>
      </c>
      <c r="Q2503" t="s">
        <v>408</v>
      </c>
      <c r="R2503" t="s">
        <v>439</v>
      </c>
      <c r="S2503" t="s">
        <v>451</v>
      </c>
      <c r="T2503" t="s">
        <v>11</v>
      </c>
      <c r="U2503" t="s">
        <v>408</v>
      </c>
    </row>
    <row r="2504" spans="1:21" x14ac:dyDescent="0.25">
      <c r="A2504">
        <v>22350398</v>
      </c>
      <c r="B2504" t="s">
        <v>342</v>
      </c>
      <c r="C2504" t="s">
        <v>33</v>
      </c>
      <c r="D2504" t="s">
        <v>12</v>
      </c>
      <c r="E2504" t="s">
        <v>658</v>
      </c>
      <c r="F2504" t="s">
        <v>88</v>
      </c>
      <c r="G2504" t="s">
        <v>468</v>
      </c>
      <c r="H2504" t="s">
        <v>820</v>
      </c>
      <c r="I2504" t="s">
        <v>821</v>
      </c>
      <c r="J2504" t="s">
        <v>822</v>
      </c>
      <c r="K2504" t="s">
        <v>701</v>
      </c>
      <c r="L2504" t="s">
        <v>993</v>
      </c>
      <c r="M2504" t="s">
        <v>11</v>
      </c>
      <c r="N2504" t="s">
        <v>11</v>
      </c>
      <c r="O2504" t="s">
        <v>11</v>
      </c>
      <c r="P2504" t="s">
        <v>2</v>
      </c>
      <c r="Q2504" t="s">
        <v>408</v>
      </c>
      <c r="R2504" t="s">
        <v>439</v>
      </c>
      <c r="S2504" t="s">
        <v>451</v>
      </c>
      <c r="T2504" t="s">
        <v>408</v>
      </c>
      <c r="U2504" t="s">
        <v>408</v>
      </c>
    </row>
    <row r="2505" spans="1:21" x14ac:dyDescent="0.25">
      <c r="A2505">
        <v>22350400</v>
      </c>
      <c r="B2505" t="s">
        <v>342</v>
      </c>
      <c r="C2505" t="s">
        <v>89</v>
      </c>
      <c r="D2505" t="s">
        <v>12</v>
      </c>
      <c r="E2505" t="s">
        <v>658</v>
      </c>
      <c r="F2505" t="s">
        <v>88</v>
      </c>
      <c r="G2505" t="s">
        <v>468</v>
      </c>
      <c r="H2505" t="s">
        <v>761</v>
      </c>
      <c r="I2505" t="s">
        <v>762</v>
      </c>
      <c r="J2505" t="s">
        <v>763</v>
      </c>
      <c r="K2505" t="s">
        <v>764</v>
      </c>
      <c r="L2505" t="s">
        <v>998</v>
      </c>
      <c r="M2505" t="s">
        <v>11</v>
      </c>
      <c r="N2505" t="s">
        <v>11</v>
      </c>
      <c r="O2505" t="s">
        <v>408</v>
      </c>
      <c r="P2505" t="s">
        <v>2</v>
      </c>
      <c r="Q2505" t="s">
        <v>408</v>
      </c>
      <c r="R2505" t="s">
        <v>439</v>
      </c>
      <c r="S2505" t="s">
        <v>440</v>
      </c>
      <c r="T2505" t="s">
        <v>408</v>
      </c>
      <c r="U2505" t="s">
        <v>408</v>
      </c>
    </row>
    <row r="2506" spans="1:21" x14ac:dyDescent="0.25">
      <c r="A2506">
        <v>22350401</v>
      </c>
      <c r="B2506" t="s">
        <v>342</v>
      </c>
      <c r="C2506" t="s">
        <v>89</v>
      </c>
      <c r="D2506" t="s">
        <v>12</v>
      </c>
      <c r="E2506" t="s">
        <v>658</v>
      </c>
      <c r="F2506" t="s">
        <v>88</v>
      </c>
      <c r="G2506" t="s">
        <v>468</v>
      </c>
      <c r="H2506" t="s">
        <v>884</v>
      </c>
      <c r="I2506" t="s">
        <v>883</v>
      </c>
      <c r="J2506" t="s">
        <v>882</v>
      </c>
      <c r="K2506" t="s">
        <v>450</v>
      </c>
      <c r="L2506" t="s">
        <v>998</v>
      </c>
      <c r="M2506" t="s">
        <v>11</v>
      </c>
      <c r="N2506" t="s">
        <v>11</v>
      </c>
      <c r="O2506" t="s">
        <v>408</v>
      </c>
      <c r="P2506" t="s">
        <v>2</v>
      </c>
      <c r="Q2506" t="s">
        <v>408</v>
      </c>
      <c r="R2506" t="s">
        <v>439</v>
      </c>
      <c r="S2506" t="s">
        <v>451</v>
      </c>
      <c r="T2506" t="s">
        <v>408</v>
      </c>
      <c r="U2506" t="s">
        <v>408</v>
      </c>
    </row>
    <row r="2507" spans="1:21" x14ac:dyDescent="0.25">
      <c r="A2507">
        <v>22350402</v>
      </c>
      <c r="B2507" t="s">
        <v>340</v>
      </c>
      <c r="C2507" t="s">
        <v>86</v>
      </c>
      <c r="D2507" t="s">
        <v>12</v>
      </c>
      <c r="E2507" t="s">
        <v>530</v>
      </c>
      <c r="F2507" t="s">
        <v>154</v>
      </c>
      <c r="G2507" t="s">
        <v>468</v>
      </c>
      <c r="H2507" t="s">
        <v>447</v>
      </c>
      <c r="I2507" t="s">
        <v>448</v>
      </c>
      <c r="J2507" t="s">
        <v>449</v>
      </c>
      <c r="K2507" t="s">
        <v>450</v>
      </c>
      <c r="L2507" t="s">
        <v>861</v>
      </c>
      <c r="M2507" t="s">
        <v>408</v>
      </c>
      <c r="N2507" t="s">
        <v>11</v>
      </c>
      <c r="O2507" t="s">
        <v>11</v>
      </c>
      <c r="P2507" t="s">
        <v>0</v>
      </c>
      <c r="Q2507" t="s">
        <v>408</v>
      </c>
      <c r="R2507" t="s">
        <v>439</v>
      </c>
      <c r="S2507" t="s">
        <v>451</v>
      </c>
      <c r="T2507" t="s">
        <v>11</v>
      </c>
      <c r="U2507" t="s">
        <v>408</v>
      </c>
    </row>
    <row r="2508" spans="1:21" x14ac:dyDescent="0.25">
      <c r="A2508">
        <v>22350404</v>
      </c>
      <c r="B2508" t="s">
        <v>340</v>
      </c>
      <c r="C2508" t="s">
        <v>86</v>
      </c>
      <c r="D2508" t="s">
        <v>18</v>
      </c>
      <c r="E2508" t="s">
        <v>658</v>
      </c>
      <c r="F2508" t="s">
        <v>88</v>
      </c>
      <c r="G2508" t="s">
        <v>468</v>
      </c>
      <c r="H2508" t="s">
        <v>447</v>
      </c>
      <c r="I2508" t="s">
        <v>448</v>
      </c>
      <c r="J2508" t="s">
        <v>449</v>
      </c>
      <c r="K2508" t="s">
        <v>450</v>
      </c>
      <c r="L2508" t="s">
        <v>861</v>
      </c>
      <c r="M2508" t="s">
        <v>408</v>
      </c>
      <c r="N2508" t="s">
        <v>11</v>
      </c>
      <c r="O2508" t="s">
        <v>11</v>
      </c>
      <c r="P2508" t="s">
        <v>0</v>
      </c>
      <c r="Q2508" t="s">
        <v>408</v>
      </c>
      <c r="R2508" t="s">
        <v>439</v>
      </c>
      <c r="S2508" t="s">
        <v>451</v>
      </c>
      <c r="T2508" t="s">
        <v>11</v>
      </c>
      <c r="U2508" t="s">
        <v>408</v>
      </c>
    </row>
    <row r="2509" spans="1:21" x14ac:dyDescent="0.25">
      <c r="A2509">
        <v>22350407</v>
      </c>
      <c r="B2509" t="s">
        <v>342</v>
      </c>
      <c r="C2509" t="s">
        <v>33</v>
      </c>
      <c r="D2509" t="s">
        <v>12</v>
      </c>
      <c r="E2509" t="s">
        <v>658</v>
      </c>
      <c r="F2509" t="s">
        <v>155</v>
      </c>
      <c r="G2509" t="s">
        <v>369</v>
      </c>
      <c r="H2509" t="s">
        <v>820</v>
      </c>
      <c r="I2509" t="s">
        <v>821</v>
      </c>
      <c r="J2509" t="s">
        <v>822</v>
      </c>
      <c r="K2509" t="s">
        <v>701</v>
      </c>
      <c r="L2509" t="s">
        <v>997</v>
      </c>
      <c r="M2509" t="s">
        <v>11</v>
      </c>
      <c r="N2509" t="s">
        <v>11</v>
      </c>
      <c r="O2509" t="s">
        <v>408</v>
      </c>
      <c r="P2509" t="s">
        <v>0</v>
      </c>
      <c r="Q2509" t="s">
        <v>408</v>
      </c>
      <c r="R2509" t="s">
        <v>439</v>
      </c>
      <c r="S2509" t="s">
        <v>451</v>
      </c>
      <c r="T2509" t="s">
        <v>408</v>
      </c>
      <c r="U2509" t="s">
        <v>408</v>
      </c>
    </row>
    <row r="2510" spans="1:21" x14ac:dyDescent="0.25">
      <c r="A2510">
        <v>16390598</v>
      </c>
      <c r="B2510" t="s">
        <v>340</v>
      </c>
      <c r="C2510" t="s">
        <v>26</v>
      </c>
      <c r="D2510" t="s">
        <v>12</v>
      </c>
      <c r="E2510" t="s">
        <v>739</v>
      </c>
      <c r="F2510" t="s">
        <v>28</v>
      </c>
      <c r="G2510" t="s">
        <v>468</v>
      </c>
      <c r="H2510" t="s">
        <v>5</v>
      </c>
      <c r="I2510" t="s">
        <v>436</v>
      </c>
      <c r="J2510" t="s">
        <v>446</v>
      </c>
      <c r="K2510" t="s">
        <v>438</v>
      </c>
      <c r="L2510" t="s">
        <v>2</v>
      </c>
      <c r="M2510" t="s">
        <v>408</v>
      </c>
      <c r="N2510" t="s">
        <v>408</v>
      </c>
      <c r="O2510" t="s">
        <v>11</v>
      </c>
      <c r="P2510" t="s">
        <v>2</v>
      </c>
      <c r="Q2510" t="s">
        <v>408</v>
      </c>
      <c r="R2510" t="s">
        <v>439</v>
      </c>
      <c r="S2510" t="s">
        <v>440</v>
      </c>
      <c r="T2510" t="s">
        <v>408</v>
      </c>
      <c r="U2510" t="s">
        <v>408</v>
      </c>
    </row>
    <row r="2511" spans="1:21" x14ac:dyDescent="0.25">
      <c r="A2511">
        <v>20910781</v>
      </c>
      <c r="B2511" t="s">
        <v>340</v>
      </c>
      <c r="C2511" t="s">
        <v>26</v>
      </c>
      <c r="D2511" t="s">
        <v>12</v>
      </c>
      <c r="E2511" t="s">
        <v>739</v>
      </c>
      <c r="F2511" t="s">
        <v>28</v>
      </c>
      <c r="G2511" t="s">
        <v>468</v>
      </c>
      <c r="H2511" t="s">
        <v>447</v>
      </c>
      <c r="I2511" t="s">
        <v>448</v>
      </c>
      <c r="J2511" t="s">
        <v>449</v>
      </c>
      <c r="K2511" t="s">
        <v>450</v>
      </c>
      <c r="L2511" t="s">
        <v>367</v>
      </c>
      <c r="M2511" t="s">
        <v>408</v>
      </c>
      <c r="N2511" t="s">
        <v>408</v>
      </c>
      <c r="O2511" t="s">
        <v>11</v>
      </c>
      <c r="P2511" t="s">
        <v>2</v>
      </c>
      <c r="Q2511" t="s">
        <v>408</v>
      </c>
      <c r="R2511" t="s">
        <v>439</v>
      </c>
      <c r="S2511" t="s">
        <v>451</v>
      </c>
      <c r="T2511" t="s">
        <v>408</v>
      </c>
      <c r="U2511" t="s">
        <v>408</v>
      </c>
    </row>
    <row r="2512" spans="1:21" x14ac:dyDescent="0.25">
      <c r="A2512">
        <v>20910782</v>
      </c>
      <c r="B2512" t="s">
        <v>340</v>
      </c>
      <c r="C2512" t="s">
        <v>26</v>
      </c>
      <c r="D2512" t="s">
        <v>12</v>
      </c>
      <c r="E2512" t="s">
        <v>739</v>
      </c>
      <c r="F2512" t="s">
        <v>28</v>
      </c>
      <c r="G2512" t="s">
        <v>468</v>
      </c>
      <c r="H2512" t="s">
        <v>447</v>
      </c>
      <c r="I2512" t="s">
        <v>448</v>
      </c>
      <c r="J2512" t="s">
        <v>449</v>
      </c>
      <c r="K2512" t="s">
        <v>450</v>
      </c>
      <c r="L2512" t="s">
        <v>367</v>
      </c>
      <c r="M2512" t="s">
        <v>408</v>
      </c>
      <c r="N2512" t="s">
        <v>408</v>
      </c>
      <c r="O2512" t="s">
        <v>11</v>
      </c>
      <c r="P2512" t="s">
        <v>2</v>
      </c>
      <c r="Q2512" t="s">
        <v>408</v>
      </c>
      <c r="R2512" t="s">
        <v>439</v>
      </c>
      <c r="S2512" t="s">
        <v>451</v>
      </c>
      <c r="T2512" t="s">
        <v>408</v>
      </c>
      <c r="U2512" t="s">
        <v>408</v>
      </c>
    </row>
    <row r="2513" spans="1:21" x14ac:dyDescent="0.25">
      <c r="A2513">
        <v>20910783</v>
      </c>
      <c r="B2513" t="s">
        <v>340</v>
      </c>
      <c r="C2513" t="s">
        <v>26</v>
      </c>
      <c r="D2513" t="s">
        <v>12</v>
      </c>
      <c r="E2513" t="s">
        <v>739</v>
      </c>
      <c r="F2513" t="s">
        <v>28</v>
      </c>
      <c r="G2513" t="s">
        <v>468</v>
      </c>
      <c r="H2513" t="s">
        <v>617</v>
      </c>
      <c r="I2513" t="s">
        <v>618</v>
      </c>
      <c r="J2513" t="s">
        <v>619</v>
      </c>
      <c r="K2513" t="s">
        <v>606</v>
      </c>
      <c r="L2513" t="s">
        <v>375</v>
      </c>
      <c r="M2513" t="s">
        <v>408</v>
      </c>
      <c r="N2513" t="s">
        <v>408</v>
      </c>
      <c r="O2513" t="s">
        <v>11</v>
      </c>
      <c r="P2513" t="s">
        <v>2</v>
      </c>
      <c r="Q2513" t="s">
        <v>408</v>
      </c>
      <c r="R2513" t="s">
        <v>439</v>
      </c>
      <c r="S2513" t="s">
        <v>451</v>
      </c>
      <c r="T2513" t="s">
        <v>408</v>
      </c>
      <c r="U2513" t="s">
        <v>408</v>
      </c>
    </row>
    <row r="2514" spans="1:21" x14ac:dyDescent="0.25">
      <c r="A2514">
        <v>20910789</v>
      </c>
      <c r="B2514" t="s">
        <v>340</v>
      </c>
      <c r="C2514" t="s">
        <v>26</v>
      </c>
      <c r="D2514" t="s">
        <v>12</v>
      </c>
      <c r="E2514" t="s">
        <v>739</v>
      </c>
      <c r="F2514" t="s">
        <v>28</v>
      </c>
      <c r="G2514" t="s">
        <v>468</v>
      </c>
      <c r="H2514" t="s">
        <v>617</v>
      </c>
      <c r="I2514" t="s">
        <v>618</v>
      </c>
      <c r="J2514" t="s">
        <v>619</v>
      </c>
      <c r="K2514" t="s">
        <v>606</v>
      </c>
      <c r="L2514" t="s">
        <v>375</v>
      </c>
      <c r="M2514" t="s">
        <v>408</v>
      </c>
      <c r="N2514" t="s">
        <v>408</v>
      </c>
      <c r="O2514" t="s">
        <v>11</v>
      </c>
      <c r="P2514" t="s">
        <v>2</v>
      </c>
      <c r="Q2514" t="s">
        <v>408</v>
      </c>
      <c r="R2514" t="s">
        <v>439</v>
      </c>
      <c r="S2514" t="s">
        <v>451</v>
      </c>
      <c r="T2514" t="s">
        <v>408</v>
      </c>
      <c r="U2514" t="s">
        <v>408</v>
      </c>
    </row>
    <row r="2515" spans="1:21" x14ac:dyDescent="0.25">
      <c r="A2515">
        <v>20910630</v>
      </c>
      <c r="B2515" t="s">
        <v>342</v>
      </c>
      <c r="C2515" t="s">
        <v>89</v>
      </c>
      <c r="D2515" t="s">
        <v>18</v>
      </c>
      <c r="E2515" t="s">
        <v>530</v>
      </c>
      <c r="F2515" t="s">
        <v>159</v>
      </c>
      <c r="G2515" t="s">
        <v>468</v>
      </c>
      <c r="H2515" t="s">
        <v>996</v>
      </c>
      <c r="I2515" t="s">
        <v>995</v>
      </c>
      <c r="J2515" t="s">
        <v>994</v>
      </c>
      <c r="K2515" t="s">
        <v>438</v>
      </c>
      <c r="L2515" t="s">
        <v>993</v>
      </c>
      <c r="M2515" t="s">
        <v>11</v>
      </c>
      <c r="N2515" t="s">
        <v>11</v>
      </c>
      <c r="O2515" t="s">
        <v>11</v>
      </c>
      <c r="P2515" t="s">
        <v>0</v>
      </c>
      <c r="Q2515" t="s">
        <v>408</v>
      </c>
      <c r="R2515" t="s">
        <v>439</v>
      </c>
      <c r="S2515" t="s">
        <v>451</v>
      </c>
      <c r="T2515" t="s">
        <v>408</v>
      </c>
      <c r="U2515" t="s">
        <v>408</v>
      </c>
    </row>
    <row r="2516" spans="1:21" x14ac:dyDescent="0.25">
      <c r="A2516">
        <v>20910639</v>
      </c>
      <c r="B2516" t="s">
        <v>340</v>
      </c>
      <c r="C2516" t="s">
        <v>26</v>
      </c>
      <c r="D2516" t="s">
        <v>12</v>
      </c>
      <c r="E2516" t="s">
        <v>720</v>
      </c>
      <c r="F2516" t="s">
        <v>91</v>
      </c>
      <c r="G2516" t="s">
        <v>369</v>
      </c>
      <c r="H2516" t="s">
        <v>447</v>
      </c>
      <c r="I2516" t="s">
        <v>448</v>
      </c>
      <c r="J2516" t="s">
        <v>449</v>
      </c>
      <c r="K2516" t="s">
        <v>450</v>
      </c>
      <c r="L2516" t="s">
        <v>2</v>
      </c>
      <c r="M2516" t="s">
        <v>408</v>
      </c>
      <c r="N2516" t="s">
        <v>408</v>
      </c>
      <c r="O2516" t="s">
        <v>11</v>
      </c>
      <c r="P2516" t="s">
        <v>0</v>
      </c>
      <c r="Q2516" t="s">
        <v>408</v>
      </c>
      <c r="R2516" t="s">
        <v>439</v>
      </c>
      <c r="S2516" t="s">
        <v>451</v>
      </c>
      <c r="T2516" t="s">
        <v>408</v>
      </c>
      <c r="U2516" t="s">
        <v>408</v>
      </c>
    </row>
    <row r="2517" spans="1:21" x14ac:dyDescent="0.25">
      <c r="A2517">
        <v>20910661</v>
      </c>
      <c r="B2517" t="s">
        <v>342</v>
      </c>
      <c r="C2517" t="s">
        <v>89</v>
      </c>
      <c r="D2517" t="s">
        <v>12</v>
      </c>
      <c r="E2517" t="s">
        <v>531</v>
      </c>
      <c r="F2517" t="s">
        <v>992</v>
      </c>
      <c r="G2517" t="s">
        <v>468</v>
      </c>
      <c r="H2517" t="s">
        <v>447</v>
      </c>
      <c r="I2517" t="s">
        <v>448</v>
      </c>
      <c r="J2517" t="s">
        <v>449</v>
      </c>
      <c r="K2517" t="s">
        <v>450</v>
      </c>
      <c r="L2517" t="s">
        <v>367</v>
      </c>
      <c r="M2517" t="s">
        <v>408</v>
      </c>
      <c r="N2517" t="s">
        <v>11</v>
      </c>
      <c r="O2517" t="s">
        <v>11</v>
      </c>
      <c r="P2517" t="s">
        <v>2</v>
      </c>
      <c r="Q2517" t="s">
        <v>408</v>
      </c>
      <c r="R2517" t="s">
        <v>439</v>
      </c>
      <c r="S2517" t="s">
        <v>451</v>
      </c>
      <c r="T2517" t="s">
        <v>11</v>
      </c>
      <c r="U2517" t="s">
        <v>408</v>
      </c>
    </row>
    <row r="2518" spans="1:21" x14ac:dyDescent="0.25">
      <c r="A2518">
        <v>20910662</v>
      </c>
      <c r="B2518" t="s">
        <v>342</v>
      </c>
      <c r="C2518" t="s">
        <v>89</v>
      </c>
      <c r="D2518" t="s">
        <v>12</v>
      </c>
      <c r="E2518" t="s">
        <v>531</v>
      </c>
      <c r="F2518" t="s">
        <v>992</v>
      </c>
      <c r="G2518" t="s">
        <v>468</v>
      </c>
      <c r="H2518" t="s">
        <v>812</v>
      </c>
      <c r="I2518" t="s">
        <v>813</v>
      </c>
      <c r="J2518" t="s">
        <v>814</v>
      </c>
      <c r="K2518" t="s">
        <v>438</v>
      </c>
      <c r="L2518" t="s">
        <v>805</v>
      </c>
      <c r="M2518" t="s">
        <v>408</v>
      </c>
      <c r="N2518" t="s">
        <v>11</v>
      </c>
      <c r="O2518" t="s">
        <v>408</v>
      </c>
      <c r="P2518" t="s">
        <v>2</v>
      </c>
      <c r="Q2518" t="s">
        <v>408</v>
      </c>
      <c r="R2518" t="s">
        <v>439</v>
      </c>
      <c r="S2518" t="s">
        <v>451</v>
      </c>
      <c r="T2518" t="s">
        <v>11</v>
      </c>
      <c r="U2518" t="s">
        <v>408</v>
      </c>
    </row>
    <row r="2519" spans="1:21" x14ac:dyDescent="0.25">
      <c r="A2519">
        <v>20910663</v>
      </c>
      <c r="B2519" t="s">
        <v>342</v>
      </c>
      <c r="C2519" t="s">
        <v>89</v>
      </c>
      <c r="D2519" t="s">
        <v>12</v>
      </c>
      <c r="E2519" t="s">
        <v>531</v>
      </c>
      <c r="F2519" t="s">
        <v>992</v>
      </c>
      <c r="G2519" t="s">
        <v>468</v>
      </c>
      <c r="H2519" t="s">
        <v>447</v>
      </c>
      <c r="I2519" t="s">
        <v>448</v>
      </c>
      <c r="J2519" t="s">
        <v>449</v>
      </c>
      <c r="K2519" t="s">
        <v>450</v>
      </c>
      <c r="L2519" t="s">
        <v>367</v>
      </c>
      <c r="M2519" t="s">
        <v>408</v>
      </c>
      <c r="N2519" t="s">
        <v>11</v>
      </c>
      <c r="O2519" t="s">
        <v>11</v>
      </c>
      <c r="P2519" t="s">
        <v>2</v>
      </c>
      <c r="Q2519" t="s">
        <v>408</v>
      </c>
      <c r="R2519" t="s">
        <v>439</v>
      </c>
      <c r="S2519" t="s">
        <v>451</v>
      </c>
      <c r="T2519" t="s">
        <v>11</v>
      </c>
      <c r="U2519" t="s">
        <v>408</v>
      </c>
    </row>
    <row r="2520" spans="1:21" x14ac:dyDescent="0.25">
      <c r="A2520">
        <v>20910644</v>
      </c>
      <c r="B2520" t="s">
        <v>342</v>
      </c>
      <c r="C2520" t="s">
        <v>89</v>
      </c>
      <c r="D2520" t="s">
        <v>125</v>
      </c>
      <c r="E2520" t="s">
        <v>530</v>
      </c>
      <c r="F2520" t="s">
        <v>157</v>
      </c>
      <c r="G2520" t="s">
        <v>468</v>
      </c>
      <c r="H2520" t="s">
        <v>812</v>
      </c>
      <c r="I2520" t="s">
        <v>813</v>
      </c>
      <c r="J2520" t="s">
        <v>814</v>
      </c>
      <c r="K2520" t="s">
        <v>438</v>
      </c>
      <c r="L2520" t="s">
        <v>805</v>
      </c>
      <c r="M2520" t="s">
        <v>408</v>
      </c>
      <c r="N2520" t="s">
        <v>11</v>
      </c>
      <c r="O2520" t="s">
        <v>408</v>
      </c>
      <c r="P2520" t="s">
        <v>0</v>
      </c>
      <c r="Q2520" t="s">
        <v>408</v>
      </c>
      <c r="R2520" t="s">
        <v>439</v>
      </c>
      <c r="S2520" t="s">
        <v>451</v>
      </c>
      <c r="T2520" t="s">
        <v>11</v>
      </c>
      <c r="U2520" t="s">
        <v>408</v>
      </c>
    </row>
    <row r="2521" spans="1:21" x14ac:dyDescent="0.25">
      <c r="A2521">
        <v>20910645</v>
      </c>
      <c r="B2521" t="s">
        <v>342</v>
      </c>
      <c r="C2521" t="s">
        <v>89</v>
      </c>
      <c r="D2521" t="s">
        <v>18</v>
      </c>
      <c r="E2521" t="s">
        <v>530</v>
      </c>
      <c r="F2521" t="s">
        <v>157</v>
      </c>
      <c r="G2521" t="s">
        <v>468</v>
      </c>
      <c r="H2521" t="s">
        <v>812</v>
      </c>
      <c r="I2521" t="s">
        <v>813</v>
      </c>
      <c r="J2521" t="s">
        <v>814</v>
      </c>
      <c r="K2521" t="s">
        <v>438</v>
      </c>
      <c r="L2521" t="s">
        <v>805</v>
      </c>
      <c r="M2521" t="s">
        <v>408</v>
      </c>
      <c r="N2521" t="s">
        <v>11</v>
      </c>
      <c r="O2521" t="s">
        <v>408</v>
      </c>
      <c r="P2521" t="s">
        <v>0</v>
      </c>
      <c r="Q2521" t="s">
        <v>408</v>
      </c>
      <c r="R2521" t="s">
        <v>439</v>
      </c>
      <c r="S2521" t="s">
        <v>451</v>
      </c>
      <c r="T2521" t="s">
        <v>11</v>
      </c>
      <c r="U2521" t="s">
        <v>408</v>
      </c>
    </row>
    <row r="2522" spans="1:21" x14ac:dyDescent="0.25">
      <c r="A2522">
        <v>20910646</v>
      </c>
      <c r="B2522" t="s">
        <v>342</v>
      </c>
      <c r="C2522" t="s">
        <v>89</v>
      </c>
      <c r="D2522" t="s">
        <v>12</v>
      </c>
      <c r="E2522" t="s">
        <v>530</v>
      </c>
      <c r="F2522" t="s">
        <v>157</v>
      </c>
      <c r="G2522" t="s">
        <v>468</v>
      </c>
      <c r="H2522" t="s">
        <v>820</v>
      </c>
      <c r="I2522" t="s">
        <v>821</v>
      </c>
      <c r="J2522" t="s">
        <v>822</v>
      </c>
      <c r="K2522" t="s">
        <v>701</v>
      </c>
      <c r="L2522" t="s">
        <v>991</v>
      </c>
      <c r="M2522" t="s">
        <v>11</v>
      </c>
      <c r="N2522" t="s">
        <v>11</v>
      </c>
      <c r="O2522" t="s">
        <v>408</v>
      </c>
      <c r="P2522" t="s">
        <v>0</v>
      </c>
      <c r="Q2522" t="s">
        <v>408</v>
      </c>
      <c r="R2522" t="s">
        <v>439</v>
      </c>
      <c r="S2522" t="s">
        <v>451</v>
      </c>
      <c r="T2522" t="s">
        <v>408</v>
      </c>
      <c r="U2522" t="s">
        <v>408</v>
      </c>
    </row>
    <row r="2523" spans="1:21" x14ac:dyDescent="0.25">
      <c r="A2523">
        <v>20910647</v>
      </c>
      <c r="B2523" t="s">
        <v>342</v>
      </c>
      <c r="C2523" t="s">
        <v>89</v>
      </c>
      <c r="D2523" t="s">
        <v>24</v>
      </c>
      <c r="E2523" t="s">
        <v>530</v>
      </c>
      <c r="F2523" t="s">
        <v>157</v>
      </c>
      <c r="G2523" t="s">
        <v>468</v>
      </c>
      <c r="H2523" t="s">
        <v>447</v>
      </c>
      <c r="I2523" t="s">
        <v>448</v>
      </c>
      <c r="J2523" t="s">
        <v>449</v>
      </c>
      <c r="K2523" t="s">
        <v>450</v>
      </c>
      <c r="L2523" t="s">
        <v>370</v>
      </c>
      <c r="M2523" t="s">
        <v>408</v>
      </c>
      <c r="N2523" t="s">
        <v>11</v>
      </c>
      <c r="O2523" t="s">
        <v>408</v>
      </c>
      <c r="P2523" t="s">
        <v>0</v>
      </c>
      <c r="Q2523" t="s">
        <v>408</v>
      </c>
      <c r="R2523" t="s">
        <v>439</v>
      </c>
      <c r="S2523" t="s">
        <v>451</v>
      </c>
      <c r="T2523" t="s">
        <v>11</v>
      </c>
      <c r="U2523" t="s">
        <v>408</v>
      </c>
    </row>
    <row r="2524" spans="1:21" x14ac:dyDescent="0.25">
      <c r="A2524">
        <v>20910648</v>
      </c>
      <c r="B2524" t="s">
        <v>342</v>
      </c>
      <c r="C2524" t="s">
        <v>89</v>
      </c>
      <c r="D2524" t="s">
        <v>24</v>
      </c>
      <c r="E2524" t="s">
        <v>530</v>
      </c>
      <c r="F2524" t="s">
        <v>157</v>
      </c>
      <c r="G2524" t="s">
        <v>468</v>
      </c>
      <c r="H2524" t="s">
        <v>447</v>
      </c>
      <c r="I2524" t="s">
        <v>448</v>
      </c>
      <c r="J2524" t="s">
        <v>449</v>
      </c>
      <c r="K2524" t="s">
        <v>450</v>
      </c>
      <c r="L2524" t="s">
        <v>370</v>
      </c>
      <c r="M2524" t="s">
        <v>408</v>
      </c>
      <c r="N2524" t="s">
        <v>11</v>
      </c>
      <c r="O2524" t="s">
        <v>408</v>
      </c>
      <c r="P2524" t="s">
        <v>0</v>
      </c>
      <c r="Q2524" t="s">
        <v>408</v>
      </c>
      <c r="R2524" t="s">
        <v>439</v>
      </c>
      <c r="S2524" t="s">
        <v>451</v>
      </c>
      <c r="T2524" t="s">
        <v>11</v>
      </c>
      <c r="U2524" t="s">
        <v>408</v>
      </c>
    </row>
    <row r="2525" spans="1:21" x14ac:dyDescent="0.25">
      <c r="A2525">
        <v>20910651</v>
      </c>
      <c r="B2525" t="s">
        <v>342</v>
      </c>
      <c r="C2525" t="s">
        <v>33</v>
      </c>
      <c r="D2525" t="s">
        <v>12</v>
      </c>
      <c r="E2525" t="s">
        <v>480</v>
      </c>
      <c r="F2525" t="s">
        <v>983</v>
      </c>
      <c r="G2525" t="s">
        <v>369</v>
      </c>
      <c r="H2525" t="s">
        <v>960</v>
      </c>
      <c r="I2525" t="s">
        <v>990</v>
      </c>
      <c r="J2525" t="s">
        <v>989</v>
      </c>
      <c r="K2525" t="s">
        <v>701</v>
      </c>
      <c r="L2525" t="s">
        <v>819</v>
      </c>
      <c r="M2525" t="s">
        <v>408</v>
      </c>
      <c r="N2525" t="s">
        <v>408</v>
      </c>
      <c r="O2525" t="s">
        <v>408</v>
      </c>
      <c r="P2525" t="s">
        <v>0</v>
      </c>
      <c r="Q2525" t="s">
        <v>408</v>
      </c>
      <c r="R2525" t="s">
        <v>439</v>
      </c>
      <c r="S2525" t="s">
        <v>451</v>
      </c>
      <c r="T2525" t="s">
        <v>408</v>
      </c>
      <c r="U2525" t="s">
        <v>408</v>
      </c>
    </row>
    <row r="2526" spans="1:21" x14ac:dyDescent="0.25">
      <c r="A2526">
        <v>20910652</v>
      </c>
      <c r="B2526" t="s">
        <v>342</v>
      </c>
      <c r="C2526" t="s">
        <v>89</v>
      </c>
      <c r="D2526" t="s">
        <v>24</v>
      </c>
      <c r="E2526" t="s">
        <v>479</v>
      </c>
      <c r="F2526" t="s">
        <v>988</v>
      </c>
      <c r="G2526" t="s">
        <v>468</v>
      </c>
      <c r="H2526" t="s">
        <v>617</v>
      </c>
      <c r="I2526" t="s">
        <v>618</v>
      </c>
      <c r="J2526" t="s">
        <v>619</v>
      </c>
      <c r="K2526" t="s">
        <v>606</v>
      </c>
      <c r="L2526" t="s">
        <v>2</v>
      </c>
      <c r="M2526" t="s">
        <v>408</v>
      </c>
      <c r="N2526" t="s">
        <v>408</v>
      </c>
      <c r="O2526" t="s">
        <v>11</v>
      </c>
      <c r="P2526" t="s">
        <v>0</v>
      </c>
      <c r="Q2526" t="s">
        <v>408</v>
      </c>
      <c r="R2526" t="s">
        <v>439</v>
      </c>
      <c r="S2526" t="s">
        <v>451</v>
      </c>
      <c r="T2526" t="s">
        <v>408</v>
      </c>
      <c r="U2526" t="s">
        <v>408</v>
      </c>
    </row>
    <row r="2527" spans="1:21" x14ac:dyDescent="0.25">
      <c r="A2527">
        <v>20910656</v>
      </c>
      <c r="B2527" t="s">
        <v>342</v>
      </c>
      <c r="C2527" t="s">
        <v>89</v>
      </c>
      <c r="D2527" t="s">
        <v>12</v>
      </c>
      <c r="E2527" t="s">
        <v>530</v>
      </c>
      <c r="F2527" t="s">
        <v>157</v>
      </c>
      <c r="G2527" t="s">
        <v>468</v>
      </c>
      <c r="H2527" t="s">
        <v>816</v>
      </c>
      <c r="I2527" t="s">
        <v>817</v>
      </c>
      <c r="J2527" t="s">
        <v>818</v>
      </c>
      <c r="K2527" t="s">
        <v>764</v>
      </c>
      <c r="L2527" t="s">
        <v>819</v>
      </c>
      <c r="M2527" t="s">
        <v>408</v>
      </c>
      <c r="N2527" t="s">
        <v>11</v>
      </c>
      <c r="O2527" t="s">
        <v>11</v>
      </c>
      <c r="P2527" t="s">
        <v>0</v>
      </c>
      <c r="Q2527" t="s">
        <v>11</v>
      </c>
      <c r="R2527" t="s">
        <v>439</v>
      </c>
      <c r="S2527" t="s">
        <v>451</v>
      </c>
      <c r="T2527" t="s">
        <v>11</v>
      </c>
      <c r="U2527" t="s">
        <v>11</v>
      </c>
    </row>
    <row r="2528" spans="1:21" x14ac:dyDescent="0.25">
      <c r="A2528">
        <v>20910657</v>
      </c>
      <c r="B2528" t="s">
        <v>342</v>
      </c>
      <c r="C2528" t="s">
        <v>89</v>
      </c>
      <c r="D2528" t="s">
        <v>12</v>
      </c>
      <c r="E2528" t="s">
        <v>531</v>
      </c>
      <c r="F2528" t="s">
        <v>156</v>
      </c>
      <c r="G2528" t="s">
        <v>468</v>
      </c>
      <c r="H2528" t="s">
        <v>884</v>
      </c>
      <c r="I2528" t="s">
        <v>883</v>
      </c>
      <c r="J2528" t="s">
        <v>882</v>
      </c>
      <c r="K2528" t="s">
        <v>450</v>
      </c>
      <c r="L2528" t="s">
        <v>876</v>
      </c>
      <c r="M2528" t="s">
        <v>11</v>
      </c>
      <c r="N2528" t="s">
        <v>11</v>
      </c>
      <c r="O2528" t="s">
        <v>408</v>
      </c>
      <c r="P2528" t="s">
        <v>0</v>
      </c>
      <c r="Q2528" t="s">
        <v>408</v>
      </c>
      <c r="R2528" t="s">
        <v>439</v>
      </c>
      <c r="S2528" t="s">
        <v>451</v>
      </c>
      <c r="T2528" t="s">
        <v>408</v>
      </c>
      <c r="U2528" t="s">
        <v>408</v>
      </c>
    </row>
    <row r="2529" spans="1:21" x14ac:dyDescent="0.25">
      <c r="A2529">
        <v>20910658</v>
      </c>
      <c r="B2529" t="s">
        <v>342</v>
      </c>
      <c r="C2529" t="s">
        <v>89</v>
      </c>
      <c r="D2529" t="s">
        <v>12</v>
      </c>
      <c r="E2529" t="s">
        <v>530</v>
      </c>
      <c r="F2529" t="s">
        <v>157</v>
      </c>
      <c r="G2529" t="s">
        <v>468</v>
      </c>
      <c r="H2529" t="s">
        <v>765</v>
      </c>
      <c r="I2529" t="s">
        <v>766</v>
      </c>
      <c r="J2529" t="s">
        <v>767</v>
      </c>
      <c r="K2529" t="s">
        <v>444</v>
      </c>
      <c r="L2529" t="s">
        <v>819</v>
      </c>
      <c r="M2529" t="s">
        <v>408</v>
      </c>
      <c r="N2529" t="s">
        <v>11</v>
      </c>
      <c r="O2529" t="s">
        <v>11</v>
      </c>
      <c r="P2529" t="s">
        <v>0</v>
      </c>
      <c r="Q2529" t="s">
        <v>11</v>
      </c>
      <c r="R2529" t="s">
        <v>439</v>
      </c>
      <c r="S2529" t="s">
        <v>451</v>
      </c>
      <c r="T2529" t="s">
        <v>11</v>
      </c>
      <c r="U2529" t="s">
        <v>11</v>
      </c>
    </row>
    <row r="2530" spans="1:21" x14ac:dyDescent="0.25">
      <c r="A2530">
        <v>20910660</v>
      </c>
      <c r="B2530" t="s">
        <v>342</v>
      </c>
      <c r="C2530" t="s">
        <v>33</v>
      </c>
      <c r="D2530" t="s">
        <v>12</v>
      </c>
      <c r="E2530" t="s">
        <v>530</v>
      </c>
      <c r="F2530" t="s">
        <v>157</v>
      </c>
      <c r="G2530" t="s">
        <v>369</v>
      </c>
      <c r="H2530" t="s">
        <v>987</v>
      </c>
      <c r="I2530" t="s">
        <v>986</v>
      </c>
      <c r="J2530" t="s">
        <v>985</v>
      </c>
      <c r="K2530" t="s">
        <v>764</v>
      </c>
      <c r="L2530" t="s">
        <v>984</v>
      </c>
      <c r="M2530" t="s">
        <v>11</v>
      </c>
      <c r="N2530" t="s">
        <v>11</v>
      </c>
      <c r="O2530" t="s">
        <v>11</v>
      </c>
      <c r="P2530" t="s">
        <v>0</v>
      </c>
      <c r="Q2530" t="s">
        <v>408</v>
      </c>
      <c r="R2530" t="s">
        <v>439</v>
      </c>
      <c r="S2530" t="s">
        <v>451</v>
      </c>
      <c r="T2530" t="s">
        <v>408</v>
      </c>
      <c r="U2530" t="s">
        <v>408</v>
      </c>
    </row>
    <row r="2531" spans="1:21" x14ac:dyDescent="0.25">
      <c r="A2531">
        <v>22350413</v>
      </c>
      <c r="B2531" t="s">
        <v>340</v>
      </c>
      <c r="C2531" t="s">
        <v>86</v>
      </c>
      <c r="D2531" t="s">
        <v>12</v>
      </c>
      <c r="E2531" t="s">
        <v>530</v>
      </c>
      <c r="F2531" t="s">
        <v>157</v>
      </c>
      <c r="G2531" t="s">
        <v>468</v>
      </c>
      <c r="H2531" t="s">
        <v>617</v>
      </c>
      <c r="I2531" t="s">
        <v>618</v>
      </c>
      <c r="J2531" t="s">
        <v>619</v>
      </c>
      <c r="K2531" t="s">
        <v>606</v>
      </c>
      <c r="L2531" t="s">
        <v>375</v>
      </c>
      <c r="M2531" t="s">
        <v>408</v>
      </c>
      <c r="N2531" t="s">
        <v>11</v>
      </c>
      <c r="O2531" t="s">
        <v>11</v>
      </c>
      <c r="P2531" t="s">
        <v>0</v>
      </c>
      <c r="Q2531" t="s">
        <v>408</v>
      </c>
      <c r="R2531" t="s">
        <v>439</v>
      </c>
      <c r="S2531" t="s">
        <v>451</v>
      </c>
      <c r="T2531" t="s">
        <v>11</v>
      </c>
      <c r="U2531" t="s">
        <v>408</v>
      </c>
    </row>
    <row r="2532" spans="1:21" x14ac:dyDescent="0.25">
      <c r="A2532">
        <v>22350414</v>
      </c>
      <c r="B2532" t="s">
        <v>340</v>
      </c>
      <c r="C2532" t="s">
        <v>26</v>
      </c>
      <c r="D2532" t="s">
        <v>12</v>
      </c>
      <c r="E2532" t="s">
        <v>480</v>
      </c>
      <c r="F2532" t="s">
        <v>983</v>
      </c>
      <c r="G2532" t="s">
        <v>369</v>
      </c>
      <c r="H2532" t="s">
        <v>673</v>
      </c>
      <c r="I2532" t="s">
        <v>982</v>
      </c>
      <c r="J2532" t="s">
        <v>981</v>
      </c>
      <c r="K2532" t="s">
        <v>444</v>
      </c>
      <c r="L2532" t="s">
        <v>0</v>
      </c>
      <c r="M2532" t="s">
        <v>408</v>
      </c>
      <c r="N2532" t="s">
        <v>408</v>
      </c>
      <c r="O2532" t="s">
        <v>11</v>
      </c>
      <c r="P2532" t="s">
        <v>0</v>
      </c>
      <c r="Q2532" t="s">
        <v>408</v>
      </c>
      <c r="R2532" t="s">
        <v>439</v>
      </c>
      <c r="S2532" t="s">
        <v>440</v>
      </c>
      <c r="T2532" t="s">
        <v>408</v>
      </c>
      <c r="U2532" t="s">
        <v>408</v>
      </c>
    </row>
    <row r="2533" spans="1:21" x14ac:dyDescent="0.25">
      <c r="A2533">
        <v>22350415</v>
      </c>
      <c r="B2533" t="s">
        <v>340</v>
      </c>
      <c r="C2533" t="s">
        <v>86</v>
      </c>
      <c r="D2533" t="s">
        <v>12</v>
      </c>
      <c r="E2533" t="s">
        <v>531</v>
      </c>
      <c r="F2533" t="s">
        <v>980</v>
      </c>
      <c r="G2533" t="s">
        <v>468</v>
      </c>
      <c r="H2533" t="s">
        <v>447</v>
      </c>
      <c r="I2533" t="s">
        <v>448</v>
      </c>
      <c r="J2533" t="s">
        <v>449</v>
      </c>
      <c r="K2533" t="s">
        <v>450</v>
      </c>
      <c r="L2533" t="s">
        <v>375</v>
      </c>
      <c r="M2533" t="s">
        <v>408</v>
      </c>
      <c r="N2533" t="s">
        <v>11</v>
      </c>
      <c r="O2533" t="s">
        <v>11</v>
      </c>
      <c r="P2533" t="s">
        <v>0</v>
      </c>
      <c r="Q2533" t="s">
        <v>408</v>
      </c>
      <c r="R2533" t="s">
        <v>439</v>
      </c>
      <c r="S2533" t="s">
        <v>451</v>
      </c>
      <c r="T2533" t="s">
        <v>11</v>
      </c>
      <c r="U2533" t="s">
        <v>408</v>
      </c>
    </row>
    <row r="2534" spans="1:21" x14ac:dyDescent="0.25">
      <c r="A2534">
        <v>22350416</v>
      </c>
      <c r="B2534" t="s">
        <v>340</v>
      </c>
      <c r="C2534" t="s">
        <v>26</v>
      </c>
      <c r="D2534" t="s">
        <v>12</v>
      </c>
      <c r="E2534" t="s">
        <v>531</v>
      </c>
      <c r="F2534" t="s">
        <v>156</v>
      </c>
      <c r="G2534" t="s">
        <v>369</v>
      </c>
      <c r="H2534" t="s">
        <v>447</v>
      </c>
      <c r="I2534" t="s">
        <v>448</v>
      </c>
      <c r="J2534" t="s">
        <v>449</v>
      </c>
      <c r="K2534" t="s">
        <v>450</v>
      </c>
      <c r="L2534" t="s">
        <v>375</v>
      </c>
      <c r="M2534" t="s">
        <v>408</v>
      </c>
      <c r="N2534" t="s">
        <v>11</v>
      </c>
      <c r="O2534" t="s">
        <v>11</v>
      </c>
      <c r="P2534" t="s">
        <v>0</v>
      </c>
      <c r="Q2534" t="s">
        <v>408</v>
      </c>
      <c r="R2534" t="s">
        <v>439</v>
      </c>
      <c r="S2534" t="s">
        <v>451</v>
      </c>
      <c r="T2534" t="s">
        <v>11</v>
      </c>
      <c r="U2534" t="s">
        <v>408</v>
      </c>
    </row>
    <row r="2535" spans="1:21" x14ac:dyDescent="0.25">
      <c r="A2535">
        <v>22350417</v>
      </c>
      <c r="B2535" t="s">
        <v>340</v>
      </c>
      <c r="C2535" t="s">
        <v>15</v>
      </c>
      <c r="D2535" t="s">
        <v>12</v>
      </c>
      <c r="E2535" t="s">
        <v>531</v>
      </c>
      <c r="F2535" t="s">
        <v>156</v>
      </c>
      <c r="G2535" t="s">
        <v>468</v>
      </c>
      <c r="H2535" t="s">
        <v>0</v>
      </c>
      <c r="I2535" t="s">
        <v>436</v>
      </c>
      <c r="J2535" t="s">
        <v>437</v>
      </c>
      <c r="K2535" t="s">
        <v>438</v>
      </c>
      <c r="L2535" t="s">
        <v>345</v>
      </c>
      <c r="M2535" t="s">
        <v>408</v>
      </c>
      <c r="N2535" t="s">
        <v>11</v>
      </c>
      <c r="O2535" t="s">
        <v>11</v>
      </c>
      <c r="P2535" t="s">
        <v>0</v>
      </c>
      <c r="Q2535" t="s">
        <v>408</v>
      </c>
      <c r="R2535" t="s">
        <v>439</v>
      </c>
      <c r="S2535" t="s">
        <v>440</v>
      </c>
      <c r="T2535" t="s">
        <v>11</v>
      </c>
      <c r="U2535" t="s">
        <v>408</v>
      </c>
    </row>
    <row r="2536" spans="1:21" x14ac:dyDescent="0.25">
      <c r="A2536">
        <v>22350418</v>
      </c>
      <c r="B2536" t="s">
        <v>340</v>
      </c>
      <c r="C2536" t="s">
        <v>86</v>
      </c>
      <c r="D2536" t="s">
        <v>12</v>
      </c>
      <c r="E2536" t="s">
        <v>531</v>
      </c>
      <c r="F2536" t="s">
        <v>156</v>
      </c>
      <c r="G2536" t="s">
        <v>468</v>
      </c>
      <c r="H2536" t="s">
        <v>0</v>
      </c>
      <c r="I2536" t="s">
        <v>436</v>
      </c>
      <c r="J2536" t="s">
        <v>437</v>
      </c>
      <c r="K2536" t="s">
        <v>438</v>
      </c>
      <c r="L2536" t="s">
        <v>345</v>
      </c>
      <c r="M2536" t="s">
        <v>408</v>
      </c>
      <c r="N2536" t="s">
        <v>11</v>
      </c>
      <c r="O2536" t="s">
        <v>11</v>
      </c>
      <c r="P2536" t="s">
        <v>0</v>
      </c>
      <c r="Q2536" t="s">
        <v>408</v>
      </c>
      <c r="R2536" t="s">
        <v>439</v>
      </c>
      <c r="S2536" t="s">
        <v>440</v>
      </c>
      <c r="T2536" t="s">
        <v>11</v>
      </c>
      <c r="U2536" t="s">
        <v>408</v>
      </c>
    </row>
    <row r="2537" spans="1:21" x14ac:dyDescent="0.25">
      <c r="A2537">
        <v>22350420</v>
      </c>
      <c r="B2537" t="s">
        <v>340</v>
      </c>
      <c r="C2537" t="s">
        <v>26</v>
      </c>
      <c r="D2537" t="s">
        <v>18</v>
      </c>
      <c r="E2537" t="s">
        <v>531</v>
      </c>
      <c r="F2537" t="s">
        <v>156</v>
      </c>
      <c r="G2537" t="s">
        <v>369</v>
      </c>
      <c r="H2537" t="s">
        <v>447</v>
      </c>
      <c r="I2537" t="s">
        <v>448</v>
      </c>
      <c r="J2537" t="s">
        <v>449</v>
      </c>
      <c r="K2537" t="s">
        <v>450</v>
      </c>
      <c r="L2537" t="s">
        <v>375</v>
      </c>
      <c r="M2537" t="s">
        <v>408</v>
      </c>
      <c r="N2537" t="s">
        <v>11</v>
      </c>
      <c r="O2537" t="s">
        <v>11</v>
      </c>
      <c r="P2537" t="s">
        <v>0</v>
      </c>
      <c r="Q2537" t="s">
        <v>408</v>
      </c>
      <c r="R2537" t="s">
        <v>439</v>
      </c>
      <c r="S2537" t="s">
        <v>451</v>
      </c>
      <c r="T2537" t="s">
        <v>11</v>
      </c>
      <c r="U2537" t="s">
        <v>408</v>
      </c>
    </row>
    <row r="2538" spans="1:21" x14ac:dyDescent="0.25">
      <c r="A2538">
        <v>22350421</v>
      </c>
      <c r="B2538" t="s">
        <v>340</v>
      </c>
      <c r="C2538" t="s">
        <v>26</v>
      </c>
      <c r="D2538" t="s">
        <v>18</v>
      </c>
      <c r="E2538" t="s">
        <v>658</v>
      </c>
      <c r="F2538" t="s">
        <v>569</v>
      </c>
      <c r="G2538" t="s">
        <v>369</v>
      </c>
      <c r="H2538" t="s">
        <v>447</v>
      </c>
      <c r="I2538" t="s">
        <v>448</v>
      </c>
      <c r="J2538" t="s">
        <v>449</v>
      </c>
      <c r="K2538" t="s">
        <v>450</v>
      </c>
      <c r="L2538" t="s">
        <v>375</v>
      </c>
      <c r="M2538" t="s">
        <v>408</v>
      </c>
      <c r="N2538" t="s">
        <v>11</v>
      </c>
      <c r="O2538" t="s">
        <v>11</v>
      </c>
      <c r="P2538" t="s">
        <v>0</v>
      </c>
      <c r="Q2538" t="s">
        <v>408</v>
      </c>
      <c r="R2538" t="s">
        <v>439</v>
      </c>
      <c r="S2538" t="s">
        <v>451</v>
      </c>
      <c r="T2538" t="s">
        <v>11</v>
      </c>
      <c r="U2538" t="s">
        <v>408</v>
      </c>
    </row>
    <row r="2539" spans="1:21" x14ac:dyDescent="0.25">
      <c r="A2539">
        <v>22350422</v>
      </c>
      <c r="B2539" t="s">
        <v>340</v>
      </c>
      <c r="C2539" t="s">
        <v>26</v>
      </c>
      <c r="D2539" t="s">
        <v>12</v>
      </c>
      <c r="E2539" t="s">
        <v>531</v>
      </c>
      <c r="F2539" t="s">
        <v>156</v>
      </c>
      <c r="G2539" t="s">
        <v>468</v>
      </c>
      <c r="H2539" t="s">
        <v>820</v>
      </c>
      <c r="I2539" t="s">
        <v>821</v>
      </c>
      <c r="J2539" t="s">
        <v>822</v>
      </c>
      <c r="K2539" t="s">
        <v>701</v>
      </c>
      <c r="L2539" t="s">
        <v>978</v>
      </c>
      <c r="M2539" t="s">
        <v>11</v>
      </c>
      <c r="N2539" t="s">
        <v>11</v>
      </c>
      <c r="O2539" t="s">
        <v>408</v>
      </c>
      <c r="P2539" t="s">
        <v>0</v>
      </c>
      <c r="Q2539" t="s">
        <v>408</v>
      </c>
      <c r="R2539" t="s">
        <v>439</v>
      </c>
      <c r="S2539" t="s">
        <v>451</v>
      </c>
      <c r="T2539" t="s">
        <v>408</v>
      </c>
      <c r="U2539" t="s">
        <v>408</v>
      </c>
    </row>
    <row r="2540" spans="1:21" x14ac:dyDescent="0.25">
      <c r="A2540">
        <v>22350423</v>
      </c>
      <c r="B2540" t="s">
        <v>340</v>
      </c>
      <c r="C2540" t="s">
        <v>86</v>
      </c>
      <c r="D2540" t="s">
        <v>12</v>
      </c>
      <c r="E2540" t="s">
        <v>531</v>
      </c>
      <c r="F2540" t="s">
        <v>156</v>
      </c>
      <c r="G2540" t="s">
        <v>468</v>
      </c>
      <c r="H2540" t="s">
        <v>838</v>
      </c>
      <c r="I2540" t="s">
        <v>839</v>
      </c>
      <c r="J2540" t="s">
        <v>839</v>
      </c>
      <c r="K2540" t="s">
        <v>450</v>
      </c>
      <c r="L2540" t="s">
        <v>978</v>
      </c>
      <c r="M2540" t="s">
        <v>11</v>
      </c>
      <c r="N2540" t="s">
        <v>11</v>
      </c>
      <c r="O2540" t="s">
        <v>408</v>
      </c>
      <c r="P2540" t="s">
        <v>0</v>
      </c>
      <c r="Q2540" t="s">
        <v>408</v>
      </c>
      <c r="R2540" t="s">
        <v>439</v>
      </c>
      <c r="S2540" t="s">
        <v>451</v>
      </c>
      <c r="T2540" t="s">
        <v>408</v>
      </c>
      <c r="U2540" t="s">
        <v>408</v>
      </c>
    </row>
    <row r="2541" spans="1:21" x14ac:dyDescent="0.25">
      <c r="A2541">
        <v>22350424</v>
      </c>
      <c r="B2541" t="s">
        <v>340</v>
      </c>
      <c r="C2541" t="s">
        <v>86</v>
      </c>
      <c r="D2541" t="s">
        <v>12</v>
      </c>
      <c r="E2541" t="s">
        <v>531</v>
      </c>
      <c r="F2541" t="s">
        <v>156</v>
      </c>
      <c r="G2541" t="s">
        <v>468</v>
      </c>
      <c r="H2541" t="s">
        <v>900</v>
      </c>
      <c r="I2541" t="s">
        <v>899</v>
      </c>
      <c r="J2541" t="s">
        <v>898</v>
      </c>
      <c r="K2541" t="s">
        <v>453</v>
      </c>
      <c r="L2541" t="s">
        <v>979</v>
      </c>
      <c r="M2541" t="s">
        <v>408</v>
      </c>
      <c r="N2541" t="s">
        <v>11</v>
      </c>
      <c r="O2541" t="s">
        <v>408</v>
      </c>
      <c r="P2541" t="s">
        <v>0</v>
      </c>
      <c r="Q2541" t="s">
        <v>408</v>
      </c>
      <c r="R2541" t="s">
        <v>439</v>
      </c>
      <c r="S2541" t="s">
        <v>451</v>
      </c>
      <c r="T2541" t="s">
        <v>11</v>
      </c>
      <c r="U2541" t="s">
        <v>408</v>
      </c>
    </row>
    <row r="2542" spans="1:21" x14ac:dyDescent="0.25">
      <c r="A2542">
        <v>22350425</v>
      </c>
      <c r="B2542" t="s">
        <v>340</v>
      </c>
      <c r="C2542" t="s">
        <v>26</v>
      </c>
      <c r="D2542" t="s">
        <v>12</v>
      </c>
      <c r="E2542" t="s">
        <v>531</v>
      </c>
      <c r="F2542" t="s">
        <v>156</v>
      </c>
      <c r="G2542" t="s">
        <v>468</v>
      </c>
      <c r="H2542" t="s">
        <v>820</v>
      </c>
      <c r="I2542" t="s">
        <v>821</v>
      </c>
      <c r="J2542" t="s">
        <v>822</v>
      </c>
      <c r="K2542" t="s">
        <v>701</v>
      </c>
      <c r="L2542" t="s">
        <v>978</v>
      </c>
      <c r="M2542" t="s">
        <v>11</v>
      </c>
      <c r="N2542" t="s">
        <v>11</v>
      </c>
      <c r="O2542" t="s">
        <v>408</v>
      </c>
      <c r="P2542" t="s">
        <v>0</v>
      </c>
      <c r="Q2542" t="s">
        <v>408</v>
      </c>
      <c r="R2542" t="s">
        <v>439</v>
      </c>
      <c r="S2542" t="s">
        <v>451</v>
      </c>
      <c r="T2542" t="s">
        <v>408</v>
      </c>
      <c r="U2542" t="s">
        <v>408</v>
      </c>
    </row>
    <row r="2543" spans="1:21" x14ac:dyDescent="0.25">
      <c r="A2543">
        <v>16390600</v>
      </c>
      <c r="B2543" t="s">
        <v>340</v>
      </c>
      <c r="C2543" t="s">
        <v>26</v>
      </c>
      <c r="D2543" t="s">
        <v>12</v>
      </c>
      <c r="E2543" t="s">
        <v>734</v>
      </c>
      <c r="F2543" t="s">
        <v>27</v>
      </c>
      <c r="G2543" t="s">
        <v>468</v>
      </c>
      <c r="H2543" t="s">
        <v>447</v>
      </c>
      <c r="I2543" t="s">
        <v>448</v>
      </c>
      <c r="J2543" t="s">
        <v>449</v>
      </c>
      <c r="K2543" t="s">
        <v>450</v>
      </c>
      <c r="L2543" t="s">
        <v>2</v>
      </c>
      <c r="M2543" t="s">
        <v>408</v>
      </c>
      <c r="N2543" t="s">
        <v>408</v>
      </c>
      <c r="O2543" t="s">
        <v>11</v>
      </c>
      <c r="P2543" t="s">
        <v>2</v>
      </c>
      <c r="Q2543" t="s">
        <v>408</v>
      </c>
      <c r="R2543" t="s">
        <v>439</v>
      </c>
      <c r="S2543" t="s">
        <v>451</v>
      </c>
      <c r="T2543" t="s">
        <v>408</v>
      </c>
      <c r="U2543" t="s">
        <v>408</v>
      </c>
    </row>
    <row r="2544" spans="1:21" x14ac:dyDescent="0.25">
      <c r="A2544">
        <v>20910632</v>
      </c>
      <c r="B2544" t="s">
        <v>342</v>
      </c>
      <c r="C2544" t="s">
        <v>33</v>
      </c>
      <c r="D2544" t="s">
        <v>12</v>
      </c>
      <c r="E2544" t="s">
        <v>507</v>
      </c>
      <c r="F2544" t="s">
        <v>977</v>
      </c>
      <c r="G2544" t="s">
        <v>369</v>
      </c>
      <c r="H2544" t="s">
        <v>976</v>
      </c>
      <c r="I2544" t="s">
        <v>975</v>
      </c>
      <c r="J2544" t="s">
        <v>974</v>
      </c>
      <c r="K2544" t="s">
        <v>438</v>
      </c>
      <c r="L2544" t="s">
        <v>367</v>
      </c>
      <c r="M2544" t="s">
        <v>408</v>
      </c>
      <c r="N2544" t="s">
        <v>11</v>
      </c>
      <c r="O2544" t="s">
        <v>11</v>
      </c>
      <c r="P2544" t="s">
        <v>0</v>
      </c>
      <c r="Q2544" t="s">
        <v>408</v>
      </c>
      <c r="R2544" t="s">
        <v>439</v>
      </c>
      <c r="S2544" t="s">
        <v>451</v>
      </c>
      <c r="T2544" t="s">
        <v>11</v>
      </c>
      <c r="U2544" t="s">
        <v>408</v>
      </c>
    </row>
    <row r="2545" spans="1:21" x14ac:dyDescent="0.25">
      <c r="A2545">
        <v>20910737</v>
      </c>
      <c r="B2545" t="s">
        <v>342</v>
      </c>
      <c r="C2545" t="s">
        <v>89</v>
      </c>
      <c r="D2545" t="s">
        <v>12</v>
      </c>
      <c r="E2545" t="s">
        <v>484</v>
      </c>
      <c r="F2545" t="s">
        <v>967</v>
      </c>
      <c r="G2545" t="s">
        <v>468</v>
      </c>
      <c r="H2545" t="s">
        <v>973</v>
      </c>
      <c r="I2545" t="s">
        <v>972</v>
      </c>
      <c r="J2545" t="s">
        <v>971</v>
      </c>
      <c r="K2545" t="s">
        <v>444</v>
      </c>
      <c r="L2545" t="s">
        <v>805</v>
      </c>
      <c r="M2545" t="s">
        <v>408</v>
      </c>
      <c r="N2545" t="s">
        <v>11</v>
      </c>
      <c r="O2545" t="s">
        <v>408</v>
      </c>
      <c r="P2545" t="s">
        <v>2</v>
      </c>
      <c r="Q2545" t="s">
        <v>408</v>
      </c>
      <c r="R2545" t="s">
        <v>439</v>
      </c>
      <c r="S2545" t="s">
        <v>451</v>
      </c>
      <c r="T2545" t="s">
        <v>11</v>
      </c>
      <c r="U2545" t="s">
        <v>408</v>
      </c>
    </row>
    <row r="2546" spans="1:21" x14ac:dyDescent="0.25">
      <c r="A2546">
        <v>20910738</v>
      </c>
      <c r="B2546" t="s">
        <v>342</v>
      </c>
      <c r="C2546" t="s">
        <v>89</v>
      </c>
      <c r="D2546" t="s">
        <v>12</v>
      </c>
      <c r="E2546" t="s">
        <v>484</v>
      </c>
      <c r="F2546" t="s">
        <v>967</v>
      </c>
      <c r="G2546" t="s">
        <v>369</v>
      </c>
      <c r="H2546" t="s">
        <v>846</v>
      </c>
      <c r="I2546" t="s">
        <v>970</v>
      </c>
      <c r="J2546" t="s">
        <v>969</v>
      </c>
      <c r="K2546" t="s">
        <v>850</v>
      </c>
      <c r="L2546" t="s">
        <v>968</v>
      </c>
      <c r="M2546" t="s">
        <v>408</v>
      </c>
      <c r="N2546" t="s">
        <v>11</v>
      </c>
      <c r="O2546" t="s">
        <v>408</v>
      </c>
      <c r="P2546" t="s">
        <v>2</v>
      </c>
      <c r="Q2546" t="s">
        <v>408</v>
      </c>
      <c r="R2546" t="s">
        <v>439</v>
      </c>
      <c r="S2546" t="s">
        <v>451</v>
      </c>
      <c r="T2546" t="s">
        <v>11</v>
      </c>
      <c r="U2546" t="s">
        <v>408</v>
      </c>
    </row>
    <row r="2547" spans="1:21" x14ac:dyDescent="0.25">
      <c r="A2547">
        <v>22350429</v>
      </c>
      <c r="B2547" t="s">
        <v>340</v>
      </c>
      <c r="C2547" t="s">
        <v>86</v>
      </c>
      <c r="D2547" t="s">
        <v>12</v>
      </c>
      <c r="E2547" t="s">
        <v>484</v>
      </c>
      <c r="F2547" t="s">
        <v>967</v>
      </c>
      <c r="G2547" t="s">
        <v>468</v>
      </c>
      <c r="H2547" t="s">
        <v>617</v>
      </c>
      <c r="I2547" t="s">
        <v>618</v>
      </c>
      <c r="J2547" t="s">
        <v>619</v>
      </c>
      <c r="K2547" t="s">
        <v>606</v>
      </c>
      <c r="L2547" t="s">
        <v>375</v>
      </c>
      <c r="M2547" t="s">
        <v>408</v>
      </c>
      <c r="N2547" t="s">
        <v>11</v>
      </c>
      <c r="O2547" t="s">
        <v>11</v>
      </c>
      <c r="P2547" t="s">
        <v>2</v>
      </c>
      <c r="Q2547" t="s">
        <v>408</v>
      </c>
      <c r="R2547" t="s">
        <v>439</v>
      </c>
      <c r="S2547" t="s">
        <v>451</v>
      </c>
      <c r="T2547" t="s">
        <v>11</v>
      </c>
      <c r="U2547" t="s">
        <v>408</v>
      </c>
    </row>
    <row r="2548" spans="1:21" x14ac:dyDescent="0.25">
      <c r="A2548">
        <v>22350430</v>
      </c>
      <c r="B2548" t="s">
        <v>340</v>
      </c>
      <c r="C2548" t="s">
        <v>86</v>
      </c>
      <c r="D2548" t="s">
        <v>18</v>
      </c>
      <c r="E2548" t="s">
        <v>484</v>
      </c>
      <c r="F2548" t="s">
        <v>967</v>
      </c>
      <c r="G2548" t="s">
        <v>468</v>
      </c>
      <c r="H2548" t="s">
        <v>617</v>
      </c>
      <c r="I2548" t="s">
        <v>618</v>
      </c>
      <c r="J2548" t="s">
        <v>619</v>
      </c>
      <c r="K2548" t="s">
        <v>606</v>
      </c>
      <c r="L2548" t="s">
        <v>375</v>
      </c>
      <c r="M2548" t="s">
        <v>408</v>
      </c>
      <c r="N2548" t="s">
        <v>11</v>
      </c>
      <c r="O2548" t="s">
        <v>11</v>
      </c>
      <c r="P2548" t="s">
        <v>2</v>
      </c>
      <c r="Q2548" t="s">
        <v>408</v>
      </c>
      <c r="R2548" t="s">
        <v>439</v>
      </c>
      <c r="S2548" t="s">
        <v>451</v>
      </c>
      <c r="T2548" t="s">
        <v>11</v>
      </c>
      <c r="U2548" t="s">
        <v>408</v>
      </c>
    </row>
    <row r="2549" spans="1:21" x14ac:dyDescent="0.25">
      <c r="A2549">
        <v>23323201</v>
      </c>
      <c r="B2549" t="s">
        <v>340</v>
      </c>
      <c r="C2549" t="s">
        <v>86</v>
      </c>
      <c r="D2549" t="s">
        <v>18</v>
      </c>
      <c r="E2549" t="s">
        <v>627</v>
      </c>
      <c r="F2549" t="s">
        <v>81</v>
      </c>
      <c r="G2549" t="s">
        <v>468</v>
      </c>
      <c r="H2549" t="s">
        <v>617</v>
      </c>
      <c r="I2549" t="s">
        <v>618</v>
      </c>
      <c r="J2549" t="s">
        <v>619</v>
      </c>
      <c r="K2549" t="s">
        <v>606</v>
      </c>
      <c r="L2549" t="s">
        <v>673</v>
      </c>
      <c r="M2549" t="s">
        <v>408</v>
      </c>
      <c r="N2549" t="s">
        <v>11</v>
      </c>
      <c r="O2549" t="s">
        <v>11</v>
      </c>
      <c r="P2549" t="s">
        <v>0</v>
      </c>
      <c r="Q2549" t="s">
        <v>408</v>
      </c>
      <c r="R2549" t="s">
        <v>439</v>
      </c>
      <c r="S2549" t="s">
        <v>451</v>
      </c>
      <c r="T2549" t="s">
        <v>11</v>
      </c>
      <c r="U2549" t="s">
        <v>408</v>
      </c>
    </row>
    <row r="2550" spans="1:21" x14ac:dyDescent="0.25">
      <c r="A2550">
        <v>23323202</v>
      </c>
      <c r="B2550" t="s">
        <v>340</v>
      </c>
      <c r="C2550" t="s">
        <v>86</v>
      </c>
      <c r="D2550" t="s">
        <v>18</v>
      </c>
      <c r="E2550" t="s">
        <v>628</v>
      </c>
      <c r="F2550" t="s">
        <v>25</v>
      </c>
      <c r="G2550" t="s">
        <v>468</v>
      </c>
      <c r="H2550" t="s">
        <v>617</v>
      </c>
      <c r="I2550" t="s">
        <v>618</v>
      </c>
      <c r="J2550" t="s">
        <v>619</v>
      </c>
      <c r="K2550" t="s">
        <v>606</v>
      </c>
      <c r="L2550" t="s">
        <v>673</v>
      </c>
      <c r="M2550" t="s">
        <v>408</v>
      </c>
      <c r="N2550" t="s">
        <v>11</v>
      </c>
      <c r="O2550" t="s">
        <v>11</v>
      </c>
      <c r="P2550" t="s">
        <v>0</v>
      </c>
      <c r="Q2550" t="s">
        <v>408</v>
      </c>
      <c r="R2550" t="s">
        <v>439</v>
      </c>
      <c r="S2550" t="s">
        <v>451</v>
      </c>
      <c r="T2550" t="s">
        <v>11</v>
      </c>
      <c r="U2550" t="s">
        <v>408</v>
      </c>
    </row>
    <row r="2551" spans="1:21" x14ac:dyDescent="0.25">
      <c r="A2551">
        <v>23323203</v>
      </c>
      <c r="B2551" t="s">
        <v>340</v>
      </c>
      <c r="C2551" t="s">
        <v>86</v>
      </c>
      <c r="D2551" t="s">
        <v>12</v>
      </c>
      <c r="E2551" t="s">
        <v>628</v>
      </c>
      <c r="F2551" t="s">
        <v>25</v>
      </c>
      <c r="G2551" t="s">
        <v>468</v>
      </c>
      <c r="H2551" t="s">
        <v>447</v>
      </c>
      <c r="I2551" t="s">
        <v>448</v>
      </c>
      <c r="J2551" t="s">
        <v>449</v>
      </c>
      <c r="K2551" t="s">
        <v>450</v>
      </c>
      <c r="L2551" t="s">
        <v>673</v>
      </c>
      <c r="M2551" t="s">
        <v>408</v>
      </c>
      <c r="N2551" t="s">
        <v>11</v>
      </c>
      <c r="O2551" t="s">
        <v>11</v>
      </c>
      <c r="P2551" t="s">
        <v>0</v>
      </c>
      <c r="Q2551" t="s">
        <v>408</v>
      </c>
      <c r="R2551" t="s">
        <v>439</v>
      </c>
      <c r="S2551" t="s">
        <v>451</v>
      </c>
      <c r="T2551" t="s">
        <v>11</v>
      </c>
      <c r="U2551" t="s">
        <v>408</v>
      </c>
    </row>
    <row r="2552" spans="1:21" x14ac:dyDescent="0.25">
      <c r="A2552">
        <v>23323204</v>
      </c>
      <c r="B2552" t="s">
        <v>342</v>
      </c>
      <c r="C2552" t="s">
        <v>89</v>
      </c>
      <c r="D2552" t="s">
        <v>12</v>
      </c>
      <c r="E2552" t="s">
        <v>628</v>
      </c>
      <c r="F2552" t="s">
        <v>25</v>
      </c>
      <c r="G2552" t="s">
        <v>468</v>
      </c>
      <c r="H2552" t="s">
        <v>761</v>
      </c>
      <c r="I2552" t="s">
        <v>762</v>
      </c>
      <c r="J2552" t="s">
        <v>763</v>
      </c>
      <c r="K2552" t="s">
        <v>764</v>
      </c>
      <c r="L2552" t="s">
        <v>858</v>
      </c>
      <c r="M2552" t="s">
        <v>408</v>
      </c>
      <c r="N2552" t="s">
        <v>11</v>
      </c>
      <c r="O2552" t="s">
        <v>11</v>
      </c>
      <c r="P2552" t="s">
        <v>0</v>
      </c>
      <c r="Q2552" t="s">
        <v>11</v>
      </c>
      <c r="R2552" t="s">
        <v>439</v>
      </c>
      <c r="S2552" t="s">
        <v>440</v>
      </c>
      <c r="T2552" t="s">
        <v>11</v>
      </c>
      <c r="U2552" t="s">
        <v>11</v>
      </c>
    </row>
    <row r="2553" spans="1:21" x14ac:dyDescent="0.25">
      <c r="A2553">
        <v>23323205</v>
      </c>
      <c r="B2553" t="s">
        <v>342</v>
      </c>
      <c r="C2553" t="s">
        <v>89</v>
      </c>
      <c r="D2553" t="s">
        <v>18</v>
      </c>
      <c r="E2553" t="s">
        <v>628</v>
      </c>
      <c r="F2553" t="s">
        <v>25</v>
      </c>
      <c r="G2553" t="s">
        <v>468</v>
      </c>
      <c r="H2553" t="s">
        <v>966</v>
      </c>
      <c r="I2553" t="s">
        <v>965</v>
      </c>
      <c r="J2553" t="s">
        <v>964</v>
      </c>
      <c r="K2553" t="s">
        <v>701</v>
      </c>
      <c r="L2553" t="s">
        <v>954</v>
      </c>
      <c r="M2553" t="s">
        <v>408</v>
      </c>
      <c r="N2553" t="s">
        <v>11</v>
      </c>
      <c r="O2553" t="s">
        <v>11</v>
      </c>
      <c r="P2553" t="s">
        <v>0</v>
      </c>
      <c r="Q2553" t="s">
        <v>408</v>
      </c>
      <c r="R2553" t="s">
        <v>439</v>
      </c>
      <c r="S2553" t="s">
        <v>451</v>
      </c>
      <c r="T2553" t="s">
        <v>11</v>
      </c>
      <c r="U2553" t="s">
        <v>408</v>
      </c>
    </row>
    <row r="2554" spans="1:21" x14ac:dyDescent="0.25">
      <c r="A2554">
        <v>23323206</v>
      </c>
      <c r="B2554" t="s">
        <v>342</v>
      </c>
      <c r="C2554" t="s">
        <v>89</v>
      </c>
      <c r="D2554" t="s">
        <v>12</v>
      </c>
      <c r="E2554" t="s">
        <v>628</v>
      </c>
      <c r="F2554" t="s">
        <v>25</v>
      </c>
      <c r="G2554" t="s">
        <v>369</v>
      </c>
      <c r="H2554" t="s">
        <v>963</v>
      </c>
      <c r="I2554" t="s">
        <v>962</v>
      </c>
      <c r="J2554" t="s">
        <v>961</v>
      </c>
      <c r="K2554" t="s">
        <v>606</v>
      </c>
      <c r="L2554" t="s">
        <v>960</v>
      </c>
      <c r="M2554" t="s">
        <v>408</v>
      </c>
      <c r="N2554" t="s">
        <v>11</v>
      </c>
      <c r="O2554" t="s">
        <v>408</v>
      </c>
      <c r="P2554" t="s">
        <v>0</v>
      </c>
      <c r="Q2554" t="s">
        <v>408</v>
      </c>
      <c r="R2554" t="s">
        <v>439</v>
      </c>
      <c r="S2554" t="s">
        <v>451</v>
      </c>
      <c r="T2554" t="s">
        <v>11</v>
      </c>
      <c r="U2554" t="s">
        <v>408</v>
      </c>
    </row>
    <row r="2555" spans="1:21" x14ac:dyDescent="0.25">
      <c r="A2555">
        <v>23323207</v>
      </c>
      <c r="B2555" t="s">
        <v>340</v>
      </c>
      <c r="C2555" t="s">
        <v>86</v>
      </c>
      <c r="D2555" t="s">
        <v>12</v>
      </c>
      <c r="E2555" t="s">
        <v>628</v>
      </c>
      <c r="F2555" t="s">
        <v>25</v>
      </c>
      <c r="G2555" t="s">
        <v>468</v>
      </c>
      <c r="H2555" t="s">
        <v>447</v>
      </c>
      <c r="I2555" t="s">
        <v>448</v>
      </c>
      <c r="J2555" t="s">
        <v>449</v>
      </c>
      <c r="K2555" t="s">
        <v>450</v>
      </c>
      <c r="L2555" t="s">
        <v>673</v>
      </c>
      <c r="M2555" t="s">
        <v>408</v>
      </c>
      <c r="N2555" t="s">
        <v>11</v>
      </c>
      <c r="O2555" t="s">
        <v>11</v>
      </c>
      <c r="P2555" t="s">
        <v>0</v>
      </c>
      <c r="Q2555" t="s">
        <v>408</v>
      </c>
      <c r="R2555" t="s">
        <v>439</v>
      </c>
      <c r="S2555" t="s">
        <v>451</v>
      </c>
      <c r="T2555" t="s">
        <v>11</v>
      </c>
      <c r="U2555" t="s">
        <v>408</v>
      </c>
    </row>
    <row r="2556" spans="1:21" x14ac:dyDescent="0.25">
      <c r="A2556">
        <v>23323208</v>
      </c>
      <c r="B2556" t="s">
        <v>340</v>
      </c>
      <c r="C2556" t="s">
        <v>86</v>
      </c>
      <c r="D2556" t="s">
        <v>12</v>
      </c>
      <c r="E2556" t="s">
        <v>628</v>
      </c>
      <c r="F2556" t="s">
        <v>25</v>
      </c>
      <c r="G2556" t="s">
        <v>468</v>
      </c>
      <c r="H2556" t="s">
        <v>447</v>
      </c>
      <c r="I2556" t="s">
        <v>448</v>
      </c>
      <c r="J2556" t="s">
        <v>449</v>
      </c>
      <c r="K2556" t="s">
        <v>450</v>
      </c>
      <c r="L2556" t="s">
        <v>673</v>
      </c>
      <c r="M2556" t="s">
        <v>408</v>
      </c>
      <c r="N2556" t="s">
        <v>11</v>
      </c>
      <c r="O2556" t="s">
        <v>11</v>
      </c>
      <c r="P2556" t="s">
        <v>0</v>
      </c>
      <c r="Q2556" t="s">
        <v>408</v>
      </c>
      <c r="R2556" t="s">
        <v>439</v>
      </c>
      <c r="S2556" t="s">
        <v>451</v>
      </c>
      <c r="T2556" t="s">
        <v>11</v>
      </c>
      <c r="U2556" t="s">
        <v>408</v>
      </c>
    </row>
    <row r="2557" spans="1:21" x14ac:dyDescent="0.25">
      <c r="A2557">
        <v>23323209</v>
      </c>
      <c r="B2557" t="s">
        <v>342</v>
      </c>
      <c r="C2557" t="s">
        <v>89</v>
      </c>
      <c r="D2557" t="s">
        <v>12</v>
      </c>
      <c r="E2557" t="s">
        <v>628</v>
      </c>
      <c r="F2557" t="s">
        <v>25</v>
      </c>
      <c r="G2557" t="s">
        <v>468</v>
      </c>
      <c r="H2557" t="s">
        <v>884</v>
      </c>
      <c r="I2557" t="s">
        <v>883</v>
      </c>
      <c r="J2557" t="s">
        <v>882</v>
      </c>
      <c r="K2557" t="s">
        <v>450</v>
      </c>
      <c r="L2557" t="s">
        <v>876</v>
      </c>
      <c r="M2557" t="s">
        <v>11</v>
      </c>
      <c r="N2557" t="s">
        <v>11</v>
      </c>
      <c r="O2557" t="s">
        <v>408</v>
      </c>
      <c r="P2557" t="s">
        <v>0</v>
      </c>
      <c r="Q2557" t="s">
        <v>408</v>
      </c>
      <c r="R2557" t="s">
        <v>439</v>
      </c>
      <c r="S2557" t="s">
        <v>451</v>
      </c>
      <c r="T2557" t="s">
        <v>408</v>
      </c>
      <c r="U2557" t="s">
        <v>408</v>
      </c>
    </row>
    <row r="2558" spans="1:21" x14ac:dyDescent="0.25">
      <c r="A2558">
        <v>23323210</v>
      </c>
      <c r="B2558" t="s">
        <v>340</v>
      </c>
      <c r="C2558" t="s">
        <v>86</v>
      </c>
      <c r="D2558" t="s">
        <v>12</v>
      </c>
      <c r="E2558" t="s">
        <v>628</v>
      </c>
      <c r="F2558" t="s">
        <v>25</v>
      </c>
      <c r="G2558" t="s">
        <v>468</v>
      </c>
      <c r="H2558" t="s">
        <v>447</v>
      </c>
      <c r="I2558" t="s">
        <v>448</v>
      </c>
      <c r="J2558" t="s">
        <v>449</v>
      </c>
      <c r="K2558" t="s">
        <v>450</v>
      </c>
      <c r="L2558" t="s">
        <v>673</v>
      </c>
      <c r="M2558" t="s">
        <v>408</v>
      </c>
      <c r="N2558" t="s">
        <v>11</v>
      </c>
      <c r="O2558" t="s">
        <v>11</v>
      </c>
      <c r="P2558" t="s">
        <v>0</v>
      </c>
      <c r="Q2558" t="s">
        <v>408</v>
      </c>
      <c r="R2558" t="s">
        <v>439</v>
      </c>
      <c r="S2558" t="s">
        <v>451</v>
      </c>
      <c r="T2558" t="s">
        <v>11</v>
      </c>
      <c r="U2558" t="s">
        <v>408</v>
      </c>
    </row>
    <row r="2559" spans="1:21" x14ac:dyDescent="0.25">
      <c r="A2559">
        <v>23323213</v>
      </c>
      <c r="B2559" t="s">
        <v>340</v>
      </c>
      <c r="C2559" t="s">
        <v>86</v>
      </c>
      <c r="D2559" t="s">
        <v>12</v>
      </c>
      <c r="E2559" t="s">
        <v>628</v>
      </c>
      <c r="F2559" t="s">
        <v>25</v>
      </c>
      <c r="G2559" t="s">
        <v>468</v>
      </c>
      <c r="H2559" t="s">
        <v>0</v>
      </c>
      <c r="I2559" t="s">
        <v>436</v>
      </c>
      <c r="J2559" t="s">
        <v>437</v>
      </c>
      <c r="K2559" t="s">
        <v>438</v>
      </c>
      <c r="L2559" t="s">
        <v>345</v>
      </c>
      <c r="M2559" t="s">
        <v>408</v>
      </c>
      <c r="N2559" t="s">
        <v>11</v>
      </c>
      <c r="O2559" t="s">
        <v>11</v>
      </c>
      <c r="P2559" t="s">
        <v>0</v>
      </c>
      <c r="Q2559" t="s">
        <v>408</v>
      </c>
      <c r="R2559" t="s">
        <v>439</v>
      </c>
      <c r="S2559" t="s">
        <v>440</v>
      </c>
      <c r="T2559" t="s">
        <v>11</v>
      </c>
      <c r="U2559" t="s">
        <v>408</v>
      </c>
    </row>
    <row r="2560" spans="1:21" x14ac:dyDescent="0.25">
      <c r="A2560">
        <v>23323214</v>
      </c>
      <c r="B2560" t="s">
        <v>342</v>
      </c>
      <c r="C2560" t="s">
        <v>89</v>
      </c>
      <c r="D2560" t="s">
        <v>12</v>
      </c>
      <c r="E2560" t="s">
        <v>628</v>
      </c>
      <c r="F2560" t="s">
        <v>25</v>
      </c>
      <c r="G2560" t="s">
        <v>468</v>
      </c>
      <c r="H2560" t="s">
        <v>761</v>
      </c>
      <c r="I2560" t="s">
        <v>762</v>
      </c>
      <c r="J2560" t="s">
        <v>763</v>
      </c>
      <c r="K2560" t="s">
        <v>764</v>
      </c>
      <c r="L2560" t="s">
        <v>876</v>
      </c>
      <c r="M2560" t="s">
        <v>11</v>
      </c>
      <c r="N2560" t="s">
        <v>11</v>
      </c>
      <c r="O2560" t="s">
        <v>408</v>
      </c>
      <c r="P2560" t="s">
        <v>0</v>
      </c>
      <c r="Q2560" t="s">
        <v>408</v>
      </c>
      <c r="R2560" t="s">
        <v>439</v>
      </c>
      <c r="S2560" t="s">
        <v>440</v>
      </c>
      <c r="T2560" t="s">
        <v>408</v>
      </c>
      <c r="U2560" t="s">
        <v>408</v>
      </c>
    </row>
    <row r="2561" spans="1:21" x14ac:dyDescent="0.25">
      <c r="A2561">
        <v>23323215</v>
      </c>
      <c r="B2561" t="s">
        <v>340</v>
      </c>
      <c r="C2561" t="s">
        <v>86</v>
      </c>
      <c r="D2561" t="s">
        <v>109</v>
      </c>
      <c r="E2561" t="s">
        <v>628</v>
      </c>
      <c r="F2561" t="s">
        <v>25</v>
      </c>
      <c r="G2561" t="s">
        <v>468</v>
      </c>
      <c r="H2561" t="s">
        <v>447</v>
      </c>
      <c r="I2561" t="s">
        <v>448</v>
      </c>
      <c r="J2561" t="s">
        <v>449</v>
      </c>
      <c r="K2561" t="s">
        <v>450</v>
      </c>
      <c r="L2561" t="s">
        <v>673</v>
      </c>
      <c r="M2561" t="s">
        <v>408</v>
      </c>
      <c r="N2561" t="s">
        <v>11</v>
      </c>
      <c r="O2561" t="s">
        <v>11</v>
      </c>
      <c r="P2561" t="s">
        <v>0</v>
      </c>
      <c r="Q2561" t="s">
        <v>408</v>
      </c>
      <c r="R2561" t="s">
        <v>439</v>
      </c>
      <c r="S2561" t="s">
        <v>451</v>
      </c>
      <c r="T2561" t="s">
        <v>11</v>
      </c>
      <c r="U2561" t="s">
        <v>408</v>
      </c>
    </row>
    <row r="2562" spans="1:21" x14ac:dyDescent="0.25">
      <c r="A2562">
        <v>23323216</v>
      </c>
      <c r="B2562" t="s">
        <v>342</v>
      </c>
      <c r="C2562" t="s">
        <v>89</v>
      </c>
      <c r="D2562" t="s">
        <v>12</v>
      </c>
      <c r="E2562" t="s">
        <v>628</v>
      </c>
      <c r="F2562" t="s">
        <v>25</v>
      </c>
      <c r="G2562" t="s">
        <v>369</v>
      </c>
      <c r="H2562" t="s">
        <v>906</v>
      </c>
      <c r="I2562" t="s">
        <v>905</v>
      </c>
      <c r="J2562" t="s">
        <v>904</v>
      </c>
      <c r="K2562" t="s">
        <v>764</v>
      </c>
      <c r="L2562" t="s">
        <v>0</v>
      </c>
      <c r="M2562" t="s">
        <v>408</v>
      </c>
      <c r="N2562" t="s">
        <v>11</v>
      </c>
      <c r="O2562" t="s">
        <v>11</v>
      </c>
      <c r="P2562" t="s">
        <v>0</v>
      </c>
      <c r="Q2562" t="s">
        <v>408</v>
      </c>
      <c r="R2562" t="s">
        <v>439</v>
      </c>
      <c r="S2562" t="s">
        <v>451</v>
      </c>
      <c r="T2562" t="s">
        <v>11</v>
      </c>
      <c r="U2562" t="s">
        <v>408</v>
      </c>
    </row>
    <row r="2563" spans="1:21" x14ac:dyDescent="0.25">
      <c r="A2563">
        <v>23323217</v>
      </c>
      <c r="B2563" t="s">
        <v>340</v>
      </c>
      <c r="C2563" t="s">
        <v>86</v>
      </c>
      <c r="D2563" t="s">
        <v>12</v>
      </c>
      <c r="E2563" t="s">
        <v>628</v>
      </c>
      <c r="F2563" t="s">
        <v>25</v>
      </c>
      <c r="G2563" t="s">
        <v>369</v>
      </c>
      <c r="H2563" t="s">
        <v>447</v>
      </c>
      <c r="I2563" t="s">
        <v>448</v>
      </c>
      <c r="J2563" t="s">
        <v>449</v>
      </c>
      <c r="K2563" t="s">
        <v>450</v>
      </c>
      <c r="L2563" t="s">
        <v>673</v>
      </c>
      <c r="M2563" t="s">
        <v>408</v>
      </c>
      <c r="N2563" t="s">
        <v>11</v>
      </c>
      <c r="O2563" t="s">
        <v>11</v>
      </c>
      <c r="P2563" t="s">
        <v>0</v>
      </c>
      <c r="Q2563" t="s">
        <v>408</v>
      </c>
      <c r="R2563" t="s">
        <v>439</v>
      </c>
      <c r="S2563" t="s">
        <v>451</v>
      </c>
      <c r="T2563" t="s">
        <v>11</v>
      </c>
      <c r="U2563" t="s">
        <v>408</v>
      </c>
    </row>
    <row r="2564" spans="1:21" x14ac:dyDescent="0.25">
      <c r="A2564">
        <v>23323218</v>
      </c>
      <c r="B2564" t="s">
        <v>340</v>
      </c>
      <c r="C2564" t="s">
        <v>86</v>
      </c>
      <c r="D2564" t="s">
        <v>12</v>
      </c>
      <c r="E2564" t="s">
        <v>628</v>
      </c>
      <c r="F2564" t="s">
        <v>25</v>
      </c>
      <c r="G2564" t="s">
        <v>468</v>
      </c>
      <c r="H2564" t="s">
        <v>617</v>
      </c>
      <c r="I2564" t="s">
        <v>618</v>
      </c>
      <c r="J2564" t="s">
        <v>619</v>
      </c>
      <c r="K2564" t="s">
        <v>606</v>
      </c>
      <c r="L2564" t="s">
        <v>673</v>
      </c>
      <c r="M2564" t="s">
        <v>408</v>
      </c>
      <c r="N2564" t="s">
        <v>11</v>
      </c>
      <c r="O2564" t="s">
        <v>11</v>
      </c>
      <c r="P2564" t="s">
        <v>0</v>
      </c>
      <c r="Q2564" t="s">
        <v>408</v>
      </c>
      <c r="R2564" t="s">
        <v>439</v>
      </c>
      <c r="S2564" t="s">
        <v>451</v>
      </c>
      <c r="T2564" t="s">
        <v>11</v>
      </c>
      <c r="U2564" t="s">
        <v>408</v>
      </c>
    </row>
    <row r="2565" spans="1:21" x14ac:dyDescent="0.25">
      <c r="A2565">
        <v>23323220</v>
      </c>
      <c r="B2565" t="s">
        <v>342</v>
      </c>
      <c r="C2565" t="s">
        <v>89</v>
      </c>
      <c r="D2565" t="s">
        <v>12</v>
      </c>
      <c r="E2565" t="s">
        <v>628</v>
      </c>
      <c r="F2565" t="s">
        <v>25</v>
      </c>
      <c r="G2565" t="s">
        <v>369</v>
      </c>
      <c r="H2565" t="s">
        <v>715</v>
      </c>
      <c r="I2565" t="s">
        <v>716</v>
      </c>
      <c r="J2565" t="s">
        <v>717</v>
      </c>
      <c r="K2565" t="s">
        <v>438</v>
      </c>
      <c r="L2565" t="s">
        <v>907</v>
      </c>
      <c r="M2565" t="s">
        <v>11</v>
      </c>
      <c r="N2565" t="s">
        <v>11</v>
      </c>
      <c r="O2565" t="s">
        <v>408</v>
      </c>
      <c r="P2565" t="s">
        <v>0</v>
      </c>
      <c r="Q2565" t="s">
        <v>408</v>
      </c>
      <c r="R2565" t="s">
        <v>439</v>
      </c>
      <c r="S2565" t="s">
        <v>440</v>
      </c>
      <c r="T2565" t="s">
        <v>408</v>
      </c>
      <c r="U2565" t="s">
        <v>408</v>
      </c>
    </row>
    <row r="2566" spans="1:21" x14ac:dyDescent="0.25">
      <c r="A2566">
        <v>23323221</v>
      </c>
      <c r="B2566" t="s">
        <v>340</v>
      </c>
      <c r="C2566" t="s">
        <v>86</v>
      </c>
      <c r="D2566" t="s">
        <v>12</v>
      </c>
      <c r="E2566" t="s">
        <v>628</v>
      </c>
      <c r="F2566" t="s">
        <v>25</v>
      </c>
      <c r="G2566" t="s">
        <v>369</v>
      </c>
      <c r="H2566" t="s">
        <v>681</v>
      </c>
      <c r="I2566" t="s">
        <v>959</v>
      </c>
      <c r="J2566" t="s">
        <v>958</v>
      </c>
      <c r="K2566" t="s">
        <v>450</v>
      </c>
      <c r="L2566" t="s">
        <v>683</v>
      </c>
      <c r="M2566" t="s">
        <v>408</v>
      </c>
      <c r="N2566" t="s">
        <v>11</v>
      </c>
      <c r="O2566" t="s">
        <v>11</v>
      </c>
      <c r="P2566" t="s">
        <v>0</v>
      </c>
      <c r="Q2566" t="s">
        <v>408</v>
      </c>
      <c r="R2566" t="s">
        <v>439</v>
      </c>
      <c r="S2566" t="s">
        <v>451</v>
      </c>
      <c r="T2566" t="s">
        <v>11</v>
      </c>
      <c r="U2566" t="s">
        <v>408</v>
      </c>
    </row>
    <row r="2567" spans="1:21" x14ac:dyDescent="0.25">
      <c r="A2567">
        <v>23323222</v>
      </c>
      <c r="B2567" t="s">
        <v>342</v>
      </c>
      <c r="C2567" t="s">
        <v>89</v>
      </c>
      <c r="D2567" t="s">
        <v>12</v>
      </c>
      <c r="E2567" t="s">
        <v>628</v>
      </c>
      <c r="F2567" t="s">
        <v>25</v>
      </c>
      <c r="G2567" t="s">
        <v>369</v>
      </c>
      <c r="H2567" t="s">
        <v>914</v>
      </c>
      <c r="I2567" t="s">
        <v>939</v>
      </c>
      <c r="J2567" t="s">
        <v>938</v>
      </c>
      <c r="K2567" t="s">
        <v>764</v>
      </c>
      <c r="L2567" t="s">
        <v>937</v>
      </c>
      <c r="M2567" t="s">
        <v>408</v>
      </c>
      <c r="N2567" t="s">
        <v>11</v>
      </c>
      <c r="O2567" t="s">
        <v>408</v>
      </c>
      <c r="P2567" t="s">
        <v>0</v>
      </c>
      <c r="Q2567" t="s">
        <v>408</v>
      </c>
      <c r="R2567" t="s">
        <v>439</v>
      </c>
      <c r="S2567" t="s">
        <v>451</v>
      </c>
      <c r="T2567" t="s">
        <v>11</v>
      </c>
      <c r="U2567" t="s">
        <v>408</v>
      </c>
    </row>
    <row r="2568" spans="1:21" x14ac:dyDescent="0.25">
      <c r="A2568">
        <v>23323223</v>
      </c>
      <c r="B2568" t="s">
        <v>340</v>
      </c>
      <c r="C2568" t="s">
        <v>86</v>
      </c>
      <c r="D2568" t="s">
        <v>12</v>
      </c>
      <c r="E2568" t="s">
        <v>627</v>
      </c>
      <c r="F2568" t="s">
        <v>81</v>
      </c>
      <c r="G2568" t="s">
        <v>468</v>
      </c>
      <c r="H2568" t="s">
        <v>2</v>
      </c>
      <c r="I2568" t="s">
        <v>436</v>
      </c>
      <c r="J2568" t="s">
        <v>443</v>
      </c>
      <c r="K2568" t="s">
        <v>444</v>
      </c>
      <c r="L2568" t="s">
        <v>0</v>
      </c>
      <c r="M2568" t="s">
        <v>408</v>
      </c>
      <c r="N2568" t="s">
        <v>11</v>
      </c>
      <c r="O2568" t="s">
        <v>11</v>
      </c>
      <c r="P2568" t="s">
        <v>0</v>
      </c>
      <c r="Q2568" t="s">
        <v>408</v>
      </c>
      <c r="R2568" t="s">
        <v>439</v>
      </c>
      <c r="S2568" t="s">
        <v>440</v>
      </c>
      <c r="T2568" t="s">
        <v>11</v>
      </c>
      <c r="U2568" t="s">
        <v>408</v>
      </c>
    </row>
    <row r="2569" spans="1:21" x14ac:dyDescent="0.25">
      <c r="A2569">
        <v>23323225</v>
      </c>
      <c r="B2569" t="s">
        <v>342</v>
      </c>
      <c r="C2569" t="s">
        <v>89</v>
      </c>
      <c r="D2569" t="s">
        <v>12</v>
      </c>
      <c r="E2569" t="s">
        <v>628</v>
      </c>
      <c r="F2569" t="s">
        <v>25</v>
      </c>
      <c r="G2569" t="s">
        <v>369</v>
      </c>
      <c r="H2569" t="s">
        <v>881</v>
      </c>
      <c r="I2569" t="s">
        <v>957</v>
      </c>
      <c r="J2569" t="s">
        <v>956</v>
      </c>
      <c r="K2569" t="s">
        <v>442</v>
      </c>
      <c r="L2569" t="s">
        <v>955</v>
      </c>
      <c r="M2569" t="s">
        <v>11</v>
      </c>
      <c r="N2569" t="s">
        <v>11</v>
      </c>
      <c r="O2569" t="s">
        <v>11</v>
      </c>
      <c r="P2569" t="s">
        <v>0</v>
      </c>
      <c r="Q2569" t="s">
        <v>408</v>
      </c>
      <c r="R2569" t="s">
        <v>439</v>
      </c>
      <c r="S2569" t="s">
        <v>440</v>
      </c>
      <c r="T2569" t="s">
        <v>408</v>
      </c>
      <c r="U2569" t="s">
        <v>408</v>
      </c>
    </row>
    <row r="2570" spans="1:21" x14ac:dyDescent="0.25">
      <c r="A2570">
        <v>23323227</v>
      </c>
      <c r="B2570" t="s">
        <v>342</v>
      </c>
      <c r="C2570" t="s">
        <v>89</v>
      </c>
      <c r="D2570" t="s">
        <v>24</v>
      </c>
      <c r="E2570" t="s">
        <v>628</v>
      </c>
      <c r="F2570" t="s">
        <v>25</v>
      </c>
      <c r="G2570" t="s">
        <v>468</v>
      </c>
      <c r="H2570" t="s">
        <v>900</v>
      </c>
      <c r="I2570" t="s">
        <v>899</v>
      </c>
      <c r="J2570" t="s">
        <v>898</v>
      </c>
      <c r="K2570" t="s">
        <v>453</v>
      </c>
      <c r="L2570" t="s">
        <v>954</v>
      </c>
      <c r="M2570" t="s">
        <v>408</v>
      </c>
      <c r="N2570" t="s">
        <v>11</v>
      </c>
      <c r="O2570" t="s">
        <v>11</v>
      </c>
      <c r="P2570" t="s">
        <v>0</v>
      </c>
      <c r="Q2570" t="s">
        <v>408</v>
      </c>
      <c r="R2570" t="s">
        <v>439</v>
      </c>
      <c r="S2570" t="s">
        <v>451</v>
      </c>
      <c r="T2570" t="s">
        <v>11</v>
      </c>
      <c r="U2570" t="s">
        <v>408</v>
      </c>
    </row>
    <row r="2571" spans="1:21" x14ac:dyDescent="0.25">
      <c r="A2571">
        <v>23323229</v>
      </c>
      <c r="B2571" t="s">
        <v>340</v>
      </c>
      <c r="C2571" t="s">
        <v>86</v>
      </c>
      <c r="D2571" t="s">
        <v>12</v>
      </c>
      <c r="E2571" t="s">
        <v>628</v>
      </c>
      <c r="F2571" t="s">
        <v>25</v>
      </c>
      <c r="G2571" t="s">
        <v>468</v>
      </c>
      <c r="H2571" t="s">
        <v>617</v>
      </c>
      <c r="I2571" t="s">
        <v>618</v>
      </c>
      <c r="J2571" t="s">
        <v>619</v>
      </c>
      <c r="K2571" t="s">
        <v>606</v>
      </c>
      <c r="L2571" t="s">
        <v>673</v>
      </c>
      <c r="M2571" t="s">
        <v>408</v>
      </c>
      <c r="N2571" t="s">
        <v>11</v>
      </c>
      <c r="O2571" t="s">
        <v>11</v>
      </c>
      <c r="P2571" t="s">
        <v>0</v>
      </c>
      <c r="Q2571" t="s">
        <v>408</v>
      </c>
      <c r="R2571" t="s">
        <v>439</v>
      </c>
      <c r="S2571" t="s">
        <v>451</v>
      </c>
      <c r="T2571" t="s">
        <v>11</v>
      </c>
      <c r="U2571" t="s">
        <v>408</v>
      </c>
    </row>
    <row r="2572" spans="1:21" x14ac:dyDescent="0.25">
      <c r="A2572">
        <v>23323230</v>
      </c>
      <c r="B2572" t="s">
        <v>340</v>
      </c>
      <c r="C2572" t="s">
        <v>86</v>
      </c>
      <c r="D2572" t="s">
        <v>18</v>
      </c>
      <c r="E2572" t="s">
        <v>628</v>
      </c>
      <c r="F2572" t="s">
        <v>25</v>
      </c>
      <c r="G2572" t="s">
        <v>468</v>
      </c>
      <c r="H2572" t="s">
        <v>447</v>
      </c>
      <c r="I2572" t="s">
        <v>448</v>
      </c>
      <c r="J2572" t="s">
        <v>449</v>
      </c>
      <c r="K2572" t="s">
        <v>450</v>
      </c>
      <c r="L2572" t="s">
        <v>673</v>
      </c>
      <c r="M2572" t="s">
        <v>408</v>
      </c>
      <c r="N2572" t="s">
        <v>11</v>
      </c>
      <c r="O2572" t="s">
        <v>11</v>
      </c>
      <c r="P2572" t="s">
        <v>0</v>
      </c>
      <c r="Q2572" t="s">
        <v>408</v>
      </c>
      <c r="R2572" t="s">
        <v>439</v>
      </c>
      <c r="S2572" t="s">
        <v>451</v>
      </c>
      <c r="T2572" t="s">
        <v>11</v>
      </c>
      <c r="U2572" t="s">
        <v>408</v>
      </c>
    </row>
    <row r="2573" spans="1:21" x14ac:dyDescent="0.25">
      <c r="A2573">
        <v>23323231</v>
      </c>
      <c r="B2573" t="s">
        <v>340</v>
      </c>
      <c r="C2573" t="s">
        <v>86</v>
      </c>
      <c r="D2573" t="s">
        <v>12</v>
      </c>
      <c r="E2573" t="s">
        <v>628</v>
      </c>
      <c r="F2573" t="s">
        <v>25</v>
      </c>
      <c r="G2573" t="s">
        <v>369</v>
      </c>
      <c r="H2573" t="s">
        <v>447</v>
      </c>
      <c r="I2573" t="s">
        <v>448</v>
      </c>
      <c r="J2573" t="s">
        <v>449</v>
      </c>
      <c r="K2573" t="s">
        <v>450</v>
      </c>
      <c r="L2573" t="s">
        <v>673</v>
      </c>
      <c r="M2573" t="s">
        <v>408</v>
      </c>
      <c r="N2573" t="s">
        <v>11</v>
      </c>
      <c r="O2573" t="s">
        <v>11</v>
      </c>
      <c r="P2573" t="s">
        <v>0</v>
      </c>
      <c r="Q2573" t="s">
        <v>408</v>
      </c>
      <c r="R2573" t="s">
        <v>439</v>
      </c>
      <c r="S2573" t="s">
        <v>451</v>
      </c>
      <c r="T2573" t="s">
        <v>11</v>
      </c>
      <c r="U2573" t="s">
        <v>408</v>
      </c>
    </row>
    <row r="2574" spans="1:21" x14ac:dyDescent="0.25">
      <c r="A2574">
        <v>23323232</v>
      </c>
      <c r="B2574" t="s">
        <v>342</v>
      </c>
      <c r="C2574" t="s">
        <v>89</v>
      </c>
      <c r="D2574" t="s">
        <v>12</v>
      </c>
      <c r="E2574" t="s">
        <v>628</v>
      </c>
      <c r="F2574" t="s">
        <v>25</v>
      </c>
      <c r="G2574" t="s">
        <v>369</v>
      </c>
      <c r="H2574" t="s">
        <v>953</v>
      </c>
      <c r="I2574" t="s">
        <v>952</v>
      </c>
      <c r="J2574" t="s">
        <v>951</v>
      </c>
      <c r="K2574" t="s">
        <v>701</v>
      </c>
      <c r="L2574" t="s">
        <v>819</v>
      </c>
      <c r="M2574" t="s">
        <v>408</v>
      </c>
      <c r="N2574" t="s">
        <v>11</v>
      </c>
      <c r="O2574" t="s">
        <v>408</v>
      </c>
      <c r="P2574" t="s">
        <v>0</v>
      </c>
      <c r="Q2574" t="s">
        <v>408</v>
      </c>
      <c r="R2574" t="s">
        <v>439</v>
      </c>
      <c r="S2574" t="s">
        <v>451</v>
      </c>
      <c r="T2574" t="s">
        <v>11</v>
      </c>
      <c r="U2574" t="s">
        <v>408</v>
      </c>
    </row>
    <row r="2575" spans="1:21" x14ac:dyDescent="0.25">
      <c r="A2575">
        <v>23323233</v>
      </c>
      <c r="B2575" t="s">
        <v>342</v>
      </c>
      <c r="C2575" t="s">
        <v>89</v>
      </c>
      <c r="D2575" t="s">
        <v>12</v>
      </c>
      <c r="E2575" t="s">
        <v>627</v>
      </c>
      <c r="F2575" t="s">
        <v>81</v>
      </c>
      <c r="G2575" t="s">
        <v>369</v>
      </c>
      <c r="H2575" t="s">
        <v>900</v>
      </c>
      <c r="I2575" t="s">
        <v>899</v>
      </c>
      <c r="J2575" t="s">
        <v>898</v>
      </c>
      <c r="K2575" t="s">
        <v>453</v>
      </c>
      <c r="L2575" t="s">
        <v>881</v>
      </c>
      <c r="M2575" t="s">
        <v>11</v>
      </c>
      <c r="N2575" t="s">
        <v>11</v>
      </c>
      <c r="O2575" t="s">
        <v>11</v>
      </c>
      <c r="P2575" t="s">
        <v>0</v>
      </c>
      <c r="Q2575" t="s">
        <v>408</v>
      </c>
      <c r="R2575" t="s">
        <v>439</v>
      </c>
      <c r="S2575" t="s">
        <v>451</v>
      </c>
      <c r="T2575" t="s">
        <v>408</v>
      </c>
      <c r="U2575" t="s">
        <v>408</v>
      </c>
    </row>
    <row r="2576" spans="1:21" x14ac:dyDescent="0.25">
      <c r="A2576">
        <v>23323234</v>
      </c>
      <c r="B2576" t="s">
        <v>340</v>
      </c>
      <c r="C2576" t="s">
        <v>86</v>
      </c>
      <c r="D2576" t="s">
        <v>18</v>
      </c>
      <c r="E2576" t="s">
        <v>628</v>
      </c>
      <c r="F2576" t="s">
        <v>25</v>
      </c>
      <c r="G2576" t="s">
        <v>468</v>
      </c>
      <c r="H2576" t="s">
        <v>617</v>
      </c>
      <c r="I2576" t="s">
        <v>618</v>
      </c>
      <c r="J2576" t="s">
        <v>619</v>
      </c>
      <c r="K2576" t="s">
        <v>606</v>
      </c>
      <c r="L2576" t="s">
        <v>672</v>
      </c>
      <c r="M2576" t="s">
        <v>408</v>
      </c>
      <c r="N2576" t="s">
        <v>11</v>
      </c>
      <c r="O2576" t="s">
        <v>11</v>
      </c>
      <c r="P2576" t="s">
        <v>0</v>
      </c>
      <c r="Q2576" t="s">
        <v>408</v>
      </c>
      <c r="R2576" t="s">
        <v>439</v>
      </c>
      <c r="S2576" t="s">
        <v>451</v>
      </c>
      <c r="T2576" t="s">
        <v>11</v>
      </c>
      <c r="U2576" t="s">
        <v>408</v>
      </c>
    </row>
    <row r="2577" spans="1:21" x14ac:dyDescent="0.25">
      <c r="A2577">
        <v>23323235</v>
      </c>
      <c r="B2577" t="s">
        <v>340</v>
      </c>
      <c r="C2577" t="s">
        <v>86</v>
      </c>
      <c r="D2577" t="s">
        <v>12</v>
      </c>
      <c r="E2577" t="s">
        <v>628</v>
      </c>
      <c r="F2577" t="s">
        <v>25</v>
      </c>
      <c r="G2577" t="s">
        <v>468</v>
      </c>
      <c r="H2577" t="s">
        <v>617</v>
      </c>
      <c r="I2577" t="s">
        <v>618</v>
      </c>
      <c r="J2577" t="s">
        <v>619</v>
      </c>
      <c r="K2577" t="s">
        <v>606</v>
      </c>
      <c r="L2577" t="s">
        <v>673</v>
      </c>
      <c r="M2577" t="s">
        <v>408</v>
      </c>
      <c r="N2577" t="s">
        <v>11</v>
      </c>
      <c r="O2577" t="s">
        <v>11</v>
      </c>
      <c r="P2577" t="s">
        <v>0</v>
      </c>
      <c r="Q2577" t="s">
        <v>408</v>
      </c>
      <c r="R2577" t="s">
        <v>439</v>
      </c>
      <c r="S2577" t="s">
        <v>451</v>
      </c>
      <c r="T2577" t="s">
        <v>11</v>
      </c>
      <c r="U2577" t="s">
        <v>408</v>
      </c>
    </row>
    <row r="2578" spans="1:21" x14ac:dyDescent="0.25">
      <c r="A2578">
        <v>23323236</v>
      </c>
      <c r="B2578" t="s">
        <v>340</v>
      </c>
      <c r="C2578" t="s">
        <v>86</v>
      </c>
      <c r="D2578" t="s">
        <v>12</v>
      </c>
      <c r="E2578" t="s">
        <v>628</v>
      </c>
      <c r="F2578" t="s">
        <v>25</v>
      </c>
      <c r="G2578" t="s">
        <v>369</v>
      </c>
      <c r="H2578" t="s">
        <v>447</v>
      </c>
      <c r="I2578" t="s">
        <v>448</v>
      </c>
      <c r="J2578" t="s">
        <v>449</v>
      </c>
      <c r="K2578" t="s">
        <v>450</v>
      </c>
      <c r="L2578" t="s">
        <v>673</v>
      </c>
      <c r="M2578" t="s">
        <v>408</v>
      </c>
      <c r="N2578" t="s">
        <v>11</v>
      </c>
      <c r="O2578" t="s">
        <v>11</v>
      </c>
      <c r="P2578" t="s">
        <v>0</v>
      </c>
      <c r="Q2578" t="s">
        <v>408</v>
      </c>
      <c r="R2578" t="s">
        <v>439</v>
      </c>
      <c r="S2578" t="s">
        <v>451</v>
      </c>
      <c r="T2578" t="s">
        <v>11</v>
      </c>
      <c r="U2578" t="s">
        <v>408</v>
      </c>
    </row>
    <row r="2579" spans="1:21" x14ac:dyDescent="0.25">
      <c r="A2579">
        <v>23323237</v>
      </c>
      <c r="B2579" t="s">
        <v>340</v>
      </c>
      <c r="C2579" t="s">
        <v>86</v>
      </c>
      <c r="D2579" t="s">
        <v>12</v>
      </c>
      <c r="E2579" t="s">
        <v>628</v>
      </c>
      <c r="F2579" t="s">
        <v>25</v>
      </c>
      <c r="G2579" t="s">
        <v>468</v>
      </c>
      <c r="H2579" t="s">
        <v>617</v>
      </c>
      <c r="I2579" t="s">
        <v>618</v>
      </c>
      <c r="J2579" t="s">
        <v>619</v>
      </c>
      <c r="K2579" t="s">
        <v>606</v>
      </c>
      <c r="L2579" t="s">
        <v>673</v>
      </c>
      <c r="M2579" t="s">
        <v>408</v>
      </c>
      <c r="N2579" t="s">
        <v>11</v>
      </c>
      <c r="O2579" t="s">
        <v>11</v>
      </c>
      <c r="P2579" t="s">
        <v>0</v>
      </c>
      <c r="Q2579" t="s">
        <v>408</v>
      </c>
      <c r="R2579" t="s">
        <v>439</v>
      </c>
      <c r="S2579" t="s">
        <v>451</v>
      </c>
      <c r="T2579" t="s">
        <v>11</v>
      </c>
      <c r="U2579" t="s">
        <v>408</v>
      </c>
    </row>
    <row r="2580" spans="1:21" x14ac:dyDescent="0.25">
      <c r="A2580">
        <v>23323238</v>
      </c>
      <c r="B2580" t="s">
        <v>340</v>
      </c>
      <c r="C2580" t="s">
        <v>86</v>
      </c>
      <c r="D2580" t="s">
        <v>12</v>
      </c>
      <c r="E2580" t="s">
        <v>752</v>
      </c>
      <c r="F2580" t="s">
        <v>950</v>
      </c>
      <c r="G2580" t="s">
        <v>369</v>
      </c>
      <c r="H2580" t="s">
        <v>949</v>
      </c>
      <c r="I2580" t="s">
        <v>948</v>
      </c>
      <c r="J2580" t="s">
        <v>947</v>
      </c>
      <c r="K2580" t="s">
        <v>850</v>
      </c>
      <c r="L2580" t="s">
        <v>673</v>
      </c>
      <c r="M2580" t="s">
        <v>408</v>
      </c>
      <c r="N2580" t="s">
        <v>11</v>
      </c>
      <c r="O2580" t="s">
        <v>11</v>
      </c>
      <c r="P2580" t="s">
        <v>0</v>
      </c>
      <c r="Q2580" t="s">
        <v>408</v>
      </c>
      <c r="R2580" t="s">
        <v>439</v>
      </c>
      <c r="S2580" t="s">
        <v>451</v>
      </c>
      <c r="T2580" t="s">
        <v>11</v>
      </c>
      <c r="U2580" t="s">
        <v>408</v>
      </c>
    </row>
    <row r="2581" spans="1:21" x14ac:dyDescent="0.25">
      <c r="A2581">
        <v>20910742</v>
      </c>
      <c r="B2581" t="s">
        <v>342</v>
      </c>
      <c r="C2581" t="s">
        <v>89</v>
      </c>
      <c r="D2581" t="s">
        <v>12</v>
      </c>
      <c r="E2581" t="s">
        <v>507</v>
      </c>
      <c r="F2581" t="s">
        <v>946</v>
      </c>
      <c r="G2581" t="s">
        <v>468</v>
      </c>
      <c r="H2581" t="s">
        <v>761</v>
      </c>
      <c r="I2581" t="s">
        <v>762</v>
      </c>
      <c r="J2581" t="s">
        <v>763</v>
      </c>
      <c r="K2581" t="s">
        <v>764</v>
      </c>
      <c r="L2581" t="s">
        <v>735</v>
      </c>
      <c r="M2581" t="s">
        <v>408</v>
      </c>
      <c r="N2581" t="s">
        <v>11</v>
      </c>
      <c r="O2581" t="s">
        <v>11</v>
      </c>
      <c r="P2581" t="s">
        <v>0</v>
      </c>
      <c r="Q2581" t="s">
        <v>408</v>
      </c>
      <c r="R2581" t="s">
        <v>439</v>
      </c>
      <c r="S2581" t="s">
        <v>440</v>
      </c>
      <c r="T2581" t="s">
        <v>11</v>
      </c>
      <c r="U2581" t="s">
        <v>408</v>
      </c>
    </row>
    <row r="2582" spans="1:21" x14ac:dyDescent="0.25">
      <c r="A2582">
        <v>20910743</v>
      </c>
      <c r="B2582" t="s">
        <v>342</v>
      </c>
      <c r="C2582" t="s">
        <v>89</v>
      </c>
      <c r="D2582" t="s">
        <v>12</v>
      </c>
      <c r="E2582" t="s">
        <v>507</v>
      </c>
      <c r="F2582" t="s">
        <v>946</v>
      </c>
      <c r="G2582" t="s">
        <v>468</v>
      </c>
      <c r="H2582" t="s">
        <v>945</v>
      </c>
      <c r="I2582" t="s">
        <v>944</v>
      </c>
      <c r="J2582" t="s">
        <v>943</v>
      </c>
      <c r="K2582" t="s">
        <v>764</v>
      </c>
      <c r="L2582" t="s">
        <v>735</v>
      </c>
      <c r="M2582" t="s">
        <v>408</v>
      </c>
      <c r="N2582" t="s">
        <v>11</v>
      </c>
      <c r="O2582" t="s">
        <v>11</v>
      </c>
      <c r="P2582" t="s">
        <v>0</v>
      </c>
      <c r="Q2582" t="s">
        <v>408</v>
      </c>
      <c r="R2582" t="s">
        <v>439</v>
      </c>
      <c r="S2582" t="s">
        <v>451</v>
      </c>
      <c r="T2582" t="s">
        <v>11</v>
      </c>
      <c r="U2582" t="s">
        <v>408</v>
      </c>
    </row>
    <row r="2583" spans="1:21" x14ac:dyDescent="0.25">
      <c r="A2583">
        <v>23323325</v>
      </c>
      <c r="B2583" t="s">
        <v>342</v>
      </c>
      <c r="C2583" t="s">
        <v>89</v>
      </c>
      <c r="D2583" t="s">
        <v>12</v>
      </c>
      <c r="E2583" t="s">
        <v>627</v>
      </c>
      <c r="F2583" t="s">
        <v>21</v>
      </c>
      <c r="G2583" t="s">
        <v>369</v>
      </c>
      <c r="H2583" t="s">
        <v>820</v>
      </c>
      <c r="I2583" t="s">
        <v>821</v>
      </c>
      <c r="J2583" t="s">
        <v>822</v>
      </c>
      <c r="K2583" t="s">
        <v>701</v>
      </c>
      <c r="L2583" t="s">
        <v>793</v>
      </c>
      <c r="M2583" t="s">
        <v>11</v>
      </c>
      <c r="N2583" t="s">
        <v>11</v>
      </c>
      <c r="O2583" t="s">
        <v>11</v>
      </c>
      <c r="P2583" t="s">
        <v>0</v>
      </c>
      <c r="Q2583" t="s">
        <v>408</v>
      </c>
      <c r="R2583" t="s">
        <v>439</v>
      </c>
      <c r="S2583" t="s">
        <v>451</v>
      </c>
      <c r="T2583" t="s">
        <v>408</v>
      </c>
      <c r="U2583" t="s">
        <v>408</v>
      </c>
    </row>
    <row r="2584" spans="1:21" x14ac:dyDescent="0.25">
      <c r="A2584">
        <v>23323328</v>
      </c>
      <c r="B2584" t="s">
        <v>340</v>
      </c>
      <c r="C2584" t="s">
        <v>86</v>
      </c>
      <c r="D2584" t="s">
        <v>18</v>
      </c>
      <c r="E2584" t="s">
        <v>628</v>
      </c>
      <c r="F2584" t="s">
        <v>20</v>
      </c>
      <c r="G2584" t="s">
        <v>468</v>
      </c>
      <c r="H2584" t="s">
        <v>447</v>
      </c>
      <c r="I2584" t="s">
        <v>448</v>
      </c>
      <c r="J2584" t="s">
        <v>449</v>
      </c>
      <c r="K2584" t="s">
        <v>450</v>
      </c>
      <c r="L2584" t="s">
        <v>673</v>
      </c>
      <c r="M2584" t="s">
        <v>408</v>
      </c>
      <c r="N2584" t="s">
        <v>11</v>
      </c>
      <c r="O2584" t="s">
        <v>11</v>
      </c>
      <c r="P2584" t="s">
        <v>0</v>
      </c>
      <c r="Q2584" t="s">
        <v>408</v>
      </c>
      <c r="R2584" t="s">
        <v>439</v>
      </c>
      <c r="S2584" t="s">
        <v>451</v>
      </c>
      <c r="T2584" t="s">
        <v>11</v>
      </c>
      <c r="U2584" t="s">
        <v>408</v>
      </c>
    </row>
    <row r="2585" spans="1:21" x14ac:dyDescent="0.25">
      <c r="A2585">
        <v>23323329</v>
      </c>
      <c r="B2585" t="s">
        <v>342</v>
      </c>
      <c r="C2585" t="s">
        <v>89</v>
      </c>
      <c r="D2585" t="s">
        <v>12</v>
      </c>
      <c r="E2585" t="s">
        <v>627</v>
      </c>
      <c r="F2585" t="s">
        <v>81</v>
      </c>
      <c r="G2585" t="s">
        <v>468</v>
      </c>
      <c r="H2585" t="s">
        <v>603</v>
      </c>
      <c r="I2585" t="s">
        <v>604</v>
      </c>
      <c r="J2585" t="s">
        <v>605</v>
      </c>
      <c r="K2585" t="s">
        <v>606</v>
      </c>
      <c r="L2585" t="s">
        <v>869</v>
      </c>
      <c r="M2585" t="s">
        <v>408</v>
      </c>
      <c r="N2585" t="s">
        <v>11</v>
      </c>
      <c r="O2585" t="s">
        <v>11</v>
      </c>
      <c r="P2585" t="s">
        <v>0</v>
      </c>
      <c r="Q2585" t="s">
        <v>408</v>
      </c>
      <c r="R2585" t="s">
        <v>439</v>
      </c>
      <c r="S2585" t="s">
        <v>451</v>
      </c>
      <c r="T2585" t="s">
        <v>11</v>
      </c>
      <c r="U2585" t="s">
        <v>408</v>
      </c>
    </row>
    <row r="2586" spans="1:21" x14ac:dyDescent="0.25">
      <c r="A2586">
        <v>23323330</v>
      </c>
      <c r="B2586" t="s">
        <v>342</v>
      </c>
      <c r="C2586" t="s">
        <v>89</v>
      </c>
      <c r="D2586" t="s">
        <v>12</v>
      </c>
      <c r="E2586" t="s">
        <v>627</v>
      </c>
      <c r="F2586" t="s">
        <v>81</v>
      </c>
      <c r="G2586" t="s">
        <v>468</v>
      </c>
      <c r="H2586" t="s">
        <v>761</v>
      </c>
      <c r="I2586" t="s">
        <v>762</v>
      </c>
      <c r="J2586" t="s">
        <v>763</v>
      </c>
      <c r="K2586" t="s">
        <v>764</v>
      </c>
      <c r="L2586" t="s">
        <v>869</v>
      </c>
      <c r="M2586" t="s">
        <v>408</v>
      </c>
      <c r="N2586" t="s">
        <v>11</v>
      </c>
      <c r="O2586" t="s">
        <v>11</v>
      </c>
      <c r="P2586" t="s">
        <v>0</v>
      </c>
      <c r="Q2586" t="s">
        <v>11</v>
      </c>
      <c r="R2586" t="s">
        <v>439</v>
      </c>
      <c r="S2586" t="s">
        <v>440</v>
      </c>
      <c r="T2586" t="s">
        <v>11</v>
      </c>
      <c r="U2586" t="s">
        <v>408</v>
      </c>
    </row>
    <row r="2587" spans="1:21" x14ac:dyDescent="0.25">
      <c r="A2587">
        <v>23323331</v>
      </c>
      <c r="B2587" t="s">
        <v>340</v>
      </c>
      <c r="C2587" t="s">
        <v>86</v>
      </c>
      <c r="D2587" t="s">
        <v>12</v>
      </c>
      <c r="E2587" t="s">
        <v>627</v>
      </c>
      <c r="F2587" t="s">
        <v>81</v>
      </c>
      <c r="G2587" t="s">
        <v>468</v>
      </c>
      <c r="H2587" t="s">
        <v>617</v>
      </c>
      <c r="I2587" t="s">
        <v>618</v>
      </c>
      <c r="J2587" t="s">
        <v>619</v>
      </c>
      <c r="K2587" t="s">
        <v>606</v>
      </c>
      <c r="L2587" t="s">
        <v>673</v>
      </c>
      <c r="M2587" t="s">
        <v>408</v>
      </c>
      <c r="N2587" t="s">
        <v>11</v>
      </c>
      <c r="O2587" t="s">
        <v>11</v>
      </c>
      <c r="P2587" t="s">
        <v>0</v>
      </c>
      <c r="Q2587" t="s">
        <v>408</v>
      </c>
      <c r="R2587" t="s">
        <v>439</v>
      </c>
      <c r="S2587" t="s">
        <v>451</v>
      </c>
      <c r="T2587" t="s">
        <v>11</v>
      </c>
      <c r="U2587" t="s">
        <v>408</v>
      </c>
    </row>
    <row r="2588" spans="1:21" x14ac:dyDescent="0.25">
      <c r="A2588">
        <v>23323332</v>
      </c>
      <c r="B2588" t="s">
        <v>340</v>
      </c>
      <c r="C2588" t="s">
        <v>86</v>
      </c>
      <c r="D2588" t="s">
        <v>12</v>
      </c>
      <c r="E2588" t="s">
        <v>628</v>
      </c>
      <c r="F2588" t="s">
        <v>20</v>
      </c>
      <c r="G2588" t="s">
        <v>369</v>
      </c>
      <c r="H2588" t="s">
        <v>942</v>
      </c>
      <c r="I2588" t="s">
        <v>941</v>
      </c>
      <c r="J2588" t="s">
        <v>940</v>
      </c>
      <c r="K2588" t="s">
        <v>701</v>
      </c>
      <c r="L2588" t="s">
        <v>673</v>
      </c>
      <c r="M2588" t="s">
        <v>408</v>
      </c>
      <c r="N2588" t="s">
        <v>11</v>
      </c>
      <c r="O2588" t="s">
        <v>11</v>
      </c>
      <c r="P2588" t="s">
        <v>0</v>
      </c>
      <c r="Q2588" t="s">
        <v>408</v>
      </c>
      <c r="R2588" t="s">
        <v>439</v>
      </c>
      <c r="S2588" t="s">
        <v>451</v>
      </c>
      <c r="T2588" t="s">
        <v>11</v>
      </c>
      <c r="U2588" t="s">
        <v>408</v>
      </c>
    </row>
    <row r="2589" spans="1:21" x14ac:dyDescent="0.25">
      <c r="A2589">
        <v>23323334</v>
      </c>
      <c r="B2589" t="s">
        <v>342</v>
      </c>
      <c r="C2589" t="s">
        <v>89</v>
      </c>
      <c r="D2589" t="s">
        <v>12</v>
      </c>
      <c r="E2589" t="s">
        <v>626</v>
      </c>
      <c r="F2589" t="s">
        <v>23</v>
      </c>
      <c r="G2589" t="s">
        <v>468</v>
      </c>
      <c r="H2589" t="s">
        <v>820</v>
      </c>
      <c r="I2589" t="s">
        <v>821</v>
      </c>
      <c r="J2589" t="s">
        <v>822</v>
      </c>
      <c r="K2589" t="s">
        <v>701</v>
      </c>
      <c r="L2589" t="s">
        <v>793</v>
      </c>
      <c r="M2589" t="s">
        <v>11</v>
      </c>
      <c r="N2589" t="s">
        <v>11</v>
      </c>
      <c r="O2589" t="s">
        <v>11</v>
      </c>
      <c r="P2589" t="s">
        <v>0</v>
      </c>
      <c r="Q2589" t="s">
        <v>408</v>
      </c>
      <c r="R2589" t="s">
        <v>439</v>
      </c>
      <c r="S2589" t="s">
        <v>451</v>
      </c>
      <c r="T2589" t="s">
        <v>408</v>
      </c>
      <c r="U2589" t="s">
        <v>408</v>
      </c>
    </row>
    <row r="2590" spans="1:21" x14ac:dyDescent="0.25">
      <c r="A2590">
        <v>23323335</v>
      </c>
      <c r="B2590" t="s">
        <v>342</v>
      </c>
      <c r="C2590" t="s">
        <v>89</v>
      </c>
      <c r="D2590" t="s">
        <v>12</v>
      </c>
      <c r="E2590" t="s">
        <v>627</v>
      </c>
      <c r="F2590" t="s">
        <v>22</v>
      </c>
      <c r="G2590" t="s">
        <v>468</v>
      </c>
      <c r="H2590" t="s">
        <v>853</v>
      </c>
      <c r="I2590" t="s">
        <v>852</v>
      </c>
      <c r="J2590" t="s">
        <v>851</v>
      </c>
      <c r="K2590" t="s">
        <v>850</v>
      </c>
      <c r="L2590" t="s">
        <v>353</v>
      </c>
      <c r="M2590" t="s">
        <v>408</v>
      </c>
      <c r="N2590" t="s">
        <v>11</v>
      </c>
      <c r="O2590" t="s">
        <v>11</v>
      </c>
      <c r="P2590" t="s">
        <v>0</v>
      </c>
      <c r="Q2590" t="s">
        <v>11</v>
      </c>
      <c r="R2590" t="s">
        <v>439</v>
      </c>
      <c r="S2590" t="s">
        <v>440</v>
      </c>
      <c r="T2590" t="s">
        <v>11</v>
      </c>
      <c r="U2590" t="s">
        <v>408</v>
      </c>
    </row>
    <row r="2591" spans="1:21" x14ac:dyDescent="0.25">
      <c r="A2591">
        <v>23323336</v>
      </c>
      <c r="B2591" t="s">
        <v>342</v>
      </c>
      <c r="C2591" t="s">
        <v>89</v>
      </c>
      <c r="D2591" t="s">
        <v>12</v>
      </c>
      <c r="E2591" t="s">
        <v>627</v>
      </c>
      <c r="F2591" t="s">
        <v>16</v>
      </c>
      <c r="G2591" t="s">
        <v>468</v>
      </c>
      <c r="H2591" t="s">
        <v>838</v>
      </c>
      <c r="I2591" t="s">
        <v>839</v>
      </c>
      <c r="J2591" t="s">
        <v>839</v>
      </c>
      <c r="K2591" t="s">
        <v>450</v>
      </c>
      <c r="L2591" t="s">
        <v>881</v>
      </c>
      <c r="M2591" t="s">
        <v>11</v>
      </c>
      <c r="N2591" t="s">
        <v>11</v>
      </c>
      <c r="O2591" t="s">
        <v>11</v>
      </c>
      <c r="P2591" t="s">
        <v>0</v>
      </c>
      <c r="Q2591" t="s">
        <v>408</v>
      </c>
      <c r="R2591" t="s">
        <v>439</v>
      </c>
      <c r="S2591" t="s">
        <v>451</v>
      </c>
      <c r="T2591" t="s">
        <v>408</v>
      </c>
      <c r="U2591" t="s">
        <v>408</v>
      </c>
    </row>
    <row r="2592" spans="1:21" x14ac:dyDescent="0.25">
      <c r="A2592">
        <v>23323337</v>
      </c>
      <c r="B2592" t="s">
        <v>342</v>
      </c>
      <c r="C2592" t="s">
        <v>89</v>
      </c>
      <c r="D2592" t="s">
        <v>18</v>
      </c>
      <c r="E2592" t="s">
        <v>627</v>
      </c>
      <c r="F2592" t="s">
        <v>16</v>
      </c>
      <c r="G2592" t="s">
        <v>468</v>
      </c>
      <c r="H2592" t="s">
        <v>761</v>
      </c>
      <c r="I2592" t="s">
        <v>762</v>
      </c>
      <c r="J2592" t="s">
        <v>763</v>
      </c>
      <c r="K2592" t="s">
        <v>764</v>
      </c>
      <c r="L2592" t="s">
        <v>869</v>
      </c>
      <c r="M2592" t="s">
        <v>408</v>
      </c>
      <c r="N2592" t="s">
        <v>11</v>
      </c>
      <c r="O2592" t="s">
        <v>11</v>
      </c>
      <c r="P2592" t="s">
        <v>0</v>
      </c>
      <c r="Q2592" t="s">
        <v>11</v>
      </c>
      <c r="R2592" t="s">
        <v>439</v>
      </c>
      <c r="S2592" t="s">
        <v>440</v>
      </c>
      <c r="T2592" t="s">
        <v>11</v>
      </c>
      <c r="U2592" t="s">
        <v>11</v>
      </c>
    </row>
    <row r="2593" spans="1:21" x14ac:dyDescent="0.25">
      <c r="A2593">
        <v>23323338</v>
      </c>
      <c r="B2593" t="s">
        <v>340</v>
      </c>
      <c r="C2593" t="s">
        <v>86</v>
      </c>
      <c r="D2593" t="s">
        <v>12</v>
      </c>
      <c r="E2593" t="s">
        <v>627</v>
      </c>
      <c r="F2593" t="s">
        <v>22</v>
      </c>
      <c r="G2593" t="s">
        <v>468</v>
      </c>
      <c r="H2593" t="s">
        <v>617</v>
      </c>
      <c r="I2593" t="s">
        <v>618</v>
      </c>
      <c r="J2593" t="s">
        <v>619</v>
      </c>
      <c r="K2593" t="s">
        <v>606</v>
      </c>
      <c r="L2593" t="s">
        <v>683</v>
      </c>
      <c r="M2593" t="s">
        <v>408</v>
      </c>
      <c r="N2593" t="s">
        <v>11</v>
      </c>
      <c r="O2593" t="s">
        <v>11</v>
      </c>
      <c r="P2593" t="s">
        <v>0</v>
      </c>
      <c r="Q2593" t="s">
        <v>408</v>
      </c>
      <c r="R2593" t="s">
        <v>439</v>
      </c>
      <c r="S2593" t="s">
        <v>451</v>
      </c>
      <c r="T2593" t="s">
        <v>11</v>
      </c>
      <c r="U2593" t="s">
        <v>408</v>
      </c>
    </row>
    <row r="2594" spans="1:21" x14ac:dyDescent="0.25">
      <c r="A2594">
        <v>23323339</v>
      </c>
      <c r="B2594" t="s">
        <v>342</v>
      </c>
      <c r="C2594" t="s">
        <v>89</v>
      </c>
      <c r="D2594" t="s">
        <v>12</v>
      </c>
      <c r="E2594" t="s">
        <v>627</v>
      </c>
      <c r="F2594" t="s">
        <v>16</v>
      </c>
      <c r="G2594" t="s">
        <v>369</v>
      </c>
      <c r="H2594" t="s">
        <v>884</v>
      </c>
      <c r="I2594" t="s">
        <v>883</v>
      </c>
      <c r="J2594" t="s">
        <v>882</v>
      </c>
      <c r="K2594" t="s">
        <v>450</v>
      </c>
      <c r="L2594" t="s">
        <v>881</v>
      </c>
      <c r="M2594" t="s">
        <v>11</v>
      </c>
      <c r="N2594" t="s">
        <v>11</v>
      </c>
      <c r="O2594" t="s">
        <v>11</v>
      </c>
      <c r="P2594" t="s">
        <v>0</v>
      </c>
      <c r="Q2594" t="s">
        <v>408</v>
      </c>
      <c r="R2594" t="s">
        <v>439</v>
      </c>
      <c r="S2594" t="s">
        <v>451</v>
      </c>
      <c r="T2594" t="s">
        <v>408</v>
      </c>
      <c r="U2594" t="s">
        <v>408</v>
      </c>
    </row>
    <row r="2595" spans="1:21" x14ac:dyDescent="0.25">
      <c r="A2595">
        <v>23323340</v>
      </c>
      <c r="B2595" t="s">
        <v>340</v>
      </c>
      <c r="C2595" t="s">
        <v>86</v>
      </c>
      <c r="D2595" t="s">
        <v>12</v>
      </c>
      <c r="E2595" t="s">
        <v>627</v>
      </c>
      <c r="F2595" t="s">
        <v>16</v>
      </c>
      <c r="G2595" t="s">
        <v>468</v>
      </c>
      <c r="H2595" t="s">
        <v>447</v>
      </c>
      <c r="I2595" t="s">
        <v>448</v>
      </c>
      <c r="J2595" t="s">
        <v>449</v>
      </c>
      <c r="K2595" t="s">
        <v>450</v>
      </c>
      <c r="L2595" t="s">
        <v>673</v>
      </c>
      <c r="M2595" t="s">
        <v>408</v>
      </c>
      <c r="N2595" t="s">
        <v>11</v>
      </c>
      <c r="O2595" t="s">
        <v>11</v>
      </c>
      <c r="P2595" t="s">
        <v>0</v>
      </c>
      <c r="Q2595" t="s">
        <v>408</v>
      </c>
      <c r="R2595" t="s">
        <v>439</v>
      </c>
      <c r="S2595" t="s">
        <v>451</v>
      </c>
      <c r="T2595" t="s">
        <v>11</v>
      </c>
      <c r="U2595" t="s">
        <v>408</v>
      </c>
    </row>
    <row r="2596" spans="1:21" x14ac:dyDescent="0.25">
      <c r="A2596">
        <v>23323341</v>
      </c>
      <c r="B2596" t="s">
        <v>340</v>
      </c>
      <c r="C2596" t="s">
        <v>86</v>
      </c>
      <c r="D2596" t="s">
        <v>18</v>
      </c>
      <c r="E2596" t="s">
        <v>627</v>
      </c>
      <c r="F2596" t="s">
        <v>16</v>
      </c>
      <c r="G2596" t="s">
        <v>468</v>
      </c>
      <c r="H2596" t="s">
        <v>447</v>
      </c>
      <c r="I2596" t="s">
        <v>448</v>
      </c>
      <c r="J2596" t="s">
        <v>449</v>
      </c>
      <c r="K2596" t="s">
        <v>450</v>
      </c>
      <c r="L2596" t="s">
        <v>679</v>
      </c>
      <c r="M2596" t="s">
        <v>408</v>
      </c>
      <c r="N2596" t="s">
        <v>11</v>
      </c>
      <c r="O2596" t="s">
        <v>11</v>
      </c>
      <c r="P2596" t="s">
        <v>0</v>
      </c>
      <c r="Q2596" t="s">
        <v>408</v>
      </c>
      <c r="R2596" t="s">
        <v>439</v>
      </c>
      <c r="S2596" t="s">
        <v>451</v>
      </c>
      <c r="T2596" t="s">
        <v>11</v>
      </c>
      <c r="U2596" t="s">
        <v>408</v>
      </c>
    </row>
    <row r="2597" spans="1:21" x14ac:dyDescent="0.25">
      <c r="A2597">
        <v>23323345</v>
      </c>
      <c r="B2597" t="s">
        <v>342</v>
      </c>
      <c r="C2597" t="s">
        <v>89</v>
      </c>
      <c r="D2597" t="s">
        <v>12</v>
      </c>
      <c r="E2597" t="s">
        <v>627</v>
      </c>
      <c r="F2597" t="s">
        <v>175</v>
      </c>
      <c r="G2597" t="s">
        <v>468</v>
      </c>
      <c r="H2597" t="s">
        <v>838</v>
      </c>
      <c r="I2597" t="s">
        <v>839</v>
      </c>
      <c r="J2597" t="s">
        <v>839</v>
      </c>
      <c r="K2597" t="s">
        <v>450</v>
      </c>
      <c r="L2597" t="s">
        <v>881</v>
      </c>
      <c r="M2597" t="s">
        <v>11</v>
      </c>
      <c r="N2597" t="s">
        <v>11</v>
      </c>
      <c r="O2597" t="s">
        <v>11</v>
      </c>
      <c r="P2597" t="s">
        <v>0</v>
      </c>
      <c r="Q2597" t="s">
        <v>408</v>
      </c>
      <c r="R2597" t="s">
        <v>439</v>
      </c>
      <c r="S2597" t="s">
        <v>451</v>
      </c>
      <c r="T2597" t="s">
        <v>408</v>
      </c>
      <c r="U2597" t="s">
        <v>408</v>
      </c>
    </row>
    <row r="2598" spans="1:21" x14ac:dyDescent="0.25">
      <c r="A2598">
        <v>23323347</v>
      </c>
      <c r="B2598" t="s">
        <v>342</v>
      </c>
      <c r="C2598" t="s">
        <v>89</v>
      </c>
      <c r="D2598" t="s">
        <v>12</v>
      </c>
      <c r="E2598" t="s">
        <v>627</v>
      </c>
      <c r="F2598" t="s">
        <v>16</v>
      </c>
      <c r="G2598" t="s">
        <v>369</v>
      </c>
      <c r="H2598" t="s">
        <v>884</v>
      </c>
      <c r="I2598" t="s">
        <v>883</v>
      </c>
      <c r="J2598" t="s">
        <v>882</v>
      </c>
      <c r="K2598" t="s">
        <v>450</v>
      </c>
      <c r="L2598" t="s">
        <v>881</v>
      </c>
      <c r="M2598" t="s">
        <v>11</v>
      </c>
      <c r="N2598" t="s">
        <v>11</v>
      </c>
      <c r="O2598" t="s">
        <v>11</v>
      </c>
      <c r="P2598" t="s">
        <v>0</v>
      </c>
      <c r="Q2598" t="s">
        <v>408</v>
      </c>
      <c r="R2598" t="s">
        <v>439</v>
      </c>
      <c r="S2598" t="s">
        <v>451</v>
      </c>
      <c r="T2598" t="s">
        <v>408</v>
      </c>
      <c r="U2598" t="s">
        <v>408</v>
      </c>
    </row>
    <row r="2599" spans="1:21" x14ac:dyDescent="0.25">
      <c r="A2599">
        <v>23323349</v>
      </c>
      <c r="B2599" t="s">
        <v>340</v>
      </c>
      <c r="C2599" t="s">
        <v>86</v>
      </c>
      <c r="D2599" t="s">
        <v>12</v>
      </c>
      <c r="E2599" t="s">
        <v>628</v>
      </c>
      <c r="F2599" t="s">
        <v>25</v>
      </c>
      <c r="G2599" t="s">
        <v>468</v>
      </c>
      <c r="H2599" t="s">
        <v>447</v>
      </c>
      <c r="I2599" t="s">
        <v>448</v>
      </c>
      <c r="J2599" t="s">
        <v>449</v>
      </c>
      <c r="K2599" t="s">
        <v>450</v>
      </c>
      <c r="L2599" t="s">
        <v>673</v>
      </c>
      <c r="M2599" t="s">
        <v>408</v>
      </c>
      <c r="N2599" t="s">
        <v>11</v>
      </c>
      <c r="O2599" t="s">
        <v>11</v>
      </c>
      <c r="P2599" t="s">
        <v>0</v>
      </c>
      <c r="Q2599" t="s">
        <v>408</v>
      </c>
      <c r="R2599" t="s">
        <v>439</v>
      </c>
      <c r="S2599" t="s">
        <v>451</v>
      </c>
      <c r="T2599" t="s">
        <v>11</v>
      </c>
      <c r="U2599" t="s">
        <v>408</v>
      </c>
    </row>
    <row r="2600" spans="1:21" x14ac:dyDescent="0.25">
      <c r="A2600">
        <v>23323351</v>
      </c>
      <c r="B2600" t="s">
        <v>340</v>
      </c>
      <c r="C2600" t="s">
        <v>86</v>
      </c>
      <c r="D2600" t="s">
        <v>12</v>
      </c>
      <c r="E2600" t="s">
        <v>627</v>
      </c>
      <c r="F2600" t="s">
        <v>81</v>
      </c>
      <c r="G2600" t="s">
        <v>369</v>
      </c>
      <c r="H2600" t="s">
        <v>447</v>
      </c>
      <c r="I2600" t="s">
        <v>448</v>
      </c>
      <c r="J2600" t="s">
        <v>449</v>
      </c>
      <c r="K2600" t="s">
        <v>450</v>
      </c>
      <c r="L2600" t="s">
        <v>673</v>
      </c>
      <c r="M2600" t="s">
        <v>408</v>
      </c>
      <c r="N2600" t="s">
        <v>11</v>
      </c>
      <c r="O2600" t="s">
        <v>11</v>
      </c>
      <c r="P2600" t="s">
        <v>0</v>
      </c>
      <c r="Q2600" t="s">
        <v>408</v>
      </c>
      <c r="R2600" t="s">
        <v>439</v>
      </c>
      <c r="S2600" t="s">
        <v>451</v>
      </c>
      <c r="T2600" t="s">
        <v>11</v>
      </c>
      <c r="U2600" t="s">
        <v>408</v>
      </c>
    </row>
    <row r="2601" spans="1:21" x14ac:dyDescent="0.25">
      <c r="A2601">
        <v>23323352</v>
      </c>
      <c r="B2601" t="s">
        <v>342</v>
      </c>
      <c r="C2601" t="s">
        <v>89</v>
      </c>
      <c r="D2601" t="s">
        <v>12</v>
      </c>
      <c r="E2601" t="s">
        <v>627</v>
      </c>
      <c r="F2601" t="s">
        <v>22</v>
      </c>
      <c r="G2601" t="s">
        <v>369</v>
      </c>
      <c r="H2601" t="s">
        <v>786</v>
      </c>
      <c r="I2601" t="s">
        <v>787</v>
      </c>
      <c r="J2601" t="s">
        <v>788</v>
      </c>
      <c r="K2601" t="s">
        <v>789</v>
      </c>
      <c r="L2601" t="s">
        <v>897</v>
      </c>
      <c r="M2601" t="s">
        <v>408</v>
      </c>
      <c r="N2601" t="s">
        <v>11</v>
      </c>
      <c r="O2601" t="s">
        <v>11</v>
      </c>
      <c r="P2601" t="s">
        <v>0</v>
      </c>
      <c r="Q2601" t="s">
        <v>408</v>
      </c>
      <c r="R2601" t="s">
        <v>439</v>
      </c>
      <c r="S2601" t="s">
        <v>440</v>
      </c>
      <c r="T2601" t="s">
        <v>11</v>
      </c>
      <c r="U2601" t="s">
        <v>408</v>
      </c>
    </row>
    <row r="2602" spans="1:21" x14ac:dyDescent="0.25">
      <c r="A2602">
        <v>23323353</v>
      </c>
      <c r="B2602" t="s">
        <v>342</v>
      </c>
      <c r="C2602" t="s">
        <v>89</v>
      </c>
      <c r="D2602" t="s">
        <v>12</v>
      </c>
      <c r="E2602" t="s">
        <v>627</v>
      </c>
      <c r="F2602" t="s">
        <v>16</v>
      </c>
      <c r="G2602" t="s">
        <v>369</v>
      </c>
      <c r="H2602" t="s">
        <v>786</v>
      </c>
      <c r="I2602" t="s">
        <v>787</v>
      </c>
      <c r="J2602" t="s">
        <v>788</v>
      </c>
      <c r="K2602" t="s">
        <v>789</v>
      </c>
      <c r="L2602" t="s">
        <v>897</v>
      </c>
      <c r="M2602" t="s">
        <v>408</v>
      </c>
      <c r="N2602" t="s">
        <v>11</v>
      </c>
      <c r="O2602" t="s">
        <v>11</v>
      </c>
      <c r="P2602" t="s">
        <v>0</v>
      </c>
      <c r="Q2602" t="s">
        <v>408</v>
      </c>
      <c r="R2602" t="s">
        <v>439</v>
      </c>
      <c r="S2602" t="s">
        <v>440</v>
      </c>
      <c r="T2602" t="s">
        <v>11</v>
      </c>
      <c r="U2602" t="s">
        <v>408</v>
      </c>
    </row>
    <row r="2603" spans="1:21" x14ac:dyDescent="0.25">
      <c r="A2603">
        <v>23323355</v>
      </c>
      <c r="B2603" t="s">
        <v>342</v>
      </c>
      <c r="C2603" t="s">
        <v>33</v>
      </c>
      <c r="D2603" t="s">
        <v>12</v>
      </c>
      <c r="E2603" t="s">
        <v>658</v>
      </c>
      <c r="F2603" t="s">
        <v>155</v>
      </c>
      <c r="G2603" t="s">
        <v>369</v>
      </c>
      <c r="H2603" t="s">
        <v>924</v>
      </c>
      <c r="I2603" t="s">
        <v>923</v>
      </c>
      <c r="J2603" t="s">
        <v>922</v>
      </c>
      <c r="K2603" t="s">
        <v>606</v>
      </c>
      <c r="L2603" t="s">
        <v>921</v>
      </c>
      <c r="M2603" t="s">
        <v>11</v>
      </c>
      <c r="N2603" t="s">
        <v>408</v>
      </c>
      <c r="O2603" t="s">
        <v>408</v>
      </c>
      <c r="P2603" t="s">
        <v>0</v>
      </c>
      <c r="Q2603" t="s">
        <v>408</v>
      </c>
      <c r="R2603" t="s">
        <v>439</v>
      </c>
      <c r="S2603" t="s">
        <v>440</v>
      </c>
      <c r="T2603" t="s">
        <v>408</v>
      </c>
      <c r="U2603" t="s">
        <v>408</v>
      </c>
    </row>
    <row r="2604" spans="1:21" x14ac:dyDescent="0.25">
      <c r="A2604">
        <v>20910754</v>
      </c>
      <c r="B2604" t="s">
        <v>340</v>
      </c>
      <c r="C2604" t="s">
        <v>26</v>
      </c>
      <c r="D2604" t="s">
        <v>18</v>
      </c>
      <c r="E2604" t="s">
        <v>601</v>
      </c>
      <c r="F2604" t="s">
        <v>47</v>
      </c>
      <c r="G2604" t="s">
        <v>468</v>
      </c>
      <c r="H2604" t="s">
        <v>447</v>
      </c>
      <c r="I2604" t="s">
        <v>448</v>
      </c>
      <c r="J2604" t="s">
        <v>449</v>
      </c>
      <c r="K2604" t="s">
        <v>450</v>
      </c>
      <c r="L2604" t="s">
        <v>367</v>
      </c>
      <c r="M2604" t="s">
        <v>408</v>
      </c>
      <c r="N2604" t="s">
        <v>408</v>
      </c>
      <c r="O2604" t="s">
        <v>11</v>
      </c>
      <c r="P2604" t="s">
        <v>2</v>
      </c>
      <c r="Q2604" t="s">
        <v>408</v>
      </c>
      <c r="R2604" t="s">
        <v>439</v>
      </c>
      <c r="S2604" t="s">
        <v>451</v>
      </c>
      <c r="T2604" t="s">
        <v>408</v>
      </c>
      <c r="U2604" t="s">
        <v>408</v>
      </c>
    </row>
    <row r="2605" spans="1:21" x14ac:dyDescent="0.25">
      <c r="A2605">
        <v>23323356</v>
      </c>
      <c r="B2605" t="s">
        <v>340</v>
      </c>
      <c r="C2605" t="s">
        <v>86</v>
      </c>
      <c r="D2605" t="s">
        <v>18</v>
      </c>
      <c r="E2605" t="s">
        <v>628</v>
      </c>
      <c r="F2605" t="s">
        <v>20</v>
      </c>
      <c r="G2605" t="s">
        <v>468</v>
      </c>
      <c r="H2605" t="s">
        <v>761</v>
      </c>
      <c r="I2605" t="s">
        <v>762</v>
      </c>
      <c r="J2605" t="s">
        <v>763</v>
      </c>
      <c r="K2605" t="s">
        <v>764</v>
      </c>
      <c r="L2605" t="s">
        <v>858</v>
      </c>
      <c r="M2605" t="s">
        <v>408</v>
      </c>
      <c r="N2605" t="s">
        <v>11</v>
      </c>
      <c r="O2605" t="s">
        <v>11</v>
      </c>
      <c r="P2605" t="s">
        <v>2</v>
      </c>
      <c r="Q2605" t="s">
        <v>11</v>
      </c>
      <c r="R2605" t="s">
        <v>439</v>
      </c>
      <c r="S2605" t="s">
        <v>440</v>
      </c>
      <c r="T2605" t="s">
        <v>11</v>
      </c>
      <c r="U2605" t="s">
        <v>11</v>
      </c>
    </row>
    <row r="2606" spans="1:21" x14ac:dyDescent="0.25">
      <c r="A2606">
        <v>23323357</v>
      </c>
      <c r="B2606" t="s">
        <v>340</v>
      </c>
      <c r="C2606" t="s">
        <v>86</v>
      </c>
      <c r="D2606" t="s">
        <v>18</v>
      </c>
      <c r="E2606" t="s">
        <v>628</v>
      </c>
      <c r="F2606" t="s">
        <v>20</v>
      </c>
      <c r="G2606" t="s">
        <v>468</v>
      </c>
      <c r="H2606" t="s">
        <v>761</v>
      </c>
      <c r="I2606" t="s">
        <v>762</v>
      </c>
      <c r="J2606" t="s">
        <v>763</v>
      </c>
      <c r="K2606" t="s">
        <v>764</v>
      </c>
      <c r="L2606" t="s">
        <v>858</v>
      </c>
      <c r="M2606" t="s">
        <v>408</v>
      </c>
      <c r="N2606" t="s">
        <v>11</v>
      </c>
      <c r="O2606" t="s">
        <v>11</v>
      </c>
      <c r="P2606" t="s">
        <v>2</v>
      </c>
      <c r="Q2606" t="s">
        <v>11</v>
      </c>
      <c r="R2606" t="s">
        <v>439</v>
      </c>
      <c r="S2606" t="s">
        <v>440</v>
      </c>
      <c r="T2606" t="s">
        <v>11</v>
      </c>
      <c r="U2606" t="s">
        <v>11</v>
      </c>
    </row>
    <row r="2607" spans="1:21" x14ac:dyDescent="0.25">
      <c r="A2607">
        <v>23323358</v>
      </c>
      <c r="B2607" t="s">
        <v>342</v>
      </c>
      <c r="C2607" t="s">
        <v>89</v>
      </c>
      <c r="D2607" t="s">
        <v>18</v>
      </c>
      <c r="E2607" t="s">
        <v>628</v>
      </c>
      <c r="F2607" t="s">
        <v>20</v>
      </c>
      <c r="G2607" t="s">
        <v>369</v>
      </c>
      <c r="H2607" t="s">
        <v>907</v>
      </c>
      <c r="I2607" t="s">
        <v>912</v>
      </c>
      <c r="J2607" t="s">
        <v>911</v>
      </c>
      <c r="K2607" t="s">
        <v>910</v>
      </c>
      <c r="L2607" t="s">
        <v>909</v>
      </c>
      <c r="M2607" t="s">
        <v>11</v>
      </c>
      <c r="N2607" t="s">
        <v>11</v>
      </c>
      <c r="O2607" t="s">
        <v>408</v>
      </c>
      <c r="P2607" t="s">
        <v>2</v>
      </c>
      <c r="Q2607" t="s">
        <v>408</v>
      </c>
      <c r="R2607" t="s">
        <v>439</v>
      </c>
      <c r="S2607" t="s">
        <v>440</v>
      </c>
      <c r="T2607" t="s">
        <v>408</v>
      </c>
      <c r="U2607" t="s">
        <v>408</v>
      </c>
    </row>
    <row r="2608" spans="1:21" x14ac:dyDescent="0.25">
      <c r="A2608">
        <v>23323359</v>
      </c>
      <c r="B2608" t="s">
        <v>342</v>
      </c>
      <c r="C2608" t="s">
        <v>89</v>
      </c>
      <c r="D2608" t="s">
        <v>12</v>
      </c>
      <c r="E2608" t="s">
        <v>627</v>
      </c>
      <c r="F2608" t="s">
        <v>22</v>
      </c>
      <c r="G2608" t="s">
        <v>369</v>
      </c>
      <c r="H2608" t="s">
        <v>906</v>
      </c>
      <c r="I2608" t="s">
        <v>905</v>
      </c>
      <c r="J2608" t="s">
        <v>904</v>
      </c>
      <c r="K2608" t="s">
        <v>764</v>
      </c>
      <c r="L2608" t="s">
        <v>5</v>
      </c>
      <c r="M2608" t="s">
        <v>408</v>
      </c>
      <c r="N2608" t="s">
        <v>11</v>
      </c>
      <c r="O2608" t="s">
        <v>11</v>
      </c>
      <c r="P2608" t="s">
        <v>2</v>
      </c>
      <c r="Q2608" t="s">
        <v>408</v>
      </c>
      <c r="R2608" t="s">
        <v>439</v>
      </c>
      <c r="S2608" t="s">
        <v>451</v>
      </c>
      <c r="T2608" t="s">
        <v>11</v>
      </c>
      <c r="U2608" t="s">
        <v>408</v>
      </c>
    </row>
    <row r="2609" spans="1:21" x14ac:dyDescent="0.25">
      <c r="A2609">
        <v>23323360</v>
      </c>
      <c r="B2609" t="s">
        <v>342</v>
      </c>
      <c r="C2609" t="s">
        <v>89</v>
      </c>
      <c r="D2609" t="s">
        <v>12</v>
      </c>
      <c r="E2609" t="s">
        <v>627</v>
      </c>
      <c r="F2609" t="s">
        <v>21</v>
      </c>
      <c r="G2609" t="s">
        <v>369</v>
      </c>
      <c r="H2609" t="s">
        <v>884</v>
      </c>
      <c r="I2609" t="s">
        <v>883</v>
      </c>
      <c r="J2609" t="s">
        <v>882</v>
      </c>
      <c r="K2609" t="s">
        <v>450</v>
      </c>
      <c r="L2609" t="s">
        <v>881</v>
      </c>
      <c r="M2609" t="s">
        <v>11</v>
      </c>
      <c r="N2609" t="s">
        <v>11</v>
      </c>
      <c r="O2609" t="s">
        <v>11</v>
      </c>
      <c r="P2609" t="s">
        <v>2</v>
      </c>
      <c r="Q2609" t="s">
        <v>408</v>
      </c>
      <c r="R2609" t="s">
        <v>439</v>
      </c>
      <c r="S2609" t="s">
        <v>451</v>
      </c>
      <c r="T2609" t="s">
        <v>408</v>
      </c>
      <c r="U2609" t="s">
        <v>408</v>
      </c>
    </row>
    <row r="2610" spans="1:21" x14ac:dyDescent="0.25">
      <c r="A2610">
        <v>23323361</v>
      </c>
      <c r="B2610" t="s">
        <v>342</v>
      </c>
      <c r="C2610" t="s">
        <v>89</v>
      </c>
      <c r="D2610" t="s">
        <v>18</v>
      </c>
      <c r="E2610" t="s">
        <v>628</v>
      </c>
      <c r="F2610" t="s">
        <v>20</v>
      </c>
      <c r="G2610" t="s">
        <v>369</v>
      </c>
      <c r="H2610" t="s">
        <v>715</v>
      </c>
      <c r="I2610" t="s">
        <v>716</v>
      </c>
      <c r="J2610" t="s">
        <v>717</v>
      </c>
      <c r="K2610" t="s">
        <v>438</v>
      </c>
      <c r="L2610" t="s">
        <v>907</v>
      </c>
      <c r="M2610" t="s">
        <v>11</v>
      </c>
      <c r="N2610" t="s">
        <v>11</v>
      </c>
      <c r="O2610" t="s">
        <v>408</v>
      </c>
      <c r="P2610" t="s">
        <v>2</v>
      </c>
      <c r="Q2610" t="s">
        <v>408</v>
      </c>
      <c r="R2610" t="s">
        <v>439</v>
      </c>
      <c r="S2610" t="s">
        <v>440</v>
      </c>
      <c r="T2610" t="s">
        <v>408</v>
      </c>
      <c r="U2610" t="s">
        <v>408</v>
      </c>
    </row>
    <row r="2611" spans="1:21" x14ac:dyDescent="0.25">
      <c r="A2611">
        <v>23323362</v>
      </c>
      <c r="B2611" t="s">
        <v>342</v>
      </c>
      <c r="C2611" t="s">
        <v>89</v>
      </c>
      <c r="D2611" t="s">
        <v>18</v>
      </c>
      <c r="E2611" t="s">
        <v>628</v>
      </c>
      <c r="F2611" t="s">
        <v>20</v>
      </c>
      <c r="G2611" t="s">
        <v>369</v>
      </c>
      <c r="H2611" t="s">
        <v>820</v>
      </c>
      <c r="I2611" t="s">
        <v>821</v>
      </c>
      <c r="J2611" t="s">
        <v>822</v>
      </c>
      <c r="K2611" t="s">
        <v>701</v>
      </c>
      <c r="L2611" t="s">
        <v>908</v>
      </c>
      <c r="M2611" t="s">
        <v>408</v>
      </c>
      <c r="N2611" t="s">
        <v>11</v>
      </c>
      <c r="O2611" t="s">
        <v>408</v>
      </c>
      <c r="P2611" t="s">
        <v>2</v>
      </c>
      <c r="Q2611" t="s">
        <v>408</v>
      </c>
      <c r="R2611" t="s">
        <v>439</v>
      </c>
      <c r="S2611" t="s">
        <v>451</v>
      </c>
      <c r="T2611" t="s">
        <v>11</v>
      </c>
      <c r="U2611" t="s">
        <v>408</v>
      </c>
    </row>
    <row r="2612" spans="1:21" x14ac:dyDescent="0.25">
      <c r="A2612">
        <v>23323363</v>
      </c>
      <c r="B2612" t="s">
        <v>340</v>
      </c>
      <c r="C2612" t="s">
        <v>86</v>
      </c>
      <c r="D2612" t="s">
        <v>12</v>
      </c>
      <c r="E2612" t="s">
        <v>628</v>
      </c>
      <c r="F2612" t="s">
        <v>20</v>
      </c>
      <c r="G2612" t="s">
        <v>468</v>
      </c>
      <c r="H2612" t="s">
        <v>761</v>
      </c>
      <c r="I2612" t="s">
        <v>762</v>
      </c>
      <c r="J2612" t="s">
        <v>763</v>
      </c>
      <c r="K2612" t="s">
        <v>764</v>
      </c>
      <c r="L2612" t="s">
        <v>869</v>
      </c>
      <c r="M2612" t="s">
        <v>408</v>
      </c>
      <c r="N2612" t="s">
        <v>11</v>
      </c>
      <c r="O2612" t="s">
        <v>11</v>
      </c>
      <c r="P2612" t="s">
        <v>2</v>
      </c>
      <c r="Q2612" t="s">
        <v>11</v>
      </c>
      <c r="R2612" t="s">
        <v>439</v>
      </c>
      <c r="S2612" t="s">
        <v>440</v>
      </c>
      <c r="T2612" t="s">
        <v>11</v>
      </c>
      <c r="U2612" t="s">
        <v>11</v>
      </c>
    </row>
    <row r="2613" spans="1:21" x14ac:dyDescent="0.25">
      <c r="A2613">
        <v>23323364</v>
      </c>
      <c r="B2613" t="s">
        <v>342</v>
      </c>
      <c r="C2613" t="s">
        <v>89</v>
      </c>
      <c r="D2613" t="s">
        <v>18</v>
      </c>
      <c r="E2613" t="s">
        <v>628</v>
      </c>
      <c r="F2613" t="s">
        <v>20</v>
      </c>
      <c r="G2613" t="s">
        <v>369</v>
      </c>
      <c r="H2613" t="s">
        <v>914</v>
      </c>
      <c r="I2613" t="s">
        <v>939</v>
      </c>
      <c r="J2613" t="s">
        <v>938</v>
      </c>
      <c r="K2613" t="s">
        <v>764</v>
      </c>
      <c r="L2613" t="s">
        <v>937</v>
      </c>
      <c r="M2613" t="s">
        <v>408</v>
      </c>
      <c r="N2613" t="s">
        <v>11</v>
      </c>
      <c r="O2613" t="s">
        <v>408</v>
      </c>
      <c r="P2613" t="s">
        <v>2</v>
      </c>
      <c r="Q2613" t="s">
        <v>408</v>
      </c>
      <c r="R2613" t="s">
        <v>439</v>
      </c>
      <c r="S2613" t="s">
        <v>451</v>
      </c>
      <c r="T2613" t="s">
        <v>11</v>
      </c>
      <c r="U2613" t="s">
        <v>408</v>
      </c>
    </row>
    <row r="2614" spans="1:21" x14ac:dyDescent="0.25">
      <c r="A2614">
        <v>23323365</v>
      </c>
      <c r="B2614" t="s">
        <v>342</v>
      </c>
      <c r="C2614" t="s">
        <v>89</v>
      </c>
      <c r="D2614" t="s">
        <v>18</v>
      </c>
      <c r="E2614" t="s">
        <v>627</v>
      </c>
      <c r="F2614" t="s">
        <v>21</v>
      </c>
      <c r="G2614" t="s">
        <v>468</v>
      </c>
      <c r="H2614" t="s">
        <v>820</v>
      </c>
      <c r="I2614" t="s">
        <v>821</v>
      </c>
      <c r="J2614" t="s">
        <v>822</v>
      </c>
      <c r="K2614" t="s">
        <v>701</v>
      </c>
      <c r="L2614" t="s">
        <v>793</v>
      </c>
      <c r="M2614" t="s">
        <v>11</v>
      </c>
      <c r="N2614" t="s">
        <v>11</v>
      </c>
      <c r="O2614" t="s">
        <v>11</v>
      </c>
      <c r="P2614" t="s">
        <v>2</v>
      </c>
      <c r="Q2614" t="s">
        <v>408</v>
      </c>
      <c r="R2614" t="s">
        <v>439</v>
      </c>
      <c r="S2614" t="s">
        <v>451</v>
      </c>
      <c r="T2614" t="s">
        <v>408</v>
      </c>
      <c r="U2614" t="s">
        <v>408</v>
      </c>
    </row>
    <row r="2615" spans="1:21" x14ac:dyDescent="0.25">
      <c r="A2615">
        <v>23323366</v>
      </c>
      <c r="B2615" t="s">
        <v>342</v>
      </c>
      <c r="C2615" t="s">
        <v>89</v>
      </c>
      <c r="D2615" t="s">
        <v>18</v>
      </c>
      <c r="E2615" t="s">
        <v>628</v>
      </c>
      <c r="F2615" t="s">
        <v>20</v>
      </c>
      <c r="G2615" t="s">
        <v>369</v>
      </c>
      <c r="H2615" t="s">
        <v>924</v>
      </c>
      <c r="I2615" t="s">
        <v>923</v>
      </c>
      <c r="J2615" t="s">
        <v>922</v>
      </c>
      <c r="K2615" t="s">
        <v>606</v>
      </c>
      <c r="L2615" t="s">
        <v>921</v>
      </c>
      <c r="M2615" t="s">
        <v>11</v>
      </c>
      <c r="N2615" t="s">
        <v>11</v>
      </c>
      <c r="O2615" t="s">
        <v>408</v>
      </c>
      <c r="P2615" t="s">
        <v>2</v>
      </c>
      <c r="Q2615" t="s">
        <v>408</v>
      </c>
      <c r="R2615" t="s">
        <v>439</v>
      </c>
      <c r="S2615" t="s">
        <v>440</v>
      </c>
      <c r="T2615" t="s">
        <v>408</v>
      </c>
      <c r="U2615" t="s">
        <v>408</v>
      </c>
    </row>
    <row r="2616" spans="1:21" x14ac:dyDescent="0.25">
      <c r="A2616">
        <v>23323368</v>
      </c>
      <c r="B2616" t="s">
        <v>342</v>
      </c>
      <c r="C2616" t="s">
        <v>89</v>
      </c>
      <c r="D2616" t="s">
        <v>18</v>
      </c>
      <c r="E2616" t="s">
        <v>628</v>
      </c>
      <c r="F2616" t="s">
        <v>25</v>
      </c>
      <c r="G2616" t="s">
        <v>369</v>
      </c>
      <c r="H2616" t="s">
        <v>924</v>
      </c>
      <c r="I2616" t="s">
        <v>923</v>
      </c>
      <c r="J2616" t="s">
        <v>922</v>
      </c>
      <c r="K2616" t="s">
        <v>606</v>
      </c>
      <c r="L2616" t="s">
        <v>921</v>
      </c>
      <c r="M2616" t="s">
        <v>11</v>
      </c>
      <c r="N2616" t="s">
        <v>11</v>
      </c>
      <c r="O2616" t="s">
        <v>408</v>
      </c>
      <c r="P2616" t="s">
        <v>2</v>
      </c>
      <c r="Q2616" t="s">
        <v>408</v>
      </c>
      <c r="R2616" t="s">
        <v>439</v>
      </c>
      <c r="S2616" t="s">
        <v>440</v>
      </c>
      <c r="T2616" t="s">
        <v>408</v>
      </c>
      <c r="U2616" t="s">
        <v>408</v>
      </c>
    </row>
    <row r="2617" spans="1:21" x14ac:dyDescent="0.25">
      <c r="A2617">
        <v>23323369</v>
      </c>
      <c r="B2617" t="s">
        <v>342</v>
      </c>
      <c r="C2617" t="s">
        <v>89</v>
      </c>
      <c r="D2617" t="s">
        <v>18</v>
      </c>
      <c r="E2617" t="s">
        <v>628</v>
      </c>
      <c r="F2617" t="s">
        <v>25</v>
      </c>
      <c r="G2617" t="s">
        <v>369</v>
      </c>
      <c r="H2617" t="s">
        <v>924</v>
      </c>
      <c r="I2617" t="s">
        <v>923</v>
      </c>
      <c r="J2617" t="s">
        <v>922</v>
      </c>
      <c r="K2617" t="s">
        <v>606</v>
      </c>
      <c r="L2617" t="s">
        <v>921</v>
      </c>
      <c r="M2617" t="s">
        <v>11</v>
      </c>
      <c r="N2617" t="s">
        <v>11</v>
      </c>
      <c r="O2617" t="s">
        <v>408</v>
      </c>
      <c r="P2617" t="s">
        <v>2</v>
      </c>
      <c r="Q2617" t="s">
        <v>408</v>
      </c>
      <c r="R2617" t="s">
        <v>439</v>
      </c>
      <c r="S2617" t="s">
        <v>440</v>
      </c>
      <c r="T2617" t="s">
        <v>408</v>
      </c>
      <c r="U2617" t="s">
        <v>408</v>
      </c>
    </row>
    <row r="2618" spans="1:21" x14ac:dyDescent="0.25">
      <c r="A2618">
        <v>23323370</v>
      </c>
      <c r="B2618" t="s">
        <v>342</v>
      </c>
      <c r="C2618" t="s">
        <v>89</v>
      </c>
      <c r="D2618" t="s">
        <v>84</v>
      </c>
      <c r="E2618" t="s">
        <v>628</v>
      </c>
      <c r="F2618" t="s">
        <v>20</v>
      </c>
      <c r="G2618" t="s">
        <v>468</v>
      </c>
      <c r="H2618" t="s">
        <v>820</v>
      </c>
      <c r="I2618" t="s">
        <v>821</v>
      </c>
      <c r="J2618" t="s">
        <v>822</v>
      </c>
      <c r="K2618" t="s">
        <v>701</v>
      </c>
      <c r="L2618" t="s">
        <v>793</v>
      </c>
      <c r="M2618" t="s">
        <v>11</v>
      </c>
      <c r="N2618" t="s">
        <v>11</v>
      </c>
      <c r="O2618" t="s">
        <v>11</v>
      </c>
      <c r="P2618" t="s">
        <v>2</v>
      </c>
      <c r="Q2618" t="s">
        <v>408</v>
      </c>
      <c r="R2618" t="s">
        <v>439</v>
      </c>
      <c r="S2618" t="s">
        <v>451</v>
      </c>
      <c r="T2618" t="s">
        <v>408</v>
      </c>
      <c r="U2618" t="s">
        <v>408</v>
      </c>
    </row>
    <row r="2619" spans="1:21" x14ac:dyDescent="0.25">
      <c r="A2619">
        <v>23323371</v>
      </c>
      <c r="B2619" t="s">
        <v>342</v>
      </c>
      <c r="C2619" t="s">
        <v>89</v>
      </c>
      <c r="D2619" t="s">
        <v>18</v>
      </c>
      <c r="E2619" t="s">
        <v>628</v>
      </c>
      <c r="F2619" t="s">
        <v>25</v>
      </c>
      <c r="G2619" t="s">
        <v>369</v>
      </c>
      <c r="H2619" t="s">
        <v>936</v>
      </c>
      <c r="I2619" t="s">
        <v>935</v>
      </c>
      <c r="J2619" t="s">
        <v>934</v>
      </c>
      <c r="K2619" t="s">
        <v>606</v>
      </c>
      <c r="L2619" t="s">
        <v>933</v>
      </c>
      <c r="M2619" t="s">
        <v>408</v>
      </c>
      <c r="N2619" t="s">
        <v>11</v>
      </c>
      <c r="O2619" t="s">
        <v>408</v>
      </c>
      <c r="P2619" t="s">
        <v>2</v>
      </c>
      <c r="Q2619" t="s">
        <v>408</v>
      </c>
      <c r="R2619" t="s">
        <v>439</v>
      </c>
      <c r="S2619" t="s">
        <v>451</v>
      </c>
      <c r="T2619" t="s">
        <v>11</v>
      </c>
      <c r="U2619" t="s">
        <v>408</v>
      </c>
    </row>
    <row r="2620" spans="1:21" x14ac:dyDescent="0.25">
      <c r="A2620">
        <v>23323372</v>
      </c>
      <c r="B2620" t="s">
        <v>340</v>
      </c>
      <c r="C2620" t="s">
        <v>86</v>
      </c>
      <c r="D2620" t="s">
        <v>18</v>
      </c>
      <c r="E2620" t="s">
        <v>628</v>
      </c>
      <c r="F2620" t="s">
        <v>20</v>
      </c>
      <c r="G2620" t="s">
        <v>369</v>
      </c>
      <c r="H2620" t="s">
        <v>858</v>
      </c>
      <c r="I2620" t="s">
        <v>852</v>
      </c>
      <c r="J2620" t="s">
        <v>857</v>
      </c>
      <c r="K2620" t="s">
        <v>856</v>
      </c>
      <c r="L2620" t="s">
        <v>353</v>
      </c>
      <c r="M2620" t="s">
        <v>408</v>
      </c>
      <c r="N2620" t="s">
        <v>11</v>
      </c>
      <c r="O2620" t="s">
        <v>11</v>
      </c>
      <c r="P2620" t="s">
        <v>2</v>
      </c>
      <c r="Q2620" t="s">
        <v>11</v>
      </c>
      <c r="R2620" t="s">
        <v>439</v>
      </c>
      <c r="S2620" t="s">
        <v>440</v>
      </c>
      <c r="T2620" t="s">
        <v>11</v>
      </c>
      <c r="U2620" t="s">
        <v>11</v>
      </c>
    </row>
    <row r="2621" spans="1:21" x14ac:dyDescent="0.25">
      <c r="A2621">
        <v>23323373</v>
      </c>
      <c r="B2621" t="s">
        <v>342</v>
      </c>
      <c r="C2621" t="s">
        <v>89</v>
      </c>
      <c r="D2621" t="s">
        <v>12</v>
      </c>
      <c r="E2621" t="s">
        <v>627</v>
      </c>
      <c r="F2621" t="s">
        <v>21</v>
      </c>
      <c r="G2621" t="s">
        <v>369</v>
      </c>
      <c r="H2621" t="s">
        <v>906</v>
      </c>
      <c r="I2621" t="s">
        <v>905</v>
      </c>
      <c r="J2621" t="s">
        <v>904</v>
      </c>
      <c r="K2621" t="s">
        <v>764</v>
      </c>
      <c r="L2621" t="s">
        <v>5</v>
      </c>
      <c r="M2621" t="s">
        <v>408</v>
      </c>
      <c r="N2621" t="s">
        <v>11</v>
      </c>
      <c r="O2621" t="s">
        <v>11</v>
      </c>
      <c r="P2621" t="s">
        <v>2</v>
      </c>
      <c r="Q2621" t="s">
        <v>408</v>
      </c>
      <c r="R2621" t="s">
        <v>439</v>
      </c>
      <c r="S2621" t="s">
        <v>451</v>
      </c>
      <c r="T2621" t="s">
        <v>11</v>
      </c>
      <c r="U2621" t="s">
        <v>408</v>
      </c>
    </row>
    <row r="2622" spans="1:21" x14ac:dyDescent="0.25">
      <c r="A2622">
        <v>23323374</v>
      </c>
      <c r="B2622" t="s">
        <v>340</v>
      </c>
      <c r="C2622" t="s">
        <v>86</v>
      </c>
      <c r="D2622" t="s">
        <v>12</v>
      </c>
      <c r="E2622" t="s">
        <v>628</v>
      </c>
      <c r="F2622" t="s">
        <v>20</v>
      </c>
      <c r="G2622" t="s">
        <v>468</v>
      </c>
      <c r="H2622" t="s">
        <v>761</v>
      </c>
      <c r="I2622" t="s">
        <v>762</v>
      </c>
      <c r="J2622" t="s">
        <v>763</v>
      </c>
      <c r="K2622" t="s">
        <v>764</v>
      </c>
      <c r="L2622" t="s">
        <v>858</v>
      </c>
      <c r="M2622" t="s">
        <v>408</v>
      </c>
      <c r="N2622" t="s">
        <v>11</v>
      </c>
      <c r="O2622" t="s">
        <v>11</v>
      </c>
      <c r="P2622" t="s">
        <v>2</v>
      </c>
      <c r="Q2622" t="s">
        <v>11</v>
      </c>
      <c r="R2622" t="s">
        <v>439</v>
      </c>
      <c r="S2622" t="s">
        <v>440</v>
      </c>
      <c r="T2622" t="s">
        <v>11</v>
      </c>
      <c r="U2622" t="s">
        <v>11</v>
      </c>
    </row>
    <row r="2623" spans="1:21" x14ac:dyDescent="0.25">
      <c r="A2623">
        <v>23323375</v>
      </c>
      <c r="B2623" t="s">
        <v>340</v>
      </c>
      <c r="C2623" t="s">
        <v>86</v>
      </c>
      <c r="D2623" t="s">
        <v>12</v>
      </c>
      <c r="E2623" t="s">
        <v>628</v>
      </c>
      <c r="F2623" t="s">
        <v>20</v>
      </c>
      <c r="G2623" t="s">
        <v>468</v>
      </c>
      <c r="H2623" t="s">
        <v>761</v>
      </c>
      <c r="I2623" t="s">
        <v>762</v>
      </c>
      <c r="J2623" t="s">
        <v>763</v>
      </c>
      <c r="K2623" t="s">
        <v>764</v>
      </c>
      <c r="L2623" t="s">
        <v>869</v>
      </c>
      <c r="M2623" t="s">
        <v>408</v>
      </c>
      <c r="N2623" t="s">
        <v>11</v>
      </c>
      <c r="O2623" t="s">
        <v>11</v>
      </c>
      <c r="P2623" t="s">
        <v>2</v>
      </c>
      <c r="Q2623" t="s">
        <v>11</v>
      </c>
      <c r="R2623" t="s">
        <v>439</v>
      </c>
      <c r="S2623" t="s">
        <v>440</v>
      </c>
      <c r="T2623" t="s">
        <v>11</v>
      </c>
      <c r="U2623" t="s">
        <v>11</v>
      </c>
    </row>
    <row r="2624" spans="1:21" x14ac:dyDescent="0.25">
      <c r="A2624">
        <v>23323377</v>
      </c>
      <c r="B2624" t="s">
        <v>342</v>
      </c>
      <c r="C2624" t="s">
        <v>89</v>
      </c>
      <c r="D2624" t="s">
        <v>18</v>
      </c>
      <c r="E2624" t="s">
        <v>628</v>
      </c>
      <c r="F2624" t="s">
        <v>20</v>
      </c>
      <c r="G2624" t="s">
        <v>369</v>
      </c>
      <c r="H2624" t="s">
        <v>906</v>
      </c>
      <c r="I2624" t="s">
        <v>905</v>
      </c>
      <c r="J2624" t="s">
        <v>904</v>
      </c>
      <c r="K2624" t="s">
        <v>764</v>
      </c>
      <c r="L2624" t="s">
        <v>5</v>
      </c>
      <c r="M2624" t="s">
        <v>408</v>
      </c>
      <c r="N2624" t="s">
        <v>11</v>
      </c>
      <c r="O2624" t="s">
        <v>11</v>
      </c>
      <c r="P2624" t="s">
        <v>2</v>
      </c>
      <c r="Q2624" t="s">
        <v>408</v>
      </c>
      <c r="R2624" t="s">
        <v>439</v>
      </c>
      <c r="S2624" t="s">
        <v>451</v>
      </c>
      <c r="T2624" t="s">
        <v>11</v>
      </c>
      <c r="U2624" t="s">
        <v>408</v>
      </c>
    </row>
    <row r="2625" spans="1:21" x14ac:dyDescent="0.25">
      <c r="A2625">
        <v>23323378</v>
      </c>
      <c r="B2625" t="s">
        <v>342</v>
      </c>
      <c r="C2625" t="s">
        <v>89</v>
      </c>
      <c r="D2625" t="s">
        <v>12</v>
      </c>
      <c r="E2625" t="s">
        <v>627</v>
      </c>
      <c r="F2625" t="s">
        <v>21</v>
      </c>
      <c r="G2625" t="s">
        <v>369</v>
      </c>
      <c r="H2625" t="s">
        <v>884</v>
      </c>
      <c r="I2625" t="s">
        <v>883</v>
      </c>
      <c r="J2625" t="s">
        <v>882</v>
      </c>
      <c r="K2625" t="s">
        <v>450</v>
      </c>
      <c r="L2625" t="s">
        <v>881</v>
      </c>
      <c r="M2625" t="s">
        <v>11</v>
      </c>
      <c r="N2625" t="s">
        <v>11</v>
      </c>
      <c r="O2625" t="s">
        <v>11</v>
      </c>
      <c r="P2625" t="s">
        <v>2</v>
      </c>
      <c r="Q2625" t="s">
        <v>408</v>
      </c>
      <c r="R2625" t="s">
        <v>439</v>
      </c>
      <c r="S2625" t="s">
        <v>451</v>
      </c>
      <c r="T2625" t="s">
        <v>408</v>
      </c>
      <c r="U2625" t="s">
        <v>408</v>
      </c>
    </row>
    <row r="2626" spans="1:21" x14ac:dyDescent="0.25">
      <c r="A2626">
        <v>23323380</v>
      </c>
      <c r="B2626" t="s">
        <v>340</v>
      </c>
      <c r="C2626" t="s">
        <v>86</v>
      </c>
      <c r="D2626" t="s">
        <v>18</v>
      </c>
      <c r="E2626" t="s">
        <v>627</v>
      </c>
      <c r="F2626" t="s">
        <v>22</v>
      </c>
      <c r="G2626" t="s">
        <v>369</v>
      </c>
      <c r="H2626" t="s">
        <v>447</v>
      </c>
      <c r="I2626" t="s">
        <v>448</v>
      </c>
      <c r="J2626" t="s">
        <v>449</v>
      </c>
      <c r="K2626" t="s">
        <v>450</v>
      </c>
      <c r="L2626" t="s">
        <v>869</v>
      </c>
      <c r="M2626" t="s">
        <v>408</v>
      </c>
      <c r="N2626" t="s">
        <v>11</v>
      </c>
      <c r="O2626" t="s">
        <v>11</v>
      </c>
      <c r="P2626" t="s">
        <v>2</v>
      </c>
      <c r="Q2626" t="s">
        <v>11</v>
      </c>
      <c r="R2626" t="s">
        <v>439</v>
      </c>
      <c r="S2626" t="s">
        <v>451</v>
      </c>
      <c r="T2626" t="s">
        <v>11</v>
      </c>
      <c r="U2626" t="s">
        <v>11</v>
      </c>
    </row>
    <row r="2627" spans="1:21" x14ac:dyDescent="0.25">
      <c r="A2627">
        <v>23323381</v>
      </c>
      <c r="B2627" t="s">
        <v>340</v>
      </c>
      <c r="C2627" t="s">
        <v>86</v>
      </c>
      <c r="D2627" t="s">
        <v>12</v>
      </c>
      <c r="E2627" t="s">
        <v>628</v>
      </c>
      <c r="F2627" t="s">
        <v>25</v>
      </c>
      <c r="G2627" t="s">
        <v>468</v>
      </c>
      <c r="H2627" t="s">
        <v>617</v>
      </c>
      <c r="I2627" t="s">
        <v>618</v>
      </c>
      <c r="J2627" t="s">
        <v>619</v>
      </c>
      <c r="K2627" t="s">
        <v>606</v>
      </c>
      <c r="L2627" t="s">
        <v>869</v>
      </c>
      <c r="M2627" t="s">
        <v>408</v>
      </c>
      <c r="N2627" t="s">
        <v>11</v>
      </c>
      <c r="O2627" t="s">
        <v>11</v>
      </c>
      <c r="P2627" t="s">
        <v>2</v>
      </c>
      <c r="Q2627" t="s">
        <v>11</v>
      </c>
      <c r="R2627" t="s">
        <v>439</v>
      </c>
      <c r="S2627" t="s">
        <v>451</v>
      </c>
      <c r="T2627" t="s">
        <v>11</v>
      </c>
      <c r="U2627" t="s">
        <v>11</v>
      </c>
    </row>
    <row r="2628" spans="1:21" x14ac:dyDescent="0.25">
      <c r="A2628">
        <v>23323382</v>
      </c>
      <c r="B2628" t="s">
        <v>342</v>
      </c>
      <c r="C2628" t="s">
        <v>89</v>
      </c>
      <c r="D2628" t="s">
        <v>18</v>
      </c>
      <c r="E2628" t="s">
        <v>628</v>
      </c>
      <c r="F2628" t="s">
        <v>20</v>
      </c>
      <c r="G2628" t="s">
        <v>468</v>
      </c>
      <c r="H2628" t="s">
        <v>820</v>
      </c>
      <c r="I2628" t="s">
        <v>821</v>
      </c>
      <c r="J2628" t="s">
        <v>822</v>
      </c>
      <c r="K2628" t="s">
        <v>701</v>
      </c>
      <c r="L2628" t="s">
        <v>876</v>
      </c>
      <c r="M2628" t="s">
        <v>11</v>
      </c>
      <c r="N2628" t="s">
        <v>11</v>
      </c>
      <c r="O2628" t="s">
        <v>408</v>
      </c>
      <c r="P2628" t="s">
        <v>2</v>
      </c>
      <c r="Q2628" t="s">
        <v>408</v>
      </c>
      <c r="R2628" t="s">
        <v>439</v>
      </c>
      <c r="S2628" t="s">
        <v>451</v>
      </c>
      <c r="T2628" t="s">
        <v>408</v>
      </c>
      <c r="U2628" t="s">
        <v>408</v>
      </c>
    </row>
    <row r="2629" spans="1:21" x14ac:dyDescent="0.25">
      <c r="A2629">
        <v>23323383</v>
      </c>
      <c r="B2629" t="s">
        <v>340</v>
      </c>
      <c r="C2629" t="s">
        <v>86</v>
      </c>
      <c r="D2629" t="s">
        <v>18</v>
      </c>
      <c r="E2629" t="s">
        <v>628</v>
      </c>
      <c r="F2629" t="s">
        <v>20</v>
      </c>
      <c r="G2629" t="s">
        <v>468</v>
      </c>
      <c r="H2629" t="s">
        <v>761</v>
      </c>
      <c r="I2629" t="s">
        <v>762</v>
      </c>
      <c r="J2629" t="s">
        <v>763</v>
      </c>
      <c r="K2629" t="s">
        <v>764</v>
      </c>
      <c r="L2629" t="s">
        <v>869</v>
      </c>
      <c r="M2629" t="s">
        <v>408</v>
      </c>
      <c r="N2629" t="s">
        <v>11</v>
      </c>
      <c r="O2629" t="s">
        <v>11</v>
      </c>
      <c r="P2629" t="s">
        <v>2</v>
      </c>
      <c r="Q2629" t="s">
        <v>11</v>
      </c>
      <c r="R2629" t="s">
        <v>439</v>
      </c>
      <c r="S2629" t="s">
        <v>440</v>
      </c>
      <c r="T2629" t="s">
        <v>11</v>
      </c>
      <c r="U2629" t="s">
        <v>11</v>
      </c>
    </row>
    <row r="2630" spans="1:21" x14ac:dyDescent="0.25">
      <c r="A2630">
        <v>23323384</v>
      </c>
      <c r="B2630" t="s">
        <v>340</v>
      </c>
      <c r="C2630" t="s">
        <v>86</v>
      </c>
      <c r="D2630" t="s">
        <v>12</v>
      </c>
      <c r="E2630" t="s">
        <v>628</v>
      </c>
      <c r="F2630" t="s">
        <v>20</v>
      </c>
      <c r="G2630" t="s">
        <v>468</v>
      </c>
      <c r="H2630" t="s">
        <v>617</v>
      </c>
      <c r="I2630" t="s">
        <v>618</v>
      </c>
      <c r="J2630" t="s">
        <v>619</v>
      </c>
      <c r="K2630" t="s">
        <v>606</v>
      </c>
      <c r="L2630" t="s">
        <v>869</v>
      </c>
      <c r="M2630" t="s">
        <v>408</v>
      </c>
      <c r="N2630" t="s">
        <v>11</v>
      </c>
      <c r="O2630" t="s">
        <v>11</v>
      </c>
      <c r="P2630" t="s">
        <v>2</v>
      </c>
      <c r="Q2630" t="s">
        <v>11</v>
      </c>
      <c r="R2630" t="s">
        <v>439</v>
      </c>
      <c r="S2630" t="s">
        <v>451</v>
      </c>
      <c r="T2630" t="s">
        <v>11</v>
      </c>
      <c r="U2630" t="s">
        <v>11</v>
      </c>
    </row>
    <row r="2631" spans="1:21" x14ac:dyDescent="0.25">
      <c r="A2631">
        <v>23323385</v>
      </c>
      <c r="B2631" t="s">
        <v>342</v>
      </c>
      <c r="C2631" t="s">
        <v>89</v>
      </c>
      <c r="D2631" t="s">
        <v>18</v>
      </c>
      <c r="E2631" t="s">
        <v>628</v>
      </c>
      <c r="F2631" t="s">
        <v>20</v>
      </c>
      <c r="G2631" t="s">
        <v>468</v>
      </c>
      <c r="H2631" t="s">
        <v>820</v>
      </c>
      <c r="I2631" t="s">
        <v>821</v>
      </c>
      <c r="J2631" t="s">
        <v>822</v>
      </c>
      <c r="K2631" t="s">
        <v>701</v>
      </c>
      <c r="L2631" t="s">
        <v>908</v>
      </c>
      <c r="M2631" t="s">
        <v>408</v>
      </c>
      <c r="N2631" t="s">
        <v>11</v>
      </c>
      <c r="O2631" t="s">
        <v>408</v>
      </c>
      <c r="P2631" t="s">
        <v>2</v>
      </c>
      <c r="Q2631" t="s">
        <v>408</v>
      </c>
      <c r="R2631" t="s">
        <v>439</v>
      </c>
      <c r="S2631" t="s">
        <v>451</v>
      </c>
      <c r="T2631" t="s">
        <v>11</v>
      </c>
      <c r="U2631" t="s">
        <v>408</v>
      </c>
    </row>
    <row r="2632" spans="1:21" x14ac:dyDescent="0.25">
      <c r="A2632">
        <v>23323386</v>
      </c>
      <c r="B2632" t="s">
        <v>340</v>
      </c>
      <c r="C2632" t="s">
        <v>86</v>
      </c>
      <c r="D2632" t="s">
        <v>12</v>
      </c>
      <c r="E2632" t="s">
        <v>627</v>
      </c>
      <c r="F2632" t="s">
        <v>21</v>
      </c>
      <c r="G2632" t="s">
        <v>468</v>
      </c>
      <c r="H2632" t="s">
        <v>761</v>
      </c>
      <c r="I2632" t="s">
        <v>762</v>
      </c>
      <c r="J2632" t="s">
        <v>763</v>
      </c>
      <c r="K2632" t="s">
        <v>764</v>
      </c>
      <c r="L2632" t="s">
        <v>869</v>
      </c>
      <c r="M2632" t="s">
        <v>408</v>
      </c>
      <c r="N2632" t="s">
        <v>11</v>
      </c>
      <c r="O2632" t="s">
        <v>11</v>
      </c>
      <c r="P2632" t="s">
        <v>2</v>
      </c>
      <c r="Q2632" t="s">
        <v>11</v>
      </c>
      <c r="R2632" t="s">
        <v>439</v>
      </c>
      <c r="S2632" t="s">
        <v>440</v>
      </c>
      <c r="T2632" t="s">
        <v>11</v>
      </c>
      <c r="U2632" t="s">
        <v>11</v>
      </c>
    </row>
    <row r="2633" spans="1:21" x14ac:dyDescent="0.25">
      <c r="A2633">
        <v>23323387</v>
      </c>
      <c r="B2633" t="s">
        <v>340</v>
      </c>
      <c r="C2633" t="s">
        <v>86</v>
      </c>
      <c r="D2633" t="s">
        <v>18</v>
      </c>
      <c r="E2633" t="s">
        <v>627</v>
      </c>
      <c r="F2633" t="s">
        <v>21</v>
      </c>
      <c r="G2633" t="s">
        <v>468</v>
      </c>
      <c r="H2633" t="s">
        <v>761</v>
      </c>
      <c r="I2633" t="s">
        <v>762</v>
      </c>
      <c r="J2633" t="s">
        <v>763</v>
      </c>
      <c r="K2633" t="s">
        <v>764</v>
      </c>
      <c r="L2633" t="s">
        <v>869</v>
      </c>
      <c r="M2633" t="s">
        <v>408</v>
      </c>
      <c r="N2633" t="s">
        <v>11</v>
      </c>
      <c r="O2633" t="s">
        <v>11</v>
      </c>
      <c r="P2633" t="s">
        <v>2</v>
      </c>
      <c r="Q2633" t="s">
        <v>11</v>
      </c>
      <c r="R2633" t="s">
        <v>439</v>
      </c>
      <c r="S2633" t="s">
        <v>440</v>
      </c>
      <c r="T2633" t="s">
        <v>11</v>
      </c>
      <c r="U2633" t="s">
        <v>11</v>
      </c>
    </row>
    <row r="2634" spans="1:21" x14ac:dyDescent="0.25">
      <c r="A2634">
        <v>23323388</v>
      </c>
      <c r="B2634" t="s">
        <v>340</v>
      </c>
      <c r="C2634" t="s">
        <v>86</v>
      </c>
      <c r="D2634" t="s">
        <v>18</v>
      </c>
      <c r="E2634" t="s">
        <v>628</v>
      </c>
      <c r="F2634" t="s">
        <v>20</v>
      </c>
      <c r="G2634" t="s">
        <v>468</v>
      </c>
      <c r="H2634" t="s">
        <v>761</v>
      </c>
      <c r="I2634" t="s">
        <v>762</v>
      </c>
      <c r="J2634" t="s">
        <v>763</v>
      </c>
      <c r="K2634" t="s">
        <v>764</v>
      </c>
      <c r="L2634" t="s">
        <v>869</v>
      </c>
      <c r="M2634" t="s">
        <v>408</v>
      </c>
      <c r="N2634" t="s">
        <v>11</v>
      </c>
      <c r="O2634" t="s">
        <v>11</v>
      </c>
      <c r="P2634" t="s">
        <v>2</v>
      </c>
      <c r="Q2634" t="s">
        <v>11</v>
      </c>
      <c r="R2634" t="s">
        <v>439</v>
      </c>
      <c r="S2634" t="s">
        <v>440</v>
      </c>
      <c r="T2634" t="s">
        <v>11</v>
      </c>
      <c r="U2634" t="s">
        <v>11</v>
      </c>
    </row>
    <row r="2635" spans="1:21" x14ac:dyDescent="0.25">
      <c r="A2635">
        <v>23323389</v>
      </c>
      <c r="B2635" t="s">
        <v>342</v>
      </c>
      <c r="C2635" t="s">
        <v>89</v>
      </c>
      <c r="D2635" t="s">
        <v>12</v>
      </c>
      <c r="E2635" t="s">
        <v>628</v>
      </c>
      <c r="F2635" t="s">
        <v>20</v>
      </c>
      <c r="G2635" t="s">
        <v>369</v>
      </c>
      <c r="H2635" t="s">
        <v>924</v>
      </c>
      <c r="I2635" t="s">
        <v>923</v>
      </c>
      <c r="J2635" t="s">
        <v>922</v>
      </c>
      <c r="K2635" t="s">
        <v>606</v>
      </c>
      <c r="L2635" t="s">
        <v>921</v>
      </c>
      <c r="M2635" t="s">
        <v>11</v>
      </c>
      <c r="N2635" t="s">
        <v>11</v>
      </c>
      <c r="O2635" t="s">
        <v>408</v>
      </c>
      <c r="P2635" t="s">
        <v>2</v>
      </c>
      <c r="Q2635" t="s">
        <v>408</v>
      </c>
      <c r="R2635" t="s">
        <v>439</v>
      </c>
      <c r="S2635" t="s">
        <v>440</v>
      </c>
      <c r="T2635" t="s">
        <v>408</v>
      </c>
      <c r="U2635" t="s">
        <v>408</v>
      </c>
    </row>
    <row r="2636" spans="1:21" x14ac:dyDescent="0.25">
      <c r="A2636">
        <v>23323390</v>
      </c>
      <c r="B2636" t="s">
        <v>342</v>
      </c>
      <c r="C2636" t="s">
        <v>89</v>
      </c>
      <c r="D2636" t="s">
        <v>12</v>
      </c>
      <c r="E2636" t="s">
        <v>627</v>
      </c>
      <c r="F2636" t="s">
        <v>22</v>
      </c>
      <c r="G2636" t="s">
        <v>369</v>
      </c>
      <c r="H2636" t="s">
        <v>924</v>
      </c>
      <c r="I2636" t="s">
        <v>923</v>
      </c>
      <c r="J2636" t="s">
        <v>922</v>
      </c>
      <c r="K2636" t="s">
        <v>606</v>
      </c>
      <c r="L2636" t="s">
        <v>921</v>
      </c>
      <c r="M2636" t="s">
        <v>11</v>
      </c>
      <c r="N2636" t="s">
        <v>11</v>
      </c>
      <c r="O2636" t="s">
        <v>408</v>
      </c>
      <c r="P2636" t="s">
        <v>2</v>
      </c>
      <c r="Q2636" t="s">
        <v>408</v>
      </c>
      <c r="R2636" t="s">
        <v>439</v>
      </c>
      <c r="S2636" t="s">
        <v>440</v>
      </c>
      <c r="T2636" t="s">
        <v>408</v>
      </c>
      <c r="U2636" t="s">
        <v>408</v>
      </c>
    </row>
    <row r="2637" spans="1:21" x14ac:dyDescent="0.25">
      <c r="A2637">
        <v>23323391</v>
      </c>
      <c r="B2637" t="s">
        <v>342</v>
      </c>
      <c r="C2637" t="s">
        <v>89</v>
      </c>
      <c r="D2637" t="s">
        <v>12</v>
      </c>
      <c r="E2637" t="s">
        <v>628</v>
      </c>
      <c r="F2637" t="s">
        <v>20</v>
      </c>
      <c r="G2637" t="s">
        <v>369</v>
      </c>
      <c r="H2637" t="s">
        <v>876</v>
      </c>
      <c r="I2637" t="s">
        <v>931</v>
      </c>
      <c r="J2637" t="s">
        <v>930</v>
      </c>
      <c r="K2637" t="s">
        <v>444</v>
      </c>
      <c r="L2637" t="s">
        <v>932</v>
      </c>
      <c r="M2637" t="s">
        <v>11</v>
      </c>
      <c r="N2637" t="s">
        <v>11</v>
      </c>
      <c r="O2637" t="s">
        <v>408</v>
      </c>
      <c r="P2637" t="s">
        <v>2</v>
      </c>
      <c r="Q2637" t="s">
        <v>408</v>
      </c>
      <c r="R2637" t="s">
        <v>439</v>
      </c>
      <c r="S2637" t="s">
        <v>440</v>
      </c>
      <c r="T2637" t="s">
        <v>408</v>
      </c>
      <c r="U2637" t="s">
        <v>408</v>
      </c>
    </row>
    <row r="2638" spans="1:21" x14ac:dyDescent="0.25">
      <c r="A2638">
        <v>23323392</v>
      </c>
      <c r="B2638" t="s">
        <v>342</v>
      </c>
      <c r="C2638" t="s">
        <v>89</v>
      </c>
      <c r="D2638" t="s">
        <v>18</v>
      </c>
      <c r="E2638" t="s">
        <v>628</v>
      </c>
      <c r="F2638" t="s">
        <v>20</v>
      </c>
      <c r="G2638" t="s">
        <v>468</v>
      </c>
      <c r="H2638" t="s">
        <v>884</v>
      </c>
      <c r="I2638" t="s">
        <v>883</v>
      </c>
      <c r="J2638" t="s">
        <v>882</v>
      </c>
      <c r="K2638" t="s">
        <v>450</v>
      </c>
      <c r="L2638" t="s">
        <v>876</v>
      </c>
      <c r="M2638" t="s">
        <v>11</v>
      </c>
      <c r="N2638" t="s">
        <v>11</v>
      </c>
      <c r="O2638" t="s">
        <v>408</v>
      </c>
      <c r="P2638" t="s">
        <v>2</v>
      </c>
      <c r="Q2638" t="s">
        <v>408</v>
      </c>
      <c r="R2638" t="s">
        <v>439</v>
      </c>
      <c r="S2638" t="s">
        <v>451</v>
      </c>
      <c r="T2638" t="s">
        <v>408</v>
      </c>
      <c r="U2638" t="s">
        <v>408</v>
      </c>
    </row>
    <row r="2639" spans="1:21" x14ac:dyDescent="0.25">
      <c r="A2639">
        <v>23323393</v>
      </c>
      <c r="B2639" t="s">
        <v>342</v>
      </c>
      <c r="C2639" t="s">
        <v>89</v>
      </c>
      <c r="D2639" t="s">
        <v>12</v>
      </c>
      <c r="E2639" t="s">
        <v>628</v>
      </c>
      <c r="F2639" t="s">
        <v>20</v>
      </c>
      <c r="G2639" t="s">
        <v>369</v>
      </c>
      <c r="H2639" t="s">
        <v>876</v>
      </c>
      <c r="I2639" t="s">
        <v>931</v>
      </c>
      <c r="J2639" t="s">
        <v>930</v>
      </c>
      <c r="K2639" t="s">
        <v>444</v>
      </c>
      <c r="L2639" t="s">
        <v>819</v>
      </c>
      <c r="M2639" t="s">
        <v>11</v>
      </c>
      <c r="N2639" t="s">
        <v>11</v>
      </c>
      <c r="O2639" t="s">
        <v>408</v>
      </c>
      <c r="P2639" t="s">
        <v>2</v>
      </c>
      <c r="Q2639" t="s">
        <v>408</v>
      </c>
      <c r="R2639" t="s">
        <v>439</v>
      </c>
      <c r="S2639" t="s">
        <v>440</v>
      </c>
      <c r="T2639" t="s">
        <v>408</v>
      </c>
      <c r="U2639" t="s">
        <v>408</v>
      </c>
    </row>
    <row r="2640" spans="1:21" x14ac:dyDescent="0.25">
      <c r="A2640">
        <v>23323394</v>
      </c>
      <c r="B2640" t="s">
        <v>342</v>
      </c>
      <c r="C2640" t="s">
        <v>89</v>
      </c>
      <c r="D2640" t="s">
        <v>12</v>
      </c>
      <c r="E2640" t="s">
        <v>628</v>
      </c>
      <c r="F2640" t="s">
        <v>20</v>
      </c>
      <c r="G2640" t="s">
        <v>369</v>
      </c>
      <c r="H2640" t="s">
        <v>924</v>
      </c>
      <c r="I2640" t="s">
        <v>923</v>
      </c>
      <c r="J2640" t="s">
        <v>922</v>
      </c>
      <c r="K2640" t="s">
        <v>606</v>
      </c>
      <c r="L2640" t="s">
        <v>921</v>
      </c>
      <c r="M2640" t="s">
        <v>11</v>
      </c>
      <c r="N2640" t="s">
        <v>11</v>
      </c>
      <c r="O2640" t="s">
        <v>408</v>
      </c>
      <c r="P2640" t="s">
        <v>2</v>
      </c>
      <c r="Q2640" t="s">
        <v>408</v>
      </c>
      <c r="R2640" t="s">
        <v>439</v>
      </c>
      <c r="S2640" t="s">
        <v>440</v>
      </c>
      <c r="T2640" t="s">
        <v>408</v>
      </c>
      <c r="U2640" t="s">
        <v>408</v>
      </c>
    </row>
    <row r="2641" spans="1:21" x14ac:dyDescent="0.25">
      <c r="A2641">
        <v>23323395</v>
      </c>
      <c r="B2641" t="s">
        <v>342</v>
      </c>
      <c r="C2641" t="s">
        <v>89</v>
      </c>
      <c r="D2641" t="s">
        <v>12</v>
      </c>
      <c r="E2641" t="s">
        <v>627</v>
      </c>
      <c r="F2641" t="s">
        <v>22</v>
      </c>
      <c r="G2641" t="s">
        <v>468</v>
      </c>
      <c r="H2641" t="s">
        <v>816</v>
      </c>
      <c r="I2641" t="s">
        <v>817</v>
      </c>
      <c r="J2641" t="s">
        <v>818</v>
      </c>
      <c r="K2641" t="s">
        <v>764</v>
      </c>
      <c r="L2641" t="s">
        <v>876</v>
      </c>
      <c r="M2641" t="s">
        <v>11</v>
      </c>
      <c r="N2641" t="s">
        <v>11</v>
      </c>
      <c r="O2641" t="s">
        <v>408</v>
      </c>
      <c r="P2641" t="s">
        <v>2</v>
      </c>
      <c r="Q2641" t="s">
        <v>408</v>
      </c>
      <c r="R2641" t="s">
        <v>439</v>
      </c>
      <c r="S2641" t="s">
        <v>451</v>
      </c>
      <c r="T2641" t="s">
        <v>408</v>
      </c>
      <c r="U2641" t="s">
        <v>408</v>
      </c>
    </row>
    <row r="2642" spans="1:21" x14ac:dyDescent="0.25">
      <c r="A2642">
        <v>23323396</v>
      </c>
      <c r="B2642" t="s">
        <v>342</v>
      </c>
      <c r="C2642" t="s">
        <v>89</v>
      </c>
      <c r="D2642" t="s">
        <v>12</v>
      </c>
      <c r="E2642" t="s">
        <v>626</v>
      </c>
      <c r="F2642" t="s">
        <v>23</v>
      </c>
      <c r="G2642" t="s">
        <v>369</v>
      </c>
      <c r="H2642" t="s">
        <v>889</v>
      </c>
      <c r="I2642" t="s">
        <v>888</v>
      </c>
      <c r="J2642" t="s">
        <v>887</v>
      </c>
      <c r="K2642" t="s">
        <v>764</v>
      </c>
      <c r="L2642" t="s">
        <v>876</v>
      </c>
      <c r="M2642" t="s">
        <v>11</v>
      </c>
      <c r="N2642" t="s">
        <v>11</v>
      </c>
      <c r="O2642" t="s">
        <v>11</v>
      </c>
      <c r="P2642" t="s">
        <v>2</v>
      </c>
      <c r="Q2642" t="s">
        <v>408</v>
      </c>
      <c r="R2642" t="s">
        <v>439</v>
      </c>
      <c r="S2642" t="s">
        <v>451</v>
      </c>
      <c r="T2642" t="s">
        <v>408</v>
      </c>
      <c r="U2642" t="s">
        <v>408</v>
      </c>
    </row>
    <row r="2643" spans="1:21" x14ac:dyDescent="0.25">
      <c r="A2643">
        <v>23323397</v>
      </c>
      <c r="B2643" t="s">
        <v>342</v>
      </c>
      <c r="C2643" t="s">
        <v>89</v>
      </c>
      <c r="D2643" t="s">
        <v>12</v>
      </c>
      <c r="E2643" t="s">
        <v>627</v>
      </c>
      <c r="F2643" t="s">
        <v>22</v>
      </c>
      <c r="G2643" t="s">
        <v>369</v>
      </c>
      <c r="H2643" t="s">
        <v>906</v>
      </c>
      <c r="I2643" t="s">
        <v>905</v>
      </c>
      <c r="J2643" t="s">
        <v>904</v>
      </c>
      <c r="K2643" t="s">
        <v>764</v>
      </c>
      <c r="L2643" t="s">
        <v>5</v>
      </c>
      <c r="M2643" t="s">
        <v>408</v>
      </c>
      <c r="N2643" t="s">
        <v>11</v>
      </c>
      <c r="O2643" t="s">
        <v>11</v>
      </c>
      <c r="P2643" t="s">
        <v>2</v>
      </c>
      <c r="Q2643" t="s">
        <v>408</v>
      </c>
      <c r="R2643" t="s">
        <v>439</v>
      </c>
      <c r="S2643" t="s">
        <v>451</v>
      </c>
      <c r="T2643" t="s">
        <v>11</v>
      </c>
      <c r="U2643" t="s">
        <v>408</v>
      </c>
    </row>
    <row r="2644" spans="1:21" x14ac:dyDescent="0.25">
      <c r="A2644">
        <v>23323398</v>
      </c>
      <c r="B2644" t="s">
        <v>340</v>
      </c>
      <c r="C2644" t="s">
        <v>86</v>
      </c>
      <c r="D2644" t="s">
        <v>12</v>
      </c>
      <c r="E2644" t="s">
        <v>627</v>
      </c>
      <c r="F2644" t="s">
        <v>22</v>
      </c>
      <c r="G2644" t="s">
        <v>369</v>
      </c>
      <c r="H2644" t="s">
        <v>858</v>
      </c>
      <c r="I2644" t="s">
        <v>852</v>
      </c>
      <c r="J2644" t="s">
        <v>857</v>
      </c>
      <c r="K2644" t="s">
        <v>856</v>
      </c>
      <c r="L2644" t="s">
        <v>353</v>
      </c>
      <c r="M2644" t="s">
        <v>408</v>
      </c>
      <c r="N2644" t="s">
        <v>11</v>
      </c>
      <c r="O2644" t="s">
        <v>11</v>
      </c>
      <c r="P2644" t="s">
        <v>2</v>
      </c>
      <c r="Q2644" t="s">
        <v>11</v>
      </c>
      <c r="R2644" t="s">
        <v>439</v>
      </c>
      <c r="S2644" t="s">
        <v>440</v>
      </c>
      <c r="T2644" t="s">
        <v>11</v>
      </c>
      <c r="U2644" t="s">
        <v>11</v>
      </c>
    </row>
    <row r="2645" spans="1:21" x14ac:dyDescent="0.25">
      <c r="A2645">
        <v>23323400</v>
      </c>
      <c r="B2645" t="s">
        <v>340</v>
      </c>
      <c r="C2645" t="s">
        <v>86</v>
      </c>
      <c r="D2645" t="s">
        <v>12</v>
      </c>
      <c r="E2645" t="s">
        <v>628</v>
      </c>
      <c r="F2645" t="s">
        <v>20</v>
      </c>
      <c r="G2645" t="s">
        <v>468</v>
      </c>
      <c r="H2645" t="s">
        <v>761</v>
      </c>
      <c r="I2645" t="s">
        <v>762</v>
      </c>
      <c r="J2645" t="s">
        <v>763</v>
      </c>
      <c r="K2645" t="s">
        <v>764</v>
      </c>
      <c r="L2645" t="s">
        <v>869</v>
      </c>
      <c r="M2645" t="s">
        <v>408</v>
      </c>
      <c r="N2645" t="s">
        <v>11</v>
      </c>
      <c r="O2645" t="s">
        <v>11</v>
      </c>
      <c r="P2645" t="s">
        <v>2</v>
      </c>
      <c r="Q2645" t="s">
        <v>11</v>
      </c>
      <c r="R2645" t="s">
        <v>439</v>
      </c>
      <c r="S2645" t="s">
        <v>440</v>
      </c>
      <c r="T2645" t="s">
        <v>11</v>
      </c>
      <c r="U2645" t="s">
        <v>11</v>
      </c>
    </row>
    <row r="2646" spans="1:21" x14ac:dyDescent="0.25">
      <c r="A2646">
        <v>23323401</v>
      </c>
      <c r="B2646" t="s">
        <v>340</v>
      </c>
      <c r="C2646" t="s">
        <v>86</v>
      </c>
      <c r="D2646" t="s">
        <v>18</v>
      </c>
      <c r="E2646" t="s">
        <v>628</v>
      </c>
      <c r="F2646" t="s">
        <v>20</v>
      </c>
      <c r="G2646" t="s">
        <v>468</v>
      </c>
      <c r="H2646" t="s">
        <v>761</v>
      </c>
      <c r="I2646" t="s">
        <v>762</v>
      </c>
      <c r="J2646" t="s">
        <v>763</v>
      </c>
      <c r="K2646" t="s">
        <v>764</v>
      </c>
      <c r="L2646" t="s">
        <v>869</v>
      </c>
      <c r="M2646" t="s">
        <v>408</v>
      </c>
      <c r="N2646" t="s">
        <v>11</v>
      </c>
      <c r="O2646" t="s">
        <v>11</v>
      </c>
      <c r="P2646" t="s">
        <v>2</v>
      </c>
      <c r="Q2646" t="s">
        <v>11</v>
      </c>
      <c r="R2646" t="s">
        <v>439</v>
      </c>
      <c r="S2646" t="s">
        <v>440</v>
      </c>
      <c r="T2646" t="s">
        <v>11</v>
      </c>
      <c r="U2646" t="s">
        <v>11</v>
      </c>
    </row>
    <row r="2647" spans="1:21" x14ac:dyDescent="0.25">
      <c r="A2647">
        <v>23323402</v>
      </c>
      <c r="B2647" t="s">
        <v>340</v>
      </c>
      <c r="C2647" t="s">
        <v>86</v>
      </c>
      <c r="D2647" t="s">
        <v>12</v>
      </c>
      <c r="E2647" t="s">
        <v>628</v>
      </c>
      <c r="F2647" t="s">
        <v>25</v>
      </c>
      <c r="G2647" t="s">
        <v>468</v>
      </c>
      <c r="H2647" t="s">
        <v>761</v>
      </c>
      <c r="I2647" t="s">
        <v>762</v>
      </c>
      <c r="J2647" t="s">
        <v>763</v>
      </c>
      <c r="K2647" t="s">
        <v>764</v>
      </c>
      <c r="L2647" t="s">
        <v>869</v>
      </c>
      <c r="M2647" t="s">
        <v>408</v>
      </c>
      <c r="N2647" t="s">
        <v>11</v>
      </c>
      <c r="O2647" t="s">
        <v>11</v>
      </c>
      <c r="P2647" t="s">
        <v>2</v>
      </c>
      <c r="Q2647" t="s">
        <v>11</v>
      </c>
      <c r="R2647" t="s">
        <v>439</v>
      </c>
      <c r="S2647" t="s">
        <v>440</v>
      </c>
      <c r="T2647" t="s">
        <v>11</v>
      </c>
      <c r="U2647" t="s">
        <v>11</v>
      </c>
    </row>
    <row r="2648" spans="1:21" x14ac:dyDescent="0.25">
      <c r="A2648">
        <v>23323403</v>
      </c>
      <c r="B2648" t="s">
        <v>340</v>
      </c>
      <c r="C2648" t="s">
        <v>86</v>
      </c>
      <c r="D2648" t="s">
        <v>12</v>
      </c>
      <c r="E2648" t="s">
        <v>628</v>
      </c>
      <c r="F2648" t="s">
        <v>20</v>
      </c>
      <c r="G2648" t="s">
        <v>468</v>
      </c>
      <c r="H2648" t="s">
        <v>761</v>
      </c>
      <c r="I2648" t="s">
        <v>762</v>
      </c>
      <c r="J2648" t="s">
        <v>763</v>
      </c>
      <c r="K2648" t="s">
        <v>764</v>
      </c>
      <c r="L2648" t="s">
        <v>869</v>
      </c>
      <c r="M2648" t="s">
        <v>408</v>
      </c>
      <c r="N2648" t="s">
        <v>11</v>
      </c>
      <c r="O2648" t="s">
        <v>11</v>
      </c>
      <c r="P2648" t="s">
        <v>2</v>
      </c>
      <c r="Q2648" t="s">
        <v>11</v>
      </c>
      <c r="R2648" t="s">
        <v>439</v>
      </c>
      <c r="S2648" t="s">
        <v>440</v>
      </c>
      <c r="T2648" t="s">
        <v>11</v>
      </c>
      <c r="U2648" t="s">
        <v>11</v>
      </c>
    </row>
    <row r="2649" spans="1:21" x14ac:dyDescent="0.25">
      <c r="A2649">
        <v>23323404</v>
      </c>
      <c r="B2649" t="s">
        <v>342</v>
      </c>
      <c r="C2649" t="s">
        <v>89</v>
      </c>
      <c r="D2649" t="s">
        <v>12</v>
      </c>
      <c r="E2649" t="s">
        <v>627</v>
      </c>
      <c r="F2649" t="s">
        <v>22</v>
      </c>
      <c r="G2649" t="s">
        <v>369</v>
      </c>
      <c r="H2649" t="s">
        <v>884</v>
      </c>
      <c r="I2649" t="s">
        <v>883</v>
      </c>
      <c r="J2649" t="s">
        <v>882</v>
      </c>
      <c r="K2649" t="s">
        <v>450</v>
      </c>
      <c r="L2649" t="s">
        <v>881</v>
      </c>
      <c r="M2649" t="s">
        <v>11</v>
      </c>
      <c r="N2649" t="s">
        <v>11</v>
      </c>
      <c r="O2649" t="s">
        <v>11</v>
      </c>
      <c r="P2649" t="s">
        <v>2</v>
      </c>
      <c r="Q2649" t="s">
        <v>408</v>
      </c>
      <c r="R2649" t="s">
        <v>439</v>
      </c>
      <c r="S2649" t="s">
        <v>451</v>
      </c>
      <c r="T2649" t="s">
        <v>408</v>
      </c>
      <c r="U2649" t="s">
        <v>408</v>
      </c>
    </row>
    <row r="2650" spans="1:21" x14ac:dyDescent="0.25">
      <c r="A2650">
        <v>23323405</v>
      </c>
      <c r="B2650" t="s">
        <v>342</v>
      </c>
      <c r="C2650" t="s">
        <v>89</v>
      </c>
      <c r="D2650" t="s">
        <v>18</v>
      </c>
      <c r="E2650" t="s">
        <v>628</v>
      </c>
      <c r="F2650" t="s">
        <v>20</v>
      </c>
      <c r="G2650" t="s">
        <v>369</v>
      </c>
      <c r="H2650" t="s">
        <v>906</v>
      </c>
      <c r="I2650" t="s">
        <v>905</v>
      </c>
      <c r="J2650" t="s">
        <v>904</v>
      </c>
      <c r="K2650" t="s">
        <v>764</v>
      </c>
      <c r="L2650" t="s">
        <v>5</v>
      </c>
      <c r="M2650" t="s">
        <v>408</v>
      </c>
      <c r="N2650" t="s">
        <v>11</v>
      </c>
      <c r="O2650" t="s">
        <v>11</v>
      </c>
      <c r="P2650" t="s">
        <v>2</v>
      </c>
      <c r="Q2650" t="s">
        <v>408</v>
      </c>
      <c r="R2650" t="s">
        <v>439</v>
      </c>
      <c r="S2650" t="s">
        <v>451</v>
      </c>
      <c r="T2650" t="s">
        <v>11</v>
      </c>
      <c r="U2650" t="s">
        <v>408</v>
      </c>
    </row>
    <row r="2651" spans="1:21" x14ac:dyDescent="0.25">
      <c r="A2651">
        <v>23323406</v>
      </c>
      <c r="B2651" t="s">
        <v>340</v>
      </c>
      <c r="C2651" t="s">
        <v>15</v>
      </c>
      <c r="D2651" t="s">
        <v>18</v>
      </c>
      <c r="E2651" t="s">
        <v>628</v>
      </c>
      <c r="F2651" t="s">
        <v>20</v>
      </c>
      <c r="G2651" t="s">
        <v>468</v>
      </c>
      <c r="H2651" t="s">
        <v>5</v>
      </c>
      <c r="I2651" t="s">
        <v>436</v>
      </c>
      <c r="J2651" t="s">
        <v>446</v>
      </c>
      <c r="K2651" t="s">
        <v>438</v>
      </c>
      <c r="L2651" t="s">
        <v>2</v>
      </c>
      <c r="M2651" t="s">
        <v>408</v>
      </c>
      <c r="N2651" t="s">
        <v>11</v>
      </c>
      <c r="O2651" t="s">
        <v>11</v>
      </c>
      <c r="P2651" t="s">
        <v>2</v>
      </c>
      <c r="Q2651" t="s">
        <v>408</v>
      </c>
      <c r="R2651" t="s">
        <v>439</v>
      </c>
      <c r="S2651" t="s">
        <v>440</v>
      </c>
      <c r="T2651" t="s">
        <v>11</v>
      </c>
      <c r="U2651" t="s">
        <v>408</v>
      </c>
    </row>
    <row r="2652" spans="1:21" x14ac:dyDescent="0.25">
      <c r="A2652">
        <v>23323407</v>
      </c>
      <c r="B2652" t="s">
        <v>340</v>
      </c>
      <c r="C2652" t="s">
        <v>86</v>
      </c>
      <c r="D2652" t="s">
        <v>12</v>
      </c>
      <c r="E2652" t="s">
        <v>628</v>
      </c>
      <c r="F2652" t="s">
        <v>20</v>
      </c>
      <c r="G2652" t="s">
        <v>468</v>
      </c>
      <c r="H2652" t="s">
        <v>447</v>
      </c>
      <c r="I2652" t="s">
        <v>448</v>
      </c>
      <c r="J2652" t="s">
        <v>449</v>
      </c>
      <c r="K2652" t="s">
        <v>450</v>
      </c>
      <c r="L2652" t="s">
        <v>869</v>
      </c>
      <c r="M2652" t="s">
        <v>408</v>
      </c>
      <c r="N2652" t="s">
        <v>11</v>
      </c>
      <c r="O2652" t="s">
        <v>11</v>
      </c>
      <c r="P2652" t="s">
        <v>2</v>
      </c>
      <c r="Q2652" t="s">
        <v>11</v>
      </c>
      <c r="R2652" t="s">
        <v>439</v>
      </c>
      <c r="S2652" t="s">
        <v>451</v>
      </c>
      <c r="T2652" t="s">
        <v>11</v>
      </c>
      <c r="U2652" t="s">
        <v>11</v>
      </c>
    </row>
    <row r="2653" spans="1:21" x14ac:dyDescent="0.25">
      <c r="A2653">
        <v>23323409</v>
      </c>
      <c r="B2653" t="s">
        <v>342</v>
      </c>
      <c r="C2653" t="s">
        <v>89</v>
      </c>
      <c r="D2653" t="s">
        <v>12</v>
      </c>
      <c r="E2653" t="s">
        <v>628</v>
      </c>
      <c r="F2653" t="s">
        <v>20</v>
      </c>
      <c r="G2653" t="s">
        <v>369</v>
      </c>
      <c r="H2653" t="s">
        <v>876</v>
      </c>
      <c r="I2653" t="s">
        <v>931</v>
      </c>
      <c r="J2653" t="s">
        <v>930</v>
      </c>
      <c r="K2653" t="s">
        <v>444</v>
      </c>
      <c r="L2653" t="s">
        <v>819</v>
      </c>
      <c r="M2653" t="s">
        <v>11</v>
      </c>
      <c r="N2653" t="s">
        <v>11</v>
      </c>
      <c r="O2653" t="s">
        <v>408</v>
      </c>
      <c r="P2653" t="s">
        <v>2</v>
      </c>
      <c r="Q2653" t="s">
        <v>408</v>
      </c>
      <c r="R2653" t="s">
        <v>439</v>
      </c>
      <c r="S2653" t="s">
        <v>440</v>
      </c>
      <c r="T2653" t="s">
        <v>408</v>
      </c>
      <c r="U2653" t="s">
        <v>408</v>
      </c>
    </row>
    <row r="2654" spans="1:21" x14ac:dyDescent="0.25">
      <c r="A2654">
        <v>23323410</v>
      </c>
      <c r="B2654" t="s">
        <v>342</v>
      </c>
      <c r="C2654" t="s">
        <v>89</v>
      </c>
      <c r="D2654" t="s">
        <v>12</v>
      </c>
      <c r="E2654" t="s">
        <v>628</v>
      </c>
      <c r="F2654" t="s">
        <v>25</v>
      </c>
      <c r="G2654" t="s">
        <v>369</v>
      </c>
      <c r="H2654" t="s">
        <v>715</v>
      </c>
      <c r="I2654" t="s">
        <v>716</v>
      </c>
      <c r="J2654" t="s">
        <v>717</v>
      </c>
      <c r="K2654" t="s">
        <v>438</v>
      </c>
      <c r="L2654" t="s">
        <v>907</v>
      </c>
      <c r="M2654" t="s">
        <v>11</v>
      </c>
      <c r="N2654" t="s">
        <v>11</v>
      </c>
      <c r="O2654" t="s">
        <v>408</v>
      </c>
      <c r="P2654" t="s">
        <v>2</v>
      </c>
      <c r="Q2654" t="s">
        <v>408</v>
      </c>
      <c r="R2654" t="s">
        <v>439</v>
      </c>
      <c r="S2654" t="s">
        <v>440</v>
      </c>
      <c r="T2654" t="s">
        <v>408</v>
      </c>
      <c r="U2654" t="s">
        <v>408</v>
      </c>
    </row>
    <row r="2655" spans="1:21" x14ac:dyDescent="0.25">
      <c r="A2655">
        <v>23323411</v>
      </c>
      <c r="B2655" t="s">
        <v>342</v>
      </c>
      <c r="C2655" t="s">
        <v>89</v>
      </c>
      <c r="D2655" t="s">
        <v>18</v>
      </c>
      <c r="E2655" t="s">
        <v>628</v>
      </c>
      <c r="F2655" t="s">
        <v>20</v>
      </c>
      <c r="G2655" t="s">
        <v>468</v>
      </c>
      <c r="H2655" t="s">
        <v>715</v>
      </c>
      <c r="I2655" t="s">
        <v>716</v>
      </c>
      <c r="J2655" t="s">
        <v>717</v>
      </c>
      <c r="K2655" t="s">
        <v>438</v>
      </c>
      <c r="L2655" t="s">
        <v>907</v>
      </c>
      <c r="M2655" t="s">
        <v>11</v>
      </c>
      <c r="N2655" t="s">
        <v>11</v>
      </c>
      <c r="O2655" t="s">
        <v>408</v>
      </c>
      <c r="P2655" t="s">
        <v>2</v>
      </c>
      <c r="Q2655" t="s">
        <v>408</v>
      </c>
      <c r="R2655" t="s">
        <v>439</v>
      </c>
      <c r="S2655" t="s">
        <v>440</v>
      </c>
      <c r="T2655" t="s">
        <v>408</v>
      </c>
      <c r="U2655" t="s">
        <v>408</v>
      </c>
    </row>
    <row r="2656" spans="1:21" x14ac:dyDescent="0.25">
      <c r="A2656">
        <v>23323412</v>
      </c>
      <c r="B2656" t="s">
        <v>342</v>
      </c>
      <c r="C2656" t="s">
        <v>89</v>
      </c>
      <c r="D2656" t="s">
        <v>12</v>
      </c>
      <c r="E2656" t="s">
        <v>752</v>
      </c>
      <c r="F2656" t="s">
        <v>562</v>
      </c>
      <c r="G2656" t="s">
        <v>468</v>
      </c>
      <c r="H2656" t="s">
        <v>5</v>
      </c>
      <c r="I2656" t="s">
        <v>436</v>
      </c>
      <c r="J2656" t="s">
        <v>446</v>
      </c>
      <c r="K2656" t="s">
        <v>438</v>
      </c>
      <c r="L2656" t="s">
        <v>2</v>
      </c>
      <c r="M2656" t="s">
        <v>408</v>
      </c>
      <c r="N2656" t="s">
        <v>11</v>
      </c>
      <c r="O2656" t="s">
        <v>11</v>
      </c>
      <c r="P2656" t="s">
        <v>2</v>
      </c>
      <c r="Q2656" t="s">
        <v>408</v>
      </c>
      <c r="R2656" t="s">
        <v>439</v>
      </c>
      <c r="S2656" t="s">
        <v>440</v>
      </c>
      <c r="T2656" t="s">
        <v>11</v>
      </c>
      <c r="U2656" t="s">
        <v>408</v>
      </c>
    </row>
    <row r="2657" spans="1:21" x14ac:dyDescent="0.25">
      <c r="A2657">
        <v>23323413</v>
      </c>
      <c r="B2657" t="s">
        <v>342</v>
      </c>
      <c r="C2657" t="s">
        <v>89</v>
      </c>
      <c r="D2657" t="s">
        <v>12</v>
      </c>
      <c r="E2657" t="s">
        <v>628</v>
      </c>
      <c r="F2657" t="s">
        <v>25</v>
      </c>
      <c r="G2657" t="s">
        <v>369</v>
      </c>
      <c r="H2657" t="s">
        <v>884</v>
      </c>
      <c r="I2657" t="s">
        <v>883</v>
      </c>
      <c r="J2657" t="s">
        <v>882</v>
      </c>
      <c r="K2657" t="s">
        <v>450</v>
      </c>
      <c r="L2657" t="s">
        <v>881</v>
      </c>
      <c r="M2657" t="s">
        <v>11</v>
      </c>
      <c r="N2657" t="s">
        <v>11</v>
      </c>
      <c r="O2657" t="s">
        <v>11</v>
      </c>
      <c r="P2657" t="s">
        <v>2</v>
      </c>
      <c r="Q2657" t="s">
        <v>408</v>
      </c>
      <c r="R2657" t="s">
        <v>439</v>
      </c>
      <c r="S2657" t="s">
        <v>451</v>
      </c>
      <c r="T2657" t="s">
        <v>408</v>
      </c>
      <c r="U2657" t="s">
        <v>408</v>
      </c>
    </row>
    <row r="2658" spans="1:21" x14ac:dyDescent="0.25">
      <c r="A2658">
        <v>23323414</v>
      </c>
      <c r="B2658" t="s">
        <v>340</v>
      </c>
      <c r="C2658" t="s">
        <v>86</v>
      </c>
      <c r="D2658" t="s">
        <v>12</v>
      </c>
      <c r="E2658" t="s">
        <v>627</v>
      </c>
      <c r="F2658" t="s">
        <v>22</v>
      </c>
      <c r="G2658" t="s">
        <v>468</v>
      </c>
      <c r="H2658" t="s">
        <v>447</v>
      </c>
      <c r="I2658" t="s">
        <v>448</v>
      </c>
      <c r="J2658" t="s">
        <v>449</v>
      </c>
      <c r="K2658" t="s">
        <v>450</v>
      </c>
      <c r="L2658" t="s">
        <v>869</v>
      </c>
      <c r="M2658" t="s">
        <v>408</v>
      </c>
      <c r="N2658" t="s">
        <v>11</v>
      </c>
      <c r="O2658" t="s">
        <v>11</v>
      </c>
      <c r="P2658" t="s">
        <v>2</v>
      </c>
      <c r="Q2658" t="s">
        <v>11</v>
      </c>
      <c r="R2658" t="s">
        <v>439</v>
      </c>
      <c r="S2658" t="s">
        <v>451</v>
      </c>
      <c r="T2658" t="s">
        <v>11</v>
      </c>
      <c r="U2658" t="s">
        <v>11</v>
      </c>
    </row>
    <row r="2659" spans="1:21" x14ac:dyDescent="0.25">
      <c r="A2659">
        <v>23323415</v>
      </c>
      <c r="B2659" t="s">
        <v>340</v>
      </c>
      <c r="C2659" t="s">
        <v>86</v>
      </c>
      <c r="D2659" t="s">
        <v>12</v>
      </c>
      <c r="E2659" t="s">
        <v>628</v>
      </c>
      <c r="F2659" t="s">
        <v>20</v>
      </c>
      <c r="G2659" t="s">
        <v>468</v>
      </c>
      <c r="H2659" t="s">
        <v>761</v>
      </c>
      <c r="I2659" t="s">
        <v>762</v>
      </c>
      <c r="J2659" t="s">
        <v>763</v>
      </c>
      <c r="K2659" t="s">
        <v>764</v>
      </c>
      <c r="L2659" t="s">
        <v>869</v>
      </c>
      <c r="M2659" t="s">
        <v>408</v>
      </c>
      <c r="N2659" t="s">
        <v>11</v>
      </c>
      <c r="O2659" t="s">
        <v>11</v>
      </c>
      <c r="P2659" t="s">
        <v>2</v>
      </c>
      <c r="Q2659" t="s">
        <v>11</v>
      </c>
      <c r="R2659" t="s">
        <v>439</v>
      </c>
      <c r="S2659" t="s">
        <v>440</v>
      </c>
      <c r="T2659" t="s">
        <v>11</v>
      </c>
      <c r="U2659" t="s">
        <v>11</v>
      </c>
    </row>
    <row r="2660" spans="1:21" x14ac:dyDescent="0.25">
      <c r="A2660">
        <v>23323416</v>
      </c>
      <c r="B2660" t="s">
        <v>342</v>
      </c>
      <c r="C2660" t="s">
        <v>89</v>
      </c>
      <c r="D2660" t="s">
        <v>12</v>
      </c>
      <c r="E2660" t="s">
        <v>628</v>
      </c>
      <c r="F2660" t="s">
        <v>20</v>
      </c>
      <c r="G2660" t="s">
        <v>369</v>
      </c>
      <c r="H2660" t="s">
        <v>906</v>
      </c>
      <c r="I2660" t="s">
        <v>905</v>
      </c>
      <c r="J2660" t="s">
        <v>904</v>
      </c>
      <c r="K2660" t="s">
        <v>764</v>
      </c>
      <c r="L2660" t="s">
        <v>5</v>
      </c>
      <c r="M2660" t="s">
        <v>408</v>
      </c>
      <c r="N2660" t="s">
        <v>11</v>
      </c>
      <c r="O2660" t="s">
        <v>11</v>
      </c>
      <c r="P2660" t="s">
        <v>2</v>
      </c>
      <c r="Q2660" t="s">
        <v>408</v>
      </c>
      <c r="R2660" t="s">
        <v>439</v>
      </c>
      <c r="S2660" t="s">
        <v>451</v>
      </c>
      <c r="T2660" t="s">
        <v>11</v>
      </c>
      <c r="U2660" t="s">
        <v>408</v>
      </c>
    </row>
    <row r="2661" spans="1:21" x14ac:dyDescent="0.25">
      <c r="A2661">
        <v>23323419</v>
      </c>
      <c r="B2661" t="s">
        <v>340</v>
      </c>
      <c r="C2661" t="s">
        <v>86</v>
      </c>
      <c r="D2661" t="s">
        <v>12</v>
      </c>
      <c r="E2661" t="s">
        <v>628</v>
      </c>
      <c r="F2661" t="s">
        <v>20</v>
      </c>
      <c r="G2661" t="s">
        <v>468</v>
      </c>
      <c r="H2661" t="s">
        <v>761</v>
      </c>
      <c r="I2661" t="s">
        <v>762</v>
      </c>
      <c r="J2661" t="s">
        <v>763</v>
      </c>
      <c r="K2661" t="s">
        <v>764</v>
      </c>
      <c r="L2661" t="s">
        <v>869</v>
      </c>
      <c r="M2661" t="s">
        <v>408</v>
      </c>
      <c r="N2661" t="s">
        <v>11</v>
      </c>
      <c r="O2661" t="s">
        <v>11</v>
      </c>
      <c r="P2661" t="s">
        <v>2</v>
      </c>
      <c r="Q2661" t="s">
        <v>11</v>
      </c>
      <c r="R2661" t="s">
        <v>439</v>
      </c>
      <c r="S2661" t="s">
        <v>440</v>
      </c>
      <c r="T2661" t="s">
        <v>11</v>
      </c>
      <c r="U2661" t="s">
        <v>11</v>
      </c>
    </row>
    <row r="2662" spans="1:21" x14ac:dyDescent="0.25">
      <c r="A2662">
        <v>23323420</v>
      </c>
      <c r="B2662" t="s">
        <v>340</v>
      </c>
      <c r="C2662" t="s">
        <v>86</v>
      </c>
      <c r="D2662" t="s">
        <v>12</v>
      </c>
      <c r="E2662" t="s">
        <v>628</v>
      </c>
      <c r="F2662" t="s">
        <v>20</v>
      </c>
      <c r="G2662" t="s">
        <v>468</v>
      </c>
      <c r="H2662" t="s">
        <v>761</v>
      </c>
      <c r="I2662" t="s">
        <v>762</v>
      </c>
      <c r="J2662" t="s">
        <v>763</v>
      </c>
      <c r="K2662" t="s">
        <v>764</v>
      </c>
      <c r="L2662" t="s">
        <v>869</v>
      </c>
      <c r="M2662" t="s">
        <v>408</v>
      </c>
      <c r="N2662" t="s">
        <v>11</v>
      </c>
      <c r="O2662" t="s">
        <v>11</v>
      </c>
      <c r="P2662" t="s">
        <v>2</v>
      </c>
      <c r="Q2662" t="s">
        <v>11</v>
      </c>
      <c r="R2662" t="s">
        <v>439</v>
      </c>
      <c r="S2662" t="s">
        <v>440</v>
      </c>
      <c r="T2662" t="s">
        <v>11</v>
      </c>
      <c r="U2662" t="s">
        <v>11</v>
      </c>
    </row>
    <row r="2663" spans="1:21" x14ac:dyDescent="0.25">
      <c r="A2663">
        <v>23323422</v>
      </c>
      <c r="B2663" t="s">
        <v>342</v>
      </c>
      <c r="C2663" t="s">
        <v>89</v>
      </c>
      <c r="D2663" t="s">
        <v>18</v>
      </c>
      <c r="E2663" t="s">
        <v>628</v>
      </c>
      <c r="F2663" t="s">
        <v>20</v>
      </c>
      <c r="G2663" t="s">
        <v>369</v>
      </c>
      <c r="H2663" t="s">
        <v>924</v>
      </c>
      <c r="I2663" t="s">
        <v>923</v>
      </c>
      <c r="J2663" t="s">
        <v>922</v>
      </c>
      <c r="K2663" t="s">
        <v>606</v>
      </c>
      <c r="L2663" t="s">
        <v>921</v>
      </c>
      <c r="M2663" t="s">
        <v>11</v>
      </c>
      <c r="N2663" t="s">
        <v>11</v>
      </c>
      <c r="O2663" t="s">
        <v>408</v>
      </c>
      <c r="P2663" t="s">
        <v>2</v>
      </c>
      <c r="Q2663" t="s">
        <v>408</v>
      </c>
      <c r="R2663" t="s">
        <v>439</v>
      </c>
      <c r="S2663" t="s">
        <v>440</v>
      </c>
      <c r="T2663" t="s">
        <v>408</v>
      </c>
      <c r="U2663" t="s">
        <v>408</v>
      </c>
    </row>
    <row r="2664" spans="1:21" x14ac:dyDescent="0.25">
      <c r="A2664">
        <v>23323423</v>
      </c>
      <c r="B2664" t="s">
        <v>342</v>
      </c>
      <c r="C2664" t="s">
        <v>89</v>
      </c>
      <c r="D2664" t="s">
        <v>24</v>
      </c>
      <c r="E2664" t="s">
        <v>752</v>
      </c>
      <c r="F2664" t="s">
        <v>562</v>
      </c>
      <c r="G2664" t="s">
        <v>369</v>
      </c>
      <c r="H2664" t="s">
        <v>906</v>
      </c>
      <c r="I2664" t="s">
        <v>905</v>
      </c>
      <c r="J2664" t="s">
        <v>904</v>
      </c>
      <c r="K2664" t="s">
        <v>764</v>
      </c>
      <c r="L2664" t="s">
        <v>5</v>
      </c>
      <c r="M2664" t="s">
        <v>408</v>
      </c>
      <c r="N2664" t="s">
        <v>11</v>
      </c>
      <c r="O2664" t="s">
        <v>11</v>
      </c>
      <c r="P2664" t="s">
        <v>2</v>
      </c>
      <c r="Q2664" t="s">
        <v>408</v>
      </c>
      <c r="R2664" t="s">
        <v>439</v>
      </c>
      <c r="S2664" t="s">
        <v>451</v>
      </c>
      <c r="T2664" t="s">
        <v>11</v>
      </c>
      <c r="U2664" t="s">
        <v>408</v>
      </c>
    </row>
    <row r="2665" spans="1:21" x14ac:dyDescent="0.25">
      <c r="A2665">
        <v>23323424</v>
      </c>
      <c r="B2665" t="s">
        <v>342</v>
      </c>
      <c r="C2665" t="s">
        <v>89</v>
      </c>
      <c r="D2665" t="s">
        <v>12</v>
      </c>
      <c r="E2665" t="s">
        <v>628</v>
      </c>
      <c r="F2665" t="s">
        <v>20</v>
      </c>
      <c r="G2665" t="s">
        <v>468</v>
      </c>
      <c r="H2665" t="s">
        <v>820</v>
      </c>
      <c r="I2665" t="s">
        <v>821</v>
      </c>
      <c r="J2665" t="s">
        <v>822</v>
      </c>
      <c r="K2665" t="s">
        <v>701</v>
      </c>
      <c r="L2665" t="s">
        <v>929</v>
      </c>
      <c r="M2665" t="s">
        <v>11</v>
      </c>
      <c r="N2665" t="s">
        <v>11</v>
      </c>
      <c r="O2665" t="s">
        <v>408</v>
      </c>
      <c r="P2665" t="s">
        <v>2</v>
      </c>
      <c r="Q2665" t="s">
        <v>408</v>
      </c>
      <c r="R2665" t="s">
        <v>439</v>
      </c>
      <c r="S2665" t="s">
        <v>451</v>
      </c>
      <c r="T2665" t="s">
        <v>408</v>
      </c>
      <c r="U2665" t="s">
        <v>408</v>
      </c>
    </row>
    <row r="2666" spans="1:21" x14ac:dyDescent="0.25">
      <c r="A2666">
        <v>23323425</v>
      </c>
      <c r="B2666" t="s">
        <v>340</v>
      </c>
      <c r="C2666" t="s">
        <v>86</v>
      </c>
      <c r="D2666" t="s">
        <v>12</v>
      </c>
      <c r="E2666" t="s">
        <v>627</v>
      </c>
      <c r="F2666" t="s">
        <v>21</v>
      </c>
      <c r="G2666" t="s">
        <v>468</v>
      </c>
      <c r="H2666" t="s">
        <v>617</v>
      </c>
      <c r="I2666" t="s">
        <v>618</v>
      </c>
      <c r="J2666" t="s">
        <v>619</v>
      </c>
      <c r="K2666" t="s">
        <v>606</v>
      </c>
      <c r="L2666" t="s">
        <v>869</v>
      </c>
      <c r="M2666" t="s">
        <v>408</v>
      </c>
      <c r="N2666" t="s">
        <v>11</v>
      </c>
      <c r="O2666" t="s">
        <v>11</v>
      </c>
      <c r="P2666" t="s">
        <v>2</v>
      </c>
      <c r="Q2666" t="s">
        <v>11</v>
      </c>
      <c r="R2666" t="s">
        <v>439</v>
      </c>
      <c r="S2666" t="s">
        <v>451</v>
      </c>
      <c r="T2666" t="s">
        <v>11</v>
      </c>
      <c r="U2666" t="s">
        <v>11</v>
      </c>
    </row>
    <row r="2667" spans="1:21" x14ac:dyDescent="0.25">
      <c r="A2667">
        <v>23323426</v>
      </c>
      <c r="B2667" t="s">
        <v>342</v>
      </c>
      <c r="C2667" t="s">
        <v>89</v>
      </c>
      <c r="D2667" t="s">
        <v>12</v>
      </c>
      <c r="E2667" t="s">
        <v>752</v>
      </c>
      <c r="F2667" t="s">
        <v>562</v>
      </c>
      <c r="G2667" t="s">
        <v>468</v>
      </c>
      <c r="H2667" t="s">
        <v>820</v>
      </c>
      <c r="I2667" t="s">
        <v>821</v>
      </c>
      <c r="J2667" t="s">
        <v>822</v>
      </c>
      <c r="K2667" t="s">
        <v>701</v>
      </c>
      <c r="L2667" t="s">
        <v>908</v>
      </c>
      <c r="M2667" t="s">
        <v>408</v>
      </c>
      <c r="N2667" t="s">
        <v>11</v>
      </c>
      <c r="O2667" t="s">
        <v>408</v>
      </c>
      <c r="P2667" t="s">
        <v>2</v>
      </c>
      <c r="Q2667" t="s">
        <v>408</v>
      </c>
      <c r="R2667" t="s">
        <v>439</v>
      </c>
      <c r="S2667" t="s">
        <v>451</v>
      </c>
      <c r="T2667" t="s">
        <v>11</v>
      </c>
      <c r="U2667" t="s">
        <v>408</v>
      </c>
    </row>
    <row r="2668" spans="1:21" x14ac:dyDescent="0.25">
      <c r="A2668">
        <v>23323427</v>
      </c>
      <c r="B2668" t="s">
        <v>340</v>
      </c>
      <c r="C2668" t="s">
        <v>86</v>
      </c>
      <c r="D2668" t="s">
        <v>18</v>
      </c>
      <c r="E2668" t="s">
        <v>628</v>
      </c>
      <c r="F2668" t="s">
        <v>20</v>
      </c>
      <c r="G2668" t="s">
        <v>468</v>
      </c>
      <c r="H2668" t="s">
        <v>761</v>
      </c>
      <c r="I2668" t="s">
        <v>762</v>
      </c>
      <c r="J2668" t="s">
        <v>763</v>
      </c>
      <c r="K2668" t="s">
        <v>764</v>
      </c>
      <c r="L2668" t="s">
        <v>869</v>
      </c>
      <c r="M2668" t="s">
        <v>408</v>
      </c>
      <c r="N2668" t="s">
        <v>11</v>
      </c>
      <c r="O2668" t="s">
        <v>11</v>
      </c>
      <c r="P2668" t="s">
        <v>2</v>
      </c>
      <c r="Q2668" t="s">
        <v>11</v>
      </c>
      <c r="R2668" t="s">
        <v>439</v>
      </c>
      <c r="S2668" t="s">
        <v>440</v>
      </c>
      <c r="T2668" t="s">
        <v>11</v>
      </c>
      <c r="U2668" t="s">
        <v>11</v>
      </c>
    </row>
    <row r="2669" spans="1:21" x14ac:dyDescent="0.25">
      <c r="A2669">
        <v>23323428</v>
      </c>
      <c r="B2669" t="s">
        <v>340</v>
      </c>
      <c r="C2669" t="s">
        <v>86</v>
      </c>
      <c r="D2669" t="s">
        <v>12</v>
      </c>
      <c r="E2669" t="s">
        <v>627</v>
      </c>
      <c r="F2669" t="s">
        <v>21</v>
      </c>
      <c r="G2669" t="s">
        <v>468</v>
      </c>
      <c r="H2669" t="s">
        <v>761</v>
      </c>
      <c r="I2669" t="s">
        <v>762</v>
      </c>
      <c r="J2669" t="s">
        <v>763</v>
      </c>
      <c r="K2669" t="s">
        <v>764</v>
      </c>
      <c r="L2669" t="s">
        <v>869</v>
      </c>
      <c r="M2669" t="s">
        <v>408</v>
      </c>
      <c r="N2669" t="s">
        <v>11</v>
      </c>
      <c r="O2669" t="s">
        <v>11</v>
      </c>
      <c r="P2669" t="s">
        <v>2</v>
      </c>
      <c r="Q2669" t="s">
        <v>11</v>
      </c>
      <c r="R2669" t="s">
        <v>439</v>
      </c>
      <c r="S2669" t="s">
        <v>440</v>
      </c>
      <c r="T2669" t="s">
        <v>11</v>
      </c>
      <c r="U2669" t="s">
        <v>11</v>
      </c>
    </row>
    <row r="2670" spans="1:21" x14ac:dyDescent="0.25">
      <c r="A2670">
        <v>23323429</v>
      </c>
      <c r="B2670" t="s">
        <v>340</v>
      </c>
      <c r="C2670" t="s">
        <v>86</v>
      </c>
      <c r="D2670" t="s">
        <v>12</v>
      </c>
      <c r="E2670" t="s">
        <v>628</v>
      </c>
      <c r="F2670" t="s">
        <v>20</v>
      </c>
      <c r="G2670" t="s">
        <v>369</v>
      </c>
      <c r="H2670" t="s">
        <v>924</v>
      </c>
      <c r="I2670" t="s">
        <v>923</v>
      </c>
      <c r="J2670" t="s">
        <v>922</v>
      </c>
      <c r="K2670" t="s">
        <v>606</v>
      </c>
      <c r="L2670" t="s">
        <v>921</v>
      </c>
      <c r="M2670" t="s">
        <v>11</v>
      </c>
      <c r="N2670" t="s">
        <v>11</v>
      </c>
      <c r="O2670" t="s">
        <v>408</v>
      </c>
      <c r="P2670" t="s">
        <v>2</v>
      </c>
      <c r="Q2670" t="s">
        <v>408</v>
      </c>
      <c r="R2670" t="s">
        <v>439</v>
      </c>
      <c r="S2670" t="s">
        <v>440</v>
      </c>
      <c r="T2670" t="s">
        <v>408</v>
      </c>
      <c r="U2670" t="s">
        <v>408</v>
      </c>
    </row>
    <row r="2671" spans="1:21" x14ac:dyDescent="0.25">
      <c r="A2671">
        <v>23323431</v>
      </c>
      <c r="B2671" t="s">
        <v>342</v>
      </c>
      <c r="C2671" t="s">
        <v>89</v>
      </c>
      <c r="D2671" t="s">
        <v>84</v>
      </c>
      <c r="E2671" t="s">
        <v>627</v>
      </c>
      <c r="F2671" t="s">
        <v>21</v>
      </c>
      <c r="G2671" t="s">
        <v>369</v>
      </c>
      <c r="H2671" t="s">
        <v>928</v>
      </c>
      <c r="I2671" t="s">
        <v>927</v>
      </c>
      <c r="J2671" t="s">
        <v>926</v>
      </c>
      <c r="K2671" t="s">
        <v>606</v>
      </c>
      <c r="L2671" t="s">
        <v>925</v>
      </c>
      <c r="M2671" t="s">
        <v>408</v>
      </c>
      <c r="N2671" t="s">
        <v>11</v>
      </c>
      <c r="O2671" t="s">
        <v>11</v>
      </c>
      <c r="P2671" t="s">
        <v>2</v>
      </c>
      <c r="Q2671" t="s">
        <v>408</v>
      </c>
      <c r="R2671" t="s">
        <v>439</v>
      </c>
      <c r="S2671" t="s">
        <v>451</v>
      </c>
      <c r="T2671" t="s">
        <v>11</v>
      </c>
      <c r="U2671" t="s">
        <v>408</v>
      </c>
    </row>
    <row r="2672" spans="1:21" x14ac:dyDescent="0.25">
      <c r="A2672">
        <v>23323432</v>
      </c>
      <c r="B2672" t="s">
        <v>342</v>
      </c>
      <c r="C2672" t="s">
        <v>89</v>
      </c>
      <c r="D2672" t="s">
        <v>12</v>
      </c>
      <c r="E2672" t="s">
        <v>752</v>
      </c>
      <c r="F2672" t="s">
        <v>562</v>
      </c>
      <c r="G2672" t="s">
        <v>369</v>
      </c>
      <c r="H2672" t="s">
        <v>820</v>
      </c>
      <c r="I2672" t="s">
        <v>821</v>
      </c>
      <c r="J2672" t="s">
        <v>822</v>
      </c>
      <c r="K2672" t="s">
        <v>701</v>
      </c>
      <c r="L2672" t="s">
        <v>793</v>
      </c>
      <c r="M2672" t="s">
        <v>11</v>
      </c>
      <c r="N2672" t="s">
        <v>11</v>
      </c>
      <c r="O2672" t="s">
        <v>11</v>
      </c>
      <c r="P2672" t="s">
        <v>2</v>
      </c>
      <c r="Q2672" t="s">
        <v>408</v>
      </c>
      <c r="R2672" t="s">
        <v>439</v>
      </c>
      <c r="S2672" t="s">
        <v>451</v>
      </c>
      <c r="T2672" t="s">
        <v>408</v>
      </c>
      <c r="U2672" t="s">
        <v>408</v>
      </c>
    </row>
    <row r="2673" spans="1:21" x14ac:dyDescent="0.25">
      <c r="A2673">
        <v>23323433</v>
      </c>
      <c r="B2673" t="s">
        <v>340</v>
      </c>
      <c r="C2673" t="s">
        <v>86</v>
      </c>
      <c r="D2673" t="s">
        <v>18</v>
      </c>
      <c r="E2673" t="s">
        <v>628</v>
      </c>
      <c r="F2673" t="s">
        <v>20</v>
      </c>
      <c r="G2673" t="s">
        <v>468</v>
      </c>
      <c r="H2673" t="s">
        <v>447</v>
      </c>
      <c r="I2673" t="s">
        <v>448</v>
      </c>
      <c r="J2673" t="s">
        <v>449</v>
      </c>
      <c r="K2673" t="s">
        <v>450</v>
      </c>
      <c r="L2673" t="s">
        <v>869</v>
      </c>
      <c r="M2673" t="s">
        <v>408</v>
      </c>
      <c r="N2673" t="s">
        <v>11</v>
      </c>
      <c r="O2673" t="s">
        <v>11</v>
      </c>
      <c r="P2673" t="s">
        <v>2</v>
      </c>
      <c r="Q2673" t="s">
        <v>11</v>
      </c>
      <c r="R2673" t="s">
        <v>439</v>
      </c>
      <c r="S2673" t="s">
        <v>451</v>
      </c>
      <c r="T2673" t="s">
        <v>11</v>
      </c>
      <c r="U2673" t="s">
        <v>11</v>
      </c>
    </row>
    <row r="2674" spans="1:21" x14ac:dyDescent="0.25">
      <c r="A2674">
        <v>23323435</v>
      </c>
      <c r="B2674" t="s">
        <v>340</v>
      </c>
      <c r="C2674" t="s">
        <v>86</v>
      </c>
      <c r="D2674" t="s">
        <v>12</v>
      </c>
      <c r="E2674" t="s">
        <v>628</v>
      </c>
      <c r="F2674" t="s">
        <v>20</v>
      </c>
      <c r="G2674" t="s">
        <v>369</v>
      </c>
      <c r="H2674" t="s">
        <v>447</v>
      </c>
      <c r="I2674" t="s">
        <v>448</v>
      </c>
      <c r="J2674" t="s">
        <v>449</v>
      </c>
      <c r="K2674" t="s">
        <v>450</v>
      </c>
      <c r="L2674" t="s">
        <v>869</v>
      </c>
      <c r="M2674" t="s">
        <v>408</v>
      </c>
      <c r="N2674" t="s">
        <v>11</v>
      </c>
      <c r="O2674" t="s">
        <v>11</v>
      </c>
      <c r="P2674" t="s">
        <v>2</v>
      </c>
      <c r="Q2674" t="s">
        <v>11</v>
      </c>
      <c r="R2674" t="s">
        <v>439</v>
      </c>
      <c r="S2674" t="s">
        <v>451</v>
      </c>
      <c r="T2674" t="s">
        <v>11</v>
      </c>
      <c r="U2674" t="s">
        <v>11</v>
      </c>
    </row>
    <row r="2675" spans="1:21" x14ac:dyDescent="0.25">
      <c r="A2675">
        <v>23323436</v>
      </c>
      <c r="B2675" t="s">
        <v>342</v>
      </c>
      <c r="C2675" t="s">
        <v>89</v>
      </c>
      <c r="D2675" t="s">
        <v>12</v>
      </c>
      <c r="E2675" t="s">
        <v>627</v>
      </c>
      <c r="F2675" t="s">
        <v>21</v>
      </c>
      <c r="G2675" t="s">
        <v>369</v>
      </c>
      <c r="H2675" t="s">
        <v>924</v>
      </c>
      <c r="I2675" t="s">
        <v>923</v>
      </c>
      <c r="J2675" t="s">
        <v>922</v>
      </c>
      <c r="K2675" t="s">
        <v>606</v>
      </c>
      <c r="L2675" t="s">
        <v>921</v>
      </c>
      <c r="M2675" t="s">
        <v>11</v>
      </c>
      <c r="N2675" t="s">
        <v>11</v>
      </c>
      <c r="O2675" t="s">
        <v>408</v>
      </c>
      <c r="P2675" t="s">
        <v>2</v>
      </c>
      <c r="Q2675" t="s">
        <v>408</v>
      </c>
      <c r="R2675" t="s">
        <v>439</v>
      </c>
      <c r="S2675" t="s">
        <v>440</v>
      </c>
      <c r="T2675" t="s">
        <v>408</v>
      </c>
      <c r="U2675" t="s">
        <v>408</v>
      </c>
    </row>
    <row r="2676" spans="1:21" x14ac:dyDescent="0.25">
      <c r="A2676">
        <v>23323437</v>
      </c>
      <c r="B2676" t="s">
        <v>340</v>
      </c>
      <c r="C2676" t="s">
        <v>86</v>
      </c>
      <c r="D2676" t="s">
        <v>12</v>
      </c>
      <c r="E2676" t="s">
        <v>627</v>
      </c>
      <c r="F2676" t="s">
        <v>21</v>
      </c>
      <c r="G2676" t="s">
        <v>468</v>
      </c>
      <c r="H2676" t="s">
        <v>617</v>
      </c>
      <c r="I2676" t="s">
        <v>618</v>
      </c>
      <c r="J2676" t="s">
        <v>619</v>
      </c>
      <c r="K2676" t="s">
        <v>606</v>
      </c>
      <c r="L2676" t="s">
        <v>869</v>
      </c>
      <c r="M2676" t="s">
        <v>408</v>
      </c>
      <c r="N2676" t="s">
        <v>11</v>
      </c>
      <c r="O2676" t="s">
        <v>11</v>
      </c>
      <c r="P2676" t="s">
        <v>2</v>
      </c>
      <c r="Q2676" t="s">
        <v>11</v>
      </c>
      <c r="R2676" t="s">
        <v>439</v>
      </c>
      <c r="S2676" t="s">
        <v>451</v>
      </c>
      <c r="T2676" t="s">
        <v>11</v>
      </c>
      <c r="U2676" t="s">
        <v>11</v>
      </c>
    </row>
    <row r="2677" spans="1:21" x14ac:dyDescent="0.25">
      <c r="A2677">
        <v>23323439</v>
      </c>
      <c r="B2677" t="s">
        <v>342</v>
      </c>
      <c r="C2677" t="s">
        <v>89</v>
      </c>
      <c r="D2677" t="s">
        <v>12</v>
      </c>
      <c r="E2677" t="s">
        <v>628</v>
      </c>
      <c r="F2677" t="s">
        <v>20</v>
      </c>
      <c r="G2677" t="s">
        <v>369</v>
      </c>
      <c r="H2677" t="s">
        <v>924</v>
      </c>
      <c r="I2677" t="s">
        <v>923</v>
      </c>
      <c r="J2677" t="s">
        <v>922</v>
      </c>
      <c r="K2677" t="s">
        <v>606</v>
      </c>
      <c r="L2677" t="s">
        <v>921</v>
      </c>
      <c r="M2677" t="s">
        <v>11</v>
      </c>
      <c r="N2677" t="s">
        <v>11</v>
      </c>
      <c r="O2677" t="s">
        <v>408</v>
      </c>
      <c r="P2677" t="s">
        <v>2</v>
      </c>
      <c r="Q2677" t="s">
        <v>408</v>
      </c>
      <c r="R2677" t="s">
        <v>439</v>
      </c>
      <c r="S2677" t="s">
        <v>440</v>
      </c>
      <c r="T2677" t="s">
        <v>408</v>
      </c>
      <c r="U2677" t="s">
        <v>408</v>
      </c>
    </row>
    <row r="2678" spans="1:21" x14ac:dyDescent="0.25">
      <c r="A2678">
        <v>23323440</v>
      </c>
      <c r="B2678" t="s">
        <v>342</v>
      </c>
      <c r="C2678" t="s">
        <v>89</v>
      </c>
      <c r="D2678" t="s">
        <v>12</v>
      </c>
      <c r="E2678" t="s">
        <v>752</v>
      </c>
      <c r="F2678" t="s">
        <v>562</v>
      </c>
      <c r="G2678" t="s">
        <v>468</v>
      </c>
      <c r="H2678" t="s">
        <v>816</v>
      </c>
      <c r="I2678" t="s">
        <v>817</v>
      </c>
      <c r="J2678" t="s">
        <v>818</v>
      </c>
      <c r="K2678" t="s">
        <v>764</v>
      </c>
      <c r="L2678" t="s">
        <v>876</v>
      </c>
      <c r="M2678" t="s">
        <v>11</v>
      </c>
      <c r="N2678" t="s">
        <v>11</v>
      </c>
      <c r="O2678" t="s">
        <v>408</v>
      </c>
      <c r="P2678" t="s">
        <v>2</v>
      </c>
      <c r="Q2678" t="s">
        <v>408</v>
      </c>
      <c r="R2678" t="s">
        <v>439</v>
      </c>
      <c r="S2678" t="s">
        <v>451</v>
      </c>
      <c r="T2678" t="s">
        <v>408</v>
      </c>
      <c r="U2678" t="s">
        <v>408</v>
      </c>
    </row>
    <row r="2679" spans="1:21" x14ac:dyDescent="0.25">
      <c r="A2679">
        <v>23323441</v>
      </c>
      <c r="B2679" t="s">
        <v>342</v>
      </c>
      <c r="C2679" t="s">
        <v>89</v>
      </c>
      <c r="D2679" t="s">
        <v>12</v>
      </c>
      <c r="E2679" t="s">
        <v>752</v>
      </c>
      <c r="F2679" t="s">
        <v>562</v>
      </c>
      <c r="G2679" t="s">
        <v>369</v>
      </c>
      <c r="H2679" t="s">
        <v>906</v>
      </c>
      <c r="I2679" t="s">
        <v>905</v>
      </c>
      <c r="J2679" t="s">
        <v>904</v>
      </c>
      <c r="K2679" t="s">
        <v>764</v>
      </c>
      <c r="L2679" t="s">
        <v>5</v>
      </c>
      <c r="M2679" t="s">
        <v>408</v>
      </c>
      <c r="N2679" t="s">
        <v>11</v>
      </c>
      <c r="O2679" t="s">
        <v>11</v>
      </c>
      <c r="P2679" t="s">
        <v>2</v>
      </c>
      <c r="Q2679" t="s">
        <v>408</v>
      </c>
      <c r="R2679" t="s">
        <v>439</v>
      </c>
      <c r="S2679" t="s">
        <v>451</v>
      </c>
      <c r="T2679" t="s">
        <v>11</v>
      </c>
      <c r="U2679" t="s">
        <v>408</v>
      </c>
    </row>
    <row r="2680" spans="1:21" x14ac:dyDescent="0.25">
      <c r="A2680">
        <v>23323442</v>
      </c>
      <c r="B2680" t="s">
        <v>342</v>
      </c>
      <c r="C2680" t="s">
        <v>89</v>
      </c>
      <c r="D2680" t="s">
        <v>12</v>
      </c>
      <c r="E2680" t="s">
        <v>628</v>
      </c>
      <c r="F2680" t="s">
        <v>20</v>
      </c>
      <c r="G2680" t="s">
        <v>369</v>
      </c>
      <c r="H2680" t="s">
        <v>782</v>
      </c>
      <c r="I2680" t="s">
        <v>783</v>
      </c>
      <c r="J2680" t="s">
        <v>784</v>
      </c>
      <c r="K2680" t="s">
        <v>438</v>
      </c>
      <c r="L2680" t="s">
        <v>881</v>
      </c>
      <c r="M2680" t="s">
        <v>11</v>
      </c>
      <c r="N2680" t="s">
        <v>11</v>
      </c>
      <c r="O2680" t="s">
        <v>11</v>
      </c>
      <c r="P2680" t="s">
        <v>2</v>
      </c>
      <c r="Q2680" t="s">
        <v>408</v>
      </c>
      <c r="R2680" t="s">
        <v>439</v>
      </c>
      <c r="S2680" t="s">
        <v>451</v>
      </c>
      <c r="T2680" t="s">
        <v>408</v>
      </c>
      <c r="U2680" t="s">
        <v>408</v>
      </c>
    </row>
    <row r="2681" spans="1:21" x14ac:dyDescent="0.25">
      <c r="A2681">
        <v>23323443</v>
      </c>
      <c r="B2681" t="s">
        <v>342</v>
      </c>
      <c r="C2681" t="s">
        <v>89</v>
      </c>
      <c r="D2681" t="s">
        <v>12</v>
      </c>
      <c r="E2681" t="s">
        <v>627</v>
      </c>
      <c r="F2681" t="s">
        <v>21</v>
      </c>
      <c r="G2681" t="s">
        <v>369</v>
      </c>
      <c r="H2681" t="s">
        <v>820</v>
      </c>
      <c r="I2681" t="s">
        <v>821</v>
      </c>
      <c r="J2681" t="s">
        <v>822</v>
      </c>
      <c r="K2681" t="s">
        <v>701</v>
      </c>
      <c r="L2681" t="s">
        <v>793</v>
      </c>
      <c r="M2681" t="s">
        <v>11</v>
      </c>
      <c r="N2681" t="s">
        <v>11</v>
      </c>
      <c r="O2681" t="s">
        <v>11</v>
      </c>
      <c r="P2681" t="s">
        <v>2</v>
      </c>
      <c r="Q2681" t="s">
        <v>408</v>
      </c>
      <c r="R2681" t="s">
        <v>439</v>
      </c>
      <c r="S2681" t="s">
        <v>451</v>
      </c>
      <c r="T2681" t="s">
        <v>408</v>
      </c>
      <c r="U2681" t="s">
        <v>408</v>
      </c>
    </row>
    <row r="2682" spans="1:21" x14ac:dyDescent="0.25">
      <c r="A2682">
        <v>23323444</v>
      </c>
      <c r="B2682" t="s">
        <v>342</v>
      </c>
      <c r="C2682" t="s">
        <v>89</v>
      </c>
      <c r="D2682" t="s">
        <v>12</v>
      </c>
      <c r="E2682" t="s">
        <v>628</v>
      </c>
      <c r="F2682" t="s">
        <v>20</v>
      </c>
      <c r="G2682" t="s">
        <v>369</v>
      </c>
      <c r="H2682" t="s">
        <v>906</v>
      </c>
      <c r="I2682" t="s">
        <v>905</v>
      </c>
      <c r="J2682" t="s">
        <v>904</v>
      </c>
      <c r="K2682" t="s">
        <v>764</v>
      </c>
      <c r="L2682" t="s">
        <v>5</v>
      </c>
      <c r="M2682" t="s">
        <v>408</v>
      </c>
      <c r="N2682" t="s">
        <v>11</v>
      </c>
      <c r="O2682" t="s">
        <v>11</v>
      </c>
      <c r="P2682" t="s">
        <v>2</v>
      </c>
      <c r="Q2682" t="s">
        <v>408</v>
      </c>
      <c r="R2682" t="s">
        <v>439</v>
      </c>
      <c r="S2682" t="s">
        <v>451</v>
      </c>
      <c r="T2682" t="s">
        <v>11</v>
      </c>
      <c r="U2682" t="s">
        <v>408</v>
      </c>
    </row>
    <row r="2683" spans="1:21" x14ac:dyDescent="0.25">
      <c r="A2683">
        <v>23323445</v>
      </c>
      <c r="B2683" t="s">
        <v>340</v>
      </c>
      <c r="C2683" t="s">
        <v>86</v>
      </c>
      <c r="D2683" t="s">
        <v>12</v>
      </c>
      <c r="E2683" t="s">
        <v>628</v>
      </c>
      <c r="F2683" t="s">
        <v>20</v>
      </c>
      <c r="G2683" t="s">
        <v>468</v>
      </c>
      <c r="H2683" t="s">
        <v>761</v>
      </c>
      <c r="I2683" t="s">
        <v>762</v>
      </c>
      <c r="J2683" t="s">
        <v>763</v>
      </c>
      <c r="K2683" t="s">
        <v>764</v>
      </c>
      <c r="L2683" t="s">
        <v>869</v>
      </c>
      <c r="M2683" t="s">
        <v>408</v>
      </c>
      <c r="N2683" t="s">
        <v>11</v>
      </c>
      <c r="O2683" t="s">
        <v>11</v>
      </c>
      <c r="P2683" t="s">
        <v>2</v>
      </c>
      <c r="Q2683" t="s">
        <v>11</v>
      </c>
      <c r="R2683" t="s">
        <v>439</v>
      </c>
      <c r="S2683" t="s">
        <v>440</v>
      </c>
      <c r="T2683" t="s">
        <v>11</v>
      </c>
      <c r="U2683" t="s">
        <v>11</v>
      </c>
    </row>
    <row r="2684" spans="1:21" x14ac:dyDescent="0.25">
      <c r="A2684">
        <v>23323446</v>
      </c>
      <c r="B2684" t="s">
        <v>342</v>
      </c>
      <c r="C2684" t="s">
        <v>89</v>
      </c>
      <c r="D2684" t="s">
        <v>12</v>
      </c>
      <c r="E2684" t="s">
        <v>628</v>
      </c>
      <c r="F2684" t="s">
        <v>20</v>
      </c>
      <c r="G2684" t="s">
        <v>369</v>
      </c>
      <c r="H2684" t="s">
        <v>884</v>
      </c>
      <c r="I2684" t="s">
        <v>883</v>
      </c>
      <c r="J2684" t="s">
        <v>882</v>
      </c>
      <c r="K2684" t="s">
        <v>450</v>
      </c>
      <c r="L2684" t="s">
        <v>881</v>
      </c>
      <c r="M2684" t="s">
        <v>11</v>
      </c>
      <c r="N2684" t="s">
        <v>11</v>
      </c>
      <c r="O2684" t="s">
        <v>11</v>
      </c>
      <c r="P2684" t="s">
        <v>2</v>
      </c>
      <c r="Q2684" t="s">
        <v>408</v>
      </c>
      <c r="R2684" t="s">
        <v>439</v>
      </c>
      <c r="S2684" t="s">
        <v>451</v>
      </c>
      <c r="T2684" t="s">
        <v>408</v>
      </c>
      <c r="U2684" t="s">
        <v>408</v>
      </c>
    </row>
    <row r="2685" spans="1:21" x14ac:dyDescent="0.25">
      <c r="A2685">
        <v>23323447</v>
      </c>
      <c r="B2685" t="s">
        <v>342</v>
      </c>
      <c r="C2685" t="s">
        <v>89</v>
      </c>
      <c r="D2685" t="s">
        <v>12</v>
      </c>
      <c r="E2685" t="s">
        <v>628</v>
      </c>
      <c r="F2685" t="s">
        <v>20</v>
      </c>
      <c r="G2685" t="s">
        <v>369</v>
      </c>
      <c r="H2685" t="s">
        <v>906</v>
      </c>
      <c r="I2685" t="s">
        <v>905</v>
      </c>
      <c r="J2685" t="s">
        <v>904</v>
      </c>
      <c r="K2685" t="s">
        <v>764</v>
      </c>
      <c r="L2685" t="s">
        <v>5</v>
      </c>
      <c r="M2685" t="s">
        <v>408</v>
      </c>
      <c r="N2685" t="s">
        <v>11</v>
      </c>
      <c r="O2685" t="s">
        <v>11</v>
      </c>
      <c r="P2685" t="s">
        <v>2</v>
      </c>
      <c r="Q2685" t="s">
        <v>408</v>
      </c>
      <c r="R2685" t="s">
        <v>439</v>
      </c>
      <c r="S2685" t="s">
        <v>451</v>
      </c>
      <c r="T2685" t="s">
        <v>11</v>
      </c>
      <c r="U2685" t="s">
        <v>408</v>
      </c>
    </row>
    <row r="2686" spans="1:21" x14ac:dyDescent="0.25">
      <c r="A2686">
        <v>23323448</v>
      </c>
      <c r="B2686" t="s">
        <v>340</v>
      </c>
      <c r="C2686" t="s">
        <v>86</v>
      </c>
      <c r="D2686" t="s">
        <v>18</v>
      </c>
      <c r="E2686" t="s">
        <v>628</v>
      </c>
      <c r="F2686" t="s">
        <v>20</v>
      </c>
      <c r="G2686" t="s">
        <v>468</v>
      </c>
      <c r="H2686" t="s">
        <v>761</v>
      </c>
      <c r="I2686" t="s">
        <v>762</v>
      </c>
      <c r="J2686" t="s">
        <v>763</v>
      </c>
      <c r="K2686" t="s">
        <v>764</v>
      </c>
      <c r="L2686" t="s">
        <v>869</v>
      </c>
      <c r="M2686" t="s">
        <v>408</v>
      </c>
      <c r="N2686" t="s">
        <v>11</v>
      </c>
      <c r="O2686" t="s">
        <v>11</v>
      </c>
      <c r="P2686" t="s">
        <v>2</v>
      </c>
      <c r="Q2686" t="s">
        <v>11</v>
      </c>
      <c r="R2686" t="s">
        <v>439</v>
      </c>
      <c r="S2686" t="s">
        <v>440</v>
      </c>
      <c r="T2686" t="s">
        <v>11</v>
      </c>
      <c r="U2686" t="s">
        <v>11</v>
      </c>
    </row>
    <row r="2687" spans="1:21" x14ac:dyDescent="0.25">
      <c r="A2687">
        <v>23323449</v>
      </c>
      <c r="B2687" t="s">
        <v>342</v>
      </c>
      <c r="C2687" t="s">
        <v>89</v>
      </c>
      <c r="D2687" t="s">
        <v>12</v>
      </c>
      <c r="E2687" t="s">
        <v>628</v>
      </c>
      <c r="F2687" t="s">
        <v>20</v>
      </c>
      <c r="G2687" t="s">
        <v>369</v>
      </c>
      <c r="H2687" t="s">
        <v>924</v>
      </c>
      <c r="I2687" t="s">
        <v>923</v>
      </c>
      <c r="J2687" t="s">
        <v>922</v>
      </c>
      <c r="K2687" t="s">
        <v>606</v>
      </c>
      <c r="L2687" t="s">
        <v>921</v>
      </c>
      <c r="M2687" t="s">
        <v>11</v>
      </c>
      <c r="N2687" t="s">
        <v>11</v>
      </c>
      <c r="O2687" t="s">
        <v>408</v>
      </c>
      <c r="P2687" t="s">
        <v>2</v>
      </c>
      <c r="Q2687" t="s">
        <v>408</v>
      </c>
      <c r="R2687" t="s">
        <v>439</v>
      </c>
      <c r="S2687" t="s">
        <v>440</v>
      </c>
      <c r="T2687" t="s">
        <v>408</v>
      </c>
      <c r="U2687" t="s">
        <v>408</v>
      </c>
    </row>
    <row r="2688" spans="1:21" x14ac:dyDescent="0.25">
      <c r="A2688">
        <v>23323450</v>
      </c>
      <c r="B2688" t="s">
        <v>340</v>
      </c>
      <c r="C2688" t="s">
        <v>86</v>
      </c>
      <c r="D2688" t="s">
        <v>12</v>
      </c>
      <c r="E2688" t="s">
        <v>628</v>
      </c>
      <c r="F2688" t="s">
        <v>20</v>
      </c>
      <c r="G2688" t="s">
        <v>369</v>
      </c>
      <c r="H2688" t="s">
        <v>447</v>
      </c>
      <c r="I2688" t="s">
        <v>448</v>
      </c>
      <c r="J2688" t="s">
        <v>449</v>
      </c>
      <c r="K2688" t="s">
        <v>450</v>
      </c>
      <c r="L2688" t="s">
        <v>869</v>
      </c>
      <c r="M2688" t="s">
        <v>408</v>
      </c>
      <c r="N2688" t="s">
        <v>11</v>
      </c>
      <c r="O2688" t="s">
        <v>11</v>
      </c>
      <c r="P2688" t="s">
        <v>2</v>
      </c>
      <c r="Q2688" t="s">
        <v>11</v>
      </c>
      <c r="R2688" t="s">
        <v>439</v>
      </c>
      <c r="S2688" t="s">
        <v>451</v>
      </c>
      <c r="T2688" t="s">
        <v>11</v>
      </c>
      <c r="U2688" t="s">
        <v>11</v>
      </c>
    </row>
    <row r="2689" spans="1:21" x14ac:dyDescent="0.25">
      <c r="A2689">
        <v>23323451</v>
      </c>
      <c r="B2689" t="s">
        <v>340</v>
      </c>
      <c r="C2689" t="s">
        <v>86</v>
      </c>
      <c r="D2689" t="s">
        <v>18</v>
      </c>
      <c r="E2689" t="s">
        <v>628</v>
      </c>
      <c r="F2689" t="s">
        <v>20</v>
      </c>
      <c r="G2689" t="s">
        <v>468</v>
      </c>
      <c r="H2689" t="s">
        <v>761</v>
      </c>
      <c r="I2689" t="s">
        <v>762</v>
      </c>
      <c r="J2689" t="s">
        <v>763</v>
      </c>
      <c r="K2689" t="s">
        <v>764</v>
      </c>
      <c r="L2689" t="s">
        <v>869</v>
      </c>
      <c r="M2689" t="s">
        <v>408</v>
      </c>
      <c r="N2689" t="s">
        <v>11</v>
      </c>
      <c r="O2689" t="s">
        <v>11</v>
      </c>
      <c r="P2689" t="s">
        <v>2</v>
      </c>
      <c r="Q2689" t="s">
        <v>11</v>
      </c>
      <c r="R2689" t="s">
        <v>439</v>
      </c>
      <c r="S2689" t="s">
        <v>440</v>
      </c>
      <c r="T2689" t="s">
        <v>11</v>
      </c>
      <c r="U2689" t="s">
        <v>11</v>
      </c>
    </row>
    <row r="2690" spans="1:21" x14ac:dyDescent="0.25">
      <c r="A2690">
        <v>23323452</v>
      </c>
      <c r="B2690" t="s">
        <v>340</v>
      </c>
      <c r="C2690" t="s">
        <v>86</v>
      </c>
      <c r="D2690" t="s">
        <v>12</v>
      </c>
      <c r="E2690" t="s">
        <v>627</v>
      </c>
      <c r="F2690" t="s">
        <v>21</v>
      </c>
      <c r="G2690" t="s">
        <v>468</v>
      </c>
      <c r="H2690" t="s">
        <v>761</v>
      </c>
      <c r="I2690" t="s">
        <v>762</v>
      </c>
      <c r="J2690" t="s">
        <v>763</v>
      </c>
      <c r="K2690" t="s">
        <v>764</v>
      </c>
      <c r="L2690" t="s">
        <v>869</v>
      </c>
      <c r="M2690" t="s">
        <v>408</v>
      </c>
      <c r="N2690" t="s">
        <v>11</v>
      </c>
      <c r="O2690" t="s">
        <v>11</v>
      </c>
      <c r="P2690" t="s">
        <v>2</v>
      </c>
      <c r="Q2690" t="s">
        <v>11</v>
      </c>
      <c r="R2690" t="s">
        <v>439</v>
      </c>
      <c r="S2690" t="s">
        <v>440</v>
      </c>
      <c r="T2690" t="s">
        <v>11</v>
      </c>
      <c r="U2690" t="s">
        <v>11</v>
      </c>
    </row>
    <row r="2691" spans="1:21" x14ac:dyDescent="0.25">
      <c r="A2691">
        <v>23323453</v>
      </c>
      <c r="B2691" t="s">
        <v>342</v>
      </c>
      <c r="C2691" t="s">
        <v>89</v>
      </c>
      <c r="D2691" t="s">
        <v>18</v>
      </c>
      <c r="E2691" t="s">
        <v>752</v>
      </c>
      <c r="F2691" t="s">
        <v>562</v>
      </c>
      <c r="G2691" t="s">
        <v>369</v>
      </c>
      <c r="H2691" t="s">
        <v>920</v>
      </c>
      <c r="I2691" t="s">
        <v>919</v>
      </c>
      <c r="J2691" t="s">
        <v>918</v>
      </c>
      <c r="K2691" t="s">
        <v>438</v>
      </c>
      <c r="L2691" t="s">
        <v>917</v>
      </c>
      <c r="M2691" t="s">
        <v>408</v>
      </c>
      <c r="N2691" t="s">
        <v>11</v>
      </c>
      <c r="O2691" t="s">
        <v>11</v>
      </c>
      <c r="P2691" t="s">
        <v>2</v>
      </c>
      <c r="Q2691" t="s">
        <v>408</v>
      </c>
      <c r="R2691" t="s">
        <v>439</v>
      </c>
      <c r="S2691" t="s">
        <v>451</v>
      </c>
      <c r="T2691" t="s">
        <v>11</v>
      </c>
      <c r="U2691" t="s">
        <v>408</v>
      </c>
    </row>
    <row r="2692" spans="1:21" x14ac:dyDescent="0.25">
      <c r="A2692">
        <v>23323454</v>
      </c>
      <c r="B2692" t="s">
        <v>340</v>
      </c>
      <c r="C2692" t="s">
        <v>86</v>
      </c>
      <c r="D2692" t="s">
        <v>12</v>
      </c>
      <c r="E2692" t="s">
        <v>628</v>
      </c>
      <c r="F2692" t="s">
        <v>20</v>
      </c>
      <c r="G2692" t="s">
        <v>468</v>
      </c>
      <c r="H2692" t="s">
        <v>761</v>
      </c>
      <c r="I2692" t="s">
        <v>762</v>
      </c>
      <c r="J2692" t="s">
        <v>763</v>
      </c>
      <c r="K2692" t="s">
        <v>764</v>
      </c>
      <c r="L2692" t="s">
        <v>869</v>
      </c>
      <c r="M2692" t="s">
        <v>408</v>
      </c>
      <c r="N2692" t="s">
        <v>11</v>
      </c>
      <c r="O2692" t="s">
        <v>11</v>
      </c>
      <c r="P2692" t="s">
        <v>2</v>
      </c>
      <c r="Q2692" t="s">
        <v>11</v>
      </c>
      <c r="R2692" t="s">
        <v>439</v>
      </c>
      <c r="S2692" t="s">
        <v>440</v>
      </c>
      <c r="T2692" t="s">
        <v>11</v>
      </c>
      <c r="U2692" t="s">
        <v>11</v>
      </c>
    </row>
    <row r="2693" spans="1:21" x14ac:dyDescent="0.25">
      <c r="A2693">
        <v>23323455</v>
      </c>
      <c r="B2693" t="s">
        <v>342</v>
      </c>
      <c r="C2693" t="s">
        <v>89</v>
      </c>
      <c r="D2693" t="s">
        <v>18</v>
      </c>
      <c r="E2693" t="s">
        <v>752</v>
      </c>
      <c r="F2693" t="s">
        <v>562</v>
      </c>
      <c r="G2693" t="s">
        <v>369</v>
      </c>
      <c r="H2693" t="s">
        <v>777</v>
      </c>
      <c r="I2693" t="s">
        <v>912</v>
      </c>
      <c r="J2693" t="s">
        <v>916</v>
      </c>
      <c r="K2693" t="s">
        <v>915</v>
      </c>
      <c r="L2693" t="s">
        <v>914</v>
      </c>
      <c r="M2693" t="s">
        <v>408</v>
      </c>
      <c r="N2693" t="s">
        <v>11</v>
      </c>
      <c r="O2693" t="s">
        <v>408</v>
      </c>
      <c r="P2693" t="s">
        <v>2</v>
      </c>
      <c r="Q2693" t="s">
        <v>408</v>
      </c>
      <c r="R2693" t="s">
        <v>439</v>
      </c>
      <c r="S2693" t="s">
        <v>451</v>
      </c>
      <c r="T2693" t="s">
        <v>11</v>
      </c>
      <c r="U2693" t="s">
        <v>408</v>
      </c>
    </row>
    <row r="2694" spans="1:21" x14ac:dyDescent="0.25">
      <c r="A2694">
        <v>23323456</v>
      </c>
      <c r="B2694" t="s">
        <v>340</v>
      </c>
      <c r="C2694" t="s">
        <v>86</v>
      </c>
      <c r="D2694" t="s">
        <v>18</v>
      </c>
      <c r="E2694" t="s">
        <v>628</v>
      </c>
      <c r="F2694" t="s">
        <v>20</v>
      </c>
      <c r="G2694" t="s">
        <v>369</v>
      </c>
      <c r="H2694" t="s">
        <v>447</v>
      </c>
      <c r="I2694" t="s">
        <v>448</v>
      </c>
      <c r="J2694" t="s">
        <v>449</v>
      </c>
      <c r="K2694" t="s">
        <v>450</v>
      </c>
      <c r="L2694" t="s">
        <v>869</v>
      </c>
      <c r="M2694" t="s">
        <v>408</v>
      </c>
      <c r="N2694" t="s">
        <v>11</v>
      </c>
      <c r="O2694" t="s">
        <v>11</v>
      </c>
      <c r="P2694" t="s">
        <v>2</v>
      </c>
      <c r="Q2694" t="s">
        <v>11</v>
      </c>
      <c r="R2694" t="s">
        <v>439</v>
      </c>
      <c r="S2694" t="s">
        <v>451</v>
      </c>
      <c r="T2694" t="s">
        <v>11</v>
      </c>
      <c r="U2694" t="s">
        <v>11</v>
      </c>
    </row>
    <row r="2695" spans="1:21" x14ac:dyDescent="0.25">
      <c r="A2695">
        <v>23323457</v>
      </c>
      <c r="B2695" t="s">
        <v>340</v>
      </c>
      <c r="C2695" t="s">
        <v>86</v>
      </c>
      <c r="D2695" t="s">
        <v>12</v>
      </c>
      <c r="E2695" t="s">
        <v>627</v>
      </c>
      <c r="F2695" t="s">
        <v>21</v>
      </c>
      <c r="G2695" t="s">
        <v>468</v>
      </c>
      <c r="H2695" t="s">
        <v>761</v>
      </c>
      <c r="I2695" t="s">
        <v>762</v>
      </c>
      <c r="J2695" t="s">
        <v>763</v>
      </c>
      <c r="K2695" t="s">
        <v>764</v>
      </c>
      <c r="L2695" t="s">
        <v>869</v>
      </c>
      <c r="M2695" t="s">
        <v>408</v>
      </c>
      <c r="N2695" t="s">
        <v>11</v>
      </c>
      <c r="O2695" t="s">
        <v>11</v>
      </c>
      <c r="P2695" t="s">
        <v>2</v>
      </c>
      <c r="Q2695" t="s">
        <v>11</v>
      </c>
      <c r="R2695" t="s">
        <v>439</v>
      </c>
      <c r="S2695" t="s">
        <v>440</v>
      </c>
      <c r="T2695" t="s">
        <v>11</v>
      </c>
      <c r="U2695" t="s">
        <v>11</v>
      </c>
    </row>
    <row r="2696" spans="1:21" x14ac:dyDescent="0.25">
      <c r="A2696">
        <v>23323458</v>
      </c>
      <c r="B2696" t="s">
        <v>340</v>
      </c>
      <c r="C2696" t="s">
        <v>86</v>
      </c>
      <c r="D2696" t="s">
        <v>12</v>
      </c>
      <c r="E2696" t="s">
        <v>628</v>
      </c>
      <c r="F2696" t="s">
        <v>20</v>
      </c>
      <c r="G2696" t="s">
        <v>468</v>
      </c>
      <c r="H2696" t="s">
        <v>447</v>
      </c>
      <c r="I2696" t="s">
        <v>448</v>
      </c>
      <c r="J2696" t="s">
        <v>449</v>
      </c>
      <c r="K2696" t="s">
        <v>450</v>
      </c>
      <c r="L2696" t="s">
        <v>869</v>
      </c>
      <c r="M2696" t="s">
        <v>408</v>
      </c>
      <c r="N2696" t="s">
        <v>11</v>
      </c>
      <c r="O2696" t="s">
        <v>11</v>
      </c>
      <c r="P2696" t="s">
        <v>2</v>
      </c>
      <c r="Q2696" t="s">
        <v>11</v>
      </c>
      <c r="R2696" t="s">
        <v>439</v>
      </c>
      <c r="S2696" t="s">
        <v>451</v>
      </c>
      <c r="T2696" t="s">
        <v>11</v>
      </c>
      <c r="U2696" t="s">
        <v>11</v>
      </c>
    </row>
    <row r="2697" spans="1:21" x14ac:dyDescent="0.25">
      <c r="A2697">
        <v>23323459</v>
      </c>
      <c r="B2697" t="s">
        <v>340</v>
      </c>
      <c r="C2697" t="s">
        <v>86</v>
      </c>
      <c r="D2697" t="s">
        <v>12</v>
      </c>
      <c r="E2697" t="s">
        <v>628</v>
      </c>
      <c r="F2697" t="s">
        <v>20</v>
      </c>
      <c r="G2697" t="s">
        <v>468</v>
      </c>
      <c r="H2697" t="s">
        <v>761</v>
      </c>
      <c r="I2697" t="s">
        <v>762</v>
      </c>
      <c r="J2697" t="s">
        <v>763</v>
      </c>
      <c r="K2697" t="s">
        <v>764</v>
      </c>
      <c r="L2697" t="s">
        <v>869</v>
      </c>
      <c r="M2697" t="s">
        <v>408</v>
      </c>
      <c r="N2697" t="s">
        <v>11</v>
      </c>
      <c r="O2697" t="s">
        <v>11</v>
      </c>
      <c r="P2697" t="s">
        <v>2</v>
      </c>
      <c r="Q2697" t="s">
        <v>11</v>
      </c>
      <c r="R2697" t="s">
        <v>439</v>
      </c>
      <c r="S2697" t="s">
        <v>440</v>
      </c>
      <c r="T2697" t="s">
        <v>11</v>
      </c>
      <c r="U2697" t="s">
        <v>11</v>
      </c>
    </row>
    <row r="2698" spans="1:21" x14ac:dyDescent="0.25">
      <c r="A2698">
        <v>23323460</v>
      </c>
      <c r="B2698" t="s">
        <v>340</v>
      </c>
      <c r="C2698" t="s">
        <v>86</v>
      </c>
      <c r="D2698" t="s">
        <v>18</v>
      </c>
      <c r="E2698" t="s">
        <v>627</v>
      </c>
      <c r="F2698" t="s">
        <v>21</v>
      </c>
      <c r="G2698" t="s">
        <v>468</v>
      </c>
      <c r="H2698" t="s">
        <v>761</v>
      </c>
      <c r="I2698" t="s">
        <v>762</v>
      </c>
      <c r="J2698" t="s">
        <v>763</v>
      </c>
      <c r="K2698" t="s">
        <v>764</v>
      </c>
      <c r="L2698" t="s">
        <v>869</v>
      </c>
      <c r="M2698" t="s">
        <v>408</v>
      </c>
      <c r="N2698" t="s">
        <v>11</v>
      </c>
      <c r="O2698" t="s">
        <v>11</v>
      </c>
      <c r="P2698" t="s">
        <v>2</v>
      </c>
      <c r="Q2698" t="s">
        <v>11</v>
      </c>
      <c r="R2698" t="s">
        <v>439</v>
      </c>
      <c r="S2698" t="s">
        <v>440</v>
      </c>
      <c r="T2698" t="s">
        <v>11</v>
      </c>
      <c r="U2698" t="s">
        <v>11</v>
      </c>
    </row>
    <row r="2699" spans="1:21" x14ac:dyDescent="0.25">
      <c r="A2699">
        <v>23323462</v>
      </c>
      <c r="B2699" t="s">
        <v>342</v>
      </c>
      <c r="C2699" t="s">
        <v>89</v>
      </c>
      <c r="D2699" t="s">
        <v>12</v>
      </c>
      <c r="E2699" t="s">
        <v>628</v>
      </c>
      <c r="F2699" t="s">
        <v>20</v>
      </c>
      <c r="G2699" t="s">
        <v>468</v>
      </c>
      <c r="H2699" t="s">
        <v>884</v>
      </c>
      <c r="I2699" t="s">
        <v>883</v>
      </c>
      <c r="J2699" t="s">
        <v>882</v>
      </c>
      <c r="K2699" t="s">
        <v>450</v>
      </c>
      <c r="L2699" t="s">
        <v>876</v>
      </c>
      <c r="M2699" t="s">
        <v>11</v>
      </c>
      <c r="N2699" t="s">
        <v>11</v>
      </c>
      <c r="O2699" t="s">
        <v>408</v>
      </c>
      <c r="P2699" t="s">
        <v>2</v>
      </c>
      <c r="Q2699" t="s">
        <v>408</v>
      </c>
      <c r="R2699" t="s">
        <v>439</v>
      </c>
      <c r="S2699" t="s">
        <v>451</v>
      </c>
      <c r="T2699" t="s">
        <v>408</v>
      </c>
      <c r="U2699" t="s">
        <v>408</v>
      </c>
    </row>
    <row r="2700" spans="1:21" x14ac:dyDescent="0.25">
      <c r="A2700">
        <v>23323463</v>
      </c>
      <c r="B2700" t="s">
        <v>340</v>
      </c>
      <c r="C2700" t="s">
        <v>86</v>
      </c>
      <c r="D2700" t="s">
        <v>12</v>
      </c>
      <c r="E2700" t="s">
        <v>628</v>
      </c>
      <c r="F2700" t="s">
        <v>20</v>
      </c>
      <c r="G2700" t="s">
        <v>468</v>
      </c>
      <c r="H2700" t="s">
        <v>2</v>
      </c>
      <c r="I2700" t="s">
        <v>436</v>
      </c>
      <c r="J2700" t="s">
        <v>443</v>
      </c>
      <c r="K2700" t="s">
        <v>444</v>
      </c>
      <c r="L2700" t="s">
        <v>345</v>
      </c>
      <c r="M2700" t="s">
        <v>408</v>
      </c>
      <c r="N2700" t="s">
        <v>11</v>
      </c>
      <c r="O2700" t="s">
        <v>11</v>
      </c>
      <c r="P2700" t="s">
        <v>2</v>
      </c>
      <c r="Q2700" t="s">
        <v>408</v>
      </c>
      <c r="R2700" t="s">
        <v>439</v>
      </c>
      <c r="S2700" t="s">
        <v>440</v>
      </c>
      <c r="T2700" t="s">
        <v>11</v>
      </c>
      <c r="U2700" t="s">
        <v>408</v>
      </c>
    </row>
    <row r="2701" spans="1:21" x14ac:dyDescent="0.25">
      <c r="A2701">
        <v>23323464</v>
      </c>
      <c r="B2701" t="s">
        <v>342</v>
      </c>
      <c r="C2701" t="s">
        <v>89</v>
      </c>
      <c r="D2701" t="s">
        <v>12</v>
      </c>
      <c r="E2701" t="s">
        <v>628</v>
      </c>
      <c r="F2701" t="s">
        <v>20</v>
      </c>
      <c r="G2701" t="s">
        <v>468</v>
      </c>
      <c r="H2701" t="s">
        <v>715</v>
      </c>
      <c r="I2701" t="s">
        <v>716</v>
      </c>
      <c r="J2701" t="s">
        <v>717</v>
      </c>
      <c r="K2701" t="s">
        <v>438</v>
      </c>
      <c r="L2701" t="s">
        <v>907</v>
      </c>
      <c r="M2701" t="s">
        <v>11</v>
      </c>
      <c r="N2701" t="s">
        <v>11</v>
      </c>
      <c r="O2701" t="s">
        <v>408</v>
      </c>
      <c r="P2701" t="s">
        <v>2</v>
      </c>
      <c r="Q2701" t="s">
        <v>408</v>
      </c>
      <c r="R2701" t="s">
        <v>439</v>
      </c>
      <c r="S2701" t="s">
        <v>440</v>
      </c>
      <c r="T2701" t="s">
        <v>408</v>
      </c>
      <c r="U2701" t="s">
        <v>408</v>
      </c>
    </row>
    <row r="2702" spans="1:21" x14ac:dyDescent="0.25">
      <c r="A2702">
        <v>23323465</v>
      </c>
      <c r="B2702" t="s">
        <v>342</v>
      </c>
      <c r="C2702" t="s">
        <v>89</v>
      </c>
      <c r="D2702" t="s">
        <v>12</v>
      </c>
      <c r="E2702" t="s">
        <v>627</v>
      </c>
      <c r="F2702" t="s">
        <v>21</v>
      </c>
      <c r="G2702" t="s">
        <v>468</v>
      </c>
      <c r="H2702" t="s">
        <v>900</v>
      </c>
      <c r="I2702" t="s">
        <v>899</v>
      </c>
      <c r="J2702" t="s">
        <v>898</v>
      </c>
      <c r="K2702" t="s">
        <v>453</v>
      </c>
      <c r="L2702" t="s">
        <v>881</v>
      </c>
      <c r="M2702" t="s">
        <v>11</v>
      </c>
      <c r="N2702" t="s">
        <v>11</v>
      </c>
      <c r="O2702" t="s">
        <v>11</v>
      </c>
      <c r="P2702" t="s">
        <v>2</v>
      </c>
      <c r="Q2702" t="s">
        <v>408</v>
      </c>
      <c r="R2702" t="s">
        <v>439</v>
      </c>
      <c r="S2702" t="s">
        <v>451</v>
      </c>
      <c r="T2702" t="s">
        <v>408</v>
      </c>
      <c r="U2702" t="s">
        <v>408</v>
      </c>
    </row>
    <row r="2703" spans="1:21" x14ac:dyDescent="0.25">
      <c r="A2703">
        <v>23323467</v>
      </c>
      <c r="B2703" t="s">
        <v>340</v>
      </c>
      <c r="C2703" t="s">
        <v>86</v>
      </c>
      <c r="D2703" t="s">
        <v>12</v>
      </c>
      <c r="E2703" t="s">
        <v>628</v>
      </c>
      <c r="F2703" t="s">
        <v>20</v>
      </c>
      <c r="G2703" t="s">
        <v>468</v>
      </c>
      <c r="H2703" t="s">
        <v>761</v>
      </c>
      <c r="I2703" t="s">
        <v>762</v>
      </c>
      <c r="J2703" t="s">
        <v>763</v>
      </c>
      <c r="K2703" t="s">
        <v>764</v>
      </c>
      <c r="L2703" t="s">
        <v>869</v>
      </c>
      <c r="M2703" t="s">
        <v>408</v>
      </c>
      <c r="N2703" t="s">
        <v>11</v>
      </c>
      <c r="O2703" t="s">
        <v>11</v>
      </c>
      <c r="P2703" t="s">
        <v>2</v>
      </c>
      <c r="Q2703" t="s">
        <v>11</v>
      </c>
      <c r="R2703" t="s">
        <v>439</v>
      </c>
      <c r="S2703" t="s">
        <v>440</v>
      </c>
      <c r="T2703" t="s">
        <v>11</v>
      </c>
      <c r="U2703" t="s">
        <v>11</v>
      </c>
    </row>
    <row r="2704" spans="1:21" x14ac:dyDescent="0.25">
      <c r="A2704">
        <v>23323469</v>
      </c>
      <c r="B2704" t="s">
        <v>340</v>
      </c>
      <c r="C2704" t="s">
        <v>86</v>
      </c>
      <c r="D2704" t="s">
        <v>12</v>
      </c>
      <c r="E2704" t="s">
        <v>752</v>
      </c>
      <c r="F2704" t="s">
        <v>562</v>
      </c>
      <c r="G2704" t="s">
        <v>468</v>
      </c>
      <c r="H2704" t="s">
        <v>761</v>
      </c>
      <c r="I2704" t="s">
        <v>762</v>
      </c>
      <c r="J2704" t="s">
        <v>763</v>
      </c>
      <c r="K2704" t="s">
        <v>764</v>
      </c>
      <c r="L2704" t="s">
        <v>869</v>
      </c>
      <c r="M2704" t="s">
        <v>408</v>
      </c>
      <c r="N2704" t="s">
        <v>11</v>
      </c>
      <c r="O2704" t="s">
        <v>11</v>
      </c>
      <c r="P2704" t="s">
        <v>2</v>
      </c>
      <c r="Q2704" t="s">
        <v>11</v>
      </c>
      <c r="R2704" t="s">
        <v>439</v>
      </c>
      <c r="S2704" t="s">
        <v>440</v>
      </c>
      <c r="T2704" t="s">
        <v>11</v>
      </c>
      <c r="U2704" t="s">
        <v>11</v>
      </c>
    </row>
    <row r="2705" spans="1:21" x14ac:dyDescent="0.25">
      <c r="A2705">
        <v>23323470</v>
      </c>
      <c r="B2705" t="s">
        <v>340</v>
      </c>
      <c r="C2705" t="s">
        <v>86</v>
      </c>
      <c r="D2705" t="s">
        <v>12</v>
      </c>
      <c r="E2705" t="s">
        <v>752</v>
      </c>
      <c r="F2705" t="s">
        <v>562</v>
      </c>
      <c r="G2705" t="s">
        <v>468</v>
      </c>
      <c r="H2705" t="s">
        <v>838</v>
      </c>
      <c r="I2705" t="s">
        <v>839</v>
      </c>
      <c r="J2705" t="s">
        <v>839</v>
      </c>
      <c r="K2705" t="s">
        <v>450</v>
      </c>
      <c r="L2705" t="s">
        <v>913</v>
      </c>
      <c r="M2705" t="s">
        <v>11</v>
      </c>
      <c r="N2705" t="s">
        <v>11</v>
      </c>
      <c r="O2705" t="s">
        <v>11</v>
      </c>
      <c r="P2705" t="s">
        <v>2</v>
      </c>
      <c r="Q2705" t="s">
        <v>408</v>
      </c>
      <c r="R2705" t="s">
        <v>439</v>
      </c>
      <c r="S2705" t="s">
        <v>451</v>
      </c>
      <c r="T2705" t="s">
        <v>408</v>
      </c>
      <c r="U2705" t="s">
        <v>408</v>
      </c>
    </row>
    <row r="2706" spans="1:21" x14ac:dyDescent="0.25">
      <c r="A2706">
        <v>23323471</v>
      </c>
      <c r="B2706" t="s">
        <v>342</v>
      </c>
      <c r="C2706" t="s">
        <v>89</v>
      </c>
      <c r="D2706" t="s">
        <v>12</v>
      </c>
      <c r="E2706" t="s">
        <v>628</v>
      </c>
      <c r="F2706" t="s">
        <v>20</v>
      </c>
      <c r="G2706" t="s">
        <v>369</v>
      </c>
      <c r="H2706" t="s">
        <v>907</v>
      </c>
      <c r="I2706" t="s">
        <v>912</v>
      </c>
      <c r="J2706" t="s">
        <v>911</v>
      </c>
      <c r="K2706" t="s">
        <v>910</v>
      </c>
      <c r="L2706" t="s">
        <v>909</v>
      </c>
      <c r="M2706" t="s">
        <v>11</v>
      </c>
      <c r="N2706" t="s">
        <v>11</v>
      </c>
      <c r="O2706" t="s">
        <v>408</v>
      </c>
      <c r="P2706" t="s">
        <v>2</v>
      </c>
      <c r="Q2706" t="s">
        <v>408</v>
      </c>
      <c r="R2706" t="s">
        <v>439</v>
      </c>
      <c r="S2706" t="s">
        <v>440</v>
      </c>
      <c r="T2706" t="s">
        <v>408</v>
      </c>
      <c r="U2706" t="s">
        <v>408</v>
      </c>
    </row>
    <row r="2707" spans="1:21" x14ac:dyDescent="0.25">
      <c r="A2707">
        <v>23323472</v>
      </c>
      <c r="B2707" t="s">
        <v>340</v>
      </c>
      <c r="C2707" t="s">
        <v>86</v>
      </c>
      <c r="D2707" t="s">
        <v>12</v>
      </c>
      <c r="E2707" t="s">
        <v>628</v>
      </c>
      <c r="F2707" t="s">
        <v>20</v>
      </c>
      <c r="G2707" t="s">
        <v>468</v>
      </c>
      <c r="H2707" t="s">
        <v>761</v>
      </c>
      <c r="I2707" t="s">
        <v>762</v>
      </c>
      <c r="J2707" t="s">
        <v>763</v>
      </c>
      <c r="K2707" t="s">
        <v>764</v>
      </c>
      <c r="L2707" t="s">
        <v>869</v>
      </c>
      <c r="M2707" t="s">
        <v>408</v>
      </c>
      <c r="N2707" t="s">
        <v>11</v>
      </c>
      <c r="O2707" t="s">
        <v>11</v>
      </c>
      <c r="P2707" t="s">
        <v>2</v>
      </c>
      <c r="Q2707" t="s">
        <v>11</v>
      </c>
      <c r="R2707" t="s">
        <v>439</v>
      </c>
      <c r="S2707" t="s">
        <v>440</v>
      </c>
      <c r="T2707" t="s">
        <v>11</v>
      </c>
      <c r="U2707" t="s">
        <v>11</v>
      </c>
    </row>
    <row r="2708" spans="1:21" x14ac:dyDescent="0.25">
      <c r="A2708">
        <v>23323473</v>
      </c>
      <c r="B2708" t="s">
        <v>342</v>
      </c>
      <c r="C2708" t="s">
        <v>89</v>
      </c>
      <c r="D2708" t="s">
        <v>18</v>
      </c>
      <c r="E2708" t="s">
        <v>628</v>
      </c>
      <c r="F2708" t="s">
        <v>20</v>
      </c>
      <c r="G2708" t="s">
        <v>369</v>
      </c>
      <c r="H2708" t="s">
        <v>820</v>
      </c>
      <c r="I2708" t="s">
        <v>821</v>
      </c>
      <c r="J2708" t="s">
        <v>822</v>
      </c>
      <c r="K2708" t="s">
        <v>701</v>
      </c>
      <c r="L2708" t="s">
        <v>908</v>
      </c>
      <c r="M2708" t="s">
        <v>408</v>
      </c>
      <c r="N2708" t="s">
        <v>11</v>
      </c>
      <c r="O2708" t="s">
        <v>408</v>
      </c>
      <c r="P2708" t="s">
        <v>2</v>
      </c>
      <c r="Q2708" t="s">
        <v>408</v>
      </c>
      <c r="R2708" t="s">
        <v>439</v>
      </c>
      <c r="S2708" t="s">
        <v>451</v>
      </c>
      <c r="T2708" t="s">
        <v>11</v>
      </c>
      <c r="U2708" t="s">
        <v>408</v>
      </c>
    </row>
    <row r="2709" spans="1:21" x14ac:dyDescent="0.25">
      <c r="A2709">
        <v>23323474</v>
      </c>
      <c r="B2709" t="s">
        <v>342</v>
      </c>
      <c r="C2709" t="s">
        <v>89</v>
      </c>
      <c r="D2709" t="s">
        <v>12</v>
      </c>
      <c r="E2709" t="s">
        <v>627</v>
      </c>
      <c r="F2709" t="s">
        <v>21</v>
      </c>
      <c r="G2709" t="s">
        <v>369</v>
      </c>
      <c r="H2709" t="s">
        <v>715</v>
      </c>
      <c r="I2709" t="s">
        <v>716</v>
      </c>
      <c r="J2709" t="s">
        <v>717</v>
      </c>
      <c r="K2709" t="s">
        <v>438</v>
      </c>
      <c r="L2709" t="s">
        <v>907</v>
      </c>
      <c r="M2709" t="s">
        <v>11</v>
      </c>
      <c r="N2709" t="s">
        <v>11</v>
      </c>
      <c r="O2709" t="s">
        <v>408</v>
      </c>
      <c r="P2709" t="s">
        <v>2</v>
      </c>
      <c r="Q2709" t="s">
        <v>408</v>
      </c>
      <c r="R2709" t="s">
        <v>439</v>
      </c>
      <c r="S2709" t="s">
        <v>440</v>
      </c>
      <c r="T2709" t="s">
        <v>408</v>
      </c>
      <c r="U2709" t="s">
        <v>408</v>
      </c>
    </row>
    <row r="2710" spans="1:21" x14ac:dyDescent="0.25">
      <c r="A2710">
        <v>23323475</v>
      </c>
      <c r="B2710" t="s">
        <v>342</v>
      </c>
      <c r="C2710" t="s">
        <v>89</v>
      </c>
      <c r="D2710" t="s">
        <v>12</v>
      </c>
      <c r="E2710" t="s">
        <v>752</v>
      </c>
      <c r="F2710" t="s">
        <v>562</v>
      </c>
      <c r="G2710" t="s">
        <v>369</v>
      </c>
      <c r="H2710" t="s">
        <v>906</v>
      </c>
      <c r="I2710" t="s">
        <v>905</v>
      </c>
      <c r="J2710" t="s">
        <v>904</v>
      </c>
      <c r="K2710" t="s">
        <v>764</v>
      </c>
      <c r="L2710" t="s">
        <v>5</v>
      </c>
      <c r="M2710" t="s">
        <v>408</v>
      </c>
      <c r="N2710" t="s">
        <v>11</v>
      </c>
      <c r="O2710" t="s">
        <v>11</v>
      </c>
      <c r="P2710" t="s">
        <v>2</v>
      </c>
      <c r="Q2710" t="s">
        <v>408</v>
      </c>
      <c r="R2710" t="s">
        <v>439</v>
      </c>
      <c r="S2710" t="s">
        <v>451</v>
      </c>
      <c r="T2710" t="s">
        <v>11</v>
      </c>
      <c r="U2710" t="s">
        <v>408</v>
      </c>
    </row>
    <row r="2711" spans="1:21" x14ac:dyDescent="0.25">
      <c r="A2711">
        <v>23323476</v>
      </c>
      <c r="B2711" t="s">
        <v>340</v>
      </c>
      <c r="C2711" t="s">
        <v>86</v>
      </c>
      <c r="D2711" t="s">
        <v>12</v>
      </c>
      <c r="E2711" t="s">
        <v>627</v>
      </c>
      <c r="F2711" t="s">
        <v>21</v>
      </c>
      <c r="G2711" t="s">
        <v>468</v>
      </c>
      <c r="H2711" t="s">
        <v>816</v>
      </c>
      <c r="I2711" t="s">
        <v>817</v>
      </c>
      <c r="J2711" t="s">
        <v>818</v>
      </c>
      <c r="K2711" t="s">
        <v>764</v>
      </c>
      <c r="L2711" t="s">
        <v>819</v>
      </c>
      <c r="M2711" t="s">
        <v>408</v>
      </c>
      <c r="N2711" t="s">
        <v>11</v>
      </c>
      <c r="O2711" t="s">
        <v>11</v>
      </c>
      <c r="P2711" t="s">
        <v>2</v>
      </c>
      <c r="Q2711" t="s">
        <v>11</v>
      </c>
      <c r="R2711" t="s">
        <v>439</v>
      </c>
      <c r="S2711" t="s">
        <v>451</v>
      </c>
      <c r="T2711" t="s">
        <v>11</v>
      </c>
      <c r="U2711" t="s">
        <v>11</v>
      </c>
    </row>
    <row r="2712" spans="1:21" x14ac:dyDescent="0.25">
      <c r="A2712">
        <v>23323477</v>
      </c>
      <c r="B2712" t="s">
        <v>342</v>
      </c>
      <c r="C2712" t="s">
        <v>89</v>
      </c>
      <c r="D2712" t="s">
        <v>18</v>
      </c>
      <c r="E2712" t="s">
        <v>628</v>
      </c>
      <c r="F2712" t="s">
        <v>20</v>
      </c>
      <c r="G2712" t="s">
        <v>369</v>
      </c>
      <c r="H2712" t="s">
        <v>903</v>
      </c>
      <c r="I2712" t="s">
        <v>902</v>
      </c>
      <c r="J2712" t="s">
        <v>901</v>
      </c>
      <c r="K2712" t="s">
        <v>438</v>
      </c>
      <c r="L2712" t="s">
        <v>2</v>
      </c>
      <c r="M2712" t="s">
        <v>408</v>
      </c>
      <c r="N2712" t="s">
        <v>11</v>
      </c>
      <c r="O2712" t="s">
        <v>11</v>
      </c>
      <c r="P2712" t="s">
        <v>2</v>
      </c>
      <c r="Q2712" t="s">
        <v>408</v>
      </c>
      <c r="R2712" t="s">
        <v>439</v>
      </c>
      <c r="S2712" t="s">
        <v>451</v>
      </c>
      <c r="T2712" t="s">
        <v>11</v>
      </c>
      <c r="U2712" t="s">
        <v>408</v>
      </c>
    </row>
    <row r="2713" spans="1:21" x14ac:dyDescent="0.25">
      <c r="A2713">
        <v>23323478</v>
      </c>
      <c r="B2713" t="s">
        <v>340</v>
      </c>
      <c r="C2713" t="s">
        <v>86</v>
      </c>
      <c r="D2713" t="s">
        <v>12</v>
      </c>
      <c r="E2713" t="s">
        <v>628</v>
      </c>
      <c r="F2713" t="s">
        <v>20</v>
      </c>
      <c r="G2713" t="s">
        <v>468</v>
      </c>
      <c r="H2713" t="s">
        <v>761</v>
      </c>
      <c r="I2713" t="s">
        <v>762</v>
      </c>
      <c r="J2713" t="s">
        <v>763</v>
      </c>
      <c r="K2713" t="s">
        <v>764</v>
      </c>
      <c r="L2713" t="s">
        <v>869</v>
      </c>
      <c r="M2713" t="s">
        <v>408</v>
      </c>
      <c r="N2713" t="s">
        <v>11</v>
      </c>
      <c r="O2713" t="s">
        <v>11</v>
      </c>
      <c r="P2713" t="s">
        <v>2</v>
      </c>
      <c r="Q2713" t="s">
        <v>11</v>
      </c>
      <c r="R2713" t="s">
        <v>439</v>
      </c>
      <c r="S2713" t="s">
        <v>440</v>
      </c>
      <c r="T2713" t="s">
        <v>11</v>
      </c>
      <c r="U2713" t="s">
        <v>11</v>
      </c>
    </row>
    <row r="2714" spans="1:21" x14ac:dyDescent="0.25">
      <c r="A2714">
        <v>22350427</v>
      </c>
      <c r="B2714" t="s">
        <v>340</v>
      </c>
      <c r="C2714" t="s">
        <v>86</v>
      </c>
      <c r="D2714" t="s">
        <v>12</v>
      </c>
      <c r="E2714" t="s">
        <v>658</v>
      </c>
      <c r="F2714" t="s">
        <v>155</v>
      </c>
      <c r="G2714" t="s">
        <v>468</v>
      </c>
      <c r="H2714" t="s">
        <v>447</v>
      </c>
      <c r="I2714" t="s">
        <v>448</v>
      </c>
      <c r="J2714" t="s">
        <v>449</v>
      </c>
      <c r="K2714" t="s">
        <v>450</v>
      </c>
      <c r="L2714" t="s">
        <v>375</v>
      </c>
      <c r="M2714" t="s">
        <v>408</v>
      </c>
      <c r="N2714" t="s">
        <v>408</v>
      </c>
      <c r="O2714" t="s">
        <v>11</v>
      </c>
      <c r="P2714" t="s">
        <v>0</v>
      </c>
      <c r="Q2714" t="s">
        <v>408</v>
      </c>
      <c r="R2714" t="s">
        <v>439</v>
      </c>
      <c r="S2714" t="s">
        <v>451</v>
      </c>
      <c r="T2714" t="s">
        <v>408</v>
      </c>
      <c r="U2714" t="s">
        <v>408</v>
      </c>
    </row>
    <row r="2715" spans="1:21" x14ac:dyDescent="0.25">
      <c r="A2715">
        <v>23323556</v>
      </c>
      <c r="B2715" t="s">
        <v>342</v>
      </c>
      <c r="C2715" t="s">
        <v>89</v>
      </c>
      <c r="D2715" t="s">
        <v>12</v>
      </c>
      <c r="E2715" t="s">
        <v>506</v>
      </c>
      <c r="F2715" t="s">
        <v>80</v>
      </c>
      <c r="G2715" t="s">
        <v>369</v>
      </c>
      <c r="H2715" t="s">
        <v>875</v>
      </c>
      <c r="I2715" t="s">
        <v>874</v>
      </c>
      <c r="J2715" t="s">
        <v>873</v>
      </c>
      <c r="K2715" t="s">
        <v>438</v>
      </c>
      <c r="L2715" t="s">
        <v>819</v>
      </c>
      <c r="M2715" t="s">
        <v>408</v>
      </c>
      <c r="N2715" t="s">
        <v>11</v>
      </c>
      <c r="O2715" t="s">
        <v>11</v>
      </c>
      <c r="P2715" t="s">
        <v>0</v>
      </c>
      <c r="Q2715" t="s">
        <v>408</v>
      </c>
      <c r="R2715" t="s">
        <v>439</v>
      </c>
      <c r="S2715" t="s">
        <v>451</v>
      </c>
      <c r="T2715" t="s">
        <v>11</v>
      </c>
      <c r="U2715" t="s">
        <v>408</v>
      </c>
    </row>
    <row r="2716" spans="1:21" x14ac:dyDescent="0.25">
      <c r="A2716">
        <v>23323560</v>
      </c>
      <c r="B2716" t="s">
        <v>342</v>
      </c>
      <c r="C2716" t="s">
        <v>89</v>
      </c>
      <c r="D2716" t="s">
        <v>79</v>
      </c>
      <c r="E2716" t="s">
        <v>506</v>
      </c>
      <c r="F2716" t="s">
        <v>80</v>
      </c>
      <c r="G2716" t="s">
        <v>369</v>
      </c>
      <c r="H2716" t="s">
        <v>782</v>
      </c>
      <c r="I2716" t="s">
        <v>783</v>
      </c>
      <c r="J2716" t="s">
        <v>784</v>
      </c>
      <c r="K2716" t="s">
        <v>438</v>
      </c>
      <c r="L2716" t="s">
        <v>881</v>
      </c>
      <c r="M2716" t="s">
        <v>11</v>
      </c>
      <c r="N2716" t="s">
        <v>11</v>
      </c>
      <c r="O2716" t="s">
        <v>11</v>
      </c>
      <c r="P2716" t="s">
        <v>0</v>
      </c>
      <c r="Q2716" t="s">
        <v>408</v>
      </c>
      <c r="R2716" t="s">
        <v>439</v>
      </c>
      <c r="S2716" t="s">
        <v>451</v>
      </c>
      <c r="T2716" t="s">
        <v>408</v>
      </c>
      <c r="U2716" t="s">
        <v>408</v>
      </c>
    </row>
    <row r="2717" spans="1:21" x14ac:dyDescent="0.25">
      <c r="A2717">
        <v>23323565</v>
      </c>
      <c r="B2717" t="s">
        <v>342</v>
      </c>
      <c r="C2717" t="s">
        <v>89</v>
      </c>
      <c r="D2717" t="s">
        <v>12</v>
      </c>
      <c r="E2717" t="s">
        <v>506</v>
      </c>
      <c r="F2717" t="s">
        <v>169</v>
      </c>
      <c r="G2717" t="s">
        <v>369</v>
      </c>
      <c r="H2717" t="s">
        <v>782</v>
      </c>
      <c r="I2717" t="s">
        <v>783</v>
      </c>
      <c r="J2717" t="s">
        <v>784</v>
      </c>
      <c r="K2717" t="s">
        <v>438</v>
      </c>
      <c r="L2717" t="s">
        <v>881</v>
      </c>
      <c r="M2717" t="s">
        <v>11</v>
      </c>
      <c r="N2717" t="s">
        <v>11</v>
      </c>
      <c r="O2717" t="s">
        <v>11</v>
      </c>
      <c r="P2717" t="s">
        <v>0</v>
      </c>
      <c r="Q2717" t="s">
        <v>408</v>
      </c>
      <c r="R2717" t="s">
        <v>439</v>
      </c>
      <c r="S2717" t="s">
        <v>451</v>
      </c>
      <c r="T2717" t="s">
        <v>408</v>
      </c>
      <c r="U2717" t="s">
        <v>408</v>
      </c>
    </row>
    <row r="2718" spans="1:21" x14ac:dyDescent="0.25">
      <c r="A2718">
        <v>23323567</v>
      </c>
      <c r="B2718" t="s">
        <v>342</v>
      </c>
      <c r="C2718" t="s">
        <v>89</v>
      </c>
      <c r="D2718" t="s">
        <v>12</v>
      </c>
      <c r="E2718" t="s">
        <v>506</v>
      </c>
      <c r="F2718" t="s">
        <v>80</v>
      </c>
      <c r="G2718" t="s">
        <v>369</v>
      </c>
      <c r="H2718" t="s">
        <v>900</v>
      </c>
      <c r="I2718" t="s">
        <v>899</v>
      </c>
      <c r="J2718" t="s">
        <v>898</v>
      </c>
      <c r="K2718" t="s">
        <v>453</v>
      </c>
      <c r="L2718" t="s">
        <v>881</v>
      </c>
      <c r="M2718" t="s">
        <v>11</v>
      </c>
      <c r="N2718" t="s">
        <v>11</v>
      </c>
      <c r="O2718" t="s">
        <v>11</v>
      </c>
      <c r="P2718" t="s">
        <v>0</v>
      </c>
      <c r="Q2718" t="s">
        <v>408</v>
      </c>
      <c r="R2718" t="s">
        <v>439</v>
      </c>
      <c r="S2718" t="s">
        <v>451</v>
      </c>
      <c r="T2718" t="s">
        <v>408</v>
      </c>
      <c r="U2718" t="s">
        <v>408</v>
      </c>
    </row>
    <row r="2719" spans="1:21" x14ac:dyDescent="0.25">
      <c r="A2719">
        <v>23323568</v>
      </c>
      <c r="B2719" t="s">
        <v>342</v>
      </c>
      <c r="C2719" t="s">
        <v>89</v>
      </c>
      <c r="D2719" t="s">
        <v>79</v>
      </c>
      <c r="E2719" t="s">
        <v>626</v>
      </c>
      <c r="F2719" t="s">
        <v>83</v>
      </c>
      <c r="G2719" t="s">
        <v>468</v>
      </c>
      <c r="H2719" t="s">
        <v>900</v>
      </c>
      <c r="I2719" t="s">
        <v>899</v>
      </c>
      <c r="J2719" t="s">
        <v>898</v>
      </c>
      <c r="K2719" t="s">
        <v>453</v>
      </c>
      <c r="L2719" t="s">
        <v>881</v>
      </c>
      <c r="M2719" t="s">
        <v>11</v>
      </c>
      <c r="N2719" t="s">
        <v>11</v>
      </c>
      <c r="O2719" t="s">
        <v>11</v>
      </c>
      <c r="P2719" t="s">
        <v>0</v>
      </c>
      <c r="Q2719" t="s">
        <v>408</v>
      </c>
      <c r="R2719" t="s">
        <v>439</v>
      </c>
      <c r="S2719" t="s">
        <v>451</v>
      </c>
      <c r="T2719" t="s">
        <v>408</v>
      </c>
      <c r="U2719" t="s">
        <v>408</v>
      </c>
    </row>
    <row r="2720" spans="1:21" x14ac:dyDescent="0.25">
      <c r="A2720">
        <v>23323569</v>
      </c>
      <c r="B2720" t="s">
        <v>342</v>
      </c>
      <c r="C2720" t="s">
        <v>89</v>
      </c>
      <c r="D2720" t="s">
        <v>12</v>
      </c>
      <c r="E2720" t="s">
        <v>626</v>
      </c>
      <c r="F2720" t="s">
        <v>17</v>
      </c>
      <c r="G2720" t="s">
        <v>369</v>
      </c>
      <c r="H2720" t="s">
        <v>889</v>
      </c>
      <c r="I2720" t="s">
        <v>888</v>
      </c>
      <c r="J2720" t="s">
        <v>887</v>
      </c>
      <c r="K2720" t="s">
        <v>764</v>
      </c>
      <c r="L2720" t="s">
        <v>876</v>
      </c>
      <c r="M2720" t="s">
        <v>11</v>
      </c>
      <c r="N2720" t="s">
        <v>11</v>
      </c>
      <c r="O2720" t="s">
        <v>11</v>
      </c>
      <c r="P2720" t="s">
        <v>2</v>
      </c>
      <c r="Q2720" t="s">
        <v>408</v>
      </c>
      <c r="R2720" t="s">
        <v>439</v>
      </c>
      <c r="S2720" t="s">
        <v>451</v>
      </c>
      <c r="T2720" t="s">
        <v>408</v>
      </c>
      <c r="U2720" t="s">
        <v>408</v>
      </c>
    </row>
    <row r="2721" spans="1:21" x14ac:dyDescent="0.25">
      <c r="A2721">
        <v>23323570</v>
      </c>
      <c r="B2721" t="s">
        <v>342</v>
      </c>
      <c r="C2721" t="s">
        <v>89</v>
      </c>
      <c r="D2721" t="s">
        <v>12</v>
      </c>
      <c r="E2721" t="s">
        <v>626</v>
      </c>
      <c r="F2721" t="s">
        <v>23</v>
      </c>
      <c r="G2721" t="s">
        <v>468</v>
      </c>
      <c r="H2721" t="s">
        <v>2</v>
      </c>
      <c r="I2721" t="s">
        <v>436</v>
      </c>
      <c r="J2721" t="s">
        <v>443</v>
      </c>
      <c r="K2721" t="s">
        <v>444</v>
      </c>
      <c r="L2721" t="s">
        <v>345</v>
      </c>
      <c r="M2721" t="s">
        <v>408</v>
      </c>
      <c r="N2721" t="s">
        <v>11</v>
      </c>
      <c r="O2721" t="s">
        <v>11</v>
      </c>
      <c r="P2721" t="s">
        <v>2</v>
      </c>
      <c r="Q2721" t="s">
        <v>408</v>
      </c>
      <c r="R2721" t="s">
        <v>439</v>
      </c>
      <c r="S2721" t="s">
        <v>440</v>
      </c>
      <c r="T2721" t="s">
        <v>11</v>
      </c>
      <c r="U2721" t="s">
        <v>408</v>
      </c>
    </row>
    <row r="2722" spans="1:21" x14ac:dyDescent="0.25">
      <c r="A2722">
        <v>23323571</v>
      </c>
      <c r="B2722" t="s">
        <v>342</v>
      </c>
      <c r="C2722" t="s">
        <v>89</v>
      </c>
      <c r="D2722" t="s">
        <v>18</v>
      </c>
      <c r="E2722" t="s">
        <v>626</v>
      </c>
      <c r="F2722" t="s">
        <v>23</v>
      </c>
      <c r="G2722" t="s">
        <v>369</v>
      </c>
      <c r="H2722" t="s">
        <v>786</v>
      </c>
      <c r="I2722" t="s">
        <v>787</v>
      </c>
      <c r="J2722" t="s">
        <v>788</v>
      </c>
      <c r="K2722" t="s">
        <v>789</v>
      </c>
      <c r="L2722" t="s">
        <v>897</v>
      </c>
      <c r="M2722" t="s">
        <v>408</v>
      </c>
      <c r="N2722" t="s">
        <v>11</v>
      </c>
      <c r="O2722" t="s">
        <v>11</v>
      </c>
      <c r="P2722" t="s">
        <v>2</v>
      </c>
      <c r="Q2722" t="s">
        <v>408</v>
      </c>
      <c r="R2722" t="s">
        <v>439</v>
      </c>
      <c r="S2722" t="s">
        <v>440</v>
      </c>
      <c r="T2722" t="s">
        <v>11</v>
      </c>
      <c r="U2722" t="s">
        <v>408</v>
      </c>
    </row>
    <row r="2723" spans="1:21" x14ac:dyDescent="0.25">
      <c r="A2723">
        <v>23323573</v>
      </c>
      <c r="B2723" t="s">
        <v>342</v>
      </c>
      <c r="C2723" t="s">
        <v>89</v>
      </c>
      <c r="D2723" t="s">
        <v>12</v>
      </c>
      <c r="E2723" t="s">
        <v>627</v>
      </c>
      <c r="F2723" t="s">
        <v>81</v>
      </c>
      <c r="G2723" t="s">
        <v>369</v>
      </c>
      <c r="H2723" t="s">
        <v>884</v>
      </c>
      <c r="I2723" t="s">
        <v>883</v>
      </c>
      <c r="J2723" t="s">
        <v>882</v>
      </c>
      <c r="K2723" t="s">
        <v>450</v>
      </c>
      <c r="L2723" t="s">
        <v>881</v>
      </c>
      <c r="M2723" t="s">
        <v>11</v>
      </c>
      <c r="N2723" t="s">
        <v>11</v>
      </c>
      <c r="O2723" t="s">
        <v>11</v>
      </c>
      <c r="P2723" t="s">
        <v>2</v>
      </c>
      <c r="Q2723" t="s">
        <v>408</v>
      </c>
      <c r="R2723" t="s">
        <v>439</v>
      </c>
      <c r="S2723" t="s">
        <v>451</v>
      </c>
      <c r="T2723" t="s">
        <v>408</v>
      </c>
      <c r="U2723" t="s">
        <v>408</v>
      </c>
    </row>
    <row r="2724" spans="1:21" x14ac:dyDescent="0.25">
      <c r="A2724">
        <v>23323578</v>
      </c>
      <c r="B2724" t="s">
        <v>342</v>
      </c>
      <c r="C2724" t="s">
        <v>89</v>
      </c>
      <c r="D2724" t="s">
        <v>12</v>
      </c>
      <c r="E2724" t="s">
        <v>627</v>
      </c>
      <c r="F2724" t="s">
        <v>16</v>
      </c>
      <c r="G2724" t="s">
        <v>468</v>
      </c>
      <c r="H2724" t="s">
        <v>838</v>
      </c>
      <c r="I2724" t="s">
        <v>839</v>
      </c>
      <c r="J2724" t="s">
        <v>839</v>
      </c>
      <c r="K2724" t="s">
        <v>450</v>
      </c>
      <c r="L2724" t="s">
        <v>881</v>
      </c>
      <c r="M2724" t="s">
        <v>11</v>
      </c>
      <c r="N2724" t="s">
        <v>11</v>
      </c>
      <c r="O2724" t="s">
        <v>11</v>
      </c>
      <c r="P2724" t="s">
        <v>2</v>
      </c>
      <c r="Q2724" t="s">
        <v>408</v>
      </c>
      <c r="R2724" t="s">
        <v>439</v>
      </c>
      <c r="S2724" t="s">
        <v>451</v>
      </c>
      <c r="T2724" t="s">
        <v>408</v>
      </c>
      <c r="U2724" t="s">
        <v>408</v>
      </c>
    </row>
    <row r="2725" spans="1:21" x14ac:dyDescent="0.25">
      <c r="A2725">
        <v>23323579</v>
      </c>
      <c r="B2725" t="s">
        <v>342</v>
      </c>
      <c r="C2725" t="s">
        <v>89</v>
      </c>
      <c r="D2725" t="s">
        <v>18</v>
      </c>
      <c r="E2725" t="s">
        <v>626</v>
      </c>
      <c r="F2725" t="s">
        <v>17</v>
      </c>
      <c r="G2725" t="s">
        <v>369</v>
      </c>
      <c r="H2725" t="s">
        <v>892</v>
      </c>
      <c r="I2725" t="s">
        <v>891</v>
      </c>
      <c r="J2725" t="s">
        <v>890</v>
      </c>
      <c r="K2725" t="s">
        <v>606</v>
      </c>
      <c r="L2725" t="s">
        <v>876</v>
      </c>
      <c r="M2725" t="s">
        <v>11</v>
      </c>
      <c r="N2725" t="s">
        <v>11</v>
      </c>
      <c r="O2725" t="s">
        <v>11</v>
      </c>
      <c r="P2725" t="s">
        <v>2</v>
      </c>
      <c r="Q2725" t="s">
        <v>408</v>
      </c>
      <c r="R2725" t="s">
        <v>439</v>
      </c>
      <c r="S2725" t="s">
        <v>451</v>
      </c>
      <c r="T2725" t="s">
        <v>408</v>
      </c>
      <c r="U2725" t="s">
        <v>408</v>
      </c>
    </row>
    <row r="2726" spans="1:21" x14ac:dyDescent="0.25">
      <c r="A2726">
        <v>23323580</v>
      </c>
      <c r="B2726" t="s">
        <v>342</v>
      </c>
      <c r="C2726" t="s">
        <v>89</v>
      </c>
      <c r="D2726" t="s">
        <v>18</v>
      </c>
      <c r="E2726" t="s">
        <v>506</v>
      </c>
      <c r="F2726" t="s">
        <v>80</v>
      </c>
      <c r="G2726" t="s">
        <v>369</v>
      </c>
      <c r="H2726" t="s">
        <v>674</v>
      </c>
      <c r="I2726" t="s">
        <v>849</v>
      </c>
      <c r="J2726" t="s">
        <v>848</v>
      </c>
      <c r="K2726" t="s">
        <v>442</v>
      </c>
      <c r="L2726" t="s">
        <v>367</v>
      </c>
      <c r="M2726" t="s">
        <v>408</v>
      </c>
      <c r="N2726" t="s">
        <v>11</v>
      </c>
      <c r="O2726" t="s">
        <v>11</v>
      </c>
      <c r="P2726" t="s">
        <v>2</v>
      </c>
      <c r="Q2726" t="s">
        <v>408</v>
      </c>
      <c r="R2726" t="s">
        <v>439</v>
      </c>
      <c r="S2726" t="s">
        <v>451</v>
      </c>
      <c r="T2726" t="s">
        <v>11</v>
      </c>
      <c r="U2726" t="s">
        <v>408</v>
      </c>
    </row>
    <row r="2727" spans="1:21" x14ac:dyDescent="0.25">
      <c r="A2727">
        <v>23323581</v>
      </c>
      <c r="B2727" t="s">
        <v>342</v>
      </c>
      <c r="C2727" t="s">
        <v>89</v>
      </c>
      <c r="D2727" t="s">
        <v>12</v>
      </c>
      <c r="E2727" t="s">
        <v>626</v>
      </c>
      <c r="F2727" t="s">
        <v>23</v>
      </c>
      <c r="G2727" t="s">
        <v>369</v>
      </c>
      <c r="H2727" t="s">
        <v>896</v>
      </c>
      <c r="I2727" t="s">
        <v>895</v>
      </c>
      <c r="J2727" t="s">
        <v>894</v>
      </c>
      <c r="K2727" t="s">
        <v>462</v>
      </c>
      <c r="L2727" t="s">
        <v>893</v>
      </c>
      <c r="M2727" t="s">
        <v>11</v>
      </c>
      <c r="N2727" t="s">
        <v>11</v>
      </c>
      <c r="O2727" t="s">
        <v>11</v>
      </c>
      <c r="P2727" t="s">
        <v>2</v>
      </c>
      <c r="Q2727" t="s">
        <v>408</v>
      </c>
      <c r="R2727" t="s">
        <v>439</v>
      </c>
      <c r="S2727" t="s">
        <v>451</v>
      </c>
      <c r="T2727" t="s">
        <v>408</v>
      </c>
      <c r="U2727" t="s">
        <v>408</v>
      </c>
    </row>
    <row r="2728" spans="1:21" x14ac:dyDescent="0.25">
      <c r="A2728">
        <v>23323582</v>
      </c>
      <c r="B2728" t="s">
        <v>340</v>
      </c>
      <c r="C2728" t="s">
        <v>86</v>
      </c>
      <c r="D2728" t="s">
        <v>12</v>
      </c>
      <c r="E2728" t="s">
        <v>626</v>
      </c>
      <c r="F2728" t="s">
        <v>23</v>
      </c>
      <c r="G2728" t="s">
        <v>468</v>
      </c>
      <c r="H2728" t="s">
        <v>2</v>
      </c>
      <c r="I2728" t="s">
        <v>436</v>
      </c>
      <c r="J2728" t="s">
        <v>443</v>
      </c>
      <c r="K2728" t="s">
        <v>444</v>
      </c>
      <c r="L2728" t="s">
        <v>345</v>
      </c>
      <c r="M2728" t="s">
        <v>408</v>
      </c>
      <c r="N2728" t="s">
        <v>11</v>
      </c>
      <c r="O2728" t="s">
        <v>11</v>
      </c>
      <c r="P2728" t="s">
        <v>2</v>
      </c>
      <c r="Q2728" t="s">
        <v>408</v>
      </c>
      <c r="R2728" t="s">
        <v>439</v>
      </c>
      <c r="S2728" t="s">
        <v>440</v>
      </c>
      <c r="T2728" t="s">
        <v>11</v>
      </c>
      <c r="U2728" t="s">
        <v>408</v>
      </c>
    </row>
    <row r="2729" spans="1:21" x14ac:dyDescent="0.25">
      <c r="A2729">
        <v>23323583</v>
      </c>
      <c r="B2729" t="s">
        <v>342</v>
      </c>
      <c r="C2729" t="s">
        <v>89</v>
      </c>
      <c r="D2729" t="s">
        <v>79</v>
      </c>
      <c r="E2729" t="s">
        <v>626</v>
      </c>
      <c r="F2729" t="s">
        <v>17</v>
      </c>
      <c r="G2729" t="s">
        <v>369</v>
      </c>
      <c r="H2729" t="s">
        <v>892</v>
      </c>
      <c r="I2729" t="s">
        <v>891</v>
      </c>
      <c r="J2729" t="s">
        <v>890</v>
      </c>
      <c r="K2729" t="s">
        <v>606</v>
      </c>
      <c r="L2729" t="s">
        <v>876</v>
      </c>
      <c r="M2729" t="s">
        <v>11</v>
      </c>
      <c r="N2729" t="s">
        <v>11</v>
      </c>
      <c r="O2729" t="s">
        <v>11</v>
      </c>
      <c r="P2729" t="s">
        <v>2</v>
      </c>
      <c r="Q2729" t="s">
        <v>408</v>
      </c>
      <c r="R2729" t="s">
        <v>439</v>
      </c>
      <c r="S2729" t="s">
        <v>451</v>
      </c>
      <c r="T2729" t="s">
        <v>408</v>
      </c>
      <c r="U2729" t="s">
        <v>408</v>
      </c>
    </row>
    <row r="2730" spans="1:21" x14ac:dyDescent="0.25">
      <c r="A2730">
        <v>23323586</v>
      </c>
      <c r="B2730" t="s">
        <v>340</v>
      </c>
      <c r="C2730" t="s">
        <v>86</v>
      </c>
      <c r="D2730" t="s">
        <v>18</v>
      </c>
      <c r="E2730" t="s">
        <v>626</v>
      </c>
      <c r="F2730" t="s">
        <v>17</v>
      </c>
      <c r="G2730" t="s">
        <v>468</v>
      </c>
      <c r="H2730" t="s">
        <v>2</v>
      </c>
      <c r="I2730" t="s">
        <v>436</v>
      </c>
      <c r="J2730" t="s">
        <v>443</v>
      </c>
      <c r="K2730" t="s">
        <v>444</v>
      </c>
      <c r="L2730" t="s">
        <v>345</v>
      </c>
      <c r="M2730" t="s">
        <v>408</v>
      </c>
      <c r="N2730" t="s">
        <v>11</v>
      </c>
      <c r="O2730" t="s">
        <v>11</v>
      </c>
      <c r="P2730" t="s">
        <v>2</v>
      </c>
      <c r="Q2730" t="s">
        <v>408</v>
      </c>
      <c r="R2730" t="s">
        <v>439</v>
      </c>
      <c r="S2730" t="s">
        <v>440</v>
      </c>
      <c r="T2730" t="s">
        <v>11</v>
      </c>
      <c r="U2730" t="s">
        <v>408</v>
      </c>
    </row>
    <row r="2731" spans="1:21" x14ac:dyDescent="0.25">
      <c r="A2731">
        <v>23323587</v>
      </c>
      <c r="B2731" t="s">
        <v>342</v>
      </c>
      <c r="C2731" t="s">
        <v>89</v>
      </c>
      <c r="D2731" t="s">
        <v>12</v>
      </c>
      <c r="E2731" t="s">
        <v>626</v>
      </c>
      <c r="F2731" t="s">
        <v>23</v>
      </c>
      <c r="G2731" t="s">
        <v>369</v>
      </c>
      <c r="H2731" t="s">
        <v>889</v>
      </c>
      <c r="I2731" t="s">
        <v>888</v>
      </c>
      <c r="J2731" t="s">
        <v>887</v>
      </c>
      <c r="K2731" t="s">
        <v>764</v>
      </c>
      <c r="L2731" t="s">
        <v>876</v>
      </c>
      <c r="M2731" t="s">
        <v>11</v>
      </c>
      <c r="N2731" t="s">
        <v>11</v>
      </c>
      <c r="O2731" t="s">
        <v>11</v>
      </c>
      <c r="P2731" t="s">
        <v>2</v>
      </c>
      <c r="Q2731" t="s">
        <v>408</v>
      </c>
      <c r="R2731" t="s">
        <v>439</v>
      </c>
      <c r="S2731" t="s">
        <v>451</v>
      </c>
      <c r="T2731" t="s">
        <v>408</v>
      </c>
      <c r="U2731" t="s">
        <v>408</v>
      </c>
    </row>
    <row r="2732" spans="1:21" x14ac:dyDescent="0.25">
      <c r="A2732">
        <v>23323588</v>
      </c>
      <c r="B2732" t="s">
        <v>342</v>
      </c>
      <c r="C2732" t="s">
        <v>89</v>
      </c>
      <c r="D2732" t="s">
        <v>12</v>
      </c>
      <c r="E2732" t="s">
        <v>627</v>
      </c>
      <c r="F2732" t="s">
        <v>16</v>
      </c>
      <c r="G2732" t="s">
        <v>468</v>
      </c>
      <c r="H2732" t="s">
        <v>793</v>
      </c>
      <c r="I2732" t="s">
        <v>794</v>
      </c>
      <c r="J2732" t="s">
        <v>795</v>
      </c>
      <c r="K2732" t="s">
        <v>796</v>
      </c>
      <c r="L2732" t="s">
        <v>886</v>
      </c>
      <c r="M2732" t="s">
        <v>11</v>
      </c>
      <c r="N2732" t="s">
        <v>11</v>
      </c>
      <c r="O2732" t="s">
        <v>11</v>
      </c>
      <c r="P2732" t="s">
        <v>2</v>
      </c>
      <c r="Q2732" t="s">
        <v>408</v>
      </c>
      <c r="R2732" t="s">
        <v>439</v>
      </c>
      <c r="S2732" t="s">
        <v>440</v>
      </c>
      <c r="T2732" t="s">
        <v>408</v>
      </c>
      <c r="U2732" t="s">
        <v>408</v>
      </c>
    </row>
    <row r="2733" spans="1:21" x14ac:dyDescent="0.25">
      <c r="A2733">
        <v>23323591</v>
      </c>
      <c r="B2733" t="s">
        <v>342</v>
      </c>
      <c r="C2733" t="s">
        <v>89</v>
      </c>
      <c r="D2733" t="s">
        <v>18</v>
      </c>
      <c r="E2733" t="s">
        <v>628</v>
      </c>
      <c r="F2733" t="s">
        <v>85</v>
      </c>
      <c r="G2733" t="s">
        <v>369</v>
      </c>
      <c r="H2733" t="s">
        <v>884</v>
      </c>
      <c r="I2733" t="s">
        <v>883</v>
      </c>
      <c r="J2733" t="s">
        <v>882</v>
      </c>
      <c r="K2733" t="s">
        <v>450</v>
      </c>
      <c r="L2733" t="s">
        <v>885</v>
      </c>
      <c r="M2733" t="s">
        <v>11</v>
      </c>
      <c r="N2733" t="s">
        <v>11</v>
      </c>
      <c r="O2733" t="s">
        <v>408</v>
      </c>
      <c r="P2733" t="s">
        <v>0</v>
      </c>
      <c r="Q2733" t="s">
        <v>408</v>
      </c>
      <c r="R2733" t="s">
        <v>439</v>
      </c>
      <c r="S2733" t="s">
        <v>451</v>
      </c>
      <c r="T2733" t="s">
        <v>408</v>
      </c>
      <c r="U2733" t="s">
        <v>408</v>
      </c>
    </row>
    <row r="2734" spans="1:21" x14ac:dyDescent="0.25">
      <c r="A2734">
        <v>23323592</v>
      </c>
      <c r="B2734" t="s">
        <v>340</v>
      </c>
      <c r="C2734" t="s">
        <v>86</v>
      </c>
      <c r="D2734" t="s">
        <v>12</v>
      </c>
      <c r="E2734" t="s">
        <v>626</v>
      </c>
      <c r="F2734" t="s">
        <v>23</v>
      </c>
      <c r="G2734" t="s">
        <v>468</v>
      </c>
      <c r="H2734" t="s">
        <v>447</v>
      </c>
      <c r="I2734" t="s">
        <v>448</v>
      </c>
      <c r="J2734" t="s">
        <v>449</v>
      </c>
      <c r="K2734" t="s">
        <v>450</v>
      </c>
      <c r="L2734" t="s">
        <v>683</v>
      </c>
      <c r="M2734" t="s">
        <v>408</v>
      </c>
      <c r="N2734" t="s">
        <v>11</v>
      </c>
      <c r="O2734" t="s">
        <v>11</v>
      </c>
      <c r="P2734" t="s">
        <v>0</v>
      </c>
      <c r="Q2734" t="s">
        <v>408</v>
      </c>
      <c r="R2734" t="s">
        <v>439</v>
      </c>
      <c r="S2734" t="s">
        <v>451</v>
      </c>
      <c r="T2734" t="s">
        <v>11</v>
      </c>
      <c r="U2734" t="s">
        <v>408</v>
      </c>
    </row>
    <row r="2735" spans="1:21" x14ac:dyDescent="0.25">
      <c r="A2735">
        <v>20910765</v>
      </c>
      <c r="B2735" t="s">
        <v>340</v>
      </c>
      <c r="C2735" t="s">
        <v>26</v>
      </c>
      <c r="D2735" t="s">
        <v>12</v>
      </c>
      <c r="E2735" t="s">
        <v>622</v>
      </c>
      <c r="F2735" t="s">
        <v>221</v>
      </c>
      <c r="G2735" t="s">
        <v>468</v>
      </c>
      <c r="H2735" t="s">
        <v>0</v>
      </c>
      <c r="I2735" t="s">
        <v>436</v>
      </c>
      <c r="J2735" t="s">
        <v>437</v>
      </c>
      <c r="K2735" t="s">
        <v>438</v>
      </c>
      <c r="L2735" t="s">
        <v>345</v>
      </c>
      <c r="M2735" t="s">
        <v>408</v>
      </c>
      <c r="N2735" t="s">
        <v>408</v>
      </c>
      <c r="O2735" t="s">
        <v>11</v>
      </c>
      <c r="P2735" t="s">
        <v>0</v>
      </c>
      <c r="Q2735" t="s">
        <v>408</v>
      </c>
      <c r="R2735" t="s">
        <v>439</v>
      </c>
      <c r="S2735" t="s">
        <v>440</v>
      </c>
      <c r="T2735" t="s">
        <v>408</v>
      </c>
      <c r="U2735" t="s">
        <v>408</v>
      </c>
    </row>
    <row r="2736" spans="1:21" x14ac:dyDescent="0.25">
      <c r="A2736">
        <v>23323594</v>
      </c>
      <c r="B2736" t="s">
        <v>342</v>
      </c>
      <c r="C2736" t="s">
        <v>89</v>
      </c>
      <c r="D2736" t="s">
        <v>12</v>
      </c>
      <c r="E2736" t="s">
        <v>626</v>
      </c>
      <c r="F2736" t="s">
        <v>17</v>
      </c>
      <c r="G2736" t="s">
        <v>369</v>
      </c>
      <c r="H2736" t="s">
        <v>884</v>
      </c>
      <c r="I2736" t="s">
        <v>883</v>
      </c>
      <c r="J2736" t="s">
        <v>882</v>
      </c>
      <c r="K2736" t="s">
        <v>450</v>
      </c>
      <c r="L2736" t="s">
        <v>881</v>
      </c>
      <c r="M2736" t="s">
        <v>11</v>
      </c>
      <c r="N2736" t="s">
        <v>11</v>
      </c>
      <c r="O2736" t="s">
        <v>11</v>
      </c>
      <c r="P2736" t="s">
        <v>0</v>
      </c>
      <c r="Q2736" t="s">
        <v>408</v>
      </c>
      <c r="R2736" t="s">
        <v>439</v>
      </c>
      <c r="S2736" t="s">
        <v>451</v>
      </c>
      <c r="T2736" t="s">
        <v>408</v>
      </c>
      <c r="U2736" t="s">
        <v>408</v>
      </c>
    </row>
    <row r="2737" spans="1:21" x14ac:dyDescent="0.25">
      <c r="A2737">
        <v>23323595</v>
      </c>
      <c r="B2737" t="s">
        <v>340</v>
      </c>
      <c r="C2737" t="s">
        <v>86</v>
      </c>
      <c r="D2737" t="s">
        <v>18</v>
      </c>
      <c r="E2737" t="s">
        <v>505</v>
      </c>
      <c r="F2737" t="s">
        <v>378</v>
      </c>
      <c r="G2737" t="s">
        <v>468</v>
      </c>
      <c r="H2737" t="s">
        <v>2</v>
      </c>
      <c r="I2737" t="s">
        <v>436</v>
      </c>
      <c r="J2737" t="s">
        <v>443</v>
      </c>
      <c r="K2737" t="s">
        <v>444</v>
      </c>
      <c r="L2737" t="s">
        <v>0</v>
      </c>
      <c r="M2737" t="s">
        <v>408</v>
      </c>
      <c r="N2737" t="s">
        <v>11</v>
      </c>
      <c r="O2737" t="s">
        <v>11</v>
      </c>
      <c r="P2737" t="s">
        <v>0</v>
      </c>
      <c r="Q2737" t="s">
        <v>408</v>
      </c>
      <c r="R2737" t="s">
        <v>439</v>
      </c>
      <c r="S2737" t="s">
        <v>440</v>
      </c>
      <c r="T2737" t="s">
        <v>11</v>
      </c>
      <c r="U2737" t="s">
        <v>408</v>
      </c>
    </row>
    <row r="2738" spans="1:21" x14ac:dyDescent="0.25">
      <c r="A2738">
        <v>23323596</v>
      </c>
      <c r="B2738" t="s">
        <v>342</v>
      </c>
      <c r="C2738" t="s">
        <v>89</v>
      </c>
      <c r="D2738" t="s">
        <v>12</v>
      </c>
      <c r="E2738" t="s">
        <v>485</v>
      </c>
      <c r="F2738" t="s">
        <v>178</v>
      </c>
      <c r="G2738" t="s">
        <v>369</v>
      </c>
      <c r="H2738" t="s">
        <v>875</v>
      </c>
      <c r="I2738" t="s">
        <v>874</v>
      </c>
      <c r="J2738" t="s">
        <v>873</v>
      </c>
      <c r="K2738" t="s">
        <v>438</v>
      </c>
      <c r="L2738" t="s">
        <v>819</v>
      </c>
      <c r="M2738" t="s">
        <v>408</v>
      </c>
      <c r="N2738" t="s">
        <v>408</v>
      </c>
      <c r="O2738" t="s">
        <v>11</v>
      </c>
      <c r="P2738" t="s">
        <v>0</v>
      </c>
      <c r="Q2738" t="s">
        <v>408</v>
      </c>
      <c r="R2738" t="s">
        <v>439</v>
      </c>
      <c r="S2738" t="s">
        <v>451</v>
      </c>
      <c r="T2738" t="s">
        <v>408</v>
      </c>
      <c r="U2738" t="s">
        <v>408</v>
      </c>
    </row>
    <row r="2739" spans="1:21" x14ac:dyDescent="0.25">
      <c r="A2739">
        <v>23323600</v>
      </c>
      <c r="B2739" t="s">
        <v>342</v>
      </c>
      <c r="C2739" t="s">
        <v>89</v>
      </c>
      <c r="D2739" t="s">
        <v>12</v>
      </c>
      <c r="E2739" t="s">
        <v>526</v>
      </c>
      <c r="F2739" t="s">
        <v>373</v>
      </c>
      <c r="G2739" t="s">
        <v>369</v>
      </c>
      <c r="H2739" t="s">
        <v>861</v>
      </c>
      <c r="I2739" t="s">
        <v>860</v>
      </c>
      <c r="J2739" t="s">
        <v>859</v>
      </c>
      <c r="K2739" t="s">
        <v>450</v>
      </c>
      <c r="L2739" t="s">
        <v>367</v>
      </c>
      <c r="M2739" t="s">
        <v>408</v>
      </c>
      <c r="N2739" t="s">
        <v>11</v>
      </c>
      <c r="O2739" t="s">
        <v>11</v>
      </c>
      <c r="P2739" t="s">
        <v>0</v>
      </c>
      <c r="Q2739" t="s">
        <v>408</v>
      </c>
      <c r="R2739" t="s">
        <v>439</v>
      </c>
      <c r="S2739" t="s">
        <v>440</v>
      </c>
      <c r="T2739" t="s">
        <v>11</v>
      </c>
      <c r="U2739" t="s">
        <v>408</v>
      </c>
    </row>
    <row r="2740" spans="1:21" x14ac:dyDescent="0.25">
      <c r="A2740">
        <v>23323601</v>
      </c>
      <c r="B2740" t="s">
        <v>342</v>
      </c>
      <c r="C2740" t="s">
        <v>89</v>
      </c>
      <c r="D2740" t="s">
        <v>12</v>
      </c>
      <c r="E2740" t="s">
        <v>526</v>
      </c>
      <c r="F2740" t="s">
        <v>373</v>
      </c>
      <c r="G2740" t="s">
        <v>369</v>
      </c>
      <c r="H2740" t="s">
        <v>875</v>
      </c>
      <c r="I2740" t="s">
        <v>874</v>
      </c>
      <c r="J2740" t="s">
        <v>873</v>
      </c>
      <c r="K2740" t="s">
        <v>438</v>
      </c>
      <c r="L2740" t="s">
        <v>819</v>
      </c>
      <c r="M2740" t="s">
        <v>408</v>
      </c>
      <c r="N2740" t="s">
        <v>11</v>
      </c>
      <c r="O2740" t="s">
        <v>11</v>
      </c>
      <c r="P2740" t="s">
        <v>0</v>
      </c>
      <c r="Q2740" t="s">
        <v>408</v>
      </c>
      <c r="R2740" t="s">
        <v>439</v>
      </c>
      <c r="S2740" t="s">
        <v>451</v>
      </c>
      <c r="T2740" t="s">
        <v>11</v>
      </c>
      <c r="U2740" t="s">
        <v>408</v>
      </c>
    </row>
    <row r="2741" spans="1:21" x14ac:dyDescent="0.25">
      <c r="A2741">
        <v>23323603</v>
      </c>
      <c r="B2741" t="s">
        <v>342</v>
      </c>
      <c r="C2741" t="s">
        <v>89</v>
      </c>
      <c r="D2741" t="s">
        <v>12</v>
      </c>
      <c r="E2741" t="s">
        <v>626</v>
      </c>
      <c r="F2741" t="s">
        <v>17</v>
      </c>
      <c r="G2741" t="s">
        <v>369</v>
      </c>
      <c r="H2741" t="s">
        <v>674</v>
      </c>
      <c r="I2741" t="s">
        <v>849</v>
      </c>
      <c r="J2741" t="s">
        <v>848</v>
      </c>
      <c r="K2741" t="s">
        <v>442</v>
      </c>
      <c r="L2741" t="s">
        <v>367</v>
      </c>
      <c r="M2741" t="s">
        <v>408</v>
      </c>
      <c r="N2741" t="s">
        <v>11</v>
      </c>
      <c r="O2741" t="s">
        <v>11</v>
      </c>
      <c r="P2741" t="s">
        <v>0</v>
      </c>
      <c r="Q2741" t="s">
        <v>408</v>
      </c>
      <c r="R2741" t="s">
        <v>439</v>
      </c>
      <c r="S2741" t="s">
        <v>451</v>
      </c>
      <c r="T2741" t="s">
        <v>11</v>
      </c>
      <c r="U2741" t="s">
        <v>408</v>
      </c>
    </row>
    <row r="2742" spans="1:21" x14ac:dyDescent="0.25">
      <c r="A2742">
        <v>23323621</v>
      </c>
      <c r="B2742" t="s">
        <v>342</v>
      </c>
      <c r="C2742" t="s">
        <v>89</v>
      </c>
      <c r="D2742" t="s">
        <v>12</v>
      </c>
      <c r="E2742" t="s">
        <v>626</v>
      </c>
      <c r="F2742" t="s">
        <v>172</v>
      </c>
      <c r="G2742" t="s">
        <v>369</v>
      </c>
      <c r="H2742" t="s">
        <v>674</v>
      </c>
      <c r="I2742" t="s">
        <v>849</v>
      </c>
      <c r="J2742" t="s">
        <v>848</v>
      </c>
      <c r="K2742" t="s">
        <v>442</v>
      </c>
      <c r="L2742" t="s">
        <v>367</v>
      </c>
      <c r="M2742" t="s">
        <v>408</v>
      </c>
      <c r="N2742" t="s">
        <v>11</v>
      </c>
      <c r="O2742" t="s">
        <v>11</v>
      </c>
      <c r="P2742" t="s">
        <v>2</v>
      </c>
      <c r="Q2742" t="s">
        <v>408</v>
      </c>
      <c r="R2742" t="s">
        <v>439</v>
      </c>
      <c r="S2742" t="s">
        <v>451</v>
      </c>
      <c r="T2742" t="s">
        <v>11</v>
      </c>
      <c r="U2742" t="s">
        <v>408</v>
      </c>
    </row>
    <row r="2743" spans="1:21" x14ac:dyDescent="0.25">
      <c r="A2743">
        <v>23323623</v>
      </c>
      <c r="B2743" t="s">
        <v>342</v>
      </c>
      <c r="C2743" t="s">
        <v>89</v>
      </c>
      <c r="D2743" t="s">
        <v>18</v>
      </c>
      <c r="E2743" t="s">
        <v>626</v>
      </c>
      <c r="F2743" t="s">
        <v>172</v>
      </c>
      <c r="G2743" t="s">
        <v>369</v>
      </c>
      <c r="H2743" t="s">
        <v>674</v>
      </c>
      <c r="I2743" t="s">
        <v>849</v>
      </c>
      <c r="J2743" t="s">
        <v>848</v>
      </c>
      <c r="K2743" t="s">
        <v>442</v>
      </c>
      <c r="L2743" t="s">
        <v>367</v>
      </c>
      <c r="M2743" t="s">
        <v>408</v>
      </c>
      <c r="N2743" t="s">
        <v>11</v>
      </c>
      <c r="O2743" t="s">
        <v>11</v>
      </c>
      <c r="P2743" t="s">
        <v>2</v>
      </c>
      <c r="Q2743" t="s">
        <v>408</v>
      </c>
      <c r="R2743" t="s">
        <v>439</v>
      </c>
      <c r="S2743" t="s">
        <v>451</v>
      </c>
      <c r="T2743" t="s">
        <v>11</v>
      </c>
      <c r="U2743" t="s">
        <v>408</v>
      </c>
    </row>
    <row r="2744" spans="1:21" x14ac:dyDescent="0.25">
      <c r="A2744">
        <v>23323624</v>
      </c>
      <c r="B2744" t="s">
        <v>342</v>
      </c>
      <c r="C2744" t="s">
        <v>89</v>
      </c>
      <c r="D2744" t="s">
        <v>12</v>
      </c>
      <c r="E2744" t="s">
        <v>626</v>
      </c>
      <c r="F2744" t="s">
        <v>23</v>
      </c>
      <c r="G2744" t="s">
        <v>369</v>
      </c>
      <c r="H2744" t="s">
        <v>674</v>
      </c>
      <c r="I2744" t="s">
        <v>849</v>
      </c>
      <c r="J2744" t="s">
        <v>848</v>
      </c>
      <c r="K2744" t="s">
        <v>442</v>
      </c>
      <c r="L2744" t="s">
        <v>367</v>
      </c>
      <c r="M2744" t="s">
        <v>408</v>
      </c>
      <c r="N2744" t="s">
        <v>11</v>
      </c>
      <c r="O2744" t="s">
        <v>11</v>
      </c>
      <c r="P2744" t="s">
        <v>2</v>
      </c>
      <c r="Q2744" t="s">
        <v>408</v>
      </c>
      <c r="R2744" t="s">
        <v>439</v>
      </c>
      <c r="S2744" t="s">
        <v>451</v>
      </c>
      <c r="T2744" t="s">
        <v>11</v>
      </c>
      <c r="U2744" t="s">
        <v>408</v>
      </c>
    </row>
    <row r="2745" spans="1:21" x14ac:dyDescent="0.25">
      <c r="A2745">
        <v>20910761</v>
      </c>
      <c r="B2745" t="s">
        <v>342</v>
      </c>
      <c r="C2745" t="s">
        <v>89</v>
      </c>
      <c r="D2745" t="s">
        <v>12</v>
      </c>
      <c r="E2745" t="s">
        <v>484</v>
      </c>
      <c r="F2745" t="s">
        <v>880</v>
      </c>
      <c r="G2745" t="s">
        <v>468</v>
      </c>
      <c r="H2745" t="s">
        <v>812</v>
      </c>
      <c r="I2745" t="s">
        <v>813</v>
      </c>
      <c r="J2745" t="s">
        <v>814</v>
      </c>
      <c r="K2745" t="s">
        <v>438</v>
      </c>
      <c r="L2745" t="s">
        <v>805</v>
      </c>
      <c r="M2745" t="s">
        <v>408</v>
      </c>
      <c r="N2745" t="s">
        <v>408</v>
      </c>
      <c r="O2745" t="s">
        <v>408</v>
      </c>
      <c r="P2745" t="s">
        <v>0</v>
      </c>
      <c r="Q2745" t="s">
        <v>408</v>
      </c>
      <c r="R2745" t="s">
        <v>439</v>
      </c>
      <c r="S2745" t="s">
        <v>451</v>
      </c>
      <c r="T2745" t="s">
        <v>408</v>
      </c>
      <c r="U2745" t="s">
        <v>408</v>
      </c>
    </row>
    <row r="2746" spans="1:21" x14ac:dyDescent="0.25">
      <c r="A2746">
        <v>23323628</v>
      </c>
      <c r="B2746" t="s">
        <v>342</v>
      </c>
      <c r="C2746" t="s">
        <v>89</v>
      </c>
      <c r="D2746" t="s">
        <v>12</v>
      </c>
      <c r="E2746" t="s">
        <v>482</v>
      </c>
      <c r="F2746" t="s">
        <v>376</v>
      </c>
      <c r="G2746" t="s">
        <v>369</v>
      </c>
      <c r="H2746" t="s">
        <v>861</v>
      </c>
      <c r="I2746" t="s">
        <v>860</v>
      </c>
      <c r="J2746" t="s">
        <v>859</v>
      </c>
      <c r="K2746" t="s">
        <v>450</v>
      </c>
      <c r="L2746" t="s">
        <v>367</v>
      </c>
      <c r="M2746" t="s">
        <v>408</v>
      </c>
      <c r="N2746" t="s">
        <v>11</v>
      </c>
      <c r="O2746" t="s">
        <v>11</v>
      </c>
      <c r="P2746" t="s">
        <v>0</v>
      </c>
      <c r="Q2746" t="s">
        <v>408</v>
      </c>
      <c r="R2746" t="s">
        <v>439</v>
      </c>
      <c r="S2746" t="s">
        <v>440</v>
      </c>
      <c r="T2746" t="s">
        <v>11</v>
      </c>
      <c r="U2746" t="s">
        <v>408</v>
      </c>
    </row>
    <row r="2747" spans="1:21" x14ac:dyDescent="0.25">
      <c r="A2747">
        <v>23323629</v>
      </c>
      <c r="B2747" t="s">
        <v>342</v>
      </c>
      <c r="C2747" t="s">
        <v>89</v>
      </c>
      <c r="D2747" t="s">
        <v>18</v>
      </c>
      <c r="E2747" t="s">
        <v>482</v>
      </c>
      <c r="F2747" t="s">
        <v>376</v>
      </c>
      <c r="G2747" t="s">
        <v>369</v>
      </c>
      <c r="H2747" t="s">
        <v>879</v>
      </c>
      <c r="I2747" t="s">
        <v>878</v>
      </c>
      <c r="J2747" t="s">
        <v>877</v>
      </c>
      <c r="K2747" t="s">
        <v>450</v>
      </c>
      <c r="L2747" t="s">
        <v>876</v>
      </c>
      <c r="M2747" t="s">
        <v>11</v>
      </c>
      <c r="N2747" t="s">
        <v>11</v>
      </c>
      <c r="O2747" t="s">
        <v>11</v>
      </c>
      <c r="P2747" t="s">
        <v>0</v>
      </c>
      <c r="Q2747" t="s">
        <v>408</v>
      </c>
      <c r="R2747" t="s">
        <v>439</v>
      </c>
      <c r="S2747" t="s">
        <v>451</v>
      </c>
      <c r="T2747" t="s">
        <v>408</v>
      </c>
      <c r="U2747" t="s">
        <v>408</v>
      </c>
    </row>
    <row r="2748" spans="1:21" x14ac:dyDescent="0.25">
      <c r="A2748">
        <v>23323632</v>
      </c>
      <c r="B2748" t="s">
        <v>342</v>
      </c>
      <c r="C2748" t="s">
        <v>89</v>
      </c>
      <c r="D2748" t="s">
        <v>12</v>
      </c>
      <c r="E2748" t="s">
        <v>482</v>
      </c>
      <c r="F2748" t="s">
        <v>376</v>
      </c>
      <c r="G2748" t="s">
        <v>369</v>
      </c>
      <c r="H2748" t="s">
        <v>875</v>
      </c>
      <c r="I2748" t="s">
        <v>874</v>
      </c>
      <c r="J2748" t="s">
        <v>873</v>
      </c>
      <c r="K2748" t="s">
        <v>438</v>
      </c>
      <c r="L2748" t="s">
        <v>819</v>
      </c>
      <c r="M2748" t="s">
        <v>408</v>
      </c>
      <c r="N2748" t="s">
        <v>11</v>
      </c>
      <c r="O2748" t="s">
        <v>11</v>
      </c>
      <c r="P2748" t="s">
        <v>0</v>
      </c>
      <c r="Q2748" t="s">
        <v>408</v>
      </c>
      <c r="R2748" t="s">
        <v>439</v>
      </c>
      <c r="S2748" t="s">
        <v>451</v>
      </c>
      <c r="T2748" t="s">
        <v>11</v>
      </c>
      <c r="U2748" t="s">
        <v>408</v>
      </c>
    </row>
    <row r="2749" spans="1:21" x14ac:dyDescent="0.25">
      <c r="A2749">
        <v>10834233</v>
      </c>
      <c r="B2749" t="s">
        <v>342</v>
      </c>
      <c r="C2749" t="s">
        <v>38</v>
      </c>
      <c r="D2749" t="s">
        <v>24</v>
      </c>
      <c r="E2749" t="s">
        <v>740</v>
      </c>
      <c r="F2749" t="s">
        <v>225</v>
      </c>
      <c r="G2749" t="s">
        <v>468</v>
      </c>
      <c r="H2749" t="s">
        <v>447</v>
      </c>
      <c r="I2749" t="s">
        <v>448</v>
      </c>
      <c r="J2749" t="s">
        <v>449</v>
      </c>
      <c r="K2749" t="s">
        <v>450</v>
      </c>
      <c r="L2749" t="s">
        <v>367</v>
      </c>
      <c r="M2749" t="s">
        <v>408</v>
      </c>
      <c r="N2749" t="s">
        <v>408</v>
      </c>
      <c r="O2749" t="s">
        <v>11</v>
      </c>
      <c r="P2749" t="s">
        <v>0</v>
      </c>
      <c r="Q2749" t="s">
        <v>408</v>
      </c>
      <c r="R2749" t="s">
        <v>439</v>
      </c>
      <c r="S2749" t="s">
        <v>451</v>
      </c>
      <c r="T2749" t="s">
        <v>408</v>
      </c>
      <c r="U2749" t="s">
        <v>408</v>
      </c>
    </row>
    <row r="2750" spans="1:21" x14ac:dyDescent="0.25">
      <c r="A2750">
        <v>24567001</v>
      </c>
      <c r="B2750" t="s">
        <v>342</v>
      </c>
      <c r="C2750" t="s">
        <v>13</v>
      </c>
      <c r="D2750" t="s">
        <v>79</v>
      </c>
      <c r="E2750" t="s">
        <v>755</v>
      </c>
      <c r="F2750" t="s">
        <v>380</v>
      </c>
      <c r="G2750" t="s">
        <v>468</v>
      </c>
      <c r="H2750" t="s">
        <v>447</v>
      </c>
      <c r="I2750" t="s">
        <v>448</v>
      </c>
      <c r="J2750" t="s">
        <v>449</v>
      </c>
      <c r="K2750" t="s">
        <v>450</v>
      </c>
      <c r="L2750" t="s">
        <v>367</v>
      </c>
      <c r="M2750" t="s">
        <v>408</v>
      </c>
      <c r="N2750" t="s">
        <v>11</v>
      </c>
      <c r="O2750" t="s">
        <v>408</v>
      </c>
      <c r="P2750" t="s">
        <v>0</v>
      </c>
      <c r="Q2750" t="s">
        <v>408</v>
      </c>
      <c r="R2750" t="s">
        <v>439</v>
      </c>
      <c r="S2750" t="s">
        <v>451</v>
      </c>
      <c r="T2750" t="s">
        <v>11</v>
      </c>
      <c r="U2750" t="s">
        <v>408</v>
      </c>
    </row>
    <row r="2751" spans="1:21" x14ac:dyDescent="0.25">
      <c r="A2751">
        <v>24567003</v>
      </c>
      <c r="B2751" t="s">
        <v>340</v>
      </c>
      <c r="C2751" t="s">
        <v>86</v>
      </c>
      <c r="D2751" t="s">
        <v>12</v>
      </c>
      <c r="E2751" t="s">
        <v>755</v>
      </c>
      <c r="F2751" t="s">
        <v>380</v>
      </c>
      <c r="G2751" t="s">
        <v>369</v>
      </c>
      <c r="H2751" t="s">
        <v>855</v>
      </c>
      <c r="I2751" t="s">
        <v>611</v>
      </c>
      <c r="J2751" t="s">
        <v>854</v>
      </c>
      <c r="K2751" t="s">
        <v>850</v>
      </c>
      <c r="L2751" t="s">
        <v>0</v>
      </c>
      <c r="M2751" t="s">
        <v>408</v>
      </c>
      <c r="N2751" t="s">
        <v>11</v>
      </c>
      <c r="O2751" t="s">
        <v>11</v>
      </c>
      <c r="P2751" t="s">
        <v>0</v>
      </c>
      <c r="Q2751" t="s">
        <v>408</v>
      </c>
      <c r="R2751" t="s">
        <v>439</v>
      </c>
      <c r="S2751" t="s">
        <v>440</v>
      </c>
      <c r="T2751" t="s">
        <v>11</v>
      </c>
      <c r="U2751" t="s">
        <v>408</v>
      </c>
    </row>
    <row r="2752" spans="1:21" x14ac:dyDescent="0.25">
      <c r="A2752">
        <v>24567004</v>
      </c>
      <c r="B2752" t="s">
        <v>340</v>
      </c>
      <c r="C2752" t="s">
        <v>86</v>
      </c>
      <c r="D2752" t="s">
        <v>12</v>
      </c>
      <c r="E2752" t="s">
        <v>755</v>
      </c>
      <c r="F2752" t="s">
        <v>380</v>
      </c>
      <c r="G2752" t="s">
        <v>369</v>
      </c>
      <c r="H2752" t="s">
        <v>855</v>
      </c>
      <c r="I2752" t="s">
        <v>611</v>
      </c>
      <c r="J2752" t="s">
        <v>854</v>
      </c>
      <c r="K2752" t="s">
        <v>850</v>
      </c>
      <c r="L2752" t="s">
        <v>0</v>
      </c>
      <c r="M2752" t="s">
        <v>408</v>
      </c>
      <c r="N2752" t="s">
        <v>11</v>
      </c>
      <c r="O2752" t="s">
        <v>11</v>
      </c>
      <c r="P2752" t="s">
        <v>0</v>
      </c>
      <c r="Q2752" t="s">
        <v>408</v>
      </c>
      <c r="R2752" t="s">
        <v>439</v>
      </c>
      <c r="S2752" t="s">
        <v>440</v>
      </c>
      <c r="T2752" t="s">
        <v>11</v>
      </c>
      <c r="U2752" t="s">
        <v>408</v>
      </c>
    </row>
    <row r="2753" spans="1:21" x14ac:dyDescent="0.25">
      <c r="A2753">
        <v>24567005</v>
      </c>
      <c r="B2753" t="s">
        <v>340</v>
      </c>
      <c r="C2753" t="s">
        <v>86</v>
      </c>
      <c r="D2753" t="s">
        <v>12</v>
      </c>
      <c r="E2753" t="s">
        <v>755</v>
      </c>
      <c r="F2753" t="s">
        <v>380</v>
      </c>
      <c r="G2753" t="s">
        <v>369</v>
      </c>
      <c r="H2753" t="s">
        <v>858</v>
      </c>
      <c r="I2753" t="s">
        <v>852</v>
      </c>
      <c r="J2753" t="s">
        <v>857</v>
      </c>
      <c r="K2753" t="s">
        <v>856</v>
      </c>
      <c r="L2753" t="s">
        <v>353</v>
      </c>
      <c r="M2753" t="s">
        <v>408</v>
      </c>
      <c r="N2753" t="s">
        <v>11</v>
      </c>
      <c r="O2753" t="s">
        <v>11</v>
      </c>
      <c r="P2753" t="s">
        <v>0</v>
      </c>
      <c r="Q2753" t="s">
        <v>11</v>
      </c>
      <c r="R2753" t="s">
        <v>439</v>
      </c>
      <c r="S2753" t="s">
        <v>440</v>
      </c>
      <c r="T2753" t="s">
        <v>11</v>
      </c>
      <c r="U2753" t="s">
        <v>11</v>
      </c>
    </row>
    <row r="2754" spans="1:21" x14ac:dyDescent="0.25">
      <c r="A2754">
        <v>24567006</v>
      </c>
      <c r="B2754" t="s">
        <v>342</v>
      </c>
      <c r="C2754" t="s">
        <v>89</v>
      </c>
      <c r="D2754" t="s">
        <v>12</v>
      </c>
      <c r="E2754" t="s">
        <v>755</v>
      </c>
      <c r="F2754" t="s">
        <v>380</v>
      </c>
      <c r="G2754" t="s">
        <v>369</v>
      </c>
      <c r="H2754" t="s">
        <v>858</v>
      </c>
      <c r="I2754" t="s">
        <v>852</v>
      </c>
      <c r="J2754" t="s">
        <v>857</v>
      </c>
      <c r="K2754" t="s">
        <v>856</v>
      </c>
      <c r="L2754" t="s">
        <v>353</v>
      </c>
      <c r="M2754" t="s">
        <v>408</v>
      </c>
      <c r="N2754" t="s">
        <v>11</v>
      </c>
      <c r="O2754" t="s">
        <v>11</v>
      </c>
      <c r="P2754" t="s">
        <v>0</v>
      </c>
      <c r="Q2754" t="s">
        <v>11</v>
      </c>
      <c r="R2754" t="s">
        <v>439</v>
      </c>
      <c r="S2754" t="s">
        <v>440</v>
      </c>
      <c r="T2754" t="s">
        <v>11</v>
      </c>
      <c r="U2754" t="s">
        <v>11</v>
      </c>
    </row>
    <row r="2755" spans="1:21" x14ac:dyDescent="0.25">
      <c r="A2755">
        <v>24567007</v>
      </c>
      <c r="B2755" t="s">
        <v>342</v>
      </c>
      <c r="C2755" t="s">
        <v>89</v>
      </c>
      <c r="D2755" t="s">
        <v>18</v>
      </c>
      <c r="E2755" t="s">
        <v>755</v>
      </c>
      <c r="F2755" t="s">
        <v>380</v>
      </c>
      <c r="G2755" t="s">
        <v>369</v>
      </c>
      <c r="H2755" t="s">
        <v>863</v>
      </c>
      <c r="I2755" t="s">
        <v>852</v>
      </c>
      <c r="J2755" t="s">
        <v>862</v>
      </c>
      <c r="K2755" t="s">
        <v>444</v>
      </c>
      <c r="L2755" t="s">
        <v>353</v>
      </c>
      <c r="M2755" t="s">
        <v>408</v>
      </c>
      <c r="N2755" t="s">
        <v>11</v>
      </c>
      <c r="O2755" t="s">
        <v>11</v>
      </c>
      <c r="P2755" t="s">
        <v>0</v>
      </c>
      <c r="Q2755" t="s">
        <v>11</v>
      </c>
      <c r="R2755" t="s">
        <v>439</v>
      </c>
      <c r="S2755" t="s">
        <v>440</v>
      </c>
      <c r="T2755" t="s">
        <v>11</v>
      </c>
      <c r="U2755" t="s">
        <v>11</v>
      </c>
    </row>
    <row r="2756" spans="1:21" x14ac:dyDescent="0.25">
      <c r="A2756">
        <v>24567008</v>
      </c>
      <c r="B2756" t="s">
        <v>340</v>
      </c>
      <c r="C2756" t="s">
        <v>86</v>
      </c>
      <c r="D2756" t="s">
        <v>12</v>
      </c>
      <c r="E2756" t="s">
        <v>755</v>
      </c>
      <c r="F2756" t="s">
        <v>380</v>
      </c>
      <c r="G2756" t="s">
        <v>369</v>
      </c>
      <c r="H2756" t="s">
        <v>855</v>
      </c>
      <c r="I2756" t="s">
        <v>611</v>
      </c>
      <c r="J2756" t="s">
        <v>854</v>
      </c>
      <c r="K2756" t="s">
        <v>850</v>
      </c>
      <c r="L2756" t="s">
        <v>0</v>
      </c>
      <c r="M2756" t="s">
        <v>408</v>
      </c>
      <c r="N2756" t="s">
        <v>11</v>
      </c>
      <c r="O2756" t="s">
        <v>11</v>
      </c>
      <c r="P2756" t="s">
        <v>0</v>
      </c>
      <c r="Q2756" t="s">
        <v>408</v>
      </c>
      <c r="R2756" t="s">
        <v>439</v>
      </c>
      <c r="S2756" t="s">
        <v>440</v>
      </c>
      <c r="T2756" t="s">
        <v>11</v>
      </c>
      <c r="U2756" t="s">
        <v>408</v>
      </c>
    </row>
    <row r="2757" spans="1:21" x14ac:dyDescent="0.25">
      <c r="A2757">
        <v>24567009</v>
      </c>
      <c r="B2757" t="s">
        <v>340</v>
      </c>
      <c r="C2757" t="s">
        <v>86</v>
      </c>
      <c r="D2757" t="s">
        <v>12</v>
      </c>
      <c r="E2757" t="s">
        <v>755</v>
      </c>
      <c r="F2757" t="s">
        <v>380</v>
      </c>
      <c r="G2757" t="s">
        <v>369</v>
      </c>
      <c r="H2757" t="s">
        <v>855</v>
      </c>
      <c r="I2757" t="s">
        <v>611</v>
      </c>
      <c r="J2757" t="s">
        <v>854</v>
      </c>
      <c r="K2757" t="s">
        <v>850</v>
      </c>
      <c r="L2757" t="s">
        <v>0</v>
      </c>
      <c r="M2757" t="s">
        <v>408</v>
      </c>
      <c r="N2757" t="s">
        <v>11</v>
      </c>
      <c r="O2757" t="s">
        <v>11</v>
      </c>
      <c r="P2757" t="s">
        <v>0</v>
      </c>
      <c r="Q2757" t="s">
        <v>408</v>
      </c>
      <c r="R2757" t="s">
        <v>439</v>
      </c>
      <c r="S2757" t="s">
        <v>440</v>
      </c>
      <c r="T2757" t="s">
        <v>11</v>
      </c>
      <c r="U2757" t="s">
        <v>408</v>
      </c>
    </row>
    <row r="2758" spans="1:21" x14ac:dyDescent="0.25">
      <c r="A2758">
        <v>24567010</v>
      </c>
      <c r="B2758" t="s">
        <v>342</v>
      </c>
      <c r="C2758" t="s">
        <v>89</v>
      </c>
      <c r="D2758" t="s">
        <v>12</v>
      </c>
      <c r="E2758" t="s">
        <v>755</v>
      </c>
      <c r="F2758" t="s">
        <v>380</v>
      </c>
      <c r="G2758" t="s">
        <v>369</v>
      </c>
      <c r="H2758" t="s">
        <v>853</v>
      </c>
      <c r="I2758" t="s">
        <v>852</v>
      </c>
      <c r="J2758" t="s">
        <v>851</v>
      </c>
      <c r="K2758" t="s">
        <v>850</v>
      </c>
      <c r="L2758" t="s">
        <v>353</v>
      </c>
      <c r="M2758" t="s">
        <v>408</v>
      </c>
      <c r="N2758" t="s">
        <v>11</v>
      </c>
      <c r="O2758" t="s">
        <v>11</v>
      </c>
      <c r="P2758" t="s">
        <v>0</v>
      </c>
      <c r="Q2758" t="s">
        <v>408</v>
      </c>
      <c r="R2758" t="s">
        <v>439</v>
      </c>
      <c r="S2758" t="s">
        <v>440</v>
      </c>
      <c r="T2758" t="s">
        <v>11</v>
      </c>
      <c r="U2758" t="s">
        <v>408</v>
      </c>
    </row>
    <row r="2759" spans="1:21" x14ac:dyDescent="0.25">
      <c r="A2759">
        <v>24567012</v>
      </c>
      <c r="B2759" t="s">
        <v>342</v>
      </c>
      <c r="C2759" t="s">
        <v>89</v>
      </c>
      <c r="D2759" t="s">
        <v>12</v>
      </c>
      <c r="E2759" t="s">
        <v>755</v>
      </c>
      <c r="F2759" t="s">
        <v>380</v>
      </c>
      <c r="G2759" t="s">
        <v>369</v>
      </c>
      <c r="H2759" t="s">
        <v>858</v>
      </c>
      <c r="I2759" t="s">
        <v>852</v>
      </c>
      <c r="J2759" t="s">
        <v>857</v>
      </c>
      <c r="K2759" t="s">
        <v>856</v>
      </c>
      <c r="L2759" t="s">
        <v>869</v>
      </c>
      <c r="M2759" t="s">
        <v>408</v>
      </c>
      <c r="N2759" t="s">
        <v>11</v>
      </c>
      <c r="O2759" t="s">
        <v>11</v>
      </c>
      <c r="P2759" t="s">
        <v>0</v>
      </c>
      <c r="Q2759" t="s">
        <v>11</v>
      </c>
      <c r="R2759" t="s">
        <v>439</v>
      </c>
      <c r="S2759" t="s">
        <v>440</v>
      </c>
      <c r="T2759" t="s">
        <v>11</v>
      </c>
      <c r="U2759" t="s">
        <v>11</v>
      </c>
    </row>
    <row r="2760" spans="1:21" x14ac:dyDescent="0.25">
      <c r="A2760">
        <v>24567014</v>
      </c>
      <c r="B2760" t="s">
        <v>340</v>
      </c>
      <c r="C2760" t="s">
        <v>86</v>
      </c>
      <c r="D2760" t="s">
        <v>12</v>
      </c>
      <c r="E2760" t="s">
        <v>755</v>
      </c>
      <c r="F2760" t="s">
        <v>380</v>
      </c>
      <c r="G2760" t="s">
        <v>369</v>
      </c>
      <c r="H2760" t="s">
        <v>617</v>
      </c>
      <c r="I2760" t="s">
        <v>618</v>
      </c>
      <c r="J2760" t="s">
        <v>619</v>
      </c>
      <c r="K2760" t="s">
        <v>606</v>
      </c>
      <c r="L2760" t="s">
        <v>673</v>
      </c>
      <c r="M2760" t="s">
        <v>408</v>
      </c>
      <c r="N2760" t="s">
        <v>11</v>
      </c>
      <c r="O2760" t="s">
        <v>11</v>
      </c>
      <c r="P2760" t="s">
        <v>0</v>
      </c>
      <c r="Q2760" t="s">
        <v>408</v>
      </c>
      <c r="R2760" t="s">
        <v>439</v>
      </c>
      <c r="S2760" t="s">
        <v>451</v>
      </c>
      <c r="T2760" t="s">
        <v>11</v>
      </c>
      <c r="U2760" t="s">
        <v>408</v>
      </c>
    </row>
    <row r="2761" spans="1:21" x14ac:dyDescent="0.25">
      <c r="A2761">
        <v>24567016</v>
      </c>
      <c r="B2761" t="s">
        <v>342</v>
      </c>
      <c r="C2761" t="s">
        <v>89</v>
      </c>
      <c r="D2761" t="s">
        <v>12</v>
      </c>
      <c r="E2761" t="s">
        <v>755</v>
      </c>
      <c r="F2761" t="s">
        <v>380</v>
      </c>
      <c r="G2761" t="s">
        <v>369</v>
      </c>
      <c r="H2761" t="s">
        <v>853</v>
      </c>
      <c r="I2761" t="s">
        <v>852</v>
      </c>
      <c r="J2761" t="s">
        <v>851</v>
      </c>
      <c r="K2761" t="s">
        <v>850</v>
      </c>
      <c r="L2761" t="s">
        <v>353</v>
      </c>
      <c r="M2761" t="s">
        <v>408</v>
      </c>
      <c r="N2761" t="s">
        <v>11</v>
      </c>
      <c r="O2761" t="s">
        <v>11</v>
      </c>
      <c r="P2761" t="s">
        <v>0</v>
      </c>
      <c r="Q2761" t="s">
        <v>408</v>
      </c>
      <c r="R2761" t="s">
        <v>439</v>
      </c>
      <c r="S2761" t="s">
        <v>440</v>
      </c>
      <c r="T2761" t="s">
        <v>11</v>
      </c>
      <c r="U2761" t="s">
        <v>408</v>
      </c>
    </row>
    <row r="2762" spans="1:21" x14ac:dyDescent="0.25">
      <c r="A2762">
        <v>24567017</v>
      </c>
      <c r="B2762" t="s">
        <v>340</v>
      </c>
      <c r="C2762" t="s">
        <v>86</v>
      </c>
      <c r="D2762" t="s">
        <v>12</v>
      </c>
      <c r="E2762" t="s">
        <v>755</v>
      </c>
      <c r="F2762" t="s">
        <v>380</v>
      </c>
      <c r="G2762" t="s">
        <v>369</v>
      </c>
      <c r="H2762" t="s">
        <v>855</v>
      </c>
      <c r="I2762" t="s">
        <v>611</v>
      </c>
      <c r="J2762" t="s">
        <v>854</v>
      </c>
      <c r="K2762" t="s">
        <v>850</v>
      </c>
      <c r="L2762" t="s">
        <v>0</v>
      </c>
      <c r="M2762" t="s">
        <v>408</v>
      </c>
      <c r="N2762" t="s">
        <v>11</v>
      </c>
      <c r="O2762" t="s">
        <v>11</v>
      </c>
      <c r="P2762" t="s">
        <v>0</v>
      </c>
      <c r="Q2762" t="s">
        <v>408</v>
      </c>
      <c r="R2762" t="s">
        <v>439</v>
      </c>
      <c r="S2762" t="s">
        <v>440</v>
      </c>
      <c r="T2762" t="s">
        <v>11</v>
      </c>
      <c r="U2762" t="s">
        <v>408</v>
      </c>
    </row>
    <row r="2763" spans="1:21" x14ac:dyDescent="0.25">
      <c r="A2763">
        <v>24567019</v>
      </c>
      <c r="B2763" t="s">
        <v>340</v>
      </c>
      <c r="C2763" t="s">
        <v>86</v>
      </c>
      <c r="D2763" t="s">
        <v>12</v>
      </c>
      <c r="E2763" t="s">
        <v>755</v>
      </c>
      <c r="F2763" t="s">
        <v>380</v>
      </c>
      <c r="G2763" t="s">
        <v>369</v>
      </c>
      <c r="H2763" t="s">
        <v>855</v>
      </c>
      <c r="I2763" t="s">
        <v>611</v>
      </c>
      <c r="J2763" t="s">
        <v>854</v>
      </c>
      <c r="K2763" t="s">
        <v>850</v>
      </c>
      <c r="L2763" t="s">
        <v>0</v>
      </c>
      <c r="M2763" t="s">
        <v>408</v>
      </c>
      <c r="N2763" t="s">
        <v>11</v>
      </c>
      <c r="O2763" t="s">
        <v>11</v>
      </c>
      <c r="P2763" t="s">
        <v>0</v>
      </c>
      <c r="Q2763" t="s">
        <v>408</v>
      </c>
      <c r="R2763" t="s">
        <v>439</v>
      </c>
      <c r="S2763" t="s">
        <v>440</v>
      </c>
      <c r="T2763" t="s">
        <v>11</v>
      </c>
      <c r="U2763" t="s">
        <v>408</v>
      </c>
    </row>
    <row r="2764" spans="1:21" x14ac:dyDescent="0.25">
      <c r="A2764">
        <v>24567020</v>
      </c>
      <c r="B2764" t="s">
        <v>342</v>
      </c>
      <c r="C2764" t="s">
        <v>89</v>
      </c>
      <c r="D2764" t="s">
        <v>12</v>
      </c>
      <c r="E2764" t="s">
        <v>755</v>
      </c>
      <c r="F2764" t="s">
        <v>380</v>
      </c>
      <c r="G2764" t="s">
        <v>369</v>
      </c>
      <c r="H2764" t="s">
        <v>674</v>
      </c>
      <c r="I2764" t="s">
        <v>849</v>
      </c>
      <c r="J2764" t="s">
        <v>848</v>
      </c>
      <c r="K2764" t="s">
        <v>442</v>
      </c>
      <c r="L2764" t="s">
        <v>367</v>
      </c>
      <c r="M2764" t="s">
        <v>408</v>
      </c>
      <c r="N2764" t="s">
        <v>11</v>
      </c>
      <c r="O2764" t="s">
        <v>11</v>
      </c>
      <c r="P2764" t="s">
        <v>0</v>
      </c>
      <c r="Q2764" t="s">
        <v>408</v>
      </c>
      <c r="R2764" t="s">
        <v>439</v>
      </c>
      <c r="S2764" t="s">
        <v>451</v>
      </c>
      <c r="T2764" t="s">
        <v>11</v>
      </c>
      <c r="U2764" t="s">
        <v>408</v>
      </c>
    </row>
    <row r="2765" spans="1:21" x14ac:dyDescent="0.25">
      <c r="A2765">
        <v>24567022</v>
      </c>
      <c r="B2765" t="s">
        <v>342</v>
      </c>
      <c r="C2765" t="s">
        <v>13</v>
      </c>
      <c r="D2765" t="s">
        <v>12</v>
      </c>
      <c r="E2765" t="s">
        <v>629</v>
      </c>
      <c r="F2765" t="s">
        <v>395</v>
      </c>
      <c r="G2765" t="s">
        <v>468</v>
      </c>
      <c r="H2765" t="s">
        <v>447</v>
      </c>
      <c r="I2765" t="s">
        <v>448</v>
      </c>
      <c r="J2765" t="s">
        <v>449</v>
      </c>
      <c r="K2765" t="s">
        <v>450</v>
      </c>
      <c r="L2765" t="s">
        <v>367</v>
      </c>
      <c r="M2765" t="s">
        <v>408</v>
      </c>
      <c r="N2765" t="s">
        <v>11</v>
      </c>
      <c r="O2765" t="s">
        <v>408</v>
      </c>
      <c r="P2765" t="s">
        <v>0</v>
      </c>
      <c r="Q2765" t="s">
        <v>408</v>
      </c>
      <c r="R2765" t="s">
        <v>439</v>
      </c>
      <c r="S2765" t="s">
        <v>451</v>
      </c>
      <c r="T2765" t="s">
        <v>11</v>
      </c>
      <c r="U2765" t="s">
        <v>408</v>
      </c>
    </row>
    <row r="2766" spans="1:21" x14ac:dyDescent="0.25">
      <c r="A2766">
        <v>24567023</v>
      </c>
      <c r="B2766" t="s">
        <v>342</v>
      </c>
      <c r="C2766" t="s">
        <v>89</v>
      </c>
      <c r="D2766" t="s">
        <v>12</v>
      </c>
      <c r="E2766" t="s">
        <v>755</v>
      </c>
      <c r="F2766" t="s">
        <v>380</v>
      </c>
      <c r="G2766" t="s">
        <v>369</v>
      </c>
      <c r="H2766" t="s">
        <v>853</v>
      </c>
      <c r="I2766" t="s">
        <v>852</v>
      </c>
      <c r="J2766" t="s">
        <v>851</v>
      </c>
      <c r="K2766" t="s">
        <v>850</v>
      </c>
      <c r="L2766" t="s">
        <v>353</v>
      </c>
      <c r="M2766" t="s">
        <v>408</v>
      </c>
      <c r="N2766" t="s">
        <v>11</v>
      </c>
      <c r="O2766" t="s">
        <v>11</v>
      </c>
      <c r="P2766" t="s">
        <v>0</v>
      </c>
      <c r="Q2766" t="s">
        <v>11</v>
      </c>
      <c r="R2766" t="s">
        <v>439</v>
      </c>
      <c r="S2766" t="s">
        <v>440</v>
      </c>
      <c r="T2766" t="s">
        <v>11</v>
      </c>
      <c r="U2766" t="s">
        <v>11</v>
      </c>
    </row>
    <row r="2767" spans="1:21" x14ac:dyDescent="0.25">
      <c r="A2767">
        <v>24567024</v>
      </c>
      <c r="B2767" t="s">
        <v>342</v>
      </c>
      <c r="C2767" t="s">
        <v>89</v>
      </c>
      <c r="D2767" t="s">
        <v>12</v>
      </c>
      <c r="E2767" t="s">
        <v>755</v>
      </c>
      <c r="F2767" t="s">
        <v>380</v>
      </c>
      <c r="G2767" t="s">
        <v>369</v>
      </c>
      <c r="H2767" t="s">
        <v>853</v>
      </c>
      <c r="I2767" t="s">
        <v>852</v>
      </c>
      <c r="J2767" t="s">
        <v>851</v>
      </c>
      <c r="K2767" t="s">
        <v>850</v>
      </c>
      <c r="L2767" t="s">
        <v>353</v>
      </c>
      <c r="M2767" t="s">
        <v>408</v>
      </c>
      <c r="N2767" t="s">
        <v>11</v>
      </c>
      <c r="O2767" t="s">
        <v>11</v>
      </c>
      <c r="P2767" t="s">
        <v>0</v>
      </c>
      <c r="Q2767" t="s">
        <v>11</v>
      </c>
      <c r="R2767" t="s">
        <v>439</v>
      </c>
      <c r="S2767" t="s">
        <v>440</v>
      </c>
      <c r="T2767" t="s">
        <v>11</v>
      </c>
      <c r="U2767" t="s">
        <v>11</v>
      </c>
    </row>
    <row r="2768" spans="1:21" x14ac:dyDescent="0.25">
      <c r="A2768">
        <v>24567025</v>
      </c>
      <c r="B2768" t="s">
        <v>340</v>
      </c>
      <c r="C2768" t="s">
        <v>86</v>
      </c>
      <c r="D2768" t="s">
        <v>12</v>
      </c>
      <c r="E2768" t="s">
        <v>755</v>
      </c>
      <c r="F2768" t="s">
        <v>380</v>
      </c>
      <c r="G2768" t="s">
        <v>369</v>
      </c>
      <c r="H2768" t="s">
        <v>855</v>
      </c>
      <c r="I2768" t="s">
        <v>611</v>
      </c>
      <c r="J2768" t="s">
        <v>854</v>
      </c>
      <c r="K2768" t="s">
        <v>850</v>
      </c>
      <c r="L2768" t="s">
        <v>0</v>
      </c>
      <c r="M2768" t="s">
        <v>408</v>
      </c>
      <c r="N2768" t="s">
        <v>11</v>
      </c>
      <c r="O2768" t="s">
        <v>11</v>
      </c>
      <c r="P2768" t="s">
        <v>0</v>
      </c>
      <c r="Q2768" t="s">
        <v>408</v>
      </c>
      <c r="R2768" t="s">
        <v>439</v>
      </c>
      <c r="S2768" t="s">
        <v>440</v>
      </c>
      <c r="T2768" t="s">
        <v>11</v>
      </c>
      <c r="U2768" t="s">
        <v>408</v>
      </c>
    </row>
    <row r="2769" spans="1:21" x14ac:dyDescent="0.25">
      <c r="A2769">
        <v>24567026</v>
      </c>
      <c r="B2769" t="s">
        <v>342</v>
      </c>
      <c r="C2769" t="s">
        <v>89</v>
      </c>
      <c r="D2769" t="s">
        <v>12</v>
      </c>
      <c r="E2769" t="s">
        <v>755</v>
      </c>
      <c r="F2769" t="s">
        <v>380</v>
      </c>
      <c r="G2769" t="s">
        <v>369</v>
      </c>
      <c r="H2769" t="s">
        <v>853</v>
      </c>
      <c r="I2769" t="s">
        <v>852</v>
      </c>
      <c r="J2769" t="s">
        <v>851</v>
      </c>
      <c r="K2769" t="s">
        <v>850</v>
      </c>
      <c r="L2769" t="s">
        <v>353</v>
      </c>
      <c r="M2769" t="s">
        <v>408</v>
      </c>
      <c r="N2769" t="s">
        <v>11</v>
      </c>
      <c r="O2769" t="s">
        <v>11</v>
      </c>
      <c r="P2769" t="s">
        <v>0</v>
      </c>
      <c r="Q2769" t="s">
        <v>11</v>
      </c>
      <c r="R2769" t="s">
        <v>439</v>
      </c>
      <c r="S2769" t="s">
        <v>440</v>
      </c>
      <c r="T2769" t="s">
        <v>11</v>
      </c>
      <c r="U2769" t="s">
        <v>11</v>
      </c>
    </row>
    <row r="2770" spans="1:21" x14ac:dyDescent="0.25">
      <c r="A2770">
        <v>24567027</v>
      </c>
      <c r="B2770" t="s">
        <v>342</v>
      </c>
      <c r="C2770" t="s">
        <v>89</v>
      </c>
      <c r="D2770" t="s">
        <v>12</v>
      </c>
      <c r="E2770" t="s">
        <v>755</v>
      </c>
      <c r="F2770" t="s">
        <v>380</v>
      </c>
      <c r="G2770" t="s">
        <v>369</v>
      </c>
      <c r="H2770" t="s">
        <v>853</v>
      </c>
      <c r="I2770" t="s">
        <v>852</v>
      </c>
      <c r="J2770" t="s">
        <v>851</v>
      </c>
      <c r="K2770" t="s">
        <v>850</v>
      </c>
      <c r="L2770" t="s">
        <v>353</v>
      </c>
      <c r="M2770" t="s">
        <v>408</v>
      </c>
      <c r="N2770" t="s">
        <v>11</v>
      </c>
      <c r="O2770" t="s">
        <v>11</v>
      </c>
      <c r="P2770" t="s">
        <v>0</v>
      </c>
      <c r="Q2770" t="s">
        <v>11</v>
      </c>
      <c r="R2770" t="s">
        <v>439</v>
      </c>
      <c r="S2770" t="s">
        <v>440</v>
      </c>
      <c r="T2770" t="s">
        <v>11</v>
      </c>
      <c r="U2770" t="s">
        <v>11</v>
      </c>
    </row>
    <row r="2771" spans="1:21" x14ac:dyDescent="0.25">
      <c r="A2771">
        <v>24567028</v>
      </c>
      <c r="B2771" t="s">
        <v>340</v>
      </c>
      <c r="C2771" t="s">
        <v>86</v>
      </c>
      <c r="D2771" t="s">
        <v>12</v>
      </c>
      <c r="E2771" t="s">
        <v>755</v>
      </c>
      <c r="F2771" t="s">
        <v>380</v>
      </c>
      <c r="G2771" t="s">
        <v>369</v>
      </c>
      <c r="H2771" t="s">
        <v>855</v>
      </c>
      <c r="I2771" t="s">
        <v>611</v>
      </c>
      <c r="J2771" t="s">
        <v>854</v>
      </c>
      <c r="K2771" t="s">
        <v>850</v>
      </c>
      <c r="L2771" t="s">
        <v>0</v>
      </c>
      <c r="M2771" t="s">
        <v>408</v>
      </c>
      <c r="N2771" t="s">
        <v>11</v>
      </c>
      <c r="O2771" t="s">
        <v>11</v>
      </c>
      <c r="P2771" t="s">
        <v>0</v>
      </c>
      <c r="Q2771" t="s">
        <v>408</v>
      </c>
      <c r="R2771" t="s">
        <v>439</v>
      </c>
      <c r="S2771" t="s">
        <v>440</v>
      </c>
      <c r="T2771" t="s">
        <v>11</v>
      </c>
      <c r="U2771" t="s">
        <v>408</v>
      </c>
    </row>
    <row r="2772" spans="1:21" x14ac:dyDescent="0.25">
      <c r="A2772">
        <v>24567030</v>
      </c>
      <c r="B2772" t="s">
        <v>342</v>
      </c>
      <c r="C2772" t="s">
        <v>89</v>
      </c>
      <c r="D2772" t="s">
        <v>12</v>
      </c>
      <c r="E2772" t="s">
        <v>755</v>
      </c>
      <c r="F2772" t="s">
        <v>380</v>
      </c>
      <c r="G2772" t="s">
        <v>369</v>
      </c>
      <c r="H2772" t="s">
        <v>853</v>
      </c>
      <c r="I2772" t="s">
        <v>852</v>
      </c>
      <c r="J2772" t="s">
        <v>851</v>
      </c>
      <c r="K2772" t="s">
        <v>850</v>
      </c>
      <c r="L2772" t="s">
        <v>353</v>
      </c>
      <c r="M2772" t="s">
        <v>408</v>
      </c>
      <c r="N2772" t="s">
        <v>11</v>
      </c>
      <c r="O2772" t="s">
        <v>11</v>
      </c>
      <c r="P2772" t="s">
        <v>0</v>
      </c>
      <c r="Q2772" t="s">
        <v>11</v>
      </c>
      <c r="R2772" t="s">
        <v>439</v>
      </c>
      <c r="S2772" t="s">
        <v>440</v>
      </c>
      <c r="T2772" t="s">
        <v>11</v>
      </c>
      <c r="U2772" t="s">
        <v>11</v>
      </c>
    </row>
    <row r="2773" spans="1:21" x14ac:dyDescent="0.25">
      <c r="A2773">
        <v>24567031</v>
      </c>
      <c r="B2773" t="s">
        <v>342</v>
      </c>
      <c r="C2773" t="s">
        <v>89</v>
      </c>
      <c r="D2773" t="s">
        <v>12</v>
      </c>
      <c r="E2773" t="s">
        <v>755</v>
      </c>
      <c r="F2773" t="s">
        <v>380</v>
      </c>
      <c r="G2773" t="s">
        <v>369</v>
      </c>
      <c r="H2773" t="s">
        <v>853</v>
      </c>
      <c r="I2773" t="s">
        <v>852</v>
      </c>
      <c r="J2773" t="s">
        <v>851</v>
      </c>
      <c r="K2773" t="s">
        <v>850</v>
      </c>
      <c r="L2773" t="s">
        <v>353</v>
      </c>
      <c r="M2773" t="s">
        <v>408</v>
      </c>
      <c r="N2773" t="s">
        <v>11</v>
      </c>
      <c r="O2773" t="s">
        <v>11</v>
      </c>
      <c r="P2773" t="s">
        <v>0</v>
      </c>
      <c r="Q2773" t="s">
        <v>11</v>
      </c>
      <c r="R2773" t="s">
        <v>439</v>
      </c>
      <c r="S2773" t="s">
        <v>440</v>
      </c>
      <c r="T2773" t="s">
        <v>11</v>
      </c>
      <c r="U2773" t="s">
        <v>11</v>
      </c>
    </row>
    <row r="2774" spans="1:21" x14ac:dyDescent="0.25">
      <c r="A2774">
        <v>24567033</v>
      </c>
      <c r="B2774" t="s">
        <v>342</v>
      </c>
      <c r="C2774" t="s">
        <v>89</v>
      </c>
      <c r="D2774" t="s">
        <v>12</v>
      </c>
      <c r="E2774" t="s">
        <v>755</v>
      </c>
      <c r="F2774" t="s">
        <v>380</v>
      </c>
      <c r="G2774" t="s">
        <v>369</v>
      </c>
      <c r="H2774" t="s">
        <v>853</v>
      </c>
      <c r="I2774" t="s">
        <v>852</v>
      </c>
      <c r="J2774" t="s">
        <v>851</v>
      </c>
      <c r="K2774" t="s">
        <v>850</v>
      </c>
      <c r="L2774" t="s">
        <v>353</v>
      </c>
      <c r="M2774" t="s">
        <v>408</v>
      </c>
      <c r="N2774" t="s">
        <v>11</v>
      </c>
      <c r="O2774" t="s">
        <v>11</v>
      </c>
      <c r="P2774" t="s">
        <v>0</v>
      </c>
      <c r="Q2774" t="s">
        <v>11</v>
      </c>
      <c r="R2774" t="s">
        <v>439</v>
      </c>
      <c r="S2774" t="s">
        <v>440</v>
      </c>
      <c r="T2774" t="s">
        <v>11</v>
      </c>
      <c r="U2774" t="s">
        <v>11</v>
      </c>
    </row>
    <row r="2775" spans="1:21" x14ac:dyDescent="0.25">
      <c r="A2775">
        <v>24567034</v>
      </c>
      <c r="B2775" t="s">
        <v>342</v>
      </c>
      <c r="C2775" t="s">
        <v>89</v>
      </c>
      <c r="D2775" t="s">
        <v>12</v>
      </c>
      <c r="E2775" t="s">
        <v>755</v>
      </c>
      <c r="F2775" t="s">
        <v>380</v>
      </c>
      <c r="G2775" t="s">
        <v>369</v>
      </c>
      <c r="H2775" t="s">
        <v>858</v>
      </c>
      <c r="I2775" t="s">
        <v>852</v>
      </c>
      <c r="J2775" t="s">
        <v>857</v>
      </c>
      <c r="K2775" t="s">
        <v>856</v>
      </c>
      <c r="L2775" t="s">
        <v>353</v>
      </c>
      <c r="M2775" t="s">
        <v>408</v>
      </c>
      <c r="N2775" t="s">
        <v>11</v>
      </c>
      <c r="O2775" t="s">
        <v>11</v>
      </c>
      <c r="P2775" t="s">
        <v>0</v>
      </c>
      <c r="Q2775" t="s">
        <v>11</v>
      </c>
      <c r="R2775" t="s">
        <v>439</v>
      </c>
      <c r="S2775" t="s">
        <v>440</v>
      </c>
      <c r="T2775" t="s">
        <v>11</v>
      </c>
      <c r="U2775" t="s">
        <v>11</v>
      </c>
    </row>
    <row r="2776" spans="1:21" x14ac:dyDescent="0.25">
      <c r="A2776">
        <v>24567035</v>
      </c>
      <c r="B2776" t="s">
        <v>340</v>
      </c>
      <c r="C2776" t="s">
        <v>86</v>
      </c>
      <c r="D2776" t="s">
        <v>12</v>
      </c>
      <c r="E2776" t="s">
        <v>755</v>
      </c>
      <c r="F2776" t="s">
        <v>380</v>
      </c>
      <c r="G2776" t="s">
        <v>369</v>
      </c>
      <c r="H2776" t="s">
        <v>855</v>
      </c>
      <c r="I2776" t="s">
        <v>611</v>
      </c>
      <c r="J2776" t="s">
        <v>854</v>
      </c>
      <c r="K2776" t="s">
        <v>850</v>
      </c>
      <c r="L2776" t="s">
        <v>0</v>
      </c>
      <c r="M2776" t="s">
        <v>408</v>
      </c>
      <c r="N2776" t="s">
        <v>11</v>
      </c>
      <c r="O2776" t="s">
        <v>11</v>
      </c>
      <c r="P2776" t="s">
        <v>0</v>
      </c>
      <c r="Q2776" t="s">
        <v>408</v>
      </c>
      <c r="R2776" t="s">
        <v>439</v>
      </c>
      <c r="S2776" t="s">
        <v>440</v>
      </c>
      <c r="T2776" t="s">
        <v>11</v>
      </c>
      <c r="U2776" t="s">
        <v>408</v>
      </c>
    </row>
    <row r="2777" spans="1:21" x14ac:dyDescent="0.25">
      <c r="A2777">
        <v>24567036</v>
      </c>
      <c r="B2777" t="s">
        <v>340</v>
      </c>
      <c r="C2777" t="s">
        <v>86</v>
      </c>
      <c r="D2777" t="s">
        <v>12</v>
      </c>
      <c r="E2777" t="s">
        <v>755</v>
      </c>
      <c r="F2777" t="s">
        <v>380</v>
      </c>
      <c r="G2777" t="s">
        <v>369</v>
      </c>
      <c r="H2777" t="s">
        <v>855</v>
      </c>
      <c r="I2777" t="s">
        <v>611</v>
      </c>
      <c r="J2777" t="s">
        <v>854</v>
      </c>
      <c r="K2777" t="s">
        <v>850</v>
      </c>
      <c r="L2777" t="s">
        <v>0</v>
      </c>
      <c r="M2777" t="s">
        <v>408</v>
      </c>
      <c r="N2777" t="s">
        <v>11</v>
      </c>
      <c r="O2777" t="s">
        <v>11</v>
      </c>
      <c r="P2777" t="s">
        <v>0</v>
      </c>
      <c r="Q2777" t="s">
        <v>408</v>
      </c>
      <c r="R2777" t="s">
        <v>439</v>
      </c>
      <c r="S2777" t="s">
        <v>440</v>
      </c>
      <c r="T2777" t="s">
        <v>11</v>
      </c>
      <c r="U2777" t="s">
        <v>408</v>
      </c>
    </row>
    <row r="2778" spans="1:21" x14ac:dyDescent="0.25">
      <c r="A2778">
        <v>24567037</v>
      </c>
      <c r="B2778" t="s">
        <v>342</v>
      </c>
      <c r="C2778" t="s">
        <v>89</v>
      </c>
      <c r="D2778" t="s">
        <v>12</v>
      </c>
      <c r="E2778" t="s">
        <v>755</v>
      </c>
      <c r="F2778" t="s">
        <v>380</v>
      </c>
      <c r="G2778" t="s">
        <v>369</v>
      </c>
      <c r="H2778" t="s">
        <v>858</v>
      </c>
      <c r="I2778" t="s">
        <v>852</v>
      </c>
      <c r="J2778" t="s">
        <v>857</v>
      </c>
      <c r="K2778" t="s">
        <v>856</v>
      </c>
      <c r="L2778" t="s">
        <v>353</v>
      </c>
      <c r="M2778" t="s">
        <v>408</v>
      </c>
      <c r="N2778" t="s">
        <v>11</v>
      </c>
      <c r="O2778" t="s">
        <v>11</v>
      </c>
      <c r="P2778" t="s">
        <v>0</v>
      </c>
      <c r="Q2778" t="s">
        <v>11</v>
      </c>
      <c r="R2778" t="s">
        <v>439</v>
      </c>
      <c r="S2778" t="s">
        <v>440</v>
      </c>
      <c r="T2778" t="s">
        <v>11</v>
      </c>
      <c r="U2778" t="s">
        <v>11</v>
      </c>
    </row>
    <row r="2779" spans="1:21" x14ac:dyDescent="0.25">
      <c r="A2779">
        <v>24567040</v>
      </c>
      <c r="B2779" t="s">
        <v>342</v>
      </c>
      <c r="C2779" t="s">
        <v>89</v>
      </c>
      <c r="D2779" t="s">
        <v>18</v>
      </c>
      <c r="E2779" t="s">
        <v>755</v>
      </c>
      <c r="F2779" t="s">
        <v>380</v>
      </c>
      <c r="G2779" t="s">
        <v>369</v>
      </c>
      <c r="H2779" t="s">
        <v>853</v>
      </c>
      <c r="I2779" t="s">
        <v>852</v>
      </c>
      <c r="J2779" t="s">
        <v>851</v>
      </c>
      <c r="K2779" t="s">
        <v>850</v>
      </c>
      <c r="L2779" t="s">
        <v>353</v>
      </c>
      <c r="M2779" t="s">
        <v>408</v>
      </c>
      <c r="N2779" t="s">
        <v>11</v>
      </c>
      <c r="O2779" t="s">
        <v>11</v>
      </c>
      <c r="P2779" t="s">
        <v>0</v>
      </c>
      <c r="Q2779" t="s">
        <v>11</v>
      </c>
      <c r="R2779" t="s">
        <v>439</v>
      </c>
      <c r="S2779" t="s">
        <v>440</v>
      </c>
      <c r="T2779" t="s">
        <v>11</v>
      </c>
      <c r="U2779" t="s">
        <v>11</v>
      </c>
    </row>
    <row r="2780" spans="1:21" x14ac:dyDescent="0.25">
      <c r="A2780">
        <v>24567041</v>
      </c>
      <c r="B2780" t="s">
        <v>342</v>
      </c>
      <c r="C2780" t="s">
        <v>89</v>
      </c>
      <c r="D2780" t="s">
        <v>12</v>
      </c>
      <c r="E2780" t="s">
        <v>755</v>
      </c>
      <c r="F2780" t="s">
        <v>380</v>
      </c>
      <c r="G2780" t="s">
        <v>369</v>
      </c>
      <c r="H2780" t="s">
        <v>863</v>
      </c>
      <c r="I2780" t="s">
        <v>852</v>
      </c>
      <c r="J2780" t="s">
        <v>862</v>
      </c>
      <c r="K2780" t="s">
        <v>444</v>
      </c>
      <c r="L2780" t="s">
        <v>353</v>
      </c>
      <c r="M2780" t="s">
        <v>408</v>
      </c>
      <c r="N2780" t="s">
        <v>11</v>
      </c>
      <c r="O2780" t="s">
        <v>11</v>
      </c>
      <c r="P2780" t="s">
        <v>0</v>
      </c>
      <c r="Q2780" t="s">
        <v>11</v>
      </c>
      <c r="R2780" t="s">
        <v>439</v>
      </c>
      <c r="S2780" t="s">
        <v>440</v>
      </c>
      <c r="T2780" t="s">
        <v>11</v>
      </c>
      <c r="U2780" t="s">
        <v>11</v>
      </c>
    </row>
    <row r="2781" spans="1:21" x14ac:dyDescent="0.25">
      <c r="A2781">
        <v>24567042</v>
      </c>
      <c r="B2781" t="s">
        <v>342</v>
      </c>
      <c r="C2781" t="s">
        <v>89</v>
      </c>
      <c r="D2781" t="s">
        <v>18</v>
      </c>
      <c r="E2781" t="s">
        <v>755</v>
      </c>
      <c r="F2781" t="s">
        <v>380</v>
      </c>
      <c r="G2781" t="s">
        <v>468</v>
      </c>
      <c r="H2781" t="s">
        <v>858</v>
      </c>
      <c r="I2781" t="s">
        <v>852</v>
      </c>
      <c r="J2781" t="s">
        <v>857</v>
      </c>
      <c r="K2781" t="s">
        <v>856</v>
      </c>
      <c r="L2781" t="s">
        <v>353</v>
      </c>
      <c r="M2781" t="s">
        <v>408</v>
      </c>
      <c r="N2781" t="s">
        <v>11</v>
      </c>
      <c r="O2781" t="s">
        <v>11</v>
      </c>
      <c r="P2781" t="s">
        <v>0</v>
      </c>
      <c r="Q2781" t="s">
        <v>11</v>
      </c>
      <c r="R2781" t="s">
        <v>439</v>
      </c>
      <c r="S2781" t="s">
        <v>440</v>
      </c>
      <c r="T2781" t="s">
        <v>11</v>
      </c>
      <c r="U2781" t="s">
        <v>11</v>
      </c>
    </row>
    <row r="2782" spans="1:21" x14ac:dyDescent="0.25">
      <c r="A2782">
        <v>24567043</v>
      </c>
      <c r="B2782" t="s">
        <v>340</v>
      </c>
      <c r="C2782" t="s">
        <v>86</v>
      </c>
      <c r="D2782" t="s">
        <v>79</v>
      </c>
      <c r="E2782" t="s">
        <v>755</v>
      </c>
      <c r="F2782" t="s">
        <v>380</v>
      </c>
      <c r="G2782" t="s">
        <v>369</v>
      </c>
      <c r="H2782" t="s">
        <v>617</v>
      </c>
      <c r="I2782" t="s">
        <v>618</v>
      </c>
      <c r="J2782" t="s">
        <v>619</v>
      </c>
      <c r="K2782" t="s">
        <v>606</v>
      </c>
      <c r="L2782" t="s">
        <v>673</v>
      </c>
      <c r="M2782" t="s">
        <v>408</v>
      </c>
      <c r="N2782" t="s">
        <v>11</v>
      </c>
      <c r="O2782" t="s">
        <v>11</v>
      </c>
      <c r="P2782" t="s">
        <v>0</v>
      </c>
      <c r="Q2782" t="s">
        <v>408</v>
      </c>
      <c r="R2782" t="s">
        <v>439</v>
      </c>
      <c r="S2782" t="s">
        <v>451</v>
      </c>
      <c r="T2782" t="s">
        <v>11</v>
      </c>
      <c r="U2782" t="s">
        <v>408</v>
      </c>
    </row>
    <row r="2783" spans="1:21" x14ac:dyDescent="0.25">
      <c r="A2783">
        <v>24567045</v>
      </c>
      <c r="B2783" t="s">
        <v>340</v>
      </c>
      <c r="C2783" t="s">
        <v>86</v>
      </c>
      <c r="D2783" t="s">
        <v>12</v>
      </c>
      <c r="E2783" t="s">
        <v>755</v>
      </c>
      <c r="F2783" t="s">
        <v>380</v>
      </c>
      <c r="G2783" t="s">
        <v>369</v>
      </c>
      <c r="H2783" t="s">
        <v>855</v>
      </c>
      <c r="I2783" t="s">
        <v>611</v>
      </c>
      <c r="J2783" t="s">
        <v>854</v>
      </c>
      <c r="K2783" t="s">
        <v>850</v>
      </c>
      <c r="L2783" t="s">
        <v>0</v>
      </c>
      <c r="M2783" t="s">
        <v>408</v>
      </c>
      <c r="N2783" t="s">
        <v>11</v>
      </c>
      <c r="O2783" t="s">
        <v>11</v>
      </c>
      <c r="P2783" t="s">
        <v>0</v>
      </c>
      <c r="Q2783" t="s">
        <v>408</v>
      </c>
      <c r="R2783" t="s">
        <v>439</v>
      </c>
      <c r="S2783" t="s">
        <v>440</v>
      </c>
      <c r="T2783" t="s">
        <v>11</v>
      </c>
      <c r="U2783" t="s">
        <v>408</v>
      </c>
    </row>
    <row r="2784" spans="1:21" x14ac:dyDescent="0.25">
      <c r="A2784">
        <v>24567048</v>
      </c>
      <c r="B2784" t="s">
        <v>340</v>
      </c>
      <c r="C2784" t="s">
        <v>86</v>
      </c>
      <c r="D2784" t="s">
        <v>79</v>
      </c>
      <c r="E2784" t="s">
        <v>755</v>
      </c>
      <c r="F2784" t="s">
        <v>380</v>
      </c>
      <c r="G2784" t="s">
        <v>369</v>
      </c>
      <c r="H2784" t="s">
        <v>855</v>
      </c>
      <c r="I2784" t="s">
        <v>611</v>
      </c>
      <c r="J2784" t="s">
        <v>854</v>
      </c>
      <c r="K2784" t="s">
        <v>850</v>
      </c>
      <c r="L2784" t="s">
        <v>0</v>
      </c>
      <c r="M2784" t="s">
        <v>408</v>
      </c>
      <c r="N2784" t="s">
        <v>11</v>
      </c>
      <c r="O2784" t="s">
        <v>11</v>
      </c>
      <c r="P2784" t="s">
        <v>0</v>
      </c>
      <c r="Q2784" t="s">
        <v>408</v>
      </c>
      <c r="R2784" t="s">
        <v>439</v>
      </c>
      <c r="S2784" t="s">
        <v>440</v>
      </c>
      <c r="T2784" t="s">
        <v>11</v>
      </c>
      <c r="U2784" t="s">
        <v>408</v>
      </c>
    </row>
    <row r="2785" spans="1:21" x14ac:dyDescent="0.25">
      <c r="A2785">
        <v>24567050</v>
      </c>
      <c r="B2785" t="s">
        <v>342</v>
      </c>
      <c r="C2785" t="s">
        <v>89</v>
      </c>
      <c r="D2785" t="s">
        <v>12</v>
      </c>
      <c r="E2785" t="s">
        <v>755</v>
      </c>
      <c r="F2785" t="s">
        <v>380</v>
      </c>
      <c r="G2785" t="s">
        <v>369</v>
      </c>
      <c r="H2785" t="s">
        <v>863</v>
      </c>
      <c r="I2785" t="s">
        <v>852</v>
      </c>
      <c r="J2785" t="s">
        <v>862</v>
      </c>
      <c r="K2785" t="s">
        <v>444</v>
      </c>
      <c r="L2785" t="s">
        <v>353</v>
      </c>
      <c r="M2785" t="s">
        <v>408</v>
      </c>
      <c r="N2785" t="s">
        <v>11</v>
      </c>
      <c r="O2785" t="s">
        <v>11</v>
      </c>
      <c r="P2785" t="s">
        <v>0</v>
      </c>
      <c r="Q2785" t="s">
        <v>11</v>
      </c>
      <c r="R2785" t="s">
        <v>439</v>
      </c>
      <c r="S2785" t="s">
        <v>440</v>
      </c>
      <c r="T2785" t="s">
        <v>11</v>
      </c>
      <c r="U2785" t="s">
        <v>11</v>
      </c>
    </row>
    <row r="2786" spans="1:21" x14ac:dyDescent="0.25">
      <c r="A2786">
        <v>24567051</v>
      </c>
      <c r="B2786" t="s">
        <v>340</v>
      </c>
      <c r="C2786" t="s">
        <v>86</v>
      </c>
      <c r="D2786" t="s">
        <v>12</v>
      </c>
      <c r="E2786" t="s">
        <v>755</v>
      </c>
      <c r="F2786" t="s">
        <v>380</v>
      </c>
      <c r="G2786" t="s">
        <v>369</v>
      </c>
      <c r="H2786" t="s">
        <v>855</v>
      </c>
      <c r="I2786" t="s">
        <v>611</v>
      </c>
      <c r="J2786" t="s">
        <v>854</v>
      </c>
      <c r="K2786" t="s">
        <v>850</v>
      </c>
      <c r="L2786" t="s">
        <v>0</v>
      </c>
      <c r="M2786" t="s">
        <v>408</v>
      </c>
      <c r="N2786" t="s">
        <v>11</v>
      </c>
      <c r="O2786" t="s">
        <v>11</v>
      </c>
      <c r="P2786" t="s">
        <v>0</v>
      </c>
      <c r="Q2786" t="s">
        <v>408</v>
      </c>
      <c r="R2786" t="s">
        <v>439</v>
      </c>
      <c r="S2786" t="s">
        <v>440</v>
      </c>
      <c r="T2786" t="s">
        <v>11</v>
      </c>
      <c r="U2786" t="s">
        <v>408</v>
      </c>
    </row>
    <row r="2787" spans="1:21" x14ac:dyDescent="0.25">
      <c r="A2787">
        <v>24567053</v>
      </c>
      <c r="B2787" t="s">
        <v>340</v>
      </c>
      <c r="C2787" t="s">
        <v>86</v>
      </c>
      <c r="D2787" t="s">
        <v>12</v>
      </c>
      <c r="E2787" t="s">
        <v>755</v>
      </c>
      <c r="F2787" t="s">
        <v>380</v>
      </c>
      <c r="G2787" t="s">
        <v>369</v>
      </c>
      <c r="H2787" t="s">
        <v>855</v>
      </c>
      <c r="I2787" t="s">
        <v>611</v>
      </c>
      <c r="J2787" t="s">
        <v>854</v>
      </c>
      <c r="K2787" t="s">
        <v>850</v>
      </c>
      <c r="L2787" t="s">
        <v>0</v>
      </c>
      <c r="M2787" t="s">
        <v>408</v>
      </c>
      <c r="N2787" t="s">
        <v>11</v>
      </c>
      <c r="O2787" t="s">
        <v>11</v>
      </c>
      <c r="P2787" t="s">
        <v>0</v>
      </c>
      <c r="Q2787" t="s">
        <v>408</v>
      </c>
      <c r="R2787" t="s">
        <v>439</v>
      </c>
      <c r="S2787" t="s">
        <v>440</v>
      </c>
      <c r="T2787" t="s">
        <v>11</v>
      </c>
      <c r="U2787" t="s">
        <v>408</v>
      </c>
    </row>
    <row r="2788" spans="1:21" x14ac:dyDescent="0.25">
      <c r="A2788">
        <v>24567055</v>
      </c>
      <c r="B2788" t="s">
        <v>342</v>
      </c>
      <c r="C2788" t="s">
        <v>89</v>
      </c>
      <c r="D2788" t="s">
        <v>12</v>
      </c>
      <c r="E2788" t="s">
        <v>483</v>
      </c>
      <c r="F2788" t="s">
        <v>871</v>
      </c>
      <c r="G2788" t="s">
        <v>468</v>
      </c>
      <c r="H2788" t="s">
        <v>447</v>
      </c>
      <c r="I2788" t="s">
        <v>448</v>
      </c>
      <c r="J2788" t="s">
        <v>449</v>
      </c>
      <c r="K2788" t="s">
        <v>450</v>
      </c>
      <c r="L2788" t="s">
        <v>367</v>
      </c>
      <c r="M2788" t="s">
        <v>408</v>
      </c>
      <c r="N2788" t="s">
        <v>11</v>
      </c>
      <c r="O2788" t="s">
        <v>408</v>
      </c>
      <c r="P2788" t="s">
        <v>0</v>
      </c>
      <c r="Q2788" t="s">
        <v>408</v>
      </c>
      <c r="R2788" t="s">
        <v>439</v>
      </c>
      <c r="S2788" t="s">
        <v>451</v>
      </c>
      <c r="T2788" t="s">
        <v>11</v>
      </c>
      <c r="U2788" t="s">
        <v>408</v>
      </c>
    </row>
    <row r="2789" spans="1:21" x14ac:dyDescent="0.25">
      <c r="A2789">
        <v>24567056</v>
      </c>
      <c r="B2789" t="s">
        <v>342</v>
      </c>
      <c r="C2789" t="s">
        <v>89</v>
      </c>
      <c r="D2789" t="s">
        <v>79</v>
      </c>
      <c r="E2789" t="s">
        <v>483</v>
      </c>
      <c r="F2789" t="s">
        <v>871</v>
      </c>
      <c r="G2789" t="s">
        <v>369</v>
      </c>
      <c r="H2789" t="s">
        <v>853</v>
      </c>
      <c r="I2789" t="s">
        <v>852</v>
      </c>
      <c r="J2789" t="s">
        <v>851</v>
      </c>
      <c r="K2789" t="s">
        <v>850</v>
      </c>
      <c r="L2789" t="s">
        <v>353</v>
      </c>
      <c r="M2789" t="s">
        <v>408</v>
      </c>
      <c r="N2789" t="s">
        <v>11</v>
      </c>
      <c r="O2789" t="s">
        <v>11</v>
      </c>
      <c r="P2789" t="s">
        <v>0</v>
      </c>
      <c r="Q2789" t="s">
        <v>11</v>
      </c>
      <c r="R2789" t="s">
        <v>439</v>
      </c>
      <c r="S2789" t="s">
        <v>440</v>
      </c>
      <c r="T2789" t="s">
        <v>11</v>
      </c>
      <c r="U2789" t="s">
        <v>11</v>
      </c>
    </row>
    <row r="2790" spans="1:21" x14ac:dyDescent="0.25">
      <c r="A2790">
        <v>24567057</v>
      </c>
      <c r="B2790" t="s">
        <v>342</v>
      </c>
      <c r="C2790" t="s">
        <v>89</v>
      </c>
      <c r="D2790" t="s">
        <v>12</v>
      </c>
      <c r="E2790" t="s">
        <v>483</v>
      </c>
      <c r="F2790" t="s">
        <v>871</v>
      </c>
      <c r="G2790" t="s">
        <v>369</v>
      </c>
      <c r="H2790" t="s">
        <v>858</v>
      </c>
      <c r="I2790" t="s">
        <v>852</v>
      </c>
      <c r="J2790" t="s">
        <v>857</v>
      </c>
      <c r="K2790" t="s">
        <v>856</v>
      </c>
      <c r="L2790" t="s">
        <v>869</v>
      </c>
      <c r="M2790" t="s">
        <v>408</v>
      </c>
      <c r="N2790" t="s">
        <v>11</v>
      </c>
      <c r="O2790" t="s">
        <v>11</v>
      </c>
      <c r="P2790" t="s">
        <v>0</v>
      </c>
      <c r="Q2790" t="s">
        <v>11</v>
      </c>
      <c r="R2790" t="s">
        <v>439</v>
      </c>
      <c r="S2790" t="s">
        <v>440</v>
      </c>
      <c r="T2790" t="s">
        <v>11</v>
      </c>
      <c r="U2790" t="s">
        <v>11</v>
      </c>
    </row>
    <row r="2791" spans="1:21" x14ac:dyDescent="0.25">
      <c r="A2791">
        <v>24567058</v>
      </c>
      <c r="B2791" t="s">
        <v>342</v>
      </c>
      <c r="C2791" t="s">
        <v>89</v>
      </c>
      <c r="D2791" t="s">
        <v>12</v>
      </c>
      <c r="E2791" t="s">
        <v>755</v>
      </c>
      <c r="F2791" t="s">
        <v>380</v>
      </c>
      <c r="G2791" t="s">
        <v>369</v>
      </c>
      <c r="H2791" t="s">
        <v>853</v>
      </c>
      <c r="I2791" t="s">
        <v>852</v>
      </c>
      <c r="J2791" t="s">
        <v>851</v>
      </c>
      <c r="K2791" t="s">
        <v>850</v>
      </c>
      <c r="L2791" t="s">
        <v>353</v>
      </c>
      <c r="M2791" t="s">
        <v>408</v>
      </c>
      <c r="N2791" t="s">
        <v>11</v>
      </c>
      <c r="O2791" t="s">
        <v>11</v>
      </c>
      <c r="P2791" t="s">
        <v>0</v>
      </c>
      <c r="Q2791" t="s">
        <v>11</v>
      </c>
      <c r="R2791" t="s">
        <v>439</v>
      </c>
      <c r="S2791" t="s">
        <v>440</v>
      </c>
      <c r="T2791" t="s">
        <v>11</v>
      </c>
      <c r="U2791" t="s">
        <v>11</v>
      </c>
    </row>
    <row r="2792" spans="1:21" x14ac:dyDescent="0.25">
      <c r="A2792">
        <v>24567059</v>
      </c>
      <c r="B2792" t="s">
        <v>342</v>
      </c>
      <c r="C2792" t="s">
        <v>89</v>
      </c>
      <c r="D2792" t="s">
        <v>18</v>
      </c>
      <c r="E2792" t="s">
        <v>755</v>
      </c>
      <c r="F2792" t="s">
        <v>380</v>
      </c>
      <c r="G2792" t="s">
        <v>369</v>
      </c>
      <c r="H2792" t="s">
        <v>869</v>
      </c>
      <c r="I2792" t="s">
        <v>868</v>
      </c>
      <c r="J2792" t="s">
        <v>867</v>
      </c>
      <c r="K2792" t="s">
        <v>462</v>
      </c>
      <c r="L2792" t="s">
        <v>353</v>
      </c>
      <c r="M2792" t="s">
        <v>408</v>
      </c>
      <c r="N2792" t="s">
        <v>11</v>
      </c>
      <c r="O2792" t="s">
        <v>11</v>
      </c>
      <c r="P2792" t="s">
        <v>0</v>
      </c>
      <c r="Q2792" t="s">
        <v>11</v>
      </c>
      <c r="R2792" t="s">
        <v>439</v>
      </c>
      <c r="S2792" t="s">
        <v>440</v>
      </c>
      <c r="T2792" t="s">
        <v>11</v>
      </c>
      <c r="U2792" t="s">
        <v>11</v>
      </c>
    </row>
    <row r="2793" spans="1:21" x14ac:dyDescent="0.25">
      <c r="A2793">
        <v>24567060</v>
      </c>
      <c r="B2793" t="s">
        <v>342</v>
      </c>
      <c r="C2793" t="s">
        <v>89</v>
      </c>
      <c r="D2793" t="s">
        <v>12</v>
      </c>
      <c r="E2793" t="s">
        <v>755</v>
      </c>
      <c r="F2793" t="s">
        <v>380</v>
      </c>
      <c r="G2793" t="s">
        <v>369</v>
      </c>
      <c r="H2793" t="s">
        <v>853</v>
      </c>
      <c r="I2793" t="s">
        <v>852</v>
      </c>
      <c r="J2793" t="s">
        <v>851</v>
      </c>
      <c r="K2793" t="s">
        <v>850</v>
      </c>
      <c r="L2793" t="s">
        <v>353</v>
      </c>
      <c r="M2793" t="s">
        <v>408</v>
      </c>
      <c r="N2793" t="s">
        <v>11</v>
      </c>
      <c r="O2793" t="s">
        <v>11</v>
      </c>
      <c r="P2793" t="s">
        <v>0</v>
      </c>
      <c r="Q2793" t="s">
        <v>11</v>
      </c>
      <c r="R2793" t="s">
        <v>439</v>
      </c>
      <c r="S2793" t="s">
        <v>440</v>
      </c>
      <c r="T2793" t="s">
        <v>11</v>
      </c>
      <c r="U2793" t="s">
        <v>11</v>
      </c>
    </row>
    <row r="2794" spans="1:21" x14ac:dyDescent="0.25">
      <c r="A2794">
        <v>24567061</v>
      </c>
      <c r="B2794" t="s">
        <v>342</v>
      </c>
      <c r="C2794" t="s">
        <v>89</v>
      </c>
      <c r="D2794" t="s">
        <v>18</v>
      </c>
      <c r="E2794" t="s">
        <v>755</v>
      </c>
      <c r="F2794" t="s">
        <v>380</v>
      </c>
      <c r="G2794" t="s">
        <v>369</v>
      </c>
      <c r="H2794" t="s">
        <v>853</v>
      </c>
      <c r="I2794" t="s">
        <v>852</v>
      </c>
      <c r="J2794" t="s">
        <v>851</v>
      </c>
      <c r="K2794" t="s">
        <v>850</v>
      </c>
      <c r="L2794" t="s">
        <v>353</v>
      </c>
      <c r="M2794" t="s">
        <v>408</v>
      </c>
      <c r="N2794" t="s">
        <v>11</v>
      </c>
      <c r="O2794" t="s">
        <v>11</v>
      </c>
      <c r="P2794" t="s">
        <v>0</v>
      </c>
      <c r="Q2794" t="s">
        <v>11</v>
      </c>
      <c r="R2794" t="s">
        <v>439</v>
      </c>
      <c r="S2794" t="s">
        <v>440</v>
      </c>
      <c r="T2794" t="s">
        <v>11</v>
      </c>
      <c r="U2794" t="s">
        <v>11</v>
      </c>
    </row>
    <row r="2795" spans="1:21" x14ac:dyDescent="0.25">
      <c r="A2795">
        <v>24567062</v>
      </c>
      <c r="B2795" t="s">
        <v>342</v>
      </c>
      <c r="C2795" t="s">
        <v>89</v>
      </c>
      <c r="D2795" t="s">
        <v>12</v>
      </c>
      <c r="E2795" t="s">
        <v>755</v>
      </c>
      <c r="F2795" t="s">
        <v>380</v>
      </c>
      <c r="G2795" t="s">
        <v>369</v>
      </c>
      <c r="H2795" t="s">
        <v>853</v>
      </c>
      <c r="I2795" t="s">
        <v>852</v>
      </c>
      <c r="J2795" t="s">
        <v>851</v>
      </c>
      <c r="K2795" t="s">
        <v>850</v>
      </c>
      <c r="L2795" t="s">
        <v>353</v>
      </c>
      <c r="M2795" t="s">
        <v>408</v>
      </c>
      <c r="N2795" t="s">
        <v>11</v>
      </c>
      <c r="O2795" t="s">
        <v>11</v>
      </c>
      <c r="P2795" t="s">
        <v>0</v>
      </c>
      <c r="Q2795" t="s">
        <v>11</v>
      </c>
      <c r="R2795" t="s">
        <v>439</v>
      </c>
      <c r="S2795" t="s">
        <v>440</v>
      </c>
      <c r="T2795" t="s">
        <v>11</v>
      </c>
      <c r="U2795" t="s">
        <v>11</v>
      </c>
    </row>
    <row r="2796" spans="1:21" x14ac:dyDescent="0.25">
      <c r="A2796">
        <v>24567063</v>
      </c>
      <c r="B2796" t="s">
        <v>342</v>
      </c>
      <c r="C2796" t="s">
        <v>89</v>
      </c>
      <c r="D2796" t="s">
        <v>12</v>
      </c>
      <c r="E2796" t="s">
        <v>483</v>
      </c>
      <c r="F2796" t="s">
        <v>872</v>
      </c>
      <c r="G2796" t="s">
        <v>468</v>
      </c>
      <c r="H2796" t="s">
        <v>447</v>
      </c>
      <c r="I2796" t="s">
        <v>448</v>
      </c>
      <c r="J2796" t="s">
        <v>449</v>
      </c>
      <c r="K2796" t="s">
        <v>450</v>
      </c>
      <c r="L2796" t="s">
        <v>367</v>
      </c>
      <c r="M2796" t="s">
        <v>408</v>
      </c>
      <c r="N2796" t="s">
        <v>11</v>
      </c>
      <c r="O2796" t="s">
        <v>408</v>
      </c>
      <c r="P2796" t="s">
        <v>0</v>
      </c>
      <c r="Q2796" t="s">
        <v>408</v>
      </c>
      <c r="R2796" t="s">
        <v>439</v>
      </c>
      <c r="S2796" t="s">
        <v>451</v>
      </c>
      <c r="T2796" t="s">
        <v>11</v>
      </c>
      <c r="U2796" t="s">
        <v>408</v>
      </c>
    </row>
    <row r="2797" spans="1:21" x14ac:dyDescent="0.25">
      <c r="A2797">
        <v>24567066</v>
      </c>
      <c r="B2797" t="s">
        <v>340</v>
      </c>
      <c r="C2797" t="s">
        <v>86</v>
      </c>
      <c r="D2797" t="s">
        <v>12</v>
      </c>
      <c r="E2797" t="s">
        <v>755</v>
      </c>
      <c r="F2797" t="s">
        <v>380</v>
      </c>
      <c r="G2797" t="s">
        <v>369</v>
      </c>
      <c r="H2797" t="s">
        <v>617</v>
      </c>
      <c r="I2797" t="s">
        <v>618</v>
      </c>
      <c r="J2797" t="s">
        <v>619</v>
      </c>
      <c r="K2797" t="s">
        <v>606</v>
      </c>
      <c r="L2797" t="s">
        <v>673</v>
      </c>
      <c r="M2797" t="s">
        <v>408</v>
      </c>
      <c r="N2797" t="s">
        <v>11</v>
      </c>
      <c r="O2797" t="s">
        <v>11</v>
      </c>
      <c r="P2797" t="s">
        <v>0</v>
      </c>
      <c r="Q2797" t="s">
        <v>408</v>
      </c>
      <c r="R2797" t="s">
        <v>439</v>
      </c>
      <c r="S2797" t="s">
        <v>451</v>
      </c>
      <c r="T2797" t="s">
        <v>11</v>
      </c>
      <c r="U2797" t="s">
        <v>408</v>
      </c>
    </row>
    <row r="2798" spans="1:21" x14ac:dyDescent="0.25">
      <c r="A2798">
        <v>24567067</v>
      </c>
      <c r="B2798" t="s">
        <v>342</v>
      </c>
      <c r="C2798" t="s">
        <v>89</v>
      </c>
      <c r="D2798" t="s">
        <v>18</v>
      </c>
      <c r="E2798" t="s">
        <v>755</v>
      </c>
      <c r="F2798" t="s">
        <v>380</v>
      </c>
      <c r="G2798" t="s">
        <v>369</v>
      </c>
      <c r="H2798" t="s">
        <v>869</v>
      </c>
      <c r="I2798" t="s">
        <v>868</v>
      </c>
      <c r="J2798" t="s">
        <v>867</v>
      </c>
      <c r="K2798" t="s">
        <v>462</v>
      </c>
      <c r="L2798" t="s">
        <v>353</v>
      </c>
      <c r="M2798" t="s">
        <v>408</v>
      </c>
      <c r="N2798" t="s">
        <v>11</v>
      </c>
      <c r="O2798" t="s">
        <v>11</v>
      </c>
      <c r="P2798" t="s">
        <v>0</v>
      </c>
      <c r="Q2798" t="s">
        <v>11</v>
      </c>
      <c r="R2798" t="s">
        <v>439</v>
      </c>
      <c r="S2798" t="s">
        <v>440</v>
      </c>
      <c r="T2798" t="s">
        <v>11</v>
      </c>
      <c r="U2798" t="s">
        <v>11</v>
      </c>
    </row>
    <row r="2799" spans="1:21" x14ac:dyDescent="0.25">
      <c r="A2799">
        <v>24567069</v>
      </c>
      <c r="B2799" t="s">
        <v>342</v>
      </c>
      <c r="C2799" t="s">
        <v>89</v>
      </c>
      <c r="D2799" t="s">
        <v>12</v>
      </c>
      <c r="E2799" t="s">
        <v>755</v>
      </c>
      <c r="F2799" t="s">
        <v>380</v>
      </c>
      <c r="G2799" t="s">
        <v>369</v>
      </c>
      <c r="H2799" t="s">
        <v>853</v>
      </c>
      <c r="I2799" t="s">
        <v>852</v>
      </c>
      <c r="J2799" t="s">
        <v>851</v>
      </c>
      <c r="K2799" t="s">
        <v>850</v>
      </c>
      <c r="L2799" t="s">
        <v>353</v>
      </c>
      <c r="M2799" t="s">
        <v>408</v>
      </c>
      <c r="N2799" t="s">
        <v>11</v>
      </c>
      <c r="O2799" t="s">
        <v>11</v>
      </c>
      <c r="P2799" t="s">
        <v>0</v>
      </c>
      <c r="Q2799" t="s">
        <v>408</v>
      </c>
      <c r="R2799" t="s">
        <v>439</v>
      </c>
      <c r="S2799" t="s">
        <v>440</v>
      </c>
      <c r="T2799" t="s">
        <v>11</v>
      </c>
      <c r="U2799" t="s">
        <v>408</v>
      </c>
    </row>
    <row r="2800" spans="1:21" x14ac:dyDescent="0.25">
      <c r="A2800">
        <v>24567071</v>
      </c>
      <c r="B2800" t="s">
        <v>342</v>
      </c>
      <c r="C2800" t="s">
        <v>89</v>
      </c>
      <c r="D2800" t="s">
        <v>12</v>
      </c>
      <c r="E2800" t="s">
        <v>755</v>
      </c>
      <c r="F2800" t="s">
        <v>380</v>
      </c>
      <c r="G2800" t="s">
        <v>369</v>
      </c>
      <c r="H2800" t="s">
        <v>853</v>
      </c>
      <c r="I2800" t="s">
        <v>852</v>
      </c>
      <c r="J2800" t="s">
        <v>851</v>
      </c>
      <c r="K2800" t="s">
        <v>850</v>
      </c>
      <c r="L2800" t="s">
        <v>353</v>
      </c>
      <c r="M2800" t="s">
        <v>408</v>
      </c>
      <c r="N2800" t="s">
        <v>11</v>
      </c>
      <c r="O2800" t="s">
        <v>11</v>
      </c>
      <c r="P2800" t="s">
        <v>0</v>
      </c>
      <c r="Q2800" t="s">
        <v>11</v>
      </c>
      <c r="R2800" t="s">
        <v>439</v>
      </c>
      <c r="S2800" t="s">
        <v>440</v>
      </c>
      <c r="T2800" t="s">
        <v>11</v>
      </c>
      <c r="U2800" t="s">
        <v>11</v>
      </c>
    </row>
    <row r="2801" spans="1:21" x14ac:dyDescent="0.25">
      <c r="A2801">
        <v>24567072</v>
      </c>
      <c r="B2801" t="s">
        <v>342</v>
      </c>
      <c r="C2801" t="s">
        <v>89</v>
      </c>
      <c r="D2801" t="s">
        <v>12</v>
      </c>
      <c r="E2801" t="s">
        <v>755</v>
      </c>
      <c r="F2801" t="s">
        <v>380</v>
      </c>
      <c r="G2801" t="s">
        <v>369</v>
      </c>
      <c r="H2801" t="s">
        <v>858</v>
      </c>
      <c r="I2801" t="s">
        <v>852</v>
      </c>
      <c r="J2801" t="s">
        <v>857</v>
      </c>
      <c r="K2801" t="s">
        <v>856</v>
      </c>
      <c r="L2801" t="s">
        <v>353</v>
      </c>
      <c r="M2801" t="s">
        <v>408</v>
      </c>
      <c r="N2801" t="s">
        <v>11</v>
      </c>
      <c r="O2801" t="s">
        <v>11</v>
      </c>
      <c r="P2801" t="s">
        <v>0</v>
      </c>
      <c r="Q2801" t="s">
        <v>408</v>
      </c>
      <c r="R2801" t="s">
        <v>439</v>
      </c>
      <c r="S2801" t="s">
        <v>440</v>
      </c>
      <c r="T2801" t="s">
        <v>11</v>
      </c>
      <c r="U2801" t="s">
        <v>408</v>
      </c>
    </row>
    <row r="2802" spans="1:21" x14ac:dyDescent="0.25">
      <c r="A2802">
        <v>24567073</v>
      </c>
      <c r="B2802" t="s">
        <v>342</v>
      </c>
      <c r="C2802" t="s">
        <v>89</v>
      </c>
      <c r="D2802" t="s">
        <v>79</v>
      </c>
      <c r="E2802" t="s">
        <v>483</v>
      </c>
      <c r="F2802" t="s">
        <v>871</v>
      </c>
      <c r="G2802" t="s">
        <v>468</v>
      </c>
      <c r="H2802" t="s">
        <v>447</v>
      </c>
      <c r="I2802" t="s">
        <v>448</v>
      </c>
      <c r="J2802" t="s">
        <v>449</v>
      </c>
      <c r="K2802" t="s">
        <v>450</v>
      </c>
      <c r="L2802" t="s">
        <v>367</v>
      </c>
      <c r="M2802" t="s">
        <v>408</v>
      </c>
      <c r="N2802" t="s">
        <v>11</v>
      </c>
      <c r="O2802" t="s">
        <v>408</v>
      </c>
      <c r="P2802" t="s">
        <v>0</v>
      </c>
      <c r="Q2802" t="s">
        <v>408</v>
      </c>
      <c r="R2802" t="s">
        <v>439</v>
      </c>
      <c r="S2802" t="s">
        <v>451</v>
      </c>
      <c r="T2802" t="s">
        <v>11</v>
      </c>
      <c r="U2802" t="s">
        <v>408</v>
      </c>
    </row>
    <row r="2803" spans="1:21" x14ac:dyDescent="0.25">
      <c r="A2803">
        <v>24567075</v>
      </c>
      <c r="B2803" t="s">
        <v>342</v>
      </c>
      <c r="C2803" t="s">
        <v>89</v>
      </c>
      <c r="D2803" t="s">
        <v>12</v>
      </c>
      <c r="E2803" t="s">
        <v>483</v>
      </c>
      <c r="F2803" t="s">
        <v>871</v>
      </c>
      <c r="G2803" t="s">
        <v>468</v>
      </c>
      <c r="H2803" t="s">
        <v>447</v>
      </c>
      <c r="I2803" t="s">
        <v>448</v>
      </c>
      <c r="J2803" t="s">
        <v>449</v>
      </c>
      <c r="K2803" t="s">
        <v>450</v>
      </c>
      <c r="L2803" t="s">
        <v>367</v>
      </c>
      <c r="M2803" t="s">
        <v>408</v>
      </c>
      <c r="N2803" t="s">
        <v>11</v>
      </c>
      <c r="O2803" t="s">
        <v>408</v>
      </c>
      <c r="P2803" t="s">
        <v>0</v>
      </c>
      <c r="Q2803" t="s">
        <v>408</v>
      </c>
      <c r="R2803" t="s">
        <v>439</v>
      </c>
      <c r="S2803" t="s">
        <v>451</v>
      </c>
      <c r="T2803" t="s">
        <v>11</v>
      </c>
      <c r="U2803" t="s">
        <v>408</v>
      </c>
    </row>
    <row r="2804" spans="1:21" x14ac:dyDescent="0.25">
      <c r="A2804">
        <v>24567076</v>
      </c>
      <c r="B2804" t="s">
        <v>340</v>
      </c>
      <c r="C2804" t="s">
        <v>86</v>
      </c>
      <c r="D2804" t="s">
        <v>18</v>
      </c>
      <c r="E2804" t="s">
        <v>755</v>
      </c>
      <c r="F2804" t="s">
        <v>380</v>
      </c>
      <c r="G2804" t="s">
        <v>369</v>
      </c>
      <c r="H2804" t="s">
        <v>855</v>
      </c>
      <c r="I2804" t="s">
        <v>611</v>
      </c>
      <c r="J2804" t="s">
        <v>854</v>
      </c>
      <c r="K2804" t="s">
        <v>850</v>
      </c>
      <c r="L2804" t="s">
        <v>0</v>
      </c>
      <c r="M2804" t="s">
        <v>408</v>
      </c>
      <c r="N2804" t="s">
        <v>11</v>
      </c>
      <c r="O2804" t="s">
        <v>11</v>
      </c>
      <c r="P2804" t="s">
        <v>0</v>
      </c>
      <c r="Q2804" t="s">
        <v>408</v>
      </c>
      <c r="R2804" t="s">
        <v>439</v>
      </c>
      <c r="S2804" t="s">
        <v>440</v>
      </c>
      <c r="T2804" t="s">
        <v>11</v>
      </c>
      <c r="U2804" t="s">
        <v>408</v>
      </c>
    </row>
    <row r="2805" spans="1:21" x14ac:dyDescent="0.25">
      <c r="A2805">
        <v>24567079</v>
      </c>
      <c r="B2805" t="s">
        <v>342</v>
      </c>
      <c r="C2805" t="s">
        <v>89</v>
      </c>
      <c r="D2805" t="s">
        <v>12</v>
      </c>
      <c r="E2805" t="s">
        <v>755</v>
      </c>
      <c r="F2805" t="s">
        <v>380</v>
      </c>
      <c r="G2805" t="s">
        <v>369</v>
      </c>
      <c r="H2805" t="s">
        <v>853</v>
      </c>
      <c r="I2805" t="s">
        <v>852</v>
      </c>
      <c r="J2805" t="s">
        <v>851</v>
      </c>
      <c r="K2805" t="s">
        <v>850</v>
      </c>
      <c r="L2805" t="s">
        <v>353</v>
      </c>
      <c r="M2805" t="s">
        <v>408</v>
      </c>
      <c r="N2805" t="s">
        <v>11</v>
      </c>
      <c r="O2805" t="s">
        <v>11</v>
      </c>
      <c r="P2805" t="s">
        <v>0</v>
      </c>
      <c r="Q2805" t="s">
        <v>11</v>
      </c>
      <c r="R2805" t="s">
        <v>439</v>
      </c>
      <c r="S2805" t="s">
        <v>440</v>
      </c>
      <c r="T2805" t="s">
        <v>11</v>
      </c>
      <c r="U2805" t="s">
        <v>11</v>
      </c>
    </row>
    <row r="2806" spans="1:21" x14ac:dyDescent="0.25">
      <c r="A2806">
        <v>24567080</v>
      </c>
      <c r="B2806" t="s">
        <v>342</v>
      </c>
      <c r="C2806" t="s">
        <v>89</v>
      </c>
      <c r="D2806" t="s">
        <v>12</v>
      </c>
      <c r="E2806" t="s">
        <v>755</v>
      </c>
      <c r="F2806" t="s">
        <v>380</v>
      </c>
      <c r="G2806" t="s">
        <v>369</v>
      </c>
      <c r="H2806" t="s">
        <v>858</v>
      </c>
      <c r="I2806" t="s">
        <v>852</v>
      </c>
      <c r="J2806" t="s">
        <v>857</v>
      </c>
      <c r="K2806" t="s">
        <v>856</v>
      </c>
      <c r="L2806" t="s">
        <v>353</v>
      </c>
      <c r="M2806" t="s">
        <v>408</v>
      </c>
      <c r="N2806" t="s">
        <v>11</v>
      </c>
      <c r="O2806" t="s">
        <v>11</v>
      </c>
      <c r="P2806" t="s">
        <v>0</v>
      </c>
      <c r="Q2806" t="s">
        <v>11</v>
      </c>
      <c r="R2806" t="s">
        <v>439</v>
      </c>
      <c r="S2806" t="s">
        <v>440</v>
      </c>
      <c r="T2806" t="s">
        <v>11</v>
      </c>
      <c r="U2806" t="s">
        <v>11</v>
      </c>
    </row>
    <row r="2807" spans="1:21" x14ac:dyDescent="0.25">
      <c r="A2807">
        <v>24567081</v>
      </c>
      <c r="B2807" t="s">
        <v>342</v>
      </c>
      <c r="C2807" t="s">
        <v>89</v>
      </c>
      <c r="D2807" t="s">
        <v>79</v>
      </c>
      <c r="E2807" t="s">
        <v>755</v>
      </c>
      <c r="F2807" t="s">
        <v>380</v>
      </c>
      <c r="G2807" t="s">
        <v>369</v>
      </c>
      <c r="H2807" t="s">
        <v>863</v>
      </c>
      <c r="I2807" t="s">
        <v>852</v>
      </c>
      <c r="J2807" t="s">
        <v>862</v>
      </c>
      <c r="K2807" t="s">
        <v>444</v>
      </c>
      <c r="L2807" t="s">
        <v>353</v>
      </c>
      <c r="M2807" t="s">
        <v>408</v>
      </c>
      <c r="N2807" t="s">
        <v>11</v>
      </c>
      <c r="O2807" t="s">
        <v>11</v>
      </c>
      <c r="P2807" t="s">
        <v>0</v>
      </c>
      <c r="Q2807" t="s">
        <v>11</v>
      </c>
      <c r="R2807" t="s">
        <v>439</v>
      </c>
      <c r="S2807" t="s">
        <v>440</v>
      </c>
      <c r="T2807" t="s">
        <v>11</v>
      </c>
      <c r="U2807" t="s">
        <v>11</v>
      </c>
    </row>
    <row r="2808" spans="1:21" x14ac:dyDescent="0.25">
      <c r="A2808">
        <v>24567082</v>
      </c>
      <c r="B2808" t="s">
        <v>342</v>
      </c>
      <c r="C2808" t="s">
        <v>89</v>
      </c>
      <c r="D2808" t="s">
        <v>12</v>
      </c>
      <c r="E2808" t="s">
        <v>755</v>
      </c>
      <c r="F2808" t="s">
        <v>380</v>
      </c>
      <c r="G2808" t="s">
        <v>369</v>
      </c>
      <c r="H2808" t="s">
        <v>853</v>
      </c>
      <c r="I2808" t="s">
        <v>852</v>
      </c>
      <c r="J2808" t="s">
        <v>851</v>
      </c>
      <c r="K2808" t="s">
        <v>850</v>
      </c>
      <c r="L2808" t="s">
        <v>353</v>
      </c>
      <c r="M2808" t="s">
        <v>408</v>
      </c>
      <c r="N2808" t="s">
        <v>11</v>
      </c>
      <c r="O2808" t="s">
        <v>11</v>
      </c>
      <c r="P2808" t="s">
        <v>0</v>
      </c>
      <c r="Q2808" t="s">
        <v>11</v>
      </c>
      <c r="R2808" t="s">
        <v>439</v>
      </c>
      <c r="S2808" t="s">
        <v>440</v>
      </c>
      <c r="T2808" t="s">
        <v>11</v>
      </c>
      <c r="U2808" t="s">
        <v>11</v>
      </c>
    </row>
    <row r="2809" spans="1:21" x14ac:dyDescent="0.25">
      <c r="A2809">
        <v>24567084</v>
      </c>
      <c r="B2809" t="s">
        <v>342</v>
      </c>
      <c r="C2809" t="s">
        <v>89</v>
      </c>
      <c r="D2809" t="s">
        <v>12</v>
      </c>
      <c r="E2809" t="s">
        <v>755</v>
      </c>
      <c r="F2809" t="s">
        <v>380</v>
      </c>
      <c r="G2809" t="s">
        <v>369</v>
      </c>
      <c r="H2809" t="s">
        <v>869</v>
      </c>
      <c r="I2809" t="s">
        <v>868</v>
      </c>
      <c r="J2809" t="s">
        <v>867</v>
      </c>
      <c r="K2809" t="s">
        <v>462</v>
      </c>
      <c r="L2809" t="s">
        <v>353</v>
      </c>
      <c r="M2809" t="s">
        <v>408</v>
      </c>
      <c r="N2809" t="s">
        <v>11</v>
      </c>
      <c r="O2809" t="s">
        <v>11</v>
      </c>
      <c r="P2809" t="s">
        <v>0</v>
      </c>
      <c r="Q2809" t="s">
        <v>11</v>
      </c>
      <c r="R2809" t="s">
        <v>439</v>
      </c>
      <c r="S2809" t="s">
        <v>440</v>
      </c>
      <c r="T2809" t="s">
        <v>11</v>
      </c>
      <c r="U2809" t="s">
        <v>11</v>
      </c>
    </row>
    <row r="2810" spans="1:21" x14ac:dyDescent="0.25">
      <c r="A2810">
        <v>24567086</v>
      </c>
      <c r="B2810" t="s">
        <v>340</v>
      </c>
      <c r="C2810" t="s">
        <v>86</v>
      </c>
      <c r="D2810" t="s">
        <v>12</v>
      </c>
      <c r="E2810" t="s">
        <v>755</v>
      </c>
      <c r="F2810" t="s">
        <v>380</v>
      </c>
      <c r="G2810" t="s">
        <v>369</v>
      </c>
      <c r="H2810" t="s">
        <v>855</v>
      </c>
      <c r="I2810" t="s">
        <v>611</v>
      </c>
      <c r="J2810" t="s">
        <v>854</v>
      </c>
      <c r="K2810" t="s">
        <v>850</v>
      </c>
      <c r="L2810" t="s">
        <v>0</v>
      </c>
      <c r="M2810" t="s">
        <v>408</v>
      </c>
      <c r="N2810" t="s">
        <v>11</v>
      </c>
      <c r="O2810" t="s">
        <v>11</v>
      </c>
      <c r="P2810" t="s">
        <v>0</v>
      </c>
      <c r="Q2810" t="s">
        <v>408</v>
      </c>
      <c r="R2810" t="s">
        <v>439</v>
      </c>
      <c r="S2810" t="s">
        <v>440</v>
      </c>
      <c r="T2810" t="s">
        <v>11</v>
      </c>
      <c r="U2810" t="s">
        <v>408</v>
      </c>
    </row>
    <row r="2811" spans="1:21" x14ac:dyDescent="0.25">
      <c r="A2811">
        <v>24567087</v>
      </c>
      <c r="B2811" t="s">
        <v>342</v>
      </c>
      <c r="C2811" t="s">
        <v>89</v>
      </c>
      <c r="D2811" t="s">
        <v>12</v>
      </c>
      <c r="E2811" t="s">
        <v>755</v>
      </c>
      <c r="F2811" t="s">
        <v>380</v>
      </c>
      <c r="G2811" t="s">
        <v>369</v>
      </c>
      <c r="H2811" t="s">
        <v>858</v>
      </c>
      <c r="I2811" t="s">
        <v>852</v>
      </c>
      <c r="J2811" t="s">
        <v>857</v>
      </c>
      <c r="K2811" t="s">
        <v>856</v>
      </c>
      <c r="L2811" t="s">
        <v>353</v>
      </c>
      <c r="M2811" t="s">
        <v>408</v>
      </c>
      <c r="N2811" t="s">
        <v>11</v>
      </c>
      <c r="O2811" t="s">
        <v>11</v>
      </c>
      <c r="P2811" t="s">
        <v>0</v>
      </c>
      <c r="Q2811" t="s">
        <v>11</v>
      </c>
      <c r="R2811" t="s">
        <v>439</v>
      </c>
      <c r="S2811" t="s">
        <v>440</v>
      </c>
      <c r="T2811" t="s">
        <v>11</v>
      </c>
      <c r="U2811" t="s">
        <v>11</v>
      </c>
    </row>
    <row r="2812" spans="1:21" x14ac:dyDescent="0.25">
      <c r="A2812">
        <v>24567088</v>
      </c>
      <c r="B2812" t="s">
        <v>342</v>
      </c>
      <c r="C2812" t="s">
        <v>89</v>
      </c>
      <c r="D2812" t="s">
        <v>12</v>
      </c>
      <c r="E2812" t="s">
        <v>755</v>
      </c>
      <c r="F2812" t="s">
        <v>380</v>
      </c>
      <c r="G2812" t="s">
        <v>369</v>
      </c>
      <c r="H2812" t="s">
        <v>858</v>
      </c>
      <c r="I2812" t="s">
        <v>852</v>
      </c>
      <c r="J2812" t="s">
        <v>857</v>
      </c>
      <c r="K2812" t="s">
        <v>856</v>
      </c>
      <c r="L2812" t="s">
        <v>353</v>
      </c>
      <c r="M2812" t="s">
        <v>408</v>
      </c>
      <c r="N2812" t="s">
        <v>11</v>
      </c>
      <c r="O2812" t="s">
        <v>11</v>
      </c>
      <c r="P2812" t="s">
        <v>0</v>
      </c>
      <c r="Q2812" t="s">
        <v>11</v>
      </c>
      <c r="R2812" t="s">
        <v>439</v>
      </c>
      <c r="S2812" t="s">
        <v>440</v>
      </c>
      <c r="T2812" t="s">
        <v>11</v>
      </c>
      <c r="U2812" t="s">
        <v>11</v>
      </c>
    </row>
    <row r="2813" spans="1:21" x14ac:dyDescent="0.25">
      <c r="A2813">
        <v>24567090</v>
      </c>
      <c r="B2813" t="s">
        <v>342</v>
      </c>
      <c r="C2813" t="s">
        <v>89</v>
      </c>
      <c r="D2813" t="s">
        <v>12</v>
      </c>
      <c r="E2813" t="s">
        <v>755</v>
      </c>
      <c r="F2813" t="s">
        <v>380</v>
      </c>
      <c r="G2813" t="s">
        <v>369</v>
      </c>
      <c r="H2813" t="s">
        <v>858</v>
      </c>
      <c r="I2813" t="s">
        <v>852</v>
      </c>
      <c r="J2813" t="s">
        <v>857</v>
      </c>
      <c r="K2813" t="s">
        <v>856</v>
      </c>
      <c r="L2813" t="s">
        <v>869</v>
      </c>
      <c r="M2813" t="s">
        <v>408</v>
      </c>
      <c r="N2813" t="s">
        <v>11</v>
      </c>
      <c r="O2813" t="s">
        <v>11</v>
      </c>
      <c r="P2813" t="s">
        <v>0</v>
      </c>
      <c r="Q2813" t="s">
        <v>11</v>
      </c>
      <c r="R2813" t="s">
        <v>439</v>
      </c>
      <c r="S2813" t="s">
        <v>440</v>
      </c>
      <c r="T2813" t="s">
        <v>11</v>
      </c>
      <c r="U2813" t="s">
        <v>11</v>
      </c>
    </row>
    <row r="2814" spans="1:21" x14ac:dyDescent="0.25">
      <c r="A2814">
        <v>24567091</v>
      </c>
      <c r="B2814" t="s">
        <v>342</v>
      </c>
      <c r="C2814" t="s">
        <v>89</v>
      </c>
      <c r="D2814" t="s">
        <v>12</v>
      </c>
      <c r="E2814" t="s">
        <v>755</v>
      </c>
      <c r="F2814" t="s">
        <v>380</v>
      </c>
      <c r="G2814" t="s">
        <v>369</v>
      </c>
      <c r="H2814" t="s">
        <v>858</v>
      </c>
      <c r="I2814" t="s">
        <v>852</v>
      </c>
      <c r="J2814" t="s">
        <v>857</v>
      </c>
      <c r="K2814" t="s">
        <v>856</v>
      </c>
      <c r="L2814" t="s">
        <v>869</v>
      </c>
      <c r="M2814" t="s">
        <v>408</v>
      </c>
      <c r="N2814" t="s">
        <v>11</v>
      </c>
      <c r="O2814" t="s">
        <v>11</v>
      </c>
      <c r="P2814" t="s">
        <v>0</v>
      </c>
      <c r="Q2814" t="s">
        <v>11</v>
      </c>
      <c r="R2814" t="s">
        <v>439</v>
      </c>
      <c r="S2814" t="s">
        <v>440</v>
      </c>
      <c r="T2814" t="s">
        <v>11</v>
      </c>
      <c r="U2814" t="s">
        <v>11</v>
      </c>
    </row>
    <row r="2815" spans="1:21" x14ac:dyDescent="0.25">
      <c r="A2815">
        <v>24567093</v>
      </c>
      <c r="B2815" t="s">
        <v>342</v>
      </c>
      <c r="C2815" t="s">
        <v>89</v>
      </c>
      <c r="D2815" t="s">
        <v>18</v>
      </c>
      <c r="E2815" t="s">
        <v>755</v>
      </c>
      <c r="F2815" t="s">
        <v>380</v>
      </c>
      <c r="G2815" t="s">
        <v>369</v>
      </c>
      <c r="H2815" t="s">
        <v>858</v>
      </c>
      <c r="I2815" t="s">
        <v>852</v>
      </c>
      <c r="J2815" t="s">
        <v>857</v>
      </c>
      <c r="K2815" t="s">
        <v>856</v>
      </c>
      <c r="L2815" t="s">
        <v>353</v>
      </c>
      <c r="M2815" t="s">
        <v>408</v>
      </c>
      <c r="N2815" t="s">
        <v>11</v>
      </c>
      <c r="O2815" t="s">
        <v>11</v>
      </c>
      <c r="P2815" t="s">
        <v>0</v>
      </c>
      <c r="Q2815" t="s">
        <v>11</v>
      </c>
      <c r="R2815" t="s">
        <v>439</v>
      </c>
      <c r="S2815" t="s">
        <v>440</v>
      </c>
      <c r="T2815" t="s">
        <v>11</v>
      </c>
      <c r="U2815" t="s">
        <v>11</v>
      </c>
    </row>
    <row r="2816" spans="1:21" x14ac:dyDescent="0.25">
      <c r="A2816">
        <v>24567094</v>
      </c>
      <c r="B2816" t="s">
        <v>342</v>
      </c>
      <c r="C2816" t="s">
        <v>89</v>
      </c>
      <c r="D2816" t="s">
        <v>18</v>
      </c>
      <c r="E2816" t="s">
        <v>755</v>
      </c>
      <c r="F2816" t="s">
        <v>380</v>
      </c>
      <c r="G2816" t="s">
        <v>369</v>
      </c>
      <c r="H2816" t="s">
        <v>853</v>
      </c>
      <c r="I2816" t="s">
        <v>852</v>
      </c>
      <c r="J2816" t="s">
        <v>851</v>
      </c>
      <c r="K2816" t="s">
        <v>850</v>
      </c>
      <c r="L2816" t="s">
        <v>353</v>
      </c>
      <c r="M2816" t="s">
        <v>408</v>
      </c>
      <c r="N2816" t="s">
        <v>11</v>
      </c>
      <c r="O2816" t="s">
        <v>11</v>
      </c>
      <c r="P2816" t="s">
        <v>0</v>
      </c>
      <c r="Q2816" t="s">
        <v>11</v>
      </c>
      <c r="R2816" t="s">
        <v>439</v>
      </c>
      <c r="S2816" t="s">
        <v>440</v>
      </c>
      <c r="T2816" t="s">
        <v>11</v>
      </c>
      <c r="U2816" t="s">
        <v>11</v>
      </c>
    </row>
    <row r="2817" spans="1:21" x14ac:dyDescent="0.25">
      <c r="A2817">
        <v>24567096</v>
      </c>
      <c r="B2817" t="s">
        <v>342</v>
      </c>
      <c r="C2817" t="s">
        <v>89</v>
      </c>
      <c r="D2817" t="s">
        <v>12</v>
      </c>
      <c r="E2817" t="s">
        <v>755</v>
      </c>
      <c r="F2817" t="s">
        <v>380</v>
      </c>
      <c r="G2817" t="s">
        <v>369</v>
      </c>
      <c r="H2817" t="s">
        <v>853</v>
      </c>
      <c r="I2817" t="s">
        <v>852</v>
      </c>
      <c r="J2817" t="s">
        <v>851</v>
      </c>
      <c r="K2817" t="s">
        <v>850</v>
      </c>
      <c r="L2817" t="s">
        <v>353</v>
      </c>
      <c r="M2817" t="s">
        <v>408</v>
      </c>
      <c r="N2817" t="s">
        <v>11</v>
      </c>
      <c r="O2817" t="s">
        <v>11</v>
      </c>
      <c r="P2817" t="s">
        <v>0</v>
      </c>
      <c r="Q2817" t="s">
        <v>11</v>
      </c>
      <c r="R2817" t="s">
        <v>439</v>
      </c>
      <c r="S2817" t="s">
        <v>440</v>
      </c>
      <c r="T2817" t="s">
        <v>11</v>
      </c>
      <c r="U2817" t="s">
        <v>11</v>
      </c>
    </row>
    <row r="2818" spans="1:21" x14ac:dyDescent="0.25">
      <c r="A2818">
        <v>24567097</v>
      </c>
      <c r="B2818" t="s">
        <v>342</v>
      </c>
      <c r="C2818" t="s">
        <v>89</v>
      </c>
      <c r="D2818" t="s">
        <v>12</v>
      </c>
      <c r="E2818" t="s">
        <v>755</v>
      </c>
      <c r="F2818" t="s">
        <v>380</v>
      </c>
      <c r="G2818" t="s">
        <v>369</v>
      </c>
      <c r="H2818" t="s">
        <v>853</v>
      </c>
      <c r="I2818" t="s">
        <v>852</v>
      </c>
      <c r="J2818" t="s">
        <v>851</v>
      </c>
      <c r="K2818" t="s">
        <v>850</v>
      </c>
      <c r="L2818" t="s">
        <v>353</v>
      </c>
      <c r="M2818" t="s">
        <v>408</v>
      </c>
      <c r="N2818" t="s">
        <v>11</v>
      </c>
      <c r="O2818" t="s">
        <v>11</v>
      </c>
      <c r="P2818" t="s">
        <v>0</v>
      </c>
      <c r="Q2818" t="s">
        <v>408</v>
      </c>
      <c r="R2818" t="s">
        <v>439</v>
      </c>
      <c r="S2818" t="s">
        <v>440</v>
      </c>
      <c r="T2818" t="s">
        <v>11</v>
      </c>
      <c r="U2818" t="s">
        <v>408</v>
      </c>
    </row>
    <row r="2819" spans="1:21" x14ac:dyDescent="0.25">
      <c r="A2819">
        <v>24567098</v>
      </c>
      <c r="B2819" t="s">
        <v>340</v>
      </c>
      <c r="C2819" t="s">
        <v>86</v>
      </c>
      <c r="D2819" t="s">
        <v>12</v>
      </c>
      <c r="E2819" t="s">
        <v>755</v>
      </c>
      <c r="F2819" t="s">
        <v>380</v>
      </c>
      <c r="G2819" t="s">
        <v>369</v>
      </c>
      <c r="H2819" t="s">
        <v>855</v>
      </c>
      <c r="I2819" t="s">
        <v>611</v>
      </c>
      <c r="J2819" t="s">
        <v>854</v>
      </c>
      <c r="K2819" t="s">
        <v>850</v>
      </c>
      <c r="L2819" t="s">
        <v>0</v>
      </c>
      <c r="M2819" t="s">
        <v>408</v>
      </c>
      <c r="N2819" t="s">
        <v>11</v>
      </c>
      <c r="O2819" t="s">
        <v>11</v>
      </c>
      <c r="P2819" t="s">
        <v>0</v>
      </c>
      <c r="Q2819" t="s">
        <v>408</v>
      </c>
      <c r="R2819" t="s">
        <v>439</v>
      </c>
      <c r="S2819" t="s">
        <v>440</v>
      </c>
      <c r="T2819" t="s">
        <v>11</v>
      </c>
      <c r="U2819" t="s">
        <v>408</v>
      </c>
    </row>
    <row r="2820" spans="1:21" x14ac:dyDescent="0.25">
      <c r="A2820">
        <v>24567099</v>
      </c>
      <c r="B2820" t="s">
        <v>342</v>
      </c>
      <c r="C2820" t="s">
        <v>89</v>
      </c>
      <c r="D2820" t="s">
        <v>12</v>
      </c>
      <c r="E2820" t="s">
        <v>755</v>
      </c>
      <c r="F2820" t="s">
        <v>380</v>
      </c>
      <c r="G2820" t="s">
        <v>369</v>
      </c>
      <c r="H2820" t="s">
        <v>853</v>
      </c>
      <c r="I2820" t="s">
        <v>852</v>
      </c>
      <c r="J2820" t="s">
        <v>851</v>
      </c>
      <c r="K2820" t="s">
        <v>850</v>
      </c>
      <c r="L2820" t="s">
        <v>353</v>
      </c>
      <c r="M2820" t="s">
        <v>408</v>
      </c>
      <c r="N2820" t="s">
        <v>11</v>
      </c>
      <c r="O2820" t="s">
        <v>11</v>
      </c>
      <c r="P2820" t="s">
        <v>0</v>
      </c>
      <c r="Q2820" t="s">
        <v>408</v>
      </c>
      <c r="R2820" t="s">
        <v>439</v>
      </c>
      <c r="S2820" t="s">
        <v>440</v>
      </c>
      <c r="T2820" t="s">
        <v>11</v>
      </c>
      <c r="U2820" t="s">
        <v>408</v>
      </c>
    </row>
    <row r="2821" spans="1:21" x14ac:dyDescent="0.25">
      <c r="A2821">
        <v>24567100</v>
      </c>
      <c r="B2821" t="s">
        <v>342</v>
      </c>
      <c r="C2821" t="s">
        <v>89</v>
      </c>
      <c r="D2821" t="s">
        <v>12</v>
      </c>
      <c r="E2821" t="s">
        <v>755</v>
      </c>
      <c r="F2821" t="s">
        <v>380</v>
      </c>
      <c r="G2821" t="s">
        <v>369</v>
      </c>
      <c r="H2821" t="s">
        <v>863</v>
      </c>
      <c r="I2821" t="s">
        <v>852</v>
      </c>
      <c r="J2821" t="s">
        <v>862</v>
      </c>
      <c r="K2821" t="s">
        <v>444</v>
      </c>
      <c r="L2821" t="s">
        <v>353</v>
      </c>
      <c r="M2821" t="s">
        <v>408</v>
      </c>
      <c r="N2821" t="s">
        <v>11</v>
      </c>
      <c r="O2821" t="s">
        <v>11</v>
      </c>
      <c r="P2821" t="s">
        <v>0</v>
      </c>
      <c r="Q2821" t="s">
        <v>11</v>
      </c>
      <c r="R2821" t="s">
        <v>439</v>
      </c>
      <c r="S2821" t="s">
        <v>440</v>
      </c>
      <c r="T2821" t="s">
        <v>11</v>
      </c>
      <c r="U2821" t="s">
        <v>11</v>
      </c>
    </row>
    <row r="2822" spans="1:21" x14ac:dyDescent="0.25">
      <c r="A2822">
        <v>24567101</v>
      </c>
      <c r="B2822" t="s">
        <v>342</v>
      </c>
      <c r="C2822" t="s">
        <v>89</v>
      </c>
      <c r="D2822" t="s">
        <v>12</v>
      </c>
      <c r="E2822" t="s">
        <v>755</v>
      </c>
      <c r="F2822" t="s">
        <v>870</v>
      </c>
      <c r="G2822" t="s">
        <v>369</v>
      </c>
      <c r="H2822" t="s">
        <v>855</v>
      </c>
      <c r="I2822" t="s">
        <v>611</v>
      </c>
      <c r="J2822" t="s">
        <v>854</v>
      </c>
      <c r="K2822" t="s">
        <v>850</v>
      </c>
      <c r="L2822" t="s">
        <v>0</v>
      </c>
      <c r="M2822" t="s">
        <v>408</v>
      </c>
      <c r="N2822" t="s">
        <v>11</v>
      </c>
      <c r="O2822" t="s">
        <v>11</v>
      </c>
      <c r="P2822" t="s">
        <v>0</v>
      </c>
      <c r="Q2822" t="s">
        <v>408</v>
      </c>
      <c r="R2822" t="s">
        <v>439</v>
      </c>
      <c r="S2822" t="s">
        <v>440</v>
      </c>
      <c r="T2822" t="s">
        <v>11</v>
      </c>
      <c r="U2822" t="s">
        <v>408</v>
      </c>
    </row>
    <row r="2823" spans="1:21" x14ac:dyDescent="0.25">
      <c r="A2823">
        <v>24567103</v>
      </c>
      <c r="B2823" t="s">
        <v>340</v>
      </c>
      <c r="C2823" t="s">
        <v>86</v>
      </c>
      <c r="D2823" t="s">
        <v>12</v>
      </c>
      <c r="E2823" t="s">
        <v>755</v>
      </c>
      <c r="F2823" t="s">
        <v>380</v>
      </c>
      <c r="G2823" t="s">
        <v>369</v>
      </c>
      <c r="H2823" t="s">
        <v>855</v>
      </c>
      <c r="I2823" t="s">
        <v>611</v>
      </c>
      <c r="J2823" t="s">
        <v>854</v>
      </c>
      <c r="K2823" t="s">
        <v>850</v>
      </c>
      <c r="L2823" t="s">
        <v>0</v>
      </c>
      <c r="M2823" t="s">
        <v>408</v>
      </c>
      <c r="N2823" t="s">
        <v>11</v>
      </c>
      <c r="O2823" t="s">
        <v>11</v>
      </c>
      <c r="P2823" t="s">
        <v>0</v>
      </c>
      <c r="Q2823" t="s">
        <v>408</v>
      </c>
      <c r="R2823" t="s">
        <v>439</v>
      </c>
      <c r="S2823" t="s">
        <v>440</v>
      </c>
      <c r="T2823" t="s">
        <v>11</v>
      </c>
      <c r="U2823" t="s">
        <v>408</v>
      </c>
    </row>
    <row r="2824" spans="1:21" x14ac:dyDescent="0.25">
      <c r="A2824">
        <v>24567104</v>
      </c>
      <c r="B2824" t="s">
        <v>342</v>
      </c>
      <c r="C2824" t="s">
        <v>89</v>
      </c>
      <c r="D2824" t="s">
        <v>12</v>
      </c>
      <c r="E2824" t="s">
        <v>755</v>
      </c>
      <c r="F2824" t="s">
        <v>380</v>
      </c>
      <c r="G2824" t="s">
        <v>369</v>
      </c>
      <c r="H2824" t="s">
        <v>853</v>
      </c>
      <c r="I2824" t="s">
        <v>852</v>
      </c>
      <c r="J2824" t="s">
        <v>851</v>
      </c>
      <c r="K2824" t="s">
        <v>850</v>
      </c>
      <c r="L2824" t="s">
        <v>353</v>
      </c>
      <c r="M2824" t="s">
        <v>408</v>
      </c>
      <c r="N2824" t="s">
        <v>11</v>
      </c>
      <c r="O2824" t="s">
        <v>11</v>
      </c>
      <c r="P2824" t="s">
        <v>0</v>
      </c>
      <c r="Q2824" t="s">
        <v>11</v>
      </c>
      <c r="R2824" t="s">
        <v>439</v>
      </c>
      <c r="S2824" t="s">
        <v>440</v>
      </c>
      <c r="T2824" t="s">
        <v>11</v>
      </c>
      <c r="U2824" t="s">
        <v>11</v>
      </c>
    </row>
    <row r="2825" spans="1:21" x14ac:dyDescent="0.25">
      <c r="A2825">
        <v>24567106</v>
      </c>
      <c r="B2825" t="s">
        <v>340</v>
      </c>
      <c r="C2825" t="s">
        <v>86</v>
      </c>
      <c r="D2825" t="s">
        <v>12</v>
      </c>
      <c r="E2825" t="s">
        <v>755</v>
      </c>
      <c r="F2825" t="s">
        <v>380</v>
      </c>
      <c r="G2825" t="s">
        <v>369</v>
      </c>
      <c r="H2825" t="s">
        <v>855</v>
      </c>
      <c r="I2825" t="s">
        <v>611</v>
      </c>
      <c r="J2825" t="s">
        <v>854</v>
      </c>
      <c r="K2825" t="s">
        <v>850</v>
      </c>
      <c r="L2825" t="s">
        <v>0</v>
      </c>
      <c r="M2825" t="s">
        <v>408</v>
      </c>
      <c r="N2825" t="s">
        <v>11</v>
      </c>
      <c r="O2825" t="s">
        <v>11</v>
      </c>
      <c r="P2825" t="s">
        <v>0</v>
      </c>
      <c r="Q2825" t="s">
        <v>408</v>
      </c>
      <c r="R2825" t="s">
        <v>439</v>
      </c>
      <c r="S2825" t="s">
        <v>440</v>
      </c>
      <c r="T2825" t="s">
        <v>11</v>
      </c>
      <c r="U2825" t="s">
        <v>408</v>
      </c>
    </row>
    <row r="2826" spans="1:21" x14ac:dyDescent="0.25">
      <c r="A2826">
        <v>24567107</v>
      </c>
      <c r="B2826" t="s">
        <v>340</v>
      </c>
      <c r="C2826" t="s">
        <v>86</v>
      </c>
      <c r="D2826" t="s">
        <v>12</v>
      </c>
      <c r="E2826" t="s">
        <v>755</v>
      </c>
      <c r="F2826" t="s">
        <v>380</v>
      </c>
      <c r="G2826" t="s">
        <v>369</v>
      </c>
      <c r="H2826" t="s">
        <v>855</v>
      </c>
      <c r="I2826" t="s">
        <v>611</v>
      </c>
      <c r="J2826" t="s">
        <v>854</v>
      </c>
      <c r="K2826" t="s">
        <v>850</v>
      </c>
      <c r="L2826" t="s">
        <v>0</v>
      </c>
      <c r="M2826" t="s">
        <v>408</v>
      </c>
      <c r="N2826" t="s">
        <v>11</v>
      </c>
      <c r="O2826" t="s">
        <v>11</v>
      </c>
      <c r="P2826" t="s">
        <v>0</v>
      </c>
      <c r="Q2826" t="s">
        <v>408</v>
      </c>
      <c r="R2826" t="s">
        <v>439</v>
      </c>
      <c r="S2826" t="s">
        <v>440</v>
      </c>
      <c r="T2826" t="s">
        <v>11</v>
      </c>
      <c r="U2826" t="s">
        <v>408</v>
      </c>
    </row>
    <row r="2827" spans="1:21" x14ac:dyDescent="0.25">
      <c r="A2827">
        <v>24567108</v>
      </c>
      <c r="B2827" t="s">
        <v>340</v>
      </c>
      <c r="C2827" t="s">
        <v>15</v>
      </c>
      <c r="D2827" t="s">
        <v>12</v>
      </c>
      <c r="E2827" t="s">
        <v>755</v>
      </c>
      <c r="F2827" t="s">
        <v>380</v>
      </c>
      <c r="G2827" t="s">
        <v>468</v>
      </c>
      <c r="H2827" t="s">
        <v>0</v>
      </c>
      <c r="I2827" t="s">
        <v>436</v>
      </c>
      <c r="J2827" t="s">
        <v>437</v>
      </c>
      <c r="K2827" t="s">
        <v>438</v>
      </c>
      <c r="L2827" t="s">
        <v>345</v>
      </c>
      <c r="M2827" t="s">
        <v>408</v>
      </c>
      <c r="N2827" t="s">
        <v>11</v>
      </c>
      <c r="O2827" t="s">
        <v>11</v>
      </c>
      <c r="P2827" t="s">
        <v>0</v>
      </c>
      <c r="Q2827" t="s">
        <v>408</v>
      </c>
      <c r="R2827" t="s">
        <v>439</v>
      </c>
      <c r="S2827" t="s">
        <v>440</v>
      </c>
      <c r="T2827" t="s">
        <v>11</v>
      </c>
      <c r="U2827" t="s">
        <v>408</v>
      </c>
    </row>
    <row r="2828" spans="1:21" x14ac:dyDescent="0.25">
      <c r="A2828">
        <v>24567109</v>
      </c>
      <c r="B2828" t="s">
        <v>340</v>
      </c>
      <c r="C2828" t="s">
        <v>86</v>
      </c>
      <c r="D2828" t="s">
        <v>12</v>
      </c>
      <c r="E2828" t="s">
        <v>755</v>
      </c>
      <c r="F2828" t="s">
        <v>380</v>
      </c>
      <c r="G2828" t="s">
        <v>369</v>
      </c>
      <c r="H2828" t="s">
        <v>855</v>
      </c>
      <c r="I2828" t="s">
        <v>611</v>
      </c>
      <c r="J2828" t="s">
        <v>854</v>
      </c>
      <c r="K2828" t="s">
        <v>850</v>
      </c>
      <c r="L2828" t="s">
        <v>0</v>
      </c>
      <c r="M2828" t="s">
        <v>408</v>
      </c>
      <c r="N2828" t="s">
        <v>11</v>
      </c>
      <c r="O2828" t="s">
        <v>11</v>
      </c>
      <c r="P2828" t="s">
        <v>0</v>
      </c>
      <c r="Q2828" t="s">
        <v>408</v>
      </c>
      <c r="R2828" t="s">
        <v>439</v>
      </c>
      <c r="S2828" t="s">
        <v>440</v>
      </c>
      <c r="T2828" t="s">
        <v>11</v>
      </c>
      <c r="U2828" t="s">
        <v>408</v>
      </c>
    </row>
    <row r="2829" spans="1:21" x14ac:dyDescent="0.25">
      <c r="A2829">
        <v>24567111</v>
      </c>
      <c r="B2829" t="s">
        <v>340</v>
      </c>
      <c r="C2829" t="s">
        <v>86</v>
      </c>
      <c r="D2829" t="s">
        <v>12</v>
      </c>
      <c r="E2829" t="s">
        <v>755</v>
      </c>
      <c r="F2829" t="s">
        <v>380</v>
      </c>
      <c r="G2829" t="s">
        <v>369</v>
      </c>
      <c r="H2829" t="s">
        <v>855</v>
      </c>
      <c r="I2829" t="s">
        <v>611</v>
      </c>
      <c r="J2829" t="s">
        <v>854</v>
      </c>
      <c r="K2829" t="s">
        <v>850</v>
      </c>
      <c r="L2829" t="s">
        <v>0</v>
      </c>
      <c r="M2829" t="s">
        <v>408</v>
      </c>
      <c r="N2829" t="s">
        <v>11</v>
      </c>
      <c r="O2829" t="s">
        <v>11</v>
      </c>
      <c r="P2829" t="s">
        <v>0</v>
      </c>
      <c r="Q2829" t="s">
        <v>408</v>
      </c>
      <c r="R2829" t="s">
        <v>439</v>
      </c>
      <c r="S2829" t="s">
        <v>440</v>
      </c>
      <c r="T2829" t="s">
        <v>11</v>
      </c>
      <c r="U2829" t="s">
        <v>408</v>
      </c>
    </row>
    <row r="2830" spans="1:21" x14ac:dyDescent="0.25">
      <c r="A2830">
        <v>24567113</v>
      </c>
      <c r="B2830" t="s">
        <v>340</v>
      </c>
      <c r="C2830" t="s">
        <v>86</v>
      </c>
      <c r="D2830" t="s">
        <v>12</v>
      </c>
      <c r="E2830" t="s">
        <v>755</v>
      </c>
      <c r="F2830" t="s">
        <v>380</v>
      </c>
      <c r="G2830" t="s">
        <v>369</v>
      </c>
      <c r="H2830" t="s">
        <v>855</v>
      </c>
      <c r="I2830" t="s">
        <v>611</v>
      </c>
      <c r="J2830" t="s">
        <v>854</v>
      </c>
      <c r="K2830" t="s">
        <v>850</v>
      </c>
      <c r="L2830" t="s">
        <v>0</v>
      </c>
      <c r="M2830" t="s">
        <v>408</v>
      </c>
      <c r="N2830" t="s">
        <v>11</v>
      </c>
      <c r="O2830" t="s">
        <v>11</v>
      </c>
      <c r="P2830" t="s">
        <v>0</v>
      </c>
      <c r="Q2830" t="s">
        <v>408</v>
      </c>
      <c r="R2830" t="s">
        <v>439</v>
      </c>
      <c r="S2830" t="s">
        <v>440</v>
      </c>
      <c r="T2830" t="s">
        <v>11</v>
      </c>
      <c r="U2830" t="s">
        <v>408</v>
      </c>
    </row>
    <row r="2831" spans="1:21" x14ac:dyDescent="0.25">
      <c r="A2831">
        <v>24567114</v>
      </c>
      <c r="B2831" t="s">
        <v>340</v>
      </c>
      <c r="C2831" t="s">
        <v>86</v>
      </c>
      <c r="D2831" t="s">
        <v>125</v>
      </c>
      <c r="E2831" t="s">
        <v>755</v>
      </c>
      <c r="F2831" t="s">
        <v>380</v>
      </c>
      <c r="G2831" t="s">
        <v>369</v>
      </c>
      <c r="H2831" t="s">
        <v>855</v>
      </c>
      <c r="I2831" t="s">
        <v>611</v>
      </c>
      <c r="J2831" t="s">
        <v>854</v>
      </c>
      <c r="K2831" t="s">
        <v>850</v>
      </c>
      <c r="L2831" t="s">
        <v>0</v>
      </c>
      <c r="M2831" t="s">
        <v>408</v>
      </c>
      <c r="N2831" t="s">
        <v>11</v>
      </c>
      <c r="O2831" t="s">
        <v>11</v>
      </c>
      <c r="P2831" t="s">
        <v>0</v>
      </c>
      <c r="Q2831" t="s">
        <v>408</v>
      </c>
      <c r="R2831" t="s">
        <v>439</v>
      </c>
      <c r="S2831" t="s">
        <v>440</v>
      </c>
      <c r="T2831" t="s">
        <v>11</v>
      </c>
      <c r="U2831" t="s">
        <v>408</v>
      </c>
    </row>
    <row r="2832" spans="1:21" x14ac:dyDescent="0.25">
      <c r="A2832">
        <v>24567115</v>
      </c>
      <c r="B2832" t="s">
        <v>342</v>
      </c>
      <c r="C2832" t="s">
        <v>89</v>
      </c>
      <c r="D2832" t="s">
        <v>12</v>
      </c>
      <c r="E2832" t="s">
        <v>755</v>
      </c>
      <c r="F2832" t="s">
        <v>380</v>
      </c>
      <c r="G2832" t="s">
        <v>369</v>
      </c>
      <c r="H2832" t="s">
        <v>858</v>
      </c>
      <c r="I2832" t="s">
        <v>852</v>
      </c>
      <c r="J2832" t="s">
        <v>857</v>
      </c>
      <c r="K2832" t="s">
        <v>856</v>
      </c>
      <c r="L2832" t="s">
        <v>869</v>
      </c>
      <c r="M2832" t="s">
        <v>408</v>
      </c>
      <c r="N2832" t="s">
        <v>11</v>
      </c>
      <c r="O2832" t="s">
        <v>11</v>
      </c>
      <c r="P2832" t="s">
        <v>0</v>
      </c>
      <c r="Q2832" t="s">
        <v>11</v>
      </c>
      <c r="R2832" t="s">
        <v>439</v>
      </c>
      <c r="S2832" t="s">
        <v>440</v>
      </c>
      <c r="T2832" t="s">
        <v>11</v>
      </c>
      <c r="U2832" t="s">
        <v>11</v>
      </c>
    </row>
    <row r="2833" spans="1:21" x14ac:dyDescent="0.25">
      <c r="A2833">
        <v>24567118</v>
      </c>
      <c r="B2833" t="s">
        <v>340</v>
      </c>
      <c r="C2833" t="s">
        <v>86</v>
      </c>
      <c r="D2833" t="s">
        <v>12</v>
      </c>
      <c r="E2833" t="s">
        <v>755</v>
      </c>
      <c r="F2833" t="s">
        <v>380</v>
      </c>
      <c r="G2833" t="s">
        <v>369</v>
      </c>
      <c r="H2833" t="s">
        <v>855</v>
      </c>
      <c r="I2833" t="s">
        <v>611</v>
      </c>
      <c r="J2833" t="s">
        <v>854</v>
      </c>
      <c r="K2833" t="s">
        <v>850</v>
      </c>
      <c r="L2833" t="s">
        <v>0</v>
      </c>
      <c r="M2833" t="s">
        <v>408</v>
      </c>
      <c r="N2833" t="s">
        <v>11</v>
      </c>
      <c r="O2833" t="s">
        <v>11</v>
      </c>
      <c r="P2833" t="s">
        <v>0</v>
      </c>
      <c r="Q2833" t="s">
        <v>408</v>
      </c>
      <c r="R2833" t="s">
        <v>439</v>
      </c>
      <c r="S2833" t="s">
        <v>440</v>
      </c>
      <c r="T2833" t="s">
        <v>11</v>
      </c>
      <c r="U2833" t="s">
        <v>408</v>
      </c>
    </row>
    <row r="2834" spans="1:21" x14ac:dyDescent="0.25">
      <c r="A2834">
        <v>24567119</v>
      </c>
      <c r="B2834" t="s">
        <v>340</v>
      </c>
      <c r="C2834" t="s">
        <v>86</v>
      </c>
      <c r="D2834" t="s">
        <v>12</v>
      </c>
      <c r="E2834" t="s">
        <v>755</v>
      </c>
      <c r="F2834" t="s">
        <v>380</v>
      </c>
      <c r="G2834" t="s">
        <v>369</v>
      </c>
      <c r="H2834" t="s">
        <v>855</v>
      </c>
      <c r="I2834" t="s">
        <v>611</v>
      </c>
      <c r="J2834" t="s">
        <v>854</v>
      </c>
      <c r="K2834" t="s">
        <v>850</v>
      </c>
      <c r="L2834" t="s">
        <v>0</v>
      </c>
      <c r="M2834" t="s">
        <v>408</v>
      </c>
      <c r="N2834" t="s">
        <v>11</v>
      </c>
      <c r="O2834" t="s">
        <v>11</v>
      </c>
      <c r="P2834" t="s">
        <v>0</v>
      </c>
      <c r="Q2834" t="s">
        <v>408</v>
      </c>
      <c r="R2834" t="s">
        <v>439</v>
      </c>
      <c r="S2834" t="s">
        <v>440</v>
      </c>
      <c r="T2834" t="s">
        <v>11</v>
      </c>
      <c r="U2834" t="s">
        <v>408</v>
      </c>
    </row>
    <row r="2835" spans="1:21" x14ac:dyDescent="0.25">
      <c r="A2835">
        <v>24567120</v>
      </c>
      <c r="B2835" t="s">
        <v>340</v>
      </c>
      <c r="C2835" t="s">
        <v>86</v>
      </c>
      <c r="D2835" t="s">
        <v>12</v>
      </c>
      <c r="E2835" t="s">
        <v>755</v>
      </c>
      <c r="F2835" t="s">
        <v>380</v>
      </c>
      <c r="G2835" t="s">
        <v>369</v>
      </c>
      <c r="H2835" t="s">
        <v>855</v>
      </c>
      <c r="I2835" t="s">
        <v>611</v>
      </c>
      <c r="J2835" t="s">
        <v>854</v>
      </c>
      <c r="K2835" t="s">
        <v>850</v>
      </c>
      <c r="L2835" t="s">
        <v>0</v>
      </c>
      <c r="M2835" t="s">
        <v>408</v>
      </c>
      <c r="N2835" t="s">
        <v>11</v>
      </c>
      <c r="O2835" t="s">
        <v>11</v>
      </c>
      <c r="P2835" t="s">
        <v>0</v>
      </c>
      <c r="Q2835" t="s">
        <v>408</v>
      </c>
      <c r="R2835" t="s">
        <v>439</v>
      </c>
      <c r="S2835" t="s">
        <v>440</v>
      </c>
      <c r="T2835" t="s">
        <v>11</v>
      </c>
      <c r="U2835" t="s">
        <v>408</v>
      </c>
    </row>
    <row r="2836" spans="1:21" x14ac:dyDescent="0.25">
      <c r="A2836">
        <v>24567122</v>
      </c>
      <c r="B2836" t="s">
        <v>342</v>
      </c>
      <c r="C2836" t="s">
        <v>89</v>
      </c>
      <c r="D2836" t="s">
        <v>12</v>
      </c>
      <c r="E2836" t="s">
        <v>755</v>
      </c>
      <c r="F2836" t="s">
        <v>380</v>
      </c>
      <c r="G2836" t="s">
        <v>369</v>
      </c>
      <c r="H2836" t="s">
        <v>863</v>
      </c>
      <c r="I2836" t="s">
        <v>852</v>
      </c>
      <c r="J2836" t="s">
        <v>862</v>
      </c>
      <c r="K2836" t="s">
        <v>444</v>
      </c>
      <c r="L2836" t="s">
        <v>353</v>
      </c>
      <c r="M2836" t="s">
        <v>408</v>
      </c>
      <c r="N2836" t="s">
        <v>11</v>
      </c>
      <c r="O2836" t="s">
        <v>11</v>
      </c>
      <c r="P2836" t="s">
        <v>0</v>
      </c>
      <c r="Q2836" t="s">
        <v>11</v>
      </c>
      <c r="R2836" t="s">
        <v>439</v>
      </c>
      <c r="S2836" t="s">
        <v>440</v>
      </c>
      <c r="T2836" t="s">
        <v>11</v>
      </c>
      <c r="U2836" t="s">
        <v>11</v>
      </c>
    </row>
    <row r="2837" spans="1:21" x14ac:dyDescent="0.25">
      <c r="A2837">
        <v>24567123</v>
      </c>
      <c r="B2837" t="s">
        <v>340</v>
      </c>
      <c r="C2837" t="s">
        <v>86</v>
      </c>
      <c r="D2837" t="s">
        <v>12</v>
      </c>
      <c r="E2837" t="s">
        <v>755</v>
      </c>
      <c r="F2837" t="s">
        <v>380</v>
      </c>
      <c r="G2837" t="s">
        <v>369</v>
      </c>
      <c r="H2837" t="s">
        <v>855</v>
      </c>
      <c r="I2837" t="s">
        <v>611</v>
      </c>
      <c r="J2837" t="s">
        <v>854</v>
      </c>
      <c r="K2837" t="s">
        <v>850</v>
      </c>
      <c r="L2837" t="s">
        <v>0</v>
      </c>
      <c r="M2837" t="s">
        <v>408</v>
      </c>
      <c r="N2837" t="s">
        <v>11</v>
      </c>
      <c r="O2837" t="s">
        <v>11</v>
      </c>
      <c r="P2837" t="s">
        <v>0</v>
      </c>
      <c r="Q2837" t="s">
        <v>408</v>
      </c>
      <c r="R2837" t="s">
        <v>439</v>
      </c>
      <c r="S2837" t="s">
        <v>440</v>
      </c>
      <c r="T2837" t="s">
        <v>11</v>
      </c>
      <c r="U2837" t="s">
        <v>408</v>
      </c>
    </row>
    <row r="2838" spans="1:21" x14ac:dyDescent="0.25">
      <c r="A2838">
        <v>24567124</v>
      </c>
      <c r="B2838" t="s">
        <v>342</v>
      </c>
      <c r="C2838" t="s">
        <v>89</v>
      </c>
      <c r="D2838" t="s">
        <v>12</v>
      </c>
      <c r="E2838" t="s">
        <v>755</v>
      </c>
      <c r="F2838" t="s">
        <v>380</v>
      </c>
      <c r="G2838" t="s">
        <v>369</v>
      </c>
      <c r="H2838" t="s">
        <v>853</v>
      </c>
      <c r="I2838" t="s">
        <v>852</v>
      </c>
      <c r="J2838" t="s">
        <v>851</v>
      </c>
      <c r="K2838" t="s">
        <v>850</v>
      </c>
      <c r="L2838" t="s">
        <v>353</v>
      </c>
      <c r="M2838" t="s">
        <v>408</v>
      </c>
      <c r="N2838" t="s">
        <v>11</v>
      </c>
      <c r="O2838" t="s">
        <v>11</v>
      </c>
      <c r="P2838" t="s">
        <v>0</v>
      </c>
      <c r="Q2838" t="s">
        <v>11</v>
      </c>
      <c r="R2838" t="s">
        <v>439</v>
      </c>
      <c r="S2838" t="s">
        <v>440</v>
      </c>
      <c r="T2838" t="s">
        <v>11</v>
      </c>
      <c r="U2838" t="s">
        <v>11</v>
      </c>
    </row>
    <row r="2839" spans="1:21" x14ac:dyDescent="0.25">
      <c r="A2839">
        <v>24567125</v>
      </c>
      <c r="B2839" t="s">
        <v>342</v>
      </c>
      <c r="C2839" t="s">
        <v>89</v>
      </c>
      <c r="D2839" t="s">
        <v>12</v>
      </c>
      <c r="E2839" t="s">
        <v>755</v>
      </c>
      <c r="F2839" t="s">
        <v>380</v>
      </c>
      <c r="G2839" t="s">
        <v>369</v>
      </c>
      <c r="H2839" t="s">
        <v>853</v>
      </c>
      <c r="I2839" t="s">
        <v>852</v>
      </c>
      <c r="J2839" t="s">
        <v>851</v>
      </c>
      <c r="K2839" t="s">
        <v>850</v>
      </c>
      <c r="L2839" t="s">
        <v>353</v>
      </c>
      <c r="M2839" t="s">
        <v>408</v>
      </c>
      <c r="N2839" t="s">
        <v>11</v>
      </c>
      <c r="O2839" t="s">
        <v>11</v>
      </c>
      <c r="P2839" t="s">
        <v>0</v>
      </c>
      <c r="Q2839" t="s">
        <v>11</v>
      </c>
      <c r="R2839" t="s">
        <v>439</v>
      </c>
      <c r="S2839" t="s">
        <v>440</v>
      </c>
      <c r="T2839" t="s">
        <v>11</v>
      </c>
      <c r="U2839" t="s">
        <v>11</v>
      </c>
    </row>
    <row r="2840" spans="1:21" x14ac:dyDescent="0.25">
      <c r="A2840">
        <v>24567126</v>
      </c>
      <c r="B2840" t="s">
        <v>340</v>
      </c>
      <c r="C2840" t="s">
        <v>86</v>
      </c>
      <c r="D2840" t="s">
        <v>125</v>
      </c>
      <c r="E2840" t="s">
        <v>755</v>
      </c>
      <c r="F2840" t="s">
        <v>380</v>
      </c>
      <c r="G2840" t="s">
        <v>369</v>
      </c>
      <c r="H2840" t="s">
        <v>855</v>
      </c>
      <c r="I2840" t="s">
        <v>611</v>
      </c>
      <c r="J2840" t="s">
        <v>854</v>
      </c>
      <c r="K2840" t="s">
        <v>850</v>
      </c>
      <c r="L2840" t="s">
        <v>0</v>
      </c>
      <c r="M2840" t="s">
        <v>408</v>
      </c>
      <c r="N2840" t="s">
        <v>11</v>
      </c>
      <c r="O2840" t="s">
        <v>11</v>
      </c>
      <c r="P2840" t="s">
        <v>0</v>
      </c>
      <c r="Q2840" t="s">
        <v>408</v>
      </c>
      <c r="R2840" t="s">
        <v>439</v>
      </c>
      <c r="S2840" t="s">
        <v>440</v>
      </c>
      <c r="T2840" t="s">
        <v>11</v>
      </c>
      <c r="U2840" t="s">
        <v>408</v>
      </c>
    </row>
    <row r="2841" spans="1:21" x14ac:dyDescent="0.25">
      <c r="A2841">
        <v>24567127</v>
      </c>
      <c r="B2841" t="s">
        <v>340</v>
      </c>
      <c r="C2841" t="s">
        <v>86</v>
      </c>
      <c r="D2841" t="s">
        <v>12</v>
      </c>
      <c r="E2841" t="s">
        <v>755</v>
      </c>
      <c r="F2841" t="s">
        <v>380</v>
      </c>
      <c r="G2841" t="s">
        <v>369</v>
      </c>
      <c r="H2841" t="s">
        <v>855</v>
      </c>
      <c r="I2841" t="s">
        <v>611</v>
      </c>
      <c r="J2841" t="s">
        <v>854</v>
      </c>
      <c r="K2841" t="s">
        <v>850</v>
      </c>
      <c r="L2841" t="s">
        <v>0</v>
      </c>
      <c r="M2841" t="s">
        <v>408</v>
      </c>
      <c r="N2841" t="s">
        <v>11</v>
      </c>
      <c r="O2841" t="s">
        <v>11</v>
      </c>
      <c r="P2841" t="s">
        <v>0</v>
      </c>
      <c r="Q2841" t="s">
        <v>408</v>
      </c>
      <c r="R2841" t="s">
        <v>439</v>
      </c>
      <c r="S2841" t="s">
        <v>440</v>
      </c>
      <c r="T2841" t="s">
        <v>11</v>
      </c>
      <c r="U2841" t="s">
        <v>408</v>
      </c>
    </row>
    <row r="2842" spans="1:21" x14ac:dyDescent="0.25">
      <c r="A2842">
        <v>24567128</v>
      </c>
      <c r="B2842" t="s">
        <v>342</v>
      </c>
      <c r="C2842" t="s">
        <v>89</v>
      </c>
      <c r="D2842" t="s">
        <v>12</v>
      </c>
      <c r="E2842" t="s">
        <v>755</v>
      </c>
      <c r="F2842" t="s">
        <v>380</v>
      </c>
      <c r="G2842" t="s">
        <v>369</v>
      </c>
      <c r="H2842" t="s">
        <v>858</v>
      </c>
      <c r="I2842" t="s">
        <v>852</v>
      </c>
      <c r="J2842" t="s">
        <v>857</v>
      </c>
      <c r="K2842" t="s">
        <v>856</v>
      </c>
      <c r="L2842" t="s">
        <v>353</v>
      </c>
      <c r="M2842" t="s">
        <v>408</v>
      </c>
      <c r="N2842" t="s">
        <v>11</v>
      </c>
      <c r="O2842" t="s">
        <v>11</v>
      </c>
      <c r="P2842" t="s">
        <v>0</v>
      </c>
      <c r="Q2842" t="s">
        <v>11</v>
      </c>
      <c r="R2842" t="s">
        <v>439</v>
      </c>
      <c r="S2842" t="s">
        <v>440</v>
      </c>
      <c r="T2842" t="s">
        <v>11</v>
      </c>
      <c r="U2842" t="s">
        <v>11</v>
      </c>
    </row>
    <row r="2843" spans="1:21" x14ac:dyDescent="0.25">
      <c r="A2843">
        <v>24567129</v>
      </c>
      <c r="B2843" t="s">
        <v>342</v>
      </c>
      <c r="C2843" t="s">
        <v>89</v>
      </c>
      <c r="D2843" t="s">
        <v>12</v>
      </c>
      <c r="E2843" t="s">
        <v>755</v>
      </c>
      <c r="F2843" t="s">
        <v>380</v>
      </c>
      <c r="G2843" t="s">
        <v>369</v>
      </c>
      <c r="H2843" t="s">
        <v>858</v>
      </c>
      <c r="I2843" t="s">
        <v>852</v>
      </c>
      <c r="J2843" t="s">
        <v>857</v>
      </c>
      <c r="K2843" t="s">
        <v>856</v>
      </c>
      <c r="L2843" t="s">
        <v>353</v>
      </c>
      <c r="M2843" t="s">
        <v>408</v>
      </c>
      <c r="N2843" t="s">
        <v>11</v>
      </c>
      <c r="O2843" t="s">
        <v>11</v>
      </c>
      <c r="P2843" t="s">
        <v>0</v>
      </c>
      <c r="Q2843" t="s">
        <v>11</v>
      </c>
      <c r="R2843" t="s">
        <v>439</v>
      </c>
      <c r="S2843" t="s">
        <v>440</v>
      </c>
      <c r="T2843" t="s">
        <v>11</v>
      </c>
      <c r="U2843" t="s">
        <v>11</v>
      </c>
    </row>
    <row r="2844" spans="1:21" x14ac:dyDescent="0.25">
      <c r="A2844">
        <v>24567130</v>
      </c>
      <c r="B2844" t="s">
        <v>340</v>
      </c>
      <c r="C2844" t="s">
        <v>86</v>
      </c>
      <c r="D2844" t="s">
        <v>125</v>
      </c>
      <c r="E2844" t="s">
        <v>755</v>
      </c>
      <c r="F2844" t="s">
        <v>380</v>
      </c>
      <c r="G2844" t="s">
        <v>369</v>
      </c>
      <c r="H2844" t="s">
        <v>855</v>
      </c>
      <c r="I2844" t="s">
        <v>611</v>
      </c>
      <c r="J2844" t="s">
        <v>854</v>
      </c>
      <c r="K2844" t="s">
        <v>850</v>
      </c>
      <c r="L2844" t="s">
        <v>0</v>
      </c>
      <c r="M2844" t="s">
        <v>408</v>
      </c>
      <c r="N2844" t="s">
        <v>11</v>
      </c>
      <c r="O2844" t="s">
        <v>11</v>
      </c>
      <c r="P2844" t="s">
        <v>0</v>
      </c>
      <c r="Q2844" t="s">
        <v>408</v>
      </c>
      <c r="R2844" t="s">
        <v>439</v>
      </c>
      <c r="S2844" t="s">
        <v>440</v>
      </c>
      <c r="T2844" t="s">
        <v>11</v>
      </c>
      <c r="U2844" t="s">
        <v>408</v>
      </c>
    </row>
    <row r="2845" spans="1:21" x14ac:dyDescent="0.25">
      <c r="A2845">
        <v>24567132</v>
      </c>
      <c r="B2845" t="s">
        <v>342</v>
      </c>
      <c r="C2845" t="s">
        <v>89</v>
      </c>
      <c r="D2845" t="s">
        <v>12</v>
      </c>
      <c r="E2845" t="s">
        <v>755</v>
      </c>
      <c r="F2845" t="s">
        <v>380</v>
      </c>
      <c r="G2845" t="s">
        <v>369</v>
      </c>
      <c r="H2845" t="s">
        <v>858</v>
      </c>
      <c r="I2845" t="s">
        <v>852</v>
      </c>
      <c r="J2845" t="s">
        <v>857</v>
      </c>
      <c r="K2845" t="s">
        <v>856</v>
      </c>
      <c r="L2845" t="s">
        <v>353</v>
      </c>
      <c r="M2845" t="s">
        <v>408</v>
      </c>
      <c r="N2845" t="s">
        <v>11</v>
      </c>
      <c r="O2845" t="s">
        <v>11</v>
      </c>
      <c r="P2845" t="s">
        <v>0</v>
      </c>
      <c r="Q2845" t="s">
        <v>11</v>
      </c>
      <c r="R2845" t="s">
        <v>439</v>
      </c>
      <c r="S2845" t="s">
        <v>440</v>
      </c>
      <c r="T2845" t="s">
        <v>11</v>
      </c>
      <c r="U2845" t="s">
        <v>11</v>
      </c>
    </row>
    <row r="2846" spans="1:21" x14ac:dyDescent="0.25">
      <c r="A2846">
        <v>24567133</v>
      </c>
      <c r="B2846" t="s">
        <v>340</v>
      </c>
      <c r="C2846" t="s">
        <v>86</v>
      </c>
      <c r="D2846" t="s">
        <v>12</v>
      </c>
      <c r="E2846" t="s">
        <v>755</v>
      </c>
      <c r="F2846" t="s">
        <v>380</v>
      </c>
      <c r="G2846" t="s">
        <v>369</v>
      </c>
      <c r="H2846" t="s">
        <v>855</v>
      </c>
      <c r="I2846" t="s">
        <v>611</v>
      </c>
      <c r="J2846" t="s">
        <v>854</v>
      </c>
      <c r="K2846" t="s">
        <v>850</v>
      </c>
      <c r="L2846" t="s">
        <v>0</v>
      </c>
      <c r="M2846" t="s">
        <v>408</v>
      </c>
      <c r="N2846" t="s">
        <v>11</v>
      </c>
      <c r="O2846" t="s">
        <v>11</v>
      </c>
      <c r="P2846" t="s">
        <v>0</v>
      </c>
      <c r="Q2846" t="s">
        <v>408</v>
      </c>
      <c r="R2846" t="s">
        <v>439</v>
      </c>
      <c r="S2846" t="s">
        <v>440</v>
      </c>
      <c r="T2846" t="s">
        <v>11</v>
      </c>
      <c r="U2846" t="s">
        <v>408</v>
      </c>
    </row>
    <row r="2847" spans="1:21" x14ac:dyDescent="0.25">
      <c r="A2847">
        <v>24567134</v>
      </c>
      <c r="B2847" t="s">
        <v>340</v>
      </c>
      <c r="C2847" t="s">
        <v>86</v>
      </c>
      <c r="D2847" t="s">
        <v>18</v>
      </c>
      <c r="E2847" t="s">
        <v>755</v>
      </c>
      <c r="F2847" t="s">
        <v>380</v>
      </c>
      <c r="G2847" t="s">
        <v>369</v>
      </c>
      <c r="H2847" t="s">
        <v>855</v>
      </c>
      <c r="I2847" t="s">
        <v>611</v>
      </c>
      <c r="J2847" t="s">
        <v>854</v>
      </c>
      <c r="K2847" t="s">
        <v>850</v>
      </c>
      <c r="L2847" t="s">
        <v>0</v>
      </c>
      <c r="M2847" t="s">
        <v>408</v>
      </c>
      <c r="N2847" t="s">
        <v>11</v>
      </c>
      <c r="O2847" t="s">
        <v>11</v>
      </c>
      <c r="P2847" t="s">
        <v>0</v>
      </c>
      <c r="Q2847" t="s">
        <v>408</v>
      </c>
      <c r="R2847" t="s">
        <v>439</v>
      </c>
      <c r="S2847" t="s">
        <v>440</v>
      </c>
      <c r="T2847" t="s">
        <v>11</v>
      </c>
      <c r="U2847" t="s">
        <v>408</v>
      </c>
    </row>
    <row r="2848" spans="1:21" x14ac:dyDescent="0.25">
      <c r="A2848">
        <v>24567135</v>
      </c>
      <c r="B2848" t="s">
        <v>342</v>
      </c>
      <c r="C2848" t="s">
        <v>89</v>
      </c>
      <c r="D2848" t="s">
        <v>12</v>
      </c>
      <c r="E2848" t="s">
        <v>755</v>
      </c>
      <c r="F2848" t="s">
        <v>380</v>
      </c>
      <c r="G2848" t="s">
        <v>369</v>
      </c>
      <c r="H2848" t="s">
        <v>853</v>
      </c>
      <c r="I2848" t="s">
        <v>852</v>
      </c>
      <c r="J2848" t="s">
        <v>851</v>
      </c>
      <c r="K2848" t="s">
        <v>850</v>
      </c>
      <c r="L2848" t="s">
        <v>353</v>
      </c>
      <c r="M2848" t="s">
        <v>408</v>
      </c>
      <c r="N2848" t="s">
        <v>11</v>
      </c>
      <c r="O2848" t="s">
        <v>11</v>
      </c>
      <c r="P2848" t="s">
        <v>0</v>
      </c>
      <c r="Q2848" t="s">
        <v>11</v>
      </c>
      <c r="R2848" t="s">
        <v>439</v>
      </c>
      <c r="S2848" t="s">
        <v>440</v>
      </c>
      <c r="T2848" t="s">
        <v>11</v>
      </c>
      <c r="U2848" t="s">
        <v>11</v>
      </c>
    </row>
    <row r="2849" spans="1:21" x14ac:dyDescent="0.25">
      <c r="A2849">
        <v>24567136</v>
      </c>
      <c r="B2849" t="s">
        <v>340</v>
      </c>
      <c r="C2849" t="s">
        <v>86</v>
      </c>
      <c r="D2849" t="s">
        <v>12</v>
      </c>
      <c r="E2849" t="s">
        <v>755</v>
      </c>
      <c r="F2849" t="s">
        <v>380</v>
      </c>
      <c r="G2849" t="s">
        <v>369</v>
      </c>
      <c r="H2849" t="s">
        <v>855</v>
      </c>
      <c r="I2849" t="s">
        <v>611</v>
      </c>
      <c r="J2849" t="s">
        <v>854</v>
      </c>
      <c r="K2849" t="s">
        <v>850</v>
      </c>
      <c r="L2849" t="s">
        <v>0</v>
      </c>
      <c r="M2849" t="s">
        <v>408</v>
      </c>
      <c r="N2849" t="s">
        <v>11</v>
      </c>
      <c r="O2849" t="s">
        <v>11</v>
      </c>
      <c r="P2849" t="s">
        <v>0</v>
      </c>
      <c r="Q2849" t="s">
        <v>408</v>
      </c>
      <c r="R2849" t="s">
        <v>439</v>
      </c>
      <c r="S2849" t="s">
        <v>440</v>
      </c>
      <c r="T2849" t="s">
        <v>11</v>
      </c>
      <c r="U2849" t="s">
        <v>408</v>
      </c>
    </row>
    <row r="2850" spans="1:21" x14ac:dyDescent="0.25">
      <c r="A2850">
        <v>24567137</v>
      </c>
      <c r="B2850" t="s">
        <v>342</v>
      </c>
      <c r="C2850" t="s">
        <v>89</v>
      </c>
      <c r="D2850" t="s">
        <v>12</v>
      </c>
      <c r="E2850" t="s">
        <v>755</v>
      </c>
      <c r="F2850" t="s">
        <v>380</v>
      </c>
      <c r="G2850" t="s">
        <v>369</v>
      </c>
      <c r="H2850" t="s">
        <v>853</v>
      </c>
      <c r="I2850" t="s">
        <v>852</v>
      </c>
      <c r="J2850" t="s">
        <v>851</v>
      </c>
      <c r="K2850" t="s">
        <v>850</v>
      </c>
      <c r="L2850" t="s">
        <v>353</v>
      </c>
      <c r="M2850" t="s">
        <v>408</v>
      </c>
      <c r="N2850" t="s">
        <v>11</v>
      </c>
      <c r="O2850" t="s">
        <v>11</v>
      </c>
      <c r="P2850" t="s">
        <v>0</v>
      </c>
      <c r="Q2850" t="s">
        <v>11</v>
      </c>
      <c r="R2850" t="s">
        <v>439</v>
      </c>
      <c r="S2850" t="s">
        <v>440</v>
      </c>
      <c r="T2850" t="s">
        <v>11</v>
      </c>
      <c r="U2850" t="s">
        <v>11</v>
      </c>
    </row>
    <row r="2851" spans="1:21" x14ac:dyDescent="0.25">
      <c r="A2851">
        <v>24567138</v>
      </c>
      <c r="B2851" t="s">
        <v>342</v>
      </c>
      <c r="C2851" t="s">
        <v>89</v>
      </c>
      <c r="D2851" t="s">
        <v>12</v>
      </c>
      <c r="E2851" t="s">
        <v>755</v>
      </c>
      <c r="F2851" t="s">
        <v>380</v>
      </c>
      <c r="G2851" t="s">
        <v>369</v>
      </c>
      <c r="H2851" t="s">
        <v>853</v>
      </c>
      <c r="I2851" t="s">
        <v>852</v>
      </c>
      <c r="J2851" t="s">
        <v>851</v>
      </c>
      <c r="K2851" t="s">
        <v>850</v>
      </c>
      <c r="L2851" t="s">
        <v>353</v>
      </c>
      <c r="M2851" t="s">
        <v>408</v>
      </c>
      <c r="N2851" t="s">
        <v>11</v>
      </c>
      <c r="O2851" t="s">
        <v>11</v>
      </c>
      <c r="P2851" t="s">
        <v>0</v>
      </c>
      <c r="Q2851" t="s">
        <v>11</v>
      </c>
      <c r="R2851" t="s">
        <v>439</v>
      </c>
      <c r="S2851" t="s">
        <v>440</v>
      </c>
      <c r="T2851" t="s">
        <v>11</v>
      </c>
      <c r="U2851" t="s">
        <v>11</v>
      </c>
    </row>
    <row r="2852" spans="1:21" x14ac:dyDescent="0.25">
      <c r="A2852">
        <v>24567139</v>
      </c>
      <c r="B2852" t="s">
        <v>342</v>
      </c>
      <c r="C2852" t="s">
        <v>89</v>
      </c>
      <c r="D2852" t="s">
        <v>12</v>
      </c>
      <c r="E2852" t="s">
        <v>755</v>
      </c>
      <c r="F2852" t="s">
        <v>380</v>
      </c>
      <c r="G2852" t="s">
        <v>369</v>
      </c>
      <c r="H2852" t="s">
        <v>853</v>
      </c>
      <c r="I2852" t="s">
        <v>852</v>
      </c>
      <c r="J2852" t="s">
        <v>851</v>
      </c>
      <c r="K2852" t="s">
        <v>850</v>
      </c>
      <c r="L2852" t="s">
        <v>353</v>
      </c>
      <c r="M2852" t="s">
        <v>408</v>
      </c>
      <c r="N2852" t="s">
        <v>11</v>
      </c>
      <c r="O2852" t="s">
        <v>11</v>
      </c>
      <c r="P2852" t="s">
        <v>0</v>
      </c>
      <c r="Q2852" t="s">
        <v>11</v>
      </c>
      <c r="R2852" t="s">
        <v>439</v>
      </c>
      <c r="S2852" t="s">
        <v>440</v>
      </c>
      <c r="T2852" t="s">
        <v>11</v>
      </c>
      <c r="U2852" t="s">
        <v>11</v>
      </c>
    </row>
    <row r="2853" spans="1:21" x14ac:dyDescent="0.25">
      <c r="A2853">
        <v>24567140</v>
      </c>
      <c r="B2853" t="s">
        <v>340</v>
      </c>
      <c r="C2853" t="s">
        <v>86</v>
      </c>
      <c r="D2853" t="s">
        <v>12</v>
      </c>
      <c r="E2853" t="s">
        <v>755</v>
      </c>
      <c r="F2853" t="s">
        <v>380</v>
      </c>
      <c r="G2853" t="s">
        <v>369</v>
      </c>
      <c r="H2853" t="s">
        <v>855</v>
      </c>
      <c r="I2853" t="s">
        <v>611</v>
      </c>
      <c r="J2853" t="s">
        <v>854</v>
      </c>
      <c r="K2853" t="s">
        <v>850</v>
      </c>
      <c r="L2853" t="s">
        <v>0</v>
      </c>
      <c r="M2853" t="s">
        <v>408</v>
      </c>
      <c r="N2853" t="s">
        <v>11</v>
      </c>
      <c r="O2853" t="s">
        <v>11</v>
      </c>
      <c r="P2853" t="s">
        <v>0</v>
      </c>
      <c r="Q2853" t="s">
        <v>408</v>
      </c>
      <c r="R2853" t="s">
        <v>439</v>
      </c>
      <c r="S2853" t="s">
        <v>440</v>
      </c>
      <c r="T2853" t="s">
        <v>11</v>
      </c>
      <c r="U2853" t="s">
        <v>408</v>
      </c>
    </row>
    <row r="2854" spans="1:21" x14ac:dyDescent="0.25">
      <c r="A2854">
        <v>24567141</v>
      </c>
      <c r="B2854" t="s">
        <v>342</v>
      </c>
      <c r="C2854" t="s">
        <v>89</v>
      </c>
      <c r="D2854" t="s">
        <v>12</v>
      </c>
      <c r="E2854" t="s">
        <v>755</v>
      </c>
      <c r="F2854" t="s">
        <v>380</v>
      </c>
      <c r="G2854" t="s">
        <v>369</v>
      </c>
      <c r="H2854" t="s">
        <v>853</v>
      </c>
      <c r="I2854" t="s">
        <v>852</v>
      </c>
      <c r="J2854" t="s">
        <v>851</v>
      </c>
      <c r="K2854" t="s">
        <v>850</v>
      </c>
      <c r="L2854" t="s">
        <v>353</v>
      </c>
      <c r="M2854" t="s">
        <v>408</v>
      </c>
      <c r="N2854" t="s">
        <v>11</v>
      </c>
      <c r="O2854" t="s">
        <v>11</v>
      </c>
      <c r="P2854" t="s">
        <v>0</v>
      </c>
      <c r="Q2854" t="s">
        <v>11</v>
      </c>
      <c r="R2854" t="s">
        <v>439</v>
      </c>
      <c r="S2854" t="s">
        <v>440</v>
      </c>
      <c r="T2854" t="s">
        <v>11</v>
      </c>
      <c r="U2854" t="s">
        <v>11</v>
      </c>
    </row>
    <row r="2855" spans="1:21" x14ac:dyDescent="0.25">
      <c r="A2855">
        <v>24567142</v>
      </c>
      <c r="B2855" t="s">
        <v>340</v>
      </c>
      <c r="C2855" t="s">
        <v>86</v>
      </c>
      <c r="D2855" t="s">
        <v>12</v>
      </c>
      <c r="E2855" t="s">
        <v>755</v>
      </c>
      <c r="F2855" t="s">
        <v>380</v>
      </c>
      <c r="G2855" t="s">
        <v>369</v>
      </c>
      <c r="H2855" t="s">
        <v>855</v>
      </c>
      <c r="I2855" t="s">
        <v>611</v>
      </c>
      <c r="J2855" t="s">
        <v>854</v>
      </c>
      <c r="K2855" t="s">
        <v>850</v>
      </c>
      <c r="L2855" t="s">
        <v>0</v>
      </c>
      <c r="M2855" t="s">
        <v>408</v>
      </c>
      <c r="N2855" t="s">
        <v>11</v>
      </c>
      <c r="O2855" t="s">
        <v>11</v>
      </c>
      <c r="P2855" t="s">
        <v>0</v>
      </c>
      <c r="Q2855" t="s">
        <v>408</v>
      </c>
      <c r="R2855" t="s">
        <v>439</v>
      </c>
      <c r="S2855" t="s">
        <v>440</v>
      </c>
      <c r="T2855" t="s">
        <v>11</v>
      </c>
      <c r="U2855" t="s">
        <v>408</v>
      </c>
    </row>
    <row r="2856" spans="1:21" x14ac:dyDescent="0.25">
      <c r="A2856">
        <v>24567145</v>
      </c>
      <c r="B2856" t="s">
        <v>340</v>
      </c>
      <c r="C2856" t="s">
        <v>86</v>
      </c>
      <c r="D2856" t="s">
        <v>18</v>
      </c>
      <c r="E2856" t="s">
        <v>755</v>
      </c>
      <c r="F2856" t="s">
        <v>380</v>
      </c>
      <c r="G2856" t="s">
        <v>369</v>
      </c>
      <c r="H2856" t="s">
        <v>855</v>
      </c>
      <c r="I2856" t="s">
        <v>611</v>
      </c>
      <c r="J2856" t="s">
        <v>854</v>
      </c>
      <c r="K2856" t="s">
        <v>850</v>
      </c>
      <c r="L2856" t="s">
        <v>0</v>
      </c>
      <c r="M2856" t="s">
        <v>408</v>
      </c>
      <c r="N2856" t="s">
        <v>11</v>
      </c>
      <c r="O2856" t="s">
        <v>11</v>
      </c>
      <c r="P2856" t="s">
        <v>0</v>
      </c>
      <c r="Q2856" t="s">
        <v>408</v>
      </c>
      <c r="R2856" t="s">
        <v>439</v>
      </c>
      <c r="S2856" t="s">
        <v>440</v>
      </c>
      <c r="T2856" t="s">
        <v>11</v>
      </c>
      <c r="U2856" t="s">
        <v>408</v>
      </c>
    </row>
    <row r="2857" spans="1:21" x14ac:dyDescent="0.25">
      <c r="A2857">
        <v>24567146</v>
      </c>
      <c r="B2857" t="s">
        <v>342</v>
      </c>
      <c r="C2857" t="s">
        <v>89</v>
      </c>
      <c r="D2857" t="s">
        <v>12</v>
      </c>
      <c r="E2857" t="s">
        <v>755</v>
      </c>
      <c r="F2857" t="s">
        <v>380</v>
      </c>
      <c r="G2857" t="s">
        <v>369</v>
      </c>
      <c r="H2857" t="s">
        <v>863</v>
      </c>
      <c r="I2857" t="s">
        <v>852</v>
      </c>
      <c r="J2857" t="s">
        <v>862</v>
      </c>
      <c r="K2857" t="s">
        <v>444</v>
      </c>
      <c r="L2857" t="s">
        <v>353</v>
      </c>
      <c r="M2857" t="s">
        <v>408</v>
      </c>
      <c r="N2857" t="s">
        <v>11</v>
      </c>
      <c r="O2857" t="s">
        <v>11</v>
      </c>
      <c r="P2857" t="s">
        <v>0</v>
      </c>
      <c r="Q2857" t="s">
        <v>11</v>
      </c>
      <c r="R2857" t="s">
        <v>439</v>
      </c>
      <c r="S2857" t="s">
        <v>440</v>
      </c>
      <c r="T2857" t="s">
        <v>11</v>
      </c>
      <c r="U2857" t="s">
        <v>11</v>
      </c>
    </row>
    <row r="2858" spans="1:21" x14ac:dyDescent="0.25">
      <c r="A2858">
        <v>24567147</v>
      </c>
      <c r="B2858" t="s">
        <v>342</v>
      </c>
      <c r="C2858" t="s">
        <v>89</v>
      </c>
      <c r="D2858" t="s">
        <v>12</v>
      </c>
      <c r="E2858" t="s">
        <v>755</v>
      </c>
      <c r="F2858" t="s">
        <v>380</v>
      </c>
      <c r="G2858" t="s">
        <v>369</v>
      </c>
      <c r="H2858" t="s">
        <v>853</v>
      </c>
      <c r="I2858" t="s">
        <v>852</v>
      </c>
      <c r="J2858" t="s">
        <v>851</v>
      </c>
      <c r="K2858" t="s">
        <v>850</v>
      </c>
      <c r="L2858" t="s">
        <v>353</v>
      </c>
      <c r="M2858" t="s">
        <v>408</v>
      </c>
      <c r="N2858" t="s">
        <v>11</v>
      </c>
      <c r="O2858" t="s">
        <v>11</v>
      </c>
      <c r="P2858" t="s">
        <v>0</v>
      </c>
      <c r="Q2858" t="s">
        <v>11</v>
      </c>
      <c r="R2858" t="s">
        <v>439</v>
      </c>
      <c r="S2858" t="s">
        <v>440</v>
      </c>
      <c r="T2858" t="s">
        <v>11</v>
      </c>
      <c r="U2858" t="s">
        <v>11</v>
      </c>
    </row>
    <row r="2859" spans="1:21" x14ac:dyDescent="0.25">
      <c r="A2859">
        <v>24567152</v>
      </c>
      <c r="B2859" t="s">
        <v>340</v>
      </c>
      <c r="C2859" t="s">
        <v>86</v>
      </c>
      <c r="D2859" t="s">
        <v>12</v>
      </c>
      <c r="E2859" t="s">
        <v>755</v>
      </c>
      <c r="F2859" t="s">
        <v>380</v>
      </c>
      <c r="G2859" t="s">
        <v>369</v>
      </c>
      <c r="H2859" t="s">
        <v>617</v>
      </c>
      <c r="I2859" t="s">
        <v>618</v>
      </c>
      <c r="J2859" t="s">
        <v>619</v>
      </c>
      <c r="K2859" t="s">
        <v>606</v>
      </c>
      <c r="L2859" t="s">
        <v>673</v>
      </c>
      <c r="M2859" t="s">
        <v>408</v>
      </c>
      <c r="N2859" t="s">
        <v>11</v>
      </c>
      <c r="O2859" t="s">
        <v>11</v>
      </c>
      <c r="P2859" t="s">
        <v>0</v>
      </c>
      <c r="Q2859" t="s">
        <v>408</v>
      </c>
      <c r="R2859" t="s">
        <v>439</v>
      </c>
      <c r="S2859" t="s">
        <v>451</v>
      </c>
      <c r="T2859" t="s">
        <v>11</v>
      </c>
      <c r="U2859" t="s">
        <v>408</v>
      </c>
    </row>
    <row r="2860" spans="1:21" x14ac:dyDescent="0.25">
      <c r="A2860">
        <v>24567153</v>
      </c>
      <c r="B2860" t="s">
        <v>342</v>
      </c>
      <c r="C2860" t="s">
        <v>89</v>
      </c>
      <c r="D2860" t="s">
        <v>12</v>
      </c>
      <c r="E2860" t="s">
        <v>755</v>
      </c>
      <c r="F2860" t="s">
        <v>380</v>
      </c>
      <c r="G2860" t="s">
        <v>369</v>
      </c>
      <c r="H2860" t="s">
        <v>853</v>
      </c>
      <c r="I2860" t="s">
        <v>852</v>
      </c>
      <c r="J2860" t="s">
        <v>851</v>
      </c>
      <c r="K2860" t="s">
        <v>850</v>
      </c>
      <c r="L2860" t="s">
        <v>353</v>
      </c>
      <c r="M2860" t="s">
        <v>408</v>
      </c>
      <c r="N2860" t="s">
        <v>11</v>
      </c>
      <c r="O2860" t="s">
        <v>11</v>
      </c>
      <c r="P2860" t="s">
        <v>0</v>
      </c>
      <c r="Q2860" t="s">
        <v>11</v>
      </c>
      <c r="R2860" t="s">
        <v>439</v>
      </c>
      <c r="S2860" t="s">
        <v>440</v>
      </c>
      <c r="T2860" t="s">
        <v>11</v>
      </c>
      <c r="U2860" t="s">
        <v>11</v>
      </c>
    </row>
    <row r="2861" spans="1:21" x14ac:dyDescent="0.25">
      <c r="A2861">
        <v>24567154</v>
      </c>
      <c r="B2861" t="s">
        <v>342</v>
      </c>
      <c r="C2861" t="s">
        <v>89</v>
      </c>
      <c r="D2861" t="s">
        <v>12</v>
      </c>
      <c r="E2861" t="s">
        <v>755</v>
      </c>
      <c r="F2861" t="s">
        <v>380</v>
      </c>
      <c r="G2861" t="s">
        <v>369</v>
      </c>
      <c r="H2861" t="s">
        <v>853</v>
      </c>
      <c r="I2861" t="s">
        <v>852</v>
      </c>
      <c r="J2861" t="s">
        <v>851</v>
      </c>
      <c r="K2861" t="s">
        <v>850</v>
      </c>
      <c r="L2861" t="s">
        <v>353</v>
      </c>
      <c r="M2861" t="s">
        <v>408</v>
      </c>
      <c r="N2861" t="s">
        <v>11</v>
      </c>
      <c r="O2861" t="s">
        <v>11</v>
      </c>
      <c r="P2861" t="s">
        <v>0</v>
      </c>
      <c r="Q2861" t="s">
        <v>11</v>
      </c>
      <c r="R2861" t="s">
        <v>439</v>
      </c>
      <c r="S2861" t="s">
        <v>440</v>
      </c>
      <c r="T2861" t="s">
        <v>11</v>
      </c>
      <c r="U2861" t="s">
        <v>11</v>
      </c>
    </row>
    <row r="2862" spans="1:21" x14ac:dyDescent="0.25">
      <c r="A2862">
        <v>22350434</v>
      </c>
      <c r="B2862" t="s">
        <v>340</v>
      </c>
      <c r="C2862" t="s">
        <v>26</v>
      </c>
      <c r="D2862" t="s">
        <v>12</v>
      </c>
      <c r="E2862" t="s">
        <v>623</v>
      </c>
      <c r="F2862" t="s">
        <v>35</v>
      </c>
      <c r="G2862" t="s">
        <v>468</v>
      </c>
      <c r="H2862" t="s">
        <v>447</v>
      </c>
      <c r="I2862" t="s">
        <v>448</v>
      </c>
      <c r="J2862" t="s">
        <v>449</v>
      </c>
      <c r="K2862" t="s">
        <v>450</v>
      </c>
      <c r="L2862" t="s">
        <v>367</v>
      </c>
      <c r="M2862" t="s">
        <v>408</v>
      </c>
      <c r="N2862" t="s">
        <v>408</v>
      </c>
      <c r="O2862" t="s">
        <v>11</v>
      </c>
      <c r="P2862" t="s">
        <v>0</v>
      </c>
      <c r="Q2862" t="s">
        <v>408</v>
      </c>
      <c r="R2862" t="s">
        <v>439</v>
      </c>
      <c r="S2862" t="s">
        <v>451</v>
      </c>
      <c r="T2862" t="s">
        <v>408</v>
      </c>
      <c r="U2862" t="s">
        <v>408</v>
      </c>
    </row>
    <row r="2863" spans="1:21" x14ac:dyDescent="0.25">
      <c r="A2863">
        <v>24567157</v>
      </c>
      <c r="B2863" t="s">
        <v>340</v>
      </c>
      <c r="C2863" t="s">
        <v>86</v>
      </c>
      <c r="D2863" t="s">
        <v>18</v>
      </c>
      <c r="E2863" t="s">
        <v>630</v>
      </c>
      <c r="F2863" t="s">
        <v>382</v>
      </c>
      <c r="G2863" t="s">
        <v>369</v>
      </c>
      <c r="H2863" t="s">
        <v>855</v>
      </c>
      <c r="I2863" t="s">
        <v>611</v>
      </c>
      <c r="J2863" t="s">
        <v>854</v>
      </c>
      <c r="K2863" t="s">
        <v>850</v>
      </c>
      <c r="L2863" t="s">
        <v>0</v>
      </c>
      <c r="M2863" t="s">
        <v>408</v>
      </c>
      <c r="N2863" t="s">
        <v>11</v>
      </c>
      <c r="O2863" t="s">
        <v>11</v>
      </c>
      <c r="P2863" t="s">
        <v>0</v>
      </c>
      <c r="Q2863" t="s">
        <v>408</v>
      </c>
      <c r="R2863" t="s">
        <v>439</v>
      </c>
      <c r="S2863" t="s">
        <v>440</v>
      </c>
      <c r="T2863" t="s">
        <v>11</v>
      </c>
      <c r="U2863" t="s">
        <v>408</v>
      </c>
    </row>
    <row r="2864" spans="1:21" x14ac:dyDescent="0.25">
      <c r="A2864">
        <v>24567158</v>
      </c>
      <c r="B2864" t="s">
        <v>342</v>
      </c>
      <c r="C2864" t="s">
        <v>13</v>
      </c>
      <c r="D2864" t="s">
        <v>12</v>
      </c>
      <c r="E2864" t="s">
        <v>630</v>
      </c>
      <c r="F2864" t="s">
        <v>382</v>
      </c>
      <c r="G2864" t="s">
        <v>468</v>
      </c>
      <c r="H2864" t="s">
        <v>0</v>
      </c>
      <c r="I2864" t="s">
        <v>436</v>
      </c>
      <c r="J2864" t="s">
        <v>437</v>
      </c>
      <c r="K2864" t="s">
        <v>438</v>
      </c>
      <c r="L2864" t="s">
        <v>345</v>
      </c>
      <c r="M2864" t="s">
        <v>408</v>
      </c>
      <c r="N2864" t="s">
        <v>11</v>
      </c>
      <c r="O2864" t="s">
        <v>11</v>
      </c>
      <c r="P2864" t="s">
        <v>0</v>
      </c>
      <c r="Q2864" t="s">
        <v>408</v>
      </c>
      <c r="R2864" t="s">
        <v>439</v>
      </c>
      <c r="S2864" t="s">
        <v>440</v>
      </c>
      <c r="T2864" t="s">
        <v>11</v>
      </c>
      <c r="U2864" t="s">
        <v>408</v>
      </c>
    </row>
    <row r="2865" spans="1:21" x14ac:dyDescent="0.25">
      <c r="A2865">
        <v>24567159</v>
      </c>
      <c r="B2865" t="s">
        <v>342</v>
      </c>
      <c r="C2865" t="s">
        <v>89</v>
      </c>
      <c r="D2865" t="s">
        <v>79</v>
      </c>
      <c r="E2865" t="s">
        <v>630</v>
      </c>
      <c r="F2865" t="s">
        <v>382</v>
      </c>
      <c r="G2865" t="s">
        <v>369</v>
      </c>
      <c r="H2865" t="s">
        <v>853</v>
      </c>
      <c r="I2865" t="s">
        <v>852</v>
      </c>
      <c r="J2865" t="s">
        <v>851</v>
      </c>
      <c r="K2865" t="s">
        <v>850</v>
      </c>
      <c r="L2865" t="s">
        <v>353</v>
      </c>
      <c r="M2865" t="s">
        <v>408</v>
      </c>
      <c r="N2865" t="s">
        <v>11</v>
      </c>
      <c r="O2865" t="s">
        <v>11</v>
      </c>
      <c r="P2865" t="s">
        <v>0</v>
      </c>
      <c r="Q2865" t="s">
        <v>11</v>
      </c>
      <c r="R2865" t="s">
        <v>439</v>
      </c>
      <c r="S2865" t="s">
        <v>440</v>
      </c>
      <c r="T2865" t="s">
        <v>11</v>
      </c>
      <c r="U2865" t="s">
        <v>11</v>
      </c>
    </row>
    <row r="2866" spans="1:21" x14ac:dyDescent="0.25">
      <c r="A2866">
        <v>24567162</v>
      </c>
      <c r="B2866" t="s">
        <v>342</v>
      </c>
      <c r="C2866" t="s">
        <v>89</v>
      </c>
      <c r="D2866" t="s">
        <v>12</v>
      </c>
      <c r="E2866" t="s">
        <v>630</v>
      </c>
      <c r="F2866" t="s">
        <v>381</v>
      </c>
      <c r="G2866" t="s">
        <v>369</v>
      </c>
      <c r="H2866" t="s">
        <v>858</v>
      </c>
      <c r="I2866" t="s">
        <v>852</v>
      </c>
      <c r="J2866" t="s">
        <v>857</v>
      </c>
      <c r="K2866" t="s">
        <v>856</v>
      </c>
      <c r="L2866" t="s">
        <v>353</v>
      </c>
      <c r="M2866" t="s">
        <v>408</v>
      </c>
      <c r="N2866" t="s">
        <v>11</v>
      </c>
      <c r="O2866" t="s">
        <v>11</v>
      </c>
      <c r="P2866" t="s">
        <v>0</v>
      </c>
      <c r="Q2866" t="s">
        <v>11</v>
      </c>
      <c r="R2866" t="s">
        <v>439</v>
      </c>
      <c r="S2866" t="s">
        <v>440</v>
      </c>
      <c r="T2866" t="s">
        <v>11</v>
      </c>
      <c r="U2866" t="s">
        <v>11</v>
      </c>
    </row>
    <row r="2867" spans="1:21" x14ac:dyDescent="0.25">
      <c r="A2867">
        <v>24567163</v>
      </c>
      <c r="B2867" t="s">
        <v>342</v>
      </c>
      <c r="C2867" t="s">
        <v>89</v>
      </c>
      <c r="D2867" t="s">
        <v>12</v>
      </c>
      <c r="E2867" t="s">
        <v>630</v>
      </c>
      <c r="F2867" t="s">
        <v>382</v>
      </c>
      <c r="G2867" t="s">
        <v>369</v>
      </c>
      <c r="H2867" t="s">
        <v>853</v>
      </c>
      <c r="I2867" t="s">
        <v>852</v>
      </c>
      <c r="J2867" t="s">
        <v>851</v>
      </c>
      <c r="K2867" t="s">
        <v>850</v>
      </c>
      <c r="L2867" t="s">
        <v>353</v>
      </c>
      <c r="M2867" t="s">
        <v>408</v>
      </c>
      <c r="N2867" t="s">
        <v>11</v>
      </c>
      <c r="O2867" t="s">
        <v>11</v>
      </c>
      <c r="P2867" t="s">
        <v>0</v>
      </c>
      <c r="Q2867" t="s">
        <v>11</v>
      </c>
      <c r="R2867" t="s">
        <v>439</v>
      </c>
      <c r="S2867" t="s">
        <v>440</v>
      </c>
      <c r="T2867" t="s">
        <v>11</v>
      </c>
      <c r="U2867" t="s">
        <v>11</v>
      </c>
    </row>
    <row r="2868" spans="1:21" x14ac:dyDescent="0.25">
      <c r="A2868">
        <v>24567164</v>
      </c>
      <c r="B2868" t="s">
        <v>342</v>
      </c>
      <c r="C2868" t="s">
        <v>89</v>
      </c>
      <c r="D2868" t="s">
        <v>12</v>
      </c>
      <c r="E2868" t="s">
        <v>630</v>
      </c>
      <c r="F2868" t="s">
        <v>382</v>
      </c>
      <c r="G2868" t="s">
        <v>369</v>
      </c>
      <c r="H2868" t="s">
        <v>869</v>
      </c>
      <c r="I2868" t="s">
        <v>868</v>
      </c>
      <c r="J2868" t="s">
        <v>867</v>
      </c>
      <c r="K2868" t="s">
        <v>462</v>
      </c>
      <c r="L2868" t="s">
        <v>353</v>
      </c>
      <c r="M2868" t="s">
        <v>408</v>
      </c>
      <c r="N2868" t="s">
        <v>11</v>
      </c>
      <c r="O2868" t="s">
        <v>11</v>
      </c>
      <c r="P2868" t="s">
        <v>0</v>
      </c>
      <c r="Q2868" t="s">
        <v>11</v>
      </c>
      <c r="R2868" t="s">
        <v>439</v>
      </c>
      <c r="S2868" t="s">
        <v>440</v>
      </c>
      <c r="T2868" t="s">
        <v>11</v>
      </c>
      <c r="U2868" t="s">
        <v>11</v>
      </c>
    </row>
    <row r="2869" spans="1:21" x14ac:dyDescent="0.25">
      <c r="A2869">
        <v>24567165</v>
      </c>
      <c r="B2869" t="s">
        <v>342</v>
      </c>
      <c r="C2869" t="s">
        <v>13</v>
      </c>
      <c r="D2869" t="s">
        <v>12</v>
      </c>
      <c r="E2869" t="s">
        <v>630</v>
      </c>
      <c r="F2869" t="s">
        <v>382</v>
      </c>
      <c r="G2869" t="s">
        <v>468</v>
      </c>
      <c r="H2869" t="s">
        <v>0</v>
      </c>
      <c r="I2869" t="s">
        <v>436</v>
      </c>
      <c r="J2869" t="s">
        <v>437</v>
      </c>
      <c r="K2869" t="s">
        <v>438</v>
      </c>
      <c r="L2869" t="s">
        <v>345</v>
      </c>
      <c r="M2869" t="s">
        <v>408</v>
      </c>
      <c r="N2869" t="s">
        <v>11</v>
      </c>
      <c r="O2869" t="s">
        <v>11</v>
      </c>
      <c r="P2869" t="s">
        <v>0</v>
      </c>
      <c r="Q2869" t="s">
        <v>408</v>
      </c>
      <c r="R2869" t="s">
        <v>439</v>
      </c>
      <c r="S2869" t="s">
        <v>440</v>
      </c>
      <c r="T2869" t="s">
        <v>11</v>
      </c>
      <c r="U2869" t="s">
        <v>408</v>
      </c>
    </row>
    <row r="2870" spans="1:21" x14ac:dyDescent="0.25">
      <c r="A2870">
        <v>24567168</v>
      </c>
      <c r="B2870" t="s">
        <v>340</v>
      </c>
      <c r="C2870" t="s">
        <v>86</v>
      </c>
      <c r="D2870" t="s">
        <v>12</v>
      </c>
      <c r="E2870" t="s">
        <v>630</v>
      </c>
      <c r="F2870" t="s">
        <v>382</v>
      </c>
      <c r="G2870" t="s">
        <v>369</v>
      </c>
      <c r="H2870" t="s">
        <v>855</v>
      </c>
      <c r="I2870" t="s">
        <v>611</v>
      </c>
      <c r="J2870" t="s">
        <v>854</v>
      </c>
      <c r="K2870" t="s">
        <v>850</v>
      </c>
      <c r="L2870" t="s">
        <v>0</v>
      </c>
      <c r="M2870" t="s">
        <v>408</v>
      </c>
      <c r="N2870" t="s">
        <v>11</v>
      </c>
      <c r="O2870" t="s">
        <v>11</v>
      </c>
      <c r="P2870" t="s">
        <v>0</v>
      </c>
      <c r="Q2870" t="s">
        <v>408</v>
      </c>
      <c r="R2870" t="s">
        <v>439</v>
      </c>
      <c r="S2870" t="s">
        <v>440</v>
      </c>
      <c r="T2870" t="s">
        <v>11</v>
      </c>
      <c r="U2870" t="s">
        <v>408</v>
      </c>
    </row>
    <row r="2871" spans="1:21" x14ac:dyDescent="0.25">
      <c r="A2871">
        <v>24567169</v>
      </c>
      <c r="B2871" t="s">
        <v>340</v>
      </c>
      <c r="C2871" t="s">
        <v>86</v>
      </c>
      <c r="D2871" t="s">
        <v>12</v>
      </c>
      <c r="E2871" t="s">
        <v>630</v>
      </c>
      <c r="F2871" t="s">
        <v>382</v>
      </c>
      <c r="G2871" t="s">
        <v>369</v>
      </c>
      <c r="H2871" t="s">
        <v>855</v>
      </c>
      <c r="I2871" t="s">
        <v>611</v>
      </c>
      <c r="J2871" t="s">
        <v>854</v>
      </c>
      <c r="K2871" t="s">
        <v>850</v>
      </c>
      <c r="L2871" t="s">
        <v>0</v>
      </c>
      <c r="M2871" t="s">
        <v>408</v>
      </c>
      <c r="N2871" t="s">
        <v>11</v>
      </c>
      <c r="O2871" t="s">
        <v>11</v>
      </c>
      <c r="P2871" t="s">
        <v>0</v>
      </c>
      <c r="Q2871" t="s">
        <v>408</v>
      </c>
      <c r="R2871" t="s">
        <v>439</v>
      </c>
      <c r="S2871" t="s">
        <v>440</v>
      </c>
      <c r="T2871" t="s">
        <v>11</v>
      </c>
      <c r="U2871" t="s">
        <v>408</v>
      </c>
    </row>
    <row r="2872" spans="1:21" x14ac:dyDescent="0.25">
      <c r="A2872">
        <v>24567170</v>
      </c>
      <c r="B2872" t="s">
        <v>342</v>
      </c>
      <c r="C2872" t="s">
        <v>89</v>
      </c>
      <c r="D2872" t="s">
        <v>12</v>
      </c>
      <c r="E2872" t="s">
        <v>630</v>
      </c>
      <c r="F2872" t="s">
        <v>383</v>
      </c>
      <c r="G2872" t="s">
        <v>369</v>
      </c>
      <c r="H2872" t="s">
        <v>853</v>
      </c>
      <c r="I2872" t="s">
        <v>852</v>
      </c>
      <c r="J2872" t="s">
        <v>851</v>
      </c>
      <c r="K2872" t="s">
        <v>850</v>
      </c>
      <c r="L2872" t="s">
        <v>353</v>
      </c>
      <c r="M2872" t="s">
        <v>408</v>
      </c>
      <c r="N2872" t="s">
        <v>11</v>
      </c>
      <c r="O2872" t="s">
        <v>11</v>
      </c>
      <c r="P2872" t="s">
        <v>0</v>
      </c>
      <c r="Q2872" t="s">
        <v>11</v>
      </c>
      <c r="R2872" t="s">
        <v>439</v>
      </c>
      <c r="S2872" t="s">
        <v>440</v>
      </c>
      <c r="T2872" t="s">
        <v>11</v>
      </c>
      <c r="U2872" t="s">
        <v>11</v>
      </c>
    </row>
    <row r="2873" spans="1:21" x14ac:dyDescent="0.25">
      <c r="A2873">
        <v>24567171</v>
      </c>
      <c r="B2873" t="s">
        <v>342</v>
      </c>
      <c r="C2873" t="s">
        <v>89</v>
      </c>
      <c r="D2873" t="s">
        <v>12</v>
      </c>
      <c r="E2873" t="s">
        <v>630</v>
      </c>
      <c r="F2873" t="s">
        <v>382</v>
      </c>
      <c r="G2873" t="s">
        <v>369</v>
      </c>
      <c r="H2873" t="s">
        <v>863</v>
      </c>
      <c r="I2873" t="s">
        <v>852</v>
      </c>
      <c r="J2873" t="s">
        <v>862</v>
      </c>
      <c r="K2873" t="s">
        <v>444</v>
      </c>
      <c r="L2873" t="s">
        <v>353</v>
      </c>
      <c r="M2873" t="s">
        <v>408</v>
      </c>
      <c r="N2873" t="s">
        <v>11</v>
      </c>
      <c r="O2873" t="s">
        <v>11</v>
      </c>
      <c r="P2873" t="s">
        <v>0</v>
      </c>
      <c r="Q2873" t="s">
        <v>11</v>
      </c>
      <c r="R2873" t="s">
        <v>439</v>
      </c>
      <c r="S2873" t="s">
        <v>440</v>
      </c>
      <c r="T2873" t="s">
        <v>11</v>
      </c>
      <c r="U2873" t="s">
        <v>11</v>
      </c>
    </row>
    <row r="2874" spans="1:21" x14ac:dyDescent="0.25">
      <c r="A2874">
        <v>24567172</v>
      </c>
      <c r="B2874" t="s">
        <v>342</v>
      </c>
      <c r="C2874" t="s">
        <v>89</v>
      </c>
      <c r="D2874" t="s">
        <v>79</v>
      </c>
      <c r="E2874" t="s">
        <v>630</v>
      </c>
      <c r="F2874" t="s">
        <v>381</v>
      </c>
      <c r="G2874" t="s">
        <v>369</v>
      </c>
      <c r="H2874" t="s">
        <v>858</v>
      </c>
      <c r="I2874" t="s">
        <v>852</v>
      </c>
      <c r="J2874" t="s">
        <v>857</v>
      </c>
      <c r="K2874" t="s">
        <v>856</v>
      </c>
      <c r="L2874" t="s">
        <v>353</v>
      </c>
      <c r="M2874" t="s">
        <v>408</v>
      </c>
      <c r="N2874" t="s">
        <v>11</v>
      </c>
      <c r="O2874" t="s">
        <v>11</v>
      </c>
      <c r="P2874" t="s">
        <v>0</v>
      </c>
      <c r="Q2874" t="s">
        <v>11</v>
      </c>
      <c r="R2874" t="s">
        <v>439</v>
      </c>
      <c r="S2874" t="s">
        <v>440</v>
      </c>
      <c r="T2874" t="s">
        <v>11</v>
      </c>
      <c r="U2874" t="s">
        <v>11</v>
      </c>
    </row>
    <row r="2875" spans="1:21" x14ac:dyDescent="0.25">
      <c r="A2875">
        <v>24567174</v>
      </c>
      <c r="B2875" t="s">
        <v>342</v>
      </c>
      <c r="C2875" t="s">
        <v>89</v>
      </c>
      <c r="D2875" t="s">
        <v>12</v>
      </c>
      <c r="E2875" t="s">
        <v>630</v>
      </c>
      <c r="F2875" t="s">
        <v>382</v>
      </c>
      <c r="G2875" t="s">
        <v>369</v>
      </c>
      <c r="H2875" t="s">
        <v>853</v>
      </c>
      <c r="I2875" t="s">
        <v>852</v>
      </c>
      <c r="J2875" t="s">
        <v>851</v>
      </c>
      <c r="K2875" t="s">
        <v>850</v>
      </c>
      <c r="L2875" t="s">
        <v>353</v>
      </c>
      <c r="M2875" t="s">
        <v>408</v>
      </c>
      <c r="N2875" t="s">
        <v>11</v>
      </c>
      <c r="O2875" t="s">
        <v>11</v>
      </c>
      <c r="P2875" t="s">
        <v>0</v>
      </c>
      <c r="Q2875" t="s">
        <v>11</v>
      </c>
      <c r="R2875" t="s">
        <v>439</v>
      </c>
      <c r="S2875" t="s">
        <v>440</v>
      </c>
      <c r="T2875" t="s">
        <v>11</v>
      </c>
      <c r="U2875" t="s">
        <v>11</v>
      </c>
    </row>
    <row r="2876" spans="1:21" x14ac:dyDescent="0.25">
      <c r="A2876">
        <v>24567176</v>
      </c>
      <c r="B2876" t="s">
        <v>342</v>
      </c>
      <c r="C2876" t="s">
        <v>89</v>
      </c>
      <c r="D2876" t="s">
        <v>12</v>
      </c>
      <c r="E2876" t="s">
        <v>630</v>
      </c>
      <c r="F2876" t="s">
        <v>382</v>
      </c>
      <c r="G2876" t="s">
        <v>369</v>
      </c>
      <c r="H2876" t="s">
        <v>863</v>
      </c>
      <c r="I2876" t="s">
        <v>852</v>
      </c>
      <c r="J2876" t="s">
        <v>862</v>
      </c>
      <c r="K2876" t="s">
        <v>444</v>
      </c>
      <c r="L2876" t="s">
        <v>353</v>
      </c>
      <c r="M2876" t="s">
        <v>408</v>
      </c>
      <c r="N2876" t="s">
        <v>11</v>
      </c>
      <c r="O2876" t="s">
        <v>11</v>
      </c>
      <c r="P2876" t="s">
        <v>0</v>
      </c>
      <c r="Q2876" t="s">
        <v>11</v>
      </c>
      <c r="R2876" t="s">
        <v>439</v>
      </c>
      <c r="S2876" t="s">
        <v>440</v>
      </c>
      <c r="T2876" t="s">
        <v>11</v>
      </c>
      <c r="U2876" t="s">
        <v>11</v>
      </c>
    </row>
    <row r="2877" spans="1:21" x14ac:dyDescent="0.25">
      <c r="A2877">
        <v>24567177</v>
      </c>
      <c r="B2877" t="s">
        <v>342</v>
      </c>
      <c r="C2877" t="s">
        <v>89</v>
      </c>
      <c r="D2877" t="s">
        <v>18</v>
      </c>
      <c r="E2877" t="s">
        <v>630</v>
      </c>
      <c r="F2877" t="s">
        <v>381</v>
      </c>
      <c r="G2877" t="s">
        <v>369</v>
      </c>
      <c r="H2877" t="s">
        <v>853</v>
      </c>
      <c r="I2877" t="s">
        <v>852</v>
      </c>
      <c r="J2877" t="s">
        <v>851</v>
      </c>
      <c r="K2877" t="s">
        <v>850</v>
      </c>
      <c r="L2877" t="s">
        <v>353</v>
      </c>
      <c r="M2877" t="s">
        <v>408</v>
      </c>
      <c r="N2877" t="s">
        <v>11</v>
      </c>
      <c r="O2877" t="s">
        <v>11</v>
      </c>
      <c r="P2877" t="s">
        <v>0</v>
      </c>
      <c r="Q2877" t="s">
        <v>408</v>
      </c>
      <c r="R2877" t="s">
        <v>439</v>
      </c>
      <c r="S2877" t="s">
        <v>440</v>
      </c>
      <c r="T2877" t="s">
        <v>11</v>
      </c>
      <c r="U2877" t="s">
        <v>408</v>
      </c>
    </row>
    <row r="2878" spans="1:21" x14ac:dyDescent="0.25">
      <c r="A2878">
        <v>24567178</v>
      </c>
      <c r="B2878" t="s">
        <v>340</v>
      </c>
      <c r="C2878" t="s">
        <v>86</v>
      </c>
      <c r="D2878" t="s">
        <v>12</v>
      </c>
      <c r="E2878" t="s">
        <v>630</v>
      </c>
      <c r="F2878" t="s">
        <v>382</v>
      </c>
      <c r="G2878" t="s">
        <v>369</v>
      </c>
      <c r="H2878" t="s">
        <v>855</v>
      </c>
      <c r="I2878" t="s">
        <v>611</v>
      </c>
      <c r="J2878" t="s">
        <v>854</v>
      </c>
      <c r="K2878" t="s">
        <v>850</v>
      </c>
      <c r="L2878" t="s">
        <v>0</v>
      </c>
      <c r="M2878" t="s">
        <v>408</v>
      </c>
      <c r="N2878" t="s">
        <v>11</v>
      </c>
      <c r="O2878" t="s">
        <v>11</v>
      </c>
      <c r="P2878" t="s">
        <v>0</v>
      </c>
      <c r="Q2878" t="s">
        <v>408</v>
      </c>
      <c r="R2878" t="s">
        <v>439</v>
      </c>
      <c r="S2878" t="s">
        <v>440</v>
      </c>
      <c r="T2878" t="s">
        <v>11</v>
      </c>
      <c r="U2878" t="s">
        <v>408</v>
      </c>
    </row>
    <row r="2879" spans="1:21" x14ac:dyDescent="0.25">
      <c r="A2879">
        <v>24567179</v>
      </c>
      <c r="B2879" t="s">
        <v>342</v>
      </c>
      <c r="C2879" t="s">
        <v>89</v>
      </c>
      <c r="D2879" t="s">
        <v>18</v>
      </c>
      <c r="E2879" t="s">
        <v>630</v>
      </c>
      <c r="F2879" t="s">
        <v>382</v>
      </c>
      <c r="G2879" t="s">
        <v>369</v>
      </c>
      <c r="H2879" t="s">
        <v>858</v>
      </c>
      <c r="I2879" t="s">
        <v>852</v>
      </c>
      <c r="J2879" t="s">
        <v>857</v>
      </c>
      <c r="K2879" t="s">
        <v>856</v>
      </c>
      <c r="L2879" t="s">
        <v>353</v>
      </c>
      <c r="M2879" t="s">
        <v>408</v>
      </c>
      <c r="N2879" t="s">
        <v>11</v>
      </c>
      <c r="O2879" t="s">
        <v>11</v>
      </c>
      <c r="P2879" t="s">
        <v>0</v>
      </c>
      <c r="Q2879" t="s">
        <v>11</v>
      </c>
      <c r="R2879" t="s">
        <v>439</v>
      </c>
      <c r="S2879" t="s">
        <v>440</v>
      </c>
      <c r="T2879" t="s">
        <v>11</v>
      </c>
      <c r="U2879" t="s">
        <v>11</v>
      </c>
    </row>
    <row r="2880" spans="1:21" x14ac:dyDescent="0.25">
      <c r="A2880">
        <v>24567180</v>
      </c>
      <c r="B2880" t="s">
        <v>342</v>
      </c>
      <c r="C2880" t="s">
        <v>89</v>
      </c>
      <c r="D2880" t="s">
        <v>18</v>
      </c>
      <c r="E2880" t="s">
        <v>630</v>
      </c>
      <c r="F2880" t="s">
        <v>382</v>
      </c>
      <c r="G2880" t="s">
        <v>369</v>
      </c>
      <c r="H2880" t="s">
        <v>853</v>
      </c>
      <c r="I2880" t="s">
        <v>852</v>
      </c>
      <c r="J2880" t="s">
        <v>851</v>
      </c>
      <c r="K2880" t="s">
        <v>850</v>
      </c>
      <c r="L2880" t="s">
        <v>353</v>
      </c>
      <c r="M2880" t="s">
        <v>408</v>
      </c>
      <c r="N2880" t="s">
        <v>11</v>
      </c>
      <c r="O2880" t="s">
        <v>11</v>
      </c>
      <c r="P2880" t="s">
        <v>0</v>
      </c>
      <c r="Q2880" t="s">
        <v>11</v>
      </c>
      <c r="R2880" t="s">
        <v>439</v>
      </c>
      <c r="S2880" t="s">
        <v>440</v>
      </c>
      <c r="T2880" t="s">
        <v>11</v>
      </c>
      <c r="U2880" t="s">
        <v>11</v>
      </c>
    </row>
    <row r="2881" spans="1:21" x14ac:dyDescent="0.25">
      <c r="A2881">
        <v>24567182</v>
      </c>
      <c r="B2881" t="s">
        <v>342</v>
      </c>
      <c r="C2881" t="s">
        <v>89</v>
      </c>
      <c r="D2881" t="s">
        <v>12</v>
      </c>
      <c r="E2881" t="s">
        <v>630</v>
      </c>
      <c r="F2881" t="s">
        <v>383</v>
      </c>
      <c r="G2881" t="s">
        <v>369</v>
      </c>
      <c r="H2881" t="s">
        <v>853</v>
      </c>
      <c r="I2881" t="s">
        <v>852</v>
      </c>
      <c r="J2881" t="s">
        <v>851</v>
      </c>
      <c r="K2881" t="s">
        <v>850</v>
      </c>
      <c r="L2881" t="s">
        <v>353</v>
      </c>
      <c r="M2881" t="s">
        <v>408</v>
      </c>
      <c r="N2881" t="s">
        <v>11</v>
      </c>
      <c r="O2881" t="s">
        <v>11</v>
      </c>
      <c r="P2881" t="s">
        <v>0</v>
      </c>
      <c r="Q2881" t="s">
        <v>11</v>
      </c>
      <c r="R2881" t="s">
        <v>439</v>
      </c>
      <c r="S2881" t="s">
        <v>440</v>
      </c>
      <c r="T2881" t="s">
        <v>11</v>
      </c>
      <c r="U2881" t="s">
        <v>11</v>
      </c>
    </row>
    <row r="2882" spans="1:21" x14ac:dyDescent="0.25">
      <c r="A2882">
        <v>24567183</v>
      </c>
      <c r="B2882" t="s">
        <v>342</v>
      </c>
      <c r="C2882" t="s">
        <v>89</v>
      </c>
      <c r="D2882" t="s">
        <v>18</v>
      </c>
      <c r="E2882" t="s">
        <v>630</v>
      </c>
      <c r="F2882" t="s">
        <v>382</v>
      </c>
      <c r="G2882" t="s">
        <v>369</v>
      </c>
      <c r="H2882" t="s">
        <v>853</v>
      </c>
      <c r="I2882" t="s">
        <v>852</v>
      </c>
      <c r="J2882" t="s">
        <v>851</v>
      </c>
      <c r="K2882" t="s">
        <v>850</v>
      </c>
      <c r="L2882" t="s">
        <v>353</v>
      </c>
      <c r="M2882" t="s">
        <v>408</v>
      </c>
      <c r="N2882" t="s">
        <v>11</v>
      </c>
      <c r="O2882" t="s">
        <v>11</v>
      </c>
      <c r="P2882" t="s">
        <v>0</v>
      </c>
      <c r="Q2882" t="s">
        <v>11</v>
      </c>
      <c r="R2882" t="s">
        <v>439</v>
      </c>
      <c r="S2882" t="s">
        <v>440</v>
      </c>
      <c r="T2882" t="s">
        <v>11</v>
      </c>
      <c r="U2882" t="s">
        <v>11</v>
      </c>
    </row>
    <row r="2883" spans="1:21" x14ac:dyDescent="0.25">
      <c r="A2883">
        <v>24567185</v>
      </c>
      <c r="B2883" t="s">
        <v>340</v>
      </c>
      <c r="C2883" t="s">
        <v>86</v>
      </c>
      <c r="D2883" t="s">
        <v>12</v>
      </c>
      <c r="E2883" t="s">
        <v>630</v>
      </c>
      <c r="F2883" t="s">
        <v>384</v>
      </c>
      <c r="G2883" t="s">
        <v>369</v>
      </c>
      <c r="H2883" t="s">
        <v>855</v>
      </c>
      <c r="I2883" t="s">
        <v>611</v>
      </c>
      <c r="J2883" t="s">
        <v>854</v>
      </c>
      <c r="K2883" t="s">
        <v>850</v>
      </c>
      <c r="L2883" t="s">
        <v>0</v>
      </c>
      <c r="M2883" t="s">
        <v>408</v>
      </c>
      <c r="N2883" t="s">
        <v>11</v>
      </c>
      <c r="O2883" t="s">
        <v>11</v>
      </c>
      <c r="P2883" t="s">
        <v>0</v>
      </c>
      <c r="Q2883" t="s">
        <v>408</v>
      </c>
      <c r="R2883" t="s">
        <v>439</v>
      </c>
      <c r="S2883" t="s">
        <v>440</v>
      </c>
      <c r="T2883" t="s">
        <v>11</v>
      </c>
      <c r="U2883" t="s">
        <v>408</v>
      </c>
    </row>
    <row r="2884" spans="1:21" x14ac:dyDescent="0.25">
      <c r="A2884">
        <v>24567187</v>
      </c>
      <c r="B2884" t="s">
        <v>340</v>
      </c>
      <c r="C2884" t="s">
        <v>86</v>
      </c>
      <c r="D2884" t="s">
        <v>12</v>
      </c>
      <c r="E2884" t="s">
        <v>630</v>
      </c>
      <c r="F2884" t="s">
        <v>381</v>
      </c>
      <c r="G2884" t="s">
        <v>369</v>
      </c>
      <c r="H2884" t="s">
        <v>855</v>
      </c>
      <c r="I2884" t="s">
        <v>611</v>
      </c>
      <c r="J2884" t="s">
        <v>854</v>
      </c>
      <c r="K2884" t="s">
        <v>850</v>
      </c>
      <c r="L2884" t="s">
        <v>0</v>
      </c>
      <c r="M2884" t="s">
        <v>408</v>
      </c>
      <c r="N2884" t="s">
        <v>11</v>
      </c>
      <c r="O2884" t="s">
        <v>11</v>
      </c>
      <c r="P2884" t="s">
        <v>0</v>
      </c>
      <c r="Q2884" t="s">
        <v>408</v>
      </c>
      <c r="R2884" t="s">
        <v>439</v>
      </c>
      <c r="S2884" t="s">
        <v>440</v>
      </c>
      <c r="T2884" t="s">
        <v>11</v>
      </c>
      <c r="U2884" t="s">
        <v>408</v>
      </c>
    </row>
    <row r="2885" spans="1:21" x14ac:dyDescent="0.25">
      <c r="A2885">
        <v>24567189</v>
      </c>
      <c r="B2885" t="s">
        <v>340</v>
      </c>
      <c r="C2885" t="s">
        <v>86</v>
      </c>
      <c r="D2885" t="s">
        <v>12</v>
      </c>
      <c r="E2885" t="s">
        <v>630</v>
      </c>
      <c r="F2885" t="s">
        <v>382</v>
      </c>
      <c r="G2885" t="s">
        <v>369</v>
      </c>
      <c r="H2885" t="s">
        <v>853</v>
      </c>
      <c r="I2885" t="s">
        <v>852</v>
      </c>
      <c r="J2885" t="s">
        <v>851</v>
      </c>
      <c r="K2885" t="s">
        <v>850</v>
      </c>
      <c r="L2885" t="s">
        <v>353</v>
      </c>
      <c r="M2885" t="s">
        <v>408</v>
      </c>
      <c r="N2885" t="s">
        <v>11</v>
      </c>
      <c r="O2885" t="s">
        <v>11</v>
      </c>
      <c r="P2885" t="s">
        <v>0</v>
      </c>
      <c r="Q2885" t="s">
        <v>11</v>
      </c>
      <c r="R2885" t="s">
        <v>439</v>
      </c>
      <c r="S2885" t="s">
        <v>440</v>
      </c>
      <c r="T2885" t="s">
        <v>11</v>
      </c>
      <c r="U2885" t="s">
        <v>11</v>
      </c>
    </row>
    <row r="2886" spans="1:21" x14ac:dyDescent="0.25">
      <c r="A2886">
        <v>24567191</v>
      </c>
      <c r="B2886" t="s">
        <v>342</v>
      </c>
      <c r="C2886" t="s">
        <v>89</v>
      </c>
      <c r="D2886" t="s">
        <v>12</v>
      </c>
      <c r="E2886" t="s">
        <v>630</v>
      </c>
      <c r="F2886" t="s">
        <v>382</v>
      </c>
      <c r="G2886" t="s">
        <v>369</v>
      </c>
      <c r="H2886" t="s">
        <v>858</v>
      </c>
      <c r="I2886" t="s">
        <v>852</v>
      </c>
      <c r="J2886" t="s">
        <v>857</v>
      </c>
      <c r="K2886" t="s">
        <v>856</v>
      </c>
      <c r="L2886" t="s">
        <v>353</v>
      </c>
      <c r="M2886" t="s">
        <v>408</v>
      </c>
      <c r="N2886" t="s">
        <v>11</v>
      </c>
      <c r="O2886" t="s">
        <v>11</v>
      </c>
      <c r="P2886" t="s">
        <v>0</v>
      </c>
      <c r="Q2886" t="s">
        <v>11</v>
      </c>
      <c r="R2886" t="s">
        <v>439</v>
      </c>
      <c r="S2886" t="s">
        <v>440</v>
      </c>
      <c r="T2886" t="s">
        <v>11</v>
      </c>
      <c r="U2886" t="s">
        <v>11</v>
      </c>
    </row>
    <row r="2887" spans="1:21" x14ac:dyDescent="0.25">
      <c r="A2887">
        <v>24567193</v>
      </c>
      <c r="B2887" t="s">
        <v>342</v>
      </c>
      <c r="C2887" t="s">
        <v>89</v>
      </c>
      <c r="D2887" t="s">
        <v>12</v>
      </c>
      <c r="E2887" t="s">
        <v>630</v>
      </c>
      <c r="F2887" t="s">
        <v>382</v>
      </c>
      <c r="G2887" t="s">
        <v>369</v>
      </c>
      <c r="H2887" t="s">
        <v>861</v>
      </c>
      <c r="I2887" t="s">
        <v>860</v>
      </c>
      <c r="J2887" t="s">
        <v>859</v>
      </c>
      <c r="K2887" t="s">
        <v>450</v>
      </c>
      <c r="L2887" t="s">
        <v>367</v>
      </c>
      <c r="M2887" t="s">
        <v>408</v>
      </c>
      <c r="N2887" t="s">
        <v>11</v>
      </c>
      <c r="O2887" t="s">
        <v>11</v>
      </c>
      <c r="P2887" t="s">
        <v>0</v>
      </c>
      <c r="Q2887" t="s">
        <v>408</v>
      </c>
      <c r="R2887" t="s">
        <v>439</v>
      </c>
      <c r="S2887" t="s">
        <v>440</v>
      </c>
      <c r="T2887" t="s">
        <v>11</v>
      </c>
      <c r="U2887" t="s">
        <v>408</v>
      </c>
    </row>
    <row r="2888" spans="1:21" x14ac:dyDescent="0.25">
      <c r="A2888">
        <v>24567195</v>
      </c>
      <c r="B2888" t="s">
        <v>342</v>
      </c>
      <c r="C2888" t="s">
        <v>89</v>
      </c>
      <c r="D2888" t="s">
        <v>12</v>
      </c>
      <c r="E2888" t="s">
        <v>630</v>
      </c>
      <c r="F2888" t="s">
        <v>382</v>
      </c>
      <c r="G2888" t="s">
        <v>369</v>
      </c>
      <c r="H2888" t="s">
        <v>853</v>
      </c>
      <c r="I2888" t="s">
        <v>852</v>
      </c>
      <c r="J2888" t="s">
        <v>851</v>
      </c>
      <c r="K2888" t="s">
        <v>850</v>
      </c>
      <c r="L2888" t="s">
        <v>353</v>
      </c>
      <c r="M2888" t="s">
        <v>408</v>
      </c>
      <c r="N2888" t="s">
        <v>11</v>
      </c>
      <c r="O2888" t="s">
        <v>11</v>
      </c>
      <c r="P2888" t="s">
        <v>0</v>
      </c>
      <c r="Q2888" t="s">
        <v>11</v>
      </c>
      <c r="R2888" t="s">
        <v>439</v>
      </c>
      <c r="S2888" t="s">
        <v>440</v>
      </c>
      <c r="T2888" t="s">
        <v>11</v>
      </c>
      <c r="U2888" t="s">
        <v>11</v>
      </c>
    </row>
    <row r="2889" spans="1:21" x14ac:dyDescent="0.25">
      <c r="A2889">
        <v>24567196</v>
      </c>
      <c r="B2889" t="s">
        <v>340</v>
      </c>
      <c r="C2889" t="s">
        <v>86</v>
      </c>
      <c r="D2889" t="s">
        <v>12</v>
      </c>
      <c r="E2889" t="s">
        <v>630</v>
      </c>
      <c r="F2889" t="s">
        <v>384</v>
      </c>
      <c r="G2889" t="s">
        <v>369</v>
      </c>
      <c r="H2889" t="s">
        <v>855</v>
      </c>
      <c r="I2889" t="s">
        <v>611</v>
      </c>
      <c r="J2889" t="s">
        <v>854</v>
      </c>
      <c r="K2889" t="s">
        <v>850</v>
      </c>
      <c r="L2889" t="s">
        <v>0</v>
      </c>
      <c r="M2889" t="s">
        <v>408</v>
      </c>
      <c r="N2889" t="s">
        <v>11</v>
      </c>
      <c r="O2889" t="s">
        <v>11</v>
      </c>
      <c r="P2889" t="s">
        <v>0</v>
      </c>
      <c r="Q2889" t="s">
        <v>408</v>
      </c>
      <c r="R2889" t="s">
        <v>439</v>
      </c>
      <c r="S2889" t="s">
        <v>440</v>
      </c>
      <c r="T2889" t="s">
        <v>11</v>
      </c>
      <c r="U2889" t="s">
        <v>408</v>
      </c>
    </row>
    <row r="2890" spans="1:21" x14ac:dyDescent="0.25">
      <c r="A2890">
        <v>24567197</v>
      </c>
      <c r="B2890" t="s">
        <v>342</v>
      </c>
      <c r="C2890" t="s">
        <v>89</v>
      </c>
      <c r="D2890" t="s">
        <v>18</v>
      </c>
      <c r="E2890" t="s">
        <v>630</v>
      </c>
      <c r="F2890" t="s">
        <v>382</v>
      </c>
      <c r="G2890" t="s">
        <v>369</v>
      </c>
      <c r="H2890" t="s">
        <v>853</v>
      </c>
      <c r="I2890" t="s">
        <v>852</v>
      </c>
      <c r="J2890" t="s">
        <v>851</v>
      </c>
      <c r="K2890" t="s">
        <v>850</v>
      </c>
      <c r="L2890" t="s">
        <v>353</v>
      </c>
      <c r="M2890" t="s">
        <v>408</v>
      </c>
      <c r="N2890" t="s">
        <v>11</v>
      </c>
      <c r="O2890" t="s">
        <v>11</v>
      </c>
      <c r="P2890" t="s">
        <v>0</v>
      </c>
      <c r="Q2890" t="s">
        <v>11</v>
      </c>
      <c r="R2890" t="s">
        <v>439</v>
      </c>
      <c r="S2890" t="s">
        <v>440</v>
      </c>
      <c r="T2890" t="s">
        <v>11</v>
      </c>
      <c r="U2890" t="s">
        <v>11</v>
      </c>
    </row>
    <row r="2891" spans="1:21" x14ac:dyDescent="0.25">
      <c r="A2891">
        <v>24567199</v>
      </c>
      <c r="B2891" t="s">
        <v>342</v>
      </c>
      <c r="C2891" t="s">
        <v>89</v>
      </c>
      <c r="D2891" t="s">
        <v>18</v>
      </c>
      <c r="E2891" t="s">
        <v>630</v>
      </c>
      <c r="F2891" t="s">
        <v>382</v>
      </c>
      <c r="G2891" t="s">
        <v>369</v>
      </c>
      <c r="H2891" t="s">
        <v>858</v>
      </c>
      <c r="I2891" t="s">
        <v>852</v>
      </c>
      <c r="J2891" t="s">
        <v>857</v>
      </c>
      <c r="K2891" t="s">
        <v>856</v>
      </c>
      <c r="L2891" t="s">
        <v>353</v>
      </c>
      <c r="M2891" t="s">
        <v>408</v>
      </c>
      <c r="N2891" t="s">
        <v>11</v>
      </c>
      <c r="O2891" t="s">
        <v>11</v>
      </c>
      <c r="P2891" t="s">
        <v>0</v>
      </c>
      <c r="Q2891" t="s">
        <v>11</v>
      </c>
      <c r="R2891" t="s">
        <v>439</v>
      </c>
      <c r="S2891" t="s">
        <v>440</v>
      </c>
      <c r="T2891" t="s">
        <v>11</v>
      </c>
      <c r="U2891" t="s">
        <v>11</v>
      </c>
    </row>
    <row r="2892" spans="1:21" x14ac:dyDescent="0.25">
      <c r="A2892">
        <v>24567200</v>
      </c>
      <c r="B2892" t="s">
        <v>342</v>
      </c>
      <c r="C2892" t="s">
        <v>89</v>
      </c>
      <c r="D2892" t="s">
        <v>12</v>
      </c>
      <c r="E2892" t="s">
        <v>630</v>
      </c>
      <c r="F2892" t="s">
        <v>382</v>
      </c>
      <c r="G2892" t="s">
        <v>369</v>
      </c>
      <c r="H2892" t="s">
        <v>858</v>
      </c>
      <c r="I2892" t="s">
        <v>852</v>
      </c>
      <c r="J2892" t="s">
        <v>857</v>
      </c>
      <c r="K2892" t="s">
        <v>856</v>
      </c>
      <c r="L2892" t="s">
        <v>353</v>
      </c>
      <c r="M2892" t="s">
        <v>408</v>
      </c>
      <c r="N2892" t="s">
        <v>11</v>
      </c>
      <c r="O2892" t="s">
        <v>11</v>
      </c>
      <c r="P2892" t="s">
        <v>0</v>
      </c>
      <c r="Q2892" t="s">
        <v>11</v>
      </c>
      <c r="R2892" t="s">
        <v>439</v>
      </c>
      <c r="S2892" t="s">
        <v>440</v>
      </c>
      <c r="T2892" t="s">
        <v>11</v>
      </c>
      <c r="U2892" t="s">
        <v>11</v>
      </c>
    </row>
    <row r="2893" spans="1:21" x14ac:dyDescent="0.25">
      <c r="A2893">
        <v>24567201</v>
      </c>
      <c r="B2893" t="s">
        <v>340</v>
      </c>
      <c r="C2893" t="s">
        <v>86</v>
      </c>
      <c r="D2893" t="s">
        <v>79</v>
      </c>
      <c r="E2893" t="s">
        <v>630</v>
      </c>
      <c r="F2893" t="s">
        <v>382</v>
      </c>
      <c r="G2893" t="s">
        <v>369</v>
      </c>
      <c r="H2893" t="s">
        <v>617</v>
      </c>
      <c r="I2893" t="s">
        <v>618</v>
      </c>
      <c r="J2893" t="s">
        <v>619</v>
      </c>
      <c r="K2893" t="s">
        <v>606</v>
      </c>
      <c r="L2893" t="s">
        <v>673</v>
      </c>
      <c r="M2893" t="s">
        <v>408</v>
      </c>
      <c r="N2893" t="s">
        <v>11</v>
      </c>
      <c r="O2893" t="s">
        <v>11</v>
      </c>
      <c r="P2893" t="s">
        <v>0</v>
      </c>
      <c r="Q2893" t="s">
        <v>408</v>
      </c>
      <c r="R2893" t="s">
        <v>439</v>
      </c>
      <c r="S2893" t="s">
        <v>451</v>
      </c>
      <c r="T2893" t="s">
        <v>11</v>
      </c>
      <c r="U2893" t="s">
        <v>408</v>
      </c>
    </row>
    <row r="2894" spans="1:21" x14ac:dyDescent="0.25">
      <c r="A2894">
        <v>24567203</v>
      </c>
      <c r="B2894" t="s">
        <v>342</v>
      </c>
      <c r="C2894" t="s">
        <v>89</v>
      </c>
      <c r="D2894" t="s">
        <v>12</v>
      </c>
      <c r="E2894" t="s">
        <v>630</v>
      </c>
      <c r="F2894" t="s">
        <v>382</v>
      </c>
      <c r="G2894" t="s">
        <v>369</v>
      </c>
      <c r="H2894" t="s">
        <v>853</v>
      </c>
      <c r="I2894" t="s">
        <v>852</v>
      </c>
      <c r="J2894" t="s">
        <v>851</v>
      </c>
      <c r="K2894" t="s">
        <v>850</v>
      </c>
      <c r="L2894" t="s">
        <v>353</v>
      </c>
      <c r="M2894" t="s">
        <v>408</v>
      </c>
      <c r="N2894" t="s">
        <v>11</v>
      </c>
      <c r="O2894" t="s">
        <v>11</v>
      </c>
      <c r="P2894" t="s">
        <v>0</v>
      </c>
      <c r="Q2894" t="s">
        <v>11</v>
      </c>
      <c r="R2894" t="s">
        <v>439</v>
      </c>
      <c r="S2894" t="s">
        <v>440</v>
      </c>
      <c r="T2894" t="s">
        <v>11</v>
      </c>
      <c r="U2894" t="s">
        <v>11</v>
      </c>
    </row>
    <row r="2895" spans="1:21" x14ac:dyDescent="0.25">
      <c r="A2895">
        <v>24567206</v>
      </c>
      <c r="B2895" t="s">
        <v>342</v>
      </c>
      <c r="C2895" t="s">
        <v>89</v>
      </c>
      <c r="D2895" t="s">
        <v>12</v>
      </c>
      <c r="E2895" t="s">
        <v>630</v>
      </c>
      <c r="F2895" t="s">
        <v>382</v>
      </c>
      <c r="G2895" t="s">
        <v>369</v>
      </c>
      <c r="H2895" t="s">
        <v>853</v>
      </c>
      <c r="I2895" t="s">
        <v>852</v>
      </c>
      <c r="J2895" t="s">
        <v>851</v>
      </c>
      <c r="K2895" t="s">
        <v>850</v>
      </c>
      <c r="L2895" t="s">
        <v>353</v>
      </c>
      <c r="M2895" t="s">
        <v>408</v>
      </c>
      <c r="N2895" t="s">
        <v>11</v>
      </c>
      <c r="O2895" t="s">
        <v>11</v>
      </c>
      <c r="P2895" t="s">
        <v>0</v>
      </c>
      <c r="Q2895" t="s">
        <v>11</v>
      </c>
      <c r="R2895" t="s">
        <v>439</v>
      </c>
      <c r="S2895" t="s">
        <v>440</v>
      </c>
      <c r="T2895" t="s">
        <v>11</v>
      </c>
      <c r="U2895" t="s">
        <v>11</v>
      </c>
    </row>
    <row r="2896" spans="1:21" x14ac:dyDescent="0.25">
      <c r="A2896">
        <v>24567207</v>
      </c>
      <c r="B2896" t="s">
        <v>342</v>
      </c>
      <c r="C2896" t="s">
        <v>89</v>
      </c>
      <c r="D2896" t="s">
        <v>12</v>
      </c>
      <c r="E2896" t="s">
        <v>630</v>
      </c>
      <c r="F2896" t="s">
        <v>382</v>
      </c>
      <c r="G2896" t="s">
        <v>369</v>
      </c>
      <c r="H2896" t="s">
        <v>853</v>
      </c>
      <c r="I2896" t="s">
        <v>852</v>
      </c>
      <c r="J2896" t="s">
        <v>851</v>
      </c>
      <c r="K2896" t="s">
        <v>850</v>
      </c>
      <c r="L2896" t="s">
        <v>353</v>
      </c>
      <c r="M2896" t="s">
        <v>408</v>
      </c>
      <c r="N2896" t="s">
        <v>11</v>
      </c>
      <c r="O2896" t="s">
        <v>11</v>
      </c>
      <c r="P2896" t="s">
        <v>0</v>
      </c>
      <c r="Q2896" t="s">
        <v>11</v>
      </c>
      <c r="R2896" t="s">
        <v>439</v>
      </c>
      <c r="S2896" t="s">
        <v>440</v>
      </c>
      <c r="T2896" t="s">
        <v>11</v>
      </c>
      <c r="U2896" t="s">
        <v>11</v>
      </c>
    </row>
    <row r="2897" spans="1:21" x14ac:dyDescent="0.25">
      <c r="A2897">
        <v>24567208</v>
      </c>
      <c r="B2897" t="s">
        <v>342</v>
      </c>
      <c r="C2897" t="s">
        <v>89</v>
      </c>
      <c r="D2897" t="s">
        <v>12</v>
      </c>
      <c r="E2897" t="s">
        <v>630</v>
      </c>
      <c r="F2897" t="s">
        <v>382</v>
      </c>
      <c r="G2897" t="s">
        <v>369</v>
      </c>
      <c r="H2897" t="s">
        <v>853</v>
      </c>
      <c r="I2897" t="s">
        <v>852</v>
      </c>
      <c r="J2897" t="s">
        <v>851</v>
      </c>
      <c r="K2897" t="s">
        <v>850</v>
      </c>
      <c r="L2897" t="s">
        <v>353</v>
      </c>
      <c r="M2897" t="s">
        <v>408</v>
      </c>
      <c r="N2897" t="s">
        <v>11</v>
      </c>
      <c r="O2897" t="s">
        <v>11</v>
      </c>
      <c r="P2897" t="s">
        <v>0</v>
      </c>
      <c r="Q2897" t="s">
        <v>11</v>
      </c>
      <c r="R2897" t="s">
        <v>439</v>
      </c>
      <c r="S2897" t="s">
        <v>440</v>
      </c>
      <c r="T2897" t="s">
        <v>11</v>
      </c>
      <c r="U2897" t="s">
        <v>11</v>
      </c>
    </row>
    <row r="2898" spans="1:21" x14ac:dyDescent="0.25">
      <c r="A2898">
        <v>24567209</v>
      </c>
      <c r="B2898" t="s">
        <v>342</v>
      </c>
      <c r="C2898" t="s">
        <v>89</v>
      </c>
      <c r="D2898" t="s">
        <v>12</v>
      </c>
      <c r="E2898" t="s">
        <v>630</v>
      </c>
      <c r="F2898" t="s">
        <v>382</v>
      </c>
      <c r="G2898" t="s">
        <v>369</v>
      </c>
      <c r="H2898" t="s">
        <v>853</v>
      </c>
      <c r="I2898" t="s">
        <v>852</v>
      </c>
      <c r="J2898" t="s">
        <v>851</v>
      </c>
      <c r="K2898" t="s">
        <v>850</v>
      </c>
      <c r="L2898" t="s">
        <v>353</v>
      </c>
      <c r="M2898" t="s">
        <v>408</v>
      </c>
      <c r="N2898" t="s">
        <v>11</v>
      </c>
      <c r="O2898" t="s">
        <v>11</v>
      </c>
      <c r="P2898" t="s">
        <v>0</v>
      </c>
      <c r="Q2898" t="s">
        <v>11</v>
      </c>
      <c r="R2898" t="s">
        <v>439</v>
      </c>
      <c r="S2898" t="s">
        <v>440</v>
      </c>
      <c r="T2898" t="s">
        <v>11</v>
      </c>
      <c r="U2898" t="s">
        <v>11</v>
      </c>
    </row>
    <row r="2899" spans="1:21" x14ac:dyDescent="0.25">
      <c r="A2899">
        <v>24567211</v>
      </c>
      <c r="B2899" t="s">
        <v>342</v>
      </c>
      <c r="C2899" t="s">
        <v>89</v>
      </c>
      <c r="D2899" t="s">
        <v>12</v>
      </c>
      <c r="E2899" t="s">
        <v>630</v>
      </c>
      <c r="F2899" t="s">
        <v>382</v>
      </c>
      <c r="G2899" t="s">
        <v>369</v>
      </c>
      <c r="H2899" t="s">
        <v>858</v>
      </c>
      <c r="I2899" t="s">
        <v>852</v>
      </c>
      <c r="J2899" t="s">
        <v>857</v>
      </c>
      <c r="K2899" t="s">
        <v>856</v>
      </c>
      <c r="L2899" t="s">
        <v>353</v>
      </c>
      <c r="M2899" t="s">
        <v>408</v>
      </c>
      <c r="N2899" t="s">
        <v>11</v>
      </c>
      <c r="O2899" t="s">
        <v>11</v>
      </c>
      <c r="P2899" t="s">
        <v>0</v>
      </c>
      <c r="Q2899" t="s">
        <v>11</v>
      </c>
      <c r="R2899" t="s">
        <v>439</v>
      </c>
      <c r="S2899" t="s">
        <v>440</v>
      </c>
      <c r="T2899" t="s">
        <v>11</v>
      </c>
      <c r="U2899" t="s">
        <v>11</v>
      </c>
    </row>
    <row r="2900" spans="1:21" x14ac:dyDescent="0.25">
      <c r="A2900">
        <v>24567212</v>
      </c>
      <c r="B2900" t="s">
        <v>342</v>
      </c>
      <c r="C2900" t="s">
        <v>89</v>
      </c>
      <c r="D2900" t="s">
        <v>12</v>
      </c>
      <c r="E2900" t="s">
        <v>630</v>
      </c>
      <c r="F2900" t="s">
        <v>382</v>
      </c>
      <c r="G2900" t="s">
        <v>369</v>
      </c>
      <c r="H2900" t="s">
        <v>861</v>
      </c>
      <c r="I2900" t="s">
        <v>860</v>
      </c>
      <c r="J2900" t="s">
        <v>859</v>
      </c>
      <c r="K2900" t="s">
        <v>450</v>
      </c>
      <c r="L2900" t="s">
        <v>367</v>
      </c>
      <c r="M2900" t="s">
        <v>408</v>
      </c>
      <c r="N2900" t="s">
        <v>11</v>
      </c>
      <c r="O2900" t="s">
        <v>11</v>
      </c>
      <c r="P2900" t="s">
        <v>0</v>
      </c>
      <c r="Q2900" t="s">
        <v>408</v>
      </c>
      <c r="R2900" t="s">
        <v>439</v>
      </c>
      <c r="S2900" t="s">
        <v>440</v>
      </c>
      <c r="T2900" t="s">
        <v>11</v>
      </c>
      <c r="U2900" t="s">
        <v>408</v>
      </c>
    </row>
    <row r="2901" spans="1:21" x14ac:dyDescent="0.25">
      <c r="A2901">
        <v>24567213</v>
      </c>
      <c r="B2901" t="s">
        <v>342</v>
      </c>
      <c r="C2901" t="s">
        <v>89</v>
      </c>
      <c r="D2901" t="s">
        <v>12</v>
      </c>
      <c r="E2901" t="s">
        <v>630</v>
      </c>
      <c r="F2901" t="s">
        <v>384</v>
      </c>
      <c r="G2901" t="s">
        <v>369</v>
      </c>
      <c r="H2901" t="s">
        <v>853</v>
      </c>
      <c r="I2901" t="s">
        <v>852</v>
      </c>
      <c r="J2901" t="s">
        <v>851</v>
      </c>
      <c r="K2901" t="s">
        <v>850</v>
      </c>
      <c r="L2901" t="s">
        <v>353</v>
      </c>
      <c r="M2901" t="s">
        <v>408</v>
      </c>
      <c r="N2901" t="s">
        <v>11</v>
      </c>
      <c r="O2901" t="s">
        <v>11</v>
      </c>
      <c r="P2901" t="s">
        <v>0</v>
      </c>
      <c r="Q2901" t="s">
        <v>11</v>
      </c>
      <c r="R2901" t="s">
        <v>439</v>
      </c>
      <c r="S2901" t="s">
        <v>440</v>
      </c>
      <c r="T2901" t="s">
        <v>11</v>
      </c>
      <c r="U2901" t="s">
        <v>11</v>
      </c>
    </row>
    <row r="2902" spans="1:21" x14ac:dyDescent="0.25">
      <c r="A2902">
        <v>24567216</v>
      </c>
      <c r="B2902" t="s">
        <v>342</v>
      </c>
      <c r="C2902" t="s">
        <v>89</v>
      </c>
      <c r="D2902" t="s">
        <v>12</v>
      </c>
      <c r="E2902" t="s">
        <v>630</v>
      </c>
      <c r="F2902" t="s">
        <v>381</v>
      </c>
      <c r="G2902" t="s">
        <v>369</v>
      </c>
      <c r="H2902" t="s">
        <v>853</v>
      </c>
      <c r="I2902" t="s">
        <v>852</v>
      </c>
      <c r="J2902" t="s">
        <v>851</v>
      </c>
      <c r="K2902" t="s">
        <v>850</v>
      </c>
      <c r="L2902" t="s">
        <v>353</v>
      </c>
      <c r="M2902" t="s">
        <v>408</v>
      </c>
      <c r="N2902" t="s">
        <v>11</v>
      </c>
      <c r="O2902" t="s">
        <v>11</v>
      </c>
      <c r="P2902" t="s">
        <v>0</v>
      </c>
      <c r="Q2902" t="s">
        <v>11</v>
      </c>
      <c r="R2902" t="s">
        <v>439</v>
      </c>
      <c r="S2902" t="s">
        <v>440</v>
      </c>
      <c r="T2902" t="s">
        <v>11</v>
      </c>
      <c r="U2902" t="s">
        <v>11</v>
      </c>
    </row>
    <row r="2903" spans="1:21" x14ac:dyDescent="0.25">
      <c r="A2903">
        <v>24567217</v>
      </c>
      <c r="B2903" t="s">
        <v>342</v>
      </c>
      <c r="C2903" t="s">
        <v>89</v>
      </c>
      <c r="D2903" t="s">
        <v>12</v>
      </c>
      <c r="E2903" t="s">
        <v>630</v>
      </c>
      <c r="F2903" t="s">
        <v>382</v>
      </c>
      <c r="G2903" t="s">
        <v>369</v>
      </c>
      <c r="H2903" t="s">
        <v>863</v>
      </c>
      <c r="I2903" t="s">
        <v>852</v>
      </c>
      <c r="J2903" t="s">
        <v>862</v>
      </c>
      <c r="K2903" t="s">
        <v>444</v>
      </c>
      <c r="L2903" t="s">
        <v>353</v>
      </c>
      <c r="M2903" t="s">
        <v>408</v>
      </c>
      <c r="N2903" t="s">
        <v>11</v>
      </c>
      <c r="O2903" t="s">
        <v>11</v>
      </c>
      <c r="P2903" t="s">
        <v>0</v>
      </c>
      <c r="Q2903" t="s">
        <v>11</v>
      </c>
      <c r="R2903" t="s">
        <v>439</v>
      </c>
      <c r="S2903" t="s">
        <v>440</v>
      </c>
      <c r="T2903" t="s">
        <v>11</v>
      </c>
      <c r="U2903" t="s">
        <v>11</v>
      </c>
    </row>
    <row r="2904" spans="1:21" x14ac:dyDescent="0.25">
      <c r="A2904">
        <v>24567218</v>
      </c>
      <c r="B2904" t="s">
        <v>340</v>
      </c>
      <c r="C2904" t="s">
        <v>86</v>
      </c>
      <c r="D2904" t="s">
        <v>12</v>
      </c>
      <c r="E2904" t="s">
        <v>630</v>
      </c>
      <c r="F2904" t="s">
        <v>382</v>
      </c>
      <c r="G2904" t="s">
        <v>369</v>
      </c>
      <c r="H2904" t="s">
        <v>855</v>
      </c>
      <c r="I2904" t="s">
        <v>611</v>
      </c>
      <c r="J2904" t="s">
        <v>854</v>
      </c>
      <c r="K2904" t="s">
        <v>850</v>
      </c>
      <c r="L2904" t="s">
        <v>0</v>
      </c>
      <c r="M2904" t="s">
        <v>408</v>
      </c>
      <c r="N2904" t="s">
        <v>11</v>
      </c>
      <c r="O2904" t="s">
        <v>11</v>
      </c>
      <c r="P2904" t="s">
        <v>0</v>
      </c>
      <c r="Q2904" t="s">
        <v>408</v>
      </c>
      <c r="R2904" t="s">
        <v>439</v>
      </c>
      <c r="S2904" t="s">
        <v>440</v>
      </c>
      <c r="T2904" t="s">
        <v>11</v>
      </c>
      <c r="U2904" t="s">
        <v>408</v>
      </c>
    </row>
    <row r="2905" spans="1:21" x14ac:dyDescent="0.25">
      <c r="A2905">
        <v>24567222</v>
      </c>
      <c r="B2905" t="s">
        <v>342</v>
      </c>
      <c r="C2905" t="s">
        <v>89</v>
      </c>
      <c r="D2905" t="s">
        <v>12</v>
      </c>
      <c r="E2905" t="s">
        <v>630</v>
      </c>
      <c r="F2905" t="s">
        <v>384</v>
      </c>
      <c r="G2905" t="s">
        <v>369</v>
      </c>
      <c r="H2905" t="s">
        <v>861</v>
      </c>
      <c r="I2905" t="s">
        <v>860</v>
      </c>
      <c r="J2905" t="s">
        <v>859</v>
      </c>
      <c r="K2905" t="s">
        <v>450</v>
      </c>
      <c r="L2905" t="s">
        <v>367</v>
      </c>
      <c r="M2905" t="s">
        <v>408</v>
      </c>
      <c r="N2905" t="s">
        <v>11</v>
      </c>
      <c r="O2905" t="s">
        <v>11</v>
      </c>
      <c r="P2905" t="s">
        <v>0</v>
      </c>
      <c r="Q2905" t="s">
        <v>408</v>
      </c>
      <c r="R2905" t="s">
        <v>439</v>
      </c>
      <c r="S2905" t="s">
        <v>440</v>
      </c>
      <c r="T2905" t="s">
        <v>11</v>
      </c>
      <c r="U2905" t="s">
        <v>408</v>
      </c>
    </row>
    <row r="2906" spans="1:21" x14ac:dyDescent="0.25">
      <c r="A2906">
        <v>24567223</v>
      </c>
      <c r="B2906" t="s">
        <v>342</v>
      </c>
      <c r="C2906" t="s">
        <v>89</v>
      </c>
      <c r="D2906" t="s">
        <v>12</v>
      </c>
      <c r="E2906" t="s">
        <v>630</v>
      </c>
      <c r="F2906" t="s">
        <v>382</v>
      </c>
      <c r="G2906" t="s">
        <v>369</v>
      </c>
      <c r="H2906" t="s">
        <v>858</v>
      </c>
      <c r="I2906" t="s">
        <v>852</v>
      </c>
      <c r="J2906" t="s">
        <v>857</v>
      </c>
      <c r="K2906" t="s">
        <v>856</v>
      </c>
      <c r="L2906" t="s">
        <v>353</v>
      </c>
      <c r="M2906" t="s">
        <v>408</v>
      </c>
      <c r="N2906" t="s">
        <v>11</v>
      </c>
      <c r="O2906" t="s">
        <v>11</v>
      </c>
      <c r="P2906" t="s">
        <v>0</v>
      </c>
      <c r="Q2906" t="s">
        <v>11</v>
      </c>
      <c r="R2906" t="s">
        <v>439</v>
      </c>
      <c r="S2906" t="s">
        <v>440</v>
      </c>
      <c r="T2906" t="s">
        <v>11</v>
      </c>
      <c r="U2906" t="s">
        <v>11</v>
      </c>
    </row>
    <row r="2907" spans="1:21" x14ac:dyDescent="0.25">
      <c r="A2907">
        <v>24567225</v>
      </c>
      <c r="B2907" t="s">
        <v>342</v>
      </c>
      <c r="C2907" t="s">
        <v>89</v>
      </c>
      <c r="D2907" t="s">
        <v>18</v>
      </c>
      <c r="E2907" t="s">
        <v>630</v>
      </c>
      <c r="F2907" t="s">
        <v>382</v>
      </c>
      <c r="G2907" t="s">
        <v>369</v>
      </c>
      <c r="H2907" t="s">
        <v>853</v>
      </c>
      <c r="I2907" t="s">
        <v>852</v>
      </c>
      <c r="J2907" t="s">
        <v>851</v>
      </c>
      <c r="K2907" t="s">
        <v>850</v>
      </c>
      <c r="L2907" t="s">
        <v>353</v>
      </c>
      <c r="M2907" t="s">
        <v>408</v>
      </c>
      <c r="N2907" t="s">
        <v>11</v>
      </c>
      <c r="O2907" t="s">
        <v>11</v>
      </c>
      <c r="P2907" t="s">
        <v>0</v>
      </c>
      <c r="Q2907" t="s">
        <v>11</v>
      </c>
      <c r="R2907" t="s">
        <v>439</v>
      </c>
      <c r="S2907" t="s">
        <v>440</v>
      </c>
      <c r="T2907" t="s">
        <v>11</v>
      </c>
      <c r="U2907" t="s">
        <v>11</v>
      </c>
    </row>
    <row r="2908" spans="1:21" x14ac:dyDescent="0.25">
      <c r="A2908">
        <v>24567227</v>
      </c>
      <c r="B2908" t="s">
        <v>342</v>
      </c>
      <c r="C2908" t="s">
        <v>89</v>
      </c>
      <c r="D2908" t="s">
        <v>12</v>
      </c>
      <c r="E2908" t="s">
        <v>630</v>
      </c>
      <c r="F2908" t="s">
        <v>382</v>
      </c>
      <c r="G2908" t="s">
        <v>369</v>
      </c>
      <c r="H2908" t="s">
        <v>853</v>
      </c>
      <c r="I2908" t="s">
        <v>852</v>
      </c>
      <c r="J2908" t="s">
        <v>851</v>
      </c>
      <c r="K2908" t="s">
        <v>850</v>
      </c>
      <c r="L2908" t="s">
        <v>353</v>
      </c>
      <c r="M2908" t="s">
        <v>408</v>
      </c>
      <c r="N2908" t="s">
        <v>11</v>
      </c>
      <c r="O2908" t="s">
        <v>11</v>
      </c>
      <c r="P2908" t="s">
        <v>0</v>
      </c>
      <c r="Q2908" t="s">
        <v>11</v>
      </c>
      <c r="R2908" t="s">
        <v>439</v>
      </c>
      <c r="S2908" t="s">
        <v>440</v>
      </c>
      <c r="T2908" t="s">
        <v>11</v>
      </c>
      <c r="U2908" t="s">
        <v>11</v>
      </c>
    </row>
    <row r="2909" spans="1:21" x14ac:dyDescent="0.25">
      <c r="A2909">
        <v>24567228</v>
      </c>
      <c r="B2909" t="s">
        <v>342</v>
      </c>
      <c r="C2909" t="s">
        <v>89</v>
      </c>
      <c r="D2909" t="s">
        <v>12</v>
      </c>
      <c r="E2909" t="s">
        <v>630</v>
      </c>
      <c r="F2909" t="s">
        <v>382</v>
      </c>
      <c r="G2909" t="s">
        <v>369</v>
      </c>
      <c r="H2909" t="s">
        <v>853</v>
      </c>
      <c r="I2909" t="s">
        <v>852</v>
      </c>
      <c r="J2909" t="s">
        <v>851</v>
      </c>
      <c r="K2909" t="s">
        <v>850</v>
      </c>
      <c r="L2909" t="s">
        <v>353</v>
      </c>
      <c r="M2909" t="s">
        <v>408</v>
      </c>
      <c r="N2909" t="s">
        <v>11</v>
      </c>
      <c r="O2909" t="s">
        <v>11</v>
      </c>
      <c r="P2909" t="s">
        <v>0</v>
      </c>
      <c r="Q2909" t="s">
        <v>11</v>
      </c>
      <c r="R2909" t="s">
        <v>439</v>
      </c>
      <c r="S2909" t="s">
        <v>440</v>
      </c>
      <c r="T2909" t="s">
        <v>11</v>
      </c>
      <c r="U2909" t="s">
        <v>11</v>
      </c>
    </row>
    <row r="2910" spans="1:21" x14ac:dyDescent="0.25">
      <c r="A2910">
        <v>24567230</v>
      </c>
      <c r="B2910" t="s">
        <v>342</v>
      </c>
      <c r="C2910" t="s">
        <v>89</v>
      </c>
      <c r="D2910" t="s">
        <v>12</v>
      </c>
      <c r="E2910" t="s">
        <v>630</v>
      </c>
      <c r="F2910" t="s">
        <v>382</v>
      </c>
      <c r="G2910" t="s">
        <v>369</v>
      </c>
      <c r="H2910" t="s">
        <v>866</v>
      </c>
      <c r="I2910" t="s">
        <v>865</v>
      </c>
      <c r="J2910" t="s">
        <v>864</v>
      </c>
      <c r="K2910" t="s">
        <v>462</v>
      </c>
      <c r="L2910" t="s">
        <v>674</v>
      </c>
      <c r="M2910" t="s">
        <v>408</v>
      </c>
      <c r="N2910" t="s">
        <v>11</v>
      </c>
      <c r="O2910" t="s">
        <v>11</v>
      </c>
      <c r="P2910" t="s">
        <v>0</v>
      </c>
      <c r="Q2910" t="s">
        <v>408</v>
      </c>
      <c r="R2910" t="s">
        <v>439</v>
      </c>
      <c r="S2910" t="s">
        <v>451</v>
      </c>
      <c r="T2910" t="s">
        <v>11</v>
      </c>
      <c r="U2910" t="s">
        <v>408</v>
      </c>
    </row>
    <row r="2911" spans="1:21" x14ac:dyDescent="0.25">
      <c r="A2911">
        <v>24567233</v>
      </c>
      <c r="B2911" t="s">
        <v>340</v>
      </c>
      <c r="C2911" t="s">
        <v>86</v>
      </c>
      <c r="D2911" t="s">
        <v>12</v>
      </c>
      <c r="E2911" t="s">
        <v>630</v>
      </c>
      <c r="F2911" t="s">
        <v>382</v>
      </c>
      <c r="G2911" t="s">
        <v>369</v>
      </c>
      <c r="H2911" t="s">
        <v>855</v>
      </c>
      <c r="I2911" t="s">
        <v>611</v>
      </c>
      <c r="J2911" t="s">
        <v>854</v>
      </c>
      <c r="K2911" t="s">
        <v>850</v>
      </c>
      <c r="L2911" t="s">
        <v>0</v>
      </c>
      <c r="M2911" t="s">
        <v>408</v>
      </c>
      <c r="N2911" t="s">
        <v>11</v>
      </c>
      <c r="O2911" t="s">
        <v>11</v>
      </c>
      <c r="P2911" t="s">
        <v>0</v>
      </c>
      <c r="Q2911" t="s">
        <v>408</v>
      </c>
      <c r="R2911" t="s">
        <v>439</v>
      </c>
      <c r="S2911" t="s">
        <v>440</v>
      </c>
      <c r="T2911" t="s">
        <v>11</v>
      </c>
      <c r="U2911" t="s">
        <v>408</v>
      </c>
    </row>
    <row r="2912" spans="1:21" x14ac:dyDescent="0.25">
      <c r="A2912">
        <v>24567234</v>
      </c>
      <c r="B2912" t="s">
        <v>342</v>
      </c>
      <c r="C2912" t="s">
        <v>89</v>
      </c>
      <c r="D2912" t="s">
        <v>12</v>
      </c>
      <c r="E2912" t="s">
        <v>630</v>
      </c>
      <c r="F2912" t="s">
        <v>382</v>
      </c>
      <c r="G2912" t="s">
        <v>369</v>
      </c>
      <c r="H2912" t="s">
        <v>853</v>
      </c>
      <c r="I2912" t="s">
        <v>852</v>
      </c>
      <c r="J2912" t="s">
        <v>851</v>
      </c>
      <c r="K2912" t="s">
        <v>850</v>
      </c>
      <c r="L2912" t="s">
        <v>353</v>
      </c>
      <c r="M2912" t="s">
        <v>408</v>
      </c>
      <c r="N2912" t="s">
        <v>11</v>
      </c>
      <c r="O2912" t="s">
        <v>11</v>
      </c>
      <c r="P2912" t="s">
        <v>0</v>
      </c>
      <c r="Q2912" t="s">
        <v>11</v>
      </c>
      <c r="R2912" t="s">
        <v>439</v>
      </c>
      <c r="S2912" t="s">
        <v>440</v>
      </c>
      <c r="T2912" t="s">
        <v>11</v>
      </c>
      <c r="U2912" t="s">
        <v>11</v>
      </c>
    </row>
    <row r="2913" spans="1:21" x14ac:dyDescent="0.25">
      <c r="A2913">
        <v>23323633</v>
      </c>
      <c r="B2913" t="s">
        <v>340</v>
      </c>
      <c r="C2913" t="s">
        <v>86</v>
      </c>
      <c r="D2913" t="s">
        <v>12</v>
      </c>
      <c r="E2913" t="s">
        <v>628</v>
      </c>
      <c r="F2913" t="s">
        <v>25</v>
      </c>
      <c r="G2913" t="s">
        <v>468</v>
      </c>
      <c r="H2913" t="s">
        <v>447</v>
      </c>
      <c r="I2913" t="s">
        <v>448</v>
      </c>
      <c r="J2913" t="s">
        <v>449</v>
      </c>
      <c r="K2913" t="s">
        <v>450</v>
      </c>
      <c r="L2913" t="s">
        <v>367</v>
      </c>
      <c r="M2913" t="s">
        <v>408</v>
      </c>
      <c r="N2913" t="s">
        <v>408</v>
      </c>
      <c r="O2913" t="s">
        <v>11</v>
      </c>
      <c r="P2913" t="s">
        <v>0</v>
      </c>
      <c r="Q2913" t="s">
        <v>408</v>
      </c>
      <c r="R2913" t="s">
        <v>439</v>
      </c>
      <c r="S2913" t="s">
        <v>451</v>
      </c>
      <c r="T2913" t="s">
        <v>408</v>
      </c>
      <c r="U2913" t="s">
        <v>408</v>
      </c>
    </row>
    <row r="2914" spans="1:21" x14ac:dyDescent="0.25">
      <c r="A2914">
        <v>23323635</v>
      </c>
      <c r="B2914" t="s">
        <v>340</v>
      </c>
      <c r="C2914" t="s">
        <v>86</v>
      </c>
      <c r="D2914" t="s">
        <v>12</v>
      </c>
      <c r="E2914" t="s">
        <v>628</v>
      </c>
      <c r="F2914" t="s">
        <v>25</v>
      </c>
      <c r="G2914" t="s">
        <v>468</v>
      </c>
      <c r="H2914" t="s">
        <v>447</v>
      </c>
      <c r="I2914" t="s">
        <v>448</v>
      </c>
      <c r="J2914" t="s">
        <v>449</v>
      </c>
      <c r="K2914" t="s">
        <v>450</v>
      </c>
      <c r="L2914" t="s">
        <v>367</v>
      </c>
      <c r="M2914" t="s">
        <v>408</v>
      </c>
      <c r="N2914" t="s">
        <v>408</v>
      </c>
      <c r="O2914" t="s">
        <v>11</v>
      </c>
      <c r="P2914" t="s">
        <v>0</v>
      </c>
      <c r="Q2914" t="s">
        <v>408</v>
      </c>
      <c r="R2914" t="s">
        <v>439</v>
      </c>
      <c r="S2914" t="s">
        <v>451</v>
      </c>
      <c r="T2914" t="s">
        <v>408</v>
      </c>
      <c r="U2914" t="s">
        <v>408</v>
      </c>
    </row>
    <row r="2915" spans="1:21" x14ac:dyDescent="0.25">
      <c r="A2915">
        <v>24567235</v>
      </c>
      <c r="B2915" t="s">
        <v>342</v>
      </c>
      <c r="C2915" t="s">
        <v>89</v>
      </c>
      <c r="D2915" t="s">
        <v>12</v>
      </c>
      <c r="E2915" t="s">
        <v>630</v>
      </c>
      <c r="F2915" t="s">
        <v>382</v>
      </c>
      <c r="G2915" t="s">
        <v>369</v>
      </c>
      <c r="H2915" t="s">
        <v>853</v>
      </c>
      <c r="I2915" t="s">
        <v>852</v>
      </c>
      <c r="J2915" t="s">
        <v>851</v>
      </c>
      <c r="K2915" t="s">
        <v>850</v>
      </c>
      <c r="L2915" t="s">
        <v>353</v>
      </c>
      <c r="M2915" t="s">
        <v>408</v>
      </c>
      <c r="N2915" t="s">
        <v>11</v>
      </c>
      <c r="O2915" t="s">
        <v>11</v>
      </c>
      <c r="P2915" t="s">
        <v>0</v>
      </c>
      <c r="Q2915" t="s">
        <v>11</v>
      </c>
      <c r="R2915" t="s">
        <v>439</v>
      </c>
      <c r="S2915" t="s">
        <v>440</v>
      </c>
      <c r="T2915" t="s">
        <v>11</v>
      </c>
      <c r="U2915" t="s">
        <v>11</v>
      </c>
    </row>
    <row r="2916" spans="1:21" x14ac:dyDescent="0.25">
      <c r="A2916">
        <v>24567236</v>
      </c>
      <c r="B2916" t="s">
        <v>340</v>
      </c>
      <c r="C2916" t="s">
        <v>86</v>
      </c>
      <c r="D2916" t="s">
        <v>12</v>
      </c>
      <c r="E2916" t="s">
        <v>629</v>
      </c>
      <c r="F2916" t="s">
        <v>391</v>
      </c>
      <c r="G2916" t="s">
        <v>369</v>
      </c>
      <c r="H2916" t="s">
        <v>855</v>
      </c>
      <c r="I2916" t="s">
        <v>611</v>
      </c>
      <c r="J2916" t="s">
        <v>854</v>
      </c>
      <c r="K2916" t="s">
        <v>850</v>
      </c>
      <c r="L2916" t="s">
        <v>0</v>
      </c>
      <c r="M2916" t="s">
        <v>408</v>
      </c>
      <c r="N2916" t="s">
        <v>11</v>
      </c>
      <c r="O2916" t="s">
        <v>11</v>
      </c>
      <c r="P2916" t="s">
        <v>0</v>
      </c>
      <c r="Q2916" t="s">
        <v>408</v>
      </c>
      <c r="R2916" t="s">
        <v>439</v>
      </c>
      <c r="S2916" t="s">
        <v>440</v>
      </c>
      <c r="T2916" t="s">
        <v>11</v>
      </c>
      <c r="U2916" t="s">
        <v>408</v>
      </c>
    </row>
    <row r="2917" spans="1:21" x14ac:dyDescent="0.25">
      <c r="A2917">
        <v>24567237</v>
      </c>
      <c r="B2917" t="s">
        <v>342</v>
      </c>
      <c r="C2917" t="s">
        <v>89</v>
      </c>
      <c r="D2917" t="s">
        <v>12</v>
      </c>
      <c r="E2917" t="s">
        <v>629</v>
      </c>
      <c r="F2917" t="s">
        <v>391</v>
      </c>
      <c r="G2917" t="s">
        <v>369</v>
      </c>
      <c r="H2917" t="s">
        <v>861</v>
      </c>
      <c r="I2917" t="s">
        <v>860</v>
      </c>
      <c r="J2917" t="s">
        <v>859</v>
      </c>
      <c r="K2917" t="s">
        <v>450</v>
      </c>
      <c r="L2917" t="s">
        <v>367</v>
      </c>
      <c r="M2917" t="s">
        <v>408</v>
      </c>
      <c r="N2917" t="s">
        <v>11</v>
      </c>
      <c r="O2917" t="s">
        <v>11</v>
      </c>
      <c r="P2917" t="s">
        <v>0</v>
      </c>
      <c r="Q2917" t="s">
        <v>408</v>
      </c>
      <c r="R2917" t="s">
        <v>439</v>
      </c>
      <c r="S2917" t="s">
        <v>440</v>
      </c>
      <c r="T2917" t="s">
        <v>11</v>
      </c>
      <c r="U2917" t="s">
        <v>408</v>
      </c>
    </row>
    <row r="2918" spans="1:21" x14ac:dyDescent="0.25">
      <c r="A2918">
        <v>24567238</v>
      </c>
      <c r="B2918" t="s">
        <v>342</v>
      </c>
      <c r="C2918" t="s">
        <v>89</v>
      </c>
      <c r="D2918" t="s">
        <v>12</v>
      </c>
      <c r="E2918" t="s">
        <v>629</v>
      </c>
      <c r="F2918" t="s">
        <v>391</v>
      </c>
      <c r="G2918" t="s">
        <v>369</v>
      </c>
      <c r="H2918" t="s">
        <v>853</v>
      </c>
      <c r="I2918" t="s">
        <v>852</v>
      </c>
      <c r="J2918" t="s">
        <v>851</v>
      </c>
      <c r="K2918" t="s">
        <v>850</v>
      </c>
      <c r="L2918" t="s">
        <v>353</v>
      </c>
      <c r="M2918" t="s">
        <v>408</v>
      </c>
      <c r="N2918" t="s">
        <v>11</v>
      </c>
      <c r="O2918" t="s">
        <v>11</v>
      </c>
      <c r="P2918" t="s">
        <v>0</v>
      </c>
      <c r="Q2918" t="s">
        <v>11</v>
      </c>
      <c r="R2918" t="s">
        <v>439</v>
      </c>
      <c r="S2918" t="s">
        <v>440</v>
      </c>
      <c r="T2918" t="s">
        <v>11</v>
      </c>
      <c r="U2918" t="s">
        <v>11</v>
      </c>
    </row>
    <row r="2919" spans="1:21" x14ac:dyDescent="0.25">
      <c r="A2919">
        <v>24567239</v>
      </c>
      <c r="B2919" t="s">
        <v>342</v>
      </c>
      <c r="C2919" t="s">
        <v>89</v>
      </c>
      <c r="D2919" t="s">
        <v>12</v>
      </c>
      <c r="E2919" t="s">
        <v>629</v>
      </c>
      <c r="F2919" t="s">
        <v>391</v>
      </c>
      <c r="G2919" t="s">
        <v>369</v>
      </c>
      <c r="H2919" t="s">
        <v>853</v>
      </c>
      <c r="I2919" t="s">
        <v>852</v>
      </c>
      <c r="J2919" t="s">
        <v>851</v>
      </c>
      <c r="K2919" t="s">
        <v>850</v>
      </c>
      <c r="L2919" t="s">
        <v>353</v>
      </c>
      <c r="M2919" t="s">
        <v>408</v>
      </c>
      <c r="N2919" t="s">
        <v>11</v>
      </c>
      <c r="O2919" t="s">
        <v>11</v>
      </c>
      <c r="P2919" t="s">
        <v>0</v>
      </c>
      <c r="Q2919" t="s">
        <v>11</v>
      </c>
      <c r="R2919" t="s">
        <v>439</v>
      </c>
      <c r="S2919" t="s">
        <v>440</v>
      </c>
      <c r="T2919" t="s">
        <v>11</v>
      </c>
      <c r="U2919" t="s">
        <v>11</v>
      </c>
    </row>
    <row r="2920" spans="1:21" x14ac:dyDescent="0.25">
      <c r="A2920">
        <v>24567240</v>
      </c>
      <c r="B2920" t="s">
        <v>342</v>
      </c>
      <c r="C2920" t="s">
        <v>89</v>
      </c>
      <c r="D2920" t="s">
        <v>12</v>
      </c>
      <c r="E2920" t="s">
        <v>629</v>
      </c>
      <c r="F2920" t="s">
        <v>391</v>
      </c>
      <c r="G2920" t="s">
        <v>369</v>
      </c>
      <c r="H2920" t="s">
        <v>853</v>
      </c>
      <c r="I2920" t="s">
        <v>852</v>
      </c>
      <c r="J2920" t="s">
        <v>851</v>
      </c>
      <c r="K2920" t="s">
        <v>850</v>
      </c>
      <c r="L2920" t="s">
        <v>353</v>
      </c>
      <c r="M2920" t="s">
        <v>408</v>
      </c>
      <c r="N2920" t="s">
        <v>11</v>
      </c>
      <c r="O2920" t="s">
        <v>11</v>
      </c>
      <c r="P2920" t="s">
        <v>0</v>
      </c>
      <c r="Q2920" t="s">
        <v>11</v>
      </c>
      <c r="R2920" t="s">
        <v>439</v>
      </c>
      <c r="S2920" t="s">
        <v>440</v>
      </c>
      <c r="T2920" t="s">
        <v>11</v>
      </c>
      <c r="U2920" t="s">
        <v>11</v>
      </c>
    </row>
    <row r="2921" spans="1:21" x14ac:dyDescent="0.25">
      <c r="A2921">
        <v>24567241</v>
      </c>
      <c r="B2921" t="s">
        <v>340</v>
      </c>
      <c r="C2921" t="s">
        <v>86</v>
      </c>
      <c r="D2921" t="s">
        <v>12</v>
      </c>
      <c r="E2921" t="s">
        <v>629</v>
      </c>
      <c r="F2921" t="s">
        <v>391</v>
      </c>
      <c r="G2921" t="s">
        <v>369</v>
      </c>
      <c r="H2921" t="s">
        <v>855</v>
      </c>
      <c r="I2921" t="s">
        <v>611</v>
      </c>
      <c r="J2921" t="s">
        <v>854</v>
      </c>
      <c r="K2921" t="s">
        <v>850</v>
      </c>
      <c r="L2921" t="s">
        <v>0</v>
      </c>
      <c r="M2921" t="s">
        <v>408</v>
      </c>
      <c r="N2921" t="s">
        <v>11</v>
      </c>
      <c r="O2921" t="s">
        <v>11</v>
      </c>
      <c r="P2921" t="s">
        <v>0</v>
      </c>
      <c r="Q2921" t="s">
        <v>408</v>
      </c>
      <c r="R2921" t="s">
        <v>439</v>
      </c>
      <c r="S2921" t="s">
        <v>440</v>
      </c>
      <c r="T2921" t="s">
        <v>11</v>
      </c>
      <c r="U2921" t="s">
        <v>408</v>
      </c>
    </row>
    <row r="2922" spans="1:21" x14ac:dyDescent="0.25">
      <c r="A2922">
        <v>24567243</v>
      </c>
      <c r="B2922" t="s">
        <v>340</v>
      </c>
      <c r="C2922" t="s">
        <v>86</v>
      </c>
      <c r="D2922" t="s">
        <v>18</v>
      </c>
      <c r="E2922" t="s">
        <v>629</v>
      </c>
      <c r="F2922" t="s">
        <v>391</v>
      </c>
      <c r="G2922" t="s">
        <v>369</v>
      </c>
      <c r="H2922" t="s">
        <v>855</v>
      </c>
      <c r="I2922" t="s">
        <v>611</v>
      </c>
      <c r="J2922" t="s">
        <v>854</v>
      </c>
      <c r="K2922" t="s">
        <v>850</v>
      </c>
      <c r="L2922" t="s">
        <v>0</v>
      </c>
      <c r="M2922" t="s">
        <v>408</v>
      </c>
      <c r="N2922" t="s">
        <v>11</v>
      </c>
      <c r="O2922" t="s">
        <v>11</v>
      </c>
      <c r="P2922" t="s">
        <v>0</v>
      </c>
      <c r="Q2922" t="s">
        <v>408</v>
      </c>
      <c r="R2922" t="s">
        <v>439</v>
      </c>
      <c r="S2922" t="s">
        <v>440</v>
      </c>
      <c r="T2922" t="s">
        <v>11</v>
      </c>
      <c r="U2922" t="s">
        <v>408</v>
      </c>
    </row>
    <row r="2923" spans="1:21" x14ac:dyDescent="0.25">
      <c r="A2923">
        <v>24567245</v>
      </c>
      <c r="B2923" t="s">
        <v>342</v>
      </c>
      <c r="C2923" t="s">
        <v>89</v>
      </c>
      <c r="D2923" t="s">
        <v>18</v>
      </c>
      <c r="E2923" t="s">
        <v>629</v>
      </c>
      <c r="F2923" t="s">
        <v>391</v>
      </c>
      <c r="G2923" t="s">
        <v>369</v>
      </c>
      <c r="H2923" t="s">
        <v>853</v>
      </c>
      <c r="I2923" t="s">
        <v>852</v>
      </c>
      <c r="J2923" t="s">
        <v>851</v>
      </c>
      <c r="K2923" t="s">
        <v>850</v>
      </c>
      <c r="L2923" t="s">
        <v>353</v>
      </c>
      <c r="M2923" t="s">
        <v>408</v>
      </c>
      <c r="N2923" t="s">
        <v>11</v>
      </c>
      <c r="O2923" t="s">
        <v>11</v>
      </c>
      <c r="P2923" t="s">
        <v>0</v>
      </c>
      <c r="Q2923" t="s">
        <v>11</v>
      </c>
      <c r="R2923" t="s">
        <v>439</v>
      </c>
      <c r="S2923" t="s">
        <v>440</v>
      </c>
      <c r="T2923" t="s">
        <v>11</v>
      </c>
      <c r="U2923" t="s">
        <v>11</v>
      </c>
    </row>
    <row r="2924" spans="1:21" x14ac:dyDescent="0.25">
      <c r="A2924">
        <v>24567246</v>
      </c>
      <c r="B2924" t="s">
        <v>340</v>
      </c>
      <c r="C2924" t="s">
        <v>86</v>
      </c>
      <c r="D2924" t="s">
        <v>12</v>
      </c>
      <c r="E2924" t="s">
        <v>629</v>
      </c>
      <c r="F2924" t="s">
        <v>391</v>
      </c>
      <c r="G2924" t="s">
        <v>369</v>
      </c>
      <c r="H2924" t="s">
        <v>855</v>
      </c>
      <c r="I2924" t="s">
        <v>611</v>
      </c>
      <c r="J2924" t="s">
        <v>854</v>
      </c>
      <c r="K2924" t="s">
        <v>850</v>
      </c>
      <c r="L2924" t="s">
        <v>0</v>
      </c>
      <c r="M2924" t="s">
        <v>408</v>
      </c>
      <c r="N2924" t="s">
        <v>11</v>
      </c>
      <c r="O2924" t="s">
        <v>11</v>
      </c>
      <c r="P2924" t="s">
        <v>0</v>
      </c>
      <c r="Q2924" t="s">
        <v>408</v>
      </c>
      <c r="R2924" t="s">
        <v>439</v>
      </c>
      <c r="S2924" t="s">
        <v>440</v>
      </c>
      <c r="T2924" t="s">
        <v>11</v>
      </c>
      <c r="U2924" t="s">
        <v>408</v>
      </c>
    </row>
    <row r="2925" spans="1:21" x14ac:dyDescent="0.25">
      <c r="A2925">
        <v>24567247</v>
      </c>
      <c r="B2925" t="s">
        <v>342</v>
      </c>
      <c r="C2925" t="s">
        <v>89</v>
      </c>
      <c r="D2925" t="s">
        <v>18</v>
      </c>
      <c r="E2925" t="s">
        <v>629</v>
      </c>
      <c r="F2925" t="s">
        <v>391</v>
      </c>
      <c r="G2925" t="s">
        <v>369</v>
      </c>
      <c r="H2925" t="s">
        <v>853</v>
      </c>
      <c r="I2925" t="s">
        <v>852</v>
      </c>
      <c r="J2925" t="s">
        <v>851</v>
      </c>
      <c r="K2925" t="s">
        <v>850</v>
      </c>
      <c r="L2925" t="s">
        <v>353</v>
      </c>
      <c r="M2925" t="s">
        <v>408</v>
      </c>
      <c r="N2925" t="s">
        <v>11</v>
      </c>
      <c r="O2925" t="s">
        <v>11</v>
      </c>
      <c r="P2925" t="s">
        <v>0</v>
      </c>
      <c r="Q2925" t="s">
        <v>11</v>
      </c>
      <c r="R2925" t="s">
        <v>439</v>
      </c>
      <c r="S2925" t="s">
        <v>440</v>
      </c>
      <c r="T2925" t="s">
        <v>11</v>
      </c>
      <c r="U2925" t="s">
        <v>11</v>
      </c>
    </row>
    <row r="2926" spans="1:21" x14ac:dyDescent="0.25">
      <c r="A2926">
        <v>24567248</v>
      </c>
      <c r="B2926" t="s">
        <v>340</v>
      </c>
      <c r="C2926" t="s">
        <v>86</v>
      </c>
      <c r="D2926" t="s">
        <v>12</v>
      </c>
      <c r="E2926" t="s">
        <v>629</v>
      </c>
      <c r="F2926" t="s">
        <v>392</v>
      </c>
      <c r="G2926" t="s">
        <v>369</v>
      </c>
      <c r="H2926" t="s">
        <v>855</v>
      </c>
      <c r="I2926" t="s">
        <v>611</v>
      </c>
      <c r="J2926" t="s">
        <v>854</v>
      </c>
      <c r="K2926" t="s">
        <v>850</v>
      </c>
      <c r="L2926" t="s">
        <v>0</v>
      </c>
      <c r="M2926" t="s">
        <v>408</v>
      </c>
      <c r="N2926" t="s">
        <v>11</v>
      </c>
      <c r="O2926" t="s">
        <v>11</v>
      </c>
      <c r="P2926" t="s">
        <v>0</v>
      </c>
      <c r="Q2926" t="s">
        <v>408</v>
      </c>
      <c r="R2926" t="s">
        <v>439</v>
      </c>
      <c r="S2926" t="s">
        <v>440</v>
      </c>
      <c r="T2926" t="s">
        <v>11</v>
      </c>
      <c r="U2926" t="s">
        <v>408</v>
      </c>
    </row>
    <row r="2927" spans="1:21" x14ac:dyDescent="0.25">
      <c r="A2927">
        <v>24567249</v>
      </c>
      <c r="B2927" t="s">
        <v>342</v>
      </c>
      <c r="C2927" t="s">
        <v>89</v>
      </c>
      <c r="D2927" t="s">
        <v>12</v>
      </c>
      <c r="E2927" t="s">
        <v>629</v>
      </c>
      <c r="F2927" t="s">
        <v>392</v>
      </c>
      <c r="G2927" t="s">
        <v>369</v>
      </c>
      <c r="H2927" t="s">
        <v>853</v>
      </c>
      <c r="I2927" t="s">
        <v>852</v>
      </c>
      <c r="J2927" t="s">
        <v>851</v>
      </c>
      <c r="K2927" t="s">
        <v>850</v>
      </c>
      <c r="L2927" t="s">
        <v>353</v>
      </c>
      <c r="M2927" t="s">
        <v>408</v>
      </c>
      <c r="N2927" t="s">
        <v>11</v>
      </c>
      <c r="O2927" t="s">
        <v>11</v>
      </c>
      <c r="P2927" t="s">
        <v>0</v>
      </c>
      <c r="Q2927" t="s">
        <v>11</v>
      </c>
      <c r="R2927" t="s">
        <v>439</v>
      </c>
      <c r="S2927" t="s">
        <v>440</v>
      </c>
      <c r="T2927" t="s">
        <v>11</v>
      </c>
      <c r="U2927" t="s">
        <v>11</v>
      </c>
    </row>
    <row r="2928" spans="1:21" x14ac:dyDescent="0.25">
      <c r="A2928">
        <v>24567250</v>
      </c>
      <c r="B2928" t="s">
        <v>342</v>
      </c>
      <c r="C2928" t="s">
        <v>89</v>
      </c>
      <c r="D2928" t="s">
        <v>12</v>
      </c>
      <c r="E2928" t="s">
        <v>629</v>
      </c>
      <c r="F2928" t="s">
        <v>392</v>
      </c>
      <c r="G2928" t="s">
        <v>369</v>
      </c>
      <c r="H2928" t="s">
        <v>863</v>
      </c>
      <c r="I2928" t="s">
        <v>852</v>
      </c>
      <c r="J2928" t="s">
        <v>862</v>
      </c>
      <c r="K2928" t="s">
        <v>444</v>
      </c>
      <c r="L2928" t="s">
        <v>353</v>
      </c>
      <c r="M2928" t="s">
        <v>408</v>
      </c>
      <c r="N2928" t="s">
        <v>11</v>
      </c>
      <c r="O2928" t="s">
        <v>11</v>
      </c>
      <c r="P2928" t="s">
        <v>0</v>
      </c>
      <c r="Q2928" t="s">
        <v>11</v>
      </c>
      <c r="R2928" t="s">
        <v>439</v>
      </c>
      <c r="S2928" t="s">
        <v>440</v>
      </c>
      <c r="T2928" t="s">
        <v>11</v>
      </c>
      <c r="U2928" t="s">
        <v>11</v>
      </c>
    </row>
    <row r="2929" spans="1:21" x14ac:dyDescent="0.25">
      <c r="A2929">
        <v>24567252</v>
      </c>
      <c r="B2929" t="s">
        <v>340</v>
      </c>
      <c r="C2929" t="s">
        <v>86</v>
      </c>
      <c r="D2929" t="s">
        <v>12</v>
      </c>
      <c r="E2929" t="s">
        <v>630</v>
      </c>
      <c r="F2929" t="s">
        <v>383</v>
      </c>
      <c r="G2929" t="s">
        <v>369</v>
      </c>
      <c r="H2929" t="s">
        <v>855</v>
      </c>
      <c r="I2929" t="s">
        <v>611</v>
      </c>
      <c r="J2929" t="s">
        <v>854</v>
      </c>
      <c r="K2929" t="s">
        <v>850</v>
      </c>
      <c r="L2929" t="s">
        <v>0</v>
      </c>
      <c r="M2929" t="s">
        <v>408</v>
      </c>
      <c r="N2929" t="s">
        <v>11</v>
      </c>
      <c r="O2929" t="s">
        <v>11</v>
      </c>
      <c r="P2929" t="s">
        <v>0</v>
      </c>
      <c r="Q2929" t="s">
        <v>408</v>
      </c>
      <c r="R2929" t="s">
        <v>439</v>
      </c>
      <c r="S2929" t="s">
        <v>440</v>
      </c>
      <c r="T2929" t="s">
        <v>11</v>
      </c>
      <c r="U2929" t="s">
        <v>408</v>
      </c>
    </row>
    <row r="2930" spans="1:21" x14ac:dyDescent="0.25">
      <c r="A2930">
        <v>24567253</v>
      </c>
      <c r="B2930" t="s">
        <v>342</v>
      </c>
      <c r="C2930" t="s">
        <v>89</v>
      </c>
      <c r="D2930" t="s">
        <v>12</v>
      </c>
      <c r="E2930" t="s">
        <v>630</v>
      </c>
      <c r="F2930" t="s">
        <v>383</v>
      </c>
      <c r="G2930" t="s">
        <v>369</v>
      </c>
      <c r="H2930" t="s">
        <v>853</v>
      </c>
      <c r="I2930" t="s">
        <v>852</v>
      </c>
      <c r="J2930" t="s">
        <v>851</v>
      </c>
      <c r="K2930" t="s">
        <v>850</v>
      </c>
      <c r="L2930" t="s">
        <v>353</v>
      </c>
      <c r="M2930" t="s">
        <v>408</v>
      </c>
      <c r="N2930" t="s">
        <v>11</v>
      </c>
      <c r="O2930" t="s">
        <v>11</v>
      </c>
      <c r="P2930" t="s">
        <v>0</v>
      </c>
      <c r="Q2930" t="s">
        <v>11</v>
      </c>
      <c r="R2930" t="s">
        <v>439</v>
      </c>
      <c r="S2930" t="s">
        <v>440</v>
      </c>
      <c r="T2930" t="s">
        <v>11</v>
      </c>
      <c r="U2930" t="s">
        <v>11</v>
      </c>
    </row>
    <row r="2931" spans="1:21" x14ac:dyDescent="0.25">
      <c r="A2931">
        <v>24567257</v>
      </c>
      <c r="B2931" t="s">
        <v>342</v>
      </c>
      <c r="C2931" t="s">
        <v>89</v>
      </c>
      <c r="D2931" t="s">
        <v>12</v>
      </c>
      <c r="E2931" t="s">
        <v>629</v>
      </c>
      <c r="F2931" t="s">
        <v>392</v>
      </c>
      <c r="G2931" t="s">
        <v>369</v>
      </c>
      <c r="H2931" t="s">
        <v>853</v>
      </c>
      <c r="I2931" t="s">
        <v>852</v>
      </c>
      <c r="J2931" t="s">
        <v>851</v>
      </c>
      <c r="K2931" t="s">
        <v>850</v>
      </c>
      <c r="L2931" t="s">
        <v>353</v>
      </c>
      <c r="M2931" t="s">
        <v>408</v>
      </c>
      <c r="N2931" t="s">
        <v>11</v>
      </c>
      <c r="O2931" t="s">
        <v>11</v>
      </c>
      <c r="P2931" t="s">
        <v>0</v>
      </c>
      <c r="Q2931" t="s">
        <v>11</v>
      </c>
      <c r="R2931" t="s">
        <v>439</v>
      </c>
      <c r="S2931" t="s">
        <v>440</v>
      </c>
      <c r="T2931" t="s">
        <v>11</v>
      </c>
      <c r="U2931" t="s">
        <v>11</v>
      </c>
    </row>
    <row r="2932" spans="1:21" x14ac:dyDescent="0.25">
      <c r="A2932">
        <v>24567263</v>
      </c>
      <c r="B2932" t="s">
        <v>340</v>
      </c>
      <c r="C2932" t="s">
        <v>86</v>
      </c>
      <c r="D2932" t="s">
        <v>12</v>
      </c>
      <c r="E2932" t="s">
        <v>629</v>
      </c>
      <c r="F2932" t="s">
        <v>392</v>
      </c>
      <c r="G2932" t="s">
        <v>369</v>
      </c>
      <c r="H2932" t="s">
        <v>855</v>
      </c>
      <c r="I2932" t="s">
        <v>611</v>
      </c>
      <c r="J2932" t="s">
        <v>854</v>
      </c>
      <c r="K2932" t="s">
        <v>850</v>
      </c>
      <c r="L2932" t="s">
        <v>0</v>
      </c>
      <c r="M2932" t="s">
        <v>408</v>
      </c>
      <c r="N2932" t="s">
        <v>11</v>
      </c>
      <c r="O2932" t="s">
        <v>11</v>
      </c>
      <c r="P2932" t="s">
        <v>0</v>
      </c>
      <c r="Q2932" t="s">
        <v>408</v>
      </c>
      <c r="R2932" t="s">
        <v>439</v>
      </c>
      <c r="S2932" t="s">
        <v>440</v>
      </c>
      <c r="T2932" t="s">
        <v>11</v>
      </c>
      <c r="U2932" t="s">
        <v>408</v>
      </c>
    </row>
    <row r="2933" spans="1:21" x14ac:dyDescent="0.25">
      <c r="A2933">
        <v>24567266</v>
      </c>
      <c r="B2933" t="s">
        <v>340</v>
      </c>
      <c r="C2933" t="s">
        <v>86</v>
      </c>
      <c r="D2933" t="s">
        <v>12</v>
      </c>
      <c r="E2933" t="s">
        <v>629</v>
      </c>
      <c r="F2933" t="s">
        <v>392</v>
      </c>
      <c r="G2933" t="s">
        <v>369</v>
      </c>
      <c r="H2933" t="s">
        <v>855</v>
      </c>
      <c r="I2933" t="s">
        <v>611</v>
      </c>
      <c r="J2933" t="s">
        <v>854</v>
      </c>
      <c r="K2933" t="s">
        <v>850</v>
      </c>
      <c r="L2933" t="s">
        <v>0</v>
      </c>
      <c r="M2933" t="s">
        <v>408</v>
      </c>
      <c r="N2933" t="s">
        <v>11</v>
      </c>
      <c r="O2933" t="s">
        <v>11</v>
      </c>
      <c r="P2933" t="s">
        <v>0</v>
      </c>
      <c r="Q2933" t="s">
        <v>408</v>
      </c>
      <c r="R2933" t="s">
        <v>439</v>
      </c>
      <c r="S2933" t="s">
        <v>440</v>
      </c>
      <c r="T2933" t="s">
        <v>11</v>
      </c>
      <c r="U2933" t="s">
        <v>408</v>
      </c>
    </row>
    <row r="2934" spans="1:21" x14ac:dyDescent="0.25">
      <c r="A2934">
        <v>24567268</v>
      </c>
      <c r="B2934" t="s">
        <v>342</v>
      </c>
      <c r="C2934" t="s">
        <v>89</v>
      </c>
      <c r="D2934" t="s">
        <v>12</v>
      </c>
      <c r="E2934" t="s">
        <v>630</v>
      </c>
      <c r="F2934" t="s">
        <v>382</v>
      </c>
      <c r="G2934" t="s">
        <v>369</v>
      </c>
      <c r="H2934" t="s">
        <v>853</v>
      </c>
      <c r="I2934" t="s">
        <v>852</v>
      </c>
      <c r="J2934" t="s">
        <v>851</v>
      </c>
      <c r="K2934" t="s">
        <v>850</v>
      </c>
      <c r="L2934" t="s">
        <v>353</v>
      </c>
      <c r="M2934" t="s">
        <v>408</v>
      </c>
      <c r="N2934" t="s">
        <v>11</v>
      </c>
      <c r="O2934" t="s">
        <v>11</v>
      </c>
      <c r="P2934" t="s">
        <v>0</v>
      </c>
      <c r="Q2934" t="s">
        <v>11</v>
      </c>
      <c r="R2934" t="s">
        <v>439</v>
      </c>
      <c r="S2934" t="s">
        <v>440</v>
      </c>
      <c r="T2934" t="s">
        <v>11</v>
      </c>
      <c r="U2934" t="s">
        <v>11</v>
      </c>
    </row>
    <row r="2935" spans="1:21" x14ac:dyDescent="0.25">
      <c r="A2935">
        <v>24567269</v>
      </c>
      <c r="B2935" t="s">
        <v>342</v>
      </c>
      <c r="C2935" t="s">
        <v>89</v>
      </c>
      <c r="D2935" t="s">
        <v>12</v>
      </c>
      <c r="E2935" t="s">
        <v>755</v>
      </c>
      <c r="F2935" t="s">
        <v>394</v>
      </c>
      <c r="G2935" t="s">
        <v>369</v>
      </c>
      <c r="H2935" t="s">
        <v>631</v>
      </c>
      <c r="I2935" t="s">
        <v>632</v>
      </c>
      <c r="J2935" t="s">
        <v>633</v>
      </c>
      <c r="K2935" t="s">
        <v>453</v>
      </c>
      <c r="L2935" t="s">
        <v>0</v>
      </c>
      <c r="M2935" t="s">
        <v>408</v>
      </c>
      <c r="N2935" t="s">
        <v>11</v>
      </c>
      <c r="O2935" t="s">
        <v>11</v>
      </c>
      <c r="P2935" t="s">
        <v>0</v>
      </c>
      <c r="Q2935" t="s">
        <v>408</v>
      </c>
      <c r="R2935" t="s">
        <v>439</v>
      </c>
      <c r="S2935" t="s">
        <v>451</v>
      </c>
      <c r="T2935" t="s">
        <v>11</v>
      </c>
      <c r="U2935" t="s">
        <v>408</v>
      </c>
    </row>
    <row r="2936" spans="1:21" x14ac:dyDescent="0.25">
      <c r="A2936">
        <v>24567270</v>
      </c>
      <c r="B2936" t="s">
        <v>342</v>
      </c>
      <c r="C2936" t="s">
        <v>89</v>
      </c>
      <c r="D2936" t="s">
        <v>12</v>
      </c>
      <c r="E2936" t="s">
        <v>630</v>
      </c>
      <c r="F2936" t="s">
        <v>382</v>
      </c>
      <c r="G2936" t="s">
        <v>369</v>
      </c>
      <c r="H2936" t="s">
        <v>853</v>
      </c>
      <c r="I2936" t="s">
        <v>852</v>
      </c>
      <c r="J2936" t="s">
        <v>851</v>
      </c>
      <c r="K2936" t="s">
        <v>850</v>
      </c>
      <c r="L2936" t="s">
        <v>353</v>
      </c>
      <c r="M2936" t="s">
        <v>408</v>
      </c>
      <c r="N2936" t="s">
        <v>11</v>
      </c>
      <c r="O2936" t="s">
        <v>11</v>
      </c>
      <c r="P2936" t="s">
        <v>0</v>
      </c>
      <c r="Q2936" t="s">
        <v>11</v>
      </c>
      <c r="R2936" t="s">
        <v>439</v>
      </c>
      <c r="S2936" t="s">
        <v>440</v>
      </c>
      <c r="T2936" t="s">
        <v>11</v>
      </c>
      <c r="U2936" t="s">
        <v>11</v>
      </c>
    </row>
    <row r="2937" spans="1:21" x14ac:dyDescent="0.25">
      <c r="A2937">
        <v>24567271</v>
      </c>
      <c r="B2937" t="s">
        <v>342</v>
      </c>
      <c r="C2937" t="s">
        <v>89</v>
      </c>
      <c r="D2937" t="s">
        <v>12</v>
      </c>
      <c r="E2937" t="s">
        <v>630</v>
      </c>
      <c r="F2937" t="s">
        <v>382</v>
      </c>
      <c r="G2937" t="s">
        <v>369</v>
      </c>
      <c r="H2937" t="s">
        <v>853</v>
      </c>
      <c r="I2937" t="s">
        <v>852</v>
      </c>
      <c r="J2937" t="s">
        <v>851</v>
      </c>
      <c r="K2937" t="s">
        <v>850</v>
      </c>
      <c r="L2937" t="s">
        <v>353</v>
      </c>
      <c r="M2937" t="s">
        <v>408</v>
      </c>
      <c r="N2937" t="s">
        <v>11</v>
      </c>
      <c r="O2937" t="s">
        <v>11</v>
      </c>
      <c r="P2937" t="s">
        <v>0</v>
      </c>
      <c r="Q2937" t="s">
        <v>11</v>
      </c>
      <c r="R2937" t="s">
        <v>439</v>
      </c>
      <c r="S2937" t="s">
        <v>440</v>
      </c>
      <c r="T2937" t="s">
        <v>11</v>
      </c>
      <c r="U2937" t="s">
        <v>11</v>
      </c>
    </row>
    <row r="2938" spans="1:21" x14ac:dyDescent="0.25">
      <c r="A2938">
        <v>24567272</v>
      </c>
      <c r="B2938" t="s">
        <v>342</v>
      </c>
      <c r="C2938" t="s">
        <v>89</v>
      </c>
      <c r="D2938" t="s">
        <v>12</v>
      </c>
      <c r="E2938" t="s">
        <v>629</v>
      </c>
      <c r="F2938" t="s">
        <v>392</v>
      </c>
      <c r="G2938" t="s">
        <v>369</v>
      </c>
      <c r="H2938" t="s">
        <v>853</v>
      </c>
      <c r="I2938" t="s">
        <v>852</v>
      </c>
      <c r="J2938" t="s">
        <v>851</v>
      </c>
      <c r="K2938" t="s">
        <v>850</v>
      </c>
      <c r="L2938" t="s">
        <v>353</v>
      </c>
      <c r="M2938" t="s">
        <v>408</v>
      </c>
      <c r="N2938" t="s">
        <v>11</v>
      </c>
      <c r="O2938" t="s">
        <v>11</v>
      </c>
      <c r="P2938" t="s">
        <v>0</v>
      </c>
      <c r="Q2938" t="s">
        <v>11</v>
      </c>
      <c r="R2938" t="s">
        <v>439</v>
      </c>
      <c r="S2938" t="s">
        <v>440</v>
      </c>
      <c r="T2938" t="s">
        <v>11</v>
      </c>
      <c r="U2938" t="s">
        <v>11</v>
      </c>
    </row>
    <row r="2939" spans="1:21" x14ac:dyDescent="0.25">
      <c r="A2939">
        <v>24567273</v>
      </c>
      <c r="B2939" t="s">
        <v>342</v>
      </c>
      <c r="C2939" t="s">
        <v>89</v>
      </c>
      <c r="D2939" t="s">
        <v>12</v>
      </c>
      <c r="E2939" t="s">
        <v>630</v>
      </c>
      <c r="F2939" t="s">
        <v>381</v>
      </c>
      <c r="G2939" t="s">
        <v>369</v>
      </c>
      <c r="H2939" t="s">
        <v>863</v>
      </c>
      <c r="I2939" t="s">
        <v>852</v>
      </c>
      <c r="J2939" t="s">
        <v>862</v>
      </c>
      <c r="K2939" t="s">
        <v>444</v>
      </c>
      <c r="L2939" t="s">
        <v>353</v>
      </c>
      <c r="M2939" t="s">
        <v>408</v>
      </c>
      <c r="N2939" t="s">
        <v>11</v>
      </c>
      <c r="O2939" t="s">
        <v>11</v>
      </c>
      <c r="P2939" t="s">
        <v>0</v>
      </c>
      <c r="Q2939" t="s">
        <v>11</v>
      </c>
      <c r="R2939" t="s">
        <v>439</v>
      </c>
      <c r="S2939" t="s">
        <v>440</v>
      </c>
      <c r="T2939" t="s">
        <v>11</v>
      </c>
      <c r="U2939" t="s">
        <v>11</v>
      </c>
    </row>
    <row r="2940" spans="1:21" x14ac:dyDescent="0.25">
      <c r="A2940">
        <v>24567274</v>
      </c>
      <c r="B2940" t="s">
        <v>342</v>
      </c>
      <c r="C2940" t="s">
        <v>89</v>
      </c>
      <c r="D2940" t="s">
        <v>12</v>
      </c>
      <c r="E2940" t="s">
        <v>629</v>
      </c>
      <c r="F2940" t="s">
        <v>393</v>
      </c>
      <c r="G2940" t="s">
        <v>369</v>
      </c>
      <c r="H2940" t="s">
        <v>853</v>
      </c>
      <c r="I2940" t="s">
        <v>852</v>
      </c>
      <c r="J2940" t="s">
        <v>851</v>
      </c>
      <c r="K2940" t="s">
        <v>850</v>
      </c>
      <c r="L2940" t="s">
        <v>353</v>
      </c>
      <c r="M2940" t="s">
        <v>408</v>
      </c>
      <c r="N2940" t="s">
        <v>11</v>
      </c>
      <c r="O2940" t="s">
        <v>11</v>
      </c>
      <c r="P2940" t="s">
        <v>0</v>
      </c>
      <c r="Q2940" t="s">
        <v>11</v>
      </c>
      <c r="R2940" t="s">
        <v>439</v>
      </c>
      <c r="S2940" t="s">
        <v>440</v>
      </c>
      <c r="T2940" t="s">
        <v>11</v>
      </c>
      <c r="U2940" t="s">
        <v>11</v>
      </c>
    </row>
    <row r="2941" spans="1:21" x14ac:dyDescent="0.25">
      <c r="A2941">
        <v>24567275</v>
      </c>
      <c r="B2941" t="s">
        <v>342</v>
      </c>
      <c r="C2941" t="s">
        <v>89</v>
      </c>
      <c r="D2941" t="s">
        <v>12</v>
      </c>
      <c r="E2941" t="s">
        <v>629</v>
      </c>
      <c r="F2941" t="s">
        <v>393</v>
      </c>
      <c r="G2941" t="s">
        <v>369</v>
      </c>
      <c r="H2941" t="s">
        <v>853</v>
      </c>
      <c r="I2941" t="s">
        <v>852</v>
      </c>
      <c r="J2941" t="s">
        <v>851</v>
      </c>
      <c r="K2941" t="s">
        <v>850</v>
      </c>
      <c r="L2941" t="s">
        <v>353</v>
      </c>
      <c r="M2941" t="s">
        <v>408</v>
      </c>
      <c r="N2941" t="s">
        <v>11</v>
      </c>
      <c r="O2941" t="s">
        <v>11</v>
      </c>
      <c r="P2941" t="s">
        <v>0</v>
      </c>
      <c r="Q2941" t="s">
        <v>11</v>
      </c>
      <c r="R2941" t="s">
        <v>439</v>
      </c>
      <c r="S2941" t="s">
        <v>440</v>
      </c>
      <c r="T2941" t="s">
        <v>11</v>
      </c>
      <c r="U2941" t="s">
        <v>11</v>
      </c>
    </row>
    <row r="2942" spans="1:21" x14ac:dyDescent="0.25">
      <c r="A2942">
        <v>24567277</v>
      </c>
      <c r="B2942" t="s">
        <v>342</v>
      </c>
      <c r="C2942" t="s">
        <v>13</v>
      </c>
      <c r="D2942" t="s">
        <v>12</v>
      </c>
      <c r="E2942" t="s">
        <v>629</v>
      </c>
      <c r="F2942" t="s">
        <v>395</v>
      </c>
      <c r="G2942" t="s">
        <v>468</v>
      </c>
      <c r="H2942" t="s">
        <v>447</v>
      </c>
      <c r="I2942" t="s">
        <v>448</v>
      </c>
      <c r="J2942" t="s">
        <v>449</v>
      </c>
      <c r="K2942" t="s">
        <v>450</v>
      </c>
      <c r="L2942" t="s">
        <v>367</v>
      </c>
      <c r="M2942" t="s">
        <v>408</v>
      </c>
      <c r="N2942" t="s">
        <v>11</v>
      </c>
      <c r="O2942" t="s">
        <v>408</v>
      </c>
      <c r="P2942" t="s">
        <v>0</v>
      </c>
      <c r="Q2942" t="s">
        <v>408</v>
      </c>
      <c r="R2942" t="s">
        <v>439</v>
      </c>
      <c r="S2942" t="s">
        <v>451</v>
      </c>
      <c r="T2942" t="s">
        <v>11</v>
      </c>
      <c r="U2942" t="s">
        <v>408</v>
      </c>
    </row>
    <row r="2943" spans="1:21" x14ac:dyDescent="0.25">
      <c r="A2943">
        <v>24567278</v>
      </c>
      <c r="B2943" t="s">
        <v>342</v>
      </c>
      <c r="C2943" t="s">
        <v>89</v>
      </c>
      <c r="D2943" t="s">
        <v>12</v>
      </c>
      <c r="E2943" t="s">
        <v>630</v>
      </c>
      <c r="F2943" t="s">
        <v>381</v>
      </c>
      <c r="G2943" t="s">
        <v>369</v>
      </c>
      <c r="H2943" t="s">
        <v>863</v>
      </c>
      <c r="I2943" t="s">
        <v>852</v>
      </c>
      <c r="J2943" t="s">
        <v>862</v>
      </c>
      <c r="K2943" t="s">
        <v>444</v>
      </c>
      <c r="L2943" t="s">
        <v>353</v>
      </c>
      <c r="M2943" t="s">
        <v>408</v>
      </c>
      <c r="N2943" t="s">
        <v>11</v>
      </c>
      <c r="O2943" t="s">
        <v>11</v>
      </c>
      <c r="P2943" t="s">
        <v>0</v>
      </c>
      <c r="Q2943" t="s">
        <v>11</v>
      </c>
      <c r="R2943" t="s">
        <v>439</v>
      </c>
      <c r="S2943" t="s">
        <v>440</v>
      </c>
      <c r="T2943" t="s">
        <v>11</v>
      </c>
      <c r="U2943" t="s">
        <v>11</v>
      </c>
    </row>
    <row r="2944" spans="1:21" x14ac:dyDescent="0.25">
      <c r="A2944">
        <v>24567279</v>
      </c>
      <c r="B2944" t="s">
        <v>342</v>
      </c>
      <c r="C2944" t="s">
        <v>89</v>
      </c>
      <c r="D2944" t="s">
        <v>12</v>
      </c>
      <c r="E2944" t="s">
        <v>629</v>
      </c>
      <c r="F2944" t="s">
        <v>392</v>
      </c>
      <c r="G2944" t="s">
        <v>369</v>
      </c>
      <c r="H2944" t="s">
        <v>863</v>
      </c>
      <c r="I2944" t="s">
        <v>852</v>
      </c>
      <c r="J2944" t="s">
        <v>862</v>
      </c>
      <c r="K2944" t="s">
        <v>444</v>
      </c>
      <c r="L2944" t="s">
        <v>353</v>
      </c>
      <c r="M2944" t="s">
        <v>408</v>
      </c>
      <c r="N2944" t="s">
        <v>11</v>
      </c>
      <c r="O2944" t="s">
        <v>11</v>
      </c>
      <c r="P2944" t="s">
        <v>0</v>
      </c>
      <c r="Q2944" t="s">
        <v>11</v>
      </c>
      <c r="R2944" t="s">
        <v>439</v>
      </c>
      <c r="S2944" t="s">
        <v>440</v>
      </c>
      <c r="T2944" t="s">
        <v>11</v>
      </c>
      <c r="U2944" t="s">
        <v>11</v>
      </c>
    </row>
    <row r="2945" spans="1:21" x14ac:dyDescent="0.25">
      <c r="A2945">
        <v>24567280</v>
      </c>
      <c r="B2945" t="s">
        <v>342</v>
      </c>
      <c r="C2945" t="s">
        <v>89</v>
      </c>
      <c r="D2945" t="s">
        <v>12</v>
      </c>
      <c r="E2945" t="s">
        <v>755</v>
      </c>
      <c r="F2945" t="s">
        <v>394</v>
      </c>
      <c r="G2945" t="s">
        <v>369</v>
      </c>
      <c r="H2945" t="s">
        <v>858</v>
      </c>
      <c r="I2945" t="s">
        <v>852</v>
      </c>
      <c r="J2945" t="s">
        <v>857</v>
      </c>
      <c r="K2945" t="s">
        <v>856</v>
      </c>
      <c r="L2945" t="s">
        <v>353</v>
      </c>
      <c r="M2945" t="s">
        <v>408</v>
      </c>
      <c r="N2945" t="s">
        <v>11</v>
      </c>
      <c r="O2945" t="s">
        <v>11</v>
      </c>
      <c r="P2945" t="s">
        <v>0</v>
      </c>
      <c r="Q2945" t="s">
        <v>11</v>
      </c>
      <c r="R2945" t="s">
        <v>439</v>
      </c>
      <c r="S2945" t="s">
        <v>440</v>
      </c>
      <c r="T2945" t="s">
        <v>11</v>
      </c>
      <c r="U2945" t="s">
        <v>11</v>
      </c>
    </row>
    <row r="2946" spans="1:21" x14ac:dyDescent="0.25">
      <c r="A2946">
        <v>24567282</v>
      </c>
      <c r="B2946" t="s">
        <v>342</v>
      </c>
      <c r="C2946" t="s">
        <v>89</v>
      </c>
      <c r="D2946" t="s">
        <v>79</v>
      </c>
      <c r="E2946" t="s">
        <v>629</v>
      </c>
      <c r="F2946" t="s">
        <v>392</v>
      </c>
      <c r="G2946" t="s">
        <v>369</v>
      </c>
      <c r="H2946" t="s">
        <v>861</v>
      </c>
      <c r="I2946" t="s">
        <v>860</v>
      </c>
      <c r="J2946" t="s">
        <v>859</v>
      </c>
      <c r="K2946" t="s">
        <v>450</v>
      </c>
      <c r="L2946" t="s">
        <v>367</v>
      </c>
      <c r="M2946" t="s">
        <v>408</v>
      </c>
      <c r="N2946" t="s">
        <v>11</v>
      </c>
      <c r="O2946" t="s">
        <v>11</v>
      </c>
      <c r="P2946" t="s">
        <v>0</v>
      </c>
      <c r="Q2946" t="s">
        <v>408</v>
      </c>
      <c r="R2946" t="s">
        <v>439</v>
      </c>
      <c r="S2946" t="s">
        <v>440</v>
      </c>
      <c r="T2946" t="s">
        <v>11</v>
      </c>
      <c r="U2946" t="s">
        <v>408</v>
      </c>
    </row>
    <row r="2947" spans="1:21" x14ac:dyDescent="0.25">
      <c r="A2947">
        <v>24567283</v>
      </c>
      <c r="B2947" t="s">
        <v>340</v>
      </c>
      <c r="C2947" t="s">
        <v>86</v>
      </c>
      <c r="D2947" t="s">
        <v>12</v>
      </c>
      <c r="E2947" t="s">
        <v>630</v>
      </c>
      <c r="F2947" t="s">
        <v>383</v>
      </c>
      <c r="G2947" t="s">
        <v>369</v>
      </c>
      <c r="H2947" t="s">
        <v>855</v>
      </c>
      <c r="I2947" t="s">
        <v>611</v>
      </c>
      <c r="J2947" t="s">
        <v>854</v>
      </c>
      <c r="K2947" t="s">
        <v>850</v>
      </c>
      <c r="L2947" t="s">
        <v>0</v>
      </c>
      <c r="M2947" t="s">
        <v>408</v>
      </c>
      <c r="N2947" t="s">
        <v>11</v>
      </c>
      <c r="O2947" t="s">
        <v>11</v>
      </c>
      <c r="P2947" t="s">
        <v>0</v>
      </c>
      <c r="Q2947" t="s">
        <v>408</v>
      </c>
      <c r="R2947" t="s">
        <v>439</v>
      </c>
      <c r="S2947" t="s">
        <v>440</v>
      </c>
      <c r="T2947" t="s">
        <v>11</v>
      </c>
      <c r="U2947" t="s">
        <v>408</v>
      </c>
    </row>
    <row r="2948" spans="1:21" x14ac:dyDescent="0.25">
      <c r="A2948">
        <v>24567284</v>
      </c>
      <c r="B2948" t="s">
        <v>342</v>
      </c>
      <c r="C2948" t="s">
        <v>89</v>
      </c>
      <c r="D2948" t="s">
        <v>12</v>
      </c>
      <c r="E2948" t="s">
        <v>630</v>
      </c>
      <c r="F2948" t="s">
        <v>383</v>
      </c>
      <c r="G2948" t="s">
        <v>369</v>
      </c>
      <c r="H2948" t="s">
        <v>853</v>
      </c>
      <c r="I2948" t="s">
        <v>852</v>
      </c>
      <c r="J2948" t="s">
        <v>851</v>
      </c>
      <c r="K2948" t="s">
        <v>850</v>
      </c>
      <c r="L2948" t="s">
        <v>353</v>
      </c>
      <c r="M2948" t="s">
        <v>408</v>
      </c>
      <c r="N2948" t="s">
        <v>11</v>
      </c>
      <c r="O2948" t="s">
        <v>11</v>
      </c>
      <c r="P2948" t="s">
        <v>0</v>
      </c>
      <c r="Q2948" t="s">
        <v>11</v>
      </c>
      <c r="R2948" t="s">
        <v>439</v>
      </c>
      <c r="S2948" t="s">
        <v>440</v>
      </c>
      <c r="T2948" t="s">
        <v>11</v>
      </c>
      <c r="U2948" t="s">
        <v>11</v>
      </c>
    </row>
    <row r="2949" spans="1:21" x14ac:dyDescent="0.25">
      <c r="A2949">
        <v>24567285</v>
      </c>
      <c r="B2949" t="s">
        <v>340</v>
      </c>
      <c r="C2949" t="s">
        <v>86</v>
      </c>
      <c r="D2949" t="s">
        <v>12</v>
      </c>
      <c r="E2949" t="s">
        <v>630</v>
      </c>
      <c r="F2949" t="s">
        <v>382</v>
      </c>
      <c r="G2949" t="s">
        <v>369</v>
      </c>
      <c r="H2949" t="s">
        <v>855</v>
      </c>
      <c r="I2949" t="s">
        <v>611</v>
      </c>
      <c r="J2949" t="s">
        <v>854</v>
      </c>
      <c r="K2949" t="s">
        <v>850</v>
      </c>
      <c r="L2949" t="s">
        <v>0</v>
      </c>
      <c r="M2949" t="s">
        <v>408</v>
      </c>
      <c r="N2949" t="s">
        <v>11</v>
      </c>
      <c r="O2949" t="s">
        <v>11</v>
      </c>
      <c r="P2949" t="s">
        <v>0</v>
      </c>
      <c r="Q2949" t="s">
        <v>408</v>
      </c>
      <c r="R2949" t="s">
        <v>439</v>
      </c>
      <c r="S2949" t="s">
        <v>440</v>
      </c>
      <c r="T2949" t="s">
        <v>11</v>
      </c>
      <c r="U2949" t="s">
        <v>408</v>
      </c>
    </row>
    <row r="2950" spans="1:21" x14ac:dyDescent="0.25">
      <c r="A2950">
        <v>24567286</v>
      </c>
      <c r="B2950" t="s">
        <v>342</v>
      </c>
      <c r="C2950" t="s">
        <v>89</v>
      </c>
      <c r="D2950" t="s">
        <v>12</v>
      </c>
      <c r="E2950" t="s">
        <v>630</v>
      </c>
      <c r="F2950" t="s">
        <v>383</v>
      </c>
      <c r="G2950" t="s">
        <v>369</v>
      </c>
      <c r="H2950" t="s">
        <v>853</v>
      </c>
      <c r="I2950" t="s">
        <v>852</v>
      </c>
      <c r="J2950" t="s">
        <v>851</v>
      </c>
      <c r="K2950" t="s">
        <v>850</v>
      </c>
      <c r="L2950" t="s">
        <v>353</v>
      </c>
      <c r="M2950" t="s">
        <v>408</v>
      </c>
      <c r="N2950" t="s">
        <v>11</v>
      </c>
      <c r="O2950" t="s">
        <v>11</v>
      </c>
      <c r="P2950" t="s">
        <v>0</v>
      </c>
      <c r="Q2950" t="s">
        <v>11</v>
      </c>
      <c r="R2950" t="s">
        <v>439</v>
      </c>
      <c r="S2950" t="s">
        <v>440</v>
      </c>
      <c r="T2950" t="s">
        <v>11</v>
      </c>
      <c r="U2950" t="s">
        <v>11</v>
      </c>
    </row>
    <row r="2951" spans="1:21" x14ac:dyDescent="0.25">
      <c r="A2951">
        <v>24567287</v>
      </c>
      <c r="B2951" t="s">
        <v>342</v>
      </c>
      <c r="C2951" t="s">
        <v>89</v>
      </c>
      <c r="D2951" t="s">
        <v>12</v>
      </c>
      <c r="E2951" t="s">
        <v>629</v>
      </c>
      <c r="F2951" t="s">
        <v>393</v>
      </c>
      <c r="G2951" t="s">
        <v>369</v>
      </c>
      <c r="H2951" t="s">
        <v>853</v>
      </c>
      <c r="I2951" t="s">
        <v>852</v>
      </c>
      <c r="J2951" t="s">
        <v>851</v>
      </c>
      <c r="K2951" t="s">
        <v>850</v>
      </c>
      <c r="L2951" t="s">
        <v>353</v>
      </c>
      <c r="M2951" t="s">
        <v>408</v>
      </c>
      <c r="N2951" t="s">
        <v>11</v>
      </c>
      <c r="O2951" t="s">
        <v>11</v>
      </c>
      <c r="P2951" t="s">
        <v>0</v>
      </c>
      <c r="Q2951" t="s">
        <v>11</v>
      </c>
      <c r="R2951" t="s">
        <v>439</v>
      </c>
      <c r="S2951" t="s">
        <v>440</v>
      </c>
      <c r="T2951" t="s">
        <v>11</v>
      </c>
      <c r="U2951" t="s">
        <v>11</v>
      </c>
    </row>
    <row r="2952" spans="1:21" x14ac:dyDescent="0.25">
      <c r="A2952">
        <v>24567290</v>
      </c>
      <c r="B2952" t="s">
        <v>340</v>
      </c>
      <c r="C2952" t="s">
        <v>86</v>
      </c>
      <c r="D2952" t="s">
        <v>12</v>
      </c>
      <c r="E2952" t="s">
        <v>630</v>
      </c>
      <c r="F2952" t="s">
        <v>382</v>
      </c>
      <c r="G2952" t="s">
        <v>369</v>
      </c>
      <c r="H2952" t="s">
        <v>855</v>
      </c>
      <c r="I2952" t="s">
        <v>611</v>
      </c>
      <c r="J2952" t="s">
        <v>854</v>
      </c>
      <c r="K2952" t="s">
        <v>850</v>
      </c>
      <c r="L2952" t="s">
        <v>0</v>
      </c>
      <c r="M2952" t="s">
        <v>408</v>
      </c>
      <c r="N2952" t="s">
        <v>11</v>
      </c>
      <c r="O2952" t="s">
        <v>11</v>
      </c>
      <c r="P2952" t="s">
        <v>0</v>
      </c>
      <c r="Q2952" t="s">
        <v>408</v>
      </c>
      <c r="R2952" t="s">
        <v>439</v>
      </c>
      <c r="S2952" t="s">
        <v>440</v>
      </c>
      <c r="T2952" t="s">
        <v>11</v>
      </c>
      <c r="U2952" t="s">
        <v>408</v>
      </c>
    </row>
    <row r="2953" spans="1:21" x14ac:dyDescent="0.25">
      <c r="A2953">
        <v>24567292</v>
      </c>
      <c r="B2953" t="s">
        <v>342</v>
      </c>
      <c r="C2953" t="s">
        <v>89</v>
      </c>
      <c r="D2953" t="s">
        <v>12</v>
      </c>
      <c r="E2953" t="s">
        <v>630</v>
      </c>
      <c r="F2953" t="s">
        <v>381</v>
      </c>
      <c r="G2953" t="s">
        <v>369</v>
      </c>
      <c r="H2953" t="s">
        <v>858</v>
      </c>
      <c r="I2953" t="s">
        <v>852</v>
      </c>
      <c r="J2953" t="s">
        <v>857</v>
      </c>
      <c r="K2953" t="s">
        <v>856</v>
      </c>
      <c r="L2953" t="s">
        <v>353</v>
      </c>
      <c r="M2953" t="s">
        <v>408</v>
      </c>
      <c r="N2953" t="s">
        <v>11</v>
      </c>
      <c r="O2953" t="s">
        <v>11</v>
      </c>
      <c r="P2953" t="s">
        <v>0</v>
      </c>
      <c r="Q2953" t="s">
        <v>11</v>
      </c>
      <c r="R2953" t="s">
        <v>439</v>
      </c>
      <c r="S2953" t="s">
        <v>440</v>
      </c>
      <c r="T2953" t="s">
        <v>11</v>
      </c>
      <c r="U2953" t="s">
        <v>11</v>
      </c>
    </row>
    <row r="2954" spans="1:21" x14ac:dyDescent="0.25">
      <c r="A2954">
        <v>24567295</v>
      </c>
      <c r="B2954" t="s">
        <v>340</v>
      </c>
      <c r="C2954" t="s">
        <v>15</v>
      </c>
      <c r="D2954" t="s">
        <v>12</v>
      </c>
      <c r="E2954" t="s">
        <v>629</v>
      </c>
      <c r="F2954" t="s">
        <v>393</v>
      </c>
      <c r="G2954" t="s">
        <v>468</v>
      </c>
      <c r="H2954" t="s">
        <v>1</v>
      </c>
      <c r="I2954" t="s">
        <v>469</v>
      </c>
      <c r="J2954" t="s">
        <v>445</v>
      </c>
      <c r="K2954" t="s">
        <v>438</v>
      </c>
      <c r="L2954" t="s">
        <v>0</v>
      </c>
      <c r="M2954" t="s">
        <v>408</v>
      </c>
      <c r="N2954" t="s">
        <v>11</v>
      </c>
      <c r="O2954" t="s">
        <v>11</v>
      </c>
      <c r="P2954" t="s">
        <v>0</v>
      </c>
      <c r="Q2954" t="s">
        <v>408</v>
      </c>
      <c r="R2954" t="s">
        <v>439</v>
      </c>
      <c r="S2954" t="s">
        <v>440</v>
      </c>
      <c r="T2954" t="s">
        <v>11</v>
      </c>
      <c r="U2954" t="s">
        <v>408</v>
      </c>
    </row>
    <row r="2955" spans="1:21" x14ac:dyDescent="0.25">
      <c r="A2955">
        <v>24567296</v>
      </c>
      <c r="B2955" t="s">
        <v>340</v>
      </c>
      <c r="C2955" t="s">
        <v>86</v>
      </c>
      <c r="D2955" t="s">
        <v>12</v>
      </c>
      <c r="E2955" t="s">
        <v>629</v>
      </c>
      <c r="F2955" t="s">
        <v>391</v>
      </c>
      <c r="G2955" t="s">
        <v>369</v>
      </c>
      <c r="H2955" t="s">
        <v>855</v>
      </c>
      <c r="I2955" t="s">
        <v>611</v>
      </c>
      <c r="J2955" t="s">
        <v>854</v>
      </c>
      <c r="K2955" t="s">
        <v>850</v>
      </c>
      <c r="L2955" t="s">
        <v>0</v>
      </c>
      <c r="M2955" t="s">
        <v>408</v>
      </c>
      <c r="N2955" t="s">
        <v>11</v>
      </c>
      <c r="O2955" t="s">
        <v>11</v>
      </c>
      <c r="P2955" t="s">
        <v>0</v>
      </c>
      <c r="Q2955" t="s">
        <v>408</v>
      </c>
      <c r="R2955" t="s">
        <v>439</v>
      </c>
      <c r="S2955" t="s">
        <v>440</v>
      </c>
      <c r="T2955" t="s">
        <v>11</v>
      </c>
      <c r="U2955" t="s">
        <v>408</v>
      </c>
    </row>
    <row r="2956" spans="1:21" x14ac:dyDescent="0.25">
      <c r="A2956">
        <v>24567297</v>
      </c>
      <c r="B2956" t="s">
        <v>340</v>
      </c>
      <c r="C2956" t="s">
        <v>86</v>
      </c>
      <c r="D2956" t="s">
        <v>12</v>
      </c>
      <c r="E2956" t="s">
        <v>629</v>
      </c>
      <c r="F2956" t="s">
        <v>392</v>
      </c>
      <c r="G2956" t="s">
        <v>369</v>
      </c>
      <c r="H2956" t="s">
        <v>855</v>
      </c>
      <c r="I2956" t="s">
        <v>611</v>
      </c>
      <c r="J2956" t="s">
        <v>854</v>
      </c>
      <c r="K2956" t="s">
        <v>850</v>
      </c>
      <c r="L2956" t="s">
        <v>0</v>
      </c>
      <c r="M2956" t="s">
        <v>408</v>
      </c>
      <c r="N2956" t="s">
        <v>11</v>
      </c>
      <c r="O2956" t="s">
        <v>11</v>
      </c>
      <c r="P2956" t="s">
        <v>0</v>
      </c>
      <c r="Q2956" t="s">
        <v>408</v>
      </c>
      <c r="R2956" t="s">
        <v>439</v>
      </c>
      <c r="S2956" t="s">
        <v>440</v>
      </c>
      <c r="T2956" t="s">
        <v>11</v>
      </c>
      <c r="U2956" t="s">
        <v>408</v>
      </c>
    </row>
    <row r="2957" spans="1:21" x14ac:dyDescent="0.25">
      <c r="A2957">
        <v>24567298</v>
      </c>
      <c r="B2957" t="s">
        <v>342</v>
      </c>
      <c r="C2957" t="s">
        <v>89</v>
      </c>
      <c r="D2957" t="s">
        <v>12</v>
      </c>
      <c r="E2957" t="s">
        <v>629</v>
      </c>
      <c r="F2957" t="s">
        <v>392</v>
      </c>
      <c r="G2957" t="s">
        <v>369</v>
      </c>
      <c r="H2957" t="s">
        <v>863</v>
      </c>
      <c r="I2957" t="s">
        <v>852</v>
      </c>
      <c r="J2957" t="s">
        <v>862</v>
      </c>
      <c r="K2957" t="s">
        <v>444</v>
      </c>
      <c r="L2957" t="s">
        <v>353</v>
      </c>
      <c r="M2957" t="s">
        <v>408</v>
      </c>
      <c r="N2957" t="s">
        <v>11</v>
      </c>
      <c r="O2957" t="s">
        <v>11</v>
      </c>
      <c r="P2957" t="s">
        <v>0</v>
      </c>
      <c r="Q2957" t="s">
        <v>11</v>
      </c>
      <c r="R2957" t="s">
        <v>439</v>
      </c>
      <c r="S2957" t="s">
        <v>440</v>
      </c>
      <c r="T2957" t="s">
        <v>11</v>
      </c>
      <c r="U2957" t="s">
        <v>11</v>
      </c>
    </row>
    <row r="2958" spans="1:21" x14ac:dyDescent="0.25">
      <c r="A2958">
        <v>24567299</v>
      </c>
      <c r="B2958" t="s">
        <v>342</v>
      </c>
      <c r="C2958" t="s">
        <v>89</v>
      </c>
      <c r="D2958" t="s">
        <v>12</v>
      </c>
      <c r="E2958" t="s">
        <v>629</v>
      </c>
      <c r="F2958" t="s">
        <v>392</v>
      </c>
      <c r="G2958" t="s">
        <v>369</v>
      </c>
      <c r="H2958" t="s">
        <v>861</v>
      </c>
      <c r="I2958" t="s">
        <v>860</v>
      </c>
      <c r="J2958" t="s">
        <v>859</v>
      </c>
      <c r="K2958" t="s">
        <v>450</v>
      </c>
      <c r="L2958" t="s">
        <v>367</v>
      </c>
      <c r="M2958" t="s">
        <v>408</v>
      </c>
      <c r="N2958" t="s">
        <v>11</v>
      </c>
      <c r="O2958" t="s">
        <v>11</v>
      </c>
      <c r="P2958" t="s">
        <v>0</v>
      </c>
      <c r="Q2958" t="s">
        <v>408</v>
      </c>
      <c r="R2958" t="s">
        <v>439</v>
      </c>
      <c r="S2958" t="s">
        <v>440</v>
      </c>
      <c r="T2958" t="s">
        <v>11</v>
      </c>
      <c r="U2958" t="s">
        <v>408</v>
      </c>
    </row>
    <row r="2959" spans="1:21" x14ac:dyDescent="0.25">
      <c r="A2959">
        <v>24567301</v>
      </c>
      <c r="B2959" t="s">
        <v>342</v>
      </c>
      <c r="C2959" t="s">
        <v>89</v>
      </c>
      <c r="D2959" t="s">
        <v>12</v>
      </c>
      <c r="E2959" t="s">
        <v>630</v>
      </c>
      <c r="F2959" t="s">
        <v>381</v>
      </c>
      <c r="G2959" t="s">
        <v>369</v>
      </c>
      <c r="H2959" t="s">
        <v>858</v>
      </c>
      <c r="I2959" t="s">
        <v>852</v>
      </c>
      <c r="J2959" t="s">
        <v>857</v>
      </c>
      <c r="K2959" t="s">
        <v>856</v>
      </c>
      <c r="L2959" t="s">
        <v>353</v>
      </c>
      <c r="M2959" t="s">
        <v>408</v>
      </c>
      <c r="N2959" t="s">
        <v>11</v>
      </c>
      <c r="O2959" t="s">
        <v>11</v>
      </c>
      <c r="P2959" t="s">
        <v>0</v>
      </c>
      <c r="Q2959" t="s">
        <v>11</v>
      </c>
      <c r="R2959" t="s">
        <v>439</v>
      </c>
      <c r="S2959" t="s">
        <v>440</v>
      </c>
      <c r="T2959" t="s">
        <v>11</v>
      </c>
      <c r="U2959" t="s">
        <v>11</v>
      </c>
    </row>
    <row r="2960" spans="1:21" x14ac:dyDescent="0.25">
      <c r="A2960">
        <v>24567303</v>
      </c>
      <c r="B2960" t="s">
        <v>340</v>
      </c>
      <c r="C2960" t="s">
        <v>86</v>
      </c>
      <c r="D2960" t="s">
        <v>12</v>
      </c>
      <c r="E2960" t="s">
        <v>630</v>
      </c>
      <c r="F2960" t="s">
        <v>382</v>
      </c>
      <c r="G2960" t="s">
        <v>369</v>
      </c>
      <c r="H2960" t="s">
        <v>855</v>
      </c>
      <c r="I2960" t="s">
        <v>611</v>
      </c>
      <c r="J2960" t="s">
        <v>854</v>
      </c>
      <c r="K2960" t="s">
        <v>850</v>
      </c>
      <c r="L2960" t="s">
        <v>0</v>
      </c>
      <c r="M2960" t="s">
        <v>408</v>
      </c>
      <c r="N2960" t="s">
        <v>11</v>
      </c>
      <c r="O2960" t="s">
        <v>11</v>
      </c>
      <c r="P2960" t="s">
        <v>0</v>
      </c>
      <c r="Q2960" t="s">
        <v>408</v>
      </c>
      <c r="R2960" t="s">
        <v>439</v>
      </c>
      <c r="S2960" t="s">
        <v>440</v>
      </c>
      <c r="T2960" t="s">
        <v>11</v>
      </c>
      <c r="U2960" t="s">
        <v>408</v>
      </c>
    </row>
    <row r="2961" spans="1:22" x14ac:dyDescent="0.25">
      <c r="A2961">
        <v>24567311</v>
      </c>
      <c r="B2961" t="s">
        <v>342</v>
      </c>
      <c r="C2961" t="s">
        <v>89</v>
      </c>
      <c r="D2961" t="s">
        <v>12</v>
      </c>
      <c r="E2961" t="s">
        <v>630</v>
      </c>
      <c r="F2961" t="s">
        <v>382</v>
      </c>
      <c r="G2961" t="s">
        <v>369</v>
      </c>
      <c r="H2961" t="s">
        <v>853</v>
      </c>
      <c r="I2961" t="s">
        <v>852</v>
      </c>
      <c r="J2961" t="s">
        <v>851</v>
      </c>
      <c r="K2961" t="s">
        <v>850</v>
      </c>
      <c r="L2961" t="s">
        <v>353</v>
      </c>
      <c r="M2961" t="s">
        <v>408</v>
      </c>
      <c r="N2961" t="s">
        <v>11</v>
      </c>
      <c r="O2961" t="s">
        <v>11</v>
      </c>
      <c r="P2961" t="s">
        <v>0</v>
      </c>
      <c r="Q2961" t="s">
        <v>11</v>
      </c>
      <c r="R2961" t="s">
        <v>439</v>
      </c>
      <c r="S2961" t="s">
        <v>440</v>
      </c>
      <c r="T2961" t="s">
        <v>11</v>
      </c>
      <c r="U2961" t="s">
        <v>11</v>
      </c>
    </row>
    <row r="2962" spans="1:22" x14ac:dyDescent="0.25">
      <c r="A2962">
        <v>24567387</v>
      </c>
      <c r="B2962" t="s">
        <v>342</v>
      </c>
      <c r="C2962" t="s">
        <v>13</v>
      </c>
      <c r="D2962" t="s">
        <v>12</v>
      </c>
      <c r="E2962" t="s">
        <v>483</v>
      </c>
      <c r="F2962" t="s">
        <v>414</v>
      </c>
      <c r="G2962" t="s">
        <v>468</v>
      </c>
      <c r="H2962" t="s">
        <v>447</v>
      </c>
      <c r="I2962" t="s">
        <v>448</v>
      </c>
      <c r="J2962" t="s">
        <v>449</v>
      </c>
      <c r="K2962" t="s">
        <v>450</v>
      </c>
      <c r="L2962" t="s">
        <v>367</v>
      </c>
      <c r="M2962" t="s">
        <v>408</v>
      </c>
      <c r="N2962" t="s">
        <v>11</v>
      </c>
      <c r="O2962" t="s">
        <v>11</v>
      </c>
      <c r="P2962" t="s">
        <v>0</v>
      </c>
      <c r="Q2962" t="s">
        <v>408</v>
      </c>
      <c r="R2962" t="s">
        <v>439</v>
      </c>
      <c r="S2962" t="s">
        <v>451</v>
      </c>
      <c r="T2962" t="s">
        <v>11</v>
      </c>
      <c r="U2962" t="s">
        <v>408</v>
      </c>
    </row>
    <row r="2963" spans="1:22" x14ac:dyDescent="0.25">
      <c r="A2963">
        <v>24567388</v>
      </c>
      <c r="B2963" t="s">
        <v>342</v>
      </c>
      <c r="C2963" t="s">
        <v>13</v>
      </c>
      <c r="D2963" t="s">
        <v>18</v>
      </c>
      <c r="E2963" t="s">
        <v>483</v>
      </c>
      <c r="F2963" t="s">
        <v>414</v>
      </c>
      <c r="G2963" t="s">
        <v>468</v>
      </c>
      <c r="H2963" t="s">
        <v>447</v>
      </c>
      <c r="I2963" t="s">
        <v>448</v>
      </c>
      <c r="J2963" t="s">
        <v>449</v>
      </c>
      <c r="K2963" t="s">
        <v>450</v>
      </c>
      <c r="L2963" t="s">
        <v>367</v>
      </c>
      <c r="M2963" t="s">
        <v>408</v>
      </c>
      <c r="N2963" t="s">
        <v>11</v>
      </c>
      <c r="O2963" t="s">
        <v>11</v>
      </c>
      <c r="P2963" t="s">
        <v>0</v>
      </c>
      <c r="Q2963" t="s">
        <v>408</v>
      </c>
      <c r="R2963" t="s">
        <v>439</v>
      </c>
      <c r="S2963" t="s">
        <v>451</v>
      </c>
      <c r="T2963" t="s">
        <v>11</v>
      </c>
      <c r="U2963" t="s">
        <v>408</v>
      </c>
    </row>
    <row r="2964" spans="1:22" x14ac:dyDescent="0.25">
      <c r="A2964">
        <v>24567389</v>
      </c>
      <c r="B2964" t="s">
        <v>342</v>
      </c>
      <c r="C2964" t="s">
        <v>13</v>
      </c>
      <c r="D2964" t="s">
        <v>12</v>
      </c>
      <c r="E2964" t="s">
        <v>483</v>
      </c>
      <c r="F2964" t="s">
        <v>414</v>
      </c>
      <c r="G2964" t="s">
        <v>468</v>
      </c>
      <c r="H2964" t="s">
        <v>447</v>
      </c>
      <c r="I2964" t="s">
        <v>448</v>
      </c>
      <c r="J2964" t="s">
        <v>449</v>
      </c>
      <c r="K2964" t="s">
        <v>450</v>
      </c>
      <c r="L2964" t="s">
        <v>367</v>
      </c>
      <c r="M2964" t="s">
        <v>408</v>
      </c>
      <c r="N2964" t="s">
        <v>11</v>
      </c>
      <c r="O2964" t="s">
        <v>11</v>
      </c>
      <c r="P2964" t="s">
        <v>0</v>
      </c>
      <c r="Q2964" t="s">
        <v>408</v>
      </c>
      <c r="R2964" t="s">
        <v>439</v>
      </c>
      <c r="S2964" t="s">
        <v>451</v>
      </c>
      <c r="T2964" t="s">
        <v>11</v>
      </c>
      <c r="U2964" t="s">
        <v>408</v>
      </c>
    </row>
    <row r="2965" spans="1:22" x14ac:dyDescent="0.25">
      <c r="A2965">
        <v>24567390</v>
      </c>
      <c r="B2965" t="s">
        <v>342</v>
      </c>
      <c r="C2965" t="s">
        <v>13</v>
      </c>
      <c r="D2965" t="s">
        <v>12</v>
      </c>
      <c r="E2965" t="s">
        <v>483</v>
      </c>
      <c r="F2965" t="s">
        <v>414</v>
      </c>
      <c r="G2965" t="s">
        <v>468</v>
      </c>
      <c r="H2965" t="s">
        <v>447</v>
      </c>
      <c r="I2965" t="s">
        <v>448</v>
      </c>
      <c r="J2965" t="s">
        <v>449</v>
      </c>
      <c r="K2965" t="s">
        <v>450</v>
      </c>
      <c r="L2965" t="s">
        <v>367</v>
      </c>
      <c r="M2965" t="s">
        <v>408</v>
      </c>
      <c r="N2965" t="s">
        <v>11</v>
      </c>
      <c r="O2965" t="s">
        <v>11</v>
      </c>
      <c r="P2965" t="s">
        <v>0</v>
      </c>
      <c r="Q2965" t="s">
        <v>408</v>
      </c>
      <c r="R2965" t="s">
        <v>439</v>
      </c>
      <c r="S2965" t="s">
        <v>451</v>
      </c>
      <c r="T2965" t="s">
        <v>11</v>
      </c>
      <c r="U2965" t="s">
        <v>408</v>
      </c>
    </row>
    <row r="2966" spans="1:22" x14ac:dyDescent="0.25">
      <c r="A2966">
        <v>24567391</v>
      </c>
      <c r="B2966" t="s">
        <v>342</v>
      </c>
      <c r="C2966" t="s">
        <v>89</v>
      </c>
      <c r="D2966" t="s">
        <v>12</v>
      </c>
      <c r="E2966" t="s">
        <v>483</v>
      </c>
      <c r="F2966" t="s">
        <v>414</v>
      </c>
      <c r="G2966" t="s">
        <v>369</v>
      </c>
      <c r="H2966" t="s">
        <v>674</v>
      </c>
      <c r="I2966" t="s">
        <v>849</v>
      </c>
      <c r="J2966" t="s">
        <v>848</v>
      </c>
      <c r="K2966" t="s">
        <v>442</v>
      </c>
      <c r="L2966" t="s">
        <v>367</v>
      </c>
      <c r="M2966" t="s">
        <v>408</v>
      </c>
      <c r="N2966" t="s">
        <v>11</v>
      </c>
      <c r="O2966" t="s">
        <v>11</v>
      </c>
      <c r="P2966" t="s">
        <v>0</v>
      </c>
      <c r="Q2966" t="s">
        <v>408</v>
      </c>
      <c r="R2966" t="s">
        <v>439</v>
      </c>
      <c r="S2966" t="s">
        <v>451</v>
      </c>
      <c r="T2966" t="s">
        <v>11</v>
      </c>
      <c r="U2966" t="s">
        <v>408</v>
      </c>
    </row>
    <row r="2967" spans="1:22" x14ac:dyDescent="0.25">
      <c r="A2967">
        <v>24567392</v>
      </c>
      <c r="B2967" t="s">
        <v>342</v>
      </c>
      <c r="C2967" t="s">
        <v>13</v>
      </c>
      <c r="D2967" t="s">
        <v>12</v>
      </c>
      <c r="E2967" t="s">
        <v>483</v>
      </c>
      <c r="F2967" t="s">
        <v>414</v>
      </c>
      <c r="G2967" t="s">
        <v>468</v>
      </c>
      <c r="H2967" t="s">
        <v>447</v>
      </c>
      <c r="I2967" t="s">
        <v>448</v>
      </c>
      <c r="J2967" t="s">
        <v>449</v>
      </c>
      <c r="K2967" t="s">
        <v>450</v>
      </c>
      <c r="L2967" t="s">
        <v>367</v>
      </c>
      <c r="M2967" t="s">
        <v>408</v>
      </c>
      <c r="N2967" t="s">
        <v>11</v>
      </c>
      <c r="O2967" t="s">
        <v>11</v>
      </c>
      <c r="P2967" t="s">
        <v>0</v>
      </c>
      <c r="Q2967" t="s">
        <v>408</v>
      </c>
      <c r="R2967" t="s">
        <v>439</v>
      </c>
      <c r="S2967" t="s">
        <v>451</v>
      </c>
      <c r="T2967" t="s">
        <v>11</v>
      </c>
      <c r="U2967" t="s">
        <v>408</v>
      </c>
    </row>
    <row r="2968" spans="1:22" x14ac:dyDescent="0.25">
      <c r="A2968">
        <v>24567393</v>
      </c>
      <c r="B2968" t="s">
        <v>342</v>
      </c>
      <c r="C2968" t="s">
        <v>89</v>
      </c>
      <c r="D2968" t="s">
        <v>12</v>
      </c>
      <c r="E2968" t="s">
        <v>483</v>
      </c>
      <c r="F2968" t="s">
        <v>414</v>
      </c>
      <c r="G2968" t="s">
        <v>369</v>
      </c>
      <c r="H2968" t="s">
        <v>674</v>
      </c>
      <c r="I2968" t="s">
        <v>849</v>
      </c>
      <c r="J2968" t="s">
        <v>848</v>
      </c>
      <c r="K2968" t="s">
        <v>442</v>
      </c>
      <c r="L2968" t="s">
        <v>367</v>
      </c>
      <c r="M2968" t="s">
        <v>408</v>
      </c>
      <c r="N2968" t="s">
        <v>11</v>
      </c>
      <c r="O2968" t="s">
        <v>11</v>
      </c>
      <c r="P2968" t="s">
        <v>0</v>
      </c>
      <c r="Q2968" t="s">
        <v>408</v>
      </c>
      <c r="R2968" t="s">
        <v>439</v>
      </c>
      <c r="S2968" t="s">
        <v>451</v>
      </c>
      <c r="T2968" t="s">
        <v>11</v>
      </c>
      <c r="U2968" t="s">
        <v>408</v>
      </c>
    </row>
    <row r="2969" spans="1:22" x14ac:dyDescent="0.25">
      <c r="A2969">
        <v>24567394</v>
      </c>
      <c r="B2969" t="s">
        <v>342</v>
      </c>
      <c r="C2969" t="s">
        <v>13</v>
      </c>
      <c r="D2969" t="s">
        <v>12</v>
      </c>
      <c r="E2969" t="s">
        <v>483</v>
      </c>
      <c r="F2969" t="s">
        <v>414</v>
      </c>
      <c r="G2969" t="s">
        <v>468</v>
      </c>
      <c r="H2969" t="s">
        <v>447</v>
      </c>
      <c r="I2969" t="s">
        <v>448</v>
      </c>
      <c r="J2969" t="s">
        <v>449</v>
      </c>
      <c r="K2969" t="s">
        <v>450</v>
      </c>
      <c r="L2969" t="s">
        <v>367</v>
      </c>
      <c r="M2969" t="s">
        <v>408</v>
      </c>
      <c r="N2969" t="s">
        <v>11</v>
      </c>
      <c r="O2969" t="s">
        <v>11</v>
      </c>
      <c r="P2969" t="s">
        <v>0</v>
      </c>
      <c r="Q2969" t="s">
        <v>408</v>
      </c>
      <c r="R2969" t="s">
        <v>439</v>
      </c>
      <c r="S2969" t="s">
        <v>451</v>
      </c>
      <c r="T2969" t="s">
        <v>11</v>
      </c>
      <c r="U2969" t="s">
        <v>408</v>
      </c>
    </row>
    <row r="2970" spans="1:22" x14ac:dyDescent="0.25">
      <c r="A2970">
        <v>24567395</v>
      </c>
      <c r="B2970" t="s">
        <v>342</v>
      </c>
      <c r="C2970" t="s">
        <v>13</v>
      </c>
      <c r="D2970" t="s">
        <v>12</v>
      </c>
      <c r="E2970" t="s">
        <v>483</v>
      </c>
      <c r="F2970" t="s">
        <v>414</v>
      </c>
      <c r="G2970" t="s">
        <v>468</v>
      </c>
      <c r="H2970" t="s">
        <v>447</v>
      </c>
      <c r="I2970" t="s">
        <v>448</v>
      </c>
      <c r="J2970" t="s">
        <v>449</v>
      </c>
      <c r="K2970" t="s">
        <v>450</v>
      </c>
      <c r="L2970" t="s">
        <v>367</v>
      </c>
      <c r="M2970" t="s">
        <v>408</v>
      </c>
      <c r="N2970" t="s">
        <v>11</v>
      </c>
      <c r="O2970" t="s">
        <v>11</v>
      </c>
      <c r="P2970" t="s">
        <v>0</v>
      </c>
      <c r="Q2970" t="s">
        <v>408</v>
      </c>
      <c r="R2970" t="s">
        <v>439</v>
      </c>
      <c r="S2970" t="s">
        <v>451</v>
      </c>
      <c r="T2970" t="s">
        <v>11</v>
      </c>
      <c r="U2970" t="s">
        <v>408</v>
      </c>
    </row>
    <row r="2971" spans="1:22" x14ac:dyDescent="0.25">
      <c r="A2971">
        <v>20910602</v>
      </c>
      <c r="B2971" t="s">
        <v>371</v>
      </c>
      <c r="C2971" t="s">
        <v>371</v>
      </c>
      <c r="D2971" t="s">
        <v>371</v>
      </c>
      <c r="E2971" t="s">
        <v>371</v>
      </c>
      <c r="F2971" t="s">
        <v>371</v>
      </c>
      <c r="G2971" t="s">
        <v>371</v>
      </c>
      <c r="H2971" t="s">
        <v>371</v>
      </c>
      <c r="I2971" t="s">
        <v>371</v>
      </c>
      <c r="J2971" t="s">
        <v>371</v>
      </c>
      <c r="K2971" t="s">
        <v>371</v>
      </c>
      <c r="L2971" t="s">
        <v>371</v>
      </c>
      <c r="M2971" t="s">
        <v>371</v>
      </c>
      <c r="N2971" t="s">
        <v>371</v>
      </c>
      <c r="O2971" t="s">
        <v>371</v>
      </c>
      <c r="P2971" t="s">
        <v>371</v>
      </c>
      <c r="Q2971" t="s">
        <v>371</v>
      </c>
      <c r="R2971" t="s">
        <v>371</v>
      </c>
      <c r="S2971" t="s">
        <v>371</v>
      </c>
      <c r="T2971" t="s">
        <v>371</v>
      </c>
      <c r="U2971" t="s">
        <v>371</v>
      </c>
      <c r="V2971" t="s">
        <v>371</v>
      </c>
    </row>
    <row r="2972" spans="1:22" x14ac:dyDescent="0.25">
      <c r="A2972">
        <v>22350001</v>
      </c>
      <c r="B2972" t="s">
        <v>371</v>
      </c>
      <c r="C2972" t="s">
        <v>371</v>
      </c>
      <c r="D2972" t="s">
        <v>371</v>
      </c>
      <c r="E2972" t="s">
        <v>371</v>
      </c>
      <c r="F2972" t="s">
        <v>371</v>
      </c>
      <c r="G2972" t="s">
        <v>371</v>
      </c>
      <c r="H2972" t="s">
        <v>371</v>
      </c>
      <c r="I2972" t="s">
        <v>371</v>
      </c>
      <c r="J2972" t="s">
        <v>371</v>
      </c>
      <c r="K2972" t="s">
        <v>371</v>
      </c>
      <c r="L2972" t="s">
        <v>371</v>
      </c>
      <c r="M2972" t="s">
        <v>371</v>
      </c>
      <c r="N2972" t="s">
        <v>371</v>
      </c>
      <c r="O2972" t="s">
        <v>371</v>
      </c>
      <c r="P2972" t="s">
        <v>371</v>
      </c>
      <c r="Q2972" t="s">
        <v>371</v>
      </c>
      <c r="R2972" t="s">
        <v>371</v>
      </c>
      <c r="S2972" t="s">
        <v>371</v>
      </c>
      <c r="T2972" t="s">
        <v>371</v>
      </c>
      <c r="U2972" t="s">
        <v>371</v>
      </c>
      <c r="V2972" t="s">
        <v>371</v>
      </c>
    </row>
    <row r="2973" spans="1:22" x14ac:dyDescent="0.25">
      <c r="A2973">
        <v>22350050</v>
      </c>
      <c r="B2973" t="s">
        <v>371</v>
      </c>
      <c r="C2973" t="s">
        <v>371</v>
      </c>
      <c r="D2973" t="s">
        <v>371</v>
      </c>
      <c r="E2973" t="s">
        <v>371</v>
      </c>
      <c r="F2973" t="s">
        <v>371</v>
      </c>
      <c r="G2973" t="s">
        <v>371</v>
      </c>
      <c r="H2973" t="s">
        <v>371</v>
      </c>
      <c r="I2973" t="s">
        <v>371</v>
      </c>
      <c r="J2973" t="s">
        <v>371</v>
      </c>
      <c r="K2973" t="s">
        <v>371</v>
      </c>
      <c r="L2973" t="s">
        <v>371</v>
      </c>
      <c r="M2973" t="s">
        <v>371</v>
      </c>
      <c r="N2973" t="s">
        <v>371</v>
      </c>
      <c r="O2973" t="s">
        <v>371</v>
      </c>
      <c r="P2973" t="s">
        <v>371</v>
      </c>
      <c r="Q2973" t="s">
        <v>371</v>
      </c>
      <c r="R2973" t="s">
        <v>371</v>
      </c>
      <c r="S2973" t="s">
        <v>371</v>
      </c>
      <c r="T2973" t="s">
        <v>371</v>
      </c>
      <c r="U2973" t="s">
        <v>371</v>
      </c>
      <c r="V2973" t="s">
        <v>371</v>
      </c>
    </row>
    <row r="2974" spans="1:22" x14ac:dyDescent="0.25">
      <c r="A2974">
        <v>22350046</v>
      </c>
      <c r="B2974" t="s">
        <v>371</v>
      </c>
      <c r="C2974" t="s">
        <v>371</v>
      </c>
      <c r="D2974" t="s">
        <v>371</v>
      </c>
      <c r="E2974" t="s">
        <v>371</v>
      </c>
      <c r="F2974" t="s">
        <v>371</v>
      </c>
      <c r="G2974" t="s">
        <v>371</v>
      </c>
      <c r="H2974" t="s">
        <v>371</v>
      </c>
      <c r="I2974" t="s">
        <v>371</v>
      </c>
      <c r="J2974" t="s">
        <v>371</v>
      </c>
      <c r="K2974" t="s">
        <v>371</v>
      </c>
      <c r="L2974" t="s">
        <v>371</v>
      </c>
      <c r="M2974" t="s">
        <v>371</v>
      </c>
      <c r="N2974" t="s">
        <v>371</v>
      </c>
      <c r="O2974" t="s">
        <v>371</v>
      </c>
      <c r="P2974" t="s">
        <v>371</v>
      </c>
      <c r="Q2974" t="s">
        <v>371</v>
      </c>
      <c r="R2974" t="s">
        <v>371</v>
      </c>
      <c r="S2974" t="s">
        <v>371</v>
      </c>
      <c r="T2974" t="s">
        <v>371</v>
      </c>
      <c r="U2974" t="s">
        <v>371</v>
      </c>
      <c r="V2974" t="s">
        <v>371</v>
      </c>
    </row>
    <row r="2975" spans="1:22" x14ac:dyDescent="0.25">
      <c r="A2975">
        <v>22350134</v>
      </c>
      <c r="B2975" t="s">
        <v>371</v>
      </c>
      <c r="C2975" t="s">
        <v>371</v>
      </c>
      <c r="D2975" t="s">
        <v>371</v>
      </c>
      <c r="E2975" t="s">
        <v>371</v>
      </c>
      <c r="F2975" t="s">
        <v>371</v>
      </c>
      <c r="G2975" t="s">
        <v>371</v>
      </c>
      <c r="H2975" t="s">
        <v>371</v>
      </c>
      <c r="I2975" t="s">
        <v>371</v>
      </c>
      <c r="J2975" t="s">
        <v>371</v>
      </c>
      <c r="K2975" t="s">
        <v>371</v>
      </c>
      <c r="L2975" t="s">
        <v>371</v>
      </c>
      <c r="M2975" t="s">
        <v>371</v>
      </c>
      <c r="N2975" t="s">
        <v>371</v>
      </c>
      <c r="O2975" t="s">
        <v>371</v>
      </c>
      <c r="P2975" t="s">
        <v>371</v>
      </c>
      <c r="Q2975" t="s">
        <v>371</v>
      </c>
      <c r="R2975" t="s">
        <v>371</v>
      </c>
      <c r="S2975" t="s">
        <v>371</v>
      </c>
      <c r="T2975" t="s">
        <v>371</v>
      </c>
      <c r="U2975" t="s">
        <v>371</v>
      </c>
      <c r="V2975" t="s">
        <v>371</v>
      </c>
    </row>
    <row r="2976" spans="1:22" x14ac:dyDescent="0.25">
      <c r="A2976">
        <v>22350201</v>
      </c>
      <c r="B2976" t="s">
        <v>371</v>
      </c>
      <c r="C2976" t="s">
        <v>371</v>
      </c>
      <c r="D2976" t="s">
        <v>371</v>
      </c>
      <c r="E2976" t="s">
        <v>371</v>
      </c>
      <c r="F2976" t="s">
        <v>371</v>
      </c>
      <c r="G2976" t="s">
        <v>371</v>
      </c>
      <c r="H2976" t="s">
        <v>371</v>
      </c>
      <c r="I2976" t="s">
        <v>371</v>
      </c>
      <c r="J2976" t="s">
        <v>371</v>
      </c>
      <c r="K2976" t="s">
        <v>371</v>
      </c>
      <c r="L2976" t="s">
        <v>371</v>
      </c>
      <c r="M2976" t="s">
        <v>371</v>
      </c>
      <c r="N2976" t="s">
        <v>371</v>
      </c>
      <c r="O2976" t="s">
        <v>371</v>
      </c>
      <c r="P2976" t="s">
        <v>371</v>
      </c>
      <c r="Q2976" t="s">
        <v>371</v>
      </c>
      <c r="R2976" t="s">
        <v>371</v>
      </c>
      <c r="S2976" t="s">
        <v>371</v>
      </c>
      <c r="T2976" t="s">
        <v>371</v>
      </c>
      <c r="U2976" t="s">
        <v>371</v>
      </c>
      <c r="V2976" t="s">
        <v>371</v>
      </c>
    </row>
    <row r="2977" spans="1:22" x14ac:dyDescent="0.25">
      <c r="A2977">
        <v>22350243</v>
      </c>
      <c r="B2977" t="s">
        <v>371</v>
      </c>
      <c r="C2977" t="s">
        <v>371</v>
      </c>
      <c r="D2977" t="s">
        <v>371</v>
      </c>
      <c r="E2977" t="s">
        <v>371</v>
      </c>
      <c r="F2977" t="s">
        <v>371</v>
      </c>
      <c r="G2977" t="s">
        <v>371</v>
      </c>
      <c r="H2977" t="s">
        <v>371</v>
      </c>
      <c r="I2977" t="s">
        <v>371</v>
      </c>
      <c r="J2977" t="s">
        <v>371</v>
      </c>
      <c r="K2977" t="s">
        <v>371</v>
      </c>
      <c r="L2977" t="s">
        <v>371</v>
      </c>
      <c r="M2977" t="s">
        <v>371</v>
      </c>
      <c r="N2977" t="s">
        <v>371</v>
      </c>
      <c r="O2977" t="s">
        <v>371</v>
      </c>
      <c r="P2977" t="s">
        <v>371</v>
      </c>
      <c r="Q2977" t="s">
        <v>371</v>
      </c>
      <c r="R2977" t="s">
        <v>371</v>
      </c>
      <c r="S2977" t="s">
        <v>371</v>
      </c>
      <c r="T2977" t="s">
        <v>371</v>
      </c>
      <c r="U2977" t="s">
        <v>371</v>
      </c>
      <c r="V2977" t="s">
        <v>371</v>
      </c>
    </row>
    <row r="2978" spans="1:22" x14ac:dyDescent="0.25">
      <c r="A2978">
        <v>22350263</v>
      </c>
      <c r="B2978" t="s">
        <v>371</v>
      </c>
      <c r="C2978" t="s">
        <v>371</v>
      </c>
      <c r="D2978" t="s">
        <v>371</v>
      </c>
      <c r="E2978" t="s">
        <v>371</v>
      </c>
      <c r="F2978" t="s">
        <v>371</v>
      </c>
      <c r="G2978" t="s">
        <v>371</v>
      </c>
      <c r="H2978" t="s">
        <v>371</v>
      </c>
      <c r="I2978" t="s">
        <v>371</v>
      </c>
      <c r="J2978" t="s">
        <v>371</v>
      </c>
      <c r="K2978" t="s">
        <v>371</v>
      </c>
      <c r="L2978" t="s">
        <v>371</v>
      </c>
      <c r="M2978" t="s">
        <v>371</v>
      </c>
      <c r="N2978" t="s">
        <v>371</v>
      </c>
      <c r="O2978" t="s">
        <v>371</v>
      </c>
      <c r="P2978" t="s">
        <v>371</v>
      </c>
      <c r="Q2978" t="s">
        <v>371</v>
      </c>
      <c r="R2978" t="s">
        <v>371</v>
      </c>
      <c r="S2978" t="s">
        <v>371</v>
      </c>
      <c r="T2978" t="s">
        <v>371</v>
      </c>
      <c r="U2978" t="s">
        <v>371</v>
      </c>
      <c r="V2978" t="s">
        <v>371</v>
      </c>
    </row>
    <row r="2979" spans="1:22" x14ac:dyDescent="0.25">
      <c r="A2979">
        <v>22350379</v>
      </c>
      <c r="B2979" t="s">
        <v>371</v>
      </c>
      <c r="C2979" t="s">
        <v>371</v>
      </c>
      <c r="D2979" t="s">
        <v>371</v>
      </c>
      <c r="E2979" t="s">
        <v>371</v>
      </c>
      <c r="F2979" t="s">
        <v>371</v>
      </c>
      <c r="G2979" t="s">
        <v>371</v>
      </c>
      <c r="H2979" t="s">
        <v>371</v>
      </c>
      <c r="I2979" t="s">
        <v>371</v>
      </c>
      <c r="J2979" t="s">
        <v>371</v>
      </c>
      <c r="K2979" t="s">
        <v>371</v>
      </c>
      <c r="L2979" t="s">
        <v>371</v>
      </c>
      <c r="M2979" t="s">
        <v>371</v>
      </c>
      <c r="N2979" t="s">
        <v>371</v>
      </c>
      <c r="O2979" t="s">
        <v>371</v>
      </c>
      <c r="P2979" t="s">
        <v>371</v>
      </c>
      <c r="Q2979" t="s">
        <v>371</v>
      </c>
      <c r="R2979" t="s">
        <v>371</v>
      </c>
      <c r="S2979" t="s">
        <v>371</v>
      </c>
      <c r="T2979" t="s">
        <v>371</v>
      </c>
      <c r="U2979" t="s">
        <v>371</v>
      </c>
      <c r="V2979" t="s">
        <v>371</v>
      </c>
    </row>
    <row r="2980" spans="1:22" x14ac:dyDescent="0.25">
      <c r="A2980">
        <v>22350410</v>
      </c>
      <c r="B2980" t="s">
        <v>371</v>
      </c>
      <c r="C2980" t="s">
        <v>371</v>
      </c>
      <c r="D2980" t="s">
        <v>371</v>
      </c>
      <c r="E2980" t="s">
        <v>371</v>
      </c>
      <c r="F2980" t="s">
        <v>371</v>
      </c>
      <c r="G2980" t="s">
        <v>371</v>
      </c>
      <c r="H2980" t="s">
        <v>371</v>
      </c>
      <c r="I2980" t="s">
        <v>371</v>
      </c>
      <c r="J2980" t="s">
        <v>371</v>
      </c>
      <c r="K2980" t="s">
        <v>371</v>
      </c>
      <c r="L2980" t="s">
        <v>371</v>
      </c>
      <c r="M2980" t="s">
        <v>371</v>
      </c>
      <c r="N2980" t="s">
        <v>371</v>
      </c>
      <c r="O2980" t="s">
        <v>371</v>
      </c>
      <c r="P2980" t="s">
        <v>371</v>
      </c>
      <c r="Q2980" t="s">
        <v>371</v>
      </c>
      <c r="R2980" t="s">
        <v>371</v>
      </c>
      <c r="S2980" t="s">
        <v>371</v>
      </c>
      <c r="T2980" t="s">
        <v>371</v>
      </c>
      <c r="U2980" t="s">
        <v>371</v>
      </c>
      <c r="V2980" t="s">
        <v>371</v>
      </c>
    </row>
    <row r="2981" spans="1:22" x14ac:dyDescent="0.25">
      <c r="A2981">
        <v>20910649</v>
      </c>
      <c r="B2981" t="s">
        <v>371</v>
      </c>
      <c r="C2981" t="s">
        <v>371</v>
      </c>
      <c r="D2981" t="s">
        <v>371</v>
      </c>
      <c r="E2981" t="s">
        <v>371</v>
      </c>
      <c r="F2981" t="s">
        <v>371</v>
      </c>
      <c r="G2981" t="s">
        <v>371</v>
      </c>
      <c r="H2981" t="s">
        <v>371</v>
      </c>
      <c r="I2981" t="s">
        <v>371</v>
      </c>
      <c r="J2981" t="s">
        <v>371</v>
      </c>
      <c r="K2981" t="s">
        <v>371</v>
      </c>
      <c r="L2981" t="s">
        <v>371</v>
      </c>
      <c r="M2981" t="s">
        <v>371</v>
      </c>
      <c r="N2981" t="s">
        <v>371</v>
      </c>
      <c r="O2981" t="s">
        <v>371</v>
      </c>
      <c r="P2981" t="s">
        <v>371</v>
      </c>
      <c r="Q2981" t="s">
        <v>371</v>
      </c>
      <c r="R2981" t="s">
        <v>371</v>
      </c>
      <c r="S2981" t="s">
        <v>371</v>
      </c>
      <c r="T2981" t="s">
        <v>371</v>
      </c>
      <c r="U2981" t="s">
        <v>371</v>
      </c>
      <c r="V2981" t="s">
        <v>371</v>
      </c>
    </row>
    <row r="2982" spans="1:22" x14ac:dyDescent="0.25">
      <c r="A2982">
        <v>23323333</v>
      </c>
      <c r="B2982" t="s">
        <v>371</v>
      </c>
      <c r="C2982" t="s">
        <v>371</v>
      </c>
      <c r="D2982" t="s">
        <v>371</v>
      </c>
      <c r="E2982" t="s">
        <v>371</v>
      </c>
      <c r="F2982" t="s">
        <v>371</v>
      </c>
      <c r="G2982" t="s">
        <v>371</v>
      </c>
      <c r="H2982" t="s">
        <v>371</v>
      </c>
      <c r="I2982" t="s">
        <v>371</v>
      </c>
      <c r="J2982" t="s">
        <v>371</v>
      </c>
      <c r="K2982" t="s">
        <v>371</v>
      </c>
      <c r="L2982" t="s">
        <v>371</v>
      </c>
      <c r="M2982" t="s">
        <v>371</v>
      </c>
      <c r="N2982" t="s">
        <v>371</v>
      </c>
      <c r="O2982" t="s">
        <v>371</v>
      </c>
      <c r="P2982" t="s">
        <v>371</v>
      </c>
      <c r="Q2982" t="s">
        <v>371</v>
      </c>
      <c r="R2982" t="s">
        <v>371</v>
      </c>
      <c r="S2982" t="s">
        <v>371</v>
      </c>
      <c r="T2982" t="s">
        <v>371</v>
      </c>
      <c r="U2982" t="s">
        <v>371</v>
      </c>
      <c r="V2982" t="s">
        <v>371</v>
      </c>
    </row>
    <row r="2983" spans="1:22" x14ac:dyDescent="0.25">
      <c r="A2983">
        <v>23323430</v>
      </c>
      <c r="B2983" t="s">
        <v>371</v>
      </c>
      <c r="C2983" t="s">
        <v>371</v>
      </c>
      <c r="D2983" t="s">
        <v>371</v>
      </c>
      <c r="E2983" t="s">
        <v>371</v>
      </c>
      <c r="F2983" t="s">
        <v>371</v>
      </c>
      <c r="G2983" t="s">
        <v>371</v>
      </c>
      <c r="H2983" t="s">
        <v>371</v>
      </c>
      <c r="I2983" t="s">
        <v>371</v>
      </c>
      <c r="J2983" t="s">
        <v>371</v>
      </c>
      <c r="K2983" t="s">
        <v>371</v>
      </c>
      <c r="L2983" t="s">
        <v>371</v>
      </c>
      <c r="M2983" t="s">
        <v>371</v>
      </c>
      <c r="N2983" t="s">
        <v>371</v>
      </c>
      <c r="O2983" t="s">
        <v>371</v>
      </c>
      <c r="P2983" t="s">
        <v>371</v>
      </c>
      <c r="Q2983" t="s">
        <v>371</v>
      </c>
      <c r="R2983" t="s">
        <v>371</v>
      </c>
      <c r="S2983" t="s">
        <v>371</v>
      </c>
      <c r="T2983" t="s">
        <v>371</v>
      </c>
      <c r="U2983" t="s">
        <v>371</v>
      </c>
      <c r="V2983" t="s">
        <v>371</v>
      </c>
    </row>
    <row r="2984" spans="1:22" x14ac:dyDescent="0.25">
      <c r="A2984">
        <v>24567011</v>
      </c>
      <c r="B2984" t="s">
        <v>371</v>
      </c>
      <c r="C2984" t="s">
        <v>371</v>
      </c>
      <c r="D2984" t="s">
        <v>371</v>
      </c>
      <c r="E2984" t="s">
        <v>371</v>
      </c>
      <c r="F2984" t="s">
        <v>371</v>
      </c>
      <c r="G2984" t="s">
        <v>371</v>
      </c>
      <c r="H2984" t="s">
        <v>371</v>
      </c>
      <c r="I2984" t="s">
        <v>371</v>
      </c>
      <c r="J2984" t="s">
        <v>371</v>
      </c>
      <c r="K2984" t="s">
        <v>371</v>
      </c>
      <c r="L2984" t="s">
        <v>371</v>
      </c>
      <c r="M2984" t="s">
        <v>371</v>
      </c>
      <c r="N2984" t="s">
        <v>371</v>
      </c>
      <c r="O2984" t="s">
        <v>371</v>
      </c>
      <c r="P2984" t="s">
        <v>371</v>
      </c>
      <c r="Q2984" t="s">
        <v>371</v>
      </c>
      <c r="R2984" t="s">
        <v>371</v>
      </c>
      <c r="S2984" t="s">
        <v>371</v>
      </c>
      <c r="T2984" t="s">
        <v>371</v>
      </c>
      <c r="U2984" t="s">
        <v>371</v>
      </c>
      <c r="V2984" t="s">
        <v>371</v>
      </c>
    </row>
    <row r="2985" spans="1:22" x14ac:dyDescent="0.25">
      <c r="A2985">
        <v>24567049</v>
      </c>
      <c r="B2985" t="s">
        <v>371</v>
      </c>
      <c r="C2985" t="s">
        <v>371</v>
      </c>
      <c r="D2985" t="s">
        <v>371</v>
      </c>
      <c r="E2985" t="s">
        <v>371</v>
      </c>
      <c r="F2985" t="s">
        <v>371</v>
      </c>
      <c r="G2985" t="s">
        <v>371</v>
      </c>
      <c r="H2985" t="s">
        <v>371</v>
      </c>
      <c r="I2985" t="s">
        <v>371</v>
      </c>
      <c r="J2985" t="s">
        <v>371</v>
      </c>
      <c r="K2985" t="s">
        <v>371</v>
      </c>
      <c r="L2985" t="s">
        <v>371</v>
      </c>
      <c r="M2985" t="s">
        <v>371</v>
      </c>
      <c r="N2985" t="s">
        <v>371</v>
      </c>
      <c r="O2985" t="s">
        <v>371</v>
      </c>
      <c r="P2985" t="s">
        <v>371</v>
      </c>
      <c r="Q2985" t="s">
        <v>371</v>
      </c>
      <c r="R2985" t="s">
        <v>371</v>
      </c>
      <c r="S2985" t="s">
        <v>371</v>
      </c>
      <c r="T2985" t="s">
        <v>371</v>
      </c>
      <c r="U2985" t="s">
        <v>371</v>
      </c>
      <c r="V2985" t="s">
        <v>371</v>
      </c>
    </row>
    <row r="2986" spans="1:22" x14ac:dyDescent="0.25">
      <c r="A2986">
        <v>23323502</v>
      </c>
      <c r="B2986" t="s">
        <v>371</v>
      </c>
      <c r="C2986" t="s">
        <v>371</v>
      </c>
      <c r="D2986" t="s">
        <v>371</v>
      </c>
      <c r="E2986" t="s">
        <v>371</v>
      </c>
      <c r="F2986" t="s">
        <v>371</v>
      </c>
      <c r="G2986" t="s">
        <v>371</v>
      </c>
      <c r="H2986" t="s">
        <v>371</v>
      </c>
      <c r="I2986" t="s">
        <v>371</v>
      </c>
      <c r="J2986" t="s">
        <v>371</v>
      </c>
      <c r="K2986" t="s">
        <v>371</v>
      </c>
      <c r="L2986" t="s">
        <v>371</v>
      </c>
      <c r="M2986" t="s">
        <v>371</v>
      </c>
      <c r="N2986" t="s">
        <v>371</v>
      </c>
      <c r="O2986" t="s">
        <v>371</v>
      </c>
      <c r="P2986" t="s">
        <v>371</v>
      </c>
      <c r="Q2986" t="s">
        <v>371</v>
      </c>
      <c r="R2986" t="s">
        <v>371</v>
      </c>
      <c r="S2986" t="s">
        <v>371</v>
      </c>
      <c r="T2986" t="s">
        <v>371</v>
      </c>
      <c r="U2986" t="s">
        <v>371</v>
      </c>
      <c r="V2986" t="s">
        <v>371</v>
      </c>
    </row>
    <row r="2987" spans="1:22" x14ac:dyDescent="0.25">
      <c r="A2987">
        <v>24567092</v>
      </c>
      <c r="B2987" t="s">
        <v>371</v>
      </c>
      <c r="C2987" t="s">
        <v>371</v>
      </c>
      <c r="D2987" t="s">
        <v>371</v>
      </c>
      <c r="E2987" t="s">
        <v>371</v>
      </c>
      <c r="F2987" t="s">
        <v>371</v>
      </c>
      <c r="G2987" t="s">
        <v>371</v>
      </c>
      <c r="H2987" t="s">
        <v>371</v>
      </c>
      <c r="I2987" t="s">
        <v>371</v>
      </c>
      <c r="J2987" t="s">
        <v>371</v>
      </c>
      <c r="K2987" t="s">
        <v>371</v>
      </c>
      <c r="L2987" t="s">
        <v>371</v>
      </c>
      <c r="M2987" t="s">
        <v>371</v>
      </c>
      <c r="N2987" t="s">
        <v>371</v>
      </c>
      <c r="O2987" t="s">
        <v>371</v>
      </c>
      <c r="P2987" t="s">
        <v>371</v>
      </c>
      <c r="Q2987" t="s">
        <v>371</v>
      </c>
      <c r="R2987" t="s">
        <v>371</v>
      </c>
      <c r="S2987" t="s">
        <v>371</v>
      </c>
      <c r="T2987" t="s">
        <v>371</v>
      </c>
      <c r="U2987" t="s">
        <v>371</v>
      </c>
      <c r="V2987" t="s">
        <v>371</v>
      </c>
    </row>
    <row r="2988" spans="1:22" x14ac:dyDescent="0.25">
      <c r="A2988">
        <v>24567121</v>
      </c>
      <c r="B2988" t="s">
        <v>371</v>
      </c>
      <c r="C2988" t="s">
        <v>371</v>
      </c>
      <c r="D2988" t="s">
        <v>371</v>
      </c>
      <c r="E2988" t="s">
        <v>371</v>
      </c>
      <c r="F2988" t="s">
        <v>371</v>
      </c>
      <c r="G2988" t="s">
        <v>371</v>
      </c>
      <c r="H2988" t="s">
        <v>371</v>
      </c>
      <c r="I2988" t="s">
        <v>371</v>
      </c>
      <c r="J2988" t="s">
        <v>371</v>
      </c>
      <c r="K2988" t="s">
        <v>371</v>
      </c>
      <c r="L2988" t="s">
        <v>371</v>
      </c>
      <c r="M2988" t="s">
        <v>371</v>
      </c>
      <c r="N2988" t="s">
        <v>371</v>
      </c>
      <c r="O2988" t="s">
        <v>371</v>
      </c>
      <c r="P2988" t="s">
        <v>371</v>
      </c>
      <c r="Q2988" t="s">
        <v>371</v>
      </c>
      <c r="R2988" t="s">
        <v>371</v>
      </c>
      <c r="S2988" t="s">
        <v>371</v>
      </c>
      <c r="T2988" t="s">
        <v>371</v>
      </c>
      <c r="U2988" t="s">
        <v>371</v>
      </c>
      <c r="V2988" t="s">
        <v>371</v>
      </c>
    </row>
    <row r="2989" spans="1:22" x14ac:dyDescent="0.25">
      <c r="A2989">
        <v>24567143</v>
      </c>
      <c r="B2989" t="s">
        <v>371</v>
      </c>
      <c r="C2989" t="s">
        <v>371</v>
      </c>
      <c r="D2989" t="s">
        <v>371</v>
      </c>
      <c r="E2989" t="s">
        <v>371</v>
      </c>
      <c r="F2989" t="s">
        <v>371</v>
      </c>
      <c r="G2989" t="s">
        <v>371</v>
      </c>
      <c r="H2989" t="s">
        <v>371</v>
      </c>
      <c r="I2989" t="s">
        <v>371</v>
      </c>
      <c r="J2989" t="s">
        <v>371</v>
      </c>
      <c r="K2989" t="s">
        <v>371</v>
      </c>
      <c r="L2989" t="s">
        <v>371</v>
      </c>
      <c r="M2989" t="s">
        <v>371</v>
      </c>
      <c r="N2989" t="s">
        <v>371</v>
      </c>
      <c r="O2989" t="s">
        <v>371</v>
      </c>
      <c r="P2989" t="s">
        <v>371</v>
      </c>
      <c r="Q2989" t="s">
        <v>371</v>
      </c>
      <c r="R2989" t="s">
        <v>371</v>
      </c>
      <c r="S2989" t="s">
        <v>371</v>
      </c>
      <c r="T2989" t="s">
        <v>371</v>
      </c>
      <c r="U2989" t="s">
        <v>371</v>
      </c>
      <c r="V2989" t="s">
        <v>371</v>
      </c>
    </row>
    <row r="2990" spans="1:22" x14ac:dyDescent="0.25">
      <c r="A2990">
        <v>24567149</v>
      </c>
      <c r="B2990" t="s">
        <v>371</v>
      </c>
      <c r="C2990" t="s">
        <v>371</v>
      </c>
      <c r="D2990" t="s">
        <v>371</v>
      </c>
      <c r="E2990" t="s">
        <v>371</v>
      </c>
      <c r="F2990" t="s">
        <v>371</v>
      </c>
      <c r="G2990" t="s">
        <v>371</v>
      </c>
      <c r="H2990" t="s">
        <v>371</v>
      </c>
      <c r="I2990" t="s">
        <v>371</v>
      </c>
      <c r="J2990" t="s">
        <v>371</v>
      </c>
      <c r="K2990" t="s">
        <v>371</v>
      </c>
      <c r="L2990" t="s">
        <v>371</v>
      </c>
      <c r="M2990" t="s">
        <v>371</v>
      </c>
      <c r="N2990" t="s">
        <v>371</v>
      </c>
      <c r="O2990" t="s">
        <v>371</v>
      </c>
      <c r="P2990" t="s">
        <v>371</v>
      </c>
      <c r="Q2990" t="s">
        <v>371</v>
      </c>
      <c r="R2990" t="s">
        <v>371</v>
      </c>
      <c r="S2990" t="s">
        <v>371</v>
      </c>
      <c r="T2990" t="s">
        <v>371</v>
      </c>
      <c r="U2990" t="s">
        <v>371</v>
      </c>
      <c r="V2990" t="s">
        <v>371</v>
      </c>
    </row>
    <row r="2991" spans="1:22" x14ac:dyDescent="0.25">
      <c r="A2991">
        <v>24567181</v>
      </c>
      <c r="B2991" t="s">
        <v>371</v>
      </c>
      <c r="C2991" t="s">
        <v>371</v>
      </c>
      <c r="D2991" t="s">
        <v>371</v>
      </c>
      <c r="E2991" t="s">
        <v>371</v>
      </c>
      <c r="F2991" t="s">
        <v>371</v>
      </c>
      <c r="G2991" t="s">
        <v>371</v>
      </c>
      <c r="H2991" t="s">
        <v>371</v>
      </c>
      <c r="I2991" t="s">
        <v>371</v>
      </c>
      <c r="J2991" t="s">
        <v>371</v>
      </c>
      <c r="K2991" t="s">
        <v>371</v>
      </c>
      <c r="L2991" t="s">
        <v>371</v>
      </c>
      <c r="M2991" t="s">
        <v>371</v>
      </c>
      <c r="N2991" t="s">
        <v>371</v>
      </c>
      <c r="O2991" t="s">
        <v>371</v>
      </c>
      <c r="P2991" t="s">
        <v>371</v>
      </c>
      <c r="Q2991" t="s">
        <v>371</v>
      </c>
      <c r="R2991" t="s">
        <v>371</v>
      </c>
      <c r="S2991" t="s">
        <v>371</v>
      </c>
      <c r="T2991" t="s">
        <v>371</v>
      </c>
      <c r="U2991" t="s">
        <v>371</v>
      </c>
      <c r="V2991" t="s">
        <v>371</v>
      </c>
    </row>
    <row r="2992" spans="1:22" x14ac:dyDescent="0.25">
      <c r="A2992">
        <v>24567205</v>
      </c>
      <c r="B2992" t="s">
        <v>371</v>
      </c>
      <c r="C2992" t="s">
        <v>371</v>
      </c>
      <c r="D2992" t="s">
        <v>371</v>
      </c>
      <c r="E2992" t="s">
        <v>371</v>
      </c>
      <c r="F2992" t="s">
        <v>371</v>
      </c>
      <c r="G2992" t="s">
        <v>371</v>
      </c>
      <c r="H2992" t="s">
        <v>371</v>
      </c>
      <c r="I2992" t="s">
        <v>371</v>
      </c>
      <c r="J2992" t="s">
        <v>371</v>
      </c>
      <c r="K2992" t="s">
        <v>371</v>
      </c>
      <c r="L2992" t="s">
        <v>371</v>
      </c>
      <c r="M2992" t="s">
        <v>371</v>
      </c>
      <c r="N2992" t="s">
        <v>371</v>
      </c>
      <c r="O2992" t="s">
        <v>371</v>
      </c>
      <c r="P2992" t="s">
        <v>371</v>
      </c>
      <c r="Q2992" t="s">
        <v>371</v>
      </c>
      <c r="R2992" t="s">
        <v>371</v>
      </c>
      <c r="S2992" t="s">
        <v>371</v>
      </c>
      <c r="T2992" t="s">
        <v>371</v>
      </c>
      <c r="U2992" t="s">
        <v>371</v>
      </c>
      <c r="V2992" t="s">
        <v>371</v>
      </c>
    </row>
    <row r="2993" spans="1:21" x14ac:dyDescent="0.25">
      <c r="A2993" s="26">
        <v>24567396</v>
      </c>
      <c r="B2993" s="25" t="s">
        <v>342</v>
      </c>
      <c r="C2993" s="25" t="s">
        <v>89</v>
      </c>
      <c r="D2993" s="25" t="s">
        <v>12</v>
      </c>
      <c r="E2993" s="25" t="s">
        <v>483</v>
      </c>
      <c r="F2993" s="25" t="s">
        <v>414</v>
      </c>
      <c r="G2993" s="25" t="s">
        <v>369</v>
      </c>
      <c r="H2993" s="25" t="s">
        <v>674</v>
      </c>
      <c r="I2993" s="25" t="s">
        <v>849</v>
      </c>
      <c r="J2993" s="25" t="s">
        <v>848</v>
      </c>
      <c r="K2993" s="25" t="s">
        <v>442</v>
      </c>
      <c r="L2993" s="25" t="s">
        <v>367</v>
      </c>
      <c r="M2993" s="25" t="s">
        <v>408</v>
      </c>
      <c r="N2993" s="25" t="s">
        <v>11</v>
      </c>
      <c r="O2993" s="25" t="s">
        <v>11</v>
      </c>
      <c r="P2993" s="25" t="s">
        <v>0</v>
      </c>
      <c r="Q2993" s="25" t="s">
        <v>408</v>
      </c>
      <c r="R2993" s="25" t="s">
        <v>439</v>
      </c>
      <c r="S2993" s="25" t="s">
        <v>451</v>
      </c>
      <c r="T2993" s="25" t="s">
        <v>11</v>
      </c>
      <c r="U2993" s="25" t="s">
        <v>408</v>
      </c>
    </row>
    <row r="2994" spans="1:21" x14ac:dyDescent="0.25">
      <c r="A2994" s="26">
        <v>24567397</v>
      </c>
      <c r="B2994" s="25" t="s">
        <v>342</v>
      </c>
      <c r="C2994" s="25" t="s">
        <v>13</v>
      </c>
      <c r="D2994" s="25" t="s">
        <v>12</v>
      </c>
      <c r="E2994" s="25" t="s">
        <v>483</v>
      </c>
      <c r="F2994" s="25" t="s">
        <v>414</v>
      </c>
      <c r="G2994" s="25" t="s">
        <v>468</v>
      </c>
      <c r="H2994" s="25" t="s">
        <v>447</v>
      </c>
      <c r="I2994" s="25" t="s">
        <v>448</v>
      </c>
      <c r="J2994" s="25" t="s">
        <v>449</v>
      </c>
      <c r="K2994" s="25" t="s">
        <v>450</v>
      </c>
      <c r="L2994" s="25" t="s">
        <v>367</v>
      </c>
      <c r="M2994" s="25" t="s">
        <v>408</v>
      </c>
      <c r="N2994" s="25" t="s">
        <v>11</v>
      </c>
      <c r="O2994" s="25" t="s">
        <v>11</v>
      </c>
      <c r="P2994" s="25" t="s">
        <v>0</v>
      </c>
      <c r="Q2994" s="25" t="s">
        <v>408</v>
      </c>
      <c r="R2994" s="25" t="s">
        <v>439</v>
      </c>
      <c r="S2994" s="25" t="s">
        <v>451</v>
      </c>
      <c r="T2994" s="25" t="s">
        <v>11</v>
      </c>
      <c r="U2994" s="25" t="s">
        <v>408</v>
      </c>
    </row>
    <row r="2995" spans="1:21" x14ac:dyDescent="0.25">
      <c r="A2995" s="26">
        <v>24567398</v>
      </c>
      <c r="B2995" s="25" t="s">
        <v>342</v>
      </c>
      <c r="C2995" s="25" t="s">
        <v>89</v>
      </c>
      <c r="D2995" s="25" t="s">
        <v>18</v>
      </c>
      <c r="E2995" s="25" t="s">
        <v>483</v>
      </c>
      <c r="F2995" s="25" t="s">
        <v>414</v>
      </c>
      <c r="G2995" s="25" t="s">
        <v>369</v>
      </c>
      <c r="H2995" s="25" t="s">
        <v>674</v>
      </c>
      <c r="I2995" s="25" t="s">
        <v>849</v>
      </c>
      <c r="J2995" s="25" t="s">
        <v>848</v>
      </c>
      <c r="K2995" s="25" t="s">
        <v>442</v>
      </c>
      <c r="L2995" s="25" t="s">
        <v>367</v>
      </c>
      <c r="M2995" s="25" t="s">
        <v>408</v>
      </c>
      <c r="N2995" s="25" t="s">
        <v>11</v>
      </c>
      <c r="O2995" s="25" t="s">
        <v>11</v>
      </c>
      <c r="P2995" s="25" t="s">
        <v>0</v>
      </c>
      <c r="Q2995" s="25" t="s">
        <v>408</v>
      </c>
      <c r="R2995" s="25" t="s">
        <v>439</v>
      </c>
      <c r="S2995" s="25" t="s">
        <v>451</v>
      </c>
      <c r="T2995" s="25" t="s">
        <v>11</v>
      </c>
      <c r="U2995" s="25" t="s">
        <v>408</v>
      </c>
    </row>
    <row r="2996" spans="1:21" x14ac:dyDescent="0.25">
      <c r="A2996" s="26">
        <v>23323605</v>
      </c>
      <c r="B2996" s="25" t="s">
        <v>342</v>
      </c>
      <c r="C2996" s="25" t="s">
        <v>89</v>
      </c>
      <c r="D2996" s="25" t="s">
        <v>12</v>
      </c>
      <c r="E2996" s="25" t="s">
        <v>526</v>
      </c>
      <c r="F2996" s="25" t="s">
        <v>373</v>
      </c>
      <c r="G2996" s="25" t="s">
        <v>369</v>
      </c>
      <c r="H2996" s="25" t="s">
        <v>896</v>
      </c>
      <c r="I2996" s="25" t="s">
        <v>895</v>
      </c>
      <c r="J2996" s="25" t="s">
        <v>894</v>
      </c>
      <c r="K2996" s="25" t="s">
        <v>462</v>
      </c>
      <c r="L2996" s="25" t="s">
        <v>893</v>
      </c>
      <c r="M2996" s="25" t="s">
        <v>11</v>
      </c>
      <c r="N2996" s="25" t="s">
        <v>11</v>
      </c>
      <c r="O2996" s="25" t="s">
        <v>11</v>
      </c>
      <c r="P2996" s="25" t="s">
        <v>0</v>
      </c>
      <c r="Q2996" s="25" t="s">
        <v>408</v>
      </c>
      <c r="R2996" s="25" t="s">
        <v>439</v>
      </c>
      <c r="S2996" s="25" t="s">
        <v>451</v>
      </c>
      <c r="T2996" s="25" t="s">
        <v>408</v>
      </c>
      <c r="U2996" s="25" t="s">
        <v>408</v>
      </c>
    </row>
    <row r="2997" spans="1:21" x14ac:dyDescent="0.25">
      <c r="A2997" s="26">
        <v>23323608</v>
      </c>
      <c r="B2997" s="25" t="s">
        <v>342</v>
      </c>
      <c r="C2997" s="25" t="s">
        <v>89</v>
      </c>
      <c r="D2997" s="25" t="s">
        <v>12</v>
      </c>
      <c r="E2997" s="25" t="s">
        <v>526</v>
      </c>
      <c r="F2997" s="25" t="s">
        <v>373</v>
      </c>
      <c r="G2997" s="25" t="s">
        <v>369</v>
      </c>
      <c r="H2997" s="25" t="s">
        <v>875</v>
      </c>
      <c r="I2997" s="25" t="s">
        <v>874</v>
      </c>
      <c r="J2997" s="25" t="s">
        <v>873</v>
      </c>
      <c r="K2997" s="25" t="s">
        <v>438</v>
      </c>
      <c r="L2997" s="25" t="s">
        <v>819</v>
      </c>
      <c r="M2997" s="25" t="s">
        <v>408</v>
      </c>
      <c r="N2997" s="25" t="s">
        <v>11</v>
      </c>
      <c r="O2997" s="25" t="s">
        <v>11</v>
      </c>
      <c r="P2997" s="25" t="s">
        <v>0</v>
      </c>
      <c r="Q2997" s="25" t="s">
        <v>408</v>
      </c>
      <c r="R2997" s="25" t="s">
        <v>439</v>
      </c>
      <c r="S2997" s="25" t="s">
        <v>451</v>
      </c>
      <c r="T2997" s="25" t="s">
        <v>11</v>
      </c>
      <c r="U2997" s="25" t="s">
        <v>408</v>
      </c>
    </row>
    <row r="2998" spans="1:21" x14ac:dyDescent="0.25">
      <c r="A2998" s="26">
        <v>23323609</v>
      </c>
      <c r="B2998" s="25" t="s">
        <v>342</v>
      </c>
      <c r="C2998" s="25" t="s">
        <v>89</v>
      </c>
      <c r="D2998" s="25" t="s">
        <v>12</v>
      </c>
      <c r="E2998" s="25" t="s">
        <v>482</v>
      </c>
      <c r="F2998" s="25" t="s">
        <v>1094</v>
      </c>
      <c r="G2998" s="25" t="s">
        <v>369</v>
      </c>
      <c r="H2998" s="25" t="s">
        <v>853</v>
      </c>
      <c r="I2998" s="25" t="s">
        <v>852</v>
      </c>
      <c r="J2998" s="25" t="s">
        <v>851</v>
      </c>
      <c r="K2998" s="25" t="s">
        <v>850</v>
      </c>
      <c r="L2998" s="25" t="s">
        <v>353</v>
      </c>
      <c r="M2998" s="25" t="s">
        <v>408</v>
      </c>
      <c r="N2998" s="25" t="s">
        <v>11</v>
      </c>
      <c r="O2998" s="25" t="s">
        <v>11</v>
      </c>
      <c r="P2998" s="25" t="s">
        <v>0</v>
      </c>
      <c r="Q2998" s="25" t="s">
        <v>11</v>
      </c>
      <c r="R2998" s="25" t="s">
        <v>439</v>
      </c>
      <c r="S2998" s="25" t="s">
        <v>440</v>
      </c>
      <c r="T2998" s="25" t="s">
        <v>11</v>
      </c>
      <c r="U2998" s="25" t="s">
        <v>11</v>
      </c>
    </row>
    <row r="2999" spans="1:21" x14ac:dyDescent="0.25">
      <c r="A2999" s="26">
        <v>23323610</v>
      </c>
      <c r="B2999" s="25" t="s">
        <v>342</v>
      </c>
      <c r="C2999" s="25" t="s">
        <v>89</v>
      </c>
      <c r="D2999" s="25" t="s">
        <v>18</v>
      </c>
      <c r="E2999" s="25" t="s">
        <v>526</v>
      </c>
      <c r="F2999" s="25" t="s">
        <v>373</v>
      </c>
      <c r="G2999" s="25" t="s">
        <v>369</v>
      </c>
      <c r="H2999" s="25" t="s">
        <v>881</v>
      </c>
      <c r="I2999" s="25" t="s">
        <v>957</v>
      </c>
      <c r="J2999" s="25" t="s">
        <v>956</v>
      </c>
      <c r="K2999" s="25" t="s">
        <v>442</v>
      </c>
      <c r="L2999" s="25" t="s">
        <v>1095</v>
      </c>
      <c r="M2999" s="25" t="s">
        <v>11</v>
      </c>
      <c r="N2999" s="25" t="s">
        <v>11</v>
      </c>
      <c r="O2999" s="25" t="s">
        <v>11</v>
      </c>
      <c r="P2999" s="25" t="s">
        <v>0</v>
      </c>
      <c r="Q2999" s="25" t="s">
        <v>408</v>
      </c>
      <c r="R2999" s="25" t="s">
        <v>439</v>
      </c>
      <c r="S2999" s="25" t="s">
        <v>440</v>
      </c>
      <c r="T2999" s="25" t="s">
        <v>408</v>
      </c>
      <c r="U2999" s="25" t="s">
        <v>408</v>
      </c>
    </row>
    <row r="3000" spans="1:21" x14ac:dyDescent="0.25">
      <c r="A3000" s="26">
        <v>23323613</v>
      </c>
      <c r="B3000" s="25" t="s">
        <v>340</v>
      </c>
      <c r="C3000" s="25" t="s">
        <v>86</v>
      </c>
      <c r="D3000" s="25" t="s">
        <v>12</v>
      </c>
      <c r="E3000" s="25" t="s">
        <v>505</v>
      </c>
      <c r="F3000" s="25" t="s">
        <v>1096</v>
      </c>
      <c r="G3000" s="25" t="s">
        <v>468</v>
      </c>
      <c r="H3000" s="25" t="s">
        <v>2</v>
      </c>
      <c r="I3000" s="25" t="s">
        <v>436</v>
      </c>
      <c r="J3000" s="25" t="s">
        <v>443</v>
      </c>
      <c r="K3000" s="25" t="s">
        <v>444</v>
      </c>
      <c r="L3000" s="25" t="s">
        <v>0</v>
      </c>
      <c r="M3000" s="25" t="s">
        <v>408</v>
      </c>
      <c r="N3000" s="25" t="s">
        <v>11</v>
      </c>
      <c r="O3000" s="25" t="s">
        <v>11</v>
      </c>
      <c r="P3000" s="25" t="s">
        <v>0</v>
      </c>
      <c r="Q3000" s="25" t="s">
        <v>408</v>
      </c>
      <c r="R3000" s="25" t="s">
        <v>439</v>
      </c>
      <c r="S3000" s="25" t="s">
        <v>440</v>
      </c>
      <c r="T3000" s="25" t="s">
        <v>11</v>
      </c>
      <c r="U3000" s="25" t="s">
        <v>408</v>
      </c>
    </row>
    <row r="3001" spans="1:21" x14ac:dyDescent="0.25">
      <c r="A3001" s="26">
        <v>23323615</v>
      </c>
      <c r="B3001" s="25" t="s">
        <v>342</v>
      </c>
      <c r="C3001" s="25" t="s">
        <v>89</v>
      </c>
      <c r="D3001" s="25" t="s">
        <v>12</v>
      </c>
      <c r="E3001" s="25" t="s">
        <v>526</v>
      </c>
      <c r="F3001" s="25" t="s">
        <v>373</v>
      </c>
      <c r="G3001" s="25" t="s">
        <v>369</v>
      </c>
      <c r="H3001" s="25" t="s">
        <v>875</v>
      </c>
      <c r="I3001" s="25" t="s">
        <v>874</v>
      </c>
      <c r="J3001" s="25" t="s">
        <v>873</v>
      </c>
      <c r="K3001" s="25" t="s">
        <v>438</v>
      </c>
      <c r="L3001" s="25" t="s">
        <v>819</v>
      </c>
      <c r="M3001" s="25" t="s">
        <v>408</v>
      </c>
      <c r="N3001" s="25" t="s">
        <v>11</v>
      </c>
      <c r="O3001" s="25" t="s">
        <v>11</v>
      </c>
      <c r="P3001" s="25" t="s">
        <v>0</v>
      </c>
      <c r="Q3001" s="25" t="s">
        <v>408</v>
      </c>
      <c r="R3001" s="25" t="s">
        <v>439</v>
      </c>
      <c r="S3001" s="25" t="s">
        <v>451</v>
      </c>
      <c r="T3001" s="25" t="s">
        <v>11</v>
      </c>
      <c r="U3001" s="25" t="s">
        <v>408</v>
      </c>
    </row>
    <row r="3002" spans="1:21" x14ac:dyDescent="0.25">
      <c r="A3002" s="26">
        <v>23323616</v>
      </c>
      <c r="B3002" s="25" t="s">
        <v>342</v>
      </c>
      <c r="C3002" s="25" t="s">
        <v>89</v>
      </c>
      <c r="D3002" s="25" t="s">
        <v>18</v>
      </c>
      <c r="E3002" s="25" t="s">
        <v>526</v>
      </c>
      <c r="F3002" s="25" t="s">
        <v>373</v>
      </c>
      <c r="G3002" s="25" t="s">
        <v>369</v>
      </c>
      <c r="H3002" s="25" t="s">
        <v>674</v>
      </c>
      <c r="I3002" s="25" t="s">
        <v>849</v>
      </c>
      <c r="J3002" s="25" t="s">
        <v>848</v>
      </c>
      <c r="K3002" s="25" t="s">
        <v>442</v>
      </c>
      <c r="L3002" s="25" t="s">
        <v>367</v>
      </c>
      <c r="M3002" s="25" t="s">
        <v>408</v>
      </c>
      <c r="N3002" s="25" t="s">
        <v>11</v>
      </c>
      <c r="O3002" s="25" t="s">
        <v>11</v>
      </c>
      <c r="P3002" s="25" t="s">
        <v>0</v>
      </c>
      <c r="Q3002" s="25" t="s">
        <v>408</v>
      </c>
      <c r="R3002" s="25" t="s">
        <v>439</v>
      </c>
      <c r="S3002" s="25" t="s">
        <v>451</v>
      </c>
      <c r="T3002" s="25" t="s">
        <v>11</v>
      </c>
      <c r="U3002" s="25" t="s">
        <v>408</v>
      </c>
    </row>
    <row r="3003" spans="1:21" x14ac:dyDescent="0.25">
      <c r="A3003" s="26">
        <v>23323617</v>
      </c>
      <c r="B3003" s="25" t="s">
        <v>342</v>
      </c>
      <c r="C3003" s="25" t="s">
        <v>89</v>
      </c>
      <c r="D3003" s="25" t="s">
        <v>12</v>
      </c>
      <c r="E3003" s="25" t="s">
        <v>626</v>
      </c>
      <c r="F3003" s="25" t="s">
        <v>23</v>
      </c>
      <c r="G3003" s="25" t="s">
        <v>369</v>
      </c>
      <c r="H3003" s="25" t="s">
        <v>881</v>
      </c>
      <c r="I3003" s="25" t="s">
        <v>957</v>
      </c>
      <c r="J3003" s="25" t="s">
        <v>956</v>
      </c>
      <c r="K3003" s="25" t="s">
        <v>442</v>
      </c>
      <c r="L3003" s="25" t="s">
        <v>955</v>
      </c>
      <c r="M3003" s="25" t="s">
        <v>11</v>
      </c>
      <c r="N3003" s="25" t="s">
        <v>11</v>
      </c>
      <c r="O3003" s="25" t="s">
        <v>11</v>
      </c>
      <c r="P3003" s="25" t="s">
        <v>0</v>
      </c>
      <c r="Q3003" s="25" t="s">
        <v>408</v>
      </c>
      <c r="R3003" s="25" t="s">
        <v>439</v>
      </c>
      <c r="S3003" s="25" t="s">
        <v>440</v>
      </c>
      <c r="T3003" s="25" t="s">
        <v>408</v>
      </c>
      <c r="U3003" s="25" t="s">
        <v>408</v>
      </c>
    </row>
    <row r="3004" spans="1:21" x14ac:dyDescent="0.25">
      <c r="A3004" s="26">
        <v>23323620</v>
      </c>
      <c r="B3004" s="25" t="s">
        <v>342</v>
      </c>
      <c r="C3004" s="25" t="s">
        <v>89</v>
      </c>
      <c r="D3004" s="25" t="s">
        <v>12</v>
      </c>
      <c r="E3004" s="25" t="s">
        <v>506</v>
      </c>
      <c r="F3004" s="25" t="s">
        <v>374</v>
      </c>
      <c r="G3004" s="25" t="s">
        <v>468</v>
      </c>
      <c r="H3004" s="25" t="s">
        <v>900</v>
      </c>
      <c r="I3004" s="25" t="s">
        <v>899</v>
      </c>
      <c r="J3004" s="25" t="s">
        <v>898</v>
      </c>
      <c r="K3004" s="25" t="s">
        <v>453</v>
      </c>
      <c r="L3004" s="25" t="s">
        <v>881</v>
      </c>
      <c r="M3004" s="25" t="s">
        <v>11</v>
      </c>
      <c r="N3004" s="25" t="s">
        <v>11</v>
      </c>
      <c r="O3004" s="25" t="s">
        <v>11</v>
      </c>
      <c r="P3004" s="25" t="s">
        <v>0</v>
      </c>
      <c r="Q3004" s="25" t="s">
        <v>408</v>
      </c>
      <c r="R3004" s="25" t="s">
        <v>439</v>
      </c>
      <c r="S3004" s="25" t="s">
        <v>451</v>
      </c>
      <c r="T3004" s="25" t="s">
        <v>408</v>
      </c>
      <c r="U3004" s="25" t="s">
        <v>408</v>
      </c>
    </row>
    <row r="3005" spans="1:21" x14ac:dyDescent="0.25">
      <c r="A3005" s="26">
        <v>24567422</v>
      </c>
      <c r="B3005" s="25" t="s">
        <v>340</v>
      </c>
      <c r="C3005" s="25" t="s">
        <v>86</v>
      </c>
      <c r="D3005" s="25" t="s">
        <v>12</v>
      </c>
      <c r="E3005" s="25" t="s">
        <v>630</v>
      </c>
      <c r="F3005" s="25" t="s">
        <v>1097</v>
      </c>
      <c r="G3005" s="25" t="s">
        <v>369</v>
      </c>
      <c r="H3005" s="25" t="s">
        <v>675</v>
      </c>
      <c r="I3005" s="25" t="s">
        <v>826</v>
      </c>
      <c r="J3005" s="25" t="s">
        <v>827</v>
      </c>
      <c r="K3005" s="25" t="s">
        <v>444</v>
      </c>
      <c r="L3005" s="25" t="s">
        <v>5</v>
      </c>
      <c r="M3005" s="25" t="s">
        <v>408</v>
      </c>
      <c r="N3005" s="25" t="s">
        <v>11</v>
      </c>
      <c r="O3005" s="25" t="s">
        <v>11</v>
      </c>
      <c r="P3005" s="25" t="s">
        <v>2</v>
      </c>
      <c r="Q3005" s="25" t="s">
        <v>408</v>
      </c>
      <c r="R3005" s="25" t="s">
        <v>439</v>
      </c>
      <c r="S3005" s="25" t="s">
        <v>451</v>
      </c>
      <c r="T3005" s="25" t="s">
        <v>11</v>
      </c>
      <c r="U3005" s="25" t="s">
        <v>408</v>
      </c>
    </row>
    <row r="3006" spans="1:21" x14ac:dyDescent="0.25">
      <c r="A3006" s="26">
        <v>24567423</v>
      </c>
      <c r="B3006" s="25" t="s">
        <v>340</v>
      </c>
      <c r="C3006" s="25" t="s">
        <v>86</v>
      </c>
      <c r="D3006" s="25" t="s">
        <v>12</v>
      </c>
      <c r="E3006" s="25" t="s">
        <v>630</v>
      </c>
      <c r="F3006" s="25" t="s">
        <v>1097</v>
      </c>
      <c r="G3006" s="25" t="s">
        <v>369</v>
      </c>
      <c r="H3006" s="25" t="s">
        <v>675</v>
      </c>
      <c r="I3006" s="25" t="s">
        <v>826</v>
      </c>
      <c r="J3006" s="25" t="s">
        <v>827</v>
      </c>
      <c r="K3006" s="25" t="s">
        <v>444</v>
      </c>
      <c r="L3006" s="25" t="s">
        <v>5</v>
      </c>
      <c r="M3006" s="25" t="s">
        <v>408</v>
      </c>
      <c r="N3006" s="25" t="s">
        <v>11</v>
      </c>
      <c r="O3006" s="25" t="s">
        <v>11</v>
      </c>
      <c r="P3006" s="25" t="s">
        <v>2</v>
      </c>
      <c r="Q3006" s="25" t="s">
        <v>408</v>
      </c>
      <c r="R3006" s="25" t="s">
        <v>439</v>
      </c>
      <c r="S3006" s="25" t="s">
        <v>451</v>
      </c>
      <c r="T3006" s="25" t="s">
        <v>11</v>
      </c>
      <c r="U3006" s="25" t="s">
        <v>408</v>
      </c>
    </row>
    <row r="3007" spans="1:21" x14ac:dyDescent="0.25">
      <c r="A3007" s="26">
        <v>24567424</v>
      </c>
      <c r="B3007" s="25" t="s">
        <v>340</v>
      </c>
      <c r="C3007" s="25" t="s">
        <v>86</v>
      </c>
      <c r="D3007" s="25" t="s">
        <v>12</v>
      </c>
      <c r="E3007" s="25" t="s">
        <v>630</v>
      </c>
      <c r="F3007" s="25" t="s">
        <v>1097</v>
      </c>
      <c r="G3007" s="25" t="s">
        <v>369</v>
      </c>
      <c r="H3007" s="25" t="s">
        <v>675</v>
      </c>
      <c r="I3007" s="25" t="s">
        <v>826</v>
      </c>
      <c r="J3007" s="25" t="s">
        <v>827</v>
      </c>
      <c r="K3007" s="25" t="s">
        <v>444</v>
      </c>
      <c r="L3007" s="25" t="s">
        <v>5</v>
      </c>
      <c r="M3007" s="25" t="s">
        <v>408</v>
      </c>
      <c r="N3007" s="25" t="s">
        <v>11</v>
      </c>
      <c r="O3007" s="25" t="s">
        <v>11</v>
      </c>
      <c r="P3007" s="25" t="s">
        <v>2</v>
      </c>
      <c r="Q3007" s="25" t="s">
        <v>408</v>
      </c>
      <c r="R3007" s="25" t="s">
        <v>439</v>
      </c>
      <c r="S3007" s="25" t="s">
        <v>451</v>
      </c>
      <c r="T3007" s="25" t="s">
        <v>11</v>
      </c>
      <c r="U3007" s="25" t="s">
        <v>408</v>
      </c>
    </row>
    <row r="3008" spans="1:21" x14ac:dyDescent="0.25">
      <c r="A3008" s="26">
        <v>24567425</v>
      </c>
      <c r="B3008" s="25" t="s">
        <v>342</v>
      </c>
      <c r="C3008" s="25" t="s">
        <v>89</v>
      </c>
      <c r="D3008" s="25" t="s">
        <v>12</v>
      </c>
      <c r="E3008" s="25" t="s">
        <v>630</v>
      </c>
      <c r="F3008" s="25" t="s">
        <v>1097</v>
      </c>
      <c r="G3008" s="25" t="s">
        <v>369</v>
      </c>
      <c r="H3008" s="25" t="s">
        <v>675</v>
      </c>
      <c r="I3008" s="25" t="s">
        <v>826</v>
      </c>
      <c r="J3008" s="25" t="s">
        <v>827</v>
      </c>
      <c r="K3008" s="25" t="s">
        <v>444</v>
      </c>
      <c r="L3008" s="25" t="s">
        <v>5</v>
      </c>
      <c r="M3008" s="25" t="s">
        <v>408</v>
      </c>
      <c r="N3008" s="25" t="s">
        <v>11</v>
      </c>
      <c r="O3008" s="25" t="s">
        <v>11</v>
      </c>
      <c r="P3008" s="25" t="s">
        <v>2</v>
      </c>
      <c r="Q3008" s="25" t="s">
        <v>408</v>
      </c>
      <c r="R3008" s="25" t="s">
        <v>439</v>
      </c>
      <c r="S3008" s="25" t="s">
        <v>451</v>
      </c>
      <c r="T3008" s="25" t="s">
        <v>11</v>
      </c>
      <c r="U3008" s="25" t="s">
        <v>408</v>
      </c>
    </row>
    <row r="3009" spans="1:21" x14ac:dyDescent="0.25">
      <c r="A3009" s="26">
        <v>24567426</v>
      </c>
      <c r="B3009" s="25" t="s">
        <v>342</v>
      </c>
      <c r="C3009" s="25" t="s">
        <v>89</v>
      </c>
      <c r="D3009" s="25" t="s">
        <v>12</v>
      </c>
      <c r="E3009" s="25" t="s">
        <v>630</v>
      </c>
      <c r="F3009" s="25" t="s">
        <v>1097</v>
      </c>
      <c r="G3009" s="25" t="s">
        <v>369</v>
      </c>
      <c r="H3009" s="25" t="s">
        <v>1098</v>
      </c>
      <c r="I3009" s="25" t="s">
        <v>826</v>
      </c>
      <c r="J3009" s="25" t="s">
        <v>1099</v>
      </c>
      <c r="K3009" s="25" t="s">
        <v>453</v>
      </c>
      <c r="L3009" s="25" t="s">
        <v>1100</v>
      </c>
      <c r="M3009" s="25" t="s">
        <v>408</v>
      </c>
      <c r="N3009" s="25" t="s">
        <v>11</v>
      </c>
      <c r="O3009" s="25" t="s">
        <v>11</v>
      </c>
      <c r="P3009" s="25" t="s">
        <v>2</v>
      </c>
      <c r="Q3009" s="25" t="s">
        <v>408</v>
      </c>
      <c r="R3009" s="25" t="s">
        <v>439</v>
      </c>
      <c r="S3009" s="25" t="s">
        <v>451</v>
      </c>
      <c r="T3009" s="25" t="s">
        <v>11</v>
      </c>
      <c r="U3009" s="25" t="s">
        <v>408</v>
      </c>
    </row>
    <row r="3010" spans="1:21" x14ac:dyDescent="0.25">
      <c r="A3010" s="26">
        <v>24567427</v>
      </c>
      <c r="B3010" s="25" t="s">
        <v>342</v>
      </c>
      <c r="C3010" s="25" t="s">
        <v>89</v>
      </c>
      <c r="D3010" s="25" t="s">
        <v>12</v>
      </c>
      <c r="E3010" s="25" t="s">
        <v>630</v>
      </c>
      <c r="F3010" s="25" t="s">
        <v>1097</v>
      </c>
      <c r="G3010" s="25" t="s">
        <v>369</v>
      </c>
      <c r="H3010" s="25" t="s">
        <v>675</v>
      </c>
      <c r="I3010" s="25" t="s">
        <v>826</v>
      </c>
      <c r="J3010" s="25" t="s">
        <v>827</v>
      </c>
      <c r="K3010" s="25" t="s">
        <v>444</v>
      </c>
      <c r="L3010" s="25" t="s">
        <v>5</v>
      </c>
      <c r="M3010" s="25" t="s">
        <v>408</v>
      </c>
      <c r="N3010" s="25" t="s">
        <v>11</v>
      </c>
      <c r="O3010" s="25" t="s">
        <v>11</v>
      </c>
      <c r="P3010" s="25" t="s">
        <v>2</v>
      </c>
      <c r="Q3010" s="25" t="s">
        <v>408</v>
      </c>
      <c r="R3010" s="25" t="s">
        <v>439</v>
      </c>
      <c r="S3010" s="25" t="s">
        <v>451</v>
      </c>
      <c r="T3010" s="25" t="s">
        <v>11</v>
      </c>
      <c r="U3010" s="25" t="s">
        <v>408</v>
      </c>
    </row>
    <row r="3011" spans="1:21" x14ac:dyDescent="0.25">
      <c r="A3011" s="26">
        <v>24567428</v>
      </c>
      <c r="B3011" s="25" t="s">
        <v>342</v>
      </c>
      <c r="C3011" s="25" t="s">
        <v>89</v>
      </c>
      <c r="D3011" s="25" t="s">
        <v>12</v>
      </c>
      <c r="E3011" s="25" t="s">
        <v>630</v>
      </c>
      <c r="F3011" s="25" t="s">
        <v>1097</v>
      </c>
      <c r="G3011" s="25" t="s">
        <v>369</v>
      </c>
      <c r="H3011" s="25" t="s">
        <v>675</v>
      </c>
      <c r="I3011" s="25" t="s">
        <v>826</v>
      </c>
      <c r="J3011" s="25" t="s">
        <v>827</v>
      </c>
      <c r="K3011" s="25" t="s">
        <v>444</v>
      </c>
      <c r="L3011" s="25" t="s">
        <v>5</v>
      </c>
      <c r="M3011" s="25" t="s">
        <v>408</v>
      </c>
      <c r="N3011" s="25" t="s">
        <v>11</v>
      </c>
      <c r="O3011" s="25" t="s">
        <v>11</v>
      </c>
      <c r="P3011" s="25" t="s">
        <v>2</v>
      </c>
      <c r="Q3011" s="25" t="s">
        <v>408</v>
      </c>
      <c r="R3011" s="25" t="s">
        <v>439</v>
      </c>
      <c r="S3011" s="25" t="s">
        <v>451</v>
      </c>
      <c r="T3011" s="25" t="s">
        <v>11</v>
      </c>
      <c r="U3011" s="25" t="s">
        <v>408</v>
      </c>
    </row>
    <row r="3012" spans="1:21" x14ac:dyDescent="0.25">
      <c r="A3012" s="26">
        <v>24567429</v>
      </c>
      <c r="B3012" s="25" t="s">
        <v>340</v>
      </c>
      <c r="C3012" s="25" t="s">
        <v>86</v>
      </c>
      <c r="D3012" s="25" t="s">
        <v>12</v>
      </c>
      <c r="E3012" s="25" t="s">
        <v>630</v>
      </c>
      <c r="F3012" s="25" t="s">
        <v>1097</v>
      </c>
      <c r="G3012" s="25" t="s">
        <v>369</v>
      </c>
      <c r="H3012" s="25" t="s">
        <v>675</v>
      </c>
      <c r="I3012" s="25" t="s">
        <v>826</v>
      </c>
      <c r="J3012" s="25" t="s">
        <v>827</v>
      </c>
      <c r="K3012" s="25" t="s">
        <v>444</v>
      </c>
      <c r="L3012" s="25" t="s">
        <v>5</v>
      </c>
      <c r="M3012" s="25" t="s">
        <v>408</v>
      </c>
      <c r="N3012" s="25" t="s">
        <v>11</v>
      </c>
      <c r="O3012" s="25" t="s">
        <v>11</v>
      </c>
      <c r="P3012" s="25" t="s">
        <v>2</v>
      </c>
      <c r="Q3012" s="25" t="s">
        <v>408</v>
      </c>
      <c r="R3012" s="25" t="s">
        <v>439</v>
      </c>
      <c r="S3012" s="25" t="s">
        <v>451</v>
      </c>
      <c r="T3012" s="25" t="s">
        <v>11</v>
      </c>
      <c r="U3012" s="25" t="s">
        <v>408</v>
      </c>
    </row>
    <row r="3013" spans="1:21" x14ac:dyDescent="0.25">
      <c r="A3013" s="26">
        <v>24567430</v>
      </c>
      <c r="B3013" s="25" t="s">
        <v>340</v>
      </c>
      <c r="C3013" s="25" t="s">
        <v>86</v>
      </c>
      <c r="D3013" s="25" t="s">
        <v>12</v>
      </c>
      <c r="E3013" s="25" t="s">
        <v>630</v>
      </c>
      <c r="F3013" s="25" t="s">
        <v>1097</v>
      </c>
      <c r="G3013" s="25" t="s">
        <v>369</v>
      </c>
      <c r="H3013" s="25" t="s">
        <v>675</v>
      </c>
      <c r="I3013" s="25" t="s">
        <v>826</v>
      </c>
      <c r="J3013" s="25" t="s">
        <v>827</v>
      </c>
      <c r="K3013" s="25" t="s">
        <v>444</v>
      </c>
      <c r="L3013" s="25" t="s">
        <v>5</v>
      </c>
      <c r="M3013" s="25" t="s">
        <v>408</v>
      </c>
      <c r="N3013" s="25" t="s">
        <v>11</v>
      </c>
      <c r="O3013" s="25" t="s">
        <v>11</v>
      </c>
      <c r="P3013" s="25" t="s">
        <v>2</v>
      </c>
      <c r="Q3013" s="25" t="s">
        <v>408</v>
      </c>
      <c r="R3013" s="25" t="s">
        <v>439</v>
      </c>
      <c r="S3013" s="25" t="s">
        <v>451</v>
      </c>
      <c r="T3013" s="25" t="s">
        <v>11</v>
      </c>
      <c r="U3013" s="25" t="s">
        <v>408</v>
      </c>
    </row>
    <row r="3014" spans="1:21" x14ac:dyDescent="0.25">
      <c r="A3014" s="26">
        <v>24567431</v>
      </c>
      <c r="B3014" s="25" t="s">
        <v>342</v>
      </c>
      <c r="C3014" s="25" t="s">
        <v>89</v>
      </c>
      <c r="D3014" s="25" t="s">
        <v>12</v>
      </c>
      <c r="E3014" s="25" t="s">
        <v>755</v>
      </c>
      <c r="F3014" s="25" t="s">
        <v>380</v>
      </c>
      <c r="G3014" s="25" t="s">
        <v>369</v>
      </c>
      <c r="H3014" s="25" t="s">
        <v>675</v>
      </c>
      <c r="I3014" s="25" t="s">
        <v>826</v>
      </c>
      <c r="J3014" s="25" t="s">
        <v>827</v>
      </c>
      <c r="K3014" s="25" t="s">
        <v>444</v>
      </c>
      <c r="L3014" s="25" t="s">
        <v>5</v>
      </c>
      <c r="M3014" s="25" t="s">
        <v>408</v>
      </c>
      <c r="N3014" s="25" t="s">
        <v>11</v>
      </c>
      <c r="O3014" s="25" t="s">
        <v>11</v>
      </c>
      <c r="P3014" s="25" t="s">
        <v>2</v>
      </c>
      <c r="Q3014" s="25" t="s">
        <v>408</v>
      </c>
      <c r="R3014" s="25" t="s">
        <v>439</v>
      </c>
      <c r="S3014" s="25" t="s">
        <v>451</v>
      </c>
      <c r="T3014" s="25" t="s">
        <v>11</v>
      </c>
      <c r="U3014" s="25" t="s">
        <v>408</v>
      </c>
    </row>
    <row r="3015" spans="1:21" x14ac:dyDescent="0.25">
      <c r="A3015" s="26">
        <v>24567433</v>
      </c>
      <c r="B3015" s="25" t="s">
        <v>342</v>
      </c>
      <c r="C3015" s="25" t="s">
        <v>89</v>
      </c>
      <c r="D3015" s="25" t="s">
        <v>12</v>
      </c>
      <c r="E3015" s="25" t="s">
        <v>487</v>
      </c>
      <c r="F3015" s="25" t="s">
        <v>388</v>
      </c>
      <c r="G3015" s="25" t="s">
        <v>369</v>
      </c>
      <c r="H3015" s="25" t="s">
        <v>675</v>
      </c>
      <c r="I3015" s="25" t="s">
        <v>826</v>
      </c>
      <c r="J3015" s="25" t="s">
        <v>827</v>
      </c>
      <c r="K3015" s="25" t="s">
        <v>444</v>
      </c>
      <c r="L3015" s="25" t="s">
        <v>5</v>
      </c>
      <c r="M3015" s="25" t="s">
        <v>408</v>
      </c>
      <c r="N3015" s="25" t="s">
        <v>11</v>
      </c>
      <c r="O3015" s="25" t="s">
        <v>11</v>
      </c>
      <c r="P3015" s="25" t="s">
        <v>2</v>
      </c>
      <c r="Q3015" s="25" t="s">
        <v>408</v>
      </c>
      <c r="R3015" s="25" t="s">
        <v>439</v>
      </c>
      <c r="S3015" s="25" t="s">
        <v>451</v>
      </c>
      <c r="T3015" s="25" t="s">
        <v>11</v>
      </c>
      <c r="U3015" s="25" t="s">
        <v>408</v>
      </c>
    </row>
    <row r="3016" spans="1:21" x14ac:dyDescent="0.25">
      <c r="A3016" s="26">
        <v>24567434</v>
      </c>
      <c r="B3016" s="25" t="s">
        <v>342</v>
      </c>
      <c r="C3016" s="25" t="s">
        <v>89</v>
      </c>
      <c r="D3016" s="25" t="s">
        <v>12</v>
      </c>
      <c r="E3016" s="25" t="s">
        <v>487</v>
      </c>
      <c r="F3016" s="25" t="s">
        <v>388</v>
      </c>
      <c r="G3016" s="25" t="s">
        <v>369</v>
      </c>
      <c r="H3016" s="25" t="s">
        <v>1101</v>
      </c>
      <c r="I3016" s="25" t="s">
        <v>1102</v>
      </c>
      <c r="J3016" s="25" t="s">
        <v>1103</v>
      </c>
      <c r="K3016" s="25" t="s">
        <v>462</v>
      </c>
      <c r="L3016" s="25" t="s">
        <v>819</v>
      </c>
      <c r="M3016" s="25" t="s">
        <v>408</v>
      </c>
      <c r="N3016" s="25" t="s">
        <v>11</v>
      </c>
      <c r="O3016" s="25" t="s">
        <v>11</v>
      </c>
      <c r="P3016" s="25" t="s">
        <v>2</v>
      </c>
      <c r="Q3016" s="25" t="s">
        <v>408</v>
      </c>
      <c r="R3016" s="25" t="s">
        <v>439</v>
      </c>
      <c r="S3016" s="25" t="s">
        <v>451</v>
      </c>
      <c r="T3016" s="25" t="s">
        <v>11</v>
      </c>
      <c r="U3016" s="25" t="s">
        <v>408</v>
      </c>
    </row>
    <row r="3017" spans="1:21" x14ac:dyDescent="0.25">
      <c r="A3017" s="26">
        <v>24567435</v>
      </c>
      <c r="B3017" s="25" t="s">
        <v>342</v>
      </c>
      <c r="C3017" s="25" t="s">
        <v>89</v>
      </c>
      <c r="D3017" s="25" t="s">
        <v>12</v>
      </c>
      <c r="E3017" s="25" t="s">
        <v>487</v>
      </c>
      <c r="F3017" s="25" t="s">
        <v>388</v>
      </c>
      <c r="G3017" s="25" t="s">
        <v>369</v>
      </c>
      <c r="H3017" s="25" t="s">
        <v>675</v>
      </c>
      <c r="I3017" s="25" t="s">
        <v>826</v>
      </c>
      <c r="J3017" s="25" t="s">
        <v>827</v>
      </c>
      <c r="K3017" s="25" t="s">
        <v>444</v>
      </c>
      <c r="L3017" s="25" t="s">
        <v>5</v>
      </c>
      <c r="M3017" s="25" t="s">
        <v>408</v>
      </c>
      <c r="N3017" s="25" t="s">
        <v>11</v>
      </c>
      <c r="O3017" s="25" t="s">
        <v>11</v>
      </c>
      <c r="P3017" s="25" t="s">
        <v>2</v>
      </c>
      <c r="Q3017" s="25" t="s">
        <v>408</v>
      </c>
      <c r="R3017" s="25" t="s">
        <v>439</v>
      </c>
      <c r="S3017" s="25" t="s">
        <v>451</v>
      </c>
      <c r="T3017" s="25" t="s">
        <v>11</v>
      </c>
      <c r="U3017" s="25" t="s">
        <v>408</v>
      </c>
    </row>
    <row r="3018" spans="1:21" x14ac:dyDescent="0.25">
      <c r="A3018" s="26">
        <v>24567436</v>
      </c>
      <c r="B3018" s="25" t="s">
        <v>342</v>
      </c>
      <c r="C3018" s="25" t="s">
        <v>89</v>
      </c>
      <c r="D3018" s="25" t="s">
        <v>12</v>
      </c>
      <c r="E3018" s="25" t="s">
        <v>630</v>
      </c>
      <c r="F3018" s="25" t="s">
        <v>1097</v>
      </c>
      <c r="G3018" s="25" t="s">
        <v>369</v>
      </c>
      <c r="H3018" s="25" t="s">
        <v>675</v>
      </c>
      <c r="I3018" s="25" t="s">
        <v>826</v>
      </c>
      <c r="J3018" s="25" t="s">
        <v>827</v>
      </c>
      <c r="K3018" s="25" t="s">
        <v>444</v>
      </c>
      <c r="L3018" s="25" t="s">
        <v>5</v>
      </c>
      <c r="M3018" s="25" t="s">
        <v>408</v>
      </c>
      <c r="N3018" s="25" t="s">
        <v>11</v>
      </c>
      <c r="O3018" s="25" t="s">
        <v>11</v>
      </c>
      <c r="P3018" s="25" t="s">
        <v>2</v>
      </c>
      <c r="Q3018" s="25" t="s">
        <v>408</v>
      </c>
      <c r="R3018" s="25" t="s">
        <v>439</v>
      </c>
      <c r="S3018" s="25" t="s">
        <v>451</v>
      </c>
      <c r="T3018" s="25" t="s">
        <v>11</v>
      </c>
      <c r="U3018" s="25" t="s">
        <v>408</v>
      </c>
    </row>
    <row r="3019" spans="1:21" x14ac:dyDescent="0.25">
      <c r="A3019" s="26">
        <v>24567437</v>
      </c>
      <c r="B3019" s="25" t="s">
        <v>342</v>
      </c>
      <c r="C3019" s="25" t="s">
        <v>89</v>
      </c>
      <c r="D3019" s="25" t="s">
        <v>12</v>
      </c>
      <c r="E3019" s="25" t="s">
        <v>630</v>
      </c>
      <c r="F3019" s="25" t="s">
        <v>1097</v>
      </c>
      <c r="G3019" s="25" t="s">
        <v>369</v>
      </c>
      <c r="H3019" s="25" t="s">
        <v>675</v>
      </c>
      <c r="I3019" s="25" t="s">
        <v>826</v>
      </c>
      <c r="J3019" s="25" t="s">
        <v>827</v>
      </c>
      <c r="K3019" s="25" t="s">
        <v>444</v>
      </c>
      <c r="L3019" s="25" t="s">
        <v>5</v>
      </c>
      <c r="M3019" s="25" t="s">
        <v>408</v>
      </c>
      <c r="N3019" s="25" t="s">
        <v>11</v>
      </c>
      <c r="O3019" s="25" t="s">
        <v>11</v>
      </c>
      <c r="P3019" s="25" t="s">
        <v>2</v>
      </c>
      <c r="Q3019" s="25" t="s">
        <v>408</v>
      </c>
      <c r="R3019" s="25" t="s">
        <v>439</v>
      </c>
      <c r="S3019" s="25" t="s">
        <v>451</v>
      </c>
      <c r="T3019" s="25" t="s">
        <v>11</v>
      </c>
      <c r="U3019" s="25" t="s">
        <v>408</v>
      </c>
    </row>
    <row r="3020" spans="1:21" x14ac:dyDescent="0.25">
      <c r="A3020" s="26">
        <v>24567438</v>
      </c>
      <c r="B3020" s="25" t="s">
        <v>340</v>
      </c>
      <c r="C3020" s="25" t="s">
        <v>86</v>
      </c>
      <c r="D3020" s="25" t="s">
        <v>12</v>
      </c>
      <c r="E3020" s="25" t="s">
        <v>630</v>
      </c>
      <c r="F3020" s="25" t="s">
        <v>1097</v>
      </c>
      <c r="G3020" s="25" t="s">
        <v>369</v>
      </c>
      <c r="H3020" s="25" t="s">
        <v>675</v>
      </c>
      <c r="I3020" s="25" t="s">
        <v>826</v>
      </c>
      <c r="J3020" s="25" t="s">
        <v>827</v>
      </c>
      <c r="K3020" s="25" t="s">
        <v>444</v>
      </c>
      <c r="L3020" s="25" t="s">
        <v>5</v>
      </c>
      <c r="M3020" s="25" t="s">
        <v>408</v>
      </c>
      <c r="N3020" s="25" t="s">
        <v>11</v>
      </c>
      <c r="O3020" s="25" t="s">
        <v>11</v>
      </c>
      <c r="P3020" s="25" t="s">
        <v>2</v>
      </c>
      <c r="Q3020" s="25" t="s">
        <v>408</v>
      </c>
      <c r="R3020" s="25" t="s">
        <v>439</v>
      </c>
      <c r="S3020" s="25" t="s">
        <v>451</v>
      </c>
      <c r="T3020" s="25" t="s">
        <v>11</v>
      </c>
      <c r="U3020" s="25" t="s">
        <v>408</v>
      </c>
    </row>
    <row r="3021" spans="1:21" x14ac:dyDescent="0.25">
      <c r="A3021" s="26">
        <v>24567439</v>
      </c>
      <c r="B3021" s="25" t="s">
        <v>340</v>
      </c>
      <c r="C3021" s="25" t="s">
        <v>86</v>
      </c>
      <c r="D3021" s="25" t="s">
        <v>12</v>
      </c>
      <c r="E3021" s="25" t="s">
        <v>630</v>
      </c>
      <c r="F3021" s="25" t="s">
        <v>1097</v>
      </c>
      <c r="G3021" s="25" t="s">
        <v>369</v>
      </c>
      <c r="H3021" s="25" t="s">
        <v>675</v>
      </c>
      <c r="I3021" s="25" t="s">
        <v>826</v>
      </c>
      <c r="J3021" s="25" t="s">
        <v>827</v>
      </c>
      <c r="K3021" s="25" t="s">
        <v>444</v>
      </c>
      <c r="L3021" s="25" t="s">
        <v>5</v>
      </c>
      <c r="M3021" s="25" t="s">
        <v>408</v>
      </c>
      <c r="N3021" s="25" t="s">
        <v>11</v>
      </c>
      <c r="O3021" s="25" t="s">
        <v>11</v>
      </c>
      <c r="P3021" s="25" t="s">
        <v>2</v>
      </c>
      <c r="Q3021" s="25" t="s">
        <v>408</v>
      </c>
      <c r="R3021" s="25" t="s">
        <v>439</v>
      </c>
      <c r="S3021" s="25" t="s">
        <v>451</v>
      </c>
      <c r="T3021" s="25" t="s">
        <v>11</v>
      </c>
      <c r="U3021" s="25" t="s">
        <v>408</v>
      </c>
    </row>
    <row r="3022" spans="1:21" x14ac:dyDescent="0.25">
      <c r="A3022" s="26">
        <v>24567440</v>
      </c>
      <c r="B3022" s="25" t="s">
        <v>340</v>
      </c>
      <c r="C3022" s="25" t="s">
        <v>86</v>
      </c>
      <c r="D3022" s="25" t="s">
        <v>12</v>
      </c>
      <c r="E3022" s="25" t="s">
        <v>630</v>
      </c>
      <c r="F3022" s="25" t="s">
        <v>1097</v>
      </c>
      <c r="G3022" s="25" t="s">
        <v>369</v>
      </c>
      <c r="H3022" s="25" t="s">
        <v>675</v>
      </c>
      <c r="I3022" s="25" t="s">
        <v>826</v>
      </c>
      <c r="J3022" s="25" t="s">
        <v>827</v>
      </c>
      <c r="K3022" s="25" t="s">
        <v>444</v>
      </c>
      <c r="L3022" s="25" t="s">
        <v>5</v>
      </c>
      <c r="M3022" s="25" t="s">
        <v>408</v>
      </c>
      <c r="N3022" s="25" t="s">
        <v>11</v>
      </c>
      <c r="O3022" s="25" t="s">
        <v>11</v>
      </c>
      <c r="P3022" s="25" t="s">
        <v>2</v>
      </c>
      <c r="Q3022" s="25" t="s">
        <v>408</v>
      </c>
      <c r="R3022" s="25" t="s">
        <v>439</v>
      </c>
      <c r="S3022" s="25" t="s">
        <v>451</v>
      </c>
      <c r="T3022" s="25" t="s">
        <v>11</v>
      </c>
      <c r="U3022" s="25" t="s">
        <v>408</v>
      </c>
    </row>
    <row r="3023" spans="1:21" x14ac:dyDescent="0.25">
      <c r="A3023" s="26">
        <v>24567441</v>
      </c>
      <c r="B3023" s="25" t="s">
        <v>342</v>
      </c>
      <c r="C3023" s="25" t="s">
        <v>89</v>
      </c>
      <c r="D3023" s="25" t="s">
        <v>18</v>
      </c>
      <c r="E3023" s="25" t="s">
        <v>487</v>
      </c>
      <c r="F3023" s="25" t="s">
        <v>388</v>
      </c>
      <c r="G3023" s="25" t="s">
        <v>369</v>
      </c>
      <c r="H3023" s="25" t="s">
        <v>675</v>
      </c>
      <c r="I3023" s="25" t="s">
        <v>826</v>
      </c>
      <c r="J3023" s="25" t="s">
        <v>827</v>
      </c>
      <c r="K3023" s="25" t="s">
        <v>444</v>
      </c>
      <c r="L3023" s="25" t="s">
        <v>5</v>
      </c>
      <c r="M3023" s="25" t="s">
        <v>408</v>
      </c>
      <c r="N3023" s="25" t="s">
        <v>11</v>
      </c>
      <c r="O3023" s="25" t="s">
        <v>11</v>
      </c>
      <c r="P3023" s="25" t="s">
        <v>2</v>
      </c>
      <c r="Q3023" s="25" t="s">
        <v>408</v>
      </c>
      <c r="R3023" s="25" t="s">
        <v>439</v>
      </c>
      <c r="S3023" s="25" t="s">
        <v>451</v>
      </c>
      <c r="T3023" s="25" t="s">
        <v>11</v>
      </c>
      <c r="U3023" s="25" t="s">
        <v>408</v>
      </c>
    </row>
    <row r="3024" spans="1:21" x14ac:dyDescent="0.25">
      <c r="A3024" s="26">
        <v>24567442</v>
      </c>
      <c r="B3024" s="25" t="s">
        <v>342</v>
      </c>
      <c r="C3024" s="25" t="s">
        <v>89</v>
      </c>
      <c r="D3024" s="25" t="s">
        <v>12</v>
      </c>
      <c r="E3024" s="25" t="s">
        <v>487</v>
      </c>
      <c r="F3024" s="25" t="s">
        <v>388</v>
      </c>
      <c r="G3024" s="25" t="s">
        <v>369</v>
      </c>
      <c r="H3024" s="25" t="s">
        <v>675</v>
      </c>
      <c r="I3024" s="25" t="s">
        <v>826</v>
      </c>
      <c r="J3024" s="25" t="s">
        <v>827</v>
      </c>
      <c r="K3024" s="25" t="s">
        <v>444</v>
      </c>
      <c r="L3024" s="25" t="s">
        <v>5</v>
      </c>
      <c r="M3024" s="25" t="s">
        <v>408</v>
      </c>
      <c r="N3024" s="25" t="s">
        <v>11</v>
      </c>
      <c r="O3024" s="25" t="s">
        <v>11</v>
      </c>
      <c r="P3024" s="25" t="s">
        <v>2</v>
      </c>
      <c r="Q3024" s="25" t="s">
        <v>408</v>
      </c>
      <c r="R3024" s="25" t="s">
        <v>439</v>
      </c>
      <c r="S3024" s="25" t="s">
        <v>451</v>
      </c>
      <c r="T3024" s="25" t="s">
        <v>11</v>
      </c>
      <c r="U3024" s="25" t="s">
        <v>408</v>
      </c>
    </row>
    <row r="3025" spans="1:21" x14ac:dyDescent="0.25">
      <c r="A3025" s="26">
        <v>24567444</v>
      </c>
      <c r="B3025" s="25" t="s">
        <v>342</v>
      </c>
      <c r="C3025" s="25" t="s">
        <v>89</v>
      </c>
      <c r="D3025" s="25" t="s">
        <v>12</v>
      </c>
      <c r="E3025" s="25" t="s">
        <v>755</v>
      </c>
      <c r="F3025" s="25" t="s">
        <v>380</v>
      </c>
      <c r="G3025" s="25" t="s">
        <v>369</v>
      </c>
      <c r="H3025" s="25" t="s">
        <v>1101</v>
      </c>
      <c r="I3025" s="25" t="s">
        <v>1102</v>
      </c>
      <c r="J3025" s="25" t="s">
        <v>1103</v>
      </c>
      <c r="K3025" s="25" t="s">
        <v>462</v>
      </c>
      <c r="L3025" s="25" t="s">
        <v>819</v>
      </c>
      <c r="M3025" s="25" t="s">
        <v>408</v>
      </c>
      <c r="N3025" s="25" t="s">
        <v>11</v>
      </c>
      <c r="O3025" s="25" t="s">
        <v>11</v>
      </c>
      <c r="P3025" s="25" t="s">
        <v>2</v>
      </c>
      <c r="Q3025" s="25" t="s">
        <v>408</v>
      </c>
      <c r="R3025" s="25" t="s">
        <v>439</v>
      </c>
      <c r="S3025" s="25" t="s">
        <v>451</v>
      </c>
      <c r="T3025" s="25" t="s">
        <v>11</v>
      </c>
      <c r="U3025" s="25" t="s">
        <v>408</v>
      </c>
    </row>
    <row r="3026" spans="1:21" x14ac:dyDescent="0.25">
      <c r="A3026" s="26">
        <v>24567445</v>
      </c>
      <c r="B3026" s="25" t="s">
        <v>340</v>
      </c>
      <c r="C3026" s="25" t="s">
        <v>86</v>
      </c>
      <c r="D3026" s="25" t="s">
        <v>12</v>
      </c>
      <c r="E3026" s="25" t="s">
        <v>755</v>
      </c>
      <c r="F3026" s="25" t="s">
        <v>380</v>
      </c>
      <c r="G3026" s="25" t="s">
        <v>369</v>
      </c>
      <c r="H3026" s="25" t="s">
        <v>675</v>
      </c>
      <c r="I3026" s="25" t="s">
        <v>826</v>
      </c>
      <c r="J3026" s="25" t="s">
        <v>827</v>
      </c>
      <c r="K3026" s="25" t="s">
        <v>444</v>
      </c>
      <c r="L3026" s="25" t="s">
        <v>5</v>
      </c>
      <c r="M3026" s="25" t="s">
        <v>408</v>
      </c>
      <c r="N3026" s="25" t="s">
        <v>11</v>
      </c>
      <c r="O3026" s="25" t="s">
        <v>11</v>
      </c>
      <c r="P3026" s="25" t="s">
        <v>2</v>
      </c>
      <c r="Q3026" s="25" t="s">
        <v>408</v>
      </c>
      <c r="R3026" s="25" t="s">
        <v>439</v>
      </c>
      <c r="S3026" s="25" t="s">
        <v>451</v>
      </c>
      <c r="T3026" s="25" t="s">
        <v>11</v>
      </c>
      <c r="U3026" s="25" t="s">
        <v>408</v>
      </c>
    </row>
    <row r="3027" spans="1:21" x14ac:dyDescent="0.25">
      <c r="A3027" s="26">
        <v>24567446</v>
      </c>
      <c r="B3027" s="25" t="s">
        <v>340</v>
      </c>
      <c r="C3027" s="25" t="s">
        <v>86</v>
      </c>
      <c r="D3027" s="25" t="s">
        <v>12</v>
      </c>
      <c r="E3027" s="25" t="s">
        <v>755</v>
      </c>
      <c r="F3027" s="25" t="s">
        <v>380</v>
      </c>
      <c r="G3027" s="25" t="s">
        <v>369</v>
      </c>
      <c r="H3027" s="25" t="s">
        <v>675</v>
      </c>
      <c r="I3027" s="25" t="s">
        <v>826</v>
      </c>
      <c r="J3027" s="25" t="s">
        <v>827</v>
      </c>
      <c r="K3027" s="25" t="s">
        <v>444</v>
      </c>
      <c r="L3027" s="25" t="s">
        <v>5</v>
      </c>
      <c r="M3027" s="25" t="s">
        <v>408</v>
      </c>
      <c r="N3027" s="25" t="s">
        <v>11</v>
      </c>
      <c r="O3027" s="25" t="s">
        <v>11</v>
      </c>
      <c r="P3027" s="25" t="s">
        <v>2</v>
      </c>
      <c r="Q3027" s="25" t="s">
        <v>408</v>
      </c>
      <c r="R3027" s="25" t="s">
        <v>439</v>
      </c>
      <c r="S3027" s="25" t="s">
        <v>451</v>
      </c>
      <c r="T3027" s="25" t="s">
        <v>11</v>
      </c>
      <c r="U3027" s="25" t="s">
        <v>408</v>
      </c>
    </row>
    <row r="3028" spans="1:21" x14ac:dyDescent="0.25">
      <c r="A3028" s="26">
        <v>24567447</v>
      </c>
      <c r="B3028" s="25" t="s">
        <v>340</v>
      </c>
      <c r="C3028" s="25" t="s">
        <v>86</v>
      </c>
      <c r="D3028" s="25" t="s">
        <v>12</v>
      </c>
      <c r="E3028" s="25" t="s">
        <v>755</v>
      </c>
      <c r="F3028" s="25" t="s">
        <v>380</v>
      </c>
      <c r="G3028" s="25" t="s">
        <v>369</v>
      </c>
      <c r="H3028" s="25" t="s">
        <v>675</v>
      </c>
      <c r="I3028" s="25" t="s">
        <v>826</v>
      </c>
      <c r="J3028" s="25" t="s">
        <v>827</v>
      </c>
      <c r="K3028" s="25" t="s">
        <v>444</v>
      </c>
      <c r="L3028" s="25" t="s">
        <v>5</v>
      </c>
      <c r="M3028" s="25" t="s">
        <v>408</v>
      </c>
      <c r="N3028" s="25" t="s">
        <v>11</v>
      </c>
      <c r="O3028" s="25" t="s">
        <v>11</v>
      </c>
      <c r="P3028" s="25" t="s">
        <v>2</v>
      </c>
      <c r="Q3028" s="25" t="s">
        <v>408</v>
      </c>
      <c r="R3028" s="25" t="s">
        <v>439</v>
      </c>
      <c r="S3028" s="25" t="s">
        <v>451</v>
      </c>
      <c r="T3028" s="25" t="s">
        <v>11</v>
      </c>
      <c r="U3028" s="25" t="s">
        <v>408</v>
      </c>
    </row>
    <row r="3029" spans="1:21" x14ac:dyDescent="0.25">
      <c r="A3029" s="26">
        <v>24567448</v>
      </c>
      <c r="B3029" s="25" t="s">
        <v>342</v>
      </c>
      <c r="C3029" s="25" t="s">
        <v>89</v>
      </c>
      <c r="D3029" s="25" t="s">
        <v>12</v>
      </c>
      <c r="E3029" s="25" t="s">
        <v>755</v>
      </c>
      <c r="F3029" s="25" t="s">
        <v>380</v>
      </c>
      <c r="G3029" s="25" t="s">
        <v>369</v>
      </c>
      <c r="H3029" s="25" t="s">
        <v>861</v>
      </c>
      <c r="I3029" s="25" t="s">
        <v>860</v>
      </c>
      <c r="J3029" s="25" t="s">
        <v>859</v>
      </c>
      <c r="K3029" s="25" t="s">
        <v>450</v>
      </c>
      <c r="L3029" s="25" t="s">
        <v>367</v>
      </c>
      <c r="M3029" s="25" t="s">
        <v>408</v>
      </c>
      <c r="N3029" s="25" t="s">
        <v>11</v>
      </c>
      <c r="O3029" s="25" t="s">
        <v>11</v>
      </c>
      <c r="P3029" s="25" t="s">
        <v>2</v>
      </c>
      <c r="Q3029" s="25" t="s">
        <v>408</v>
      </c>
      <c r="R3029" s="25" t="s">
        <v>439</v>
      </c>
      <c r="S3029" s="25" t="s">
        <v>440</v>
      </c>
      <c r="T3029" s="25" t="s">
        <v>11</v>
      </c>
      <c r="U3029" s="25" t="s">
        <v>408</v>
      </c>
    </row>
    <row r="3030" spans="1:21" x14ac:dyDescent="0.25">
      <c r="A3030" s="26">
        <v>24567449</v>
      </c>
      <c r="B3030" s="25" t="s">
        <v>342</v>
      </c>
      <c r="C3030" s="25" t="s">
        <v>89</v>
      </c>
      <c r="D3030" s="25" t="s">
        <v>12</v>
      </c>
      <c r="E3030" s="25" t="s">
        <v>755</v>
      </c>
      <c r="F3030" s="25" t="s">
        <v>380</v>
      </c>
      <c r="G3030" s="25" t="s">
        <v>369</v>
      </c>
      <c r="H3030" s="25" t="s">
        <v>675</v>
      </c>
      <c r="I3030" s="25" t="s">
        <v>826</v>
      </c>
      <c r="J3030" s="25" t="s">
        <v>827</v>
      </c>
      <c r="K3030" s="25" t="s">
        <v>444</v>
      </c>
      <c r="L3030" s="25" t="s">
        <v>5</v>
      </c>
      <c r="M3030" s="25" t="s">
        <v>408</v>
      </c>
      <c r="N3030" s="25" t="s">
        <v>11</v>
      </c>
      <c r="O3030" s="25" t="s">
        <v>11</v>
      </c>
      <c r="P3030" s="25" t="s">
        <v>2</v>
      </c>
      <c r="Q3030" s="25" t="s">
        <v>408</v>
      </c>
      <c r="R3030" s="25" t="s">
        <v>439</v>
      </c>
      <c r="S3030" s="25" t="s">
        <v>451</v>
      </c>
      <c r="T3030" s="25" t="s">
        <v>11</v>
      </c>
      <c r="U3030" s="25" t="s">
        <v>408</v>
      </c>
    </row>
    <row r="3031" spans="1:21" x14ac:dyDescent="0.25">
      <c r="A3031" s="26">
        <v>24567450</v>
      </c>
      <c r="B3031" s="25" t="s">
        <v>342</v>
      </c>
      <c r="C3031" s="25" t="s">
        <v>89</v>
      </c>
      <c r="D3031" s="25" t="s">
        <v>12</v>
      </c>
      <c r="E3031" s="25" t="s">
        <v>755</v>
      </c>
      <c r="F3031" s="25" t="s">
        <v>380</v>
      </c>
      <c r="G3031" s="25" t="s">
        <v>369</v>
      </c>
      <c r="H3031" s="25" t="s">
        <v>861</v>
      </c>
      <c r="I3031" s="25" t="s">
        <v>860</v>
      </c>
      <c r="J3031" s="25" t="s">
        <v>859</v>
      </c>
      <c r="K3031" s="25" t="s">
        <v>450</v>
      </c>
      <c r="L3031" s="25" t="s">
        <v>367</v>
      </c>
      <c r="M3031" s="25" t="s">
        <v>408</v>
      </c>
      <c r="N3031" s="25" t="s">
        <v>11</v>
      </c>
      <c r="O3031" s="25" t="s">
        <v>11</v>
      </c>
      <c r="P3031" s="25" t="s">
        <v>2</v>
      </c>
      <c r="Q3031" s="25" t="s">
        <v>408</v>
      </c>
      <c r="R3031" s="25" t="s">
        <v>439</v>
      </c>
      <c r="S3031" s="25" t="s">
        <v>440</v>
      </c>
      <c r="T3031" s="25" t="s">
        <v>11</v>
      </c>
      <c r="U3031" s="25" t="s">
        <v>408</v>
      </c>
    </row>
    <row r="3032" spans="1:21" x14ac:dyDescent="0.25">
      <c r="A3032" s="26">
        <v>24567451</v>
      </c>
      <c r="B3032" s="25" t="s">
        <v>340</v>
      </c>
      <c r="C3032" s="25" t="s">
        <v>86</v>
      </c>
      <c r="D3032" s="25" t="s">
        <v>12</v>
      </c>
      <c r="E3032" s="25" t="s">
        <v>755</v>
      </c>
      <c r="F3032" s="25" t="s">
        <v>380</v>
      </c>
      <c r="G3032" s="25" t="s">
        <v>369</v>
      </c>
      <c r="H3032" s="25" t="s">
        <v>675</v>
      </c>
      <c r="I3032" s="25" t="s">
        <v>826</v>
      </c>
      <c r="J3032" s="25" t="s">
        <v>827</v>
      </c>
      <c r="K3032" s="25" t="s">
        <v>444</v>
      </c>
      <c r="L3032" s="25" t="s">
        <v>5</v>
      </c>
      <c r="M3032" s="25" t="s">
        <v>408</v>
      </c>
      <c r="N3032" s="25" t="s">
        <v>11</v>
      </c>
      <c r="O3032" s="25" t="s">
        <v>11</v>
      </c>
      <c r="P3032" s="25" t="s">
        <v>2</v>
      </c>
      <c r="Q3032" s="25" t="s">
        <v>408</v>
      </c>
      <c r="R3032" s="25" t="s">
        <v>439</v>
      </c>
      <c r="S3032" s="25" t="s">
        <v>451</v>
      </c>
      <c r="T3032" s="25" t="s">
        <v>11</v>
      </c>
      <c r="U3032" s="25" t="s">
        <v>408</v>
      </c>
    </row>
    <row r="3033" spans="1:21" x14ac:dyDescent="0.25">
      <c r="A3033" s="26">
        <v>24567452</v>
      </c>
      <c r="B3033" s="25" t="s">
        <v>342</v>
      </c>
      <c r="C3033" s="25" t="s">
        <v>89</v>
      </c>
      <c r="D3033" s="25" t="s">
        <v>12</v>
      </c>
      <c r="E3033" s="25" t="s">
        <v>755</v>
      </c>
      <c r="F3033" s="25" t="s">
        <v>380</v>
      </c>
      <c r="G3033" s="25" t="s">
        <v>369</v>
      </c>
      <c r="H3033" s="25" t="s">
        <v>675</v>
      </c>
      <c r="I3033" s="25" t="s">
        <v>826</v>
      </c>
      <c r="J3033" s="25" t="s">
        <v>827</v>
      </c>
      <c r="K3033" s="25" t="s">
        <v>444</v>
      </c>
      <c r="L3033" s="25" t="s">
        <v>5</v>
      </c>
      <c r="M3033" s="25" t="s">
        <v>408</v>
      </c>
      <c r="N3033" s="25" t="s">
        <v>11</v>
      </c>
      <c r="O3033" s="25" t="s">
        <v>11</v>
      </c>
      <c r="P3033" s="25" t="s">
        <v>2</v>
      </c>
      <c r="Q3033" s="25" t="s">
        <v>408</v>
      </c>
      <c r="R3033" s="25" t="s">
        <v>439</v>
      </c>
      <c r="S3033" s="25" t="s">
        <v>451</v>
      </c>
      <c r="T3033" s="25" t="s">
        <v>11</v>
      </c>
      <c r="U3033" s="25" t="s">
        <v>408</v>
      </c>
    </row>
    <row r="3034" spans="1:21" x14ac:dyDescent="0.25">
      <c r="A3034" s="26">
        <v>24567453</v>
      </c>
      <c r="B3034" s="25" t="s">
        <v>342</v>
      </c>
      <c r="C3034" s="25" t="s">
        <v>89</v>
      </c>
      <c r="D3034" s="25" t="s">
        <v>18</v>
      </c>
      <c r="E3034" s="25" t="s">
        <v>755</v>
      </c>
      <c r="F3034" s="25" t="s">
        <v>380</v>
      </c>
      <c r="G3034" s="25" t="s">
        <v>369</v>
      </c>
      <c r="H3034" s="25" t="s">
        <v>1101</v>
      </c>
      <c r="I3034" s="25" t="s">
        <v>1102</v>
      </c>
      <c r="J3034" s="25" t="s">
        <v>1103</v>
      </c>
      <c r="K3034" s="25" t="s">
        <v>462</v>
      </c>
      <c r="L3034" s="25" t="s">
        <v>819</v>
      </c>
      <c r="M3034" s="25" t="s">
        <v>408</v>
      </c>
      <c r="N3034" s="25" t="s">
        <v>11</v>
      </c>
      <c r="O3034" s="25" t="s">
        <v>11</v>
      </c>
      <c r="P3034" s="25" t="s">
        <v>2</v>
      </c>
      <c r="Q3034" s="25" t="s">
        <v>408</v>
      </c>
      <c r="R3034" s="25" t="s">
        <v>439</v>
      </c>
      <c r="S3034" s="25" t="s">
        <v>451</v>
      </c>
      <c r="T3034" s="25" t="s">
        <v>11</v>
      </c>
      <c r="U3034" s="25" t="s">
        <v>408</v>
      </c>
    </row>
    <row r="3035" spans="1:21" x14ac:dyDescent="0.25">
      <c r="A3035" s="26">
        <v>24567306</v>
      </c>
      <c r="B3035" s="25" t="s">
        <v>340</v>
      </c>
      <c r="C3035" s="25" t="s">
        <v>86</v>
      </c>
      <c r="D3035" s="25" t="s">
        <v>12</v>
      </c>
      <c r="E3035" s="25" t="s">
        <v>629</v>
      </c>
      <c r="F3035" s="25" t="s">
        <v>395</v>
      </c>
      <c r="G3035" s="25" t="s">
        <v>369</v>
      </c>
      <c r="H3035" s="25" t="s">
        <v>675</v>
      </c>
      <c r="I3035" s="25" t="s">
        <v>826</v>
      </c>
      <c r="J3035" s="25" t="s">
        <v>827</v>
      </c>
      <c r="K3035" s="25" t="s">
        <v>444</v>
      </c>
      <c r="L3035" s="25" t="s">
        <v>5</v>
      </c>
      <c r="M3035" s="25" t="s">
        <v>408</v>
      </c>
      <c r="N3035" s="25" t="s">
        <v>11</v>
      </c>
      <c r="O3035" s="25" t="s">
        <v>11</v>
      </c>
      <c r="P3035" s="25" t="s">
        <v>2</v>
      </c>
      <c r="Q3035" s="25" t="s">
        <v>408</v>
      </c>
      <c r="R3035" s="25" t="s">
        <v>439</v>
      </c>
      <c r="S3035" s="25" t="s">
        <v>451</v>
      </c>
      <c r="T3035" s="25" t="s">
        <v>11</v>
      </c>
      <c r="U3035" s="25" t="s">
        <v>408</v>
      </c>
    </row>
    <row r="3036" spans="1:21" x14ac:dyDescent="0.25">
      <c r="A3036" s="26">
        <v>24567307</v>
      </c>
      <c r="B3036" s="25" t="s">
        <v>340</v>
      </c>
      <c r="C3036" s="25" t="s">
        <v>86</v>
      </c>
      <c r="D3036" s="25" t="s">
        <v>12</v>
      </c>
      <c r="E3036" s="25" t="s">
        <v>629</v>
      </c>
      <c r="F3036" s="25" t="s">
        <v>395</v>
      </c>
      <c r="G3036" s="25" t="s">
        <v>369</v>
      </c>
      <c r="H3036" s="25" t="s">
        <v>675</v>
      </c>
      <c r="I3036" s="25" t="s">
        <v>826</v>
      </c>
      <c r="J3036" s="25" t="s">
        <v>827</v>
      </c>
      <c r="K3036" s="25" t="s">
        <v>444</v>
      </c>
      <c r="L3036" s="25" t="s">
        <v>5</v>
      </c>
      <c r="M3036" s="25" t="s">
        <v>408</v>
      </c>
      <c r="N3036" s="25" t="s">
        <v>11</v>
      </c>
      <c r="O3036" s="25" t="s">
        <v>11</v>
      </c>
      <c r="P3036" s="25" t="s">
        <v>2</v>
      </c>
      <c r="Q3036" s="25" t="s">
        <v>408</v>
      </c>
      <c r="R3036" s="25" t="s">
        <v>439</v>
      </c>
      <c r="S3036" s="25" t="s">
        <v>451</v>
      </c>
      <c r="T3036" s="25" t="s">
        <v>11</v>
      </c>
      <c r="U3036" s="25" t="s">
        <v>408</v>
      </c>
    </row>
    <row r="3037" spans="1:21" x14ac:dyDescent="0.25">
      <c r="A3037" s="26">
        <v>24567308</v>
      </c>
      <c r="B3037" s="25" t="s">
        <v>342</v>
      </c>
      <c r="C3037" s="25" t="s">
        <v>89</v>
      </c>
      <c r="D3037" s="25" t="s">
        <v>12</v>
      </c>
      <c r="E3037" s="25" t="s">
        <v>629</v>
      </c>
      <c r="F3037" s="25" t="s">
        <v>395</v>
      </c>
      <c r="G3037" s="25" t="s">
        <v>369</v>
      </c>
      <c r="H3037" s="25" t="s">
        <v>1101</v>
      </c>
      <c r="I3037" s="25" t="s">
        <v>1102</v>
      </c>
      <c r="J3037" s="25" t="s">
        <v>1103</v>
      </c>
      <c r="K3037" s="25" t="s">
        <v>462</v>
      </c>
      <c r="L3037" s="25" t="s">
        <v>819</v>
      </c>
      <c r="M3037" s="25" t="s">
        <v>408</v>
      </c>
      <c r="N3037" s="25" t="s">
        <v>11</v>
      </c>
      <c r="O3037" s="25" t="s">
        <v>11</v>
      </c>
      <c r="P3037" s="25" t="s">
        <v>2</v>
      </c>
      <c r="Q3037" s="25" t="s">
        <v>408</v>
      </c>
      <c r="R3037" s="25" t="s">
        <v>439</v>
      </c>
      <c r="S3037" s="25" t="s">
        <v>451</v>
      </c>
      <c r="T3037" s="25" t="s">
        <v>11</v>
      </c>
      <c r="U3037" s="25" t="s">
        <v>408</v>
      </c>
    </row>
    <row r="3038" spans="1:21" x14ac:dyDescent="0.25">
      <c r="A3038" s="26">
        <v>24567309</v>
      </c>
      <c r="B3038" s="25" t="s">
        <v>342</v>
      </c>
      <c r="C3038" s="25" t="s">
        <v>89</v>
      </c>
      <c r="D3038" s="25" t="s">
        <v>12</v>
      </c>
      <c r="E3038" s="25" t="s">
        <v>629</v>
      </c>
      <c r="F3038" s="25" t="s">
        <v>395</v>
      </c>
      <c r="G3038" s="25" t="s">
        <v>369</v>
      </c>
      <c r="H3038" s="25" t="s">
        <v>675</v>
      </c>
      <c r="I3038" s="25" t="s">
        <v>826</v>
      </c>
      <c r="J3038" s="25" t="s">
        <v>827</v>
      </c>
      <c r="K3038" s="25" t="s">
        <v>444</v>
      </c>
      <c r="L3038" s="25" t="s">
        <v>5</v>
      </c>
      <c r="M3038" s="25" t="s">
        <v>408</v>
      </c>
      <c r="N3038" s="25" t="s">
        <v>11</v>
      </c>
      <c r="O3038" s="25" t="s">
        <v>11</v>
      </c>
      <c r="P3038" s="25" t="s">
        <v>2</v>
      </c>
      <c r="Q3038" s="25" t="s">
        <v>408</v>
      </c>
      <c r="R3038" s="25" t="s">
        <v>439</v>
      </c>
      <c r="S3038" s="25" t="s">
        <v>451</v>
      </c>
      <c r="T3038" s="25" t="s">
        <v>11</v>
      </c>
      <c r="U3038" s="25" t="s">
        <v>408</v>
      </c>
    </row>
    <row r="3039" spans="1:21" x14ac:dyDescent="0.25">
      <c r="A3039" s="26">
        <v>24567310</v>
      </c>
      <c r="B3039" s="25" t="s">
        <v>340</v>
      </c>
      <c r="C3039" s="25" t="s">
        <v>86</v>
      </c>
      <c r="D3039" s="25" t="s">
        <v>12</v>
      </c>
      <c r="E3039" s="25" t="s">
        <v>629</v>
      </c>
      <c r="F3039" s="25" t="s">
        <v>395</v>
      </c>
      <c r="G3039" s="25" t="s">
        <v>369</v>
      </c>
      <c r="H3039" s="25" t="s">
        <v>675</v>
      </c>
      <c r="I3039" s="25" t="s">
        <v>826</v>
      </c>
      <c r="J3039" s="25" t="s">
        <v>827</v>
      </c>
      <c r="K3039" s="25" t="s">
        <v>444</v>
      </c>
      <c r="L3039" s="25" t="s">
        <v>5</v>
      </c>
      <c r="M3039" s="25" t="s">
        <v>408</v>
      </c>
      <c r="N3039" s="25" t="s">
        <v>11</v>
      </c>
      <c r="O3039" s="25" t="s">
        <v>11</v>
      </c>
      <c r="P3039" s="25" t="s">
        <v>2</v>
      </c>
      <c r="Q3039" s="25" t="s">
        <v>408</v>
      </c>
      <c r="R3039" s="25" t="s">
        <v>439</v>
      </c>
      <c r="S3039" s="25" t="s">
        <v>451</v>
      </c>
      <c r="T3039" s="25" t="s">
        <v>11</v>
      </c>
      <c r="U3039" s="25" t="s">
        <v>408</v>
      </c>
    </row>
    <row r="3040" spans="1:21" x14ac:dyDescent="0.25">
      <c r="A3040" s="26">
        <v>24567312</v>
      </c>
      <c r="B3040" s="25" t="s">
        <v>340</v>
      </c>
      <c r="C3040" s="25" t="s">
        <v>86</v>
      </c>
      <c r="D3040" s="25" t="s">
        <v>12</v>
      </c>
      <c r="E3040" s="25" t="s">
        <v>629</v>
      </c>
      <c r="F3040" s="25" t="s">
        <v>395</v>
      </c>
      <c r="G3040" s="25" t="s">
        <v>369</v>
      </c>
      <c r="H3040" s="25" t="s">
        <v>675</v>
      </c>
      <c r="I3040" s="25" t="s">
        <v>826</v>
      </c>
      <c r="J3040" s="25" t="s">
        <v>827</v>
      </c>
      <c r="K3040" s="25" t="s">
        <v>444</v>
      </c>
      <c r="L3040" s="25" t="s">
        <v>5</v>
      </c>
      <c r="M3040" s="25" t="s">
        <v>408</v>
      </c>
      <c r="N3040" s="25" t="s">
        <v>11</v>
      </c>
      <c r="O3040" s="25" t="s">
        <v>11</v>
      </c>
      <c r="P3040" s="25" t="s">
        <v>2</v>
      </c>
      <c r="Q3040" s="25" t="s">
        <v>408</v>
      </c>
      <c r="R3040" s="25" t="s">
        <v>439</v>
      </c>
      <c r="S3040" s="25" t="s">
        <v>451</v>
      </c>
      <c r="T3040" s="25" t="s">
        <v>11</v>
      </c>
      <c r="U3040" s="25" t="s">
        <v>408</v>
      </c>
    </row>
    <row r="3041" spans="1:21" x14ac:dyDescent="0.25">
      <c r="A3041" s="26">
        <v>24567313</v>
      </c>
      <c r="B3041" s="25" t="s">
        <v>342</v>
      </c>
      <c r="C3041" s="25" t="s">
        <v>89</v>
      </c>
      <c r="D3041" s="25" t="s">
        <v>18</v>
      </c>
      <c r="E3041" s="25" t="s">
        <v>629</v>
      </c>
      <c r="F3041" s="25" t="s">
        <v>395</v>
      </c>
      <c r="G3041" s="25" t="s">
        <v>369</v>
      </c>
      <c r="H3041" s="25" t="s">
        <v>1101</v>
      </c>
      <c r="I3041" s="25" t="s">
        <v>1102</v>
      </c>
      <c r="J3041" s="25" t="s">
        <v>1103</v>
      </c>
      <c r="K3041" s="25" t="s">
        <v>462</v>
      </c>
      <c r="L3041" s="25" t="s">
        <v>819</v>
      </c>
      <c r="M3041" s="25" t="s">
        <v>408</v>
      </c>
      <c r="N3041" s="25" t="s">
        <v>11</v>
      </c>
      <c r="O3041" s="25" t="s">
        <v>11</v>
      </c>
      <c r="P3041" s="25" t="s">
        <v>2</v>
      </c>
      <c r="Q3041" s="25" t="s">
        <v>408</v>
      </c>
      <c r="R3041" s="25" t="s">
        <v>439</v>
      </c>
      <c r="S3041" s="25" t="s">
        <v>451</v>
      </c>
      <c r="T3041" s="25" t="s">
        <v>11</v>
      </c>
      <c r="U3041" s="25" t="s">
        <v>408</v>
      </c>
    </row>
    <row r="3042" spans="1:21" x14ac:dyDescent="0.25">
      <c r="A3042" s="26">
        <v>24567314</v>
      </c>
      <c r="B3042" s="25" t="s">
        <v>342</v>
      </c>
      <c r="C3042" s="25" t="s">
        <v>89</v>
      </c>
      <c r="D3042" s="25" t="s">
        <v>12</v>
      </c>
      <c r="E3042" s="25" t="s">
        <v>629</v>
      </c>
      <c r="F3042" s="25" t="s">
        <v>395</v>
      </c>
      <c r="G3042" s="25" t="s">
        <v>369</v>
      </c>
      <c r="H3042" s="25" t="s">
        <v>675</v>
      </c>
      <c r="I3042" s="25" t="s">
        <v>826</v>
      </c>
      <c r="J3042" s="25" t="s">
        <v>827</v>
      </c>
      <c r="K3042" s="25" t="s">
        <v>444</v>
      </c>
      <c r="L3042" s="25" t="s">
        <v>5</v>
      </c>
      <c r="M3042" s="25" t="s">
        <v>408</v>
      </c>
      <c r="N3042" s="25" t="s">
        <v>11</v>
      </c>
      <c r="O3042" s="25" t="s">
        <v>11</v>
      </c>
      <c r="P3042" s="25" t="s">
        <v>2</v>
      </c>
      <c r="Q3042" s="25" t="s">
        <v>408</v>
      </c>
      <c r="R3042" s="25" t="s">
        <v>439</v>
      </c>
      <c r="S3042" s="25" t="s">
        <v>451</v>
      </c>
      <c r="T3042" s="25" t="s">
        <v>11</v>
      </c>
      <c r="U3042" s="25" t="s">
        <v>408</v>
      </c>
    </row>
    <row r="3043" spans="1:21" x14ac:dyDescent="0.25">
      <c r="A3043" s="26">
        <v>24567315</v>
      </c>
      <c r="B3043" s="25" t="s">
        <v>340</v>
      </c>
      <c r="C3043" s="25" t="s">
        <v>86</v>
      </c>
      <c r="D3043" s="25" t="s">
        <v>12</v>
      </c>
      <c r="E3043" s="25" t="s">
        <v>629</v>
      </c>
      <c r="F3043" s="25" t="s">
        <v>395</v>
      </c>
      <c r="G3043" s="25" t="s">
        <v>369</v>
      </c>
      <c r="H3043" s="25" t="s">
        <v>675</v>
      </c>
      <c r="I3043" s="25" t="s">
        <v>826</v>
      </c>
      <c r="J3043" s="25" t="s">
        <v>827</v>
      </c>
      <c r="K3043" s="25" t="s">
        <v>444</v>
      </c>
      <c r="L3043" s="25" t="s">
        <v>5</v>
      </c>
      <c r="M3043" s="25" t="s">
        <v>408</v>
      </c>
      <c r="N3043" s="25" t="s">
        <v>11</v>
      </c>
      <c r="O3043" s="25" t="s">
        <v>11</v>
      </c>
      <c r="P3043" s="25" t="s">
        <v>2</v>
      </c>
      <c r="Q3043" s="25" t="s">
        <v>408</v>
      </c>
      <c r="R3043" s="25" t="s">
        <v>439</v>
      </c>
      <c r="S3043" s="25" t="s">
        <v>451</v>
      </c>
      <c r="T3043" s="25" t="s">
        <v>11</v>
      </c>
      <c r="U3043" s="25" t="s">
        <v>408</v>
      </c>
    </row>
    <row r="3044" spans="1:21" x14ac:dyDescent="0.25">
      <c r="A3044" s="26">
        <v>24567316</v>
      </c>
      <c r="B3044" s="25" t="s">
        <v>342</v>
      </c>
      <c r="C3044" s="25" t="s">
        <v>89</v>
      </c>
      <c r="D3044" s="25" t="s">
        <v>18</v>
      </c>
      <c r="E3044" s="25" t="s">
        <v>629</v>
      </c>
      <c r="F3044" s="25" t="s">
        <v>395</v>
      </c>
      <c r="G3044" s="25" t="s">
        <v>369</v>
      </c>
      <c r="H3044" s="25" t="s">
        <v>1101</v>
      </c>
      <c r="I3044" s="25" t="s">
        <v>1102</v>
      </c>
      <c r="J3044" s="25" t="s">
        <v>1103</v>
      </c>
      <c r="K3044" s="25" t="s">
        <v>462</v>
      </c>
      <c r="L3044" s="25" t="s">
        <v>819</v>
      </c>
      <c r="M3044" s="25" t="s">
        <v>408</v>
      </c>
      <c r="N3044" s="25" t="s">
        <v>11</v>
      </c>
      <c r="O3044" s="25" t="s">
        <v>11</v>
      </c>
      <c r="P3044" s="25" t="s">
        <v>2</v>
      </c>
      <c r="Q3044" s="25" t="s">
        <v>408</v>
      </c>
      <c r="R3044" s="25" t="s">
        <v>439</v>
      </c>
      <c r="S3044" s="25" t="s">
        <v>451</v>
      </c>
      <c r="T3044" s="25" t="s">
        <v>11</v>
      </c>
      <c r="U3044" s="25" t="s">
        <v>408</v>
      </c>
    </row>
    <row r="3045" spans="1:21" x14ac:dyDescent="0.25">
      <c r="A3045" s="26">
        <v>24567317</v>
      </c>
      <c r="B3045" s="25" t="s">
        <v>342</v>
      </c>
      <c r="C3045" s="25" t="s">
        <v>89</v>
      </c>
      <c r="D3045" s="25" t="s">
        <v>12</v>
      </c>
      <c r="E3045" s="25" t="s">
        <v>629</v>
      </c>
      <c r="F3045" s="25" t="s">
        <v>395</v>
      </c>
      <c r="G3045" s="25" t="s">
        <v>369</v>
      </c>
      <c r="H3045" s="25" t="s">
        <v>1101</v>
      </c>
      <c r="I3045" s="25" t="s">
        <v>1102</v>
      </c>
      <c r="J3045" s="25" t="s">
        <v>1103</v>
      </c>
      <c r="K3045" s="25" t="s">
        <v>462</v>
      </c>
      <c r="L3045" s="25" t="s">
        <v>819</v>
      </c>
      <c r="M3045" s="25" t="s">
        <v>408</v>
      </c>
      <c r="N3045" s="25" t="s">
        <v>11</v>
      </c>
      <c r="O3045" s="25" t="s">
        <v>11</v>
      </c>
      <c r="P3045" s="25" t="s">
        <v>2</v>
      </c>
      <c r="Q3045" s="25" t="s">
        <v>408</v>
      </c>
      <c r="R3045" s="25" t="s">
        <v>439</v>
      </c>
      <c r="S3045" s="25" t="s">
        <v>451</v>
      </c>
      <c r="T3045" s="25" t="s">
        <v>11</v>
      </c>
      <c r="U3045" s="25" t="s">
        <v>408</v>
      </c>
    </row>
    <row r="3046" spans="1:21" x14ac:dyDescent="0.25">
      <c r="A3046" s="26">
        <v>24567318</v>
      </c>
      <c r="B3046" s="25" t="s">
        <v>340</v>
      </c>
      <c r="C3046" s="25" t="s">
        <v>86</v>
      </c>
      <c r="D3046" s="25" t="s">
        <v>12</v>
      </c>
      <c r="E3046" s="25" t="s">
        <v>629</v>
      </c>
      <c r="F3046" s="25" t="s">
        <v>395</v>
      </c>
      <c r="G3046" s="25" t="s">
        <v>369</v>
      </c>
      <c r="H3046" s="25" t="s">
        <v>675</v>
      </c>
      <c r="I3046" s="25" t="s">
        <v>826</v>
      </c>
      <c r="J3046" s="25" t="s">
        <v>827</v>
      </c>
      <c r="K3046" s="25" t="s">
        <v>444</v>
      </c>
      <c r="L3046" s="25" t="s">
        <v>5</v>
      </c>
      <c r="M3046" s="25" t="s">
        <v>408</v>
      </c>
      <c r="N3046" s="25" t="s">
        <v>11</v>
      </c>
      <c r="O3046" s="25" t="s">
        <v>11</v>
      </c>
      <c r="P3046" s="25" t="s">
        <v>2</v>
      </c>
      <c r="Q3046" s="25" t="s">
        <v>408</v>
      </c>
      <c r="R3046" s="25" t="s">
        <v>439</v>
      </c>
      <c r="S3046" s="25" t="s">
        <v>451</v>
      </c>
      <c r="T3046" s="25" t="s">
        <v>11</v>
      </c>
      <c r="U3046" s="25" t="s">
        <v>408</v>
      </c>
    </row>
    <row r="3047" spans="1:21" x14ac:dyDescent="0.25">
      <c r="A3047" s="26">
        <v>24567319</v>
      </c>
      <c r="B3047" s="25" t="s">
        <v>340</v>
      </c>
      <c r="C3047" s="25" t="s">
        <v>86</v>
      </c>
      <c r="D3047" s="25" t="s">
        <v>12</v>
      </c>
      <c r="E3047" s="25" t="s">
        <v>629</v>
      </c>
      <c r="F3047" s="25" t="s">
        <v>395</v>
      </c>
      <c r="G3047" s="25" t="s">
        <v>369</v>
      </c>
      <c r="H3047" s="25" t="s">
        <v>675</v>
      </c>
      <c r="I3047" s="25" t="s">
        <v>826</v>
      </c>
      <c r="J3047" s="25" t="s">
        <v>827</v>
      </c>
      <c r="K3047" s="25" t="s">
        <v>444</v>
      </c>
      <c r="L3047" s="25" t="s">
        <v>5</v>
      </c>
      <c r="M3047" s="25" t="s">
        <v>408</v>
      </c>
      <c r="N3047" s="25" t="s">
        <v>11</v>
      </c>
      <c r="O3047" s="25" t="s">
        <v>11</v>
      </c>
      <c r="P3047" s="25" t="s">
        <v>2</v>
      </c>
      <c r="Q3047" s="25" t="s">
        <v>408</v>
      </c>
      <c r="R3047" s="25" t="s">
        <v>439</v>
      </c>
      <c r="S3047" s="25" t="s">
        <v>451</v>
      </c>
      <c r="T3047" s="25" t="s">
        <v>11</v>
      </c>
      <c r="U3047" s="25" t="s">
        <v>408</v>
      </c>
    </row>
    <row r="3048" spans="1:21" x14ac:dyDescent="0.25">
      <c r="A3048" s="26">
        <v>24567320</v>
      </c>
      <c r="B3048" s="25" t="s">
        <v>340</v>
      </c>
      <c r="C3048" s="25" t="s">
        <v>86</v>
      </c>
      <c r="D3048" s="25" t="s">
        <v>18</v>
      </c>
      <c r="E3048" s="25" t="s">
        <v>629</v>
      </c>
      <c r="F3048" s="25" t="s">
        <v>395</v>
      </c>
      <c r="G3048" s="25" t="s">
        <v>369</v>
      </c>
      <c r="H3048" s="25" t="s">
        <v>675</v>
      </c>
      <c r="I3048" s="25" t="s">
        <v>826</v>
      </c>
      <c r="J3048" s="25" t="s">
        <v>827</v>
      </c>
      <c r="K3048" s="25" t="s">
        <v>444</v>
      </c>
      <c r="L3048" s="25" t="s">
        <v>5</v>
      </c>
      <c r="M3048" s="25" t="s">
        <v>408</v>
      </c>
      <c r="N3048" s="25" t="s">
        <v>11</v>
      </c>
      <c r="O3048" s="25" t="s">
        <v>11</v>
      </c>
      <c r="P3048" s="25" t="s">
        <v>2</v>
      </c>
      <c r="Q3048" s="25" t="s">
        <v>408</v>
      </c>
      <c r="R3048" s="25" t="s">
        <v>439</v>
      </c>
      <c r="S3048" s="25" t="s">
        <v>451</v>
      </c>
      <c r="T3048" s="25" t="s">
        <v>11</v>
      </c>
      <c r="U3048" s="25" t="s">
        <v>408</v>
      </c>
    </row>
    <row r="3049" spans="1:21" x14ac:dyDescent="0.25">
      <c r="A3049" s="26">
        <v>24567321</v>
      </c>
      <c r="B3049" s="25" t="s">
        <v>342</v>
      </c>
      <c r="C3049" s="25" t="s">
        <v>89</v>
      </c>
      <c r="D3049" s="25" t="s">
        <v>12</v>
      </c>
      <c r="E3049" s="25" t="s">
        <v>629</v>
      </c>
      <c r="F3049" s="25" t="s">
        <v>395</v>
      </c>
      <c r="G3049" s="25" t="s">
        <v>369</v>
      </c>
      <c r="H3049" s="25" t="s">
        <v>1098</v>
      </c>
      <c r="I3049" s="25" t="s">
        <v>826</v>
      </c>
      <c r="J3049" s="25" t="s">
        <v>1099</v>
      </c>
      <c r="K3049" s="25" t="s">
        <v>453</v>
      </c>
      <c r="L3049" s="25" t="s">
        <v>1100</v>
      </c>
      <c r="M3049" s="25" t="s">
        <v>408</v>
      </c>
      <c r="N3049" s="25" t="s">
        <v>11</v>
      </c>
      <c r="O3049" s="25" t="s">
        <v>11</v>
      </c>
      <c r="P3049" s="25" t="s">
        <v>2</v>
      </c>
      <c r="Q3049" s="25" t="s">
        <v>408</v>
      </c>
      <c r="R3049" s="25" t="s">
        <v>439</v>
      </c>
      <c r="S3049" s="25" t="s">
        <v>451</v>
      </c>
      <c r="T3049" s="25" t="s">
        <v>11</v>
      </c>
      <c r="U3049" s="25" t="s">
        <v>408</v>
      </c>
    </row>
    <row r="3050" spans="1:21" x14ac:dyDescent="0.25">
      <c r="A3050" s="26">
        <v>24567322</v>
      </c>
      <c r="B3050" s="25" t="s">
        <v>342</v>
      </c>
      <c r="C3050" s="25" t="s">
        <v>89</v>
      </c>
      <c r="D3050" s="25" t="s">
        <v>12</v>
      </c>
      <c r="E3050" s="25" t="s">
        <v>629</v>
      </c>
      <c r="F3050" s="25" t="s">
        <v>395</v>
      </c>
      <c r="G3050" s="25" t="s">
        <v>369</v>
      </c>
      <c r="H3050" s="25" t="s">
        <v>1101</v>
      </c>
      <c r="I3050" s="25" t="s">
        <v>1102</v>
      </c>
      <c r="J3050" s="25" t="s">
        <v>1103</v>
      </c>
      <c r="K3050" s="25" t="s">
        <v>462</v>
      </c>
      <c r="L3050" s="25" t="s">
        <v>819</v>
      </c>
      <c r="M3050" s="25" t="s">
        <v>408</v>
      </c>
      <c r="N3050" s="25" t="s">
        <v>11</v>
      </c>
      <c r="O3050" s="25" t="s">
        <v>408</v>
      </c>
      <c r="P3050" s="25" t="s">
        <v>2</v>
      </c>
      <c r="Q3050" s="25" t="s">
        <v>408</v>
      </c>
      <c r="R3050" s="25" t="s">
        <v>439</v>
      </c>
      <c r="S3050" s="25" t="s">
        <v>451</v>
      </c>
      <c r="T3050" s="25" t="s">
        <v>11</v>
      </c>
      <c r="U3050" s="25" t="s">
        <v>408</v>
      </c>
    </row>
    <row r="3051" spans="1:21" x14ac:dyDescent="0.25">
      <c r="A3051" s="26">
        <v>24567323</v>
      </c>
      <c r="B3051" s="25" t="s">
        <v>342</v>
      </c>
      <c r="C3051" s="25" t="s">
        <v>89</v>
      </c>
      <c r="D3051" s="25" t="s">
        <v>12</v>
      </c>
      <c r="E3051" s="25" t="s">
        <v>629</v>
      </c>
      <c r="F3051" s="25" t="s">
        <v>395</v>
      </c>
      <c r="G3051" s="25" t="s">
        <v>369</v>
      </c>
      <c r="H3051" s="25" t="s">
        <v>675</v>
      </c>
      <c r="I3051" s="25" t="s">
        <v>826</v>
      </c>
      <c r="J3051" s="25" t="s">
        <v>827</v>
      </c>
      <c r="K3051" s="25" t="s">
        <v>444</v>
      </c>
      <c r="L3051" s="25" t="s">
        <v>5</v>
      </c>
      <c r="M3051" s="25" t="s">
        <v>408</v>
      </c>
      <c r="N3051" s="25" t="s">
        <v>11</v>
      </c>
      <c r="O3051" s="25" t="s">
        <v>11</v>
      </c>
      <c r="P3051" s="25" t="s">
        <v>2</v>
      </c>
      <c r="Q3051" s="25" t="s">
        <v>408</v>
      </c>
      <c r="R3051" s="25" t="s">
        <v>439</v>
      </c>
      <c r="S3051" s="25" t="s">
        <v>451</v>
      </c>
      <c r="T3051" s="25" t="s">
        <v>11</v>
      </c>
      <c r="U3051" s="25" t="s">
        <v>408</v>
      </c>
    </row>
    <row r="3052" spans="1:21" x14ac:dyDescent="0.25">
      <c r="A3052" s="26">
        <v>24567324</v>
      </c>
      <c r="B3052" s="25" t="s">
        <v>340</v>
      </c>
      <c r="C3052" s="25" t="s">
        <v>86</v>
      </c>
      <c r="D3052" s="25" t="s">
        <v>12</v>
      </c>
      <c r="E3052" s="25" t="s">
        <v>629</v>
      </c>
      <c r="F3052" s="25" t="s">
        <v>395</v>
      </c>
      <c r="G3052" s="25" t="s">
        <v>369</v>
      </c>
      <c r="H3052" s="25" t="s">
        <v>675</v>
      </c>
      <c r="I3052" s="25" t="s">
        <v>826</v>
      </c>
      <c r="J3052" s="25" t="s">
        <v>827</v>
      </c>
      <c r="K3052" s="25" t="s">
        <v>444</v>
      </c>
      <c r="L3052" s="25" t="s">
        <v>5</v>
      </c>
      <c r="M3052" s="25" t="s">
        <v>408</v>
      </c>
      <c r="N3052" s="25" t="s">
        <v>11</v>
      </c>
      <c r="O3052" s="25" t="s">
        <v>11</v>
      </c>
      <c r="P3052" s="25" t="s">
        <v>2</v>
      </c>
      <c r="Q3052" s="25" t="s">
        <v>408</v>
      </c>
      <c r="R3052" s="25" t="s">
        <v>439</v>
      </c>
      <c r="S3052" s="25" t="s">
        <v>451</v>
      </c>
      <c r="T3052" s="25" t="s">
        <v>11</v>
      </c>
      <c r="U3052" s="25" t="s">
        <v>408</v>
      </c>
    </row>
    <row r="3053" spans="1:21" x14ac:dyDescent="0.25">
      <c r="A3053" s="26">
        <v>24567325</v>
      </c>
      <c r="B3053" s="25" t="s">
        <v>342</v>
      </c>
      <c r="C3053" s="25" t="s">
        <v>89</v>
      </c>
      <c r="D3053" s="25" t="s">
        <v>12</v>
      </c>
      <c r="E3053" s="25" t="s">
        <v>755</v>
      </c>
      <c r="F3053" s="25" t="s">
        <v>380</v>
      </c>
      <c r="G3053" s="25" t="s">
        <v>369</v>
      </c>
      <c r="H3053" s="25" t="s">
        <v>1101</v>
      </c>
      <c r="I3053" s="25" t="s">
        <v>1102</v>
      </c>
      <c r="J3053" s="25" t="s">
        <v>1103</v>
      </c>
      <c r="K3053" s="25" t="s">
        <v>462</v>
      </c>
      <c r="L3053" s="25" t="s">
        <v>819</v>
      </c>
      <c r="M3053" s="25" t="s">
        <v>408</v>
      </c>
      <c r="N3053" s="25" t="s">
        <v>11</v>
      </c>
      <c r="O3053" s="25" t="s">
        <v>11</v>
      </c>
      <c r="P3053" s="25" t="s">
        <v>2</v>
      </c>
      <c r="Q3053" s="25" t="s">
        <v>408</v>
      </c>
      <c r="R3053" s="25" t="s">
        <v>439</v>
      </c>
      <c r="S3053" s="25" t="s">
        <v>451</v>
      </c>
      <c r="T3053" s="25" t="s">
        <v>11</v>
      </c>
      <c r="U3053" s="25" t="s">
        <v>408</v>
      </c>
    </row>
    <row r="3054" spans="1:21" x14ac:dyDescent="0.25">
      <c r="A3054" s="26">
        <v>24567326</v>
      </c>
      <c r="B3054" s="25" t="s">
        <v>340</v>
      </c>
      <c r="C3054" s="25" t="s">
        <v>86</v>
      </c>
      <c r="D3054" s="25" t="s">
        <v>12</v>
      </c>
      <c r="E3054" s="25" t="s">
        <v>755</v>
      </c>
      <c r="F3054" s="25" t="s">
        <v>380</v>
      </c>
      <c r="G3054" s="25" t="s">
        <v>369</v>
      </c>
      <c r="H3054" s="25" t="s">
        <v>675</v>
      </c>
      <c r="I3054" s="25" t="s">
        <v>826</v>
      </c>
      <c r="J3054" s="25" t="s">
        <v>827</v>
      </c>
      <c r="K3054" s="25" t="s">
        <v>444</v>
      </c>
      <c r="L3054" s="25" t="s">
        <v>5</v>
      </c>
      <c r="M3054" s="25" t="s">
        <v>408</v>
      </c>
      <c r="N3054" s="25" t="s">
        <v>11</v>
      </c>
      <c r="O3054" s="25" t="s">
        <v>11</v>
      </c>
      <c r="P3054" s="25" t="s">
        <v>2</v>
      </c>
      <c r="Q3054" s="25" t="s">
        <v>408</v>
      </c>
      <c r="R3054" s="25" t="s">
        <v>439</v>
      </c>
      <c r="S3054" s="25" t="s">
        <v>451</v>
      </c>
      <c r="T3054" s="25" t="s">
        <v>11</v>
      </c>
      <c r="U3054" s="25" t="s">
        <v>408</v>
      </c>
    </row>
    <row r="3055" spans="1:21" x14ac:dyDescent="0.25">
      <c r="A3055" s="26">
        <v>24567327</v>
      </c>
      <c r="B3055" s="25" t="s">
        <v>342</v>
      </c>
      <c r="C3055" s="25" t="s">
        <v>89</v>
      </c>
      <c r="D3055" s="25" t="s">
        <v>12</v>
      </c>
      <c r="E3055" s="25" t="s">
        <v>755</v>
      </c>
      <c r="F3055" s="25" t="s">
        <v>380</v>
      </c>
      <c r="G3055" s="25" t="s">
        <v>369</v>
      </c>
      <c r="H3055" s="25" t="s">
        <v>675</v>
      </c>
      <c r="I3055" s="25" t="s">
        <v>826</v>
      </c>
      <c r="J3055" s="25" t="s">
        <v>827</v>
      </c>
      <c r="K3055" s="25" t="s">
        <v>444</v>
      </c>
      <c r="L3055" s="25" t="s">
        <v>5</v>
      </c>
      <c r="M3055" s="25" t="s">
        <v>408</v>
      </c>
      <c r="N3055" s="25" t="s">
        <v>11</v>
      </c>
      <c r="O3055" s="25" t="s">
        <v>11</v>
      </c>
      <c r="P3055" s="25" t="s">
        <v>2</v>
      </c>
      <c r="Q3055" s="25" t="s">
        <v>408</v>
      </c>
      <c r="R3055" s="25" t="s">
        <v>439</v>
      </c>
      <c r="S3055" s="25" t="s">
        <v>451</v>
      </c>
      <c r="T3055" s="25" t="s">
        <v>11</v>
      </c>
      <c r="U3055" s="25" t="s">
        <v>408</v>
      </c>
    </row>
    <row r="3056" spans="1:21" x14ac:dyDescent="0.25">
      <c r="A3056" s="26">
        <v>24567328</v>
      </c>
      <c r="B3056" s="25" t="s">
        <v>342</v>
      </c>
      <c r="C3056" s="25" t="s">
        <v>89</v>
      </c>
      <c r="D3056" s="25" t="s">
        <v>18</v>
      </c>
      <c r="E3056" s="25" t="s">
        <v>755</v>
      </c>
      <c r="F3056" s="25" t="s">
        <v>380</v>
      </c>
      <c r="G3056" s="25" t="s">
        <v>369</v>
      </c>
      <c r="H3056" s="25" t="s">
        <v>675</v>
      </c>
      <c r="I3056" s="25" t="s">
        <v>826</v>
      </c>
      <c r="J3056" s="25" t="s">
        <v>827</v>
      </c>
      <c r="K3056" s="25" t="s">
        <v>444</v>
      </c>
      <c r="L3056" s="25" t="s">
        <v>5</v>
      </c>
      <c r="M3056" s="25" t="s">
        <v>408</v>
      </c>
      <c r="N3056" s="25" t="s">
        <v>11</v>
      </c>
      <c r="O3056" s="25" t="s">
        <v>11</v>
      </c>
      <c r="P3056" s="25" t="s">
        <v>2</v>
      </c>
      <c r="Q3056" s="25" t="s">
        <v>408</v>
      </c>
      <c r="R3056" s="25" t="s">
        <v>439</v>
      </c>
      <c r="S3056" s="25" t="s">
        <v>451</v>
      </c>
      <c r="T3056" s="25" t="s">
        <v>11</v>
      </c>
      <c r="U3056" s="25" t="s">
        <v>408</v>
      </c>
    </row>
    <row r="3057" spans="1:21" x14ac:dyDescent="0.25">
      <c r="A3057" s="26">
        <v>24567329</v>
      </c>
      <c r="B3057" s="25" t="s">
        <v>342</v>
      </c>
      <c r="C3057" s="25" t="s">
        <v>89</v>
      </c>
      <c r="D3057" s="25" t="s">
        <v>12</v>
      </c>
      <c r="E3057" s="25" t="s">
        <v>755</v>
      </c>
      <c r="F3057" s="25" t="s">
        <v>380</v>
      </c>
      <c r="G3057" s="25" t="s">
        <v>369</v>
      </c>
      <c r="H3057" s="25" t="s">
        <v>1101</v>
      </c>
      <c r="I3057" s="25" t="s">
        <v>1102</v>
      </c>
      <c r="J3057" s="25" t="s">
        <v>1103</v>
      </c>
      <c r="K3057" s="25" t="s">
        <v>462</v>
      </c>
      <c r="L3057" s="25" t="s">
        <v>819</v>
      </c>
      <c r="M3057" s="25" t="s">
        <v>408</v>
      </c>
      <c r="N3057" s="25" t="s">
        <v>11</v>
      </c>
      <c r="O3057" s="25" t="s">
        <v>11</v>
      </c>
      <c r="P3057" s="25" t="s">
        <v>2</v>
      </c>
      <c r="Q3057" s="25" t="s">
        <v>408</v>
      </c>
      <c r="R3057" s="25" t="s">
        <v>439</v>
      </c>
      <c r="S3057" s="25" t="s">
        <v>451</v>
      </c>
      <c r="T3057" s="25" t="s">
        <v>11</v>
      </c>
      <c r="U3057" s="25" t="s">
        <v>408</v>
      </c>
    </row>
    <row r="3058" spans="1:21" x14ac:dyDescent="0.25">
      <c r="A3058" s="26">
        <v>24567330</v>
      </c>
      <c r="B3058" s="25" t="s">
        <v>340</v>
      </c>
      <c r="C3058" s="25" t="s">
        <v>86</v>
      </c>
      <c r="D3058" s="25" t="s">
        <v>12</v>
      </c>
      <c r="E3058" s="25" t="s">
        <v>755</v>
      </c>
      <c r="F3058" s="25" t="s">
        <v>380</v>
      </c>
      <c r="G3058" s="25" t="s">
        <v>369</v>
      </c>
      <c r="H3058" s="25" t="s">
        <v>675</v>
      </c>
      <c r="I3058" s="25" t="s">
        <v>826</v>
      </c>
      <c r="J3058" s="25" t="s">
        <v>827</v>
      </c>
      <c r="K3058" s="25" t="s">
        <v>444</v>
      </c>
      <c r="L3058" s="25" t="s">
        <v>5</v>
      </c>
      <c r="M3058" s="25" t="s">
        <v>408</v>
      </c>
      <c r="N3058" s="25" t="s">
        <v>11</v>
      </c>
      <c r="O3058" s="25" t="s">
        <v>11</v>
      </c>
      <c r="P3058" s="25" t="s">
        <v>2</v>
      </c>
      <c r="Q3058" s="25" t="s">
        <v>408</v>
      </c>
      <c r="R3058" s="25" t="s">
        <v>439</v>
      </c>
      <c r="S3058" s="25" t="s">
        <v>451</v>
      </c>
      <c r="T3058" s="25" t="s">
        <v>11</v>
      </c>
      <c r="U3058" s="25" t="s">
        <v>408</v>
      </c>
    </row>
    <row r="3059" spans="1:21" x14ac:dyDescent="0.25">
      <c r="A3059" s="26">
        <v>24567331</v>
      </c>
      <c r="B3059" s="25" t="s">
        <v>342</v>
      </c>
      <c r="C3059" s="25" t="s">
        <v>89</v>
      </c>
      <c r="D3059" s="25" t="s">
        <v>12</v>
      </c>
      <c r="E3059" s="25" t="s">
        <v>755</v>
      </c>
      <c r="F3059" s="25" t="s">
        <v>380</v>
      </c>
      <c r="G3059" s="25" t="s">
        <v>369</v>
      </c>
      <c r="H3059" s="25" t="s">
        <v>1101</v>
      </c>
      <c r="I3059" s="25" t="s">
        <v>1102</v>
      </c>
      <c r="J3059" s="25" t="s">
        <v>1103</v>
      </c>
      <c r="K3059" s="25" t="s">
        <v>462</v>
      </c>
      <c r="L3059" s="25" t="s">
        <v>819</v>
      </c>
      <c r="M3059" s="25" t="s">
        <v>408</v>
      </c>
      <c r="N3059" s="25" t="s">
        <v>11</v>
      </c>
      <c r="O3059" s="25" t="s">
        <v>11</v>
      </c>
      <c r="P3059" s="25" t="s">
        <v>2</v>
      </c>
      <c r="Q3059" s="25" t="s">
        <v>408</v>
      </c>
      <c r="R3059" s="25" t="s">
        <v>439</v>
      </c>
      <c r="S3059" s="25" t="s">
        <v>451</v>
      </c>
      <c r="T3059" s="25" t="s">
        <v>11</v>
      </c>
      <c r="U3059" s="25" t="s">
        <v>408</v>
      </c>
    </row>
    <row r="3060" spans="1:21" x14ac:dyDescent="0.25">
      <c r="A3060" s="26">
        <v>24567332</v>
      </c>
      <c r="B3060" s="25" t="s">
        <v>342</v>
      </c>
      <c r="C3060" s="25" t="s">
        <v>89</v>
      </c>
      <c r="D3060" s="25" t="s">
        <v>12</v>
      </c>
      <c r="E3060" s="25" t="s">
        <v>755</v>
      </c>
      <c r="F3060" s="25" t="s">
        <v>380</v>
      </c>
      <c r="G3060" s="25" t="s">
        <v>369</v>
      </c>
      <c r="H3060" s="25" t="s">
        <v>675</v>
      </c>
      <c r="I3060" s="25" t="s">
        <v>826</v>
      </c>
      <c r="J3060" s="25" t="s">
        <v>827</v>
      </c>
      <c r="K3060" s="25" t="s">
        <v>444</v>
      </c>
      <c r="L3060" s="25" t="s">
        <v>5</v>
      </c>
      <c r="M3060" s="25" t="s">
        <v>408</v>
      </c>
      <c r="N3060" s="25" t="s">
        <v>11</v>
      </c>
      <c r="O3060" s="25" t="s">
        <v>11</v>
      </c>
      <c r="P3060" s="25" t="s">
        <v>2</v>
      </c>
      <c r="Q3060" s="25" t="s">
        <v>408</v>
      </c>
      <c r="R3060" s="25" t="s">
        <v>439</v>
      </c>
      <c r="S3060" s="25" t="s">
        <v>451</v>
      </c>
      <c r="T3060" s="25" t="s">
        <v>11</v>
      </c>
      <c r="U3060" s="25" t="s">
        <v>408</v>
      </c>
    </row>
    <row r="3061" spans="1:21" x14ac:dyDescent="0.25">
      <c r="A3061" s="26">
        <v>24567333</v>
      </c>
      <c r="B3061" s="25" t="s">
        <v>342</v>
      </c>
      <c r="C3061" s="25" t="s">
        <v>89</v>
      </c>
      <c r="D3061" s="25" t="s">
        <v>12</v>
      </c>
      <c r="E3061" s="25" t="s">
        <v>755</v>
      </c>
      <c r="F3061" s="25" t="s">
        <v>380</v>
      </c>
      <c r="G3061" s="25" t="s">
        <v>369</v>
      </c>
      <c r="H3061" s="25" t="s">
        <v>674</v>
      </c>
      <c r="I3061" s="25" t="s">
        <v>849</v>
      </c>
      <c r="J3061" s="25" t="s">
        <v>848</v>
      </c>
      <c r="K3061" s="25" t="s">
        <v>442</v>
      </c>
      <c r="L3061" s="25" t="s">
        <v>367</v>
      </c>
      <c r="M3061" s="25" t="s">
        <v>408</v>
      </c>
      <c r="N3061" s="25" t="s">
        <v>11</v>
      </c>
      <c r="O3061" s="25" t="s">
        <v>11</v>
      </c>
      <c r="P3061" s="25" t="s">
        <v>2</v>
      </c>
      <c r="Q3061" s="25" t="s">
        <v>408</v>
      </c>
      <c r="R3061" s="25" t="s">
        <v>439</v>
      </c>
      <c r="S3061" s="25" t="s">
        <v>451</v>
      </c>
      <c r="T3061" s="25" t="s">
        <v>11</v>
      </c>
      <c r="U3061" s="25" t="s">
        <v>408</v>
      </c>
    </row>
    <row r="3062" spans="1:21" x14ac:dyDescent="0.25">
      <c r="A3062" s="26">
        <v>24567334</v>
      </c>
      <c r="B3062" s="25" t="s">
        <v>340</v>
      </c>
      <c r="C3062" s="25" t="s">
        <v>86</v>
      </c>
      <c r="D3062" s="25" t="s">
        <v>12</v>
      </c>
      <c r="E3062" s="25" t="s">
        <v>630</v>
      </c>
      <c r="F3062" s="25" t="s">
        <v>383</v>
      </c>
      <c r="G3062" s="25" t="s">
        <v>369</v>
      </c>
      <c r="H3062" s="25" t="s">
        <v>675</v>
      </c>
      <c r="I3062" s="25" t="s">
        <v>826</v>
      </c>
      <c r="J3062" s="25" t="s">
        <v>827</v>
      </c>
      <c r="K3062" s="25" t="s">
        <v>444</v>
      </c>
      <c r="L3062" s="25" t="s">
        <v>5</v>
      </c>
      <c r="M3062" s="25" t="s">
        <v>408</v>
      </c>
      <c r="N3062" s="25" t="s">
        <v>11</v>
      </c>
      <c r="O3062" s="25" t="s">
        <v>11</v>
      </c>
      <c r="P3062" s="25" t="s">
        <v>2</v>
      </c>
      <c r="Q3062" s="25" t="s">
        <v>408</v>
      </c>
      <c r="R3062" s="25" t="s">
        <v>439</v>
      </c>
      <c r="S3062" s="25" t="s">
        <v>451</v>
      </c>
      <c r="T3062" s="25" t="s">
        <v>11</v>
      </c>
      <c r="U3062" s="25" t="s">
        <v>408</v>
      </c>
    </row>
    <row r="3063" spans="1:21" x14ac:dyDescent="0.25">
      <c r="A3063" s="26">
        <v>24567335</v>
      </c>
      <c r="B3063" s="25" t="s">
        <v>342</v>
      </c>
      <c r="C3063" s="25" t="s">
        <v>89</v>
      </c>
      <c r="D3063" s="25" t="s">
        <v>18</v>
      </c>
      <c r="E3063" s="25" t="s">
        <v>630</v>
      </c>
      <c r="F3063" s="25" t="s">
        <v>383</v>
      </c>
      <c r="G3063" s="25" t="s">
        <v>369</v>
      </c>
      <c r="H3063" s="25" t="s">
        <v>1101</v>
      </c>
      <c r="I3063" s="25" t="s">
        <v>1102</v>
      </c>
      <c r="J3063" s="25" t="s">
        <v>1103</v>
      </c>
      <c r="K3063" s="25" t="s">
        <v>462</v>
      </c>
      <c r="L3063" s="25" t="s">
        <v>819</v>
      </c>
      <c r="M3063" s="25" t="s">
        <v>408</v>
      </c>
      <c r="N3063" s="25" t="s">
        <v>11</v>
      </c>
      <c r="O3063" s="25" t="s">
        <v>11</v>
      </c>
      <c r="P3063" s="25" t="s">
        <v>2</v>
      </c>
      <c r="Q3063" s="25" t="s">
        <v>408</v>
      </c>
      <c r="R3063" s="25" t="s">
        <v>439</v>
      </c>
      <c r="S3063" s="25" t="s">
        <v>451</v>
      </c>
      <c r="T3063" s="25" t="s">
        <v>11</v>
      </c>
      <c r="U3063" s="25" t="s">
        <v>408</v>
      </c>
    </row>
    <row r="3064" spans="1:21" x14ac:dyDescent="0.25">
      <c r="A3064" s="26">
        <v>24567336</v>
      </c>
      <c r="B3064" s="25" t="s">
        <v>342</v>
      </c>
      <c r="C3064" s="25" t="s">
        <v>89</v>
      </c>
      <c r="D3064" s="25" t="s">
        <v>18</v>
      </c>
      <c r="E3064" s="25" t="s">
        <v>755</v>
      </c>
      <c r="F3064" s="25" t="s">
        <v>380</v>
      </c>
      <c r="G3064" s="25" t="s">
        <v>369</v>
      </c>
      <c r="H3064" s="25" t="s">
        <v>1098</v>
      </c>
      <c r="I3064" s="25" t="s">
        <v>826</v>
      </c>
      <c r="J3064" s="25" t="s">
        <v>1099</v>
      </c>
      <c r="K3064" s="25" t="s">
        <v>453</v>
      </c>
      <c r="L3064" s="25" t="s">
        <v>1100</v>
      </c>
      <c r="M3064" s="25" t="s">
        <v>408</v>
      </c>
      <c r="N3064" s="25" t="s">
        <v>11</v>
      </c>
      <c r="O3064" s="25" t="s">
        <v>11</v>
      </c>
      <c r="P3064" s="25" t="s">
        <v>2</v>
      </c>
      <c r="Q3064" s="25" t="s">
        <v>408</v>
      </c>
      <c r="R3064" s="25" t="s">
        <v>439</v>
      </c>
      <c r="S3064" s="25" t="s">
        <v>451</v>
      </c>
      <c r="T3064" s="25" t="s">
        <v>11</v>
      </c>
      <c r="U3064" s="25" t="s">
        <v>408</v>
      </c>
    </row>
    <row r="3065" spans="1:21" x14ac:dyDescent="0.25">
      <c r="A3065" s="26">
        <v>24567337</v>
      </c>
      <c r="B3065" s="25" t="s">
        <v>342</v>
      </c>
      <c r="C3065" s="25" t="s">
        <v>89</v>
      </c>
      <c r="D3065" s="25" t="s">
        <v>12</v>
      </c>
      <c r="E3065" s="25" t="s">
        <v>755</v>
      </c>
      <c r="F3065" s="25" t="s">
        <v>380</v>
      </c>
      <c r="G3065" s="25" t="s">
        <v>369</v>
      </c>
      <c r="H3065" s="25" t="s">
        <v>675</v>
      </c>
      <c r="I3065" s="25" t="s">
        <v>826</v>
      </c>
      <c r="J3065" s="25" t="s">
        <v>827</v>
      </c>
      <c r="K3065" s="25" t="s">
        <v>444</v>
      </c>
      <c r="L3065" s="25" t="s">
        <v>5</v>
      </c>
      <c r="M3065" s="25" t="s">
        <v>408</v>
      </c>
      <c r="N3065" s="25" t="s">
        <v>11</v>
      </c>
      <c r="O3065" s="25" t="s">
        <v>11</v>
      </c>
      <c r="P3065" s="25" t="s">
        <v>2</v>
      </c>
      <c r="Q3065" s="25" t="s">
        <v>408</v>
      </c>
      <c r="R3065" s="25" t="s">
        <v>439</v>
      </c>
      <c r="S3065" s="25" t="s">
        <v>451</v>
      </c>
      <c r="T3065" s="25" t="s">
        <v>11</v>
      </c>
      <c r="U3065" s="25" t="s">
        <v>408</v>
      </c>
    </row>
    <row r="3066" spans="1:21" x14ac:dyDescent="0.25">
      <c r="A3066" s="26">
        <v>24567338</v>
      </c>
      <c r="B3066" s="25" t="s">
        <v>340</v>
      </c>
      <c r="C3066" s="25" t="s">
        <v>86</v>
      </c>
      <c r="D3066" s="25" t="s">
        <v>12</v>
      </c>
      <c r="E3066" s="25" t="s">
        <v>755</v>
      </c>
      <c r="F3066" s="25" t="s">
        <v>380</v>
      </c>
      <c r="G3066" s="25" t="s">
        <v>369</v>
      </c>
      <c r="H3066" s="25" t="s">
        <v>675</v>
      </c>
      <c r="I3066" s="25" t="s">
        <v>826</v>
      </c>
      <c r="J3066" s="25" t="s">
        <v>827</v>
      </c>
      <c r="K3066" s="25" t="s">
        <v>444</v>
      </c>
      <c r="L3066" s="25" t="s">
        <v>5</v>
      </c>
      <c r="M3066" s="25" t="s">
        <v>408</v>
      </c>
      <c r="N3066" s="25" t="s">
        <v>11</v>
      </c>
      <c r="O3066" s="25" t="s">
        <v>11</v>
      </c>
      <c r="P3066" s="25" t="s">
        <v>2</v>
      </c>
      <c r="Q3066" s="25" t="s">
        <v>408</v>
      </c>
      <c r="R3066" s="25" t="s">
        <v>439</v>
      </c>
      <c r="S3066" s="25" t="s">
        <v>451</v>
      </c>
      <c r="T3066" s="25" t="s">
        <v>11</v>
      </c>
      <c r="U3066" s="25" t="s">
        <v>408</v>
      </c>
    </row>
    <row r="3067" spans="1:21" x14ac:dyDescent="0.25">
      <c r="A3067" s="26">
        <v>24567339</v>
      </c>
      <c r="B3067" s="25" t="s">
        <v>340</v>
      </c>
      <c r="C3067" s="25" t="s">
        <v>86</v>
      </c>
      <c r="D3067" s="25" t="s">
        <v>12</v>
      </c>
      <c r="E3067" s="25" t="s">
        <v>755</v>
      </c>
      <c r="F3067" s="25" t="s">
        <v>380</v>
      </c>
      <c r="G3067" s="25" t="s">
        <v>369</v>
      </c>
      <c r="H3067" s="25" t="s">
        <v>675</v>
      </c>
      <c r="I3067" s="25" t="s">
        <v>826</v>
      </c>
      <c r="J3067" s="25" t="s">
        <v>827</v>
      </c>
      <c r="K3067" s="25" t="s">
        <v>444</v>
      </c>
      <c r="L3067" s="25" t="s">
        <v>5</v>
      </c>
      <c r="M3067" s="25" t="s">
        <v>408</v>
      </c>
      <c r="N3067" s="25" t="s">
        <v>11</v>
      </c>
      <c r="O3067" s="25" t="s">
        <v>11</v>
      </c>
      <c r="P3067" s="25" t="s">
        <v>2</v>
      </c>
      <c r="Q3067" s="25" t="s">
        <v>408</v>
      </c>
      <c r="R3067" s="25" t="s">
        <v>439</v>
      </c>
      <c r="S3067" s="25" t="s">
        <v>451</v>
      </c>
      <c r="T3067" s="25" t="s">
        <v>11</v>
      </c>
      <c r="U3067" s="25" t="s">
        <v>408</v>
      </c>
    </row>
    <row r="3068" spans="1:21" x14ac:dyDescent="0.25">
      <c r="A3068" s="26">
        <v>24567340</v>
      </c>
      <c r="B3068" s="25" t="s">
        <v>342</v>
      </c>
      <c r="C3068" s="25" t="s">
        <v>89</v>
      </c>
      <c r="D3068" s="25" t="s">
        <v>12</v>
      </c>
      <c r="E3068" s="25" t="s">
        <v>755</v>
      </c>
      <c r="F3068" s="25" t="s">
        <v>380</v>
      </c>
      <c r="G3068" s="25" t="s">
        <v>369</v>
      </c>
      <c r="H3068" s="25" t="s">
        <v>675</v>
      </c>
      <c r="I3068" s="25" t="s">
        <v>826</v>
      </c>
      <c r="J3068" s="25" t="s">
        <v>827</v>
      </c>
      <c r="K3068" s="25" t="s">
        <v>444</v>
      </c>
      <c r="L3068" s="25" t="s">
        <v>5</v>
      </c>
      <c r="M3068" s="25" t="s">
        <v>408</v>
      </c>
      <c r="N3068" s="25" t="s">
        <v>11</v>
      </c>
      <c r="O3068" s="25" t="s">
        <v>11</v>
      </c>
      <c r="P3068" s="25" t="s">
        <v>2</v>
      </c>
      <c r="Q3068" s="25" t="s">
        <v>408</v>
      </c>
      <c r="R3068" s="25" t="s">
        <v>439</v>
      </c>
      <c r="S3068" s="25" t="s">
        <v>451</v>
      </c>
      <c r="T3068" s="25" t="s">
        <v>11</v>
      </c>
      <c r="U3068" s="25" t="s">
        <v>408</v>
      </c>
    </row>
    <row r="3069" spans="1:21" x14ac:dyDescent="0.25">
      <c r="A3069" s="26">
        <v>24567341</v>
      </c>
      <c r="B3069" s="25" t="s">
        <v>342</v>
      </c>
      <c r="C3069" s="25" t="s">
        <v>89</v>
      </c>
      <c r="D3069" s="25" t="s">
        <v>12</v>
      </c>
      <c r="E3069" s="25" t="s">
        <v>755</v>
      </c>
      <c r="F3069" s="25" t="s">
        <v>380</v>
      </c>
      <c r="G3069" s="25" t="s">
        <v>369</v>
      </c>
      <c r="H3069" s="25" t="s">
        <v>675</v>
      </c>
      <c r="I3069" s="25" t="s">
        <v>826</v>
      </c>
      <c r="J3069" s="25" t="s">
        <v>827</v>
      </c>
      <c r="K3069" s="25" t="s">
        <v>444</v>
      </c>
      <c r="L3069" s="25" t="s">
        <v>5</v>
      </c>
      <c r="M3069" s="25" t="s">
        <v>408</v>
      </c>
      <c r="N3069" s="25" t="s">
        <v>11</v>
      </c>
      <c r="O3069" s="25" t="s">
        <v>11</v>
      </c>
      <c r="P3069" s="25" t="s">
        <v>2</v>
      </c>
      <c r="Q3069" s="25" t="s">
        <v>408</v>
      </c>
      <c r="R3069" s="25" t="s">
        <v>439</v>
      </c>
      <c r="S3069" s="25" t="s">
        <v>451</v>
      </c>
      <c r="T3069" s="25" t="s">
        <v>11</v>
      </c>
      <c r="U3069" s="25" t="s">
        <v>408</v>
      </c>
    </row>
    <row r="3070" spans="1:21" x14ac:dyDescent="0.25">
      <c r="A3070" s="26">
        <v>24567343</v>
      </c>
      <c r="B3070" s="25" t="s">
        <v>342</v>
      </c>
      <c r="C3070" s="25" t="s">
        <v>89</v>
      </c>
      <c r="D3070" s="25" t="s">
        <v>12</v>
      </c>
      <c r="E3070" s="25" t="s">
        <v>755</v>
      </c>
      <c r="F3070" s="25" t="s">
        <v>380</v>
      </c>
      <c r="G3070" s="25" t="s">
        <v>369</v>
      </c>
      <c r="H3070" s="25" t="s">
        <v>1101</v>
      </c>
      <c r="I3070" s="25" t="s">
        <v>1102</v>
      </c>
      <c r="J3070" s="25" t="s">
        <v>1103</v>
      </c>
      <c r="K3070" s="25" t="s">
        <v>462</v>
      </c>
      <c r="L3070" s="25" t="s">
        <v>819</v>
      </c>
      <c r="M3070" s="25" t="s">
        <v>408</v>
      </c>
      <c r="N3070" s="25" t="s">
        <v>11</v>
      </c>
      <c r="O3070" s="25" t="s">
        <v>11</v>
      </c>
      <c r="P3070" s="25" t="s">
        <v>2</v>
      </c>
      <c r="Q3070" s="25" t="s">
        <v>408</v>
      </c>
      <c r="R3070" s="25" t="s">
        <v>439</v>
      </c>
      <c r="S3070" s="25" t="s">
        <v>451</v>
      </c>
      <c r="T3070" s="25" t="s">
        <v>11</v>
      </c>
      <c r="U3070" s="25" t="s">
        <v>408</v>
      </c>
    </row>
    <row r="3071" spans="1:21" x14ac:dyDescent="0.25">
      <c r="A3071" s="26">
        <v>24567344</v>
      </c>
      <c r="B3071" s="25" t="s">
        <v>340</v>
      </c>
      <c r="C3071" s="25" t="s">
        <v>86</v>
      </c>
      <c r="D3071" s="25" t="s">
        <v>12</v>
      </c>
      <c r="E3071" s="25" t="s">
        <v>755</v>
      </c>
      <c r="F3071" s="25" t="s">
        <v>380</v>
      </c>
      <c r="G3071" s="25" t="s">
        <v>369</v>
      </c>
      <c r="H3071" s="25" t="s">
        <v>675</v>
      </c>
      <c r="I3071" s="25" t="s">
        <v>826</v>
      </c>
      <c r="J3071" s="25" t="s">
        <v>827</v>
      </c>
      <c r="K3071" s="25" t="s">
        <v>444</v>
      </c>
      <c r="L3071" s="25" t="s">
        <v>5</v>
      </c>
      <c r="M3071" s="25" t="s">
        <v>408</v>
      </c>
      <c r="N3071" s="25" t="s">
        <v>11</v>
      </c>
      <c r="O3071" s="25" t="s">
        <v>11</v>
      </c>
      <c r="P3071" s="25" t="s">
        <v>2</v>
      </c>
      <c r="Q3071" s="25" t="s">
        <v>408</v>
      </c>
      <c r="R3071" s="25" t="s">
        <v>439</v>
      </c>
      <c r="S3071" s="25" t="s">
        <v>451</v>
      </c>
      <c r="T3071" s="25" t="s">
        <v>11</v>
      </c>
      <c r="U3071" s="25" t="s">
        <v>408</v>
      </c>
    </row>
    <row r="3072" spans="1:21" x14ac:dyDescent="0.25">
      <c r="A3072" s="26">
        <v>24567345</v>
      </c>
      <c r="B3072" s="25" t="s">
        <v>342</v>
      </c>
      <c r="C3072" s="25" t="s">
        <v>13</v>
      </c>
      <c r="D3072" s="25" t="s">
        <v>12</v>
      </c>
      <c r="E3072" s="25" t="s">
        <v>755</v>
      </c>
      <c r="F3072" s="25" t="s">
        <v>380</v>
      </c>
      <c r="G3072" s="25" t="s">
        <v>468</v>
      </c>
      <c r="H3072" s="25" t="s">
        <v>5</v>
      </c>
      <c r="I3072" s="25" t="s">
        <v>436</v>
      </c>
      <c r="J3072" s="25" t="s">
        <v>446</v>
      </c>
      <c r="K3072" s="25" t="s">
        <v>438</v>
      </c>
      <c r="L3072" s="25" t="s">
        <v>2</v>
      </c>
      <c r="M3072" s="25" t="s">
        <v>408</v>
      </c>
      <c r="N3072" s="25" t="s">
        <v>11</v>
      </c>
      <c r="O3072" s="25" t="s">
        <v>11</v>
      </c>
      <c r="P3072" s="25" t="s">
        <v>2</v>
      </c>
      <c r="Q3072" s="25" t="s">
        <v>408</v>
      </c>
      <c r="R3072" s="25" t="s">
        <v>439</v>
      </c>
      <c r="S3072" s="25" t="s">
        <v>440</v>
      </c>
      <c r="T3072" s="25" t="s">
        <v>11</v>
      </c>
      <c r="U3072" s="25" t="s">
        <v>408</v>
      </c>
    </row>
    <row r="3073" spans="1:21" x14ac:dyDescent="0.25">
      <c r="A3073" s="26">
        <v>24567346</v>
      </c>
      <c r="B3073" s="25" t="s">
        <v>340</v>
      </c>
      <c r="C3073" s="25" t="s">
        <v>86</v>
      </c>
      <c r="D3073" s="25" t="s">
        <v>12</v>
      </c>
      <c r="E3073" s="25" t="s">
        <v>755</v>
      </c>
      <c r="F3073" s="25" t="s">
        <v>380</v>
      </c>
      <c r="G3073" s="25" t="s">
        <v>369</v>
      </c>
      <c r="H3073" s="25" t="s">
        <v>675</v>
      </c>
      <c r="I3073" s="25" t="s">
        <v>826</v>
      </c>
      <c r="J3073" s="25" t="s">
        <v>827</v>
      </c>
      <c r="K3073" s="25" t="s">
        <v>444</v>
      </c>
      <c r="L3073" s="25" t="s">
        <v>5</v>
      </c>
      <c r="M3073" s="25" t="s">
        <v>408</v>
      </c>
      <c r="N3073" s="25" t="s">
        <v>11</v>
      </c>
      <c r="O3073" s="25" t="s">
        <v>11</v>
      </c>
      <c r="P3073" s="25" t="s">
        <v>2</v>
      </c>
      <c r="Q3073" s="25" t="s">
        <v>408</v>
      </c>
      <c r="R3073" s="25" t="s">
        <v>439</v>
      </c>
      <c r="S3073" s="25" t="s">
        <v>451</v>
      </c>
      <c r="T3073" s="25" t="s">
        <v>11</v>
      </c>
      <c r="U3073" s="25" t="s">
        <v>408</v>
      </c>
    </row>
    <row r="3074" spans="1:21" x14ac:dyDescent="0.25">
      <c r="A3074" s="26">
        <v>24567348</v>
      </c>
      <c r="B3074" s="25" t="s">
        <v>342</v>
      </c>
      <c r="C3074" s="25" t="s">
        <v>89</v>
      </c>
      <c r="D3074" s="25" t="s">
        <v>12</v>
      </c>
      <c r="E3074" s="25" t="s">
        <v>755</v>
      </c>
      <c r="F3074" s="25" t="s">
        <v>380</v>
      </c>
      <c r="G3074" s="25" t="s">
        <v>369</v>
      </c>
      <c r="H3074" s="25" t="s">
        <v>1101</v>
      </c>
      <c r="I3074" s="25" t="s">
        <v>1102</v>
      </c>
      <c r="J3074" s="25" t="s">
        <v>1103</v>
      </c>
      <c r="K3074" s="25" t="s">
        <v>462</v>
      </c>
      <c r="L3074" s="25" t="s">
        <v>819</v>
      </c>
      <c r="M3074" s="25" t="s">
        <v>408</v>
      </c>
      <c r="N3074" s="25" t="s">
        <v>11</v>
      </c>
      <c r="O3074" s="25" t="s">
        <v>11</v>
      </c>
      <c r="P3074" s="25" t="s">
        <v>2</v>
      </c>
      <c r="Q3074" s="25" t="s">
        <v>408</v>
      </c>
      <c r="R3074" s="25" t="s">
        <v>439</v>
      </c>
      <c r="S3074" s="25" t="s">
        <v>451</v>
      </c>
      <c r="T3074" s="25" t="s">
        <v>11</v>
      </c>
      <c r="U3074" s="25" t="s">
        <v>408</v>
      </c>
    </row>
    <row r="3075" spans="1:21" x14ac:dyDescent="0.25">
      <c r="A3075" s="26">
        <v>24567349</v>
      </c>
      <c r="B3075" s="25" t="s">
        <v>342</v>
      </c>
      <c r="C3075" s="25" t="s">
        <v>89</v>
      </c>
      <c r="D3075" s="25" t="s">
        <v>12</v>
      </c>
      <c r="E3075" s="25" t="s">
        <v>755</v>
      </c>
      <c r="F3075" s="25" t="s">
        <v>380</v>
      </c>
      <c r="G3075" s="25" t="s">
        <v>369</v>
      </c>
      <c r="H3075" s="25" t="s">
        <v>1098</v>
      </c>
      <c r="I3075" s="25" t="s">
        <v>826</v>
      </c>
      <c r="J3075" s="25" t="s">
        <v>1099</v>
      </c>
      <c r="K3075" s="25" t="s">
        <v>453</v>
      </c>
      <c r="L3075" s="25" t="s">
        <v>1100</v>
      </c>
      <c r="M3075" s="25" t="s">
        <v>408</v>
      </c>
      <c r="N3075" s="25" t="s">
        <v>11</v>
      </c>
      <c r="O3075" s="25" t="s">
        <v>11</v>
      </c>
      <c r="P3075" s="25" t="s">
        <v>2</v>
      </c>
      <c r="Q3075" s="25" t="s">
        <v>408</v>
      </c>
      <c r="R3075" s="25" t="s">
        <v>439</v>
      </c>
      <c r="S3075" s="25" t="s">
        <v>451</v>
      </c>
      <c r="T3075" s="25" t="s">
        <v>11</v>
      </c>
      <c r="U3075" s="25" t="s">
        <v>408</v>
      </c>
    </row>
    <row r="3076" spans="1:21" x14ac:dyDescent="0.25">
      <c r="A3076" s="26">
        <v>24567350</v>
      </c>
      <c r="B3076" s="25" t="s">
        <v>340</v>
      </c>
      <c r="C3076" s="25" t="s">
        <v>86</v>
      </c>
      <c r="D3076" s="25" t="s">
        <v>12</v>
      </c>
      <c r="E3076" s="25" t="s">
        <v>755</v>
      </c>
      <c r="F3076" s="25" t="s">
        <v>380</v>
      </c>
      <c r="G3076" s="25" t="s">
        <v>369</v>
      </c>
      <c r="H3076" s="25" t="s">
        <v>675</v>
      </c>
      <c r="I3076" s="25" t="s">
        <v>826</v>
      </c>
      <c r="J3076" s="25" t="s">
        <v>827</v>
      </c>
      <c r="K3076" s="25" t="s">
        <v>444</v>
      </c>
      <c r="L3076" s="25" t="s">
        <v>5</v>
      </c>
      <c r="M3076" s="25" t="s">
        <v>408</v>
      </c>
      <c r="N3076" s="25" t="s">
        <v>11</v>
      </c>
      <c r="O3076" s="25" t="s">
        <v>11</v>
      </c>
      <c r="P3076" s="25" t="s">
        <v>2</v>
      </c>
      <c r="Q3076" s="25" t="s">
        <v>408</v>
      </c>
      <c r="R3076" s="25" t="s">
        <v>439</v>
      </c>
      <c r="S3076" s="25" t="s">
        <v>451</v>
      </c>
      <c r="T3076" s="25" t="s">
        <v>11</v>
      </c>
      <c r="U3076" s="25" t="s">
        <v>408</v>
      </c>
    </row>
    <row r="3077" spans="1:21" x14ac:dyDescent="0.25">
      <c r="A3077" s="26">
        <v>24567351</v>
      </c>
      <c r="B3077" s="25" t="s">
        <v>340</v>
      </c>
      <c r="C3077" s="25" t="s">
        <v>86</v>
      </c>
      <c r="D3077" s="25" t="s">
        <v>12</v>
      </c>
      <c r="E3077" s="25" t="s">
        <v>755</v>
      </c>
      <c r="F3077" s="25" t="s">
        <v>380</v>
      </c>
      <c r="G3077" s="25" t="s">
        <v>369</v>
      </c>
      <c r="H3077" s="25" t="s">
        <v>675</v>
      </c>
      <c r="I3077" s="25" t="s">
        <v>826</v>
      </c>
      <c r="J3077" s="25" t="s">
        <v>827</v>
      </c>
      <c r="K3077" s="25" t="s">
        <v>444</v>
      </c>
      <c r="L3077" s="25" t="s">
        <v>5</v>
      </c>
      <c r="M3077" s="25" t="s">
        <v>408</v>
      </c>
      <c r="N3077" s="25" t="s">
        <v>11</v>
      </c>
      <c r="O3077" s="25" t="s">
        <v>11</v>
      </c>
      <c r="P3077" s="25" t="s">
        <v>2</v>
      </c>
      <c r="Q3077" s="25" t="s">
        <v>408</v>
      </c>
      <c r="R3077" s="25" t="s">
        <v>439</v>
      </c>
      <c r="S3077" s="25" t="s">
        <v>451</v>
      </c>
      <c r="T3077" s="25" t="s">
        <v>11</v>
      </c>
      <c r="U3077" s="25" t="s">
        <v>408</v>
      </c>
    </row>
    <row r="3078" spans="1:21" x14ac:dyDescent="0.25">
      <c r="A3078" s="26">
        <v>24567352</v>
      </c>
      <c r="B3078" s="25" t="s">
        <v>342</v>
      </c>
      <c r="C3078" s="25" t="s">
        <v>89</v>
      </c>
      <c r="D3078" s="25" t="s">
        <v>12</v>
      </c>
      <c r="E3078" s="25" t="s">
        <v>755</v>
      </c>
      <c r="F3078" s="25" t="s">
        <v>380</v>
      </c>
      <c r="G3078" s="25" t="s">
        <v>369</v>
      </c>
      <c r="H3078" s="25" t="s">
        <v>1101</v>
      </c>
      <c r="I3078" s="25" t="s">
        <v>1102</v>
      </c>
      <c r="J3078" s="25" t="s">
        <v>1103</v>
      </c>
      <c r="K3078" s="25" t="s">
        <v>462</v>
      </c>
      <c r="L3078" s="25" t="s">
        <v>819</v>
      </c>
      <c r="M3078" s="25" t="s">
        <v>408</v>
      </c>
      <c r="N3078" s="25" t="s">
        <v>11</v>
      </c>
      <c r="O3078" s="25" t="s">
        <v>11</v>
      </c>
      <c r="P3078" s="25" t="s">
        <v>2</v>
      </c>
      <c r="Q3078" s="25" t="s">
        <v>408</v>
      </c>
      <c r="R3078" s="25" t="s">
        <v>439</v>
      </c>
      <c r="S3078" s="25" t="s">
        <v>451</v>
      </c>
      <c r="T3078" s="25" t="s">
        <v>11</v>
      </c>
      <c r="U3078" s="25" t="s">
        <v>408</v>
      </c>
    </row>
    <row r="3079" spans="1:21" x14ac:dyDescent="0.25">
      <c r="A3079" s="26">
        <v>24567353</v>
      </c>
      <c r="B3079" s="25" t="s">
        <v>342</v>
      </c>
      <c r="C3079" s="25" t="s">
        <v>89</v>
      </c>
      <c r="D3079" s="25" t="s">
        <v>12</v>
      </c>
      <c r="E3079" s="25" t="s">
        <v>755</v>
      </c>
      <c r="F3079" s="25" t="s">
        <v>380</v>
      </c>
      <c r="G3079" s="25" t="s">
        <v>369</v>
      </c>
      <c r="H3079" s="25" t="s">
        <v>675</v>
      </c>
      <c r="I3079" s="25" t="s">
        <v>826</v>
      </c>
      <c r="J3079" s="25" t="s">
        <v>827</v>
      </c>
      <c r="K3079" s="25" t="s">
        <v>444</v>
      </c>
      <c r="L3079" s="25" t="s">
        <v>5</v>
      </c>
      <c r="M3079" s="25" t="s">
        <v>408</v>
      </c>
      <c r="N3079" s="25" t="s">
        <v>11</v>
      </c>
      <c r="O3079" s="25" t="s">
        <v>11</v>
      </c>
      <c r="P3079" s="25" t="s">
        <v>2</v>
      </c>
      <c r="Q3079" s="25" t="s">
        <v>408</v>
      </c>
      <c r="R3079" s="25" t="s">
        <v>439</v>
      </c>
      <c r="S3079" s="25" t="s">
        <v>451</v>
      </c>
      <c r="T3079" s="25" t="s">
        <v>11</v>
      </c>
      <c r="U3079" s="25" t="s">
        <v>408</v>
      </c>
    </row>
    <row r="3080" spans="1:21" x14ac:dyDescent="0.25">
      <c r="A3080" s="26">
        <v>24567354</v>
      </c>
      <c r="B3080" s="25" t="s">
        <v>342</v>
      </c>
      <c r="C3080" s="25" t="s">
        <v>89</v>
      </c>
      <c r="D3080" s="25" t="s">
        <v>12</v>
      </c>
      <c r="E3080" s="25" t="s">
        <v>755</v>
      </c>
      <c r="F3080" s="25" t="s">
        <v>380</v>
      </c>
      <c r="G3080" s="25" t="s">
        <v>369</v>
      </c>
      <c r="H3080" s="25" t="s">
        <v>675</v>
      </c>
      <c r="I3080" s="25" t="s">
        <v>826</v>
      </c>
      <c r="J3080" s="25" t="s">
        <v>827</v>
      </c>
      <c r="K3080" s="25" t="s">
        <v>444</v>
      </c>
      <c r="L3080" s="25" t="s">
        <v>5</v>
      </c>
      <c r="M3080" s="25" t="s">
        <v>408</v>
      </c>
      <c r="N3080" s="25" t="s">
        <v>11</v>
      </c>
      <c r="O3080" s="25" t="s">
        <v>11</v>
      </c>
      <c r="P3080" s="25" t="s">
        <v>2</v>
      </c>
      <c r="Q3080" s="25" t="s">
        <v>408</v>
      </c>
      <c r="R3080" s="25" t="s">
        <v>439</v>
      </c>
      <c r="S3080" s="25" t="s">
        <v>451</v>
      </c>
      <c r="T3080" s="25" t="s">
        <v>11</v>
      </c>
      <c r="U3080" s="25" t="s">
        <v>408</v>
      </c>
    </row>
    <row r="3081" spans="1:21" x14ac:dyDescent="0.25">
      <c r="A3081" s="26">
        <v>24567355</v>
      </c>
      <c r="B3081" s="25" t="s">
        <v>340</v>
      </c>
      <c r="C3081" s="25" t="s">
        <v>86</v>
      </c>
      <c r="D3081" s="25" t="s">
        <v>12</v>
      </c>
      <c r="E3081" s="25" t="s">
        <v>755</v>
      </c>
      <c r="F3081" s="25" t="s">
        <v>380</v>
      </c>
      <c r="G3081" s="25" t="s">
        <v>369</v>
      </c>
      <c r="H3081" s="25" t="s">
        <v>675</v>
      </c>
      <c r="I3081" s="25" t="s">
        <v>826</v>
      </c>
      <c r="J3081" s="25" t="s">
        <v>827</v>
      </c>
      <c r="K3081" s="25" t="s">
        <v>444</v>
      </c>
      <c r="L3081" s="25" t="s">
        <v>5</v>
      </c>
      <c r="M3081" s="25" t="s">
        <v>408</v>
      </c>
      <c r="N3081" s="25" t="s">
        <v>11</v>
      </c>
      <c r="O3081" s="25" t="s">
        <v>11</v>
      </c>
      <c r="P3081" s="25" t="s">
        <v>2</v>
      </c>
      <c r="Q3081" s="25" t="s">
        <v>408</v>
      </c>
      <c r="R3081" s="25" t="s">
        <v>439</v>
      </c>
      <c r="S3081" s="25" t="s">
        <v>451</v>
      </c>
      <c r="T3081" s="25" t="s">
        <v>11</v>
      </c>
      <c r="U3081" s="25" t="s">
        <v>408</v>
      </c>
    </row>
    <row r="3082" spans="1:21" x14ac:dyDescent="0.25">
      <c r="A3082" s="26">
        <v>24567356</v>
      </c>
      <c r="B3082" s="25" t="s">
        <v>342</v>
      </c>
      <c r="C3082" s="25" t="s">
        <v>89</v>
      </c>
      <c r="D3082" s="25" t="s">
        <v>12</v>
      </c>
      <c r="E3082" s="25" t="s">
        <v>755</v>
      </c>
      <c r="F3082" s="25" t="s">
        <v>380</v>
      </c>
      <c r="G3082" s="25" t="s">
        <v>369</v>
      </c>
      <c r="H3082" s="25" t="s">
        <v>1101</v>
      </c>
      <c r="I3082" s="25" t="s">
        <v>1102</v>
      </c>
      <c r="J3082" s="25" t="s">
        <v>1103</v>
      </c>
      <c r="K3082" s="25" t="s">
        <v>462</v>
      </c>
      <c r="L3082" s="25" t="s">
        <v>819</v>
      </c>
      <c r="M3082" s="25" t="s">
        <v>408</v>
      </c>
      <c r="N3082" s="25" t="s">
        <v>11</v>
      </c>
      <c r="O3082" s="25" t="s">
        <v>11</v>
      </c>
      <c r="P3082" s="25" t="s">
        <v>2</v>
      </c>
      <c r="Q3082" s="25" t="s">
        <v>408</v>
      </c>
      <c r="R3082" s="25" t="s">
        <v>439</v>
      </c>
      <c r="S3082" s="25" t="s">
        <v>451</v>
      </c>
      <c r="T3082" s="25" t="s">
        <v>11</v>
      </c>
      <c r="U3082" s="25" t="s">
        <v>408</v>
      </c>
    </row>
    <row r="3083" spans="1:21" x14ac:dyDescent="0.25">
      <c r="A3083" s="26">
        <v>24567357</v>
      </c>
      <c r="B3083" s="25" t="s">
        <v>342</v>
      </c>
      <c r="C3083" s="25" t="s">
        <v>89</v>
      </c>
      <c r="D3083" s="25" t="s">
        <v>12</v>
      </c>
      <c r="E3083" s="25" t="s">
        <v>755</v>
      </c>
      <c r="F3083" s="25" t="s">
        <v>380</v>
      </c>
      <c r="G3083" s="25" t="s">
        <v>369</v>
      </c>
      <c r="H3083" s="25" t="s">
        <v>675</v>
      </c>
      <c r="I3083" s="25" t="s">
        <v>826</v>
      </c>
      <c r="J3083" s="25" t="s">
        <v>827</v>
      </c>
      <c r="K3083" s="25" t="s">
        <v>444</v>
      </c>
      <c r="L3083" s="25" t="s">
        <v>5</v>
      </c>
      <c r="M3083" s="25" t="s">
        <v>408</v>
      </c>
      <c r="N3083" s="25" t="s">
        <v>11</v>
      </c>
      <c r="O3083" s="25" t="s">
        <v>11</v>
      </c>
      <c r="P3083" s="25" t="s">
        <v>2</v>
      </c>
      <c r="Q3083" s="25" t="s">
        <v>408</v>
      </c>
      <c r="R3083" s="25" t="s">
        <v>439</v>
      </c>
      <c r="S3083" s="25" t="s">
        <v>451</v>
      </c>
      <c r="T3083" s="25" t="s">
        <v>11</v>
      </c>
      <c r="U3083" s="25" t="s">
        <v>408</v>
      </c>
    </row>
    <row r="3084" spans="1:21" x14ac:dyDescent="0.25">
      <c r="A3084" s="26">
        <v>24567358</v>
      </c>
      <c r="B3084" s="25" t="s">
        <v>340</v>
      </c>
      <c r="C3084" s="25" t="s">
        <v>86</v>
      </c>
      <c r="D3084" s="25" t="s">
        <v>12</v>
      </c>
      <c r="E3084" s="25" t="s">
        <v>755</v>
      </c>
      <c r="F3084" s="25" t="s">
        <v>380</v>
      </c>
      <c r="G3084" s="25" t="s">
        <v>369</v>
      </c>
      <c r="H3084" s="25" t="s">
        <v>675</v>
      </c>
      <c r="I3084" s="25" t="s">
        <v>826</v>
      </c>
      <c r="J3084" s="25" t="s">
        <v>827</v>
      </c>
      <c r="K3084" s="25" t="s">
        <v>444</v>
      </c>
      <c r="L3084" s="25" t="s">
        <v>5</v>
      </c>
      <c r="M3084" s="25" t="s">
        <v>408</v>
      </c>
      <c r="N3084" s="25" t="s">
        <v>11</v>
      </c>
      <c r="O3084" s="25" t="s">
        <v>11</v>
      </c>
      <c r="P3084" s="25" t="s">
        <v>2</v>
      </c>
      <c r="Q3084" s="25" t="s">
        <v>408</v>
      </c>
      <c r="R3084" s="25" t="s">
        <v>439</v>
      </c>
      <c r="S3084" s="25" t="s">
        <v>451</v>
      </c>
      <c r="T3084" s="25" t="s">
        <v>11</v>
      </c>
      <c r="U3084" s="25" t="s">
        <v>408</v>
      </c>
    </row>
    <row r="3085" spans="1:21" x14ac:dyDescent="0.25">
      <c r="A3085" s="26">
        <v>24567359</v>
      </c>
      <c r="B3085" s="25" t="s">
        <v>340</v>
      </c>
      <c r="C3085" s="25" t="s">
        <v>86</v>
      </c>
      <c r="D3085" s="25" t="s">
        <v>12</v>
      </c>
      <c r="E3085" s="25" t="s">
        <v>755</v>
      </c>
      <c r="F3085" s="25" t="s">
        <v>380</v>
      </c>
      <c r="G3085" s="25" t="s">
        <v>369</v>
      </c>
      <c r="H3085" s="25" t="s">
        <v>675</v>
      </c>
      <c r="I3085" s="25" t="s">
        <v>826</v>
      </c>
      <c r="J3085" s="25" t="s">
        <v>827</v>
      </c>
      <c r="K3085" s="25" t="s">
        <v>444</v>
      </c>
      <c r="L3085" s="25" t="s">
        <v>5</v>
      </c>
      <c r="M3085" s="25" t="s">
        <v>408</v>
      </c>
      <c r="N3085" s="25" t="s">
        <v>11</v>
      </c>
      <c r="O3085" s="25" t="s">
        <v>11</v>
      </c>
      <c r="P3085" s="25" t="s">
        <v>2</v>
      </c>
      <c r="Q3085" s="25" t="s">
        <v>408</v>
      </c>
      <c r="R3085" s="25" t="s">
        <v>439</v>
      </c>
      <c r="S3085" s="25" t="s">
        <v>451</v>
      </c>
      <c r="T3085" s="25" t="s">
        <v>11</v>
      </c>
      <c r="U3085" s="25" t="s">
        <v>408</v>
      </c>
    </row>
    <row r="3086" spans="1:21" x14ac:dyDescent="0.25">
      <c r="A3086" s="26">
        <v>24567360</v>
      </c>
      <c r="B3086" s="25" t="s">
        <v>342</v>
      </c>
      <c r="C3086" s="25" t="s">
        <v>89</v>
      </c>
      <c r="D3086" s="25" t="s">
        <v>12</v>
      </c>
      <c r="E3086" s="25" t="s">
        <v>755</v>
      </c>
      <c r="F3086" s="25" t="s">
        <v>380</v>
      </c>
      <c r="G3086" s="25" t="s">
        <v>369</v>
      </c>
      <c r="H3086" s="25" t="s">
        <v>1104</v>
      </c>
      <c r="I3086" s="25" t="s">
        <v>1105</v>
      </c>
      <c r="J3086" s="25" t="s">
        <v>1106</v>
      </c>
      <c r="K3086" s="25" t="s">
        <v>450</v>
      </c>
      <c r="L3086" s="25" t="s">
        <v>5</v>
      </c>
      <c r="M3086" s="25" t="s">
        <v>408</v>
      </c>
      <c r="N3086" s="25" t="s">
        <v>11</v>
      </c>
      <c r="O3086" s="25" t="s">
        <v>11</v>
      </c>
      <c r="P3086" s="25" t="s">
        <v>2</v>
      </c>
      <c r="Q3086" s="25" t="s">
        <v>408</v>
      </c>
      <c r="R3086" s="25" t="s">
        <v>439</v>
      </c>
      <c r="S3086" s="25" t="s">
        <v>451</v>
      </c>
      <c r="T3086" s="25" t="s">
        <v>11</v>
      </c>
      <c r="U3086" s="25" t="s">
        <v>408</v>
      </c>
    </row>
    <row r="3087" spans="1:21" x14ac:dyDescent="0.25">
      <c r="A3087" s="26">
        <v>24567361</v>
      </c>
      <c r="B3087" s="25" t="s">
        <v>342</v>
      </c>
      <c r="C3087" s="25" t="s">
        <v>89</v>
      </c>
      <c r="D3087" s="25" t="s">
        <v>12</v>
      </c>
      <c r="E3087" s="25" t="s">
        <v>755</v>
      </c>
      <c r="F3087" s="25" t="s">
        <v>380</v>
      </c>
      <c r="G3087" s="25" t="s">
        <v>369</v>
      </c>
      <c r="H3087" s="25" t="s">
        <v>1101</v>
      </c>
      <c r="I3087" s="25" t="s">
        <v>1102</v>
      </c>
      <c r="J3087" s="25" t="s">
        <v>1103</v>
      </c>
      <c r="K3087" s="25" t="s">
        <v>462</v>
      </c>
      <c r="L3087" s="25" t="s">
        <v>819</v>
      </c>
      <c r="M3087" s="25" t="s">
        <v>408</v>
      </c>
      <c r="N3087" s="25" t="s">
        <v>11</v>
      </c>
      <c r="O3087" s="25" t="s">
        <v>11</v>
      </c>
      <c r="P3087" s="25" t="s">
        <v>2</v>
      </c>
      <c r="Q3087" s="25" t="s">
        <v>408</v>
      </c>
      <c r="R3087" s="25" t="s">
        <v>439</v>
      </c>
      <c r="S3087" s="25" t="s">
        <v>451</v>
      </c>
      <c r="T3087" s="25" t="s">
        <v>11</v>
      </c>
      <c r="U3087" s="25" t="s">
        <v>408</v>
      </c>
    </row>
    <row r="3088" spans="1:21" x14ac:dyDescent="0.25">
      <c r="A3088" s="26">
        <v>24567362</v>
      </c>
      <c r="B3088" s="25" t="s">
        <v>342</v>
      </c>
      <c r="C3088" s="25" t="s">
        <v>89</v>
      </c>
      <c r="D3088" s="25" t="s">
        <v>12</v>
      </c>
      <c r="E3088" s="25" t="s">
        <v>755</v>
      </c>
      <c r="F3088" s="25" t="s">
        <v>380</v>
      </c>
      <c r="G3088" s="25" t="s">
        <v>369</v>
      </c>
      <c r="H3088" s="25" t="s">
        <v>675</v>
      </c>
      <c r="I3088" s="25" t="s">
        <v>826</v>
      </c>
      <c r="J3088" s="25" t="s">
        <v>827</v>
      </c>
      <c r="K3088" s="25" t="s">
        <v>444</v>
      </c>
      <c r="L3088" s="25" t="s">
        <v>5</v>
      </c>
      <c r="M3088" s="25" t="s">
        <v>408</v>
      </c>
      <c r="N3088" s="25" t="s">
        <v>11</v>
      </c>
      <c r="O3088" s="25" t="s">
        <v>11</v>
      </c>
      <c r="P3088" s="25" t="s">
        <v>2</v>
      </c>
      <c r="Q3088" s="25" t="s">
        <v>408</v>
      </c>
      <c r="R3088" s="25" t="s">
        <v>439</v>
      </c>
      <c r="S3088" s="25" t="s">
        <v>451</v>
      </c>
      <c r="T3088" s="25" t="s">
        <v>11</v>
      </c>
      <c r="U3088" s="25" t="s">
        <v>408</v>
      </c>
    </row>
    <row r="3089" spans="1:21" x14ac:dyDescent="0.25">
      <c r="A3089" s="26">
        <v>24567363</v>
      </c>
      <c r="B3089" s="25" t="s">
        <v>340</v>
      </c>
      <c r="C3089" s="25" t="s">
        <v>86</v>
      </c>
      <c r="D3089" s="25" t="s">
        <v>12</v>
      </c>
      <c r="E3089" s="25" t="s">
        <v>755</v>
      </c>
      <c r="F3089" s="25" t="s">
        <v>380</v>
      </c>
      <c r="G3089" s="25" t="s">
        <v>369</v>
      </c>
      <c r="H3089" s="25" t="s">
        <v>675</v>
      </c>
      <c r="I3089" s="25" t="s">
        <v>826</v>
      </c>
      <c r="J3089" s="25" t="s">
        <v>827</v>
      </c>
      <c r="K3089" s="25" t="s">
        <v>444</v>
      </c>
      <c r="L3089" s="25" t="s">
        <v>5</v>
      </c>
      <c r="M3089" s="25" t="s">
        <v>408</v>
      </c>
      <c r="N3089" s="25" t="s">
        <v>11</v>
      </c>
      <c r="O3089" s="25" t="s">
        <v>11</v>
      </c>
      <c r="P3089" s="25" t="s">
        <v>2</v>
      </c>
      <c r="Q3089" s="25" t="s">
        <v>408</v>
      </c>
      <c r="R3089" s="25" t="s">
        <v>439</v>
      </c>
      <c r="S3089" s="25" t="s">
        <v>451</v>
      </c>
      <c r="T3089" s="25" t="s">
        <v>11</v>
      </c>
      <c r="U3089" s="25" t="s">
        <v>408</v>
      </c>
    </row>
    <row r="3090" spans="1:21" x14ac:dyDescent="0.25">
      <c r="A3090" s="26">
        <v>24567364</v>
      </c>
      <c r="B3090" s="25" t="s">
        <v>342</v>
      </c>
      <c r="C3090" s="25" t="s">
        <v>89</v>
      </c>
      <c r="D3090" s="25" t="s">
        <v>12</v>
      </c>
      <c r="E3090" s="25" t="s">
        <v>755</v>
      </c>
      <c r="F3090" s="25" t="s">
        <v>380</v>
      </c>
      <c r="G3090" s="25" t="s">
        <v>369</v>
      </c>
      <c r="H3090" s="25" t="s">
        <v>675</v>
      </c>
      <c r="I3090" s="25" t="s">
        <v>826</v>
      </c>
      <c r="J3090" s="25" t="s">
        <v>827</v>
      </c>
      <c r="K3090" s="25" t="s">
        <v>444</v>
      </c>
      <c r="L3090" s="25" t="s">
        <v>5</v>
      </c>
      <c r="M3090" s="25" t="s">
        <v>408</v>
      </c>
      <c r="N3090" s="25" t="s">
        <v>11</v>
      </c>
      <c r="O3090" s="25" t="s">
        <v>11</v>
      </c>
      <c r="P3090" s="25" t="s">
        <v>2</v>
      </c>
      <c r="Q3090" s="25" t="s">
        <v>408</v>
      </c>
      <c r="R3090" s="25" t="s">
        <v>439</v>
      </c>
      <c r="S3090" s="25" t="s">
        <v>451</v>
      </c>
      <c r="T3090" s="25" t="s">
        <v>11</v>
      </c>
      <c r="U3090" s="25" t="s">
        <v>408</v>
      </c>
    </row>
    <row r="3091" spans="1:21" x14ac:dyDescent="0.25">
      <c r="A3091" s="26">
        <v>24567365</v>
      </c>
      <c r="B3091" s="25" t="s">
        <v>340</v>
      </c>
      <c r="C3091" s="25" t="s">
        <v>86</v>
      </c>
      <c r="D3091" s="25" t="s">
        <v>12</v>
      </c>
      <c r="E3091" s="25" t="s">
        <v>755</v>
      </c>
      <c r="F3091" s="25" t="s">
        <v>380</v>
      </c>
      <c r="G3091" s="25" t="s">
        <v>369</v>
      </c>
      <c r="H3091" s="25" t="s">
        <v>675</v>
      </c>
      <c r="I3091" s="25" t="s">
        <v>826</v>
      </c>
      <c r="J3091" s="25" t="s">
        <v>827</v>
      </c>
      <c r="K3091" s="25" t="s">
        <v>444</v>
      </c>
      <c r="L3091" s="25" t="s">
        <v>5</v>
      </c>
      <c r="M3091" s="25" t="s">
        <v>408</v>
      </c>
      <c r="N3091" s="25" t="s">
        <v>11</v>
      </c>
      <c r="O3091" s="25" t="s">
        <v>11</v>
      </c>
      <c r="P3091" s="25" t="s">
        <v>2</v>
      </c>
      <c r="Q3091" s="25" t="s">
        <v>408</v>
      </c>
      <c r="R3091" s="25" t="s">
        <v>439</v>
      </c>
      <c r="S3091" s="25" t="s">
        <v>451</v>
      </c>
      <c r="T3091" s="25" t="s">
        <v>11</v>
      </c>
      <c r="U3091" s="25" t="s">
        <v>408</v>
      </c>
    </row>
    <row r="3092" spans="1:21" x14ac:dyDescent="0.25">
      <c r="A3092" s="26">
        <v>24567366</v>
      </c>
      <c r="B3092" s="25" t="s">
        <v>342</v>
      </c>
      <c r="C3092" s="25" t="s">
        <v>89</v>
      </c>
      <c r="D3092" s="25" t="s">
        <v>12</v>
      </c>
      <c r="E3092" s="25" t="s">
        <v>755</v>
      </c>
      <c r="F3092" s="25" t="s">
        <v>380</v>
      </c>
      <c r="G3092" s="25" t="s">
        <v>369</v>
      </c>
      <c r="H3092" s="25" t="s">
        <v>675</v>
      </c>
      <c r="I3092" s="25" t="s">
        <v>826</v>
      </c>
      <c r="J3092" s="25" t="s">
        <v>827</v>
      </c>
      <c r="K3092" s="25" t="s">
        <v>444</v>
      </c>
      <c r="L3092" s="25" t="s">
        <v>5</v>
      </c>
      <c r="M3092" s="25" t="s">
        <v>408</v>
      </c>
      <c r="N3092" s="25" t="s">
        <v>11</v>
      </c>
      <c r="O3092" s="25" t="s">
        <v>11</v>
      </c>
      <c r="P3092" s="25" t="s">
        <v>2</v>
      </c>
      <c r="Q3092" s="25" t="s">
        <v>408</v>
      </c>
      <c r="R3092" s="25" t="s">
        <v>439</v>
      </c>
      <c r="S3092" s="25" t="s">
        <v>451</v>
      </c>
      <c r="T3092" s="25" t="s">
        <v>11</v>
      </c>
      <c r="U3092" s="25" t="s">
        <v>408</v>
      </c>
    </row>
    <row r="3093" spans="1:21" x14ac:dyDescent="0.25">
      <c r="A3093" s="26">
        <v>24567367</v>
      </c>
      <c r="B3093" s="25" t="s">
        <v>342</v>
      </c>
      <c r="C3093" s="25" t="s">
        <v>89</v>
      </c>
      <c r="D3093" s="25" t="s">
        <v>12</v>
      </c>
      <c r="E3093" s="25" t="s">
        <v>755</v>
      </c>
      <c r="F3093" s="25" t="s">
        <v>380</v>
      </c>
      <c r="G3093" s="25" t="s">
        <v>369</v>
      </c>
      <c r="H3093" s="25" t="s">
        <v>675</v>
      </c>
      <c r="I3093" s="25" t="s">
        <v>826</v>
      </c>
      <c r="J3093" s="25" t="s">
        <v>827</v>
      </c>
      <c r="K3093" s="25" t="s">
        <v>444</v>
      </c>
      <c r="L3093" s="25" t="s">
        <v>5</v>
      </c>
      <c r="M3093" s="25" t="s">
        <v>408</v>
      </c>
      <c r="N3093" s="25" t="s">
        <v>11</v>
      </c>
      <c r="O3093" s="25" t="s">
        <v>11</v>
      </c>
      <c r="P3093" s="25" t="s">
        <v>2</v>
      </c>
      <c r="Q3093" s="25" t="s">
        <v>408</v>
      </c>
      <c r="R3093" s="25" t="s">
        <v>439</v>
      </c>
      <c r="S3093" s="25" t="s">
        <v>451</v>
      </c>
      <c r="T3093" s="25" t="s">
        <v>11</v>
      </c>
      <c r="U3093" s="25" t="s">
        <v>408</v>
      </c>
    </row>
    <row r="3094" spans="1:21" x14ac:dyDescent="0.25">
      <c r="A3094" s="26">
        <v>24567368</v>
      </c>
      <c r="B3094" s="25" t="s">
        <v>342</v>
      </c>
      <c r="C3094" s="25" t="s">
        <v>89</v>
      </c>
      <c r="D3094" s="25" t="s">
        <v>12</v>
      </c>
      <c r="E3094" s="25" t="s">
        <v>755</v>
      </c>
      <c r="F3094" s="25" t="s">
        <v>380</v>
      </c>
      <c r="G3094" s="25" t="s">
        <v>369</v>
      </c>
      <c r="H3094" s="25" t="s">
        <v>1101</v>
      </c>
      <c r="I3094" s="25" t="s">
        <v>1102</v>
      </c>
      <c r="J3094" s="25" t="s">
        <v>1103</v>
      </c>
      <c r="K3094" s="25" t="s">
        <v>462</v>
      </c>
      <c r="L3094" s="25" t="s">
        <v>819</v>
      </c>
      <c r="M3094" s="25" t="s">
        <v>408</v>
      </c>
      <c r="N3094" s="25" t="s">
        <v>11</v>
      </c>
      <c r="O3094" s="25" t="s">
        <v>11</v>
      </c>
      <c r="P3094" s="25" t="s">
        <v>2</v>
      </c>
      <c r="Q3094" s="25" t="s">
        <v>408</v>
      </c>
      <c r="R3094" s="25" t="s">
        <v>439</v>
      </c>
      <c r="S3094" s="25" t="s">
        <v>451</v>
      </c>
      <c r="T3094" s="25" t="s">
        <v>11</v>
      </c>
      <c r="U3094" s="25" t="s">
        <v>408</v>
      </c>
    </row>
    <row r="3095" spans="1:21" x14ac:dyDescent="0.25">
      <c r="A3095" s="26">
        <v>24567369</v>
      </c>
      <c r="B3095" s="25" t="s">
        <v>342</v>
      </c>
      <c r="C3095" s="25" t="s">
        <v>89</v>
      </c>
      <c r="D3095" s="25" t="s">
        <v>12</v>
      </c>
      <c r="E3095" s="25" t="s">
        <v>755</v>
      </c>
      <c r="F3095" s="25" t="s">
        <v>380</v>
      </c>
      <c r="G3095" s="25" t="s">
        <v>369</v>
      </c>
      <c r="H3095" s="25" t="s">
        <v>1101</v>
      </c>
      <c r="I3095" s="25" t="s">
        <v>1102</v>
      </c>
      <c r="J3095" s="25" t="s">
        <v>1103</v>
      </c>
      <c r="K3095" s="25" t="s">
        <v>462</v>
      </c>
      <c r="L3095" s="25" t="s">
        <v>819</v>
      </c>
      <c r="M3095" s="25" t="s">
        <v>408</v>
      </c>
      <c r="N3095" s="25" t="s">
        <v>11</v>
      </c>
      <c r="O3095" s="25" t="s">
        <v>11</v>
      </c>
      <c r="P3095" s="25" t="s">
        <v>2</v>
      </c>
      <c r="Q3095" s="25" t="s">
        <v>408</v>
      </c>
      <c r="R3095" s="25" t="s">
        <v>439</v>
      </c>
      <c r="S3095" s="25" t="s">
        <v>451</v>
      </c>
      <c r="T3095" s="25" t="s">
        <v>11</v>
      </c>
      <c r="U3095" s="25" t="s">
        <v>408</v>
      </c>
    </row>
    <row r="3096" spans="1:21" x14ac:dyDescent="0.25">
      <c r="A3096" s="26">
        <v>24567370</v>
      </c>
      <c r="B3096" s="25" t="s">
        <v>342</v>
      </c>
      <c r="C3096" s="25" t="s">
        <v>89</v>
      </c>
      <c r="D3096" s="25" t="s">
        <v>12</v>
      </c>
      <c r="E3096" s="25" t="s">
        <v>755</v>
      </c>
      <c r="F3096" s="25" t="s">
        <v>380</v>
      </c>
      <c r="G3096" s="25" t="s">
        <v>369</v>
      </c>
      <c r="H3096" s="25" t="s">
        <v>675</v>
      </c>
      <c r="I3096" s="25" t="s">
        <v>826</v>
      </c>
      <c r="J3096" s="25" t="s">
        <v>827</v>
      </c>
      <c r="K3096" s="25" t="s">
        <v>444</v>
      </c>
      <c r="L3096" s="25" t="s">
        <v>5</v>
      </c>
      <c r="M3096" s="25" t="s">
        <v>408</v>
      </c>
      <c r="N3096" s="25" t="s">
        <v>11</v>
      </c>
      <c r="O3096" s="25" t="s">
        <v>11</v>
      </c>
      <c r="P3096" s="25" t="s">
        <v>2</v>
      </c>
      <c r="Q3096" s="25" t="s">
        <v>408</v>
      </c>
      <c r="R3096" s="25" t="s">
        <v>439</v>
      </c>
      <c r="S3096" s="25" t="s">
        <v>451</v>
      </c>
      <c r="T3096" s="25" t="s">
        <v>11</v>
      </c>
      <c r="U3096" s="25" t="s">
        <v>408</v>
      </c>
    </row>
    <row r="3097" spans="1:21" x14ac:dyDescent="0.25">
      <c r="A3097" s="26">
        <v>24567371</v>
      </c>
      <c r="B3097" s="25" t="s">
        <v>340</v>
      </c>
      <c r="C3097" s="25" t="s">
        <v>86</v>
      </c>
      <c r="D3097" s="25" t="s">
        <v>12</v>
      </c>
      <c r="E3097" s="25" t="s">
        <v>755</v>
      </c>
      <c r="F3097" s="25" t="s">
        <v>380</v>
      </c>
      <c r="G3097" s="25" t="s">
        <v>369</v>
      </c>
      <c r="H3097" s="25" t="s">
        <v>675</v>
      </c>
      <c r="I3097" s="25" t="s">
        <v>826</v>
      </c>
      <c r="J3097" s="25" t="s">
        <v>827</v>
      </c>
      <c r="K3097" s="25" t="s">
        <v>444</v>
      </c>
      <c r="L3097" s="25" t="s">
        <v>5</v>
      </c>
      <c r="M3097" s="25" t="s">
        <v>408</v>
      </c>
      <c r="N3097" s="25" t="s">
        <v>11</v>
      </c>
      <c r="O3097" s="25" t="s">
        <v>11</v>
      </c>
      <c r="P3097" s="25" t="s">
        <v>2</v>
      </c>
      <c r="Q3097" s="25" t="s">
        <v>408</v>
      </c>
      <c r="R3097" s="25" t="s">
        <v>439</v>
      </c>
      <c r="S3097" s="25" t="s">
        <v>451</v>
      </c>
      <c r="T3097" s="25" t="s">
        <v>11</v>
      </c>
      <c r="U3097" s="25" t="s">
        <v>408</v>
      </c>
    </row>
    <row r="3098" spans="1:21" x14ac:dyDescent="0.25">
      <c r="A3098" s="26">
        <v>24567372</v>
      </c>
      <c r="B3098" s="25" t="s">
        <v>340</v>
      </c>
      <c r="C3098" s="25" t="s">
        <v>86</v>
      </c>
      <c r="D3098" s="25" t="s">
        <v>12</v>
      </c>
      <c r="E3098" s="25" t="s">
        <v>755</v>
      </c>
      <c r="F3098" s="25" t="s">
        <v>380</v>
      </c>
      <c r="G3098" s="25" t="s">
        <v>369</v>
      </c>
      <c r="H3098" s="25" t="s">
        <v>675</v>
      </c>
      <c r="I3098" s="25" t="s">
        <v>826</v>
      </c>
      <c r="J3098" s="25" t="s">
        <v>827</v>
      </c>
      <c r="K3098" s="25" t="s">
        <v>444</v>
      </c>
      <c r="L3098" s="25" t="s">
        <v>5</v>
      </c>
      <c r="M3098" s="25" t="s">
        <v>408</v>
      </c>
      <c r="N3098" s="25" t="s">
        <v>11</v>
      </c>
      <c r="O3098" s="25" t="s">
        <v>11</v>
      </c>
      <c r="P3098" s="25" t="s">
        <v>2</v>
      </c>
      <c r="Q3098" s="25" t="s">
        <v>408</v>
      </c>
      <c r="R3098" s="25" t="s">
        <v>439</v>
      </c>
      <c r="S3098" s="25" t="s">
        <v>451</v>
      </c>
      <c r="T3098" s="25" t="s">
        <v>11</v>
      </c>
      <c r="U3098" s="25" t="s">
        <v>408</v>
      </c>
    </row>
    <row r="3099" spans="1:21" x14ac:dyDescent="0.25">
      <c r="A3099" s="26">
        <v>24567373</v>
      </c>
      <c r="B3099" s="25" t="s">
        <v>342</v>
      </c>
      <c r="C3099" s="25" t="s">
        <v>89</v>
      </c>
      <c r="D3099" s="25" t="s">
        <v>12</v>
      </c>
      <c r="E3099" s="25" t="s">
        <v>755</v>
      </c>
      <c r="F3099" s="25" t="s">
        <v>380</v>
      </c>
      <c r="G3099" s="25" t="s">
        <v>369</v>
      </c>
      <c r="H3099" s="25" t="s">
        <v>675</v>
      </c>
      <c r="I3099" s="25" t="s">
        <v>826</v>
      </c>
      <c r="J3099" s="25" t="s">
        <v>827</v>
      </c>
      <c r="K3099" s="25" t="s">
        <v>444</v>
      </c>
      <c r="L3099" s="25" t="s">
        <v>5</v>
      </c>
      <c r="M3099" s="25" t="s">
        <v>408</v>
      </c>
      <c r="N3099" s="25" t="s">
        <v>11</v>
      </c>
      <c r="O3099" s="25" t="s">
        <v>11</v>
      </c>
      <c r="P3099" s="25" t="s">
        <v>2</v>
      </c>
      <c r="Q3099" s="25" t="s">
        <v>408</v>
      </c>
      <c r="R3099" s="25" t="s">
        <v>439</v>
      </c>
      <c r="S3099" s="25" t="s">
        <v>451</v>
      </c>
      <c r="T3099" s="25" t="s">
        <v>11</v>
      </c>
      <c r="U3099" s="25" t="s">
        <v>408</v>
      </c>
    </row>
    <row r="3100" spans="1:21" x14ac:dyDescent="0.25">
      <c r="A3100" s="26">
        <v>24567374</v>
      </c>
      <c r="B3100" s="25" t="s">
        <v>340</v>
      </c>
      <c r="C3100" s="25" t="s">
        <v>86</v>
      </c>
      <c r="D3100" s="25" t="s">
        <v>18</v>
      </c>
      <c r="E3100" s="25" t="s">
        <v>755</v>
      </c>
      <c r="F3100" s="25" t="s">
        <v>380</v>
      </c>
      <c r="G3100" s="25" t="s">
        <v>369</v>
      </c>
      <c r="H3100" s="25" t="s">
        <v>675</v>
      </c>
      <c r="I3100" s="25" t="s">
        <v>826</v>
      </c>
      <c r="J3100" s="25" t="s">
        <v>827</v>
      </c>
      <c r="K3100" s="25" t="s">
        <v>444</v>
      </c>
      <c r="L3100" s="25" t="s">
        <v>5</v>
      </c>
      <c r="M3100" s="25" t="s">
        <v>408</v>
      </c>
      <c r="N3100" s="25" t="s">
        <v>11</v>
      </c>
      <c r="O3100" s="25" t="s">
        <v>11</v>
      </c>
      <c r="P3100" s="25" t="s">
        <v>2</v>
      </c>
      <c r="Q3100" s="25" t="s">
        <v>408</v>
      </c>
      <c r="R3100" s="25" t="s">
        <v>439</v>
      </c>
      <c r="S3100" s="25" t="s">
        <v>451</v>
      </c>
      <c r="T3100" s="25" t="s">
        <v>11</v>
      </c>
      <c r="U3100" s="25" t="s">
        <v>408</v>
      </c>
    </row>
    <row r="3101" spans="1:21" x14ac:dyDescent="0.25">
      <c r="A3101" s="26">
        <v>24567375</v>
      </c>
      <c r="B3101" s="25" t="s">
        <v>340</v>
      </c>
      <c r="C3101" s="25" t="s">
        <v>86</v>
      </c>
      <c r="D3101" s="25" t="s">
        <v>12</v>
      </c>
      <c r="E3101" s="25" t="s">
        <v>755</v>
      </c>
      <c r="F3101" s="25" t="s">
        <v>380</v>
      </c>
      <c r="G3101" s="25" t="s">
        <v>369</v>
      </c>
      <c r="H3101" s="25" t="s">
        <v>675</v>
      </c>
      <c r="I3101" s="25" t="s">
        <v>826</v>
      </c>
      <c r="J3101" s="25" t="s">
        <v>827</v>
      </c>
      <c r="K3101" s="25" t="s">
        <v>444</v>
      </c>
      <c r="L3101" s="25" t="s">
        <v>5</v>
      </c>
      <c r="M3101" s="25" t="s">
        <v>408</v>
      </c>
      <c r="N3101" s="25" t="s">
        <v>11</v>
      </c>
      <c r="O3101" s="25" t="s">
        <v>11</v>
      </c>
      <c r="P3101" s="25" t="s">
        <v>2</v>
      </c>
      <c r="Q3101" s="25" t="s">
        <v>408</v>
      </c>
      <c r="R3101" s="25" t="s">
        <v>439</v>
      </c>
      <c r="S3101" s="25" t="s">
        <v>451</v>
      </c>
      <c r="T3101" s="25" t="s">
        <v>11</v>
      </c>
      <c r="U3101" s="25" t="s">
        <v>408</v>
      </c>
    </row>
    <row r="3102" spans="1:21" x14ac:dyDescent="0.25">
      <c r="A3102" s="26">
        <v>24567376</v>
      </c>
      <c r="B3102" s="25" t="s">
        <v>340</v>
      </c>
      <c r="C3102" s="25" t="s">
        <v>86</v>
      </c>
      <c r="D3102" s="25" t="s">
        <v>12</v>
      </c>
      <c r="E3102" s="25" t="s">
        <v>755</v>
      </c>
      <c r="F3102" s="25" t="s">
        <v>380</v>
      </c>
      <c r="G3102" s="25" t="s">
        <v>369</v>
      </c>
      <c r="H3102" s="25" t="s">
        <v>675</v>
      </c>
      <c r="I3102" s="25" t="s">
        <v>826</v>
      </c>
      <c r="J3102" s="25" t="s">
        <v>827</v>
      </c>
      <c r="K3102" s="25" t="s">
        <v>444</v>
      </c>
      <c r="L3102" s="25" t="s">
        <v>5</v>
      </c>
      <c r="M3102" s="25" t="s">
        <v>408</v>
      </c>
      <c r="N3102" s="25" t="s">
        <v>11</v>
      </c>
      <c r="O3102" s="25" t="s">
        <v>11</v>
      </c>
      <c r="P3102" s="25" t="s">
        <v>2</v>
      </c>
      <c r="Q3102" s="25" t="s">
        <v>408</v>
      </c>
      <c r="R3102" s="25" t="s">
        <v>439</v>
      </c>
      <c r="S3102" s="25" t="s">
        <v>451</v>
      </c>
      <c r="T3102" s="25" t="s">
        <v>11</v>
      </c>
      <c r="U3102" s="25" t="s">
        <v>408</v>
      </c>
    </row>
    <row r="3103" spans="1:21" x14ac:dyDescent="0.25">
      <c r="A3103" s="26">
        <v>24567377</v>
      </c>
      <c r="B3103" s="25" t="s">
        <v>340</v>
      </c>
      <c r="C3103" s="25" t="s">
        <v>86</v>
      </c>
      <c r="D3103" s="25" t="s">
        <v>12</v>
      </c>
      <c r="E3103" s="25" t="s">
        <v>755</v>
      </c>
      <c r="F3103" s="25" t="s">
        <v>380</v>
      </c>
      <c r="G3103" s="25" t="s">
        <v>369</v>
      </c>
      <c r="H3103" s="25" t="s">
        <v>675</v>
      </c>
      <c r="I3103" s="25" t="s">
        <v>826</v>
      </c>
      <c r="J3103" s="25" t="s">
        <v>827</v>
      </c>
      <c r="K3103" s="25" t="s">
        <v>444</v>
      </c>
      <c r="L3103" s="25" t="s">
        <v>5</v>
      </c>
      <c r="M3103" s="25" t="s">
        <v>408</v>
      </c>
      <c r="N3103" s="25" t="s">
        <v>11</v>
      </c>
      <c r="O3103" s="25" t="s">
        <v>11</v>
      </c>
      <c r="P3103" s="25" t="s">
        <v>2</v>
      </c>
      <c r="Q3103" s="25" t="s">
        <v>408</v>
      </c>
      <c r="R3103" s="25" t="s">
        <v>439</v>
      </c>
      <c r="S3103" s="25" t="s">
        <v>451</v>
      </c>
      <c r="T3103" s="25" t="s">
        <v>11</v>
      </c>
      <c r="U3103" s="25" t="s">
        <v>408</v>
      </c>
    </row>
    <row r="3104" spans="1:21" x14ac:dyDescent="0.25">
      <c r="A3104" s="26">
        <v>24567378</v>
      </c>
      <c r="B3104" s="25" t="s">
        <v>342</v>
      </c>
      <c r="C3104" s="25" t="s">
        <v>89</v>
      </c>
      <c r="D3104" s="25" t="s">
        <v>12</v>
      </c>
      <c r="E3104" s="25" t="s">
        <v>755</v>
      </c>
      <c r="F3104" s="25" t="s">
        <v>380</v>
      </c>
      <c r="G3104" s="25" t="s">
        <v>369</v>
      </c>
      <c r="H3104" s="25" t="s">
        <v>675</v>
      </c>
      <c r="I3104" s="25" t="s">
        <v>826</v>
      </c>
      <c r="J3104" s="25" t="s">
        <v>827</v>
      </c>
      <c r="K3104" s="25" t="s">
        <v>444</v>
      </c>
      <c r="L3104" s="25" t="s">
        <v>5</v>
      </c>
      <c r="M3104" s="25" t="s">
        <v>408</v>
      </c>
      <c r="N3104" s="25" t="s">
        <v>11</v>
      </c>
      <c r="O3104" s="25" t="s">
        <v>11</v>
      </c>
      <c r="P3104" s="25" t="s">
        <v>2</v>
      </c>
      <c r="Q3104" s="25" t="s">
        <v>408</v>
      </c>
      <c r="R3104" s="25" t="s">
        <v>439</v>
      </c>
      <c r="S3104" s="25" t="s">
        <v>451</v>
      </c>
      <c r="T3104" s="25" t="s">
        <v>11</v>
      </c>
      <c r="U3104" s="25" t="s">
        <v>408</v>
      </c>
    </row>
    <row r="3105" spans="1:21" x14ac:dyDescent="0.25">
      <c r="A3105" s="26">
        <v>24567379</v>
      </c>
      <c r="B3105" s="25" t="s">
        <v>342</v>
      </c>
      <c r="C3105" s="25" t="s">
        <v>89</v>
      </c>
      <c r="D3105" s="25" t="s">
        <v>12</v>
      </c>
      <c r="E3105" s="25" t="s">
        <v>755</v>
      </c>
      <c r="F3105" s="25" t="s">
        <v>380</v>
      </c>
      <c r="G3105" s="25" t="s">
        <v>369</v>
      </c>
      <c r="H3105" s="25" t="s">
        <v>675</v>
      </c>
      <c r="I3105" s="25" t="s">
        <v>826</v>
      </c>
      <c r="J3105" s="25" t="s">
        <v>827</v>
      </c>
      <c r="K3105" s="25" t="s">
        <v>444</v>
      </c>
      <c r="L3105" s="25" t="s">
        <v>5</v>
      </c>
      <c r="M3105" s="25" t="s">
        <v>408</v>
      </c>
      <c r="N3105" s="25" t="s">
        <v>11</v>
      </c>
      <c r="O3105" s="25" t="s">
        <v>11</v>
      </c>
      <c r="P3105" s="25" t="s">
        <v>2</v>
      </c>
      <c r="Q3105" s="25" t="s">
        <v>408</v>
      </c>
      <c r="R3105" s="25" t="s">
        <v>439</v>
      </c>
      <c r="S3105" s="25" t="s">
        <v>451</v>
      </c>
      <c r="T3105" s="25" t="s">
        <v>11</v>
      </c>
      <c r="U3105" s="25" t="s">
        <v>408</v>
      </c>
    </row>
    <row r="3106" spans="1:21" x14ac:dyDescent="0.25">
      <c r="A3106" s="26">
        <v>24567380</v>
      </c>
      <c r="B3106" s="25" t="s">
        <v>340</v>
      </c>
      <c r="C3106" s="25" t="s">
        <v>86</v>
      </c>
      <c r="D3106" s="25" t="s">
        <v>12</v>
      </c>
      <c r="E3106" s="25" t="s">
        <v>755</v>
      </c>
      <c r="F3106" s="25" t="s">
        <v>380</v>
      </c>
      <c r="G3106" s="25" t="s">
        <v>369</v>
      </c>
      <c r="H3106" s="25" t="s">
        <v>675</v>
      </c>
      <c r="I3106" s="25" t="s">
        <v>826</v>
      </c>
      <c r="J3106" s="25" t="s">
        <v>827</v>
      </c>
      <c r="K3106" s="25" t="s">
        <v>444</v>
      </c>
      <c r="L3106" s="25" t="s">
        <v>5</v>
      </c>
      <c r="M3106" s="25" t="s">
        <v>408</v>
      </c>
      <c r="N3106" s="25" t="s">
        <v>11</v>
      </c>
      <c r="O3106" s="25" t="s">
        <v>11</v>
      </c>
      <c r="P3106" s="25" t="s">
        <v>2</v>
      </c>
      <c r="Q3106" s="25" t="s">
        <v>408</v>
      </c>
      <c r="R3106" s="25" t="s">
        <v>439</v>
      </c>
      <c r="S3106" s="25" t="s">
        <v>451</v>
      </c>
      <c r="T3106" s="25" t="s">
        <v>11</v>
      </c>
      <c r="U3106" s="25" t="s">
        <v>408</v>
      </c>
    </row>
    <row r="3107" spans="1:21" x14ac:dyDescent="0.25">
      <c r="A3107" s="26">
        <v>24567381</v>
      </c>
      <c r="B3107" s="25" t="s">
        <v>340</v>
      </c>
      <c r="C3107" s="25" t="s">
        <v>86</v>
      </c>
      <c r="D3107" s="25" t="s">
        <v>12</v>
      </c>
      <c r="E3107" s="25" t="s">
        <v>755</v>
      </c>
      <c r="F3107" s="25" t="s">
        <v>380</v>
      </c>
      <c r="G3107" s="25" t="s">
        <v>369</v>
      </c>
      <c r="H3107" s="25" t="s">
        <v>675</v>
      </c>
      <c r="I3107" s="25" t="s">
        <v>826</v>
      </c>
      <c r="J3107" s="25" t="s">
        <v>827</v>
      </c>
      <c r="K3107" s="25" t="s">
        <v>444</v>
      </c>
      <c r="L3107" s="25" t="s">
        <v>5</v>
      </c>
      <c r="M3107" s="25" t="s">
        <v>408</v>
      </c>
      <c r="N3107" s="25" t="s">
        <v>11</v>
      </c>
      <c r="O3107" s="25" t="s">
        <v>11</v>
      </c>
      <c r="P3107" s="25" t="s">
        <v>2</v>
      </c>
      <c r="Q3107" s="25" t="s">
        <v>408</v>
      </c>
      <c r="R3107" s="25" t="s">
        <v>439</v>
      </c>
      <c r="S3107" s="25" t="s">
        <v>451</v>
      </c>
      <c r="T3107" s="25" t="s">
        <v>11</v>
      </c>
      <c r="U3107" s="25" t="s">
        <v>408</v>
      </c>
    </row>
    <row r="3108" spans="1:21" x14ac:dyDescent="0.25">
      <c r="A3108" s="26">
        <v>24567382</v>
      </c>
      <c r="B3108" s="25" t="s">
        <v>340</v>
      </c>
      <c r="C3108" s="25" t="s">
        <v>86</v>
      </c>
      <c r="D3108" s="25" t="s">
        <v>18</v>
      </c>
      <c r="E3108" s="25" t="s">
        <v>755</v>
      </c>
      <c r="F3108" s="25" t="s">
        <v>380</v>
      </c>
      <c r="G3108" s="25" t="s">
        <v>369</v>
      </c>
      <c r="H3108" s="25" t="s">
        <v>675</v>
      </c>
      <c r="I3108" s="25" t="s">
        <v>826</v>
      </c>
      <c r="J3108" s="25" t="s">
        <v>827</v>
      </c>
      <c r="K3108" s="25" t="s">
        <v>444</v>
      </c>
      <c r="L3108" s="25" t="s">
        <v>5</v>
      </c>
      <c r="M3108" s="25" t="s">
        <v>408</v>
      </c>
      <c r="N3108" s="25" t="s">
        <v>11</v>
      </c>
      <c r="O3108" s="25" t="s">
        <v>11</v>
      </c>
      <c r="P3108" s="25" t="s">
        <v>2</v>
      </c>
      <c r="Q3108" s="25" t="s">
        <v>408</v>
      </c>
      <c r="R3108" s="25" t="s">
        <v>439</v>
      </c>
      <c r="S3108" s="25" t="s">
        <v>451</v>
      </c>
      <c r="T3108" s="25" t="s">
        <v>11</v>
      </c>
      <c r="U3108" s="25" t="s">
        <v>408</v>
      </c>
    </row>
    <row r="3109" spans="1:21" x14ac:dyDescent="0.25">
      <c r="A3109" s="26">
        <v>24567383</v>
      </c>
      <c r="B3109" s="25" t="s">
        <v>340</v>
      </c>
      <c r="C3109" s="25" t="s">
        <v>86</v>
      </c>
      <c r="D3109" s="25" t="s">
        <v>12</v>
      </c>
      <c r="E3109" s="25" t="s">
        <v>755</v>
      </c>
      <c r="F3109" s="25" t="s">
        <v>380</v>
      </c>
      <c r="G3109" s="25" t="s">
        <v>369</v>
      </c>
      <c r="H3109" s="25" t="s">
        <v>675</v>
      </c>
      <c r="I3109" s="25" t="s">
        <v>826</v>
      </c>
      <c r="J3109" s="25" t="s">
        <v>827</v>
      </c>
      <c r="K3109" s="25" t="s">
        <v>444</v>
      </c>
      <c r="L3109" s="25" t="s">
        <v>5</v>
      </c>
      <c r="M3109" s="25" t="s">
        <v>408</v>
      </c>
      <c r="N3109" s="25" t="s">
        <v>11</v>
      </c>
      <c r="O3109" s="25" t="s">
        <v>11</v>
      </c>
      <c r="P3109" s="25" t="s">
        <v>2</v>
      </c>
      <c r="Q3109" s="25" t="s">
        <v>408</v>
      </c>
      <c r="R3109" s="25" t="s">
        <v>439</v>
      </c>
      <c r="S3109" s="25" t="s">
        <v>451</v>
      </c>
      <c r="T3109" s="25" t="s">
        <v>11</v>
      </c>
      <c r="U3109" s="25" t="s">
        <v>408</v>
      </c>
    </row>
    <row r="3110" spans="1:21" x14ac:dyDescent="0.25">
      <c r="A3110" s="26">
        <v>24567384</v>
      </c>
      <c r="B3110" s="25" t="s">
        <v>342</v>
      </c>
      <c r="C3110" s="25" t="s">
        <v>89</v>
      </c>
      <c r="D3110" s="25" t="s">
        <v>12</v>
      </c>
      <c r="E3110" s="25" t="s">
        <v>629</v>
      </c>
      <c r="F3110" s="25" t="s">
        <v>1107</v>
      </c>
      <c r="G3110" s="25" t="s">
        <v>369</v>
      </c>
      <c r="H3110" s="25" t="s">
        <v>861</v>
      </c>
      <c r="I3110" s="25" t="s">
        <v>860</v>
      </c>
      <c r="J3110" s="25" t="s">
        <v>859</v>
      </c>
      <c r="K3110" s="25" t="s">
        <v>450</v>
      </c>
      <c r="L3110" s="25" t="s">
        <v>367</v>
      </c>
      <c r="M3110" s="25" t="s">
        <v>408</v>
      </c>
      <c r="N3110" s="25" t="s">
        <v>11</v>
      </c>
      <c r="O3110" s="25" t="s">
        <v>11</v>
      </c>
      <c r="P3110" s="25" t="s">
        <v>2</v>
      </c>
      <c r="Q3110" s="25" t="s">
        <v>408</v>
      </c>
      <c r="R3110" s="25" t="s">
        <v>439</v>
      </c>
      <c r="S3110" s="25" t="s">
        <v>440</v>
      </c>
      <c r="T3110" s="25" t="s">
        <v>11</v>
      </c>
      <c r="U3110" s="25" t="s">
        <v>408</v>
      </c>
    </row>
    <row r="3111" spans="1:21" x14ac:dyDescent="0.25">
      <c r="A3111" s="26">
        <v>24567385</v>
      </c>
      <c r="B3111" s="25" t="s">
        <v>342</v>
      </c>
      <c r="C3111" s="25" t="s">
        <v>89</v>
      </c>
      <c r="D3111" s="25" t="s">
        <v>12</v>
      </c>
      <c r="E3111" s="25" t="s">
        <v>629</v>
      </c>
      <c r="F3111" s="25" t="s">
        <v>1107</v>
      </c>
      <c r="G3111" s="25" t="s">
        <v>369</v>
      </c>
      <c r="H3111" s="25" t="s">
        <v>1101</v>
      </c>
      <c r="I3111" s="25" t="s">
        <v>1102</v>
      </c>
      <c r="J3111" s="25" t="s">
        <v>1103</v>
      </c>
      <c r="K3111" s="25" t="s">
        <v>462</v>
      </c>
      <c r="L3111" s="25" t="s">
        <v>819</v>
      </c>
      <c r="M3111" s="25" t="s">
        <v>408</v>
      </c>
      <c r="N3111" s="25" t="s">
        <v>11</v>
      </c>
      <c r="O3111" s="25" t="s">
        <v>11</v>
      </c>
      <c r="P3111" s="25" t="s">
        <v>2</v>
      </c>
      <c r="Q3111" s="25" t="s">
        <v>408</v>
      </c>
      <c r="R3111" s="25" t="s">
        <v>439</v>
      </c>
      <c r="S3111" s="25" t="s">
        <v>451</v>
      </c>
      <c r="T3111" s="25" t="s">
        <v>11</v>
      </c>
      <c r="U3111" s="25" t="s">
        <v>408</v>
      </c>
    </row>
    <row r="3112" spans="1:21" x14ac:dyDescent="0.25">
      <c r="A3112" s="26">
        <v>24567454</v>
      </c>
      <c r="B3112" s="25" t="s">
        <v>342</v>
      </c>
      <c r="C3112" s="25" t="s">
        <v>89</v>
      </c>
      <c r="D3112" s="25" t="s">
        <v>12</v>
      </c>
      <c r="E3112" s="25" t="s">
        <v>487</v>
      </c>
      <c r="F3112" s="25" t="s">
        <v>388</v>
      </c>
      <c r="G3112" s="25" t="s">
        <v>369</v>
      </c>
      <c r="H3112" s="25" t="s">
        <v>675</v>
      </c>
      <c r="I3112" s="25" t="s">
        <v>826</v>
      </c>
      <c r="J3112" s="25" t="s">
        <v>827</v>
      </c>
      <c r="K3112" s="25" t="s">
        <v>444</v>
      </c>
      <c r="L3112" s="25" t="s">
        <v>5</v>
      </c>
      <c r="M3112" s="25" t="s">
        <v>408</v>
      </c>
      <c r="N3112" s="25" t="s">
        <v>11</v>
      </c>
      <c r="O3112" s="25" t="s">
        <v>11</v>
      </c>
      <c r="P3112" s="25" t="s">
        <v>2</v>
      </c>
      <c r="Q3112" s="25" t="s">
        <v>408</v>
      </c>
      <c r="R3112" s="25" t="s">
        <v>439</v>
      </c>
      <c r="S3112" s="25" t="s">
        <v>451</v>
      </c>
      <c r="T3112" s="25" t="s">
        <v>11</v>
      </c>
      <c r="U3112" s="25" t="s">
        <v>408</v>
      </c>
    </row>
    <row r="3113" spans="1:21" x14ac:dyDescent="0.25">
      <c r="A3113" s="26">
        <v>24567456</v>
      </c>
      <c r="B3113" s="25" t="s">
        <v>342</v>
      </c>
      <c r="C3113" s="25" t="s">
        <v>89</v>
      </c>
      <c r="D3113" s="25" t="s">
        <v>12</v>
      </c>
      <c r="E3113" s="25" t="s">
        <v>487</v>
      </c>
      <c r="F3113" s="25" t="s">
        <v>388</v>
      </c>
      <c r="G3113" s="25" t="s">
        <v>369</v>
      </c>
      <c r="H3113" s="25" t="s">
        <v>861</v>
      </c>
      <c r="I3113" s="25" t="s">
        <v>860</v>
      </c>
      <c r="J3113" s="25" t="s">
        <v>859</v>
      </c>
      <c r="K3113" s="25" t="s">
        <v>450</v>
      </c>
      <c r="L3113" s="25" t="s">
        <v>367</v>
      </c>
      <c r="M3113" s="25" t="s">
        <v>408</v>
      </c>
      <c r="N3113" s="25" t="s">
        <v>11</v>
      </c>
      <c r="O3113" s="25" t="s">
        <v>11</v>
      </c>
      <c r="P3113" s="25" t="s">
        <v>2</v>
      </c>
      <c r="Q3113" s="25" t="s">
        <v>408</v>
      </c>
      <c r="R3113" s="25" t="s">
        <v>439</v>
      </c>
      <c r="S3113" s="25" t="s">
        <v>440</v>
      </c>
      <c r="T3113" s="25" t="s">
        <v>11</v>
      </c>
      <c r="U3113" s="25" t="s">
        <v>408</v>
      </c>
    </row>
    <row r="3114" spans="1:21" x14ac:dyDescent="0.25">
      <c r="A3114" s="26">
        <v>24567457</v>
      </c>
      <c r="B3114" s="25" t="s">
        <v>342</v>
      </c>
      <c r="C3114" s="25" t="s">
        <v>89</v>
      </c>
      <c r="D3114" s="25" t="s">
        <v>12</v>
      </c>
      <c r="E3114" s="25" t="s">
        <v>487</v>
      </c>
      <c r="F3114" s="25" t="s">
        <v>388</v>
      </c>
      <c r="G3114" s="25" t="s">
        <v>369</v>
      </c>
      <c r="H3114" s="25" t="s">
        <v>861</v>
      </c>
      <c r="I3114" s="25" t="s">
        <v>860</v>
      </c>
      <c r="J3114" s="25" t="s">
        <v>859</v>
      </c>
      <c r="K3114" s="25" t="s">
        <v>450</v>
      </c>
      <c r="L3114" s="25" t="s">
        <v>367</v>
      </c>
      <c r="M3114" s="25" t="s">
        <v>408</v>
      </c>
      <c r="N3114" s="25" t="s">
        <v>11</v>
      </c>
      <c r="O3114" s="25" t="s">
        <v>11</v>
      </c>
      <c r="P3114" s="25" t="s">
        <v>2</v>
      </c>
      <c r="Q3114" s="25" t="s">
        <v>408</v>
      </c>
      <c r="R3114" s="25" t="s">
        <v>439</v>
      </c>
      <c r="S3114" s="25" t="s">
        <v>440</v>
      </c>
      <c r="T3114" s="25" t="s">
        <v>11</v>
      </c>
      <c r="U3114" s="25" t="s">
        <v>408</v>
      </c>
    </row>
    <row r="3115" spans="1:21" x14ac:dyDescent="0.25">
      <c r="A3115" s="26">
        <v>24567459</v>
      </c>
      <c r="B3115" s="25" t="s">
        <v>340</v>
      </c>
      <c r="C3115" s="25" t="s">
        <v>86</v>
      </c>
      <c r="D3115" s="25" t="s">
        <v>18</v>
      </c>
      <c r="E3115" s="25" t="s">
        <v>487</v>
      </c>
      <c r="F3115" s="25" t="s">
        <v>388</v>
      </c>
      <c r="G3115" s="25" t="s">
        <v>369</v>
      </c>
      <c r="H3115" s="25" t="s">
        <v>675</v>
      </c>
      <c r="I3115" s="25" t="s">
        <v>826</v>
      </c>
      <c r="J3115" s="25" t="s">
        <v>827</v>
      </c>
      <c r="K3115" s="25" t="s">
        <v>444</v>
      </c>
      <c r="L3115" s="25" t="s">
        <v>5</v>
      </c>
      <c r="M3115" s="25" t="s">
        <v>408</v>
      </c>
      <c r="N3115" s="25" t="s">
        <v>11</v>
      </c>
      <c r="O3115" s="25" t="s">
        <v>11</v>
      </c>
      <c r="P3115" s="25" t="s">
        <v>2</v>
      </c>
      <c r="Q3115" s="25" t="s">
        <v>408</v>
      </c>
      <c r="R3115" s="25" t="s">
        <v>439</v>
      </c>
      <c r="S3115" s="25" t="s">
        <v>451</v>
      </c>
      <c r="T3115" s="25" t="s">
        <v>11</v>
      </c>
      <c r="U3115" s="25" t="s">
        <v>408</v>
      </c>
    </row>
    <row r="3116" spans="1:21" x14ac:dyDescent="0.25">
      <c r="A3116" s="26">
        <v>24567460</v>
      </c>
      <c r="B3116" s="25" t="s">
        <v>340</v>
      </c>
      <c r="C3116" s="25" t="s">
        <v>86</v>
      </c>
      <c r="D3116" s="25" t="s">
        <v>12</v>
      </c>
      <c r="E3116" s="25" t="s">
        <v>487</v>
      </c>
      <c r="F3116" s="25" t="s">
        <v>388</v>
      </c>
      <c r="G3116" s="25" t="s">
        <v>369</v>
      </c>
      <c r="H3116" s="25" t="s">
        <v>675</v>
      </c>
      <c r="I3116" s="25" t="s">
        <v>826</v>
      </c>
      <c r="J3116" s="25" t="s">
        <v>827</v>
      </c>
      <c r="K3116" s="25" t="s">
        <v>444</v>
      </c>
      <c r="L3116" s="25" t="s">
        <v>5</v>
      </c>
      <c r="M3116" s="25" t="s">
        <v>408</v>
      </c>
      <c r="N3116" s="25" t="s">
        <v>11</v>
      </c>
      <c r="O3116" s="25" t="s">
        <v>11</v>
      </c>
      <c r="P3116" s="25" t="s">
        <v>2</v>
      </c>
      <c r="Q3116" s="25" t="s">
        <v>408</v>
      </c>
      <c r="R3116" s="25" t="s">
        <v>439</v>
      </c>
      <c r="S3116" s="25" t="s">
        <v>451</v>
      </c>
      <c r="T3116" s="25" t="s">
        <v>11</v>
      </c>
      <c r="U3116" s="25" t="s">
        <v>408</v>
      </c>
    </row>
    <row r="3117" spans="1:21" x14ac:dyDescent="0.25">
      <c r="A3117" s="26">
        <v>24567462</v>
      </c>
      <c r="B3117" s="25" t="s">
        <v>342</v>
      </c>
      <c r="C3117" s="25" t="s">
        <v>89</v>
      </c>
      <c r="D3117" s="25" t="s">
        <v>12</v>
      </c>
      <c r="E3117" s="25" t="s">
        <v>487</v>
      </c>
      <c r="F3117" s="25" t="s">
        <v>415</v>
      </c>
      <c r="G3117" s="25" t="s">
        <v>369</v>
      </c>
      <c r="H3117" s="25" t="s">
        <v>559</v>
      </c>
      <c r="I3117" s="25" t="s">
        <v>634</v>
      </c>
      <c r="J3117" s="25" t="s">
        <v>635</v>
      </c>
      <c r="K3117" s="25" t="s">
        <v>450</v>
      </c>
      <c r="L3117" s="25" t="s">
        <v>0</v>
      </c>
      <c r="M3117" s="25" t="s">
        <v>408</v>
      </c>
      <c r="N3117" s="25" t="s">
        <v>11</v>
      </c>
      <c r="O3117" s="25" t="s">
        <v>11</v>
      </c>
      <c r="P3117" s="25" t="s">
        <v>0</v>
      </c>
      <c r="Q3117" s="25" t="s">
        <v>408</v>
      </c>
      <c r="R3117" s="25" t="s">
        <v>439</v>
      </c>
      <c r="S3117" s="25" t="s">
        <v>451</v>
      </c>
      <c r="T3117" s="25" t="s">
        <v>11</v>
      </c>
      <c r="U3117" s="25" t="s">
        <v>408</v>
      </c>
    </row>
    <row r="3118" spans="1:21" x14ac:dyDescent="0.25">
      <c r="A3118" s="26">
        <v>24567463</v>
      </c>
      <c r="B3118" s="25" t="s">
        <v>342</v>
      </c>
      <c r="C3118" s="25" t="s">
        <v>89</v>
      </c>
      <c r="D3118" s="25" t="s">
        <v>12</v>
      </c>
      <c r="E3118" s="25" t="s">
        <v>487</v>
      </c>
      <c r="F3118" s="25" t="s">
        <v>415</v>
      </c>
      <c r="G3118" s="25" t="s">
        <v>369</v>
      </c>
      <c r="H3118" s="25" t="s">
        <v>853</v>
      </c>
      <c r="I3118" s="25" t="s">
        <v>852</v>
      </c>
      <c r="J3118" s="25" t="s">
        <v>851</v>
      </c>
      <c r="K3118" s="25" t="s">
        <v>850</v>
      </c>
      <c r="L3118" s="25" t="s">
        <v>353</v>
      </c>
      <c r="M3118" s="25" t="s">
        <v>408</v>
      </c>
      <c r="N3118" s="25" t="s">
        <v>11</v>
      </c>
      <c r="O3118" s="25" t="s">
        <v>11</v>
      </c>
      <c r="P3118" s="25" t="s">
        <v>0</v>
      </c>
      <c r="Q3118" s="25" t="s">
        <v>11</v>
      </c>
      <c r="R3118" s="25" t="s">
        <v>439</v>
      </c>
      <c r="S3118" s="25" t="s">
        <v>440</v>
      </c>
      <c r="T3118" s="25" t="s">
        <v>11</v>
      </c>
      <c r="U3118" s="25" t="s">
        <v>11</v>
      </c>
    </row>
    <row r="3119" spans="1:21" x14ac:dyDescent="0.25">
      <c r="A3119" s="26">
        <v>24567466</v>
      </c>
      <c r="B3119" s="25" t="s">
        <v>342</v>
      </c>
      <c r="C3119" s="25" t="s">
        <v>89</v>
      </c>
      <c r="D3119" s="25" t="s">
        <v>18</v>
      </c>
      <c r="E3119" s="25" t="s">
        <v>487</v>
      </c>
      <c r="F3119" s="25" t="s">
        <v>388</v>
      </c>
      <c r="G3119" s="25" t="s">
        <v>369</v>
      </c>
      <c r="H3119" s="25" t="s">
        <v>858</v>
      </c>
      <c r="I3119" s="25" t="s">
        <v>852</v>
      </c>
      <c r="J3119" s="25" t="s">
        <v>857</v>
      </c>
      <c r="K3119" s="25" t="s">
        <v>856</v>
      </c>
      <c r="L3119" s="25" t="s">
        <v>353</v>
      </c>
      <c r="M3119" s="25" t="s">
        <v>408</v>
      </c>
      <c r="N3119" s="25" t="s">
        <v>11</v>
      </c>
      <c r="O3119" s="25" t="s">
        <v>11</v>
      </c>
      <c r="P3119" s="25" t="s">
        <v>0</v>
      </c>
      <c r="Q3119" s="25" t="s">
        <v>408</v>
      </c>
      <c r="R3119" s="25" t="s">
        <v>439</v>
      </c>
      <c r="S3119" s="25" t="s">
        <v>440</v>
      </c>
      <c r="T3119" s="25" t="s">
        <v>11</v>
      </c>
      <c r="U3119" s="25" t="s">
        <v>408</v>
      </c>
    </row>
    <row r="3120" spans="1:21" x14ac:dyDescent="0.25">
      <c r="A3120" s="26">
        <v>24567468</v>
      </c>
      <c r="B3120" s="25" t="s">
        <v>342</v>
      </c>
      <c r="C3120" s="25" t="s">
        <v>89</v>
      </c>
      <c r="D3120" s="25" t="s">
        <v>18</v>
      </c>
      <c r="E3120" s="25" t="s">
        <v>487</v>
      </c>
      <c r="F3120" s="25" t="s">
        <v>388</v>
      </c>
      <c r="G3120" s="25" t="s">
        <v>369</v>
      </c>
      <c r="H3120" s="25" t="s">
        <v>853</v>
      </c>
      <c r="I3120" s="25" t="s">
        <v>852</v>
      </c>
      <c r="J3120" s="25" t="s">
        <v>851</v>
      </c>
      <c r="K3120" s="25" t="s">
        <v>850</v>
      </c>
      <c r="L3120" s="25" t="s">
        <v>353</v>
      </c>
      <c r="M3120" s="25" t="s">
        <v>408</v>
      </c>
      <c r="N3120" s="25" t="s">
        <v>11</v>
      </c>
      <c r="O3120" s="25" t="s">
        <v>11</v>
      </c>
      <c r="P3120" s="25" t="s">
        <v>0</v>
      </c>
      <c r="Q3120" s="25" t="s">
        <v>11</v>
      </c>
      <c r="R3120" s="25" t="s">
        <v>439</v>
      </c>
      <c r="S3120" s="25" t="s">
        <v>440</v>
      </c>
      <c r="T3120" s="25" t="s">
        <v>11</v>
      </c>
      <c r="U3120" s="25" t="s">
        <v>11</v>
      </c>
    </row>
    <row r="3121" spans="1:21" x14ac:dyDescent="0.25">
      <c r="A3121" s="26">
        <v>24567470</v>
      </c>
      <c r="B3121" s="25" t="s">
        <v>340</v>
      </c>
      <c r="C3121" s="25" t="s">
        <v>15</v>
      </c>
      <c r="D3121" s="25" t="s">
        <v>12</v>
      </c>
      <c r="E3121" s="25" t="s">
        <v>487</v>
      </c>
      <c r="F3121" s="25" t="s">
        <v>415</v>
      </c>
      <c r="G3121" s="25" t="s">
        <v>468</v>
      </c>
      <c r="H3121" s="25" t="s">
        <v>0</v>
      </c>
      <c r="I3121" s="25" t="s">
        <v>436</v>
      </c>
      <c r="J3121" s="25" t="s">
        <v>437</v>
      </c>
      <c r="K3121" s="25" t="s">
        <v>438</v>
      </c>
      <c r="L3121" s="25" t="s">
        <v>345</v>
      </c>
      <c r="M3121" s="25" t="s">
        <v>408</v>
      </c>
      <c r="N3121" s="25" t="s">
        <v>11</v>
      </c>
      <c r="O3121" s="25" t="s">
        <v>11</v>
      </c>
      <c r="P3121" s="25" t="s">
        <v>0</v>
      </c>
      <c r="Q3121" s="25" t="s">
        <v>408</v>
      </c>
      <c r="R3121" s="25" t="s">
        <v>439</v>
      </c>
      <c r="S3121" s="25" t="s">
        <v>440</v>
      </c>
      <c r="T3121" s="25" t="s">
        <v>11</v>
      </c>
      <c r="U3121" s="25" t="s">
        <v>408</v>
      </c>
    </row>
    <row r="3122" spans="1:21" x14ac:dyDescent="0.25">
      <c r="A3122" s="26">
        <v>24567473</v>
      </c>
      <c r="B3122" s="25" t="s">
        <v>342</v>
      </c>
      <c r="C3122" s="25" t="s">
        <v>89</v>
      </c>
      <c r="D3122" s="25" t="s">
        <v>12</v>
      </c>
      <c r="E3122" s="25" t="s">
        <v>629</v>
      </c>
      <c r="F3122" s="25" t="s">
        <v>393</v>
      </c>
      <c r="G3122" s="25" t="s">
        <v>369</v>
      </c>
      <c r="H3122" s="25" t="s">
        <v>861</v>
      </c>
      <c r="I3122" s="25" t="s">
        <v>860</v>
      </c>
      <c r="J3122" s="25" t="s">
        <v>859</v>
      </c>
      <c r="K3122" s="25" t="s">
        <v>450</v>
      </c>
      <c r="L3122" s="25" t="s">
        <v>367</v>
      </c>
      <c r="M3122" s="25" t="s">
        <v>408</v>
      </c>
      <c r="N3122" s="25" t="s">
        <v>11</v>
      </c>
      <c r="O3122" s="25" t="s">
        <v>11</v>
      </c>
      <c r="P3122" s="25" t="s">
        <v>0</v>
      </c>
      <c r="Q3122" s="25" t="s">
        <v>408</v>
      </c>
      <c r="R3122" s="25" t="s">
        <v>439</v>
      </c>
      <c r="S3122" s="25" t="s">
        <v>440</v>
      </c>
      <c r="T3122" s="25" t="s">
        <v>11</v>
      </c>
      <c r="U3122" s="25" t="s">
        <v>408</v>
      </c>
    </row>
    <row r="3123" spans="1:21" x14ac:dyDescent="0.25">
      <c r="A3123" s="26">
        <v>24567476</v>
      </c>
      <c r="B3123" s="25" t="s">
        <v>342</v>
      </c>
      <c r="C3123" s="25" t="s">
        <v>89</v>
      </c>
      <c r="D3123" s="25" t="s">
        <v>12</v>
      </c>
      <c r="E3123" s="25" t="s">
        <v>629</v>
      </c>
      <c r="F3123" s="25" t="s">
        <v>392</v>
      </c>
      <c r="G3123" s="25" t="s">
        <v>369</v>
      </c>
      <c r="H3123" s="25" t="s">
        <v>853</v>
      </c>
      <c r="I3123" s="25" t="s">
        <v>852</v>
      </c>
      <c r="J3123" s="25" t="s">
        <v>851</v>
      </c>
      <c r="K3123" s="25" t="s">
        <v>850</v>
      </c>
      <c r="L3123" s="25" t="s">
        <v>353</v>
      </c>
      <c r="M3123" s="25" t="s">
        <v>408</v>
      </c>
      <c r="N3123" s="25" t="s">
        <v>11</v>
      </c>
      <c r="O3123" s="25" t="s">
        <v>11</v>
      </c>
      <c r="P3123" s="25" t="s">
        <v>0</v>
      </c>
      <c r="Q3123" s="25" t="s">
        <v>11</v>
      </c>
      <c r="R3123" s="25" t="s">
        <v>439</v>
      </c>
      <c r="S3123" s="25" t="s">
        <v>440</v>
      </c>
      <c r="T3123" s="25" t="s">
        <v>11</v>
      </c>
      <c r="U3123" s="25" t="s">
        <v>11</v>
      </c>
    </row>
    <row r="3124" spans="1:21" x14ac:dyDescent="0.25">
      <c r="A3124" s="26">
        <v>24567478</v>
      </c>
      <c r="B3124" s="25" t="s">
        <v>342</v>
      </c>
      <c r="C3124" s="25" t="s">
        <v>89</v>
      </c>
      <c r="D3124" s="25" t="s">
        <v>12</v>
      </c>
      <c r="E3124" s="25" t="s">
        <v>498</v>
      </c>
      <c r="F3124" s="25" t="s">
        <v>417</v>
      </c>
      <c r="G3124" s="25" t="s">
        <v>369</v>
      </c>
      <c r="H3124" s="25" t="s">
        <v>631</v>
      </c>
      <c r="I3124" s="25" t="s">
        <v>632</v>
      </c>
      <c r="J3124" s="25" t="s">
        <v>633</v>
      </c>
      <c r="K3124" s="25" t="s">
        <v>453</v>
      </c>
      <c r="L3124" s="25" t="s">
        <v>0</v>
      </c>
      <c r="M3124" s="25" t="s">
        <v>408</v>
      </c>
      <c r="N3124" s="25" t="s">
        <v>11</v>
      </c>
      <c r="O3124" s="25" t="s">
        <v>11</v>
      </c>
      <c r="P3124" s="25" t="s">
        <v>0</v>
      </c>
      <c r="Q3124" s="25" t="s">
        <v>408</v>
      </c>
      <c r="R3124" s="25" t="s">
        <v>439</v>
      </c>
      <c r="S3124" s="25" t="s">
        <v>451</v>
      </c>
      <c r="T3124" s="25" t="s">
        <v>11</v>
      </c>
      <c r="U3124" s="25" t="s">
        <v>408</v>
      </c>
    </row>
    <row r="3125" spans="1:21" x14ac:dyDescent="0.25">
      <c r="A3125" s="26">
        <v>24567480</v>
      </c>
      <c r="B3125" s="25" t="s">
        <v>342</v>
      </c>
      <c r="C3125" s="25" t="s">
        <v>89</v>
      </c>
      <c r="D3125" s="25" t="s">
        <v>12</v>
      </c>
      <c r="E3125" s="25" t="s">
        <v>487</v>
      </c>
      <c r="F3125" s="25" t="s">
        <v>388</v>
      </c>
      <c r="G3125" s="25" t="s">
        <v>369</v>
      </c>
      <c r="H3125" s="25" t="s">
        <v>631</v>
      </c>
      <c r="I3125" s="25" t="s">
        <v>632</v>
      </c>
      <c r="J3125" s="25" t="s">
        <v>633</v>
      </c>
      <c r="K3125" s="25" t="s">
        <v>453</v>
      </c>
      <c r="L3125" s="25" t="s">
        <v>0</v>
      </c>
      <c r="M3125" s="25" t="s">
        <v>408</v>
      </c>
      <c r="N3125" s="25" t="s">
        <v>11</v>
      </c>
      <c r="O3125" s="25" t="s">
        <v>11</v>
      </c>
      <c r="P3125" s="25" t="s">
        <v>0</v>
      </c>
      <c r="Q3125" s="25" t="s">
        <v>408</v>
      </c>
      <c r="R3125" s="25" t="s">
        <v>439</v>
      </c>
      <c r="S3125" s="25" t="s">
        <v>451</v>
      </c>
      <c r="T3125" s="25" t="s">
        <v>11</v>
      </c>
      <c r="U3125" s="25" t="s">
        <v>408</v>
      </c>
    </row>
    <row r="3126" spans="1:21" x14ac:dyDescent="0.25">
      <c r="A3126" s="26">
        <v>24567482</v>
      </c>
      <c r="B3126" s="25" t="s">
        <v>342</v>
      </c>
      <c r="C3126" s="25" t="s">
        <v>89</v>
      </c>
      <c r="D3126" s="25" t="s">
        <v>12</v>
      </c>
      <c r="E3126" s="25" t="s">
        <v>487</v>
      </c>
      <c r="F3126" s="25" t="s">
        <v>388</v>
      </c>
      <c r="G3126" s="25" t="s">
        <v>369</v>
      </c>
      <c r="H3126" s="25" t="s">
        <v>861</v>
      </c>
      <c r="I3126" s="25" t="s">
        <v>860</v>
      </c>
      <c r="J3126" s="25" t="s">
        <v>859</v>
      </c>
      <c r="K3126" s="25" t="s">
        <v>450</v>
      </c>
      <c r="L3126" s="25" t="s">
        <v>367</v>
      </c>
      <c r="M3126" s="25" t="s">
        <v>408</v>
      </c>
      <c r="N3126" s="25" t="s">
        <v>11</v>
      </c>
      <c r="O3126" s="25" t="s">
        <v>11</v>
      </c>
      <c r="P3126" s="25" t="s">
        <v>0</v>
      </c>
      <c r="Q3126" s="25" t="s">
        <v>408</v>
      </c>
      <c r="R3126" s="25" t="s">
        <v>439</v>
      </c>
      <c r="S3126" s="25" t="s">
        <v>440</v>
      </c>
      <c r="T3126" s="25" t="s">
        <v>11</v>
      </c>
      <c r="U3126" s="25" t="s">
        <v>408</v>
      </c>
    </row>
    <row r="3127" spans="1:21" x14ac:dyDescent="0.25">
      <c r="A3127" s="26">
        <v>24567483</v>
      </c>
      <c r="B3127" s="25" t="s">
        <v>342</v>
      </c>
      <c r="C3127" s="25" t="s">
        <v>89</v>
      </c>
      <c r="D3127" s="25" t="s">
        <v>12</v>
      </c>
      <c r="E3127" s="25" t="s">
        <v>487</v>
      </c>
      <c r="F3127" s="25" t="s">
        <v>388</v>
      </c>
      <c r="G3127" s="25" t="s">
        <v>369</v>
      </c>
      <c r="H3127" s="25" t="s">
        <v>853</v>
      </c>
      <c r="I3127" s="25" t="s">
        <v>852</v>
      </c>
      <c r="J3127" s="25" t="s">
        <v>851</v>
      </c>
      <c r="K3127" s="25" t="s">
        <v>850</v>
      </c>
      <c r="L3127" s="25" t="s">
        <v>353</v>
      </c>
      <c r="M3127" s="25" t="s">
        <v>408</v>
      </c>
      <c r="N3127" s="25" t="s">
        <v>11</v>
      </c>
      <c r="O3127" s="25" t="s">
        <v>11</v>
      </c>
      <c r="P3127" s="25" t="s">
        <v>0</v>
      </c>
      <c r="Q3127" s="25" t="s">
        <v>11</v>
      </c>
      <c r="R3127" s="25" t="s">
        <v>439</v>
      </c>
      <c r="S3127" s="25" t="s">
        <v>440</v>
      </c>
      <c r="T3127" s="25" t="s">
        <v>11</v>
      </c>
      <c r="U3127" s="25" t="s">
        <v>11</v>
      </c>
    </row>
    <row r="3128" spans="1:21" x14ac:dyDescent="0.25">
      <c r="A3128" s="26">
        <v>24567484</v>
      </c>
      <c r="B3128" s="25" t="s">
        <v>342</v>
      </c>
      <c r="C3128" s="25" t="s">
        <v>89</v>
      </c>
      <c r="D3128" s="25" t="s">
        <v>12</v>
      </c>
      <c r="E3128" s="25" t="s">
        <v>487</v>
      </c>
      <c r="F3128" s="25" t="s">
        <v>388</v>
      </c>
      <c r="G3128" s="25" t="s">
        <v>369</v>
      </c>
      <c r="H3128" s="25" t="s">
        <v>631</v>
      </c>
      <c r="I3128" s="25" t="s">
        <v>632</v>
      </c>
      <c r="J3128" s="25" t="s">
        <v>633</v>
      </c>
      <c r="K3128" s="25" t="s">
        <v>453</v>
      </c>
      <c r="L3128" s="25" t="s">
        <v>0</v>
      </c>
      <c r="M3128" s="25" t="s">
        <v>408</v>
      </c>
      <c r="N3128" s="25" t="s">
        <v>11</v>
      </c>
      <c r="O3128" s="25" t="s">
        <v>11</v>
      </c>
      <c r="P3128" s="25" t="s">
        <v>0</v>
      </c>
      <c r="Q3128" s="25" t="s">
        <v>408</v>
      </c>
      <c r="R3128" s="25" t="s">
        <v>439</v>
      </c>
      <c r="S3128" s="25" t="s">
        <v>451</v>
      </c>
      <c r="T3128" s="25" t="s">
        <v>11</v>
      </c>
      <c r="U3128" s="25" t="s">
        <v>408</v>
      </c>
    </row>
    <row r="3129" spans="1:21" x14ac:dyDescent="0.25">
      <c r="A3129" s="26">
        <v>24567485</v>
      </c>
      <c r="B3129" s="25" t="s">
        <v>342</v>
      </c>
      <c r="C3129" s="25" t="s">
        <v>89</v>
      </c>
      <c r="D3129" s="25" t="s">
        <v>18</v>
      </c>
      <c r="E3129" s="25" t="s">
        <v>629</v>
      </c>
      <c r="F3129" s="25" t="s">
        <v>392</v>
      </c>
      <c r="G3129" s="25" t="s">
        <v>369</v>
      </c>
      <c r="H3129" s="25" t="s">
        <v>853</v>
      </c>
      <c r="I3129" s="25" t="s">
        <v>852</v>
      </c>
      <c r="J3129" s="25" t="s">
        <v>851</v>
      </c>
      <c r="K3129" s="25" t="s">
        <v>850</v>
      </c>
      <c r="L3129" s="25" t="s">
        <v>353</v>
      </c>
      <c r="M3129" s="25" t="s">
        <v>408</v>
      </c>
      <c r="N3129" s="25" t="s">
        <v>11</v>
      </c>
      <c r="O3129" s="25" t="s">
        <v>11</v>
      </c>
      <c r="P3129" s="25" t="s">
        <v>0</v>
      </c>
      <c r="Q3129" s="25" t="s">
        <v>11</v>
      </c>
      <c r="R3129" s="25" t="s">
        <v>439</v>
      </c>
      <c r="S3129" s="25" t="s">
        <v>440</v>
      </c>
      <c r="T3129" s="25" t="s">
        <v>11</v>
      </c>
      <c r="U3129" s="25" t="s">
        <v>11</v>
      </c>
    </row>
    <row r="3130" spans="1:21" x14ac:dyDescent="0.25">
      <c r="A3130" s="26">
        <v>24567487</v>
      </c>
      <c r="B3130" s="25" t="s">
        <v>342</v>
      </c>
      <c r="C3130" s="25" t="s">
        <v>89</v>
      </c>
      <c r="D3130" s="25" t="s">
        <v>12</v>
      </c>
      <c r="E3130" s="25" t="s">
        <v>487</v>
      </c>
      <c r="F3130" s="25" t="s">
        <v>415</v>
      </c>
      <c r="G3130" s="25" t="s">
        <v>369</v>
      </c>
      <c r="H3130" s="25" t="s">
        <v>559</v>
      </c>
      <c r="I3130" s="25" t="s">
        <v>634</v>
      </c>
      <c r="J3130" s="25" t="s">
        <v>635</v>
      </c>
      <c r="K3130" s="25" t="s">
        <v>450</v>
      </c>
      <c r="L3130" s="25" t="s">
        <v>0</v>
      </c>
      <c r="M3130" s="25" t="s">
        <v>408</v>
      </c>
      <c r="N3130" s="25" t="s">
        <v>11</v>
      </c>
      <c r="O3130" s="25" t="s">
        <v>11</v>
      </c>
      <c r="P3130" s="25" t="s">
        <v>0</v>
      </c>
      <c r="Q3130" s="25" t="s">
        <v>408</v>
      </c>
      <c r="R3130" s="25" t="s">
        <v>439</v>
      </c>
      <c r="S3130" s="25" t="s">
        <v>451</v>
      </c>
      <c r="T3130" s="25" t="s">
        <v>11</v>
      </c>
      <c r="U3130" s="25" t="s">
        <v>408</v>
      </c>
    </row>
    <row r="3131" spans="1:21" x14ac:dyDescent="0.25">
      <c r="A3131" s="26">
        <v>24567488</v>
      </c>
      <c r="B3131" s="25" t="s">
        <v>340</v>
      </c>
      <c r="C3131" s="25" t="s">
        <v>86</v>
      </c>
      <c r="D3131" s="25" t="s">
        <v>18</v>
      </c>
      <c r="E3131" s="25" t="s">
        <v>487</v>
      </c>
      <c r="F3131" s="25" t="s">
        <v>388</v>
      </c>
      <c r="G3131" s="25" t="s">
        <v>369</v>
      </c>
      <c r="H3131" s="25" t="s">
        <v>855</v>
      </c>
      <c r="I3131" s="25" t="s">
        <v>611</v>
      </c>
      <c r="J3131" s="25" t="s">
        <v>854</v>
      </c>
      <c r="K3131" s="25" t="s">
        <v>850</v>
      </c>
      <c r="L3131" s="25" t="s">
        <v>0</v>
      </c>
      <c r="M3131" s="25" t="s">
        <v>408</v>
      </c>
      <c r="N3131" s="25" t="s">
        <v>11</v>
      </c>
      <c r="O3131" s="25" t="s">
        <v>11</v>
      </c>
      <c r="P3131" s="25" t="s">
        <v>0</v>
      </c>
      <c r="Q3131" s="25" t="s">
        <v>408</v>
      </c>
      <c r="R3131" s="25" t="s">
        <v>439</v>
      </c>
      <c r="S3131" s="25" t="s">
        <v>440</v>
      </c>
      <c r="T3131" s="25" t="s">
        <v>11</v>
      </c>
      <c r="U3131" s="25" t="s">
        <v>408</v>
      </c>
    </row>
    <row r="3132" spans="1:21" x14ac:dyDescent="0.25">
      <c r="A3132" s="26">
        <v>24567489</v>
      </c>
      <c r="B3132" s="25" t="s">
        <v>342</v>
      </c>
      <c r="C3132" s="25" t="s">
        <v>89</v>
      </c>
      <c r="D3132" s="25" t="s">
        <v>12</v>
      </c>
      <c r="E3132" s="25" t="s">
        <v>629</v>
      </c>
      <c r="F3132" s="25" t="s">
        <v>392</v>
      </c>
      <c r="G3132" s="25" t="s">
        <v>369</v>
      </c>
      <c r="H3132" s="25" t="s">
        <v>853</v>
      </c>
      <c r="I3132" s="25" t="s">
        <v>852</v>
      </c>
      <c r="J3132" s="25" t="s">
        <v>851</v>
      </c>
      <c r="K3132" s="25" t="s">
        <v>850</v>
      </c>
      <c r="L3132" s="25" t="s">
        <v>353</v>
      </c>
      <c r="M3132" s="25" t="s">
        <v>408</v>
      </c>
      <c r="N3132" s="25" t="s">
        <v>11</v>
      </c>
      <c r="O3132" s="25" t="s">
        <v>11</v>
      </c>
      <c r="P3132" s="25" t="s">
        <v>0</v>
      </c>
      <c r="Q3132" s="25" t="s">
        <v>11</v>
      </c>
      <c r="R3132" s="25" t="s">
        <v>439</v>
      </c>
      <c r="S3132" s="25" t="s">
        <v>440</v>
      </c>
      <c r="T3132" s="25" t="s">
        <v>11</v>
      </c>
      <c r="U3132" s="25" t="s">
        <v>11</v>
      </c>
    </row>
    <row r="3133" spans="1:21" x14ac:dyDescent="0.25">
      <c r="A3133" s="26">
        <v>24567491</v>
      </c>
      <c r="B3133" s="25" t="s">
        <v>342</v>
      </c>
      <c r="C3133" s="25" t="s">
        <v>89</v>
      </c>
      <c r="D3133" s="25" t="s">
        <v>12</v>
      </c>
      <c r="E3133" s="25" t="s">
        <v>487</v>
      </c>
      <c r="F3133" s="25" t="s">
        <v>415</v>
      </c>
      <c r="G3133" s="25" t="s">
        <v>369</v>
      </c>
      <c r="H3133" s="25" t="s">
        <v>631</v>
      </c>
      <c r="I3133" s="25" t="s">
        <v>632</v>
      </c>
      <c r="J3133" s="25" t="s">
        <v>633</v>
      </c>
      <c r="K3133" s="25" t="s">
        <v>453</v>
      </c>
      <c r="L3133" s="25" t="s">
        <v>0</v>
      </c>
      <c r="M3133" s="25" t="s">
        <v>408</v>
      </c>
      <c r="N3133" s="25" t="s">
        <v>11</v>
      </c>
      <c r="O3133" s="25" t="s">
        <v>11</v>
      </c>
      <c r="P3133" s="25" t="s">
        <v>0</v>
      </c>
      <c r="Q3133" s="25" t="s">
        <v>408</v>
      </c>
      <c r="R3133" s="25" t="s">
        <v>439</v>
      </c>
      <c r="S3133" s="25" t="s">
        <v>451</v>
      </c>
      <c r="T3133" s="25" t="s">
        <v>11</v>
      </c>
      <c r="U3133" s="25" t="s">
        <v>408</v>
      </c>
    </row>
    <row r="3134" spans="1:21" x14ac:dyDescent="0.25">
      <c r="A3134" s="26">
        <v>24567492</v>
      </c>
      <c r="B3134" s="25" t="s">
        <v>342</v>
      </c>
      <c r="C3134" s="25" t="s">
        <v>89</v>
      </c>
      <c r="D3134" s="25" t="s">
        <v>12</v>
      </c>
      <c r="E3134" s="25" t="s">
        <v>629</v>
      </c>
      <c r="F3134" s="25" t="s">
        <v>392</v>
      </c>
      <c r="G3134" s="25" t="s">
        <v>369</v>
      </c>
      <c r="H3134" s="25" t="s">
        <v>853</v>
      </c>
      <c r="I3134" s="25" t="s">
        <v>852</v>
      </c>
      <c r="J3134" s="25" t="s">
        <v>851</v>
      </c>
      <c r="K3134" s="25" t="s">
        <v>850</v>
      </c>
      <c r="L3134" s="25" t="s">
        <v>353</v>
      </c>
      <c r="M3134" s="25" t="s">
        <v>408</v>
      </c>
      <c r="N3134" s="25" t="s">
        <v>11</v>
      </c>
      <c r="O3134" s="25" t="s">
        <v>11</v>
      </c>
      <c r="P3134" s="25" t="s">
        <v>0</v>
      </c>
      <c r="Q3134" s="25" t="s">
        <v>11</v>
      </c>
      <c r="R3134" s="25" t="s">
        <v>439</v>
      </c>
      <c r="S3134" s="25" t="s">
        <v>440</v>
      </c>
      <c r="T3134" s="25" t="s">
        <v>11</v>
      </c>
      <c r="U3134" s="25" t="s">
        <v>11</v>
      </c>
    </row>
    <row r="3135" spans="1:21" x14ac:dyDescent="0.25">
      <c r="A3135" s="26">
        <v>24567493</v>
      </c>
      <c r="B3135" s="25" t="s">
        <v>342</v>
      </c>
      <c r="C3135" s="25" t="s">
        <v>89</v>
      </c>
      <c r="D3135" s="25" t="s">
        <v>79</v>
      </c>
      <c r="E3135" s="25" t="s">
        <v>630</v>
      </c>
      <c r="F3135" s="25" t="s">
        <v>382</v>
      </c>
      <c r="G3135" s="25" t="s">
        <v>369</v>
      </c>
      <c r="H3135" s="25" t="s">
        <v>853</v>
      </c>
      <c r="I3135" s="25" t="s">
        <v>852</v>
      </c>
      <c r="J3135" s="25" t="s">
        <v>851</v>
      </c>
      <c r="K3135" s="25" t="s">
        <v>850</v>
      </c>
      <c r="L3135" s="25" t="s">
        <v>353</v>
      </c>
      <c r="M3135" s="25" t="s">
        <v>408</v>
      </c>
      <c r="N3135" s="25" t="s">
        <v>11</v>
      </c>
      <c r="O3135" s="25" t="s">
        <v>11</v>
      </c>
      <c r="P3135" s="25" t="s">
        <v>0</v>
      </c>
      <c r="Q3135" s="25" t="s">
        <v>11</v>
      </c>
      <c r="R3135" s="25" t="s">
        <v>439</v>
      </c>
      <c r="S3135" s="25" t="s">
        <v>440</v>
      </c>
      <c r="T3135" s="25" t="s">
        <v>11</v>
      </c>
      <c r="U3135" s="25" t="s">
        <v>11</v>
      </c>
    </row>
    <row r="3136" spans="1:21" x14ac:dyDescent="0.25">
      <c r="A3136" s="26">
        <v>24567494</v>
      </c>
      <c r="B3136" s="25" t="s">
        <v>342</v>
      </c>
      <c r="C3136" s="25" t="s">
        <v>89</v>
      </c>
      <c r="D3136" s="25" t="s">
        <v>79</v>
      </c>
      <c r="E3136" s="25" t="s">
        <v>630</v>
      </c>
      <c r="F3136" s="25" t="s">
        <v>382</v>
      </c>
      <c r="G3136" s="25" t="s">
        <v>369</v>
      </c>
      <c r="H3136" s="25" t="s">
        <v>853</v>
      </c>
      <c r="I3136" s="25" t="s">
        <v>852</v>
      </c>
      <c r="J3136" s="25" t="s">
        <v>851</v>
      </c>
      <c r="K3136" s="25" t="s">
        <v>850</v>
      </c>
      <c r="L3136" s="25" t="s">
        <v>353</v>
      </c>
      <c r="M3136" s="25" t="s">
        <v>408</v>
      </c>
      <c r="N3136" s="25" t="s">
        <v>11</v>
      </c>
      <c r="O3136" s="25" t="s">
        <v>11</v>
      </c>
      <c r="P3136" s="25" t="s">
        <v>0</v>
      </c>
      <c r="Q3136" s="25" t="s">
        <v>11</v>
      </c>
      <c r="R3136" s="25" t="s">
        <v>439</v>
      </c>
      <c r="S3136" s="25" t="s">
        <v>440</v>
      </c>
      <c r="T3136" s="25" t="s">
        <v>11</v>
      </c>
      <c r="U3136" s="25" t="s">
        <v>11</v>
      </c>
    </row>
    <row r="3137" spans="1:21" x14ac:dyDescent="0.25">
      <c r="A3137" s="26">
        <v>24567497</v>
      </c>
      <c r="B3137" s="25" t="s">
        <v>342</v>
      </c>
      <c r="C3137" s="25" t="s">
        <v>89</v>
      </c>
      <c r="D3137" s="25" t="s">
        <v>18</v>
      </c>
      <c r="E3137" s="25" t="s">
        <v>755</v>
      </c>
      <c r="F3137" s="25" t="s">
        <v>380</v>
      </c>
      <c r="G3137" s="25" t="s">
        <v>369</v>
      </c>
      <c r="H3137" s="25" t="s">
        <v>861</v>
      </c>
      <c r="I3137" s="25" t="s">
        <v>860</v>
      </c>
      <c r="J3137" s="25" t="s">
        <v>859</v>
      </c>
      <c r="K3137" s="25" t="s">
        <v>450</v>
      </c>
      <c r="L3137" s="25" t="s">
        <v>367</v>
      </c>
      <c r="M3137" s="25" t="s">
        <v>408</v>
      </c>
      <c r="N3137" s="25" t="s">
        <v>11</v>
      </c>
      <c r="O3137" s="25" t="s">
        <v>11</v>
      </c>
      <c r="P3137" s="25" t="s">
        <v>2</v>
      </c>
      <c r="Q3137" s="25" t="s">
        <v>408</v>
      </c>
      <c r="R3137" s="25" t="s">
        <v>439</v>
      </c>
      <c r="S3137" s="25" t="s">
        <v>440</v>
      </c>
      <c r="T3137" s="25" t="s">
        <v>11</v>
      </c>
      <c r="U3137" s="25" t="s">
        <v>408</v>
      </c>
    </row>
    <row r="3138" spans="1:21" x14ac:dyDescent="0.25">
      <c r="A3138" s="26">
        <v>24567498</v>
      </c>
      <c r="B3138" s="25" t="s">
        <v>342</v>
      </c>
      <c r="C3138" s="25" t="s">
        <v>89</v>
      </c>
      <c r="D3138" s="25" t="s">
        <v>12</v>
      </c>
      <c r="E3138" s="25" t="s">
        <v>755</v>
      </c>
      <c r="F3138" s="25" t="s">
        <v>380</v>
      </c>
      <c r="G3138" s="25" t="s">
        <v>369</v>
      </c>
      <c r="H3138" s="25" t="s">
        <v>861</v>
      </c>
      <c r="I3138" s="25" t="s">
        <v>860</v>
      </c>
      <c r="J3138" s="25" t="s">
        <v>859</v>
      </c>
      <c r="K3138" s="25" t="s">
        <v>450</v>
      </c>
      <c r="L3138" s="25" t="s">
        <v>367</v>
      </c>
      <c r="M3138" s="25" t="s">
        <v>408</v>
      </c>
      <c r="N3138" s="25" t="s">
        <v>11</v>
      </c>
      <c r="O3138" s="25" t="s">
        <v>11</v>
      </c>
      <c r="P3138" s="25" t="s">
        <v>2</v>
      </c>
      <c r="Q3138" s="25" t="s">
        <v>408</v>
      </c>
      <c r="R3138" s="25" t="s">
        <v>439</v>
      </c>
      <c r="S3138" s="25" t="s">
        <v>440</v>
      </c>
      <c r="T3138" s="25" t="s">
        <v>11</v>
      </c>
      <c r="U3138" s="25" t="s">
        <v>408</v>
      </c>
    </row>
    <row r="3139" spans="1:21" x14ac:dyDescent="0.25">
      <c r="A3139" s="26">
        <v>24567499</v>
      </c>
      <c r="B3139" s="25" t="s">
        <v>342</v>
      </c>
      <c r="C3139" s="25" t="s">
        <v>89</v>
      </c>
      <c r="D3139" s="25" t="s">
        <v>18</v>
      </c>
      <c r="E3139" s="25" t="s">
        <v>755</v>
      </c>
      <c r="F3139" s="25" t="s">
        <v>380</v>
      </c>
      <c r="G3139" s="25" t="s">
        <v>369</v>
      </c>
      <c r="H3139" s="25" t="s">
        <v>861</v>
      </c>
      <c r="I3139" s="25" t="s">
        <v>860</v>
      </c>
      <c r="J3139" s="25" t="s">
        <v>859</v>
      </c>
      <c r="K3139" s="25" t="s">
        <v>450</v>
      </c>
      <c r="L3139" s="25" t="s">
        <v>367</v>
      </c>
      <c r="M3139" s="25" t="s">
        <v>408</v>
      </c>
      <c r="N3139" s="25" t="s">
        <v>11</v>
      </c>
      <c r="O3139" s="25" t="s">
        <v>11</v>
      </c>
      <c r="P3139" s="25" t="s">
        <v>2</v>
      </c>
      <c r="Q3139" s="25" t="s">
        <v>408</v>
      </c>
      <c r="R3139" s="25" t="s">
        <v>439</v>
      </c>
      <c r="S3139" s="25" t="s">
        <v>440</v>
      </c>
      <c r="T3139" s="25" t="s">
        <v>11</v>
      </c>
      <c r="U3139" s="25" t="s">
        <v>408</v>
      </c>
    </row>
    <row r="3140" spans="1:21" x14ac:dyDescent="0.25">
      <c r="A3140" s="26">
        <v>24567501</v>
      </c>
      <c r="B3140" s="25" t="s">
        <v>342</v>
      </c>
      <c r="C3140" s="25" t="s">
        <v>89</v>
      </c>
      <c r="D3140" s="25" t="s">
        <v>12</v>
      </c>
      <c r="E3140" s="25" t="s">
        <v>755</v>
      </c>
      <c r="F3140" s="25" t="s">
        <v>380</v>
      </c>
      <c r="G3140" s="25" t="s">
        <v>369</v>
      </c>
      <c r="H3140" s="25" t="s">
        <v>861</v>
      </c>
      <c r="I3140" s="25" t="s">
        <v>860</v>
      </c>
      <c r="J3140" s="25" t="s">
        <v>859</v>
      </c>
      <c r="K3140" s="25" t="s">
        <v>450</v>
      </c>
      <c r="L3140" s="25" t="s">
        <v>367</v>
      </c>
      <c r="M3140" s="25" t="s">
        <v>408</v>
      </c>
      <c r="N3140" s="25" t="s">
        <v>11</v>
      </c>
      <c r="O3140" s="25" t="s">
        <v>11</v>
      </c>
      <c r="P3140" s="25" t="s">
        <v>2</v>
      </c>
      <c r="Q3140" s="25" t="s">
        <v>408</v>
      </c>
      <c r="R3140" s="25" t="s">
        <v>439</v>
      </c>
      <c r="S3140" s="25" t="s">
        <v>440</v>
      </c>
      <c r="T3140" s="25" t="s">
        <v>11</v>
      </c>
      <c r="U3140" s="25" t="s">
        <v>408</v>
      </c>
    </row>
    <row r="3141" spans="1:21" x14ac:dyDescent="0.25">
      <c r="A3141" s="26">
        <v>24567503</v>
      </c>
      <c r="B3141" s="25" t="s">
        <v>342</v>
      </c>
      <c r="C3141" s="25" t="s">
        <v>89</v>
      </c>
      <c r="D3141" s="25" t="s">
        <v>12</v>
      </c>
      <c r="E3141" s="25" t="s">
        <v>755</v>
      </c>
      <c r="F3141" s="25" t="s">
        <v>380</v>
      </c>
      <c r="G3141" s="25" t="s">
        <v>369</v>
      </c>
      <c r="H3141" s="25" t="s">
        <v>861</v>
      </c>
      <c r="I3141" s="25" t="s">
        <v>860</v>
      </c>
      <c r="J3141" s="25" t="s">
        <v>859</v>
      </c>
      <c r="K3141" s="25" t="s">
        <v>450</v>
      </c>
      <c r="L3141" s="25" t="s">
        <v>367</v>
      </c>
      <c r="M3141" s="25" t="s">
        <v>408</v>
      </c>
      <c r="N3141" s="25" t="s">
        <v>11</v>
      </c>
      <c r="O3141" s="25" t="s">
        <v>11</v>
      </c>
      <c r="P3141" s="25" t="s">
        <v>2</v>
      </c>
      <c r="Q3141" s="25" t="s">
        <v>408</v>
      </c>
      <c r="R3141" s="25" t="s">
        <v>439</v>
      </c>
      <c r="S3141" s="25" t="s">
        <v>440</v>
      </c>
      <c r="T3141" s="25" t="s">
        <v>11</v>
      </c>
      <c r="U3141" s="25" t="s">
        <v>408</v>
      </c>
    </row>
    <row r="3142" spans="1:21" x14ac:dyDescent="0.25">
      <c r="A3142" s="26">
        <v>24567505</v>
      </c>
      <c r="B3142" s="25" t="s">
        <v>342</v>
      </c>
      <c r="C3142" s="25" t="s">
        <v>89</v>
      </c>
      <c r="D3142" s="25" t="s">
        <v>12</v>
      </c>
      <c r="E3142" s="25" t="s">
        <v>755</v>
      </c>
      <c r="F3142" s="25" t="s">
        <v>380</v>
      </c>
      <c r="G3142" s="25" t="s">
        <v>369</v>
      </c>
      <c r="H3142" s="25" t="s">
        <v>861</v>
      </c>
      <c r="I3142" s="25" t="s">
        <v>860</v>
      </c>
      <c r="J3142" s="25" t="s">
        <v>859</v>
      </c>
      <c r="K3142" s="25" t="s">
        <v>450</v>
      </c>
      <c r="L3142" s="25" t="s">
        <v>367</v>
      </c>
      <c r="M3142" s="25" t="s">
        <v>408</v>
      </c>
      <c r="N3142" s="25" t="s">
        <v>11</v>
      </c>
      <c r="O3142" s="25" t="s">
        <v>11</v>
      </c>
      <c r="P3142" s="25" t="s">
        <v>2</v>
      </c>
      <c r="Q3142" s="25" t="s">
        <v>408</v>
      </c>
      <c r="R3142" s="25" t="s">
        <v>439</v>
      </c>
      <c r="S3142" s="25" t="s">
        <v>440</v>
      </c>
      <c r="T3142" s="25" t="s">
        <v>11</v>
      </c>
      <c r="U3142" s="25" t="s">
        <v>408</v>
      </c>
    </row>
    <row r="3143" spans="1:21" x14ac:dyDescent="0.25">
      <c r="A3143" s="26">
        <v>24567506</v>
      </c>
      <c r="B3143" s="25" t="s">
        <v>342</v>
      </c>
      <c r="C3143" s="25" t="s">
        <v>89</v>
      </c>
      <c r="D3143" s="25" t="s">
        <v>12</v>
      </c>
      <c r="E3143" s="25" t="s">
        <v>755</v>
      </c>
      <c r="F3143" s="25" t="s">
        <v>380</v>
      </c>
      <c r="G3143" s="25" t="s">
        <v>369</v>
      </c>
      <c r="H3143" s="25" t="s">
        <v>861</v>
      </c>
      <c r="I3143" s="25" t="s">
        <v>860</v>
      </c>
      <c r="J3143" s="25" t="s">
        <v>859</v>
      </c>
      <c r="K3143" s="25" t="s">
        <v>450</v>
      </c>
      <c r="L3143" s="25" t="s">
        <v>367</v>
      </c>
      <c r="M3143" s="25" t="s">
        <v>408</v>
      </c>
      <c r="N3143" s="25" t="s">
        <v>11</v>
      </c>
      <c r="O3143" s="25" t="s">
        <v>11</v>
      </c>
      <c r="P3143" s="25" t="s">
        <v>2</v>
      </c>
      <c r="Q3143" s="25" t="s">
        <v>408</v>
      </c>
      <c r="R3143" s="25" t="s">
        <v>439</v>
      </c>
      <c r="S3143" s="25" t="s">
        <v>440</v>
      </c>
      <c r="T3143" s="25" t="s">
        <v>11</v>
      </c>
      <c r="U3143" s="25" t="s">
        <v>408</v>
      </c>
    </row>
    <row r="3144" spans="1:21" x14ac:dyDescent="0.25">
      <c r="A3144" s="26">
        <v>24567512</v>
      </c>
      <c r="B3144" s="25" t="s">
        <v>342</v>
      </c>
      <c r="C3144" s="25" t="s">
        <v>89</v>
      </c>
      <c r="D3144" s="25" t="s">
        <v>12</v>
      </c>
      <c r="E3144" s="25" t="s">
        <v>755</v>
      </c>
      <c r="F3144" s="25" t="s">
        <v>380</v>
      </c>
      <c r="G3144" s="25" t="s">
        <v>369</v>
      </c>
      <c r="H3144" s="25" t="s">
        <v>861</v>
      </c>
      <c r="I3144" s="25" t="s">
        <v>860</v>
      </c>
      <c r="J3144" s="25" t="s">
        <v>859</v>
      </c>
      <c r="K3144" s="25" t="s">
        <v>450</v>
      </c>
      <c r="L3144" s="25" t="s">
        <v>367</v>
      </c>
      <c r="M3144" s="25" t="s">
        <v>408</v>
      </c>
      <c r="N3144" s="25" t="s">
        <v>11</v>
      </c>
      <c r="O3144" s="25" t="s">
        <v>11</v>
      </c>
      <c r="P3144" s="25" t="s">
        <v>2</v>
      </c>
      <c r="Q3144" s="25" t="s">
        <v>408</v>
      </c>
      <c r="R3144" s="25" t="s">
        <v>439</v>
      </c>
      <c r="S3144" s="25" t="s">
        <v>440</v>
      </c>
      <c r="T3144" s="25" t="s">
        <v>11</v>
      </c>
      <c r="U3144" s="25" t="s">
        <v>408</v>
      </c>
    </row>
    <row r="3145" spans="1:21" x14ac:dyDescent="0.25">
      <c r="A3145" s="26">
        <v>24567513</v>
      </c>
      <c r="B3145" s="25" t="s">
        <v>342</v>
      </c>
      <c r="C3145" s="25" t="s">
        <v>89</v>
      </c>
      <c r="D3145" s="25" t="s">
        <v>12</v>
      </c>
      <c r="E3145" s="25" t="s">
        <v>755</v>
      </c>
      <c r="F3145" s="25" t="s">
        <v>380</v>
      </c>
      <c r="G3145" s="25" t="s">
        <v>369</v>
      </c>
      <c r="H3145" s="25" t="s">
        <v>861</v>
      </c>
      <c r="I3145" s="25" t="s">
        <v>860</v>
      </c>
      <c r="J3145" s="25" t="s">
        <v>859</v>
      </c>
      <c r="K3145" s="25" t="s">
        <v>450</v>
      </c>
      <c r="L3145" s="25" t="s">
        <v>367</v>
      </c>
      <c r="M3145" s="25" t="s">
        <v>408</v>
      </c>
      <c r="N3145" s="25" t="s">
        <v>11</v>
      </c>
      <c r="O3145" s="25" t="s">
        <v>11</v>
      </c>
      <c r="P3145" s="25" t="s">
        <v>2</v>
      </c>
      <c r="Q3145" s="25" t="s">
        <v>408</v>
      </c>
      <c r="R3145" s="25" t="s">
        <v>439</v>
      </c>
      <c r="S3145" s="25" t="s">
        <v>440</v>
      </c>
      <c r="T3145" s="25" t="s">
        <v>11</v>
      </c>
      <c r="U3145" s="25" t="s">
        <v>408</v>
      </c>
    </row>
    <row r="3146" spans="1:21" x14ac:dyDescent="0.25">
      <c r="A3146" s="26">
        <v>24567515</v>
      </c>
      <c r="B3146" s="25" t="s">
        <v>342</v>
      </c>
      <c r="C3146" s="25" t="s">
        <v>89</v>
      </c>
      <c r="D3146" s="25" t="s">
        <v>12</v>
      </c>
      <c r="E3146" s="25" t="s">
        <v>755</v>
      </c>
      <c r="F3146" s="25" t="s">
        <v>380</v>
      </c>
      <c r="G3146" s="25" t="s">
        <v>369</v>
      </c>
      <c r="H3146" s="25" t="s">
        <v>861</v>
      </c>
      <c r="I3146" s="25" t="s">
        <v>860</v>
      </c>
      <c r="J3146" s="25" t="s">
        <v>859</v>
      </c>
      <c r="K3146" s="25" t="s">
        <v>450</v>
      </c>
      <c r="L3146" s="25" t="s">
        <v>367</v>
      </c>
      <c r="M3146" s="25" t="s">
        <v>408</v>
      </c>
      <c r="N3146" s="25" t="s">
        <v>11</v>
      </c>
      <c r="O3146" s="25" t="s">
        <v>11</v>
      </c>
      <c r="P3146" s="25" t="s">
        <v>2</v>
      </c>
      <c r="Q3146" s="25" t="s">
        <v>408</v>
      </c>
      <c r="R3146" s="25" t="s">
        <v>439</v>
      </c>
      <c r="S3146" s="25" t="s">
        <v>440</v>
      </c>
      <c r="T3146" s="25" t="s">
        <v>11</v>
      </c>
      <c r="U3146" s="25" t="s">
        <v>408</v>
      </c>
    </row>
    <row r="3147" spans="1:21" x14ac:dyDescent="0.25">
      <c r="A3147" s="26">
        <v>24567517</v>
      </c>
      <c r="B3147" s="25" t="s">
        <v>342</v>
      </c>
      <c r="C3147" s="25" t="s">
        <v>89</v>
      </c>
      <c r="D3147" s="25" t="s">
        <v>12</v>
      </c>
      <c r="E3147" s="25" t="s">
        <v>755</v>
      </c>
      <c r="F3147" s="25" t="s">
        <v>380</v>
      </c>
      <c r="G3147" s="25" t="s">
        <v>369</v>
      </c>
      <c r="H3147" s="25" t="s">
        <v>861</v>
      </c>
      <c r="I3147" s="25" t="s">
        <v>860</v>
      </c>
      <c r="J3147" s="25" t="s">
        <v>859</v>
      </c>
      <c r="K3147" s="25" t="s">
        <v>450</v>
      </c>
      <c r="L3147" s="25" t="s">
        <v>367</v>
      </c>
      <c r="M3147" s="25" t="s">
        <v>408</v>
      </c>
      <c r="N3147" s="25" t="s">
        <v>11</v>
      </c>
      <c r="O3147" s="25" t="s">
        <v>11</v>
      </c>
      <c r="P3147" s="25" t="s">
        <v>2</v>
      </c>
      <c r="Q3147" s="25" t="s">
        <v>408</v>
      </c>
      <c r="R3147" s="25" t="s">
        <v>439</v>
      </c>
      <c r="S3147" s="25" t="s">
        <v>440</v>
      </c>
      <c r="T3147" s="25" t="s">
        <v>11</v>
      </c>
      <c r="U3147" s="25" t="s">
        <v>408</v>
      </c>
    </row>
    <row r="3148" spans="1:21" x14ac:dyDescent="0.25">
      <c r="A3148" s="26">
        <v>24567519</v>
      </c>
      <c r="B3148" s="25" t="s">
        <v>342</v>
      </c>
      <c r="C3148" s="25" t="s">
        <v>89</v>
      </c>
      <c r="D3148" s="25" t="s">
        <v>12</v>
      </c>
      <c r="E3148" s="25" t="s">
        <v>755</v>
      </c>
      <c r="F3148" s="25" t="s">
        <v>380</v>
      </c>
      <c r="G3148" s="25" t="s">
        <v>369</v>
      </c>
      <c r="H3148" s="25" t="s">
        <v>861</v>
      </c>
      <c r="I3148" s="25" t="s">
        <v>860</v>
      </c>
      <c r="J3148" s="25" t="s">
        <v>859</v>
      </c>
      <c r="K3148" s="25" t="s">
        <v>450</v>
      </c>
      <c r="L3148" s="25" t="s">
        <v>367</v>
      </c>
      <c r="M3148" s="25" t="s">
        <v>408</v>
      </c>
      <c r="N3148" s="25" t="s">
        <v>11</v>
      </c>
      <c r="O3148" s="25" t="s">
        <v>11</v>
      </c>
      <c r="P3148" s="25" t="s">
        <v>2</v>
      </c>
      <c r="Q3148" s="25" t="s">
        <v>408</v>
      </c>
      <c r="R3148" s="25" t="s">
        <v>439</v>
      </c>
      <c r="S3148" s="25" t="s">
        <v>440</v>
      </c>
      <c r="T3148" s="25" t="s">
        <v>11</v>
      </c>
      <c r="U3148" s="25" t="s">
        <v>408</v>
      </c>
    </row>
    <row r="3149" spans="1:21" x14ac:dyDescent="0.25">
      <c r="A3149" s="26">
        <v>24567527</v>
      </c>
      <c r="B3149" s="25" t="s">
        <v>342</v>
      </c>
      <c r="C3149" s="25" t="s">
        <v>89</v>
      </c>
      <c r="D3149" s="25" t="s">
        <v>12</v>
      </c>
      <c r="E3149" s="25" t="s">
        <v>755</v>
      </c>
      <c r="F3149" s="25" t="s">
        <v>380</v>
      </c>
      <c r="G3149" s="25" t="s">
        <v>369</v>
      </c>
      <c r="H3149" s="25" t="s">
        <v>674</v>
      </c>
      <c r="I3149" s="25" t="s">
        <v>849</v>
      </c>
      <c r="J3149" s="25" t="s">
        <v>848</v>
      </c>
      <c r="K3149" s="25" t="s">
        <v>442</v>
      </c>
      <c r="L3149" s="25" t="s">
        <v>367</v>
      </c>
      <c r="M3149" s="25" t="s">
        <v>408</v>
      </c>
      <c r="N3149" s="25" t="s">
        <v>11</v>
      </c>
      <c r="O3149" s="25" t="s">
        <v>11</v>
      </c>
      <c r="P3149" s="25" t="s">
        <v>2</v>
      </c>
      <c r="Q3149" s="25" t="s">
        <v>408</v>
      </c>
      <c r="R3149" s="25" t="s">
        <v>439</v>
      </c>
      <c r="S3149" s="25" t="s">
        <v>451</v>
      </c>
      <c r="T3149" s="25" t="s">
        <v>11</v>
      </c>
      <c r="U3149" s="25" t="s">
        <v>408</v>
      </c>
    </row>
    <row r="3150" spans="1:21" x14ac:dyDescent="0.25">
      <c r="A3150" s="26">
        <v>24567530</v>
      </c>
      <c r="B3150" s="25" t="s">
        <v>342</v>
      </c>
      <c r="C3150" s="25" t="s">
        <v>89</v>
      </c>
      <c r="D3150" s="25" t="s">
        <v>12</v>
      </c>
      <c r="E3150" s="25" t="s">
        <v>755</v>
      </c>
      <c r="F3150" s="25" t="s">
        <v>380</v>
      </c>
      <c r="G3150" s="25" t="s">
        <v>369</v>
      </c>
      <c r="H3150" s="25" t="s">
        <v>861</v>
      </c>
      <c r="I3150" s="25" t="s">
        <v>860</v>
      </c>
      <c r="J3150" s="25" t="s">
        <v>859</v>
      </c>
      <c r="K3150" s="25" t="s">
        <v>450</v>
      </c>
      <c r="L3150" s="25" t="s">
        <v>367</v>
      </c>
      <c r="M3150" s="25" t="s">
        <v>408</v>
      </c>
      <c r="N3150" s="25" t="s">
        <v>11</v>
      </c>
      <c r="O3150" s="25" t="s">
        <v>11</v>
      </c>
      <c r="P3150" s="25" t="s">
        <v>2</v>
      </c>
      <c r="Q3150" s="25" t="s">
        <v>408</v>
      </c>
      <c r="R3150" s="25" t="s">
        <v>439</v>
      </c>
      <c r="S3150" s="25" t="s">
        <v>440</v>
      </c>
      <c r="T3150" s="25" t="s">
        <v>11</v>
      </c>
      <c r="U3150" s="25" t="s">
        <v>408</v>
      </c>
    </row>
    <row r="3151" spans="1:21" x14ac:dyDescent="0.25">
      <c r="A3151" s="26">
        <v>24567534</v>
      </c>
      <c r="B3151" s="25" t="s">
        <v>342</v>
      </c>
      <c r="C3151" s="25" t="s">
        <v>89</v>
      </c>
      <c r="D3151" s="25" t="s">
        <v>12</v>
      </c>
      <c r="E3151" s="25" t="s">
        <v>755</v>
      </c>
      <c r="F3151" s="25" t="s">
        <v>380</v>
      </c>
      <c r="G3151" s="25" t="s">
        <v>369</v>
      </c>
      <c r="H3151" s="25" t="s">
        <v>861</v>
      </c>
      <c r="I3151" s="25" t="s">
        <v>860</v>
      </c>
      <c r="J3151" s="25" t="s">
        <v>859</v>
      </c>
      <c r="K3151" s="25" t="s">
        <v>450</v>
      </c>
      <c r="L3151" s="25" t="s">
        <v>367</v>
      </c>
      <c r="M3151" s="25" t="s">
        <v>408</v>
      </c>
      <c r="N3151" s="25" t="s">
        <v>11</v>
      </c>
      <c r="O3151" s="25" t="s">
        <v>11</v>
      </c>
      <c r="P3151" s="25" t="s">
        <v>2</v>
      </c>
      <c r="Q3151" s="25" t="s">
        <v>408</v>
      </c>
      <c r="R3151" s="25" t="s">
        <v>439</v>
      </c>
      <c r="S3151" s="25" t="s">
        <v>440</v>
      </c>
      <c r="T3151" s="25" t="s">
        <v>11</v>
      </c>
      <c r="U3151" s="25" t="s">
        <v>408</v>
      </c>
    </row>
    <row r="3152" spans="1:21" x14ac:dyDescent="0.25">
      <c r="A3152" s="26">
        <v>24567535</v>
      </c>
      <c r="B3152" s="25" t="s">
        <v>342</v>
      </c>
      <c r="C3152" s="25" t="s">
        <v>89</v>
      </c>
      <c r="D3152" s="25" t="s">
        <v>12</v>
      </c>
      <c r="E3152" s="25" t="s">
        <v>755</v>
      </c>
      <c r="F3152" s="25" t="s">
        <v>380</v>
      </c>
      <c r="G3152" s="25" t="s">
        <v>369</v>
      </c>
      <c r="H3152" s="25" t="s">
        <v>861</v>
      </c>
      <c r="I3152" s="25" t="s">
        <v>860</v>
      </c>
      <c r="J3152" s="25" t="s">
        <v>859</v>
      </c>
      <c r="K3152" s="25" t="s">
        <v>450</v>
      </c>
      <c r="L3152" s="25" t="s">
        <v>367</v>
      </c>
      <c r="M3152" s="25" t="s">
        <v>408</v>
      </c>
      <c r="N3152" s="25" t="s">
        <v>11</v>
      </c>
      <c r="O3152" s="25" t="s">
        <v>11</v>
      </c>
      <c r="P3152" s="25" t="s">
        <v>2</v>
      </c>
      <c r="Q3152" s="25" t="s">
        <v>408</v>
      </c>
      <c r="R3152" s="25" t="s">
        <v>439</v>
      </c>
      <c r="S3152" s="25" t="s">
        <v>440</v>
      </c>
      <c r="T3152" s="25" t="s">
        <v>11</v>
      </c>
      <c r="U3152" s="25" t="s">
        <v>408</v>
      </c>
    </row>
    <row r="3153" spans="1:21" x14ac:dyDescent="0.25">
      <c r="A3153" s="26">
        <v>24567537</v>
      </c>
      <c r="B3153" s="25" t="s">
        <v>342</v>
      </c>
      <c r="C3153" s="25" t="s">
        <v>89</v>
      </c>
      <c r="D3153" s="25" t="s">
        <v>18</v>
      </c>
      <c r="E3153" s="25" t="s">
        <v>755</v>
      </c>
      <c r="F3153" s="25" t="s">
        <v>380</v>
      </c>
      <c r="G3153" s="25" t="s">
        <v>369</v>
      </c>
      <c r="H3153" s="25" t="s">
        <v>866</v>
      </c>
      <c r="I3153" s="25" t="s">
        <v>865</v>
      </c>
      <c r="J3153" s="25" t="s">
        <v>864</v>
      </c>
      <c r="K3153" s="25" t="s">
        <v>462</v>
      </c>
      <c r="L3153" s="25" t="s">
        <v>674</v>
      </c>
      <c r="M3153" s="25" t="s">
        <v>408</v>
      </c>
      <c r="N3153" s="25" t="s">
        <v>11</v>
      </c>
      <c r="O3153" s="25" t="s">
        <v>11</v>
      </c>
      <c r="P3153" s="25" t="s">
        <v>2</v>
      </c>
      <c r="Q3153" s="25" t="s">
        <v>408</v>
      </c>
      <c r="R3153" s="25" t="s">
        <v>439</v>
      </c>
      <c r="S3153" s="25" t="s">
        <v>451</v>
      </c>
      <c r="T3153" s="25" t="s">
        <v>11</v>
      </c>
      <c r="U3153" s="25" t="s">
        <v>408</v>
      </c>
    </row>
    <row r="3154" spans="1:21" x14ac:dyDescent="0.25">
      <c r="A3154" s="26">
        <v>24567538</v>
      </c>
      <c r="B3154" s="25" t="s">
        <v>342</v>
      </c>
      <c r="C3154" s="25" t="s">
        <v>89</v>
      </c>
      <c r="D3154" s="25" t="s">
        <v>12</v>
      </c>
      <c r="E3154" s="25" t="s">
        <v>755</v>
      </c>
      <c r="F3154" s="25" t="s">
        <v>380</v>
      </c>
      <c r="G3154" s="25" t="s">
        <v>369</v>
      </c>
      <c r="H3154" s="25" t="s">
        <v>674</v>
      </c>
      <c r="I3154" s="25" t="s">
        <v>849</v>
      </c>
      <c r="J3154" s="25" t="s">
        <v>848</v>
      </c>
      <c r="K3154" s="25" t="s">
        <v>442</v>
      </c>
      <c r="L3154" s="25" t="s">
        <v>367</v>
      </c>
      <c r="M3154" s="25" t="s">
        <v>408</v>
      </c>
      <c r="N3154" s="25" t="s">
        <v>11</v>
      </c>
      <c r="O3154" s="25" t="s">
        <v>11</v>
      </c>
      <c r="P3154" s="25" t="s">
        <v>2</v>
      </c>
      <c r="Q3154" s="25" t="s">
        <v>408</v>
      </c>
      <c r="R3154" s="25" t="s">
        <v>439</v>
      </c>
      <c r="S3154" s="25" t="s">
        <v>451</v>
      </c>
      <c r="T3154" s="25" t="s">
        <v>11</v>
      </c>
      <c r="U3154" s="25" t="s">
        <v>408</v>
      </c>
    </row>
    <row r="3155" spans="1:21" x14ac:dyDescent="0.25">
      <c r="A3155" s="26">
        <v>24567540</v>
      </c>
      <c r="B3155" s="25" t="s">
        <v>342</v>
      </c>
      <c r="C3155" s="25" t="s">
        <v>89</v>
      </c>
      <c r="D3155" s="25" t="s">
        <v>12</v>
      </c>
      <c r="E3155" s="25" t="s">
        <v>755</v>
      </c>
      <c r="F3155" s="25" t="s">
        <v>380</v>
      </c>
      <c r="G3155" s="25" t="s">
        <v>369</v>
      </c>
      <c r="H3155" s="25" t="s">
        <v>861</v>
      </c>
      <c r="I3155" s="25" t="s">
        <v>860</v>
      </c>
      <c r="J3155" s="25" t="s">
        <v>859</v>
      </c>
      <c r="K3155" s="25" t="s">
        <v>450</v>
      </c>
      <c r="L3155" s="25" t="s">
        <v>367</v>
      </c>
      <c r="M3155" s="25" t="s">
        <v>408</v>
      </c>
      <c r="N3155" s="25" t="s">
        <v>11</v>
      </c>
      <c r="O3155" s="25" t="s">
        <v>11</v>
      </c>
      <c r="P3155" s="25" t="s">
        <v>2</v>
      </c>
      <c r="Q3155" s="25" t="s">
        <v>408</v>
      </c>
      <c r="R3155" s="25" t="s">
        <v>439</v>
      </c>
      <c r="S3155" s="25" t="s">
        <v>440</v>
      </c>
      <c r="T3155" s="25" t="s">
        <v>11</v>
      </c>
      <c r="U3155" s="25" t="s">
        <v>408</v>
      </c>
    </row>
    <row r="3156" spans="1:21" x14ac:dyDescent="0.25">
      <c r="A3156" s="26">
        <v>24567544</v>
      </c>
      <c r="B3156" s="25" t="s">
        <v>342</v>
      </c>
      <c r="C3156" s="25" t="s">
        <v>89</v>
      </c>
      <c r="D3156" s="25" t="s">
        <v>12</v>
      </c>
      <c r="E3156" s="25" t="s">
        <v>755</v>
      </c>
      <c r="F3156" s="25" t="s">
        <v>380</v>
      </c>
      <c r="G3156" s="25" t="s">
        <v>369</v>
      </c>
      <c r="H3156" s="25" t="s">
        <v>861</v>
      </c>
      <c r="I3156" s="25" t="s">
        <v>860</v>
      </c>
      <c r="J3156" s="25" t="s">
        <v>859</v>
      </c>
      <c r="K3156" s="25" t="s">
        <v>450</v>
      </c>
      <c r="L3156" s="25" t="s">
        <v>367</v>
      </c>
      <c r="M3156" s="25" t="s">
        <v>408</v>
      </c>
      <c r="N3156" s="25" t="s">
        <v>11</v>
      </c>
      <c r="O3156" s="25" t="s">
        <v>11</v>
      </c>
      <c r="P3156" s="25" t="s">
        <v>2</v>
      </c>
      <c r="Q3156" s="25" t="s">
        <v>408</v>
      </c>
      <c r="R3156" s="25" t="s">
        <v>439</v>
      </c>
      <c r="S3156" s="25" t="s">
        <v>440</v>
      </c>
      <c r="T3156" s="25" t="s">
        <v>11</v>
      </c>
      <c r="U3156" s="25" t="s">
        <v>408</v>
      </c>
    </row>
    <row r="3157" spans="1:21" x14ac:dyDescent="0.25">
      <c r="A3157" s="26">
        <v>24567546</v>
      </c>
      <c r="B3157" s="25" t="s">
        <v>342</v>
      </c>
      <c r="C3157" s="25" t="s">
        <v>89</v>
      </c>
      <c r="D3157" s="25" t="s">
        <v>18</v>
      </c>
      <c r="E3157" s="25" t="s">
        <v>755</v>
      </c>
      <c r="F3157" s="25" t="s">
        <v>380</v>
      </c>
      <c r="G3157" s="25" t="s">
        <v>369</v>
      </c>
      <c r="H3157" s="25" t="s">
        <v>861</v>
      </c>
      <c r="I3157" s="25" t="s">
        <v>860</v>
      </c>
      <c r="J3157" s="25" t="s">
        <v>859</v>
      </c>
      <c r="K3157" s="25" t="s">
        <v>450</v>
      </c>
      <c r="L3157" s="25" t="s">
        <v>367</v>
      </c>
      <c r="M3157" s="25" t="s">
        <v>408</v>
      </c>
      <c r="N3157" s="25" t="s">
        <v>11</v>
      </c>
      <c r="O3157" s="25" t="s">
        <v>11</v>
      </c>
      <c r="P3157" s="25" t="s">
        <v>2</v>
      </c>
      <c r="Q3157" s="25" t="s">
        <v>408</v>
      </c>
      <c r="R3157" s="25" t="s">
        <v>439</v>
      </c>
      <c r="S3157" s="25" t="s">
        <v>440</v>
      </c>
      <c r="T3157" s="25" t="s">
        <v>11</v>
      </c>
      <c r="U3157" s="25" t="s">
        <v>408</v>
      </c>
    </row>
    <row r="3158" spans="1:21" x14ac:dyDescent="0.25">
      <c r="A3158" s="26">
        <v>24567547</v>
      </c>
      <c r="B3158" s="25" t="s">
        <v>342</v>
      </c>
      <c r="C3158" s="25" t="s">
        <v>89</v>
      </c>
      <c r="D3158" s="25" t="s">
        <v>24</v>
      </c>
      <c r="E3158" s="25" t="s">
        <v>755</v>
      </c>
      <c r="F3158" s="25" t="s">
        <v>380</v>
      </c>
      <c r="G3158" s="25" t="s">
        <v>369</v>
      </c>
      <c r="H3158" s="25" t="s">
        <v>861</v>
      </c>
      <c r="I3158" s="25" t="s">
        <v>860</v>
      </c>
      <c r="J3158" s="25" t="s">
        <v>859</v>
      </c>
      <c r="K3158" s="25" t="s">
        <v>450</v>
      </c>
      <c r="L3158" s="25" t="s">
        <v>367</v>
      </c>
      <c r="M3158" s="25" t="s">
        <v>408</v>
      </c>
      <c r="N3158" s="25" t="s">
        <v>11</v>
      </c>
      <c r="O3158" s="25" t="s">
        <v>11</v>
      </c>
      <c r="P3158" s="25" t="s">
        <v>2</v>
      </c>
      <c r="Q3158" s="25" t="s">
        <v>408</v>
      </c>
      <c r="R3158" s="25" t="s">
        <v>439</v>
      </c>
      <c r="S3158" s="25" t="s">
        <v>440</v>
      </c>
      <c r="T3158" s="25" t="s">
        <v>11</v>
      </c>
      <c r="U3158" s="25" t="s">
        <v>408</v>
      </c>
    </row>
    <row r="3159" spans="1:21" x14ac:dyDescent="0.25">
      <c r="A3159" s="26">
        <v>24567548</v>
      </c>
      <c r="B3159" s="25" t="s">
        <v>342</v>
      </c>
      <c r="C3159" s="25" t="s">
        <v>89</v>
      </c>
      <c r="D3159" s="25" t="s">
        <v>12</v>
      </c>
      <c r="E3159" s="25" t="s">
        <v>755</v>
      </c>
      <c r="F3159" s="25" t="s">
        <v>380</v>
      </c>
      <c r="G3159" s="25" t="s">
        <v>369</v>
      </c>
      <c r="H3159" s="25" t="s">
        <v>861</v>
      </c>
      <c r="I3159" s="25" t="s">
        <v>860</v>
      </c>
      <c r="J3159" s="25" t="s">
        <v>859</v>
      </c>
      <c r="K3159" s="25" t="s">
        <v>450</v>
      </c>
      <c r="L3159" s="25" t="s">
        <v>367</v>
      </c>
      <c r="M3159" s="25" t="s">
        <v>408</v>
      </c>
      <c r="N3159" s="25" t="s">
        <v>11</v>
      </c>
      <c r="O3159" s="25" t="s">
        <v>11</v>
      </c>
      <c r="P3159" s="25" t="s">
        <v>2</v>
      </c>
      <c r="Q3159" s="25" t="s">
        <v>408</v>
      </c>
      <c r="R3159" s="25" t="s">
        <v>439</v>
      </c>
      <c r="S3159" s="25" t="s">
        <v>440</v>
      </c>
      <c r="T3159" s="25" t="s">
        <v>11</v>
      </c>
      <c r="U3159" s="25" t="s">
        <v>408</v>
      </c>
    </row>
    <row r="3160" spans="1:21" x14ac:dyDescent="0.25">
      <c r="A3160" s="26">
        <v>24567549</v>
      </c>
      <c r="B3160" s="25" t="s">
        <v>342</v>
      </c>
      <c r="C3160" s="25" t="s">
        <v>89</v>
      </c>
      <c r="D3160" s="25" t="s">
        <v>12</v>
      </c>
      <c r="E3160" s="25" t="s">
        <v>755</v>
      </c>
      <c r="F3160" s="25" t="s">
        <v>380</v>
      </c>
      <c r="G3160" s="25" t="s">
        <v>369</v>
      </c>
      <c r="H3160" s="25" t="s">
        <v>861</v>
      </c>
      <c r="I3160" s="25" t="s">
        <v>860</v>
      </c>
      <c r="J3160" s="25" t="s">
        <v>859</v>
      </c>
      <c r="K3160" s="25" t="s">
        <v>450</v>
      </c>
      <c r="L3160" s="25" t="s">
        <v>367</v>
      </c>
      <c r="M3160" s="25" t="s">
        <v>408</v>
      </c>
      <c r="N3160" s="25" t="s">
        <v>11</v>
      </c>
      <c r="O3160" s="25" t="s">
        <v>11</v>
      </c>
      <c r="P3160" s="25" t="s">
        <v>2</v>
      </c>
      <c r="Q3160" s="25" t="s">
        <v>408</v>
      </c>
      <c r="R3160" s="25" t="s">
        <v>439</v>
      </c>
      <c r="S3160" s="25" t="s">
        <v>440</v>
      </c>
      <c r="T3160" s="25" t="s">
        <v>11</v>
      </c>
      <c r="U3160" s="25" t="s">
        <v>408</v>
      </c>
    </row>
    <row r="3161" spans="1:21" x14ac:dyDescent="0.25">
      <c r="A3161" s="26">
        <v>24567550</v>
      </c>
      <c r="B3161" s="25" t="s">
        <v>342</v>
      </c>
      <c r="C3161" s="25" t="s">
        <v>89</v>
      </c>
      <c r="D3161" s="25" t="s">
        <v>12</v>
      </c>
      <c r="E3161" s="25" t="s">
        <v>755</v>
      </c>
      <c r="F3161" s="25" t="s">
        <v>380</v>
      </c>
      <c r="G3161" s="25" t="s">
        <v>369</v>
      </c>
      <c r="H3161" s="25" t="s">
        <v>861</v>
      </c>
      <c r="I3161" s="25" t="s">
        <v>860</v>
      </c>
      <c r="J3161" s="25" t="s">
        <v>859</v>
      </c>
      <c r="K3161" s="25" t="s">
        <v>450</v>
      </c>
      <c r="L3161" s="25" t="s">
        <v>367</v>
      </c>
      <c r="M3161" s="25" t="s">
        <v>408</v>
      </c>
      <c r="N3161" s="25" t="s">
        <v>11</v>
      </c>
      <c r="O3161" s="25" t="s">
        <v>11</v>
      </c>
      <c r="P3161" s="25" t="s">
        <v>2</v>
      </c>
      <c r="Q3161" s="25" t="s">
        <v>408</v>
      </c>
      <c r="R3161" s="25" t="s">
        <v>439</v>
      </c>
      <c r="S3161" s="25" t="s">
        <v>440</v>
      </c>
      <c r="T3161" s="25" t="s">
        <v>11</v>
      </c>
      <c r="U3161" s="25" t="s">
        <v>408</v>
      </c>
    </row>
    <row r="3162" spans="1:21" x14ac:dyDescent="0.25">
      <c r="A3162" s="26">
        <v>24567552</v>
      </c>
      <c r="B3162" s="25" t="s">
        <v>342</v>
      </c>
      <c r="C3162" s="25" t="s">
        <v>89</v>
      </c>
      <c r="D3162" s="25" t="s">
        <v>12</v>
      </c>
      <c r="E3162" s="25" t="s">
        <v>755</v>
      </c>
      <c r="F3162" s="25" t="s">
        <v>380</v>
      </c>
      <c r="G3162" s="25" t="s">
        <v>369</v>
      </c>
      <c r="H3162" s="25" t="s">
        <v>861</v>
      </c>
      <c r="I3162" s="25" t="s">
        <v>860</v>
      </c>
      <c r="J3162" s="25" t="s">
        <v>859</v>
      </c>
      <c r="K3162" s="25" t="s">
        <v>450</v>
      </c>
      <c r="L3162" s="25" t="s">
        <v>367</v>
      </c>
      <c r="M3162" s="25" t="s">
        <v>408</v>
      </c>
      <c r="N3162" s="25" t="s">
        <v>11</v>
      </c>
      <c r="O3162" s="25" t="s">
        <v>11</v>
      </c>
      <c r="P3162" s="25" t="s">
        <v>2</v>
      </c>
      <c r="Q3162" s="25" t="s">
        <v>408</v>
      </c>
      <c r="R3162" s="25" t="s">
        <v>439</v>
      </c>
      <c r="S3162" s="25" t="s">
        <v>440</v>
      </c>
      <c r="T3162" s="25" t="s">
        <v>11</v>
      </c>
      <c r="U3162" s="25" t="s">
        <v>408</v>
      </c>
    </row>
    <row r="3163" spans="1:21" x14ac:dyDescent="0.25">
      <c r="A3163" s="26">
        <v>24567554</v>
      </c>
      <c r="B3163" s="25" t="s">
        <v>342</v>
      </c>
      <c r="C3163" s="25" t="s">
        <v>89</v>
      </c>
      <c r="D3163" s="25" t="s">
        <v>18</v>
      </c>
      <c r="E3163" s="25" t="s">
        <v>755</v>
      </c>
      <c r="F3163" s="25" t="s">
        <v>380</v>
      </c>
      <c r="G3163" s="25" t="s">
        <v>369</v>
      </c>
      <c r="H3163" s="25" t="s">
        <v>861</v>
      </c>
      <c r="I3163" s="25" t="s">
        <v>860</v>
      </c>
      <c r="J3163" s="25" t="s">
        <v>859</v>
      </c>
      <c r="K3163" s="25" t="s">
        <v>450</v>
      </c>
      <c r="L3163" s="25" t="s">
        <v>367</v>
      </c>
      <c r="M3163" s="25" t="s">
        <v>408</v>
      </c>
      <c r="N3163" s="25" t="s">
        <v>11</v>
      </c>
      <c r="O3163" s="25" t="s">
        <v>11</v>
      </c>
      <c r="P3163" s="25" t="s">
        <v>2</v>
      </c>
      <c r="Q3163" s="25" t="s">
        <v>408</v>
      </c>
      <c r="R3163" s="25" t="s">
        <v>439</v>
      </c>
      <c r="S3163" s="25" t="s">
        <v>440</v>
      </c>
      <c r="T3163" s="25" t="s">
        <v>11</v>
      </c>
      <c r="U3163" s="25" t="s">
        <v>408</v>
      </c>
    </row>
    <row r="3164" spans="1:21" x14ac:dyDescent="0.25">
      <c r="A3164" s="26">
        <v>24567558</v>
      </c>
      <c r="B3164" s="25" t="s">
        <v>342</v>
      </c>
      <c r="C3164" s="25" t="s">
        <v>89</v>
      </c>
      <c r="D3164" s="25" t="s">
        <v>12</v>
      </c>
      <c r="E3164" s="25" t="s">
        <v>755</v>
      </c>
      <c r="F3164" s="25" t="s">
        <v>380</v>
      </c>
      <c r="G3164" s="25" t="s">
        <v>369</v>
      </c>
      <c r="H3164" s="25" t="s">
        <v>861</v>
      </c>
      <c r="I3164" s="25" t="s">
        <v>860</v>
      </c>
      <c r="J3164" s="25" t="s">
        <v>859</v>
      </c>
      <c r="K3164" s="25" t="s">
        <v>450</v>
      </c>
      <c r="L3164" s="25" t="s">
        <v>367</v>
      </c>
      <c r="M3164" s="25" t="s">
        <v>408</v>
      </c>
      <c r="N3164" s="25" t="s">
        <v>11</v>
      </c>
      <c r="O3164" s="25" t="s">
        <v>11</v>
      </c>
      <c r="P3164" s="25" t="s">
        <v>2</v>
      </c>
      <c r="Q3164" s="25" t="s">
        <v>408</v>
      </c>
      <c r="R3164" s="25" t="s">
        <v>439</v>
      </c>
      <c r="S3164" s="25" t="s">
        <v>440</v>
      </c>
      <c r="T3164" s="25" t="s">
        <v>11</v>
      </c>
      <c r="U3164" s="25" t="s">
        <v>408</v>
      </c>
    </row>
    <row r="3165" spans="1:21" x14ac:dyDescent="0.25">
      <c r="A3165" s="26">
        <v>24567559</v>
      </c>
      <c r="B3165" s="25" t="s">
        <v>342</v>
      </c>
      <c r="C3165" s="25" t="s">
        <v>89</v>
      </c>
      <c r="D3165" s="25" t="s">
        <v>18</v>
      </c>
      <c r="E3165" s="25" t="s">
        <v>755</v>
      </c>
      <c r="F3165" s="25" t="s">
        <v>380</v>
      </c>
      <c r="G3165" s="25" t="s">
        <v>369</v>
      </c>
      <c r="H3165" s="25" t="s">
        <v>674</v>
      </c>
      <c r="I3165" s="25" t="s">
        <v>849</v>
      </c>
      <c r="J3165" s="25" t="s">
        <v>848</v>
      </c>
      <c r="K3165" s="25" t="s">
        <v>442</v>
      </c>
      <c r="L3165" s="25" t="s">
        <v>367</v>
      </c>
      <c r="M3165" s="25" t="s">
        <v>408</v>
      </c>
      <c r="N3165" s="25" t="s">
        <v>11</v>
      </c>
      <c r="O3165" s="25" t="s">
        <v>11</v>
      </c>
      <c r="P3165" s="25" t="s">
        <v>2</v>
      </c>
      <c r="Q3165" s="25" t="s">
        <v>408</v>
      </c>
      <c r="R3165" s="25" t="s">
        <v>439</v>
      </c>
      <c r="S3165" s="25" t="s">
        <v>451</v>
      </c>
      <c r="T3165" s="25" t="s">
        <v>11</v>
      </c>
      <c r="U3165" s="25" t="s">
        <v>408</v>
      </c>
    </row>
    <row r="3166" spans="1:21" x14ac:dyDescent="0.25">
      <c r="A3166" s="26">
        <v>24567560</v>
      </c>
      <c r="B3166" s="25" t="s">
        <v>342</v>
      </c>
      <c r="C3166" s="25" t="s">
        <v>89</v>
      </c>
      <c r="D3166" s="25" t="s">
        <v>12</v>
      </c>
      <c r="E3166" s="25" t="s">
        <v>755</v>
      </c>
      <c r="F3166" s="25" t="s">
        <v>380</v>
      </c>
      <c r="G3166" s="25" t="s">
        <v>369</v>
      </c>
      <c r="H3166" s="25" t="s">
        <v>861</v>
      </c>
      <c r="I3166" s="25" t="s">
        <v>860</v>
      </c>
      <c r="J3166" s="25" t="s">
        <v>859</v>
      </c>
      <c r="K3166" s="25" t="s">
        <v>450</v>
      </c>
      <c r="L3166" s="25" t="s">
        <v>367</v>
      </c>
      <c r="M3166" s="25" t="s">
        <v>408</v>
      </c>
      <c r="N3166" s="25" t="s">
        <v>11</v>
      </c>
      <c r="O3166" s="25" t="s">
        <v>11</v>
      </c>
      <c r="P3166" s="25" t="s">
        <v>2</v>
      </c>
      <c r="Q3166" s="25" t="s">
        <v>408</v>
      </c>
      <c r="R3166" s="25" t="s">
        <v>439</v>
      </c>
      <c r="S3166" s="25" t="s">
        <v>440</v>
      </c>
      <c r="T3166" s="25" t="s">
        <v>11</v>
      </c>
      <c r="U3166" s="25" t="s">
        <v>408</v>
      </c>
    </row>
    <row r="3167" spans="1:21" x14ac:dyDescent="0.25">
      <c r="A3167" s="26">
        <v>24567561</v>
      </c>
      <c r="B3167" s="25" t="s">
        <v>342</v>
      </c>
      <c r="C3167" s="25" t="s">
        <v>89</v>
      </c>
      <c r="D3167" s="25" t="s">
        <v>12</v>
      </c>
      <c r="E3167" s="25" t="s">
        <v>755</v>
      </c>
      <c r="F3167" s="25" t="s">
        <v>380</v>
      </c>
      <c r="G3167" s="25" t="s">
        <v>369</v>
      </c>
      <c r="H3167" s="25" t="s">
        <v>861</v>
      </c>
      <c r="I3167" s="25" t="s">
        <v>860</v>
      </c>
      <c r="J3167" s="25" t="s">
        <v>859</v>
      </c>
      <c r="K3167" s="25" t="s">
        <v>450</v>
      </c>
      <c r="L3167" s="25" t="s">
        <v>367</v>
      </c>
      <c r="M3167" s="25" t="s">
        <v>408</v>
      </c>
      <c r="N3167" s="25" t="s">
        <v>11</v>
      </c>
      <c r="O3167" s="25" t="s">
        <v>11</v>
      </c>
      <c r="P3167" s="25" t="s">
        <v>2</v>
      </c>
      <c r="Q3167" s="25" t="s">
        <v>408</v>
      </c>
      <c r="R3167" s="25" t="s">
        <v>439</v>
      </c>
      <c r="S3167" s="25" t="s">
        <v>440</v>
      </c>
      <c r="T3167" s="25" t="s">
        <v>11</v>
      </c>
      <c r="U3167" s="25" t="s">
        <v>408</v>
      </c>
    </row>
    <row r="3168" spans="1:21" x14ac:dyDescent="0.25">
      <c r="A3168" s="26">
        <v>24567564</v>
      </c>
      <c r="B3168" s="25" t="s">
        <v>342</v>
      </c>
      <c r="C3168" s="25" t="s">
        <v>89</v>
      </c>
      <c r="D3168" s="25" t="s">
        <v>12</v>
      </c>
      <c r="E3168" s="25" t="s">
        <v>755</v>
      </c>
      <c r="F3168" s="25" t="s">
        <v>380</v>
      </c>
      <c r="G3168" s="25" t="s">
        <v>369</v>
      </c>
      <c r="H3168" s="25" t="s">
        <v>861</v>
      </c>
      <c r="I3168" s="25" t="s">
        <v>860</v>
      </c>
      <c r="J3168" s="25" t="s">
        <v>859</v>
      </c>
      <c r="K3168" s="25" t="s">
        <v>450</v>
      </c>
      <c r="L3168" s="25" t="s">
        <v>367</v>
      </c>
      <c r="M3168" s="25" t="s">
        <v>408</v>
      </c>
      <c r="N3168" s="25" t="s">
        <v>11</v>
      </c>
      <c r="O3168" s="25" t="s">
        <v>11</v>
      </c>
      <c r="P3168" s="25" t="s">
        <v>2</v>
      </c>
      <c r="Q3168" s="25" t="s">
        <v>408</v>
      </c>
      <c r="R3168" s="25" t="s">
        <v>439</v>
      </c>
      <c r="S3168" s="25" t="s">
        <v>440</v>
      </c>
      <c r="T3168" s="25" t="s">
        <v>11</v>
      </c>
      <c r="U3168" s="25" t="s">
        <v>408</v>
      </c>
    </row>
    <row r="3169" spans="1:21" x14ac:dyDescent="0.25">
      <c r="A3169" s="26">
        <v>24567567</v>
      </c>
      <c r="B3169" s="25" t="s">
        <v>342</v>
      </c>
      <c r="C3169" s="25" t="s">
        <v>89</v>
      </c>
      <c r="D3169" s="25" t="s">
        <v>18</v>
      </c>
      <c r="E3169" s="25" t="s">
        <v>755</v>
      </c>
      <c r="F3169" s="25" t="s">
        <v>380</v>
      </c>
      <c r="G3169" s="25" t="s">
        <v>369</v>
      </c>
      <c r="H3169" s="25" t="s">
        <v>861</v>
      </c>
      <c r="I3169" s="25" t="s">
        <v>860</v>
      </c>
      <c r="J3169" s="25" t="s">
        <v>859</v>
      </c>
      <c r="K3169" s="25" t="s">
        <v>450</v>
      </c>
      <c r="L3169" s="25" t="s">
        <v>367</v>
      </c>
      <c r="M3169" s="25" t="s">
        <v>408</v>
      </c>
      <c r="N3169" s="25" t="s">
        <v>11</v>
      </c>
      <c r="O3169" s="25" t="s">
        <v>11</v>
      </c>
      <c r="P3169" s="25" t="s">
        <v>2</v>
      </c>
      <c r="Q3169" s="25" t="s">
        <v>408</v>
      </c>
      <c r="R3169" s="25" t="s">
        <v>439</v>
      </c>
      <c r="S3169" s="25" t="s">
        <v>440</v>
      </c>
      <c r="T3169" s="25" t="s">
        <v>11</v>
      </c>
      <c r="U3169" s="25" t="s">
        <v>408</v>
      </c>
    </row>
    <row r="3170" spans="1:21" x14ac:dyDescent="0.25">
      <c r="A3170" s="26">
        <v>24567568</v>
      </c>
      <c r="B3170" s="25" t="s">
        <v>342</v>
      </c>
      <c r="C3170" s="25" t="s">
        <v>89</v>
      </c>
      <c r="D3170" s="25" t="s">
        <v>12</v>
      </c>
      <c r="E3170" s="25" t="s">
        <v>755</v>
      </c>
      <c r="F3170" s="25" t="s">
        <v>380</v>
      </c>
      <c r="G3170" s="25" t="s">
        <v>369</v>
      </c>
      <c r="H3170" s="25" t="s">
        <v>861</v>
      </c>
      <c r="I3170" s="25" t="s">
        <v>860</v>
      </c>
      <c r="J3170" s="25" t="s">
        <v>859</v>
      </c>
      <c r="K3170" s="25" t="s">
        <v>450</v>
      </c>
      <c r="L3170" s="25" t="s">
        <v>367</v>
      </c>
      <c r="M3170" s="25" t="s">
        <v>408</v>
      </c>
      <c r="N3170" s="25" t="s">
        <v>11</v>
      </c>
      <c r="O3170" s="25" t="s">
        <v>11</v>
      </c>
      <c r="P3170" s="25" t="s">
        <v>2</v>
      </c>
      <c r="Q3170" s="25" t="s">
        <v>408</v>
      </c>
      <c r="R3170" s="25" t="s">
        <v>439</v>
      </c>
      <c r="S3170" s="25" t="s">
        <v>440</v>
      </c>
      <c r="T3170" s="25" t="s">
        <v>11</v>
      </c>
      <c r="U3170" s="25" t="s">
        <v>408</v>
      </c>
    </row>
    <row r="3171" spans="1:21" x14ac:dyDescent="0.25">
      <c r="A3171" s="26">
        <v>24567570</v>
      </c>
      <c r="B3171" s="25" t="s">
        <v>342</v>
      </c>
      <c r="C3171" s="25" t="s">
        <v>89</v>
      </c>
      <c r="D3171" s="25" t="s">
        <v>12</v>
      </c>
      <c r="E3171" s="25" t="s">
        <v>755</v>
      </c>
      <c r="F3171" s="25" t="s">
        <v>380</v>
      </c>
      <c r="G3171" s="25" t="s">
        <v>369</v>
      </c>
      <c r="H3171" s="25" t="s">
        <v>861</v>
      </c>
      <c r="I3171" s="25" t="s">
        <v>860</v>
      </c>
      <c r="J3171" s="25" t="s">
        <v>859</v>
      </c>
      <c r="K3171" s="25" t="s">
        <v>450</v>
      </c>
      <c r="L3171" s="25" t="s">
        <v>367</v>
      </c>
      <c r="M3171" s="25" t="s">
        <v>408</v>
      </c>
      <c r="N3171" s="25" t="s">
        <v>11</v>
      </c>
      <c r="O3171" s="25" t="s">
        <v>11</v>
      </c>
      <c r="P3171" s="25" t="s">
        <v>2</v>
      </c>
      <c r="Q3171" s="25" t="s">
        <v>408</v>
      </c>
      <c r="R3171" s="25" t="s">
        <v>439</v>
      </c>
      <c r="S3171" s="25" t="s">
        <v>440</v>
      </c>
      <c r="T3171" s="25" t="s">
        <v>11</v>
      </c>
      <c r="U3171" s="25" t="s">
        <v>408</v>
      </c>
    </row>
    <row r="3172" spans="1:21" x14ac:dyDescent="0.25">
      <c r="A3172" s="26">
        <v>24567572</v>
      </c>
      <c r="B3172" s="25" t="s">
        <v>342</v>
      </c>
      <c r="C3172" s="25" t="s">
        <v>89</v>
      </c>
      <c r="D3172" s="25" t="s">
        <v>12</v>
      </c>
      <c r="E3172" s="25" t="s">
        <v>755</v>
      </c>
      <c r="F3172" s="25" t="s">
        <v>380</v>
      </c>
      <c r="G3172" s="25" t="s">
        <v>369</v>
      </c>
      <c r="H3172" s="25" t="s">
        <v>861</v>
      </c>
      <c r="I3172" s="25" t="s">
        <v>860</v>
      </c>
      <c r="J3172" s="25" t="s">
        <v>859</v>
      </c>
      <c r="K3172" s="25" t="s">
        <v>450</v>
      </c>
      <c r="L3172" s="25" t="s">
        <v>367</v>
      </c>
      <c r="M3172" s="25" t="s">
        <v>408</v>
      </c>
      <c r="N3172" s="25" t="s">
        <v>11</v>
      </c>
      <c r="O3172" s="25" t="s">
        <v>11</v>
      </c>
      <c r="P3172" s="25" t="s">
        <v>2</v>
      </c>
      <c r="Q3172" s="25" t="s">
        <v>408</v>
      </c>
      <c r="R3172" s="25" t="s">
        <v>439</v>
      </c>
      <c r="S3172" s="25" t="s">
        <v>440</v>
      </c>
      <c r="T3172" s="25" t="s">
        <v>11</v>
      </c>
      <c r="U3172" s="25" t="s">
        <v>408</v>
      </c>
    </row>
    <row r="3173" spans="1:21" x14ac:dyDescent="0.25">
      <c r="A3173" s="26">
        <v>24567574</v>
      </c>
      <c r="B3173" s="25" t="s">
        <v>342</v>
      </c>
      <c r="C3173" s="25" t="s">
        <v>13</v>
      </c>
      <c r="D3173" s="25" t="s">
        <v>18</v>
      </c>
      <c r="E3173" s="25" t="s">
        <v>498</v>
      </c>
      <c r="F3173" s="25" t="s">
        <v>1108</v>
      </c>
      <c r="G3173" s="25" t="s">
        <v>369</v>
      </c>
      <c r="H3173" s="25" t="s">
        <v>861</v>
      </c>
      <c r="I3173" s="25" t="s">
        <v>860</v>
      </c>
      <c r="J3173" s="25" t="s">
        <v>859</v>
      </c>
      <c r="K3173" s="25" t="s">
        <v>450</v>
      </c>
      <c r="L3173" s="25" t="s">
        <v>367</v>
      </c>
      <c r="M3173" s="25" t="s">
        <v>408</v>
      </c>
      <c r="N3173" s="25" t="s">
        <v>11</v>
      </c>
      <c r="O3173" s="25" t="s">
        <v>11</v>
      </c>
      <c r="P3173" s="25" t="s">
        <v>2</v>
      </c>
      <c r="Q3173" s="25" t="s">
        <v>408</v>
      </c>
      <c r="R3173" s="25" t="s">
        <v>439</v>
      </c>
      <c r="S3173" s="25" t="s">
        <v>440</v>
      </c>
      <c r="T3173" s="25" t="s">
        <v>11</v>
      </c>
      <c r="U3173" s="25" t="s">
        <v>408</v>
      </c>
    </row>
    <row r="3174" spans="1:21" x14ac:dyDescent="0.25">
      <c r="A3174" s="26">
        <v>24567578</v>
      </c>
      <c r="B3174" s="25" t="s">
        <v>342</v>
      </c>
      <c r="C3174" s="25" t="s">
        <v>89</v>
      </c>
      <c r="D3174" s="25" t="s">
        <v>18</v>
      </c>
      <c r="E3174" s="25" t="s">
        <v>755</v>
      </c>
      <c r="F3174" s="25" t="s">
        <v>380</v>
      </c>
      <c r="G3174" s="25" t="s">
        <v>369</v>
      </c>
      <c r="H3174" s="25" t="s">
        <v>861</v>
      </c>
      <c r="I3174" s="25" t="s">
        <v>860</v>
      </c>
      <c r="J3174" s="25" t="s">
        <v>859</v>
      </c>
      <c r="K3174" s="25" t="s">
        <v>450</v>
      </c>
      <c r="L3174" s="25" t="s">
        <v>367</v>
      </c>
      <c r="M3174" s="25" t="s">
        <v>408</v>
      </c>
      <c r="N3174" s="25" t="s">
        <v>11</v>
      </c>
      <c r="O3174" s="25" t="s">
        <v>11</v>
      </c>
      <c r="P3174" s="25" t="s">
        <v>2</v>
      </c>
      <c r="Q3174" s="25" t="s">
        <v>408</v>
      </c>
      <c r="R3174" s="25" t="s">
        <v>439</v>
      </c>
      <c r="S3174" s="25" t="s">
        <v>440</v>
      </c>
      <c r="T3174" s="25" t="s">
        <v>11</v>
      </c>
      <c r="U3174" s="25" t="s">
        <v>408</v>
      </c>
    </row>
    <row r="3175" spans="1:21" x14ac:dyDescent="0.25">
      <c r="A3175" s="26">
        <v>24567579</v>
      </c>
      <c r="B3175" s="25" t="s">
        <v>342</v>
      </c>
      <c r="C3175" s="25" t="s">
        <v>89</v>
      </c>
      <c r="D3175" s="25" t="s">
        <v>12</v>
      </c>
      <c r="E3175" s="25" t="s">
        <v>755</v>
      </c>
      <c r="F3175" s="25" t="s">
        <v>380</v>
      </c>
      <c r="G3175" s="25" t="s">
        <v>369</v>
      </c>
      <c r="H3175" s="25" t="s">
        <v>861</v>
      </c>
      <c r="I3175" s="25" t="s">
        <v>860</v>
      </c>
      <c r="J3175" s="25" t="s">
        <v>859</v>
      </c>
      <c r="K3175" s="25" t="s">
        <v>450</v>
      </c>
      <c r="L3175" s="25" t="s">
        <v>367</v>
      </c>
      <c r="M3175" s="25" t="s">
        <v>408</v>
      </c>
      <c r="N3175" s="25" t="s">
        <v>11</v>
      </c>
      <c r="O3175" s="25" t="s">
        <v>11</v>
      </c>
      <c r="P3175" s="25" t="s">
        <v>2</v>
      </c>
      <c r="Q3175" s="25" t="s">
        <v>408</v>
      </c>
      <c r="R3175" s="25" t="s">
        <v>439</v>
      </c>
      <c r="S3175" s="25" t="s">
        <v>440</v>
      </c>
      <c r="T3175" s="25" t="s">
        <v>11</v>
      </c>
      <c r="U3175" s="25" t="s">
        <v>408</v>
      </c>
    </row>
    <row r="3176" spans="1:21" x14ac:dyDescent="0.25">
      <c r="A3176" s="26">
        <v>24567580</v>
      </c>
      <c r="B3176" s="25" t="s">
        <v>342</v>
      </c>
      <c r="C3176" s="25" t="s">
        <v>89</v>
      </c>
      <c r="D3176" s="25" t="s">
        <v>12</v>
      </c>
      <c r="E3176" s="25" t="s">
        <v>755</v>
      </c>
      <c r="F3176" s="25" t="s">
        <v>380</v>
      </c>
      <c r="G3176" s="25" t="s">
        <v>369</v>
      </c>
      <c r="H3176" s="25" t="s">
        <v>861</v>
      </c>
      <c r="I3176" s="25" t="s">
        <v>860</v>
      </c>
      <c r="J3176" s="25" t="s">
        <v>859</v>
      </c>
      <c r="K3176" s="25" t="s">
        <v>450</v>
      </c>
      <c r="L3176" s="25" t="s">
        <v>367</v>
      </c>
      <c r="M3176" s="25" t="s">
        <v>408</v>
      </c>
      <c r="N3176" s="25" t="s">
        <v>11</v>
      </c>
      <c r="O3176" s="25" t="s">
        <v>11</v>
      </c>
      <c r="P3176" s="25" t="s">
        <v>2</v>
      </c>
      <c r="Q3176" s="25" t="s">
        <v>408</v>
      </c>
      <c r="R3176" s="25" t="s">
        <v>439</v>
      </c>
      <c r="S3176" s="25" t="s">
        <v>440</v>
      </c>
      <c r="T3176" s="25" t="s">
        <v>11</v>
      </c>
      <c r="U3176" s="25" t="s">
        <v>408</v>
      </c>
    </row>
    <row r="3177" spans="1:21" x14ac:dyDescent="0.25">
      <c r="A3177" s="26">
        <v>24567582</v>
      </c>
      <c r="B3177" s="25" t="s">
        <v>342</v>
      </c>
      <c r="C3177" s="25" t="s">
        <v>89</v>
      </c>
      <c r="D3177" s="25" t="s">
        <v>12</v>
      </c>
      <c r="E3177" s="25" t="s">
        <v>755</v>
      </c>
      <c r="F3177" s="25" t="s">
        <v>380</v>
      </c>
      <c r="G3177" s="25" t="s">
        <v>369</v>
      </c>
      <c r="H3177" s="25" t="s">
        <v>861</v>
      </c>
      <c r="I3177" s="25" t="s">
        <v>860</v>
      </c>
      <c r="J3177" s="25" t="s">
        <v>859</v>
      </c>
      <c r="K3177" s="25" t="s">
        <v>450</v>
      </c>
      <c r="L3177" s="25" t="s">
        <v>367</v>
      </c>
      <c r="M3177" s="25" t="s">
        <v>408</v>
      </c>
      <c r="N3177" s="25" t="s">
        <v>11</v>
      </c>
      <c r="O3177" s="25" t="s">
        <v>11</v>
      </c>
      <c r="P3177" s="25" t="s">
        <v>2</v>
      </c>
      <c r="Q3177" s="25" t="s">
        <v>408</v>
      </c>
      <c r="R3177" s="25" t="s">
        <v>439</v>
      </c>
      <c r="S3177" s="25" t="s">
        <v>440</v>
      </c>
      <c r="T3177" s="25" t="s">
        <v>11</v>
      </c>
      <c r="U3177" s="25" t="s">
        <v>408</v>
      </c>
    </row>
    <row r="3178" spans="1:21" x14ac:dyDescent="0.25">
      <c r="A3178" s="26">
        <v>24567583</v>
      </c>
      <c r="B3178" s="25" t="s">
        <v>342</v>
      </c>
      <c r="C3178" s="25" t="s">
        <v>89</v>
      </c>
      <c r="D3178" s="25" t="s">
        <v>18</v>
      </c>
      <c r="E3178" s="25" t="s">
        <v>755</v>
      </c>
      <c r="F3178" s="25" t="s">
        <v>380</v>
      </c>
      <c r="G3178" s="25" t="s">
        <v>369</v>
      </c>
      <c r="H3178" s="25" t="s">
        <v>861</v>
      </c>
      <c r="I3178" s="25" t="s">
        <v>860</v>
      </c>
      <c r="J3178" s="25" t="s">
        <v>859</v>
      </c>
      <c r="K3178" s="25" t="s">
        <v>450</v>
      </c>
      <c r="L3178" s="25" t="s">
        <v>367</v>
      </c>
      <c r="M3178" s="25" t="s">
        <v>408</v>
      </c>
      <c r="N3178" s="25" t="s">
        <v>11</v>
      </c>
      <c r="O3178" s="25" t="s">
        <v>11</v>
      </c>
      <c r="P3178" s="25" t="s">
        <v>2</v>
      </c>
      <c r="Q3178" s="25" t="s">
        <v>408</v>
      </c>
      <c r="R3178" s="25" t="s">
        <v>439</v>
      </c>
      <c r="S3178" s="25" t="s">
        <v>440</v>
      </c>
      <c r="T3178" s="25" t="s">
        <v>11</v>
      </c>
      <c r="U3178" s="25" t="s">
        <v>408</v>
      </c>
    </row>
    <row r="3179" spans="1:21" x14ac:dyDescent="0.25">
      <c r="A3179" s="26">
        <v>24567584</v>
      </c>
      <c r="B3179" s="25" t="s">
        <v>342</v>
      </c>
      <c r="C3179" s="25" t="s">
        <v>89</v>
      </c>
      <c r="D3179" s="25" t="s">
        <v>12</v>
      </c>
      <c r="E3179" s="25" t="s">
        <v>755</v>
      </c>
      <c r="F3179" s="25" t="s">
        <v>380</v>
      </c>
      <c r="G3179" s="25" t="s">
        <v>369</v>
      </c>
      <c r="H3179" s="25" t="s">
        <v>861</v>
      </c>
      <c r="I3179" s="25" t="s">
        <v>860</v>
      </c>
      <c r="J3179" s="25" t="s">
        <v>859</v>
      </c>
      <c r="K3179" s="25" t="s">
        <v>450</v>
      </c>
      <c r="L3179" s="25" t="s">
        <v>367</v>
      </c>
      <c r="M3179" s="25" t="s">
        <v>408</v>
      </c>
      <c r="N3179" s="25" t="s">
        <v>11</v>
      </c>
      <c r="O3179" s="25" t="s">
        <v>11</v>
      </c>
      <c r="P3179" s="25" t="s">
        <v>2</v>
      </c>
      <c r="Q3179" s="25" t="s">
        <v>408</v>
      </c>
      <c r="R3179" s="25" t="s">
        <v>439</v>
      </c>
      <c r="S3179" s="25" t="s">
        <v>440</v>
      </c>
      <c r="T3179" s="25" t="s">
        <v>11</v>
      </c>
      <c r="U3179" s="25" t="s">
        <v>408</v>
      </c>
    </row>
    <row r="3180" spans="1:21" x14ac:dyDescent="0.25">
      <c r="A3180" s="26">
        <v>24567587</v>
      </c>
      <c r="B3180" s="25" t="s">
        <v>340</v>
      </c>
      <c r="C3180" s="25" t="s">
        <v>86</v>
      </c>
      <c r="D3180" s="25" t="s">
        <v>12</v>
      </c>
      <c r="E3180" s="25" t="s">
        <v>487</v>
      </c>
      <c r="F3180" s="25" t="s">
        <v>388</v>
      </c>
      <c r="G3180" s="25" t="s">
        <v>369</v>
      </c>
      <c r="H3180" s="25" t="s">
        <v>855</v>
      </c>
      <c r="I3180" s="25" t="s">
        <v>611</v>
      </c>
      <c r="J3180" s="25" t="s">
        <v>854</v>
      </c>
      <c r="K3180" s="25" t="s">
        <v>850</v>
      </c>
      <c r="L3180" s="25" t="s">
        <v>0</v>
      </c>
      <c r="M3180" s="25" t="s">
        <v>408</v>
      </c>
      <c r="N3180" s="25" t="s">
        <v>11</v>
      </c>
      <c r="O3180" s="25" t="s">
        <v>11</v>
      </c>
      <c r="P3180" s="25" t="s">
        <v>0</v>
      </c>
      <c r="Q3180" s="25" t="s">
        <v>408</v>
      </c>
      <c r="R3180" s="25" t="s">
        <v>439</v>
      </c>
      <c r="S3180" s="25" t="s">
        <v>440</v>
      </c>
      <c r="T3180" s="25" t="s">
        <v>11</v>
      </c>
      <c r="U3180" s="25" t="s">
        <v>408</v>
      </c>
    </row>
    <row r="3181" spans="1:21" x14ac:dyDescent="0.25">
      <c r="A3181" s="26">
        <v>24567585</v>
      </c>
      <c r="B3181" s="25" t="s">
        <v>342</v>
      </c>
      <c r="C3181" s="25" t="s">
        <v>89</v>
      </c>
      <c r="D3181" s="25" t="s">
        <v>12</v>
      </c>
      <c r="E3181" s="25" t="s">
        <v>487</v>
      </c>
      <c r="F3181" s="25" t="s">
        <v>388</v>
      </c>
      <c r="G3181" s="25" t="s">
        <v>369</v>
      </c>
      <c r="H3181" s="25" t="s">
        <v>853</v>
      </c>
      <c r="I3181" s="25" t="s">
        <v>852</v>
      </c>
      <c r="J3181" s="25" t="s">
        <v>851</v>
      </c>
      <c r="K3181" s="25" t="s">
        <v>850</v>
      </c>
      <c r="L3181" s="25" t="s">
        <v>353</v>
      </c>
      <c r="M3181" s="25" t="s">
        <v>408</v>
      </c>
      <c r="N3181" s="25" t="s">
        <v>11</v>
      </c>
      <c r="O3181" s="25" t="s">
        <v>11</v>
      </c>
      <c r="P3181" s="25" t="s">
        <v>0</v>
      </c>
      <c r="Q3181" s="25" t="s">
        <v>408</v>
      </c>
      <c r="R3181" s="25" t="s">
        <v>439</v>
      </c>
      <c r="S3181" s="25" t="s">
        <v>440</v>
      </c>
      <c r="T3181" s="25" t="s">
        <v>11</v>
      </c>
      <c r="U3181" s="25" t="s">
        <v>408</v>
      </c>
    </row>
    <row r="3182" spans="1:21" x14ac:dyDescent="0.25">
      <c r="A3182" s="26">
        <v>24567586</v>
      </c>
      <c r="B3182" s="25" t="s">
        <v>342</v>
      </c>
      <c r="C3182" s="25" t="s">
        <v>89</v>
      </c>
      <c r="D3182" s="25" t="s">
        <v>12</v>
      </c>
      <c r="E3182" s="25" t="s">
        <v>487</v>
      </c>
      <c r="F3182" s="25" t="s">
        <v>388</v>
      </c>
      <c r="G3182" s="25" t="s">
        <v>369</v>
      </c>
      <c r="H3182" s="25" t="s">
        <v>853</v>
      </c>
      <c r="I3182" s="25" t="s">
        <v>852</v>
      </c>
      <c r="J3182" s="25" t="s">
        <v>851</v>
      </c>
      <c r="K3182" s="25" t="s">
        <v>850</v>
      </c>
      <c r="L3182" s="25" t="s">
        <v>353</v>
      </c>
      <c r="M3182" s="25" t="s">
        <v>408</v>
      </c>
      <c r="N3182" s="25" t="s">
        <v>11</v>
      </c>
      <c r="O3182" s="25" t="s">
        <v>11</v>
      </c>
      <c r="P3182" s="25" t="s">
        <v>0</v>
      </c>
      <c r="Q3182" s="25" t="s">
        <v>11</v>
      </c>
      <c r="R3182" s="25" t="s">
        <v>439</v>
      </c>
      <c r="S3182" s="25" t="s">
        <v>440</v>
      </c>
      <c r="T3182" s="25" t="s">
        <v>11</v>
      </c>
      <c r="U3182" s="25" t="s">
        <v>11</v>
      </c>
    </row>
    <row r="3183" spans="1:21" x14ac:dyDescent="0.25">
      <c r="A3183" s="26">
        <v>24567588</v>
      </c>
      <c r="B3183" s="25" t="s">
        <v>342</v>
      </c>
      <c r="C3183" s="25" t="s">
        <v>89</v>
      </c>
      <c r="D3183" s="25" t="s">
        <v>12</v>
      </c>
      <c r="E3183" s="25" t="s">
        <v>498</v>
      </c>
      <c r="F3183" s="25" t="s">
        <v>490</v>
      </c>
      <c r="G3183" s="25" t="s">
        <v>369</v>
      </c>
      <c r="H3183" s="25" t="s">
        <v>559</v>
      </c>
      <c r="I3183" s="25" t="s">
        <v>634</v>
      </c>
      <c r="J3183" s="25" t="s">
        <v>635</v>
      </c>
      <c r="K3183" s="25" t="s">
        <v>450</v>
      </c>
      <c r="L3183" s="25" t="s">
        <v>0</v>
      </c>
      <c r="M3183" s="25" t="s">
        <v>408</v>
      </c>
      <c r="N3183" s="25" t="s">
        <v>11</v>
      </c>
      <c r="O3183" s="25" t="s">
        <v>11</v>
      </c>
      <c r="P3183" s="25" t="s">
        <v>0</v>
      </c>
      <c r="Q3183" s="25" t="s">
        <v>408</v>
      </c>
      <c r="R3183" s="25" t="s">
        <v>439</v>
      </c>
      <c r="S3183" s="25" t="s">
        <v>451</v>
      </c>
      <c r="T3183" s="25" t="s">
        <v>11</v>
      </c>
      <c r="U3183" s="25" t="s">
        <v>408</v>
      </c>
    </row>
    <row r="3184" spans="1:21" x14ac:dyDescent="0.25">
      <c r="A3184" s="26">
        <v>24567589</v>
      </c>
      <c r="B3184" s="25" t="s">
        <v>342</v>
      </c>
      <c r="C3184" s="25" t="s">
        <v>89</v>
      </c>
      <c r="D3184" s="25" t="s">
        <v>12</v>
      </c>
      <c r="E3184" s="25" t="s">
        <v>487</v>
      </c>
      <c r="F3184" s="25" t="s">
        <v>415</v>
      </c>
      <c r="G3184" s="25" t="s">
        <v>369</v>
      </c>
      <c r="H3184" s="25" t="s">
        <v>631</v>
      </c>
      <c r="I3184" s="25" t="s">
        <v>632</v>
      </c>
      <c r="J3184" s="25" t="s">
        <v>633</v>
      </c>
      <c r="K3184" s="25" t="s">
        <v>453</v>
      </c>
      <c r="L3184" s="25" t="s">
        <v>0</v>
      </c>
      <c r="M3184" s="25" t="s">
        <v>408</v>
      </c>
      <c r="N3184" s="25" t="s">
        <v>11</v>
      </c>
      <c r="O3184" s="25" t="s">
        <v>11</v>
      </c>
      <c r="P3184" s="25" t="s">
        <v>0</v>
      </c>
      <c r="Q3184" s="25" t="s">
        <v>408</v>
      </c>
      <c r="R3184" s="25" t="s">
        <v>439</v>
      </c>
      <c r="S3184" s="25" t="s">
        <v>451</v>
      </c>
      <c r="T3184" s="25" t="s">
        <v>11</v>
      </c>
      <c r="U3184" s="25" t="s">
        <v>408</v>
      </c>
    </row>
    <row r="3185" spans="1:21" x14ac:dyDescent="0.25">
      <c r="A3185" s="26">
        <v>24567590</v>
      </c>
      <c r="B3185" s="25" t="s">
        <v>342</v>
      </c>
      <c r="C3185" s="25" t="s">
        <v>89</v>
      </c>
      <c r="D3185" s="25" t="s">
        <v>12</v>
      </c>
      <c r="E3185" s="25" t="s">
        <v>487</v>
      </c>
      <c r="F3185" s="25" t="s">
        <v>491</v>
      </c>
      <c r="G3185" s="25" t="s">
        <v>369</v>
      </c>
      <c r="H3185" s="25" t="s">
        <v>559</v>
      </c>
      <c r="I3185" s="25" t="s">
        <v>634</v>
      </c>
      <c r="J3185" s="25" t="s">
        <v>635</v>
      </c>
      <c r="K3185" s="25" t="s">
        <v>450</v>
      </c>
      <c r="L3185" s="25" t="s">
        <v>0</v>
      </c>
      <c r="M3185" s="25" t="s">
        <v>408</v>
      </c>
      <c r="N3185" s="25" t="s">
        <v>11</v>
      </c>
      <c r="O3185" s="25" t="s">
        <v>11</v>
      </c>
      <c r="P3185" s="25" t="s">
        <v>0</v>
      </c>
      <c r="Q3185" s="25" t="s">
        <v>408</v>
      </c>
      <c r="R3185" s="25" t="s">
        <v>439</v>
      </c>
      <c r="S3185" s="25" t="s">
        <v>451</v>
      </c>
      <c r="T3185" s="25" t="s">
        <v>11</v>
      </c>
      <c r="U3185" s="25" t="s">
        <v>408</v>
      </c>
    </row>
    <row r="3186" spans="1:21" x14ac:dyDescent="0.25">
      <c r="A3186" s="26">
        <v>24567605</v>
      </c>
      <c r="B3186" s="25" t="s">
        <v>340</v>
      </c>
      <c r="C3186" s="25" t="s">
        <v>86</v>
      </c>
      <c r="D3186" s="25" t="s">
        <v>12</v>
      </c>
      <c r="E3186" s="25" t="s">
        <v>498</v>
      </c>
      <c r="F3186" s="25" t="s">
        <v>490</v>
      </c>
      <c r="G3186" s="25" t="s">
        <v>369</v>
      </c>
      <c r="H3186" s="25" t="s">
        <v>559</v>
      </c>
      <c r="I3186" s="25" t="s">
        <v>634</v>
      </c>
      <c r="J3186" s="25" t="s">
        <v>635</v>
      </c>
      <c r="K3186" s="25" t="s">
        <v>450</v>
      </c>
      <c r="L3186" s="25" t="s">
        <v>0</v>
      </c>
      <c r="M3186" s="25" t="s">
        <v>408</v>
      </c>
      <c r="N3186" s="25" t="s">
        <v>11</v>
      </c>
      <c r="O3186" s="25" t="s">
        <v>11</v>
      </c>
      <c r="P3186" s="25" t="s">
        <v>0</v>
      </c>
      <c r="Q3186" s="25" t="s">
        <v>408</v>
      </c>
      <c r="R3186" s="25" t="s">
        <v>439</v>
      </c>
      <c r="S3186" s="25" t="s">
        <v>451</v>
      </c>
      <c r="T3186" s="25" t="s">
        <v>11</v>
      </c>
      <c r="U3186" s="25" t="s">
        <v>408</v>
      </c>
    </row>
    <row r="3187" spans="1:21" x14ac:dyDescent="0.25">
      <c r="A3187" s="26">
        <v>24567606</v>
      </c>
      <c r="B3187" s="25" t="s">
        <v>342</v>
      </c>
      <c r="C3187" s="25" t="s">
        <v>89</v>
      </c>
      <c r="D3187" s="25" t="s">
        <v>12</v>
      </c>
      <c r="E3187" s="25" t="s">
        <v>487</v>
      </c>
      <c r="F3187" s="25" t="s">
        <v>388</v>
      </c>
      <c r="G3187" s="25" t="s">
        <v>369</v>
      </c>
      <c r="H3187" s="25" t="s">
        <v>861</v>
      </c>
      <c r="I3187" s="25" t="s">
        <v>860</v>
      </c>
      <c r="J3187" s="25" t="s">
        <v>859</v>
      </c>
      <c r="K3187" s="25" t="s">
        <v>450</v>
      </c>
      <c r="L3187" s="25" t="s">
        <v>367</v>
      </c>
      <c r="M3187" s="25" t="s">
        <v>408</v>
      </c>
      <c r="N3187" s="25" t="s">
        <v>11</v>
      </c>
      <c r="O3187" s="25" t="s">
        <v>11</v>
      </c>
      <c r="P3187" s="25" t="s">
        <v>2</v>
      </c>
      <c r="Q3187" s="25" t="s">
        <v>408</v>
      </c>
      <c r="R3187" s="25" t="s">
        <v>439</v>
      </c>
      <c r="S3187" s="25" t="s">
        <v>440</v>
      </c>
      <c r="T3187" s="25" t="s">
        <v>11</v>
      </c>
      <c r="U3187" s="25" t="s">
        <v>408</v>
      </c>
    </row>
    <row r="3188" spans="1:21" x14ac:dyDescent="0.25">
      <c r="A3188" s="26">
        <v>23323672</v>
      </c>
      <c r="B3188" s="25" t="s">
        <v>342</v>
      </c>
      <c r="C3188" s="25" t="s">
        <v>89</v>
      </c>
      <c r="D3188" s="25" t="s">
        <v>12</v>
      </c>
      <c r="E3188" s="25" t="s">
        <v>487</v>
      </c>
      <c r="F3188" s="25" t="s">
        <v>1109</v>
      </c>
      <c r="G3188" s="25" t="s">
        <v>369</v>
      </c>
      <c r="H3188" s="25" t="s">
        <v>631</v>
      </c>
      <c r="I3188" s="25" t="s">
        <v>632</v>
      </c>
      <c r="J3188" s="25" t="s">
        <v>633</v>
      </c>
      <c r="K3188" s="25" t="s">
        <v>453</v>
      </c>
      <c r="L3188" s="25" t="s">
        <v>0</v>
      </c>
      <c r="M3188" s="25" t="s">
        <v>408</v>
      </c>
      <c r="N3188" s="25" t="s">
        <v>11</v>
      </c>
      <c r="O3188" s="25" t="s">
        <v>11</v>
      </c>
      <c r="P3188" s="25" t="s">
        <v>0</v>
      </c>
      <c r="Q3188" s="25" t="s">
        <v>408</v>
      </c>
      <c r="R3188" s="25" t="s">
        <v>439</v>
      </c>
      <c r="S3188" s="25" t="s">
        <v>451</v>
      </c>
      <c r="T3188" s="25" t="s">
        <v>11</v>
      </c>
      <c r="U3188" s="25" t="s">
        <v>408</v>
      </c>
    </row>
    <row r="3189" spans="1:21" x14ac:dyDescent="0.25">
      <c r="A3189" s="26">
        <v>26234003</v>
      </c>
      <c r="B3189" s="25" t="s">
        <v>342</v>
      </c>
      <c r="C3189" s="25" t="s">
        <v>13</v>
      </c>
      <c r="D3189" s="25" t="s">
        <v>12</v>
      </c>
      <c r="E3189" s="25" t="s">
        <v>638</v>
      </c>
      <c r="F3189" s="25" t="s">
        <v>577</v>
      </c>
      <c r="G3189" s="25" t="s">
        <v>369</v>
      </c>
      <c r="H3189" s="25" t="s">
        <v>370</v>
      </c>
      <c r="I3189" s="25" t="s">
        <v>721</v>
      </c>
      <c r="J3189" s="25" t="s">
        <v>455</v>
      </c>
      <c r="K3189" s="25" t="s">
        <v>453</v>
      </c>
      <c r="L3189" s="25" t="s">
        <v>367</v>
      </c>
      <c r="M3189" s="25" t="s">
        <v>408</v>
      </c>
      <c r="N3189" s="25" t="s">
        <v>11</v>
      </c>
      <c r="O3189" s="25" t="s">
        <v>11</v>
      </c>
      <c r="P3189" s="25" t="s">
        <v>0</v>
      </c>
      <c r="Q3189" s="25" t="s">
        <v>408</v>
      </c>
      <c r="R3189" s="25" t="s">
        <v>439</v>
      </c>
      <c r="S3189" s="25" t="s">
        <v>451</v>
      </c>
      <c r="T3189" s="25" t="s">
        <v>11</v>
      </c>
      <c r="U3189" s="25" t="s">
        <v>408</v>
      </c>
    </row>
    <row r="3190" spans="1:21" x14ac:dyDescent="0.25">
      <c r="A3190" s="26">
        <v>26234004</v>
      </c>
      <c r="B3190" s="25" t="s">
        <v>342</v>
      </c>
      <c r="C3190" s="25" t="s">
        <v>13</v>
      </c>
      <c r="D3190" s="25" t="s">
        <v>12</v>
      </c>
      <c r="E3190" s="25" t="s">
        <v>638</v>
      </c>
      <c r="F3190" s="25" t="s">
        <v>577</v>
      </c>
      <c r="G3190" s="25" t="s">
        <v>369</v>
      </c>
      <c r="H3190" s="25" t="s">
        <v>370</v>
      </c>
      <c r="I3190" s="25" t="s">
        <v>721</v>
      </c>
      <c r="J3190" s="25" t="s">
        <v>455</v>
      </c>
      <c r="K3190" s="25" t="s">
        <v>453</v>
      </c>
      <c r="L3190" s="25" t="s">
        <v>367</v>
      </c>
      <c r="M3190" s="25" t="s">
        <v>408</v>
      </c>
      <c r="N3190" s="25" t="s">
        <v>11</v>
      </c>
      <c r="O3190" s="25" t="s">
        <v>11</v>
      </c>
      <c r="P3190" s="25" t="s">
        <v>0</v>
      </c>
      <c r="Q3190" s="25" t="s">
        <v>408</v>
      </c>
      <c r="R3190" s="25" t="s">
        <v>439</v>
      </c>
      <c r="S3190" s="25" t="s">
        <v>451</v>
      </c>
      <c r="T3190" s="25" t="s">
        <v>11</v>
      </c>
      <c r="U3190" s="25" t="s">
        <v>408</v>
      </c>
    </row>
    <row r="3191" spans="1:21" x14ac:dyDescent="0.25">
      <c r="A3191" s="26">
        <v>26234005</v>
      </c>
      <c r="B3191" s="25" t="s">
        <v>342</v>
      </c>
      <c r="C3191" s="25" t="s">
        <v>13</v>
      </c>
      <c r="D3191" s="25" t="s">
        <v>18</v>
      </c>
      <c r="E3191" s="25" t="s">
        <v>638</v>
      </c>
      <c r="F3191" s="25" t="s">
        <v>577</v>
      </c>
      <c r="G3191" s="25" t="s">
        <v>369</v>
      </c>
      <c r="H3191" s="25" t="s">
        <v>370</v>
      </c>
      <c r="I3191" s="25" t="s">
        <v>721</v>
      </c>
      <c r="J3191" s="25" t="s">
        <v>455</v>
      </c>
      <c r="K3191" s="25" t="s">
        <v>453</v>
      </c>
      <c r="L3191" s="25" t="s">
        <v>367</v>
      </c>
      <c r="M3191" s="25" t="s">
        <v>408</v>
      </c>
      <c r="N3191" s="25" t="s">
        <v>11</v>
      </c>
      <c r="O3191" s="25" t="s">
        <v>11</v>
      </c>
      <c r="P3191" s="25" t="s">
        <v>0</v>
      </c>
      <c r="Q3191" s="25" t="s">
        <v>408</v>
      </c>
      <c r="R3191" s="25" t="s">
        <v>439</v>
      </c>
      <c r="S3191" s="25" t="s">
        <v>451</v>
      </c>
      <c r="T3191" s="25" t="s">
        <v>11</v>
      </c>
      <c r="U3191" s="25" t="s">
        <v>408</v>
      </c>
    </row>
    <row r="3192" spans="1:21" x14ac:dyDescent="0.25">
      <c r="A3192" s="26">
        <v>26234006</v>
      </c>
      <c r="B3192" s="25" t="s">
        <v>342</v>
      </c>
      <c r="C3192" s="25" t="s">
        <v>13</v>
      </c>
      <c r="D3192" s="25" t="s">
        <v>12</v>
      </c>
      <c r="E3192" s="25" t="s">
        <v>638</v>
      </c>
      <c r="F3192" s="25" t="s">
        <v>577</v>
      </c>
      <c r="G3192" s="25" t="s">
        <v>369</v>
      </c>
      <c r="H3192" s="25" t="s">
        <v>370</v>
      </c>
      <c r="I3192" s="25" t="s">
        <v>721</v>
      </c>
      <c r="J3192" s="25" t="s">
        <v>455</v>
      </c>
      <c r="K3192" s="25" t="s">
        <v>453</v>
      </c>
      <c r="L3192" s="25" t="s">
        <v>367</v>
      </c>
      <c r="M3192" s="25" t="s">
        <v>408</v>
      </c>
      <c r="N3192" s="25" t="s">
        <v>11</v>
      </c>
      <c r="O3192" s="25" t="s">
        <v>11</v>
      </c>
      <c r="P3192" s="25" t="s">
        <v>0</v>
      </c>
      <c r="Q3192" s="25" t="s">
        <v>408</v>
      </c>
      <c r="R3192" s="25" t="s">
        <v>439</v>
      </c>
      <c r="S3192" s="25" t="s">
        <v>451</v>
      </c>
      <c r="T3192" s="25" t="s">
        <v>11</v>
      </c>
      <c r="U3192" s="25" t="s">
        <v>408</v>
      </c>
    </row>
    <row r="3193" spans="1:21" x14ac:dyDescent="0.25">
      <c r="A3193" s="26">
        <v>26234007</v>
      </c>
      <c r="B3193" s="25" t="s">
        <v>342</v>
      </c>
      <c r="C3193" s="25" t="s">
        <v>13</v>
      </c>
      <c r="D3193" s="25" t="s">
        <v>12</v>
      </c>
      <c r="E3193" s="25" t="s">
        <v>638</v>
      </c>
      <c r="F3193" s="25" t="s">
        <v>577</v>
      </c>
      <c r="G3193" s="25" t="s">
        <v>369</v>
      </c>
      <c r="H3193" s="25" t="s">
        <v>370</v>
      </c>
      <c r="I3193" s="25" t="s">
        <v>721</v>
      </c>
      <c r="J3193" s="25" t="s">
        <v>455</v>
      </c>
      <c r="K3193" s="25" t="s">
        <v>453</v>
      </c>
      <c r="L3193" s="25" t="s">
        <v>367</v>
      </c>
      <c r="M3193" s="25" t="s">
        <v>408</v>
      </c>
      <c r="N3193" s="25" t="s">
        <v>11</v>
      </c>
      <c r="O3193" s="25" t="s">
        <v>11</v>
      </c>
      <c r="P3193" s="25" t="s">
        <v>0</v>
      </c>
      <c r="Q3193" s="25" t="s">
        <v>408</v>
      </c>
      <c r="R3193" s="25" t="s">
        <v>439</v>
      </c>
      <c r="S3193" s="25" t="s">
        <v>451</v>
      </c>
      <c r="T3193" s="25" t="s">
        <v>11</v>
      </c>
      <c r="U3193" s="25" t="s">
        <v>408</v>
      </c>
    </row>
    <row r="3194" spans="1:21" x14ac:dyDescent="0.25">
      <c r="A3194" s="26">
        <v>26234008</v>
      </c>
      <c r="B3194" s="25" t="s">
        <v>342</v>
      </c>
      <c r="C3194" s="25" t="s">
        <v>13</v>
      </c>
      <c r="D3194" s="25" t="s">
        <v>12</v>
      </c>
      <c r="E3194" s="25" t="s">
        <v>638</v>
      </c>
      <c r="F3194" s="25" t="s">
        <v>577</v>
      </c>
      <c r="G3194" s="25" t="s">
        <v>369</v>
      </c>
      <c r="H3194" s="25" t="s">
        <v>370</v>
      </c>
      <c r="I3194" s="25" t="s">
        <v>721</v>
      </c>
      <c r="J3194" s="25" t="s">
        <v>455</v>
      </c>
      <c r="K3194" s="25" t="s">
        <v>453</v>
      </c>
      <c r="L3194" s="25" t="s">
        <v>367</v>
      </c>
      <c r="M3194" s="25" t="s">
        <v>408</v>
      </c>
      <c r="N3194" s="25" t="s">
        <v>11</v>
      </c>
      <c r="O3194" s="25" t="s">
        <v>11</v>
      </c>
      <c r="P3194" s="25" t="s">
        <v>0</v>
      </c>
      <c r="Q3194" s="25" t="s">
        <v>408</v>
      </c>
      <c r="R3194" s="25" t="s">
        <v>439</v>
      </c>
      <c r="S3194" s="25" t="s">
        <v>451</v>
      </c>
      <c r="T3194" s="25" t="s">
        <v>11</v>
      </c>
      <c r="U3194" s="25" t="s">
        <v>408</v>
      </c>
    </row>
    <row r="3195" spans="1:21" x14ac:dyDescent="0.25">
      <c r="A3195" s="26">
        <v>26234009</v>
      </c>
      <c r="B3195" s="25" t="s">
        <v>342</v>
      </c>
      <c r="C3195" s="25" t="s">
        <v>13</v>
      </c>
      <c r="D3195" s="25" t="s">
        <v>12</v>
      </c>
      <c r="E3195" s="25" t="s">
        <v>638</v>
      </c>
      <c r="F3195" s="25" t="s">
        <v>577</v>
      </c>
      <c r="G3195" s="25" t="s">
        <v>369</v>
      </c>
      <c r="H3195" s="25" t="s">
        <v>370</v>
      </c>
      <c r="I3195" s="25" t="s">
        <v>721</v>
      </c>
      <c r="J3195" s="25" t="s">
        <v>455</v>
      </c>
      <c r="K3195" s="25" t="s">
        <v>453</v>
      </c>
      <c r="L3195" s="25" t="s">
        <v>367</v>
      </c>
      <c r="M3195" s="25" t="s">
        <v>408</v>
      </c>
      <c r="N3195" s="25" t="s">
        <v>11</v>
      </c>
      <c r="O3195" s="25" t="s">
        <v>11</v>
      </c>
      <c r="P3195" s="25" t="s">
        <v>0</v>
      </c>
      <c r="Q3195" s="25" t="s">
        <v>408</v>
      </c>
      <c r="R3195" s="25" t="s">
        <v>439</v>
      </c>
      <c r="S3195" s="25" t="s">
        <v>451</v>
      </c>
      <c r="T3195" s="25" t="s">
        <v>11</v>
      </c>
      <c r="U3195" s="25" t="s">
        <v>408</v>
      </c>
    </row>
    <row r="3196" spans="1:21" x14ac:dyDescent="0.25">
      <c r="A3196" s="26">
        <v>26234010</v>
      </c>
      <c r="B3196" s="25" t="s">
        <v>342</v>
      </c>
      <c r="C3196" s="25" t="s">
        <v>13</v>
      </c>
      <c r="D3196" s="25" t="s">
        <v>12</v>
      </c>
      <c r="E3196" s="25" t="s">
        <v>638</v>
      </c>
      <c r="F3196" s="25" t="s">
        <v>577</v>
      </c>
      <c r="G3196" s="25" t="s">
        <v>369</v>
      </c>
      <c r="H3196" s="25" t="s">
        <v>370</v>
      </c>
      <c r="I3196" s="25" t="s">
        <v>721</v>
      </c>
      <c r="J3196" s="25" t="s">
        <v>455</v>
      </c>
      <c r="K3196" s="25" t="s">
        <v>453</v>
      </c>
      <c r="L3196" s="25" t="s">
        <v>367</v>
      </c>
      <c r="M3196" s="25" t="s">
        <v>408</v>
      </c>
      <c r="N3196" s="25" t="s">
        <v>11</v>
      </c>
      <c r="O3196" s="25" t="s">
        <v>11</v>
      </c>
      <c r="P3196" s="25" t="s">
        <v>0</v>
      </c>
      <c r="Q3196" s="25" t="s">
        <v>408</v>
      </c>
      <c r="R3196" s="25" t="s">
        <v>439</v>
      </c>
      <c r="S3196" s="25" t="s">
        <v>451</v>
      </c>
      <c r="T3196" s="25" t="s">
        <v>11</v>
      </c>
      <c r="U3196" s="25" t="s">
        <v>408</v>
      </c>
    </row>
    <row r="3197" spans="1:21" x14ac:dyDescent="0.25">
      <c r="A3197" s="26">
        <v>26234011</v>
      </c>
      <c r="B3197" s="25" t="s">
        <v>342</v>
      </c>
      <c r="C3197" s="25" t="s">
        <v>13</v>
      </c>
      <c r="D3197" s="25" t="s">
        <v>18</v>
      </c>
      <c r="E3197" s="25" t="s">
        <v>638</v>
      </c>
      <c r="F3197" s="25" t="s">
        <v>577</v>
      </c>
      <c r="G3197" s="25" t="s">
        <v>369</v>
      </c>
      <c r="H3197" s="25" t="s">
        <v>370</v>
      </c>
      <c r="I3197" s="25" t="s">
        <v>721</v>
      </c>
      <c r="J3197" s="25" t="s">
        <v>455</v>
      </c>
      <c r="K3197" s="25" t="s">
        <v>453</v>
      </c>
      <c r="L3197" s="25" t="s">
        <v>367</v>
      </c>
      <c r="M3197" s="25" t="s">
        <v>408</v>
      </c>
      <c r="N3197" s="25" t="s">
        <v>11</v>
      </c>
      <c r="O3197" s="25" t="s">
        <v>11</v>
      </c>
      <c r="P3197" s="25" t="s">
        <v>0</v>
      </c>
      <c r="Q3197" s="25" t="s">
        <v>408</v>
      </c>
      <c r="R3197" s="25" t="s">
        <v>439</v>
      </c>
      <c r="S3197" s="25" t="s">
        <v>451</v>
      </c>
      <c r="T3197" s="25" t="s">
        <v>11</v>
      </c>
      <c r="U3197" s="25" t="s">
        <v>408</v>
      </c>
    </row>
    <row r="3198" spans="1:21" x14ac:dyDescent="0.25">
      <c r="A3198" s="26">
        <v>26234017</v>
      </c>
      <c r="B3198" s="25" t="s">
        <v>342</v>
      </c>
      <c r="C3198" s="25" t="s">
        <v>13</v>
      </c>
      <c r="D3198" s="25" t="s">
        <v>12</v>
      </c>
      <c r="E3198" s="25" t="s">
        <v>638</v>
      </c>
      <c r="F3198" s="25" t="s">
        <v>577</v>
      </c>
      <c r="G3198" s="25" t="s">
        <v>369</v>
      </c>
      <c r="H3198" s="25" t="s">
        <v>370</v>
      </c>
      <c r="I3198" s="25" t="s">
        <v>721</v>
      </c>
      <c r="J3198" s="25" t="s">
        <v>455</v>
      </c>
      <c r="K3198" s="25" t="s">
        <v>453</v>
      </c>
      <c r="L3198" s="25" t="s">
        <v>367</v>
      </c>
      <c r="M3198" s="25" t="s">
        <v>408</v>
      </c>
      <c r="N3198" s="25" t="s">
        <v>11</v>
      </c>
      <c r="O3198" s="25" t="s">
        <v>11</v>
      </c>
      <c r="P3198" s="25" t="s">
        <v>0</v>
      </c>
      <c r="Q3198" s="25" t="s">
        <v>408</v>
      </c>
      <c r="R3198" s="25" t="s">
        <v>439</v>
      </c>
      <c r="S3198" s="25" t="s">
        <v>451</v>
      </c>
      <c r="T3198" s="25" t="s">
        <v>11</v>
      </c>
      <c r="U3198" s="25" t="s">
        <v>408</v>
      </c>
    </row>
    <row r="3199" spans="1:21" x14ac:dyDescent="0.25">
      <c r="A3199" s="26">
        <v>26234018</v>
      </c>
      <c r="B3199" s="25" t="s">
        <v>342</v>
      </c>
      <c r="C3199" s="25" t="s">
        <v>13</v>
      </c>
      <c r="D3199" s="25" t="s">
        <v>12</v>
      </c>
      <c r="E3199" s="25" t="s">
        <v>638</v>
      </c>
      <c r="F3199" s="25" t="s">
        <v>577</v>
      </c>
      <c r="G3199" s="25" t="s">
        <v>369</v>
      </c>
      <c r="H3199" s="25" t="s">
        <v>370</v>
      </c>
      <c r="I3199" s="25" t="s">
        <v>721</v>
      </c>
      <c r="J3199" s="25" t="s">
        <v>455</v>
      </c>
      <c r="K3199" s="25" t="s">
        <v>453</v>
      </c>
      <c r="L3199" s="25" t="s">
        <v>367</v>
      </c>
      <c r="M3199" s="25" t="s">
        <v>408</v>
      </c>
      <c r="N3199" s="25" t="s">
        <v>11</v>
      </c>
      <c r="O3199" s="25" t="s">
        <v>11</v>
      </c>
      <c r="P3199" s="25" t="s">
        <v>0</v>
      </c>
      <c r="Q3199" s="25" t="s">
        <v>408</v>
      </c>
      <c r="R3199" s="25" t="s">
        <v>439</v>
      </c>
      <c r="S3199" s="25" t="s">
        <v>451</v>
      </c>
      <c r="T3199" s="25" t="s">
        <v>11</v>
      </c>
      <c r="U3199" s="25" t="s">
        <v>408</v>
      </c>
    </row>
    <row r="3200" spans="1:21" x14ac:dyDescent="0.25">
      <c r="A3200" s="26">
        <v>26234020</v>
      </c>
      <c r="B3200" s="25" t="s">
        <v>342</v>
      </c>
      <c r="C3200" s="25" t="s">
        <v>13</v>
      </c>
      <c r="D3200" s="25" t="s">
        <v>12</v>
      </c>
      <c r="E3200" s="25" t="s">
        <v>638</v>
      </c>
      <c r="F3200" s="25" t="s">
        <v>577</v>
      </c>
      <c r="G3200" s="25" t="s">
        <v>369</v>
      </c>
      <c r="H3200" s="25" t="s">
        <v>370</v>
      </c>
      <c r="I3200" s="25" t="s">
        <v>721</v>
      </c>
      <c r="J3200" s="25" t="s">
        <v>455</v>
      </c>
      <c r="K3200" s="25" t="s">
        <v>453</v>
      </c>
      <c r="L3200" s="25" t="s">
        <v>367</v>
      </c>
      <c r="M3200" s="25" t="s">
        <v>408</v>
      </c>
      <c r="N3200" s="25" t="s">
        <v>11</v>
      </c>
      <c r="O3200" s="25" t="s">
        <v>11</v>
      </c>
      <c r="P3200" s="25" t="s">
        <v>0</v>
      </c>
      <c r="Q3200" s="25" t="s">
        <v>408</v>
      </c>
      <c r="R3200" s="25" t="s">
        <v>439</v>
      </c>
      <c r="S3200" s="25" t="s">
        <v>451</v>
      </c>
      <c r="T3200" s="25" t="s">
        <v>11</v>
      </c>
      <c r="U3200" s="25" t="s">
        <v>408</v>
      </c>
    </row>
    <row r="3201" spans="1:21" x14ac:dyDescent="0.25">
      <c r="A3201" s="26">
        <v>26234022</v>
      </c>
      <c r="B3201" s="25" t="s">
        <v>340</v>
      </c>
      <c r="C3201" s="25" t="s">
        <v>15</v>
      </c>
      <c r="D3201" s="25" t="s">
        <v>12</v>
      </c>
      <c r="E3201" s="25" t="s">
        <v>639</v>
      </c>
      <c r="F3201" s="25" t="s">
        <v>583</v>
      </c>
      <c r="G3201" s="25" t="s">
        <v>369</v>
      </c>
      <c r="H3201" s="25" t="s">
        <v>370</v>
      </c>
      <c r="I3201" s="25" t="s">
        <v>721</v>
      </c>
      <c r="J3201" s="25" t="s">
        <v>455</v>
      </c>
      <c r="K3201" s="25" t="s">
        <v>453</v>
      </c>
      <c r="L3201" s="25" t="s">
        <v>367</v>
      </c>
      <c r="M3201" s="25" t="s">
        <v>408</v>
      </c>
      <c r="N3201" s="25" t="s">
        <v>11</v>
      </c>
      <c r="O3201" s="25" t="s">
        <v>11</v>
      </c>
      <c r="P3201" s="25" t="s">
        <v>0</v>
      </c>
      <c r="Q3201" s="25" t="s">
        <v>408</v>
      </c>
      <c r="R3201" s="25" t="s">
        <v>439</v>
      </c>
      <c r="S3201" s="25" t="s">
        <v>451</v>
      </c>
      <c r="T3201" s="25" t="s">
        <v>11</v>
      </c>
      <c r="U3201" s="25" t="s">
        <v>408</v>
      </c>
    </row>
    <row r="3202" spans="1:21" x14ac:dyDescent="0.25">
      <c r="A3202" s="26">
        <v>26234023</v>
      </c>
      <c r="B3202" s="25" t="s">
        <v>342</v>
      </c>
      <c r="C3202" s="25" t="s">
        <v>13</v>
      </c>
      <c r="D3202" s="25" t="s">
        <v>12</v>
      </c>
      <c r="E3202" s="25" t="s">
        <v>639</v>
      </c>
      <c r="F3202" s="25" t="s">
        <v>583</v>
      </c>
      <c r="G3202" s="25" t="s">
        <v>369</v>
      </c>
      <c r="H3202" s="25" t="s">
        <v>370</v>
      </c>
      <c r="I3202" s="25" t="s">
        <v>721</v>
      </c>
      <c r="J3202" s="25" t="s">
        <v>455</v>
      </c>
      <c r="K3202" s="25" t="s">
        <v>453</v>
      </c>
      <c r="L3202" s="25" t="s">
        <v>367</v>
      </c>
      <c r="M3202" s="25" t="s">
        <v>408</v>
      </c>
      <c r="N3202" s="25" t="s">
        <v>11</v>
      </c>
      <c r="O3202" s="25" t="s">
        <v>11</v>
      </c>
      <c r="P3202" s="25" t="s">
        <v>0</v>
      </c>
      <c r="Q3202" s="25" t="s">
        <v>408</v>
      </c>
      <c r="R3202" s="25" t="s">
        <v>439</v>
      </c>
      <c r="S3202" s="25" t="s">
        <v>451</v>
      </c>
      <c r="T3202" s="25" t="s">
        <v>11</v>
      </c>
      <c r="U3202" s="25" t="s">
        <v>408</v>
      </c>
    </row>
    <row r="3203" spans="1:21" x14ac:dyDescent="0.25">
      <c r="A3203" s="26">
        <v>26234025</v>
      </c>
      <c r="B3203" s="25" t="s">
        <v>342</v>
      </c>
      <c r="C3203" s="25" t="s">
        <v>13</v>
      </c>
      <c r="D3203" s="25" t="s">
        <v>12</v>
      </c>
      <c r="E3203" s="25" t="s">
        <v>638</v>
      </c>
      <c r="F3203" s="25" t="s">
        <v>577</v>
      </c>
      <c r="G3203" s="25" t="s">
        <v>369</v>
      </c>
      <c r="H3203" s="25" t="s">
        <v>370</v>
      </c>
      <c r="I3203" s="25" t="s">
        <v>721</v>
      </c>
      <c r="J3203" s="25" t="s">
        <v>455</v>
      </c>
      <c r="K3203" s="25" t="s">
        <v>453</v>
      </c>
      <c r="L3203" s="25" t="s">
        <v>367</v>
      </c>
      <c r="M3203" s="25" t="s">
        <v>408</v>
      </c>
      <c r="N3203" s="25" t="s">
        <v>11</v>
      </c>
      <c r="O3203" s="25" t="s">
        <v>11</v>
      </c>
      <c r="P3203" s="25" t="s">
        <v>0</v>
      </c>
      <c r="Q3203" s="25" t="s">
        <v>408</v>
      </c>
      <c r="R3203" s="25" t="s">
        <v>439</v>
      </c>
      <c r="S3203" s="25" t="s">
        <v>451</v>
      </c>
      <c r="T3203" s="25" t="s">
        <v>11</v>
      </c>
      <c r="U3203" s="25" t="s">
        <v>408</v>
      </c>
    </row>
    <row r="3204" spans="1:21" x14ac:dyDescent="0.25">
      <c r="A3204" s="26">
        <v>26234027</v>
      </c>
      <c r="B3204" s="25" t="s">
        <v>342</v>
      </c>
      <c r="C3204" s="25" t="s">
        <v>13</v>
      </c>
      <c r="D3204" s="25" t="s">
        <v>12</v>
      </c>
      <c r="E3204" s="25" t="s">
        <v>638</v>
      </c>
      <c r="F3204" s="25" t="s">
        <v>577</v>
      </c>
      <c r="G3204" s="25" t="s">
        <v>369</v>
      </c>
      <c r="H3204" s="25" t="s">
        <v>370</v>
      </c>
      <c r="I3204" s="25" t="s">
        <v>721</v>
      </c>
      <c r="J3204" s="25" t="s">
        <v>455</v>
      </c>
      <c r="K3204" s="25" t="s">
        <v>453</v>
      </c>
      <c r="L3204" s="25" t="s">
        <v>367</v>
      </c>
      <c r="M3204" s="25" t="s">
        <v>408</v>
      </c>
      <c r="N3204" s="25" t="s">
        <v>11</v>
      </c>
      <c r="O3204" s="25" t="s">
        <v>11</v>
      </c>
      <c r="P3204" s="25" t="s">
        <v>0</v>
      </c>
      <c r="Q3204" s="25" t="s">
        <v>408</v>
      </c>
      <c r="R3204" s="25" t="s">
        <v>439</v>
      </c>
      <c r="S3204" s="25" t="s">
        <v>451</v>
      </c>
      <c r="T3204" s="25" t="s">
        <v>11</v>
      </c>
      <c r="U3204" s="25" t="s">
        <v>408</v>
      </c>
    </row>
    <row r="3205" spans="1:21" x14ac:dyDescent="0.25">
      <c r="A3205" s="26">
        <v>26234029</v>
      </c>
      <c r="B3205" s="25" t="s">
        <v>342</v>
      </c>
      <c r="C3205" s="25" t="s">
        <v>13</v>
      </c>
      <c r="D3205" s="25" t="s">
        <v>18</v>
      </c>
      <c r="E3205" s="25" t="s">
        <v>638</v>
      </c>
      <c r="F3205" s="25" t="s">
        <v>577</v>
      </c>
      <c r="G3205" s="25" t="s">
        <v>369</v>
      </c>
      <c r="H3205" s="25" t="s">
        <v>370</v>
      </c>
      <c r="I3205" s="25" t="s">
        <v>721</v>
      </c>
      <c r="J3205" s="25" t="s">
        <v>455</v>
      </c>
      <c r="K3205" s="25" t="s">
        <v>453</v>
      </c>
      <c r="L3205" s="25" t="s">
        <v>367</v>
      </c>
      <c r="M3205" s="25" t="s">
        <v>408</v>
      </c>
      <c r="N3205" s="25" t="s">
        <v>11</v>
      </c>
      <c r="O3205" s="25" t="s">
        <v>11</v>
      </c>
      <c r="P3205" s="25" t="s">
        <v>0</v>
      </c>
      <c r="Q3205" s="25" t="s">
        <v>408</v>
      </c>
      <c r="R3205" s="25" t="s">
        <v>439</v>
      </c>
      <c r="S3205" s="25" t="s">
        <v>451</v>
      </c>
      <c r="T3205" s="25" t="s">
        <v>11</v>
      </c>
      <c r="U3205" s="25" t="s">
        <v>408</v>
      </c>
    </row>
    <row r="3206" spans="1:21" x14ac:dyDescent="0.25">
      <c r="A3206" s="26">
        <v>26234032</v>
      </c>
      <c r="B3206" s="25" t="s">
        <v>342</v>
      </c>
      <c r="C3206" s="25" t="s">
        <v>13</v>
      </c>
      <c r="D3206" s="25" t="s">
        <v>12</v>
      </c>
      <c r="E3206" s="25" t="s">
        <v>638</v>
      </c>
      <c r="F3206" s="25" t="s">
        <v>577</v>
      </c>
      <c r="G3206" s="25" t="s">
        <v>369</v>
      </c>
      <c r="H3206" s="25" t="s">
        <v>370</v>
      </c>
      <c r="I3206" s="25" t="s">
        <v>721</v>
      </c>
      <c r="J3206" s="25" t="s">
        <v>455</v>
      </c>
      <c r="K3206" s="25" t="s">
        <v>453</v>
      </c>
      <c r="L3206" s="25" t="s">
        <v>367</v>
      </c>
      <c r="M3206" s="25" t="s">
        <v>408</v>
      </c>
      <c r="N3206" s="25" t="s">
        <v>11</v>
      </c>
      <c r="O3206" s="25" t="s">
        <v>11</v>
      </c>
      <c r="P3206" s="25" t="s">
        <v>0</v>
      </c>
      <c r="Q3206" s="25" t="s">
        <v>408</v>
      </c>
      <c r="R3206" s="25" t="s">
        <v>439</v>
      </c>
      <c r="S3206" s="25" t="s">
        <v>451</v>
      </c>
      <c r="T3206" s="25" t="s">
        <v>11</v>
      </c>
      <c r="U3206" s="25" t="s">
        <v>408</v>
      </c>
    </row>
    <row r="3207" spans="1:21" x14ac:dyDescent="0.25">
      <c r="A3207" s="26">
        <v>26234036</v>
      </c>
      <c r="B3207" s="25" t="s">
        <v>342</v>
      </c>
      <c r="C3207" s="25" t="s">
        <v>13</v>
      </c>
      <c r="D3207" s="25" t="s">
        <v>12</v>
      </c>
      <c r="E3207" s="25" t="s">
        <v>638</v>
      </c>
      <c r="F3207" s="25" t="s">
        <v>577</v>
      </c>
      <c r="G3207" s="25" t="s">
        <v>369</v>
      </c>
      <c r="H3207" s="25" t="s">
        <v>370</v>
      </c>
      <c r="I3207" s="25" t="s">
        <v>721</v>
      </c>
      <c r="J3207" s="25" t="s">
        <v>455</v>
      </c>
      <c r="K3207" s="25" t="s">
        <v>453</v>
      </c>
      <c r="L3207" s="25" t="s">
        <v>367</v>
      </c>
      <c r="M3207" s="25" t="s">
        <v>408</v>
      </c>
      <c r="N3207" s="25" t="s">
        <v>11</v>
      </c>
      <c r="O3207" s="25" t="s">
        <v>11</v>
      </c>
      <c r="P3207" s="25" t="s">
        <v>0</v>
      </c>
      <c r="Q3207" s="25" t="s">
        <v>408</v>
      </c>
      <c r="R3207" s="25" t="s">
        <v>439</v>
      </c>
      <c r="S3207" s="25" t="s">
        <v>451</v>
      </c>
      <c r="T3207" s="25" t="s">
        <v>11</v>
      </c>
      <c r="U3207" s="25" t="s">
        <v>408</v>
      </c>
    </row>
    <row r="3208" spans="1:21" x14ac:dyDescent="0.25">
      <c r="A3208" s="26">
        <v>26234038</v>
      </c>
      <c r="B3208" s="25" t="s">
        <v>342</v>
      </c>
      <c r="C3208" s="25" t="s">
        <v>13</v>
      </c>
      <c r="D3208" s="25" t="s">
        <v>12</v>
      </c>
      <c r="E3208" s="25" t="s">
        <v>638</v>
      </c>
      <c r="F3208" s="25" t="s">
        <v>577</v>
      </c>
      <c r="G3208" s="25" t="s">
        <v>369</v>
      </c>
      <c r="H3208" s="25" t="s">
        <v>370</v>
      </c>
      <c r="I3208" s="25" t="s">
        <v>721</v>
      </c>
      <c r="J3208" s="25" t="s">
        <v>455</v>
      </c>
      <c r="K3208" s="25" t="s">
        <v>453</v>
      </c>
      <c r="L3208" s="25" t="s">
        <v>367</v>
      </c>
      <c r="M3208" s="25" t="s">
        <v>408</v>
      </c>
      <c r="N3208" s="25" t="s">
        <v>11</v>
      </c>
      <c r="O3208" s="25" t="s">
        <v>11</v>
      </c>
      <c r="P3208" s="25" t="s">
        <v>0</v>
      </c>
      <c r="Q3208" s="25" t="s">
        <v>408</v>
      </c>
      <c r="R3208" s="25" t="s">
        <v>439</v>
      </c>
      <c r="S3208" s="25" t="s">
        <v>451</v>
      </c>
      <c r="T3208" s="25" t="s">
        <v>11</v>
      </c>
      <c r="U3208" s="25" t="s">
        <v>408</v>
      </c>
    </row>
    <row r="3209" spans="1:21" x14ac:dyDescent="0.25">
      <c r="A3209" s="26">
        <v>26234043</v>
      </c>
      <c r="B3209" s="25" t="s">
        <v>342</v>
      </c>
      <c r="C3209" s="25" t="s">
        <v>13</v>
      </c>
      <c r="D3209" s="25" t="s">
        <v>12</v>
      </c>
      <c r="E3209" s="25" t="s">
        <v>638</v>
      </c>
      <c r="F3209" s="25" t="s">
        <v>577</v>
      </c>
      <c r="G3209" s="25" t="s">
        <v>369</v>
      </c>
      <c r="H3209" s="25" t="s">
        <v>370</v>
      </c>
      <c r="I3209" s="25" t="s">
        <v>721</v>
      </c>
      <c r="J3209" s="25" t="s">
        <v>455</v>
      </c>
      <c r="K3209" s="25" t="s">
        <v>453</v>
      </c>
      <c r="L3209" s="25" t="s">
        <v>367</v>
      </c>
      <c r="M3209" s="25" t="s">
        <v>408</v>
      </c>
      <c r="N3209" s="25" t="s">
        <v>11</v>
      </c>
      <c r="O3209" s="25" t="s">
        <v>11</v>
      </c>
      <c r="P3209" s="25" t="s">
        <v>0</v>
      </c>
      <c r="Q3209" s="25" t="s">
        <v>408</v>
      </c>
      <c r="R3209" s="25" t="s">
        <v>439</v>
      </c>
      <c r="S3209" s="25" t="s">
        <v>451</v>
      </c>
      <c r="T3209" s="25" t="s">
        <v>11</v>
      </c>
      <c r="U3209" s="25" t="s">
        <v>408</v>
      </c>
    </row>
    <row r="3210" spans="1:21" x14ac:dyDescent="0.25">
      <c r="A3210" s="26">
        <v>26234044</v>
      </c>
      <c r="B3210" s="25" t="s">
        <v>342</v>
      </c>
      <c r="C3210" s="25" t="s">
        <v>13</v>
      </c>
      <c r="D3210" s="25" t="s">
        <v>18</v>
      </c>
      <c r="E3210" s="25" t="s">
        <v>638</v>
      </c>
      <c r="F3210" s="25" t="s">
        <v>577</v>
      </c>
      <c r="G3210" s="25" t="s">
        <v>369</v>
      </c>
      <c r="H3210" s="25" t="s">
        <v>370</v>
      </c>
      <c r="I3210" s="25" t="s">
        <v>721</v>
      </c>
      <c r="J3210" s="25" t="s">
        <v>455</v>
      </c>
      <c r="K3210" s="25" t="s">
        <v>453</v>
      </c>
      <c r="L3210" s="25" t="s">
        <v>367</v>
      </c>
      <c r="M3210" s="25" t="s">
        <v>408</v>
      </c>
      <c r="N3210" s="25" t="s">
        <v>11</v>
      </c>
      <c r="O3210" s="25" t="s">
        <v>11</v>
      </c>
      <c r="P3210" s="25" t="s">
        <v>0</v>
      </c>
      <c r="Q3210" s="25" t="s">
        <v>408</v>
      </c>
      <c r="R3210" s="25" t="s">
        <v>439</v>
      </c>
      <c r="S3210" s="25" t="s">
        <v>451</v>
      </c>
      <c r="T3210" s="25" t="s">
        <v>11</v>
      </c>
      <c r="U3210" s="25" t="s">
        <v>408</v>
      </c>
    </row>
    <row r="3211" spans="1:21" x14ac:dyDescent="0.25">
      <c r="A3211" s="26">
        <v>26234045</v>
      </c>
      <c r="B3211" s="25" t="s">
        <v>342</v>
      </c>
      <c r="C3211" s="25" t="s">
        <v>13</v>
      </c>
      <c r="D3211" s="25" t="s">
        <v>18</v>
      </c>
      <c r="E3211" s="25" t="s">
        <v>638</v>
      </c>
      <c r="F3211" s="25" t="s">
        <v>577</v>
      </c>
      <c r="G3211" s="25" t="s">
        <v>369</v>
      </c>
      <c r="H3211" s="25" t="s">
        <v>370</v>
      </c>
      <c r="I3211" s="25" t="s">
        <v>721</v>
      </c>
      <c r="J3211" s="25" t="s">
        <v>455</v>
      </c>
      <c r="K3211" s="25" t="s">
        <v>453</v>
      </c>
      <c r="L3211" s="25" t="s">
        <v>367</v>
      </c>
      <c r="M3211" s="25" t="s">
        <v>408</v>
      </c>
      <c r="N3211" s="25" t="s">
        <v>11</v>
      </c>
      <c r="O3211" s="25" t="s">
        <v>11</v>
      </c>
      <c r="P3211" s="25" t="s">
        <v>0</v>
      </c>
      <c r="Q3211" s="25" t="s">
        <v>408</v>
      </c>
      <c r="R3211" s="25" t="s">
        <v>439</v>
      </c>
      <c r="S3211" s="25" t="s">
        <v>451</v>
      </c>
      <c r="T3211" s="25" t="s">
        <v>11</v>
      </c>
      <c r="U3211" s="25" t="s">
        <v>408</v>
      </c>
    </row>
    <row r="3212" spans="1:21" x14ac:dyDescent="0.25">
      <c r="A3212" s="26">
        <v>26234048</v>
      </c>
      <c r="B3212" s="25" t="s">
        <v>340</v>
      </c>
      <c r="C3212" s="25" t="s">
        <v>15</v>
      </c>
      <c r="D3212" s="25" t="s">
        <v>12</v>
      </c>
      <c r="E3212" s="25" t="s">
        <v>638</v>
      </c>
      <c r="F3212" s="25" t="s">
        <v>577</v>
      </c>
      <c r="G3212" s="25" t="s">
        <v>369</v>
      </c>
      <c r="H3212" s="25" t="s">
        <v>370</v>
      </c>
      <c r="I3212" s="25" t="s">
        <v>721</v>
      </c>
      <c r="J3212" s="25" t="s">
        <v>455</v>
      </c>
      <c r="K3212" s="25" t="s">
        <v>453</v>
      </c>
      <c r="L3212" s="25" t="s">
        <v>367</v>
      </c>
      <c r="M3212" s="25" t="s">
        <v>408</v>
      </c>
      <c r="N3212" s="25" t="s">
        <v>11</v>
      </c>
      <c r="O3212" s="25" t="s">
        <v>11</v>
      </c>
      <c r="P3212" s="25" t="s">
        <v>0</v>
      </c>
      <c r="Q3212" s="25" t="s">
        <v>408</v>
      </c>
      <c r="R3212" s="25" t="s">
        <v>439</v>
      </c>
      <c r="S3212" s="25" t="s">
        <v>451</v>
      </c>
      <c r="T3212" s="25" t="s">
        <v>11</v>
      </c>
      <c r="U3212" s="25" t="s">
        <v>408</v>
      </c>
    </row>
    <row r="3213" spans="1:21" x14ac:dyDescent="0.25">
      <c r="A3213" s="26">
        <v>26234051</v>
      </c>
      <c r="B3213" s="25" t="s">
        <v>342</v>
      </c>
      <c r="C3213" s="25" t="s">
        <v>13</v>
      </c>
      <c r="D3213" s="25" t="s">
        <v>12</v>
      </c>
      <c r="E3213" s="25" t="s">
        <v>638</v>
      </c>
      <c r="F3213" s="25" t="s">
        <v>577</v>
      </c>
      <c r="G3213" s="25" t="s">
        <v>369</v>
      </c>
      <c r="H3213" s="25" t="s">
        <v>370</v>
      </c>
      <c r="I3213" s="25" t="s">
        <v>721</v>
      </c>
      <c r="J3213" s="25" t="s">
        <v>455</v>
      </c>
      <c r="K3213" s="25" t="s">
        <v>453</v>
      </c>
      <c r="L3213" s="25" t="s">
        <v>367</v>
      </c>
      <c r="M3213" s="25" t="s">
        <v>408</v>
      </c>
      <c r="N3213" s="25" t="s">
        <v>11</v>
      </c>
      <c r="O3213" s="25" t="s">
        <v>11</v>
      </c>
      <c r="P3213" s="25" t="s">
        <v>0</v>
      </c>
      <c r="Q3213" s="25" t="s">
        <v>408</v>
      </c>
      <c r="R3213" s="25" t="s">
        <v>439</v>
      </c>
      <c r="S3213" s="25" t="s">
        <v>451</v>
      </c>
      <c r="T3213" s="25" t="s">
        <v>11</v>
      </c>
      <c r="U3213" s="25" t="s">
        <v>408</v>
      </c>
    </row>
    <row r="3214" spans="1:21" x14ac:dyDescent="0.25">
      <c r="A3214" s="26">
        <v>26234054</v>
      </c>
      <c r="B3214" s="25" t="s">
        <v>342</v>
      </c>
      <c r="C3214" s="25" t="s">
        <v>13</v>
      </c>
      <c r="D3214" s="25" t="s">
        <v>18</v>
      </c>
      <c r="E3214" s="25" t="s">
        <v>372</v>
      </c>
      <c r="F3214" s="25" t="s">
        <v>497</v>
      </c>
      <c r="G3214" s="25" t="s">
        <v>369</v>
      </c>
      <c r="H3214" s="25" t="s">
        <v>370</v>
      </c>
      <c r="I3214" s="25" t="s">
        <v>721</v>
      </c>
      <c r="J3214" s="25" t="s">
        <v>455</v>
      </c>
      <c r="K3214" s="25" t="s">
        <v>453</v>
      </c>
      <c r="L3214" s="25" t="s">
        <v>367</v>
      </c>
      <c r="M3214" s="25" t="s">
        <v>408</v>
      </c>
      <c r="N3214" s="25" t="s">
        <v>11</v>
      </c>
      <c r="O3214" s="25" t="s">
        <v>11</v>
      </c>
      <c r="P3214" s="25" t="s">
        <v>0</v>
      </c>
      <c r="Q3214" s="25" t="s">
        <v>408</v>
      </c>
      <c r="R3214" s="25" t="s">
        <v>439</v>
      </c>
      <c r="S3214" s="25" t="s">
        <v>451</v>
      </c>
      <c r="T3214" s="25" t="s">
        <v>11</v>
      </c>
      <c r="U3214" s="25" t="s">
        <v>408</v>
      </c>
    </row>
    <row r="3215" spans="1:21" x14ac:dyDescent="0.25">
      <c r="A3215" s="26">
        <v>26234058</v>
      </c>
      <c r="B3215" s="25" t="s">
        <v>342</v>
      </c>
      <c r="C3215" s="25" t="s">
        <v>13</v>
      </c>
      <c r="D3215" s="25" t="s">
        <v>18</v>
      </c>
      <c r="E3215" s="25" t="s">
        <v>461</v>
      </c>
      <c r="F3215" s="25" t="s">
        <v>1110</v>
      </c>
      <c r="G3215" s="25" t="s">
        <v>369</v>
      </c>
      <c r="H3215" s="25" t="s">
        <v>370</v>
      </c>
      <c r="I3215" s="25" t="s">
        <v>721</v>
      </c>
      <c r="J3215" s="25" t="s">
        <v>455</v>
      </c>
      <c r="K3215" s="25" t="s">
        <v>453</v>
      </c>
      <c r="L3215" s="25" t="s">
        <v>367</v>
      </c>
      <c r="M3215" s="25" t="s">
        <v>408</v>
      </c>
      <c r="N3215" s="25" t="s">
        <v>11</v>
      </c>
      <c r="O3215" s="25" t="s">
        <v>11</v>
      </c>
      <c r="P3215" s="25" t="s">
        <v>0</v>
      </c>
      <c r="Q3215" s="25" t="s">
        <v>408</v>
      </c>
      <c r="R3215" s="25" t="s">
        <v>439</v>
      </c>
      <c r="S3215" s="25" t="s">
        <v>451</v>
      </c>
      <c r="T3215" s="25" t="s">
        <v>11</v>
      </c>
      <c r="U3215" s="25" t="s">
        <v>408</v>
      </c>
    </row>
    <row r="3216" spans="1:21" x14ac:dyDescent="0.25">
      <c r="A3216" s="26">
        <v>26234059</v>
      </c>
      <c r="B3216" s="25" t="s">
        <v>342</v>
      </c>
      <c r="C3216" s="25" t="s">
        <v>13</v>
      </c>
      <c r="D3216" s="25" t="s">
        <v>12</v>
      </c>
      <c r="E3216" s="25" t="s">
        <v>638</v>
      </c>
      <c r="F3216" s="25" t="s">
        <v>577</v>
      </c>
      <c r="G3216" s="25" t="s">
        <v>369</v>
      </c>
      <c r="H3216" s="25" t="s">
        <v>370</v>
      </c>
      <c r="I3216" s="25" t="s">
        <v>721</v>
      </c>
      <c r="J3216" s="25" t="s">
        <v>455</v>
      </c>
      <c r="K3216" s="25" t="s">
        <v>453</v>
      </c>
      <c r="L3216" s="25" t="s">
        <v>367</v>
      </c>
      <c r="M3216" s="25" t="s">
        <v>408</v>
      </c>
      <c r="N3216" s="25" t="s">
        <v>11</v>
      </c>
      <c r="O3216" s="25" t="s">
        <v>11</v>
      </c>
      <c r="P3216" s="25" t="s">
        <v>0</v>
      </c>
      <c r="Q3216" s="25" t="s">
        <v>408</v>
      </c>
      <c r="R3216" s="25" t="s">
        <v>439</v>
      </c>
      <c r="S3216" s="25" t="s">
        <v>451</v>
      </c>
      <c r="T3216" s="25" t="s">
        <v>11</v>
      </c>
      <c r="U3216" s="25" t="s">
        <v>408</v>
      </c>
    </row>
    <row r="3217" spans="1:21" x14ac:dyDescent="0.25">
      <c r="A3217" s="26">
        <v>26234060</v>
      </c>
      <c r="B3217" s="25" t="s">
        <v>342</v>
      </c>
      <c r="C3217" s="25" t="s">
        <v>13</v>
      </c>
      <c r="D3217" s="25" t="s">
        <v>12</v>
      </c>
      <c r="E3217" s="25" t="s">
        <v>638</v>
      </c>
      <c r="F3217" s="25" t="s">
        <v>577</v>
      </c>
      <c r="G3217" s="25" t="s">
        <v>369</v>
      </c>
      <c r="H3217" s="25" t="s">
        <v>370</v>
      </c>
      <c r="I3217" s="25" t="s">
        <v>721</v>
      </c>
      <c r="J3217" s="25" t="s">
        <v>455</v>
      </c>
      <c r="K3217" s="25" t="s">
        <v>453</v>
      </c>
      <c r="L3217" s="25" t="s">
        <v>367</v>
      </c>
      <c r="M3217" s="25" t="s">
        <v>408</v>
      </c>
      <c r="N3217" s="25" t="s">
        <v>11</v>
      </c>
      <c r="O3217" s="25" t="s">
        <v>11</v>
      </c>
      <c r="P3217" s="25" t="s">
        <v>0</v>
      </c>
      <c r="Q3217" s="25" t="s">
        <v>408</v>
      </c>
      <c r="R3217" s="25" t="s">
        <v>439</v>
      </c>
      <c r="S3217" s="25" t="s">
        <v>451</v>
      </c>
      <c r="T3217" s="25" t="s">
        <v>11</v>
      </c>
      <c r="U3217" s="25" t="s">
        <v>408</v>
      </c>
    </row>
    <row r="3218" spans="1:21" x14ac:dyDescent="0.25">
      <c r="A3218" s="26">
        <v>26234063</v>
      </c>
      <c r="B3218" s="25" t="s">
        <v>342</v>
      </c>
      <c r="C3218" s="25" t="s">
        <v>13</v>
      </c>
      <c r="D3218" s="25" t="s">
        <v>12</v>
      </c>
      <c r="E3218" s="25" t="s">
        <v>638</v>
      </c>
      <c r="F3218" s="25" t="s">
        <v>577</v>
      </c>
      <c r="G3218" s="25" t="s">
        <v>369</v>
      </c>
      <c r="H3218" s="25" t="s">
        <v>370</v>
      </c>
      <c r="I3218" s="25" t="s">
        <v>721</v>
      </c>
      <c r="J3218" s="25" t="s">
        <v>455</v>
      </c>
      <c r="K3218" s="25" t="s">
        <v>453</v>
      </c>
      <c r="L3218" s="25" t="s">
        <v>367</v>
      </c>
      <c r="M3218" s="25" t="s">
        <v>408</v>
      </c>
      <c r="N3218" s="25" t="s">
        <v>11</v>
      </c>
      <c r="O3218" s="25" t="s">
        <v>11</v>
      </c>
      <c r="P3218" s="25" t="s">
        <v>0</v>
      </c>
      <c r="Q3218" s="25" t="s">
        <v>408</v>
      </c>
      <c r="R3218" s="25" t="s">
        <v>439</v>
      </c>
      <c r="S3218" s="25" t="s">
        <v>451</v>
      </c>
      <c r="T3218" s="25" t="s">
        <v>11</v>
      </c>
      <c r="U3218" s="25" t="s">
        <v>408</v>
      </c>
    </row>
    <row r="3219" spans="1:21" x14ac:dyDescent="0.25">
      <c r="A3219" s="26">
        <v>26234066</v>
      </c>
      <c r="B3219" s="25" t="s">
        <v>342</v>
      </c>
      <c r="C3219" s="25" t="s">
        <v>13</v>
      </c>
      <c r="D3219" s="25" t="s">
        <v>79</v>
      </c>
      <c r="E3219" s="25" t="s">
        <v>639</v>
      </c>
      <c r="F3219" s="25" t="s">
        <v>667</v>
      </c>
      <c r="G3219" s="25" t="s">
        <v>369</v>
      </c>
      <c r="H3219" s="25" t="s">
        <v>370</v>
      </c>
      <c r="I3219" s="25" t="s">
        <v>721</v>
      </c>
      <c r="J3219" s="25" t="s">
        <v>455</v>
      </c>
      <c r="K3219" s="25" t="s">
        <v>453</v>
      </c>
      <c r="L3219" s="25" t="s">
        <v>367</v>
      </c>
      <c r="M3219" s="25" t="s">
        <v>408</v>
      </c>
      <c r="N3219" s="25" t="s">
        <v>11</v>
      </c>
      <c r="O3219" s="25" t="s">
        <v>11</v>
      </c>
      <c r="P3219" s="25" t="s">
        <v>0</v>
      </c>
      <c r="Q3219" s="25" t="s">
        <v>408</v>
      </c>
      <c r="R3219" s="25" t="s">
        <v>439</v>
      </c>
      <c r="S3219" s="25" t="s">
        <v>451</v>
      </c>
      <c r="T3219" s="25" t="s">
        <v>11</v>
      </c>
      <c r="U3219" s="25" t="s">
        <v>408</v>
      </c>
    </row>
    <row r="3220" spans="1:21" x14ac:dyDescent="0.25">
      <c r="A3220" s="26">
        <v>26234069</v>
      </c>
      <c r="B3220" s="25" t="s">
        <v>342</v>
      </c>
      <c r="C3220" s="25" t="s">
        <v>13</v>
      </c>
      <c r="D3220" s="25" t="s">
        <v>12</v>
      </c>
      <c r="E3220" s="25" t="s">
        <v>759</v>
      </c>
      <c r="F3220" s="25" t="s">
        <v>581</v>
      </c>
      <c r="G3220" s="25" t="s">
        <v>369</v>
      </c>
      <c r="H3220" s="25" t="s">
        <v>370</v>
      </c>
      <c r="I3220" s="25" t="s">
        <v>721</v>
      </c>
      <c r="J3220" s="25" t="s">
        <v>455</v>
      </c>
      <c r="K3220" s="25" t="s">
        <v>453</v>
      </c>
      <c r="L3220" s="25" t="s">
        <v>367</v>
      </c>
      <c r="M3220" s="25" t="s">
        <v>408</v>
      </c>
      <c r="N3220" s="25" t="s">
        <v>11</v>
      </c>
      <c r="O3220" s="25" t="s">
        <v>11</v>
      </c>
      <c r="P3220" s="25" t="s">
        <v>0</v>
      </c>
      <c r="Q3220" s="25" t="s">
        <v>408</v>
      </c>
      <c r="R3220" s="25" t="s">
        <v>439</v>
      </c>
      <c r="S3220" s="25" t="s">
        <v>451</v>
      </c>
      <c r="T3220" s="25" t="s">
        <v>11</v>
      </c>
      <c r="U3220" s="25" t="s">
        <v>408</v>
      </c>
    </row>
    <row r="3221" spans="1:21" x14ac:dyDescent="0.25">
      <c r="A3221" s="26">
        <v>26234080</v>
      </c>
      <c r="B3221" s="25" t="s">
        <v>342</v>
      </c>
      <c r="C3221" s="25" t="s">
        <v>13</v>
      </c>
      <c r="D3221" s="25" t="s">
        <v>18</v>
      </c>
      <c r="E3221" s="25" t="s">
        <v>759</v>
      </c>
      <c r="F3221" s="25" t="s">
        <v>581</v>
      </c>
      <c r="G3221" s="25" t="s">
        <v>369</v>
      </c>
      <c r="H3221" s="25" t="s">
        <v>370</v>
      </c>
      <c r="I3221" s="25" t="s">
        <v>721</v>
      </c>
      <c r="J3221" s="25" t="s">
        <v>455</v>
      </c>
      <c r="K3221" s="25" t="s">
        <v>453</v>
      </c>
      <c r="L3221" s="25" t="s">
        <v>367</v>
      </c>
      <c r="M3221" s="25" t="s">
        <v>408</v>
      </c>
      <c r="N3221" s="25" t="s">
        <v>11</v>
      </c>
      <c r="O3221" s="25" t="s">
        <v>11</v>
      </c>
      <c r="P3221" s="25" t="s">
        <v>0</v>
      </c>
      <c r="Q3221" s="25" t="s">
        <v>408</v>
      </c>
      <c r="R3221" s="25" t="s">
        <v>439</v>
      </c>
      <c r="S3221" s="25" t="s">
        <v>451</v>
      </c>
      <c r="T3221" s="25" t="s">
        <v>11</v>
      </c>
      <c r="U3221" s="25" t="s">
        <v>408</v>
      </c>
    </row>
    <row r="3222" spans="1:21" x14ac:dyDescent="0.25">
      <c r="A3222" s="26">
        <v>26234082</v>
      </c>
      <c r="B3222" s="25" t="s">
        <v>342</v>
      </c>
      <c r="C3222" s="25" t="s">
        <v>13</v>
      </c>
      <c r="D3222" s="25" t="s">
        <v>12</v>
      </c>
      <c r="E3222" s="25" t="s">
        <v>638</v>
      </c>
      <c r="F3222" s="25" t="s">
        <v>577</v>
      </c>
      <c r="G3222" s="25" t="s">
        <v>369</v>
      </c>
      <c r="H3222" s="25" t="s">
        <v>370</v>
      </c>
      <c r="I3222" s="25" t="s">
        <v>721</v>
      </c>
      <c r="J3222" s="25" t="s">
        <v>455</v>
      </c>
      <c r="K3222" s="25" t="s">
        <v>453</v>
      </c>
      <c r="L3222" s="25" t="s">
        <v>367</v>
      </c>
      <c r="M3222" s="25" t="s">
        <v>408</v>
      </c>
      <c r="N3222" s="25" t="s">
        <v>11</v>
      </c>
      <c r="O3222" s="25" t="s">
        <v>11</v>
      </c>
      <c r="P3222" s="25" t="s">
        <v>0</v>
      </c>
      <c r="Q3222" s="25" t="s">
        <v>408</v>
      </c>
      <c r="R3222" s="25" t="s">
        <v>439</v>
      </c>
      <c r="S3222" s="25" t="s">
        <v>451</v>
      </c>
      <c r="T3222" s="25" t="s">
        <v>11</v>
      </c>
      <c r="U3222" s="25" t="s">
        <v>408</v>
      </c>
    </row>
    <row r="3223" spans="1:21" x14ac:dyDescent="0.25">
      <c r="A3223" s="26">
        <v>26234083</v>
      </c>
      <c r="B3223" s="25" t="s">
        <v>342</v>
      </c>
      <c r="C3223" s="25" t="s">
        <v>13</v>
      </c>
      <c r="D3223" s="25" t="s">
        <v>18</v>
      </c>
      <c r="E3223" s="25" t="s">
        <v>638</v>
      </c>
      <c r="F3223" s="25" t="s">
        <v>577</v>
      </c>
      <c r="G3223" s="25" t="s">
        <v>369</v>
      </c>
      <c r="H3223" s="25" t="s">
        <v>370</v>
      </c>
      <c r="I3223" s="25" t="s">
        <v>721</v>
      </c>
      <c r="J3223" s="25" t="s">
        <v>455</v>
      </c>
      <c r="K3223" s="25" t="s">
        <v>453</v>
      </c>
      <c r="L3223" s="25" t="s">
        <v>367</v>
      </c>
      <c r="M3223" s="25" t="s">
        <v>408</v>
      </c>
      <c r="N3223" s="25" t="s">
        <v>11</v>
      </c>
      <c r="O3223" s="25" t="s">
        <v>11</v>
      </c>
      <c r="P3223" s="25" t="s">
        <v>0</v>
      </c>
      <c r="Q3223" s="25" t="s">
        <v>408</v>
      </c>
      <c r="R3223" s="25" t="s">
        <v>439</v>
      </c>
      <c r="S3223" s="25" t="s">
        <v>451</v>
      </c>
      <c r="T3223" s="25" t="s">
        <v>11</v>
      </c>
      <c r="U3223" s="25" t="s">
        <v>408</v>
      </c>
    </row>
    <row r="3224" spans="1:21" x14ac:dyDescent="0.25">
      <c r="A3224" s="26">
        <v>26234084</v>
      </c>
      <c r="B3224" s="25" t="s">
        <v>342</v>
      </c>
      <c r="C3224" s="25" t="s">
        <v>13</v>
      </c>
      <c r="D3224" s="25" t="s">
        <v>12</v>
      </c>
      <c r="E3224" s="25" t="s">
        <v>758</v>
      </c>
      <c r="F3224" s="25" t="s">
        <v>578</v>
      </c>
      <c r="G3224" s="25" t="s">
        <v>369</v>
      </c>
      <c r="H3224" s="25" t="s">
        <v>370</v>
      </c>
      <c r="I3224" s="25" t="s">
        <v>721</v>
      </c>
      <c r="J3224" s="25" t="s">
        <v>455</v>
      </c>
      <c r="K3224" s="25" t="s">
        <v>453</v>
      </c>
      <c r="L3224" s="25" t="s">
        <v>367</v>
      </c>
      <c r="M3224" s="25" t="s">
        <v>408</v>
      </c>
      <c r="N3224" s="25" t="s">
        <v>11</v>
      </c>
      <c r="O3224" s="25" t="s">
        <v>11</v>
      </c>
      <c r="P3224" s="25" t="s">
        <v>0</v>
      </c>
      <c r="Q3224" s="25" t="s">
        <v>408</v>
      </c>
      <c r="R3224" s="25" t="s">
        <v>439</v>
      </c>
      <c r="S3224" s="25" t="s">
        <v>451</v>
      </c>
      <c r="T3224" s="25" t="s">
        <v>11</v>
      </c>
      <c r="U3224" s="25" t="s">
        <v>408</v>
      </c>
    </row>
    <row r="3225" spans="1:21" x14ac:dyDescent="0.25">
      <c r="A3225" s="26">
        <v>26234086</v>
      </c>
      <c r="B3225" s="25" t="s">
        <v>342</v>
      </c>
      <c r="C3225" s="25" t="s">
        <v>13</v>
      </c>
      <c r="D3225" s="25" t="s">
        <v>12</v>
      </c>
      <c r="E3225" s="25" t="s">
        <v>758</v>
      </c>
      <c r="F3225" s="25" t="s">
        <v>578</v>
      </c>
      <c r="G3225" s="25" t="s">
        <v>369</v>
      </c>
      <c r="H3225" s="25" t="s">
        <v>370</v>
      </c>
      <c r="I3225" s="25" t="s">
        <v>721</v>
      </c>
      <c r="J3225" s="25" t="s">
        <v>455</v>
      </c>
      <c r="K3225" s="25" t="s">
        <v>453</v>
      </c>
      <c r="L3225" s="25" t="s">
        <v>367</v>
      </c>
      <c r="M3225" s="25" t="s">
        <v>408</v>
      </c>
      <c r="N3225" s="25" t="s">
        <v>11</v>
      </c>
      <c r="O3225" s="25" t="s">
        <v>11</v>
      </c>
      <c r="P3225" s="25" t="s">
        <v>0</v>
      </c>
      <c r="Q3225" s="25" t="s">
        <v>408</v>
      </c>
      <c r="R3225" s="25" t="s">
        <v>439</v>
      </c>
      <c r="S3225" s="25" t="s">
        <v>451</v>
      </c>
      <c r="T3225" s="25" t="s">
        <v>11</v>
      </c>
      <c r="U3225" s="25" t="s">
        <v>408</v>
      </c>
    </row>
    <row r="3226" spans="1:21" x14ac:dyDescent="0.25">
      <c r="A3226" s="26">
        <v>26234088</v>
      </c>
      <c r="B3226" s="25" t="s">
        <v>342</v>
      </c>
      <c r="C3226" s="25" t="s">
        <v>13</v>
      </c>
      <c r="D3226" s="25" t="s">
        <v>12</v>
      </c>
      <c r="E3226" s="25" t="s">
        <v>638</v>
      </c>
      <c r="F3226" s="25" t="s">
        <v>577</v>
      </c>
      <c r="G3226" s="25" t="s">
        <v>369</v>
      </c>
      <c r="H3226" s="25" t="s">
        <v>370</v>
      </c>
      <c r="I3226" s="25" t="s">
        <v>721</v>
      </c>
      <c r="J3226" s="25" t="s">
        <v>455</v>
      </c>
      <c r="K3226" s="25" t="s">
        <v>453</v>
      </c>
      <c r="L3226" s="25" t="s">
        <v>367</v>
      </c>
      <c r="M3226" s="25" t="s">
        <v>408</v>
      </c>
      <c r="N3226" s="25" t="s">
        <v>11</v>
      </c>
      <c r="O3226" s="25" t="s">
        <v>11</v>
      </c>
      <c r="P3226" s="25" t="s">
        <v>0</v>
      </c>
      <c r="Q3226" s="25" t="s">
        <v>408</v>
      </c>
      <c r="R3226" s="25" t="s">
        <v>439</v>
      </c>
      <c r="S3226" s="25" t="s">
        <v>451</v>
      </c>
      <c r="T3226" s="25" t="s">
        <v>11</v>
      </c>
      <c r="U3226" s="25" t="s">
        <v>408</v>
      </c>
    </row>
    <row r="3227" spans="1:21" x14ac:dyDescent="0.25">
      <c r="A3227" s="26">
        <v>26234089</v>
      </c>
      <c r="B3227" s="25" t="s">
        <v>342</v>
      </c>
      <c r="C3227" s="25" t="s">
        <v>13</v>
      </c>
      <c r="D3227" s="25" t="s">
        <v>12</v>
      </c>
      <c r="E3227" s="25" t="s">
        <v>638</v>
      </c>
      <c r="F3227" s="25" t="s">
        <v>577</v>
      </c>
      <c r="G3227" s="25" t="s">
        <v>369</v>
      </c>
      <c r="H3227" s="25" t="s">
        <v>370</v>
      </c>
      <c r="I3227" s="25" t="s">
        <v>721</v>
      </c>
      <c r="J3227" s="25" t="s">
        <v>455</v>
      </c>
      <c r="K3227" s="25" t="s">
        <v>453</v>
      </c>
      <c r="L3227" s="25" t="s">
        <v>367</v>
      </c>
      <c r="M3227" s="25" t="s">
        <v>408</v>
      </c>
      <c r="N3227" s="25" t="s">
        <v>11</v>
      </c>
      <c r="O3227" s="25" t="s">
        <v>11</v>
      </c>
      <c r="P3227" s="25" t="s">
        <v>0</v>
      </c>
      <c r="Q3227" s="25" t="s">
        <v>408</v>
      </c>
      <c r="R3227" s="25" t="s">
        <v>439</v>
      </c>
      <c r="S3227" s="25" t="s">
        <v>451</v>
      </c>
      <c r="T3227" s="25" t="s">
        <v>11</v>
      </c>
      <c r="U3227" s="25" t="s">
        <v>408</v>
      </c>
    </row>
    <row r="3228" spans="1:21" x14ac:dyDescent="0.25">
      <c r="A3228" s="26">
        <v>26234090</v>
      </c>
      <c r="B3228" s="25" t="s">
        <v>342</v>
      </c>
      <c r="C3228" s="25" t="s">
        <v>13</v>
      </c>
      <c r="D3228" s="25" t="s">
        <v>12</v>
      </c>
      <c r="E3228" s="25" t="s">
        <v>638</v>
      </c>
      <c r="F3228" s="25" t="s">
        <v>577</v>
      </c>
      <c r="G3228" s="25" t="s">
        <v>369</v>
      </c>
      <c r="H3228" s="25" t="s">
        <v>370</v>
      </c>
      <c r="I3228" s="25" t="s">
        <v>721</v>
      </c>
      <c r="J3228" s="25" t="s">
        <v>455</v>
      </c>
      <c r="K3228" s="25" t="s">
        <v>453</v>
      </c>
      <c r="L3228" s="25" t="s">
        <v>367</v>
      </c>
      <c r="M3228" s="25" t="s">
        <v>408</v>
      </c>
      <c r="N3228" s="25" t="s">
        <v>11</v>
      </c>
      <c r="O3228" s="25" t="s">
        <v>11</v>
      </c>
      <c r="P3228" s="25" t="s">
        <v>0</v>
      </c>
      <c r="Q3228" s="25" t="s">
        <v>408</v>
      </c>
      <c r="R3228" s="25" t="s">
        <v>439</v>
      </c>
      <c r="S3228" s="25" t="s">
        <v>451</v>
      </c>
      <c r="T3228" s="25" t="s">
        <v>11</v>
      </c>
      <c r="U3228" s="25" t="s">
        <v>408</v>
      </c>
    </row>
    <row r="3229" spans="1:21" x14ac:dyDescent="0.25">
      <c r="A3229" s="26">
        <v>26234093</v>
      </c>
      <c r="B3229" s="25" t="s">
        <v>342</v>
      </c>
      <c r="C3229" s="25" t="s">
        <v>13</v>
      </c>
      <c r="D3229" s="25" t="s">
        <v>79</v>
      </c>
      <c r="E3229" s="25" t="s">
        <v>638</v>
      </c>
      <c r="F3229" s="25" t="s">
        <v>577</v>
      </c>
      <c r="G3229" s="25" t="s">
        <v>369</v>
      </c>
      <c r="H3229" s="25" t="s">
        <v>370</v>
      </c>
      <c r="I3229" s="25" t="s">
        <v>721</v>
      </c>
      <c r="J3229" s="25" t="s">
        <v>455</v>
      </c>
      <c r="K3229" s="25" t="s">
        <v>453</v>
      </c>
      <c r="L3229" s="25" t="s">
        <v>367</v>
      </c>
      <c r="M3229" s="25" t="s">
        <v>408</v>
      </c>
      <c r="N3229" s="25" t="s">
        <v>11</v>
      </c>
      <c r="O3229" s="25" t="s">
        <v>11</v>
      </c>
      <c r="P3229" s="25" t="s">
        <v>0</v>
      </c>
      <c r="Q3229" s="25" t="s">
        <v>408</v>
      </c>
      <c r="R3229" s="25" t="s">
        <v>439</v>
      </c>
      <c r="S3229" s="25" t="s">
        <v>451</v>
      </c>
      <c r="T3229" s="25" t="s">
        <v>11</v>
      </c>
      <c r="U3229" s="25" t="s">
        <v>408</v>
      </c>
    </row>
    <row r="3230" spans="1:21" x14ac:dyDescent="0.25">
      <c r="A3230" s="26">
        <v>23323682</v>
      </c>
      <c r="B3230" s="25" t="s">
        <v>340</v>
      </c>
      <c r="C3230" s="25" t="s">
        <v>26</v>
      </c>
      <c r="D3230" s="25" t="s">
        <v>12</v>
      </c>
      <c r="E3230" s="25" t="s">
        <v>751</v>
      </c>
      <c r="F3230" s="25" t="s">
        <v>97</v>
      </c>
      <c r="G3230" s="25" t="s">
        <v>369</v>
      </c>
      <c r="H3230" s="25" t="s">
        <v>727</v>
      </c>
      <c r="I3230" s="25" t="s">
        <v>728</v>
      </c>
      <c r="J3230" s="25" t="s">
        <v>729</v>
      </c>
      <c r="K3230" s="25" t="s">
        <v>450</v>
      </c>
      <c r="L3230" s="25" t="s">
        <v>367</v>
      </c>
      <c r="M3230" s="25" t="s">
        <v>408</v>
      </c>
      <c r="N3230" s="25" t="s">
        <v>408</v>
      </c>
      <c r="O3230" s="25" t="s">
        <v>11</v>
      </c>
      <c r="P3230" s="25" t="s">
        <v>0</v>
      </c>
      <c r="Q3230" s="25" t="s">
        <v>408</v>
      </c>
      <c r="R3230" s="25" t="s">
        <v>439</v>
      </c>
      <c r="S3230" s="25" t="s">
        <v>451</v>
      </c>
      <c r="T3230" s="25" t="s">
        <v>408</v>
      </c>
      <c r="U3230" s="25" t="s">
        <v>408</v>
      </c>
    </row>
    <row r="3231" spans="1:21" x14ac:dyDescent="0.25">
      <c r="A3231" s="26">
        <v>26234095</v>
      </c>
      <c r="B3231" s="25" t="s">
        <v>342</v>
      </c>
      <c r="C3231" s="25" t="s">
        <v>13</v>
      </c>
      <c r="D3231" s="25" t="s">
        <v>12</v>
      </c>
      <c r="E3231" s="25" t="s">
        <v>638</v>
      </c>
      <c r="F3231" s="25" t="s">
        <v>577</v>
      </c>
      <c r="G3231" s="25" t="s">
        <v>369</v>
      </c>
      <c r="H3231" s="25" t="s">
        <v>727</v>
      </c>
      <c r="I3231" s="25" t="s">
        <v>728</v>
      </c>
      <c r="J3231" s="25" t="s">
        <v>729</v>
      </c>
      <c r="K3231" s="25" t="s">
        <v>450</v>
      </c>
      <c r="L3231" s="25" t="s">
        <v>367</v>
      </c>
      <c r="M3231" s="25" t="s">
        <v>408</v>
      </c>
      <c r="N3231" s="25" t="s">
        <v>11</v>
      </c>
      <c r="O3231" s="25" t="s">
        <v>11</v>
      </c>
      <c r="P3231" s="25" t="s">
        <v>0</v>
      </c>
      <c r="Q3231" s="25" t="s">
        <v>408</v>
      </c>
      <c r="R3231" s="25" t="s">
        <v>439</v>
      </c>
      <c r="S3231" s="25" t="s">
        <v>451</v>
      </c>
      <c r="T3231" s="25" t="s">
        <v>11</v>
      </c>
      <c r="U3231" s="25" t="s">
        <v>408</v>
      </c>
    </row>
    <row r="3232" spans="1:21" x14ac:dyDescent="0.25">
      <c r="A3232" s="26">
        <v>26234096</v>
      </c>
      <c r="B3232" s="25" t="s">
        <v>342</v>
      </c>
      <c r="C3232" s="25" t="s">
        <v>13</v>
      </c>
      <c r="D3232" s="25" t="s">
        <v>12</v>
      </c>
      <c r="E3232" s="25" t="s">
        <v>759</v>
      </c>
      <c r="F3232" s="25" t="s">
        <v>668</v>
      </c>
      <c r="G3232" s="25" t="s">
        <v>369</v>
      </c>
      <c r="H3232" s="25" t="s">
        <v>727</v>
      </c>
      <c r="I3232" s="25" t="s">
        <v>728</v>
      </c>
      <c r="J3232" s="25" t="s">
        <v>729</v>
      </c>
      <c r="K3232" s="25" t="s">
        <v>450</v>
      </c>
      <c r="L3232" s="25" t="s">
        <v>367</v>
      </c>
      <c r="M3232" s="25" t="s">
        <v>408</v>
      </c>
      <c r="N3232" s="25" t="s">
        <v>11</v>
      </c>
      <c r="O3232" s="25" t="s">
        <v>11</v>
      </c>
      <c r="P3232" s="25" t="s">
        <v>0</v>
      </c>
      <c r="Q3232" s="25" t="s">
        <v>408</v>
      </c>
      <c r="R3232" s="25" t="s">
        <v>439</v>
      </c>
      <c r="S3232" s="25" t="s">
        <v>451</v>
      </c>
      <c r="T3232" s="25" t="s">
        <v>11</v>
      </c>
      <c r="U3232" s="25" t="s">
        <v>408</v>
      </c>
    </row>
    <row r="3233" spans="1:21" x14ac:dyDescent="0.25">
      <c r="A3233" s="26">
        <v>26234097</v>
      </c>
      <c r="B3233" s="25" t="s">
        <v>340</v>
      </c>
      <c r="C3233" s="25" t="s">
        <v>15</v>
      </c>
      <c r="D3233" s="25" t="s">
        <v>12</v>
      </c>
      <c r="E3233" s="25" t="s">
        <v>638</v>
      </c>
      <c r="F3233" s="25" t="s">
        <v>577</v>
      </c>
      <c r="G3233" s="25" t="s">
        <v>369</v>
      </c>
      <c r="H3233" s="25" t="s">
        <v>727</v>
      </c>
      <c r="I3233" s="25" t="s">
        <v>728</v>
      </c>
      <c r="J3233" s="25" t="s">
        <v>729</v>
      </c>
      <c r="K3233" s="25" t="s">
        <v>450</v>
      </c>
      <c r="L3233" s="25" t="s">
        <v>367</v>
      </c>
      <c r="M3233" s="25" t="s">
        <v>408</v>
      </c>
      <c r="N3233" s="25" t="s">
        <v>11</v>
      </c>
      <c r="O3233" s="25" t="s">
        <v>11</v>
      </c>
      <c r="P3233" s="25" t="s">
        <v>0</v>
      </c>
      <c r="Q3233" s="25" t="s">
        <v>408</v>
      </c>
      <c r="R3233" s="25" t="s">
        <v>439</v>
      </c>
      <c r="S3233" s="25" t="s">
        <v>451</v>
      </c>
      <c r="T3233" s="25" t="s">
        <v>11</v>
      </c>
      <c r="U3233" s="25" t="s">
        <v>408</v>
      </c>
    </row>
    <row r="3234" spans="1:21" x14ac:dyDescent="0.25">
      <c r="A3234" s="26">
        <v>26234098</v>
      </c>
      <c r="B3234" s="25" t="s">
        <v>340</v>
      </c>
      <c r="C3234" s="25" t="s">
        <v>15</v>
      </c>
      <c r="D3234" s="25" t="s">
        <v>12</v>
      </c>
      <c r="E3234" s="25" t="s">
        <v>638</v>
      </c>
      <c r="F3234" s="25" t="s">
        <v>577</v>
      </c>
      <c r="G3234" s="25" t="s">
        <v>369</v>
      </c>
      <c r="H3234" s="25" t="s">
        <v>727</v>
      </c>
      <c r="I3234" s="25" t="s">
        <v>728</v>
      </c>
      <c r="J3234" s="25" t="s">
        <v>729</v>
      </c>
      <c r="K3234" s="25" t="s">
        <v>450</v>
      </c>
      <c r="L3234" s="25" t="s">
        <v>367</v>
      </c>
      <c r="M3234" s="25" t="s">
        <v>408</v>
      </c>
      <c r="N3234" s="25" t="s">
        <v>11</v>
      </c>
      <c r="O3234" s="25" t="s">
        <v>11</v>
      </c>
      <c r="P3234" s="25" t="s">
        <v>0</v>
      </c>
      <c r="Q3234" s="25" t="s">
        <v>408</v>
      </c>
      <c r="R3234" s="25" t="s">
        <v>439</v>
      </c>
      <c r="S3234" s="25" t="s">
        <v>451</v>
      </c>
      <c r="T3234" s="25" t="s">
        <v>11</v>
      </c>
      <c r="U3234" s="25" t="s">
        <v>408</v>
      </c>
    </row>
    <row r="3235" spans="1:21" x14ac:dyDescent="0.25">
      <c r="A3235" s="26">
        <v>26234099</v>
      </c>
      <c r="B3235" s="25" t="s">
        <v>340</v>
      </c>
      <c r="C3235" s="25" t="s">
        <v>15</v>
      </c>
      <c r="D3235" s="25" t="s">
        <v>12</v>
      </c>
      <c r="E3235" s="25" t="s">
        <v>638</v>
      </c>
      <c r="F3235" s="25" t="s">
        <v>577</v>
      </c>
      <c r="G3235" s="25" t="s">
        <v>369</v>
      </c>
      <c r="H3235" s="25" t="s">
        <v>727</v>
      </c>
      <c r="I3235" s="25" t="s">
        <v>728</v>
      </c>
      <c r="J3235" s="25" t="s">
        <v>729</v>
      </c>
      <c r="K3235" s="25" t="s">
        <v>450</v>
      </c>
      <c r="L3235" s="25" t="s">
        <v>367</v>
      </c>
      <c r="M3235" s="25" t="s">
        <v>408</v>
      </c>
      <c r="N3235" s="25" t="s">
        <v>11</v>
      </c>
      <c r="O3235" s="25" t="s">
        <v>11</v>
      </c>
      <c r="P3235" s="25" t="s">
        <v>0</v>
      </c>
      <c r="Q3235" s="25" t="s">
        <v>408</v>
      </c>
      <c r="R3235" s="25" t="s">
        <v>439</v>
      </c>
      <c r="S3235" s="25" t="s">
        <v>451</v>
      </c>
      <c r="T3235" s="25" t="s">
        <v>11</v>
      </c>
      <c r="U3235" s="25" t="s">
        <v>408</v>
      </c>
    </row>
    <row r="3236" spans="1:21" x14ac:dyDescent="0.25">
      <c r="A3236" s="26">
        <v>26234100</v>
      </c>
      <c r="B3236" s="25" t="s">
        <v>342</v>
      </c>
      <c r="C3236" s="25" t="s">
        <v>13</v>
      </c>
      <c r="D3236" s="25" t="s">
        <v>12</v>
      </c>
      <c r="E3236" s="25" t="s">
        <v>639</v>
      </c>
      <c r="F3236" s="25" t="s">
        <v>583</v>
      </c>
      <c r="G3236" s="25" t="s">
        <v>369</v>
      </c>
      <c r="H3236" s="25" t="s">
        <v>727</v>
      </c>
      <c r="I3236" s="25" t="s">
        <v>728</v>
      </c>
      <c r="J3236" s="25" t="s">
        <v>729</v>
      </c>
      <c r="K3236" s="25" t="s">
        <v>450</v>
      </c>
      <c r="L3236" s="25" t="s">
        <v>367</v>
      </c>
      <c r="M3236" s="25" t="s">
        <v>408</v>
      </c>
      <c r="N3236" s="25" t="s">
        <v>11</v>
      </c>
      <c r="O3236" s="25" t="s">
        <v>11</v>
      </c>
      <c r="P3236" s="25" t="s">
        <v>0</v>
      </c>
      <c r="Q3236" s="25" t="s">
        <v>408</v>
      </c>
      <c r="R3236" s="25" t="s">
        <v>439</v>
      </c>
      <c r="S3236" s="25" t="s">
        <v>451</v>
      </c>
      <c r="T3236" s="25" t="s">
        <v>11</v>
      </c>
      <c r="U3236" s="25" t="s">
        <v>408</v>
      </c>
    </row>
    <row r="3237" spans="1:21" x14ac:dyDescent="0.25">
      <c r="A3237" s="26">
        <v>26234101</v>
      </c>
      <c r="B3237" s="25" t="s">
        <v>342</v>
      </c>
      <c r="C3237" s="25" t="s">
        <v>13</v>
      </c>
      <c r="D3237" s="25" t="s">
        <v>12</v>
      </c>
      <c r="E3237" s="25" t="s">
        <v>638</v>
      </c>
      <c r="F3237" s="25" t="s">
        <v>577</v>
      </c>
      <c r="G3237" s="25" t="s">
        <v>369</v>
      </c>
      <c r="H3237" s="25" t="s">
        <v>727</v>
      </c>
      <c r="I3237" s="25" t="s">
        <v>728</v>
      </c>
      <c r="J3237" s="25" t="s">
        <v>729</v>
      </c>
      <c r="K3237" s="25" t="s">
        <v>450</v>
      </c>
      <c r="L3237" s="25" t="s">
        <v>367</v>
      </c>
      <c r="M3237" s="25" t="s">
        <v>408</v>
      </c>
      <c r="N3237" s="25" t="s">
        <v>11</v>
      </c>
      <c r="O3237" s="25" t="s">
        <v>11</v>
      </c>
      <c r="P3237" s="25" t="s">
        <v>0</v>
      </c>
      <c r="Q3237" s="25" t="s">
        <v>408</v>
      </c>
      <c r="R3237" s="25" t="s">
        <v>439</v>
      </c>
      <c r="S3237" s="25" t="s">
        <v>451</v>
      </c>
      <c r="T3237" s="25" t="s">
        <v>11</v>
      </c>
      <c r="U3237" s="25" t="s">
        <v>408</v>
      </c>
    </row>
    <row r="3238" spans="1:21" x14ac:dyDescent="0.25">
      <c r="A3238" s="26">
        <v>26234102</v>
      </c>
      <c r="B3238" s="25" t="s">
        <v>340</v>
      </c>
      <c r="C3238" s="25" t="s">
        <v>15</v>
      </c>
      <c r="D3238" s="25" t="s">
        <v>12</v>
      </c>
      <c r="E3238" s="25" t="s">
        <v>638</v>
      </c>
      <c r="F3238" s="25" t="s">
        <v>577</v>
      </c>
      <c r="G3238" s="25" t="s">
        <v>369</v>
      </c>
      <c r="H3238" s="25" t="s">
        <v>727</v>
      </c>
      <c r="I3238" s="25" t="s">
        <v>728</v>
      </c>
      <c r="J3238" s="25" t="s">
        <v>729</v>
      </c>
      <c r="K3238" s="25" t="s">
        <v>450</v>
      </c>
      <c r="L3238" s="25" t="s">
        <v>367</v>
      </c>
      <c r="M3238" s="25" t="s">
        <v>408</v>
      </c>
      <c r="N3238" s="25" t="s">
        <v>11</v>
      </c>
      <c r="O3238" s="25" t="s">
        <v>11</v>
      </c>
      <c r="P3238" s="25" t="s">
        <v>0</v>
      </c>
      <c r="Q3238" s="25" t="s">
        <v>408</v>
      </c>
      <c r="R3238" s="25" t="s">
        <v>439</v>
      </c>
      <c r="S3238" s="25" t="s">
        <v>451</v>
      </c>
      <c r="T3238" s="25" t="s">
        <v>11</v>
      </c>
      <c r="U3238" s="25" t="s">
        <v>408</v>
      </c>
    </row>
    <row r="3239" spans="1:21" x14ac:dyDescent="0.25">
      <c r="A3239" s="26">
        <v>26234103</v>
      </c>
      <c r="B3239" s="25" t="s">
        <v>342</v>
      </c>
      <c r="C3239" s="25" t="s">
        <v>13</v>
      </c>
      <c r="D3239" s="25" t="s">
        <v>12</v>
      </c>
      <c r="E3239" s="25" t="s">
        <v>759</v>
      </c>
      <c r="F3239" s="25" t="s">
        <v>668</v>
      </c>
      <c r="G3239" s="25" t="s">
        <v>369</v>
      </c>
      <c r="H3239" s="25" t="s">
        <v>727</v>
      </c>
      <c r="I3239" s="25" t="s">
        <v>728</v>
      </c>
      <c r="J3239" s="25" t="s">
        <v>729</v>
      </c>
      <c r="K3239" s="25" t="s">
        <v>450</v>
      </c>
      <c r="L3239" s="25" t="s">
        <v>367</v>
      </c>
      <c r="M3239" s="25" t="s">
        <v>408</v>
      </c>
      <c r="N3239" s="25" t="s">
        <v>11</v>
      </c>
      <c r="O3239" s="25" t="s">
        <v>11</v>
      </c>
      <c r="P3239" s="25" t="s">
        <v>0</v>
      </c>
      <c r="Q3239" s="25" t="s">
        <v>408</v>
      </c>
      <c r="R3239" s="25" t="s">
        <v>439</v>
      </c>
      <c r="S3239" s="25" t="s">
        <v>451</v>
      </c>
      <c r="T3239" s="25" t="s">
        <v>11</v>
      </c>
      <c r="U3239" s="25" t="s">
        <v>408</v>
      </c>
    </row>
    <row r="3240" spans="1:21" x14ac:dyDescent="0.25">
      <c r="A3240" s="26">
        <v>26234104</v>
      </c>
      <c r="B3240" s="25" t="s">
        <v>342</v>
      </c>
      <c r="C3240" s="25" t="s">
        <v>13</v>
      </c>
      <c r="D3240" s="25" t="s">
        <v>12</v>
      </c>
      <c r="E3240" s="25" t="s">
        <v>638</v>
      </c>
      <c r="F3240" s="25" t="s">
        <v>577</v>
      </c>
      <c r="G3240" s="25" t="s">
        <v>369</v>
      </c>
      <c r="H3240" s="25" t="s">
        <v>727</v>
      </c>
      <c r="I3240" s="25" t="s">
        <v>728</v>
      </c>
      <c r="J3240" s="25" t="s">
        <v>729</v>
      </c>
      <c r="K3240" s="25" t="s">
        <v>450</v>
      </c>
      <c r="L3240" s="25" t="s">
        <v>367</v>
      </c>
      <c r="M3240" s="25" t="s">
        <v>408</v>
      </c>
      <c r="N3240" s="25" t="s">
        <v>11</v>
      </c>
      <c r="O3240" s="25" t="s">
        <v>11</v>
      </c>
      <c r="P3240" s="25" t="s">
        <v>0</v>
      </c>
      <c r="Q3240" s="25" t="s">
        <v>408</v>
      </c>
      <c r="R3240" s="25" t="s">
        <v>439</v>
      </c>
      <c r="S3240" s="25" t="s">
        <v>451</v>
      </c>
      <c r="T3240" s="25" t="s">
        <v>11</v>
      </c>
      <c r="U3240" s="25" t="s">
        <v>408</v>
      </c>
    </row>
    <row r="3241" spans="1:21" x14ac:dyDescent="0.25">
      <c r="A3241" s="26">
        <v>26234105</v>
      </c>
      <c r="B3241" s="25" t="s">
        <v>342</v>
      </c>
      <c r="C3241" s="25" t="s">
        <v>13</v>
      </c>
      <c r="D3241" s="25" t="s">
        <v>12</v>
      </c>
      <c r="E3241" s="25" t="s">
        <v>638</v>
      </c>
      <c r="F3241" s="25" t="s">
        <v>577</v>
      </c>
      <c r="G3241" s="25" t="s">
        <v>369</v>
      </c>
      <c r="H3241" s="25" t="s">
        <v>727</v>
      </c>
      <c r="I3241" s="25" t="s">
        <v>728</v>
      </c>
      <c r="J3241" s="25" t="s">
        <v>729</v>
      </c>
      <c r="K3241" s="25" t="s">
        <v>450</v>
      </c>
      <c r="L3241" s="25" t="s">
        <v>367</v>
      </c>
      <c r="M3241" s="25" t="s">
        <v>408</v>
      </c>
      <c r="N3241" s="25" t="s">
        <v>11</v>
      </c>
      <c r="O3241" s="25" t="s">
        <v>11</v>
      </c>
      <c r="P3241" s="25" t="s">
        <v>0</v>
      </c>
      <c r="Q3241" s="25" t="s">
        <v>408</v>
      </c>
      <c r="R3241" s="25" t="s">
        <v>439</v>
      </c>
      <c r="S3241" s="25" t="s">
        <v>451</v>
      </c>
      <c r="T3241" s="25" t="s">
        <v>11</v>
      </c>
      <c r="U3241" s="25" t="s">
        <v>408</v>
      </c>
    </row>
    <row r="3242" spans="1:21" x14ac:dyDescent="0.25">
      <c r="A3242" s="26">
        <v>26234106</v>
      </c>
      <c r="B3242" s="25" t="s">
        <v>342</v>
      </c>
      <c r="C3242" s="25" t="s">
        <v>13</v>
      </c>
      <c r="D3242" s="25" t="s">
        <v>12</v>
      </c>
      <c r="E3242" s="25" t="s">
        <v>638</v>
      </c>
      <c r="F3242" s="25" t="s">
        <v>577</v>
      </c>
      <c r="G3242" s="25" t="s">
        <v>369</v>
      </c>
      <c r="H3242" s="25" t="s">
        <v>727</v>
      </c>
      <c r="I3242" s="25" t="s">
        <v>728</v>
      </c>
      <c r="J3242" s="25" t="s">
        <v>729</v>
      </c>
      <c r="K3242" s="25" t="s">
        <v>450</v>
      </c>
      <c r="L3242" s="25" t="s">
        <v>367</v>
      </c>
      <c r="M3242" s="25" t="s">
        <v>408</v>
      </c>
      <c r="N3242" s="25" t="s">
        <v>11</v>
      </c>
      <c r="O3242" s="25" t="s">
        <v>11</v>
      </c>
      <c r="P3242" s="25" t="s">
        <v>0</v>
      </c>
      <c r="Q3242" s="25" t="s">
        <v>408</v>
      </c>
      <c r="R3242" s="25" t="s">
        <v>439</v>
      </c>
      <c r="S3242" s="25" t="s">
        <v>451</v>
      </c>
      <c r="T3242" s="25" t="s">
        <v>11</v>
      </c>
      <c r="U3242" s="25" t="s">
        <v>408</v>
      </c>
    </row>
    <row r="3243" spans="1:21" x14ac:dyDescent="0.25">
      <c r="A3243" s="26">
        <v>26234107</v>
      </c>
      <c r="B3243" s="25" t="s">
        <v>342</v>
      </c>
      <c r="C3243" s="25" t="s">
        <v>13</v>
      </c>
      <c r="D3243" s="25" t="s">
        <v>12</v>
      </c>
      <c r="E3243" s="25" t="s">
        <v>638</v>
      </c>
      <c r="F3243" s="25" t="s">
        <v>577</v>
      </c>
      <c r="G3243" s="25" t="s">
        <v>369</v>
      </c>
      <c r="H3243" s="25" t="s">
        <v>727</v>
      </c>
      <c r="I3243" s="25" t="s">
        <v>728</v>
      </c>
      <c r="J3243" s="25" t="s">
        <v>729</v>
      </c>
      <c r="K3243" s="25" t="s">
        <v>450</v>
      </c>
      <c r="L3243" s="25" t="s">
        <v>367</v>
      </c>
      <c r="M3243" s="25" t="s">
        <v>408</v>
      </c>
      <c r="N3243" s="25" t="s">
        <v>11</v>
      </c>
      <c r="O3243" s="25" t="s">
        <v>11</v>
      </c>
      <c r="P3243" s="25" t="s">
        <v>0</v>
      </c>
      <c r="Q3243" s="25" t="s">
        <v>408</v>
      </c>
      <c r="R3243" s="25" t="s">
        <v>439</v>
      </c>
      <c r="S3243" s="25" t="s">
        <v>451</v>
      </c>
      <c r="T3243" s="25" t="s">
        <v>11</v>
      </c>
      <c r="U3243" s="25" t="s">
        <v>408</v>
      </c>
    </row>
    <row r="3244" spans="1:21" x14ac:dyDescent="0.25">
      <c r="A3244" s="26">
        <v>26234108</v>
      </c>
      <c r="B3244" s="25" t="s">
        <v>340</v>
      </c>
      <c r="C3244" s="25" t="s">
        <v>15</v>
      </c>
      <c r="D3244" s="25" t="s">
        <v>12</v>
      </c>
      <c r="E3244" s="25" t="s">
        <v>638</v>
      </c>
      <c r="F3244" s="25" t="s">
        <v>577</v>
      </c>
      <c r="G3244" s="25" t="s">
        <v>369</v>
      </c>
      <c r="H3244" s="25" t="s">
        <v>727</v>
      </c>
      <c r="I3244" s="25" t="s">
        <v>728</v>
      </c>
      <c r="J3244" s="25" t="s">
        <v>729</v>
      </c>
      <c r="K3244" s="25" t="s">
        <v>450</v>
      </c>
      <c r="L3244" s="25" t="s">
        <v>367</v>
      </c>
      <c r="M3244" s="25" t="s">
        <v>408</v>
      </c>
      <c r="N3244" s="25" t="s">
        <v>11</v>
      </c>
      <c r="O3244" s="25" t="s">
        <v>11</v>
      </c>
      <c r="P3244" s="25" t="s">
        <v>0</v>
      </c>
      <c r="Q3244" s="25" t="s">
        <v>408</v>
      </c>
      <c r="R3244" s="25" t="s">
        <v>439</v>
      </c>
      <c r="S3244" s="25" t="s">
        <v>451</v>
      </c>
      <c r="T3244" s="25" t="s">
        <v>11</v>
      </c>
      <c r="U3244" s="25" t="s">
        <v>408</v>
      </c>
    </row>
    <row r="3245" spans="1:21" x14ac:dyDescent="0.25">
      <c r="A3245" s="26">
        <v>26234109</v>
      </c>
      <c r="B3245" s="25" t="s">
        <v>340</v>
      </c>
      <c r="C3245" s="25" t="s">
        <v>15</v>
      </c>
      <c r="D3245" s="25" t="s">
        <v>12</v>
      </c>
      <c r="E3245" s="25" t="s">
        <v>638</v>
      </c>
      <c r="F3245" s="25" t="s">
        <v>577</v>
      </c>
      <c r="G3245" s="25" t="s">
        <v>369</v>
      </c>
      <c r="H3245" s="25" t="s">
        <v>727</v>
      </c>
      <c r="I3245" s="25" t="s">
        <v>728</v>
      </c>
      <c r="J3245" s="25" t="s">
        <v>729</v>
      </c>
      <c r="K3245" s="25" t="s">
        <v>450</v>
      </c>
      <c r="L3245" s="25" t="s">
        <v>367</v>
      </c>
      <c r="M3245" s="25" t="s">
        <v>408</v>
      </c>
      <c r="N3245" s="25" t="s">
        <v>11</v>
      </c>
      <c r="O3245" s="25" t="s">
        <v>11</v>
      </c>
      <c r="P3245" s="25" t="s">
        <v>0</v>
      </c>
      <c r="Q3245" s="25" t="s">
        <v>408</v>
      </c>
      <c r="R3245" s="25" t="s">
        <v>439</v>
      </c>
      <c r="S3245" s="25" t="s">
        <v>451</v>
      </c>
      <c r="T3245" s="25" t="s">
        <v>11</v>
      </c>
      <c r="U3245" s="25" t="s">
        <v>408</v>
      </c>
    </row>
    <row r="3246" spans="1:21" x14ac:dyDescent="0.25">
      <c r="A3246" s="26">
        <v>26234110</v>
      </c>
      <c r="B3246" s="25" t="s">
        <v>342</v>
      </c>
      <c r="C3246" s="25" t="s">
        <v>13</v>
      </c>
      <c r="D3246" s="25" t="s">
        <v>12</v>
      </c>
      <c r="E3246" s="25" t="s">
        <v>638</v>
      </c>
      <c r="F3246" s="25" t="s">
        <v>577</v>
      </c>
      <c r="G3246" s="25" t="s">
        <v>369</v>
      </c>
      <c r="H3246" s="25" t="s">
        <v>727</v>
      </c>
      <c r="I3246" s="25" t="s">
        <v>728</v>
      </c>
      <c r="J3246" s="25" t="s">
        <v>729</v>
      </c>
      <c r="K3246" s="25" t="s">
        <v>450</v>
      </c>
      <c r="L3246" s="25" t="s">
        <v>367</v>
      </c>
      <c r="M3246" s="25" t="s">
        <v>408</v>
      </c>
      <c r="N3246" s="25" t="s">
        <v>11</v>
      </c>
      <c r="O3246" s="25" t="s">
        <v>11</v>
      </c>
      <c r="P3246" s="25" t="s">
        <v>0</v>
      </c>
      <c r="Q3246" s="25" t="s">
        <v>408</v>
      </c>
      <c r="R3246" s="25" t="s">
        <v>439</v>
      </c>
      <c r="S3246" s="25" t="s">
        <v>451</v>
      </c>
      <c r="T3246" s="25" t="s">
        <v>11</v>
      </c>
      <c r="U3246" s="25" t="s">
        <v>408</v>
      </c>
    </row>
    <row r="3247" spans="1:21" x14ac:dyDescent="0.25">
      <c r="A3247" s="26">
        <v>26234111</v>
      </c>
      <c r="B3247" s="25" t="s">
        <v>342</v>
      </c>
      <c r="C3247" s="25" t="s">
        <v>13</v>
      </c>
      <c r="D3247" s="25" t="s">
        <v>109</v>
      </c>
      <c r="E3247" s="25" t="s">
        <v>638</v>
      </c>
      <c r="F3247" s="25" t="s">
        <v>577</v>
      </c>
      <c r="G3247" s="25" t="s">
        <v>369</v>
      </c>
      <c r="H3247" s="25" t="s">
        <v>727</v>
      </c>
      <c r="I3247" s="25" t="s">
        <v>728</v>
      </c>
      <c r="J3247" s="25" t="s">
        <v>729</v>
      </c>
      <c r="K3247" s="25" t="s">
        <v>450</v>
      </c>
      <c r="L3247" s="25" t="s">
        <v>367</v>
      </c>
      <c r="M3247" s="25" t="s">
        <v>408</v>
      </c>
      <c r="N3247" s="25" t="s">
        <v>11</v>
      </c>
      <c r="O3247" s="25" t="s">
        <v>11</v>
      </c>
      <c r="P3247" s="25" t="s">
        <v>0</v>
      </c>
      <c r="Q3247" s="25" t="s">
        <v>408</v>
      </c>
      <c r="R3247" s="25" t="s">
        <v>439</v>
      </c>
      <c r="S3247" s="25" t="s">
        <v>451</v>
      </c>
      <c r="T3247" s="25" t="s">
        <v>11</v>
      </c>
      <c r="U3247" s="25" t="s">
        <v>408</v>
      </c>
    </row>
    <row r="3248" spans="1:21" x14ac:dyDescent="0.25">
      <c r="A3248" s="26">
        <v>26234112</v>
      </c>
      <c r="B3248" s="25" t="s">
        <v>342</v>
      </c>
      <c r="C3248" s="25" t="s">
        <v>13</v>
      </c>
      <c r="D3248" s="25" t="s">
        <v>12</v>
      </c>
      <c r="E3248" s="25" t="s">
        <v>638</v>
      </c>
      <c r="F3248" s="25" t="s">
        <v>577</v>
      </c>
      <c r="G3248" s="25" t="s">
        <v>369</v>
      </c>
      <c r="H3248" s="25" t="s">
        <v>727</v>
      </c>
      <c r="I3248" s="25" t="s">
        <v>728</v>
      </c>
      <c r="J3248" s="25" t="s">
        <v>729</v>
      </c>
      <c r="K3248" s="25" t="s">
        <v>450</v>
      </c>
      <c r="L3248" s="25" t="s">
        <v>367</v>
      </c>
      <c r="M3248" s="25" t="s">
        <v>408</v>
      </c>
      <c r="N3248" s="25" t="s">
        <v>11</v>
      </c>
      <c r="O3248" s="25" t="s">
        <v>11</v>
      </c>
      <c r="P3248" s="25" t="s">
        <v>0</v>
      </c>
      <c r="Q3248" s="25" t="s">
        <v>408</v>
      </c>
      <c r="R3248" s="25" t="s">
        <v>439</v>
      </c>
      <c r="S3248" s="25" t="s">
        <v>451</v>
      </c>
      <c r="T3248" s="25" t="s">
        <v>11</v>
      </c>
      <c r="U3248" s="25" t="s">
        <v>408</v>
      </c>
    </row>
    <row r="3249" spans="1:21" x14ac:dyDescent="0.25">
      <c r="A3249" s="26">
        <v>26234113</v>
      </c>
      <c r="B3249" s="25" t="s">
        <v>342</v>
      </c>
      <c r="C3249" s="25" t="s">
        <v>13</v>
      </c>
      <c r="D3249" s="25" t="s">
        <v>12</v>
      </c>
      <c r="E3249" s="25" t="s">
        <v>638</v>
      </c>
      <c r="F3249" s="25" t="s">
        <v>577</v>
      </c>
      <c r="G3249" s="25" t="s">
        <v>369</v>
      </c>
      <c r="H3249" s="25" t="s">
        <v>727</v>
      </c>
      <c r="I3249" s="25" t="s">
        <v>728</v>
      </c>
      <c r="J3249" s="25" t="s">
        <v>729</v>
      </c>
      <c r="K3249" s="25" t="s">
        <v>450</v>
      </c>
      <c r="L3249" s="25" t="s">
        <v>367</v>
      </c>
      <c r="M3249" s="25" t="s">
        <v>408</v>
      </c>
      <c r="N3249" s="25" t="s">
        <v>11</v>
      </c>
      <c r="O3249" s="25" t="s">
        <v>11</v>
      </c>
      <c r="P3249" s="25" t="s">
        <v>0</v>
      </c>
      <c r="Q3249" s="25" t="s">
        <v>408</v>
      </c>
      <c r="R3249" s="25" t="s">
        <v>439</v>
      </c>
      <c r="S3249" s="25" t="s">
        <v>451</v>
      </c>
      <c r="T3249" s="25" t="s">
        <v>11</v>
      </c>
      <c r="U3249" s="25" t="s">
        <v>408</v>
      </c>
    </row>
    <row r="3250" spans="1:21" x14ac:dyDescent="0.25">
      <c r="A3250" s="26">
        <v>26234114</v>
      </c>
      <c r="B3250" s="25" t="s">
        <v>340</v>
      </c>
      <c r="C3250" s="25" t="s">
        <v>15</v>
      </c>
      <c r="D3250" s="25" t="s">
        <v>12</v>
      </c>
      <c r="E3250" s="25" t="s">
        <v>638</v>
      </c>
      <c r="F3250" s="25" t="s">
        <v>577</v>
      </c>
      <c r="G3250" s="25" t="s">
        <v>369</v>
      </c>
      <c r="H3250" s="25" t="s">
        <v>727</v>
      </c>
      <c r="I3250" s="25" t="s">
        <v>728</v>
      </c>
      <c r="J3250" s="25" t="s">
        <v>729</v>
      </c>
      <c r="K3250" s="25" t="s">
        <v>450</v>
      </c>
      <c r="L3250" s="25" t="s">
        <v>367</v>
      </c>
      <c r="M3250" s="25" t="s">
        <v>408</v>
      </c>
      <c r="N3250" s="25" t="s">
        <v>11</v>
      </c>
      <c r="O3250" s="25" t="s">
        <v>11</v>
      </c>
      <c r="P3250" s="25" t="s">
        <v>0</v>
      </c>
      <c r="Q3250" s="25" t="s">
        <v>408</v>
      </c>
      <c r="R3250" s="25" t="s">
        <v>439</v>
      </c>
      <c r="S3250" s="25" t="s">
        <v>451</v>
      </c>
      <c r="T3250" s="25" t="s">
        <v>11</v>
      </c>
      <c r="U3250" s="25" t="s">
        <v>408</v>
      </c>
    </row>
    <row r="3251" spans="1:21" x14ac:dyDescent="0.25">
      <c r="A3251" s="26">
        <v>26234116</v>
      </c>
      <c r="B3251" s="25" t="s">
        <v>342</v>
      </c>
      <c r="C3251" s="25" t="s">
        <v>13</v>
      </c>
      <c r="D3251" s="25" t="s">
        <v>12</v>
      </c>
      <c r="E3251" s="25" t="s">
        <v>638</v>
      </c>
      <c r="F3251" s="25" t="s">
        <v>577</v>
      </c>
      <c r="G3251" s="25" t="s">
        <v>369</v>
      </c>
      <c r="H3251" s="25" t="s">
        <v>727</v>
      </c>
      <c r="I3251" s="25" t="s">
        <v>728</v>
      </c>
      <c r="J3251" s="25" t="s">
        <v>729</v>
      </c>
      <c r="K3251" s="25" t="s">
        <v>450</v>
      </c>
      <c r="L3251" s="25" t="s">
        <v>367</v>
      </c>
      <c r="M3251" s="25" t="s">
        <v>408</v>
      </c>
      <c r="N3251" s="25" t="s">
        <v>11</v>
      </c>
      <c r="O3251" s="25" t="s">
        <v>11</v>
      </c>
      <c r="P3251" s="25" t="s">
        <v>0</v>
      </c>
      <c r="Q3251" s="25" t="s">
        <v>408</v>
      </c>
      <c r="R3251" s="25" t="s">
        <v>439</v>
      </c>
      <c r="S3251" s="25" t="s">
        <v>451</v>
      </c>
      <c r="T3251" s="25" t="s">
        <v>11</v>
      </c>
      <c r="U3251" s="25" t="s">
        <v>408</v>
      </c>
    </row>
    <row r="3252" spans="1:21" x14ac:dyDescent="0.25">
      <c r="A3252" s="26">
        <v>26234117</v>
      </c>
      <c r="B3252" s="25" t="s">
        <v>340</v>
      </c>
      <c r="C3252" s="25" t="s">
        <v>15</v>
      </c>
      <c r="D3252" s="25" t="s">
        <v>12</v>
      </c>
      <c r="E3252" s="25" t="s">
        <v>638</v>
      </c>
      <c r="F3252" s="25" t="s">
        <v>577</v>
      </c>
      <c r="G3252" s="25" t="s">
        <v>369</v>
      </c>
      <c r="H3252" s="25" t="s">
        <v>727</v>
      </c>
      <c r="I3252" s="25" t="s">
        <v>728</v>
      </c>
      <c r="J3252" s="25" t="s">
        <v>729</v>
      </c>
      <c r="K3252" s="25" t="s">
        <v>450</v>
      </c>
      <c r="L3252" s="25" t="s">
        <v>367</v>
      </c>
      <c r="M3252" s="25" t="s">
        <v>408</v>
      </c>
      <c r="N3252" s="25" t="s">
        <v>11</v>
      </c>
      <c r="O3252" s="25" t="s">
        <v>11</v>
      </c>
      <c r="P3252" s="25" t="s">
        <v>0</v>
      </c>
      <c r="Q3252" s="25" t="s">
        <v>408</v>
      </c>
      <c r="R3252" s="25" t="s">
        <v>439</v>
      </c>
      <c r="S3252" s="25" t="s">
        <v>451</v>
      </c>
      <c r="T3252" s="25" t="s">
        <v>11</v>
      </c>
      <c r="U3252" s="25" t="s">
        <v>408</v>
      </c>
    </row>
    <row r="3253" spans="1:21" x14ac:dyDescent="0.25">
      <c r="A3253" s="26">
        <v>26234118</v>
      </c>
      <c r="B3253" s="25" t="s">
        <v>342</v>
      </c>
      <c r="C3253" s="25" t="s">
        <v>13</v>
      </c>
      <c r="D3253" s="25" t="s">
        <v>12</v>
      </c>
      <c r="E3253" s="25" t="s">
        <v>638</v>
      </c>
      <c r="F3253" s="25" t="s">
        <v>577</v>
      </c>
      <c r="G3253" s="25" t="s">
        <v>369</v>
      </c>
      <c r="H3253" s="25" t="s">
        <v>727</v>
      </c>
      <c r="I3253" s="25" t="s">
        <v>728</v>
      </c>
      <c r="J3253" s="25" t="s">
        <v>729</v>
      </c>
      <c r="K3253" s="25" t="s">
        <v>450</v>
      </c>
      <c r="L3253" s="25" t="s">
        <v>367</v>
      </c>
      <c r="M3253" s="25" t="s">
        <v>408</v>
      </c>
      <c r="N3253" s="25" t="s">
        <v>11</v>
      </c>
      <c r="O3253" s="25" t="s">
        <v>11</v>
      </c>
      <c r="P3253" s="25" t="s">
        <v>0</v>
      </c>
      <c r="Q3253" s="25" t="s">
        <v>408</v>
      </c>
      <c r="R3253" s="25" t="s">
        <v>439</v>
      </c>
      <c r="S3253" s="25" t="s">
        <v>451</v>
      </c>
      <c r="T3253" s="25" t="s">
        <v>11</v>
      </c>
      <c r="U3253" s="25" t="s">
        <v>408</v>
      </c>
    </row>
    <row r="3254" spans="1:21" x14ac:dyDescent="0.25">
      <c r="A3254" s="26">
        <v>26234119</v>
      </c>
      <c r="B3254" s="25" t="s">
        <v>340</v>
      </c>
      <c r="C3254" s="25" t="s">
        <v>15</v>
      </c>
      <c r="D3254" s="25" t="s">
        <v>12</v>
      </c>
      <c r="E3254" s="25" t="s">
        <v>638</v>
      </c>
      <c r="F3254" s="25" t="s">
        <v>577</v>
      </c>
      <c r="G3254" s="25" t="s">
        <v>369</v>
      </c>
      <c r="H3254" s="25" t="s">
        <v>727</v>
      </c>
      <c r="I3254" s="25" t="s">
        <v>728</v>
      </c>
      <c r="J3254" s="25" t="s">
        <v>729</v>
      </c>
      <c r="K3254" s="25" t="s">
        <v>450</v>
      </c>
      <c r="L3254" s="25" t="s">
        <v>367</v>
      </c>
      <c r="M3254" s="25" t="s">
        <v>408</v>
      </c>
      <c r="N3254" s="25" t="s">
        <v>11</v>
      </c>
      <c r="O3254" s="25" t="s">
        <v>11</v>
      </c>
      <c r="P3254" s="25" t="s">
        <v>0</v>
      </c>
      <c r="Q3254" s="25" t="s">
        <v>408</v>
      </c>
      <c r="R3254" s="25" t="s">
        <v>439</v>
      </c>
      <c r="S3254" s="25" t="s">
        <v>451</v>
      </c>
      <c r="T3254" s="25" t="s">
        <v>11</v>
      </c>
      <c r="U3254" s="25" t="s">
        <v>408</v>
      </c>
    </row>
    <row r="3255" spans="1:21" x14ac:dyDescent="0.25">
      <c r="A3255" s="26">
        <v>26234120</v>
      </c>
      <c r="B3255" s="25" t="s">
        <v>340</v>
      </c>
      <c r="C3255" s="25" t="s">
        <v>15</v>
      </c>
      <c r="D3255" s="25" t="s">
        <v>18</v>
      </c>
      <c r="E3255" s="25" t="s">
        <v>638</v>
      </c>
      <c r="F3255" s="25" t="s">
        <v>577</v>
      </c>
      <c r="G3255" s="25" t="s">
        <v>369</v>
      </c>
      <c r="H3255" s="25" t="s">
        <v>727</v>
      </c>
      <c r="I3255" s="25" t="s">
        <v>728</v>
      </c>
      <c r="J3255" s="25" t="s">
        <v>729</v>
      </c>
      <c r="K3255" s="25" t="s">
        <v>450</v>
      </c>
      <c r="L3255" s="25" t="s">
        <v>367</v>
      </c>
      <c r="M3255" s="25" t="s">
        <v>408</v>
      </c>
      <c r="N3255" s="25" t="s">
        <v>11</v>
      </c>
      <c r="O3255" s="25" t="s">
        <v>11</v>
      </c>
      <c r="P3255" s="25" t="s">
        <v>0</v>
      </c>
      <c r="Q3255" s="25" t="s">
        <v>408</v>
      </c>
      <c r="R3255" s="25" t="s">
        <v>439</v>
      </c>
      <c r="S3255" s="25" t="s">
        <v>451</v>
      </c>
      <c r="T3255" s="25" t="s">
        <v>11</v>
      </c>
      <c r="U3255" s="25" t="s">
        <v>408</v>
      </c>
    </row>
    <row r="3256" spans="1:21" x14ac:dyDescent="0.25">
      <c r="A3256" s="26">
        <v>26234121</v>
      </c>
      <c r="B3256" s="25" t="s">
        <v>342</v>
      </c>
      <c r="C3256" s="25" t="s">
        <v>13</v>
      </c>
      <c r="D3256" s="25" t="s">
        <v>18</v>
      </c>
      <c r="E3256" s="25" t="s">
        <v>638</v>
      </c>
      <c r="F3256" s="25" t="s">
        <v>577</v>
      </c>
      <c r="G3256" s="25" t="s">
        <v>369</v>
      </c>
      <c r="H3256" s="25" t="s">
        <v>727</v>
      </c>
      <c r="I3256" s="25" t="s">
        <v>728</v>
      </c>
      <c r="J3256" s="25" t="s">
        <v>729</v>
      </c>
      <c r="K3256" s="25" t="s">
        <v>450</v>
      </c>
      <c r="L3256" s="25" t="s">
        <v>367</v>
      </c>
      <c r="M3256" s="25" t="s">
        <v>408</v>
      </c>
      <c r="N3256" s="25" t="s">
        <v>11</v>
      </c>
      <c r="O3256" s="25" t="s">
        <v>11</v>
      </c>
      <c r="P3256" s="25" t="s">
        <v>0</v>
      </c>
      <c r="Q3256" s="25" t="s">
        <v>408</v>
      </c>
      <c r="R3256" s="25" t="s">
        <v>439</v>
      </c>
      <c r="S3256" s="25" t="s">
        <v>451</v>
      </c>
      <c r="T3256" s="25" t="s">
        <v>11</v>
      </c>
      <c r="U3256" s="25" t="s">
        <v>408</v>
      </c>
    </row>
    <row r="3257" spans="1:21" x14ac:dyDescent="0.25">
      <c r="A3257" s="26">
        <v>26234122</v>
      </c>
      <c r="B3257" s="25" t="s">
        <v>340</v>
      </c>
      <c r="C3257" s="25" t="s">
        <v>15</v>
      </c>
      <c r="D3257" s="25" t="s">
        <v>18</v>
      </c>
      <c r="E3257" s="25" t="s">
        <v>638</v>
      </c>
      <c r="F3257" s="25" t="s">
        <v>577</v>
      </c>
      <c r="G3257" s="25" t="s">
        <v>369</v>
      </c>
      <c r="H3257" s="25" t="s">
        <v>727</v>
      </c>
      <c r="I3257" s="25" t="s">
        <v>728</v>
      </c>
      <c r="J3257" s="25" t="s">
        <v>729</v>
      </c>
      <c r="K3257" s="25" t="s">
        <v>450</v>
      </c>
      <c r="L3257" s="25" t="s">
        <v>367</v>
      </c>
      <c r="M3257" s="25" t="s">
        <v>408</v>
      </c>
      <c r="N3257" s="25" t="s">
        <v>11</v>
      </c>
      <c r="O3257" s="25" t="s">
        <v>11</v>
      </c>
      <c r="P3257" s="25" t="s">
        <v>0</v>
      </c>
      <c r="Q3257" s="25" t="s">
        <v>408</v>
      </c>
      <c r="R3257" s="25" t="s">
        <v>439</v>
      </c>
      <c r="S3257" s="25" t="s">
        <v>451</v>
      </c>
      <c r="T3257" s="25" t="s">
        <v>11</v>
      </c>
      <c r="U3257" s="25" t="s">
        <v>408</v>
      </c>
    </row>
    <row r="3258" spans="1:21" x14ac:dyDescent="0.25">
      <c r="A3258" s="26">
        <v>26234123</v>
      </c>
      <c r="B3258" s="25" t="s">
        <v>342</v>
      </c>
      <c r="C3258" s="25" t="s">
        <v>13</v>
      </c>
      <c r="D3258" s="25" t="s">
        <v>12</v>
      </c>
      <c r="E3258" s="25" t="s">
        <v>638</v>
      </c>
      <c r="F3258" s="25" t="s">
        <v>577</v>
      </c>
      <c r="G3258" s="25" t="s">
        <v>369</v>
      </c>
      <c r="H3258" s="25" t="s">
        <v>727</v>
      </c>
      <c r="I3258" s="25" t="s">
        <v>728</v>
      </c>
      <c r="J3258" s="25" t="s">
        <v>729</v>
      </c>
      <c r="K3258" s="25" t="s">
        <v>450</v>
      </c>
      <c r="L3258" s="25" t="s">
        <v>367</v>
      </c>
      <c r="M3258" s="25" t="s">
        <v>408</v>
      </c>
      <c r="N3258" s="25" t="s">
        <v>11</v>
      </c>
      <c r="O3258" s="25" t="s">
        <v>11</v>
      </c>
      <c r="P3258" s="25" t="s">
        <v>0</v>
      </c>
      <c r="Q3258" s="25" t="s">
        <v>408</v>
      </c>
      <c r="R3258" s="25" t="s">
        <v>439</v>
      </c>
      <c r="S3258" s="25" t="s">
        <v>451</v>
      </c>
      <c r="T3258" s="25" t="s">
        <v>11</v>
      </c>
      <c r="U3258" s="25" t="s">
        <v>408</v>
      </c>
    </row>
    <row r="3259" spans="1:21" x14ac:dyDescent="0.25">
      <c r="A3259" s="26">
        <v>26234124</v>
      </c>
      <c r="B3259" s="25" t="s">
        <v>342</v>
      </c>
      <c r="C3259" s="25" t="s">
        <v>13</v>
      </c>
      <c r="D3259" s="25" t="s">
        <v>12</v>
      </c>
      <c r="E3259" s="25" t="s">
        <v>638</v>
      </c>
      <c r="F3259" s="25" t="s">
        <v>577</v>
      </c>
      <c r="G3259" s="25" t="s">
        <v>369</v>
      </c>
      <c r="H3259" s="25" t="s">
        <v>727</v>
      </c>
      <c r="I3259" s="25" t="s">
        <v>728</v>
      </c>
      <c r="J3259" s="25" t="s">
        <v>729</v>
      </c>
      <c r="K3259" s="25" t="s">
        <v>450</v>
      </c>
      <c r="L3259" s="25" t="s">
        <v>367</v>
      </c>
      <c r="M3259" s="25" t="s">
        <v>408</v>
      </c>
      <c r="N3259" s="25" t="s">
        <v>11</v>
      </c>
      <c r="O3259" s="25" t="s">
        <v>11</v>
      </c>
      <c r="P3259" s="25" t="s">
        <v>0</v>
      </c>
      <c r="Q3259" s="25" t="s">
        <v>408</v>
      </c>
      <c r="R3259" s="25" t="s">
        <v>439</v>
      </c>
      <c r="S3259" s="25" t="s">
        <v>451</v>
      </c>
      <c r="T3259" s="25" t="s">
        <v>11</v>
      </c>
      <c r="U3259" s="25" t="s">
        <v>408</v>
      </c>
    </row>
    <row r="3260" spans="1:21" x14ac:dyDescent="0.25">
      <c r="A3260" s="26">
        <v>26234125</v>
      </c>
      <c r="B3260" s="25" t="s">
        <v>340</v>
      </c>
      <c r="C3260" s="25" t="s">
        <v>15</v>
      </c>
      <c r="D3260" s="25" t="s">
        <v>12</v>
      </c>
      <c r="E3260" s="25" t="s">
        <v>638</v>
      </c>
      <c r="F3260" s="25" t="s">
        <v>577</v>
      </c>
      <c r="G3260" s="25" t="s">
        <v>369</v>
      </c>
      <c r="H3260" s="25" t="s">
        <v>727</v>
      </c>
      <c r="I3260" s="25" t="s">
        <v>728</v>
      </c>
      <c r="J3260" s="25" t="s">
        <v>729</v>
      </c>
      <c r="K3260" s="25" t="s">
        <v>450</v>
      </c>
      <c r="L3260" s="25" t="s">
        <v>367</v>
      </c>
      <c r="M3260" s="25" t="s">
        <v>408</v>
      </c>
      <c r="N3260" s="25" t="s">
        <v>11</v>
      </c>
      <c r="O3260" s="25" t="s">
        <v>11</v>
      </c>
      <c r="P3260" s="25" t="s">
        <v>0</v>
      </c>
      <c r="Q3260" s="25" t="s">
        <v>408</v>
      </c>
      <c r="R3260" s="25" t="s">
        <v>439</v>
      </c>
      <c r="S3260" s="25" t="s">
        <v>451</v>
      </c>
      <c r="T3260" s="25" t="s">
        <v>11</v>
      </c>
      <c r="U3260" s="25" t="s">
        <v>408</v>
      </c>
    </row>
    <row r="3261" spans="1:21" x14ac:dyDescent="0.25">
      <c r="A3261" s="26">
        <v>26234126</v>
      </c>
      <c r="B3261" s="25" t="s">
        <v>340</v>
      </c>
      <c r="C3261" s="25" t="s">
        <v>15</v>
      </c>
      <c r="D3261" s="25" t="s">
        <v>12</v>
      </c>
      <c r="E3261" s="25" t="s">
        <v>638</v>
      </c>
      <c r="F3261" s="25" t="s">
        <v>577</v>
      </c>
      <c r="G3261" s="25" t="s">
        <v>369</v>
      </c>
      <c r="H3261" s="25" t="s">
        <v>727</v>
      </c>
      <c r="I3261" s="25" t="s">
        <v>728</v>
      </c>
      <c r="J3261" s="25" t="s">
        <v>729</v>
      </c>
      <c r="K3261" s="25" t="s">
        <v>450</v>
      </c>
      <c r="L3261" s="25" t="s">
        <v>367</v>
      </c>
      <c r="M3261" s="25" t="s">
        <v>408</v>
      </c>
      <c r="N3261" s="25" t="s">
        <v>11</v>
      </c>
      <c r="O3261" s="25" t="s">
        <v>11</v>
      </c>
      <c r="P3261" s="25" t="s">
        <v>0</v>
      </c>
      <c r="Q3261" s="25" t="s">
        <v>408</v>
      </c>
      <c r="R3261" s="25" t="s">
        <v>439</v>
      </c>
      <c r="S3261" s="25" t="s">
        <v>451</v>
      </c>
      <c r="T3261" s="25" t="s">
        <v>11</v>
      </c>
      <c r="U3261" s="25" t="s">
        <v>408</v>
      </c>
    </row>
    <row r="3262" spans="1:21" x14ac:dyDescent="0.25">
      <c r="A3262" s="26">
        <v>26234127</v>
      </c>
      <c r="B3262" s="25" t="s">
        <v>342</v>
      </c>
      <c r="C3262" s="25" t="s">
        <v>13</v>
      </c>
      <c r="D3262" s="25" t="s">
        <v>12</v>
      </c>
      <c r="E3262" s="25" t="s">
        <v>638</v>
      </c>
      <c r="F3262" s="25" t="s">
        <v>577</v>
      </c>
      <c r="G3262" s="25" t="s">
        <v>369</v>
      </c>
      <c r="H3262" s="25" t="s">
        <v>727</v>
      </c>
      <c r="I3262" s="25" t="s">
        <v>728</v>
      </c>
      <c r="J3262" s="25" t="s">
        <v>729</v>
      </c>
      <c r="K3262" s="25" t="s">
        <v>450</v>
      </c>
      <c r="L3262" s="25" t="s">
        <v>367</v>
      </c>
      <c r="M3262" s="25" t="s">
        <v>408</v>
      </c>
      <c r="N3262" s="25" t="s">
        <v>11</v>
      </c>
      <c r="O3262" s="25" t="s">
        <v>11</v>
      </c>
      <c r="P3262" s="25" t="s">
        <v>0</v>
      </c>
      <c r="Q3262" s="25" t="s">
        <v>408</v>
      </c>
      <c r="R3262" s="25" t="s">
        <v>439</v>
      </c>
      <c r="S3262" s="25" t="s">
        <v>451</v>
      </c>
      <c r="T3262" s="25" t="s">
        <v>11</v>
      </c>
      <c r="U3262" s="25" t="s">
        <v>408</v>
      </c>
    </row>
    <row r="3263" spans="1:21" x14ac:dyDescent="0.25">
      <c r="A3263" s="26">
        <v>26234128</v>
      </c>
      <c r="B3263" s="25" t="s">
        <v>342</v>
      </c>
      <c r="C3263" s="25" t="s">
        <v>13</v>
      </c>
      <c r="D3263" s="25" t="s">
        <v>12</v>
      </c>
      <c r="E3263" s="25" t="s">
        <v>638</v>
      </c>
      <c r="F3263" s="25" t="s">
        <v>577</v>
      </c>
      <c r="G3263" s="25" t="s">
        <v>369</v>
      </c>
      <c r="H3263" s="25" t="s">
        <v>727</v>
      </c>
      <c r="I3263" s="25" t="s">
        <v>728</v>
      </c>
      <c r="J3263" s="25" t="s">
        <v>729</v>
      </c>
      <c r="K3263" s="25" t="s">
        <v>450</v>
      </c>
      <c r="L3263" s="25" t="s">
        <v>367</v>
      </c>
      <c r="M3263" s="25" t="s">
        <v>408</v>
      </c>
      <c r="N3263" s="25" t="s">
        <v>11</v>
      </c>
      <c r="O3263" s="25" t="s">
        <v>11</v>
      </c>
      <c r="P3263" s="25" t="s">
        <v>0</v>
      </c>
      <c r="Q3263" s="25" t="s">
        <v>408</v>
      </c>
      <c r="R3263" s="25" t="s">
        <v>439</v>
      </c>
      <c r="S3263" s="25" t="s">
        <v>451</v>
      </c>
      <c r="T3263" s="25" t="s">
        <v>11</v>
      </c>
      <c r="U3263" s="25" t="s">
        <v>408</v>
      </c>
    </row>
    <row r="3264" spans="1:21" x14ac:dyDescent="0.25">
      <c r="A3264" s="26">
        <v>26234129</v>
      </c>
      <c r="B3264" s="25" t="s">
        <v>342</v>
      </c>
      <c r="C3264" s="25" t="s">
        <v>13</v>
      </c>
      <c r="D3264" s="25" t="s">
        <v>12</v>
      </c>
      <c r="E3264" s="25" t="s">
        <v>638</v>
      </c>
      <c r="F3264" s="25" t="s">
        <v>577</v>
      </c>
      <c r="G3264" s="25" t="s">
        <v>369</v>
      </c>
      <c r="H3264" s="25" t="s">
        <v>727</v>
      </c>
      <c r="I3264" s="25" t="s">
        <v>728</v>
      </c>
      <c r="J3264" s="25" t="s">
        <v>729</v>
      </c>
      <c r="K3264" s="25" t="s">
        <v>450</v>
      </c>
      <c r="L3264" s="25" t="s">
        <v>367</v>
      </c>
      <c r="M3264" s="25" t="s">
        <v>408</v>
      </c>
      <c r="N3264" s="25" t="s">
        <v>11</v>
      </c>
      <c r="O3264" s="25" t="s">
        <v>11</v>
      </c>
      <c r="P3264" s="25" t="s">
        <v>0</v>
      </c>
      <c r="Q3264" s="25" t="s">
        <v>408</v>
      </c>
      <c r="R3264" s="25" t="s">
        <v>439</v>
      </c>
      <c r="S3264" s="25" t="s">
        <v>451</v>
      </c>
      <c r="T3264" s="25" t="s">
        <v>11</v>
      </c>
      <c r="U3264" s="25" t="s">
        <v>408</v>
      </c>
    </row>
    <row r="3265" spans="1:21" x14ac:dyDescent="0.25">
      <c r="A3265" s="26">
        <v>26234130</v>
      </c>
      <c r="B3265" s="25" t="s">
        <v>340</v>
      </c>
      <c r="C3265" s="25" t="s">
        <v>15</v>
      </c>
      <c r="D3265" s="25" t="s">
        <v>12</v>
      </c>
      <c r="E3265" s="25" t="s">
        <v>638</v>
      </c>
      <c r="F3265" s="25" t="s">
        <v>577</v>
      </c>
      <c r="G3265" s="25" t="s">
        <v>369</v>
      </c>
      <c r="H3265" s="25" t="s">
        <v>727</v>
      </c>
      <c r="I3265" s="25" t="s">
        <v>728</v>
      </c>
      <c r="J3265" s="25" t="s">
        <v>729</v>
      </c>
      <c r="K3265" s="25" t="s">
        <v>450</v>
      </c>
      <c r="L3265" s="25" t="s">
        <v>367</v>
      </c>
      <c r="M3265" s="25" t="s">
        <v>408</v>
      </c>
      <c r="N3265" s="25" t="s">
        <v>11</v>
      </c>
      <c r="O3265" s="25" t="s">
        <v>11</v>
      </c>
      <c r="P3265" s="25" t="s">
        <v>0</v>
      </c>
      <c r="Q3265" s="25" t="s">
        <v>408</v>
      </c>
      <c r="R3265" s="25" t="s">
        <v>439</v>
      </c>
      <c r="S3265" s="25" t="s">
        <v>451</v>
      </c>
      <c r="T3265" s="25" t="s">
        <v>11</v>
      </c>
      <c r="U3265" s="25" t="s">
        <v>408</v>
      </c>
    </row>
    <row r="3266" spans="1:21" x14ac:dyDescent="0.25">
      <c r="A3266" s="26">
        <v>26234131</v>
      </c>
      <c r="B3266" s="25" t="s">
        <v>342</v>
      </c>
      <c r="C3266" s="25" t="s">
        <v>13</v>
      </c>
      <c r="D3266" s="25" t="s">
        <v>12</v>
      </c>
      <c r="E3266" s="25" t="s">
        <v>638</v>
      </c>
      <c r="F3266" s="25" t="s">
        <v>577</v>
      </c>
      <c r="G3266" s="25" t="s">
        <v>369</v>
      </c>
      <c r="H3266" s="25" t="s">
        <v>727</v>
      </c>
      <c r="I3266" s="25" t="s">
        <v>728</v>
      </c>
      <c r="J3266" s="25" t="s">
        <v>729</v>
      </c>
      <c r="K3266" s="25" t="s">
        <v>450</v>
      </c>
      <c r="L3266" s="25" t="s">
        <v>367</v>
      </c>
      <c r="M3266" s="25" t="s">
        <v>408</v>
      </c>
      <c r="N3266" s="25" t="s">
        <v>11</v>
      </c>
      <c r="O3266" s="25" t="s">
        <v>11</v>
      </c>
      <c r="P3266" s="25" t="s">
        <v>0</v>
      </c>
      <c r="Q3266" s="25" t="s">
        <v>408</v>
      </c>
      <c r="R3266" s="25" t="s">
        <v>439</v>
      </c>
      <c r="S3266" s="25" t="s">
        <v>451</v>
      </c>
      <c r="T3266" s="25" t="s">
        <v>11</v>
      </c>
      <c r="U3266" s="25" t="s">
        <v>408</v>
      </c>
    </row>
    <row r="3267" spans="1:21" x14ac:dyDescent="0.25">
      <c r="A3267" s="26">
        <v>26234132</v>
      </c>
      <c r="B3267" s="25" t="s">
        <v>342</v>
      </c>
      <c r="C3267" s="25" t="s">
        <v>13</v>
      </c>
      <c r="D3267" s="25" t="s">
        <v>12</v>
      </c>
      <c r="E3267" s="25" t="s">
        <v>638</v>
      </c>
      <c r="F3267" s="25" t="s">
        <v>577</v>
      </c>
      <c r="G3267" s="25" t="s">
        <v>369</v>
      </c>
      <c r="H3267" s="25" t="s">
        <v>727</v>
      </c>
      <c r="I3267" s="25" t="s">
        <v>728</v>
      </c>
      <c r="J3267" s="25" t="s">
        <v>729</v>
      </c>
      <c r="K3267" s="25" t="s">
        <v>450</v>
      </c>
      <c r="L3267" s="25" t="s">
        <v>367</v>
      </c>
      <c r="M3267" s="25" t="s">
        <v>408</v>
      </c>
      <c r="N3267" s="25" t="s">
        <v>11</v>
      </c>
      <c r="O3267" s="25" t="s">
        <v>11</v>
      </c>
      <c r="P3267" s="25" t="s">
        <v>0</v>
      </c>
      <c r="Q3267" s="25" t="s">
        <v>408</v>
      </c>
      <c r="R3267" s="25" t="s">
        <v>439</v>
      </c>
      <c r="S3267" s="25" t="s">
        <v>451</v>
      </c>
      <c r="T3267" s="25" t="s">
        <v>11</v>
      </c>
      <c r="U3267" s="25" t="s">
        <v>408</v>
      </c>
    </row>
    <row r="3268" spans="1:21" x14ac:dyDescent="0.25">
      <c r="A3268" s="26">
        <v>26234133</v>
      </c>
      <c r="B3268" s="25" t="s">
        <v>342</v>
      </c>
      <c r="C3268" s="25" t="s">
        <v>13</v>
      </c>
      <c r="D3268" s="25" t="s">
        <v>12</v>
      </c>
      <c r="E3268" s="25" t="s">
        <v>638</v>
      </c>
      <c r="F3268" s="25" t="s">
        <v>577</v>
      </c>
      <c r="G3268" s="25" t="s">
        <v>369</v>
      </c>
      <c r="H3268" s="25" t="s">
        <v>727</v>
      </c>
      <c r="I3268" s="25" t="s">
        <v>728</v>
      </c>
      <c r="J3268" s="25" t="s">
        <v>729</v>
      </c>
      <c r="K3268" s="25" t="s">
        <v>450</v>
      </c>
      <c r="L3268" s="25" t="s">
        <v>367</v>
      </c>
      <c r="M3268" s="25" t="s">
        <v>408</v>
      </c>
      <c r="N3268" s="25" t="s">
        <v>11</v>
      </c>
      <c r="O3268" s="25" t="s">
        <v>11</v>
      </c>
      <c r="P3268" s="25" t="s">
        <v>0</v>
      </c>
      <c r="Q3268" s="25" t="s">
        <v>408</v>
      </c>
      <c r="R3268" s="25" t="s">
        <v>439</v>
      </c>
      <c r="S3268" s="25" t="s">
        <v>451</v>
      </c>
      <c r="T3268" s="25" t="s">
        <v>11</v>
      </c>
      <c r="U3268" s="25" t="s">
        <v>408</v>
      </c>
    </row>
    <row r="3269" spans="1:21" x14ac:dyDescent="0.25">
      <c r="A3269" s="26">
        <v>26234134</v>
      </c>
      <c r="B3269" s="25" t="s">
        <v>342</v>
      </c>
      <c r="C3269" s="25" t="s">
        <v>13</v>
      </c>
      <c r="D3269" s="25" t="s">
        <v>12</v>
      </c>
      <c r="E3269" s="25" t="s">
        <v>638</v>
      </c>
      <c r="F3269" s="25" t="s">
        <v>577</v>
      </c>
      <c r="G3269" s="25" t="s">
        <v>369</v>
      </c>
      <c r="H3269" s="25" t="s">
        <v>727</v>
      </c>
      <c r="I3269" s="25" t="s">
        <v>728</v>
      </c>
      <c r="J3269" s="25" t="s">
        <v>729</v>
      </c>
      <c r="K3269" s="25" t="s">
        <v>450</v>
      </c>
      <c r="L3269" s="25" t="s">
        <v>367</v>
      </c>
      <c r="M3269" s="25" t="s">
        <v>408</v>
      </c>
      <c r="N3269" s="25" t="s">
        <v>11</v>
      </c>
      <c r="O3269" s="25" t="s">
        <v>11</v>
      </c>
      <c r="P3269" s="25" t="s">
        <v>0</v>
      </c>
      <c r="Q3269" s="25" t="s">
        <v>408</v>
      </c>
      <c r="R3269" s="25" t="s">
        <v>439</v>
      </c>
      <c r="S3269" s="25" t="s">
        <v>451</v>
      </c>
      <c r="T3269" s="25" t="s">
        <v>11</v>
      </c>
      <c r="U3269" s="25" t="s">
        <v>408</v>
      </c>
    </row>
    <row r="3270" spans="1:21" x14ac:dyDescent="0.25">
      <c r="A3270" s="26">
        <v>26234135</v>
      </c>
      <c r="B3270" s="25" t="s">
        <v>342</v>
      </c>
      <c r="C3270" s="25" t="s">
        <v>13</v>
      </c>
      <c r="D3270" s="25" t="s">
        <v>12</v>
      </c>
      <c r="E3270" s="25" t="s">
        <v>638</v>
      </c>
      <c r="F3270" s="25" t="s">
        <v>577</v>
      </c>
      <c r="G3270" s="25" t="s">
        <v>369</v>
      </c>
      <c r="H3270" s="25" t="s">
        <v>727</v>
      </c>
      <c r="I3270" s="25" t="s">
        <v>728</v>
      </c>
      <c r="J3270" s="25" t="s">
        <v>729</v>
      </c>
      <c r="K3270" s="25" t="s">
        <v>450</v>
      </c>
      <c r="L3270" s="25" t="s">
        <v>367</v>
      </c>
      <c r="M3270" s="25" t="s">
        <v>408</v>
      </c>
      <c r="N3270" s="25" t="s">
        <v>11</v>
      </c>
      <c r="O3270" s="25" t="s">
        <v>11</v>
      </c>
      <c r="P3270" s="25" t="s">
        <v>0</v>
      </c>
      <c r="Q3270" s="25" t="s">
        <v>408</v>
      </c>
      <c r="R3270" s="25" t="s">
        <v>439</v>
      </c>
      <c r="S3270" s="25" t="s">
        <v>451</v>
      </c>
      <c r="T3270" s="25" t="s">
        <v>11</v>
      </c>
      <c r="U3270" s="25" t="s">
        <v>408</v>
      </c>
    </row>
    <row r="3271" spans="1:21" x14ac:dyDescent="0.25">
      <c r="A3271" s="26">
        <v>26234136</v>
      </c>
      <c r="B3271" s="25" t="s">
        <v>340</v>
      </c>
      <c r="C3271" s="25" t="s">
        <v>15</v>
      </c>
      <c r="D3271" s="25" t="s">
        <v>12</v>
      </c>
      <c r="E3271" s="25" t="s">
        <v>638</v>
      </c>
      <c r="F3271" s="25" t="s">
        <v>577</v>
      </c>
      <c r="G3271" s="25" t="s">
        <v>369</v>
      </c>
      <c r="H3271" s="25" t="s">
        <v>727</v>
      </c>
      <c r="I3271" s="25" t="s">
        <v>728</v>
      </c>
      <c r="J3271" s="25" t="s">
        <v>729</v>
      </c>
      <c r="K3271" s="25" t="s">
        <v>450</v>
      </c>
      <c r="L3271" s="25" t="s">
        <v>367</v>
      </c>
      <c r="M3271" s="25" t="s">
        <v>408</v>
      </c>
      <c r="N3271" s="25" t="s">
        <v>11</v>
      </c>
      <c r="O3271" s="25" t="s">
        <v>11</v>
      </c>
      <c r="P3271" s="25" t="s">
        <v>0</v>
      </c>
      <c r="Q3271" s="25" t="s">
        <v>408</v>
      </c>
      <c r="R3271" s="25" t="s">
        <v>439</v>
      </c>
      <c r="S3271" s="25" t="s">
        <v>451</v>
      </c>
      <c r="T3271" s="25" t="s">
        <v>11</v>
      </c>
      <c r="U3271" s="25" t="s">
        <v>408</v>
      </c>
    </row>
    <row r="3272" spans="1:21" x14ac:dyDescent="0.25">
      <c r="A3272" s="26">
        <v>26234137</v>
      </c>
      <c r="B3272" s="25" t="s">
        <v>342</v>
      </c>
      <c r="C3272" s="25" t="s">
        <v>13</v>
      </c>
      <c r="D3272" s="25" t="s">
        <v>12</v>
      </c>
      <c r="E3272" s="25" t="s">
        <v>638</v>
      </c>
      <c r="F3272" s="25" t="s">
        <v>577</v>
      </c>
      <c r="G3272" s="25" t="s">
        <v>369</v>
      </c>
      <c r="H3272" s="25" t="s">
        <v>727</v>
      </c>
      <c r="I3272" s="25" t="s">
        <v>728</v>
      </c>
      <c r="J3272" s="25" t="s">
        <v>729</v>
      </c>
      <c r="K3272" s="25" t="s">
        <v>450</v>
      </c>
      <c r="L3272" s="25" t="s">
        <v>367</v>
      </c>
      <c r="M3272" s="25" t="s">
        <v>408</v>
      </c>
      <c r="N3272" s="25" t="s">
        <v>11</v>
      </c>
      <c r="O3272" s="25" t="s">
        <v>11</v>
      </c>
      <c r="P3272" s="25" t="s">
        <v>0</v>
      </c>
      <c r="Q3272" s="25" t="s">
        <v>408</v>
      </c>
      <c r="R3272" s="25" t="s">
        <v>439</v>
      </c>
      <c r="S3272" s="25" t="s">
        <v>451</v>
      </c>
      <c r="T3272" s="25" t="s">
        <v>11</v>
      </c>
      <c r="U3272" s="25" t="s">
        <v>408</v>
      </c>
    </row>
    <row r="3273" spans="1:21" x14ac:dyDescent="0.25">
      <c r="A3273" s="26">
        <v>26234138</v>
      </c>
      <c r="B3273" s="25" t="s">
        <v>342</v>
      </c>
      <c r="C3273" s="25" t="s">
        <v>13</v>
      </c>
      <c r="D3273" s="25" t="s">
        <v>12</v>
      </c>
      <c r="E3273" s="25" t="s">
        <v>638</v>
      </c>
      <c r="F3273" s="25" t="s">
        <v>577</v>
      </c>
      <c r="G3273" s="25" t="s">
        <v>369</v>
      </c>
      <c r="H3273" s="25" t="s">
        <v>727</v>
      </c>
      <c r="I3273" s="25" t="s">
        <v>728</v>
      </c>
      <c r="J3273" s="25" t="s">
        <v>729</v>
      </c>
      <c r="K3273" s="25" t="s">
        <v>450</v>
      </c>
      <c r="L3273" s="25" t="s">
        <v>367</v>
      </c>
      <c r="M3273" s="25" t="s">
        <v>408</v>
      </c>
      <c r="N3273" s="25" t="s">
        <v>11</v>
      </c>
      <c r="O3273" s="25" t="s">
        <v>11</v>
      </c>
      <c r="P3273" s="25" t="s">
        <v>0</v>
      </c>
      <c r="Q3273" s="25" t="s">
        <v>408</v>
      </c>
      <c r="R3273" s="25" t="s">
        <v>439</v>
      </c>
      <c r="S3273" s="25" t="s">
        <v>451</v>
      </c>
      <c r="T3273" s="25" t="s">
        <v>11</v>
      </c>
      <c r="U3273" s="25" t="s">
        <v>408</v>
      </c>
    </row>
    <row r="3274" spans="1:21" x14ac:dyDescent="0.25">
      <c r="A3274" s="26">
        <v>26234139</v>
      </c>
      <c r="B3274" s="25" t="s">
        <v>340</v>
      </c>
      <c r="C3274" s="25" t="s">
        <v>15</v>
      </c>
      <c r="D3274" s="25" t="s">
        <v>12</v>
      </c>
      <c r="E3274" s="25" t="s">
        <v>638</v>
      </c>
      <c r="F3274" s="25" t="s">
        <v>577</v>
      </c>
      <c r="G3274" s="25" t="s">
        <v>369</v>
      </c>
      <c r="H3274" s="25" t="s">
        <v>727</v>
      </c>
      <c r="I3274" s="25" t="s">
        <v>728</v>
      </c>
      <c r="J3274" s="25" t="s">
        <v>729</v>
      </c>
      <c r="K3274" s="25" t="s">
        <v>450</v>
      </c>
      <c r="L3274" s="25" t="s">
        <v>367</v>
      </c>
      <c r="M3274" s="25" t="s">
        <v>408</v>
      </c>
      <c r="N3274" s="25" t="s">
        <v>11</v>
      </c>
      <c r="O3274" s="25" t="s">
        <v>11</v>
      </c>
      <c r="P3274" s="25" t="s">
        <v>0</v>
      </c>
      <c r="Q3274" s="25" t="s">
        <v>408</v>
      </c>
      <c r="R3274" s="25" t="s">
        <v>439</v>
      </c>
      <c r="S3274" s="25" t="s">
        <v>451</v>
      </c>
      <c r="T3274" s="25" t="s">
        <v>11</v>
      </c>
      <c r="U3274" s="25" t="s">
        <v>408</v>
      </c>
    </row>
    <row r="3275" spans="1:21" x14ac:dyDescent="0.25">
      <c r="A3275" s="26">
        <v>26234140</v>
      </c>
      <c r="B3275" s="25" t="s">
        <v>340</v>
      </c>
      <c r="C3275" s="25" t="s">
        <v>15</v>
      </c>
      <c r="D3275" s="25" t="s">
        <v>12</v>
      </c>
      <c r="E3275" s="25" t="s">
        <v>638</v>
      </c>
      <c r="F3275" s="25" t="s">
        <v>577</v>
      </c>
      <c r="G3275" s="25" t="s">
        <v>369</v>
      </c>
      <c r="H3275" s="25" t="s">
        <v>727</v>
      </c>
      <c r="I3275" s="25" t="s">
        <v>728</v>
      </c>
      <c r="J3275" s="25" t="s">
        <v>729</v>
      </c>
      <c r="K3275" s="25" t="s">
        <v>450</v>
      </c>
      <c r="L3275" s="25" t="s">
        <v>367</v>
      </c>
      <c r="M3275" s="25" t="s">
        <v>408</v>
      </c>
      <c r="N3275" s="25" t="s">
        <v>11</v>
      </c>
      <c r="O3275" s="25" t="s">
        <v>11</v>
      </c>
      <c r="P3275" s="25" t="s">
        <v>0</v>
      </c>
      <c r="Q3275" s="25" t="s">
        <v>408</v>
      </c>
      <c r="R3275" s="25" t="s">
        <v>439</v>
      </c>
      <c r="S3275" s="25" t="s">
        <v>451</v>
      </c>
      <c r="T3275" s="25" t="s">
        <v>11</v>
      </c>
      <c r="U3275" s="25" t="s">
        <v>408</v>
      </c>
    </row>
    <row r="3276" spans="1:21" x14ac:dyDescent="0.25">
      <c r="A3276" s="26">
        <v>26234141</v>
      </c>
      <c r="B3276" s="25" t="s">
        <v>342</v>
      </c>
      <c r="C3276" s="25" t="s">
        <v>13</v>
      </c>
      <c r="D3276" s="25" t="s">
        <v>12</v>
      </c>
      <c r="E3276" s="25" t="s">
        <v>638</v>
      </c>
      <c r="F3276" s="25" t="s">
        <v>577</v>
      </c>
      <c r="G3276" s="25" t="s">
        <v>369</v>
      </c>
      <c r="H3276" s="25" t="s">
        <v>727</v>
      </c>
      <c r="I3276" s="25" t="s">
        <v>728</v>
      </c>
      <c r="J3276" s="25" t="s">
        <v>729</v>
      </c>
      <c r="K3276" s="25" t="s">
        <v>450</v>
      </c>
      <c r="L3276" s="25" t="s">
        <v>367</v>
      </c>
      <c r="M3276" s="25" t="s">
        <v>408</v>
      </c>
      <c r="N3276" s="25" t="s">
        <v>11</v>
      </c>
      <c r="O3276" s="25" t="s">
        <v>11</v>
      </c>
      <c r="P3276" s="25" t="s">
        <v>0</v>
      </c>
      <c r="Q3276" s="25" t="s">
        <v>408</v>
      </c>
      <c r="R3276" s="25" t="s">
        <v>439</v>
      </c>
      <c r="S3276" s="25" t="s">
        <v>451</v>
      </c>
      <c r="T3276" s="25" t="s">
        <v>11</v>
      </c>
      <c r="U3276" s="25" t="s">
        <v>408</v>
      </c>
    </row>
    <row r="3277" spans="1:21" x14ac:dyDescent="0.25">
      <c r="A3277" s="26">
        <v>26234142</v>
      </c>
      <c r="B3277" s="25" t="s">
        <v>342</v>
      </c>
      <c r="C3277" s="25" t="s">
        <v>13</v>
      </c>
      <c r="D3277" s="25" t="s">
        <v>18</v>
      </c>
      <c r="E3277" s="25" t="s">
        <v>638</v>
      </c>
      <c r="F3277" s="25" t="s">
        <v>577</v>
      </c>
      <c r="G3277" s="25" t="s">
        <v>369</v>
      </c>
      <c r="H3277" s="25" t="s">
        <v>727</v>
      </c>
      <c r="I3277" s="25" t="s">
        <v>728</v>
      </c>
      <c r="J3277" s="25" t="s">
        <v>729</v>
      </c>
      <c r="K3277" s="25" t="s">
        <v>450</v>
      </c>
      <c r="L3277" s="25" t="s">
        <v>367</v>
      </c>
      <c r="M3277" s="25" t="s">
        <v>408</v>
      </c>
      <c r="N3277" s="25" t="s">
        <v>11</v>
      </c>
      <c r="O3277" s="25" t="s">
        <v>11</v>
      </c>
      <c r="P3277" s="25" t="s">
        <v>0</v>
      </c>
      <c r="Q3277" s="25" t="s">
        <v>408</v>
      </c>
      <c r="R3277" s="25" t="s">
        <v>439</v>
      </c>
      <c r="S3277" s="25" t="s">
        <v>451</v>
      </c>
      <c r="T3277" s="25" t="s">
        <v>11</v>
      </c>
      <c r="U3277" s="25" t="s">
        <v>408</v>
      </c>
    </row>
    <row r="3278" spans="1:21" x14ac:dyDescent="0.25">
      <c r="A3278" s="26">
        <v>26234143</v>
      </c>
      <c r="B3278" s="25" t="s">
        <v>342</v>
      </c>
      <c r="C3278" s="25" t="s">
        <v>13</v>
      </c>
      <c r="D3278" s="25" t="s">
        <v>12</v>
      </c>
      <c r="E3278" s="25" t="s">
        <v>638</v>
      </c>
      <c r="F3278" s="25" t="s">
        <v>577</v>
      </c>
      <c r="G3278" s="25" t="s">
        <v>369</v>
      </c>
      <c r="H3278" s="25" t="s">
        <v>727</v>
      </c>
      <c r="I3278" s="25" t="s">
        <v>728</v>
      </c>
      <c r="J3278" s="25" t="s">
        <v>729</v>
      </c>
      <c r="K3278" s="25" t="s">
        <v>450</v>
      </c>
      <c r="L3278" s="25" t="s">
        <v>367</v>
      </c>
      <c r="M3278" s="25" t="s">
        <v>408</v>
      </c>
      <c r="N3278" s="25" t="s">
        <v>11</v>
      </c>
      <c r="O3278" s="25" t="s">
        <v>11</v>
      </c>
      <c r="P3278" s="25" t="s">
        <v>0</v>
      </c>
      <c r="Q3278" s="25" t="s">
        <v>408</v>
      </c>
      <c r="R3278" s="25" t="s">
        <v>439</v>
      </c>
      <c r="S3278" s="25" t="s">
        <v>451</v>
      </c>
      <c r="T3278" s="25" t="s">
        <v>11</v>
      </c>
      <c r="U3278" s="25" t="s">
        <v>408</v>
      </c>
    </row>
    <row r="3279" spans="1:21" x14ac:dyDescent="0.25">
      <c r="A3279" s="26">
        <v>26234144</v>
      </c>
      <c r="B3279" s="25" t="s">
        <v>340</v>
      </c>
      <c r="C3279" s="25" t="s">
        <v>15</v>
      </c>
      <c r="D3279" s="25" t="s">
        <v>12</v>
      </c>
      <c r="E3279" s="25" t="s">
        <v>638</v>
      </c>
      <c r="F3279" s="25" t="s">
        <v>577</v>
      </c>
      <c r="G3279" s="25" t="s">
        <v>369</v>
      </c>
      <c r="H3279" s="25" t="s">
        <v>727</v>
      </c>
      <c r="I3279" s="25" t="s">
        <v>728</v>
      </c>
      <c r="J3279" s="25" t="s">
        <v>729</v>
      </c>
      <c r="K3279" s="25" t="s">
        <v>450</v>
      </c>
      <c r="L3279" s="25" t="s">
        <v>367</v>
      </c>
      <c r="M3279" s="25" t="s">
        <v>408</v>
      </c>
      <c r="N3279" s="25" t="s">
        <v>11</v>
      </c>
      <c r="O3279" s="25" t="s">
        <v>11</v>
      </c>
      <c r="P3279" s="25" t="s">
        <v>0</v>
      </c>
      <c r="Q3279" s="25" t="s">
        <v>408</v>
      </c>
      <c r="R3279" s="25" t="s">
        <v>439</v>
      </c>
      <c r="S3279" s="25" t="s">
        <v>451</v>
      </c>
      <c r="T3279" s="25" t="s">
        <v>11</v>
      </c>
      <c r="U3279" s="25" t="s">
        <v>408</v>
      </c>
    </row>
    <row r="3280" spans="1:21" x14ac:dyDescent="0.25">
      <c r="A3280" s="26">
        <v>26234145</v>
      </c>
      <c r="B3280" s="25" t="s">
        <v>340</v>
      </c>
      <c r="C3280" s="25" t="s">
        <v>15</v>
      </c>
      <c r="D3280" s="25" t="s">
        <v>18</v>
      </c>
      <c r="E3280" s="25" t="s">
        <v>638</v>
      </c>
      <c r="F3280" s="25" t="s">
        <v>577</v>
      </c>
      <c r="G3280" s="25" t="s">
        <v>369</v>
      </c>
      <c r="H3280" s="25" t="s">
        <v>727</v>
      </c>
      <c r="I3280" s="25" t="s">
        <v>728</v>
      </c>
      <c r="J3280" s="25" t="s">
        <v>729</v>
      </c>
      <c r="K3280" s="25" t="s">
        <v>450</v>
      </c>
      <c r="L3280" s="25" t="s">
        <v>367</v>
      </c>
      <c r="M3280" s="25" t="s">
        <v>408</v>
      </c>
      <c r="N3280" s="25" t="s">
        <v>11</v>
      </c>
      <c r="O3280" s="25" t="s">
        <v>11</v>
      </c>
      <c r="P3280" s="25" t="s">
        <v>0</v>
      </c>
      <c r="Q3280" s="25" t="s">
        <v>408</v>
      </c>
      <c r="R3280" s="25" t="s">
        <v>439</v>
      </c>
      <c r="S3280" s="25" t="s">
        <v>451</v>
      </c>
      <c r="T3280" s="25" t="s">
        <v>11</v>
      </c>
      <c r="U3280" s="25" t="s">
        <v>408</v>
      </c>
    </row>
    <row r="3281" spans="1:21" x14ac:dyDescent="0.25">
      <c r="A3281" s="26">
        <v>26234146</v>
      </c>
      <c r="B3281" s="25" t="s">
        <v>342</v>
      </c>
      <c r="C3281" s="25" t="s">
        <v>13</v>
      </c>
      <c r="D3281" s="25" t="s">
        <v>18</v>
      </c>
      <c r="E3281" s="25" t="s">
        <v>638</v>
      </c>
      <c r="F3281" s="25" t="s">
        <v>577</v>
      </c>
      <c r="G3281" s="25" t="s">
        <v>369</v>
      </c>
      <c r="H3281" s="25" t="s">
        <v>727</v>
      </c>
      <c r="I3281" s="25" t="s">
        <v>728</v>
      </c>
      <c r="J3281" s="25" t="s">
        <v>729</v>
      </c>
      <c r="K3281" s="25" t="s">
        <v>450</v>
      </c>
      <c r="L3281" s="25" t="s">
        <v>367</v>
      </c>
      <c r="M3281" s="25" t="s">
        <v>408</v>
      </c>
      <c r="N3281" s="25" t="s">
        <v>11</v>
      </c>
      <c r="O3281" s="25" t="s">
        <v>11</v>
      </c>
      <c r="P3281" s="25" t="s">
        <v>0</v>
      </c>
      <c r="Q3281" s="25" t="s">
        <v>408</v>
      </c>
      <c r="R3281" s="25" t="s">
        <v>439</v>
      </c>
      <c r="S3281" s="25" t="s">
        <v>451</v>
      </c>
      <c r="T3281" s="25" t="s">
        <v>11</v>
      </c>
      <c r="U3281" s="25" t="s">
        <v>408</v>
      </c>
    </row>
    <row r="3282" spans="1:21" x14ac:dyDescent="0.25">
      <c r="A3282" s="26">
        <v>26234147</v>
      </c>
      <c r="B3282" s="25" t="s">
        <v>342</v>
      </c>
      <c r="C3282" s="25" t="s">
        <v>13</v>
      </c>
      <c r="D3282" s="25" t="s">
        <v>12</v>
      </c>
      <c r="E3282" s="25" t="s">
        <v>638</v>
      </c>
      <c r="F3282" s="25" t="s">
        <v>577</v>
      </c>
      <c r="G3282" s="25" t="s">
        <v>369</v>
      </c>
      <c r="H3282" s="25" t="s">
        <v>727</v>
      </c>
      <c r="I3282" s="25" t="s">
        <v>728</v>
      </c>
      <c r="J3282" s="25" t="s">
        <v>729</v>
      </c>
      <c r="K3282" s="25" t="s">
        <v>450</v>
      </c>
      <c r="L3282" s="25" t="s">
        <v>367</v>
      </c>
      <c r="M3282" s="25" t="s">
        <v>408</v>
      </c>
      <c r="N3282" s="25" t="s">
        <v>11</v>
      </c>
      <c r="O3282" s="25" t="s">
        <v>11</v>
      </c>
      <c r="P3282" s="25" t="s">
        <v>0</v>
      </c>
      <c r="Q3282" s="25" t="s">
        <v>408</v>
      </c>
      <c r="R3282" s="25" t="s">
        <v>439</v>
      </c>
      <c r="S3282" s="25" t="s">
        <v>451</v>
      </c>
      <c r="T3282" s="25" t="s">
        <v>11</v>
      </c>
      <c r="U3282" s="25" t="s">
        <v>408</v>
      </c>
    </row>
    <row r="3283" spans="1:21" x14ac:dyDescent="0.25">
      <c r="A3283" s="26">
        <v>26234148</v>
      </c>
      <c r="B3283" s="25" t="s">
        <v>342</v>
      </c>
      <c r="C3283" s="25" t="s">
        <v>13</v>
      </c>
      <c r="D3283" s="25" t="s">
        <v>12</v>
      </c>
      <c r="E3283" s="25" t="s">
        <v>638</v>
      </c>
      <c r="F3283" s="25" t="s">
        <v>577</v>
      </c>
      <c r="G3283" s="25" t="s">
        <v>369</v>
      </c>
      <c r="H3283" s="25" t="s">
        <v>727</v>
      </c>
      <c r="I3283" s="25" t="s">
        <v>728</v>
      </c>
      <c r="J3283" s="25" t="s">
        <v>729</v>
      </c>
      <c r="K3283" s="25" t="s">
        <v>450</v>
      </c>
      <c r="L3283" s="25" t="s">
        <v>367</v>
      </c>
      <c r="M3283" s="25" t="s">
        <v>408</v>
      </c>
      <c r="N3283" s="25" t="s">
        <v>11</v>
      </c>
      <c r="O3283" s="25" t="s">
        <v>11</v>
      </c>
      <c r="P3283" s="25" t="s">
        <v>0</v>
      </c>
      <c r="Q3283" s="25" t="s">
        <v>408</v>
      </c>
      <c r="R3283" s="25" t="s">
        <v>439</v>
      </c>
      <c r="S3283" s="25" t="s">
        <v>451</v>
      </c>
      <c r="T3283" s="25" t="s">
        <v>11</v>
      </c>
      <c r="U3283" s="25" t="s">
        <v>408</v>
      </c>
    </row>
    <row r="3284" spans="1:21" x14ac:dyDescent="0.25">
      <c r="A3284" s="26">
        <v>26234151</v>
      </c>
      <c r="B3284" s="25" t="s">
        <v>342</v>
      </c>
      <c r="C3284" s="25" t="s">
        <v>13</v>
      </c>
      <c r="D3284" s="25" t="s">
        <v>12</v>
      </c>
      <c r="E3284" s="25" t="s">
        <v>639</v>
      </c>
      <c r="F3284" s="25" t="s">
        <v>662</v>
      </c>
      <c r="G3284" s="25" t="s">
        <v>369</v>
      </c>
      <c r="H3284" s="25" t="s">
        <v>5</v>
      </c>
      <c r="I3284" s="25" t="s">
        <v>436</v>
      </c>
      <c r="J3284" s="25" t="s">
        <v>446</v>
      </c>
      <c r="K3284" s="25" t="s">
        <v>438</v>
      </c>
      <c r="L3284" s="25" t="s">
        <v>2</v>
      </c>
      <c r="M3284" s="25" t="s">
        <v>408</v>
      </c>
      <c r="N3284" s="25" t="s">
        <v>11</v>
      </c>
      <c r="O3284" s="25" t="s">
        <v>11</v>
      </c>
      <c r="P3284" s="25" t="s">
        <v>2</v>
      </c>
      <c r="Q3284" s="25" t="s">
        <v>408</v>
      </c>
      <c r="R3284" s="25" t="s">
        <v>439</v>
      </c>
      <c r="S3284" s="25" t="s">
        <v>440</v>
      </c>
      <c r="T3284" s="25" t="s">
        <v>11</v>
      </c>
      <c r="U3284" s="25" t="s">
        <v>408</v>
      </c>
    </row>
    <row r="3285" spans="1:21" x14ac:dyDescent="0.25">
      <c r="A3285" s="26">
        <v>26234152</v>
      </c>
      <c r="B3285" s="25" t="s">
        <v>340</v>
      </c>
      <c r="C3285" s="25" t="s">
        <v>15</v>
      </c>
      <c r="D3285" s="25" t="s">
        <v>12</v>
      </c>
      <c r="E3285" s="25" t="s">
        <v>638</v>
      </c>
      <c r="F3285" s="25" t="s">
        <v>584</v>
      </c>
      <c r="G3285" s="25" t="s">
        <v>369</v>
      </c>
      <c r="H3285" s="25" t="s">
        <v>5</v>
      </c>
      <c r="I3285" s="25" t="s">
        <v>436</v>
      </c>
      <c r="J3285" s="25" t="s">
        <v>446</v>
      </c>
      <c r="K3285" s="25" t="s">
        <v>438</v>
      </c>
      <c r="L3285" s="25" t="s">
        <v>2</v>
      </c>
      <c r="M3285" s="25" t="s">
        <v>408</v>
      </c>
      <c r="N3285" s="25" t="s">
        <v>11</v>
      </c>
      <c r="O3285" s="25" t="s">
        <v>11</v>
      </c>
      <c r="P3285" s="25" t="s">
        <v>2</v>
      </c>
      <c r="Q3285" s="25" t="s">
        <v>408</v>
      </c>
      <c r="R3285" s="25" t="s">
        <v>439</v>
      </c>
      <c r="S3285" s="25" t="s">
        <v>440</v>
      </c>
      <c r="T3285" s="25" t="s">
        <v>11</v>
      </c>
      <c r="U3285" s="25" t="s">
        <v>408</v>
      </c>
    </row>
    <row r="3286" spans="1:21" x14ac:dyDescent="0.25">
      <c r="A3286" s="26">
        <v>26234153</v>
      </c>
      <c r="B3286" s="25" t="s">
        <v>340</v>
      </c>
      <c r="C3286" s="25" t="s">
        <v>15</v>
      </c>
      <c r="D3286" s="25" t="s">
        <v>12</v>
      </c>
      <c r="E3286" s="25" t="s">
        <v>638</v>
      </c>
      <c r="F3286" s="25" t="s">
        <v>584</v>
      </c>
      <c r="G3286" s="25" t="s">
        <v>369</v>
      </c>
      <c r="H3286" s="25" t="s">
        <v>5</v>
      </c>
      <c r="I3286" s="25" t="s">
        <v>436</v>
      </c>
      <c r="J3286" s="25" t="s">
        <v>446</v>
      </c>
      <c r="K3286" s="25" t="s">
        <v>438</v>
      </c>
      <c r="L3286" s="25" t="s">
        <v>2</v>
      </c>
      <c r="M3286" s="25" t="s">
        <v>408</v>
      </c>
      <c r="N3286" s="25" t="s">
        <v>11</v>
      </c>
      <c r="O3286" s="25" t="s">
        <v>11</v>
      </c>
      <c r="P3286" s="25" t="s">
        <v>2</v>
      </c>
      <c r="Q3286" s="25" t="s">
        <v>408</v>
      </c>
      <c r="R3286" s="25" t="s">
        <v>439</v>
      </c>
      <c r="S3286" s="25" t="s">
        <v>440</v>
      </c>
      <c r="T3286" s="25" t="s">
        <v>11</v>
      </c>
      <c r="U3286" s="25" t="s">
        <v>408</v>
      </c>
    </row>
    <row r="3287" spans="1:21" x14ac:dyDescent="0.25">
      <c r="A3287" s="26">
        <v>26234154</v>
      </c>
      <c r="B3287" s="25" t="s">
        <v>340</v>
      </c>
      <c r="C3287" s="25" t="s">
        <v>15</v>
      </c>
      <c r="D3287" s="25" t="s">
        <v>12</v>
      </c>
      <c r="E3287" s="25" t="s">
        <v>638</v>
      </c>
      <c r="F3287" s="25" t="s">
        <v>584</v>
      </c>
      <c r="G3287" s="25" t="s">
        <v>369</v>
      </c>
      <c r="H3287" s="25" t="s">
        <v>5</v>
      </c>
      <c r="I3287" s="25" t="s">
        <v>436</v>
      </c>
      <c r="J3287" s="25" t="s">
        <v>446</v>
      </c>
      <c r="K3287" s="25" t="s">
        <v>438</v>
      </c>
      <c r="L3287" s="25" t="s">
        <v>2</v>
      </c>
      <c r="M3287" s="25" t="s">
        <v>408</v>
      </c>
      <c r="N3287" s="25" t="s">
        <v>11</v>
      </c>
      <c r="O3287" s="25" t="s">
        <v>11</v>
      </c>
      <c r="P3287" s="25" t="s">
        <v>2</v>
      </c>
      <c r="Q3287" s="25" t="s">
        <v>408</v>
      </c>
      <c r="R3287" s="25" t="s">
        <v>439</v>
      </c>
      <c r="S3287" s="25" t="s">
        <v>440</v>
      </c>
      <c r="T3287" s="25" t="s">
        <v>11</v>
      </c>
      <c r="U3287" s="25" t="s">
        <v>408</v>
      </c>
    </row>
    <row r="3288" spans="1:21" x14ac:dyDescent="0.25">
      <c r="A3288" s="26">
        <v>26234155</v>
      </c>
      <c r="B3288" s="25" t="s">
        <v>340</v>
      </c>
      <c r="C3288" s="25" t="s">
        <v>15</v>
      </c>
      <c r="D3288" s="25" t="s">
        <v>12</v>
      </c>
      <c r="E3288" s="25" t="s">
        <v>638</v>
      </c>
      <c r="F3288" s="25" t="s">
        <v>584</v>
      </c>
      <c r="G3288" s="25" t="s">
        <v>369</v>
      </c>
      <c r="H3288" s="25" t="s">
        <v>5</v>
      </c>
      <c r="I3288" s="25" t="s">
        <v>436</v>
      </c>
      <c r="J3288" s="25" t="s">
        <v>446</v>
      </c>
      <c r="K3288" s="25" t="s">
        <v>438</v>
      </c>
      <c r="L3288" s="25" t="s">
        <v>2</v>
      </c>
      <c r="M3288" s="25" t="s">
        <v>408</v>
      </c>
      <c r="N3288" s="25" t="s">
        <v>11</v>
      </c>
      <c r="O3288" s="25" t="s">
        <v>11</v>
      </c>
      <c r="P3288" s="25" t="s">
        <v>2</v>
      </c>
      <c r="Q3288" s="25" t="s">
        <v>408</v>
      </c>
      <c r="R3288" s="25" t="s">
        <v>439</v>
      </c>
      <c r="S3288" s="25" t="s">
        <v>440</v>
      </c>
      <c r="T3288" s="25" t="s">
        <v>11</v>
      </c>
      <c r="U3288" s="25" t="s">
        <v>408</v>
      </c>
    </row>
    <row r="3289" spans="1:21" x14ac:dyDescent="0.25">
      <c r="A3289" s="26">
        <v>26234156</v>
      </c>
      <c r="B3289" s="25" t="s">
        <v>340</v>
      </c>
      <c r="C3289" s="25" t="s">
        <v>15</v>
      </c>
      <c r="D3289" s="25" t="s">
        <v>12</v>
      </c>
      <c r="E3289" s="25" t="s">
        <v>638</v>
      </c>
      <c r="F3289" s="25" t="s">
        <v>577</v>
      </c>
      <c r="G3289" s="25" t="s">
        <v>369</v>
      </c>
      <c r="H3289" s="25" t="s">
        <v>5</v>
      </c>
      <c r="I3289" s="25" t="s">
        <v>436</v>
      </c>
      <c r="J3289" s="25" t="s">
        <v>446</v>
      </c>
      <c r="K3289" s="25" t="s">
        <v>438</v>
      </c>
      <c r="L3289" s="25" t="s">
        <v>2</v>
      </c>
      <c r="M3289" s="25" t="s">
        <v>408</v>
      </c>
      <c r="N3289" s="25" t="s">
        <v>11</v>
      </c>
      <c r="O3289" s="25" t="s">
        <v>11</v>
      </c>
      <c r="P3289" s="25" t="s">
        <v>2</v>
      </c>
      <c r="Q3289" s="25" t="s">
        <v>408</v>
      </c>
      <c r="R3289" s="25" t="s">
        <v>439</v>
      </c>
      <c r="S3289" s="25" t="s">
        <v>440</v>
      </c>
      <c r="T3289" s="25" t="s">
        <v>11</v>
      </c>
      <c r="U3289" s="25" t="s">
        <v>408</v>
      </c>
    </row>
    <row r="3290" spans="1:21" x14ac:dyDescent="0.25">
      <c r="A3290" s="26">
        <v>26234157</v>
      </c>
      <c r="B3290" s="25" t="s">
        <v>340</v>
      </c>
      <c r="C3290" s="25" t="s">
        <v>15</v>
      </c>
      <c r="D3290" s="25" t="s">
        <v>18</v>
      </c>
      <c r="E3290" s="25" t="s">
        <v>639</v>
      </c>
      <c r="F3290" s="25" t="s">
        <v>670</v>
      </c>
      <c r="G3290" s="25" t="s">
        <v>369</v>
      </c>
      <c r="H3290" s="25" t="s">
        <v>5</v>
      </c>
      <c r="I3290" s="25" t="s">
        <v>436</v>
      </c>
      <c r="J3290" s="25" t="s">
        <v>446</v>
      </c>
      <c r="K3290" s="25" t="s">
        <v>438</v>
      </c>
      <c r="L3290" s="25" t="s">
        <v>2</v>
      </c>
      <c r="M3290" s="25" t="s">
        <v>408</v>
      </c>
      <c r="N3290" s="25" t="s">
        <v>11</v>
      </c>
      <c r="O3290" s="25" t="s">
        <v>11</v>
      </c>
      <c r="P3290" s="25" t="s">
        <v>2</v>
      </c>
      <c r="Q3290" s="25" t="s">
        <v>408</v>
      </c>
      <c r="R3290" s="25" t="s">
        <v>439</v>
      </c>
      <c r="S3290" s="25" t="s">
        <v>440</v>
      </c>
      <c r="T3290" s="25" t="s">
        <v>11</v>
      </c>
      <c r="U3290" s="25" t="s">
        <v>408</v>
      </c>
    </row>
    <row r="3291" spans="1:21" x14ac:dyDescent="0.25">
      <c r="A3291" s="26">
        <v>26234158</v>
      </c>
      <c r="B3291" s="25" t="s">
        <v>340</v>
      </c>
      <c r="C3291" s="25" t="s">
        <v>15</v>
      </c>
      <c r="D3291" s="25" t="s">
        <v>12</v>
      </c>
      <c r="E3291" s="25" t="s">
        <v>638</v>
      </c>
      <c r="F3291" s="25" t="s">
        <v>577</v>
      </c>
      <c r="G3291" s="25" t="s">
        <v>369</v>
      </c>
      <c r="H3291" s="25" t="s">
        <v>5</v>
      </c>
      <c r="I3291" s="25" t="s">
        <v>436</v>
      </c>
      <c r="J3291" s="25" t="s">
        <v>446</v>
      </c>
      <c r="K3291" s="25" t="s">
        <v>438</v>
      </c>
      <c r="L3291" s="25" t="s">
        <v>2</v>
      </c>
      <c r="M3291" s="25" t="s">
        <v>408</v>
      </c>
      <c r="N3291" s="25" t="s">
        <v>11</v>
      </c>
      <c r="O3291" s="25" t="s">
        <v>11</v>
      </c>
      <c r="P3291" s="25" t="s">
        <v>2</v>
      </c>
      <c r="Q3291" s="25" t="s">
        <v>408</v>
      </c>
      <c r="R3291" s="25" t="s">
        <v>439</v>
      </c>
      <c r="S3291" s="25" t="s">
        <v>440</v>
      </c>
      <c r="T3291" s="25" t="s">
        <v>11</v>
      </c>
      <c r="U3291" s="25" t="s">
        <v>408</v>
      </c>
    </row>
    <row r="3292" spans="1:21" x14ac:dyDescent="0.25">
      <c r="A3292" s="26">
        <v>26234159</v>
      </c>
      <c r="B3292" s="25" t="s">
        <v>342</v>
      </c>
      <c r="C3292" s="25" t="s">
        <v>13</v>
      </c>
      <c r="D3292" s="25" t="s">
        <v>12</v>
      </c>
      <c r="E3292" s="25" t="s">
        <v>638</v>
      </c>
      <c r="F3292" s="25" t="s">
        <v>584</v>
      </c>
      <c r="G3292" s="25" t="s">
        <v>369</v>
      </c>
      <c r="H3292" s="25" t="s">
        <v>5</v>
      </c>
      <c r="I3292" s="25" t="s">
        <v>436</v>
      </c>
      <c r="J3292" s="25" t="s">
        <v>446</v>
      </c>
      <c r="K3292" s="25" t="s">
        <v>438</v>
      </c>
      <c r="L3292" s="25" t="s">
        <v>2</v>
      </c>
      <c r="M3292" s="25" t="s">
        <v>408</v>
      </c>
      <c r="N3292" s="25" t="s">
        <v>11</v>
      </c>
      <c r="O3292" s="25" t="s">
        <v>11</v>
      </c>
      <c r="P3292" s="25" t="s">
        <v>2</v>
      </c>
      <c r="Q3292" s="25" t="s">
        <v>408</v>
      </c>
      <c r="R3292" s="25" t="s">
        <v>439</v>
      </c>
      <c r="S3292" s="25" t="s">
        <v>440</v>
      </c>
      <c r="T3292" s="25" t="s">
        <v>11</v>
      </c>
      <c r="U3292" s="25" t="s">
        <v>408</v>
      </c>
    </row>
    <row r="3293" spans="1:21" x14ac:dyDescent="0.25">
      <c r="A3293" s="26">
        <v>26234160</v>
      </c>
      <c r="B3293" s="25" t="s">
        <v>340</v>
      </c>
      <c r="C3293" s="25" t="s">
        <v>15</v>
      </c>
      <c r="D3293" s="25" t="s">
        <v>18</v>
      </c>
      <c r="E3293" s="25" t="s">
        <v>638</v>
      </c>
      <c r="F3293" s="25" t="s">
        <v>584</v>
      </c>
      <c r="G3293" s="25" t="s">
        <v>369</v>
      </c>
      <c r="H3293" s="25" t="s">
        <v>5</v>
      </c>
      <c r="I3293" s="25" t="s">
        <v>436</v>
      </c>
      <c r="J3293" s="25" t="s">
        <v>446</v>
      </c>
      <c r="K3293" s="25" t="s">
        <v>438</v>
      </c>
      <c r="L3293" s="25" t="s">
        <v>2</v>
      </c>
      <c r="M3293" s="25" t="s">
        <v>408</v>
      </c>
      <c r="N3293" s="25" t="s">
        <v>11</v>
      </c>
      <c r="O3293" s="25" t="s">
        <v>11</v>
      </c>
      <c r="P3293" s="25" t="s">
        <v>2</v>
      </c>
      <c r="Q3293" s="25" t="s">
        <v>408</v>
      </c>
      <c r="R3293" s="25" t="s">
        <v>439</v>
      </c>
      <c r="S3293" s="25" t="s">
        <v>440</v>
      </c>
      <c r="T3293" s="25" t="s">
        <v>11</v>
      </c>
      <c r="U3293" s="25" t="s">
        <v>408</v>
      </c>
    </row>
    <row r="3294" spans="1:21" x14ac:dyDescent="0.25">
      <c r="A3294" s="26">
        <v>26234161</v>
      </c>
      <c r="B3294" s="25" t="s">
        <v>340</v>
      </c>
      <c r="C3294" s="25" t="s">
        <v>15</v>
      </c>
      <c r="D3294" s="25" t="s">
        <v>12</v>
      </c>
      <c r="E3294" s="25" t="s">
        <v>638</v>
      </c>
      <c r="F3294" s="25" t="s">
        <v>584</v>
      </c>
      <c r="G3294" s="25" t="s">
        <v>369</v>
      </c>
      <c r="H3294" s="25" t="s">
        <v>5</v>
      </c>
      <c r="I3294" s="25" t="s">
        <v>436</v>
      </c>
      <c r="J3294" s="25" t="s">
        <v>446</v>
      </c>
      <c r="K3294" s="25" t="s">
        <v>438</v>
      </c>
      <c r="L3294" s="25" t="s">
        <v>2</v>
      </c>
      <c r="M3294" s="25" t="s">
        <v>408</v>
      </c>
      <c r="N3294" s="25" t="s">
        <v>11</v>
      </c>
      <c r="O3294" s="25" t="s">
        <v>11</v>
      </c>
      <c r="P3294" s="25" t="s">
        <v>2</v>
      </c>
      <c r="Q3294" s="25" t="s">
        <v>408</v>
      </c>
      <c r="R3294" s="25" t="s">
        <v>439</v>
      </c>
      <c r="S3294" s="25" t="s">
        <v>440</v>
      </c>
      <c r="T3294" s="25" t="s">
        <v>11</v>
      </c>
      <c r="U3294" s="25" t="s">
        <v>408</v>
      </c>
    </row>
    <row r="3295" spans="1:21" x14ac:dyDescent="0.25">
      <c r="A3295" s="26">
        <v>26234162</v>
      </c>
      <c r="B3295" s="25" t="s">
        <v>340</v>
      </c>
      <c r="C3295" s="25" t="s">
        <v>15</v>
      </c>
      <c r="D3295" s="25" t="s">
        <v>12</v>
      </c>
      <c r="E3295" s="25" t="s">
        <v>638</v>
      </c>
      <c r="F3295" s="25" t="s">
        <v>584</v>
      </c>
      <c r="G3295" s="25" t="s">
        <v>369</v>
      </c>
      <c r="H3295" s="25" t="s">
        <v>5</v>
      </c>
      <c r="I3295" s="25" t="s">
        <v>436</v>
      </c>
      <c r="J3295" s="25" t="s">
        <v>446</v>
      </c>
      <c r="K3295" s="25" t="s">
        <v>438</v>
      </c>
      <c r="L3295" s="25" t="s">
        <v>2</v>
      </c>
      <c r="M3295" s="25" t="s">
        <v>408</v>
      </c>
      <c r="N3295" s="25" t="s">
        <v>11</v>
      </c>
      <c r="O3295" s="25" t="s">
        <v>11</v>
      </c>
      <c r="P3295" s="25" t="s">
        <v>2</v>
      </c>
      <c r="Q3295" s="25" t="s">
        <v>408</v>
      </c>
      <c r="R3295" s="25" t="s">
        <v>439</v>
      </c>
      <c r="S3295" s="25" t="s">
        <v>440</v>
      </c>
      <c r="T3295" s="25" t="s">
        <v>11</v>
      </c>
      <c r="U3295" s="25" t="s">
        <v>408</v>
      </c>
    </row>
    <row r="3296" spans="1:21" x14ac:dyDescent="0.25">
      <c r="A3296" s="26">
        <v>26234163</v>
      </c>
      <c r="B3296" s="25" t="s">
        <v>340</v>
      </c>
      <c r="C3296" s="25" t="s">
        <v>15</v>
      </c>
      <c r="D3296" s="25" t="s">
        <v>18</v>
      </c>
      <c r="E3296" s="25" t="s">
        <v>638</v>
      </c>
      <c r="F3296" s="25" t="s">
        <v>584</v>
      </c>
      <c r="G3296" s="25" t="s">
        <v>369</v>
      </c>
      <c r="H3296" s="25" t="s">
        <v>5</v>
      </c>
      <c r="I3296" s="25" t="s">
        <v>436</v>
      </c>
      <c r="J3296" s="25" t="s">
        <v>446</v>
      </c>
      <c r="K3296" s="25" t="s">
        <v>438</v>
      </c>
      <c r="L3296" s="25" t="s">
        <v>2</v>
      </c>
      <c r="M3296" s="25" t="s">
        <v>408</v>
      </c>
      <c r="N3296" s="25" t="s">
        <v>11</v>
      </c>
      <c r="O3296" s="25" t="s">
        <v>11</v>
      </c>
      <c r="P3296" s="25" t="s">
        <v>2</v>
      </c>
      <c r="Q3296" s="25" t="s">
        <v>408</v>
      </c>
      <c r="R3296" s="25" t="s">
        <v>439</v>
      </c>
      <c r="S3296" s="25" t="s">
        <v>440</v>
      </c>
      <c r="T3296" s="25" t="s">
        <v>11</v>
      </c>
      <c r="U3296" s="25" t="s">
        <v>408</v>
      </c>
    </row>
    <row r="3297" spans="1:21" x14ac:dyDescent="0.25">
      <c r="A3297" s="26">
        <v>26234164</v>
      </c>
      <c r="B3297" s="25" t="s">
        <v>340</v>
      </c>
      <c r="C3297" s="25" t="s">
        <v>15</v>
      </c>
      <c r="D3297" s="25" t="s">
        <v>12</v>
      </c>
      <c r="E3297" s="25" t="s">
        <v>758</v>
      </c>
      <c r="F3297" s="25" t="s">
        <v>578</v>
      </c>
      <c r="G3297" s="25" t="s">
        <v>369</v>
      </c>
      <c r="H3297" s="25" t="s">
        <v>5</v>
      </c>
      <c r="I3297" s="25" t="s">
        <v>436</v>
      </c>
      <c r="J3297" s="25" t="s">
        <v>446</v>
      </c>
      <c r="K3297" s="25" t="s">
        <v>438</v>
      </c>
      <c r="L3297" s="25" t="s">
        <v>2</v>
      </c>
      <c r="M3297" s="25" t="s">
        <v>408</v>
      </c>
      <c r="N3297" s="25" t="s">
        <v>11</v>
      </c>
      <c r="O3297" s="25" t="s">
        <v>11</v>
      </c>
      <c r="P3297" s="25" t="s">
        <v>2</v>
      </c>
      <c r="Q3297" s="25" t="s">
        <v>408</v>
      </c>
      <c r="R3297" s="25" t="s">
        <v>439</v>
      </c>
      <c r="S3297" s="25" t="s">
        <v>440</v>
      </c>
      <c r="T3297" s="25" t="s">
        <v>11</v>
      </c>
      <c r="U3297" s="25" t="s">
        <v>408</v>
      </c>
    </row>
    <row r="3298" spans="1:21" x14ac:dyDescent="0.25">
      <c r="A3298" s="26">
        <v>26234165</v>
      </c>
      <c r="B3298" s="25" t="s">
        <v>342</v>
      </c>
      <c r="C3298" s="25" t="s">
        <v>13</v>
      </c>
      <c r="D3298" s="25" t="s">
        <v>12</v>
      </c>
      <c r="E3298" s="25" t="s">
        <v>637</v>
      </c>
      <c r="F3298" s="25" t="s">
        <v>666</v>
      </c>
      <c r="G3298" s="25" t="s">
        <v>369</v>
      </c>
      <c r="H3298" s="25" t="s">
        <v>5</v>
      </c>
      <c r="I3298" s="25" t="s">
        <v>436</v>
      </c>
      <c r="J3298" s="25" t="s">
        <v>446</v>
      </c>
      <c r="K3298" s="25" t="s">
        <v>438</v>
      </c>
      <c r="L3298" s="25" t="s">
        <v>2</v>
      </c>
      <c r="M3298" s="25" t="s">
        <v>408</v>
      </c>
      <c r="N3298" s="25" t="s">
        <v>11</v>
      </c>
      <c r="O3298" s="25" t="s">
        <v>11</v>
      </c>
      <c r="P3298" s="25" t="s">
        <v>2</v>
      </c>
      <c r="Q3298" s="25" t="s">
        <v>408</v>
      </c>
      <c r="R3298" s="25" t="s">
        <v>439</v>
      </c>
      <c r="S3298" s="25" t="s">
        <v>440</v>
      </c>
      <c r="T3298" s="25" t="s">
        <v>11</v>
      </c>
      <c r="U3298" s="25" t="s">
        <v>408</v>
      </c>
    </row>
    <row r="3299" spans="1:21" x14ac:dyDescent="0.25">
      <c r="A3299" s="26">
        <v>26234166</v>
      </c>
      <c r="B3299" s="25" t="s">
        <v>342</v>
      </c>
      <c r="C3299" s="25" t="s">
        <v>13</v>
      </c>
      <c r="D3299" s="25" t="s">
        <v>12</v>
      </c>
      <c r="E3299" s="25" t="s">
        <v>639</v>
      </c>
      <c r="F3299" s="25" t="s">
        <v>667</v>
      </c>
      <c r="G3299" s="25" t="s">
        <v>369</v>
      </c>
      <c r="H3299" s="25" t="s">
        <v>5</v>
      </c>
      <c r="I3299" s="25" t="s">
        <v>436</v>
      </c>
      <c r="J3299" s="25" t="s">
        <v>446</v>
      </c>
      <c r="K3299" s="25" t="s">
        <v>438</v>
      </c>
      <c r="L3299" s="25" t="s">
        <v>2</v>
      </c>
      <c r="M3299" s="25" t="s">
        <v>408</v>
      </c>
      <c r="N3299" s="25" t="s">
        <v>11</v>
      </c>
      <c r="O3299" s="25" t="s">
        <v>11</v>
      </c>
      <c r="P3299" s="25" t="s">
        <v>2</v>
      </c>
      <c r="Q3299" s="25" t="s">
        <v>408</v>
      </c>
      <c r="R3299" s="25" t="s">
        <v>439</v>
      </c>
      <c r="S3299" s="25" t="s">
        <v>440</v>
      </c>
      <c r="T3299" s="25" t="s">
        <v>11</v>
      </c>
      <c r="U3299" s="25" t="s">
        <v>408</v>
      </c>
    </row>
    <row r="3300" spans="1:21" x14ac:dyDescent="0.25">
      <c r="A3300" s="26">
        <v>26234167</v>
      </c>
      <c r="B3300" s="25" t="s">
        <v>340</v>
      </c>
      <c r="C3300" s="25" t="s">
        <v>15</v>
      </c>
      <c r="D3300" s="25" t="s">
        <v>12</v>
      </c>
      <c r="E3300" s="25" t="s">
        <v>638</v>
      </c>
      <c r="F3300" s="25" t="s">
        <v>669</v>
      </c>
      <c r="G3300" s="25" t="s">
        <v>369</v>
      </c>
      <c r="H3300" s="25" t="s">
        <v>5</v>
      </c>
      <c r="I3300" s="25" t="s">
        <v>436</v>
      </c>
      <c r="J3300" s="25" t="s">
        <v>446</v>
      </c>
      <c r="K3300" s="25" t="s">
        <v>438</v>
      </c>
      <c r="L3300" s="25" t="s">
        <v>2</v>
      </c>
      <c r="M3300" s="25" t="s">
        <v>408</v>
      </c>
      <c r="N3300" s="25" t="s">
        <v>11</v>
      </c>
      <c r="O3300" s="25" t="s">
        <v>11</v>
      </c>
      <c r="P3300" s="25" t="s">
        <v>2</v>
      </c>
      <c r="Q3300" s="25" t="s">
        <v>408</v>
      </c>
      <c r="R3300" s="25" t="s">
        <v>439</v>
      </c>
      <c r="S3300" s="25" t="s">
        <v>440</v>
      </c>
      <c r="T3300" s="25" t="s">
        <v>11</v>
      </c>
      <c r="U3300" s="25" t="s">
        <v>408</v>
      </c>
    </row>
    <row r="3301" spans="1:21" x14ac:dyDescent="0.25">
      <c r="A3301" s="26">
        <v>26234168</v>
      </c>
      <c r="B3301" s="25" t="s">
        <v>340</v>
      </c>
      <c r="C3301" s="25" t="s">
        <v>15</v>
      </c>
      <c r="D3301" s="25" t="s">
        <v>12</v>
      </c>
      <c r="E3301" s="25" t="s">
        <v>638</v>
      </c>
      <c r="F3301" s="25" t="s">
        <v>669</v>
      </c>
      <c r="G3301" s="25" t="s">
        <v>369</v>
      </c>
      <c r="H3301" s="25" t="s">
        <v>5</v>
      </c>
      <c r="I3301" s="25" t="s">
        <v>436</v>
      </c>
      <c r="J3301" s="25" t="s">
        <v>446</v>
      </c>
      <c r="K3301" s="25" t="s">
        <v>438</v>
      </c>
      <c r="L3301" s="25" t="s">
        <v>2</v>
      </c>
      <c r="M3301" s="25" t="s">
        <v>408</v>
      </c>
      <c r="N3301" s="25" t="s">
        <v>11</v>
      </c>
      <c r="O3301" s="25" t="s">
        <v>11</v>
      </c>
      <c r="P3301" s="25" t="s">
        <v>2</v>
      </c>
      <c r="Q3301" s="25" t="s">
        <v>408</v>
      </c>
      <c r="R3301" s="25" t="s">
        <v>439</v>
      </c>
      <c r="S3301" s="25" t="s">
        <v>440</v>
      </c>
      <c r="T3301" s="25" t="s">
        <v>11</v>
      </c>
      <c r="U3301" s="25" t="s">
        <v>408</v>
      </c>
    </row>
    <row r="3302" spans="1:21" x14ac:dyDescent="0.25">
      <c r="A3302" s="26">
        <v>26234169</v>
      </c>
      <c r="B3302" s="25" t="s">
        <v>342</v>
      </c>
      <c r="C3302" s="25" t="s">
        <v>13</v>
      </c>
      <c r="D3302" s="25" t="s">
        <v>12</v>
      </c>
      <c r="E3302" s="25" t="s">
        <v>638</v>
      </c>
      <c r="F3302" s="25" t="s">
        <v>669</v>
      </c>
      <c r="G3302" s="25" t="s">
        <v>369</v>
      </c>
      <c r="H3302" s="25" t="s">
        <v>5</v>
      </c>
      <c r="I3302" s="25" t="s">
        <v>436</v>
      </c>
      <c r="J3302" s="25" t="s">
        <v>446</v>
      </c>
      <c r="K3302" s="25" t="s">
        <v>438</v>
      </c>
      <c r="L3302" s="25" t="s">
        <v>2</v>
      </c>
      <c r="M3302" s="25" t="s">
        <v>408</v>
      </c>
      <c r="N3302" s="25" t="s">
        <v>11</v>
      </c>
      <c r="O3302" s="25" t="s">
        <v>11</v>
      </c>
      <c r="P3302" s="25" t="s">
        <v>2</v>
      </c>
      <c r="Q3302" s="25" t="s">
        <v>408</v>
      </c>
      <c r="R3302" s="25" t="s">
        <v>439</v>
      </c>
      <c r="S3302" s="25" t="s">
        <v>440</v>
      </c>
      <c r="T3302" s="25" t="s">
        <v>11</v>
      </c>
      <c r="U3302" s="25" t="s">
        <v>408</v>
      </c>
    </row>
    <row r="3303" spans="1:21" x14ac:dyDescent="0.25">
      <c r="A3303" s="26">
        <v>26234170</v>
      </c>
      <c r="B3303" s="25" t="s">
        <v>342</v>
      </c>
      <c r="C3303" s="25" t="s">
        <v>13</v>
      </c>
      <c r="D3303" s="25" t="s">
        <v>18</v>
      </c>
      <c r="E3303" s="25" t="s">
        <v>639</v>
      </c>
      <c r="F3303" s="25" t="s">
        <v>583</v>
      </c>
      <c r="G3303" s="25" t="s">
        <v>369</v>
      </c>
      <c r="H3303" s="25" t="s">
        <v>5</v>
      </c>
      <c r="I3303" s="25" t="s">
        <v>436</v>
      </c>
      <c r="J3303" s="25" t="s">
        <v>446</v>
      </c>
      <c r="K3303" s="25" t="s">
        <v>438</v>
      </c>
      <c r="L3303" s="25" t="s">
        <v>2</v>
      </c>
      <c r="M3303" s="25" t="s">
        <v>408</v>
      </c>
      <c r="N3303" s="25" t="s">
        <v>11</v>
      </c>
      <c r="O3303" s="25" t="s">
        <v>11</v>
      </c>
      <c r="P3303" s="25" t="s">
        <v>2</v>
      </c>
      <c r="Q3303" s="25" t="s">
        <v>408</v>
      </c>
      <c r="R3303" s="25" t="s">
        <v>439</v>
      </c>
      <c r="S3303" s="25" t="s">
        <v>440</v>
      </c>
      <c r="T3303" s="25" t="s">
        <v>11</v>
      </c>
      <c r="U3303" s="25" t="s">
        <v>408</v>
      </c>
    </row>
    <row r="3304" spans="1:21" x14ac:dyDescent="0.25">
      <c r="A3304" s="26">
        <v>26234171</v>
      </c>
      <c r="B3304" s="25" t="s">
        <v>342</v>
      </c>
      <c r="C3304" s="25" t="s">
        <v>13</v>
      </c>
      <c r="D3304" s="25" t="s">
        <v>12</v>
      </c>
      <c r="E3304" s="25" t="s">
        <v>639</v>
      </c>
      <c r="F3304" s="25" t="s">
        <v>583</v>
      </c>
      <c r="G3304" s="25" t="s">
        <v>369</v>
      </c>
      <c r="H3304" s="25" t="s">
        <v>5</v>
      </c>
      <c r="I3304" s="25" t="s">
        <v>436</v>
      </c>
      <c r="J3304" s="25" t="s">
        <v>446</v>
      </c>
      <c r="K3304" s="25" t="s">
        <v>438</v>
      </c>
      <c r="L3304" s="25" t="s">
        <v>2</v>
      </c>
      <c r="M3304" s="25" t="s">
        <v>408</v>
      </c>
      <c r="N3304" s="25" t="s">
        <v>11</v>
      </c>
      <c r="O3304" s="25" t="s">
        <v>11</v>
      </c>
      <c r="P3304" s="25" t="s">
        <v>2</v>
      </c>
      <c r="Q3304" s="25" t="s">
        <v>408</v>
      </c>
      <c r="R3304" s="25" t="s">
        <v>439</v>
      </c>
      <c r="S3304" s="25" t="s">
        <v>440</v>
      </c>
      <c r="T3304" s="25" t="s">
        <v>11</v>
      </c>
      <c r="U3304" s="25" t="s">
        <v>408</v>
      </c>
    </row>
    <row r="3305" spans="1:21" x14ac:dyDescent="0.25">
      <c r="A3305" s="26">
        <v>26234172</v>
      </c>
      <c r="B3305" s="25" t="s">
        <v>340</v>
      </c>
      <c r="C3305" s="25" t="s">
        <v>15</v>
      </c>
      <c r="D3305" s="25" t="s">
        <v>18</v>
      </c>
      <c r="E3305" s="25" t="s">
        <v>639</v>
      </c>
      <c r="F3305" s="25" t="s">
        <v>583</v>
      </c>
      <c r="G3305" s="25" t="s">
        <v>369</v>
      </c>
      <c r="H3305" s="25" t="s">
        <v>5</v>
      </c>
      <c r="I3305" s="25" t="s">
        <v>436</v>
      </c>
      <c r="J3305" s="25" t="s">
        <v>446</v>
      </c>
      <c r="K3305" s="25" t="s">
        <v>438</v>
      </c>
      <c r="L3305" s="25" t="s">
        <v>2</v>
      </c>
      <c r="M3305" s="25" t="s">
        <v>408</v>
      </c>
      <c r="N3305" s="25" t="s">
        <v>11</v>
      </c>
      <c r="O3305" s="25" t="s">
        <v>11</v>
      </c>
      <c r="P3305" s="25" t="s">
        <v>2</v>
      </c>
      <c r="Q3305" s="25" t="s">
        <v>408</v>
      </c>
      <c r="R3305" s="25" t="s">
        <v>439</v>
      </c>
      <c r="S3305" s="25" t="s">
        <v>440</v>
      </c>
      <c r="T3305" s="25" t="s">
        <v>11</v>
      </c>
      <c r="U3305" s="25" t="s">
        <v>408</v>
      </c>
    </row>
    <row r="3306" spans="1:21" x14ac:dyDescent="0.25">
      <c r="A3306" s="26">
        <v>26234173</v>
      </c>
      <c r="B3306" s="25" t="s">
        <v>340</v>
      </c>
      <c r="C3306" s="25" t="s">
        <v>15</v>
      </c>
      <c r="D3306" s="25" t="s">
        <v>12</v>
      </c>
      <c r="E3306" s="25" t="s">
        <v>639</v>
      </c>
      <c r="F3306" s="25" t="s">
        <v>583</v>
      </c>
      <c r="G3306" s="25" t="s">
        <v>369</v>
      </c>
      <c r="H3306" s="25" t="s">
        <v>5</v>
      </c>
      <c r="I3306" s="25" t="s">
        <v>436</v>
      </c>
      <c r="J3306" s="25" t="s">
        <v>446</v>
      </c>
      <c r="K3306" s="25" t="s">
        <v>438</v>
      </c>
      <c r="L3306" s="25" t="s">
        <v>2</v>
      </c>
      <c r="M3306" s="25" t="s">
        <v>408</v>
      </c>
      <c r="N3306" s="25" t="s">
        <v>11</v>
      </c>
      <c r="O3306" s="25" t="s">
        <v>11</v>
      </c>
      <c r="P3306" s="25" t="s">
        <v>2</v>
      </c>
      <c r="Q3306" s="25" t="s">
        <v>408</v>
      </c>
      <c r="R3306" s="25" t="s">
        <v>439</v>
      </c>
      <c r="S3306" s="25" t="s">
        <v>440</v>
      </c>
      <c r="T3306" s="25" t="s">
        <v>11</v>
      </c>
      <c r="U3306" s="25" t="s">
        <v>408</v>
      </c>
    </row>
    <row r="3307" spans="1:21" x14ac:dyDescent="0.25">
      <c r="A3307" s="26">
        <v>26234174</v>
      </c>
      <c r="B3307" s="25" t="s">
        <v>342</v>
      </c>
      <c r="C3307" s="25" t="s">
        <v>13</v>
      </c>
      <c r="D3307" s="25" t="s">
        <v>12</v>
      </c>
      <c r="E3307" s="25" t="s">
        <v>638</v>
      </c>
      <c r="F3307" s="25" t="s">
        <v>584</v>
      </c>
      <c r="G3307" s="25" t="s">
        <v>369</v>
      </c>
      <c r="H3307" s="25" t="s">
        <v>5</v>
      </c>
      <c r="I3307" s="25" t="s">
        <v>436</v>
      </c>
      <c r="J3307" s="25" t="s">
        <v>446</v>
      </c>
      <c r="K3307" s="25" t="s">
        <v>438</v>
      </c>
      <c r="L3307" s="25" t="s">
        <v>2</v>
      </c>
      <c r="M3307" s="25" t="s">
        <v>408</v>
      </c>
      <c r="N3307" s="25" t="s">
        <v>11</v>
      </c>
      <c r="O3307" s="25" t="s">
        <v>11</v>
      </c>
      <c r="P3307" s="25" t="s">
        <v>2</v>
      </c>
      <c r="Q3307" s="25" t="s">
        <v>408</v>
      </c>
      <c r="R3307" s="25" t="s">
        <v>439</v>
      </c>
      <c r="S3307" s="25" t="s">
        <v>440</v>
      </c>
      <c r="T3307" s="25" t="s">
        <v>11</v>
      </c>
      <c r="U3307" s="25" t="s">
        <v>408</v>
      </c>
    </row>
    <row r="3308" spans="1:21" x14ac:dyDescent="0.25">
      <c r="A3308" s="26">
        <v>26234175</v>
      </c>
      <c r="B3308" s="25" t="s">
        <v>342</v>
      </c>
      <c r="C3308" s="25" t="s">
        <v>13</v>
      </c>
      <c r="D3308" s="25" t="s">
        <v>12</v>
      </c>
      <c r="E3308" s="25" t="s">
        <v>759</v>
      </c>
      <c r="F3308" s="25" t="s">
        <v>668</v>
      </c>
      <c r="G3308" s="25" t="s">
        <v>369</v>
      </c>
      <c r="H3308" s="25" t="s">
        <v>5</v>
      </c>
      <c r="I3308" s="25" t="s">
        <v>436</v>
      </c>
      <c r="J3308" s="25" t="s">
        <v>446</v>
      </c>
      <c r="K3308" s="25" t="s">
        <v>438</v>
      </c>
      <c r="L3308" s="25" t="s">
        <v>2</v>
      </c>
      <c r="M3308" s="25" t="s">
        <v>408</v>
      </c>
      <c r="N3308" s="25" t="s">
        <v>11</v>
      </c>
      <c r="O3308" s="25" t="s">
        <v>11</v>
      </c>
      <c r="P3308" s="25" t="s">
        <v>2</v>
      </c>
      <c r="Q3308" s="25" t="s">
        <v>408</v>
      </c>
      <c r="R3308" s="25" t="s">
        <v>439</v>
      </c>
      <c r="S3308" s="25" t="s">
        <v>440</v>
      </c>
      <c r="T3308" s="25" t="s">
        <v>11</v>
      </c>
      <c r="U3308" s="25" t="s">
        <v>408</v>
      </c>
    </row>
    <row r="3309" spans="1:21" x14ac:dyDescent="0.25">
      <c r="A3309" s="26">
        <v>26234176</v>
      </c>
      <c r="B3309" s="25" t="s">
        <v>340</v>
      </c>
      <c r="C3309" s="25" t="s">
        <v>15</v>
      </c>
      <c r="D3309" s="25" t="s">
        <v>12</v>
      </c>
      <c r="E3309" s="25" t="s">
        <v>639</v>
      </c>
      <c r="F3309" s="25" t="s">
        <v>583</v>
      </c>
      <c r="G3309" s="25" t="s">
        <v>369</v>
      </c>
      <c r="H3309" s="25" t="s">
        <v>5</v>
      </c>
      <c r="I3309" s="25" t="s">
        <v>436</v>
      </c>
      <c r="J3309" s="25" t="s">
        <v>446</v>
      </c>
      <c r="K3309" s="25" t="s">
        <v>438</v>
      </c>
      <c r="L3309" s="25" t="s">
        <v>2</v>
      </c>
      <c r="M3309" s="25" t="s">
        <v>408</v>
      </c>
      <c r="N3309" s="25" t="s">
        <v>11</v>
      </c>
      <c r="O3309" s="25" t="s">
        <v>11</v>
      </c>
      <c r="P3309" s="25" t="s">
        <v>2</v>
      </c>
      <c r="Q3309" s="25" t="s">
        <v>408</v>
      </c>
      <c r="R3309" s="25" t="s">
        <v>439</v>
      </c>
      <c r="S3309" s="25" t="s">
        <v>440</v>
      </c>
      <c r="T3309" s="25" t="s">
        <v>11</v>
      </c>
      <c r="U3309" s="25" t="s">
        <v>408</v>
      </c>
    </row>
    <row r="3310" spans="1:21" x14ac:dyDescent="0.25">
      <c r="A3310" s="26">
        <v>26234177</v>
      </c>
      <c r="B3310" s="25" t="s">
        <v>342</v>
      </c>
      <c r="C3310" s="25" t="s">
        <v>13</v>
      </c>
      <c r="D3310" s="25" t="s">
        <v>12</v>
      </c>
      <c r="E3310" s="25" t="s">
        <v>758</v>
      </c>
      <c r="F3310" s="25" t="s">
        <v>578</v>
      </c>
      <c r="G3310" s="25" t="s">
        <v>369</v>
      </c>
      <c r="H3310" s="25" t="s">
        <v>5</v>
      </c>
      <c r="I3310" s="25" t="s">
        <v>436</v>
      </c>
      <c r="J3310" s="25" t="s">
        <v>446</v>
      </c>
      <c r="K3310" s="25" t="s">
        <v>438</v>
      </c>
      <c r="L3310" s="25" t="s">
        <v>2</v>
      </c>
      <c r="M3310" s="25" t="s">
        <v>408</v>
      </c>
      <c r="N3310" s="25" t="s">
        <v>11</v>
      </c>
      <c r="O3310" s="25" t="s">
        <v>11</v>
      </c>
      <c r="P3310" s="25" t="s">
        <v>2</v>
      </c>
      <c r="Q3310" s="25" t="s">
        <v>408</v>
      </c>
      <c r="R3310" s="25" t="s">
        <v>439</v>
      </c>
      <c r="S3310" s="25" t="s">
        <v>440</v>
      </c>
      <c r="T3310" s="25" t="s">
        <v>11</v>
      </c>
      <c r="U3310" s="25" t="s">
        <v>408</v>
      </c>
    </row>
    <row r="3311" spans="1:21" x14ac:dyDescent="0.25">
      <c r="A3311" s="26">
        <v>26234178</v>
      </c>
      <c r="B3311" s="25" t="s">
        <v>340</v>
      </c>
      <c r="C3311" s="25" t="s">
        <v>15</v>
      </c>
      <c r="D3311" s="25" t="s">
        <v>12</v>
      </c>
      <c r="E3311" s="25" t="s">
        <v>639</v>
      </c>
      <c r="F3311" s="25" t="s">
        <v>667</v>
      </c>
      <c r="G3311" s="25" t="s">
        <v>369</v>
      </c>
      <c r="H3311" s="25" t="s">
        <v>5</v>
      </c>
      <c r="I3311" s="25" t="s">
        <v>436</v>
      </c>
      <c r="J3311" s="25" t="s">
        <v>446</v>
      </c>
      <c r="K3311" s="25" t="s">
        <v>438</v>
      </c>
      <c r="L3311" s="25" t="s">
        <v>2</v>
      </c>
      <c r="M3311" s="25" t="s">
        <v>408</v>
      </c>
      <c r="N3311" s="25" t="s">
        <v>11</v>
      </c>
      <c r="O3311" s="25" t="s">
        <v>11</v>
      </c>
      <c r="P3311" s="25" t="s">
        <v>2</v>
      </c>
      <c r="Q3311" s="25" t="s">
        <v>408</v>
      </c>
      <c r="R3311" s="25" t="s">
        <v>439</v>
      </c>
      <c r="S3311" s="25" t="s">
        <v>440</v>
      </c>
      <c r="T3311" s="25" t="s">
        <v>11</v>
      </c>
      <c r="U3311" s="25" t="s">
        <v>408</v>
      </c>
    </row>
    <row r="3312" spans="1:21" x14ac:dyDescent="0.25">
      <c r="A3312" s="26">
        <v>26234179</v>
      </c>
      <c r="B3312" s="25" t="s">
        <v>340</v>
      </c>
      <c r="C3312" s="25" t="s">
        <v>15</v>
      </c>
      <c r="D3312" s="25" t="s">
        <v>12</v>
      </c>
      <c r="E3312" s="25" t="s">
        <v>639</v>
      </c>
      <c r="F3312" s="25" t="s">
        <v>667</v>
      </c>
      <c r="G3312" s="25" t="s">
        <v>369</v>
      </c>
      <c r="H3312" s="25" t="s">
        <v>5</v>
      </c>
      <c r="I3312" s="25" t="s">
        <v>436</v>
      </c>
      <c r="J3312" s="25" t="s">
        <v>446</v>
      </c>
      <c r="K3312" s="25" t="s">
        <v>438</v>
      </c>
      <c r="L3312" s="25" t="s">
        <v>2</v>
      </c>
      <c r="M3312" s="25" t="s">
        <v>408</v>
      </c>
      <c r="N3312" s="25" t="s">
        <v>11</v>
      </c>
      <c r="O3312" s="25" t="s">
        <v>11</v>
      </c>
      <c r="P3312" s="25" t="s">
        <v>2</v>
      </c>
      <c r="Q3312" s="25" t="s">
        <v>408</v>
      </c>
      <c r="R3312" s="25" t="s">
        <v>439</v>
      </c>
      <c r="S3312" s="25" t="s">
        <v>440</v>
      </c>
      <c r="T3312" s="25" t="s">
        <v>11</v>
      </c>
      <c r="U3312" s="25" t="s">
        <v>408</v>
      </c>
    </row>
    <row r="3313" spans="1:21" x14ac:dyDescent="0.25">
      <c r="A3313" s="26">
        <v>26234180</v>
      </c>
      <c r="B3313" s="25" t="s">
        <v>342</v>
      </c>
      <c r="C3313" s="25" t="s">
        <v>13</v>
      </c>
      <c r="D3313" s="25" t="s">
        <v>18</v>
      </c>
      <c r="E3313" s="25" t="s">
        <v>639</v>
      </c>
      <c r="F3313" s="25" t="s">
        <v>667</v>
      </c>
      <c r="G3313" s="25" t="s">
        <v>369</v>
      </c>
      <c r="H3313" s="25" t="s">
        <v>5</v>
      </c>
      <c r="I3313" s="25" t="s">
        <v>436</v>
      </c>
      <c r="J3313" s="25" t="s">
        <v>446</v>
      </c>
      <c r="K3313" s="25" t="s">
        <v>438</v>
      </c>
      <c r="L3313" s="25" t="s">
        <v>2</v>
      </c>
      <c r="M3313" s="25" t="s">
        <v>408</v>
      </c>
      <c r="N3313" s="25" t="s">
        <v>11</v>
      </c>
      <c r="O3313" s="25" t="s">
        <v>11</v>
      </c>
      <c r="P3313" s="25" t="s">
        <v>2</v>
      </c>
      <c r="Q3313" s="25" t="s">
        <v>408</v>
      </c>
      <c r="R3313" s="25" t="s">
        <v>439</v>
      </c>
      <c r="S3313" s="25" t="s">
        <v>440</v>
      </c>
      <c r="T3313" s="25" t="s">
        <v>11</v>
      </c>
      <c r="U3313" s="25" t="s">
        <v>408</v>
      </c>
    </row>
    <row r="3314" spans="1:21" x14ac:dyDescent="0.25">
      <c r="A3314" s="26">
        <v>26234181</v>
      </c>
      <c r="B3314" s="25" t="s">
        <v>342</v>
      </c>
      <c r="C3314" s="25" t="s">
        <v>13</v>
      </c>
      <c r="D3314" s="25" t="s">
        <v>12</v>
      </c>
      <c r="E3314" s="25" t="s">
        <v>639</v>
      </c>
      <c r="F3314" s="25" t="s">
        <v>667</v>
      </c>
      <c r="G3314" s="25" t="s">
        <v>369</v>
      </c>
      <c r="H3314" s="25" t="s">
        <v>5</v>
      </c>
      <c r="I3314" s="25" t="s">
        <v>436</v>
      </c>
      <c r="J3314" s="25" t="s">
        <v>446</v>
      </c>
      <c r="K3314" s="25" t="s">
        <v>438</v>
      </c>
      <c r="L3314" s="25" t="s">
        <v>2</v>
      </c>
      <c r="M3314" s="25" t="s">
        <v>408</v>
      </c>
      <c r="N3314" s="25" t="s">
        <v>11</v>
      </c>
      <c r="O3314" s="25" t="s">
        <v>11</v>
      </c>
      <c r="P3314" s="25" t="s">
        <v>2</v>
      </c>
      <c r="Q3314" s="25" t="s">
        <v>408</v>
      </c>
      <c r="R3314" s="25" t="s">
        <v>439</v>
      </c>
      <c r="S3314" s="25" t="s">
        <v>440</v>
      </c>
      <c r="T3314" s="25" t="s">
        <v>11</v>
      </c>
      <c r="U3314" s="25" t="s">
        <v>408</v>
      </c>
    </row>
    <row r="3315" spans="1:21" x14ac:dyDescent="0.25">
      <c r="A3315" s="26">
        <v>26234182</v>
      </c>
      <c r="B3315" s="25" t="s">
        <v>342</v>
      </c>
      <c r="C3315" s="25" t="s">
        <v>13</v>
      </c>
      <c r="D3315" s="25" t="s">
        <v>12</v>
      </c>
      <c r="E3315" s="25" t="s">
        <v>758</v>
      </c>
      <c r="F3315" s="25" t="s">
        <v>578</v>
      </c>
      <c r="G3315" s="25" t="s">
        <v>369</v>
      </c>
      <c r="H3315" s="25" t="s">
        <v>5</v>
      </c>
      <c r="I3315" s="25" t="s">
        <v>436</v>
      </c>
      <c r="J3315" s="25" t="s">
        <v>446</v>
      </c>
      <c r="K3315" s="25" t="s">
        <v>438</v>
      </c>
      <c r="L3315" s="25" t="s">
        <v>2</v>
      </c>
      <c r="M3315" s="25" t="s">
        <v>408</v>
      </c>
      <c r="N3315" s="25" t="s">
        <v>11</v>
      </c>
      <c r="O3315" s="25" t="s">
        <v>11</v>
      </c>
      <c r="P3315" s="25" t="s">
        <v>2</v>
      </c>
      <c r="Q3315" s="25" t="s">
        <v>408</v>
      </c>
      <c r="R3315" s="25" t="s">
        <v>439</v>
      </c>
      <c r="S3315" s="25" t="s">
        <v>440</v>
      </c>
      <c r="T3315" s="25" t="s">
        <v>11</v>
      </c>
      <c r="U3315" s="25" t="s">
        <v>408</v>
      </c>
    </row>
    <row r="3316" spans="1:21" x14ac:dyDescent="0.25">
      <c r="A3316" s="26">
        <v>26234183</v>
      </c>
      <c r="B3316" s="25" t="s">
        <v>340</v>
      </c>
      <c r="C3316" s="25" t="s">
        <v>15</v>
      </c>
      <c r="D3316" s="25" t="s">
        <v>12</v>
      </c>
      <c r="E3316" s="25" t="s">
        <v>638</v>
      </c>
      <c r="F3316" s="25" t="s">
        <v>584</v>
      </c>
      <c r="G3316" s="25" t="s">
        <v>369</v>
      </c>
      <c r="H3316" s="25" t="s">
        <v>5</v>
      </c>
      <c r="I3316" s="25" t="s">
        <v>436</v>
      </c>
      <c r="J3316" s="25" t="s">
        <v>446</v>
      </c>
      <c r="K3316" s="25" t="s">
        <v>438</v>
      </c>
      <c r="L3316" s="25" t="s">
        <v>2</v>
      </c>
      <c r="M3316" s="25" t="s">
        <v>408</v>
      </c>
      <c r="N3316" s="25" t="s">
        <v>11</v>
      </c>
      <c r="O3316" s="25" t="s">
        <v>11</v>
      </c>
      <c r="P3316" s="25" t="s">
        <v>2</v>
      </c>
      <c r="Q3316" s="25" t="s">
        <v>408</v>
      </c>
      <c r="R3316" s="25" t="s">
        <v>439</v>
      </c>
      <c r="S3316" s="25" t="s">
        <v>440</v>
      </c>
      <c r="T3316" s="25" t="s">
        <v>11</v>
      </c>
      <c r="U3316" s="25" t="s">
        <v>408</v>
      </c>
    </row>
    <row r="3317" spans="1:21" x14ac:dyDescent="0.25">
      <c r="A3317" s="26">
        <v>26234184</v>
      </c>
      <c r="B3317" s="25" t="s">
        <v>342</v>
      </c>
      <c r="C3317" s="25" t="s">
        <v>13</v>
      </c>
      <c r="D3317" s="25" t="s">
        <v>12</v>
      </c>
      <c r="E3317" s="25" t="s">
        <v>638</v>
      </c>
      <c r="F3317" s="25" t="s">
        <v>577</v>
      </c>
      <c r="G3317" s="25" t="s">
        <v>369</v>
      </c>
      <c r="H3317" s="25" t="s">
        <v>5</v>
      </c>
      <c r="I3317" s="25" t="s">
        <v>436</v>
      </c>
      <c r="J3317" s="25" t="s">
        <v>446</v>
      </c>
      <c r="K3317" s="25" t="s">
        <v>438</v>
      </c>
      <c r="L3317" s="25" t="s">
        <v>2</v>
      </c>
      <c r="M3317" s="25" t="s">
        <v>408</v>
      </c>
      <c r="N3317" s="25" t="s">
        <v>11</v>
      </c>
      <c r="O3317" s="25" t="s">
        <v>11</v>
      </c>
      <c r="P3317" s="25" t="s">
        <v>2</v>
      </c>
      <c r="Q3317" s="25" t="s">
        <v>408</v>
      </c>
      <c r="R3317" s="25" t="s">
        <v>439</v>
      </c>
      <c r="S3317" s="25" t="s">
        <v>440</v>
      </c>
      <c r="T3317" s="25" t="s">
        <v>11</v>
      </c>
      <c r="U3317" s="25" t="s">
        <v>408</v>
      </c>
    </row>
    <row r="3318" spans="1:21" x14ac:dyDescent="0.25">
      <c r="A3318" s="26">
        <v>26234185</v>
      </c>
      <c r="B3318" s="25" t="s">
        <v>342</v>
      </c>
      <c r="C3318" s="25" t="s">
        <v>13</v>
      </c>
      <c r="D3318" s="25" t="s">
        <v>79</v>
      </c>
      <c r="E3318" s="25" t="s">
        <v>638</v>
      </c>
      <c r="F3318" s="25" t="s">
        <v>577</v>
      </c>
      <c r="G3318" s="25" t="s">
        <v>369</v>
      </c>
      <c r="H3318" s="25" t="s">
        <v>5</v>
      </c>
      <c r="I3318" s="25" t="s">
        <v>436</v>
      </c>
      <c r="J3318" s="25" t="s">
        <v>446</v>
      </c>
      <c r="K3318" s="25" t="s">
        <v>438</v>
      </c>
      <c r="L3318" s="25" t="s">
        <v>2</v>
      </c>
      <c r="M3318" s="25" t="s">
        <v>408</v>
      </c>
      <c r="N3318" s="25" t="s">
        <v>11</v>
      </c>
      <c r="O3318" s="25" t="s">
        <v>11</v>
      </c>
      <c r="P3318" s="25" t="s">
        <v>2</v>
      </c>
      <c r="Q3318" s="25" t="s">
        <v>408</v>
      </c>
      <c r="R3318" s="25" t="s">
        <v>439</v>
      </c>
      <c r="S3318" s="25" t="s">
        <v>440</v>
      </c>
      <c r="T3318" s="25" t="s">
        <v>11</v>
      </c>
      <c r="U3318" s="25" t="s">
        <v>408</v>
      </c>
    </row>
    <row r="3319" spans="1:21" x14ac:dyDescent="0.25">
      <c r="A3319" s="26">
        <v>26234186</v>
      </c>
      <c r="B3319" s="25" t="s">
        <v>342</v>
      </c>
      <c r="C3319" s="25" t="s">
        <v>13</v>
      </c>
      <c r="D3319" s="25" t="s">
        <v>12</v>
      </c>
      <c r="E3319" s="25" t="s">
        <v>638</v>
      </c>
      <c r="F3319" s="25" t="s">
        <v>577</v>
      </c>
      <c r="G3319" s="25" t="s">
        <v>369</v>
      </c>
      <c r="H3319" s="25" t="s">
        <v>5</v>
      </c>
      <c r="I3319" s="25" t="s">
        <v>436</v>
      </c>
      <c r="J3319" s="25" t="s">
        <v>446</v>
      </c>
      <c r="K3319" s="25" t="s">
        <v>438</v>
      </c>
      <c r="L3319" s="25" t="s">
        <v>2</v>
      </c>
      <c r="M3319" s="25" t="s">
        <v>408</v>
      </c>
      <c r="N3319" s="25" t="s">
        <v>11</v>
      </c>
      <c r="O3319" s="25" t="s">
        <v>11</v>
      </c>
      <c r="P3319" s="25" t="s">
        <v>2</v>
      </c>
      <c r="Q3319" s="25" t="s">
        <v>408</v>
      </c>
      <c r="R3319" s="25" t="s">
        <v>439</v>
      </c>
      <c r="S3319" s="25" t="s">
        <v>440</v>
      </c>
      <c r="T3319" s="25" t="s">
        <v>11</v>
      </c>
      <c r="U3319" s="25" t="s">
        <v>408</v>
      </c>
    </row>
    <row r="3320" spans="1:21" x14ac:dyDescent="0.25">
      <c r="A3320" s="26">
        <v>26234187</v>
      </c>
      <c r="B3320" s="25" t="s">
        <v>342</v>
      </c>
      <c r="C3320" s="25" t="s">
        <v>13</v>
      </c>
      <c r="D3320" s="25" t="s">
        <v>12</v>
      </c>
      <c r="E3320" s="25" t="s">
        <v>638</v>
      </c>
      <c r="F3320" s="25" t="s">
        <v>584</v>
      </c>
      <c r="G3320" s="25" t="s">
        <v>369</v>
      </c>
      <c r="H3320" s="25" t="s">
        <v>5</v>
      </c>
      <c r="I3320" s="25" t="s">
        <v>436</v>
      </c>
      <c r="J3320" s="25" t="s">
        <v>446</v>
      </c>
      <c r="K3320" s="25" t="s">
        <v>438</v>
      </c>
      <c r="L3320" s="25" t="s">
        <v>2</v>
      </c>
      <c r="M3320" s="25" t="s">
        <v>408</v>
      </c>
      <c r="N3320" s="25" t="s">
        <v>11</v>
      </c>
      <c r="O3320" s="25" t="s">
        <v>11</v>
      </c>
      <c r="P3320" s="25" t="s">
        <v>2</v>
      </c>
      <c r="Q3320" s="25" t="s">
        <v>408</v>
      </c>
      <c r="R3320" s="25" t="s">
        <v>439</v>
      </c>
      <c r="S3320" s="25" t="s">
        <v>440</v>
      </c>
      <c r="T3320" s="25" t="s">
        <v>11</v>
      </c>
      <c r="U3320" s="25" t="s">
        <v>408</v>
      </c>
    </row>
    <row r="3321" spans="1:21" x14ac:dyDescent="0.25">
      <c r="A3321" s="26">
        <v>26234188</v>
      </c>
      <c r="B3321" s="25" t="s">
        <v>342</v>
      </c>
      <c r="C3321" s="25" t="s">
        <v>13</v>
      </c>
      <c r="D3321" s="25" t="s">
        <v>12</v>
      </c>
      <c r="E3321" s="25" t="s">
        <v>758</v>
      </c>
      <c r="F3321" s="25" t="s">
        <v>578</v>
      </c>
      <c r="G3321" s="25" t="s">
        <v>369</v>
      </c>
      <c r="H3321" s="25" t="s">
        <v>5</v>
      </c>
      <c r="I3321" s="25" t="s">
        <v>436</v>
      </c>
      <c r="J3321" s="25" t="s">
        <v>446</v>
      </c>
      <c r="K3321" s="25" t="s">
        <v>438</v>
      </c>
      <c r="L3321" s="25" t="s">
        <v>2</v>
      </c>
      <c r="M3321" s="25" t="s">
        <v>408</v>
      </c>
      <c r="N3321" s="25" t="s">
        <v>11</v>
      </c>
      <c r="O3321" s="25" t="s">
        <v>11</v>
      </c>
      <c r="P3321" s="25" t="s">
        <v>2</v>
      </c>
      <c r="Q3321" s="25" t="s">
        <v>408</v>
      </c>
      <c r="R3321" s="25" t="s">
        <v>439</v>
      </c>
      <c r="S3321" s="25" t="s">
        <v>440</v>
      </c>
      <c r="T3321" s="25" t="s">
        <v>11</v>
      </c>
      <c r="U3321" s="25" t="s">
        <v>408</v>
      </c>
    </row>
    <row r="3322" spans="1:21" x14ac:dyDescent="0.25">
      <c r="A3322" s="26">
        <v>26234189</v>
      </c>
      <c r="B3322" s="25" t="s">
        <v>340</v>
      </c>
      <c r="C3322" s="25" t="s">
        <v>15</v>
      </c>
      <c r="D3322" s="25" t="s">
        <v>12</v>
      </c>
      <c r="E3322" s="25" t="s">
        <v>638</v>
      </c>
      <c r="F3322" s="25" t="s">
        <v>577</v>
      </c>
      <c r="G3322" s="25" t="s">
        <v>369</v>
      </c>
      <c r="H3322" s="25" t="s">
        <v>5</v>
      </c>
      <c r="I3322" s="25" t="s">
        <v>436</v>
      </c>
      <c r="J3322" s="25" t="s">
        <v>446</v>
      </c>
      <c r="K3322" s="25" t="s">
        <v>438</v>
      </c>
      <c r="L3322" s="25" t="s">
        <v>2</v>
      </c>
      <c r="M3322" s="25" t="s">
        <v>408</v>
      </c>
      <c r="N3322" s="25" t="s">
        <v>11</v>
      </c>
      <c r="O3322" s="25" t="s">
        <v>11</v>
      </c>
      <c r="P3322" s="25" t="s">
        <v>2</v>
      </c>
      <c r="Q3322" s="25" t="s">
        <v>408</v>
      </c>
      <c r="R3322" s="25" t="s">
        <v>439</v>
      </c>
      <c r="S3322" s="25" t="s">
        <v>440</v>
      </c>
      <c r="T3322" s="25" t="s">
        <v>11</v>
      </c>
      <c r="U3322" s="25" t="s">
        <v>408</v>
      </c>
    </row>
    <row r="3323" spans="1:21" x14ac:dyDescent="0.25">
      <c r="A3323" s="26">
        <v>26234190</v>
      </c>
      <c r="B3323" s="25" t="s">
        <v>340</v>
      </c>
      <c r="C3323" s="25" t="s">
        <v>15</v>
      </c>
      <c r="D3323" s="25" t="s">
        <v>12</v>
      </c>
      <c r="E3323" s="25" t="s">
        <v>638</v>
      </c>
      <c r="F3323" s="25" t="s">
        <v>584</v>
      </c>
      <c r="G3323" s="25" t="s">
        <v>369</v>
      </c>
      <c r="H3323" s="25" t="s">
        <v>5</v>
      </c>
      <c r="I3323" s="25" t="s">
        <v>436</v>
      </c>
      <c r="J3323" s="25" t="s">
        <v>446</v>
      </c>
      <c r="K3323" s="25" t="s">
        <v>438</v>
      </c>
      <c r="L3323" s="25" t="s">
        <v>2</v>
      </c>
      <c r="M3323" s="25" t="s">
        <v>408</v>
      </c>
      <c r="N3323" s="25" t="s">
        <v>11</v>
      </c>
      <c r="O3323" s="25" t="s">
        <v>11</v>
      </c>
      <c r="P3323" s="25" t="s">
        <v>2</v>
      </c>
      <c r="Q3323" s="25" t="s">
        <v>408</v>
      </c>
      <c r="R3323" s="25" t="s">
        <v>439</v>
      </c>
      <c r="S3323" s="25" t="s">
        <v>440</v>
      </c>
      <c r="T3323" s="25" t="s">
        <v>11</v>
      </c>
      <c r="U3323" s="25" t="s">
        <v>408</v>
      </c>
    </row>
    <row r="3324" spans="1:21" x14ac:dyDescent="0.25">
      <c r="A3324" s="26">
        <v>26234191</v>
      </c>
      <c r="B3324" s="25" t="s">
        <v>340</v>
      </c>
      <c r="C3324" s="25" t="s">
        <v>15</v>
      </c>
      <c r="D3324" s="25" t="s">
        <v>18</v>
      </c>
      <c r="E3324" s="25" t="s">
        <v>638</v>
      </c>
      <c r="F3324" s="25" t="s">
        <v>584</v>
      </c>
      <c r="G3324" s="25" t="s">
        <v>369</v>
      </c>
      <c r="H3324" s="25" t="s">
        <v>5</v>
      </c>
      <c r="I3324" s="25" t="s">
        <v>436</v>
      </c>
      <c r="J3324" s="25" t="s">
        <v>446</v>
      </c>
      <c r="K3324" s="25" t="s">
        <v>438</v>
      </c>
      <c r="L3324" s="25" t="s">
        <v>2</v>
      </c>
      <c r="M3324" s="25" t="s">
        <v>408</v>
      </c>
      <c r="N3324" s="25" t="s">
        <v>11</v>
      </c>
      <c r="O3324" s="25" t="s">
        <v>11</v>
      </c>
      <c r="P3324" s="25" t="s">
        <v>2</v>
      </c>
      <c r="Q3324" s="25" t="s">
        <v>408</v>
      </c>
      <c r="R3324" s="25" t="s">
        <v>439</v>
      </c>
      <c r="S3324" s="25" t="s">
        <v>440</v>
      </c>
      <c r="T3324" s="25" t="s">
        <v>11</v>
      </c>
      <c r="U3324" s="25" t="s">
        <v>408</v>
      </c>
    </row>
    <row r="3325" spans="1:21" x14ac:dyDescent="0.25">
      <c r="A3325" s="26">
        <v>26234192</v>
      </c>
      <c r="B3325" s="25" t="s">
        <v>342</v>
      </c>
      <c r="C3325" s="25" t="s">
        <v>13</v>
      </c>
      <c r="D3325" s="25" t="s">
        <v>12</v>
      </c>
      <c r="E3325" s="25" t="s">
        <v>638</v>
      </c>
      <c r="F3325" s="25" t="s">
        <v>584</v>
      </c>
      <c r="G3325" s="25" t="s">
        <v>369</v>
      </c>
      <c r="H3325" s="25" t="s">
        <v>5</v>
      </c>
      <c r="I3325" s="25" t="s">
        <v>436</v>
      </c>
      <c r="J3325" s="25" t="s">
        <v>446</v>
      </c>
      <c r="K3325" s="25" t="s">
        <v>438</v>
      </c>
      <c r="L3325" s="25" t="s">
        <v>2</v>
      </c>
      <c r="M3325" s="25" t="s">
        <v>408</v>
      </c>
      <c r="N3325" s="25" t="s">
        <v>11</v>
      </c>
      <c r="O3325" s="25" t="s">
        <v>11</v>
      </c>
      <c r="P3325" s="25" t="s">
        <v>2</v>
      </c>
      <c r="Q3325" s="25" t="s">
        <v>408</v>
      </c>
      <c r="R3325" s="25" t="s">
        <v>439</v>
      </c>
      <c r="S3325" s="25" t="s">
        <v>440</v>
      </c>
      <c r="T3325" s="25" t="s">
        <v>11</v>
      </c>
      <c r="U3325" s="25" t="s">
        <v>408</v>
      </c>
    </row>
    <row r="3326" spans="1:21" x14ac:dyDescent="0.25">
      <c r="A3326" s="26">
        <v>26234193</v>
      </c>
      <c r="B3326" s="25" t="s">
        <v>342</v>
      </c>
      <c r="C3326" s="25" t="s">
        <v>13</v>
      </c>
      <c r="D3326" s="25" t="s">
        <v>12</v>
      </c>
      <c r="E3326" s="25" t="s">
        <v>638</v>
      </c>
      <c r="F3326" s="25" t="s">
        <v>584</v>
      </c>
      <c r="G3326" s="25" t="s">
        <v>369</v>
      </c>
      <c r="H3326" s="25" t="s">
        <v>5</v>
      </c>
      <c r="I3326" s="25" t="s">
        <v>436</v>
      </c>
      <c r="J3326" s="25" t="s">
        <v>446</v>
      </c>
      <c r="K3326" s="25" t="s">
        <v>438</v>
      </c>
      <c r="L3326" s="25" t="s">
        <v>2</v>
      </c>
      <c r="M3326" s="25" t="s">
        <v>408</v>
      </c>
      <c r="N3326" s="25" t="s">
        <v>11</v>
      </c>
      <c r="O3326" s="25" t="s">
        <v>11</v>
      </c>
      <c r="P3326" s="25" t="s">
        <v>2</v>
      </c>
      <c r="Q3326" s="25" t="s">
        <v>408</v>
      </c>
      <c r="R3326" s="25" t="s">
        <v>439</v>
      </c>
      <c r="S3326" s="25" t="s">
        <v>440</v>
      </c>
      <c r="T3326" s="25" t="s">
        <v>11</v>
      </c>
      <c r="U3326" s="25" t="s">
        <v>408</v>
      </c>
    </row>
    <row r="3327" spans="1:21" x14ac:dyDescent="0.25">
      <c r="A3327" s="26">
        <v>26234194</v>
      </c>
      <c r="B3327" s="25" t="s">
        <v>342</v>
      </c>
      <c r="C3327" s="25" t="s">
        <v>13</v>
      </c>
      <c r="D3327" s="25" t="s">
        <v>12</v>
      </c>
      <c r="E3327" s="25" t="s">
        <v>638</v>
      </c>
      <c r="F3327" s="25" t="s">
        <v>577</v>
      </c>
      <c r="G3327" s="25" t="s">
        <v>369</v>
      </c>
      <c r="H3327" s="25" t="s">
        <v>5</v>
      </c>
      <c r="I3327" s="25" t="s">
        <v>436</v>
      </c>
      <c r="J3327" s="25" t="s">
        <v>446</v>
      </c>
      <c r="K3327" s="25" t="s">
        <v>438</v>
      </c>
      <c r="L3327" s="25" t="s">
        <v>2</v>
      </c>
      <c r="M3327" s="25" t="s">
        <v>408</v>
      </c>
      <c r="N3327" s="25" t="s">
        <v>11</v>
      </c>
      <c r="O3327" s="25" t="s">
        <v>11</v>
      </c>
      <c r="P3327" s="25" t="s">
        <v>2</v>
      </c>
      <c r="Q3327" s="25" t="s">
        <v>408</v>
      </c>
      <c r="R3327" s="25" t="s">
        <v>439</v>
      </c>
      <c r="S3327" s="25" t="s">
        <v>440</v>
      </c>
      <c r="T3327" s="25" t="s">
        <v>11</v>
      </c>
      <c r="U3327" s="25" t="s">
        <v>408</v>
      </c>
    </row>
    <row r="3328" spans="1:21" x14ac:dyDescent="0.25">
      <c r="A3328" s="26">
        <v>26234195</v>
      </c>
      <c r="B3328" s="25" t="s">
        <v>340</v>
      </c>
      <c r="C3328" s="25" t="s">
        <v>15</v>
      </c>
      <c r="D3328" s="25" t="s">
        <v>12</v>
      </c>
      <c r="E3328" s="25" t="s">
        <v>638</v>
      </c>
      <c r="F3328" s="25" t="s">
        <v>584</v>
      </c>
      <c r="G3328" s="25" t="s">
        <v>369</v>
      </c>
      <c r="H3328" s="25" t="s">
        <v>5</v>
      </c>
      <c r="I3328" s="25" t="s">
        <v>436</v>
      </c>
      <c r="J3328" s="25" t="s">
        <v>446</v>
      </c>
      <c r="K3328" s="25" t="s">
        <v>438</v>
      </c>
      <c r="L3328" s="25" t="s">
        <v>2</v>
      </c>
      <c r="M3328" s="25" t="s">
        <v>408</v>
      </c>
      <c r="N3328" s="25" t="s">
        <v>11</v>
      </c>
      <c r="O3328" s="25" t="s">
        <v>11</v>
      </c>
      <c r="P3328" s="25" t="s">
        <v>2</v>
      </c>
      <c r="Q3328" s="25" t="s">
        <v>408</v>
      </c>
      <c r="R3328" s="25" t="s">
        <v>439</v>
      </c>
      <c r="S3328" s="25" t="s">
        <v>440</v>
      </c>
      <c r="T3328" s="25" t="s">
        <v>11</v>
      </c>
      <c r="U3328" s="25" t="s">
        <v>408</v>
      </c>
    </row>
    <row r="3329" spans="1:21" x14ac:dyDescent="0.25">
      <c r="A3329" s="26">
        <v>26234196</v>
      </c>
      <c r="B3329" s="25" t="s">
        <v>342</v>
      </c>
      <c r="C3329" s="25" t="s">
        <v>13</v>
      </c>
      <c r="D3329" s="25" t="s">
        <v>12</v>
      </c>
      <c r="E3329" s="25" t="s">
        <v>638</v>
      </c>
      <c r="F3329" s="25" t="s">
        <v>584</v>
      </c>
      <c r="G3329" s="25" t="s">
        <v>369</v>
      </c>
      <c r="H3329" s="25" t="s">
        <v>5</v>
      </c>
      <c r="I3329" s="25" t="s">
        <v>436</v>
      </c>
      <c r="J3329" s="25" t="s">
        <v>446</v>
      </c>
      <c r="K3329" s="25" t="s">
        <v>438</v>
      </c>
      <c r="L3329" s="25" t="s">
        <v>2</v>
      </c>
      <c r="M3329" s="25" t="s">
        <v>408</v>
      </c>
      <c r="N3329" s="25" t="s">
        <v>11</v>
      </c>
      <c r="O3329" s="25" t="s">
        <v>11</v>
      </c>
      <c r="P3329" s="25" t="s">
        <v>2</v>
      </c>
      <c r="Q3329" s="25" t="s">
        <v>408</v>
      </c>
      <c r="R3329" s="25" t="s">
        <v>439</v>
      </c>
      <c r="S3329" s="25" t="s">
        <v>440</v>
      </c>
      <c r="T3329" s="25" t="s">
        <v>11</v>
      </c>
      <c r="U3329" s="25" t="s">
        <v>408</v>
      </c>
    </row>
    <row r="3330" spans="1:21" x14ac:dyDescent="0.25">
      <c r="A3330" s="26">
        <v>26234197</v>
      </c>
      <c r="B3330" s="25" t="s">
        <v>340</v>
      </c>
      <c r="C3330" s="25" t="s">
        <v>15</v>
      </c>
      <c r="D3330" s="25" t="s">
        <v>12</v>
      </c>
      <c r="E3330" s="25" t="s">
        <v>638</v>
      </c>
      <c r="F3330" s="25" t="s">
        <v>584</v>
      </c>
      <c r="G3330" s="25" t="s">
        <v>369</v>
      </c>
      <c r="H3330" s="25" t="s">
        <v>5</v>
      </c>
      <c r="I3330" s="25" t="s">
        <v>436</v>
      </c>
      <c r="J3330" s="25" t="s">
        <v>446</v>
      </c>
      <c r="K3330" s="25" t="s">
        <v>438</v>
      </c>
      <c r="L3330" s="25" t="s">
        <v>2</v>
      </c>
      <c r="M3330" s="25" t="s">
        <v>408</v>
      </c>
      <c r="N3330" s="25" t="s">
        <v>11</v>
      </c>
      <c r="O3330" s="25" t="s">
        <v>11</v>
      </c>
      <c r="P3330" s="25" t="s">
        <v>2</v>
      </c>
      <c r="Q3330" s="25" t="s">
        <v>408</v>
      </c>
      <c r="R3330" s="25" t="s">
        <v>439</v>
      </c>
      <c r="S3330" s="25" t="s">
        <v>440</v>
      </c>
      <c r="T3330" s="25" t="s">
        <v>11</v>
      </c>
      <c r="U3330" s="25" t="s">
        <v>408</v>
      </c>
    </row>
    <row r="3331" spans="1:21" x14ac:dyDescent="0.25">
      <c r="A3331" s="26">
        <v>26234198</v>
      </c>
      <c r="B3331" s="25" t="s">
        <v>340</v>
      </c>
      <c r="C3331" s="25" t="s">
        <v>15</v>
      </c>
      <c r="D3331" s="25" t="s">
        <v>12</v>
      </c>
      <c r="E3331" s="25" t="s">
        <v>638</v>
      </c>
      <c r="F3331" s="25" t="s">
        <v>584</v>
      </c>
      <c r="G3331" s="25" t="s">
        <v>369</v>
      </c>
      <c r="H3331" s="25" t="s">
        <v>5</v>
      </c>
      <c r="I3331" s="25" t="s">
        <v>436</v>
      </c>
      <c r="J3331" s="25" t="s">
        <v>446</v>
      </c>
      <c r="K3331" s="25" t="s">
        <v>438</v>
      </c>
      <c r="L3331" s="25" t="s">
        <v>2</v>
      </c>
      <c r="M3331" s="25" t="s">
        <v>408</v>
      </c>
      <c r="N3331" s="25" t="s">
        <v>11</v>
      </c>
      <c r="O3331" s="25" t="s">
        <v>11</v>
      </c>
      <c r="P3331" s="25" t="s">
        <v>2</v>
      </c>
      <c r="Q3331" s="25" t="s">
        <v>408</v>
      </c>
      <c r="R3331" s="25" t="s">
        <v>439</v>
      </c>
      <c r="S3331" s="25" t="s">
        <v>440</v>
      </c>
      <c r="T3331" s="25" t="s">
        <v>11</v>
      </c>
      <c r="U3331" s="25" t="s">
        <v>408</v>
      </c>
    </row>
    <row r="3332" spans="1:21" x14ac:dyDescent="0.25">
      <c r="A3332" s="26">
        <v>26234199</v>
      </c>
      <c r="B3332" s="25" t="s">
        <v>340</v>
      </c>
      <c r="C3332" s="25" t="s">
        <v>15</v>
      </c>
      <c r="D3332" s="25" t="s">
        <v>12</v>
      </c>
      <c r="E3332" s="25" t="s">
        <v>638</v>
      </c>
      <c r="F3332" s="25" t="s">
        <v>584</v>
      </c>
      <c r="G3332" s="25" t="s">
        <v>369</v>
      </c>
      <c r="H3332" s="25" t="s">
        <v>5</v>
      </c>
      <c r="I3332" s="25" t="s">
        <v>436</v>
      </c>
      <c r="J3332" s="25" t="s">
        <v>446</v>
      </c>
      <c r="K3332" s="25" t="s">
        <v>438</v>
      </c>
      <c r="L3332" s="25" t="s">
        <v>2</v>
      </c>
      <c r="M3332" s="25" t="s">
        <v>408</v>
      </c>
      <c r="N3332" s="25" t="s">
        <v>11</v>
      </c>
      <c r="O3332" s="25" t="s">
        <v>11</v>
      </c>
      <c r="P3332" s="25" t="s">
        <v>2</v>
      </c>
      <c r="Q3332" s="25" t="s">
        <v>408</v>
      </c>
      <c r="R3332" s="25" t="s">
        <v>439</v>
      </c>
      <c r="S3332" s="25" t="s">
        <v>440</v>
      </c>
      <c r="T3332" s="25" t="s">
        <v>11</v>
      </c>
      <c r="U3332" s="25" t="s">
        <v>408</v>
      </c>
    </row>
    <row r="3333" spans="1:21" x14ac:dyDescent="0.25">
      <c r="A3333" s="26">
        <v>26234200</v>
      </c>
      <c r="B3333" s="25" t="s">
        <v>342</v>
      </c>
      <c r="C3333" s="25" t="s">
        <v>13</v>
      </c>
      <c r="D3333" s="25" t="s">
        <v>12</v>
      </c>
      <c r="E3333" s="25" t="s">
        <v>637</v>
      </c>
      <c r="F3333" s="25" t="s">
        <v>666</v>
      </c>
      <c r="G3333" s="25" t="s">
        <v>369</v>
      </c>
      <c r="H3333" s="25" t="s">
        <v>5</v>
      </c>
      <c r="I3333" s="25" t="s">
        <v>436</v>
      </c>
      <c r="J3333" s="25" t="s">
        <v>446</v>
      </c>
      <c r="K3333" s="25" t="s">
        <v>438</v>
      </c>
      <c r="L3333" s="25" t="s">
        <v>2</v>
      </c>
      <c r="M3333" s="25" t="s">
        <v>408</v>
      </c>
      <c r="N3333" s="25" t="s">
        <v>11</v>
      </c>
      <c r="O3333" s="25" t="s">
        <v>11</v>
      </c>
      <c r="P3333" s="25" t="s">
        <v>2</v>
      </c>
      <c r="Q3333" s="25" t="s">
        <v>408</v>
      </c>
      <c r="R3333" s="25" t="s">
        <v>439</v>
      </c>
      <c r="S3333" s="25" t="s">
        <v>440</v>
      </c>
      <c r="T3333" s="25" t="s">
        <v>11</v>
      </c>
      <c r="U3333" s="25" t="s">
        <v>408</v>
      </c>
    </row>
    <row r="3334" spans="1:21" x14ac:dyDescent="0.25">
      <c r="A3334" s="26">
        <v>26234201</v>
      </c>
      <c r="B3334" s="25" t="s">
        <v>340</v>
      </c>
      <c r="C3334" s="25" t="s">
        <v>15</v>
      </c>
      <c r="D3334" s="25" t="s">
        <v>12</v>
      </c>
      <c r="E3334" s="25" t="s">
        <v>638</v>
      </c>
      <c r="F3334" s="25" t="s">
        <v>584</v>
      </c>
      <c r="G3334" s="25" t="s">
        <v>369</v>
      </c>
      <c r="H3334" s="25" t="s">
        <v>5</v>
      </c>
      <c r="I3334" s="25" t="s">
        <v>436</v>
      </c>
      <c r="J3334" s="25" t="s">
        <v>446</v>
      </c>
      <c r="K3334" s="25" t="s">
        <v>438</v>
      </c>
      <c r="L3334" s="25" t="s">
        <v>2</v>
      </c>
      <c r="M3334" s="25" t="s">
        <v>408</v>
      </c>
      <c r="N3334" s="25" t="s">
        <v>11</v>
      </c>
      <c r="O3334" s="25" t="s">
        <v>11</v>
      </c>
      <c r="P3334" s="25" t="s">
        <v>2</v>
      </c>
      <c r="Q3334" s="25" t="s">
        <v>408</v>
      </c>
      <c r="R3334" s="25" t="s">
        <v>439</v>
      </c>
      <c r="S3334" s="25" t="s">
        <v>440</v>
      </c>
      <c r="T3334" s="25" t="s">
        <v>11</v>
      </c>
      <c r="U3334" s="25" t="s">
        <v>408</v>
      </c>
    </row>
    <row r="3335" spans="1:21" x14ac:dyDescent="0.25">
      <c r="A3335" s="26">
        <v>26234202</v>
      </c>
      <c r="B3335" s="25" t="s">
        <v>342</v>
      </c>
      <c r="C3335" s="25" t="s">
        <v>13</v>
      </c>
      <c r="D3335" s="25" t="s">
        <v>12</v>
      </c>
      <c r="E3335" s="25" t="s">
        <v>638</v>
      </c>
      <c r="F3335" s="25" t="s">
        <v>584</v>
      </c>
      <c r="G3335" s="25" t="s">
        <v>369</v>
      </c>
      <c r="H3335" s="25" t="s">
        <v>5</v>
      </c>
      <c r="I3335" s="25" t="s">
        <v>436</v>
      </c>
      <c r="J3335" s="25" t="s">
        <v>446</v>
      </c>
      <c r="K3335" s="25" t="s">
        <v>438</v>
      </c>
      <c r="L3335" s="25" t="s">
        <v>2</v>
      </c>
      <c r="M3335" s="25" t="s">
        <v>408</v>
      </c>
      <c r="N3335" s="25" t="s">
        <v>11</v>
      </c>
      <c r="O3335" s="25" t="s">
        <v>11</v>
      </c>
      <c r="P3335" s="25" t="s">
        <v>2</v>
      </c>
      <c r="Q3335" s="25" t="s">
        <v>408</v>
      </c>
      <c r="R3335" s="25" t="s">
        <v>439</v>
      </c>
      <c r="S3335" s="25" t="s">
        <v>440</v>
      </c>
      <c r="T3335" s="25" t="s">
        <v>11</v>
      </c>
      <c r="U3335" s="25" t="s">
        <v>408</v>
      </c>
    </row>
    <row r="3336" spans="1:21" x14ac:dyDescent="0.25">
      <c r="A3336" s="26">
        <v>26234203</v>
      </c>
      <c r="B3336" s="25" t="s">
        <v>340</v>
      </c>
      <c r="C3336" s="25" t="s">
        <v>15</v>
      </c>
      <c r="D3336" s="25" t="s">
        <v>12</v>
      </c>
      <c r="E3336" s="25" t="s">
        <v>638</v>
      </c>
      <c r="F3336" s="25" t="s">
        <v>584</v>
      </c>
      <c r="G3336" s="25" t="s">
        <v>369</v>
      </c>
      <c r="H3336" s="25" t="s">
        <v>5</v>
      </c>
      <c r="I3336" s="25" t="s">
        <v>436</v>
      </c>
      <c r="J3336" s="25" t="s">
        <v>446</v>
      </c>
      <c r="K3336" s="25" t="s">
        <v>438</v>
      </c>
      <c r="L3336" s="25" t="s">
        <v>2</v>
      </c>
      <c r="M3336" s="25" t="s">
        <v>408</v>
      </c>
      <c r="N3336" s="25" t="s">
        <v>11</v>
      </c>
      <c r="O3336" s="25" t="s">
        <v>11</v>
      </c>
      <c r="P3336" s="25" t="s">
        <v>2</v>
      </c>
      <c r="Q3336" s="25" t="s">
        <v>408</v>
      </c>
      <c r="R3336" s="25" t="s">
        <v>439</v>
      </c>
      <c r="S3336" s="25" t="s">
        <v>440</v>
      </c>
      <c r="T3336" s="25" t="s">
        <v>11</v>
      </c>
      <c r="U3336" s="25" t="s">
        <v>408</v>
      </c>
    </row>
    <row r="3337" spans="1:21" x14ac:dyDescent="0.25">
      <c r="A3337" s="26">
        <v>26234204</v>
      </c>
      <c r="B3337" s="25" t="s">
        <v>340</v>
      </c>
      <c r="C3337" s="25" t="s">
        <v>15</v>
      </c>
      <c r="D3337" s="25" t="s">
        <v>12</v>
      </c>
      <c r="E3337" s="25" t="s">
        <v>638</v>
      </c>
      <c r="F3337" s="25" t="s">
        <v>577</v>
      </c>
      <c r="G3337" s="25" t="s">
        <v>369</v>
      </c>
      <c r="H3337" s="25" t="s">
        <v>5</v>
      </c>
      <c r="I3337" s="25" t="s">
        <v>436</v>
      </c>
      <c r="J3337" s="25" t="s">
        <v>446</v>
      </c>
      <c r="K3337" s="25" t="s">
        <v>438</v>
      </c>
      <c r="L3337" s="25" t="s">
        <v>2</v>
      </c>
      <c r="M3337" s="25" t="s">
        <v>408</v>
      </c>
      <c r="N3337" s="25" t="s">
        <v>11</v>
      </c>
      <c r="O3337" s="25" t="s">
        <v>11</v>
      </c>
      <c r="P3337" s="25" t="s">
        <v>2</v>
      </c>
      <c r="Q3337" s="25" t="s">
        <v>408</v>
      </c>
      <c r="R3337" s="25" t="s">
        <v>439</v>
      </c>
      <c r="S3337" s="25" t="s">
        <v>440</v>
      </c>
      <c r="T3337" s="25" t="s">
        <v>11</v>
      </c>
      <c r="U3337" s="25" t="s">
        <v>408</v>
      </c>
    </row>
    <row r="3338" spans="1:21" x14ac:dyDescent="0.25">
      <c r="A3338" s="26">
        <v>26234205</v>
      </c>
      <c r="B3338" s="25" t="s">
        <v>340</v>
      </c>
      <c r="C3338" s="25" t="s">
        <v>15</v>
      </c>
      <c r="D3338" s="25" t="s">
        <v>12</v>
      </c>
      <c r="E3338" s="25" t="s">
        <v>638</v>
      </c>
      <c r="F3338" s="25" t="s">
        <v>577</v>
      </c>
      <c r="G3338" s="25" t="s">
        <v>369</v>
      </c>
      <c r="H3338" s="25" t="s">
        <v>5</v>
      </c>
      <c r="I3338" s="25" t="s">
        <v>436</v>
      </c>
      <c r="J3338" s="25" t="s">
        <v>446</v>
      </c>
      <c r="K3338" s="25" t="s">
        <v>438</v>
      </c>
      <c r="L3338" s="25" t="s">
        <v>2</v>
      </c>
      <c r="M3338" s="25" t="s">
        <v>408</v>
      </c>
      <c r="N3338" s="25" t="s">
        <v>11</v>
      </c>
      <c r="O3338" s="25" t="s">
        <v>11</v>
      </c>
      <c r="P3338" s="25" t="s">
        <v>2</v>
      </c>
      <c r="Q3338" s="25" t="s">
        <v>408</v>
      </c>
      <c r="R3338" s="25" t="s">
        <v>439</v>
      </c>
      <c r="S3338" s="25" t="s">
        <v>440</v>
      </c>
      <c r="T3338" s="25" t="s">
        <v>11</v>
      </c>
      <c r="U3338" s="25" t="s">
        <v>408</v>
      </c>
    </row>
    <row r="3339" spans="1:21" x14ac:dyDescent="0.25">
      <c r="A3339" s="26">
        <v>26234206</v>
      </c>
      <c r="B3339" s="25" t="s">
        <v>340</v>
      </c>
      <c r="C3339" s="25" t="s">
        <v>15</v>
      </c>
      <c r="D3339" s="25" t="s">
        <v>12</v>
      </c>
      <c r="E3339" s="25" t="s">
        <v>638</v>
      </c>
      <c r="F3339" s="25" t="s">
        <v>577</v>
      </c>
      <c r="G3339" s="25" t="s">
        <v>369</v>
      </c>
      <c r="H3339" s="25" t="s">
        <v>5</v>
      </c>
      <c r="I3339" s="25" t="s">
        <v>436</v>
      </c>
      <c r="J3339" s="25" t="s">
        <v>446</v>
      </c>
      <c r="K3339" s="25" t="s">
        <v>438</v>
      </c>
      <c r="L3339" s="25" t="s">
        <v>2</v>
      </c>
      <c r="M3339" s="25" t="s">
        <v>408</v>
      </c>
      <c r="N3339" s="25" t="s">
        <v>11</v>
      </c>
      <c r="O3339" s="25" t="s">
        <v>11</v>
      </c>
      <c r="P3339" s="25" t="s">
        <v>2</v>
      </c>
      <c r="Q3339" s="25" t="s">
        <v>408</v>
      </c>
      <c r="R3339" s="25" t="s">
        <v>439</v>
      </c>
      <c r="S3339" s="25" t="s">
        <v>440</v>
      </c>
      <c r="T3339" s="25" t="s">
        <v>11</v>
      </c>
      <c r="U3339" s="25" t="s">
        <v>408</v>
      </c>
    </row>
    <row r="3340" spans="1:21" x14ac:dyDescent="0.25">
      <c r="A3340" s="26">
        <v>26234207</v>
      </c>
      <c r="B3340" s="25" t="s">
        <v>342</v>
      </c>
      <c r="C3340" s="25" t="s">
        <v>13</v>
      </c>
      <c r="D3340" s="25" t="s">
        <v>12</v>
      </c>
      <c r="E3340" s="25" t="s">
        <v>638</v>
      </c>
      <c r="F3340" s="25" t="s">
        <v>577</v>
      </c>
      <c r="G3340" s="25" t="s">
        <v>369</v>
      </c>
      <c r="H3340" s="25" t="s">
        <v>5</v>
      </c>
      <c r="I3340" s="25" t="s">
        <v>436</v>
      </c>
      <c r="J3340" s="25" t="s">
        <v>446</v>
      </c>
      <c r="K3340" s="25" t="s">
        <v>438</v>
      </c>
      <c r="L3340" s="25" t="s">
        <v>2</v>
      </c>
      <c r="M3340" s="25" t="s">
        <v>408</v>
      </c>
      <c r="N3340" s="25" t="s">
        <v>11</v>
      </c>
      <c r="O3340" s="25" t="s">
        <v>11</v>
      </c>
      <c r="P3340" s="25" t="s">
        <v>2</v>
      </c>
      <c r="Q3340" s="25" t="s">
        <v>408</v>
      </c>
      <c r="R3340" s="25" t="s">
        <v>439</v>
      </c>
      <c r="S3340" s="25" t="s">
        <v>440</v>
      </c>
      <c r="T3340" s="25" t="s">
        <v>11</v>
      </c>
      <c r="U3340" s="25" t="s">
        <v>408</v>
      </c>
    </row>
    <row r="3341" spans="1:21" x14ac:dyDescent="0.25">
      <c r="A3341" s="26">
        <v>26234208</v>
      </c>
      <c r="B3341" s="25" t="s">
        <v>342</v>
      </c>
      <c r="C3341" s="25" t="s">
        <v>13</v>
      </c>
      <c r="D3341" s="25" t="s">
        <v>12</v>
      </c>
      <c r="E3341" s="25" t="s">
        <v>638</v>
      </c>
      <c r="F3341" s="25" t="s">
        <v>577</v>
      </c>
      <c r="G3341" s="25" t="s">
        <v>369</v>
      </c>
      <c r="H3341" s="25" t="s">
        <v>5</v>
      </c>
      <c r="I3341" s="25" t="s">
        <v>436</v>
      </c>
      <c r="J3341" s="25" t="s">
        <v>446</v>
      </c>
      <c r="K3341" s="25" t="s">
        <v>438</v>
      </c>
      <c r="L3341" s="25" t="s">
        <v>2</v>
      </c>
      <c r="M3341" s="25" t="s">
        <v>408</v>
      </c>
      <c r="N3341" s="25" t="s">
        <v>11</v>
      </c>
      <c r="O3341" s="25" t="s">
        <v>11</v>
      </c>
      <c r="P3341" s="25" t="s">
        <v>2</v>
      </c>
      <c r="Q3341" s="25" t="s">
        <v>408</v>
      </c>
      <c r="R3341" s="25" t="s">
        <v>439</v>
      </c>
      <c r="S3341" s="25" t="s">
        <v>440</v>
      </c>
      <c r="T3341" s="25" t="s">
        <v>11</v>
      </c>
      <c r="U3341" s="25" t="s">
        <v>408</v>
      </c>
    </row>
    <row r="3342" spans="1:21" x14ac:dyDescent="0.25">
      <c r="A3342" s="26">
        <v>26234209</v>
      </c>
      <c r="B3342" s="25" t="s">
        <v>340</v>
      </c>
      <c r="C3342" s="25" t="s">
        <v>15</v>
      </c>
      <c r="D3342" s="25" t="s">
        <v>12</v>
      </c>
      <c r="E3342" s="25" t="s">
        <v>638</v>
      </c>
      <c r="F3342" s="25" t="s">
        <v>577</v>
      </c>
      <c r="G3342" s="25" t="s">
        <v>369</v>
      </c>
      <c r="H3342" s="25" t="s">
        <v>5</v>
      </c>
      <c r="I3342" s="25" t="s">
        <v>436</v>
      </c>
      <c r="J3342" s="25" t="s">
        <v>446</v>
      </c>
      <c r="K3342" s="25" t="s">
        <v>438</v>
      </c>
      <c r="L3342" s="25" t="s">
        <v>2</v>
      </c>
      <c r="M3342" s="25" t="s">
        <v>408</v>
      </c>
      <c r="N3342" s="25" t="s">
        <v>11</v>
      </c>
      <c r="O3342" s="25" t="s">
        <v>11</v>
      </c>
      <c r="P3342" s="25" t="s">
        <v>2</v>
      </c>
      <c r="Q3342" s="25" t="s">
        <v>408</v>
      </c>
      <c r="R3342" s="25" t="s">
        <v>439</v>
      </c>
      <c r="S3342" s="25" t="s">
        <v>440</v>
      </c>
      <c r="T3342" s="25" t="s">
        <v>11</v>
      </c>
      <c r="U3342" s="25" t="s">
        <v>408</v>
      </c>
    </row>
    <row r="3343" spans="1:21" x14ac:dyDescent="0.25">
      <c r="A3343" s="26">
        <v>26234210</v>
      </c>
      <c r="B3343" s="25" t="s">
        <v>342</v>
      </c>
      <c r="C3343" s="25" t="s">
        <v>13</v>
      </c>
      <c r="D3343" s="25" t="s">
        <v>18</v>
      </c>
      <c r="E3343" s="25" t="s">
        <v>638</v>
      </c>
      <c r="F3343" s="25" t="s">
        <v>584</v>
      </c>
      <c r="G3343" s="25" t="s">
        <v>369</v>
      </c>
      <c r="H3343" s="25" t="s">
        <v>5</v>
      </c>
      <c r="I3343" s="25" t="s">
        <v>436</v>
      </c>
      <c r="J3343" s="25" t="s">
        <v>446</v>
      </c>
      <c r="K3343" s="25" t="s">
        <v>438</v>
      </c>
      <c r="L3343" s="25" t="s">
        <v>2</v>
      </c>
      <c r="M3343" s="25" t="s">
        <v>408</v>
      </c>
      <c r="N3343" s="25" t="s">
        <v>11</v>
      </c>
      <c r="O3343" s="25" t="s">
        <v>11</v>
      </c>
      <c r="P3343" s="25" t="s">
        <v>2</v>
      </c>
      <c r="Q3343" s="25" t="s">
        <v>408</v>
      </c>
      <c r="R3343" s="25" t="s">
        <v>439</v>
      </c>
      <c r="S3343" s="25" t="s">
        <v>440</v>
      </c>
      <c r="T3343" s="25" t="s">
        <v>11</v>
      </c>
      <c r="U3343" s="25" t="s">
        <v>408</v>
      </c>
    </row>
    <row r="3344" spans="1:21" x14ac:dyDescent="0.25">
      <c r="A3344" s="26">
        <v>26234211</v>
      </c>
      <c r="B3344" s="25" t="s">
        <v>342</v>
      </c>
      <c r="C3344" s="25" t="s">
        <v>13</v>
      </c>
      <c r="D3344" s="25" t="s">
        <v>12</v>
      </c>
      <c r="E3344" s="25" t="s">
        <v>638</v>
      </c>
      <c r="F3344" s="25" t="s">
        <v>584</v>
      </c>
      <c r="G3344" s="25" t="s">
        <v>369</v>
      </c>
      <c r="H3344" s="25" t="s">
        <v>5</v>
      </c>
      <c r="I3344" s="25" t="s">
        <v>436</v>
      </c>
      <c r="J3344" s="25" t="s">
        <v>446</v>
      </c>
      <c r="K3344" s="25" t="s">
        <v>438</v>
      </c>
      <c r="L3344" s="25" t="s">
        <v>2</v>
      </c>
      <c r="M3344" s="25" t="s">
        <v>408</v>
      </c>
      <c r="N3344" s="25" t="s">
        <v>11</v>
      </c>
      <c r="O3344" s="25" t="s">
        <v>11</v>
      </c>
      <c r="P3344" s="25" t="s">
        <v>2</v>
      </c>
      <c r="Q3344" s="25" t="s">
        <v>408</v>
      </c>
      <c r="R3344" s="25" t="s">
        <v>439</v>
      </c>
      <c r="S3344" s="25" t="s">
        <v>440</v>
      </c>
      <c r="T3344" s="25" t="s">
        <v>11</v>
      </c>
      <c r="U3344" s="25" t="s">
        <v>408</v>
      </c>
    </row>
    <row r="3345" spans="1:21" x14ac:dyDescent="0.25">
      <c r="A3345" s="26">
        <v>26234212</v>
      </c>
      <c r="B3345" s="25" t="s">
        <v>340</v>
      </c>
      <c r="C3345" s="25" t="s">
        <v>15</v>
      </c>
      <c r="D3345" s="25" t="s">
        <v>12</v>
      </c>
      <c r="E3345" s="25" t="s">
        <v>638</v>
      </c>
      <c r="F3345" s="25" t="s">
        <v>584</v>
      </c>
      <c r="G3345" s="25" t="s">
        <v>369</v>
      </c>
      <c r="H3345" s="25" t="s">
        <v>5</v>
      </c>
      <c r="I3345" s="25" t="s">
        <v>436</v>
      </c>
      <c r="J3345" s="25" t="s">
        <v>446</v>
      </c>
      <c r="K3345" s="25" t="s">
        <v>438</v>
      </c>
      <c r="L3345" s="25" t="s">
        <v>2</v>
      </c>
      <c r="M3345" s="25" t="s">
        <v>408</v>
      </c>
      <c r="N3345" s="25" t="s">
        <v>11</v>
      </c>
      <c r="O3345" s="25" t="s">
        <v>11</v>
      </c>
      <c r="P3345" s="25" t="s">
        <v>2</v>
      </c>
      <c r="Q3345" s="25" t="s">
        <v>408</v>
      </c>
      <c r="R3345" s="25" t="s">
        <v>439</v>
      </c>
      <c r="S3345" s="25" t="s">
        <v>440</v>
      </c>
      <c r="T3345" s="25" t="s">
        <v>11</v>
      </c>
      <c r="U3345" s="25" t="s">
        <v>408</v>
      </c>
    </row>
    <row r="3346" spans="1:21" x14ac:dyDescent="0.25">
      <c r="A3346" s="26">
        <v>26234213</v>
      </c>
      <c r="B3346" s="25" t="s">
        <v>340</v>
      </c>
      <c r="C3346" s="25" t="s">
        <v>15</v>
      </c>
      <c r="D3346" s="25" t="s">
        <v>12</v>
      </c>
      <c r="E3346" s="25" t="s">
        <v>638</v>
      </c>
      <c r="F3346" s="25" t="s">
        <v>577</v>
      </c>
      <c r="G3346" s="25" t="s">
        <v>369</v>
      </c>
      <c r="H3346" s="25" t="s">
        <v>5</v>
      </c>
      <c r="I3346" s="25" t="s">
        <v>436</v>
      </c>
      <c r="J3346" s="25" t="s">
        <v>446</v>
      </c>
      <c r="K3346" s="25" t="s">
        <v>438</v>
      </c>
      <c r="L3346" s="25" t="s">
        <v>2</v>
      </c>
      <c r="M3346" s="25" t="s">
        <v>408</v>
      </c>
      <c r="N3346" s="25" t="s">
        <v>11</v>
      </c>
      <c r="O3346" s="25" t="s">
        <v>11</v>
      </c>
      <c r="P3346" s="25" t="s">
        <v>2</v>
      </c>
      <c r="Q3346" s="25" t="s">
        <v>408</v>
      </c>
      <c r="R3346" s="25" t="s">
        <v>439</v>
      </c>
      <c r="S3346" s="25" t="s">
        <v>440</v>
      </c>
      <c r="T3346" s="25" t="s">
        <v>11</v>
      </c>
      <c r="U3346" s="25" t="s">
        <v>408</v>
      </c>
    </row>
    <row r="3347" spans="1:21" x14ac:dyDescent="0.25">
      <c r="A3347" s="26">
        <v>26234214</v>
      </c>
      <c r="B3347" s="25" t="s">
        <v>342</v>
      </c>
      <c r="C3347" s="25" t="s">
        <v>13</v>
      </c>
      <c r="D3347" s="25" t="s">
        <v>18</v>
      </c>
      <c r="E3347" s="25" t="s">
        <v>638</v>
      </c>
      <c r="F3347" s="25" t="s">
        <v>577</v>
      </c>
      <c r="G3347" s="25" t="s">
        <v>369</v>
      </c>
      <c r="H3347" s="25" t="s">
        <v>5</v>
      </c>
      <c r="I3347" s="25" t="s">
        <v>436</v>
      </c>
      <c r="J3347" s="25" t="s">
        <v>446</v>
      </c>
      <c r="K3347" s="25" t="s">
        <v>438</v>
      </c>
      <c r="L3347" s="25" t="s">
        <v>2</v>
      </c>
      <c r="M3347" s="25" t="s">
        <v>408</v>
      </c>
      <c r="N3347" s="25" t="s">
        <v>11</v>
      </c>
      <c r="O3347" s="25" t="s">
        <v>11</v>
      </c>
      <c r="P3347" s="25" t="s">
        <v>2</v>
      </c>
      <c r="Q3347" s="25" t="s">
        <v>408</v>
      </c>
      <c r="R3347" s="25" t="s">
        <v>439</v>
      </c>
      <c r="S3347" s="25" t="s">
        <v>440</v>
      </c>
      <c r="T3347" s="25" t="s">
        <v>11</v>
      </c>
      <c r="U3347" s="25" t="s">
        <v>408</v>
      </c>
    </row>
    <row r="3348" spans="1:21" x14ac:dyDescent="0.25">
      <c r="A3348" s="26">
        <v>26234236</v>
      </c>
      <c r="B3348" s="25" t="s">
        <v>342</v>
      </c>
      <c r="C3348" s="25" t="s">
        <v>13</v>
      </c>
      <c r="D3348" s="25" t="s">
        <v>12</v>
      </c>
      <c r="E3348" s="25" t="s">
        <v>638</v>
      </c>
      <c r="F3348" s="25" t="s">
        <v>577</v>
      </c>
      <c r="G3348" s="25" t="s">
        <v>369</v>
      </c>
      <c r="H3348" s="25" t="s">
        <v>0</v>
      </c>
      <c r="I3348" s="25" t="s">
        <v>436</v>
      </c>
      <c r="J3348" s="25" t="s">
        <v>437</v>
      </c>
      <c r="K3348" s="25" t="s">
        <v>438</v>
      </c>
      <c r="L3348" s="25" t="s">
        <v>345</v>
      </c>
      <c r="M3348" s="25" t="s">
        <v>408</v>
      </c>
      <c r="N3348" s="25" t="s">
        <v>11</v>
      </c>
      <c r="O3348" s="25" t="s">
        <v>11</v>
      </c>
      <c r="P3348" s="25" t="s">
        <v>0</v>
      </c>
      <c r="Q3348" s="25" t="s">
        <v>408</v>
      </c>
      <c r="R3348" s="25" t="s">
        <v>439</v>
      </c>
      <c r="S3348" s="25" t="s">
        <v>440</v>
      </c>
      <c r="T3348" s="25" t="s">
        <v>11</v>
      </c>
      <c r="U3348" s="25" t="s">
        <v>408</v>
      </c>
    </row>
    <row r="3349" spans="1:21" x14ac:dyDescent="0.25">
      <c r="A3349" s="26">
        <v>26234237</v>
      </c>
      <c r="B3349" s="25" t="s">
        <v>340</v>
      </c>
      <c r="C3349" s="25" t="s">
        <v>15</v>
      </c>
      <c r="D3349" s="25" t="s">
        <v>18</v>
      </c>
      <c r="E3349" s="25" t="s">
        <v>638</v>
      </c>
      <c r="F3349" s="25" t="s">
        <v>577</v>
      </c>
      <c r="G3349" s="25" t="s">
        <v>369</v>
      </c>
      <c r="H3349" s="25" t="s">
        <v>3</v>
      </c>
      <c r="I3349" s="25" t="s">
        <v>436</v>
      </c>
      <c r="J3349" s="25" t="s">
        <v>441</v>
      </c>
      <c r="K3349" s="25" t="s">
        <v>442</v>
      </c>
      <c r="L3349" s="25" t="s">
        <v>0</v>
      </c>
      <c r="M3349" s="25" t="s">
        <v>408</v>
      </c>
      <c r="N3349" s="25" t="s">
        <v>11</v>
      </c>
      <c r="O3349" s="25" t="s">
        <v>11</v>
      </c>
      <c r="P3349" s="25" t="s">
        <v>0</v>
      </c>
      <c r="Q3349" s="25" t="s">
        <v>408</v>
      </c>
      <c r="R3349" s="25" t="s">
        <v>439</v>
      </c>
      <c r="S3349" s="25" t="s">
        <v>440</v>
      </c>
      <c r="T3349" s="25" t="s">
        <v>11</v>
      </c>
      <c r="U3349" s="25" t="s">
        <v>408</v>
      </c>
    </row>
    <row r="3350" spans="1:21" x14ac:dyDescent="0.25">
      <c r="A3350" s="26">
        <v>26234238</v>
      </c>
      <c r="B3350" s="25" t="s">
        <v>340</v>
      </c>
      <c r="C3350" s="25" t="s">
        <v>15</v>
      </c>
      <c r="D3350" s="25" t="s">
        <v>12</v>
      </c>
      <c r="E3350" s="25" t="s">
        <v>638</v>
      </c>
      <c r="F3350" s="25" t="s">
        <v>577</v>
      </c>
      <c r="G3350" s="25" t="s">
        <v>369</v>
      </c>
      <c r="H3350" s="25" t="s">
        <v>0</v>
      </c>
      <c r="I3350" s="25" t="s">
        <v>436</v>
      </c>
      <c r="J3350" s="25" t="s">
        <v>437</v>
      </c>
      <c r="K3350" s="25" t="s">
        <v>438</v>
      </c>
      <c r="L3350" s="25" t="s">
        <v>345</v>
      </c>
      <c r="M3350" s="25" t="s">
        <v>408</v>
      </c>
      <c r="N3350" s="25" t="s">
        <v>11</v>
      </c>
      <c r="O3350" s="25" t="s">
        <v>11</v>
      </c>
      <c r="P3350" s="25" t="s">
        <v>0</v>
      </c>
      <c r="Q3350" s="25" t="s">
        <v>408</v>
      </c>
      <c r="R3350" s="25" t="s">
        <v>439</v>
      </c>
      <c r="S3350" s="25" t="s">
        <v>440</v>
      </c>
      <c r="T3350" s="25" t="s">
        <v>11</v>
      </c>
      <c r="U3350" s="25" t="s">
        <v>408</v>
      </c>
    </row>
    <row r="3351" spans="1:21" x14ac:dyDescent="0.25">
      <c r="A3351" s="26">
        <v>26234239</v>
      </c>
      <c r="B3351" s="25" t="s">
        <v>342</v>
      </c>
      <c r="C3351" s="25" t="s">
        <v>13</v>
      </c>
      <c r="D3351" s="25" t="s">
        <v>12</v>
      </c>
      <c r="E3351" s="25" t="s">
        <v>638</v>
      </c>
      <c r="F3351" s="25" t="s">
        <v>577</v>
      </c>
      <c r="G3351" s="25" t="s">
        <v>369</v>
      </c>
      <c r="H3351" s="25" t="s">
        <v>0</v>
      </c>
      <c r="I3351" s="25" t="s">
        <v>436</v>
      </c>
      <c r="J3351" s="25" t="s">
        <v>437</v>
      </c>
      <c r="K3351" s="25" t="s">
        <v>438</v>
      </c>
      <c r="L3351" s="25" t="s">
        <v>345</v>
      </c>
      <c r="M3351" s="25" t="s">
        <v>408</v>
      </c>
      <c r="N3351" s="25" t="s">
        <v>11</v>
      </c>
      <c r="O3351" s="25" t="s">
        <v>11</v>
      </c>
      <c r="P3351" s="25" t="s">
        <v>0</v>
      </c>
      <c r="Q3351" s="25" t="s">
        <v>408</v>
      </c>
      <c r="R3351" s="25" t="s">
        <v>439</v>
      </c>
      <c r="S3351" s="25" t="s">
        <v>440</v>
      </c>
      <c r="T3351" s="25" t="s">
        <v>11</v>
      </c>
      <c r="U3351" s="25" t="s">
        <v>408</v>
      </c>
    </row>
    <row r="3352" spans="1:21" x14ac:dyDescent="0.25">
      <c r="A3352" s="26">
        <v>26234240</v>
      </c>
      <c r="B3352" s="25" t="s">
        <v>342</v>
      </c>
      <c r="C3352" s="25" t="s">
        <v>13</v>
      </c>
      <c r="D3352" s="25" t="s">
        <v>12</v>
      </c>
      <c r="E3352" s="25" t="s">
        <v>638</v>
      </c>
      <c r="F3352" s="25" t="s">
        <v>577</v>
      </c>
      <c r="G3352" s="25" t="s">
        <v>369</v>
      </c>
      <c r="H3352" s="25" t="s">
        <v>0</v>
      </c>
      <c r="I3352" s="25" t="s">
        <v>436</v>
      </c>
      <c r="J3352" s="25" t="s">
        <v>437</v>
      </c>
      <c r="K3352" s="25" t="s">
        <v>438</v>
      </c>
      <c r="L3352" s="25" t="s">
        <v>345</v>
      </c>
      <c r="M3352" s="25" t="s">
        <v>408</v>
      </c>
      <c r="N3352" s="25" t="s">
        <v>11</v>
      </c>
      <c r="O3352" s="25" t="s">
        <v>11</v>
      </c>
      <c r="P3352" s="25" t="s">
        <v>0</v>
      </c>
      <c r="Q3352" s="25" t="s">
        <v>408</v>
      </c>
      <c r="R3352" s="25" t="s">
        <v>439</v>
      </c>
      <c r="S3352" s="25" t="s">
        <v>440</v>
      </c>
      <c r="T3352" s="25" t="s">
        <v>11</v>
      </c>
      <c r="U3352" s="25" t="s">
        <v>408</v>
      </c>
    </row>
    <row r="3353" spans="1:21" x14ac:dyDescent="0.25">
      <c r="A3353" s="26">
        <v>26234241</v>
      </c>
      <c r="B3353" s="25" t="s">
        <v>340</v>
      </c>
      <c r="C3353" s="25" t="s">
        <v>15</v>
      </c>
      <c r="D3353" s="25" t="s">
        <v>12</v>
      </c>
      <c r="E3353" s="25" t="s">
        <v>638</v>
      </c>
      <c r="F3353" s="25" t="s">
        <v>577</v>
      </c>
      <c r="G3353" s="25" t="s">
        <v>369</v>
      </c>
      <c r="H3353" s="25" t="s">
        <v>0</v>
      </c>
      <c r="I3353" s="25" t="s">
        <v>436</v>
      </c>
      <c r="J3353" s="25" t="s">
        <v>437</v>
      </c>
      <c r="K3353" s="25" t="s">
        <v>438</v>
      </c>
      <c r="L3353" s="25" t="s">
        <v>345</v>
      </c>
      <c r="M3353" s="25" t="s">
        <v>408</v>
      </c>
      <c r="N3353" s="25" t="s">
        <v>11</v>
      </c>
      <c r="O3353" s="25" t="s">
        <v>11</v>
      </c>
      <c r="P3353" s="25" t="s">
        <v>0</v>
      </c>
      <c r="Q3353" s="25" t="s">
        <v>408</v>
      </c>
      <c r="R3353" s="25" t="s">
        <v>439</v>
      </c>
      <c r="S3353" s="25" t="s">
        <v>440</v>
      </c>
      <c r="T3353" s="25" t="s">
        <v>11</v>
      </c>
      <c r="U3353" s="25" t="s">
        <v>408</v>
      </c>
    </row>
    <row r="3354" spans="1:21" x14ac:dyDescent="0.25">
      <c r="A3354" s="26">
        <v>26234242</v>
      </c>
      <c r="B3354" s="25" t="s">
        <v>342</v>
      </c>
      <c r="C3354" s="25" t="s">
        <v>13</v>
      </c>
      <c r="D3354" s="25" t="s">
        <v>12</v>
      </c>
      <c r="E3354" s="25" t="s">
        <v>638</v>
      </c>
      <c r="F3354" s="25" t="s">
        <v>577</v>
      </c>
      <c r="G3354" s="25" t="s">
        <v>369</v>
      </c>
      <c r="H3354" s="25" t="s">
        <v>0</v>
      </c>
      <c r="I3354" s="25" t="s">
        <v>436</v>
      </c>
      <c r="J3354" s="25" t="s">
        <v>437</v>
      </c>
      <c r="K3354" s="25" t="s">
        <v>438</v>
      </c>
      <c r="L3354" s="25" t="s">
        <v>345</v>
      </c>
      <c r="M3354" s="25" t="s">
        <v>408</v>
      </c>
      <c r="N3354" s="25" t="s">
        <v>11</v>
      </c>
      <c r="O3354" s="25" t="s">
        <v>11</v>
      </c>
      <c r="P3354" s="25" t="s">
        <v>0</v>
      </c>
      <c r="Q3354" s="25" t="s">
        <v>408</v>
      </c>
      <c r="R3354" s="25" t="s">
        <v>439</v>
      </c>
      <c r="S3354" s="25" t="s">
        <v>440</v>
      </c>
      <c r="T3354" s="25" t="s">
        <v>11</v>
      </c>
      <c r="U3354" s="25" t="s">
        <v>408</v>
      </c>
    </row>
    <row r="3355" spans="1:21" x14ac:dyDescent="0.25">
      <c r="A3355" s="26">
        <v>26234243</v>
      </c>
      <c r="B3355" s="25" t="s">
        <v>340</v>
      </c>
      <c r="C3355" s="25" t="s">
        <v>15</v>
      </c>
      <c r="D3355" s="25" t="s">
        <v>12</v>
      </c>
      <c r="E3355" s="25" t="s">
        <v>638</v>
      </c>
      <c r="F3355" s="25" t="s">
        <v>577</v>
      </c>
      <c r="G3355" s="25" t="s">
        <v>369</v>
      </c>
      <c r="H3355" s="25" t="s">
        <v>0</v>
      </c>
      <c r="I3355" s="25" t="s">
        <v>436</v>
      </c>
      <c r="J3355" s="25" t="s">
        <v>437</v>
      </c>
      <c r="K3355" s="25" t="s">
        <v>438</v>
      </c>
      <c r="L3355" s="25" t="s">
        <v>345</v>
      </c>
      <c r="M3355" s="25" t="s">
        <v>408</v>
      </c>
      <c r="N3355" s="25" t="s">
        <v>11</v>
      </c>
      <c r="O3355" s="25" t="s">
        <v>11</v>
      </c>
      <c r="P3355" s="25" t="s">
        <v>0</v>
      </c>
      <c r="Q3355" s="25" t="s">
        <v>408</v>
      </c>
      <c r="R3355" s="25" t="s">
        <v>439</v>
      </c>
      <c r="S3355" s="25" t="s">
        <v>440</v>
      </c>
      <c r="T3355" s="25" t="s">
        <v>11</v>
      </c>
      <c r="U3355" s="25" t="s">
        <v>408</v>
      </c>
    </row>
    <row r="3356" spans="1:21" x14ac:dyDescent="0.25">
      <c r="A3356" s="26">
        <v>26234244</v>
      </c>
      <c r="B3356" s="25" t="s">
        <v>342</v>
      </c>
      <c r="C3356" s="25" t="s">
        <v>13</v>
      </c>
      <c r="D3356" s="25" t="s">
        <v>12</v>
      </c>
      <c r="E3356" s="25" t="s">
        <v>638</v>
      </c>
      <c r="F3356" s="25" t="s">
        <v>577</v>
      </c>
      <c r="G3356" s="25" t="s">
        <v>369</v>
      </c>
      <c r="H3356" s="25" t="s">
        <v>0</v>
      </c>
      <c r="I3356" s="25" t="s">
        <v>436</v>
      </c>
      <c r="J3356" s="25" t="s">
        <v>437</v>
      </c>
      <c r="K3356" s="25" t="s">
        <v>438</v>
      </c>
      <c r="L3356" s="25" t="s">
        <v>345</v>
      </c>
      <c r="M3356" s="25" t="s">
        <v>408</v>
      </c>
      <c r="N3356" s="25" t="s">
        <v>11</v>
      </c>
      <c r="O3356" s="25" t="s">
        <v>11</v>
      </c>
      <c r="P3356" s="25" t="s">
        <v>0</v>
      </c>
      <c r="Q3356" s="25" t="s">
        <v>408</v>
      </c>
      <c r="R3356" s="25" t="s">
        <v>439</v>
      </c>
      <c r="S3356" s="25" t="s">
        <v>440</v>
      </c>
      <c r="T3356" s="25" t="s">
        <v>11</v>
      </c>
      <c r="U3356" s="25" t="s">
        <v>408</v>
      </c>
    </row>
    <row r="3357" spans="1:21" x14ac:dyDescent="0.25">
      <c r="A3357" s="26">
        <v>26234245</v>
      </c>
      <c r="B3357" s="25" t="s">
        <v>342</v>
      </c>
      <c r="C3357" s="25" t="s">
        <v>13</v>
      </c>
      <c r="D3357" s="25" t="s">
        <v>18</v>
      </c>
      <c r="E3357" s="25" t="s">
        <v>638</v>
      </c>
      <c r="F3357" s="25" t="s">
        <v>577</v>
      </c>
      <c r="G3357" s="25" t="s">
        <v>369</v>
      </c>
      <c r="H3357" s="25" t="s">
        <v>0</v>
      </c>
      <c r="I3357" s="25" t="s">
        <v>436</v>
      </c>
      <c r="J3357" s="25" t="s">
        <v>437</v>
      </c>
      <c r="K3357" s="25" t="s">
        <v>438</v>
      </c>
      <c r="L3357" s="25" t="s">
        <v>345</v>
      </c>
      <c r="M3357" s="25" t="s">
        <v>408</v>
      </c>
      <c r="N3357" s="25" t="s">
        <v>11</v>
      </c>
      <c r="O3357" s="25" t="s">
        <v>11</v>
      </c>
      <c r="P3357" s="25" t="s">
        <v>0</v>
      </c>
      <c r="Q3357" s="25" t="s">
        <v>408</v>
      </c>
      <c r="R3357" s="25" t="s">
        <v>439</v>
      </c>
      <c r="S3357" s="25" t="s">
        <v>440</v>
      </c>
      <c r="T3357" s="25" t="s">
        <v>11</v>
      </c>
      <c r="U3357" s="25" t="s">
        <v>408</v>
      </c>
    </row>
    <row r="3358" spans="1:21" x14ac:dyDescent="0.25">
      <c r="A3358" s="26">
        <v>26234246</v>
      </c>
      <c r="B3358" s="25" t="s">
        <v>340</v>
      </c>
      <c r="C3358" s="25" t="s">
        <v>15</v>
      </c>
      <c r="D3358" s="25" t="s">
        <v>12</v>
      </c>
      <c r="E3358" s="25" t="s">
        <v>638</v>
      </c>
      <c r="F3358" s="25" t="s">
        <v>577</v>
      </c>
      <c r="G3358" s="25" t="s">
        <v>369</v>
      </c>
      <c r="H3358" s="25" t="s">
        <v>0</v>
      </c>
      <c r="I3358" s="25" t="s">
        <v>436</v>
      </c>
      <c r="J3358" s="25" t="s">
        <v>437</v>
      </c>
      <c r="K3358" s="25" t="s">
        <v>438</v>
      </c>
      <c r="L3358" s="25" t="s">
        <v>345</v>
      </c>
      <c r="M3358" s="25" t="s">
        <v>408</v>
      </c>
      <c r="N3358" s="25" t="s">
        <v>11</v>
      </c>
      <c r="O3358" s="25" t="s">
        <v>11</v>
      </c>
      <c r="P3358" s="25" t="s">
        <v>0</v>
      </c>
      <c r="Q3358" s="25" t="s">
        <v>408</v>
      </c>
      <c r="R3358" s="25" t="s">
        <v>439</v>
      </c>
      <c r="S3358" s="25" t="s">
        <v>440</v>
      </c>
      <c r="T3358" s="25" t="s">
        <v>11</v>
      </c>
      <c r="U3358" s="25" t="s">
        <v>408</v>
      </c>
    </row>
    <row r="3359" spans="1:21" x14ac:dyDescent="0.25">
      <c r="A3359" s="26">
        <v>26234247</v>
      </c>
      <c r="B3359" s="25" t="s">
        <v>340</v>
      </c>
      <c r="C3359" s="25" t="s">
        <v>15</v>
      </c>
      <c r="D3359" s="25" t="s">
        <v>12</v>
      </c>
      <c r="E3359" s="25" t="s">
        <v>638</v>
      </c>
      <c r="F3359" s="25" t="s">
        <v>577</v>
      </c>
      <c r="G3359" s="25" t="s">
        <v>369</v>
      </c>
      <c r="H3359" s="25" t="s">
        <v>0</v>
      </c>
      <c r="I3359" s="25" t="s">
        <v>436</v>
      </c>
      <c r="J3359" s="25" t="s">
        <v>437</v>
      </c>
      <c r="K3359" s="25" t="s">
        <v>438</v>
      </c>
      <c r="L3359" s="25" t="s">
        <v>345</v>
      </c>
      <c r="M3359" s="25" t="s">
        <v>408</v>
      </c>
      <c r="N3359" s="25" t="s">
        <v>11</v>
      </c>
      <c r="O3359" s="25" t="s">
        <v>11</v>
      </c>
      <c r="P3359" s="25" t="s">
        <v>0</v>
      </c>
      <c r="Q3359" s="25" t="s">
        <v>408</v>
      </c>
      <c r="R3359" s="25" t="s">
        <v>439</v>
      </c>
      <c r="S3359" s="25" t="s">
        <v>440</v>
      </c>
      <c r="T3359" s="25" t="s">
        <v>11</v>
      </c>
      <c r="U3359" s="25" t="s">
        <v>408</v>
      </c>
    </row>
    <row r="3360" spans="1:21" x14ac:dyDescent="0.25">
      <c r="A3360" s="26">
        <v>26234248</v>
      </c>
      <c r="B3360" s="25" t="s">
        <v>340</v>
      </c>
      <c r="C3360" s="25" t="s">
        <v>15</v>
      </c>
      <c r="D3360" s="25" t="s">
        <v>12</v>
      </c>
      <c r="E3360" s="25" t="s">
        <v>638</v>
      </c>
      <c r="F3360" s="25" t="s">
        <v>577</v>
      </c>
      <c r="G3360" s="25" t="s">
        <v>369</v>
      </c>
      <c r="H3360" s="25" t="s">
        <v>0</v>
      </c>
      <c r="I3360" s="25" t="s">
        <v>436</v>
      </c>
      <c r="J3360" s="25" t="s">
        <v>437</v>
      </c>
      <c r="K3360" s="25" t="s">
        <v>438</v>
      </c>
      <c r="L3360" s="25" t="s">
        <v>345</v>
      </c>
      <c r="M3360" s="25" t="s">
        <v>408</v>
      </c>
      <c r="N3360" s="25" t="s">
        <v>11</v>
      </c>
      <c r="O3360" s="25" t="s">
        <v>11</v>
      </c>
      <c r="P3360" s="25" t="s">
        <v>0</v>
      </c>
      <c r="Q3360" s="25" t="s">
        <v>408</v>
      </c>
      <c r="R3360" s="25" t="s">
        <v>439</v>
      </c>
      <c r="S3360" s="25" t="s">
        <v>440</v>
      </c>
      <c r="T3360" s="25" t="s">
        <v>11</v>
      </c>
      <c r="U3360" s="25" t="s">
        <v>408</v>
      </c>
    </row>
    <row r="3361" spans="1:21" x14ac:dyDescent="0.25">
      <c r="A3361" s="26">
        <v>26234249</v>
      </c>
      <c r="B3361" s="25" t="s">
        <v>340</v>
      </c>
      <c r="C3361" s="25" t="s">
        <v>15</v>
      </c>
      <c r="D3361" s="25" t="s">
        <v>18</v>
      </c>
      <c r="E3361" s="25" t="s">
        <v>638</v>
      </c>
      <c r="F3361" s="25" t="s">
        <v>577</v>
      </c>
      <c r="G3361" s="25" t="s">
        <v>369</v>
      </c>
      <c r="H3361" s="25" t="s">
        <v>0</v>
      </c>
      <c r="I3361" s="25" t="s">
        <v>436</v>
      </c>
      <c r="J3361" s="25" t="s">
        <v>437</v>
      </c>
      <c r="K3361" s="25" t="s">
        <v>438</v>
      </c>
      <c r="L3361" s="25" t="s">
        <v>345</v>
      </c>
      <c r="M3361" s="25" t="s">
        <v>408</v>
      </c>
      <c r="N3361" s="25" t="s">
        <v>11</v>
      </c>
      <c r="O3361" s="25" t="s">
        <v>11</v>
      </c>
      <c r="P3361" s="25" t="s">
        <v>0</v>
      </c>
      <c r="Q3361" s="25" t="s">
        <v>408</v>
      </c>
      <c r="R3361" s="25" t="s">
        <v>439</v>
      </c>
      <c r="S3361" s="25" t="s">
        <v>440</v>
      </c>
      <c r="T3361" s="25" t="s">
        <v>11</v>
      </c>
      <c r="U3361" s="25" t="s">
        <v>408</v>
      </c>
    </row>
    <row r="3362" spans="1:21" x14ac:dyDescent="0.25">
      <c r="A3362" s="26">
        <v>26234250</v>
      </c>
      <c r="B3362" s="25" t="s">
        <v>340</v>
      </c>
      <c r="C3362" s="25" t="s">
        <v>15</v>
      </c>
      <c r="D3362" s="25" t="s">
        <v>12</v>
      </c>
      <c r="E3362" s="25" t="s">
        <v>638</v>
      </c>
      <c r="F3362" s="25" t="s">
        <v>577</v>
      </c>
      <c r="G3362" s="25" t="s">
        <v>369</v>
      </c>
      <c r="H3362" s="25" t="s">
        <v>0</v>
      </c>
      <c r="I3362" s="25" t="s">
        <v>436</v>
      </c>
      <c r="J3362" s="25" t="s">
        <v>437</v>
      </c>
      <c r="K3362" s="25" t="s">
        <v>438</v>
      </c>
      <c r="L3362" s="25" t="s">
        <v>345</v>
      </c>
      <c r="M3362" s="25" t="s">
        <v>408</v>
      </c>
      <c r="N3362" s="25" t="s">
        <v>11</v>
      </c>
      <c r="O3362" s="25" t="s">
        <v>11</v>
      </c>
      <c r="P3362" s="25" t="s">
        <v>0</v>
      </c>
      <c r="Q3362" s="25" t="s">
        <v>408</v>
      </c>
      <c r="R3362" s="25" t="s">
        <v>439</v>
      </c>
      <c r="S3362" s="25" t="s">
        <v>440</v>
      </c>
      <c r="T3362" s="25" t="s">
        <v>11</v>
      </c>
      <c r="U3362" s="25" t="s">
        <v>408</v>
      </c>
    </row>
    <row r="3363" spans="1:21" x14ac:dyDescent="0.25">
      <c r="A3363" s="26">
        <v>26234251</v>
      </c>
      <c r="B3363" s="25" t="s">
        <v>340</v>
      </c>
      <c r="C3363" s="25" t="s">
        <v>15</v>
      </c>
      <c r="D3363" s="25" t="s">
        <v>12</v>
      </c>
      <c r="E3363" s="25" t="s">
        <v>638</v>
      </c>
      <c r="F3363" s="25" t="s">
        <v>577</v>
      </c>
      <c r="G3363" s="25" t="s">
        <v>369</v>
      </c>
      <c r="H3363" s="25" t="s">
        <v>0</v>
      </c>
      <c r="I3363" s="25" t="s">
        <v>436</v>
      </c>
      <c r="J3363" s="25" t="s">
        <v>437</v>
      </c>
      <c r="K3363" s="25" t="s">
        <v>438</v>
      </c>
      <c r="L3363" s="25" t="s">
        <v>345</v>
      </c>
      <c r="M3363" s="25" t="s">
        <v>408</v>
      </c>
      <c r="N3363" s="25" t="s">
        <v>11</v>
      </c>
      <c r="O3363" s="25" t="s">
        <v>11</v>
      </c>
      <c r="P3363" s="25" t="s">
        <v>0</v>
      </c>
      <c r="Q3363" s="25" t="s">
        <v>408</v>
      </c>
      <c r="R3363" s="25" t="s">
        <v>439</v>
      </c>
      <c r="S3363" s="25" t="s">
        <v>440</v>
      </c>
      <c r="T3363" s="25" t="s">
        <v>11</v>
      </c>
      <c r="U3363" s="25" t="s">
        <v>408</v>
      </c>
    </row>
    <row r="3364" spans="1:21" x14ac:dyDescent="0.25">
      <c r="A3364" s="26">
        <v>26234252</v>
      </c>
      <c r="B3364" s="25" t="s">
        <v>342</v>
      </c>
      <c r="C3364" s="25" t="s">
        <v>13</v>
      </c>
      <c r="D3364" s="25" t="s">
        <v>12</v>
      </c>
      <c r="E3364" s="25" t="s">
        <v>638</v>
      </c>
      <c r="F3364" s="25" t="s">
        <v>577</v>
      </c>
      <c r="G3364" s="25" t="s">
        <v>369</v>
      </c>
      <c r="H3364" s="25" t="s">
        <v>0</v>
      </c>
      <c r="I3364" s="25" t="s">
        <v>436</v>
      </c>
      <c r="J3364" s="25" t="s">
        <v>437</v>
      </c>
      <c r="K3364" s="25" t="s">
        <v>438</v>
      </c>
      <c r="L3364" s="25" t="s">
        <v>345</v>
      </c>
      <c r="M3364" s="25" t="s">
        <v>408</v>
      </c>
      <c r="N3364" s="25" t="s">
        <v>11</v>
      </c>
      <c r="O3364" s="25" t="s">
        <v>11</v>
      </c>
      <c r="P3364" s="25" t="s">
        <v>0</v>
      </c>
      <c r="Q3364" s="25" t="s">
        <v>408</v>
      </c>
      <c r="R3364" s="25" t="s">
        <v>439</v>
      </c>
      <c r="S3364" s="25" t="s">
        <v>440</v>
      </c>
      <c r="T3364" s="25" t="s">
        <v>11</v>
      </c>
      <c r="U3364" s="25" t="s">
        <v>408</v>
      </c>
    </row>
    <row r="3365" spans="1:21" x14ac:dyDescent="0.25">
      <c r="A3365" s="26">
        <v>26234253</v>
      </c>
      <c r="B3365" s="25" t="s">
        <v>340</v>
      </c>
      <c r="C3365" s="25" t="s">
        <v>15</v>
      </c>
      <c r="D3365" s="25" t="s">
        <v>12</v>
      </c>
      <c r="E3365" s="25" t="s">
        <v>638</v>
      </c>
      <c r="F3365" s="25" t="s">
        <v>577</v>
      </c>
      <c r="G3365" s="25" t="s">
        <v>369</v>
      </c>
      <c r="H3365" s="25" t="s">
        <v>0</v>
      </c>
      <c r="I3365" s="25" t="s">
        <v>436</v>
      </c>
      <c r="J3365" s="25" t="s">
        <v>437</v>
      </c>
      <c r="K3365" s="25" t="s">
        <v>438</v>
      </c>
      <c r="L3365" s="25" t="s">
        <v>345</v>
      </c>
      <c r="M3365" s="25" t="s">
        <v>408</v>
      </c>
      <c r="N3365" s="25" t="s">
        <v>11</v>
      </c>
      <c r="O3365" s="25" t="s">
        <v>11</v>
      </c>
      <c r="P3365" s="25" t="s">
        <v>0</v>
      </c>
      <c r="Q3365" s="25" t="s">
        <v>408</v>
      </c>
      <c r="R3365" s="25" t="s">
        <v>439</v>
      </c>
      <c r="S3365" s="25" t="s">
        <v>440</v>
      </c>
      <c r="T3365" s="25" t="s">
        <v>11</v>
      </c>
      <c r="U3365" s="25" t="s">
        <v>408</v>
      </c>
    </row>
    <row r="3366" spans="1:21" x14ac:dyDescent="0.25">
      <c r="A3366" s="26">
        <v>26234254</v>
      </c>
      <c r="B3366" s="25" t="s">
        <v>340</v>
      </c>
      <c r="C3366" s="25" t="s">
        <v>15</v>
      </c>
      <c r="D3366" s="25" t="s">
        <v>12</v>
      </c>
      <c r="E3366" s="25" t="s">
        <v>638</v>
      </c>
      <c r="F3366" s="25" t="s">
        <v>577</v>
      </c>
      <c r="G3366" s="25" t="s">
        <v>369</v>
      </c>
      <c r="H3366" s="25" t="s">
        <v>0</v>
      </c>
      <c r="I3366" s="25" t="s">
        <v>436</v>
      </c>
      <c r="J3366" s="25" t="s">
        <v>437</v>
      </c>
      <c r="K3366" s="25" t="s">
        <v>438</v>
      </c>
      <c r="L3366" s="25" t="s">
        <v>345</v>
      </c>
      <c r="M3366" s="25" t="s">
        <v>408</v>
      </c>
      <c r="N3366" s="25" t="s">
        <v>11</v>
      </c>
      <c r="O3366" s="25" t="s">
        <v>11</v>
      </c>
      <c r="P3366" s="25" t="s">
        <v>0</v>
      </c>
      <c r="Q3366" s="25" t="s">
        <v>408</v>
      </c>
      <c r="R3366" s="25" t="s">
        <v>439</v>
      </c>
      <c r="S3366" s="25" t="s">
        <v>440</v>
      </c>
      <c r="T3366" s="25" t="s">
        <v>11</v>
      </c>
      <c r="U3366" s="25" t="s">
        <v>408</v>
      </c>
    </row>
    <row r="3367" spans="1:21" x14ac:dyDescent="0.25">
      <c r="A3367" s="26">
        <v>26234255</v>
      </c>
      <c r="B3367" s="25" t="s">
        <v>340</v>
      </c>
      <c r="C3367" s="25" t="s">
        <v>15</v>
      </c>
      <c r="D3367" s="25" t="s">
        <v>12</v>
      </c>
      <c r="E3367" s="25" t="s">
        <v>638</v>
      </c>
      <c r="F3367" s="25" t="s">
        <v>577</v>
      </c>
      <c r="G3367" s="25" t="s">
        <v>369</v>
      </c>
      <c r="H3367" s="25" t="s">
        <v>0</v>
      </c>
      <c r="I3367" s="25" t="s">
        <v>436</v>
      </c>
      <c r="J3367" s="25" t="s">
        <v>437</v>
      </c>
      <c r="K3367" s="25" t="s">
        <v>438</v>
      </c>
      <c r="L3367" s="25" t="s">
        <v>345</v>
      </c>
      <c r="M3367" s="25" t="s">
        <v>408</v>
      </c>
      <c r="N3367" s="25" t="s">
        <v>11</v>
      </c>
      <c r="O3367" s="25" t="s">
        <v>11</v>
      </c>
      <c r="P3367" s="25" t="s">
        <v>0</v>
      </c>
      <c r="Q3367" s="25" t="s">
        <v>408</v>
      </c>
      <c r="R3367" s="25" t="s">
        <v>439</v>
      </c>
      <c r="S3367" s="25" t="s">
        <v>440</v>
      </c>
      <c r="T3367" s="25" t="s">
        <v>11</v>
      </c>
      <c r="U3367" s="25" t="s">
        <v>408</v>
      </c>
    </row>
    <row r="3368" spans="1:21" x14ac:dyDescent="0.25">
      <c r="A3368" s="26">
        <v>26234256</v>
      </c>
      <c r="B3368" s="25" t="s">
        <v>340</v>
      </c>
      <c r="C3368" s="25" t="s">
        <v>15</v>
      </c>
      <c r="D3368" s="25" t="s">
        <v>12</v>
      </c>
      <c r="E3368" s="25" t="s">
        <v>638</v>
      </c>
      <c r="F3368" s="25" t="s">
        <v>577</v>
      </c>
      <c r="G3368" s="25" t="s">
        <v>369</v>
      </c>
      <c r="H3368" s="25" t="s">
        <v>0</v>
      </c>
      <c r="I3368" s="25" t="s">
        <v>436</v>
      </c>
      <c r="J3368" s="25" t="s">
        <v>437</v>
      </c>
      <c r="K3368" s="25" t="s">
        <v>438</v>
      </c>
      <c r="L3368" s="25" t="s">
        <v>345</v>
      </c>
      <c r="M3368" s="25" t="s">
        <v>408</v>
      </c>
      <c r="N3368" s="25" t="s">
        <v>11</v>
      </c>
      <c r="O3368" s="25" t="s">
        <v>11</v>
      </c>
      <c r="P3368" s="25" t="s">
        <v>0</v>
      </c>
      <c r="Q3368" s="25" t="s">
        <v>408</v>
      </c>
      <c r="R3368" s="25" t="s">
        <v>439</v>
      </c>
      <c r="S3368" s="25" t="s">
        <v>440</v>
      </c>
      <c r="T3368" s="25" t="s">
        <v>11</v>
      </c>
      <c r="U3368" s="25" t="s">
        <v>408</v>
      </c>
    </row>
    <row r="3369" spans="1:21" x14ac:dyDescent="0.25">
      <c r="A3369" s="26">
        <v>26234257</v>
      </c>
      <c r="B3369" s="25" t="s">
        <v>342</v>
      </c>
      <c r="C3369" s="25" t="s">
        <v>13</v>
      </c>
      <c r="D3369" s="25" t="s">
        <v>12</v>
      </c>
      <c r="E3369" s="25" t="s">
        <v>638</v>
      </c>
      <c r="F3369" s="25" t="s">
        <v>577</v>
      </c>
      <c r="G3369" s="25" t="s">
        <v>369</v>
      </c>
      <c r="H3369" s="25" t="s">
        <v>0</v>
      </c>
      <c r="I3369" s="25" t="s">
        <v>436</v>
      </c>
      <c r="J3369" s="25" t="s">
        <v>437</v>
      </c>
      <c r="K3369" s="25" t="s">
        <v>438</v>
      </c>
      <c r="L3369" s="25" t="s">
        <v>345</v>
      </c>
      <c r="M3369" s="25" t="s">
        <v>408</v>
      </c>
      <c r="N3369" s="25" t="s">
        <v>11</v>
      </c>
      <c r="O3369" s="25" t="s">
        <v>11</v>
      </c>
      <c r="P3369" s="25" t="s">
        <v>0</v>
      </c>
      <c r="Q3369" s="25" t="s">
        <v>408</v>
      </c>
      <c r="R3369" s="25" t="s">
        <v>439</v>
      </c>
      <c r="S3369" s="25" t="s">
        <v>440</v>
      </c>
      <c r="T3369" s="25" t="s">
        <v>11</v>
      </c>
      <c r="U3369" s="25" t="s">
        <v>408</v>
      </c>
    </row>
    <row r="3370" spans="1:21" x14ac:dyDescent="0.25">
      <c r="A3370" s="26">
        <v>26234258</v>
      </c>
      <c r="B3370" s="25" t="s">
        <v>340</v>
      </c>
      <c r="C3370" s="25" t="s">
        <v>15</v>
      </c>
      <c r="D3370" s="25" t="s">
        <v>12</v>
      </c>
      <c r="E3370" s="25" t="s">
        <v>638</v>
      </c>
      <c r="F3370" s="25" t="s">
        <v>577</v>
      </c>
      <c r="G3370" s="25" t="s">
        <v>369</v>
      </c>
      <c r="H3370" s="25" t="s">
        <v>0</v>
      </c>
      <c r="I3370" s="25" t="s">
        <v>436</v>
      </c>
      <c r="J3370" s="25" t="s">
        <v>437</v>
      </c>
      <c r="K3370" s="25" t="s">
        <v>438</v>
      </c>
      <c r="L3370" s="25" t="s">
        <v>345</v>
      </c>
      <c r="M3370" s="25" t="s">
        <v>408</v>
      </c>
      <c r="N3370" s="25" t="s">
        <v>11</v>
      </c>
      <c r="O3370" s="25" t="s">
        <v>11</v>
      </c>
      <c r="P3370" s="25" t="s">
        <v>0</v>
      </c>
      <c r="Q3370" s="25" t="s">
        <v>408</v>
      </c>
      <c r="R3370" s="25" t="s">
        <v>439</v>
      </c>
      <c r="S3370" s="25" t="s">
        <v>440</v>
      </c>
      <c r="T3370" s="25" t="s">
        <v>11</v>
      </c>
      <c r="U3370" s="25" t="s">
        <v>408</v>
      </c>
    </row>
    <row r="3371" spans="1:21" x14ac:dyDescent="0.25">
      <c r="A3371" s="26">
        <v>26234259</v>
      </c>
      <c r="B3371" s="25" t="s">
        <v>340</v>
      </c>
      <c r="C3371" s="25" t="s">
        <v>15</v>
      </c>
      <c r="D3371" s="25" t="s">
        <v>12</v>
      </c>
      <c r="E3371" s="25" t="s">
        <v>638</v>
      </c>
      <c r="F3371" s="25" t="s">
        <v>577</v>
      </c>
      <c r="G3371" s="25" t="s">
        <v>369</v>
      </c>
      <c r="H3371" s="25" t="s">
        <v>0</v>
      </c>
      <c r="I3371" s="25" t="s">
        <v>436</v>
      </c>
      <c r="J3371" s="25" t="s">
        <v>437</v>
      </c>
      <c r="K3371" s="25" t="s">
        <v>438</v>
      </c>
      <c r="L3371" s="25" t="s">
        <v>345</v>
      </c>
      <c r="M3371" s="25" t="s">
        <v>408</v>
      </c>
      <c r="N3371" s="25" t="s">
        <v>11</v>
      </c>
      <c r="O3371" s="25" t="s">
        <v>11</v>
      </c>
      <c r="P3371" s="25" t="s">
        <v>0</v>
      </c>
      <c r="Q3371" s="25" t="s">
        <v>408</v>
      </c>
      <c r="R3371" s="25" t="s">
        <v>439</v>
      </c>
      <c r="S3371" s="25" t="s">
        <v>440</v>
      </c>
      <c r="T3371" s="25" t="s">
        <v>11</v>
      </c>
      <c r="U3371" s="25" t="s">
        <v>408</v>
      </c>
    </row>
    <row r="3372" spans="1:21" x14ac:dyDescent="0.25">
      <c r="A3372" s="26">
        <v>26234260</v>
      </c>
      <c r="B3372" s="25" t="s">
        <v>342</v>
      </c>
      <c r="C3372" s="25" t="s">
        <v>13</v>
      </c>
      <c r="D3372" s="25" t="s">
        <v>12</v>
      </c>
      <c r="E3372" s="25" t="s">
        <v>638</v>
      </c>
      <c r="F3372" s="25" t="s">
        <v>577</v>
      </c>
      <c r="G3372" s="25" t="s">
        <v>369</v>
      </c>
      <c r="H3372" s="25" t="s">
        <v>0</v>
      </c>
      <c r="I3372" s="25" t="s">
        <v>436</v>
      </c>
      <c r="J3372" s="25" t="s">
        <v>437</v>
      </c>
      <c r="K3372" s="25" t="s">
        <v>438</v>
      </c>
      <c r="L3372" s="25" t="s">
        <v>345</v>
      </c>
      <c r="M3372" s="25" t="s">
        <v>408</v>
      </c>
      <c r="N3372" s="25" t="s">
        <v>11</v>
      </c>
      <c r="O3372" s="25" t="s">
        <v>11</v>
      </c>
      <c r="P3372" s="25" t="s">
        <v>0</v>
      </c>
      <c r="Q3372" s="25" t="s">
        <v>408</v>
      </c>
      <c r="R3372" s="25" t="s">
        <v>439</v>
      </c>
      <c r="S3372" s="25" t="s">
        <v>440</v>
      </c>
      <c r="T3372" s="25" t="s">
        <v>11</v>
      </c>
      <c r="U3372" s="25" t="s">
        <v>408</v>
      </c>
    </row>
    <row r="3373" spans="1:21" x14ac:dyDescent="0.25">
      <c r="A3373" s="26">
        <v>26234261</v>
      </c>
      <c r="B3373" s="25" t="s">
        <v>340</v>
      </c>
      <c r="C3373" s="25" t="s">
        <v>15</v>
      </c>
      <c r="D3373" s="25" t="s">
        <v>12</v>
      </c>
      <c r="E3373" s="25" t="s">
        <v>638</v>
      </c>
      <c r="F3373" s="25" t="s">
        <v>577</v>
      </c>
      <c r="G3373" s="25" t="s">
        <v>369</v>
      </c>
      <c r="H3373" s="25" t="s">
        <v>0</v>
      </c>
      <c r="I3373" s="25" t="s">
        <v>436</v>
      </c>
      <c r="J3373" s="25" t="s">
        <v>437</v>
      </c>
      <c r="K3373" s="25" t="s">
        <v>438</v>
      </c>
      <c r="L3373" s="25" t="s">
        <v>345</v>
      </c>
      <c r="M3373" s="25" t="s">
        <v>408</v>
      </c>
      <c r="N3373" s="25" t="s">
        <v>11</v>
      </c>
      <c r="O3373" s="25" t="s">
        <v>11</v>
      </c>
      <c r="P3373" s="25" t="s">
        <v>0</v>
      </c>
      <c r="Q3373" s="25" t="s">
        <v>408</v>
      </c>
      <c r="R3373" s="25" t="s">
        <v>439</v>
      </c>
      <c r="S3373" s="25" t="s">
        <v>440</v>
      </c>
      <c r="T3373" s="25" t="s">
        <v>11</v>
      </c>
      <c r="U3373" s="25" t="s">
        <v>408</v>
      </c>
    </row>
    <row r="3374" spans="1:21" x14ac:dyDescent="0.25">
      <c r="A3374" s="26">
        <v>26234262</v>
      </c>
      <c r="B3374" s="25" t="s">
        <v>340</v>
      </c>
      <c r="C3374" s="25" t="s">
        <v>15</v>
      </c>
      <c r="D3374" s="25" t="s">
        <v>12</v>
      </c>
      <c r="E3374" s="25" t="s">
        <v>638</v>
      </c>
      <c r="F3374" s="25" t="s">
        <v>577</v>
      </c>
      <c r="G3374" s="25" t="s">
        <v>369</v>
      </c>
      <c r="H3374" s="25" t="s">
        <v>0</v>
      </c>
      <c r="I3374" s="25" t="s">
        <v>436</v>
      </c>
      <c r="J3374" s="25" t="s">
        <v>437</v>
      </c>
      <c r="K3374" s="25" t="s">
        <v>438</v>
      </c>
      <c r="L3374" s="25" t="s">
        <v>345</v>
      </c>
      <c r="M3374" s="25" t="s">
        <v>408</v>
      </c>
      <c r="N3374" s="25" t="s">
        <v>11</v>
      </c>
      <c r="O3374" s="25" t="s">
        <v>11</v>
      </c>
      <c r="P3374" s="25" t="s">
        <v>0</v>
      </c>
      <c r="Q3374" s="25" t="s">
        <v>408</v>
      </c>
      <c r="R3374" s="25" t="s">
        <v>439</v>
      </c>
      <c r="S3374" s="25" t="s">
        <v>440</v>
      </c>
      <c r="T3374" s="25" t="s">
        <v>11</v>
      </c>
      <c r="U3374" s="25" t="s">
        <v>408</v>
      </c>
    </row>
    <row r="3375" spans="1:21" x14ac:dyDescent="0.25">
      <c r="A3375" s="26">
        <v>26234263</v>
      </c>
      <c r="B3375" s="25" t="s">
        <v>340</v>
      </c>
      <c r="C3375" s="25" t="s">
        <v>15</v>
      </c>
      <c r="D3375" s="25" t="s">
        <v>18</v>
      </c>
      <c r="E3375" s="25" t="s">
        <v>638</v>
      </c>
      <c r="F3375" s="25" t="s">
        <v>577</v>
      </c>
      <c r="G3375" s="25" t="s">
        <v>369</v>
      </c>
      <c r="H3375" s="25" t="s">
        <v>3</v>
      </c>
      <c r="I3375" s="25" t="s">
        <v>436</v>
      </c>
      <c r="J3375" s="25" t="s">
        <v>441</v>
      </c>
      <c r="K3375" s="25" t="s">
        <v>442</v>
      </c>
      <c r="L3375" s="25" t="s">
        <v>0</v>
      </c>
      <c r="M3375" s="25" t="s">
        <v>408</v>
      </c>
      <c r="N3375" s="25" t="s">
        <v>11</v>
      </c>
      <c r="O3375" s="25" t="s">
        <v>11</v>
      </c>
      <c r="P3375" s="25" t="s">
        <v>0</v>
      </c>
      <c r="Q3375" s="25" t="s">
        <v>408</v>
      </c>
      <c r="R3375" s="25" t="s">
        <v>439</v>
      </c>
      <c r="S3375" s="25" t="s">
        <v>440</v>
      </c>
      <c r="T3375" s="25" t="s">
        <v>11</v>
      </c>
      <c r="U3375" s="25" t="s">
        <v>408</v>
      </c>
    </row>
    <row r="3376" spans="1:21" x14ac:dyDescent="0.25">
      <c r="A3376" s="26">
        <v>26234264</v>
      </c>
      <c r="B3376" s="25" t="s">
        <v>342</v>
      </c>
      <c r="C3376" s="25" t="s">
        <v>13</v>
      </c>
      <c r="D3376" s="25" t="s">
        <v>12</v>
      </c>
      <c r="E3376" s="25" t="s">
        <v>638</v>
      </c>
      <c r="F3376" s="25" t="s">
        <v>577</v>
      </c>
      <c r="G3376" s="25" t="s">
        <v>369</v>
      </c>
      <c r="H3376" s="25" t="s">
        <v>0</v>
      </c>
      <c r="I3376" s="25" t="s">
        <v>436</v>
      </c>
      <c r="J3376" s="25" t="s">
        <v>437</v>
      </c>
      <c r="K3376" s="25" t="s">
        <v>438</v>
      </c>
      <c r="L3376" s="25" t="s">
        <v>345</v>
      </c>
      <c r="M3376" s="25" t="s">
        <v>408</v>
      </c>
      <c r="N3376" s="25" t="s">
        <v>11</v>
      </c>
      <c r="O3376" s="25" t="s">
        <v>11</v>
      </c>
      <c r="P3376" s="25" t="s">
        <v>0</v>
      </c>
      <c r="Q3376" s="25" t="s">
        <v>408</v>
      </c>
      <c r="R3376" s="25" t="s">
        <v>439</v>
      </c>
      <c r="S3376" s="25" t="s">
        <v>440</v>
      </c>
      <c r="T3376" s="25" t="s">
        <v>11</v>
      </c>
      <c r="U3376" s="25" t="s">
        <v>408</v>
      </c>
    </row>
    <row r="3377" spans="1:21" x14ac:dyDescent="0.25">
      <c r="A3377" s="26">
        <v>26234265</v>
      </c>
      <c r="B3377" s="25" t="s">
        <v>342</v>
      </c>
      <c r="C3377" s="25" t="s">
        <v>13</v>
      </c>
      <c r="D3377" s="25" t="s">
        <v>12</v>
      </c>
      <c r="E3377" s="25" t="s">
        <v>638</v>
      </c>
      <c r="F3377" s="25" t="s">
        <v>577</v>
      </c>
      <c r="G3377" s="25" t="s">
        <v>369</v>
      </c>
      <c r="H3377" s="25" t="s">
        <v>0</v>
      </c>
      <c r="I3377" s="25" t="s">
        <v>436</v>
      </c>
      <c r="J3377" s="25" t="s">
        <v>437</v>
      </c>
      <c r="K3377" s="25" t="s">
        <v>438</v>
      </c>
      <c r="L3377" s="25" t="s">
        <v>345</v>
      </c>
      <c r="M3377" s="25" t="s">
        <v>408</v>
      </c>
      <c r="N3377" s="25" t="s">
        <v>11</v>
      </c>
      <c r="O3377" s="25" t="s">
        <v>11</v>
      </c>
      <c r="P3377" s="25" t="s">
        <v>0</v>
      </c>
      <c r="Q3377" s="25" t="s">
        <v>408</v>
      </c>
      <c r="R3377" s="25" t="s">
        <v>439</v>
      </c>
      <c r="S3377" s="25" t="s">
        <v>440</v>
      </c>
      <c r="T3377" s="25" t="s">
        <v>11</v>
      </c>
      <c r="U3377" s="25" t="s">
        <v>408</v>
      </c>
    </row>
    <row r="3378" spans="1:21" x14ac:dyDescent="0.25">
      <c r="A3378" s="26">
        <v>26234266</v>
      </c>
      <c r="B3378" s="25" t="s">
        <v>340</v>
      </c>
      <c r="C3378" s="25" t="s">
        <v>15</v>
      </c>
      <c r="D3378" s="25" t="s">
        <v>12</v>
      </c>
      <c r="E3378" s="25" t="s">
        <v>638</v>
      </c>
      <c r="F3378" s="25" t="s">
        <v>577</v>
      </c>
      <c r="G3378" s="25" t="s">
        <v>369</v>
      </c>
      <c r="H3378" s="25" t="s">
        <v>0</v>
      </c>
      <c r="I3378" s="25" t="s">
        <v>436</v>
      </c>
      <c r="J3378" s="25" t="s">
        <v>437</v>
      </c>
      <c r="K3378" s="25" t="s">
        <v>438</v>
      </c>
      <c r="L3378" s="25" t="s">
        <v>345</v>
      </c>
      <c r="M3378" s="25" t="s">
        <v>408</v>
      </c>
      <c r="N3378" s="25" t="s">
        <v>11</v>
      </c>
      <c r="O3378" s="25" t="s">
        <v>11</v>
      </c>
      <c r="P3378" s="25" t="s">
        <v>0</v>
      </c>
      <c r="Q3378" s="25" t="s">
        <v>408</v>
      </c>
      <c r="R3378" s="25" t="s">
        <v>439</v>
      </c>
      <c r="S3378" s="25" t="s">
        <v>440</v>
      </c>
      <c r="T3378" s="25" t="s">
        <v>11</v>
      </c>
      <c r="U3378" s="25" t="s">
        <v>408</v>
      </c>
    </row>
    <row r="3379" spans="1:21" x14ac:dyDescent="0.25">
      <c r="A3379" s="26">
        <v>26234267</v>
      </c>
      <c r="B3379" s="25" t="s">
        <v>342</v>
      </c>
      <c r="C3379" s="25" t="s">
        <v>13</v>
      </c>
      <c r="D3379" s="25" t="s">
        <v>12</v>
      </c>
      <c r="E3379" s="25" t="s">
        <v>638</v>
      </c>
      <c r="F3379" s="25" t="s">
        <v>577</v>
      </c>
      <c r="G3379" s="25" t="s">
        <v>369</v>
      </c>
      <c r="H3379" s="25" t="s">
        <v>0</v>
      </c>
      <c r="I3379" s="25" t="s">
        <v>436</v>
      </c>
      <c r="J3379" s="25" t="s">
        <v>437</v>
      </c>
      <c r="K3379" s="25" t="s">
        <v>438</v>
      </c>
      <c r="L3379" s="25" t="s">
        <v>345</v>
      </c>
      <c r="M3379" s="25" t="s">
        <v>408</v>
      </c>
      <c r="N3379" s="25" t="s">
        <v>11</v>
      </c>
      <c r="O3379" s="25" t="s">
        <v>11</v>
      </c>
      <c r="P3379" s="25" t="s">
        <v>0</v>
      </c>
      <c r="Q3379" s="25" t="s">
        <v>408</v>
      </c>
      <c r="R3379" s="25" t="s">
        <v>439</v>
      </c>
      <c r="S3379" s="25" t="s">
        <v>440</v>
      </c>
      <c r="T3379" s="25" t="s">
        <v>11</v>
      </c>
      <c r="U3379" s="25" t="s">
        <v>408</v>
      </c>
    </row>
    <row r="3380" spans="1:21" x14ac:dyDescent="0.25">
      <c r="A3380" s="26">
        <v>26234268</v>
      </c>
      <c r="B3380" s="25" t="s">
        <v>340</v>
      </c>
      <c r="C3380" s="25" t="s">
        <v>15</v>
      </c>
      <c r="D3380" s="25" t="s">
        <v>12</v>
      </c>
      <c r="E3380" s="25" t="s">
        <v>638</v>
      </c>
      <c r="F3380" s="25" t="s">
        <v>577</v>
      </c>
      <c r="G3380" s="25" t="s">
        <v>369</v>
      </c>
      <c r="H3380" s="25" t="s">
        <v>0</v>
      </c>
      <c r="I3380" s="25" t="s">
        <v>436</v>
      </c>
      <c r="J3380" s="25" t="s">
        <v>437</v>
      </c>
      <c r="K3380" s="25" t="s">
        <v>438</v>
      </c>
      <c r="L3380" s="25" t="s">
        <v>345</v>
      </c>
      <c r="M3380" s="25" t="s">
        <v>408</v>
      </c>
      <c r="N3380" s="25" t="s">
        <v>11</v>
      </c>
      <c r="O3380" s="25" t="s">
        <v>11</v>
      </c>
      <c r="P3380" s="25" t="s">
        <v>0</v>
      </c>
      <c r="Q3380" s="25" t="s">
        <v>408</v>
      </c>
      <c r="R3380" s="25" t="s">
        <v>439</v>
      </c>
      <c r="S3380" s="25" t="s">
        <v>440</v>
      </c>
      <c r="T3380" s="25" t="s">
        <v>11</v>
      </c>
      <c r="U3380" s="25" t="s">
        <v>408</v>
      </c>
    </row>
    <row r="3381" spans="1:21" x14ac:dyDescent="0.25">
      <c r="A3381" s="26">
        <v>26234269</v>
      </c>
      <c r="B3381" s="25" t="s">
        <v>342</v>
      </c>
      <c r="C3381" s="25" t="s">
        <v>13</v>
      </c>
      <c r="D3381" s="25" t="s">
        <v>12</v>
      </c>
      <c r="E3381" s="25" t="s">
        <v>638</v>
      </c>
      <c r="F3381" s="25" t="s">
        <v>577</v>
      </c>
      <c r="G3381" s="25" t="s">
        <v>369</v>
      </c>
      <c r="H3381" s="25" t="s">
        <v>0</v>
      </c>
      <c r="I3381" s="25" t="s">
        <v>436</v>
      </c>
      <c r="J3381" s="25" t="s">
        <v>437</v>
      </c>
      <c r="K3381" s="25" t="s">
        <v>438</v>
      </c>
      <c r="L3381" s="25" t="s">
        <v>345</v>
      </c>
      <c r="M3381" s="25" t="s">
        <v>408</v>
      </c>
      <c r="N3381" s="25" t="s">
        <v>11</v>
      </c>
      <c r="O3381" s="25" t="s">
        <v>11</v>
      </c>
      <c r="P3381" s="25" t="s">
        <v>0</v>
      </c>
      <c r="Q3381" s="25" t="s">
        <v>408</v>
      </c>
      <c r="R3381" s="25" t="s">
        <v>439</v>
      </c>
      <c r="S3381" s="25" t="s">
        <v>440</v>
      </c>
      <c r="T3381" s="25" t="s">
        <v>11</v>
      </c>
      <c r="U3381" s="25" t="s">
        <v>408</v>
      </c>
    </row>
    <row r="3382" spans="1:21" x14ac:dyDescent="0.25">
      <c r="A3382" s="26">
        <v>26234270</v>
      </c>
      <c r="B3382" s="25" t="s">
        <v>340</v>
      </c>
      <c r="C3382" s="25" t="s">
        <v>15</v>
      </c>
      <c r="D3382" s="25" t="s">
        <v>12</v>
      </c>
      <c r="E3382" s="25" t="s">
        <v>638</v>
      </c>
      <c r="F3382" s="25" t="s">
        <v>577</v>
      </c>
      <c r="G3382" s="25" t="s">
        <v>369</v>
      </c>
      <c r="H3382" s="25" t="s">
        <v>0</v>
      </c>
      <c r="I3382" s="25" t="s">
        <v>436</v>
      </c>
      <c r="J3382" s="25" t="s">
        <v>437</v>
      </c>
      <c r="K3382" s="25" t="s">
        <v>438</v>
      </c>
      <c r="L3382" s="25" t="s">
        <v>345</v>
      </c>
      <c r="M3382" s="25" t="s">
        <v>408</v>
      </c>
      <c r="N3382" s="25" t="s">
        <v>11</v>
      </c>
      <c r="O3382" s="25" t="s">
        <v>11</v>
      </c>
      <c r="P3382" s="25" t="s">
        <v>0</v>
      </c>
      <c r="Q3382" s="25" t="s">
        <v>408</v>
      </c>
      <c r="R3382" s="25" t="s">
        <v>439</v>
      </c>
      <c r="S3382" s="25" t="s">
        <v>440</v>
      </c>
      <c r="T3382" s="25" t="s">
        <v>11</v>
      </c>
      <c r="U3382" s="25" t="s">
        <v>408</v>
      </c>
    </row>
    <row r="3383" spans="1:21" x14ac:dyDescent="0.25">
      <c r="A3383" s="26">
        <v>26234271</v>
      </c>
      <c r="B3383" s="25" t="s">
        <v>342</v>
      </c>
      <c r="C3383" s="25" t="s">
        <v>13</v>
      </c>
      <c r="D3383" s="25" t="s">
        <v>12</v>
      </c>
      <c r="E3383" s="25" t="s">
        <v>638</v>
      </c>
      <c r="F3383" s="25" t="s">
        <v>577</v>
      </c>
      <c r="G3383" s="25" t="s">
        <v>369</v>
      </c>
      <c r="H3383" s="25" t="s">
        <v>0</v>
      </c>
      <c r="I3383" s="25" t="s">
        <v>436</v>
      </c>
      <c r="J3383" s="25" t="s">
        <v>437</v>
      </c>
      <c r="K3383" s="25" t="s">
        <v>438</v>
      </c>
      <c r="L3383" s="25" t="s">
        <v>345</v>
      </c>
      <c r="M3383" s="25" t="s">
        <v>408</v>
      </c>
      <c r="N3383" s="25" t="s">
        <v>11</v>
      </c>
      <c r="O3383" s="25" t="s">
        <v>11</v>
      </c>
      <c r="P3383" s="25" t="s">
        <v>0</v>
      </c>
      <c r="Q3383" s="25" t="s">
        <v>408</v>
      </c>
      <c r="R3383" s="25" t="s">
        <v>439</v>
      </c>
      <c r="S3383" s="25" t="s">
        <v>440</v>
      </c>
      <c r="T3383" s="25" t="s">
        <v>11</v>
      </c>
      <c r="U3383" s="25" t="s">
        <v>408</v>
      </c>
    </row>
    <row r="3384" spans="1:21" x14ac:dyDescent="0.25">
      <c r="A3384" s="26">
        <v>26234272</v>
      </c>
      <c r="B3384" s="25" t="s">
        <v>340</v>
      </c>
      <c r="C3384" s="25" t="s">
        <v>15</v>
      </c>
      <c r="D3384" s="25" t="s">
        <v>18</v>
      </c>
      <c r="E3384" s="25" t="s">
        <v>638</v>
      </c>
      <c r="F3384" s="25" t="s">
        <v>577</v>
      </c>
      <c r="G3384" s="25" t="s">
        <v>369</v>
      </c>
      <c r="H3384" s="25" t="s">
        <v>0</v>
      </c>
      <c r="I3384" s="25" t="s">
        <v>436</v>
      </c>
      <c r="J3384" s="25" t="s">
        <v>437</v>
      </c>
      <c r="K3384" s="25" t="s">
        <v>438</v>
      </c>
      <c r="L3384" s="25" t="s">
        <v>345</v>
      </c>
      <c r="M3384" s="25" t="s">
        <v>408</v>
      </c>
      <c r="N3384" s="25" t="s">
        <v>11</v>
      </c>
      <c r="O3384" s="25" t="s">
        <v>11</v>
      </c>
      <c r="P3384" s="25" t="s">
        <v>0</v>
      </c>
      <c r="Q3384" s="25" t="s">
        <v>408</v>
      </c>
      <c r="R3384" s="25" t="s">
        <v>439</v>
      </c>
      <c r="S3384" s="25" t="s">
        <v>440</v>
      </c>
      <c r="T3384" s="25" t="s">
        <v>11</v>
      </c>
      <c r="U3384" s="25" t="s">
        <v>408</v>
      </c>
    </row>
    <row r="3385" spans="1:21" x14ac:dyDescent="0.25">
      <c r="A3385" s="26">
        <v>26234273</v>
      </c>
      <c r="B3385" s="25" t="s">
        <v>342</v>
      </c>
      <c r="C3385" s="25" t="s">
        <v>13</v>
      </c>
      <c r="D3385" s="25" t="s">
        <v>18</v>
      </c>
      <c r="E3385" s="25" t="s">
        <v>638</v>
      </c>
      <c r="F3385" s="25" t="s">
        <v>577</v>
      </c>
      <c r="G3385" s="25" t="s">
        <v>369</v>
      </c>
      <c r="H3385" s="25" t="s">
        <v>0</v>
      </c>
      <c r="I3385" s="25" t="s">
        <v>436</v>
      </c>
      <c r="J3385" s="25" t="s">
        <v>437</v>
      </c>
      <c r="K3385" s="25" t="s">
        <v>438</v>
      </c>
      <c r="L3385" s="25" t="s">
        <v>345</v>
      </c>
      <c r="M3385" s="25" t="s">
        <v>408</v>
      </c>
      <c r="N3385" s="25" t="s">
        <v>11</v>
      </c>
      <c r="O3385" s="25" t="s">
        <v>11</v>
      </c>
      <c r="P3385" s="25" t="s">
        <v>0</v>
      </c>
      <c r="Q3385" s="25" t="s">
        <v>408</v>
      </c>
      <c r="R3385" s="25" t="s">
        <v>439</v>
      </c>
      <c r="S3385" s="25" t="s">
        <v>440</v>
      </c>
      <c r="T3385" s="25" t="s">
        <v>11</v>
      </c>
      <c r="U3385" s="25" t="s">
        <v>408</v>
      </c>
    </row>
    <row r="3386" spans="1:21" x14ac:dyDescent="0.25">
      <c r="A3386" s="26">
        <v>26234274</v>
      </c>
      <c r="B3386" s="25" t="s">
        <v>342</v>
      </c>
      <c r="C3386" s="25" t="s">
        <v>13</v>
      </c>
      <c r="D3386" s="25" t="s">
        <v>12</v>
      </c>
      <c r="E3386" s="25" t="s">
        <v>638</v>
      </c>
      <c r="F3386" s="25" t="s">
        <v>577</v>
      </c>
      <c r="G3386" s="25" t="s">
        <v>369</v>
      </c>
      <c r="H3386" s="25" t="s">
        <v>0</v>
      </c>
      <c r="I3386" s="25" t="s">
        <v>436</v>
      </c>
      <c r="J3386" s="25" t="s">
        <v>437</v>
      </c>
      <c r="K3386" s="25" t="s">
        <v>438</v>
      </c>
      <c r="L3386" s="25" t="s">
        <v>345</v>
      </c>
      <c r="M3386" s="25" t="s">
        <v>408</v>
      </c>
      <c r="N3386" s="25" t="s">
        <v>11</v>
      </c>
      <c r="O3386" s="25" t="s">
        <v>11</v>
      </c>
      <c r="P3386" s="25" t="s">
        <v>0</v>
      </c>
      <c r="Q3386" s="25" t="s">
        <v>408</v>
      </c>
      <c r="R3386" s="25" t="s">
        <v>439</v>
      </c>
      <c r="S3386" s="25" t="s">
        <v>440</v>
      </c>
      <c r="T3386" s="25" t="s">
        <v>11</v>
      </c>
      <c r="U3386" s="25" t="s">
        <v>408</v>
      </c>
    </row>
    <row r="3387" spans="1:21" x14ac:dyDescent="0.25">
      <c r="A3387" s="26">
        <v>26234275</v>
      </c>
      <c r="B3387" s="25" t="s">
        <v>342</v>
      </c>
      <c r="C3387" s="25" t="s">
        <v>13</v>
      </c>
      <c r="D3387" s="25" t="s">
        <v>12</v>
      </c>
      <c r="E3387" s="25" t="s">
        <v>638</v>
      </c>
      <c r="F3387" s="25" t="s">
        <v>577</v>
      </c>
      <c r="G3387" s="25" t="s">
        <v>369</v>
      </c>
      <c r="H3387" s="25" t="s">
        <v>0</v>
      </c>
      <c r="I3387" s="25" t="s">
        <v>436</v>
      </c>
      <c r="J3387" s="25" t="s">
        <v>437</v>
      </c>
      <c r="K3387" s="25" t="s">
        <v>438</v>
      </c>
      <c r="L3387" s="25" t="s">
        <v>345</v>
      </c>
      <c r="M3387" s="25" t="s">
        <v>408</v>
      </c>
      <c r="N3387" s="25" t="s">
        <v>11</v>
      </c>
      <c r="O3387" s="25" t="s">
        <v>11</v>
      </c>
      <c r="P3387" s="25" t="s">
        <v>0</v>
      </c>
      <c r="Q3387" s="25" t="s">
        <v>408</v>
      </c>
      <c r="R3387" s="25" t="s">
        <v>439</v>
      </c>
      <c r="S3387" s="25" t="s">
        <v>440</v>
      </c>
      <c r="T3387" s="25" t="s">
        <v>11</v>
      </c>
      <c r="U3387" s="25" t="s">
        <v>408</v>
      </c>
    </row>
    <row r="3388" spans="1:21" x14ac:dyDescent="0.25">
      <c r="A3388" s="26">
        <v>26234276</v>
      </c>
      <c r="B3388" s="25" t="s">
        <v>340</v>
      </c>
      <c r="C3388" s="25" t="s">
        <v>15</v>
      </c>
      <c r="D3388" s="25" t="s">
        <v>12</v>
      </c>
      <c r="E3388" s="25" t="s">
        <v>638</v>
      </c>
      <c r="F3388" s="25" t="s">
        <v>577</v>
      </c>
      <c r="G3388" s="25" t="s">
        <v>369</v>
      </c>
      <c r="H3388" s="25" t="s">
        <v>0</v>
      </c>
      <c r="I3388" s="25" t="s">
        <v>436</v>
      </c>
      <c r="J3388" s="25" t="s">
        <v>437</v>
      </c>
      <c r="K3388" s="25" t="s">
        <v>438</v>
      </c>
      <c r="L3388" s="25" t="s">
        <v>345</v>
      </c>
      <c r="M3388" s="25" t="s">
        <v>408</v>
      </c>
      <c r="N3388" s="25" t="s">
        <v>11</v>
      </c>
      <c r="O3388" s="25" t="s">
        <v>11</v>
      </c>
      <c r="P3388" s="25" t="s">
        <v>0</v>
      </c>
      <c r="Q3388" s="25" t="s">
        <v>408</v>
      </c>
      <c r="R3388" s="25" t="s">
        <v>439</v>
      </c>
      <c r="S3388" s="25" t="s">
        <v>440</v>
      </c>
      <c r="T3388" s="25" t="s">
        <v>11</v>
      </c>
      <c r="U3388" s="25" t="s">
        <v>408</v>
      </c>
    </row>
    <row r="3389" spans="1:21" x14ac:dyDescent="0.25">
      <c r="A3389" s="26">
        <v>26234277</v>
      </c>
      <c r="B3389" s="25" t="s">
        <v>340</v>
      </c>
      <c r="C3389" s="25" t="s">
        <v>15</v>
      </c>
      <c r="D3389" s="25" t="s">
        <v>12</v>
      </c>
      <c r="E3389" s="25" t="s">
        <v>638</v>
      </c>
      <c r="F3389" s="25" t="s">
        <v>577</v>
      </c>
      <c r="G3389" s="25" t="s">
        <v>369</v>
      </c>
      <c r="H3389" s="25" t="s">
        <v>0</v>
      </c>
      <c r="I3389" s="25" t="s">
        <v>436</v>
      </c>
      <c r="J3389" s="25" t="s">
        <v>437</v>
      </c>
      <c r="K3389" s="25" t="s">
        <v>438</v>
      </c>
      <c r="L3389" s="25" t="s">
        <v>345</v>
      </c>
      <c r="M3389" s="25" t="s">
        <v>408</v>
      </c>
      <c r="N3389" s="25" t="s">
        <v>11</v>
      </c>
      <c r="O3389" s="25" t="s">
        <v>11</v>
      </c>
      <c r="P3389" s="25" t="s">
        <v>0</v>
      </c>
      <c r="Q3389" s="25" t="s">
        <v>408</v>
      </c>
      <c r="R3389" s="25" t="s">
        <v>439</v>
      </c>
      <c r="S3389" s="25" t="s">
        <v>440</v>
      </c>
      <c r="T3389" s="25" t="s">
        <v>11</v>
      </c>
      <c r="U3389" s="25" t="s">
        <v>408</v>
      </c>
    </row>
    <row r="3390" spans="1:21" x14ac:dyDescent="0.25">
      <c r="A3390" s="26">
        <v>26234278</v>
      </c>
      <c r="B3390" s="25" t="s">
        <v>340</v>
      </c>
      <c r="C3390" s="25" t="s">
        <v>15</v>
      </c>
      <c r="D3390" s="25" t="s">
        <v>18</v>
      </c>
      <c r="E3390" s="25" t="s">
        <v>638</v>
      </c>
      <c r="F3390" s="25" t="s">
        <v>577</v>
      </c>
      <c r="G3390" s="25" t="s">
        <v>369</v>
      </c>
      <c r="H3390" s="25" t="s">
        <v>0</v>
      </c>
      <c r="I3390" s="25" t="s">
        <v>436</v>
      </c>
      <c r="J3390" s="25" t="s">
        <v>437</v>
      </c>
      <c r="K3390" s="25" t="s">
        <v>438</v>
      </c>
      <c r="L3390" s="25" t="s">
        <v>345</v>
      </c>
      <c r="M3390" s="25" t="s">
        <v>408</v>
      </c>
      <c r="N3390" s="25" t="s">
        <v>11</v>
      </c>
      <c r="O3390" s="25" t="s">
        <v>11</v>
      </c>
      <c r="P3390" s="25" t="s">
        <v>0</v>
      </c>
      <c r="Q3390" s="25" t="s">
        <v>408</v>
      </c>
      <c r="R3390" s="25" t="s">
        <v>439</v>
      </c>
      <c r="S3390" s="25" t="s">
        <v>440</v>
      </c>
      <c r="T3390" s="25" t="s">
        <v>11</v>
      </c>
      <c r="U3390" s="25" t="s">
        <v>408</v>
      </c>
    </row>
    <row r="3391" spans="1:21" x14ac:dyDescent="0.25">
      <c r="A3391" s="26">
        <v>26234215</v>
      </c>
      <c r="B3391" s="25" t="s">
        <v>342</v>
      </c>
      <c r="C3391" s="25" t="s">
        <v>13</v>
      </c>
      <c r="D3391" s="25" t="s">
        <v>12</v>
      </c>
      <c r="E3391" s="25" t="s">
        <v>638</v>
      </c>
      <c r="F3391" s="25" t="s">
        <v>577</v>
      </c>
      <c r="G3391" s="25" t="s">
        <v>369</v>
      </c>
      <c r="H3391" s="25" t="s">
        <v>0</v>
      </c>
      <c r="I3391" s="25" t="s">
        <v>436</v>
      </c>
      <c r="J3391" s="25" t="s">
        <v>437</v>
      </c>
      <c r="K3391" s="25" t="s">
        <v>438</v>
      </c>
      <c r="L3391" s="25" t="s">
        <v>345</v>
      </c>
      <c r="M3391" s="25" t="s">
        <v>408</v>
      </c>
      <c r="N3391" s="25" t="s">
        <v>11</v>
      </c>
      <c r="O3391" s="25" t="s">
        <v>11</v>
      </c>
      <c r="P3391" s="25" t="s">
        <v>0</v>
      </c>
      <c r="Q3391" s="25" t="s">
        <v>408</v>
      </c>
      <c r="R3391" s="25" t="s">
        <v>439</v>
      </c>
      <c r="S3391" s="25" t="s">
        <v>440</v>
      </c>
      <c r="T3391" s="25" t="s">
        <v>11</v>
      </c>
      <c r="U3391" s="25" t="s">
        <v>408</v>
      </c>
    </row>
    <row r="3392" spans="1:21" x14ac:dyDescent="0.25">
      <c r="A3392" s="26">
        <v>26234216</v>
      </c>
      <c r="B3392" s="25" t="s">
        <v>342</v>
      </c>
      <c r="C3392" s="25" t="s">
        <v>13</v>
      </c>
      <c r="D3392" s="25" t="s">
        <v>12</v>
      </c>
      <c r="E3392" s="25" t="s">
        <v>638</v>
      </c>
      <c r="F3392" s="25" t="s">
        <v>577</v>
      </c>
      <c r="G3392" s="25" t="s">
        <v>369</v>
      </c>
      <c r="H3392" s="25" t="s">
        <v>0</v>
      </c>
      <c r="I3392" s="25" t="s">
        <v>436</v>
      </c>
      <c r="J3392" s="25" t="s">
        <v>437</v>
      </c>
      <c r="K3392" s="25" t="s">
        <v>438</v>
      </c>
      <c r="L3392" s="25" t="s">
        <v>345</v>
      </c>
      <c r="M3392" s="25" t="s">
        <v>408</v>
      </c>
      <c r="N3392" s="25" t="s">
        <v>11</v>
      </c>
      <c r="O3392" s="25" t="s">
        <v>11</v>
      </c>
      <c r="P3392" s="25" t="s">
        <v>0</v>
      </c>
      <c r="Q3392" s="25" t="s">
        <v>408</v>
      </c>
      <c r="R3392" s="25" t="s">
        <v>439</v>
      </c>
      <c r="S3392" s="25" t="s">
        <v>440</v>
      </c>
      <c r="T3392" s="25" t="s">
        <v>11</v>
      </c>
      <c r="U3392" s="25" t="s">
        <v>408</v>
      </c>
    </row>
    <row r="3393" spans="1:21" x14ac:dyDescent="0.25">
      <c r="A3393" s="26">
        <v>26234217</v>
      </c>
      <c r="B3393" s="25" t="s">
        <v>340</v>
      </c>
      <c r="C3393" s="25" t="s">
        <v>15</v>
      </c>
      <c r="D3393" s="25" t="s">
        <v>79</v>
      </c>
      <c r="E3393" s="25" t="s">
        <v>638</v>
      </c>
      <c r="F3393" s="25" t="s">
        <v>577</v>
      </c>
      <c r="G3393" s="25" t="s">
        <v>369</v>
      </c>
      <c r="H3393" s="25" t="s">
        <v>3</v>
      </c>
      <c r="I3393" s="25" t="s">
        <v>436</v>
      </c>
      <c r="J3393" s="25" t="s">
        <v>441</v>
      </c>
      <c r="K3393" s="25" t="s">
        <v>442</v>
      </c>
      <c r="L3393" s="25" t="s">
        <v>0</v>
      </c>
      <c r="M3393" s="25" t="s">
        <v>408</v>
      </c>
      <c r="N3393" s="25" t="s">
        <v>11</v>
      </c>
      <c r="O3393" s="25" t="s">
        <v>11</v>
      </c>
      <c r="P3393" s="25" t="s">
        <v>0</v>
      </c>
      <c r="Q3393" s="25" t="s">
        <v>408</v>
      </c>
      <c r="R3393" s="25" t="s">
        <v>439</v>
      </c>
      <c r="S3393" s="25" t="s">
        <v>440</v>
      </c>
      <c r="T3393" s="25" t="s">
        <v>11</v>
      </c>
      <c r="U3393" s="25" t="s">
        <v>408</v>
      </c>
    </row>
    <row r="3394" spans="1:21" x14ac:dyDescent="0.25">
      <c r="A3394" s="26">
        <v>26234218</v>
      </c>
      <c r="B3394" s="25" t="s">
        <v>340</v>
      </c>
      <c r="C3394" s="25" t="s">
        <v>15</v>
      </c>
      <c r="D3394" s="25" t="s">
        <v>12</v>
      </c>
      <c r="E3394" s="25" t="s">
        <v>638</v>
      </c>
      <c r="F3394" s="25" t="s">
        <v>577</v>
      </c>
      <c r="G3394" s="25" t="s">
        <v>369</v>
      </c>
      <c r="H3394" s="25" t="s">
        <v>3</v>
      </c>
      <c r="I3394" s="25" t="s">
        <v>436</v>
      </c>
      <c r="J3394" s="25" t="s">
        <v>441</v>
      </c>
      <c r="K3394" s="25" t="s">
        <v>442</v>
      </c>
      <c r="L3394" s="25" t="s">
        <v>0</v>
      </c>
      <c r="M3394" s="25" t="s">
        <v>408</v>
      </c>
      <c r="N3394" s="25" t="s">
        <v>11</v>
      </c>
      <c r="O3394" s="25" t="s">
        <v>11</v>
      </c>
      <c r="P3394" s="25" t="s">
        <v>0</v>
      </c>
      <c r="Q3394" s="25" t="s">
        <v>408</v>
      </c>
      <c r="R3394" s="25" t="s">
        <v>439</v>
      </c>
      <c r="S3394" s="25" t="s">
        <v>440</v>
      </c>
      <c r="T3394" s="25" t="s">
        <v>11</v>
      </c>
      <c r="U3394" s="25" t="s">
        <v>408</v>
      </c>
    </row>
    <row r="3395" spans="1:21" x14ac:dyDescent="0.25">
      <c r="A3395" s="26">
        <v>26234219</v>
      </c>
      <c r="B3395" s="25" t="s">
        <v>340</v>
      </c>
      <c r="C3395" s="25" t="s">
        <v>15</v>
      </c>
      <c r="D3395" s="25" t="s">
        <v>12</v>
      </c>
      <c r="E3395" s="25" t="s">
        <v>638</v>
      </c>
      <c r="F3395" s="25" t="s">
        <v>577</v>
      </c>
      <c r="G3395" s="25" t="s">
        <v>369</v>
      </c>
      <c r="H3395" s="25" t="s">
        <v>3</v>
      </c>
      <c r="I3395" s="25" t="s">
        <v>436</v>
      </c>
      <c r="J3395" s="25" t="s">
        <v>441</v>
      </c>
      <c r="K3395" s="25" t="s">
        <v>442</v>
      </c>
      <c r="L3395" s="25" t="s">
        <v>0</v>
      </c>
      <c r="M3395" s="25" t="s">
        <v>408</v>
      </c>
      <c r="N3395" s="25" t="s">
        <v>11</v>
      </c>
      <c r="O3395" s="25" t="s">
        <v>11</v>
      </c>
      <c r="P3395" s="25" t="s">
        <v>0</v>
      </c>
      <c r="Q3395" s="25" t="s">
        <v>408</v>
      </c>
      <c r="R3395" s="25" t="s">
        <v>439</v>
      </c>
      <c r="S3395" s="25" t="s">
        <v>440</v>
      </c>
      <c r="T3395" s="25" t="s">
        <v>11</v>
      </c>
      <c r="U3395" s="25" t="s">
        <v>408</v>
      </c>
    </row>
    <row r="3396" spans="1:21" x14ac:dyDescent="0.25">
      <c r="A3396" s="26">
        <v>26234220</v>
      </c>
      <c r="B3396" s="25" t="s">
        <v>342</v>
      </c>
      <c r="C3396" s="25" t="s">
        <v>13</v>
      </c>
      <c r="D3396" s="25" t="s">
        <v>18</v>
      </c>
      <c r="E3396" s="25" t="s">
        <v>638</v>
      </c>
      <c r="F3396" s="25" t="s">
        <v>577</v>
      </c>
      <c r="G3396" s="25" t="s">
        <v>369</v>
      </c>
      <c r="H3396" s="25" t="s">
        <v>0</v>
      </c>
      <c r="I3396" s="25" t="s">
        <v>436</v>
      </c>
      <c r="J3396" s="25" t="s">
        <v>437</v>
      </c>
      <c r="K3396" s="25" t="s">
        <v>438</v>
      </c>
      <c r="L3396" s="25" t="s">
        <v>345</v>
      </c>
      <c r="M3396" s="25" t="s">
        <v>408</v>
      </c>
      <c r="N3396" s="25" t="s">
        <v>11</v>
      </c>
      <c r="O3396" s="25" t="s">
        <v>11</v>
      </c>
      <c r="P3396" s="25" t="s">
        <v>0</v>
      </c>
      <c r="Q3396" s="25" t="s">
        <v>408</v>
      </c>
      <c r="R3396" s="25" t="s">
        <v>439</v>
      </c>
      <c r="S3396" s="25" t="s">
        <v>440</v>
      </c>
      <c r="T3396" s="25" t="s">
        <v>11</v>
      </c>
      <c r="U3396" s="25" t="s">
        <v>408</v>
      </c>
    </row>
    <row r="3397" spans="1:21" x14ac:dyDescent="0.25">
      <c r="A3397" s="26">
        <v>26234221</v>
      </c>
      <c r="B3397" s="25" t="s">
        <v>342</v>
      </c>
      <c r="C3397" s="25" t="s">
        <v>13</v>
      </c>
      <c r="D3397" s="25" t="s">
        <v>12</v>
      </c>
      <c r="E3397" s="25" t="s">
        <v>638</v>
      </c>
      <c r="F3397" s="25" t="s">
        <v>577</v>
      </c>
      <c r="G3397" s="25" t="s">
        <v>369</v>
      </c>
      <c r="H3397" s="25" t="s">
        <v>3</v>
      </c>
      <c r="I3397" s="25" t="s">
        <v>436</v>
      </c>
      <c r="J3397" s="25" t="s">
        <v>441</v>
      </c>
      <c r="K3397" s="25" t="s">
        <v>442</v>
      </c>
      <c r="L3397" s="25" t="s">
        <v>0</v>
      </c>
      <c r="M3397" s="25" t="s">
        <v>408</v>
      </c>
      <c r="N3397" s="25" t="s">
        <v>11</v>
      </c>
      <c r="O3397" s="25" t="s">
        <v>11</v>
      </c>
      <c r="P3397" s="25" t="s">
        <v>0</v>
      </c>
      <c r="Q3397" s="25" t="s">
        <v>408</v>
      </c>
      <c r="R3397" s="25" t="s">
        <v>439</v>
      </c>
      <c r="S3397" s="25" t="s">
        <v>440</v>
      </c>
      <c r="T3397" s="25" t="s">
        <v>11</v>
      </c>
      <c r="U3397" s="25" t="s">
        <v>408</v>
      </c>
    </row>
    <row r="3398" spans="1:21" x14ac:dyDescent="0.25">
      <c r="A3398" s="26">
        <v>26234222</v>
      </c>
      <c r="B3398" s="25" t="s">
        <v>342</v>
      </c>
      <c r="C3398" s="25" t="s">
        <v>13</v>
      </c>
      <c r="D3398" s="25" t="s">
        <v>12</v>
      </c>
      <c r="E3398" s="25" t="s">
        <v>638</v>
      </c>
      <c r="F3398" s="25" t="s">
        <v>577</v>
      </c>
      <c r="G3398" s="25" t="s">
        <v>369</v>
      </c>
      <c r="H3398" s="25" t="s">
        <v>0</v>
      </c>
      <c r="I3398" s="25" t="s">
        <v>436</v>
      </c>
      <c r="J3398" s="25" t="s">
        <v>437</v>
      </c>
      <c r="K3398" s="25" t="s">
        <v>438</v>
      </c>
      <c r="L3398" s="25" t="s">
        <v>345</v>
      </c>
      <c r="M3398" s="25" t="s">
        <v>408</v>
      </c>
      <c r="N3398" s="25" t="s">
        <v>11</v>
      </c>
      <c r="O3398" s="25" t="s">
        <v>11</v>
      </c>
      <c r="P3398" s="25" t="s">
        <v>0</v>
      </c>
      <c r="Q3398" s="25" t="s">
        <v>408</v>
      </c>
      <c r="R3398" s="25" t="s">
        <v>439</v>
      </c>
      <c r="S3398" s="25" t="s">
        <v>440</v>
      </c>
      <c r="T3398" s="25" t="s">
        <v>11</v>
      </c>
      <c r="U3398" s="25" t="s">
        <v>408</v>
      </c>
    </row>
    <row r="3399" spans="1:21" x14ac:dyDescent="0.25">
      <c r="A3399" s="26">
        <v>26234223</v>
      </c>
      <c r="B3399" s="25" t="s">
        <v>342</v>
      </c>
      <c r="C3399" s="25" t="s">
        <v>13</v>
      </c>
      <c r="D3399" s="25" t="s">
        <v>18</v>
      </c>
      <c r="E3399" s="25" t="s">
        <v>638</v>
      </c>
      <c r="F3399" s="25" t="s">
        <v>577</v>
      </c>
      <c r="G3399" s="25" t="s">
        <v>369</v>
      </c>
      <c r="H3399" s="25" t="s">
        <v>0</v>
      </c>
      <c r="I3399" s="25" t="s">
        <v>436</v>
      </c>
      <c r="J3399" s="25" t="s">
        <v>437</v>
      </c>
      <c r="K3399" s="25" t="s">
        <v>438</v>
      </c>
      <c r="L3399" s="25" t="s">
        <v>345</v>
      </c>
      <c r="M3399" s="25" t="s">
        <v>408</v>
      </c>
      <c r="N3399" s="25" t="s">
        <v>11</v>
      </c>
      <c r="O3399" s="25" t="s">
        <v>11</v>
      </c>
      <c r="P3399" s="25" t="s">
        <v>0</v>
      </c>
      <c r="Q3399" s="25" t="s">
        <v>408</v>
      </c>
      <c r="R3399" s="25" t="s">
        <v>439</v>
      </c>
      <c r="S3399" s="25" t="s">
        <v>440</v>
      </c>
      <c r="T3399" s="25" t="s">
        <v>11</v>
      </c>
      <c r="U3399" s="25" t="s">
        <v>408</v>
      </c>
    </row>
    <row r="3400" spans="1:21" x14ac:dyDescent="0.25">
      <c r="A3400" s="26">
        <v>26234224</v>
      </c>
      <c r="B3400" s="25" t="s">
        <v>340</v>
      </c>
      <c r="C3400" s="25" t="s">
        <v>15</v>
      </c>
      <c r="D3400" s="25" t="s">
        <v>12</v>
      </c>
      <c r="E3400" s="25" t="s">
        <v>638</v>
      </c>
      <c r="F3400" s="25" t="s">
        <v>577</v>
      </c>
      <c r="G3400" s="25" t="s">
        <v>369</v>
      </c>
      <c r="H3400" s="25" t="s">
        <v>0</v>
      </c>
      <c r="I3400" s="25" t="s">
        <v>436</v>
      </c>
      <c r="J3400" s="25" t="s">
        <v>437</v>
      </c>
      <c r="K3400" s="25" t="s">
        <v>438</v>
      </c>
      <c r="L3400" s="25" t="s">
        <v>345</v>
      </c>
      <c r="M3400" s="25" t="s">
        <v>408</v>
      </c>
      <c r="N3400" s="25" t="s">
        <v>11</v>
      </c>
      <c r="O3400" s="25" t="s">
        <v>11</v>
      </c>
      <c r="P3400" s="25" t="s">
        <v>0</v>
      </c>
      <c r="Q3400" s="25" t="s">
        <v>408</v>
      </c>
      <c r="R3400" s="25" t="s">
        <v>439</v>
      </c>
      <c r="S3400" s="25" t="s">
        <v>440</v>
      </c>
      <c r="T3400" s="25" t="s">
        <v>11</v>
      </c>
      <c r="U3400" s="25" t="s">
        <v>408</v>
      </c>
    </row>
    <row r="3401" spans="1:21" x14ac:dyDescent="0.25">
      <c r="A3401" s="26">
        <v>26234225</v>
      </c>
      <c r="B3401" s="25" t="s">
        <v>340</v>
      </c>
      <c r="C3401" s="25" t="s">
        <v>15</v>
      </c>
      <c r="D3401" s="25" t="s">
        <v>12</v>
      </c>
      <c r="E3401" s="25" t="s">
        <v>638</v>
      </c>
      <c r="F3401" s="25" t="s">
        <v>577</v>
      </c>
      <c r="G3401" s="25" t="s">
        <v>369</v>
      </c>
      <c r="H3401" s="25" t="s">
        <v>0</v>
      </c>
      <c r="I3401" s="25" t="s">
        <v>436</v>
      </c>
      <c r="J3401" s="25" t="s">
        <v>437</v>
      </c>
      <c r="K3401" s="25" t="s">
        <v>438</v>
      </c>
      <c r="L3401" s="25" t="s">
        <v>345</v>
      </c>
      <c r="M3401" s="25" t="s">
        <v>408</v>
      </c>
      <c r="N3401" s="25" t="s">
        <v>11</v>
      </c>
      <c r="O3401" s="25" t="s">
        <v>11</v>
      </c>
      <c r="P3401" s="25" t="s">
        <v>0</v>
      </c>
      <c r="Q3401" s="25" t="s">
        <v>408</v>
      </c>
      <c r="R3401" s="25" t="s">
        <v>439</v>
      </c>
      <c r="S3401" s="25" t="s">
        <v>440</v>
      </c>
      <c r="T3401" s="25" t="s">
        <v>11</v>
      </c>
      <c r="U3401" s="25" t="s">
        <v>408</v>
      </c>
    </row>
    <row r="3402" spans="1:21" x14ac:dyDescent="0.25">
      <c r="A3402" s="26">
        <v>26234226</v>
      </c>
      <c r="B3402" s="25" t="s">
        <v>340</v>
      </c>
      <c r="C3402" s="25" t="s">
        <v>15</v>
      </c>
      <c r="D3402" s="25" t="s">
        <v>12</v>
      </c>
      <c r="E3402" s="25" t="s">
        <v>638</v>
      </c>
      <c r="F3402" s="25" t="s">
        <v>577</v>
      </c>
      <c r="G3402" s="25" t="s">
        <v>369</v>
      </c>
      <c r="H3402" s="25" t="s">
        <v>0</v>
      </c>
      <c r="I3402" s="25" t="s">
        <v>436</v>
      </c>
      <c r="J3402" s="25" t="s">
        <v>437</v>
      </c>
      <c r="K3402" s="25" t="s">
        <v>438</v>
      </c>
      <c r="L3402" s="25" t="s">
        <v>345</v>
      </c>
      <c r="M3402" s="25" t="s">
        <v>408</v>
      </c>
      <c r="N3402" s="25" t="s">
        <v>11</v>
      </c>
      <c r="O3402" s="25" t="s">
        <v>11</v>
      </c>
      <c r="P3402" s="25" t="s">
        <v>0</v>
      </c>
      <c r="Q3402" s="25" t="s">
        <v>408</v>
      </c>
      <c r="R3402" s="25" t="s">
        <v>439</v>
      </c>
      <c r="S3402" s="25" t="s">
        <v>440</v>
      </c>
      <c r="T3402" s="25" t="s">
        <v>11</v>
      </c>
      <c r="U3402" s="25" t="s">
        <v>408</v>
      </c>
    </row>
    <row r="3403" spans="1:21" x14ac:dyDescent="0.25">
      <c r="A3403" s="26">
        <v>26234227</v>
      </c>
      <c r="B3403" s="25" t="s">
        <v>340</v>
      </c>
      <c r="C3403" s="25" t="s">
        <v>15</v>
      </c>
      <c r="D3403" s="25" t="s">
        <v>18</v>
      </c>
      <c r="E3403" s="25" t="s">
        <v>638</v>
      </c>
      <c r="F3403" s="25" t="s">
        <v>577</v>
      </c>
      <c r="G3403" s="25" t="s">
        <v>369</v>
      </c>
      <c r="H3403" s="25" t="s">
        <v>0</v>
      </c>
      <c r="I3403" s="25" t="s">
        <v>436</v>
      </c>
      <c r="J3403" s="25" t="s">
        <v>437</v>
      </c>
      <c r="K3403" s="25" t="s">
        <v>438</v>
      </c>
      <c r="L3403" s="25" t="s">
        <v>345</v>
      </c>
      <c r="M3403" s="25" t="s">
        <v>408</v>
      </c>
      <c r="N3403" s="25" t="s">
        <v>11</v>
      </c>
      <c r="O3403" s="25" t="s">
        <v>11</v>
      </c>
      <c r="P3403" s="25" t="s">
        <v>0</v>
      </c>
      <c r="Q3403" s="25" t="s">
        <v>408</v>
      </c>
      <c r="R3403" s="25" t="s">
        <v>439</v>
      </c>
      <c r="S3403" s="25" t="s">
        <v>440</v>
      </c>
      <c r="T3403" s="25" t="s">
        <v>11</v>
      </c>
      <c r="U3403" s="25" t="s">
        <v>408</v>
      </c>
    </row>
    <row r="3404" spans="1:21" x14ac:dyDescent="0.25">
      <c r="A3404" s="26">
        <v>26234228</v>
      </c>
      <c r="B3404" s="25" t="s">
        <v>342</v>
      </c>
      <c r="C3404" s="25" t="s">
        <v>13</v>
      </c>
      <c r="D3404" s="25" t="s">
        <v>12</v>
      </c>
      <c r="E3404" s="25" t="s">
        <v>638</v>
      </c>
      <c r="F3404" s="25" t="s">
        <v>577</v>
      </c>
      <c r="G3404" s="25" t="s">
        <v>369</v>
      </c>
      <c r="H3404" s="25" t="s">
        <v>0</v>
      </c>
      <c r="I3404" s="25" t="s">
        <v>436</v>
      </c>
      <c r="J3404" s="25" t="s">
        <v>437</v>
      </c>
      <c r="K3404" s="25" t="s">
        <v>438</v>
      </c>
      <c r="L3404" s="25" t="s">
        <v>345</v>
      </c>
      <c r="M3404" s="25" t="s">
        <v>408</v>
      </c>
      <c r="N3404" s="25" t="s">
        <v>11</v>
      </c>
      <c r="O3404" s="25" t="s">
        <v>11</v>
      </c>
      <c r="P3404" s="25" t="s">
        <v>0</v>
      </c>
      <c r="Q3404" s="25" t="s">
        <v>408</v>
      </c>
      <c r="R3404" s="25" t="s">
        <v>439</v>
      </c>
      <c r="S3404" s="25" t="s">
        <v>440</v>
      </c>
      <c r="T3404" s="25" t="s">
        <v>11</v>
      </c>
      <c r="U3404" s="25" t="s">
        <v>408</v>
      </c>
    </row>
    <row r="3405" spans="1:21" x14ac:dyDescent="0.25">
      <c r="A3405" s="26">
        <v>26234229</v>
      </c>
      <c r="B3405" s="25" t="s">
        <v>342</v>
      </c>
      <c r="C3405" s="25" t="s">
        <v>13</v>
      </c>
      <c r="D3405" s="25" t="s">
        <v>12</v>
      </c>
      <c r="E3405" s="25" t="s">
        <v>638</v>
      </c>
      <c r="F3405" s="25" t="s">
        <v>577</v>
      </c>
      <c r="G3405" s="25" t="s">
        <v>369</v>
      </c>
      <c r="H3405" s="25" t="s">
        <v>0</v>
      </c>
      <c r="I3405" s="25" t="s">
        <v>436</v>
      </c>
      <c r="J3405" s="25" t="s">
        <v>437</v>
      </c>
      <c r="K3405" s="25" t="s">
        <v>438</v>
      </c>
      <c r="L3405" s="25" t="s">
        <v>345</v>
      </c>
      <c r="M3405" s="25" t="s">
        <v>408</v>
      </c>
      <c r="N3405" s="25" t="s">
        <v>11</v>
      </c>
      <c r="O3405" s="25" t="s">
        <v>11</v>
      </c>
      <c r="P3405" s="25" t="s">
        <v>0</v>
      </c>
      <c r="Q3405" s="25" t="s">
        <v>408</v>
      </c>
      <c r="R3405" s="25" t="s">
        <v>439</v>
      </c>
      <c r="S3405" s="25" t="s">
        <v>440</v>
      </c>
      <c r="T3405" s="25" t="s">
        <v>11</v>
      </c>
      <c r="U3405" s="25" t="s">
        <v>408</v>
      </c>
    </row>
    <row r="3406" spans="1:21" x14ac:dyDescent="0.25">
      <c r="A3406" s="26">
        <v>26234230</v>
      </c>
      <c r="B3406" s="25" t="s">
        <v>342</v>
      </c>
      <c r="C3406" s="25" t="s">
        <v>13</v>
      </c>
      <c r="D3406" s="25" t="s">
        <v>12</v>
      </c>
      <c r="E3406" s="25" t="s">
        <v>638</v>
      </c>
      <c r="F3406" s="25" t="s">
        <v>577</v>
      </c>
      <c r="G3406" s="25" t="s">
        <v>369</v>
      </c>
      <c r="H3406" s="25" t="s">
        <v>0</v>
      </c>
      <c r="I3406" s="25" t="s">
        <v>436</v>
      </c>
      <c r="J3406" s="25" t="s">
        <v>437</v>
      </c>
      <c r="K3406" s="25" t="s">
        <v>438</v>
      </c>
      <c r="L3406" s="25" t="s">
        <v>345</v>
      </c>
      <c r="M3406" s="25" t="s">
        <v>408</v>
      </c>
      <c r="N3406" s="25" t="s">
        <v>11</v>
      </c>
      <c r="O3406" s="25" t="s">
        <v>11</v>
      </c>
      <c r="P3406" s="25" t="s">
        <v>0</v>
      </c>
      <c r="Q3406" s="25" t="s">
        <v>408</v>
      </c>
      <c r="R3406" s="25" t="s">
        <v>439</v>
      </c>
      <c r="S3406" s="25" t="s">
        <v>440</v>
      </c>
      <c r="T3406" s="25" t="s">
        <v>11</v>
      </c>
      <c r="U3406" s="25" t="s">
        <v>408</v>
      </c>
    </row>
    <row r="3407" spans="1:21" x14ac:dyDescent="0.25">
      <c r="A3407" s="26">
        <v>26234231</v>
      </c>
      <c r="B3407" s="25" t="s">
        <v>342</v>
      </c>
      <c r="C3407" s="25" t="s">
        <v>13</v>
      </c>
      <c r="D3407" s="25" t="s">
        <v>12</v>
      </c>
      <c r="E3407" s="25" t="s">
        <v>638</v>
      </c>
      <c r="F3407" s="25" t="s">
        <v>577</v>
      </c>
      <c r="G3407" s="25" t="s">
        <v>369</v>
      </c>
      <c r="H3407" s="25" t="s">
        <v>0</v>
      </c>
      <c r="I3407" s="25" t="s">
        <v>436</v>
      </c>
      <c r="J3407" s="25" t="s">
        <v>437</v>
      </c>
      <c r="K3407" s="25" t="s">
        <v>438</v>
      </c>
      <c r="L3407" s="25" t="s">
        <v>345</v>
      </c>
      <c r="M3407" s="25" t="s">
        <v>408</v>
      </c>
      <c r="N3407" s="25" t="s">
        <v>11</v>
      </c>
      <c r="O3407" s="25" t="s">
        <v>11</v>
      </c>
      <c r="P3407" s="25" t="s">
        <v>0</v>
      </c>
      <c r="Q3407" s="25" t="s">
        <v>408</v>
      </c>
      <c r="R3407" s="25" t="s">
        <v>439</v>
      </c>
      <c r="S3407" s="25" t="s">
        <v>440</v>
      </c>
      <c r="T3407" s="25" t="s">
        <v>11</v>
      </c>
      <c r="U3407" s="25" t="s">
        <v>408</v>
      </c>
    </row>
    <row r="3408" spans="1:21" x14ac:dyDescent="0.25">
      <c r="A3408" s="26">
        <v>26234232</v>
      </c>
      <c r="B3408" s="25" t="s">
        <v>340</v>
      </c>
      <c r="C3408" s="25" t="s">
        <v>15</v>
      </c>
      <c r="D3408" s="25" t="s">
        <v>18</v>
      </c>
      <c r="E3408" s="25" t="s">
        <v>638</v>
      </c>
      <c r="F3408" s="25" t="s">
        <v>577</v>
      </c>
      <c r="G3408" s="25" t="s">
        <v>369</v>
      </c>
      <c r="H3408" s="25" t="s">
        <v>3</v>
      </c>
      <c r="I3408" s="25" t="s">
        <v>436</v>
      </c>
      <c r="J3408" s="25" t="s">
        <v>441</v>
      </c>
      <c r="K3408" s="25" t="s">
        <v>442</v>
      </c>
      <c r="L3408" s="25" t="s">
        <v>0</v>
      </c>
      <c r="M3408" s="25" t="s">
        <v>408</v>
      </c>
      <c r="N3408" s="25" t="s">
        <v>11</v>
      </c>
      <c r="O3408" s="25" t="s">
        <v>11</v>
      </c>
      <c r="P3408" s="25" t="s">
        <v>0</v>
      </c>
      <c r="Q3408" s="25" t="s">
        <v>408</v>
      </c>
      <c r="R3408" s="25" t="s">
        <v>439</v>
      </c>
      <c r="S3408" s="25" t="s">
        <v>440</v>
      </c>
      <c r="T3408" s="25" t="s">
        <v>11</v>
      </c>
      <c r="U3408" s="25" t="s">
        <v>408</v>
      </c>
    </row>
    <row r="3409" spans="1:21" x14ac:dyDescent="0.25">
      <c r="A3409" s="26">
        <v>26234233</v>
      </c>
      <c r="B3409" s="25" t="s">
        <v>340</v>
      </c>
      <c r="C3409" s="25" t="s">
        <v>15</v>
      </c>
      <c r="D3409" s="25" t="s">
        <v>12</v>
      </c>
      <c r="E3409" s="25" t="s">
        <v>638</v>
      </c>
      <c r="F3409" s="25" t="s">
        <v>577</v>
      </c>
      <c r="G3409" s="25" t="s">
        <v>369</v>
      </c>
      <c r="H3409" s="25" t="s">
        <v>0</v>
      </c>
      <c r="I3409" s="25" t="s">
        <v>436</v>
      </c>
      <c r="J3409" s="25" t="s">
        <v>437</v>
      </c>
      <c r="K3409" s="25" t="s">
        <v>438</v>
      </c>
      <c r="L3409" s="25" t="s">
        <v>345</v>
      </c>
      <c r="M3409" s="25" t="s">
        <v>408</v>
      </c>
      <c r="N3409" s="25" t="s">
        <v>11</v>
      </c>
      <c r="O3409" s="25" t="s">
        <v>11</v>
      </c>
      <c r="P3409" s="25" t="s">
        <v>0</v>
      </c>
      <c r="Q3409" s="25" t="s">
        <v>408</v>
      </c>
      <c r="R3409" s="25" t="s">
        <v>439</v>
      </c>
      <c r="S3409" s="25" t="s">
        <v>440</v>
      </c>
      <c r="T3409" s="25" t="s">
        <v>11</v>
      </c>
      <c r="U3409" s="25" t="s">
        <v>408</v>
      </c>
    </row>
    <row r="3410" spans="1:21" x14ac:dyDescent="0.25">
      <c r="A3410" s="26">
        <v>26234234</v>
      </c>
      <c r="B3410" s="25" t="s">
        <v>342</v>
      </c>
      <c r="C3410" s="25" t="s">
        <v>13</v>
      </c>
      <c r="D3410" s="25" t="s">
        <v>12</v>
      </c>
      <c r="E3410" s="25" t="s">
        <v>638</v>
      </c>
      <c r="F3410" s="25" t="s">
        <v>577</v>
      </c>
      <c r="G3410" s="25" t="s">
        <v>369</v>
      </c>
      <c r="H3410" s="25" t="s">
        <v>3</v>
      </c>
      <c r="I3410" s="25" t="s">
        <v>436</v>
      </c>
      <c r="J3410" s="25" t="s">
        <v>441</v>
      </c>
      <c r="K3410" s="25" t="s">
        <v>442</v>
      </c>
      <c r="L3410" s="25" t="s">
        <v>0</v>
      </c>
      <c r="M3410" s="25" t="s">
        <v>408</v>
      </c>
      <c r="N3410" s="25" t="s">
        <v>11</v>
      </c>
      <c r="O3410" s="25" t="s">
        <v>11</v>
      </c>
      <c r="P3410" s="25" t="s">
        <v>0</v>
      </c>
      <c r="Q3410" s="25" t="s">
        <v>408</v>
      </c>
      <c r="R3410" s="25" t="s">
        <v>439</v>
      </c>
      <c r="S3410" s="25" t="s">
        <v>440</v>
      </c>
      <c r="T3410" s="25" t="s">
        <v>11</v>
      </c>
      <c r="U3410" s="25" t="s">
        <v>408</v>
      </c>
    </row>
    <row r="3411" spans="1:21" x14ac:dyDescent="0.25">
      <c r="A3411" s="26">
        <v>26234235</v>
      </c>
      <c r="B3411" s="25" t="s">
        <v>342</v>
      </c>
      <c r="C3411" s="25" t="s">
        <v>13</v>
      </c>
      <c r="D3411" s="25" t="s">
        <v>12</v>
      </c>
      <c r="E3411" s="25" t="s">
        <v>638</v>
      </c>
      <c r="F3411" s="25" t="s">
        <v>577</v>
      </c>
      <c r="G3411" s="25" t="s">
        <v>369</v>
      </c>
      <c r="H3411" s="25" t="s">
        <v>0</v>
      </c>
      <c r="I3411" s="25" t="s">
        <v>436</v>
      </c>
      <c r="J3411" s="25" t="s">
        <v>437</v>
      </c>
      <c r="K3411" s="25" t="s">
        <v>438</v>
      </c>
      <c r="L3411" s="25" t="s">
        <v>345</v>
      </c>
      <c r="M3411" s="25" t="s">
        <v>408</v>
      </c>
      <c r="N3411" s="25" t="s">
        <v>11</v>
      </c>
      <c r="O3411" s="25" t="s">
        <v>11</v>
      </c>
      <c r="P3411" s="25" t="s">
        <v>0</v>
      </c>
      <c r="Q3411" s="25" t="s">
        <v>408</v>
      </c>
      <c r="R3411" s="25" t="s">
        <v>439</v>
      </c>
      <c r="S3411" s="25" t="s">
        <v>440</v>
      </c>
      <c r="T3411" s="25" t="s">
        <v>11</v>
      </c>
      <c r="U3411" s="25" t="s">
        <v>408</v>
      </c>
    </row>
    <row r="3412" spans="1:21" x14ac:dyDescent="0.25">
      <c r="A3412" s="26">
        <v>26234279</v>
      </c>
      <c r="B3412" s="25" t="s">
        <v>342</v>
      </c>
      <c r="C3412" s="25" t="s">
        <v>13</v>
      </c>
      <c r="D3412" s="25" t="s">
        <v>12</v>
      </c>
      <c r="E3412" s="25" t="s">
        <v>638</v>
      </c>
      <c r="F3412" s="25" t="s">
        <v>663</v>
      </c>
      <c r="G3412" s="25" t="s">
        <v>369</v>
      </c>
      <c r="H3412" s="25" t="s">
        <v>1</v>
      </c>
      <c r="I3412" s="25" t="s">
        <v>469</v>
      </c>
      <c r="J3412" s="25" t="s">
        <v>445</v>
      </c>
      <c r="K3412" s="25" t="s">
        <v>438</v>
      </c>
      <c r="L3412" s="25" t="s">
        <v>2</v>
      </c>
      <c r="M3412" s="25" t="s">
        <v>408</v>
      </c>
      <c r="N3412" s="25" t="s">
        <v>11</v>
      </c>
      <c r="O3412" s="25" t="s">
        <v>11</v>
      </c>
      <c r="P3412" s="25" t="s">
        <v>2</v>
      </c>
      <c r="Q3412" s="25" t="s">
        <v>408</v>
      </c>
      <c r="R3412" s="25" t="s">
        <v>439</v>
      </c>
      <c r="S3412" s="25" t="s">
        <v>440</v>
      </c>
      <c r="T3412" s="25" t="s">
        <v>11</v>
      </c>
      <c r="U3412" s="25" t="s">
        <v>408</v>
      </c>
    </row>
    <row r="3413" spans="1:21" x14ac:dyDescent="0.25">
      <c r="A3413" s="26">
        <v>26234280</v>
      </c>
      <c r="B3413" s="25" t="s">
        <v>342</v>
      </c>
      <c r="C3413" s="25" t="s">
        <v>13</v>
      </c>
      <c r="D3413" s="25" t="s">
        <v>12</v>
      </c>
      <c r="E3413" s="25" t="s">
        <v>638</v>
      </c>
      <c r="F3413" s="25" t="s">
        <v>663</v>
      </c>
      <c r="G3413" s="25" t="s">
        <v>369</v>
      </c>
      <c r="H3413" s="25" t="s">
        <v>1</v>
      </c>
      <c r="I3413" s="25" t="s">
        <v>469</v>
      </c>
      <c r="J3413" s="25" t="s">
        <v>445</v>
      </c>
      <c r="K3413" s="25" t="s">
        <v>438</v>
      </c>
      <c r="L3413" s="25" t="s">
        <v>2</v>
      </c>
      <c r="M3413" s="25" t="s">
        <v>408</v>
      </c>
      <c r="N3413" s="25" t="s">
        <v>11</v>
      </c>
      <c r="O3413" s="25" t="s">
        <v>11</v>
      </c>
      <c r="P3413" s="25" t="s">
        <v>2</v>
      </c>
      <c r="Q3413" s="25" t="s">
        <v>408</v>
      </c>
      <c r="R3413" s="25" t="s">
        <v>439</v>
      </c>
      <c r="S3413" s="25" t="s">
        <v>440</v>
      </c>
      <c r="T3413" s="25" t="s">
        <v>11</v>
      </c>
      <c r="U3413" s="25" t="s">
        <v>408</v>
      </c>
    </row>
    <row r="3414" spans="1:21" x14ac:dyDescent="0.25">
      <c r="A3414" s="26">
        <v>26234281</v>
      </c>
      <c r="B3414" s="25" t="s">
        <v>342</v>
      </c>
      <c r="C3414" s="25" t="s">
        <v>13</v>
      </c>
      <c r="D3414" s="25" t="s">
        <v>12</v>
      </c>
      <c r="E3414" s="25" t="s">
        <v>638</v>
      </c>
      <c r="F3414" s="25" t="s">
        <v>663</v>
      </c>
      <c r="G3414" s="25" t="s">
        <v>369</v>
      </c>
      <c r="H3414" s="25" t="s">
        <v>1</v>
      </c>
      <c r="I3414" s="25" t="s">
        <v>469</v>
      </c>
      <c r="J3414" s="25" t="s">
        <v>445</v>
      </c>
      <c r="K3414" s="25" t="s">
        <v>438</v>
      </c>
      <c r="L3414" s="25" t="s">
        <v>2</v>
      </c>
      <c r="M3414" s="25" t="s">
        <v>408</v>
      </c>
      <c r="N3414" s="25" t="s">
        <v>11</v>
      </c>
      <c r="O3414" s="25" t="s">
        <v>11</v>
      </c>
      <c r="P3414" s="25" t="s">
        <v>2</v>
      </c>
      <c r="Q3414" s="25" t="s">
        <v>408</v>
      </c>
      <c r="R3414" s="25" t="s">
        <v>439</v>
      </c>
      <c r="S3414" s="25" t="s">
        <v>440</v>
      </c>
      <c r="T3414" s="25" t="s">
        <v>11</v>
      </c>
      <c r="U3414" s="25" t="s">
        <v>408</v>
      </c>
    </row>
    <row r="3415" spans="1:21" x14ac:dyDescent="0.25">
      <c r="A3415" s="26">
        <v>26234282</v>
      </c>
      <c r="B3415" s="25" t="s">
        <v>342</v>
      </c>
      <c r="C3415" s="25" t="s">
        <v>13</v>
      </c>
      <c r="D3415" s="25" t="s">
        <v>12</v>
      </c>
      <c r="E3415" s="25" t="s">
        <v>638</v>
      </c>
      <c r="F3415" s="25" t="s">
        <v>663</v>
      </c>
      <c r="G3415" s="25" t="s">
        <v>369</v>
      </c>
      <c r="H3415" s="25" t="s">
        <v>5</v>
      </c>
      <c r="I3415" s="25" t="s">
        <v>436</v>
      </c>
      <c r="J3415" s="25" t="s">
        <v>446</v>
      </c>
      <c r="K3415" s="25" t="s">
        <v>438</v>
      </c>
      <c r="L3415" s="25" t="s">
        <v>2</v>
      </c>
      <c r="M3415" s="25" t="s">
        <v>408</v>
      </c>
      <c r="N3415" s="25" t="s">
        <v>11</v>
      </c>
      <c r="O3415" s="25" t="s">
        <v>11</v>
      </c>
      <c r="P3415" s="25" t="s">
        <v>2</v>
      </c>
      <c r="Q3415" s="25" t="s">
        <v>408</v>
      </c>
      <c r="R3415" s="25" t="s">
        <v>439</v>
      </c>
      <c r="S3415" s="25" t="s">
        <v>440</v>
      </c>
      <c r="T3415" s="25" t="s">
        <v>11</v>
      </c>
      <c r="U3415" s="25" t="s">
        <v>408</v>
      </c>
    </row>
    <row r="3416" spans="1:21" x14ac:dyDescent="0.25">
      <c r="A3416" s="26">
        <v>26234283</v>
      </c>
      <c r="B3416" s="25" t="s">
        <v>340</v>
      </c>
      <c r="C3416" s="25" t="s">
        <v>15</v>
      </c>
      <c r="D3416" s="25" t="s">
        <v>12</v>
      </c>
      <c r="E3416" s="25" t="s">
        <v>638</v>
      </c>
      <c r="F3416" s="25" t="s">
        <v>663</v>
      </c>
      <c r="G3416" s="25" t="s">
        <v>369</v>
      </c>
      <c r="H3416" s="25" t="s">
        <v>5</v>
      </c>
      <c r="I3416" s="25" t="s">
        <v>436</v>
      </c>
      <c r="J3416" s="25" t="s">
        <v>446</v>
      </c>
      <c r="K3416" s="25" t="s">
        <v>438</v>
      </c>
      <c r="L3416" s="25" t="s">
        <v>2</v>
      </c>
      <c r="M3416" s="25" t="s">
        <v>408</v>
      </c>
      <c r="N3416" s="25" t="s">
        <v>11</v>
      </c>
      <c r="O3416" s="25" t="s">
        <v>11</v>
      </c>
      <c r="P3416" s="25" t="s">
        <v>2</v>
      </c>
      <c r="Q3416" s="25" t="s">
        <v>408</v>
      </c>
      <c r="R3416" s="25" t="s">
        <v>439</v>
      </c>
      <c r="S3416" s="25" t="s">
        <v>440</v>
      </c>
      <c r="T3416" s="25" t="s">
        <v>11</v>
      </c>
      <c r="U3416" s="25" t="s">
        <v>408</v>
      </c>
    </row>
    <row r="3417" spans="1:21" x14ac:dyDescent="0.25">
      <c r="A3417" s="26">
        <v>26234284</v>
      </c>
      <c r="B3417" s="25" t="s">
        <v>340</v>
      </c>
      <c r="C3417" s="25" t="s">
        <v>15</v>
      </c>
      <c r="D3417" s="25" t="s">
        <v>12</v>
      </c>
      <c r="E3417" s="25" t="s">
        <v>638</v>
      </c>
      <c r="F3417" s="25" t="s">
        <v>663</v>
      </c>
      <c r="G3417" s="25" t="s">
        <v>369</v>
      </c>
      <c r="H3417" s="25" t="s">
        <v>5</v>
      </c>
      <c r="I3417" s="25" t="s">
        <v>436</v>
      </c>
      <c r="J3417" s="25" t="s">
        <v>446</v>
      </c>
      <c r="K3417" s="25" t="s">
        <v>438</v>
      </c>
      <c r="L3417" s="25" t="s">
        <v>2</v>
      </c>
      <c r="M3417" s="25" t="s">
        <v>408</v>
      </c>
      <c r="N3417" s="25" t="s">
        <v>11</v>
      </c>
      <c r="O3417" s="25" t="s">
        <v>11</v>
      </c>
      <c r="P3417" s="25" t="s">
        <v>2</v>
      </c>
      <c r="Q3417" s="25" t="s">
        <v>408</v>
      </c>
      <c r="R3417" s="25" t="s">
        <v>439</v>
      </c>
      <c r="S3417" s="25" t="s">
        <v>440</v>
      </c>
      <c r="T3417" s="25" t="s">
        <v>11</v>
      </c>
      <c r="U3417" s="25" t="s">
        <v>408</v>
      </c>
    </row>
    <row r="3418" spans="1:21" x14ac:dyDescent="0.25">
      <c r="A3418" s="26">
        <v>26234285</v>
      </c>
      <c r="B3418" s="25" t="s">
        <v>342</v>
      </c>
      <c r="C3418" s="25" t="s">
        <v>13</v>
      </c>
      <c r="D3418" s="25" t="s">
        <v>12</v>
      </c>
      <c r="E3418" s="25" t="s">
        <v>638</v>
      </c>
      <c r="F3418" s="25" t="s">
        <v>663</v>
      </c>
      <c r="G3418" s="25" t="s">
        <v>369</v>
      </c>
      <c r="H3418" s="25" t="s">
        <v>1</v>
      </c>
      <c r="I3418" s="25" t="s">
        <v>469</v>
      </c>
      <c r="J3418" s="25" t="s">
        <v>445</v>
      </c>
      <c r="K3418" s="25" t="s">
        <v>438</v>
      </c>
      <c r="L3418" s="25" t="s">
        <v>2</v>
      </c>
      <c r="M3418" s="25" t="s">
        <v>408</v>
      </c>
      <c r="N3418" s="25" t="s">
        <v>11</v>
      </c>
      <c r="O3418" s="25" t="s">
        <v>11</v>
      </c>
      <c r="P3418" s="25" t="s">
        <v>2</v>
      </c>
      <c r="Q3418" s="25" t="s">
        <v>408</v>
      </c>
      <c r="R3418" s="25" t="s">
        <v>439</v>
      </c>
      <c r="S3418" s="25" t="s">
        <v>440</v>
      </c>
      <c r="T3418" s="25" t="s">
        <v>11</v>
      </c>
      <c r="U3418" s="25" t="s">
        <v>408</v>
      </c>
    </row>
    <row r="3419" spans="1:21" x14ac:dyDescent="0.25">
      <c r="A3419" s="26">
        <v>26234286</v>
      </c>
      <c r="B3419" s="25" t="s">
        <v>342</v>
      </c>
      <c r="C3419" s="25" t="s">
        <v>13</v>
      </c>
      <c r="D3419" s="25" t="s">
        <v>12</v>
      </c>
      <c r="E3419" s="25" t="s">
        <v>638</v>
      </c>
      <c r="F3419" s="25" t="s">
        <v>663</v>
      </c>
      <c r="G3419" s="25" t="s">
        <v>369</v>
      </c>
      <c r="H3419" s="25" t="s">
        <v>1</v>
      </c>
      <c r="I3419" s="25" t="s">
        <v>469</v>
      </c>
      <c r="J3419" s="25" t="s">
        <v>445</v>
      </c>
      <c r="K3419" s="25" t="s">
        <v>438</v>
      </c>
      <c r="L3419" s="25" t="s">
        <v>2</v>
      </c>
      <c r="M3419" s="25" t="s">
        <v>408</v>
      </c>
      <c r="N3419" s="25" t="s">
        <v>11</v>
      </c>
      <c r="O3419" s="25" t="s">
        <v>11</v>
      </c>
      <c r="P3419" s="25" t="s">
        <v>2</v>
      </c>
      <c r="Q3419" s="25" t="s">
        <v>408</v>
      </c>
      <c r="R3419" s="25" t="s">
        <v>439</v>
      </c>
      <c r="S3419" s="25" t="s">
        <v>440</v>
      </c>
      <c r="T3419" s="25" t="s">
        <v>11</v>
      </c>
      <c r="U3419" s="25" t="s">
        <v>408</v>
      </c>
    </row>
    <row r="3420" spans="1:21" x14ac:dyDescent="0.25">
      <c r="A3420" s="26">
        <v>26234287</v>
      </c>
      <c r="B3420" s="25" t="s">
        <v>340</v>
      </c>
      <c r="C3420" s="25" t="s">
        <v>15</v>
      </c>
      <c r="D3420" s="25" t="s">
        <v>12</v>
      </c>
      <c r="E3420" s="25" t="s">
        <v>638</v>
      </c>
      <c r="F3420" s="25" t="s">
        <v>663</v>
      </c>
      <c r="G3420" s="25" t="s">
        <v>369</v>
      </c>
      <c r="H3420" s="25" t="s">
        <v>1</v>
      </c>
      <c r="I3420" s="25" t="s">
        <v>469</v>
      </c>
      <c r="J3420" s="25" t="s">
        <v>445</v>
      </c>
      <c r="K3420" s="25" t="s">
        <v>438</v>
      </c>
      <c r="L3420" s="25" t="s">
        <v>2</v>
      </c>
      <c r="M3420" s="25" t="s">
        <v>408</v>
      </c>
      <c r="N3420" s="25" t="s">
        <v>11</v>
      </c>
      <c r="O3420" s="25" t="s">
        <v>11</v>
      </c>
      <c r="P3420" s="25" t="s">
        <v>2</v>
      </c>
      <c r="Q3420" s="25" t="s">
        <v>408</v>
      </c>
      <c r="R3420" s="25" t="s">
        <v>439</v>
      </c>
      <c r="S3420" s="25" t="s">
        <v>440</v>
      </c>
      <c r="T3420" s="25" t="s">
        <v>11</v>
      </c>
      <c r="U3420" s="25" t="s">
        <v>408</v>
      </c>
    </row>
    <row r="3421" spans="1:21" x14ac:dyDescent="0.25">
      <c r="A3421" s="26">
        <v>26234288</v>
      </c>
      <c r="B3421" s="25" t="s">
        <v>340</v>
      </c>
      <c r="C3421" s="25" t="s">
        <v>15</v>
      </c>
      <c r="D3421" s="25" t="s">
        <v>12</v>
      </c>
      <c r="E3421" s="25" t="s">
        <v>638</v>
      </c>
      <c r="F3421" s="25" t="s">
        <v>663</v>
      </c>
      <c r="G3421" s="25" t="s">
        <v>369</v>
      </c>
      <c r="H3421" s="25" t="s">
        <v>1</v>
      </c>
      <c r="I3421" s="25" t="s">
        <v>469</v>
      </c>
      <c r="J3421" s="25" t="s">
        <v>445</v>
      </c>
      <c r="K3421" s="25" t="s">
        <v>438</v>
      </c>
      <c r="L3421" s="25" t="s">
        <v>2</v>
      </c>
      <c r="M3421" s="25" t="s">
        <v>408</v>
      </c>
      <c r="N3421" s="25" t="s">
        <v>11</v>
      </c>
      <c r="O3421" s="25" t="s">
        <v>11</v>
      </c>
      <c r="P3421" s="25" t="s">
        <v>2</v>
      </c>
      <c r="Q3421" s="25" t="s">
        <v>408</v>
      </c>
      <c r="R3421" s="25" t="s">
        <v>439</v>
      </c>
      <c r="S3421" s="25" t="s">
        <v>440</v>
      </c>
      <c r="T3421" s="25" t="s">
        <v>11</v>
      </c>
      <c r="U3421" s="25" t="s">
        <v>408</v>
      </c>
    </row>
    <row r="3422" spans="1:21" x14ac:dyDescent="0.25">
      <c r="A3422" s="26">
        <v>26234289</v>
      </c>
      <c r="B3422" s="25" t="s">
        <v>342</v>
      </c>
      <c r="C3422" s="25" t="s">
        <v>13</v>
      </c>
      <c r="D3422" s="25" t="s">
        <v>12</v>
      </c>
      <c r="E3422" s="25" t="s">
        <v>638</v>
      </c>
      <c r="F3422" s="25" t="s">
        <v>663</v>
      </c>
      <c r="G3422" s="25" t="s">
        <v>369</v>
      </c>
      <c r="H3422" s="25" t="s">
        <v>5</v>
      </c>
      <c r="I3422" s="25" t="s">
        <v>436</v>
      </c>
      <c r="J3422" s="25" t="s">
        <v>446</v>
      </c>
      <c r="K3422" s="25" t="s">
        <v>438</v>
      </c>
      <c r="L3422" s="25" t="s">
        <v>2</v>
      </c>
      <c r="M3422" s="25" t="s">
        <v>408</v>
      </c>
      <c r="N3422" s="25" t="s">
        <v>11</v>
      </c>
      <c r="O3422" s="25" t="s">
        <v>11</v>
      </c>
      <c r="P3422" s="25" t="s">
        <v>2</v>
      </c>
      <c r="Q3422" s="25" t="s">
        <v>408</v>
      </c>
      <c r="R3422" s="25" t="s">
        <v>439</v>
      </c>
      <c r="S3422" s="25" t="s">
        <v>440</v>
      </c>
      <c r="T3422" s="25" t="s">
        <v>11</v>
      </c>
      <c r="U3422" s="25" t="s">
        <v>408</v>
      </c>
    </row>
    <row r="3423" spans="1:21" x14ac:dyDescent="0.25">
      <c r="A3423" s="26">
        <v>26234290</v>
      </c>
      <c r="B3423" s="25" t="s">
        <v>342</v>
      </c>
      <c r="C3423" s="25" t="s">
        <v>13</v>
      </c>
      <c r="D3423" s="25" t="s">
        <v>18</v>
      </c>
      <c r="E3423" s="25" t="s">
        <v>638</v>
      </c>
      <c r="F3423" s="25" t="s">
        <v>663</v>
      </c>
      <c r="G3423" s="25" t="s">
        <v>369</v>
      </c>
      <c r="H3423" s="25" t="s">
        <v>1</v>
      </c>
      <c r="I3423" s="25" t="s">
        <v>469</v>
      </c>
      <c r="J3423" s="25" t="s">
        <v>445</v>
      </c>
      <c r="K3423" s="25" t="s">
        <v>438</v>
      </c>
      <c r="L3423" s="25" t="s">
        <v>2</v>
      </c>
      <c r="M3423" s="25" t="s">
        <v>408</v>
      </c>
      <c r="N3423" s="25" t="s">
        <v>11</v>
      </c>
      <c r="O3423" s="25" t="s">
        <v>11</v>
      </c>
      <c r="P3423" s="25" t="s">
        <v>2</v>
      </c>
      <c r="Q3423" s="25" t="s">
        <v>408</v>
      </c>
      <c r="R3423" s="25" t="s">
        <v>439</v>
      </c>
      <c r="S3423" s="25" t="s">
        <v>440</v>
      </c>
      <c r="T3423" s="25" t="s">
        <v>11</v>
      </c>
      <c r="U3423" s="25" t="s">
        <v>408</v>
      </c>
    </row>
    <row r="3424" spans="1:21" x14ac:dyDescent="0.25">
      <c r="A3424" s="26">
        <v>26234291</v>
      </c>
      <c r="B3424" s="25" t="s">
        <v>342</v>
      </c>
      <c r="C3424" s="25" t="s">
        <v>13</v>
      </c>
      <c r="D3424" s="25" t="s">
        <v>12</v>
      </c>
      <c r="E3424" s="25" t="s">
        <v>638</v>
      </c>
      <c r="F3424" s="25" t="s">
        <v>663</v>
      </c>
      <c r="G3424" s="25" t="s">
        <v>369</v>
      </c>
      <c r="H3424" s="25" t="s">
        <v>5</v>
      </c>
      <c r="I3424" s="25" t="s">
        <v>436</v>
      </c>
      <c r="J3424" s="25" t="s">
        <v>446</v>
      </c>
      <c r="K3424" s="25" t="s">
        <v>438</v>
      </c>
      <c r="L3424" s="25" t="s">
        <v>2</v>
      </c>
      <c r="M3424" s="25" t="s">
        <v>408</v>
      </c>
      <c r="N3424" s="25" t="s">
        <v>11</v>
      </c>
      <c r="O3424" s="25" t="s">
        <v>11</v>
      </c>
      <c r="P3424" s="25" t="s">
        <v>2</v>
      </c>
      <c r="Q3424" s="25" t="s">
        <v>408</v>
      </c>
      <c r="R3424" s="25" t="s">
        <v>439</v>
      </c>
      <c r="S3424" s="25" t="s">
        <v>440</v>
      </c>
      <c r="T3424" s="25" t="s">
        <v>11</v>
      </c>
      <c r="U3424" s="25" t="s">
        <v>408</v>
      </c>
    </row>
    <row r="3425" spans="1:21" x14ac:dyDescent="0.25">
      <c r="A3425" s="26">
        <v>26234292</v>
      </c>
      <c r="B3425" s="25" t="s">
        <v>340</v>
      </c>
      <c r="C3425" s="25" t="s">
        <v>15</v>
      </c>
      <c r="D3425" s="25" t="s">
        <v>12</v>
      </c>
      <c r="E3425" s="25" t="s">
        <v>638</v>
      </c>
      <c r="F3425" s="25" t="s">
        <v>663</v>
      </c>
      <c r="G3425" s="25" t="s">
        <v>369</v>
      </c>
      <c r="H3425" s="25" t="s">
        <v>1</v>
      </c>
      <c r="I3425" s="25" t="s">
        <v>469</v>
      </c>
      <c r="J3425" s="25" t="s">
        <v>445</v>
      </c>
      <c r="K3425" s="25" t="s">
        <v>438</v>
      </c>
      <c r="L3425" s="25" t="s">
        <v>2</v>
      </c>
      <c r="M3425" s="25" t="s">
        <v>408</v>
      </c>
      <c r="N3425" s="25" t="s">
        <v>11</v>
      </c>
      <c r="O3425" s="25" t="s">
        <v>11</v>
      </c>
      <c r="P3425" s="25" t="s">
        <v>2</v>
      </c>
      <c r="Q3425" s="25" t="s">
        <v>408</v>
      </c>
      <c r="R3425" s="25" t="s">
        <v>439</v>
      </c>
      <c r="S3425" s="25" t="s">
        <v>440</v>
      </c>
      <c r="T3425" s="25" t="s">
        <v>11</v>
      </c>
      <c r="U3425" s="25" t="s">
        <v>408</v>
      </c>
    </row>
    <row r="3426" spans="1:21" x14ac:dyDescent="0.25">
      <c r="A3426" s="26">
        <v>26234293</v>
      </c>
      <c r="B3426" s="25" t="s">
        <v>342</v>
      </c>
      <c r="C3426" s="25" t="s">
        <v>13</v>
      </c>
      <c r="D3426" s="25" t="s">
        <v>12</v>
      </c>
      <c r="E3426" s="25" t="s">
        <v>638</v>
      </c>
      <c r="F3426" s="25" t="s">
        <v>663</v>
      </c>
      <c r="G3426" s="25" t="s">
        <v>369</v>
      </c>
      <c r="H3426" s="25" t="s">
        <v>5</v>
      </c>
      <c r="I3426" s="25" t="s">
        <v>436</v>
      </c>
      <c r="J3426" s="25" t="s">
        <v>446</v>
      </c>
      <c r="K3426" s="25" t="s">
        <v>438</v>
      </c>
      <c r="L3426" s="25" t="s">
        <v>2</v>
      </c>
      <c r="M3426" s="25" t="s">
        <v>408</v>
      </c>
      <c r="N3426" s="25" t="s">
        <v>11</v>
      </c>
      <c r="O3426" s="25" t="s">
        <v>11</v>
      </c>
      <c r="P3426" s="25" t="s">
        <v>2</v>
      </c>
      <c r="Q3426" s="25" t="s">
        <v>408</v>
      </c>
      <c r="R3426" s="25" t="s">
        <v>439</v>
      </c>
      <c r="S3426" s="25" t="s">
        <v>440</v>
      </c>
      <c r="T3426" s="25" t="s">
        <v>11</v>
      </c>
      <c r="U3426" s="25" t="s">
        <v>408</v>
      </c>
    </row>
    <row r="3427" spans="1:21" x14ac:dyDescent="0.25">
      <c r="A3427" s="26">
        <v>26234294</v>
      </c>
      <c r="B3427" s="25" t="s">
        <v>340</v>
      </c>
      <c r="C3427" s="25" t="s">
        <v>15</v>
      </c>
      <c r="D3427" s="25" t="s">
        <v>12</v>
      </c>
      <c r="E3427" s="25" t="s">
        <v>638</v>
      </c>
      <c r="F3427" s="25" t="s">
        <v>663</v>
      </c>
      <c r="G3427" s="25" t="s">
        <v>369</v>
      </c>
      <c r="H3427" s="25" t="s">
        <v>5</v>
      </c>
      <c r="I3427" s="25" t="s">
        <v>436</v>
      </c>
      <c r="J3427" s="25" t="s">
        <v>446</v>
      </c>
      <c r="K3427" s="25" t="s">
        <v>438</v>
      </c>
      <c r="L3427" s="25" t="s">
        <v>2</v>
      </c>
      <c r="M3427" s="25" t="s">
        <v>408</v>
      </c>
      <c r="N3427" s="25" t="s">
        <v>11</v>
      </c>
      <c r="O3427" s="25" t="s">
        <v>11</v>
      </c>
      <c r="P3427" s="25" t="s">
        <v>2</v>
      </c>
      <c r="Q3427" s="25" t="s">
        <v>408</v>
      </c>
      <c r="R3427" s="25" t="s">
        <v>439</v>
      </c>
      <c r="S3427" s="25" t="s">
        <v>440</v>
      </c>
      <c r="T3427" s="25" t="s">
        <v>11</v>
      </c>
      <c r="U3427" s="25" t="s">
        <v>408</v>
      </c>
    </row>
    <row r="3428" spans="1:21" x14ac:dyDescent="0.25">
      <c r="A3428" s="26">
        <v>26234295</v>
      </c>
      <c r="B3428" s="25" t="s">
        <v>342</v>
      </c>
      <c r="C3428" s="25" t="s">
        <v>13</v>
      </c>
      <c r="D3428" s="25" t="s">
        <v>12</v>
      </c>
      <c r="E3428" s="25" t="s">
        <v>639</v>
      </c>
      <c r="F3428" s="25" t="s">
        <v>664</v>
      </c>
      <c r="G3428" s="25" t="s">
        <v>369</v>
      </c>
      <c r="H3428" s="25" t="s">
        <v>1</v>
      </c>
      <c r="I3428" s="25" t="s">
        <v>469</v>
      </c>
      <c r="J3428" s="25" t="s">
        <v>445</v>
      </c>
      <c r="K3428" s="25" t="s">
        <v>438</v>
      </c>
      <c r="L3428" s="25" t="s">
        <v>2</v>
      </c>
      <c r="M3428" s="25" t="s">
        <v>408</v>
      </c>
      <c r="N3428" s="25" t="s">
        <v>11</v>
      </c>
      <c r="O3428" s="25" t="s">
        <v>11</v>
      </c>
      <c r="P3428" s="25" t="s">
        <v>2</v>
      </c>
      <c r="Q3428" s="25" t="s">
        <v>408</v>
      </c>
      <c r="R3428" s="25" t="s">
        <v>439</v>
      </c>
      <c r="S3428" s="25" t="s">
        <v>440</v>
      </c>
      <c r="T3428" s="25" t="s">
        <v>11</v>
      </c>
      <c r="U3428" s="25" t="s">
        <v>408</v>
      </c>
    </row>
    <row r="3429" spans="1:21" x14ac:dyDescent="0.25">
      <c r="A3429" s="26">
        <v>26234296</v>
      </c>
      <c r="B3429" s="25" t="s">
        <v>340</v>
      </c>
      <c r="C3429" s="25" t="s">
        <v>15</v>
      </c>
      <c r="D3429" s="25" t="s">
        <v>18</v>
      </c>
      <c r="E3429" s="25" t="s">
        <v>638</v>
      </c>
      <c r="F3429" s="25" t="s">
        <v>663</v>
      </c>
      <c r="G3429" s="25" t="s">
        <v>369</v>
      </c>
      <c r="H3429" s="25" t="s">
        <v>1</v>
      </c>
      <c r="I3429" s="25" t="s">
        <v>469</v>
      </c>
      <c r="J3429" s="25" t="s">
        <v>445</v>
      </c>
      <c r="K3429" s="25" t="s">
        <v>438</v>
      </c>
      <c r="L3429" s="25" t="s">
        <v>2</v>
      </c>
      <c r="M3429" s="25" t="s">
        <v>408</v>
      </c>
      <c r="N3429" s="25" t="s">
        <v>11</v>
      </c>
      <c r="O3429" s="25" t="s">
        <v>11</v>
      </c>
      <c r="P3429" s="25" t="s">
        <v>2</v>
      </c>
      <c r="Q3429" s="25" t="s">
        <v>408</v>
      </c>
      <c r="R3429" s="25" t="s">
        <v>439</v>
      </c>
      <c r="S3429" s="25" t="s">
        <v>440</v>
      </c>
      <c r="T3429" s="25" t="s">
        <v>11</v>
      </c>
      <c r="U3429" s="25" t="s">
        <v>408</v>
      </c>
    </row>
    <row r="3430" spans="1:21" x14ac:dyDescent="0.25">
      <c r="A3430" s="26">
        <v>26234297</v>
      </c>
      <c r="B3430" s="25" t="s">
        <v>342</v>
      </c>
      <c r="C3430" s="25" t="s">
        <v>13</v>
      </c>
      <c r="D3430" s="25" t="s">
        <v>12</v>
      </c>
      <c r="E3430" s="25" t="s">
        <v>638</v>
      </c>
      <c r="F3430" s="25" t="s">
        <v>663</v>
      </c>
      <c r="G3430" s="25" t="s">
        <v>369</v>
      </c>
      <c r="H3430" s="25" t="s">
        <v>1</v>
      </c>
      <c r="I3430" s="25" t="s">
        <v>469</v>
      </c>
      <c r="J3430" s="25" t="s">
        <v>445</v>
      </c>
      <c r="K3430" s="25" t="s">
        <v>438</v>
      </c>
      <c r="L3430" s="25" t="s">
        <v>2</v>
      </c>
      <c r="M3430" s="25" t="s">
        <v>408</v>
      </c>
      <c r="N3430" s="25" t="s">
        <v>11</v>
      </c>
      <c r="O3430" s="25" t="s">
        <v>11</v>
      </c>
      <c r="P3430" s="25" t="s">
        <v>2</v>
      </c>
      <c r="Q3430" s="25" t="s">
        <v>408</v>
      </c>
      <c r="R3430" s="25" t="s">
        <v>439</v>
      </c>
      <c r="S3430" s="25" t="s">
        <v>440</v>
      </c>
      <c r="T3430" s="25" t="s">
        <v>11</v>
      </c>
      <c r="U3430" s="25" t="s">
        <v>408</v>
      </c>
    </row>
    <row r="3431" spans="1:21" x14ac:dyDescent="0.25">
      <c r="A3431" s="26">
        <v>26234298</v>
      </c>
      <c r="B3431" s="25" t="s">
        <v>342</v>
      </c>
      <c r="C3431" s="25" t="s">
        <v>13</v>
      </c>
      <c r="D3431" s="25" t="s">
        <v>12</v>
      </c>
      <c r="E3431" s="25" t="s">
        <v>639</v>
      </c>
      <c r="F3431" s="25" t="s">
        <v>664</v>
      </c>
      <c r="G3431" s="25" t="s">
        <v>369</v>
      </c>
      <c r="H3431" s="25" t="s">
        <v>5</v>
      </c>
      <c r="I3431" s="25" t="s">
        <v>436</v>
      </c>
      <c r="J3431" s="25" t="s">
        <v>446</v>
      </c>
      <c r="K3431" s="25" t="s">
        <v>438</v>
      </c>
      <c r="L3431" s="25" t="s">
        <v>2</v>
      </c>
      <c r="M3431" s="25" t="s">
        <v>408</v>
      </c>
      <c r="N3431" s="25" t="s">
        <v>11</v>
      </c>
      <c r="O3431" s="25" t="s">
        <v>11</v>
      </c>
      <c r="P3431" s="25" t="s">
        <v>2</v>
      </c>
      <c r="Q3431" s="25" t="s">
        <v>408</v>
      </c>
      <c r="R3431" s="25" t="s">
        <v>439</v>
      </c>
      <c r="S3431" s="25" t="s">
        <v>440</v>
      </c>
      <c r="T3431" s="25" t="s">
        <v>11</v>
      </c>
      <c r="U3431" s="25" t="s">
        <v>408</v>
      </c>
    </row>
    <row r="3432" spans="1:21" x14ac:dyDescent="0.25">
      <c r="A3432" s="26">
        <v>26234299</v>
      </c>
      <c r="B3432" s="25" t="s">
        <v>340</v>
      </c>
      <c r="C3432" s="25" t="s">
        <v>15</v>
      </c>
      <c r="D3432" s="25" t="s">
        <v>12</v>
      </c>
      <c r="E3432" s="25" t="s">
        <v>639</v>
      </c>
      <c r="F3432" s="25" t="s">
        <v>664</v>
      </c>
      <c r="G3432" s="25" t="s">
        <v>369</v>
      </c>
      <c r="H3432" s="25" t="s">
        <v>1</v>
      </c>
      <c r="I3432" s="25" t="s">
        <v>469</v>
      </c>
      <c r="J3432" s="25" t="s">
        <v>445</v>
      </c>
      <c r="K3432" s="25" t="s">
        <v>438</v>
      </c>
      <c r="L3432" s="25" t="s">
        <v>2</v>
      </c>
      <c r="M3432" s="25" t="s">
        <v>408</v>
      </c>
      <c r="N3432" s="25" t="s">
        <v>11</v>
      </c>
      <c r="O3432" s="25" t="s">
        <v>11</v>
      </c>
      <c r="P3432" s="25" t="s">
        <v>2</v>
      </c>
      <c r="Q3432" s="25" t="s">
        <v>408</v>
      </c>
      <c r="R3432" s="25" t="s">
        <v>439</v>
      </c>
      <c r="S3432" s="25" t="s">
        <v>440</v>
      </c>
      <c r="T3432" s="25" t="s">
        <v>11</v>
      </c>
      <c r="U3432" s="25" t="s">
        <v>408</v>
      </c>
    </row>
    <row r="3433" spans="1:21" x14ac:dyDescent="0.25">
      <c r="A3433" s="26">
        <v>26234300</v>
      </c>
      <c r="B3433" s="25" t="s">
        <v>342</v>
      </c>
      <c r="C3433" s="25" t="s">
        <v>13</v>
      </c>
      <c r="D3433" s="25" t="s">
        <v>12</v>
      </c>
      <c r="E3433" s="25" t="s">
        <v>639</v>
      </c>
      <c r="F3433" s="25" t="s">
        <v>664</v>
      </c>
      <c r="G3433" s="25" t="s">
        <v>369</v>
      </c>
      <c r="H3433" s="25" t="s">
        <v>5</v>
      </c>
      <c r="I3433" s="25" t="s">
        <v>436</v>
      </c>
      <c r="J3433" s="25" t="s">
        <v>446</v>
      </c>
      <c r="K3433" s="25" t="s">
        <v>438</v>
      </c>
      <c r="L3433" s="25" t="s">
        <v>2</v>
      </c>
      <c r="M3433" s="25" t="s">
        <v>408</v>
      </c>
      <c r="N3433" s="25" t="s">
        <v>11</v>
      </c>
      <c r="O3433" s="25" t="s">
        <v>11</v>
      </c>
      <c r="P3433" s="25" t="s">
        <v>2</v>
      </c>
      <c r="Q3433" s="25" t="s">
        <v>408</v>
      </c>
      <c r="R3433" s="25" t="s">
        <v>439</v>
      </c>
      <c r="S3433" s="25" t="s">
        <v>440</v>
      </c>
      <c r="T3433" s="25" t="s">
        <v>11</v>
      </c>
      <c r="U3433" s="25" t="s">
        <v>408</v>
      </c>
    </row>
    <row r="3434" spans="1:21" x14ac:dyDescent="0.25">
      <c r="A3434" s="26">
        <v>26234301</v>
      </c>
      <c r="B3434" s="25" t="s">
        <v>342</v>
      </c>
      <c r="C3434" s="25" t="s">
        <v>13</v>
      </c>
      <c r="D3434" s="25" t="s">
        <v>12</v>
      </c>
      <c r="E3434" s="25" t="s">
        <v>638</v>
      </c>
      <c r="F3434" s="25" t="s">
        <v>663</v>
      </c>
      <c r="G3434" s="25" t="s">
        <v>369</v>
      </c>
      <c r="H3434" s="25" t="s">
        <v>5</v>
      </c>
      <c r="I3434" s="25" t="s">
        <v>436</v>
      </c>
      <c r="J3434" s="25" t="s">
        <v>446</v>
      </c>
      <c r="K3434" s="25" t="s">
        <v>438</v>
      </c>
      <c r="L3434" s="25" t="s">
        <v>2</v>
      </c>
      <c r="M3434" s="25" t="s">
        <v>408</v>
      </c>
      <c r="N3434" s="25" t="s">
        <v>11</v>
      </c>
      <c r="O3434" s="25" t="s">
        <v>11</v>
      </c>
      <c r="P3434" s="25" t="s">
        <v>2</v>
      </c>
      <c r="Q3434" s="25" t="s">
        <v>408</v>
      </c>
      <c r="R3434" s="25" t="s">
        <v>439</v>
      </c>
      <c r="S3434" s="25" t="s">
        <v>440</v>
      </c>
      <c r="T3434" s="25" t="s">
        <v>11</v>
      </c>
      <c r="U3434" s="25" t="s">
        <v>408</v>
      </c>
    </row>
    <row r="3435" spans="1:21" x14ac:dyDescent="0.25">
      <c r="A3435" s="26">
        <v>26234302</v>
      </c>
      <c r="B3435" s="25" t="s">
        <v>340</v>
      </c>
      <c r="C3435" s="25" t="s">
        <v>15</v>
      </c>
      <c r="D3435" s="25" t="s">
        <v>12</v>
      </c>
      <c r="E3435" s="25" t="s">
        <v>638</v>
      </c>
      <c r="F3435" s="25" t="s">
        <v>663</v>
      </c>
      <c r="G3435" s="25" t="s">
        <v>369</v>
      </c>
      <c r="H3435" s="25" t="s">
        <v>1</v>
      </c>
      <c r="I3435" s="25" t="s">
        <v>469</v>
      </c>
      <c r="J3435" s="25" t="s">
        <v>445</v>
      </c>
      <c r="K3435" s="25" t="s">
        <v>438</v>
      </c>
      <c r="L3435" s="25" t="s">
        <v>2</v>
      </c>
      <c r="M3435" s="25" t="s">
        <v>408</v>
      </c>
      <c r="N3435" s="25" t="s">
        <v>11</v>
      </c>
      <c r="O3435" s="25" t="s">
        <v>11</v>
      </c>
      <c r="P3435" s="25" t="s">
        <v>2</v>
      </c>
      <c r="Q3435" s="25" t="s">
        <v>408</v>
      </c>
      <c r="R3435" s="25" t="s">
        <v>439</v>
      </c>
      <c r="S3435" s="25" t="s">
        <v>440</v>
      </c>
      <c r="T3435" s="25" t="s">
        <v>11</v>
      </c>
      <c r="U3435" s="25" t="s">
        <v>408</v>
      </c>
    </row>
    <row r="3436" spans="1:21" x14ac:dyDescent="0.25">
      <c r="A3436" s="26">
        <v>26234303</v>
      </c>
      <c r="B3436" s="25" t="s">
        <v>342</v>
      </c>
      <c r="C3436" s="25" t="s">
        <v>13</v>
      </c>
      <c r="D3436" s="25" t="s">
        <v>12</v>
      </c>
      <c r="E3436" s="25" t="s">
        <v>639</v>
      </c>
      <c r="F3436" s="25" t="s">
        <v>664</v>
      </c>
      <c r="G3436" s="25" t="s">
        <v>369</v>
      </c>
      <c r="H3436" s="25" t="s">
        <v>1</v>
      </c>
      <c r="I3436" s="25" t="s">
        <v>469</v>
      </c>
      <c r="J3436" s="25" t="s">
        <v>445</v>
      </c>
      <c r="K3436" s="25" t="s">
        <v>438</v>
      </c>
      <c r="L3436" s="25" t="s">
        <v>2</v>
      </c>
      <c r="M3436" s="25" t="s">
        <v>408</v>
      </c>
      <c r="N3436" s="25" t="s">
        <v>11</v>
      </c>
      <c r="O3436" s="25" t="s">
        <v>11</v>
      </c>
      <c r="P3436" s="25" t="s">
        <v>2</v>
      </c>
      <c r="Q3436" s="25" t="s">
        <v>408</v>
      </c>
      <c r="R3436" s="25" t="s">
        <v>439</v>
      </c>
      <c r="S3436" s="25" t="s">
        <v>440</v>
      </c>
      <c r="T3436" s="25" t="s">
        <v>11</v>
      </c>
      <c r="U3436" s="25" t="s">
        <v>408</v>
      </c>
    </row>
    <row r="3437" spans="1:21" x14ac:dyDescent="0.25">
      <c r="A3437" s="26">
        <v>26234304</v>
      </c>
      <c r="B3437" s="25" t="s">
        <v>340</v>
      </c>
      <c r="C3437" s="25" t="s">
        <v>15</v>
      </c>
      <c r="D3437" s="25" t="s">
        <v>12</v>
      </c>
      <c r="E3437" s="25" t="s">
        <v>638</v>
      </c>
      <c r="F3437" s="25" t="s">
        <v>663</v>
      </c>
      <c r="G3437" s="25" t="s">
        <v>369</v>
      </c>
      <c r="H3437" s="25" t="s">
        <v>5</v>
      </c>
      <c r="I3437" s="25" t="s">
        <v>436</v>
      </c>
      <c r="J3437" s="25" t="s">
        <v>446</v>
      </c>
      <c r="K3437" s="25" t="s">
        <v>438</v>
      </c>
      <c r="L3437" s="25" t="s">
        <v>2</v>
      </c>
      <c r="M3437" s="25" t="s">
        <v>408</v>
      </c>
      <c r="N3437" s="25" t="s">
        <v>11</v>
      </c>
      <c r="O3437" s="25" t="s">
        <v>11</v>
      </c>
      <c r="P3437" s="25" t="s">
        <v>2</v>
      </c>
      <c r="Q3437" s="25" t="s">
        <v>408</v>
      </c>
      <c r="R3437" s="25" t="s">
        <v>439</v>
      </c>
      <c r="S3437" s="25" t="s">
        <v>440</v>
      </c>
      <c r="T3437" s="25" t="s">
        <v>11</v>
      </c>
      <c r="U3437" s="25" t="s">
        <v>408</v>
      </c>
    </row>
    <row r="3438" spans="1:21" x14ac:dyDescent="0.25">
      <c r="A3438" s="26">
        <v>26234305</v>
      </c>
      <c r="B3438" s="25" t="s">
        <v>342</v>
      </c>
      <c r="C3438" s="25" t="s">
        <v>13</v>
      </c>
      <c r="D3438" s="25" t="s">
        <v>12</v>
      </c>
      <c r="E3438" s="25" t="s">
        <v>639</v>
      </c>
      <c r="F3438" s="25" t="s">
        <v>664</v>
      </c>
      <c r="G3438" s="25" t="s">
        <v>369</v>
      </c>
      <c r="H3438" s="25" t="s">
        <v>1</v>
      </c>
      <c r="I3438" s="25" t="s">
        <v>469</v>
      </c>
      <c r="J3438" s="25" t="s">
        <v>445</v>
      </c>
      <c r="K3438" s="25" t="s">
        <v>438</v>
      </c>
      <c r="L3438" s="25" t="s">
        <v>2</v>
      </c>
      <c r="M3438" s="25" t="s">
        <v>408</v>
      </c>
      <c r="N3438" s="25" t="s">
        <v>11</v>
      </c>
      <c r="O3438" s="25" t="s">
        <v>11</v>
      </c>
      <c r="P3438" s="25" t="s">
        <v>2</v>
      </c>
      <c r="Q3438" s="25" t="s">
        <v>408</v>
      </c>
      <c r="R3438" s="25" t="s">
        <v>439</v>
      </c>
      <c r="S3438" s="25" t="s">
        <v>440</v>
      </c>
      <c r="T3438" s="25" t="s">
        <v>11</v>
      </c>
      <c r="U3438" s="25" t="s">
        <v>408</v>
      </c>
    </row>
    <row r="3439" spans="1:21" x14ac:dyDescent="0.25">
      <c r="A3439" s="26">
        <v>26234306</v>
      </c>
      <c r="B3439" s="25" t="s">
        <v>342</v>
      </c>
      <c r="C3439" s="25" t="s">
        <v>13</v>
      </c>
      <c r="D3439" s="25" t="s">
        <v>12</v>
      </c>
      <c r="E3439" s="25" t="s">
        <v>638</v>
      </c>
      <c r="F3439" s="25" t="s">
        <v>663</v>
      </c>
      <c r="G3439" s="25" t="s">
        <v>369</v>
      </c>
      <c r="H3439" s="25" t="s">
        <v>1</v>
      </c>
      <c r="I3439" s="25" t="s">
        <v>469</v>
      </c>
      <c r="J3439" s="25" t="s">
        <v>445</v>
      </c>
      <c r="K3439" s="25" t="s">
        <v>438</v>
      </c>
      <c r="L3439" s="25" t="s">
        <v>2</v>
      </c>
      <c r="M3439" s="25" t="s">
        <v>408</v>
      </c>
      <c r="N3439" s="25" t="s">
        <v>11</v>
      </c>
      <c r="O3439" s="25" t="s">
        <v>11</v>
      </c>
      <c r="P3439" s="25" t="s">
        <v>2</v>
      </c>
      <c r="Q3439" s="25" t="s">
        <v>408</v>
      </c>
      <c r="R3439" s="25" t="s">
        <v>439</v>
      </c>
      <c r="S3439" s="25" t="s">
        <v>440</v>
      </c>
      <c r="T3439" s="25" t="s">
        <v>11</v>
      </c>
      <c r="U3439" s="25" t="s">
        <v>408</v>
      </c>
    </row>
    <row r="3440" spans="1:21" x14ac:dyDescent="0.25">
      <c r="A3440" s="26">
        <v>26234307</v>
      </c>
      <c r="B3440" s="25" t="s">
        <v>342</v>
      </c>
      <c r="C3440" s="25" t="s">
        <v>13</v>
      </c>
      <c r="D3440" s="25" t="s">
        <v>12</v>
      </c>
      <c r="E3440" s="25" t="s">
        <v>639</v>
      </c>
      <c r="F3440" s="25" t="s">
        <v>664</v>
      </c>
      <c r="G3440" s="25" t="s">
        <v>369</v>
      </c>
      <c r="H3440" s="25" t="s">
        <v>1</v>
      </c>
      <c r="I3440" s="25" t="s">
        <v>469</v>
      </c>
      <c r="J3440" s="25" t="s">
        <v>445</v>
      </c>
      <c r="K3440" s="25" t="s">
        <v>438</v>
      </c>
      <c r="L3440" s="25" t="s">
        <v>2</v>
      </c>
      <c r="M3440" s="25" t="s">
        <v>408</v>
      </c>
      <c r="N3440" s="25" t="s">
        <v>11</v>
      </c>
      <c r="O3440" s="25" t="s">
        <v>11</v>
      </c>
      <c r="P3440" s="25" t="s">
        <v>2</v>
      </c>
      <c r="Q3440" s="25" t="s">
        <v>408</v>
      </c>
      <c r="R3440" s="25" t="s">
        <v>439</v>
      </c>
      <c r="S3440" s="25" t="s">
        <v>440</v>
      </c>
      <c r="T3440" s="25" t="s">
        <v>11</v>
      </c>
      <c r="U3440" s="25" t="s">
        <v>408</v>
      </c>
    </row>
    <row r="3441" spans="1:21" x14ac:dyDescent="0.25">
      <c r="A3441" s="26">
        <v>26234308</v>
      </c>
      <c r="B3441" s="25" t="s">
        <v>340</v>
      </c>
      <c r="C3441" s="25" t="s">
        <v>15</v>
      </c>
      <c r="D3441" s="25" t="s">
        <v>12</v>
      </c>
      <c r="E3441" s="25" t="s">
        <v>639</v>
      </c>
      <c r="F3441" s="25" t="s">
        <v>664</v>
      </c>
      <c r="G3441" s="25" t="s">
        <v>369</v>
      </c>
      <c r="H3441" s="25" t="s">
        <v>1</v>
      </c>
      <c r="I3441" s="25" t="s">
        <v>469</v>
      </c>
      <c r="J3441" s="25" t="s">
        <v>445</v>
      </c>
      <c r="K3441" s="25" t="s">
        <v>438</v>
      </c>
      <c r="L3441" s="25" t="s">
        <v>2</v>
      </c>
      <c r="M3441" s="25" t="s">
        <v>408</v>
      </c>
      <c r="N3441" s="25" t="s">
        <v>11</v>
      </c>
      <c r="O3441" s="25" t="s">
        <v>11</v>
      </c>
      <c r="P3441" s="25" t="s">
        <v>2</v>
      </c>
      <c r="Q3441" s="25" t="s">
        <v>408</v>
      </c>
      <c r="R3441" s="25" t="s">
        <v>439</v>
      </c>
      <c r="S3441" s="25" t="s">
        <v>440</v>
      </c>
      <c r="T3441" s="25" t="s">
        <v>11</v>
      </c>
      <c r="U3441" s="25" t="s">
        <v>408</v>
      </c>
    </row>
    <row r="3442" spans="1:21" x14ac:dyDescent="0.25">
      <c r="A3442" s="26">
        <v>26234309</v>
      </c>
      <c r="B3442" s="25" t="s">
        <v>340</v>
      </c>
      <c r="C3442" s="25" t="s">
        <v>15</v>
      </c>
      <c r="D3442" s="25" t="s">
        <v>12</v>
      </c>
      <c r="E3442" s="25" t="s">
        <v>638</v>
      </c>
      <c r="F3442" s="25" t="s">
        <v>663</v>
      </c>
      <c r="G3442" s="25" t="s">
        <v>369</v>
      </c>
      <c r="H3442" s="25" t="s">
        <v>5</v>
      </c>
      <c r="I3442" s="25" t="s">
        <v>436</v>
      </c>
      <c r="J3442" s="25" t="s">
        <v>446</v>
      </c>
      <c r="K3442" s="25" t="s">
        <v>438</v>
      </c>
      <c r="L3442" s="25" t="s">
        <v>2</v>
      </c>
      <c r="M3442" s="25" t="s">
        <v>408</v>
      </c>
      <c r="N3442" s="25" t="s">
        <v>11</v>
      </c>
      <c r="O3442" s="25" t="s">
        <v>11</v>
      </c>
      <c r="P3442" s="25" t="s">
        <v>2</v>
      </c>
      <c r="Q3442" s="25" t="s">
        <v>408</v>
      </c>
      <c r="R3442" s="25" t="s">
        <v>439</v>
      </c>
      <c r="S3442" s="25" t="s">
        <v>440</v>
      </c>
      <c r="T3442" s="25" t="s">
        <v>11</v>
      </c>
      <c r="U3442" s="25" t="s">
        <v>408</v>
      </c>
    </row>
    <row r="3443" spans="1:21" x14ac:dyDescent="0.25">
      <c r="A3443" s="26">
        <v>26234310</v>
      </c>
      <c r="B3443" s="25" t="s">
        <v>342</v>
      </c>
      <c r="C3443" s="25" t="s">
        <v>13</v>
      </c>
      <c r="D3443" s="25" t="s">
        <v>12</v>
      </c>
      <c r="E3443" s="25" t="s">
        <v>638</v>
      </c>
      <c r="F3443" s="25" t="s">
        <v>663</v>
      </c>
      <c r="G3443" s="25" t="s">
        <v>369</v>
      </c>
      <c r="H3443" s="25" t="s">
        <v>5</v>
      </c>
      <c r="I3443" s="25" t="s">
        <v>436</v>
      </c>
      <c r="J3443" s="25" t="s">
        <v>446</v>
      </c>
      <c r="K3443" s="25" t="s">
        <v>438</v>
      </c>
      <c r="L3443" s="25" t="s">
        <v>2</v>
      </c>
      <c r="M3443" s="25" t="s">
        <v>408</v>
      </c>
      <c r="N3443" s="25" t="s">
        <v>11</v>
      </c>
      <c r="O3443" s="25" t="s">
        <v>11</v>
      </c>
      <c r="P3443" s="25" t="s">
        <v>2</v>
      </c>
      <c r="Q3443" s="25" t="s">
        <v>408</v>
      </c>
      <c r="R3443" s="25" t="s">
        <v>439</v>
      </c>
      <c r="S3443" s="25" t="s">
        <v>440</v>
      </c>
      <c r="T3443" s="25" t="s">
        <v>11</v>
      </c>
      <c r="U3443" s="25" t="s">
        <v>408</v>
      </c>
    </row>
    <row r="3444" spans="1:21" x14ac:dyDescent="0.25">
      <c r="A3444" s="26">
        <v>26234311</v>
      </c>
      <c r="B3444" s="25" t="s">
        <v>342</v>
      </c>
      <c r="C3444" s="25" t="s">
        <v>13</v>
      </c>
      <c r="D3444" s="25" t="s">
        <v>12</v>
      </c>
      <c r="E3444" s="25" t="s">
        <v>638</v>
      </c>
      <c r="F3444" s="25" t="s">
        <v>663</v>
      </c>
      <c r="G3444" s="25" t="s">
        <v>369</v>
      </c>
      <c r="H3444" s="25" t="s">
        <v>2</v>
      </c>
      <c r="I3444" s="25" t="s">
        <v>436</v>
      </c>
      <c r="J3444" s="25" t="s">
        <v>443</v>
      </c>
      <c r="K3444" s="25" t="s">
        <v>444</v>
      </c>
      <c r="L3444" s="25" t="s">
        <v>345</v>
      </c>
      <c r="M3444" s="25" t="s">
        <v>408</v>
      </c>
      <c r="N3444" s="25" t="s">
        <v>11</v>
      </c>
      <c r="O3444" s="25" t="s">
        <v>11</v>
      </c>
      <c r="P3444" s="25" t="s">
        <v>2</v>
      </c>
      <c r="Q3444" s="25" t="s">
        <v>408</v>
      </c>
      <c r="R3444" s="25" t="s">
        <v>439</v>
      </c>
      <c r="S3444" s="25" t="s">
        <v>440</v>
      </c>
      <c r="T3444" s="25" t="s">
        <v>11</v>
      </c>
      <c r="U3444" s="25" t="s">
        <v>408</v>
      </c>
    </row>
    <row r="3445" spans="1:21" x14ac:dyDescent="0.25">
      <c r="A3445" s="26">
        <v>26234312</v>
      </c>
      <c r="B3445" s="25" t="s">
        <v>342</v>
      </c>
      <c r="C3445" s="25" t="s">
        <v>13</v>
      </c>
      <c r="D3445" s="25" t="s">
        <v>12</v>
      </c>
      <c r="E3445" s="25" t="s">
        <v>639</v>
      </c>
      <c r="F3445" s="25" t="s">
        <v>664</v>
      </c>
      <c r="G3445" s="25" t="s">
        <v>369</v>
      </c>
      <c r="H3445" s="25" t="s">
        <v>1</v>
      </c>
      <c r="I3445" s="25" t="s">
        <v>469</v>
      </c>
      <c r="J3445" s="25" t="s">
        <v>445</v>
      </c>
      <c r="K3445" s="25" t="s">
        <v>438</v>
      </c>
      <c r="L3445" s="25" t="s">
        <v>2</v>
      </c>
      <c r="M3445" s="25" t="s">
        <v>408</v>
      </c>
      <c r="N3445" s="25" t="s">
        <v>11</v>
      </c>
      <c r="O3445" s="25" t="s">
        <v>11</v>
      </c>
      <c r="P3445" s="25" t="s">
        <v>2</v>
      </c>
      <c r="Q3445" s="25" t="s">
        <v>408</v>
      </c>
      <c r="R3445" s="25" t="s">
        <v>439</v>
      </c>
      <c r="S3445" s="25" t="s">
        <v>440</v>
      </c>
      <c r="T3445" s="25" t="s">
        <v>11</v>
      </c>
      <c r="U3445" s="25" t="s">
        <v>408</v>
      </c>
    </row>
    <row r="3446" spans="1:21" x14ac:dyDescent="0.25">
      <c r="A3446" s="26">
        <v>26234313</v>
      </c>
      <c r="B3446" s="25" t="s">
        <v>342</v>
      </c>
      <c r="C3446" s="25" t="s">
        <v>13</v>
      </c>
      <c r="D3446" s="25" t="s">
        <v>12</v>
      </c>
      <c r="E3446" s="25" t="s">
        <v>638</v>
      </c>
      <c r="F3446" s="25" t="s">
        <v>663</v>
      </c>
      <c r="G3446" s="25" t="s">
        <v>369</v>
      </c>
      <c r="H3446" s="25" t="s">
        <v>1</v>
      </c>
      <c r="I3446" s="25" t="s">
        <v>469</v>
      </c>
      <c r="J3446" s="25" t="s">
        <v>445</v>
      </c>
      <c r="K3446" s="25" t="s">
        <v>438</v>
      </c>
      <c r="L3446" s="25" t="s">
        <v>2</v>
      </c>
      <c r="M3446" s="25" t="s">
        <v>408</v>
      </c>
      <c r="N3446" s="25" t="s">
        <v>11</v>
      </c>
      <c r="O3446" s="25" t="s">
        <v>11</v>
      </c>
      <c r="P3446" s="25" t="s">
        <v>2</v>
      </c>
      <c r="Q3446" s="25" t="s">
        <v>408</v>
      </c>
      <c r="R3446" s="25" t="s">
        <v>439</v>
      </c>
      <c r="S3446" s="25" t="s">
        <v>440</v>
      </c>
      <c r="T3446" s="25" t="s">
        <v>11</v>
      </c>
      <c r="U3446" s="25" t="s">
        <v>408</v>
      </c>
    </row>
    <row r="3447" spans="1:21" x14ac:dyDescent="0.25">
      <c r="A3447" s="26">
        <v>26234314</v>
      </c>
      <c r="B3447" s="25" t="s">
        <v>342</v>
      </c>
      <c r="C3447" s="25" t="s">
        <v>13</v>
      </c>
      <c r="D3447" s="25" t="s">
        <v>12</v>
      </c>
      <c r="E3447" s="25" t="s">
        <v>639</v>
      </c>
      <c r="F3447" s="25" t="s">
        <v>664</v>
      </c>
      <c r="G3447" s="25" t="s">
        <v>369</v>
      </c>
      <c r="H3447" s="25" t="s">
        <v>1</v>
      </c>
      <c r="I3447" s="25" t="s">
        <v>469</v>
      </c>
      <c r="J3447" s="25" t="s">
        <v>445</v>
      </c>
      <c r="K3447" s="25" t="s">
        <v>438</v>
      </c>
      <c r="L3447" s="25" t="s">
        <v>2</v>
      </c>
      <c r="M3447" s="25" t="s">
        <v>408</v>
      </c>
      <c r="N3447" s="25" t="s">
        <v>11</v>
      </c>
      <c r="O3447" s="25" t="s">
        <v>11</v>
      </c>
      <c r="P3447" s="25" t="s">
        <v>2</v>
      </c>
      <c r="Q3447" s="25" t="s">
        <v>408</v>
      </c>
      <c r="R3447" s="25" t="s">
        <v>439</v>
      </c>
      <c r="S3447" s="25" t="s">
        <v>440</v>
      </c>
      <c r="T3447" s="25" t="s">
        <v>11</v>
      </c>
      <c r="U3447" s="25" t="s">
        <v>408</v>
      </c>
    </row>
    <row r="3448" spans="1:21" x14ac:dyDescent="0.25">
      <c r="A3448" s="26">
        <v>26234315</v>
      </c>
      <c r="B3448" s="25" t="s">
        <v>342</v>
      </c>
      <c r="C3448" s="25" t="s">
        <v>13</v>
      </c>
      <c r="D3448" s="25" t="s">
        <v>18</v>
      </c>
      <c r="E3448" s="25" t="s">
        <v>639</v>
      </c>
      <c r="F3448" s="25" t="s">
        <v>664</v>
      </c>
      <c r="G3448" s="25" t="s">
        <v>369</v>
      </c>
      <c r="H3448" s="25" t="s">
        <v>1</v>
      </c>
      <c r="I3448" s="25" t="s">
        <v>469</v>
      </c>
      <c r="J3448" s="25" t="s">
        <v>445</v>
      </c>
      <c r="K3448" s="25" t="s">
        <v>438</v>
      </c>
      <c r="L3448" s="25" t="s">
        <v>2</v>
      </c>
      <c r="M3448" s="25" t="s">
        <v>408</v>
      </c>
      <c r="N3448" s="25" t="s">
        <v>11</v>
      </c>
      <c r="O3448" s="25" t="s">
        <v>11</v>
      </c>
      <c r="P3448" s="25" t="s">
        <v>2</v>
      </c>
      <c r="Q3448" s="25" t="s">
        <v>408</v>
      </c>
      <c r="R3448" s="25" t="s">
        <v>439</v>
      </c>
      <c r="S3448" s="25" t="s">
        <v>440</v>
      </c>
      <c r="T3448" s="25" t="s">
        <v>11</v>
      </c>
      <c r="U3448" s="25" t="s">
        <v>408</v>
      </c>
    </row>
    <row r="3449" spans="1:21" x14ac:dyDescent="0.25">
      <c r="A3449" s="26">
        <v>26234316</v>
      </c>
      <c r="B3449" s="25" t="s">
        <v>340</v>
      </c>
      <c r="C3449" s="25" t="s">
        <v>15</v>
      </c>
      <c r="D3449" s="25" t="s">
        <v>18</v>
      </c>
      <c r="E3449" s="25" t="s">
        <v>639</v>
      </c>
      <c r="F3449" s="25" t="s">
        <v>664</v>
      </c>
      <c r="G3449" s="25" t="s">
        <v>369</v>
      </c>
      <c r="H3449" s="25" t="s">
        <v>1</v>
      </c>
      <c r="I3449" s="25" t="s">
        <v>469</v>
      </c>
      <c r="J3449" s="25" t="s">
        <v>445</v>
      </c>
      <c r="K3449" s="25" t="s">
        <v>438</v>
      </c>
      <c r="L3449" s="25" t="s">
        <v>2</v>
      </c>
      <c r="M3449" s="25" t="s">
        <v>408</v>
      </c>
      <c r="N3449" s="25" t="s">
        <v>11</v>
      </c>
      <c r="O3449" s="25" t="s">
        <v>11</v>
      </c>
      <c r="P3449" s="25" t="s">
        <v>2</v>
      </c>
      <c r="Q3449" s="25" t="s">
        <v>408</v>
      </c>
      <c r="R3449" s="25" t="s">
        <v>439</v>
      </c>
      <c r="S3449" s="25" t="s">
        <v>440</v>
      </c>
      <c r="T3449" s="25" t="s">
        <v>11</v>
      </c>
      <c r="U3449" s="25" t="s">
        <v>408</v>
      </c>
    </row>
    <row r="3450" spans="1:21" x14ac:dyDescent="0.25">
      <c r="A3450" s="26">
        <v>26234317</v>
      </c>
      <c r="B3450" s="25" t="s">
        <v>340</v>
      </c>
      <c r="C3450" s="25" t="s">
        <v>15</v>
      </c>
      <c r="D3450" s="25" t="s">
        <v>18</v>
      </c>
      <c r="E3450" s="25" t="s">
        <v>637</v>
      </c>
      <c r="F3450" s="25" t="s">
        <v>665</v>
      </c>
      <c r="G3450" s="25" t="s">
        <v>369</v>
      </c>
      <c r="H3450" s="25" t="s">
        <v>5</v>
      </c>
      <c r="I3450" s="25" t="s">
        <v>436</v>
      </c>
      <c r="J3450" s="25" t="s">
        <v>446</v>
      </c>
      <c r="K3450" s="25" t="s">
        <v>438</v>
      </c>
      <c r="L3450" s="25" t="s">
        <v>2</v>
      </c>
      <c r="M3450" s="25" t="s">
        <v>408</v>
      </c>
      <c r="N3450" s="25" t="s">
        <v>11</v>
      </c>
      <c r="O3450" s="25" t="s">
        <v>11</v>
      </c>
      <c r="P3450" s="25" t="s">
        <v>2</v>
      </c>
      <c r="Q3450" s="25" t="s">
        <v>408</v>
      </c>
      <c r="R3450" s="25" t="s">
        <v>439</v>
      </c>
      <c r="S3450" s="25" t="s">
        <v>440</v>
      </c>
      <c r="T3450" s="25" t="s">
        <v>11</v>
      </c>
      <c r="U3450" s="25" t="s">
        <v>408</v>
      </c>
    </row>
    <row r="3451" spans="1:21" x14ac:dyDescent="0.25">
      <c r="A3451" s="26">
        <v>26234318</v>
      </c>
      <c r="B3451" s="25" t="s">
        <v>342</v>
      </c>
      <c r="C3451" s="25" t="s">
        <v>13</v>
      </c>
      <c r="D3451" s="25" t="s">
        <v>12</v>
      </c>
      <c r="E3451" s="25" t="s">
        <v>639</v>
      </c>
      <c r="F3451" s="25" t="s">
        <v>664</v>
      </c>
      <c r="G3451" s="25" t="s">
        <v>369</v>
      </c>
      <c r="H3451" s="25" t="s">
        <v>1</v>
      </c>
      <c r="I3451" s="25" t="s">
        <v>469</v>
      </c>
      <c r="J3451" s="25" t="s">
        <v>445</v>
      </c>
      <c r="K3451" s="25" t="s">
        <v>438</v>
      </c>
      <c r="L3451" s="25" t="s">
        <v>2</v>
      </c>
      <c r="M3451" s="25" t="s">
        <v>408</v>
      </c>
      <c r="N3451" s="25" t="s">
        <v>11</v>
      </c>
      <c r="O3451" s="25" t="s">
        <v>11</v>
      </c>
      <c r="P3451" s="25" t="s">
        <v>2</v>
      </c>
      <c r="Q3451" s="25" t="s">
        <v>408</v>
      </c>
      <c r="R3451" s="25" t="s">
        <v>439</v>
      </c>
      <c r="S3451" s="25" t="s">
        <v>440</v>
      </c>
      <c r="T3451" s="25" t="s">
        <v>11</v>
      </c>
      <c r="U3451" s="25" t="s">
        <v>408</v>
      </c>
    </row>
    <row r="3452" spans="1:21" x14ac:dyDescent="0.25">
      <c r="A3452" s="26">
        <v>26234319</v>
      </c>
      <c r="B3452" s="25" t="s">
        <v>342</v>
      </c>
      <c r="C3452" s="25" t="s">
        <v>13</v>
      </c>
      <c r="D3452" s="25" t="s">
        <v>12</v>
      </c>
      <c r="E3452" s="25" t="s">
        <v>639</v>
      </c>
      <c r="F3452" s="25" t="s">
        <v>664</v>
      </c>
      <c r="G3452" s="25" t="s">
        <v>369</v>
      </c>
      <c r="H3452" s="25" t="s">
        <v>1</v>
      </c>
      <c r="I3452" s="25" t="s">
        <v>469</v>
      </c>
      <c r="J3452" s="25" t="s">
        <v>445</v>
      </c>
      <c r="K3452" s="25" t="s">
        <v>438</v>
      </c>
      <c r="L3452" s="25" t="s">
        <v>2</v>
      </c>
      <c r="M3452" s="25" t="s">
        <v>408</v>
      </c>
      <c r="N3452" s="25" t="s">
        <v>11</v>
      </c>
      <c r="O3452" s="25" t="s">
        <v>11</v>
      </c>
      <c r="P3452" s="25" t="s">
        <v>2</v>
      </c>
      <c r="Q3452" s="25" t="s">
        <v>408</v>
      </c>
      <c r="R3452" s="25" t="s">
        <v>439</v>
      </c>
      <c r="S3452" s="25" t="s">
        <v>440</v>
      </c>
      <c r="T3452" s="25" t="s">
        <v>11</v>
      </c>
      <c r="U3452" s="25" t="s">
        <v>408</v>
      </c>
    </row>
    <row r="3453" spans="1:21" x14ac:dyDescent="0.25">
      <c r="A3453" s="26">
        <v>26234320</v>
      </c>
      <c r="B3453" s="25" t="s">
        <v>342</v>
      </c>
      <c r="C3453" s="25" t="s">
        <v>13</v>
      </c>
      <c r="D3453" s="25" t="s">
        <v>12</v>
      </c>
      <c r="E3453" s="25" t="s">
        <v>639</v>
      </c>
      <c r="F3453" s="25" t="s">
        <v>664</v>
      </c>
      <c r="G3453" s="25" t="s">
        <v>369</v>
      </c>
      <c r="H3453" s="25" t="s">
        <v>1</v>
      </c>
      <c r="I3453" s="25" t="s">
        <v>469</v>
      </c>
      <c r="J3453" s="25" t="s">
        <v>445</v>
      </c>
      <c r="K3453" s="25" t="s">
        <v>438</v>
      </c>
      <c r="L3453" s="25" t="s">
        <v>2</v>
      </c>
      <c r="M3453" s="25" t="s">
        <v>408</v>
      </c>
      <c r="N3453" s="25" t="s">
        <v>11</v>
      </c>
      <c r="O3453" s="25" t="s">
        <v>11</v>
      </c>
      <c r="P3453" s="25" t="s">
        <v>2</v>
      </c>
      <c r="Q3453" s="25" t="s">
        <v>408</v>
      </c>
      <c r="R3453" s="25" t="s">
        <v>439</v>
      </c>
      <c r="S3453" s="25" t="s">
        <v>440</v>
      </c>
      <c r="T3453" s="25" t="s">
        <v>11</v>
      </c>
      <c r="U3453" s="25" t="s">
        <v>408</v>
      </c>
    </row>
    <row r="3454" spans="1:21" x14ac:dyDescent="0.25">
      <c r="A3454" s="26">
        <v>26234321</v>
      </c>
      <c r="B3454" s="25" t="s">
        <v>340</v>
      </c>
      <c r="C3454" s="25" t="s">
        <v>15</v>
      </c>
      <c r="D3454" s="25" t="s">
        <v>18</v>
      </c>
      <c r="E3454" s="25" t="s">
        <v>638</v>
      </c>
      <c r="F3454" s="25" t="s">
        <v>663</v>
      </c>
      <c r="G3454" s="25" t="s">
        <v>369</v>
      </c>
      <c r="H3454" s="25" t="s">
        <v>1</v>
      </c>
      <c r="I3454" s="25" t="s">
        <v>469</v>
      </c>
      <c r="J3454" s="25" t="s">
        <v>445</v>
      </c>
      <c r="K3454" s="25" t="s">
        <v>438</v>
      </c>
      <c r="L3454" s="25" t="s">
        <v>2</v>
      </c>
      <c r="M3454" s="25" t="s">
        <v>408</v>
      </c>
      <c r="N3454" s="25" t="s">
        <v>11</v>
      </c>
      <c r="O3454" s="25" t="s">
        <v>11</v>
      </c>
      <c r="P3454" s="25" t="s">
        <v>2</v>
      </c>
      <c r="Q3454" s="25" t="s">
        <v>408</v>
      </c>
      <c r="R3454" s="25" t="s">
        <v>439</v>
      </c>
      <c r="S3454" s="25" t="s">
        <v>440</v>
      </c>
      <c r="T3454" s="25" t="s">
        <v>11</v>
      </c>
      <c r="U3454" s="25" t="s">
        <v>408</v>
      </c>
    </row>
    <row r="3455" spans="1:21" x14ac:dyDescent="0.25">
      <c r="A3455" s="26">
        <v>26234322</v>
      </c>
      <c r="B3455" s="25" t="s">
        <v>340</v>
      </c>
      <c r="C3455" s="25" t="s">
        <v>15</v>
      </c>
      <c r="D3455" s="25" t="s">
        <v>12</v>
      </c>
      <c r="E3455" s="25" t="s">
        <v>638</v>
      </c>
      <c r="F3455" s="25" t="s">
        <v>663</v>
      </c>
      <c r="G3455" s="25" t="s">
        <v>369</v>
      </c>
      <c r="H3455" s="25" t="s">
        <v>1</v>
      </c>
      <c r="I3455" s="25" t="s">
        <v>469</v>
      </c>
      <c r="J3455" s="25" t="s">
        <v>445</v>
      </c>
      <c r="K3455" s="25" t="s">
        <v>438</v>
      </c>
      <c r="L3455" s="25" t="s">
        <v>2</v>
      </c>
      <c r="M3455" s="25" t="s">
        <v>408</v>
      </c>
      <c r="N3455" s="25" t="s">
        <v>11</v>
      </c>
      <c r="O3455" s="25" t="s">
        <v>11</v>
      </c>
      <c r="P3455" s="25" t="s">
        <v>2</v>
      </c>
      <c r="Q3455" s="25" t="s">
        <v>408</v>
      </c>
      <c r="R3455" s="25" t="s">
        <v>439</v>
      </c>
      <c r="S3455" s="25" t="s">
        <v>440</v>
      </c>
      <c r="T3455" s="25" t="s">
        <v>11</v>
      </c>
      <c r="U3455" s="25" t="s">
        <v>408</v>
      </c>
    </row>
    <row r="3456" spans="1:21" x14ac:dyDescent="0.25">
      <c r="A3456" s="26">
        <v>26234323</v>
      </c>
      <c r="B3456" s="25" t="s">
        <v>340</v>
      </c>
      <c r="C3456" s="25" t="s">
        <v>15</v>
      </c>
      <c r="D3456" s="25" t="s">
        <v>12</v>
      </c>
      <c r="E3456" s="25" t="s">
        <v>637</v>
      </c>
      <c r="F3456" s="25" t="s">
        <v>665</v>
      </c>
      <c r="G3456" s="25" t="s">
        <v>369</v>
      </c>
      <c r="H3456" s="25" t="s">
        <v>1</v>
      </c>
      <c r="I3456" s="25" t="s">
        <v>469</v>
      </c>
      <c r="J3456" s="25" t="s">
        <v>445</v>
      </c>
      <c r="K3456" s="25" t="s">
        <v>438</v>
      </c>
      <c r="L3456" s="25" t="s">
        <v>2</v>
      </c>
      <c r="M3456" s="25" t="s">
        <v>408</v>
      </c>
      <c r="N3456" s="25" t="s">
        <v>11</v>
      </c>
      <c r="O3456" s="25" t="s">
        <v>11</v>
      </c>
      <c r="P3456" s="25" t="s">
        <v>2</v>
      </c>
      <c r="Q3456" s="25" t="s">
        <v>408</v>
      </c>
      <c r="R3456" s="25" t="s">
        <v>439</v>
      </c>
      <c r="S3456" s="25" t="s">
        <v>440</v>
      </c>
      <c r="T3456" s="25" t="s">
        <v>11</v>
      </c>
      <c r="U3456" s="25" t="s">
        <v>408</v>
      </c>
    </row>
    <row r="3457" spans="1:21" x14ac:dyDescent="0.25">
      <c r="A3457" s="26">
        <v>26234324</v>
      </c>
      <c r="B3457" s="25" t="s">
        <v>342</v>
      </c>
      <c r="C3457" s="25" t="s">
        <v>13</v>
      </c>
      <c r="D3457" s="25" t="s">
        <v>12</v>
      </c>
      <c r="E3457" s="25" t="s">
        <v>639</v>
      </c>
      <c r="F3457" s="25" t="s">
        <v>664</v>
      </c>
      <c r="G3457" s="25" t="s">
        <v>369</v>
      </c>
      <c r="H3457" s="25" t="s">
        <v>1</v>
      </c>
      <c r="I3457" s="25" t="s">
        <v>469</v>
      </c>
      <c r="J3457" s="25" t="s">
        <v>445</v>
      </c>
      <c r="K3457" s="25" t="s">
        <v>438</v>
      </c>
      <c r="L3457" s="25" t="s">
        <v>2</v>
      </c>
      <c r="M3457" s="25" t="s">
        <v>408</v>
      </c>
      <c r="N3457" s="25" t="s">
        <v>11</v>
      </c>
      <c r="O3457" s="25" t="s">
        <v>11</v>
      </c>
      <c r="P3457" s="25" t="s">
        <v>2</v>
      </c>
      <c r="Q3457" s="25" t="s">
        <v>408</v>
      </c>
      <c r="R3457" s="25" t="s">
        <v>439</v>
      </c>
      <c r="S3457" s="25" t="s">
        <v>440</v>
      </c>
      <c r="T3457" s="25" t="s">
        <v>11</v>
      </c>
      <c r="U3457" s="25" t="s">
        <v>408</v>
      </c>
    </row>
    <row r="3458" spans="1:21" x14ac:dyDescent="0.25">
      <c r="A3458" s="26">
        <v>26234325</v>
      </c>
      <c r="B3458" s="25" t="s">
        <v>342</v>
      </c>
      <c r="C3458" s="25" t="s">
        <v>13</v>
      </c>
      <c r="D3458" s="25" t="s">
        <v>12</v>
      </c>
      <c r="E3458" s="25" t="s">
        <v>638</v>
      </c>
      <c r="F3458" s="25" t="s">
        <v>663</v>
      </c>
      <c r="G3458" s="25" t="s">
        <v>369</v>
      </c>
      <c r="H3458" s="25" t="s">
        <v>1</v>
      </c>
      <c r="I3458" s="25" t="s">
        <v>469</v>
      </c>
      <c r="J3458" s="25" t="s">
        <v>445</v>
      </c>
      <c r="K3458" s="25" t="s">
        <v>438</v>
      </c>
      <c r="L3458" s="25" t="s">
        <v>2</v>
      </c>
      <c r="M3458" s="25" t="s">
        <v>408</v>
      </c>
      <c r="N3458" s="25" t="s">
        <v>11</v>
      </c>
      <c r="O3458" s="25" t="s">
        <v>11</v>
      </c>
      <c r="P3458" s="25" t="s">
        <v>2</v>
      </c>
      <c r="Q3458" s="25" t="s">
        <v>408</v>
      </c>
      <c r="R3458" s="25" t="s">
        <v>439</v>
      </c>
      <c r="S3458" s="25" t="s">
        <v>440</v>
      </c>
      <c r="T3458" s="25" t="s">
        <v>11</v>
      </c>
      <c r="U3458" s="25" t="s">
        <v>408</v>
      </c>
    </row>
    <row r="3459" spans="1:21" x14ac:dyDescent="0.25">
      <c r="A3459" s="26">
        <v>26234326</v>
      </c>
      <c r="B3459" s="25" t="s">
        <v>342</v>
      </c>
      <c r="C3459" s="25" t="s">
        <v>13</v>
      </c>
      <c r="D3459" s="25" t="s">
        <v>12</v>
      </c>
      <c r="E3459" s="25" t="s">
        <v>638</v>
      </c>
      <c r="F3459" s="25" t="s">
        <v>663</v>
      </c>
      <c r="G3459" s="25" t="s">
        <v>369</v>
      </c>
      <c r="H3459" s="25" t="s">
        <v>1</v>
      </c>
      <c r="I3459" s="25" t="s">
        <v>469</v>
      </c>
      <c r="J3459" s="25" t="s">
        <v>445</v>
      </c>
      <c r="K3459" s="25" t="s">
        <v>438</v>
      </c>
      <c r="L3459" s="25" t="s">
        <v>2</v>
      </c>
      <c r="M3459" s="25" t="s">
        <v>408</v>
      </c>
      <c r="N3459" s="25" t="s">
        <v>11</v>
      </c>
      <c r="O3459" s="25" t="s">
        <v>11</v>
      </c>
      <c r="P3459" s="25" t="s">
        <v>2</v>
      </c>
      <c r="Q3459" s="25" t="s">
        <v>408</v>
      </c>
      <c r="R3459" s="25" t="s">
        <v>439</v>
      </c>
      <c r="S3459" s="25" t="s">
        <v>440</v>
      </c>
      <c r="T3459" s="25" t="s">
        <v>11</v>
      </c>
      <c r="U3459" s="25" t="s">
        <v>408</v>
      </c>
    </row>
    <row r="3460" spans="1:21" x14ac:dyDescent="0.25">
      <c r="A3460" s="26">
        <v>26234327</v>
      </c>
      <c r="B3460" s="25" t="s">
        <v>340</v>
      </c>
      <c r="C3460" s="25" t="s">
        <v>15</v>
      </c>
      <c r="D3460" s="25" t="s">
        <v>12</v>
      </c>
      <c r="E3460" s="25" t="s">
        <v>638</v>
      </c>
      <c r="F3460" s="25" t="s">
        <v>663</v>
      </c>
      <c r="G3460" s="25" t="s">
        <v>369</v>
      </c>
      <c r="H3460" s="25" t="s">
        <v>5</v>
      </c>
      <c r="I3460" s="25" t="s">
        <v>436</v>
      </c>
      <c r="J3460" s="25" t="s">
        <v>446</v>
      </c>
      <c r="K3460" s="25" t="s">
        <v>438</v>
      </c>
      <c r="L3460" s="25" t="s">
        <v>2</v>
      </c>
      <c r="M3460" s="25" t="s">
        <v>408</v>
      </c>
      <c r="N3460" s="25" t="s">
        <v>11</v>
      </c>
      <c r="O3460" s="25" t="s">
        <v>11</v>
      </c>
      <c r="P3460" s="25" t="s">
        <v>2</v>
      </c>
      <c r="Q3460" s="25" t="s">
        <v>408</v>
      </c>
      <c r="R3460" s="25" t="s">
        <v>439</v>
      </c>
      <c r="S3460" s="25" t="s">
        <v>440</v>
      </c>
      <c r="T3460" s="25" t="s">
        <v>11</v>
      </c>
      <c r="U3460" s="25" t="s">
        <v>408</v>
      </c>
    </row>
    <row r="3461" spans="1:21" x14ac:dyDescent="0.25">
      <c r="A3461" s="26">
        <v>26234328</v>
      </c>
      <c r="B3461" s="25" t="s">
        <v>340</v>
      </c>
      <c r="C3461" s="25" t="s">
        <v>15</v>
      </c>
      <c r="D3461" s="25" t="s">
        <v>12</v>
      </c>
      <c r="E3461" s="25" t="s">
        <v>639</v>
      </c>
      <c r="F3461" s="25" t="s">
        <v>664</v>
      </c>
      <c r="G3461" s="25" t="s">
        <v>369</v>
      </c>
      <c r="H3461" s="25" t="s">
        <v>5</v>
      </c>
      <c r="I3461" s="25" t="s">
        <v>436</v>
      </c>
      <c r="J3461" s="25" t="s">
        <v>446</v>
      </c>
      <c r="K3461" s="25" t="s">
        <v>438</v>
      </c>
      <c r="L3461" s="25" t="s">
        <v>2</v>
      </c>
      <c r="M3461" s="25" t="s">
        <v>408</v>
      </c>
      <c r="N3461" s="25" t="s">
        <v>11</v>
      </c>
      <c r="O3461" s="25" t="s">
        <v>11</v>
      </c>
      <c r="P3461" s="25" t="s">
        <v>2</v>
      </c>
      <c r="Q3461" s="25" t="s">
        <v>408</v>
      </c>
      <c r="R3461" s="25" t="s">
        <v>439</v>
      </c>
      <c r="S3461" s="25" t="s">
        <v>440</v>
      </c>
      <c r="T3461" s="25" t="s">
        <v>11</v>
      </c>
      <c r="U3461" s="25" t="s">
        <v>408</v>
      </c>
    </row>
    <row r="3462" spans="1:21" x14ac:dyDescent="0.25">
      <c r="A3462" s="26">
        <v>26234329</v>
      </c>
      <c r="B3462" s="25" t="s">
        <v>342</v>
      </c>
      <c r="C3462" s="25" t="s">
        <v>13</v>
      </c>
      <c r="D3462" s="25" t="s">
        <v>12</v>
      </c>
      <c r="E3462" s="25" t="s">
        <v>639</v>
      </c>
      <c r="F3462" s="25" t="s">
        <v>664</v>
      </c>
      <c r="G3462" s="25" t="s">
        <v>369</v>
      </c>
      <c r="H3462" s="25" t="s">
        <v>1</v>
      </c>
      <c r="I3462" s="25" t="s">
        <v>469</v>
      </c>
      <c r="J3462" s="25" t="s">
        <v>445</v>
      </c>
      <c r="K3462" s="25" t="s">
        <v>438</v>
      </c>
      <c r="L3462" s="25" t="s">
        <v>2</v>
      </c>
      <c r="M3462" s="25" t="s">
        <v>408</v>
      </c>
      <c r="N3462" s="25" t="s">
        <v>11</v>
      </c>
      <c r="O3462" s="25" t="s">
        <v>11</v>
      </c>
      <c r="P3462" s="25" t="s">
        <v>2</v>
      </c>
      <c r="Q3462" s="25" t="s">
        <v>408</v>
      </c>
      <c r="R3462" s="25" t="s">
        <v>439</v>
      </c>
      <c r="S3462" s="25" t="s">
        <v>440</v>
      </c>
      <c r="T3462" s="25" t="s">
        <v>11</v>
      </c>
      <c r="U3462" s="25" t="s">
        <v>408</v>
      </c>
    </row>
    <row r="3463" spans="1:21" x14ac:dyDescent="0.25">
      <c r="A3463" s="26">
        <v>26234330</v>
      </c>
      <c r="B3463" s="25" t="s">
        <v>342</v>
      </c>
      <c r="C3463" s="25" t="s">
        <v>13</v>
      </c>
      <c r="D3463" s="25" t="s">
        <v>12</v>
      </c>
      <c r="E3463" s="25" t="s">
        <v>639</v>
      </c>
      <c r="F3463" s="25" t="s">
        <v>664</v>
      </c>
      <c r="G3463" s="25" t="s">
        <v>369</v>
      </c>
      <c r="H3463" s="25" t="s">
        <v>5</v>
      </c>
      <c r="I3463" s="25" t="s">
        <v>436</v>
      </c>
      <c r="J3463" s="25" t="s">
        <v>446</v>
      </c>
      <c r="K3463" s="25" t="s">
        <v>438</v>
      </c>
      <c r="L3463" s="25" t="s">
        <v>2</v>
      </c>
      <c r="M3463" s="25" t="s">
        <v>408</v>
      </c>
      <c r="N3463" s="25" t="s">
        <v>11</v>
      </c>
      <c r="O3463" s="25" t="s">
        <v>11</v>
      </c>
      <c r="P3463" s="25" t="s">
        <v>2</v>
      </c>
      <c r="Q3463" s="25" t="s">
        <v>408</v>
      </c>
      <c r="R3463" s="25" t="s">
        <v>439</v>
      </c>
      <c r="S3463" s="25" t="s">
        <v>440</v>
      </c>
      <c r="T3463" s="25" t="s">
        <v>11</v>
      </c>
      <c r="U3463" s="25" t="s">
        <v>408</v>
      </c>
    </row>
    <row r="3464" spans="1:21" x14ac:dyDescent="0.25">
      <c r="A3464" s="26">
        <v>26234331</v>
      </c>
      <c r="B3464" s="25" t="s">
        <v>340</v>
      </c>
      <c r="C3464" s="25" t="s">
        <v>15</v>
      </c>
      <c r="D3464" s="25" t="s">
        <v>12</v>
      </c>
      <c r="E3464" s="25" t="s">
        <v>758</v>
      </c>
      <c r="F3464" s="25" t="s">
        <v>688</v>
      </c>
      <c r="G3464" s="25" t="s">
        <v>369</v>
      </c>
      <c r="H3464" s="25" t="s">
        <v>1</v>
      </c>
      <c r="I3464" s="25" t="s">
        <v>469</v>
      </c>
      <c r="J3464" s="25" t="s">
        <v>445</v>
      </c>
      <c r="K3464" s="25" t="s">
        <v>438</v>
      </c>
      <c r="L3464" s="25" t="s">
        <v>2</v>
      </c>
      <c r="M3464" s="25" t="s">
        <v>408</v>
      </c>
      <c r="N3464" s="25" t="s">
        <v>11</v>
      </c>
      <c r="O3464" s="25" t="s">
        <v>11</v>
      </c>
      <c r="P3464" s="25" t="s">
        <v>2</v>
      </c>
      <c r="Q3464" s="25" t="s">
        <v>408</v>
      </c>
      <c r="R3464" s="25" t="s">
        <v>439</v>
      </c>
      <c r="S3464" s="25" t="s">
        <v>440</v>
      </c>
      <c r="T3464" s="25" t="s">
        <v>11</v>
      </c>
      <c r="U3464" s="25" t="s">
        <v>408</v>
      </c>
    </row>
    <row r="3465" spans="1:21" x14ac:dyDescent="0.25">
      <c r="A3465" s="26">
        <v>26234332</v>
      </c>
      <c r="B3465" s="25" t="s">
        <v>342</v>
      </c>
      <c r="C3465" s="25" t="s">
        <v>13</v>
      </c>
      <c r="D3465" s="25" t="s">
        <v>12</v>
      </c>
      <c r="E3465" s="25" t="s">
        <v>638</v>
      </c>
      <c r="F3465" s="25" t="s">
        <v>663</v>
      </c>
      <c r="G3465" s="25" t="s">
        <v>369</v>
      </c>
      <c r="H3465" s="25" t="s">
        <v>5</v>
      </c>
      <c r="I3465" s="25" t="s">
        <v>436</v>
      </c>
      <c r="J3465" s="25" t="s">
        <v>446</v>
      </c>
      <c r="K3465" s="25" t="s">
        <v>438</v>
      </c>
      <c r="L3465" s="25" t="s">
        <v>2</v>
      </c>
      <c r="M3465" s="25" t="s">
        <v>408</v>
      </c>
      <c r="N3465" s="25" t="s">
        <v>11</v>
      </c>
      <c r="O3465" s="25" t="s">
        <v>11</v>
      </c>
      <c r="P3465" s="25" t="s">
        <v>2</v>
      </c>
      <c r="Q3465" s="25" t="s">
        <v>408</v>
      </c>
      <c r="R3465" s="25" t="s">
        <v>439</v>
      </c>
      <c r="S3465" s="25" t="s">
        <v>440</v>
      </c>
      <c r="T3465" s="25" t="s">
        <v>11</v>
      </c>
      <c r="U3465" s="25" t="s">
        <v>408</v>
      </c>
    </row>
    <row r="3466" spans="1:21" x14ac:dyDescent="0.25">
      <c r="A3466" s="26">
        <v>26234333</v>
      </c>
      <c r="B3466" s="25" t="s">
        <v>342</v>
      </c>
      <c r="C3466" s="25" t="s">
        <v>13</v>
      </c>
      <c r="D3466" s="25" t="s">
        <v>12</v>
      </c>
      <c r="E3466" s="25" t="s">
        <v>639</v>
      </c>
      <c r="F3466" s="25" t="s">
        <v>664</v>
      </c>
      <c r="G3466" s="25" t="s">
        <v>369</v>
      </c>
      <c r="H3466" s="25" t="s">
        <v>1</v>
      </c>
      <c r="I3466" s="25" t="s">
        <v>469</v>
      </c>
      <c r="J3466" s="25" t="s">
        <v>445</v>
      </c>
      <c r="K3466" s="25" t="s">
        <v>438</v>
      </c>
      <c r="L3466" s="25" t="s">
        <v>2</v>
      </c>
      <c r="M3466" s="25" t="s">
        <v>408</v>
      </c>
      <c r="N3466" s="25" t="s">
        <v>11</v>
      </c>
      <c r="O3466" s="25" t="s">
        <v>11</v>
      </c>
      <c r="P3466" s="25" t="s">
        <v>2</v>
      </c>
      <c r="Q3466" s="25" t="s">
        <v>408</v>
      </c>
      <c r="R3466" s="25" t="s">
        <v>439</v>
      </c>
      <c r="S3466" s="25" t="s">
        <v>440</v>
      </c>
      <c r="T3466" s="25" t="s">
        <v>11</v>
      </c>
      <c r="U3466" s="25" t="s">
        <v>408</v>
      </c>
    </row>
    <row r="3467" spans="1:21" x14ac:dyDescent="0.25">
      <c r="A3467" s="26">
        <v>26234334</v>
      </c>
      <c r="B3467" s="25" t="s">
        <v>340</v>
      </c>
      <c r="C3467" s="25" t="s">
        <v>15</v>
      </c>
      <c r="D3467" s="25" t="s">
        <v>18</v>
      </c>
      <c r="E3467" s="25" t="s">
        <v>639</v>
      </c>
      <c r="F3467" s="25" t="s">
        <v>664</v>
      </c>
      <c r="G3467" s="25" t="s">
        <v>369</v>
      </c>
      <c r="H3467" s="25" t="s">
        <v>1</v>
      </c>
      <c r="I3467" s="25" t="s">
        <v>469</v>
      </c>
      <c r="J3467" s="25" t="s">
        <v>445</v>
      </c>
      <c r="K3467" s="25" t="s">
        <v>438</v>
      </c>
      <c r="L3467" s="25" t="s">
        <v>2</v>
      </c>
      <c r="M3467" s="25" t="s">
        <v>408</v>
      </c>
      <c r="N3467" s="25" t="s">
        <v>11</v>
      </c>
      <c r="O3467" s="25" t="s">
        <v>11</v>
      </c>
      <c r="P3467" s="25" t="s">
        <v>2</v>
      </c>
      <c r="Q3467" s="25" t="s">
        <v>408</v>
      </c>
      <c r="R3467" s="25" t="s">
        <v>439</v>
      </c>
      <c r="S3467" s="25" t="s">
        <v>440</v>
      </c>
      <c r="T3467" s="25" t="s">
        <v>11</v>
      </c>
      <c r="U3467" s="25" t="s">
        <v>408</v>
      </c>
    </row>
    <row r="3468" spans="1:21" x14ac:dyDescent="0.25">
      <c r="A3468" s="26">
        <v>26234335</v>
      </c>
      <c r="B3468" s="25" t="s">
        <v>340</v>
      </c>
      <c r="C3468" s="25" t="s">
        <v>15</v>
      </c>
      <c r="D3468" s="25" t="s">
        <v>12</v>
      </c>
      <c r="E3468" s="25" t="s">
        <v>639</v>
      </c>
      <c r="F3468" s="25" t="s">
        <v>664</v>
      </c>
      <c r="G3468" s="25" t="s">
        <v>369</v>
      </c>
      <c r="H3468" s="25" t="s">
        <v>1</v>
      </c>
      <c r="I3468" s="25" t="s">
        <v>469</v>
      </c>
      <c r="J3468" s="25" t="s">
        <v>445</v>
      </c>
      <c r="K3468" s="25" t="s">
        <v>438</v>
      </c>
      <c r="L3468" s="25" t="s">
        <v>2</v>
      </c>
      <c r="M3468" s="25" t="s">
        <v>408</v>
      </c>
      <c r="N3468" s="25" t="s">
        <v>11</v>
      </c>
      <c r="O3468" s="25" t="s">
        <v>11</v>
      </c>
      <c r="P3468" s="25" t="s">
        <v>2</v>
      </c>
      <c r="Q3468" s="25" t="s">
        <v>408</v>
      </c>
      <c r="R3468" s="25" t="s">
        <v>439</v>
      </c>
      <c r="S3468" s="25" t="s">
        <v>440</v>
      </c>
      <c r="T3468" s="25" t="s">
        <v>11</v>
      </c>
      <c r="U3468" s="25" t="s">
        <v>408</v>
      </c>
    </row>
    <row r="3469" spans="1:21" x14ac:dyDescent="0.25">
      <c r="A3469" s="26">
        <v>26234336</v>
      </c>
      <c r="B3469" s="25" t="s">
        <v>340</v>
      </c>
      <c r="C3469" s="25" t="s">
        <v>15</v>
      </c>
      <c r="D3469" s="25" t="s">
        <v>12</v>
      </c>
      <c r="E3469" s="25" t="s">
        <v>639</v>
      </c>
      <c r="F3469" s="25" t="s">
        <v>664</v>
      </c>
      <c r="G3469" s="25" t="s">
        <v>369</v>
      </c>
      <c r="H3469" s="25" t="s">
        <v>5</v>
      </c>
      <c r="I3469" s="25" t="s">
        <v>436</v>
      </c>
      <c r="J3469" s="25" t="s">
        <v>446</v>
      </c>
      <c r="K3469" s="25" t="s">
        <v>438</v>
      </c>
      <c r="L3469" s="25" t="s">
        <v>2</v>
      </c>
      <c r="M3469" s="25" t="s">
        <v>408</v>
      </c>
      <c r="N3469" s="25" t="s">
        <v>11</v>
      </c>
      <c r="O3469" s="25" t="s">
        <v>11</v>
      </c>
      <c r="P3469" s="25" t="s">
        <v>2</v>
      </c>
      <c r="Q3469" s="25" t="s">
        <v>408</v>
      </c>
      <c r="R3469" s="25" t="s">
        <v>439</v>
      </c>
      <c r="S3469" s="25" t="s">
        <v>440</v>
      </c>
      <c r="T3469" s="25" t="s">
        <v>11</v>
      </c>
      <c r="U3469" s="25" t="s">
        <v>408</v>
      </c>
    </row>
    <row r="3470" spans="1:21" x14ac:dyDescent="0.25">
      <c r="A3470" s="26">
        <v>26234337</v>
      </c>
      <c r="B3470" s="25" t="s">
        <v>340</v>
      </c>
      <c r="C3470" s="25" t="s">
        <v>15</v>
      </c>
      <c r="D3470" s="25" t="s">
        <v>12</v>
      </c>
      <c r="E3470" s="25" t="s">
        <v>638</v>
      </c>
      <c r="F3470" s="25" t="s">
        <v>663</v>
      </c>
      <c r="G3470" s="25" t="s">
        <v>369</v>
      </c>
      <c r="H3470" s="25" t="s">
        <v>5</v>
      </c>
      <c r="I3470" s="25" t="s">
        <v>436</v>
      </c>
      <c r="J3470" s="25" t="s">
        <v>446</v>
      </c>
      <c r="K3470" s="25" t="s">
        <v>438</v>
      </c>
      <c r="L3470" s="25" t="s">
        <v>2</v>
      </c>
      <c r="M3470" s="25" t="s">
        <v>408</v>
      </c>
      <c r="N3470" s="25" t="s">
        <v>11</v>
      </c>
      <c r="O3470" s="25" t="s">
        <v>11</v>
      </c>
      <c r="P3470" s="25" t="s">
        <v>2</v>
      </c>
      <c r="Q3470" s="25" t="s">
        <v>408</v>
      </c>
      <c r="R3470" s="25" t="s">
        <v>439</v>
      </c>
      <c r="S3470" s="25" t="s">
        <v>440</v>
      </c>
      <c r="T3470" s="25" t="s">
        <v>11</v>
      </c>
      <c r="U3470" s="25" t="s">
        <v>408</v>
      </c>
    </row>
    <row r="3471" spans="1:21" x14ac:dyDescent="0.25">
      <c r="A3471" s="26">
        <v>26234338</v>
      </c>
      <c r="B3471" s="25" t="s">
        <v>340</v>
      </c>
      <c r="C3471" s="25" t="s">
        <v>15</v>
      </c>
      <c r="D3471" s="25" t="s">
        <v>12</v>
      </c>
      <c r="E3471" s="25" t="s">
        <v>638</v>
      </c>
      <c r="F3471" s="25" t="s">
        <v>663</v>
      </c>
      <c r="G3471" s="25" t="s">
        <v>369</v>
      </c>
      <c r="H3471" s="25" t="s">
        <v>5</v>
      </c>
      <c r="I3471" s="25" t="s">
        <v>436</v>
      </c>
      <c r="J3471" s="25" t="s">
        <v>446</v>
      </c>
      <c r="K3471" s="25" t="s">
        <v>438</v>
      </c>
      <c r="L3471" s="25" t="s">
        <v>2</v>
      </c>
      <c r="M3471" s="25" t="s">
        <v>408</v>
      </c>
      <c r="N3471" s="25" t="s">
        <v>11</v>
      </c>
      <c r="O3471" s="25" t="s">
        <v>11</v>
      </c>
      <c r="P3471" s="25" t="s">
        <v>2</v>
      </c>
      <c r="Q3471" s="25" t="s">
        <v>408</v>
      </c>
      <c r="R3471" s="25" t="s">
        <v>439</v>
      </c>
      <c r="S3471" s="25" t="s">
        <v>440</v>
      </c>
      <c r="T3471" s="25" t="s">
        <v>11</v>
      </c>
      <c r="U3471" s="25" t="s">
        <v>408</v>
      </c>
    </row>
    <row r="3472" spans="1:21" x14ac:dyDescent="0.25">
      <c r="A3472" s="26">
        <v>26234339</v>
      </c>
      <c r="B3472" s="25" t="s">
        <v>340</v>
      </c>
      <c r="C3472" s="25" t="s">
        <v>15</v>
      </c>
      <c r="D3472" s="25" t="s">
        <v>12</v>
      </c>
      <c r="E3472" s="25" t="s">
        <v>638</v>
      </c>
      <c r="F3472" s="25" t="s">
        <v>663</v>
      </c>
      <c r="G3472" s="25" t="s">
        <v>369</v>
      </c>
      <c r="H3472" s="25" t="s">
        <v>1</v>
      </c>
      <c r="I3472" s="25" t="s">
        <v>469</v>
      </c>
      <c r="J3472" s="25" t="s">
        <v>445</v>
      </c>
      <c r="K3472" s="25" t="s">
        <v>438</v>
      </c>
      <c r="L3472" s="25" t="s">
        <v>2</v>
      </c>
      <c r="M3472" s="25" t="s">
        <v>408</v>
      </c>
      <c r="N3472" s="25" t="s">
        <v>11</v>
      </c>
      <c r="O3472" s="25" t="s">
        <v>11</v>
      </c>
      <c r="P3472" s="25" t="s">
        <v>2</v>
      </c>
      <c r="Q3472" s="25" t="s">
        <v>408</v>
      </c>
      <c r="R3472" s="25" t="s">
        <v>439</v>
      </c>
      <c r="S3472" s="25" t="s">
        <v>440</v>
      </c>
      <c r="T3472" s="25" t="s">
        <v>11</v>
      </c>
      <c r="U3472" s="25" t="s">
        <v>408</v>
      </c>
    </row>
    <row r="3473" spans="1:21" x14ac:dyDescent="0.25">
      <c r="A3473" s="26">
        <v>26234340</v>
      </c>
      <c r="B3473" s="25" t="s">
        <v>342</v>
      </c>
      <c r="C3473" s="25" t="s">
        <v>13</v>
      </c>
      <c r="D3473" s="25" t="s">
        <v>12</v>
      </c>
      <c r="E3473" s="25" t="s">
        <v>639</v>
      </c>
      <c r="F3473" s="25" t="s">
        <v>664</v>
      </c>
      <c r="G3473" s="25" t="s">
        <v>369</v>
      </c>
      <c r="H3473" s="25" t="s">
        <v>2</v>
      </c>
      <c r="I3473" s="25" t="s">
        <v>436</v>
      </c>
      <c r="J3473" s="25" t="s">
        <v>443</v>
      </c>
      <c r="K3473" s="25" t="s">
        <v>444</v>
      </c>
      <c r="L3473" s="25" t="s">
        <v>345</v>
      </c>
      <c r="M3473" s="25" t="s">
        <v>408</v>
      </c>
      <c r="N3473" s="25" t="s">
        <v>11</v>
      </c>
      <c r="O3473" s="25" t="s">
        <v>11</v>
      </c>
      <c r="P3473" s="25" t="s">
        <v>2</v>
      </c>
      <c r="Q3473" s="25" t="s">
        <v>408</v>
      </c>
      <c r="R3473" s="25" t="s">
        <v>439</v>
      </c>
      <c r="S3473" s="25" t="s">
        <v>440</v>
      </c>
      <c r="T3473" s="25" t="s">
        <v>11</v>
      </c>
      <c r="U3473" s="25" t="s">
        <v>408</v>
      </c>
    </row>
    <row r="3474" spans="1:21" x14ac:dyDescent="0.25">
      <c r="A3474" s="26">
        <v>26234341</v>
      </c>
      <c r="B3474" s="25" t="s">
        <v>340</v>
      </c>
      <c r="C3474" s="25" t="s">
        <v>15</v>
      </c>
      <c r="D3474" s="25" t="s">
        <v>79</v>
      </c>
      <c r="E3474" s="25" t="s">
        <v>638</v>
      </c>
      <c r="F3474" s="25" t="s">
        <v>663</v>
      </c>
      <c r="G3474" s="25" t="s">
        <v>369</v>
      </c>
      <c r="H3474" s="25" t="s">
        <v>1</v>
      </c>
      <c r="I3474" s="25" t="s">
        <v>469</v>
      </c>
      <c r="J3474" s="25" t="s">
        <v>445</v>
      </c>
      <c r="K3474" s="25" t="s">
        <v>438</v>
      </c>
      <c r="L3474" s="25" t="s">
        <v>2</v>
      </c>
      <c r="M3474" s="25" t="s">
        <v>408</v>
      </c>
      <c r="N3474" s="25" t="s">
        <v>11</v>
      </c>
      <c r="O3474" s="25" t="s">
        <v>11</v>
      </c>
      <c r="P3474" s="25" t="s">
        <v>2</v>
      </c>
      <c r="Q3474" s="25" t="s">
        <v>408</v>
      </c>
      <c r="R3474" s="25" t="s">
        <v>439</v>
      </c>
      <c r="S3474" s="25" t="s">
        <v>440</v>
      </c>
      <c r="T3474" s="25" t="s">
        <v>11</v>
      </c>
      <c r="U3474" s="25" t="s">
        <v>408</v>
      </c>
    </row>
    <row r="3475" spans="1:21" x14ac:dyDescent="0.25">
      <c r="A3475" s="26">
        <v>26234342</v>
      </c>
      <c r="B3475" s="25" t="s">
        <v>340</v>
      </c>
      <c r="C3475" s="25" t="s">
        <v>15</v>
      </c>
      <c r="D3475" s="25" t="s">
        <v>12</v>
      </c>
      <c r="E3475" s="25" t="s">
        <v>638</v>
      </c>
      <c r="F3475" s="25" t="s">
        <v>577</v>
      </c>
      <c r="G3475" s="25" t="s">
        <v>369</v>
      </c>
      <c r="H3475" s="25" t="s">
        <v>5</v>
      </c>
      <c r="I3475" s="25" t="s">
        <v>436</v>
      </c>
      <c r="J3475" s="25" t="s">
        <v>446</v>
      </c>
      <c r="K3475" s="25" t="s">
        <v>438</v>
      </c>
      <c r="L3475" s="25" t="s">
        <v>2</v>
      </c>
      <c r="M3475" s="25" t="s">
        <v>408</v>
      </c>
      <c r="N3475" s="25" t="s">
        <v>11</v>
      </c>
      <c r="O3475" s="25" t="s">
        <v>11</v>
      </c>
      <c r="P3475" s="25" t="s">
        <v>2</v>
      </c>
      <c r="Q3475" s="25" t="s">
        <v>408</v>
      </c>
      <c r="R3475" s="25" t="s">
        <v>439</v>
      </c>
      <c r="S3475" s="25" t="s">
        <v>440</v>
      </c>
      <c r="T3475" s="25" t="s">
        <v>11</v>
      </c>
      <c r="U3475" s="25" t="s">
        <v>408</v>
      </c>
    </row>
    <row r="3476" spans="1:21" x14ac:dyDescent="0.25">
      <c r="A3476" s="26">
        <v>26234343</v>
      </c>
      <c r="B3476" s="25" t="s">
        <v>340</v>
      </c>
      <c r="C3476" s="25" t="s">
        <v>15</v>
      </c>
      <c r="D3476" s="25" t="s">
        <v>12</v>
      </c>
      <c r="E3476" s="25" t="s">
        <v>639</v>
      </c>
      <c r="F3476" s="25" t="s">
        <v>662</v>
      </c>
      <c r="G3476" s="25" t="s">
        <v>369</v>
      </c>
      <c r="H3476" s="25" t="s">
        <v>1</v>
      </c>
      <c r="I3476" s="25" t="s">
        <v>469</v>
      </c>
      <c r="J3476" s="25" t="s">
        <v>445</v>
      </c>
      <c r="K3476" s="25" t="s">
        <v>438</v>
      </c>
      <c r="L3476" s="25" t="s">
        <v>2</v>
      </c>
      <c r="M3476" s="25" t="s">
        <v>408</v>
      </c>
      <c r="N3476" s="25" t="s">
        <v>11</v>
      </c>
      <c r="O3476" s="25" t="s">
        <v>11</v>
      </c>
      <c r="P3476" s="25" t="s">
        <v>2</v>
      </c>
      <c r="Q3476" s="25" t="s">
        <v>408</v>
      </c>
      <c r="R3476" s="25" t="s">
        <v>439</v>
      </c>
      <c r="S3476" s="25" t="s">
        <v>440</v>
      </c>
      <c r="T3476" s="25" t="s">
        <v>11</v>
      </c>
      <c r="U3476" s="25" t="s">
        <v>408</v>
      </c>
    </row>
    <row r="3477" spans="1:21" x14ac:dyDescent="0.25">
      <c r="A3477" s="26">
        <v>26234344</v>
      </c>
      <c r="B3477" s="25" t="s">
        <v>340</v>
      </c>
      <c r="C3477" s="25" t="s">
        <v>15</v>
      </c>
      <c r="D3477" s="25" t="s">
        <v>12</v>
      </c>
      <c r="E3477" s="25" t="s">
        <v>639</v>
      </c>
      <c r="F3477" s="25" t="s">
        <v>662</v>
      </c>
      <c r="G3477" s="25" t="s">
        <v>369</v>
      </c>
      <c r="H3477" s="25" t="s">
        <v>1</v>
      </c>
      <c r="I3477" s="25" t="s">
        <v>469</v>
      </c>
      <c r="J3477" s="25" t="s">
        <v>445</v>
      </c>
      <c r="K3477" s="25" t="s">
        <v>438</v>
      </c>
      <c r="L3477" s="25" t="s">
        <v>2</v>
      </c>
      <c r="M3477" s="25" t="s">
        <v>408</v>
      </c>
      <c r="N3477" s="25" t="s">
        <v>11</v>
      </c>
      <c r="O3477" s="25" t="s">
        <v>11</v>
      </c>
      <c r="P3477" s="25" t="s">
        <v>2</v>
      </c>
      <c r="Q3477" s="25" t="s">
        <v>408</v>
      </c>
      <c r="R3477" s="25" t="s">
        <v>439</v>
      </c>
      <c r="S3477" s="25" t="s">
        <v>440</v>
      </c>
      <c r="T3477" s="25" t="s">
        <v>11</v>
      </c>
      <c r="U3477" s="25" t="s">
        <v>408</v>
      </c>
    </row>
    <row r="3478" spans="1:21" x14ac:dyDescent="0.25">
      <c r="A3478" s="26">
        <v>26234345</v>
      </c>
      <c r="B3478" s="25" t="s">
        <v>340</v>
      </c>
      <c r="C3478" s="25" t="s">
        <v>15</v>
      </c>
      <c r="D3478" s="25" t="s">
        <v>18</v>
      </c>
      <c r="E3478" s="25" t="s">
        <v>639</v>
      </c>
      <c r="F3478" s="25" t="s">
        <v>662</v>
      </c>
      <c r="G3478" s="25" t="s">
        <v>369</v>
      </c>
      <c r="H3478" s="25" t="s">
        <v>1</v>
      </c>
      <c r="I3478" s="25" t="s">
        <v>469</v>
      </c>
      <c r="J3478" s="25" t="s">
        <v>445</v>
      </c>
      <c r="K3478" s="25" t="s">
        <v>438</v>
      </c>
      <c r="L3478" s="25" t="s">
        <v>2</v>
      </c>
      <c r="M3478" s="25" t="s">
        <v>408</v>
      </c>
      <c r="N3478" s="25" t="s">
        <v>11</v>
      </c>
      <c r="O3478" s="25" t="s">
        <v>11</v>
      </c>
      <c r="P3478" s="25" t="s">
        <v>2</v>
      </c>
      <c r="Q3478" s="25" t="s">
        <v>408</v>
      </c>
      <c r="R3478" s="25" t="s">
        <v>439</v>
      </c>
      <c r="S3478" s="25" t="s">
        <v>440</v>
      </c>
      <c r="T3478" s="25" t="s">
        <v>11</v>
      </c>
      <c r="U3478" s="25" t="s">
        <v>408</v>
      </c>
    </row>
    <row r="3479" spans="1:21" x14ac:dyDescent="0.25">
      <c r="A3479" s="26">
        <v>26234346</v>
      </c>
      <c r="B3479" s="25" t="s">
        <v>342</v>
      </c>
      <c r="C3479" s="25" t="s">
        <v>13</v>
      </c>
      <c r="D3479" s="25" t="s">
        <v>12</v>
      </c>
      <c r="E3479" s="25" t="s">
        <v>639</v>
      </c>
      <c r="F3479" s="25" t="s">
        <v>662</v>
      </c>
      <c r="G3479" s="25" t="s">
        <v>369</v>
      </c>
      <c r="H3479" s="25" t="s">
        <v>5</v>
      </c>
      <c r="I3479" s="25" t="s">
        <v>436</v>
      </c>
      <c r="J3479" s="25" t="s">
        <v>446</v>
      </c>
      <c r="K3479" s="25" t="s">
        <v>438</v>
      </c>
      <c r="L3479" s="25" t="s">
        <v>2</v>
      </c>
      <c r="M3479" s="25" t="s">
        <v>408</v>
      </c>
      <c r="N3479" s="25" t="s">
        <v>11</v>
      </c>
      <c r="O3479" s="25" t="s">
        <v>11</v>
      </c>
      <c r="P3479" s="25" t="s">
        <v>2</v>
      </c>
      <c r="Q3479" s="25" t="s">
        <v>408</v>
      </c>
      <c r="R3479" s="25" t="s">
        <v>439</v>
      </c>
      <c r="S3479" s="25" t="s">
        <v>440</v>
      </c>
      <c r="T3479" s="25" t="s">
        <v>11</v>
      </c>
      <c r="U3479" s="25" t="s">
        <v>408</v>
      </c>
    </row>
    <row r="3480" spans="1:21" x14ac:dyDescent="0.25">
      <c r="A3480" s="26">
        <v>26234347</v>
      </c>
      <c r="B3480" s="25" t="s">
        <v>342</v>
      </c>
      <c r="C3480" s="25" t="s">
        <v>13</v>
      </c>
      <c r="D3480" s="25" t="s">
        <v>12</v>
      </c>
      <c r="E3480" s="25" t="s">
        <v>639</v>
      </c>
      <c r="F3480" s="25" t="s">
        <v>662</v>
      </c>
      <c r="G3480" s="25" t="s">
        <v>369</v>
      </c>
      <c r="H3480" s="25" t="s">
        <v>1</v>
      </c>
      <c r="I3480" s="25" t="s">
        <v>469</v>
      </c>
      <c r="J3480" s="25" t="s">
        <v>445</v>
      </c>
      <c r="K3480" s="25" t="s">
        <v>438</v>
      </c>
      <c r="L3480" s="25" t="s">
        <v>2</v>
      </c>
      <c r="M3480" s="25" t="s">
        <v>408</v>
      </c>
      <c r="N3480" s="25" t="s">
        <v>11</v>
      </c>
      <c r="O3480" s="25" t="s">
        <v>11</v>
      </c>
      <c r="P3480" s="25" t="s">
        <v>2</v>
      </c>
      <c r="Q3480" s="25" t="s">
        <v>408</v>
      </c>
      <c r="R3480" s="25" t="s">
        <v>439</v>
      </c>
      <c r="S3480" s="25" t="s">
        <v>440</v>
      </c>
      <c r="T3480" s="25" t="s">
        <v>11</v>
      </c>
      <c r="U3480" s="25" t="s">
        <v>408</v>
      </c>
    </row>
    <row r="3481" spans="1:21" x14ac:dyDescent="0.25">
      <c r="A3481" s="26">
        <v>26234348</v>
      </c>
      <c r="B3481" s="25" t="s">
        <v>340</v>
      </c>
      <c r="C3481" s="25" t="s">
        <v>15</v>
      </c>
      <c r="D3481" s="25" t="s">
        <v>12</v>
      </c>
      <c r="E3481" s="25" t="s">
        <v>639</v>
      </c>
      <c r="F3481" s="25" t="s">
        <v>662</v>
      </c>
      <c r="G3481" s="25" t="s">
        <v>369</v>
      </c>
      <c r="H3481" s="25" t="s">
        <v>1</v>
      </c>
      <c r="I3481" s="25" t="s">
        <v>469</v>
      </c>
      <c r="J3481" s="25" t="s">
        <v>445</v>
      </c>
      <c r="K3481" s="25" t="s">
        <v>438</v>
      </c>
      <c r="L3481" s="25" t="s">
        <v>2</v>
      </c>
      <c r="M3481" s="25" t="s">
        <v>408</v>
      </c>
      <c r="N3481" s="25" t="s">
        <v>11</v>
      </c>
      <c r="O3481" s="25" t="s">
        <v>11</v>
      </c>
      <c r="P3481" s="25" t="s">
        <v>2</v>
      </c>
      <c r="Q3481" s="25" t="s">
        <v>408</v>
      </c>
      <c r="R3481" s="25" t="s">
        <v>439</v>
      </c>
      <c r="S3481" s="25" t="s">
        <v>440</v>
      </c>
      <c r="T3481" s="25" t="s">
        <v>11</v>
      </c>
      <c r="U3481" s="25" t="s">
        <v>408</v>
      </c>
    </row>
    <row r="3482" spans="1:21" x14ac:dyDescent="0.25">
      <c r="A3482" s="26">
        <v>26234349</v>
      </c>
      <c r="B3482" s="25" t="s">
        <v>342</v>
      </c>
      <c r="C3482" s="25" t="s">
        <v>13</v>
      </c>
      <c r="D3482" s="25" t="s">
        <v>12</v>
      </c>
      <c r="E3482" s="25" t="s">
        <v>639</v>
      </c>
      <c r="F3482" s="25" t="s">
        <v>662</v>
      </c>
      <c r="G3482" s="25" t="s">
        <v>369</v>
      </c>
      <c r="H3482" s="25" t="s">
        <v>1</v>
      </c>
      <c r="I3482" s="25" t="s">
        <v>469</v>
      </c>
      <c r="J3482" s="25" t="s">
        <v>445</v>
      </c>
      <c r="K3482" s="25" t="s">
        <v>438</v>
      </c>
      <c r="L3482" s="25" t="s">
        <v>2</v>
      </c>
      <c r="M3482" s="25" t="s">
        <v>408</v>
      </c>
      <c r="N3482" s="25" t="s">
        <v>11</v>
      </c>
      <c r="O3482" s="25" t="s">
        <v>11</v>
      </c>
      <c r="P3482" s="25" t="s">
        <v>2</v>
      </c>
      <c r="Q3482" s="25" t="s">
        <v>408</v>
      </c>
      <c r="R3482" s="25" t="s">
        <v>439</v>
      </c>
      <c r="S3482" s="25" t="s">
        <v>440</v>
      </c>
      <c r="T3482" s="25" t="s">
        <v>11</v>
      </c>
      <c r="U3482" s="25" t="s">
        <v>408</v>
      </c>
    </row>
    <row r="3483" spans="1:21" x14ac:dyDescent="0.25">
      <c r="A3483" s="26">
        <v>26234350</v>
      </c>
      <c r="B3483" s="25" t="s">
        <v>340</v>
      </c>
      <c r="C3483" s="25" t="s">
        <v>15</v>
      </c>
      <c r="D3483" s="25" t="s">
        <v>18</v>
      </c>
      <c r="E3483" s="25" t="s">
        <v>639</v>
      </c>
      <c r="F3483" s="25" t="s">
        <v>662</v>
      </c>
      <c r="G3483" s="25" t="s">
        <v>369</v>
      </c>
      <c r="H3483" s="25" t="s">
        <v>5</v>
      </c>
      <c r="I3483" s="25" t="s">
        <v>436</v>
      </c>
      <c r="J3483" s="25" t="s">
        <v>446</v>
      </c>
      <c r="K3483" s="25" t="s">
        <v>438</v>
      </c>
      <c r="L3483" s="25" t="s">
        <v>2</v>
      </c>
      <c r="M3483" s="25" t="s">
        <v>408</v>
      </c>
      <c r="N3483" s="25" t="s">
        <v>11</v>
      </c>
      <c r="O3483" s="25" t="s">
        <v>11</v>
      </c>
      <c r="P3483" s="25" t="s">
        <v>2</v>
      </c>
      <c r="Q3483" s="25" t="s">
        <v>408</v>
      </c>
      <c r="R3483" s="25" t="s">
        <v>439</v>
      </c>
      <c r="S3483" s="25" t="s">
        <v>440</v>
      </c>
      <c r="T3483" s="25" t="s">
        <v>11</v>
      </c>
      <c r="U3483" s="25" t="s">
        <v>408</v>
      </c>
    </row>
    <row r="3484" spans="1:21" x14ac:dyDescent="0.25">
      <c r="A3484" s="26">
        <v>26234351</v>
      </c>
      <c r="B3484" s="25" t="s">
        <v>340</v>
      </c>
      <c r="C3484" s="25" t="s">
        <v>15</v>
      </c>
      <c r="D3484" s="25" t="s">
        <v>12</v>
      </c>
      <c r="E3484" s="25" t="s">
        <v>639</v>
      </c>
      <c r="F3484" s="25" t="s">
        <v>662</v>
      </c>
      <c r="G3484" s="25" t="s">
        <v>369</v>
      </c>
      <c r="H3484" s="25" t="s">
        <v>1</v>
      </c>
      <c r="I3484" s="25" t="s">
        <v>469</v>
      </c>
      <c r="J3484" s="25" t="s">
        <v>445</v>
      </c>
      <c r="K3484" s="25" t="s">
        <v>438</v>
      </c>
      <c r="L3484" s="25" t="s">
        <v>2</v>
      </c>
      <c r="M3484" s="25" t="s">
        <v>408</v>
      </c>
      <c r="N3484" s="25" t="s">
        <v>11</v>
      </c>
      <c r="O3484" s="25" t="s">
        <v>11</v>
      </c>
      <c r="P3484" s="25" t="s">
        <v>2</v>
      </c>
      <c r="Q3484" s="25" t="s">
        <v>408</v>
      </c>
      <c r="R3484" s="25" t="s">
        <v>439</v>
      </c>
      <c r="S3484" s="25" t="s">
        <v>440</v>
      </c>
      <c r="T3484" s="25" t="s">
        <v>11</v>
      </c>
      <c r="U3484" s="25" t="s">
        <v>408</v>
      </c>
    </row>
    <row r="3485" spans="1:21" x14ac:dyDescent="0.25">
      <c r="A3485" s="26">
        <v>26234352</v>
      </c>
      <c r="B3485" s="25" t="s">
        <v>342</v>
      </c>
      <c r="C3485" s="25" t="s">
        <v>13</v>
      </c>
      <c r="D3485" s="25" t="s">
        <v>12</v>
      </c>
      <c r="E3485" s="25" t="s">
        <v>639</v>
      </c>
      <c r="F3485" s="25" t="s">
        <v>662</v>
      </c>
      <c r="G3485" s="25" t="s">
        <v>369</v>
      </c>
      <c r="H3485" s="25" t="s">
        <v>1</v>
      </c>
      <c r="I3485" s="25" t="s">
        <v>469</v>
      </c>
      <c r="J3485" s="25" t="s">
        <v>445</v>
      </c>
      <c r="K3485" s="25" t="s">
        <v>438</v>
      </c>
      <c r="L3485" s="25" t="s">
        <v>2</v>
      </c>
      <c r="M3485" s="25" t="s">
        <v>408</v>
      </c>
      <c r="N3485" s="25" t="s">
        <v>11</v>
      </c>
      <c r="O3485" s="25" t="s">
        <v>11</v>
      </c>
      <c r="P3485" s="25" t="s">
        <v>2</v>
      </c>
      <c r="Q3485" s="25" t="s">
        <v>408</v>
      </c>
      <c r="R3485" s="25" t="s">
        <v>439</v>
      </c>
      <c r="S3485" s="25" t="s">
        <v>440</v>
      </c>
      <c r="T3485" s="25" t="s">
        <v>11</v>
      </c>
      <c r="U3485" s="25" t="s">
        <v>408</v>
      </c>
    </row>
    <row r="3486" spans="1:21" x14ac:dyDescent="0.25">
      <c r="A3486" s="26">
        <v>26234353</v>
      </c>
      <c r="B3486" s="25" t="s">
        <v>342</v>
      </c>
      <c r="C3486" s="25" t="s">
        <v>13</v>
      </c>
      <c r="D3486" s="25" t="s">
        <v>12</v>
      </c>
      <c r="E3486" s="25" t="s">
        <v>639</v>
      </c>
      <c r="F3486" s="25" t="s">
        <v>662</v>
      </c>
      <c r="G3486" s="25" t="s">
        <v>369</v>
      </c>
      <c r="H3486" s="25" t="s">
        <v>1</v>
      </c>
      <c r="I3486" s="25" t="s">
        <v>469</v>
      </c>
      <c r="J3486" s="25" t="s">
        <v>445</v>
      </c>
      <c r="K3486" s="25" t="s">
        <v>438</v>
      </c>
      <c r="L3486" s="25" t="s">
        <v>2</v>
      </c>
      <c r="M3486" s="25" t="s">
        <v>408</v>
      </c>
      <c r="N3486" s="25" t="s">
        <v>11</v>
      </c>
      <c r="O3486" s="25" t="s">
        <v>11</v>
      </c>
      <c r="P3486" s="25" t="s">
        <v>2</v>
      </c>
      <c r="Q3486" s="25" t="s">
        <v>408</v>
      </c>
      <c r="R3486" s="25" t="s">
        <v>439</v>
      </c>
      <c r="S3486" s="25" t="s">
        <v>440</v>
      </c>
      <c r="T3486" s="25" t="s">
        <v>11</v>
      </c>
      <c r="U3486" s="25" t="s">
        <v>408</v>
      </c>
    </row>
    <row r="3487" spans="1:21" x14ac:dyDescent="0.25">
      <c r="A3487" s="26">
        <v>26234354</v>
      </c>
      <c r="B3487" s="25" t="s">
        <v>342</v>
      </c>
      <c r="C3487" s="25" t="s">
        <v>13</v>
      </c>
      <c r="D3487" s="25" t="s">
        <v>12</v>
      </c>
      <c r="E3487" s="25" t="s">
        <v>639</v>
      </c>
      <c r="F3487" s="25" t="s">
        <v>662</v>
      </c>
      <c r="G3487" s="25" t="s">
        <v>369</v>
      </c>
      <c r="H3487" s="25" t="s">
        <v>1</v>
      </c>
      <c r="I3487" s="25" t="s">
        <v>469</v>
      </c>
      <c r="J3487" s="25" t="s">
        <v>445</v>
      </c>
      <c r="K3487" s="25" t="s">
        <v>438</v>
      </c>
      <c r="L3487" s="25" t="s">
        <v>2</v>
      </c>
      <c r="M3487" s="25" t="s">
        <v>408</v>
      </c>
      <c r="N3487" s="25" t="s">
        <v>11</v>
      </c>
      <c r="O3487" s="25" t="s">
        <v>11</v>
      </c>
      <c r="P3487" s="25" t="s">
        <v>2</v>
      </c>
      <c r="Q3487" s="25" t="s">
        <v>408</v>
      </c>
      <c r="R3487" s="25" t="s">
        <v>439</v>
      </c>
      <c r="S3487" s="25" t="s">
        <v>440</v>
      </c>
      <c r="T3487" s="25" t="s">
        <v>11</v>
      </c>
      <c r="U3487" s="25" t="s">
        <v>408</v>
      </c>
    </row>
    <row r="3488" spans="1:21" x14ac:dyDescent="0.25">
      <c r="A3488" s="26">
        <v>26234355</v>
      </c>
      <c r="B3488" s="25" t="s">
        <v>340</v>
      </c>
      <c r="C3488" s="25" t="s">
        <v>15</v>
      </c>
      <c r="D3488" s="25" t="s">
        <v>12</v>
      </c>
      <c r="E3488" s="25" t="s">
        <v>639</v>
      </c>
      <c r="F3488" s="25" t="s">
        <v>662</v>
      </c>
      <c r="G3488" s="25" t="s">
        <v>369</v>
      </c>
      <c r="H3488" s="25" t="s">
        <v>1</v>
      </c>
      <c r="I3488" s="25" t="s">
        <v>469</v>
      </c>
      <c r="J3488" s="25" t="s">
        <v>445</v>
      </c>
      <c r="K3488" s="25" t="s">
        <v>438</v>
      </c>
      <c r="L3488" s="25" t="s">
        <v>2</v>
      </c>
      <c r="M3488" s="25" t="s">
        <v>408</v>
      </c>
      <c r="N3488" s="25" t="s">
        <v>11</v>
      </c>
      <c r="O3488" s="25" t="s">
        <v>11</v>
      </c>
      <c r="P3488" s="25" t="s">
        <v>2</v>
      </c>
      <c r="Q3488" s="25" t="s">
        <v>408</v>
      </c>
      <c r="R3488" s="25" t="s">
        <v>439</v>
      </c>
      <c r="S3488" s="25" t="s">
        <v>440</v>
      </c>
      <c r="T3488" s="25" t="s">
        <v>11</v>
      </c>
      <c r="U3488" s="25" t="s">
        <v>408</v>
      </c>
    </row>
    <row r="3489" spans="1:21" x14ac:dyDescent="0.25">
      <c r="A3489" s="26">
        <v>26234356</v>
      </c>
      <c r="B3489" s="25" t="s">
        <v>342</v>
      </c>
      <c r="C3489" s="25" t="s">
        <v>13</v>
      </c>
      <c r="D3489" s="25" t="s">
        <v>12</v>
      </c>
      <c r="E3489" s="25" t="s">
        <v>639</v>
      </c>
      <c r="F3489" s="25" t="s">
        <v>662</v>
      </c>
      <c r="G3489" s="25" t="s">
        <v>369</v>
      </c>
      <c r="H3489" s="25" t="s">
        <v>5</v>
      </c>
      <c r="I3489" s="25" t="s">
        <v>436</v>
      </c>
      <c r="J3489" s="25" t="s">
        <v>446</v>
      </c>
      <c r="K3489" s="25" t="s">
        <v>438</v>
      </c>
      <c r="L3489" s="25" t="s">
        <v>2</v>
      </c>
      <c r="M3489" s="25" t="s">
        <v>408</v>
      </c>
      <c r="N3489" s="25" t="s">
        <v>11</v>
      </c>
      <c r="O3489" s="25" t="s">
        <v>11</v>
      </c>
      <c r="P3489" s="25" t="s">
        <v>2</v>
      </c>
      <c r="Q3489" s="25" t="s">
        <v>408</v>
      </c>
      <c r="R3489" s="25" t="s">
        <v>439</v>
      </c>
      <c r="S3489" s="25" t="s">
        <v>440</v>
      </c>
      <c r="T3489" s="25" t="s">
        <v>11</v>
      </c>
      <c r="U3489" s="25" t="s">
        <v>408</v>
      </c>
    </row>
    <row r="3490" spans="1:21" x14ac:dyDescent="0.25">
      <c r="A3490" s="26">
        <v>26234357</v>
      </c>
      <c r="B3490" s="25" t="s">
        <v>340</v>
      </c>
      <c r="C3490" s="25" t="s">
        <v>15</v>
      </c>
      <c r="D3490" s="25" t="s">
        <v>18</v>
      </c>
      <c r="E3490" s="25" t="s">
        <v>639</v>
      </c>
      <c r="F3490" s="25" t="s">
        <v>662</v>
      </c>
      <c r="G3490" s="25" t="s">
        <v>369</v>
      </c>
      <c r="H3490" s="25" t="s">
        <v>1</v>
      </c>
      <c r="I3490" s="25" t="s">
        <v>469</v>
      </c>
      <c r="J3490" s="25" t="s">
        <v>445</v>
      </c>
      <c r="K3490" s="25" t="s">
        <v>438</v>
      </c>
      <c r="L3490" s="25" t="s">
        <v>2</v>
      </c>
      <c r="M3490" s="25" t="s">
        <v>408</v>
      </c>
      <c r="N3490" s="25" t="s">
        <v>11</v>
      </c>
      <c r="O3490" s="25" t="s">
        <v>11</v>
      </c>
      <c r="P3490" s="25" t="s">
        <v>2</v>
      </c>
      <c r="Q3490" s="25" t="s">
        <v>408</v>
      </c>
      <c r="R3490" s="25" t="s">
        <v>439</v>
      </c>
      <c r="S3490" s="25" t="s">
        <v>440</v>
      </c>
      <c r="T3490" s="25" t="s">
        <v>11</v>
      </c>
      <c r="U3490" s="25" t="s">
        <v>408</v>
      </c>
    </row>
    <row r="3491" spans="1:21" x14ac:dyDescent="0.25">
      <c r="A3491" s="26">
        <v>26234358</v>
      </c>
      <c r="B3491" s="25" t="s">
        <v>342</v>
      </c>
      <c r="C3491" s="25" t="s">
        <v>13</v>
      </c>
      <c r="D3491" s="25" t="s">
        <v>12</v>
      </c>
      <c r="E3491" s="25" t="s">
        <v>639</v>
      </c>
      <c r="F3491" s="25" t="s">
        <v>662</v>
      </c>
      <c r="G3491" s="25" t="s">
        <v>369</v>
      </c>
      <c r="H3491" s="25" t="s">
        <v>1</v>
      </c>
      <c r="I3491" s="25" t="s">
        <v>469</v>
      </c>
      <c r="J3491" s="25" t="s">
        <v>445</v>
      </c>
      <c r="K3491" s="25" t="s">
        <v>438</v>
      </c>
      <c r="L3491" s="25" t="s">
        <v>2</v>
      </c>
      <c r="M3491" s="25" t="s">
        <v>408</v>
      </c>
      <c r="N3491" s="25" t="s">
        <v>11</v>
      </c>
      <c r="O3491" s="25" t="s">
        <v>11</v>
      </c>
      <c r="P3491" s="25" t="s">
        <v>2</v>
      </c>
      <c r="Q3491" s="25" t="s">
        <v>408</v>
      </c>
      <c r="R3491" s="25" t="s">
        <v>439</v>
      </c>
      <c r="S3491" s="25" t="s">
        <v>440</v>
      </c>
      <c r="T3491" s="25" t="s">
        <v>11</v>
      </c>
      <c r="U3491" s="25" t="s">
        <v>408</v>
      </c>
    </row>
    <row r="3492" spans="1:21" x14ac:dyDescent="0.25">
      <c r="A3492" s="26">
        <v>26234359</v>
      </c>
      <c r="B3492" s="25" t="s">
        <v>340</v>
      </c>
      <c r="C3492" s="25" t="s">
        <v>15</v>
      </c>
      <c r="D3492" s="25" t="s">
        <v>12</v>
      </c>
      <c r="E3492" s="25" t="s">
        <v>639</v>
      </c>
      <c r="F3492" s="25" t="s">
        <v>662</v>
      </c>
      <c r="G3492" s="25" t="s">
        <v>369</v>
      </c>
      <c r="H3492" s="25" t="s">
        <v>1</v>
      </c>
      <c r="I3492" s="25" t="s">
        <v>469</v>
      </c>
      <c r="J3492" s="25" t="s">
        <v>445</v>
      </c>
      <c r="K3492" s="25" t="s">
        <v>438</v>
      </c>
      <c r="L3492" s="25" t="s">
        <v>2</v>
      </c>
      <c r="M3492" s="25" t="s">
        <v>408</v>
      </c>
      <c r="N3492" s="25" t="s">
        <v>11</v>
      </c>
      <c r="O3492" s="25" t="s">
        <v>11</v>
      </c>
      <c r="P3492" s="25" t="s">
        <v>2</v>
      </c>
      <c r="Q3492" s="25" t="s">
        <v>408</v>
      </c>
      <c r="R3492" s="25" t="s">
        <v>439</v>
      </c>
      <c r="S3492" s="25" t="s">
        <v>440</v>
      </c>
      <c r="T3492" s="25" t="s">
        <v>11</v>
      </c>
      <c r="U3492" s="25" t="s">
        <v>408</v>
      </c>
    </row>
    <row r="3493" spans="1:21" x14ac:dyDescent="0.25">
      <c r="A3493" s="26">
        <v>26234360</v>
      </c>
      <c r="B3493" s="25" t="s">
        <v>340</v>
      </c>
      <c r="C3493" s="25" t="s">
        <v>15</v>
      </c>
      <c r="D3493" s="25" t="s">
        <v>12</v>
      </c>
      <c r="E3493" s="25" t="s">
        <v>639</v>
      </c>
      <c r="F3493" s="25" t="s">
        <v>662</v>
      </c>
      <c r="G3493" s="25" t="s">
        <v>369</v>
      </c>
      <c r="H3493" s="25" t="s">
        <v>1</v>
      </c>
      <c r="I3493" s="25" t="s">
        <v>469</v>
      </c>
      <c r="J3493" s="25" t="s">
        <v>445</v>
      </c>
      <c r="K3493" s="25" t="s">
        <v>438</v>
      </c>
      <c r="L3493" s="25" t="s">
        <v>2</v>
      </c>
      <c r="M3493" s="25" t="s">
        <v>408</v>
      </c>
      <c r="N3493" s="25" t="s">
        <v>11</v>
      </c>
      <c r="O3493" s="25" t="s">
        <v>11</v>
      </c>
      <c r="P3493" s="25" t="s">
        <v>2</v>
      </c>
      <c r="Q3493" s="25" t="s">
        <v>408</v>
      </c>
      <c r="R3493" s="25" t="s">
        <v>439</v>
      </c>
      <c r="S3493" s="25" t="s">
        <v>440</v>
      </c>
      <c r="T3493" s="25" t="s">
        <v>11</v>
      </c>
      <c r="U3493" s="25" t="s">
        <v>408</v>
      </c>
    </row>
    <row r="3494" spans="1:21" x14ac:dyDescent="0.25">
      <c r="A3494" s="26">
        <v>26234361</v>
      </c>
      <c r="B3494" s="25" t="s">
        <v>342</v>
      </c>
      <c r="C3494" s="25" t="s">
        <v>13</v>
      </c>
      <c r="D3494" s="25" t="s">
        <v>12</v>
      </c>
      <c r="E3494" s="25" t="s">
        <v>639</v>
      </c>
      <c r="F3494" s="25" t="s">
        <v>662</v>
      </c>
      <c r="G3494" s="25" t="s">
        <v>369</v>
      </c>
      <c r="H3494" s="25" t="s">
        <v>1</v>
      </c>
      <c r="I3494" s="25" t="s">
        <v>469</v>
      </c>
      <c r="J3494" s="25" t="s">
        <v>445</v>
      </c>
      <c r="K3494" s="25" t="s">
        <v>438</v>
      </c>
      <c r="L3494" s="25" t="s">
        <v>2</v>
      </c>
      <c r="M3494" s="25" t="s">
        <v>408</v>
      </c>
      <c r="N3494" s="25" t="s">
        <v>11</v>
      </c>
      <c r="O3494" s="25" t="s">
        <v>11</v>
      </c>
      <c r="P3494" s="25" t="s">
        <v>2</v>
      </c>
      <c r="Q3494" s="25" t="s">
        <v>408</v>
      </c>
      <c r="R3494" s="25" t="s">
        <v>439</v>
      </c>
      <c r="S3494" s="25" t="s">
        <v>440</v>
      </c>
      <c r="T3494" s="25" t="s">
        <v>11</v>
      </c>
      <c r="U3494" s="25" t="s">
        <v>408</v>
      </c>
    </row>
    <row r="3495" spans="1:21" x14ac:dyDescent="0.25">
      <c r="A3495" s="26">
        <v>26234362</v>
      </c>
      <c r="B3495" s="25" t="s">
        <v>342</v>
      </c>
      <c r="C3495" s="25" t="s">
        <v>13</v>
      </c>
      <c r="D3495" s="25" t="s">
        <v>12</v>
      </c>
      <c r="E3495" s="25" t="s">
        <v>639</v>
      </c>
      <c r="F3495" s="25" t="s">
        <v>662</v>
      </c>
      <c r="G3495" s="25" t="s">
        <v>369</v>
      </c>
      <c r="H3495" s="25" t="s">
        <v>1</v>
      </c>
      <c r="I3495" s="25" t="s">
        <v>469</v>
      </c>
      <c r="J3495" s="25" t="s">
        <v>445</v>
      </c>
      <c r="K3495" s="25" t="s">
        <v>438</v>
      </c>
      <c r="L3495" s="25" t="s">
        <v>2</v>
      </c>
      <c r="M3495" s="25" t="s">
        <v>408</v>
      </c>
      <c r="N3495" s="25" t="s">
        <v>11</v>
      </c>
      <c r="O3495" s="25" t="s">
        <v>11</v>
      </c>
      <c r="P3495" s="25" t="s">
        <v>2</v>
      </c>
      <c r="Q3495" s="25" t="s">
        <v>408</v>
      </c>
      <c r="R3495" s="25" t="s">
        <v>439</v>
      </c>
      <c r="S3495" s="25" t="s">
        <v>440</v>
      </c>
      <c r="T3495" s="25" t="s">
        <v>11</v>
      </c>
      <c r="U3495" s="25" t="s">
        <v>408</v>
      </c>
    </row>
    <row r="3496" spans="1:21" x14ac:dyDescent="0.25">
      <c r="A3496" s="26">
        <v>26234363</v>
      </c>
      <c r="B3496" s="25" t="s">
        <v>342</v>
      </c>
      <c r="C3496" s="25" t="s">
        <v>13</v>
      </c>
      <c r="D3496" s="25" t="s">
        <v>12</v>
      </c>
      <c r="E3496" s="25" t="s">
        <v>639</v>
      </c>
      <c r="F3496" s="25" t="s">
        <v>662</v>
      </c>
      <c r="G3496" s="25" t="s">
        <v>369</v>
      </c>
      <c r="H3496" s="25" t="s">
        <v>1</v>
      </c>
      <c r="I3496" s="25" t="s">
        <v>469</v>
      </c>
      <c r="J3496" s="25" t="s">
        <v>445</v>
      </c>
      <c r="K3496" s="25" t="s">
        <v>438</v>
      </c>
      <c r="L3496" s="25" t="s">
        <v>2</v>
      </c>
      <c r="M3496" s="25" t="s">
        <v>408</v>
      </c>
      <c r="N3496" s="25" t="s">
        <v>11</v>
      </c>
      <c r="O3496" s="25" t="s">
        <v>11</v>
      </c>
      <c r="P3496" s="25" t="s">
        <v>2</v>
      </c>
      <c r="Q3496" s="25" t="s">
        <v>408</v>
      </c>
      <c r="R3496" s="25" t="s">
        <v>439</v>
      </c>
      <c r="S3496" s="25" t="s">
        <v>440</v>
      </c>
      <c r="T3496" s="25" t="s">
        <v>11</v>
      </c>
      <c r="U3496" s="25" t="s">
        <v>408</v>
      </c>
    </row>
    <row r="3497" spans="1:21" x14ac:dyDescent="0.25">
      <c r="A3497" s="26">
        <v>26234364</v>
      </c>
      <c r="B3497" s="25" t="s">
        <v>340</v>
      </c>
      <c r="C3497" s="25" t="s">
        <v>15</v>
      </c>
      <c r="D3497" s="25" t="s">
        <v>12</v>
      </c>
      <c r="E3497" s="25" t="s">
        <v>639</v>
      </c>
      <c r="F3497" s="25" t="s">
        <v>662</v>
      </c>
      <c r="G3497" s="25" t="s">
        <v>369</v>
      </c>
      <c r="H3497" s="25" t="s">
        <v>1</v>
      </c>
      <c r="I3497" s="25" t="s">
        <v>469</v>
      </c>
      <c r="J3497" s="25" t="s">
        <v>445</v>
      </c>
      <c r="K3497" s="25" t="s">
        <v>438</v>
      </c>
      <c r="L3497" s="25" t="s">
        <v>2</v>
      </c>
      <c r="M3497" s="25" t="s">
        <v>408</v>
      </c>
      <c r="N3497" s="25" t="s">
        <v>11</v>
      </c>
      <c r="O3497" s="25" t="s">
        <v>11</v>
      </c>
      <c r="P3497" s="25" t="s">
        <v>2</v>
      </c>
      <c r="Q3497" s="25" t="s">
        <v>408</v>
      </c>
      <c r="R3497" s="25" t="s">
        <v>439</v>
      </c>
      <c r="S3497" s="25" t="s">
        <v>440</v>
      </c>
      <c r="T3497" s="25" t="s">
        <v>11</v>
      </c>
      <c r="U3497" s="25" t="s">
        <v>408</v>
      </c>
    </row>
    <row r="3498" spans="1:21" x14ac:dyDescent="0.25">
      <c r="A3498" s="26">
        <v>26234365</v>
      </c>
      <c r="B3498" s="25" t="s">
        <v>342</v>
      </c>
      <c r="C3498" s="25" t="s">
        <v>13</v>
      </c>
      <c r="D3498" s="25" t="s">
        <v>12</v>
      </c>
      <c r="E3498" s="25" t="s">
        <v>639</v>
      </c>
      <c r="F3498" s="25" t="s">
        <v>662</v>
      </c>
      <c r="G3498" s="25" t="s">
        <v>369</v>
      </c>
      <c r="H3498" s="25" t="s">
        <v>1</v>
      </c>
      <c r="I3498" s="25" t="s">
        <v>469</v>
      </c>
      <c r="J3498" s="25" t="s">
        <v>445</v>
      </c>
      <c r="K3498" s="25" t="s">
        <v>438</v>
      </c>
      <c r="L3498" s="25" t="s">
        <v>2</v>
      </c>
      <c r="M3498" s="25" t="s">
        <v>408</v>
      </c>
      <c r="N3498" s="25" t="s">
        <v>11</v>
      </c>
      <c r="O3498" s="25" t="s">
        <v>11</v>
      </c>
      <c r="P3498" s="25" t="s">
        <v>2</v>
      </c>
      <c r="Q3498" s="25" t="s">
        <v>408</v>
      </c>
      <c r="R3498" s="25" t="s">
        <v>439</v>
      </c>
      <c r="S3498" s="25" t="s">
        <v>440</v>
      </c>
      <c r="T3498" s="25" t="s">
        <v>11</v>
      </c>
      <c r="U3498" s="25" t="s">
        <v>408</v>
      </c>
    </row>
    <row r="3499" spans="1:21" x14ac:dyDescent="0.25">
      <c r="A3499" s="26">
        <v>26234366</v>
      </c>
      <c r="B3499" s="25" t="s">
        <v>342</v>
      </c>
      <c r="C3499" s="25" t="s">
        <v>13</v>
      </c>
      <c r="D3499" s="25" t="s">
        <v>12</v>
      </c>
      <c r="E3499" s="25" t="s">
        <v>639</v>
      </c>
      <c r="F3499" s="25" t="s">
        <v>662</v>
      </c>
      <c r="G3499" s="25" t="s">
        <v>369</v>
      </c>
      <c r="H3499" s="25" t="s">
        <v>1</v>
      </c>
      <c r="I3499" s="25" t="s">
        <v>469</v>
      </c>
      <c r="J3499" s="25" t="s">
        <v>445</v>
      </c>
      <c r="K3499" s="25" t="s">
        <v>438</v>
      </c>
      <c r="L3499" s="25" t="s">
        <v>2</v>
      </c>
      <c r="M3499" s="25" t="s">
        <v>408</v>
      </c>
      <c r="N3499" s="25" t="s">
        <v>11</v>
      </c>
      <c r="O3499" s="25" t="s">
        <v>11</v>
      </c>
      <c r="P3499" s="25" t="s">
        <v>2</v>
      </c>
      <c r="Q3499" s="25" t="s">
        <v>408</v>
      </c>
      <c r="R3499" s="25" t="s">
        <v>439</v>
      </c>
      <c r="S3499" s="25" t="s">
        <v>440</v>
      </c>
      <c r="T3499" s="25" t="s">
        <v>11</v>
      </c>
      <c r="U3499" s="25" t="s">
        <v>408</v>
      </c>
    </row>
    <row r="3500" spans="1:21" x14ac:dyDescent="0.25">
      <c r="A3500" s="26">
        <v>26234367</v>
      </c>
      <c r="B3500" s="25" t="s">
        <v>342</v>
      </c>
      <c r="C3500" s="25" t="s">
        <v>13</v>
      </c>
      <c r="D3500" s="25" t="s">
        <v>12</v>
      </c>
      <c r="E3500" s="25" t="s">
        <v>639</v>
      </c>
      <c r="F3500" s="25" t="s">
        <v>662</v>
      </c>
      <c r="G3500" s="25" t="s">
        <v>369</v>
      </c>
      <c r="H3500" s="25" t="s">
        <v>5</v>
      </c>
      <c r="I3500" s="25" t="s">
        <v>436</v>
      </c>
      <c r="J3500" s="25" t="s">
        <v>446</v>
      </c>
      <c r="K3500" s="25" t="s">
        <v>438</v>
      </c>
      <c r="L3500" s="25" t="s">
        <v>2</v>
      </c>
      <c r="M3500" s="25" t="s">
        <v>408</v>
      </c>
      <c r="N3500" s="25" t="s">
        <v>11</v>
      </c>
      <c r="O3500" s="25" t="s">
        <v>11</v>
      </c>
      <c r="P3500" s="25" t="s">
        <v>2</v>
      </c>
      <c r="Q3500" s="25" t="s">
        <v>408</v>
      </c>
      <c r="R3500" s="25" t="s">
        <v>439</v>
      </c>
      <c r="S3500" s="25" t="s">
        <v>440</v>
      </c>
      <c r="T3500" s="25" t="s">
        <v>11</v>
      </c>
      <c r="U3500" s="25" t="s">
        <v>408</v>
      </c>
    </row>
    <row r="3501" spans="1:21" x14ac:dyDescent="0.25">
      <c r="A3501" s="26">
        <v>26234368</v>
      </c>
      <c r="B3501" s="25" t="s">
        <v>342</v>
      </c>
      <c r="C3501" s="25" t="s">
        <v>13</v>
      </c>
      <c r="D3501" s="25" t="s">
        <v>12</v>
      </c>
      <c r="E3501" s="25" t="s">
        <v>639</v>
      </c>
      <c r="F3501" s="25" t="s">
        <v>662</v>
      </c>
      <c r="G3501" s="25" t="s">
        <v>369</v>
      </c>
      <c r="H3501" s="25" t="s">
        <v>1</v>
      </c>
      <c r="I3501" s="25" t="s">
        <v>469</v>
      </c>
      <c r="J3501" s="25" t="s">
        <v>445</v>
      </c>
      <c r="K3501" s="25" t="s">
        <v>438</v>
      </c>
      <c r="L3501" s="25" t="s">
        <v>2</v>
      </c>
      <c r="M3501" s="25" t="s">
        <v>408</v>
      </c>
      <c r="N3501" s="25" t="s">
        <v>11</v>
      </c>
      <c r="O3501" s="25" t="s">
        <v>11</v>
      </c>
      <c r="P3501" s="25" t="s">
        <v>2</v>
      </c>
      <c r="Q3501" s="25" t="s">
        <v>408</v>
      </c>
      <c r="R3501" s="25" t="s">
        <v>439</v>
      </c>
      <c r="S3501" s="25" t="s">
        <v>440</v>
      </c>
      <c r="T3501" s="25" t="s">
        <v>11</v>
      </c>
      <c r="U3501" s="25" t="s">
        <v>408</v>
      </c>
    </row>
    <row r="3502" spans="1:21" x14ac:dyDescent="0.25">
      <c r="A3502" s="26">
        <v>26234369</v>
      </c>
      <c r="B3502" s="25" t="s">
        <v>340</v>
      </c>
      <c r="C3502" s="25" t="s">
        <v>15</v>
      </c>
      <c r="D3502" s="25" t="s">
        <v>12</v>
      </c>
      <c r="E3502" s="25" t="s">
        <v>639</v>
      </c>
      <c r="F3502" s="25" t="s">
        <v>662</v>
      </c>
      <c r="G3502" s="25" t="s">
        <v>369</v>
      </c>
      <c r="H3502" s="25" t="s">
        <v>1</v>
      </c>
      <c r="I3502" s="25" t="s">
        <v>469</v>
      </c>
      <c r="J3502" s="25" t="s">
        <v>445</v>
      </c>
      <c r="K3502" s="25" t="s">
        <v>438</v>
      </c>
      <c r="L3502" s="25" t="s">
        <v>2</v>
      </c>
      <c r="M3502" s="25" t="s">
        <v>408</v>
      </c>
      <c r="N3502" s="25" t="s">
        <v>11</v>
      </c>
      <c r="O3502" s="25" t="s">
        <v>11</v>
      </c>
      <c r="P3502" s="25" t="s">
        <v>2</v>
      </c>
      <c r="Q3502" s="25" t="s">
        <v>408</v>
      </c>
      <c r="R3502" s="25" t="s">
        <v>439</v>
      </c>
      <c r="S3502" s="25" t="s">
        <v>440</v>
      </c>
      <c r="T3502" s="25" t="s">
        <v>11</v>
      </c>
      <c r="U3502" s="25" t="s">
        <v>408</v>
      </c>
    </row>
    <row r="3503" spans="1:21" x14ac:dyDescent="0.25">
      <c r="A3503" s="26">
        <v>26234370</v>
      </c>
      <c r="B3503" s="25" t="s">
        <v>342</v>
      </c>
      <c r="C3503" s="25" t="s">
        <v>13</v>
      </c>
      <c r="D3503" s="25" t="s">
        <v>12</v>
      </c>
      <c r="E3503" s="25" t="s">
        <v>638</v>
      </c>
      <c r="F3503" s="25" t="s">
        <v>577</v>
      </c>
      <c r="G3503" s="25" t="s">
        <v>369</v>
      </c>
      <c r="H3503" s="25" t="s">
        <v>5</v>
      </c>
      <c r="I3503" s="25" t="s">
        <v>436</v>
      </c>
      <c r="J3503" s="25" t="s">
        <v>446</v>
      </c>
      <c r="K3503" s="25" t="s">
        <v>438</v>
      </c>
      <c r="L3503" s="25" t="s">
        <v>2</v>
      </c>
      <c r="M3503" s="25" t="s">
        <v>408</v>
      </c>
      <c r="N3503" s="25" t="s">
        <v>11</v>
      </c>
      <c r="O3503" s="25" t="s">
        <v>11</v>
      </c>
      <c r="P3503" s="25" t="s">
        <v>2</v>
      </c>
      <c r="Q3503" s="25" t="s">
        <v>408</v>
      </c>
      <c r="R3503" s="25" t="s">
        <v>439</v>
      </c>
      <c r="S3503" s="25" t="s">
        <v>440</v>
      </c>
      <c r="T3503" s="25" t="s">
        <v>11</v>
      </c>
      <c r="U3503" s="25" t="s">
        <v>408</v>
      </c>
    </row>
    <row r="3504" spans="1:21" x14ac:dyDescent="0.25">
      <c r="A3504" s="26">
        <v>26234371</v>
      </c>
      <c r="B3504" s="25" t="s">
        <v>340</v>
      </c>
      <c r="C3504" s="25" t="s">
        <v>15</v>
      </c>
      <c r="D3504" s="25" t="s">
        <v>12</v>
      </c>
      <c r="E3504" s="25" t="s">
        <v>639</v>
      </c>
      <c r="F3504" s="25" t="s">
        <v>662</v>
      </c>
      <c r="G3504" s="25" t="s">
        <v>369</v>
      </c>
      <c r="H3504" s="25" t="s">
        <v>1</v>
      </c>
      <c r="I3504" s="25" t="s">
        <v>469</v>
      </c>
      <c r="J3504" s="25" t="s">
        <v>445</v>
      </c>
      <c r="K3504" s="25" t="s">
        <v>438</v>
      </c>
      <c r="L3504" s="25" t="s">
        <v>2</v>
      </c>
      <c r="M3504" s="25" t="s">
        <v>408</v>
      </c>
      <c r="N3504" s="25" t="s">
        <v>11</v>
      </c>
      <c r="O3504" s="25" t="s">
        <v>11</v>
      </c>
      <c r="P3504" s="25" t="s">
        <v>2</v>
      </c>
      <c r="Q3504" s="25" t="s">
        <v>408</v>
      </c>
      <c r="R3504" s="25" t="s">
        <v>439</v>
      </c>
      <c r="S3504" s="25" t="s">
        <v>440</v>
      </c>
      <c r="T3504" s="25" t="s">
        <v>11</v>
      </c>
      <c r="U3504" s="25" t="s">
        <v>408</v>
      </c>
    </row>
    <row r="3505" spans="1:21" x14ac:dyDescent="0.25">
      <c r="A3505" s="26">
        <v>26234372</v>
      </c>
      <c r="B3505" s="25" t="s">
        <v>340</v>
      </c>
      <c r="C3505" s="25" t="s">
        <v>15</v>
      </c>
      <c r="D3505" s="25" t="s">
        <v>12</v>
      </c>
      <c r="E3505" s="25" t="s">
        <v>638</v>
      </c>
      <c r="F3505" s="25" t="s">
        <v>663</v>
      </c>
      <c r="G3505" s="25" t="s">
        <v>369</v>
      </c>
      <c r="H3505" s="25" t="s">
        <v>1</v>
      </c>
      <c r="I3505" s="25" t="s">
        <v>469</v>
      </c>
      <c r="J3505" s="25" t="s">
        <v>445</v>
      </c>
      <c r="K3505" s="25" t="s">
        <v>438</v>
      </c>
      <c r="L3505" s="25" t="s">
        <v>2</v>
      </c>
      <c r="M3505" s="25" t="s">
        <v>408</v>
      </c>
      <c r="N3505" s="25" t="s">
        <v>11</v>
      </c>
      <c r="O3505" s="25" t="s">
        <v>11</v>
      </c>
      <c r="P3505" s="25" t="s">
        <v>2</v>
      </c>
      <c r="Q3505" s="25" t="s">
        <v>408</v>
      </c>
      <c r="R3505" s="25" t="s">
        <v>439</v>
      </c>
      <c r="S3505" s="25" t="s">
        <v>440</v>
      </c>
      <c r="T3505" s="25" t="s">
        <v>11</v>
      </c>
      <c r="U3505" s="25" t="s">
        <v>408</v>
      </c>
    </row>
    <row r="3506" spans="1:21" x14ac:dyDescent="0.25">
      <c r="A3506" s="26">
        <v>26234373</v>
      </c>
      <c r="B3506" s="25" t="s">
        <v>340</v>
      </c>
      <c r="C3506" s="25" t="s">
        <v>15</v>
      </c>
      <c r="D3506" s="25" t="s">
        <v>12</v>
      </c>
      <c r="E3506" s="25" t="s">
        <v>638</v>
      </c>
      <c r="F3506" s="25" t="s">
        <v>663</v>
      </c>
      <c r="G3506" s="25" t="s">
        <v>369</v>
      </c>
      <c r="H3506" s="25" t="s">
        <v>1</v>
      </c>
      <c r="I3506" s="25" t="s">
        <v>469</v>
      </c>
      <c r="J3506" s="25" t="s">
        <v>445</v>
      </c>
      <c r="K3506" s="25" t="s">
        <v>438</v>
      </c>
      <c r="L3506" s="25" t="s">
        <v>2</v>
      </c>
      <c r="M3506" s="25" t="s">
        <v>408</v>
      </c>
      <c r="N3506" s="25" t="s">
        <v>11</v>
      </c>
      <c r="O3506" s="25" t="s">
        <v>11</v>
      </c>
      <c r="P3506" s="25" t="s">
        <v>2</v>
      </c>
      <c r="Q3506" s="25" t="s">
        <v>408</v>
      </c>
      <c r="R3506" s="25" t="s">
        <v>439</v>
      </c>
      <c r="S3506" s="25" t="s">
        <v>440</v>
      </c>
      <c r="T3506" s="25" t="s">
        <v>11</v>
      </c>
      <c r="U3506" s="25" t="s">
        <v>408</v>
      </c>
    </row>
    <row r="3507" spans="1:21" x14ac:dyDescent="0.25">
      <c r="A3507" s="26">
        <v>26234374</v>
      </c>
      <c r="B3507" s="25" t="s">
        <v>340</v>
      </c>
      <c r="C3507" s="25" t="s">
        <v>15</v>
      </c>
      <c r="D3507" s="25" t="s">
        <v>18</v>
      </c>
      <c r="E3507" s="25" t="s">
        <v>638</v>
      </c>
      <c r="F3507" s="25" t="s">
        <v>663</v>
      </c>
      <c r="G3507" s="25" t="s">
        <v>369</v>
      </c>
      <c r="H3507" s="25" t="s">
        <v>1</v>
      </c>
      <c r="I3507" s="25" t="s">
        <v>469</v>
      </c>
      <c r="J3507" s="25" t="s">
        <v>445</v>
      </c>
      <c r="K3507" s="25" t="s">
        <v>438</v>
      </c>
      <c r="L3507" s="25" t="s">
        <v>2</v>
      </c>
      <c r="M3507" s="25" t="s">
        <v>408</v>
      </c>
      <c r="N3507" s="25" t="s">
        <v>11</v>
      </c>
      <c r="O3507" s="25" t="s">
        <v>11</v>
      </c>
      <c r="P3507" s="25" t="s">
        <v>2</v>
      </c>
      <c r="Q3507" s="25" t="s">
        <v>408</v>
      </c>
      <c r="R3507" s="25" t="s">
        <v>439</v>
      </c>
      <c r="S3507" s="25" t="s">
        <v>440</v>
      </c>
      <c r="T3507" s="25" t="s">
        <v>11</v>
      </c>
      <c r="U3507" s="25" t="s">
        <v>408</v>
      </c>
    </row>
    <row r="3508" spans="1:21" x14ac:dyDescent="0.25">
      <c r="A3508" s="26">
        <v>26234375</v>
      </c>
      <c r="B3508" s="25" t="s">
        <v>340</v>
      </c>
      <c r="C3508" s="25" t="s">
        <v>15</v>
      </c>
      <c r="D3508" s="25" t="s">
        <v>12</v>
      </c>
      <c r="E3508" s="25" t="s">
        <v>638</v>
      </c>
      <c r="F3508" s="25" t="s">
        <v>663</v>
      </c>
      <c r="G3508" s="25" t="s">
        <v>369</v>
      </c>
      <c r="H3508" s="25" t="s">
        <v>5</v>
      </c>
      <c r="I3508" s="25" t="s">
        <v>436</v>
      </c>
      <c r="J3508" s="25" t="s">
        <v>446</v>
      </c>
      <c r="K3508" s="25" t="s">
        <v>438</v>
      </c>
      <c r="L3508" s="25" t="s">
        <v>2</v>
      </c>
      <c r="M3508" s="25" t="s">
        <v>408</v>
      </c>
      <c r="N3508" s="25" t="s">
        <v>11</v>
      </c>
      <c r="O3508" s="25" t="s">
        <v>11</v>
      </c>
      <c r="P3508" s="25" t="s">
        <v>2</v>
      </c>
      <c r="Q3508" s="25" t="s">
        <v>408</v>
      </c>
      <c r="R3508" s="25" t="s">
        <v>439</v>
      </c>
      <c r="S3508" s="25" t="s">
        <v>440</v>
      </c>
      <c r="T3508" s="25" t="s">
        <v>11</v>
      </c>
      <c r="U3508" s="25" t="s">
        <v>408</v>
      </c>
    </row>
    <row r="3509" spans="1:21" x14ac:dyDescent="0.25">
      <c r="A3509" s="26">
        <v>26234376</v>
      </c>
      <c r="B3509" s="25" t="s">
        <v>340</v>
      </c>
      <c r="C3509" s="25" t="s">
        <v>15</v>
      </c>
      <c r="D3509" s="25" t="s">
        <v>12</v>
      </c>
      <c r="E3509" s="25" t="s">
        <v>638</v>
      </c>
      <c r="F3509" s="25" t="s">
        <v>663</v>
      </c>
      <c r="G3509" s="25" t="s">
        <v>369</v>
      </c>
      <c r="H3509" s="25" t="s">
        <v>1</v>
      </c>
      <c r="I3509" s="25" t="s">
        <v>469</v>
      </c>
      <c r="J3509" s="25" t="s">
        <v>445</v>
      </c>
      <c r="K3509" s="25" t="s">
        <v>438</v>
      </c>
      <c r="L3509" s="25" t="s">
        <v>2</v>
      </c>
      <c r="M3509" s="25" t="s">
        <v>408</v>
      </c>
      <c r="N3509" s="25" t="s">
        <v>11</v>
      </c>
      <c r="O3509" s="25" t="s">
        <v>11</v>
      </c>
      <c r="P3509" s="25" t="s">
        <v>2</v>
      </c>
      <c r="Q3509" s="25" t="s">
        <v>408</v>
      </c>
      <c r="R3509" s="25" t="s">
        <v>439</v>
      </c>
      <c r="S3509" s="25" t="s">
        <v>440</v>
      </c>
      <c r="T3509" s="25" t="s">
        <v>11</v>
      </c>
      <c r="U3509" s="25" t="s">
        <v>408</v>
      </c>
    </row>
    <row r="3510" spans="1:21" x14ac:dyDescent="0.25">
      <c r="A3510" s="26">
        <v>26234377</v>
      </c>
      <c r="B3510" s="25" t="s">
        <v>340</v>
      </c>
      <c r="C3510" s="25" t="s">
        <v>15</v>
      </c>
      <c r="D3510" s="25" t="s">
        <v>12</v>
      </c>
      <c r="E3510" s="25" t="s">
        <v>638</v>
      </c>
      <c r="F3510" s="25" t="s">
        <v>663</v>
      </c>
      <c r="G3510" s="25" t="s">
        <v>369</v>
      </c>
      <c r="H3510" s="25" t="s">
        <v>1</v>
      </c>
      <c r="I3510" s="25" t="s">
        <v>469</v>
      </c>
      <c r="J3510" s="25" t="s">
        <v>445</v>
      </c>
      <c r="K3510" s="25" t="s">
        <v>438</v>
      </c>
      <c r="L3510" s="25" t="s">
        <v>2</v>
      </c>
      <c r="M3510" s="25" t="s">
        <v>408</v>
      </c>
      <c r="N3510" s="25" t="s">
        <v>11</v>
      </c>
      <c r="O3510" s="25" t="s">
        <v>11</v>
      </c>
      <c r="P3510" s="25" t="s">
        <v>2</v>
      </c>
      <c r="Q3510" s="25" t="s">
        <v>408</v>
      </c>
      <c r="R3510" s="25" t="s">
        <v>439</v>
      </c>
      <c r="S3510" s="25" t="s">
        <v>440</v>
      </c>
      <c r="T3510" s="25" t="s">
        <v>11</v>
      </c>
      <c r="U3510" s="25" t="s">
        <v>408</v>
      </c>
    </row>
    <row r="3511" spans="1:21" x14ac:dyDescent="0.25">
      <c r="A3511" s="26">
        <v>26234378</v>
      </c>
      <c r="B3511" s="25" t="s">
        <v>342</v>
      </c>
      <c r="C3511" s="25" t="s">
        <v>13</v>
      </c>
      <c r="D3511" s="25" t="s">
        <v>12</v>
      </c>
      <c r="E3511" s="25" t="s">
        <v>638</v>
      </c>
      <c r="F3511" s="25" t="s">
        <v>663</v>
      </c>
      <c r="G3511" s="25" t="s">
        <v>369</v>
      </c>
      <c r="H3511" s="25" t="s">
        <v>1</v>
      </c>
      <c r="I3511" s="25" t="s">
        <v>469</v>
      </c>
      <c r="J3511" s="25" t="s">
        <v>445</v>
      </c>
      <c r="K3511" s="25" t="s">
        <v>438</v>
      </c>
      <c r="L3511" s="25" t="s">
        <v>2</v>
      </c>
      <c r="M3511" s="25" t="s">
        <v>408</v>
      </c>
      <c r="N3511" s="25" t="s">
        <v>11</v>
      </c>
      <c r="O3511" s="25" t="s">
        <v>11</v>
      </c>
      <c r="P3511" s="25" t="s">
        <v>2</v>
      </c>
      <c r="Q3511" s="25" t="s">
        <v>408</v>
      </c>
      <c r="R3511" s="25" t="s">
        <v>439</v>
      </c>
      <c r="S3511" s="25" t="s">
        <v>440</v>
      </c>
      <c r="T3511" s="25" t="s">
        <v>11</v>
      </c>
      <c r="U3511" s="25" t="s">
        <v>408</v>
      </c>
    </row>
    <row r="3512" spans="1:21" x14ac:dyDescent="0.25">
      <c r="A3512" s="26">
        <v>26234379</v>
      </c>
      <c r="B3512" s="25" t="s">
        <v>342</v>
      </c>
      <c r="C3512" s="25" t="s">
        <v>13</v>
      </c>
      <c r="D3512" s="25" t="s">
        <v>12</v>
      </c>
      <c r="E3512" s="25" t="s">
        <v>638</v>
      </c>
      <c r="F3512" s="25" t="s">
        <v>663</v>
      </c>
      <c r="G3512" s="25" t="s">
        <v>369</v>
      </c>
      <c r="H3512" s="25" t="s">
        <v>2</v>
      </c>
      <c r="I3512" s="25" t="s">
        <v>436</v>
      </c>
      <c r="J3512" s="25" t="s">
        <v>443</v>
      </c>
      <c r="K3512" s="25" t="s">
        <v>444</v>
      </c>
      <c r="L3512" s="25" t="s">
        <v>345</v>
      </c>
      <c r="M3512" s="25" t="s">
        <v>408</v>
      </c>
      <c r="N3512" s="25" t="s">
        <v>11</v>
      </c>
      <c r="O3512" s="25" t="s">
        <v>11</v>
      </c>
      <c r="P3512" s="25" t="s">
        <v>2</v>
      </c>
      <c r="Q3512" s="25" t="s">
        <v>408</v>
      </c>
      <c r="R3512" s="25" t="s">
        <v>439</v>
      </c>
      <c r="S3512" s="25" t="s">
        <v>440</v>
      </c>
      <c r="T3512" s="25" t="s">
        <v>11</v>
      </c>
      <c r="U3512" s="25" t="s">
        <v>408</v>
      </c>
    </row>
    <row r="3513" spans="1:21" x14ac:dyDescent="0.25">
      <c r="A3513" s="26">
        <v>26234380</v>
      </c>
      <c r="B3513" s="25" t="s">
        <v>342</v>
      </c>
      <c r="C3513" s="25" t="s">
        <v>13</v>
      </c>
      <c r="D3513" s="25" t="s">
        <v>12</v>
      </c>
      <c r="E3513" s="25" t="s">
        <v>638</v>
      </c>
      <c r="F3513" s="25" t="s">
        <v>663</v>
      </c>
      <c r="G3513" s="25" t="s">
        <v>369</v>
      </c>
      <c r="H3513" s="25" t="s">
        <v>1</v>
      </c>
      <c r="I3513" s="25" t="s">
        <v>469</v>
      </c>
      <c r="J3513" s="25" t="s">
        <v>445</v>
      </c>
      <c r="K3513" s="25" t="s">
        <v>438</v>
      </c>
      <c r="L3513" s="25" t="s">
        <v>2</v>
      </c>
      <c r="M3513" s="25" t="s">
        <v>408</v>
      </c>
      <c r="N3513" s="25" t="s">
        <v>11</v>
      </c>
      <c r="O3513" s="25" t="s">
        <v>11</v>
      </c>
      <c r="P3513" s="25" t="s">
        <v>2</v>
      </c>
      <c r="Q3513" s="25" t="s">
        <v>408</v>
      </c>
      <c r="R3513" s="25" t="s">
        <v>439</v>
      </c>
      <c r="S3513" s="25" t="s">
        <v>440</v>
      </c>
      <c r="T3513" s="25" t="s">
        <v>11</v>
      </c>
      <c r="U3513" s="25" t="s">
        <v>408</v>
      </c>
    </row>
    <row r="3514" spans="1:21" x14ac:dyDescent="0.25">
      <c r="A3514" s="26">
        <v>26234381</v>
      </c>
      <c r="B3514" s="25" t="s">
        <v>342</v>
      </c>
      <c r="C3514" s="25" t="s">
        <v>13</v>
      </c>
      <c r="D3514" s="25" t="s">
        <v>18</v>
      </c>
      <c r="E3514" s="25" t="s">
        <v>638</v>
      </c>
      <c r="F3514" s="25" t="s">
        <v>577</v>
      </c>
      <c r="G3514" s="25" t="s">
        <v>369</v>
      </c>
      <c r="H3514" s="25" t="s">
        <v>2</v>
      </c>
      <c r="I3514" s="25" t="s">
        <v>436</v>
      </c>
      <c r="J3514" s="25" t="s">
        <v>443</v>
      </c>
      <c r="K3514" s="25" t="s">
        <v>444</v>
      </c>
      <c r="L3514" s="25" t="s">
        <v>345</v>
      </c>
      <c r="M3514" s="25" t="s">
        <v>408</v>
      </c>
      <c r="N3514" s="25" t="s">
        <v>11</v>
      </c>
      <c r="O3514" s="25" t="s">
        <v>11</v>
      </c>
      <c r="P3514" s="25" t="s">
        <v>2</v>
      </c>
      <c r="Q3514" s="25" t="s">
        <v>408</v>
      </c>
      <c r="R3514" s="25" t="s">
        <v>439</v>
      </c>
      <c r="S3514" s="25" t="s">
        <v>440</v>
      </c>
      <c r="T3514" s="25" t="s">
        <v>11</v>
      </c>
      <c r="U3514" s="25" t="s">
        <v>408</v>
      </c>
    </row>
    <row r="3515" spans="1:21" x14ac:dyDescent="0.25">
      <c r="A3515" s="26">
        <v>26234382</v>
      </c>
      <c r="B3515" s="25" t="s">
        <v>340</v>
      </c>
      <c r="C3515" s="25" t="s">
        <v>15</v>
      </c>
      <c r="D3515" s="25" t="s">
        <v>12</v>
      </c>
      <c r="E3515" s="25" t="s">
        <v>638</v>
      </c>
      <c r="F3515" s="25" t="s">
        <v>577</v>
      </c>
      <c r="G3515" s="25" t="s">
        <v>369</v>
      </c>
      <c r="H3515" s="25" t="s">
        <v>5</v>
      </c>
      <c r="I3515" s="25" t="s">
        <v>436</v>
      </c>
      <c r="J3515" s="25" t="s">
        <v>446</v>
      </c>
      <c r="K3515" s="25" t="s">
        <v>438</v>
      </c>
      <c r="L3515" s="25" t="s">
        <v>2</v>
      </c>
      <c r="M3515" s="25" t="s">
        <v>408</v>
      </c>
      <c r="N3515" s="25" t="s">
        <v>11</v>
      </c>
      <c r="O3515" s="25" t="s">
        <v>11</v>
      </c>
      <c r="P3515" s="25" t="s">
        <v>2</v>
      </c>
      <c r="Q3515" s="25" t="s">
        <v>408</v>
      </c>
      <c r="R3515" s="25" t="s">
        <v>439</v>
      </c>
      <c r="S3515" s="25" t="s">
        <v>440</v>
      </c>
      <c r="T3515" s="25" t="s">
        <v>11</v>
      </c>
      <c r="U3515" s="25" t="s">
        <v>408</v>
      </c>
    </row>
    <row r="3516" spans="1:21" x14ac:dyDescent="0.25">
      <c r="A3516" s="26">
        <v>26234383</v>
      </c>
      <c r="B3516" s="25" t="s">
        <v>340</v>
      </c>
      <c r="C3516" s="25" t="s">
        <v>15</v>
      </c>
      <c r="D3516" s="25" t="s">
        <v>12</v>
      </c>
      <c r="E3516" s="25" t="s">
        <v>639</v>
      </c>
      <c r="F3516" s="25" t="s">
        <v>583</v>
      </c>
      <c r="G3516" s="25" t="s">
        <v>369</v>
      </c>
      <c r="H3516" s="25" t="s">
        <v>1</v>
      </c>
      <c r="I3516" s="25" t="s">
        <v>469</v>
      </c>
      <c r="J3516" s="25" t="s">
        <v>445</v>
      </c>
      <c r="K3516" s="25" t="s">
        <v>438</v>
      </c>
      <c r="L3516" s="25" t="s">
        <v>2</v>
      </c>
      <c r="M3516" s="25" t="s">
        <v>408</v>
      </c>
      <c r="N3516" s="25" t="s">
        <v>11</v>
      </c>
      <c r="O3516" s="25" t="s">
        <v>11</v>
      </c>
      <c r="P3516" s="25" t="s">
        <v>2</v>
      </c>
      <c r="Q3516" s="25" t="s">
        <v>408</v>
      </c>
      <c r="R3516" s="25" t="s">
        <v>439</v>
      </c>
      <c r="S3516" s="25" t="s">
        <v>440</v>
      </c>
      <c r="T3516" s="25" t="s">
        <v>11</v>
      </c>
      <c r="U3516" s="25" t="s">
        <v>408</v>
      </c>
    </row>
    <row r="3517" spans="1:21" x14ac:dyDescent="0.25">
      <c r="A3517" s="26">
        <v>26234384</v>
      </c>
      <c r="B3517" s="25" t="s">
        <v>342</v>
      </c>
      <c r="C3517" s="25" t="s">
        <v>13</v>
      </c>
      <c r="D3517" s="25" t="s">
        <v>12</v>
      </c>
      <c r="E3517" s="25" t="s">
        <v>638</v>
      </c>
      <c r="F3517" s="25" t="s">
        <v>577</v>
      </c>
      <c r="G3517" s="25" t="s">
        <v>369</v>
      </c>
      <c r="H3517" s="25" t="s">
        <v>1</v>
      </c>
      <c r="I3517" s="25" t="s">
        <v>469</v>
      </c>
      <c r="J3517" s="25" t="s">
        <v>445</v>
      </c>
      <c r="K3517" s="25" t="s">
        <v>438</v>
      </c>
      <c r="L3517" s="25" t="s">
        <v>2</v>
      </c>
      <c r="M3517" s="25" t="s">
        <v>408</v>
      </c>
      <c r="N3517" s="25" t="s">
        <v>11</v>
      </c>
      <c r="O3517" s="25" t="s">
        <v>11</v>
      </c>
      <c r="P3517" s="25" t="s">
        <v>2</v>
      </c>
      <c r="Q3517" s="25" t="s">
        <v>408</v>
      </c>
      <c r="R3517" s="25" t="s">
        <v>439</v>
      </c>
      <c r="S3517" s="25" t="s">
        <v>440</v>
      </c>
      <c r="T3517" s="25" t="s">
        <v>11</v>
      </c>
      <c r="U3517" s="25" t="s">
        <v>408</v>
      </c>
    </row>
    <row r="3518" spans="1:21" x14ac:dyDescent="0.25">
      <c r="A3518" s="26">
        <v>26234385</v>
      </c>
      <c r="B3518" s="25" t="s">
        <v>340</v>
      </c>
      <c r="C3518" s="25" t="s">
        <v>15</v>
      </c>
      <c r="D3518" s="25" t="s">
        <v>12</v>
      </c>
      <c r="E3518" s="25" t="s">
        <v>639</v>
      </c>
      <c r="F3518" s="25" t="s">
        <v>662</v>
      </c>
      <c r="G3518" s="25" t="s">
        <v>369</v>
      </c>
      <c r="H3518" s="25" t="s">
        <v>2</v>
      </c>
      <c r="I3518" s="25" t="s">
        <v>436</v>
      </c>
      <c r="J3518" s="25" t="s">
        <v>443</v>
      </c>
      <c r="K3518" s="25" t="s">
        <v>444</v>
      </c>
      <c r="L3518" s="25" t="s">
        <v>345</v>
      </c>
      <c r="M3518" s="25" t="s">
        <v>408</v>
      </c>
      <c r="N3518" s="25" t="s">
        <v>11</v>
      </c>
      <c r="O3518" s="25" t="s">
        <v>11</v>
      </c>
      <c r="P3518" s="25" t="s">
        <v>2</v>
      </c>
      <c r="Q3518" s="25" t="s">
        <v>408</v>
      </c>
      <c r="R3518" s="25" t="s">
        <v>439</v>
      </c>
      <c r="S3518" s="25" t="s">
        <v>440</v>
      </c>
      <c r="T3518" s="25" t="s">
        <v>11</v>
      </c>
      <c r="U3518" s="25" t="s">
        <v>408</v>
      </c>
    </row>
    <row r="3519" spans="1:21" x14ac:dyDescent="0.25">
      <c r="A3519" s="26">
        <v>26234386</v>
      </c>
      <c r="B3519" s="25" t="s">
        <v>340</v>
      </c>
      <c r="C3519" s="25" t="s">
        <v>15</v>
      </c>
      <c r="D3519" s="25" t="s">
        <v>12</v>
      </c>
      <c r="E3519" s="25" t="s">
        <v>639</v>
      </c>
      <c r="F3519" s="25" t="s">
        <v>662</v>
      </c>
      <c r="G3519" s="25" t="s">
        <v>369</v>
      </c>
      <c r="H3519" s="25" t="s">
        <v>1</v>
      </c>
      <c r="I3519" s="25" t="s">
        <v>469</v>
      </c>
      <c r="J3519" s="25" t="s">
        <v>445</v>
      </c>
      <c r="K3519" s="25" t="s">
        <v>438</v>
      </c>
      <c r="L3519" s="25" t="s">
        <v>2</v>
      </c>
      <c r="M3519" s="25" t="s">
        <v>408</v>
      </c>
      <c r="N3519" s="25" t="s">
        <v>11</v>
      </c>
      <c r="O3519" s="25" t="s">
        <v>11</v>
      </c>
      <c r="P3519" s="25" t="s">
        <v>2</v>
      </c>
      <c r="Q3519" s="25" t="s">
        <v>408</v>
      </c>
      <c r="R3519" s="25" t="s">
        <v>439</v>
      </c>
      <c r="S3519" s="25" t="s">
        <v>440</v>
      </c>
      <c r="T3519" s="25" t="s">
        <v>11</v>
      </c>
      <c r="U3519" s="25" t="s">
        <v>408</v>
      </c>
    </row>
    <row r="3520" spans="1:21" x14ac:dyDescent="0.25">
      <c r="A3520" s="26">
        <v>26234387</v>
      </c>
      <c r="B3520" s="25" t="s">
        <v>342</v>
      </c>
      <c r="C3520" s="25" t="s">
        <v>13</v>
      </c>
      <c r="D3520" s="25" t="s">
        <v>12</v>
      </c>
      <c r="E3520" s="25" t="s">
        <v>639</v>
      </c>
      <c r="F3520" s="25" t="s">
        <v>662</v>
      </c>
      <c r="G3520" s="25" t="s">
        <v>369</v>
      </c>
      <c r="H3520" s="25" t="s">
        <v>5</v>
      </c>
      <c r="I3520" s="25" t="s">
        <v>436</v>
      </c>
      <c r="J3520" s="25" t="s">
        <v>446</v>
      </c>
      <c r="K3520" s="25" t="s">
        <v>438</v>
      </c>
      <c r="L3520" s="25" t="s">
        <v>2</v>
      </c>
      <c r="M3520" s="25" t="s">
        <v>408</v>
      </c>
      <c r="N3520" s="25" t="s">
        <v>11</v>
      </c>
      <c r="O3520" s="25" t="s">
        <v>11</v>
      </c>
      <c r="P3520" s="25" t="s">
        <v>2</v>
      </c>
      <c r="Q3520" s="25" t="s">
        <v>408</v>
      </c>
      <c r="R3520" s="25" t="s">
        <v>439</v>
      </c>
      <c r="S3520" s="25" t="s">
        <v>440</v>
      </c>
      <c r="T3520" s="25" t="s">
        <v>11</v>
      </c>
      <c r="U3520" s="25" t="s">
        <v>408</v>
      </c>
    </row>
    <row r="3521" spans="1:21" x14ac:dyDescent="0.25">
      <c r="A3521" s="26">
        <v>26234388</v>
      </c>
      <c r="B3521" s="25" t="s">
        <v>340</v>
      </c>
      <c r="C3521" s="25" t="s">
        <v>15</v>
      </c>
      <c r="D3521" s="25" t="s">
        <v>12</v>
      </c>
      <c r="E3521" s="25" t="s">
        <v>639</v>
      </c>
      <c r="F3521" s="25" t="s">
        <v>662</v>
      </c>
      <c r="G3521" s="25" t="s">
        <v>369</v>
      </c>
      <c r="H3521" s="25" t="s">
        <v>1</v>
      </c>
      <c r="I3521" s="25" t="s">
        <v>469</v>
      </c>
      <c r="J3521" s="25" t="s">
        <v>445</v>
      </c>
      <c r="K3521" s="25" t="s">
        <v>438</v>
      </c>
      <c r="L3521" s="25" t="s">
        <v>2</v>
      </c>
      <c r="M3521" s="25" t="s">
        <v>408</v>
      </c>
      <c r="N3521" s="25" t="s">
        <v>11</v>
      </c>
      <c r="O3521" s="25" t="s">
        <v>11</v>
      </c>
      <c r="P3521" s="25" t="s">
        <v>2</v>
      </c>
      <c r="Q3521" s="25" t="s">
        <v>408</v>
      </c>
      <c r="R3521" s="25" t="s">
        <v>439</v>
      </c>
      <c r="S3521" s="25" t="s">
        <v>440</v>
      </c>
      <c r="T3521" s="25" t="s">
        <v>11</v>
      </c>
      <c r="U3521" s="25" t="s">
        <v>408</v>
      </c>
    </row>
    <row r="3522" spans="1:21" x14ac:dyDescent="0.25">
      <c r="A3522" s="26">
        <v>26234389</v>
      </c>
      <c r="B3522" s="25" t="s">
        <v>342</v>
      </c>
      <c r="C3522" s="25" t="s">
        <v>13</v>
      </c>
      <c r="D3522" s="25" t="s">
        <v>12</v>
      </c>
      <c r="E3522" s="25" t="s">
        <v>639</v>
      </c>
      <c r="F3522" s="25" t="s">
        <v>662</v>
      </c>
      <c r="G3522" s="25" t="s">
        <v>369</v>
      </c>
      <c r="H3522" s="25" t="s">
        <v>1</v>
      </c>
      <c r="I3522" s="25" t="s">
        <v>469</v>
      </c>
      <c r="J3522" s="25" t="s">
        <v>445</v>
      </c>
      <c r="K3522" s="25" t="s">
        <v>438</v>
      </c>
      <c r="L3522" s="25" t="s">
        <v>2</v>
      </c>
      <c r="M3522" s="25" t="s">
        <v>408</v>
      </c>
      <c r="N3522" s="25" t="s">
        <v>11</v>
      </c>
      <c r="O3522" s="25" t="s">
        <v>11</v>
      </c>
      <c r="P3522" s="25" t="s">
        <v>2</v>
      </c>
      <c r="Q3522" s="25" t="s">
        <v>408</v>
      </c>
      <c r="R3522" s="25" t="s">
        <v>439</v>
      </c>
      <c r="S3522" s="25" t="s">
        <v>440</v>
      </c>
      <c r="T3522" s="25" t="s">
        <v>11</v>
      </c>
      <c r="U3522" s="25" t="s">
        <v>408</v>
      </c>
    </row>
    <row r="3523" spans="1:21" x14ac:dyDescent="0.25">
      <c r="A3523" s="26">
        <v>26234390</v>
      </c>
      <c r="B3523" s="25" t="s">
        <v>340</v>
      </c>
      <c r="C3523" s="25" t="s">
        <v>15</v>
      </c>
      <c r="D3523" s="25" t="s">
        <v>12</v>
      </c>
      <c r="E3523" s="25" t="s">
        <v>639</v>
      </c>
      <c r="F3523" s="25" t="s">
        <v>662</v>
      </c>
      <c r="G3523" s="25" t="s">
        <v>369</v>
      </c>
      <c r="H3523" s="25" t="s">
        <v>5</v>
      </c>
      <c r="I3523" s="25" t="s">
        <v>436</v>
      </c>
      <c r="J3523" s="25" t="s">
        <v>446</v>
      </c>
      <c r="K3523" s="25" t="s">
        <v>438</v>
      </c>
      <c r="L3523" s="25" t="s">
        <v>2</v>
      </c>
      <c r="M3523" s="25" t="s">
        <v>408</v>
      </c>
      <c r="N3523" s="25" t="s">
        <v>11</v>
      </c>
      <c r="O3523" s="25" t="s">
        <v>11</v>
      </c>
      <c r="P3523" s="25" t="s">
        <v>2</v>
      </c>
      <c r="Q3523" s="25" t="s">
        <v>408</v>
      </c>
      <c r="R3523" s="25" t="s">
        <v>439</v>
      </c>
      <c r="S3523" s="25" t="s">
        <v>440</v>
      </c>
      <c r="T3523" s="25" t="s">
        <v>11</v>
      </c>
      <c r="U3523" s="25" t="s">
        <v>408</v>
      </c>
    </row>
    <row r="3524" spans="1:21" x14ac:dyDescent="0.25">
      <c r="A3524" s="26">
        <v>26234391</v>
      </c>
      <c r="B3524" s="25" t="s">
        <v>340</v>
      </c>
      <c r="C3524" s="25" t="s">
        <v>15</v>
      </c>
      <c r="D3524" s="25" t="s">
        <v>12</v>
      </c>
      <c r="E3524" s="25" t="s">
        <v>639</v>
      </c>
      <c r="F3524" s="25" t="s">
        <v>662</v>
      </c>
      <c r="G3524" s="25" t="s">
        <v>369</v>
      </c>
      <c r="H3524" s="25" t="s">
        <v>1</v>
      </c>
      <c r="I3524" s="25" t="s">
        <v>469</v>
      </c>
      <c r="J3524" s="25" t="s">
        <v>445</v>
      </c>
      <c r="K3524" s="25" t="s">
        <v>438</v>
      </c>
      <c r="L3524" s="25" t="s">
        <v>2</v>
      </c>
      <c r="M3524" s="25" t="s">
        <v>408</v>
      </c>
      <c r="N3524" s="25" t="s">
        <v>11</v>
      </c>
      <c r="O3524" s="25" t="s">
        <v>11</v>
      </c>
      <c r="P3524" s="25" t="s">
        <v>2</v>
      </c>
      <c r="Q3524" s="25" t="s">
        <v>408</v>
      </c>
      <c r="R3524" s="25" t="s">
        <v>439</v>
      </c>
      <c r="S3524" s="25" t="s">
        <v>440</v>
      </c>
      <c r="T3524" s="25" t="s">
        <v>11</v>
      </c>
      <c r="U3524" s="25" t="s">
        <v>408</v>
      </c>
    </row>
    <row r="3525" spans="1:21" x14ac:dyDescent="0.25">
      <c r="A3525" s="26">
        <v>26234392</v>
      </c>
      <c r="B3525" s="25" t="s">
        <v>340</v>
      </c>
      <c r="C3525" s="25" t="s">
        <v>15</v>
      </c>
      <c r="D3525" s="25" t="s">
        <v>12</v>
      </c>
      <c r="E3525" s="25" t="s">
        <v>639</v>
      </c>
      <c r="F3525" s="25" t="s">
        <v>662</v>
      </c>
      <c r="G3525" s="25" t="s">
        <v>369</v>
      </c>
      <c r="H3525" s="25" t="s">
        <v>5</v>
      </c>
      <c r="I3525" s="25" t="s">
        <v>436</v>
      </c>
      <c r="J3525" s="25" t="s">
        <v>446</v>
      </c>
      <c r="K3525" s="25" t="s">
        <v>438</v>
      </c>
      <c r="L3525" s="25" t="s">
        <v>2</v>
      </c>
      <c r="M3525" s="25" t="s">
        <v>408</v>
      </c>
      <c r="N3525" s="25" t="s">
        <v>11</v>
      </c>
      <c r="O3525" s="25" t="s">
        <v>11</v>
      </c>
      <c r="P3525" s="25" t="s">
        <v>2</v>
      </c>
      <c r="Q3525" s="25" t="s">
        <v>408</v>
      </c>
      <c r="R3525" s="25" t="s">
        <v>439</v>
      </c>
      <c r="S3525" s="25" t="s">
        <v>440</v>
      </c>
      <c r="T3525" s="25" t="s">
        <v>11</v>
      </c>
      <c r="U3525" s="25" t="s">
        <v>408</v>
      </c>
    </row>
    <row r="3526" spans="1:21" x14ac:dyDescent="0.25">
      <c r="A3526" s="26">
        <v>26234393</v>
      </c>
      <c r="B3526" s="25" t="s">
        <v>340</v>
      </c>
      <c r="C3526" s="25" t="s">
        <v>15</v>
      </c>
      <c r="D3526" s="25" t="s">
        <v>12</v>
      </c>
      <c r="E3526" s="25" t="s">
        <v>639</v>
      </c>
      <c r="F3526" s="25" t="s">
        <v>662</v>
      </c>
      <c r="G3526" s="25" t="s">
        <v>369</v>
      </c>
      <c r="H3526" s="25" t="s">
        <v>1</v>
      </c>
      <c r="I3526" s="25" t="s">
        <v>469</v>
      </c>
      <c r="J3526" s="25" t="s">
        <v>445</v>
      </c>
      <c r="K3526" s="25" t="s">
        <v>438</v>
      </c>
      <c r="L3526" s="25" t="s">
        <v>2</v>
      </c>
      <c r="M3526" s="25" t="s">
        <v>408</v>
      </c>
      <c r="N3526" s="25" t="s">
        <v>11</v>
      </c>
      <c r="O3526" s="25" t="s">
        <v>11</v>
      </c>
      <c r="P3526" s="25" t="s">
        <v>2</v>
      </c>
      <c r="Q3526" s="25" t="s">
        <v>408</v>
      </c>
      <c r="R3526" s="25" t="s">
        <v>439</v>
      </c>
      <c r="S3526" s="25" t="s">
        <v>440</v>
      </c>
      <c r="T3526" s="25" t="s">
        <v>11</v>
      </c>
      <c r="U3526" s="25" t="s">
        <v>408</v>
      </c>
    </row>
    <row r="3527" spans="1:21" x14ac:dyDescent="0.25">
      <c r="A3527" s="26">
        <v>26234394</v>
      </c>
      <c r="B3527" s="25" t="s">
        <v>342</v>
      </c>
      <c r="C3527" s="25" t="s">
        <v>13</v>
      </c>
      <c r="D3527" s="25" t="s">
        <v>18</v>
      </c>
      <c r="E3527" s="25" t="s">
        <v>639</v>
      </c>
      <c r="F3527" s="25" t="s">
        <v>662</v>
      </c>
      <c r="G3527" s="25" t="s">
        <v>369</v>
      </c>
      <c r="H3527" s="25" t="s">
        <v>1</v>
      </c>
      <c r="I3527" s="25" t="s">
        <v>469</v>
      </c>
      <c r="J3527" s="25" t="s">
        <v>445</v>
      </c>
      <c r="K3527" s="25" t="s">
        <v>438</v>
      </c>
      <c r="L3527" s="25" t="s">
        <v>2</v>
      </c>
      <c r="M3527" s="25" t="s">
        <v>408</v>
      </c>
      <c r="N3527" s="25" t="s">
        <v>11</v>
      </c>
      <c r="O3527" s="25" t="s">
        <v>11</v>
      </c>
      <c r="P3527" s="25" t="s">
        <v>2</v>
      </c>
      <c r="Q3527" s="25" t="s">
        <v>408</v>
      </c>
      <c r="R3527" s="25" t="s">
        <v>439</v>
      </c>
      <c r="S3527" s="25" t="s">
        <v>440</v>
      </c>
      <c r="T3527" s="25" t="s">
        <v>11</v>
      </c>
      <c r="U3527" s="25" t="s">
        <v>408</v>
      </c>
    </row>
    <row r="3528" spans="1:21" x14ac:dyDescent="0.25">
      <c r="A3528" s="26">
        <v>26234395</v>
      </c>
      <c r="B3528" s="25" t="s">
        <v>340</v>
      </c>
      <c r="C3528" s="25" t="s">
        <v>15</v>
      </c>
      <c r="D3528" s="25" t="s">
        <v>12</v>
      </c>
      <c r="E3528" s="25" t="s">
        <v>639</v>
      </c>
      <c r="F3528" s="25" t="s">
        <v>662</v>
      </c>
      <c r="G3528" s="25" t="s">
        <v>369</v>
      </c>
      <c r="H3528" s="25" t="s">
        <v>1</v>
      </c>
      <c r="I3528" s="25" t="s">
        <v>469</v>
      </c>
      <c r="J3528" s="25" t="s">
        <v>445</v>
      </c>
      <c r="K3528" s="25" t="s">
        <v>438</v>
      </c>
      <c r="L3528" s="25" t="s">
        <v>2</v>
      </c>
      <c r="M3528" s="25" t="s">
        <v>408</v>
      </c>
      <c r="N3528" s="25" t="s">
        <v>11</v>
      </c>
      <c r="O3528" s="25" t="s">
        <v>11</v>
      </c>
      <c r="P3528" s="25" t="s">
        <v>2</v>
      </c>
      <c r="Q3528" s="25" t="s">
        <v>408</v>
      </c>
      <c r="R3528" s="25" t="s">
        <v>439</v>
      </c>
      <c r="S3528" s="25" t="s">
        <v>440</v>
      </c>
      <c r="T3528" s="25" t="s">
        <v>11</v>
      </c>
      <c r="U3528" s="25" t="s">
        <v>408</v>
      </c>
    </row>
    <row r="3529" spans="1:21" x14ac:dyDescent="0.25">
      <c r="A3529" s="26">
        <v>26234396</v>
      </c>
      <c r="B3529" s="25" t="s">
        <v>340</v>
      </c>
      <c r="C3529" s="25" t="s">
        <v>15</v>
      </c>
      <c r="D3529" s="25" t="s">
        <v>12</v>
      </c>
      <c r="E3529" s="25" t="s">
        <v>639</v>
      </c>
      <c r="F3529" s="25" t="s">
        <v>662</v>
      </c>
      <c r="G3529" s="25" t="s">
        <v>369</v>
      </c>
      <c r="H3529" s="25" t="s">
        <v>1</v>
      </c>
      <c r="I3529" s="25" t="s">
        <v>469</v>
      </c>
      <c r="J3529" s="25" t="s">
        <v>445</v>
      </c>
      <c r="K3529" s="25" t="s">
        <v>438</v>
      </c>
      <c r="L3529" s="25" t="s">
        <v>2</v>
      </c>
      <c r="M3529" s="25" t="s">
        <v>408</v>
      </c>
      <c r="N3529" s="25" t="s">
        <v>11</v>
      </c>
      <c r="O3529" s="25" t="s">
        <v>11</v>
      </c>
      <c r="P3529" s="25" t="s">
        <v>2</v>
      </c>
      <c r="Q3529" s="25" t="s">
        <v>408</v>
      </c>
      <c r="R3529" s="25" t="s">
        <v>439</v>
      </c>
      <c r="S3529" s="25" t="s">
        <v>440</v>
      </c>
      <c r="T3529" s="25" t="s">
        <v>11</v>
      </c>
      <c r="U3529" s="25" t="s">
        <v>408</v>
      </c>
    </row>
    <row r="3530" spans="1:21" x14ac:dyDescent="0.25">
      <c r="A3530" s="26">
        <v>26234397</v>
      </c>
      <c r="B3530" s="25" t="s">
        <v>342</v>
      </c>
      <c r="C3530" s="25" t="s">
        <v>13</v>
      </c>
      <c r="D3530" s="25" t="s">
        <v>12</v>
      </c>
      <c r="E3530" s="25" t="s">
        <v>639</v>
      </c>
      <c r="F3530" s="25" t="s">
        <v>662</v>
      </c>
      <c r="G3530" s="25" t="s">
        <v>369</v>
      </c>
      <c r="H3530" s="25" t="s">
        <v>1</v>
      </c>
      <c r="I3530" s="25" t="s">
        <v>469</v>
      </c>
      <c r="J3530" s="25" t="s">
        <v>445</v>
      </c>
      <c r="K3530" s="25" t="s">
        <v>438</v>
      </c>
      <c r="L3530" s="25" t="s">
        <v>2</v>
      </c>
      <c r="M3530" s="25" t="s">
        <v>408</v>
      </c>
      <c r="N3530" s="25" t="s">
        <v>11</v>
      </c>
      <c r="O3530" s="25" t="s">
        <v>11</v>
      </c>
      <c r="P3530" s="25" t="s">
        <v>2</v>
      </c>
      <c r="Q3530" s="25" t="s">
        <v>408</v>
      </c>
      <c r="R3530" s="25" t="s">
        <v>439</v>
      </c>
      <c r="S3530" s="25" t="s">
        <v>440</v>
      </c>
      <c r="T3530" s="25" t="s">
        <v>11</v>
      </c>
      <c r="U3530" s="25" t="s">
        <v>408</v>
      </c>
    </row>
    <row r="3531" spans="1:21" x14ac:dyDescent="0.25">
      <c r="A3531" s="26">
        <v>26234398</v>
      </c>
      <c r="B3531" s="25" t="s">
        <v>340</v>
      </c>
      <c r="C3531" s="25" t="s">
        <v>15</v>
      </c>
      <c r="D3531" s="25" t="s">
        <v>12</v>
      </c>
      <c r="E3531" s="25" t="s">
        <v>638</v>
      </c>
      <c r="F3531" s="25" t="s">
        <v>577</v>
      </c>
      <c r="G3531" s="25" t="s">
        <v>369</v>
      </c>
      <c r="H3531" s="25" t="s">
        <v>5</v>
      </c>
      <c r="I3531" s="25" t="s">
        <v>436</v>
      </c>
      <c r="J3531" s="25" t="s">
        <v>446</v>
      </c>
      <c r="K3531" s="25" t="s">
        <v>438</v>
      </c>
      <c r="L3531" s="25" t="s">
        <v>2</v>
      </c>
      <c r="M3531" s="25" t="s">
        <v>408</v>
      </c>
      <c r="N3531" s="25" t="s">
        <v>11</v>
      </c>
      <c r="O3531" s="25" t="s">
        <v>11</v>
      </c>
      <c r="P3531" s="25" t="s">
        <v>2</v>
      </c>
      <c r="Q3531" s="25" t="s">
        <v>408</v>
      </c>
      <c r="R3531" s="25" t="s">
        <v>439</v>
      </c>
      <c r="S3531" s="25" t="s">
        <v>440</v>
      </c>
      <c r="T3531" s="25" t="s">
        <v>11</v>
      </c>
      <c r="U3531" s="25" t="s">
        <v>408</v>
      </c>
    </row>
    <row r="3532" spans="1:21" x14ac:dyDescent="0.25">
      <c r="A3532" s="26">
        <v>26234399</v>
      </c>
      <c r="B3532" s="25" t="s">
        <v>340</v>
      </c>
      <c r="C3532" s="25" t="s">
        <v>15</v>
      </c>
      <c r="D3532" s="25" t="s">
        <v>12</v>
      </c>
      <c r="E3532" s="25" t="s">
        <v>639</v>
      </c>
      <c r="F3532" s="25" t="s">
        <v>662</v>
      </c>
      <c r="G3532" s="25" t="s">
        <v>369</v>
      </c>
      <c r="H3532" s="25" t="s">
        <v>1</v>
      </c>
      <c r="I3532" s="25" t="s">
        <v>469</v>
      </c>
      <c r="J3532" s="25" t="s">
        <v>445</v>
      </c>
      <c r="K3532" s="25" t="s">
        <v>438</v>
      </c>
      <c r="L3532" s="25" t="s">
        <v>2</v>
      </c>
      <c r="M3532" s="25" t="s">
        <v>408</v>
      </c>
      <c r="N3532" s="25" t="s">
        <v>11</v>
      </c>
      <c r="O3532" s="25" t="s">
        <v>11</v>
      </c>
      <c r="P3532" s="25" t="s">
        <v>2</v>
      </c>
      <c r="Q3532" s="25" t="s">
        <v>408</v>
      </c>
      <c r="R3532" s="25" t="s">
        <v>439</v>
      </c>
      <c r="S3532" s="25" t="s">
        <v>440</v>
      </c>
      <c r="T3532" s="25" t="s">
        <v>11</v>
      </c>
      <c r="U3532" s="25" t="s">
        <v>408</v>
      </c>
    </row>
    <row r="3533" spans="1:21" x14ac:dyDescent="0.25">
      <c r="A3533" s="26">
        <v>26234400</v>
      </c>
      <c r="B3533" s="25" t="s">
        <v>340</v>
      </c>
      <c r="C3533" s="25" t="s">
        <v>15</v>
      </c>
      <c r="D3533" s="25" t="s">
        <v>18</v>
      </c>
      <c r="E3533" s="25" t="s">
        <v>639</v>
      </c>
      <c r="F3533" s="25" t="s">
        <v>662</v>
      </c>
      <c r="G3533" s="25" t="s">
        <v>369</v>
      </c>
      <c r="H3533" s="25" t="s">
        <v>1</v>
      </c>
      <c r="I3533" s="25" t="s">
        <v>469</v>
      </c>
      <c r="J3533" s="25" t="s">
        <v>445</v>
      </c>
      <c r="K3533" s="25" t="s">
        <v>438</v>
      </c>
      <c r="L3533" s="25" t="s">
        <v>2</v>
      </c>
      <c r="M3533" s="25" t="s">
        <v>408</v>
      </c>
      <c r="N3533" s="25" t="s">
        <v>11</v>
      </c>
      <c r="O3533" s="25" t="s">
        <v>11</v>
      </c>
      <c r="P3533" s="25" t="s">
        <v>2</v>
      </c>
      <c r="Q3533" s="25" t="s">
        <v>408</v>
      </c>
      <c r="R3533" s="25" t="s">
        <v>439</v>
      </c>
      <c r="S3533" s="25" t="s">
        <v>440</v>
      </c>
      <c r="T3533" s="25" t="s">
        <v>11</v>
      </c>
      <c r="U3533" s="25" t="s">
        <v>408</v>
      </c>
    </row>
    <row r="3534" spans="1:21" x14ac:dyDescent="0.25">
      <c r="A3534" s="26">
        <v>26234401</v>
      </c>
      <c r="B3534" s="25" t="s">
        <v>342</v>
      </c>
      <c r="C3534" s="25" t="s">
        <v>13</v>
      </c>
      <c r="D3534" s="25" t="s">
        <v>12</v>
      </c>
      <c r="E3534" s="25" t="s">
        <v>639</v>
      </c>
      <c r="F3534" s="25" t="s">
        <v>662</v>
      </c>
      <c r="G3534" s="25" t="s">
        <v>369</v>
      </c>
      <c r="H3534" s="25" t="s">
        <v>5</v>
      </c>
      <c r="I3534" s="25" t="s">
        <v>436</v>
      </c>
      <c r="J3534" s="25" t="s">
        <v>446</v>
      </c>
      <c r="K3534" s="25" t="s">
        <v>438</v>
      </c>
      <c r="L3534" s="25" t="s">
        <v>2</v>
      </c>
      <c r="M3534" s="25" t="s">
        <v>408</v>
      </c>
      <c r="N3534" s="25" t="s">
        <v>11</v>
      </c>
      <c r="O3534" s="25" t="s">
        <v>11</v>
      </c>
      <c r="P3534" s="25" t="s">
        <v>2</v>
      </c>
      <c r="Q3534" s="25" t="s">
        <v>408</v>
      </c>
      <c r="R3534" s="25" t="s">
        <v>439</v>
      </c>
      <c r="S3534" s="25" t="s">
        <v>440</v>
      </c>
      <c r="T3534" s="25" t="s">
        <v>11</v>
      </c>
      <c r="U3534" s="25" t="s">
        <v>408</v>
      </c>
    </row>
    <row r="3535" spans="1:21" x14ac:dyDescent="0.25">
      <c r="A3535" s="26">
        <v>26234402</v>
      </c>
      <c r="B3535" s="25" t="s">
        <v>342</v>
      </c>
      <c r="C3535" s="25" t="s">
        <v>13</v>
      </c>
      <c r="D3535" s="25" t="s">
        <v>12</v>
      </c>
      <c r="E3535" s="25" t="s">
        <v>639</v>
      </c>
      <c r="F3535" s="25" t="s">
        <v>662</v>
      </c>
      <c r="G3535" s="25" t="s">
        <v>369</v>
      </c>
      <c r="H3535" s="25" t="s">
        <v>1</v>
      </c>
      <c r="I3535" s="25" t="s">
        <v>469</v>
      </c>
      <c r="J3535" s="25" t="s">
        <v>445</v>
      </c>
      <c r="K3535" s="25" t="s">
        <v>438</v>
      </c>
      <c r="L3535" s="25" t="s">
        <v>2</v>
      </c>
      <c r="M3535" s="25" t="s">
        <v>408</v>
      </c>
      <c r="N3535" s="25" t="s">
        <v>11</v>
      </c>
      <c r="O3535" s="25" t="s">
        <v>11</v>
      </c>
      <c r="P3535" s="25" t="s">
        <v>2</v>
      </c>
      <c r="Q3535" s="25" t="s">
        <v>408</v>
      </c>
      <c r="R3535" s="25" t="s">
        <v>439</v>
      </c>
      <c r="S3535" s="25" t="s">
        <v>440</v>
      </c>
      <c r="T3535" s="25" t="s">
        <v>11</v>
      </c>
      <c r="U3535" s="25" t="s">
        <v>408</v>
      </c>
    </row>
    <row r="3536" spans="1:21" x14ac:dyDescent="0.25">
      <c r="A3536" s="26">
        <v>26234403</v>
      </c>
      <c r="B3536" s="25" t="s">
        <v>342</v>
      </c>
      <c r="C3536" s="25" t="s">
        <v>13</v>
      </c>
      <c r="D3536" s="25" t="s">
        <v>12</v>
      </c>
      <c r="E3536" s="25" t="s">
        <v>639</v>
      </c>
      <c r="F3536" s="25" t="s">
        <v>662</v>
      </c>
      <c r="G3536" s="25" t="s">
        <v>369</v>
      </c>
      <c r="H3536" s="25" t="s">
        <v>1</v>
      </c>
      <c r="I3536" s="25" t="s">
        <v>469</v>
      </c>
      <c r="J3536" s="25" t="s">
        <v>445</v>
      </c>
      <c r="K3536" s="25" t="s">
        <v>438</v>
      </c>
      <c r="L3536" s="25" t="s">
        <v>2</v>
      </c>
      <c r="M3536" s="25" t="s">
        <v>408</v>
      </c>
      <c r="N3536" s="25" t="s">
        <v>11</v>
      </c>
      <c r="O3536" s="25" t="s">
        <v>11</v>
      </c>
      <c r="P3536" s="25" t="s">
        <v>2</v>
      </c>
      <c r="Q3536" s="25" t="s">
        <v>408</v>
      </c>
      <c r="R3536" s="25" t="s">
        <v>439</v>
      </c>
      <c r="S3536" s="25" t="s">
        <v>440</v>
      </c>
      <c r="T3536" s="25" t="s">
        <v>11</v>
      </c>
      <c r="U3536" s="25" t="s">
        <v>408</v>
      </c>
    </row>
    <row r="3537" spans="1:21" x14ac:dyDescent="0.25">
      <c r="A3537" s="26">
        <v>26234404</v>
      </c>
      <c r="B3537" s="25" t="s">
        <v>342</v>
      </c>
      <c r="C3537" s="25" t="s">
        <v>13</v>
      </c>
      <c r="D3537" s="25" t="s">
        <v>12</v>
      </c>
      <c r="E3537" s="25" t="s">
        <v>639</v>
      </c>
      <c r="F3537" s="25" t="s">
        <v>662</v>
      </c>
      <c r="G3537" s="25" t="s">
        <v>369</v>
      </c>
      <c r="H3537" s="25" t="s">
        <v>1</v>
      </c>
      <c r="I3537" s="25" t="s">
        <v>469</v>
      </c>
      <c r="J3537" s="25" t="s">
        <v>445</v>
      </c>
      <c r="K3537" s="25" t="s">
        <v>438</v>
      </c>
      <c r="L3537" s="25" t="s">
        <v>2</v>
      </c>
      <c r="M3537" s="25" t="s">
        <v>408</v>
      </c>
      <c r="N3537" s="25" t="s">
        <v>11</v>
      </c>
      <c r="O3537" s="25" t="s">
        <v>11</v>
      </c>
      <c r="P3537" s="25" t="s">
        <v>2</v>
      </c>
      <c r="Q3537" s="25" t="s">
        <v>408</v>
      </c>
      <c r="R3537" s="25" t="s">
        <v>439</v>
      </c>
      <c r="S3537" s="25" t="s">
        <v>440</v>
      </c>
      <c r="T3537" s="25" t="s">
        <v>11</v>
      </c>
      <c r="U3537" s="25" t="s">
        <v>408</v>
      </c>
    </row>
    <row r="3538" spans="1:21" x14ac:dyDescent="0.25">
      <c r="A3538" s="26">
        <v>26234405</v>
      </c>
      <c r="B3538" s="25" t="s">
        <v>342</v>
      </c>
      <c r="C3538" s="25" t="s">
        <v>13</v>
      </c>
      <c r="D3538" s="25" t="s">
        <v>12</v>
      </c>
      <c r="E3538" s="25" t="s">
        <v>639</v>
      </c>
      <c r="F3538" s="25" t="s">
        <v>662</v>
      </c>
      <c r="G3538" s="25" t="s">
        <v>369</v>
      </c>
      <c r="H3538" s="25" t="s">
        <v>1</v>
      </c>
      <c r="I3538" s="25" t="s">
        <v>469</v>
      </c>
      <c r="J3538" s="25" t="s">
        <v>445</v>
      </c>
      <c r="K3538" s="25" t="s">
        <v>438</v>
      </c>
      <c r="L3538" s="25" t="s">
        <v>2</v>
      </c>
      <c r="M3538" s="25" t="s">
        <v>408</v>
      </c>
      <c r="N3538" s="25" t="s">
        <v>11</v>
      </c>
      <c r="O3538" s="25" t="s">
        <v>11</v>
      </c>
      <c r="P3538" s="25" t="s">
        <v>2</v>
      </c>
      <c r="Q3538" s="25" t="s">
        <v>408</v>
      </c>
      <c r="R3538" s="25" t="s">
        <v>439</v>
      </c>
      <c r="S3538" s="25" t="s">
        <v>440</v>
      </c>
      <c r="T3538" s="25" t="s">
        <v>11</v>
      </c>
      <c r="U3538" s="25" t="s">
        <v>408</v>
      </c>
    </row>
    <row r="3539" spans="1:21" x14ac:dyDescent="0.25">
      <c r="A3539" s="26">
        <v>26234406</v>
      </c>
      <c r="B3539" s="25" t="s">
        <v>342</v>
      </c>
      <c r="C3539" s="25" t="s">
        <v>13</v>
      </c>
      <c r="D3539" s="25" t="s">
        <v>12</v>
      </c>
      <c r="E3539" s="25" t="s">
        <v>639</v>
      </c>
      <c r="F3539" s="25" t="s">
        <v>662</v>
      </c>
      <c r="G3539" s="25" t="s">
        <v>369</v>
      </c>
      <c r="H3539" s="25" t="s">
        <v>5</v>
      </c>
      <c r="I3539" s="25" t="s">
        <v>436</v>
      </c>
      <c r="J3539" s="25" t="s">
        <v>446</v>
      </c>
      <c r="K3539" s="25" t="s">
        <v>438</v>
      </c>
      <c r="L3539" s="25" t="s">
        <v>2</v>
      </c>
      <c r="M3539" s="25" t="s">
        <v>408</v>
      </c>
      <c r="N3539" s="25" t="s">
        <v>11</v>
      </c>
      <c r="O3539" s="25" t="s">
        <v>11</v>
      </c>
      <c r="P3539" s="25" t="s">
        <v>2</v>
      </c>
      <c r="Q3539" s="25" t="s">
        <v>408</v>
      </c>
      <c r="R3539" s="25" t="s">
        <v>439</v>
      </c>
      <c r="S3539" s="25" t="s">
        <v>440</v>
      </c>
      <c r="T3539" s="25" t="s">
        <v>11</v>
      </c>
      <c r="U3539" s="25" t="s">
        <v>408</v>
      </c>
    </row>
    <row r="3540" spans="1:21" x14ac:dyDescent="0.25">
      <c r="A3540" s="26">
        <v>26234407</v>
      </c>
      <c r="B3540" s="25" t="s">
        <v>342</v>
      </c>
      <c r="C3540" s="25" t="s">
        <v>13</v>
      </c>
      <c r="D3540" s="25" t="s">
        <v>12</v>
      </c>
      <c r="E3540" s="25" t="s">
        <v>638</v>
      </c>
      <c r="F3540" s="25" t="s">
        <v>577</v>
      </c>
      <c r="G3540" s="25" t="s">
        <v>369</v>
      </c>
      <c r="H3540" s="25" t="s">
        <v>1</v>
      </c>
      <c r="I3540" s="25" t="s">
        <v>469</v>
      </c>
      <c r="J3540" s="25" t="s">
        <v>445</v>
      </c>
      <c r="K3540" s="25" t="s">
        <v>438</v>
      </c>
      <c r="L3540" s="25" t="s">
        <v>2</v>
      </c>
      <c r="M3540" s="25" t="s">
        <v>408</v>
      </c>
      <c r="N3540" s="25" t="s">
        <v>11</v>
      </c>
      <c r="O3540" s="25" t="s">
        <v>11</v>
      </c>
      <c r="P3540" s="25" t="s">
        <v>2</v>
      </c>
      <c r="Q3540" s="25" t="s">
        <v>408</v>
      </c>
      <c r="R3540" s="25" t="s">
        <v>439</v>
      </c>
      <c r="S3540" s="25" t="s">
        <v>440</v>
      </c>
      <c r="T3540" s="25" t="s">
        <v>11</v>
      </c>
      <c r="U3540" s="25" t="s">
        <v>408</v>
      </c>
    </row>
    <row r="3541" spans="1:21" x14ac:dyDescent="0.25">
      <c r="A3541" s="26">
        <v>26234408</v>
      </c>
      <c r="B3541" s="25" t="s">
        <v>342</v>
      </c>
      <c r="C3541" s="25" t="s">
        <v>13</v>
      </c>
      <c r="D3541" s="25" t="s">
        <v>12</v>
      </c>
      <c r="E3541" s="25" t="s">
        <v>639</v>
      </c>
      <c r="F3541" s="25" t="s">
        <v>662</v>
      </c>
      <c r="G3541" s="25" t="s">
        <v>369</v>
      </c>
      <c r="H3541" s="25" t="s">
        <v>1</v>
      </c>
      <c r="I3541" s="25" t="s">
        <v>469</v>
      </c>
      <c r="J3541" s="25" t="s">
        <v>445</v>
      </c>
      <c r="K3541" s="25" t="s">
        <v>438</v>
      </c>
      <c r="L3541" s="25" t="s">
        <v>2</v>
      </c>
      <c r="M3541" s="25" t="s">
        <v>408</v>
      </c>
      <c r="N3541" s="25" t="s">
        <v>11</v>
      </c>
      <c r="O3541" s="25" t="s">
        <v>11</v>
      </c>
      <c r="P3541" s="25" t="s">
        <v>2</v>
      </c>
      <c r="Q3541" s="25" t="s">
        <v>408</v>
      </c>
      <c r="R3541" s="25" t="s">
        <v>439</v>
      </c>
      <c r="S3541" s="25" t="s">
        <v>440</v>
      </c>
      <c r="T3541" s="25" t="s">
        <v>11</v>
      </c>
      <c r="U3541" s="25" t="s">
        <v>408</v>
      </c>
    </row>
    <row r="3542" spans="1:21" x14ac:dyDescent="0.25">
      <c r="A3542" s="26">
        <v>26234409</v>
      </c>
      <c r="B3542" s="25" t="s">
        <v>342</v>
      </c>
      <c r="C3542" s="25" t="s">
        <v>13</v>
      </c>
      <c r="D3542" s="25" t="s">
        <v>12</v>
      </c>
      <c r="E3542" s="25" t="s">
        <v>639</v>
      </c>
      <c r="F3542" s="25" t="s">
        <v>662</v>
      </c>
      <c r="G3542" s="25" t="s">
        <v>369</v>
      </c>
      <c r="H3542" s="25" t="s">
        <v>1</v>
      </c>
      <c r="I3542" s="25" t="s">
        <v>469</v>
      </c>
      <c r="J3542" s="25" t="s">
        <v>445</v>
      </c>
      <c r="K3542" s="25" t="s">
        <v>438</v>
      </c>
      <c r="L3542" s="25" t="s">
        <v>2</v>
      </c>
      <c r="M3542" s="25" t="s">
        <v>408</v>
      </c>
      <c r="N3542" s="25" t="s">
        <v>11</v>
      </c>
      <c r="O3542" s="25" t="s">
        <v>11</v>
      </c>
      <c r="P3542" s="25" t="s">
        <v>2</v>
      </c>
      <c r="Q3542" s="25" t="s">
        <v>408</v>
      </c>
      <c r="R3542" s="25" t="s">
        <v>439</v>
      </c>
      <c r="S3542" s="25" t="s">
        <v>440</v>
      </c>
      <c r="T3542" s="25" t="s">
        <v>11</v>
      </c>
      <c r="U3542" s="25" t="s">
        <v>408</v>
      </c>
    </row>
    <row r="3543" spans="1:21" x14ac:dyDescent="0.25">
      <c r="A3543" s="26">
        <v>26234410</v>
      </c>
      <c r="B3543" s="25" t="s">
        <v>342</v>
      </c>
      <c r="C3543" s="25" t="s">
        <v>13</v>
      </c>
      <c r="D3543" s="25" t="s">
        <v>12</v>
      </c>
      <c r="E3543" s="25" t="s">
        <v>639</v>
      </c>
      <c r="F3543" s="25" t="s">
        <v>662</v>
      </c>
      <c r="G3543" s="25" t="s">
        <v>369</v>
      </c>
      <c r="H3543" s="25" t="s">
        <v>5</v>
      </c>
      <c r="I3543" s="25" t="s">
        <v>436</v>
      </c>
      <c r="J3543" s="25" t="s">
        <v>446</v>
      </c>
      <c r="K3543" s="25" t="s">
        <v>438</v>
      </c>
      <c r="L3543" s="25" t="s">
        <v>2</v>
      </c>
      <c r="M3543" s="25" t="s">
        <v>408</v>
      </c>
      <c r="N3543" s="25" t="s">
        <v>11</v>
      </c>
      <c r="O3543" s="25" t="s">
        <v>11</v>
      </c>
      <c r="P3543" s="25" t="s">
        <v>2</v>
      </c>
      <c r="Q3543" s="25" t="s">
        <v>408</v>
      </c>
      <c r="R3543" s="25" t="s">
        <v>439</v>
      </c>
      <c r="S3543" s="25" t="s">
        <v>440</v>
      </c>
      <c r="T3543" s="25" t="s">
        <v>11</v>
      </c>
      <c r="U3543" s="25" t="s">
        <v>408</v>
      </c>
    </row>
    <row r="3544" spans="1:21" x14ac:dyDescent="0.25">
      <c r="A3544" s="26">
        <v>26234411</v>
      </c>
      <c r="B3544" s="25" t="s">
        <v>342</v>
      </c>
      <c r="C3544" s="25" t="s">
        <v>13</v>
      </c>
      <c r="D3544" s="25" t="s">
        <v>12</v>
      </c>
      <c r="E3544" s="25" t="s">
        <v>639</v>
      </c>
      <c r="F3544" s="25" t="s">
        <v>662</v>
      </c>
      <c r="G3544" s="25" t="s">
        <v>369</v>
      </c>
      <c r="H3544" s="25" t="s">
        <v>5</v>
      </c>
      <c r="I3544" s="25" t="s">
        <v>436</v>
      </c>
      <c r="J3544" s="25" t="s">
        <v>446</v>
      </c>
      <c r="K3544" s="25" t="s">
        <v>438</v>
      </c>
      <c r="L3544" s="25" t="s">
        <v>2</v>
      </c>
      <c r="M3544" s="25" t="s">
        <v>408</v>
      </c>
      <c r="N3544" s="25" t="s">
        <v>11</v>
      </c>
      <c r="O3544" s="25" t="s">
        <v>11</v>
      </c>
      <c r="P3544" s="25" t="s">
        <v>2</v>
      </c>
      <c r="Q3544" s="25" t="s">
        <v>408</v>
      </c>
      <c r="R3544" s="25" t="s">
        <v>439</v>
      </c>
      <c r="S3544" s="25" t="s">
        <v>440</v>
      </c>
      <c r="T3544" s="25" t="s">
        <v>11</v>
      </c>
      <c r="U3544" s="25" t="s">
        <v>408</v>
      </c>
    </row>
    <row r="3545" spans="1:21" x14ac:dyDescent="0.25">
      <c r="A3545" s="26">
        <v>26234412</v>
      </c>
      <c r="B3545" s="25" t="s">
        <v>340</v>
      </c>
      <c r="C3545" s="25" t="s">
        <v>15</v>
      </c>
      <c r="D3545" s="25" t="s">
        <v>12</v>
      </c>
      <c r="E3545" s="25" t="s">
        <v>639</v>
      </c>
      <c r="F3545" s="25" t="s">
        <v>662</v>
      </c>
      <c r="G3545" s="25" t="s">
        <v>369</v>
      </c>
      <c r="H3545" s="25" t="s">
        <v>5</v>
      </c>
      <c r="I3545" s="25" t="s">
        <v>436</v>
      </c>
      <c r="J3545" s="25" t="s">
        <v>446</v>
      </c>
      <c r="K3545" s="25" t="s">
        <v>438</v>
      </c>
      <c r="L3545" s="25" t="s">
        <v>2</v>
      </c>
      <c r="M3545" s="25" t="s">
        <v>408</v>
      </c>
      <c r="N3545" s="25" t="s">
        <v>11</v>
      </c>
      <c r="O3545" s="25" t="s">
        <v>11</v>
      </c>
      <c r="P3545" s="25" t="s">
        <v>2</v>
      </c>
      <c r="Q3545" s="25" t="s">
        <v>408</v>
      </c>
      <c r="R3545" s="25" t="s">
        <v>439</v>
      </c>
      <c r="S3545" s="25" t="s">
        <v>440</v>
      </c>
      <c r="T3545" s="25" t="s">
        <v>11</v>
      </c>
      <c r="U3545" s="25" t="s">
        <v>408</v>
      </c>
    </row>
    <row r="3546" spans="1:21" x14ac:dyDescent="0.25">
      <c r="A3546" s="26">
        <v>26234413</v>
      </c>
      <c r="B3546" s="25" t="s">
        <v>340</v>
      </c>
      <c r="C3546" s="25" t="s">
        <v>15</v>
      </c>
      <c r="D3546" s="25" t="s">
        <v>12</v>
      </c>
      <c r="E3546" s="25" t="s">
        <v>639</v>
      </c>
      <c r="F3546" s="25" t="s">
        <v>662</v>
      </c>
      <c r="G3546" s="25" t="s">
        <v>369</v>
      </c>
      <c r="H3546" s="25" t="s">
        <v>1</v>
      </c>
      <c r="I3546" s="25" t="s">
        <v>469</v>
      </c>
      <c r="J3546" s="25" t="s">
        <v>445</v>
      </c>
      <c r="K3546" s="25" t="s">
        <v>438</v>
      </c>
      <c r="L3546" s="25" t="s">
        <v>2</v>
      </c>
      <c r="M3546" s="25" t="s">
        <v>408</v>
      </c>
      <c r="N3546" s="25" t="s">
        <v>11</v>
      </c>
      <c r="O3546" s="25" t="s">
        <v>11</v>
      </c>
      <c r="P3546" s="25" t="s">
        <v>2</v>
      </c>
      <c r="Q3546" s="25" t="s">
        <v>408</v>
      </c>
      <c r="R3546" s="25" t="s">
        <v>439</v>
      </c>
      <c r="S3546" s="25" t="s">
        <v>440</v>
      </c>
      <c r="T3546" s="25" t="s">
        <v>11</v>
      </c>
      <c r="U3546" s="25" t="s">
        <v>408</v>
      </c>
    </row>
    <row r="3547" spans="1:21" x14ac:dyDescent="0.25">
      <c r="A3547" s="26">
        <v>26234414</v>
      </c>
      <c r="B3547" s="25" t="s">
        <v>340</v>
      </c>
      <c r="C3547" s="25" t="s">
        <v>15</v>
      </c>
      <c r="D3547" s="25" t="s">
        <v>12</v>
      </c>
      <c r="E3547" s="25" t="s">
        <v>639</v>
      </c>
      <c r="F3547" s="25" t="s">
        <v>662</v>
      </c>
      <c r="G3547" s="25" t="s">
        <v>369</v>
      </c>
      <c r="H3547" s="25" t="s">
        <v>1</v>
      </c>
      <c r="I3547" s="25" t="s">
        <v>469</v>
      </c>
      <c r="J3547" s="25" t="s">
        <v>445</v>
      </c>
      <c r="K3547" s="25" t="s">
        <v>438</v>
      </c>
      <c r="L3547" s="25" t="s">
        <v>2</v>
      </c>
      <c r="M3547" s="25" t="s">
        <v>408</v>
      </c>
      <c r="N3547" s="25" t="s">
        <v>11</v>
      </c>
      <c r="O3547" s="25" t="s">
        <v>11</v>
      </c>
      <c r="P3547" s="25" t="s">
        <v>2</v>
      </c>
      <c r="Q3547" s="25" t="s">
        <v>408</v>
      </c>
      <c r="R3547" s="25" t="s">
        <v>439</v>
      </c>
      <c r="S3547" s="25" t="s">
        <v>440</v>
      </c>
      <c r="T3547" s="25" t="s">
        <v>11</v>
      </c>
      <c r="U3547" s="25" t="s">
        <v>408</v>
      </c>
    </row>
    <row r="3548" spans="1:21" x14ac:dyDescent="0.25">
      <c r="A3548" s="26">
        <v>26234415</v>
      </c>
      <c r="B3548" s="25" t="s">
        <v>342</v>
      </c>
      <c r="C3548" s="25" t="s">
        <v>13</v>
      </c>
      <c r="D3548" s="25" t="s">
        <v>12</v>
      </c>
      <c r="E3548" s="25" t="s">
        <v>639</v>
      </c>
      <c r="F3548" s="25" t="s">
        <v>662</v>
      </c>
      <c r="G3548" s="25" t="s">
        <v>369</v>
      </c>
      <c r="H3548" s="25" t="s">
        <v>5</v>
      </c>
      <c r="I3548" s="25" t="s">
        <v>436</v>
      </c>
      <c r="J3548" s="25" t="s">
        <v>446</v>
      </c>
      <c r="K3548" s="25" t="s">
        <v>438</v>
      </c>
      <c r="L3548" s="25" t="s">
        <v>2</v>
      </c>
      <c r="M3548" s="25" t="s">
        <v>408</v>
      </c>
      <c r="N3548" s="25" t="s">
        <v>11</v>
      </c>
      <c r="O3548" s="25" t="s">
        <v>11</v>
      </c>
      <c r="P3548" s="25" t="s">
        <v>2</v>
      </c>
      <c r="Q3548" s="25" t="s">
        <v>408</v>
      </c>
      <c r="R3548" s="25" t="s">
        <v>439</v>
      </c>
      <c r="S3548" s="25" t="s">
        <v>440</v>
      </c>
      <c r="T3548" s="25" t="s">
        <v>11</v>
      </c>
      <c r="U3548" s="25" t="s">
        <v>408</v>
      </c>
    </row>
    <row r="3549" spans="1:21" x14ac:dyDescent="0.25">
      <c r="A3549" s="26">
        <v>26234416</v>
      </c>
      <c r="B3549" s="25" t="s">
        <v>342</v>
      </c>
      <c r="C3549" s="25" t="s">
        <v>13</v>
      </c>
      <c r="D3549" s="25" t="s">
        <v>12</v>
      </c>
      <c r="E3549" s="25" t="s">
        <v>639</v>
      </c>
      <c r="F3549" s="25" t="s">
        <v>662</v>
      </c>
      <c r="G3549" s="25" t="s">
        <v>369</v>
      </c>
      <c r="H3549" s="25" t="s">
        <v>5</v>
      </c>
      <c r="I3549" s="25" t="s">
        <v>436</v>
      </c>
      <c r="J3549" s="25" t="s">
        <v>446</v>
      </c>
      <c r="K3549" s="25" t="s">
        <v>438</v>
      </c>
      <c r="L3549" s="25" t="s">
        <v>2</v>
      </c>
      <c r="M3549" s="25" t="s">
        <v>408</v>
      </c>
      <c r="N3549" s="25" t="s">
        <v>11</v>
      </c>
      <c r="O3549" s="25" t="s">
        <v>11</v>
      </c>
      <c r="P3549" s="25" t="s">
        <v>2</v>
      </c>
      <c r="Q3549" s="25" t="s">
        <v>408</v>
      </c>
      <c r="R3549" s="25" t="s">
        <v>439</v>
      </c>
      <c r="S3549" s="25" t="s">
        <v>440</v>
      </c>
      <c r="T3549" s="25" t="s">
        <v>11</v>
      </c>
      <c r="U3549" s="25" t="s">
        <v>408</v>
      </c>
    </row>
    <row r="3550" spans="1:21" x14ac:dyDescent="0.25">
      <c r="A3550" s="26">
        <v>26234417</v>
      </c>
      <c r="B3550" s="25" t="s">
        <v>340</v>
      </c>
      <c r="C3550" s="25" t="s">
        <v>15</v>
      </c>
      <c r="D3550" s="25" t="s">
        <v>12</v>
      </c>
      <c r="E3550" s="25" t="s">
        <v>639</v>
      </c>
      <c r="F3550" s="25" t="s">
        <v>662</v>
      </c>
      <c r="G3550" s="25" t="s">
        <v>369</v>
      </c>
      <c r="H3550" s="25" t="s">
        <v>1</v>
      </c>
      <c r="I3550" s="25" t="s">
        <v>469</v>
      </c>
      <c r="J3550" s="25" t="s">
        <v>445</v>
      </c>
      <c r="K3550" s="25" t="s">
        <v>438</v>
      </c>
      <c r="L3550" s="25" t="s">
        <v>2</v>
      </c>
      <c r="M3550" s="25" t="s">
        <v>408</v>
      </c>
      <c r="N3550" s="25" t="s">
        <v>11</v>
      </c>
      <c r="O3550" s="25" t="s">
        <v>11</v>
      </c>
      <c r="P3550" s="25" t="s">
        <v>2</v>
      </c>
      <c r="Q3550" s="25" t="s">
        <v>408</v>
      </c>
      <c r="R3550" s="25" t="s">
        <v>439</v>
      </c>
      <c r="S3550" s="25" t="s">
        <v>440</v>
      </c>
      <c r="T3550" s="25" t="s">
        <v>11</v>
      </c>
      <c r="U3550" s="25" t="s">
        <v>408</v>
      </c>
    </row>
    <row r="3551" spans="1:21" x14ac:dyDescent="0.25">
      <c r="A3551" s="26">
        <v>26234418</v>
      </c>
      <c r="B3551" s="25" t="s">
        <v>340</v>
      </c>
      <c r="C3551" s="25" t="s">
        <v>15</v>
      </c>
      <c r="D3551" s="25" t="s">
        <v>12</v>
      </c>
      <c r="E3551" s="25" t="s">
        <v>639</v>
      </c>
      <c r="F3551" s="25" t="s">
        <v>662</v>
      </c>
      <c r="G3551" s="25" t="s">
        <v>369</v>
      </c>
      <c r="H3551" s="25" t="s">
        <v>5</v>
      </c>
      <c r="I3551" s="25" t="s">
        <v>436</v>
      </c>
      <c r="J3551" s="25" t="s">
        <v>446</v>
      </c>
      <c r="K3551" s="25" t="s">
        <v>438</v>
      </c>
      <c r="L3551" s="25" t="s">
        <v>2</v>
      </c>
      <c r="M3551" s="25" t="s">
        <v>408</v>
      </c>
      <c r="N3551" s="25" t="s">
        <v>11</v>
      </c>
      <c r="O3551" s="25" t="s">
        <v>11</v>
      </c>
      <c r="P3551" s="25" t="s">
        <v>2</v>
      </c>
      <c r="Q3551" s="25" t="s">
        <v>408</v>
      </c>
      <c r="R3551" s="25" t="s">
        <v>439</v>
      </c>
      <c r="S3551" s="25" t="s">
        <v>440</v>
      </c>
      <c r="T3551" s="25" t="s">
        <v>11</v>
      </c>
      <c r="U3551" s="25" t="s">
        <v>408</v>
      </c>
    </row>
    <row r="3552" spans="1:21" x14ac:dyDescent="0.25">
      <c r="A3552" s="26">
        <v>26234419</v>
      </c>
      <c r="B3552" s="25" t="s">
        <v>340</v>
      </c>
      <c r="C3552" s="25" t="s">
        <v>15</v>
      </c>
      <c r="D3552" s="25" t="s">
        <v>18</v>
      </c>
      <c r="E3552" s="25" t="s">
        <v>639</v>
      </c>
      <c r="F3552" s="25" t="s">
        <v>662</v>
      </c>
      <c r="G3552" s="25" t="s">
        <v>369</v>
      </c>
      <c r="H3552" s="25" t="s">
        <v>5</v>
      </c>
      <c r="I3552" s="25" t="s">
        <v>436</v>
      </c>
      <c r="J3552" s="25" t="s">
        <v>446</v>
      </c>
      <c r="K3552" s="25" t="s">
        <v>438</v>
      </c>
      <c r="L3552" s="25" t="s">
        <v>2</v>
      </c>
      <c r="M3552" s="25" t="s">
        <v>408</v>
      </c>
      <c r="N3552" s="25" t="s">
        <v>11</v>
      </c>
      <c r="O3552" s="25" t="s">
        <v>11</v>
      </c>
      <c r="P3552" s="25" t="s">
        <v>2</v>
      </c>
      <c r="Q3552" s="25" t="s">
        <v>408</v>
      </c>
      <c r="R3552" s="25" t="s">
        <v>439</v>
      </c>
      <c r="S3552" s="25" t="s">
        <v>440</v>
      </c>
      <c r="T3552" s="25" t="s">
        <v>11</v>
      </c>
      <c r="U3552" s="25" t="s">
        <v>408</v>
      </c>
    </row>
    <row r="3553" spans="1:21" x14ac:dyDescent="0.25">
      <c r="A3553" s="26">
        <v>26234420</v>
      </c>
      <c r="B3553" s="25" t="s">
        <v>342</v>
      </c>
      <c r="C3553" s="25" t="s">
        <v>13</v>
      </c>
      <c r="D3553" s="25" t="s">
        <v>12</v>
      </c>
      <c r="E3553" s="25" t="s">
        <v>639</v>
      </c>
      <c r="F3553" s="25" t="s">
        <v>662</v>
      </c>
      <c r="G3553" s="25" t="s">
        <v>369</v>
      </c>
      <c r="H3553" s="25" t="s">
        <v>5</v>
      </c>
      <c r="I3553" s="25" t="s">
        <v>436</v>
      </c>
      <c r="J3553" s="25" t="s">
        <v>446</v>
      </c>
      <c r="K3553" s="25" t="s">
        <v>438</v>
      </c>
      <c r="L3553" s="25" t="s">
        <v>2</v>
      </c>
      <c r="M3553" s="25" t="s">
        <v>408</v>
      </c>
      <c r="N3553" s="25" t="s">
        <v>11</v>
      </c>
      <c r="O3553" s="25" t="s">
        <v>11</v>
      </c>
      <c r="P3553" s="25" t="s">
        <v>2</v>
      </c>
      <c r="Q3553" s="25" t="s">
        <v>408</v>
      </c>
      <c r="R3553" s="25" t="s">
        <v>439</v>
      </c>
      <c r="S3553" s="25" t="s">
        <v>440</v>
      </c>
      <c r="T3553" s="25" t="s">
        <v>11</v>
      </c>
      <c r="U3553" s="25" t="s">
        <v>408</v>
      </c>
    </row>
    <row r="3554" spans="1:21" x14ac:dyDescent="0.25">
      <c r="A3554" s="26">
        <v>26234421</v>
      </c>
      <c r="B3554" s="25" t="s">
        <v>342</v>
      </c>
      <c r="C3554" s="25" t="s">
        <v>13</v>
      </c>
      <c r="D3554" s="25" t="s">
        <v>12</v>
      </c>
      <c r="E3554" s="25" t="s">
        <v>639</v>
      </c>
      <c r="F3554" s="25" t="s">
        <v>662</v>
      </c>
      <c r="G3554" s="25" t="s">
        <v>369</v>
      </c>
      <c r="H3554" s="25" t="s">
        <v>5</v>
      </c>
      <c r="I3554" s="25" t="s">
        <v>436</v>
      </c>
      <c r="J3554" s="25" t="s">
        <v>446</v>
      </c>
      <c r="K3554" s="25" t="s">
        <v>438</v>
      </c>
      <c r="L3554" s="25" t="s">
        <v>2</v>
      </c>
      <c r="M3554" s="25" t="s">
        <v>408</v>
      </c>
      <c r="N3554" s="25" t="s">
        <v>11</v>
      </c>
      <c r="O3554" s="25" t="s">
        <v>11</v>
      </c>
      <c r="P3554" s="25" t="s">
        <v>2</v>
      </c>
      <c r="Q3554" s="25" t="s">
        <v>408</v>
      </c>
      <c r="R3554" s="25" t="s">
        <v>439</v>
      </c>
      <c r="S3554" s="25" t="s">
        <v>440</v>
      </c>
      <c r="T3554" s="25" t="s">
        <v>11</v>
      </c>
      <c r="U3554" s="25" t="s">
        <v>408</v>
      </c>
    </row>
    <row r="3555" spans="1:21" x14ac:dyDescent="0.25">
      <c r="A3555" s="26">
        <v>26234422</v>
      </c>
      <c r="B3555" s="25" t="s">
        <v>340</v>
      </c>
      <c r="C3555" s="25" t="s">
        <v>15</v>
      </c>
      <c r="D3555" s="25" t="s">
        <v>18</v>
      </c>
      <c r="E3555" s="25" t="s">
        <v>639</v>
      </c>
      <c r="F3555" s="25" t="s">
        <v>662</v>
      </c>
      <c r="G3555" s="25" t="s">
        <v>369</v>
      </c>
      <c r="H3555" s="25" t="s">
        <v>1</v>
      </c>
      <c r="I3555" s="25" t="s">
        <v>469</v>
      </c>
      <c r="J3555" s="25" t="s">
        <v>445</v>
      </c>
      <c r="K3555" s="25" t="s">
        <v>438</v>
      </c>
      <c r="L3555" s="25" t="s">
        <v>2</v>
      </c>
      <c r="M3555" s="25" t="s">
        <v>408</v>
      </c>
      <c r="N3555" s="25" t="s">
        <v>11</v>
      </c>
      <c r="O3555" s="25" t="s">
        <v>11</v>
      </c>
      <c r="P3555" s="25" t="s">
        <v>2</v>
      </c>
      <c r="Q3555" s="25" t="s">
        <v>408</v>
      </c>
      <c r="R3555" s="25" t="s">
        <v>439</v>
      </c>
      <c r="S3555" s="25" t="s">
        <v>440</v>
      </c>
      <c r="T3555" s="25" t="s">
        <v>11</v>
      </c>
      <c r="U3555" s="25" t="s">
        <v>408</v>
      </c>
    </row>
    <row r="3556" spans="1:21" x14ac:dyDescent="0.25">
      <c r="A3556" s="26">
        <v>26234423</v>
      </c>
      <c r="B3556" s="25" t="s">
        <v>342</v>
      </c>
      <c r="C3556" s="25" t="s">
        <v>13</v>
      </c>
      <c r="D3556" s="25" t="s">
        <v>12</v>
      </c>
      <c r="E3556" s="25" t="s">
        <v>639</v>
      </c>
      <c r="F3556" s="25" t="s">
        <v>662</v>
      </c>
      <c r="G3556" s="25" t="s">
        <v>369</v>
      </c>
      <c r="H3556" s="25" t="s">
        <v>5</v>
      </c>
      <c r="I3556" s="25" t="s">
        <v>436</v>
      </c>
      <c r="J3556" s="25" t="s">
        <v>446</v>
      </c>
      <c r="K3556" s="25" t="s">
        <v>438</v>
      </c>
      <c r="L3556" s="25" t="s">
        <v>2</v>
      </c>
      <c r="M3556" s="25" t="s">
        <v>408</v>
      </c>
      <c r="N3556" s="25" t="s">
        <v>11</v>
      </c>
      <c r="O3556" s="25" t="s">
        <v>11</v>
      </c>
      <c r="P3556" s="25" t="s">
        <v>2</v>
      </c>
      <c r="Q3556" s="25" t="s">
        <v>408</v>
      </c>
      <c r="R3556" s="25" t="s">
        <v>439</v>
      </c>
      <c r="S3556" s="25" t="s">
        <v>440</v>
      </c>
      <c r="T3556" s="25" t="s">
        <v>11</v>
      </c>
      <c r="U3556" s="25" t="s">
        <v>408</v>
      </c>
    </row>
    <row r="3557" spans="1:21" x14ac:dyDescent="0.25">
      <c r="A3557" s="26">
        <v>26234424</v>
      </c>
      <c r="B3557" s="25" t="s">
        <v>340</v>
      </c>
      <c r="C3557" s="25" t="s">
        <v>15</v>
      </c>
      <c r="D3557" s="25" t="s">
        <v>12</v>
      </c>
      <c r="E3557" s="25" t="s">
        <v>639</v>
      </c>
      <c r="F3557" s="25" t="s">
        <v>662</v>
      </c>
      <c r="G3557" s="25" t="s">
        <v>369</v>
      </c>
      <c r="H3557" s="25" t="s">
        <v>1</v>
      </c>
      <c r="I3557" s="25" t="s">
        <v>469</v>
      </c>
      <c r="J3557" s="25" t="s">
        <v>445</v>
      </c>
      <c r="K3557" s="25" t="s">
        <v>438</v>
      </c>
      <c r="L3557" s="25" t="s">
        <v>2</v>
      </c>
      <c r="M3557" s="25" t="s">
        <v>408</v>
      </c>
      <c r="N3557" s="25" t="s">
        <v>11</v>
      </c>
      <c r="O3557" s="25" t="s">
        <v>11</v>
      </c>
      <c r="P3557" s="25" t="s">
        <v>2</v>
      </c>
      <c r="Q3557" s="25" t="s">
        <v>408</v>
      </c>
      <c r="R3557" s="25" t="s">
        <v>439</v>
      </c>
      <c r="S3557" s="25" t="s">
        <v>440</v>
      </c>
      <c r="T3557" s="25" t="s">
        <v>11</v>
      </c>
      <c r="U3557" s="25" t="s">
        <v>408</v>
      </c>
    </row>
    <row r="3558" spans="1:21" x14ac:dyDescent="0.25">
      <c r="A3558" s="26">
        <v>26234425</v>
      </c>
      <c r="B3558" s="25" t="s">
        <v>340</v>
      </c>
      <c r="C3558" s="25" t="s">
        <v>15</v>
      </c>
      <c r="D3558" s="25" t="s">
        <v>12</v>
      </c>
      <c r="E3558" s="25" t="s">
        <v>639</v>
      </c>
      <c r="F3558" s="25" t="s">
        <v>662</v>
      </c>
      <c r="G3558" s="25" t="s">
        <v>369</v>
      </c>
      <c r="H3558" s="25" t="s">
        <v>5</v>
      </c>
      <c r="I3558" s="25" t="s">
        <v>436</v>
      </c>
      <c r="J3558" s="25" t="s">
        <v>446</v>
      </c>
      <c r="K3558" s="25" t="s">
        <v>438</v>
      </c>
      <c r="L3558" s="25" t="s">
        <v>2</v>
      </c>
      <c r="M3558" s="25" t="s">
        <v>408</v>
      </c>
      <c r="N3558" s="25" t="s">
        <v>11</v>
      </c>
      <c r="O3558" s="25" t="s">
        <v>11</v>
      </c>
      <c r="P3558" s="25" t="s">
        <v>2</v>
      </c>
      <c r="Q3558" s="25" t="s">
        <v>408</v>
      </c>
      <c r="R3558" s="25" t="s">
        <v>439</v>
      </c>
      <c r="S3558" s="25" t="s">
        <v>440</v>
      </c>
      <c r="T3558" s="25" t="s">
        <v>11</v>
      </c>
      <c r="U3558" s="25" t="s">
        <v>408</v>
      </c>
    </row>
    <row r="3559" spans="1:21" x14ac:dyDescent="0.25">
      <c r="A3559" s="26">
        <v>26234426</v>
      </c>
      <c r="B3559" s="25" t="s">
        <v>340</v>
      </c>
      <c r="C3559" s="25" t="s">
        <v>15</v>
      </c>
      <c r="D3559" s="25" t="s">
        <v>12</v>
      </c>
      <c r="E3559" s="25" t="s">
        <v>639</v>
      </c>
      <c r="F3559" s="25" t="s">
        <v>662</v>
      </c>
      <c r="G3559" s="25" t="s">
        <v>369</v>
      </c>
      <c r="H3559" s="25" t="s">
        <v>1</v>
      </c>
      <c r="I3559" s="25" t="s">
        <v>469</v>
      </c>
      <c r="J3559" s="25" t="s">
        <v>445</v>
      </c>
      <c r="K3559" s="25" t="s">
        <v>438</v>
      </c>
      <c r="L3559" s="25" t="s">
        <v>2</v>
      </c>
      <c r="M3559" s="25" t="s">
        <v>408</v>
      </c>
      <c r="N3559" s="25" t="s">
        <v>11</v>
      </c>
      <c r="O3559" s="25" t="s">
        <v>11</v>
      </c>
      <c r="P3559" s="25" t="s">
        <v>2</v>
      </c>
      <c r="Q3559" s="25" t="s">
        <v>408</v>
      </c>
      <c r="R3559" s="25" t="s">
        <v>439</v>
      </c>
      <c r="S3559" s="25" t="s">
        <v>440</v>
      </c>
      <c r="T3559" s="25" t="s">
        <v>11</v>
      </c>
      <c r="U3559" s="25" t="s">
        <v>408</v>
      </c>
    </row>
    <row r="3560" spans="1:21" x14ac:dyDescent="0.25">
      <c r="A3560" s="26">
        <v>26234427</v>
      </c>
      <c r="B3560" s="25" t="s">
        <v>342</v>
      </c>
      <c r="C3560" s="25" t="s">
        <v>13</v>
      </c>
      <c r="D3560" s="25" t="s">
        <v>12</v>
      </c>
      <c r="E3560" s="25" t="s">
        <v>639</v>
      </c>
      <c r="F3560" s="25" t="s">
        <v>662</v>
      </c>
      <c r="G3560" s="25" t="s">
        <v>369</v>
      </c>
      <c r="H3560" s="25" t="s">
        <v>5</v>
      </c>
      <c r="I3560" s="25" t="s">
        <v>436</v>
      </c>
      <c r="J3560" s="25" t="s">
        <v>446</v>
      </c>
      <c r="K3560" s="25" t="s">
        <v>438</v>
      </c>
      <c r="L3560" s="25" t="s">
        <v>2</v>
      </c>
      <c r="M3560" s="25" t="s">
        <v>408</v>
      </c>
      <c r="N3560" s="25" t="s">
        <v>11</v>
      </c>
      <c r="O3560" s="25" t="s">
        <v>11</v>
      </c>
      <c r="P3560" s="25" t="s">
        <v>2</v>
      </c>
      <c r="Q3560" s="25" t="s">
        <v>408</v>
      </c>
      <c r="R3560" s="25" t="s">
        <v>439</v>
      </c>
      <c r="S3560" s="25" t="s">
        <v>440</v>
      </c>
      <c r="T3560" s="25" t="s">
        <v>11</v>
      </c>
      <c r="U3560" s="25" t="s">
        <v>408</v>
      </c>
    </row>
    <row r="3561" spans="1:21" x14ac:dyDescent="0.25">
      <c r="A3561" s="26">
        <v>26234428</v>
      </c>
      <c r="B3561" s="25" t="s">
        <v>340</v>
      </c>
      <c r="C3561" s="25" t="s">
        <v>15</v>
      </c>
      <c r="D3561" s="25" t="s">
        <v>12</v>
      </c>
      <c r="E3561" s="25" t="s">
        <v>639</v>
      </c>
      <c r="F3561" s="25" t="s">
        <v>662</v>
      </c>
      <c r="G3561" s="25" t="s">
        <v>369</v>
      </c>
      <c r="H3561" s="25" t="s">
        <v>1</v>
      </c>
      <c r="I3561" s="25" t="s">
        <v>469</v>
      </c>
      <c r="J3561" s="25" t="s">
        <v>445</v>
      </c>
      <c r="K3561" s="25" t="s">
        <v>438</v>
      </c>
      <c r="L3561" s="25" t="s">
        <v>2</v>
      </c>
      <c r="M3561" s="25" t="s">
        <v>408</v>
      </c>
      <c r="N3561" s="25" t="s">
        <v>11</v>
      </c>
      <c r="O3561" s="25" t="s">
        <v>11</v>
      </c>
      <c r="P3561" s="25" t="s">
        <v>2</v>
      </c>
      <c r="Q3561" s="25" t="s">
        <v>408</v>
      </c>
      <c r="R3561" s="25" t="s">
        <v>439</v>
      </c>
      <c r="S3561" s="25" t="s">
        <v>440</v>
      </c>
      <c r="T3561" s="25" t="s">
        <v>11</v>
      </c>
      <c r="U3561" s="25" t="s">
        <v>408</v>
      </c>
    </row>
    <row r="3562" spans="1:21" x14ac:dyDescent="0.25">
      <c r="A3562" s="26">
        <v>26234429</v>
      </c>
      <c r="B3562" s="25" t="s">
        <v>342</v>
      </c>
      <c r="C3562" s="25" t="s">
        <v>13</v>
      </c>
      <c r="D3562" s="25" t="s">
        <v>12</v>
      </c>
      <c r="E3562" s="25" t="s">
        <v>639</v>
      </c>
      <c r="F3562" s="25" t="s">
        <v>662</v>
      </c>
      <c r="G3562" s="25" t="s">
        <v>369</v>
      </c>
      <c r="H3562" s="25" t="s">
        <v>5</v>
      </c>
      <c r="I3562" s="25" t="s">
        <v>436</v>
      </c>
      <c r="J3562" s="25" t="s">
        <v>446</v>
      </c>
      <c r="K3562" s="25" t="s">
        <v>438</v>
      </c>
      <c r="L3562" s="25" t="s">
        <v>2</v>
      </c>
      <c r="M3562" s="25" t="s">
        <v>408</v>
      </c>
      <c r="N3562" s="25" t="s">
        <v>11</v>
      </c>
      <c r="O3562" s="25" t="s">
        <v>11</v>
      </c>
      <c r="P3562" s="25" t="s">
        <v>2</v>
      </c>
      <c r="Q3562" s="25" t="s">
        <v>408</v>
      </c>
      <c r="R3562" s="25" t="s">
        <v>439</v>
      </c>
      <c r="S3562" s="25" t="s">
        <v>440</v>
      </c>
      <c r="T3562" s="25" t="s">
        <v>11</v>
      </c>
      <c r="U3562" s="25" t="s">
        <v>408</v>
      </c>
    </row>
    <row r="3563" spans="1:21" x14ac:dyDescent="0.25">
      <c r="A3563" s="26">
        <v>26234430</v>
      </c>
      <c r="B3563" s="25" t="s">
        <v>342</v>
      </c>
      <c r="C3563" s="25" t="s">
        <v>13</v>
      </c>
      <c r="D3563" s="25" t="s">
        <v>12</v>
      </c>
      <c r="E3563" s="25" t="s">
        <v>639</v>
      </c>
      <c r="F3563" s="25" t="s">
        <v>662</v>
      </c>
      <c r="G3563" s="25" t="s">
        <v>369</v>
      </c>
      <c r="H3563" s="25" t="s">
        <v>5</v>
      </c>
      <c r="I3563" s="25" t="s">
        <v>436</v>
      </c>
      <c r="J3563" s="25" t="s">
        <v>446</v>
      </c>
      <c r="K3563" s="25" t="s">
        <v>438</v>
      </c>
      <c r="L3563" s="25" t="s">
        <v>2</v>
      </c>
      <c r="M3563" s="25" t="s">
        <v>408</v>
      </c>
      <c r="N3563" s="25" t="s">
        <v>11</v>
      </c>
      <c r="O3563" s="25" t="s">
        <v>11</v>
      </c>
      <c r="P3563" s="25" t="s">
        <v>2</v>
      </c>
      <c r="Q3563" s="25" t="s">
        <v>408</v>
      </c>
      <c r="R3563" s="25" t="s">
        <v>439</v>
      </c>
      <c r="S3563" s="25" t="s">
        <v>440</v>
      </c>
      <c r="T3563" s="25" t="s">
        <v>11</v>
      </c>
      <c r="U3563" s="25" t="s">
        <v>408</v>
      </c>
    </row>
    <row r="3564" spans="1:21" x14ac:dyDescent="0.25">
      <c r="A3564" s="26">
        <v>26234431</v>
      </c>
      <c r="B3564" s="25" t="s">
        <v>342</v>
      </c>
      <c r="C3564" s="25" t="s">
        <v>13</v>
      </c>
      <c r="D3564" s="25" t="s">
        <v>12</v>
      </c>
      <c r="E3564" s="25" t="s">
        <v>639</v>
      </c>
      <c r="F3564" s="25" t="s">
        <v>662</v>
      </c>
      <c r="G3564" s="25" t="s">
        <v>369</v>
      </c>
      <c r="H3564" s="25" t="s">
        <v>1</v>
      </c>
      <c r="I3564" s="25" t="s">
        <v>469</v>
      </c>
      <c r="J3564" s="25" t="s">
        <v>445</v>
      </c>
      <c r="K3564" s="25" t="s">
        <v>438</v>
      </c>
      <c r="L3564" s="25" t="s">
        <v>2</v>
      </c>
      <c r="M3564" s="25" t="s">
        <v>408</v>
      </c>
      <c r="N3564" s="25" t="s">
        <v>11</v>
      </c>
      <c r="O3564" s="25" t="s">
        <v>11</v>
      </c>
      <c r="P3564" s="25" t="s">
        <v>2</v>
      </c>
      <c r="Q3564" s="25" t="s">
        <v>408</v>
      </c>
      <c r="R3564" s="25" t="s">
        <v>439</v>
      </c>
      <c r="S3564" s="25" t="s">
        <v>440</v>
      </c>
      <c r="T3564" s="25" t="s">
        <v>11</v>
      </c>
      <c r="U3564" s="25" t="s">
        <v>408</v>
      </c>
    </row>
    <row r="3565" spans="1:21" x14ac:dyDescent="0.25">
      <c r="A3565" s="26">
        <v>26234432</v>
      </c>
      <c r="B3565" s="25" t="s">
        <v>340</v>
      </c>
      <c r="C3565" s="25" t="s">
        <v>15</v>
      </c>
      <c r="D3565" s="25" t="s">
        <v>12</v>
      </c>
      <c r="E3565" s="25" t="s">
        <v>639</v>
      </c>
      <c r="F3565" s="25" t="s">
        <v>662</v>
      </c>
      <c r="G3565" s="25" t="s">
        <v>369</v>
      </c>
      <c r="H3565" s="25" t="s">
        <v>1</v>
      </c>
      <c r="I3565" s="25" t="s">
        <v>469</v>
      </c>
      <c r="J3565" s="25" t="s">
        <v>445</v>
      </c>
      <c r="K3565" s="25" t="s">
        <v>438</v>
      </c>
      <c r="L3565" s="25" t="s">
        <v>2</v>
      </c>
      <c r="M3565" s="25" t="s">
        <v>408</v>
      </c>
      <c r="N3565" s="25" t="s">
        <v>11</v>
      </c>
      <c r="O3565" s="25" t="s">
        <v>11</v>
      </c>
      <c r="P3565" s="25" t="s">
        <v>2</v>
      </c>
      <c r="Q3565" s="25" t="s">
        <v>408</v>
      </c>
      <c r="R3565" s="25" t="s">
        <v>439</v>
      </c>
      <c r="S3565" s="25" t="s">
        <v>440</v>
      </c>
      <c r="T3565" s="25" t="s">
        <v>11</v>
      </c>
      <c r="U3565" s="25" t="s">
        <v>408</v>
      </c>
    </row>
    <row r="3566" spans="1:21" x14ac:dyDescent="0.25">
      <c r="A3566" s="26">
        <v>26234433</v>
      </c>
      <c r="B3566" s="25" t="s">
        <v>342</v>
      </c>
      <c r="C3566" s="25" t="s">
        <v>13</v>
      </c>
      <c r="D3566" s="25" t="s">
        <v>12</v>
      </c>
      <c r="E3566" s="25" t="s">
        <v>639</v>
      </c>
      <c r="F3566" s="25" t="s">
        <v>662</v>
      </c>
      <c r="G3566" s="25" t="s">
        <v>369</v>
      </c>
      <c r="H3566" s="25" t="s">
        <v>1</v>
      </c>
      <c r="I3566" s="25" t="s">
        <v>469</v>
      </c>
      <c r="J3566" s="25" t="s">
        <v>445</v>
      </c>
      <c r="K3566" s="25" t="s">
        <v>438</v>
      </c>
      <c r="L3566" s="25" t="s">
        <v>2</v>
      </c>
      <c r="M3566" s="25" t="s">
        <v>408</v>
      </c>
      <c r="N3566" s="25" t="s">
        <v>11</v>
      </c>
      <c r="O3566" s="25" t="s">
        <v>11</v>
      </c>
      <c r="P3566" s="25" t="s">
        <v>2</v>
      </c>
      <c r="Q3566" s="25" t="s">
        <v>408</v>
      </c>
      <c r="R3566" s="25" t="s">
        <v>439</v>
      </c>
      <c r="S3566" s="25" t="s">
        <v>440</v>
      </c>
      <c r="T3566" s="25" t="s">
        <v>11</v>
      </c>
      <c r="U3566" s="25" t="s">
        <v>408</v>
      </c>
    </row>
    <row r="3567" spans="1:21" x14ac:dyDescent="0.25">
      <c r="A3567" s="26">
        <v>26234434</v>
      </c>
      <c r="B3567" s="25" t="s">
        <v>342</v>
      </c>
      <c r="C3567" s="25" t="s">
        <v>13</v>
      </c>
      <c r="D3567" s="25" t="s">
        <v>12</v>
      </c>
      <c r="E3567" s="25" t="s">
        <v>639</v>
      </c>
      <c r="F3567" s="25" t="s">
        <v>662</v>
      </c>
      <c r="G3567" s="25" t="s">
        <v>369</v>
      </c>
      <c r="H3567" s="25" t="s">
        <v>5</v>
      </c>
      <c r="I3567" s="25" t="s">
        <v>436</v>
      </c>
      <c r="J3567" s="25" t="s">
        <v>446</v>
      </c>
      <c r="K3567" s="25" t="s">
        <v>438</v>
      </c>
      <c r="L3567" s="25" t="s">
        <v>2</v>
      </c>
      <c r="M3567" s="25" t="s">
        <v>408</v>
      </c>
      <c r="N3567" s="25" t="s">
        <v>11</v>
      </c>
      <c r="O3567" s="25" t="s">
        <v>11</v>
      </c>
      <c r="P3567" s="25" t="s">
        <v>2</v>
      </c>
      <c r="Q3567" s="25" t="s">
        <v>408</v>
      </c>
      <c r="R3567" s="25" t="s">
        <v>439</v>
      </c>
      <c r="S3567" s="25" t="s">
        <v>440</v>
      </c>
      <c r="T3567" s="25" t="s">
        <v>11</v>
      </c>
      <c r="U3567" s="25" t="s">
        <v>408</v>
      </c>
    </row>
    <row r="3568" spans="1:21" x14ac:dyDescent="0.25">
      <c r="A3568" s="26">
        <v>26234435</v>
      </c>
      <c r="B3568" s="25" t="s">
        <v>342</v>
      </c>
      <c r="C3568" s="25" t="s">
        <v>13</v>
      </c>
      <c r="D3568" s="25" t="s">
        <v>12</v>
      </c>
      <c r="E3568" s="25" t="s">
        <v>639</v>
      </c>
      <c r="F3568" s="25" t="s">
        <v>662</v>
      </c>
      <c r="G3568" s="25" t="s">
        <v>369</v>
      </c>
      <c r="H3568" s="25" t="s">
        <v>1</v>
      </c>
      <c r="I3568" s="25" t="s">
        <v>469</v>
      </c>
      <c r="J3568" s="25" t="s">
        <v>445</v>
      </c>
      <c r="K3568" s="25" t="s">
        <v>438</v>
      </c>
      <c r="L3568" s="25" t="s">
        <v>2</v>
      </c>
      <c r="M3568" s="25" t="s">
        <v>408</v>
      </c>
      <c r="N3568" s="25" t="s">
        <v>11</v>
      </c>
      <c r="O3568" s="25" t="s">
        <v>11</v>
      </c>
      <c r="P3568" s="25" t="s">
        <v>2</v>
      </c>
      <c r="Q3568" s="25" t="s">
        <v>408</v>
      </c>
      <c r="R3568" s="25" t="s">
        <v>439</v>
      </c>
      <c r="S3568" s="25" t="s">
        <v>440</v>
      </c>
      <c r="T3568" s="25" t="s">
        <v>11</v>
      </c>
      <c r="U3568" s="25" t="s">
        <v>408</v>
      </c>
    </row>
    <row r="3569" spans="1:21" x14ac:dyDescent="0.25">
      <c r="A3569" s="26">
        <v>26234436</v>
      </c>
      <c r="B3569" s="25" t="s">
        <v>342</v>
      </c>
      <c r="C3569" s="25" t="s">
        <v>13</v>
      </c>
      <c r="D3569" s="25" t="s">
        <v>18</v>
      </c>
      <c r="E3569" s="25" t="s">
        <v>639</v>
      </c>
      <c r="F3569" s="25" t="s">
        <v>662</v>
      </c>
      <c r="G3569" s="25" t="s">
        <v>369</v>
      </c>
      <c r="H3569" s="25" t="s">
        <v>5</v>
      </c>
      <c r="I3569" s="25" t="s">
        <v>436</v>
      </c>
      <c r="J3569" s="25" t="s">
        <v>446</v>
      </c>
      <c r="K3569" s="25" t="s">
        <v>438</v>
      </c>
      <c r="L3569" s="25" t="s">
        <v>2</v>
      </c>
      <c r="M3569" s="25" t="s">
        <v>408</v>
      </c>
      <c r="N3569" s="25" t="s">
        <v>11</v>
      </c>
      <c r="O3569" s="25" t="s">
        <v>11</v>
      </c>
      <c r="P3569" s="25" t="s">
        <v>2</v>
      </c>
      <c r="Q3569" s="25" t="s">
        <v>408</v>
      </c>
      <c r="R3569" s="25" t="s">
        <v>439</v>
      </c>
      <c r="S3569" s="25" t="s">
        <v>440</v>
      </c>
      <c r="T3569" s="25" t="s">
        <v>11</v>
      </c>
      <c r="U3569" s="25" t="s">
        <v>408</v>
      </c>
    </row>
    <row r="3570" spans="1:21" x14ac:dyDescent="0.25">
      <c r="A3570" s="26">
        <v>26234437</v>
      </c>
      <c r="B3570" s="25" t="s">
        <v>340</v>
      </c>
      <c r="C3570" s="25" t="s">
        <v>15</v>
      </c>
      <c r="D3570" s="25" t="s">
        <v>12</v>
      </c>
      <c r="E3570" s="25" t="s">
        <v>639</v>
      </c>
      <c r="F3570" s="25" t="s">
        <v>662</v>
      </c>
      <c r="G3570" s="25" t="s">
        <v>369</v>
      </c>
      <c r="H3570" s="25" t="s">
        <v>1</v>
      </c>
      <c r="I3570" s="25" t="s">
        <v>469</v>
      </c>
      <c r="J3570" s="25" t="s">
        <v>445</v>
      </c>
      <c r="K3570" s="25" t="s">
        <v>438</v>
      </c>
      <c r="L3570" s="25" t="s">
        <v>2</v>
      </c>
      <c r="M3570" s="25" t="s">
        <v>408</v>
      </c>
      <c r="N3570" s="25" t="s">
        <v>11</v>
      </c>
      <c r="O3570" s="25" t="s">
        <v>11</v>
      </c>
      <c r="P3570" s="25" t="s">
        <v>2</v>
      </c>
      <c r="Q3570" s="25" t="s">
        <v>408</v>
      </c>
      <c r="R3570" s="25" t="s">
        <v>439</v>
      </c>
      <c r="S3570" s="25" t="s">
        <v>440</v>
      </c>
      <c r="T3570" s="25" t="s">
        <v>11</v>
      </c>
      <c r="U3570" s="25" t="s">
        <v>408</v>
      </c>
    </row>
    <row r="3571" spans="1:21" x14ac:dyDescent="0.25">
      <c r="A3571" s="26">
        <v>26234438</v>
      </c>
      <c r="B3571" s="25" t="s">
        <v>340</v>
      </c>
      <c r="C3571" s="25" t="s">
        <v>15</v>
      </c>
      <c r="D3571" s="25" t="s">
        <v>18</v>
      </c>
      <c r="E3571" s="25" t="s">
        <v>639</v>
      </c>
      <c r="F3571" s="25" t="s">
        <v>662</v>
      </c>
      <c r="G3571" s="25" t="s">
        <v>369</v>
      </c>
      <c r="H3571" s="25" t="s">
        <v>1</v>
      </c>
      <c r="I3571" s="25" t="s">
        <v>469</v>
      </c>
      <c r="J3571" s="25" t="s">
        <v>445</v>
      </c>
      <c r="K3571" s="25" t="s">
        <v>438</v>
      </c>
      <c r="L3571" s="25" t="s">
        <v>2</v>
      </c>
      <c r="M3571" s="25" t="s">
        <v>408</v>
      </c>
      <c r="N3571" s="25" t="s">
        <v>11</v>
      </c>
      <c r="O3571" s="25" t="s">
        <v>11</v>
      </c>
      <c r="P3571" s="25" t="s">
        <v>2</v>
      </c>
      <c r="Q3571" s="25" t="s">
        <v>408</v>
      </c>
      <c r="R3571" s="25" t="s">
        <v>439</v>
      </c>
      <c r="S3571" s="25" t="s">
        <v>440</v>
      </c>
      <c r="T3571" s="25" t="s">
        <v>11</v>
      </c>
      <c r="U3571" s="25" t="s">
        <v>408</v>
      </c>
    </row>
    <row r="3572" spans="1:21" x14ac:dyDescent="0.25">
      <c r="A3572" s="26">
        <v>26234439</v>
      </c>
      <c r="B3572" s="25" t="s">
        <v>340</v>
      </c>
      <c r="C3572" s="25" t="s">
        <v>15</v>
      </c>
      <c r="D3572" s="25" t="s">
        <v>12</v>
      </c>
      <c r="E3572" s="25" t="s">
        <v>639</v>
      </c>
      <c r="F3572" s="25" t="s">
        <v>662</v>
      </c>
      <c r="G3572" s="25" t="s">
        <v>369</v>
      </c>
      <c r="H3572" s="25" t="s">
        <v>1</v>
      </c>
      <c r="I3572" s="25" t="s">
        <v>469</v>
      </c>
      <c r="J3572" s="25" t="s">
        <v>445</v>
      </c>
      <c r="K3572" s="25" t="s">
        <v>438</v>
      </c>
      <c r="L3572" s="25" t="s">
        <v>2</v>
      </c>
      <c r="M3572" s="25" t="s">
        <v>408</v>
      </c>
      <c r="N3572" s="25" t="s">
        <v>11</v>
      </c>
      <c r="O3572" s="25" t="s">
        <v>11</v>
      </c>
      <c r="P3572" s="25" t="s">
        <v>2</v>
      </c>
      <c r="Q3572" s="25" t="s">
        <v>408</v>
      </c>
      <c r="R3572" s="25" t="s">
        <v>439</v>
      </c>
      <c r="S3572" s="25" t="s">
        <v>440</v>
      </c>
      <c r="T3572" s="25" t="s">
        <v>11</v>
      </c>
      <c r="U3572" s="25" t="s">
        <v>408</v>
      </c>
    </row>
    <row r="3573" spans="1:21" x14ac:dyDescent="0.25">
      <c r="A3573" s="26">
        <v>26234440</v>
      </c>
      <c r="B3573" s="25" t="s">
        <v>342</v>
      </c>
      <c r="C3573" s="25" t="s">
        <v>13</v>
      </c>
      <c r="D3573" s="25" t="s">
        <v>18</v>
      </c>
      <c r="E3573" s="25" t="s">
        <v>639</v>
      </c>
      <c r="F3573" s="25" t="s">
        <v>662</v>
      </c>
      <c r="G3573" s="25" t="s">
        <v>369</v>
      </c>
      <c r="H3573" s="25" t="s">
        <v>1</v>
      </c>
      <c r="I3573" s="25" t="s">
        <v>469</v>
      </c>
      <c r="J3573" s="25" t="s">
        <v>445</v>
      </c>
      <c r="K3573" s="25" t="s">
        <v>438</v>
      </c>
      <c r="L3573" s="25" t="s">
        <v>2</v>
      </c>
      <c r="M3573" s="25" t="s">
        <v>408</v>
      </c>
      <c r="N3573" s="25" t="s">
        <v>11</v>
      </c>
      <c r="O3573" s="25" t="s">
        <v>11</v>
      </c>
      <c r="P3573" s="25" t="s">
        <v>2</v>
      </c>
      <c r="Q3573" s="25" t="s">
        <v>408</v>
      </c>
      <c r="R3573" s="25" t="s">
        <v>439</v>
      </c>
      <c r="S3573" s="25" t="s">
        <v>440</v>
      </c>
      <c r="T3573" s="25" t="s">
        <v>11</v>
      </c>
      <c r="U3573" s="25" t="s">
        <v>408</v>
      </c>
    </row>
    <row r="3574" spans="1:21" x14ac:dyDescent="0.25">
      <c r="A3574" s="26">
        <v>26234441</v>
      </c>
      <c r="B3574" s="25" t="s">
        <v>342</v>
      </c>
      <c r="C3574" s="25" t="s">
        <v>13</v>
      </c>
      <c r="D3574" s="25" t="s">
        <v>12</v>
      </c>
      <c r="E3574" s="25" t="s">
        <v>639</v>
      </c>
      <c r="F3574" s="25" t="s">
        <v>662</v>
      </c>
      <c r="G3574" s="25" t="s">
        <v>369</v>
      </c>
      <c r="H3574" s="25" t="s">
        <v>1</v>
      </c>
      <c r="I3574" s="25" t="s">
        <v>469</v>
      </c>
      <c r="J3574" s="25" t="s">
        <v>445</v>
      </c>
      <c r="K3574" s="25" t="s">
        <v>438</v>
      </c>
      <c r="L3574" s="25" t="s">
        <v>2</v>
      </c>
      <c r="M3574" s="25" t="s">
        <v>408</v>
      </c>
      <c r="N3574" s="25" t="s">
        <v>11</v>
      </c>
      <c r="O3574" s="25" t="s">
        <v>11</v>
      </c>
      <c r="P3574" s="25" t="s">
        <v>2</v>
      </c>
      <c r="Q3574" s="25" t="s">
        <v>408</v>
      </c>
      <c r="R3574" s="25" t="s">
        <v>439</v>
      </c>
      <c r="S3574" s="25" t="s">
        <v>440</v>
      </c>
      <c r="T3574" s="25" t="s">
        <v>11</v>
      </c>
      <c r="U3574" s="25" t="s">
        <v>408</v>
      </c>
    </row>
    <row r="3575" spans="1:21" x14ac:dyDescent="0.25">
      <c r="A3575" s="26">
        <v>26234442</v>
      </c>
      <c r="B3575" s="25" t="s">
        <v>342</v>
      </c>
      <c r="C3575" s="25" t="s">
        <v>13</v>
      </c>
      <c r="D3575" s="25" t="s">
        <v>12</v>
      </c>
      <c r="E3575" s="25" t="s">
        <v>639</v>
      </c>
      <c r="F3575" s="25" t="s">
        <v>662</v>
      </c>
      <c r="G3575" s="25" t="s">
        <v>369</v>
      </c>
      <c r="H3575" s="25" t="s">
        <v>2</v>
      </c>
      <c r="I3575" s="25" t="s">
        <v>436</v>
      </c>
      <c r="J3575" s="25" t="s">
        <v>443</v>
      </c>
      <c r="K3575" s="25" t="s">
        <v>444</v>
      </c>
      <c r="L3575" s="25" t="s">
        <v>345</v>
      </c>
      <c r="M3575" s="25" t="s">
        <v>408</v>
      </c>
      <c r="N3575" s="25" t="s">
        <v>11</v>
      </c>
      <c r="O3575" s="25" t="s">
        <v>11</v>
      </c>
      <c r="P3575" s="25" t="s">
        <v>2</v>
      </c>
      <c r="Q3575" s="25" t="s">
        <v>408</v>
      </c>
      <c r="R3575" s="25" t="s">
        <v>439</v>
      </c>
      <c r="S3575" s="25" t="s">
        <v>440</v>
      </c>
      <c r="T3575" s="25" t="s">
        <v>11</v>
      </c>
      <c r="U3575" s="25" t="s">
        <v>408</v>
      </c>
    </row>
    <row r="3576" spans="1:21" x14ac:dyDescent="0.25">
      <c r="A3576" s="26">
        <v>26234443</v>
      </c>
      <c r="B3576" s="25" t="s">
        <v>342</v>
      </c>
      <c r="C3576" s="25" t="s">
        <v>13</v>
      </c>
      <c r="D3576" s="25" t="s">
        <v>12</v>
      </c>
      <c r="E3576" s="25" t="s">
        <v>639</v>
      </c>
      <c r="F3576" s="25" t="s">
        <v>662</v>
      </c>
      <c r="G3576" s="25" t="s">
        <v>369</v>
      </c>
      <c r="H3576" s="25" t="s">
        <v>1</v>
      </c>
      <c r="I3576" s="25" t="s">
        <v>469</v>
      </c>
      <c r="J3576" s="25" t="s">
        <v>445</v>
      </c>
      <c r="K3576" s="25" t="s">
        <v>438</v>
      </c>
      <c r="L3576" s="25" t="s">
        <v>2</v>
      </c>
      <c r="M3576" s="25" t="s">
        <v>408</v>
      </c>
      <c r="N3576" s="25" t="s">
        <v>11</v>
      </c>
      <c r="O3576" s="25" t="s">
        <v>11</v>
      </c>
      <c r="P3576" s="25" t="s">
        <v>2</v>
      </c>
      <c r="Q3576" s="25" t="s">
        <v>408</v>
      </c>
      <c r="R3576" s="25" t="s">
        <v>439</v>
      </c>
      <c r="S3576" s="25" t="s">
        <v>440</v>
      </c>
      <c r="T3576" s="25" t="s">
        <v>11</v>
      </c>
      <c r="U3576" s="25" t="s">
        <v>408</v>
      </c>
    </row>
    <row r="3577" spans="1:21" x14ac:dyDescent="0.25">
      <c r="A3577" s="26">
        <v>26234444</v>
      </c>
      <c r="B3577" s="25" t="s">
        <v>340</v>
      </c>
      <c r="C3577" s="25" t="s">
        <v>15</v>
      </c>
      <c r="D3577" s="25" t="s">
        <v>12</v>
      </c>
      <c r="E3577" s="25" t="s">
        <v>639</v>
      </c>
      <c r="F3577" s="25" t="s">
        <v>662</v>
      </c>
      <c r="G3577" s="25" t="s">
        <v>369</v>
      </c>
      <c r="H3577" s="25" t="s">
        <v>1</v>
      </c>
      <c r="I3577" s="25" t="s">
        <v>469</v>
      </c>
      <c r="J3577" s="25" t="s">
        <v>445</v>
      </c>
      <c r="K3577" s="25" t="s">
        <v>438</v>
      </c>
      <c r="L3577" s="25" t="s">
        <v>2</v>
      </c>
      <c r="M3577" s="25" t="s">
        <v>408</v>
      </c>
      <c r="N3577" s="25" t="s">
        <v>11</v>
      </c>
      <c r="O3577" s="25" t="s">
        <v>11</v>
      </c>
      <c r="P3577" s="25" t="s">
        <v>2</v>
      </c>
      <c r="Q3577" s="25" t="s">
        <v>408</v>
      </c>
      <c r="R3577" s="25" t="s">
        <v>439</v>
      </c>
      <c r="S3577" s="25" t="s">
        <v>440</v>
      </c>
      <c r="T3577" s="25" t="s">
        <v>11</v>
      </c>
      <c r="U3577" s="25" t="s">
        <v>408</v>
      </c>
    </row>
    <row r="3578" spans="1:21" x14ac:dyDescent="0.25">
      <c r="A3578" s="26">
        <v>26234445</v>
      </c>
      <c r="B3578" s="25" t="s">
        <v>342</v>
      </c>
      <c r="C3578" s="25" t="s">
        <v>13</v>
      </c>
      <c r="D3578" s="25" t="s">
        <v>12</v>
      </c>
      <c r="E3578" s="25" t="s">
        <v>639</v>
      </c>
      <c r="F3578" s="25" t="s">
        <v>662</v>
      </c>
      <c r="G3578" s="25" t="s">
        <v>369</v>
      </c>
      <c r="H3578" s="25" t="s">
        <v>5</v>
      </c>
      <c r="I3578" s="25" t="s">
        <v>436</v>
      </c>
      <c r="J3578" s="25" t="s">
        <v>446</v>
      </c>
      <c r="K3578" s="25" t="s">
        <v>438</v>
      </c>
      <c r="L3578" s="25" t="s">
        <v>2</v>
      </c>
      <c r="M3578" s="25" t="s">
        <v>408</v>
      </c>
      <c r="N3578" s="25" t="s">
        <v>11</v>
      </c>
      <c r="O3578" s="25" t="s">
        <v>11</v>
      </c>
      <c r="P3578" s="25" t="s">
        <v>2</v>
      </c>
      <c r="Q3578" s="25" t="s">
        <v>408</v>
      </c>
      <c r="R3578" s="25" t="s">
        <v>439</v>
      </c>
      <c r="S3578" s="25" t="s">
        <v>440</v>
      </c>
      <c r="T3578" s="25" t="s">
        <v>11</v>
      </c>
      <c r="U3578" s="25" t="s">
        <v>408</v>
      </c>
    </row>
    <row r="3579" spans="1:21" x14ac:dyDescent="0.25">
      <c r="A3579" s="26">
        <v>26234446</v>
      </c>
      <c r="B3579" s="25" t="s">
        <v>342</v>
      </c>
      <c r="C3579" s="25" t="s">
        <v>13</v>
      </c>
      <c r="D3579" s="25" t="s">
        <v>12</v>
      </c>
      <c r="E3579" s="25" t="s">
        <v>638</v>
      </c>
      <c r="F3579" s="25" t="s">
        <v>577</v>
      </c>
      <c r="G3579" s="25" t="s">
        <v>369</v>
      </c>
      <c r="H3579" s="25" t="s">
        <v>2</v>
      </c>
      <c r="I3579" s="25" t="s">
        <v>436</v>
      </c>
      <c r="J3579" s="25" t="s">
        <v>443</v>
      </c>
      <c r="K3579" s="25" t="s">
        <v>444</v>
      </c>
      <c r="L3579" s="25" t="s">
        <v>345</v>
      </c>
      <c r="M3579" s="25" t="s">
        <v>408</v>
      </c>
      <c r="N3579" s="25" t="s">
        <v>11</v>
      </c>
      <c r="O3579" s="25" t="s">
        <v>11</v>
      </c>
      <c r="P3579" s="25" t="s">
        <v>2</v>
      </c>
      <c r="Q3579" s="25" t="s">
        <v>408</v>
      </c>
      <c r="R3579" s="25" t="s">
        <v>439</v>
      </c>
      <c r="S3579" s="25" t="s">
        <v>440</v>
      </c>
      <c r="T3579" s="25" t="s">
        <v>11</v>
      </c>
      <c r="U3579" s="25" t="s">
        <v>408</v>
      </c>
    </row>
    <row r="3580" spans="1:21" x14ac:dyDescent="0.25">
      <c r="A3580" s="26">
        <v>26234447</v>
      </c>
      <c r="B3580" s="25" t="s">
        <v>340</v>
      </c>
      <c r="C3580" s="25" t="s">
        <v>15</v>
      </c>
      <c r="D3580" s="25" t="s">
        <v>12</v>
      </c>
      <c r="E3580" s="25" t="s">
        <v>638</v>
      </c>
      <c r="F3580" s="25" t="s">
        <v>577</v>
      </c>
      <c r="G3580" s="25" t="s">
        <v>369</v>
      </c>
      <c r="H3580" s="25" t="s">
        <v>1</v>
      </c>
      <c r="I3580" s="25" t="s">
        <v>469</v>
      </c>
      <c r="J3580" s="25" t="s">
        <v>445</v>
      </c>
      <c r="K3580" s="25" t="s">
        <v>438</v>
      </c>
      <c r="L3580" s="25" t="s">
        <v>2</v>
      </c>
      <c r="M3580" s="25" t="s">
        <v>408</v>
      </c>
      <c r="N3580" s="25" t="s">
        <v>11</v>
      </c>
      <c r="O3580" s="25" t="s">
        <v>11</v>
      </c>
      <c r="P3580" s="25" t="s">
        <v>2</v>
      </c>
      <c r="Q3580" s="25" t="s">
        <v>408</v>
      </c>
      <c r="R3580" s="25" t="s">
        <v>439</v>
      </c>
      <c r="S3580" s="25" t="s">
        <v>440</v>
      </c>
      <c r="T3580" s="25" t="s">
        <v>11</v>
      </c>
      <c r="U3580" s="25" t="s">
        <v>408</v>
      </c>
    </row>
    <row r="3581" spans="1:21" x14ac:dyDescent="0.25">
      <c r="A3581" s="26">
        <v>26234448</v>
      </c>
      <c r="B3581" s="25" t="s">
        <v>340</v>
      </c>
      <c r="C3581" s="25" t="s">
        <v>15</v>
      </c>
      <c r="D3581" s="25" t="s">
        <v>12</v>
      </c>
      <c r="E3581" s="25" t="s">
        <v>638</v>
      </c>
      <c r="F3581" s="25" t="s">
        <v>577</v>
      </c>
      <c r="G3581" s="25" t="s">
        <v>369</v>
      </c>
      <c r="H3581" s="25" t="s">
        <v>1</v>
      </c>
      <c r="I3581" s="25" t="s">
        <v>469</v>
      </c>
      <c r="J3581" s="25" t="s">
        <v>445</v>
      </c>
      <c r="K3581" s="25" t="s">
        <v>438</v>
      </c>
      <c r="L3581" s="25" t="s">
        <v>2</v>
      </c>
      <c r="M3581" s="25" t="s">
        <v>408</v>
      </c>
      <c r="N3581" s="25" t="s">
        <v>11</v>
      </c>
      <c r="O3581" s="25" t="s">
        <v>11</v>
      </c>
      <c r="P3581" s="25" t="s">
        <v>2</v>
      </c>
      <c r="Q3581" s="25" t="s">
        <v>408</v>
      </c>
      <c r="R3581" s="25" t="s">
        <v>439</v>
      </c>
      <c r="S3581" s="25" t="s">
        <v>440</v>
      </c>
      <c r="T3581" s="25" t="s">
        <v>11</v>
      </c>
      <c r="U3581" s="25" t="s">
        <v>408</v>
      </c>
    </row>
    <row r="3582" spans="1:21" x14ac:dyDescent="0.25">
      <c r="A3582" s="26">
        <v>26234449</v>
      </c>
      <c r="B3582" s="25" t="s">
        <v>342</v>
      </c>
      <c r="C3582" s="25" t="s">
        <v>13</v>
      </c>
      <c r="D3582" s="25" t="s">
        <v>12</v>
      </c>
      <c r="E3582" s="25" t="s">
        <v>638</v>
      </c>
      <c r="F3582" s="25" t="s">
        <v>577</v>
      </c>
      <c r="G3582" s="25" t="s">
        <v>369</v>
      </c>
      <c r="H3582" s="25" t="s">
        <v>1</v>
      </c>
      <c r="I3582" s="25" t="s">
        <v>469</v>
      </c>
      <c r="J3582" s="25" t="s">
        <v>445</v>
      </c>
      <c r="K3582" s="25" t="s">
        <v>438</v>
      </c>
      <c r="L3582" s="25" t="s">
        <v>2</v>
      </c>
      <c r="M3582" s="25" t="s">
        <v>408</v>
      </c>
      <c r="N3582" s="25" t="s">
        <v>11</v>
      </c>
      <c r="O3582" s="25" t="s">
        <v>11</v>
      </c>
      <c r="P3582" s="25" t="s">
        <v>2</v>
      </c>
      <c r="Q3582" s="25" t="s">
        <v>408</v>
      </c>
      <c r="R3582" s="25" t="s">
        <v>439</v>
      </c>
      <c r="S3582" s="25" t="s">
        <v>440</v>
      </c>
      <c r="T3582" s="25" t="s">
        <v>11</v>
      </c>
      <c r="U3582" s="25" t="s">
        <v>408</v>
      </c>
    </row>
    <row r="3583" spans="1:21" x14ac:dyDescent="0.25">
      <c r="A3583" s="26">
        <v>26234450</v>
      </c>
      <c r="B3583" s="25" t="s">
        <v>342</v>
      </c>
      <c r="C3583" s="25" t="s">
        <v>13</v>
      </c>
      <c r="D3583" s="25" t="s">
        <v>12</v>
      </c>
      <c r="E3583" s="25" t="s">
        <v>638</v>
      </c>
      <c r="F3583" s="25" t="s">
        <v>577</v>
      </c>
      <c r="G3583" s="25" t="s">
        <v>369</v>
      </c>
      <c r="H3583" s="25" t="s">
        <v>1</v>
      </c>
      <c r="I3583" s="25" t="s">
        <v>469</v>
      </c>
      <c r="J3583" s="25" t="s">
        <v>445</v>
      </c>
      <c r="K3583" s="25" t="s">
        <v>438</v>
      </c>
      <c r="L3583" s="25" t="s">
        <v>2</v>
      </c>
      <c r="M3583" s="25" t="s">
        <v>408</v>
      </c>
      <c r="N3583" s="25" t="s">
        <v>11</v>
      </c>
      <c r="O3583" s="25" t="s">
        <v>11</v>
      </c>
      <c r="P3583" s="25" t="s">
        <v>2</v>
      </c>
      <c r="Q3583" s="25" t="s">
        <v>408</v>
      </c>
      <c r="R3583" s="25" t="s">
        <v>439</v>
      </c>
      <c r="S3583" s="25" t="s">
        <v>440</v>
      </c>
      <c r="T3583" s="25" t="s">
        <v>11</v>
      </c>
      <c r="U3583" s="25" t="s">
        <v>408</v>
      </c>
    </row>
    <row r="3584" spans="1:21" x14ac:dyDescent="0.25">
      <c r="A3584" s="26">
        <v>26234451</v>
      </c>
      <c r="B3584" s="25" t="s">
        <v>340</v>
      </c>
      <c r="C3584" s="25" t="s">
        <v>15</v>
      </c>
      <c r="D3584" s="25" t="s">
        <v>18</v>
      </c>
      <c r="E3584" s="25" t="s">
        <v>638</v>
      </c>
      <c r="F3584" s="25" t="s">
        <v>577</v>
      </c>
      <c r="G3584" s="25" t="s">
        <v>369</v>
      </c>
      <c r="H3584" s="25" t="s">
        <v>1</v>
      </c>
      <c r="I3584" s="25" t="s">
        <v>469</v>
      </c>
      <c r="J3584" s="25" t="s">
        <v>445</v>
      </c>
      <c r="K3584" s="25" t="s">
        <v>438</v>
      </c>
      <c r="L3584" s="25" t="s">
        <v>2</v>
      </c>
      <c r="M3584" s="25" t="s">
        <v>408</v>
      </c>
      <c r="N3584" s="25" t="s">
        <v>11</v>
      </c>
      <c r="O3584" s="25" t="s">
        <v>11</v>
      </c>
      <c r="P3584" s="25" t="s">
        <v>2</v>
      </c>
      <c r="Q3584" s="25" t="s">
        <v>408</v>
      </c>
      <c r="R3584" s="25" t="s">
        <v>439</v>
      </c>
      <c r="S3584" s="25" t="s">
        <v>440</v>
      </c>
      <c r="T3584" s="25" t="s">
        <v>11</v>
      </c>
      <c r="U3584" s="25" t="s">
        <v>408</v>
      </c>
    </row>
    <row r="3585" spans="1:21" x14ac:dyDescent="0.25">
      <c r="A3585" s="26">
        <v>26234452</v>
      </c>
      <c r="B3585" s="25" t="s">
        <v>342</v>
      </c>
      <c r="C3585" s="25" t="s">
        <v>13</v>
      </c>
      <c r="D3585" s="25" t="s">
        <v>12</v>
      </c>
      <c r="E3585" s="25" t="s">
        <v>638</v>
      </c>
      <c r="F3585" s="25" t="s">
        <v>577</v>
      </c>
      <c r="G3585" s="25" t="s">
        <v>369</v>
      </c>
      <c r="H3585" s="25" t="s">
        <v>1</v>
      </c>
      <c r="I3585" s="25" t="s">
        <v>469</v>
      </c>
      <c r="J3585" s="25" t="s">
        <v>445</v>
      </c>
      <c r="K3585" s="25" t="s">
        <v>438</v>
      </c>
      <c r="L3585" s="25" t="s">
        <v>2</v>
      </c>
      <c r="M3585" s="25" t="s">
        <v>408</v>
      </c>
      <c r="N3585" s="25" t="s">
        <v>11</v>
      </c>
      <c r="O3585" s="25" t="s">
        <v>11</v>
      </c>
      <c r="P3585" s="25" t="s">
        <v>2</v>
      </c>
      <c r="Q3585" s="25" t="s">
        <v>408</v>
      </c>
      <c r="R3585" s="25" t="s">
        <v>439</v>
      </c>
      <c r="S3585" s="25" t="s">
        <v>440</v>
      </c>
      <c r="T3585" s="25" t="s">
        <v>11</v>
      </c>
      <c r="U3585" s="25" t="s">
        <v>408</v>
      </c>
    </row>
    <row r="3586" spans="1:21" x14ac:dyDescent="0.25">
      <c r="A3586" s="26">
        <v>26234453</v>
      </c>
      <c r="B3586" s="25" t="s">
        <v>340</v>
      </c>
      <c r="C3586" s="25" t="s">
        <v>15</v>
      </c>
      <c r="D3586" s="25" t="s">
        <v>12</v>
      </c>
      <c r="E3586" s="25" t="s">
        <v>638</v>
      </c>
      <c r="F3586" s="25" t="s">
        <v>577</v>
      </c>
      <c r="G3586" s="25" t="s">
        <v>369</v>
      </c>
      <c r="H3586" s="25" t="s">
        <v>1</v>
      </c>
      <c r="I3586" s="25" t="s">
        <v>469</v>
      </c>
      <c r="J3586" s="25" t="s">
        <v>445</v>
      </c>
      <c r="K3586" s="25" t="s">
        <v>438</v>
      </c>
      <c r="L3586" s="25" t="s">
        <v>2</v>
      </c>
      <c r="M3586" s="25" t="s">
        <v>408</v>
      </c>
      <c r="N3586" s="25" t="s">
        <v>11</v>
      </c>
      <c r="O3586" s="25" t="s">
        <v>11</v>
      </c>
      <c r="P3586" s="25" t="s">
        <v>2</v>
      </c>
      <c r="Q3586" s="25" t="s">
        <v>408</v>
      </c>
      <c r="R3586" s="25" t="s">
        <v>439</v>
      </c>
      <c r="S3586" s="25" t="s">
        <v>440</v>
      </c>
      <c r="T3586" s="25" t="s">
        <v>11</v>
      </c>
      <c r="U3586" s="25" t="s">
        <v>408</v>
      </c>
    </row>
    <row r="3587" spans="1:21" x14ac:dyDescent="0.25">
      <c r="A3587" s="26">
        <v>26234454</v>
      </c>
      <c r="B3587" s="25" t="s">
        <v>342</v>
      </c>
      <c r="C3587" s="25" t="s">
        <v>13</v>
      </c>
      <c r="D3587" s="25" t="s">
        <v>12</v>
      </c>
      <c r="E3587" s="25" t="s">
        <v>638</v>
      </c>
      <c r="F3587" s="25" t="s">
        <v>577</v>
      </c>
      <c r="G3587" s="25" t="s">
        <v>369</v>
      </c>
      <c r="H3587" s="25" t="s">
        <v>5</v>
      </c>
      <c r="I3587" s="25" t="s">
        <v>436</v>
      </c>
      <c r="J3587" s="25" t="s">
        <v>446</v>
      </c>
      <c r="K3587" s="25" t="s">
        <v>438</v>
      </c>
      <c r="L3587" s="25" t="s">
        <v>2</v>
      </c>
      <c r="M3587" s="25" t="s">
        <v>408</v>
      </c>
      <c r="N3587" s="25" t="s">
        <v>11</v>
      </c>
      <c r="O3587" s="25" t="s">
        <v>11</v>
      </c>
      <c r="P3587" s="25" t="s">
        <v>2</v>
      </c>
      <c r="Q3587" s="25" t="s">
        <v>408</v>
      </c>
      <c r="R3587" s="25" t="s">
        <v>439</v>
      </c>
      <c r="S3587" s="25" t="s">
        <v>440</v>
      </c>
      <c r="T3587" s="25" t="s">
        <v>11</v>
      </c>
      <c r="U3587" s="25" t="s">
        <v>408</v>
      </c>
    </row>
    <row r="3588" spans="1:21" x14ac:dyDescent="0.25">
      <c r="A3588" s="26">
        <v>26234455</v>
      </c>
      <c r="B3588" s="25" t="s">
        <v>342</v>
      </c>
      <c r="C3588" s="25" t="s">
        <v>13</v>
      </c>
      <c r="D3588" s="25" t="s">
        <v>12</v>
      </c>
      <c r="E3588" s="25" t="s">
        <v>636</v>
      </c>
      <c r="F3588" s="25" t="s">
        <v>682</v>
      </c>
      <c r="G3588" s="25" t="s">
        <v>369</v>
      </c>
      <c r="H3588" s="25" t="s">
        <v>1</v>
      </c>
      <c r="I3588" s="25" t="s">
        <v>469</v>
      </c>
      <c r="J3588" s="25" t="s">
        <v>445</v>
      </c>
      <c r="K3588" s="25" t="s">
        <v>438</v>
      </c>
      <c r="L3588" s="25" t="s">
        <v>2</v>
      </c>
      <c r="M3588" s="25" t="s">
        <v>408</v>
      </c>
      <c r="N3588" s="25" t="s">
        <v>11</v>
      </c>
      <c r="O3588" s="25" t="s">
        <v>11</v>
      </c>
      <c r="P3588" s="25" t="s">
        <v>2</v>
      </c>
      <c r="Q3588" s="25" t="s">
        <v>408</v>
      </c>
      <c r="R3588" s="25" t="s">
        <v>439</v>
      </c>
      <c r="S3588" s="25" t="s">
        <v>440</v>
      </c>
      <c r="T3588" s="25" t="s">
        <v>11</v>
      </c>
      <c r="U3588" s="25" t="s">
        <v>408</v>
      </c>
    </row>
    <row r="3589" spans="1:21" x14ac:dyDescent="0.25">
      <c r="A3589" s="26">
        <v>26234456</v>
      </c>
      <c r="B3589" s="25" t="s">
        <v>342</v>
      </c>
      <c r="C3589" s="25" t="s">
        <v>13</v>
      </c>
      <c r="D3589" s="25" t="s">
        <v>12</v>
      </c>
      <c r="E3589" s="25" t="s">
        <v>636</v>
      </c>
      <c r="F3589" s="25" t="s">
        <v>687</v>
      </c>
      <c r="G3589" s="25" t="s">
        <v>369</v>
      </c>
      <c r="H3589" s="25" t="s">
        <v>1</v>
      </c>
      <c r="I3589" s="25" t="s">
        <v>469</v>
      </c>
      <c r="J3589" s="25" t="s">
        <v>445</v>
      </c>
      <c r="K3589" s="25" t="s">
        <v>438</v>
      </c>
      <c r="L3589" s="25" t="s">
        <v>2</v>
      </c>
      <c r="M3589" s="25" t="s">
        <v>408</v>
      </c>
      <c r="N3589" s="25" t="s">
        <v>11</v>
      </c>
      <c r="O3589" s="25" t="s">
        <v>11</v>
      </c>
      <c r="P3589" s="25" t="s">
        <v>2</v>
      </c>
      <c r="Q3589" s="25" t="s">
        <v>408</v>
      </c>
      <c r="R3589" s="25" t="s">
        <v>439</v>
      </c>
      <c r="S3589" s="25" t="s">
        <v>440</v>
      </c>
      <c r="T3589" s="25" t="s">
        <v>11</v>
      </c>
      <c r="U3589" s="25" t="s">
        <v>408</v>
      </c>
    </row>
    <row r="3590" spans="1:21" x14ac:dyDescent="0.25">
      <c r="A3590" s="26">
        <v>26234457</v>
      </c>
      <c r="B3590" s="25" t="s">
        <v>342</v>
      </c>
      <c r="C3590" s="25" t="s">
        <v>13</v>
      </c>
      <c r="D3590" s="25" t="s">
        <v>12</v>
      </c>
      <c r="E3590" s="25" t="s">
        <v>636</v>
      </c>
      <c r="F3590" s="25" t="s">
        <v>682</v>
      </c>
      <c r="G3590" s="25" t="s">
        <v>369</v>
      </c>
      <c r="H3590" s="25" t="s">
        <v>2</v>
      </c>
      <c r="I3590" s="25" t="s">
        <v>436</v>
      </c>
      <c r="J3590" s="25" t="s">
        <v>443</v>
      </c>
      <c r="K3590" s="25" t="s">
        <v>444</v>
      </c>
      <c r="L3590" s="25" t="s">
        <v>345</v>
      </c>
      <c r="M3590" s="25" t="s">
        <v>408</v>
      </c>
      <c r="N3590" s="25" t="s">
        <v>11</v>
      </c>
      <c r="O3590" s="25" t="s">
        <v>11</v>
      </c>
      <c r="P3590" s="25" t="s">
        <v>2</v>
      </c>
      <c r="Q3590" s="25" t="s">
        <v>408</v>
      </c>
      <c r="R3590" s="25" t="s">
        <v>439</v>
      </c>
      <c r="S3590" s="25" t="s">
        <v>440</v>
      </c>
      <c r="T3590" s="25" t="s">
        <v>11</v>
      </c>
      <c r="U3590" s="25" t="s">
        <v>408</v>
      </c>
    </row>
    <row r="3591" spans="1:21" x14ac:dyDescent="0.25">
      <c r="A3591" s="26">
        <v>26234458</v>
      </c>
      <c r="B3591" s="25" t="s">
        <v>342</v>
      </c>
      <c r="C3591" s="25" t="s">
        <v>13</v>
      </c>
      <c r="D3591" s="25" t="s">
        <v>12</v>
      </c>
      <c r="E3591" s="25" t="s">
        <v>636</v>
      </c>
      <c r="F3591" s="25" t="s">
        <v>682</v>
      </c>
      <c r="G3591" s="25" t="s">
        <v>369</v>
      </c>
      <c r="H3591" s="25" t="s">
        <v>1</v>
      </c>
      <c r="I3591" s="25" t="s">
        <v>469</v>
      </c>
      <c r="J3591" s="25" t="s">
        <v>445</v>
      </c>
      <c r="K3591" s="25" t="s">
        <v>438</v>
      </c>
      <c r="L3591" s="25" t="s">
        <v>2</v>
      </c>
      <c r="M3591" s="25" t="s">
        <v>408</v>
      </c>
      <c r="N3591" s="25" t="s">
        <v>11</v>
      </c>
      <c r="O3591" s="25" t="s">
        <v>11</v>
      </c>
      <c r="P3591" s="25" t="s">
        <v>2</v>
      </c>
      <c r="Q3591" s="25" t="s">
        <v>408</v>
      </c>
      <c r="R3591" s="25" t="s">
        <v>439</v>
      </c>
      <c r="S3591" s="25" t="s">
        <v>440</v>
      </c>
      <c r="T3591" s="25" t="s">
        <v>11</v>
      </c>
      <c r="U3591" s="25" t="s">
        <v>408</v>
      </c>
    </row>
    <row r="3592" spans="1:21" x14ac:dyDescent="0.25">
      <c r="A3592" s="26">
        <v>26234459</v>
      </c>
      <c r="B3592" s="25" t="s">
        <v>340</v>
      </c>
      <c r="C3592" s="25" t="s">
        <v>15</v>
      </c>
      <c r="D3592" s="25" t="s">
        <v>12</v>
      </c>
      <c r="E3592" s="25" t="s">
        <v>638</v>
      </c>
      <c r="F3592" s="25" t="s">
        <v>663</v>
      </c>
      <c r="G3592" s="25" t="s">
        <v>369</v>
      </c>
      <c r="H3592" s="25" t="s">
        <v>1</v>
      </c>
      <c r="I3592" s="25" t="s">
        <v>469</v>
      </c>
      <c r="J3592" s="25" t="s">
        <v>445</v>
      </c>
      <c r="K3592" s="25" t="s">
        <v>438</v>
      </c>
      <c r="L3592" s="25" t="s">
        <v>2</v>
      </c>
      <c r="M3592" s="25" t="s">
        <v>408</v>
      </c>
      <c r="N3592" s="25" t="s">
        <v>11</v>
      </c>
      <c r="O3592" s="25" t="s">
        <v>11</v>
      </c>
      <c r="P3592" s="25" t="s">
        <v>2</v>
      </c>
      <c r="Q3592" s="25" t="s">
        <v>408</v>
      </c>
      <c r="R3592" s="25" t="s">
        <v>439</v>
      </c>
      <c r="S3592" s="25" t="s">
        <v>440</v>
      </c>
      <c r="T3592" s="25" t="s">
        <v>11</v>
      </c>
      <c r="U3592" s="25" t="s">
        <v>408</v>
      </c>
    </row>
    <row r="3593" spans="1:21" x14ac:dyDescent="0.25">
      <c r="A3593" s="26">
        <v>26234461</v>
      </c>
      <c r="B3593" s="25" t="s">
        <v>342</v>
      </c>
      <c r="C3593" s="25" t="s">
        <v>13</v>
      </c>
      <c r="D3593" s="25" t="s">
        <v>12</v>
      </c>
      <c r="E3593" s="25" t="s">
        <v>636</v>
      </c>
      <c r="F3593" s="25" t="s">
        <v>684</v>
      </c>
      <c r="G3593" s="25" t="s">
        <v>369</v>
      </c>
      <c r="H3593" s="25" t="s">
        <v>0</v>
      </c>
      <c r="I3593" s="25" t="s">
        <v>436</v>
      </c>
      <c r="J3593" s="25" t="s">
        <v>437</v>
      </c>
      <c r="K3593" s="25" t="s">
        <v>438</v>
      </c>
      <c r="L3593" s="25" t="s">
        <v>345</v>
      </c>
      <c r="M3593" s="25" t="s">
        <v>408</v>
      </c>
      <c r="N3593" s="25" t="s">
        <v>11</v>
      </c>
      <c r="O3593" s="25" t="s">
        <v>11</v>
      </c>
      <c r="P3593" s="25" t="s">
        <v>0</v>
      </c>
      <c r="Q3593" s="25" t="s">
        <v>408</v>
      </c>
      <c r="R3593" s="25" t="s">
        <v>439</v>
      </c>
      <c r="S3593" s="25" t="s">
        <v>440</v>
      </c>
      <c r="T3593" s="25" t="s">
        <v>11</v>
      </c>
      <c r="U3593" s="25" t="s">
        <v>408</v>
      </c>
    </row>
    <row r="3594" spans="1:21" x14ac:dyDescent="0.25">
      <c r="A3594" s="26">
        <v>26234462</v>
      </c>
      <c r="B3594" s="25" t="s">
        <v>340</v>
      </c>
      <c r="C3594" s="25" t="s">
        <v>15</v>
      </c>
      <c r="D3594" s="25" t="s">
        <v>12</v>
      </c>
      <c r="E3594" s="25" t="s">
        <v>636</v>
      </c>
      <c r="F3594" s="25" t="s">
        <v>684</v>
      </c>
      <c r="G3594" s="25" t="s">
        <v>369</v>
      </c>
      <c r="H3594" s="25" t="s">
        <v>0</v>
      </c>
      <c r="I3594" s="25" t="s">
        <v>436</v>
      </c>
      <c r="J3594" s="25" t="s">
        <v>437</v>
      </c>
      <c r="K3594" s="25" t="s">
        <v>438</v>
      </c>
      <c r="L3594" s="25" t="s">
        <v>345</v>
      </c>
      <c r="M3594" s="25" t="s">
        <v>408</v>
      </c>
      <c r="N3594" s="25" t="s">
        <v>11</v>
      </c>
      <c r="O3594" s="25" t="s">
        <v>11</v>
      </c>
      <c r="P3594" s="25" t="s">
        <v>0</v>
      </c>
      <c r="Q3594" s="25" t="s">
        <v>408</v>
      </c>
      <c r="R3594" s="25" t="s">
        <v>439</v>
      </c>
      <c r="S3594" s="25" t="s">
        <v>440</v>
      </c>
      <c r="T3594" s="25" t="s">
        <v>11</v>
      </c>
      <c r="U3594" s="25" t="s">
        <v>408</v>
      </c>
    </row>
    <row r="3595" spans="1:21" x14ac:dyDescent="0.25">
      <c r="A3595" s="26">
        <v>26234463</v>
      </c>
      <c r="B3595" s="25" t="s">
        <v>340</v>
      </c>
      <c r="C3595" s="25" t="s">
        <v>15</v>
      </c>
      <c r="D3595" s="25" t="s">
        <v>18</v>
      </c>
      <c r="E3595" s="25" t="s">
        <v>636</v>
      </c>
      <c r="F3595" s="25" t="s">
        <v>684</v>
      </c>
      <c r="G3595" s="25" t="s">
        <v>369</v>
      </c>
      <c r="H3595" s="25" t="s">
        <v>0</v>
      </c>
      <c r="I3595" s="25" t="s">
        <v>436</v>
      </c>
      <c r="J3595" s="25" t="s">
        <v>437</v>
      </c>
      <c r="K3595" s="25" t="s">
        <v>438</v>
      </c>
      <c r="L3595" s="25" t="s">
        <v>345</v>
      </c>
      <c r="M3595" s="25" t="s">
        <v>408</v>
      </c>
      <c r="N3595" s="25" t="s">
        <v>11</v>
      </c>
      <c r="O3595" s="25" t="s">
        <v>11</v>
      </c>
      <c r="P3595" s="25" t="s">
        <v>0</v>
      </c>
      <c r="Q3595" s="25" t="s">
        <v>408</v>
      </c>
      <c r="R3595" s="25" t="s">
        <v>439</v>
      </c>
      <c r="S3595" s="25" t="s">
        <v>440</v>
      </c>
      <c r="T3595" s="25" t="s">
        <v>11</v>
      </c>
      <c r="U3595" s="25" t="s">
        <v>408</v>
      </c>
    </row>
    <row r="3596" spans="1:21" x14ac:dyDescent="0.25">
      <c r="A3596" s="26">
        <v>26234464</v>
      </c>
      <c r="B3596" s="25" t="s">
        <v>340</v>
      </c>
      <c r="C3596" s="25" t="s">
        <v>15</v>
      </c>
      <c r="D3596" s="25" t="s">
        <v>79</v>
      </c>
      <c r="E3596" s="25" t="s">
        <v>636</v>
      </c>
      <c r="F3596" s="25" t="s">
        <v>684</v>
      </c>
      <c r="G3596" s="25" t="s">
        <v>369</v>
      </c>
      <c r="H3596" s="25" t="s">
        <v>0</v>
      </c>
      <c r="I3596" s="25" t="s">
        <v>436</v>
      </c>
      <c r="J3596" s="25" t="s">
        <v>437</v>
      </c>
      <c r="K3596" s="25" t="s">
        <v>438</v>
      </c>
      <c r="L3596" s="25" t="s">
        <v>345</v>
      </c>
      <c r="M3596" s="25" t="s">
        <v>408</v>
      </c>
      <c r="N3596" s="25" t="s">
        <v>11</v>
      </c>
      <c r="O3596" s="25" t="s">
        <v>11</v>
      </c>
      <c r="P3596" s="25" t="s">
        <v>0</v>
      </c>
      <c r="Q3596" s="25" t="s">
        <v>408</v>
      </c>
      <c r="R3596" s="25" t="s">
        <v>439</v>
      </c>
      <c r="S3596" s="25" t="s">
        <v>440</v>
      </c>
      <c r="T3596" s="25" t="s">
        <v>11</v>
      </c>
      <c r="U3596" s="25" t="s">
        <v>408</v>
      </c>
    </row>
    <row r="3597" spans="1:21" x14ac:dyDescent="0.25">
      <c r="A3597" s="26">
        <v>26234465</v>
      </c>
      <c r="B3597" s="25" t="s">
        <v>340</v>
      </c>
      <c r="C3597" s="25" t="s">
        <v>15</v>
      </c>
      <c r="D3597" s="25" t="s">
        <v>79</v>
      </c>
      <c r="E3597" s="25" t="s">
        <v>636</v>
      </c>
      <c r="F3597" s="25" t="s">
        <v>684</v>
      </c>
      <c r="G3597" s="25" t="s">
        <v>369</v>
      </c>
      <c r="H3597" s="25" t="s">
        <v>0</v>
      </c>
      <c r="I3597" s="25" t="s">
        <v>436</v>
      </c>
      <c r="J3597" s="25" t="s">
        <v>437</v>
      </c>
      <c r="K3597" s="25" t="s">
        <v>438</v>
      </c>
      <c r="L3597" s="25" t="s">
        <v>345</v>
      </c>
      <c r="M3597" s="25" t="s">
        <v>408</v>
      </c>
      <c r="N3597" s="25" t="s">
        <v>11</v>
      </c>
      <c r="O3597" s="25" t="s">
        <v>11</v>
      </c>
      <c r="P3597" s="25" t="s">
        <v>0</v>
      </c>
      <c r="Q3597" s="25" t="s">
        <v>408</v>
      </c>
      <c r="R3597" s="25" t="s">
        <v>439</v>
      </c>
      <c r="S3597" s="25" t="s">
        <v>440</v>
      </c>
      <c r="T3597" s="25" t="s">
        <v>11</v>
      </c>
      <c r="U3597" s="25" t="s">
        <v>408</v>
      </c>
    </row>
    <row r="3598" spans="1:21" x14ac:dyDescent="0.25">
      <c r="A3598" s="26">
        <v>26234466</v>
      </c>
      <c r="B3598" s="25" t="s">
        <v>342</v>
      </c>
      <c r="C3598" s="25" t="s">
        <v>13</v>
      </c>
      <c r="D3598" s="25" t="s">
        <v>79</v>
      </c>
      <c r="E3598" s="25" t="s">
        <v>636</v>
      </c>
      <c r="F3598" s="25" t="s">
        <v>684</v>
      </c>
      <c r="G3598" s="25" t="s">
        <v>369</v>
      </c>
      <c r="H3598" s="25" t="s">
        <v>0</v>
      </c>
      <c r="I3598" s="25" t="s">
        <v>436</v>
      </c>
      <c r="J3598" s="25" t="s">
        <v>437</v>
      </c>
      <c r="K3598" s="25" t="s">
        <v>438</v>
      </c>
      <c r="L3598" s="25" t="s">
        <v>345</v>
      </c>
      <c r="M3598" s="25" t="s">
        <v>408</v>
      </c>
      <c r="N3598" s="25" t="s">
        <v>11</v>
      </c>
      <c r="O3598" s="25" t="s">
        <v>11</v>
      </c>
      <c r="P3598" s="25" t="s">
        <v>0</v>
      </c>
      <c r="Q3598" s="25" t="s">
        <v>408</v>
      </c>
      <c r="R3598" s="25" t="s">
        <v>439</v>
      </c>
      <c r="S3598" s="25" t="s">
        <v>440</v>
      </c>
      <c r="T3598" s="25" t="s">
        <v>11</v>
      </c>
      <c r="U3598" s="25" t="s">
        <v>408</v>
      </c>
    </row>
    <row r="3599" spans="1:21" x14ac:dyDescent="0.25">
      <c r="A3599" s="26">
        <v>26234467</v>
      </c>
      <c r="B3599" s="25" t="s">
        <v>342</v>
      </c>
      <c r="C3599" s="25" t="s">
        <v>13</v>
      </c>
      <c r="D3599" s="25" t="s">
        <v>79</v>
      </c>
      <c r="E3599" s="25" t="s">
        <v>636</v>
      </c>
      <c r="F3599" s="25" t="s">
        <v>684</v>
      </c>
      <c r="G3599" s="25" t="s">
        <v>369</v>
      </c>
      <c r="H3599" s="25" t="s">
        <v>0</v>
      </c>
      <c r="I3599" s="25" t="s">
        <v>436</v>
      </c>
      <c r="J3599" s="25" t="s">
        <v>437</v>
      </c>
      <c r="K3599" s="25" t="s">
        <v>438</v>
      </c>
      <c r="L3599" s="25" t="s">
        <v>345</v>
      </c>
      <c r="M3599" s="25" t="s">
        <v>408</v>
      </c>
      <c r="N3599" s="25" t="s">
        <v>11</v>
      </c>
      <c r="O3599" s="25" t="s">
        <v>11</v>
      </c>
      <c r="P3599" s="25" t="s">
        <v>0</v>
      </c>
      <c r="Q3599" s="25" t="s">
        <v>408</v>
      </c>
      <c r="R3599" s="25" t="s">
        <v>439</v>
      </c>
      <c r="S3599" s="25" t="s">
        <v>440</v>
      </c>
      <c r="T3599" s="25" t="s">
        <v>11</v>
      </c>
      <c r="U3599" s="25" t="s">
        <v>408</v>
      </c>
    </row>
    <row r="3600" spans="1:21" x14ac:dyDescent="0.25">
      <c r="A3600" s="26">
        <v>26234468</v>
      </c>
      <c r="B3600" s="25" t="s">
        <v>340</v>
      </c>
      <c r="C3600" s="25" t="s">
        <v>15</v>
      </c>
      <c r="D3600" s="25" t="s">
        <v>79</v>
      </c>
      <c r="E3600" s="25" t="s">
        <v>636</v>
      </c>
      <c r="F3600" s="25" t="s">
        <v>684</v>
      </c>
      <c r="G3600" s="25" t="s">
        <v>369</v>
      </c>
      <c r="H3600" s="25" t="s">
        <v>0</v>
      </c>
      <c r="I3600" s="25" t="s">
        <v>436</v>
      </c>
      <c r="J3600" s="25" t="s">
        <v>437</v>
      </c>
      <c r="K3600" s="25" t="s">
        <v>438</v>
      </c>
      <c r="L3600" s="25" t="s">
        <v>345</v>
      </c>
      <c r="M3600" s="25" t="s">
        <v>408</v>
      </c>
      <c r="N3600" s="25" t="s">
        <v>11</v>
      </c>
      <c r="O3600" s="25" t="s">
        <v>11</v>
      </c>
      <c r="P3600" s="25" t="s">
        <v>0</v>
      </c>
      <c r="Q3600" s="25" t="s">
        <v>408</v>
      </c>
      <c r="R3600" s="25" t="s">
        <v>439</v>
      </c>
      <c r="S3600" s="25" t="s">
        <v>440</v>
      </c>
      <c r="T3600" s="25" t="s">
        <v>11</v>
      </c>
      <c r="U3600" s="25" t="s">
        <v>408</v>
      </c>
    </row>
    <row r="3601" spans="1:21" x14ac:dyDescent="0.25">
      <c r="A3601" s="26">
        <v>26234469</v>
      </c>
      <c r="B3601" s="25" t="s">
        <v>342</v>
      </c>
      <c r="C3601" s="25" t="s">
        <v>13</v>
      </c>
      <c r="D3601" s="25" t="s">
        <v>79</v>
      </c>
      <c r="E3601" s="25" t="s">
        <v>636</v>
      </c>
      <c r="F3601" s="25" t="s">
        <v>684</v>
      </c>
      <c r="G3601" s="25" t="s">
        <v>369</v>
      </c>
      <c r="H3601" s="25" t="s">
        <v>0</v>
      </c>
      <c r="I3601" s="25" t="s">
        <v>436</v>
      </c>
      <c r="J3601" s="25" t="s">
        <v>437</v>
      </c>
      <c r="K3601" s="25" t="s">
        <v>438</v>
      </c>
      <c r="L3601" s="25" t="s">
        <v>345</v>
      </c>
      <c r="M3601" s="25" t="s">
        <v>408</v>
      </c>
      <c r="N3601" s="25" t="s">
        <v>11</v>
      </c>
      <c r="O3601" s="25" t="s">
        <v>11</v>
      </c>
      <c r="P3601" s="25" t="s">
        <v>0</v>
      </c>
      <c r="Q3601" s="25" t="s">
        <v>408</v>
      </c>
      <c r="R3601" s="25" t="s">
        <v>439</v>
      </c>
      <c r="S3601" s="25" t="s">
        <v>440</v>
      </c>
      <c r="T3601" s="25" t="s">
        <v>11</v>
      </c>
      <c r="U3601" s="25" t="s">
        <v>408</v>
      </c>
    </row>
    <row r="3602" spans="1:21" x14ac:dyDescent="0.25">
      <c r="A3602" s="26">
        <v>26234470</v>
      </c>
      <c r="B3602" s="25" t="s">
        <v>342</v>
      </c>
      <c r="C3602" s="25" t="s">
        <v>13</v>
      </c>
      <c r="D3602" s="25" t="s">
        <v>79</v>
      </c>
      <c r="E3602" s="25" t="s">
        <v>636</v>
      </c>
      <c r="F3602" s="25" t="s">
        <v>684</v>
      </c>
      <c r="G3602" s="25" t="s">
        <v>369</v>
      </c>
      <c r="H3602" s="25" t="s">
        <v>0</v>
      </c>
      <c r="I3602" s="25" t="s">
        <v>436</v>
      </c>
      <c r="J3602" s="25" t="s">
        <v>437</v>
      </c>
      <c r="K3602" s="25" t="s">
        <v>438</v>
      </c>
      <c r="L3602" s="25" t="s">
        <v>345</v>
      </c>
      <c r="M3602" s="25" t="s">
        <v>408</v>
      </c>
      <c r="N3602" s="25" t="s">
        <v>11</v>
      </c>
      <c r="O3602" s="25" t="s">
        <v>11</v>
      </c>
      <c r="P3602" s="25" t="s">
        <v>0</v>
      </c>
      <c r="Q3602" s="25" t="s">
        <v>408</v>
      </c>
      <c r="R3602" s="25" t="s">
        <v>439</v>
      </c>
      <c r="S3602" s="25" t="s">
        <v>440</v>
      </c>
      <c r="T3602" s="25" t="s">
        <v>11</v>
      </c>
      <c r="U3602" s="25" t="s">
        <v>408</v>
      </c>
    </row>
    <row r="3603" spans="1:21" x14ac:dyDescent="0.25">
      <c r="A3603" s="26">
        <v>26234471</v>
      </c>
      <c r="B3603" s="25" t="s">
        <v>342</v>
      </c>
      <c r="C3603" s="25" t="s">
        <v>13</v>
      </c>
      <c r="D3603" s="25" t="s">
        <v>79</v>
      </c>
      <c r="E3603" s="25" t="s">
        <v>636</v>
      </c>
      <c r="F3603" s="25" t="s">
        <v>684</v>
      </c>
      <c r="G3603" s="25" t="s">
        <v>369</v>
      </c>
      <c r="H3603" s="25" t="s">
        <v>0</v>
      </c>
      <c r="I3603" s="25" t="s">
        <v>436</v>
      </c>
      <c r="J3603" s="25" t="s">
        <v>437</v>
      </c>
      <c r="K3603" s="25" t="s">
        <v>438</v>
      </c>
      <c r="L3603" s="25" t="s">
        <v>345</v>
      </c>
      <c r="M3603" s="25" t="s">
        <v>408</v>
      </c>
      <c r="N3603" s="25" t="s">
        <v>11</v>
      </c>
      <c r="O3603" s="25" t="s">
        <v>11</v>
      </c>
      <c r="P3603" s="25" t="s">
        <v>0</v>
      </c>
      <c r="Q3603" s="25" t="s">
        <v>408</v>
      </c>
      <c r="R3603" s="25" t="s">
        <v>439</v>
      </c>
      <c r="S3603" s="25" t="s">
        <v>440</v>
      </c>
      <c r="T3603" s="25" t="s">
        <v>11</v>
      </c>
      <c r="U3603" s="25" t="s">
        <v>408</v>
      </c>
    </row>
    <row r="3604" spans="1:21" x14ac:dyDescent="0.25">
      <c r="A3604" s="26">
        <v>26234472</v>
      </c>
      <c r="B3604" s="25" t="s">
        <v>342</v>
      </c>
      <c r="C3604" s="25" t="s">
        <v>13</v>
      </c>
      <c r="D3604" s="25" t="s">
        <v>18</v>
      </c>
      <c r="E3604" s="25" t="s">
        <v>636</v>
      </c>
      <c r="F3604" s="25" t="s">
        <v>684</v>
      </c>
      <c r="G3604" s="25" t="s">
        <v>369</v>
      </c>
      <c r="H3604" s="25" t="s">
        <v>0</v>
      </c>
      <c r="I3604" s="25" t="s">
        <v>436</v>
      </c>
      <c r="J3604" s="25" t="s">
        <v>437</v>
      </c>
      <c r="K3604" s="25" t="s">
        <v>438</v>
      </c>
      <c r="L3604" s="25" t="s">
        <v>345</v>
      </c>
      <c r="M3604" s="25" t="s">
        <v>408</v>
      </c>
      <c r="N3604" s="25" t="s">
        <v>11</v>
      </c>
      <c r="O3604" s="25" t="s">
        <v>11</v>
      </c>
      <c r="P3604" s="25" t="s">
        <v>0</v>
      </c>
      <c r="Q3604" s="25" t="s">
        <v>408</v>
      </c>
      <c r="R3604" s="25" t="s">
        <v>439</v>
      </c>
      <c r="S3604" s="25" t="s">
        <v>440</v>
      </c>
      <c r="T3604" s="25" t="s">
        <v>11</v>
      </c>
      <c r="U3604" s="25" t="s">
        <v>408</v>
      </c>
    </row>
    <row r="3605" spans="1:21" x14ac:dyDescent="0.25">
      <c r="A3605" s="26">
        <v>26234473</v>
      </c>
      <c r="B3605" s="25" t="s">
        <v>340</v>
      </c>
      <c r="C3605" s="25" t="s">
        <v>15</v>
      </c>
      <c r="D3605" s="25" t="s">
        <v>12</v>
      </c>
      <c r="E3605" s="25" t="s">
        <v>636</v>
      </c>
      <c r="F3605" s="25" t="s">
        <v>684</v>
      </c>
      <c r="G3605" s="25" t="s">
        <v>369</v>
      </c>
      <c r="H3605" s="25" t="s">
        <v>0</v>
      </c>
      <c r="I3605" s="25" t="s">
        <v>436</v>
      </c>
      <c r="J3605" s="25" t="s">
        <v>437</v>
      </c>
      <c r="K3605" s="25" t="s">
        <v>438</v>
      </c>
      <c r="L3605" s="25" t="s">
        <v>345</v>
      </c>
      <c r="M3605" s="25" t="s">
        <v>408</v>
      </c>
      <c r="N3605" s="25" t="s">
        <v>11</v>
      </c>
      <c r="O3605" s="25" t="s">
        <v>11</v>
      </c>
      <c r="P3605" s="25" t="s">
        <v>0</v>
      </c>
      <c r="Q3605" s="25" t="s">
        <v>408</v>
      </c>
      <c r="R3605" s="25" t="s">
        <v>439</v>
      </c>
      <c r="S3605" s="25" t="s">
        <v>440</v>
      </c>
      <c r="T3605" s="25" t="s">
        <v>11</v>
      </c>
      <c r="U3605" s="25" t="s">
        <v>408</v>
      </c>
    </row>
    <row r="3606" spans="1:21" x14ac:dyDescent="0.25">
      <c r="A3606" s="26">
        <v>26234474</v>
      </c>
      <c r="B3606" s="25" t="s">
        <v>340</v>
      </c>
      <c r="C3606" s="25" t="s">
        <v>15</v>
      </c>
      <c r="D3606" s="25" t="s">
        <v>12</v>
      </c>
      <c r="E3606" s="25" t="s">
        <v>636</v>
      </c>
      <c r="F3606" s="25" t="s">
        <v>684</v>
      </c>
      <c r="G3606" s="25" t="s">
        <v>369</v>
      </c>
      <c r="H3606" s="25" t="s">
        <v>0</v>
      </c>
      <c r="I3606" s="25" t="s">
        <v>436</v>
      </c>
      <c r="J3606" s="25" t="s">
        <v>437</v>
      </c>
      <c r="K3606" s="25" t="s">
        <v>438</v>
      </c>
      <c r="L3606" s="25" t="s">
        <v>345</v>
      </c>
      <c r="M3606" s="25" t="s">
        <v>408</v>
      </c>
      <c r="N3606" s="25" t="s">
        <v>11</v>
      </c>
      <c r="O3606" s="25" t="s">
        <v>11</v>
      </c>
      <c r="P3606" s="25" t="s">
        <v>0</v>
      </c>
      <c r="Q3606" s="25" t="s">
        <v>408</v>
      </c>
      <c r="R3606" s="25" t="s">
        <v>439</v>
      </c>
      <c r="S3606" s="25" t="s">
        <v>440</v>
      </c>
      <c r="T3606" s="25" t="s">
        <v>11</v>
      </c>
      <c r="U3606" s="25" t="s">
        <v>408</v>
      </c>
    </row>
    <row r="3607" spans="1:21" x14ac:dyDescent="0.25">
      <c r="A3607" s="26">
        <v>26234475</v>
      </c>
      <c r="B3607" s="25" t="s">
        <v>342</v>
      </c>
      <c r="C3607" s="25" t="s">
        <v>13</v>
      </c>
      <c r="D3607" s="25" t="s">
        <v>12</v>
      </c>
      <c r="E3607" s="25" t="s">
        <v>636</v>
      </c>
      <c r="F3607" s="25" t="s">
        <v>684</v>
      </c>
      <c r="G3607" s="25" t="s">
        <v>369</v>
      </c>
      <c r="H3607" s="25" t="s">
        <v>0</v>
      </c>
      <c r="I3607" s="25" t="s">
        <v>436</v>
      </c>
      <c r="J3607" s="25" t="s">
        <v>437</v>
      </c>
      <c r="K3607" s="25" t="s">
        <v>438</v>
      </c>
      <c r="L3607" s="25" t="s">
        <v>345</v>
      </c>
      <c r="M3607" s="25" t="s">
        <v>408</v>
      </c>
      <c r="N3607" s="25" t="s">
        <v>11</v>
      </c>
      <c r="O3607" s="25" t="s">
        <v>11</v>
      </c>
      <c r="P3607" s="25" t="s">
        <v>0</v>
      </c>
      <c r="Q3607" s="25" t="s">
        <v>408</v>
      </c>
      <c r="R3607" s="25" t="s">
        <v>439</v>
      </c>
      <c r="S3607" s="25" t="s">
        <v>440</v>
      </c>
      <c r="T3607" s="25" t="s">
        <v>11</v>
      </c>
      <c r="U3607" s="25" t="s">
        <v>408</v>
      </c>
    </row>
    <row r="3608" spans="1:21" x14ac:dyDescent="0.25">
      <c r="A3608" s="26">
        <v>26234476</v>
      </c>
      <c r="B3608" s="25" t="s">
        <v>342</v>
      </c>
      <c r="C3608" s="25" t="s">
        <v>13</v>
      </c>
      <c r="D3608" s="25" t="s">
        <v>12</v>
      </c>
      <c r="E3608" s="25" t="s">
        <v>636</v>
      </c>
      <c r="F3608" s="25" t="s">
        <v>684</v>
      </c>
      <c r="G3608" s="25" t="s">
        <v>369</v>
      </c>
      <c r="H3608" s="25" t="s">
        <v>0</v>
      </c>
      <c r="I3608" s="25" t="s">
        <v>436</v>
      </c>
      <c r="J3608" s="25" t="s">
        <v>437</v>
      </c>
      <c r="K3608" s="25" t="s">
        <v>438</v>
      </c>
      <c r="L3608" s="25" t="s">
        <v>345</v>
      </c>
      <c r="M3608" s="25" t="s">
        <v>408</v>
      </c>
      <c r="N3608" s="25" t="s">
        <v>11</v>
      </c>
      <c r="O3608" s="25" t="s">
        <v>11</v>
      </c>
      <c r="P3608" s="25" t="s">
        <v>0</v>
      </c>
      <c r="Q3608" s="25" t="s">
        <v>408</v>
      </c>
      <c r="R3608" s="25" t="s">
        <v>439</v>
      </c>
      <c r="S3608" s="25" t="s">
        <v>440</v>
      </c>
      <c r="T3608" s="25" t="s">
        <v>11</v>
      </c>
      <c r="U3608" s="25" t="s">
        <v>408</v>
      </c>
    </row>
    <row r="3609" spans="1:21" x14ac:dyDescent="0.25">
      <c r="A3609" s="26">
        <v>26234477</v>
      </c>
      <c r="B3609" s="25" t="s">
        <v>342</v>
      </c>
      <c r="C3609" s="25" t="s">
        <v>13</v>
      </c>
      <c r="D3609" s="25" t="s">
        <v>12</v>
      </c>
      <c r="E3609" s="25" t="s">
        <v>636</v>
      </c>
      <c r="F3609" s="25" t="s">
        <v>684</v>
      </c>
      <c r="G3609" s="25" t="s">
        <v>369</v>
      </c>
      <c r="H3609" s="25" t="s">
        <v>0</v>
      </c>
      <c r="I3609" s="25" t="s">
        <v>436</v>
      </c>
      <c r="J3609" s="25" t="s">
        <v>437</v>
      </c>
      <c r="K3609" s="25" t="s">
        <v>438</v>
      </c>
      <c r="L3609" s="25" t="s">
        <v>345</v>
      </c>
      <c r="M3609" s="25" t="s">
        <v>408</v>
      </c>
      <c r="N3609" s="25" t="s">
        <v>11</v>
      </c>
      <c r="O3609" s="25" t="s">
        <v>11</v>
      </c>
      <c r="P3609" s="25" t="s">
        <v>0</v>
      </c>
      <c r="Q3609" s="25" t="s">
        <v>408</v>
      </c>
      <c r="R3609" s="25" t="s">
        <v>439</v>
      </c>
      <c r="S3609" s="25" t="s">
        <v>440</v>
      </c>
      <c r="T3609" s="25" t="s">
        <v>11</v>
      </c>
      <c r="U3609" s="25" t="s">
        <v>408</v>
      </c>
    </row>
    <row r="3610" spans="1:21" x14ac:dyDescent="0.25">
      <c r="A3610" s="26">
        <v>26234478</v>
      </c>
      <c r="B3610" s="25" t="s">
        <v>340</v>
      </c>
      <c r="C3610" s="25" t="s">
        <v>15</v>
      </c>
      <c r="D3610" s="25" t="s">
        <v>12</v>
      </c>
      <c r="E3610" s="25" t="s">
        <v>636</v>
      </c>
      <c r="F3610" s="25" t="s">
        <v>1111</v>
      </c>
      <c r="G3610" s="25" t="s">
        <v>369</v>
      </c>
      <c r="H3610" s="25" t="s">
        <v>370</v>
      </c>
      <c r="I3610" s="25" t="s">
        <v>721</v>
      </c>
      <c r="J3610" s="25" t="s">
        <v>455</v>
      </c>
      <c r="K3610" s="25" t="s">
        <v>453</v>
      </c>
      <c r="L3610" s="25" t="s">
        <v>2</v>
      </c>
      <c r="M3610" s="25" t="s">
        <v>408</v>
      </c>
      <c r="N3610" s="25" t="s">
        <v>11</v>
      </c>
      <c r="O3610" s="25" t="s">
        <v>11</v>
      </c>
      <c r="P3610" s="25" t="s">
        <v>2</v>
      </c>
      <c r="Q3610" s="25" t="s">
        <v>408</v>
      </c>
      <c r="R3610" s="25" t="s">
        <v>439</v>
      </c>
      <c r="S3610" s="25" t="s">
        <v>451</v>
      </c>
      <c r="T3610" s="25" t="s">
        <v>11</v>
      </c>
      <c r="U3610" s="25" t="s">
        <v>408</v>
      </c>
    </row>
    <row r="3611" spans="1:21" x14ac:dyDescent="0.25">
      <c r="A3611" s="26">
        <v>26234479</v>
      </c>
      <c r="B3611" s="25" t="s">
        <v>340</v>
      </c>
      <c r="C3611" s="25" t="s">
        <v>15</v>
      </c>
      <c r="D3611" s="25" t="s">
        <v>12</v>
      </c>
      <c r="E3611" s="25" t="s">
        <v>637</v>
      </c>
      <c r="F3611" s="25" t="s">
        <v>666</v>
      </c>
      <c r="G3611" s="25" t="s">
        <v>369</v>
      </c>
      <c r="H3611" s="25" t="s">
        <v>370</v>
      </c>
      <c r="I3611" s="25" t="s">
        <v>721</v>
      </c>
      <c r="J3611" s="25" t="s">
        <v>455</v>
      </c>
      <c r="K3611" s="25" t="s">
        <v>453</v>
      </c>
      <c r="L3611" s="25" t="s">
        <v>2</v>
      </c>
      <c r="M3611" s="25" t="s">
        <v>408</v>
      </c>
      <c r="N3611" s="25" t="s">
        <v>11</v>
      </c>
      <c r="O3611" s="25" t="s">
        <v>11</v>
      </c>
      <c r="P3611" s="25" t="s">
        <v>2</v>
      </c>
      <c r="Q3611" s="25" t="s">
        <v>408</v>
      </c>
      <c r="R3611" s="25" t="s">
        <v>439</v>
      </c>
      <c r="S3611" s="25" t="s">
        <v>451</v>
      </c>
      <c r="T3611" s="25" t="s">
        <v>11</v>
      </c>
      <c r="U3611" s="25" t="s">
        <v>408</v>
      </c>
    </row>
    <row r="3612" spans="1:21" x14ac:dyDescent="0.25">
      <c r="A3612" s="26">
        <v>26234480</v>
      </c>
      <c r="B3612" s="25" t="s">
        <v>340</v>
      </c>
      <c r="C3612" s="25" t="s">
        <v>15</v>
      </c>
      <c r="D3612" s="25" t="s">
        <v>12</v>
      </c>
      <c r="E3612" s="25" t="s">
        <v>637</v>
      </c>
      <c r="F3612" s="25" t="s">
        <v>666</v>
      </c>
      <c r="G3612" s="25" t="s">
        <v>369</v>
      </c>
      <c r="H3612" s="25" t="s">
        <v>370</v>
      </c>
      <c r="I3612" s="25" t="s">
        <v>721</v>
      </c>
      <c r="J3612" s="25" t="s">
        <v>455</v>
      </c>
      <c r="K3612" s="25" t="s">
        <v>453</v>
      </c>
      <c r="L3612" s="25" t="s">
        <v>2</v>
      </c>
      <c r="M3612" s="25" t="s">
        <v>408</v>
      </c>
      <c r="N3612" s="25" t="s">
        <v>11</v>
      </c>
      <c r="O3612" s="25" t="s">
        <v>11</v>
      </c>
      <c r="P3612" s="25" t="s">
        <v>2</v>
      </c>
      <c r="Q3612" s="25" t="s">
        <v>408</v>
      </c>
      <c r="R3612" s="25" t="s">
        <v>439</v>
      </c>
      <c r="S3612" s="25" t="s">
        <v>451</v>
      </c>
      <c r="T3612" s="25" t="s">
        <v>11</v>
      </c>
      <c r="U3612" s="25" t="s">
        <v>408</v>
      </c>
    </row>
    <row r="3613" spans="1:21" x14ac:dyDescent="0.25">
      <c r="A3613" s="26">
        <v>26234481</v>
      </c>
      <c r="B3613" s="25" t="s">
        <v>342</v>
      </c>
      <c r="C3613" s="25" t="s">
        <v>13</v>
      </c>
      <c r="D3613" s="25" t="s">
        <v>12</v>
      </c>
      <c r="E3613" s="25" t="s">
        <v>636</v>
      </c>
      <c r="F3613" s="25" t="s">
        <v>1111</v>
      </c>
      <c r="G3613" s="25" t="s">
        <v>369</v>
      </c>
      <c r="H3613" s="25" t="s">
        <v>370</v>
      </c>
      <c r="I3613" s="25" t="s">
        <v>721</v>
      </c>
      <c r="J3613" s="25" t="s">
        <v>455</v>
      </c>
      <c r="K3613" s="25" t="s">
        <v>453</v>
      </c>
      <c r="L3613" s="25" t="s">
        <v>2</v>
      </c>
      <c r="M3613" s="25" t="s">
        <v>408</v>
      </c>
      <c r="N3613" s="25" t="s">
        <v>11</v>
      </c>
      <c r="O3613" s="25" t="s">
        <v>11</v>
      </c>
      <c r="P3613" s="25" t="s">
        <v>2</v>
      </c>
      <c r="Q3613" s="25" t="s">
        <v>408</v>
      </c>
      <c r="R3613" s="25" t="s">
        <v>439</v>
      </c>
      <c r="S3613" s="25" t="s">
        <v>451</v>
      </c>
      <c r="T3613" s="25" t="s">
        <v>11</v>
      </c>
      <c r="U3613" s="25" t="s">
        <v>408</v>
      </c>
    </row>
    <row r="3614" spans="1:21" x14ac:dyDescent="0.25">
      <c r="A3614" s="26">
        <v>26234482</v>
      </c>
      <c r="B3614" s="25" t="s">
        <v>340</v>
      </c>
      <c r="C3614" s="25" t="s">
        <v>15</v>
      </c>
      <c r="D3614" s="25" t="s">
        <v>12</v>
      </c>
      <c r="E3614" s="25" t="s">
        <v>636</v>
      </c>
      <c r="F3614" s="25" t="s">
        <v>1111</v>
      </c>
      <c r="G3614" s="25" t="s">
        <v>369</v>
      </c>
      <c r="H3614" s="25" t="s">
        <v>370</v>
      </c>
      <c r="I3614" s="25" t="s">
        <v>721</v>
      </c>
      <c r="J3614" s="25" t="s">
        <v>455</v>
      </c>
      <c r="K3614" s="25" t="s">
        <v>453</v>
      </c>
      <c r="L3614" s="25" t="s">
        <v>2</v>
      </c>
      <c r="M3614" s="25" t="s">
        <v>408</v>
      </c>
      <c r="N3614" s="25" t="s">
        <v>11</v>
      </c>
      <c r="O3614" s="25" t="s">
        <v>11</v>
      </c>
      <c r="P3614" s="25" t="s">
        <v>2</v>
      </c>
      <c r="Q3614" s="25" t="s">
        <v>408</v>
      </c>
      <c r="R3614" s="25" t="s">
        <v>439</v>
      </c>
      <c r="S3614" s="25" t="s">
        <v>451</v>
      </c>
      <c r="T3614" s="25" t="s">
        <v>11</v>
      </c>
      <c r="U3614" s="25" t="s">
        <v>408</v>
      </c>
    </row>
    <row r="3615" spans="1:21" x14ac:dyDescent="0.25">
      <c r="A3615" s="26">
        <v>26234483</v>
      </c>
      <c r="B3615" s="25" t="s">
        <v>342</v>
      </c>
      <c r="C3615" s="25" t="s">
        <v>13</v>
      </c>
      <c r="D3615" s="25" t="s">
        <v>12</v>
      </c>
      <c r="E3615" s="25" t="s">
        <v>636</v>
      </c>
      <c r="F3615" s="25" t="s">
        <v>1111</v>
      </c>
      <c r="G3615" s="25" t="s">
        <v>369</v>
      </c>
      <c r="H3615" s="25" t="s">
        <v>370</v>
      </c>
      <c r="I3615" s="25" t="s">
        <v>721</v>
      </c>
      <c r="J3615" s="25" t="s">
        <v>455</v>
      </c>
      <c r="K3615" s="25" t="s">
        <v>453</v>
      </c>
      <c r="L3615" s="25" t="s">
        <v>2</v>
      </c>
      <c r="M3615" s="25" t="s">
        <v>408</v>
      </c>
      <c r="N3615" s="25" t="s">
        <v>11</v>
      </c>
      <c r="O3615" s="25" t="s">
        <v>11</v>
      </c>
      <c r="P3615" s="25" t="s">
        <v>2</v>
      </c>
      <c r="Q3615" s="25" t="s">
        <v>408</v>
      </c>
      <c r="R3615" s="25" t="s">
        <v>439</v>
      </c>
      <c r="S3615" s="25" t="s">
        <v>451</v>
      </c>
      <c r="T3615" s="25" t="s">
        <v>11</v>
      </c>
      <c r="U3615" s="25" t="s">
        <v>408</v>
      </c>
    </row>
    <row r="3616" spans="1:21" x14ac:dyDescent="0.25">
      <c r="A3616" s="26">
        <v>26234484</v>
      </c>
      <c r="B3616" s="25" t="s">
        <v>342</v>
      </c>
      <c r="C3616" s="25" t="s">
        <v>13</v>
      </c>
      <c r="D3616" s="25" t="s">
        <v>12</v>
      </c>
      <c r="E3616" s="25" t="s">
        <v>637</v>
      </c>
      <c r="F3616" s="25" t="s">
        <v>666</v>
      </c>
      <c r="G3616" s="25" t="s">
        <v>369</v>
      </c>
      <c r="H3616" s="25" t="s">
        <v>370</v>
      </c>
      <c r="I3616" s="25" t="s">
        <v>721</v>
      </c>
      <c r="J3616" s="25" t="s">
        <v>455</v>
      </c>
      <c r="K3616" s="25" t="s">
        <v>453</v>
      </c>
      <c r="L3616" s="25" t="s">
        <v>2</v>
      </c>
      <c r="M3616" s="25" t="s">
        <v>408</v>
      </c>
      <c r="N3616" s="25" t="s">
        <v>11</v>
      </c>
      <c r="O3616" s="25" t="s">
        <v>11</v>
      </c>
      <c r="P3616" s="25" t="s">
        <v>2</v>
      </c>
      <c r="Q3616" s="25" t="s">
        <v>408</v>
      </c>
      <c r="R3616" s="25" t="s">
        <v>439</v>
      </c>
      <c r="S3616" s="25" t="s">
        <v>451</v>
      </c>
      <c r="T3616" s="25" t="s">
        <v>11</v>
      </c>
      <c r="U3616" s="25" t="s">
        <v>408</v>
      </c>
    </row>
    <row r="3617" spans="1:21" x14ac:dyDescent="0.25">
      <c r="A3617" s="26">
        <v>26234460</v>
      </c>
      <c r="B3617" s="25" t="s">
        <v>340</v>
      </c>
      <c r="C3617" s="25" t="s">
        <v>15</v>
      </c>
      <c r="D3617" s="25" t="s">
        <v>79</v>
      </c>
      <c r="E3617" s="25" t="s">
        <v>638</v>
      </c>
      <c r="F3617" s="25" t="s">
        <v>577</v>
      </c>
      <c r="G3617" s="25" t="s">
        <v>369</v>
      </c>
      <c r="H3617" s="25" t="s">
        <v>3</v>
      </c>
      <c r="I3617" s="25" t="s">
        <v>436</v>
      </c>
      <c r="J3617" s="25" t="s">
        <v>441</v>
      </c>
      <c r="K3617" s="25" t="s">
        <v>442</v>
      </c>
      <c r="L3617" s="25" t="s">
        <v>0</v>
      </c>
      <c r="M3617" s="25" t="s">
        <v>408</v>
      </c>
      <c r="N3617" s="25" t="s">
        <v>11</v>
      </c>
      <c r="O3617" s="25" t="s">
        <v>11</v>
      </c>
      <c r="P3617" s="25" t="s">
        <v>0</v>
      </c>
      <c r="Q3617" s="25" t="s">
        <v>408</v>
      </c>
      <c r="R3617" s="25" t="s">
        <v>439</v>
      </c>
      <c r="S3617" s="25" t="s">
        <v>440</v>
      </c>
      <c r="T3617" s="25" t="s">
        <v>11</v>
      </c>
      <c r="U3617" s="25" t="s">
        <v>408</v>
      </c>
    </row>
    <row r="3618" spans="1:21" x14ac:dyDescent="0.25">
      <c r="A3618" s="26">
        <v>26234150</v>
      </c>
      <c r="B3618" s="25" t="s">
        <v>342</v>
      </c>
      <c r="C3618" s="25" t="s">
        <v>13</v>
      </c>
      <c r="D3618" s="25" t="s">
        <v>12</v>
      </c>
      <c r="E3618" s="25" t="s">
        <v>637</v>
      </c>
      <c r="F3618" s="25" t="s">
        <v>1112</v>
      </c>
      <c r="G3618" s="25" t="s">
        <v>369</v>
      </c>
      <c r="H3618" s="25" t="s">
        <v>370</v>
      </c>
      <c r="I3618" s="25" t="s">
        <v>721</v>
      </c>
      <c r="J3618" s="25" t="s">
        <v>455</v>
      </c>
      <c r="K3618" s="25" t="s">
        <v>453</v>
      </c>
      <c r="L3618" s="25" t="s">
        <v>0</v>
      </c>
      <c r="M3618" s="25" t="s">
        <v>408</v>
      </c>
      <c r="N3618" s="25" t="s">
        <v>11</v>
      </c>
      <c r="O3618" s="25" t="s">
        <v>11</v>
      </c>
      <c r="P3618" s="25" t="s">
        <v>0</v>
      </c>
      <c r="Q3618" s="25" t="s">
        <v>408</v>
      </c>
      <c r="R3618" s="25" t="s">
        <v>439</v>
      </c>
      <c r="S3618" s="25" t="s">
        <v>451</v>
      </c>
      <c r="T3618" s="25" t="s">
        <v>11</v>
      </c>
      <c r="U3618" s="25" t="s">
        <v>408</v>
      </c>
    </row>
    <row r="3619" spans="1:21" x14ac:dyDescent="0.25">
      <c r="A3619" s="26">
        <v>26234149</v>
      </c>
      <c r="B3619" s="25" t="s">
        <v>340</v>
      </c>
      <c r="C3619" s="25" t="s">
        <v>15</v>
      </c>
      <c r="D3619" s="25" t="s">
        <v>18</v>
      </c>
      <c r="E3619" s="25" t="s">
        <v>638</v>
      </c>
      <c r="F3619" s="25" t="s">
        <v>577</v>
      </c>
      <c r="G3619" s="25" t="s">
        <v>369</v>
      </c>
      <c r="H3619" s="25" t="s">
        <v>367</v>
      </c>
      <c r="I3619" s="25" t="s">
        <v>454</v>
      </c>
      <c r="J3619" s="25" t="s">
        <v>457</v>
      </c>
      <c r="K3619" s="25" t="s">
        <v>453</v>
      </c>
      <c r="L3619" s="25" t="s">
        <v>0</v>
      </c>
      <c r="M3619" s="25" t="s">
        <v>408</v>
      </c>
      <c r="N3619" s="25" t="s">
        <v>11</v>
      </c>
      <c r="O3619" s="25" t="s">
        <v>11</v>
      </c>
      <c r="P3619" s="25" t="s">
        <v>0</v>
      </c>
      <c r="Q3619" s="25" t="s">
        <v>408</v>
      </c>
      <c r="R3619" s="25" t="s">
        <v>439</v>
      </c>
      <c r="S3619" s="25" t="s">
        <v>440</v>
      </c>
      <c r="T3619" s="25" t="s">
        <v>11</v>
      </c>
      <c r="U3619" s="25" t="s">
        <v>408</v>
      </c>
    </row>
    <row r="3620" spans="1:21" x14ac:dyDescent="0.25">
      <c r="A3620" s="26">
        <v>26234485</v>
      </c>
      <c r="B3620" s="25" t="s">
        <v>340</v>
      </c>
      <c r="C3620" s="25" t="s">
        <v>15</v>
      </c>
      <c r="D3620" s="25" t="s">
        <v>12</v>
      </c>
      <c r="E3620" s="25" t="s">
        <v>640</v>
      </c>
      <c r="F3620" s="25" t="s">
        <v>661</v>
      </c>
      <c r="G3620" s="25" t="s">
        <v>369</v>
      </c>
      <c r="H3620" s="25" t="s">
        <v>5</v>
      </c>
      <c r="I3620" s="25" t="s">
        <v>436</v>
      </c>
      <c r="J3620" s="25" t="s">
        <v>446</v>
      </c>
      <c r="K3620" s="25" t="s">
        <v>438</v>
      </c>
      <c r="L3620" s="25" t="s">
        <v>2</v>
      </c>
      <c r="M3620" s="25" t="s">
        <v>408</v>
      </c>
      <c r="N3620" s="25" t="s">
        <v>11</v>
      </c>
      <c r="O3620" s="25" t="s">
        <v>11</v>
      </c>
      <c r="P3620" s="25" t="s">
        <v>2</v>
      </c>
      <c r="Q3620" s="25" t="s">
        <v>408</v>
      </c>
      <c r="R3620" s="25" t="s">
        <v>439</v>
      </c>
      <c r="S3620" s="25" t="s">
        <v>440</v>
      </c>
      <c r="T3620" s="25" t="s">
        <v>11</v>
      </c>
      <c r="U3620" s="25" t="s">
        <v>408</v>
      </c>
    </row>
    <row r="3621" spans="1:21" x14ac:dyDescent="0.25">
      <c r="A3621" s="25">
        <v>24567520</v>
      </c>
      <c r="B3621" s="25" t="s">
        <v>371</v>
      </c>
      <c r="C3621" s="25" t="s">
        <v>371</v>
      </c>
      <c r="D3621" s="25" t="s">
        <v>371</v>
      </c>
      <c r="E3621" s="25" t="s">
        <v>371</v>
      </c>
      <c r="F3621" s="25" t="s">
        <v>371</v>
      </c>
      <c r="G3621" s="25" t="s">
        <v>371</v>
      </c>
      <c r="H3621" s="25" t="s">
        <v>371</v>
      </c>
      <c r="I3621" s="25" t="s">
        <v>371</v>
      </c>
      <c r="J3621" s="25" t="s">
        <v>371</v>
      </c>
      <c r="K3621" s="25" t="s">
        <v>371</v>
      </c>
      <c r="L3621" s="25" t="s">
        <v>371</v>
      </c>
      <c r="M3621" s="25" t="s">
        <v>371</v>
      </c>
      <c r="N3621" s="25" t="s">
        <v>371</v>
      </c>
      <c r="O3621" s="25" t="s">
        <v>371</v>
      </c>
      <c r="P3621" s="25" t="s">
        <v>371</v>
      </c>
      <c r="Q3621" s="25" t="s">
        <v>371</v>
      </c>
      <c r="R3621" s="25" t="s">
        <v>371</v>
      </c>
      <c r="S3621" s="25" t="s">
        <v>371</v>
      </c>
      <c r="T3621" s="25" t="s">
        <v>371</v>
      </c>
      <c r="U3621" s="25" t="s">
        <v>371</v>
      </c>
    </row>
    <row r="3622" spans="1:21" x14ac:dyDescent="0.25">
      <c r="A3622" s="25">
        <v>24567522</v>
      </c>
      <c r="B3622" s="25" t="s">
        <v>371</v>
      </c>
      <c r="C3622" s="25" t="s">
        <v>371</v>
      </c>
      <c r="D3622" s="25" t="s">
        <v>371</v>
      </c>
      <c r="E3622" s="25" t="s">
        <v>371</v>
      </c>
      <c r="F3622" s="25" t="s">
        <v>371</v>
      </c>
      <c r="G3622" s="25" t="s">
        <v>371</v>
      </c>
      <c r="H3622" s="25" t="s">
        <v>371</v>
      </c>
      <c r="I3622" s="25" t="s">
        <v>371</v>
      </c>
      <c r="J3622" s="25" t="s">
        <v>371</v>
      </c>
      <c r="K3622" s="25" t="s">
        <v>371</v>
      </c>
      <c r="L3622" s="25" t="s">
        <v>371</v>
      </c>
      <c r="M3622" s="25" t="s">
        <v>371</v>
      </c>
      <c r="N3622" s="25" t="s">
        <v>371</v>
      </c>
      <c r="O3622" s="25" t="s">
        <v>371</v>
      </c>
      <c r="P3622" s="25" t="s">
        <v>371</v>
      </c>
      <c r="Q3622" s="25" t="s">
        <v>371</v>
      </c>
      <c r="R3622" s="25" t="s">
        <v>371</v>
      </c>
      <c r="S3622" s="25" t="s">
        <v>371</v>
      </c>
      <c r="T3622" s="25" t="s">
        <v>371</v>
      </c>
      <c r="U3622" s="25" t="s">
        <v>371</v>
      </c>
    </row>
    <row r="3623" spans="1:21" x14ac:dyDescent="0.25">
      <c r="A3623">
        <v>22794790</v>
      </c>
      <c r="B3623" t="s">
        <v>342</v>
      </c>
      <c r="C3623" t="s">
        <v>33</v>
      </c>
      <c r="D3623" t="s">
        <v>12</v>
      </c>
      <c r="E3623" t="s">
        <v>1050</v>
      </c>
      <c r="F3623" t="s">
        <v>685</v>
      </c>
      <c r="G3623" t="s">
        <v>369</v>
      </c>
      <c r="H3623" t="s">
        <v>0</v>
      </c>
      <c r="I3623" t="s">
        <v>436</v>
      </c>
      <c r="J3623" t="s">
        <v>437</v>
      </c>
      <c r="K3623" t="s">
        <v>438</v>
      </c>
      <c r="L3623" t="s">
        <v>363</v>
      </c>
      <c r="M3623" t="s">
        <v>408</v>
      </c>
      <c r="N3623" t="s">
        <v>408</v>
      </c>
      <c r="O3623" t="s">
        <v>11</v>
      </c>
      <c r="P3623" t="s">
        <v>363</v>
      </c>
      <c r="Q3623" t="s">
        <v>408</v>
      </c>
      <c r="R3623" t="s">
        <v>439</v>
      </c>
      <c r="S3623" t="s">
        <v>440</v>
      </c>
      <c r="T3623" t="s">
        <v>408</v>
      </c>
      <c r="U3623" t="s">
        <v>408</v>
      </c>
    </row>
    <row r="3624" spans="1:21" x14ac:dyDescent="0.25">
      <c r="A3624">
        <v>23323647</v>
      </c>
      <c r="B3624" t="s">
        <v>340</v>
      </c>
      <c r="C3624" t="s">
        <v>26</v>
      </c>
      <c r="D3624" t="s">
        <v>12</v>
      </c>
      <c r="E3624" t="s">
        <v>734</v>
      </c>
      <c r="F3624" t="s">
        <v>27</v>
      </c>
      <c r="G3624" t="s">
        <v>369</v>
      </c>
      <c r="H3624" t="s">
        <v>1</v>
      </c>
      <c r="I3624" t="s">
        <v>469</v>
      </c>
      <c r="J3624" t="s">
        <v>445</v>
      </c>
      <c r="K3624" t="s">
        <v>438</v>
      </c>
      <c r="L3624" t="s">
        <v>2</v>
      </c>
      <c r="M3624" t="s">
        <v>408</v>
      </c>
      <c r="N3624" t="s">
        <v>11</v>
      </c>
      <c r="O3624" t="s">
        <v>11</v>
      </c>
      <c r="P3624" t="s">
        <v>2</v>
      </c>
      <c r="Q3624" t="s">
        <v>408</v>
      </c>
      <c r="R3624" t="s">
        <v>439</v>
      </c>
      <c r="S3624" t="s">
        <v>440</v>
      </c>
      <c r="T3624" t="s">
        <v>11</v>
      </c>
      <c r="U3624" t="s">
        <v>408</v>
      </c>
    </row>
    <row r="3625" spans="1:21" x14ac:dyDescent="0.25">
      <c r="A3625">
        <v>23323671</v>
      </c>
      <c r="B3625" t="s">
        <v>340</v>
      </c>
      <c r="C3625" t="s">
        <v>26</v>
      </c>
      <c r="D3625" t="s">
        <v>102</v>
      </c>
      <c r="E3625" t="s">
        <v>692</v>
      </c>
      <c r="F3625" t="s">
        <v>309</v>
      </c>
      <c r="G3625" t="s">
        <v>369</v>
      </c>
      <c r="H3625" t="s">
        <v>0</v>
      </c>
      <c r="I3625" t="s">
        <v>436</v>
      </c>
      <c r="J3625" t="s">
        <v>437</v>
      </c>
      <c r="K3625" t="s">
        <v>438</v>
      </c>
      <c r="L3625" t="s">
        <v>341</v>
      </c>
      <c r="M3625" t="s">
        <v>408</v>
      </c>
      <c r="N3625" t="s">
        <v>11</v>
      </c>
      <c r="O3625" t="s">
        <v>11</v>
      </c>
      <c r="P3625" t="s">
        <v>0</v>
      </c>
      <c r="Q3625" t="s">
        <v>408</v>
      </c>
      <c r="R3625" t="s">
        <v>439</v>
      </c>
      <c r="S3625" t="s">
        <v>440</v>
      </c>
      <c r="T3625" t="s">
        <v>11</v>
      </c>
      <c r="U3625" t="s">
        <v>408</v>
      </c>
    </row>
    <row r="3626" spans="1:21" x14ac:dyDescent="0.25">
      <c r="A3626">
        <v>23323673</v>
      </c>
      <c r="B3626" t="s">
        <v>340</v>
      </c>
      <c r="C3626" t="s">
        <v>26</v>
      </c>
      <c r="D3626" t="s">
        <v>79</v>
      </c>
      <c r="E3626" t="s">
        <v>697</v>
      </c>
      <c r="F3626" t="s">
        <v>304</v>
      </c>
      <c r="G3626" t="s">
        <v>369</v>
      </c>
      <c r="H3626" t="s">
        <v>0</v>
      </c>
      <c r="I3626" t="s">
        <v>436</v>
      </c>
      <c r="J3626" t="s">
        <v>437</v>
      </c>
      <c r="K3626" t="s">
        <v>438</v>
      </c>
      <c r="L3626" t="s">
        <v>10</v>
      </c>
      <c r="M3626" t="s">
        <v>408</v>
      </c>
      <c r="N3626" t="s">
        <v>11</v>
      </c>
      <c r="O3626" t="s">
        <v>11</v>
      </c>
      <c r="P3626" t="s">
        <v>5</v>
      </c>
      <c r="Q3626" t="s">
        <v>408</v>
      </c>
      <c r="R3626" t="s">
        <v>439</v>
      </c>
      <c r="S3626" t="s">
        <v>440</v>
      </c>
      <c r="T3626" t="s">
        <v>11</v>
      </c>
      <c r="U3626" t="s">
        <v>408</v>
      </c>
    </row>
    <row r="3627" spans="1:21" x14ac:dyDescent="0.25">
      <c r="A3627">
        <v>23323674</v>
      </c>
      <c r="B3627" t="s">
        <v>340</v>
      </c>
      <c r="C3627" t="s">
        <v>26</v>
      </c>
      <c r="D3627" t="s">
        <v>24</v>
      </c>
      <c r="E3627" t="s">
        <v>693</v>
      </c>
      <c r="F3627" t="s">
        <v>308</v>
      </c>
      <c r="G3627" t="s">
        <v>369</v>
      </c>
      <c r="H3627" t="s">
        <v>1</v>
      </c>
      <c r="I3627" t="s">
        <v>469</v>
      </c>
      <c r="J3627" t="s">
        <v>445</v>
      </c>
      <c r="K3627" t="s">
        <v>438</v>
      </c>
      <c r="L3627" t="s">
        <v>0</v>
      </c>
      <c r="M3627" t="s">
        <v>408</v>
      </c>
      <c r="N3627" t="s">
        <v>11</v>
      </c>
      <c r="O3627" t="s">
        <v>11</v>
      </c>
      <c r="P3627" t="s">
        <v>10</v>
      </c>
      <c r="Q3627" t="s">
        <v>408</v>
      </c>
      <c r="R3627" t="s">
        <v>439</v>
      </c>
      <c r="S3627" t="s">
        <v>440</v>
      </c>
      <c r="T3627" t="s">
        <v>11</v>
      </c>
      <c r="U3627" t="s">
        <v>408</v>
      </c>
    </row>
    <row r="3628" spans="1:21" x14ac:dyDescent="0.25">
      <c r="A3628">
        <v>23323686</v>
      </c>
      <c r="B3628" t="s">
        <v>340</v>
      </c>
      <c r="C3628" t="s">
        <v>26</v>
      </c>
      <c r="D3628" t="s">
        <v>12</v>
      </c>
      <c r="E3628" t="s">
        <v>621</v>
      </c>
      <c r="F3628" t="s">
        <v>195</v>
      </c>
      <c r="G3628" t="s">
        <v>369</v>
      </c>
      <c r="H3628" t="s">
        <v>5</v>
      </c>
      <c r="I3628" t="s">
        <v>436</v>
      </c>
      <c r="J3628" t="s">
        <v>446</v>
      </c>
      <c r="K3628" t="s">
        <v>438</v>
      </c>
      <c r="L3628" t="s">
        <v>2</v>
      </c>
      <c r="M3628" t="s">
        <v>408</v>
      </c>
      <c r="N3628" t="s">
        <v>11</v>
      </c>
      <c r="O3628" t="s">
        <v>11</v>
      </c>
      <c r="P3628" t="s">
        <v>0</v>
      </c>
      <c r="Q3628" t="s">
        <v>408</v>
      </c>
      <c r="R3628" t="s">
        <v>439</v>
      </c>
      <c r="S3628" t="s">
        <v>440</v>
      </c>
      <c r="T3628" t="s">
        <v>11</v>
      </c>
      <c r="U3628" t="s">
        <v>408</v>
      </c>
    </row>
    <row r="3629" spans="1:21" x14ac:dyDescent="0.25">
      <c r="A3629">
        <v>23323687</v>
      </c>
      <c r="B3629" t="s">
        <v>340</v>
      </c>
      <c r="C3629" t="s">
        <v>26</v>
      </c>
      <c r="D3629" t="s">
        <v>12</v>
      </c>
      <c r="E3629" t="s">
        <v>730</v>
      </c>
      <c r="F3629" t="s">
        <v>41</v>
      </c>
      <c r="G3629" t="s">
        <v>369</v>
      </c>
      <c r="H3629" t="s">
        <v>0</v>
      </c>
      <c r="I3629" t="s">
        <v>436</v>
      </c>
      <c r="J3629" t="s">
        <v>437</v>
      </c>
      <c r="K3629" t="s">
        <v>438</v>
      </c>
      <c r="L3629" t="s">
        <v>1</v>
      </c>
      <c r="M3629" t="s">
        <v>408</v>
      </c>
      <c r="N3629" t="s">
        <v>11</v>
      </c>
      <c r="O3629" t="s">
        <v>11</v>
      </c>
      <c r="P3629" t="s">
        <v>2</v>
      </c>
      <c r="Q3629" t="s">
        <v>408</v>
      </c>
      <c r="R3629" t="s">
        <v>439</v>
      </c>
      <c r="S3629" t="s">
        <v>440</v>
      </c>
      <c r="T3629" t="s">
        <v>11</v>
      </c>
      <c r="U3629" t="s">
        <v>408</v>
      </c>
    </row>
    <row r="3630" spans="1:21" x14ac:dyDescent="0.25">
      <c r="A3630">
        <v>23323688</v>
      </c>
      <c r="B3630" t="s">
        <v>340</v>
      </c>
      <c r="C3630" t="s">
        <v>26</v>
      </c>
      <c r="D3630" t="s">
        <v>12</v>
      </c>
      <c r="E3630" t="s">
        <v>751</v>
      </c>
      <c r="F3630" t="s">
        <v>189</v>
      </c>
      <c r="G3630" t="s">
        <v>369</v>
      </c>
      <c r="H3630" t="s">
        <v>0</v>
      </c>
      <c r="I3630" t="s">
        <v>436</v>
      </c>
      <c r="J3630" t="s">
        <v>437</v>
      </c>
      <c r="K3630" t="s">
        <v>438</v>
      </c>
      <c r="L3630" t="s">
        <v>4</v>
      </c>
      <c r="M3630" t="s">
        <v>408</v>
      </c>
      <c r="N3630" t="s">
        <v>11</v>
      </c>
      <c r="O3630" t="s">
        <v>11</v>
      </c>
      <c r="P3630" t="s">
        <v>2</v>
      </c>
      <c r="Q3630" t="s">
        <v>408</v>
      </c>
      <c r="R3630" t="s">
        <v>439</v>
      </c>
      <c r="S3630" t="s">
        <v>440</v>
      </c>
      <c r="T3630" t="s">
        <v>11</v>
      </c>
      <c r="U3630" t="s">
        <v>408</v>
      </c>
    </row>
    <row r="3631" spans="1:21" x14ac:dyDescent="0.25">
      <c r="A3631">
        <v>23323689</v>
      </c>
      <c r="B3631" t="s">
        <v>340</v>
      </c>
      <c r="C3631" t="s">
        <v>26</v>
      </c>
      <c r="D3631" t="s">
        <v>12</v>
      </c>
      <c r="E3631" t="s">
        <v>734</v>
      </c>
      <c r="F3631" t="s">
        <v>27</v>
      </c>
      <c r="G3631" t="s">
        <v>369</v>
      </c>
      <c r="H3631" t="s">
        <v>5</v>
      </c>
      <c r="I3631" t="s">
        <v>436</v>
      </c>
      <c r="J3631" t="s">
        <v>446</v>
      </c>
      <c r="K3631" t="s">
        <v>438</v>
      </c>
      <c r="L3631" t="s">
        <v>2</v>
      </c>
      <c r="M3631" t="s">
        <v>408</v>
      </c>
      <c r="N3631" t="s">
        <v>11</v>
      </c>
      <c r="O3631" t="s">
        <v>11</v>
      </c>
      <c r="P3631" t="s">
        <v>2</v>
      </c>
      <c r="Q3631" t="s">
        <v>408</v>
      </c>
      <c r="R3631" t="s">
        <v>439</v>
      </c>
      <c r="S3631" t="s">
        <v>440</v>
      </c>
      <c r="T3631" t="s">
        <v>11</v>
      </c>
      <c r="U3631" t="s">
        <v>408</v>
      </c>
    </row>
    <row r="3632" spans="1:21" x14ac:dyDescent="0.25">
      <c r="A3632">
        <v>23323690</v>
      </c>
      <c r="B3632" t="s">
        <v>340</v>
      </c>
      <c r="C3632" t="s">
        <v>26</v>
      </c>
      <c r="D3632" t="s">
        <v>12</v>
      </c>
      <c r="E3632" t="s">
        <v>708</v>
      </c>
      <c r="F3632" t="s">
        <v>31</v>
      </c>
      <c r="G3632" t="s">
        <v>369</v>
      </c>
      <c r="H3632" t="s">
        <v>1</v>
      </c>
      <c r="I3632" t="s">
        <v>469</v>
      </c>
      <c r="J3632" t="s">
        <v>445</v>
      </c>
      <c r="K3632" t="s">
        <v>438</v>
      </c>
      <c r="L3632" t="s">
        <v>2</v>
      </c>
      <c r="M3632" t="s">
        <v>408</v>
      </c>
      <c r="N3632" t="s">
        <v>11</v>
      </c>
      <c r="O3632" t="s">
        <v>11</v>
      </c>
      <c r="P3632" t="s">
        <v>2</v>
      </c>
      <c r="Q3632" t="s">
        <v>408</v>
      </c>
      <c r="R3632" t="s">
        <v>439</v>
      </c>
      <c r="S3632" t="s">
        <v>440</v>
      </c>
      <c r="T3632" t="s">
        <v>11</v>
      </c>
      <c r="U3632" t="s">
        <v>408</v>
      </c>
    </row>
    <row r="3633" spans="1:21" x14ac:dyDescent="0.25">
      <c r="A3633">
        <v>23323691</v>
      </c>
      <c r="B3633" t="s">
        <v>340</v>
      </c>
      <c r="C3633" t="s">
        <v>26</v>
      </c>
      <c r="D3633" t="s">
        <v>12</v>
      </c>
      <c r="E3633" t="s">
        <v>734</v>
      </c>
      <c r="F3633" t="s">
        <v>27</v>
      </c>
      <c r="G3633" t="s">
        <v>369</v>
      </c>
      <c r="H3633" t="s">
        <v>1</v>
      </c>
      <c r="I3633" t="s">
        <v>469</v>
      </c>
      <c r="J3633" t="s">
        <v>445</v>
      </c>
      <c r="K3633" t="s">
        <v>438</v>
      </c>
      <c r="L3633" t="s">
        <v>2</v>
      </c>
      <c r="M3633" t="s">
        <v>408</v>
      </c>
      <c r="N3633" t="s">
        <v>11</v>
      </c>
      <c r="O3633" t="s">
        <v>11</v>
      </c>
      <c r="P3633" t="s">
        <v>2</v>
      </c>
      <c r="Q3633" t="s">
        <v>408</v>
      </c>
      <c r="R3633" t="s">
        <v>439</v>
      </c>
      <c r="S3633" t="s">
        <v>440</v>
      </c>
      <c r="T3633" t="s">
        <v>11</v>
      </c>
      <c r="U3633" t="s">
        <v>408</v>
      </c>
    </row>
    <row r="3634" spans="1:21" x14ac:dyDescent="0.25">
      <c r="A3634">
        <v>23323692</v>
      </c>
      <c r="B3634" t="s">
        <v>340</v>
      </c>
      <c r="C3634" t="s">
        <v>26</v>
      </c>
      <c r="D3634" t="s">
        <v>18</v>
      </c>
      <c r="E3634" t="s">
        <v>601</v>
      </c>
      <c r="F3634" t="s">
        <v>50</v>
      </c>
      <c r="G3634" t="s">
        <v>369</v>
      </c>
      <c r="H3634" t="s">
        <v>1</v>
      </c>
      <c r="I3634" t="s">
        <v>469</v>
      </c>
      <c r="J3634" t="s">
        <v>445</v>
      </c>
      <c r="K3634" t="s">
        <v>438</v>
      </c>
      <c r="L3634" t="s">
        <v>2</v>
      </c>
      <c r="M3634" t="s">
        <v>408</v>
      </c>
      <c r="N3634" t="s">
        <v>11</v>
      </c>
      <c r="O3634" t="s">
        <v>11</v>
      </c>
      <c r="P3634" t="s">
        <v>2</v>
      </c>
      <c r="Q3634" t="s">
        <v>408</v>
      </c>
      <c r="R3634" t="s">
        <v>439</v>
      </c>
      <c r="S3634" t="s">
        <v>440</v>
      </c>
      <c r="T3634" t="s">
        <v>11</v>
      </c>
      <c r="U3634" t="s">
        <v>408</v>
      </c>
    </row>
    <row r="3635" spans="1:21" x14ac:dyDescent="0.25">
      <c r="A3635">
        <v>23323693</v>
      </c>
      <c r="B3635" t="s">
        <v>340</v>
      </c>
      <c r="C3635" t="s">
        <v>26</v>
      </c>
      <c r="D3635" t="s">
        <v>18</v>
      </c>
      <c r="E3635" t="s">
        <v>719</v>
      </c>
      <c r="F3635" t="s">
        <v>139</v>
      </c>
      <c r="G3635" t="s">
        <v>369</v>
      </c>
      <c r="H3635" t="s">
        <v>1</v>
      </c>
      <c r="I3635" t="s">
        <v>469</v>
      </c>
      <c r="J3635" t="s">
        <v>445</v>
      </c>
      <c r="K3635" t="s">
        <v>438</v>
      </c>
      <c r="L3635" t="s">
        <v>2</v>
      </c>
      <c r="M3635" t="s">
        <v>408</v>
      </c>
      <c r="N3635" t="s">
        <v>11</v>
      </c>
      <c r="O3635" t="s">
        <v>408</v>
      </c>
      <c r="P3635" t="s">
        <v>151</v>
      </c>
      <c r="Q3635" t="s">
        <v>408</v>
      </c>
      <c r="R3635" t="s">
        <v>439</v>
      </c>
      <c r="S3635" t="s">
        <v>440</v>
      </c>
      <c r="T3635" t="s">
        <v>11</v>
      </c>
      <c r="U3635" t="s">
        <v>408</v>
      </c>
    </row>
    <row r="3636" spans="1:21" x14ac:dyDescent="0.25">
      <c r="A3636">
        <v>23323694</v>
      </c>
      <c r="B3636" t="s">
        <v>340</v>
      </c>
      <c r="C3636" t="s">
        <v>26</v>
      </c>
      <c r="D3636" t="s">
        <v>12</v>
      </c>
      <c r="E3636" t="s">
        <v>708</v>
      </c>
      <c r="F3636" t="s">
        <v>49</v>
      </c>
      <c r="G3636" t="s">
        <v>369</v>
      </c>
      <c r="H3636" t="s">
        <v>5</v>
      </c>
      <c r="I3636" t="s">
        <v>436</v>
      </c>
      <c r="J3636" t="s">
        <v>446</v>
      </c>
      <c r="K3636" t="s">
        <v>438</v>
      </c>
      <c r="L3636" t="s">
        <v>2</v>
      </c>
      <c r="M3636" t="s">
        <v>408</v>
      </c>
      <c r="N3636" t="s">
        <v>11</v>
      </c>
      <c r="O3636" t="s">
        <v>11</v>
      </c>
      <c r="P3636" t="s">
        <v>2</v>
      </c>
      <c r="Q3636" t="s">
        <v>408</v>
      </c>
      <c r="R3636" t="s">
        <v>439</v>
      </c>
      <c r="S3636" t="s">
        <v>440</v>
      </c>
      <c r="T3636" t="s">
        <v>11</v>
      </c>
      <c r="U3636" t="s">
        <v>408</v>
      </c>
    </row>
    <row r="3637" spans="1:21" x14ac:dyDescent="0.25">
      <c r="A3637">
        <v>23323695</v>
      </c>
      <c r="B3637" t="s">
        <v>340</v>
      </c>
      <c r="C3637" t="s">
        <v>26</v>
      </c>
      <c r="D3637" t="s">
        <v>18</v>
      </c>
      <c r="E3637" t="s">
        <v>620</v>
      </c>
      <c r="F3637" t="s">
        <v>65</v>
      </c>
      <c r="G3637" t="s">
        <v>369</v>
      </c>
      <c r="H3637" t="s">
        <v>1</v>
      </c>
      <c r="I3637" t="s">
        <v>469</v>
      </c>
      <c r="J3637" t="s">
        <v>445</v>
      </c>
      <c r="K3637" t="s">
        <v>438</v>
      </c>
      <c r="L3637" t="s">
        <v>2</v>
      </c>
      <c r="M3637" t="s">
        <v>408</v>
      </c>
      <c r="N3637" t="s">
        <v>11</v>
      </c>
      <c r="O3637" t="s">
        <v>11</v>
      </c>
      <c r="P3637" t="s">
        <v>0</v>
      </c>
      <c r="Q3637" t="s">
        <v>408</v>
      </c>
      <c r="R3637" t="s">
        <v>439</v>
      </c>
      <c r="S3637" t="s">
        <v>440</v>
      </c>
      <c r="T3637" t="s">
        <v>11</v>
      </c>
      <c r="U3637" t="s">
        <v>408</v>
      </c>
    </row>
    <row r="3638" spans="1:21" x14ac:dyDescent="0.25">
      <c r="A3638">
        <v>23323696</v>
      </c>
      <c r="B3638" t="s">
        <v>340</v>
      </c>
      <c r="C3638" t="s">
        <v>26</v>
      </c>
      <c r="D3638" t="s">
        <v>12</v>
      </c>
      <c r="E3638" t="s">
        <v>734</v>
      </c>
      <c r="F3638" t="s">
        <v>45</v>
      </c>
      <c r="G3638" t="s">
        <v>369</v>
      </c>
      <c r="H3638" t="s">
        <v>5</v>
      </c>
      <c r="I3638" t="s">
        <v>436</v>
      </c>
      <c r="J3638" t="s">
        <v>446</v>
      </c>
      <c r="K3638" t="s">
        <v>438</v>
      </c>
      <c r="L3638" t="s">
        <v>2</v>
      </c>
      <c r="M3638" t="s">
        <v>408</v>
      </c>
      <c r="N3638" t="s">
        <v>11</v>
      </c>
      <c r="O3638" t="s">
        <v>11</v>
      </c>
      <c r="P3638" t="s">
        <v>2</v>
      </c>
      <c r="Q3638" t="s">
        <v>408</v>
      </c>
      <c r="R3638" t="s">
        <v>439</v>
      </c>
      <c r="S3638" t="s">
        <v>440</v>
      </c>
      <c r="T3638" t="s">
        <v>11</v>
      </c>
      <c r="U3638" t="s">
        <v>408</v>
      </c>
    </row>
    <row r="3639" spans="1:21" x14ac:dyDescent="0.25">
      <c r="A3639">
        <v>23323697</v>
      </c>
      <c r="B3639" t="s">
        <v>340</v>
      </c>
      <c r="C3639" t="s">
        <v>26</v>
      </c>
      <c r="D3639" t="s">
        <v>12</v>
      </c>
      <c r="E3639" t="s">
        <v>609</v>
      </c>
      <c r="F3639" t="s">
        <v>141</v>
      </c>
      <c r="G3639" t="s">
        <v>369</v>
      </c>
      <c r="H3639" t="s">
        <v>1</v>
      </c>
      <c r="I3639" t="s">
        <v>469</v>
      </c>
      <c r="J3639" t="s">
        <v>445</v>
      </c>
      <c r="K3639" t="s">
        <v>438</v>
      </c>
      <c r="L3639" t="s">
        <v>2</v>
      </c>
      <c r="M3639" t="s">
        <v>408</v>
      </c>
      <c r="N3639" t="s">
        <v>11</v>
      </c>
      <c r="O3639" t="s">
        <v>11</v>
      </c>
      <c r="P3639" t="s">
        <v>341</v>
      </c>
      <c r="Q3639" t="s">
        <v>408</v>
      </c>
      <c r="R3639" t="s">
        <v>439</v>
      </c>
      <c r="S3639" t="s">
        <v>440</v>
      </c>
      <c r="T3639" t="s">
        <v>11</v>
      </c>
      <c r="U3639" t="s">
        <v>408</v>
      </c>
    </row>
    <row r="3640" spans="1:21" x14ac:dyDescent="0.25">
      <c r="A3640">
        <v>23323698</v>
      </c>
      <c r="B3640" t="s">
        <v>340</v>
      </c>
      <c r="C3640" t="s">
        <v>26</v>
      </c>
      <c r="D3640" t="s">
        <v>12</v>
      </c>
      <c r="E3640" t="s">
        <v>734</v>
      </c>
      <c r="F3640" t="s">
        <v>45</v>
      </c>
      <c r="G3640" t="s">
        <v>369</v>
      </c>
      <c r="H3640" t="s">
        <v>5</v>
      </c>
      <c r="I3640" t="s">
        <v>436</v>
      </c>
      <c r="J3640" t="s">
        <v>446</v>
      </c>
      <c r="K3640" t="s">
        <v>438</v>
      </c>
      <c r="L3640" t="s">
        <v>2</v>
      </c>
      <c r="M3640" t="s">
        <v>408</v>
      </c>
      <c r="N3640" t="s">
        <v>408</v>
      </c>
      <c r="O3640" t="s">
        <v>11</v>
      </c>
      <c r="P3640" t="s">
        <v>2</v>
      </c>
      <c r="Q3640" t="s">
        <v>408</v>
      </c>
      <c r="R3640" t="s">
        <v>439</v>
      </c>
      <c r="S3640" t="s">
        <v>440</v>
      </c>
      <c r="T3640" t="s">
        <v>408</v>
      </c>
      <c r="U3640" t="s">
        <v>408</v>
      </c>
    </row>
    <row r="3641" spans="1:21" x14ac:dyDescent="0.25">
      <c r="A3641">
        <v>23323699</v>
      </c>
      <c r="B3641" t="s">
        <v>340</v>
      </c>
      <c r="C3641" t="s">
        <v>26</v>
      </c>
      <c r="D3641" t="s">
        <v>12</v>
      </c>
      <c r="E3641" t="s">
        <v>609</v>
      </c>
      <c r="F3641" t="s">
        <v>141</v>
      </c>
      <c r="G3641" t="s">
        <v>369</v>
      </c>
      <c r="H3641" t="s">
        <v>1</v>
      </c>
      <c r="I3641" t="s">
        <v>469</v>
      </c>
      <c r="J3641" t="s">
        <v>445</v>
      </c>
      <c r="K3641" t="s">
        <v>438</v>
      </c>
      <c r="L3641" t="s">
        <v>2</v>
      </c>
      <c r="M3641" t="s">
        <v>408</v>
      </c>
      <c r="N3641" t="s">
        <v>11</v>
      </c>
      <c r="O3641" t="s">
        <v>11</v>
      </c>
      <c r="P3641" t="s">
        <v>10</v>
      </c>
      <c r="Q3641" t="s">
        <v>408</v>
      </c>
      <c r="R3641" t="s">
        <v>439</v>
      </c>
      <c r="S3641" t="s">
        <v>440</v>
      </c>
      <c r="T3641" t="s">
        <v>11</v>
      </c>
      <c r="U3641" t="s">
        <v>408</v>
      </c>
    </row>
    <row r="3642" spans="1:21" x14ac:dyDescent="0.25">
      <c r="A3642">
        <v>23584127</v>
      </c>
      <c r="B3642" t="s">
        <v>342</v>
      </c>
      <c r="C3642" t="s">
        <v>89</v>
      </c>
      <c r="D3642" t="s">
        <v>12</v>
      </c>
      <c r="E3642" t="s">
        <v>628</v>
      </c>
      <c r="F3642" t="s">
        <v>25</v>
      </c>
      <c r="G3642" t="s">
        <v>369</v>
      </c>
      <c r="H3642" t="s">
        <v>0</v>
      </c>
      <c r="I3642" t="s">
        <v>436</v>
      </c>
      <c r="J3642" t="s">
        <v>437</v>
      </c>
      <c r="K3642" t="s">
        <v>438</v>
      </c>
      <c r="L3642" t="s">
        <v>363</v>
      </c>
      <c r="M3642" t="s">
        <v>408</v>
      </c>
      <c r="N3642" t="s">
        <v>11</v>
      </c>
      <c r="O3642" t="s">
        <v>11</v>
      </c>
      <c r="P3642" t="s">
        <v>344</v>
      </c>
      <c r="Q3642" t="s">
        <v>408</v>
      </c>
      <c r="R3642" t="s">
        <v>439</v>
      </c>
      <c r="S3642" t="s">
        <v>440</v>
      </c>
      <c r="T3642" t="s">
        <v>11</v>
      </c>
      <c r="U3642" t="s">
        <v>408</v>
      </c>
    </row>
  </sheetData>
  <autoFilter ref="A1:S1933" xr:uid="{00000000-0009-0000-0000-000007000000}"/>
  <sortState xmlns:xlrd2="http://schemas.microsoft.com/office/spreadsheetml/2017/richdata2" ref="A2:V1933">
    <sortCondition ref="A2:A193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25"/>
  <sheetViews>
    <sheetView workbookViewId="0">
      <pane ySplit="1" topLeftCell="A125" activePane="bottomLeft" state="frozen"/>
      <selection pane="bottomLeft" activeCell="L31" sqref="L31:L32"/>
    </sheetView>
  </sheetViews>
  <sheetFormatPr baseColWidth="10" defaultRowHeight="15" x14ac:dyDescent="0.25"/>
  <cols>
    <col min="2" max="2" width="11.42578125" style="12"/>
  </cols>
  <sheetData>
    <row r="1" spans="1:4" x14ac:dyDescent="0.25">
      <c r="A1" t="s">
        <v>331</v>
      </c>
      <c r="B1" s="12" t="s">
        <v>641</v>
      </c>
      <c r="C1" t="s">
        <v>642</v>
      </c>
    </row>
    <row r="2" spans="1:4" x14ac:dyDescent="0.25">
      <c r="A2">
        <v>8092117</v>
      </c>
      <c r="B2" s="12">
        <v>45966</v>
      </c>
      <c r="C2" t="s">
        <v>0</v>
      </c>
      <c r="D2" t="s">
        <v>655</v>
      </c>
    </row>
    <row r="3" spans="1:4" x14ac:dyDescent="0.25">
      <c r="A3">
        <v>8092346</v>
      </c>
      <c r="B3" s="12">
        <v>45671</v>
      </c>
      <c r="C3" t="s">
        <v>0</v>
      </c>
    </row>
    <row r="4" spans="1:4" x14ac:dyDescent="0.25">
      <c r="A4">
        <v>8202197</v>
      </c>
      <c r="B4" s="12">
        <v>45965</v>
      </c>
      <c r="C4" t="s">
        <v>0</v>
      </c>
      <c r="D4" t="s">
        <v>653</v>
      </c>
    </row>
    <row r="5" spans="1:4" x14ac:dyDescent="0.25">
      <c r="A5">
        <v>8202197</v>
      </c>
      <c r="B5" s="12">
        <v>45671</v>
      </c>
      <c r="C5" t="s">
        <v>0</v>
      </c>
    </row>
    <row r="6" spans="1:4" x14ac:dyDescent="0.25">
      <c r="A6">
        <v>8392502</v>
      </c>
      <c r="B6" s="12">
        <v>45671</v>
      </c>
      <c r="C6" t="s">
        <v>0</v>
      </c>
    </row>
    <row r="7" spans="1:4" x14ac:dyDescent="0.25">
      <c r="A7">
        <v>8392502</v>
      </c>
      <c r="B7" s="12">
        <v>45671</v>
      </c>
      <c r="C7" t="s">
        <v>0</v>
      </c>
      <c r="D7" t="s">
        <v>643</v>
      </c>
    </row>
    <row r="8" spans="1:4" x14ac:dyDescent="0.25">
      <c r="A8">
        <v>8933139</v>
      </c>
      <c r="B8" s="12">
        <v>45671</v>
      </c>
      <c r="C8" t="s">
        <v>0</v>
      </c>
    </row>
    <row r="9" spans="1:4" x14ac:dyDescent="0.25">
      <c r="A9">
        <v>8933152</v>
      </c>
      <c r="B9" s="12">
        <v>45671</v>
      </c>
      <c r="C9" t="s">
        <v>0</v>
      </c>
    </row>
    <row r="10" spans="1:4" x14ac:dyDescent="0.25">
      <c r="A10">
        <v>8933220</v>
      </c>
      <c r="B10" s="12">
        <v>45671</v>
      </c>
      <c r="C10" t="s">
        <v>0</v>
      </c>
    </row>
    <row r="11" spans="1:4" x14ac:dyDescent="0.25">
      <c r="A11">
        <v>8933222</v>
      </c>
      <c r="B11" s="12">
        <v>45671</v>
      </c>
      <c r="C11" t="s">
        <v>0</v>
      </c>
    </row>
    <row r="12" spans="1:4" x14ac:dyDescent="0.25">
      <c r="A12">
        <v>8933290</v>
      </c>
      <c r="B12" s="12">
        <v>45966</v>
      </c>
      <c r="C12" t="s">
        <v>0</v>
      </c>
      <c r="D12" t="s">
        <v>655</v>
      </c>
    </row>
    <row r="13" spans="1:4" x14ac:dyDescent="0.25">
      <c r="A13">
        <v>8933290</v>
      </c>
      <c r="B13" s="12">
        <v>45671</v>
      </c>
      <c r="C13" t="s">
        <v>0</v>
      </c>
    </row>
    <row r="14" spans="1:4" x14ac:dyDescent="0.25">
      <c r="A14">
        <v>8933598</v>
      </c>
      <c r="B14" s="12">
        <v>45671</v>
      </c>
      <c r="C14" t="s">
        <v>0</v>
      </c>
    </row>
    <row r="15" spans="1:4" x14ac:dyDescent="0.25">
      <c r="A15">
        <v>8935771</v>
      </c>
      <c r="B15" s="12">
        <v>45671</v>
      </c>
      <c r="C15" t="s">
        <v>0</v>
      </c>
    </row>
    <row r="16" spans="1:4" x14ac:dyDescent="0.25">
      <c r="A16">
        <v>8935828</v>
      </c>
      <c r="B16" s="12">
        <v>45671</v>
      </c>
      <c r="C16" t="s">
        <v>0</v>
      </c>
    </row>
    <row r="17" spans="1:4" x14ac:dyDescent="0.25">
      <c r="A17">
        <v>8935828</v>
      </c>
      <c r="B17" s="12">
        <v>45671</v>
      </c>
      <c r="C17" t="s">
        <v>0</v>
      </c>
      <c r="D17" t="s">
        <v>643</v>
      </c>
    </row>
    <row r="18" spans="1:4" x14ac:dyDescent="0.25">
      <c r="A18">
        <v>8937607</v>
      </c>
      <c r="B18" s="12">
        <v>45671</v>
      </c>
      <c r="C18" t="s">
        <v>0</v>
      </c>
    </row>
    <row r="19" spans="1:4" x14ac:dyDescent="0.25">
      <c r="A19">
        <v>8937646</v>
      </c>
      <c r="B19" s="12">
        <v>45966</v>
      </c>
      <c r="C19" t="s">
        <v>0</v>
      </c>
      <c r="D19" t="s">
        <v>655</v>
      </c>
    </row>
    <row r="20" spans="1:4" x14ac:dyDescent="0.25">
      <c r="A20">
        <v>8937646</v>
      </c>
      <c r="B20" s="12">
        <v>45671</v>
      </c>
      <c r="C20" t="s">
        <v>0</v>
      </c>
    </row>
    <row r="21" spans="1:4" x14ac:dyDescent="0.25">
      <c r="A21">
        <v>8937718</v>
      </c>
      <c r="B21" s="12">
        <v>45966</v>
      </c>
      <c r="C21" t="s">
        <v>0</v>
      </c>
      <c r="D21" t="s">
        <v>655</v>
      </c>
    </row>
    <row r="22" spans="1:4" x14ac:dyDescent="0.25">
      <c r="A22">
        <v>8937718</v>
      </c>
      <c r="B22" s="12">
        <v>45671</v>
      </c>
      <c r="C22" t="s">
        <v>0</v>
      </c>
    </row>
    <row r="23" spans="1:4" x14ac:dyDescent="0.25">
      <c r="A23">
        <v>8939132</v>
      </c>
      <c r="B23" s="12">
        <v>45671</v>
      </c>
      <c r="C23" t="s">
        <v>0</v>
      </c>
    </row>
    <row r="24" spans="1:4" x14ac:dyDescent="0.25">
      <c r="A24">
        <v>10281938</v>
      </c>
      <c r="B24" s="12">
        <v>45671</v>
      </c>
      <c r="C24" t="s">
        <v>0</v>
      </c>
    </row>
    <row r="25" spans="1:4" x14ac:dyDescent="0.25">
      <c r="A25">
        <v>10932065</v>
      </c>
      <c r="B25" s="12">
        <v>45965</v>
      </c>
      <c r="C25" t="s">
        <v>0</v>
      </c>
      <c r="D25" t="s">
        <v>654</v>
      </c>
    </row>
    <row r="26" spans="1:4" x14ac:dyDescent="0.25">
      <c r="A26">
        <v>10932065</v>
      </c>
      <c r="B26" s="12">
        <v>45813</v>
      </c>
      <c r="C26" t="s">
        <v>1</v>
      </c>
      <c r="D26" t="s">
        <v>647</v>
      </c>
    </row>
    <row r="27" spans="1:4" x14ac:dyDescent="0.25">
      <c r="A27">
        <v>10932065</v>
      </c>
      <c r="B27" s="12">
        <v>45671</v>
      </c>
      <c r="C27" t="s">
        <v>0</v>
      </c>
    </row>
    <row r="28" spans="1:4" x14ac:dyDescent="0.25">
      <c r="A28">
        <v>10932160</v>
      </c>
      <c r="B28" s="12">
        <v>45813</v>
      </c>
      <c r="C28" t="s">
        <v>1</v>
      </c>
      <c r="D28" t="s">
        <v>647</v>
      </c>
    </row>
    <row r="29" spans="1:4" x14ac:dyDescent="0.25">
      <c r="A29">
        <v>10932160</v>
      </c>
      <c r="B29" s="12">
        <v>45671</v>
      </c>
      <c r="C29" t="s">
        <v>0</v>
      </c>
    </row>
    <row r="30" spans="1:4" x14ac:dyDescent="0.25">
      <c r="A30">
        <v>10943295</v>
      </c>
      <c r="B30" s="12">
        <v>45671</v>
      </c>
      <c r="C30" t="s">
        <v>0</v>
      </c>
    </row>
    <row r="31" spans="1:4" x14ac:dyDescent="0.25">
      <c r="A31">
        <v>12602055</v>
      </c>
      <c r="B31" s="12">
        <v>45671</v>
      </c>
      <c r="C31" t="s">
        <v>0</v>
      </c>
    </row>
    <row r="32" spans="1:4" x14ac:dyDescent="0.25">
      <c r="A32">
        <v>12602055</v>
      </c>
      <c r="B32" s="12">
        <v>45671</v>
      </c>
      <c r="C32" t="s">
        <v>0</v>
      </c>
      <c r="D32" t="s">
        <v>643</v>
      </c>
    </row>
    <row r="33" spans="1:4" x14ac:dyDescent="0.25">
      <c r="A33">
        <v>12602064</v>
      </c>
      <c r="B33" s="12">
        <v>45965</v>
      </c>
      <c r="C33" t="s">
        <v>0</v>
      </c>
      <c r="D33" t="s">
        <v>657</v>
      </c>
    </row>
    <row r="34" spans="1:4" x14ac:dyDescent="0.25">
      <c r="A34">
        <v>12602064</v>
      </c>
      <c r="B34" s="12">
        <v>45671</v>
      </c>
      <c r="C34" t="s">
        <v>0</v>
      </c>
    </row>
    <row r="35" spans="1:4" x14ac:dyDescent="0.25">
      <c r="A35">
        <v>12602152</v>
      </c>
      <c r="B35" s="12">
        <v>45965</v>
      </c>
      <c r="C35" t="s">
        <v>0</v>
      </c>
      <c r="D35" t="s">
        <v>657</v>
      </c>
    </row>
    <row r="36" spans="1:4" x14ac:dyDescent="0.25">
      <c r="A36">
        <v>12602152</v>
      </c>
      <c r="B36" s="12">
        <v>45671</v>
      </c>
      <c r="C36" t="s">
        <v>0</v>
      </c>
    </row>
    <row r="37" spans="1:4" x14ac:dyDescent="0.25">
      <c r="A37">
        <v>12602292</v>
      </c>
      <c r="B37" s="12">
        <v>45671</v>
      </c>
      <c r="C37" t="s">
        <v>0</v>
      </c>
    </row>
    <row r="38" spans="1:4" x14ac:dyDescent="0.25">
      <c r="A38">
        <v>12602332</v>
      </c>
      <c r="B38" s="12">
        <v>45671</v>
      </c>
      <c r="C38" t="s">
        <v>0</v>
      </c>
    </row>
    <row r="39" spans="1:4" x14ac:dyDescent="0.25">
      <c r="A39">
        <v>12602337</v>
      </c>
      <c r="B39" s="12">
        <v>45848</v>
      </c>
      <c r="C39" t="s">
        <v>2</v>
      </c>
      <c r="D39" t="s">
        <v>651</v>
      </c>
    </row>
    <row r="40" spans="1:4" x14ac:dyDescent="0.25">
      <c r="A40">
        <v>12602368</v>
      </c>
      <c r="B40" s="12">
        <v>45671</v>
      </c>
      <c r="C40" t="s">
        <v>0</v>
      </c>
    </row>
    <row r="41" spans="1:4" x14ac:dyDescent="0.25">
      <c r="A41">
        <v>12602382</v>
      </c>
      <c r="B41" s="12">
        <v>45671</v>
      </c>
      <c r="C41" t="s">
        <v>0</v>
      </c>
    </row>
    <row r="42" spans="1:4" x14ac:dyDescent="0.25">
      <c r="A42">
        <v>14717713</v>
      </c>
      <c r="B42" s="12">
        <v>45965</v>
      </c>
      <c r="C42" t="s">
        <v>0</v>
      </c>
      <c r="D42" t="s">
        <v>654</v>
      </c>
    </row>
    <row r="43" spans="1:4" x14ac:dyDescent="0.25">
      <c r="A43">
        <v>14717713</v>
      </c>
      <c r="B43" s="12">
        <v>45813</v>
      </c>
      <c r="C43" t="s">
        <v>1</v>
      </c>
      <c r="D43" t="s">
        <v>647</v>
      </c>
    </row>
    <row r="44" spans="1:4" x14ac:dyDescent="0.25">
      <c r="A44">
        <v>14717713</v>
      </c>
      <c r="B44" s="12">
        <v>45671</v>
      </c>
      <c r="C44" t="s">
        <v>0</v>
      </c>
    </row>
    <row r="45" spans="1:4" x14ac:dyDescent="0.25">
      <c r="A45">
        <v>14717731</v>
      </c>
      <c r="B45" s="12">
        <v>45671</v>
      </c>
      <c r="C45" t="s">
        <v>0</v>
      </c>
    </row>
    <row r="46" spans="1:4" x14ac:dyDescent="0.25">
      <c r="A46">
        <v>14717748</v>
      </c>
      <c r="B46" s="12">
        <v>45965</v>
      </c>
      <c r="C46" t="s">
        <v>0</v>
      </c>
      <c r="D46" t="s">
        <v>653</v>
      </c>
    </row>
    <row r="47" spans="1:4" x14ac:dyDescent="0.25">
      <c r="A47">
        <v>14717748</v>
      </c>
      <c r="B47" s="12">
        <v>45813</v>
      </c>
      <c r="C47" t="s">
        <v>1</v>
      </c>
      <c r="D47" t="s">
        <v>647</v>
      </c>
    </row>
    <row r="48" spans="1:4" x14ac:dyDescent="0.25">
      <c r="A48">
        <v>14717748</v>
      </c>
      <c r="B48" s="12">
        <v>45671</v>
      </c>
      <c r="C48" t="s">
        <v>0</v>
      </c>
    </row>
    <row r="49" spans="1:4" x14ac:dyDescent="0.25">
      <c r="A49">
        <v>14717764</v>
      </c>
      <c r="B49" s="12">
        <v>45671</v>
      </c>
      <c r="C49" t="s">
        <v>0</v>
      </c>
    </row>
    <row r="50" spans="1:4" x14ac:dyDescent="0.25">
      <c r="A50">
        <v>14717851</v>
      </c>
      <c r="B50" s="12">
        <v>45813</v>
      </c>
      <c r="C50" t="s">
        <v>1</v>
      </c>
      <c r="D50" t="s">
        <v>647</v>
      </c>
    </row>
    <row r="51" spans="1:4" x14ac:dyDescent="0.25">
      <c r="A51">
        <v>14717851</v>
      </c>
      <c r="B51" s="12">
        <v>45671</v>
      </c>
      <c r="C51" t="s">
        <v>0</v>
      </c>
    </row>
    <row r="52" spans="1:4" x14ac:dyDescent="0.25">
      <c r="A52">
        <v>14717949</v>
      </c>
      <c r="B52" s="12">
        <v>45671</v>
      </c>
      <c r="C52" t="s">
        <v>0</v>
      </c>
    </row>
    <row r="53" spans="1:4" x14ac:dyDescent="0.25">
      <c r="A53">
        <v>14718083</v>
      </c>
      <c r="B53" s="12">
        <v>45671</v>
      </c>
      <c r="C53" t="s">
        <v>0</v>
      </c>
    </row>
    <row r="54" spans="1:4" x14ac:dyDescent="0.25">
      <c r="A54">
        <v>14718086</v>
      </c>
      <c r="B54" s="12">
        <v>45966</v>
      </c>
      <c r="C54" t="s">
        <v>0</v>
      </c>
      <c r="D54" t="s">
        <v>655</v>
      </c>
    </row>
    <row r="55" spans="1:4" x14ac:dyDescent="0.25">
      <c r="A55">
        <v>14718086</v>
      </c>
      <c r="B55" s="12">
        <v>45671</v>
      </c>
      <c r="C55" t="s">
        <v>0</v>
      </c>
    </row>
    <row r="56" spans="1:4" x14ac:dyDescent="0.25">
      <c r="A56">
        <v>14718090</v>
      </c>
      <c r="B56" s="12">
        <v>45671</v>
      </c>
      <c r="C56" t="s">
        <v>0</v>
      </c>
    </row>
    <row r="57" spans="1:4" x14ac:dyDescent="0.25">
      <c r="A57">
        <v>14718092</v>
      </c>
      <c r="B57" s="12">
        <v>45671</v>
      </c>
      <c r="C57" t="s">
        <v>0</v>
      </c>
    </row>
    <row r="58" spans="1:4" x14ac:dyDescent="0.25">
      <c r="A58">
        <v>14718141</v>
      </c>
      <c r="B58" s="12">
        <v>45966</v>
      </c>
      <c r="C58" t="s">
        <v>0</v>
      </c>
      <c r="D58" t="s">
        <v>655</v>
      </c>
    </row>
    <row r="59" spans="1:4" x14ac:dyDescent="0.25">
      <c r="A59">
        <v>14718144</v>
      </c>
      <c r="B59" s="12">
        <v>45671</v>
      </c>
      <c r="C59" t="s">
        <v>0</v>
      </c>
    </row>
    <row r="60" spans="1:4" x14ac:dyDescent="0.25">
      <c r="A60">
        <v>14718147</v>
      </c>
      <c r="B60" s="12">
        <v>45966</v>
      </c>
      <c r="C60" t="s">
        <v>0</v>
      </c>
      <c r="D60" t="s">
        <v>655</v>
      </c>
    </row>
    <row r="61" spans="1:4" x14ac:dyDescent="0.25">
      <c r="A61">
        <v>14718147</v>
      </c>
      <c r="B61" s="12">
        <v>45671</v>
      </c>
      <c r="C61" t="s">
        <v>0</v>
      </c>
    </row>
    <row r="62" spans="1:4" x14ac:dyDescent="0.25">
      <c r="A62">
        <v>14718185</v>
      </c>
      <c r="B62" s="12">
        <v>45966</v>
      </c>
      <c r="C62" t="s">
        <v>0</v>
      </c>
      <c r="D62" t="s">
        <v>655</v>
      </c>
    </row>
    <row r="63" spans="1:4" x14ac:dyDescent="0.25">
      <c r="A63">
        <v>14718185</v>
      </c>
      <c r="B63" s="12">
        <v>45671</v>
      </c>
      <c r="C63" t="s">
        <v>0</v>
      </c>
    </row>
    <row r="64" spans="1:4" x14ac:dyDescent="0.25">
      <c r="A64">
        <v>14718186</v>
      </c>
      <c r="B64" s="12">
        <v>45671</v>
      </c>
      <c r="C64" t="s">
        <v>0</v>
      </c>
    </row>
    <row r="65" spans="1:4" x14ac:dyDescent="0.25">
      <c r="A65">
        <v>14718195</v>
      </c>
      <c r="B65" s="12">
        <v>45671</v>
      </c>
      <c r="C65" t="s">
        <v>0</v>
      </c>
    </row>
    <row r="66" spans="1:4" x14ac:dyDescent="0.25">
      <c r="A66">
        <v>14718206</v>
      </c>
      <c r="B66" s="12">
        <v>45965</v>
      </c>
      <c r="C66" t="s">
        <v>0</v>
      </c>
      <c r="D66" t="s">
        <v>657</v>
      </c>
    </row>
    <row r="67" spans="1:4" x14ac:dyDescent="0.25">
      <c r="A67">
        <v>14718206</v>
      </c>
      <c r="B67" s="12">
        <v>45671</v>
      </c>
      <c r="C67" t="s">
        <v>0</v>
      </c>
    </row>
    <row r="68" spans="1:4" x14ac:dyDescent="0.25">
      <c r="A68">
        <v>14718221</v>
      </c>
      <c r="B68" s="12">
        <v>45965</v>
      </c>
      <c r="C68" t="s">
        <v>0</v>
      </c>
      <c r="D68" t="s">
        <v>653</v>
      </c>
    </row>
    <row r="69" spans="1:4" x14ac:dyDescent="0.25">
      <c r="A69">
        <v>14718231</v>
      </c>
      <c r="B69" s="12">
        <v>45671</v>
      </c>
      <c r="C69" t="s">
        <v>0</v>
      </c>
    </row>
    <row r="70" spans="1:4" x14ac:dyDescent="0.25">
      <c r="A70">
        <v>14718237</v>
      </c>
      <c r="B70" s="12">
        <v>45965</v>
      </c>
      <c r="C70" t="s">
        <v>0</v>
      </c>
      <c r="D70" t="s">
        <v>653</v>
      </c>
    </row>
    <row r="71" spans="1:4" x14ac:dyDescent="0.25">
      <c r="A71">
        <v>14718237</v>
      </c>
      <c r="B71" s="12">
        <v>45813</v>
      </c>
      <c r="C71" t="s">
        <v>1</v>
      </c>
      <c r="D71" t="s">
        <v>647</v>
      </c>
    </row>
    <row r="72" spans="1:4" x14ac:dyDescent="0.25">
      <c r="A72">
        <v>14718237</v>
      </c>
      <c r="B72" s="12">
        <v>45671</v>
      </c>
      <c r="C72" t="s">
        <v>0</v>
      </c>
    </row>
    <row r="73" spans="1:4" x14ac:dyDescent="0.25">
      <c r="A73">
        <v>14718242</v>
      </c>
      <c r="B73" s="12">
        <v>45671</v>
      </c>
      <c r="C73" t="s">
        <v>0</v>
      </c>
    </row>
    <row r="74" spans="1:4" x14ac:dyDescent="0.25">
      <c r="A74">
        <v>14718247</v>
      </c>
      <c r="B74" s="12">
        <v>45966</v>
      </c>
      <c r="C74" t="s">
        <v>0</v>
      </c>
      <c r="D74" t="s">
        <v>655</v>
      </c>
    </row>
    <row r="75" spans="1:4" x14ac:dyDescent="0.25">
      <c r="A75">
        <v>14718247</v>
      </c>
      <c r="B75" s="12">
        <v>45671</v>
      </c>
      <c r="C75" t="s">
        <v>0</v>
      </c>
    </row>
    <row r="76" spans="1:4" x14ac:dyDescent="0.25">
      <c r="A76">
        <v>15660951</v>
      </c>
      <c r="B76" s="12">
        <v>45965</v>
      </c>
      <c r="C76" t="s">
        <v>0</v>
      </c>
      <c r="D76" t="s">
        <v>657</v>
      </c>
    </row>
    <row r="77" spans="1:4" x14ac:dyDescent="0.25">
      <c r="A77">
        <v>15660951</v>
      </c>
      <c r="B77" s="12">
        <v>45671</v>
      </c>
      <c r="C77" t="s">
        <v>0</v>
      </c>
    </row>
    <row r="78" spans="1:4" x14ac:dyDescent="0.25">
      <c r="A78">
        <v>15660969</v>
      </c>
      <c r="B78" s="12">
        <v>45965</v>
      </c>
      <c r="C78" t="s">
        <v>0</v>
      </c>
      <c r="D78" t="s">
        <v>653</v>
      </c>
    </row>
    <row r="79" spans="1:4" x14ac:dyDescent="0.25">
      <c r="A79">
        <v>15660969</v>
      </c>
      <c r="B79" s="12">
        <v>45813</v>
      </c>
      <c r="C79" t="s">
        <v>1</v>
      </c>
      <c r="D79" t="s">
        <v>647</v>
      </c>
    </row>
    <row r="80" spans="1:4" x14ac:dyDescent="0.25">
      <c r="A80">
        <v>15660969</v>
      </c>
      <c r="B80" s="12">
        <v>45671</v>
      </c>
      <c r="C80" t="s">
        <v>0</v>
      </c>
    </row>
    <row r="81" spans="1:4" x14ac:dyDescent="0.25">
      <c r="A81">
        <v>15660979</v>
      </c>
      <c r="B81" s="12">
        <v>45966</v>
      </c>
      <c r="C81" t="s">
        <v>0</v>
      </c>
      <c r="D81" t="s">
        <v>655</v>
      </c>
    </row>
    <row r="82" spans="1:4" x14ac:dyDescent="0.25">
      <c r="A82">
        <v>15660979</v>
      </c>
      <c r="B82" s="12">
        <v>45671</v>
      </c>
      <c r="C82" t="s">
        <v>0</v>
      </c>
    </row>
    <row r="83" spans="1:4" x14ac:dyDescent="0.25">
      <c r="A83">
        <v>15660983</v>
      </c>
      <c r="B83" s="12">
        <v>45965</v>
      </c>
      <c r="C83" t="s">
        <v>0</v>
      </c>
      <c r="D83" t="s">
        <v>654</v>
      </c>
    </row>
    <row r="84" spans="1:4" x14ac:dyDescent="0.25">
      <c r="A84">
        <v>15660983</v>
      </c>
      <c r="B84" s="12">
        <v>45813</v>
      </c>
      <c r="C84" t="s">
        <v>1</v>
      </c>
      <c r="D84" t="s">
        <v>647</v>
      </c>
    </row>
    <row r="85" spans="1:4" x14ac:dyDescent="0.25">
      <c r="A85">
        <v>15660983</v>
      </c>
      <c r="B85" s="12">
        <v>45671</v>
      </c>
      <c r="C85" t="s">
        <v>0</v>
      </c>
    </row>
    <row r="86" spans="1:4" x14ac:dyDescent="0.25">
      <c r="A86">
        <v>15660986</v>
      </c>
      <c r="B86" s="12">
        <v>45965</v>
      </c>
      <c r="C86" t="s">
        <v>0</v>
      </c>
      <c r="D86" t="s">
        <v>657</v>
      </c>
    </row>
    <row r="87" spans="1:4" x14ac:dyDescent="0.25">
      <c r="A87">
        <v>15660986</v>
      </c>
      <c r="B87" s="12">
        <v>45671</v>
      </c>
      <c r="C87" t="s">
        <v>0</v>
      </c>
    </row>
    <row r="88" spans="1:4" x14ac:dyDescent="0.25">
      <c r="A88">
        <v>15661004</v>
      </c>
      <c r="B88" s="12">
        <v>45671</v>
      </c>
      <c r="C88" t="s">
        <v>0</v>
      </c>
    </row>
    <row r="89" spans="1:4" x14ac:dyDescent="0.25">
      <c r="A89">
        <v>15661004</v>
      </c>
      <c r="B89" s="12">
        <v>45671</v>
      </c>
      <c r="C89" t="s">
        <v>0</v>
      </c>
      <c r="D89" t="s">
        <v>643</v>
      </c>
    </row>
    <row r="90" spans="1:4" x14ac:dyDescent="0.25">
      <c r="A90">
        <v>15661063</v>
      </c>
      <c r="B90" s="12">
        <v>45671</v>
      </c>
      <c r="C90" t="s">
        <v>0</v>
      </c>
    </row>
    <row r="91" spans="1:4" x14ac:dyDescent="0.25">
      <c r="A91">
        <v>15661158</v>
      </c>
      <c r="B91" s="12">
        <v>45671</v>
      </c>
      <c r="C91" t="s">
        <v>0</v>
      </c>
    </row>
    <row r="92" spans="1:4" x14ac:dyDescent="0.25">
      <c r="A92">
        <v>15661164</v>
      </c>
      <c r="B92" s="12">
        <v>45965</v>
      </c>
      <c r="C92" t="s">
        <v>0</v>
      </c>
      <c r="D92" t="s">
        <v>654</v>
      </c>
    </row>
    <row r="93" spans="1:4" x14ac:dyDescent="0.25">
      <c r="A93">
        <v>15661164</v>
      </c>
      <c r="B93" s="12">
        <v>45813</v>
      </c>
      <c r="C93" t="s">
        <v>1</v>
      </c>
      <c r="D93" t="s">
        <v>647</v>
      </c>
    </row>
    <row r="94" spans="1:4" x14ac:dyDescent="0.25">
      <c r="A94">
        <v>15661164</v>
      </c>
      <c r="B94" s="12">
        <v>45671</v>
      </c>
      <c r="C94" t="s">
        <v>0</v>
      </c>
    </row>
    <row r="95" spans="1:4" x14ac:dyDescent="0.25">
      <c r="A95">
        <v>15661174</v>
      </c>
      <c r="B95" s="12">
        <v>45966</v>
      </c>
      <c r="C95" t="s">
        <v>0</v>
      </c>
      <c r="D95" t="s">
        <v>655</v>
      </c>
    </row>
    <row r="96" spans="1:4" x14ac:dyDescent="0.25">
      <c r="A96">
        <v>15661174</v>
      </c>
      <c r="B96" s="12">
        <v>45671</v>
      </c>
      <c r="C96" t="s">
        <v>0</v>
      </c>
    </row>
    <row r="97" spans="1:4" x14ac:dyDescent="0.25">
      <c r="A97">
        <v>15661176</v>
      </c>
      <c r="B97" s="12">
        <v>45671</v>
      </c>
      <c r="C97" t="s">
        <v>0</v>
      </c>
    </row>
    <row r="98" spans="1:4" x14ac:dyDescent="0.25">
      <c r="A98">
        <v>15661298</v>
      </c>
      <c r="B98" s="12">
        <v>45966</v>
      </c>
      <c r="C98" t="s">
        <v>0</v>
      </c>
      <c r="D98" t="s">
        <v>655</v>
      </c>
    </row>
    <row r="99" spans="1:4" x14ac:dyDescent="0.25">
      <c r="A99">
        <v>15661298</v>
      </c>
      <c r="B99" s="12">
        <v>45671</v>
      </c>
      <c r="C99" t="s">
        <v>0</v>
      </c>
    </row>
    <row r="100" spans="1:4" x14ac:dyDescent="0.25">
      <c r="A100">
        <v>15661304</v>
      </c>
      <c r="B100" s="12">
        <v>45813</v>
      </c>
      <c r="C100" t="s">
        <v>1</v>
      </c>
      <c r="D100" t="s">
        <v>647</v>
      </c>
    </row>
    <row r="101" spans="1:4" x14ac:dyDescent="0.25">
      <c r="A101">
        <v>15661304</v>
      </c>
      <c r="B101" s="12">
        <v>45671</v>
      </c>
      <c r="C101" t="s">
        <v>0</v>
      </c>
    </row>
    <row r="102" spans="1:4" x14ac:dyDescent="0.25">
      <c r="A102">
        <v>15661311</v>
      </c>
      <c r="B102" s="12">
        <v>45965</v>
      </c>
      <c r="C102" t="s">
        <v>0</v>
      </c>
      <c r="D102" t="s">
        <v>654</v>
      </c>
    </row>
    <row r="103" spans="1:4" x14ac:dyDescent="0.25">
      <c r="A103">
        <v>15661311</v>
      </c>
      <c r="B103" s="12">
        <v>45813</v>
      </c>
      <c r="C103" t="s">
        <v>1</v>
      </c>
      <c r="D103" t="s">
        <v>647</v>
      </c>
    </row>
    <row r="104" spans="1:4" x14ac:dyDescent="0.25">
      <c r="A104">
        <v>15661311</v>
      </c>
      <c r="B104" s="12">
        <v>45671</v>
      </c>
      <c r="C104" t="s">
        <v>0</v>
      </c>
    </row>
    <row r="105" spans="1:4" x14ac:dyDescent="0.25">
      <c r="A105">
        <v>15661317</v>
      </c>
      <c r="B105" s="12">
        <v>45965</v>
      </c>
      <c r="C105" t="s">
        <v>0</v>
      </c>
      <c r="D105" t="s">
        <v>657</v>
      </c>
    </row>
    <row r="106" spans="1:4" x14ac:dyDescent="0.25">
      <c r="A106">
        <v>15661317</v>
      </c>
      <c r="B106" s="12">
        <v>45671</v>
      </c>
      <c r="C106" t="s">
        <v>0</v>
      </c>
    </row>
    <row r="107" spans="1:4" x14ac:dyDescent="0.25">
      <c r="A107">
        <v>15661324</v>
      </c>
      <c r="B107" s="12">
        <v>45966</v>
      </c>
      <c r="C107" t="s">
        <v>0</v>
      </c>
      <c r="D107" t="s">
        <v>655</v>
      </c>
    </row>
    <row r="108" spans="1:4" x14ac:dyDescent="0.25">
      <c r="A108">
        <v>15661324</v>
      </c>
      <c r="B108" s="12">
        <v>45671</v>
      </c>
      <c r="C108" t="s">
        <v>0</v>
      </c>
    </row>
    <row r="109" spans="1:4" x14ac:dyDescent="0.25">
      <c r="A109">
        <v>15661327</v>
      </c>
      <c r="B109" s="12">
        <v>45671</v>
      </c>
      <c r="C109" t="s">
        <v>0</v>
      </c>
    </row>
    <row r="110" spans="1:4" x14ac:dyDescent="0.25">
      <c r="A110">
        <v>15661373</v>
      </c>
      <c r="B110" s="12">
        <v>45965</v>
      </c>
      <c r="C110" t="s">
        <v>0</v>
      </c>
      <c r="D110" t="s">
        <v>653</v>
      </c>
    </row>
    <row r="111" spans="1:4" x14ac:dyDescent="0.25">
      <c r="A111">
        <v>15661373</v>
      </c>
      <c r="B111" s="12">
        <v>45813</v>
      </c>
      <c r="C111" t="s">
        <v>1</v>
      </c>
      <c r="D111" t="s">
        <v>647</v>
      </c>
    </row>
    <row r="112" spans="1:4" x14ac:dyDescent="0.25">
      <c r="A112">
        <v>15661373</v>
      </c>
      <c r="B112" s="12">
        <v>45671</v>
      </c>
      <c r="C112" t="s">
        <v>0</v>
      </c>
    </row>
    <row r="113" spans="1:4" x14ac:dyDescent="0.25">
      <c r="A113">
        <v>15661375</v>
      </c>
      <c r="B113" s="12">
        <v>45965</v>
      </c>
      <c r="C113" t="s">
        <v>0</v>
      </c>
      <c r="D113" t="s">
        <v>654</v>
      </c>
    </row>
    <row r="114" spans="1:4" x14ac:dyDescent="0.25">
      <c r="A114">
        <v>15661375</v>
      </c>
      <c r="B114" s="12">
        <v>45813</v>
      </c>
      <c r="C114" t="s">
        <v>1</v>
      </c>
      <c r="D114" t="s">
        <v>647</v>
      </c>
    </row>
    <row r="115" spans="1:4" x14ac:dyDescent="0.25">
      <c r="A115">
        <v>15661375</v>
      </c>
      <c r="B115" s="12">
        <v>45671</v>
      </c>
      <c r="C115" t="s">
        <v>0</v>
      </c>
    </row>
    <row r="116" spans="1:4" x14ac:dyDescent="0.25">
      <c r="A116">
        <v>15661378</v>
      </c>
      <c r="B116" s="12">
        <v>45965</v>
      </c>
      <c r="C116" t="s">
        <v>0</v>
      </c>
      <c r="D116" t="s">
        <v>653</v>
      </c>
    </row>
    <row r="117" spans="1:4" x14ac:dyDescent="0.25">
      <c r="A117">
        <v>15661378</v>
      </c>
      <c r="B117" s="12">
        <v>45813</v>
      </c>
      <c r="C117" t="s">
        <v>1</v>
      </c>
      <c r="D117" t="s">
        <v>647</v>
      </c>
    </row>
    <row r="118" spans="1:4" x14ac:dyDescent="0.25">
      <c r="A118">
        <v>15661378</v>
      </c>
      <c r="B118" s="12">
        <v>45671</v>
      </c>
      <c r="C118" t="s">
        <v>0</v>
      </c>
    </row>
    <row r="119" spans="1:4" x14ac:dyDescent="0.25">
      <c r="A119">
        <v>16190671</v>
      </c>
      <c r="B119" s="12">
        <v>45818</v>
      </c>
      <c r="C119" t="s">
        <v>0</v>
      </c>
      <c r="D119" t="s">
        <v>650</v>
      </c>
    </row>
    <row r="120" spans="1:4" x14ac:dyDescent="0.25">
      <c r="A120">
        <v>16390415</v>
      </c>
      <c r="B120" s="12">
        <v>45966</v>
      </c>
      <c r="C120" t="s">
        <v>0</v>
      </c>
      <c r="D120" t="s">
        <v>655</v>
      </c>
    </row>
    <row r="121" spans="1:4" x14ac:dyDescent="0.25">
      <c r="A121">
        <v>16390415</v>
      </c>
      <c r="B121" s="12">
        <v>45671</v>
      </c>
      <c r="C121" t="s">
        <v>0</v>
      </c>
    </row>
    <row r="122" spans="1:4" x14ac:dyDescent="0.25">
      <c r="A122">
        <v>16390431</v>
      </c>
      <c r="B122" s="12">
        <v>45965</v>
      </c>
      <c r="C122" t="s">
        <v>0</v>
      </c>
      <c r="D122" t="s">
        <v>653</v>
      </c>
    </row>
    <row r="123" spans="1:4" x14ac:dyDescent="0.25">
      <c r="A123">
        <v>16390431</v>
      </c>
      <c r="B123" s="12">
        <v>45813</v>
      </c>
      <c r="C123" t="s">
        <v>1</v>
      </c>
      <c r="D123" t="s">
        <v>647</v>
      </c>
    </row>
    <row r="124" spans="1:4" x14ac:dyDescent="0.25">
      <c r="A124">
        <v>16390431</v>
      </c>
      <c r="B124" s="12">
        <v>45671</v>
      </c>
      <c r="C124" t="s">
        <v>0</v>
      </c>
    </row>
    <row r="125" spans="1:4" x14ac:dyDescent="0.25">
      <c r="A125">
        <v>16390436</v>
      </c>
      <c r="B125" s="12">
        <v>45671</v>
      </c>
      <c r="C125" t="s">
        <v>0</v>
      </c>
    </row>
    <row r="126" spans="1:4" x14ac:dyDescent="0.25">
      <c r="A126">
        <v>16390444</v>
      </c>
      <c r="B126" s="12">
        <v>45671</v>
      </c>
      <c r="C126" t="s">
        <v>0</v>
      </c>
    </row>
    <row r="127" spans="1:4" x14ac:dyDescent="0.25">
      <c r="A127">
        <v>16390455</v>
      </c>
      <c r="B127" s="12">
        <v>45671</v>
      </c>
      <c r="C127" t="s">
        <v>0</v>
      </c>
    </row>
    <row r="128" spans="1:4" x14ac:dyDescent="0.25">
      <c r="A128">
        <v>16390455</v>
      </c>
      <c r="B128" s="12">
        <v>45671</v>
      </c>
      <c r="C128" t="s">
        <v>0</v>
      </c>
      <c r="D128" t="s">
        <v>643</v>
      </c>
    </row>
    <row r="129" spans="1:4" x14ac:dyDescent="0.25">
      <c r="A129">
        <v>16390459</v>
      </c>
      <c r="B129" s="12">
        <v>45671</v>
      </c>
      <c r="C129" t="s">
        <v>0</v>
      </c>
    </row>
    <row r="130" spans="1:4" x14ac:dyDescent="0.25">
      <c r="A130">
        <v>16390462</v>
      </c>
      <c r="B130" s="12">
        <v>45671</v>
      </c>
      <c r="C130" t="s">
        <v>0</v>
      </c>
    </row>
    <row r="131" spans="1:4" x14ac:dyDescent="0.25">
      <c r="A131">
        <v>16390467</v>
      </c>
      <c r="B131" s="12">
        <v>45671</v>
      </c>
      <c r="C131" t="s">
        <v>0</v>
      </c>
    </row>
    <row r="132" spans="1:4" x14ac:dyDescent="0.25">
      <c r="A132">
        <v>16390468</v>
      </c>
      <c r="B132" s="12">
        <v>45671</v>
      </c>
      <c r="C132" t="s">
        <v>0</v>
      </c>
    </row>
    <row r="133" spans="1:4" x14ac:dyDescent="0.25">
      <c r="A133">
        <v>16390472</v>
      </c>
      <c r="B133" s="12">
        <v>45671</v>
      </c>
      <c r="C133" t="s">
        <v>0</v>
      </c>
    </row>
    <row r="134" spans="1:4" x14ac:dyDescent="0.25">
      <c r="A134">
        <v>16390473</v>
      </c>
      <c r="B134" s="12">
        <v>45671</v>
      </c>
      <c r="C134" t="s">
        <v>0</v>
      </c>
    </row>
    <row r="135" spans="1:4" x14ac:dyDescent="0.25">
      <c r="A135">
        <v>16390474</v>
      </c>
      <c r="B135" s="12">
        <v>45965</v>
      </c>
      <c r="C135" t="s">
        <v>0</v>
      </c>
      <c r="D135" t="s">
        <v>653</v>
      </c>
    </row>
    <row r="136" spans="1:4" x14ac:dyDescent="0.25">
      <c r="A136">
        <v>16390474</v>
      </c>
      <c r="B136" s="12">
        <v>45813</v>
      </c>
      <c r="C136" t="s">
        <v>1</v>
      </c>
      <c r="D136" t="s">
        <v>647</v>
      </c>
    </row>
    <row r="137" spans="1:4" x14ac:dyDescent="0.25">
      <c r="A137">
        <v>16390474</v>
      </c>
      <c r="B137" s="12">
        <v>45671</v>
      </c>
      <c r="C137" t="s">
        <v>0</v>
      </c>
    </row>
    <row r="138" spans="1:4" x14ac:dyDescent="0.25">
      <c r="A138">
        <v>16390477</v>
      </c>
      <c r="B138" s="12">
        <v>45813</v>
      </c>
      <c r="C138" t="s">
        <v>1</v>
      </c>
      <c r="D138" t="s">
        <v>647</v>
      </c>
    </row>
    <row r="139" spans="1:4" x14ac:dyDescent="0.25">
      <c r="A139">
        <v>16390477</v>
      </c>
      <c r="B139" s="12">
        <v>45671</v>
      </c>
      <c r="C139" t="s">
        <v>0</v>
      </c>
    </row>
    <row r="140" spans="1:4" x14ac:dyDescent="0.25">
      <c r="A140">
        <v>16390531</v>
      </c>
      <c r="B140" s="12">
        <v>45671</v>
      </c>
      <c r="C140" t="s">
        <v>0</v>
      </c>
    </row>
    <row r="141" spans="1:4" x14ac:dyDescent="0.25">
      <c r="A141">
        <v>16390533</v>
      </c>
      <c r="B141" s="12">
        <v>45966</v>
      </c>
      <c r="C141" t="s">
        <v>0</v>
      </c>
      <c r="D141" t="s">
        <v>655</v>
      </c>
    </row>
    <row r="142" spans="1:4" x14ac:dyDescent="0.25">
      <c r="A142">
        <v>16390533</v>
      </c>
      <c r="B142" s="12">
        <v>45671</v>
      </c>
      <c r="C142" t="s">
        <v>0</v>
      </c>
    </row>
    <row r="143" spans="1:4" x14ac:dyDescent="0.25">
      <c r="A143">
        <v>16390536</v>
      </c>
      <c r="B143" s="12">
        <v>45671</v>
      </c>
      <c r="C143" t="s">
        <v>0</v>
      </c>
    </row>
    <row r="144" spans="1:4" x14ac:dyDescent="0.25">
      <c r="A144">
        <v>16390541</v>
      </c>
      <c r="B144" s="12">
        <v>45813</v>
      </c>
      <c r="C144" t="s">
        <v>1</v>
      </c>
      <c r="D144" t="s">
        <v>647</v>
      </c>
    </row>
    <row r="145" spans="1:4" x14ac:dyDescent="0.25">
      <c r="A145">
        <v>16390542</v>
      </c>
      <c r="B145" s="12">
        <v>45671</v>
      </c>
      <c r="C145" t="s">
        <v>0</v>
      </c>
    </row>
    <row r="146" spans="1:4" x14ac:dyDescent="0.25">
      <c r="A146">
        <v>16390548</v>
      </c>
      <c r="B146" s="12">
        <v>45965</v>
      </c>
      <c r="C146" t="s">
        <v>0</v>
      </c>
      <c r="D146" t="s">
        <v>657</v>
      </c>
    </row>
    <row r="147" spans="1:4" x14ac:dyDescent="0.25">
      <c r="A147">
        <v>16390548</v>
      </c>
      <c r="B147" s="12">
        <v>45671</v>
      </c>
      <c r="C147" t="s">
        <v>0</v>
      </c>
    </row>
    <row r="148" spans="1:4" x14ac:dyDescent="0.25">
      <c r="A148">
        <v>16390550</v>
      </c>
      <c r="B148" s="12">
        <v>45966</v>
      </c>
      <c r="C148" t="s">
        <v>0</v>
      </c>
      <c r="D148" t="s">
        <v>655</v>
      </c>
    </row>
    <row r="149" spans="1:4" x14ac:dyDescent="0.25">
      <c r="A149">
        <v>16390550</v>
      </c>
      <c r="B149" s="12">
        <v>45671</v>
      </c>
      <c r="C149" t="s">
        <v>0</v>
      </c>
    </row>
    <row r="150" spans="1:4" x14ac:dyDescent="0.25">
      <c r="A150">
        <v>16390551</v>
      </c>
      <c r="B150" s="12">
        <v>45671</v>
      </c>
      <c r="C150" t="s">
        <v>0</v>
      </c>
    </row>
    <row r="151" spans="1:4" x14ac:dyDescent="0.25">
      <c r="A151">
        <v>16390553</v>
      </c>
      <c r="B151" s="12">
        <v>45966</v>
      </c>
      <c r="C151" t="s">
        <v>0</v>
      </c>
      <c r="D151" t="s">
        <v>655</v>
      </c>
    </row>
    <row r="152" spans="1:4" x14ac:dyDescent="0.25">
      <c r="A152">
        <v>16390553</v>
      </c>
      <c r="B152" s="12">
        <v>45671</v>
      </c>
      <c r="C152" t="s">
        <v>0</v>
      </c>
    </row>
    <row r="153" spans="1:4" x14ac:dyDescent="0.25">
      <c r="A153">
        <v>16390557</v>
      </c>
      <c r="B153" s="12">
        <v>45965</v>
      </c>
      <c r="C153" t="s">
        <v>0</v>
      </c>
      <c r="D153" t="s">
        <v>657</v>
      </c>
    </row>
    <row r="154" spans="1:4" x14ac:dyDescent="0.25">
      <c r="A154">
        <v>16390557</v>
      </c>
      <c r="B154" s="12">
        <v>45818</v>
      </c>
      <c r="C154" t="s">
        <v>0</v>
      </c>
      <c r="D154" t="s">
        <v>650</v>
      </c>
    </row>
    <row r="155" spans="1:4" x14ac:dyDescent="0.25">
      <c r="A155">
        <v>16390558</v>
      </c>
      <c r="B155" s="12">
        <v>45818</v>
      </c>
      <c r="C155" t="s">
        <v>0</v>
      </c>
      <c r="D155" t="s">
        <v>650</v>
      </c>
    </row>
    <row r="156" spans="1:4" x14ac:dyDescent="0.25">
      <c r="A156">
        <v>16390560</v>
      </c>
      <c r="B156" s="12">
        <v>45818</v>
      </c>
      <c r="C156" t="s">
        <v>0</v>
      </c>
      <c r="D156" t="s">
        <v>650</v>
      </c>
    </row>
    <row r="157" spans="1:4" x14ac:dyDescent="0.25">
      <c r="A157">
        <v>16390561</v>
      </c>
      <c r="B157" s="12">
        <v>45818</v>
      </c>
      <c r="C157" t="s">
        <v>0</v>
      </c>
      <c r="D157" t="s">
        <v>650</v>
      </c>
    </row>
    <row r="158" spans="1:4" x14ac:dyDescent="0.25">
      <c r="A158">
        <v>16390562</v>
      </c>
      <c r="B158" s="12">
        <v>45965</v>
      </c>
      <c r="C158" t="s">
        <v>0</v>
      </c>
      <c r="D158" t="s">
        <v>653</v>
      </c>
    </row>
    <row r="159" spans="1:4" x14ac:dyDescent="0.25">
      <c r="A159">
        <v>16390562</v>
      </c>
      <c r="B159" s="12">
        <v>45813</v>
      </c>
      <c r="C159" t="s">
        <v>1</v>
      </c>
      <c r="D159" t="s">
        <v>647</v>
      </c>
    </row>
    <row r="160" spans="1:4" x14ac:dyDescent="0.25">
      <c r="A160">
        <v>16390562</v>
      </c>
      <c r="B160" s="12">
        <v>45671</v>
      </c>
      <c r="C160" t="s">
        <v>0</v>
      </c>
    </row>
    <row r="161" spans="1:4" x14ac:dyDescent="0.25">
      <c r="A161">
        <v>16390566</v>
      </c>
      <c r="B161" s="12">
        <v>45965</v>
      </c>
      <c r="C161" t="s">
        <v>0</v>
      </c>
      <c r="D161" t="s">
        <v>653</v>
      </c>
    </row>
    <row r="162" spans="1:4" x14ac:dyDescent="0.25">
      <c r="A162">
        <v>16390566</v>
      </c>
      <c r="B162" s="12">
        <v>45813</v>
      </c>
      <c r="C162" t="s">
        <v>1</v>
      </c>
      <c r="D162" t="s">
        <v>647</v>
      </c>
    </row>
    <row r="163" spans="1:4" x14ac:dyDescent="0.25">
      <c r="A163">
        <v>16390566</v>
      </c>
      <c r="B163" s="12">
        <v>45671</v>
      </c>
      <c r="C163" t="s">
        <v>0</v>
      </c>
    </row>
    <row r="164" spans="1:4" x14ac:dyDescent="0.25">
      <c r="A164">
        <v>16390567</v>
      </c>
      <c r="B164" s="12">
        <v>45671</v>
      </c>
      <c r="C164" t="s">
        <v>0</v>
      </c>
    </row>
    <row r="165" spans="1:4" x14ac:dyDescent="0.25">
      <c r="A165">
        <v>16390578</v>
      </c>
      <c r="B165" s="12">
        <v>45671</v>
      </c>
      <c r="C165" t="s">
        <v>0</v>
      </c>
    </row>
    <row r="166" spans="1:4" x14ac:dyDescent="0.25">
      <c r="A166">
        <v>16390584</v>
      </c>
      <c r="B166" s="12">
        <v>45671</v>
      </c>
      <c r="C166" t="s">
        <v>0</v>
      </c>
    </row>
    <row r="167" spans="1:4" x14ac:dyDescent="0.25">
      <c r="A167">
        <v>16390585</v>
      </c>
      <c r="B167" s="12">
        <v>45965</v>
      </c>
      <c r="C167" t="s">
        <v>0</v>
      </c>
      <c r="D167" t="s">
        <v>653</v>
      </c>
    </row>
    <row r="168" spans="1:4" x14ac:dyDescent="0.25">
      <c r="A168">
        <v>16390585</v>
      </c>
      <c r="B168" s="12">
        <v>45813</v>
      </c>
      <c r="C168" t="s">
        <v>1</v>
      </c>
      <c r="D168" t="s">
        <v>647</v>
      </c>
    </row>
    <row r="169" spans="1:4" x14ac:dyDescent="0.25">
      <c r="A169">
        <v>16390586</v>
      </c>
      <c r="B169" s="12">
        <v>45671</v>
      </c>
      <c r="C169" t="s">
        <v>0</v>
      </c>
    </row>
    <row r="170" spans="1:4" x14ac:dyDescent="0.25">
      <c r="A170">
        <v>16390589</v>
      </c>
      <c r="B170" s="12">
        <v>45671</v>
      </c>
      <c r="C170" t="s">
        <v>0</v>
      </c>
    </row>
    <row r="171" spans="1:4" x14ac:dyDescent="0.25">
      <c r="A171">
        <v>16705207</v>
      </c>
      <c r="B171" s="12">
        <v>45671</v>
      </c>
      <c r="C171" t="s">
        <v>0</v>
      </c>
    </row>
    <row r="172" spans="1:4" x14ac:dyDescent="0.25">
      <c r="A172">
        <v>16705212</v>
      </c>
      <c r="B172" s="12">
        <v>45671</v>
      </c>
      <c r="C172" t="s">
        <v>0</v>
      </c>
    </row>
    <row r="173" spans="1:4" x14ac:dyDescent="0.25">
      <c r="A173">
        <v>16705224</v>
      </c>
      <c r="B173" s="12">
        <v>45671</v>
      </c>
      <c r="C173" t="s">
        <v>0</v>
      </c>
    </row>
    <row r="174" spans="1:4" x14ac:dyDescent="0.25">
      <c r="A174">
        <v>16705231</v>
      </c>
      <c r="B174" s="12">
        <v>45671</v>
      </c>
      <c r="C174" t="s">
        <v>0</v>
      </c>
    </row>
    <row r="175" spans="1:4" x14ac:dyDescent="0.25">
      <c r="A175">
        <v>16705235</v>
      </c>
      <c r="B175" s="12">
        <v>45965</v>
      </c>
      <c r="C175" t="s">
        <v>0</v>
      </c>
      <c r="D175" t="s">
        <v>657</v>
      </c>
    </row>
    <row r="176" spans="1:4" x14ac:dyDescent="0.25">
      <c r="A176">
        <v>16705235</v>
      </c>
      <c r="B176" s="12">
        <v>45671</v>
      </c>
      <c r="C176" t="s">
        <v>0</v>
      </c>
    </row>
    <row r="177" spans="1:4" x14ac:dyDescent="0.25">
      <c r="A177">
        <v>16705238</v>
      </c>
      <c r="B177" s="12">
        <v>45671</v>
      </c>
      <c r="C177" t="s">
        <v>0</v>
      </c>
    </row>
    <row r="178" spans="1:4" x14ac:dyDescent="0.25">
      <c r="A178">
        <v>16705260</v>
      </c>
      <c r="B178" s="12">
        <v>45671</v>
      </c>
      <c r="C178" t="s">
        <v>0</v>
      </c>
    </row>
    <row r="179" spans="1:4" x14ac:dyDescent="0.25">
      <c r="A179">
        <v>16705261</v>
      </c>
      <c r="B179" s="12">
        <v>45965</v>
      </c>
      <c r="C179" t="s">
        <v>0</v>
      </c>
      <c r="D179" t="s">
        <v>654</v>
      </c>
    </row>
    <row r="180" spans="1:4" x14ac:dyDescent="0.25">
      <c r="A180">
        <v>16705261</v>
      </c>
      <c r="B180" s="12">
        <v>45813</v>
      </c>
      <c r="C180" t="s">
        <v>1</v>
      </c>
      <c r="D180" t="s">
        <v>647</v>
      </c>
    </row>
    <row r="181" spans="1:4" x14ac:dyDescent="0.25">
      <c r="A181">
        <v>16705261</v>
      </c>
      <c r="B181" s="12">
        <v>45671</v>
      </c>
      <c r="C181" t="s">
        <v>0</v>
      </c>
    </row>
    <row r="182" spans="1:4" x14ac:dyDescent="0.25">
      <c r="A182">
        <v>16705263</v>
      </c>
      <c r="B182" s="12">
        <v>45965</v>
      </c>
      <c r="C182" t="s">
        <v>0</v>
      </c>
      <c r="D182" t="s">
        <v>653</v>
      </c>
    </row>
    <row r="183" spans="1:4" x14ac:dyDescent="0.25">
      <c r="A183">
        <v>16705263</v>
      </c>
      <c r="B183" s="12">
        <v>45671</v>
      </c>
      <c r="C183" t="s">
        <v>0</v>
      </c>
    </row>
    <row r="184" spans="1:4" x14ac:dyDescent="0.25">
      <c r="A184">
        <v>16705266</v>
      </c>
      <c r="B184" s="12">
        <v>45965</v>
      </c>
      <c r="C184" t="s">
        <v>0</v>
      </c>
      <c r="D184" t="s">
        <v>653</v>
      </c>
    </row>
    <row r="185" spans="1:4" x14ac:dyDescent="0.25">
      <c r="A185">
        <v>16705266</v>
      </c>
      <c r="B185" s="12">
        <v>45813</v>
      </c>
      <c r="C185" t="s">
        <v>1</v>
      </c>
      <c r="D185" t="s">
        <v>647</v>
      </c>
    </row>
    <row r="186" spans="1:4" x14ac:dyDescent="0.25">
      <c r="A186">
        <v>16705266</v>
      </c>
      <c r="B186" s="12">
        <v>45671</v>
      </c>
      <c r="C186" t="s">
        <v>0</v>
      </c>
    </row>
    <row r="187" spans="1:4" x14ac:dyDescent="0.25">
      <c r="A187">
        <v>16705267</v>
      </c>
      <c r="B187" s="12">
        <v>45671</v>
      </c>
      <c r="C187" t="s">
        <v>0</v>
      </c>
    </row>
    <row r="188" spans="1:4" x14ac:dyDescent="0.25">
      <c r="A188">
        <v>16705271</v>
      </c>
      <c r="B188" s="12">
        <v>45965</v>
      </c>
      <c r="C188" t="s">
        <v>0</v>
      </c>
      <c r="D188" t="s">
        <v>657</v>
      </c>
    </row>
    <row r="189" spans="1:4" x14ac:dyDescent="0.25">
      <c r="A189">
        <v>16705271</v>
      </c>
      <c r="B189" s="12">
        <v>45671</v>
      </c>
      <c r="C189" t="s">
        <v>0</v>
      </c>
    </row>
    <row r="190" spans="1:4" x14ac:dyDescent="0.25">
      <c r="A190">
        <v>16705284</v>
      </c>
      <c r="B190" s="12">
        <v>45965</v>
      </c>
      <c r="C190" t="s">
        <v>0</v>
      </c>
      <c r="D190" t="s">
        <v>654</v>
      </c>
    </row>
    <row r="191" spans="1:4" x14ac:dyDescent="0.25">
      <c r="A191">
        <v>16705284</v>
      </c>
      <c r="B191" s="12">
        <v>45671</v>
      </c>
      <c r="C191" t="s">
        <v>0</v>
      </c>
    </row>
    <row r="192" spans="1:4" x14ac:dyDescent="0.25">
      <c r="A192">
        <v>16705318</v>
      </c>
      <c r="B192" s="12">
        <v>45966</v>
      </c>
      <c r="C192" t="s">
        <v>0</v>
      </c>
      <c r="D192" t="s">
        <v>655</v>
      </c>
    </row>
    <row r="193" spans="1:4" x14ac:dyDescent="0.25">
      <c r="A193">
        <v>16705318</v>
      </c>
      <c r="B193" s="12">
        <v>45671</v>
      </c>
      <c r="C193" t="s">
        <v>0</v>
      </c>
    </row>
    <row r="194" spans="1:4" x14ac:dyDescent="0.25">
      <c r="A194">
        <v>16705323</v>
      </c>
      <c r="B194" s="12">
        <v>45671</v>
      </c>
      <c r="C194" t="s">
        <v>0</v>
      </c>
    </row>
    <row r="195" spans="1:4" x14ac:dyDescent="0.25">
      <c r="A195">
        <v>16705324</v>
      </c>
      <c r="B195" s="12">
        <v>45671</v>
      </c>
      <c r="C195" t="s">
        <v>0</v>
      </c>
    </row>
    <row r="196" spans="1:4" x14ac:dyDescent="0.25">
      <c r="A196">
        <v>16705325</v>
      </c>
      <c r="B196" s="12">
        <v>45965</v>
      </c>
      <c r="C196" t="s">
        <v>0</v>
      </c>
      <c r="D196" t="s">
        <v>653</v>
      </c>
    </row>
    <row r="197" spans="1:4" x14ac:dyDescent="0.25">
      <c r="A197">
        <v>16705326</v>
      </c>
      <c r="B197" s="12">
        <v>45965</v>
      </c>
      <c r="C197" t="s">
        <v>0</v>
      </c>
      <c r="D197" t="s">
        <v>657</v>
      </c>
    </row>
    <row r="198" spans="1:4" x14ac:dyDescent="0.25">
      <c r="A198">
        <v>16705326</v>
      </c>
      <c r="B198" s="12">
        <v>45671</v>
      </c>
      <c r="C198" t="s">
        <v>0</v>
      </c>
    </row>
    <row r="199" spans="1:4" x14ac:dyDescent="0.25">
      <c r="A199">
        <v>16705331</v>
      </c>
      <c r="B199" s="12">
        <v>45671</v>
      </c>
      <c r="C199" t="s">
        <v>0</v>
      </c>
    </row>
    <row r="200" spans="1:4" x14ac:dyDescent="0.25">
      <c r="A200">
        <v>16705333</v>
      </c>
      <c r="B200" s="12">
        <v>45966</v>
      </c>
      <c r="C200" t="s">
        <v>0</v>
      </c>
      <c r="D200" t="s">
        <v>655</v>
      </c>
    </row>
    <row r="201" spans="1:4" x14ac:dyDescent="0.25">
      <c r="A201">
        <v>16705333</v>
      </c>
      <c r="B201" s="12">
        <v>45671</v>
      </c>
      <c r="C201" t="s">
        <v>0</v>
      </c>
    </row>
    <row r="202" spans="1:4" x14ac:dyDescent="0.25">
      <c r="A202">
        <v>16705334</v>
      </c>
      <c r="B202" s="12">
        <v>45966</v>
      </c>
      <c r="C202" t="s">
        <v>0</v>
      </c>
      <c r="D202" t="s">
        <v>655</v>
      </c>
    </row>
    <row r="203" spans="1:4" x14ac:dyDescent="0.25">
      <c r="A203">
        <v>16705334</v>
      </c>
      <c r="B203" s="12">
        <v>45671</v>
      </c>
      <c r="C203" t="s">
        <v>0</v>
      </c>
    </row>
    <row r="204" spans="1:4" x14ac:dyDescent="0.25">
      <c r="A204">
        <v>16705347</v>
      </c>
      <c r="B204" s="12">
        <v>45813</v>
      </c>
      <c r="C204" t="s">
        <v>1</v>
      </c>
      <c r="D204" t="s">
        <v>647</v>
      </c>
    </row>
    <row r="205" spans="1:4" x14ac:dyDescent="0.25">
      <c r="A205">
        <v>16705347</v>
      </c>
      <c r="B205" s="12">
        <v>45671</v>
      </c>
      <c r="C205" t="s">
        <v>0</v>
      </c>
    </row>
    <row r="206" spans="1:4" x14ac:dyDescent="0.25">
      <c r="A206">
        <v>16705348</v>
      </c>
      <c r="B206" s="12">
        <v>45966</v>
      </c>
      <c r="C206" t="s">
        <v>0</v>
      </c>
      <c r="D206" t="s">
        <v>655</v>
      </c>
    </row>
    <row r="207" spans="1:4" x14ac:dyDescent="0.25">
      <c r="A207">
        <v>16705348</v>
      </c>
      <c r="B207" s="12">
        <v>45671</v>
      </c>
      <c r="C207" t="s">
        <v>0</v>
      </c>
    </row>
    <row r="208" spans="1:4" x14ac:dyDescent="0.25">
      <c r="A208">
        <v>16705354</v>
      </c>
      <c r="B208" s="12">
        <v>45671</v>
      </c>
      <c r="C208" t="s">
        <v>0</v>
      </c>
    </row>
    <row r="209" spans="1:4" x14ac:dyDescent="0.25">
      <c r="A209">
        <v>16705368</v>
      </c>
      <c r="B209" s="12">
        <v>45671</v>
      </c>
      <c r="C209" t="s">
        <v>0</v>
      </c>
    </row>
    <row r="210" spans="1:4" x14ac:dyDescent="0.25">
      <c r="A210">
        <v>16705396</v>
      </c>
      <c r="B210" s="12">
        <v>45966</v>
      </c>
      <c r="C210" t="s">
        <v>0</v>
      </c>
      <c r="D210" t="s">
        <v>655</v>
      </c>
    </row>
    <row r="211" spans="1:4" x14ac:dyDescent="0.25">
      <c r="A211">
        <v>16705396</v>
      </c>
      <c r="B211" s="12">
        <v>45671</v>
      </c>
      <c r="C211" t="s">
        <v>0</v>
      </c>
    </row>
    <row r="212" spans="1:4" x14ac:dyDescent="0.25">
      <c r="A212">
        <v>16705402</v>
      </c>
      <c r="B212" s="12">
        <v>45966</v>
      </c>
      <c r="C212" t="s">
        <v>0</v>
      </c>
      <c r="D212" t="s">
        <v>655</v>
      </c>
    </row>
    <row r="213" spans="1:4" x14ac:dyDescent="0.25">
      <c r="A213">
        <v>16705402</v>
      </c>
      <c r="B213" s="12">
        <v>45671</v>
      </c>
      <c r="C213" t="s">
        <v>0</v>
      </c>
    </row>
    <row r="214" spans="1:4" x14ac:dyDescent="0.25">
      <c r="A214">
        <v>16705414</v>
      </c>
      <c r="B214" s="12">
        <v>45965</v>
      </c>
      <c r="C214" t="s">
        <v>0</v>
      </c>
      <c r="D214" t="s">
        <v>654</v>
      </c>
    </row>
    <row r="215" spans="1:4" x14ac:dyDescent="0.25">
      <c r="A215">
        <v>16705414</v>
      </c>
      <c r="B215" s="12">
        <v>45813</v>
      </c>
      <c r="C215" t="s">
        <v>1</v>
      </c>
      <c r="D215" t="s">
        <v>647</v>
      </c>
    </row>
    <row r="216" spans="1:4" x14ac:dyDescent="0.25">
      <c r="A216">
        <v>16705414</v>
      </c>
      <c r="B216" s="12">
        <v>45671</v>
      </c>
      <c r="C216" t="s">
        <v>0</v>
      </c>
    </row>
    <row r="217" spans="1:4" x14ac:dyDescent="0.25">
      <c r="A217">
        <v>16705416</v>
      </c>
      <c r="B217" s="12">
        <v>45965</v>
      </c>
      <c r="C217" t="s">
        <v>0</v>
      </c>
      <c r="D217" t="s">
        <v>657</v>
      </c>
    </row>
    <row r="218" spans="1:4" x14ac:dyDescent="0.25">
      <c r="A218">
        <v>16705416</v>
      </c>
      <c r="B218" s="12">
        <v>45671</v>
      </c>
      <c r="C218" t="s">
        <v>0</v>
      </c>
    </row>
    <row r="219" spans="1:4" x14ac:dyDescent="0.25">
      <c r="A219">
        <v>16705417</v>
      </c>
      <c r="B219" s="12">
        <v>45671</v>
      </c>
      <c r="C219" t="s">
        <v>0</v>
      </c>
    </row>
    <row r="220" spans="1:4" x14ac:dyDescent="0.25">
      <c r="A220">
        <v>16705419</v>
      </c>
      <c r="B220" s="12">
        <v>45966</v>
      </c>
      <c r="C220" t="s">
        <v>0</v>
      </c>
      <c r="D220" t="s">
        <v>655</v>
      </c>
    </row>
    <row r="221" spans="1:4" x14ac:dyDescent="0.25">
      <c r="A221">
        <v>16705419</v>
      </c>
      <c r="B221" s="12">
        <v>45671</v>
      </c>
      <c r="C221" t="s">
        <v>0</v>
      </c>
    </row>
    <row r="222" spans="1:4" x14ac:dyDescent="0.25">
      <c r="A222">
        <v>16705431</v>
      </c>
      <c r="B222" s="12">
        <v>45671</v>
      </c>
      <c r="C222" t="s">
        <v>0</v>
      </c>
    </row>
    <row r="223" spans="1:4" x14ac:dyDescent="0.25">
      <c r="A223">
        <v>16705450</v>
      </c>
      <c r="B223" s="12">
        <v>45966</v>
      </c>
      <c r="C223" t="s">
        <v>0</v>
      </c>
      <c r="D223" t="s">
        <v>655</v>
      </c>
    </row>
    <row r="224" spans="1:4" x14ac:dyDescent="0.25">
      <c r="A224">
        <v>16705450</v>
      </c>
      <c r="B224" s="12">
        <v>45671</v>
      </c>
      <c r="C224" t="s">
        <v>0</v>
      </c>
    </row>
    <row r="225" spans="1:4" x14ac:dyDescent="0.25">
      <c r="A225">
        <v>16705460</v>
      </c>
      <c r="B225" s="12">
        <v>45671</v>
      </c>
      <c r="C225" t="s">
        <v>0</v>
      </c>
    </row>
    <row r="226" spans="1:4" x14ac:dyDescent="0.25">
      <c r="A226">
        <v>16705475</v>
      </c>
      <c r="B226" s="12">
        <v>45671</v>
      </c>
      <c r="C226" t="s">
        <v>0</v>
      </c>
    </row>
    <row r="227" spans="1:4" x14ac:dyDescent="0.25">
      <c r="A227">
        <v>16705476</v>
      </c>
      <c r="B227" s="12">
        <v>45671</v>
      </c>
      <c r="C227" t="s">
        <v>0</v>
      </c>
    </row>
    <row r="228" spans="1:4" x14ac:dyDescent="0.25">
      <c r="A228">
        <v>16705495</v>
      </c>
      <c r="B228" s="12">
        <v>45671</v>
      </c>
      <c r="C228" t="s">
        <v>0</v>
      </c>
    </row>
    <row r="229" spans="1:4" x14ac:dyDescent="0.25">
      <c r="A229">
        <v>16705497</v>
      </c>
      <c r="B229" s="12">
        <v>45671</v>
      </c>
      <c r="C229" t="s">
        <v>0</v>
      </c>
    </row>
    <row r="230" spans="1:4" x14ac:dyDescent="0.25">
      <c r="A230">
        <v>16705512</v>
      </c>
      <c r="B230" s="12">
        <v>45965</v>
      </c>
      <c r="C230" t="s">
        <v>0</v>
      </c>
      <c r="D230" t="s">
        <v>654</v>
      </c>
    </row>
    <row r="231" spans="1:4" x14ac:dyDescent="0.25">
      <c r="A231">
        <v>16705537</v>
      </c>
      <c r="B231" s="12">
        <v>45671</v>
      </c>
      <c r="C231" t="s">
        <v>0</v>
      </c>
    </row>
    <row r="232" spans="1:4" x14ac:dyDescent="0.25">
      <c r="A232">
        <v>16705539</v>
      </c>
      <c r="B232" s="12">
        <v>45671</v>
      </c>
      <c r="C232" t="s">
        <v>0</v>
      </c>
    </row>
    <row r="233" spans="1:4" x14ac:dyDescent="0.25">
      <c r="A233">
        <v>16705543</v>
      </c>
      <c r="B233" s="12">
        <v>45966</v>
      </c>
      <c r="C233" t="s">
        <v>0</v>
      </c>
      <c r="D233" t="s">
        <v>655</v>
      </c>
    </row>
    <row r="234" spans="1:4" x14ac:dyDescent="0.25">
      <c r="A234">
        <v>16705543</v>
      </c>
      <c r="B234" s="12">
        <v>45671</v>
      </c>
      <c r="C234" t="s">
        <v>0</v>
      </c>
    </row>
    <row r="235" spans="1:4" x14ac:dyDescent="0.25">
      <c r="A235">
        <v>16705555</v>
      </c>
      <c r="B235" s="12">
        <v>45965</v>
      </c>
      <c r="C235" t="s">
        <v>0</v>
      </c>
      <c r="D235" t="s">
        <v>654</v>
      </c>
    </row>
    <row r="236" spans="1:4" x14ac:dyDescent="0.25">
      <c r="A236">
        <v>16705555</v>
      </c>
      <c r="B236" s="12">
        <v>45813</v>
      </c>
      <c r="C236" t="s">
        <v>1</v>
      </c>
      <c r="D236" t="s">
        <v>647</v>
      </c>
    </row>
    <row r="237" spans="1:4" x14ac:dyDescent="0.25">
      <c r="A237">
        <v>16705555</v>
      </c>
      <c r="B237" s="12">
        <v>45671</v>
      </c>
      <c r="C237" t="s">
        <v>0</v>
      </c>
    </row>
    <row r="238" spans="1:4" x14ac:dyDescent="0.25">
      <c r="A238">
        <v>16705561</v>
      </c>
      <c r="B238" s="12">
        <v>45965</v>
      </c>
      <c r="C238" t="s">
        <v>0</v>
      </c>
      <c r="D238" t="s">
        <v>654</v>
      </c>
    </row>
    <row r="239" spans="1:4" x14ac:dyDescent="0.25">
      <c r="A239">
        <v>16705561</v>
      </c>
      <c r="B239" s="12">
        <v>45813</v>
      </c>
      <c r="C239" t="s">
        <v>1</v>
      </c>
      <c r="D239" t="s">
        <v>647</v>
      </c>
    </row>
    <row r="240" spans="1:4" x14ac:dyDescent="0.25">
      <c r="A240">
        <v>16705561</v>
      </c>
      <c r="B240" s="12">
        <v>45671</v>
      </c>
      <c r="C240" t="s">
        <v>0</v>
      </c>
    </row>
    <row r="241" spans="1:4" x14ac:dyDescent="0.25">
      <c r="A241">
        <v>16705564</v>
      </c>
      <c r="B241" s="12">
        <v>45965</v>
      </c>
      <c r="C241" t="s">
        <v>0</v>
      </c>
      <c r="D241" t="s">
        <v>654</v>
      </c>
    </row>
    <row r="242" spans="1:4" x14ac:dyDescent="0.25">
      <c r="A242">
        <v>16705564</v>
      </c>
      <c r="B242" s="12">
        <v>45813</v>
      </c>
      <c r="C242" t="s">
        <v>1</v>
      </c>
      <c r="D242" t="s">
        <v>647</v>
      </c>
    </row>
    <row r="243" spans="1:4" x14ac:dyDescent="0.25">
      <c r="A243">
        <v>16705564</v>
      </c>
      <c r="B243" s="12">
        <v>45671</v>
      </c>
      <c r="C243" t="s">
        <v>0</v>
      </c>
    </row>
    <row r="244" spans="1:4" x14ac:dyDescent="0.25">
      <c r="A244">
        <v>16705565</v>
      </c>
      <c r="B244" s="12">
        <v>45966</v>
      </c>
      <c r="C244" t="s">
        <v>0</v>
      </c>
      <c r="D244" t="s">
        <v>655</v>
      </c>
    </row>
    <row r="245" spans="1:4" x14ac:dyDescent="0.25">
      <c r="A245">
        <v>16705565</v>
      </c>
      <c r="B245" s="12">
        <v>45671</v>
      </c>
      <c r="C245" t="s">
        <v>0</v>
      </c>
    </row>
    <row r="246" spans="1:4" x14ac:dyDescent="0.25">
      <c r="A246">
        <v>16705571</v>
      </c>
      <c r="B246" s="12">
        <v>45671</v>
      </c>
      <c r="C246" t="s">
        <v>0</v>
      </c>
    </row>
    <row r="247" spans="1:4" x14ac:dyDescent="0.25">
      <c r="A247">
        <v>16705575</v>
      </c>
      <c r="B247" s="12">
        <v>45671</v>
      </c>
      <c r="C247" t="s">
        <v>0</v>
      </c>
    </row>
    <row r="248" spans="1:4" x14ac:dyDescent="0.25">
      <c r="A248">
        <v>16705576</v>
      </c>
      <c r="B248" s="12">
        <v>45671</v>
      </c>
      <c r="C248" t="s">
        <v>0</v>
      </c>
    </row>
    <row r="249" spans="1:4" x14ac:dyDescent="0.25">
      <c r="A249">
        <v>16705593</v>
      </c>
      <c r="B249" s="12">
        <v>45671</v>
      </c>
      <c r="C249" t="s">
        <v>0</v>
      </c>
    </row>
    <row r="250" spans="1:4" x14ac:dyDescent="0.25">
      <c r="A250">
        <v>16705594</v>
      </c>
      <c r="B250" s="12">
        <v>45813</v>
      </c>
      <c r="C250" t="s">
        <v>1</v>
      </c>
      <c r="D250" t="s">
        <v>647</v>
      </c>
    </row>
    <row r="251" spans="1:4" x14ac:dyDescent="0.25">
      <c r="A251">
        <v>16705594</v>
      </c>
      <c r="B251" s="12">
        <v>45671</v>
      </c>
      <c r="C251" t="s">
        <v>0</v>
      </c>
    </row>
    <row r="252" spans="1:4" x14ac:dyDescent="0.25">
      <c r="A252">
        <v>16705616</v>
      </c>
      <c r="B252" s="12">
        <v>45965</v>
      </c>
      <c r="C252" t="s">
        <v>0</v>
      </c>
      <c r="D252" t="s">
        <v>657</v>
      </c>
    </row>
    <row r="253" spans="1:4" x14ac:dyDescent="0.25">
      <c r="A253">
        <v>16705616</v>
      </c>
      <c r="B253" s="12">
        <v>45671</v>
      </c>
      <c r="C253" t="s">
        <v>0</v>
      </c>
    </row>
    <row r="254" spans="1:4" x14ac:dyDescent="0.25">
      <c r="A254">
        <v>16705620</v>
      </c>
      <c r="B254" s="12">
        <v>45671</v>
      </c>
      <c r="C254" t="s">
        <v>0</v>
      </c>
    </row>
    <row r="255" spans="1:4" x14ac:dyDescent="0.25">
      <c r="A255">
        <v>16705675</v>
      </c>
      <c r="B255" s="12">
        <v>45671</v>
      </c>
      <c r="C255" t="s">
        <v>0</v>
      </c>
    </row>
    <row r="256" spans="1:4" x14ac:dyDescent="0.25">
      <c r="A256">
        <v>16705682</v>
      </c>
      <c r="B256" s="12">
        <v>45965</v>
      </c>
      <c r="C256" t="s">
        <v>0</v>
      </c>
      <c r="D256" t="s">
        <v>657</v>
      </c>
    </row>
    <row r="257" spans="1:4" x14ac:dyDescent="0.25">
      <c r="A257">
        <v>16705682</v>
      </c>
      <c r="B257" s="12">
        <v>45671</v>
      </c>
      <c r="C257" t="s">
        <v>0</v>
      </c>
    </row>
    <row r="258" spans="1:4" x14ac:dyDescent="0.25">
      <c r="A258">
        <v>16705691</v>
      </c>
      <c r="B258" s="12">
        <v>45965</v>
      </c>
      <c r="C258" t="s">
        <v>0</v>
      </c>
      <c r="D258" t="s">
        <v>657</v>
      </c>
    </row>
    <row r="259" spans="1:4" x14ac:dyDescent="0.25">
      <c r="A259">
        <v>16705691</v>
      </c>
      <c r="B259" s="12">
        <v>45671</v>
      </c>
      <c r="C259" t="s">
        <v>0</v>
      </c>
    </row>
    <row r="260" spans="1:4" x14ac:dyDescent="0.25">
      <c r="A260">
        <v>16705698</v>
      </c>
      <c r="B260" s="12">
        <v>45671</v>
      </c>
      <c r="C260" t="s">
        <v>0</v>
      </c>
    </row>
    <row r="261" spans="1:4" x14ac:dyDescent="0.25">
      <c r="A261">
        <v>16705699</v>
      </c>
      <c r="B261" s="12">
        <v>45671</v>
      </c>
      <c r="C261" t="s">
        <v>0</v>
      </c>
    </row>
    <row r="262" spans="1:4" x14ac:dyDescent="0.25">
      <c r="A262">
        <v>16705705</v>
      </c>
      <c r="B262" s="12">
        <v>45671</v>
      </c>
      <c r="C262" t="s">
        <v>0</v>
      </c>
    </row>
    <row r="263" spans="1:4" x14ac:dyDescent="0.25">
      <c r="A263">
        <v>16705706</v>
      </c>
      <c r="B263" s="12">
        <v>45671</v>
      </c>
      <c r="C263" t="s">
        <v>0</v>
      </c>
    </row>
    <row r="264" spans="1:4" x14ac:dyDescent="0.25">
      <c r="A264">
        <v>16705706</v>
      </c>
      <c r="B264" s="12">
        <v>45671</v>
      </c>
      <c r="C264" t="s">
        <v>0</v>
      </c>
      <c r="D264" t="s">
        <v>643</v>
      </c>
    </row>
    <row r="265" spans="1:4" x14ac:dyDescent="0.25">
      <c r="A265">
        <v>16705711</v>
      </c>
      <c r="B265" s="12">
        <v>45671</v>
      </c>
      <c r="C265" t="s">
        <v>0</v>
      </c>
    </row>
    <row r="266" spans="1:4" x14ac:dyDescent="0.25">
      <c r="A266">
        <v>16705714</v>
      </c>
      <c r="B266" s="12">
        <v>45966</v>
      </c>
      <c r="C266" t="s">
        <v>0</v>
      </c>
      <c r="D266" t="s">
        <v>655</v>
      </c>
    </row>
    <row r="267" spans="1:4" x14ac:dyDescent="0.25">
      <c r="A267">
        <v>16705727</v>
      </c>
      <c r="B267" s="12">
        <v>45671</v>
      </c>
      <c r="C267" t="s">
        <v>0</v>
      </c>
    </row>
    <row r="268" spans="1:4" x14ac:dyDescent="0.25">
      <c r="A268">
        <v>16705731</v>
      </c>
      <c r="B268" s="12">
        <v>45966</v>
      </c>
      <c r="C268" t="s">
        <v>0</v>
      </c>
      <c r="D268" t="s">
        <v>655</v>
      </c>
    </row>
    <row r="269" spans="1:4" x14ac:dyDescent="0.25">
      <c r="A269">
        <v>16705737</v>
      </c>
      <c r="B269" s="12">
        <v>45671</v>
      </c>
      <c r="C269" t="s">
        <v>0</v>
      </c>
    </row>
    <row r="270" spans="1:4" x14ac:dyDescent="0.25">
      <c r="A270">
        <v>16705740</v>
      </c>
      <c r="B270" s="12">
        <v>45671</v>
      </c>
      <c r="C270" t="s">
        <v>0</v>
      </c>
    </row>
    <row r="271" spans="1:4" x14ac:dyDescent="0.25">
      <c r="A271">
        <v>16705743</v>
      </c>
      <c r="B271" s="12">
        <v>45965</v>
      </c>
      <c r="C271" t="s">
        <v>0</v>
      </c>
      <c r="D271" t="s">
        <v>657</v>
      </c>
    </row>
    <row r="272" spans="1:4" x14ac:dyDescent="0.25">
      <c r="A272">
        <v>16705755</v>
      </c>
      <c r="B272" s="12">
        <v>45966</v>
      </c>
      <c r="C272" t="s">
        <v>0</v>
      </c>
      <c r="D272" t="s">
        <v>655</v>
      </c>
    </row>
    <row r="273" spans="1:4" x14ac:dyDescent="0.25">
      <c r="A273">
        <v>16705755</v>
      </c>
      <c r="B273" s="12">
        <v>45671</v>
      </c>
      <c r="C273" t="s">
        <v>0</v>
      </c>
    </row>
    <row r="274" spans="1:4" x14ac:dyDescent="0.25">
      <c r="A274">
        <v>16705760</v>
      </c>
      <c r="B274" s="12">
        <v>45671</v>
      </c>
      <c r="C274" t="s">
        <v>0</v>
      </c>
    </row>
    <row r="275" spans="1:4" x14ac:dyDescent="0.25">
      <c r="A275">
        <v>16705760</v>
      </c>
      <c r="B275" s="12">
        <v>45671</v>
      </c>
      <c r="C275" t="s">
        <v>0</v>
      </c>
      <c r="D275" t="s">
        <v>643</v>
      </c>
    </row>
    <row r="276" spans="1:4" x14ac:dyDescent="0.25">
      <c r="A276">
        <v>16705767</v>
      </c>
      <c r="B276" s="12">
        <v>45965</v>
      </c>
      <c r="C276" t="s">
        <v>0</v>
      </c>
      <c r="D276" t="s">
        <v>657</v>
      </c>
    </row>
    <row r="277" spans="1:4" x14ac:dyDescent="0.25">
      <c r="A277">
        <v>16705767</v>
      </c>
      <c r="B277" s="12">
        <v>45671</v>
      </c>
      <c r="C277" t="s">
        <v>0</v>
      </c>
    </row>
    <row r="278" spans="1:4" x14ac:dyDescent="0.25">
      <c r="A278">
        <v>16705775</v>
      </c>
      <c r="B278" s="12">
        <v>45671</v>
      </c>
      <c r="C278" t="s">
        <v>0</v>
      </c>
    </row>
    <row r="279" spans="1:4" x14ac:dyDescent="0.25">
      <c r="A279">
        <v>16705776</v>
      </c>
      <c r="B279" s="12">
        <v>45671</v>
      </c>
      <c r="C279" t="s">
        <v>0</v>
      </c>
    </row>
    <row r="280" spans="1:4" x14ac:dyDescent="0.25">
      <c r="A280">
        <v>16705779</v>
      </c>
      <c r="B280" s="12">
        <v>45965</v>
      </c>
      <c r="C280" t="s">
        <v>0</v>
      </c>
      <c r="D280" t="s">
        <v>657</v>
      </c>
    </row>
    <row r="281" spans="1:4" x14ac:dyDescent="0.25">
      <c r="A281">
        <v>16705779</v>
      </c>
      <c r="B281" s="12">
        <v>45671</v>
      </c>
      <c r="C281" t="s">
        <v>0</v>
      </c>
    </row>
    <row r="282" spans="1:4" x14ac:dyDescent="0.25">
      <c r="A282">
        <v>16705780</v>
      </c>
      <c r="B282" s="12">
        <v>45671</v>
      </c>
      <c r="C282" t="s">
        <v>0</v>
      </c>
    </row>
    <row r="283" spans="1:4" x14ac:dyDescent="0.25">
      <c r="A283">
        <v>16705792</v>
      </c>
      <c r="B283" s="12">
        <v>45671</v>
      </c>
      <c r="C283" t="s">
        <v>0</v>
      </c>
    </row>
    <row r="284" spans="1:4" x14ac:dyDescent="0.25">
      <c r="A284">
        <v>16705797</v>
      </c>
      <c r="B284" s="12">
        <v>45965</v>
      </c>
      <c r="C284" t="s">
        <v>0</v>
      </c>
      <c r="D284" t="s">
        <v>653</v>
      </c>
    </row>
    <row r="285" spans="1:4" x14ac:dyDescent="0.25">
      <c r="A285">
        <v>16705797</v>
      </c>
      <c r="B285" s="12">
        <v>45671</v>
      </c>
      <c r="C285" t="s">
        <v>0</v>
      </c>
    </row>
    <row r="286" spans="1:4" x14ac:dyDescent="0.25">
      <c r="A286">
        <v>18072806</v>
      </c>
      <c r="B286" s="12">
        <v>45818</v>
      </c>
      <c r="C286" t="s">
        <v>0</v>
      </c>
      <c r="D286" t="s">
        <v>650</v>
      </c>
    </row>
    <row r="287" spans="1:4" x14ac:dyDescent="0.25">
      <c r="A287">
        <v>18943030</v>
      </c>
      <c r="B287" s="12">
        <v>45813</v>
      </c>
      <c r="C287" t="s">
        <v>1</v>
      </c>
      <c r="D287" t="s">
        <v>647</v>
      </c>
    </row>
    <row r="288" spans="1:4" x14ac:dyDescent="0.25">
      <c r="A288">
        <v>18943030</v>
      </c>
      <c r="B288" s="12">
        <v>45671</v>
      </c>
      <c r="C288" t="s">
        <v>0</v>
      </c>
    </row>
    <row r="289" spans="1:4" x14ac:dyDescent="0.25">
      <c r="A289">
        <v>18943032</v>
      </c>
      <c r="B289" s="12">
        <v>45966</v>
      </c>
      <c r="C289" t="s">
        <v>0</v>
      </c>
      <c r="D289" t="s">
        <v>655</v>
      </c>
    </row>
    <row r="290" spans="1:4" x14ac:dyDescent="0.25">
      <c r="A290">
        <v>18943032</v>
      </c>
      <c r="B290" s="12">
        <v>45671</v>
      </c>
      <c r="C290" t="s">
        <v>0</v>
      </c>
    </row>
    <row r="291" spans="1:4" x14ac:dyDescent="0.25">
      <c r="A291">
        <v>18943040</v>
      </c>
      <c r="B291" s="12">
        <v>45966</v>
      </c>
      <c r="C291" t="s">
        <v>0</v>
      </c>
      <c r="D291" t="s">
        <v>655</v>
      </c>
    </row>
    <row r="292" spans="1:4" x14ac:dyDescent="0.25">
      <c r="A292">
        <v>18943040</v>
      </c>
      <c r="B292" s="12">
        <v>45671</v>
      </c>
      <c r="C292" t="s">
        <v>0</v>
      </c>
    </row>
    <row r="293" spans="1:4" x14ac:dyDescent="0.25">
      <c r="A293">
        <v>18943041</v>
      </c>
      <c r="B293" s="12">
        <v>45965</v>
      </c>
      <c r="C293" t="s">
        <v>0</v>
      </c>
      <c r="D293" t="s">
        <v>657</v>
      </c>
    </row>
    <row r="294" spans="1:4" x14ac:dyDescent="0.25">
      <c r="A294">
        <v>18943041</v>
      </c>
      <c r="B294" s="12">
        <v>45671</v>
      </c>
      <c r="C294" t="s">
        <v>0</v>
      </c>
    </row>
    <row r="295" spans="1:4" x14ac:dyDescent="0.25">
      <c r="A295">
        <v>18943046</v>
      </c>
      <c r="B295" s="12">
        <v>45965</v>
      </c>
      <c r="C295" t="s">
        <v>0</v>
      </c>
      <c r="D295" t="s">
        <v>654</v>
      </c>
    </row>
    <row r="296" spans="1:4" x14ac:dyDescent="0.25">
      <c r="A296">
        <v>18943046</v>
      </c>
      <c r="B296" s="12">
        <v>45813</v>
      </c>
      <c r="C296" t="s">
        <v>1</v>
      </c>
      <c r="D296" t="s">
        <v>647</v>
      </c>
    </row>
    <row r="297" spans="1:4" x14ac:dyDescent="0.25">
      <c r="A297">
        <v>18943046</v>
      </c>
      <c r="B297" s="12">
        <v>45671</v>
      </c>
      <c r="C297" t="s">
        <v>0</v>
      </c>
    </row>
    <row r="298" spans="1:4" x14ac:dyDescent="0.25">
      <c r="A298">
        <v>18943047</v>
      </c>
      <c r="B298" s="12">
        <v>45671</v>
      </c>
      <c r="C298" t="s">
        <v>0</v>
      </c>
    </row>
    <row r="299" spans="1:4" x14ac:dyDescent="0.25">
      <c r="A299">
        <v>18943051</v>
      </c>
      <c r="B299" s="12">
        <v>45671</v>
      </c>
      <c r="C299" t="s">
        <v>0</v>
      </c>
    </row>
    <row r="300" spans="1:4" x14ac:dyDescent="0.25">
      <c r="A300">
        <v>18943053</v>
      </c>
      <c r="B300" s="12">
        <v>45671</v>
      </c>
      <c r="C300" t="s">
        <v>0</v>
      </c>
    </row>
    <row r="301" spans="1:4" x14ac:dyDescent="0.25">
      <c r="A301">
        <v>18943058</v>
      </c>
      <c r="B301" s="12">
        <v>45671</v>
      </c>
      <c r="C301" t="s">
        <v>0</v>
      </c>
    </row>
    <row r="302" spans="1:4" x14ac:dyDescent="0.25">
      <c r="A302">
        <v>18943059</v>
      </c>
      <c r="B302" s="12">
        <v>45813</v>
      </c>
      <c r="C302" t="s">
        <v>1</v>
      </c>
      <c r="D302" t="s">
        <v>647</v>
      </c>
    </row>
    <row r="303" spans="1:4" x14ac:dyDescent="0.25">
      <c r="A303">
        <v>18943059</v>
      </c>
      <c r="B303" s="12">
        <v>45671</v>
      </c>
      <c r="C303" t="s">
        <v>0</v>
      </c>
    </row>
    <row r="304" spans="1:4" x14ac:dyDescent="0.25">
      <c r="A304">
        <v>18943062</v>
      </c>
      <c r="B304" s="12">
        <v>45671</v>
      </c>
      <c r="C304" t="s">
        <v>0</v>
      </c>
    </row>
    <row r="305" spans="1:4" x14ac:dyDescent="0.25">
      <c r="A305">
        <v>18943063</v>
      </c>
      <c r="B305" s="12">
        <v>45671</v>
      </c>
      <c r="C305" t="s">
        <v>0</v>
      </c>
    </row>
    <row r="306" spans="1:4" x14ac:dyDescent="0.25">
      <c r="A306">
        <v>18943065</v>
      </c>
      <c r="B306" s="12">
        <v>45813</v>
      </c>
      <c r="C306" t="s">
        <v>1</v>
      </c>
      <c r="D306" t="s">
        <v>647</v>
      </c>
    </row>
    <row r="307" spans="1:4" x14ac:dyDescent="0.25">
      <c r="A307">
        <v>18943065</v>
      </c>
      <c r="B307" s="12">
        <v>45671</v>
      </c>
      <c r="C307" t="s">
        <v>0</v>
      </c>
    </row>
    <row r="308" spans="1:4" x14ac:dyDescent="0.25">
      <c r="A308">
        <v>18943067</v>
      </c>
      <c r="B308" s="12">
        <v>45966</v>
      </c>
      <c r="C308" t="s">
        <v>0</v>
      </c>
      <c r="D308" t="s">
        <v>655</v>
      </c>
    </row>
    <row r="309" spans="1:4" x14ac:dyDescent="0.25">
      <c r="A309">
        <v>18943067</v>
      </c>
      <c r="B309" s="12">
        <v>45671</v>
      </c>
      <c r="C309" t="s">
        <v>0</v>
      </c>
    </row>
    <row r="310" spans="1:4" x14ac:dyDescent="0.25">
      <c r="A310">
        <v>18943070</v>
      </c>
      <c r="B310" s="12">
        <v>45671</v>
      </c>
      <c r="C310" t="s">
        <v>0</v>
      </c>
    </row>
    <row r="311" spans="1:4" x14ac:dyDescent="0.25">
      <c r="A311">
        <v>18943076</v>
      </c>
      <c r="B311" s="12">
        <v>45671</v>
      </c>
      <c r="C311" t="s">
        <v>0</v>
      </c>
    </row>
    <row r="312" spans="1:4" x14ac:dyDescent="0.25">
      <c r="A312">
        <v>18943077</v>
      </c>
      <c r="B312" s="12">
        <v>45965</v>
      </c>
      <c r="C312" t="s">
        <v>0</v>
      </c>
      <c r="D312" t="s">
        <v>657</v>
      </c>
    </row>
    <row r="313" spans="1:4" x14ac:dyDescent="0.25">
      <c r="A313">
        <v>18943077</v>
      </c>
      <c r="B313" s="12">
        <v>45671</v>
      </c>
      <c r="C313" t="s">
        <v>0</v>
      </c>
    </row>
    <row r="314" spans="1:4" x14ac:dyDescent="0.25">
      <c r="A314">
        <v>18943078</v>
      </c>
      <c r="B314" s="12">
        <v>45671</v>
      </c>
      <c r="C314" t="s">
        <v>0</v>
      </c>
    </row>
    <row r="315" spans="1:4" x14ac:dyDescent="0.25">
      <c r="A315">
        <v>18943082</v>
      </c>
      <c r="B315" s="12">
        <v>45966</v>
      </c>
      <c r="C315" t="s">
        <v>0</v>
      </c>
      <c r="D315" t="s">
        <v>655</v>
      </c>
    </row>
    <row r="316" spans="1:4" x14ac:dyDescent="0.25">
      <c r="A316">
        <v>18943082</v>
      </c>
      <c r="B316" s="12">
        <v>45671</v>
      </c>
      <c r="C316" t="s">
        <v>0</v>
      </c>
    </row>
    <row r="317" spans="1:4" x14ac:dyDescent="0.25">
      <c r="A317">
        <v>18943086</v>
      </c>
      <c r="B317" s="12">
        <v>45671</v>
      </c>
      <c r="C317" t="s">
        <v>0</v>
      </c>
    </row>
    <row r="318" spans="1:4" x14ac:dyDescent="0.25">
      <c r="A318">
        <v>18943091</v>
      </c>
      <c r="B318" s="12">
        <v>45966</v>
      </c>
      <c r="C318" t="s">
        <v>0</v>
      </c>
      <c r="D318" t="s">
        <v>655</v>
      </c>
    </row>
    <row r="319" spans="1:4" x14ac:dyDescent="0.25">
      <c r="A319">
        <v>18943091</v>
      </c>
      <c r="B319" s="12">
        <v>45671</v>
      </c>
      <c r="C319" t="s">
        <v>0</v>
      </c>
    </row>
    <row r="320" spans="1:4" x14ac:dyDescent="0.25">
      <c r="A320">
        <v>18943093</v>
      </c>
      <c r="B320" s="12">
        <v>45671</v>
      </c>
      <c r="C320" t="s">
        <v>0</v>
      </c>
    </row>
    <row r="321" spans="1:4" x14ac:dyDescent="0.25">
      <c r="A321">
        <v>18943171</v>
      </c>
      <c r="B321" s="12">
        <v>45966</v>
      </c>
      <c r="C321" t="s">
        <v>0</v>
      </c>
      <c r="D321" t="s">
        <v>655</v>
      </c>
    </row>
    <row r="322" spans="1:4" x14ac:dyDescent="0.25">
      <c r="A322">
        <v>18943171</v>
      </c>
      <c r="B322" s="12">
        <v>45671</v>
      </c>
      <c r="C322" t="s">
        <v>0</v>
      </c>
    </row>
    <row r="323" spans="1:4" x14ac:dyDescent="0.25">
      <c r="A323">
        <v>18943175</v>
      </c>
      <c r="B323" s="12">
        <v>45671</v>
      </c>
      <c r="C323" t="s">
        <v>0</v>
      </c>
    </row>
    <row r="324" spans="1:4" x14ac:dyDescent="0.25">
      <c r="A324">
        <v>18943190</v>
      </c>
      <c r="B324" s="12">
        <v>45671</v>
      </c>
      <c r="C324" t="s">
        <v>0</v>
      </c>
    </row>
    <row r="325" spans="1:4" x14ac:dyDescent="0.25">
      <c r="A325">
        <v>18943197</v>
      </c>
      <c r="B325" s="12">
        <v>45965</v>
      </c>
      <c r="C325" t="s">
        <v>0</v>
      </c>
      <c r="D325" t="s">
        <v>654</v>
      </c>
    </row>
    <row r="326" spans="1:4" x14ac:dyDescent="0.25">
      <c r="A326">
        <v>18943197</v>
      </c>
      <c r="B326" s="12">
        <v>45813</v>
      </c>
      <c r="C326" t="s">
        <v>1</v>
      </c>
      <c r="D326" t="s">
        <v>647</v>
      </c>
    </row>
    <row r="327" spans="1:4" x14ac:dyDescent="0.25">
      <c r="A327">
        <v>18943197</v>
      </c>
      <c r="B327" s="12">
        <v>45671</v>
      </c>
      <c r="C327" t="s">
        <v>0</v>
      </c>
    </row>
    <row r="328" spans="1:4" x14ac:dyDescent="0.25">
      <c r="A328">
        <v>18943198</v>
      </c>
      <c r="B328" s="12">
        <v>45965</v>
      </c>
      <c r="C328" t="s">
        <v>0</v>
      </c>
      <c r="D328" t="s">
        <v>654</v>
      </c>
    </row>
    <row r="329" spans="1:4" x14ac:dyDescent="0.25">
      <c r="A329">
        <v>18943200</v>
      </c>
      <c r="B329" s="12">
        <v>45813</v>
      </c>
      <c r="C329" t="s">
        <v>1</v>
      </c>
      <c r="D329" t="s">
        <v>647</v>
      </c>
    </row>
    <row r="330" spans="1:4" x14ac:dyDescent="0.25">
      <c r="A330">
        <v>19050001</v>
      </c>
      <c r="B330" s="12">
        <v>45671</v>
      </c>
      <c r="C330" t="s">
        <v>0</v>
      </c>
    </row>
    <row r="331" spans="1:4" x14ac:dyDescent="0.25">
      <c r="A331">
        <v>19050011</v>
      </c>
      <c r="B331" s="12">
        <v>45966</v>
      </c>
      <c r="C331" t="s">
        <v>0</v>
      </c>
      <c r="D331" t="s">
        <v>655</v>
      </c>
    </row>
    <row r="332" spans="1:4" x14ac:dyDescent="0.25">
      <c r="A332">
        <v>19050011</v>
      </c>
      <c r="B332" s="12">
        <v>45671</v>
      </c>
      <c r="C332" t="s">
        <v>0</v>
      </c>
    </row>
    <row r="333" spans="1:4" x14ac:dyDescent="0.25">
      <c r="A333">
        <v>19050013</v>
      </c>
      <c r="B333" s="12">
        <v>45671</v>
      </c>
      <c r="C333" t="s">
        <v>0</v>
      </c>
    </row>
    <row r="334" spans="1:4" x14ac:dyDescent="0.25">
      <c r="A334">
        <v>19050016</v>
      </c>
      <c r="B334" s="12">
        <v>45965</v>
      </c>
      <c r="C334" t="s">
        <v>0</v>
      </c>
      <c r="D334" t="s">
        <v>654</v>
      </c>
    </row>
    <row r="335" spans="1:4" x14ac:dyDescent="0.25">
      <c r="A335">
        <v>19050016</v>
      </c>
      <c r="B335" s="12">
        <v>45813</v>
      </c>
      <c r="C335" t="s">
        <v>1</v>
      </c>
      <c r="D335" t="s">
        <v>647</v>
      </c>
    </row>
    <row r="336" spans="1:4" x14ac:dyDescent="0.25">
      <c r="A336">
        <v>19050016</v>
      </c>
      <c r="B336" s="12">
        <v>45671</v>
      </c>
      <c r="C336" t="s">
        <v>0</v>
      </c>
    </row>
    <row r="337" spans="1:4" x14ac:dyDescent="0.25">
      <c r="A337">
        <v>19050019</v>
      </c>
      <c r="B337" s="12">
        <v>45813</v>
      </c>
      <c r="C337" t="s">
        <v>1</v>
      </c>
      <c r="D337" t="s">
        <v>647</v>
      </c>
    </row>
    <row r="338" spans="1:4" x14ac:dyDescent="0.25">
      <c r="A338">
        <v>19050019</v>
      </c>
      <c r="B338" s="12">
        <v>45671</v>
      </c>
      <c r="C338" t="s">
        <v>0</v>
      </c>
    </row>
    <row r="339" spans="1:4" x14ac:dyDescent="0.25">
      <c r="A339">
        <v>19050026</v>
      </c>
      <c r="B339" s="12">
        <v>45671</v>
      </c>
      <c r="C339" t="s">
        <v>0</v>
      </c>
    </row>
    <row r="340" spans="1:4" x14ac:dyDescent="0.25">
      <c r="A340">
        <v>19050034</v>
      </c>
      <c r="B340" s="12">
        <v>45671</v>
      </c>
      <c r="C340" t="s">
        <v>0</v>
      </c>
    </row>
    <row r="341" spans="1:4" x14ac:dyDescent="0.25">
      <c r="A341">
        <v>19050037</v>
      </c>
      <c r="B341" s="12">
        <v>45813</v>
      </c>
      <c r="C341" t="s">
        <v>1</v>
      </c>
      <c r="D341" t="s">
        <v>647</v>
      </c>
    </row>
    <row r="342" spans="1:4" x14ac:dyDescent="0.25">
      <c r="A342">
        <v>19050037</v>
      </c>
      <c r="B342" s="12">
        <v>45671</v>
      </c>
      <c r="C342" t="s">
        <v>0</v>
      </c>
    </row>
    <row r="343" spans="1:4" x14ac:dyDescent="0.25">
      <c r="A343">
        <v>19050038</v>
      </c>
      <c r="B343" s="12">
        <v>45813</v>
      </c>
      <c r="C343" t="s">
        <v>1</v>
      </c>
      <c r="D343" t="s">
        <v>647</v>
      </c>
    </row>
    <row r="344" spans="1:4" x14ac:dyDescent="0.25">
      <c r="A344">
        <v>19050038</v>
      </c>
      <c r="B344" s="12">
        <v>45671</v>
      </c>
      <c r="C344" t="s">
        <v>0</v>
      </c>
    </row>
    <row r="345" spans="1:4" x14ac:dyDescent="0.25">
      <c r="A345">
        <v>19050039</v>
      </c>
      <c r="B345" s="12">
        <v>45671</v>
      </c>
      <c r="C345" t="s">
        <v>0</v>
      </c>
    </row>
    <row r="346" spans="1:4" x14ac:dyDescent="0.25">
      <c r="A346">
        <v>19050040</v>
      </c>
      <c r="B346" s="12">
        <v>45966</v>
      </c>
      <c r="C346" t="s">
        <v>0</v>
      </c>
      <c r="D346" t="s">
        <v>655</v>
      </c>
    </row>
    <row r="347" spans="1:4" x14ac:dyDescent="0.25">
      <c r="A347">
        <v>19050040</v>
      </c>
      <c r="B347" s="12">
        <v>45671</v>
      </c>
      <c r="C347" t="s">
        <v>0</v>
      </c>
    </row>
    <row r="348" spans="1:4" x14ac:dyDescent="0.25">
      <c r="A348">
        <v>19050044</v>
      </c>
      <c r="B348" s="12">
        <v>45671</v>
      </c>
      <c r="C348" t="s">
        <v>0</v>
      </c>
    </row>
    <row r="349" spans="1:4" x14ac:dyDescent="0.25">
      <c r="A349">
        <v>19050048</v>
      </c>
      <c r="B349" s="12">
        <v>45966</v>
      </c>
      <c r="C349" t="s">
        <v>0</v>
      </c>
      <c r="D349" t="s">
        <v>655</v>
      </c>
    </row>
    <row r="350" spans="1:4" x14ac:dyDescent="0.25">
      <c r="A350">
        <v>19050048</v>
      </c>
      <c r="B350" s="12">
        <v>45671</v>
      </c>
      <c r="C350" t="s">
        <v>0</v>
      </c>
    </row>
    <row r="351" spans="1:4" x14ac:dyDescent="0.25">
      <c r="A351">
        <v>19050076</v>
      </c>
      <c r="B351" s="12">
        <v>45965</v>
      </c>
      <c r="C351" t="s">
        <v>0</v>
      </c>
      <c r="D351" t="s">
        <v>654</v>
      </c>
    </row>
    <row r="352" spans="1:4" x14ac:dyDescent="0.25">
      <c r="A352">
        <v>19050076</v>
      </c>
      <c r="B352" s="12">
        <v>45813</v>
      </c>
      <c r="C352" t="s">
        <v>1</v>
      </c>
      <c r="D352" t="s">
        <v>647</v>
      </c>
    </row>
    <row r="353" spans="1:4" x14ac:dyDescent="0.25">
      <c r="A353">
        <v>19050089</v>
      </c>
      <c r="B353" s="12">
        <v>45671</v>
      </c>
      <c r="C353" t="s">
        <v>0</v>
      </c>
    </row>
    <row r="354" spans="1:4" x14ac:dyDescent="0.25">
      <c r="A354">
        <v>19050094</v>
      </c>
      <c r="B354" s="12">
        <v>45965</v>
      </c>
      <c r="C354" t="s">
        <v>0</v>
      </c>
      <c r="D354" t="s">
        <v>657</v>
      </c>
    </row>
    <row r="355" spans="1:4" x14ac:dyDescent="0.25">
      <c r="A355">
        <v>19050094</v>
      </c>
      <c r="B355" s="12">
        <v>45671</v>
      </c>
      <c r="C355" t="s">
        <v>0</v>
      </c>
    </row>
    <row r="356" spans="1:4" x14ac:dyDescent="0.25">
      <c r="A356">
        <v>19050107</v>
      </c>
      <c r="B356" s="12">
        <v>45671</v>
      </c>
      <c r="C356" t="s">
        <v>0</v>
      </c>
    </row>
    <row r="357" spans="1:4" x14ac:dyDescent="0.25">
      <c r="A357">
        <v>19050115</v>
      </c>
      <c r="B357" s="12">
        <v>45966</v>
      </c>
      <c r="C357" t="s">
        <v>0</v>
      </c>
      <c r="D357" t="s">
        <v>655</v>
      </c>
    </row>
    <row r="358" spans="1:4" x14ac:dyDescent="0.25">
      <c r="A358">
        <v>19050115</v>
      </c>
      <c r="B358" s="12">
        <v>45671</v>
      </c>
      <c r="C358" t="s">
        <v>0</v>
      </c>
    </row>
    <row r="359" spans="1:4" x14ac:dyDescent="0.25">
      <c r="A359">
        <v>19050126</v>
      </c>
      <c r="B359" s="12">
        <v>45671</v>
      </c>
      <c r="C359" t="s">
        <v>0</v>
      </c>
    </row>
    <row r="360" spans="1:4" x14ac:dyDescent="0.25">
      <c r="A360">
        <v>19050127</v>
      </c>
      <c r="B360" s="12">
        <v>45966</v>
      </c>
      <c r="C360" t="s">
        <v>0</v>
      </c>
      <c r="D360" t="s">
        <v>655</v>
      </c>
    </row>
    <row r="361" spans="1:4" x14ac:dyDescent="0.25">
      <c r="A361">
        <v>19050127</v>
      </c>
      <c r="B361" s="12">
        <v>45671</v>
      </c>
      <c r="C361" t="s">
        <v>0</v>
      </c>
    </row>
    <row r="362" spans="1:4" x14ac:dyDescent="0.25">
      <c r="A362">
        <v>19050129</v>
      </c>
      <c r="B362" s="12">
        <v>45671</v>
      </c>
      <c r="C362" t="s">
        <v>0</v>
      </c>
    </row>
    <row r="363" spans="1:4" x14ac:dyDescent="0.25">
      <c r="A363">
        <v>19050135</v>
      </c>
      <c r="B363" s="12">
        <v>45671</v>
      </c>
      <c r="C363" t="s">
        <v>0</v>
      </c>
    </row>
    <row r="364" spans="1:4" x14ac:dyDescent="0.25">
      <c r="A364">
        <v>19050146</v>
      </c>
      <c r="B364" s="12">
        <v>45671</v>
      </c>
      <c r="C364" t="s">
        <v>0</v>
      </c>
    </row>
    <row r="365" spans="1:4" x14ac:dyDescent="0.25">
      <c r="A365">
        <v>19050147</v>
      </c>
      <c r="B365" s="12">
        <v>45671</v>
      </c>
      <c r="C365" t="s">
        <v>0</v>
      </c>
    </row>
    <row r="366" spans="1:4" x14ac:dyDescent="0.25">
      <c r="A366">
        <v>19050149</v>
      </c>
      <c r="B366" s="12">
        <v>45965</v>
      </c>
      <c r="C366" t="s">
        <v>0</v>
      </c>
      <c r="D366" t="s">
        <v>653</v>
      </c>
    </row>
    <row r="367" spans="1:4" x14ac:dyDescent="0.25">
      <c r="A367">
        <v>19050149</v>
      </c>
      <c r="B367" s="12">
        <v>45813</v>
      </c>
      <c r="C367" t="s">
        <v>1</v>
      </c>
      <c r="D367" t="s">
        <v>647</v>
      </c>
    </row>
    <row r="368" spans="1:4" x14ac:dyDescent="0.25">
      <c r="A368">
        <v>19050149</v>
      </c>
      <c r="B368" s="12">
        <v>45671</v>
      </c>
      <c r="C368" t="s">
        <v>0</v>
      </c>
    </row>
    <row r="369" spans="1:4" x14ac:dyDescent="0.25">
      <c r="A369">
        <v>19050152</v>
      </c>
      <c r="B369" s="12">
        <v>45671</v>
      </c>
      <c r="C369" t="s">
        <v>0</v>
      </c>
    </row>
    <row r="370" spans="1:4" x14ac:dyDescent="0.25">
      <c r="A370">
        <v>19050162</v>
      </c>
      <c r="B370" s="12">
        <v>45965</v>
      </c>
      <c r="C370" t="s">
        <v>0</v>
      </c>
      <c r="D370" t="s">
        <v>654</v>
      </c>
    </row>
    <row r="371" spans="1:4" x14ac:dyDescent="0.25">
      <c r="A371">
        <v>19050162</v>
      </c>
      <c r="B371" s="12">
        <v>45813</v>
      </c>
      <c r="C371" t="s">
        <v>1</v>
      </c>
      <c r="D371" t="s">
        <v>647</v>
      </c>
    </row>
    <row r="372" spans="1:4" x14ac:dyDescent="0.25">
      <c r="A372">
        <v>19050162</v>
      </c>
      <c r="B372" s="12">
        <v>45671</v>
      </c>
      <c r="C372" t="s">
        <v>0</v>
      </c>
    </row>
    <row r="373" spans="1:4" x14ac:dyDescent="0.25">
      <c r="A373">
        <v>19050165</v>
      </c>
      <c r="B373" s="12">
        <v>45966</v>
      </c>
      <c r="C373" t="s">
        <v>0</v>
      </c>
      <c r="D373" t="s">
        <v>655</v>
      </c>
    </row>
    <row r="374" spans="1:4" x14ac:dyDescent="0.25">
      <c r="A374">
        <v>19050165</v>
      </c>
      <c r="B374" s="12">
        <v>45671</v>
      </c>
      <c r="C374" t="s">
        <v>0</v>
      </c>
    </row>
    <row r="375" spans="1:4" x14ac:dyDescent="0.25">
      <c r="A375">
        <v>19050177</v>
      </c>
      <c r="B375" s="12">
        <v>45966</v>
      </c>
      <c r="C375" t="s">
        <v>0</v>
      </c>
      <c r="D375" t="s">
        <v>655</v>
      </c>
    </row>
    <row r="376" spans="1:4" x14ac:dyDescent="0.25">
      <c r="A376">
        <v>19050177</v>
      </c>
      <c r="B376" s="12">
        <v>45671</v>
      </c>
      <c r="C376" t="s">
        <v>0</v>
      </c>
      <c r="D376" t="s">
        <v>643</v>
      </c>
    </row>
    <row r="377" spans="1:4" x14ac:dyDescent="0.25">
      <c r="A377">
        <v>19050184</v>
      </c>
      <c r="B377" s="12">
        <v>45671</v>
      </c>
      <c r="C377" t="s">
        <v>0</v>
      </c>
    </row>
    <row r="378" spans="1:4" x14ac:dyDescent="0.25">
      <c r="A378">
        <v>19050190</v>
      </c>
      <c r="B378" s="12">
        <v>45671</v>
      </c>
      <c r="C378" t="s">
        <v>0</v>
      </c>
    </row>
    <row r="379" spans="1:4" x14ac:dyDescent="0.25">
      <c r="A379">
        <v>19050196</v>
      </c>
      <c r="B379" s="12">
        <v>45671</v>
      </c>
      <c r="C379" t="s">
        <v>0</v>
      </c>
    </row>
    <row r="380" spans="1:4" x14ac:dyDescent="0.25">
      <c r="A380">
        <v>19050200</v>
      </c>
      <c r="B380" s="12">
        <v>45965</v>
      </c>
      <c r="C380" t="s">
        <v>0</v>
      </c>
      <c r="D380" t="s">
        <v>653</v>
      </c>
    </row>
    <row r="381" spans="1:4" x14ac:dyDescent="0.25">
      <c r="A381">
        <v>19050200</v>
      </c>
      <c r="B381" s="12">
        <v>45813</v>
      </c>
      <c r="C381" t="s">
        <v>1</v>
      </c>
      <c r="D381" t="s">
        <v>647</v>
      </c>
    </row>
    <row r="382" spans="1:4" x14ac:dyDescent="0.25">
      <c r="A382">
        <v>19050200</v>
      </c>
      <c r="B382" s="12">
        <v>45671</v>
      </c>
      <c r="C382" t="s">
        <v>0</v>
      </c>
    </row>
    <row r="383" spans="1:4" x14ac:dyDescent="0.25">
      <c r="A383">
        <v>19050202</v>
      </c>
      <c r="B383" s="12">
        <v>45671</v>
      </c>
      <c r="C383" t="s">
        <v>0</v>
      </c>
    </row>
    <row r="384" spans="1:4" x14ac:dyDescent="0.25">
      <c r="A384">
        <v>19050206</v>
      </c>
      <c r="B384" s="12">
        <v>45671</v>
      </c>
      <c r="C384" t="s">
        <v>0</v>
      </c>
    </row>
    <row r="385" spans="1:4" x14ac:dyDescent="0.25">
      <c r="A385">
        <v>19050207</v>
      </c>
      <c r="B385" s="12">
        <v>45671</v>
      </c>
      <c r="C385" t="s">
        <v>0</v>
      </c>
    </row>
    <row r="386" spans="1:4" x14ac:dyDescent="0.25">
      <c r="A386">
        <v>19050223</v>
      </c>
      <c r="B386" s="12">
        <v>45965</v>
      </c>
      <c r="C386" t="s">
        <v>0</v>
      </c>
      <c r="D386" t="s">
        <v>657</v>
      </c>
    </row>
    <row r="387" spans="1:4" x14ac:dyDescent="0.25">
      <c r="A387">
        <v>19050223</v>
      </c>
      <c r="B387" s="12">
        <v>45818</v>
      </c>
      <c r="C387" t="s">
        <v>0</v>
      </c>
      <c r="D387" t="s">
        <v>650</v>
      </c>
    </row>
    <row r="388" spans="1:4" x14ac:dyDescent="0.25">
      <c r="A388">
        <v>19050229</v>
      </c>
      <c r="B388" s="12">
        <v>45818</v>
      </c>
      <c r="C388" t="s">
        <v>0</v>
      </c>
      <c r="D388" t="s">
        <v>650</v>
      </c>
    </row>
    <row r="389" spans="1:4" x14ac:dyDescent="0.25">
      <c r="A389">
        <v>19050230</v>
      </c>
      <c r="B389" s="12">
        <v>45818</v>
      </c>
      <c r="C389" t="s">
        <v>0</v>
      </c>
      <c r="D389" t="s">
        <v>650</v>
      </c>
    </row>
    <row r="390" spans="1:4" x14ac:dyDescent="0.25">
      <c r="A390">
        <v>19050243</v>
      </c>
      <c r="B390" s="12">
        <v>45671</v>
      </c>
      <c r="C390" t="s">
        <v>0</v>
      </c>
    </row>
    <row r="391" spans="1:4" x14ac:dyDescent="0.25">
      <c r="A391">
        <v>19050249</v>
      </c>
      <c r="B391" s="12">
        <v>45813</v>
      </c>
      <c r="C391" t="s">
        <v>1</v>
      </c>
      <c r="D391" t="s">
        <v>647</v>
      </c>
    </row>
    <row r="392" spans="1:4" x14ac:dyDescent="0.25">
      <c r="A392">
        <v>19050249</v>
      </c>
      <c r="B392" s="12">
        <v>45671</v>
      </c>
      <c r="C392" t="s">
        <v>0</v>
      </c>
    </row>
    <row r="393" spans="1:4" x14ac:dyDescent="0.25">
      <c r="A393">
        <v>19050254</v>
      </c>
      <c r="B393" s="12">
        <v>45671</v>
      </c>
      <c r="C393" t="s">
        <v>0</v>
      </c>
    </row>
    <row r="394" spans="1:4" x14ac:dyDescent="0.25">
      <c r="A394">
        <v>19050270</v>
      </c>
      <c r="B394" s="12">
        <v>45671</v>
      </c>
      <c r="C394" t="s">
        <v>0</v>
      </c>
    </row>
    <row r="395" spans="1:4" x14ac:dyDescent="0.25">
      <c r="A395">
        <v>19050271</v>
      </c>
      <c r="B395" s="12">
        <v>45965</v>
      </c>
      <c r="C395" t="s">
        <v>0</v>
      </c>
      <c r="D395" t="s">
        <v>653</v>
      </c>
    </row>
    <row r="396" spans="1:4" x14ac:dyDescent="0.25">
      <c r="A396">
        <v>19050271</v>
      </c>
      <c r="B396" s="12">
        <v>45671</v>
      </c>
      <c r="C396" t="s">
        <v>0</v>
      </c>
    </row>
    <row r="397" spans="1:4" x14ac:dyDescent="0.25">
      <c r="A397">
        <v>19050272</v>
      </c>
      <c r="B397" s="12">
        <v>45671</v>
      </c>
      <c r="C397" t="s">
        <v>0</v>
      </c>
    </row>
    <row r="398" spans="1:4" x14ac:dyDescent="0.25">
      <c r="A398">
        <v>19050283</v>
      </c>
      <c r="B398" s="12">
        <v>45965</v>
      </c>
      <c r="C398" t="s">
        <v>0</v>
      </c>
      <c r="D398" t="s">
        <v>654</v>
      </c>
    </row>
    <row r="399" spans="1:4" x14ac:dyDescent="0.25">
      <c r="A399">
        <v>19050283</v>
      </c>
      <c r="B399" s="12">
        <v>45671</v>
      </c>
      <c r="C399" t="s">
        <v>0</v>
      </c>
    </row>
    <row r="400" spans="1:4" x14ac:dyDescent="0.25">
      <c r="A400">
        <v>19050292</v>
      </c>
      <c r="B400" s="12">
        <v>45965</v>
      </c>
      <c r="C400" t="s">
        <v>0</v>
      </c>
      <c r="D400" t="s">
        <v>654</v>
      </c>
    </row>
    <row r="401" spans="1:4" x14ac:dyDescent="0.25">
      <c r="A401">
        <v>19050292</v>
      </c>
      <c r="B401" s="12">
        <v>45813</v>
      </c>
      <c r="C401" t="s">
        <v>1</v>
      </c>
      <c r="D401" t="s">
        <v>647</v>
      </c>
    </row>
    <row r="402" spans="1:4" x14ac:dyDescent="0.25">
      <c r="A402">
        <v>19050292</v>
      </c>
      <c r="B402" s="12">
        <v>45671</v>
      </c>
      <c r="C402" t="s">
        <v>0</v>
      </c>
    </row>
    <row r="403" spans="1:4" x14ac:dyDescent="0.25">
      <c r="A403">
        <v>19050293</v>
      </c>
      <c r="B403" s="12">
        <v>45671</v>
      </c>
      <c r="C403" t="s">
        <v>0</v>
      </c>
    </row>
    <row r="404" spans="1:4" x14ac:dyDescent="0.25">
      <c r="A404">
        <v>19050294</v>
      </c>
      <c r="B404" s="12">
        <v>45965</v>
      </c>
      <c r="C404" t="s">
        <v>0</v>
      </c>
      <c r="D404" t="s">
        <v>657</v>
      </c>
    </row>
    <row r="405" spans="1:4" x14ac:dyDescent="0.25">
      <c r="A405">
        <v>19050294</v>
      </c>
      <c r="B405" s="12">
        <v>45671</v>
      </c>
      <c r="C405" t="s">
        <v>0</v>
      </c>
    </row>
    <row r="406" spans="1:4" x14ac:dyDescent="0.25">
      <c r="A406">
        <v>19050296</v>
      </c>
      <c r="B406" s="12">
        <v>45671</v>
      </c>
      <c r="C406" t="s">
        <v>0</v>
      </c>
    </row>
    <row r="407" spans="1:4" x14ac:dyDescent="0.25">
      <c r="A407">
        <v>19050304</v>
      </c>
      <c r="B407" s="12">
        <v>45965</v>
      </c>
      <c r="C407" t="s">
        <v>0</v>
      </c>
      <c r="D407" t="s">
        <v>653</v>
      </c>
    </row>
    <row r="408" spans="1:4" x14ac:dyDescent="0.25">
      <c r="A408">
        <v>19050304</v>
      </c>
      <c r="B408" s="12">
        <v>45813</v>
      </c>
      <c r="C408" t="s">
        <v>1</v>
      </c>
      <c r="D408" t="s">
        <v>647</v>
      </c>
    </row>
    <row r="409" spans="1:4" x14ac:dyDescent="0.25">
      <c r="A409">
        <v>19050304</v>
      </c>
      <c r="B409" s="12">
        <v>45671</v>
      </c>
      <c r="C409" t="s">
        <v>0</v>
      </c>
    </row>
    <row r="410" spans="1:4" x14ac:dyDescent="0.25">
      <c r="A410">
        <v>19050317</v>
      </c>
      <c r="B410" s="12">
        <v>45671</v>
      </c>
      <c r="C410" t="s">
        <v>0</v>
      </c>
    </row>
    <row r="411" spans="1:4" x14ac:dyDescent="0.25">
      <c r="A411">
        <v>19050325</v>
      </c>
      <c r="B411" s="12">
        <v>45671</v>
      </c>
      <c r="C411" t="s">
        <v>0</v>
      </c>
    </row>
    <row r="412" spans="1:4" x14ac:dyDescent="0.25">
      <c r="A412">
        <v>19050334</v>
      </c>
      <c r="B412" s="12">
        <v>45813</v>
      </c>
      <c r="C412" t="s">
        <v>1</v>
      </c>
      <c r="D412" t="s">
        <v>647</v>
      </c>
    </row>
    <row r="413" spans="1:4" x14ac:dyDescent="0.25">
      <c r="A413">
        <v>19050336</v>
      </c>
      <c r="B413" s="12">
        <v>45813</v>
      </c>
      <c r="C413" t="s">
        <v>1</v>
      </c>
      <c r="D413" t="s">
        <v>647</v>
      </c>
    </row>
    <row r="414" spans="1:4" x14ac:dyDescent="0.25">
      <c r="A414">
        <v>19050336</v>
      </c>
      <c r="B414" s="12">
        <v>45671</v>
      </c>
      <c r="C414" t="s">
        <v>0</v>
      </c>
    </row>
    <row r="415" spans="1:4" x14ac:dyDescent="0.25">
      <c r="A415">
        <v>19050345</v>
      </c>
      <c r="B415" s="12">
        <v>45671</v>
      </c>
      <c r="C415" t="s">
        <v>0</v>
      </c>
    </row>
    <row r="416" spans="1:4" x14ac:dyDescent="0.25">
      <c r="A416">
        <v>19050349</v>
      </c>
      <c r="B416" s="12">
        <v>45671</v>
      </c>
      <c r="C416" t="s">
        <v>0</v>
      </c>
    </row>
    <row r="417" spans="1:4" x14ac:dyDescent="0.25">
      <c r="A417">
        <v>19050364</v>
      </c>
      <c r="B417" s="12">
        <v>45671</v>
      </c>
      <c r="C417" t="s">
        <v>0</v>
      </c>
    </row>
    <row r="418" spans="1:4" x14ac:dyDescent="0.25">
      <c r="A418">
        <v>19050369</v>
      </c>
      <c r="B418" s="12">
        <v>45671</v>
      </c>
      <c r="C418" t="s">
        <v>0</v>
      </c>
    </row>
    <row r="419" spans="1:4" x14ac:dyDescent="0.25">
      <c r="A419">
        <v>19050383</v>
      </c>
      <c r="B419" s="12">
        <v>45671</v>
      </c>
      <c r="C419" t="s">
        <v>0</v>
      </c>
    </row>
    <row r="420" spans="1:4" x14ac:dyDescent="0.25">
      <c r="A420">
        <v>19050390</v>
      </c>
      <c r="B420" s="12">
        <v>45813</v>
      </c>
      <c r="C420" t="s">
        <v>1</v>
      </c>
      <c r="D420" t="s">
        <v>647</v>
      </c>
    </row>
    <row r="421" spans="1:4" x14ac:dyDescent="0.25">
      <c r="A421">
        <v>19050390</v>
      </c>
      <c r="B421" s="12">
        <v>45671</v>
      </c>
      <c r="C421" t="s">
        <v>0</v>
      </c>
    </row>
    <row r="422" spans="1:4" x14ac:dyDescent="0.25">
      <c r="A422">
        <v>19050392</v>
      </c>
      <c r="B422" s="12">
        <v>45966</v>
      </c>
      <c r="C422" t="s">
        <v>0</v>
      </c>
      <c r="D422" t="s">
        <v>655</v>
      </c>
    </row>
    <row r="423" spans="1:4" x14ac:dyDescent="0.25">
      <c r="A423">
        <v>19050392</v>
      </c>
      <c r="B423" s="12">
        <v>45671</v>
      </c>
      <c r="C423" t="s">
        <v>0</v>
      </c>
    </row>
    <row r="424" spans="1:4" x14ac:dyDescent="0.25">
      <c r="A424">
        <v>19050393</v>
      </c>
      <c r="B424" s="12">
        <v>45671</v>
      </c>
      <c r="C424" t="s">
        <v>0</v>
      </c>
    </row>
    <row r="425" spans="1:4" x14ac:dyDescent="0.25">
      <c r="A425">
        <v>19050395</v>
      </c>
      <c r="B425" s="12">
        <v>45671</v>
      </c>
      <c r="C425" t="s">
        <v>0</v>
      </c>
    </row>
    <row r="426" spans="1:4" x14ac:dyDescent="0.25">
      <c r="A426">
        <v>19050398</v>
      </c>
      <c r="B426" s="12">
        <v>45813</v>
      </c>
      <c r="C426" t="s">
        <v>1</v>
      </c>
      <c r="D426" t="s">
        <v>647</v>
      </c>
    </row>
    <row r="427" spans="1:4" x14ac:dyDescent="0.25">
      <c r="A427">
        <v>19050398</v>
      </c>
      <c r="B427" s="12">
        <v>45671</v>
      </c>
      <c r="C427" t="s">
        <v>0</v>
      </c>
    </row>
    <row r="428" spans="1:4" x14ac:dyDescent="0.25">
      <c r="A428">
        <v>19050399</v>
      </c>
      <c r="B428" s="12">
        <v>45671</v>
      </c>
      <c r="C428" t="s">
        <v>0</v>
      </c>
    </row>
    <row r="429" spans="1:4" x14ac:dyDescent="0.25">
      <c r="A429">
        <v>19163515</v>
      </c>
      <c r="B429" s="12">
        <v>45966</v>
      </c>
      <c r="C429" t="s">
        <v>0</v>
      </c>
      <c r="D429" t="s">
        <v>655</v>
      </c>
    </row>
    <row r="430" spans="1:4" x14ac:dyDescent="0.25">
      <c r="A430">
        <v>19163515</v>
      </c>
      <c r="B430" s="12">
        <v>45671</v>
      </c>
      <c r="C430" t="s">
        <v>0</v>
      </c>
    </row>
    <row r="431" spans="1:4" x14ac:dyDescent="0.25">
      <c r="A431">
        <v>19655223</v>
      </c>
      <c r="B431" s="12">
        <v>45965</v>
      </c>
      <c r="C431" t="s">
        <v>0</v>
      </c>
      <c r="D431" t="s">
        <v>657</v>
      </c>
    </row>
    <row r="432" spans="1:4" x14ac:dyDescent="0.25">
      <c r="A432">
        <v>19655223</v>
      </c>
      <c r="B432" s="12">
        <v>45671</v>
      </c>
      <c r="C432" t="s">
        <v>0</v>
      </c>
    </row>
    <row r="433" spans="1:4" x14ac:dyDescent="0.25">
      <c r="A433">
        <v>19657235</v>
      </c>
      <c r="B433" s="12">
        <v>45671</v>
      </c>
      <c r="C433" t="s">
        <v>0</v>
      </c>
    </row>
    <row r="434" spans="1:4" x14ac:dyDescent="0.25">
      <c r="A434">
        <v>19664941</v>
      </c>
      <c r="B434" s="12">
        <v>45965</v>
      </c>
      <c r="C434" t="s">
        <v>0</v>
      </c>
      <c r="D434" t="s">
        <v>657</v>
      </c>
    </row>
    <row r="435" spans="1:4" x14ac:dyDescent="0.25">
      <c r="A435">
        <v>19664941</v>
      </c>
      <c r="B435" s="12">
        <v>45671</v>
      </c>
      <c r="C435" t="s">
        <v>0</v>
      </c>
    </row>
    <row r="436" spans="1:4" x14ac:dyDescent="0.25">
      <c r="A436">
        <v>19690881</v>
      </c>
      <c r="B436" s="12">
        <v>45671</v>
      </c>
      <c r="C436" t="s">
        <v>0</v>
      </c>
    </row>
    <row r="437" spans="1:4" x14ac:dyDescent="0.25">
      <c r="A437">
        <v>19776808</v>
      </c>
      <c r="B437" s="12">
        <v>45818</v>
      </c>
      <c r="C437" t="s">
        <v>0</v>
      </c>
      <c r="D437" t="s">
        <v>650</v>
      </c>
    </row>
    <row r="438" spans="1:4" x14ac:dyDescent="0.25">
      <c r="A438">
        <v>19785423</v>
      </c>
      <c r="B438" s="12">
        <v>45671</v>
      </c>
      <c r="C438" t="s">
        <v>0</v>
      </c>
    </row>
    <row r="439" spans="1:4" x14ac:dyDescent="0.25">
      <c r="A439">
        <v>19785769</v>
      </c>
      <c r="B439" s="12">
        <v>45965</v>
      </c>
      <c r="C439" t="s">
        <v>0</v>
      </c>
      <c r="D439" t="s">
        <v>657</v>
      </c>
    </row>
    <row r="440" spans="1:4" x14ac:dyDescent="0.25">
      <c r="A440">
        <v>19785769</v>
      </c>
      <c r="B440" s="12">
        <v>45818</v>
      </c>
      <c r="C440" t="s">
        <v>0</v>
      </c>
      <c r="D440" t="s">
        <v>650</v>
      </c>
    </row>
    <row r="441" spans="1:4" x14ac:dyDescent="0.25">
      <c r="A441">
        <v>19785784</v>
      </c>
      <c r="B441" s="12">
        <v>45818</v>
      </c>
      <c r="C441" t="s">
        <v>0</v>
      </c>
      <c r="D441" t="s">
        <v>650</v>
      </c>
    </row>
    <row r="442" spans="1:4" x14ac:dyDescent="0.25">
      <c r="A442">
        <v>19785789</v>
      </c>
      <c r="B442" s="12">
        <v>45965</v>
      </c>
      <c r="C442" t="s">
        <v>0</v>
      </c>
      <c r="D442" t="s">
        <v>657</v>
      </c>
    </row>
    <row r="443" spans="1:4" x14ac:dyDescent="0.25">
      <c r="A443">
        <v>19785789</v>
      </c>
      <c r="B443" s="12">
        <v>45818</v>
      </c>
      <c r="C443" t="s">
        <v>0</v>
      </c>
      <c r="D443" t="s">
        <v>650</v>
      </c>
    </row>
    <row r="444" spans="1:4" x14ac:dyDescent="0.25">
      <c r="A444">
        <v>20910001</v>
      </c>
      <c r="B444" s="12">
        <v>45965</v>
      </c>
      <c r="C444" t="s">
        <v>0</v>
      </c>
      <c r="D444" t="s">
        <v>657</v>
      </c>
    </row>
    <row r="445" spans="1:4" x14ac:dyDescent="0.25">
      <c r="A445">
        <v>20910001</v>
      </c>
      <c r="B445" s="12">
        <v>45671</v>
      </c>
      <c r="C445" t="s">
        <v>0</v>
      </c>
    </row>
    <row r="446" spans="1:4" x14ac:dyDescent="0.25">
      <c r="A446">
        <v>20910008</v>
      </c>
      <c r="B446" s="12">
        <v>45671</v>
      </c>
      <c r="C446" t="s">
        <v>0</v>
      </c>
    </row>
    <row r="447" spans="1:4" x14ac:dyDescent="0.25">
      <c r="A447">
        <v>20910010</v>
      </c>
      <c r="B447" s="12">
        <v>45671</v>
      </c>
      <c r="C447" t="s">
        <v>0</v>
      </c>
    </row>
    <row r="448" spans="1:4" x14ac:dyDescent="0.25">
      <c r="A448">
        <v>20910017</v>
      </c>
      <c r="B448" s="12">
        <v>45671</v>
      </c>
      <c r="C448" t="s">
        <v>0</v>
      </c>
    </row>
    <row r="449" spans="1:4" x14ac:dyDescent="0.25">
      <c r="A449">
        <v>20910021</v>
      </c>
      <c r="B449" s="12">
        <v>45965</v>
      </c>
      <c r="C449" t="s">
        <v>0</v>
      </c>
      <c r="D449" t="s">
        <v>653</v>
      </c>
    </row>
    <row r="450" spans="1:4" x14ac:dyDescent="0.25">
      <c r="A450">
        <v>20910021</v>
      </c>
      <c r="B450" s="12">
        <v>45813</v>
      </c>
      <c r="C450" t="s">
        <v>1</v>
      </c>
      <c r="D450" t="s">
        <v>647</v>
      </c>
    </row>
    <row r="451" spans="1:4" x14ac:dyDescent="0.25">
      <c r="A451">
        <v>20910021</v>
      </c>
      <c r="B451" s="12">
        <v>45671</v>
      </c>
      <c r="C451" t="s">
        <v>0</v>
      </c>
    </row>
    <row r="452" spans="1:4" x14ac:dyDescent="0.25">
      <c r="A452">
        <v>20910036</v>
      </c>
      <c r="B452" s="12">
        <v>45671</v>
      </c>
      <c r="C452" t="s">
        <v>0</v>
      </c>
    </row>
    <row r="453" spans="1:4" x14ac:dyDescent="0.25">
      <c r="A453">
        <v>20910037</v>
      </c>
      <c r="B453" s="12">
        <v>45671</v>
      </c>
      <c r="C453" t="s">
        <v>0</v>
      </c>
    </row>
    <row r="454" spans="1:4" x14ac:dyDescent="0.25">
      <c r="A454">
        <v>20910039</v>
      </c>
      <c r="B454" s="12">
        <v>45671</v>
      </c>
      <c r="C454" t="s">
        <v>0</v>
      </c>
    </row>
    <row r="455" spans="1:4" x14ac:dyDescent="0.25">
      <c r="A455">
        <v>20910049</v>
      </c>
      <c r="B455" s="12">
        <v>45671</v>
      </c>
      <c r="C455" t="s">
        <v>0</v>
      </c>
    </row>
    <row r="456" spans="1:4" x14ac:dyDescent="0.25">
      <c r="A456">
        <v>20910060</v>
      </c>
      <c r="B456" s="12">
        <v>45671</v>
      </c>
      <c r="C456" t="s">
        <v>0</v>
      </c>
    </row>
    <row r="457" spans="1:4" x14ac:dyDescent="0.25">
      <c r="A457">
        <v>20910066</v>
      </c>
      <c r="B457" s="12">
        <v>45671</v>
      </c>
      <c r="C457" t="s">
        <v>0</v>
      </c>
    </row>
    <row r="458" spans="1:4" x14ac:dyDescent="0.25">
      <c r="A458">
        <v>20910072</v>
      </c>
      <c r="B458" s="12">
        <v>45965</v>
      </c>
      <c r="C458" t="s">
        <v>0</v>
      </c>
      <c r="D458" t="s">
        <v>654</v>
      </c>
    </row>
    <row r="459" spans="1:4" x14ac:dyDescent="0.25">
      <c r="A459">
        <v>20910072</v>
      </c>
      <c r="B459" s="12">
        <v>45813</v>
      </c>
      <c r="C459" t="s">
        <v>1</v>
      </c>
      <c r="D459" t="s">
        <v>647</v>
      </c>
    </row>
    <row r="460" spans="1:4" x14ac:dyDescent="0.25">
      <c r="A460">
        <v>20910072</v>
      </c>
      <c r="B460" s="12">
        <v>45671</v>
      </c>
      <c r="C460" t="s">
        <v>0</v>
      </c>
    </row>
    <row r="461" spans="1:4" x14ac:dyDescent="0.25">
      <c r="A461">
        <v>20910073</v>
      </c>
      <c r="B461" s="12">
        <v>45671</v>
      </c>
      <c r="C461" t="s">
        <v>0</v>
      </c>
    </row>
    <row r="462" spans="1:4" x14ac:dyDescent="0.25">
      <c r="A462">
        <v>20910074</v>
      </c>
      <c r="B462" s="12">
        <v>45965</v>
      </c>
      <c r="C462" t="s">
        <v>0</v>
      </c>
      <c r="D462" t="s">
        <v>654</v>
      </c>
    </row>
    <row r="463" spans="1:4" x14ac:dyDescent="0.25">
      <c r="A463">
        <v>20910074</v>
      </c>
      <c r="B463" s="12">
        <v>45813</v>
      </c>
      <c r="C463" t="s">
        <v>1</v>
      </c>
      <c r="D463" t="s">
        <v>647</v>
      </c>
    </row>
    <row r="464" spans="1:4" x14ac:dyDescent="0.25">
      <c r="A464">
        <v>20910074</v>
      </c>
      <c r="B464" s="12">
        <v>45671</v>
      </c>
      <c r="C464" t="s">
        <v>0</v>
      </c>
    </row>
    <row r="465" spans="1:4" x14ac:dyDescent="0.25">
      <c r="A465">
        <v>20910076</v>
      </c>
      <c r="B465" s="12">
        <v>45965</v>
      </c>
      <c r="C465" t="s">
        <v>0</v>
      </c>
      <c r="D465" t="s">
        <v>654</v>
      </c>
    </row>
    <row r="466" spans="1:4" x14ac:dyDescent="0.25">
      <c r="A466">
        <v>20910076</v>
      </c>
      <c r="B466" s="12">
        <v>45813</v>
      </c>
      <c r="C466" t="s">
        <v>1</v>
      </c>
      <c r="D466" t="s">
        <v>647</v>
      </c>
    </row>
    <row r="467" spans="1:4" x14ac:dyDescent="0.25">
      <c r="A467">
        <v>20910076</v>
      </c>
      <c r="B467" s="12">
        <v>45671</v>
      </c>
      <c r="C467" t="s">
        <v>0</v>
      </c>
    </row>
    <row r="468" spans="1:4" x14ac:dyDescent="0.25">
      <c r="A468">
        <v>20910080</v>
      </c>
      <c r="B468" s="12">
        <v>45966</v>
      </c>
      <c r="C468" t="s">
        <v>0</v>
      </c>
      <c r="D468" t="s">
        <v>655</v>
      </c>
    </row>
    <row r="469" spans="1:4" x14ac:dyDescent="0.25">
      <c r="A469">
        <v>20910080</v>
      </c>
      <c r="B469" s="12">
        <v>45671</v>
      </c>
      <c r="C469" t="s">
        <v>0</v>
      </c>
    </row>
    <row r="470" spans="1:4" x14ac:dyDescent="0.25">
      <c r="A470">
        <v>20910131</v>
      </c>
      <c r="B470" s="12">
        <v>45965</v>
      </c>
      <c r="C470" t="s">
        <v>0</v>
      </c>
      <c r="D470" t="s">
        <v>657</v>
      </c>
    </row>
    <row r="471" spans="1:4" x14ac:dyDescent="0.25">
      <c r="A471">
        <v>20910131</v>
      </c>
      <c r="B471" s="12">
        <v>45671</v>
      </c>
      <c r="C471" t="s">
        <v>0</v>
      </c>
    </row>
    <row r="472" spans="1:4" x14ac:dyDescent="0.25">
      <c r="A472">
        <v>20910142</v>
      </c>
      <c r="B472" s="12">
        <v>45671</v>
      </c>
      <c r="C472" t="s">
        <v>0</v>
      </c>
    </row>
    <row r="473" spans="1:4" x14ac:dyDescent="0.25">
      <c r="A473">
        <v>20910148</v>
      </c>
      <c r="B473" s="12">
        <v>45671</v>
      </c>
      <c r="C473" t="s">
        <v>0</v>
      </c>
    </row>
    <row r="474" spans="1:4" x14ac:dyDescent="0.25">
      <c r="A474">
        <v>20910167</v>
      </c>
      <c r="B474" s="12">
        <v>45671</v>
      </c>
      <c r="C474" t="s">
        <v>0</v>
      </c>
    </row>
    <row r="475" spans="1:4" x14ac:dyDescent="0.25">
      <c r="A475">
        <v>20910190</v>
      </c>
      <c r="B475" s="12">
        <v>45671</v>
      </c>
      <c r="C475" t="s">
        <v>0</v>
      </c>
    </row>
    <row r="476" spans="1:4" x14ac:dyDescent="0.25">
      <c r="A476">
        <v>20910191</v>
      </c>
      <c r="B476" s="12">
        <v>45671</v>
      </c>
      <c r="C476" t="s">
        <v>0</v>
      </c>
    </row>
    <row r="477" spans="1:4" x14ac:dyDescent="0.25">
      <c r="A477">
        <v>20910193</v>
      </c>
      <c r="B477" s="12">
        <v>45671</v>
      </c>
      <c r="C477" t="s">
        <v>0</v>
      </c>
    </row>
    <row r="478" spans="1:4" x14ac:dyDescent="0.25">
      <c r="A478">
        <v>20910198</v>
      </c>
      <c r="B478" s="12">
        <v>45671</v>
      </c>
      <c r="C478" t="s">
        <v>0</v>
      </c>
    </row>
    <row r="479" spans="1:4" x14ac:dyDescent="0.25">
      <c r="A479">
        <v>20910201</v>
      </c>
      <c r="B479" s="12">
        <v>45671</v>
      </c>
      <c r="C479" t="s">
        <v>0</v>
      </c>
    </row>
    <row r="480" spans="1:4" x14ac:dyDescent="0.25">
      <c r="A480">
        <v>20910206</v>
      </c>
      <c r="B480" s="12">
        <v>45965</v>
      </c>
      <c r="C480" t="s">
        <v>0</v>
      </c>
      <c r="D480" t="s">
        <v>654</v>
      </c>
    </row>
    <row r="481" spans="1:4" x14ac:dyDescent="0.25">
      <c r="A481">
        <v>20910206</v>
      </c>
      <c r="B481" s="12">
        <v>45813</v>
      </c>
      <c r="C481" t="s">
        <v>1</v>
      </c>
      <c r="D481" t="s">
        <v>647</v>
      </c>
    </row>
    <row r="482" spans="1:4" x14ac:dyDescent="0.25">
      <c r="A482">
        <v>20910206</v>
      </c>
      <c r="B482" s="12">
        <v>45671</v>
      </c>
      <c r="C482" t="s">
        <v>0</v>
      </c>
    </row>
    <row r="483" spans="1:4" x14ac:dyDescent="0.25">
      <c r="A483">
        <v>20910208</v>
      </c>
      <c r="B483" s="12">
        <v>45966</v>
      </c>
      <c r="C483" t="s">
        <v>0</v>
      </c>
      <c r="D483" t="s">
        <v>655</v>
      </c>
    </row>
    <row r="484" spans="1:4" x14ac:dyDescent="0.25">
      <c r="A484">
        <v>20910208</v>
      </c>
      <c r="B484" s="12">
        <v>45671</v>
      </c>
      <c r="C484" t="s">
        <v>0</v>
      </c>
    </row>
    <row r="485" spans="1:4" x14ac:dyDescent="0.25">
      <c r="A485">
        <v>20910210</v>
      </c>
      <c r="B485" s="12">
        <v>45671</v>
      </c>
      <c r="C485" t="s">
        <v>0</v>
      </c>
    </row>
    <row r="486" spans="1:4" x14ac:dyDescent="0.25">
      <c r="A486">
        <v>20910216</v>
      </c>
      <c r="B486" s="12">
        <v>45671</v>
      </c>
      <c r="C486" t="s">
        <v>0</v>
      </c>
    </row>
    <row r="487" spans="1:4" x14ac:dyDescent="0.25">
      <c r="A487">
        <v>20910217</v>
      </c>
      <c r="B487" s="12">
        <v>45671</v>
      </c>
      <c r="C487" t="s">
        <v>0</v>
      </c>
    </row>
    <row r="488" spans="1:4" x14ac:dyDescent="0.25">
      <c r="A488">
        <v>20910224</v>
      </c>
      <c r="B488" s="12">
        <v>45671</v>
      </c>
      <c r="C488" t="s">
        <v>0</v>
      </c>
    </row>
    <row r="489" spans="1:4" x14ac:dyDescent="0.25">
      <c r="A489">
        <v>20910226</v>
      </c>
      <c r="B489" s="12">
        <v>45671</v>
      </c>
      <c r="C489" t="s">
        <v>0</v>
      </c>
    </row>
    <row r="490" spans="1:4" x14ac:dyDescent="0.25">
      <c r="A490">
        <v>20910228</v>
      </c>
      <c r="B490" s="12">
        <v>45965</v>
      </c>
      <c r="C490" t="s">
        <v>0</v>
      </c>
      <c r="D490" t="s">
        <v>654</v>
      </c>
    </row>
    <row r="491" spans="1:4" x14ac:dyDescent="0.25">
      <c r="A491">
        <v>20910228</v>
      </c>
      <c r="B491" s="12">
        <v>45813</v>
      </c>
      <c r="C491" t="s">
        <v>1</v>
      </c>
      <c r="D491" t="s">
        <v>647</v>
      </c>
    </row>
    <row r="492" spans="1:4" x14ac:dyDescent="0.25">
      <c r="A492">
        <v>20910228</v>
      </c>
      <c r="B492" s="12">
        <v>45671</v>
      </c>
      <c r="C492" t="s">
        <v>0</v>
      </c>
    </row>
    <row r="493" spans="1:4" x14ac:dyDescent="0.25">
      <c r="A493">
        <v>20910230</v>
      </c>
      <c r="B493" s="12">
        <v>45671</v>
      </c>
      <c r="C493" t="s">
        <v>0</v>
      </c>
    </row>
    <row r="494" spans="1:4" x14ac:dyDescent="0.25">
      <c r="A494">
        <v>20910234</v>
      </c>
      <c r="B494" s="12">
        <v>45965</v>
      </c>
      <c r="C494" t="s">
        <v>0</v>
      </c>
      <c r="D494" t="s">
        <v>657</v>
      </c>
    </row>
    <row r="495" spans="1:4" x14ac:dyDescent="0.25">
      <c r="A495">
        <v>20910234</v>
      </c>
      <c r="B495" s="12">
        <v>45671</v>
      </c>
      <c r="C495" t="s">
        <v>0</v>
      </c>
    </row>
    <row r="496" spans="1:4" x14ac:dyDescent="0.25">
      <c r="A496">
        <v>20910235</v>
      </c>
      <c r="B496" s="12">
        <v>45966</v>
      </c>
      <c r="C496" t="s">
        <v>0</v>
      </c>
      <c r="D496" t="s">
        <v>655</v>
      </c>
    </row>
    <row r="497" spans="1:4" x14ac:dyDescent="0.25">
      <c r="A497">
        <v>20910235</v>
      </c>
      <c r="B497" s="12">
        <v>45671</v>
      </c>
      <c r="C497" t="s">
        <v>0</v>
      </c>
    </row>
    <row r="498" spans="1:4" x14ac:dyDescent="0.25">
      <c r="A498">
        <v>20910236</v>
      </c>
      <c r="B498" s="12">
        <v>45671</v>
      </c>
      <c r="C498" t="s">
        <v>0</v>
      </c>
    </row>
    <row r="499" spans="1:4" x14ac:dyDescent="0.25">
      <c r="A499">
        <v>20910238</v>
      </c>
      <c r="B499" s="12">
        <v>45965</v>
      </c>
      <c r="C499" t="s">
        <v>0</v>
      </c>
      <c r="D499" t="s">
        <v>653</v>
      </c>
    </row>
    <row r="500" spans="1:4" x14ac:dyDescent="0.25">
      <c r="A500">
        <v>20910238</v>
      </c>
      <c r="B500" s="12">
        <v>45813</v>
      </c>
      <c r="C500" t="s">
        <v>1</v>
      </c>
      <c r="D500" t="s">
        <v>647</v>
      </c>
    </row>
    <row r="501" spans="1:4" x14ac:dyDescent="0.25">
      <c r="A501">
        <v>20910238</v>
      </c>
      <c r="B501" s="12">
        <v>45671</v>
      </c>
      <c r="C501" t="s">
        <v>0</v>
      </c>
    </row>
    <row r="502" spans="1:4" x14ac:dyDescent="0.25">
      <c r="A502">
        <v>20910240</v>
      </c>
      <c r="B502" s="12">
        <v>45671</v>
      </c>
      <c r="C502" t="s">
        <v>0</v>
      </c>
    </row>
    <row r="503" spans="1:4" x14ac:dyDescent="0.25">
      <c r="A503">
        <v>20910242</v>
      </c>
      <c r="B503" s="12">
        <v>45965</v>
      </c>
      <c r="C503" t="s">
        <v>0</v>
      </c>
      <c r="D503" t="s">
        <v>657</v>
      </c>
    </row>
    <row r="504" spans="1:4" x14ac:dyDescent="0.25">
      <c r="A504">
        <v>20910242</v>
      </c>
      <c r="B504" s="12">
        <v>45671</v>
      </c>
      <c r="C504" t="s">
        <v>0</v>
      </c>
    </row>
    <row r="505" spans="1:4" x14ac:dyDescent="0.25">
      <c r="A505">
        <v>20910250</v>
      </c>
      <c r="B505" s="12">
        <v>45671</v>
      </c>
      <c r="C505" t="s">
        <v>0</v>
      </c>
    </row>
    <row r="506" spans="1:4" x14ac:dyDescent="0.25">
      <c r="A506">
        <v>20910255</v>
      </c>
      <c r="B506" s="12">
        <v>45671</v>
      </c>
      <c r="C506" t="s">
        <v>0</v>
      </c>
    </row>
    <row r="507" spans="1:4" x14ac:dyDescent="0.25">
      <c r="A507">
        <v>20910258</v>
      </c>
      <c r="B507" s="12">
        <v>45671</v>
      </c>
      <c r="C507" t="s">
        <v>0</v>
      </c>
    </row>
    <row r="508" spans="1:4" x14ac:dyDescent="0.25">
      <c r="A508">
        <v>20910259</v>
      </c>
      <c r="B508" s="12">
        <v>45965</v>
      </c>
      <c r="C508" t="s">
        <v>0</v>
      </c>
      <c r="D508" t="s">
        <v>653</v>
      </c>
    </row>
    <row r="509" spans="1:4" x14ac:dyDescent="0.25">
      <c r="A509">
        <v>20910259</v>
      </c>
      <c r="B509" s="12">
        <v>45813</v>
      </c>
      <c r="C509" t="s">
        <v>1</v>
      </c>
      <c r="D509" t="s">
        <v>647</v>
      </c>
    </row>
    <row r="510" spans="1:4" x14ac:dyDescent="0.25">
      <c r="A510">
        <v>20910259</v>
      </c>
      <c r="B510" s="12">
        <v>45671</v>
      </c>
      <c r="C510" t="s">
        <v>0</v>
      </c>
    </row>
    <row r="511" spans="1:4" x14ac:dyDescent="0.25">
      <c r="A511">
        <v>20910269</v>
      </c>
      <c r="B511" s="12">
        <v>45818</v>
      </c>
      <c r="C511" t="s">
        <v>0</v>
      </c>
      <c r="D511" t="s">
        <v>650</v>
      </c>
    </row>
    <row r="512" spans="1:4" x14ac:dyDescent="0.25">
      <c r="A512">
        <v>20910271</v>
      </c>
      <c r="B512" s="12">
        <v>45965</v>
      </c>
      <c r="C512" t="s">
        <v>0</v>
      </c>
      <c r="D512" t="s">
        <v>653</v>
      </c>
    </row>
    <row r="513" spans="1:4" x14ac:dyDescent="0.25">
      <c r="A513">
        <v>20910271</v>
      </c>
      <c r="B513" s="12">
        <v>45813</v>
      </c>
      <c r="C513" t="s">
        <v>1</v>
      </c>
      <c r="D513" t="s">
        <v>647</v>
      </c>
    </row>
    <row r="514" spans="1:4" x14ac:dyDescent="0.25">
      <c r="A514">
        <v>20910271</v>
      </c>
      <c r="B514" s="12">
        <v>45671</v>
      </c>
      <c r="C514" t="s">
        <v>0</v>
      </c>
    </row>
    <row r="515" spans="1:4" x14ac:dyDescent="0.25">
      <c r="A515">
        <v>20910272</v>
      </c>
      <c r="B515" s="12">
        <v>45966</v>
      </c>
      <c r="C515" t="s">
        <v>0</v>
      </c>
      <c r="D515" t="s">
        <v>655</v>
      </c>
    </row>
    <row r="516" spans="1:4" x14ac:dyDescent="0.25">
      <c r="A516">
        <v>20910272</v>
      </c>
      <c r="B516" s="12">
        <v>45671</v>
      </c>
      <c r="C516" t="s">
        <v>0</v>
      </c>
    </row>
    <row r="517" spans="1:4" x14ac:dyDescent="0.25">
      <c r="A517">
        <v>20910276</v>
      </c>
      <c r="B517" s="12">
        <v>45671</v>
      </c>
      <c r="C517" t="s">
        <v>0</v>
      </c>
    </row>
    <row r="518" spans="1:4" x14ac:dyDescent="0.25">
      <c r="A518">
        <v>20910280</v>
      </c>
      <c r="B518" s="12">
        <v>45671</v>
      </c>
      <c r="C518" t="s">
        <v>0</v>
      </c>
    </row>
    <row r="519" spans="1:4" x14ac:dyDescent="0.25">
      <c r="A519">
        <v>20910281</v>
      </c>
      <c r="B519" s="12">
        <v>45965</v>
      </c>
      <c r="C519" t="s">
        <v>0</v>
      </c>
      <c r="D519" t="s">
        <v>654</v>
      </c>
    </row>
    <row r="520" spans="1:4" x14ac:dyDescent="0.25">
      <c r="A520">
        <v>20910281</v>
      </c>
      <c r="B520" s="12">
        <v>45813</v>
      </c>
      <c r="C520" t="s">
        <v>1</v>
      </c>
      <c r="D520" t="s">
        <v>647</v>
      </c>
    </row>
    <row r="521" spans="1:4" x14ac:dyDescent="0.25">
      <c r="A521">
        <v>20910281</v>
      </c>
      <c r="B521" s="12">
        <v>45671</v>
      </c>
      <c r="C521" t="s">
        <v>0</v>
      </c>
    </row>
    <row r="522" spans="1:4" x14ac:dyDescent="0.25">
      <c r="A522">
        <v>20910288</v>
      </c>
      <c r="B522" s="12">
        <v>45671</v>
      </c>
      <c r="C522" t="s">
        <v>0</v>
      </c>
    </row>
    <row r="523" spans="1:4" x14ac:dyDescent="0.25">
      <c r="A523">
        <v>20910291</v>
      </c>
      <c r="B523" s="12">
        <v>45965</v>
      </c>
      <c r="C523" t="s">
        <v>0</v>
      </c>
      <c r="D523" t="s">
        <v>657</v>
      </c>
    </row>
    <row r="524" spans="1:4" x14ac:dyDescent="0.25">
      <c r="A524">
        <v>20910291</v>
      </c>
      <c r="B524" s="12">
        <v>45671</v>
      </c>
      <c r="C524" t="s">
        <v>0</v>
      </c>
    </row>
    <row r="525" spans="1:4" x14ac:dyDescent="0.25">
      <c r="A525">
        <v>20910302</v>
      </c>
      <c r="B525" s="12">
        <v>45671</v>
      </c>
      <c r="C525" t="s">
        <v>0</v>
      </c>
    </row>
    <row r="526" spans="1:4" x14ac:dyDescent="0.25">
      <c r="A526">
        <v>20910304</v>
      </c>
      <c r="B526" s="12">
        <v>45671</v>
      </c>
      <c r="C526" t="s">
        <v>0</v>
      </c>
    </row>
    <row r="527" spans="1:4" x14ac:dyDescent="0.25">
      <c r="A527">
        <v>20910307</v>
      </c>
      <c r="B527" s="12">
        <v>45965</v>
      </c>
      <c r="C527" t="s">
        <v>0</v>
      </c>
      <c r="D527" t="s">
        <v>653</v>
      </c>
    </row>
    <row r="528" spans="1:4" x14ac:dyDescent="0.25">
      <c r="A528">
        <v>20910307</v>
      </c>
      <c r="B528" s="12">
        <v>45813</v>
      </c>
      <c r="C528" t="s">
        <v>1</v>
      </c>
      <c r="D528" t="s">
        <v>647</v>
      </c>
    </row>
    <row r="529" spans="1:4" x14ac:dyDescent="0.25">
      <c r="A529">
        <v>20910307</v>
      </c>
      <c r="B529" s="12">
        <v>45671</v>
      </c>
      <c r="C529" t="s">
        <v>0</v>
      </c>
    </row>
    <row r="530" spans="1:4" x14ac:dyDescent="0.25">
      <c r="A530">
        <v>20910308</v>
      </c>
      <c r="B530" s="12">
        <v>45966</v>
      </c>
      <c r="C530" t="s">
        <v>0</v>
      </c>
      <c r="D530" t="s">
        <v>655</v>
      </c>
    </row>
    <row r="531" spans="1:4" x14ac:dyDescent="0.25">
      <c r="A531">
        <v>20910308</v>
      </c>
      <c r="B531" s="12">
        <v>45671</v>
      </c>
      <c r="C531" t="s">
        <v>0</v>
      </c>
    </row>
    <row r="532" spans="1:4" x14ac:dyDescent="0.25">
      <c r="A532">
        <v>20910311</v>
      </c>
      <c r="B532" s="12">
        <v>45965</v>
      </c>
      <c r="C532" t="s">
        <v>0</v>
      </c>
      <c r="D532" t="s">
        <v>657</v>
      </c>
    </row>
    <row r="533" spans="1:4" x14ac:dyDescent="0.25">
      <c r="A533">
        <v>20910311</v>
      </c>
      <c r="B533" s="12">
        <v>45671</v>
      </c>
      <c r="C533" t="s">
        <v>0</v>
      </c>
    </row>
    <row r="534" spans="1:4" x14ac:dyDescent="0.25">
      <c r="A534">
        <v>20910312</v>
      </c>
      <c r="B534" s="12">
        <v>45966</v>
      </c>
      <c r="C534" t="s">
        <v>0</v>
      </c>
      <c r="D534" t="s">
        <v>655</v>
      </c>
    </row>
    <row r="535" spans="1:4" x14ac:dyDescent="0.25">
      <c r="A535">
        <v>20910312</v>
      </c>
      <c r="B535" s="12">
        <v>45671</v>
      </c>
      <c r="C535" t="s">
        <v>0</v>
      </c>
    </row>
    <row r="536" spans="1:4" x14ac:dyDescent="0.25">
      <c r="A536">
        <v>20910315</v>
      </c>
      <c r="B536" s="12">
        <v>45966</v>
      </c>
      <c r="C536" t="s">
        <v>0</v>
      </c>
      <c r="D536" t="s">
        <v>655</v>
      </c>
    </row>
    <row r="537" spans="1:4" x14ac:dyDescent="0.25">
      <c r="A537">
        <v>20910315</v>
      </c>
      <c r="B537" s="12">
        <v>45671</v>
      </c>
      <c r="C537" t="s">
        <v>0</v>
      </c>
    </row>
    <row r="538" spans="1:4" x14ac:dyDescent="0.25">
      <c r="A538">
        <v>20910316</v>
      </c>
      <c r="B538" s="12">
        <v>45965</v>
      </c>
      <c r="C538" t="s">
        <v>0</v>
      </c>
      <c r="D538" t="s">
        <v>657</v>
      </c>
    </row>
    <row r="539" spans="1:4" x14ac:dyDescent="0.25">
      <c r="A539">
        <v>20910316</v>
      </c>
      <c r="B539" s="12">
        <v>45671</v>
      </c>
      <c r="C539" t="s">
        <v>0</v>
      </c>
    </row>
    <row r="540" spans="1:4" x14ac:dyDescent="0.25">
      <c r="A540">
        <v>20910321</v>
      </c>
      <c r="B540" s="12">
        <v>45966</v>
      </c>
      <c r="C540" t="s">
        <v>0</v>
      </c>
      <c r="D540" t="s">
        <v>655</v>
      </c>
    </row>
    <row r="541" spans="1:4" x14ac:dyDescent="0.25">
      <c r="A541">
        <v>20910321</v>
      </c>
      <c r="B541" s="12">
        <v>45671</v>
      </c>
      <c r="C541" t="s">
        <v>0</v>
      </c>
    </row>
    <row r="542" spans="1:4" x14ac:dyDescent="0.25">
      <c r="A542">
        <v>20910326</v>
      </c>
      <c r="B542" s="12">
        <v>45966</v>
      </c>
      <c r="C542" t="s">
        <v>0</v>
      </c>
      <c r="D542" t="s">
        <v>655</v>
      </c>
    </row>
    <row r="543" spans="1:4" x14ac:dyDescent="0.25">
      <c r="A543">
        <v>20910326</v>
      </c>
      <c r="B543" s="12">
        <v>45671</v>
      </c>
      <c r="C543" t="s">
        <v>0</v>
      </c>
    </row>
    <row r="544" spans="1:4" x14ac:dyDescent="0.25">
      <c r="A544">
        <v>20910331</v>
      </c>
      <c r="B544" s="12">
        <v>45965</v>
      </c>
      <c r="C544" t="s">
        <v>0</v>
      </c>
      <c r="D544" t="s">
        <v>654</v>
      </c>
    </row>
    <row r="545" spans="1:4" x14ac:dyDescent="0.25">
      <c r="A545">
        <v>20910331</v>
      </c>
      <c r="B545" s="12">
        <v>45813</v>
      </c>
      <c r="C545" t="s">
        <v>1</v>
      </c>
      <c r="D545" t="s">
        <v>647</v>
      </c>
    </row>
    <row r="546" spans="1:4" x14ac:dyDescent="0.25">
      <c r="A546">
        <v>20910331</v>
      </c>
      <c r="B546" s="12">
        <v>45671</v>
      </c>
      <c r="C546" t="s">
        <v>0</v>
      </c>
    </row>
    <row r="547" spans="1:4" x14ac:dyDescent="0.25">
      <c r="A547">
        <v>20910333</v>
      </c>
      <c r="B547" s="12">
        <v>45965</v>
      </c>
      <c r="C547" t="s">
        <v>0</v>
      </c>
      <c r="D547" t="s">
        <v>657</v>
      </c>
    </row>
    <row r="548" spans="1:4" x14ac:dyDescent="0.25">
      <c r="A548">
        <v>20910333</v>
      </c>
      <c r="B548" s="12">
        <v>45671</v>
      </c>
      <c r="C548" t="s">
        <v>0</v>
      </c>
    </row>
    <row r="549" spans="1:4" x14ac:dyDescent="0.25">
      <c r="A549">
        <v>20910334</v>
      </c>
      <c r="B549" s="12">
        <v>45965</v>
      </c>
      <c r="C549" t="s">
        <v>0</v>
      </c>
      <c r="D549" t="s">
        <v>653</v>
      </c>
    </row>
    <row r="550" spans="1:4" x14ac:dyDescent="0.25">
      <c r="A550">
        <v>20910334</v>
      </c>
      <c r="B550" s="12">
        <v>45813</v>
      </c>
      <c r="C550" t="s">
        <v>1</v>
      </c>
      <c r="D550" t="s">
        <v>647</v>
      </c>
    </row>
    <row r="551" spans="1:4" x14ac:dyDescent="0.25">
      <c r="A551">
        <v>20910334</v>
      </c>
      <c r="B551" s="12">
        <v>45671</v>
      </c>
      <c r="C551" t="s">
        <v>0</v>
      </c>
    </row>
    <row r="552" spans="1:4" x14ac:dyDescent="0.25">
      <c r="A552">
        <v>20910339</v>
      </c>
      <c r="B552" s="12">
        <v>45965</v>
      </c>
      <c r="C552" t="s">
        <v>0</v>
      </c>
      <c r="D552" t="s">
        <v>654</v>
      </c>
    </row>
    <row r="553" spans="1:4" x14ac:dyDescent="0.25">
      <c r="A553">
        <v>20910339</v>
      </c>
      <c r="B553" s="12">
        <v>45813</v>
      </c>
      <c r="C553" t="s">
        <v>1</v>
      </c>
      <c r="D553" t="s">
        <v>647</v>
      </c>
    </row>
    <row r="554" spans="1:4" x14ac:dyDescent="0.25">
      <c r="A554">
        <v>20910339</v>
      </c>
      <c r="B554" s="12">
        <v>45671</v>
      </c>
      <c r="C554" t="s">
        <v>0</v>
      </c>
    </row>
    <row r="555" spans="1:4" x14ac:dyDescent="0.25">
      <c r="A555">
        <v>20910343</v>
      </c>
      <c r="B555" s="12">
        <v>45965</v>
      </c>
      <c r="C555" t="s">
        <v>0</v>
      </c>
      <c r="D555" t="s">
        <v>654</v>
      </c>
    </row>
    <row r="556" spans="1:4" x14ac:dyDescent="0.25">
      <c r="A556">
        <v>20910343</v>
      </c>
      <c r="B556" s="12">
        <v>45813</v>
      </c>
      <c r="C556" t="s">
        <v>1</v>
      </c>
      <c r="D556" t="s">
        <v>647</v>
      </c>
    </row>
    <row r="557" spans="1:4" x14ac:dyDescent="0.25">
      <c r="A557">
        <v>20910343</v>
      </c>
      <c r="B557" s="12">
        <v>45671</v>
      </c>
      <c r="C557" t="s">
        <v>0</v>
      </c>
    </row>
    <row r="558" spans="1:4" x14ac:dyDescent="0.25">
      <c r="A558">
        <v>20910354</v>
      </c>
      <c r="B558" s="12">
        <v>45671</v>
      </c>
      <c r="C558" t="s">
        <v>0</v>
      </c>
    </row>
    <row r="559" spans="1:4" x14ac:dyDescent="0.25">
      <c r="A559">
        <v>20910356</v>
      </c>
      <c r="B559" s="12">
        <v>45671</v>
      </c>
      <c r="C559" t="s">
        <v>0</v>
      </c>
    </row>
    <row r="560" spans="1:4" x14ac:dyDescent="0.25">
      <c r="A560">
        <v>20910359</v>
      </c>
      <c r="B560" s="12">
        <v>45671</v>
      </c>
      <c r="C560" t="s">
        <v>0</v>
      </c>
    </row>
    <row r="561" spans="1:4" x14ac:dyDescent="0.25">
      <c r="A561">
        <v>20910364</v>
      </c>
      <c r="B561" s="12">
        <v>45965</v>
      </c>
      <c r="C561" t="s">
        <v>0</v>
      </c>
      <c r="D561" t="s">
        <v>657</v>
      </c>
    </row>
    <row r="562" spans="1:4" x14ac:dyDescent="0.25">
      <c r="A562">
        <v>20910364</v>
      </c>
      <c r="B562" s="12">
        <v>45671</v>
      </c>
      <c r="C562" t="s">
        <v>0</v>
      </c>
    </row>
    <row r="563" spans="1:4" x14ac:dyDescent="0.25">
      <c r="A563">
        <v>20910365</v>
      </c>
      <c r="B563" s="12">
        <v>45671</v>
      </c>
      <c r="C563" t="s">
        <v>0</v>
      </c>
    </row>
    <row r="564" spans="1:4" x14ac:dyDescent="0.25">
      <c r="A564">
        <v>20910366</v>
      </c>
      <c r="B564" s="12">
        <v>45965</v>
      </c>
      <c r="C564" t="s">
        <v>0</v>
      </c>
      <c r="D564" t="s">
        <v>657</v>
      </c>
    </row>
    <row r="565" spans="1:4" x14ac:dyDescent="0.25">
      <c r="A565">
        <v>20910366</v>
      </c>
      <c r="B565" s="12">
        <v>45671</v>
      </c>
      <c r="C565" t="s">
        <v>0</v>
      </c>
    </row>
    <row r="566" spans="1:4" x14ac:dyDescent="0.25">
      <c r="A566">
        <v>20910367</v>
      </c>
      <c r="B566" s="12">
        <v>45965</v>
      </c>
      <c r="C566" t="s">
        <v>0</v>
      </c>
      <c r="D566" t="s">
        <v>654</v>
      </c>
    </row>
    <row r="567" spans="1:4" x14ac:dyDescent="0.25">
      <c r="A567">
        <v>20910367</v>
      </c>
      <c r="B567" s="12">
        <v>45813</v>
      </c>
      <c r="C567" t="s">
        <v>1</v>
      </c>
      <c r="D567" t="s">
        <v>647</v>
      </c>
    </row>
    <row r="568" spans="1:4" x14ac:dyDescent="0.25">
      <c r="A568">
        <v>20910367</v>
      </c>
      <c r="B568" s="12">
        <v>45671</v>
      </c>
      <c r="C568" t="s">
        <v>0</v>
      </c>
    </row>
    <row r="569" spans="1:4" x14ac:dyDescent="0.25">
      <c r="A569">
        <v>20910372</v>
      </c>
      <c r="B569" s="12">
        <v>45966</v>
      </c>
      <c r="C569" t="s">
        <v>0</v>
      </c>
      <c r="D569" t="s">
        <v>655</v>
      </c>
    </row>
    <row r="570" spans="1:4" x14ac:dyDescent="0.25">
      <c r="A570">
        <v>20910372</v>
      </c>
      <c r="B570" s="12">
        <v>45671</v>
      </c>
      <c r="C570" t="s">
        <v>0</v>
      </c>
    </row>
    <row r="571" spans="1:4" x14ac:dyDescent="0.25">
      <c r="A571">
        <v>20910373</v>
      </c>
      <c r="B571" s="12">
        <v>45966</v>
      </c>
      <c r="C571" t="s">
        <v>0</v>
      </c>
      <c r="D571" t="s">
        <v>655</v>
      </c>
    </row>
    <row r="572" spans="1:4" x14ac:dyDescent="0.25">
      <c r="A572">
        <v>20910373</v>
      </c>
      <c r="B572" s="12">
        <v>45671</v>
      </c>
      <c r="C572" t="s">
        <v>0</v>
      </c>
    </row>
    <row r="573" spans="1:4" x14ac:dyDescent="0.25">
      <c r="A573">
        <v>20910375</v>
      </c>
      <c r="B573" s="12">
        <v>45671</v>
      </c>
      <c r="C573" t="s">
        <v>0</v>
      </c>
    </row>
    <row r="574" spans="1:4" x14ac:dyDescent="0.25">
      <c r="A574">
        <v>20910376</v>
      </c>
      <c r="B574" s="12">
        <v>45671</v>
      </c>
      <c r="C574" t="s">
        <v>0</v>
      </c>
    </row>
    <row r="575" spans="1:4" x14ac:dyDescent="0.25">
      <c r="A575">
        <v>20910379</v>
      </c>
      <c r="B575" s="12">
        <v>45965</v>
      </c>
      <c r="C575" t="s">
        <v>0</v>
      </c>
      <c r="D575" t="s">
        <v>657</v>
      </c>
    </row>
    <row r="576" spans="1:4" x14ac:dyDescent="0.25">
      <c r="A576">
        <v>20910379</v>
      </c>
      <c r="B576" s="12">
        <v>45818</v>
      </c>
      <c r="C576" t="s">
        <v>0</v>
      </c>
      <c r="D576" t="s">
        <v>650</v>
      </c>
    </row>
    <row r="577" spans="1:4" x14ac:dyDescent="0.25">
      <c r="A577">
        <v>20910380</v>
      </c>
      <c r="B577" s="12">
        <v>45818</v>
      </c>
      <c r="C577" t="s">
        <v>0</v>
      </c>
      <c r="D577" t="s">
        <v>650</v>
      </c>
    </row>
    <row r="578" spans="1:4" x14ac:dyDescent="0.25">
      <c r="A578">
        <v>20910386</v>
      </c>
      <c r="B578" s="12">
        <v>45671</v>
      </c>
      <c r="C578" t="s">
        <v>0</v>
      </c>
    </row>
    <row r="579" spans="1:4" x14ac:dyDescent="0.25">
      <c r="A579">
        <v>20910387</v>
      </c>
      <c r="B579" s="12">
        <v>45965</v>
      </c>
      <c r="C579" t="s">
        <v>0</v>
      </c>
      <c r="D579" t="s">
        <v>654</v>
      </c>
    </row>
    <row r="580" spans="1:4" x14ac:dyDescent="0.25">
      <c r="A580">
        <v>20910387</v>
      </c>
      <c r="B580" s="12">
        <v>45813</v>
      </c>
      <c r="C580" t="s">
        <v>1</v>
      </c>
      <c r="D580" t="s">
        <v>647</v>
      </c>
    </row>
    <row r="581" spans="1:4" x14ac:dyDescent="0.25">
      <c r="A581">
        <v>20910387</v>
      </c>
      <c r="B581" s="12">
        <v>45671</v>
      </c>
      <c r="C581" t="s">
        <v>0</v>
      </c>
    </row>
    <row r="582" spans="1:4" x14ac:dyDescent="0.25">
      <c r="A582">
        <v>20910389</v>
      </c>
      <c r="B582" s="12">
        <v>45965</v>
      </c>
      <c r="C582" t="s">
        <v>0</v>
      </c>
      <c r="D582" t="s">
        <v>654</v>
      </c>
    </row>
    <row r="583" spans="1:4" x14ac:dyDescent="0.25">
      <c r="A583">
        <v>20910389</v>
      </c>
      <c r="B583" s="12">
        <v>45813</v>
      </c>
      <c r="C583" t="s">
        <v>1</v>
      </c>
      <c r="D583" t="s">
        <v>647</v>
      </c>
    </row>
    <row r="584" spans="1:4" x14ac:dyDescent="0.25">
      <c r="A584">
        <v>20910389</v>
      </c>
      <c r="B584" s="12">
        <v>45671</v>
      </c>
      <c r="C584" t="s">
        <v>0</v>
      </c>
    </row>
    <row r="585" spans="1:4" x14ac:dyDescent="0.25">
      <c r="A585">
        <v>20910390</v>
      </c>
      <c r="B585" s="12">
        <v>45671</v>
      </c>
      <c r="C585" t="s">
        <v>0</v>
      </c>
    </row>
    <row r="586" spans="1:4" x14ac:dyDescent="0.25">
      <c r="A586">
        <v>20910392</v>
      </c>
      <c r="B586" s="12">
        <v>45965</v>
      </c>
      <c r="C586" t="s">
        <v>0</v>
      </c>
      <c r="D586" t="s">
        <v>654</v>
      </c>
    </row>
    <row r="587" spans="1:4" x14ac:dyDescent="0.25">
      <c r="A587">
        <v>20910392</v>
      </c>
      <c r="B587" s="12">
        <v>45813</v>
      </c>
      <c r="C587" t="s">
        <v>1</v>
      </c>
      <c r="D587" t="s">
        <v>647</v>
      </c>
    </row>
    <row r="588" spans="1:4" x14ac:dyDescent="0.25">
      <c r="A588">
        <v>20910392</v>
      </c>
      <c r="B588" s="12">
        <v>45671</v>
      </c>
      <c r="C588" t="s">
        <v>0</v>
      </c>
    </row>
    <row r="589" spans="1:4" x14ac:dyDescent="0.25">
      <c r="A589">
        <v>20910400</v>
      </c>
      <c r="B589" s="12">
        <v>45671</v>
      </c>
      <c r="C589" t="s">
        <v>0</v>
      </c>
    </row>
    <row r="590" spans="1:4" x14ac:dyDescent="0.25">
      <c r="A590">
        <v>20910404</v>
      </c>
      <c r="B590" s="12">
        <v>45671</v>
      </c>
      <c r="C590" t="s">
        <v>0</v>
      </c>
    </row>
    <row r="591" spans="1:4" x14ac:dyDescent="0.25">
      <c r="A591">
        <v>20910411</v>
      </c>
      <c r="B591" s="12">
        <v>45671</v>
      </c>
      <c r="C591" t="s">
        <v>0</v>
      </c>
    </row>
    <row r="592" spans="1:4" x14ac:dyDescent="0.25">
      <c r="A592">
        <v>20910412</v>
      </c>
      <c r="B592" s="12">
        <v>45671</v>
      </c>
      <c r="C592" t="s">
        <v>0</v>
      </c>
    </row>
    <row r="593" spans="1:4" x14ac:dyDescent="0.25">
      <c r="A593">
        <v>20910420</v>
      </c>
      <c r="B593" s="12">
        <v>45966</v>
      </c>
      <c r="C593" t="s">
        <v>0</v>
      </c>
      <c r="D593" t="s">
        <v>655</v>
      </c>
    </row>
    <row r="594" spans="1:4" x14ac:dyDescent="0.25">
      <c r="A594">
        <v>20910420</v>
      </c>
      <c r="B594" s="12">
        <v>45671</v>
      </c>
      <c r="C594" t="s">
        <v>0</v>
      </c>
    </row>
    <row r="595" spans="1:4" x14ac:dyDescent="0.25">
      <c r="A595">
        <v>20910428</v>
      </c>
      <c r="B595" s="12">
        <v>45671</v>
      </c>
      <c r="C595" t="s">
        <v>0</v>
      </c>
    </row>
    <row r="596" spans="1:4" x14ac:dyDescent="0.25">
      <c r="A596">
        <v>20910429</v>
      </c>
      <c r="B596" s="12">
        <v>45671</v>
      </c>
      <c r="C596" t="s">
        <v>0</v>
      </c>
    </row>
    <row r="597" spans="1:4" x14ac:dyDescent="0.25">
      <c r="A597">
        <v>20910432</v>
      </c>
      <c r="B597" s="12">
        <v>45671</v>
      </c>
      <c r="C597" t="s">
        <v>0</v>
      </c>
    </row>
    <row r="598" spans="1:4" x14ac:dyDescent="0.25">
      <c r="A598">
        <v>20910435</v>
      </c>
      <c r="B598" s="12">
        <v>45671</v>
      </c>
      <c r="C598" t="s">
        <v>0</v>
      </c>
    </row>
    <row r="599" spans="1:4" x14ac:dyDescent="0.25">
      <c r="A599">
        <v>20910436</v>
      </c>
      <c r="B599" s="12">
        <v>45671</v>
      </c>
      <c r="C599" t="s">
        <v>0</v>
      </c>
    </row>
    <row r="600" spans="1:4" x14ac:dyDescent="0.25">
      <c r="A600">
        <v>20910441</v>
      </c>
      <c r="B600" s="12">
        <v>45671</v>
      </c>
      <c r="C600" t="s">
        <v>0</v>
      </c>
    </row>
    <row r="601" spans="1:4" x14ac:dyDescent="0.25">
      <c r="A601">
        <v>20910444</v>
      </c>
      <c r="B601" s="12">
        <v>45965</v>
      </c>
      <c r="C601" t="s">
        <v>0</v>
      </c>
      <c r="D601" t="s">
        <v>653</v>
      </c>
    </row>
    <row r="602" spans="1:4" x14ac:dyDescent="0.25">
      <c r="A602">
        <v>20910444</v>
      </c>
      <c r="B602" s="12">
        <v>45813</v>
      </c>
      <c r="C602" t="s">
        <v>1</v>
      </c>
      <c r="D602" t="s">
        <v>647</v>
      </c>
    </row>
    <row r="603" spans="1:4" x14ac:dyDescent="0.25">
      <c r="A603">
        <v>20910444</v>
      </c>
      <c r="B603" s="12">
        <v>45671</v>
      </c>
      <c r="C603" t="s">
        <v>0</v>
      </c>
    </row>
    <row r="604" spans="1:4" x14ac:dyDescent="0.25">
      <c r="A604">
        <v>20910447</v>
      </c>
      <c r="B604" s="12">
        <v>45671</v>
      </c>
      <c r="C604" t="s">
        <v>0</v>
      </c>
    </row>
    <row r="605" spans="1:4" x14ac:dyDescent="0.25">
      <c r="A605">
        <v>20910449</v>
      </c>
      <c r="B605" s="12">
        <v>45965</v>
      </c>
      <c r="C605" t="s">
        <v>0</v>
      </c>
      <c r="D605" t="s">
        <v>657</v>
      </c>
    </row>
    <row r="606" spans="1:4" x14ac:dyDescent="0.25">
      <c r="A606">
        <v>20910449</v>
      </c>
      <c r="B606" s="12">
        <v>45671</v>
      </c>
      <c r="C606" t="s">
        <v>0</v>
      </c>
    </row>
    <row r="607" spans="1:4" x14ac:dyDescent="0.25">
      <c r="A607">
        <v>20910467</v>
      </c>
      <c r="B607" s="12">
        <v>45965</v>
      </c>
      <c r="C607" t="s">
        <v>0</v>
      </c>
      <c r="D607" t="s">
        <v>657</v>
      </c>
    </row>
    <row r="608" spans="1:4" x14ac:dyDescent="0.25">
      <c r="A608">
        <v>20910467</v>
      </c>
      <c r="B608" s="12">
        <v>45671</v>
      </c>
      <c r="C608" t="s">
        <v>0</v>
      </c>
    </row>
    <row r="609" spans="1:4" x14ac:dyDescent="0.25">
      <c r="A609">
        <v>20910468</v>
      </c>
      <c r="B609" s="12">
        <v>45965</v>
      </c>
      <c r="C609" t="s">
        <v>0</v>
      </c>
      <c r="D609" t="s">
        <v>657</v>
      </c>
    </row>
    <row r="610" spans="1:4" x14ac:dyDescent="0.25">
      <c r="A610">
        <v>20910469</v>
      </c>
      <c r="B610" s="12">
        <v>45965</v>
      </c>
      <c r="C610" t="s">
        <v>0</v>
      </c>
      <c r="D610" t="s">
        <v>657</v>
      </c>
    </row>
    <row r="611" spans="1:4" x14ac:dyDescent="0.25">
      <c r="A611">
        <v>20910469</v>
      </c>
      <c r="B611" s="12">
        <v>45671</v>
      </c>
      <c r="C611" t="s">
        <v>0</v>
      </c>
    </row>
    <row r="612" spans="1:4" x14ac:dyDescent="0.25">
      <c r="A612">
        <v>20910470</v>
      </c>
      <c r="B612" s="12">
        <v>45965</v>
      </c>
      <c r="C612" t="s">
        <v>0</v>
      </c>
      <c r="D612" t="s">
        <v>657</v>
      </c>
    </row>
    <row r="613" spans="1:4" x14ac:dyDescent="0.25">
      <c r="A613">
        <v>20910470</v>
      </c>
      <c r="B613" s="12">
        <v>45671</v>
      </c>
      <c r="C613" t="s">
        <v>0</v>
      </c>
    </row>
    <row r="614" spans="1:4" x14ac:dyDescent="0.25">
      <c r="A614">
        <v>20910474</v>
      </c>
      <c r="B614" s="12">
        <v>45965</v>
      </c>
      <c r="C614" t="s">
        <v>0</v>
      </c>
      <c r="D614" t="s">
        <v>654</v>
      </c>
    </row>
    <row r="615" spans="1:4" x14ac:dyDescent="0.25">
      <c r="A615">
        <v>20910474</v>
      </c>
      <c r="B615" s="12">
        <v>45813</v>
      </c>
      <c r="C615" t="s">
        <v>1</v>
      </c>
      <c r="D615" t="s">
        <v>647</v>
      </c>
    </row>
    <row r="616" spans="1:4" x14ac:dyDescent="0.25">
      <c r="A616">
        <v>20910474</v>
      </c>
      <c r="B616" s="12">
        <v>45671</v>
      </c>
      <c r="C616" t="s">
        <v>0</v>
      </c>
    </row>
    <row r="617" spans="1:4" x14ac:dyDescent="0.25">
      <c r="A617">
        <v>20910475</v>
      </c>
      <c r="B617" s="12">
        <v>45965</v>
      </c>
      <c r="C617" t="s">
        <v>0</v>
      </c>
      <c r="D617" t="s">
        <v>657</v>
      </c>
    </row>
    <row r="618" spans="1:4" x14ac:dyDescent="0.25">
      <c r="A618">
        <v>20910475</v>
      </c>
      <c r="B618" s="12">
        <v>45671</v>
      </c>
      <c r="C618" t="s">
        <v>0</v>
      </c>
    </row>
    <row r="619" spans="1:4" x14ac:dyDescent="0.25">
      <c r="A619">
        <v>20910476</v>
      </c>
      <c r="B619" s="12">
        <v>45966</v>
      </c>
      <c r="C619" t="s">
        <v>0</v>
      </c>
      <c r="D619" t="s">
        <v>655</v>
      </c>
    </row>
    <row r="620" spans="1:4" x14ac:dyDescent="0.25">
      <c r="A620">
        <v>20910476</v>
      </c>
      <c r="B620" s="12">
        <v>45671</v>
      </c>
      <c r="C620" t="s">
        <v>0</v>
      </c>
    </row>
    <row r="621" spans="1:4" x14ac:dyDescent="0.25">
      <c r="A621">
        <v>20910478</v>
      </c>
      <c r="B621" s="12">
        <v>45965</v>
      </c>
      <c r="C621" t="s">
        <v>0</v>
      </c>
      <c r="D621" t="s">
        <v>654</v>
      </c>
    </row>
    <row r="622" spans="1:4" x14ac:dyDescent="0.25">
      <c r="A622">
        <v>20910478</v>
      </c>
      <c r="B622" s="12">
        <v>45813</v>
      </c>
      <c r="C622" t="s">
        <v>1</v>
      </c>
      <c r="D622" t="s">
        <v>647</v>
      </c>
    </row>
    <row r="623" spans="1:4" x14ac:dyDescent="0.25">
      <c r="A623">
        <v>20910478</v>
      </c>
      <c r="B623" s="12">
        <v>45671</v>
      </c>
      <c r="C623" t="s">
        <v>0</v>
      </c>
    </row>
    <row r="624" spans="1:4" x14ac:dyDescent="0.25">
      <c r="A624">
        <v>20910480</v>
      </c>
      <c r="B624" s="12">
        <v>45671</v>
      </c>
      <c r="C624" t="s">
        <v>0</v>
      </c>
    </row>
    <row r="625" spans="1:4" x14ac:dyDescent="0.25">
      <c r="A625">
        <v>20910482</v>
      </c>
      <c r="B625" s="12">
        <v>45671</v>
      </c>
      <c r="C625" t="s">
        <v>0</v>
      </c>
    </row>
    <row r="626" spans="1:4" x14ac:dyDescent="0.25">
      <c r="A626">
        <v>20910484</v>
      </c>
      <c r="B626" s="12">
        <v>45671</v>
      </c>
      <c r="C626" t="s">
        <v>0</v>
      </c>
    </row>
    <row r="627" spans="1:4" x14ac:dyDescent="0.25">
      <c r="A627">
        <v>20910486</v>
      </c>
      <c r="B627" s="12">
        <v>45965</v>
      </c>
      <c r="C627" t="s">
        <v>0</v>
      </c>
      <c r="D627" t="s">
        <v>654</v>
      </c>
    </row>
    <row r="628" spans="1:4" x14ac:dyDescent="0.25">
      <c r="A628">
        <v>20910486</v>
      </c>
      <c r="B628" s="12">
        <v>45813</v>
      </c>
      <c r="C628" t="s">
        <v>1</v>
      </c>
      <c r="D628" t="s">
        <v>647</v>
      </c>
    </row>
    <row r="629" spans="1:4" x14ac:dyDescent="0.25">
      <c r="A629">
        <v>20910486</v>
      </c>
      <c r="B629" s="12">
        <v>45671</v>
      </c>
      <c r="C629" t="s">
        <v>0</v>
      </c>
    </row>
    <row r="630" spans="1:4" x14ac:dyDescent="0.25">
      <c r="A630">
        <v>20910490</v>
      </c>
      <c r="B630" s="12">
        <v>45671</v>
      </c>
      <c r="C630" t="s">
        <v>0</v>
      </c>
    </row>
    <row r="631" spans="1:4" x14ac:dyDescent="0.25">
      <c r="A631">
        <v>20910493</v>
      </c>
      <c r="B631" s="12">
        <v>45671</v>
      </c>
      <c r="C631" t="s">
        <v>0</v>
      </c>
    </row>
    <row r="632" spans="1:4" x14ac:dyDescent="0.25">
      <c r="A632">
        <v>20910496</v>
      </c>
      <c r="B632" s="12">
        <v>45965</v>
      </c>
      <c r="C632" t="s">
        <v>0</v>
      </c>
      <c r="D632" t="s">
        <v>657</v>
      </c>
    </row>
    <row r="633" spans="1:4" x14ac:dyDescent="0.25">
      <c r="A633">
        <v>20910496</v>
      </c>
      <c r="B633" s="12">
        <v>45671</v>
      </c>
      <c r="C633" t="s">
        <v>0</v>
      </c>
    </row>
    <row r="634" spans="1:4" x14ac:dyDescent="0.25">
      <c r="A634">
        <v>20910498</v>
      </c>
      <c r="B634" s="12">
        <v>45966</v>
      </c>
      <c r="C634" t="s">
        <v>0</v>
      </c>
      <c r="D634" t="s">
        <v>655</v>
      </c>
    </row>
    <row r="635" spans="1:4" x14ac:dyDescent="0.25">
      <c r="A635">
        <v>20910498</v>
      </c>
      <c r="B635" s="12">
        <v>45671</v>
      </c>
      <c r="C635" t="s">
        <v>0</v>
      </c>
    </row>
    <row r="636" spans="1:4" x14ac:dyDescent="0.25">
      <c r="A636">
        <v>20910500</v>
      </c>
      <c r="B636" s="12">
        <v>45671</v>
      </c>
      <c r="C636" t="s">
        <v>0</v>
      </c>
    </row>
    <row r="637" spans="1:4" x14ac:dyDescent="0.25">
      <c r="A637">
        <v>20910506</v>
      </c>
      <c r="B637" s="12">
        <v>45671</v>
      </c>
      <c r="C637" t="s">
        <v>0</v>
      </c>
    </row>
    <row r="638" spans="1:4" x14ac:dyDescent="0.25">
      <c r="A638">
        <v>20910516</v>
      </c>
      <c r="B638" s="12">
        <v>45671</v>
      </c>
      <c r="C638" t="s">
        <v>0</v>
      </c>
    </row>
    <row r="639" spans="1:4" x14ac:dyDescent="0.25">
      <c r="A639">
        <v>20910517</v>
      </c>
      <c r="B639" s="12">
        <v>45671</v>
      </c>
      <c r="C639" t="s">
        <v>0</v>
      </c>
    </row>
    <row r="640" spans="1:4" x14ac:dyDescent="0.25">
      <c r="A640">
        <v>20910519</v>
      </c>
      <c r="B640" s="12">
        <v>45671</v>
      </c>
      <c r="C640" t="s">
        <v>0</v>
      </c>
    </row>
    <row r="641" spans="1:4" x14ac:dyDescent="0.25">
      <c r="A641">
        <v>20910537</v>
      </c>
      <c r="B641" s="12">
        <v>45671</v>
      </c>
      <c r="C641" t="s">
        <v>0</v>
      </c>
    </row>
    <row r="642" spans="1:4" x14ac:dyDescent="0.25">
      <c r="A642">
        <v>20910542</v>
      </c>
      <c r="B642" s="12">
        <v>45671</v>
      </c>
      <c r="C642" t="s">
        <v>0</v>
      </c>
    </row>
    <row r="643" spans="1:4" x14ac:dyDescent="0.25">
      <c r="A643">
        <v>20910544</v>
      </c>
      <c r="B643" s="12">
        <v>45671</v>
      </c>
      <c r="C643" t="s">
        <v>0</v>
      </c>
    </row>
    <row r="644" spans="1:4" x14ac:dyDescent="0.25">
      <c r="A644">
        <v>20910545</v>
      </c>
      <c r="B644" s="12">
        <v>45671</v>
      </c>
      <c r="C644" t="s">
        <v>0</v>
      </c>
    </row>
    <row r="645" spans="1:4" x14ac:dyDescent="0.25">
      <c r="A645">
        <v>20910559</v>
      </c>
      <c r="B645" s="12">
        <v>45671</v>
      </c>
      <c r="C645" t="s">
        <v>0</v>
      </c>
    </row>
    <row r="646" spans="1:4" x14ac:dyDescent="0.25">
      <c r="A646">
        <v>20910571</v>
      </c>
      <c r="B646" s="12">
        <v>45671</v>
      </c>
      <c r="C646" t="s">
        <v>0</v>
      </c>
    </row>
    <row r="647" spans="1:4" x14ac:dyDescent="0.25">
      <c r="A647">
        <v>20910572</v>
      </c>
      <c r="B647" s="12">
        <v>45671</v>
      </c>
      <c r="C647" t="s">
        <v>0</v>
      </c>
    </row>
    <row r="648" spans="1:4" x14ac:dyDescent="0.25">
      <c r="A648">
        <v>20910573</v>
      </c>
      <c r="B648" s="12">
        <v>45966</v>
      </c>
      <c r="C648" t="s">
        <v>0</v>
      </c>
      <c r="D648" t="s">
        <v>655</v>
      </c>
    </row>
    <row r="649" spans="1:4" x14ac:dyDescent="0.25">
      <c r="A649">
        <v>20910573</v>
      </c>
      <c r="B649" s="12">
        <v>45671</v>
      </c>
      <c r="C649" t="s">
        <v>0</v>
      </c>
    </row>
    <row r="650" spans="1:4" x14ac:dyDescent="0.25">
      <c r="A650">
        <v>20910576</v>
      </c>
      <c r="B650" s="12">
        <v>45671</v>
      </c>
      <c r="C650" t="s">
        <v>0</v>
      </c>
    </row>
    <row r="651" spans="1:4" x14ac:dyDescent="0.25">
      <c r="A651">
        <v>20910577</v>
      </c>
      <c r="B651" s="12">
        <v>45965</v>
      </c>
      <c r="C651" t="s">
        <v>0</v>
      </c>
      <c r="D651" t="s">
        <v>657</v>
      </c>
    </row>
    <row r="652" spans="1:4" x14ac:dyDescent="0.25">
      <c r="A652">
        <v>20910577</v>
      </c>
      <c r="B652" s="12">
        <v>45671</v>
      </c>
      <c r="C652" t="s">
        <v>0</v>
      </c>
    </row>
    <row r="653" spans="1:4" x14ac:dyDescent="0.25">
      <c r="A653">
        <v>20910579</v>
      </c>
      <c r="B653" s="12">
        <v>45671</v>
      </c>
      <c r="C653" t="s">
        <v>0</v>
      </c>
    </row>
    <row r="654" spans="1:4" x14ac:dyDescent="0.25">
      <c r="A654">
        <v>20910582</v>
      </c>
      <c r="B654" s="12">
        <v>45671</v>
      </c>
      <c r="C654" t="s">
        <v>0</v>
      </c>
    </row>
    <row r="655" spans="1:4" x14ac:dyDescent="0.25">
      <c r="A655">
        <v>20910584</v>
      </c>
      <c r="B655" s="12">
        <v>45965</v>
      </c>
      <c r="C655" t="s">
        <v>0</v>
      </c>
      <c r="D655" t="s">
        <v>654</v>
      </c>
    </row>
    <row r="656" spans="1:4" x14ac:dyDescent="0.25">
      <c r="A656">
        <v>20910584</v>
      </c>
      <c r="B656" s="12">
        <v>45813</v>
      </c>
      <c r="C656" t="s">
        <v>1</v>
      </c>
      <c r="D656" t="s">
        <v>647</v>
      </c>
    </row>
    <row r="657" spans="1:4" x14ac:dyDescent="0.25">
      <c r="A657">
        <v>20910584</v>
      </c>
      <c r="B657" s="12">
        <v>45671</v>
      </c>
      <c r="C657" t="s">
        <v>0</v>
      </c>
    </row>
    <row r="658" spans="1:4" x14ac:dyDescent="0.25">
      <c r="A658">
        <v>20910590</v>
      </c>
      <c r="B658" s="12">
        <v>45965</v>
      </c>
      <c r="C658" t="s">
        <v>0</v>
      </c>
      <c r="D658" t="s">
        <v>654</v>
      </c>
    </row>
    <row r="659" spans="1:4" x14ac:dyDescent="0.25">
      <c r="A659">
        <v>20910590</v>
      </c>
      <c r="B659" s="12">
        <v>45813</v>
      </c>
      <c r="C659" t="s">
        <v>1</v>
      </c>
      <c r="D659" t="s">
        <v>647</v>
      </c>
    </row>
    <row r="660" spans="1:4" x14ac:dyDescent="0.25">
      <c r="A660">
        <v>20910590</v>
      </c>
      <c r="B660" s="12">
        <v>45671</v>
      </c>
      <c r="C660" t="s">
        <v>0</v>
      </c>
    </row>
    <row r="661" spans="1:4" x14ac:dyDescent="0.25">
      <c r="A661">
        <v>20910601</v>
      </c>
      <c r="B661" s="12">
        <v>45671</v>
      </c>
      <c r="C661" t="s">
        <v>0</v>
      </c>
    </row>
    <row r="662" spans="1:4" x14ac:dyDescent="0.25">
      <c r="A662">
        <v>20910604</v>
      </c>
      <c r="B662" s="12">
        <v>45671</v>
      </c>
      <c r="C662" t="s">
        <v>0</v>
      </c>
    </row>
    <row r="663" spans="1:4" x14ac:dyDescent="0.25">
      <c r="A663">
        <v>20910605</v>
      </c>
      <c r="B663" s="12">
        <v>45671</v>
      </c>
      <c r="C663" t="s">
        <v>0</v>
      </c>
    </row>
    <row r="664" spans="1:4" x14ac:dyDescent="0.25">
      <c r="A664">
        <v>20910606</v>
      </c>
      <c r="B664" s="12">
        <v>45671</v>
      </c>
      <c r="C664" t="s">
        <v>0</v>
      </c>
    </row>
    <row r="665" spans="1:4" x14ac:dyDescent="0.25">
      <c r="A665">
        <v>20910608</v>
      </c>
      <c r="B665" s="12">
        <v>45965</v>
      </c>
      <c r="C665" t="s">
        <v>0</v>
      </c>
      <c r="D665" t="s">
        <v>653</v>
      </c>
    </row>
    <row r="666" spans="1:4" x14ac:dyDescent="0.25">
      <c r="A666">
        <v>20910608</v>
      </c>
      <c r="B666" s="12">
        <v>45671</v>
      </c>
      <c r="C666" t="s">
        <v>0</v>
      </c>
    </row>
    <row r="667" spans="1:4" x14ac:dyDescent="0.25">
      <c r="A667">
        <v>20910609</v>
      </c>
      <c r="B667" s="12">
        <v>45671</v>
      </c>
      <c r="C667" t="s">
        <v>0</v>
      </c>
    </row>
    <row r="668" spans="1:4" x14ac:dyDescent="0.25">
      <c r="A668">
        <v>20910610</v>
      </c>
      <c r="B668" s="12">
        <v>45965</v>
      </c>
      <c r="C668" t="s">
        <v>0</v>
      </c>
      <c r="D668" t="s">
        <v>657</v>
      </c>
    </row>
    <row r="669" spans="1:4" x14ac:dyDescent="0.25">
      <c r="A669">
        <v>20910610</v>
      </c>
      <c r="B669" s="12">
        <v>45671</v>
      </c>
      <c r="C669" t="s">
        <v>0</v>
      </c>
    </row>
    <row r="670" spans="1:4" x14ac:dyDescent="0.25">
      <c r="A670">
        <v>20910615</v>
      </c>
      <c r="B670" s="12">
        <v>45671</v>
      </c>
      <c r="C670" t="s">
        <v>0</v>
      </c>
    </row>
    <row r="671" spans="1:4" x14ac:dyDescent="0.25">
      <c r="A671">
        <v>20910620</v>
      </c>
      <c r="B671" s="12">
        <v>45671</v>
      </c>
      <c r="C671" t="s">
        <v>0</v>
      </c>
    </row>
    <row r="672" spans="1:4" x14ac:dyDescent="0.25">
      <c r="A672">
        <v>20910636</v>
      </c>
      <c r="B672" s="12">
        <v>45671</v>
      </c>
      <c r="C672" t="s">
        <v>0</v>
      </c>
    </row>
    <row r="673" spans="1:4" x14ac:dyDescent="0.25">
      <c r="A673">
        <v>20910637</v>
      </c>
      <c r="B673" s="12">
        <v>45965</v>
      </c>
      <c r="C673" t="s">
        <v>0</v>
      </c>
      <c r="D673" t="s">
        <v>653</v>
      </c>
    </row>
    <row r="674" spans="1:4" x14ac:dyDescent="0.25">
      <c r="A674">
        <v>20910637</v>
      </c>
      <c r="B674" s="12">
        <v>45671</v>
      </c>
      <c r="C674" t="s">
        <v>0</v>
      </c>
    </row>
    <row r="675" spans="1:4" x14ac:dyDescent="0.25">
      <c r="A675">
        <v>20910638</v>
      </c>
      <c r="B675" s="12">
        <v>45965</v>
      </c>
      <c r="C675" t="s">
        <v>0</v>
      </c>
      <c r="D675" t="s">
        <v>657</v>
      </c>
    </row>
    <row r="676" spans="1:4" x14ac:dyDescent="0.25">
      <c r="A676">
        <v>20910638</v>
      </c>
      <c r="B676" s="12">
        <v>45671</v>
      </c>
      <c r="C676" t="s">
        <v>0</v>
      </c>
    </row>
    <row r="677" spans="1:4" x14ac:dyDescent="0.25">
      <c r="A677">
        <v>20910640</v>
      </c>
      <c r="B677" s="12">
        <v>45671</v>
      </c>
      <c r="C677" t="s">
        <v>0</v>
      </c>
    </row>
    <row r="678" spans="1:4" x14ac:dyDescent="0.25">
      <c r="A678">
        <v>20910641</v>
      </c>
      <c r="B678" s="12">
        <v>45671</v>
      </c>
      <c r="C678" t="s">
        <v>0</v>
      </c>
    </row>
    <row r="679" spans="1:4" x14ac:dyDescent="0.25">
      <c r="A679">
        <v>20910642</v>
      </c>
      <c r="B679" s="12">
        <v>45671</v>
      </c>
      <c r="C679" t="s">
        <v>0</v>
      </c>
    </row>
    <row r="680" spans="1:4" x14ac:dyDescent="0.25">
      <c r="A680">
        <v>20910643</v>
      </c>
      <c r="B680" s="12">
        <v>45965</v>
      </c>
      <c r="C680" t="s">
        <v>0</v>
      </c>
      <c r="D680" t="s">
        <v>653</v>
      </c>
    </row>
    <row r="681" spans="1:4" x14ac:dyDescent="0.25">
      <c r="A681">
        <v>20910643</v>
      </c>
      <c r="B681" s="12">
        <v>45813</v>
      </c>
      <c r="C681" t="s">
        <v>1</v>
      </c>
      <c r="D681" t="s">
        <v>647</v>
      </c>
    </row>
    <row r="682" spans="1:4" x14ac:dyDescent="0.25">
      <c r="A682">
        <v>20910643</v>
      </c>
      <c r="B682" s="12">
        <v>45671</v>
      </c>
      <c r="C682" t="s">
        <v>0</v>
      </c>
    </row>
    <row r="683" spans="1:4" x14ac:dyDescent="0.25">
      <c r="A683">
        <v>20910654</v>
      </c>
      <c r="B683" s="12">
        <v>45818</v>
      </c>
      <c r="C683" t="s">
        <v>0</v>
      </c>
      <c r="D683" t="s">
        <v>650</v>
      </c>
    </row>
    <row r="684" spans="1:4" x14ac:dyDescent="0.25">
      <c r="A684">
        <v>20910665</v>
      </c>
      <c r="B684" s="12">
        <v>45969</v>
      </c>
      <c r="C684" t="s">
        <v>3</v>
      </c>
      <c r="D684" t="s">
        <v>656</v>
      </c>
    </row>
    <row r="685" spans="1:4" x14ac:dyDescent="0.25">
      <c r="A685">
        <v>20910665</v>
      </c>
      <c r="B685" s="12">
        <v>45680</v>
      </c>
      <c r="C685" t="s">
        <v>2</v>
      </c>
      <c r="D685" t="s">
        <v>644</v>
      </c>
    </row>
    <row r="686" spans="1:4" x14ac:dyDescent="0.25">
      <c r="A686">
        <v>20910692</v>
      </c>
      <c r="B686" s="12">
        <v>45969</v>
      </c>
      <c r="C686" t="s">
        <v>3</v>
      </c>
      <c r="D686" t="s">
        <v>656</v>
      </c>
    </row>
    <row r="687" spans="1:4" x14ac:dyDescent="0.25">
      <c r="A687">
        <v>20910692</v>
      </c>
      <c r="B687" s="12">
        <v>45680</v>
      </c>
      <c r="C687" t="s">
        <v>2</v>
      </c>
      <c r="D687" t="s">
        <v>644</v>
      </c>
    </row>
    <row r="688" spans="1:4" x14ac:dyDescent="0.25">
      <c r="A688">
        <v>20910726</v>
      </c>
      <c r="B688" s="12">
        <v>45969</v>
      </c>
      <c r="C688" t="s">
        <v>3</v>
      </c>
      <c r="D688" t="s">
        <v>656</v>
      </c>
    </row>
    <row r="689" spans="1:4" x14ac:dyDescent="0.25">
      <c r="A689">
        <v>20910726</v>
      </c>
      <c r="B689" s="12">
        <v>45680</v>
      </c>
      <c r="C689" t="s">
        <v>2</v>
      </c>
      <c r="D689" t="s">
        <v>644</v>
      </c>
    </row>
    <row r="690" spans="1:4" x14ac:dyDescent="0.25">
      <c r="A690">
        <v>20910733</v>
      </c>
      <c r="B690" s="12">
        <v>45969</v>
      </c>
      <c r="C690" t="s">
        <v>3</v>
      </c>
      <c r="D690" t="s">
        <v>656</v>
      </c>
    </row>
    <row r="691" spans="1:4" x14ac:dyDescent="0.25">
      <c r="A691">
        <v>20910733</v>
      </c>
      <c r="B691" s="12">
        <v>45680</v>
      </c>
      <c r="C691" t="s">
        <v>2</v>
      </c>
      <c r="D691" t="s">
        <v>644</v>
      </c>
    </row>
    <row r="692" spans="1:4" x14ac:dyDescent="0.25">
      <c r="A692">
        <v>20910739</v>
      </c>
      <c r="B692" s="12">
        <v>45966</v>
      </c>
      <c r="C692" t="s">
        <v>0</v>
      </c>
      <c r="D692" t="s">
        <v>655</v>
      </c>
    </row>
    <row r="693" spans="1:4" x14ac:dyDescent="0.25">
      <c r="A693">
        <v>20910739</v>
      </c>
      <c r="B693" s="12">
        <v>45671</v>
      </c>
      <c r="C693" t="s">
        <v>0</v>
      </c>
    </row>
    <row r="694" spans="1:4" x14ac:dyDescent="0.25">
      <c r="A694">
        <v>20910740</v>
      </c>
      <c r="B694" s="12">
        <v>45671</v>
      </c>
      <c r="C694" t="s">
        <v>0</v>
      </c>
    </row>
    <row r="695" spans="1:4" x14ac:dyDescent="0.25">
      <c r="A695">
        <v>20910763</v>
      </c>
      <c r="B695" s="12">
        <v>45671</v>
      </c>
      <c r="C695" t="s">
        <v>0</v>
      </c>
    </row>
    <row r="696" spans="1:4" x14ac:dyDescent="0.25">
      <c r="A696">
        <v>20910764</v>
      </c>
      <c r="B696" s="12">
        <v>45965</v>
      </c>
      <c r="C696" t="s">
        <v>0</v>
      </c>
      <c r="D696" t="s">
        <v>657</v>
      </c>
    </row>
    <row r="697" spans="1:4" x14ac:dyDescent="0.25">
      <c r="A697">
        <v>20910764</v>
      </c>
      <c r="B697" s="12">
        <v>45671</v>
      </c>
      <c r="C697" t="s">
        <v>0</v>
      </c>
    </row>
    <row r="698" spans="1:4" x14ac:dyDescent="0.25">
      <c r="A698">
        <v>20910767</v>
      </c>
      <c r="B698" s="12">
        <v>45818</v>
      </c>
      <c r="C698" t="s">
        <v>0</v>
      </c>
      <c r="D698" t="s">
        <v>650</v>
      </c>
    </row>
    <row r="699" spans="1:4" x14ac:dyDescent="0.25">
      <c r="A699">
        <v>20910768</v>
      </c>
      <c r="B699" s="12">
        <v>45818</v>
      </c>
      <c r="C699" t="s">
        <v>0</v>
      </c>
      <c r="D699" t="s">
        <v>650</v>
      </c>
    </row>
    <row r="700" spans="1:4" x14ac:dyDescent="0.25">
      <c r="A700">
        <v>20910770</v>
      </c>
      <c r="B700" s="12">
        <v>45966</v>
      </c>
      <c r="C700" t="s">
        <v>0</v>
      </c>
      <c r="D700" t="s">
        <v>655</v>
      </c>
    </row>
    <row r="701" spans="1:4" x14ac:dyDescent="0.25">
      <c r="A701">
        <v>20910770</v>
      </c>
      <c r="B701" s="12">
        <v>45671</v>
      </c>
      <c r="C701" t="s">
        <v>0</v>
      </c>
    </row>
    <row r="702" spans="1:4" x14ac:dyDescent="0.25">
      <c r="A702">
        <v>20910771</v>
      </c>
      <c r="B702" s="12">
        <v>45966</v>
      </c>
      <c r="C702" t="s">
        <v>0</v>
      </c>
      <c r="D702" t="s">
        <v>655</v>
      </c>
    </row>
    <row r="703" spans="1:4" x14ac:dyDescent="0.25">
      <c r="A703">
        <v>20910771</v>
      </c>
      <c r="B703" s="12">
        <v>45671</v>
      </c>
      <c r="C703" t="s">
        <v>0</v>
      </c>
    </row>
    <row r="704" spans="1:4" x14ac:dyDescent="0.25">
      <c r="A704">
        <v>22305793</v>
      </c>
      <c r="B704" s="12">
        <v>45818</v>
      </c>
      <c r="C704" t="s">
        <v>0</v>
      </c>
      <c r="D704" t="s">
        <v>650</v>
      </c>
    </row>
    <row r="705" spans="1:4" x14ac:dyDescent="0.25">
      <c r="A705">
        <v>22350004</v>
      </c>
      <c r="B705" s="12">
        <v>45848</v>
      </c>
      <c r="C705" t="s">
        <v>2</v>
      </c>
      <c r="D705" t="s">
        <v>651</v>
      </c>
    </row>
    <row r="706" spans="1:4" x14ac:dyDescent="0.25">
      <c r="A706">
        <v>22350005</v>
      </c>
      <c r="B706" s="12">
        <v>45848</v>
      </c>
      <c r="C706" t="s">
        <v>2</v>
      </c>
      <c r="D706" t="s">
        <v>651</v>
      </c>
    </row>
    <row r="707" spans="1:4" x14ac:dyDescent="0.25">
      <c r="A707">
        <v>22350007</v>
      </c>
      <c r="B707" s="12">
        <v>45848</v>
      </c>
      <c r="C707" t="s">
        <v>2</v>
      </c>
      <c r="D707" t="s">
        <v>651</v>
      </c>
    </row>
    <row r="708" spans="1:4" x14ac:dyDescent="0.25">
      <c r="A708">
        <v>22350010</v>
      </c>
      <c r="B708" s="12">
        <v>45848</v>
      </c>
      <c r="C708" t="s">
        <v>2</v>
      </c>
      <c r="D708" t="s">
        <v>651</v>
      </c>
    </row>
    <row r="709" spans="1:4" x14ac:dyDescent="0.25">
      <c r="A709">
        <v>22350017</v>
      </c>
      <c r="B709" s="12">
        <v>45848</v>
      </c>
      <c r="C709" t="s">
        <v>2</v>
      </c>
      <c r="D709" t="s">
        <v>651</v>
      </c>
    </row>
    <row r="710" spans="1:4" x14ac:dyDescent="0.25">
      <c r="A710">
        <v>22350029</v>
      </c>
      <c r="B710" s="12">
        <v>45848</v>
      </c>
      <c r="C710" t="s">
        <v>2</v>
      </c>
      <c r="D710" t="s">
        <v>651</v>
      </c>
    </row>
    <row r="711" spans="1:4" x14ac:dyDescent="0.25">
      <c r="A711">
        <v>22350033</v>
      </c>
      <c r="B711" s="12">
        <v>45848</v>
      </c>
      <c r="C711" t="s">
        <v>2</v>
      </c>
      <c r="D711" t="s">
        <v>651</v>
      </c>
    </row>
    <row r="712" spans="1:4" x14ac:dyDescent="0.25">
      <c r="A712">
        <v>22350056</v>
      </c>
      <c r="B712" s="12">
        <v>45848</v>
      </c>
      <c r="C712" t="s">
        <v>2</v>
      </c>
      <c r="D712" t="s">
        <v>651</v>
      </c>
    </row>
    <row r="713" spans="1:4" x14ac:dyDescent="0.25">
      <c r="A713">
        <v>22350068</v>
      </c>
      <c r="B713" s="12">
        <v>45965</v>
      </c>
      <c r="C713" t="s">
        <v>0</v>
      </c>
      <c r="D713" t="s">
        <v>653</v>
      </c>
    </row>
    <row r="714" spans="1:4" x14ac:dyDescent="0.25">
      <c r="A714">
        <v>22350072</v>
      </c>
      <c r="B714" s="12">
        <v>45848</v>
      </c>
      <c r="C714" t="s">
        <v>2</v>
      </c>
      <c r="D714" t="s">
        <v>651</v>
      </c>
    </row>
    <row r="715" spans="1:4" x14ac:dyDescent="0.25">
      <c r="A715">
        <v>22350089</v>
      </c>
      <c r="B715" s="12">
        <v>45848</v>
      </c>
      <c r="C715" t="s">
        <v>2</v>
      </c>
      <c r="D715" t="s">
        <v>651</v>
      </c>
    </row>
    <row r="716" spans="1:4" x14ac:dyDescent="0.25">
      <c r="A716">
        <v>22350090</v>
      </c>
      <c r="B716" s="12">
        <v>45848</v>
      </c>
      <c r="C716" t="s">
        <v>2</v>
      </c>
      <c r="D716" t="s">
        <v>651</v>
      </c>
    </row>
    <row r="717" spans="1:4" x14ac:dyDescent="0.25">
      <c r="A717">
        <v>22350095</v>
      </c>
      <c r="B717" s="12">
        <v>45848</v>
      </c>
      <c r="C717" t="s">
        <v>2</v>
      </c>
      <c r="D717" t="s">
        <v>651</v>
      </c>
    </row>
    <row r="718" spans="1:4" x14ac:dyDescent="0.25">
      <c r="A718">
        <v>22350096</v>
      </c>
      <c r="B718" s="12">
        <v>45848</v>
      </c>
      <c r="C718" t="s">
        <v>2</v>
      </c>
      <c r="D718" t="s">
        <v>651</v>
      </c>
    </row>
    <row r="719" spans="1:4" x14ac:dyDescent="0.25">
      <c r="A719">
        <v>22350111</v>
      </c>
      <c r="B719" s="12">
        <v>45848</v>
      </c>
      <c r="C719" t="s">
        <v>2</v>
      </c>
      <c r="D719" t="s">
        <v>651</v>
      </c>
    </row>
    <row r="720" spans="1:4" x14ac:dyDescent="0.25">
      <c r="A720">
        <v>22350119</v>
      </c>
      <c r="B720" s="12">
        <v>45848</v>
      </c>
      <c r="C720" t="s">
        <v>2</v>
      </c>
      <c r="D720" t="s">
        <v>651</v>
      </c>
    </row>
    <row r="721" spans="1:4" x14ac:dyDescent="0.25">
      <c r="A721">
        <v>22350144</v>
      </c>
      <c r="B721" s="12">
        <v>45848</v>
      </c>
      <c r="C721" t="s">
        <v>2</v>
      </c>
      <c r="D721" t="s">
        <v>651</v>
      </c>
    </row>
    <row r="722" spans="1:4" x14ac:dyDescent="0.25">
      <c r="A722">
        <v>22350153</v>
      </c>
      <c r="B722" s="12">
        <v>45848</v>
      </c>
      <c r="C722" t="s">
        <v>2</v>
      </c>
      <c r="D722" t="s">
        <v>651</v>
      </c>
    </row>
    <row r="723" spans="1:4" x14ac:dyDescent="0.25">
      <c r="A723">
        <v>22350164</v>
      </c>
      <c r="B723" s="12">
        <v>45848</v>
      </c>
      <c r="C723" t="s">
        <v>2</v>
      </c>
      <c r="D723" t="s">
        <v>651</v>
      </c>
    </row>
    <row r="724" spans="1:4" x14ac:dyDescent="0.25">
      <c r="A724">
        <v>22350168</v>
      </c>
      <c r="B724" s="12">
        <v>45671</v>
      </c>
      <c r="C724" t="s">
        <v>0</v>
      </c>
    </row>
    <row r="725" spans="1:4" x14ac:dyDescent="0.25">
      <c r="A725">
        <v>22350170</v>
      </c>
      <c r="B725" s="12">
        <v>45848</v>
      </c>
      <c r="C725" t="s">
        <v>2</v>
      </c>
      <c r="D725" t="s">
        <v>651</v>
      </c>
    </row>
    <row r="726" spans="1:4" x14ac:dyDescent="0.25">
      <c r="A726">
        <v>22350184</v>
      </c>
      <c r="B726" s="12">
        <v>45848</v>
      </c>
      <c r="C726" t="s">
        <v>2</v>
      </c>
      <c r="D726" t="s">
        <v>651</v>
      </c>
    </row>
    <row r="727" spans="1:4" x14ac:dyDescent="0.25">
      <c r="A727">
        <v>22350186</v>
      </c>
      <c r="B727" s="12">
        <v>45848</v>
      </c>
      <c r="C727" t="s">
        <v>2</v>
      </c>
      <c r="D727" t="s">
        <v>651</v>
      </c>
    </row>
    <row r="728" spans="1:4" x14ac:dyDescent="0.25">
      <c r="A728">
        <v>22350204</v>
      </c>
      <c r="B728" s="12">
        <v>45848</v>
      </c>
      <c r="C728" t="s">
        <v>2</v>
      </c>
      <c r="D728" t="s">
        <v>651</v>
      </c>
    </row>
    <row r="729" spans="1:4" x14ac:dyDescent="0.25">
      <c r="A729">
        <v>22350215</v>
      </c>
      <c r="B729" s="12">
        <v>45848</v>
      </c>
      <c r="C729" t="s">
        <v>2</v>
      </c>
      <c r="D729" t="s">
        <v>651</v>
      </c>
    </row>
    <row r="730" spans="1:4" x14ac:dyDescent="0.25">
      <c r="A730">
        <v>22350225</v>
      </c>
      <c r="B730" s="12">
        <v>45848</v>
      </c>
      <c r="C730" t="s">
        <v>2</v>
      </c>
      <c r="D730" t="s">
        <v>651</v>
      </c>
    </row>
    <row r="731" spans="1:4" x14ac:dyDescent="0.25">
      <c r="A731">
        <v>22350228</v>
      </c>
      <c r="B731" s="12">
        <v>45848</v>
      </c>
      <c r="C731" t="s">
        <v>2</v>
      </c>
      <c r="D731" t="s">
        <v>651</v>
      </c>
    </row>
    <row r="732" spans="1:4" x14ac:dyDescent="0.25">
      <c r="A732">
        <v>22350230</v>
      </c>
      <c r="B732" s="12">
        <v>45848</v>
      </c>
      <c r="C732" t="s">
        <v>2</v>
      </c>
      <c r="D732" t="s">
        <v>651</v>
      </c>
    </row>
    <row r="733" spans="1:4" x14ac:dyDescent="0.25">
      <c r="A733">
        <v>22350232</v>
      </c>
      <c r="B733" s="12">
        <v>45848</v>
      </c>
      <c r="C733" t="s">
        <v>2</v>
      </c>
      <c r="D733" t="s">
        <v>651</v>
      </c>
    </row>
    <row r="734" spans="1:4" x14ac:dyDescent="0.25">
      <c r="A734">
        <v>22350233</v>
      </c>
      <c r="B734" s="12">
        <v>45848</v>
      </c>
      <c r="C734" t="s">
        <v>2</v>
      </c>
      <c r="D734" t="s">
        <v>651</v>
      </c>
    </row>
    <row r="735" spans="1:4" x14ac:dyDescent="0.25">
      <c r="A735">
        <v>22350252</v>
      </c>
      <c r="B735" s="12">
        <v>45965</v>
      </c>
      <c r="C735" t="s">
        <v>0</v>
      </c>
      <c r="D735" t="s">
        <v>654</v>
      </c>
    </row>
    <row r="736" spans="1:4" x14ac:dyDescent="0.25">
      <c r="A736">
        <v>22350253</v>
      </c>
      <c r="B736" s="12">
        <v>45848</v>
      </c>
      <c r="C736" t="s">
        <v>2</v>
      </c>
      <c r="D736" t="s">
        <v>651</v>
      </c>
    </row>
    <row r="737" spans="1:4" x14ac:dyDescent="0.25">
      <c r="A737">
        <v>22350269</v>
      </c>
      <c r="B737" s="12">
        <v>45848</v>
      </c>
      <c r="C737" t="s">
        <v>2</v>
      </c>
      <c r="D737" t="s">
        <v>651</v>
      </c>
    </row>
    <row r="738" spans="1:4" x14ac:dyDescent="0.25">
      <c r="A738">
        <v>22350289</v>
      </c>
      <c r="B738" s="12">
        <v>45848</v>
      </c>
      <c r="C738" t="s">
        <v>2</v>
      </c>
      <c r="D738" t="s">
        <v>651</v>
      </c>
    </row>
    <row r="739" spans="1:4" x14ac:dyDescent="0.25">
      <c r="A739">
        <v>22350290</v>
      </c>
      <c r="B739" s="12">
        <v>45848</v>
      </c>
      <c r="C739" t="s">
        <v>2</v>
      </c>
      <c r="D739" t="s">
        <v>651</v>
      </c>
    </row>
    <row r="740" spans="1:4" x14ac:dyDescent="0.25">
      <c r="A740">
        <v>22350294</v>
      </c>
      <c r="B740" s="12">
        <v>45848</v>
      </c>
      <c r="C740" t="s">
        <v>2</v>
      </c>
      <c r="D740" t="s">
        <v>651</v>
      </c>
    </row>
    <row r="741" spans="1:4" x14ac:dyDescent="0.25">
      <c r="A741">
        <v>22350297</v>
      </c>
      <c r="B741" s="12">
        <v>45848</v>
      </c>
      <c r="C741" t="s">
        <v>2</v>
      </c>
      <c r="D741" t="s">
        <v>651</v>
      </c>
    </row>
    <row r="742" spans="1:4" x14ac:dyDescent="0.25">
      <c r="A742">
        <v>22350300</v>
      </c>
      <c r="B742" s="12">
        <v>45848</v>
      </c>
      <c r="C742" t="s">
        <v>2</v>
      </c>
      <c r="D742" t="s">
        <v>651</v>
      </c>
    </row>
    <row r="743" spans="1:4" x14ac:dyDescent="0.25">
      <c r="A743">
        <v>22350304</v>
      </c>
      <c r="B743" s="12">
        <v>45848</v>
      </c>
      <c r="C743" t="s">
        <v>2</v>
      </c>
      <c r="D743" t="s">
        <v>651</v>
      </c>
    </row>
    <row r="744" spans="1:4" x14ac:dyDescent="0.25">
      <c r="A744">
        <v>22350305</v>
      </c>
      <c r="B744" s="12">
        <v>45848</v>
      </c>
      <c r="C744" t="s">
        <v>2</v>
      </c>
      <c r="D744" t="s">
        <v>651</v>
      </c>
    </row>
    <row r="745" spans="1:4" x14ac:dyDescent="0.25">
      <c r="A745">
        <v>22350306</v>
      </c>
      <c r="B745" s="12">
        <v>45848</v>
      </c>
      <c r="C745" t="s">
        <v>2</v>
      </c>
      <c r="D745" t="s">
        <v>651</v>
      </c>
    </row>
    <row r="746" spans="1:4" x14ac:dyDescent="0.25">
      <c r="A746">
        <v>22350310</v>
      </c>
      <c r="B746" s="12">
        <v>45848</v>
      </c>
      <c r="C746" t="s">
        <v>2</v>
      </c>
      <c r="D746" t="s">
        <v>651</v>
      </c>
    </row>
    <row r="747" spans="1:4" x14ac:dyDescent="0.25">
      <c r="A747">
        <v>22350312</v>
      </c>
      <c r="B747" s="12">
        <v>45848</v>
      </c>
      <c r="C747" t="s">
        <v>2</v>
      </c>
      <c r="D747" t="s">
        <v>651</v>
      </c>
    </row>
    <row r="748" spans="1:4" x14ac:dyDescent="0.25">
      <c r="A748">
        <v>22350314</v>
      </c>
      <c r="B748" s="12">
        <v>45848</v>
      </c>
      <c r="C748" t="s">
        <v>2</v>
      </c>
      <c r="D748" t="s">
        <v>651</v>
      </c>
    </row>
    <row r="749" spans="1:4" x14ac:dyDescent="0.25">
      <c r="A749">
        <v>22350320</v>
      </c>
      <c r="B749" s="12">
        <v>45848</v>
      </c>
      <c r="C749" t="s">
        <v>2</v>
      </c>
      <c r="D749" t="s">
        <v>651</v>
      </c>
    </row>
    <row r="750" spans="1:4" x14ac:dyDescent="0.25">
      <c r="A750">
        <v>22350321</v>
      </c>
      <c r="B750" s="12">
        <v>45848</v>
      </c>
      <c r="C750" t="s">
        <v>2</v>
      </c>
      <c r="D750" t="s">
        <v>651</v>
      </c>
    </row>
    <row r="751" spans="1:4" x14ac:dyDescent="0.25">
      <c r="A751">
        <v>22350323</v>
      </c>
      <c r="B751" s="12">
        <v>45848</v>
      </c>
      <c r="C751" t="s">
        <v>2</v>
      </c>
      <c r="D751" t="s">
        <v>651</v>
      </c>
    </row>
    <row r="752" spans="1:4" x14ac:dyDescent="0.25">
      <c r="A752">
        <v>22350327</v>
      </c>
      <c r="B752" s="12">
        <v>45848</v>
      </c>
      <c r="C752" t="s">
        <v>2</v>
      </c>
      <c r="D752" t="s">
        <v>651</v>
      </c>
    </row>
    <row r="753" spans="1:4" x14ac:dyDescent="0.25">
      <c r="A753">
        <v>22350330</v>
      </c>
      <c r="B753" s="12">
        <v>45848</v>
      </c>
      <c r="C753" t="s">
        <v>2</v>
      </c>
      <c r="D753" t="s">
        <v>651</v>
      </c>
    </row>
    <row r="754" spans="1:4" x14ac:dyDescent="0.25">
      <c r="A754">
        <v>22350331</v>
      </c>
      <c r="B754" s="12">
        <v>45848</v>
      </c>
      <c r="C754" t="s">
        <v>2</v>
      </c>
      <c r="D754" t="s">
        <v>651</v>
      </c>
    </row>
    <row r="755" spans="1:4" x14ac:dyDescent="0.25">
      <c r="A755">
        <v>22350334</v>
      </c>
      <c r="B755" s="12">
        <v>45848</v>
      </c>
      <c r="C755" t="s">
        <v>2</v>
      </c>
      <c r="D755" t="s">
        <v>651</v>
      </c>
    </row>
    <row r="756" spans="1:4" x14ac:dyDescent="0.25">
      <c r="A756">
        <v>22350341</v>
      </c>
      <c r="B756" s="12">
        <v>45848</v>
      </c>
      <c r="C756" t="s">
        <v>2</v>
      </c>
      <c r="D756" t="s">
        <v>651</v>
      </c>
    </row>
    <row r="757" spans="1:4" x14ac:dyDescent="0.25">
      <c r="A757">
        <v>22350344</v>
      </c>
      <c r="B757" s="12">
        <v>45848</v>
      </c>
      <c r="C757" t="s">
        <v>2</v>
      </c>
      <c r="D757" t="s">
        <v>651</v>
      </c>
    </row>
    <row r="758" spans="1:4" x14ac:dyDescent="0.25">
      <c r="A758">
        <v>22350346</v>
      </c>
      <c r="B758" s="12">
        <v>45848</v>
      </c>
      <c r="C758" t="s">
        <v>2</v>
      </c>
      <c r="D758" t="s">
        <v>651</v>
      </c>
    </row>
    <row r="759" spans="1:4" x14ac:dyDescent="0.25">
      <c r="A759">
        <v>22350347</v>
      </c>
      <c r="B759" s="12">
        <v>45848</v>
      </c>
      <c r="C759" t="s">
        <v>2</v>
      </c>
      <c r="D759" t="s">
        <v>651</v>
      </c>
    </row>
    <row r="760" spans="1:4" x14ac:dyDescent="0.25">
      <c r="A760">
        <v>22350349</v>
      </c>
      <c r="B760" s="12">
        <v>45848</v>
      </c>
      <c r="C760" t="s">
        <v>2</v>
      </c>
      <c r="D760" t="s">
        <v>651</v>
      </c>
    </row>
    <row r="761" spans="1:4" x14ac:dyDescent="0.25">
      <c r="A761">
        <v>22350352</v>
      </c>
      <c r="B761" s="12">
        <v>45848</v>
      </c>
      <c r="C761" t="s">
        <v>2</v>
      </c>
      <c r="D761" t="s">
        <v>651</v>
      </c>
    </row>
    <row r="762" spans="1:4" x14ac:dyDescent="0.25">
      <c r="A762">
        <v>22350354</v>
      </c>
      <c r="B762" s="12">
        <v>45848</v>
      </c>
      <c r="C762" t="s">
        <v>2</v>
      </c>
      <c r="D762" t="s">
        <v>651</v>
      </c>
    </row>
    <row r="763" spans="1:4" x14ac:dyDescent="0.25">
      <c r="A763">
        <v>22350358</v>
      </c>
      <c r="B763" s="12">
        <v>45848</v>
      </c>
      <c r="C763" t="s">
        <v>2</v>
      </c>
      <c r="D763" t="s">
        <v>651</v>
      </c>
    </row>
    <row r="764" spans="1:4" x14ac:dyDescent="0.25">
      <c r="A764">
        <v>22350362</v>
      </c>
      <c r="B764" s="12">
        <v>45848</v>
      </c>
      <c r="C764" t="s">
        <v>2</v>
      </c>
      <c r="D764" t="s">
        <v>651</v>
      </c>
    </row>
    <row r="765" spans="1:4" x14ac:dyDescent="0.25">
      <c r="A765">
        <v>22350363</v>
      </c>
      <c r="B765" s="12">
        <v>45848</v>
      </c>
      <c r="C765" t="s">
        <v>2</v>
      </c>
      <c r="D765" t="s">
        <v>651</v>
      </c>
    </row>
    <row r="766" spans="1:4" x14ac:dyDescent="0.25">
      <c r="A766">
        <v>22350365</v>
      </c>
      <c r="B766" s="12">
        <v>45848</v>
      </c>
      <c r="C766" t="s">
        <v>2</v>
      </c>
      <c r="D766" t="s">
        <v>651</v>
      </c>
    </row>
    <row r="767" spans="1:4" x14ac:dyDescent="0.25">
      <c r="A767">
        <v>22350368</v>
      </c>
      <c r="B767" s="12">
        <v>45848</v>
      </c>
      <c r="C767" t="s">
        <v>2</v>
      </c>
      <c r="D767" t="s">
        <v>651</v>
      </c>
    </row>
    <row r="768" spans="1:4" x14ac:dyDescent="0.25">
      <c r="A768">
        <v>22350375</v>
      </c>
      <c r="B768" s="12">
        <v>45848</v>
      </c>
      <c r="C768" t="s">
        <v>2</v>
      </c>
      <c r="D768" t="s">
        <v>651</v>
      </c>
    </row>
    <row r="769" spans="1:4" x14ac:dyDescent="0.25">
      <c r="A769">
        <v>22350377</v>
      </c>
      <c r="B769" s="12">
        <v>45848</v>
      </c>
      <c r="C769" t="s">
        <v>2</v>
      </c>
      <c r="D769" t="s">
        <v>651</v>
      </c>
    </row>
    <row r="770" spans="1:4" x14ac:dyDescent="0.25">
      <c r="A770">
        <v>22350378</v>
      </c>
      <c r="B770" s="12">
        <v>45848</v>
      </c>
      <c r="C770" t="s">
        <v>2</v>
      </c>
      <c r="D770" t="s">
        <v>651</v>
      </c>
    </row>
    <row r="771" spans="1:4" x14ac:dyDescent="0.25">
      <c r="A771">
        <v>22350380</v>
      </c>
      <c r="B771" s="12">
        <v>45848</v>
      </c>
      <c r="C771" t="s">
        <v>2</v>
      </c>
      <c r="D771" t="s">
        <v>651</v>
      </c>
    </row>
    <row r="772" spans="1:4" x14ac:dyDescent="0.25">
      <c r="A772">
        <v>22350386</v>
      </c>
      <c r="B772" s="12">
        <v>45848</v>
      </c>
      <c r="C772" t="s">
        <v>2</v>
      </c>
      <c r="D772" t="s">
        <v>651</v>
      </c>
    </row>
    <row r="773" spans="1:4" x14ac:dyDescent="0.25">
      <c r="A773">
        <v>22350390</v>
      </c>
      <c r="B773" s="12">
        <v>45848</v>
      </c>
      <c r="C773" t="s">
        <v>2</v>
      </c>
      <c r="D773" t="s">
        <v>651</v>
      </c>
    </row>
    <row r="774" spans="1:4" x14ac:dyDescent="0.25">
      <c r="A774">
        <v>22350394</v>
      </c>
      <c r="B774" s="12">
        <v>45848</v>
      </c>
      <c r="C774" t="s">
        <v>2</v>
      </c>
      <c r="D774" t="s">
        <v>651</v>
      </c>
    </row>
    <row r="775" spans="1:4" x14ac:dyDescent="0.25">
      <c r="A775">
        <v>22350396</v>
      </c>
      <c r="B775" s="12">
        <v>45848</v>
      </c>
      <c r="C775" t="s">
        <v>2</v>
      </c>
      <c r="D775" t="s">
        <v>651</v>
      </c>
    </row>
    <row r="776" spans="1:4" x14ac:dyDescent="0.25">
      <c r="A776">
        <v>22350397</v>
      </c>
      <c r="B776" s="12">
        <v>45848</v>
      </c>
      <c r="C776" t="s">
        <v>2</v>
      </c>
      <c r="D776" t="s">
        <v>651</v>
      </c>
    </row>
    <row r="777" spans="1:4" x14ac:dyDescent="0.25">
      <c r="A777">
        <v>22350399</v>
      </c>
      <c r="B777" s="12">
        <v>45848</v>
      </c>
      <c r="C777" t="s">
        <v>2</v>
      </c>
      <c r="D777" t="s">
        <v>651</v>
      </c>
    </row>
    <row r="778" spans="1:4" x14ac:dyDescent="0.25">
      <c r="A778">
        <v>22350403</v>
      </c>
      <c r="B778" s="12">
        <v>45848</v>
      </c>
      <c r="C778" t="s">
        <v>2</v>
      </c>
      <c r="D778" t="s">
        <v>651</v>
      </c>
    </row>
    <row r="779" spans="1:4" x14ac:dyDescent="0.25">
      <c r="A779">
        <v>22350405</v>
      </c>
      <c r="B779" s="12">
        <v>45671</v>
      </c>
      <c r="C779" t="s">
        <v>0</v>
      </c>
    </row>
    <row r="780" spans="1:4" x14ac:dyDescent="0.25">
      <c r="A780">
        <v>22350411</v>
      </c>
      <c r="B780" s="12">
        <v>45848</v>
      </c>
      <c r="C780" t="s">
        <v>2</v>
      </c>
      <c r="D780" t="s">
        <v>651</v>
      </c>
    </row>
    <row r="781" spans="1:4" x14ac:dyDescent="0.25">
      <c r="A781">
        <v>22350412</v>
      </c>
      <c r="B781" s="12">
        <v>45848</v>
      </c>
      <c r="C781" t="s">
        <v>2</v>
      </c>
      <c r="D781" t="s">
        <v>651</v>
      </c>
    </row>
    <row r="782" spans="1:4" x14ac:dyDescent="0.25">
      <c r="A782">
        <v>22350434</v>
      </c>
      <c r="B782" s="12">
        <v>45671</v>
      </c>
      <c r="C782" t="s">
        <v>0</v>
      </c>
    </row>
    <row r="783" spans="1:4" x14ac:dyDescent="0.25">
      <c r="A783">
        <v>22350434</v>
      </c>
      <c r="B783" s="12">
        <v>45671</v>
      </c>
      <c r="C783" t="s">
        <v>0</v>
      </c>
      <c r="D783" t="s">
        <v>643</v>
      </c>
    </row>
    <row r="784" spans="1:4" x14ac:dyDescent="0.25">
      <c r="A784">
        <v>22350436</v>
      </c>
      <c r="B784" s="12">
        <v>45671</v>
      </c>
      <c r="C784" t="s">
        <v>0</v>
      </c>
    </row>
    <row r="785" spans="1:4" x14ac:dyDescent="0.25">
      <c r="A785">
        <v>22350437</v>
      </c>
      <c r="B785" s="12">
        <v>45671</v>
      </c>
      <c r="C785" t="s">
        <v>0</v>
      </c>
    </row>
    <row r="786" spans="1:4" x14ac:dyDescent="0.25">
      <c r="A786">
        <v>22350439</v>
      </c>
      <c r="B786" s="12">
        <v>45848</v>
      </c>
      <c r="C786" t="s">
        <v>2</v>
      </c>
      <c r="D786" t="s">
        <v>651</v>
      </c>
    </row>
    <row r="787" spans="1:4" x14ac:dyDescent="0.25">
      <c r="A787">
        <v>22350440</v>
      </c>
      <c r="B787" s="12">
        <v>45848</v>
      </c>
      <c r="C787" t="s">
        <v>2</v>
      </c>
      <c r="D787" t="s">
        <v>651</v>
      </c>
    </row>
    <row r="788" spans="1:4" x14ac:dyDescent="0.25">
      <c r="A788">
        <v>23323211</v>
      </c>
      <c r="B788" s="12">
        <v>45969</v>
      </c>
      <c r="C788" t="s">
        <v>3</v>
      </c>
      <c r="D788" t="s">
        <v>656</v>
      </c>
    </row>
    <row r="789" spans="1:4" x14ac:dyDescent="0.25">
      <c r="A789">
        <v>23323211</v>
      </c>
      <c r="B789" s="12">
        <v>45680</v>
      </c>
      <c r="C789" t="s">
        <v>2</v>
      </c>
      <c r="D789" t="s">
        <v>644</v>
      </c>
    </row>
    <row r="790" spans="1:4" x14ac:dyDescent="0.25">
      <c r="A790">
        <v>23323219</v>
      </c>
      <c r="B790" s="12">
        <v>45680</v>
      </c>
      <c r="C790" t="s">
        <v>2</v>
      </c>
      <c r="D790" t="s">
        <v>644</v>
      </c>
    </row>
    <row r="791" spans="1:4" x14ac:dyDescent="0.25">
      <c r="A791">
        <v>23323224</v>
      </c>
      <c r="B791" s="12">
        <v>45969</v>
      </c>
      <c r="C791" t="s">
        <v>3</v>
      </c>
      <c r="D791" t="s">
        <v>656</v>
      </c>
    </row>
    <row r="792" spans="1:4" x14ac:dyDescent="0.25">
      <c r="A792">
        <v>23323224</v>
      </c>
      <c r="B792" s="12">
        <v>45680</v>
      </c>
      <c r="C792" t="s">
        <v>2</v>
      </c>
      <c r="D792" t="s">
        <v>644</v>
      </c>
    </row>
    <row r="793" spans="1:4" x14ac:dyDescent="0.25">
      <c r="A793">
        <v>23323226</v>
      </c>
      <c r="B793" s="12">
        <v>45680</v>
      </c>
      <c r="C793" t="s">
        <v>2</v>
      </c>
      <c r="D793" t="s">
        <v>644</v>
      </c>
    </row>
    <row r="794" spans="1:4" x14ac:dyDescent="0.25">
      <c r="A794">
        <v>23323228</v>
      </c>
      <c r="B794" s="12">
        <v>45969</v>
      </c>
      <c r="C794" t="s">
        <v>3</v>
      </c>
      <c r="D794" t="s">
        <v>656</v>
      </c>
    </row>
    <row r="795" spans="1:4" x14ac:dyDescent="0.25">
      <c r="A795">
        <v>23323228</v>
      </c>
      <c r="B795" s="12">
        <v>45680</v>
      </c>
      <c r="C795" t="s">
        <v>2</v>
      </c>
      <c r="D795" t="s">
        <v>644</v>
      </c>
    </row>
    <row r="796" spans="1:4" x14ac:dyDescent="0.25">
      <c r="A796">
        <v>23323239</v>
      </c>
      <c r="B796" s="12">
        <v>45680</v>
      </c>
      <c r="C796" t="s">
        <v>2</v>
      </c>
      <c r="D796" t="s">
        <v>644</v>
      </c>
    </row>
    <row r="797" spans="1:4" x14ac:dyDescent="0.25">
      <c r="A797">
        <v>23323245</v>
      </c>
      <c r="B797" s="12">
        <v>45969</v>
      </c>
      <c r="C797" t="s">
        <v>3</v>
      </c>
      <c r="D797" t="s">
        <v>656</v>
      </c>
    </row>
    <row r="798" spans="1:4" x14ac:dyDescent="0.25">
      <c r="A798">
        <v>23323245</v>
      </c>
      <c r="B798" s="12">
        <v>45680</v>
      </c>
      <c r="C798" t="s">
        <v>2</v>
      </c>
      <c r="D798" t="s">
        <v>644</v>
      </c>
    </row>
    <row r="799" spans="1:4" x14ac:dyDescent="0.25">
      <c r="A799">
        <v>23323257</v>
      </c>
      <c r="B799" s="12">
        <v>45969</v>
      </c>
      <c r="C799" t="s">
        <v>3</v>
      </c>
      <c r="D799" t="s">
        <v>656</v>
      </c>
    </row>
    <row r="800" spans="1:4" x14ac:dyDescent="0.25">
      <c r="A800">
        <v>23323257</v>
      </c>
      <c r="B800" s="12">
        <v>45680</v>
      </c>
      <c r="C800" t="s">
        <v>2</v>
      </c>
      <c r="D800" t="s">
        <v>644</v>
      </c>
    </row>
    <row r="801" spans="1:4" x14ac:dyDescent="0.25">
      <c r="A801">
        <v>23323260</v>
      </c>
      <c r="B801" s="12">
        <v>45969</v>
      </c>
      <c r="C801" t="s">
        <v>3</v>
      </c>
      <c r="D801" t="s">
        <v>656</v>
      </c>
    </row>
    <row r="802" spans="1:4" x14ac:dyDescent="0.25">
      <c r="A802">
        <v>23323260</v>
      </c>
      <c r="B802" s="12">
        <v>45680</v>
      </c>
      <c r="C802" t="s">
        <v>2</v>
      </c>
      <c r="D802" t="s">
        <v>644</v>
      </c>
    </row>
    <row r="803" spans="1:4" x14ac:dyDescent="0.25">
      <c r="A803">
        <v>23323265</v>
      </c>
      <c r="B803" s="12">
        <v>45969</v>
      </c>
      <c r="C803" t="s">
        <v>3</v>
      </c>
      <c r="D803" t="s">
        <v>656</v>
      </c>
    </row>
    <row r="804" spans="1:4" x14ac:dyDescent="0.25">
      <c r="A804">
        <v>23323265</v>
      </c>
      <c r="B804" s="12">
        <v>45680</v>
      </c>
      <c r="C804" t="s">
        <v>2</v>
      </c>
      <c r="D804" t="s">
        <v>644</v>
      </c>
    </row>
    <row r="805" spans="1:4" x14ac:dyDescent="0.25">
      <c r="A805">
        <v>23323267</v>
      </c>
      <c r="B805" s="12">
        <v>45969</v>
      </c>
      <c r="C805" t="s">
        <v>3</v>
      </c>
      <c r="D805" t="s">
        <v>656</v>
      </c>
    </row>
    <row r="806" spans="1:4" x14ac:dyDescent="0.25">
      <c r="A806">
        <v>23323267</v>
      </c>
      <c r="B806" s="12">
        <v>45680</v>
      </c>
      <c r="C806" t="s">
        <v>2</v>
      </c>
      <c r="D806" t="s">
        <v>644</v>
      </c>
    </row>
    <row r="807" spans="1:4" x14ac:dyDescent="0.25">
      <c r="A807">
        <v>23323301</v>
      </c>
      <c r="B807" s="12">
        <v>45969</v>
      </c>
      <c r="C807" t="s">
        <v>3</v>
      </c>
      <c r="D807" t="s">
        <v>656</v>
      </c>
    </row>
    <row r="808" spans="1:4" x14ac:dyDescent="0.25">
      <c r="A808">
        <v>23323301</v>
      </c>
      <c r="B808" s="12">
        <v>45680</v>
      </c>
      <c r="C808" t="s">
        <v>2</v>
      </c>
      <c r="D808" t="s">
        <v>644</v>
      </c>
    </row>
    <row r="809" spans="1:4" x14ac:dyDescent="0.25">
      <c r="A809">
        <v>23323314</v>
      </c>
      <c r="B809" s="12">
        <v>45969</v>
      </c>
      <c r="C809" t="s">
        <v>3</v>
      </c>
      <c r="D809" t="s">
        <v>656</v>
      </c>
    </row>
    <row r="810" spans="1:4" x14ac:dyDescent="0.25">
      <c r="A810">
        <v>23323314</v>
      </c>
      <c r="B810" s="12">
        <v>45680</v>
      </c>
      <c r="C810" t="s">
        <v>2</v>
      </c>
      <c r="D810" t="s">
        <v>644</v>
      </c>
    </row>
    <row r="811" spans="1:4" x14ac:dyDescent="0.25">
      <c r="A811">
        <v>23323322</v>
      </c>
      <c r="B811" s="12">
        <v>45969</v>
      </c>
      <c r="C811" t="s">
        <v>3</v>
      </c>
      <c r="D811" t="s">
        <v>656</v>
      </c>
    </row>
    <row r="812" spans="1:4" x14ac:dyDescent="0.25">
      <c r="A812">
        <v>23323322</v>
      </c>
      <c r="B812" s="12">
        <v>45680</v>
      </c>
      <c r="C812" t="s">
        <v>2</v>
      </c>
      <c r="D812" t="s">
        <v>644</v>
      </c>
    </row>
    <row r="813" spans="1:4" x14ac:dyDescent="0.25">
      <c r="A813">
        <v>23323326</v>
      </c>
      <c r="B813" s="12">
        <v>45680</v>
      </c>
      <c r="C813" t="s">
        <v>2</v>
      </c>
      <c r="D813" t="s">
        <v>644</v>
      </c>
    </row>
    <row r="814" spans="1:4" x14ac:dyDescent="0.25">
      <c r="A814">
        <v>23323327</v>
      </c>
      <c r="B814" s="12">
        <v>45969</v>
      </c>
      <c r="C814" t="s">
        <v>3</v>
      </c>
      <c r="D814" t="s">
        <v>656</v>
      </c>
    </row>
    <row r="815" spans="1:4" x14ac:dyDescent="0.25">
      <c r="A815">
        <v>23323327</v>
      </c>
      <c r="B815" s="12">
        <v>45680</v>
      </c>
      <c r="C815" t="s">
        <v>2</v>
      </c>
      <c r="D815" t="s">
        <v>644</v>
      </c>
    </row>
    <row r="816" spans="1:4" x14ac:dyDescent="0.25">
      <c r="A816">
        <v>23323333</v>
      </c>
      <c r="B816" s="12">
        <v>45680</v>
      </c>
      <c r="C816" t="s">
        <v>2</v>
      </c>
      <c r="D816" t="s">
        <v>644</v>
      </c>
    </row>
    <row r="817" spans="1:4" x14ac:dyDescent="0.25">
      <c r="A817">
        <v>23323342</v>
      </c>
      <c r="B817" s="12">
        <v>45969</v>
      </c>
      <c r="C817" t="s">
        <v>3</v>
      </c>
      <c r="D817" t="s">
        <v>656</v>
      </c>
    </row>
    <row r="818" spans="1:4" x14ac:dyDescent="0.25">
      <c r="A818">
        <v>23323342</v>
      </c>
      <c r="B818" s="12">
        <v>45680</v>
      </c>
      <c r="C818" t="s">
        <v>2</v>
      </c>
      <c r="D818" t="s">
        <v>644</v>
      </c>
    </row>
    <row r="819" spans="1:4" x14ac:dyDescent="0.25">
      <c r="A819">
        <v>23323343</v>
      </c>
      <c r="B819" s="12">
        <v>45969</v>
      </c>
      <c r="C819" t="s">
        <v>3</v>
      </c>
      <c r="D819" t="s">
        <v>656</v>
      </c>
    </row>
    <row r="820" spans="1:4" x14ac:dyDescent="0.25">
      <c r="A820">
        <v>23323343</v>
      </c>
      <c r="B820" s="12">
        <v>45680</v>
      </c>
      <c r="C820" t="s">
        <v>2</v>
      </c>
      <c r="D820" t="s">
        <v>644</v>
      </c>
    </row>
    <row r="821" spans="1:4" x14ac:dyDescent="0.25">
      <c r="A821">
        <v>23323344</v>
      </c>
      <c r="B821" s="12">
        <v>45969</v>
      </c>
      <c r="C821" t="s">
        <v>3</v>
      </c>
      <c r="D821" t="s">
        <v>656</v>
      </c>
    </row>
    <row r="822" spans="1:4" x14ac:dyDescent="0.25">
      <c r="A822">
        <v>23323344</v>
      </c>
      <c r="B822" s="12">
        <v>45680</v>
      </c>
      <c r="C822" t="s">
        <v>2</v>
      </c>
      <c r="D822" t="s">
        <v>644</v>
      </c>
    </row>
    <row r="823" spans="1:4" x14ac:dyDescent="0.25">
      <c r="A823">
        <v>23323346</v>
      </c>
      <c r="B823" s="12">
        <v>45680</v>
      </c>
      <c r="C823" t="s">
        <v>2</v>
      </c>
      <c r="D823" t="s">
        <v>644</v>
      </c>
    </row>
    <row r="824" spans="1:4" x14ac:dyDescent="0.25">
      <c r="A824">
        <v>23323348</v>
      </c>
      <c r="B824" s="12">
        <v>45969</v>
      </c>
      <c r="C824" t="s">
        <v>3</v>
      </c>
      <c r="D824" t="s">
        <v>656</v>
      </c>
    </row>
    <row r="825" spans="1:4" x14ac:dyDescent="0.25">
      <c r="A825">
        <v>23323348</v>
      </c>
      <c r="B825" s="12">
        <v>45680</v>
      </c>
      <c r="C825" t="s">
        <v>2</v>
      </c>
      <c r="D825" t="s">
        <v>644</v>
      </c>
    </row>
    <row r="826" spans="1:4" x14ac:dyDescent="0.25">
      <c r="A826">
        <v>23323350</v>
      </c>
      <c r="B826" s="12">
        <v>45969</v>
      </c>
      <c r="C826" t="s">
        <v>3</v>
      </c>
      <c r="D826" t="s">
        <v>656</v>
      </c>
    </row>
    <row r="827" spans="1:4" x14ac:dyDescent="0.25">
      <c r="A827">
        <v>23323350</v>
      </c>
      <c r="B827" s="12">
        <v>45680</v>
      </c>
      <c r="C827" t="s">
        <v>2</v>
      </c>
      <c r="D827" t="s">
        <v>644</v>
      </c>
    </row>
    <row r="828" spans="1:4" x14ac:dyDescent="0.25">
      <c r="A828">
        <v>23323354</v>
      </c>
      <c r="B828" s="12">
        <v>45969</v>
      </c>
      <c r="C828" t="s">
        <v>3</v>
      </c>
      <c r="D828" t="s">
        <v>656</v>
      </c>
    </row>
    <row r="829" spans="1:4" x14ac:dyDescent="0.25">
      <c r="A829">
        <v>23323354</v>
      </c>
      <c r="B829" s="12">
        <v>45680</v>
      </c>
      <c r="C829" t="s">
        <v>2</v>
      </c>
      <c r="D829" t="s">
        <v>644</v>
      </c>
    </row>
    <row r="830" spans="1:4" x14ac:dyDescent="0.25">
      <c r="A830">
        <v>23323367</v>
      </c>
      <c r="B830" s="12">
        <v>45969</v>
      </c>
      <c r="C830" t="s">
        <v>3</v>
      </c>
      <c r="D830" t="s">
        <v>656</v>
      </c>
    </row>
    <row r="831" spans="1:4" x14ac:dyDescent="0.25">
      <c r="A831">
        <v>23323367</v>
      </c>
      <c r="B831" s="12">
        <v>45680</v>
      </c>
      <c r="C831" t="s">
        <v>2</v>
      </c>
      <c r="D831" t="s">
        <v>644</v>
      </c>
    </row>
    <row r="832" spans="1:4" x14ac:dyDescent="0.25">
      <c r="A832">
        <v>23323376</v>
      </c>
      <c r="B832" s="12">
        <v>45969</v>
      </c>
      <c r="C832" t="s">
        <v>3</v>
      </c>
      <c r="D832" t="s">
        <v>656</v>
      </c>
    </row>
    <row r="833" spans="1:4" x14ac:dyDescent="0.25">
      <c r="A833">
        <v>23323376</v>
      </c>
      <c r="B833" s="12">
        <v>45680</v>
      </c>
      <c r="C833" t="s">
        <v>2</v>
      </c>
      <c r="D833" t="s">
        <v>644</v>
      </c>
    </row>
    <row r="834" spans="1:4" x14ac:dyDescent="0.25">
      <c r="A834">
        <v>23323399</v>
      </c>
      <c r="B834" s="12">
        <v>45969</v>
      </c>
      <c r="C834" t="s">
        <v>3</v>
      </c>
      <c r="D834" t="s">
        <v>656</v>
      </c>
    </row>
    <row r="835" spans="1:4" x14ac:dyDescent="0.25">
      <c r="A835">
        <v>23323399</v>
      </c>
      <c r="B835" s="12">
        <v>45680</v>
      </c>
      <c r="C835" t="s">
        <v>2</v>
      </c>
      <c r="D835" t="s">
        <v>644</v>
      </c>
    </row>
    <row r="836" spans="1:4" x14ac:dyDescent="0.25">
      <c r="A836">
        <v>23323408</v>
      </c>
      <c r="B836" s="12">
        <v>45969</v>
      </c>
      <c r="C836" t="s">
        <v>3</v>
      </c>
      <c r="D836" t="s">
        <v>656</v>
      </c>
    </row>
    <row r="837" spans="1:4" x14ac:dyDescent="0.25">
      <c r="A837">
        <v>23323408</v>
      </c>
      <c r="B837" s="12">
        <v>45680</v>
      </c>
      <c r="C837" t="s">
        <v>2</v>
      </c>
      <c r="D837" t="s">
        <v>644</v>
      </c>
    </row>
    <row r="838" spans="1:4" x14ac:dyDescent="0.25">
      <c r="A838">
        <v>23323418</v>
      </c>
      <c r="B838" s="12">
        <v>45969</v>
      </c>
      <c r="C838" t="s">
        <v>3</v>
      </c>
      <c r="D838" t="s">
        <v>656</v>
      </c>
    </row>
    <row r="839" spans="1:4" x14ac:dyDescent="0.25">
      <c r="A839">
        <v>23323418</v>
      </c>
      <c r="B839" s="12">
        <v>45680</v>
      </c>
      <c r="C839" t="s">
        <v>2</v>
      </c>
      <c r="D839" t="s">
        <v>644</v>
      </c>
    </row>
    <row r="840" spans="1:4" x14ac:dyDescent="0.25">
      <c r="A840">
        <v>23323421</v>
      </c>
      <c r="B840" s="12">
        <v>45969</v>
      </c>
      <c r="C840" t="s">
        <v>3</v>
      </c>
      <c r="D840" t="s">
        <v>656</v>
      </c>
    </row>
    <row r="841" spans="1:4" x14ac:dyDescent="0.25">
      <c r="A841">
        <v>23323421</v>
      </c>
      <c r="B841" s="12">
        <v>45680</v>
      </c>
      <c r="C841" t="s">
        <v>2</v>
      </c>
      <c r="D841" t="s">
        <v>644</v>
      </c>
    </row>
    <row r="842" spans="1:4" x14ac:dyDescent="0.25">
      <c r="A842">
        <v>23323434</v>
      </c>
      <c r="B842" s="12">
        <v>45969</v>
      </c>
      <c r="C842" t="s">
        <v>3</v>
      </c>
      <c r="D842" t="s">
        <v>656</v>
      </c>
    </row>
    <row r="843" spans="1:4" x14ac:dyDescent="0.25">
      <c r="A843">
        <v>23323434</v>
      </c>
      <c r="B843" s="12">
        <v>45680</v>
      </c>
      <c r="C843" t="s">
        <v>2</v>
      </c>
      <c r="D843" t="s">
        <v>644</v>
      </c>
    </row>
    <row r="844" spans="1:4" x14ac:dyDescent="0.25">
      <c r="A844">
        <v>23323438</v>
      </c>
      <c r="B844" s="12">
        <v>45680</v>
      </c>
      <c r="C844" t="s">
        <v>2</v>
      </c>
      <c r="D844" t="s">
        <v>644</v>
      </c>
    </row>
    <row r="845" spans="1:4" x14ac:dyDescent="0.25">
      <c r="A845">
        <v>23323461</v>
      </c>
      <c r="B845" s="12">
        <v>45969</v>
      </c>
      <c r="C845" t="s">
        <v>3</v>
      </c>
      <c r="D845" t="s">
        <v>656</v>
      </c>
    </row>
    <row r="846" spans="1:4" x14ac:dyDescent="0.25">
      <c r="A846">
        <v>23323461</v>
      </c>
      <c r="B846" s="12">
        <v>45680</v>
      </c>
      <c r="C846" t="s">
        <v>2</v>
      </c>
      <c r="D846" t="s">
        <v>644</v>
      </c>
    </row>
    <row r="847" spans="1:4" x14ac:dyDescent="0.25">
      <c r="A847">
        <v>23323466</v>
      </c>
      <c r="B847" s="12">
        <v>45969</v>
      </c>
      <c r="C847" t="s">
        <v>3</v>
      </c>
      <c r="D847" t="s">
        <v>656</v>
      </c>
    </row>
    <row r="848" spans="1:4" x14ac:dyDescent="0.25">
      <c r="A848">
        <v>23323466</v>
      </c>
      <c r="B848" s="12">
        <v>45680</v>
      </c>
      <c r="C848" t="s">
        <v>2</v>
      </c>
      <c r="D848" t="s">
        <v>644</v>
      </c>
    </row>
    <row r="849" spans="1:4" x14ac:dyDescent="0.25">
      <c r="A849">
        <v>23323468</v>
      </c>
      <c r="B849" s="12">
        <v>45969</v>
      </c>
      <c r="C849" t="s">
        <v>3</v>
      </c>
      <c r="D849" t="s">
        <v>656</v>
      </c>
    </row>
    <row r="850" spans="1:4" x14ac:dyDescent="0.25">
      <c r="A850">
        <v>23323468</v>
      </c>
      <c r="B850" s="12">
        <v>45680</v>
      </c>
      <c r="C850" t="s">
        <v>2</v>
      </c>
      <c r="D850" t="s">
        <v>644</v>
      </c>
    </row>
    <row r="851" spans="1:4" x14ac:dyDescent="0.25">
      <c r="A851">
        <v>23323480</v>
      </c>
      <c r="B851" s="12">
        <v>45680</v>
      </c>
      <c r="C851" t="s">
        <v>2</v>
      </c>
      <c r="D851" t="s">
        <v>644</v>
      </c>
    </row>
    <row r="852" spans="1:4" x14ac:dyDescent="0.25">
      <c r="A852">
        <v>23323481</v>
      </c>
      <c r="B852" s="12">
        <v>45969</v>
      </c>
      <c r="C852" t="s">
        <v>3</v>
      </c>
      <c r="D852" t="s">
        <v>656</v>
      </c>
    </row>
    <row r="853" spans="1:4" x14ac:dyDescent="0.25">
      <c r="A853">
        <v>23323481</v>
      </c>
      <c r="B853" s="12">
        <v>45680</v>
      </c>
      <c r="C853" t="s">
        <v>2</v>
      </c>
      <c r="D853" t="s">
        <v>644</v>
      </c>
    </row>
    <row r="854" spans="1:4" x14ac:dyDescent="0.25">
      <c r="A854">
        <v>23323490</v>
      </c>
      <c r="B854" s="12">
        <v>45680</v>
      </c>
      <c r="C854" t="s">
        <v>2</v>
      </c>
      <c r="D854" t="s">
        <v>644</v>
      </c>
    </row>
    <row r="855" spans="1:4" x14ac:dyDescent="0.25">
      <c r="A855">
        <v>23323493</v>
      </c>
      <c r="B855" s="12">
        <v>45965</v>
      </c>
      <c r="C855" t="s">
        <v>0</v>
      </c>
      <c r="D855" t="s">
        <v>657</v>
      </c>
    </row>
    <row r="856" spans="1:4" x14ac:dyDescent="0.25">
      <c r="A856">
        <v>23323493</v>
      </c>
      <c r="B856" s="12">
        <v>45671</v>
      </c>
      <c r="C856" t="s">
        <v>0</v>
      </c>
    </row>
    <row r="857" spans="1:4" x14ac:dyDescent="0.25">
      <c r="A857">
        <v>23323494</v>
      </c>
      <c r="B857" s="12">
        <v>45671</v>
      </c>
      <c r="C857" t="s">
        <v>0</v>
      </c>
    </row>
    <row r="858" spans="1:4" x14ac:dyDescent="0.25">
      <c r="A858">
        <v>23323495</v>
      </c>
      <c r="B858" s="12">
        <v>45671</v>
      </c>
      <c r="C858" t="s">
        <v>0</v>
      </c>
    </row>
    <row r="859" spans="1:4" x14ac:dyDescent="0.25">
      <c r="A859">
        <v>23323496</v>
      </c>
      <c r="B859" s="12">
        <v>45671</v>
      </c>
      <c r="C859" t="s">
        <v>0</v>
      </c>
    </row>
    <row r="860" spans="1:4" x14ac:dyDescent="0.25">
      <c r="A860">
        <v>23323501</v>
      </c>
      <c r="B860" s="12">
        <v>45969</v>
      </c>
      <c r="C860" t="s">
        <v>3</v>
      </c>
      <c r="D860" t="s">
        <v>656</v>
      </c>
    </row>
    <row r="861" spans="1:4" x14ac:dyDescent="0.25">
      <c r="A861">
        <v>23323501</v>
      </c>
      <c r="B861" s="12">
        <v>45680</v>
      </c>
      <c r="C861" t="s">
        <v>2</v>
      </c>
      <c r="D861" t="s">
        <v>644</v>
      </c>
    </row>
    <row r="862" spans="1:4" x14ac:dyDescent="0.25">
      <c r="A862">
        <v>23323507</v>
      </c>
      <c r="B862" s="12">
        <v>45969</v>
      </c>
      <c r="C862" t="s">
        <v>3</v>
      </c>
      <c r="D862" t="s">
        <v>656</v>
      </c>
    </row>
    <row r="863" spans="1:4" x14ac:dyDescent="0.25">
      <c r="A863">
        <v>23323507</v>
      </c>
      <c r="B863" s="12">
        <v>45680</v>
      </c>
      <c r="C863" t="s">
        <v>2</v>
      </c>
      <c r="D863" t="s">
        <v>644</v>
      </c>
    </row>
    <row r="864" spans="1:4" x14ac:dyDescent="0.25">
      <c r="A864">
        <v>23323510</v>
      </c>
      <c r="B864" s="12">
        <v>45969</v>
      </c>
      <c r="C864" t="s">
        <v>3</v>
      </c>
      <c r="D864" t="s">
        <v>656</v>
      </c>
    </row>
    <row r="865" spans="1:4" x14ac:dyDescent="0.25">
      <c r="A865">
        <v>23323510</v>
      </c>
      <c r="B865" s="12">
        <v>45680</v>
      </c>
      <c r="C865" t="s">
        <v>2</v>
      </c>
      <c r="D865" t="s">
        <v>644</v>
      </c>
    </row>
    <row r="866" spans="1:4" x14ac:dyDescent="0.25">
      <c r="A866">
        <v>23323515</v>
      </c>
      <c r="B866" s="12">
        <v>45969</v>
      </c>
      <c r="C866" t="s">
        <v>3</v>
      </c>
      <c r="D866" t="s">
        <v>656</v>
      </c>
    </row>
    <row r="867" spans="1:4" x14ac:dyDescent="0.25">
      <c r="A867">
        <v>23323515</v>
      </c>
      <c r="B867" s="12">
        <v>45680</v>
      </c>
      <c r="C867" t="s">
        <v>2</v>
      </c>
      <c r="D867" t="s">
        <v>644</v>
      </c>
    </row>
    <row r="868" spans="1:4" x14ac:dyDescent="0.25">
      <c r="A868">
        <v>23323523</v>
      </c>
      <c r="B868" s="12">
        <v>45969</v>
      </c>
      <c r="C868" t="s">
        <v>3</v>
      </c>
      <c r="D868" t="s">
        <v>656</v>
      </c>
    </row>
    <row r="869" spans="1:4" x14ac:dyDescent="0.25">
      <c r="A869">
        <v>23323523</v>
      </c>
      <c r="B869" s="12">
        <v>45680</v>
      </c>
      <c r="C869" t="s">
        <v>2</v>
      </c>
      <c r="D869" t="s">
        <v>644</v>
      </c>
    </row>
    <row r="870" spans="1:4" x14ac:dyDescent="0.25">
      <c r="A870">
        <v>23323525</v>
      </c>
      <c r="B870" s="12">
        <v>45969</v>
      </c>
      <c r="C870" t="s">
        <v>3</v>
      </c>
      <c r="D870" t="s">
        <v>656</v>
      </c>
    </row>
    <row r="871" spans="1:4" x14ac:dyDescent="0.25">
      <c r="A871">
        <v>23323525</v>
      </c>
      <c r="B871" s="12">
        <v>45680</v>
      </c>
      <c r="C871" t="s">
        <v>2</v>
      </c>
      <c r="D871" t="s">
        <v>644</v>
      </c>
    </row>
    <row r="872" spans="1:4" x14ac:dyDescent="0.25">
      <c r="A872">
        <v>23323529</v>
      </c>
      <c r="B872" s="12">
        <v>45680</v>
      </c>
      <c r="C872" t="s">
        <v>2</v>
      </c>
      <c r="D872" t="s">
        <v>644</v>
      </c>
    </row>
    <row r="873" spans="1:4" x14ac:dyDescent="0.25">
      <c r="A873">
        <v>23323530</v>
      </c>
      <c r="B873" s="12">
        <v>45969</v>
      </c>
      <c r="C873" t="s">
        <v>3</v>
      </c>
      <c r="D873" t="s">
        <v>656</v>
      </c>
    </row>
    <row r="874" spans="1:4" x14ac:dyDescent="0.25">
      <c r="A874">
        <v>23323530</v>
      </c>
      <c r="B874" s="12">
        <v>45680</v>
      </c>
      <c r="C874" t="s">
        <v>2</v>
      </c>
      <c r="D874" t="s">
        <v>644</v>
      </c>
    </row>
    <row r="875" spans="1:4" x14ac:dyDescent="0.25">
      <c r="A875">
        <v>23323531</v>
      </c>
      <c r="B875" s="12">
        <v>45969</v>
      </c>
      <c r="C875" t="s">
        <v>3</v>
      </c>
      <c r="D875" t="s">
        <v>656</v>
      </c>
    </row>
    <row r="876" spans="1:4" x14ac:dyDescent="0.25">
      <c r="A876">
        <v>23323531</v>
      </c>
      <c r="B876" s="12">
        <v>45680</v>
      </c>
      <c r="C876" t="s">
        <v>2</v>
      </c>
      <c r="D876" t="s">
        <v>644</v>
      </c>
    </row>
    <row r="877" spans="1:4" x14ac:dyDescent="0.25">
      <c r="A877">
        <v>23323534</v>
      </c>
      <c r="B877" s="12">
        <v>45969</v>
      </c>
      <c r="C877" t="s">
        <v>3</v>
      </c>
      <c r="D877" t="s">
        <v>656</v>
      </c>
    </row>
    <row r="878" spans="1:4" x14ac:dyDescent="0.25">
      <c r="A878">
        <v>23323534</v>
      </c>
      <c r="B878" s="12">
        <v>45680</v>
      </c>
      <c r="C878" t="s">
        <v>2</v>
      </c>
      <c r="D878" t="s">
        <v>644</v>
      </c>
    </row>
    <row r="879" spans="1:4" x14ac:dyDescent="0.25">
      <c r="A879">
        <v>23323538</v>
      </c>
      <c r="B879" s="12">
        <v>45969</v>
      </c>
      <c r="C879" t="s">
        <v>3</v>
      </c>
      <c r="D879" t="s">
        <v>656</v>
      </c>
    </row>
    <row r="880" spans="1:4" x14ac:dyDescent="0.25">
      <c r="A880">
        <v>23323538</v>
      </c>
      <c r="B880" s="12">
        <v>45680</v>
      </c>
      <c r="C880" t="s">
        <v>2</v>
      </c>
      <c r="D880" t="s">
        <v>644</v>
      </c>
    </row>
    <row r="881" spans="1:4" x14ac:dyDescent="0.25">
      <c r="A881">
        <v>23323539</v>
      </c>
      <c r="B881" s="12">
        <v>45969</v>
      </c>
      <c r="C881" t="s">
        <v>3</v>
      </c>
      <c r="D881" t="s">
        <v>656</v>
      </c>
    </row>
    <row r="882" spans="1:4" x14ac:dyDescent="0.25">
      <c r="A882">
        <v>23323539</v>
      </c>
      <c r="B882" s="12">
        <v>45680</v>
      </c>
      <c r="C882" t="s">
        <v>2</v>
      </c>
      <c r="D882" t="s">
        <v>644</v>
      </c>
    </row>
    <row r="883" spans="1:4" x14ac:dyDescent="0.25">
      <c r="A883">
        <v>23323540</v>
      </c>
      <c r="B883" s="12">
        <v>45787</v>
      </c>
      <c r="C883" t="s">
        <v>2</v>
      </c>
      <c r="D883" t="s">
        <v>645</v>
      </c>
    </row>
    <row r="884" spans="1:4" x14ac:dyDescent="0.25">
      <c r="A884">
        <v>23323541</v>
      </c>
      <c r="B884" s="12">
        <v>45969</v>
      </c>
      <c r="C884" t="s">
        <v>3</v>
      </c>
      <c r="D884" t="s">
        <v>656</v>
      </c>
    </row>
    <row r="885" spans="1:4" x14ac:dyDescent="0.25">
      <c r="A885">
        <v>23323541</v>
      </c>
      <c r="B885" s="12">
        <v>45680</v>
      </c>
      <c r="C885" t="s">
        <v>2</v>
      </c>
      <c r="D885" t="s">
        <v>644</v>
      </c>
    </row>
    <row r="886" spans="1:4" x14ac:dyDescent="0.25">
      <c r="A886">
        <v>23323542</v>
      </c>
      <c r="B886" s="12">
        <v>45680</v>
      </c>
      <c r="C886" t="s">
        <v>2</v>
      </c>
      <c r="D886" t="s">
        <v>644</v>
      </c>
    </row>
    <row r="887" spans="1:4" x14ac:dyDescent="0.25">
      <c r="A887">
        <v>23323545</v>
      </c>
      <c r="B887" s="12">
        <v>45969</v>
      </c>
      <c r="C887" t="s">
        <v>3</v>
      </c>
      <c r="D887" t="s">
        <v>656</v>
      </c>
    </row>
    <row r="888" spans="1:4" x14ac:dyDescent="0.25">
      <c r="A888">
        <v>23323545</v>
      </c>
      <c r="B888" s="12">
        <v>45680</v>
      </c>
      <c r="C888" t="s">
        <v>2</v>
      </c>
      <c r="D888" t="s">
        <v>644</v>
      </c>
    </row>
    <row r="889" spans="1:4" x14ac:dyDescent="0.25">
      <c r="A889">
        <v>23323546</v>
      </c>
      <c r="B889" s="12">
        <v>45969</v>
      </c>
      <c r="C889" t="s">
        <v>3</v>
      </c>
      <c r="D889" t="s">
        <v>656</v>
      </c>
    </row>
    <row r="890" spans="1:4" x14ac:dyDescent="0.25">
      <c r="A890">
        <v>23323546</v>
      </c>
      <c r="B890" s="12">
        <v>45680</v>
      </c>
      <c r="C890" t="s">
        <v>2</v>
      </c>
      <c r="D890" t="s">
        <v>644</v>
      </c>
    </row>
    <row r="891" spans="1:4" x14ac:dyDescent="0.25">
      <c r="A891">
        <v>23323549</v>
      </c>
      <c r="B891" s="12">
        <v>45969</v>
      </c>
      <c r="C891" t="s">
        <v>3</v>
      </c>
      <c r="D891" t="s">
        <v>656</v>
      </c>
    </row>
    <row r="892" spans="1:4" x14ac:dyDescent="0.25">
      <c r="A892">
        <v>23323549</v>
      </c>
      <c r="B892" s="12">
        <v>45680</v>
      </c>
      <c r="C892" t="s">
        <v>2</v>
      </c>
      <c r="D892" t="s">
        <v>644</v>
      </c>
    </row>
    <row r="893" spans="1:4" x14ac:dyDescent="0.25">
      <c r="A893">
        <v>23323552</v>
      </c>
      <c r="B893" s="12">
        <v>45969</v>
      </c>
      <c r="C893" t="s">
        <v>3</v>
      </c>
      <c r="D893" t="s">
        <v>656</v>
      </c>
    </row>
    <row r="894" spans="1:4" x14ac:dyDescent="0.25">
      <c r="A894">
        <v>23323552</v>
      </c>
      <c r="B894" s="12">
        <v>45680</v>
      </c>
      <c r="C894" t="s">
        <v>2</v>
      </c>
      <c r="D894" t="s">
        <v>644</v>
      </c>
    </row>
    <row r="895" spans="1:4" x14ac:dyDescent="0.25">
      <c r="A895">
        <v>23323553</v>
      </c>
      <c r="B895" s="12">
        <v>45969</v>
      </c>
      <c r="C895" t="s">
        <v>3</v>
      </c>
      <c r="D895" t="s">
        <v>656</v>
      </c>
    </row>
    <row r="896" spans="1:4" x14ac:dyDescent="0.25">
      <c r="A896">
        <v>23323553</v>
      </c>
      <c r="B896" s="12">
        <v>45680</v>
      </c>
      <c r="C896" t="s">
        <v>2</v>
      </c>
      <c r="D896" t="s">
        <v>644</v>
      </c>
    </row>
    <row r="897" spans="1:4" x14ac:dyDescent="0.25">
      <c r="A897">
        <v>23323555</v>
      </c>
      <c r="B897" s="12">
        <v>45680</v>
      </c>
      <c r="C897" t="s">
        <v>2</v>
      </c>
      <c r="D897" t="s">
        <v>644</v>
      </c>
    </row>
    <row r="898" spans="1:4" x14ac:dyDescent="0.25">
      <c r="A898">
        <v>23323557</v>
      </c>
      <c r="B898" s="12">
        <v>45969</v>
      </c>
      <c r="C898" t="s">
        <v>3</v>
      </c>
      <c r="D898" t="s">
        <v>656</v>
      </c>
    </row>
    <row r="899" spans="1:4" x14ac:dyDescent="0.25">
      <c r="A899">
        <v>23323557</v>
      </c>
      <c r="B899" s="12">
        <v>45680</v>
      </c>
      <c r="C899" t="s">
        <v>2</v>
      </c>
      <c r="D899" t="s">
        <v>644</v>
      </c>
    </row>
    <row r="900" spans="1:4" x14ac:dyDescent="0.25">
      <c r="A900">
        <v>23323558</v>
      </c>
      <c r="B900" s="12">
        <v>45680</v>
      </c>
      <c r="C900" t="s">
        <v>2</v>
      </c>
      <c r="D900" t="s">
        <v>644</v>
      </c>
    </row>
    <row r="901" spans="1:4" x14ac:dyDescent="0.25">
      <c r="A901">
        <v>23323559</v>
      </c>
      <c r="B901" s="12">
        <v>45969</v>
      </c>
      <c r="C901" t="s">
        <v>3</v>
      </c>
      <c r="D901" t="s">
        <v>656</v>
      </c>
    </row>
    <row r="902" spans="1:4" x14ac:dyDescent="0.25">
      <c r="A902">
        <v>23323559</v>
      </c>
      <c r="B902" s="12">
        <v>45680</v>
      </c>
      <c r="C902" t="s">
        <v>2</v>
      </c>
      <c r="D902" t="s">
        <v>644</v>
      </c>
    </row>
    <row r="903" spans="1:4" x14ac:dyDescent="0.25">
      <c r="A903">
        <v>23323561</v>
      </c>
      <c r="B903" s="12">
        <v>45680</v>
      </c>
      <c r="C903" t="s">
        <v>2</v>
      </c>
      <c r="D903" t="s">
        <v>644</v>
      </c>
    </row>
    <row r="904" spans="1:4" x14ac:dyDescent="0.25">
      <c r="A904">
        <v>23323562</v>
      </c>
      <c r="B904" s="12">
        <v>45680</v>
      </c>
      <c r="C904" t="s">
        <v>2</v>
      </c>
      <c r="D904" t="s">
        <v>644</v>
      </c>
    </row>
    <row r="905" spans="1:4" x14ac:dyDescent="0.25">
      <c r="A905">
        <v>23323563</v>
      </c>
      <c r="B905" s="12">
        <v>45969</v>
      </c>
      <c r="C905" t="s">
        <v>3</v>
      </c>
      <c r="D905" t="s">
        <v>656</v>
      </c>
    </row>
    <row r="906" spans="1:4" x14ac:dyDescent="0.25">
      <c r="A906">
        <v>23323563</v>
      </c>
      <c r="B906" s="12">
        <v>45680</v>
      </c>
      <c r="C906" t="s">
        <v>2</v>
      </c>
      <c r="D906" t="s">
        <v>644</v>
      </c>
    </row>
    <row r="907" spans="1:4" x14ac:dyDescent="0.25">
      <c r="A907">
        <v>23323564</v>
      </c>
      <c r="B907" s="12">
        <v>45969</v>
      </c>
      <c r="C907" t="s">
        <v>3</v>
      </c>
      <c r="D907" t="s">
        <v>656</v>
      </c>
    </row>
    <row r="908" spans="1:4" x14ac:dyDescent="0.25">
      <c r="A908">
        <v>23323564</v>
      </c>
      <c r="B908" s="12">
        <v>45680</v>
      </c>
      <c r="C908" t="s">
        <v>2</v>
      </c>
      <c r="D908" t="s">
        <v>644</v>
      </c>
    </row>
    <row r="909" spans="1:4" x14ac:dyDescent="0.25">
      <c r="A909">
        <v>23323566</v>
      </c>
      <c r="B909" s="12">
        <v>45680</v>
      </c>
      <c r="C909" t="s">
        <v>2</v>
      </c>
      <c r="D909" t="s">
        <v>644</v>
      </c>
    </row>
    <row r="910" spans="1:4" x14ac:dyDescent="0.25">
      <c r="A910">
        <v>23323572</v>
      </c>
      <c r="B910" s="12">
        <v>45969</v>
      </c>
      <c r="C910" t="s">
        <v>3</v>
      </c>
      <c r="D910" t="s">
        <v>656</v>
      </c>
    </row>
    <row r="911" spans="1:4" x14ac:dyDescent="0.25">
      <c r="A911">
        <v>23323572</v>
      </c>
      <c r="B911" s="12">
        <v>45680</v>
      </c>
      <c r="C911" t="s">
        <v>2</v>
      </c>
      <c r="D911" t="s">
        <v>644</v>
      </c>
    </row>
    <row r="912" spans="1:4" x14ac:dyDescent="0.25">
      <c r="A912">
        <v>23323574</v>
      </c>
      <c r="B912" s="12">
        <v>45969</v>
      </c>
      <c r="C912" t="s">
        <v>3</v>
      </c>
      <c r="D912" t="s">
        <v>656</v>
      </c>
    </row>
    <row r="913" spans="1:4" x14ac:dyDescent="0.25">
      <c r="A913">
        <v>23323574</v>
      </c>
      <c r="B913" s="12">
        <v>45680</v>
      </c>
      <c r="C913" t="s">
        <v>2</v>
      </c>
      <c r="D913" t="s">
        <v>644</v>
      </c>
    </row>
    <row r="914" spans="1:4" x14ac:dyDescent="0.25">
      <c r="A914">
        <v>23323575</v>
      </c>
      <c r="B914" s="12">
        <v>45969</v>
      </c>
      <c r="C914" t="s">
        <v>3</v>
      </c>
      <c r="D914" t="s">
        <v>656</v>
      </c>
    </row>
    <row r="915" spans="1:4" x14ac:dyDescent="0.25">
      <c r="A915">
        <v>23323575</v>
      </c>
      <c r="B915" s="12">
        <v>45680</v>
      </c>
      <c r="C915" t="s">
        <v>2</v>
      </c>
      <c r="D915" t="s">
        <v>644</v>
      </c>
    </row>
    <row r="916" spans="1:4" x14ac:dyDescent="0.25">
      <c r="A916">
        <v>23323577</v>
      </c>
      <c r="B916" s="12">
        <v>45680</v>
      </c>
      <c r="C916" t="s">
        <v>2</v>
      </c>
      <c r="D916" t="s">
        <v>644</v>
      </c>
    </row>
    <row r="917" spans="1:4" x14ac:dyDescent="0.25">
      <c r="A917">
        <v>23323580</v>
      </c>
      <c r="B917" s="12">
        <v>45787</v>
      </c>
      <c r="C917" t="s">
        <v>2</v>
      </c>
      <c r="D917" t="s">
        <v>645</v>
      </c>
    </row>
    <row r="918" spans="1:4" x14ac:dyDescent="0.25">
      <c r="A918">
        <v>23323584</v>
      </c>
      <c r="B918" s="12">
        <v>45969</v>
      </c>
      <c r="C918" t="s">
        <v>3</v>
      </c>
      <c r="D918" t="s">
        <v>656</v>
      </c>
    </row>
    <row r="919" spans="1:4" x14ac:dyDescent="0.25">
      <c r="A919">
        <v>23323584</v>
      </c>
      <c r="B919" s="12">
        <v>45680</v>
      </c>
      <c r="C919" t="s">
        <v>2</v>
      </c>
      <c r="D919" t="s">
        <v>644</v>
      </c>
    </row>
    <row r="920" spans="1:4" x14ac:dyDescent="0.25">
      <c r="A920">
        <v>23323585</v>
      </c>
      <c r="B920" s="12">
        <v>45969</v>
      </c>
      <c r="C920" t="s">
        <v>3</v>
      </c>
      <c r="D920" t="s">
        <v>656</v>
      </c>
    </row>
    <row r="921" spans="1:4" x14ac:dyDescent="0.25">
      <c r="A921">
        <v>23323585</v>
      </c>
      <c r="B921" s="12">
        <v>45680</v>
      </c>
      <c r="C921" t="s">
        <v>2</v>
      </c>
      <c r="D921" t="s">
        <v>644</v>
      </c>
    </row>
    <row r="922" spans="1:4" x14ac:dyDescent="0.25">
      <c r="A922">
        <v>23323589</v>
      </c>
      <c r="B922" s="12">
        <v>45969</v>
      </c>
      <c r="C922" t="s">
        <v>3</v>
      </c>
      <c r="D922" t="s">
        <v>656</v>
      </c>
    </row>
    <row r="923" spans="1:4" x14ac:dyDescent="0.25">
      <c r="A923">
        <v>23323589</v>
      </c>
      <c r="B923" s="12">
        <v>45680</v>
      </c>
      <c r="C923" t="s">
        <v>2</v>
      </c>
      <c r="D923" t="s">
        <v>644</v>
      </c>
    </row>
    <row r="924" spans="1:4" x14ac:dyDescent="0.25">
      <c r="A924">
        <v>23323590</v>
      </c>
      <c r="B924" s="12">
        <v>45969</v>
      </c>
      <c r="C924" t="s">
        <v>3</v>
      </c>
      <c r="D924" t="s">
        <v>656</v>
      </c>
    </row>
    <row r="925" spans="1:4" x14ac:dyDescent="0.25">
      <c r="A925">
        <v>23323590</v>
      </c>
      <c r="B925" s="12">
        <v>45680</v>
      </c>
      <c r="C925" t="s">
        <v>2</v>
      </c>
      <c r="D925" t="s">
        <v>644</v>
      </c>
    </row>
    <row r="926" spans="1:4" x14ac:dyDescent="0.25">
      <c r="A926">
        <v>23323593</v>
      </c>
      <c r="B926" s="12">
        <v>45680</v>
      </c>
      <c r="C926" t="s">
        <v>2</v>
      </c>
      <c r="D926" t="s">
        <v>644</v>
      </c>
    </row>
    <row r="927" spans="1:4" x14ac:dyDescent="0.25">
      <c r="A927">
        <v>23323597</v>
      </c>
      <c r="B927" s="12">
        <v>45969</v>
      </c>
      <c r="C927" t="s">
        <v>3</v>
      </c>
      <c r="D927" t="s">
        <v>656</v>
      </c>
    </row>
    <row r="928" spans="1:4" x14ac:dyDescent="0.25">
      <c r="A928">
        <v>23323597</v>
      </c>
      <c r="B928" s="12">
        <v>45680</v>
      </c>
      <c r="C928" t="s">
        <v>2</v>
      </c>
      <c r="D928" t="s">
        <v>644</v>
      </c>
    </row>
    <row r="929" spans="1:4" x14ac:dyDescent="0.25">
      <c r="A929">
        <v>23323598</v>
      </c>
      <c r="B929" s="12">
        <v>45969</v>
      </c>
      <c r="C929" t="s">
        <v>3</v>
      </c>
      <c r="D929" t="s">
        <v>656</v>
      </c>
    </row>
    <row r="930" spans="1:4" x14ac:dyDescent="0.25">
      <c r="A930">
        <v>23323598</v>
      </c>
      <c r="B930" s="12">
        <v>45680</v>
      </c>
      <c r="C930" t="s">
        <v>2</v>
      </c>
      <c r="D930" t="s">
        <v>644</v>
      </c>
    </row>
    <row r="931" spans="1:4" x14ac:dyDescent="0.25">
      <c r="A931">
        <v>23323599</v>
      </c>
      <c r="B931" s="12">
        <v>45969</v>
      </c>
      <c r="C931" t="s">
        <v>3</v>
      </c>
      <c r="D931" t="s">
        <v>656</v>
      </c>
    </row>
    <row r="932" spans="1:4" x14ac:dyDescent="0.25">
      <c r="A932">
        <v>23323599</v>
      </c>
      <c r="B932" s="12">
        <v>45680</v>
      </c>
      <c r="C932" t="s">
        <v>2</v>
      </c>
      <c r="D932" t="s">
        <v>644</v>
      </c>
    </row>
    <row r="933" spans="1:4" x14ac:dyDescent="0.25">
      <c r="A933">
        <v>23323600</v>
      </c>
      <c r="B933" s="12">
        <v>45787</v>
      </c>
      <c r="C933" t="s">
        <v>2</v>
      </c>
      <c r="D933" t="s">
        <v>645</v>
      </c>
    </row>
    <row r="934" spans="1:4" x14ac:dyDescent="0.25">
      <c r="A934">
        <v>23323602</v>
      </c>
      <c r="B934" s="12">
        <v>45969</v>
      </c>
      <c r="C934" t="s">
        <v>3</v>
      </c>
      <c r="D934" t="s">
        <v>656</v>
      </c>
    </row>
    <row r="935" spans="1:4" x14ac:dyDescent="0.25">
      <c r="A935">
        <v>23323602</v>
      </c>
      <c r="B935" s="12">
        <v>45680</v>
      </c>
      <c r="C935" t="s">
        <v>2</v>
      </c>
      <c r="D935" t="s">
        <v>644</v>
      </c>
    </row>
    <row r="936" spans="1:4" x14ac:dyDescent="0.25">
      <c r="A936">
        <v>23323603</v>
      </c>
      <c r="B936" s="12">
        <v>45787</v>
      </c>
      <c r="C936" t="s">
        <v>2</v>
      </c>
      <c r="D936" t="s">
        <v>645</v>
      </c>
    </row>
    <row r="937" spans="1:4" x14ac:dyDescent="0.25">
      <c r="A937">
        <v>23323604</v>
      </c>
      <c r="B937" s="12">
        <v>45969</v>
      </c>
      <c r="C937" t="s">
        <v>3</v>
      </c>
      <c r="D937" t="s">
        <v>656</v>
      </c>
    </row>
    <row r="938" spans="1:4" x14ac:dyDescent="0.25">
      <c r="A938">
        <v>23323604</v>
      </c>
      <c r="B938" s="12">
        <v>45680</v>
      </c>
      <c r="C938" t="s">
        <v>2</v>
      </c>
      <c r="D938" t="s">
        <v>644</v>
      </c>
    </row>
    <row r="939" spans="1:4" x14ac:dyDescent="0.25">
      <c r="A939">
        <v>23323606</v>
      </c>
      <c r="B939" s="12">
        <v>45680</v>
      </c>
      <c r="C939" t="s">
        <v>2</v>
      </c>
      <c r="D939" t="s">
        <v>644</v>
      </c>
    </row>
    <row r="940" spans="1:4" x14ac:dyDescent="0.25">
      <c r="A940">
        <v>23323607</v>
      </c>
      <c r="B940" s="12">
        <v>45969</v>
      </c>
      <c r="C940" t="s">
        <v>3</v>
      </c>
      <c r="D940" t="s">
        <v>656</v>
      </c>
    </row>
    <row r="941" spans="1:4" x14ac:dyDescent="0.25">
      <c r="A941">
        <v>23323607</v>
      </c>
      <c r="B941" s="12">
        <v>45680</v>
      </c>
      <c r="C941" t="s">
        <v>2</v>
      </c>
      <c r="D941" t="s">
        <v>644</v>
      </c>
    </row>
    <row r="942" spans="1:4" x14ac:dyDescent="0.25">
      <c r="A942">
        <v>23323611</v>
      </c>
      <c r="B942" s="12">
        <v>45969</v>
      </c>
      <c r="C942" t="s">
        <v>3</v>
      </c>
      <c r="D942" t="s">
        <v>656</v>
      </c>
    </row>
    <row r="943" spans="1:4" x14ac:dyDescent="0.25">
      <c r="A943">
        <v>23323611</v>
      </c>
      <c r="B943" s="12">
        <v>45680</v>
      </c>
      <c r="C943" t="s">
        <v>2</v>
      </c>
      <c r="D943" t="s">
        <v>644</v>
      </c>
    </row>
    <row r="944" spans="1:4" x14ac:dyDescent="0.25">
      <c r="A944">
        <v>23323612</v>
      </c>
      <c r="B944" s="12">
        <v>45680</v>
      </c>
      <c r="C944" t="s">
        <v>2</v>
      </c>
      <c r="D944" t="s">
        <v>644</v>
      </c>
    </row>
    <row r="945" spans="1:4" x14ac:dyDescent="0.25">
      <c r="A945">
        <v>23323614</v>
      </c>
      <c r="B945" s="12">
        <v>45969</v>
      </c>
      <c r="C945" t="s">
        <v>3</v>
      </c>
      <c r="D945" t="s">
        <v>656</v>
      </c>
    </row>
    <row r="946" spans="1:4" x14ac:dyDescent="0.25">
      <c r="A946">
        <v>23323614</v>
      </c>
      <c r="B946" s="12">
        <v>45680</v>
      </c>
      <c r="C946" t="s">
        <v>2</v>
      </c>
      <c r="D946" t="s">
        <v>644</v>
      </c>
    </row>
    <row r="947" spans="1:4" x14ac:dyDescent="0.25">
      <c r="A947">
        <v>23323616</v>
      </c>
      <c r="B947" s="12">
        <v>45787</v>
      </c>
      <c r="C947" t="s">
        <v>2</v>
      </c>
      <c r="D947" t="s">
        <v>645</v>
      </c>
    </row>
    <row r="948" spans="1:4" x14ac:dyDescent="0.25">
      <c r="A948">
        <v>23323618</v>
      </c>
      <c r="B948" s="12">
        <v>45969</v>
      </c>
      <c r="C948" t="s">
        <v>3</v>
      </c>
      <c r="D948" t="s">
        <v>656</v>
      </c>
    </row>
    <row r="949" spans="1:4" x14ac:dyDescent="0.25">
      <c r="A949">
        <v>23323618</v>
      </c>
      <c r="B949" s="12">
        <v>45680</v>
      </c>
      <c r="C949" t="s">
        <v>2</v>
      </c>
      <c r="D949" t="s">
        <v>644</v>
      </c>
    </row>
    <row r="950" spans="1:4" x14ac:dyDescent="0.25">
      <c r="A950">
        <v>23323621</v>
      </c>
      <c r="B950" s="12">
        <v>45787</v>
      </c>
      <c r="C950" t="s">
        <v>2</v>
      </c>
      <c r="D950" t="s">
        <v>645</v>
      </c>
    </row>
    <row r="951" spans="1:4" x14ac:dyDescent="0.25">
      <c r="A951">
        <v>23323622</v>
      </c>
      <c r="B951" s="12">
        <v>45969</v>
      </c>
      <c r="C951" t="s">
        <v>3</v>
      </c>
      <c r="D951" t="s">
        <v>656</v>
      </c>
    </row>
    <row r="952" spans="1:4" x14ac:dyDescent="0.25">
      <c r="A952">
        <v>23323622</v>
      </c>
      <c r="B952" s="12">
        <v>45680</v>
      </c>
      <c r="C952" t="s">
        <v>2</v>
      </c>
      <c r="D952" t="s">
        <v>644</v>
      </c>
    </row>
    <row r="953" spans="1:4" x14ac:dyDescent="0.25">
      <c r="A953">
        <v>23323623</v>
      </c>
      <c r="B953" s="12">
        <v>45787</v>
      </c>
      <c r="C953" t="s">
        <v>2</v>
      </c>
      <c r="D953" t="s">
        <v>645</v>
      </c>
    </row>
    <row r="954" spans="1:4" x14ac:dyDescent="0.25">
      <c r="A954">
        <v>23323624</v>
      </c>
      <c r="B954" s="12">
        <v>45787</v>
      </c>
      <c r="C954" t="s">
        <v>2</v>
      </c>
      <c r="D954" t="s">
        <v>645</v>
      </c>
    </row>
    <row r="955" spans="1:4" x14ac:dyDescent="0.25">
      <c r="A955">
        <v>23323625</v>
      </c>
      <c r="B955" s="12">
        <v>45969</v>
      </c>
      <c r="C955" t="s">
        <v>3</v>
      </c>
      <c r="D955" t="s">
        <v>656</v>
      </c>
    </row>
    <row r="956" spans="1:4" x14ac:dyDescent="0.25">
      <c r="A956">
        <v>23323625</v>
      </c>
      <c r="B956" s="12">
        <v>45680</v>
      </c>
      <c r="C956" t="s">
        <v>2</v>
      </c>
      <c r="D956" t="s">
        <v>644</v>
      </c>
    </row>
    <row r="957" spans="1:4" x14ac:dyDescent="0.25">
      <c r="A957">
        <v>23323626</v>
      </c>
      <c r="B957" s="12">
        <v>45969</v>
      </c>
      <c r="C957" t="s">
        <v>3</v>
      </c>
      <c r="D957" t="s">
        <v>656</v>
      </c>
    </row>
    <row r="958" spans="1:4" x14ac:dyDescent="0.25">
      <c r="A958">
        <v>23323626</v>
      </c>
      <c r="B958" s="12">
        <v>45680</v>
      </c>
      <c r="C958" t="s">
        <v>2</v>
      </c>
      <c r="D958" t="s">
        <v>644</v>
      </c>
    </row>
    <row r="959" spans="1:4" x14ac:dyDescent="0.25">
      <c r="A959">
        <v>23323627</v>
      </c>
      <c r="B959" s="12">
        <v>45680</v>
      </c>
      <c r="C959" t="s">
        <v>2</v>
      </c>
      <c r="D959" t="s">
        <v>644</v>
      </c>
    </row>
    <row r="960" spans="1:4" x14ac:dyDescent="0.25">
      <c r="A960">
        <v>23323628</v>
      </c>
      <c r="B960" s="12">
        <v>45787</v>
      </c>
      <c r="C960" t="s">
        <v>2</v>
      </c>
      <c r="D960" t="s">
        <v>645</v>
      </c>
    </row>
    <row r="961" spans="1:4" x14ac:dyDescent="0.25">
      <c r="A961">
        <v>23323630</v>
      </c>
      <c r="B961" s="12">
        <v>45969</v>
      </c>
      <c r="C961" t="s">
        <v>3</v>
      </c>
      <c r="D961" t="s">
        <v>656</v>
      </c>
    </row>
    <row r="962" spans="1:4" x14ac:dyDescent="0.25">
      <c r="A962">
        <v>23323630</v>
      </c>
      <c r="B962" s="12">
        <v>45680</v>
      </c>
      <c r="C962" t="s">
        <v>2</v>
      </c>
      <c r="D962" t="s">
        <v>644</v>
      </c>
    </row>
    <row r="963" spans="1:4" x14ac:dyDescent="0.25">
      <c r="A963">
        <v>23323631</v>
      </c>
      <c r="B963" s="12">
        <v>45680</v>
      </c>
      <c r="C963" t="s">
        <v>2</v>
      </c>
      <c r="D963" t="s">
        <v>644</v>
      </c>
    </row>
    <row r="964" spans="1:4" x14ac:dyDescent="0.25">
      <c r="A964">
        <v>23323636</v>
      </c>
      <c r="B964" s="12">
        <v>45966</v>
      </c>
      <c r="C964" t="s">
        <v>0</v>
      </c>
      <c r="D964" t="s">
        <v>655</v>
      </c>
    </row>
    <row r="965" spans="1:4" x14ac:dyDescent="0.25">
      <c r="A965">
        <v>23323636</v>
      </c>
      <c r="B965" s="12">
        <v>45671</v>
      </c>
      <c r="C965" t="s">
        <v>0</v>
      </c>
    </row>
    <row r="966" spans="1:4" x14ac:dyDescent="0.25">
      <c r="A966">
        <v>23323637</v>
      </c>
      <c r="B966" s="12">
        <v>45966</v>
      </c>
      <c r="C966" t="s">
        <v>0</v>
      </c>
      <c r="D966" t="s">
        <v>655</v>
      </c>
    </row>
    <row r="967" spans="1:4" x14ac:dyDescent="0.25">
      <c r="A967">
        <v>23323637</v>
      </c>
      <c r="B967" s="12">
        <v>45671</v>
      </c>
      <c r="C967" t="s">
        <v>0</v>
      </c>
    </row>
    <row r="968" spans="1:4" x14ac:dyDescent="0.25">
      <c r="A968">
        <v>23323638</v>
      </c>
      <c r="B968" s="12">
        <v>45965</v>
      </c>
      <c r="C968" t="s">
        <v>0</v>
      </c>
      <c r="D968" t="s">
        <v>657</v>
      </c>
    </row>
    <row r="969" spans="1:4" x14ac:dyDescent="0.25">
      <c r="A969">
        <v>23323638</v>
      </c>
      <c r="B969" s="12">
        <v>45671</v>
      </c>
      <c r="C969" t="s">
        <v>0</v>
      </c>
    </row>
    <row r="970" spans="1:4" x14ac:dyDescent="0.25">
      <c r="A970">
        <v>23323639</v>
      </c>
      <c r="B970" s="12">
        <v>45965</v>
      </c>
      <c r="C970" t="s">
        <v>0</v>
      </c>
      <c r="D970" t="s">
        <v>657</v>
      </c>
    </row>
    <row r="971" spans="1:4" x14ac:dyDescent="0.25">
      <c r="A971">
        <v>23323639</v>
      </c>
      <c r="B971" s="12">
        <v>45671</v>
      </c>
      <c r="C971" t="s">
        <v>0</v>
      </c>
    </row>
    <row r="972" spans="1:4" x14ac:dyDescent="0.25">
      <c r="A972">
        <v>23323640</v>
      </c>
      <c r="B972" s="12">
        <v>45671</v>
      </c>
      <c r="C972" t="s">
        <v>0</v>
      </c>
    </row>
    <row r="973" spans="1:4" x14ac:dyDescent="0.25">
      <c r="A973">
        <v>23323641</v>
      </c>
      <c r="B973" s="12">
        <v>45966</v>
      </c>
      <c r="C973" t="s">
        <v>0</v>
      </c>
      <c r="D973" t="s">
        <v>655</v>
      </c>
    </row>
    <row r="974" spans="1:4" x14ac:dyDescent="0.25">
      <c r="A974">
        <v>23323641</v>
      </c>
      <c r="B974" s="12">
        <v>45671</v>
      </c>
      <c r="C974" t="s">
        <v>0</v>
      </c>
    </row>
    <row r="975" spans="1:4" x14ac:dyDescent="0.25">
      <c r="A975">
        <v>23323650</v>
      </c>
      <c r="B975" s="12">
        <v>45965</v>
      </c>
      <c r="C975" t="s">
        <v>0</v>
      </c>
      <c r="D975" t="s">
        <v>657</v>
      </c>
    </row>
    <row r="976" spans="1:4" x14ac:dyDescent="0.25">
      <c r="A976">
        <v>23323650</v>
      </c>
      <c r="B976" s="12">
        <v>45818</v>
      </c>
      <c r="C976" t="s">
        <v>0</v>
      </c>
      <c r="D976" t="s">
        <v>650</v>
      </c>
    </row>
    <row r="977" spans="1:4" x14ac:dyDescent="0.25">
      <c r="A977">
        <v>23323652</v>
      </c>
      <c r="B977" s="12">
        <v>45965</v>
      </c>
      <c r="C977" t="s">
        <v>0</v>
      </c>
      <c r="D977" t="s">
        <v>657</v>
      </c>
    </row>
    <row r="978" spans="1:4" x14ac:dyDescent="0.25">
      <c r="A978">
        <v>23323653</v>
      </c>
      <c r="B978" s="12">
        <v>45965</v>
      </c>
      <c r="C978" t="s">
        <v>0</v>
      </c>
      <c r="D978" t="s">
        <v>653</v>
      </c>
    </row>
    <row r="979" spans="1:4" x14ac:dyDescent="0.25">
      <c r="A979">
        <v>23323653</v>
      </c>
      <c r="B979" s="12">
        <v>45813</v>
      </c>
      <c r="C979" t="s">
        <v>1</v>
      </c>
      <c r="D979" t="s">
        <v>647</v>
      </c>
    </row>
    <row r="980" spans="1:4" x14ac:dyDescent="0.25">
      <c r="A980">
        <v>23323654</v>
      </c>
      <c r="B980" s="12">
        <v>45965</v>
      </c>
      <c r="C980" t="s">
        <v>0</v>
      </c>
      <c r="D980" t="s">
        <v>657</v>
      </c>
    </row>
    <row r="981" spans="1:4" x14ac:dyDescent="0.25">
      <c r="A981">
        <v>23323654</v>
      </c>
      <c r="B981" s="12">
        <v>45671</v>
      </c>
      <c r="C981" t="s">
        <v>0</v>
      </c>
    </row>
    <row r="982" spans="1:4" x14ac:dyDescent="0.25">
      <c r="A982">
        <v>23323655</v>
      </c>
      <c r="B982" s="12">
        <v>45671</v>
      </c>
      <c r="C982" t="s">
        <v>0</v>
      </c>
    </row>
    <row r="983" spans="1:4" x14ac:dyDescent="0.25">
      <c r="A983">
        <v>23323656</v>
      </c>
      <c r="B983" s="12">
        <v>45671</v>
      </c>
      <c r="C983" t="s">
        <v>0</v>
      </c>
    </row>
    <row r="984" spans="1:4" x14ac:dyDescent="0.25">
      <c r="A984">
        <v>23323656</v>
      </c>
      <c r="B984" s="12">
        <v>45671</v>
      </c>
      <c r="C984" t="s">
        <v>0</v>
      </c>
      <c r="D984" t="s">
        <v>643</v>
      </c>
    </row>
    <row r="985" spans="1:4" x14ac:dyDescent="0.25">
      <c r="A985">
        <v>23323666</v>
      </c>
      <c r="B985" s="12">
        <v>45966</v>
      </c>
      <c r="C985" t="s">
        <v>0</v>
      </c>
      <c r="D985" t="s">
        <v>655</v>
      </c>
    </row>
    <row r="986" spans="1:4" x14ac:dyDescent="0.25">
      <c r="A986">
        <v>23323670</v>
      </c>
      <c r="B986" s="12">
        <v>45966</v>
      </c>
      <c r="C986" t="s">
        <v>0</v>
      </c>
      <c r="D986" t="s">
        <v>655</v>
      </c>
    </row>
    <row r="987" spans="1:4" x14ac:dyDescent="0.25">
      <c r="A987">
        <v>23323673</v>
      </c>
      <c r="B987" s="12">
        <v>45818</v>
      </c>
      <c r="C987" t="s">
        <v>0</v>
      </c>
      <c r="D987" t="s">
        <v>650</v>
      </c>
    </row>
    <row r="988" spans="1:4" x14ac:dyDescent="0.25">
      <c r="A988">
        <v>23323674</v>
      </c>
      <c r="B988" s="12">
        <v>45818</v>
      </c>
      <c r="C988" t="s">
        <v>0</v>
      </c>
      <c r="D988" t="s">
        <v>650</v>
      </c>
    </row>
    <row r="989" spans="1:4" x14ac:dyDescent="0.25">
      <c r="A989">
        <v>23323676</v>
      </c>
      <c r="B989" s="12">
        <v>45965</v>
      </c>
      <c r="C989" t="s">
        <v>0</v>
      </c>
      <c r="D989" t="s">
        <v>654</v>
      </c>
    </row>
    <row r="990" spans="1:4" x14ac:dyDescent="0.25">
      <c r="A990">
        <v>23323679</v>
      </c>
      <c r="B990" s="12">
        <v>45966</v>
      </c>
      <c r="C990" t="s">
        <v>0</v>
      </c>
      <c r="D990" t="s">
        <v>655</v>
      </c>
    </row>
    <row r="991" spans="1:4" x14ac:dyDescent="0.25">
      <c r="A991">
        <v>23323680</v>
      </c>
      <c r="B991" s="12">
        <v>45966</v>
      </c>
      <c r="C991" t="s">
        <v>0</v>
      </c>
      <c r="D991" t="s">
        <v>655</v>
      </c>
    </row>
    <row r="992" spans="1:4" x14ac:dyDescent="0.25">
      <c r="A992">
        <v>23323682</v>
      </c>
      <c r="B992" s="12">
        <v>45965</v>
      </c>
      <c r="C992" t="s">
        <v>0</v>
      </c>
      <c r="D992" t="s">
        <v>657</v>
      </c>
    </row>
    <row r="993" spans="1:4" x14ac:dyDescent="0.25">
      <c r="A993">
        <v>23323683</v>
      </c>
      <c r="B993" s="12">
        <v>45965</v>
      </c>
      <c r="C993" t="s">
        <v>0</v>
      </c>
      <c r="D993" t="s">
        <v>657</v>
      </c>
    </row>
    <row r="994" spans="1:4" x14ac:dyDescent="0.25">
      <c r="A994">
        <v>23323684</v>
      </c>
      <c r="B994" s="12">
        <v>45965</v>
      </c>
      <c r="C994" t="s">
        <v>0</v>
      </c>
      <c r="D994" t="s">
        <v>657</v>
      </c>
    </row>
    <row r="995" spans="1:4" x14ac:dyDescent="0.25">
      <c r="A995">
        <v>23323685</v>
      </c>
      <c r="B995" s="12">
        <v>45965</v>
      </c>
      <c r="C995" t="s">
        <v>0</v>
      </c>
      <c r="D995" t="s">
        <v>657</v>
      </c>
    </row>
    <row r="996" spans="1:4" x14ac:dyDescent="0.25">
      <c r="A996">
        <v>24316816</v>
      </c>
      <c r="B996" s="12">
        <v>45671</v>
      </c>
      <c r="C996" t="s">
        <v>0</v>
      </c>
    </row>
    <row r="997" spans="1:4" x14ac:dyDescent="0.25">
      <c r="A997">
        <v>24567021</v>
      </c>
      <c r="B997" s="12">
        <v>45887</v>
      </c>
      <c r="C997" t="s">
        <v>8</v>
      </c>
      <c r="D997" t="s">
        <v>652</v>
      </c>
    </row>
    <row r="998" spans="1:4" x14ac:dyDescent="0.25">
      <c r="A998">
        <v>24567029</v>
      </c>
      <c r="B998" s="12">
        <v>45887</v>
      </c>
      <c r="C998" t="s">
        <v>8</v>
      </c>
      <c r="D998" t="s">
        <v>652</v>
      </c>
    </row>
    <row r="999" spans="1:4" x14ac:dyDescent="0.25">
      <c r="A999">
        <v>24567032</v>
      </c>
      <c r="B999" s="12">
        <v>45887</v>
      </c>
      <c r="C999" t="s">
        <v>8</v>
      </c>
      <c r="D999" t="s">
        <v>652</v>
      </c>
    </row>
    <row r="1000" spans="1:4" x14ac:dyDescent="0.25">
      <c r="A1000">
        <v>24567038</v>
      </c>
      <c r="B1000" s="12">
        <v>45813</v>
      </c>
      <c r="C1000" t="s">
        <v>1</v>
      </c>
      <c r="D1000" t="s">
        <v>648</v>
      </c>
    </row>
    <row r="1001" spans="1:4" x14ac:dyDescent="0.25">
      <c r="A1001">
        <v>24567039</v>
      </c>
      <c r="B1001" s="12">
        <v>45887</v>
      </c>
      <c r="C1001" t="s">
        <v>8</v>
      </c>
      <c r="D1001" t="s">
        <v>652</v>
      </c>
    </row>
    <row r="1002" spans="1:4" x14ac:dyDescent="0.25">
      <c r="A1002">
        <v>24567046</v>
      </c>
      <c r="B1002" s="12">
        <v>45887</v>
      </c>
      <c r="C1002" t="s">
        <v>8</v>
      </c>
      <c r="D1002" t="s">
        <v>652</v>
      </c>
    </row>
    <row r="1003" spans="1:4" x14ac:dyDescent="0.25">
      <c r="A1003">
        <v>24567047</v>
      </c>
      <c r="B1003" s="12">
        <v>45887</v>
      </c>
      <c r="C1003" t="s">
        <v>8</v>
      </c>
      <c r="D1003" t="s">
        <v>652</v>
      </c>
    </row>
    <row r="1004" spans="1:4" x14ac:dyDescent="0.25">
      <c r="A1004">
        <v>24567064</v>
      </c>
      <c r="B1004" s="12">
        <v>45887</v>
      </c>
      <c r="C1004" t="s">
        <v>8</v>
      </c>
      <c r="D1004" t="s">
        <v>652</v>
      </c>
    </row>
    <row r="1005" spans="1:4" x14ac:dyDescent="0.25">
      <c r="A1005">
        <v>24567065</v>
      </c>
      <c r="B1005" s="12">
        <v>45813</v>
      </c>
      <c r="C1005" t="s">
        <v>1</v>
      </c>
      <c r="D1005" t="s">
        <v>648</v>
      </c>
    </row>
    <row r="1006" spans="1:4" x14ac:dyDescent="0.25">
      <c r="A1006">
        <v>24567068</v>
      </c>
      <c r="B1006" s="12">
        <v>45813</v>
      </c>
      <c r="C1006" t="s">
        <v>1</v>
      </c>
      <c r="D1006" t="s">
        <v>648</v>
      </c>
    </row>
    <row r="1007" spans="1:4" x14ac:dyDescent="0.25">
      <c r="A1007">
        <v>24567070</v>
      </c>
      <c r="B1007" s="12">
        <v>45887</v>
      </c>
      <c r="C1007" t="s">
        <v>8</v>
      </c>
      <c r="D1007" t="s">
        <v>652</v>
      </c>
    </row>
    <row r="1008" spans="1:4" x14ac:dyDescent="0.25">
      <c r="A1008">
        <v>24567074</v>
      </c>
      <c r="B1008" s="12">
        <v>45813</v>
      </c>
      <c r="C1008" t="s">
        <v>1</v>
      </c>
      <c r="D1008" t="s">
        <v>648</v>
      </c>
    </row>
    <row r="1009" spans="1:4" x14ac:dyDescent="0.25">
      <c r="A1009">
        <v>24567077</v>
      </c>
      <c r="B1009" s="12">
        <v>45813</v>
      </c>
      <c r="C1009" t="s">
        <v>1</v>
      </c>
      <c r="D1009" t="s">
        <v>648</v>
      </c>
    </row>
    <row r="1010" spans="1:4" x14ac:dyDescent="0.25">
      <c r="A1010">
        <v>24567078</v>
      </c>
      <c r="B1010" s="12">
        <v>45887</v>
      </c>
      <c r="C1010" t="s">
        <v>8</v>
      </c>
      <c r="D1010" t="s">
        <v>652</v>
      </c>
    </row>
    <row r="1011" spans="1:4" x14ac:dyDescent="0.25">
      <c r="A1011">
        <v>24567085</v>
      </c>
      <c r="B1011" s="12">
        <v>45887</v>
      </c>
      <c r="C1011" t="s">
        <v>8</v>
      </c>
      <c r="D1011" t="s">
        <v>652</v>
      </c>
    </row>
    <row r="1012" spans="1:4" x14ac:dyDescent="0.25">
      <c r="A1012">
        <v>24567105</v>
      </c>
      <c r="B1012" s="12">
        <v>45887</v>
      </c>
      <c r="C1012" t="s">
        <v>8</v>
      </c>
      <c r="D1012" t="s">
        <v>652</v>
      </c>
    </row>
    <row r="1013" spans="1:4" x14ac:dyDescent="0.25">
      <c r="A1013">
        <v>24567110</v>
      </c>
      <c r="B1013" s="12">
        <v>45887</v>
      </c>
      <c r="C1013" t="s">
        <v>8</v>
      </c>
      <c r="D1013" t="s">
        <v>652</v>
      </c>
    </row>
    <row r="1014" spans="1:4" x14ac:dyDescent="0.25">
      <c r="A1014">
        <v>24567112</v>
      </c>
      <c r="B1014" s="12">
        <v>45813</v>
      </c>
      <c r="C1014" t="s">
        <v>1</v>
      </c>
      <c r="D1014" t="s">
        <v>648</v>
      </c>
    </row>
    <row r="1015" spans="1:4" x14ac:dyDescent="0.25">
      <c r="A1015">
        <v>24567117</v>
      </c>
      <c r="B1015" s="12">
        <v>45887</v>
      </c>
      <c r="C1015" t="s">
        <v>8</v>
      </c>
      <c r="D1015" t="s">
        <v>652</v>
      </c>
    </row>
    <row r="1016" spans="1:4" x14ac:dyDescent="0.25">
      <c r="A1016">
        <v>24567131</v>
      </c>
      <c r="B1016" s="12">
        <v>45887</v>
      </c>
      <c r="C1016" t="s">
        <v>8</v>
      </c>
      <c r="D1016" t="s">
        <v>652</v>
      </c>
    </row>
    <row r="1017" spans="1:4" x14ac:dyDescent="0.25">
      <c r="A1017">
        <v>24567148</v>
      </c>
      <c r="B1017" s="12">
        <v>45887</v>
      </c>
      <c r="C1017" t="s">
        <v>8</v>
      </c>
      <c r="D1017" t="s">
        <v>652</v>
      </c>
    </row>
    <row r="1018" spans="1:4" x14ac:dyDescent="0.25">
      <c r="A1018">
        <v>24567150</v>
      </c>
      <c r="B1018" s="12">
        <v>45887</v>
      </c>
      <c r="C1018" t="s">
        <v>8</v>
      </c>
      <c r="D1018" t="s">
        <v>652</v>
      </c>
    </row>
    <row r="1019" spans="1:4" x14ac:dyDescent="0.25">
      <c r="A1019">
        <v>24567155</v>
      </c>
      <c r="B1019" s="12">
        <v>45887</v>
      </c>
      <c r="C1019" t="s">
        <v>8</v>
      </c>
      <c r="D1019" t="s">
        <v>652</v>
      </c>
    </row>
    <row r="1020" spans="1:4" x14ac:dyDescent="0.25">
      <c r="A1020">
        <v>24567156</v>
      </c>
      <c r="B1020" s="12">
        <v>45887</v>
      </c>
      <c r="C1020" t="s">
        <v>8</v>
      </c>
      <c r="D1020" t="s">
        <v>652</v>
      </c>
    </row>
    <row r="1021" spans="1:4" x14ac:dyDescent="0.25">
      <c r="A1021">
        <v>24567161</v>
      </c>
      <c r="B1021" s="12">
        <v>45887</v>
      </c>
      <c r="C1021" t="s">
        <v>8</v>
      </c>
      <c r="D1021" t="s">
        <v>652</v>
      </c>
    </row>
    <row r="1022" spans="1:4" x14ac:dyDescent="0.25">
      <c r="A1022">
        <v>24567166</v>
      </c>
      <c r="B1022" s="12">
        <v>45887</v>
      </c>
      <c r="C1022" t="s">
        <v>8</v>
      </c>
      <c r="D1022" t="s">
        <v>652</v>
      </c>
    </row>
    <row r="1023" spans="1:4" x14ac:dyDescent="0.25">
      <c r="A1023">
        <v>24567167</v>
      </c>
      <c r="B1023" s="12">
        <v>45887</v>
      </c>
      <c r="C1023" t="s">
        <v>8</v>
      </c>
      <c r="D1023" t="s">
        <v>652</v>
      </c>
    </row>
    <row r="1024" spans="1:4" x14ac:dyDescent="0.25">
      <c r="A1024">
        <v>24567173</v>
      </c>
      <c r="B1024" s="12">
        <v>45887</v>
      </c>
      <c r="C1024" t="s">
        <v>8</v>
      </c>
      <c r="D1024" t="s">
        <v>652</v>
      </c>
    </row>
    <row r="1025" spans="1:4" x14ac:dyDescent="0.25">
      <c r="A1025">
        <v>24567175</v>
      </c>
      <c r="B1025" s="12">
        <v>45887</v>
      </c>
      <c r="C1025" t="s">
        <v>8</v>
      </c>
      <c r="D1025" t="s">
        <v>652</v>
      </c>
    </row>
    <row r="1026" spans="1:4" x14ac:dyDescent="0.25">
      <c r="A1026">
        <v>24567190</v>
      </c>
      <c r="B1026" s="12">
        <v>45887</v>
      </c>
      <c r="C1026" t="s">
        <v>8</v>
      </c>
      <c r="D1026" t="s">
        <v>652</v>
      </c>
    </row>
    <row r="1027" spans="1:4" x14ac:dyDescent="0.25">
      <c r="A1027">
        <v>24567192</v>
      </c>
      <c r="B1027" s="12">
        <v>45887</v>
      </c>
      <c r="C1027" t="s">
        <v>8</v>
      </c>
      <c r="D1027" t="s">
        <v>652</v>
      </c>
    </row>
    <row r="1028" spans="1:4" x14ac:dyDescent="0.25">
      <c r="A1028">
        <v>24567194</v>
      </c>
      <c r="B1028" s="12">
        <v>45887</v>
      </c>
      <c r="C1028" t="s">
        <v>8</v>
      </c>
      <c r="D1028" t="s">
        <v>652</v>
      </c>
    </row>
    <row r="1029" spans="1:4" x14ac:dyDescent="0.25">
      <c r="A1029">
        <v>24567198</v>
      </c>
      <c r="B1029" s="12">
        <v>45887</v>
      </c>
      <c r="C1029" t="s">
        <v>8</v>
      </c>
      <c r="D1029" t="s">
        <v>652</v>
      </c>
    </row>
    <row r="1030" spans="1:4" x14ac:dyDescent="0.25">
      <c r="A1030">
        <v>24567204</v>
      </c>
      <c r="B1030" s="12">
        <v>45887</v>
      </c>
      <c r="C1030" t="s">
        <v>8</v>
      </c>
      <c r="D1030" t="s">
        <v>652</v>
      </c>
    </row>
    <row r="1031" spans="1:4" x14ac:dyDescent="0.25">
      <c r="A1031">
        <v>24567210</v>
      </c>
      <c r="B1031" s="12">
        <v>45887</v>
      </c>
      <c r="C1031" t="s">
        <v>8</v>
      </c>
      <c r="D1031" t="s">
        <v>652</v>
      </c>
    </row>
    <row r="1032" spans="1:4" x14ac:dyDescent="0.25">
      <c r="A1032">
        <v>24567215</v>
      </c>
      <c r="B1032" s="12">
        <v>45887</v>
      </c>
      <c r="C1032" t="s">
        <v>8</v>
      </c>
      <c r="D1032" t="s">
        <v>652</v>
      </c>
    </row>
    <row r="1033" spans="1:4" x14ac:dyDescent="0.25">
      <c r="A1033">
        <v>24567219</v>
      </c>
      <c r="B1033" s="12">
        <v>45887</v>
      </c>
      <c r="C1033" t="s">
        <v>8</v>
      </c>
      <c r="D1033" t="s">
        <v>652</v>
      </c>
    </row>
    <row r="1034" spans="1:4" x14ac:dyDescent="0.25">
      <c r="A1034">
        <v>24567220</v>
      </c>
      <c r="B1034" s="12">
        <v>45887</v>
      </c>
      <c r="C1034" t="s">
        <v>8</v>
      </c>
      <c r="D1034" t="s">
        <v>652</v>
      </c>
    </row>
    <row r="1035" spans="1:4" x14ac:dyDescent="0.25">
      <c r="A1035">
        <v>24567221</v>
      </c>
      <c r="B1035" s="12">
        <v>45887</v>
      </c>
      <c r="C1035" t="s">
        <v>8</v>
      </c>
      <c r="D1035" t="s">
        <v>652</v>
      </c>
    </row>
    <row r="1036" spans="1:4" x14ac:dyDescent="0.25">
      <c r="A1036">
        <v>24567224</v>
      </c>
      <c r="B1036" s="12">
        <v>45887</v>
      </c>
      <c r="C1036" t="s">
        <v>8</v>
      </c>
      <c r="D1036" t="s">
        <v>652</v>
      </c>
    </row>
    <row r="1037" spans="1:4" x14ac:dyDescent="0.25">
      <c r="A1037">
        <v>24567226</v>
      </c>
      <c r="B1037" s="12">
        <v>45887</v>
      </c>
      <c r="C1037" t="s">
        <v>8</v>
      </c>
      <c r="D1037" t="s">
        <v>652</v>
      </c>
    </row>
    <row r="1038" spans="1:4" x14ac:dyDescent="0.25">
      <c r="A1038">
        <v>24567229</v>
      </c>
      <c r="B1038" s="12">
        <v>45887</v>
      </c>
      <c r="C1038" t="s">
        <v>8</v>
      </c>
      <c r="D1038" t="s">
        <v>652</v>
      </c>
    </row>
    <row r="1039" spans="1:4" x14ac:dyDescent="0.25">
      <c r="A1039">
        <v>24567232</v>
      </c>
      <c r="B1039" s="12">
        <v>45887</v>
      </c>
      <c r="C1039" t="s">
        <v>8</v>
      </c>
      <c r="D1039" t="s">
        <v>652</v>
      </c>
    </row>
    <row r="1040" spans="1:4" x14ac:dyDescent="0.25">
      <c r="A1040">
        <v>24567242</v>
      </c>
      <c r="B1040" s="12">
        <v>45887</v>
      </c>
      <c r="C1040" t="s">
        <v>8</v>
      </c>
      <c r="D1040" t="s">
        <v>652</v>
      </c>
    </row>
    <row r="1041" spans="1:4" x14ac:dyDescent="0.25">
      <c r="A1041">
        <v>24567251</v>
      </c>
      <c r="B1041" s="12">
        <v>45887</v>
      </c>
      <c r="C1041" t="s">
        <v>8</v>
      </c>
      <c r="D1041" t="s">
        <v>652</v>
      </c>
    </row>
    <row r="1042" spans="1:4" x14ac:dyDescent="0.25">
      <c r="A1042">
        <v>24567254</v>
      </c>
      <c r="B1042" s="12">
        <v>45887</v>
      </c>
      <c r="C1042" t="s">
        <v>8</v>
      </c>
      <c r="D1042" t="s">
        <v>652</v>
      </c>
    </row>
    <row r="1043" spans="1:4" x14ac:dyDescent="0.25">
      <c r="A1043">
        <v>24567255</v>
      </c>
      <c r="B1043" s="12">
        <v>45813</v>
      </c>
      <c r="C1043" t="s">
        <v>1</v>
      </c>
      <c r="D1043" t="s">
        <v>648</v>
      </c>
    </row>
    <row r="1044" spans="1:4" x14ac:dyDescent="0.25">
      <c r="A1044">
        <v>24567256</v>
      </c>
      <c r="B1044" s="12">
        <v>45887</v>
      </c>
      <c r="C1044" t="s">
        <v>8</v>
      </c>
      <c r="D1044" t="s">
        <v>652</v>
      </c>
    </row>
    <row r="1045" spans="1:4" x14ac:dyDescent="0.25">
      <c r="A1045">
        <v>24567258</v>
      </c>
      <c r="B1045" s="12">
        <v>45813</v>
      </c>
      <c r="C1045" t="s">
        <v>1</v>
      </c>
      <c r="D1045" t="s">
        <v>648</v>
      </c>
    </row>
    <row r="1046" spans="1:4" x14ac:dyDescent="0.25">
      <c r="A1046">
        <v>24567259</v>
      </c>
      <c r="B1046" s="12">
        <v>45887</v>
      </c>
      <c r="C1046" t="s">
        <v>8</v>
      </c>
      <c r="D1046" t="s">
        <v>652</v>
      </c>
    </row>
    <row r="1047" spans="1:4" x14ac:dyDescent="0.25">
      <c r="A1047">
        <v>24567260</v>
      </c>
      <c r="B1047" s="12">
        <v>45887</v>
      </c>
      <c r="C1047" t="s">
        <v>8</v>
      </c>
      <c r="D1047" t="s">
        <v>652</v>
      </c>
    </row>
    <row r="1048" spans="1:4" x14ac:dyDescent="0.25">
      <c r="A1048">
        <v>24567262</v>
      </c>
      <c r="B1048" s="12">
        <v>45887</v>
      </c>
      <c r="C1048" t="s">
        <v>8</v>
      </c>
      <c r="D1048" t="s">
        <v>652</v>
      </c>
    </row>
    <row r="1049" spans="1:4" x14ac:dyDescent="0.25">
      <c r="A1049">
        <v>24567264</v>
      </c>
      <c r="B1049" s="12">
        <v>45887</v>
      </c>
      <c r="C1049" t="s">
        <v>8</v>
      </c>
      <c r="D1049" t="s">
        <v>652</v>
      </c>
    </row>
    <row r="1050" spans="1:4" x14ac:dyDescent="0.25">
      <c r="A1050">
        <v>24567265</v>
      </c>
      <c r="B1050" s="12">
        <v>45813</v>
      </c>
      <c r="C1050" t="s">
        <v>1</v>
      </c>
      <c r="D1050" t="s">
        <v>648</v>
      </c>
    </row>
    <row r="1051" spans="1:4" x14ac:dyDescent="0.25">
      <c r="A1051">
        <v>24567267</v>
      </c>
      <c r="B1051" s="12">
        <v>45887</v>
      </c>
      <c r="C1051" t="s">
        <v>8</v>
      </c>
      <c r="D1051" t="s">
        <v>652</v>
      </c>
    </row>
    <row r="1052" spans="1:4" x14ac:dyDescent="0.25">
      <c r="A1052">
        <v>24567276</v>
      </c>
      <c r="B1052" s="12">
        <v>45887</v>
      </c>
      <c r="C1052" t="s">
        <v>8</v>
      </c>
      <c r="D1052" t="s">
        <v>652</v>
      </c>
    </row>
    <row r="1053" spans="1:4" x14ac:dyDescent="0.25">
      <c r="A1053">
        <v>24567288</v>
      </c>
      <c r="B1053" s="12">
        <v>45887</v>
      </c>
      <c r="C1053" t="s">
        <v>8</v>
      </c>
      <c r="D1053" t="s">
        <v>652</v>
      </c>
    </row>
    <row r="1054" spans="1:4" x14ac:dyDescent="0.25">
      <c r="A1054">
        <v>24567289</v>
      </c>
      <c r="B1054" s="12">
        <v>45887</v>
      </c>
      <c r="C1054" t="s">
        <v>8</v>
      </c>
      <c r="D1054" t="s">
        <v>652</v>
      </c>
    </row>
    <row r="1055" spans="1:4" x14ac:dyDescent="0.25">
      <c r="A1055">
        <v>24567293</v>
      </c>
      <c r="B1055" s="12">
        <v>45887</v>
      </c>
      <c r="C1055" t="s">
        <v>8</v>
      </c>
      <c r="D1055" t="s">
        <v>652</v>
      </c>
    </row>
    <row r="1056" spans="1:4" x14ac:dyDescent="0.25">
      <c r="A1056">
        <v>24567294</v>
      </c>
      <c r="B1056" s="12">
        <v>45887</v>
      </c>
      <c r="C1056" t="s">
        <v>8</v>
      </c>
      <c r="D1056" t="s">
        <v>652</v>
      </c>
    </row>
    <row r="1057" spans="1:4" x14ac:dyDescent="0.25">
      <c r="A1057">
        <v>24567302</v>
      </c>
      <c r="B1057" s="12">
        <v>45887</v>
      </c>
      <c r="C1057" t="s">
        <v>8</v>
      </c>
      <c r="D1057" t="s">
        <v>652</v>
      </c>
    </row>
    <row r="1058" spans="1:4" x14ac:dyDescent="0.25">
      <c r="A1058">
        <v>24567304</v>
      </c>
      <c r="B1058" s="12">
        <v>45887</v>
      </c>
      <c r="C1058" t="s">
        <v>8</v>
      </c>
      <c r="D1058" t="s">
        <v>652</v>
      </c>
    </row>
    <row r="1059" spans="1:4" x14ac:dyDescent="0.25">
      <c r="A1059">
        <v>24567333</v>
      </c>
      <c r="B1059" s="12">
        <v>45787</v>
      </c>
      <c r="C1059" t="s">
        <v>2</v>
      </c>
      <c r="D1059" t="s">
        <v>645</v>
      </c>
    </row>
    <row r="1060" spans="1:4" x14ac:dyDescent="0.25">
      <c r="A1060">
        <v>24567342</v>
      </c>
      <c r="B1060" s="12">
        <v>45815</v>
      </c>
      <c r="C1060" t="s">
        <v>2</v>
      </c>
      <c r="D1060" t="s">
        <v>649</v>
      </c>
    </row>
    <row r="1061" spans="1:4" x14ac:dyDescent="0.25">
      <c r="A1061">
        <v>24567342</v>
      </c>
      <c r="B1061" s="12">
        <v>45787</v>
      </c>
      <c r="C1061" t="s">
        <v>2</v>
      </c>
      <c r="D1061" t="s">
        <v>646</v>
      </c>
    </row>
    <row r="1062" spans="1:4" x14ac:dyDescent="0.25">
      <c r="A1062">
        <v>24567409</v>
      </c>
      <c r="B1062" s="12">
        <v>45887</v>
      </c>
      <c r="C1062" t="s">
        <v>8</v>
      </c>
      <c r="D1062" t="s">
        <v>652</v>
      </c>
    </row>
    <row r="1063" spans="1:4" x14ac:dyDescent="0.25">
      <c r="A1063">
        <v>24567410</v>
      </c>
      <c r="B1063" s="12">
        <v>45887</v>
      </c>
      <c r="C1063" t="s">
        <v>8</v>
      </c>
      <c r="D1063" t="s">
        <v>652</v>
      </c>
    </row>
    <row r="1064" spans="1:4" x14ac:dyDescent="0.25">
      <c r="A1064">
        <v>24567411</v>
      </c>
      <c r="B1064" s="12">
        <v>45887</v>
      </c>
      <c r="C1064" t="s">
        <v>8</v>
      </c>
      <c r="D1064" t="s">
        <v>652</v>
      </c>
    </row>
    <row r="1065" spans="1:4" x14ac:dyDescent="0.25">
      <c r="A1065">
        <v>24567412</v>
      </c>
      <c r="B1065" s="12">
        <v>45887</v>
      </c>
      <c r="C1065" t="s">
        <v>8</v>
      </c>
      <c r="D1065" t="s">
        <v>652</v>
      </c>
    </row>
    <row r="1066" spans="1:4" x14ac:dyDescent="0.25">
      <c r="A1066">
        <v>24567413</v>
      </c>
      <c r="B1066" s="12">
        <v>45887</v>
      </c>
      <c r="C1066" t="s">
        <v>8</v>
      </c>
      <c r="D1066" t="s">
        <v>652</v>
      </c>
    </row>
    <row r="1067" spans="1:4" x14ac:dyDescent="0.25">
      <c r="A1067">
        <v>24567415</v>
      </c>
      <c r="B1067" s="12">
        <v>45887</v>
      </c>
      <c r="C1067" t="s">
        <v>8</v>
      </c>
      <c r="D1067" t="s">
        <v>652</v>
      </c>
    </row>
    <row r="1068" spans="1:4" x14ac:dyDescent="0.25">
      <c r="A1068">
        <v>24567416</v>
      </c>
      <c r="B1068" s="12">
        <v>45887</v>
      </c>
      <c r="C1068" t="s">
        <v>8</v>
      </c>
      <c r="D1068" t="s">
        <v>652</v>
      </c>
    </row>
    <row r="1069" spans="1:4" x14ac:dyDescent="0.25">
      <c r="A1069">
        <v>24567418</v>
      </c>
      <c r="B1069" s="12">
        <v>45813</v>
      </c>
      <c r="C1069" t="s">
        <v>1</v>
      </c>
      <c r="D1069" t="s">
        <v>648</v>
      </c>
    </row>
    <row r="1070" spans="1:4" x14ac:dyDescent="0.25">
      <c r="A1070">
        <v>24567419</v>
      </c>
      <c r="B1070" s="12">
        <v>45887</v>
      </c>
      <c r="C1070" t="s">
        <v>8</v>
      </c>
      <c r="D1070" t="s">
        <v>652</v>
      </c>
    </row>
    <row r="1071" spans="1:4" x14ac:dyDescent="0.25">
      <c r="A1071">
        <v>24567420</v>
      </c>
      <c r="B1071" s="12">
        <v>45887</v>
      </c>
      <c r="C1071" t="s">
        <v>8</v>
      </c>
      <c r="D1071" t="s">
        <v>652</v>
      </c>
    </row>
    <row r="1072" spans="1:4" x14ac:dyDescent="0.25">
      <c r="A1072">
        <v>24567421</v>
      </c>
      <c r="B1072" s="12">
        <v>45813</v>
      </c>
      <c r="C1072" t="s">
        <v>1</v>
      </c>
      <c r="D1072" t="s">
        <v>648</v>
      </c>
    </row>
    <row r="1073" spans="1:4" x14ac:dyDescent="0.25">
      <c r="A1073">
        <v>24567448</v>
      </c>
      <c r="B1073" s="12">
        <v>45787</v>
      </c>
      <c r="C1073" t="s">
        <v>2</v>
      </c>
      <c r="D1073" t="s">
        <v>645</v>
      </c>
    </row>
    <row r="1074" spans="1:4" x14ac:dyDescent="0.25">
      <c r="A1074">
        <v>24567461</v>
      </c>
      <c r="B1074" s="12">
        <v>45887</v>
      </c>
      <c r="C1074" t="s">
        <v>8</v>
      </c>
      <c r="D1074" t="s">
        <v>652</v>
      </c>
    </row>
    <row r="1075" spans="1:4" x14ac:dyDescent="0.25">
      <c r="A1075">
        <v>24567464</v>
      </c>
      <c r="B1075" s="12">
        <v>45887</v>
      </c>
      <c r="C1075" t="s">
        <v>8</v>
      </c>
      <c r="D1075" t="s">
        <v>652</v>
      </c>
    </row>
    <row r="1076" spans="1:4" x14ac:dyDescent="0.25">
      <c r="A1076">
        <v>24567467</v>
      </c>
      <c r="B1076" s="12">
        <v>45887</v>
      </c>
      <c r="C1076" t="s">
        <v>8</v>
      </c>
      <c r="D1076" t="s">
        <v>652</v>
      </c>
    </row>
    <row r="1077" spans="1:4" x14ac:dyDescent="0.25">
      <c r="A1077">
        <v>24567471</v>
      </c>
      <c r="B1077" s="12">
        <v>45887</v>
      </c>
      <c r="C1077" t="s">
        <v>8</v>
      </c>
      <c r="D1077" t="s">
        <v>652</v>
      </c>
    </row>
    <row r="1078" spans="1:4" x14ac:dyDescent="0.25">
      <c r="A1078">
        <v>24567472</v>
      </c>
      <c r="B1078" s="12">
        <v>45887</v>
      </c>
      <c r="C1078" t="s">
        <v>8</v>
      </c>
      <c r="D1078" t="s">
        <v>652</v>
      </c>
    </row>
    <row r="1079" spans="1:4" x14ac:dyDescent="0.25">
      <c r="A1079">
        <v>24567475</v>
      </c>
      <c r="B1079" s="12">
        <v>45887</v>
      </c>
      <c r="C1079" t="s">
        <v>8</v>
      </c>
      <c r="D1079" t="s">
        <v>652</v>
      </c>
    </row>
    <row r="1080" spans="1:4" x14ac:dyDescent="0.25">
      <c r="A1080">
        <v>24567486</v>
      </c>
      <c r="B1080" s="12">
        <v>45887</v>
      </c>
      <c r="C1080" t="s">
        <v>8</v>
      </c>
      <c r="D1080" t="s">
        <v>652</v>
      </c>
    </row>
    <row r="1081" spans="1:4" x14ac:dyDescent="0.25">
      <c r="A1081">
        <v>24567490</v>
      </c>
      <c r="B1081" s="12">
        <v>45887</v>
      </c>
      <c r="C1081" t="s">
        <v>8</v>
      </c>
      <c r="D1081" t="s">
        <v>652</v>
      </c>
    </row>
    <row r="1082" spans="1:4" x14ac:dyDescent="0.25">
      <c r="A1082">
        <v>24567495</v>
      </c>
      <c r="B1082" s="12">
        <v>45815</v>
      </c>
      <c r="C1082" t="s">
        <v>2</v>
      </c>
      <c r="D1082" t="s">
        <v>649</v>
      </c>
    </row>
    <row r="1083" spans="1:4" x14ac:dyDescent="0.25">
      <c r="A1083">
        <v>24567495</v>
      </c>
      <c r="B1083" s="12">
        <v>45787</v>
      </c>
      <c r="C1083" t="s">
        <v>2</v>
      </c>
      <c r="D1083" t="s">
        <v>646</v>
      </c>
    </row>
    <row r="1084" spans="1:4" x14ac:dyDescent="0.25">
      <c r="A1084">
        <v>24567496</v>
      </c>
      <c r="B1084" s="12">
        <v>45815</v>
      </c>
      <c r="C1084" t="s">
        <v>2</v>
      </c>
      <c r="D1084" t="s">
        <v>649</v>
      </c>
    </row>
    <row r="1085" spans="1:4" x14ac:dyDescent="0.25">
      <c r="A1085">
        <v>24567496</v>
      </c>
      <c r="B1085" s="12">
        <v>45787</v>
      </c>
      <c r="C1085" t="s">
        <v>2</v>
      </c>
      <c r="D1085" t="s">
        <v>646</v>
      </c>
    </row>
    <row r="1086" spans="1:4" x14ac:dyDescent="0.25">
      <c r="A1086">
        <v>24567497</v>
      </c>
      <c r="B1086" s="12">
        <v>45787</v>
      </c>
      <c r="C1086" t="s">
        <v>2</v>
      </c>
      <c r="D1086" t="s">
        <v>645</v>
      </c>
    </row>
    <row r="1087" spans="1:4" x14ac:dyDescent="0.25">
      <c r="A1087">
        <v>24567498</v>
      </c>
      <c r="B1087" s="12">
        <v>45787</v>
      </c>
      <c r="C1087" t="s">
        <v>2</v>
      </c>
      <c r="D1087" t="s">
        <v>645</v>
      </c>
    </row>
    <row r="1088" spans="1:4" x14ac:dyDescent="0.25">
      <c r="A1088">
        <v>24567499</v>
      </c>
      <c r="B1088" s="12">
        <v>45787</v>
      </c>
      <c r="C1088" t="s">
        <v>2</v>
      </c>
      <c r="D1088" t="s">
        <v>645</v>
      </c>
    </row>
    <row r="1089" spans="1:4" x14ac:dyDescent="0.25">
      <c r="A1089">
        <v>24567500</v>
      </c>
      <c r="B1089" s="12">
        <v>45815</v>
      </c>
      <c r="C1089" t="s">
        <v>2</v>
      </c>
      <c r="D1089" t="s">
        <v>649</v>
      </c>
    </row>
    <row r="1090" spans="1:4" x14ac:dyDescent="0.25">
      <c r="A1090">
        <v>24567500</v>
      </c>
      <c r="B1090" s="12">
        <v>45787</v>
      </c>
      <c r="C1090" t="s">
        <v>2</v>
      </c>
      <c r="D1090" t="s">
        <v>646</v>
      </c>
    </row>
    <row r="1091" spans="1:4" x14ac:dyDescent="0.25">
      <c r="A1091">
        <v>24567501</v>
      </c>
      <c r="B1091" s="12">
        <v>45787</v>
      </c>
      <c r="C1091" t="s">
        <v>2</v>
      </c>
      <c r="D1091" t="s">
        <v>645</v>
      </c>
    </row>
    <row r="1092" spans="1:4" x14ac:dyDescent="0.25">
      <c r="A1092">
        <v>24567502</v>
      </c>
      <c r="B1092" s="12">
        <v>45815</v>
      </c>
      <c r="C1092" t="s">
        <v>2</v>
      </c>
      <c r="D1092" t="s">
        <v>649</v>
      </c>
    </row>
    <row r="1093" spans="1:4" x14ac:dyDescent="0.25">
      <c r="A1093">
        <v>24567502</v>
      </c>
      <c r="B1093" s="12">
        <v>45787</v>
      </c>
      <c r="C1093" t="s">
        <v>2</v>
      </c>
      <c r="D1093" t="s">
        <v>646</v>
      </c>
    </row>
    <row r="1094" spans="1:4" x14ac:dyDescent="0.25">
      <c r="A1094">
        <v>24567503</v>
      </c>
      <c r="B1094" s="12">
        <v>45787</v>
      </c>
      <c r="C1094" t="s">
        <v>2</v>
      </c>
      <c r="D1094" t="s">
        <v>645</v>
      </c>
    </row>
    <row r="1095" spans="1:4" x14ac:dyDescent="0.25">
      <c r="A1095">
        <v>24567504</v>
      </c>
      <c r="B1095" s="12">
        <v>45815</v>
      </c>
      <c r="C1095" t="s">
        <v>2</v>
      </c>
      <c r="D1095" t="s">
        <v>649</v>
      </c>
    </row>
    <row r="1096" spans="1:4" x14ac:dyDescent="0.25">
      <c r="A1096">
        <v>24567504</v>
      </c>
      <c r="B1096" s="12">
        <v>45787</v>
      </c>
      <c r="C1096" t="s">
        <v>2</v>
      </c>
      <c r="D1096" t="s">
        <v>646</v>
      </c>
    </row>
    <row r="1097" spans="1:4" x14ac:dyDescent="0.25">
      <c r="A1097">
        <v>24567505</v>
      </c>
      <c r="B1097" s="12">
        <v>45787</v>
      </c>
      <c r="C1097" t="s">
        <v>2</v>
      </c>
      <c r="D1097" t="s">
        <v>645</v>
      </c>
    </row>
    <row r="1098" spans="1:4" x14ac:dyDescent="0.25">
      <c r="A1098">
        <v>24567506</v>
      </c>
      <c r="B1098" s="12">
        <v>45787</v>
      </c>
      <c r="C1098" t="s">
        <v>2</v>
      </c>
      <c r="D1098" t="s">
        <v>645</v>
      </c>
    </row>
    <row r="1099" spans="1:4" x14ac:dyDescent="0.25">
      <c r="A1099">
        <v>24567507</v>
      </c>
      <c r="B1099" s="12">
        <v>45815</v>
      </c>
      <c r="C1099" t="s">
        <v>2</v>
      </c>
      <c r="D1099" t="s">
        <v>649</v>
      </c>
    </row>
    <row r="1100" spans="1:4" x14ac:dyDescent="0.25">
      <c r="A1100">
        <v>24567507</v>
      </c>
      <c r="B1100" s="12">
        <v>45787</v>
      </c>
      <c r="C1100" t="s">
        <v>2</v>
      </c>
      <c r="D1100" t="s">
        <v>646</v>
      </c>
    </row>
    <row r="1101" spans="1:4" x14ac:dyDescent="0.25">
      <c r="A1101">
        <v>24567508</v>
      </c>
      <c r="B1101" s="12">
        <v>45815</v>
      </c>
      <c r="C1101" t="s">
        <v>2</v>
      </c>
      <c r="D1101" t="s">
        <v>649</v>
      </c>
    </row>
    <row r="1102" spans="1:4" x14ac:dyDescent="0.25">
      <c r="A1102">
        <v>24567508</v>
      </c>
      <c r="B1102" s="12">
        <v>45787</v>
      </c>
      <c r="C1102" t="s">
        <v>2</v>
      </c>
      <c r="D1102" t="s">
        <v>646</v>
      </c>
    </row>
    <row r="1103" spans="1:4" x14ac:dyDescent="0.25">
      <c r="A1103">
        <v>24567509</v>
      </c>
      <c r="B1103" s="12">
        <v>45815</v>
      </c>
      <c r="C1103" t="s">
        <v>2</v>
      </c>
      <c r="D1103" t="s">
        <v>649</v>
      </c>
    </row>
    <row r="1104" spans="1:4" x14ac:dyDescent="0.25">
      <c r="A1104">
        <v>24567509</v>
      </c>
      <c r="B1104" s="12">
        <v>45787</v>
      </c>
      <c r="C1104" t="s">
        <v>2</v>
      </c>
      <c r="D1104" t="s">
        <v>646</v>
      </c>
    </row>
    <row r="1105" spans="1:4" x14ac:dyDescent="0.25">
      <c r="A1105">
        <v>24567510</v>
      </c>
      <c r="B1105" s="12">
        <v>45815</v>
      </c>
      <c r="C1105" t="s">
        <v>2</v>
      </c>
      <c r="D1105" t="s">
        <v>649</v>
      </c>
    </row>
    <row r="1106" spans="1:4" x14ac:dyDescent="0.25">
      <c r="A1106">
        <v>24567510</v>
      </c>
      <c r="B1106" s="12">
        <v>45787</v>
      </c>
      <c r="C1106" t="s">
        <v>2</v>
      </c>
      <c r="D1106" t="s">
        <v>646</v>
      </c>
    </row>
    <row r="1107" spans="1:4" x14ac:dyDescent="0.25">
      <c r="A1107">
        <v>24567511</v>
      </c>
      <c r="B1107" s="12">
        <v>45815</v>
      </c>
      <c r="C1107" t="s">
        <v>2</v>
      </c>
      <c r="D1107" t="s">
        <v>649</v>
      </c>
    </row>
    <row r="1108" spans="1:4" x14ac:dyDescent="0.25">
      <c r="A1108">
        <v>24567511</v>
      </c>
      <c r="B1108" s="12">
        <v>45787</v>
      </c>
      <c r="C1108" t="s">
        <v>2</v>
      </c>
      <c r="D1108" t="s">
        <v>646</v>
      </c>
    </row>
    <row r="1109" spans="1:4" x14ac:dyDescent="0.25">
      <c r="A1109">
        <v>24567512</v>
      </c>
      <c r="B1109" s="12">
        <v>45787</v>
      </c>
      <c r="C1109" t="s">
        <v>2</v>
      </c>
      <c r="D1109" t="s">
        <v>645</v>
      </c>
    </row>
    <row r="1110" spans="1:4" x14ac:dyDescent="0.25">
      <c r="A1110">
        <v>24567513</v>
      </c>
      <c r="B1110" s="12">
        <v>45787</v>
      </c>
      <c r="C1110" t="s">
        <v>2</v>
      </c>
      <c r="D1110" t="s">
        <v>645</v>
      </c>
    </row>
    <row r="1111" spans="1:4" x14ac:dyDescent="0.25">
      <c r="A1111">
        <v>24567514</v>
      </c>
      <c r="B1111" s="12">
        <v>45815</v>
      </c>
      <c r="C1111" t="s">
        <v>2</v>
      </c>
      <c r="D1111" t="s">
        <v>649</v>
      </c>
    </row>
    <row r="1112" spans="1:4" x14ac:dyDescent="0.25">
      <c r="A1112">
        <v>24567514</v>
      </c>
      <c r="B1112" s="12">
        <v>45787</v>
      </c>
      <c r="C1112" t="s">
        <v>2</v>
      </c>
      <c r="D1112" t="s">
        <v>646</v>
      </c>
    </row>
    <row r="1113" spans="1:4" x14ac:dyDescent="0.25">
      <c r="A1113">
        <v>24567515</v>
      </c>
      <c r="B1113" s="12">
        <v>45787</v>
      </c>
      <c r="C1113" t="s">
        <v>2</v>
      </c>
      <c r="D1113" t="s">
        <v>645</v>
      </c>
    </row>
    <row r="1114" spans="1:4" x14ac:dyDescent="0.25">
      <c r="A1114">
        <v>24567516</v>
      </c>
      <c r="B1114" s="12">
        <v>45815</v>
      </c>
      <c r="C1114" t="s">
        <v>2</v>
      </c>
      <c r="D1114" t="s">
        <v>649</v>
      </c>
    </row>
    <row r="1115" spans="1:4" x14ac:dyDescent="0.25">
      <c r="A1115">
        <v>24567516</v>
      </c>
      <c r="B1115" s="12">
        <v>45787</v>
      </c>
      <c r="C1115" t="s">
        <v>2</v>
      </c>
      <c r="D1115" t="s">
        <v>646</v>
      </c>
    </row>
    <row r="1116" spans="1:4" x14ac:dyDescent="0.25">
      <c r="A1116">
        <v>24567517</v>
      </c>
      <c r="B1116" s="12">
        <v>45787</v>
      </c>
      <c r="C1116" t="s">
        <v>2</v>
      </c>
      <c r="D1116" t="s">
        <v>645</v>
      </c>
    </row>
    <row r="1117" spans="1:4" x14ac:dyDescent="0.25">
      <c r="A1117">
        <v>24567518</v>
      </c>
      <c r="B1117" s="12">
        <v>45815</v>
      </c>
      <c r="C1117" t="s">
        <v>2</v>
      </c>
      <c r="D1117" t="s">
        <v>649</v>
      </c>
    </row>
    <row r="1118" spans="1:4" x14ac:dyDescent="0.25">
      <c r="A1118">
        <v>24567518</v>
      </c>
      <c r="B1118" s="12">
        <v>45787</v>
      </c>
      <c r="C1118" t="s">
        <v>2</v>
      </c>
      <c r="D1118" t="s">
        <v>646</v>
      </c>
    </row>
    <row r="1119" spans="1:4" x14ac:dyDescent="0.25">
      <c r="A1119">
        <v>24567519</v>
      </c>
      <c r="B1119" s="12">
        <v>45787</v>
      </c>
      <c r="C1119" t="s">
        <v>2</v>
      </c>
      <c r="D1119" t="s">
        <v>645</v>
      </c>
    </row>
    <row r="1120" spans="1:4" x14ac:dyDescent="0.25">
      <c r="A1120">
        <v>24567520</v>
      </c>
      <c r="B1120" s="12">
        <v>45815</v>
      </c>
      <c r="C1120" t="s">
        <v>2</v>
      </c>
      <c r="D1120" t="s">
        <v>649</v>
      </c>
    </row>
    <row r="1121" spans="1:4" x14ac:dyDescent="0.25">
      <c r="A1121">
        <v>24567520</v>
      </c>
      <c r="B1121" s="12">
        <v>45787</v>
      </c>
      <c r="C1121" t="s">
        <v>2</v>
      </c>
      <c r="D1121" t="s">
        <v>646</v>
      </c>
    </row>
    <row r="1122" spans="1:4" x14ac:dyDescent="0.25">
      <c r="A1122">
        <v>24567521</v>
      </c>
      <c r="B1122" s="12">
        <v>45815</v>
      </c>
      <c r="C1122" t="s">
        <v>2</v>
      </c>
      <c r="D1122" t="s">
        <v>649</v>
      </c>
    </row>
    <row r="1123" spans="1:4" x14ac:dyDescent="0.25">
      <c r="A1123">
        <v>24567521</v>
      </c>
      <c r="B1123" s="12">
        <v>45787</v>
      </c>
      <c r="C1123" t="s">
        <v>2</v>
      </c>
      <c r="D1123" t="s">
        <v>646</v>
      </c>
    </row>
    <row r="1124" spans="1:4" x14ac:dyDescent="0.25">
      <c r="A1124">
        <v>24567522</v>
      </c>
      <c r="B1124" s="12">
        <v>45815</v>
      </c>
      <c r="C1124" t="s">
        <v>2</v>
      </c>
      <c r="D1124" t="s">
        <v>649</v>
      </c>
    </row>
    <row r="1125" spans="1:4" x14ac:dyDescent="0.25">
      <c r="A1125">
        <v>24567522</v>
      </c>
      <c r="B1125" s="12">
        <v>45787</v>
      </c>
      <c r="C1125" t="s">
        <v>2</v>
      </c>
      <c r="D1125" t="s">
        <v>646</v>
      </c>
    </row>
    <row r="1126" spans="1:4" x14ac:dyDescent="0.25">
      <c r="A1126">
        <v>24567523</v>
      </c>
      <c r="B1126" s="12">
        <v>45815</v>
      </c>
      <c r="C1126" t="s">
        <v>2</v>
      </c>
      <c r="D1126" t="s">
        <v>649</v>
      </c>
    </row>
    <row r="1127" spans="1:4" x14ac:dyDescent="0.25">
      <c r="A1127">
        <v>24567523</v>
      </c>
      <c r="B1127" s="12">
        <v>45787</v>
      </c>
      <c r="C1127" t="s">
        <v>2</v>
      </c>
      <c r="D1127" t="s">
        <v>646</v>
      </c>
    </row>
    <row r="1128" spans="1:4" x14ac:dyDescent="0.25">
      <c r="A1128">
        <v>24567524</v>
      </c>
      <c r="B1128" s="12">
        <v>45815</v>
      </c>
      <c r="C1128" t="s">
        <v>2</v>
      </c>
      <c r="D1128" t="s">
        <v>649</v>
      </c>
    </row>
    <row r="1129" spans="1:4" x14ac:dyDescent="0.25">
      <c r="A1129">
        <v>24567524</v>
      </c>
      <c r="B1129" s="12">
        <v>45787</v>
      </c>
      <c r="C1129" t="s">
        <v>2</v>
      </c>
      <c r="D1129" t="s">
        <v>646</v>
      </c>
    </row>
    <row r="1130" spans="1:4" x14ac:dyDescent="0.25">
      <c r="A1130">
        <v>24567525</v>
      </c>
      <c r="B1130" s="12">
        <v>45815</v>
      </c>
      <c r="C1130" t="s">
        <v>2</v>
      </c>
      <c r="D1130" t="s">
        <v>649</v>
      </c>
    </row>
    <row r="1131" spans="1:4" x14ac:dyDescent="0.25">
      <c r="A1131">
        <v>24567525</v>
      </c>
      <c r="B1131" s="12">
        <v>45787</v>
      </c>
      <c r="C1131" t="s">
        <v>2</v>
      </c>
      <c r="D1131" t="s">
        <v>646</v>
      </c>
    </row>
    <row r="1132" spans="1:4" x14ac:dyDescent="0.25">
      <c r="A1132">
        <v>24567526</v>
      </c>
      <c r="B1132" s="12">
        <v>45815</v>
      </c>
      <c r="C1132" t="s">
        <v>2</v>
      </c>
      <c r="D1132" t="s">
        <v>649</v>
      </c>
    </row>
    <row r="1133" spans="1:4" x14ac:dyDescent="0.25">
      <c r="A1133">
        <v>24567526</v>
      </c>
      <c r="B1133" s="12">
        <v>45787</v>
      </c>
      <c r="C1133" t="s">
        <v>2</v>
      </c>
      <c r="D1133" t="s">
        <v>646</v>
      </c>
    </row>
    <row r="1134" spans="1:4" x14ac:dyDescent="0.25">
      <c r="A1134">
        <v>24567527</v>
      </c>
      <c r="B1134" s="12">
        <v>45787</v>
      </c>
      <c r="C1134" t="s">
        <v>2</v>
      </c>
      <c r="D1134" t="s">
        <v>645</v>
      </c>
    </row>
    <row r="1135" spans="1:4" x14ac:dyDescent="0.25">
      <c r="A1135">
        <v>24567528</v>
      </c>
      <c r="B1135" s="12">
        <v>45815</v>
      </c>
      <c r="C1135" t="s">
        <v>2</v>
      </c>
      <c r="D1135" t="s">
        <v>649</v>
      </c>
    </row>
    <row r="1136" spans="1:4" x14ac:dyDescent="0.25">
      <c r="A1136">
        <v>24567528</v>
      </c>
      <c r="B1136" s="12">
        <v>45787</v>
      </c>
      <c r="C1136" t="s">
        <v>2</v>
      </c>
      <c r="D1136" t="s">
        <v>646</v>
      </c>
    </row>
    <row r="1137" spans="1:4" x14ac:dyDescent="0.25">
      <c r="A1137">
        <v>24567529</v>
      </c>
      <c r="B1137" s="12">
        <v>45815</v>
      </c>
      <c r="C1137" t="s">
        <v>2</v>
      </c>
      <c r="D1137" t="s">
        <v>649</v>
      </c>
    </row>
    <row r="1138" spans="1:4" x14ac:dyDescent="0.25">
      <c r="A1138">
        <v>24567529</v>
      </c>
      <c r="B1138" s="12">
        <v>45787</v>
      </c>
      <c r="C1138" t="s">
        <v>2</v>
      </c>
      <c r="D1138" t="s">
        <v>646</v>
      </c>
    </row>
    <row r="1139" spans="1:4" x14ac:dyDescent="0.25">
      <c r="A1139">
        <v>24567530</v>
      </c>
      <c r="B1139" s="12">
        <v>45787</v>
      </c>
      <c r="C1139" t="s">
        <v>2</v>
      </c>
      <c r="D1139" t="s">
        <v>645</v>
      </c>
    </row>
    <row r="1140" spans="1:4" x14ac:dyDescent="0.25">
      <c r="A1140">
        <v>24567531</v>
      </c>
      <c r="B1140" s="12">
        <v>45815</v>
      </c>
      <c r="C1140" t="s">
        <v>2</v>
      </c>
      <c r="D1140" t="s">
        <v>649</v>
      </c>
    </row>
    <row r="1141" spans="1:4" x14ac:dyDescent="0.25">
      <c r="A1141">
        <v>24567531</v>
      </c>
      <c r="B1141" s="12">
        <v>45787</v>
      </c>
      <c r="C1141" t="s">
        <v>2</v>
      </c>
      <c r="D1141" t="s">
        <v>646</v>
      </c>
    </row>
    <row r="1142" spans="1:4" x14ac:dyDescent="0.25">
      <c r="A1142">
        <v>24567532</v>
      </c>
      <c r="B1142" s="12">
        <v>45815</v>
      </c>
      <c r="C1142" t="s">
        <v>2</v>
      </c>
      <c r="D1142" t="s">
        <v>649</v>
      </c>
    </row>
    <row r="1143" spans="1:4" x14ac:dyDescent="0.25">
      <c r="A1143">
        <v>24567532</v>
      </c>
      <c r="B1143" s="12">
        <v>45787</v>
      </c>
      <c r="C1143" t="s">
        <v>2</v>
      </c>
      <c r="D1143" t="s">
        <v>646</v>
      </c>
    </row>
    <row r="1144" spans="1:4" x14ac:dyDescent="0.25">
      <c r="A1144">
        <v>24567533</v>
      </c>
      <c r="B1144" s="12">
        <v>45815</v>
      </c>
      <c r="C1144" t="s">
        <v>2</v>
      </c>
      <c r="D1144" t="s">
        <v>649</v>
      </c>
    </row>
    <row r="1145" spans="1:4" x14ac:dyDescent="0.25">
      <c r="A1145">
        <v>24567533</v>
      </c>
      <c r="B1145" s="12">
        <v>45787</v>
      </c>
      <c r="C1145" t="s">
        <v>2</v>
      </c>
      <c r="D1145" t="s">
        <v>646</v>
      </c>
    </row>
    <row r="1146" spans="1:4" x14ac:dyDescent="0.25">
      <c r="A1146">
        <v>24567534</v>
      </c>
      <c r="B1146" s="12">
        <v>45787</v>
      </c>
      <c r="C1146" t="s">
        <v>2</v>
      </c>
      <c r="D1146" t="s">
        <v>645</v>
      </c>
    </row>
    <row r="1147" spans="1:4" x14ac:dyDescent="0.25">
      <c r="A1147">
        <v>24567535</v>
      </c>
      <c r="B1147" s="12">
        <v>45787</v>
      </c>
      <c r="C1147" t="s">
        <v>2</v>
      </c>
      <c r="D1147" t="s">
        <v>645</v>
      </c>
    </row>
    <row r="1148" spans="1:4" x14ac:dyDescent="0.25">
      <c r="A1148">
        <v>24567536</v>
      </c>
      <c r="B1148" s="12">
        <v>45815</v>
      </c>
      <c r="C1148" t="s">
        <v>2</v>
      </c>
      <c r="D1148" t="s">
        <v>649</v>
      </c>
    </row>
    <row r="1149" spans="1:4" x14ac:dyDescent="0.25">
      <c r="A1149">
        <v>24567536</v>
      </c>
      <c r="B1149" s="12">
        <v>45787</v>
      </c>
      <c r="C1149" t="s">
        <v>2</v>
      </c>
      <c r="D1149" t="s">
        <v>646</v>
      </c>
    </row>
    <row r="1150" spans="1:4" x14ac:dyDescent="0.25">
      <c r="A1150">
        <v>24567537</v>
      </c>
      <c r="B1150" s="12">
        <v>45787</v>
      </c>
      <c r="C1150" t="s">
        <v>2</v>
      </c>
      <c r="D1150" t="s">
        <v>645</v>
      </c>
    </row>
    <row r="1151" spans="1:4" x14ac:dyDescent="0.25">
      <c r="A1151">
        <v>24567538</v>
      </c>
      <c r="B1151" s="12">
        <v>45787</v>
      </c>
      <c r="C1151" t="s">
        <v>2</v>
      </c>
      <c r="D1151" t="s">
        <v>645</v>
      </c>
    </row>
    <row r="1152" spans="1:4" x14ac:dyDescent="0.25">
      <c r="A1152">
        <v>24567539</v>
      </c>
      <c r="B1152" s="12">
        <v>45815</v>
      </c>
      <c r="C1152" t="s">
        <v>2</v>
      </c>
      <c r="D1152" t="s">
        <v>649</v>
      </c>
    </row>
    <row r="1153" spans="1:4" x14ac:dyDescent="0.25">
      <c r="A1153">
        <v>24567539</v>
      </c>
      <c r="B1153" s="12">
        <v>45787</v>
      </c>
      <c r="C1153" t="s">
        <v>2</v>
      </c>
      <c r="D1153" t="s">
        <v>646</v>
      </c>
    </row>
    <row r="1154" spans="1:4" x14ac:dyDescent="0.25">
      <c r="A1154">
        <v>24567540</v>
      </c>
      <c r="B1154" s="12">
        <v>45787</v>
      </c>
      <c r="C1154" t="s">
        <v>2</v>
      </c>
      <c r="D1154" t="s">
        <v>645</v>
      </c>
    </row>
    <row r="1155" spans="1:4" x14ac:dyDescent="0.25">
      <c r="A1155">
        <v>24567541</v>
      </c>
      <c r="B1155" s="12">
        <v>45815</v>
      </c>
      <c r="C1155" t="s">
        <v>2</v>
      </c>
      <c r="D1155" t="s">
        <v>649</v>
      </c>
    </row>
    <row r="1156" spans="1:4" x14ac:dyDescent="0.25">
      <c r="A1156">
        <v>24567541</v>
      </c>
      <c r="B1156" s="12">
        <v>45787</v>
      </c>
      <c r="C1156" t="s">
        <v>2</v>
      </c>
      <c r="D1156" t="s">
        <v>646</v>
      </c>
    </row>
    <row r="1157" spans="1:4" x14ac:dyDescent="0.25">
      <c r="A1157">
        <v>24567542</v>
      </c>
      <c r="B1157" s="12">
        <v>45815</v>
      </c>
      <c r="C1157" t="s">
        <v>2</v>
      </c>
      <c r="D1157" t="s">
        <v>649</v>
      </c>
    </row>
    <row r="1158" spans="1:4" x14ac:dyDescent="0.25">
      <c r="A1158">
        <v>24567542</v>
      </c>
      <c r="B1158" s="12">
        <v>45787</v>
      </c>
      <c r="C1158" t="s">
        <v>2</v>
      </c>
      <c r="D1158" t="s">
        <v>646</v>
      </c>
    </row>
    <row r="1159" spans="1:4" x14ac:dyDescent="0.25">
      <c r="A1159">
        <v>24567543</v>
      </c>
      <c r="B1159" s="12">
        <v>45815</v>
      </c>
      <c r="C1159" t="s">
        <v>2</v>
      </c>
      <c r="D1159" t="s">
        <v>649</v>
      </c>
    </row>
    <row r="1160" spans="1:4" x14ac:dyDescent="0.25">
      <c r="A1160">
        <v>24567543</v>
      </c>
      <c r="B1160" s="12">
        <v>45787</v>
      </c>
      <c r="C1160" t="s">
        <v>2</v>
      </c>
      <c r="D1160" t="s">
        <v>646</v>
      </c>
    </row>
    <row r="1161" spans="1:4" x14ac:dyDescent="0.25">
      <c r="A1161">
        <v>24567544</v>
      </c>
      <c r="B1161" s="12">
        <v>45787</v>
      </c>
      <c r="C1161" t="s">
        <v>2</v>
      </c>
      <c r="D1161" t="s">
        <v>645</v>
      </c>
    </row>
    <row r="1162" spans="1:4" x14ac:dyDescent="0.25">
      <c r="A1162">
        <v>24567545</v>
      </c>
      <c r="B1162" s="12">
        <v>45815</v>
      </c>
      <c r="C1162" t="s">
        <v>2</v>
      </c>
      <c r="D1162" t="s">
        <v>649</v>
      </c>
    </row>
    <row r="1163" spans="1:4" x14ac:dyDescent="0.25">
      <c r="A1163">
        <v>24567545</v>
      </c>
      <c r="B1163" s="12">
        <v>45787</v>
      </c>
      <c r="C1163" t="s">
        <v>2</v>
      </c>
      <c r="D1163" t="s">
        <v>646</v>
      </c>
    </row>
    <row r="1164" spans="1:4" x14ac:dyDescent="0.25">
      <c r="A1164">
        <v>24567546</v>
      </c>
      <c r="B1164" s="12">
        <v>45787</v>
      </c>
      <c r="C1164" t="s">
        <v>2</v>
      </c>
      <c r="D1164" t="s">
        <v>645</v>
      </c>
    </row>
    <row r="1165" spans="1:4" x14ac:dyDescent="0.25">
      <c r="A1165">
        <v>24567547</v>
      </c>
      <c r="B1165" s="12">
        <v>45787</v>
      </c>
      <c r="C1165" t="s">
        <v>2</v>
      </c>
      <c r="D1165" t="s">
        <v>645</v>
      </c>
    </row>
    <row r="1166" spans="1:4" x14ac:dyDescent="0.25">
      <c r="A1166">
        <v>24567548</v>
      </c>
      <c r="B1166" s="12">
        <v>45787</v>
      </c>
      <c r="C1166" t="s">
        <v>2</v>
      </c>
      <c r="D1166" t="s">
        <v>645</v>
      </c>
    </row>
    <row r="1167" spans="1:4" x14ac:dyDescent="0.25">
      <c r="A1167">
        <v>24567549</v>
      </c>
      <c r="B1167" s="12">
        <v>45787</v>
      </c>
      <c r="C1167" t="s">
        <v>2</v>
      </c>
      <c r="D1167" t="s">
        <v>645</v>
      </c>
    </row>
    <row r="1168" spans="1:4" x14ac:dyDescent="0.25">
      <c r="A1168">
        <v>24567550</v>
      </c>
      <c r="B1168" s="12">
        <v>45787</v>
      </c>
      <c r="C1168" t="s">
        <v>2</v>
      </c>
      <c r="D1168" t="s">
        <v>645</v>
      </c>
    </row>
    <row r="1169" spans="1:4" x14ac:dyDescent="0.25">
      <c r="A1169">
        <v>24567551</v>
      </c>
      <c r="B1169" s="12">
        <v>45815</v>
      </c>
      <c r="C1169" t="s">
        <v>2</v>
      </c>
      <c r="D1169" t="s">
        <v>649</v>
      </c>
    </row>
    <row r="1170" spans="1:4" x14ac:dyDescent="0.25">
      <c r="A1170">
        <v>24567551</v>
      </c>
      <c r="B1170" s="12">
        <v>45787</v>
      </c>
      <c r="C1170" t="s">
        <v>2</v>
      </c>
      <c r="D1170" t="s">
        <v>646</v>
      </c>
    </row>
    <row r="1171" spans="1:4" x14ac:dyDescent="0.25">
      <c r="A1171">
        <v>24567552</v>
      </c>
      <c r="B1171" s="12">
        <v>45787</v>
      </c>
      <c r="C1171" t="s">
        <v>2</v>
      </c>
      <c r="D1171" t="s">
        <v>645</v>
      </c>
    </row>
    <row r="1172" spans="1:4" x14ac:dyDescent="0.25">
      <c r="A1172">
        <v>24567553</v>
      </c>
      <c r="B1172" s="12">
        <v>45815</v>
      </c>
      <c r="C1172" t="s">
        <v>2</v>
      </c>
      <c r="D1172" t="s">
        <v>649</v>
      </c>
    </row>
    <row r="1173" spans="1:4" x14ac:dyDescent="0.25">
      <c r="A1173">
        <v>24567553</v>
      </c>
      <c r="B1173" s="12">
        <v>45787</v>
      </c>
      <c r="C1173" t="s">
        <v>2</v>
      </c>
      <c r="D1173" t="s">
        <v>646</v>
      </c>
    </row>
    <row r="1174" spans="1:4" x14ac:dyDescent="0.25">
      <c r="A1174">
        <v>24567554</v>
      </c>
      <c r="B1174" s="12">
        <v>45787</v>
      </c>
      <c r="C1174" t="s">
        <v>2</v>
      </c>
      <c r="D1174" t="s">
        <v>645</v>
      </c>
    </row>
    <row r="1175" spans="1:4" x14ac:dyDescent="0.25">
      <c r="A1175">
        <v>24567555</v>
      </c>
      <c r="B1175" s="12">
        <v>45815</v>
      </c>
      <c r="C1175" t="s">
        <v>2</v>
      </c>
      <c r="D1175" t="s">
        <v>649</v>
      </c>
    </row>
    <row r="1176" spans="1:4" x14ac:dyDescent="0.25">
      <c r="A1176">
        <v>24567555</v>
      </c>
      <c r="B1176" s="12">
        <v>45787</v>
      </c>
      <c r="C1176" t="s">
        <v>2</v>
      </c>
      <c r="D1176" t="s">
        <v>646</v>
      </c>
    </row>
    <row r="1177" spans="1:4" x14ac:dyDescent="0.25">
      <c r="A1177">
        <v>24567556</v>
      </c>
      <c r="B1177" s="12">
        <v>45815</v>
      </c>
      <c r="C1177" t="s">
        <v>2</v>
      </c>
      <c r="D1177" t="s">
        <v>649</v>
      </c>
    </row>
    <row r="1178" spans="1:4" x14ac:dyDescent="0.25">
      <c r="A1178">
        <v>24567556</v>
      </c>
      <c r="B1178" s="12">
        <v>45787</v>
      </c>
      <c r="C1178" t="s">
        <v>2</v>
      </c>
      <c r="D1178" t="s">
        <v>646</v>
      </c>
    </row>
    <row r="1179" spans="1:4" x14ac:dyDescent="0.25">
      <c r="A1179">
        <v>24567557</v>
      </c>
      <c r="B1179" s="12">
        <v>45815</v>
      </c>
      <c r="C1179" t="s">
        <v>2</v>
      </c>
      <c r="D1179" t="s">
        <v>649</v>
      </c>
    </row>
    <row r="1180" spans="1:4" x14ac:dyDescent="0.25">
      <c r="A1180">
        <v>24567557</v>
      </c>
      <c r="B1180" s="12">
        <v>45787</v>
      </c>
      <c r="C1180" t="s">
        <v>2</v>
      </c>
      <c r="D1180" t="s">
        <v>646</v>
      </c>
    </row>
    <row r="1181" spans="1:4" x14ac:dyDescent="0.25">
      <c r="A1181">
        <v>24567558</v>
      </c>
      <c r="B1181" s="12">
        <v>45787</v>
      </c>
      <c r="C1181" t="s">
        <v>2</v>
      </c>
      <c r="D1181" t="s">
        <v>645</v>
      </c>
    </row>
    <row r="1182" spans="1:4" x14ac:dyDescent="0.25">
      <c r="A1182">
        <v>24567559</v>
      </c>
      <c r="B1182" s="12">
        <v>45787</v>
      </c>
      <c r="C1182" t="s">
        <v>2</v>
      </c>
      <c r="D1182" t="s">
        <v>645</v>
      </c>
    </row>
    <row r="1183" spans="1:4" x14ac:dyDescent="0.25">
      <c r="A1183">
        <v>24567560</v>
      </c>
      <c r="B1183" s="12">
        <v>45787</v>
      </c>
      <c r="C1183" t="s">
        <v>2</v>
      </c>
      <c r="D1183" t="s">
        <v>645</v>
      </c>
    </row>
    <row r="1184" spans="1:4" x14ac:dyDescent="0.25">
      <c r="A1184">
        <v>24567561</v>
      </c>
      <c r="B1184" s="12">
        <v>45787</v>
      </c>
      <c r="C1184" t="s">
        <v>2</v>
      </c>
      <c r="D1184" t="s">
        <v>645</v>
      </c>
    </row>
    <row r="1185" spans="1:4" x14ac:dyDescent="0.25">
      <c r="A1185">
        <v>24567562</v>
      </c>
      <c r="B1185" s="12">
        <v>45815</v>
      </c>
      <c r="C1185" t="s">
        <v>2</v>
      </c>
      <c r="D1185" t="s">
        <v>649</v>
      </c>
    </row>
    <row r="1186" spans="1:4" x14ac:dyDescent="0.25">
      <c r="A1186">
        <v>24567562</v>
      </c>
      <c r="B1186" s="12">
        <v>45787</v>
      </c>
      <c r="C1186" t="s">
        <v>2</v>
      </c>
      <c r="D1186" t="s">
        <v>646</v>
      </c>
    </row>
    <row r="1187" spans="1:4" x14ac:dyDescent="0.25">
      <c r="A1187">
        <v>24567563</v>
      </c>
      <c r="B1187" s="12">
        <v>45815</v>
      </c>
      <c r="C1187" t="s">
        <v>2</v>
      </c>
      <c r="D1187" t="s">
        <v>649</v>
      </c>
    </row>
    <row r="1188" spans="1:4" x14ac:dyDescent="0.25">
      <c r="A1188">
        <v>24567563</v>
      </c>
      <c r="B1188" s="12">
        <v>45787</v>
      </c>
      <c r="C1188" t="s">
        <v>2</v>
      </c>
      <c r="D1188" t="s">
        <v>646</v>
      </c>
    </row>
    <row r="1189" spans="1:4" x14ac:dyDescent="0.25">
      <c r="A1189">
        <v>24567564</v>
      </c>
      <c r="B1189" s="12">
        <v>45787</v>
      </c>
      <c r="C1189" t="s">
        <v>2</v>
      </c>
      <c r="D1189" t="s">
        <v>645</v>
      </c>
    </row>
    <row r="1190" spans="1:4" x14ac:dyDescent="0.25">
      <c r="A1190">
        <v>24567565</v>
      </c>
      <c r="B1190" s="12">
        <v>45815</v>
      </c>
      <c r="C1190" t="s">
        <v>2</v>
      </c>
      <c r="D1190" t="s">
        <v>649</v>
      </c>
    </row>
    <row r="1191" spans="1:4" x14ac:dyDescent="0.25">
      <c r="A1191">
        <v>24567565</v>
      </c>
      <c r="B1191" s="12">
        <v>45787</v>
      </c>
      <c r="C1191" t="s">
        <v>2</v>
      </c>
      <c r="D1191" t="s">
        <v>646</v>
      </c>
    </row>
    <row r="1192" spans="1:4" x14ac:dyDescent="0.25">
      <c r="A1192">
        <v>24567566</v>
      </c>
      <c r="B1192" s="12">
        <v>45815</v>
      </c>
      <c r="C1192" t="s">
        <v>2</v>
      </c>
      <c r="D1192" t="s">
        <v>649</v>
      </c>
    </row>
    <row r="1193" spans="1:4" x14ac:dyDescent="0.25">
      <c r="A1193">
        <v>24567566</v>
      </c>
      <c r="B1193" s="12">
        <v>45787</v>
      </c>
      <c r="C1193" t="s">
        <v>2</v>
      </c>
      <c r="D1193" t="s">
        <v>646</v>
      </c>
    </row>
    <row r="1194" spans="1:4" x14ac:dyDescent="0.25">
      <c r="A1194">
        <v>24567567</v>
      </c>
      <c r="B1194" s="12">
        <v>45787</v>
      </c>
      <c r="C1194" t="s">
        <v>2</v>
      </c>
      <c r="D1194" t="s">
        <v>645</v>
      </c>
    </row>
    <row r="1195" spans="1:4" x14ac:dyDescent="0.25">
      <c r="A1195">
        <v>24567568</v>
      </c>
      <c r="B1195" s="12">
        <v>45787</v>
      </c>
      <c r="C1195" t="s">
        <v>2</v>
      </c>
      <c r="D1195" t="s">
        <v>645</v>
      </c>
    </row>
    <row r="1196" spans="1:4" x14ac:dyDescent="0.25">
      <c r="A1196">
        <v>24567569</v>
      </c>
      <c r="B1196" s="12">
        <v>45815</v>
      </c>
      <c r="C1196" t="s">
        <v>2</v>
      </c>
      <c r="D1196" t="s">
        <v>649</v>
      </c>
    </row>
    <row r="1197" spans="1:4" x14ac:dyDescent="0.25">
      <c r="A1197">
        <v>24567569</v>
      </c>
      <c r="B1197" s="12">
        <v>45787</v>
      </c>
      <c r="C1197" t="s">
        <v>2</v>
      </c>
      <c r="D1197" t="s">
        <v>646</v>
      </c>
    </row>
    <row r="1198" spans="1:4" x14ac:dyDescent="0.25">
      <c r="A1198">
        <v>24567570</v>
      </c>
      <c r="B1198" s="12">
        <v>45787</v>
      </c>
      <c r="C1198" t="s">
        <v>2</v>
      </c>
      <c r="D1198" t="s">
        <v>645</v>
      </c>
    </row>
    <row r="1199" spans="1:4" x14ac:dyDescent="0.25">
      <c r="A1199">
        <v>24567571</v>
      </c>
      <c r="B1199" s="12">
        <v>45815</v>
      </c>
      <c r="C1199" t="s">
        <v>2</v>
      </c>
      <c r="D1199" t="s">
        <v>649</v>
      </c>
    </row>
    <row r="1200" spans="1:4" x14ac:dyDescent="0.25">
      <c r="A1200">
        <v>24567571</v>
      </c>
      <c r="B1200" s="12">
        <v>45787</v>
      </c>
      <c r="C1200" t="s">
        <v>2</v>
      </c>
      <c r="D1200" t="s">
        <v>646</v>
      </c>
    </row>
    <row r="1201" spans="1:4" x14ac:dyDescent="0.25">
      <c r="A1201">
        <v>24567572</v>
      </c>
      <c r="B1201" s="12">
        <v>45787</v>
      </c>
      <c r="C1201" t="s">
        <v>2</v>
      </c>
      <c r="D1201" t="s">
        <v>645</v>
      </c>
    </row>
    <row r="1202" spans="1:4" x14ac:dyDescent="0.25">
      <c r="A1202">
        <v>24567573</v>
      </c>
      <c r="B1202" s="12">
        <v>45815</v>
      </c>
      <c r="C1202" t="s">
        <v>2</v>
      </c>
      <c r="D1202" t="s">
        <v>649</v>
      </c>
    </row>
    <row r="1203" spans="1:4" x14ac:dyDescent="0.25">
      <c r="A1203">
        <v>24567573</v>
      </c>
      <c r="B1203" s="12">
        <v>45787</v>
      </c>
      <c r="C1203" t="s">
        <v>2</v>
      </c>
      <c r="D1203" t="s">
        <v>646</v>
      </c>
    </row>
    <row r="1204" spans="1:4" x14ac:dyDescent="0.25">
      <c r="A1204">
        <v>24567574</v>
      </c>
      <c r="B1204" s="12">
        <v>45787</v>
      </c>
      <c r="C1204" t="s">
        <v>2</v>
      </c>
      <c r="D1204" t="s">
        <v>645</v>
      </c>
    </row>
    <row r="1205" spans="1:4" x14ac:dyDescent="0.25">
      <c r="A1205">
        <v>24567575</v>
      </c>
      <c r="B1205" s="12">
        <v>45815</v>
      </c>
      <c r="C1205" t="s">
        <v>2</v>
      </c>
      <c r="D1205" t="s">
        <v>649</v>
      </c>
    </row>
    <row r="1206" spans="1:4" x14ac:dyDescent="0.25">
      <c r="A1206">
        <v>24567575</v>
      </c>
      <c r="B1206" s="12">
        <v>45787</v>
      </c>
      <c r="C1206" t="s">
        <v>2</v>
      </c>
      <c r="D1206" t="s">
        <v>646</v>
      </c>
    </row>
    <row r="1207" spans="1:4" x14ac:dyDescent="0.25">
      <c r="A1207">
        <v>24567576</v>
      </c>
      <c r="B1207" s="12">
        <v>45815</v>
      </c>
      <c r="C1207" t="s">
        <v>2</v>
      </c>
      <c r="D1207" t="s">
        <v>649</v>
      </c>
    </row>
    <row r="1208" spans="1:4" x14ac:dyDescent="0.25">
      <c r="A1208">
        <v>24567576</v>
      </c>
      <c r="B1208" s="12">
        <v>45787</v>
      </c>
      <c r="C1208" t="s">
        <v>2</v>
      </c>
      <c r="D1208" t="s">
        <v>646</v>
      </c>
    </row>
    <row r="1209" spans="1:4" x14ac:dyDescent="0.25">
      <c r="A1209">
        <v>24567577</v>
      </c>
      <c r="B1209" s="12">
        <v>45815</v>
      </c>
      <c r="C1209" t="s">
        <v>2</v>
      </c>
      <c r="D1209" t="s">
        <v>649</v>
      </c>
    </row>
    <row r="1210" spans="1:4" x14ac:dyDescent="0.25">
      <c r="A1210">
        <v>24567577</v>
      </c>
      <c r="B1210" s="12">
        <v>45787</v>
      </c>
      <c r="C1210" t="s">
        <v>2</v>
      </c>
      <c r="D1210" t="s">
        <v>646</v>
      </c>
    </row>
    <row r="1211" spans="1:4" x14ac:dyDescent="0.25">
      <c r="A1211">
        <v>24567578</v>
      </c>
      <c r="B1211" s="12">
        <v>45787</v>
      </c>
      <c r="C1211" t="s">
        <v>2</v>
      </c>
      <c r="D1211" t="s">
        <v>645</v>
      </c>
    </row>
    <row r="1212" spans="1:4" x14ac:dyDescent="0.25">
      <c r="A1212">
        <v>24567579</v>
      </c>
      <c r="B1212" s="12">
        <v>45787</v>
      </c>
      <c r="C1212" t="s">
        <v>2</v>
      </c>
      <c r="D1212" t="s">
        <v>645</v>
      </c>
    </row>
    <row r="1213" spans="1:4" x14ac:dyDescent="0.25">
      <c r="A1213">
        <v>24567580</v>
      </c>
      <c r="B1213" s="12">
        <v>45787</v>
      </c>
      <c r="C1213" t="s">
        <v>2</v>
      </c>
      <c r="D1213" t="s">
        <v>645</v>
      </c>
    </row>
    <row r="1214" spans="1:4" x14ac:dyDescent="0.25">
      <c r="A1214">
        <v>24567581</v>
      </c>
      <c r="B1214" s="12">
        <v>45815</v>
      </c>
      <c r="C1214" t="s">
        <v>2</v>
      </c>
      <c r="D1214" t="s">
        <v>649</v>
      </c>
    </row>
    <row r="1215" spans="1:4" x14ac:dyDescent="0.25">
      <c r="A1215">
        <v>24567581</v>
      </c>
      <c r="B1215" s="12">
        <v>45787</v>
      </c>
      <c r="C1215" t="s">
        <v>2</v>
      </c>
      <c r="D1215" t="s">
        <v>646</v>
      </c>
    </row>
    <row r="1216" spans="1:4" x14ac:dyDescent="0.25">
      <c r="A1216">
        <v>24567582</v>
      </c>
      <c r="B1216" s="12">
        <v>45787</v>
      </c>
      <c r="C1216" t="s">
        <v>2</v>
      </c>
      <c r="D1216" t="s">
        <v>645</v>
      </c>
    </row>
    <row r="1217" spans="1:4" x14ac:dyDescent="0.25">
      <c r="A1217">
        <v>24567583</v>
      </c>
      <c r="B1217" s="12">
        <v>45787</v>
      </c>
      <c r="C1217" t="s">
        <v>2</v>
      </c>
      <c r="D1217" t="s">
        <v>645</v>
      </c>
    </row>
    <row r="1218" spans="1:4" x14ac:dyDescent="0.25">
      <c r="A1218">
        <v>24567584</v>
      </c>
      <c r="B1218" s="12">
        <v>45787</v>
      </c>
      <c r="C1218" t="s">
        <v>2</v>
      </c>
      <c r="D1218" t="s">
        <v>645</v>
      </c>
    </row>
    <row r="1219" spans="1:4" x14ac:dyDescent="0.25">
      <c r="A1219">
        <v>24567588</v>
      </c>
      <c r="B1219" s="12">
        <v>45813</v>
      </c>
      <c r="C1219" t="s">
        <v>1</v>
      </c>
      <c r="D1219" t="s">
        <v>648</v>
      </c>
    </row>
    <row r="1220" spans="1:4" x14ac:dyDescent="0.25">
      <c r="A1220">
        <v>24567601</v>
      </c>
      <c r="B1220" s="12">
        <v>45887</v>
      </c>
      <c r="C1220" t="s">
        <v>8</v>
      </c>
      <c r="D1220" t="s">
        <v>652</v>
      </c>
    </row>
    <row r="1221" spans="1:4" x14ac:dyDescent="0.25">
      <c r="A1221">
        <v>24567606</v>
      </c>
      <c r="B1221" s="12">
        <v>45787</v>
      </c>
      <c r="C1221" t="s">
        <v>2</v>
      </c>
      <c r="D1221" t="s">
        <v>645</v>
      </c>
    </row>
    <row r="1222" spans="1:4" x14ac:dyDescent="0.25">
      <c r="A1222">
        <v>24567607</v>
      </c>
      <c r="B1222" s="12">
        <v>45965</v>
      </c>
      <c r="C1222" t="s">
        <v>0</v>
      </c>
      <c r="D1222" t="s">
        <v>653</v>
      </c>
    </row>
    <row r="1223" spans="1:4" x14ac:dyDescent="0.25">
      <c r="A1223">
        <v>24567607</v>
      </c>
      <c r="B1223" s="12">
        <v>45813</v>
      </c>
      <c r="C1223" t="s">
        <v>1</v>
      </c>
      <c r="D1223" t="s">
        <v>647</v>
      </c>
    </row>
    <row r="1224" spans="1:4" x14ac:dyDescent="0.25">
      <c r="A1224">
        <v>24567608</v>
      </c>
      <c r="B1224" s="12">
        <v>45813</v>
      </c>
      <c r="C1224" t="s">
        <v>1</v>
      </c>
      <c r="D1224" t="s">
        <v>647</v>
      </c>
    </row>
    <row r="1225" spans="1:4" x14ac:dyDescent="0.25">
      <c r="A1225">
        <v>24567609</v>
      </c>
      <c r="B1225" s="12">
        <v>45887</v>
      </c>
      <c r="C1225" t="s">
        <v>8</v>
      </c>
      <c r="D1225" t="s">
        <v>652</v>
      </c>
    </row>
  </sheetData>
  <sortState xmlns:xlrd2="http://schemas.microsoft.com/office/spreadsheetml/2017/richdata2" ref="A2:E1225">
    <sortCondition ref="A2:A1225"/>
    <sortCondition descending="1" ref="B2:B12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td</vt:lpstr>
      <vt:lpstr>tros(as)</vt:lpstr>
      <vt:lpstr>inventario</vt:lpstr>
      <vt:lpstr>predios sipec al 16-01-26</vt:lpstr>
      <vt:lpstr>iden_sipec</vt:lpstr>
      <vt:lpstr>chip_toros</vt:lpstr>
      <vt:lpstr>cambio_diio</vt:lpstr>
      <vt:lpstr>sinap</vt:lpstr>
      <vt:lpstr>manejos_25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Solar</dc:creator>
  <cp:lastModifiedBy>Maria Ercira</cp:lastModifiedBy>
  <cp:lastPrinted>2025-11-17T17:40:43Z</cp:lastPrinted>
  <dcterms:created xsi:type="dcterms:W3CDTF">2024-03-20T12:54:06Z</dcterms:created>
  <dcterms:modified xsi:type="dcterms:W3CDTF">2026-01-27T01:55:52Z</dcterms:modified>
</cp:coreProperties>
</file>